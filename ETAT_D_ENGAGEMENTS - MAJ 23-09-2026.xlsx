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530" windowHeight="11480" tabRatio="499" firstSheet="0" activeTab="0" autoFilterDateGrouping="1"/>
  </bookViews>
  <sheets>
    <sheet name="Tableau de Bord" sheetId="1" state="visible" r:id="rId1"/>
    <sheet name="Filtre Interactif" sheetId="2" state="visible" r:id="rId2"/>
    <sheet name="Tableau de Bord Suivi" sheetId="3" state="visible" r:id="rId3"/>
    <sheet name="Parametres" sheetId="4" state="visible" r:id="rId4"/>
    <sheet name="ENGAGEMENTS 2026" sheetId="5" state="visible" r:id="rId5"/>
    <sheet name="lignes" sheetId="6" state="visible" r:id="rId6"/>
    <sheet name="PPM 2026" sheetId="7" state="visible" r:id="rId7"/>
    <sheet name="Données Suivi" sheetId="8" state="visible" r:id="rId8"/>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fullCalcOnLoad="1"/>
</workbook>
</file>

<file path=xl/styles.xml><?xml version="1.0" encoding="utf-8"?>
<styleSheet xmlns="http://schemas.openxmlformats.org/spreadsheetml/2006/main">
  <numFmts count="14">
    <numFmt numFmtId="164" formatCode="#,##0.00\ _€"/>
    <numFmt numFmtId="165" formatCode="0\ %"/>
    <numFmt numFmtId="166" formatCode="_-* #,##0.00\ _€_-;\-* #,##0.00\ _€_-;_-* \-??\ _€_-;_-@_-"/>
    <numFmt numFmtId="167" formatCode="[$د.م.‏-1801]\ #,##0.00;[Red][$د.م.‏-1801]\ #,##0.00\-"/>
    <numFmt numFmtId="168" formatCode="0.0%"/>
    <numFmt numFmtId="169" formatCode="_(* #,##0.00_);_(* \(#,##0.00\);_(* \-??_);_(@_)"/>
    <numFmt numFmtId="170" formatCode="#,##0.00\ &quot;€&quot;"/>
    <numFmt numFmtId="171" formatCode="#,##0.00\ [$MAD]"/>
    <numFmt numFmtId="172" formatCode="#.##0\.00"/>
    <numFmt numFmtId="173" formatCode="_-* #,##0.00\ _€_-;\-* #,##0.00\ _€_-;_-* &quot;-&quot;??\ _€_-;_-@_-"/>
    <numFmt numFmtId="174" formatCode="dd/mm/yyyy"/>
    <numFmt numFmtId="175" formatCode="_-* #,##0.00_-;\-* #,##0.00_-;_-* \-??_-;_-@_-"/>
    <numFmt numFmtId="176" formatCode="_-* #,##0.00\ _D_H_-;\-* #,##0.00\ _D_H_-;_-* \-??\ _D_H_-;_-@_-"/>
    <numFmt numFmtId="177" formatCode="yyyy-mm-dd h:mm:ss"/>
  </numFmts>
  <fonts count="72">
    <font>
      <name val="Calibri"/>
      <charset val="1"/>
      <family val="2"/>
      <color theme="1"/>
      <sz val="11"/>
    </font>
    <font>
      <name val="Calibri"/>
      <charset val="1"/>
      <family val="2"/>
      <color theme="10"/>
      <sz val="11"/>
      <u val="single"/>
    </font>
    <font>
      <name val="Calibri"/>
      <charset val="1"/>
      <family val="2"/>
      <color theme="3"/>
      <sz val="10"/>
    </font>
    <font>
      <name val="Arial"/>
      <charset val="1"/>
      <family val="2"/>
      <color theme="1"/>
      <sz val="10"/>
    </font>
    <font>
      <name val="Calibri"/>
      <charset val="1"/>
      <family val="2"/>
      <color theme="0"/>
      <sz val="11"/>
    </font>
    <font>
      <name val="Calibri"/>
      <charset val="1"/>
      <family val="2"/>
      <color theme="1"/>
      <sz val="10"/>
    </font>
    <font>
      <name val="Calibri"/>
      <charset val="1"/>
      <family val="2"/>
      <sz val="10"/>
    </font>
    <font>
      <name val="Calibri"/>
      <charset val="1"/>
      <family val="2"/>
      <b val="1"/>
      <color theme="0"/>
      <sz val="11"/>
    </font>
    <font>
      <name val="Calibri"/>
      <charset val="1"/>
      <family val="2"/>
      <b val="1"/>
      <color theme="0" tint="-0.1499984740745262"/>
      <sz val="11"/>
    </font>
    <font>
      <name val="Calibri"/>
      <charset val="1"/>
      <family val="2"/>
      <b val="1"/>
      <color theme="1"/>
      <sz val="11"/>
    </font>
    <font>
      <name val="Times New Roman"/>
      <charset val="1"/>
      <family val="1"/>
      <color theme="1"/>
      <sz val="11"/>
    </font>
    <font>
      <name val="Times New Roman"/>
      <charset val="1"/>
      <family val="1"/>
      <b val="1"/>
      <color theme="1"/>
      <sz val="11"/>
    </font>
    <font>
      <name val="Calibri"/>
      <charset val="1"/>
      <family val="2"/>
      <color theme="1"/>
      <sz val="11"/>
    </font>
    <font>
      <name val="Calibri"/>
      <family val="2"/>
      <color theme="1"/>
      <sz val="10"/>
    </font>
    <font>
      <name val="Arial"/>
      <family val="2"/>
      <color theme="3"/>
      <sz val="10"/>
      <scheme val="minor"/>
    </font>
    <font>
      <name val="Calibri"/>
      <family val="2"/>
      <b val="1"/>
      <color theme="1"/>
      <sz val="10"/>
    </font>
    <font>
      <name val="Calibri"/>
      <family val="2"/>
      <color theme="3"/>
      <sz val="10"/>
    </font>
    <font>
      <name val="Calibri"/>
      <family val="2"/>
      <b val="1"/>
      <color rgb="FFFFFFFF"/>
      <sz val="10"/>
    </font>
    <font>
      <name val="Calibri"/>
      <family val="2"/>
      <b val="1"/>
      <color theme="1"/>
      <sz val="11"/>
    </font>
    <font>
      <name val="Calibri"/>
      <family val="2"/>
      <color theme="1"/>
      <sz val="10"/>
    </font>
    <font>
      <name val="Calibri"/>
      <family val="2"/>
      <b val="1"/>
      <color theme="1"/>
      <sz val="10"/>
    </font>
    <font>
      <name val="Calibri"/>
      <family val="2"/>
      <color theme="1"/>
      <sz val="10"/>
    </font>
    <font>
      <name val="Calibri"/>
      <family val="2"/>
      <b val="1"/>
      <color theme="1"/>
      <sz val="10"/>
    </font>
    <font>
      <name val="Calibri"/>
      <family val="2"/>
      <color theme="1"/>
      <sz val="10"/>
    </font>
    <font>
      <name val="Calibri"/>
      <family val="2"/>
      <b val="1"/>
      <color theme="1"/>
      <sz val="10"/>
    </font>
    <font>
      <name val="Arial"/>
      <family val="2"/>
      <b val="1"/>
      <color theme="0"/>
      <sz val="11"/>
      <scheme val="minor"/>
    </font>
    <font>
      <name val="Arial"/>
      <family val="2"/>
      <color theme="1"/>
      <sz val="11"/>
      <scheme val="minor"/>
    </font>
    <font>
      <name val="Arial"/>
      <family val="1"/>
      <b val="1"/>
      <color theme="0"/>
      <sz val="10"/>
      <scheme val="major"/>
    </font>
    <font>
      <name val="Arial"/>
      <family val="1"/>
      <color theme="1"/>
      <sz val="10"/>
      <scheme val="major"/>
    </font>
    <font>
      <name val="Arial"/>
      <family val="1"/>
      <color rgb="FF333333"/>
      <sz val="10"/>
      <scheme val="major"/>
    </font>
    <font>
      <name val="Arial"/>
      <family val="1"/>
      <sz val="10"/>
      <scheme val="major"/>
    </font>
    <font>
      <name val="Arial"/>
      <family val="2"/>
      <color theme="1"/>
      <sz val="9"/>
      <scheme val="major"/>
    </font>
    <font>
      <name val="Arial"/>
      <family val="1"/>
      <color theme="1"/>
      <sz val="11"/>
      <scheme val="major"/>
    </font>
    <font>
      <name val="Arial"/>
      <family val="1"/>
      <sz val="11"/>
      <scheme val="major"/>
    </font>
    <font>
      <name val="Arial"/>
      <family val="1"/>
      <color theme="1"/>
      <sz val="12"/>
      <scheme val="major"/>
    </font>
    <font>
      <name val="Calibri"/>
      <b val="1"/>
      <color rgb="FFFFFFFF"/>
      <sz val="11"/>
    </font>
    <font>
      <name val="Calibri"/>
      <b val="1"/>
      <color rgb="FFFFFFFF"/>
      <sz val="16"/>
    </font>
    <font>
      <name val="Calibri"/>
      <b val="1"/>
      <color rgb="FF1F4E78"/>
      <sz val="9"/>
    </font>
    <font>
      <name val="Calibri"/>
      <b val="1"/>
      <color rgb="FF1F4E78"/>
      <sz val="15"/>
    </font>
    <font>
      <name val="Calibri"/>
      <b val="1"/>
      <color rgb="FFFFFFFF"/>
      <sz val="12"/>
    </font>
    <font>
      <name val="Calibri"/>
      <b val="1"/>
      <color rgb="FF1F4E78"/>
      <sz val="11"/>
    </font>
    <font>
      <name val="Calibri"/>
      <b val="1"/>
      <sz val="11"/>
    </font>
    <font>
      <name val="Calibri"/>
      <b val="1"/>
      <color rgb="FFFFFFFF"/>
      <sz val="15"/>
    </font>
    <font>
      <name val="Calibri"/>
      <b val="1"/>
      <color rgb="FF1F4E78"/>
      <sz val="11"/>
    </font>
    <font>
      <name val="Calibri"/>
      <b val="1"/>
      <sz val="12"/>
    </font>
    <font>
      <name val="Calibri"/>
      <b val="1"/>
      <color rgb="FFFFFFFF"/>
      <sz val="12"/>
    </font>
    <font>
      <name val="Calibri"/>
      <b val="1"/>
      <color rgb="FF1F4E78"/>
      <sz val="11"/>
    </font>
    <font>
      <name val="Calibri"/>
      <b val="1"/>
      <sz val="11"/>
    </font>
    <font>
      <name val="Calibri"/>
      <b val="1"/>
      <color rgb="FFFFFFFF"/>
      <sz val="11"/>
    </font>
    <font>
      <b val="1"/>
      <color rgb="00FFFFFF"/>
    </font>
    <font>
      <b val="1"/>
      <color rgb="00FFFFFF"/>
      <sz val="16"/>
    </font>
    <font>
      <b val="1"/>
      <color rgb="001F4E78"/>
      <sz val="9"/>
    </font>
    <font>
      <b val="1"/>
      <color rgb="001F4E78"/>
      <sz val="15"/>
    </font>
    <font>
      <b val="1"/>
      <color rgb="00FFFFFF"/>
      <sz val="12"/>
    </font>
    <font>
      <b val="1"/>
      <color rgb="001F4E78"/>
    </font>
    <font>
      <b val="1"/>
    </font>
    <font>
      <b val="1"/>
      <color rgb="00FFFFFF"/>
      <sz val="15"/>
    </font>
    <font>
      <b val="1"/>
      <color rgb="001F4E78"/>
      <sz val="11"/>
    </font>
    <font>
      <b val="1"/>
      <sz val="12"/>
    </font>
    <font>
      <i val="1"/>
      <color rgb="00595959"/>
      <sz val="10"/>
    </font>
    <font>
      <name val="Calibri"/>
      <b val="1"/>
      <color rgb="00FFFFFF"/>
      <sz val="14"/>
    </font>
    <font>
      <name val="Calibri"/>
      <i val="1"/>
      <color rgb="00595959"/>
      <sz val="10"/>
    </font>
    <font>
      <name val="Calibri"/>
      <b val="1"/>
      <color rgb="00FFFFFF"/>
      <sz val="10"/>
    </font>
    <font>
      <name val="Calibri"/>
      <b val="1"/>
      <color rgb="00FFFFFF"/>
      <sz val="11"/>
    </font>
    <font>
      <name val="Calibri"/>
      <b val="1"/>
      <color rgb="00FFFFFF"/>
      <sz val="8"/>
    </font>
    <font>
      <name val="Calibri"/>
      <b val="1"/>
      <color rgb="00000000"/>
      <sz val="10"/>
    </font>
    <font>
      <name val="Calibri"/>
      <b val="1"/>
      <sz val="9"/>
    </font>
    <font>
      <name val="Calibri"/>
      <sz val="9"/>
    </font>
    <font>
      <name val="Calibri"/>
      <b val="1"/>
      <color rgb="00FFFFFF"/>
      <sz val="9"/>
    </font>
    <font>
      <name val="Calibri"/>
      <color rgb="00262626"/>
      <sz val="11"/>
    </font>
    <font>
      <name val="Calibri"/>
      <b val="1"/>
      <color rgb="00262626"/>
      <sz val="11"/>
    </font>
    <font>
      <name val="Calibri"/>
      <b val="1"/>
      <color rgb="00262626"/>
      <sz val="12"/>
    </font>
  </fonts>
  <fills count="51">
    <fill>
      <patternFill/>
    </fill>
    <fill>
      <patternFill patternType="gray125"/>
    </fill>
    <fill>
      <patternFill patternType="solid">
        <fgColor theme="0" tint="-0.499984740745262"/>
        <bgColor rgb="FF8497B0"/>
      </patternFill>
    </fill>
    <fill>
      <patternFill patternType="solid">
        <fgColor theme="0" tint="-0.0499893185216834"/>
        <bgColor rgb="FFDEEBF7"/>
      </patternFill>
    </fill>
    <fill>
      <patternFill patternType="solid">
        <fgColor theme="0" tint="-0.1499984740745262"/>
        <bgColor rgb="FFD0CECE"/>
      </patternFill>
    </fill>
    <fill>
      <patternFill patternType="solid">
        <fgColor theme="0" tint="-0.3499862666707358"/>
        <bgColor rgb="FF8497B0"/>
      </patternFill>
    </fill>
    <fill>
      <patternFill patternType="solid">
        <fgColor theme="0"/>
        <bgColor rgb="FFF2F2F2"/>
      </patternFill>
    </fill>
    <fill>
      <patternFill patternType="solid">
        <fgColor theme="3" tint="0.3998840296639912"/>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
        <bgColor indexed="64"/>
      </patternFill>
    </fill>
    <fill>
      <patternFill patternType="solid">
        <fgColor theme="5" tint="0.3999755851924192"/>
        <bgColor rgb="FFFFFF00"/>
      </patternFill>
    </fill>
    <fill>
      <patternFill patternType="solid">
        <fgColor theme="5" tint="0.3999755851924192"/>
        <bgColor rgb="FF8497B0"/>
      </patternFill>
    </fill>
    <fill>
      <patternFill patternType="solid">
        <fgColor rgb="FF2E75B6"/>
        <bgColor rgb="FFA6A6A6"/>
      </patternFill>
    </fill>
    <fill>
      <patternFill patternType="solid">
        <fgColor theme="3" tint="0.3999755851924192"/>
        <bgColor indexed="64"/>
      </patternFill>
    </fill>
    <fill>
      <patternFill patternType="solid">
        <fgColor theme="3" tint="-0.249977111117893"/>
        <bgColor indexed="64"/>
      </patternFill>
    </fill>
    <fill>
      <patternFill patternType="solid">
        <fgColor rgb="FFFFF2CC"/>
      </patternFill>
    </fill>
    <fill>
      <patternFill patternType="solid">
        <fgColor theme="0" tint="-0.0499893185216834"/>
        <bgColor indexed="64"/>
      </patternFill>
    </fill>
    <fill>
      <patternFill patternType="solid">
        <fgColor rgb="FF1F4E78"/>
      </patternFill>
    </fill>
    <fill>
      <patternFill patternType="solid">
        <fgColor rgb="FFDDEBF7"/>
      </patternFill>
    </fill>
    <fill>
      <patternFill patternType="solid">
        <fgColor rgb="FF2E75B6"/>
      </patternFill>
    </fill>
    <fill>
      <patternFill patternType="solid">
        <fgColor rgb="FFD9E2F3"/>
      </patternFill>
    </fill>
    <fill>
      <patternFill patternType="solid">
        <fgColor rgb="FF1F4E78"/>
      </patternFill>
    </fill>
    <fill>
      <patternFill patternType="solid">
        <fgColor rgb="FFFFF2CC"/>
      </patternFill>
    </fill>
    <fill>
      <patternFill patternType="solid">
        <fgColor rgb="FF2E75B6"/>
      </patternFill>
    </fill>
    <fill>
      <patternFill patternType="solid">
        <fgColor rgb="FFD9E2F3"/>
      </patternFill>
    </fill>
    <fill>
      <patternFill patternType="solid">
        <fgColor rgb="FFBDD7EE"/>
      </patternFill>
    </fill>
    <fill>
      <patternFill patternType="solid">
        <fgColor rgb="001F4E78"/>
      </patternFill>
    </fill>
    <fill>
      <patternFill patternType="solid">
        <fgColor rgb="00DDEBF7"/>
      </patternFill>
    </fill>
    <fill>
      <patternFill patternType="solid">
        <fgColor rgb="002E75B6"/>
      </patternFill>
    </fill>
    <fill>
      <patternFill patternType="solid">
        <fgColor rgb="00D9E2F3"/>
      </patternFill>
    </fill>
    <fill>
      <patternFill patternType="solid">
        <fgColor rgb="00FFF2CC"/>
      </patternFill>
    </fill>
    <fill>
      <patternFill patternType="solid">
        <fgColor rgb="00BDD7EE"/>
      </patternFill>
    </fill>
    <fill>
      <patternFill patternType="solid">
        <fgColor rgb="001F4E79"/>
      </patternFill>
    </fill>
    <fill>
      <patternFill patternType="solid">
        <fgColor rgb="00404040"/>
      </patternFill>
    </fill>
    <fill>
      <patternFill patternType="solid">
        <fgColor rgb="00C55A11"/>
      </patternFill>
    </fill>
    <fill>
      <patternFill patternType="solid">
        <fgColor rgb="00FFD966"/>
      </patternFill>
    </fill>
    <fill>
      <patternFill patternType="solid">
        <fgColor rgb="00D6E4F0"/>
      </patternFill>
    </fill>
    <fill>
      <patternFill patternType="solid">
        <fgColor rgb="00EBF3FB"/>
      </patternFill>
    </fill>
    <fill>
      <patternFill patternType="solid">
        <fgColor rgb="00FBE9D9"/>
      </patternFill>
    </fill>
    <fill>
      <patternFill patternType="solid">
        <fgColor rgb="00F4B183"/>
      </patternFill>
    </fill>
    <fill>
      <patternFill patternType="solid">
        <fgColor indexed="65"/>
        <bgColor indexed="64"/>
      </patternFill>
    </fill>
  </fills>
  <borders count="55">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8"/>
      </left>
      <right/>
      <top style="thin">
        <color theme="0" tint="-0.3499862666707358"/>
      </top>
      <bottom/>
      <diagonal/>
    </border>
    <border>
      <left style="thin">
        <color theme="0" tint="-0.3499862666707358"/>
      </left>
      <right style="thin">
        <color theme="0" tint="-0.3499862666707358"/>
      </right>
      <top style="thin">
        <color theme="0" tint="-0.3499862666707358"/>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right/>
      <top style="thin">
        <color indexed="64"/>
      </top>
      <bottom style="thin">
        <color indexed="64"/>
      </bottom>
      <diagonal/>
    </border>
    <border>
      <left style="thin">
        <color rgb="FFB7C6D9"/>
      </left>
      <right style="thin">
        <color rgb="FFB7C6D9"/>
      </right>
      <top style="thin">
        <color rgb="FFB7C6D9"/>
      </top>
      <bottom style="thin">
        <color rgb="FFB7C6D9"/>
      </bottom>
      <diagonal/>
    </border>
    <border>
      <left/>
      <right style="thin">
        <color rgb="FFB7C6D9"/>
      </right>
      <top style="thin">
        <color rgb="FFB7C6D9"/>
      </top>
      <bottom/>
      <diagonal/>
    </border>
    <border>
      <left/>
      <right style="thin">
        <color rgb="FFB7C6D9"/>
      </right>
      <top style="thin">
        <color rgb="FFB7C6D9"/>
      </top>
      <bottom style="thin">
        <color rgb="FFB7C6D9"/>
      </bottom>
      <diagonal/>
    </border>
    <border>
      <left style="thin">
        <color rgb="FFB7C6D9"/>
      </left>
      <right/>
      <top/>
      <bottom style="thin">
        <color rgb="FFB7C6D9"/>
      </bottom>
      <diagonal/>
    </border>
    <border>
      <left/>
      <right style="thin">
        <color rgb="FFB7C6D9"/>
      </right>
      <top/>
      <bottom style="thin">
        <color rgb="FFB7C6D9"/>
      </bottom>
      <diagonal/>
    </border>
    <border>
      <left style="thin">
        <color rgb="FFB7C6D9"/>
      </left>
      <right style="thin">
        <color rgb="FFB7C6D9"/>
      </right>
      <top style="thin">
        <color rgb="FFB7C6D9"/>
      </top>
      <bottom style="thin">
        <color rgb="FFB7C6D9"/>
      </bottom>
      <diagonal/>
    </border>
    <border>
      <left/>
      <right/>
      <top style="thin">
        <color rgb="FFB7C6D9"/>
      </top>
      <bottom/>
      <diagonal/>
    </border>
    <border>
      <left/>
      <right/>
      <top style="thin">
        <color rgb="FFB7C6D9"/>
      </top>
      <bottom style="thin">
        <color rgb="FFB7C6D9"/>
      </bottom>
      <diagonal/>
    </border>
    <border>
      <left style="thin">
        <color rgb="FFB7C6D9"/>
      </left>
      <right/>
      <top/>
      <bottom/>
      <diagonal/>
    </border>
    <border>
      <left style="thin">
        <color rgb="FFB7C6D9"/>
      </left>
      <right style="thin">
        <color rgb="FFB7C6D9"/>
      </right>
      <top/>
      <bottom/>
      <diagonal/>
    </border>
    <border>
      <left style="thin">
        <color rgb="FFB7C6D9"/>
      </left>
      <right style="thin">
        <color rgb="FFB7C6D9"/>
      </right>
      <top/>
      <bottom style="thin">
        <color rgb="FFB7C6D9"/>
      </bottom>
      <diagonal/>
    </border>
    <border>
      <left/>
      <right style="thin">
        <color rgb="FFB7C6D9"/>
      </right>
      <top/>
      <bottom/>
      <diagonal/>
    </border>
    <border>
      <left style="thin">
        <color rgb="00B7C6D9"/>
      </left>
      <right style="thin">
        <color rgb="00B7C6D9"/>
      </right>
      <top style="thin">
        <color rgb="00B7C6D9"/>
      </top>
      <bottom style="thin">
        <color rgb="00B7C6D9"/>
      </bottom>
    </border>
    <border>
      <left/>
      <right/>
      <top style="thin">
        <color rgb="00B7C6D9"/>
      </top>
      <bottom/>
      <diagonal/>
    </border>
    <border>
      <left/>
      <right style="thin">
        <color rgb="00B7C6D9"/>
      </right>
      <top style="thin">
        <color rgb="00B7C6D9"/>
      </top>
      <bottom/>
      <diagonal/>
    </border>
    <border>
      <left/>
      <right style="thin">
        <color rgb="00B7C6D9"/>
      </right>
      <top style="thin">
        <color rgb="00B7C6D9"/>
      </top>
      <bottom style="thin">
        <color rgb="00B7C6D9"/>
      </bottom>
      <diagonal/>
    </border>
    <border>
      <left style="thin">
        <color rgb="00B7C6D9"/>
      </left>
      <right/>
      <top/>
      <bottom/>
      <diagonal/>
    </border>
    <border>
      <left/>
      <right style="thin">
        <color rgb="00B7C6D9"/>
      </right>
      <top/>
      <bottom/>
      <diagonal/>
    </border>
    <border>
      <left style="thin">
        <color rgb="00B7C6D9"/>
      </left>
      <right/>
      <top/>
      <bottom style="thin">
        <color rgb="00B7C6D9"/>
      </bottom>
      <diagonal/>
    </border>
    <border>
      <left/>
      <right style="thin">
        <color rgb="00B7C6D9"/>
      </right>
      <top/>
      <bottom style="thin">
        <color rgb="00B7C6D9"/>
      </bottom>
      <diagonal/>
    </border>
    <border>
      <left style="thin">
        <color rgb="00B7C6D9"/>
      </left>
      <right style="thin">
        <color rgb="00B7C6D9"/>
      </right>
      <top/>
      <bottom/>
      <diagonal/>
    </border>
    <border>
      <left style="thin">
        <color rgb="00B7C6D9"/>
      </left>
      <right style="thin">
        <color rgb="00B7C6D9"/>
      </right>
      <top/>
      <bottom style="thin">
        <color rgb="00B7C6D9"/>
      </bottom>
      <diagonal/>
    </border>
    <border>
      <left/>
      <right/>
      <top style="thin">
        <color rgb="00B7C6D9"/>
      </top>
      <bottom style="thin">
        <color rgb="00B7C6D9"/>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style="thin">
        <color rgb="00FFFFFF"/>
      </left>
      <right style="thin">
        <color rgb="00FFFFFF"/>
      </right>
      <top style="thin">
        <color rgb="00FFFFFF"/>
      </top>
      <bottom style="thin">
        <color rgb="00FFFFFF"/>
      </bottom>
    </border>
    <border>
      <left style="medium">
        <color rgb="00FFFFFF"/>
      </left>
      <right style="thin">
        <color rgb="00FFFFFF"/>
      </right>
      <top style="thin">
        <color rgb="00FFFFFF"/>
      </top>
      <bottom style="thin">
        <color rgb="00FFFFFF"/>
      </bottom>
    </border>
    <border>
      <left style="thin">
        <color rgb="00D9D9D9"/>
      </left>
      <right style="thin">
        <color rgb="00D9D9D9"/>
      </right>
      <top style="thin">
        <color rgb="00D9D9D9"/>
      </top>
      <bottom style="thin">
        <color rgb="00D9D9D9"/>
      </bottom>
    </border>
    <border>
      <left style="medium">
        <color rgb="008EA9C1"/>
      </left>
      <right style="thin">
        <color rgb="00D9D9D9"/>
      </right>
      <top style="thin">
        <color rgb="00D9D9D9"/>
      </top>
      <bottom style="thin">
        <color rgb="00D9D9D9"/>
      </bottom>
    </border>
  </borders>
  <cellStyleXfs count="16">
    <xf numFmtId="0" fontId="12" fillId="0" borderId="0"/>
    <xf numFmtId="169" fontId="12" fillId="0" borderId="0"/>
    <xf numFmtId="165" fontId="12" fillId="0" borderId="0"/>
    <xf numFmtId="0" fontId="1" fillId="0" borderId="0"/>
    <xf numFmtId="166" fontId="12" fillId="0" borderId="0"/>
    <xf numFmtId="166" fontId="12" fillId="0" borderId="0"/>
    <xf numFmtId="166" fontId="12" fillId="0" borderId="0"/>
    <xf numFmtId="175" fontId="12" fillId="0" borderId="0"/>
    <xf numFmtId="175" fontId="12" fillId="0" borderId="0"/>
    <xf numFmtId="166" fontId="12" fillId="0" borderId="0"/>
    <xf numFmtId="176" fontId="12" fillId="0" borderId="0"/>
    <xf numFmtId="0" fontId="2" fillId="0" borderId="0" applyAlignment="1">
      <alignment horizontal="center" vertical="center" wrapText="1"/>
    </xf>
    <xf numFmtId="0" fontId="3" fillId="0" borderId="0"/>
    <xf numFmtId="0" fontId="2" fillId="0" borderId="0" applyAlignment="1">
      <alignment horizontal="center" vertical="center" wrapText="1"/>
    </xf>
    <xf numFmtId="0" fontId="12" fillId="0" borderId="0"/>
    <xf numFmtId="0" fontId="14" fillId="0" borderId="0" applyAlignment="1">
      <alignment horizontal="center" vertical="center" wrapText="1"/>
    </xf>
  </cellStyleXfs>
  <cellXfs count="710">
    <xf numFmtId="0" fontId="0" fillId="0" borderId="0" pivotButton="0" quotePrefix="0" xfId="0"/>
    <xf numFmtId="0" fontId="4" fillId="2" borderId="0" pivotButton="0" quotePrefix="0" xfId="0"/>
    <xf numFmtId="0" fontId="5" fillId="3" borderId="1" pivotButton="0" quotePrefix="0" xfId="0"/>
    <xf numFmtId="0" fontId="5" fillId="4" borderId="2" pivotButton="0" quotePrefix="0" xfId="0"/>
    <xf numFmtId="0" fontId="6" fillId="4" borderId="2" pivotButton="0" quotePrefix="0" xfId="0"/>
    <xf numFmtId="0" fontId="5" fillId="4" borderId="0" pivotButton="0" quotePrefix="0" xfId="0"/>
    <xf numFmtId="0" fontId="7" fillId="5" borderId="0" pivotButton="0" quotePrefix="0" xfId="0"/>
    <xf numFmtId="0" fontId="5" fillId="6" borderId="0" pivotButton="0" quotePrefix="0" xfId="0"/>
    <xf numFmtId="0" fontId="5" fillId="3" borderId="0" pivotButton="0" quotePrefix="0" xfId="0"/>
    <xf numFmtId="0" fontId="7" fillId="2" borderId="0" pivotButton="0" quotePrefix="0" xfId="0"/>
    <xf numFmtId="0" fontId="5" fillId="4" borderId="1" pivotButton="0" quotePrefix="0" xfId="0"/>
    <xf numFmtId="0" fontId="5" fillId="3" borderId="2" pivotButton="0" quotePrefix="0" xfId="0"/>
    <xf numFmtId="0" fontId="8" fillId="7" borderId="7" applyAlignment="1" pivotButton="0" quotePrefix="0" xfId="0">
      <alignment horizontal="center" vertical="center" wrapText="1"/>
    </xf>
    <xf numFmtId="0" fontId="8" fillId="7" borderId="8" applyAlignment="1" pivotButton="0" quotePrefix="0" xfId="0">
      <alignment horizontal="center" vertical="center" wrapText="1"/>
    </xf>
    <xf numFmtId="0" fontId="0" fillId="0" borderId="0" applyAlignment="1" pivotButton="0" quotePrefix="0" xfId="0">
      <alignment horizontal="center" wrapText="1"/>
    </xf>
    <xf numFmtId="0" fontId="9" fillId="0" borderId="0" applyAlignment="1" pivotButton="0" quotePrefix="0" xfId="0">
      <alignment horizontal="center" vertical="center" wrapText="1"/>
    </xf>
    <xf numFmtId="14"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9" fillId="0" borderId="0" applyAlignment="1" pivotButton="0" quotePrefix="0" xfId="0">
      <alignment horizontal="center" wrapText="1"/>
    </xf>
    <xf numFmtId="0" fontId="0" fillId="0" borderId="0" applyAlignment="1" pivotButton="0" quotePrefix="0" xfId="0">
      <alignment wrapText="1"/>
    </xf>
    <xf numFmtId="14" fontId="0"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horizontal="center" vertical="center" wrapText="1"/>
    </xf>
    <xf numFmtId="0" fontId="9" fillId="11" borderId="9" pivotButton="0" quotePrefix="0" xfId="0"/>
    <xf numFmtId="0" fontId="9" fillId="0" borderId="9" applyAlignment="1" pivotButton="0" quotePrefix="0" xfId="0">
      <alignment horizontal="left"/>
    </xf>
    <xf numFmtId="0" fontId="0" fillId="12" borderId="0" pivotButton="0" quotePrefix="0" xfId="0"/>
    <xf numFmtId="0" fontId="0" fillId="0" borderId="9" pivotButton="0" quotePrefix="0" xfId="0"/>
    <xf numFmtId="0" fontId="0" fillId="19" borderId="0" applyAlignment="1" pivotButton="0" quotePrefix="0" xfId="0">
      <alignment horizontal="center" vertical="center" wrapText="1"/>
    </xf>
    <xf numFmtId="0" fontId="0" fillId="19" borderId="0" pivotButton="0" quotePrefix="0" xfId="0"/>
    <xf numFmtId="14" fontId="13" fillId="0" borderId="9" applyAlignment="1" pivotButton="0" quotePrefix="0" xfId="0">
      <alignment horizontal="center" vertical="center" wrapText="1"/>
    </xf>
    <xf numFmtId="0" fontId="13" fillId="15" borderId="13" applyAlignment="1" pivotButton="0" quotePrefix="0" xfId="0">
      <alignment horizontal="center" vertical="center" wrapText="1"/>
    </xf>
    <xf numFmtId="0" fontId="13" fillId="9" borderId="9" applyAlignment="1" pivotButton="0" quotePrefix="0" xfId="0">
      <alignment horizontal="center" vertical="center" wrapText="1"/>
    </xf>
    <xf numFmtId="0" fontId="13" fillId="9" borderId="13" applyAlignment="1" pivotButton="0" quotePrefix="0" xfId="0">
      <alignment horizontal="center" vertical="center" wrapText="1"/>
    </xf>
    <xf numFmtId="0" fontId="13" fillId="2" borderId="13" applyAlignment="1" pivotButton="0" quotePrefix="0" xfId="0">
      <alignment horizontal="center" vertical="center" wrapText="1"/>
    </xf>
    <xf numFmtId="0" fontId="13" fillId="20" borderId="13" applyAlignment="1" pivotButton="0" quotePrefix="0" xfId="0">
      <alignment horizontal="center" vertical="center" wrapText="1"/>
    </xf>
    <xf numFmtId="0" fontId="13" fillId="19" borderId="9" applyAlignment="1" pivotButton="0" quotePrefix="0" xfId="0">
      <alignment horizontal="left" vertical="center" wrapText="1"/>
    </xf>
    <xf numFmtId="0" fontId="15" fillId="19" borderId="9" applyAlignment="1" pivotButton="0" quotePrefix="0" xfId="0">
      <alignment horizontal="center" vertical="center" wrapText="1"/>
    </xf>
    <xf numFmtId="0" fontId="15" fillId="19" borderId="9" applyAlignment="1" pivotButton="0" quotePrefix="0" xfId="0">
      <alignment horizontal="left" vertical="center" wrapText="1"/>
    </xf>
    <xf numFmtId="0" fontId="13" fillId="14" borderId="13" applyAlignment="1" pivotButton="0" quotePrefix="0" xfId="0">
      <alignment horizontal="center" vertical="center" wrapText="1"/>
    </xf>
    <xf numFmtId="0" fontId="13" fillId="2" borderId="9" applyAlignment="1" pivotButton="0" quotePrefix="0" xfId="0">
      <alignment horizontal="center" vertical="center" wrapText="1"/>
    </xf>
    <xf numFmtId="0" fontId="13" fillId="12" borderId="9" applyAlignment="1" pivotButton="0" quotePrefix="0" xfId="0">
      <alignment horizontal="center" vertical="center" wrapText="1"/>
    </xf>
    <xf numFmtId="0" fontId="13" fillId="17" borderId="9" applyAlignment="1" pivotButton="0" quotePrefix="0" xfId="0">
      <alignment horizontal="center" vertical="center" wrapText="1"/>
    </xf>
    <xf numFmtId="0" fontId="13" fillId="12" borderId="14" applyAlignment="1" pivotButton="0" quotePrefix="0" xfId="0">
      <alignment horizontal="center" vertical="center" wrapText="1"/>
    </xf>
    <xf numFmtId="0" fontId="13" fillId="0" borderId="12" applyAlignment="1" pivotButton="0" quotePrefix="0" xfId="0">
      <alignment horizontal="left" vertical="center" wrapText="1"/>
    </xf>
    <xf numFmtId="0" fontId="15" fillId="0" borderId="12" applyAlignment="1" pivotButton="0" quotePrefix="0" xfId="0">
      <alignment horizontal="center" vertical="center" wrapText="1"/>
    </xf>
    <xf numFmtId="0" fontId="15" fillId="0" borderId="12" applyAlignment="1" pivotButton="0" quotePrefix="0" xfId="0">
      <alignment horizontal="left" vertical="center" wrapText="1"/>
    </xf>
    <xf numFmtId="0" fontId="13" fillId="0" borderId="9" applyAlignment="1" pivotButton="0" quotePrefix="0" xfId="0">
      <alignment horizontal="left" vertical="center" wrapText="1"/>
    </xf>
    <xf numFmtId="0" fontId="15" fillId="0" borderId="9" applyAlignment="1" pivotButton="0" quotePrefix="0" xfId="0">
      <alignment horizontal="center" vertical="center" wrapText="1"/>
    </xf>
    <xf numFmtId="0" fontId="15" fillId="0" borderId="9" applyAlignment="1" pivotButton="0" quotePrefix="0" xfId="0">
      <alignment horizontal="left" vertical="center" wrapText="1"/>
    </xf>
    <xf numFmtId="14" fontId="17" fillId="22" borderId="9" applyAlignment="1" pivotButton="0" quotePrefix="0" xfId="0">
      <alignment horizontal="center" vertical="center" wrapText="1"/>
    </xf>
    <xf numFmtId="0" fontId="17" fillId="22" borderId="9" applyAlignment="1" pivotButton="0" quotePrefix="0" xfId="1">
      <alignment horizontal="center" vertical="center" wrapText="1"/>
    </xf>
    <xf numFmtId="0" fontId="17" fillId="22" borderId="10" applyAlignment="1" pivotButton="0" quotePrefix="0" xfId="0">
      <alignment horizontal="center" vertical="center" wrapText="1"/>
    </xf>
    <xf numFmtId="0" fontId="13" fillId="9" borderId="9" applyAlignment="1" pivotButton="0" quotePrefix="0" xfId="0">
      <alignment horizontal="left" vertical="center" wrapText="1"/>
    </xf>
    <xf numFmtId="0" fontId="13" fillId="20" borderId="9" applyAlignment="1" pivotButton="0" quotePrefix="0" xfId="0">
      <alignment horizontal="left" vertical="center" wrapText="1"/>
    </xf>
    <xf numFmtId="0" fontId="13" fillId="18" borderId="9" applyAlignment="1" pivotButton="0" quotePrefix="0" xfId="0">
      <alignment horizontal="left" vertical="center" wrapText="1"/>
    </xf>
    <xf numFmtId="0" fontId="13" fillId="12" borderId="9" applyAlignment="1" pivotButton="0" quotePrefix="0" xfId="0">
      <alignment horizontal="left" vertical="center" wrapText="1"/>
    </xf>
    <xf numFmtId="14" fontId="13" fillId="0" borderId="12" applyAlignment="1" pivotButton="0" quotePrefix="0" xfId="0">
      <alignment horizontal="left" vertical="center" wrapText="1"/>
    </xf>
    <xf numFmtId="14" fontId="13" fillId="0" borderId="9" applyAlignment="1" pivotButton="0" quotePrefix="0" xfId="0">
      <alignment horizontal="left" vertical="center" wrapText="1"/>
    </xf>
    <xf numFmtId="14" fontId="13" fillId="19" borderId="9" applyAlignment="1" pivotButton="0" quotePrefix="0" xfId="0">
      <alignment horizontal="left" vertical="center" wrapText="1"/>
    </xf>
    <xf numFmtId="14" fontId="13" fillId="9" borderId="9" applyAlignment="1" pivotButton="0" quotePrefix="0" xfId="0">
      <alignment horizontal="left" vertical="center" wrapText="1"/>
    </xf>
    <xf numFmtId="14" fontId="13" fillId="12" borderId="9" applyAlignment="1" pivotButton="0" quotePrefix="0" xfId="0">
      <alignment horizontal="left" vertical="center" wrapText="1"/>
    </xf>
    <xf numFmtId="0" fontId="13" fillId="2" borderId="9" applyAlignment="1" pivotButton="0" quotePrefix="0" xfId="0">
      <alignment horizontal="left" vertical="center" wrapText="1"/>
    </xf>
    <xf numFmtId="0" fontId="16" fillId="0" borderId="9" applyAlignment="1" pivotButton="0" quotePrefix="0" xfId="0">
      <alignment horizontal="left" vertical="center"/>
    </xf>
    <xf numFmtId="0" fontId="13" fillId="0" borderId="0" applyAlignment="1" pivotButton="0" quotePrefix="0" xfId="0">
      <alignment horizontal="left" vertical="center"/>
    </xf>
    <xf numFmtId="0" fontId="13" fillId="0" borderId="0" applyAlignment="1" pivotButton="0" quotePrefix="0" xfId="0">
      <alignment horizontal="left" vertical="center" wrapText="1"/>
    </xf>
    <xf numFmtId="14" fontId="13" fillId="2" borderId="9" applyAlignment="1" pivotButton="0" quotePrefix="0" xfId="0">
      <alignment horizontal="center" vertical="center" wrapText="1"/>
    </xf>
    <xf numFmtId="14" fontId="15" fillId="2" borderId="9" applyAlignment="1" pivotButton="0" quotePrefix="0" xfId="1">
      <alignment horizontal="center" vertical="center" wrapText="1"/>
    </xf>
    <xf numFmtId="14" fontId="15" fillId="21" borderId="9" applyAlignment="1" pivotButton="0" quotePrefix="0" xfId="1">
      <alignment horizontal="center" vertical="center" wrapText="1"/>
    </xf>
    <xf numFmtId="14" fontId="15" fillId="2" borderId="12" applyAlignment="1" pivotButton="0" quotePrefix="0" xfId="1">
      <alignment horizontal="center" vertical="center" wrapText="1"/>
    </xf>
    <xf numFmtId="14" fontId="15" fillId="12" borderId="9" applyAlignment="1" pivotButton="0" quotePrefix="0" xfId="0">
      <alignment horizontal="center" vertical="center" wrapText="1"/>
    </xf>
    <xf numFmtId="14" fontId="15" fillId="9" borderId="9" applyAlignment="1" pivotButton="0" quotePrefix="0" xfId="0">
      <alignment horizontal="center" vertical="center" wrapText="1"/>
    </xf>
    <xf numFmtId="14" fontId="15" fillId="20" borderId="9" applyAlignment="1" pivotButton="0" quotePrefix="0" xfId="0">
      <alignment horizontal="center" vertical="center" wrapText="1"/>
    </xf>
    <xf numFmtId="14" fontId="15" fillId="17" borderId="9" applyAlignment="1" pivotButton="0" quotePrefix="0" xfId="0">
      <alignment horizontal="center" vertical="center" wrapText="1"/>
    </xf>
    <xf numFmtId="14" fontId="15" fillId="0" borderId="9" applyAlignment="1" pivotButton="0" quotePrefix="0" xfId="1">
      <alignment horizontal="center" vertical="center" wrapText="1"/>
    </xf>
    <xf numFmtId="14" fontId="15" fillId="0" borderId="12" applyAlignment="1" pivotButton="0" quotePrefix="0" xfId="0">
      <alignment horizontal="center" vertical="center" wrapText="1"/>
    </xf>
    <xf numFmtId="14" fontId="15" fillId="0" borderId="9" applyAlignment="1" pivotButton="0" quotePrefix="0" xfId="0">
      <alignment horizontal="center" vertical="center" wrapText="1"/>
    </xf>
    <xf numFmtId="14" fontId="15" fillId="17" borderId="12" applyAlignment="1" pivotButton="0" quotePrefix="0" xfId="0">
      <alignment horizontal="center" vertical="center" wrapText="1"/>
    </xf>
    <xf numFmtId="14" fontId="15" fillId="19" borderId="9" applyAlignment="1" pivotButton="0" quotePrefix="0" xfId="0">
      <alignment horizontal="center" vertical="center" wrapText="1"/>
    </xf>
    <xf numFmtId="0" fontId="19" fillId="12" borderId="14" applyAlignment="1" pivotButton="0" quotePrefix="0" xfId="0">
      <alignment horizontal="center" vertical="center" wrapText="1"/>
    </xf>
    <xf numFmtId="0" fontId="20" fillId="0" borderId="12" applyAlignment="1" pivotButton="0" quotePrefix="0" xfId="0">
      <alignment horizontal="center" vertical="center" wrapText="1"/>
    </xf>
    <xf numFmtId="14" fontId="19" fillId="0" borderId="12" applyAlignment="1" pivotButton="0" quotePrefix="0" xfId="0">
      <alignment horizontal="left" vertical="center" wrapText="1"/>
    </xf>
    <xf numFmtId="0" fontId="19" fillId="0" borderId="12" applyAlignment="1" pivotButton="0" quotePrefix="0" xfId="0">
      <alignment horizontal="left" vertical="center" wrapText="1"/>
    </xf>
    <xf numFmtId="0" fontId="20" fillId="0" borderId="12" applyAlignment="1" pivotButton="0" quotePrefix="0" xfId="0">
      <alignment horizontal="left" vertical="center" wrapText="1"/>
    </xf>
    <xf numFmtId="14" fontId="20" fillId="2" borderId="12" applyAlignment="1" pivotButton="0" quotePrefix="0" xfId="1">
      <alignment horizontal="center" vertical="center" wrapText="1"/>
    </xf>
    <xf numFmtId="14" fontId="19" fillId="0" borderId="12" applyAlignment="1" pivotButton="0" quotePrefix="0" xfId="0">
      <alignment horizontal="center" vertical="center" wrapText="1"/>
    </xf>
    <xf numFmtId="14" fontId="20" fillId="17" borderId="12" applyAlignment="1" pivotButton="0" quotePrefix="0" xfId="0">
      <alignment horizontal="center" vertical="center" wrapText="1"/>
    </xf>
    <xf numFmtId="14" fontId="20" fillId="0" borderId="15" applyAlignment="1" pivotButton="0" quotePrefix="0" xfId="0">
      <alignment horizontal="center" vertical="center" wrapText="1"/>
    </xf>
    <xf numFmtId="14" fontId="13" fillId="0" borderId="12" applyAlignment="1" pivotButton="0" quotePrefix="0" xfId="0">
      <alignment horizontal="center" vertical="center" wrapText="1"/>
    </xf>
    <xf numFmtId="14" fontId="15" fillId="0" borderId="15" applyAlignment="1" pivotButton="0" quotePrefix="0" xfId="0">
      <alignment horizontal="center" vertical="center" wrapText="1"/>
    </xf>
    <xf numFmtId="0" fontId="21" fillId="12" borderId="14" applyAlignment="1" pivotButton="0" quotePrefix="0" xfId="0">
      <alignment horizontal="center" vertical="center" wrapText="1"/>
    </xf>
    <xf numFmtId="0" fontId="22" fillId="0" borderId="12" applyAlignment="1" pivotButton="0" quotePrefix="0" xfId="0">
      <alignment horizontal="center" vertical="center" wrapText="1"/>
    </xf>
    <xf numFmtId="14" fontId="21" fillId="0" borderId="12" applyAlignment="1" pivotButton="0" quotePrefix="0" xfId="0">
      <alignment horizontal="left" vertical="center" wrapText="1"/>
    </xf>
    <xf numFmtId="0" fontId="21" fillId="0" borderId="12" applyAlignment="1" pivotButton="0" quotePrefix="0" xfId="0">
      <alignment horizontal="left" vertical="center" wrapText="1"/>
    </xf>
    <xf numFmtId="0" fontId="22" fillId="0" borderId="12" applyAlignment="1" pivotButton="0" quotePrefix="0" xfId="0">
      <alignment horizontal="left" vertical="center" wrapText="1"/>
    </xf>
    <xf numFmtId="14" fontId="22" fillId="2" borderId="12" applyAlignment="1" pivotButton="0" quotePrefix="0" xfId="1">
      <alignment horizontal="center" vertical="center" wrapText="1"/>
    </xf>
    <xf numFmtId="14" fontId="21" fillId="0" borderId="12" applyAlignment="1" pivotButton="0" quotePrefix="0" xfId="0">
      <alignment horizontal="center" vertical="center" wrapText="1"/>
    </xf>
    <xf numFmtId="14" fontId="22" fillId="17" borderId="12" applyAlignment="1" pivotButton="0" quotePrefix="0" xfId="0">
      <alignment horizontal="center" vertical="center" wrapText="1"/>
    </xf>
    <xf numFmtId="14" fontId="22" fillId="0" borderId="15" applyAlignment="1" pivotButton="0" quotePrefix="0" xfId="0">
      <alignment horizontal="center" vertical="center" wrapText="1"/>
    </xf>
    <xf numFmtId="0" fontId="24" fillId="0" borderId="12" applyAlignment="1" pivotButton="0" quotePrefix="0" xfId="0">
      <alignment horizontal="center" vertical="center" wrapText="1"/>
    </xf>
    <xf numFmtId="14" fontId="23" fillId="0" borderId="12" applyAlignment="1" pivotButton="0" quotePrefix="0" xfId="0">
      <alignment horizontal="left" vertical="center" wrapText="1"/>
    </xf>
    <xf numFmtId="0" fontId="23" fillId="0" borderId="12" applyAlignment="1" pivotButton="0" quotePrefix="0" xfId="0">
      <alignment horizontal="left" vertical="center" wrapText="1"/>
    </xf>
    <xf numFmtId="0" fontId="24" fillId="0" borderId="12" applyAlignment="1" pivotButton="0" quotePrefix="0" xfId="0">
      <alignment horizontal="left" vertical="center" wrapText="1"/>
    </xf>
    <xf numFmtId="14" fontId="24" fillId="2" borderId="12" applyAlignment="1" pivotButton="0" quotePrefix="0" xfId="1">
      <alignment horizontal="center" vertical="center" wrapText="1"/>
    </xf>
    <xf numFmtId="14" fontId="23" fillId="0" borderId="12" applyAlignment="1" pivotButton="0" quotePrefix="0" xfId="0">
      <alignment horizontal="center" vertical="center" wrapText="1"/>
    </xf>
    <xf numFmtId="14" fontId="24" fillId="17" borderId="12" applyAlignment="1" pivotButton="0" quotePrefix="0" xfId="0">
      <alignment horizontal="center" vertical="center" wrapText="1"/>
    </xf>
    <xf numFmtId="14" fontId="24" fillId="0" borderId="15" applyAlignment="1" pivotButton="0" quotePrefix="0" xfId="0">
      <alignment horizontal="center" vertical="center" wrapText="1"/>
    </xf>
    <xf numFmtId="0" fontId="17" fillId="22" borderId="13" applyAlignment="1" pivotButton="0" quotePrefix="0" xfId="0">
      <alignment horizontal="center" vertical="center" wrapText="1"/>
    </xf>
    <xf numFmtId="0" fontId="13" fillId="8" borderId="13" applyAlignment="1" pivotButton="0" quotePrefix="0" xfId="0">
      <alignment horizontal="center" vertical="center" wrapText="1"/>
    </xf>
    <xf numFmtId="0" fontId="13" fillId="12" borderId="13" applyAlignment="1" pivotButton="0" quotePrefix="0" xfId="0">
      <alignment horizontal="center" vertical="center" wrapText="1"/>
    </xf>
    <xf numFmtId="0" fontId="23" fillId="12" borderId="14" applyAlignment="1" pivotButton="0" quotePrefix="0" xfId="0">
      <alignment horizontal="center" vertical="center" wrapText="1"/>
    </xf>
    <xf numFmtId="0" fontId="23" fillId="0" borderId="14" applyAlignment="1" pivotButton="0" quotePrefix="0" xfId="1">
      <alignment horizontal="center" vertical="center" wrapText="1"/>
    </xf>
    <xf numFmtId="0" fontId="0" fillId="0" borderId="0" applyAlignment="1" pivotButton="0" quotePrefix="0" xfId="0">
      <alignment horizontal="center" vertical="center" wrapText="1"/>
    </xf>
    <xf numFmtId="0" fontId="17" fillId="22" borderId="9" applyAlignment="1" pivotButton="0" quotePrefix="0" xfId="0">
      <alignment horizontal="center" vertical="center" wrapText="1"/>
    </xf>
    <xf numFmtId="0" fontId="15" fillId="2" borderId="9" applyAlignment="1" pivotButton="0" quotePrefix="0" xfId="1">
      <alignment horizontal="center" vertical="center" wrapText="1"/>
    </xf>
    <xf numFmtId="0" fontId="13" fillId="19" borderId="9" applyAlignment="1" pivotButton="0" quotePrefix="0" xfId="0">
      <alignment horizontal="center" vertical="center" wrapText="1"/>
    </xf>
    <xf numFmtId="0" fontId="13" fillId="0" borderId="12" applyAlignment="1" pivotButton="0" quotePrefix="0" xfId="0">
      <alignment horizontal="center" vertical="center" wrapText="1"/>
    </xf>
    <xf numFmtId="0" fontId="13" fillId="0" borderId="9" applyAlignment="1" pivotButton="0" quotePrefix="0" xfId="0">
      <alignment horizontal="center" vertical="center" wrapText="1"/>
    </xf>
    <xf numFmtId="0" fontId="19" fillId="0" borderId="12" applyAlignment="1" pivotButton="0" quotePrefix="0" xfId="0">
      <alignment horizontal="center" vertical="center" wrapText="1"/>
    </xf>
    <xf numFmtId="0" fontId="21" fillId="0" borderId="12" applyAlignment="1" pivotButton="0" quotePrefix="0" xfId="0">
      <alignment horizontal="center" vertical="center" wrapText="1"/>
    </xf>
    <xf numFmtId="0" fontId="23" fillId="0" borderId="12" applyAlignment="1" pivotButton="0" quotePrefix="0" xfId="0">
      <alignment horizontal="center" vertical="center" wrapText="1"/>
    </xf>
    <xf numFmtId="14" fontId="23" fillId="0" borderId="14" applyAlignment="1" pivotButton="0" quotePrefix="0" xfId="1">
      <alignment horizontal="center" vertical="center" wrapText="1"/>
    </xf>
    <xf numFmtId="14" fontId="9" fillId="0" borderId="0" applyAlignment="1" pivotButton="0" quotePrefix="0" xfId="0">
      <alignment horizontal="center" vertical="center" wrapText="1"/>
    </xf>
    <xf numFmtId="0" fontId="23" fillId="0" borderId="9" applyAlignment="1" pivotButton="0" quotePrefix="0" xfId="1">
      <alignment horizontal="center" vertical="center" wrapText="1"/>
    </xf>
    <xf numFmtId="14" fontId="23" fillId="0" borderId="9" applyAlignment="1" pivotButton="0" quotePrefix="0" xfId="1">
      <alignment horizontal="center" vertical="center" wrapText="1"/>
    </xf>
    <xf numFmtId="0" fontId="0" fillId="0" borderId="9" applyAlignment="1" pivotButton="0" quotePrefix="0" xfId="0">
      <alignment wrapText="1"/>
    </xf>
    <xf numFmtId="14" fontId="0" fillId="0" borderId="9" applyAlignment="1" pivotButton="0" quotePrefix="0" xfId="0">
      <alignment vertical="center" wrapText="1"/>
    </xf>
    <xf numFmtId="0" fontId="0" fillId="0" borderId="9" applyAlignment="1" pivotButton="0" quotePrefix="0" xfId="0">
      <alignment horizontal="center" vertical="center" wrapText="1"/>
    </xf>
    <xf numFmtId="0" fontId="0" fillId="0" borderId="9" applyAlignment="1" pivotButton="0" quotePrefix="0" xfId="0">
      <alignment horizontal="center" wrapText="1"/>
    </xf>
    <xf numFmtId="0" fontId="0" fillId="0" borderId="9" applyAlignment="1" pivotButton="0" quotePrefix="0" xfId="0">
      <alignment horizontal="left" vertical="center" wrapText="1"/>
    </xf>
    <xf numFmtId="0" fontId="9" fillId="0" borderId="9" applyAlignment="1" pivotButton="0" quotePrefix="0" xfId="0">
      <alignment horizontal="center" vertical="center" wrapText="1"/>
    </xf>
    <xf numFmtId="14" fontId="0" fillId="0" borderId="9" applyAlignment="1" pivotButton="0" quotePrefix="0" xfId="0">
      <alignment horizontal="center" vertical="center" wrapText="1"/>
    </xf>
    <xf numFmtId="0" fontId="9" fillId="0" borderId="9" applyAlignment="1" pivotButton="0" quotePrefix="0" xfId="0">
      <alignment horizontal="center" wrapText="1"/>
    </xf>
    <xf numFmtId="14" fontId="9" fillId="0" borderId="9" applyAlignment="1" pivotButton="0" quotePrefix="0" xfId="0">
      <alignment horizontal="center" vertical="center" wrapText="1"/>
    </xf>
    <xf numFmtId="164" fontId="4" fillId="2" borderId="0" pivotButton="0" quotePrefix="0" xfId="1"/>
    <xf numFmtId="165" fontId="4" fillId="2" borderId="0" applyAlignment="1" pivotButton="0" quotePrefix="0" xfId="2">
      <alignment horizontal="center"/>
    </xf>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164" fontId="7" fillId="5" borderId="3" pivotButton="0" quotePrefix="0" xfId="1"/>
    <xf numFmtId="165" fontId="7" fillId="5" borderId="3" applyAlignment="1" pivotButton="0" quotePrefix="0" xfId="2">
      <alignment horizontal="center"/>
    </xf>
    <xf numFmtId="164" fontId="7" fillId="2" borderId="3" pivotButton="0" quotePrefix="0" xfId="1"/>
    <xf numFmtId="165" fontId="7" fillId="2" borderId="3" applyAlignment="1" pivotButton="0" quotePrefix="0" xfId="2">
      <alignment horizontal="center"/>
    </xf>
    <xf numFmtId="164" fontId="5" fillId="4" borderId="4" pivotButton="0" quotePrefix="0" xfId="1"/>
    <xf numFmtId="164" fontId="5" fillId="3" borderId="5" pivotButton="0" quotePrefix="0" xfId="1"/>
    <xf numFmtId="164" fontId="5" fillId="4" borderId="5" pivotButton="0" quotePrefix="0" xfId="1"/>
    <xf numFmtId="164" fontId="0" fillId="0" borderId="0" applyAlignment="1" pivotButton="0" quotePrefix="0" xfId="0">
      <alignment horizontal="left" vertical="center" wrapText="1"/>
    </xf>
    <xf numFmtId="164" fontId="9" fillId="0" borderId="0" applyAlignment="1" pivotButton="0" quotePrefix="0" xfId="1">
      <alignment vertical="center" wrapText="1"/>
    </xf>
    <xf numFmtId="164" fontId="0" fillId="0" borderId="0" applyAlignment="1" pivotButton="0" quotePrefix="0" xfId="1">
      <alignment vertical="center" wrapText="1"/>
    </xf>
    <xf numFmtId="164" fontId="18" fillId="0" borderId="0" applyAlignment="1" pivotButton="0" quotePrefix="0" xfId="0">
      <alignment horizontal="center" vertical="center" wrapText="1"/>
    </xf>
    <xf numFmtId="164" fontId="18" fillId="0" borderId="0" applyAlignment="1" pivotButton="0" quotePrefix="0" xfId="1">
      <alignment vertical="center" wrapText="1"/>
    </xf>
    <xf numFmtId="164" fontId="18" fillId="0" borderId="0" applyAlignment="1" pivotButton="0" quotePrefix="0" xfId="1">
      <alignment horizontal="center" vertical="center" wrapText="1"/>
    </xf>
    <xf numFmtId="165" fontId="0" fillId="0" borderId="0" applyAlignment="1" pivotButton="0" quotePrefix="0" xfId="2">
      <alignment horizontal="center" vertical="center" wrapText="1"/>
    </xf>
    <xf numFmtId="164" fontId="17" fillId="22" borderId="9" applyAlignment="1" pivotButton="0" quotePrefix="0" xfId="1">
      <alignment horizontal="center" vertical="center" wrapText="1"/>
    </xf>
    <xf numFmtId="165" fontId="17" fillId="22" borderId="11" applyAlignment="1" pivotButton="0" quotePrefix="0" xfId="2">
      <alignment horizontal="center" vertical="center" wrapText="1"/>
    </xf>
    <xf numFmtId="164" fontId="15" fillId="2" borderId="9" applyAlignment="1" pivotButton="0" quotePrefix="0" xfId="1">
      <alignment horizontal="right" vertical="center" wrapText="1"/>
    </xf>
    <xf numFmtId="164" fontId="15" fillId="0" borderId="9" applyAlignment="1" pivotButton="0" quotePrefix="0" xfId="0">
      <alignment horizontal="right" vertical="center" wrapText="1"/>
    </xf>
    <xf numFmtId="167" fontId="13" fillId="9" borderId="9" applyAlignment="1" pivotButton="0" quotePrefix="0" xfId="0">
      <alignment horizontal="left" vertical="center" wrapText="1"/>
    </xf>
    <xf numFmtId="167" fontId="13" fillId="10" borderId="9" applyAlignment="1" pivotButton="0" quotePrefix="0" xfId="0">
      <alignment horizontal="left" vertical="center" wrapText="1"/>
    </xf>
    <xf numFmtId="164" fontId="13" fillId="0" borderId="9" applyAlignment="1" pivotButton="0" quotePrefix="0" xfId="0">
      <alignment horizontal="right" vertical="center" wrapText="1"/>
    </xf>
    <xf numFmtId="164" fontId="15" fillId="0" borderId="9" applyAlignment="1" pivotButton="0" quotePrefix="0" xfId="1">
      <alignment horizontal="right" vertical="center" wrapText="1"/>
    </xf>
    <xf numFmtId="167" fontId="13" fillId="2" borderId="9" applyAlignment="1" pivotButton="0" quotePrefix="0" xfId="0">
      <alignment horizontal="left" vertical="center" wrapText="1"/>
    </xf>
    <xf numFmtId="164" fontId="15" fillId="12" borderId="9" applyAlignment="1" pivotButton="0" quotePrefix="0" xfId="0">
      <alignment horizontal="right" vertical="center" wrapText="1"/>
    </xf>
    <xf numFmtId="164" fontId="13" fillId="19" borderId="9" applyAlignment="1" pivotButton="0" quotePrefix="0" xfId="0">
      <alignment horizontal="right" vertical="center" wrapText="1"/>
    </xf>
    <xf numFmtId="164" fontId="15" fillId="19" borderId="9" applyAlignment="1" pivotButton="0" quotePrefix="0" xfId="0">
      <alignment horizontal="right" vertical="center" wrapText="1"/>
    </xf>
    <xf numFmtId="167" fontId="13" fillId="20" borderId="9" applyAlignment="1" pivotButton="0" quotePrefix="0" xfId="0">
      <alignment horizontal="left" vertical="center" wrapText="1"/>
    </xf>
    <xf numFmtId="167" fontId="13" fillId="13" borderId="9" applyAlignment="1" pivotButton="0" quotePrefix="0" xfId="0">
      <alignment horizontal="left" vertical="center" wrapText="1"/>
    </xf>
    <xf numFmtId="167" fontId="13" fillId="0" borderId="9" applyAlignment="1" pivotButton="0" quotePrefix="0" xfId="0">
      <alignment horizontal="left" vertical="center" wrapText="1"/>
    </xf>
    <xf numFmtId="164" fontId="15" fillId="9" borderId="9" applyAlignment="1" pivotButton="0" quotePrefix="0" xfId="0">
      <alignment horizontal="right" vertical="center" wrapText="1"/>
    </xf>
    <xf numFmtId="164" fontId="15" fillId="0" borderId="12" applyAlignment="1" pivotButton="0" quotePrefix="0" xfId="0">
      <alignment horizontal="right" vertical="center" wrapText="1"/>
    </xf>
    <xf numFmtId="164" fontId="15" fillId="2" borderId="9" applyAlignment="1" pivotButton="0" quotePrefix="0" xfId="0">
      <alignment horizontal="right" vertical="center" wrapText="1"/>
    </xf>
    <xf numFmtId="167" fontId="13" fillId="10" borderId="9" applyAlignment="1" pivotButton="0" quotePrefix="0" xfId="0">
      <alignment horizontal="center" vertical="center" wrapText="1"/>
    </xf>
    <xf numFmtId="167" fontId="13" fillId="10" borderId="0" applyAlignment="1" pivotButton="0" quotePrefix="0" xfId="0">
      <alignment horizontal="left" vertical="center" wrapText="1"/>
    </xf>
    <xf numFmtId="164" fontId="13" fillId="0" borderId="12" applyAlignment="1" pivotButton="0" quotePrefix="0" xfId="0">
      <alignment horizontal="right" vertical="center" wrapText="1"/>
    </xf>
    <xf numFmtId="167" fontId="13" fillId="10" borderId="12" applyAlignment="1" pivotButton="0" quotePrefix="0" xfId="0">
      <alignment horizontal="center" vertical="center" wrapText="1"/>
    </xf>
    <xf numFmtId="164" fontId="15" fillId="16" borderId="9" applyAlignment="1" pivotButton="0" quotePrefix="0" xfId="1">
      <alignment horizontal="right" vertical="center" wrapText="1"/>
    </xf>
    <xf numFmtId="167" fontId="13" fillId="0" borderId="9" applyAlignment="1" pivotButton="0" quotePrefix="0" xfId="0">
      <alignment horizontal="center" vertical="center" wrapText="1"/>
    </xf>
    <xf numFmtId="164" fontId="15" fillId="0" borderId="12" applyAlignment="1" pivotButton="0" quotePrefix="0" xfId="1">
      <alignment horizontal="right" vertical="center" wrapText="1"/>
    </xf>
    <xf numFmtId="167" fontId="13" fillId="10" borderId="12" applyAlignment="1" pivotButton="0" quotePrefix="0" xfId="0">
      <alignment horizontal="left" vertical="center" wrapText="1"/>
    </xf>
    <xf numFmtId="164" fontId="15" fillId="2" borderId="12" applyAlignment="1" pivotButton="0" quotePrefix="0" xfId="1">
      <alignment horizontal="right" vertical="center" wrapText="1"/>
    </xf>
    <xf numFmtId="164" fontId="15" fillId="0" borderId="15" applyAlignment="1" pivotButton="0" quotePrefix="0" xfId="0">
      <alignment horizontal="right" vertical="center" wrapText="1"/>
    </xf>
    <xf numFmtId="164" fontId="20" fillId="2" borderId="12" applyAlignment="1" pivotButton="0" quotePrefix="0" xfId="1">
      <alignment horizontal="right" vertical="center" wrapText="1"/>
    </xf>
    <xf numFmtId="164" fontId="20" fillId="0" borderId="15" applyAlignment="1" pivotButton="0" quotePrefix="0" xfId="0">
      <alignment horizontal="right" vertical="center" wrapText="1"/>
    </xf>
    <xf numFmtId="164" fontId="20" fillId="0" borderId="16" applyAlignment="1" pivotButton="0" quotePrefix="0" xfId="0">
      <alignment horizontal="right" vertical="center" wrapText="1"/>
    </xf>
    <xf numFmtId="164" fontId="20" fillId="0" borderId="16" applyAlignment="1" pivotButton="0" quotePrefix="0" xfId="1">
      <alignment horizontal="right" vertical="center" wrapText="1"/>
    </xf>
    <xf numFmtId="164" fontId="20" fillId="0" borderId="14" applyAlignment="1" pivotButton="0" quotePrefix="0" xfId="1">
      <alignment horizontal="right" vertical="center" wrapText="1"/>
    </xf>
    <xf numFmtId="167" fontId="19" fillId="10" borderId="12" applyAlignment="1" pivotButton="0" quotePrefix="0" xfId="1">
      <alignment horizontal="center" vertical="center" wrapText="1"/>
    </xf>
    <xf numFmtId="167" fontId="19" fillId="10" borderId="12" applyAlignment="1" pivotButton="0" quotePrefix="0" xfId="0">
      <alignment horizontal="left" vertical="center" wrapText="1"/>
    </xf>
    <xf numFmtId="164" fontId="15" fillId="0" borderId="16" applyAlignment="1" pivotButton="0" quotePrefix="0" xfId="0">
      <alignment horizontal="right" vertical="center" wrapText="1"/>
    </xf>
    <xf numFmtId="164" fontId="15" fillId="0" borderId="16" applyAlignment="1" pivotButton="0" quotePrefix="0" xfId="1">
      <alignment horizontal="right" vertical="center" wrapText="1"/>
    </xf>
    <xf numFmtId="164" fontId="15" fillId="0" borderId="14" applyAlignment="1" pivotButton="0" quotePrefix="0" xfId="1">
      <alignment horizontal="right" vertical="center" wrapText="1"/>
    </xf>
    <xf numFmtId="167" fontId="13" fillId="10" borderId="12" applyAlignment="1" pivotButton="0" quotePrefix="0" xfId="1">
      <alignment horizontal="center" vertical="center" wrapText="1"/>
    </xf>
    <xf numFmtId="164" fontId="20" fillId="0" borderId="12" applyAlignment="1" pivotButton="0" quotePrefix="0" xfId="1">
      <alignment horizontal="right" vertical="center" wrapText="1"/>
    </xf>
    <xf numFmtId="164" fontId="22" fillId="2" borderId="12" applyAlignment="1" pivotButton="0" quotePrefix="0" xfId="1">
      <alignment horizontal="right" vertical="center" wrapText="1"/>
    </xf>
    <xf numFmtId="164" fontId="22" fillId="0" borderId="15"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7" fontId="21" fillId="10" borderId="12" applyAlignment="1" pivotButton="0" quotePrefix="0" xfId="1">
      <alignment horizontal="center" vertical="center" wrapText="1"/>
    </xf>
    <xf numFmtId="167" fontId="21" fillId="10" borderId="12" applyAlignment="1" pivotButton="0" quotePrefix="0" xfId="0">
      <alignment horizontal="left" vertical="center" wrapText="1"/>
    </xf>
    <xf numFmtId="164" fontId="24" fillId="2" borderId="12" applyAlignment="1" pivotButton="0" quotePrefix="0" xfId="1">
      <alignment horizontal="right" vertical="center" wrapText="1"/>
    </xf>
    <xf numFmtId="164" fontId="24" fillId="0" borderId="15"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7" fontId="23" fillId="10" borderId="12" applyAlignment="1" pivotButton="0" quotePrefix="0" xfId="1">
      <alignment horizontal="center" vertical="center" wrapText="1"/>
    </xf>
    <xf numFmtId="167" fontId="23" fillId="10" borderId="12" applyAlignment="1" pivotButton="0" quotePrefix="0" xfId="0">
      <alignment horizontal="left" vertical="center" wrapText="1"/>
    </xf>
    <xf numFmtId="164" fontId="24" fillId="0" borderId="9" applyAlignment="1" pivotButton="0" quotePrefix="0" xfId="0">
      <alignment horizontal="right" vertical="center" wrapText="1"/>
    </xf>
    <xf numFmtId="164" fontId="24" fillId="0" borderId="9" applyAlignment="1" pivotButton="0" quotePrefix="0" xfId="1">
      <alignment horizontal="right" vertical="center" wrapText="1"/>
    </xf>
    <xf numFmtId="165" fontId="0" fillId="0" borderId="9" applyAlignment="1" pivotButton="0" quotePrefix="0" xfId="2">
      <alignment horizontal="center" vertical="center" wrapText="1"/>
    </xf>
    <xf numFmtId="164" fontId="11" fillId="0" borderId="9" applyAlignment="1" pivotButton="0" quotePrefix="0" xfId="1">
      <alignment horizontal="center" vertical="center" wrapText="1"/>
    </xf>
    <xf numFmtId="164" fontId="9" fillId="0" borderId="9" applyAlignment="1" pivotButton="0" quotePrefix="0" xfId="1">
      <alignment vertical="center" wrapText="1"/>
    </xf>
    <xf numFmtId="164" fontId="0" fillId="0" borderId="9" applyAlignment="1" pivotButton="0" quotePrefix="0" xfId="1">
      <alignment vertical="center" wrapText="1"/>
    </xf>
    <xf numFmtId="164" fontId="18" fillId="0" borderId="9" applyAlignment="1" pivotButton="0" quotePrefix="0" xfId="0">
      <alignment horizontal="center" vertical="center" wrapText="1"/>
    </xf>
    <xf numFmtId="164" fontId="18" fillId="0" borderId="9" applyAlignment="1" pivotButton="0" quotePrefix="0" xfId="1">
      <alignment vertical="center" wrapText="1"/>
    </xf>
    <xf numFmtId="164" fontId="18" fillId="0" borderId="9" applyAlignment="1" pivotButton="0" quotePrefix="0" xfId="1">
      <alignment horizontal="center" vertical="center" wrapText="1"/>
    </xf>
    <xf numFmtId="164" fontId="11" fillId="0" borderId="0" applyAlignment="1" pivotButton="0" quotePrefix="0" xfId="1">
      <alignment horizontal="center" vertical="center" wrapText="1"/>
    </xf>
    <xf numFmtId="0" fontId="27" fillId="24" borderId="12" applyAlignment="1" pivotButton="0" quotePrefix="0" xfId="0">
      <alignment horizontal="center" vertical="center" wrapText="1"/>
    </xf>
    <xf numFmtId="0" fontId="28" fillId="17" borderId="9" applyAlignment="1" pivotButton="0" quotePrefix="0" xfId="0">
      <alignment horizontal="left" vertical="center" wrapText="1"/>
    </xf>
    <xf numFmtId="0" fontId="28" fillId="17" borderId="9" applyAlignment="1" pivotButton="0" quotePrefix="0" xfId="0">
      <alignment horizontal="center" vertical="center" wrapText="1"/>
    </xf>
    <xf numFmtId="0" fontId="29" fillId="17" borderId="9" applyAlignment="1" pivotButton="0" quotePrefix="0" xfId="0">
      <alignment horizontal="left" vertical="center" wrapText="1"/>
    </xf>
    <xf numFmtId="4" fontId="28" fillId="17" borderId="9" applyAlignment="1" pivotButton="0" quotePrefix="0" xfId="0">
      <alignment horizontal="right" vertical="center" wrapText="1"/>
    </xf>
    <xf numFmtId="0" fontId="28" fillId="0" borderId="9" applyAlignment="1" pivotButton="0" quotePrefix="0" xfId="0">
      <alignment horizontal="center" vertical="center" wrapText="1"/>
    </xf>
    <xf numFmtId="14" fontId="30" fillId="0" borderId="9" applyAlignment="1" pivotButton="0" quotePrefix="0" xfId="0">
      <alignment horizontal="left" vertical="center" wrapText="1"/>
    </xf>
    <xf numFmtId="0" fontId="28" fillId="0" borderId="9" applyAlignment="1" pivotButton="0" quotePrefix="0" xfId="0">
      <alignment horizontal="left" vertical="center" wrapText="1"/>
    </xf>
    <xf numFmtId="4" fontId="28" fillId="0" borderId="9" applyAlignment="1" pivotButton="0" quotePrefix="0" xfId="0">
      <alignment horizontal="right" vertical="center" wrapText="1"/>
    </xf>
    <xf numFmtId="0" fontId="28" fillId="0" borderId="12" applyAlignment="1" pivotButton="0" quotePrefix="0" xfId="0">
      <alignment horizontal="center" vertical="center" wrapText="1"/>
    </xf>
    <xf numFmtId="4" fontId="28" fillId="0" borderId="12" applyAlignment="1" pivotButton="0" quotePrefix="0" xfId="0">
      <alignment horizontal="right" vertical="center" wrapText="1"/>
    </xf>
    <xf numFmtId="0" fontId="28" fillId="12" borderId="9" applyAlignment="1" pivotButton="0" quotePrefix="0" xfId="0">
      <alignment horizontal="left" vertical="center" wrapText="1"/>
    </xf>
    <xf numFmtId="0" fontId="28" fillId="12" borderId="9" applyAlignment="1" pivotButton="0" quotePrefix="0" xfId="0">
      <alignment horizontal="center" vertical="center" wrapText="1"/>
    </xf>
    <xf numFmtId="0" fontId="29" fillId="12" borderId="9" applyAlignment="1" pivotButton="0" quotePrefix="0" xfId="0">
      <alignment horizontal="left" vertical="center" wrapText="1"/>
    </xf>
    <xf numFmtId="4" fontId="28" fillId="12" borderId="9" applyAlignment="1" pivotButton="0" quotePrefix="0" xfId="0">
      <alignment horizontal="right" vertical="center" wrapText="1"/>
    </xf>
    <xf numFmtId="0" fontId="28" fillId="17" borderId="9" applyAlignment="1" pivotButton="0" quotePrefix="0" xfId="0">
      <alignment horizontal="center" vertical="center"/>
    </xf>
    <xf numFmtId="0" fontId="31" fillId="0" borderId="0" applyAlignment="1" pivotButton="0" quotePrefix="0" xfId="0">
      <alignment horizontal="left" vertical="center" wrapText="1"/>
    </xf>
    <xf numFmtId="0" fontId="28" fillId="12" borderId="9" applyAlignment="1" pivotButton="0" quotePrefix="0" xfId="0">
      <alignment horizontal="center" vertical="center"/>
    </xf>
    <xf numFmtId="0" fontId="31" fillId="12" borderId="0" applyAlignment="1" pivotButton="0" quotePrefix="0" xfId="0">
      <alignment horizontal="left" vertical="center" wrapText="1"/>
    </xf>
    <xf numFmtId="0" fontId="28" fillId="17" borderId="9" applyAlignment="1" pivotButton="0" quotePrefix="0" xfId="0">
      <alignment horizontal="left" vertical="top" wrapText="1"/>
    </xf>
    <xf numFmtId="0" fontId="30" fillId="17" borderId="9" applyAlignment="1" pivotButton="0" quotePrefix="0" xfId="0">
      <alignment horizontal="left" vertical="center" wrapText="1"/>
    </xf>
    <xf numFmtId="0" fontId="30" fillId="0" borderId="9" applyAlignment="1" pivotButton="0" quotePrefix="0" xfId="0">
      <alignment horizontal="center" vertical="center" wrapText="1"/>
    </xf>
    <xf numFmtId="0" fontId="30" fillId="0" borderId="9" applyAlignment="1" pivotButton="0" quotePrefix="0" xfId="0">
      <alignment horizontal="left" vertical="center" wrapText="1"/>
    </xf>
    <xf numFmtId="0" fontId="30" fillId="17" borderId="9" applyAlignment="1" pivotButton="0" quotePrefix="0" xfId="0">
      <alignment horizontal="center" vertical="center" wrapText="1"/>
    </xf>
    <xf numFmtId="0" fontId="29" fillId="12" borderId="9" applyAlignment="1" pivotButton="0" quotePrefix="0" xfId="0">
      <alignment horizontal="center" vertical="center" wrapText="1"/>
    </xf>
    <xf numFmtId="0" fontId="28" fillId="0" borderId="9" applyAlignment="1" pivotButton="0" quotePrefix="0" xfId="0">
      <alignment horizontal="center" vertical="center"/>
    </xf>
    <xf numFmtId="0" fontId="29" fillId="17" borderId="9" applyAlignment="1" pivotButton="0" quotePrefix="0" xfId="0">
      <alignment horizontal="center" vertical="center" wrapText="1"/>
    </xf>
    <xf numFmtId="4" fontId="28" fillId="17" borderId="18" applyAlignment="1" pivotButton="0" quotePrefix="0" xfId="0">
      <alignment horizontal="right" vertical="center" wrapText="1"/>
    </xf>
    <xf numFmtId="0" fontId="28" fillId="25" borderId="18" applyAlignment="1" pivotButton="0" quotePrefix="0" xfId="0">
      <alignment horizontal="center" vertical="center" wrapText="1"/>
    </xf>
    <xf numFmtId="0" fontId="26" fillId="0" borderId="0" applyAlignment="1" pivotButton="0" quotePrefix="0" xfId="0">
      <alignment horizontal="center" vertical="center" wrapText="1"/>
    </xf>
    <xf numFmtId="0" fontId="32" fillId="17" borderId="9" applyAlignment="1" pivotButton="0" quotePrefix="0" xfId="0">
      <alignment horizontal="center" vertical="center"/>
    </xf>
    <xf numFmtId="0" fontId="28" fillId="25" borderId="9" applyAlignment="1" pivotButton="0" quotePrefix="0" xfId="0">
      <alignment horizontal="center" vertical="center" wrapText="1"/>
    </xf>
    <xf numFmtId="0" fontId="30" fillId="17" borderId="13" applyAlignment="1" pivotButton="0" quotePrefix="0" xfId="0">
      <alignment horizontal="left" vertical="center" wrapText="1"/>
    </xf>
    <xf numFmtId="4" fontId="30" fillId="17" borderId="9" applyAlignment="1" pivotButton="0" quotePrefix="0" xfId="0">
      <alignment horizontal="right" vertical="center" wrapText="1"/>
    </xf>
    <xf numFmtId="0" fontId="30" fillId="26" borderId="13" applyAlignment="1" pivotButton="0" quotePrefix="0" xfId="0">
      <alignment horizontal="left" vertical="center" wrapText="1"/>
    </xf>
    <xf numFmtId="4" fontId="30" fillId="26" borderId="9" applyAlignment="1" pivotButton="0" quotePrefix="0" xfId="0">
      <alignment horizontal="right" vertical="center" wrapText="1"/>
    </xf>
    <xf numFmtId="0" fontId="30" fillId="12" borderId="13" applyAlignment="1" pivotButton="0" quotePrefix="0" xfId="0">
      <alignment horizontal="left" vertical="center" wrapText="1"/>
    </xf>
    <xf numFmtId="4" fontId="30" fillId="12" borderId="9" applyAlignment="1" pivotButton="0" quotePrefix="0" xfId="0">
      <alignment horizontal="right" vertical="center" wrapText="1"/>
    </xf>
    <xf numFmtId="0" fontId="30" fillId="12" borderId="9" applyAlignment="1" pivotButton="0" quotePrefix="0" xfId="0">
      <alignment horizontal="center" vertical="center" wrapText="1"/>
    </xf>
    <xf numFmtId="0" fontId="26" fillId="12" borderId="0" pivotButton="0" quotePrefix="0" xfId="0"/>
    <xf numFmtId="0" fontId="30" fillId="17" borderId="19" applyAlignment="1" pivotButton="0" quotePrefix="0" xfId="0">
      <alignment horizontal="left" vertical="center" wrapText="1"/>
    </xf>
    <xf numFmtId="0" fontId="26" fillId="17" borderId="9" pivotButton="0" quotePrefix="0" xfId="0"/>
    <xf numFmtId="0" fontId="30" fillId="26" borderId="9" applyAlignment="1" pivotButton="0" quotePrefix="0" xfId="0">
      <alignment horizontal="left" vertical="center" wrapText="1"/>
    </xf>
    <xf numFmtId="0" fontId="30" fillId="12" borderId="9" applyAlignment="1" pivotButton="0" quotePrefix="0" xfId="0">
      <alignment horizontal="left" vertical="center" wrapText="1"/>
    </xf>
    <xf numFmtId="17" fontId="33" fillId="17" borderId="9" applyAlignment="1" pivotButton="0" quotePrefix="0" xfId="0">
      <alignment horizontal="center" vertical="center"/>
    </xf>
    <xf numFmtId="17" fontId="33" fillId="12" borderId="9" applyAlignment="1" pivotButton="0" quotePrefix="0" xfId="0">
      <alignment horizontal="center" vertical="center"/>
    </xf>
    <xf numFmtId="17" fontId="33" fillId="0" borderId="9" applyAlignment="1" pivotButton="0" quotePrefix="0" xfId="0">
      <alignment horizontal="center" vertical="center"/>
    </xf>
    <xf numFmtId="17" fontId="32" fillId="12" borderId="9" applyAlignment="1" pivotButton="0" quotePrefix="0" xfId="0">
      <alignment horizontal="center" vertical="center"/>
    </xf>
    <xf numFmtId="0" fontId="34" fillId="17" borderId="9" applyAlignment="1" pivotButton="0" quotePrefix="0" xfId="0">
      <alignment horizontal="center" vertical="center" wrapText="1"/>
    </xf>
    <xf numFmtId="0" fontId="28" fillId="17" borderId="12" applyAlignment="1" pivotButton="0" quotePrefix="0" xfId="0">
      <alignment horizontal="left" vertical="center" wrapText="1"/>
    </xf>
    <xf numFmtId="0" fontId="28" fillId="17" borderId="12" applyAlignment="1" pivotButton="0" quotePrefix="0" xfId="0">
      <alignment horizontal="center" vertical="center" wrapText="1"/>
    </xf>
    <xf numFmtId="0" fontId="29" fillId="17" borderId="12" applyAlignment="1" pivotButton="0" quotePrefix="0" xfId="0">
      <alignment horizontal="left" vertical="center" wrapText="1"/>
    </xf>
    <xf numFmtId="0" fontId="28" fillId="19" borderId="9" applyAlignment="1" pivotButton="0" quotePrefix="0" xfId="0">
      <alignment horizontal="left" vertical="center" wrapText="1"/>
    </xf>
    <xf numFmtId="0" fontId="28" fillId="19" borderId="9" applyAlignment="1" pivotButton="0" quotePrefix="0" xfId="0">
      <alignment horizontal="center" vertical="center" wrapText="1"/>
    </xf>
    <xf numFmtId="4" fontId="28" fillId="19" borderId="9" applyAlignment="1" pivotButton="0" quotePrefix="0" xfId="0">
      <alignment horizontal="left" vertical="center" wrapText="1"/>
    </xf>
    <xf numFmtId="0" fontId="35" fillId="27" borderId="0" applyAlignment="1" pivotButton="0" quotePrefix="0" xfId="0">
      <alignment horizontal="center" vertical="center" wrapText="1"/>
    </xf>
    <xf numFmtId="3" fontId="0" fillId="0" borderId="0" pivotButton="0" quotePrefix="0" xfId="0"/>
    <xf numFmtId="0" fontId="0" fillId="0" borderId="0" applyAlignment="1" pivotButton="0" quotePrefix="0" xfId="0">
      <alignment horizontal="center"/>
    </xf>
    <xf numFmtId="0" fontId="40" fillId="30" borderId="20" applyAlignment="1" pivotButton="0" quotePrefix="0" xfId="0">
      <alignment horizontal="center" wrapText="1"/>
    </xf>
    <xf numFmtId="0" fontId="0" fillId="0" borderId="20" applyAlignment="1" pivotButton="0" quotePrefix="0" xfId="0">
      <alignment horizontal="center"/>
    </xf>
    <xf numFmtId="0" fontId="41" fillId="0" borderId="20" applyAlignment="1" pivotButton="0" quotePrefix="0" xfId="0">
      <alignment horizontal="center"/>
    </xf>
    <xf numFmtId="0" fontId="41" fillId="0" borderId="20" pivotButton="0" quotePrefix="0" xfId="0"/>
    <xf numFmtId="3" fontId="0" fillId="0" borderId="20" pivotButton="0" quotePrefix="0" xfId="0"/>
    <xf numFmtId="0" fontId="0" fillId="0" borderId="20" applyAlignment="1" pivotButton="0" quotePrefix="0" xfId="0">
      <alignment horizontal="center" vertical="top" wrapText="1"/>
    </xf>
    <xf numFmtId="0" fontId="0" fillId="0" borderId="20" applyAlignment="1" pivotButton="0" quotePrefix="0" xfId="0">
      <alignment vertical="top" wrapText="1"/>
    </xf>
    <xf numFmtId="3" fontId="0" fillId="0" borderId="20" applyAlignment="1" pivotButton="0" quotePrefix="0" xfId="0">
      <alignment horizontal="center" vertical="top" wrapText="1"/>
    </xf>
    <xf numFmtId="14" fontId="0" fillId="0" borderId="20" applyAlignment="1" pivotButton="0" quotePrefix="0" xfId="0">
      <alignment horizontal="center" vertical="top" wrapText="1"/>
    </xf>
    <xf numFmtId="14" fontId="0" fillId="0" borderId="0" pivotButton="0" quotePrefix="0" xfId="0"/>
    <xf numFmtId="0" fontId="0" fillId="0" borderId="20" pivotButton="0" quotePrefix="0" xfId="0"/>
    <xf numFmtId="0" fontId="0" fillId="0" borderId="0" pivotButton="0" quotePrefix="0" xfId="0"/>
    <xf numFmtId="164" fontId="0" fillId="0" borderId="0" pivotButton="0" quotePrefix="0" xfId="1"/>
    <xf numFmtId="165" fontId="0" fillId="0" borderId="0" applyAlignment="1" pivotButton="0" quotePrefix="0" xfId="2">
      <alignment horizontal="center"/>
    </xf>
    <xf numFmtId="0" fontId="43" fillId="0" borderId="0" pivotButton="0" quotePrefix="0" xfId="0"/>
    <xf numFmtId="0" fontId="44" fillId="32" borderId="25" applyAlignment="1" pivotButton="0" quotePrefix="0" xfId="0">
      <alignment horizontal="center"/>
    </xf>
    <xf numFmtId="0" fontId="0" fillId="0" borderId="25" pivotButton="0" quotePrefix="0" xfId="0"/>
    <xf numFmtId="0" fontId="46" fillId="34" borderId="25" applyAlignment="1" pivotButton="0" quotePrefix="0" xfId="0">
      <alignment horizontal="center" wrapText="1"/>
    </xf>
    <xf numFmtId="0" fontId="0" fillId="0" borderId="25" applyAlignment="1" pivotButton="0" quotePrefix="0" xfId="0">
      <alignment horizontal="center"/>
    </xf>
    <xf numFmtId="3" fontId="0" fillId="0" borderId="25" pivotButton="0" quotePrefix="0" xfId="0"/>
    <xf numFmtId="0" fontId="47" fillId="0" borderId="25" pivotButton="0" quotePrefix="0" xfId="0"/>
    <xf numFmtId="0" fontId="47" fillId="0" borderId="25" applyAlignment="1" pivotButton="0" quotePrefix="0" xfId="0">
      <alignment horizontal="center"/>
    </xf>
    <xf numFmtId="3" fontId="47" fillId="0" borderId="25" applyAlignment="1" pivotButton="0" quotePrefix="0" xfId="0">
      <alignment horizontal="center"/>
    </xf>
    <xf numFmtId="168" fontId="0" fillId="0" borderId="20" applyAlignment="1" pivotButton="0" quotePrefix="0" xfId="0">
      <alignment horizontal="center"/>
    </xf>
    <xf numFmtId="169" fontId="5" fillId="3" borderId="4" applyAlignment="1" pivotButton="0" quotePrefix="0" xfId="1">
      <alignment horizontal="center"/>
    </xf>
    <xf numFmtId="169" fontId="5" fillId="6" borderId="3" applyAlignment="1" pivotButton="0" quotePrefix="0" xfId="1">
      <alignment horizontal="center"/>
    </xf>
    <xf numFmtId="169" fontId="5" fillId="3" borderId="3" applyAlignment="1" pivotButton="0" quotePrefix="0" xfId="1">
      <alignment horizontal="center"/>
    </xf>
    <xf numFmtId="170" fontId="18" fillId="0" borderId="0" applyAlignment="1" pivotButton="0" quotePrefix="0" xfId="0">
      <alignment horizontal="center" vertical="center" wrapText="1"/>
    </xf>
    <xf numFmtId="169" fontId="0" fillId="0" borderId="0" applyAlignment="1" pivotButton="0" quotePrefix="0" xfId="1">
      <alignment horizontal="center" vertical="center" wrapText="1"/>
    </xf>
    <xf numFmtId="171" fontId="0" fillId="0" borderId="0" applyAlignment="1" pivotButton="0" quotePrefix="0" xfId="1">
      <alignment vertical="center" wrapText="1"/>
    </xf>
    <xf numFmtId="171" fontId="9" fillId="0" borderId="0" applyAlignment="1" pivotButton="0" quotePrefix="0" xfId="1">
      <alignment vertical="center" wrapText="1"/>
    </xf>
    <xf numFmtId="169" fontId="0" fillId="0" borderId="0" applyAlignment="1" pivotButton="0" quotePrefix="0" xfId="1">
      <alignment vertical="center" wrapText="1"/>
    </xf>
    <xf numFmtId="169" fontId="0" fillId="0" borderId="0" applyAlignment="1" pivotButton="0" quotePrefix="0" xfId="1">
      <alignment wrapText="1"/>
    </xf>
    <xf numFmtId="170" fontId="17" fillId="22" borderId="9" applyAlignment="1" pivotButton="0" quotePrefix="0" xfId="1">
      <alignment horizontal="center" vertical="center" wrapText="1"/>
    </xf>
    <xf numFmtId="169" fontId="17" fillId="22" borderId="10" applyAlignment="1" pivotButton="0" quotePrefix="0" xfId="1">
      <alignment horizontal="center" vertical="center" wrapText="1"/>
    </xf>
    <xf numFmtId="171" fontId="17" fillId="22" borderId="9" applyAlignment="1" pivotButton="0" quotePrefix="0" xfId="1">
      <alignment horizontal="center" vertical="center" wrapText="1"/>
    </xf>
    <xf numFmtId="169" fontId="15" fillId="2" borderId="9" applyAlignment="1" pivotButton="0" quotePrefix="0" xfId="1">
      <alignment horizontal="left" vertical="center" wrapText="1"/>
    </xf>
    <xf numFmtId="170" fontId="15" fillId="0" borderId="9" applyAlignment="1" pivotButton="0" quotePrefix="0" xfId="0">
      <alignment horizontal="right" vertical="center" wrapText="1"/>
    </xf>
    <xf numFmtId="169" fontId="13" fillId="0" borderId="9" applyAlignment="1" pivotButton="0" quotePrefix="0" xfId="1">
      <alignment horizontal="center" vertical="center" wrapText="1"/>
    </xf>
    <xf numFmtId="172" fontId="13" fillId="0" borderId="0" applyAlignment="1" pivotButton="0" quotePrefix="0" xfId="0">
      <alignment horizontal="right" vertical="center" wrapText="1"/>
    </xf>
    <xf numFmtId="172" fontId="13" fillId="0" borderId="0" applyAlignment="1" pivotButton="0" quotePrefix="0" xfId="1">
      <alignment horizontal="right" vertical="center" wrapText="1"/>
    </xf>
    <xf numFmtId="172" fontId="13" fillId="0" borderId="0" applyAlignment="1" pivotButton="0" quotePrefix="0" xfId="2">
      <alignment horizontal="right" vertical="center" wrapText="1"/>
    </xf>
    <xf numFmtId="171" fontId="11" fillId="0" borderId="0" applyAlignment="1" pivotButton="0" quotePrefix="0" xfId="1">
      <alignment horizontal="center" vertical="center" wrapText="1"/>
    </xf>
    <xf numFmtId="171" fontId="10" fillId="0" borderId="0" applyAlignment="1" pivotButton="0" quotePrefix="0" xfId="1">
      <alignment horizontal="center" vertical="center" wrapText="1"/>
    </xf>
    <xf numFmtId="169" fontId="10" fillId="0" borderId="0" applyAlignment="1" pivotButton="0" quotePrefix="0" xfId="1">
      <alignment horizontal="center" vertical="center" wrapText="1"/>
    </xf>
    <xf numFmtId="169" fontId="15" fillId="0" borderId="9" applyAlignment="1" pivotButton="0" quotePrefix="0" xfId="1">
      <alignment horizontal="left" vertical="center" wrapText="1"/>
    </xf>
    <xf numFmtId="171" fontId="11" fillId="0" borderId="0" applyAlignment="1" pivotButton="0" quotePrefix="0" xfId="1">
      <alignment vertical="center" wrapText="1"/>
    </xf>
    <xf numFmtId="171" fontId="10" fillId="0" borderId="0" applyAlignment="1" pivotButton="0" quotePrefix="0" xfId="1">
      <alignment vertical="center" wrapText="1"/>
    </xf>
    <xf numFmtId="169" fontId="10" fillId="0" borderId="0" applyAlignment="1" pivotButton="0" quotePrefix="0" xfId="1">
      <alignment vertical="center" wrapText="1"/>
    </xf>
    <xf numFmtId="169" fontId="10" fillId="0" borderId="0" applyAlignment="1" pivotButton="0" quotePrefix="0" xfId="1">
      <alignment wrapText="1"/>
    </xf>
    <xf numFmtId="169" fontId="15" fillId="9" borderId="9" applyAlignment="1" pivotButton="0" quotePrefix="0" xfId="1">
      <alignment horizontal="left" vertical="center" wrapText="1"/>
    </xf>
    <xf numFmtId="169" fontId="15" fillId="2" borderId="9" applyAlignment="1" pivotButton="0" quotePrefix="0" xfId="1">
      <alignment horizontal="center" vertical="center" wrapText="1"/>
    </xf>
    <xf numFmtId="170" fontId="15" fillId="2" borderId="9" applyAlignment="1" pivotButton="0" quotePrefix="0" xfId="1">
      <alignment horizontal="right" vertical="center" wrapText="1"/>
    </xf>
    <xf numFmtId="170" fontId="15" fillId="19" borderId="9" applyAlignment="1" pivotButton="0" quotePrefix="0" xfId="0">
      <alignment horizontal="right" vertical="center" wrapText="1"/>
    </xf>
    <xf numFmtId="169" fontId="13" fillId="19" borderId="9" applyAlignment="1" pivotButton="0" quotePrefix="0" xfId="1">
      <alignment horizontal="center" vertical="center" wrapText="1"/>
    </xf>
    <xf numFmtId="171" fontId="9" fillId="19" borderId="0" applyAlignment="1" pivotButton="0" quotePrefix="0" xfId="1">
      <alignment vertical="center" wrapText="1"/>
    </xf>
    <xf numFmtId="171" fontId="0" fillId="19" borderId="0" applyAlignment="1" pivotButton="0" quotePrefix="0" xfId="1">
      <alignment vertical="center" wrapText="1"/>
    </xf>
    <xf numFmtId="169" fontId="0" fillId="19" borderId="0" applyAlignment="1" pivotButton="0" quotePrefix="0" xfId="1">
      <alignment vertical="center" wrapText="1"/>
    </xf>
    <xf numFmtId="169" fontId="0" fillId="19" borderId="0" applyAlignment="1" pivotButton="0" quotePrefix="0" xfId="1">
      <alignment wrapText="1"/>
    </xf>
    <xf numFmtId="170" fontId="15" fillId="0" borderId="9" applyAlignment="1" pivotButton="0" quotePrefix="0" xfId="1">
      <alignment horizontal="right" vertical="center" wrapText="1"/>
    </xf>
    <xf numFmtId="169" fontId="13" fillId="0" borderId="12" applyAlignment="1" pivotButton="0" quotePrefix="0" xfId="1">
      <alignment horizontal="center" vertical="center" wrapText="1"/>
    </xf>
    <xf numFmtId="170" fontId="15" fillId="2" borderId="9" applyAlignment="1" pivotButton="0" quotePrefix="0" xfId="0">
      <alignment horizontal="right" vertical="center" wrapText="1"/>
    </xf>
    <xf numFmtId="171" fontId="15" fillId="0" borderId="0" applyAlignment="1" pivotButton="0" quotePrefix="0" xfId="1">
      <alignment vertical="center" wrapText="1"/>
    </xf>
    <xf numFmtId="169" fontId="13" fillId="0" borderId="0" applyAlignment="1" pivotButton="0" quotePrefix="0" xfId="1">
      <alignment horizontal="center" vertical="center" wrapText="1"/>
    </xf>
    <xf numFmtId="170" fontId="15" fillId="0" borderId="12" applyAlignment="1" pivotButton="0" quotePrefix="0" xfId="0">
      <alignment horizontal="right" vertical="center" wrapText="1"/>
    </xf>
    <xf numFmtId="171" fontId="15" fillId="0" borderId="9" applyAlignment="1" pivotButton="0" quotePrefix="0" xfId="1">
      <alignment vertical="center" wrapText="1"/>
    </xf>
    <xf numFmtId="172" fontId="13" fillId="0" borderId="9" applyAlignment="1" pivotButton="0" quotePrefix="0" xfId="1">
      <alignment horizontal="right" vertical="center" wrapText="1"/>
    </xf>
    <xf numFmtId="172" fontId="13" fillId="0" borderId="9" applyAlignment="1" pivotButton="0" quotePrefix="0" xfId="0">
      <alignment horizontal="right" vertical="center" wrapText="1"/>
    </xf>
    <xf numFmtId="171" fontId="15" fillId="0" borderId="12" applyAlignment="1" pivotButton="0" quotePrefix="0" xfId="1">
      <alignment vertical="center" wrapText="1"/>
    </xf>
    <xf numFmtId="172" fontId="13" fillId="0" borderId="12" applyAlignment="1" pivotButton="0" quotePrefix="0" xfId="1">
      <alignment horizontal="right" vertical="center" wrapText="1"/>
    </xf>
    <xf numFmtId="172" fontId="13" fillId="0" borderId="12" applyAlignment="1" pivotButton="0" quotePrefix="0" xfId="0">
      <alignment horizontal="right" vertical="center" wrapText="1"/>
    </xf>
    <xf numFmtId="169" fontId="13" fillId="0" borderId="14" applyAlignment="1" pivotButton="0" quotePrefix="0" xfId="1">
      <alignment horizontal="center" vertical="center" wrapText="1"/>
    </xf>
    <xf numFmtId="170" fontId="20" fillId="0" borderId="16" applyAlignment="1" pivotButton="0" quotePrefix="0" xfId="0">
      <alignment horizontal="right" vertical="center" wrapText="1"/>
    </xf>
    <xf numFmtId="169" fontId="19" fillId="0" borderId="14" applyAlignment="1" pivotButton="0" quotePrefix="0" xfId="1">
      <alignment horizontal="center" vertical="center" wrapText="1"/>
    </xf>
    <xf numFmtId="171" fontId="20" fillId="0" borderId="12" applyAlignment="1" pivotButton="0" quotePrefix="0" xfId="1">
      <alignment vertical="center" wrapText="1"/>
    </xf>
    <xf numFmtId="172" fontId="19" fillId="0" borderId="12" applyAlignment="1" pivotButton="0" quotePrefix="0" xfId="1">
      <alignment horizontal="right" vertical="center" wrapText="1"/>
    </xf>
    <xf numFmtId="172" fontId="19" fillId="0" borderId="12" applyAlignment="1" pivotButton="0" quotePrefix="0" xfId="2">
      <alignment horizontal="right" vertical="center" wrapText="1"/>
    </xf>
    <xf numFmtId="171" fontId="9" fillId="0" borderId="9" applyAlignment="1" pivotButton="0" quotePrefix="0" xfId="1">
      <alignment vertical="center" wrapText="1"/>
    </xf>
    <xf numFmtId="171" fontId="0" fillId="0" borderId="9" applyAlignment="1" pivotButton="0" quotePrefix="0" xfId="1">
      <alignment vertical="center" wrapText="1"/>
    </xf>
    <xf numFmtId="169" fontId="0" fillId="0" borderId="9" applyAlignment="1" pivotButton="0" quotePrefix="0" xfId="1">
      <alignment vertical="center" wrapText="1"/>
    </xf>
    <xf numFmtId="169" fontId="0" fillId="0" borderId="9" applyAlignment="1" pivotButton="0" quotePrefix="0" xfId="1">
      <alignment wrapText="1"/>
    </xf>
    <xf numFmtId="170" fontId="15" fillId="0" borderId="16" applyAlignment="1" pivotButton="0" quotePrefix="0" xfId="0">
      <alignment horizontal="right" vertical="center" wrapText="1"/>
    </xf>
    <xf numFmtId="172" fontId="13" fillId="0" borderId="12" applyAlignment="1" pivotButton="0" quotePrefix="0" xfId="2">
      <alignment horizontal="right" vertical="center" wrapText="1"/>
    </xf>
    <xf numFmtId="170" fontId="22" fillId="0" borderId="16" applyAlignment="1" pivotButton="0" quotePrefix="0" xfId="0">
      <alignment horizontal="right" vertical="center" wrapText="1"/>
    </xf>
    <xf numFmtId="169" fontId="21" fillId="0" borderId="14" applyAlignment="1" pivotButton="0" quotePrefix="0" xfId="1">
      <alignment horizontal="center" vertical="center" wrapText="1"/>
    </xf>
    <xf numFmtId="171" fontId="22" fillId="0" borderId="12" applyAlignment="1" pivotButton="0" quotePrefix="0" xfId="1">
      <alignment vertical="center" wrapText="1"/>
    </xf>
    <xf numFmtId="172" fontId="21" fillId="0" borderId="12" applyAlignment="1" pivotButton="0" quotePrefix="0" xfId="1">
      <alignment horizontal="right" vertical="center" wrapText="1"/>
    </xf>
    <xf numFmtId="172" fontId="21" fillId="0" borderId="12" applyAlignment="1" pivotButton="0" quotePrefix="0" xfId="2">
      <alignment horizontal="right" vertical="center" wrapText="1"/>
    </xf>
    <xf numFmtId="170" fontId="24" fillId="0" borderId="16" applyAlignment="1" pivotButton="0" quotePrefix="0" xfId="0">
      <alignment horizontal="right" vertical="center" wrapText="1"/>
    </xf>
    <xf numFmtId="169" fontId="23" fillId="0" borderId="14" applyAlignment="1" pivotButton="0" quotePrefix="0" xfId="1">
      <alignment horizontal="center" vertical="center" wrapText="1"/>
    </xf>
    <xf numFmtId="171" fontId="24" fillId="0" borderId="12" applyAlignment="1" pivotButton="0" quotePrefix="0" xfId="1">
      <alignment vertical="center" wrapText="1"/>
    </xf>
    <xf numFmtId="172" fontId="23" fillId="0" borderId="12" applyAlignment="1" pivotButton="0" quotePrefix="0" xfId="1">
      <alignment horizontal="right" vertical="center" wrapText="1"/>
    </xf>
    <xf numFmtId="172" fontId="23" fillId="0" borderId="12" applyAlignment="1" pivotButton="0" quotePrefix="0" xfId="2">
      <alignment horizontal="right" vertical="center" wrapText="1"/>
    </xf>
    <xf numFmtId="169" fontId="23" fillId="0" borderId="9" applyAlignment="1" pivotButton="0" quotePrefix="0" xfId="1">
      <alignment horizontal="center" vertical="center" wrapText="1"/>
    </xf>
    <xf numFmtId="169" fontId="0" fillId="0" borderId="9" applyAlignment="1" pivotButton="0" quotePrefix="0" xfId="1">
      <alignment horizontal="center" vertical="center" wrapText="1"/>
    </xf>
    <xf numFmtId="173" fontId="23" fillId="0" borderId="9" applyAlignment="1" pivotButton="0" quotePrefix="0" xfId="1">
      <alignment horizontal="center" vertical="center" wrapText="1"/>
    </xf>
    <xf numFmtId="170" fontId="18" fillId="0" borderId="9" applyAlignment="1" pivotButton="0" quotePrefix="0" xfId="0">
      <alignment horizontal="center" vertical="center" wrapText="1"/>
    </xf>
    <xf numFmtId="173" fontId="28" fillId="17" borderId="9" applyAlignment="1" pivotButton="0" quotePrefix="0" xfId="0">
      <alignment horizontal="right" vertical="center"/>
    </xf>
    <xf numFmtId="173" fontId="28" fillId="17" borderId="9" applyAlignment="1" pivotButton="0" quotePrefix="0" xfId="0">
      <alignment horizontal="right" vertical="center" wrapText="1"/>
    </xf>
    <xf numFmtId="173" fontId="28" fillId="17" borderId="9" applyAlignment="1" pivotButton="0" quotePrefix="0" xfId="0">
      <alignment horizontal="left" vertical="center" wrapText="1"/>
    </xf>
    <xf numFmtId="173" fontId="28" fillId="12" borderId="9" applyAlignment="1" pivotButton="0" quotePrefix="0" xfId="0">
      <alignment horizontal="left" vertical="center" wrapText="1"/>
    </xf>
    <xf numFmtId="173" fontId="30" fillId="17" borderId="9" applyAlignment="1" pivotButton="0" quotePrefix="0" xfId="0">
      <alignment horizontal="left" vertical="center" wrapText="1"/>
    </xf>
    <xf numFmtId="173" fontId="26" fillId="12" borderId="0" applyAlignment="1" pivotButton="0" quotePrefix="0" xfId="0">
      <alignment vertical="center"/>
    </xf>
    <xf numFmtId="173" fontId="28" fillId="12" borderId="9" applyAlignment="1" pivotButton="0" quotePrefix="0" xfId="0">
      <alignment horizontal="right" vertical="center" wrapText="1"/>
    </xf>
    <xf numFmtId="173" fontId="28" fillId="0" borderId="9" applyAlignment="1" pivotButton="0" quotePrefix="0" xfId="0">
      <alignment horizontal="right" vertical="center" wrapText="1"/>
    </xf>
    <xf numFmtId="173" fontId="28" fillId="17" borderId="9" applyAlignment="1" pivotButton="0" quotePrefix="0" xfId="0">
      <alignment vertical="center" wrapText="1"/>
    </xf>
    <xf numFmtId="173" fontId="28" fillId="17" borderId="12" applyAlignment="1" pivotButton="0" quotePrefix="0" xfId="0">
      <alignment vertical="center" wrapText="1"/>
    </xf>
    <xf numFmtId="0" fontId="0" fillId="0" borderId="25" applyAlignment="1" pivotButton="0" quotePrefix="0" xfId="0">
      <alignment vertical="top" wrapText="1"/>
    </xf>
    <xf numFmtId="0" fontId="0" fillId="0" borderId="25" applyAlignment="1" pivotButton="0" quotePrefix="0" xfId="0">
      <alignment horizontal="center" vertical="top" wrapText="1"/>
    </xf>
    <xf numFmtId="3" fontId="0" fillId="0" borderId="25" applyAlignment="1" pivotButton="0" quotePrefix="0" xfId="0">
      <alignment horizontal="center" vertical="top" wrapText="1"/>
    </xf>
    <xf numFmtId="14" fontId="0" fillId="0" borderId="25" applyAlignment="1" pivotButton="0" quotePrefix="0" xfId="0">
      <alignment horizontal="center" vertical="top" wrapText="1"/>
    </xf>
    <xf numFmtId="0" fontId="48" fillId="31" borderId="0" applyAlignment="1" pivotButton="0" quotePrefix="0" xfId="0">
      <alignment horizontal="center" vertical="center" wrapText="1"/>
    </xf>
    <xf numFmtId="0" fontId="46" fillId="35" borderId="25" applyAlignment="1" pivotButton="0" quotePrefix="0" xfId="0">
      <alignment horizontal="center" vertical="center"/>
    </xf>
    <xf numFmtId="0" fontId="0" fillId="0" borderId="25" pivotButton="0" quotePrefix="0" xfId="0"/>
    <xf numFmtId="0" fontId="45" fillId="33" borderId="0" applyAlignment="1" pivotButton="0" quotePrefix="0" xfId="0">
      <alignment horizontal="center" vertical="center"/>
    </xf>
    <xf numFmtId="0" fontId="0" fillId="0" borderId="0" pivotButton="0" quotePrefix="0" xfId="0"/>
    <xf numFmtId="0" fontId="46" fillId="34" borderId="25" applyAlignment="1" pivotButton="0" quotePrefix="0" xfId="0">
      <alignment horizontal="center" vertical="center" wrapText="1"/>
    </xf>
    <xf numFmtId="0" fontId="42" fillId="31" borderId="0" applyAlignment="1" pivotButton="0" quotePrefix="0" xfId="0">
      <alignment horizontal="center" vertical="center"/>
    </xf>
    <xf numFmtId="0" fontId="39" fillId="29" borderId="0" applyAlignment="1" pivotButton="0" quotePrefix="0" xfId="0">
      <alignment horizontal="center" vertical="center"/>
    </xf>
    <xf numFmtId="0" fontId="37" fillId="28" borderId="20" applyAlignment="1" pivotButton="0" quotePrefix="0" xfId="0">
      <alignment horizontal="center" vertical="center" wrapText="1"/>
    </xf>
    <xf numFmtId="0" fontId="0" fillId="0" borderId="22" pivotButton="0" quotePrefix="0" xfId="0"/>
    <xf numFmtId="1" fontId="38" fillId="28" borderId="20" applyAlignment="1" pivotButton="0" quotePrefix="0" xfId="0">
      <alignment horizontal="center" vertical="center"/>
    </xf>
    <xf numFmtId="0" fontId="0" fillId="0" borderId="21" pivotButton="0" quotePrefix="0" xfId="0"/>
    <xf numFmtId="0" fontId="0" fillId="0" borderId="23" pivotButton="0" quotePrefix="0" xfId="0"/>
    <xf numFmtId="0" fontId="0" fillId="0" borderId="24" pivotButton="0" quotePrefix="0" xfId="0"/>
    <xf numFmtId="168" fontId="38" fillId="28" borderId="20" applyAlignment="1" pivotButton="0" quotePrefix="0" xfId="0">
      <alignment horizontal="center" vertical="center"/>
    </xf>
    <xf numFmtId="3" fontId="38" fillId="28" borderId="20" applyAlignment="1" pivotButton="0" quotePrefix="0" xfId="0">
      <alignment horizontal="center" vertical="center"/>
    </xf>
    <xf numFmtId="0" fontId="36" fillId="27" borderId="0" applyAlignment="1" pivotButton="0" quotePrefix="0" xfId="0">
      <alignment horizontal="center" vertical="center"/>
    </xf>
    <xf numFmtId="171" fontId="8" fillId="7" borderId="6" applyAlignment="1" pivotButton="0" quotePrefix="0" xfId="1">
      <alignment horizontal="left" vertical="center" wrapText="1"/>
    </xf>
    <xf numFmtId="164" fontId="0" fillId="0" borderId="0" pivotButton="0" quotePrefix="0" xfId="1"/>
    <xf numFmtId="165" fontId="0" fillId="0" borderId="0" applyAlignment="1" pivotButton="0" quotePrefix="0" xfId="2">
      <alignment horizontal="center"/>
    </xf>
    <xf numFmtId="0" fontId="26" fillId="23" borderId="17" applyAlignment="1" pivotButton="0" quotePrefix="0" xfId="0">
      <alignment horizontal="center"/>
    </xf>
    <xf numFmtId="0" fontId="0" fillId="0" borderId="17" pivotButton="0" quotePrefix="0" xfId="0"/>
    <xf numFmtId="0" fontId="25" fillId="23" borderId="0" applyAlignment="1" pivotButton="0" quotePrefix="0" xfId="0">
      <alignment horizontal="center"/>
    </xf>
    <xf numFmtId="0" fontId="0" fillId="0" borderId="27" pivotButton="0" quotePrefix="0" xfId="0"/>
    <xf numFmtId="0" fontId="0" fillId="0" borderId="30" pivotButton="0" quotePrefix="0" xfId="0"/>
    <xf numFmtId="164" fontId="0" fillId="0" borderId="0" pivotButton="0" quotePrefix="0" xfId="1"/>
    <xf numFmtId="165" fontId="0" fillId="0" borderId="0" applyAlignment="1" pivotButton="0" quotePrefix="0" xfId="2">
      <alignment horizontal="center"/>
    </xf>
    <xf numFmtId="164" fontId="4" fillId="2" borderId="0" pivotButton="0" quotePrefix="0" xfId="1"/>
    <xf numFmtId="165" fontId="4" fillId="2" borderId="0" applyAlignment="1" pivotButton="0" quotePrefix="0" xfId="2">
      <alignment horizontal="center"/>
    </xf>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164" fontId="7" fillId="5" borderId="3" pivotButton="0" quotePrefix="0" xfId="1"/>
    <xf numFmtId="165" fontId="7" fillId="5" borderId="3" applyAlignment="1" pivotButton="0" quotePrefix="0" xfId="2">
      <alignment horizontal="center"/>
    </xf>
    <xf numFmtId="169" fontId="5" fillId="3" borderId="4" applyAlignment="1" pivotButton="0" quotePrefix="0" xfId="1">
      <alignment horizontal="center"/>
    </xf>
    <xf numFmtId="169" fontId="5" fillId="6" borderId="3" applyAlignment="1" pivotButton="0" quotePrefix="0" xfId="1">
      <alignment horizontal="center"/>
    </xf>
    <xf numFmtId="169" fontId="5" fillId="3" borderId="3" applyAlignment="1" pivotButton="0" quotePrefix="0" xfId="1">
      <alignment horizontal="center"/>
    </xf>
    <xf numFmtId="164" fontId="7" fillId="2" borderId="3" pivotButton="0" quotePrefix="0" xfId="1"/>
    <xf numFmtId="165" fontId="7" fillId="2" borderId="3" applyAlignment="1" pivotButton="0" quotePrefix="0" xfId="2">
      <alignment horizontal="center"/>
    </xf>
    <xf numFmtId="164" fontId="5" fillId="4" borderId="4" pivotButton="0" quotePrefix="0" xfId="1"/>
    <xf numFmtId="164" fontId="5" fillId="3" borderId="5" pivotButton="0" quotePrefix="0" xfId="1"/>
    <xf numFmtId="164" fontId="5" fillId="4" borderId="5" pivotButton="0" quotePrefix="0" xfId="1"/>
    <xf numFmtId="171" fontId="8" fillId="7" borderId="6" applyAlignment="1" pivotButton="0" quotePrefix="0" xfId="1">
      <alignment horizontal="left" vertical="center" wrapText="1"/>
    </xf>
    <xf numFmtId="164" fontId="0" fillId="0" borderId="0" applyAlignment="1" pivotButton="0" quotePrefix="0" xfId="0">
      <alignment horizontal="left" vertical="center" wrapText="1"/>
    </xf>
    <xf numFmtId="164" fontId="9" fillId="0" borderId="0" applyAlignment="1" pivotButton="0" quotePrefix="0" xfId="1">
      <alignment vertical="center" wrapText="1"/>
    </xf>
    <xf numFmtId="164" fontId="0" fillId="0" borderId="0" applyAlignment="1" pivotButton="0" quotePrefix="0" xfId="1">
      <alignment vertical="center" wrapText="1"/>
    </xf>
    <xf numFmtId="164" fontId="18" fillId="0" borderId="0" applyAlignment="1" pivotButton="0" quotePrefix="0" xfId="0">
      <alignment horizontal="center" vertical="center" wrapText="1"/>
    </xf>
    <xf numFmtId="170" fontId="18" fillId="0" borderId="0" applyAlignment="1" pivotButton="0" quotePrefix="0" xfId="0">
      <alignment horizontal="center" vertical="center" wrapText="1"/>
    </xf>
    <xf numFmtId="164" fontId="18" fillId="0" borderId="0" applyAlignment="1" pivotButton="0" quotePrefix="0" xfId="1">
      <alignment vertical="center" wrapText="1"/>
    </xf>
    <xf numFmtId="164" fontId="18" fillId="0" borderId="0" applyAlignment="1" pivotButton="0" quotePrefix="0" xfId="1">
      <alignment horizontal="center" vertical="center" wrapText="1"/>
    </xf>
    <xf numFmtId="169" fontId="0" fillId="0" borderId="0" applyAlignment="1" pivotButton="0" quotePrefix="0" xfId="1">
      <alignment horizontal="center" vertical="center" wrapText="1"/>
    </xf>
    <xf numFmtId="171" fontId="0" fillId="0" borderId="0" applyAlignment="1" pivotButton="0" quotePrefix="0" xfId="1">
      <alignment vertical="center" wrapText="1"/>
    </xf>
    <xf numFmtId="165" fontId="0" fillId="0" borderId="0" applyAlignment="1" pivotButton="0" quotePrefix="0" xfId="2">
      <alignment horizontal="center" vertical="center" wrapText="1"/>
    </xf>
    <xf numFmtId="171" fontId="9" fillId="0" borderId="0" applyAlignment="1" pivotButton="0" quotePrefix="0" xfId="1">
      <alignment vertical="center" wrapText="1"/>
    </xf>
    <xf numFmtId="169" fontId="0" fillId="0" borderId="0" applyAlignment="1" pivotButton="0" quotePrefix="0" xfId="1">
      <alignment vertical="center" wrapText="1"/>
    </xf>
    <xf numFmtId="169" fontId="0" fillId="0" borderId="0" applyAlignment="1" pivotButton="0" quotePrefix="0" xfId="1">
      <alignment wrapText="1"/>
    </xf>
    <xf numFmtId="164" fontId="17" fillId="22" borderId="9" applyAlignment="1" pivotButton="0" quotePrefix="0" xfId="1">
      <alignment horizontal="center" vertical="center" wrapText="1"/>
    </xf>
    <xf numFmtId="170" fontId="17" fillId="22" borderId="9" applyAlignment="1" pivotButton="0" quotePrefix="0" xfId="1">
      <alignment horizontal="center" vertical="center" wrapText="1"/>
    </xf>
    <xf numFmtId="169" fontId="17" fillId="22" borderId="10" applyAlignment="1" pivotButton="0" quotePrefix="0" xfId="1">
      <alignment horizontal="center" vertical="center" wrapText="1"/>
    </xf>
    <xf numFmtId="165" fontId="17" fillId="22" borderId="11" applyAlignment="1" pivotButton="0" quotePrefix="0" xfId="2">
      <alignment horizontal="center" vertical="center" wrapText="1"/>
    </xf>
    <xf numFmtId="171" fontId="17" fillId="22" borderId="9" applyAlignment="1" pivotButton="0" quotePrefix="0" xfId="1">
      <alignment horizontal="center" vertical="center" wrapText="1"/>
    </xf>
    <xf numFmtId="169" fontId="15" fillId="2" borderId="9" applyAlignment="1" pivotButton="0" quotePrefix="0" xfId="1">
      <alignment horizontal="left" vertical="center" wrapText="1"/>
    </xf>
    <xf numFmtId="164" fontId="15" fillId="2" borderId="9" applyAlignment="1" pivotButton="0" quotePrefix="0" xfId="1">
      <alignment horizontal="right" vertical="center" wrapText="1"/>
    </xf>
    <xf numFmtId="164" fontId="15" fillId="0" borderId="9" applyAlignment="1" pivotButton="0" quotePrefix="0" xfId="0">
      <alignment horizontal="right" vertical="center" wrapText="1"/>
    </xf>
    <xf numFmtId="170" fontId="15" fillId="0" borderId="9" applyAlignment="1" pivotButton="0" quotePrefix="0" xfId="0">
      <alignment horizontal="right" vertical="center" wrapText="1"/>
    </xf>
    <xf numFmtId="169" fontId="13" fillId="0" borderId="9" applyAlignment="1" pivotButton="0" quotePrefix="0" xfId="1">
      <alignment horizontal="center" vertical="center" wrapText="1"/>
    </xf>
    <xf numFmtId="172" fontId="13" fillId="0" borderId="0" applyAlignment="1" pivotButton="0" quotePrefix="0" xfId="0">
      <alignment horizontal="right" vertical="center" wrapText="1"/>
    </xf>
    <xf numFmtId="172" fontId="13" fillId="0" borderId="0" applyAlignment="1" pivotButton="0" quotePrefix="0" xfId="1">
      <alignment horizontal="right" vertical="center" wrapText="1"/>
    </xf>
    <xf numFmtId="172" fontId="13" fillId="0" borderId="0" applyAlignment="1" pivotButton="0" quotePrefix="0" xfId="2">
      <alignment horizontal="right" vertical="center" wrapText="1"/>
    </xf>
    <xf numFmtId="167" fontId="13" fillId="9" borderId="9" applyAlignment="1" pivotButton="0" quotePrefix="0" xfId="0">
      <alignment horizontal="left" vertical="center" wrapText="1"/>
    </xf>
    <xf numFmtId="171" fontId="11" fillId="0" borderId="0" applyAlignment="1" pivotButton="0" quotePrefix="0" xfId="1">
      <alignment horizontal="center" vertical="center" wrapText="1"/>
    </xf>
    <xf numFmtId="171" fontId="10" fillId="0" borderId="0" applyAlignment="1" pivotButton="0" quotePrefix="0" xfId="1">
      <alignment horizontal="center" vertical="center" wrapText="1"/>
    </xf>
    <xf numFmtId="169" fontId="10" fillId="0" borderId="0" applyAlignment="1" pivotButton="0" quotePrefix="0" xfId="1">
      <alignment horizontal="center" vertical="center" wrapText="1"/>
    </xf>
    <xf numFmtId="167" fontId="13" fillId="10" borderId="9" applyAlignment="1" pivotButton="0" quotePrefix="0" xfId="0">
      <alignment horizontal="left" vertical="center" wrapText="1"/>
    </xf>
    <xf numFmtId="169" fontId="15" fillId="0" borderId="9" applyAlignment="1" pivotButton="0" quotePrefix="0" xfId="1">
      <alignment horizontal="left" vertical="center" wrapText="1"/>
    </xf>
    <xf numFmtId="171" fontId="11" fillId="0" borderId="0" applyAlignment="1" pivotButton="0" quotePrefix="0" xfId="1">
      <alignment vertical="center" wrapText="1"/>
    </xf>
    <xf numFmtId="171" fontId="10" fillId="0" borderId="0" applyAlignment="1" pivotButton="0" quotePrefix="0" xfId="1">
      <alignment vertical="center" wrapText="1"/>
    </xf>
    <xf numFmtId="169" fontId="10" fillId="0" borderId="0" applyAlignment="1" pivotButton="0" quotePrefix="0" xfId="1">
      <alignment vertical="center" wrapText="1"/>
    </xf>
    <xf numFmtId="169" fontId="10" fillId="0" borderId="0" applyAlignment="1" pivotButton="0" quotePrefix="0" xfId="1">
      <alignment wrapText="1"/>
    </xf>
    <xf numFmtId="164" fontId="13" fillId="0" borderId="9" applyAlignment="1" pivotButton="0" quotePrefix="0" xfId="0">
      <alignment horizontal="right" vertical="center" wrapText="1"/>
    </xf>
    <xf numFmtId="164" fontId="15" fillId="0" borderId="9" applyAlignment="1" pivotButton="0" quotePrefix="0" xfId="1">
      <alignment horizontal="right" vertical="center" wrapText="1"/>
    </xf>
    <xf numFmtId="169" fontId="15" fillId="9" borderId="9" applyAlignment="1" pivotButton="0" quotePrefix="0" xfId="1">
      <alignment horizontal="left" vertical="center" wrapText="1"/>
    </xf>
    <xf numFmtId="169" fontId="15" fillId="2" borderId="9" applyAlignment="1" pivotButton="0" quotePrefix="0" xfId="1">
      <alignment horizontal="center" vertical="center" wrapText="1"/>
    </xf>
    <xf numFmtId="170" fontId="15" fillId="2" borderId="9" applyAlignment="1" pivotButton="0" quotePrefix="0" xfId="1">
      <alignment horizontal="right" vertical="center" wrapText="1"/>
    </xf>
    <xf numFmtId="167" fontId="13" fillId="2" borderId="9" applyAlignment="1" pivotButton="0" quotePrefix="0" xfId="0">
      <alignment horizontal="left" vertical="center" wrapText="1"/>
    </xf>
    <xf numFmtId="164" fontId="15" fillId="12" borderId="9" applyAlignment="1" pivotButton="0" quotePrefix="0" xfId="0">
      <alignment horizontal="right" vertical="center" wrapText="1"/>
    </xf>
    <xf numFmtId="164" fontId="13" fillId="19" borderId="9" applyAlignment="1" pivotButton="0" quotePrefix="0" xfId="0">
      <alignment horizontal="right" vertical="center" wrapText="1"/>
    </xf>
    <xf numFmtId="164" fontId="15" fillId="19" borderId="9" applyAlignment="1" pivotButton="0" quotePrefix="0" xfId="0">
      <alignment horizontal="right" vertical="center" wrapText="1"/>
    </xf>
    <xf numFmtId="170" fontId="15" fillId="19" borderId="9" applyAlignment="1" pivotButton="0" quotePrefix="0" xfId="0">
      <alignment horizontal="right" vertical="center" wrapText="1"/>
    </xf>
    <xf numFmtId="169" fontId="13" fillId="19" borderId="9" applyAlignment="1" pivotButton="0" quotePrefix="0" xfId="1">
      <alignment horizontal="center" vertical="center" wrapText="1"/>
    </xf>
    <xf numFmtId="167" fontId="13" fillId="20" borderId="9" applyAlignment="1" pivotButton="0" quotePrefix="0" xfId="0">
      <alignment horizontal="left" vertical="center" wrapText="1"/>
    </xf>
    <xf numFmtId="171" fontId="9" fillId="19" borderId="0" applyAlignment="1" pivotButton="0" quotePrefix="0" xfId="1">
      <alignment vertical="center" wrapText="1"/>
    </xf>
    <xf numFmtId="171" fontId="0" fillId="19" borderId="0" applyAlignment="1" pivotButton="0" quotePrefix="0" xfId="1">
      <alignment vertical="center" wrapText="1"/>
    </xf>
    <xf numFmtId="169" fontId="0" fillId="19" borderId="0" applyAlignment="1" pivotButton="0" quotePrefix="0" xfId="1">
      <alignment vertical="center" wrapText="1"/>
    </xf>
    <xf numFmtId="169" fontId="0" fillId="19" borderId="0" applyAlignment="1" pivotButton="0" quotePrefix="0" xfId="1">
      <alignment wrapText="1"/>
    </xf>
    <xf numFmtId="170" fontId="15" fillId="0" borderId="9" applyAlignment="1" pivotButton="0" quotePrefix="0" xfId="1">
      <alignment horizontal="right" vertical="center" wrapText="1"/>
    </xf>
    <xf numFmtId="167" fontId="13" fillId="13" borderId="9" applyAlignment="1" pivotButton="0" quotePrefix="0" xfId="0">
      <alignment horizontal="left" vertical="center" wrapText="1"/>
    </xf>
    <xf numFmtId="167" fontId="13" fillId="0" borderId="9" applyAlignment="1" pivotButton="0" quotePrefix="0" xfId="0">
      <alignment horizontal="left" vertical="center" wrapText="1"/>
    </xf>
    <xf numFmtId="164" fontId="15" fillId="9" borderId="9" applyAlignment="1" pivotButton="0" quotePrefix="0" xfId="0">
      <alignment horizontal="right" vertical="center" wrapText="1"/>
    </xf>
    <xf numFmtId="164" fontId="15" fillId="0" borderId="12" applyAlignment="1" pivotButton="0" quotePrefix="0" xfId="0">
      <alignment horizontal="right" vertical="center" wrapText="1"/>
    </xf>
    <xf numFmtId="169" fontId="13" fillId="0" borderId="12" applyAlignment="1" pivotButton="0" quotePrefix="0" xfId="1">
      <alignment horizontal="center" vertical="center" wrapText="1"/>
    </xf>
    <xf numFmtId="164" fontId="15" fillId="2" borderId="9" applyAlignment="1" pivotButton="0" quotePrefix="0" xfId="0">
      <alignment horizontal="right" vertical="center" wrapText="1"/>
    </xf>
    <xf numFmtId="170" fontId="15" fillId="2" borderId="9" applyAlignment="1" pivotButton="0" quotePrefix="0" xfId="0">
      <alignment horizontal="right" vertical="center" wrapText="1"/>
    </xf>
    <xf numFmtId="167" fontId="13" fillId="10" borderId="9" applyAlignment="1" pivotButton="0" quotePrefix="0" xfId="0">
      <alignment horizontal="center" vertical="center" wrapText="1"/>
    </xf>
    <xf numFmtId="171" fontId="15" fillId="0" borderId="0" applyAlignment="1" pivotButton="0" quotePrefix="0" xfId="1">
      <alignment vertical="center" wrapText="1"/>
    </xf>
    <xf numFmtId="169" fontId="13" fillId="0" borderId="0" applyAlignment="1" pivotButton="0" quotePrefix="0" xfId="1">
      <alignment horizontal="center" vertical="center" wrapText="1"/>
    </xf>
    <xf numFmtId="167" fontId="13" fillId="10" borderId="0" applyAlignment="1" pivotButton="0" quotePrefix="0" xfId="0">
      <alignment horizontal="left" vertical="center" wrapText="1"/>
    </xf>
    <xf numFmtId="164" fontId="13" fillId="0" borderId="12" applyAlignment="1" pivotButton="0" quotePrefix="0" xfId="0">
      <alignment horizontal="right" vertical="center" wrapText="1"/>
    </xf>
    <xf numFmtId="170" fontId="15" fillId="0" borderId="12" applyAlignment="1" pivotButton="0" quotePrefix="0" xfId="0">
      <alignment horizontal="right" vertical="center" wrapText="1"/>
    </xf>
    <xf numFmtId="167" fontId="13" fillId="10" borderId="12" applyAlignment="1" pivotButton="0" quotePrefix="0" xfId="0">
      <alignment horizontal="center" vertical="center" wrapText="1"/>
    </xf>
    <xf numFmtId="171" fontId="15" fillId="0" borderId="9" applyAlignment="1" pivotButton="0" quotePrefix="0" xfId="1">
      <alignment vertical="center" wrapText="1"/>
    </xf>
    <xf numFmtId="172" fontId="13" fillId="0" borderId="9" applyAlignment="1" pivotButton="0" quotePrefix="0" xfId="1">
      <alignment horizontal="right" vertical="center" wrapText="1"/>
    </xf>
    <xf numFmtId="172" fontId="13" fillId="0" borderId="9" applyAlignment="1" pivotButton="0" quotePrefix="0" xfId="0">
      <alignment horizontal="right" vertical="center" wrapText="1"/>
    </xf>
    <xf numFmtId="164" fontId="15" fillId="16" borderId="9" applyAlignment="1" pivotButton="0" quotePrefix="0" xfId="1">
      <alignment horizontal="right" vertical="center" wrapText="1"/>
    </xf>
    <xf numFmtId="167" fontId="13" fillId="0" borderId="9" applyAlignment="1" pivotButton="0" quotePrefix="0" xfId="0">
      <alignment horizontal="center" vertical="center" wrapText="1"/>
    </xf>
    <xf numFmtId="164" fontId="15" fillId="0" borderId="12" applyAlignment="1" pivotButton="0" quotePrefix="0" xfId="1">
      <alignment horizontal="right" vertical="center" wrapText="1"/>
    </xf>
    <xf numFmtId="171" fontId="15" fillId="0" borderId="12" applyAlignment="1" pivotButton="0" quotePrefix="0" xfId="1">
      <alignment vertical="center" wrapText="1"/>
    </xf>
    <xf numFmtId="172" fontId="13" fillId="0" borderId="12" applyAlignment="1" pivotButton="0" quotePrefix="0" xfId="1">
      <alignment horizontal="right" vertical="center" wrapText="1"/>
    </xf>
    <xf numFmtId="172" fontId="13" fillId="0" borderId="12" applyAlignment="1" pivotButton="0" quotePrefix="0" xfId="0">
      <alignment horizontal="right" vertical="center" wrapText="1"/>
    </xf>
    <xf numFmtId="167" fontId="13" fillId="10" borderId="12" applyAlignment="1" pivotButton="0" quotePrefix="0" xfId="0">
      <alignment horizontal="left" vertical="center" wrapText="1"/>
    </xf>
    <xf numFmtId="164" fontId="15" fillId="2" borderId="12" applyAlignment="1" pivotButton="0" quotePrefix="0" xfId="1">
      <alignment horizontal="right" vertical="center" wrapText="1"/>
    </xf>
    <xf numFmtId="164" fontId="15" fillId="0" borderId="15" applyAlignment="1" pivotButton="0" quotePrefix="0" xfId="0">
      <alignment horizontal="right" vertical="center" wrapText="1"/>
    </xf>
    <xf numFmtId="169" fontId="13" fillId="0" borderId="14" applyAlignment="1" pivotButton="0" quotePrefix="0" xfId="1">
      <alignment horizontal="center" vertical="center" wrapText="1"/>
    </xf>
    <xf numFmtId="164" fontId="20" fillId="2" borderId="12" applyAlignment="1" pivotButton="0" quotePrefix="0" xfId="1">
      <alignment horizontal="right" vertical="center" wrapText="1"/>
    </xf>
    <xf numFmtId="164" fontId="20" fillId="0" borderId="15" applyAlignment="1" pivotButton="0" quotePrefix="0" xfId="0">
      <alignment horizontal="right" vertical="center" wrapText="1"/>
    </xf>
    <xf numFmtId="170" fontId="20" fillId="0" borderId="16" applyAlignment="1" pivotButton="0" quotePrefix="0" xfId="0">
      <alignment horizontal="right" vertical="center" wrapText="1"/>
    </xf>
    <xf numFmtId="164" fontId="20" fillId="0" borderId="16" applyAlignment="1" pivotButton="0" quotePrefix="0" xfId="0">
      <alignment horizontal="right" vertical="center" wrapText="1"/>
    </xf>
    <xf numFmtId="164" fontId="20" fillId="0" borderId="16" applyAlignment="1" pivotButton="0" quotePrefix="0" xfId="1">
      <alignment horizontal="right" vertical="center" wrapText="1"/>
    </xf>
    <xf numFmtId="164" fontId="20" fillId="0" borderId="14" applyAlignment="1" pivotButton="0" quotePrefix="0" xfId="1">
      <alignment horizontal="right" vertical="center" wrapText="1"/>
    </xf>
    <xf numFmtId="169" fontId="19" fillId="0" borderId="14" applyAlignment="1" pivotButton="0" quotePrefix="0" xfId="1">
      <alignment horizontal="center" vertical="center" wrapText="1"/>
    </xf>
    <xf numFmtId="167" fontId="19" fillId="10" borderId="12" applyAlignment="1" pivotButton="0" quotePrefix="0" xfId="1">
      <alignment horizontal="center" vertical="center" wrapText="1"/>
    </xf>
    <xf numFmtId="171" fontId="20" fillId="0" borderId="12" applyAlignment="1" pivotButton="0" quotePrefix="0" xfId="1">
      <alignment vertical="center" wrapText="1"/>
    </xf>
    <xf numFmtId="172" fontId="19" fillId="0" borderId="12" applyAlignment="1" pivotButton="0" quotePrefix="0" xfId="1">
      <alignment horizontal="right" vertical="center" wrapText="1"/>
    </xf>
    <xf numFmtId="172" fontId="19" fillId="0" borderId="12" applyAlignment="1" pivotButton="0" quotePrefix="0" xfId="2">
      <alignment horizontal="right" vertical="center" wrapText="1"/>
    </xf>
    <xf numFmtId="167" fontId="19" fillId="10" borderId="12" applyAlignment="1" pivotButton="0" quotePrefix="0" xfId="0">
      <alignment horizontal="left" vertical="center" wrapText="1"/>
    </xf>
    <xf numFmtId="171" fontId="9" fillId="0" borderId="9" applyAlignment="1" pivotButton="0" quotePrefix="0" xfId="1">
      <alignment vertical="center" wrapText="1"/>
    </xf>
    <xf numFmtId="171" fontId="0" fillId="0" borderId="9" applyAlignment="1" pivotButton="0" quotePrefix="0" xfId="1">
      <alignment vertical="center" wrapText="1"/>
    </xf>
    <xf numFmtId="169" fontId="0" fillId="0" borderId="9" applyAlignment="1" pivotButton="0" quotePrefix="0" xfId="1">
      <alignment vertical="center" wrapText="1"/>
    </xf>
    <xf numFmtId="169" fontId="0" fillId="0" borderId="9" applyAlignment="1" pivotButton="0" quotePrefix="0" xfId="1">
      <alignment wrapText="1"/>
    </xf>
    <xf numFmtId="170" fontId="15" fillId="0" borderId="16" applyAlignment="1" pivotButton="0" quotePrefix="0" xfId="0">
      <alignment horizontal="right" vertical="center" wrapText="1"/>
    </xf>
    <xf numFmtId="164" fontId="15" fillId="0" borderId="16" applyAlignment="1" pivotButton="0" quotePrefix="0" xfId="0">
      <alignment horizontal="right" vertical="center" wrapText="1"/>
    </xf>
    <xf numFmtId="164" fontId="15" fillId="0" borderId="16" applyAlignment="1" pivotButton="0" quotePrefix="0" xfId="1">
      <alignment horizontal="right" vertical="center" wrapText="1"/>
    </xf>
    <xf numFmtId="164" fontId="15" fillId="0" borderId="14" applyAlignment="1" pivotButton="0" quotePrefix="0" xfId="1">
      <alignment horizontal="right" vertical="center" wrapText="1"/>
    </xf>
    <xf numFmtId="167" fontId="13" fillId="10" borderId="12" applyAlignment="1" pivotButton="0" quotePrefix="0" xfId="1">
      <alignment horizontal="center" vertical="center" wrapText="1"/>
    </xf>
    <xf numFmtId="172" fontId="13" fillId="0" borderId="12" applyAlignment="1" pivotButton="0" quotePrefix="0" xfId="2">
      <alignment horizontal="right" vertical="center" wrapText="1"/>
    </xf>
    <xf numFmtId="164" fontId="20" fillId="0" borderId="12" applyAlignment="1" pivotButton="0" quotePrefix="0" xfId="1">
      <alignment horizontal="right" vertical="center" wrapText="1"/>
    </xf>
    <xf numFmtId="164" fontId="22" fillId="2" borderId="12" applyAlignment="1" pivotButton="0" quotePrefix="0" xfId="1">
      <alignment horizontal="right" vertical="center" wrapText="1"/>
    </xf>
    <xf numFmtId="164" fontId="22" fillId="0" borderId="15" applyAlignment="1" pivotButton="0" quotePrefix="0" xfId="0">
      <alignment horizontal="right" vertical="center" wrapText="1"/>
    </xf>
    <xf numFmtId="170" fontId="22" fillId="0" borderId="16"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9" fontId="21" fillId="0" borderId="14" applyAlignment="1" pivotButton="0" quotePrefix="0" xfId="1">
      <alignment horizontal="center" vertical="center" wrapText="1"/>
    </xf>
    <xf numFmtId="167" fontId="21" fillId="10" borderId="12" applyAlignment="1" pivotButton="0" quotePrefix="0" xfId="1">
      <alignment horizontal="center" vertical="center" wrapText="1"/>
    </xf>
    <xf numFmtId="171" fontId="22" fillId="0" borderId="12" applyAlignment="1" pivotButton="0" quotePrefix="0" xfId="1">
      <alignment vertical="center" wrapText="1"/>
    </xf>
    <xf numFmtId="172" fontId="21" fillId="0" borderId="12" applyAlignment="1" pivotButton="0" quotePrefix="0" xfId="1">
      <alignment horizontal="right" vertical="center" wrapText="1"/>
    </xf>
    <xf numFmtId="172" fontId="21" fillId="0" borderId="12" applyAlignment="1" pivotButton="0" quotePrefix="0" xfId="2">
      <alignment horizontal="right" vertical="center" wrapText="1"/>
    </xf>
    <xf numFmtId="167" fontId="21" fillId="10" borderId="12" applyAlignment="1" pivotButton="0" quotePrefix="0" xfId="0">
      <alignment horizontal="left" vertical="center" wrapText="1"/>
    </xf>
    <xf numFmtId="164" fontId="24" fillId="2" borderId="12" applyAlignment="1" pivotButton="0" quotePrefix="0" xfId="1">
      <alignment horizontal="right" vertical="center" wrapText="1"/>
    </xf>
    <xf numFmtId="164" fontId="24" fillId="0" borderId="15" applyAlignment="1" pivotButton="0" quotePrefix="0" xfId="0">
      <alignment horizontal="right" vertical="center" wrapText="1"/>
    </xf>
    <xf numFmtId="170" fontId="24" fillId="0" borderId="16"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9" fontId="23" fillId="0" borderId="14" applyAlignment="1" pivotButton="0" quotePrefix="0" xfId="1">
      <alignment horizontal="center" vertical="center" wrapText="1"/>
    </xf>
    <xf numFmtId="167" fontId="23" fillId="10" borderId="12" applyAlignment="1" pivotButton="0" quotePrefix="0" xfId="1">
      <alignment horizontal="center" vertical="center" wrapText="1"/>
    </xf>
    <xf numFmtId="171" fontId="24" fillId="0" borderId="12" applyAlignment="1" pivotButton="0" quotePrefix="0" xfId="1">
      <alignment vertical="center" wrapText="1"/>
    </xf>
    <xf numFmtId="172" fontId="23" fillId="0" borderId="12" applyAlignment="1" pivotButton="0" quotePrefix="0" xfId="1">
      <alignment horizontal="right" vertical="center" wrapText="1"/>
    </xf>
    <xf numFmtId="172" fontId="23" fillId="0" borderId="12" applyAlignment="1" pivotButton="0" quotePrefix="0" xfId="2">
      <alignment horizontal="right" vertical="center" wrapText="1"/>
    </xf>
    <xf numFmtId="167" fontId="23" fillId="10" borderId="12" applyAlignment="1" pivotButton="0" quotePrefix="0" xfId="0">
      <alignment horizontal="left" vertical="center" wrapText="1"/>
    </xf>
    <xf numFmtId="164" fontId="24" fillId="0" borderId="9" applyAlignment="1" pivotButton="0" quotePrefix="0" xfId="0">
      <alignment horizontal="right" vertical="center" wrapText="1"/>
    </xf>
    <xf numFmtId="164" fontId="24" fillId="0" borderId="9" applyAlignment="1" pivotButton="0" quotePrefix="0" xfId="1">
      <alignment horizontal="right" vertical="center" wrapText="1"/>
    </xf>
    <xf numFmtId="169" fontId="23" fillId="0" borderId="9" applyAlignment="1" pivotButton="0" quotePrefix="0" xfId="1">
      <alignment horizontal="center" vertical="center" wrapText="1"/>
    </xf>
    <xf numFmtId="169" fontId="0" fillId="0" borderId="9" applyAlignment="1" pivotButton="0" quotePrefix="0" xfId="1">
      <alignment horizontal="center" vertical="center" wrapText="1"/>
    </xf>
    <xf numFmtId="165" fontId="0" fillId="0" borderId="9" applyAlignment="1" pivotButton="0" quotePrefix="0" xfId="2">
      <alignment horizontal="center" vertical="center" wrapText="1"/>
    </xf>
    <xf numFmtId="173" fontId="23" fillId="0" borderId="9" applyAlignment="1" pivotButton="0" quotePrefix="0" xfId="1">
      <alignment horizontal="center" vertical="center" wrapText="1"/>
    </xf>
    <xf numFmtId="164" fontId="11" fillId="0" borderId="9" applyAlignment="1" pivotButton="0" quotePrefix="0" xfId="1">
      <alignment horizontal="center" vertical="center" wrapText="1"/>
    </xf>
    <xf numFmtId="164" fontId="9" fillId="0" borderId="9" applyAlignment="1" pivotButton="0" quotePrefix="0" xfId="1">
      <alignment vertical="center" wrapText="1"/>
    </xf>
    <xf numFmtId="164" fontId="0" fillId="0" borderId="9" applyAlignment="1" pivotButton="0" quotePrefix="0" xfId="1">
      <alignment vertical="center" wrapText="1"/>
    </xf>
    <xf numFmtId="164" fontId="18" fillId="0" borderId="9" applyAlignment="1" pivotButton="0" quotePrefix="0" xfId="0">
      <alignment horizontal="center" vertical="center" wrapText="1"/>
    </xf>
    <xf numFmtId="170" fontId="18" fillId="0" borderId="9" applyAlignment="1" pivotButton="0" quotePrefix="0" xfId="0">
      <alignment horizontal="center" vertical="center" wrapText="1"/>
    </xf>
    <xf numFmtId="164" fontId="18" fillId="0" borderId="9" applyAlignment="1" pivotButton="0" quotePrefix="0" xfId="1">
      <alignment vertical="center" wrapText="1"/>
    </xf>
    <xf numFmtId="164" fontId="18" fillId="0" borderId="9" applyAlignment="1" pivotButton="0" quotePrefix="0" xfId="1">
      <alignment horizontal="center" vertical="center" wrapText="1"/>
    </xf>
    <xf numFmtId="164" fontId="11" fillId="0" borderId="0" applyAlignment="1" pivotButton="0" quotePrefix="0" xfId="1">
      <alignment horizontal="center" vertical="center" wrapText="1"/>
    </xf>
    <xf numFmtId="173" fontId="28" fillId="17" borderId="9" applyAlignment="1" pivotButton="0" quotePrefix="0" xfId="0">
      <alignment horizontal="right" vertical="center"/>
    </xf>
    <xf numFmtId="173" fontId="28" fillId="17" borderId="9" applyAlignment="1" pivotButton="0" quotePrefix="0" xfId="0">
      <alignment horizontal="right" vertical="center" wrapText="1"/>
    </xf>
    <xf numFmtId="173" fontId="28" fillId="17" borderId="9" applyAlignment="1" pivotButton="0" quotePrefix="0" xfId="0">
      <alignment horizontal="left" vertical="center" wrapText="1"/>
    </xf>
    <xf numFmtId="173" fontId="28" fillId="12" borderId="9" applyAlignment="1" pivotButton="0" quotePrefix="0" xfId="0">
      <alignment horizontal="left" vertical="center" wrapText="1"/>
    </xf>
    <xf numFmtId="173" fontId="30" fillId="17" borderId="9" applyAlignment="1" pivotButton="0" quotePrefix="0" xfId="0">
      <alignment horizontal="left" vertical="center" wrapText="1"/>
    </xf>
    <xf numFmtId="173" fontId="26" fillId="12" borderId="0" applyAlignment="1" pivotButton="0" quotePrefix="0" xfId="0">
      <alignment vertical="center"/>
    </xf>
    <xf numFmtId="173" fontId="28" fillId="12" borderId="9" applyAlignment="1" pivotButton="0" quotePrefix="0" xfId="0">
      <alignment horizontal="right" vertical="center" wrapText="1"/>
    </xf>
    <xf numFmtId="173" fontId="28" fillId="0" borderId="9" applyAlignment="1" pivotButton="0" quotePrefix="0" xfId="0">
      <alignment horizontal="right" vertical="center" wrapText="1"/>
    </xf>
    <xf numFmtId="173" fontId="28" fillId="17" borderId="9" applyAlignment="1" pivotButton="0" quotePrefix="0" xfId="0">
      <alignment vertical="center" wrapText="1"/>
    </xf>
    <xf numFmtId="173" fontId="28" fillId="17" borderId="12" applyAlignment="1" pivotButton="0" quotePrefix="0" xfId="0">
      <alignment vertical="center" wrapText="1"/>
    </xf>
    <xf numFmtId="0" fontId="49" fillId="36" borderId="0" applyAlignment="1" pivotButton="0" quotePrefix="0" xfId="0">
      <alignment horizontal="center" vertical="center" wrapText="1"/>
    </xf>
    <xf numFmtId="174" fontId="0" fillId="0" borderId="0" pivotButton="0" quotePrefix="0" xfId="0"/>
    <xf numFmtId="0" fontId="50" fillId="36" borderId="0" applyAlignment="1" pivotButton="0" quotePrefix="0" xfId="0">
      <alignment horizontal="center" vertical="center"/>
    </xf>
    <xf numFmtId="0" fontId="51" fillId="37" borderId="32" applyAlignment="1" pivotButton="0" quotePrefix="0" xfId="0">
      <alignment horizontal="center" vertical="center" wrapText="1"/>
    </xf>
    <xf numFmtId="0" fontId="0" fillId="37" borderId="32" pivotButton="0" quotePrefix="0" xfId="0"/>
    <xf numFmtId="1" fontId="52" fillId="37" borderId="32" applyAlignment="1" pivotButton="0" quotePrefix="0" xfId="0">
      <alignment horizontal="center" vertical="center"/>
    </xf>
    <xf numFmtId="3" fontId="52" fillId="37" borderId="32" applyAlignment="1" pivotButton="0" quotePrefix="0" xfId="0">
      <alignment horizontal="center" vertical="center"/>
    </xf>
    <xf numFmtId="168" fontId="52" fillId="37" borderId="32" applyAlignment="1" pivotButton="0" quotePrefix="0" xfId="0">
      <alignment horizontal="center" vertical="center"/>
    </xf>
    <xf numFmtId="0" fontId="53" fillId="38" borderId="0" applyAlignment="1" pivotButton="0" quotePrefix="0" xfId="0">
      <alignment horizontal="center" vertical="center"/>
    </xf>
    <xf numFmtId="0" fontId="54" fillId="39" borderId="32" applyAlignment="1" pivotButton="0" quotePrefix="0" xfId="0">
      <alignment horizontal="center" wrapText="1"/>
    </xf>
    <xf numFmtId="0" fontId="0" fillId="0" borderId="32" pivotButton="0" quotePrefix="0" xfId="0"/>
    <xf numFmtId="0" fontId="0" fillId="0" borderId="32" applyAlignment="1" pivotButton="0" quotePrefix="0" xfId="0">
      <alignment horizontal="center"/>
    </xf>
    <xf numFmtId="0" fontId="55" fillId="0" borderId="32" applyAlignment="1" pivotButton="0" quotePrefix="0" xfId="0">
      <alignment horizontal="center"/>
    </xf>
    <xf numFmtId="0" fontId="55" fillId="0" borderId="32" pivotButton="0" quotePrefix="0" xfId="0"/>
    <xf numFmtId="3" fontId="0" fillId="0" borderId="32" pivotButton="0" quotePrefix="0" xfId="0"/>
    <xf numFmtId="168" fontId="0" fillId="0" borderId="32" applyAlignment="1" pivotButton="0" quotePrefix="0" xfId="0">
      <alignment horizontal="center"/>
    </xf>
    <xf numFmtId="0" fontId="0" fillId="0" borderId="32" applyAlignment="1" pivotButton="0" quotePrefix="0" xfId="0">
      <alignment horizontal="center" vertical="top" wrapText="1"/>
    </xf>
    <xf numFmtId="0" fontId="0" fillId="0" borderId="32" applyAlignment="1" pivotButton="0" quotePrefix="0" xfId="0">
      <alignment vertical="top" wrapText="1"/>
    </xf>
    <xf numFmtId="3" fontId="0" fillId="0" borderId="32" applyAlignment="1" pivotButton="0" quotePrefix="0" xfId="0">
      <alignment horizontal="center" vertical="top" wrapText="1"/>
    </xf>
    <xf numFmtId="174" fontId="0" fillId="0" borderId="32" applyAlignment="1" pivotButton="0" quotePrefix="0" xfId="0">
      <alignment horizontal="center" vertical="top" wrapText="1"/>
    </xf>
    <xf numFmtId="174" fontId="0" fillId="0" borderId="0" pivotButton="0" quotePrefix="0" xfId="0"/>
    <xf numFmtId="0" fontId="56" fillId="36" borderId="0" applyAlignment="1" pivotButton="0" quotePrefix="0" xfId="0">
      <alignment horizontal="center" vertical="center"/>
    </xf>
    <xf numFmtId="0" fontId="57" fillId="0" borderId="0" pivotButton="0" quotePrefix="0" xfId="0"/>
    <xf numFmtId="0" fontId="58" fillId="40" borderId="32" applyAlignment="1" pivotButton="0" quotePrefix="0" xfId="0">
      <alignment horizontal="center"/>
    </xf>
    <xf numFmtId="0" fontId="54" fillId="39" borderId="32" applyAlignment="1" pivotButton="0" quotePrefix="0" xfId="0">
      <alignment horizontal="center" vertical="center" wrapText="1"/>
    </xf>
    <xf numFmtId="0" fontId="54" fillId="41" borderId="32" applyAlignment="1" pivotButton="0" quotePrefix="0" xfId="0">
      <alignment horizontal="center" vertical="center"/>
    </xf>
    <xf numFmtId="3" fontId="55" fillId="0" borderId="32" applyAlignment="1" pivotButton="0" quotePrefix="0" xfId="0">
      <alignment horizontal="center"/>
    </xf>
    <xf numFmtId="0" fontId="0" fillId="0" borderId="35" pivotButton="0" quotePrefix="0" xfId="0"/>
    <xf numFmtId="0" fontId="0" fillId="0" borderId="34" pivotButton="0" quotePrefix="0" xfId="0"/>
    <xf numFmtId="0" fontId="0" fillId="0" borderId="38" pivotButton="0" quotePrefix="0" xfId="0"/>
    <xf numFmtId="0" fontId="0" fillId="0" borderId="39" pivotButton="0" quotePrefix="0" xfId="0"/>
    <xf numFmtId="0" fontId="59" fillId="0" borderId="0" applyAlignment="1" pivotButton="0" quotePrefix="0" xfId="0">
      <alignment horizontal="center"/>
    </xf>
    <xf numFmtId="0" fontId="49" fillId="38" borderId="32" applyAlignment="1" pivotButton="0" quotePrefix="0" xfId="0">
      <alignment horizontal="center" vertical="center" wrapText="1"/>
    </xf>
    <xf numFmtId="3" fontId="55" fillId="0" borderId="32" pivotButton="0" quotePrefix="0" xfId="0"/>
    <xf numFmtId="0" fontId="0" fillId="0" borderId="42" pivotButton="0" quotePrefix="0" xfId="0"/>
    <xf numFmtId="0" fontId="0" fillId="0" borderId="41" pivotButton="0" quotePrefix="0" xfId="0"/>
    <xf numFmtId="0" fontId="60" fillId="42" borderId="0" applyAlignment="1" pivotButton="0" quotePrefix="0" xfId="0">
      <alignment horizontal="center" vertical="center"/>
    </xf>
    <xf numFmtId="0" fontId="61" fillId="0" borderId="0" applyAlignment="1" pivotButton="0" quotePrefix="0" xfId="0">
      <alignment horizontal="center"/>
    </xf>
    <xf numFmtId="0" fontId="62" fillId="43" borderId="43" applyAlignment="1" pivotButton="0" quotePrefix="0" xfId="0">
      <alignment horizontal="center" vertical="center" wrapText="1"/>
    </xf>
    <xf numFmtId="0" fontId="63" fillId="38" borderId="43" applyAlignment="1" pivotButton="0" quotePrefix="0" xfId="0">
      <alignment horizontal="center" vertical="center" wrapText="1"/>
    </xf>
    <xf numFmtId="0" fontId="0" fillId="0" borderId="43" applyAlignment="1" pivotButton="0" quotePrefix="0" xfId="0">
      <alignment horizontal="center" vertical="center" wrapText="1"/>
    </xf>
    <xf numFmtId="0" fontId="63" fillId="44" borderId="43" applyAlignment="1" pivotButton="0" quotePrefix="0" xfId="0">
      <alignment horizontal="center" vertical="center" wrapText="1"/>
    </xf>
    <xf numFmtId="0" fontId="65" fillId="45" borderId="43" applyAlignment="1" pivotButton="0" quotePrefix="0" xfId="0">
      <alignment horizontal="center" vertical="center" wrapText="1"/>
    </xf>
    <xf numFmtId="0" fontId="64" fillId="38" borderId="43" applyAlignment="1" pivotButton="0" quotePrefix="0" xfId="0">
      <alignment horizontal="center" vertical="center" wrapText="1"/>
    </xf>
    <xf numFmtId="0" fontId="64" fillId="44" borderId="43" applyAlignment="1" pivotButton="0" quotePrefix="0" xfId="0">
      <alignment horizontal="center" vertical="center" wrapText="1"/>
    </xf>
    <xf numFmtId="0" fontId="66" fillId="46" borderId="43" applyAlignment="1" pivotButton="0" quotePrefix="0" xfId="0">
      <alignment horizontal="center" vertical="center"/>
    </xf>
    <xf numFmtId="4" fontId="67" fillId="47" borderId="43" applyAlignment="1" pivotButton="0" quotePrefix="0" xfId="0">
      <alignment horizontal="right" vertical="center"/>
    </xf>
    <xf numFmtId="4" fontId="66" fillId="41" borderId="43" applyAlignment="1" pivotButton="0" quotePrefix="0" xfId="0">
      <alignment horizontal="right" vertical="center"/>
    </xf>
    <xf numFmtId="4" fontId="67" fillId="48" borderId="43" applyAlignment="1" pivotButton="0" quotePrefix="0" xfId="0">
      <alignment horizontal="right" vertical="center"/>
    </xf>
    <xf numFmtId="4" fontId="66" fillId="49" borderId="43" applyAlignment="1" pivotButton="0" quotePrefix="0" xfId="0">
      <alignment horizontal="right" vertical="center"/>
    </xf>
    <xf numFmtId="4" fontId="66" fillId="45" borderId="43" applyAlignment="1" pivotButton="0" quotePrefix="0" xfId="0">
      <alignment horizontal="right" vertical="center"/>
    </xf>
    <xf numFmtId="0" fontId="62" fillId="43" borderId="43" applyAlignment="1" pivotButton="0" quotePrefix="0" xfId="0">
      <alignment horizontal="center" vertical="center"/>
    </xf>
    <xf numFmtId="4" fontId="68" fillId="38" borderId="43" applyAlignment="1" pivotButton="0" quotePrefix="0" xfId="0">
      <alignment horizontal="right" vertical="center"/>
    </xf>
    <xf numFmtId="4" fontId="68" fillId="44" borderId="43" applyAlignment="1" pivotButton="0" quotePrefix="0" xfId="0">
      <alignment horizontal="right" vertical="center"/>
    </xf>
    <xf numFmtId="4" fontId="65" fillId="45" borderId="43" applyAlignment="1" pivotButton="0" quotePrefix="0" xfId="0">
      <alignment horizontal="right" vertical="center"/>
    </xf>
    <xf numFmtId="0" fontId="0" fillId="0" borderId="46" pivotButton="0" quotePrefix="0" xfId="0"/>
    <xf numFmtId="0" fontId="0" fillId="0" borderId="47" pivotButton="0" quotePrefix="0" xfId="0"/>
    <xf numFmtId="0" fontId="0" fillId="0" borderId="50" pivotButton="0" quotePrefix="0" xfId="0"/>
    <xf numFmtId="164" fontId="4" fillId="2" borderId="0" pivotButton="0" quotePrefix="0" xfId="0"/>
    <xf numFmtId="165" fontId="4" fillId="2" borderId="0" applyAlignment="1" pivotButton="0" quotePrefix="0" xfId="0">
      <alignment horizontal="center"/>
    </xf>
    <xf numFmtId="164" fontId="5" fillId="3" borderId="0" pivotButton="0" quotePrefix="0" xfId="0"/>
    <xf numFmtId="165" fontId="5" fillId="3" borderId="0" applyAlignment="1" pivotButton="0" quotePrefix="0" xfId="0">
      <alignment horizontal="center"/>
    </xf>
    <xf numFmtId="164" fontId="5" fillId="4" borderId="0" pivotButton="0" quotePrefix="0" xfId="0"/>
    <xf numFmtId="165" fontId="5" fillId="4" borderId="0" applyAlignment="1" pivotButton="0" quotePrefix="0" xfId="0">
      <alignment horizontal="center"/>
    </xf>
    <xf numFmtId="166" fontId="12" fillId="0" borderId="0" pivotButton="0" quotePrefix="0" xfId="0"/>
    <xf numFmtId="164" fontId="7" fillId="5" borderId="3" pivotButton="0" quotePrefix="0" xfId="0"/>
    <xf numFmtId="165" fontId="7" fillId="5" borderId="3" applyAlignment="1" pivotButton="0" quotePrefix="0" xfId="0">
      <alignment horizontal="center"/>
    </xf>
    <xf numFmtId="169" fontId="5" fillId="3" borderId="4" applyAlignment="1" pivotButton="0" quotePrefix="0" xfId="0">
      <alignment horizontal="center"/>
    </xf>
    <xf numFmtId="169" fontId="5" fillId="6" borderId="3" applyAlignment="1" pivotButton="0" quotePrefix="0" xfId="0">
      <alignment horizontal="center"/>
    </xf>
    <xf numFmtId="169" fontId="5" fillId="3" borderId="3" applyAlignment="1" pivotButton="0" quotePrefix="0" xfId="0">
      <alignment horizontal="center"/>
    </xf>
    <xf numFmtId="164" fontId="7" fillId="2" borderId="3" pivotButton="0" quotePrefix="0" xfId="0"/>
    <xf numFmtId="165" fontId="7" fillId="2" borderId="3" applyAlignment="1" pivotButton="0" quotePrefix="0" xfId="0">
      <alignment horizontal="center"/>
    </xf>
    <xf numFmtId="164" fontId="5" fillId="4" borderId="4" pivotButton="0" quotePrefix="0" xfId="0"/>
    <xf numFmtId="164" fontId="5" fillId="3" borderId="5" pivotButton="0" quotePrefix="0" xfId="0"/>
    <xf numFmtId="164" fontId="5" fillId="4" borderId="5" pivotButton="0" quotePrefix="0" xfId="0"/>
    <xf numFmtId="171" fontId="8" fillId="7" borderId="6" applyAlignment="1" pivotButton="0" quotePrefix="0" xfId="0">
      <alignment horizontal="left" vertical="center" wrapText="1"/>
    </xf>
    <xf numFmtId="164" fontId="12" fillId="0" borderId="0" pivotButton="0" quotePrefix="0" xfId="0"/>
    <xf numFmtId="0" fontId="63" fillId="36" borderId="51" applyAlignment="1" pivotButton="0" quotePrefix="0" xfId="0">
      <alignment horizontal="center" vertical="center" wrapText="1"/>
    </xf>
    <xf numFmtId="0" fontId="63" fillId="36" borderId="52" applyAlignment="1" pivotButton="0" quotePrefix="0" xfId="0">
      <alignment horizontal="center" vertical="center" wrapText="1"/>
    </xf>
    <xf numFmtId="164" fontId="63" fillId="36" borderId="52" applyAlignment="1" pivotButton="0" quotePrefix="0" xfId="0">
      <alignment horizontal="center" vertical="center" wrapText="1"/>
    </xf>
    <xf numFmtId="164" fontId="63" fillId="36" borderId="51" applyAlignment="1" pivotButton="0" quotePrefix="0" xfId="0">
      <alignment horizontal="center" vertical="center" wrapText="1"/>
    </xf>
    <xf numFmtId="14" fontId="63" fillId="36" borderId="51" applyAlignment="1" pivotButton="0" quotePrefix="0" xfId="0">
      <alignment horizontal="center" vertical="center" wrapText="1"/>
    </xf>
    <xf numFmtId="14" fontId="63" fillId="36" borderId="52" applyAlignment="1" pivotButton="0" quotePrefix="0" xfId="0">
      <alignment horizontal="center" vertical="center" wrapText="1"/>
    </xf>
    <xf numFmtId="170" fontId="63" fillId="36" borderId="51" applyAlignment="1" pivotButton="0" quotePrefix="0" xfId="0">
      <alignment horizontal="center" vertical="center" wrapText="1"/>
    </xf>
    <xf numFmtId="169" fontId="63" fillId="36" borderId="51" applyAlignment="1" pivotButton="0" quotePrefix="0" xfId="0">
      <alignment horizontal="center" vertical="center" wrapText="1"/>
    </xf>
    <xf numFmtId="165" fontId="63" fillId="36" borderId="51" applyAlignment="1" pivotButton="0" quotePrefix="0" xfId="0">
      <alignment horizontal="center" vertical="center" wrapText="1"/>
    </xf>
    <xf numFmtId="171" fontId="63" fillId="36" borderId="52" applyAlignment="1" pivotButton="0" quotePrefix="0" xfId="0">
      <alignment horizontal="center" vertical="center" wrapText="1"/>
    </xf>
    <xf numFmtId="0" fontId="12" fillId="0" borderId="0" applyAlignment="1" pivotButton="0" quotePrefix="0" xfId="0">
      <alignment vertical="center"/>
    </xf>
    <xf numFmtId="0" fontId="69" fillId="0" borderId="53" applyAlignment="1" pivotButton="0" quotePrefix="0" xfId="0">
      <alignment horizontal="center" vertical="center" wrapText="1"/>
    </xf>
    <xf numFmtId="0" fontId="70" fillId="0" borderId="53" applyAlignment="1" pivotButton="0" quotePrefix="0" xfId="0">
      <alignment horizontal="center" vertical="center" wrapText="1"/>
    </xf>
    <xf numFmtId="0" fontId="71" fillId="0" borderId="53" applyAlignment="1" pivotButton="0" quotePrefix="0" xfId="0">
      <alignment horizontal="left" vertical="center" wrapText="1"/>
    </xf>
    <xf numFmtId="0" fontId="69" fillId="0" borderId="54" applyAlignment="1" pivotButton="0" quotePrefix="0" xfId="0">
      <alignment horizontal="center" vertical="center" wrapText="1"/>
    </xf>
    <xf numFmtId="0" fontId="69" fillId="0" borderId="53" applyAlignment="1" pivotButton="0" quotePrefix="0" xfId="0">
      <alignment horizontal="left" vertical="center" wrapText="1"/>
    </xf>
    <xf numFmtId="4" fontId="70" fillId="0" borderId="54" applyAlignment="1" pivotButton="0" quotePrefix="0" xfId="0">
      <alignment horizontal="right" vertical="center"/>
    </xf>
    <xf numFmtId="4" fontId="70" fillId="0" borderId="53" applyAlignment="1" pivotButton="0" quotePrefix="0" xfId="0">
      <alignment horizontal="right" vertical="center"/>
    </xf>
    <xf numFmtId="174" fontId="69" fillId="0" borderId="54" applyAlignment="1" pivotButton="0" quotePrefix="0" xfId="0">
      <alignment horizontal="center" vertical="center" wrapText="1"/>
    </xf>
    <xf numFmtId="174" fontId="69" fillId="0" borderId="53" applyAlignment="1" pivotButton="0" quotePrefix="0" xfId="0">
      <alignment horizontal="center" vertical="center" wrapText="1"/>
    </xf>
    <xf numFmtId="0" fontId="69" fillId="0" borderId="54" applyAlignment="1" pivotButton="0" quotePrefix="0" xfId="0">
      <alignment horizontal="left" vertical="center" wrapText="1"/>
    </xf>
    <xf numFmtId="0" fontId="70" fillId="0" borderId="54" applyAlignment="1" pivotButton="0" quotePrefix="0" xfId="0">
      <alignment horizontal="center" vertical="center" wrapText="1"/>
    </xf>
    <xf numFmtId="168" fontId="69" fillId="0" borderId="53" applyAlignment="1" pivotButton="0" quotePrefix="0" xfId="0">
      <alignment horizontal="right" vertical="center"/>
    </xf>
    <xf numFmtId="171" fontId="11" fillId="0" borderId="0" applyAlignment="1" pivotButton="0" quotePrefix="0" xfId="0">
      <alignment horizontal="center" vertical="center" wrapText="1"/>
    </xf>
    <xf numFmtId="171" fontId="10" fillId="0" borderId="0" applyAlignment="1" pivotButton="0" quotePrefix="0" xfId="0">
      <alignment horizontal="center" vertical="center" wrapText="1"/>
    </xf>
    <xf numFmtId="169" fontId="10" fillId="0" borderId="0" applyAlignment="1" pivotButton="0" quotePrefix="0" xfId="0">
      <alignment horizontal="center" vertical="center" wrapText="1"/>
    </xf>
    <xf numFmtId="171" fontId="11" fillId="0" borderId="0" applyAlignment="1" pivotButton="0" quotePrefix="0" xfId="0">
      <alignment vertical="center" wrapText="1"/>
    </xf>
    <xf numFmtId="171" fontId="10" fillId="0" borderId="0" applyAlignment="1" pivotButton="0" quotePrefix="0" xfId="0">
      <alignment vertical="center" wrapText="1"/>
    </xf>
    <xf numFmtId="169" fontId="10" fillId="0" borderId="0" applyAlignment="1" pivotButton="0" quotePrefix="0" xfId="0">
      <alignment vertical="center" wrapText="1"/>
    </xf>
    <xf numFmtId="169" fontId="10" fillId="0" borderId="0" applyAlignment="1" pivotButton="0" quotePrefix="0" xfId="0">
      <alignment wrapText="1"/>
    </xf>
    <xf numFmtId="14" fontId="69" fillId="0" borderId="53" applyAlignment="1" pivotButton="0" quotePrefix="0" xfId="0">
      <alignment horizontal="center" vertical="center" wrapText="1"/>
    </xf>
    <xf numFmtId="171" fontId="9" fillId="19" borderId="0" applyAlignment="1" pivotButton="0" quotePrefix="0" xfId="0">
      <alignment vertical="center" wrapText="1"/>
    </xf>
    <xf numFmtId="171" fontId="12" fillId="19" borderId="0" applyAlignment="1" pivotButton="0" quotePrefix="0" xfId="0">
      <alignment vertical="center" wrapText="1"/>
    </xf>
    <xf numFmtId="169" fontId="12" fillId="19" borderId="0" applyAlignment="1" pivotButton="0" quotePrefix="0" xfId="0">
      <alignment vertical="center" wrapText="1"/>
    </xf>
    <xf numFmtId="0" fontId="12" fillId="19" borderId="0" applyAlignment="1" pivotButton="0" quotePrefix="0" xfId="0">
      <alignment horizontal="center" vertical="center" wrapText="1"/>
    </xf>
    <xf numFmtId="169" fontId="12" fillId="19" borderId="0" applyAlignment="1" pivotButton="0" quotePrefix="0" xfId="0">
      <alignment wrapText="1"/>
    </xf>
    <xf numFmtId="14" fontId="70" fillId="0" borderId="53" applyAlignment="1" pivotButton="0" quotePrefix="0" xfId="0">
      <alignment horizontal="center" vertical="center" wrapText="1"/>
    </xf>
    <xf numFmtId="171" fontId="9" fillId="0" borderId="9" applyAlignment="1" pivotButton="0" quotePrefix="0" xfId="0">
      <alignment vertical="center" wrapText="1"/>
    </xf>
    <xf numFmtId="171" fontId="12" fillId="0" borderId="9" applyAlignment="1" pivotButton="0" quotePrefix="0" xfId="0">
      <alignment vertical="center" wrapText="1"/>
    </xf>
    <xf numFmtId="169" fontId="12" fillId="0" borderId="9" applyAlignment="1" pivotButton="0" quotePrefix="0" xfId="0">
      <alignment vertical="center" wrapText="1"/>
    </xf>
    <xf numFmtId="0" fontId="12" fillId="0" borderId="9" applyAlignment="1" pivotButton="0" quotePrefix="0" xfId="0">
      <alignment horizontal="center" vertical="center" wrapText="1"/>
    </xf>
    <xf numFmtId="169" fontId="12" fillId="0" borderId="9" applyAlignment="1" pivotButton="0" quotePrefix="0" xfId="0">
      <alignment wrapText="1"/>
    </xf>
    <xf numFmtId="14" fontId="69" fillId="0" borderId="54" applyAlignment="1" pivotButton="0" quotePrefix="0" xfId="0">
      <alignment horizontal="left" vertical="center" wrapText="1"/>
    </xf>
    <xf numFmtId="171" fontId="9" fillId="0" borderId="0" applyAlignment="1" pivotButton="0" quotePrefix="0" xfId="0">
      <alignment vertical="center" wrapText="1"/>
    </xf>
    <xf numFmtId="171" fontId="12" fillId="0" borderId="0" applyAlignment="1" pivotButton="0" quotePrefix="0" xfId="0">
      <alignment vertical="center" wrapText="1"/>
    </xf>
    <xf numFmtId="169" fontId="12" fillId="0" borderId="0" applyAlignment="1" pivotButton="0" quotePrefix="0" xfId="0">
      <alignment vertical="center" wrapText="1"/>
    </xf>
    <xf numFmtId="0" fontId="12" fillId="0" borderId="0" applyAlignment="1" pivotButton="0" quotePrefix="0" xfId="0">
      <alignment horizontal="center" vertical="center" wrapText="1"/>
    </xf>
    <xf numFmtId="169" fontId="12" fillId="0" borderId="0" applyAlignment="1" pivotButton="0" quotePrefix="0" xfId="0">
      <alignment wrapText="1"/>
    </xf>
    <xf numFmtId="164" fontId="11" fillId="0" borderId="0" applyAlignment="1" pivotButton="0" quotePrefix="0" xfId="0">
      <alignment horizontal="center" vertical="center" wrapText="1"/>
    </xf>
  </cellXfs>
  <cellStyles count="16">
    <cellStyle name="Normal" xfId="0" builtinId="0"/>
    <cellStyle name="Milliers" xfId="1" builtinId="3"/>
    <cellStyle name="Pourcentage" xfId="2" builtinId="5"/>
    <cellStyle name="Lien hypertexte 2" xfId="3"/>
    <cellStyle name="Milliers 10" xfId="4"/>
    <cellStyle name="Milliers 2" xfId="5"/>
    <cellStyle name="Milliers 2 2" xfId="6"/>
    <cellStyle name="Milliers 2 3" xfId="7"/>
    <cellStyle name="Milliers 3" xfId="8"/>
    <cellStyle name="Milliers 3 2" xfId="9"/>
    <cellStyle name="Milliers 4" xfId="10"/>
    <cellStyle name="Normal 11" xfId="11"/>
    <cellStyle name="Normal 2" xfId="12"/>
    <cellStyle name="Normal 4" xfId="13"/>
    <cellStyle name="Normal 5" xfId="14"/>
    <cellStyle name="Normal 10" xfId="15"/>
  </cellStyles>
  <dxfs count="711">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70" formatCode="#,##0.00\ [$MAD]"/>
      <alignment horizontal="general"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9" formatCode="#,##0.00\ &quot;€&quot;"/>
      <fill>
        <patternFill>
          <fgColor indexed="64"/>
          <bgColor indexed="65"/>
        </patternFill>
      </fill>
      <alignment horizontal="right" vertical="center" wrapText="1"/>
      <border>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alignment horizontal="center"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indexed="64"/>
          <bgColor theme="0"/>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fgColor indexed="64"/>
          <bgColor indexed="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0" formatCode="General"/>
      <alignment horizontal="center" vertical="center" wrapText="1"/>
      <border>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patternType="solid">
          <fgColor indexed="64"/>
          <bgColor rgb="FFFFFF00"/>
        </patternFill>
      </fill>
      <alignment horizontal="center" vertical="center" wrapText="1"/>
      <border outline="0">
        <left/>
        <right style="thin">
          <color auto="1"/>
        </right>
        <top style="thin">
          <color auto="1"/>
        </top>
        <bottom style="thin">
          <color auto="1"/>
        </bottom>
      </border>
      <protection locked="1" hidden="0"/>
    </dxf>
    <dxf>
      <border outline="0">
        <left style="thin">
          <color auto="1"/>
        </left>
        <bottom style="thin">
          <color auto="1"/>
        </bottom>
      </border>
    </dxf>
    <dxf>
      <font>
        <name val="Calibri"/>
        <strike val="0"/>
        <outline val="0"/>
        <shadow val="0"/>
        <sz val="10"/>
        <vertAlign val="baseline"/>
      </font>
      <alignment vertical="center"/>
    </dxf>
    <dxf>
      <font>
        <name val="Calibri"/>
        <b val="1"/>
        <strike val="0"/>
        <outline val="0"/>
        <shadow val="0"/>
        <condense val="0"/>
        <color rgb="FFFFFFFF"/>
        <extend val="0"/>
        <sz val="10"/>
        <vertAlign val="baseline"/>
      </font>
      <fill>
        <patternFill patternType="solid">
          <fgColor rgb="FFA6A6A6"/>
          <bgColor rgb="FF2E75B6"/>
        </patternFill>
      </fill>
      <alignment horizontal="center" vertical="center" wrapText="1"/>
      <border outline="0">
        <left style="thin">
          <color theme="0" tint="-0.3499862666707358"/>
        </left>
        <right style="thin">
          <color theme="0" tint="-0.3499862666707358"/>
        </right>
        <top/>
        <bottom/>
      </border>
      <protection locked="1" hidden="0"/>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ill>
        <patternFill patternType="solid">
          <fgColor rgb="FFFCE4E4"/>
        </patternFill>
      </fill>
    </dxf>
    <dxf>
      <fill>
        <patternFill patternType="solid">
          <fgColor rgb="FFFCE4E4"/>
        </patternFill>
      </fill>
    </dxf>
    <dxf>
      <fill>
        <patternFill patternType="solid">
          <fgColor rgb="00FCE4E4"/>
        </patternFill>
      </fill>
    </dxf>
    <dxf>
      <fill>
        <patternFill patternType="solid">
          <fgColor rgb="00E2EFDA"/>
          <bgColor rgb="00E2EFDA"/>
        </patternFill>
      </fill>
    </dxf>
    <dxf>
      <fill>
        <patternFill patternType="solid">
          <fgColor rgb="00FFF2CC"/>
          <bgColor rgb="00FFF2CC"/>
        </patternFill>
      </fill>
    </dxf>
    <dxf>
      <fill>
        <patternFill patternType="solid">
          <fgColor rgb="00DDEBF7"/>
          <bgColor rgb="00DDEBF7"/>
        </patternFill>
      </fill>
    </dxf>
    <dxf>
      <fill>
        <patternFill patternType="solid">
          <fgColor rgb="00E4DFEC"/>
          <bgColor rgb="00E4DFEC"/>
        </patternFill>
      </fill>
    </dxf>
    <dxf>
      <fill>
        <patternFill patternType="solid">
          <fgColor rgb="00FCE4E4"/>
          <bgColor rgb="00FCE4E4"/>
        </patternFill>
      </fill>
    </dxf>
    <dxf>
      <font>
        <b val="1"/>
        <color rgb="00006100"/>
      </font>
    </dxf>
    <dxf>
      <font>
        <b val="1"/>
        <color rgb="009C6500"/>
      </font>
    </dxf>
    <dxf>
      <font>
        <b val="1"/>
        <color rgb="001F4E79"/>
      </font>
    </dxf>
    <dxf>
      <font>
        <b val="1"/>
        <color rgb="005F497A"/>
      </font>
    </dxf>
    <dxf>
      <font>
        <b val="1"/>
        <color rgb="00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Nb dossiers par Type de BCI (direction sélectionnée)</a:t>
            </a:r>
          </a:p>
        </rich>
      </tx>
    </title>
    <plotArea>
      <barChart>
        <barDir val="col"/>
        <grouping val="clustered"/>
        <ser>
          <idx val="0"/>
          <order val="0"/>
          <tx>
            <strRef>
              <f>'Filtre Interactif'!B9</f>
            </strRef>
          </tx>
          <spPr>
            <a:ln>
              <a:prstDash val="solid"/>
            </a:ln>
          </spPr>
          <cat>
            <numRef>
              <f>'Filtre Interactif'!$A$10:$A$15</f>
            </numRef>
          </cat>
          <val>
            <numRef>
              <f>'Filtre Interactif'!$B$10:$B$15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Statuts d'engagement (direction + BCI sélectionnés)</a:t>
            </a:r>
          </a:p>
        </rich>
      </tx>
    </title>
    <plotArea>
      <barChart>
        <barDir val="col"/>
        <grouping val="clustered"/>
        <ser>
          <idx val="0"/>
          <order val="0"/>
          <tx>
            <strRef>
              <f>'Filtre Interactif'!B19</f>
            </strRef>
          </tx>
          <spPr>
            <a:ln>
              <a:prstDash val="solid"/>
            </a:ln>
          </spPr>
          <cat>
            <numRef>
              <f>'Filtre Interactif'!$A$20:$A$24</f>
            </numRef>
          </cat>
          <val>
            <numRef>
              <f>'Filtre Interactif'!$B$20:$B$24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Non Engagé — Infructueux / Annulé (direction sélectionnée)</a:t>
            </a:r>
          </a:p>
        </rich>
      </tx>
    </title>
    <plotArea>
      <barChart>
        <barDir val="col"/>
        <grouping val="clustered"/>
        <ser>
          <idx val="0"/>
          <order val="0"/>
          <tx>
            <strRef>
              <f>'Filtre Interactif'!B28</f>
            </strRef>
          </tx>
          <spPr>
            <a:ln>
              <a:prstDash val="solid"/>
            </a:ln>
          </spPr>
          <cat>
            <numRef>
              <f>'Filtre Interactif'!$A$29:$A$31</f>
            </numRef>
          </cat>
          <val>
            <numRef>
              <f>'Filtre Interactif'!$B$29:$B$31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Taux d'engagement (%) par Direction</a:t>
            </a:r>
          </a:p>
        </rich>
      </tx>
    </title>
    <plotArea>
      <barChart>
        <barDir val="col"/>
        <grouping val="clustered"/>
        <ser>
          <idx val="0"/>
          <order val="0"/>
          <tx>
            <strRef>
              <f>'Tableau de Bord Suivi'!D65</f>
            </strRef>
          </tx>
          <spPr>
            <a:ln>
              <a:prstDash val="solid"/>
            </a:ln>
          </spPr>
          <cat>
            <numRef>
              <f>'Tableau de Bord Suivi'!$A$66:$A$88</f>
            </numRef>
          </cat>
          <val>
            <numRef>
              <f>'Tableau de Bord Suivi'!$D$66:$D$88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7</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26</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64</row>
      <rowOff>0</rowOff>
    </from>
    <ext cx="864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8</col>
      <colOff>0</colOff>
      <row>29</row>
      <rowOff>22680</rowOff>
    </from>
    <to>
      <col>9</col>
      <colOff>165240</colOff>
      <row>32</row>
      <rowOff>163800</rowOff>
    </to>
    <pic>
      <nvPicPr>
        <cNvPr id="2" name="Image 2"/>
        <cNvPicPr/>
      </nvPicPr>
      <blipFill>
        <a:blip r:embed="rId1"/>
        <a:stretch>
          <a:fillRect/>
        </a:stretch>
      </blipFill>
      <spPr>
        <a:xfrm>
          <a:off x="16658640" y="5547240"/>
          <a:ext cx="917640" cy="712440"/>
        </a:xfrm>
        <a:prstGeom prst="rect">
          <avLst/>
        </a:prstGeom>
        <a:noFill/>
        <a:ln w="0">
          <a:noFill/>
          <a:prstDash val="solid"/>
        </a:ln>
      </spPr>
    </pic>
    <clientData/>
  </twoCellAnchor>
</wsDr>
</file>

<file path=xl/tables/table1.xml><?xml version="1.0" encoding="utf-8"?>
<table xmlns="http://schemas.openxmlformats.org/spreadsheetml/2006/main" id="1" name="Tableau1" displayName="Tableau1" ref="A127:B135" headerRowCount="1">
  <autoFilter ref="A127:B135"/>
  <tableColumns count="2">
    <tableColumn id="1" name="STATUT SUPPORT D'ENGAGEMENT"/>
    <tableColumn id="2" name="MONTANT"/>
  </tableColumns>
  <tableStyleInfo showFirstColumn="0" showLastColumn="0" showRowStripes="1" showColumnStripes="0"/>
</table>
</file>

<file path=xl/tables/table2.xml><?xml version="1.0" encoding="utf-8"?>
<table xmlns="http://schemas.openxmlformats.org/spreadsheetml/2006/main" id="2" name="Engagements2026Juillet" displayName="Engagements2026Juillet" ref="A1:AM685" headerRowCount="1">
  <autoFilter ref="A1:AM685"/>
  <tableColumns count="39">
    <tableColumn id="1" name="ANNEE LANCEMENT"/>
    <tableColumn id="2" name="DIRECTION "/>
    <tableColumn id="3" name="REF"/>
    <tableColumn id="4" name="BCI"/>
    <tableColumn id="5" name="LOTS"/>
    <tableColumn id="6" name="OBJET"/>
    <tableColumn id="7" name="STATUT 1"/>
    <tableColumn id="8" name="STATUT SUPPORT D'ENGAGEMENT"/>
    <tableColumn id="9" name="N° SUPPORT D'ENGAGEMENT"/>
    <tableColumn id="10" name="CATEGORIES"/>
    <tableColumn id="11" name="TYPE BUDGET"/>
    <tableColumn id="12" name="BUDGET"/>
    <tableColumn id="13" name="LIGNES BUDGETAIRES"/>
    <tableColumn id="14" name="MONTANT PREENGAGE INITIAL"/>
    <tableColumn id="15" name="ESTIMATION TTC"/>
    <tableColumn id="16" name="ESTIMATION HT"/>
    <tableColumn id="17" name="NATURE BESOIN"/>
    <tableColumn id="18" name="DEBUT REC"/>
    <tableColumn id="19" name="FIN REC"/>
    <tableColumn id="20" name="ADJUDICATAIRE / FRS"/>
    <tableColumn id="21" name="ANNEE APPROBATION"/>
    <tableColumn id="22" name="DATE DE LA FICHE"/>
    <tableColumn id="23" name="DATE VISA"/>
    <tableColumn id="24" name="DATE APPROB"/>
    <tableColumn id="25" name="MONTANT MARCHE HT PART EN MAD"/>
    <tableColumn id="26" name="MONTANT MARCHE HT PART EN DEVISES"/>
    <tableColumn id="27" name="MONTANT MARCHE TTC  PART EN MAD"/>
    <tableColumn id="28" name="MONTANT MARCHE TTC  PART EN DEVISES"/>
    <tableColumn id="29" name="TOTAL MARCHE HT TOTAL ENGAGE HT"/>
    <tableColumn id="30" name="TOTAL MARCHE TTC TOTAL ENGAGE TTC"/>
    <tableColumn id="31" name="STATUT D'ENGAGEMENT"/>
    <tableColumn id="32" name="Remarque (archive)"/>
    <tableColumn id="33" name="Reserve"/>
    <tableColumn id="34" name="PREVISION PPA HT"/>
    <tableColumn id="35" name="ECART ESTIMATION HT-PPA HT"/>
    <tableColumn id="36" name="ECART ENGAGEMENT HT-PPA HT"/>
    <tableColumn id="37" name="ECART ESTIMATION_x000a_eng/estim"/>
    <tableColumn id="38" name="ECART PPA_x000a_enga/ppa"/>
    <tableColumn id="39" name="REMARQUE"/>
  </tableColumns>
  <tableStyleInfo name="TableStyleLight1" showFirstColumn="0" showLastColumn="0" showRowStripes="0"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1.xml" Id="rId2"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N28"/>
  <sheetViews>
    <sheetView showGridLines="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style="392" min="1" max="1"/>
    <col width="13" customWidth="1" style="392" min="2" max="2"/>
    <col width="13" customWidth="1" style="392" min="3" max="3"/>
    <col width="13" customWidth="1" style="392" min="4" max="4"/>
    <col width="13" customWidth="1" style="392" min="5" max="5"/>
    <col width="13" customWidth="1" style="392" min="6" max="6"/>
    <col width="16" customWidth="1" style="392" min="7" max="7"/>
    <col width="13" customWidth="1" style="392" min="8" max="8"/>
    <col width="13" customWidth="1" style="392" min="9" max="9"/>
    <col width="13" customWidth="1" style="392" min="10" max="10"/>
    <col width="13" customWidth="1" style="392" min="11" max="11"/>
    <col width="13" customWidth="1" style="392" min="12" max="12"/>
    <col width="16" customWidth="1" style="392" min="13" max="13"/>
    <col width="18" customWidth="1" style="392" min="14" max="14"/>
  </cols>
  <sheetData>
    <row r="1" ht="30" customHeight="1" s="392">
      <c r="A1" s="620" t="inlineStr">
        <is>
          <t>TABLEAU DE BORD DES ENGAGEMENTS BUDGÉTAIRES 2026 — SNRT</t>
        </is>
      </c>
    </row>
    <row r="2" ht="16" customHeight="1" s="392">
      <c r="A2" s="621" t="inlineStr">
        <is>
          <t>Montants en MAD TTC — calculés dynamiquement (SUMIFS) depuis la feuille « Données Suivi »</t>
        </is>
      </c>
    </row>
    <row r="3" ht="22" customHeight="1" s="392">
      <c r="A3" s="622" t="inlineStr">
        <is>
          <t>DIRECTION</t>
        </is>
      </c>
      <c r="B3" s="623" t="inlineStr">
        <is>
          <t>FONCTIONNEMENT</t>
        </is>
      </c>
      <c r="C3" s="639" t="n"/>
      <c r="D3" s="639" t="n"/>
      <c r="E3" s="639" t="n"/>
      <c r="F3" s="639" t="n"/>
      <c r="G3" s="640" t="n"/>
      <c r="H3" s="625" t="inlineStr">
        <is>
          <t>INVESTISSEMENT</t>
        </is>
      </c>
      <c r="I3" s="639" t="n"/>
      <c r="J3" s="639" t="n"/>
      <c r="K3" s="639" t="n"/>
      <c r="L3" s="639" t="n"/>
      <c r="M3" s="640" t="n"/>
      <c r="N3" s="626" t="inlineStr">
        <is>
          <t>TOTAL GÉNÉRAL</t>
        </is>
      </c>
    </row>
    <row r="4" ht="40" customHeight="1" s="392">
      <c r="A4" s="641" t="n"/>
      <c r="B4" s="627" t="inlineStr">
        <is>
          <t>ENGAGE</t>
        </is>
      </c>
      <c r="C4" s="627" t="inlineStr">
        <is>
          <t>PREENGAGE</t>
        </is>
      </c>
      <c r="D4" s="627" t="inlineStr">
        <is>
          <t>EN COURS D'ENGAGEMENT</t>
        </is>
      </c>
      <c r="E4" s="627" t="inlineStr">
        <is>
          <t>EN COURS DE PREENGAGEMENT</t>
        </is>
      </c>
      <c r="F4" s="627" t="inlineStr">
        <is>
          <t>NON ENGAGE</t>
        </is>
      </c>
      <c r="G4" s="627" t="inlineStr">
        <is>
          <t>TOTAL FONC.</t>
        </is>
      </c>
      <c r="H4" s="628" t="inlineStr">
        <is>
          <t>ENGAGE</t>
        </is>
      </c>
      <c r="I4" s="628" t="inlineStr">
        <is>
          <t>PREENGAGE</t>
        </is>
      </c>
      <c r="J4" s="628" t="inlineStr">
        <is>
          <t>EN COURS D'ENGAGEMENT</t>
        </is>
      </c>
      <c r="K4" s="628" t="inlineStr">
        <is>
          <t>EN COURS DE PREENGAGEMENT</t>
        </is>
      </c>
      <c r="L4" s="628" t="inlineStr">
        <is>
          <t>NON ENGAGE</t>
        </is>
      </c>
      <c r="M4" s="628" t="inlineStr">
        <is>
          <t>TOTAL INVE.</t>
        </is>
      </c>
      <c r="N4" s="641" t="n"/>
    </row>
    <row r="5">
      <c r="A5" s="629" t="inlineStr">
        <is>
          <t>ARRIYADIA</t>
        </is>
      </c>
      <c r="B5" s="630">
        <f>SUMIFS('Données Suivi'!$J$2:$J$3000,'Données Suivi'!$A$2:$A$3000,$A5,'Données Suivi'!$O$2:$O$3000,"FONCTIONNEMENT",'Données Suivi'!$H$2:$H$3000,"ENGAGE")</f>
        <v/>
      </c>
      <c r="C5" s="630">
        <f>SUMIFS('Données Suivi'!$J$2:$J$3000,'Données Suivi'!$A$2:$A$3000,$A5,'Données Suivi'!$O$2:$O$3000,"FONCTIONNEMENT",'Données Suivi'!$H$2:$H$3000,"PREENGAGE")</f>
        <v/>
      </c>
      <c r="D5" s="630">
        <f>SUMIFS('Données Suivi'!$J$2:$J$3000,'Données Suivi'!$A$2:$A$3000,$A5,'Données Suivi'!$O$2:$O$3000,"FONCTIONNEMENT",'Données Suivi'!$H$2:$H$3000,"EN COURS D'ENGAGEMENT")</f>
        <v/>
      </c>
      <c r="E5" s="630">
        <f>SUMIFS('Données Suivi'!$J$2:$J$3000,'Données Suivi'!$A$2:$A$3000,$A5,'Données Suivi'!$O$2:$O$3000,"FONCTIONNEMENT",'Données Suivi'!$H$2:$H$3000,"EN COURS DE PREENGAGEMENT")</f>
        <v/>
      </c>
      <c r="F5" s="630">
        <f>SUMIFS('Données Suivi'!$J$2:$J$3000,'Données Suivi'!$A$2:$A$3000,$A5,'Données Suivi'!$O$2:$O$3000,"FONCTIONNEMENT",'Données Suivi'!$H$2:$H$3000,"NON ENGAGE")</f>
        <v/>
      </c>
      <c r="G5" s="631">
        <f>B5+C5+D5+E5+F5</f>
        <v/>
      </c>
      <c r="H5" s="632">
        <f>SUMIFS('Données Suivi'!$J$2:$J$3000,'Données Suivi'!$A$2:$A$3000,$A5,'Données Suivi'!$O$2:$O$3000,"INVESTISSEMENT",'Données Suivi'!$H$2:$H$3000,"ENGAGE")</f>
        <v/>
      </c>
      <c r="I5" s="632">
        <f>SUMIFS('Données Suivi'!$J$2:$J$3000,'Données Suivi'!$A$2:$A$3000,$A5,'Données Suivi'!$O$2:$O$3000,"INVESTISSEMENT",'Données Suivi'!$H$2:$H$3000,"PREENGAGE")</f>
        <v/>
      </c>
      <c r="J5" s="632">
        <f>SUMIFS('Données Suivi'!$J$2:$J$3000,'Données Suivi'!$A$2:$A$3000,$A5,'Données Suivi'!$O$2:$O$3000,"INVESTISSEMENT",'Données Suivi'!$H$2:$H$3000,"EN COURS D'ENGAGEMENT")</f>
        <v/>
      </c>
      <c r="K5" s="632">
        <f>SUMIFS('Données Suivi'!$J$2:$J$3000,'Données Suivi'!$A$2:$A$3000,$A5,'Données Suivi'!$O$2:$O$3000,"INVESTISSEMENT",'Données Suivi'!$H$2:$H$3000,"EN COURS DE PREENGAGEMENT")</f>
        <v/>
      </c>
      <c r="L5" s="632">
        <f>SUMIFS('Données Suivi'!$J$2:$J$3000,'Données Suivi'!$A$2:$A$3000,$A5,'Données Suivi'!$O$2:$O$3000,"INVESTISSEMENT",'Données Suivi'!$H$2:$H$3000,"NON ENGAGE")</f>
        <v/>
      </c>
      <c r="M5" s="633">
        <f>H5+I5+J5+K5+L5</f>
        <v/>
      </c>
      <c r="N5" s="634">
        <f>G5+M5</f>
        <v/>
      </c>
    </row>
    <row r="6">
      <c r="A6" s="629" t="inlineStr">
        <is>
          <t>ASSADISSA</t>
        </is>
      </c>
      <c r="B6" s="630">
        <f>SUMIFS('Données Suivi'!$J$2:$J$3000,'Données Suivi'!$A$2:$A$3000,$A6,'Données Suivi'!$O$2:$O$3000,"FONCTIONNEMENT",'Données Suivi'!$H$2:$H$3000,"ENGAGE")</f>
        <v/>
      </c>
      <c r="C6" s="630">
        <f>SUMIFS('Données Suivi'!$J$2:$J$3000,'Données Suivi'!$A$2:$A$3000,$A6,'Données Suivi'!$O$2:$O$3000,"FONCTIONNEMENT",'Données Suivi'!$H$2:$H$3000,"PREENGAGE")</f>
        <v/>
      </c>
      <c r="D6" s="630">
        <f>SUMIFS('Données Suivi'!$J$2:$J$3000,'Données Suivi'!$A$2:$A$3000,$A6,'Données Suivi'!$O$2:$O$3000,"FONCTIONNEMENT",'Données Suivi'!$H$2:$H$3000,"EN COURS D'ENGAGEMENT")</f>
        <v/>
      </c>
      <c r="E6" s="630">
        <f>SUMIFS('Données Suivi'!$J$2:$J$3000,'Données Suivi'!$A$2:$A$3000,$A6,'Données Suivi'!$O$2:$O$3000,"FONCTIONNEMENT",'Données Suivi'!$H$2:$H$3000,"EN COURS DE PREENGAGEMENT")</f>
        <v/>
      </c>
      <c r="F6" s="630">
        <f>SUMIFS('Données Suivi'!$J$2:$J$3000,'Données Suivi'!$A$2:$A$3000,$A6,'Données Suivi'!$O$2:$O$3000,"FONCTIONNEMENT",'Données Suivi'!$H$2:$H$3000,"NON ENGAGE")</f>
        <v/>
      </c>
      <c r="G6" s="631">
        <f>B6+C6+D6+E6+F6</f>
        <v/>
      </c>
      <c r="H6" s="632">
        <f>SUMIFS('Données Suivi'!$J$2:$J$3000,'Données Suivi'!$A$2:$A$3000,$A6,'Données Suivi'!$O$2:$O$3000,"INVESTISSEMENT",'Données Suivi'!$H$2:$H$3000,"ENGAGE")</f>
        <v/>
      </c>
      <c r="I6" s="632">
        <f>SUMIFS('Données Suivi'!$J$2:$J$3000,'Données Suivi'!$A$2:$A$3000,$A6,'Données Suivi'!$O$2:$O$3000,"INVESTISSEMENT",'Données Suivi'!$H$2:$H$3000,"PREENGAGE")</f>
        <v/>
      </c>
      <c r="J6" s="632">
        <f>SUMIFS('Données Suivi'!$J$2:$J$3000,'Données Suivi'!$A$2:$A$3000,$A6,'Données Suivi'!$O$2:$O$3000,"INVESTISSEMENT",'Données Suivi'!$H$2:$H$3000,"EN COURS D'ENGAGEMENT")</f>
        <v/>
      </c>
      <c r="K6" s="632">
        <f>SUMIFS('Données Suivi'!$J$2:$J$3000,'Données Suivi'!$A$2:$A$3000,$A6,'Données Suivi'!$O$2:$O$3000,"INVESTISSEMENT",'Données Suivi'!$H$2:$H$3000,"EN COURS DE PREENGAGEMENT")</f>
        <v/>
      </c>
      <c r="L6" s="632">
        <f>SUMIFS('Données Suivi'!$J$2:$J$3000,'Données Suivi'!$A$2:$A$3000,$A6,'Données Suivi'!$O$2:$O$3000,"INVESTISSEMENT",'Données Suivi'!$H$2:$H$3000,"NON ENGAGE")</f>
        <v/>
      </c>
      <c r="M6" s="633">
        <f>H6+I6+J6+K6+L6</f>
        <v/>
      </c>
      <c r="N6" s="634">
        <f>G6+M6</f>
        <v/>
      </c>
    </row>
    <row r="7">
      <c r="A7" s="629" t="inlineStr">
        <is>
          <t>DA</t>
        </is>
      </c>
      <c r="B7" s="630">
        <f>SUMIFS('Données Suivi'!$J$2:$J$3000,'Données Suivi'!$A$2:$A$3000,$A7,'Données Suivi'!$O$2:$O$3000,"FONCTIONNEMENT",'Données Suivi'!$H$2:$H$3000,"ENGAGE")</f>
        <v/>
      </c>
      <c r="C7" s="630">
        <f>SUMIFS('Données Suivi'!$J$2:$J$3000,'Données Suivi'!$A$2:$A$3000,$A7,'Données Suivi'!$O$2:$O$3000,"FONCTIONNEMENT",'Données Suivi'!$H$2:$H$3000,"PREENGAGE")</f>
        <v/>
      </c>
      <c r="D7" s="630">
        <f>SUMIFS('Données Suivi'!$J$2:$J$3000,'Données Suivi'!$A$2:$A$3000,$A7,'Données Suivi'!$O$2:$O$3000,"FONCTIONNEMENT",'Données Suivi'!$H$2:$H$3000,"EN COURS D'ENGAGEMENT")</f>
        <v/>
      </c>
      <c r="E7" s="630">
        <f>SUMIFS('Données Suivi'!$J$2:$J$3000,'Données Suivi'!$A$2:$A$3000,$A7,'Données Suivi'!$O$2:$O$3000,"FONCTIONNEMENT",'Données Suivi'!$H$2:$H$3000,"EN COURS DE PREENGAGEMENT")</f>
        <v/>
      </c>
      <c r="F7" s="630">
        <f>SUMIFS('Données Suivi'!$J$2:$J$3000,'Données Suivi'!$A$2:$A$3000,$A7,'Données Suivi'!$O$2:$O$3000,"FONCTIONNEMENT",'Données Suivi'!$H$2:$H$3000,"NON ENGAGE")</f>
        <v/>
      </c>
      <c r="G7" s="631">
        <f>B7+C7+D7+E7+F7</f>
        <v/>
      </c>
      <c r="H7" s="632">
        <f>SUMIFS('Données Suivi'!$J$2:$J$3000,'Données Suivi'!$A$2:$A$3000,$A7,'Données Suivi'!$O$2:$O$3000,"INVESTISSEMENT",'Données Suivi'!$H$2:$H$3000,"ENGAGE")</f>
        <v/>
      </c>
      <c r="I7" s="632">
        <f>SUMIFS('Données Suivi'!$J$2:$J$3000,'Données Suivi'!$A$2:$A$3000,$A7,'Données Suivi'!$O$2:$O$3000,"INVESTISSEMENT",'Données Suivi'!$H$2:$H$3000,"PREENGAGE")</f>
        <v/>
      </c>
      <c r="J7" s="632">
        <f>SUMIFS('Données Suivi'!$J$2:$J$3000,'Données Suivi'!$A$2:$A$3000,$A7,'Données Suivi'!$O$2:$O$3000,"INVESTISSEMENT",'Données Suivi'!$H$2:$H$3000,"EN COURS D'ENGAGEMENT")</f>
        <v/>
      </c>
      <c r="K7" s="632">
        <f>SUMIFS('Données Suivi'!$J$2:$J$3000,'Données Suivi'!$A$2:$A$3000,$A7,'Données Suivi'!$O$2:$O$3000,"INVESTISSEMENT",'Données Suivi'!$H$2:$H$3000,"EN COURS DE PREENGAGEMENT")</f>
        <v/>
      </c>
      <c r="L7" s="632">
        <f>SUMIFS('Données Suivi'!$J$2:$J$3000,'Données Suivi'!$A$2:$A$3000,$A7,'Données Suivi'!$O$2:$O$3000,"INVESTISSEMENT",'Données Suivi'!$H$2:$H$3000,"NON ENGAGE")</f>
        <v/>
      </c>
      <c r="M7" s="633">
        <f>H7+I7+J7+K7+L7</f>
        <v/>
      </c>
      <c r="N7" s="634">
        <f>G7+M7</f>
        <v/>
      </c>
    </row>
    <row r="8">
      <c r="A8" s="629" t="inlineStr">
        <is>
          <t>DACG</t>
        </is>
      </c>
      <c r="B8" s="630">
        <f>SUMIFS('Données Suivi'!$J$2:$J$3000,'Données Suivi'!$A$2:$A$3000,$A8,'Données Suivi'!$O$2:$O$3000,"FONCTIONNEMENT",'Données Suivi'!$H$2:$H$3000,"ENGAGE")</f>
        <v/>
      </c>
      <c r="C8" s="630">
        <f>SUMIFS('Données Suivi'!$J$2:$J$3000,'Données Suivi'!$A$2:$A$3000,$A8,'Données Suivi'!$O$2:$O$3000,"FONCTIONNEMENT",'Données Suivi'!$H$2:$H$3000,"PREENGAGE")</f>
        <v/>
      </c>
      <c r="D8" s="630">
        <f>SUMIFS('Données Suivi'!$J$2:$J$3000,'Données Suivi'!$A$2:$A$3000,$A8,'Données Suivi'!$O$2:$O$3000,"FONCTIONNEMENT",'Données Suivi'!$H$2:$H$3000,"EN COURS D'ENGAGEMENT")</f>
        <v/>
      </c>
      <c r="E8" s="630">
        <f>SUMIFS('Données Suivi'!$J$2:$J$3000,'Données Suivi'!$A$2:$A$3000,$A8,'Données Suivi'!$O$2:$O$3000,"FONCTIONNEMENT",'Données Suivi'!$H$2:$H$3000,"EN COURS DE PREENGAGEMENT")</f>
        <v/>
      </c>
      <c r="F8" s="630">
        <f>SUMIFS('Données Suivi'!$J$2:$J$3000,'Données Suivi'!$A$2:$A$3000,$A8,'Données Suivi'!$O$2:$O$3000,"FONCTIONNEMENT",'Données Suivi'!$H$2:$H$3000,"NON ENGAGE")</f>
        <v/>
      </c>
      <c r="G8" s="631">
        <f>B8+C8+D8+E8+F8</f>
        <v/>
      </c>
      <c r="H8" s="632">
        <f>SUMIFS('Données Suivi'!$J$2:$J$3000,'Données Suivi'!$A$2:$A$3000,$A8,'Données Suivi'!$O$2:$O$3000,"INVESTISSEMENT",'Données Suivi'!$H$2:$H$3000,"ENGAGE")</f>
        <v/>
      </c>
      <c r="I8" s="632">
        <f>SUMIFS('Données Suivi'!$J$2:$J$3000,'Données Suivi'!$A$2:$A$3000,$A8,'Données Suivi'!$O$2:$O$3000,"INVESTISSEMENT",'Données Suivi'!$H$2:$H$3000,"PREENGAGE")</f>
        <v/>
      </c>
      <c r="J8" s="632">
        <f>SUMIFS('Données Suivi'!$J$2:$J$3000,'Données Suivi'!$A$2:$A$3000,$A8,'Données Suivi'!$O$2:$O$3000,"INVESTISSEMENT",'Données Suivi'!$H$2:$H$3000,"EN COURS D'ENGAGEMENT")</f>
        <v/>
      </c>
      <c r="K8" s="632">
        <f>SUMIFS('Données Suivi'!$J$2:$J$3000,'Données Suivi'!$A$2:$A$3000,$A8,'Données Suivi'!$O$2:$O$3000,"INVESTISSEMENT",'Données Suivi'!$H$2:$H$3000,"EN COURS DE PREENGAGEMENT")</f>
        <v/>
      </c>
      <c r="L8" s="632">
        <f>SUMIFS('Données Suivi'!$J$2:$J$3000,'Données Suivi'!$A$2:$A$3000,$A8,'Données Suivi'!$O$2:$O$3000,"INVESTISSEMENT",'Données Suivi'!$H$2:$H$3000,"NON ENGAGE")</f>
        <v/>
      </c>
      <c r="M8" s="633">
        <f>H8+I8+J8+K8+L8</f>
        <v/>
      </c>
      <c r="N8" s="634">
        <f>G8+M8</f>
        <v/>
      </c>
    </row>
    <row r="9">
      <c r="A9" s="629" t="inlineStr">
        <is>
          <t>DAR</t>
        </is>
      </c>
      <c r="B9" s="630">
        <f>SUMIFS('Données Suivi'!$J$2:$J$3000,'Données Suivi'!$A$2:$A$3000,$A9,'Données Suivi'!$O$2:$O$3000,"FONCTIONNEMENT",'Données Suivi'!$H$2:$H$3000,"ENGAGE")</f>
        <v/>
      </c>
      <c r="C9" s="630">
        <f>SUMIFS('Données Suivi'!$J$2:$J$3000,'Données Suivi'!$A$2:$A$3000,$A9,'Données Suivi'!$O$2:$O$3000,"FONCTIONNEMENT",'Données Suivi'!$H$2:$H$3000,"PREENGAGE")</f>
        <v/>
      </c>
      <c r="D9" s="630">
        <f>SUMIFS('Données Suivi'!$J$2:$J$3000,'Données Suivi'!$A$2:$A$3000,$A9,'Données Suivi'!$O$2:$O$3000,"FONCTIONNEMENT",'Données Suivi'!$H$2:$H$3000,"EN COURS D'ENGAGEMENT")</f>
        <v/>
      </c>
      <c r="E9" s="630">
        <f>SUMIFS('Données Suivi'!$J$2:$J$3000,'Données Suivi'!$A$2:$A$3000,$A9,'Données Suivi'!$O$2:$O$3000,"FONCTIONNEMENT",'Données Suivi'!$H$2:$H$3000,"EN COURS DE PREENGAGEMENT")</f>
        <v/>
      </c>
      <c r="F9" s="630">
        <f>SUMIFS('Données Suivi'!$J$2:$J$3000,'Données Suivi'!$A$2:$A$3000,$A9,'Données Suivi'!$O$2:$O$3000,"FONCTIONNEMENT",'Données Suivi'!$H$2:$H$3000,"NON ENGAGE")</f>
        <v/>
      </c>
      <c r="G9" s="631">
        <f>B9+C9+D9+E9+F9</f>
        <v/>
      </c>
      <c r="H9" s="632">
        <f>SUMIFS('Données Suivi'!$J$2:$J$3000,'Données Suivi'!$A$2:$A$3000,$A9,'Données Suivi'!$O$2:$O$3000,"INVESTISSEMENT",'Données Suivi'!$H$2:$H$3000,"ENGAGE")</f>
        <v/>
      </c>
      <c r="I9" s="632">
        <f>SUMIFS('Données Suivi'!$J$2:$J$3000,'Données Suivi'!$A$2:$A$3000,$A9,'Données Suivi'!$O$2:$O$3000,"INVESTISSEMENT",'Données Suivi'!$H$2:$H$3000,"PREENGAGE")</f>
        <v/>
      </c>
      <c r="J9" s="632">
        <f>SUMIFS('Données Suivi'!$J$2:$J$3000,'Données Suivi'!$A$2:$A$3000,$A9,'Données Suivi'!$O$2:$O$3000,"INVESTISSEMENT",'Données Suivi'!$H$2:$H$3000,"EN COURS D'ENGAGEMENT")</f>
        <v/>
      </c>
      <c r="K9" s="632">
        <f>SUMIFS('Données Suivi'!$J$2:$J$3000,'Données Suivi'!$A$2:$A$3000,$A9,'Données Suivi'!$O$2:$O$3000,"INVESTISSEMENT",'Données Suivi'!$H$2:$H$3000,"EN COURS DE PREENGAGEMENT")</f>
        <v/>
      </c>
      <c r="L9" s="632">
        <f>SUMIFS('Données Suivi'!$J$2:$J$3000,'Données Suivi'!$A$2:$A$3000,$A9,'Données Suivi'!$O$2:$O$3000,"INVESTISSEMENT",'Données Suivi'!$H$2:$H$3000,"NON ENGAGE")</f>
        <v/>
      </c>
      <c r="M9" s="633">
        <f>H9+I9+J9+K9+L9</f>
        <v/>
      </c>
      <c r="N9" s="634">
        <f>G9+M9</f>
        <v/>
      </c>
    </row>
    <row r="10">
      <c r="A10" s="629" t="inlineStr">
        <is>
          <t>DCPA</t>
        </is>
      </c>
      <c r="B10" s="630">
        <f>SUMIFS('Données Suivi'!$J$2:$J$3000,'Données Suivi'!$A$2:$A$3000,$A10,'Données Suivi'!$O$2:$O$3000,"FONCTIONNEMENT",'Données Suivi'!$H$2:$H$3000,"ENGAGE")</f>
        <v/>
      </c>
      <c r="C10" s="630">
        <f>SUMIFS('Données Suivi'!$J$2:$J$3000,'Données Suivi'!$A$2:$A$3000,$A10,'Données Suivi'!$O$2:$O$3000,"FONCTIONNEMENT",'Données Suivi'!$H$2:$H$3000,"PREENGAGE")</f>
        <v/>
      </c>
      <c r="D10" s="630">
        <f>SUMIFS('Données Suivi'!$J$2:$J$3000,'Données Suivi'!$A$2:$A$3000,$A10,'Données Suivi'!$O$2:$O$3000,"FONCTIONNEMENT",'Données Suivi'!$H$2:$H$3000,"EN COURS D'ENGAGEMENT")</f>
        <v/>
      </c>
      <c r="E10" s="630">
        <f>SUMIFS('Données Suivi'!$J$2:$J$3000,'Données Suivi'!$A$2:$A$3000,$A10,'Données Suivi'!$O$2:$O$3000,"FONCTIONNEMENT",'Données Suivi'!$H$2:$H$3000,"EN COURS DE PREENGAGEMENT")</f>
        <v/>
      </c>
      <c r="F10" s="630">
        <f>SUMIFS('Données Suivi'!$J$2:$J$3000,'Données Suivi'!$A$2:$A$3000,$A10,'Données Suivi'!$O$2:$O$3000,"FONCTIONNEMENT",'Données Suivi'!$H$2:$H$3000,"NON ENGAGE")</f>
        <v/>
      </c>
      <c r="G10" s="631">
        <f>B10+C10+D10+E10+F10</f>
        <v/>
      </c>
      <c r="H10" s="632">
        <f>SUMIFS('Données Suivi'!$J$2:$J$3000,'Données Suivi'!$A$2:$A$3000,$A10,'Données Suivi'!$O$2:$O$3000,"INVESTISSEMENT",'Données Suivi'!$H$2:$H$3000,"ENGAGE")</f>
        <v/>
      </c>
      <c r="I10" s="632">
        <f>SUMIFS('Données Suivi'!$J$2:$J$3000,'Données Suivi'!$A$2:$A$3000,$A10,'Données Suivi'!$O$2:$O$3000,"INVESTISSEMENT",'Données Suivi'!$H$2:$H$3000,"PREENGAGE")</f>
        <v/>
      </c>
      <c r="J10" s="632">
        <f>SUMIFS('Données Suivi'!$J$2:$J$3000,'Données Suivi'!$A$2:$A$3000,$A10,'Données Suivi'!$O$2:$O$3000,"INVESTISSEMENT",'Données Suivi'!$H$2:$H$3000,"EN COURS D'ENGAGEMENT")</f>
        <v/>
      </c>
      <c r="K10" s="632">
        <f>SUMIFS('Données Suivi'!$J$2:$J$3000,'Données Suivi'!$A$2:$A$3000,$A10,'Données Suivi'!$O$2:$O$3000,"INVESTISSEMENT",'Données Suivi'!$H$2:$H$3000,"EN COURS DE PREENGAGEMENT")</f>
        <v/>
      </c>
      <c r="L10" s="632">
        <f>SUMIFS('Données Suivi'!$J$2:$J$3000,'Données Suivi'!$A$2:$A$3000,$A10,'Données Suivi'!$O$2:$O$3000,"INVESTISSEMENT",'Données Suivi'!$H$2:$H$3000,"NON ENGAGE")</f>
        <v/>
      </c>
      <c r="M10" s="633">
        <f>H10+I10+J10+K10+L10</f>
        <v/>
      </c>
      <c r="N10" s="634">
        <f>G10+M10</f>
        <v/>
      </c>
    </row>
    <row r="11">
      <c r="A11" s="629" t="inlineStr">
        <is>
          <t>DCRI</t>
        </is>
      </c>
      <c r="B11" s="630">
        <f>SUMIFS('Données Suivi'!$J$2:$J$3000,'Données Suivi'!$A$2:$A$3000,$A11,'Données Suivi'!$O$2:$O$3000,"FONCTIONNEMENT",'Données Suivi'!$H$2:$H$3000,"ENGAGE")</f>
        <v/>
      </c>
      <c r="C11" s="630">
        <f>SUMIFS('Données Suivi'!$J$2:$J$3000,'Données Suivi'!$A$2:$A$3000,$A11,'Données Suivi'!$O$2:$O$3000,"FONCTIONNEMENT",'Données Suivi'!$H$2:$H$3000,"PREENGAGE")</f>
        <v/>
      </c>
      <c r="D11" s="630">
        <f>SUMIFS('Données Suivi'!$J$2:$J$3000,'Données Suivi'!$A$2:$A$3000,$A11,'Données Suivi'!$O$2:$O$3000,"FONCTIONNEMENT",'Données Suivi'!$H$2:$H$3000,"EN COURS D'ENGAGEMENT")</f>
        <v/>
      </c>
      <c r="E11" s="630">
        <f>SUMIFS('Données Suivi'!$J$2:$J$3000,'Données Suivi'!$A$2:$A$3000,$A11,'Données Suivi'!$O$2:$O$3000,"FONCTIONNEMENT",'Données Suivi'!$H$2:$H$3000,"EN COURS DE PREENGAGEMENT")</f>
        <v/>
      </c>
      <c r="F11" s="630">
        <f>SUMIFS('Données Suivi'!$J$2:$J$3000,'Données Suivi'!$A$2:$A$3000,$A11,'Données Suivi'!$O$2:$O$3000,"FONCTIONNEMENT",'Données Suivi'!$H$2:$H$3000,"NON ENGAGE")</f>
        <v/>
      </c>
      <c r="G11" s="631">
        <f>B11+C11+D11+E11+F11</f>
        <v/>
      </c>
      <c r="H11" s="632">
        <f>SUMIFS('Données Suivi'!$J$2:$J$3000,'Données Suivi'!$A$2:$A$3000,$A11,'Données Suivi'!$O$2:$O$3000,"INVESTISSEMENT",'Données Suivi'!$H$2:$H$3000,"ENGAGE")</f>
        <v/>
      </c>
      <c r="I11" s="632">
        <f>SUMIFS('Données Suivi'!$J$2:$J$3000,'Données Suivi'!$A$2:$A$3000,$A11,'Données Suivi'!$O$2:$O$3000,"INVESTISSEMENT",'Données Suivi'!$H$2:$H$3000,"PREENGAGE")</f>
        <v/>
      </c>
      <c r="J11" s="632">
        <f>SUMIFS('Données Suivi'!$J$2:$J$3000,'Données Suivi'!$A$2:$A$3000,$A11,'Données Suivi'!$O$2:$O$3000,"INVESTISSEMENT",'Données Suivi'!$H$2:$H$3000,"EN COURS D'ENGAGEMENT")</f>
        <v/>
      </c>
      <c r="K11" s="632">
        <f>SUMIFS('Données Suivi'!$J$2:$J$3000,'Données Suivi'!$A$2:$A$3000,$A11,'Données Suivi'!$O$2:$O$3000,"INVESTISSEMENT",'Données Suivi'!$H$2:$H$3000,"EN COURS DE PREENGAGEMENT")</f>
        <v/>
      </c>
      <c r="L11" s="632">
        <f>SUMIFS('Données Suivi'!$J$2:$J$3000,'Données Suivi'!$A$2:$A$3000,$A11,'Données Suivi'!$O$2:$O$3000,"INVESTISSEMENT",'Données Suivi'!$H$2:$H$3000,"NON ENGAGE")</f>
        <v/>
      </c>
      <c r="M11" s="633">
        <f>H11+I11+J11+K11+L11</f>
        <v/>
      </c>
      <c r="N11" s="634">
        <f>G11+M11</f>
        <v/>
      </c>
    </row>
    <row r="12">
      <c r="A12" s="629" t="inlineStr">
        <is>
          <t>DCT</t>
        </is>
      </c>
      <c r="B12" s="630">
        <f>SUMIFS('Données Suivi'!$J$2:$J$3000,'Données Suivi'!$A$2:$A$3000,$A12,'Données Suivi'!$O$2:$O$3000,"FONCTIONNEMENT",'Données Suivi'!$H$2:$H$3000,"ENGAGE")</f>
        <v/>
      </c>
      <c r="C12" s="630">
        <f>SUMIFS('Données Suivi'!$J$2:$J$3000,'Données Suivi'!$A$2:$A$3000,$A12,'Données Suivi'!$O$2:$O$3000,"FONCTIONNEMENT",'Données Suivi'!$H$2:$H$3000,"PREENGAGE")</f>
        <v/>
      </c>
      <c r="D12" s="630">
        <f>SUMIFS('Données Suivi'!$J$2:$J$3000,'Données Suivi'!$A$2:$A$3000,$A12,'Données Suivi'!$O$2:$O$3000,"FONCTIONNEMENT",'Données Suivi'!$H$2:$H$3000,"EN COURS D'ENGAGEMENT")</f>
        <v/>
      </c>
      <c r="E12" s="630">
        <f>SUMIFS('Données Suivi'!$J$2:$J$3000,'Données Suivi'!$A$2:$A$3000,$A12,'Données Suivi'!$O$2:$O$3000,"FONCTIONNEMENT",'Données Suivi'!$H$2:$H$3000,"EN COURS DE PREENGAGEMENT")</f>
        <v/>
      </c>
      <c r="F12" s="630">
        <f>SUMIFS('Données Suivi'!$J$2:$J$3000,'Données Suivi'!$A$2:$A$3000,$A12,'Données Suivi'!$O$2:$O$3000,"FONCTIONNEMENT",'Données Suivi'!$H$2:$H$3000,"NON ENGAGE")</f>
        <v/>
      </c>
      <c r="G12" s="631">
        <f>B12+C12+D12+E12+F12</f>
        <v/>
      </c>
      <c r="H12" s="632">
        <f>SUMIFS('Données Suivi'!$J$2:$J$3000,'Données Suivi'!$A$2:$A$3000,$A12,'Données Suivi'!$O$2:$O$3000,"INVESTISSEMENT",'Données Suivi'!$H$2:$H$3000,"ENGAGE")</f>
        <v/>
      </c>
      <c r="I12" s="632">
        <f>SUMIFS('Données Suivi'!$J$2:$J$3000,'Données Suivi'!$A$2:$A$3000,$A12,'Données Suivi'!$O$2:$O$3000,"INVESTISSEMENT",'Données Suivi'!$H$2:$H$3000,"PREENGAGE")</f>
        <v/>
      </c>
      <c r="J12" s="632">
        <f>SUMIFS('Données Suivi'!$J$2:$J$3000,'Données Suivi'!$A$2:$A$3000,$A12,'Données Suivi'!$O$2:$O$3000,"INVESTISSEMENT",'Données Suivi'!$H$2:$H$3000,"EN COURS D'ENGAGEMENT")</f>
        <v/>
      </c>
      <c r="K12" s="632">
        <f>SUMIFS('Données Suivi'!$J$2:$J$3000,'Données Suivi'!$A$2:$A$3000,$A12,'Données Suivi'!$O$2:$O$3000,"INVESTISSEMENT",'Données Suivi'!$H$2:$H$3000,"EN COURS DE PREENGAGEMENT")</f>
        <v/>
      </c>
      <c r="L12" s="632">
        <f>SUMIFS('Données Suivi'!$J$2:$J$3000,'Données Suivi'!$A$2:$A$3000,$A12,'Données Suivi'!$O$2:$O$3000,"INVESTISSEMENT",'Données Suivi'!$H$2:$H$3000,"NON ENGAGE")</f>
        <v/>
      </c>
      <c r="M12" s="633">
        <f>H12+I12+J12+K12+L12</f>
        <v/>
      </c>
      <c r="N12" s="634">
        <f>G12+M12</f>
        <v/>
      </c>
    </row>
    <row r="13">
      <c r="A13" s="629" t="inlineStr">
        <is>
          <t>DG</t>
        </is>
      </c>
      <c r="B13" s="630">
        <f>SUMIFS('Données Suivi'!$J$2:$J$3000,'Données Suivi'!$A$2:$A$3000,$A13,'Données Suivi'!$O$2:$O$3000,"FONCTIONNEMENT",'Données Suivi'!$H$2:$H$3000,"ENGAGE")</f>
        <v/>
      </c>
      <c r="C13" s="630">
        <f>SUMIFS('Données Suivi'!$J$2:$J$3000,'Données Suivi'!$A$2:$A$3000,$A13,'Données Suivi'!$O$2:$O$3000,"FONCTIONNEMENT",'Données Suivi'!$H$2:$H$3000,"PREENGAGE")</f>
        <v/>
      </c>
      <c r="D13" s="630">
        <f>SUMIFS('Données Suivi'!$J$2:$J$3000,'Données Suivi'!$A$2:$A$3000,$A13,'Données Suivi'!$O$2:$O$3000,"FONCTIONNEMENT",'Données Suivi'!$H$2:$H$3000,"EN COURS D'ENGAGEMENT")</f>
        <v/>
      </c>
      <c r="E13" s="630">
        <f>SUMIFS('Données Suivi'!$J$2:$J$3000,'Données Suivi'!$A$2:$A$3000,$A13,'Données Suivi'!$O$2:$O$3000,"FONCTIONNEMENT",'Données Suivi'!$H$2:$H$3000,"EN COURS DE PREENGAGEMENT")</f>
        <v/>
      </c>
      <c r="F13" s="630">
        <f>SUMIFS('Données Suivi'!$J$2:$J$3000,'Données Suivi'!$A$2:$A$3000,$A13,'Données Suivi'!$O$2:$O$3000,"FONCTIONNEMENT",'Données Suivi'!$H$2:$H$3000,"NON ENGAGE")</f>
        <v/>
      </c>
      <c r="G13" s="631">
        <f>B13+C13+D13+E13+F13</f>
        <v/>
      </c>
      <c r="H13" s="632">
        <f>SUMIFS('Données Suivi'!$J$2:$J$3000,'Données Suivi'!$A$2:$A$3000,$A13,'Données Suivi'!$O$2:$O$3000,"INVESTISSEMENT",'Données Suivi'!$H$2:$H$3000,"ENGAGE")</f>
        <v/>
      </c>
      <c r="I13" s="632">
        <f>SUMIFS('Données Suivi'!$J$2:$J$3000,'Données Suivi'!$A$2:$A$3000,$A13,'Données Suivi'!$O$2:$O$3000,"INVESTISSEMENT",'Données Suivi'!$H$2:$H$3000,"PREENGAGE")</f>
        <v/>
      </c>
      <c r="J13" s="632">
        <f>SUMIFS('Données Suivi'!$J$2:$J$3000,'Données Suivi'!$A$2:$A$3000,$A13,'Données Suivi'!$O$2:$O$3000,"INVESTISSEMENT",'Données Suivi'!$H$2:$H$3000,"EN COURS D'ENGAGEMENT")</f>
        <v/>
      </c>
      <c r="K13" s="632">
        <f>SUMIFS('Données Suivi'!$J$2:$J$3000,'Données Suivi'!$A$2:$A$3000,$A13,'Données Suivi'!$O$2:$O$3000,"INVESTISSEMENT",'Données Suivi'!$H$2:$H$3000,"EN COURS DE PREENGAGEMENT")</f>
        <v/>
      </c>
      <c r="L13" s="632">
        <f>SUMIFS('Données Suivi'!$J$2:$J$3000,'Données Suivi'!$A$2:$A$3000,$A13,'Données Suivi'!$O$2:$O$3000,"INVESTISSEMENT",'Données Suivi'!$H$2:$H$3000,"NON ENGAGE")</f>
        <v/>
      </c>
      <c r="M13" s="633">
        <f>H13+I13+J13+K13+L13</f>
        <v/>
      </c>
      <c r="N13" s="634">
        <f>G13+M13</f>
        <v/>
      </c>
    </row>
    <row r="14">
      <c r="A14" s="629" t="inlineStr">
        <is>
          <t>DINFORADIO</t>
        </is>
      </c>
      <c r="B14" s="630">
        <f>SUMIFS('Données Suivi'!$J$2:$J$3000,'Données Suivi'!$A$2:$A$3000,$A14,'Données Suivi'!$O$2:$O$3000,"FONCTIONNEMENT",'Données Suivi'!$H$2:$H$3000,"ENGAGE")</f>
        <v/>
      </c>
      <c r="C14" s="630">
        <f>SUMIFS('Données Suivi'!$J$2:$J$3000,'Données Suivi'!$A$2:$A$3000,$A14,'Données Suivi'!$O$2:$O$3000,"FONCTIONNEMENT",'Données Suivi'!$H$2:$H$3000,"PREENGAGE")</f>
        <v/>
      </c>
      <c r="D14" s="630">
        <f>SUMIFS('Données Suivi'!$J$2:$J$3000,'Données Suivi'!$A$2:$A$3000,$A14,'Données Suivi'!$O$2:$O$3000,"FONCTIONNEMENT",'Données Suivi'!$H$2:$H$3000,"EN COURS D'ENGAGEMENT")</f>
        <v/>
      </c>
      <c r="E14" s="630">
        <f>SUMIFS('Données Suivi'!$J$2:$J$3000,'Données Suivi'!$A$2:$A$3000,$A14,'Données Suivi'!$O$2:$O$3000,"FONCTIONNEMENT",'Données Suivi'!$H$2:$H$3000,"EN COURS DE PREENGAGEMENT")</f>
        <v/>
      </c>
      <c r="F14" s="630">
        <f>SUMIFS('Données Suivi'!$J$2:$J$3000,'Données Suivi'!$A$2:$A$3000,$A14,'Données Suivi'!$O$2:$O$3000,"FONCTIONNEMENT",'Données Suivi'!$H$2:$H$3000,"NON ENGAGE")</f>
        <v/>
      </c>
      <c r="G14" s="631">
        <f>B14+C14+D14+E14+F14</f>
        <v/>
      </c>
      <c r="H14" s="632">
        <f>SUMIFS('Données Suivi'!$J$2:$J$3000,'Données Suivi'!$A$2:$A$3000,$A14,'Données Suivi'!$O$2:$O$3000,"INVESTISSEMENT",'Données Suivi'!$H$2:$H$3000,"ENGAGE")</f>
        <v/>
      </c>
      <c r="I14" s="632">
        <f>SUMIFS('Données Suivi'!$J$2:$J$3000,'Données Suivi'!$A$2:$A$3000,$A14,'Données Suivi'!$O$2:$O$3000,"INVESTISSEMENT",'Données Suivi'!$H$2:$H$3000,"PREENGAGE")</f>
        <v/>
      </c>
      <c r="J14" s="632">
        <f>SUMIFS('Données Suivi'!$J$2:$J$3000,'Données Suivi'!$A$2:$A$3000,$A14,'Données Suivi'!$O$2:$O$3000,"INVESTISSEMENT",'Données Suivi'!$H$2:$H$3000,"EN COURS D'ENGAGEMENT")</f>
        <v/>
      </c>
      <c r="K14" s="632">
        <f>SUMIFS('Données Suivi'!$J$2:$J$3000,'Données Suivi'!$A$2:$A$3000,$A14,'Données Suivi'!$O$2:$O$3000,"INVESTISSEMENT",'Données Suivi'!$H$2:$H$3000,"EN COURS DE PREENGAGEMENT")</f>
        <v/>
      </c>
      <c r="L14" s="632">
        <f>SUMIFS('Données Suivi'!$J$2:$J$3000,'Données Suivi'!$A$2:$A$3000,$A14,'Données Suivi'!$O$2:$O$3000,"INVESTISSEMENT",'Données Suivi'!$H$2:$H$3000,"NON ENGAGE")</f>
        <v/>
      </c>
      <c r="M14" s="633">
        <f>H14+I14+J14+K14+L14</f>
        <v/>
      </c>
      <c r="N14" s="634">
        <f>G14+M14</f>
        <v/>
      </c>
    </row>
    <row r="15">
      <c r="A15" s="629" t="inlineStr">
        <is>
          <t>DINFOTV</t>
        </is>
      </c>
      <c r="B15" s="630">
        <f>SUMIFS('Données Suivi'!$J$2:$J$3000,'Données Suivi'!$A$2:$A$3000,$A15,'Données Suivi'!$O$2:$O$3000,"FONCTIONNEMENT",'Données Suivi'!$H$2:$H$3000,"ENGAGE")</f>
        <v/>
      </c>
      <c r="C15" s="630">
        <f>SUMIFS('Données Suivi'!$J$2:$J$3000,'Données Suivi'!$A$2:$A$3000,$A15,'Données Suivi'!$O$2:$O$3000,"FONCTIONNEMENT",'Données Suivi'!$H$2:$H$3000,"PREENGAGE")</f>
        <v/>
      </c>
      <c r="D15" s="630">
        <f>SUMIFS('Données Suivi'!$J$2:$J$3000,'Données Suivi'!$A$2:$A$3000,$A15,'Données Suivi'!$O$2:$O$3000,"FONCTIONNEMENT",'Données Suivi'!$H$2:$H$3000,"EN COURS D'ENGAGEMENT")</f>
        <v/>
      </c>
      <c r="E15" s="630">
        <f>SUMIFS('Données Suivi'!$J$2:$J$3000,'Données Suivi'!$A$2:$A$3000,$A15,'Données Suivi'!$O$2:$O$3000,"FONCTIONNEMENT",'Données Suivi'!$H$2:$H$3000,"EN COURS DE PREENGAGEMENT")</f>
        <v/>
      </c>
      <c r="F15" s="630">
        <f>SUMIFS('Données Suivi'!$J$2:$J$3000,'Données Suivi'!$A$2:$A$3000,$A15,'Données Suivi'!$O$2:$O$3000,"FONCTIONNEMENT",'Données Suivi'!$H$2:$H$3000,"NON ENGAGE")</f>
        <v/>
      </c>
      <c r="G15" s="631">
        <f>B15+C15+D15+E15+F15</f>
        <v/>
      </c>
      <c r="H15" s="632">
        <f>SUMIFS('Données Suivi'!$J$2:$J$3000,'Données Suivi'!$A$2:$A$3000,$A15,'Données Suivi'!$O$2:$O$3000,"INVESTISSEMENT",'Données Suivi'!$H$2:$H$3000,"ENGAGE")</f>
        <v/>
      </c>
      <c r="I15" s="632">
        <f>SUMIFS('Données Suivi'!$J$2:$J$3000,'Données Suivi'!$A$2:$A$3000,$A15,'Données Suivi'!$O$2:$O$3000,"INVESTISSEMENT",'Données Suivi'!$H$2:$H$3000,"PREENGAGE")</f>
        <v/>
      </c>
      <c r="J15" s="632">
        <f>SUMIFS('Données Suivi'!$J$2:$J$3000,'Données Suivi'!$A$2:$A$3000,$A15,'Données Suivi'!$O$2:$O$3000,"INVESTISSEMENT",'Données Suivi'!$H$2:$H$3000,"EN COURS D'ENGAGEMENT")</f>
        <v/>
      </c>
      <c r="K15" s="632">
        <f>SUMIFS('Données Suivi'!$J$2:$J$3000,'Données Suivi'!$A$2:$A$3000,$A15,'Données Suivi'!$O$2:$O$3000,"INVESTISSEMENT",'Données Suivi'!$H$2:$H$3000,"EN COURS DE PREENGAGEMENT")</f>
        <v/>
      </c>
      <c r="L15" s="632">
        <f>SUMIFS('Données Suivi'!$J$2:$J$3000,'Données Suivi'!$A$2:$A$3000,$A15,'Données Suivi'!$O$2:$O$3000,"INVESTISSEMENT",'Données Suivi'!$H$2:$H$3000,"NON ENGAGE")</f>
        <v/>
      </c>
      <c r="M15" s="633">
        <f>H15+I15+J15+K15+L15</f>
        <v/>
      </c>
      <c r="N15" s="634">
        <f>G15+M15</f>
        <v/>
      </c>
    </row>
    <row r="16">
      <c r="A16" s="629" t="inlineStr">
        <is>
          <t>DJURIDIQUE</t>
        </is>
      </c>
      <c r="B16" s="630">
        <f>SUMIFS('Données Suivi'!$J$2:$J$3000,'Données Suivi'!$A$2:$A$3000,$A16,'Données Suivi'!$O$2:$O$3000,"FONCTIONNEMENT",'Données Suivi'!$H$2:$H$3000,"ENGAGE")</f>
        <v/>
      </c>
      <c r="C16" s="630">
        <f>SUMIFS('Données Suivi'!$J$2:$J$3000,'Données Suivi'!$A$2:$A$3000,$A16,'Données Suivi'!$O$2:$O$3000,"FONCTIONNEMENT",'Données Suivi'!$H$2:$H$3000,"PREENGAGE")</f>
        <v/>
      </c>
      <c r="D16" s="630">
        <f>SUMIFS('Données Suivi'!$J$2:$J$3000,'Données Suivi'!$A$2:$A$3000,$A16,'Données Suivi'!$O$2:$O$3000,"FONCTIONNEMENT",'Données Suivi'!$H$2:$H$3000,"EN COURS D'ENGAGEMENT")</f>
        <v/>
      </c>
      <c r="E16" s="630">
        <f>SUMIFS('Données Suivi'!$J$2:$J$3000,'Données Suivi'!$A$2:$A$3000,$A16,'Données Suivi'!$O$2:$O$3000,"FONCTIONNEMENT",'Données Suivi'!$H$2:$H$3000,"EN COURS DE PREENGAGEMENT")</f>
        <v/>
      </c>
      <c r="F16" s="630">
        <f>SUMIFS('Données Suivi'!$J$2:$J$3000,'Données Suivi'!$A$2:$A$3000,$A16,'Données Suivi'!$O$2:$O$3000,"FONCTIONNEMENT",'Données Suivi'!$H$2:$H$3000,"NON ENGAGE")</f>
        <v/>
      </c>
      <c r="G16" s="631">
        <f>B16+C16+D16+E16+F16</f>
        <v/>
      </c>
      <c r="H16" s="632">
        <f>SUMIFS('Données Suivi'!$J$2:$J$3000,'Données Suivi'!$A$2:$A$3000,$A16,'Données Suivi'!$O$2:$O$3000,"INVESTISSEMENT",'Données Suivi'!$H$2:$H$3000,"ENGAGE")</f>
        <v/>
      </c>
      <c r="I16" s="632">
        <f>SUMIFS('Données Suivi'!$J$2:$J$3000,'Données Suivi'!$A$2:$A$3000,$A16,'Données Suivi'!$O$2:$O$3000,"INVESTISSEMENT",'Données Suivi'!$H$2:$H$3000,"PREENGAGE")</f>
        <v/>
      </c>
      <c r="J16" s="632">
        <f>SUMIFS('Données Suivi'!$J$2:$J$3000,'Données Suivi'!$A$2:$A$3000,$A16,'Données Suivi'!$O$2:$O$3000,"INVESTISSEMENT",'Données Suivi'!$H$2:$H$3000,"EN COURS D'ENGAGEMENT")</f>
        <v/>
      </c>
      <c r="K16" s="632">
        <f>SUMIFS('Données Suivi'!$J$2:$J$3000,'Données Suivi'!$A$2:$A$3000,$A16,'Données Suivi'!$O$2:$O$3000,"INVESTISSEMENT",'Données Suivi'!$H$2:$H$3000,"EN COURS DE PREENGAGEMENT")</f>
        <v/>
      </c>
      <c r="L16" s="632">
        <f>SUMIFS('Données Suivi'!$J$2:$J$3000,'Données Suivi'!$A$2:$A$3000,$A16,'Données Suivi'!$O$2:$O$3000,"INVESTISSEMENT",'Données Suivi'!$H$2:$H$3000,"NON ENGAGE")</f>
        <v/>
      </c>
      <c r="M16" s="633">
        <f>H16+I16+J16+K16+L16</f>
        <v/>
      </c>
      <c r="N16" s="634">
        <f>G16+M16</f>
        <v/>
      </c>
    </row>
    <row r="17">
      <c r="A17" s="629" t="inlineStr">
        <is>
          <t>DMPTV</t>
        </is>
      </c>
      <c r="B17" s="630">
        <f>SUMIFS('Données Suivi'!$J$2:$J$3000,'Données Suivi'!$A$2:$A$3000,$A17,'Données Suivi'!$O$2:$O$3000,"FONCTIONNEMENT",'Données Suivi'!$H$2:$H$3000,"ENGAGE")</f>
        <v/>
      </c>
      <c r="C17" s="630">
        <f>SUMIFS('Données Suivi'!$J$2:$J$3000,'Données Suivi'!$A$2:$A$3000,$A17,'Données Suivi'!$O$2:$O$3000,"FONCTIONNEMENT",'Données Suivi'!$H$2:$H$3000,"PREENGAGE")</f>
        <v/>
      </c>
      <c r="D17" s="630">
        <f>SUMIFS('Données Suivi'!$J$2:$J$3000,'Données Suivi'!$A$2:$A$3000,$A17,'Données Suivi'!$O$2:$O$3000,"FONCTIONNEMENT",'Données Suivi'!$H$2:$H$3000,"EN COURS D'ENGAGEMENT")</f>
        <v/>
      </c>
      <c r="E17" s="630">
        <f>SUMIFS('Données Suivi'!$J$2:$J$3000,'Données Suivi'!$A$2:$A$3000,$A17,'Données Suivi'!$O$2:$O$3000,"FONCTIONNEMENT",'Données Suivi'!$H$2:$H$3000,"EN COURS DE PREENGAGEMENT")</f>
        <v/>
      </c>
      <c r="F17" s="630">
        <f>SUMIFS('Données Suivi'!$J$2:$J$3000,'Données Suivi'!$A$2:$A$3000,$A17,'Données Suivi'!$O$2:$O$3000,"FONCTIONNEMENT",'Données Suivi'!$H$2:$H$3000,"NON ENGAGE")</f>
        <v/>
      </c>
      <c r="G17" s="631">
        <f>B17+C17+D17+E17+F17</f>
        <v/>
      </c>
      <c r="H17" s="632">
        <f>SUMIFS('Données Suivi'!$J$2:$J$3000,'Données Suivi'!$A$2:$A$3000,$A17,'Données Suivi'!$O$2:$O$3000,"INVESTISSEMENT",'Données Suivi'!$H$2:$H$3000,"ENGAGE")</f>
        <v/>
      </c>
      <c r="I17" s="632">
        <f>SUMIFS('Données Suivi'!$J$2:$J$3000,'Données Suivi'!$A$2:$A$3000,$A17,'Données Suivi'!$O$2:$O$3000,"INVESTISSEMENT",'Données Suivi'!$H$2:$H$3000,"PREENGAGE")</f>
        <v/>
      </c>
      <c r="J17" s="632">
        <f>SUMIFS('Données Suivi'!$J$2:$J$3000,'Données Suivi'!$A$2:$A$3000,$A17,'Données Suivi'!$O$2:$O$3000,"INVESTISSEMENT",'Données Suivi'!$H$2:$H$3000,"EN COURS D'ENGAGEMENT")</f>
        <v/>
      </c>
      <c r="K17" s="632">
        <f>SUMIFS('Données Suivi'!$J$2:$J$3000,'Données Suivi'!$A$2:$A$3000,$A17,'Données Suivi'!$O$2:$O$3000,"INVESTISSEMENT",'Données Suivi'!$H$2:$H$3000,"EN COURS DE PREENGAGEMENT")</f>
        <v/>
      </c>
      <c r="L17" s="632">
        <f>SUMIFS('Données Suivi'!$J$2:$J$3000,'Données Suivi'!$A$2:$A$3000,$A17,'Données Suivi'!$O$2:$O$3000,"INVESTISSEMENT",'Données Suivi'!$H$2:$H$3000,"NON ENGAGE")</f>
        <v/>
      </c>
      <c r="M17" s="633">
        <f>H17+I17+J17+K17+L17</f>
        <v/>
      </c>
      <c r="N17" s="634">
        <f>G17+M17</f>
        <v/>
      </c>
    </row>
    <row r="18">
      <c r="A18" s="629" t="inlineStr">
        <is>
          <t>DPMG</t>
        </is>
      </c>
      <c r="B18" s="630">
        <f>SUMIFS('Données Suivi'!$J$2:$J$3000,'Données Suivi'!$A$2:$A$3000,$A18,'Données Suivi'!$O$2:$O$3000,"FONCTIONNEMENT",'Données Suivi'!$H$2:$H$3000,"ENGAGE")</f>
        <v/>
      </c>
      <c r="C18" s="630">
        <f>SUMIFS('Données Suivi'!$J$2:$J$3000,'Données Suivi'!$A$2:$A$3000,$A18,'Données Suivi'!$O$2:$O$3000,"FONCTIONNEMENT",'Données Suivi'!$H$2:$H$3000,"PREENGAGE")</f>
        <v/>
      </c>
      <c r="D18" s="630">
        <f>SUMIFS('Données Suivi'!$J$2:$J$3000,'Données Suivi'!$A$2:$A$3000,$A18,'Données Suivi'!$O$2:$O$3000,"FONCTIONNEMENT",'Données Suivi'!$H$2:$H$3000,"EN COURS D'ENGAGEMENT")</f>
        <v/>
      </c>
      <c r="E18" s="630">
        <f>SUMIFS('Données Suivi'!$J$2:$J$3000,'Données Suivi'!$A$2:$A$3000,$A18,'Données Suivi'!$O$2:$O$3000,"FONCTIONNEMENT",'Données Suivi'!$H$2:$H$3000,"EN COURS DE PREENGAGEMENT")</f>
        <v/>
      </c>
      <c r="F18" s="630">
        <f>SUMIFS('Données Suivi'!$J$2:$J$3000,'Données Suivi'!$A$2:$A$3000,$A18,'Données Suivi'!$O$2:$O$3000,"FONCTIONNEMENT",'Données Suivi'!$H$2:$H$3000,"NON ENGAGE")</f>
        <v/>
      </c>
      <c r="G18" s="631">
        <f>B18+C18+D18+E18+F18</f>
        <v/>
      </c>
      <c r="H18" s="632">
        <f>SUMIFS('Données Suivi'!$J$2:$J$3000,'Données Suivi'!$A$2:$A$3000,$A18,'Données Suivi'!$O$2:$O$3000,"INVESTISSEMENT",'Données Suivi'!$H$2:$H$3000,"ENGAGE")</f>
        <v/>
      </c>
      <c r="I18" s="632">
        <f>SUMIFS('Données Suivi'!$J$2:$J$3000,'Données Suivi'!$A$2:$A$3000,$A18,'Données Suivi'!$O$2:$O$3000,"INVESTISSEMENT",'Données Suivi'!$H$2:$H$3000,"PREENGAGE")</f>
        <v/>
      </c>
      <c r="J18" s="632">
        <f>SUMIFS('Données Suivi'!$J$2:$J$3000,'Données Suivi'!$A$2:$A$3000,$A18,'Données Suivi'!$O$2:$O$3000,"INVESTISSEMENT",'Données Suivi'!$H$2:$H$3000,"EN COURS D'ENGAGEMENT")</f>
        <v/>
      </c>
      <c r="K18" s="632">
        <f>SUMIFS('Données Suivi'!$J$2:$J$3000,'Données Suivi'!$A$2:$A$3000,$A18,'Données Suivi'!$O$2:$O$3000,"INVESTISSEMENT",'Données Suivi'!$H$2:$H$3000,"EN COURS DE PREENGAGEMENT")</f>
        <v/>
      </c>
      <c r="L18" s="632">
        <f>SUMIFS('Données Suivi'!$J$2:$J$3000,'Données Suivi'!$A$2:$A$3000,$A18,'Données Suivi'!$O$2:$O$3000,"INVESTISSEMENT",'Données Suivi'!$H$2:$H$3000,"NON ENGAGE")</f>
        <v/>
      </c>
      <c r="M18" s="633">
        <f>H18+I18+J18+K18+L18</f>
        <v/>
      </c>
      <c r="N18" s="634">
        <f>G18+M18</f>
        <v/>
      </c>
    </row>
    <row r="19">
      <c r="A19" s="629" t="inlineStr">
        <is>
          <t>DPPR</t>
        </is>
      </c>
      <c r="B19" s="630">
        <f>SUMIFS('Données Suivi'!$J$2:$J$3000,'Données Suivi'!$A$2:$A$3000,$A19,'Données Suivi'!$O$2:$O$3000,"FONCTIONNEMENT",'Données Suivi'!$H$2:$H$3000,"ENGAGE")</f>
        <v/>
      </c>
      <c r="C19" s="630">
        <f>SUMIFS('Données Suivi'!$J$2:$J$3000,'Données Suivi'!$A$2:$A$3000,$A19,'Données Suivi'!$O$2:$O$3000,"FONCTIONNEMENT",'Données Suivi'!$H$2:$H$3000,"PREENGAGE")</f>
        <v/>
      </c>
      <c r="D19" s="630">
        <f>SUMIFS('Données Suivi'!$J$2:$J$3000,'Données Suivi'!$A$2:$A$3000,$A19,'Données Suivi'!$O$2:$O$3000,"FONCTIONNEMENT",'Données Suivi'!$H$2:$H$3000,"EN COURS D'ENGAGEMENT")</f>
        <v/>
      </c>
      <c r="E19" s="630">
        <f>SUMIFS('Données Suivi'!$J$2:$J$3000,'Données Suivi'!$A$2:$A$3000,$A19,'Données Suivi'!$O$2:$O$3000,"FONCTIONNEMENT",'Données Suivi'!$H$2:$H$3000,"EN COURS DE PREENGAGEMENT")</f>
        <v/>
      </c>
      <c r="F19" s="630">
        <f>SUMIFS('Données Suivi'!$J$2:$J$3000,'Données Suivi'!$A$2:$A$3000,$A19,'Données Suivi'!$O$2:$O$3000,"FONCTIONNEMENT",'Données Suivi'!$H$2:$H$3000,"NON ENGAGE")</f>
        <v/>
      </c>
      <c r="G19" s="631">
        <f>B19+C19+D19+E19+F19</f>
        <v/>
      </c>
      <c r="H19" s="632">
        <f>SUMIFS('Données Suivi'!$J$2:$J$3000,'Données Suivi'!$A$2:$A$3000,$A19,'Données Suivi'!$O$2:$O$3000,"INVESTISSEMENT",'Données Suivi'!$H$2:$H$3000,"ENGAGE")</f>
        <v/>
      </c>
      <c r="I19" s="632">
        <f>SUMIFS('Données Suivi'!$J$2:$J$3000,'Données Suivi'!$A$2:$A$3000,$A19,'Données Suivi'!$O$2:$O$3000,"INVESTISSEMENT",'Données Suivi'!$H$2:$H$3000,"PREENGAGE")</f>
        <v/>
      </c>
      <c r="J19" s="632">
        <f>SUMIFS('Données Suivi'!$J$2:$J$3000,'Données Suivi'!$A$2:$A$3000,$A19,'Données Suivi'!$O$2:$O$3000,"INVESTISSEMENT",'Données Suivi'!$H$2:$H$3000,"EN COURS D'ENGAGEMENT")</f>
        <v/>
      </c>
      <c r="K19" s="632">
        <f>SUMIFS('Données Suivi'!$J$2:$J$3000,'Données Suivi'!$A$2:$A$3000,$A19,'Données Suivi'!$O$2:$O$3000,"INVESTISSEMENT",'Données Suivi'!$H$2:$H$3000,"EN COURS DE PREENGAGEMENT")</f>
        <v/>
      </c>
      <c r="L19" s="632">
        <f>SUMIFS('Données Suivi'!$J$2:$J$3000,'Données Suivi'!$A$2:$A$3000,$A19,'Données Suivi'!$O$2:$O$3000,"INVESTISSEMENT",'Données Suivi'!$H$2:$H$3000,"NON ENGAGE")</f>
        <v/>
      </c>
      <c r="M19" s="633">
        <f>H19+I19+J19+K19+L19</f>
        <v/>
      </c>
      <c r="N19" s="634">
        <f>G19+M19</f>
        <v/>
      </c>
    </row>
    <row r="20">
      <c r="A20" s="629" t="inlineStr">
        <is>
          <t>DRH</t>
        </is>
      </c>
      <c r="B20" s="630">
        <f>SUMIFS('Données Suivi'!$J$2:$J$3000,'Données Suivi'!$A$2:$A$3000,$A20,'Données Suivi'!$O$2:$O$3000,"FONCTIONNEMENT",'Données Suivi'!$H$2:$H$3000,"ENGAGE")</f>
        <v/>
      </c>
      <c r="C20" s="630">
        <f>SUMIFS('Données Suivi'!$J$2:$J$3000,'Données Suivi'!$A$2:$A$3000,$A20,'Données Suivi'!$O$2:$O$3000,"FONCTIONNEMENT",'Données Suivi'!$H$2:$H$3000,"PREENGAGE")</f>
        <v/>
      </c>
      <c r="D20" s="630">
        <f>SUMIFS('Données Suivi'!$J$2:$J$3000,'Données Suivi'!$A$2:$A$3000,$A20,'Données Suivi'!$O$2:$O$3000,"FONCTIONNEMENT",'Données Suivi'!$H$2:$H$3000,"EN COURS D'ENGAGEMENT")</f>
        <v/>
      </c>
      <c r="E20" s="630">
        <f>SUMIFS('Données Suivi'!$J$2:$J$3000,'Données Suivi'!$A$2:$A$3000,$A20,'Données Suivi'!$O$2:$O$3000,"FONCTIONNEMENT",'Données Suivi'!$H$2:$H$3000,"EN COURS DE PREENGAGEMENT")</f>
        <v/>
      </c>
      <c r="F20" s="630">
        <f>SUMIFS('Données Suivi'!$J$2:$J$3000,'Données Suivi'!$A$2:$A$3000,$A20,'Données Suivi'!$O$2:$O$3000,"FONCTIONNEMENT",'Données Suivi'!$H$2:$H$3000,"NON ENGAGE")</f>
        <v/>
      </c>
      <c r="G20" s="631">
        <f>B20+C20+D20+E20+F20</f>
        <v/>
      </c>
      <c r="H20" s="632">
        <f>SUMIFS('Données Suivi'!$J$2:$J$3000,'Données Suivi'!$A$2:$A$3000,$A20,'Données Suivi'!$O$2:$O$3000,"INVESTISSEMENT",'Données Suivi'!$H$2:$H$3000,"ENGAGE")</f>
        <v/>
      </c>
      <c r="I20" s="632">
        <f>SUMIFS('Données Suivi'!$J$2:$J$3000,'Données Suivi'!$A$2:$A$3000,$A20,'Données Suivi'!$O$2:$O$3000,"INVESTISSEMENT",'Données Suivi'!$H$2:$H$3000,"PREENGAGE")</f>
        <v/>
      </c>
      <c r="J20" s="632">
        <f>SUMIFS('Données Suivi'!$J$2:$J$3000,'Données Suivi'!$A$2:$A$3000,$A20,'Données Suivi'!$O$2:$O$3000,"INVESTISSEMENT",'Données Suivi'!$H$2:$H$3000,"EN COURS D'ENGAGEMENT")</f>
        <v/>
      </c>
      <c r="K20" s="632">
        <f>SUMIFS('Données Suivi'!$J$2:$J$3000,'Données Suivi'!$A$2:$A$3000,$A20,'Données Suivi'!$O$2:$O$3000,"INVESTISSEMENT",'Données Suivi'!$H$2:$H$3000,"EN COURS DE PREENGAGEMENT")</f>
        <v/>
      </c>
      <c r="L20" s="632">
        <f>SUMIFS('Données Suivi'!$J$2:$J$3000,'Données Suivi'!$A$2:$A$3000,$A20,'Données Suivi'!$O$2:$O$3000,"INVESTISSEMENT",'Données Suivi'!$H$2:$H$3000,"NON ENGAGE")</f>
        <v/>
      </c>
      <c r="M20" s="633">
        <f>H20+I20+J20+K20+L20</f>
        <v/>
      </c>
      <c r="N20" s="634">
        <f>G20+M20</f>
        <v/>
      </c>
    </row>
    <row r="21">
      <c r="A21" s="629" t="inlineStr">
        <is>
          <t>DRPSD</t>
        </is>
      </c>
      <c r="B21" s="630">
        <f>SUMIFS('Données Suivi'!$J$2:$J$3000,'Données Suivi'!$A$2:$A$3000,$A21,'Données Suivi'!$O$2:$O$3000,"FONCTIONNEMENT",'Données Suivi'!$H$2:$H$3000,"ENGAGE")</f>
        <v/>
      </c>
      <c r="C21" s="630">
        <f>SUMIFS('Données Suivi'!$J$2:$J$3000,'Données Suivi'!$A$2:$A$3000,$A21,'Données Suivi'!$O$2:$O$3000,"FONCTIONNEMENT",'Données Suivi'!$H$2:$H$3000,"PREENGAGE")</f>
        <v/>
      </c>
      <c r="D21" s="630">
        <f>SUMIFS('Données Suivi'!$J$2:$J$3000,'Données Suivi'!$A$2:$A$3000,$A21,'Données Suivi'!$O$2:$O$3000,"FONCTIONNEMENT",'Données Suivi'!$H$2:$H$3000,"EN COURS D'ENGAGEMENT")</f>
        <v/>
      </c>
      <c r="E21" s="630">
        <f>SUMIFS('Données Suivi'!$J$2:$J$3000,'Données Suivi'!$A$2:$A$3000,$A21,'Données Suivi'!$O$2:$O$3000,"FONCTIONNEMENT",'Données Suivi'!$H$2:$H$3000,"EN COURS DE PREENGAGEMENT")</f>
        <v/>
      </c>
      <c r="F21" s="630">
        <f>SUMIFS('Données Suivi'!$J$2:$J$3000,'Données Suivi'!$A$2:$A$3000,$A21,'Données Suivi'!$O$2:$O$3000,"FONCTIONNEMENT",'Données Suivi'!$H$2:$H$3000,"NON ENGAGE")</f>
        <v/>
      </c>
      <c r="G21" s="631">
        <f>B21+C21+D21+E21+F21</f>
        <v/>
      </c>
      <c r="H21" s="632">
        <f>SUMIFS('Données Suivi'!$J$2:$J$3000,'Données Suivi'!$A$2:$A$3000,$A21,'Données Suivi'!$O$2:$O$3000,"INVESTISSEMENT",'Données Suivi'!$H$2:$H$3000,"ENGAGE")</f>
        <v/>
      </c>
      <c r="I21" s="632">
        <f>SUMIFS('Données Suivi'!$J$2:$J$3000,'Données Suivi'!$A$2:$A$3000,$A21,'Données Suivi'!$O$2:$O$3000,"INVESTISSEMENT",'Données Suivi'!$H$2:$H$3000,"PREENGAGE")</f>
        <v/>
      </c>
      <c r="J21" s="632">
        <f>SUMIFS('Données Suivi'!$J$2:$J$3000,'Données Suivi'!$A$2:$A$3000,$A21,'Données Suivi'!$O$2:$O$3000,"INVESTISSEMENT",'Données Suivi'!$H$2:$H$3000,"EN COURS D'ENGAGEMENT")</f>
        <v/>
      </c>
      <c r="K21" s="632">
        <f>SUMIFS('Données Suivi'!$J$2:$J$3000,'Données Suivi'!$A$2:$A$3000,$A21,'Données Suivi'!$O$2:$O$3000,"INVESTISSEMENT",'Données Suivi'!$H$2:$H$3000,"EN COURS DE PREENGAGEMENT")</f>
        <v/>
      </c>
      <c r="L21" s="632">
        <f>SUMIFS('Données Suivi'!$J$2:$J$3000,'Données Suivi'!$A$2:$A$3000,$A21,'Données Suivi'!$O$2:$O$3000,"INVESTISSEMENT",'Données Suivi'!$H$2:$H$3000,"NON ENGAGE")</f>
        <v/>
      </c>
      <c r="M21" s="633">
        <f>H21+I21+J21+K21+L21</f>
        <v/>
      </c>
      <c r="N21" s="634">
        <f>G21+M21</f>
        <v/>
      </c>
    </row>
    <row r="22">
      <c r="A22" s="629" t="inlineStr">
        <is>
          <t>MAGHRIBIA</t>
        </is>
      </c>
      <c r="B22" s="630">
        <f>SUMIFS('Données Suivi'!$J$2:$J$3000,'Données Suivi'!$A$2:$A$3000,$A22,'Données Suivi'!$O$2:$O$3000,"FONCTIONNEMENT",'Données Suivi'!$H$2:$H$3000,"ENGAGE")</f>
        <v/>
      </c>
      <c r="C22" s="630">
        <f>SUMIFS('Données Suivi'!$J$2:$J$3000,'Données Suivi'!$A$2:$A$3000,$A22,'Données Suivi'!$O$2:$O$3000,"FONCTIONNEMENT",'Données Suivi'!$H$2:$H$3000,"PREENGAGE")</f>
        <v/>
      </c>
      <c r="D22" s="630">
        <f>SUMIFS('Données Suivi'!$J$2:$J$3000,'Données Suivi'!$A$2:$A$3000,$A22,'Données Suivi'!$O$2:$O$3000,"FONCTIONNEMENT",'Données Suivi'!$H$2:$H$3000,"EN COURS D'ENGAGEMENT")</f>
        <v/>
      </c>
      <c r="E22" s="630">
        <f>SUMIFS('Données Suivi'!$J$2:$J$3000,'Données Suivi'!$A$2:$A$3000,$A22,'Données Suivi'!$O$2:$O$3000,"FONCTIONNEMENT",'Données Suivi'!$H$2:$H$3000,"EN COURS DE PREENGAGEMENT")</f>
        <v/>
      </c>
      <c r="F22" s="630">
        <f>SUMIFS('Données Suivi'!$J$2:$J$3000,'Données Suivi'!$A$2:$A$3000,$A22,'Données Suivi'!$O$2:$O$3000,"FONCTIONNEMENT",'Données Suivi'!$H$2:$H$3000,"NON ENGAGE")</f>
        <v/>
      </c>
      <c r="G22" s="631">
        <f>B22+C22+D22+E22+F22</f>
        <v/>
      </c>
      <c r="H22" s="632">
        <f>SUMIFS('Données Suivi'!$J$2:$J$3000,'Données Suivi'!$A$2:$A$3000,$A22,'Données Suivi'!$O$2:$O$3000,"INVESTISSEMENT",'Données Suivi'!$H$2:$H$3000,"ENGAGE")</f>
        <v/>
      </c>
      <c r="I22" s="632">
        <f>SUMIFS('Données Suivi'!$J$2:$J$3000,'Données Suivi'!$A$2:$A$3000,$A22,'Données Suivi'!$O$2:$O$3000,"INVESTISSEMENT",'Données Suivi'!$H$2:$H$3000,"PREENGAGE")</f>
        <v/>
      </c>
      <c r="J22" s="632">
        <f>SUMIFS('Données Suivi'!$J$2:$J$3000,'Données Suivi'!$A$2:$A$3000,$A22,'Données Suivi'!$O$2:$O$3000,"INVESTISSEMENT",'Données Suivi'!$H$2:$H$3000,"EN COURS D'ENGAGEMENT")</f>
        <v/>
      </c>
      <c r="K22" s="632">
        <f>SUMIFS('Données Suivi'!$J$2:$J$3000,'Données Suivi'!$A$2:$A$3000,$A22,'Données Suivi'!$O$2:$O$3000,"INVESTISSEMENT",'Données Suivi'!$H$2:$H$3000,"EN COURS DE PREENGAGEMENT")</f>
        <v/>
      </c>
      <c r="L22" s="632">
        <f>SUMIFS('Données Suivi'!$J$2:$J$3000,'Données Suivi'!$A$2:$A$3000,$A22,'Données Suivi'!$O$2:$O$3000,"INVESTISSEMENT",'Données Suivi'!$H$2:$H$3000,"NON ENGAGE")</f>
        <v/>
      </c>
      <c r="M22" s="633">
        <f>H22+I22+J22+K22+L22</f>
        <v/>
      </c>
      <c r="N22" s="634">
        <f>G22+M22</f>
        <v/>
      </c>
    </row>
    <row r="23">
      <c r="A23" s="629" t="inlineStr">
        <is>
          <t>RSSI</t>
        </is>
      </c>
      <c r="B23" s="630">
        <f>SUMIFS('Données Suivi'!$J$2:$J$3000,'Données Suivi'!$A$2:$A$3000,$A23,'Données Suivi'!$O$2:$O$3000,"FONCTIONNEMENT",'Données Suivi'!$H$2:$H$3000,"ENGAGE")</f>
        <v/>
      </c>
      <c r="C23" s="630">
        <f>SUMIFS('Données Suivi'!$J$2:$J$3000,'Données Suivi'!$A$2:$A$3000,$A23,'Données Suivi'!$O$2:$O$3000,"FONCTIONNEMENT",'Données Suivi'!$H$2:$H$3000,"PREENGAGE")</f>
        <v/>
      </c>
      <c r="D23" s="630">
        <f>SUMIFS('Données Suivi'!$J$2:$J$3000,'Données Suivi'!$A$2:$A$3000,$A23,'Données Suivi'!$O$2:$O$3000,"FONCTIONNEMENT",'Données Suivi'!$H$2:$H$3000,"EN COURS D'ENGAGEMENT")</f>
        <v/>
      </c>
      <c r="E23" s="630">
        <f>SUMIFS('Données Suivi'!$J$2:$J$3000,'Données Suivi'!$A$2:$A$3000,$A23,'Données Suivi'!$O$2:$O$3000,"FONCTIONNEMENT",'Données Suivi'!$H$2:$H$3000,"EN COURS DE PREENGAGEMENT")</f>
        <v/>
      </c>
      <c r="F23" s="630">
        <f>SUMIFS('Données Suivi'!$J$2:$J$3000,'Données Suivi'!$A$2:$A$3000,$A23,'Données Suivi'!$O$2:$O$3000,"FONCTIONNEMENT",'Données Suivi'!$H$2:$H$3000,"NON ENGAGE")</f>
        <v/>
      </c>
      <c r="G23" s="631">
        <f>B23+C23+D23+E23+F23</f>
        <v/>
      </c>
      <c r="H23" s="632">
        <f>SUMIFS('Données Suivi'!$J$2:$J$3000,'Données Suivi'!$A$2:$A$3000,$A23,'Données Suivi'!$O$2:$O$3000,"INVESTISSEMENT",'Données Suivi'!$H$2:$H$3000,"ENGAGE")</f>
        <v/>
      </c>
      <c r="I23" s="632">
        <f>SUMIFS('Données Suivi'!$J$2:$J$3000,'Données Suivi'!$A$2:$A$3000,$A23,'Données Suivi'!$O$2:$O$3000,"INVESTISSEMENT",'Données Suivi'!$H$2:$H$3000,"PREENGAGE")</f>
        <v/>
      </c>
      <c r="J23" s="632">
        <f>SUMIFS('Données Suivi'!$J$2:$J$3000,'Données Suivi'!$A$2:$A$3000,$A23,'Données Suivi'!$O$2:$O$3000,"INVESTISSEMENT",'Données Suivi'!$H$2:$H$3000,"EN COURS D'ENGAGEMENT")</f>
        <v/>
      </c>
      <c r="K23" s="632">
        <f>SUMIFS('Données Suivi'!$J$2:$J$3000,'Données Suivi'!$A$2:$A$3000,$A23,'Données Suivi'!$O$2:$O$3000,"INVESTISSEMENT",'Données Suivi'!$H$2:$H$3000,"EN COURS DE PREENGAGEMENT")</f>
        <v/>
      </c>
      <c r="L23" s="632">
        <f>SUMIFS('Données Suivi'!$J$2:$J$3000,'Données Suivi'!$A$2:$A$3000,$A23,'Données Suivi'!$O$2:$O$3000,"INVESTISSEMENT",'Données Suivi'!$H$2:$H$3000,"NON ENGAGE")</f>
        <v/>
      </c>
      <c r="M23" s="633">
        <f>H23+I23+J23+K23+L23</f>
        <v/>
      </c>
      <c r="N23" s="634">
        <f>G23+M23</f>
        <v/>
      </c>
    </row>
    <row r="24">
      <c r="A24" s="629" t="inlineStr">
        <is>
          <t>TAMAZIGHT</t>
        </is>
      </c>
      <c r="B24" s="630">
        <f>SUMIFS('Données Suivi'!$J$2:$J$3000,'Données Suivi'!$A$2:$A$3000,$A24,'Données Suivi'!$O$2:$O$3000,"FONCTIONNEMENT",'Données Suivi'!$H$2:$H$3000,"ENGAGE")</f>
        <v/>
      </c>
      <c r="C24" s="630">
        <f>SUMIFS('Données Suivi'!$J$2:$J$3000,'Données Suivi'!$A$2:$A$3000,$A24,'Données Suivi'!$O$2:$O$3000,"FONCTIONNEMENT",'Données Suivi'!$H$2:$H$3000,"PREENGAGE")</f>
        <v/>
      </c>
      <c r="D24" s="630">
        <f>SUMIFS('Données Suivi'!$J$2:$J$3000,'Données Suivi'!$A$2:$A$3000,$A24,'Données Suivi'!$O$2:$O$3000,"FONCTIONNEMENT",'Données Suivi'!$H$2:$H$3000,"EN COURS D'ENGAGEMENT")</f>
        <v/>
      </c>
      <c r="E24" s="630">
        <f>SUMIFS('Données Suivi'!$J$2:$J$3000,'Données Suivi'!$A$2:$A$3000,$A24,'Données Suivi'!$O$2:$O$3000,"FONCTIONNEMENT",'Données Suivi'!$H$2:$H$3000,"EN COURS DE PREENGAGEMENT")</f>
        <v/>
      </c>
      <c r="F24" s="630">
        <f>SUMIFS('Données Suivi'!$J$2:$J$3000,'Données Suivi'!$A$2:$A$3000,$A24,'Données Suivi'!$O$2:$O$3000,"FONCTIONNEMENT",'Données Suivi'!$H$2:$H$3000,"NON ENGAGE")</f>
        <v/>
      </c>
      <c r="G24" s="631">
        <f>B24+C24+D24+E24+F24</f>
        <v/>
      </c>
      <c r="H24" s="632">
        <f>SUMIFS('Données Suivi'!$J$2:$J$3000,'Données Suivi'!$A$2:$A$3000,$A24,'Données Suivi'!$O$2:$O$3000,"INVESTISSEMENT",'Données Suivi'!$H$2:$H$3000,"ENGAGE")</f>
        <v/>
      </c>
      <c r="I24" s="632">
        <f>SUMIFS('Données Suivi'!$J$2:$J$3000,'Données Suivi'!$A$2:$A$3000,$A24,'Données Suivi'!$O$2:$O$3000,"INVESTISSEMENT",'Données Suivi'!$H$2:$H$3000,"PREENGAGE")</f>
        <v/>
      </c>
      <c r="J24" s="632">
        <f>SUMIFS('Données Suivi'!$J$2:$J$3000,'Données Suivi'!$A$2:$A$3000,$A24,'Données Suivi'!$O$2:$O$3000,"INVESTISSEMENT",'Données Suivi'!$H$2:$H$3000,"EN COURS D'ENGAGEMENT")</f>
        <v/>
      </c>
      <c r="K24" s="632">
        <f>SUMIFS('Données Suivi'!$J$2:$J$3000,'Données Suivi'!$A$2:$A$3000,$A24,'Données Suivi'!$O$2:$O$3000,"INVESTISSEMENT",'Données Suivi'!$H$2:$H$3000,"EN COURS DE PREENGAGEMENT")</f>
        <v/>
      </c>
      <c r="L24" s="632">
        <f>SUMIFS('Données Suivi'!$J$2:$J$3000,'Données Suivi'!$A$2:$A$3000,$A24,'Données Suivi'!$O$2:$O$3000,"INVESTISSEMENT",'Données Suivi'!$H$2:$H$3000,"NON ENGAGE")</f>
        <v/>
      </c>
      <c r="M24" s="633">
        <f>H24+I24+J24+K24+L24</f>
        <v/>
      </c>
      <c r="N24" s="634">
        <f>G24+M24</f>
        <v/>
      </c>
    </row>
    <row r="25">
      <c r="A25" s="629" t="inlineStr">
        <is>
          <t>TDF -SITES</t>
        </is>
      </c>
      <c r="B25" s="630">
        <f>SUMIFS('Données Suivi'!$J$2:$J$3000,'Données Suivi'!$A$2:$A$3000,$A25,'Données Suivi'!$O$2:$O$3000,"FONCTIONNEMENT",'Données Suivi'!$H$2:$H$3000,"ENGAGE")</f>
        <v/>
      </c>
      <c r="C25" s="630">
        <f>SUMIFS('Données Suivi'!$J$2:$J$3000,'Données Suivi'!$A$2:$A$3000,$A25,'Données Suivi'!$O$2:$O$3000,"FONCTIONNEMENT",'Données Suivi'!$H$2:$H$3000,"PREENGAGE")</f>
        <v/>
      </c>
      <c r="D25" s="630">
        <f>SUMIFS('Données Suivi'!$J$2:$J$3000,'Données Suivi'!$A$2:$A$3000,$A25,'Données Suivi'!$O$2:$O$3000,"FONCTIONNEMENT",'Données Suivi'!$H$2:$H$3000,"EN COURS D'ENGAGEMENT")</f>
        <v/>
      </c>
      <c r="E25" s="630">
        <f>SUMIFS('Données Suivi'!$J$2:$J$3000,'Données Suivi'!$A$2:$A$3000,$A25,'Données Suivi'!$O$2:$O$3000,"FONCTIONNEMENT",'Données Suivi'!$H$2:$H$3000,"EN COURS DE PREENGAGEMENT")</f>
        <v/>
      </c>
      <c r="F25" s="630">
        <f>SUMIFS('Données Suivi'!$J$2:$J$3000,'Données Suivi'!$A$2:$A$3000,$A25,'Données Suivi'!$O$2:$O$3000,"FONCTIONNEMENT",'Données Suivi'!$H$2:$H$3000,"NON ENGAGE")</f>
        <v/>
      </c>
      <c r="G25" s="631">
        <f>B25+C25+D25+E25+F25</f>
        <v/>
      </c>
      <c r="H25" s="632">
        <f>SUMIFS('Données Suivi'!$J$2:$J$3000,'Données Suivi'!$A$2:$A$3000,$A25,'Données Suivi'!$O$2:$O$3000,"INVESTISSEMENT",'Données Suivi'!$H$2:$H$3000,"ENGAGE")</f>
        <v/>
      </c>
      <c r="I25" s="632">
        <f>SUMIFS('Données Suivi'!$J$2:$J$3000,'Données Suivi'!$A$2:$A$3000,$A25,'Données Suivi'!$O$2:$O$3000,"INVESTISSEMENT",'Données Suivi'!$H$2:$H$3000,"PREENGAGE")</f>
        <v/>
      </c>
      <c r="J25" s="632">
        <f>SUMIFS('Données Suivi'!$J$2:$J$3000,'Données Suivi'!$A$2:$A$3000,$A25,'Données Suivi'!$O$2:$O$3000,"INVESTISSEMENT",'Données Suivi'!$H$2:$H$3000,"EN COURS D'ENGAGEMENT")</f>
        <v/>
      </c>
      <c r="K25" s="632">
        <f>SUMIFS('Données Suivi'!$J$2:$J$3000,'Données Suivi'!$A$2:$A$3000,$A25,'Données Suivi'!$O$2:$O$3000,"INVESTISSEMENT",'Données Suivi'!$H$2:$H$3000,"EN COURS DE PREENGAGEMENT")</f>
        <v/>
      </c>
      <c r="L25" s="632">
        <f>SUMIFS('Données Suivi'!$J$2:$J$3000,'Données Suivi'!$A$2:$A$3000,$A25,'Données Suivi'!$O$2:$O$3000,"INVESTISSEMENT",'Données Suivi'!$H$2:$H$3000,"NON ENGAGE")</f>
        <v/>
      </c>
      <c r="M25" s="633">
        <f>H25+I25+J25+K25+L25</f>
        <v/>
      </c>
      <c r="N25" s="634">
        <f>G25+M25</f>
        <v/>
      </c>
    </row>
    <row r="26">
      <c r="A26" s="629" t="inlineStr">
        <is>
          <t>TDF-EXP&amp;MAIN</t>
        </is>
      </c>
      <c r="B26" s="630">
        <f>SUMIFS('Données Suivi'!$J$2:$J$3000,'Données Suivi'!$A$2:$A$3000,$A26,'Données Suivi'!$O$2:$O$3000,"FONCTIONNEMENT",'Données Suivi'!$H$2:$H$3000,"ENGAGE")</f>
        <v/>
      </c>
      <c r="C26" s="630">
        <f>SUMIFS('Données Suivi'!$J$2:$J$3000,'Données Suivi'!$A$2:$A$3000,$A26,'Données Suivi'!$O$2:$O$3000,"FONCTIONNEMENT",'Données Suivi'!$H$2:$H$3000,"PREENGAGE")</f>
        <v/>
      </c>
      <c r="D26" s="630">
        <f>SUMIFS('Données Suivi'!$J$2:$J$3000,'Données Suivi'!$A$2:$A$3000,$A26,'Données Suivi'!$O$2:$O$3000,"FONCTIONNEMENT",'Données Suivi'!$H$2:$H$3000,"EN COURS D'ENGAGEMENT")</f>
        <v/>
      </c>
      <c r="E26" s="630">
        <f>SUMIFS('Données Suivi'!$J$2:$J$3000,'Données Suivi'!$A$2:$A$3000,$A26,'Données Suivi'!$O$2:$O$3000,"FONCTIONNEMENT",'Données Suivi'!$H$2:$H$3000,"EN COURS DE PREENGAGEMENT")</f>
        <v/>
      </c>
      <c r="F26" s="630">
        <f>SUMIFS('Données Suivi'!$J$2:$J$3000,'Données Suivi'!$A$2:$A$3000,$A26,'Données Suivi'!$O$2:$O$3000,"FONCTIONNEMENT",'Données Suivi'!$H$2:$H$3000,"NON ENGAGE")</f>
        <v/>
      </c>
      <c r="G26" s="631">
        <f>B26+C26+D26+E26+F26</f>
        <v/>
      </c>
      <c r="H26" s="632">
        <f>SUMIFS('Données Suivi'!$J$2:$J$3000,'Données Suivi'!$A$2:$A$3000,$A26,'Données Suivi'!$O$2:$O$3000,"INVESTISSEMENT",'Données Suivi'!$H$2:$H$3000,"ENGAGE")</f>
        <v/>
      </c>
      <c r="I26" s="632">
        <f>SUMIFS('Données Suivi'!$J$2:$J$3000,'Données Suivi'!$A$2:$A$3000,$A26,'Données Suivi'!$O$2:$O$3000,"INVESTISSEMENT",'Données Suivi'!$H$2:$H$3000,"PREENGAGE")</f>
        <v/>
      </c>
      <c r="J26" s="632">
        <f>SUMIFS('Données Suivi'!$J$2:$J$3000,'Données Suivi'!$A$2:$A$3000,$A26,'Données Suivi'!$O$2:$O$3000,"INVESTISSEMENT",'Données Suivi'!$H$2:$H$3000,"EN COURS D'ENGAGEMENT")</f>
        <v/>
      </c>
      <c r="K26" s="632">
        <f>SUMIFS('Données Suivi'!$J$2:$J$3000,'Données Suivi'!$A$2:$A$3000,$A26,'Données Suivi'!$O$2:$O$3000,"INVESTISSEMENT",'Données Suivi'!$H$2:$H$3000,"EN COURS DE PREENGAGEMENT")</f>
        <v/>
      </c>
      <c r="L26" s="632">
        <f>SUMIFS('Données Suivi'!$J$2:$J$3000,'Données Suivi'!$A$2:$A$3000,$A26,'Données Suivi'!$O$2:$O$3000,"INVESTISSEMENT",'Données Suivi'!$H$2:$H$3000,"NON ENGAGE")</f>
        <v/>
      </c>
      <c r="M26" s="633">
        <f>H26+I26+J26+K26+L26</f>
        <v/>
      </c>
      <c r="N26" s="634">
        <f>G26+M26</f>
        <v/>
      </c>
    </row>
    <row r="27">
      <c r="A27" s="629" t="inlineStr">
        <is>
          <t>TV LAAYOUNE</t>
        </is>
      </c>
      <c r="B27" s="630">
        <f>SUMIFS('Données Suivi'!$J$2:$J$3000,'Données Suivi'!$A$2:$A$3000,$A27,'Données Suivi'!$O$2:$O$3000,"FONCTIONNEMENT",'Données Suivi'!$H$2:$H$3000,"ENGAGE")</f>
        <v/>
      </c>
      <c r="C27" s="630">
        <f>SUMIFS('Données Suivi'!$J$2:$J$3000,'Données Suivi'!$A$2:$A$3000,$A27,'Données Suivi'!$O$2:$O$3000,"FONCTIONNEMENT",'Données Suivi'!$H$2:$H$3000,"PREENGAGE")</f>
        <v/>
      </c>
      <c r="D27" s="630">
        <f>SUMIFS('Données Suivi'!$J$2:$J$3000,'Données Suivi'!$A$2:$A$3000,$A27,'Données Suivi'!$O$2:$O$3000,"FONCTIONNEMENT",'Données Suivi'!$H$2:$H$3000,"EN COURS D'ENGAGEMENT")</f>
        <v/>
      </c>
      <c r="E27" s="630">
        <f>SUMIFS('Données Suivi'!$J$2:$J$3000,'Données Suivi'!$A$2:$A$3000,$A27,'Données Suivi'!$O$2:$O$3000,"FONCTIONNEMENT",'Données Suivi'!$H$2:$H$3000,"EN COURS DE PREENGAGEMENT")</f>
        <v/>
      </c>
      <c r="F27" s="630">
        <f>SUMIFS('Données Suivi'!$J$2:$J$3000,'Données Suivi'!$A$2:$A$3000,$A27,'Données Suivi'!$O$2:$O$3000,"FONCTIONNEMENT",'Données Suivi'!$H$2:$H$3000,"NON ENGAGE")</f>
        <v/>
      </c>
      <c r="G27" s="631">
        <f>B27+C27+D27+E27+F27</f>
        <v/>
      </c>
      <c r="H27" s="632">
        <f>SUMIFS('Données Suivi'!$J$2:$J$3000,'Données Suivi'!$A$2:$A$3000,$A27,'Données Suivi'!$O$2:$O$3000,"INVESTISSEMENT",'Données Suivi'!$H$2:$H$3000,"ENGAGE")</f>
        <v/>
      </c>
      <c r="I27" s="632">
        <f>SUMIFS('Données Suivi'!$J$2:$J$3000,'Données Suivi'!$A$2:$A$3000,$A27,'Données Suivi'!$O$2:$O$3000,"INVESTISSEMENT",'Données Suivi'!$H$2:$H$3000,"PREENGAGE")</f>
        <v/>
      </c>
      <c r="J27" s="632">
        <f>SUMIFS('Données Suivi'!$J$2:$J$3000,'Données Suivi'!$A$2:$A$3000,$A27,'Données Suivi'!$O$2:$O$3000,"INVESTISSEMENT",'Données Suivi'!$H$2:$H$3000,"EN COURS D'ENGAGEMENT")</f>
        <v/>
      </c>
      <c r="K27" s="632">
        <f>SUMIFS('Données Suivi'!$J$2:$J$3000,'Données Suivi'!$A$2:$A$3000,$A27,'Données Suivi'!$O$2:$O$3000,"INVESTISSEMENT",'Données Suivi'!$H$2:$H$3000,"EN COURS DE PREENGAGEMENT")</f>
        <v/>
      </c>
      <c r="L27" s="632">
        <f>SUMIFS('Données Suivi'!$J$2:$J$3000,'Données Suivi'!$A$2:$A$3000,$A27,'Données Suivi'!$O$2:$O$3000,"INVESTISSEMENT",'Données Suivi'!$H$2:$H$3000,"NON ENGAGE")</f>
        <v/>
      </c>
      <c r="M27" s="633">
        <f>H27+I27+J27+K27+L27</f>
        <v/>
      </c>
      <c r="N27" s="634">
        <f>G27+M27</f>
        <v/>
      </c>
    </row>
    <row r="28" ht="22" customHeight="1" s="392">
      <c r="A28" s="635" t="inlineStr">
        <is>
          <t>TOTAL GÉNÉRAL</t>
        </is>
      </c>
      <c r="B28" s="636">
        <f>SUM(B5:B27)</f>
        <v/>
      </c>
      <c r="C28" s="636">
        <f>SUM(C5:C27)</f>
        <v/>
      </c>
      <c r="D28" s="636">
        <f>SUM(D5:D27)</f>
        <v/>
      </c>
      <c r="E28" s="636">
        <f>SUM(E5:E27)</f>
        <v/>
      </c>
      <c r="F28" s="636">
        <f>SUM(F5:F27)</f>
        <v/>
      </c>
      <c r="G28" s="636">
        <f>SUM(G5:G27)</f>
        <v/>
      </c>
      <c r="H28" s="637">
        <f>SUM(H5:H27)</f>
        <v/>
      </c>
      <c r="I28" s="637">
        <f>SUM(I5:I27)</f>
        <v/>
      </c>
      <c r="J28" s="637">
        <f>SUM(J5:J27)</f>
        <v/>
      </c>
      <c r="K28" s="637">
        <f>SUM(K5:K27)</f>
        <v/>
      </c>
      <c r="L28" s="637">
        <f>SUM(L5:L27)</f>
        <v/>
      </c>
      <c r="M28" s="637">
        <f>SUM(M5:M27)</f>
        <v/>
      </c>
      <c r="N28" s="638">
        <f>SUM(N5:N27)</f>
        <v/>
      </c>
    </row>
  </sheetData>
  <mergeCells count="6">
    <mergeCell ref="B3:G3"/>
    <mergeCell ref="A3:A4"/>
    <mergeCell ref="A2:N2"/>
    <mergeCell ref="N3:N4"/>
    <mergeCell ref="H3:M3"/>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5"/>
  <sheetViews>
    <sheetView showGridLines="0" workbookViewId="0">
      <selection activeCell="A1" sqref="A1"/>
    </sheetView>
  </sheetViews>
  <sheetFormatPr baseColWidth="8" defaultRowHeight="15"/>
  <cols>
    <col width="30" customWidth="1" style="392" min="1" max="1"/>
    <col width="12" customWidth="1" style="392" min="2" max="2"/>
    <col width="15" customWidth="1" style="392" min="3" max="3"/>
    <col width="13" customWidth="1" style="392" min="4" max="4"/>
    <col width="13" customWidth="1" style="392" min="5" max="5"/>
    <col width="11" customWidth="1" style="392" min="6" max="6"/>
    <col width="12" customWidth="1" style="392" min="7" max="7"/>
    <col width="12" customWidth="1" style="392" min="8" max="8"/>
    <col width="13" customWidth="1" style="392" min="9" max="9"/>
    <col width="11" customWidth="1" style="392" min="10" max="10"/>
    <col width="9" customWidth="1" style="392" min="11" max="11"/>
    <col width="13" customWidth="1" style="392" min="12" max="12"/>
    <col width="3" customWidth="1" style="392" min="13" max="13"/>
    <col hidden="1" width="13" customWidth="1" style="392" min="20" max="20"/>
  </cols>
  <sheetData>
    <row r="1" ht="28" customHeight="1" s="392">
      <c r="A1" s="605" t="inlineStr">
        <is>
          <t>FILTRE INTERACTIF — DIRECTION / BCI / STATUT D'ENGAGEMENT</t>
        </is>
      </c>
    </row>
    <row r="3">
      <c r="A3" s="606" t="inlineStr">
        <is>
          <t>1) Choisir une Direction :</t>
        </is>
      </c>
      <c r="C3" s="607" t="inlineStr">
        <is>
          <t>DCT</t>
        </is>
      </c>
    </row>
    <row r="5">
      <c r="A5" s="606" t="inlineStr">
        <is>
          <t>2) Choisir un Type de BCI (à partir de la répartition ci-dessous) :</t>
        </is>
      </c>
      <c r="C5" s="607" t="inlineStr">
        <is>
          <t>CONTRAT</t>
        </is>
      </c>
    </row>
    <row r="7" ht="20" customHeight="1" s="392">
      <c r="A7" s="592" t="inlineStr">
        <is>
          <t>Nombre de dossiers par Type de BCI — Direction sélectionnée</t>
        </is>
      </c>
    </row>
    <row r="8">
      <c r="A8" s="608" t="inlineStr">
        <is>
          <t>Type de BCI</t>
        </is>
      </c>
      <c r="B8" s="608" t="inlineStr">
        <is>
          <t>Nb dossiers</t>
        </is>
      </c>
      <c r="C8" s="608" t="inlineStr">
        <is>
          <t>Montant (MAD)</t>
        </is>
      </c>
      <c r="D8" s="609" t="inlineStr">
        <is>
          <t>NATURE BUDGET</t>
        </is>
      </c>
      <c r="E8" s="611" t="n"/>
      <c r="F8" s="609" t="inlineStr">
        <is>
          <t>CATEGORIE</t>
        </is>
      </c>
      <c r="G8" s="618" t="n"/>
      <c r="H8" s="611" t="n"/>
    </row>
    <row r="9">
      <c r="A9" s="619" t="n"/>
      <c r="B9" s="619" t="n"/>
      <c r="C9" s="619" t="n"/>
      <c r="D9" s="593" t="inlineStr">
        <is>
          <t>Fonctionnement</t>
        </is>
      </c>
      <c r="E9" s="593" t="inlineStr">
        <is>
          <t>Investissement</t>
        </is>
      </c>
      <c r="F9" s="593" t="inlineStr">
        <is>
          <t>Général</t>
        </is>
      </c>
      <c r="G9" s="593" t="inlineStr">
        <is>
          <t>PME</t>
        </is>
      </c>
      <c r="H9" s="593" t="inlineStr">
        <is>
          <t>Non concerné</t>
        </is>
      </c>
    </row>
    <row r="10">
      <c r="A10" s="594" t="inlineStr">
        <is>
          <t>CONTRAT</t>
        </is>
      </c>
      <c r="B10" s="595">
        <f>COUNTIFS('Données Suivi'!$A$2:$A$3000,$C$3,'Données Suivi'!$C$2:$C$3000,$A10)</f>
        <v/>
      </c>
      <c r="C10" s="598">
        <f>SUMIFS('Données Suivi'!$J$2:$J$3000,'Données Suivi'!$A$2:$A$3000,$C$3,'Données Suivi'!$C$2:$C$3000,$A10)</f>
        <v/>
      </c>
      <c r="D10" s="595">
        <f>COUNTIFS('Données Suivi'!$A$2:$A$3000,$C$3,'Données Suivi'!$C$2:$C$3000,$A10,'Données Suivi'!$O$2:$O$3000,"FONCTIONNEMENT")</f>
        <v/>
      </c>
      <c r="E10" s="595">
        <f>COUNTIFS('Données Suivi'!$A$2:$A$3000,$C$3,'Données Suivi'!$C$2:$C$3000,$A10,'Données Suivi'!$O$2:$O$3000,"INVESTISSEMENT")</f>
        <v/>
      </c>
      <c r="F10" s="595">
        <f>COUNTIFS('Données Suivi'!$A$2:$A$3000,$C$3,'Données Suivi'!$C$2:$C$3000,$A10,'Données Suivi'!$P$2:$P$3000,"GENERAL")</f>
        <v/>
      </c>
      <c r="G10" s="595">
        <f>COUNTIFS('Données Suivi'!$A$2:$A$3000,$C$3,'Données Suivi'!$C$2:$C$3000,$A10,'Données Suivi'!$P$2:$P$3000,"PME")</f>
        <v/>
      </c>
      <c r="H10" s="595">
        <f>COUNTIFS('Données Suivi'!$A$2:$A$3000,$C$3,'Données Suivi'!$C$2:$C$3000,$A10,'Données Suivi'!$P$2:$P$3000,"NON CONCERNE")</f>
        <v/>
      </c>
    </row>
    <row r="11">
      <c r="A11" s="594" t="inlineStr">
        <is>
          <t>AOO-M</t>
        </is>
      </c>
      <c r="B11" s="595">
        <f>COUNTIFS('Données Suivi'!$A$2:$A$3000,$C$3,'Données Suivi'!$C$2:$C$3000,$A11)</f>
        <v/>
      </c>
      <c r="C11" s="598">
        <f>SUMIFS('Données Suivi'!$J$2:$J$3000,'Données Suivi'!$A$2:$A$3000,$C$3,'Données Suivi'!$C$2:$C$3000,$A11)</f>
        <v/>
      </c>
      <c r="D11" s="595">
        <f>COUNTIFS('Données Suivi'!$A$2:$A$3000,$C$3,'Données Suivi'!$C$2:$C$3000,$A11,'Données Suivi'!$O$2:$O$3000,"FONCTIONNEMENT")</f>
        <v/>
      </c>
      <c r="E11" s="595">
        <f>COUNTIFS('Données Suivi'!$A$2:$A$3000,$C$3,'Données Suivi'!$C$2:$C$3000,$A11,'Données Suivi'!$O$2:$O$3000,"INVESTISSEMENT")</f>
        <v/>
      </c>
      <c r="F11" s="595">
        <f>COUNTIFS('Données Suivi'!$A$2:$A$3000,$C$3,'Données Suivi'!$C$2:$C$3000,$A11,'Données Suivi'!$P$2:$P$3000,"GENERAL")</f>
        <v/>
      </c>
      <c r="G11" s="595">
        <f>COUNTIFS('Données Suivi'!$A$2:$A$3000,$C$3,'Données Suivi'!$C$2:$C$3000,$A11,'Données Suivi'!$P$2:$P$3000,"PME")</f>
        <v/>
      </c>
      <c r="H11" s="595">
        <f>COUNTIFS('Données Suivi'!$A$2:$A$3000,$C$3,'Données Suivi'!$C$2:$C$3000,$A11,'Données Suivi'!$P$2:$P$3000,"NON CONCERNE")</f>
        <v/>
      </c>
    </row>
    <row r="12">
      <c r="A12" s="594" t="inlineStr">
        <is>
          <t>AOO-CT</t>
        </is>
      </c>
      <c r="B12" s="595">
        <f>COUNTIFS('Données Suivi'!$A$2:$A$3000,$C$3,'Données Suivi'!$C$2:$C$3000,$A12)</f>
        <v/>
      </c>
      <c r="C12" s="598">
        <f>SUMIFS('Données Suivi'!$J$2:$J$3000,'Données Suivi'!$A$2:$A$3000,$C$3,'Données Suivi'!$C$2:$C$3000,$A12)</f>
        <v/>
      </c>
      <c r="D12" s="595">
        <f>COUNTIFS('Données Suivi'!$A$2:$A$3000,$C$3,'Données Suivi'!$C$2:$C$3000,$A12,'Données Suivi'!$O$2:$O$3000,"FONCTIONNEMENT")</f>
        <v/>
      </c>
      <c r="E12" s="595">
        <f>COUNTIFS('Données Suivi'!$A$2:$A$3000,$C$3,'Données Suivi'!$C$2:$C$3000,$A12,'Données Suivi'!$O$2:$O$3000,"INVESTISSEMENT")</f>
        <v/>
      </c>
      <c r="F12" s="595">
        <f>COUNTIFS('Données Suivi'!$A$2:$A$3000,$C$3,'Données Suivi'!$C$2:$C$3000,$A12,'Données Suivi'!$P$2:$P$3000,"GENERAL")</f>
        <v/>
      </c>
      <c r="G12" s="595">
        <f>COUNTIFS('Données Suivi'!$A$2:$A$3000,$C$3,'Données Suivi'!$C$2:$C$3000,$A12,'Données Suivi'!$P$2:$P$3000,"PME")</f>
        <v/>
      </c>
      <c r="H12" s="595">
        <f>COUNTIFS('Données Suivi'!$A$2:$A$3000,$C$3,'Données Suivi'!$C$2:$C$3000,$A12,'Données Suivi'!$P$2:$P$3000,"NON CONCERNE")</f>
        <v/>
      </c>
    </row>
    <row r="13">
      <c r="A13" s="594" t="inlineStr">
        <is>
          <t>BCL</t>
        </is>
      </c>
      <c r="B13" s="595">
        <f>COUNTIFS('Données Suivi'!$A$2:$A$3000,$C$3,'Données Suivi'!$C$2:$C$3000,$A13)</f>
        <v/>
      </c>
      <c r="C13" s="598">
        <f>SUMIFS('Données Suivi'!$J$2:$J$3000,'Données Suivi'!$A$2:$A$3000,$C$3,'Données Suivi'!$C$2:$C$3000,$A13)</f>
        <v/>
      </c>
      <c r="D13" s="595">
        <f>COUNTIFS('Données Suivi'!$A$2:$A$3000,$C$3,'Données Suivi'!$C$2:$C$3000,$A13,'Données Suivi'!$O$2:$O$3000,"FONCTIONNEMENT")</f>
        <v/>
      </c>
      <c r="E13" s="595">
        <f>COUNTIFS('Données Suivi'!$A$2:$A$3000,$C$3,'Données Suivi'!$C$2:$C$3000,$A13,'Données Suivi'!$O$2:$O$3000,"INVESTISSEMENT")</f>
        <v/>
      </c>
      <c r="F13" s="595">
        <f>COUNTIFS('Données Suivi'!$A$2:$A$3000,$C$3,'Données Suivi'!$C$2:$C$3000,$A13,'Données Suivi'!$P$2:$P$3000,"GENERAL")</f>
        <v/>
      </c>
      <c r="G13" s="595">
        <f>COUNTIFS('Données Suivi'!$A$2:$A$3000,$C$3,'Données Suivi'!$C$2:$C$3000,$A13,'Données Suivi'!$P$2:$P$3000,"PME")</f>
        <v/>
      </c>
      <c r="H13" s="595">
        <f>COUNTIFS('Données Suivi'!$A$2:$A$3000,$C$3,'Données Suivi'!$C$2:$C$3000,$A13,'Données Suivi'!$P$2:$P$3000,"NON CONCERNE")</f>
        <v/>
      </c>
    </row>
    <row r="14">
      <c r="A14" s="594" t="inlineStr">
        <is>
          <t>BCI</t>
        </is>
      </c>
      <c r="B14" s="595">
        <f>COUNTIFS('Données Suivi'!$A$2:$A$3000,$C$3,'Données Suivi'!$C$2:$C$3000,$A14)</f>
        <v/>
      </c>
      <c r="C14" s="598">
        <f>SUMIFS('Données Suivi'!$J$2:$J$3000,'Données Suivi'!$A$2:$A$3000,$C$3,'Données Suivi'!$C$2:$C$3000,$A14)</f>
        <v/>
      </c>
      <c r="D14" s="595">
        <f>COUNTIFS('Données Suivi'!$A$2:$A$3000,$C$3,'Données Suivi'!$C$2:$C$3000,$A14,'Données Suivi'!$O$2:$O$3000,"FONCTIONNEMENT")</f>
        <v/>
      </c>
      <c r="E14" s="595">
        <f>COUNTIFS('Données Suivi'!$A$2:$A$3000,$C$3,'Données Suivi'!$C$2:$C$3000,$A14,'Données Suivi'!$O$2:$O$3000,"INVESTISSEMENT")</f>
        <v/>
      </c>
      <c r="F14" s="595">
        <f>COUNTIFS('Données Suivi'!$A$2:$A$3000,$C$3,'Données Suivi'!$C$2:$C$3000,$A14,'Données Suivi'!$P$2:$P$3000,"GENERAL")</f>
        <v/>
      </c>
      <c r="G14" s="595">
        <f>COUNTIFS('Données Suivi'!$A$2:$A$3000,$C$3,'Données Suivi'!$C$2:$C$3000,$A14,'Données Suivi'!$P$2:$P$3000,"PME")</f>
        <v/>
      </c>
      <c r="H14" s="595">
        <f>COUNTIFS('Données Suivi'!$A$2:$A$3000,$C$3,'Données Suivi'!$C$2:$C$3000,$A14,'Données Suivi'!$P$2:$P$3000,"NON CONCERNE")</f>
        <v/>
      </c>
    </row>
    <row r="15">
      <c r="A15" s="594" t="inlineStr">
        <is>
          <t>CA</t>
        </is>
      </c>
      <c r="B15" s="595">
        <f>COUNTIFS('Données Suivi'!$A$2:$A$3000,$C$3,'Données Suivi'!$C$2:$C$3000,$A15)</f>
        <v/>
      </c>
      <c r="C15" s="598">
        <f>SUMIFS('Données Suivi'!$J$2:$J$3000,'Données Suivi'!$A$2:$A$3000,$C$3,'Données Suivi'!$C$2:$C$3000,$A15)</f>
        <v/>
      </c>
      <c r="D15" s="595">
        <f>COUNTIFS('Données Suivi'!$A$2:$A$3000,$C$3,'Données Suivi'!$C$2:$C$3000,$A15,'Données Suivi'!$O$2:$O$3000,"FONCTIONNEMENT")</f>
        <v/>
      </c>
      <c r="E15" s="595">
        <f>COUNTIFS('Données Suivi'!$A$2:$A$3000,$C$3,'Données Suivi'!$C$2:$C$3000,$A15,'Données Suivi'!$O$2:$O$3000,"INVESTISSEMENT")</f>
        <v/>
      </c>
      <c r="F15" s="595">
        <f>COUNTIFS('Données Suivi'!$A$2:$A$3000,$C$3,'Données Suivi'!$C$2:$C$3000,$A15,'Données Suivi'!$P$2:$P$3000,"GENERAL")</f>
        <v/>
      </c>
      <c r="G15" s="595">
        <f>COUNTIFS('Données Suivi'!$A$2:$A$3000,$C$3,'Données Suivi'!$C$2:$C$3000,$A15,'Données Suivi'!$P$2:$P$3000,"PME")</f>
        <v/>
      </c>
      <c r="H15" s="595">
        <f>COUNTIFS('Données Suivi'!$A$2:$A$3000,$C$3,'Données Suivi'!$C$2:$C$3000,$A15,'Données Suivi'!$P$2:$P$3000,"NON CONCERNE")</f>
        <v/>
      </c>
    </row>
    <row r="16">
      <c r="A16" s="597" t="inlineStr">
        <is>
          <t>TOTAL direction</t>
        </is>
      </c>
      <c r="B16" s="596">
        <f>SUM(B10:B15)</f>
        <v/>
      </c>
      <c r="C16" s="610">
        <f>SUM(C10:C15)</f>
        <v/>
      </c>
      <c r="D16" s="596">
        <f>SUM(D10:D15)</f>
        <v/>
      </c>
      <c r="E16" s="596">
        <f>SUM(E10:E15)</f>
        <v/>
      </c>
      <c r="F16" s="596">
        <f>SUM(F10:F15)</f>
        <v/>
      </c>
      <c r="G16" s="596">
        <f>SUM(G10:G15)</f>
        <v/>
      </c>
      <c r="H16" s="596">
        <f>SUM(H10:H15)</f>
        <v/>
      </c>
    </row>
    <row r="18" ht="20" customHeight="1" s="392">
      <c r="A18" s="592" t="inlineStr">
        <is>
          <t>Répartition par Statut d'Engagement — Direction + Type de BCI sélectionnés</t>
        </is>
      </c>
    </row>
    <row r="19">
      <c r="A19" s="593" t="inlineStr">
        <is>
          <t>Statut d'Engagement</t>
        </is>
      </c>
      <c r="B19" s="593" t="inlineStr">
        <is>
          <t>Nb dossiers</t>
        </is>
      </c>
      <c r="C19" s="593" t="inlineStr">
        <is>
          <t>Montant Fonctionnement (MAD)</t>
        </is>
      </c>
      <c r="D19" s="593" t="inlineStr">
        <is>
          <t>Montant Investissement (MAD)</t>
        </is>
      </c>
    </row>
    <row r="20">
      <c r="A20" s="594" t="inlineStr">
        <is>
          <t>NON ENGAGE</t>
        </is>
      </c>
      <c r="B20" s="595">
        <f>COUNTIFS('Données Suivi'!$A$2:$A$3000,$C$3,'Données Suivi'!$C$2:$C$3000,$C$5,'Données Suivi'!$H$2:$H$3000,$A20)</f>
        <v/>
      </c>
      <c r="C20" s="598">
        <f>SUMIFS('Données Suivi'!$J$2:$J$3000,'Données Suivi'!$A$2:$A$3000,$C$3,'Données Suivi'!$C$2:$C$3000,$C$5,'Données Suivi'!$H$2:$H$3000,$A20,'Données Suivi'!$O$2:$O$3000,"FONCTIONNEMENT")</f>
        <v/>
      </c>
      <c r="D20" s="598">
        <f>SUMIFS('Données Suivi'!$J$2:$J$3000,'Données Suivi'!$A$2:$A$3000,$C$3,'Données Suivi'!$C$2:$C$3000,$C$5,'Données Suivi'!$H$2:$H$3000,$A20,'Données Suivi'!$O$2:$O$3000,"INVESTISSEMENT")</f>
        <v/>
      </c>
    </row>
    <row r="21">
      <c r="A21" s="594" t="inlineStr">
        <is>
          <t>EN COURS DE PREENGAGEMENT</t>
        </is>
      </c>
      <c r="B21" s="595">
        <f>COUNTIFS('Données Suivi'!$A$2:$A$3000,$C$3,'Données Suivi'!$C$2:$C$3000,$C$5,'Données Suivi'!$H$2:$H$3000,$A21)</f>
        <v/>
      </c>
      <c r="C21" s="598">
        <f>SUMIFS('Données Suivi'!$J$2:$J$3000,'Données Suivi'!$A$2:$A$3000,$C$3,'Données Suivi'!$C$2:$C$3000,$C$5,'Données Suivi'!$H$2:$H$3000,$A21,'Données Suivi'!$O$2:$O$3000,"FONCTIONNEMENT")</f>
        <v/>
      </c>
      <c r="D21" s="598">
        <f>SUMIFS('Données Suivi'!$J$2:$J$3000,'Données Suivi'!$A$2:$A$3000,$C$3,'Données Suivi'!$C$2:$C$3000,$C$5,'Données Suivi'!$H$2:$H$3000,$A21,'Données Suivi'!$O$2:$O$3000,"INVESTISSEMENT")</f>
        <v/>
      </c>
    </row>
    <row r="22">
      <c r="A22" s="594" t="inlineStr">
        <is>
          <t>PREENGAGE</t>
        </is>
      </c>
      <c r="B22" s="595">
        <f>COUNTIFS('Données Suivi'!$A$2:$A$3000,$C$3,'Données Suivi'!$C$2:$C$3000,$C$5,'Données Suivi'!$H$2:$H$3000,$A22)</f>
        <v/>
      </c>
      <c r="C22" s="598">
        <f>SUMIFS('Données Suivi'!$J$2:$J$3000,'Données Suivi'!$A$2:$A$3000,$C$3,'Données Suivi'!$C$2:$C$3000,$C$5,'Données Suivi'!$H$2:$H$3000,$A22,'Données Suivi'!$O$2:$O$3000,"FONCTIONNEMENT")</f>
        <v/>
      </c>
      <c r="D22" s="598">
        <f>SUMIFS('Données Suivi'!$J$2:$J$3000,'Données Suivi'!$A$2:$A$3000,$C$3,'Données Suivi'!$C$2:$C$3000,$C$5,'Données Suivi'!$H$2:$H$3000,$A22,'Données Suivi'!$O$2:$O$3000,"INVESTISSEMENT")</f>
        <v/>
      </c>
    </row>
    <row r="23">
      <c r="A23" s="594" t="inlineStr">
        <is>
          <t>EN COURS D'ENGAGEMENT</t>
        </is>
      </c>
      <c r="B23" s="595">
        <f>COUNTIFS('Données Suivi'!$A$2:$A$3000,$C$3,'Données Suivi'!$C$2:$C$3000,$C$5,'Données Suivi'!$H$2:$H$3000,$A23)</f>
        <v/>
      </c>
      <c r="C23" s="598">
        <f>SUMIFS('Données Suivi'!$J$2:$J$3000,'Données Suivi'!$A$2:$A$3000,$C$3,'Données Suivi'!$C$2:$C$3000,$C$5,'Données Suivi'!$H$2:$H$3000,$A23,'Données Suivi'!$O$2:$O$3000,"FONCTIONNEMENT")</f>
        <v/>
      </c>
      <c r="D23" s="598">
        <f>SUMIFS('Données Suivi'!$J$2:$J$3000,'Données Suivi'!$A$2:$A$3000,$C$3,'Données Suivi'!$C$2:$C$3000,$C$5,'Données Suivi'!$H$2:$H$3000,$A23,'Données Suivi'!$O$2:$O$3000,"INVESTISSEMENT")</f>
        <v/>
      </c>
    </row>
    <row r="24">
      <c r="A24" s="594" t="inlineStr">
        <is>
          <t>ENGAGE</t>
        </is>
      </c>
      <c r="B24" s="595">
        <f>COUNTIFS('Données Suivi'!$A$2:$A$3000,$C$3,'Données Suivi'!$C$2:$C$3000,$C$5,'Données Suivi'!$H$2:$H$3000,$A24)</f>
        <v/>
      </c>
      <c r="C24" s="598">
        <f>SUMIFS('Données Suivi'!$J$2:$J$3000,'Données Suivi'!$A$2:$A$3000,$C$3,'Données Suivi'!$C$2:$C$3000,$C$5,'Données Suivi'!$H$2:$H$3000,$A24,'Données Suivi'!$O$2:$O$3000,"FONCTIONNEMENT")</f>
        <v/>
      </c>
      <c r="D24" s="598">
        <f>SUMIFS('Données Suivi'!$J$2:$J$3000,'Données Suivi'!$A$2:$A$3000,$C$3,'Données Suivi'!$C$2:$C$3000,$C$5,'Données Suivi'!$H$2:$H$3000,$A24,'Données Suivi'!$O$2:$O$3000,"INVESTISSEMENT")</f>
        <v/>
      </c>
    </row>
    <row r="25">
      <c r="A25" s="597" t="inlineStr">
        <is>
          <t>TOTAL direction + BCI</t>
        </is>
      </c>
      <c r="B25" s="596">
        <f>SUM(B20:B24)</f>
        <v/>
      </c>
      <c r="C25" s="610">
        <f>SUM(C20:C24)</f>
        <v/>
      </c>
      <c r="D25" s="610">
        <f>SUM(D20:D24)</f>
        <v/>
      </c>
    </row>
    <row r="27" ht="20" customHeight="1" s="392">
      <c r="A27" s="592" t="inlineStr">
        <is>
          <t>Détail des dossiers Non Engagé (Statut Support d'Engagement) — Direction sélectionnée</t>
        </is>
      </c>
    </row>
    <row r="28">
      <c r="A28" s="593" t="inlineStr">
        <is>
          <t>Statut Support (Non Engagé)</t>
        </is>
      </c>
      <c r="B28" s="593" t="inlineStr">
        <is>
          <t>Nb dossiers</t>
        </is>
      </c>
      <c r="C28" s="593" t="inlineStr">
        <is>
          <t>Montant (MAD)</t>
        </is>
      </c>
    </row>
    <row r="29">
      <c r="A29" s="594" t="inlineStr">
        <is>
          <t>INFRUCTUEUX</t>
        </is>
      </c>
      <c r="B29" s="595">
        <f>COUNTIFS('Données Suivi'!$A$2:$A$3000,$C$3,'Données Suivi'!$H$2:$H$3000,"NON ENGAGE",'Données Suivi'!$E$2:$E$3000,$A29)</f>
        <v/>
      </c>
      <c r="C29" s="598">
        <f>SUMIFS('Données Suivi'!$J$2:$J$3000,'Données Suivi'!$A$2:$A$3000,$C$3,'Données Suivi'!$H$2:$H$3000,"NON ENGAGE",'Données Suivi'!$E$2:$E$3000,$A29)</f>
        <v/>
      </c>
    </row>
    <row r="30">
      <c r="A30" s="594" t="inlineStr">
        <is>
          <t>ANNULE</t>
        </is>
      </c>
      <c r="B30" s="595">
        <f>COUNTIFS('Données Suivi'!$A$2:$A$3000,$C$3,'Données Suivi'!$H$2:$H$3000,"NON ENGAGE",'Données Suivi'!$E$2:$E$3000,$A30)</f>
        <v/>
      </c>
      <c r="C30" s="598">
        <f>SUMIFS('Données Suivi'!$J$2:$J$3000,'Données Suivi'!$A$2:$A$3000,$C$3,'Données Suivi'!$H$2:$H$3000,"NON ENGAGE",'Données Suivi'!$E$2:$E$3000,$A30)</f>
        <v/>
      </c>
    </row>
    <row r="31">
      <c r="A31" s="594" t="inlineStr">
        <is>
          <t>EN SIGNATURE</t>
        </is>
      </c>
      <c r="B31" s="595">
        <f>COUNTIFS('Données Suivi'!$A$2:$A$3000,$C$3,'Données Suivi'!$H$2:$H$3000,"NON ENGAGE",'Données Suivi'!$E$2:$E$3000,$A31)</f>
        <v/>
      </c>
      <c r="C31" s="598">
        <f>SUMIFS('Données Suivi'!$J$2:$J$3000,'Données Suivi'!$A$2:$A$3000,$C$3,'Données Suivi'!$H$2:$H$3000,"NON ENGAGE",'Données Suivi'!$E$2:$E$3000,$A31)</f>
        <v/>
      </c>
    </row>
    <row r="32">
      <c r="A32" s="597" t="inlineStr">
        <is>
          <t>TOTAL Non Engagé — direction</t>
        </is>
      </c>
      <c r="B32" s="596">
        <f>SUM(B29:B31)</f>
        <v/>
      </c>
      <c r="C32" s="610">
        <f>SUM(C29:C31)</f>
        <v/>
      </c>
    </row>
    <row r="34" ht="20" customHeight="1" s="392">
      <c r="A34" s="592" t="inlineStr">
        <is>
          <t>Détail des dossiers Infructueux / Annulé — Direction sélectionnée</t>
        </is>
      </c>
    </row>
    <row r="35">
      <c r="A35" s="593" t="inlineStr">
        <is>
          <t>Objet</t>
        </is>
      </c>
      <c r="B35" s="593" t="inlineStr">
        <is>
          <t>Réf</t>
        </is>
      </c>
      <c r="C35" s="593" t="inlineStr">
        <is>
          <t>BCI</t>
        </is>
      </c>
      <c r="D35" s="593" t="inlineStr">
        <is>
          <t>Statut Support</t>
        </is>
      </c>
      <c r="E35" s="593" t="inlineStr">
        <is>
          <t>Montant (MAD)</t>
        </is>
      </c>
      <c r="F35" s="593" t="inlineStr">
        <is>
          <t>Date Fiche</t>
        </is>
      </c>
    </row>
    <row r="36">
      <c r="A36" s="601">
        <f>IF($T36="","",INDEX('Données Suivi'!$D$2:$D$3000,$T36))</f>
        <v/>
      </c>
      <c r="B36" s="600">
        <f>IF($T36="","",INDEX('Données Suivi'!$B$2:$B$3000,$T36))</f>
        <v/>
      </c>
      <c r="C36" s="600">
        <f>IF($T36="","",INDEX('Données Suivi'!$C$2:$C$3000,$T36))</f>
        <v/>
      </c>
      <c r="D36" s="600">
        <f>IF($T36="","",INDEX('Données Suivi'!$E$2:$E$3000,$T36))</f>
        <v/>
      </c>
      <c r="E36" s="602">
        <f>IF($T36="","",INDEX('Données Suivi'!$J$2:$J$3000,$T36))</f>
        <v/>
      </c>
      <c r="F36" s="603">
        <f>IF($T36="","",INDEX('Données Suivi'!$K$2:$K$3000,$T36))</f>
        <v/>
      </c>
      <c r="T36">
        <f>IFERROR(MATCH($C$3&amp;"|"&amp;1,'Données Suivi'!$Q$2:$Q$3000,0),"")</f>
        <v/>
      </c>
    </row>
    <row r="37">
      <c r="A37" s="601">
        <f>IF($T37="","",INDEX('Données Suivi'!$D$2:$D$3000,$T37))</f>
        <v/>
      </c>
      <c r="B37" s="600">
        <f>IF($T37="","",INDEX('Données Suivi'!$B$2:$B$3000,$T37))</f>
        <v/>
      </c>
      <c r="C37" s="600">
        <f>IF($T37="","",INDEX('Données Suivi'!$C$2:$C$3000,$T37))</f>
        <v/>
      </c>
      <c r="D37" s="600">
        <f>IF($T37="","",INDEX('Données Suivi'!$E$2:$E$3000,$T37))</f>
        <v/>
      </c>
      <c r="E37" s="602">
        <f>IF($T37="","",INDEX('Données Suivi'!$J$2:$J$3000,$T37))</f>
        <v/>
      </c>
      <c r="F37" s="603">
        <f>IF($T37="","",INDEX('Données Suivi'!$K$2:$K$3000,$T37))</f>
        <v/>
      </c>
      <c r="T37">
        <f>IFERROR(MATCH($C$3&amp;"|"&amp;2,'Données Suivi'!$Q$2:$Q$3000,0),"")</f>
        <v/>
      </c>
    </row>
    <row r="38">
      <c r="A38" s="601">
        <f>IF($T38="","",INDEX('Données Suivi'!$D$2:$D$3000,$T38))</f>
        <v/>
      </c>
      <c r="B38" s="600">
        <f>IF($T38="","",INDEX('Données Suivi'!$B$2:$B$3000,$T38))</f>
        <v/>
      </c>
      <c r="C38" s="600">
        <f>IF($T38="","",INDEX('Données Suivi'!$C$2:$C$3000,$T38))</f>
        <v/>
      </c>
      <c r="D38" s="600">
        <f>IF($T38="","",INDEX('Données Suivi'!$E$2:$E$3000,$T38))</f>
        <v/>
      </c>
      <c r="E38" s="602">
        <f>IF($T38="","",INDEX('Données Suivi'!$J$2:$J$3000,$T38))</f>
        <v/>
      </c>
      <c r="F38" s="603">
        <f>IF($T38="","",INDEX('Données Suivi'!$K$2:$K$3000,$T38))</f>
        <v/>
      </c>
      <c r="T38">
        <f>IFERROR(MATCH($C$3&amp;"|"&amp;3,'Données Suivi'!$Q$2:$Q$3000,0),"")</f>
        <v/>
      </c>
    </row>
    <row r="39">
      <c r="A39" s="601">
        <f>IF($T39="","",INDEX('Données Suivi'!$D$2:$D$3000,$T39))</f>
        <v/>
      </c>
      <c r="B39" s="600">
        <f>IF($T39="","",INDEX('Données Suivi'!$B$2:$B$3000,$T39))</f>
        <v/>
      </c>
      <c r="C39" s="600">
        <f>IF($T39="","",INDEX('Données Suivi'!$C$2:$C$3000,$T39))</f>
        <v/>
      </c>
      <c r="D39" s="600">
        <f>IF($T39="","",INDEX('Données Suivi'!$E$2:$E$3000,$T39))</f>
        <v/>
      </c>
      <c r="E39" s="602">
        <f>IF($T39="","",INDEX('Données Suivi'!$J$2:$J$3000,$T39))</f>
        <v/>
      </c>
      <c r="F39" s="603">
        <f>IF($T39="","",INDEX('Données Suivi'!$K$2:$K$3000,$T39))</f>
        <v/>
      </c>
      <c r="T39">
        <f>IFERROR(MATCH($C$3&amp;"|"&amp;4,'Données Suivi'!$Q$2:$Q$3000,0),"")</f>
        <v/>
      </c>
    </row>
    <row r="40">
      <c r="A40" s="601">
        <f>IF($T40="","",INDEX('Données Suivi'!$D$2:$D$3000,$T40))</f>
        <v/>
      </c>
      <c r="B40" s="600">
        <f>IF($T40="","",INDEX('Données Suivi'!$B$2:$B$3000,$T40))</f>
        <v/>
      </c>
      <c r="C40" s="600">
        <f>IF($T40="","",INDEX('Données Suivi'!$C$2:$C$3000,$T40))</f>
        <v/>
      </c>
      <c r="D40" s="600">
        <f>IF($T40="","",INDEX('Données Suivi'!$E$2:$E$3000,$T40))</f>
        <v/>
      </c>
      <c r="E40" s="602">
        <f>IF($T40="","",INDEX('Données Suivi'!$J$2:$J$3000,$T40))</f>
        <v/>
      </c>
      <c r="F40" s="603">
        <f>IF($T40="","",INDEX('Données Suivi'!$K$2:$K$3000,$T40))</f>
        <v/>
      </c>
      <c r="T40">
        <f>IFERROR(MATCH($C$3&amp;"|"&amp;5,'Données Suivi'!$Q$2:$Q$3000,0),"")</f>
        <v/>
      </c>
    </row>
    <row r="41">
      <c r="A41" s="601">
        <f>IF($T41="","",INDEX('Données Suivi'!$D$2:$D$3000,$T41))</f>
        <v/>
      </c>
      <c r="B41" s="600">
        <f>IF($T41="","",INDEX('Données Suivi'!$B$2:$B$3000,$T41))</f>
        <v/>
      </c>
      <c r="C41" s="600">
        <f>IF($T41="","",INDEX('Données Suivi'!$C$2:$C$3000,$T41))</f>
        <v/>
      </c>
      <c r="D41" s="600">
        <f>IF($T41="","",INDEX('Données Suivi'!$E$2:$E$3000,$T41))</f>
        <v/>
      </c>
      <c r="E41" s="602">
        <f>IF($T41="","",INDEX('Données Suivi'!$J$2:$J$3000,$T41))</f>
        <v/>
      </c>
      <c r="F41" s="603">
        <f>IF($T41="","",INDEX('Données Suivi'!$K$2:$K$3000,$T41))</f>
        <v/>
      </c>
      <c r="T41">
        <f>IFERROR(MATCH($C$3&amp;"|"&amp;6,'Données Suivi'!$Q$2:$Q$3000,0),"")</f>
        <v/>
      </c>
    </row>
    <row r="42">
      <c r="A42" s="601">
        <f>IF($T42="","",INDEX('Données Suivi'!$D$2:$D$3000,$T42))</f>
        <v/>
      </c>
      <c r="B42" s="600">
        <f>IF($T42="","",INDEX('Données Suivi'!$B$2:$B$3000,$T42))</f>
        <v/>
      </c>
      <c r="C42" s="600">
        <f>IF($T42="","",INDEX('Données Suivi'!$C$2:$C$3000,$T42))</f>
        <v/>
      </c>
      <c r="D42" s="600">
        <f>IF($T42="","",INDEX('Données Suivi'!$E$2:$E$3000,$T42))</f>
        <v/>
      </c>
      <c r="E42" s="602">
        <f>IF($T42="","",INDEX('Données Suivi'!$J$2:$J$3000,$T42))</f>
        <v/>
      </c>
      <c r="F42" s="603">
        <f>IF($T42="","",INDEX('Données Suivi'!$K$2:$K$3000,$T42))</f>
        <v/>
      </c>
      <c r="T42">
        <f>IFERROR(MATCH($C$3&amp;"|"&amp;7,'Données Suivi'!$Q$2:$Q$3000,0),"")</f>
        <v/>
      </c>
    </row>
    <row r="43">
      <c r="A43" s="601">
        <f>IF($T43="","",INDEX('Données Suivi'!$D$2:$D$3000,$T43))</f>
        <v/>
      </c>
      <c r="B43" s="600">
        <f>IF($T43="","",INDEX('Données Suivi'!$B$2:$B$3000,$T43))</f>
        <v/>
      </c>
      <c r="C43" s="600">
        <f>IF($T43="","",INDEX('Données Suivi'!$C$2:$C$3000,$T43))</f>
        <v/>
      </c>
      <c r="D43" s="600">
        <f>IF($T43="","",INDEX('Données Suivi'!$E$2:$E$3000,$T43))</f>
        <v/>
      </c>
      <c r="E43" s="602">
        <f>IF($T43="","",INDEX('Données Suivi'!$J$2:$J$3000,$T43))</f>
        <v/>
      </c>
      <c r="F43" s="603">
        <f>IF($T43="","",INDEX('Données Suivi'!$K$2:$K$3000,$T43))</f>
        <v/>
      </c>
      <c r="T43">
        <f>IFERROR(MATCH($C$3&amp;"|"&amp;8,'Données Suivi'!$Q$2:$Q$3000,0),"")</f>
        <v/>
      </c>
    </row>
    <row r="44">
      <c r="A44" s="601">
        <f>IF($T44="","",INDEX('Données Suivi'!$D$2:$D$3000,$T44))</f>
        <v/>
      </c>
      <c r="B44" s="600">
        <f>IF($T44="","",INDEX('Données Suivi'!$B$2:$B$3000,$T44))</f>
        <v/>
      </c>
      <c r="C44" s="600">
        <f>IF($T44="","",INDEX('Données Suivi'!$C$2:$C$3000,$T44))</f>
        <v/>
      </c>
      <c r="D44" s="600">
        <f>IF($T44="","",INDEX('Données Suivi'!$E$2:$E$3000,$T44))</f>
        <v/>
      </c>
      <c r="E44" s="602">
        <f>IF($T44="","",INDEX('Données Suivi'!$J$2:$J$3000,$T44))</f>
        <v/>
      </c>
      <c r="F44" s="603">
        <f>IF($T44="","",INDEX('Données Suivi'!$K$2:$K$3000,$T44))</f>
        <v/>
      </c>
      <c r="T44">
        <f>IFERROR(MATCH($C$3&amp;"|"&amp;9,'Données Suivi'!$Q$2:$Q$3000,0),"")</f>
        <v/>
      </c>
    </row>
    <row r="45">
      <c r="A45" s="601">
        <f>IF($T45="","",INDEX('Données Suivi'!$D$2:$D$3000,$T45))</f>
        <v/>
      </c>
      <c r="B45" s="600">
        <f>IF($T45="","",INDEX('Données Suivi'!$B$2:$B$3000,$T45))</f>
        <v/>
      </c>
      <c r="C45" s="600">
        <f>IF($T45="","",INDEX('Données Suivi'!$C$2:$C$3000,$T45))</f>
        <v/>
      </c>
      <c r="D45" s="600">
        <f>IF($T45="","",INDEX('Données Suivi'!$E$2:$E$3000,$T45))</f>
        <v/>
      </c>
      <c r="E45" s="602">
        <f>IF($T45="","",INDEX('Données Suivi'!$J$2:$J$3000,$T45))</f>
        <v/>
      </c>
      <c r="F45" s="603">
        <f>IF($T45="","",INDEX('Données Suivi'!$K$2:$K$3000,$T45))</f>
        <v/>
      </c>
      <c r="T45">
        <f>IFERROR(MATCH($C$3&amp;"|"&amp;10,'Données Suivi'!$Q$2:$Q$3000,0),"")</f>
        <v/>
      </c>
    </row>
    <row r="46">
      <c r="A46" s="601">
        <f>IF($T46="","",INDEX('Données Suivi'!$D$2:$D$3000,$T46))</f>
        <v/>
      </c>
      <c r="B46" s="600">
        <f>IF($T46="","",INDEX('Données Suivi'!$B$2:$B$3000,$T46))</f>
        <v/>
      </c>
      <c r="C46" s="600">
        <f>IF($T46="","",INDEX('Données Suivi'!$C$2:$C$3000,$T46))</f>
        <v/>
      </c>
      <c r="D46" s="600">
        <f>IF($T46="","",INDEX('Données Suivi'!$E$2:$E$3000,$T46))</f>
        <v/>
      </c>
      <c r="E46" s="602">
        <f>IF($T46="","",INDEX('Données Suivi'!$J$2:$J$3000,$T46))</f>
        <v/>
      </c>
      <c r="F46" s="603">
        <f>IF($T46="","",INDEX('Données Suivi'!$K$2:$K$3000,$T46))</f>
        <v/>
      </c>
      <c r="T46">
        <f>IFERROR(MATCH($C$3&amp;"|"&amp;11,'Données Suivi'!$Q$2:$Q$3000,0),"")</f>
        <v/>
      </c>
    </row>
    <row r="47">
      <c r="A47" s="601">
        <f>IF($T47="","",INDEX('Données Suivi'!$D$2:$D$3000,$T47))</f>
        <v/>
      </c>
      <c r="B47" s="600">
        <f>IF($T47="","",INDEX('Données Suivi'!$B$2:$B$3000,$T47))</f>
        <v/>
      </c>
      <c r="C47" s="600">
        <f>IF($T47="","",INDEX('Données Suivi'!$C$2:$C$3000,$T47))</f>
        <v/>
      </c>
      <c r="D47" s="600">
        <f>IF($T47="","",INDEX('Données Suivi'!$E$2:$E$3000,$T47))</f>
        <v/>
      </c>
      <c r="E47" s="602">
        <f>IF($T47="","",INDEX('Données Suivi'!$J$2:$J$3000,$T47))</f>
        <v/>
      </c>
      <c r="F47" s="603">
        <f>IF($T47="","",INDEX('Données Suivi'!$K$2:$K$3000,$T47))</f>
        <v/>
      </c>
      <c r="T47">
        <f>IFERROR(MATCH($C$3&amp;"|"&amp;12,'Données Suivi'!$Q$2:$Q$3000,0),"")</f>
        <v/>
      </c>
    </row>
    <row r="48">
      <c r="A48" s="601">
        <f>IF($T48="","",INDEX('Données Suivi'!$D$2:$D$3000,$T48))</f>
        <v/>
      </c>
      <c r="B48" s="600">
        <f>IF($T48="","",INDEX('Données Suivi'!$B$2:$B$3000,$T48))</f>
        <v/>
      </c>
      <c r="C48" s="600">
        <f>IF($T48="","",INDEX('Données Suivi'!$C$2:$C$3000,$T48))</f>
        <v/>
      </c>
      <c r="D48" s="600">
        <f>IF($T48="","",INDEX('Données Suivi'!$E$2:$E$3000,$T48))</f>
        <v/>
      </c>
      <c r="E48" s="602">
        <f>IF($T48="","",INDEX('Données Suivi'!$J$2:$J$3000,$T48))</f>
        <v/>
      </c>
      <c r="F48" s="603">
        <f>IF($T48="","",INDEX('Données Suivi'!$K$2:$K$3000,$T48))</f>
        <v/>
      </c>
      <c r="T48">
        <f>IFERROR(MATCH($C$3&amp;"|"&amp;13,'Données Suivi'!$Q$2:$Q$3000,0),"")</f>
        <v/>
      </c>
    </row>
    <row r="49">
      <c r="A49" s="601">
        <f>IF($T49="","",INDEX('Données Suivi'!$D$2:$D$3000,$T49))</f>
        <v/>
      </c>
      <c r="B49" s="600">
        <f>IF($T49="","",INDEX('Données Suivi'!$B$2:$B$3000,$T49))</f>
        <v/>
      </c>
      <c r="C49" s="600">
        <f>IF($T49="","",INDEX('Données Suivi'!$C$2:$C$3000,$T49))</f>
        <v/>
      </c>
      <c r="D49" s="600">
        <f>IF($T49="","",INDEX('Données Suivi'!$E$2:$E$3000,$T49))</f>
        <v/>
      </c>
      <c r="E49" s="602">
        <f>IF($T49="","",INDEX('Données Suivi'!$J$2:$J$3000,$T49))</f>
        <v/>
      </c>
      <c r="F49" s="603">
        <f>IF($T49="","",INDEX('Données Suivi'!$K$2:$K$3000,$T49))</f>
        <v/>
      </c>
      <c r="T49">
        <f>IFERROR(MATCH($C$3&amp;"|"&amp;14,'Données Suivi'!$Q$2:$Q$3000,0),"")</f>
        <v/>
      </c>
    </row>
    <row r="50">
      <c r="A50" s="601">
        <f>IF($T50="","",INDEX('Données Suivi'!$D$2:$D$3000,$T50))</f>
        <v/>
      </c>
      <c r="B50" s="600">
        <f>IF($T50="","",INDEX('Données Suivi'!$B$2:$B$3000,$T50))</f>
        <v/>
      </c>
      <c r="C50" s="600">
        <f>IF($T50="","",INDEX('Données Suivi'!$C$2:$C$3000,$T50))</f>
        <v/>
      </c>
      <c r="D50" s="600">
        <f>IF($T50="","",INDEX('Données Suivi'!$E$2:$E$3000,$T50))</f>
        <v/>
      </c>
      <c r="E50" s="602">
        <f>IF($T50="","",INDEX('Données Suivi'!$J$2:$J$3000,$T50))</f>
        <v/>
      </c>
      <c r="F50" s="603">
        <f>IF($T50="","",INDEX('Données Suivi'!$K$2:$K$3000,$T50))</f>
        <v/>
      </c>
      <c r="T50">
        <f>IFERROR(MATCH($C$3&amp;"|"&amp;15,'Données Suivi'!$Q$2:$Q$3000,0),"")</f>
        <v/>
      </c>
    </row>
    <row r="51">
      <c r="A51" s="601">
        <f>IF($T51="","",INDEX('Données Suivi'!$D$2:$D$3000,$T51))</f>
        <v/>
      </c>
      <c r="B51" s="600">
        <f>IF($T51="","",INDEX('Données Suivi'!$B$2:$B$3000,$T51))</f>
        <v/>
      </c>
      <c r="C51" s="600">
        <f>IF($T51="","",INDEX('Données Suivi'!$C$2:$C$3000,$T51))</f>
        <v/>
      </c>
      <c r="D51" s="600">
        <f>IF($T51="","",INDEX('Données Suivi'!$E$2:$E$3000,$T51))</f>
        <v/>
      </c>
      <c r="E51" s="602">
        <f>IF($T51="","",INDEX('Données Suivi'!$J$2:$J$3000,$T51))</f>
        <v/>
      </c>
      <c r="F51" s="603">
        <f>IF($T51="","",INDEX('Données Suivi'!$K$2:$K$3000,$T51))</f>
        <v/>
      </c>
      <c r="T51">
        <f>IFERROR(MATCH($C$3&amp;"|"&amp;16,'Données Suivi'!$Q$2:$Q$3000,0),"")</f>
        <v/>
      </c>
    </row>
    <row r="52">
      <c r="A52" s="601">
        <f>IF($T52="","",INDEX('Données Suivi'!$D$2:$D$3000,$T52))</f>
        <v/>
      </c>
      <c r="B52" s="600">
        <f>IF($T52="","",INDEX('Données Suivi'!$B$2:$B$3000,$T52))</f>
        <v/>
      </c>
      <c r="C52" s="600">
        <f>IF($T52="","",INDEX('Données Suivi'!$C$2:$C$3000,$T52))</f>
        <v/>
      </c>
      <c r="D52" s="600">
        <f>IF($T52="","",INDEX('Données Suivi'!$E$2:$E$3000,$T52))</f>
        <v/>
      </c>
      <c r="E52" s="602">
        <f>IF($T52="","",INDEX('Données Suivi'!$J$2:$J$3000,$T52))</f>
        <v/>
      </c>
      <c r="F52" s="603">
        <f>IF($T52="","",INDEX('Données Suivi'!$K$2:$K$3000,$T52))</f>
        <v/>
      </c>
      <c r="T52">
        <f>IFERROR(MATCH($C$3&amp;"|"&amp;17,'Données Suivi'!$Q$2:$Q$3000,0),"")</f>
        <v/>
      </c>
    </row>
    <row r="53">
      <c r="A53" s="601">
        <f>IF($T53="","",INDEX('Données Suivi'!$D$2:$D$3000,$T53))</f>
        <v/>
      </c>
      <c r="B53" s="600">
        <f>IF($T53="","",INDEX('Données Suivi'!$B$2:$B$3000,$T53))</f>
        <v/>
      </c>
      <c r="C53" s="600">
        <f>IF($T53="","",INDEX('Données Suivi'!$C$2:$C$3000,$T53))</f>
        <v/>
      </c>
      <c r="D53" s="600">
        <f>IF($T53="","",INDEX('Données Suivi'!$E$2:$E$3000,$T53))</f>
        <v/>
      </c>
      <c r="E53" s="602">
        <f>IF($T53="","",INDEX('Données Suivi'!$J$2:$J$3000,$T53))</f>
        <v/>
      </c>
      <c r="F53" s="603">
        <f>IF($T53="","",INDEX('Données Suivi'!$K$2:$K$3000,$T53))</f>
        <v/>
      </c>
      <c r="T53">
        <f>IFERROR(MATCH($C$3&amp;"|"&amp;18,'Données Suivi'!$Q$2:$Q$3000,0),"")</f>
        <v/>
      </c>
    </row>
    <row r="54">
      <c r="A54" s="601">
        <f>IF($T54="","",INDEX('Données Suivi'!$D$2:$D$3000,$T54))</f>
        <v/>
      </c>
      <c r="B54" s="600">
        <f>IF($T54="","",INDEX('Données Suivi'!$B$2:$B$3000,$T54))</f>
        <v/>
      </c>
      <c r="C54" s="600">
        <f>IF($T54="","",INDEX('Données Suivi'!$C$2:$C$3000,$T54))</f>
        <v/>
      </c>
      <c r="D54" s="600">
        <f>IF($T54="","",INDEX('Données Suivi'!$E$2:$E$3000,$T54))</f>
        <v/>
      </c>
      <c r="E54" s="602">
        <f>IF($T54="","",INDEX('Données Suivi'!$J$2:$J$3000,$T54))</f>
        <v/>
      </c>
      <c r="F54" s="603">
        <f>IF($T54="","",INDEX('Données Suivi'!$K$2:$K$3000,$T54))</f>
        <v/>
      </c>
      <c r="T54">
        <f>IFERROR(MATCH($C$3&amp;"|"&amp;19,'Données Suivi'!$Q$2:$Q$3000,0),"")</f>
        <v/>
      </c>
    </row>
    <row r="55">
      <c r="A55" s="601">
        <f>IF($T55="","",INDEX('Données Suivi'!$D$2:$D$3000,$T55))</f>
        <v/>
      </c>
      <c r="B55" s="600">
        <f>IF($T55="","",INDEX('Données Suivi'!$B$2:$B$3000,$T55))</f>
        <v/>
      </c>
      <c r="C55" s="600">
        <f>IF($T55="","",INDEX('Données Suivi'!$C$2:$C$3000,$T55))</f>
        <v/>
      </c>
      <c r="D55" s="600">
        <f>IF($T55="","",INDEX('Données Suivi'!$E$2:$E$3000,$T55))</f>
        <v/>
      </c>
      <c r="E55" s="602">
        <f>IF($T55="","",INDEX('Données Suivi'!$J$2:$J$3000,$T55))</f>
        <v/>
      </c>
      <c r="F55" s="603">
        <f>IF($T55="","",INDEX('Données Suivi'!$K$2:$K$3000,$T55))</f>
        <v/>
      </c>
      <c r="T55">
        <f>IFERROR(MATCH($C$3&amp;"|"&amp;20,'Données Suivi'!$Q$2:$Q$3000,0),"")</f>
        <v/>
      </c>
    </row>
  </sheetData>
  <mergeCells count="10">
    <mergeCell ref="D8:E8"/>
    <mergeCell ref="A18:D18"/>
    <mergeCell ref="A8:A9"/>
    <mergeCell ref="C8:C9"/>
    <mergeCell ref="A7:H7"/>
    <mergeCell ref="A1:F1"/>
    <mergeCell ref="F8:H8"/>
    <mergeCell ref="B8:B9"/>
    <mergeCell ref="A27:C27"/>
    <mergeCell ref="A34:F34"/>
  </mergeCells>
  <dataValidations count="2">
    <dataValidation sqref="C3" showDropDown="0" showInputMessage="0" showErrorMessage="0" allowBlank="0" error="Choisir une direction dans la liste." prompt="Sélectionnez une direction" type="list">
      <formula1>"ARRIYADIA,ASSADISSA,DA,DACG,DAR,DCPA,DCRI,DCT,DG,DINFORADIO,DINFOTV,DJURIDIQUE,DMPTV,DPMG,DPPR,DRH,DRPSD,MAGHRIBIA,RSSI,TAMAZIGHT,TDF -SITES,TDF-EXP&amp;MAIN,TV LAAYOUNE"</formula1>
    </dataValidation>
    <dataValidation sqref="C5" showDropDown="0" showInputMessage="0" showErrorMessage="0" allowBlank="0" error="Choisir un type de BCI dans la liste." prompt="Sélectionnez un type de BCI" type="list">
      <formula1>"CONTRAT,AOO-M,AOO-CT,BCL,BCI,CA"</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4"/>
  <sheetViews>
    <sheetView showGridLines="0" workbookViewId="0">
      <pane ySplit="1" topLeftCell="A2" activePane="bottomLeft" state="frozen"/>
      <selection pane="bottomLeft" activeCell="A1" sqref="A1"/>
    </sheetView>
  </sheetViews>
  <sheetFormatPr baseColWidth="8" defaultRowHeight="15"/>
  <cols>
    <col width="26" customWidth="1" style="392" min="1" max="1"/>
    <col width="14" customWidth="1" style="392" min="2" max="2"/>
    <col width="14" customWidth="1" style="392" min="3" max="3"/>
    <col width="46" customWidth="1" style="392" min="4" max="4"/>
    <col width="20" customWidth="1" style="392" min="5" max="5"/>
    <col width="22" customWidth="1" style="392" min="6" max="6"/>
    <col width="15" customWidth="1" style="392" min="7" max="7"/>
    <col width="13" customWidth="1" style="392" min="8" max="8"/>
    <col width="12" customWidth="1" style="392" min="9" max="9"/>
  </cols>
  <sheetData>
    <row r="1" ht="30" customHeight="1" s="392">
      <c r="A1" s="586" t="inlineStr">
        <is>
          <t>TABLEAU DE BORD DE SUIVI — ETAT D'ENGAGEMENTS 2026</t>
        </is>
      </c>
    </row>
    <row r="3">
      <c r="A3" s="587" t="inlineStr">
        <is>
          <t>Nb dossiers total</t>
        </is>
      </c>
      <c r="B3" s="611" t="n"/>
      <c r="C3" s="587" t="inlineStr">
        <is>
          <t>Montant total (MAD)</t>
        </is>
      </c>
      <c r="D3" s="611" t="n"/>
      <c r="E3" s="587" t="inlineStr">
        <is>
          <t>Nb directions</t>
        </is>
      </c>
      <c r="F3" s="611" t="n"/>
      <c r="G3" s="587" t="inlineStr">
        <is>
          <t>Taux d'engagement (montant)</t>
        </is>
      </c>
      <c r="H3" s="611" t="n"/>
      <c r="I3" s="587" t="inlineStr">
        <is>
          <t>Montant restant à engager</t>
        </is>
      </c>
      <c r="J3" s="611" t="n"/>
      <c r="K3" s="587" t="inlineStr">
        <is>
          <t>Nb dossiers en cours (à suivre)</t>
        </is>
      </c>
      <c r="L3" s="611" t="n"/>
    </row>
    <row r="4">
      <c r="A4" s="589">
        <f>COUNTIF('Données Suivi'!A2:A3000,"?*")</f>
        <v/>
      </c>
      <c r="B4" s="612" t="n"/>
      <c r="C4" s="590">
        <f>SUM('Données Suivi'!J2:J3000)</f>
        <v/>
      </c>
      <c r="D4" s="612" t="n"/>
      <c r="E4" s="589">
        <f>SUMPRODUCT(('Données Suivi'!$A$2:$A$3000&lt;&gt;"")/COUNTIF('Données Suivi'!$A$2:$A$3000,'Données Suivi'!$A$2:$A$3000&amp;""))</f>
        <v/>
      </c>
      <c r="F4" s="612" t="n"/>
      <c r="G4" s="591">
        <f>SUMIF('Données Suivi'!M2:M3000,"Engagé",'Données Suivi'!J2:J3000)/SUM('Données Suivi'!J2:J3000)</f>
        <v/>
      </c>
      <c r="H4" s="612" t="n"/>
      <c r="I4" s="590">
        <f>SUMIF('Données Suivi'!M2:M3000,"En cours",'Données Suivi'!J2:J3000)</f>
        <v/>
      </c>
      <c r="J4" s="612" t="n"/>
      <c r="K4" s="589">
        <f>COUNTIF('Données Suivi'!M2:M3000,"En cours")</f>
        <v/>
      </c>
      <c r="L4" s="612" t="n"/>
    </row>
    <row r="5">
      <c r="A5" s="613" t="n"/>
      <c r="B5" s="614" t="n"/>
      <c r="C5" s="613" t="n"/>
      <c r="D5" s="614" t="n"/>
      <c r="E5" s="613" t="n"/>
      <c r="F5" s="614" t="n"/>
      <c r="G5" s="613" t="n"/>
      <c r="H5" s="614" t="n"/>
      <c r="I5" s="613" t="n"/>
      <c r="J5" s="614" t="n"/>
      <c r="K5" s="613" t="n"/>
      <c r="L5" s="614" t="n"/>
    </row>
    <row r="6">
      <c r="A6" s="587" t="inlineStr">
        <is>
          <t>Nb clôturés sans suite</t>
        </is>
      </c>
      <c r="B6" s="611" t="n"/>
      <c r="C6" s="587" t="inlineStr">
        <is>
          <t>Ancienneté moy. dossiers en cours (j)</t>
        </is>
      </c>
      <c r="D6" s="611" t="n"/>
    </row>
    <row r="7">
      <c r="A7" s="589">
        <f>COUNTIF('Données Suivi'!M2:M3000,"Clôturé sans suite")</f>
        <v/>
      </c>
      <c r="B7" s="612" t="n"/>
      <c r="C7" s="589">
        <f>AVERAGEIFS('Données Suivi'!L2:L3000,'Données Suivi'!M2:M3000,"En cours",'Données Suivi'!L2:L3000,"&gt;=0")</f>
        <v/>
      </c>
      <c r="D7" s="612" t="n"/>
    </row>
    <row r="8">
      <c r="A8" s="613" t="n"/>
      <c r="B8" s="614" t="n"/>
      <c r="C8" s="613" t="n"/>
      <c r="D8" s="614" t="n"/>
    </row>
    <row r="10" ht="20" customHeight="1" s="392">
      <c r="A10" s="592" t="inlineStr">
        <is>
          <t>Répartition des dossiers par Direction et par BCI (type d'achat) — Nombre de dossiers</t>
        </is>
      </c>
    </row>
    <row r="11">
      <c r="A11" s="593" t="inlineStr">
        <is>
          <t>Direction</t>
        </is>
      </c>
      <c r="B11" s="593" t="inlineStr">
        <is>
          <t>CONTRAT</t>
        </is>
      </c>
      <c r="C11" s="593" t="inlineStr">
        <is>
          <t>AOO-M</t>
        </is>
      </c>
      <c r="D11" s="593" t="inlineStr">
        <is>
          <t>AOO-CT</t>
        </is>
      </c>
      <c r="E11" s="593" t="inlineStr">
        <is>
          <t>BCL</t>
        </is>
      </c>
      <c r="F11" s="593" t="inlineStr">
        <is>
          <t>BCI</t>
        </is>
      </c>
      <c r="G11" s="593" t="inlineStr">
        <is>
          <t>CA</t>
        </is>
      </c>
      <c r="H11" s="593" t="inlineStr">
        <is>
          <t>TOTAL</t>
        </is>
      </c>
    </row>
    <row r="12">
      <c r="A12" s="594" t="inlineStr">
        <is>
          <t>ARRIYADIA</t>
        </is>
      </c>
      <c r="B12" s="595">
        <f>COUNTIFS('Données Suivi'!$A$2:$A$3000,$A12,'Données Suivi'!$C$2:$C$3000,"CONTRAT")</f>
        <v/>
      </c>
      <c r="C12" s="595">
        <f>COUNTIFS('Données Suivi'!$A$2:$A$3000,$A12,'Données Suivi'!$C$2:$C$3000,"AOO-M")</f>
        <v/>
      </c>
      <c r="D12" s="595">
        <f>COUNTIFS('Données Suivi'!$A$2:$A$3000,$A12,'Données Suivi'!$C$2:$C$3000,"AOO-CT")</f>
        <v/>
      </c>
      <c r="E12" s="595">
        <f>COUNTIFS('Données Suivi'!$A$2:$A$3000,$A12,'Données Suivi'!$C$2:$C$3000,"BCL")</f>
        <v/>
      </c>
      <c r="F12" s="595">
        <f>COUNTIFS('Données Suivi'!$A$2:$A$3000,$A12,'Données Suivi'!$C$2:$C$3000,"BCI")</f>
        <v/>
      </c>
      <c r="G12" s="595">
        <f>COUNTIFS('Données Suivi'!$A$2:$A$3000,$A12,'Données Suivi'!$C$2:$C$3000,"CA")</f>
        <v/>
      </c>
      <c r="H12" s="596">
        <f>COUNTIF('Données Suivi'!$A$2:$A$3000,$A12)</f>
        <v/>
      </c>
    </row>
    <row r="13">
      <c r="A13" s="594" t="inlineStr">
        <is>
          <t>ASSADISSA</t>
        </is>
      </c>
      <c r="B13" s="595">
        <f>COUNTIFS('Données Suivi'!$A$2:$A$3000,$A13,'Données Suivi'!$C$2:$C$3000,"CONTRAT")</f>
        <v/>
      </c>
      <c r="C13" s="595">
        <f>COUNTIFS('Données Suivi'!$A$2:$A$3000,$A13,'Données Suivi'!$C$2:$C$3000,"AOO-M")</f>
        <v/>
      </c>
      <c r="D13" s="595">
        <f>COUNTIFS('Données Suivi'!$A$2:$A$3000,$A13,'Données Suivi'!$C$2:$C$3000,"AOO-CT")</f>
        <v/>
      </c>
      <c r="E13" s="595">
        <f>COUNTIFS('Données Suivi'!$A$2:$A$3000,$A13,'Données Suivi'!$C$2:$C$3000,"BCL")</f>
        <v/>
      </c>
      <c r="F13" s="595">
        <f>COUNTIFS('Données Suivi'!$A$2:$A$3000,$A13,'Données Suivi'!$C$2:$C$3000,"BCI")</f>
        <v/>
      </c>
      <c r="G13" s="595">
        <f>COUNTIFS('Données Suivi'!$A$2:$A$3000,$A13,'Données Suivi'!$C$2:$C$3000,"CA")</f>
        <v/>
      </c>
      <c r="H13" s="596">
        <f>COUNTIF('Données Suivi'!$A$2:$A$3000,$A13)</f>
        <v/>
      </c>
    </row>
    <row r="14">
      <c r="A14" s="594" t="inlineStr">
        <is>
          <t>DA</t>
        </is>
      </c>
      <c r="B14" s="595">
        <f>COUNTIFS('Données Suivi'!$A$2:$A$3000,$A14,'Données Suivi'!$C$2:$C$3000,"CONTRAT")</f>
        <v/>
      </c>
      <c r="C14" s="595">
        <f>COUNTIFS('Données Suivi'!$A$2:$A$3000,$A14,'Données Suivi'!$C$2:$C$3000,"AOO-M")</f>
        <v/>
      </c>
      <c r="D14" s="595">
        <f>COUNTIFS('Données Suivi'!$A$2:$A$3000,$A14,'Données Suivi'!$C$2:$C$3000,"AOO-CT")</f>
        <v/>
      </c>
      <c r="E14" s="595">
        <f>COUNTIFS('Données Suivi'!$A$2:$A$3000,$A14,'Données Suivi'!$C$2:$C$3000,"BCL")</f>
        <v/>
      </c>
      <c r="F14" s="595">
        <f>COUNTIFS('Données Suivi'!$A$2:$A$3000,$A14,'Données Suivi'!$C$2:$C$3000,"BCI")</f>
        <v/>
      </c>
      <c r="G14" s="595">
        <f>COUNTIFS('Données Suivi'!$A$2:$A$3000,$A14,'Données Suivi'!$C$2:$C$3000,"CA")</f>
        <v/>
      </c>
      <c r="H14" s="596">
        <f>COUNTIF('Données Suivi'!$A$2:$A$3000,$A14)</f>
        <v/>
      </c>
    </row>
    <row r="15">
      <c r="A15" s="594" t="inlineStr">
        <is>
          <t>DACG</t>
        </is>
      </c>
      <c r="B15" s="595">
        <f>COUNTIFS('Données Suivi'!$A$2:$A$3000,$A15,'Données Suivi'!$C$2:$C$3000,"CONTRAT")</f>
        <v/>
      </c>
      <c r="C15" s="595">
        <f>COUNTIFS('Données Suivi'!$A$2:$A$3000,$A15,'Données Suivi'!$C$2:$C$3000,"AOO-M")</f>
        <v/>
      </c>
      <c r="D15" s="595">
        <f>COUNTIFS('Données Suivi'!$A$2:$A$3000,$A15,'Données Suivi'!$C$2:$C$3000,"AOO-CT")</f>
        <v/>
      </c>
      <c r="E15" s="595">
        <f>COUNTIFS('Données Suivi'!$A$2:$A$3000,$A15,'Données Suivi'!$C$2:$C$3000,"BCL")</f>
        <v/>
      </c>
      <c r="F15" s="595">
        <f>COUNTIFS('Données Suivi'!$A$2:$A$3000,$A15,'Données Suivi'!$C$2:$C$3000,"BCI")</f>
        <v/>
      </c>
      <c r="G15" s="595">
        <f>COUNTIFS('Données Suivi'!$A$2:$A$3000,$A15,'Données Suivi'!$C$2:$C$3000,"CA")</f>
        <v/>
      </c>
      <c r="H15" s="596">
        <f>COUNTIF('Données Suivi'!$A$2:$A$3000,$A15)</f>
        <v/>
      </c>
    </row>
    <row r="16">
      <c r="A16" s="594" t="inlineStr">
        <is>
          <t>DAR</t>
        </is>
      </c>
      <c r="B16" s="595">
        <f>COUNTIFS('Données Suivi'!$A$2:$A$3000,$A16,'Données Suivi'!$C$2:$C$3000,"CONTRAT")</f>
        <v/>
      </c>
      <c r="C16" s="595">
        <f>COUNTIFS('Données Suivi'!$A$2:$A$3000,$A16,'Données Suivi'!$C$2:$C$3000,"AOO-M")</f>
        <v/>
      </c>
      <c r="D16" s="595">
        <f>COUNTIFS('Données Suivi'!$A$2:$A$3000,$A16,'Données Suivi'!$C$2:$C$3000,"AOO-CT")</f>
        <v/>
      </c>
      <c r="E16" s="595">
        <f>COUNTIFS('Données Suivi'!$A$2:$A$3000,$A16,'Données Suivi'!$C$2:$C$3000,"BCL")</f>
        <v/>
      </c>
      <c r="F16" s="595">
        <f>COUNTIFS('Données Suivi'!$A$2:$A$3000,$A16,'Données Suivi'!$C$2:$C$3000,"BCI")</f>
        <v/>
      </c>
      <c r="G16" s="595">
        <f>COUNTIFS('Données Suivi'!$A$2:$A$3000,$A16,'Données Suivi'!$C$2:$C$3000,"CA")</f>
        <v/>
      </c>
      <c r="H16" s="596">
        <f>COUNTIF('Données Suivi'!$A$2:$A$3000,$A16)</f>
        <v/>
      </c>
    </row>
    <row r="17">
      <c r="A17" s="594" t="inlineStr">
        <is>
          <t>DCPA</t>
        </is>
      </c>
      <c r="B17" s="595">
        <f>COUNTIFS('Données Suivi'!$A$2:$A$3000,$A17,'Données Suivi'!$C$2:$C$3000,"CONTRAT")</f>
        <v/>
      </c>
      <c r="C17" s="595">
        <f>COUNTIFS('Données Suivi'!$A$2:$A$3000,$A17,'Données Suivi'!$C$2:$C$3000,"AOO-M")</f>
        <v/>
      </c>
      <c r="D17" s="595">
        <f>COUNTIFS('Données Suivi'!$A$2:$A$3000,$A17,'Données Suivi'!$C$2:$C$3000,"AOO-CT")</f>
        <v/>
      </c>
      <c r="E17" s="595">
        <f>COUNTIFS('Données Suivi'!$A$2:$A$3000,$A17,'Données Suivi'!$C$2:$C$3000,"BCL")</f>
        <v/>
      </c>
      <c r="F17" s="595">
        <f>COUNTIFS('Données Suivi'!$A$2:$A$3000,$A17,'Données Suivi'!$C$2:$C$3000,"BCI")</f>
        <v/>
      </c>
      <c r="G17" s="595">
        <f>COUNTIFS('Données Suivi'!$A$2:$A$3000,$A17,'Données Suivi'!$C$2:$C$3000,"CA")</f>
        <v/>
      </c>
      <c r="H17" s="596">
        <f>COUNTIF('Données Suivi'!$A$2:$A$3000,$A17)</f>
        <v/>
      </c>
    </row>
    <row r="18">
      <c r="A18" s="594" t="inlineStr">
        <is>
          <t>DCRI</t>
        </is>
      </c>
      <c r="B18" s="595">
        <f>COUNTIFS('Données Suivi'!$A$2:$A$3000,$A18,'Données Suivi'!$C$2:$C$3000,"CONTRAT")</f>
        <v/>
      </c>
      <c r="C18" s="595">
        <f>COUNTIFS('Données Suivi'!$A$2:$A$3000,$A18,'Données Suivi'!$C$2:$C$3000,"AOO-M")</f>
        <v/>
      </c>
      <c r="D18" s="595">
        <f>COUNTIFS('Données Suivi'!$A$2:$A$3000,$A18,'Données Suivi'!$C$2:$C$3000,"AOO-CT")</f>
        <v/>
      </c>
      <c r="E18" s="595">
        <f>COUNTIFS('Données Suivi'!$A$2:$A$3000,$A18,'Données Suivi'!$C$2:$C$3000,"BCL")</f>
        <v/>
      </c>
      <c r="F18" s="595">
        <f>COUNTIFS('Données Suivi'!$A$2:$A$3000,$A18,'Données Suivi'!$C$2:$C$3000,"BCI")</f>
        <v/>
      </c>
      <c r="G18" s="595">
        <f>COUNTIFS('Données Suivi'!$A$2:$A$3000,$A18,'Données Suivi'!$C$2:$C$3000,"CA")</f>
        <v/>
      </c>
      <c r="H18" s="596">
        <f>COUNTIF('Données Suivi'!$A$2:$A$3000,$A18)</f>
        <v/>
      </c>
    </row>
    <row r="19">
      <c r="A19" s="594" t="inlineStr">
        <is>
          <t>DCT</t>
        </is>
      </c>
      <c r="B19" s="595">
        <f>COUNTIFS('Données Suivi'!$A$2:$A$3000,$A19,'Données Suivi'!$C$2:$C$3000,"CONTRAT")</f>
        <v/>
      </c>
      <c r="C19" s="595">
        <f>COUNTIFS('Données Suivi'!$A$2:$A$3000,$A19,'Données Suivi'!$C$2:$C$3000,"AOO-M")</f>
        <v/>
      </c>
      <c r="D19" s="595">
        <f>COUNTIFS('Données Suivi'!$A$2:$A$3000,$A19,'Données Suivi'!$C$2:$C$3000,"AOO-CT")</f>
        <v/>
      </c>
      <c r="E19" s="595">
        <f>COUNTIFS('Données Suivi'!$A$2:$A$3000,$A19,'Données Suivi'!$C$2:$C$3000,"BCL")</f>
        <v/>
      </c>
      <c r="F19" s="595">
        <f>COUNTIFS('Données Suivi'!$A$2:$A$3000,$A19,'Données Suivi'!$C$2:$C$3000,"BCI")</f>
        <v/>
      </c>
      <c r="G19" s="595">
        <f>COUNTIFS('Données Suivi'!$A$2:$A$3000,$A19,'Données Suivi'!$C$2:$C$3000,"CA")</f>
        <v/>
      </c>
      <c r="H19" s="596">
        <f>COUNTIF('Données Suivi'!$A$2:$A$3000,$A19)</f>
        <v/>
      </c>
    </row>
    <row r="20">
      <c r="A20" s="594" t="inlineStr">
        <is>
          <t>DG</t>
        </is>
      </c>
      <c r="B20" s="595">
        <f>COUNTIFS('Données Suivi'!$A$2:$A$3000,$A20,'Données Suivi'!$C$2:$C$3000,"CONTRAT")</f>
        <v/>
      </c>
      <c r="C20" s="595">
        <f>COUNTIFS('Données Suivi'!$A$2:$A$3000,$A20,'Données Suivi'!$C$2:$C$3000,"AOO-M")</f>
        <v/>
      </c>
      <c r="D20" s="595">
        <f>COUNTIFS('Données Suivi'!$A$2:$A$3000,$A20,'Données Suivi'!$C$2:$C$3000,"AOO-CT")</f>
        <v/>
      </c>
      <c r="E20" s="595">
        <f>COUNTIFS('Données Suivi'!$A$2:$A$3000,$A20,'Données Suivi'!$C$2:$C$3000,"BCL")</f>
        <v/>
      </c>
      <c r="F20" s="595">
        <f>COUNTIFS('Données Suivi'!$A$2:$A$3000,$A20,'Données Suivi'!$C$2:$C$3000,"BCI")</f>
        <v/>
      </c>
      <c r="G20" s="595">
        <f>COUNTIFS('Données Suivi'!$A$2:$A$3000,$A20,'Données Suivi'!$C$2:$C$3000,"CA")</f>
        <v/>
      </c>
      <c r="H20" s="596">
        <f>COUNTIF('Données Suivi'!$A$2:$A$3000,$A20)</f>
        <v/>
      </c>
    </row>
    <row r="21">
      <c r="A21" s="594" t="inlineStr">
        <is>
          <t>DINFORADIO</t>
        </is>
      </c>
      <c r="B21" s="595">
        <f>COUNTIFS('Données Suivi'!$A$2:$A$3000,$A21,'Données Suivi'!$C$2:$C$3000,"CONTRAT")</f>
        <v/>
      </c>
      <c r="C21" s="595">
        <f>COUNTIFS('Données Suivi'!$A$2:$A$3000,$A21,'Données Suivi'!$C$2:$C$3000,"AOO-M")</f>
        <v/>
      </c>
      <c r="D21" s="595">
        <f>COUNTIFS('Données Suivi'!$A$2:$A$3000,$A21,'Données Suivi'!$C$2:$C$3000,"AOO-CT")</f>
        <v/>
      </c>
      <c r="E21" s="595">
        <f>COUNTIFS('Données Suivi'!$A$2:$A$3000,$A21,'Données Suivi'!$C$2:$C$3000,"BCL")</f>
        <v/>
      </c>
      <c r="F21" s="595">
        <f>COUNTIFS('Données Suivi'!$A$2:$A$3000,$A21,'Données Suivi'!$C$2:$C$3000,"BCI")</f>
        <v/>
      </c>
      <c r="G21" s="595">
        <f>COUNTIFS('Données Suivi'!$A$2:$A$3000,$A21,'Données Suivi'!$C$2:$C$3000,"CA")</f>
        <v/>
      </c>
      <c r="H21" s="596">
        <f>COUNTIF('Données Suivi'!$A$2:$A$3000,$A21)</f>
        <v/>
      </c>
    </row>
    <row r="22">
      <c r="A22" s="594" t="inlineStr">
        <is>
          <t>DINFOTV</t>
        </is>
      </c>
      <c r="B22" s="595">
        <f>COUNTIFS('Données Suivi'!$A$2:$A$3000,$A22,'Données Suivi'!$C$2:$C$3000,"CONTRAT")</f>
        <v/>
      </c>
      <c r="C22" s="595">
        <f>COUNTIFS('Données Suivi'!$A$2:$A$3000,$A22,'Données Suivi'!$C$2:$C$3000,"AOO-M")</f>
        <v/>
      </c>
      <c r="D22" s="595">
        <f>COUNTIFS('Données Suivi'!$A$2:$A$3000,$A22,'Données Suivi'!$C$2:$C$3000,"AOO-CT")</f>
        <v/>
      </c>
      <c r="E22" s="595">
        <f>COUNTIFS('Données Suivi'!$A$2:$A$3000,$A22,'Données Suivi'!$C$2:$C$3000,"BCL")</f>
        <v/>
      </c>
      <c r="F22" s="595">
        <f>COUNTIFS('Données Suivi'!$A$2:$A$3000,$A22,'Données Suivi'!$C$2:$C$3000,"BCI")</f>
        <v/>
      </c>
      <c r="G22" s="595">
        <f>COUNTIFS('Données Suivi'!$A$2:$A$3000,$A22,'Données Suivi'!$C$2:$C$3000,"CA")</f>
        <v/>
      </c>
      <c r="H22" s="596">
        <f>COUNTIF('Données Suivi'!$A$2:$A$3000,$A22)</f>
        <v/>
      </c>
    </row>
    <row r="23">
      <c r="A23" s="594" t="inlineStr">
        <is>
          <t>DJURIDIQUE</t>
        </is>
      </c>
      <c r="B23" s="595">
        <f>COUNTIFS('Données Suivi'!$A$2:$A$3000,$A23,'Données Suivi'!$C$2:$C$3000,"CONTRAT")</f>
        <v/>
      </c>
      <c r="C23" s="595">
        <f>COUNTIFS('Données Suivi'!$A$2:$A$3000,$A23,'Données Suivi'!$C$2:$C$3000,"AOO-M")</f>
        <v/>
      </c>
      <c r="D23" s="595">
        <f>COUNTIFS('Données Suivi'!$A$2:$A$3000,$A23,'Données Suivi'!$C$2:$C$3000,"AOO-CT")</f>
        <v/>
      </c>
      <c r="E23" s="595">
        <f>COUNTIFS('Données Suivi'!$A$2:$A$3000,$A23,'Données Suivi'!$C$2:$C$3000,"BCL")</f>
        <v/>
      </c>
      <c r="F23" s="595">
        <f>COUNTIFS('Données Suivi'!$A$2:$A$3000,$A23,'Données Suivi'!$C$2:$C$3000,"BCI")</f>
        <v/>
      </c>
      <c r="G23" s="595">
        <f>COUNTIFS('Données Suivi'!$A$2:$A$3000,$A23,'Données Suivi'!$C$2:$C$3000,"CA")</f>
        <v/>
      </c>
      <c r="H23" s="596">
        <f>COUNTIF('Données Suivi'!$A$2:$A$3000,$A23)</f>
        <v/>
      </c>
    </row>
    <row r="24">
      <c r="A24" s="594" t="inlineStr">
        <is>
          <t>DMPTV</t>
        </is>
      </c>
      <c r="B24" s="595">
        <f>COUNTIFS('Données Suivi'!$A$2:$A$3000,$A24,'Données Suivi'!$C$2:$C$3000,"CONTRAT")</f>
        <v/>
      </c>
      <c r="C24" s="595">
        <f>COUNTIFS('Données Suivi'!$A$2:$A$3000,$A24,'Données Suivi'!$C$2:$C$3000,"AOO-M")</f>
        <v/>
      </c>
      <c r="D24" s="595">
        <f>COUNTIFS('Données Suivi'!$A$2:$A$3000,$A24,'Données Suivi'!$C$2:$C$3000,"AOO-CT")</f>
        <v/>
      </c>
      <c r="E24" s="595">
        <f>COUNTIFS('Données Suivi'!$A$2:$A$3000,$A24,'Données Suivi'!$C$2:$C$3000,"BCL")</f>
        <v/>
      </c>
      <c r="F24" s="595">
        <f>COUNTIFS('Données Suivi'!$A$2:$A$3000,$A24,'Données Suivi'!$C$2:$C$3000,"BCI")</f>
        <v/>
      </c>
      <c r="G24" s="595">
        <f>COUNTIFS('Données Suivi'!$A$2:$A$3000,$A24,'Données Suivi'!$C$2:$C$3000,"CA")</f>
        <v/>
      </c>
      <c r="H24" s="596">
        <f>COUNTIF('Données Suivi'!$A$2:$A$3000,$A24)</f>
        <v/>
      </c>
    </row>
    <row r="25">
      <c r="A25" s="594" t="inlineStr">
        <is>
          <t>DPMG</t>
        </is>
      </c>
      <c r="B25" s="595">
        <f>COUNTIFS('Données Suivi'!$A$2:$A$3000,$A25,'Données Suivi'!$C$2:$C$3000,"CONTRAT")</f>
        <v/>
      </c>
      <c r="C25" s="595">
        <f>COUNTIFS('Données Suivi'!$A$2:$A$3000,$A25,'Données Suivi'!$C$2:$C$3000,"AOO-M")</f>
        <v/>
      </c>
      <c r="D25" s="595">
        <f>COUNTIFS('Données Suivi'!$A$2:$A$3000,$A25,'Données Suivi'!$C$2:$C$3000,"AOO-CT")</f>
        <v/>
      </c>
      <c r="E25" s="595">
        <f>COUNTIFS('Données Suivi'!$A$2:$A$3000,$A25,'Données Suivi'!$C$2:$C$3000,"BCL")</f>
        <v/>
      </c>
      <c r="F25" s="595">
        <f>COUNTIFS('Données Suivi'!$A$2:$A$3000,$A25,'Données Suivi'!$C$2:$C$3000,"BCI")</f>
        <v/>
      </c>
      <c r="G25" s="595">
        <f>COUNTIFS('Données Suivi'!$A$2:$A$3000,$A25,'Données Suivi'!$C$2:$C$3000,"CA")</f>
        <v/>
      </c>
      <c r="H25" s="596">
        <f>COUNTIF('Données Suivi'!$A$2:$A$3000,$A25)</f>
        <v/>
      </c>
    </row>
    <row r="26">
      <c r="A26" s="594" t="inlineStr">
        <is>
          <t>DPPR</t>
        </is>
      </c>
      <c r="B26" s="595">
        <f>COUNTIFS('Données Suivi'!$A$2:$A$3000,$A26,'Données Suivi'!$C$2:$C$3000,"CONTRAT")</f>
        <v/>
      </c>
      <c r="C26" s="595">
        <f>COUNTIFS('Données Suivi'!$A$2:$A$3000,$A26,'Données Suivi'!$C$2:$C$3000,"AOO-M")</f>
        <v/>
      </c>
      <c r="D26" s="595">
        <f>COUNTIFS('Données Suivi'!$A$2:$A$3000,$A26,'Données Suivi'!$C$2:$C$3000,"AOO-CT")</f>
        <v/>
      </c>
      <c r="E26" s="595">
        <f>COUNTIFS('Données Suivi'!$A$2:$A$3000,$A26,'Données Suivi'!$C$2:$C$3000,"BCL")</f>
        <v/>
      </c>
      <c r="F26" s="595">
        <f>COUNTIFS('Données Suivi'!$A$2:$A$3000,$A26,'Données Suivi'!$C$2:$C$3000,"BCI")</f>
        <v/>
      </c>
      <c r="G26" s="595">
        <f>COUNTIFS('Données Suivi'!$A$2:$A$3000,$A26,'Données Suivi'!$C$2:$C$3000,"CA")</f>
        <v/>
      </c>
      <c r="H26" s="596">
        <f>COUNTIF('Données Suivi'!$A$2:$A$3000,$A26)</f>
        <v/>
      </c>
    </row>
    <row r="27">
      <c r="A27" s="594" t="inlineStr">
        <is>
          <t>DRH</t>
        </is>
      </c>
      <c r="B27" s="595">
        <f>COUNTIFS('Données Suivi'!$A$2:$A$3000,$A27,'Données Suivi'!$C$2:$C$3000,"CONTRAT")</f>
        <v/>
      </c>
      <c r="C27" s="595">
        <f>COUNTIFS('Données Suivi'!$A$2:$A$3000,$A27,'Données Suivi'!$C$2:$C$3000,"AOO-M")</f>
        <v/>
      </c>
      <c r="D27" s="595">
        <f>COUNTIFS('Données Suivi'!$A$2:$A$3000,$A27,'Données Suivi'!$C$2:$C$3000,"AOO-CT")</f>
        <v/>
      </c>
      <c r="E27" s="595">
        <f>COUNTIFS('Données Suivi'!$A$2:$A$3000,$A27,'Données Suivi'!$C$2:$C$3000,"BCL")</f>
        <v/>
      </c>
      <c r="F27" s="595">
        <f>COUNTIFS('Données Suivi'!$A$2:$A$3000,$A27,'Données Suivi'!$C$2:$C$3000,"BCI")</f>
        <v/>
      </c>
      <c r="G27" s="595">
        <f>COUNTIFS('Données Suivi'!$A$2:$A$3000,$A27,'Données Suivi'!$C$2:$C$3000,"CA")</f>
        <v/>
      </c>
      <c r="H27" s="596">
        <f>COUNTIF('Données Suivi'!$A$2:$A$3000,$A27)</f>
        <v/>
      </c>
    </row>
    <row r="28">
      <c r="A28" s="594" t="inlineStr">
        <is>
          <t>DRPSD</t>
        </is>
      </c>
      <c r="B28" s="595">
        <f>COUNTIFS('Données Suivi'!$A$2:$A$3000,$A28,'Données Suivi'!$C$2:$C$3000,"CONTRAT")</f>
        <v/>
      </c>
      <c r="C28" s="595">
        <f>COUNTIFS('Données Suivi'!$A$2:$A$3000,$A28,'Données Suivi'!$C$2:$C$3000,"AOO-M")</f>
        <v/>
      </c>
      <c r="D28" s="595">
        <f>COUNTIFS('Données Suivi'!$A$2:$A$3000,$A28,'Données Suivi'!$C$2:$C$3000,"AOO-CT")</f>
        <v/>
      </c>
      <c r="E28" s="595">
        <f>COUNTIFS('Données Suivi'!$A$2:$A$3000,$A28,'Données Suivi'!$C$2:$C$3000,"BCL")</f>
        <v/>
      </c>
      <c r="F28" s="595">
        <f>COUNTIFS('Données Suivi'!$A$2:$A$3000,$A28,'Données Suivi'!$C$2:$C$3000,"BCI")</f>
        <v/>
      </c>
      <c r="G28" s="595">
        <f>COUNTIFS('Données Suivi'!$A$2:$A$3000,$A28,'Données Suivi'!$C$2:$C$3000,"CA")</f>
        <v/>
      </c>
      <c r="H28" s="596">
        <f>COUNTIF('Données Suivi'!$A$2:$A$3000,$A28)</f>
        <v/>
      </c>
    </row>
    <row r="29">
      <c r="A29" s="594" t="inlineStr">
        <is>
          <t>MAGHRIBIA</t>
        </is>
      </c>
      <c r="B29" s="595">
        <f>COUNTIFS('Données Suivi'!$A$2:$A$3000,$A29,'Données Suivi'!$C$2:$C$3000,"CONTRAT")</f>
        <v/>
      </c>
      <c r="C29" s="595">
        <f>COUNTIFS('Données Suivi'!$A$2:$A$3000,$A29,'Données Suivi'!$C$2:$C$3000,"AOO-M")</f>
        <v/>
      </c>
      <c r="D29" s="595">
        <f>COUNTIFS('Données Suivi'!$A$2:$A$3000,$A29,'Données Suivi'!$C$2:$C$3000,"AOO-CT")</f>
        <v/>
      </c>
      <c r="E29" s="595">
        <f>COUNTIFS('Données Suivi'!$A$2:$A$3000,$A29,'Données Suivi'!$C$2:$C$3000,"BCL")</f>
        <v/>
      </c>
      <c r="F29" s="595">
        <f>COUNTIFS('Données Suivi'!$A$2:$A$3000,$A29,'Données Suivi'!$C$2:$C$3000,"BCI")</f>
        <v/>
      </c>
      <c r="G29" s="595">
        <f>COUNTIFS('Données Suivi'!$A$2:$A$3000,$A29,'Données Suivi'!$C$2:$C$3000,"CA")</f>
        <v/>
      </c>
      <c r="H29" s="596">
        <f>COUNTIF('Données Suivi'!$A$2:$A$3000,$A29)</f>
        <v/>
      </c>
    </row>
    <row r="30">
      <c r="A30" s="594" t="inlineStr">
        <is>
          <t>RSSI</t>
        </is>
      </c>
      <c r="B30" s="595">
        <f>COUNTIFS('Données Suivi'!$A$2:$A$3000,$A30,'Données Suivi'!$C$2:$C$3000,"CONTRAT")</f>
        <v/>
      </c>
      <c r="C30" s="595">
        <f>COUNTIFS('Données Suivi'!$A$2:$A$3000,$A30,'Données Suivi'!$C$2:$C$3000,"AOO-M")</f>
        <v/>
      </c>
      <c r="D30" s="595">
        <f>COUNTIFS('Données Suivi'!$A$2:$A$3000,$A30,'Données Suivi'!$C$2:$C$3000,"AOO-CT")</f>
        <v/>
      </c>
      <c r="E30" s="595">
        <f>COUNTIFS('Données Suivi'!$A$2:$A$3000,$A30,'Données Suivi'!$C$2:$C$3000,"BCL")</f>
        <v/>
      </c>
      <c r="F30" s="595">
        <f>COUNTIFS('Données Suivi'!$A$2:$A$3000,$A30,'Données Suivi'!$C$2:$C$3000,"BCI")</f>
        <v/>
      </c>
      <c r="G30" s="595">
        <f>COUNTIFS('Données Suivi'!$A$2:$A$3000,$A30,'Données Suivi'!$C$2:$C$3000,"CA")</f>
        <v/>
      </c>
      <c r="H30" s="596">
        <f>COUNTIF('Données Suivi'!$A$2:$A$3000,$A30)</f>
        <v/>
      </c>
    </row>
    <row r="31">
      <c r="A31" s="594" t="inlineStr">
        <is>
          <t>TAMAZIGHT</t>
        </is>
      </c>
      <c r="B31" s="595">
        <f>COUNTIFS('Données Suivi'!$A$2:$A$3000,$A31,'Données Suivi'!$C$2:$C$3000,"CONTRAT")</f>
        <v/>
      </c>
      <c r="C31" s="595">
        <f>COUNTIFS('Données Suivi'!$A$2:$A$3000,$A31,'Données Suivi'!$C$2:$C$3000,"AOO-M")</f>
        <v/>
      </c>
      <c r="D31" s="595">
        <f>COUNTIFS('Données Suivi'!$A$2:$A$3000,$A31,'Données Suivi'!$C$2:$C$3000,"AOO-CT")</f>
        <v/>
      </c>
      <c r="E31" s="595">
        <f>COUNTIFS('Données Suivi'!$A$2:$A$3000,$A31,'Données Suivi'!$C$2:$C$3000,"BCL")</f>
        <v/>
      </c>
      <c r="F31" s="595">
        <f>COUNTIFS('Données Suivi'!$A$2:$A$3000,$A31,'Données Suivi'!$C$2:$C$3000,"BCI")</f>
        <v/>
      </c>
      <c r="G31" s="595">
        <f>COUNTIFS('Données Suivi'!$A$2:$A$3000,$A31,'Données Suivi'!$C$2:$C$3000,"CA")</f>
        <v/>
      </c>
      <c r="H31" s="596">
        <f>COUNTIF('Données Suivi'!$A$2:$A$3000,$A31)</f>
        <v/>
      </c>
    </row>
    <row r="32">
      <c r="A32" s="594" t="inlineStr">
        <is>
          <t>TDF -SITES</t>
        </is>
      </c>
      <c r="B32" s="595">
        <f>COUNTIFS('Données Suivi'!$A$2:$A$3000,$A32,'Données Suivi'!$C$2:$C$3000,"CONTRAT")</f>
        <v/>
      </c>
      <c r="C32" s="595">
        <f>COUNTIFS('Données Suivi'!$A$2:$A$3000,$A32,'Données Suivi'!$C$2:$C$3000,"AOO-M")</f>
        <v/>
      </c>
      <c r="D32" s="595">
        <f>COUNTIFS('Données Suivi'!$A$2:$A$3000,$A32,'Données Suivi'!$C$2:$C$3000,"AOO-CT")</f>
        <v/>
      </c>
      <c r="E32" s="595">
        <f>COUNTIFS('Données Suivi'!$A$2:$A$3000,$A32,'Données Suivi'!$C$2:$C$3000,"BCL")</f>
        <v/>
      </c>
      <c r="F32" s="595">
        <f>COUNTIFS('Données Suivi'!$A$2:$A$3000,$A32,'Données Suivi'!$C$2:$C$3000,"BCI")</f>
        <v/>
      </c>
      <c r="G32" s="595">
        <f>COUNTIFS('Données Suivi'!$A$2:$A$3000,$A32,'Données Suivi'!$C$2:$C$3000,"CA")</f>
        <v/>
      </c>
      <c r="H32" s="596">
        <f>COUNTIF('Données Suivi'!$A$2:$A$3000,$A32)</f>
        <v/>
      </c>
    </row>
    <row r="33">
      <c r="A33" s="594" t="inlineStr">
        <is>
          <t>TDF-EXP&amp;MAIN</t>
        </is>
      </c>
      <c r="B33" s="595">
        <f>COUNTIFS('Données Suivi'!$A$2:$A$3000,$A33,'Données Suivi'!$C$2:$C$3000,"CONTRAT")</f>
        <v/>
      </c>
      <c r="C33" s="595">
        <f>COUNTIFS('Données Suivi'!$A$2:$A$3000,$A33,'Données Suivi'!$C$2:$C$3000,"AOO-M")</f>
        <v/>
      </c>
      <c r="D33" s="595">
        <f>COUNTIFS('Données Suivi'!$A$2:$A$3000,$A33,'Données Suivi'!$C$2:$C$3000,"AOO-CT")</f>
        <v/>
      </c>
      <c r="E33" s="595">
        <f>COUNTIFS('Données Suivi'!$A$2:$A$3000,$A33,'Données Suivi'!$C$2:$C$3000,"BCL")</f>
        <v/>
      </c>
      <c r="F33" s="595">
        <f>COUNTIFS('Données Suivi'!$A$2:$A$3000,$A33,'Données Suivi'!$C$2:$C$3000,"BCI")</f>
        <v/>
      </c>
      <c r="G33" s="595">
        <f>COUNTIFS('Données Suivi'!$A$2:$A$3000,$A33,'Données Suivi'!$C$2:$C$3000,"CA")</f>
        <v/>
      </c>
      <c r="H33" s="596">
        <f>COUNTIF('Données Suivi'!$A$2:$A$3000,$A33)</f>
        <v/>
      </c>
    </row>
    <row r="34">
      <c r="A34" s="594" t="inlineStr">
        <is>
          <t>TV LAAYOUNE</t>
        </is>
      </c>
      <c r="B34" s="595">
        <f>COUNTIFS('Données Suivi'!$A$2:$A$3000,$A34,'Données Suivi'!$C$2:$C$3000,"CONTRAT")</f>
        <v/>
      </c>
      <c r="C34" s="595">
        <f>COUNTIFS('Données Suivi'!$A$2:$A$3000,$A34,'Données Suivi'!$C$2:$C$3000,"AOO-M")</f>
        <v/>
      </c>
      <c r="D34" s="595">
        <f>COUNTIFS('Données Suivi'!$A$2:$A$3000,$A34,'Données Suivi'!$C$2:$C$3000,"AOO-CT")</f>
        <v/>
      </c>
      <c r="E34" s="595">
        <f>COUNTIFS('Données Suivi'!$A$2:$A$3000,$A34,'Données Suivi'!$C$2:$C$3000,"BCL")</f>
        <v/>
      </c>
      <c r="F34" s="595">
        <f>COUNTIFS('Données Suivi'!$A$2:$A$3000,$A34,'Données Suivi'!$C$2:$C$3000,"BCI")</f>
        <v/>
      </c>
      <c r="G34" s="595">
        <f>COUNTIFS('Données Suivi'!$A$2:$A$3000,$A34,'Données Suivi'!$C$2:$C$3000,"CA")</f>
        <v/>
      </c>
      <c r="H34" s="596">
        <f>COUNTIF('Données Suivi'!$A$2:$A$3000,$A34)</f>
        <v/>
      </c>
    </row>
    <row r="35">
      <c r="A35" s="597" t="inlineStr">
        <is>
          <t>TOTAL</t>
        </is>
      </c>
      <c r="B35" s="596">
        <f>SUM(B12:B34)</f>
        <v/>
      </c>
      <c r="C35" s="596">
        <f>SUM(C12:C34)</f>
        <v/>
      </c>
      <c r="D35" s="596">
        <f>SUM(D12:D34)</f>
        <v/>
      </c>
      <c r="E35" s="596">
        <f>SUM(E12:E34)</f>
        <v/>
      </c>
      <c r="F35" s="596">
        <f>SUM(F12:F34)</f>
        <v/>
      </c>
      <c r="G35" s="596">
        <f>SUM(G12:G34)</f>
        <v/>
      </c>
      <c r="H35" s="596">
        <f>SUM(H12:H34)</f>
        <v/>
      </c>
    </row>
    <row r="37" ht="20" customHeight="1" s="392">
      <c r="A37" s="592" t="inlineStr">
        <is>
          <t>Répartition des dossiers par Direction et par Statut d'Engagement — Nombre de dossiers</t>
        </is>
      </c>
    </row>
    <row r="38">
      <c r="A38" s="593" t="inlineStr">
        <is>
          <t>Direction</t>
        </is>
      </c>
      <c r="B38" s="593" t="inlineStr">
        <is>
          <t>NON ENGAGE</t>
        </is>
      </c>
      <c r="C38" s="593" t="inlineStr">
        <is>
          <t>EN COURS DE PREENGAGEMENT</t>
        </is>
      </c>
      <c r="D38" s="593" t="inlineStr">
        <is>
          <t>PREENGAGE</t>
        </is>
      </c>
      <c r="E38" s="593" t="inlineStr">
        <is>
          <t>EN COURS D'ENGAGEMENT</t>
        </is>
      </c>
      <c r="F38" s="593" t="inlineStr">
        <is>
          <t>ENGAGE</t>
        </is>
      </c>
      <c r="G38" s="593" t="inlineStr">
        <is>
          <t>TOTAL</t>
        </is>
      </c>
    </row>
    <row r="39">
      <c r="A39" s="594" t="inlineStr">
        <is>
          <t>ARRIYADIA</t>
        </is>
      </c>
      <c r="B39" s="595">
        <f>COUNTIFS('Données Suivi'!$A$2:$A$3000,$A39,'Données Suivi'!$H$2:$H$3000,"NON ENGAGE")</f>
        <v/>
      </c>
      <c r="C39" s="595">
        <f>COUNTIFS('Données Suivi'!$A$2:$A$3000,$A39,'Données Suivi'!$H$2:$H$3000,"EN COURS DE PREENGAGEMENT")</f>
        <v/>
      </c>
      <c r="D39" s="595">
        <f>COUNTIFS('Données Suivi'!$A$2:$A$3000,$A39,'Données Suivi'!$H$2:$H$3000,"PREENGAGE")</f>
        <v/>
      </c>
      <c r="E39" s="595">
        <f>COUNTIFS('Données Suivi'!$A$2:$A$3000,$A39,'Données Suivi'!$H$2:$H$3000,"EN COURS D'ENGAGEMENT")</f>
        <v/>
      </c>
      <c r="F39" s="595">
        <f>COUNTIFS('Données Suivi'!$A$2:$A$3000,$A39,'Données Suivi'!$H$2:$H$3000,"ENGAGE")</f>
        <v/>
      </c>
      <c r="G39" s="596">
        <f>COUNTIF('Données Suivi'!$A$2:$A$3000,$A39)</f>
        <v/>
      </c>
    </row>
    <row r="40">
      <c r="A40" s="594" t="inlineStr">
        <is>
          <t>ASSADISSA</t>
        </is>
      </c>
      <c r="B40" s="595">
        <f>COUNTIFS('Données Suivi'!$A$2:$A$3000,$A40,'Données Suivi'!$H$2:$H$3000,"NON ENGAGE")</f>
        <v/>
      </c>
      <c r="C40" s="595">
        <f>COUNTIFS('Données Suivi'!$A$2:$A$3000,$A40,'Données Suivi'!$H$2:$H$3000,"EN COURS DE PREENGAGEMENT")</f>
        <v/>
      </c>
      <c r="D40" s="595">
        <f>COUNTIFS('Données Suivi'!$A$2:$A$3000,$A40,'Données Suivi'!$H$2:$H$3000,"PREENGAGE")</f>
        <v/>
      </c>
      <c r="E40" s="595">
        <f>COUNTIFS('Données Suivi'!$A$2:$A$3000,$A40,'Données Suivi'!$H$2:$H$3000,"EN COURS D'ENGAGEMENT")</f>
        <v/>
      </c>
      <c r="F40" s="595">
        <f>COUNTIFS('Données Suivi'!$A$2:$A$3000,$A40,'Données Suivi'!$H$2:$H$3000,"ENGAGE")</f>
        <v/>
      </c>
      <c r="G40" s="596">
        <f>COUNTIF('Données Suivi'!$A$2:$A$3000,$A40)</f>
        <v/>
      </c>
    </row>
    <row r="41">
      <c r="A41" s="594" t="inlineStr">
        <is>
          <t>DA</t>
        </is>
      </c>
      <c r="B41" s="595">
        <f>COUNTIFS('Données Suivi'!$A$2:$A$3000,$A41,'Données Suivi'!$H$2:$H$3000,"NON ENGAGE")</f>
        <v/>
      </c>
      <c r="C41" s="595">
        <f>COUNTIFS('Données Suivi'!$A$2:$A$3000,$A41,'Données Suivi'!$H$2:$H$3000,"EN COURS DE PREENGAGEMENT")</f>
        <v/>
      </c>
      <c r="D41" s="595">
        <f>COUNTIFS('Données Suivi'!$A$2:$A$3000,$A41,'Données Suivi'!$H$2:$H$3000,"PREENGAGE")</f>
        <v/>
      </c>
      <c r="E41" s="595">
        <f>COUNTIFS('Données Suivi'!$A$2:$A$3000,$A41,'Données Suivi'!$H$2:$H$3000,"EN COURS D'ENGAGEMENT")</f>
        <v/>
      </c>
      <c r="F41" s="595">
        <f>COUNTIFS('Données Suivi'!$A$2:$A$3000,$A41,'Données Suivi'!$H$2:$H$3000,"ENGAGE")</f>
        <v/>
      </c>
      <c r="G41" s="596">
        <f>COUNTIF('Données Suivi'!$A$2:$A$3000,$A41)</f>
        <v/>
      </c>
    </row>
    <row r="42">
      <c r="A42" s="594" t="inlineStr">
        <is>
          <t>DACG</t>
        </is>
      </c>
      <c r="B42" s="595">
        <f>COUNTIFS('Données Suivi'!$A$2:$A$3000,$A42,'Données Suivi'!$H$2:$H$3000,"NON ENGAGE")</f>
        <v/>
      </c>
      <c r="C42" s="595">
        <f>COUNTIFS('Données Suivi'!$A$2:$A$3000,$A42,'Données Suivi'!$H$2:$H$3000,"EN COURS DE PREENGAGEMENT")</f>
        <v/>
      </c>
      <c r="D42" s="595">
        <f>COUNTIFS('Données Suivi'!$A$2:$A$3000,$A42,'Données Suivi'!$H$2:$H$3000,"PREENGAGE")</f>
        <v/>
      </c>
      <c r="E42" s="595">
        <f>COUNTIFS('Données Suivi'!$A$2:$A$3000,$A42,'Données Suivi'!$H$2:$H$3000,"EN COURS D'ENGAGEMENT")</f>
        <v/>
      </c>
      <c r="F42" s="595">
        <f>COUNTIFS('Données Suivi'!$A$2:$A$3000,$A42,'Données Suivi'!$H$2:$H$3000,"ENGAGE")</f>
        <v/>
      </c>
      <c r="G42" s="596">
        <f>COUNTIF('Données Suivi'!$A$2:$A$3000,$A42)</f>
        <v/>
      </c>
    </row>
    <row r="43">
      <c r="A43" s="594" t="inlineStr">
        <is>
          <t>DAR</t>
        </is>
      </c>
      <c r="B43" s="595">
        <f>COUNTIFS('Données Suivi'!$A$2:$A$3000,$A43,'Données Suivi'!$H$2:$H$3000,"NON ENGAGE")</f>
        <v/>
      </c>
      <c r="C43" s="595">
        <f>COUNTIFS('Données Suivi'!$A$2:$A$3000,$A43,'Données Suivi'!$H$2:$H$3000,"EN COURS DE PREENGAGEMENT")</f>
        <v/>
      </c>
      <c r="D43" s="595">
        <f>COUNTIFS('Données Suivi'!$A$2:$A$3000,$A43,'Données Suivi'!$H$2:$H$3000,"PREENGAGE")</f>
        <v/>
      </c>
      <c r="E43" s="595">
        <f>COUNTIFS('Données Suivi'!$A$2:$A$3000,$A43,'Données Suivi'!$H$2:$H$3000,"EN COURS D'ENGAGEMENT")</f>
        <v/>
      </c>
      <c r="F43" s="595">
        <f>COUNTIFS('Données Suivi'!$A$2:$A$3000,$A43,'Données Suivi'!$H$2:$H$3000,"ENGAGE")</f>
        <v/>
      </c>
      <c r="G43" s="596">
        <f>COUNTIF('Données Suivi'!$A$2:$A$3000,$A43)</f>
        <v/>
      </c>
    </row>
    <row r="44">
      <c r="A44" s="594" t="inlineStr">
        <is>
          <t>DCPA</t>
        </is>
      </c>
      <c r="B44" s="595">
        <f>COUNTIFS('Données Suivi'!$A$2:$A$3000,$A44,'Données Suivi'!$H$2:$H$3000,"NON ENGAGE")</f>
        <v/>
      </c>
      <c r="C44" s="595">
        <f>COUNTIFS('Données Suivi'!$A$2:$A$3000,$A44,'Données Suivi'!$H$2:$H$3000,"EN COURS DE PREENGAGEMENT")</f>
        <v/>
      </c>
      <c r="D44" s="595">
        <f>COUNTIFS('Données Suivi'!$A$2:$A$3000,$A44,'Données Suivi'!$H$2:$H$3000,"PREENGAGE")</f>
        <v/>
      </c>
      <c r="E44" s="595">
        <f>COUNTIFS('Données Suivi'!$A$2:$A$3000,$A44,'Données Suivi'!$H$2:$H$3000,"EN COURS D'ENGAGEMENT")</f>
        <v/>
      </c>
      <c r="F44" s="595">
        <f>COUNTIFS('Données Suivi'!$A$2:$A$3000,$A44,'Données Suivi'!$H$2:$H$3000,"ENGAGE")</f>
        <v/>
      </c>
      <c r="G44" s="596">
        <f>COUNTIF('Données Suivi'!$A$2:$A$3000,$A44)</f>
        <v/>
      </c>
    </row>
    <row r="45">
      <c r="A45" s="594" t="inlineStr">
        <is>
          <t>DCRI</t>
        </is>
      </c>
      <c r="B45" s="595">
        <f>COUNTIFS('Données Suivi'!$A$2:$A$3000,$A45,'Données Suivi'!$H$2:$H$3000,"NON ENGAGE")</f>
        <v/>
      </c>
      <c r="C45" s="595">
        <f>COUNTIFS('Données Suivi'!$A$2:$A$3000,$A45,'Données Suivi'!$H$2:$H$3000,"EN COURS DE PREENGAGEMENT")</f>
        <v/>
      </c>
      <c r="D45" s="595">
        <f>COUNTIFS('Données Suivi'!$A$2:$A$3000,$A45,'Données Suivi'!$H$2:$H$3000,"PREENGAGE")</f>
        <v/>
      </c>
      <c r="E45" s="595">
        <f>COUNTIFS('Données Suivi'!$A$2:$A$3000,$A45,'Données Suivi'!$H$2:$H$3000,"EN COURS D'ENGAGEMENT")</f>
        <v/>
      </c>
      <c r="F45" s="595">
        <f>COUNTIFS('Données Suivi'!$A$2:$A$3000,$A45,'Données Suivi'!$H$2:$H$3000,"ENGAGE")</f>
        <v/>
      </c>
      <c r="G45" s="596">
        <f>COUNTIF('Données Suivi'!$A$2:$A$3000,$A45)</f>
        <v/>
      </c>
    </row>
    <row r="46">
      <c r="A46" s="594" t="inlineStr">
        <is>
          <t>DCT</t>
        </is>
      </c>
      <c r="B46" s="595">
        <f>COUNTIFS('Données Suivi'!$A$2:$A$3000,$A46,'Données Suivi'!$H$2:$H$3000,"NON ENGAGE")</f>
        <v/>
      </c>
      <c r="C46" s="595">
        <f>COUNTIFS('Données Suivi'!$A$2:$A$3000,$A46,'Données Suivi'!$H$2:$H$3000,"EN COURS DE PREENGAGEMENT")</f>
        <v/>
      </c>
      <c r="D46" s="595">
        <f>COUNTIFS('Données Suivi'!$A$2:$A$3000,$A46,'Données Suivi'!$H$2:$H$3000,"PREENGAGE")</f>
        <v/>
      </c>
      <c r="E46" s="595">
        <f>COUNTIFS('Données Suivi'!$A$2:$A$3000,$A46,'Données Suivi'!$H$2:$H$3000,"EN COURS D'ENGAGEMENT")</f>
        <v/>
      </c>
      <c r="F46" s="595">
        <f>COUNTIFS('Données Suivi'!$A$2:$A$3000,$A46,'Données Suivi'!$H$2:$H$3000,"ENGAGE")</f>
        <v/>
      </c>
      <c r="G46" s="596">
        <f>COUNTIF('Données Suivi'!$A$2:$A$3000,$A46)</f>
        <v/>
      </c>
    </row>
    <row r="47">
      <c r="A47" s="594" t="inlineStr">
        <is>
          <t>DG</t>
        </is>
      </c>
      <c r="B47" s="595">
        <f>COUNTIFS('Données Suivi'!$A$2:$A$3000,$A47,'Données Suivi'!$H$2:$H$3000,"NON ENGAGE")</f>
        <v/>
      </c>
      <c r="C47" s="595">
        <f>COUNTIFS('Données Suivi'!$A$2:$A$3000,$A47,'Données Suivi'!$H$2:$H$3000,"EN COURS DE PREENGAGEMENT")</f>
        <v/>
      </c>
      <c r="D47" s="595">
        <f>COUNTIFS('Données Suivi'!$A$2:$A$3000,$A47,'Données Suivi'!$H$2:$H$3000,"PREENGAGE")</f>
        <v/>
      </c>
      <c r="E47" s="595">
        <f>COUNTIFS('Données Suivi'!$A$2:$A$3000,$A47,'Données Suivi'!$H$2:$H$3000,"EN COURS D'ENGAGEMENT")</f>
        <v/>
      </c>
      <c r="F47" s="595">
        <f>COUNTIFS('Données Suivi'!$A$2:$A$3000,$A47,'Données Suivi'!$H$2:$H$3000,"ENGAGE")</f>
        <v/>
      </c>
      <c r="G47" s="596">
        <f>COUNTIF('Données Suivi'!$A$2:$A$3000,$A47)</f>
        <v/>
      </c>
    </row>
    <row r="48">
      <c r="A48" s="594" t="inlineStr">
        <is>
          <t>DINFORADIO</t>
        </is>
      </c>
      <c r="B48" s="595">
        <f>COUNTIFS('Données Suivi'!$A$2:$A$3000,$A48,'Données Suivi'!$H$2:$H$3000,"NON ENGAGE")</f>
        <v/>
      </c>
      <c r="C48" s="595">
        <f>COUNTIFS('Données Suivi'!$A$2:$A$3000,$A48,'Données Suivi'!$H$2:$H$3000,"EN COURS DE PREENGAGEMENT")</f>
        <v/>
      </c>
      <c r="D48" s="595">
        <f>COUNTIFS('Données Suivi'!$A$2:$A$3000,$A48,'Données Suivi'!$H$2:$H$3000,"PREENGAGE")</f>
        <v/>
      </c>
      <c r="E48" s="595">
        <f>COUNTIFS('Données Suivi'!$A$2:$A$3000,$A48,'Données Suivi'!$H$2:$H$3000,"EN COURS D'ENGAGEMENT")</f>
        <v/>
      </c>
      <c r="F48" s="595">
        <f>COUNTIFS('Données Suivi'!$A$2:$A$3000,$A48,'Données Suivi'!$H$2:$H$3000,"ENGAGE")</f>
        <v/>
      </c>
      <c r="G48" s="596">
        <f>COUNTIF('Données Suivi'!$A$2:$A$3000,$A48)</f>
        <v/>
      </c>
    </row>
    <row r="49">
      <c r="A49" s="594" t="inlineStr">
        <is>
          <t>DINFOTV</t>
        </is>
      </c>
      <c r="B49" s="595">
        <f>COUNTIFS('Données Suivi'!$A$2:$A$3000,$A49,'Données Suivi'!$H$2:$H$3000,"NON ENGAGE")</f>
        <v/>
      </c>
      <c r="C49" s="595">
        <f>COUNTIFS('Données Suivi'!$A$2:$A$3000,$A49,'Données Suivi'!$H$2:$H$3000,"EN COURS DE PREENGAGEMENT")</f>
        <v/>
      </c>
      <c r="D49" s="595">
        <f>COUNTIFS('Données Suivi'!$A$2:$A$3000,$A49,'Données Suivi'!$H$2:$H$3000,"PREENGAGE")</f>
        <v/>
      </c>
      <c r="E49" s="595">
        <f>COUNTIFS('Données Suivi'!$A$2:$A$3000,$A49,'Données Suivi'!$H$2:$H$3000,"EN COURS D'ENGAGEMENT")</f>
        <v/>
      </c>
      <c r="F49" s="595">
        <f>COUNTIFS('Données Suivi'!$A$2:$A$3000,$A49,'Données Suivi'!$H$2:$H$3000,"ENGAGE")</f>
        <v/>
      </c>
      <c r="G49" s="596">
        <f>COUNTIF('Données Suivi'!$A$2:$A$3000,$A49)</f>
        <v/>
      </c>
    </row>
    <row r="50">
      <c r="A50" s="594" t="inlineStr">
        <is>
          <t>DJURIDIQUE</t>
        </is>
      </c>
      <c r="B50" s="595">
        <f>COUNTIFS('Données Suivi'!$A$2:$A$3000,$A50,'Données Suivi'!$H$2:$H$3000,"NON ENGAGE")</f>
        <v/>
      </c>
      <c r="C50" s="595">
        <f>COUNTIFS('Données Suivi'!$A$2:$A$3000,$A50,'Données Suivi'!$H$2:$H$3000,"EN COURS DE PREENGAGEMENT")</f>
        <v/>
      </c>
      <c r="D50" s="595">
        <f>COUNTIFS('Données Suivi'!$A$2:$A$3000,$A50,'Données Suivi'!$H$2:$H$3000,"PREENGAGE")</f>
        <v/>
      </c>
      <c r="E50" s="595">
        <f>COUNTIFS('Données Suivi'!$A$2:$A$3000,$A50,'Données Suivi'!$H$2:$H$3000,"EN COURS D'ENGAGEMENT")</f>
        <v/>
      </c>
      <c r="F50" s="595">
        <f>COUNTIFS('Données Suivi'!$A$2:$A$3000,$A50,'Données Suivi'!$H$2:$H$3000,"ENGAGE")</f>
        <v/>
      </c>
      <c r="G50" s="596">
        <f>COUNTIF('Données Suivi'!$A$2:$A$3000,$A50)</f>
        <v/>
      </c>
    </row>
    <row r="51">
      <c r="A51" s="594" t="inlineStr">
        <is>
          <t>DMPTV</t>
        </is>
      </c>
      <c r="B51" s="595">
        <f>COUNTIFS('Données Suivi'!$A$2:$A$3000,$A51,'Données Suivi'!$H$2:$H$3000,"NON ENGAGE")</f>
        <v/>
      </c>
      <c r="C51" s="595">
        <f>COUNTIFS('Données Suivi'!$A$2:$A$3000,$A51,'Données Suivi'!$H$2:$H$3000,"EN COURS DE PREENGAGEMENT")</f>
        <v/>
      </c>
      <c r="D51" s="595">
        <f>COUNTIFS('Données Suivi'!$A$2:$A$3000,$A51,'Données Suivi'!$H$2:$H$3000,"PREENGAGE")</f>
        <v/>
      </c>
      <c r="E51" s="595">
        <f>COUNTIFS('Données Suivi'!$A$2:$A$3000,$A51,'Données Suivi'!$H$2:$H$3000,"EN COURS D'ENGAGEMENT")</f>
        <v/>
      </c>
      <c r="F51" s="595">
        <f>COUNTIFS('Données Suivi'!$A$2:$A$3000,$A51,'Données Suivi'!$H$2:$H$3000,"ENGAGE")</f>
        <v/>
      </c>
      <c r="G51" s="596">
        <f>COUNTIF('Données Suivi'!$A$2:$A$3000,$A51)</f>
        <v/>
      </c>
    </row>
    <row r="52">
      <c r="A52" s="594" t="inlineStr">
        <is>
          <t>DPMG</t>
        </is>
      </c>
      <c r="B52" s="595">
        <f>COUNTIFS('Données Suivi'!$A$2:$A$3000,$A52,'Données Suivi'!$H$2:$H$3000,"NON ENGAGE")</f>
        <v/>
      </c>
      <c r="C52" s="595">
        <f>COUNTIFS('Données Suivi'!$A$2:$A$3000,$A52,'Données Suivi'!$H$2:$H$3000,"EN COURS DE PREENGAGEMENT")</f>
        <v/>
      </c>
      <c r="D52" s="595">
        <f>COUNTIFS('Données Suivi'!$A$2:$A$3000,$A52,'Données Suivi'!$H$2:$H$3000,"PREENGAGE")</f>
        <v/>
      </c>
      <c r="E52" s="595">
        <f>COUNTIFS('Données Suivi'!$A$2:$A$3000,$A52,'Données Suivi'!$H$2:$H$3000,"EN COURS D'ENGAGEMENT")</f>
        <v/>
      </c>
      <c r="F52" s="595">
        <f>COUNTIFS('Données Suivi'!$A$2:$A$3000,$A52,'Données Suivi'!$H$2:$H$3000,"ENGAGE")</f>
        <v/>
      </c>
      <c r="G52" s="596">
        <f>COUNTIF('Données Suivi'!$A$2:$A$3000,$A52)</f>
        <v/>
      </c>
    </row>
    <row r="53">
      <c r="A53" s="594" t="inlineStr">
        <is>
          <t>DPPR</t>
        </is>
      </c>
      <c r="B53" s="595">
        <f>COUNTIFS('Données Suivi'!$A$2:$A$3000,$A53,'Données Suivi'!$H$2:$H$3000,"NON ENGAGE")</f>
        <v/>
      </c>
      <c r="C53" s="595">
        <f>COUNTIFS('Données Suivi'!$A$2:$A$3000,$A53,'Données Suivi'!$H$2:$H$3000,"EN COURS DE PREENGAGEMENT")</f>
        <v/>
      </c>
      <c r="D53" s="595">
        <f>COUNTIFS('Données Suivi'!$A$2:$A$3000,$A53,'Données Suivi'!$H$2:$H$3000,"PREENGAGE")</f>
        <v/>
      </c>
      <c r="E53" s="595">
        <f>COUNTIFS('Données Suivi'!$A$2:$A$3000,$A53,'Données Suivi'!$H$2:$H$3000,"EN COURS D'ENGAGEMENT")</f>
        <v/>
      </c>
      <c r="F53" s="595">
        <f>COUNTIFS('Données Suivi'!$A$2:$A$3000,$A53,'Données Suivi'!$H$2:$H$3000,"ENGAGE")</f>
        <v/>
      </c>
      <c r="G53" s="596">
        <f>COUNTIF('Données Suivi'!$A$2:$A$3000,$A53)</f>
        <v/>
      </c>
    </row>
    <row r="54">
      <c r="A54" s="594" t="inlineStr">
        <is>
          <t>DRH</t>
        </is>
      </c>
      <c r="B54" s="595">
        <f>COUNTIFS('Données Suivi'!$A$2:$A$3000,$A54,'Données Suivi'!$H$2:$H$3000,"NON ENGAGE")</f>
        <v/>
      </c>
      <c r="C54" s="595">
        <f>COUNTIFS('Données Suivi'!$A$2:$A$3000,$A54,'Données Suivi'!$H$2:$H$3000,"EN COURS DE PREENGAGEMENT")</f>
        <v/>
      </c>
      <c r="D54" s="595">
        <f>COUNTIFS('Données Suivi'!$A$2:$A$3000,$A54,'Données Suivi'!$H$2:$H$3000,"PREENGAGE")</f>
        <v/>
      </c>
      <c r="E54" s="595">
        <f>COUNTIFS('Données Suivi'!$A$2:$A$3000,$A54,'Données Suivi'!$H$2:$H$3000,"EN COURS D'ENGAGEMENT")</f>
        <v/>
      </c>
      <c r="F54" s="595">
        <f>COUNTIFS('Données Suivi'!$A$2:$A$3000,$A54,'Données Suivi'!$H$2:$H$3000,"ENGAGE")</f>
        <v/>
      </c>
      <c r="G54" s="596">
        <f>COUNTIF('Données Suivi'!$A$2:$A$3000,$A54)</f>
        <v/>
      </c>
    </row>
    <row r="55">
      <c r="A55" s="594" t="inlineStr">
        <is>
          <t>DRPSD</t>
        </is>
      </c>
      <c r="B55" s="595">
        <f>COUNTIFS('Données Suivi'!$A$2:$A$3000,$A55,'Données Suivi'!$H$2:$H$3000,"NON ENGAGE")</f>
        <v/>
      </c>
      <c r="C55" s="595">
        <f>COUNTIFS('Données Suivi'!$A$2:$A$3000,$A55,'Données Suivi'!$H$2:$H$3000,"EN COURS DE PREENGAGEMENT")</f>
        <v/>
      </c>
      <c r="D55" s="595">
        <f>COUNTIFS('Données Suivi'!$A$2:$A$3000,$A55,'Données Suivi'!$H$2:$H$3000,"PREENGAGE")</f>
        <v/>
      </c>
      <c r="E55" s="595">
        <f>COUNTIFS('Données Suivi'!$A$2:$A$3000,$A55,'Données Suivi'!$H$2:$H$3000,"EN COURS D'ENGAGEMENT")</f>
        <v/>
      </c>
      <c r="F55" s="595">
        <f>COUNTIFS('Données Suivi'!$A$2:$A$3000,$A55,'Données Suivi'!$H$2:$H$3000,"ENGAGE")</f>
        <v/>
      </c>
      <c r="G55" s="596">
        <f>COUNTIF('Données Suivi'!$A$2:$A$3000,$A55)</f>
        <v/>
      </c>
    </row>
    <row r="56">
      <c r="A56" s="594" t="inlineStr">
        <is>
          <t>MAGHRIBIA</t>
        </is>
      </c>
      <c r="B56" s="595">
        <f>COUNTIFS('Données Suivi'!$A$2:$A$3000,$A56,'Données Suivi'!$H$2:$H$3000,"NON ENGAGE")</f>
        <v/>
      </c>
      <c r="C56" s="595">
        <f>COUNTIFS('Données Suivi'!$A$2:$A$3000,$A56,'Données Suivi'!$H$2:$H$3000,"EN COURS DE PREENGAGEMENT")</f>
        <v/>
      </c>
      <c r="D56" s="595">
        <f>COUNTIFS('Données Suivi'!$A$2:$A$3000,$A56,'Données Suivi'!$H$2:$H$3000,"PREENGAGE")</f>
        <v/>
      </c>
      <c r="E56" s="595">
        <f>COUNTIFS('Données Suivi'!$A$2:$A$3000,$A56,'Données Suivi'!$H$2:$H$3000,"EN COURS D'ENGAGEMENT")</f>
        <v/>
      </c>
      <c r="F56" s="595">
        <f>COUNTIFS('Données Suivi'!$A$2:$A$3000,$A56,'Données Suivi'!$H$2:$H$3000,"ENGAGE")</f>
        <v/>
      </c>
      <c r="G56" s="596">
        <f>COUNTIF('Données Suivi'!$A$2:$A$3000,$A56)</f>
        <v/>
      </c>
    </row>
    <row r="57">
      <c r="A57" s="594" t="inlineStr">
        <is>
          <t>RSSI</t>
        </is>
      </c>
      <c r="B57" s="595">
        <f>COUNTIFS('Données Suivi'!$A$2:$A$3000,$A57,'Données Suivi'!$H$2:$H$3000,"NON ENGAGE")</f>
        <v/>
      </c>
      <c r="C57" s="595">
        <f>COUNTIFS('Données Suivi'!$A$2:$A$3000,$A57,'Données Suivi'!$H$2:$H$3000,"EN COURS DE PREENGAGEMENT")</f>
        <v/>
      </c>
      <c r="D57" s="595">
        <f>COUNTIFS('Données Suivi'!$A$2:$A$3000,$A57,'Données Suivi'!$H$2:$H$3000,"PREENGAGE")</f>
        <v/>
      </c>
      <c r="E57" s="595">
        <f>COUNTIFS('Données Suivi'!$A$2:$A$3000,$A57,'Données Suivi'!$H$2:$H$3000,"EN COURS D'ENGAGEMENT")</f>
        <v/>
      </c>
      <c r="F57" s="595">
        <f>COUNTIFS('Données Suivi'!$A$2:$A$3000,$A57,'Données Suivi'!$H$2:$H$3000,"ENGAGE")</f>
        <v/>
      </c>
      <c r="G57" s="596">
        <f>COUNTIF('Données Suivi'!$A$2:$A$3000,$A57)</f>
        <v/>
      </c>
    </row>
    <row r="58">
      <c r="A58" s="594" t="inlineStr">
        <is>
          <t>TAMAZIGHT</t>
        </is>
      </c>
      <c r="B58" s="595">
        <f>COUNTIFS('Données Suivi'!$A$2:$A$3000,$A58,'Données Suivi'!$H$2:$H$3000,"NON ENGAGE")</f>
        <v/>
      </c>
      <c r="C58" s="595">
        <f>COUNTIFS('Données Suivi'!$A$2:$A$3000,$A58,'Données Suivi'!$H$2:$H$3000,"EN COURS DE PREENGAGEMENT")</f>
        <v/>
      </c>
      <c r="D58" s="595">
        <f>COUNTIFS('Données Suivi'!$A$2:$A$3000,$A58,'Données Suivi'!$H$2:$H$3000,"PREENGAGE")</f>
        <v/>
      </c>
      <c r="E58" s="595">
        <f>COUNTIFS('Données Suivi'!$A$2:$A$3000,$A58,'Données Suivi'!$H$2:$H$3000,"EN COURS D'ENGAGEMENT")</f>
        <v/>
      </c>
      <c r="F58" s="595">
        <f>COUNTIFS('Données Suivi'!$A$2:$A$3000,$A58,'Données Suivi'!$H$2:$H$3000,"ENGAGE")</f>
        <v/>
      </c>
      <c r="G58" s="596">
        <f>COUNTIF('Données Suivi'!$A$2:$A$3000,$A58)</f>
        <v/>
      </c>
    </row>
    <row r="59">
      <c r="A59" s="594" t="inlineStr">
        <is>
          <t>TDF -SITES</t>
        </is>
      </c>
      <c r="B59" s="595">
        <f>COUNTIFS('Données Suivi'!$A$2:$A$3000,$A59,'Données Suivi'!$H$2:$H$3000,"NON ENGAGE")</f>
        <v/>
      </c>
      <c r="C59" s="595">
        <f>COUNTIFS('Données Suivi'!$A$2:$A$3000,$A59,'Données Suivi'!$H$2:$H$3000,"EN COURS DE PREENGAGEMENT")</f>
        <v/>
      </c>
      <c r="D59" s="595">
        <f>COUNTIFS('Données Suivi'!$A$2:$A$3000,$A59,'Données Suivi'!$H$2:$H$3000,"PREENGAGE")</f>
        <v/>
      </c>
      <c r="E59" s="595">
        <f>COUNTIFS('Données Suivi'!$A$2:$A$3000,$A59,'Données Suivi'!$H$2:$H$3000,"EN COURS D'ENGAGEMENT")</f>
        <v/>
      </c>
      <c r="F59" s="595">
        <f>COUNTIFS('Données Suivi'!$A$2:$A$3000,$A59,'Données Suivi'!$H$2:$H$3000,"ENGAGE")</f>
        <v/>
      </c>
      <c r="G59" s="596">
        <f>COUNTIF('Données Suivi'!$A$2:$A$3000,$A59)</f>
        <v/>
      </c>
    </row>
    <row r="60">
      <c r="A60" s="594" t="inlineStr">
        <is>
          <t>TDF-EXP&amp;MAIN</t>
        </is>
      </c>
      <c r="B60" s="595">
        <f>COUNTIFS('Données Suivi'!$A$2:$A$3000,$A60,'Données Suivi'!$H$2:$H$3000,"NON ENGAGE")</f>
        <v/>
      </c>
      <c r="C60" s="595">
        <f>COUNTIFS('Données Suivi'!$A$2:$A$3000,$A60,'Données Suivi'!$H$2:$H$3000,"EN COURS DE PREENGAGEMENT")</f>
        <v/>
      </c>
      <c r="D60" s="595">
        <f>COUNTIFS('Données Suivi'!$A$2:$A$3000,$A60,'Données Suivi'!$H$2:$H$3000,"PREENGAGE")</f>
        <v/>
      </c>
      <c r="E60" s="595">
        <f>COUNTIFS('Données Suivi'!$A$2:$A$3000,$A60,'Données Suivi'!$H$2:$H$3000,"EN COURS D'ENGAGEMENT")</f>
        <v/>
      </c>
      <c r="F60" s="595">
        <f>COUNTIFS('Données Suivi'!$A$2:$A$3000,$A60,'Données Suivi'!$H$2:$H$3000,"ENGAGE")</f>
        <v/>
      </c>
      <c r="G60" s="596">
        <f>COUNTIF('Données Suivi'!$A$2:$A$3000,$A60)</f>
        <v/>
      </c>
    </row>
    <row r="61">
      <c r="A61" s="594" t="inlineStr">
        <is>
          <t>TV LAAYOUNE</t>
        </is>
      </c>
      <c r="B61" s="595">
        <f>COUNTIFS('Données Suivi'!$A$2:$A$3000,$A61,'Données Suivi'!$H$2:$H$3000,"NON ENGAGE")</f>
        <v/>
      </c>
      <c r="C61" s="595">
        <f>COUNTIFS('Données Suivi'!$A$2:$A$3000,$A61,'Données Suivi'!$H$2:$H$3000,"EN COURS DE PREENGAGEMENT")</f>
        <v/>
      </c>
      <c r="D61" s="595">
        <f>COUNTIFS('Données Suivi'!$A$2:$A$3000,$A61,'Données Suivi'!$H$2:$H$3000,"PREENGAGE")</f>
        <v/>
      </c>
      <c r="E61" s="595">
        <f>COUNTIFS('Données Suivi'!$A$2:$A$3000,$A61,'Données Suivi'!$H$2:$H$3000,"EN COURS D'ENGAGEMENT")</f>
        <v/>
      </c>
      <c r="F61" s="595">
        <f>COUNTIFS('Données Suivi'!$A$2:$A$3000,$A61,'Données Suivi'!$H$2:$H$3000,"ENGAGE")</f>
        <v/>
      </c>
      <c r="G61" s="596">
        <f>COUNTIF('Données Suivi'!$A$2:$A$3000,$A61)</f>
        <v/>
      </c>
    </row>
    <row r="62">
      <c r="A62" s="597" t="inlineStr">
        <is>
          <t>TOTAL</t>
        </is>
      </c>
      <c r="B62" s="596">
        <f>SUM(B39:B61)</f>
        <v/>
      </c>
      <c r="C62" s="596">
        <f>SUM(C39:C61)</f>
        <v/>
      </c>
      <c r="D62" s="596">
        <f>SUM(D39:D61)</f>
        <v/>
      </c>
      <c r="E62" s="596">
        <f>SUM(E39:E61)</f>
        <v/>
      </c>
      <c r="F62" s="596">
        <f>SUM(F39:F61)</f>
        <v/>
      </c>
      <c r="G62" s="596">
        <f>SUM(G39:G61)</f>
        <v/>
      </c>
    </row>
    <row r="64" ht="20" customHeight="1" s="392">
      <c r="A64" s="592" t="inlineStr">
        <is>
          <t>Taux d'engagement par Direction (montant)</t>
        </is>
      </c>
    </row>
    <row r="65">
      <c r="A65" s="593" t="inlineStr">
        <is>
          <t>Direction</t>
        </is>
      </c>
      <c r="B65" s="593" t="inlineStr">
        <is>
          <t>Montant total (MAD)</t>
        </is>
      </c>
      <c r="C65" s="593" t="inlineStr">
        <is>
          <t>Montant engagé (MAD)</t>
        </is>
      </c>
      <c r="D65" s="593" t="inlineStr">
        <is>
          <t>Taux d'engagement</t>
        </is>
      </c>
    </row>
    <row r="66">
      <c r="A66" s="594" t="inlineStr">
        <is>
          <t>ARRIYADIA</t>
        </is>
      </c>
      <c r="B66" s="598">
        <f>SUMIF('Données Suivi'!$A$2:$A$3000,$A66,'Données Suivi'!$J$2:$J$3000)</f>
        <v/>
      </c>
      <c r="C66" s="598">
        <f>SUMIFS('Données Suivi'!$J$2:$J$3000,'Données Suivi'!$A$2:$A$3000,$A66,'Données Suivi'!$M$2:$M$3000,"Engagé")</f>
        <v/>
      </c>
      <c r="D66" s="599">
        <f>IF(B66=0,"",C66/B66)</f>
        <v/>
      </c>
    </row>
    <row r="67">
      <c r="A67" s="594" t="inlineStr">
        <is>
          <t>ASSADISSA</t>
        </is>
      </c>
      <c r="B67" s="598">
        <f>SUMIF('Données Suivi'!$A$2:$A$3000,$A67,'Données Suivi'!$J$2:$J$3000)</f>
        <v/>
      </c>
      <c r="C67" s="598">
        <f>SUMIFS('Données Suivi'!$J$2:$J$3000,'Données Suivi'!$A$2:$A$3000,$A67,'Données Suivi'!$M$2:$M$3000,"Engagé")</f>
        <v/>
      </c>
      <c r="D67" s="599">
        <f>IF(B67=0,"",C67/B67)</f>
        <v/>
      </c>
    </row>
    <row r="68">
      <c r="A68" s="594" t="inlineStr">
        <is>
          <t>DA</t>
        </is>
      </c>
      <c r="B68" s="598">
        <f>SUMIF('Données Suivi'!$A$2:$A$3000,$A68,'Données Suivi'!$J$2:$J$3000)</f>
        <v/>
      </c>
      <c r="C68" s="598">
        <f>SUMIFS('Données Suivi'!$J$2:$J$3000,'Données Suivi'!$A$2:$A$3000,$A68,'Données Suivi'!$M$2:$M$3000,"Engagé")</f>
        <v/>
      </c>
      <c r="D68" s="599">
        <f>IF(B68=0,"",C68/B68)</f>
        <v/>
      </c>
    </row>
    <row r="69">
      <c r="A69" s="594" t="inlineStr">
        <is>
          <t>DACG</t>
        </is>
      </c>
      <c r="B69" s="598">
        <f>SUMIF('Données Suivi'!$A$2:$A$3000,$A69,'Données Suivi'!$J$2:$J$3000)</f>
        <v/>
      </c>
      <c r="C69" s="598">
        <f>SUMIFS('Données Suivi'!$J$2:$J$3000,'Données Suivi'!$A$2:$A$3000,$A69,'Données Suivi'!$M$2:$M$3000,"Engagé")</f>
        <v/>
      </c>
      <c r="D69" s="599">
        <f>IF(B69=0,"",C69/B69)</f>
        <v/>
      </c>
    </row>
    <row r="70">
      <c r="A70" s="594" t="inlineStr">
        <is>
          <t>DAR</t>
        </is>
      </c>
      <c r="B70" s="598">
        <f>SUMIF('Données Suivi'!$A$2:$A$3000,$A70,'Données Suivi'!$J$2:$J$3000)</f>
        <v/>
      </c>
      <c r="C70" s="598">
        <f>SUMIFS('Données Suivi'!$J$2:$J$3000,'Données Suivi'!$A$2:$A$3000,$A70,'Données Suivi'!$M$2:$M$3000,"Engagé")</f>
        <v/>
      </c>
      <c r="D70" s="599">
        <f>IF(B70=0,"",C70/B70)</f>
        <v/>
      </c>
    </row>
    <row r="71">
      <c r="A71" s="594" t="inlineStr">
        <is>
          <t>DCPA</t>
        </is>
      </c>
      <c r="B71" s="598">
        <f>SUMIF('Données Suivi'!$A$2:$A$3000,$A71,'Données Suivi'!$J$2:$J$3000)</f>
        <v/>
      </c>
      <c r="C71" s="598">
        <f>SUMIFS('Données Suivi'!$J$2:$J$3000,'Données Suivi'!$A$2:$A$3000,$A71,'Données Suivi'!$M$2:$M$3000,"Engagé")</f>
        <v/>
      </c>
      <c r="D71" s="599">
        <f>IF(B71=0,"",C71/B71)</f>
        <v/>
      </c>
    </row>
    <row r="72">
      <c r="A72" s="594" t="inlineStr">
        <is>
          <t>DCRI</t>
        </is>
      </c>
      <c r="B72" s="598">
        <f>SUMIF('Données Suivi'!$A$2:$A$3000,$A72,'Données Suivi'!$J$2:$J$3000)</f>
        <v/>
      </c>
      <c r="C72" s="598">
        <f>SUMIFS('Données Suivi'!$J$2:$J$3000,'Données Suivi'!$A$2:$A$3000,$A72,'Données Suivi'!$M$2:$M$3000,"Engagé")</f>
        <v/>
      </c>
      <c r="D72" s="599">
        <f>IF(B72=0,"",C72/B72)</f>
        <v/>
      </c>
    </row>
    <row r="73">
      <c r="A73" s="594" t="inlineStr">
        <is>
          <t>DCT</t>
        </is>
      </c>
      <c r="B73" s="598">
        <f>SUMIF('Données Suivi'!$A$2:$A$3000,$A73,'Données Suivi'!$J$2:$J$3000)</f>
        <v/>
      </c>
      <c r="C73" s="598">
        <f>SUMIFS('Données Suivi'!$J$2:$J$3000,'Données Suivi'!$A$2:$A$3000,$A73,'Données Suivi'!$M$2:$M$3000,"Engagé")</f>
        <v/>
      </c>
      <c r="D73" s="599">
        <f>IF(B73=0,"",C73/B73)</f>
        <v/>
      </c>
    </row>
    <row r="74">
      <c r="A74" s="594" t="inlineStr">
        <is>
          <t>DG</t>
        </is>
      </c>
      <c r="B74" s="598">
        <f>SUMIF('Données Suivi'!$A$2:$A$3000,$A74,'Données Suivi'!$J$2:$J$3000)</f>
        <v/>
      </c>
      <c r="C74" s="598">
        <f>SUMIFS('Données Suivi'!$J$2:$J$3000,'Données Suivi'!$A$2:$A$3000,$A74,'Données Suivi'!$M$2:$M$3000,"Engagé")</f>
        <v/>
      </c>
      <c r="D74" s="599">
        <f>IF(B74=0,"",C74/B74)</f>
        <v/>
      </c>
    </row>
    <row r="75">
      <c r="A75" s="594" t="inlineStr">
        <is>
          <t>DINFORADIO</t>
        </is>
      </c>
      <c r="B75" s="598">
        <f>SUMIF('Données Suivi'!$A$2:$A$3000,$A75,'Données Suivi'!$J$2:$J$3000)</f>
        <v/>
      </c>
      <c r="C75" s="598">
        <f>SUMIFS('Données Suivi'!$J$2:$J$3000,'Données Suivi'!$A$2:$A$3000,$A75,'Données Suivi'!$M$2:$M$3000,"Engagé")</f>
        <v/>
      </c>
      <c r="D75" s="599">
        <f>IF(B75=0,"",C75/B75)</f>
        <v/>
      </c>
    </row>
    <row r="76">
      <c r="A76" s="594" t="inlineStr">
        <is>
          <t>DINFOTV</t>
        </is>
      </c>
      <c r="B76" s="598">
        <f>SUMIF('Données Suivi'!$A$2:$A$3000,$A76,'Données Suivi'!$J$2:$J$3000)</f>
        <v/>
      </c>
      <c r="C76" s="598">
        <f>SUMIFS('Données Suivi'!$J$2:$J$3000,'Données Suivi'!$A$2:$A$3000,$A76,'Données Suivi'!$M$2:$M$3000,"Engagé")</f>
        <v/>
      </c>
      <c r="D76" s="599">
        <f>IF(B76=0,"",C76/B76)</f>
        <v/>
      </c>
    </row>
    <row r="77">
      <c r="A77" s="594" t="inlineStr">
        <is>
          <t>DJURIDIQUE</t>
        </is>
      </c>
      <c r="B77" s="598">
        <f>SUMIF('Données Suivi'!$A$2:$A$3000,$A77,'Données Suivi'!$J$2:$J$3000)</f>
        <v/>
      </c>
      <c r="C77" s="598">
        <f>SUMIFS('Données Suivi'!$J$2:$J$3000,'Données Suivi'!$A$2:$A$3000,$A77,'Données Suivi'!$M$2:$M$3000,"Engagé")</f>
        <v/>
      </c>
      <c r="D77" s="599">
        <f>IF(B77=0,"",C77/B77)</f>
        <v/>
      </c>
    </row>
    <row r="78">
      <c r="A78" s="594" t="inlineStr">
        <is>
          <t>DMPTV</t>
        </is>
      </c>
      <c r="B78" s="598">
        <f>SUMIF('Données Suivi'!$A$2:$A$3000,$A78,'Données Suivi'!$J$2:$J$3000)</f>
        <v/>
      </c>
      <c r="C78" s="598">
        <f>SUMIFS('Données Suivi'!$J$2:$J$3000,'Données Suivi'!$A$2:$A$3000,$A78,'Données Suivi'!$M$2:$M$3000,"Engagé")</f>
        <v/>
      </c>
      <c r="D78" s="599">
        <f>IF(B78=0,"",C78/B78)</f>
        <v/>
      </c>
    </row>
    <row r="79">
      <c r="A79" s="594" t="inlineStr">
        <is>
          <t>DPMG</t>
        </is>
      </c>
      <c r="B79" s="598">
        <f>SUMIF('Données Suivi'!$A$2:$A$3000,$A79,'Données Suivi'!$J$2:$J$3000)</f>
        <v/>
      </c>
      <c r="C79" s="598">
        <f>SUMIFS('Données Suivi'!$J$2:$J$3000,'Données Suivi'!$A$2:$A$3000,$A79,'Données Suivi'!$M$2:$M$3000,"Engagé")</f>
        <v/>
      </c>
      <c r="D79" s="599">
        <f>IF(B79=0,"",C79/B79)</f>
        <v/>
      </c>
    </row>
    <row r="80">
      <c r="A80" s="594" t="inlineStr">
        <is>
          <t>DPPR</t>
        </is>
      </c>
      <c r="B80" s="598">
        <f>SUMIF('Données Suivi'!$A$2:$A$3000,$A80,'Données Suivi'!$J$2:$J$3000)</f>
        <v/>
      </c>
      <c r="C80" s="598">
        <f>SUMIFS('Données Suivi'!$J$2:$J$3000,'Données Suivi'!$A$2:$A$3000,$A80,'Données Suivi'!$M$2:$M$3000,"Engagé")</f>
        <v/>
      </c>
      <c r="D80" s="599">
        <f>IF(B80=0,"",C80/B80)</f>
        <v/>
      </c>
    </row>
    <row r="81">
      <c r="A81" s="594" t="inlineStr">
        <is>
          <t>DRH</t>
        </is>
      </c>
      <c r="B81" s="598">
        <f>SUMIF('Données Suivi'!$A$2:$A$3000,$A81,'Données Suivi'!$J$2:$J$3000)</f>
        <v/>
      </c>
      <c r="C81" s="598">
        <f>SUMIFS('Données Suivi'!$J$2:$J$3000,'Données Suivi'!$A$2:$A$3000,$A81,'Données Suivi'!$M$2:$M$3000,"Engagé")</f>
        <v/>
      </c>
      <c r="D81" s="599">
        <f>IF(B81=0,"",C81/B81)</f>
        <v/>
      </c>
    </row>
    <row r="82">
      <c r="A82" s="594" t="inlineStr">
        <is>
          <t>DRPSD</t>
        </is>
      </c>
      <c r="B82" s="598">
        <f>SUMIF('Données Suivi'!$A$2:$A$3000,$A82,'Données Suivi'!$J$2:$J$3000)</f>
        <v/>
      </c>
      <c r="C82" s="598">
        <f>SUMIFS('Données Suivi'!$J$2:$J$3000,'Données Suivi'!$A$2:$A$3000,$A82,'Données Suivi'!$M$2:$M$3000,"Engagé")</f>
        <v/>
      </c>
      <c r="D82" s="599">
        <f>IF(B82=0,"",C82/B82)</f>
        <v/>
      </c>
    </row>
    <row r="83">
      <c r="A83" s="594" t="inlineStr">
        <is>
          <t>MAGHRIBIA</t>
        </is>
      </c>
      <c r="B83" s="598">
        <f>SUMIF('Données Suivi'!$A$2:$A$3000,$A83,'Données Suivi'!$J$2:$J$3000)</f>
        <v/>
      </c>
      <c r="C83" s="598">
        <f>SUMIFS('Données Suivi'!$J$2:$J$3000,'Données Suivi'!$A$2:$A$3000,$A83,'Données Suivi'!$M$2:$M$3000,"Engagé")</f>
        <v/>
      </c>
      <c r="D83" s="599">
        <f>IF(B83=0,"",C83/B83)</f>
        <v/>
      </c>
    </row>
    <row r="84">
      <c r="A84" s="594" t="inlineStr">
        <is>
          <t>RSSI</t>
        </is>
      </c>
      <c r="B84" s="598">
        <f>SUMIF('Données Suivi'!$A$2:$A$3000,$A84,'Données Suivi'!$J$2:$J$3000)</f>
        <v/>
      </c>
      <c r="C84" s="598">
        <f>SUMIFS('Données Suivi'!$J$2:$J$3000,'Données Suivi'!$A$2:$A$3000,$A84,'Données Suivi'!$M$2:$M$3000,"Engagé")</f>
        <v/>
      </c>
      <c r="D84" s="599">
        <f>IF(B84=0,"",C84/B84)</f>
        <v/>
      </c>
    </row>
    <row r="85">
      <c r="A85" s="594" t="inlineStr">
        <is>
          <t>TAMAZIGHT</t>
        </is>
      </c>
      <c r="B85" s="598">
        <f>SUMIF('Données Suivi'!$A$2:$A$3000,$A85,'Données Suivi'!$J$2:$J$3000)</f>
        <v/>
      </c>
      <c r="C85" s="598">
        <f>SUMIFS('Données Suivi'!$J$2:$J$3000,'Données Suivi'!$A$2:$A$3000,$A85,'Données Suivi'!$M$2:$M$3000,"Engagé")</f>
        <v/>
      </c>
      <c r="D85" s="599">
        <f>IF(B85=0,"",C85/B85)</f>
        <v/>
      </c>
    </row>
    <row r="86">
      <c r="A86" s="594" t="inlineStr">
        <is>
          <t>TDF -SITES</t>
        </is>
      </c>
      <c r="B86" s="598">
        <f>SUMIF('Données Suivi'!$A$2:$A$3000,$A86,'Données Suivi'!$J$2:$J$3000)</f>
        <v/>
      </c>
      <c r="C86" s="598">
        <f>SUMIFS('Données Suivi'!$J$2:$J$3000,'Données Suivi'!$A$2:$A$3000,$A86,'Données Suivi'!$M$2:$M$3000,"Engagé")</f>
        <v/>
      </c>
      <c r="D86" s="599">
        <f>IF(B86=0,"",C86/B86)</f>
        <v/>
      </c>
    </row>
    <row r="87">
      <c r="A87" s="594" t="inlineStr">
        <is>
          <t>TDF-EXP&amp;MAIN</t>
        </is>
      </c>
      <c r="B87" s="598">
        <f>SUMIF('Données Suivi'!$A$2:$A$3000,$A87,'Données Suivi'!$J$2:$J$3000)</f>
        <v/>
      </c>
      <c r="C87" s="598">
        <f>SUMIFS('Données Suivi'!$J$2:$J$3000,'Données Suivi'!$A$2:$A$3000,$A87,'Données Suivi'!$M$2:$M$3000,"Engagé")</f>
        <v/>
      </c>
      <c r="D87" s="599">
        <f>IF(B87=0,"",C87/B87)</f>
        <v/>
      </c>
    </row>
    <row r="88">
      <c r="A88" s="594" t="inlineStr">
        <is>
          <t>TV LAAYOUNE</t>
        </is>
      </c>
      <c r="B88" s="598">
        <f>SUMIF('Données Suivi'!$A$2:$A$3000,$A88,'Données Suivi'!$J$2:$J$3000)</f>
        <v/>
      </c>
      <c r="C88" s="598">
        <f>SUMIFS('Données Suivi'!$J$2:$J$3000,'Données Suivi'!$A$2:$A$3000,$A88,'Données Suivi'!$M$2:$M$3000,"Engagé")</f>
        <v/>
      </c>
      <c r="D88" s="599">
        <f>IF(B88=0,"",C88/B88)</f>
        <v/>
      </c>
    </row>
    <row r="90" ht="20" customHeight="1" s="392">
      <c r="A90" s="592" t="inlineStr">
        <is>
          <t>Dossiers en cours à relancer (triés par ancienneté décroissante)</t>
        </is>
      </c>
    </row>
    <row r="91">
      <c r="A91" s="593" t="inlineStr">
        <is>
          <t>Direction</t>
        </is>
      </c>
      <c r="B91" s="593" t="inlineStr">
        <is>
          <t>Réf</t>
        </is>
      </c>
      <c r="C91" s="593" t="inlineStr">
        <is>
          <t>BCI</t>
        </is>
      </c>
      <c r="D91" s="593" t="inlineStr">
        <is>
          <t>Objet</t>
        </is>
      </c>
      <c r="E91" s="593" t="inlineStr">
        <is>
          <t>Statut Support</t>
        </is>
      </c>
      <c r="F91" s="593" t="inlineStr">
        <is>
          <t>Statut d'Engagement</t>
        </is>
      </c>
      <c r="G91" s="593" t="inlineStr">
        <is>
          <t>Montant (MAD)</t>
        </is>
      </c>
      <c r="H91" s="593" t="inlineStr">
        <is>
          <t>Date Fiche</t>
        </is>
      </c>
      <c r="I91" s="593" t="inlineStr">
        <is>
          <t>Ancienneté (j)</t>
        </is>
      </c>
    </row>
    <row r="92">
      <c r="A92" s="600">
        <f>'Données Suivi'!A327</f>
        <v/>
      </c>
      <c r="B92" s="600">
        <f>'Données Suivi'!B327</f>
        <v/>
      </c>
      <c r="C92" s="600">
        <f>'Données Suivi'!C327</f>
        <v/>
      </c>
      <c r="D92" s="601">
        <f>'Données Suivi'!D327</f>
        <v/>
      </c>
      <c r="E92" s="600">
        <f>'Données Suivi'!E327</f>
        <v/>
      </c>
      <c r="F92" s="600">
        <f>'Données Suivi'!H327</f>
        <v/>
      </c>
      <c r="G92" s="602">
        <f>'Données Suivi'!J327</f>
        <v/>
      </c>
      <c r="H92" s="603">
        <f>'Données Suivi'!K327</f>
        <v/>
      </c>
      <c r="I92" s="600">
        <f>'Données Suivi'!L327</f>
        <v/>
      </c>
    </row>
    <row r="93">
      <c r="A93" s="600">
        <f>'Données Suivi'!A328</f>
        <v/>
      </c>
      <c r="B93" s="600">
        <f>'Données Suivi'!B328</f>
        <v/>
      </c>
      <c r="C93" s="600">
        <f>'Données Suivi'!C328</f>
        <v/>
      </c>
      <c r="D93" s="601">
        <f>'Données Suivi'!D328</f>
        <v/>
      </c>
      <c r="E93" s="600">
        <f>'Données Suivi'!E328</f>
        <v/>
      </c>
      <c r="F93" s="600">
        <f>'Données Suivi'!H328</f>
        <v/>
      </c>
      <c r="G93" s="602">
        <f>'Données Suivi'!J328</f>
        <v/>
      </c>
      <c r="H93" s="603">
        <f>'Données Suivi'!K328</f>
        <v/>
      </c>
      <c r="I93" s="600">
        <f>'Données Suivi'!L328</f>
        <v/>
      </c>
    </row>
    <row r="94">
      <c r="A94" s="600">
        <f>'Données Suivi'!A359</f>
        <v/>
      </c>
      <c r="B94" s="600">
        <f>'Données Suivi'!B359</f>
        <v/>
      </c>
      <c r="C94" s="600">
        <f>'Données Suivi'!C359</f>
        <v/>
      </c>
      <c r="D94" s="601">
        <f>'Données Suivi'!D359</f>
        <v/>
      </c>
      <c r="E94" s="600">
        <f>'Données Suivi'!E359</f>
        <v/>
      </c>
      <c r="F94" s="600">
        <f>'Données Suivi'!H359</f>
        <v/>
      </c>
      <c r="G94" s="602">
        <f>'Données Suivi'!J359</f>
        <v/>
      </c>
      <c r="H94" s="603">
        <f>'Données Suivi'!K359</f>
        <v/>
      </c>
      <c r="I94" s="600">
        <f>'Données Suivi'!L359</f>
        <v/>
      </c>
    </row>
    <row r="95">
      <c r="A95" s="600">
        <f>'Données Suivi'!A378</f>
        <v/>
      </c>
      <c r="B95" s="600">
        <f>'Données Suivi'!B378</f>
        <v/>
      </c>
      <c r="C95" s="600">
        <f>'Données Suivi'!C378</f>
        <v/>
      </c>
      <c r="D95" s="601">
        <f>'Données Suivi'!D378</f>
        <v/>
      </c>
      <c r="E95" s="600">
        <f>'Données Suivi'!E378</f>
        <v/>
      </c>
      <c r="F95" s="600">
        <f>'Données Suivi'!H378</f>
        <v/>
      </c>
      <c r="G95" s="602">
        <f>'Données Suivi'!J378</f>
        <v/>
      </c>
      <c r="H95" s="603">
        <f>'Données Suivi'!K378</f>
        <v/>
      </c>
      <c r="I95" s="600">
        <f>'Données Suivi'!L378</f>
        <v/>
      </c>
    </row>
    <row r="96">
      <c r="A96" s="600">
        <f>'Données Suivi'!A379</f>
        <v/>
      </c>
      <c r="B96" s="600">
        <f>'Données Suivi'!B379</f>
        <v/>
      </c>
      <c r="C96" s="600">
        <f>'Données Suivi'!C379</f>
        <v/>
      </c>
      <c r="D96" s="601">
        <f>'Données Suivi'!D379</f>
        <v/>
      </c>
      <c r="E96" s="600">
        <f>'Données Suivi'!E379</f>
        <v/>
      </c>
      <c r="F96" s="600">
        <f>'Données Suivi'!H379</f>
        <v/>
      </c>
      <c r="G96" s="602">
        <f>'Données Suivi'!J379</f>
        <v/>
      </c>
      <c r="H96" s="603">
        <f>'Données Suivi'!K379</f>
        <v/>
      </c>
      <c r="I96" s="600">
        <f>'Données Suivi'!L379</f>
        <v/>
      </c>
    </row>
    <row r="97">
      <c r="A97" s="600">
        <f>'Données Suivi'!A430</f>
        <v/>
      </c>
      <c r="B97" s="600">
        <f>'Données Suivi'!B430</f>
        <v/>
      </c>
      <c r="C97" s="600">
        <f>'Données Suivi'!C430</f>
        <v/>
      </c>
      <c r="D97" s="601">
        <f>'Données Suivi'!D430</f>
        <v/>
      </c>
      <c r="E97" s="600">
        <f>'Données Suivi'!E430</f>
        <v/>
      </c>
      <c r="F97" s="600">
        <f>'Données Suivi'!H430</f>
        <v/>
      </c>
      <c r="G97" s="602">
        <f>'Données Suivi'!J430</f>
        <v/>
      </c>
      <c r="H97" s="603">
        <f>'Données Suivi'!K430</f>
        <v/>
      </c>
      <c r="I97" s="600">
        <f>'Données Suivi'!L430</f>
        <v/>
      </c>
    </row>
    <row r="98">
      <c r="A98" s="600">
        <f>'Données Suivi'!A410</f>
        <v/>
      </c>
      <c r="B98" s="600">
        <f>'Données Suivi'!B410</f>
        <v/>
      </c>
      <c r="C98" s="600">
        <f>'Données Suivi'!C410</f>
        <v/>
      </c>
      <c r="D98" s="601">
        <f>'Données Suivi'!D410</f>
        <v/>
      </c>
      <c r="E98" s="600">
        <f>'Données Suivi'!E410</f>
        <v/>
      </c>
      <c r="F98" s="600">
        <f>'Données Suivi'!H410</f>
        <v/>
      </c>
      <c r="G98" s="602">
        <f>'Données Suivi'!J410</f>
        <v/>
      </c>
      <c r="H98" s="603">
        <f>'Données Suivi'!K410</f>
        <v/>
      </c>
      <c r="I98" s="600">
        <f>'Données Suivi'!L410</f>
        <v/>
      </c>
    </row>
    <row r="99">
      <c r="A99" s="600">
        <f>'Données Suivi'!A620</f>
        <v/>
      </c>
      <c r="B99" s="600">
        <f>'Données Suivi'!B620</f>
        <v/>
      </c>
      <c r="C99" s="600">
        <f>'Données Suivi'!C620</f>
        <v/>
      </c>
      <c r="D99" s="601">
        <f>'Données Suivi'!D620</f>
        <v/>
      </c>
      <c r="E99" s="600">
        <f>'Données Suivi'!E620</f>
        <v/>
      </c>
      <c r="F99" s="600">
        <f>'Données Suivi'!H620</f>
        <v/>
      </c>
      <c r="G99" s="602">
        <f>'Données Suivi'!J620</f>
        <v/>
      </c>
      <c r="H99" s="603">
        <f>'Données Suivi'!K620</f>
        <v/>
      </c>
      <c r="I99" s="600">
        <f>'Données Suivi'!L620</f>
        <v/>
      </c>
    </row>
    <row r="100">
      <c r="A100" s="600">
        <f>'Données Suivi'!A557</f>
        <v/>
      </c>
      <c r="B100" s="600">
        <f>'Données Suivi'!B557</f>
        <v/>
      </c>
      <c r="C100" s="600">
        <f>'Données Suivi'!C557</f>
        <v/>
      </c>
      <c r="D100" s="601">
        <f>'Données Suivi'!D557</f>
        <v/>
      </c>
      <c r="E100" s="600">
        <f>'Données Suivi'!E557</f>
        <v/>
      </c>
      <c r="F100" s="600">
        <f>'Données Suivi'!H557</f>
        <v/>
      </c>
      <c r="G100" s="602">
        <f>'Données Suivi'!J557</f>
        <v/>
      </c>
      <c r="H100" s="603">
        <f>'Données Suivi'!K557</f>
        <v/>
      </c>
      <c r="I100" s="600">
        <f>'Données Suivi'!L557</f>
        <v/>
      </c>
    </row>
    <row r="101">
      <c r="A101" s="600">
        <f>'Données Suivi'!A329</f>
        <v/>
      </c>
      <c r="B101" s="600">
        <f>'Données Suivi'!B329</f>
        <v/>
      </c>
      <c r="C101" s="600">
        <f>'Données Suivi'!C329</f>
        <v/>
      </c>
      <c r="D101" s="601">
        <f>'Données Suivi'!D329</f>
        <v/>
      </c>
      <c r="E101" s="600">
        <f>'Données Suivi'!E329</f>
        <v/>
      </c>
      <c r="F101" s="600">
        <f>'Données Suivi'!H329</f>
        <v/>
      </c>
      <c r="G101" s="602">
        <f>'Données Suivi'!J329</f>
        <v/>
      </c>
      <c r="H101" s="603">
        <f>'Données Suivi'!K329</f>
        <v/>
      </c>
      <c r="I101" s="600">
        <f>'Données Suivi'!L329</f>
        <v/>
      </c>
    </row>
    <row r="102">
      <c r="A102" s="600">
        <f>'Données Suivi'!A573</f>
        <v/>
      </c>
      <c r="B102" s="600">
        <f>'Données Suivi'!B573</f>
        <v/>
      </c>
      <c r="C102" s="600">
        <f>'Données Suivi'!C573</f>
        <v/>
      </c>
      <c r="D102" s="601">
        <f>'Données Suivi'!D573</f>
        <v/>
      </c>
      <c r="E102" s="600">
        <f>'Données Suivi'!E573</f>
        <v/>
      </c>
      <c r="F102" s="600">
        <f>'Données Suivi'!H573</f>
        <v/>
      </c>
      <c r="G102" s="602">
        <f>'Données Suivi'!J573</f>
        <v/>
      </c>
      <c r="H102" s="603">
        <f>'Données Suivi'!K573</f>
        <v/>
      </c>
      <c r="I102" s="600">
        <f>'Données Suivi'!L573</f>
        <v/>
      </c>
    </row>
    <row r="103">
      <c r="A103" s="600">
        <f>'Données Suivi'!A574</f>
        <v/>
      </c>
      <c r="B103" s="600">
        <f>'Données Suivi'!B574</f>
        <v/>
      </c>
      <c r="C103" s="600">
        <f>'Données Suivi'!C574</f>
        <v/>
      </c>
      <c r="D103" s="601">
        <f>'Données Suivi'!D574</f>
        <v/>
      </c>
      <c r="E103" s="600">
        <f>'Données Suivi'!E574</f>
        <v/>
      </c>
      <c r="F103" s="600">
        <f>'Données Suivi'!H574</f>
        <v/>
      </c>
      <c r="G103" s="602">
        <f>'Données Suivi'!J574</f>
        <v/>
      </c>
      <c r="H103" s="603">
        <f>'Données Suivi'!K574</f>
        <v/>
      </c>
      <c r="I103" s="600">
        <f>'Données Suivi'!L574</f>
        <v/>
      </c>
    </row>
    <row r="104">
      <c r="A104" s="600">
        <f>'Données Suivi'!A577</f>
        <v/>
      </c>
      <c r="B104" s="600">
        <f>'Données Suivi'!B577</f>
        <v/>
      </c>
      <c r="C104" s="600">
        <f>'Données Suivi'!C577</f>
        <v/>
      </c>
      <c r="D104" s="601">
        <f>'Données Suivi'!D577</f>
        <v/>
      </c>
      <c r="E104" s="600">
        <f>'Données Suivi'!E577</f>
        <v/>
      </c>
      <c r="F104" s="600">
        <f>'Données Suivi'!H577</f>
        <v/>
      </c>
      <c r="G104" s="602">
        <f>'Données Suivi'!J577</f>
        <v/>
      </c>
      <c r="H104" s="603">
        <f>'Données Suivi'!K577</f>
        <v/>
      </c>
      <c r="I104" s="600">
        <f>'Données Suivi'!L577</f>
        <v/>
      </c>
    </row>
    <row r="105">
      <c r="A105" s="600">
        <f>'Données Suivi'!A578</f>
        <v/>
      </c>
      <c r="B105" s="600">
        <f>'Données Suivi'!B578</f>
        <v/>
      </c>
      <c r="C105" s="600">
        <f>'Données Suivi'!C578</f>
        <v/>
      </c>
      <c r="D105" s="601">
        <f>'Données Suivi'!D578</f>
        <v/>
      </c>
      <c r="E105" s="600">
        <f>'Données Suivi'!E578</f>
        <v/>
      </c>
      <c r="F105" s="600">
        <f>'Données Suivi'!H578</f>
        <v/>
      </c>
      <c r="G105" s="602">
        <f>'Données Suivi'!J578</f>
        <v/>
      </c>
      <c r="H105" s="603">
        <f>'Données Suivi'!K578</f>
        <v/>
      </c>
      <c r="I105" s="600">
        <f>'Données Suivi'!L578</f>
        <v/>
      </c>
    </row>
    <row r="106">
      <c r="A106" s="600">
        <f>'Données Suivi'!A579</f>
        <v/>
      </c>
      <c r="B106" s="600">
        <f>'Données Suivi'!B579</f>
        <v/>
      </c>
      <c r="C106" s="600">
        <f>'Données Suivi'!C579</f>
        <v/>
      </c>
      <c r="D106" s="601">
        <f>'Données Suivi'!D579</f>
        <v/>
      </c>
      <c r="E106" s="600">
        <f>'Données Suivi'!E579</f>
        <v/>
      </c>
      <c r="F106" s="600">
        <f>'Données Suivi'!H579</f>
        <v/>
      </c>
      <c r="G106" s="602">
        <f>'Données Suivi'!J579</f>
        <v/>
      </c>
      <c r="H106" s="603">
        <f>'Données Suivi'!K579</f>
        <v/>
      </c>
      <c r="I106" s="600">
        <f>'Données Suivi'!L579</f>
        <v/>
      </c>
    </row>
    <row r="107">
      <c r="A107" s="600">
        <f>'Données Suivi'!A582</f>
        <v/>
      </c>
      <c r="B107" s="600">
        <f>'Données Suivi'!B582</f>
        <v/>
      </c>
      <c r="C107" s="600">
        <f>'Données Suivi'!C582</f>
        <v/>
      </c>
      <c r="D107" s="601">
        <f>'Données Suivi'!D582</f>
        <v/>
      </c>
      <c r="E107" s="600">
        <f>'Données Suivi'!E582</f>
        <v/>
      </c>
      <c r="F107" s="600">
        <f>'Données Suivi'!H582</f>
        <v/>
      </c>
      <c r="G107" s="602">
        <f>'Données Suivi'!J582</f>
        <v/>
      </c>
      <c r="H107" s="603">
        <f>'Données Suivi'!K582</f>
        <v/>
      </c>
      <c r="I107" s="600">
        <f>'Données Suivi'!L582</f>
        <v/>
      </c>
    </row>
    <row r="108">
      <c r="A108" s="600">
        <f>'Données Suivi'!A583</f>
        <v/>
      </c>
      <c r="B108" s="600">
        <f>'Données Suivi'!B583</f>
        <v/>
      </c>
      <c r="C108" s="600">
        <f>'Données Suivi'!C583</f>
        <v/>
      </c>
      <c r="D108" s="601">
        <f>'Données Suivi'!D583</f>
        <v/>
      </c>
      <c r="E108" s="600">
        <f>'Données Suivi'!E583</f>
        <v/>
      </c>
      <c r="F108" s="600">
        <f>'Données Suivi'!H583</f>
        <v/>
      </c>
      <c r="G108" s="602">
        <f>'Données Suivi'!J583</f>
        <v/>
      </c>
      <c r="H108" s="603">
        <f>'Données Suivi'!K583</f>
        <v/>
      </c>
      <c r="I108" s="600">
        <f>'Données Suivi'!L583</f>
        <v/>
      </c>
    </row>
    <row r="109">
      <c r="A109" s="600">
        <f>'Données Suivi'!A584</f>
        <v/>
      </c>
      <c r="B109" s="600">
        <f>'Données Suivi'!B584</f>
        <v/>
      </c>
      <c r="C109" s="600">
        <f>'Données Suivi'!C584</f>
        <v/>
      </c>
      <c r="D109" s="601">
        <f>'Données Suivi'!D584</f>
        <v/>
      </c>
      <c r="E109" s="600">
        <f>'Données Suivi'!E584</f>
        <v/>
      </c>
      <c r="F109" s="600">
        <f>'Données Suivi'!H584</f>
        <v/>
      </c>
      <c r="G109" s="602">
        <f>'Données Suivi'!J584</f>
        <v/>
      </c>
      <c r="H109" s="603">
        <f>'Données Suivi'!K584</f>
        <v/>
      </c>
      <c r="I109" s="600">
        <f>'Données Suivi'!L584</f>
        <v/>
      </c>
    </row>
    <row r="110">
      <c r="A110" s="600">
        <f>'Données Suivi'!A585</f>
        <v/>
      </c>
      <c r="B110" s="600">
        <f>'Données Suivi'!B585</f>
        <v/>
      </c>
      <c r="C110" s="600">
        <f>'Données Suivi'!C585</f>
        <v/>
      </c>
      <c r="D110" s="601">
        <f>'Données Suivi'!D585</f>
        <v/>
      </c>
      <c r="E110" s="600">
        <f>'Données Suivi'!E585</f>
        <v/>
      </c>
      <c r="F110" s="600">
        <f>'Données Suivi'!H585</f>
        <v/>
      </c>
      <c r="G110" s="602">
        <f>'Données Suivi'!J585</f>
        <v/>
      </c>
      <c r="H110" s="603">
        <f>'Données Suivi'!K585</f>
        <v/>
      </c>
      <c r="I110" s="600">
        <f>'Données Suivi'!L585</f>
        <v/>
      </c>
    </row>
    <row r="111">
      <c r="A111" s="600">
        <f>'Données Suivi'!A586</f>
        <v/>
      </c>
      <c r="B111" s="600">
        <f>'Données Suivi'!B586</f>
        <v/>
      </c>
      <c r="C111" s="600">
        <f>'Données Suivi'!C586</f>
        <v/>
      </c>
      <c r="D111" s="601">
        <f>'Données Suivi'!D586</f>
        <v/>
      </c>
      <c r="E111" s="600">
        <f>'Données Suivi'!E586</f>
        <v/>
      </c>
      <c r="F111" s="600">
        <f>'Données Suivi'!H586</f>
        <v/>
      </c>
      <c r="G111" s="602">
        <f>'Données Suivi'!J586</f>
        <v/>
      </c>
      <c r="H111" s="603">
        <f>'Données Suivi'!K586</f>
        <v/>
      </c>
      <c r="I111" s="600">
        <f>'Données Suivi'!L586</f>
        <v/>
      </c>
    </row>
    <row r="112">
      <c r="A112" s="600">
        <f>'Données Suivi'!A587</f>
        <v/>
      </c>
      <c r="B112" s="600">
        <f>'Données Suivi'!B587</f>
        <v/>
      </c>
      <c r="C112" s="600">
        <f>'Données Suivi'!C587</f>
        <v/>
      </c>
      <c r="D112" s="601">
        <f>'Données Suivi'!D587</f>
        <v/>
      </c>
      <c r="E112" s="600">
        <f>'Données Suivi'!E587</f>
        <v/>
      </c>
      <c r="F112" s="600">
        <f>'Données Suivi'!H587</f>
        <v/>
      </c>
      <c r="G112" s="602">
        <f>'Données Suivi'!J587</f>
        <v/>
      </c>
      <c r="H112" s="603">
        <f>'Données Suivi'!K587</f>
        <v/>
      </c>
      <c r="I112" s="600">
        <f>'Données Suivi'!L587</f>
        <v/>
      </c>
    </row>
    <row r="113">
      <c r="A113" s="600">
        <f>'Données Suivi'!A588</f>
        <v/>
      </c>
      <c r="B113" s="600">
        <f>'Données Suivi'!B588</f>
        <v/>
      </c>
      <c r="C113" s="600">
        <f>'Données Suivi'!C588</f>
        <v/>
      </c>
      <c r="D113" s="601">
        <f>'Données Suivi'!D588</f>
        <v/>
      </c>
      <c r="E113" s="600">
        <f>'Données Suivi'!E588</f>
        <v/>
      </c>
      <c r="F113" s="600">
        <f>'Données Suivi'!H588</f>
        <v/>
      </c>
      <c r="G113" s="602">
        <f>'Données Suivi'!J588</f>
        <v/>
      </c>
      <c r="H113" s="603">
        <f>'Données Suivi'!K588</f>
        <v/>
      </c>
      <c r="I113" s="600">
        <f>'Données Suivi'!L588</f>
        <v/>
      </c>
    </row>
    <row r="114">
      <c r="A114" s="600">
        <f>'Données Suivi'!A589</f>
        <v/>
      </c>
      <c r="B114" s="600">
        <f>'Données Suivi'!B589</f>
        <v/>
      </c>
      <c r="C114" s="600">
        <f>'Données Suivi'!C589</f>
        <v/>
      </c>
      <c r="D114" s="601">
        <f>'Données Suivi'!D589</f>
        <v/>
      </c>
      <c r="E114" s="600">
        <f>'Données Suivi'!E589</f>
        <v/>
      </c>
      <c r="F114" s="600">
        <f>'Données Suivi'!H589</f>
        <v/>
      </c>
      <c r="G114" s="602">
        <f>'Données Suivi'!J589</f>
        <v/>
      </c>
      <c r="H114" s="603">
        <f>'Données Suivi'!K589</f>
        <v/>
      </c>
      <c r="I114" s="600">
        <f>'Données Suivi'!L589</f>
        <v/>
      </c>
    </row>
    <row r="115">
      <c r="A115" s="600">
        <f>'Données Suivi'!A590</f>
        <v/>
      </c>
      <c r="B115" s="600">
        <f>'Données Suivi'!B590</f>
        <v/>
      </c>
      <c r="C115" s="600">
        <f>'Données Suivi'!C590</f>
        <v/>
      </c>
      <c r="D115" s="601">
        <f>'Données Suivi'!D590</f>
        <v/>
      </c>
      <c r="E115" s="600">
        <f>'Données Suivi'!E590</f>
        <v/>
      </c>
      <c r="F115" s="600">
        <f>'Données Suivi'!H590</f>
        <v/>
      </c>
      <c r="G115" s="602">
        <f>'Données Suivi'!J590</f>
        <v/>
      </c>
      <c r="H115" s="603">
        <f>'Données Suivi'!K590</f>
        <v/>
      </c>
      <c r="I115" s="600">
        <f>'Données Suivi'!L590</f>
        <v/>
      </c>
    </row>
    <row r="116">
      <c r="A116" s="600">
        <f>'Données Suivi'!A592</f>
        <v/>
      </c>
      <c r="B116" s="600">
        <f>'Données Suivi'!B592</f>
        <v/>
      </c>
      <c r="C116" s="600">
        <f>'Données Suivi'!C592</f>
        <v/>
      </c>
      <c r="D116" s="601">
        <f>'Données Suivi'!D592</f>
        <v/>
      </c>
      <c r="E116" s="600">
        <f>'Données Suivi'!E592</f>
        <v/>
      </c>
      <c r="F116" s="600">
        <f>'Données Suivi'!H592</f>
        <v/>
      </c>
      <c r="G116" s="602">
        <f>'Données Suivi'!J592</f>
        <v/>
      </c>
      <c r="H116" s="603">
        <f>'Données Suivi'!K592</f>
        <v/>
      </c>
      <c r="I116" s="600">
        <f>'Données Suivi'!L592</f>
        <v/>
      </c>
    </row>
    <row r="117">
      <c r="A117" s="600">
        <f>'Données Suivi'!A593</f>
        <v/>
      </c>
      <c r="B117" s="600">
        <f>'Données Suivi'!B593</f>
        <v/>
      </c>
      <c r="C117" s="600">
        <f>'Données Suivi'!C593</f>
        <v/>
      </c>
      <c r="D117" s="601">
        <f>'Données Suivi'!D593</f>
        <v/>
      </c>
      <c r="E117" s="600">
        <f>'Données Suivi'!E593</f>
        <v/>
      </c>
      <c r="F117" s="600">
        <f>'Données Suivi'!H593</f>
        <v/>
      </c>
      <c r="G117" s="602">
        <f>'Données Suivi'!J593</f>
        <v/>
      </c>
      <c r="H117" s="603">
        <f>'Données Suivi'!K593</f>
        <v/>
      </c>
      <c r="I117" s="600">
        <f>'Données Suivi'!L593</f>
        <v/>
      </c>
    </row>
    <row r="118">
      <c r="A118" s="600">
        <f>'Données Suivi'!A563</f>
        <v/>
      </c>
      <c r="B118" s="600">
        <f>'Données Suivi'!B563</f>
        <v/>
      </c>
      <c r="C118" s="600">
        <f>'Données Suivi'!C563</f>
        <v/>
      </c>
      <c r="D118" s="601">
        <f>'Données Suivi'!D563</f>
        <v/>
      </c>
      <c r="E118" s="600">
        <f>'Données Suivi'!E563</f>
        <v/>
      </c>
      <c r="F118" s="600">
        <f>'Données Suivi'!H563</f>
        <v/>
      </c>
      <c r="G118" s="602">
        <f>'Données Suivi'!J563</f>
        <v/>
      </c>
      <c r="H118" s="603">
        <f>'Données Suivi'!K563</f>
        <v/>
      </c>
      <c r="I118" s="600">
        <f>'Données Suivi'!L563</f>
        <v/>
      </c>
    </row>
    <row r="119">
      <c r="A119" s="600">
        <f>'Données Suivi'!A572</f>
        <v/>
      </c>
      <c r="B119" s="600">
        <f>'Données Suivi'!B572</f>
        <v/>
      </c>
      <c r="C119" s="600">
        <f>'Données Suivi'!C572</f>
        <v/>
      </c>
      <c r="D119" s="601">
        <f>'Données Suivi'!D572</f>
        <v/>
      </c>
      <c r="E119" s="600">
        <f>'Données Suivi'!E572</f>
        <v/>
      </c>
      <c r="F119" s="600">
        <f>'Données Suivi'!H572</f>
        <v/>
      </c>
      <c r="G119" s="602">
        <f>'Données Suivi'!J572</f>
        <v/>
      </c>
      <c r="H119" s="603">
        <f>'Données Suivi'!K572</f>
        <v/>
      </c>
      <c r="I119" s="600">
        <f>'Données Suivi'!L572</f>
        <v/>
      </c>
    </row>
    <row r="120">
      <c r="A120" s="600">
        <f>'Données Suivi'!A598</f>
        <v/>
      </c>
      <c r="B120" s="600">
        <f>'Données Suivi'!B598</f>
        <v/>
      </c>
      <c r="C120" s="600">
        <f>'Données Suivi'!C598</f>
        <v/>
      </c>
      <c r="D120" s="601">
        <f>'Données Suivi'!D598</f>
        <v/>
      </c>
      <c r="E120" s="600">
        <f>'Données Suivi'!E598</f>
        <v/>
      </c>
      <c r="F120" s="600">
        <f>'Données Suivi'!H598</f>
        <v/>
      </c>
      <c r="G120" s="602">
        <f>'Données Suivi'!J598</f>
        <v/>
      </c>
      <c r="H120" s="603">
        <f>'Données Suivi'!K598</f>
        <v/>
      </c>
      <c r="I120" s="600">
        <f>'Données Suivi'!L598</f>
        <v/>
      </c>
    </row>
    <row r="121">
      <c r="A121" s="600">
        <f>'Données Suivi'!A434</f>
        <v/>
      </c>
      <c r="B121" s="600">
        <f>'Données Suivi'!B434</f>
        <v/>
      </c>
      <c r="C121" s="600">
        <f>'Données Suivi'!C434</f>
        <v/>
      </c>
      <c r="D121" s="601">
        <f>'Données Suivi'!D434</f>
        <v/>
      </c>
      <c r="E121" s="600">
        <f>'Données Suivi'!E434</f>
        <v/>
      </c>
      <c r="F121" s="600">
        <f>'Données Suivi'!H434</f>
        <v/>
      </c>
      <c r="G121" s="602">
        <f>'Données Suivi'!J434</f>
        <v/>
      </c>
      <c r="H121" s="603">
        <f>'Données Suivi'!K434</f>
        <v/>
      </c>
      <c r="I121" s="600">
        <f>'Données Suivi'!L434</f>
        <v/>
      </c>
    </row>
    <row r="122">
      <c r="A122" s="600">
        <f>'Données Suivi'!A560</f>
        <v/>
      </c>
      <c r="B122" s="600">
        <f>'Données Suivi'!B560</f>
        <v/>
      </c>
      <c r="C122" s="600">
        <f>'Données Suivi'!C560</f>
        <v/>
      </c>
      <c r="D122" s="601">
        <f>'Données Suivi'!D560</f>
        <v/>
      </c>
      <c r="E122" s="600">
        <f>'Données Suivi'!E560</f>
        <v/>
      </c>
      <c r="F122" s="600">
        <f>'Données Suivi'!H560</f>
        <v/>
      </c>
      <c r="G122" s="602">
        <f>'Données Suivi'!J560</f>
        <v/>
      </c>
      <c r="H122" s="603">
        <f>'Données Suivi'!K560</f>
        <v/>
      </c>
      <c r="I122" s="600">
        <f>'Données Suivi'!L560</f>
        <v/>
      </c>
    </row>
    <row r="123">
      <c r="A123" s="600">
        <f>'Données Suivi'!A601</f>
        <v/>
      </c>
      <c r="B123" s="600">
        <f>'Données Suivi'!B601</f>
        <v/>
      </c>
      <c r="C123" s="600">
        <f>'Données Suivi'!C601</f>
        <v/>
      </c>
      <c r="D123" s="601">
        <f>'Données Suivi'!D601</f>
        <v/>
      </c>
      <c r="E123" s="600">
        <f>'Données Suivi'!E601</f>
        <v/>
      </c>
      <c r="F123" s="600">
        <f>'Données Suivi'!H601</f>
        <v/>
      </c>
      <c r="G123" s="602">
        <f>'Données Suivi'!J601</f>
        <v/>
      </c>
      <c r="H123" s="603">
        <f>'Données Suivi'!K601</f>
        <v/>
      </c>
      <c r="I123" s="600">
        <f>'Données Suivi'!L601</f>
        <v/>
      </c>
    </row>
    <row r="124">
      <c r="A124" s="600">
        <f>'Données Suivi'!A602</f>
        <v/>
      </c>
      <c r="B124" s="600">
        <f>'Données Suivi'!B602</f>
        <v/>
      </c>
      <c r="C124" s="600">
        <f>'Données Suivi'!C602</f>
        <v/>
      </c>
      <c r="D124" s="601">
        <f>'Données Suivi'!D602</f>
        <v/>
      </c>
      <c r="E124" s="600">
        <f>'Données Suivi'!E602</f>
        <v/>
      </c>
      <c r="F124" s="600">
        <f>'Données Suivi'!H602</f>
        <v/>
      </c>
      <c r="G124" s="602">
        <f>'Données Suivi'!J602</f>
        <v/>
      </c>
      <c r="H124" s="603">
        <f>'Données Suivi'!K602</f>
        <v/>
      </c>
      <c r="I124" s="600">
        <f>'Données Suivi'!L602</f>
        <v/>
      </c>
    </row>
    <row r="125">
      <c r="A125" s="600">
        <f>'Données Suivi'!A608</f>
        <v/>
      </c>
      <c r="B125" s="600">
        <f>'Données Suivi'!B608</f>
        <v/>
      </c>
      <c r="C125" s="600">
        <f>'Données Suivi'!C608</f>
        <v/>
      </c>
      <c r="D125" s="601">
        <f>'Données Suivi'!D608</f>
        <v/>
      </c>
      <c r="E125" s="600">
        <f>'Données Suivi'!E608</f>
        <v/>
      </c>
      <c r="F125" s="600">
        <f>'Données Suivi'!H608</f>
        <v/>
      </c>
      <c r="G125" s="602">
        <f>'Données Suivi'!J608</f>
        <v/>
      </c>
      <c r="H125" s="603">
        <f>'Données Suivi'!K608</f>
        <v/>
      </c>
      <c r="I125" s="600">
        <f>'Données Suivi'!L608</f>
        <v/>
      </c>
    </row>
    <row r="126">
      <c r="A126" s="600">
        <f>'Données Suivi'!A614</f>
        <v/>
      </c>
      <c r="B126" s="600">
        <f>'Données Suivi'!B614</f>
        <v/>
      </c>
      <c r="C126" s="600">
        <f>'Données Suivi'!C614</f>
        <v/>
      </c>
      <c r="D126" s="601">
        <f>'Données Suivi'!D614</f>
        <v/>
      </c>
      <c r="E126" s="600">
        <f>'Données Suivi'!E614</f>
        <v/>
      </c>
      <c r="F126" s="600">
        <f>'Données Suivi'!H614</f>
        <v/>
      </c>
      <c r="G126" s="602">
        <f>'Données Suivi'!J614</f>
        <v/>
      </c>
      <c r="H126" s="603">
        <f>'Données Suivi'!K614</f>
        <v/>
      </c>
      <c r="I126" s="600">
        <f>'Données Suivi'!L614</f>
        <v/>
      </c>
    </row>
    <row r="127">
      <c r="A127" s="600">
        <f>'Données Suivi'!A615</f>
        <v/>
      </c>
      <c r="B127" s="600">
        <f>'Données Suivi'!B615</f>
        <v/>
      </c>
      <c r="C127" s="600">
        <f>'Données Suivi'!C615</f>
        <v/>
      </c>
      <c r="D127" s="601">
        <f>'Données Suivi'!D615</f>
        <v/>
      </c>
      <c r="E127" s="600">
        <f>'Données Suivi'!E615</f>
        <v/>
      </c>
      <c r="F127" s="600">
        <f>'Données Suivi'!H615</f>
        <v/>
      </c>
      <c r="G127" s="602">
        <f>'Données Suivi'!J615</f>
        <v/>
      </c>
      <c r="H127" s="603">
        <f>'Données Suivi'!K615</f>
        <v/>
      </c>
      <c r="I127" s="600">
        <f>'Données Suivi'!L615</f>
        <v/>
      </c>
    </row>
    <row r="128">
      <c r="A128" s="600">
        <f>'Données Suivi'!A547</f>
        <v/>
      </c>
      <c r="B128" s="600">
        <f>'Données Suivi'!B547</f>
        <v/>
      </c>
      <c r="C128" s="600">
        <f>'Données Suivi'!C547</f>
        <v/>
      </c>
      <c r="D128" s="601">
        <f>'Données Suivi'!D547</f>
        <v/>
      </c>
      <c r="E128" s="600">
        <f>'Données Suivi'!E547</f>
        <v/>
      </c>
      <c r="F128" s="600">
        <f>'Données Suivi'!H547</f>
        <v/>
      </c>
      <c r="G128" s="602">
        <f>'Données Suivi'!J547</f>
        <v/>
      </c>
      <c r="H128" s="603">
        <f>'Données Suivi'!K547</f>
        <v/>
      </c>
      <c r="I128" s="600">
        <f>'Données Suivi'!L547</f>
        <v/>
      </c>
    </row>
    <row r="129">
      <c r="A129" s="600">
        <f>'Données Suivi'!A619</f>
        <v/>
      </c>
      <c r="B129" s="600">
        <f>'Données Suivi'!B619</f>
        <v/>
      </c>
      <c r="C129" s="600">
        <f>'Données Suivi'!C619</f>
        <v/>
      </c>
      <c r="D129" s="601">
        <f>'Données Suivi'!D619</f>
        <v/>
      </c>
      <c r="E129" s="600">
        <f>'Données Suivi'!E619</f>
        <v/>
      </c>
      <c r="F129" s="600">
        <f>'Données Suivi'!H619</f>
        <v/>
      </c>
      <c r="G129" s="602">
        <f>'Données Suivi'!J619</f>
        <v/>
      </c>
      <c r="H129" s="603">
        <f>'Données Suivi'!K619</f>
        <v/>
      </c>
      <c r="I129" s="600">
        <f>'Données Suivi'!L619</f>
        <v/>
      </c>
    </row>
    <row r="130">
      <c r="A130" s="600">
        <f>'Données Suivi'!A622</f>
        <v/>
      </c>
      <c r="B130" s="600">
        <f>'Données Suivi'!B622</f>
        <v/>
      </c>
      <c r="C130" s="600">
        <f>'Données Suivi'!C622</f>
        <v/>
      </c>
      <c r="D130" s="601">
        <f>'Données Suivi'!D622</f>
        <v/>
      </c>
      <c r="E130" s="600">
        <f>'Données Suivi'!E622</f>
        <v/>
      </c>
      <c r="F130" s="600">
        <f>'Données Suivi'!H622</f>
        <v/>
      </c>
      <c r="G130" s="602">
        <f>'Données Suivi'!J622</f>
        <v/>
      </c>
      <c r="H130" s="603">
        <f>'Données Suivi'!K622</f>
        <v/>
      </c>
      <c r="I130" s="600">
        <f>'Données Suivi'!L622</f>
        <v/>
      </c>
    </row>
    <row r="131">
      <c r="A131" s="600">
        <f>'Données Suivi'!A664</f>
        <v/>
      </c>
      <c r="B131" s="600">
        <f>'Données Suivi'!B664</f>
        <v/>
      </c>
      <c r="C131" s="600">
        <f>'Données Suivi'!C664</f>
        <v/>
      </c>
      <c r="D131" s="601">
        <f>'Données Suivi'!D664</f>
        <v/>
      </c>
      <c r="E131" s="600">
        <f>'Données Suivi'!E664</f>
        <v/>
      </c>
      <c r="F131" s="600">
        <f>'Données Suivi'!H664</f>
        <v/>
      </c>
      <c r="G131" s="602">
        <f>'Données Suivi'!J664</f>
        <v/>
      </c>
      <c r="H131" s="603">
        <f>'Données Suivi'!K664</f>
        <v/>
      </c>
      <c r="I131" s="600">
        <f>'Données Suivi'!L664</f>
        <v/>
      </c>
    </row>
    <row r="132">
      <c r="A132" s="600">
        <f>'Données Suivi'!A665</f>
        <v/>
      </c>
      <c r="B132" s="600">
        <f>'Données Suivi'!B665</f>
        <v/>
      </c>
      <c r="C132" s="600">
        <f>'Données Suivi'!C665</f>
        <v/>
      </c>
      <c r="D132" s="601">
        <f>'Données Suivi'!D665</f>
        <v/>
      </c>
      <c r="E132" s="600">
        <f>'Données Suivi'!E665</f>
        <v/>
      </c>
      <c r="F132" s="600">
        <f>'Données Suivi'!H665</f>
        <v/>
      </c>
      <c r="G132" s="602">
        <f>'Données Suivi'!J665</f>
        <v/>
      </c>
      <c r="H132" s="603">
        <f>'Données Suivi'!K665</f>
        <v/>
      </c>
      <c r="I132" s="600">
        <f>'Données Suivi'!L665</f>
        <v/>
      </c>
    </row>
    <row r="133">
      <c r="A133" s="600">
        <f>'Données Suivi'!A666</f>
        <v/>
      </c>
      <c r="B133" s="600">
        <f>'Données Suivi'!B666</f>
        <v/>
      </c>
      <c r="C133" s="600">
        <f>'Données Suivi'!C666</f>
        <v/>
      </c>
      <c r="D133" s="601">
        <f>'Données Suivi'!D666</f>
        <v/>
      </c>
      <c r="E133" s="600">
        <f>'Données Suivi'!E666</f>
        <v/>
      </c>
      <c r="F133" s="600">
        <f>'Données Suivi'!H666</f>
        <v/>
      </c>
      <c r="G133" s="602">
        <f>'Données Suivi'!J666</f>
        <v/>
      </c>
      <c r="H133" s="603">
        <f>'Données Suivi'!K666</f>
        <v/>
      </c>
      <c r="I133" s="600">
        <f>'Données Suivi'!L666</f>
        <v/>
      </c>
    </row>
    <row r="134">
      <c r="A134" s="600">
        <f>'Données Suivi'!A667</f>
        <v/>
      </c>
      <c r="B134" s="600">
        <f>'Données Suivi'!B667</f>
        <v/>
      </c>
      <c r="C134" s="600">
        <f>'Données Suivi'!C667</f>
        <v/>
      </c>
      <c r="D134" s="601">
        <f>'Données Suivi'!D667</f>
        <v/>
      </c>
      <c r="E134" s="600">
        <f>'Données Suivi'!E667</f>
        <v/>
      </c>
      <c r="F134" s="600">
        <f>'Données Suivi'!H667</f>
        <v/>
      </c>
      <c r="G134" s="602">
        <f>'Données Suivi'!J667</f>
        <v/>
      </c>
      <c r="H134" s="603">
        <f>'Données Suivi'!K667</f>
        <v/>
      </c>
      <c r="I134" s="600">
        <f>'Données Suivi'!L667</f>
        <v/>
      </c>
    </row>
    <row r="135">
      <c r="A135" s="600">
        <f>'Données Suivi'!A668</f>
        <v/>
      </c>
      <c r="B135" s="600">
        <f>'Données Suivi'!B668</f>
        <v/>
      </c>
      <c r="C135" s="600">
        <f>'Données Suivi'!C668</f>
        <v/>
      </c>
      <c r="D135" s="601">
        <f>'Données Suivi'!D668</f>
        <v/>
      </c>
      <c r="E135" s="600">
        <f>'Données Suivi'!E668</f>
        <v/>
      </c>
      <c r="F135" s="600">
        <f>'Données Suivi'!H668</f>
        <v/>
      </c>
      <c r="G135" s="602">
        <f>'Données Suivi'!J668</f>
        <v/>
      </c>
      <c r="H135" s="603">
        <f>'Données Suivi'!K668</f>
        <v/>
      </c>
      <c r="I135" s="600">
        <f>'Données Suivi'!L668</f>
        <v/>
      </c>
    </row>
    <row r="136">
      <c r="A136" s="600">
        <f>'Données Suivi'!A669</f>
        <v/>
      </c>
      <c r="B136" s="600">
        <f>'Données Suivi'!B669</f>
        <v/>
      </c>
      <c r="C136" s="600">
        <f>'Données Suivi'!C669</f>
        <v/>
      </c>
      <c r="D136" s="601">
        <f>'Données Suivi'!D669</f>
        <v/>
      </c>
      <c r="E136" s="600">
        <f>'Données Suivi'!E669</f>
        <v/>
      </c>
      <c r="F136" s="600">
        <f>'Données Suivi'!H669</f>
        <v/>
      </c>
      <c r="G136" s="602">
        <f>'Données Suivi'!J669</f>
        <v/>
      </c>
      <c r="H136" s="603">
        <f>'Données Suivi'!K669</f>
        <v/>
      </c>
      <c r="I136" s="600">
        <f>'Données Suivi'!L669</f>
        <v/>
      </c>
    </row>
    <row r="137">
      <c r="A137" s="600">
        <f>'Données Suivi'!A670</f>
        <v/>
      </c>
      <c r="B137" s="600">
        <f>'Données Suivi'!B670</f>
        <v/>
      </c>
      <c r="C137" s="600">
        <f>'Données Suivi'!C670</f>
        <v/>
      </c>
      <c r="D137" s="601">
        <f>'Données Suivi'!D670</f>
        <v/>
      </c>
      <c r="E137" s="600">
        <f>'Données Suivi'!E670</f>
        <v/>
      </c>
      <c r="F137" s="600">
        <f>'Données Suivi'!H670</f>
        <v/>
      </c>
      <c r="G137" s="602">
        <f>'Données Suivi'!J670</f>
        <v/>
      </c>
      <c r="H137" s="603">
        <f>'Données Suivi'!K670</f>
        <v/>
      </c>
      <c r="I137" s="600">
        <f>'Données Suivi'!L670</f>
        <v/>
      </c>
    </row>
    <row r="138">
      <c r="A138" s="600">
        <f>'Données Suivi'!A671</f>
        <v/>
      </c>
      <c r="B138" s="600">
        <f>'Données Suivi'!B671</f>
        <v/>
      </c>
      <c r="C138" s="600">
        <f>'Données Suivi'!C671</f>
        <v/>
      </c>
      <c r="D138" s="601">
        <f>'Données Suivi'!D671</f>
        <v/>
      </c>
      <c r="E138" s="600">
        <f>'Données Suivi'!E671</f>
        <v/>
      </c>
      <c r="F138" s="600">
        <f>'Données Suivi'!H671</f>
        <v/>
      </c>
      <c r="G138" s="602">
        <f>'Données Suivi'!J671</f>
        <v/>
      </c>
      <c r="H138" s="603">
        <f>'Données Suivi'!K671</f>
        <v/>
      </c>
      <c r="I138" s="600">
        <f>'Données Suivi'!L671</f>
        <v/>
      </c>
    </row>
    <row r="139">
      <c r="A139" s="600">
        <f>'Données Suivi'!A672</f>
        <v/>
      </c>
      <c r="B139" s="600">
        <f>'Données Suivi'!B672</f>
        <v/>
      </c>
      <c r="C139" s="600">
        <f>'Données Suivi'!C672</f>
        <v/>
      </c>
      <c r="D139" s="601">
        <f>'Données Suivi'!D672</f>
        <v/>
      </c>
      <c r="E139" s="600">
        <f>'Données Suivi'!E672</f>
        <v/>
      </c>
      <c r="F139" s="600">
        <f>'Données Suivi'!H672</f>
        <v/>
      </c>
      <c r="G139" s="602">
        <f>'Données Suivi'!J672</f>
        <v/>
      </c>
      <c r="H139" s="603">
        <f>'Données Suivi'!K672</f>
        <v/>
      </c>
      <c r="I139" s="600">
        <f>'Données Suivi'!L672</f>
        <v/>
      </c>
    </row>
    <row r="140">
      <c r="A140" s="600">
        <f>'Données Suivi'!A57</f>
        <v/>
      </c>
      <c r="B140" s="600">
        <f>'Données Suivi'!B57</f>
        <v/>
      </c>
      <c r="C140" s="600">
        <f>'Données Suivi'!C57</f>
        <v/>
      </c>
      <c r="D140" s="601">
        <f>'Données Suivi'!D57</f>
        <v/>
      </c>
      <c r="E140" s="600">
        <f>'Données Suivi'!E57</f>
        <v/>
      </c>
      <c r="F140" s="600">
        <f>'Données Suivi'!H57</f>
        <v/>
      </c>
      <c r="G140" s="602">
        <f>'Données Suivi'!J57</f>
        <v/>
      </c>
      <c r="H140" s="603">
        <f>'Données Suivi'!K57</f>
        <v/>
      </c>
      <c r="I140" s="600">
        <f>'Données Suivi'!L57</f>
        <v/>
      </c>
    </row>
    <row r="141">
      <c r="A141" s="600">
        <f>'Données Suivi'!A58</f>
        <v/>
      </c>
      <c r="B141" s="600">
        <f>'Données Suivi'!B58</f>
        <v/>
      </c>
      <c r="C141" s="600">
        <f>'Données Suivi'!C58</f>
        <v/>
      </c>
      <c r="D141" s="601">
        <f>'Données Suivi'!D58</f>
        <v/>
      </c>
      <c r="E141" s="600">
        <f>'Données Suivi'!E58</f>
        <v/>
      </c>
      <c r="F141" s="600">
        <f>'Données Suivi'!H58</f>
        <v/>
      </c>
      <c r="G141" s="602">
        <f>'Données Suivi'!J58</f>
        <v/>
      </c>
      <c r="H141" s="603">
        <f>'Données Suivi'!K58</f>
        <v/>
      </c>
      <c r="I141" s="600">
        <f>'Données Suivi'!L58</f>
        <v/>
      </c>
    </row>
    <row r="142">
      <c r="A142" s="600">
        <f>'Données Suivi'!A363</f>
        <v/>
      </c>
      <c r="B142" s="600">
        <f>'Données Suivi'!B363</f>
        <v/>
      </c>
      <c r="C142" s="600">
        <f>'Données Suivi'!C363</f>
        <v/>
      </c>
      <c r="D142" s="601">
        <f>'Données Suivi'!D363</f>
        <v/>
      </c>
      <c r="E142" s="600">
        <f>'Données Suivi'!E363</f>
        <v/>
      </c>
      <c r="F142" s="600">
        <f>'Données Suivi'!H363</f>
        <v/>
      </c>
      <c r="G142" s="602">
        <f>'Données Suivi'!J363</f>
        <v/>
      </c>
      <c r="H142" s="603">
        <f>'Données Suivi'!K363</f>
        <v/>
      </c>
      <c r="I142" s="600">
        <f>'Données Suivi'!L363</f>
        <v/>
      </c>
    </row>
    <row r="143">
      <c r="A143" s="600">
        <f>'Données Suivi'!A559</f>
        <v/>
      </c>
      <c r="B143" s="600">
        <f>'Données Suivi'!B559</f>
        <v/>
      </c>
      <c r="C143" s="600">
        <f>'Données Suivi'!C559</f>
        <v/>
      </c>
      <c r="D143" s="601">
        <f>'Données Suivi'!D559</f>
        <v/>
      </c>
      <c r="E143" s="600">
        <f>'Données Suivi'!E559</f>
        <v/>
      </c>
      <c r="F143" s="600">
        <f>'Données Suivi'!H559</f>
        <v/>
      </c>
      <c r="G143" s="602">
        <f>'Données Suivi'!J559</f>
        <v/>
      </c>
      <c r="H143" s="603">
        <f>'Données Suivi'!K559</f>
        <v/>
      </c>
      <c r="I143" s="600">
        <f>'Données Suivi'!L559</f>
        <v/>
      </c>
    </row>
    <row r="144">
      <c r="A144" s="600">
        <f>'Données Suivi'!A564</f>
        <v/>
      </c>
      <c r="B144" s="600">
        <f>'Données Suivi'!B564</f>
        <v/>
      </c>
      <c r="C144" s="600">
        <f>'Données Suivi'!C564</f>
        <v/>
      </c>
      <c r="D144" s="601">
        <f>'Données Suivi'!D564</f>
        <v/>
      </c>
      <c r="E144" s="600">
        <f>'Données Suivi'!E564</f>
        <v/>
      </c>
      <c r="F144" s="600">
        <f>'Données Suivi'!H564</f>
        <v/>
      </c>
      <c r="G144" s="602">
        <f>'Données Suivi'!J564</f>
        <v/>
      </c>
      <c r="H144" s="603">
        <f>'Données Suivi'!K564</f>
        <v/>
      </c>
      <c r="I144" s="600">
        <f>'Données Suivi'!L564</f>
        <v/>
      </c>
    </row>
    <row r="145">
      <c r="A145" s="600">
        <f>'Données Suivi'!A567</f>
        <v/>
      </c>
      <c r="B145" s="600">
        <f>'Données Suivi'!B567</f>
        <v/>
      </c>
      <c r="C145" s="600">
        <f>'Données Suivi'!C567</f>
        <v/>
      </c>
      <c r="D145" s="601">
        <f>'Données Suivi'!D567</f>
        <v/>
      </c>
      <c r="E145" s="600">
        <f>'Données Suivi'!E567</f>
        <v/>
      </c>
      <c r="F145" s="600">
        <f>'Données Suivi'!H567</f>
        <v/>
      </c>
      <c r="G145" s="602">
        <f>'Données Suivi'!J567</f>
        <v/>
      </c>
      <c r="H145" s="603">
        <f>'Données Suivi'!K567</f>
        <v/>
      </c>
      <c r="I145" s="600">
        <f>'Données Suivi'!L567</f>
        <v/>
      </c>
    </row>
    <row r="146">
      <c r="A146" s="600">
        <f>'Données Suivi'!A603</f>
        <v/>
      </c>
      <c r="B146" s="600">
        <f>'Données Suivi'!B603</f>
        <v/>
      </c>
      <c r="C146" s="600">
        <f>'Données Suivi'!C603</f>
        <v/>
      </c>
      <c r="D146" s="601">
        <f>'Données Suivi'!D603</f>
        <v/>
      </c>
      <c r="E146" s="600">
        <f>'Données Suivi'!E603</f>
        <v/>
      </c>
      <c r="F146" s="600">
        <f>'Données Suivi'!H603</f>
        <v/>
      </c>
      <c r="G146" s="602">
        <f>'Données Suivi'!J603</f>
        <v/>
      </c>
      <c r="H146" s="603">
        <f>'Données Suivi'!K603</f>
        <v/>
      </c>
      <c r="I146" s="600">
        <f>'Données Suivi'!L603</f>
        <v/>
      </c>
    </row>
    <row r="147">
      <c r="A147" s="600">
        <f>'Données Suivi'!A604</f>
        <v/>
      </c>
      <c r="B147" s="600">
        <f>'Données Suivi'!B604</f>
        <v/>
      </c>
      <c r="C147" s="600">
        <f>'Données Suivi'!C604</f>
        <v/>
      </c>
      <c r="D147" s="601">
        <f>'Données Suivi'!D604</f>
        <v/>
      </c>
      <c r="E147" s="600">
        <f>'Données Suivi'!E604</f>
        <v/>
      </c>
      <c r="F147" s="600">
        <f>'Données Suivi'!H604</f>
        <v/>
      </c>
      <c r="G147" s="602">
        <f>'Données Suivi'!J604</f>
        <v/>
      </c>
      <c r="H147" s="603">
        <f>'Données Suivi'!K604</f>
        <v/>
      </c>
      <c r="I147" s="600">
        <f>'Données Suivi'!L604</f>
        <v/>
      </c>
    </row>
    <row r="148">
      <c r="A148" s="600">
        <f>'Données Suivi'!A607</f>
        <v/>
      </c>
      <c r="B148" s="600">
        <f>'Données Suivi'!B607</f>
        <v/>
      </c>
      <c r="C148" s="600">
        <f>'Données Suivi'!C607</f>
        <v/>
      </c>
      <c r="D148" s="601">
        <f>'Données Suivi'!D607</f>
        <v/>
      </c>
      <c r="E148" s="600">
        <f>'Données Suivi'!E607</f>
        <v/>
      </c>
      <c r="F148" s="600">
        <f>'Données Suivi'!H607</f>
        <v/>
      </c>
      <c r="G148" s="602">
        <f>'Données Suivi'!J607</f>
        <v/>
      </c>
      <c r="H148" s="603">
        <f>'Données Suivi'!K607</f>
        <v/>
      </c>
      <c r="I148" s="600">
        <f>'Données Suivi'!L607</f>
        <v/>
      </c>
    </row>
    <row r="149">
      <c r="A149" s="600">
        <f>'Données Suivi'!A610</f>
        <v/>
      </c>
      <c r="B149" s="600">
        <f>'Données Suivi'!B610</f>
        <v/>
      </c>
      <c r="C149" s="600">
        <f>'Données Suivi'!C610</f>
        <v/>
      </c>
      <c r="D149" s="601">
        <f>'Données Suivi'!D610</f>
        <v/>
      </c>
      <c r="E149" s="600">
        <f>'Données Suivi'!E610</f>
        <v/>
      </c>
      <c r="F149" s="600">
        <f>'Données Suivi'!H610</f>
        <v/>
      </c>
      <c r="G149" s="602">
        <f>'Données Suivi'!J610</f>
        <v/>
      </c>
      <c r="H149" s="603">
        <f>'Données Suivi'!K610</f>
        <v/>
      </c>
      <c r="I149" s="600">
        <f>'Données Suivi'!L610</f>
        <v/>
      </c>
    </row>
    <row r="150">
      <c r="A150" s="600">
        <f>'Données Suivi'!A613</f>
        <v/>
      </c>
      <c r="B150" s="600">
        <f>'Données Suivi'!B613</f>
        <v/>
      </c>
      <c r="C150" s="600">
        <f>'Données Suivi'!C613</f>
        <v/>
      </c>
      <c r="D150" s="601">
        <f>'Données Suivi'!D613</f>
        <v/>
      </c>
      <c r="E150" s="600">
        <f>'Données Suivi'!E613</f>
        <v/>
      </c>
      <c r="F150" s="600">
        <f>'Données Suivi'!H613</f>
        <v/>
      </c>
      <c r="G150" s="602">
        <f>'Données Suivi'!J613</f>
        <v/>
      </c>
      <c r="H150" s="603">
        <f>'Données Suivi'!K613</f>
        <v/>
      </c>
      <c r="I150" s="600">
        <f>'Données Suivi'!L613</f>
        <v/>
      </c>
    </row>
    <row r="151">
      <c r="A151" s="600">
        <f>'Données Suivi'!A616</f>
        <v/>
      </c>
      <c r="B151" s="600">
        <f>'Données Suivi'!B616</f>
        <v/>
      </c>
      <c r="C151" s="600">
        <f>'Données Suivi'!C616</f>
        <v/>
      </c>
      <c r="D151" s="601">
        <f>'Données Suivi'!D616</f>
        <v/>
      </c>
      <c r="E151" s="600">
        <f>'Données Suivi'!E616</f>
        <v/>
      </c>
      <c r="F151" s="600">
        <f>'Données Suivi'!H616</f>
        <v/>
      </c>
      <c r="G151" s="602">
        <f>'Données Suivi'!J616</f>
        <v/>
      </c>
      <c r="H151" s="603">
        <f>'Données Suivi'!K616</f>
        <v/>
      </c>
      <c r="I151" s="600">
        <f>'Données Suivi'!L616</f>
        <v/>
      </c>
    </row>
    <row r="152">
      <c r="A152" s="600">
        <f>'Données Suivi'!A617</f>
        <v/>
      </c>
      <c r="B152" s="600">
        <f>'Données Suivi'!B617</f>
        <v/>
      </c>
      <c r="C152" s="600">
        <f>'Données Suivi'!C617</f>
        <v/>
      </c>
      <c r="D152" s="601">
        <f>'Données Suivi'!D617</f>
        <v/>
      </c>
      <c r="E152" s="600">
        <f>'Données Suivi'!E617</f>
        <v/>
      </c>
      <c r="F152" s="600">
        <f>'Données Suivi'!H617</f>
        <v/>
      </c>
      <c r="G152" s="602">
        <f>'Données Suivi'!J617</f>
        <v/>
      </c>
      <c r="H152" s="603">
        <f>'Données Suivi'!K617</f>
        <v/>
      </c>
      <c r="I152" s="600">
        <f>'Données Suivi'!L617</f>
        <v/>
      </c>
    </row>
    <row r="153">
      <c r="A153" s="600">
        <f>'Données Suivi'!A618</f>
        <v/>
      </c>
      <c r="B153" s="600">
        <f>'Données Suivi'!B618</f>
        <v/>
      </c>
      <c r="C153" s="600">
        <f>'Données Suivi'!C618</f>
        <v/>
      </c>
      <c r="D153" s="601">
        <f>'Données Suivi'!D618</f>
        <v/>
      </c>
      <c r="E153" s="600">
        <f>'Données Suivi'!E618</f>
        <v/>
      </c>
      <c r="F153" s="600">
        <f>'Données Suivi'!H618</f>
        <v/>
      </c>
      <c r="G153" s="602">
        <f>'Données Suivi'!J618</f>
        <v/>
      </c>
      <c r="H153" s="603">
        <f>'Données Suivi'!K618</f>
        <v/>
      </c>
      <c r="I153" s="600">
        <f>'Données Suivi'!L618</f>
        <v/>
      </c>
    </row>
    <row r="154">
      <c r="A154" s="600">
        <f>'Données Suivi'!A621</f>
        <v/>
      </c>
      <c r="B154" s="600">
        <f>'Données Suivi'!B621</f>
        <v/>
      </c>
      <c r="C154" s="600">
        <f>'Données Suivi'!C621</f>
        <v/>
      </c>
      <c r="D154" s="601">
        <f>'Données Suivi'!D621</f>
        <v/>
      </c>
      <c r="E154" s="600">
        <f>'Données Suivi'!E621</f>
        <v/>
      </c>
      <c r="F154" s="600">
        <f>'Données Suivi'!H621</f>
        <v/>
      </c>
      <c r="G154" s="602">
        <f>'Données Suivi'!J621</f>
        <v/>
      </c>
      <c r="H154" s="603">
        <f>'Données Suivi'!K621</f>
        <v/>
      </c>
      <c r="I154" s="600">
        <f>'Données Suivi'!L621</f>
        <v/>
      </c>
    </row>
    <row r="155">
      <c r="A155" s="600">
        <f>'Données Suivi'!A623</f>
        <v/>
      </c>
      <c r="B155" s="600">
        <f>'Données Suivi'!B623</f>
        <v/>
      </c>
      <c r="C155" s="600">
        <f>'Données Suivi'!C623</f>
        <v/>
      </c>
      <c r="D155" s="601">
        <f>'Données Suivi'!D623</f>
        <v/>
      </c>
      <c r="E155" s="600">
        <f>'Données Suivi'!E623</f>
        <v/>
      </c>
      <c r="F155" s="600">
        <f>'Données Suivi'!H623</f>
        <v/>
      </c>
      <c r="G155" s="602">
        <f>'Données Suivi'!J623</f>
        <v/>
      </c>
      <c r="H155" s="603">
        <f>'Données Suivi'!K623</f>
        <v/>
      </c>
      <c r="I155" s="600">
        <f>'Données Suivi'!L623</f>
        <v/>
      </c>
    </row>
    <row r="156">
      <c r="A156" s="600">
        <f>'Données Suivi'!A624</f>
        <v/>
      </c>
      <c r="B156" s="600">
        <f>'Données Suivi'!B624</f>
        <v/>
      </c>
      <c r="C156" s="600">
        <f>'Données Suivi'!C624</f>
        <v/>
      </c>
      <c r="D156" s="601">
        <f>'Données Suivi'!D624</f>
        <v/>
      </c>
      <c r="E156" s="600">
        <f>'Données Suivi'!E624</f>
        <v/>
      </c>
      <c r="F156" s="600">
        <f>'Données Suivi'!H624</f>
        <v/>
      </c>
      <c r="G156" s="602">
        <f>'Données Suivi'!J624</f>
        <v/>
      </c>
      <c r="H156" s="603">
        <f>'Données Suivi'!K624</f>
        <v/>
      </c>
      <c r="I156" s="600">
        <f>'Données Suivi'!L624</f>
        <v/>
      </c>
    </row>
    <row r="157">
      <c r="A157" s="600">
        <f>'Données Suivi'!A625</f>
        <v/>
      </c>
      <c r="B157" s="600">
        <f>'Données Suivi'!B625</f>
        <v/>
      </c>
      <c r="C157" s="600">
        <f>'Données Suivi'!C625</f>
        <v/>
      </c>
      <c r="D157" s="601">
        <f>'Données Suivi'!D625</f>
        <v/>
      </c>
      <c r="E157" s="600">
        <f>'Données Suivi'!E625</f>
        <v/>
      </c>
      <c r="F157" s="600">
        <f>'Données Suivi'!H625</f>
        <v/>
      </c>
      <c r="G157" s="602">
        <f>'Données Suivi'!J625</f>
        <v/>
      </c>
      <c r="H157" s="603">
        <f>'Données Suivi'!K625</f>
        <v/>
      </c>
      <c r="I157" s="600">
        <f>'Données Suivi'!L625</f>
        <v/>
      </c>
    </row>
    <row r="158">
      <c r="A158" s="600">
        <f>'Données Suivi'!A626</f>
        <v/>
      </c>
      <c r="B158" s="600">
        <f>'Données Suivi'!B626</f>
        <v/>
      </c>
      <c r="C158" s="600">
        <f>'Données Suivi'!C626</f>
        <v/>
      </c>
      <c r="D158" s="601">
        <f>'Données Suivi'!D626</f>
        <v/>
      </c>
      <c r="E158" s="600">
        <f>'Données Suivi'!E626</f>
        <v/>
      </c>
      <c r="F158" s="600">
        <f>'Données Suivi'!H626</f>
        <v/>
      </c>
      <c r="G158" s="602">
        <f>'Données Suivi'!J626</f>
        <v/>
      </c>
      <c r="H158" s="603">
        <f>'Données Suivi'!K626</f>
        <v/>
      </c>
      <c r="I158" s="600">
        <f>'Données Suivi'!L626</f>
        <v/>
      </c>
    </row>
    <row r="159">
      <c r="A159" s="600">
        <f>'Données Suivi'!A627</f>
        <v/>
      </c>
      <c r="B159" s="600">
        <f>'Données Suivi'!B627</f>
        <v/>
      </c>
      <c r="C159" s="600">
        <f>'Données Suivi'!C627</f>
        <v/>
      </c>
      <c r="D159" s="601">
        <f>'Données Suivi'!D627</f>
        <v/>
      </c>
      <c r="E159" s="600">
        <f>'Données Suivi'!E627</f>
        <v/>
      </c>
      <c r="F159" s="600">
        <f>'Données Suivi'!H627</f>
        <v/>
      </c>
      <c r="G159" s="602">
        <f>'Données Suivi'!J627</f>
        <v/>
      </c>
      <c r="H159" s="603">
        <f>'Données Suivi'!K627</f>
        <v/>
      </c>
      <c r="I159" s="600">
        <f>'Données Suivi'!L627</f>
        <v/>
      </c>
    </row>
    <row r="160">
      <c r="A160" s="600">
        <f>'Données Suivi'!A628</f>
        <v/>
      </c>
      <c r="B160" s="600">
        <f>'Données Suivi'!B628</f>
        <v/>
      </c>
      <c r="C160" s="600">
        <f>'Données Suivi'!C628</f>
        <v/>
      </c>
      <c r="D160" s="601">
        <f>'Données Suivi'!D628</f>
        <v/>
      </c>
      <c r="E160" s="600">
        <f>'Données Suivi'!E628</f>
        <v/>
      </c>
      <c r="F160" s="600">
        <f>'Données Suivi'!H628</f>
        <v/>
      </c>
      <c r="G160" s="602">
        <f>'Données Suivi'!J628</f>
        <v/>
      </c>
      <c r="H160" s="603">
        <f>'Données Suivi'!K628</f>
        <v/>
      </c>
      <c r="I160" s="600">
        <f>'Données Suivi'!L628</f>
        <v/>
      </c>
    </row>
    <row r="161">
      <c r="A161" s="600">
        <f>'Données Suivi'!A629</f>
        <v/>
      </c>
      <c r="B161" s="600">
        <f>'Données Suivi'!B629</f>
        <v/>
      </c>
      <c r="C161" s="600">
        <f>'Données Suivi'!C629</f>
        <v/>
      </c>
      <c r="D161" s="601">
        <f>'Données Suivi'!D629</f>
        <v/>
      </c>
      <c r="E161" s="600">
        <f>'Données Suivi'!E629</f>
        <v/>
      </c>
      <c r="F161" s="600">
        <f>'Données Suivi'!H629</f>
        <v/>
      </c>
      <c r="G161" s="602">
        <f>'Données Suivi'!J629</f>
        <v/>
      </c>
      <c r="H161" s="603">
        <f>'Données Suivi'!K629</f>
        <v/>
      </c>
      <c r="I161" s="600">
        <f>'Données Suivi'!L629</f>
        <v/>
      </c>
    </row>
    <row r="162">
      <c r="A162" s="600">
        <f>'Données Suivi'!A630</f>
        <v/>
      </c>
      <c r="B162" s="600">
        <f>'Données Suivi'!B630</f>
        <v/>
      </c>
      <c r="C162" s="600">
        <f>'Données Suivi'!C630</f>
        <v/>
      </c>
      <c r="D162" s="601">
        <f>'Données Suivi'!D630</f>
        <v/>
      </c>
      <c r="E162" s="600">
        <f>'Données Suivi'!E630</f>
        <v/>
      </c>
      <c r="F162" s="600">
        <f>'Données Suivi'!H630</f>
        <v/>
      </c>
      <c r="G162" s="602">
        <f>'Données Suivi'!J630</f>
        <v/>
      </c>
      <c r="H162" s="603">
        <f>'Données Suivi'!K630</f>
        <v/>
      </c>
      <c r="I162" s="600">
        <f>'Données Suivi'!L630</f>
        <v/>
      </c>
    </row>
    <row r="163">
      <c r="A163" s="600">
        <f>'Données Suivi'!A631</f>
        <v/>
      </c>
      <c r="B163" s="600">
        <f>'Données Suivi'!B631</f>
        <v/>
      </c>
      <c r="C163" s="600">
        <f>'Données Suivi'!C631</f>
        <v/>
      </c>
      <c r="D163" s="601">
        <f>'Données Suivi'!D631</f>
        <v/>
      </c>
      <c r="E163" s="600">
        <f>'Données Suivi'!E631</f>
        <v/>
      </c>
      <c r="F163" s="600">
        <f>'Données Suivi'!H631</f>
        <v/>
      </c>
      <c r="G163" s="602">
        <f>'Données Suivi'!J631</f>
        <v/>
      </c>
      <c r="H163" s="603">
        <f>'Données Suivi'!K631</f>
        <v/>
      </c>
      <c r="I163" s="600">
        <f>'Données Suivi'!L631</f>
        <v/>
      </c>
    </row>
    <row r="164">
      <c r="A164" s="600">
        <f>'Données Suivi'!A642</f>
        <v/>
      </c>
      <c r="B164" s="600">
        <f>'Données Suivi'!B642</f>
        <v/>
      </c>
      <c r="C164" s="600">
        <f>'Données Suivi'!C642</f>
        <v/>
      </c>
      <c r="D164" s="601">
        <f>'Données Suivi'!D642</f>
        <v/>
      </c>
      <c r="E164" s="600">
        <f>'Données Suivi'!E642</f>
        <v/>
      </c>
      <c r="F164" s="600">
        <f>'Données Suivi'!H642</f>
        <v/>
      </c>
      <c r="G164" s="602">
        <f>'Données Suivi'!J642</f>
        <v/>
      </c>
      <c r="H164" s="603">
        <f>'Données Suivi'!K642</f>
        <v/>
      </c>
      <c r="I164" s="600">
        <f>'Données Suivi'!L642</f>
        <v/>
      </c>
    </row>
    <row r="165">
      <c r="A165" s="600">
        <f>'Données Suivi'!A643</f>
        <v/>
      </c>
      <c r="B165" s="600">
        <f>'Données Suivi'!B643</f>
        <v/>
      </c>
      <c r="C165" s="600">
        <f>'Données Suivi'!C643</f>
        <v/>
      </c>
      <c r="D165" s="601">
        <f>'Données Suivi'!D643</f>
        <v/>
      </c>
      <c r="E165" s="600">
        <f>'Données Suivi'!E643</f>
        <v/>
      </c>
      <c r="F165" s="600">
        <f>'Données Suivi'!H643</f>
        <v/>
      </c>
      <c r="G165" s="602">
        <f>'Données Suivi'!J643</f>
        <v/>
      </c>
      <c r="H165" s="603">
        <f>'Données Suivi'!K643</f>
        <v/>
      </c>
      <c r="I165" s="600">
        <f>'Données Suivi'!L643</f>
        <v/>
      </c>
    </row>
    <row r="166">
      <c r="A166" s="600">
        <f>'Données Suivi'!A644</f>
        <v/>
      </c>
      <c r="B166" s="600">
        <f>'Données Suivi'!B644</f>
        <v/>
      </c>
      <c r="C166" s="600">
        <f>'Données Suivi'!C644</f>
        <v/>
      </c>
      <c r="D166" s="601">
        <f>'Données Suivi'!D644</f>
        <v/>
      </c>
      <c r="E166" s="600">
        <f>'Données Suivi'!E644</f>
        <v/>
      </c>
      <c r="F166" s="600">
        <f>'Données Suivi'!H644</f>
        <v/>
      </c>
      <c r="G166" s="602">
        <f>'Données Suivi'!J644</f>
        <v/>
      </c>
      <c r="H166" s="603">
        <f>'Données Suivi'!K644</f>
        <v/>
      </c>
      <c r="I166" s="600">
        <f>'Données Suivi'!L644</f>
        <v/>
      </c>
    </row>
    <row r="167">
      <c r="A167" s="600">
        <f>'Données Suivi'!A645</f>
        <v/>
      </c>
      <c r="B167" s="600">
        <f>'Données Suivi'!B645</f>
        <v/>
      </c>
      <c r="C167" s="600">
        <f>'Données Suivi'!C645</f>
        <v/>
      </c>
      <c r="D167" s="601">
        <f>'Données Suivi'!D645</f>
        <v/>
      </c>
      <c r="E167" s="600">
        <f>'Données Suivi'!E645</f>
        <v/>
      </c>
      <c r="F167" s="600">
        <f>'Données Suivi'!H645</f>
        <v/>
      </c>
      <c r="G167" s="602">
        <f>'Données Suivi'!J645</f>
        <v/>
      </c>
      <c r="H167" s="603">
        <f>'Données Suivi'!K645</f>
        <v/>
      </c>
      <c r="I167" s="600">
        <f>'Données Suivi'!L645</f>
        <v/>
      </c>
    </row>
    <row r="168">
      <c r="A168" s="600">
        <f>'Données Suivi'!A646</f>
        <v/>
      </c>
      <c r="B168" s="600">
        <f>'Données Suivi'!B646</f>
        <v/>
      </c>
      <c r="C168" s="600">
        <f>'Données Suivi'!C646</f>
        <v/>
      </c>
      <c r="D168" s="601">
        <f>'Données Suivi'!D646</f>
        <v/>
      </c>
      <c r="E168" s="600">
        <f>'Données Suivi'!E646</f>
        <v/>
      </c>
      <c r="F168" s="600">
        <f>'Données Suivi'!H646</f>
        <v/>
      </c>
      <c r="G168" s="602">
        <f>'Données Suivi'!J646</f>
        <v/>
      </c>
      <c r="H168" s="603">
        <f>'Données Suivi'!K646</f>
        <v/>
      </c>
      <c r="I168" s="600">
        <f>'Données Suivi'!L646</f>
        <v/>
      </c>
    </row>
    <row r="169">
      <c r="A169" s="600">
        <f>'Données Suivi'!A647</f>
        <v/>
      </c>
      <c r="B169" s="600">
        <f>'Données Suivi'!B647</f>
        <v/>
      </c>
      <c r="C169" s="600">
        <f>'Données Suivi'!C647</f>
        <v/>
      </c>
      <c r="D169" s="601">
        <f>'Données Suivi'!D647</f>
        <v/>
      </c>
      <c r="E169" s="600">
        <f>'Données Suivi'!E647</f>
        <v/>
      </c>
      <c r="F169" s="600">
        <f>'Données Suivi'!H647</f>
        <v/>
      </c>
      <c r="G169" s="602">
        <f>'Données Suivi'!J647</f>
        <v/>
      </c>
      <c r="H169" s="603">
        <f>'Données Suivi'!K647</f>
        <v/>
      </c>
      <c r="I169" s="600">
        <f>'Données Suivi'!L647</f>
        <v/>
      </c>
    </row>
    <row r="170">
      <c r="A170" s="600">
        <f>'Données Suivi'!A648</f>
        <v/>
      </c>
      <c r="B170" s="600">
        <f>'Données Suivi'!B648</f>
        <v/>
      </c>
      <c r="C170" s="600">
        <f>'Données Suivi'!C648</f>
        <v/>
      </c>
      <c r="D170" s="601">
        <f>'Données Suivi'!D648</f>
        <v/>
      </c>
      <c r="E170" s="600">
        <f>'Données Suivi'!E648</f>
        <v/>
      </c>
      <c r="F170" s="600">
        <f>'Données Suivi'!H648</f>
        <v/>
      </c>
      <c r="G170" s="602">
        <f>'Données Suivi'!J648</f>
        <v/>
      </c>
      <c r="H170" s="603">
        <f>'Données Suivi'!K648</f>
        <v/>
      </c>
      <c r="I170" s="600">
        <f>'Données Suivi'!L648</f>
        <v/>
      </c>
    </row>
    <row r="171">
      <c r="A171" s="600">
        <f>'Données Suivi'!A649</f>
        <v/>
      </c>
      <c r="B171" s="600">
        <f>'Données Suivi'!B649</f>
        <v/>
      </c>
      <c r="C171" s="600">
        <f>'Données Suivi'!C649</f>
        <v/>
      </c>
      <c r="D171" s="601">
        <f>'Données Suivi'!D649</f>
        <v/>
      </c>
      <c r="E171" s="600">
        <f>'Données Suivi'!E649</f>
        <v/>
      </c>
      <c r="F171" s="600">
        <f>'Données Suivi'!H649</f>
        <v/>
      </c>
      <c r="G171" s="602">
        <f>'Données Suivi'!J649</f>
        <v/>
      </c>
      <c r="H171" s="603">
        <f>'Données Suivi'!K649</f>
        <v/>
      </c>
      <c r="I171" s="600">
        <f>'Données Suivi'!L649</f>
        <v/>
      </c>
    </row>
    <row r="172">
      <c r="A172" s="600">
        <f>'Données Suivi'!A650</f>
        <v/>
      </c>
      <c r="B172" s="600">
        <f>'Données Suivi'!B650</f>
        <v/>
      </c>
      <c r="C172" s="600">
        <f>'Données Suivi'!C650</f>
        <v/>
      </c>
      <c r="D172" s="601">
        <f>'Données Suivi'!D650</f>
        <v/>
      </c>
      <c r="E172" s="600">
        <f>'Données Suivi'!E650</f>
        <v/>
      </c>
      <c r="F172" s="600">
        <f>'Données Suivi'!H650</f>
        <v/>
      </c>
      <c r="G172" s="602">
        <f>'Données Suivi'!J650</f>
        <v/>
      </c>
      <c r="H172" s="603">
        <f>'Données Suivi'!K650</f>
        <v/>
      </c>
      <c r="I172" s="600">
        <f>'Données Suivi'!L650</f>
        <v/>
      </c>
    </row>
    <row r="173">
      <c r="A173" s="600">
        <f>'Données Suivi'!A651</f>
        <v/>
      </c>
      <c r="B173" s="600">
        <f>'Données Suivi'!B651</f>
        <v/>
      </c>
      <c r="C173" s="600">
        <f>'Données Suivi'!C651</f>
        <v/>
      </c>
      <c r="D173" s="601">
        <f>'Données Suivi'!D651</f>
        <v/>
      </c>
      <c r="E173" s="600">
        <f>'Données Suivi'!E651</f>
        <v/>
      </c>
      <c r="F173" s="600">
        <f>'Données Suivi'!H651</f>
        <v/>
      </c>
      <c r="G173" s="602">
        <f>'Données Suivi'!J651</f>
        <v/>
      </c>
      <c r="H173" s="603">
        <f>'Données Suivi'!K651</f>
        <v/>
      </c>
      <c r="I173" s="600">
        <f>'Données Suivi'!L651</f>
        <v/>
      </c>
    </row>
    <row r="174">
      <c r="A174" s="600">
        <f>'Données Suivi'!A652</f>
        <v/>
      </c>
      <c r="B174" s="600">
        <f>'Données Suivi'!B652</f>
        <v/>
      </c>
      <c r="C174" s="600">
        <f>'Données Suivi'!C652</f>
        <v/>
      </c>
      <c r="D174" s="601">
        <f>'Données Suivi'!D652</f>
        <v/>
      </c>
      <c r="E174" s="600">
        <f>'Données Suivi'!E652</f>
        <v/>
      </c>
      <c r="F174" s="600">
        <f>'Données Suivi'!H652</f>
        <v/>
      </c>
      <c r="G174" s="602">
        <f>'Données Suivi'!J652</f>
        <v/>
      </c>
      <c r="H174" s="603">
        <f>'Données Suivi'!K652</f>
        <v/>
      </c>
      <c r="I174" s="600">
        <f>'Données Suivi'!L652</f>
        <v/>
      </c>
    </row>
    <row r="175">
      <c r="A175" s="600">
        <f>'Données Suivi'!A653</f>
        <v/>
      </c>
      <c r="B175" s="600">
        <f>'Données Suivi'!B653</f>
        <v/>
      </c>
      <c r="C175" s="600">
        <f>'Données Suivi'!C653</f>
        <v/>
      </c>
      <c r="D175" s="601">
        <f>'Données Suivi'!D653</f>
        <v/>
      </c>
      <c r="E175" s="600">
        <f>'Données Suivi'!E653</f>
        <v/>
      </c>
      <c r="F175" s="600">
        <f>'Données Suivi'!H653</f>
        <v/>
      </c>
      <c r="G175" s="602">
        <f>'Données Suivi'!J653</f>
        <v/>
      </c>
      <c r="H175" s="603">
        <f>'Données Suivi'!K653</f>
        <v/>
      </c>
      <c r="I175" s="600">
        <f>'Données Suivi'!L653</f>
        <v/>
      </c>
    </row>
    <row r="176">
      <c r="A176" s="600">
        <f>'Données Suivi'!A654</f>
        <v/>
      </c>
      <c r="B176" s="600">
        <f>'Données Suivi'!B654</f>
        <v/>
      </c>
      <c r="C176" s="600">
        <f>'Données Suivi'!C654</f>
        <v/>
      </c>
      <c r="D176" s="601">
        <f>'Données Suivi'!D654</f>
        <v/>
      </c>
      <c r="E176" s="600">
        <f>'Données Suivi'!E654</f>
        <v/>
      </c>
      <c r="F176" s="600">
        <f>'Données Suivi'!H654</f>
        <v/>
      </c>
      <c r="G176" s="602">
        <f>'Données Suivi'!J654</f>
        <v/>
      </c>
      <c r="H176" s="603">
        <f>'Données Suivi'!K654</f>
        <v/>
      </c>
      <c r="I176" s="600">
        <f>'Données Suivi'!L654</f>
        <v/>
      </c>
    </row>
    <row r="177">
      <c r="A177" s="600">
        <f>'Données Suivi'!A655</f>
        <v/>
      </c>
      <c r="B177" s="600">
        <f>'Données Suivi'!B655</f>
        <v/>
      </c>
      <c r="C177" s="600">
        <f>'Données Suivi'!C655</f>
        <v/>
      </c>
      <c r="D177" s="601">
        <f>'Données Suivi'!D655</f>
        <v/>
      </c>
      <c r="E177" s="600">
        <f>'Données Suivi'!E655</f>
        <v/>
      </c>
      <c r="F177" s="600">
        <f>'Données Suivi'!H655</f>
        <v/>
      </c>
      <c r="G177" s="602">
        <f>'Données Suivi'!J655</f>
        <v/>
      </c>
      <c r="H177" s="603">
        <f>'Données Suivi'!K655</f>
        <v/>
      </c>
      <c r="I177" s="600">
        <f>'Données Suivi'!L655</f>
        <v/>
      </c>
    </row>
    <row r="178">
      <c r="A178" s="600">
        <f>'Données Suivi'!A658</f>
        <v/>
      </c>
      <c r="B178" s="600">
        <f>'Données Suivi'!B658</f>
        <v/>
      </c>
      <c r="C178" s="600">
        <f>'Données Suivi'!C658</f>
        <v/>
      </c>
      <c r="D178" s="601">
        <f>'Données Suivi'!D658</f>
        <v/>
      </c>
      <c r="E178" s="600">
        <f>'Données Suivi'!E658</f>
        <v/>
      </c>
      <c r="F178" s="600">
        <f>'Données Suivi'!H658</f>
        <v/>
      </c>
      <c r="G178" s="602">
        <f>'Données Suivi'!J658</f>
        <v/>
      </c>
      <c r="H178" s="603">
        <f>'Données Suivi'!K658</f>
        <v/>
      </c>
      <c r="I178" s="600">
        <f>'Données Suivi'!L658</f>
        <v/>
      </c>
    </row>
    <row r="179">
      <c r="A179" s="600">
        <f>'Données Suivi'!A659</f>
        <v/>
      </c>
      <c r="B179" s="600">
        <f>'Données Suivi'!B659</f>
        <v/>
      </c>
      <c r="C179" s="600">
        <f>'Données Suivi'!C659</f>
        <v/>
      </c>
      <c r="D179" s="601">
        <f>'Données Suivi'!D659</f>
        <v/>
      </c>
      <c r="E179" s="600">
        <f>'Données Suivi'!E659</f>
        <v/>
      </c>
      <c r="F179" s="600">
        <f>'Données Suivi'!H659</f>
        <v/>
      </c>
      <c r="G179" s="602">
        <f>'Données Suivi'!J659</f>
        <v/>
      </c>
      <c r="H179" s="603">
        <f>'Données Suivi'!K659</f>
        <v/>
      </c>
      <c r="I179" s="600">
        <f>'Données Suivi'!L659</f>
        <v/>
      </c>
    </row>
    <row r="180">
      <c r="A180" s="600">
        <f>'Données Suivi'!A660</f>
        <v/>
      </c>
      <c r="B180" s="600">
        <f>'Données Suivi'!B660</f>
        <v/>
      </c>
      <c r="C180" s="600">
        <f>'Données Suivi'!C660</f>
        <v/>
      </c>
      <c r="D180" s="601">
        <f>'Données Suivi'!D660</f>
        <v/>
      </c>
      <c r="E180" s="600">
        <f>'Données Suivi'!E660</f>
        <v/>
      </c>
      <c r="F180" s="600">
        <f>'Données Suivi'!H660</f>
        <v/>
      </c>
      <c r="G180" s="602">
        <f>'Données Suivi'!J660</f>
        <v/>
      </c>
      <c r="H180" s="603">
        <f>'Données Suivi'!K660</f>
        <v/>
      </c>
      <c r="I180" s="600">
        <f>'Données Suivi'!L660</f>
        <v/>
      </c>
    </row>
    <row r="181">
      <c r="A181" s="600">
        <f>'Données Suivi'!A661</f>
        <v/>
      </c>
      <c r="B181" s="600">
        <f>'Données Suivi'!B661</f>
        <v/>
      </c>
      <c r="C181" s="600">
        <f>'Données Suivi'!C661</f>
        <v/>
      </c>
      <c r="D181" s="601">
        <f>'Données Suivi'!D661</f>
        <v/>
      </c>
      <c r="E181" s="600">
        <f>'Données Suivi'!E661</f>
        <v/>
      </c>
      <c r="F181" s="600">
        <f>'Données Suivi'!H661</f>
        <v/>
      </c>
      <c r="G181" s="602">
        <f>'Données Suivi'!J661</f>
        <v/>
      </c>
      <c r="H181" s="603">
        <f>'Données Suivi'!K661</f>
        <v/>
      </c>
      <c r="I181" s="600">
        <f>'Données Suivi'!L661</f>
        <v/>
      </c>
    </row>
    <row r="182">
      <c r="A182" s="600">
        <f>'Données Suivi'!A662</f>
        <v/>
      </c>
      <c r="B182" s="600">
        <f>'Données Suivi'!B662</f>
        <v/>
      </c>
      <c r="C182" s="600">
        <f>'Données Suivi'!C662</f>
        <v/>
      </c>
      <c r="D182" s="601">
        <f>'Données Suivi'!D662</f>
        <v/>
      </c>
      <c r="E182" s="600">
        <f>'Données Suivi'!E662</f>
        <v/>
      </c>
      <c r="F182" s="600">
        <f>'Données Suivi'!H662</f>
        <v/>
      </c>
      <c r="G182" s="602">
        <f>'Données Suivi'!J662</f>
        <v/>
      </c>
      <c r="H182" s="603">
        <f>'Données Suivi'!K662</f>
        <v/>
      </c>
      <c r="I182" s="600">
        <f>'Données Suivi'!L662</f>
        <v/>
      </c>
    </row>
    <row r="183">
      <c r="A183" s="600">
        <f>'Données Suivi'!A256</f>
        <v/>
      </c>
      <c r="B183" s="600">
        <f>'Données Suivi'!B256</f>
        <v/>
      </c>
      <c r="C183" s="600">
        <f>'Données Suivi'!C256</f>
        <v/>
      </c>
      <c r="D183" s="601">
        <f>'Données Suivi'!D256</f>
        <v/>
      </c>
      <c r="E183" s="600">
        <f>'Données Suivi'!E256</f>
        <v/>
      </c>
      <c r="F183" s="600">
        <f>'Données Suivi'!H256</f>
        <v/>
      </c>
      <c r="G183" s="602">
        <f>'Données Suivi'!J256</f>
        <v/>
      </c>
      <c r="H183" s="603">
        <f>'Données Suivi'!K256</f>
        <v/>
      </c>
      <c r="I183" s="600">
        <f>'Données Suivi'!L256</f>
        <v/>
      </c>
    </row>
    <row r="185" ht="20" customHeight="1" s="392">
      <c r="A185" s="592" t="inlineStr">
        <is>
          <t>Répartition des dossiers par Direction et par Nature Budget — Nombre de dossiers</t>
        </is>
      </c>
    </row>
    <row r="186">
      <c r="A186" s="593" t="inlineStr">
        <is>
          <t>Direction</t>
        </is>
      </c>
      <c r="B186" s="593" t="inlineStr">
        <is>
          <t>FONCTIONNEMENT</t>
        </is>
      </c>
      <c r="C186" s="593" t="inlineStr">
        <is>
          <t>INVESTISSEMENT</t>
        </is>
      </c>
      <c r="D186" s="593" t="inlineStr">
        <is>
          <t>TOTAL</t>
        </is>
      </c>
    </row>
    <row r="187">
      <c r="A187" s="594" t="inlineStr">
        <is>
          <t>ARRIYADIA</t>
        </is>
      </c>
      <c r="B187" s="595">
        <f>COUNTIFS('Données Suivi'!$A$2:$A$3000,$A187,'Données Suivi'!$O$2:$O$3000,"FONCTIONNEMENT")</f>
        <v/>
      </c>
      <c r="C187" s="595">
        <f>COUNTIFS('Données Suivi'!$A$2:$A$3000,$A187,'Données Suivi'!$O$2:$O$3000,"INVESTISSEMENT")</f>
        <v/>
      </c>
      <c r="D187" s="596">
        <f>COUNTIF('Données Suivi'!$A$2:$A$3000,$A187)</f>
        <v/>
      </c>
    </row>
    <row r="188">
      <c r="A188" s="594" t="inlineStr">
        <is>
          <t>ASSADISSA</t>
        </is>
      </c>
      <c r="B188" s="595">
        <f>COUNTIFS('Données Suivi'!$A$2:$A$3000,$A188,'Données Suivi'!$O$2:$O$3000,"FONCTIONNEMENT")</f>
        <v/>
      </c>
      <c r="C188" s="595">
        <f>COUNTIFS('Données Suivi'!$A$2:$A$3000,$A188,'Données Suivi'!$O$2:$O$3000,"INVESTISSEMENT")</f>
        <v/>
      </c>
      <c r="D188" s="596">
        <f>COUNTIF('Données Suivi'!$A$2:$A$3000,$A188)</f>
        <v/>
      </c>
    </row>
    <row r="189">
      <c r="A189" s="594" t="inlineStr">
        <is>
          <t>DA</t>
        </is>
      </c>
      <c r="B189" s="595">
        <f>COUNTIFS('Données Suivi'!$A$2:$A$3000,$A189,'Données Suivi'!$O$2:$O$3000,"FONCTIONNEMENT")</f>
        <v/>
      </c>
      <c r="C189" s="595">
        <f>COUNTIFS('Données Suivi'!$A$2:$A$3000,$A189,'Données Suivi'!$O$2:$O$3000,"INVESTISSEMENT")</f>
        <v/>
      </c>
      <c r="D189" s="596">
        <f>COUNTIF('Données Suivi'!$A$2:$A$3000,$A189)</f>
        <v/>
      </c>
    </row>
    <row r="190">
      <c r="A190" s="594" t="inlineStr">
        <is>
          <t>DACG</t>
        </is>
      </c>
      <c r="B190" s="595">
        <f>COUNTIFS('Données Suivi'!$A$2:$A$3000,$A190,'Données Suivi'!$O$2:$O$3000,"FONCTIONNEMENT")</f>
        <v/>
      </c>
      <c r="C190" s="595">
        <f>COUNTIFS('Données Suivi'!$A$2:$A$3000,$A190,'Données Suivi'!$O$2:$O$3000,"INVESTISSEMENT")</f>
        <v/>
      </c>
      <c r="D190" s="596">
        <f>COUNTIF('Données Suivi'!$A$2:$A$3000,$A190)</f>
        <v/>
      </c>
    </row>
    <row r="191">
      <c r="A191" s="594" t="inlineStr">
        <is>
          <t>DAR</t>
        </is>
      </c>
      <c r="B191" s="595">
        <f>COUNTIFS('Données Suivi'!$A$2:$A$3000,$A191,'Données Suivi'!$O$2:$O$3000,"FONCTIONNEMENT")</f>
        <v/>
      </c>
      <c r="C191" s="595">
        <f>COUNTIFS('Données Suivi'!$A$2:$A$3000,$A191,'Données Suivi'!$O$2:$O$3000,"INVESTISSEMENT")</f>
        <v/>
      </c>
      <c r="D191" s="596">
        <f>COUNTIF('Données Suivi'!$A$2:$A$3000,$A191)</f>
        <v/>
      </c>
    </row>
    <row r="192">
      <c r="A192" s="594" t="inlineStr">
        <is>
          <t>DCPA</t>
        </is>
      </c>
      <c r="B192" s="595">
        <f>COUNTIFS('Données Suivi'!$A$2:$A$3000,$A192,'Données Suivi'!$O$2:$O$3000,"FONCTIONNEMENT")</f>
        <v/>
      </c>
      <c r="C192" s="595">
        <f>COUNTIFS('Données Suivi'!$A$2:$A$3000,$A192,'Données Suivi'!$O$2:$O$3000,"INVESTISSEMENT")</f>
        <v/>
      </c>
      <c r="D192" s="596">
        <f>COUNTIF('Données Suivi'!$A$2:$A$3000,$A192)</f>
        <v/>
      </c>
    </row>
    <row r="193">
      <c r="A193" s="594" t="inlineStr">
        <is>
          <t>DCRI</t>
        </is>
      </c>
      <c r="B193" s="595">
        <f>COUNTIFS('Données Suivi'!$A$2:$A$3000,$A193,'Données Suivi'!$O$2:$O$3000,"FONCTIONNEMENT")</f>
        <v/>
      </c>
      <c r="C193" s="595">
        <f>COUNTIFS('Données Suivi'!$A$2:$A$3000,$A193,'Données Suivi'!$O$2:$O$3000,"INVESTISSEMENT")</f>
        <v/>
      </c>
      <c r="D193" s="596">
        <f>COUNTIF('Données Suivi'!$A$2:$A$3000,$A193)</f>
        <v/>
      </c>
    </row>
    <row r="194">
      <c r="A194" s="594" t="inlineStr">
        <is>
          <t>DCT</t>
        </is>
      </c>
      <c r="B194" s="595">
        <f>COUNTIFS('Données Suivi'!$A$2:$A$3000,$A194,'Données Suivi'!$O$2:$O$3000,"FONCTIONNEMENT")</f>
        <v/>
      </c>
      <c r="C194" s="595">
        <f>COUNTIFS('Données Suivi'!$A$2:$A$3000,$A194,'Données Suivi'!$O$2:$O$3000,"INVESTISSEMENT")</f>
        <v/>
      </c>
      <c r="D194" s="596">
        <f>COUNTIF('Données Suivi'!$A$2:$A$3000,$A194)</f>
        <v/>
      </c>
    </row>
    <row r="195">
      <c r="A195" s="594" t="inlineStr">
        <is>
          <t>DG</t>
        </is>
      </c>
      <c r="B195" s="595">
        <f>COUNTIFS('Données Suivi'!$A$2:$A$3000,$A195,'Données Suivi'!$O$2:$O$3000,"FONCTIONNEMENT")</f>
        <v/>
      </c>
      <c r="C195" s="595">
        <f>COUNTIFS('Données Suivi'!$A$2:$A$3000,$A195,'Données Suivi'!$O$2:$O$3000,"INVESTISSEMENT")</f>
        <v/>
      </c>
      <c r="D195" s="596">
        <f>COUNTIF('Données Suivi'!$A$2:$A$3000,$A195)</f>
        <v/>
      </c>
    </row>
    <row r="196">
      <c r="A196" s="594" t="inlineStr">
        <is>
          <t>DINFORADIO</t>
        </is>
      </c>
      <c r="B196" s="595">
        <f>COUNTIFS('Données Suivi'!$A$2:$A$3000,$A196,'Données Suivi'!$O$2:$O$3000,"FONCTIONNEMENT")</f>
        <v/>
      </c>
      <c r="C196" s="595">
        <f>COUNTIFS('Données Suivi'!$A$2:$A$3000,$A196,'Données Suivi'!$O$2:$O$3000,"INVESTISSEMENT")</f>
        <v/>
      </c>
      <c r="D196" s="596">
        <f>COUNTIF('Données Suivi'!$A$2:$A$3000,$A196)</f>
        <v/>
      </c>
    </row>
    <row r="197">
      <c r="A197" s="594" t="inlineStr">
        <is>
          <t>DINFOTV</t>
        </is>
      </c>
      <c r="B197" s="595">
        <f>COUNTIFS('Données Suivi'!$A$2:$A$3000,$A197,'Données Suivi'!$O$2:$O$3000,"FONCTIONNEMENT")</f>
        <v/>
      </c>
      <c r="C197" s="595">
        <f>COUNTIFS('Données Suivi'!$A$2:$A$3000,$A197,'Données Suivi'!$O$2:$O$3000,"INVESTISSEMENT")</f>
        <v/>
      </c>
      <c r="D197" s="596">
        <f>COUNTIF('Données Suivi'!$A$2:$A$3000,$A197)</f>
        <v/>
      </c>
    </row>
    <row r="198">
      <c r="A198" s="594" t="inlineStr">
        <is>
          <t>DJURIDIQUE</t>
        </is>
      </c>
      <c r="B198" s="595">
        <f>COUNTIFS('Données Suivi'!$A$2:$A$3000,$A198,'Données Suivi'!$O$2:$O$3000,"FONCTIONNEMENT")</f>
        <v/>
      </c>
      <c r="C198" s="595">
        <f>COUNTIFS('Données Suivi'!$A$2:$A$3000,$A198,'Données Suivi'!$O$2:$O$3000,"INVESTISSEMENT")</f>
        <v/>
      </c>
      <c r="D198" s="596">
        <f>COUNTIF('Données Suivi'!$A$2:$A$3000,$A198)</f>
        <v/>
      </c>
    </row>
    <row r="199">
      <c r="A199" s="594" t="inlineStr">
        <is>
          <t>DMPTV</t>
        </is>
      </c>
      <c r="B199" s="595">
        <f>COUNTIFS('Données Suivi'!$A$2:$A$3000,$A199,'Données Suivi'!$O$2:$O$3000,"FONCTIONNEMENT")</f>
        <v/>
      </c>
      <c r="C199" s="595">
        <f>COUNTIFS('Données Suivi'!$A$2:$A$3000,$A199,'Données Suivi'!$O$2:$O$3000,"INVESTISSEMENT")</f>
        <v/>
      </c>
      <c r="D199" s="596">
        <f>COUNTIF('Données Suivi'!$A$2:$A$3000,$A199)</f>
        <v/>
      </c>
    </row>
    <row r="200">
      <c r="A200" s="594" t="inlineStr">
        <is>
          <t>DPMG</t>
        </is>
      </c>
      <c r="B200" s="595">
        <f>COUNTIFS('Données Suivi'!$A$2:$A$3000,$A200,'Données Suivi'!$O$2:$O$3000,"FONCTIONNEMENT")</f>
        <v/>
      </c>
      <c r="C200" s="595">
        <f>COUNTIFS('Données Suivi'!$A$2:$A$3000,$A200,'Données Suivi'!$O$2:$O$3000,"INVESTISSEMENT")</f>
        <v/>
      </c>
      <c r="D200" s="596">
        <f>COUNTIF('Données Suivi'!$A$2:$A$3000,$A200)</f>
        <v/>
      </c>
    </row>
    <row r="201">
      <c r="A201" s="594" t="inlineStr">
        <is>
          <t>DPPR</t>
        </is>
      </c>
      <c r="B201" s="595">
        <f>COUNTIFS('Données Suivi'!$A$2:$A$3000,$A201,'Données Suivi'!$O$2:$O$3000,"FONCTIONNEMENT")</f>
        <v/>
      </c>
      <c r="C201" s="595">
        <f>COUNTIFS('Données Suivi'!$A$2:$A$3000,$A201,'Données Suivi'!$O$2:$O$3000,"INVESTISSEMENT")</f>
        <v/>
      </c>
      <c r="D201" s="596">
        <f>COUNTIF('Données Suivi'!$A$2:$A$3000,$A201)</f>
        <v/>
      </c>
    </row>
    <row r="202">
      <c r="A202" s="594" t="inlineStr">
        <is>
          <t>DRH</t>
        </is>
      </c>
      <c r="B202" s="595">
        <f>COUNTIFS('Données Suivi'!$A$2:$A$3000,$A202,'Données Suivi'!$O$2:$O$3000,"FONCTIONNEMENT")</f>
        <v/>
      </c>
      <c r="C202" s="595">
        <f>COUNTIFS('Données Suivi'!$A$2:$A$3000,$A202,'Données Suivi'!$O$2:$O$3000,"INVESTISSEMENT")</f>
        <v/>
      </c>
      <c r="D202" s="596">
        <f>COUNTIF('Données Suivi'!$A$2:$A$3000,$A202)</f>
        <v/>
      </c>
    </row>
    <row r="203">
      <c r="A203" s="594" t="inlineStr">
        <is>
          <t>DRPSD</t>
        </is>
      </c>
      <c r="B203" s="595">
        <f>COUNTIFS('Données Suivi'!$A$2:$A$3000,$A203,'Données Suivi'!$O$2:$O$3000,"FONCTIONNEMENT")</f>
        <v/>
      </c>
      <c r="C203" s="595">
        <f>COUNTIFS('Données Suivi'!$A$2:$A$3000,$A203,'Données Suivi'!$O$2:$O$3000,"INVESTISSEMENT")</f>
        <v/>
      </c>
      <c r="D203" s="596">
        <f>COUNTIF('Données Suivi'!$A$2:$A$3000,$A203)</f>
        <v/>
      </c>
    </row>
    <row r="204">
      <c r="A204" s="594" t="inlineStr">
        <is>
          <t>MAGHRIBIA</t>
        </is>
      </c>
      <c r="B204" s="595">
        <f>COUNTIFS('Données Suivi'!$A$2:$A$3000,$A204,'Données Suivi'!$O$2:$O$3000,"FONCTIONNEMENT")</f>
        <v/>
      </c>
      <c r="C204" s="595">
        <f>COUNTIFS('Données Suivi'!$A$2:$A$3000,$A204,'Données Suivi'!$O$2:$O$3000,"INVESTISSEMENT")</f>
        <v/>
      </c>
      <c r="D204" s="596">
        <f>COUNTIF('Données Suivi'!$A$2:$A$3000,$A204)</f>
        <v/>
      </c>
    </row>
    <row r="205">
      <c r="A205" s="594" t="inlineStr">
        <is>
          <t>RSSI</t>
        </is>
      </c>
      <c r="B205" s="595">
        <f>COUNTIFS('Données Suivi'!$A$2:$A$3000,$A205,'Données Suivi'!$O$2:$O$3000,"FONCTIONNEMENT")</f>
        <v/>
      </c>
      <c r="C205" s="595">
        <f>COUNTIFS('Données Suivi'!$A$2:$A$3000,$A205,'Données Suivi'!$O$2:$O$3000,"INVESTISSEMENT")</f>
        <v/>
      </c>
      <c r="D205" s="596">
        <f>COUNTIF('Données Suivi'!$A$2:$A$3000,$A205)</f>
        <v/>
      </c>
    </row>
    <row r="206">
      <c r="A206" s="594" t="inlineStr">
        <is>
          <t>TAMAZIGHT</t>
        </is>
      </c>
      <c r="B206" s="595">
        <f>COUNTIFS('Données Suivi'!$A$2:$A$3000,$A206,'Données Suivi'!$O$2:$O$3000,"FONCTIONNEMENT")</f>
        <v/>
      </c>
      <c r="C206" s="595">
        <f>COUNTIFS('Données Suivi'!$A$2:$A$3000,$A206,'Données Suivi'!$O$2:$O$3000,"INVESTISSEMENT")</f>
        <v/>
      </c>
      <c r="D206" s="596">
        <f>COUNTIF('Données Suivi'!$A$2:$A$3000,$A206)</f>
        <v/>
      </c>
    </row>
    <row r="207">
      <c r="A207" s="594" t="inlineStr">
        <is>
          <t>TDF -SITES</t>
        </is>
      </c>
      <c r="B207" s="595">
        <f>COUNTIFS('Données Suivi'!$A$2:$A$3000,$A207,'Données Suivi'!$O$2:$O$3000,"FONCTIONNEMENT")</f>
        <v/>
      </c>
      <c r="C207" s="595">
        <f>COUNTIFS('Données Suivi'!$A$2:$A$3000,$A207,'Données Suivi'!$O$2:$O$3000,"INVESTISSEMENT")</f>
        <v/>
      </c>
      <c r="D207" s="596">
        <f>COUNTIF('Données Suivi'!$A$2:$A$3000,$A207)</f>
        <v/>
      </c>
    </row>
    <row r="208">
      <c r="A208" s="594" t="inlineStr">
        <is>
          <t>TDF-EXP&amp;MAIN</t>
        </is>
      </c>
      <c r="B208" s="595">
        <f>COUNTIFS('Données Suivi'!$A$2:$A$3000,$A208,'Données Suivi'!$O$2:$O$3000,"FONCTIONNEMENT")</f>
        <v/>
      </c>
      <c r="C208" s="595">
        <f>COUNTIFS('Données Suivi'!$A$2:$A$3000,$A208,'Données Suivi'!$O$2:$O$3000,"INVESTISSEMENT")</f>
        <v/>
      </c>
      <c r="D208" s="596">
        <f>COUNTIF('Données Suivi'!$A$2:$A$3000,$A208)</f>
        <v/>
      </c>
    </row>
    <row r="209">
      <c r="A209" s="594" t="inlineStr">
        <is>
          <t>TV LAAYOUNE</t>
        </is>
      </c>
      <c r="B209" s="595">
        <f>COUNTIFS('Données Suivi'!$A$2:$A$3000,$A209,'Données Suivi'!$O$2:$O$3000,"FONCTIONNEMENT")</f>
        <v/>
      </c>
      <c r="C209" s="595">
        <f>COUNTIFS('Données Suivi'!$A$2:$A$3000,$A209,'Données Suivi'!$O$2:$O$3000,"INVESTISSEMENT")</f>
        <v/>
      </c>
      <c r="D209" s="596">
        <f>COUNTIF('Données Suivi'!$A$2:$A$3000,$A209)</f>
        <v/>
      </c>
    </row>
    <row r="210">
      <c r="A210" s="597" t="inlineStr">
        <is>
          <t>TOTAL</t>
        </is>
      </c>
      <c r="B210" s="596">
        <f>SUM(B187:B209)</f>
        <v/>
      </c>
      <c r="C210" s="596">
        <f>SUM(C187:C209)</f>
        <v/>
      </c>
      <c r="D210" s="596">
        <f>SUM(D187:D209)</f>
        <v/>
      </c>
    </row>
    <row r="212" ht="20" customHeight="1" s="392">
      <c r="A212" s="592" t="inlineStr">
        <is>
          <t>Répartition des dossiers par Direction et par Type Budget — Nombre de dossiers</t>
        </is>
      </c>
    </row>
    <row r="213">
      <c r="A213" s="593" t="inlineStr">
        <is>
          <t>Direction</t>
        </is>
      </c>
      <c r="B213" s="593" t="inlineStr">
        <is>
          <t>Ordinaire</t>
        </is>
      </c>
      <c r="C213" s="593" t="inlineStr">
        <is>
          <t>Exceptionnel</t>
        </is>
      </c>
      <c r="D213" s="593" t="inlineStr">
        <is>
          <t>REPORT BUDGET ANNEE ANTERIEURE</t>
        </is>
      </c>
      <c r="E213" s="593" t="inlineStr">
        <is>
          <t>REPORT BUDGET EXCEP ANNEE ANTERIEURE</t>
        </is>
      </c>
      <c r="F213" s="593" t="inlineStr">
        <is>
          <t>TOTAL</t>
        </is>
      </c>
    </row>
    <row r="214">
      <c r="A214" s="594" t="inlineStr">
        <is>
          <t>ARRIYADIA</t>
        </is>
      </c>
      <c r="B214" s="595">
        <f>COUNTIFS('Données Suivi'!$A$2:$A$3000,$A214,'Données Suivi'!$N$2:$N$3000,"Ordinaire")</f>
        <v/>
      </c>
      <c r="C214" s="595">
        <f>COUNTIFS('Données Suivi'!$A$2:$A$3000,$A214,'Données Suivi'!$N$2:$N$3000,"Exceptionnel")</f>
        <v/>
      </c>
      <c r="D214" s="595">
        <f>COUNTIFS('Données Suivi'!$A$2:$A$3000,$A214,'Données Suivi'!$N$2:$N$3000,"REPORT BUDGET ANNEE ANTERIEURE")</f>
        <v/>
      </c>
      <c r="E214" s="595">
        <f>COUNTIFS('Données Suivi'!$A$2:$A$3000,$A214,'Données Suivi'!$N$2:$N$3000,"REPORT BUDGET EXCEP ANNEE ANTERIEURE")</f>
        <v/>
      </c>
      <c r="F214" s="596">
        <f>COUNTIF('Données Suivi'!$A$2:$A$3000,$A214)</f>
        <v/>
      </c>
    </row>
    <row r="215">
      <c r="A215" s="594" t="inlineStr">
        <is>
          <t>ASSADISSA</t>
        </is>
      </c>
      <c r="B215" s="595">
        <f>COUNTIFS('Données Suivi'!$A$2:$A$3000,$A215,'Données Suivi'!$N$2:$N$3000,"Ordinaire")</f>
        <v/>
      </c>
      <c r="C215" s="595">
        <f>COUNTIFS('Données Suivi'!$A$2:$A$3000,$A215,'Données Suivi'!$N$2:$N$3000,"Exceptionnel")</f>
        <v/>
      </c>
      <c r="D215" s="595">
        <f>COUNTIFS('Données Suivi'!$A$2:$A$3000,$A215,'Données Suivi'!$N$2:$N$3000,"REPORT BUDGET ANNEE ANTERIEURE")</f>
        <v/>
      </c>
      <c r="E215" s="595">
        <f>COUNTIFS('Données Suivi'!$A$2:$A$3000,$A215,'Données Suivi'!$N$2:$N$3000,"REPORT BUDGET EXCEP ANNEE ANTERIEURE")</f>
        <v/>
      </c>
      <c r="F215" s="596">
        <f>COUNTIF('Données Suivi'!$A$2:$A$3000,$A215)</f>
        <v/>
      </c>
    </row>
    <row r="216">
      <c r="A216" s="594" t="inlineStr">
        <is>
          <t>DA</t>
        </is>
      </c>
      <c r="B216" s="595">
        <f>COUNTIFS('Données Suivi'!$A$2:$A$3000,$A216,'Données Suivi'!$N$2:$N$3000,"Ordinaire")</f>
        <v/>
      </c>
      <c r="C216" s="595">
        <f>COUNTIFS('Données Suivi'!$A$2:$A$3000,$A216,'Données Suivi'!$N$2:$N$3000,"Exceptionnel")</f>
        <v/>
      </c>
      <c r="D216" s="595">
        <f>COUNTIFS('Données Suivi'!$A$2:$A$3000,$A216,'Données Suivi'!$N$2:$N$3000,"REPORT BUDGET ANNEE ANTERIEURE")</f>
        <v/>
      </c>
      <c r="E216" s="595">
        <f>COUNTIFS('Données Suivi'!$A$2:$A$3000,$A216,'Données Suivi'!$N$2:$N$3000,"REPORT BUDGET EXCEP ANNEE ANTERIEURE")</f>
        <v/>
      </c>
      <c r="F216" s="596">
        <f>COUNTIF('Données Suivi'!$A$2:$A$3000,$A216)</f>
        <v/>
      </c>
    </row>
    <row r="217">
      <c r="A217" s="594" t="inlineStr">
        <is>
          <t>DACG</t>
        </is>
      </c>
      <c r="B217" s="595">
        <f>COUNTIFS('Données Suivi'!$A$2:$A$3000,$A217,'Données Suivi'!$N$2:$N$3000,"Ordinaire")</f>
        <v/>
      </c>
      <c r="C217" s="595">
        <f>COUNTIFS('Données Suivi'!$A$2:$A$3000,$A217,'Données Suivi'!$N$2:$N$3000,"Exceptionnel")</f>
        <v/>
      </c>
      <c r="D217" s="595">
        <f>COUNTIFS('Données Suivi'!$A$2:$A$3000,$A217,'Données Suivi'!$N$2:$N$3000,"REPORT BUDGET ANNEE ANTERIEURE")</f>
        <v/>
      </c>
      <c r="E217" s="595">
        <f>COUNTIFS('Données Suivi'!$A$2:$A$3000,$A217,'Données Suivi'!$N$2:$N$3000,"REPORT BUDGET EXCEP ANNEE ANTERIEURE")</f>
        <v/>
      </c>
      <c r="F217" s="596">
        <f>COUNTIF('Données Suivi'!$A$2:$A$3000,$A217)</f>
        <v/>
      </c>
    </row>
    <row r="218">
      <c r="A218" s="594" t="inlineStr">
        <is>
          <t>DAR</t>
        </is>
      </c>
      <c r="B218" s="595">
        <f>COUNTIFS('Données Suivi'!$A$2:$A$3000,$A218,'Données Suivi'!$N$2:$N$3000,"Ordinaire")</f>
        <v/>
      </c>
      <c r="C218" s="595">
        <f>COUNTIFS('Données Suivi'!$A$2:$A$3000,$A218,'Données Suivi'!$N$2:$N$3000,"Exceptionnel")</f>
        <v/>
      </c>
      <c r="D218" s="595">
        <f>COUNTIFS('Données Suivi'!$A$2:$A$3000,$A218,'Données Suivi'!$N$2:$N$3000,"REPORT BUDGET ANNEE ANTERIEURE")</f>
        <v/>
      </c>
      <c r="E218" s="595">
        <f>COUNTIFS('Données Suivi'!$A$2:$A$3000,$A218,'Données Suivi'!$N$2:$N$3000,"REPORT BUDGET EXCEP ANNEE ANTERIEURE")</f>
        <v/>
      </c>
      <c r="F218" s="596">
        <f>COUNTIF('Données Suivi'!$A$2:$A$3000,$A218)</f>
        <v/>
      </c>
    </row>
    <row r="219">
      <c r="A219" s="594" t="inlineStr">
        <is>
          <t>DCPA</t>
        </is>
      </c>
      <c r="B219" s="595">
        <f>COUNTIFS('Données Suivi'!$A$2:$A$3000,$A219,'Données Suivi'!$N$2:$N$3000,"Ordinaire")</f>
        <v/>
      </c>
      <c r="C219" s="595">
        <f>COUNTIFS('Données Suivi'!$A$2:$A$3000,$A219,'Données Suivi'!$N$2:$N$3000,"Exceptionnel")</f>
        <v/>
      </c>
      <c r="D219" s="595">
        <f>COUNTIFS('Données Suivi'!$A$2:$A$3000,$A219,'Données Suivi'!$N$2:$N$3000,"REPORT BUDGET ANNEE ANTERIEURE")</f>
        <v/>
      </c>
      <c r="E219" s="595">
        <f>COUNTIFS('Données Suivi'!$A$2:$A$3000,$A219,'Données Suivi'!$N$2:$N$3000,"REPORT BUDGET EXCEP ANNEE ANTERIEURE")</f>
        <v/>
      </c>
      <c r="F219" s="596">
        <f>COUNTIF('Données Suivi'!$A$2:$A$3000,$A219)</f>
        <v/>
      </c>
    </row>
    <row r="220">
      <c r="A220" s="594" t="inlineStr">
        <is>
          <t>DCRI</t>
        </is>
      </c>
      <c r="B220" s="595">
        <f>COUNTIFS('Données Suivi'!$A$2:$A$3000,$A220,'Données Suivi'!$N$2:$N$3000,"Ordinaire")</f>
        <v/>
      </c>
      <c r="C220" s="595">
        <f>COUNTIFS('Données Suivi'!$A$2:$A$3000,$A220,'Données Suivi'!$N$2:$N$3000,"Exceptionnel")</f>
        <v/>
      </c>
      <c r="D220" s="595">
        <f>COUNTIFS('Données Suivi'!$A$2:$A$3000,$A220,'Données Suivi'!$N$2:$N$3000,"REPORT BUDGET ANNEE ANTERIEURE")</f>
        <v/>
      </c>
      <c r="E220" s="595">
        <f>COUNTIFS('Données Suivi'!$A$2:$A$3000,$A220,'Données Suivi'!$N$2:$N$3000,"REPORT BUDGET EXCEP ANNEE ANTERIEURE")</f>
        <v/>
      </c>
      <c r="F220" s="596">
        <f>COUNTIF('Données Suivi'!$A$2:$A$3000,$A220)</f>
        <v/>
      </c>
    </row>
    <row r="221">
      <c r="A221" s="594" t="inlineStr">
        <is>
          <t>DCT</t>
        </is>
      </c>
      <c r="B221" s="595">
        <f>COUNTIFS('Données Suivi'!$A$2:$A$3000,$A221,'Données Suivi'!$N$2:$N$3000,"Ordinaire")</f>
        <v/>
      </c>
      <c r="C221" s="595">
        <f>COUNTIFS('Données Suivi'!$A$2:$A$3000,$A221,'Données Suivi'!$N$2:$N$3000,"Exceptionnel")</f>
        <v/>
      </c>
      <c r="D221" s="595">
        <f>COUNTIFS('Données Suivi'!$A$2:$A$3000,$A221,'Données Suivi'!$N$2:$N$3000,"REPORT BUDGET ANNEE ANTERIEURE")</f>
        <v/>
      </c>
      <c r="E221" s="595">
        <f>COUNTIFS('Données Suivi'!$A$2:$A$3000,$A221,'Données Suivi'!$N$2:$N$3000,"REPORT BUDGET EXCEP ANNEE ANTERIEURE")</f>
        <v/>
      </c>
      <c r="F221" s="596">
        <f>COUNTIF('Données Suivi'!$A$2:$A$3000,$A221)</f>
        <v/>
      </c>
    </row>
    <row r="222">
      <c r="A222" s="594" t="inlineStr">
        <is>
          <t>DG</t>
        </is>
      </c>
      <c r="B222" s="595">
        <f>COUNTIFS('Données Suivi'!$A$2:$A$3000,$A222,'Données Suivi'!$N$2:$N$3000,"Ordinaire")</f>
        <v/>
      </c>
      <c r="C222" s="595">
        <f>COUNTIFS('Données Suivi'!$A$2:$A$3000,$A222,'Données Suivi'!$N$2:$N$3000,"Exceptionnel")</f>
        <v/>
      </c>
      <c r="D222" s="595">
        <f>COUNTIFS('Données Suivi'!$A$2:$A$3000,$A222,'Données Suivi'!$N$2:$N$3000,"REPORT BUDGET ANNEE ANTERIEURE")</f>
        <v/>
      </c>
      <c r="E222" s="595">
        <f>COUNTIFS('Données Suivi'!$A$2:$A$3000,$A222,'Données Suivi'!$N$2:$N$3000,"REPORT BUDGET EXCEP ANNEE ANTERIEURE")</f>
        <v/>
      </c>
      <c r="F222" s="596">
        <f>COUNTIF('Données Suivi'!$A$2:$A$3000,$A222)</f>
        <v/>
      </c>
    </row>
    <row r="223">
      <c r="A223" s="594" t="inlineStr">
        <is>
          <t>DINFORADIO</t>
        </is>
      </c>
      <c r="B223" s="595">
        <f>COUNTIFS('Données Suivi'!$A$2:$A$3000,$A223,'Données Suivi'!$N$2:$N$3000,"Ordinaire")</f>
        <v/>
      </c>
      <c r="C223" s="595">
        <f>COUNTIFS('Données Suivi'!$A$2:$A$3000,$A223,'Données Suivi'!$N$2:$N$3000,"Exceptionnel")</f>
        <v/>
      </c>
      <c r="D223" s="595">
        <f>COUNTIFS('Données Suivi'!$A$2:$A$3000,$A223,'Données Suivi'!$N$2:$N$3000,"REPORT BUDGET ANNEE ANTERIEURE")</f>
        <v/>
      </c>
      <c r="E223" s="595">
        <f>COUNTIFS('Données Suivi'!$A$2:$A$3000,$A223,'Données Suivi'!$N$2:$N$3000,"REPORT BUDGET EXCEP ANNEE ANTERIEURE")</f>
        <v/>
      </c>
      <c r="F223" s="596">
        <f>COUNTIF('Données Suivi'!$A$2:$A$3000,$A223)</f>
        <v/>
      </c>
    </row>
    <row r="224">
      <c r="A224" s="594" t="inlineStr">
        <is>
          <t>DINFOTV</t>
        </is>
      </c>
      <c r="B224" s="595">
        <f>COUNTIFS('Données Suivi'!$A$2:$A$3000,$A224,'Données Suivi'!$N$2:$N$3000,"Ordinaire")</f>
        <v/>
      </c>
      <c r="C224" s="595">
        <f>COUNTIFS('Données Suivi'!$A$2:$A$3000,$A224,'Données Suivi'!$N$2:$N$3000,"Exceptionnel")</f>
        <v/>
      </c>
      <c r="D224" s="595">
        <f>COUNTIFS('Données Suivi'!$A$2:$A$3000,$A224,'Données Suivi'!$N$2:$N$3000,"REPORT BUDGET ANNEE ANTERIEURE")</f>
        <v/>
      </c>
      <c r="E224" s="595">
        <f>COUNTIFS('Données Suivi'!$A$2:$A$3000,$A224,'Données Suivi'!$N$2:$N$3000,"REPORT BUDGET EXCEP ANNEE ANTERIEURE")</f>
        <v/>
      </c>
      <c r="F224" s="596">
        <f>COUNTIF('Données Suivi'!$A$2:$A$3000,$A224)</f>
        <v/>
      </c>
    </row>
    <row r="225">
      <c r="A225" s="594" t="inlineStr">
        <is>
          <t>DJURIDIQUE</t>
        </is>
      </c>
      <c r="B225" s="595">
        <f>COUNTIFS('Données Suivi'!$A$2:$A$3000,$A225,'Données Suivi'!$N$2:$N$3000,"Ordinaire")</f>
        <v/>
      </c>
      <c r="C225" s="595">
        <f>COUNTIFS('Données Suivi'!$A$2:$A$3000,$A225,'Données Suivi'!$N$2:$N$3000,"Exceptionnel")</f>
        <v/>
      </c>
      <c r="D225" s="595">
        <f>COUNTIFS('Données Suivi'!$A$2:$A$3000,$A225,'Données Suivi'!$N$2:$N$3000,"REPORT BUDGET ANNEE ANTERIEURE")</f>
        <v/>
      </c>
      <c r="E225" s="595">
        <f>COUNTIFS('Données Suivi'!$A$2:$A$3000,$A225,'Données Suivi'!$N$2:$N$3000,"REPORT BUDGET EXCEP ANNEE ANTERIEURE")</f>
        <v/>
      </c>
      <c r="F225" s="596">
        <f>COUNTIF('Données Suivi'!$A$2:$A$3000,$A225)</f>
        <v/>
      </c>
    </row>
    <row r="226">
      <c r="A226" s="594" t="inlineStr">
        <is>
          <t>DMPTV</t>
        </is>
      </c>
      <c r="B226" s="595">
        <f>COUNTIFS('Données Suivi'!$A$2:$A$3000,$A226,'Données Suivi'!$N$2:$N$3000,"Ordinaire")</f>
        <v/>
      </c>
      <c r="C226" s="595">
        <f>COUNTIFS('Données Suivi'!$A$2:$A$3000,$A226,'Données Suivi'!$N$2:$N$3000,"Exceptionnel")</f>
        <v/>
      </c>
      <c r="D226" s="595">
        <f>COUNTIFS('Données Suivi'!$A$2:$A$3000,$A226,'Données Suivi'!$N$2:$N$3000,"REPORT BUDGET ANNEE ANTERIEURE")</f>
        <v/>
      </c>
      <c r="E226" s="595">
        <f>COUNTIFS('Données Suivi'!$A$2:$A$3000,$A226,'Données Suivi'!$N$2:$N$3000,"REPORT BUDGET EXCEP ANNEE ANTERIEURE")</f>
        <v/>
      </c>
      <c r="F226" s="596">
        <f>COUNTIF('Données Suivi'!$A$2:$A$3000,$A226)</f>
        <v/>
      </c>
    </row>
    <row r="227">
      <c r="A227" s="594" t="inlineStr">
        <is>
          <t>DPMG</t>
        </is>
      </c>
      <c r="B227" s="595">
        <f>COUNTIFS('Données Suivi'!$A$2:$A$3000,$A227,'Données Suivi'!$N$2:$N$3000,"Ordinaire")</f>
        <v/>
      </c>
      <c r="C227" s="595">
        <f>COUNTIFS('Données Suivi'!$A$2:$A$3000,$A227,'Données Suivi'!$N$2:$N$3000,"Exceptionnel")</f>
        <v/>
      </c>
      <c r="D227" s="595">
        <f>COUNTIFS('Données Suivi'!$A$2:$A$3000,$A227,'Données Suivi'!$N$2:$N$3000,"REPORT BUDGET ANNEE ANTERIEURE")</f>
        <v/>
      </c>
      <c r="E227" s="595">
        <f>COUNTIFS('Données Suivi'!$A$2:$A$3000,$A227,'Données Suivi'!$N$2:$N$3000,"REPORT BUDGET EXCEP ANNEE ANTERIEURE")</f>
        <v/>
      </c>
      <c r="F227" s="596">
        <f>COUNTIF('Données Suivi'!$A$2:$A$3000,$A227)</f>
        <v/>
      </c>
    </row>
    <row r="228">
      <c r="A228" s="594" t="inlineStr">
        <is>
          <t>DPPR</t>
        </is>
      </c>
      <c r="B228" s="595">
        <f>COUNTIFS('Données Suivi'!$A$2:$A$3000,$A228,'Données Suivi'!$N$2:$N$3000,"Ordinaire")</f>
        <v/>
      </c>
      <c r="C228" s="595">
        <f>COUNTIFS('Données Suivi'!$A$2:$A$3000,$A228,'Données Suivi'!$N$2:$N$3000,"Exceptionnel")</f>
        <v/>
      </c>
      <c r="D228" s="595">
        <f>COUNTIFS('Données Suivi'!$A$2:$A$3000,$A228,'Données Suivi'!$N$2:$N$3000,"REPORT BUDGET ANNEE ANTERIEURE")</f>
        <v/>
      </c>
      <c r="E228" s="595">
        <f>COUNTIFS('Données Suivi'!$A$2:$A$3000,$A228,'Données Suivi'!$N$2:$N$3000,"REPORT BUDGET EXCEP ANNEE ANTERIEURE")</f>
        <v/>
      </c>
      <c r="F228" s="596">
        <f>COUNTIF('Données Suivi'!$A$2:$A$3000,$A228)</f>
        <v/>
      </c>
    </row>
    <row r="229">
      <c r="A229" s="594" t="inlineStr">
        <is>
          <t>DRH</t>
        </is>
      </c>
      <c r="B229" s="595">
        <f>COUNTIFS('Données Suivi'!$A$2:$A$3000,$A229,'Données Suivi'!$N$2:$N$3000,"Ordinaire")</f>
        <v/>
      </c>
      <c r="C229" s="595">
        <f>COUNTIFS('Données Suivi'!$A$2:$A$3000,$A229,'Données Suivi'!$N$2:$N$3000,"Exceptionnel")</f>
        <v/>
      </c>
      <c r="D229" s="595">
        <f>COUNTIFS('Données Suivi'!$A$2:$A$3000,$A229,'Données Suivi'!$N$2:$N$3000,"REPORT BUDGET ANNEE ANTERIEURE")</f>
        <v/>
      </c>
      <c r="E229" s="595">
        <f>COUNTIFS('Données Suivi'!$A$2:$A$3000,$A229,'Données Suivi'!$N$2:$N$3000,"REPORT BUDGET EXCEP ANNEE ANTERIEURE")</f>
        <v/>
      </c>
      <c r="F229" s="596">
        <f>COUNTIF('Données Suivi'!$A$2:$A$3000,$A229)</f>
        <v/>
      </c>
    </row>
    <row r="230">
      <c r="A230" s="594" t="inlineStr">
        <is>
          <t>DRPSD</t>
        </is>
      </c>
      <c r="B230" s="595">
        <f>COUNTIFS('Données Suivi'!$A$2:$A$3000,$A230,'Données Suivi'!$N$2:$N$3000,"Ordinaire")</f>
        <v/>
      </c>
      <c r="C230" s="595">
        <f>COUNTIFS('Données Suivi'!$A$2:$A$3000,$A230,'Données Suivi'!$N$2:$N$3000,"Exceptionnel")</f>
        <v/>
      </c>
      <c r="D230" s="595">
        <f>COUNTIFS('Données Suivi'!$A$2:$A$3000,$A230,'Données Suivi'!$N$2:$N$3000,"REPORT BUDGET ANNEE ANTERIEURE")</f>
        <v/>
      </c>
      <c r="E230" s="595">
        <f>COUNTIFS('Données Suivi'!$A$2:$A$3000,$A230,'Données Suivi'!$N$2:$N$3000,"REPORT BUDGET EXCEP ANNEE ANTERIEURE")</f>
        <v/>
      </c>
      <c r="F230" s="596">
        <f>COUNTIF('Données Suivi'!$A$2:$A$3000,$A230)</f>
        <v/>
      </c>
    </row>
    <row r="231">
      <c r="A231" s="594" t="inlineStr">
        <is>
          <t>MAGHRIBIA</t>
        </is>
      </c>
      <c r="B231" s="595">
        <f>COUNTIFS('Données Suivi'!$A$2:$A$3000,$A231,'Données Suivi'!$N$2:$N$3000,"Ordinaire")</f>
        <v/>
      </c>
      <c r="C231" s="595">
        <f>COUNTIFS('Données Suivi'!$A$2:$A$3000,$A231,'Données Suivi'!$N$2:$N$3000,"Exceptionnel")</f>
        <v/>
      </c>
      <c r="D231" s="595">
        <f>COUNTIFS('Données Suivi'!$A$2:$A$3000,$A231,'Données Suivi'!$N$2:$N$3000,"REPORT BUDGET ANNEE ANTERIEURE")</f>
        <v/>
      </c>
      <c r="E231" s="595">
        <f>COUNTIFS('Données Suivi'!$A$2:$A$3000,$A231,'Données Suivi'!$N$2:$N$3000,"REPORT BUDGET EXCEP ANNEE ANTERIEURE")</f>
        <v/>
      </c>
      <c r="F231" s="596">
        <f>COUNTIF('Données Suivi'!$A$2:$A$3000,$A231)</f>
        <v/>
      </c>
    </row>
    <row r="232">
      <c r="A232" s="594" t="inlineStr">
        <is>
          <t>RSSI</t>
        </is>
      </c>
      <c r="B232" s="595">
        <f>COUNTIFS('Données Suivi'!$A$2:$A$3000,$A232,'Données Suivi'!$N$2:$N$3000,"Ordinaire")</f>
        <v/>
      </c>
      <c r="C232" s="595">
        <f>COUNTIFS('Données Suivi'!$A$2:$A$3000,$A232,'Données Suivi'!$N$2:$N$3000,"Exceptionnel")</f>
        <v/>
      </c>
      <c r="D232" s="595">
        <f>COUNTIFS('Données Suivi'!$A$2:$A$3000,$A232,'Données Suivi'!$N$2:$N$3000,"REPORT BUDGET ANNEE ANTERIEURE")</f>
        <v/>
      </c>
      <c r="E232" s="595">
        <f>COUNTIFS('Données Suivi'!$A$2:$A$3000,$A232,'Données Suivi'!$N$2:$N$3000,"REPORT BUDGET EXCEP ANNEE ANTERIEURE")</f>
        <v/>
      </c>
      <c r="F232" s="596">
        <f>COUNTIF('Données Suivi'!$A$2:$A$3000,$A232)</f>
        <v/>
      </c>
    </row>
    <row r="233">
      <c r="A233" s="594" t="inlineStr">
        <is>
          <t>TAMAZIGHT</t>
        </is>
      </c>
      <c r="B233" s="595">
        <f>COUNTIFS('Données Suivi'!$A$2:$A$3000,$A233,'Données Suivi'!$N$2:$N$3000,"Ordinaire")</f>
        <v/>
      </c>
      <c r="C233" s="595">
        <f>COUNTIFS('Données Suivi'!$A$2:$A$3000,$A233,'Données Suivi'!$N$2:$N$3000,"Exceptionnel")</f>
        <v/>
      </c>
      <c r="D233" s="595">
        <f>COUNTIFS('Données Suivi'!$A$2:$A$3000,$A233,'Données Suivi'!$N$2:$N$3000,"REPORT BUDGET ANNEE ANTERIEURE")</f>
        <v/>
      </c>
      <c r="E233" s="595">
        <f>COUNTIFS('Données Suivi'!$A$2:$A$3000,$A233,'Données Suivi'!$N$2:$N$3000,"REPORT BUDGET EXCEP ANNEE ANTERIEURE")</f>
        <v/>
      </c>
      <c r="F233" s="596">
        <f>COUNTIF('Données Suivi'!$A$2:$A$3000,$A233)</f>
        <v/>
      </c>
    </row>
    <row r="234">
      <c r="A234" s="594" t="inlineStr">
        <is>
          <t>TDF -SITES</t>
        </is>
      </c>
      <c r="B234" s="595">
        <f>COUNTIFS('Données Suivi'!$A$2:$A$3000,$A234,'Données Suivi'!$N$2:$N$3000,"Ordinaire")</f>
        <v/>
      </c>
      <c r="C234" s="595">
        <f>COUNTIFS('Données Suivi'!$A$2:$A$3000,$A234,'Données Suivi'!$N$2:$N$3000,"Exceptionnel")</f>
        <v/>
      </c>
      <c r="D234" s="595">
        <f>COUNTIFS('Données Suivi'!$A$2:$A$3000,$A234,'Données Suivi'!$N$2:$N$3000,"REPORT BUDGET ANNEE ANTERIEURE")</f>
        <v/>
      </c>
      <c r="E234" s="595">
        <f>COUNTIFS('Données Suivi'!$A$2:$A$3000,$A234,'Données Suivi'!$N$2:$N$3000,"REPORT BUDGET EXCEP ANNEE ANTERIEURE")</f>
        <v/>
      </c>
      <c r="F234" s="596">
        <f>COUNTIF('Données Suivi'!$A$2:$A$3000,$A234)</f>
        <v/>
      </c>
    </row>
    <row r="235">
      <c r="A235" s="594" t="inlineStr">
        <is>
          <t>TDF-EXP&amp;MAIN</t>
        </is>
      </c>
      <c r="B235" s="595">
        <f>COUNTIFS('Données Suivi'!$A$2:$A$3000,$A235,'Données Suivi'!$N$2:$N$3000,"Ordinaire")</f>
        <v/>
      </c>
      <c r="C235" s="595">
        <f>COUNTIFS('Données Suivi'!$A$2:$A$3000,$A235,'Données Suivi'!$N$2:$N$3000,"Exceptionnel")</f>
        <v/>
      </c>
      <c r="D235" s="595">
        <f>COUNTIFS('Données Suivi'!$A$2:$A$3000,$A235,'Données Suivi'!$N$2:$N$3000,"REPORT BUDGET ANNEE ANTERIEURE")</f>
        <v/>
      </c>
      <c r="E235" s="595">
        <f>COUNTIFS('Données Suivi'!$A$2:$A$3000,$A235,'Données Suivi'!$N$2:$N$3000,"REPORT BUDGET EXCEP ANNEE ANTERIEURE")</f>
        <v/>
      </c>
      <c r="F235" s="596">
        <f>COUNTIF('Données Suivi'!$A$2:$A$3000,$A235)</f>
        <v/>
      </c>
    </row>
    <row r="236">
      <c r="A236" s="594" t="inlineStr">
        <is>
          <t>TV LAAYOUNE</t>
        </is>
      </c>
      <c r="B236" s="595">
        <f>COUNTIFS('Données Suivi'!$A$2:$A$3000,$A236,'Données Suivi'!$N$2:$N$3000,"Ordinaire")</f>
        <v/>
      </c>
      <c r="C236" s="595">
        <f>COUNTIFS('Données Suivi'!$A$2:$A$3000,$A236,'Données Suivi'!$N$2:$N$3000,"Exceptionnel")</f>
        <v/>
      </c>
      <c r="D236" s="595">
        <f>COUNTIFS('Données Suivi'!$A$2:$A$3000,$A236,'Données Suivi'!$N$2:$N$3000,"REPORT BUDGET ANNEE ANTERIEURE")</f>
        <v/>
      </c>
      <c r="E236" s="595">
        <f>COUNTIFS('Données Suivi'!$A$2:$A$3000,$A236,'Données Suivi'!$N$2:$N$3000,"REPORT BUDGET EXCEP ANNEE ANTERIEURE")</f>
        <v/>
      </c>
      <c r="F236" s="596">
        <f>COUNTIF('Données Suivi'!$A$2:$A$3000,$A236)</f>
        <v/>
      </c>
    </row>
    <row r="237">
      <c r="A237" s="597" t="inlineStr">
        <is>
          <t>TOTAL</t>
        </is>
      </c>
      <c r="B237" s="596">
        <f>SUM(B214:B236)</f>
        <v/>
      </c>
      <c r="C237" s="596">
        <f>SUM(C214:C236)</f>
        <v/>
      </c>
      <c r="D237" s="596">
        <f>SUM(D214:D236)</f>
        <v/>
      </c>
      <c r="E237" s="596">
        <f>SUM(E214:E236)</f>
        <v/>
      </c>
      <c r="F237" s="596">
        <f>SUM(F214:F236)</f>
        <v/>
      </c>
    </row>
    <row r="239" ht="20" customHeight="1" s="392">
      <c r="A239" s="592" t="inlineStr">
        <is>
          <t>Répartition des dossiers par Direction et par Catégorie de marché — Nombre de dossiers</t>
        </is>
      </c>
    </row>
    <row r="240">
      <c r="A240" s="593" t="inlineStr">
        <is>
          <t>Direction</t>
        </is>
      </c>
      <c r="B240" s="593" t="inlineStr">
        <is>
          <t>GENERAL</t>
        </is>
      </c>
      <c r="C240" s="593" t="inlineStr">
        <is>
          <t>PME</t>
        </is>
      </c>
      <c r="D240" s="593" t="inlineStr">
        <is>
          <t>NON CONCERNE</t>
        </is>
      </c>
      <c r="E240" s="593" t="inlineStr">
        <is>
          <t>TOTAL</t>
        </is>
      </c>
    </row>
    <row r="241">
      <c r="A241" s="594" t="inlineStr">
        <is>
          <t>ARRIYADIA</t>
        </is>
      </c>
      <c r="B241" s="595">
        <f>COUNTIFS('Données Suivi'!$A$2:$A$3000,$A241,'Données Suivi'!$P$2:$P$3000,"GENERAL")</f>
        <v/>
      </c>
      <c r="C241" s="595">
        <f>COUNTIFS('Données Suivi'!$A$2:$A$3000,$A241,'Données Suivi'!$P$2:$P$3000,"PME")</f>
        <v/>
      </c>
      <c r="D241" s="595">
        <f>COUNTIFS('Données Suivi'!$A$2:$A$3000,$A241,'Données Suivi'!$P$2:$P$3000,"NON CONCERNE")</f>
        <v/>
      </c>
      <c r="E241" s="596">
        <f>COUNTIF('Données Suivi'!$A$2:$A$3000,$A241)</f>
        <v/>
      </c>
    </row>
    <row r="242">
      <c r="A242" s="594" t="inlineStr">
        <is>
          <t>ASSADISSA</t>
        </is>
      </c>
      <c r="B242" s="595">
        <f>COUNTIFS('Données Suivi'!$A$2:$A$3000,$A242,'Données Suivi'!$P$2:$P$3000,"GENERAL")</f>
        <v/>
      </c>
      <c r="C242" s="595">
        <f>COUNTIFS('Données Suivi'!$A$2:$A$3000,$A242,'Données Suivi'!$P$2:$P$3000,"PME")</f>
        <v/>
      </c>
      <c r="D242" s="595">
        <f>COUNTIFS('Données Suivi'!$A$2:$A$3000,$A242,'Données Suivi'!$P$2:$P$3000,"NON CONCERNE")</f>
        <v/>
      </c>
      <c r="E242" s="596">
        <f>COUNTIF('Données Suivi'!$A$2:$A$3000,$A242)</f>
        <v/>
      </c>
    </row>
    <row r="243">
      <c r="A243" s="594" t="inlineStr">
        <is>
          <t>DA</t>
        </is>
      </c>
      <c r="B243" s="595">
        <f>COUNTIFS('Données Suivi'!$A$2:$A$3000,$A243,'Données Suivi'!$P$2:$P$3000,"GENERAL")</f>
        <v/>
      </c>
      <c r="C243" s="595">
        <f>COUNTIFS('Données Suivi'!$A$2:$A$3000,$A243,'Données Suivi'!$P$2:$P$3000,"PME")</f>
        <v/>
      </c>
      <c r="D243" s="595">
        <f>COUNTIFS('Données Suivi'!$A$2:$A$3000,$A243,'Données Suivi'!$P$2:$P$3000,"NON CONCERNE")</f>
        <v/>
      </c>
      <c r="E243" s="596">
        <f>COUNTIF('Données Suivi'!$A$2:$A$3000,$A243)</f>
        <v/>
      </c>
    </row>
    <row r="244">
      <c r="A244" s="594" t="inlineStr">
        <is>
          <t>DACG</t>
        </is>
      </c>
      <c r="B244" s="595">
        <f>COUNTIFS('Données Suivi'!$A$2:$A$3000,$A244,'Données Suivi'!$P$2:$P$3000,"GENERAL")</f>
        <v/>
      </c>
      <c r="C244" s="595">
        <f>COUNTIFS('Données Suivi'!$A$2:$A$3000,$A244,'Données Suivi'!$P$2:$P$3000,"PME")</f>
        <v/>
      </c>
      <c r="D244" s="595">
        <f>COUNTIFS('Données Suivi'!$A$2:$A$3000,$A244,'Données Suivi'!$P$2:$P$3000,"NON CONCERNE")</f>
        <v/>
      </c>
      <c r="E244" s="596">
        <f>COUNTIF('Données Suivi'!$A$2:$A$3000,$A244)</f>
        <v/>
      </c>
    </row>
    <row r="245">
      <c r="A245" s="594" t="inlineStr">
        <is>
          <t>DAR</t>
        </is>
      </c>
      <c r="B245" s="595">
        <f>COUNTIFS('Données Suivi'!$A$2:$A$3000,$A245,'Données Suivi'!$P$2:$P$3000,"GENERAL")</f>
        <v/>
      </c>
      <c r="C245" s="595">
        <f>COUNTIFS('Données Suivi'!$A$2:$A$3000,$A245,'Données Suivi'!$P$2:$P$3000,"PME")</f>
        <v/>
      </c>
      <c r="D245" s="595">
        <f>COUNTIFS('Données Suivi'!$A$2:$A$3000,$A245,'Données Suivi'!$P$2:$P$3000,"NON CONCERNE")</f>
        <v/>
      </c>
      <c r="E245" s="596">
        <f>COUNTIF('Données Suivi'!$A$2:$A$3000,$A245)</f>
        <v/>
      </c>
    </row>
    <row r="246">
      <c r="A246" s="594" t="inlineStr">
        <is>
          <t>DCPA</t>
        </is>
      </c>
      <c r="B246" s="595">
        <f>COUNTIFS('Données Suivi'!$A$2:$A$3000,$A246,'Données Suivi'!$P$2:$P$3000,"GENERAL")</f>
        <v/>
      </c>
      <c r="C246" s="595">
        <f>COUNTIFS('Données Suivi'!$A$2:$A$3000,$A246,'Données Suivi'!$P$2:$P$3000,"PME")</f>
        <v/>
      </c>
      <c r="D246" s="595">
        <f>COUNTIFS('Données Suivi'!$A$2:$A$3000,$A246,'Données Suivi'!$P$2:$P$3000,"NON CONCERNE")</f>
        <v/>
      </c>
      <c r="E246" s="596">
        <f>COUNTIF('Données Suivi'!$A$2:$A$3000,$A246)</f>
        <v/>
      </c>
    </row>
    <row r="247">
      <c r="A247" s="594" t="inlineStr">
        <is>
          <t>DCRI</t>
        </is>
      </c>
      <c r="B247" s="595">
        <f>COUNTIFS('Données Suivi'!$A$2:$A$3000,$A247,'Données Suivi'!$P$2:$P$3000,"GENERAL")</f>
        <v/>
      </c>
      <c r="C247" s="595">
        <f>COUNTIFS('Données Suivi'!$A$2:$A$3000,$A247,'Données Suivi'!$P$2:$P$3000,"PME")</f>
        <v/>
      </c>
      <c r="D247" s="595">
        <f>COUNTIFS('Données Suivi'!$A$2:$A$3000,$A247,'Données Suivi'!$P$2:$P$3000,"NON CONCERNE")</f>
        <v/>
      </c>
      <c r="E247" s="596">
        <f>COUNTIF('Données Suivi'!$A$2:$A$3000,$A247)</f>
        <v/>
      </c>
    </row>
    <row r="248">
      <c r="A248" s="594" t="inlineStr">
        <is>
          <t>DCT</t>
        </is>
      </c>
      <c r="B248" s="595">
        <f>COUNTIFS('Données Suivi'!$A$2:$A$3000,$A248,'Données Suivi'!$P$2:$P$3000,"GENERAL")</f>
        <v/>
      </c>
      <c r="C248" s="595">
        <f>COUNTIFS('Données Suivi'!$A$2:$A$3000,$A248,'Données Suivi'!$P$2:$P$3000,"PME")</f>
        <v/>
      </c>
      <c r="D248" s="595">
        <f>COUNTIFS('Données Suivi'!$A$2:$A$3000,$A248,'Données Suivi'!$P$2:$P$3000,"NON CONCERNE")</f>
        <v/>
      </c>
      <c r="E248" s="596">
        <f>COUNTIF('Données Suivi'!$A$2:$A$3000,$A248)</f>
        <v/>
      </c>
    </row>
    <row r="249">
      <c r="A249" s="594" t="inlineStr">
        <is>
          <t>DG</t>
        </is>
      </c>
      <c r="B249" s="595">
        <f>COUNTIFS('Données Suivi'!$A$2:$A$3000,$A249,'Données Suivi'!$P$2:$P$3000,"GENERAL")</f>
        <v/>
      </c>
      <c r="C249" s="595">
        <f>COUNTIFS('Données Suivi'!$A$2:$A$3000,$A249,'Données Suivi'!$P$2:$P$3000,"PME")</f>
        <v/>
      </c>
      <c r="D249" s="595">
        <f>COUNTIFS('Données Suivi'!$A$2:$A$3000,$A249,'Données Suivi'!$P$2:$P$3000,"NON CONCERNE")</f>
        <v/>
      </c>
      <c r="E249" s="596">
        <f>COUNTIF('Données Suivi'!$A$2:$A$3000,$A249)</f>
        <v/>
      </c>
    </row>
    <row r="250">
      <c r="A250" s="594" t="inlineStr">
        <is>
          <t>DINFORADIO</t>
        </is>
      </c>
      <c r="B250" s="595">
        <f>COUNTIFS('Données Suivi'!$A$2:$A$3000,$A250,'Données Suivi'!$P$2:$P$3000,"GENERAL")</f>
        <v/>
      </c>
      <c r="C250" s="595">
        <f>COUNTIFS('Données Suivi'!$A$2:$A$3000,$A250,'Données Suivi'!$P$2:$P$3000,"PME")</f>
        <v/>
      </c>
      <c r="D250" s="595">
        <f>COUNTIFS('Données Suivi'!$A$2:$A$3000,$A250,'Données Suivi'!$P$2:$P$3000,"NON CONCERNE")</f>
        <v/>
      </c>
      <c r="E250" s="596">
        <f>COUNTIF('Données Suivi'!$A$2:$A$3000,$A250)</f>
        <v/>
      </c>
    </row>
    <row r="251">
      <c r="A251" s="594" t="inlineStr">
        <is>
          <t>DINFOTV</t>
        </is>
      </c>
      <c r="B251" s="595">
        <f>COUNTIFS('Données Suivi'!$A$2:$A$3000,$A251,'Données Suivi'!$P$2:$P$3000,"GENERAL")</f>
        <v/>
      </c>
      <c r="C251" s="595">
        <f>COUNTIFS('Données Suivi'!$A$2:$A$3000,$A251,'Données Suivi'!$P$2:$P$3000,"PME")</f>
        <v/>
      </c>
      <c r="D251" s="595">
        <f>COUNTIFS('Données Suivi'!$A$2:$A$3000,$A251,'Données Suivi'!$P$2:$P$3000,"NON CONCERNE")</f>
        <v/>
      </c>
      <c r="E251" s="596">
        <f>COUNTIF('Données Suivi'!$A$2:$A$3000,$A251)</f>
        <v/>
      </c>
    </row>
    <row r="252">
      <c r="A252" s="594" t="inlineStr">
        <is>
          <t>DJURIDIQUE</t>
        </is>
      </c>
      <c r="B252" s="595">
        <f>COUNTIFS('Données Suivi'!$A$2:$A$3000,$A252,'Données Suivi'!$P$2:$P$3000,"GENERAL")</f>
        <v/>
      </c>
      <c r="C252" s="595">
        <f>COUNTIFS('Données Suivi'!$A$2:$A$3000,$A252,'Données Suivi'!$P$2:$P$3000,"PME")</f>
        <v/>
      </c>
      <c r="D252" s="595">
        <f>COUNTIFS('Données Suivi'!$A$2:$A$3000,$A252,'Données Suivi'!$P$2:$P$3000,"NON CONCERNE")</f>
        <v/>
      </c>
      <c r="E252" s="596">
        <f>COUNTIF('Données Suivi'!$A$2:$A$3000,$A252)</f>
        <v/>
      </c>
    </row>
    <row r="253">
      <c r="A253" s="594" t="inlineStr">
        <is>
          <t>DMPTV</t>
        </is>
      </c>
      <c r="B253" s="595">
        <f>COUNTIFS('Données Suivi'!$A$2:$A$3000,$A253,'Données Suivi'!$P$2:$P$3000,"GENERAL")</f>
        <v/>
      </c>
      <c r="C253" s="595">
        <f>COUNTIFS('Données Suivi'!$A$2:$A$3000,$A253,'Données Suivi'!$P$2:$P$3000,"PME")</f>
        <v/>
      </c>
      <c r="D253" s="595">
        <f>COUNTIFS('Données Suivi'!$A$2:$A$3000,$A253,'Données Suivi'!$P$2:$P$3000,"NON CONCERNE")</f>
        <v/>
      </c>
      <c r="E253" s="596">
        <f>COUNTIF('Données Suivi'!$A$2:$A$3000,$A253)</f>
        <v/>
      </c>
    </row>
    <row r="254">
      <c r="A254" s="594" t="inlineStr">
        <is>
          <t>DPMG</t>
        </is>
      </c>
      <c r="B254" s="595">
        <f>COUNTIFS('Données Suivi'!$A$2:$A$3000,$A254,'Données Suivi'!$P$2:$P$3000,"GENERAL")</f>
        <v/>
      </c>
      <c r="C254" s="595">
        <f>COUNTIFS('Données Suivi'!$A$2:$A$3000,$A254,'Données Suivi'!$P$2:$P$3000,"PME")</f>
        <v/>
      </c>
      <c r="D254" s="595">
        <f>COUNTIFS('Données Suivi'!$A$2:$A$3000,$A254,'Données Suivi'!$P$2:$P$3000,"NON CONCERNE")</f>
        <v/>
      </c>
      <c r="E254" s="596">
        <f>COUNTIF('Données Suivi'!$A$2:$A$3000,$A254)</f>
        <v/>
      </c>
    </row>
    <row r="255">
      <c r="A255" s="594" t="inlineStr">
        <is>
          <t>DPPR</t>
        </is>
      </c>
      <c r="B255" s="595">
        <f>COUNTIFS('Données Suivi'!$A$2:$A$3000,$A255,'Données Suivi'!$P$2:$P$3000,"GENERAL")</f>
        <v/>
      </c>
      <c r="C255" s="595">
        <f>COUNTIFS('Données Suivi'!$A$2:$A$3000,$A255,'Données Suivi'!$P$2:$P$3000,"PME")</f>
        <v/>
      </c>
      <c r="D255" s="595">
        <f>COUNTIFS('Données Suivi'!$A$2:$A$3000,$A255,'Données Suivi'!$P$2:$P$3000,"NON CONCERNE")</f>
        <v/>
      </c>
      <c r="E255" s="596">
        <f>COUNTIF('Données Suivi'!$A$2:$A$3000,$A255)</f>
        <v/>
      </c>
    </row>
    <row r="256">
      <c r="A256" s="594" t="inlineStr">
        <is>
          <t>DRH</t>
        </is>
      </c>
      <c r="B256" s="595">
        <f>COUNTIFS('Données Suivi'!$A$2:$A$3000,$A256,'Données Suivi'!$P$2:$P$3000,"GENERAL")</f>
        <v/>
      </c>
      <c r="C256" s="595">
        <f>COUNTIFS('Données Suivi'!$A$2:$A$3000,$A256,'Données Suivi'!$P$2:$P$3000,"PME")</f>
        <v/>
      </c>
      <c r="D256" s="595">
        <f>COUNTIFS('Données Suivi'!$A$2:$A$3000,$A256,'Données Suivi'!$P$2:$P$3000,"NON CONCERNE")</f>
        <v/>
      </c>
      <c r="E256" s="596">
        <f>COUNTIF('Données Suivi'!$A$2:$A$3000,$A256)</f>
        <v/>
      </c>
    </row>
    <row r="257">
      <c r="A257" s="594" t="inlineStr">
        <is>
          <t>DRPSD</t>
        </is>
      </c>
      <c r="B257" s="595">
        <f>COUNTIFS('Données Suivi'!$A$2:$A$3000,$A257,'Données Suivi'!$P$2:$P$3000,"GENERAL")</f>
        <v/>
      </c>
      <c r="C257" s="595">
        <f>COUNTIFS('Données Suivi'!$A$2:$A$3000,$A257,'Données Suivi'!$P$2:$P$3000,"PME")</f>
        <v/>
      </c>
      <c r="D257" s="595">
        <f>COUNTIFS('Données Suivi'!$A$2:$A$3000,$A257,'Données Suivi'!$P$2:$P$3000,"NON CONCERNE")</f>
        <v/>
      </c>
      <c r="E257" s="596">
        <f>COUNTIF('Données Suivi'!$A$2:$A$3000,$A257)</f>
        <v/>
      </c>
    </row>
    <row r="258">
      <c r="A258" s="594" t="inlineStr">
        <is>
          <t>MAGHRIBIA</t>
        </is>
      </c>
      <c r="B258" s="595">
        <f>COUNTIFS('Données Suivi'!$A$2:$A$3000,$A258,'Données Suivi'!$P$2:$P$3000,"GENERAL")</f>
        <v/>
      </c>
      <c r="C258" s="595">
        <f>COUNTIFS('Données Suivi'!$A$2:$A$3000,$A258,'Données Suivi'!$P$2:$P$3000,"PME")</f>
        <v/>
      </c>
      <c r="D258" s="595">
        <f>COUNTIFS('Données Suivi'!$A$2:$A$3000,$A258,'Données Suivi'!$P$2:$P$3000,"NON CONCERNE")</f>
        <v/>
      </c>
      <c r="E258" s="596">
        <f>COUNTIF('Données Suivi'!$A$2:$A$3000,$A258)</f>
        <v/>
      </c>
    </row>
    <row r="259">
      <c r="A259" s="594" t="inlineStr">
        <is>
          <t>RSSI</t>
        </is>
      </c>
      <c r="B259" s="595">
        <f>COUNTIFS('Données Suivi'!$A$2:$A$3000,$A259,'Données Suivi'!$P$2:$P$3000,"GENERAL")</f>
        <v/>
      </c>
      <c r="C259" s="595">
        <f>COUNTIFS('Données Suivi'!$A$2:$A$3000,$A259,'Données Suivi'!$P$2:$P$3000,"PME")</f>
        <v/>
      </c>
      <c r="D259" s="595">
        <f>COUNTIFS('Données Suivi'!$A$2:$A$3000,$A259,'Données Suivi'!$P$2:$P$3000,"NON CONCERNE")</f>
        <v/>
      </c>
      <c r="E259" s="596">
        <f>COUNTIF('Données Suivi'!$A$2:$A$3000,$A259)</f>
        <v/>
      </c>
    </row>
    <row r="260">
      <c r="A260" s="594" t="inlineStr">
        <is>
          <t>TAMAZIGHT</t>
        </is>
      </c>
      <c r="B260" s="595">
        <f>COUNTIFS('Données Suivi'!$A$2:$A$3000,$A260,'Données Suivi'!$P$2:$P$3000,"GENERAL")</f>
        <v/>
      </c>
      <c r="C260" s="595">
        <f>COUNTIFS('Données Suivi'!$A$2:$A$3000,$A260,'Données Suivi'!$P$2:$P$3000,"PME")</f>
        <v/>
      </c>
      <c r="D260" s="595">
        <f>COUNTIFS('Données Suivi'!$A$2:$A$3000,$A260,'Données Suivi'!$P$2:$P$3000,"NON CONCERNE")</f>
        <v/>
      </c>
      <c r="E260" s="596">
        <f>COUNTIF('Données Suivi'!$A$2:$A$3000,$A260)</f>
        <v/>
      </c>
    </row>
    <row r="261">
      <c r="A261" s="594" t="inlineStr">
        <is>
          <t>TDF -SITES</t>
        </is>
      </c>
      <c r="B261" s="595">
        <f>COUNTIFS('Données Suivi'!$A$2:$A$3000,$A261,'Données Suivi'!$P$2:$P$3000,"GENERAL")</f>
        <v/>
      </c>
      <c r="C261" s="595">
        <f>COUNTIFS('Données Suivi'!$A$2:$A$3000,$A261,'Données Suivi'!$P$2:$P$3000,"PME")</f>
        <v/>
      </c>
      <c r="D261" s="595">
        <f>COUNTIFS('Données Suivi'!$A$2:$A$3000,$A261,'Données Suivi'!$P$2:$P$3000,"NON CONCERNE")</f>
        <v/>
      </c>
      <c r="E261" s="596">
        <f>COUNTIF('Données Suivi'!$A$2:$A$3000,$A261)</f>
        <v/>
      </c>
    </row>
    <row r="262">
      <c r="A262" s="594" t="inlineStr">
        <is>
          <t>TDF-EXP&amp;MAIN</t>
        </is>
      </c>
      <c r="B262" s="595">
        <f>COUNTIFS('Données Suivi'!$A$2:$A$3000,$A262,'Données Suivi'!$P$2:$P$3000,"GENERAL")</f>
        <v/>
      </c>
      <c r="C262" s="595">
        <f>COUNTIFS('Données Suivi'!$A$2:$A$3000,$A262,'Données Suivi'!$P$2:$P$3000,"PME")</f>
        <v/>
      </c>
      <c r="D262" s="595">
        <f>COUNTIFS('Données Suivi'!$A$2:$A$3000,$A262,'Données Suivi'!$P$2:$P$3000,"NON CONCERNE")</f>
        <v/>
      </c>
      <c r="E262" s="596">
        <f>COUNTIF('Données Suivi'!$A$2:$A$3000,$A262)</f>
        <v/>
      </c>
    </row>
    <row r="263">
      <c r="A263" s="594" t="inlineStr">
        <is>
          <t>TV LAAYOUNE</t>
        </is>
      </c>
      <c r="B263" s="595">
        <f>COUNTIFS('Données Suivi'!$A$2:$A$3000,$A263,'Données Suivi'!$P$2:$P$3000,"GENERAL")</f>
        <v/>
      </c>
      <c r="C263" s="595">
        <f>COUNTIFS('Données Suivi'!$A$2:$A$3000,$A263,'Données Suivi'!$P$2:$P$3000,"PME")</f>
        <v/>
      </c>
      <c r="D263" s="595">
        <f>COUNTIFS('Données Suivi'!$A$2:$A$3000,$A263,'Données Suivi'!$P$2:$P$3000,"NON CONCERNE")</f>
        <v/>
      </c>
      <c r="E263" s="596">
        <f>COUNTIF('Données Suivi'!$A$2:$A$3000,$A263)</f>
        <v/>
      </c>
    </row>
    <row r="264">
      <c r="A264" s="597" t="inlineStr">
        <is>
          <t>TOTAL</t>
        </is>
      </c>
      <c r="B264" s="596">
        <f>SUM(B241:B263)</f>
        <v/>
      </c>
      <c r="C264" s="596">
        <f>SUM(C241:C263)</f>
        <v/>
      </c>
      <c r="D264" s="596">
        <f>SUM(D241:D263)</f>
        <v/>
      </c>
      <c r="E264" s="596">
        <f>SUM(E241:E263)</f>
        <v/>
      </c>
    </row>
  </sheetData>
  <mergeCells count="24">
    <mergeCell ref="A185:M185"/>
    <mergeCell ref="C6:D6"/>
    <mergeCell ref="A6:B6"/>
    <mergeCell ref="A10:M10"/>
    <mergeCell ref="A4:B5"/>
    <mergeCell ref="G4:H5"/>
    <mergeCell ref="I4:J5"/>
    <mergeCell ref="K4:L5"/>
    <mergeCell ref="C7:D8"/>
    <mergeCell ref="A64:M64"/>
    <mergeCell ref="A3:B3"/>
    <mergeCell ref="G3:H3"/>
    <mergeCell ref="I3:J3"/>
    <mergeCell ref="A1:M1"/>
    <mergeCell ref="A212:M212"/>
    <mergeCell ref="A90:M90"/>
    <mergeCell ref="C4:D5"/>
    <mergeCell ref="E4:F5"/>
    <mergeCell ref="A37:M37"/>
    <mergeCell ref="A7:B8"/>
    <mergeCell ref="A239:M239"/>
    <mergeCell ref="C3:D3"/>
    <mergeCell ref="E3:F3"/>
    <mergeCell ref="K3:L3"/>
  </mergeCells>
  <conditionalFormatting sqref="D66:D88">
    <cfRule type="cellIs" priority="1" operator="lessThan" dxfId="700">
      <formula>0.5</formula>
    </cfRule>
  </conditionalFormatting>
  <conditionalFormatting sqref="I92:I183">
    <cfRule type="cellIs" priority="2" operator="greaterThan" dxfId="700">
      <formula>60</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FF0000"/>
    <outlinePr summaryBelow="1" summaryRight="1"/>
    <pageSetUpPr/>
  </sheetPr>
  <dimension ref="A1:D150"/>
  <sheetViews>
    <sheetView showGridLines="0" zoomScale="85" workbookViewId="0">
      <selection activeCell="A1" sqref="A1"/>
    </sheetView>
  </sheetViews>
  <sheetFormatPr baseColWidth="8" defaultRowHeight="15"/>
  <cols>
    <col width="91.42578125" customWidth="1" style="392" min="1" max="1"/>
    <col width="16.7109375" customWidth="1" style="392" min="2" max="2"/>
    <col width="15.7109375" customWidth="1" style="392" min="3" max="3"/>
    <col width="5.140625" customWidth="1" style="392" min="4" max="4"/>
    <col width="56.28515625" customWidth="1" style="392" min="6" max="6"/>
    <col width="29.7109375" customWidth="1" style="392" min="7" max="7"/>
  </cols>
  <sheetData>
    <row r="1">
      <c r="A1" s="1" t="inlineStr">
        <is>
          <t>Type de Budget</t>
        </is>
      </c>
      <c r="B1" s="642" t="n"/>
      <c r="C1" s="643" t="n"/>
    </row>
    <row r="2">
      <c r="A2" s="2" t="inlineStr">
        <is>
          <t>REPORT BUDGET ANNEE ANTERIEURE</t>
        </is>
      </c>
      <c r="B2" s="3" t="n"/>
      <c r="C2" s="3" t="n"/>
    </row>
    <row r="3">
      <c r="A3" s="4" t="inlineStr">
        <is>
          <t>REPORT BUDGET EXCEP  ANNEE ANTERIEURE</t>
        </is>
      </c>
      <c r="B3" s="5" t="n"/>
      <c r="C3" s="5" t="n"/>
    </row>
    <row r="4">
      <c r="A4" s="2" t="inlineStr">
        <is>
          <t>Ordinaire</t>
        </is>
      </c>
      <c r="B4" s="2" t="n"/>
      <c r="C4" s="2" t="n"/>
    </row>
    <row r="5">
      <c r="A5" s="3" t="inlineStr">
        <is>
          <t>Exceptionnel</t>
        </is>
      </c>
      <c r="B5" s="3" t="n"/>
      <c r="C5" s="3" t="n"/>
    </row>
    <row r="6">
      <c r="A6" s="1" t="inlineStr">
        <is>
          <t>BUDGET</t>
        </is>
      </c>
      <c r="B6" s="642" t="n"/>
      <c r="C6" s="643" t="n"/>
    </row>
    <row r="7">
      <c r="A7" s="8" t="inlineStr">
        <is>
          <t>FONCTIONNEMENT</t>
        </is>
      </c>
      <c r="B7" s="644" t="n"/>
      <c r="C7" s="645" t="n"/>
    </row>
    <row r="8">
      <c r="A8" s="5" t="inlineStr">
        <is>
          <t>INVESTISSEMENT</t>
        </is>
      </c>
      <c r="B8" s="646" t="n"/>
      <c r="C8" s="647">
        <f>IFERROR(B8/(B7+B8),0)</f>
        <v/>
      </c>
    </row>
    <row r="9">
      <c r="A9" s="1" t="inlineStr">
        <is>
          <t>Lignes Budget Fonctionnement</t>
        </is>
      </c>
      <c r="B9" s="642" t="n"/>
      <c r="C9" s="643" t="n"/>
    </row>
    <row r="10">
      <c r="A10" s="2" t="inlineStr">
        <is>
          <t>Achats de productions et de programmes: Acquis définitive Programmes TV externes</t>
        </is>
      </c>
      <c r="B10" s="2" t="n"/>
      <c r="C10" s="2" t="n"/>
    </row>
    <row r="11">
      <c r="A11" s="3" t="inlineStr">
        <is>
          <t>Achats de productions et de programmes: Acquis définitive pgm Radio externes</t>
        </is>
      </c>
      <c r="B11" s="3" t="n"/>
      <c r="C11" s="3" t="n"/>
    </row>
    <row r="12">
      <c r="A12" s="2" t="inlineStr">
        <is>
          <t>Achats de productions et de programmes: Achats des programmes en co-production</t>
        </is>
      </c>
      <c r="B12" s="2" t="n"/>
      <c r="C12" s="2" t="n"/>
    </row>
    <row r="13">
      <c r="A13" s="3" t="inlineStr">
        <is>
          <t>Achats de productions et de programmes: Achat des programmes en production interne - personnes physiques</t>
        </is>
      </c>
      <c r="B13" s="3" t="n"/>
      <c r="C13" s="3" t="n"/>
    </row>
    <row r="14">
      <c r="A14" s="2" t="inlineStr">
        <is>
          <t>Achats de droits: Achats des droits de captation</t>
        </is>
      </c>
      <c r="B14" s="2" t="n"/>
      <c r="C14" s="2" t="n"/>
    </row>
    <row r="15">
      <c r="A15" s="3" t="inlineStr">
        <is>
          <t xml:space="preserve">Achats de droits: Cession de Droits de sport </t>
        </is>
      </c>
      <c r="B15" s="3" t="n"/>
      <c r="C15" s="3" t="n"/>
    </row>
    <row r="16">
      <c r="A16" s="2" t="inlineStr">
        <is>
          <t>Achats de matières et fournitures consommables</t>
        </is>
      </c>
      <c r="B16" s="2" t="n"/>
      <c r="C16" s="2" t="n"/>
    </row>
    <row r="17">
      <c r="A17" s="3" t="inlineStr">
        <is>
          <t xml:space="preserve">Achats non stockés de matières et fournitures </t>
        </is>
      </c>
      <c r="B17" s="3" t="n"/>
      <c r="C17" s="3" t="n"/>
    </row>
    <row r="18">
      <c r="A18" s="2" t="inlineStr">
        <is>
          <t>Prestations de service: Achat d'études</t>
        </is>
      </c>
      <c r="B18" s="2" t="n"/>
      <c r="C18" s="2" t="n"/>
    </row>
    <row r="19">
      <c r="A19" s="3" t="inlineStr">
        <is>
          <t xml:space="preserve">Prestations de service: Achat prestations de services locales - personnes physiques </t>
        </is>
      </c>
      <c r="B19" s="3" t="n"/>
      <c r="C19" s="3" t="n"/>
    </row>
    <row r="20">
      <c r="A20" s="2" t="inlineStr">
        <is>
          <t>Prestations de service: Achat prestations de services locales - sociétés</t>
        </is>
      </c>
      <c r="B20" s="2" t="n"/>
      <c r="C20" s="2" t="n"/>
    </row>
    <row r="21">
      <c r="A21" s="3" t="inlineStr">
        <is>
          <t>Prestations de service: Achat prestations de services Etrangères</t>
        </is>
      </c>
      <c r="B21" s="3" t="n"/>
      <c r="C21" s="3" t="n"/>
    </row>
    <row r="22">
      <c r="A22" s="2" t="inlineStr">
        <is>
          <t>Redevances satellitaires</t>
        </is>
      </c>
      <c r="B22" s="2" t="n"/>
      <c r="C22" s="2" t="n"/>
    </row>
    <row r="23">
      <c r="A23" s="3" t="inlineStr">
        <is>
          <t>Locations</t>
        </is>
      </c>
      <c r="B23" s="3" t="n"/>
      <c r="C23" s="3" t="n"/>
    </row>
    <row r="24">
      <c r="A24" s="2" t="inlineStr">
        <is>
          <t>Entretien, réparation et assurance</t>
        </is>
      </c>
      <c r="B24" s="2" t="n"/>
      <c r="C24" s="2" t="n"/>
    </row>
    <row r="25">
      <c r="A25" s="3" t="inlineStr">
        <is>
          <t>Honoraires et rémunération du personnel occasionnel</t>
        </is>
      </c>
      <c r="B25" s="3" t="n"/>
      <c r="C25" s="3" t="n"/>
    </row>
    <row r="26">
      <c r="A26" s="2" t="inlineStr">
        <is>
          <t>Redevances et cotisations</t>
        </is>
      </c>
      <c r="B26" s="2" t="n"/>
      <c r="C26" s="2" t="n"/>
    </row>
    <row r="27">
      <c r="A27" s="3" t="inlineStr">
        <is>
          <t>Déplacements, missions et réceptions</t>
        </is>
      </c>
      <c r="B27" s="3" t="n"/>
      <c r="C27" s="3" t="n"/>
    </row>
    <row r="28">
      <c r="A28" s="2" t="inlineStr">
        <is>
          <t>Charges marketing et relations publiques</t>
        </is>
      </c>
      <c r="B28" s="2" t="n"/>
      <c r="C28" s="2" t="n"/>
    </row>
    <row r="29">
      <c r="A29" s="3" t="inlineStr">
        <is>
          <t>Autres charges de fonctionnement</t>
        </is>
      </c>
      <c r="B29" s="3" t="n"/>
      <c r="C29" s="3" t="n"/>
    </row>
    <row r="30">
      <c r="A30" s="2" t="inlineStr">
        <is>
          <t xml:space="preserve">Charges du personnel </t>
        </is>
      </c>
      <c r="B30" s="2" t="n"/>
      <c r="C30" s="2" t="n"/>
    </row>
    <row r="31">
      <c r="A31" s="3" t="inlineStr">
        <is>
          <t>Charges sociales</t>
        </is>
      </c>
      <c r="B31" s="3" t="n"/>
      <c r="C31" s="3" t="n"/>
    </row>
    <row r="32">
      <c r="A32" s="2" t="inlineStr">
        <is>
          <t>Charges sociales diverses</t>
        </is>
      </c>
      <c r="B32" s="2" t="n"/>
      <c r="C32" s="2" t="n"/>
    </row>
    <row r="33">
      <c r="A33" s="1" t="inlineStr">
        <is>
          <t>Lignes Budget INVESTISSEMENT</t>
        </is>
      </c>
      <c r="B33" s="642" t="n"/>
      <c r="C33" s="643" t="n"/>
    </row>
    <row r="34">
      <c r="A34" s="3" t="inlineStr">
        <is>
          <t>Frais d'acquisition des immobilisations</t>
        </is>
      </c>
      <c r="B34" s="2" t="n"/>
      <c r="C34" s="2" t="n"/>
    </row>
    <row r="35">
      <c r="A35" s="2" t="inlineStr">
        <is>
          <t>Prestations de service à immobiliser</t>
        </is>
      </c>
      <c r="B35" s="3" t="n"/>
      <c r="C35" s="3" t="n"/>
    </row>
    <row r="36">
      <c r="A36" s="3" t="inlineStr">
        <is>
          <t>Immobilisations incorporelles (logiciels, licences, etc.)</t>
        </is>
      </c>
      <c r="B36" s="2" t="n"/>
      <c r="C36" s="2" t="n"/>
    </row>
    <row r="37">
      <c r="A37" s="2" t="inlineStr">
        <is>
          <t>Agencements et aménagement constructions</t>
        </is>
      </c>
      <c r="B37" s="3" t="n"/>
      <c r="C37" s="3" t="n"/>
    </row>
    <row r="38">
      <c r="A38" s="3" t="inlineStr">
        <is>
          <t>Installations techniques</t>
        </is>
      </c>
      <c r="B38" s="2" t="n"/>
      <c r="C38" s="2" t="n"/>
    </row>
    <row r="39">
      <c r="A39" s="2" t="inlineStr">
        <is>
          <t>Equipements de télédiffusion</t>
        </is>
      </c>
      <c r="B39" s="3" t="n"/>
      <c r="C39" s="3" t="n"/>
    </row>
    <row r="40">
      <c r="A40" s="3" t="inlineStr">
        <is>
          <t>Equipements techniques</t>
        </is>
      </c>
      <c r="B40" s="2" t="n"/>
      <c r="C40" s="2" t="n"/>
    </row>
    <row r="41">
      <c r="A41" s="2" t="inlineStr">
        <is>
          <t>Moblier de bureau</t>
        </is>
      </c>
      <c r="B41" s="3" t="n"/>
      <c r="C41" s="3" t="n"/>
    </row>
    <row r="42">
      <c r="A42" s="3" t="inlineStr">
        <is>
          <t>Matériel de bureau</t>
        </is>
      </c>
      <c r="B42" s="2" t="n"/>
      <c r="C42" s="2" t="n"/>
    </row>
    <row r="43">
      <c r="A43" s="2" t="inlineStr">
        <is>
          <t>Matériel Informatique</t>
        </is>
      </c>
      <c r="B43" s="3" t="n"/>
      <c r="C43" s="3" t="n"/>
    </row>
    <row r="44">
      <c r="A44" s="3" t="inlineStr">
        <is>
          <t>Autre Matériel et mobilier de bureau</t>
        </is>
      </c>
      <c r="B44" s="2" t="n"/>
      <c r="C44" s="2" t="n"/>
    </row>
    <row r="45">
      <c r="A45" s="1" t="inlineStr">
        <is>
          <t>Estimation</t>
        </is>
      </c>
      <c r="B45" s="642" t="inlineStr">
        <is>
          <t>MAD</t>
        </is>
      </c>
      <c r="C45" s="643" t="inlineStr">
        <is>
          <t>%</t>
        </is>
      </c>
    </row>
    <row r="46">
      <c r="A46" s="5" t="inlineStr">
        <is>
          <t>Estimation Total HT</t>
        </is>
      </c>
      <c r="B46" s="646" t="n"/>
      <c r="C46" s="647" t="n"/>
      <c r="D46" s="648" t="n"/>
    </row>
    <row r="47">
      <c r="A47" s="8" t="inlineStr">
        <is>
          <t>Ecart</t>
        </is>
      </c>
      <c r="B47" s="644" t="n"/>
      <c r="C47" s="645" t="n"/>
    </row>
    <row r="48">
      <c r="A48" s="5" t="inlineStr">
        <is>
          <t>MNT Partiel</t>
        </is>
      </c>
      <c r="B48" s="646" t="n"/>
      <c r="C48" s="647">
        <f>IFERROR(MTP/MTT,0)</f>
        <v/>
      </c>
    </row>
    <row r="49">
      <c r="A49" s="8" t="inlineStr">
        <is>
          <t>Total Marché HT</t>
        </is>
      </c>
      <c r="B49" s="644" t="n"/>
      <c r="C49" s="645" t="n"/>
    </row>
    <row r="50">
      <c r="A50" s="6" t="inlineStr">
        <is>
          <t xml:space="preserve">DIRECTION </t>
        </is>
      </c>
      <c r="B50" s="649" t="inlineStr">
        <is>
          <t>PPA</t>
        </is>
      </c>
      <c r="C50" s="650" t="inlineStr">
        <is>
          <t>Marche</t>
        </is>
      </c>
    </row>
    <row r="51">
      <c r="A51" s="2" t="inlineStr">
        <is>
          <t>TDF</t>
        </is>
      </c>
      <c r="B51" s="651" t="n"/>
      <c r="C51" s="651" t="n"/>
    </row>
    <row r="52">
      <c r="A52" s="7" t="inlineStr">
        <is>
          <t>TDF -SITES</t>
        </is>
      </c>
      <c r="B52" s="652" t="n"/>
      <c r="C52" s="652" t="n"/>
    </row>
    <row r="53">
      <c r="A53" s="2" t="inlineStr">
        <is>
          <t>TDF-EXP&amp;MAIN</t>
        </is>
      </c>
      <c r="B53" s="651" t="n"/>
      <c r="C53" s="651" t="n"/>
    </row>
    <row r="54">
      <c r="A54" s="8" t="inlineStr">
        <is>
          <t>DG</t>
        </is>
      </c>
      <c r="B54" s="653" t="n"/>
      <c r="C54" s="653" t="n"/>
    </row>
    <row r="55">
      <c r="A55" s="7" t="inlineStr">
        <is>
          <t>DCT</t>
        </is>
      </c>
      <c r="B55" s="652" t="n"/>
      <c r="C55" s="652" t="n"/>
    </row>
    <row r="56">
      <c r="A56" s="2" t="inlineStr">
        <is>
          <t>RSSI</t>
        </is>
      </c>
      <c r="B56" s="651" t="n"/>
      <c r="C56" s="651" t="n"/>
    </row>
    <row r="57">
      <c r="A57" s="7" t="inlineStr">
        <is>
          <t>DPMG</t>
        </is>
      </c>
      <c r="B57" s="652" t="n"/>
      <c r="C57" s="652" t="n"/>
    </row>
    <row r="58">
      <c r="A58" s="2" t="inlineStr">
        <is>
          <t>DRPSD</t>
        </is>
      </c>
      <c r="B58" s="651" t="n"/>
      <c r="C58" s="651" t="n"/>
    </row>
    <row r="59">
      <c r="A59" s="7" t="inlineStr">
        <is>
          <t>DINFORADIO</t>
        </is>
      </c>
      <c r="B59" s="652" t="n"/>
      <c r="C59" s="652" t="n"/>
    </row>
    <row r="60">
      <c r="A60" s="2" t="inlineStr">
        <is>
          <t>ARRIYADIA</t>
        </is>
      </c>
      <c r="B60" s="651" t="n"/>
      <c r="C60" s="651" t="n"/>
    </row>
    <row r="61">
      <c r="A61" s="7" t="inlineStr">
        <is>
          <t>TV LAAYOUNE</t>
        </is>
      </c>
      <c r="B61" s="652" t="n"/>
      <c r="C61" s="652" t="n"/>
    </row>
    <row r="62">
      <c r="A62" s="2" t="inlineStr">
        <is>
          <t>MAGHRIBIA</t>
        </is>
      </c>
      <c r="B62" s="651" t="n"/>
      <c r="C62" s="651" t="n"/>
    </row>
    <row r="63">
      <c r="A63" s="7" t="inlineStr">
        <is>
          <t>DMPTV</t>
        </is>
      </c>
      <c r="B63" s="652" t="n"/>
      <c r="C63" s="652" t="n"/>
    </row>
    <row r="64">
      <c r="A64" s="2" t="inlineStr">
        <is>
          <t>TAMAZIGHT</t>
        </is>
      </c>
      <c r="B64" s="651" t="n"/>
      <c r="C64" s="651" t="n"/>
    </row>
    <row r="65">
      <c r="A65" s="7" t="inlineStr">
        <is>
          <t>DINFOTV</t>
        </is>
      </c>
      <c r="B65" s="652" t="n"/>
      <c r="C65" s="652" t="n"/>
    </row>
    <row r="66">
      <c r="A66" s="2" t="inlineStr">
        <is>
          <t>DA</t>
        </is>
      </c>
      <c r="B66" s="651" t="n"/>
      <c r="C66" s="651" t="n"/>
    </row>
    <row r="67">
      <c r="A67" s="7" t="inlineStr">
        <is>
          <t>DRH</t>
        </is>
      </c>
      <c r="B67" s="652" t="n"/>
      <c r="C67" s="652" t="n"/>
    </row>
    <row r="68">
      <c r="A68" s="7" t="inlineStr">
        <is>
          <t>DJURIDIQUE</t>
        </is>
      </c>
      <c r="B68" s="652" t="n"/>
      <c r="C68" s="652" t="n"/>
    </row>
    <row r="69">
      <c r="A69" s="2" t="inlineStr">
        <is>
          <t>ASSADISSA</t>
        </is>
      </c>
      <c r="B69" s="651" t="n"/>
      <c r="C69" s="651" t="n"/>
    </row>
    <row r="70">
      <c r="A70" s="7" t="inlineStr">
        <is>
          <t>ARRABIAA</t>
        </is>
      </c>
      <c r="B70" s="652" t="n"/>
      <c r="C70" s="652" t="n"/>
    </row>
    <row r="71">
      <c r="A71" s="2" t="inlineStr">
        <is>
          <t>DCRI</t>
        </is>
      </c>
      <c r="B71" s="651" t="n"/>
      <c r="C71" s="651" t="n"/>
    </row>
    <row r="72">
      <c r="A72" s="7" t="inlineStr">
        <is>
          <t>DROI</t>
        </is>
      </c>
      <c r="B72" s="652" t="n"/>
      <c r="C72" s="652" t="n"/>
    </row>
    <row r="73">
      <c r="A73" s="2" t="inlineStr">
        <is>
          <t>DAR</t>
        </is>
      </c>
      <c r="B73" s="651" t="n"/>
      <c r="C73" s="651" t="n"/>
    </row>
    <row r="74">
      <c r="A74" s="7" t="inlineStr">
        <is>
          <t>DCPA</t>
        </is>
      </c>
      <c r="B74" s="652" t="n"/>
      <c r="C74" s="652" t="n"/>
    </row>
    <row r="75">
      <c r="A75" s="2" t="inlineStr">
        <is>
          <t>DACG</t>
        </is>
      </c>
      <c r="B75" s="651" t="n"/>
      <c r="C75" s="651" t="n"/>
    </row>
    <row r="76">
      <c r="A76" s="7" t="inlineStr">
        <is>
          <t>DPPR</t>
        </is>
      </c>
      <c r="B76" s="652" t="n"/>
      <c r="C76" s="652" t="n"/>
    </row>
    <row r="77">
      <c r="A77" s="2" t="inlineStr">
        <is>
          <t>DF</t>
        </is>
      </c>
      <c r="B77" s="651" t="n"/>
      <c r="C77" s="651" t="n"/>
    </row>
    <row r="78">
      <c r="A78" s="7" t="inlineStr">
        <is>
          <t>DSI</t>
        </is>
      </c>
      <c r="B78" s="652" t="n"/>
      <c r="C78" s="652" t="n"/>
    </row>
    <row r="79">
      <c r="A79" s="9" t="inlineStr">
        <is>
          <t>LIGNES BUDGETAIRES</t>
        </is>
      </c>
      <c r="B79" s="654" t="inlineStr">
        <is>
          <t>PPA</t>
        </is>
      </c>
      <c r="C79" s="655" t="inlineStr">
        <is>
          <t>AOO/BC</t>
        </is>
      </c>
    </row>
    <row r="80">
      <c r="A80" s="10" t="inlineStr">
        <is>
          <t>Aménagement et construction de bâtiments à usage technique</t>
        </is>
      </c>
      <c r="B80" s="656" t="n"/>
      <c r="C80" s="656" t="n"/>
    </row>
    <row r="81">
      <c r="A81" s="11" t="inlineStr">
        <is>
          <t>Aménagement et construction de bâtiments administratifs</t>
        </is>
      </c>
      <c r="B81" s="657" t="n"/>
      <c r="C81" s="657" t="n"/>
    </row>
    <row r="82">
      <c r="A82" s="3" t="inlineStr">
        <is>
          <t>Electrification et installations techniques</t>
        </is>
      </c>
      <c r="B82" s="658" t="n"/>
      <c r="C82" s="658" t="n"/>
    </row>
    <row r="83">
      <c r="A83" s="11" t="inlineStr">
        <is>
          <t>Equipements audiovisuels RADIO</t>
        </is>
      </c>
      <c r="B83" s="657" t="n"/>
      <c r="C83" s="657" t="n"/>
    </row>
    <row r="84">
      <c r="A84" s="3" t="inlineStr">
        <is>
          <t>Equipements audiovisuels TV</t>
        </is>
      </c>
      <c r="B84" s="658" t="n"/>
      <c r="C84" s="658" t="n"/>
    </row>
    <row r="85">
      <c r="A85" s="11" t="inlineStr">
        <is>
          <t>Frais d'acquisition</t>
        </is>
      </c>
      <c r="B85" s="657" t="n"/>
      <c r="C85" s="657" t="n"/>
    </row>
    <row r="86">
      <c r="A86" s="3" t="inlineStr">
        <is>
          <t>Habillage Radio</t>
        </is>
      </c>
      <c r="B86" s="658" t="n"/>
      <c r="C86" s="658" t="n"/>
    </row>
    <row r="87">
      <c r="A87" s="11" t="inlineStr">
        <is>
          <t>Logiciels</t>
        </is>
      </c>
      <c r="B87" s="657" t="n"/>
      <c r="C87" s="657" t="n"/>
    </row>
    <row r="88">
      <c r="A88" s="3" t="inlineStr">
        <is>
          <t>Matériel de bureau</t>
        </is>
      </c>
      <c r="B88" s="658" t="n"/>
      <c r="C88" s="658" t="n"/>
    </row>
    <row r="89">
      <c r="A89" s="11" t="inlineStr">
        <is>
          <t>Matériel de diffusion</t>
        </is>
      </c>
      <c r="B89" s="657" t="n"/>
      <c r="C89" s="657" t="n"/>
    </row>
    <row r="90">
      <c r="A90" s="3" t="inlineStr">
        <is>
          <t>Matériel de transmission</t>
        </is>
      </c>
      <c r="B90" s="658" t="n"/>
      <c r="C90" s="658" t="n"/>
    </row>
    <row r="91">
      <c r="A91" s="11" t="inlineStr">
        <is>
          <t>Matériel informatique</t>
        </is>
      </c>
      <c r="B91" s="657" t="n"/>
      <c r="C91" s="657" t="n"/>
    </row>
    <row r="92">
      <c r="A92" s="3" t="inlineStr">
        <is>
          <t>Mobilier de bureau</t>
        </is>
      </c>
      <c r="B92" s="658" t="n"/>
      <c r="C92" s="658" t="n"/>
    </row>
    <row r="93">
      <c r="A93" s="11" t="inlineStr">
        <is>
          <t>Moyens de contribution mobiles</t>
        </is>
      </c>
      <c r="B93" s="657" t="n"/>
      <c r="C93" s="657" t="n"/>
    </row>
    <row r="94">
      <c r="A94" s="3" t="inlineStr">
        <is>
          <t>Moyens mobiles</t>
        </is>
      </c>
      <c r="B94" s="658" t="n"/>
      <c r="C94" s="658" t="n"/>
    </row>
    <row r="95" ht="13.9" customHeight="1" s="392">
      <c r="A95" s="659" t="inlineStr">
        <is>
          <t>STATUT D'ENGAGEMENT</t>
        </is>
      </c>
    </row>
    <row r="96">
      <c r="A96" s="657" t="inlineStr">
        <is>
          <t>EN COURS DE PREENGAGEMENT</t>
        </is>
      </c>
      <c r="B96" s="657" t="n"/>
      <c r="C96" s="657" t="n"/>
    </row>
    <row r="97">
      <c r="A97" s="658" t="inlineStr">
        <is>
          <t>PREENGAGE</t>
        </is>
      </c>
      <c r="B97" s="658" t="n"/>
      <c r="C97" s="658" t="n"/>
    </row>
    <row r="98">
      <c r="A98" s="657" t="inlineStr">
        <is>
          <t>EN COURS D'ENGAGEMENT</t>
        </is>
      </c>
      <c r="B98" s="657" t="n"/>
      <c r="C98" s="657" t="n"/>
    </row>
    <row r="99">
      <c r="A99" s="658" t="inlineStr">
        <is>
          <t>ENGAGE</t>
        </is>
      </c>
      <c r="B99" s="658" t="n"/>
      <c r="C99" s="658" t="n"/>
    </row>
    <row r="100">
      <c r="A100" s="657" t="inlineStr">
        <is>
          <t>NON ENGAGE</t>
        </is>
      </c>
      <c r="B100" s="657" t="n"/>
      <c r="C100" s="657" t="n"/>
    </row>
    <row r="101" ht="13.9" customHeight="1" s="392">
      <c r="A101" s="659" t="inlineStr">
        <is>
          <t>TYPE 1</t>
        </is>
      </c>
    </row>
    <row r="102">
      <c r="A102" s="657" t="inlineStr">
        <is>
          <t>AOO</t>
        </is>
      </c>
      <c r="B102" s="657" t="n"/>
      <c r="C102" s="657" t="n"/>
    </row>
    <row r="103">
      <c r="A103" s="658" t="inlineStr">
        <is>
          <t>AOO-M</t>
        </is>
      </c>
      <c r="B103" s="658" t="n"/>
      <c r="C103" s="658" t="n"/>
    </row>
    <row r="104">
      <c r="A104" s="657" t="inlineStr">
        <is>
          <t>AOO-CT</t>
        </is>
      </c>
      <c r="B104" s="657" t="n"/>
      <c r="C104" s="657" t="n"/>
    </row>
    <row r="105">
      <c r="A105" s="658" t="inlineStr">
        <is>
          <t>CA</t>
        </is>
      </c>
      <c r="B105" s="658" t="n"/>
      <c r="C105" s="658" t="n"/>
    </row>
    <row r="106">
      <c r="A106" s="657" t="inlineStr">
        <is>
          <t>BCL</t>
        </is>
      </c>
      <c r="B106" s="657" t="n"/>
      <c r="C106" s="657" t="n"/>
    </row>
    <row r="107">
      <c r="A107" s="658" t="inlineStr">
        <is>
          <t>BCI</t>
        </is>
      </c>
      <c r="B107" s="658" t="n"/>
      <c r="C107" s="658" t="n"/>
    </row>
    <row r="108">
      <c r="A108" s="657" t="inlineStr">
        <is>
          <t>AV MARCHE</t>
        </is>
      </c>
      <c r="B108" s="658" t="n"/>
      <c r="C108" s="658" t="n"/>
    </row>
    <row r="109">
      <c r="A109" s="658" t="inlineStr">
        <is>
          <t>AV CONTRAT</t>
        </is>
      </c>
      <c r="B109" s="658" t="n"/>
      <c r="C109" s="658" t="n"/>
    </row>
    <row r="110">
      <c r="A110" s="657" t="inlineStr">
        <is>
          <t>DECISION</t>
        </is>
      </c>
      <c r="B110" s="658" t="n"/>
      <c r="C110" s="658" t="n"/>
    </row>
    <row r="111">
      <c r="A111" s="658" t="inlineStr">
        <is>
          <t>CONTRAT</t>
        </is>
      </c>
      <c r="B111" s="657" t="n"/>
      <c r="C111" s="657" t="n"/>
    </row>
    <row r="112" ht="13.9" customHeight="1" s="392">
      <c r="A112" s="659" t="inlineStr">
        <is>
          <t>STATUT 1</t>
        </is>
      </c>
    </row>
    <row r="113">
      <c r="A113" s="657" t="inlineStr">
        <is>
          <t>NON ATTRIBUE</t>
        </is>
      </c>
      <c r="B113" s="657" t="n"/>
      <c r="C113" s="657" t="n"/>
    </row>
    <row r="114">
      <c r="A114" s="658" t="inlineStr">
        <is>
          <t>REJET</t>
        </is>
      </c>
      <c r="B114" s="658" t="n"/>
      <c r="C114" s="658" t="n"/>
    </row>
    <row r="115">
      <c r="A115" s="657" t="inlineStr">
        <is>
          <t>INFRUCTUEUX</t>
        </is>
      </c>
      <c r="B115" s="657" t="n"/>
      <c r="C115" s="657" t="n"/>
    </row>
    <row r="116">
      <c r="A116" s="658" t="inlineStr">
        <is>
          <t>ANNULE</t>
        </is>
      </c>
      <c r="B116" s="658" t="n"/>
      <c r="C116" s="658" t="n"/>
    </row>
    <row r="117">
      <c r="A117" s="657" t="inlineStr">
        <is>
          <t>EN SIGNATURE</t>
        </is>
      </c>
      <c r="B117" s="657" t="n"/>
      <c r="C117" s="657" t="n"/>
    </row>
    <row r="118">
      <c r="A118" s="658" t="inlineStr">
        <is>
          <t>VALIDE</t>
        </is>
      </c>
      <c r="B118" s="658" t="n"/>
      <c r="C118" s="658" t="n"/>
    </row>
    <row r="119">
      <c r="A119" s="12" t="inlineStr">
        <is>
          <t>TYPE DE SUPPORT D'ENGAGEMENT</t>
        </is>
      </c>
    </row>
    <row r="120">
      <c r="A120" s="658" t="inlineStr">
        <is>
          <t>MARCHE</t>
        </is>
      </c>
      <c r="B120" s="658" t="n"/>
      <c r="C120" s="658" t="n"/>
    </row>
    <row r="121">
      <c r="A121" s="657" t="inlineStr">
        <is>
          <t>AV MARCHE</t>
        </is>
      </c>
      <c r="B121" s="657" t="n"/>
      <c r="C121" s="657" t="n"/>
    </row>
    <row r="122">
      <c r="A122" s="657" t="inlineStr">
        <is>
          <t>AV CONTRAT</t>
        </is>
      </c>
      <c r="B122" s="657" t="n"/>
      <c r="C122" s="657" t="n"/>
    </row>
    <row r="123">
      <c r="A123" s="658" t="inlineStr">
        <is>
          <t>DECISION</t>
        </is>
      </c>
      <c r="B123" s="658" t="n"/>
      <c r="C123" s="658" t="n"/>
    </row>
    <row r="124">
      <c r="A124" s="657" t="inlineStr">
        <is>
          <t>BCL</t>
        </is>
      </c>
      <c r="B124" s="657" t="n"/>
      <c r="C124" s="657" t="n"/>
    </row>
    <row r="125">
      <c r="A125" s="658" t="inlineStr">
        <is>
          <t>BCI</t>
        </is>
      </c>
      <c r="B125" s="658" t="n"/>
      <c r="C125" s="658" t="n"/>
    </row>
    <row r="126">
      <c r="A126" s="657" t="inlineStr">
        <is>
          <t>CONTRAT</t>
        </is>
      </c>
      <c r="B126" s="657" t="n"/>
      <c r="C126" s="657" t="n"/>
    </row>
    <row r="127">
      <c r="A127" s="12" t="inlineStr">
        <is>
          <t>STATUT SUPPORT D'ENGAGEMENT</t>
        </is>
      </c>
      <c r="B127" s="660" t="inlineStr">
        <is>
          <t>MONTANT</t>
        </is>
      </c>
    </row>
    <row r="128">
      <c r="A128" s="658" t="inlineStr">
        <is>
          <t>APPROUVE</t>
        </is>
      </c>
      <c r="B128" s="658" t="n"/>
      <c r="C128" s="658" t="n"/>
    </row>
    <row r="129">
      <c r="A129" s="657" t="inlineStr">
        <is>
          <t>ATTRIBUE</t>
        </is>
      </c>
      <c r="B129" s="657" t="n"/>
      <c r="C129" s="657" t="n"/>
    </row>
    <row r="130">
      <c r="A130" s="658" t="inlineStr">
        <is>
          <t>NON ATTRIBUE</t>
        </is>
      </c>
      <c r="B130" s="658" t="n"/>
      <c r="C130" s="658" t="n"/>
    </row>
    <row r="131">
      <c r="A131" s="657" t="inlineStr">
        <is>
          <t>REJET</t>
        </is>
      </c>
      <c r="B131" s="657" t="n"/>
      <c r="C131" s="657" t="n"/>
    </row>
    <row r="132">
      <c r="A132" s="658" t="inlineStr">
        <is>
          <t>INFRUCTUEUX</t>
        </is>
      </c>
      <c r="B132" s="658" t="n"/>
      <c r="C132" s="658" t="n"/>
    </row>
    <row r="133">
      <c r="A133" s="657" t="inlineStr">
        <is>
          <t>ANNULE</t>
        </is>
      </c>
      <c r="B133" s="657" t="n"/>
      <c r="C133" s="657" t="n"/>
    </row>
    <row r="134">
      <c r="A134" s="658" t="inlineStr">
        <is>
          <t>PHASE AOO</t>
        </is>
      </c>
      <c r="B134" s="658" t="n"/>
      <c r="C134" s="658" t="n"/>
    </row>
    <row r="135">
      <c r="A135" s="657" t="inlineStr">
        <is>
          <t>EN SIGNATURE</t>
        </is>
      </c>
      <c r="B135" s="657" t="n"/>
      <c r="C135" s="657" t="n"/>
    </row>
    <row r="136">
      <c r="A136" s="13" t="inlineStr">
        <is>
          <t>CATEGORIES</t>
        </is>
      </c>
    </row>
    <row r="137">
      <c r="A137" s="658" t="inlineStr">
        <is>
          <t>PME</t>
        </is>
      </c>
      <c r="B137" s="658" t="n"/>
      <c r="C137" s="658" t="n"/>
    </row>
    <row r="138">
      <c r="A138" s="657" t="inlineStr">
        <is>
          <t>GENERAL</t>
        </is>
      </c>
      <c r="B138" s="657" t="n"/>
      <c r="C138" s="657" t="n"/>
    </row>
    <row r="139">
      <c r="A139" s="658" t="inlineStr">
        <is>
          <t>NON CONCERNE</t>
        </is>
      </c>
      <c r="B139" s="658" t="n"/>
      <c r="C139" s="658" t="n"/>
    </row>
    <row r="140">
      <c r="A140" s="657" t="n"/>
      <c r="B140" s="657" t="n"/>
      <c r="C140" s="657" t="n"/>
    </row>
    <row r="141">
      <c r="A141" s="13" t="inlineStr">
        <is>
          <t>Nature type PPA</t>
        </is>
      </c>
    </row>
    <row r="142">
      <c r="A142" s="658" t="inlineStr">
        <is>
          <t>Prévisionnel</t>
        </is>
      </c>
      <c r="B142" s="658" t="n"/>
      <c r="C142" s="658" t="n"/>
    </row>
    <row r="143">
      <c r="A143" s="657" t="inlineStr">
        <is>
          <t>Engagé</t>
        </is>
      </c>
      <c r="B143" s="657" t="n"/>
      <c r="C143" s="657" t="n"/>
    </row>
    <row r="144">
      <c r="A144" s="658" t="inlineStr">
        <is>
          <t>CONCRETISE PARTIELLEMENT</t>
        </is>
      </c>
      <c r="B144" s="658" t="n"/>
      <c r="C144" s="658" t="n"/>
    </row>
    <row r="145">
      <c r="A145" s="13" t="inlineStr">
        <is>
          <t>NATURE BESOIN</t>
        </is>
      </c>
      <c r="B145" s="657" t="n"/>
      <c r="C145" s="657" t="n"/>
    </row>
    <row r="146">
      <c r="A146" s="644" t="inlineStr">
        <is>
          <t>NOUVEAU BESOIN</t>
        </is>
      </c>
      <c r="B146" s="644" t="n"/>
      <c r="C146" s="644" t="n"/>
    </row>
    <row r="147">
      <c r="A147" s="644" t="inlineStr">
        <is>
          <t>BESOIN RECURRENT</t>
        </is>
      </c>
      <c r="B147" s="644" t="n"/>
      <c r="C147" s="644" t="n"/>
    </row>
    <row r="148">
      <c r="A148" s="644" t="inlineStr">
        <is>
          <t>RECONDUCTION</t>
        </is>
      </c>
      <c r="B148" s="644" t="n"/>
      <c r="C148" s="644" t="n"/>
    </row>
    <row r="149">
      <c r="A149" s="644" t="inlineStr">
        <is>
          <t>RECONDUCTIBLE</t>
        </is>
      </c>
      <c r="B149" s="644" t="n"/>
      <c r="C149" s="644" t="n"/>
    </row>
    <row r="150">
      <c r="A150" s="13" t="inlineStr">
        <is>
          <t>Nature type PPA</t>
        </is>
      </c>
    </row>
  </sheetData>
  <mergeCells count="3">
    <mergeCell ref="A112:C112"/>
    <mergeCell ref="A95:C95"/>
    <mergeCell ref="A101:C101"/>
  </mergeCells>
  <pageMargins left="0.75" right="0.75" top="1" bottom="1" header="0.5" footer="0.5"/>
  <pageSetup orientation="portrait" paperSize="9"/>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tabColor rgb="FF00B0F0"/>
    <outlinePr summaryBelow="1" summaryRight="1"/>
    <pageSetUpPr/>
  </sheetPr>
  <dimension ref="A1:AT867"/>
  <sheetViews>
    <sheetView showGridLines="0" zoomScale="100" workbookViewId="0">
      <pane xSplit="3" ySplit="1" topLeftCell="D2" activePane="bottomRight" state="frozen"/>
      <selection pane="topRight"/>
      <selection pane="bottomLeft"/>
      <selection pane="bottomRight" activeCell="A1" sqref="A1"/>
    </sheetView>
  </sheetViews>
  <sheetFormatPr baseColWidth="8" defaultRowHeight="15"/>
  <cols>
    <col width="13" customWidth="1" style="392" min="1" max="1"/>
    <col width="14" customWidth="1" style="392" min="2" max="2"/>
    <col width="23" customWidth="1" style="392" min="3" max="3"/>
    <col width="10" customWidth="1" style="392" min="4" max="4"/>
    <col width="7" customWidth="1" style="392" min="5" max="5"/>
    <col width="66" customWidth="1" style="392" min="6" max="6"/>
    <col width="14" customWidth="1" style="392" min="7" max="7"/>
    <col width="17" customWidth="1" style="392" min="8" max="8"/>
    <col width="18" customWidth="1" style="392" min="9" max="9"/>
    <col width="14" customWidth="1" style="392" min="10" max="10"/>
    <col width="18" customWidth="1" style="392" min="11" max="11"/>
    <col width="24" customWidth="1" style="392" min="12" max="12"/>
    <col width="34" customWidth="1" style="392" min="13" max="13"/>
    <col width="17" customWidth="1" style="392" min="14" max="14"/>
    <col width="17" customWidth="1" style="392" min="15" max="15"/>
    <col width="17" customWidth="1" style="392" min="16" max="16"/>
    <col width="17" customWidth="1" style="392" min="17" max="17"/>
    <col width="11" customWidth="1" style="392" min="18" max="19"/>
    <col width="11" customWidth="1" style="392" min="19" max="19"/>
    <col width="26" customWidth="1" style="392" min="20" max="20"/>
    <col width="15" customWidth="1" style="392" min="21" max="21"/>
    <col width="11" customWidth="1" style="392" min="22" max="22"/>
    <col width="11" customWidth="1" style="392" min="23" max="23"/>
    <col width="11" customWidth="1" style="392" min="24" max="24"/>
    <col width="17" customWidth="1" style="392" min="25" max="25"/>
    <col width="17" customWidth="1" style="392" min="26" max="26"/>
    <col width="17" customWidth="1" style="392" min="27" max="27"/>
    <col width="17" customWidth="1" style="392" min="28" max="28"/>
    <col width="17" customWidth="1" style="392" min="29" max="29"/>
    <col width="18" customWidth="1" style="392" min="30" max="30"/>
    <col width="20" customWidth="1" style="392" min="31" max="31"/>
    <col hidden="1" width="20" customWidth="1" style="392" min="32" max="33"/>
    <col width="17" customWidth="1" style="392" min="33" max="33"/>
    <col hidden="1" width="17" customWidth="1" style="392" min="34" max="34"/>
    <col hidden="1" width="17" customWidth="1" style="392" min="35" max="35"/>
    <col hidden="1" width="17" customWidth="1" style="392" min="36" max="36"/>
    <col hidden="1" width="11" customWidth="1" style="392" min="37" max="37"/>
    <col hidden="1" width="11" customWidth="1" style="392" min="38" max="38"/>
    <col width="50" customWidth="1" style="392" min="39" max="39"/>
    <col width="23.42578125" customWidth="1" style="392" min="40" max="40"/>
    <col width="22" customWidth="1" style="392" min="41" max="41"/>
    <col width="17.85546875" customWidth="1" style="392" min="42" max="43"/>
    <col width="20" customWidth="1" style="392" min="44" max="44"/>
    <col width="17.7109375" customWidth="1" style="392" min="45" max="45"/>
  </cols>
  <sheetData>
    <row r="1" ht="48" customHeight="1" s="392">
      <c r="A1" s="661" t="inlineStr">
        <is>
          <t>ANNEE LANCEMENT</t>
        </is>
      </c>
      <c r="B1" s="661" t="inlineStr">
        <is>
          <t xml:space="preserve">DIRECTION </t>
        </is>
      </c>
      <c r="C1" s="661" t="inlineStr">
        <is>
          <t>REF</t>
        </is>
      </c>
      <c r="D1" s="661" t="inlineStr">
        <is>
          <t>BCI</t>
        </is>
      </c>
      <c r="E1" s="661" t="inlineStr">
        <is>
          <t>LOTS</t>
        </is>
      </c>
      <c r="F1" s="661" t="inlineStr">
        <is>
          <t>OBJET</t>
        </is>
      </c>
      <c r="G1" s="662" t="inlineStr">
        <is>
          <t>STATUT 1</t>
        </is>
      </c>
      <c r="H1" s="661" t="inlineStr">
        <is>
          <t>STATUT SUPPORT D'ENGAGEMENT</t>
        </is>
      </c>
      <c r="I1" s="661" t="inlineStr">
        <is>
          <t>N° SUPPORT D'ENGAGEMENT</t>
        </is>
      </c>
      <c r="J1" s="662" t="inlineStr">
        <is>
          <t>CATEGORIES</t>
        </is>
      </c>
      <c r="K1" s="661" t="inlineStr">
        <is>
          <t>TYPE BUDGET</t>
        </is>
      </c>
      <c r="L1" s="661" t="inlineStr">
        <is>
          <t>BUDGET</t>
        </is>
      </c>
      <c r="M1" s="661" t="inlineStr">
        <is>
          <t>LIGNES BUDGETAIRES</t>
        </is>
      </c>
      <c r="N1" s="663" t="inlineStr">
        <is>
          <t>MONTANT PREENGAGE INITIAL</t>
        </is>
      </c>
      <c r="O1" s="664" t="inlineStr">
        <is>
          <t>ESTIMATION TTC</t>
        </is>
      </c>
      <c r="P1" s="664" t="inlineStr">
        <is>
          <t>ESTIMATION HT</t>
        </is>
      </c>
      <c r="Q1" s="665" t="inlineStr">
        <is>
          <t>NATURE BESOIN</t>
        </is>
      </c>
      <c r="R1" s="666" t="inlineStr">
        <is>
          <t>DEBUT REC</t>
        </is>
      </c>
      <c r="S1" s="665" t="inlineStr">
        <is>
          <t>FIN REC</t>
        </is>
      </c>
      <c r="T1" s="662" t="inlineStr">
        <is>
          <t>ADJUDICATAIRE / FRS</t>
        </is>
      </c>
      <c r="U1" s="661" t="inlineStr">
        <is>
          <t>ANNEE APPROBATION</t>
        </is>
      </c>
      <c r="V1" s="665" t="inlineStr">
        <is>
          <t>DATE DE LA FICHE</t>
        </is>
      </c>
      <c r="W1" s="665" t="inlineStr">
        <is>
          <t>DATE VISA</t>
        </is>
      </c>
      <c r="X1" s="665" t="inlineStr">
        <is>
          <t>DATE APPROB</t>
        </is>
      </c>
      <c r="Y1" s="663" t="inlineStr">
        <is>
          <t>MONTANT MARCHE HT PART EN MAD</t>
        </is>
      </c>
      <c r="Z1" s="667" t="inlineStr">
        <is>
          <t>MONTANT MARCHE HT PART EN DEVISES</t>
        </is>
      </c>
      <c r="AA1" s="664" t="inlineStr">
        <is>
          <t>MONTANT MARCHE TTC  PART EN MAD</t>
        </is>
      </c>
      <c r="AB1" s="664" t="inlineStr">
        <is>
          <t>MONTANT MARCHE TTC  PART EN DEVISES</t>
        </is>
      </c>
      <c r="AC1" s="664" t="inlineStr">
        <is>
          <t>TOTAL MARCHE HT TOTAL ENGAGE HT</t>
        </is>
      </c>
      <c r="AD1" s="664" t="inlineStr">
        <is>
          <t>TOTAL MARCHE TTC TOTAL ENGAGE TTC</t>
        </is>
      </c>
      <c r="AE1" s="662" t="inlineStr">
        <is>
          <t>STATUT D'ENGAGEMENT</t>
        </is>
      </c>
      <c r="AF1" s="662" t="inlineStr">
        <is>
          <t>Remarque (archive)</t>
        </is>
      </c>
      <c r="AG1" s="661" t="inlineStr">
        <is>
          <t>Reserve</t>
        </is>
      </c>
      <c r="AH1" s="668" t="inlineStr">
        <is>
          <t>PREVISION PPA HT</t>
        </is>
      </c>
      <c r="AI1" s="668" t="inlineStr">
        <is>
          <t>ECART ESTIMATION HT-PPA HT</t>
        </is>
      </c>
      <c r="AJ1" s="668" t="inlineStr">
        <is>
          <t>ECART ENGAGEMENT HT-PPA HT</t>
        </is>
      </c>
      <c r="AK1" s="661" t="inlineStr">
        <is>
          <t>ECART ESTIMATION
eng/estim</t>
        </is>
      </c>
      <c r="AL1" s="669" t="inlineStr">
        <is>
          <t>ECART PPA
enga/ppa</t>
        </is>
      </c>
      <c r="AM1" s="670" t="inlineStr">
        <is>
          <t>REMARQUE</t>
        </is>
      </c>
      <c r="AT1" s="671" t="n"/>
    </row>
    <row r="2" ht="32" customHeight="1" s="392">
      <c r="A2" s="672" t="n">
        <v>2026</v>
      </c>
      <c r="B2" s="673" t="inlineStr">
        <is>
          <t>DRH</t>
        </is>
      </c>
      <c r="C2" s="673" t="inlineStr">
        <is>
          <t>EXCLUSIVITÉ</t>
        </is>
      </c>
      <c r="D2" s="672" t="inlineStr">
        <is>
          <t>CONTRAT</t>
        </is>
      </c>
      <c r="E2" s="672" t="n">
        <v>1</v>
      </c>
      <c r="F2" s="674" t="inlineStr">
        <is>
          <t>Convention SNRT-OFPPT pour la réalisation des EAP</t>
        </is>
      </c>
      <c r="G2" s="675" t="inlineStr">
        <is>
          <t>VALIDE</t>
        </is>
      </c>
      <c r="H2" s="672" t="inlineStr">
        <is>
          <t>APPROUVE</t>
        </is>
      </c>
      <c r="I2" s="672" t="inlineStr">
        <is>
          <t>01/OFPPT/SNRT/2026</t>
        </is>
      </c>
      <c r="J2" s="675" t="inlineStr">
        <is>
          <t>NON CONCERNE</t>
        </is>
      </c>
      <c r="K2" s="672" t="inlineStr">
        <is>
          <t>Ordinaire</t>
        </is>
      </c>
      <c r="L2" s="676" t="inlineStr">
        <is>
          <t>FONCTIONNEMENT</t>
        </is>
      </c>
      <c r="M2" s="676" t="inlineStr">
        <is>
          <t>Charges sociales diverses</t>
        </is>
      </c>
      <c r="N2" s="677" t="n"/>
      <c r="O2" s="678" t="n"/>
      <c r="P2" s="678" t="n"/>
      <c r="Q2" s="672" t="inlineStr">
        <is>
          <t>BESOIN RECURRENT</t>
        </is>
      </c>
      <c r="R2" s="679" t="n"/>
      <c r="S2" s="680" t="n"/>
      <c r="T2" s="681" t="inlineStr">
        <is>
          <t>OFPPT</t>
        </is>
      </c>
      <c r="U2" s="672" t="n">
        <v>2026</v>
      </c>
      <c r="V2" s="680" t="n">
        <v>46030</v>
      </c>
      <c r="W2" s="680" t="n"/>
      <c r="X2" s="680" t="n">
        <v>46066</v>
      </c>
      <c r="Y2" s="677" t="n">
        <v>829202</v>
      </c>
      <c r="Z2" s="678" t="n">
        <v>0</v>
      </c>
      <c r="AA2" s="678" t="n">
        <v>995042.4</v>
      </c>
      <c r="AB2" s="678" t="n">
        <v>0</v>
      </c>
      <c r="AC2" s="678" t="n">
        <v>829202</v>
      </c>
      <c r="AD2" s="678" t="n">
        <v>995042.4</v>
      </c>
      <c r="AE2" s="682" t="inlineStr">
        <is>
          <t>ENGAGE</t>
        </is>
      </c>
      <c r="AF2" s="681" t="n"/>
      <c r="AG2" s="678" t="n"/>
      <c r="AH2" s="678" t="n"/>
      <c r="AI2" s="678" t="n"/>
      <c r="AJ2" s="678" t="n"/>
      <c r="AK2" s="683" t="n"/>
      <c r="AL2" s="683" t="n"/>
      <c r="AM2" s="681" t="inlineStr">
        <is>
          <t>« + 287 001 » - Budget PPA = 708 041,40 Dhs</t>
        </is>
      </c>
      <c r="AN2" s="684" t="n"/>
      <c r="AO2" s="685" t="n"/>
      <c r="AP2" s="686" t="n"/>
      <c r="AQ2" s="686" t="n"/>
      <c r="AR2" s="23" t="n"/>
      <c r="AS2" s="686" t="n"/>
    </row>
    <row r="3" ht="65.40000000000001" customHeight="1" s="392">
      <c r="A3" s="672" t="n">
        <v>2026</v>
      </c>
      <c r="B3" s="673" t="inlineStr">
        <is>
          <t>DCPA</t>
        </is>
      </c>
      <c r="C3" s="673" t="inlineStr">
        <is>
          <t>PV N° : 01RC2025- DCPA</t>
        </is>
      </c>
      <c r="D3" s="672" t="inlineStr">
        <is>
          <t>CONTRAT</t>
        </is>
      </c>
      <c r="E3" s="672" t="n"/>
      <c r="F3" s="674" t="inlineStr">
        <is>
          <t>IKRAM BENNANI RTAL - Préparation et animation de l’émission «نور و بصائر"</t>
        </is>
      </c>
      <c r="G3" s="675" t="inlineStr">
        <is>
          <t>VALIDE</t>
        </is>
      </c>
      <c r="H3" s="672" t="inlineStr">
        <is>
          <t>APPROUVE</t>
        </is>
      </c>
      <c r="I3" s="672" t="inlineStr">
        <is>
          <t>185 CT/SNRT/2026</t>
        </is>
      </c>
      <c r="J3" s="675" t="inlineStr">
        <is>
          <t>NON CONCERNE</t>
        </is>
      </c>
      <c r="K3" s="672" t="inlineStr">
        <is>
          <t>Ordinaire</t>
        </is>
      </c>
      <c r="L3" s="676" t="inlineStr">
        <is>
          <t>FONCTIONNEMENT</t>
        </is>
      </c>
      <c r="M3" s="676" t="inlineStr">
        <is>
          <t xml:space="preserve">Achats de productions et de programmes
Achat des programmes en production interne </t>
        </is>
      </c>
      <c r="N3" s="677" t="n"/>
      <c r="O3" s="678" t="n"/>
      <c r="P3" s="678" t="n"/>
      <c r="Q3" s="672" t="inlineStr">
        <is>
          <t>RECONDUCTION</t>
        </is>
      </c>
      <c r="R3" s="679" t="n"/>
      <c r="S3" s="680" t="n"/>
      <c r="T3" s="681" t="inlineStr">
        <is>
          <t>IKRAM BENNANI RTAL</t>
        </is>
      </c>
      <c r="U3" s="672" t="n">
        <v>2026</v>
      </c>
      <c r="V3" s="680" t="n">
        <v>46022</v>
      </c>
      <c r="W3" s="680" t="n"/>
      <c r="X3" s="680" t="n">
        <v>46024</v>
      </c>
      <c r="Y3" s="677" t="n">
        <v>154000</v>
      </c>
      <c r="Z3" s="678" t="n">
        <v>0</v>
      </c>
      <c r="AA3" s="678">
        <f>+Y3</f>
        <v/>
      </c>
      <c r="AB3" s="678">
        <f>+Z3</f>
        <v/>
      </c>
      <c r="AC3" s="678">
        <f>+Y3</f>
        <v/>
      </c>
      <c r="AD3" s="678">
        <f>+AA3</f>
        <v/>
      </c>
      <c r="AE3" s="682" t="inlineStr">
        <is>
          <t>ENGAGE</t>
        </is>
      </c>
      <c r="AF3" s="681" t="n"/>
      <c r="AG3" s="678" t="n"/>
      <c r="AH3" s="678" t="n"/>
      <c r="AI3" s="678" t="n"/>
      <c r="AJ3" s="678" t="n"/>
      <c r="AK3" s="683" t="n"/>
      <c r="AL3" s="683" t="n"/>
      <c r="AM3" s="681" t="inlineStr">
        <is>
          <t>RAS</t>
        </is>
      </c>
      <c r="AN3" s="684" t="n"/>
      <c r="AO3" s="685" t="n"/>
      <c r="AP3" s="686" t="n"/>
      <c r="AQ3" s="686" t="n"/>
      <c r="AR3" s="23" t="n"/>
      <c r="AS3" s="686" t="n"/>
    </row>
    <row r="4" ht="65.40000000000001" customHeight="1" s="392">
      <c r="A4" s="672" t="n">
        <v>2026</v>
      </c>
      <c r="B4" s="673" t="inlineStr">
        <is>
          <t>DCPA</t>
        </is>
      </c>
      <c r="C4" s="673" t="inlineStr">
        <is>
          <t>PV N° : 01RC2025- DCPA</t>
        </is>
      </c>
      <c r="D4" s="672" t="inlineStr">
        <is>
          <t>CONTRAT</t>
        </is>
      </c>
      <c r="E4" s="672" t="n"/>
      <c r="F4" s="674" t="inlineStr">
        <is>
          <t>AMINE BENADDI - LA PREPARATION DE L'EMISSION " شباب في الواجهة"</t>
        </is>
      </c>
      <c r="G4" s="675" t="inlineStr">
        <is>
          <t>VALIDE</t>
        </is>
      </c>
      <c r="H4" s="672" t="inlineStr">
        <is>
          <t>APPROUVE</t>
        </is>
      </c>
      <c r="I4" s="672" t="inlineStr">
        <is>
          <t>186 CT/SNRT/2026</t>
        </is>
      </c>
      <c r="J4" s="675" t="inlineStr">
        <is>
          <t>NON CONCERNE</t>
        </is>
      </c>
      <c r="K4" s="672" t="inlineStr">
        <is>
          <t>Ordinaire</t>
        </is>
      </c>
      <c r="L4" s="676" t="inlineStr">
        <is>
          <t>FONCTIONNEMENT</t>
        </is>
      </c>
      <c r="M4" s="676" t="inlineStr">
        <is>
          <t xml:space="preserve">Achats de productions et de programmes
Achat des programmes en production interne </t>
        </is>
      </c>
      <c r="N4" s="677" t="n"/>
      <c r="O4" s="678" t="n"/>
      <c r="P4" s="678" t="n"/>
      <c r="Q4" s="672" t="inlineStr">
        <is>
          <t>RECONDUCTION</t>
        </is>
      </c>
      <c r="R4" s="679" t="n"/>
      <c r="S4" s="680" t="n"/>
      <c r="T4" s="681" t="inlineStr">
        <is>
          <t>AMINE BENADDI</t>
        </is>
      </c>
      <c r="U4" s="672" t="n">
        <v>2026</v>
      </c>
      <c r="V4" s="680" t="n">
        <v>46387</v>
      </c>
      <c r="W4" s="680" t="n"/>
      <c r="X4" s="680" t="n">
        <v>46024</v>
      </c>
      <c r="Y4" s="677" t="n">
        <v>375000</v>
      </c>
      <c r="Z4" s="678" t="n">
        <v>0</v>
      </c>
      <c r="AA4" s="678">
        <f>Y4</f>
        <v/>
      </c>
      <c r="AB4" s="678" t="n">
        <v>0</v>
      </c>
      <c r="AC4" s="678">
        <f>Y4</f>
        <v/>
      </c>
      <c r="AD4" s="678">
        <f>Y4</f>
        <v/>
      </c>
      <c r="AE4" s="682" t="inlineStr">
        <is>
          <t>ENGAGE</t>
        </is>
      </c>
      <c r="AF4" s="681" t="n"/>
      <c r="AG4" s="678" t="n"/>
      <c r="AH4" s="678" t="n"/>
      <c r="AI4" s="678" t="n"/>
      <c r="AJ4" s="678" t="n"/>
      <c r="AK4" s="683" t="n"/>
      <c r="AL4" s="683" t="n"/>
      <c r="AM4" s="681" t="inlineStr">
        <is>
          <t>RAS</t>
        </is>
      </c>
      <c r="AN4" s="684" t="n"/>
      <c r="AO4" s="685" t="n"/>
      <c r="AP4" s="686" t="n"/>
      <c r="AQ4" s="686" t="n"/>
      <c r="AR4" s="23" t="n"/>
      <c r="AS4" s="686" t="n"/>
    </row>
    <row r="5" ht="65.40000000000001" customHeight="1" s="392">
      <c r="A5" s="672" t="n">
        <v>2026</v>
      </c>
      <c r="B5" s="673" t="inlineStr">
        <is>
          <t>DCPA</t>
        </is>
      </c>
      <c r="C5" s="673" t="inlineStr">
        <is>
          <t>PV N° : 01RC2025- DCPA</t>
        </is>
      </c>
      <c r="D5" s="672" t="inlineStr">
        <is>
          <t>CONTRAT</t>
        </is>
      </c>
      <c r="E5" s="672" t="n"/>
      <c r="F5" s="674" t="inlineStr">
        <is>
          <t>MOHAMMED ALI BENMAKHLOUF - Conception et présentation de l’émission " علم و حضارة"</t>
        </is>
      </c>
      <c r="G5" s="675" t="inlineStr">
        <is>
          <t>VALIDE</t>
        </is>
      </c>
      <c r="H5" s="672" t="inlineStr">
        <is>
          <t>APPROUVE</t>
        </is>
      </c>
      <c r="I5" s="672" t="inlineStr">
        <is>
          <t>190 CT/SNRT/2026</t>
        </is>
      </c>
      <c r="J5" s="675" t="inlineStr">
        <is>
          <t>NON CONCERNE</t>
        </is>
      </c>
      <c r="K5" s="672" t="inlineStr">
        <is>
          <t>Ordinaire</t>
        </is>
      </c>
      <c r="L5" s="676" t="inlineStr">
        <is>
          <t>FONCTIONNEMENT</t>
        </is>
      </c>
      <c r="M5" s="676" t="inlineStr">
        <is>
          <t xml:space="preserve">Achats de productions et de programmes
Achat des programmes en production interne </t>
        </is>
      </c>
      <c r="N5" s="677" t="n"/>
      <c r="O5" s="678" t="n"/>
      <c r="P5" s="678" t="n"/>
      <c r="Q5" s="672" t="inlineStr">
        <is>
          <t>RECONDUCTION</t>
        </is>
      </c>
      <c r="R5" s="679" t="n"/>
      <c r="S5" s="680" t="n"/>
      <c r="T5" s="681" t="inlineStr">
        <is>
          <t>MOHAMMED ALI BENMAKHLOUF</t>
        </is>
      </c>
      <c r="U5" s="672" t="n">
        <v>2026</v>
      </c>
      <c r="V5" s="680" t="n">
        <v>46387</v>
      </c>
      <c r="W5" s="680" t="n"/>
      <c r="X5" s="680" t="n">
        <v>46024</v>
      </c>
      <c r="Y5" s="677" t="n">
        <v>445714.08</v>
      </c>
      <c r="Z5" s="678" t="n">
        <v>0</v>
      </c>
      <c r="AA5" s="678">
        <f>Y5</f>
        <v/>
      </c>
      <c r="AB5" s="678" t="n">
        <v>0</v>
      </c>
      <c r="AC5" s="678">
        <f>Y5</f>
        <v/>
      </c>
      <c r="AD5" s="678">
        <f>Y5</f>
        <v/>
      </c>
      <c r="AE5" s="682" t="inlineStr">
        <is>
          <t>ENGAGE</t>
        </is>
      </c>
      <c r="AF5" s="681" t="n"/>
      <c r="AG5" s="678" t="n"/>
      <c r="AH5" s="678" t="n"/>
      <c r="AI5" s="678" t="n"/>
      <c r="AJ5" s="678" t="n"/>
      <c r="AK5" s="683" t="n"/>
      <c r="AL5" s="683" t="n"/>
      <c r="AM5" s="681" t="inlineStr">
        <is>
          <t>RAS</t>
        </is>
      </c>
      <c r="AN5" s="684" t="n"/>
      <c r="AO5" s="685" t="n"/>
      <c r="AP5" s="686" t="n"/>
      <c r="AQ5" s="686" t="n"/>
      <c r="AR5" s="23" t="n"/>
      <c r="AS5" s="686" t="n"/>
    </row>
    <row r="6" ht="65.40000000000001" customHeight="1" s="392">
      <c r="A6" s="672" t="n">
        <v>2026</v>
      </c>
      <c r="B6" s="673" t="inlineStr">
        <is>
          <t>DCPA</t>
        </is>
      </c>
      <c r="C6" s="673" t="inlineStr">
        <is>
          <t>PV N° : 01RC2025- DCPA</t>
        </is>
      </c>
      <c r="D6" s="672" t="inlineStr">
        <is>
          <t>CONTRAT</t>
        </is>
      </c>
      <c r="E6" s="672" t="n"/>
      <c r="F6" s="674" t="inlineStr">
        <is>
          <t>ACHABI MORAD - Préparation et animation de l'émission  " مع الفاميلة"</t>
        </is>
      </c>
      <c r="G6" s="675" t="inlineStr">
        <is>
          <t>VALIDE</t>
        </is>
      </c>
      <c r="H6" s="672" t="inlineStr">
        <is>
          <t>APPROUVE</t>
        </is>
      </c>
      <c r="I6" s="672" t="inlineStr">
        <is>
          <t>187 CT/SNRT/2026</t>
        </is>
      </c>
      <c r="J6" s="675" t="inlineStr">
        <is>
          <t>NON CONCERNE</t>
        </is>
      </c>
      <c r="K6" s="672" t="inlineStr">
        <is>
          <t>Ordinaire</t>
        </is>
      </c>
      <c r="L6" s="676" t="inlineStr">
        <is>
          <t>FONCTIONNEMENT</t>
        </is>
      </c>
      <c r="M6" s="676" t="inlineStr">
        <is>
          <t xml:space="preserve">Achats de productions et de programmes
Achat des programmes en production interne </t>
        </is>
      </c>
      <c r="N6" s="677" t="n"/>
      <c r="O6" s="678" t="n"/>
      <c r="P6" s="678" t="n"/>
      <c r="Q6" s="672" t="inlineStr">
        <is>
          <t>RECONDUCTION</t>
        </is>
      </c>
      <c r="R6" s="679" t="n"/>
      <c r="S6" s="680" t="n"/>
      <c r="T6" s="681" t="inlineStr">
        <is>
          <t>ACHABI MORAD</t>
        </is>
      </c>
      <c r="U6" s="672" t="n">
        <v>2026</v>
      </c>
      <c r="V6" s="680" t="n">
        <v>46387</v>
      </c>
      <c r="W6" s="680" t="n"/>
      <c r="X6" s="680" t="n">
        <v>46024</v>
      </c>
      <c r="Y6" s="677" t="n">
        <v>880000</v>
      </c>
      <c r="Z6" s="678" t="n">
        <v>0</v>
      </c>
      <c r="AA6" s="678">
        <f>Y6</f>
        <v/>
      </c>
      <c r="AB6" s="678" t="n">
        <v>0</v>
      </c>
      <c r="AC6" s="678">
        <f>Y6</f>
        <v/>
      </c>
      <c r="AD6" s="678">
        <f>Y6</f>
        <v/>
      </c>
      <c r="AE6" s="682" t="inlineStr">
        <is>
          <t>ENGAGE</t>
        </is>
      </c>
      <c r="AF6" s="681" t="n"/>
      <c r="AG6" s="678" t="n"/>
      <c r="AH6" s="678" t="n"/>
      <c r="AI6" s="678" t="n"/>
      <c r="AJ6" s="678" t="n"/>
      <c r="AK6" s="683" t="n"/>
      <c r="AL6" s="683" t="n"/>
      <c r="AM6" s="681" t="inlineStr">
        <is>
          <t>RAS</t>
        </is>
      </c>
      <c r="AN6" s="684" t="n"/>
      <c r="AO6" s="685" t="n"/>
      <c r="AP6" s="686" t="n"/>
      <c r="AQ6" s="686" t="n"/>
      <c r="AR6" s="23" t="n"/>
      <c r="AS6" s="686" t="n"/>
    </row>
    <row r="7" ht="65.40000000000001" customHeight="1" s="392">
      <c r="A7" s="672" t="n">
        <v>2026</v>
      </c>
      <c r="B7" s="673" t="inlineStr">
        <is>
          <t>DCPA</t>
        </is>
      </c>
      <c r="C7" s="673" t="inlineStr">
        <is>
          <t>PV N° : 01RC2025- DCPA</t>
        </is>
      </c>
      <c r="D7" s="672" t="inlineStr">
        <is>
          <t>CONTRAT</t>
        </is>
      </c>
      <c r="E7" s="672" t="n"/>
      <c r="F7" s="674" t="inlineStr">
        <is>
          <t>MOHAMED BOUMLI - Préparation de l'émission " مع الفاميلة"</t>
        </is>
      </c>
      <c r="G7" s="675" t="inlineStr">
        <is>
          <t>VALIDE</t>
        </is>
      </c>
      <c r="H7" s="672" t="inlineStr">
        <is>
          <t>APPROUVE</t>
        </is>
      </c>
      <c r="I7" s="672" t="inlineStr">
        <is>
          <t>188 CT/SNRT/2026</t>
        </is>
      </c>
      <c r="J7" s="675" t="inlineStr">
        <is>
          <t>NON CONCERNE</t>
        </is>
      </c>
      <c r="K7" s="672" t="inlineStr">
        <is>
          <t>Ordinaire</t>
        </is>
      </c>
      <c r="L7" s="676" t="inlineStr">
        <is>
          <t>FONCTIONNEMENT</t>
        </is>
      </c>
      <c r="M7" s="676" t="inlineStr">
        <is>
          <t xml:space="preserve">Achats de productions et de programmes
Achat des programmes en production interne </t>
        </is>
      </c>
      <c r="N7" s="677" t="n"/>
      <c r="O7" s="678" t="n"/>
      <c r="P7" s="678" t="n"/>
      <c r="Q7" s="672" t="inlineStr">
        <is>
          <t>RECONDUCTION</t>
        </is>
      </c>
      <c r="R7" s="679" t="n"/>
      <c r="S7" s="680" t="n"/>
      <c r="T7" s="681" t="inlineStr">
        <is>
          <t>MOHAMED BOUMLI</t>
        </is>
      </c>
      <c r="U7" s="672" t="n">
        <v>2026</v>
      </c>
      <c r="V7" s="680" t="n">
        <v>46387</v>
      </c>
      <c r="W7" s="680" t="n"/>
      <c r="X7" s="680" t="n">
        <v>46024</v>
      </c>
      <c r="Y7" s="677" t="n">
        <v>176000</v>
      </c>
      <c r="Z7" s="678" t="n">
        <v>0</v>
      </c>
      <c r="AA7" s="678">
        <f>Y7</f>
        <v/>
      </c>
      <c r="AB7" s="678" t="n">
        <v>0</v>
      </c>
      <c r="AC7" s="678">
        <f>Y7</f>
        <v/>
      </c>
      <c r="AD7" s="678">
        <f>Y7</f>
        <v/>
      </c>
      <c r="AE7" s="682" t="inlineStr">
        <is>
          <t>ENGAGE</t>
        </is>
      </c>
      <c r="AF7" s="681" t="n"/>
      <c r="AG7" s="678" t="n"/>
      <c r="AH7" s="678" t="n"/>
      <c r="AI7" s="678" t="n"/>
      <c r="AJ7" s="678" t="n"/>
      <c r="AK7" s="683" t="n"/>
      <c r="AL7" s="683" t="n"/>
      <c r="AM7" s="681" t="inlineStr">
        <is>
          <t>RAS</t>
        </is>
      </c>
      <c r="AN7" s="684" t="n"/>
      <c r="AO7" s="685" t="n"/>
      <c r="AP7" s="686" t="n"/>
      <c r="AQ7" s="686" t="n"/>
      <c r="AR7" s="23" t="n"/>
      <c r="AS7" s="686" t="n"/>
    </row>
    <row r="8" ht="65.40000000000001" customHeight="1" s="392">
      <c r="A8" s="672" t="n">
        <v>2026</v>
      </c>
      <c r="B8" s="673" t="inlineStr">
        <is>
          <t>DCPA</t>
        </is>
      </c>
      <c r="C8" s="673" t="inlineStr">
        <is>
          <t>PV N° : 01RC2025- DCPA</t>
        </is>
      </c>
      <c r="D8" s="672" t="inlineStr">
        <is>
          <t>CONTRAT</t>
        </is>
      </c>
      <c r="E8" s="672" t="n"/>
      <c r="F8" s="674" t="inlineStr">
        <is>
          <t>KABBAJ SEDDIK - Coordination, préparation et supervision artistique de l’émission   " مدن عتيقة"</t>
        </is>
      </c>
      <c r="G8" s="675" t="inlineStr">
        <is>
          <t>VALIDE</t>
        </is>
      </c>
      <c r="H8" s="672" t="inlineStr">
        <is>
          <t>APPROUVE</t>
        </is>
      </c>
      <c r="I8" s="672" t="inlineStr">
        <is>
          <t>189 CT/SNRT/2026</t>
        </is>
      </c>
      <c r="J8" s="675" t="inlineStr">
        <is>
          <t>NON CONCERNE</t>
        </is>
      </c>
      <c r="K8" s="672" t="inlineStr">
        <is>
          <t>Ordinaire</t>
        </is>
      </c>
      <c r="L8" s="676" t="inlineStr">
        <is>
          <t>FONCTIONNEMENT</t>
        </is>
      </c>
      <c r="M8" s="676" t="inlineStr">
        <is>
          <t xml:space="preserve">Achats de productions et de programmes
Achat des programmes en production interne </t>
        </is>
      </c>
      <c r="N8" s="677" t="n"/>
      <c r="O8" s="678" t="n"/>
      <c r="P8" s="678" t="n"/>
      <c r="Q8" s="672" t="inlineStr">
        <is>
          <t>RECONDUCTION</t>
        </is>
      </c>
      <c r="R8" s="679" t="n"/>
      <c r="S8" s="680" t="n"/>
      <c r="T8" s="681" t="inlineStr">
        <is>
          <t>KABBAJ SEDDIK</t>
        </is>
      </c>
      <c r="U8" s="672" t="n">
        <v>2026</v>
      </c>
      <c r="V8" s="680" t="n">
        <v>46387</v>
      </c>
      <c r="W8" s="680" t="n"/>
      <c r="X8" s="680" t="n">
        <v>46024</v>
      </c>
      <c r="Y8" s="677" t="n">
        <v>342857</v>
      </c>
      <c r="Z8" s="678" t="n">
        <v>0</v>
      </c>
      <c r="AA8" s="678">
        <f>Y8</f>
        <v/>
      </c>
      <c r="AB8" s="678" t="n">
        <v>0</v>
      </c>
      <c r="AC8" s="678">
        <f>Y8</f>
        <v/>
      </c>
      <c r="AD8" s="678">
        <f>Y8</f>
        <v/>
      </c>
      <c r="AE8" s="682" t="inlineStr">
        <is>
          <t>ENGAGE</t>
        </is>
      </c>
      <c r="AF8" s="681" t="n"/>
      <c r="AG8" s="678" t="n"/>
      <c r="AH8" s="678" t="n"/>
      <c r="AI8" s="678" t="n"/>
      <c r="AJ8" s="678" t="n"/>
      <c r="AK8" s="683" t="n"/>
      <c r="AL8" s="683" t="n"/>
      <c r="AM8" s="681" t="inlineStr">
        <is>
          <t>RAS</t>
        </is>
      </c>
      <c r="AN8" s="684" t="n"/>
      <c r="AO8" s="685" t="n"/>
      <c r="AP8" s="686" t="n"/>
      <c r="AQ8" s="686" t="n"/>
      <c r="AR8" s="23" t="n"/>
      <c r="AS8" s="686" t="n"/>
    </row>
    <row r="9" ht="50.55" customHeight="1" s="392">
      <c r="A9" s="672" t="n">
        <v>2026</v>
      </c>
      <c r="B9" s="673" t="inlineStr">
        <is>
          <t>ARRIYADIA</t>
        </is>
      </c>
      <c r="C9" s="673" t="inlineStr">
        <is>
          <t>PV N° : 01RC2025- DCCCA</t>
        </is>
      </c>
      <c r="D9" s="672" t="inlineStr">
        <is>
          <t>CONTRAT</t>
        </is>
      </c>
      <c r="E9" s="672" t="n"/>
      <c r="F9" s="674" t="inlineStr">
        <is>
          <t>BELMAHEDI MOHAMED - Cadreur plateau</t>
        </is>
      </c>
      <c r="G9" s="675" t="inlineStr">
        <is>
          <t>VALIDE</t>
        </is>
      </c>
      <c r="H9" s="672" t="inlineStr">
        <is>
          <t>APPROUVE</t>
        </is>
      </c>
      <c r="I9" s="672" t="n"/>
      <c r="J9" s="675" t="inlineStr">
        <is>
          <t>NON CONCERNE</t>
        </is>
      </c>
      <c r="K9" s="672" t="inlineStr">
        <is>
          <t>Ordinaire</t>
        </is>
      </c>
      <c r="L9" s="676" t="inlineStr">
        <is>
          <t>FONCTIONNEMENT</t>
        </is>
      </c>
      <c r="M9" s="676" t="inlineStr">
        <is>
          <t xml:space="preserve">Prestations de service
Achat prestations de services locales - personnes physiques </t>
        </is>
      </c>
      <c r="N9" s="677" t="n"/>
      <c r="O9" s="678" t="n"/>
      <c r="P9" s="678" t="n"/>
      <c r="Q9" s="672" t="inlineStr">
        <is>
          <t>RECONDUCTION</t>
        </is>
      </c>
      <c r="R9" s="679" t="n"/>
      <c r="S9" s="680" t="n"/>
      <c r="T9" s="681" t="inlineStr">
        <is>
          <t>BELMAHEDI MOHAMED</t>
        </is>
      </c>
      <c r="U9" s="672" t="n">
        <v>2026</v>
      </c>
      <c r="V9" s="680" t="n">
        <v>46022</v>
      </c>
      <c r="W9" s="680" t="n"/>
      <c r="X9" s="680" t="n">
        <v>46024</v>
      </c>
      <c r="Y9" s="677" t="n">
        <v>113142.48</v>
      </c>
      <c r="Z9" s="678" t="n">
        <v>0</v>
      </c>
      <c r="AA9" s="678">
        <f>Y9</f>
        <v/>
      </c>
      <c r="AB9" s="678" t="n">
        <v>0</v>
      </c>
      <c r="AC9" s="678">
        <f>Y9</f>
        <v/>
      </c>
      <c r="AD9" s="678">
        <f>Y9</f>
        <v/>
      </c>
      <c r="AE9" s="682" t="inlineStr">
        <is>
          <t>ENGAGE</t>
        </is>
      </c>
      <c r="AF9" s="681" t="n"/>
      <c r="AG9" s="678" t="n"/>
      <c r="AH9" s="678" t="n"/>
      <c r="AI9" s="678" t="n"/>
      <c r="AJ9" s="678" t="n"/>
      <c r="AK9" s="683" t="n"/>
      <c r="AL9" s="683" t="n"/>
      <c r="AM9" s="681" t="inlineStr">
        <is>
          <t>Manque n° contrat</t>
        </is>
      </c>
      <c r="AN9" s="684" t="n"/>
      <c r="AO9" s="685" t="n"/>
      <c r="AP9" s="686" t="n"/>
      <c r="AQ9" s="686" t="n"/>
      <c r="AR9" s="23" t="n"/>
      <c r="AS9" s="686" t="n"/>
    </row>
    <row r="10" ht="50.55" customHeight="1" s="392">
      <c r="A10" s="672" t="n">
        <v>2026</v>
      </c>
      <c r="B10" s="673" t="inlineStr">
        <is>
          <t>ARRIYADIA</t>
        </is>
      </c>
      <c r="C10" s="673" t="inlineStr">
        <is>
          <t>PV N° : 01RC2025- DCCCA</t>
        </is>
      </c>
      <c r="D10" s="672" t="inlineStr">
        <is>
          <t>CONTRAT</t>
        </is>
      </c>
      <c r="E10" s="672" t="n"/>
      <c r="F10" s="674" t="inlineStr">
        <is>
          <t>BIOUD ABDELHAK – Cadreur plateau</t>
        </is>
      </c>
      <c r="G10" s="675" t="inlineStr">
        <is>
          <t>VALIDE</t>
        </is>
      </c>
      <c r="H10" s="672" t="inlineStr">
        <is>
          <t>APPROUVE</t>
        </is>
      </c>
      <c r="I10" s="672" t="n"/>
      <c r="J10" s="675" t="inlineStr">
        <is>
          <t>NON CONCERNE</t>
        </is>
      </c>
      <c r="K10" s="672" t="inlineStr">
        <is>
          <t>Ordinaire</t>
        </is>
      </c>
      <c r="L10" s="676" t="inlineStr">
        <is>
          <t>FONCTIONNEMENT</t>
        </is>
      </c>
      <c r="M10" s="676" t="inlineStr">
        <is>
          <t xml:space="preserve">Prestations de service
Achat prestations de services locales - personnes physiques </t>
        </is>
      </c>
      <c r="N10" s="677" t="n"/>
      <c r="O10" s="678" t="n"/>
      <c r="P10" s="678" t="n"/>
      <c r="Q10" s="672" t="inlineStr">
        <is>
          <t>RECONDUCTION</t>
        </is>
      </c>
      <c r="R10" s="679" t="n"/>
      <c r="S10" s="680" t="n"/>
      <c r="T10" s="681" t="inlineStr">
        <is>
          <t>BIOUD ABDELHAK</t>
        </is>
      </c>
      <c r="U10" s="672" t="n">
        <v>2026</v>
      </c>
      <c r="V10" s="680" t="n">
        <v>46022</v>
      </c>
      <c r="W10" s="680" t="n"/>
      <c r="X10" s="680" t="n">
        <v>46024</v>
      </c>
      <c r="Y10" s="677" t="n">
        <v>113142.48</v>
      </c>
      <c r="Z10" s="678" t="n">
        <v>0</v>
      </c>
      <c r="AA10" s="678">
        <f>Y10</f>
        <v/>
      </c>
      <c r="AB10" s="678" t="n">
        <v>0</v>
      </c>
      <c r="AC10" s="678">
        <f>Y10</f>
        <v/>
      </c>
      <c r="AD10" s="678">
        <f>Y10</f>
        <v/>
      </c>
      <c r="AE10" s="682" t="inlineStr">
        <is>
          <t>ENGAGE</t>
        </is>
      </c>
      <c r="AF10" s="681" t="n"/>
      <c r="AG10" s="678" t="n"/>
      <c r="AH10" s="678" t="n"/>
      <c r="AI10" s="678" t="n"/>
      <c r="AJ10" s="678" t="n"/>
      <c r="AK10" s="683" t="n"/>
      <c r="AL10" s="683" t="n"/>
      <c r="AM10" s="681" t="inlineStr">
        <is>
          <t>Manque n° contrat</t>
        </is>
      </c>
      <c r="AN10" s="684" t="n"/>
      <c r="AO10" s="685" t="n"/>
      <c r="AP10" s="686" t="n"/>
      <c r="AQ10" s="686" t="n"/>
      <c r="AR10" s="23" t="n"/>
      <c r="AS10" s="686" t="n"/>
    </row>
    <row r="11" ht="50.55" customHeight="1" s="392">
      <c r="A11" s="672" t="n">
        <v>2026</v>
      </c>
      <c r="B11" s="673" t="inlineStr">
        <is>
          <t>ARRIYADIA</t>
        </is>
      </c>
      <c r="C11" s="673" t="inlineStr">
        <is>
          <t>PV N° : 01RC2025- DCCCA</t>
        </is>
      </c>
      <c r="D11" s="672" t="inlineStr">
        <is>
          <t>CONTRAT</t>
        </is>
      </c>
      <c r="E11" s="672" t="n"/>
      <c r="F11" s="674" t="inlineStr">
        <is>
          <t>IHAB JAMAL EDDINE  - Cadreur plateau</t>
        </is>
      </c>
      <c r="G11" s="675" t="inlineStr">
        <is>
          <t>VALIDE</t>
        </is>
      </c>
      <c r="H11" s="672" t="inlineStr">
        <is>
          <t>APPROUVE</t>
        </is>
      </c>
      <c r="I11" s="672" t="n"/>
      <c r="J11" s="675" t="inlineStr">
        <is>
          <t>NON CONCERNE</t>
        </is>
      </c>
      <c r="K11" s="672" t="inlineStr">
        <is>
          <t>Ordinaire</t>
        </is>
      </c>
      <c r="L11" s="676" t="inlineStr">
        <is>
          <t>FONCTIONNEMENT</t>
        </is>
      </c>
      <c r="M11" s="676" t="inlineStr">
        <is>
          <t xml:space="preserve">Prestations de service
Achat prestations de services locales - personnes physiques </t>
        </is>
      </c>
      <c r="N11" s="677" t="n"/>
      <c r="O11" s="678" t="n"/>
      <c r="P11" s="678" t="n"/>
      <c r="Q11" s="672" t="inlineStr">
        <is>
          <t>RECONDUCTION</t>
        </is>
      </c>
      <c r="R11" s="679" t="n"/>
      <c r="S11" s="680" t="n"/>
      <c r="T11" s="681" t="inlineStr">
        <is>
          <t xml:space="preserve">IHAB JAMAL EDDINE </t>
        </is>
      </c>
      <c r="U11" s="672" t="n">
        <v>2026</v>
      </c>
      <c r="V11" s="680" t="n">
        <v>46022</v>
      </c>
      <c r="W11" s="680" t="n"/>
      <c r="X11" s="680" t="n">
        <v>46024</v>
      </c>
      <c r="Y11" s="677" t="n">
        <v>113142.48</v>
      </c>
      <c r="Z11" s="678" t="n">
        <v>0</v>
      </c>
      <c r="AA11" s="678">
        <f>Y11</f>
        <v/>
      </c>
      <c r="AB11" s="678" t="n">
        <v>0</v>
      </c>
      <c r="AC11" s="678">
        <f>Y11</f>
        <v/>
      </c>
      <c r="AD11" s="678">
        <f>Y11</f>
        <v/>
      </c>
      <c r="AE11" s="682" t="inlineStr">
        <is>
          <t>ENGAGE</t>
        </is>
      </c>
      <c r="AF11" s="681" t="n"/>
      <c r="AG11" s="678" t="n"/>
      <c r="AH11" s="678" t="n"/>
      <c r="AI11" s="678" t="n"/>
      <c r="AJ11" s="678" t="n"/>
      <c r="AK11" s="683" t="n"/>
      <c r="AL11" s="683" t="n"/>
      <c r="AM11" s="681" t="inlineStr">
        <is>
          <t>Manque n° contrat</t>
        </is>
      </c>
      <c r="AN11" s="684" t="n"/>
      <c r="AO11" s="685" t="n"/>
      <c r="AP11" s="686" t="n"/>
      <c r="AQ11" s="686" t="n"/>
      <c r="AR11" s="23" t="n"/>
      <c r="AS11" s="686" t="n"/>
    </row>
    <row r="12" ht="50.55" customHeight="1" s="392">
      <c r="A12" s="672" t="n">
        <v>2026</v>
      </c>
      <c r="B12" s="673" t="inlineStr">
        <is>
          <t>ARRIYADIA</t>
        </is>
      </c>
      <c r="C12" s="673" t="inlineStr">
        <is>
          <t>PV N° : 01RC2025- DCCCA</t>
        </is>
      </c>
      <c r="D12" s="672" t="inlineStr">
        <is>
          <t>CONTRAT</t>
        </is>
      </c>
      <c r="E12" s="672" t="n"/>
      <c r="F12" s="674" t="inlineStr">
        <is>
          <t>YOUSSEF JOUMARI  - Cadreur plateau</t>
        </is>
      </c>
      <c r="G12" s="675" t="inlineStr">
        <is>
          <t>VALIDE</t>
        </is>
      </c>
      <c r="H12" s="672" t="inlineStr">
        <is>
          <t>APPROUVE</t>
        </is>
      </c>
      <c r="I12" s="672" t="n"/>
      <c r="J12" s="675" t="inlineStr">
        <is>
          <t>NON CONCERNE</t>
        </is>
      </c>
      <c r="K12" s="672" t="inlineStr">
        <is>
          <t>Ordinaire</t>
        </is>
      </c>
      <c r="L12" s="676" t="inlineStr">
        <is>
          <t>FONCTIONNEMENT</t>
        </is>
      </c>
      <c r="M12" s="676" t="inlineStr">
        <is>
          <t xml:space="preserve">Prestations de service
Achat prestations de services locales - personnes physiques </t>
        </is>
      </c>
      <c r="N12" s="677" t="n"/>
      <c r="O12" s="678" t="n"/>
      <c r="P12" s="678" t="n"/>
      <c r="Q12" s="672" t="inlineStr">
        <is>
          <t>RECONDUCTION</t>
        </is>
      </c>
      <c r="R12" s="679" t="n"/>
      <c r="S12" s="680" t="n"/>
      <c r="T12" s="681" t="inlineStr">
        <is>
          <t xml:space="preserve">IHAB JAMAL EDDINE </t>
        </is>
      </c>
      <c r="U12" s="672" t="n">
        <v>2026</v>
      </c>
      <c r="V12" s="680" t="n">
        <v>46022</v>
      </c>
      <c r="W12" s="680" t="n"/>
      <c r="X12" s="680" t="n">
        <v>46024</v>
      </c>
      <c r="Y12" s="677" t="n">
        <v>113142.48</v>
      </c>
      <c r="Z12" s="678" t="n">
        <v>0</v>
      </c>
      <c r="AA12" s="678">
        <f>Y12</f>
        <v/>
      </c>
      <c r="AB12" s="678" t="n">
        <v>0</v>
      </c>
      <c r="AC12" s="678">
        <f>Y12</f>
        <v/>
      </c>
      <c r="AD12" s="678">
        <f>Y12</f>
        <v/>
      </c>
      <c r="AE12" s="682" t="inlineStr">
        <is>
          <t>ENGAGE</t>
        </is>
      </c>
      <c r="AF12" s="681" t="n"/>
      <c r="AG12" s="678" t="n"/>
      <c r="AH12" s="678" t="n"/>
      <c r="AI12" s="678" t="n"/>
      <c r="AJ12" s="678" t="n"/>
      <c r="AK12" s="683" t="n"/>
      <c r="AL12" s="683" t="n"/>
      <c r="AM12" s="681" t="inlineStr">
        <is>
          <t>Manque n° contrat</t>
        </is>
      </c>
      <c r="AN12" s="684" t="n"/>
      <c r="AO12" s="685" t="n"/>
      <c r="AP12" s="686" t="n"/>
      <c r="AQ12" s="686" t="n"/>
      <c r="AR12" s="23" t="n"/>
      <c r="AS12" s="686" t="n"/>
    </row>
    <row r="13" ht="50.55" customHeight="1" s="392">
      <c r="A13" s="672" t="n">
        <v>2026</v>
      </c>
      <c r="B13" s="673" t="inlineStr">
        <is>
          <t>ARRIYADIA</t>
        </is>
      </c>
      <c r="C13" s="673" t="inlineStr">
        <is>
          <t>PV N° : 01RC2025- DCCCA</t>
        </is>
      </c>
      <c r="D13" s="672" t="inlineStr">
        <is>
          <t>CONTRAT</t>
        </is>
      </c>
      <c r="E13" s="672" t="n"/>
      <c r="F13" s="674" t="inlineStr">
        <is>
          <t>MUSTAPHA SKALLI  - Cadreur plateau</t>
        </is>
      </c>
      <c r="G13" s="675" t="inlineStr">
        <is>
          <t>VALIDE</t>
        </is>
      </c>
      <c r="H13" s="672" t="inlineStr">
        <is>
          <t>APPROUVE</t>
        </is>
      </c>
      <c r="I13" s="672" t="n"/>
      <c r="J13" s="675" t="inlineStr">
        <is>
          <t>NON CONCERNE</t>
        </is>
      </c>
      <c r="K13" s="672" t="inlineStr">
        <is>
          <t>Ordinaire</t>
        </is>
      </c>
      <c r="L13" s="676" t="inlineStr">
        <is>
          <t>FONCTIONNEMENT</t>
        </is>
      </c>
      <c r="M13" s="676" t="inlineStr">
        <is>
          <t xml:space="preserve">Prestations de service
Achat prestations de services locales - personnes physiques </t>
        </is>
      </c>
      <c r="N13" s="677" t="n"/>
      <c r="O13" s="678" t="n"/>
      <c r="P13" s="678" t="n"/>
      <c r="Q13" s="672" t="inlineStr">
        <is>
          <t>RECONDUCTION</t>
        </is>
      </c>
      <c r="R13" s="679" t="n"/>
      <c r="S13" s="680" t="n"/>
      <c r="T13" s="681" t="inlineStr">
        <is>
          <t>MUSTAPHA SKALLI</t>
        </is>
      </c>
      <c r="U13" s="672" t="n">
        <v>2026</v>
      </c>
      <c r="V13" s="680" t="n">
        <v>46022</v>
      </c>
      <c r="W13" s="680" t="n"/>
      <c r="X13" s="680" t="n">
        <v>46024</v>
      </c>
      <c r="Y13" s="677" t="n">
        <v>113142.48</v>
      </c>
      <c r="Z13" s="678" t="n">
        <v>0</v>
      </c>
      <c r="AA13" s="678">
        <f>Y13</f>
        <v/>
      </c>
      <c r="AB13" s="678" t="n">
        <v>0</v>
      </c>
      <c r="AC13" s="678">
        <f>Y13</f>
        <v/>
      </c>
      <c r="AD13" s="678">
        <f>Y13</f>
        <v/>
      </c>
      <c r="AE13" s="682" t="inlineStr">
        <is>
          <t>ENGAGE</t>
        </is>
      </c>
      <c r="AF13" s="681" t="n"/>
      <c r="AG13" s="678" t="n"/>
      <c r="AH13" s="678" t="n"/>
      <c r="AI13" s="678" t="n"/>
      <c r="AJ13" s="678" t="n"/>
      <c r="AK13" s="683" t="n"/>
      <c r="AL13" s="683" t="n"/>
      <c r="AM13" s="681" t="inlineStr">
        <is>
          <t>Manque n° contrat</t>
        </is>
      </c>
      <c r="AN13" s="684" t="n"/>
      <c r="AO13" s="685" t="n"/>
      <c r="AP13" s="686" t="n"/>
      <c r="AQ13" s="686" t="n"/>
      <c r="AR13" s="23" t="n"/>
      <c r="AS13" s="686" t="n"/>
    </row>
    <row r="14" ht="50.55" customHeight="1" s="392">
      <c r="A14" s="672" t="n">
        <v>2026</v>
      </c>
      <c r="B14" s="673" t="inlineStr">
        <is>
          <t>ARRIYADIA</t>
        </is>
      </c>
      <c r="C14" s="673" t="inlineStr">
        <is>
          <t>PV N° : 01RC2025- DCCCA</t>
        </is>
      </c>
      <c r="D14" s="672" t="inlineStr">
        <is>
          <t>CONTRAT</t>
        </is>
      </c>
      <c r="E14" s="672" t="n"/>
      <c r="F14" s="674" t="inlineStr">
        <is>
          <t>YOUSSEF EL FERNANI  - Cadreur plateau</t>
        </is>
      </c>
      <c r="G14" s="675" t="inlineStr">
        <is>
          <t>VALIDE</t>
        </is>
      </c>
      <c r="H14" s="672" t="inlineStr">
        <is>
          <t>APPROUVE</t>
        </is>
      </c>
      <c r="I14" s="672" t="n"/>
      <c r="J14" s="675" t="inlineStr">
        <is>
          <t>NON CONCERNE</t>
        </is>
      </c>
      <c r="K14" s="672" t="inlineStr">
        <is>
          <t>Ordinaire</t>
        </is>
      </c>
      <c r="L14" s="676" t="inlineStr">
        <is>
          <t>FONCTIONNEMENT</t>
        </is>
      </c>
      <c r="M14" s="676" t="inlineStr">
        <is>
          <t xml:space="preserve">Prestations de service
Achat prestations de services locales - personnes physiques </t>
        </is>
      </c>
      <c r="N14" s="677" t="n"/>
      <c r="O14" s="678" t="n"/>
      <c r="P14" s="678" t="n"/>
      <c r="Q14" s="672" t="inlineStr">
        <is>
          <t>RECONDUCTION</t>
        </is>
      </c>
      <c r="R14" s="679" t="n"/>
      <c r="S14" s="680" t="n"/>
      <c r="T14" s="681" t="inlineStr">
        <is>
          <t>YOUSSEF EL FERNANI</t>
        </is>
      </c>
      <c r="U14" s="672" t="n">
        <v>2026</v>
      </c>
      <c r="V14" s="680" t="n">
        <v>46022</v>
      </c>
      <c r="W14" s="680" t="n"/>
      <c r="X14" s="680" t="n">
        <v>46024</v>
      </c>
      <c r="Y14" s="677" t="n">
        <v>113142.48</v>
      </c>
      <c r="Z14" s="678" t="n">
        <v>0</v>
      </c>
      <c r="AA14" s="678">
        <f>Y14</f>
        <v/>
      </c>
      <c r="AB14" s="678" t="n">
        <v>0</v>
      </c>
      <c r="AC14" s="678">
        <f>Y14</f>
        <v/>
      </c>
      <c r="AD14" s="678">
        <f>Y14</f>
        <v/>
      </c>
      <c r="AE14" s="682" t="inlineStr">
        <is>
          <t>ENGAGE</t>
        </is>
      </c>
      <c r="AF14" s="681" t="n"/>
      <c r="AG14" s="678" t="n"/>
      <c r="AH14" s="678" t="n"/>
      <c r="AI14" s="678" t="n"/>
      <c r="AJ14" s="678" t="n"/>
      <c r="AK14" s="683" t="n"/>
      <c r="AL14" s="683" t="n"/>
      <c r="AM14" s="681" t="inlineStr">
        <is>
          <t>Manque n° contrat</t>
        </is>
      </c>
      <c r="AN14" s="684" t="n"/>
      <c r="AO14" s="685" t="n"/>
      <c r="AP14" s="686" t="n"/>
      <c r="AQ14" s="686" t="n"/>
      <c r="AR14" s="23" t="n"/>
      <c r="AS14" s="686" t="n"/>
    </row>
    <row r="15" ht="50.55" customHeight="1" s="392">
      <c r="A15" s="672" t="n">
        <v>2026</v>
      </c>
      <c r="B15" s="673" t="inlineStr">
        <is>
          <t>ARRIYADIA</t>
        </is>
      </c>
      <c r="C15" s="673" t="inlineStr">
        <is>
          <t>PV N° : 01RC2025- DCCCA</t>
        </is>
      </c>
      <c r="D15" s="672" t="inlineStr">
        <is>
          <t>CONTRAT</t>
        </is>
      </c>
      <c r="E15" s="672" t="n"/>
      <c r="F15" s="674" t="inlineStr">
        <is>
          <t>YOUNES ZARIR - Cameraman/reporteur</t>
        </is>
      </c>
      <c r="G15" s="675" t="inlineStr">
        <is>
          <t>VALIDE</t>
        </is>
      </c>
      <c r="H15" s="672" t="inlineStr">
        <is>
          <t>APPROUVE</t>
        </is>
      </c>
      <c r="I15" s="672" t="n"/>
      <c r="J15" s="675" t="inlineStr">
        <is>
          <t>NON CONCERNE</t>
        </is>
      </c>
      <c r="K15" s="672" t="inlineStr">
        <is>
          <t>Ordinaire</t>
        </is>
      </c>
      <c r="L15" s="676" t="inlineStr">
        <is>
          <t>FONCTIONNEMENT</t>
        </is>
      </c>
      <c r="M15" s="676" t="inlineStr">
        <is>
          <t xml:space="preserve">Prestations de service
Achat prestations de services locales - personnes physiques </t>
        </is>
      </c>
      <c r="N15" s="677" t="n"/>
      <c r="O15" s="678" t="n"/>
      <c r="P15" s="678" t="n"/>
      <c r="Q15" s="672" t="inlineStr">
        <is>
          <t>RECONDUCTION</t>
        </is>
      </c>
      <c r="R15" s="679" t="n"/>
      <c r="S15" s="680" t="n"/>
      <c r="T15" s="681" t="inlineStr">
        <is>
          <t>YOUNES ZARIR</t>
        </is>
      </c>
      <c r="U15" s="672" t="n">
        <v>2026</v>
      </c>
      <c r="V15" s="680" t="n">
        <v>46022</v>
      </c>
      <c r="W15" s="680" t="n"/>
      <c r="X15" s="680" t="n">
        <v>46024</v>
      </c>
      <c r="Y15" s="677" t="n">
        <v>113142.48</v>
      </c>
      <c r="Z15" s="678" t="n">
        <v>0</v>
      </c>
      <c r="AA15" s="678">
        <f>Y15</f>
        <v/>
      </c>
      <c r="AB15" s="678" t="n">
        <v>0</v>
      </c>
      <c r="AC15" s="678">
        <f>Y15</f>
        <v/>
      </c>
      <c r="AD15" s="678">
        <f>Y15</f>
        <v/>
      </c>
      <c r="AE15" s="682" t="inlineStr">
        <is>
          <t>ENGAGE</t>
        </is>
      </c>
      <c r="AF15" s="681" t="n"/>
      <c r="AG15" s="678" t="n"/>
      <c r="AH15" s="678" t="n"/>
      <c r="AI15" s="678" t="n"/>
      <c r="AJ15" s="678" t="n"/>
      <c r="AK15" s="683" t="n"/>
      <c r="AL15" s="683" t="n"/>
      <c r="AM15" s="681" t="inlineStr">
        <is>
          <t>Manque n° contrat</t>
        </is>
      </c>
      <c r="AN15" s="684" t="n"/>
      <c r="AO15" s="685" t="n"/>
      <c r="AP15" s="686" t="n"/>
      <c r="AQ15" s="686" t="n"/>
      <c r="AR15" s="23" t="n"/>
      <c r="AS15" s="686" t="n"/>
    </row>
    <row r="16" ht="50.55" customHeight="1" s="392">
      <c r="A16" s="672" t="n">
        <v>2026</v>
      </c>
      <c r="B16" s="673" t="inlineStr">
        <is>
          <t>ARRIYADIA</t>
        </is>
      </c>
      <c r="C16" s="673" t="inlineStr">
        <is>
          <t>PV N° : 01RC2025- DCCCA</t>
        </is>
      </c>
      <c r="D16" s="672" t="inlineStr">
        <is>
          <t>CONTRAT</t>
        </is>
      </c>
      <c r="E16" s="672" t="n"/>
      <c r="F16" s="674" t="inlineStr">
        <is>
          <t>AZEDDINE ESSATOURI  - Cameraman/reporteur</t>
        </is>
      </c>
      <c r="G16" s="675" t="inlineStr">
        <is>
          <t>VALIDE</t>
        </is>
      </c>
      <c r="H16" s="672" t="inlineStr">
        <is>
          <t>APPROUVE</t>
        </is>
      </c>
      <c r="I16" s="672" t="n"/>
      <c r="J16" s="675" t="inlineStr">
        <is>
          <t>NON CONCERNE</t>
        </is>
      </c>
      <c r="K16" s="672" t="inlineStr">
        <is>
          <t>Ordinaire</t>
        </is>
      </c>
      <c r="L16" s="676" t="inlineStr">
        <is>
          <t>FONCTIONNEMENT</t>
        </is>
      </c>
      <c r="M16" s="676" t="inlineStr">
        <is>
          <t xml:space="preserve">Prestations de service
Achat prestations de services locales - personnes physiques </t>
        </is>
      </c>
      <c r="N16" s="677" t="n"/>
      <c r="O16" s="678" t="n"/>
      <c r="P16" s="678" t="n"/>
      <c r="Q16" s="672" t="inlineStr">
        <is>
          <t>RECONDUCTION</t>
        </is>
      </c>
      <c r="R16" s="679" t="n"/>
      <c r="S16" s="680" t="n"/>
      <c r="T16" s="681" t="inlineStr">
        <is>
          <t>AZEDDINE ESSATOURI</t>
        </is>
      </c>
      <c r="U16" s="672" t="n">
        <v>2026</v>
      </c>
      <c r="V16" s="680" t="n">
        <v>46022</v>
      </c>
      <c r="W16" s="680" t="n"/>
      <c r="X16" s="680" t="n">
        <v>46024</v>
      </c>
      <c r="Y16" s="677" t="n">
        <v>113142.48</v>
      </c>
      <c r="Z16" s="678" t="n">
        <v>0</v>
      </c>
      <c r="AA16" s="678">
        <f>Y16</f>
        <v/>
      </c>
      <c r="AB16" s="678" t="n">
        <v>0</v>
      </c>
      <c r="AC16" s="678">
        <f>Y16</f>
        <v/>
      </c>
      <c r="AD16" s="678">
        <f>Y16</f>
        <v/>
      </c>
      <c r="AE16" s="682" t="inlineStr">
        <is>
          <t>ENGAGE</t>
        </is>
      </c>
      <c r="AF16" s="681" t="n"/>
      <c r="AG16" s="678" t="n"/>
      <c r="AH16" s="678" t="n"/>
      <c r="AI16" s="678" t="n"/>
      <c r="AJ16" s="678" t="n"/>
      <c r="AK16" s="683" t="n"/>
      <c r="AL16" s="683" t="n"/>
      <c r="AM16" s="681" t="inlineStr">
        <is>
          <t>Manque n° contrat</t>
        </is>
      </c>
      <c r="AN16" s="684" t="n"/>
      <c r="AO16" s="685" t="n"/>
      <c r="AP16" s="686" t="n"/>
      <c r="AQ16" s="686" t="n"/>
      <c r="AR16" s="23" t="n"/>
      <c r="AS16" s="686" t="n"/>
    </row>
    <row r="17" ht="50.55" customHeight="1" s="392">
      <c r="A17" s="672" t="n">
        <v>2026</v>
      </c>
      <c r="B17" s="673" t="inlineStr">
        <is>
          <t>ARRIYADIA</t>
        </is>
      </c>
      <c r="C17" s="673" t="inlineStr">
        <is>
          <t>PV N° : 01RC2025- DCCCA</t>
        </is>
      </c>
      <c r="D17" s="672" t="inlineStr">
        <is>
          <t>CONTRAT</t>
        </is>
      </c>
      <c r="E17" s="672" t="n"/>
      <c r="F17" s="674" t="inlineStr">
        <is>
          <t>SOUFIANE ZIAT  - Cameraman/reporteur</t>
        </is>
      </c>
      <c r="G17" s="675" t="inlineStr">
        <is>
          <t>VALIDE</t>
        </is>
      </c>
      <c r="H17" s="672" t="inlineStr">
        <is>
          <t>APPROUVE</t>
        </is>
      </c>
      <c r="I17" s="672" t="n"/>
      <c r="J17" s="675" t="inlineStr">
        <is>
          <t>NON CONCERNE</t>
        </is>
      </c>
      <c r="K17" s="672" t="inlineStr">
        <is>
          <t>Ordinaire</t>
        </is>
      </c>
      <c r="L17" s="676" t="inlineStr">
        <is>
          <t>FONCTIONNEMENT</t>
        </is>
      </c>
      <c r="M17" s="676" t="inlineStr">
        <is>
          <t xml:space="preserve">Prestations de service
Achat prestations de services locales - personnes physiques </t>
        </is>
      </c>
      <c r="N17" s="677" t="n"/>
      <c r="O17" s="678" t="n"/>
      <c r="P17" s="678" t="n"/>
      <c r="Q17" s="672" t="inlineStr">
        <is>
          <t>RECONDUCTION</t>
        </is>
      </c>
      <c r="R17" s="679" t="n"/>
      <c r="S17" s="680" t="n"/>
      <c r="T17" s="681" t="inlineStr">
        <is>
          <t>SOUFIANE ZIAT</t>
        </is>
      </c>
      <c r="U17" s="672" t="n">
        <v>2026</v>
      </c>
      <c r="V17" s="680" t="n">
        <v>46022</v>
      </c>
      <c r="W17" s="680" t="n"/>
      <c r="X17" s="680" t="n">
        <v>46024</v>
      </c>
      <c r="Y17" s="677" t="n">
        <v>113142.48</v>
      </c>
      <c r="Z17" s="678" t="n">
        <v>0</v>
      </c>
      <c r="AA17" s="678">
        <f>Y17</f>
        <v/>
      </c>
      <c r="AB17" s="678" t="n">
        <v>0</v>
      </c>
      <c r="AC17" s="678">
        <f>Y17</f>
        <v/>
      </c>
      <c r="AD17" s="678">
        <f>Y17</f>
        <v/>
      </c>
      <c r="AE17" s="682" t="inlineStr">
        <is>
          <t>ENGAGE</t>
        </is>
      </c>
      <c r="AF17" s="681" t="n"/>
      <c r="AG17" s="678" t="n"/>
      <c r="AH17" s="678" t="n"/>
      <c r="AI17" s="678" t="n"/>
      <c r="AJ17" s="678" t="n"/>
      <c r="AK17" s="683" t="n"/>
      <c r="AL17" s="683" t="n"/>
      <c r="AM17" s="681" t="inlineStr">
        <is>
          <t>Manque n° contrat</t>
        </is>
      </c>
      <c r="AN17" s="684" t="n"/>
      <c r="AO17" s="685" t="n"/>
      <c r="AP17" s="686" t="n"/>
      <c r="AQ17" s="686" t="n"/>
      <c r="AR17" s="23" t="n"/>
      <c r="AS17" s="686" t="n"/>
    </row>
    <row r="18" ht="50.55" customHeight="1" s="392">
      <c r="A18" s="672" t="n">
        <v>2026</v>
      </c>
      <c r="B18" s="673" t="inlineStr">
        <is>
          <t>ARRIYADIA</t>
        </is>
      </c>
      <c r="C18" s="673" t="inlineStr">
        <is>
          <t>PV N° : 01RC2025- DCCCA</t>
        </is>
      </c>
      <c r="D18" s="672" t="inlineStr">
        <is>
          <t>CONTRAT</t>
        </is>
      </c>
      <c r="E18" s="672" t="n"/>
      <c r="F18" s="674" t="inlineStr">
        <is>
          <t>ABDELHAK EL GANTITI  - Cameraman/reporteur</t>
        </is>
      </c>
      <c r="G18" s="675" t="inlineStr">
        <is>
          <t>VALIDE</t>
        </is>
      </c>
      <c r="H18" s="672" t="inlineStr">
        <is>
          <t>APPROUVE</t>
        </is>
      </c>
      <c r="I18" s="672" t="n"/>
      <c r="J18" s="675" t="inlineStr">
        <is>
          <t>NON CONCERNE</t>
        </is>
      </c>
      <c r="K18" s="672" t="inlineStr">
        <is>
          <t>Ordinaire</t>
        </is>
      </c>
      <c r="L18" s="676" t="inlineStr">
        <is>
          <t>FONCTIONNEMENT</t>
        </is>
      </c>
      <c r="M18" s="676" t="inlineStr">
        <is>
          <t xml:space="preserve">Prestations de service
Achat prestations de services locales - personnes physiques </t>
        </is>
      </c>
      <c r="N18" s="677" t="n"/>
      <c r="O18" s="678" t="n"/>
      <c r="P18" s="678" t="n"/>
      <c r="Q18" s="672" t="inlineStr">
        <is>
          <t>RECONDUCTION</t>
        </is>
      </c>
      <c r="R18" s="679" t="n"/>
      <c r="S18" s="680" t="n"/>
      <c r="T18" s="681" t="inlineStr">
        <is>
          <t>ABDELHAK EL GANTITI</t>
        </is>
      </c>
      <c r="U18" s="672" t="n">
        <v>2026</v>
      </c>
      <c r="V18" s="680" t="n">
        <v>46022</v>
      </c>
      <c r="W18" s="680" t="n"/>
      <c r="X18" s="680" t="n">
        <v>46024</v>
      </c>
      <c r="Y18" s="677" t="n">
        <v>113142.48</v>
      </c>
      <c r="Z18" s="678" t="n">
        <v>0</v>
      </c>
      <c r="AA18" s="678">
        <f>Y18</f>
        <v/>
      </c>
      <c r="AB18" s="678" t="n">
        <v>0</v>
      </c>
      <c r="AC18" s="678">
        <f>Y18</f>
        <v/>
      </c>
      <c r="AD18" s="678">
        <f>Y18</f>
        <v/>
      </c>
      <c r="AE18" s="682" t="inlineStr">
        <is>
          <t>ENGAGE</t>
        </is>
      </c>
      <c r="AF18" s="681" t="n"/>
      <c r="AG18" s="678" t="n"/>
      <c r="AH18" s="678" t="n"/>
      <c r="AI18" s="678" t="n"/>
      <c r="AJ18" s="678" t="n"/>
      <c r="AK18" s="683" t="n"/>
      <c r="AL18" s="683" t="n"/>
      <c r="AM18" s="681" t="inlineStr">
        <is>
          <t>Manque n° contrat</t>
        </is>
      </c>
      <c r="AN18" s="684" t="n"/>
      <c r="AO18" s="685" t="n"/>
      <c r="AP18" s="686" t="n"/>
      <c r="AQ18" s="686" t="n"/>
      <c r="AR18" s="23" t="n"/>
      <c r="AS18" s="686" t="n"/>
    </row>
    <row r="19" ht="50.55" customHeight="1" s="392">
      <c r="A19" s="672" t="n">
        <v>2026</v>
      </c>
      <c r="B19" s="673" t="inlineStr">
        <is>
          <t>ARRIYADIA</t>
        </is>
      </c>
      <c r="C19" s="673" t="inlineStr">
        <is>
          <t>PV N° : 01RC2025- DCCCA</t>
        </is>
      </c>
      <c r="D19" s="672" t="inlineStr">
        <is>
          <t>CONTRAT</t>
        </is>
      </c>
      <c r="E19" s="672" t="n"/>
      <c r="F19" s="674" t="inlineStr">
        <is>
          <t>MOHAMED RAFIQ – Cadreur plateau/technicien coordinateur d’antenne TV</t>
        </is>
      </c>
      <c r="G19" s="675" t="inlineStr">
        <is>
          <t>VALIDE</t>
        </is>
      </c>
      <c r="H19" s="672" t="inlineStr">
        <is>
          <t>APPROUVE</t>
        </is>
      </c>
      <c r="I19" s="672" t="n"/>
      <c r="J19" s="675" t="inlineStr">
        <is>
          <t>NON CONCERNE</t>
        </is>
      </c>
      <c r="K19" s="672" t="inlineStr">
        <is>
          <t>Ordinaire</t>
        </is>
      </c>
      <c r="L19" s="676" t="inlineStr">
        <is>
          <t>FONCTIONNEMENT</t>
        </is>
      </c>
      <c r="M19" s="676" t="inlineStr">
        <is>
          <t xml:space="preserve">Prestations de service
Achat prestations de services locales - personnes physiques </t>
        </is>
      </c>
      <c r="N19" s="677" t="n"/>
      <c r="O19" s="678" t="n"/>
      <c r="P19" s="678" t="n"/>
      <c r="Q19" s="672" t="inlineStr">
        <is>
          <t>RECONDUCTION</t>
        </is>
      </c>
      <c r="R19" s="679" t="n"/>
      <c r="S19" s="680" t="n"/>
      <c r="T19" s="681" t="inlineStr">
        <is>
          <t>MOHAMED RAFIQ</t>
        </is>
      </c>
      <c r="U19" s="672" t="n">
        <v>2026</v>
      </c>
      <c r="V19" s="680" t="n">
        <v>46022</v>
      </c>
      <c r="W19" s="680" t="n"/>
      <c r="X19" s="680" t="n">
        <v>46024</v>
      </c>
      <c r="Y19" s="677" t="n">
        <v>113142.48</v>
      </c>
      <c r="Z19" s="678" t="n">
        <v>0</v>
      </c>
      <c r="AA19" s="678">
        <f>Y19</f>
        <v/>
      </c>
      <c r="AB19" s="678" t="n">
        <v>0</v>
      </c>
      <c r="AC19" s="678">
        <f>Y19</f>
        <v/>
      </c>
      <c r="AD19" s="678">
        <f>Y19</f>
        <v/>
      </c>
      <c r="AE19" s="682" t="inlineStr">
        <is>
          <t>ENGAGE</t>
        </is>
      </c>
      <c r="AF19" s="681" t="n"/>
      <c r="AG19" s="678" t="n"/>
      <c r="AH19" s="678" t="n"/>
      <c r="AI19" s="678" t="n"/>
      <c r="AJ19" s="678" t="n"/>
      <c r="AK19" s="683" t="n"/>
      <c r="AL19" s="683" t="n"/>
      <c r="AM19" s="681" t="inlineStr">
        <is>
          <t>Manque n° contrat</t>
        </is>
      </c>
      <c r="AN19" s="684" t="n"/>
      <c r="AO19" s="685" t="n"/>
      <c r="AP19" s="686" t="n"/>
      <c r="AQ19" s="686" t="n"/>
      <c r="AR19" s="23" t="n"/>
      <c r="AS19" s="686" t="n"/>
    </row>
    <row r="20" ht="50.55" customHeight="1" s="392">
      <c r="A20" s="672" t="n">
        <v>2026</v>
      </c>
      <c r="B20" s="673" t="inlineStr">
        <is>
          <t>ARRIYADIA</t>
        </is>
      </c>
      <c r="C20" s="673" t="inlineStr">
        <is>
          <t>PV N° : 01RC2025- DCCCA</t>
        </is>
      </c>
      <c r="D20" s="672" t="inlineStr">
        <is>
          <t>CONTRAT</t>
        </is>
      </c>
      <c r="E20" s="672" t="n"/>
      <c r="F20" s="674" t="inlineStr">
        <is>
          <t>ASMAA ADDAR - Monteur truquiste</t>
        </is>
      </c>
      <c r="G20" s="675" t="inlineStr">
        <is>
          <t>VALIDE</t>
        </is>
      </c>
      <c r="H20" s="672" t="inlineStr">
        <is>
          <t>APPROUVE</t>
        </is>
      </c>
      <c r="I20" s="672" t="n"/>
      <c r="J20" s="675" t="inlineStr">
        <is>
          <t>NON CONCERNE</t>
        </is>
      </c>
      <c r="K20" s="672" t="inlineStr">
        <is>
          <t>Ordinaire</t>
        </is>
      </c>
      <c r="L20" s="676" t="inlineStr">
        <is>
          <t>FONCTIONNEMENT</t>
        </is>
      </c>
      <c r="M20" s="676" t="inlineStr">
        <is>
          <t xml:space="preserve">Prestations de service
Achat prestations de services locales - personnes physiques </t>
        </is>
      </c>
      <c r="N20" s="677" t="n"/>
      <c r="O20" s="678" t="n"/>
      <c r="P20" s="678" t="n"/>
      <c r="Q20" s="672" t="inlineStr">
        <is>
          <t>RECONDUCTION</t>
        </is>
      </c>
      <c r="R20" s="679" t="n"/>
      <c r="S20" s="680" t="n"/>
      <c r="T20" s="681" t="inlineStr">
        <is>
          <t xml:space="preserve">ASMAA ADDAR </t>
        </is>
      </c>
      <c r="U20" s="672" t="n">
        <v>2026</v>
      </c>
      <c r="V20" s="680" t="n">
        <v>46022</v>
      </c>
      <c r="W20" s="680" t="n"/>
      <c r="X20" s="680" t="n">
        <v>46024</v>
      </c>
      <c r="Y20" s="677" t="n">
        <v>113142.48</v>
      </c>
      <c r="Z20" s="678" t="n">
        <v>0</v>
      </c>
      <c r="AA20" s="678">
        <f>Y20</f>
        <v/>
      </c>
      <c r="AB20" s="678" t="n">
        <v>0</v>
      </c>
      <c r="AC20" s="678">
        <f>Y20</f>
        <v/>
      </c>
      <c r="AD20" s="678">
        <f>Y20</f>
        <v/>
      </c>
      <c r="AE20" s="682" t="inlineStr">
        <is>
          <t>ENGAGE</t>
        </is>
      </c>
      <c r="AF20" s="681" t="n"/>
      <c r="AG20" s="678" t="n"/>
      <c r="AH20" s="678" t="n"/>
      <c r="AI20" s="678" t="n"/>
      <c r="AJ20" s="678" t="n"/>
      <c r="AK20" s="683" t="n"/>
      <c r="AL20" s="683" t="n"/>
      <c r="AM20" s="681" t="inlineStr">
        <is>
          <t>Manque n° contrat</t>
        </is>
      </c>
      <c r="AN20" s="684" t="n"/>
      <c r="AO20" s="685" t="n"/>
      <c r="AP20" s="686" t="n"/>
      <c r="AQ20" s="686" t="n"/>
      <c r="AR20" s="23" t="n"/>
      <c r="AS20" s="686" t="n"/>
    </row>
    <row r="21" ht="50.55" customHeight="1" s="392">
      <c r="A21" s="672" t="n">
        <v>2026</v>
      </c>
      <c r="B21" s="673" t="inlineStr">
        <is>
          <t>ARRIYADIA</t>
        </is>
      </c>
      <c r="C21" s="673" t="inlineStr">
        <is>
          <t>PV N° : 01RC2025- DCCCA</t>
        </is>
      </c>
      <c r="D21" s="672" t="inlineStr">
        <is>
          <t>CONTRAT</t>
        </is>
      </c>
      <c r="E21" s="672" t="n"/>
      <c r="F21" s="674" t="inlineStr">
        <is>
          <t>BAII FATIMA ZAHRA - Monteur truquiste</t>
        </is>
      </c>
      <c r="G21" s="675" t="inlineStr">
        <is>
          <t>VALIDE</t>
        </is>
      </c>
      <c r="H21" s="672" t="inlineStr">
        <is>
          <t>APPROUVE</t>
        </is>
      </c>
      <c r="I21" s="672" t="n"/>
      <c r="J21" s="675" t="inlineStr">
        <is>
          <t>NON CONCERNE</t>
        </is>
      </c>
      <c r="K21" s="672" t="inlineStr">
        <is>
          <t>Ordinaire</t>
        </is>
      </c>
      <c r="L21" s="676" t="inlineStr">
        <is>
          <t>FONCTIONNEMENT</t>
        </is>
      </c>
      <c r="M21" s="676" t="inlineStr">
        <is>
          <t xml:space="preserve">Prestations de service
Achat prestations de services locales - personnes physiques </t>
        </is>
      </c>
      <c r="N21" s="677" t="n"/>
      <c r="O21" s="678" t="n"/>
      <c r="P21" s="678" t="n"/>
      <c r="Q21" s="672" t="inlineStr">
        <is>
          <t>RECONDUCTION</t>
        </is>
      </c>
      <c r="R21" s="679" t="n"/>
      <c r="S21" s="680" t="n"/>
      <c r="T21" s="681" t="inlineStr">
        <is>
          <t>BAII FATIMA ZAHRA</t>
        </is>
      </c>
      <c r="U21" s="672" t="n">
        <v>2026</v>
      </c>
      <c r="V21" s="680" t="n">
        <v>46022</v>
      </c>
      <c r="W21" s="680" t="n"/>
      <c r="X21" s="680" t="n">
        <v>46024</v>
      </c>
      <c r="Y21" s="677" t="n">
        <v>113142.48</v>
      </c>
      <c r="Z21" s="678" t="n">
        <v>0</v>
      </c>
      <c r="AA21" s="678">
        <f>Y21</f>
        <v/>
      </c>
      <c r="AB21" s="678" t="n">
        <v>0</v>
      </c>
      <c r="AC21" s="678">
        <f>Y21</f>
        <v/>
      </c>
      <c r="AD21" s="678">
        <f>Y21</f>
        <v/>
      </c>
      <c r="AE21" s="682" t="inlineStr">
        <is>
          <t>ENGAGE</t>
        </is>
      </c>
      <c r="AF21" s="681" t="n"/>
      <c r="AG21" s="678" t="n"/>
      <c r="AH21" s="678" t="n"/>
      <c r="AI21" s="678" t="n"/>
      <c r="AJ21" s="678" t="n"/>
      <c r="AK21" s="683" t="n"/>
      <c r="AL21" s="683" t="n"/>
      <c r="AM21" s="681" t="inlineStr">
        <is>
          <t>Manque n° contrat</t>
        </is>
      </c>
      <c r="AN21" s="684" t="n"/>
      <c r="AO21" s="685" t="n"/>
      <c r="AP21" s="686" t="n"/>
      <c r="AQ21" s="686" t="n"/>
      <c r="AR21" s="23" t="n"/>
      <c r="AS21" s="686" t="n"/>
    </row>
    <row r="22" ht="50.55" customHeight="1" s="392">
      <c r="A22" s="672" t="n">
        <v>2026</v>
      </c>
      <c r="B22" s="673" t="inlineStr">
        <is>
          <t>ARRIYADIA</t>
        </is>
      </c>
      <c r="C22" s="673" t="inlineStr">
        <is>
          <t>PV N° : 01RC2025- DCCCA</t>
        </is>
      </c>
      <c r="D22" s="672" t="inlineStr">
        <is>
          <t>CONTRAT</t>
        </is>
      </c>
      <c r="E22" s="672" t="n"/>
      <c r="F22" s="674" t="inlineStr">
        <is>
          <t>DOUAA HMIMOU - Monteur truquiste</t>
        </is>
      </c>
      <c r="G22" s="675" t="inlineStr">
        <is>
          <t>VALIDE</t>
        </is>
      </c>
      <c r="H22" s="672" t="inlineStr">
        <is>
          <t>APPROUVE</t>
        </is>
      </c>
      <c r="I22" s="672" t="n"/>
      <c r="J22" s="675" t="inlineStr">
        <is>
          <t>NON CONCERNE</t>
        </is>
      </c>
      <c r="K22" s="672" t="inlineStr">
        <is>
          <t>Ordinaire</t>
        </is>
      </c>
      <c r="L22" s="676" t="inlineStr">
        <is>
          <t>FONCTIONNEMENT</t>
        </is>
      </c>
      <c r="M22" s="676" t="inlineStr">
        <is>
          <t xml:space="preserve">Prestations de service
Achat prestations de services locales - personnes physiques </t>
        </is>
      </c>
      <c r="N22" s="677" t="n"/>
      <c r="O22" s="678" t="n"/>
      <c r="P22" s="678" t="n"/>
      <c r="Q22" s="672" t="inlineStr">
        <is>
          <t>RECONDUCTION</t>
        </is>
      </c>
      <c r="R22" s="679" t="n"/>
      <c r="S22" s="680" t="n"/>
      <c r="T22" s="681" t="inlineStr">
        <is>
          <t>DOUAA HMIMOU</t>
        </is>
      </c>
      <c r="U22" s="672" t="n">
        <v>2026</v>
      </c>
      <c r="V22" s="680" t="n">
        <v>46022</v>
      </c>
      <c r="W22" s="680" t="n"/>
      <c r="X22" s="680" t="n">
        <v>46024</v>
      </c>
      <c r="Y22" s="677" t="n">
        <v>113142.48</v>
      </c>
      <c r="Z22" s="678" t="n">
        <v>0</v>
      </c>
      <c r="AA22" s="678">
        <f>Y22</f>
        <v/>
      </c>
      <c r="AB22" s="678" t="n">
        <v>0</v>
      </c>
      <c r="AC22" s="678">
        <f>Y22</f>
        <v/>
      </c>
      <c r="AD22" s="678">
        <f>Y22</f>
        <v/>
      </c>
      <c r="AE22" s="682" t="inlineStr">
        <is>
          <t>ENGAGE</t>
        </is>
      </c>
      <c r="AF22" s="681" t="n"/>
      <c r="AG22" s="678" t="n"/>
      <c r="AH22" s="678" t="n"/>
      <c r="AI22" s="678" t="n"/>
      <c r="AJ22" s="678" t="n"/>
      <c r="AK22" s="683" t="n"/>
      <c r="AL22" s="683" t="n"/>
      <c r="AM22" s="681" t="inlineStr">
        <is>
          <t>Manque n° contrat</t>
        </is>
      </c>
      <c r="AN22" s="684" t="n"/>
      <c r="AO22" s="685" t="n"/>
      <c r="AP22" s="686" t="n"/>
      <c r="AQ22" s="686" t="n"/>
      <c r="AR22" s="23" t="n"/>
      <c r="AS22" s="686" t="n"/>
    </row>
    <row r="23" ht="50.55" customHeight="1" s="392">
      <c r="A23" s="672" t="n">
        <v>2026</v>
      </c>
      <c r="B23" s="673" t="inlineStr">
        <is>
          <t>ARRIYADIA</t>
        </is>
      </c>
      <c r="C23" s="673" t="inlineStr">
        <is>
          <t>PV N° : 01RC2025- DCCCA</t>
        </is>
      </c>
      <c r="D23" s="672" t="inlineStr">
        <is>
          <t>CONTRAT</t>
        </is>
      </c>
      <c r="E23" s="672" t="n"/>
      <c r="F23" s="674" t="inlineStr">
        <is>
          <t>ROUZZAQ ANIS – Monteur truquiste /bande d’annonce</t>
        </is>
      </c>
      <c r="G23" s="675" t="inlineStr">
        <is>
          <t>VALIDE</t>
        </is>
      </c>
      <c r="H23" s="672" t="inlineStr">
        <is>
          <t>APPROUVE</t>
        </is>
      </c>
      <c r="I23" s="672" t="n"/>
      <c r="J23" s="675" t="inlineStr">
        <is>
          <t>NON CONCERNE</t>
        </is>
      </c>
      <c r="K23" s="672" t="inlineStr">
        <is>
          <t>Ordinaire</t>
        </is>
      </c>
      <c r="L23" s="676" t="inlineStr">
        <is>
          <t>FONCTIONNEMENT</t>
        </is>
      </c>
      <c r="M23" s="676" t="inlineStr">
        <is>
          <t xml:space="preserve">Prestations de service
Achat prestations de services locales - personnes physiques </t>
        </is>
      </c>
      <c r="N23" s="677" t="n"/>
      <c r="O23" s="678" t="n"/>
      <c r="P23" s="678" t="n"/>
      <c r="Q23" s="672" t="inlineStr">
        <is>
          <t>RECONDUCTION</t>
        </is>
      </c>
      <c r="R23" s="679" t="n"/>
      <c r="S23" s="680" t="n"/>
      <c r="T23" s="681" t="inlineStr">
        <is>
          <t>ROUZZAQ ANIS</t>
        </is>
      </c>
      <c r="U23" s="672" t="n">
        <v>2026</v>
      </c>
      <c r="V23" s="680" t="n">
        <v>46022</v>
      </c>
      <c r="W23" s="680" t="n"/>
      <c r="X23" s="680" t="n">
        <v>46024</v>
      </c>
      <c r="Y23" s="677" t="n">
        <v>156000</v>
      </c>
      <c r="Z23" s="678" t="n"/>
      <c r="AA23" s="678">
        <f>Y23</f>
        <v/>
      </c>
      <c r="AB23" s="678" t="n"/>
      <c r="AC23" s="678">
        <f>Y23</f>
        <v/>
      </c>
      <c r="AD23" s="678">
        <f>Y23</f>
        <v/>
      </c>
      <c r="AE23" s="682" t="inlineStr">
        <is>
          <t>ENGAGE</t>
        </is>
      </c>
      <c r="AF23" s="681" t="n"/>
      <c r="AG23" s="678" t="n"/>
      <c r="AH23" s="678" t="n"/>
      <c r="AI23" s="678" t="n"/>
      <c r="AJ23" s="678" t="n"/>
      <c r="AK23" s="683" t="n"/>
      <c r="AL23" s="683" t="n"/>
      <c r="AM23" s="681" t="inlineStr">
        <is>
          <t>Manque n° contrat</t>
        </is>
      </c>
      <c r="AN23" s="684" t="n"/>
      <c r="AO23" s="685" t="n"/>
      <c r="AP23" s="686" t="n"/>
      <c r="AQ23" s="686" t="n"/>
      <c r="AR23" s="23" t="n"/>
      <c r="AS23" s="686" t="n"/>
    </row>
    <row r="24" ht="50.55" customHeight="1" s="392">
      <c r="A24" s="672" t="n">
        <v>2026</v>
      </c>
      <c r="B24" s="673" t="inlineStr">
        <is>
          <t>ARRIYADIA</t>
        </is>
      </c>
      <c r="C24" s="673" t="inlineStr">
        <is>
          <t>PV N° : 01RC2025- DCCCA</t>
        </is>
      </c>
      <c r="D24" s="672" t="inlineStr">
        <is>
          <t>CONTRAT</t>
        </is>
      </c>
      <c r="E24" s="672" t="n"/>
      <c r="F24" s="674" t="inlineStr">
        <is>
          <t>SAFAE BOUHLAL -  Monteur truquiste /technicien coordinateur d’antenne TV</t>
        </is>
      </c>
      <c r="G24" s="675" t="inlineStr">
        <is>
          <t>VALIDE</t>
        </is>
      </c>
      <c r="H24" s="672" t="inlineStr">
        <is>
          <t>APPROUVE</t>
        </is>
      </c>
      <c r="I24" s="672" t="n"/>
      <c r="J24" s="675" t="inlineStr">
        <is>
          <t>NON CONCERNE</t>
        </is>
      </c>
      <c r="K24" s="672" t="inlineStr">
        <is>
          <t>Ordinaire</t>
        </is>
      </c>
      <c r="L24" s="676" t="inlineStr">
        <is>
          <t>FONCTIONNEMENT</t>
        </is>
      </c>
      <c r="M24" s="676" t="inlineStr">
        <is>
          <t xml:space="preserve">Prestations de service
Achat prestations de services locales - personnes physiques </t>
        </is>
      </c>
      <c r="N24" s="677" t="n"/>
      <c r="O24" s="678" t="n"/>
      <c r="P24" s="678" t="n"/>
      <c r="Q24" s="672" t="inlineStr">
        <is>
          <t>RECONDUCTION</t>
        </is>
      </c>
      <c r="R24" s="679" t="n"/>
      <c r="S24" s="680" t="n"/>
      <c r="T24" s="681" t="inlineStr">
        <is>
          <t>SAFAE BOUHLAL</t>
        </is>
      </c>
      <c r="U24" s="672" t="n">
        <v>2026</v>
      </c>
      <c r="V24" s="680" t="n">
        <v>46022</v>
      </c>
      <c r="W24" s="680" t="n"/>
      <c r="X24" s="680" t="n">
        <v>46024</v>
      </c>
      <c r="Y24" s="677" t="n">
        <v>113142.48</v>
      </c>
      <c r="Z24" s="678" t="n">
        <v>0</v>
      </c>
      <c r="AA24" s="678">
        <f>Y24</f>
        <v/>
      </c>
      <c r="AB24" s="678" t="n">
        <v>0</v>
      </c>
      <c r="AC24" s="678">
        <f>Y24</f>
        <v/>
      </c>
      <c r="AD24" s="678">
        <f>Y24</f>
        <v/>
      </c>
      <c r="AE24" s="682" t="inlineStr">
        <is>
          <t>ENGAGE</t>
        </is>
      </c>
      <c r="AF24" s="681" t="n"/>
      <c r="AG24" s="678" t="n"/>
      <c r="AH24" s="678" t="n"/>
      <c r="AI24" s="678" t="n"/>
      <c r="AJ24" s="678" t="n"/>
      <c r="AK24" s="683" t="n"/>
      <c r="AL24" s="683" t="n"/>
      <c r="AM24" s="681" t="inlineStr">
        <is>
          <t>Manque n° contrat</t>
        </is>
      </c>
      <c r="AN24" s="684" t="n"/>
      <c r="AO24" s="685" t="n"/>
      <c r="AP24" s="686" t="n"/>
      <c r="AQ24" s="686" t="n"/>
      <c r="AR24" s="23" t="n"/>
      <c r="AS24" s="686" t="n"/>
    </row>
    <row r="25" ht="50.55" customHeight="1" s="392">
      <c r="A25" s="672" t="n">
        <v>2026</v>
      </c>
      <c r="B25" s="673" t="inlineStr">
        <is>
          <t>ARRIYADIA</t>
        </is>
      </c>
      <c r="C25" s="673" t="inlineStr">
        <is>
          <t>PV N° : 01RC2025- DCCCA</t>
        </is>
      </c>
      <c r="D25" s="672" t="inlineStr">
        <is>
          <t>CONTRAT</t>
        </is>
      </c>
      <c r="E25" s="672" t="n"/>
      <c r="F25" s="674" t="inlineStr">
        <is>
          <t>OUSSAMA EZZABBAR - Monteur truquiste</t>
        </is>
      </c>
      <c r="G25" s="675" t="inlineStr">
        <is>
          <t>VALIDE</t>
        </is>
      </c>
      <c r="H25" s="672" t="inlineStr">
        <is>
          <t>APPROUVE</t>
        </is>
      </c>
      <c r="I25" s="672" t="n"/>
      <c r="J25" s="675" t="inlineStr">
        <is>
          <t>NON CONCERNE</t>
        </is>
      </c>
      <c r="K25" s="672" t="inlineStr">
        <is>
          <t>Ordinaire</t>
        </is>
      </c>
      <c r="L25" s="676" t="inlineStr">
        <is>
          <t>FONCTIONNEMENT</t>
        </is>
      </c>
      <c r="M25" s="676" t="inlineStr">
        <is>
          <t xml:space="preserve">Prestations de service
Achat prestations de services locales - personnes physiques </t>
        </is>
      </c>
      <c r="N25" s="677" t="n"/>
      <c r="O25" s="678" t="n"/>
      <c r="P25" s="678" t="n"/>
      <c r="Q25" s="672" t="inlineStr">
        <is>
          <t>RECONDUCTION</t>
        </is>
      </c>
      <c r="R25" s="679" t="n"/>
      <c r="S25" s="680" t="n"/>
      <c r="T25" s="681" t="inlineStr">
        <is>
          <t>OUSSAMA EZZABBAR</t>
        </is>
      </c>
      <c r="U25" s="672" t="n">
        <v>2026</v>
      </c>
      <c r="V25" s="680" t="n">
        <v>46022</v>
      </c>
      <c r="W25" s="680" t="n"/>
      <c r="X25" s="680" t="n">
        <v>46024</v>
      </c>
      <c r="Y25" s="677" t="n">
        <v>113142.48</v>
      </c>
      <c r="Z25" s="678" t="n">
        <v>0</v>
      </c>
      <c r="AA25" s="678">
        <f>Y25</f>
        <v/>
      </c>
      <c r="AB25" s="678" t="n">
        <v>0</v>
      </c>
      <c r="AC25" s="678">
        <f>Y25</f>
        <v/>
      </c>
      <c r="AD25" s="678">
        <f>Y25</f>
        <v/>
      </c>
      <c r="AE25" s="682" t="inlineStr">
        <is>
          <t>ENGAGE</t>
        </is>
      </c>
      <c r="AF25" s="681" t="n"/>
      <c r="AG25" s="678" t="n"/>
      <c r="AH25" s="678" t="n"/>
      <c r="AI25" s="678" t="n"/>
      <c r="AJ25" s="678" t="n"/>
      <c r="AK25" s="683" t="n"/>
      <c r="AL25" s="683" t="n"/>
      <c r="AM25" s="681" t="inlineStr">
        <is>
          <t>Manque n° contrat</t>
        </is>
      </c>
      <c r="AN25" s="684" t="n"/>
      <c r="AO25" s="685" t="n"/>
      <c r="AP25" s="686" t="n"/>
      <c r="AQ25" s="686" t="n"/>
      <c r="AR25" s="23" t="n"/>
      <c r="AS25" s="686" t="n"/>
    </row>
    <row r="26" ht="50.55" customHeight="1" s="392">
      <c r="A26" s="672" t="n">
        <v>2026</v>
      </c>
      <c r="B26" s="673" t="inlineStr">
        <is>
          <t>ARRIYADIA</t>
        </is>
      </c>
      <c r="C26" s="673" t="inlineStr">
        <is>
          <t>PV N° : 01RC2025- DCCCA</t>
        </is>
      </c>
      <c r="D26" s="672" t="inlineStr">
        <is>
          <t>CONTRAT</t>
        </is>
      </c>
      <c r="E26" s="672" t="n"/>
      <c r="F26" s="674" t="inlineStr">
        <is>
          <t>AMINE IMANE -  Opérateur synthétiseur</t>
        </is>
      </c>
      <c r="G26" s="675" t="inlineStr">
        <is>
          <t>VALIDE</t>
        </is>
      </c>
      <c r="H26" s="672" t="inlineStr">
        <is>
          <t>APPROUVE</t>
        </is>
      </c>
      <c r="I26" s="672" t="n"/>
      <c r="J26" s="675" t="inlineStr">
        <is>
          <t>NON CONCERNE</t>
        </is>
      </c>
      <c r="K26" s="672" t="inlineStr">
        <is>
          <t>Ordinaire</t>
        </is>
      </c>
      <c r="L26" s="676" t="inlineStr">
        <is>
          <t>FONCTIONNEMENT</t>
        </is>
      </c>
      <c r="M26" s="676" t="inlineStr">
        <is>
          <t xml:space="preserve">Prestations de service
Achat prestations de services locales - personnes physiques </t>
        </is>
      </c>
      <c r="N26" s="677" t="n"/>
      <c r="O26" s="678" t="n"/>
      <c r="P26" s="678" t="n"/>
      <c r="Q26" s="672" t="inlineStr">
        <is>
          <t>RECONDUCTION</t>
        </is>
      </c>
      <c r="R26" s="679" t="n"/>
      <c r="S26" s="680" t="n"/>
      <c r="T26" s="681" t="inlineStr">
        <is>
          <t>AMINE IMANE</t>
        </is>
      </c>
      <c r="U26" s="672" t="n">
        <v>2026</v>
      </c>
      <c r="V26" s="680" t="n">
        <v>46022</v>
      </c>
      <c r="W26" s="680" t="n"/>
      <c r="X26" s="680" t="n">
        <v>46024</v>
      </c>
      <c r="Y26" s="677" t="n">
        <v>113142.48</v>
      </c>
      <c r="Z26" s="678" t="n">
        <v>0</v>
      </c>
      <c r="AA26" s="678">
        <f>Y26</f>
        <v/>
      </c>
      <c r="AB26" s="678" t="n">
        <v>0</v>
      </c>
      <c r="AC26" s="678">
        <f>Y26</f>
        <v/>
      </c>
      <c r="AD26" s="678">
        <f>Y26</f>
        <v/>
      </c>
      <c r="AE26" s="682" t="inlineStr">
        <is>
          <t>ENGAGE</t>
        </is>
      </c>
      <c r="AF26" s="681" t="n"/>
      <c r="AG26" s="678" t="n"/>
      <c r="AH26" s="678" t="n"/>
      <c r="AI26" s="678" t="n"/>
      <c r="AJ26" s="678" t="n"/>
      <c r="AK26" s="683" t="n"/>
      <c r="AL26" s="683" t="n"/>
      <c r="AM26" s="681" t="inlineStr">
        <is>
          <t>Manque n° contrat</t>
        </is>
      </c>
      <c r="AN26" s="684" t="n"/>
      <c r="AO26" s="685" t="n"/>
      <c r="AP26" s="686" t="n"/>
      <c r="AQ26" s="686" t="n"/>
      <c r="AR26" s="23" t="n"/>
      <c r="AS26" s="686" t="n"/>
    </row>
    <row r="27" ht="54.6" customHeight="1" s="392">
      <c r="A27" s="672" t="n">
        <v>2026</v>
      </c>
      <c r="B27" s="673" t="inlineStr">
        <is>
          <t>ARRIYADIA</t>
        </is>
      </c>
      <c r="C27" s="673" t="inlineStr">
        <is>
          <t>PV N° : 01RC2025- DCCCA</t>
        </is>
      </c>
      <c r="D27" s="672" t="inlineStr">
        <is>
          <t>CONTRAT</t>
        </is>
      </c>
      <c r="E27" s="672" t="n"/>
      <c r="F27" s="674" t="inlineStr">
        <is>
          <t>BRAHIM ABASALAH  -  Opérateur synthétiseur/créateur de pages de textes et logos destinés à l’habillage au titre et au sous-titrage des programmes de l’antenne.</t>
        </is>
      </c>
      <c r="G27" s="675" t="inlineStr">
        <is>
          <t>VALIDE</t>
        </is>
      </c>
      <c r="H27" s="672" t="inlineStr">
        <is>
          <t>APPROUVE</t>
        </is>
      </c>
      <c r="I27" s="672" t="n"/>
      <c r="J27" s="675" t="inlineStr">
        <is>
          <t>NON CONCERNE</t>
        </is>
      </c>
      <c r="K27" s="672" t="inlineStr">
        <is>
          <t>Ordinaire</t>
        </is>
      </c>
      <c r="L27" s="676" t="inlineStr">
        <is>
          <t>FONCTIONNEMENT</t>
        </is>
      </c>
      <c r="M27" s="676" t="inlineStr">
        <is>
          <t xml:space="preserve">Prestations de service
Achat prestations de services locales - personnes physiques </t>
        </is>
      </c>
      <c r="N27" s="677" t="n"/>
      <c r="O27" s="678" t="n"/>
      <c r="P27" s="678" t="n"/>
      <c r="Q27" s="672" t="inlineStr">
        <is>
          <t>RECONDUCTION</t>
        </is>
      </c>
      <c r="R27" s="679" t="n"/>
      <c r="S27" s="680" t="n"/>
      <c r="T27" s="681" t="inlineStr">
        <is>
          <t>BRAHIM ABASALAH</t>
        </is>
      </c>
      <c r="U27" s="672" t="n">
        <v>2026</v>
      </c>
      <c r="V27" s="680" t="n">
        <v>46022</v>
      </c>
      <c r="W27" s="680" t="n"/>
      <c r="X27" s="680" t="n">
        <v>46024</v>
      </c>
      <c r="Y27" s="677" t="n">
        <v>144000</v>
      </c>
      <c r="Z27" s="678" t="n">
        <v>0</v>
      </c>
      <c r="AA27" s="678">
        <f>Y27</f>
        <v/>
      </c>
      <c r="AB27" s="678" t="n">
        <v>0</v>
      </c>
      <c r="AC27" s="678">
        <f>Y27</f>
        <v/>
      </c>
      <c r="AD27" s="678">
        <f>Y27</f>
        <v/>
      </c>
      <c r="AE27" s="682" t="inlineStr">
        <is>
          <t>ENGAGE</t>
        </is>
      </c>
      <c r="AF27" s="681" t="n"/>
      <c r="AG27" s="678" t="n"/>
      <c r="AH27" s="678" t="n"/>
      <c r="AI27" s="678" t="n"/>
      <c r="AJ27" s="678" t="n"/>
      <c r="AK27" s="683" t="n"/>
      <c r="AL27" s="683" t="n"/>
      <c r="AM27" s="681" t="inlineStr">
        <is>
          <t>Manque n° contrat</t>
        </is>
      </c>
      <c r="AN27" s="684" t="n"/>
      <c r="AO27" s="685" t="n"/>
      <c r="AP27" s="686" t="n"/>
      <c r="AQ27" s="686" t="n"/>
      <c r="AR27" s="23" t="n"/>
      <c r="AS27" s="686" t="n"/>
    </row>
    <row r="28" ht="50.55" customHeight="1" s="392">
      <c r="A28" s="672" t="n">
        <v>2026</v>
      </c>
      <c r="B28" s="673" t="inlineStr">
        <is>
          <t>ARRIYADIA</t>
        </is>
      </c>
      <c r="C28" s="673" t="inlineStr">
        <is>
          <t>PV N° : 01RC2025- DCCCA</t>
        </is>
      </c>
      <c r="D28" s="672" t="inlineStr">
        <is>
          <t>CONTRAT</t>
        </is>
      </c>
      <c r="E28" s="672" t="n"/>
      <c r="F28" s="674" t="inlineStr">
        <is>
          <t>YASSINE STITOU - Opérateur synthétiseur</t>
        </is>
      </c>
      <c r="G28" s="675" t="inlineStr">
        <is>
          <t>VALIDE</t>
        </is>
      </c>
      <c r="H28" s="672" t="inlineStr">
        <is>
          <t>APPROUVE</t>
        </is>
      </c>
      <c r="I28" s="672" t="n"/>
      <c r="J28" s="675" t="inlineStr">
        <is>
          <t>NON CONCERNE</t>
        </is>
      </c>
      <c r="K28" s="672" t="inlineStr">
        <is>
          <t>Ordinaire</t>
        </is>
      </c>
      <c r="L28" s="676" t="inlineStr">
        <is>
          <t>FONCTIONNEMENT</t>
        </is>
      </c>
      <c r="M28" s="676" t="inlineStr">
        <is>
          <t xml:space="preserve">Prestations de service
Achat prestations de services locales - personnes physiques </t>
        </is>
      </c>
      <c r="N28" s="677" t="n"/>
      <c r="O28" s="678" t="n"/>
      <c r="P28" s="678" t="n"/>
      <c r="Q28" s="672" t="inlineStr">
        <is>
          <t>RECONDUCTION</t>
        </is>
      </c>
      <c r="R28" s="679" t="n"/>
      <c r="S28" s="680" t="n"/>
      <c r="T28" s="681" t="inlineStr">
        <is>
          <t>YASSINE STITOU</t>
        </is>
      </c>
      <c r="U28" s="672" t="n">
        <v>2026</v>
      </c>
      <c r="V28" s="680" t="n">
        <v>46022</v>
      </c>
      <c r="W28" s="680" t="n"/>
      <c r="X28" s="680" t="n">
        <v>46024</v>
      </c>
      <c r="Y28" s="677" t="n">
        <v>113142.48</v>
      </c>
      <c r="Z28" s="678" t="n">
        <v>0</v>
      </c>
      <c r="AA28" s="678">
        <f>Y28</f>
        <v/>
      </c>
      <c r="AB28" s="678" t="n">
        <v>0</v>
      </c>
      <c r="AC28" s="678">
        <f>Y28</f>
        <v/>
      </c>
      <c r="AD28" s="678">
        <f>Y28</f>
        <v/>
      </c>
      <c r="AE28" s="682" t="inlineStr">
        <is>
          <t>ENGAGE</t>
        </is>
      </c>
      <c r="AF28" s="681" t="n"/>
      <c r="AG28" s="678" t="n"/>
      <c r="AH28" s="678" t="n"/>
      <c r="AI28" s="678" t="n"/>
      <c r="AJ28" s="678" t="n"/>
      <c r="AK28" s="683" t="n"/>
      <c r="AL28" s="683" t="n"/>
      <c r="AM28" s="681" t="inlineStr">
        <is>
          <t>Manque n° contrat</t>
        </is>
      </c>
      <c r="AN28" s="684" t="n"/>
      <c r="AO28" s="685" t="n"/>
      <c r="AP28" s="686" t="n"/>
      <c r="AQ28" s="686" t="n"/>
      <c r="AR28" s="23" t="n"/>
      <c r="AS28" s="686" t="n"/>
    </row>
    <row r="29" ht="50.55" customHeight="1" s="392">
      <c r="A29" s="672" t="n">
        <v>2026</v>
      </c>
      <c r="B29" s="673" t="inlineStr">
        <is>
          <t>ARRIYADIA</t>
        </is>
      </c>
      <c r="C29" s="673" t="inlineStr">
        <is>
          <t>PV N° : 01RC2025- DCCCA</t>
        </is>
      </c>
      <c r="D29" s="672" t="inlineStr">
        <is>
          <t>CONTRAT</t>
        </is>
      </c>
      <c r="E29" s="672" t="n"/>
      <c r="F29" s="674" t="inlineStr">
        <is>
          <t>RACHID ABKARI  -  Opérateur de prise de son</t>
        </is>
      </c>
      <c r="G29" s="675" t="inlineStr">
        <is>
          <t>VALIDE</t>
        </is>
      </c>
      <c r="H29" s="672" t="inlineStr">
        <is>
          <t>APPROUVE</t>
        </is>
      </c>
      <c r="I29" s="672" t="n"/>
      <c r="J29" s="675" t="inlineStr">
        <is>
          <t>NON CONCERNE</t>
        </is>
      </c>
      <c r="K29" s="672" t="inlineStr">
        <is>
          <t>Ordinaire</t>
        </is>
      </c>
      <c r="L29" s="676" t="inlineStr">
        <is>
          <t>FONCTIONNEMENT</t>
        </is>
      </c>
      <c r="M29" s="676" t="inlineStr">
        <is>
          <t xml:space="preserve">Prestations de service
Achat prestations de services locales - personnes physiques </t>
        </is>
      </c>
      <c r="N29" s="677" t="n"/>
      <c r="O29" s="678" t="n"/>
      <c r="P29" s="678" t="n"/>
      <c r="Q29" s="672" t="inlineStr">
        <is>
          <t>RECONDUCTION</t>
        </is>
      </c>
      <c r="R29" s="679" t="n"/>
      <c r="S29" s="680" t="n"/>
      <c r="T29" s="681" t="inlineStr">
        <is>
          <t>RACHID ABKARI</t>
        </is>
      </c>
      <c r="U29" s="672" t="n">
        <v>2026</v>
      </c>
      <c r="V29" s="680" t="n">
        <v>46022</v>
      </c>
      <c r="W29" s="680" t="n"/>
      <c r="X29" s="680" t="n">
        <v>46024</v>
      </c>
      <c r="Y29" s="677" t="n">
        <v>113142.48</v>
      </c>
      <c r="Z29" s="678" t="n">
        <v>0</v>
      </c>
      <c r="AA29" s="678">
        <f>Y29</f>
        <v/>
      </c>
      <c r="AB29" s="678" t="n">
        <v>0</v>
      </c>
      <c r="AC29" s="678">
        <f>Y29</f>
        <v/>
      </c>
      <c r="AD29" s="678">
        <f>Y29</f>
        <v/>
      </c>
      <c r="AE29" s="682" t="inlineStr">
        <is>
          <t>ENGAGE</t>
        </is>
      </c>
      <c r="AF29" s="681" t="n"/>
      <c r="AG29" s="678" t="n"/>
      <c r="AH29" s="678" t="n"/>
      <c r="AI29" s="678" t="n"/>
      <c r="AJ29" s="678" t="n"/>
      <c r="AK29" s="683" t="n"/>
      <c r="AL29" s="683" t="n"/>
      <c r="AM29" s="681" t="inlineStr">
        <is>
          <t>Manque n° contrat</t>
        </is>
      </c>
      <c r="AN29" s="684" t="n"/>
      <c r="AO29" s="685" t="n"/>
      <c r="AP29" s="686" t="n"/>
      <c r="AQ29" s="686" t="n"/>
      <c r="AR29" s="23" t="n"/>
      <c r="AS29" s="686" t="n"/>
    </row>
    <row r="30" ht="50.55" customHeight="1" s="392">
      <c r="A30" s="672" t="n">
        <v>2026</v>
      </c>
      <c r="B30" s="673" t="inlineStr">
        <is>
          <t>ARRIYADIA</t>
        </is>
      </c>
      <c r="C30" s="673" t="inlineStr">
        <is>
          <t>PV N° : 01RC2025- DCCCA</t>
        </is>
      </c>
      <c r="D30" s="672" t="inlineStr">
        <is>
          <t>CONTRAT</t>
        </is>
      </c>
      <c r="E30" s="672" t="n"/>
      <c r="F30" s="674" t="inlineStr">
        <is>
          <t>AMINE NEKI  -  Technicien coordinateur d'antenne TV</t>
        </is>
      </c>
      <c r="G30" s="675" t="inlineStr">
        <is>
          <t>VALIDE</t>
        </is>
      </c>
      <c r="H30" s="672" t="inlineStr">
        <is>
          <t>APPROUVE</t>
        </is>
      </c>
      <c r="I30" s="672" t="n"/>
      <c r="J30" s="675" t="inlineStr">
        <is>
          <t>NON CONCERNE</t>
        </is>
      </c>
      <c r="K30" s="672" t="inlineStr">
        <is>
          <t>Ordinaire</t>
        </is>
      </c>
      <c r="L30" s="676" t="inlineStr">
        <is>
          <t>FONCTIONNEMENT</t>
        </is>
      </c>
      <c r="M30" s="676" t="inlineStr">
        <is>
          <t xml:space="preserve">Prestations de service
Achat prestations de services locales - personnes physiques </t>
        </is>
      </c>
      <c r="N30" s="677" t="n"/>
      <c r="O30" s="678" t="n"/>
      <c r="P30" s="678" t="n"/>
      <c r="Q30" s="672" t="inlineStr">
        <is>
          <t>RECONDUCTION</t>
        </is>
      </c>
      <c r="R30" s="679" t="n"/>
      <c r="S30" s="680" t="n"/>
      <c r="T30" s="681" t="inlineStr">
        <is>
          <t>AMINE NEKI</t>
        </is>
      </c>
      <c r="U30" s="672" t="n">
        <v>2026</v>
      </c>
      <c r="V30" s="680" t="n">
        <v>46022</v>
      </c>
      <c r="W30" s="680" t="n"/>
      <c r="X30" s="680" t="n">
        <v>46024</v>
      </c>
      <c r="Y30" s="677" t="n">
        <v>113142.48</v>
      </c>
      <c r="Z30" s="678" t="n">
        <v>0</v>
      </c>
      <c r="AA30" s="678">
        <f>Y30</f>
        <v/>
      </c>
      <c r="AB30" s="678" t="n">
        <v>0</v>
      </c>
      <c r="AC30" s="678">
        <f>Y30</f>
        <v/>
      </c>
      <c r="AD30" s="678">
        <f>Y30</f>
        <v/>
      </c>
      <c r="AE30" s="682" t="inlineStr">
        <is>
          <t>ENGAGE</t>
        </is>
      </c>
      <c r="AF30" s="681" t="n"/>
      <c r="AG30" s="678" t="n"/>
      <c r="AH30" s="678" t="n"/>
      <c r="AI30" s="678" t="n"/>
      <c r="AJ30" s="678" t="n"/>
      <c r="AK30" s="683" t="n"/>
      <c r="AL30" s="683" t="n"/>
      <c r="AM30" s="681" t="inlineStr">
        <is>
          <t>Manque n° contrat</t>
        </is>
      </c>
      <c r="AN30" s="684" t="n"/>
      <c r="AO30" s="685" t="n"/>
      <c r="AP30" s="686" t="n"/>
      <c r="AQ30" s="686" t="n"/>
      <c r="AR30" s="23" t="n"/>
      <c r="AS30" s="686" t="n"/>
    </row>
    <row r="31" ht="50.55" customHeight="1" s="392">
      <c r="A31" s="672" t="n">
        <v>2026</v>
      </c>
      <c r="B31" s="673" t="inlineStr">
        <is>
          <t>ARRIYADIA</t>
        </is>
      </c>
      <c r="C31" s="673" t="inlineStr">
        <is>
          <t>PV N° : 01RC2025- DCCCA</t>
        </is>
      </c>
      <c r="D31" s="672" t="inlineStr">
        <is>
          <t>CONTRAT</t>
        </is>
      </c>
      <c r="E31" s="672" t="n"/>
      <c r="F31" s="674" t="inlineStr">
        <is>
          <t>ANISS BENRIANE  -  Technicien coordinateur d'antenne TV</t>
        </is>
      </c>
      <c r="G31" s="675" t="inlineStr">
        <is>
          <t>VALIDE</t>
        </is>
      </c>
      <c r="H31" s="672" t="inlineStr">
        <is>
          <t>APPROUVE</t>
        </is>
      </c>
      <c r="I31" s="672" t="n"/>
      <c r="J31" s="675" t="inlineStr">
        <is>
          <t>NON CONCERNE</t>
        </is>
      </c>
      <c r="K31" s="672" t="inlineStr">
        <is>
          <t>Ordinaire</t>
        </is>
      </c>
      <c r="L31" s="676" t="inlineStr">
        <is>
          <t>FONCTIONNEMENT</t>
        </is>
      </c>
      <c r="M31" s="676" t="inlineStr">
        <is>
          <t xml:space="preserve">Prestations de service
Achat prestations de services locales - personnes physiques </t>
        </is>
      </c>
      <c r="N31" s="677" t="n"/>
      <c r="O31" s="678" t="n"/>
      <c r="P31" s="678" t="n"/>
      <c r="Q31" s="672" t="inlineStr">
        <is>
          <t>RECONDUCTION</t>
        </is>
      </c>
      <c r="R31" s="679" t="n"/>
      <c r="S31" s="680" t="n"/>
      <c r="T31" s="681" t="inlineStr">
        <is>
          <t>ANISS BENRIANE</t>
        </is>
      </c>
      <c r="U31" s="672" t="n">
        <v>2026</v>
      </c>
      <c r="V31" s="680" t="n">
        <v>46022</v>
      </c>
      <c r="W31" s="680" t="n"/>
      <c r="X31" s="680" t="n">
        <v>46024</v>
      </c>
      <c r="Y31" s="677" t="n">
        <v>113142.48</v>
      </c>
      <c r="Z31" s="678" t="n">
        <v>0</v>
      </c>
      <c r="AA31" s="678">
        <f>Y31</f>
        <v/>
      </c>
      <c r="AB31" s="678" t="n">
        <v>0</v>
      </c>
      <c r="AC31" s="678">
        <f>Y31</f>
        <v/>
      </c>
      <c r="AD31" s="678">
        <f>Y31</f>
        <v/>
      </c>
      <c r="AE31" s="682" t="inlineStr">
        <is>
          <t>ENGAGE</t>
        </is>
      </c>
      <c r="AF31" s="681" t="n"/>
      <c r="AG31" s="678" t="n"/>
      <c r="AH31" s="678" t="n"/>
      <c r="AI31" s="678" t="n"/>
      <c r="AJ31" s="678" t="n"/>
      <c r="AK31" s="683" t="n"/>
      <c r="AL31" s="683" t="n"/>
      <c r="AM31" s="681" t="inlineStr">
        <is>
          <t>Manque n° contrat</t>
        </is>
      </c>
      <c r="AN31" s="684" t="n"/>
      <c r="AO31" s="685" t="n"/>
      <c r="AP31" s="686" t="n"/>
      <c r="AQ31" s="686" t="n"/>
      <c r="AR31" s="23" t="n"/>
      <c r="AS31" s="686" t="n"/>
    </row>
    <row r="32" ht="50.55" customHeight="1" s="392">
      <c r="A32" s="672" t="n">
        <v>2026</v>
      </c>
      <c r="B32" s="673" t="inlineStr">
        <is>
          <t>ARRIYADIA</t>
        </is>
      </c>
      <c r="C32" s="673" t="inlineStr">
        <is>
          <t>PV N° : 01RC2025- DCCCA</t>
        </is>
      </c>
      <c r="D32" s="672" t="inlineStr">
        <is>
          <t>CONTRAT</t>
        </is>
      </c>
      <c r="E32" s="672" t="n"/>
      <c r="F32" s="674" t="inlineStr">
        <is>
          <t>AHMED HOUBBANE  -  Journaliste présentateur TV/reporteur</t>
        </is>
      </c>
      <c r="G32" s="675" t="inlineStr">
        <is>
          <t>VALIDE</t>
        </is>
      </c>
      <c r="H32" s="672" t="inlineStr">
        <is>
          <t>APPROUVE</t>
        </is>
      </c>
      <c r="I32" s="672" t="n"/>
      <c r="J32" s="675" t="inlineStr">
        <is>
          <t>NON CONCERNE</t>
        </is>
      </c>
      <c r="K32" s="672" t="inlineStr">
        <is>
          <t>Ordinaire</t>
        </is>
      </c>
      <c r="L32" s="676" t="inlineStr">
        <is>
          <t>FONCTIONNEMENT</t>
        </is>
      </c>
      <c r="M32" s="676" t="inlineStr">
        <is>
          <t xml:space="preserve">Prestations de service
Achat prestations de services locales - personnes physiques </t>
        </is>
      </c>
      <c r="N32" s="677" t="n"/>
      <c r="O32" s="678" t="n"/>
      <c r="P32" s="678" t="n"/>
      <c r="Q32" s="672" t="inlineStr">
        <is>
          <t>RECONDUCTION</t>
        </is>
      </c>
      <c r="R32" s="679" t="n"/>
      <c r="S32" s="680" t="n"/>
      <c r="T32" s="681" t="inlineStr">
        <is>
          <t>AHMED HOUBBANE</t>
        </is>
      </c>
      <c r="U32" s="672" t="n">
        <v>2026</v>
      </c>
      <c r="V32" s="680" t="n">
        <v>46022</v>
      </c>
      <c r="W32" s="680" t="n"/>
      <c r="X32" s="680" t="n">
        <v>46024</v>
      </c>
      <c r="Y32" s="677" t="n">
        <v>144000</v>
      </c>
      <c r="Z32" s="678" t="n">
        <v>0</v>
      </c>
      <c r="AA32" s="678">
        <f>Y32</f>
        <v/>
      </c>
      <c r="AB32" s="678" t="n">
        <v>0</v>
      </c>
      <c r="AC32" s="678">
        <f>Y32</f>
        <v/>
      </c>
      <c r="AD32" s="678">
        <f>Y32</f>
        <v/>
      </c>
      <c r="AE32" s="682" t="inlineStr">
        <is>
          <t>ENGAGE</t>
        </is>
      </c>
      <c r="AF32" s="681" t="n"/>
      <c r="AG32" s="678" t="n"/>
      <c r="AH32" s="678" t="n"/>
      <c r="AI32" s="678" t="n"/>
      <c r="AJ32" s="678" t="n"/>
      <c r="AK32" s="683" t="n"/>
      <c r="AL32" s="683" t="n"/>
      <c r="AM32" s="681" t="inlineStr">
        <is>
          <t>Manque n° contrat</t>
        </is>
      </c>
      <c r="AN32" s="684" t="n"/>
      <c r="AO32" s="685" t="n"/>
      <c r="AP32" s="686" t="n"/>
      <c r="AQ32" s="686" t="n"/>
      <c r="AR32" s="23" t="n"/>
      <c r="AS32" s="686" t="n"/>
    </row>
    <row r="33" ht="50.55" customHeight="1" s="392">
      <c r="A33" s="672" t="n">
        <v>2026</v>
      </c>
      <c r="B33" s="673" t="inlineStr">
        <is>
          <t>ARRIYADIA</t>
        </is>
      </c>
      <c r="C33" s="673" t="inlineStr">
        <is>
          <t>PV N° : 01RC2025- DCCCA</t>
        </is>
      </c>
      <c r="D33" s="672" t="inlineStr">
        <is>
          <t>CONTRAT</t>
        </is>
      </c>
      <c r="E33" s="672" t="n"/>
      <c r="F33" s="674" t="inlineStr">
        <is>
          <t>OMAYRA MOUKRAM  -  Journaliste présentateur TV</t>
        </is>
      </c>
      <c r="G33" s="675" t="inlineStr">
        <is>
          <t>VALIDE</t>
        </is>
      </c>
      <c r="H33" s="672" t="inlineStr">
        <is>
          <t>APPROUVE</t>
        </is>
      </c>
      <c r="I33" s="672" t="n"/>
      <c r="J33" s="675" t="inlineStr">
        <is>
          <t>NON CONCERNE</t>
        </is>
      </c>
      <c r="K33" s="672" t="inlineStr">
        <is>
          <t>Ordinaire</t>
        </is>
      </c>
      <c r="L33" s="676" t="inlineStr">
        <is>
          <t>FONCTIONNEMENT</t>
        </is>
      </c>
      <c r="M33" s="676" t="inlineStr">
        <is>
          <t xml:space="preserve">Prestations de service
Achat prestations de services locales - personnes physiques </t>
        </is>
      </c>
      <c r="N33" s="677" t="n"/>
      <c r="O33" s="678" t="n"/>
      <c r="P33" s="678" t="n"/>
      <c r="Q33" s="672" t="inlineStr">
        <is>
          <t>RECONDUCTION</t>
        </is>
      </c>
      <c r="R33" s="679" t="n"/>
      <c r="S33" s="680" t="n"/>
      <c r="T33" s="681" t="inlineStr">
        <is>
          <t>OMAYRA MOUKRAM</t>
        </is>
      </c>
      <c r="U33" s="672" t="n">
        <v>2026</v>
      </c>
      <c r="V33" s="680" t="n">
        <v>46022</v>
      </c>
      <c r="W33" s="680" t="n"/>
      <c r="X33" s="680" t="n">
        <v>46024</v>
      </c>
      <c r="Y33" s="677" t="n">
        <v>113142.48</v>
      </c>
      <c r="Z33" s="678" t="n">
        <v>0</v>
      </c>
      <c r="AA33" s="678">
        <f>Y33</f>
        <v/>
      </c>
      <c r="AB33" s="678" t="n">
        <v>0</v>
      </c>
      <c r="AC33" s="678">
        <f>Y33</f>
        <v/>
      </c>
      <c r="AD33" s="678">
        <f>Y33</f>
        <v/>
      </c>
      <c r="AE33" s="682" t="inlineStr">
        <is>
          <t>ENGAGE</t>
        </is>
      </c>
      <c r="AF33" s="681" t="n"/>
      <c r="AG33" s="678" t="n"/>
      <c r="AH33" s="678" t="n"/>
      <c r="AI33" s="678" t="n"/>
      <c r="AJ33" s="678" t="n"/>
      <c r="AK33" s="683" t="n"/>
      <c r="AL33" s="683" t="n"/>
      <c r="AM33" s="681" t="inlineStr">
        <is>
          <t>Manque n° contrat</t>
        </is>
      </c>
      <c r="AN33" s="684" t="n"/>
      <c r="AO33" s="685" t="n"/>
      <c r="AP33" s="686" t="n"/>
      <c r="AQ33" s="686" t="n"/>
      <c r="AR33" s="23" t="n"/>
      <c r="AS33" s="686" t="n"/>
    </row>
    <row r="34" ht="50.55" customHeight="1" s="392">
      <c r="A34" s="672" t="n">
        <v>2026</v>
      </c>
      <c r="B34" s="673" t="inlineStr">
        <is>
          <t>ARRIYADIA</t>
        </is>
      </c>
      <c r="C34" s="673" t="inlineStr">
        <is>
          <t>PV N° : 01RC2025- DCCCA</t>
        </is>
      </c>
      <c r="D34" s="672" t="inlineStr">
        <is>
          <t>CONTRAT</t>
        </is>
      </c>
      <c r="E34" s="672" t="n"/>
      <c r="F34" s="674" t="inlineStr">
        <is>
          <t>AYOUB ADIB  -  Journaliste animateur</t>
        </is>
      </c>
      <c r="G34" s="675" t="inlineStr">
        <is>
          <t>VALIDE</t>
        </is>
      </c>
      <c r="H34" s="672" t="inlineStr">
        <is>
          <t>APPROUVE</t>
        </is>
      </c>
      <c r="I34" s="672" t="n"/>
      <c r="J34" s="675" t="inlineStr">
        <is>
          <t>NON CONCERNE</t>
        </is>
      </c>
      <c r="K34" s="672" t="inlineStr">
        <is>
          <t>Ordinaire</t>
        </is>
      </c>
      <c r="L34" s="676" t="inlineStr">
        <is>
          <t>FONCTIONNEMENT</t>
        </is>
      </c>
      <c r="M34" s="676" t="inlineStr">
        <is>
          <t xml:space="preserve">Prestations de service
Achat prestations de services locales - personnes physiques </t>
        </is>
      </c>
      <c r="N34" s="677" t="n"/>
      <c r="O34" s="678" t="n"/>
      <c r="P34" s="678" t="n"/>
      <c r="Q34" s="672" t="inlineStr">
        <is>
          <t>RECONDUCTION</t>
        </is>
      </c>
      <c r="R34" s="679" t="n"/>
      <c r="S34" s="680" t="n"/>
      <c r="T34" s="681" t="inlineStr">
        <is>
          <t>AYOUB ADIB</t>
        </is>
      </c>
      <c r="U34" s="672" t="n">
        <v>2026</v>
      </c>
      <c r="V34" s="680" t="n">
        <v>46022</v>
      </c>
      <c r="W34" s="680" t="n"/>
      <c r="X34" s="680" t="n">
        <v>46024</v>
      </c>
      <c r="Y34" s="677" t="n">
        <v>113142.48</v>
      </c>
      <c r="Z34" s="678" t="n">
        <v>0</v>
      </c>
      <c r="AA34" s="678">
        <f>Y34</f>
        <v/>
      </c>
      <c r="AB34" s="678" t="n">
        <v>0</v>
      </c>
      <c r="AC34" s="678">
        <f>Y34</f>
        <v/>
      </c>
      <c r="AD34" s="678">
        <f>Y34</f>
        <v/>
      </c>
      <c r="AE34" s="682" t="inlineStr">
        <is>
          <t>ENGAGE</t>
        </is>
      </c>
      <c r="AF34" s="681" t="n"/>
      <c r="AG34" s="678" t="n"/>
      <c r="AH34" s="678" t="n"/>
      <c r="AI34" s="678" t="n"/>
      <c r="AJ34" s="678" t="n"/>
      <c r="AK34" s="683" t="n"/>
      <c r="AL34" s="683" t="n"/>
      <c r="AM34" s="681" t="inlineStr">
        <is>
          <t>Manque n° contrat</t>
        </is>
      </c>
      <c r="AN34" s="684" t="n"/>
      <c r="AO34" s="685" t="n"/>
      <c r="AP34" s="686" t="n"/>
      <c r="AQ34" s="686" t="n"/>
      <c r="AR34" s="23" t="n"/>
      <c r="AS34" s="686" t="n"/>
    </row>
    <row r="35" ht="50.55" customHeight="1" s="392">
      <c r="A35" s="672" t="n">
        <v>2026</v>
      </c>
      <c r="B35" s="673" t="inlineStr">
        <is>
          <t>ARRIYADIA</t>
        </is>
      </c>
      <c r="C35" s="673" t="inlineStr">
        <is>
          <t>PV N° : 01RC2025- DCCCA</t>
        </is>
      </c>
      <c r="D35" s="672" t="inlineStr">
        <is>
          <t>CONTRAT</t>
        </is>
      </c>
      <c r="E35" s="672" t="n"/>
      <c r="F35" s="674" t="inlineStr">
        <is>
          <t>ABDELOUAHED INCHA-ALLAH  -  Journaliste reporteur d'image</t>
        </is>
      </c>
      <c r="G35" s="675" t="inlineStr">
        <is>
          <t>VALIDE</t>
        </is>
      </c>
      <c r="H35" s="672" t="inlineStr">
        <is>
          <t>APPROUVE</t>
        </is>
      </c>
      <c r="I35" s="672" t="n"/>
      <c r="J35" s="675" t="inlineStr">
        <is>
          <t>NON CONCERNE</t>
        </is>
      </c>
      <c r="K35" s="672" t="inlineStr">
        <is>
          <t>Ordinaire</t>
        </is>
      </c>
      <c r="L35" s="676" t="inlineStr">
        <is>
          <t>FONCTIONNEMENT</t>
        </is>
      </c>
      <c r="M35" s="676" t="inlineStr">
        <is>
          <t xml:space="preserve">Prestations de service
Achat prestations de services locales - personnes physiques </t>
        </is>
      </c>
      <c r="N35" s="677" t="n"/>
      <c r="O35" s="678" t="n"/>
      <c r="P35" s="678" t="n"/>
      <c r="Q35" s="672" t="inlineStr">
        <is>
          <t>RECONDUCTION</t>
        </is>
      </c>
      <c r="R35" s="679" t="n"/>
      <c r="S35" s="680" t="n"/>
      <c r="T35" s="681" t="inlineStr">
        <is>
          <t>ABDELOUAHED INCHA-ALLAH</t>
        </is>
      </c>
      <c r="U35" s="672" t="n">
        <v>2026</v>
      </c>
      <c r="V35" s="680" t="n">
        <v>46022</v>
      </c>
      <c r="W35" s="680" t="n"/>
      <c r="X35" s="680" t="n">
        <v>46024</v>
      </c>
      <c r="Y35" s="677" t="n">
        <v>113142.48</v>
      </c>
      <c r="Z35" s="678" t="n">
        <v>0</v>
      </c>
      <c r="AA35" s="678">
        <f>Y35</f>
        <v/>
      </c>
      <c r="AB35" s="678" t="n">
        <v>0</v>
      </c>
      <c r="AC35" s="678">
        <f>Y35</f>
        <v/>
      </c>
      <c r="AD35" s="678">
        <f>Y35</f>
        <v/>
      </c>
      <c r="AE35" s="682" t="inlineStr">
        <is>
          <t>ENGAGE</t>
        </is>
      </c>
      <c r="AF35" s="681" t="n"/>
      <c r="AG35" s="678" t="n"/>
      <c r="AH35" s="678" t="n"/>
      <c r="AI35" s="678" t="n"/>
      <c r="AJ35" s="678" t="n"/>
      <c r="AK35" s="683" t="n"/>
      <c r="AL35" s="683" t="n"/>
      <c r="AM35" s="681" t="inlineStr">
        <is>
          <t>Manque n° contrat</t>
        </is>
      </c>
      <c r="AN35" s="684" t="n"/>
      <c r="AO35" s="685" t="n"/>
      <c r="AP35" s="686" t="n"/>
      <c r="AQ35" s="686" t="n"/>
      <c r="AR35" s="23" t="n"/>
      <c r="AS35" s="686" t="n"/>
    </row>
    <row r="36" ht="50.55" customHeight="1" s="392">
      <c r="A36" s="672" t="n">
        <v>2026</v>
      </c>
      <c r="B36" s="673" t="inlineStr">
        <is>
          <t>ARRIYADIA</t>
        </is>
      </c>
      <c r="C36" s="673" t="inlineStr">
        <is>
          <t>PV N° : 01RC2025- DCCCA</t>
        </is>
      </c>
      <c r="D36" s="672" t="inlineStr">
        <is>
          <t>CONTRAT</t>
        </is>
      </c>
      <c r="E36" s="672" t="n"/>
      <c r="F36" s="674" t="inlineStr">
        <is>
          <t>SARA BELATTAR  -  Scripte</t>
        </is>
      </c>
      <c r="G36" s="675" t="inlineStr">
        <is>
          <t>VALIDE</t>
        </is>
      </c>
      <c r="H36" s="672" t="inlineStr">
        <is>
          <t>APPROUVE</t>
        </is>
      </c>
      <c r="I36" s="672" t="n"/>
      <c r="J36" s="675" t="inlineStr">
        <is>
          <t>NON CONCERNE</t>
        </is>
      </c>
      <c r="K36" s="672" t="inlineStr">
        <is>
          <t>Ordinaire</t>
        </is>
      </c>
      <c r="L36" s="676" t="inlineStr">
        <is>
          <t>FONCTIONNEMENT</t>
        </is>
      </c>
      <c r="M36" s="676" t="inlineStr">
        <is>
          <t xml:space="preserve">Prestations de service
Achat prestations de services locales - personnes physiques </t>
        </is>
      </c>
      <c r="N36" s="677" t="n"/>
      <c r="O36" s="678" t="n"/>
      <c r="P36" s="678" t="n"/>
      <c r="Q36" s="672" t="inlineStr">
        <is>
          <t>RECONDUCTION</t>
        </is>
      </c>
      <c r="R36" s="679" t="n"/>
      <c r="S36" s="680" t="n"/>
      <c r="T36" s="681" t="inlineStr">
        <is>
          <t>SARA BELATTAR</t>
        </is>
      </c>
      <c r="U36" s="672" t="n">
        <v>2026</v>
      </c>
      <c r="V36" s="680" t="n">
        <v>46022</v>
      </c>
      <c r="W36" s="680" t="n"/>
      <c r="X36" s="680" t="n">
        <v>46024</v>
      </c>
      <c r="Y36" s="677" t="n">
        <v>113142.48</v>
      </c>
      <c r="Z36" s="678" t="n">
        <v>0</v>
      </c>
      <c r="AA36" s="678">
        <f>Y36</f>
        <v/>
      </c>
      <c r="AB36" s="678" t="n">
        <v>0</v>
      </c>
      <c r="AC36" s="678">
        <f>Y36</f>
        <v/>
      </c>
      <c r="AD36" s="678">
        <f>Y36</f>
        <v/>
      </c>
      <c r="AE36" s="682" t="inlineStr">
        <is>
          <t>ENGAGE</t>
        </is>
      </c>
      <c r="AF36" s="681" t="n"/>
      <c r="AG36" s="678" t="n"/>
      <c r="AH36" s="678" t="n"/>
      <c r="AI36" s="678" t="n"/>
      <c r="AJ36" s="678" t="n"/>
      <c r="AK36" s="683" t="n"/>
      <c r="AL36" s="683" t="n"/>
      <c r="AM36" s="681" t="inlineStr">
        <is>
          <t>Manque n° contrat</t>
        </is>
      </c>
      <c r="AN36" s="684" t="n"/>
      <c r="AO36" s="685" t="n"/>
      <c r="AP36" s="686" t="n"/>
      <c r="AQ36" s="686" t="n"/>
      <c r="AR36" s="23" t="n"/>
      <c r="AS36" s="686" t="n"/>
    </row>
    <row r="37" ht="50.55" customHeight="1" s="392">
      <c r="A37" s="672" t="n">
        <v>2026</v>
      </c>
      <c r="B37" s="673" t="inlineStr">
        <is>
          <t>ARRIYADIA</t>
        </is>
      </c>
      <c r="C37" s="673" t="inlineStr">
        <is>
          <t>PV N° : 01RC2025- DCCCA</t>
        </is>
      </c>
      <c r="D37" s="672" t="inlineStr">
        <is>
          <t>CONTRAT</t>
        </is>
      </c>
      <c r="E37" s="672" t="n"/>
      <c r="F37" s="674" t="inlineStr">
        <is>
          <t>TAOUFIK EL AMRANI EL HANCHI  -  responsable site web</t>
        </is>
      </c>
      <c r="G37" s="675" t="inlineStr">
        <is>
          <t>VALIDE</t>
        </is>
      </c>
      <c r="H37" s="672" t="inlineStr">
        <is>
          <t>APPROUVE</t>
        </is>
      </c>
      <c r="I37" s="672" t="n"/>
      <c r="J37" s="675" t="inlineStr">
        <is>
          <t>NON CONCERNE</t>
        </is>
      </c>
      <c r="K37" s="672" t="inlineStr">
        <is>
          <t>Ordinaire</t>
        </is>
      </c>
      <c r="L37" s="676" t="inlineStr">
        <is>
          <t>FONCTIONNEMENT</t>
        </is>
      </c>
      <c r="M37" s="676" t="inlineStr">
        <is>
          <t xml:space="preserve">Prestations de service
Achat prestations de services locales - personnes physiques </t>
        </is>
      </c>
      <c r="N37" s="677" t="n"/>
      <c r="O37" s="678" t="n"/>
      <c r="P37" s="678" t="n"/>
      <c r="Q37" s="672" t="inlineStr">
        <is>
          <t>RECONDUCTION</t>
        </is>
      </c>
      <c r="R37" s="679" t="n"/>
      <c r="S37" s="680" t="n"/>
      <c r="T37" s="681" t="inlineStr">
        <is>
          <t>TAOUFIK EL AMRANI EL HANCHI</t>
        </is>
      </c>
      <c r="U37" s="672" t="n">
        <v>2026</v>
      </c>
      <c r="V37" s="680" t="n">
        <v>46022</v>
      </c>
      <c r="W37" s="680" t="n"/>
      <c r="X37" s="680" t="n">
        <v>46024</v>
      </c>
      <c r="Y37" s="677" t="n">
        <v>204000</v>
      </c>
      <c r="Z37" s="678" t="n">
        <v>0</v>
      </c>
      <c r="AA37" s="678">
        <f>Y37</f>
        <v/>
      </c>
      <c r="AB37" s="678" t="n">
        <v>0</v>
      </c>
      <c r="AC37" s="678">
        <f>Y37</f>
        <v/>
      </c>
      <c r="AD37" s="678">
        <f>Y37</f>
        <v/>
      </c>
      <c r="AE37" s="682" t="inlineStr">
        <is>
          <t>ENGAGE</t>
        </is>
      </c>
      <c r="AF37" s="681" t="n"/>
      <c r="AG37" s="678" t="n"/>
      <c r="AH37" s="678" t="n"/>
      <c r="AI37" s="678" t="n"/>
      <c r="AJ37" s="678" t="n"/>
      <c r="AK37" s="683" t="n"/>
      <c r="AL37" s="683" t="n"/>
      <c r="AM37" s="681" t="inlineStr">
        <is>
          <t>Manque n° contrat</t>
        </is>
      </c>
      <c r="AN37" s="684" t="n"/>
      <c r="AO37" s="685" t="n"/>
      <c r="AP37" s="686" t="n"/>
      <c r="AQ37" s="686" t="n"/>
      <c r="AR37" s="23" t="n"/>
      <c r="AS37" s="686" t="n"/>
    </row>
    <row r="38" ht="50.55" customHeight="1" s="392">
      <c r="A38" s="672" t="n">
        <v>2026</v>
      </c>
      <c r="B38" s="673" t="inlineStr">
        <is>
          <t>ARRIYADIA</t>
        </is>
      </c>
      <c r="C38" s="673" t="inlineStr">
        <is>
          <t>PV N° : 01RC2025- DCCCA</t>
        </is>
      </c>
      <c r="D38" s="672" t="inlineStr">
        <is>
          <t>CONTRAT</t>
        </is>
      </c>
      <c r="E38" s="672" t="n"/>
      <c r="F38" s="674" t="inlineStr">
        <is>
          <t>AHMED NAIM  -  Journaliste web sénior</t>
        </is>
      </c>
      <c r="G38" s="675" t="inlineStr">
        <is>
          <t>VALIDE</t>
        </is>
      </c>
      <c r="H38" s="672" t="inlineStr">
        <is>
          <t>APPROUVE</t>
        </is>
      </c>
      <c r="I38" s="672" t="n"/>
      <c r="J38" s="675" t="inlineStr">
        <is>
          <t>NON CONCERNE</t>
        </is>
      </c>
      <c r="K38" s="672" t="inlineStr">
        <is>
          <t>Ordinaire</t>
        </is>
      </c>
      <c r="L38" s="676" t="inlineStr">
        <is>
          <t>FONCTIONNEMENT</t>
        </is>
      </c>
      <c r="M38" s="676" t="inlineStr">
        <is>
          <t xml:space="preserve">Prestations de service
Achat prestations de services locales - personnes physiques </t>
        </is>
      </c>
      <c r="N38" s="677" t="n"/>
      <c r="O38" s="678" t="n"/>
      <c r="P38" s="678" t="n"/>
      <c r="Q38" s="672" t="inlineStr">
        <is>
          <t>RECONDUCTION</t>
        </is>
      </c>
      <c r="R38" s="679" t="n"/>
      <c r="S38" s="680" t="n"/>
      <c r="T38" s="681" t="inlineStr">
        <is>
          <t>AHMED NAIM</t>
        </is>
      </c>
      <c r="U38" s="672" t="n">
        <v>2026</v>
      </c>
      <c r="V38" s="680" t="n">
        <v>46022</v>
      </c>
      <c r="W38" s="680" t="n"/>
      <c r="X38" s="680" t="n">
        <v>46024</v>
      </c>
      <c r="Y38" s="677" t="n">
        <v>180000</v>
      </c>
      <c r="Z38" s="678" t="n">
        <v>0</v>
      </c>
      <c r="AA38" s="678">
        <f>Y38</f>
        <v/>
      </c>
      <c r="AB38" s="678" t="n">
        <v>0</v>
      </c>
      <c r="AC38" s="678">
        <f>Y38</f>
        <v/>
      </c>
      <c r="AD38" s="678">
        <f>Y38</f>
        <v/>
      </c>
      <c r="AE38" s="682" t="inlineStr">
        <is>
          <t>ENGAGE</t>
        </is>
      </c>
      <c r="AF38" s="681" t="n"/>
      <c r="AG38" s="678" t="n"/>
      <c r="AH38" s="678" t="n"/>
      <c r="AI38" s="678" t="n"/>
      <c r="AJ38" s="678" t="n"/>
      <c r="AK38" s="683" t="n"/>
      <c r="AL38" s="683" t="n"/>
      <c r="AM38" s="681" t="inlineStr">
        <is>
          <t>Manque n° contrat</t>
        </is>
      </c>
      <c r="AN38" s="684" t="n"/>
      <c r="AO38" s="685" t="n"/>
      <c r="AP38" s="686" t="n"/>
      <c r="AQ38" s="686" t="n"/>
      <c r="AR38" s="23" t="n"/>
      <c r="AS38" s="686" t="n"/>
    </row>
    <row r="39" ht="50.55" customHeight="1" s="392">
      <c r="A39" s="672" t="n">
        <v>2026</v>
      </c>
      <c r="B39" s="673" t="inlineStr">
        <is>
          <t>ARRIYADIA</t>
        </is>
      </c>
      <c r="C39" s="673" t="inlineStr">
        <is>
          <t>PV N° : 01RC2025- DCCCA</t>
        </is>
      </c>
      <c r="D39" s="672" t="inlineStr">
        <is>
          <t>CONTRAT</t>
        </is>
      </c>
      <c r="E39" s="672" t="n"/>
      <c r="F39" s="674" t="inlineStr">
        <is>
          <t>SAID AKDAD  -  Journaliste web</t>
        </is>
      </c>
      <c r="G39" s="675" t="inlineStr">
        <is>
          <t>VALIDE</t>
        </is>
      </c>
      <c r="H39" s="672" t="inlineStr">
        <is>
          <t>APPROUVE</t>
        </is>
      </c>
      <c r="I39" s="672" t="n"/>
      <c r="J39" s="675" t="inlineStr">
        <is>
          <t>NON CONCERNE</t>
        </is>
      </c>
      <c r="K39" s="672" t="inlineStr">
        <is>
          <t>Ordinaire</t>
        </is>
      </c>
      <c r="L39" s="676" t="inlineStr">
        <is>
          <t>FONCTIONNEMENT</t>
        </is>
      </c>
      <c r="M39" s="676" t="inlineStr">
        <is>
          <t xml:space="preserve">Prestations de service
Achat prestations de services locales - personnes physiques </t>
        </is>
      </c>
      <c r="N39" s="677" t="n"/>
      <c r="O39" s="678" t="n"/>
      <c r="P39" s="678" t="n"/>
      <c r="Q39" s="672" t="inlineStr">
        <is>
          <t>RECONDUCTION</t>
        </is>
      </c>
      <c r="R39" s="679" t="n"/>
      <c r="S39" s="680" t="n"/>
      <c r="T39" s="681" t="inlineStr">
        <is>
          <t>SAID AKDAD</t>
        </is>
      </c>
      <c r="U39" s="672" t="n">
        <v>2026</v>
      </c>
      <c r="V39" s="680" t="n">
        <v>46022</v>
      </c>
      <c r="W39" s="680" t="n"/>
      <c r="X39" s="680" t="n">
        <v>46024</v>
      </c>
      <c r="Y39" s="677" t="n">
        <v>144000</v>
      </c>
      <c r="Z39" s="678" t="n">
        <v>0</v>
      </c>
      <c r="AA39" s="678">
        <f>Y39</f>
        <v/>
      </c>
      <c r="AB39" s="678" t="n">
        <v>0</v>
      </c>
      <c r="AC39" s="678">
        <f>Y39</f>
        <v/>
      </c>
      <c r="AD39" s="678">
        <f>Y39</f>
        <v/>
      </c>
      <c r="AE39" s="682" t="inlineStr">
        <is>
          <t>ENGAGE</t>
        </is>
      </c>
      <c r="AF39" s="681" t="n"/>
      <c r="AG39" s="678" t="n"/>
      <c r="AH39" s="678" t="n"/>
      <c r="AI39" s="678" t="n"/>
      <c r="AJ39" s="678" t="n"/>
      <c r="AK39" s="683" t="n"/>
      <c r="AL39" s="683" t="n"/>
      <c r="AM39" s="681" t="inlineStr">
        <is>
          <t>Manque n° contrat</t>
        </is>
      </c>
      <c r="AN39" s="684" t="n"/>
      <c r="AO39" s="685" t="n"/>
      <c r="AP39" s="686" t="n"/>
      <c r="AQ39" s="686" t="n"/>
      <c r="AR39" s="23" t="n"/>
      <c r="AS39" s="686" t="n"/>
    </row>
    <row r="40" ht="50.55" customHeight="1" s="392">
      <c r="A40" s="672" t="n">
        <v>2026</v>
      </c>
      <c r="B40" s="673" t="inlineStr">
        <is>
          <t>ARRIYADIA</t>
        </is>
      </c>
      <c r="C40" s="673" t="inlineStr">
        <is>
          <t>PV N° : 01RC2025- DCCCA</t>
        </is>
      </c>
      <c r="D40" s="672" t="inlineStr">
        <is>
          <t>CONTRAT</t>
        </is>
      </c>
      <c r="E40" s="672" t="n"/>
      <c r="F40" s="674" t="inlineStr">
        <is>
          <t>JAMAL ASTAIFI  -  Journaliste web</t>
        </is>
      </c>
      <c r="G40" s="675" t="inlineStr">
        <is>
          <t>VALIDE</t>
        </is>
      </c>
      <c r="H40" s="672" t="inlineStr">
        <is>
          <t>APPROUVE</t>
        </is>
      </c>
      <c r="I40" s="672" t="n"/>
      <c r="J40" s="675" t="inlineStr">
        <is>
          <t>NON CONCERNE</t>
        </is>
      </c>
      <c r="K40" s="672" t="inlineStr">
        <is>
          <t>Ordinaire</t>
        </is>
      </c>
      <c r="L40" s="676" t="inlineStr">
        <is>
          <t>FONCTIONNEMENT</t>
        </is>
      </c>
      <c r="M40" s="676" t="inlineStr">
        <is>
          <t xml:space="preserve">Prestations de service
Achat prestations de services locales - personnes physiques </t>
        </is>
      </c>
      <c r="N40" s="677" t="n"/>
      <c r="O40" s="678" t="n"/>
      <c r="P40" s="678" t="n"/>
      <c r="Q40" s="672" t="inlineStr">
        <is>
          <t>RECONDUCTION</t>
        </is>
      </c>
      <c r="R40" s="679" t="n"/>
      <c r="S40" s="680" t="n"/>
      <c r="T40" s="681" t="inlineStr">
        <is>
          <t>JAMAL ASTAIFI</t>
        </is>
      </c>
      <c r="U40" s="672" t="n">
        <v>2026</v>
      </c>
      <c r="V40" s="680" t="n">
        <v>46022</v>
      </c>
      <c r="W40" s="680" t="n"/>
      <c r="X40" s="680" t="n">
        <v>46024</v>
      </c>
      <c r="Y40" s="677" t="n">
        <v>113142.48</v>
      </c>
      <c r="Z40" s="678" t="n">
        <v>0</v>
      </c>
      <c r="AA40" s="678">
        <f>Y40</f>
        <v/>
      </c>
      <c r="AB40" s="678" t="n">
        <v>0</v>
      </c>
      <c r="AC40" s="678">
        <f>Y40</f>
        <v/>
      </c>
      <c r="AD40" s="678">
        <f>Y40</f>
        <v/>
      </c>
      <c r="AE40" s="682" t="inlineStr">
        <is>
          <t>ENGAGE</t>
        </is>
      </c>
      <c r="AF40" s="681" t="n"/>
      <c r="AG40" s="678" t="n"/>
      <c r="AH40" s="678" t="n"/>
      <c r="AI40" s="678" t="n"/>
      <c r="AJ40" s="678" t="n"/>
      <c r="AK40" s="683" t="n"/>
      <c r="AL40" s="683" t="n"/>
      <c r="AM40" s="681" t="inlineStr">
        <is>
          <t>Manque n° contrat</t>
        </is>
      </c>
      <c r="AN40" s="684" t="n"/>
      <c r="AO40" s="685" t="n"/>
      <c r="AP40" s="686" t="n"/>
      <c r="AQ40" s="686" t="n"/>
      <c r="AR40" s="23" t="n"/>
      <c r="AS40" s="686" t="n"/>
    </row>
    <row r="41" ht="50.55" customHeight="1" s="392">
      <c r="A41" s="672" t="n">
        <v>2026</v>
      </c>
      <c r="B41" s="673" t="inlineStr">
        <is>
          <t>ARRIYADIA</t>
        </is>
      </c>
      <c r="C41" s="673" t="inlineStr">
        <is>
          <t>PV N° : 01RC2025- DCCCA</t>
        </is>
      </c>
      <c r="D41" s="672" t="inlineStr">
        <is>
          <t>CONTRAT</t>
        </is>
      </c>
      <c r="E41" s="672" t="n"/>
      <c r="F41" s="674" t="inlineStr">
        <is>
          <t>HAMZA AKIL  -  Chargé de production</t>
        </is>
      </c>
      <c r="G41" s="675" t="inlineStr">
        <is>
          <t>VALIDE</t>
        </is>
      </c>
      <c r="H41" s="672" t="inlineStr">
        <is>
          <t>APPROUVE</t>
        </is>
      </c>
      <c r="I41" s="672" t="n"/>
      <c r="J41" s="675" t="inlineStr">
        <is>
          <t>NON CONCERNE</t>
        </is>
      </c>
      <c r="K41" s="672" t="inlineStr">
        <is>
          <t>Ordinaire</t>
        </is>
      </c>
      <c r="L41" s="676" t="inlineStr">
        <is>
          <t>FONCTIONNEMENT</t>
        </is>
      </c>
      <c r="M41" s="676" t="inlineStr">
        <is>
          <t xml:space="preserve">Prestations de service
Achat prestations de services locales - personnes physiques </t>
        </is>
      </c>
      <c r="N41" s="677" t="n"/>
      <c r="O41" s="678" t="n"/>
      <c r="P41" s="678" t="n"/>
      <c r="Q41" s="672" t="inlineStr">
        <is>
          <t>RECONDUCTION</t>
        </is>
      </c>
      <c r="R41" s="679" t="n"/>
      <c r="S41" s="680" t="n"/>
      <c r="T41" s="681" t="inlineStr">
        <is>
          <t>HAMZA AKIL</t>
        </is>
      </c>
      <c r="U41" s="672" t="n">
        <v>2026</v>
      </c>
      <c r="V41" s="680" t="n">
        <v>46022</v>
      </c>
      <c r="W41" s="680" t="n"/>
      <c r="X41" s="680" t="n">
        <v>46024</v>
      </c>
      <c r="Y41" s="677" t="n">
        <v>132000</v>
      </c>
      <c r="Z41" s="678" t="n">
        <v>0</v>
      </c>
      <c r="AA41" s="678">
        <f>Y41</f>
        <v/>
      </c>
      <c r="AB41" s="678" t="n">
        <v>0</v>
      </c>
      <c r="AC41" s="678">
        <f>Y41</f>
        <v/>
      </c>
      <c r="AD41" s="678">
        <f>Y41</f>
        <v/>
      </c>
      <c r="AE41" s="682" t="inlineStr">
        <is>
          <t>ENGAGE</t>
        </is>
      </c>
      <c r="AF41" s="681" t="n"/>
      <c r="AG41" s="678" t="n"/>
      <c r="AH41" s="678" t="n"/>
      <c r="AI41" s="678" t="n"/>
      <c r="AJ41" s="678" t="n"/>
      <c r="AK41" s="683" t="n"/>
      <c r="AL41" s="683" t="n"/>
      <c r="AM41" s="681" t="inlineStr">
        <is>
          <t>Manque n° contrat</t>
        </is>
      </c>
      <c r="AN41" s="684" t="n"/>
      <c r="AO41" s="685" t="n"/>
      <c r="AP41" s="686" t="n"/>
      <c r="AQ41" s="686" t="n"/>
      <c r="AR41" s="23" t="n"/>
      <c r="AS41" s="686" t="n"/>
    </row>
    <row r="42" ht="50.55" customHeight="1" s="392">
      <c r="A42" s="672" t="n">
        <v>2026</v>
      </c>
      <c r="B42" s="673" t="inlineStr">
        <is>
          <t>ARRIYADIA</t>
        </is>
      </c>
      <c r="C42" s="673" t="inlineStr">
        <is>
          <t>PV N° : 01RC2025- DCCCA</t>
        </is>
      </c>
      <c r="D42" s="672" t="inlineStr">
        <is>
          <t>CONTRAT</t>
        </is>
      </c>
      <c r="E42" s="672" t="n"/>
      <c r="F42" s="674" t="inlineStr">
        <is>
          <t>RHIZLAN KORCHI  -  Habilleuse</t>
        </is>
      </c>
      <c r="G42" s="675" t="inlineStr">
        <is>
          <t>VALIDE</t>
        </is>
      </c>
      <c r="H42" s="672" t="inlineStr">
        <is>
          <t>APPROUVE</t>
        </is>
      </c>
      <c r="I42" s="672" t="n"/>
      <c r="J42" s="675" t="inlineStr">
        <is>
          <t>NON CONCERNE</t>
        </is>
      </c>
      <c r="K42" s="672" t="inlineStr">
        <is>
          <t>Ordinaire</t>
        </is>
      </c>
      <c r="L42" s="676" t="inlineStr">
        <is>
          <t>FONCTIONNEMENT</t>
        </is>
      </c>
      <c r="M42" s="676" t="inlineStr">
        <is>
          <t xml:space="preserve">Prestations de service
Achat prestations de services locales - personnes physiques </t>
        </is>
      </c>
      <c r="N42" s="677" t="n"/>
      <c r="O42" s="678" t="n"/>
      <c r="P42" s="678" t="n"/>
      <c r="Q42" s="672" t="inlineStr">
        <is>
          <t>RECONDUCTION</t>
        </is>
      </c>
      <c r="R42" s="679" t="n"/>
      <c r="S42" s="680" t="n"/>
      <c r="T42" s="681" t="inlineStr">
        <is>
          <t>RHIZLAN KORCHI</t>
        </is>
      </c>
      <c r="U42" s="672" t="n">
        <v>2026</v>
      </c>
      <c r="V42" s="680" t="n">
        <v>46022</v>
      </c>
      <c r="W42" s="680" t="n"/>
      <c r="X42" s="680" t="n">
        <v>46024</v>
      </c>
      <c r="Y42" s="677" t="n">
        <v>113142.48</v>
      </c>
      <c r="Z42" s="678" t="n">
        <v>0</v>
      </c>
      <c r="AA42" s="678">
        <f>Y42</f>
        <v/>
      </c>
      <c r="AB42" s="678" t="n">
        <v>0</v>
      </c>
      <c r="AC42" s="678">
        <f>Y42</f>
        <v/>
      </c>
      <c r="AD42" s="678">
        <f>Y42</f>
        <v/>
      </c>
      <c r="AE42" s="682" t="inlineStr">
        <is>
          <t>ENGAGE</t>
        </is>
      </c>
      <c r="AF42" s="681" t="n"/>
      <c r="AG42" s="678" t="n"/>
      <c r="AH42" s="678" t="n"/>
      <c r="AI42" s="678" t="n"/>
      <c r="AJ42" s="678" t="n"/>
      <c r="AK42" s="683" t="n"/>
      <c r="AL42" s="683" t="n"/>
      <c r="AM42" s="681" t="inlineStr">
        <is>
          <t>Manque n° contrat</t>
        </is>
      </c>
      <c r="AN42" s="684" t="n"/>
      <c r="AO42" s="685" t="n"/>
      <c r="AP42" s="686" t="n"/>
      <c r="AQ42" s="686" t="n"/>
      <c r="AR42" s="23" t="n"/>
      <c r="AS42" s="686" t="n"/>
    </row>
    <row r="43" ht="50.55" customHeight="1" s="392">
      <c r="A43" s="672" t="n">
        <v>2026</v>
      </c>
      <c r="B43" s="673" t="inlineStr">
        <is>
          <t>ARRIYADIA</t>
        </is>
      </c>
      <c r="C43" s="673" t="inlineStr">
        <is>
          <t>PV N° : 01RC2025- DCCCA</t>
        </is>
      </c>
      <c r="D43" s="672" t="inlineStr">
        <is>
          <t>CONTRAT</t>
        </is>
      </c>
      <c r="E43" s="672" t="n"/>
      <c r="F43" s="674" t="inlineStr">
        <is>
          <t>RADIF YOUSRA  -  Maquilleuse coiffeuse</t>
        </is>
      </c>
      <c r="G43" s="675" t="inlineStr">
        <is>
          <t>VALIDE</t>
        </is>
      </c>
      <c r="H43" s="672" t="inlineStr">
        <is>
          <t>APPROUVE</t>
        </is>
      </c>
      <c r="I43" s="672" t="n"/>
      <c r="J43" s="675" t="inlineStr">
        <is>
          <t>NON CONCERNE</t>
        </is>
      </c>
      <c r="K43" s="672" t="inlineStr">
        <is>
          <t>Ordinaire</t>
        </is>
      </c>
      <c r="L43" s="676" t="inlineStr">
        <is>
          <t>FONCTIONNEMENT</t>
        </is>
      </c>
      <c r="M43" s="676" t="inlineStr">
        <is>
          <t xml:space="preserve">Prestations de service
Achat prestations de services locales - personnes physiques </t>
        </is>
      </c>
      <c r="N43" s="677" t="n"/>
      <c r="O43" s="678" t="n"/>
      <c r="P43" s="678" t="n"/>
      <c r="Q43" s="672" t="inlineStr">
        <is>
          <t>RECONDUCTION</t>
        </is>
      </c>
      <c r="R43" s="679" t="n"/>
      <c r="S43" s="680" t="n"/>
      <c r="T43" s="681" t="inlineStr">
        <is>
          <t>RADIF YOUSRA</t>
        </is>
      </c>
      <c r="U43" s="672" t="n">
        <v>2026</v>
      </c>
      <c r="V43" s="680" t="n">
        <v>46022</v>
      </c>
      <c r="W43" s="680" t="n"/>
      <c r="X43" s="680" t="n">
        <v>46024</v>
      </c>
      <c r="Y43" s="677" t="n">
        <v>113142.48</v>
      </c>
      <c r="Z43" s="678" t="n">
        <v>0</v>
      </c>
      <c r="AA43" s="678">
        <f>Y43</f>
        <v/>
      </c>
      <c r="AB43" s="678" t="n">
        <v>0</v>
      </c>
      <c r="AC43" s="678">
        <f>Y43</f>
        <v/>
      </c>
      <c r="AD43" s="678">
        <f>Y43</f>
        <v/>
      </c>
      <c r="AE43" s="682" t="inlineStr">
        <is>
          <t>ENGAGE</t>
        </is>
      </c>
      <c r="AF43" s="681" t="n"/>
      <c r="AG43" s="678" t="n"/>
      <c r="AH43" s="678" t="n"/>
      <c r="AI43" s="678" t="n"/>
      <c r="AJ43" s="678" t="n"/>
      <c r="AK43" s="683" t="n"/>
      <c r="AL43" s="683" t="n"/>
      <c r="AM43" s="681" t="inlineStr">
        <is>
          <t>Manque n° contrat</t>
        </is>
      </c>
      <c r="AN43" s="684" t="n"/>
      <c r="AO43" s="685" t="n"/>
      <c r="AP43" s="686" t="n"/>
      <c r="AQ43" s="686" t="n"/>
      <c r="AR43" s="23" t="n"/>
      <c r="AS43" s="686" t="n"/>
    </row>
    <row r="44" ht="50.55" customHeight="1" s="392">
      <c r="A44" s="672" t="n">
        <v>2026</v>
      </c>
      <c r="B44" s="673" t="inlineStr">
        <is>
          <t>ARRIYADIA</t>
        </is>
      </c>
      <c r="C44" s="673" t="inlineStr">
        <is>
          <t>PV N° : 01RC2025- DCCCA</t>
        </is>
      </c>
      <c r="D44" s="672" t="inlineStr">
        <is>
          <t>CONTRAT</t>
        </is>
      </c>
      <c r="E44" s="672" t="n"/>
      <c r="F44" s="674" t="inlineStr">
        <is>
          <t>MOHAMED EL MAAMOURI  -  Graphiste</t>
        </is>
      </c>
      <c r="G44" s="675" t="inlineStr">
        <is>
          <t>VALIDE</t>
        </is>
      </c>
      <c r="H44" s="672" t="inlineStr">
        <is>
          <t>APPROUVE</t>
        </is>
      </c>
      <c r="I44" s="672" t="n"/>
      <c r="J44" s="675" t="inlineStr">
        <is>
          <t>NON CONCERNE</t>
        </is>
      </c>
      <c r="K44" s="672" t="inlineStr">
        <is>
          <t>Ordinaire</t>
        </is>
      </c>
      <c r="L44" s="676" t="inlineStr">
        <is>
          <t>FONCTIONNEMENT</t>
        </is>
      </c>
      <c r="M44" s="676" t="inlineStr">
        <is>
          <t xml:space="preserve">Prestations de service
Achat prestations de services locales - personnes physiques </t>
        </is>
      </c>
      <c r="N44" s="677" t="n"/>
      <c r="O44" s="678" t="n"/>
      <c r="P44" s="678" t="n"/>
      <c r="Q44" s="672" t="inlineStr">
        <is>
          <t>RECONDUCTION</t>
        </is>
      </c>
      <c r="R44" s="679" t="n"/>
      <c r="S44" s="680" t="n"/>
      <c r="T44" s="681" t="inlineStr">
        <is>
          <t>MOHAMED EL MAAMOURI</t>
        </is>
      </c>
      <c r="U44" s="672" t="n">
        <v>2026</v>
      </c>
      <c r="V44" s="680" t="n">
        <v>46022</v>
      </c>
      <c r="W44" s="680" t="n"/>
      <c r="X44" s="680" t="n">
        <v>46024</v>
      </c>
      <c r="Y44" s="677" t="n">
        <v>113142.48</v>
      </c>
      <c r="Z44" s="678" t="n">
        <v>0</v>
      </c>
      <c r="AA44" s="678">
        <f>Y44</f>
        <v/>
      </c>
      <c r="AB44" s="678" t="n">
        <v>0</v>
      </c>
      <c r="AC44" s="678">
        <f>Y44</f>
        <v/>
      </c>
      <c r="AD44" s="678">
        <f>Y44</f>
        <v/>
      </c>
      <c r="AE44" s="682" t="inlineStr">
        <is>
          <t>ENGAGE</t>
        </is>
      </c>
      <c r="AF44" s="681" t="n"/>
      <c r="AG44" s="678" t="n"/>
      <c r="AH44" s="678" t="n"/>
      <c r="AI44" s="678" t="n"/>
      <c r="AJ44" s="678" t="n"/>
      <c r="AK44" s="683" t="n"/>
      <c r="AL44" s="683" t="n"/>
      <c r="AM44" s="681" t="inlineStr">
        <is>
          <t>Manque n° contrat</t>
        </is>
      </c>
      <c r="AN44" s="684" t="n"/>
      <c r="AO44" s="685" t="n"/>
      <c r="AP44" s="686" t="n"/>
      <c r="AQ44" s="686" t="n"/>
      <c r="AR44" s="23" t="n"/>
      <c r="AS44" s="686" t="n"/>
    </row>
    <row r="45" ht="50.55" customHeight="1" s="392">
      <c r="A45" s="672" t="n">
        <v>2026</v>
      </c>
      <c r="B45" s="673" t="inlineStr">
        <is>
          <t>ARRIYADIA</t>
        </is>
      </c>
      <c r="C45" s="673" t="inlineStr">
        <is>
          <t>PV N° : 01RC2025- DCCCA</t>
        </is>
      </c>
      <c r="D45" s="672" t="inlineStr">
        <is>
          <t>CONTRAT</t>
        </is>
      </c>
      <c r="E45" s="672" t="n"/>
      <c r="F45" s="674" t="inlineStr">
        <is>
          <t>REDA TIZAGHTI  -  Graphiste</t>
        </is>
      </c>
      <c r="G45" s="675" t="inlineStr">
        <is>
          <t>VALIDE</t>
        </is>
      </c>
      <c r="H45" s="672" t="inlineStr">
        <is>
          <t>APPROUVE</t>
        </is>
      </c>
      <c r="I45" s="672" t="n"/>
      <c r="J45" s="675" t="inlineStr">
        <is>
          <t>NON CONCERNE</t>
        </is>
      </c>
      <c r="K45" s="672" t="inlineStr">
        <is>
          <t>Ordinaire</t>
        </is>
      </c>
      <c r="L45" s="676" t="inlineStr">
        <is>
          <t>FONCTIONNEMENT</t>
        </is>
      </c>
      <c r="M45" s="676" t="inlineStr">
        <is>
          <t xml:space="preserve">Prestations de service
Achat prestations de services locales - personnes physiques </t>
        </is>
      </c>
      <c r="N45" s="677" t="n"/>
      <c r="O45" s="678" t="n"/>
      <c r="P45" s="678" t="n"/>
      <c r="Q45" s="672" t="inlineStr">
        <is>
          <t>RECONDUCTION</t>
        </is>
      </c>
      <c r="R45" s="679" t="n"/>
      <c r="S45" s="680" t="n"/>
      <c r="T45" s="681" t="inlineStr">
        <is>
          <t>REDA TIZAGHTI</t>
        </is>
      </c>
      <c r="U45" s="672" t="n">
        <v>2026</v>
      </c>
      <c r="V45" s="680" t="n">
        <v>46022</v>
      </c>
      <c r="W45" s="680" t="n"/>
      <c r="X45" s="680" t="n">
        <v>46024</v>
      </c>
      <c r="Y45" s="677" t="n">
        <v>113142.48</v>
      </c>
      <c r="Z45" s="678" t="n">
        <v>0</v>
      </c>
      <c r="AA45" s="678">
        <f>Y45</f>
        <v/>
      </c>
      <c r="AB45" s="678" t="n">
        <v>0</v>
      </c>
      <c r="AC45" s="678">
        <f>Y45</f>
        <v/>
      </c>
      <c r="AD45" s="678">
        <f>Y45</f>
        <v/>
      </c>
      <c r="AE45" s="682" t="inlineStr">
        <is>
          <t>ENGAGE</t>
        </is>
      </c>
      <c r="AF45" s="681" t="n"/>
      <c r="AG45" s="678" t="n"/>
      <c r="AH45" s="678" t="n"/>
      <c r="AI45" s="678" t="n"/>
      <c r="AJ45" s="678" t="n"/>
      <c r="AK45" s="683" t="n"/>
      <c r="AL45" s="683" t="n"/>
      <c r="AM45" s="681" t="inlineStr">
        <is>
          <t>Manque n° contrat</t>
        </is>
      </c>
      <c r="AN45" s="684" t="n"/>
      <c r="AO45" s="685" t="n"/>
      <c r="AP45" s="686" t="n"/>
      <c r="AQ45" s="686" t="n"/>
      <c r="AR45" s="23" t="n"/>
      <c r="AS45" s="686" t="n"/>
    </row>
    <row r="46" ht="50.55" customHeight="1" s="392">
      <c r="A46" s="672" t="n">
        <v>2026</v>
      </c>
      <c r="B46" s="673" t="inlineStr">
        <is>
          <t>ARRIYADIA</t>
        </is>
      </c>
      <c r="C46" s="673" t="inlineStr">
        <is>
          <t>PV N° : 01RC2025- DCCCA</t>
        </is>
      </c>
      <c r="D46" s="672" t="inlineStr">
        <is>
          <t>CONTRAT</t>
        </is>
      </c>
      <c r="E46" s="672" t="n"/>
      <c r="F46" s="674" t="inlineStr">
        <is>
          <t>OMAR FATEH  -  Opérateur magnétoscope LSM</t>
        </is>
      </c>
      <c r="G46" s="675" t="inlineStr">
        <is>
          <t>VALIDE</t>
        </is>
      </c>
      <c r="H46" s="672" t="inlineStr">
        <is>
          <t>APPROUVE</t>
        </is>
      </c>
      <c r="I46" s="672" t="n"/>
      <c r="J46" s="675" t="inlineStr">
        <is>
          <t>NON CONCERNE</t>
        </is>
      </c>
      <c r="K46" s="672" t="inlineStr">
        <is>
          <t>Ordinaire</t>
        </is>
      </c>
      <c r="L46" s="676" t="inlineStr">
        <is>
          <t>FONCTIONNEMENT</t>
        </is>
      </c>
      <c r="M46" s="676" t="inlineStr">
        <is>
          <t xml:space="preserve">Prestations de service
Achat prestations de services locales - personnes physiques </t>
        </is>
      </c>
      <c r="N46" s="677" t="n"/>
      <c r="O46" s="678" t="n"/>
      <c r="P46" s="678" t="n"/>
      <c r="Q46" s="672" t="inlineStr">
        <is>
          <t>RECONDUCTION</t>
        </is>
      </c>
      <c r="R46" s="679" t="n"/>
      <c r="S46" s="680" t="n"/>
      <c r="T46" s="681" t="inlineStr">
        <is>
          <t>OMAR FATEH</t>
        </is>
      </c>
      <c r="U46" s="672" t="n">
        <v>2026</v>
      </c>
      <c r="V46" s="680" t="n">
        <v>46022</v>
      </c>
      <c r="W46" s="680" t="n"/>
      <c r="X46" s="680" t="n">
        <v>46024</v>
      </c>
      <c r="Y46" s="677" t="n">
        <v>113142.48</v>
      </c>
      <c r="Z46" s="678" t="n">
        <v>0</v>
      </c>
      <c r="AA46" s="678">
        <f>Y46</f>
        <v/>
      </c>
      <c r="AB46" s="678" t="n">
        <v>0</v>
      </c>
      <c r="AC46" s="678">
        <f>Y46</f>
        <v/>
      </c>
      <c r="AD46" s="678">
        <f>Y46</f>
        <v/>
      </c>
      <c r="AE46" s="682" t="inlineStr">
        <is>
          <t>ENGAGE</t>
        </is>
      </c>
      <c r="AF46" s="681" t="n"/>
      <c r="AG46" s="678" t="n"/>
      <c r="AH46" s="678" t="n"/>
      <c r="AI46" s="678" t="n"/>
      <c r="AJ46" s="678" t="n"/>
      <c r="AK46" s="683" t="n"/>
      <c r="AL46" s="683" t="n"/>
      <c r="AM46" s="681" t="inlineStr">
        <is>
          <t>Manque n° contrat</t>
        </is>
      </c>
      <c r="AN46" s="684" t="n"/>
      <c r="AO46" s="685" t="n"/>
      <c r="AP46" s="686" t="n"/>
      <c r="AQ46" s="686" t="n"/>
      <c r="AR46" s="23" t="n"/>
      <c r="AS46" s="686" t="n"/>
    </row>
    <row r="47" ht="50.55" customHeight="1" s="392">
      <c r="A47" s="672" t="n">
        <v>2026</v>
      </c>
      <c r="B47" s="673" t="inlineStr">
        <is>
          <t>ARRIYADIA</t>
        </is>
      </c>
      <c r="C47" s="673" t="inlineStr">
        <is>
          <t>PV N° : 01RC2025- DCCCA</t>
        </is>
      </c>
      <c r="D47" s="672" t="inlineStr">
        <is>
          <t>CONTRAT</t>
        </is>
      </c>
      <c r="E47" s="672" t="n"/>
      <c r="F47" s="674" t="inlineStr">
        <is>
          <t>KORICHI DRISS  -  Opérateur magnétoscope LSM</t>
        </is>
      </c>
      <c r="G47" s="675" t="inlineStr">
        <is>
          <t>VALIDE</t>
        </is>
      </c>
      <c r="H47" s="672" t="inlineStr">
        <is>
          <t>APPROUVE</t>
        </is>
      </c>
      <c r="I47" s="672" t="n"/>
      <c r="J47" s="675" t="inlineStr">
        <is>
          <t>NON CONCERNE</t>
        </is>
      </c>
      <c r="K47" s="672" t="inlineStr">
        <is>
          <t>Ordinaire</t>
        </is>
      </c>
      <c r="L47" s="676" t="inlineStr">
        <is>
          <t>FONCTIONNEMENT</t>
        </is>
      </c>
      <c r="M47" s="676" t="inlineStr">
        <is>
          <t xml:space="preserve">Prestations de service
Achat prestations de services locales - personnes physiques </t>
        </is>
      </c>
      <c r="N47" s="677" t="n"/>
      <c r="O47" s="678" t="n"/>
      <c r="P47" s="678" t="n"/>
      <c r="Q47" s="672" t="inlineStr">
        <is>
          <t>RECONDUCTION</t>
        </is>
      </c>
      <c r="R47" s="679" t="n"/>
      <c r="S47" s="680" t="n"/>
      <c r="T47" s="681" t="inlineStr">
        <is>
          <t>KORICHI DRISS</t>
        </is>
      </c>
      <c r="U47" s="672" t="n">
        <v>2026</v>
      </c>
      <c r="V47" s="680" t="n">
        <v>46022</v>
      </c>
      <c r="W47" s="680" t="n"/>
      <c r="X47" s="680" t="n">
        <v>46024</v>
      </c>
      <c r="Y47" s="677" t="n">
        <v>113142.48</v>
      </c>
      <c r="Z47" s="678" t="n">
        <v>0</v>
      </c>
      <c r="AA47" s="678">
        <f>Y47</f>
        <v/>
      </c>
      <c r="AB47" s="678" t="n">
        <v>0</v>
      </c>
      <c r="AC47" s="678">
        <f>Y47</f>
        <v/>
      </c>
      <c r="AD47" s="678">
        <f>Y47</f>
        <v/>
      </c>
      <c r="AE47" s="682" t="inlineStr">
        <is>
          <t>ENGAGE</t>
        </is>
      </c>
      <c r="AF47" s="681" t="n"/>
      <c r="AG47" s="678" t="n"/>
      <c r="AH47" s="678" t="n"/>
      <c r="AI47" s="678" t="n"/>
      <c r="AJ47" s="678" t="n"/>
      <c r="AK47" s="683" t="n"/>
      <c r="AL47" s="683" t="n"/>
      <c r="AM47" s="681" t="inlineStr">
        <is>
          <t>Manque n° contrat</t>
        </is>
      </c>
      <c r="AN47" s="684" t="n"/>
      <c r="AO47" s="685" t="n"/>
      <c r="AP47" s="686" t="n"/>
      <c r="AQ47" s="686" t="n"/>
      <c r="AR47" s="23" t="n"/>
      <c r="AS47" s="686" t="n"/>
    </row>
    <row r="48" ht="50.55" customHeight="1" s="392">
      <c r="A48" s="672" t="n">
        <v>2026</v>
      </c>
      <c r="B48" s="673" t="inlineStr">
        <is>
          <t>ARRIYADIA</t>
        </is>
      </c>
      <c r="C48" s="673" t="inlineStr">
        <is>
          <t>PV N° : 01RC2025- DCCCA</t>
        </is>
      </c>
      <c r="D48" s="672" t="inlineStr">
        <is>
          <t>CONTRAT</t>
        </is>
      </c>
      <c r="E48" s="672" t="n"/>
      <c r="F48" s="674" t="inlineStr">
        <is>
          <t>AYOUB EL MOUADEN  -  Opérateur magnétoscope LSM</t>
        </is>
      </c>
      <c r="G48" s="675" t="inlineStr">
        <is>
          <t>VALIDE</t>
        </is>
      </c>
      <c r="H48" s="672" t="inlineStr">
        <is>
          <t>APPROUVE</t>
        </is>
      </c>
      <c r="I48" s="672" t="n"/>
      <c r="J48" s="675" t="inlineStr">
        <is>
          <t>NON CONCERNE</t>
        </is>
      </c>
      <c r="K48" s="672" t="inlineStr">
        <is>
          <t>Ordinaire</t>
        </is>
      </c>
      <c r="L48" s="676" t="inlineStr">
        <is>
          <t>FONCTIONNEMENT</t>
        </is>
      </c>
      <c r="M48" s="676" t="inlineStr">
        <is>
          <t xml:space="preserve">Prestations de service
Achat prestations de services locales - personnes physiques </t>
        </is>
      </c>
      <c r="N48" s="677" t="n"/>
      <c r="O48" s="678" t="n"/>
      <c r="P48" s="678" t="n"/>
      <c r="Q48" s="672" t="inlineStr">
        <is>
          <t>RECONDUCTION</t>
        </is>
      </c>
      <c r="R48" s="679" t="n"/>
      <c r="S48" s="680" t="n"/>
      <c r="T48" s="681" t="inlineStr">
        <is>
          <t>AYOUB EL MOUADEN</t>
        </is>
      </c>
      <c r="U48" s="672" t="n">
        <v>2026</v>
      </c>
      <c r="V48" s="680" t="n">
        <v>46022</v>
      </c>
      <c r="W48" s="680" t="n"/>
      <c r="X48" s="680" t="n">
        <v>46024</v>
      </c>
      <c r="Y48" s="677" t="n">
        <v>113142.48</v>
      </c>
      <c r="Z48" s="678" t="n">
        <v>0</v>
      </c>
      <c r="AA48" s="678">
        <f>Y48</f>
        <v/>
      </c>
      <c r="AB48" s="678" t="n">
        <v>0</v>
      </c>
      <c r="AC48" s="678">
        <f>Y48</f>
        <v/>
      </c>
      <c r="AD48" s="678">
        <f>Y48</f>
        <v/>
      </c>
      <c r="AE48" s="682" t="inlineStr">
        <is>
          <t>ENGAGE</t>
        </is>
      </c>
      <c r="AF48" s="681" t="n"/>
      <c r="AG48" s="678" t="n"/>
      <c r="AH48" s="678" t="n"/>
      <c r="AI48" s="678" t="n"/>
      <c r="AJ48" s="678" t="n"/>
      <c r="AK48" s="683" t="n"/>
      <c r="AL48" s="683" t="n"/>
      <c r="AM48" s="681" t="inlineStr">
        <is>
          <t>Manque n° contrat</t>
        </is>
      </c>
      <c r="AN48" s="684" t="n"/>
      <c r="AO48" s="685" t="n"/>
      <c r="AP48" s="686" t="n"/>
      <c r="AQ48" s="686" t="n"/>
      <c r="AR48" s="23" t="n"/>
      <c r="AS48" s="686" t="n"/>
    </row>
    <row r="49" ht="50.55" customHeight="1" s="392">
      <c r="A49" s="672" t="n">
        <v>2026</v>
      </c>
      <c r="B49" s="673" t="inlineStr">
        <is>
          <t>ARRIYADIA</t>
        </is>
      </c>
      <c r="C49" s="673" t="inlineStr">
        <is>
          <t>PV N° : 01RC2025- DCCCA</t>
        </is>
      </c>
      <c r="D49" s="672" t="inlineStr">
        <is>
          <t>CONTRAT</t>
        </is>
      </c>
      <c r="E49" s="672" t="n"/>
      <c r="F49" s="674" t="inlineStr">
        <is>
          <t>YOUSSEF NAIT HAMMOU  -  Opérateur magnétoscope LSM</t>
        </is>
      </c>
      <c r="G49" s="675" t="inlineStr">
        <is>
          <t>VALIDE</t>
        </is>
      </c>
      <c r="H49" s="672" t="inlineStr">
        <is>
          <t>APPROUVE</t>
        </is>
      </c>
      <c r="I49" s="672" t="n"/>
      <c r="J49" s="675" t="inlineStr">
        <is>
          <t>NON CONCERNE</t>
        </is>
      </c>
      <c r="K49" s="672" t="inlineStr">
        <is>
          <t>Ordinaire</t>
        </is>
      </c>
      <c r="L49" s="676" t="inlineStr">
        <is>
          <t>FONCTIONNEMENT</t>
        </is>
      </c>
      <c r="M49" s="676" t="inlineStr">
        <is>
          <t xml:space="preserve">Prestations de service
Achat prestations de services locales - personnes physiques </t>
        </is>
      </c>
      <c r="N49" s="677" t="n"/>
      <c r="O49" s="678" t="n"/>
      <c r="P49" s="678" t="n"/>
      <c r="Q49" s="672" t="inlineStr">
        <is>
          <t>RECONDUCTION</t>
        </is>
      </c>
      <c r="R49" s="679" t="n"/>
      <c r="S49" s="680" t="n"/>
      <c r="T49" s="681" t="inlineStr">
        <is>
          <t>YOUSSEF NAIT HAMMOU</t>
        </is>
      </c>
      <c r="U49" s="672" t="n">
        <v>2026</v>
      </c>
      <c r="V49" s="680" t="n">
        <v>46022</v>
      </c>
      <c r="W49" s="680" t="n"/>
      <c r="X49" s="680" t="n">
        <v>46024</v>
      </c>
      <c r="Y49" s="677" t="n">
        <v>113142.48</v>
      </c>
      <c r="Z49" s="678" t="n">
        <v>0</v>
      </c>
      <c r="AA49" s="678">
        <f>Y49</f>
        <v/>
      </c>
      <c r="AB49" s="678" t="n">
        <v>0</v>
      </c>
      <c r="AC49" s="678">
        <f>Y49</f>
        <v/>
      </c>
      <c r="AD49" s="678">
        <f>Y49</f>
        <v/>
      </c>
      <c r="AE49" s="682" t="inlineStr">
        <is>
          <t>ENGAGE</t>
        </is>
      </c>
      <c r="AF49" s="681" t="n"/>
      <c r="AG49" s="678" t="n"/>
      <c r="AH49" s="678" t="n"/>
      <c r="AI49" s="678" t="n"/>
      <c r="AJ49" s="678" t="n"/>
      <c r="AK49" s="683" t="n"/>
      <c r="AL49" s="683" t="n"/>
      <c r="AM49" s="681" t="inlineStr">
        <is>
          <t>Manque n° contrat</t>
        </is>
      </c>
      <c r="AN49" s="684" t="n"/>
      <c r="AO49" s="685" t="n"/>
      <c r="AP49" s="686" t="n"/>
      <c r="AQ49" s="686" t="n"/>
      <c r="AR49" s="23" t="n"/>
      <c r="AS49" s="686" t="n"/>
    </row>
    <row r="50" ht="50.55" customHeight="1" s="392">
      <c r="A50" s="672" t="n">
        <v>2026</v>
      </c>
      <c r="B50" s="673" t="inlineStr">
        <is>
          <t>ARRIYADIA</t>
        </is>
      </c>
      <c r="C50" s="673" t="inlineStr">
        <is>
          <t>PV N° : 01RC2025- DCCCA</t>
        </is>
      </c>
      <c r="D50" s="672" t="inlineStr">
        <is>
          <t>CONTRAT</t>
        </is>
      </c>
      <c r="E50" s="672" t="n"/>
      <c r="F50" s="674" t="inlineStr">
        <is>
          <t>ABOUSAD MOHAMED  -  Opérateur magnétoscope LSM</t>
        </is>
      </c>
      <c r="G50" s="675" t="inlineStr">
        <is>
          <t>VALIDE</t>
        </is>
      </c>
      <c r="H50" s="672" t="inlineStr">
        <is>
          <t>APPROUVE</t>
        </is>
      </c>
      <c r="I50" s="672" t="n"/>
      <c r="J50" s="675" t="inlineStr">
        <is>
          <t>NON CONCERNE</t>
        </is>
      </c>
      <c r="K50" s="672" t="inlineStr">
        <is>
          <t>Ordinaire</t>
        </is>
      </c>
      <c r="L50" s="676" t="inlineStr">
        <is>
          <t>FONCTIONNEMENT</t>
        </is>
      </c>
      <c r="M50" s="676" t="inlineStr">
        <is>
          <t xml:space="preserve">Prestations de service
Achat prestations de services locales - personnes physiques </t>
        </is>
      </c>
      <c r="N50" s="677" t="n"/>
      <c r="O50" s="678" t="n"/>
      <c r="P50" s="678" t="n"/>
      <c r="Q50" s="672" t="inlineStr">
        <is>
          <t>RECONDUCTION</t>
        </is>
      </c>
      <c r="R50" s="679" t="n"/>
      <c r="S50" s="680" t="n"/>
      <c r="T50" s="681" t="inlineStr">
        <is>
          <t>ABOUSAD MOHAMED</t>
        </is>
      </c>
      <c r="U50" s="672" t="n">
        <v>2026</v>
      </c>
      <c r="V50" s="680" t="n">
        <v>46022</v>
      </c>
      <c r="W50" s="680" t="n"/>
      <c r="X50" s="680" t="n">
        <v>46024</v>
      </c>
      <c r="Y50" s="677" t="n">
        <v>113142.48</v>
      </c>
      <c r="Z50" s="678" t="n">
        <v>0</v>
      </c>
      <c r="AA50" s="678">
        <f>Y50</f>
        <v/>
      </c>
      <c r="AB50" s="678" t="n">
        <v>0</v>
      </c>
      <c r="AC50" s="678">
        <f>Y50</f>
        <v/>
      </c>
      <c r="AD50" s="678">
        <f>Y50</f>
        <v/>
      </c>
      <c r="AE50" s="682" t="inlineStr">
        <is>
          <t>ENGAGE</t>
        </is>
      </c>
      <c r="AF50" s="681" t="n"/>
      <c r="AG50" s="678" t="n"/>
      <c r="AH50" s="678" t="n"/>
      <c r="AI50" s="678" t="n"/>
      <c r="AJ50" s="678" t="n"/>
      <c r="AK50" s="683" t="n"/>
      <c r="AL50" s="683" t="n"/>
      <c r="AM50" s="681" t="inlineStr">
        <is>
          <t>Manque n° contrat</t>
        </is>
      </c>
      <c r="AN50" s="684" t="n"/>
      <c r="AO50" s="685" t="n"/>
      <c r="AP50" s="686" t="n"/>
      <c r="AQ50" s="686" t="n"/>
      <c r="AR50" s="23" t="n"/>
      <c r="AS50" s="686" t="n"/>
    </row>
    <row r="51" ht="50.55" customHeight="1" s="392">
      <c r="A51" s="672" t="n">
        <v>2026</v>
      </c>
      <c r="B51" s="673" t="inlineStr">
        <is>
          <t>ARRIYADIA</t>
        </is>
      </c>
      <c r="C51" s="673" t="inlineStr">
        <is>
          <t>PV N° : 01RC2025- DCCCA</t>
        </is>
      </c>
      <c r="D51" s="672" t="inlineStr">
        <is>
          <t>CONTRAT</t>
        </is>
      </c>
      <c r="E51" s="672" t="n"/>
      <c r="F51" s="674" t="inlineStr">
        <is>
          <t>EL KHAL ABDELMAJID  -  Commentateur</t>
        </is>
      </c>
      <c r="G51" s="675" t="inlineStr">
        <is>
          <t>VALIDE</t>
        </is>
      </c>
      <c r="H51" s="672" t="inlineStr">
        <is>
          <t>APPROUVE</t>
        </is>
      </c>
      <c r="I51" s="672" t="n"/>
      <c r="J51" s="675" t="inlineStr">
        <is>
          <t>NON CONCERNE</t>
        </is>
      </c>
      <c r="K51" s="672" t="inlineStr">
        <is>
          <t>Ordinaire</t>
        </is>
      </c>
      <c r="L51" s="676" t="inlineStr">
        <is>
          <t>FONCTIONNEMENT</t>
        </is>
      </c>
      <c r="M51" s="676" t="inlineStr">
        <is>
          <t xml:space="preserve">Prestations de service
Achat prestations de services locales - personnes physiques </t>
        </is>
      </c>
      <c r="N51" s="677" t="n"/>
      <c r="O51" s="678" t="n"/>
      <c r="P51" s="678" t="n"/>
      <c r="Q51" s="672" t="inlineStr">
        <is>
          <t>RECONDUCTION</t>
        </is>
      </c>
      <c r="R51" s="679" t="n"/>
      <c r="S51" s="680" t="n"/>
      <c r="T51" s="681" t="inlineStr">
        <is>
          <t>EL KHAL ABDELMAJID</t>
        </is>
      </c>
      <c r="U51" s="672" t="n">
        <v>2026</v>
      </c>
      <c r="V51" s="680" t="n">
        <v>46022</v>
      </c>
      <c r="W51" s="680" t="n"/>
      <c r="X51" s="680" t="n">
        <v>46024</v>
      </c>
      <c r="Y51" s="677" t="n">
        <v>113142.48</v>
      </c>
      <c r="Z51" s="678" t="n">
        <v>0</v>
      </c>
      <c r="AA51" s="678">
        <f>Y51</f>
        <v/>
      </c>
      <c r="AB51" s="678" t="n">
        <v>0</v>
      </c>
      <c r="AC51" s="678">
        <f>Y51</f>
        <v/>
      </c>
      <c r="AD51" s="678">
        <f>Y51</f>
        <v/>
      </c>
      <c r="AE51" s="682" t="inlineStr">
        <is>
          <t>ENGAGE</t>
        </is>
      </c>
      <c r="AF51" s="681" t="n"/>
      <c r="AG51" s="678" t="n"/>
      <c r="AH51" s="678" t="n"/>
      <c r="AI51" s="678" t="n"/>
      <c r="AJ51" s="678" t="n"/>
      <c r="AK51" s="683" t="n"/>
      <c r="AL51" s="683" t="n"/>
      <c r="AM51" s="681" t="inlineStr">
        <is>
          <t>Manque n° contrat</t>
        </is>
      </c>
      <c r="AN51" s="684" t="n"/>
      <c r="AO51" s="685" t="n"/>
      <c r="AP51" s="686" t="n"/>
      <c r="AQ51" s="686" t="n"/>
      <c r="AR51" s="23" t="n"/>
      <c r="AS51" s="686" t="n"/>
    </row>
    <row r="52" ht="50.55" customHeight="1" s="392">
      <c r="A52" s="672" t="n">
        <v>2026</v>
      </c>
      <c r="B52" s="673" t="inlineStr">
        <is>
          <t>ARRIYADIA</t>
        </is>
      </c>
      <c r="C52" s="673" t="inlineStr">
        <is>
          <t>PV N° : 01RC2025- DCCCA</t>
        </is>
      </c>
      <c r="D52" s="672" t="inlineStr">
        <is>
          <t>CONTRAT</t>
        </is>
      </c>
      <c r="E52" s="672" t="n"/>
      <c r="F52" s="674" t="inlineStr">
        <is>
          <t>KHALIL BOUDRA  -  Commentateur/consultant</t>
        </is>
      </c>
      <c r="G52" s="675" t="inlineStr">
        <is>
          <t>VALIDE</t>
        </is>
      </c>
      <c r="H52" s="672" t="inlineStr">
        <is>
          <t>APPROUVE</t>
        </is>
      </c>
      <c r="I52" s="672" t="n"/>
      <c r="J52" s="675" t="inlineStr">
        <is>
          <t>NON CONCERNE</t>
        </is>
      </c>
      <c r="K52" s="672" t="inlineStr">
        <is>
          <t>Ordinaire</t>
        </is>
      </c>
      <c r="L52" s="676" t="inlineStr">
        <is>
          <t>FONCTIONNEMENT</t>
        </is>
      </c>
      <c r="M52" s="676" t="inlineStr">
        <is>
          <t xml:space="preserve">Prestations de service
Achat prestations de services locales - personnes physiques </t>
        </is>
      </c>
      <c r="N52" s="677" t="n"/>
      <c r="O52" s="678" t="n"/>
      <c r="P52" s="678" t="n"/>
      <c r="Q52" s="672" t="inlineStr">
        <is>
          <t>RECONDUCTION</t>
        </is>
      </c>
      <c r="R52" s="679" t="n"/>
      <c r="S52" s="680" t="n"/>
      <c r="T52" s="681" t="inlineStr">
        <is>
          <t>KHALIL BOUDRA</t>
        </is>
      </c>
      <c r="U52" s="672" t="n">
        <v>2026</v>
      </c>
      <c r="V52" s="680" t="n">
        <v>46022</v>
      </c>
      <c r="W52" s="680" t="n"/>
      <c r="X52" s="680" t="n">
        <v>46024</v>
      </c>
      <c r="Y52" s="677" t="n">
        <v>171360</v>
      </c>
      <c r="Z52" s="678" t="n">
        <v>0</v>
      </c>
      <c r="AA52" s="678">
        <f>Y52</f>
        <v/>
      </c>
      <c r="AB52" s="678" t="n">
        <v>0</v>
      </c>
      <c r="AC52" s="678">
        <f>Y52</f>
        <v/>
      </c>
      <c r="AD52" s="678">
        <f>Y52</f>
        <v/>
      </c>
      <c r="AE52" s="682" t="inlineStr">
        <is>
          <t>ENGAGE</t>
        </is>
      </c>
      <c r="AF52" s="681" t="n"/>
      <c r="AG52" s="678" t="n"/>
      <c r="AH52" s="678" t="n"/>
      <c r="AI52" s="678" t="n"/>
      <c r="AJ52" s="678" t="n"/>
      <c r="AK52" s="683" t="n"/>
      <c r="AL52" s="683" t="n"/>
      <c r="AM52" s="681" t="inlineStr">
        <is>
          <t>Manque n° contrat</t>
        </is>
      </c>
      <c r="AN52" s="684" t="n"/>
      <c r="AO52" s="685" t="n"/>
      <c r="AP52" s="686" t="n"/>
      <c r="AQ52" s="686" t="n"/>
      <c r="AR52" s="23" t="n"/>
      <c r="AS52" s="686" t="n"/>
    </row>
    <row r="53" ht="50.55" customHeight="1" s="392">
      <c r="A53" s="672" t="n">
        <v>2026</v>
      </c>
      <c r="B53" s="673" t="inlineStr">
        <is>
          <t>ARRIYADIA</t>
        </is>
      </c>
      <c r="C53" s="673" t="inlineStr">
        <is>
          <t>PV N° : 01RC2025- DCCCA</t>
        </is>
      </c>
      <c r="D53" s="672" t="inlineStr">
        <is>
          <t>CONTRAT</t>
        </is>
      </c>
      <c r="E53" s="672" t="n"/>
      <c r="F53" s="674" t="inlineStr">
        <is>
          <t>SEYFAMINE AATHMANI  -  Cameraman Reporter/Graphiste</t>
        </is>
      </c>
      <c r="G53" s="675" t="inlineStr">
        <is>
          <t>VALIDE</t>
        </is>
      </c>
      <c r="H53" s="672" t="inlineStr">
        <is>
          <t>APPROUVE</t>
        </is>
      </c>
      <c r="I53" s="672" t="n"/>
      <c r="J53" s="675" t="inlineStr">
        <is>
          <t>NON CONCERNE</t>
        </is>
      </c>
      <c r="K53" s="672" t="inlineStr">
        <is>
          <t>Ordinaire</t>
        </is>
      </c>
      <c r="L53" s="676" t="inlineStr">
        <is>
          <t>FONCTIONNEMENT</t>
        </is>
      </c>
      <c r="M53" s="676" t="inlineStr">
        <is>
          <t xml:space="preserve">Prestations de service
Achat prestations de services locales - personnes physiques </t>
        </is>
      </c>
      <c r="N53" s="677" t="n"/>
      <c r="O53" s="678" t="n"/>
      <c r="P53" s="678" t="n"/>
      <c r="Q53" s="672" t="inlineStr">
        <is>
          <t>RECONDUCTION</t>
        </is>
      </c>
      <c r="R53" s="679" t="n"/>
      <c r="S53" s="680" t="n"/>
      <c r="T53" s="681" t="inlineStr">
        <is>
          <t>SEYFAMINE AATHMANI</t>
        </is>
      </c>
      <c r="U53" s="672" t="n">
        <v>2026</v>
      </c>
      <c r="V53" s="680" t="n">
        <v>46022</v>
      </c>
      <c r="W53" s="680" t="n"/>
      <c r="X53" s="680" t="n">
        <v>46024</v>
      </c>
      <c r="Y53" s="677" t="n">
        <v>113142.48</v>
      </c>
      <c r="Z53" s="678" t="n">
        <v>0</v>
      </c>
      <c r="AA53" s="678">
        <f>Y53</f>
        <v/>
      </c>
      <c r="AB53" s="678" t="n">
        <v>0</v>
      </c>
      <c r="AC53" s="678">
        <f>Y53</f>
        <v/>
      </c>
      <c r="AD53" s="678">
        <f>Y53</f>
        <v/>
      </c>
      <c r="AE53" s="682" t="inlineStr">
        <is>
          <t>ENGAGE</t>
        </is>
      </c>
      <c r="AF53" s="681" t="n"/>
      <c r="AG53" s="678" t="n"/>
      <c r="AH53" s="678" t="n"/>
      <c r="AI53" s="678" t="n"/>
      <c r="AJ53" s="678" t="n"/>
      <c r="AK53" s="683" t="n"/>
      <c r="AL53" s="683" t="n"/>
      <c r="AM53" s="681" t="inlineStr">
        <is>
          <t>Manque n° contrat</t>
        </is>
      </c>
      <c r="AN53" s="684" t="n"/>
      <c r="AO53" s="685" t="n"/>
      <c r="AP53" s="686" t="n"/>
      <c r="AQ53" s="686" t="n"/>
      <c r="AR53" s="23" t="n"/>
      <c r="AS53" s="686" t="n"/>
    </row>
    <row r="54" ht="50.55" customHeight="1" s="392">
      <c r="A54" s="672" t="n">
        <v>2026</v>
      </c>
      <c r="B54" s="673" t="inlineStr">
        <is>
          <t>ARRIYADIA</t>
        </is>
      </c>
      <c r="C54" s="673" t="inlineStr">
        <is>
          <t>PV N° : 01RC2025- DCCCA</t>
        </is>
      </c>
      <c r="D54" s="672" t="inlineStr">
        <is>
          <t>CONTRAT</t>
        </is>
      </c>
      <c r="E54" s="672" t="n"/>
      <c r="F54" s="674" t="inlineStr">
        <is>
          <t>ZINE EL ABIDINE SENHAJI  -  Operateur prise de son/Graphiste</t>
        </is>
      </c>
      <c r="G54" s="675" t="inlineStr">
        <is>
          <t>VALIDE</t>
        </is>
      </c>
      <c r="H54" s="672" t="inlineStr">
        <is>
          <t>APPROUVE</t>
        </is>
      </c>
      <c r="I54" s="672" t="n"/>
      <c r="J54" s="675" t="inlineStr">
        <is>
          <t>NON CONCERNE</t>
        </is>
      </c>
      <c r="K54" s="672" t="inlineStr">
        <is>
          <t>Ordinaire</t>
        </is>
      </c>
      <c r="L54" s="676" t="inlineStr">
        <is>
          <t>FONCTIONNEMENT</t>
        </is>
      </c>
      <c r="M54" s="676" t="inlineStr">
        <is>
          <t xml:space="preserve">Prestations de service
Achat prestations de services locales - personnes physiques </t>
        </is>
      </c>
      <c r="N54" s="677" t="n"/>
      <c r="O54" s="678" t="n"/>
      <c r="P54" s="678" t="n"/>
      <c r="Q54" s="672" t="inlineStr">
        <is>
          <t>RECONDUCTION</t>
        </is>
      </c>
      <c r="R54" s="679" t="n"/>
      <c r="S54" s="680" t="n"/>
      <c r="T54" s="681" t="inlineStr">
        <is>
          <t>ZINE EL ABIDINE SENHAJI</t>
        </is>
      </c>
      <c r="U54" s="672" t="n">
        <v>2026</v>
      </c>
      <c r="V54" s="680" t="n">
        <v>46022</v>
      </c>
      <c r="W54" s="680" t="n"/>
      <c r="X54" s="680" t="n">
        <v>46024</v>
      </c>
      <c r="Y54" s="677" t="n">
        <v>113142.48</v>
      </c>
      <c r="Z54" s="678" t="n">
        <v>0</v>
      </c>
      <c r="AA54" s="678">
        <f>Y54</f>
        <v/>
      </c>
      <c r="AB54" s="678" t="n">
        <v>0</v>
      </c>
      <c r="AC54" s="678">
        <f>Y54</f>
        <v/>
      </c>
      <c r="AD54" s="678">
        <f>Y54</f>
        <v/>
      </c>
      <c r="AE54" s="682" t="inlineStr">
        <is>
          <t>ENGAGE</t>
        </is>
      </c>
      <c r="AF54" s="681" t="n"/>
      <c r="AG54" s="678" t="n"/>
      <c r="AH54" s="678" t="n"/>
      <c r="AI54" s="678" t="n"/>
      <c r="AJ54" s="678" t="n"/>
      <c r="AK54" s="683" t="n"/>
      <c r="AL54" s="683" t="n"/>
      <c r="AM54" s="681" t="inlineStr">
        <is>
          <t>Manque n° contrat</t>
        </is>
      </c>
      <c r="AN54" s="684" t="n"/>
      <c r="AO54" s="685" t="n"/>
      <c r="AP54" s="686" t="n"/>
      <c r="AQ54" s="686" t="n"/>
      <c r="AR54" s="23" t="n"/>
      <c r="AS54" s="686" t="n"/>
    </row>
    <row r="55" ht="50.55" customHeight="1" s="392">
      <c r="A55" s="672" t="n">
        <v>2026</v>
      </c>
      <c r="B55" s="673" t="inlineStr">
        <is>
          <t>ARRIYADIA</t>
        </is>
      </c>
      <c r="C55" s="673" t="inlineStr">
        <is>
          <t>PV N° : 01RC2025- DCCCA</t>
        </is>
      </c>
      <c r="D55" s="672" t="inlineStr">
        <is>
          <t>CONTRAT</t>
        </is>
      </c>
      <c r="E55" s="672" t="n"/>
      <c r="F55" s="674" t="inlineStr">
        <is>
          <t>SAHIL MOHAMED  -  Consultant football</t>
        </is>
      </c>
      <c r="G55" s="675" t="inlineStr">
        <is>
          <t>VALIDE</t>
        </is>
      </c>
      <c r="H55" s="672" t="inlineStr">
        <is>
          <t>APPROUVE</t>
        </is>
      </c>
      <c r="I55" s="672" t="n"/>
      <c r="J55" s="675" t="inlineStr">
        <is>
          <t>NON CONCERNE</t>
        </is>
      </c>
      <c r="K55" s="672" t="inlineStr">
        <is>
          <t>Ordinaire</t>
        </is>
      </c>
      <c r="L55" s="676" t="inlineStr">
        <is>
          <t>FONCTIONNEMENT</t>
        </is>
      </c>
      <c r="M55" s="676" t="inlineStr">
        <is>
          <t xml:space="preserve">Prestations de service
Achat prestations de services locales - personnes physiques </t>
        </is>
      </c>
      <c r="N55" s="677" t="n"/>
      <c r="O55" s="678" t="n"/>
      <c r="P55" s="678" t="n"/>
      <c r="Q55" s="672" t="inlineStr">
        <is>
          <t>RECONDUCTION</t>
        </is>
      </c>
      <c r="R55" s="679" t="n"/>
      <c r="S55" s="680" t="n"/>
      <c r="T55" s="681" t="inlineStr">
        <is>
          <t>SAHIL MOHAMED</t>
        </is>
      </c>
      <c r="U55" s="672" t="n">
        <v>2026</v>
      </c>
      <c r="V55" s="680" t="n">
        <v>46022</v>
      </c>
      <c r="W55" s="680" t="n"/>
      <c r="X55" s="680" t="n">
        <v>46024</v>
      </c>
      <c r="Y55" s="677" t="n">
        <v>150000</v>
      </c>
      <c r="Z55" s="678" t="n">
        <v>0</v>
      </c>
      <c r="AA55" s="678">
        <f>Y55</f>
        <v/>
      </c>
      <c r="AB55" s="678" t="n">
        <v>0</v>
      </c>
      <c r="AC55" s="678">
        <f>Y55</f>
        <v/>
      </c>
      <c r="AD55" s="678">
        <f>Y55</f>
        <v/>
      </c>
      <c r="AE55" s="682" t="inlineStr">
        <is>
          <t>ENGAGE</t>
        </is>
      </c>
      <c r="AF55" s="681" t="n"/>
      <c r="AG55" s="678" t="n"/>
      <c r="AH55" s="678" t="n"/>
      <c r="AI55" s="678" t="n"/>
      <c r="AJ55" s="678" t="n"/>
      <c r="AK55" s="683" t="n"/>
      <c r="AL55" s="683" t="n"/>
      <c r="AM55" s="681" t="inlineStr">
        <is>
          <t>Manque n° contrat</t>
        </is>
      </c>
      <c r="AN55" s="684" t="n"/>
      <c r="AO55" s="685" t="n"/>
      <c r="AP55" s="686" t="n"/>
      <c r="AQ55" s="686" t="n"/>
      <c r="AR55" s="23" t="n"/>
      <c r="AS55" s="686" t="n"/>
    </row>
    <row r="56" ht="50.55" customHeight="1" s="392">
      <c r="A56" s="672" t="n">
        <v>2026</v>
      </c>
      <c r="B56" s="673" t="inlineStr">
        <is>
          <t>ARRIYADIA</t>
        </is>
      </c>
      <c r="C56" s="673" t="inlineStr">
        <is>
          <t>PV N° : 01RC2025- DCCCA</t>
        </is>
      </c>
      <c r="D56" s="672" t="inlineStr">
        <is>
          <t>CONTRAT</t>
        </is>
      </c>
      <c r="E56" s="672" t="n"/>
      <c r="F56" s="674" t="inlineStr">
        <is>
          <t>ABDELOUAHED CHAMMAMI  -  Consultant football</t>
        </is>
      </c>
      <c r="G56" s="675" t="inlineStr">
        <is>
          <t>VALIDE</t>
        </is>
      </c>
      <c r="H56" s="672" t="inlineStr">
        <is>
          <t>APPROUVE</t>
        </is>
      </c>
      <c r="I56" s="672" t="n"/>
      <c r="J56" s="675" t="inlineStr">
        <is>
          <t>NON CONCERNE</t>
        </is>
      </c>
      <c r="K56" s="672" t="inlineStr">
        <is>
          <t>Ordinaire</t>
        </is>
      </c>
      <c r="L56" s="676" t="inlineStr">
        <is>
          <t>FONCTIONNEMENT</t>
        </is>
      </c>
      <c r="M56" s="676" t="inlineStr">
        <is>
          <t xml:space="preserve">Prestations de service
Achat prestations de services locales - personnes physiques </t>
        </is>
      </c>
      <c r="N56" s="677" t="n"/>
      <c r="O56" s="678" t="n"/>
      <c r="P56" s="678" t="n"/>
      <c r="Q56" s="672" t="inlineStr">
        <is>
          <t>RECONDUCTION</t>
        </is>
      </c>
      <c r="R56" s="679" t="n"/>
      <c r="S56" s="680" t="n"/>
      <c r="T56" s="681" t="inlineStr">
        <is>
          <t>ABDELOUAHED CHAMMAMI</t>
        </is>
      </c>
      <c r="U56" s="672" t="n">
        <v>2026</v>
      </c>
      <c r="V56" s="680" t="n">
        <v>46022</v>
      </c>
      <c r="W56" s="680" t="n"/>
      <c r="X56" s="680" t="n">
        <v>46024</v>
      </c>
      <c r="Y56" s="677" t="n">
        <v>150000</v>
      </c>
      <c r="Z56" s="678" t="n">
        <v>0</v>
      </c>
      <c r="AA56" s="678">
        <f>Y56</f>
        <v/>
      </c>
      <c r="AB56" s="678" t="n">
        <v>0</v>
      </c>
      <c r="AC56" s="678">
        <f>Y56</f>
        <v/>
      </c>
      <c r="AD56" s="678">
        <f>Y56</f>
        <v/>
      </c>
      <c r="AE56" s="682" t="inlineStr">
        <is>
          <t>ENGAGE</t>
        </is>
      </c>
      <c r="AF56" s="681" t="n"/>
      <c r="AG56" s="678" t="n"/>
      <c r="AH56" s="678" t="n"/>
      <c r="AI56" s="678" t="n"/>
      <c r="AJ56" s="678" t="n"/>
      <c r="AK56" s="683" t="n"/>
      <c r="AL56" s="683" t="n"/>
      <c r="AM56" s="681" t="inlineStr">
        <is>
          <t>Manque n° contrat</t>
        </is>
      </c>
      <c r="AN56" s="684" t="n"/>
      <c r="AO56" s="685" t="n"/>
      <c r="AP56" s="686" t="n"/>
      <c r="AQ56" s="686" t="n"/>
      <c r="AR56" s="23" t="n"/>
      <c r="AS56" s="686" t="n"/>
    </row>
    <row r="57" ht="50.55" customHeight="1" s="392">
      <c r="A57" s="672" t="n">
        <v>2026</v>
      </c>
      <c r="B57" s="673" t="inlineStr">
        <is>
          <t>ARRIYADIA</t>
        </is>
      </c>
      <c r="C57" s="673" t="inlineStr">
        <is>
          <t>PVN°: 02RE2026-DCSA</t>
        </is>
      </c>
      <c r="D57" s="672" t="inlineStr">
        <is>
          <t>CONTRAT</t>
        </is>
      </c>
      <c r="E57" s="672" t="n"/>
      <c r="F57" s="674" t="inlineStr">
        <is>
          <t>MOHAMED SAAD -cadreur plateau/technicien coordinateur d'antenne TV/Digital</t>
        </is>
      </c>
      <c r="G57" s="675" t="inlineStr">
        <is>
          <t>EN SIGNATURE</t>
        </is>
      </c>
      <c r="H57" s="672" t="inlineStr">
        <is>
          <t>EN SIGNATURE</t>
        </is>
      </c>
      <c r="I57" s="672" t="n"/>
      <c r="J57" s="675" t="inlineStr">
        <is>
          <t>NON CONCERNE</t>
        </is>
      </c>
      <c r="K57" s="672" t="inlineStr">
        <is>
          <t>Ordinaire</t>
        </is>
      </c>
      <c r="L57" s="676" t="inlineStr">
        <is>
          <t>FONCTIONNEMENT</t>
        </is>
      </c>
      <c r="M57" s="676" t="inlineStr">
        <is>
          <t xml:space="preserve">Prestations de service
Achat prestations de services locales - personnes physiques </t>
        </is>
      </c>
      <c r="N57" s="677" t="n"/>
      <c r="O57" s="678" t="n"/>
      <c r="P57" s="678" t="n"/>
      <c r="Q57" s="672" t="inlineStr">
        <is>
          <t>RECONDUCTION</t>
        </is>
      </c>
      <c r="R57" s="679" t="n"/>
      <c r="S57" s="680" t="n"/>
      <c r="T57" s="681" t="inlineStr">
        <is>
          <t>MOHAMED SAAD</t>
        </is>
      </c>
      <c r="U57" s="672" t="n">
        <v>2026</v>
      </c>
      <c r="V57" s="680" t="n"/>
      <c r="W57" s="680" t="n"/>
      <c r="X57" s="680" t="n"/>
      <c r="Y57" s="677" t="n">
        <v>28285.62</v>
      </c>
      <c r="Z57" s="678" t="n"/>
      <c r="AA57" s="678">
        <f>Y57</f>
        <v/>
      </c>
      <c r="AB57" s="678" t="n"/>
      <c r="AC57" s="678">
        <f>Y57</f>
        <v/>
      </c>
      <c r="AD57" s="678">
        <f>Y57</f>
        <v/>
      </c>
      <c r="AE57" s="682" t="inlineStr">
        <is>
          <t>EN COURS D'ENGAGEMENT</t>
        </is>
      </c>
      <c r="AF57" s="681" t="n"/>
      <c r="AG57" s="678" t="n"/>
      <c r="AH57" s="678" t="n"/>
      <c r="AI57" s="678" t="n"/>
      <c r="AJ57" s="678" t="n"/>
      <c r="AK57" s="683" t="n"/>
      <c r="AL57" s="683" t="n"/>
      <c r="AM57" s="681" t="n"/>
      <c r="AN57" s="684" t="n"/>
      <c r="AO57" s="685" t="n"/>
      <c r="AP57" s="686" t="n"/>
      <c r="AQ57" s="686" t="n"/>
      <c r="AR57" s="23" t="n"/>
      <c r="AS57" s="686" t="n"/>
    </row>
    <row r="58" ht="50.55" customHeight="1" s="392">
      <c r="A58" s="672" t="n">
        <v>2026</v>
      </c>
      <c r="B58" s="673" t="inlineStr">
        <is>
          <t>ARRIYADIA</t>
        </is>
      </c>
      <c r="C58" s="673" t="inlineStr">
        <is>
          <t>PVN°: 02RE2026-DCSA</t>
        </is>
      </c>
      <c r="D58" s="672" t="inlineStr">
        <is>
          <t>CONTRAT</t>
        </is>
      </c>
      <c r="E58" s="672" t="n"/>
      <c r="F58" s="674" t="inlineStr">
        <is>
          <t>ABDELILAH AIT AHMED - Monteur truquiste /technicien coordinateur d'antenne TV</t>
        </is>
      </c>
      <c r="G58" s="675" t="inlineStr">
        <is>
          <t>EN SIGNATURE</t>
        </is>
      </c>
      <c r="H58" s="672" t="inlineStr">
        <is>
          <t>EN SIGNATURE</t>
        </is>
      </c>
      <c r="I58" s="672" t="n"/>
      <c r="J58" s="675" t="inlineStr">
        <is>
          <t>NON CONCERNE</t>
        </is>
      </c>
      <c r="K58" s="672" t="inlineStr">
        <is>
          <t>Ordinaire</t>
        </is>
      </c>
      <c r="L58" s="676" t="inlineStr">
        <is>
          <t>FONCTIONNEMENT</t>
        </is>
      </c>
      <c r="M58" s="676" t="inlineStr">
        <is>
          <t xml:space="preserve">Prestations de service
Achat prestations de services locales - personnes physiques </t>
        </is>
      </c>
      <c r="N58" s="677" t="n"/>
      <c r="O58" s="678" t="n"/>
      <c r="P58" s="678" t="n"/>
      <c r="Q58" s="672" t="inlineStr">
        <is>
          <t>RECONDUCTION</t>
        </is>
      </c>
      <c r="R58" s="679" t="n"/>
      <c r="S58" s="680" t="n"/>
      <c r="T58" s="681" t="inlineStr">
        <is>
          <t>ABDELILAH AIT AHMED</t>
        </is>
      </c>
      <c r="U58" s="672" t="n">
        <v>2026</v>
      </c>
      <c r="V58" s="680" t="n"/>
      <c r="W58" s="680" t="n"/>
      <c r="X58" s="680" t="n"/>
      <c r="Y58" s="677" t="n">
        <v>28285.62</v>
      </c>
      <c r="Z58" s="678" t="n"/>
      <c r="AA58" s="678">
        <f>Y58</f>
        <v/>
      </c>
      <c r="AB58" s="678" t="n"/>
      <c r="AC58" s="678">
        <f>Y58</f>
        <v/>
      </c>
      <c r="AD58" s="678">
        <f>Y58</f>
        <v/>
      </c>
      <c r="AE58" s="682" t="inlineStr">
        <is>
          <t>EN COURS D'ENGAGEMENT</t>
        </is>
      </c>
      <c r="AF58" s="681" t="n"/>
      <c r="AG58" s="678" t="n"/>
      <c r="AH58" s="678" t="n"/>
      <c r="AI58" s="678" t="n"/>
      <c r="AJ58" s="678" t="n"/>
      <c r="AK58" s="683" t="n"/>
      <c r="AL58" s="683" t="n"/>
      <c r="AM58" s="681" t="n"/>
      <c r="AN58" s="684" t="n"/>
      <c r="AO58" s="685" t="n"/>
      <c r="AP58" s="686" t="n"/>
      <c r="AQ58" s="686" t="n"/>
      <c r="AR58" s="23" t="n"/>
      <c r="AS58" s="686" t="n"/>
    </row>
    <row r="59" ht="50.55" customHeight="1" s="392">
      <c r="A59" s="672" t="n">
        <v>2026</v>
      </c>
      <c r="B59" s="673" t="inlineStr">
        <is>
          <t>ARRIYADIA</t>
        </is>
      </c>
      <c r="C59" s="673" t="inlineStr">
        <is>
          <t>PV N° : 01RC2025- DCCCA</t>
        </is>
      </c>
      <c r="D59" s="672" t="inlineStr">
        <is>
          <t>CONTRAT</t>
        </is>
      </c>
      <c r="E59" s="672" t="n"/>
      <c r="F59" s="674" t="inlineStr">
        <is>
          <t>KHALID AFIF  -  Consultant Tennis</t>
        </is>
      </c>
      <c r="G59" s="675" t="inlineStr">
        <is>
          <t>VALIDE</t>
        </is>
      </c>
      <c r="H59" s="672" t="inlineStr">
        <is>
          <t>APPROUVE</t>
        </is>
      </c>
      <c r="I59" s="672" t="n"/>
      <c r="J59" s="675" t="inlineStr">
        <is>
          <t>NON CONCERNE</t>
        </is>
      </c>
      <c r="K59" s="672" t="inlineStr">
        <is>
          <t>Ordinaire</t>
        </is>
      </c>
      <c r="L59" s="676" t="inlineStr">
        <is>
          <t>FONCTIONNEMENT</t>
        </is>
      </c>
      <c r="M59" s="676" t="inlineStr">
        <is>
          <t xml:space="preserve">Prestations de service
Achat prestations de services locales - personnes physiques </t>
        </is>
      </c>
      <c r="N59" s="677" t="n"/>
      <c r="O59" s="678" t="n"/>
      <c r="P59" s="678" t="n"/>
      <c r="Q59" s="672" t="inlineStr">
        <is>
          <t>RECONDUCTION</t>
        </is>
      </c>
      <c r="R59" s="679" t="n"/>
      <c r="S59" s="680" t="n"/>
      <c r="T59" s="681" t="inlineStr">
        <is>
          <t>KHALID AFIF</t>
        </is>
      </c>
      <c r="U59" s="672" t="n">
        <v>2026</v>
      </c>
      <c r="V59" s="680" t="n">
        <v>46022</v>
      </c>
      <c r="W59" s="680" t="n"/>
      <c r="X59" s="680" t="n">
        <v>46024</v>
      </c>
      <c r="Y59" s="677" t="n">
        <v>150500</v>
      </c>
      <c r="Z59" s="678" t="n">
        <v>0</v>
      </c>
      <c r="AA59" s="678">
        <f>Y59</f>
        <v/>
      </c>
      <c r="AB59" s="678" t="n">
        <v>0</v>
      </c>
      <c r="AC59" s="678">
        <f>Y59</f>
        <v/>
      </c>
      <c r="AD59" s="678">
        <f>Y59</f>
        <v/>
      </c>
      <c r="AE59" s="682" t="inlineStr">
        <is>
          <t>ENGAGE</t>
        </is>
      </c>
      <c r="AF59" s="681" t="n"/>
      <c r="AG59" s="678" t="n"/>
      <c r="AH59" s="678" t="n"/>
      <c r="AI59" s="678" t="n"/>
      <c r="AJ59" s="678" t="n"/>
      <c r="AK59" s="683" t="n"/>
      <c r="AL59" s="683" t="n"/>
      <c r="AM59" s="681" t="inlineStr">
        <is>
          <t>Manque n° contrat</t>
        </is>
      </c>
      <c r="AN59" s="684" t="n"/>
      <c r="AO59" s="685" t="n"/>
      <c r="AP59" s="686" t="n"/>
      <c r="AQ59" s="686" t="n"/>
      <c r="AR59" s="23" t="n"/>
      <c r="AS59" s="686" t="n"/>
    </row>
    <row r="60" ht="50.55" customHeight="1" s="392">
      <c r="A60" s="672" t="n">
        <v>2026</v>
      </c>
      <c r="B60" s="673" t="inlineStr">
        <is>
          <t>ARRIYADIA</t>
        </is>
      </c>
      <c r="C60" s="673" t="inlineStr">
        <is>
          <t>PV N° : 01RC2025- DCCCA</t>
        </is>
      </c>
      <c r="D60" s="672" t="inlineStr">
        <is>
          <t>CONTRAT</t>
        </is>
      </c>
      <c r="E60" s="672" t="n"/>
      <c r="F60" s="674" t="inlineStr">
        <is>
          <t>MOHSIN CHERGUI  -  Consultant omnisport</t>
        </is>
      </c>
      <c r="G60" s="675" t="inlineStr">
        <is>
          <t>VALIDE</t>
        </is>
      </c>
      <c r="H60" s="672" t="inlineStr">
        <is>
          <t>APPROUVE</t>
        </is>
      </c>
      <c r="I60" s="672" t="n"/>
      <c r="J60" s="675" t="inlineStr">
        <is>
          <t>NON CONCERNE</t>
        </is>
      </c>
      <c r="K60" s="672" t="inlineStr">
        <is>
          <t>Ordinaire</t>
        </is>
      </c>
      <c r="L60" s="676" t="inlineStr">
        <is>
          <t>FONCTIONNEMENT</t>
        </is>
      </c>
      <c r="M60" s="676" t="inlineStr">
        <is>
          <t xml:space="preserve">Prestations de service
Achat prestations de services locales - personnes physiques </t>
        </is>
      </c>
      <c r="N60" s="677" t="n"/>
      <c r="O60" s="678" t="n"/>
      <c r="P60" s="678" t="n"/>
      <c r="Q60" s="672" t="inlineStr">
        <is>
          <t>RECONDUCTION</t>
        </is>
      </c>
      <c r="R60" s="679" t="n"/>
      <c r="S60" s="680" t="n"/>
      <c r="T60" s="681" t="inlineStr">
        <is>
          <t>MOHSIN CHERGUI</t>
        </is>
      </c>
      <c r="U60" s="672" t="n">
        <v>2026</v>
      </c>
      <c r="V60" s="680" t="n">
        <v>46022</v>
      </c>
      <c r="W60" s="680" t="n"/>
      <c r="X60" s="680" t="n">
        <v>46024</v>
      </c>
      <c r="Y60" s="677" t="n">
        <v>150000</v>
      </c>
      <c r="Z60" s="678" t="n">
        <v>0</v>
      </c>
      <c r="AA60" s="678">
        <f>Y60</f>
        <v/>
      </c>
      <c r="AB60" s="678" t="n">
        <v>0</v>
      </c>
      <c r="AC60" s="678">
        <f>Y60</f>
        <v/>
      </c>
      <c r="AD60" s="678">
        <f>Y60</f>
        <v/>
      </c>
      <c r="AE60" s="682" t="inlineStr">
        <is>
          <t>ENGAGE</t>
        </is>
      </c>
      <c r="AF60" s="681" t="n"/>
      <c r="AG60" s="678" t="n"/>
      <c r="AH60" s="678" t="n"/>
      <c r="AI60" s="678" t="n"/>
      <c r="AJ60" s="678" t="n"/>
      <c r="AK60" s="683" t="n"/>
      <c r="AL60" s="683" t="n"/>
      <c r="AM60" s="681" t="inlineStr">
        <is>
          <t>Manque n° contrat</t>
        </is>
      </c>
      <c r="AN60" s="684" t="n"/>
      <c r="AO60" s="685" t="n"/>
      <c r="AP60" s="686" t="n"/>
      <c r="AQ60" s="686" t="n"/>
      <c r="AR60" s="23" t="n"/>
      <c r="AS60" s="686" t="n"/>
    </row>
    <row r="61" ht="50.55" customHeight="1" s="392">
      <c r="A61" s="672" t="n">
        <v>2026</v>
      </c>
      <c r="B61" s="673" t="inlineStr">
        <is>
          <t>ASSADISSA</t>
        </is>
      </c>
      <c r="C61" s="673" t="inlineStr">
        <is>
          <t>PV N° : 01RC2025- DPPCCRTV</t>
        </is>
      </c>
      <c r="D61" s="672" t="inlineStr">
        <is>
          <t>CONTRAT</t>
        </is>
      </c>
      <c r="E61" s="672" t="n"/>
      <c r="F61" s="674" t="inlineStr">
        <is>
          <t>ZERHOUNI RABIA  -  Réalisatrice : Montage, mixage, animation des émissions RD et programmation RD</t>
        </is>
      </c>
      <c r="G61" s="675" t="inlineStr">
        <is>
          <t>VALIDE</t>
        </is>
      </c>
      <c r="H61" s="672" t="inlineStr">
        <is>
          <t>APPROUVE</t>
        </is>
      </c>
      <c r="I61" s="672" t="n"/>
      <c r="J61" s="675" t="inlineStr">
        <is>
          <t>NON CONCERNE</t>
        </is>
      </c>
      <c r="K61" s="672" t="inlineStr">
        <is>
          <t>Ordinaire</t>
        </is>
      </c>
      <c r="L61" s="676" t="inlineStr">
        <is>
          <t>FONCTIONNEMENT</t>
        </is>
      </c>
      <c r="M61" s="676" t="inlineStr">
        <is>
          <t xml:space="preserve">Prestations de service
Achat prestations de services locales - personnes physiques </t>
        </is>
      </c>
      <c r="N61" s="677" t="n"/>
      <c r="O61" s="678" t="n"/>
      <c r="P61" s="678" t="n"/>
      <c r="Q61" s="672" t="inlineStr">
        <is>
          <t>RECONDUCTION</t>
        </is>
      </c>
      <c r="R61" s="679" t="n"/>
      <c r="S61" s="680" t="n"/>
      <c r="T61" s="681" t="inlineStr">
        <is>
          <t>ZERHOUNI RABIA</t>
        </is>
      </c>
      <c r="U61" s="672" t="n">
        <v>2026</v>
      </c>
      <c r="V61" s="680" t="n">
        <v>46387</v>
      </c>
      <c r="W61" s="680" t="n"/>
      <c r="X61" s="680" t="n">
        <v>46024</v>
      </c>
      <c r="Y61" s="677" t="n">
        <v>108000</v>
      </c>
      <c r="Z61" s="678" t="n">
        <v>0</v>
      </c>
      <c r="AA61" s="678">
        <f>Y61</f>
        <v/>
      </c>
      <c r="AB61" s="678" t="n">
        <v>0</v>
      </c>
      <c r="AC61" s="678">
        <f>Y61</f>
        <v/>
      </c>
      <c r="AD61" s="678">
        <f>Y61</f>
        <v/>
      </c>
      <c r="AE61" s="682" t="inlineStr">
        <is>
          <t>ENGAGE</t>
        </is>
      </c>
      <c r="AF61" s="681" t="n"/>
      <c r="AG61" s="678" t="n"/>
      <c r="AH61" s="678" t="n"/>
      <c r="AI61" s="678" t="n"/>
      <c r="AJ61" s="678" t="n"/>
      <c r="AK61" s="683" t="n"/>
      <c r="AL61" s="683" t="n"/>
      <c r="AM61" s="681" t="inlineStr">
        <is>
          <t>Manque n° contrat</t>
        </is>
      </c>
      <c r="AN61" s="684" t="n"/>
      <c r="AO61" s="685" t="n"/>
      <c r="AP61" s="686" t="n"/>
      <c r="AQ61" s="686" t="n"/>
      <c r="AR61" s="23" t="n"/>
      <c r="AS61" s="686" t="n"/>
    </row>
    <row r="62" ht="50.55" customHeight="1" s="392">
      <c r="A62" s="672" t="n">
        <v>2026</v>
      </c>
      <c r="B62" s="673" t="inlineStr">
        <is>
          <t>ASSADISSA</t>
        </is>
      </c>
      <c r="C62" s="673" t="inlineStr">
        <is>
          <t>PV N° : 01RC2025- DPPCCRTV</t>
        </is>
      </c>
      <c r="D62" s="672" t="inlineStr">
        <is>
          <t>CONTRAT</t>
        </is>
      </c>
      <c r="E62" s="672" t="n"/>
      <c r="F62" s="674" t="inlineStr">
        <is>
          <t>BENIKES KARIMA  -  Réalisatrice : Montage, mixage et programmation RD</t>
        </is>
      </c>
      <c r="G62" s="675" t="inlineStr">
        <is>
          <t>VALIDE</t>
        </is>
      </c>
      <c r="H62" s="672" t="inlineStr">
        <is>
          <t>APPROUVE</t>
        </is>
      </c>
      <c r="I62" s="672" t="n"/>
      <c r="J62" s="675" t="inlineStr">
        <is>
          <t>NON CONCERNE</t>
        </is>
      </c>
      <c r="K62" s="672" t="inlineStr">
        <is>
          <t>Ordinaire</t>
        </is>
      </c>
      <c r="L62" s="676" t="inlineStr">
        <is>
          <t>FONCTIONNEMENT</t>
        </is>
      </c>
      <c r="M62" s="676" t="inlineStr">
        <is>
          <t xml:space="preserve">Prestations de service
Achat prestations de services locales - personnes physiques </t>
        </is>
      </c>
      <c r="N62" s="677" t="n"/>
      <c r="O62" s="678" t="n"/>
      <c r="P62" s="678" t="n"/>
      <c r="Q62" s="672" t="inlineStr">
        <is>
          <t>RECONDUCTION</t>
        </is>
      </c>
      <c r="R62" s="679" t="n"/>
      <c r="S62" s="680" t="n"/>
      <c r="T62" s="681" t="inlineStr">
        <is>
          <t>BENIKES KARIMA</t>
        </is>
      </c>
      <c r="U62" s="672" t="n">
        <v>2026</v>
      </c>
      <c r="V62" s="680" t="n">
        <v>46387</v>
      </c>
      <c r="W62" s="680" t="n"/>
      <c r="X62" s="680" t="n">
        <v>46024</v>
      </c>
      <c r="Y62" s="677" t="n">
        <v>72000</v>
      </c>
      <c r="Z62" s="678" t="n">
        <v>0</v>
      </c>
      <c r="AA62" s="678">
        <f>Y62</f>
        <v/>
      </c>
      <c r="AB62" s="678" t="n">
        <v>0</v>
      </c>
      <c r="AC62" s="678">
        <f>Y62</f>
        <v/>
      </c>
      <c r="AD62" s="678">
        <f>Y62</f>
        <v/>
      </c>
      <c r="AE62" s="682" t="inlineStr">
        <is>
          <t>ENGAGE</t>
        </is>
      </c>
      <c r="AF62" s="681" t="n"/>
      <c r="AG62" s="678" t="n"/>
      <c r="AH62" s="678" t="n"/>
      <c r="AI62" s="678" t="n"/>
      <c r="AJ62" s="678" t="n"/>
      <c r="AK62" s="683" t="n"/>
      <c r="AL62" s="683" t="n"/>
      <c r="AM62" s="681" t="inlineStr">
        <is>
          <t>Manque n° contrat</t>
        </is>
      </c>
      <c r="AN62" s="684" t="n"/>
      <c r="AO62" s="685" t="n"/>
      <c r="AP62" s="686" t="n"/>
      <c r="AQ62" s="686" t="n"/>
      <c r="AR62" s="23" t="n"/>
      <c r="AS62" s="686" t="n"/>
    </row>
    <row r="63" ht="50.55" customHeight="1" s="392">
      <c r="A63" s="672" t="n">
        <v>2026</v>
      </c>
      <c r="B63" s="673" t="inlineStr">
        <is>
          <t>ASSADISSA</t>
        </is>
      </c>
      <c r="C63" s="673" t="inlineStr">
        <is>
          <t>PV N° : 01RC2025- DPPCCRTV</t>
        </is>
      </c>
      <c r="D63" s="672" t="inlineStr">
        <is>
          <t>CONTRAT</t>
        </is>
      </c>
      <c r="E63" s="672" t="n"/>
      <c r="F63" s="674" t="inlineStr">
        <is>
          <t>LAHKIM OUMAIMA  -  Programmatrice : Programmation TV (Conducteur quotidien)</t>
        </is>
      </c>
      <c r="G63" s="675" t="inlineStr">
        <is>
          <t>VALIDE</t>
        </is>
      </c>
      <c r="H63" s="672" t="inlineStr">
        <is>
          <t>APPROUVE</t>
        </is>
      </c>
      <c r="I63" s="672" t="n"/>
      <c r="J63" s="675" t="inlineStr">
        <is>
          <t>NON CONCERNE</t>
        </is>
      </c>
      <c r="K63" s="672" t="inlineStr">
        <is>
          <t>Ordinaire</t>
        </is>
      </c>
      <c r="L63" s="676" t="inlineStr">
        <is>
          <t>FONCTIONNEMENT</t>
        </is>
      </c>
      <c r="M63" s="676" t="inlineStr">
        <is>
          <t xml:space="preserve">Prestations de service
Achat prestations de services locales - personnes physiques </t>
        </is>
      </c>
      <c r="N63" s="677" t="n"/>
      <c r="O63" s="678" t="n"/>
      <c r="P63" s="678" t="n"/>
      <c r="Q63" s="672" t="inlineStr">
        <is>
          <t>RECONDUCTION</t>
        </is>
      </c>
      <c r="R63" s="679" t="n"/>
      <c r="S63" s="680" t="n"/>
      <c r="T63" s="681" t="inlineStr">
        <is>
          <t>LAHKIM OUMAIMA</t>
        </is>
      </c>
      <c r="U63" s="672" t="n">
        <v>2026</v>
      </c>
      <c r="V63" s="680" t="n">
        <v>46387</v>
      </c>
      <c r="W63" s="680" t="n"/>
      <c r="X63" s="680" t="n">
        <v>46024</v>
      </c>
      <c r="Y63" s="677" t="n">
        <v>84000</v>
      </c>
      <c r="Z63" s="678" t="n">
        <v>0</v>
      </c>
      <c r="AA63" s="678">
        <f>Y63</f>
        <v/>
      </c>
      <c r="AB63" s="678" t="n">
        <v>0</v>
      </c>
      <c r="AC63" s="678">
        <f>Y63</f>
        <v/>
      </c>
      <c r="AD63" s="678">
        <f>Y63</f>
        <v/>
      </c>
      <c r="AE63" s="682" t="inlineStr">
        <is>
          <t>ENGAGE</t>
        </is>
      </c>
      <c r="AF63" s="681" t="n"/>
      <c r="AG63" s="678" t="n"/>
      <c r="AH63" s="678" t="n"/>
      <c r="AI63" s="678" t="n"/>
      <c r="AJ63" s="678" t="n"/>
      <c r="AK63" s="683" t="n"/>
      <c r="AL63" s="683" t="n"/>
      <c r="AM63" s="681" t="inlineStr">
        <is>
          <t>Manque n° contrat</t>
        </is>
      </c>
      <c r="AN63" s="684" t="n"/>
      <c r="AO63" s="685" t="n"/>
      <c r="AP63" s="686" t="n"/>
      <c r="AQ63" s="686" t="n"/>
      <c r="AR63" s="23" t="n"/>
      <c r="AS63" s="686" t="n"/>
    </row>
    <row r="64" ht="50.55" customHeight="1" s="392">
      <c r="A64" s="672" t="n">
        <v>2026</v>
      </c>
      <c r="B64" s="673" t="inlineStr">
        <is>
          <t>ASSADISSA</t>
        </is>
      </c>
      <c r="C64" s="673" t="inlineStr">
        <is>
          <t>PV N° : 01RC2025- DPPCCRTV</t>
        </is>
      </c>
      <c r="D64" s="672" t="inlineStr">
        <is>
          <t>CONTRAT</t>
        </is>
      </c>
      <c r="E64" s="672" t="n"/>
      <c r="F64" s="674" t="inlineStr">
        <is>
          <t>DEHROUR OUSSAMA  -  Infographiste : le montage, l'infographie et la coordination du portail de la Chaîne,</t>
        </is>
      </c>
      <c r="G64" s="675" t="inlineStr">
        <is>
          <t>VALIDE</t>
        </is>
      </c>
      <c r="H64" s="672" t="inlineStr">
        <is>
          <t>APPROUVE</t>
        </is>
      </c>
      <c r="I64" s="672" t="n"/>
      <c r="J64" s="675" t="inlineStr">
        <is>
          <t>NON CONCERNE</t>
        </is>
      </c>
      <c r="K64" s="672" t="inlineStr">
        <is>
          <t>Ordinaire</t>
        </is>
      </c>
      <c r="L64" s="676" t="inlineStr">
        <is>
          <t>FONCTIONNEMENT</t>
        </is>
      </c>
      <c r="M64" s="676" t="inlineStr">
        <is>
          <t xml:space="preserve">Prestations de service
Achat prestations de services locales - personnes physiques </t>
        </is>
      </c>
      <c r="N64" s="677" t="n"/>
      <c r="O64" s="678" t="n"/>
      <c r="P64" s="678" t="n"/>
      <c r="Q64" s="672" t="inlineStr">
        <is>
          <t>RECONDUCTION</t>
        </is>
      </c>
      <c r="R64" s="679" t="n"/>
      <c r="S64" s="680" t="n"/>
      <c r="T64" s="681" t="inlineStr">
        <is>
          <t>DEHROUR OUSSAMA</t>
        </is>
      </c>
      <c r="U64" s="672" t="n">
        <v>2026</v>
      </c>
      <c r="V64" s="680" t="n">
        <v>46387</v>
      </c>
      <c r="W64" s="680" t="n"/>
      <c r="X64" s="680" t="n">
        <v>46024</v>
      </c>
      <c r="Y64" s="677" t="n">
        <v>84000</v>
      </c>
      <c r="Z64" s="678" t="n">
        <v>0</v>
      </c>
      <c r="AA64" s="678">
        <f>Y64</f>
        <v/>
      </c>
      <c r="AB64" s="678" t="n">
        <v>0</v>
      </c>
      <c r="AC64" s="678">
        <f>Y64</f>
        <v/>
      </c>
      <c r="AD64" s="678">
        <f>Y64</f>
        <v/>
      </c>
      <c r="AE64" s="682" t="inlineStr">
        <is>
          <t>ENGAGE</t>
        </is>
      </c>
      <c r="AF64" s="681" t="n"/>
      <c r="AG64" s="678" t="n"/>
      <c r="AH64" s="678" t="n"/>
      <c r="AI64" s="678" t="n"/>
      <c r="AJ64" s="678" t="n"/>
      <c r="AK64" s="683" t="n"/>
      <c r="AL64" s="683" t="n"/>
      <c r="AM64" s="681" t="inlineStr">
        <is>
          <t>Manque n° contrat</t>
        </is>
      </c>
      <c r="AN64" s="684" t="n"/>
      <c r="AO64" s="685" t="n"/>
      <c r="AP64" s="686" t="n"/>
      <c r="AQ64" s="686" t="n"/>
      <c r="AR64" s="23" t="n"/>
      <c r="AS64" s="686" t="n"/>
    </row>
    <row r="65" ht="50.55" customHeight="1" s="392">
      <c r="A65" s="672" t="n">
        <v>2026</v>
      </c>
      <c r="B65" s="673" t="inlineStr">
        <is>
          <t>ASSADISSA</t>
        </is>
      </c>
      <c r="C65" s="673" t="inlineStr">
        <is>
          <t>PV N° : 01RC2025- DPPCCRTV</t>
        </is>
      </c>
      <c r="D65" s="672" t="inlineStr">
        <is>
          <t>CONTRAT</t>
        </is>
      </c>
      <c r="E65" s="672" t="n"/>
      <c r="F65" s="674" t="inlineStr">
        <is>
          <t>NASREDDINE MOUHCINE  -  Prise de vue et Prise de son TV (OPV/OPS)</t>
        </is>
      </c>
      <c r="G65" s="675" t="inlineStr">
        <is>
          <t>VALIDE</t>
        </is>
      </c>
      <c r="H65" s="672" t="inlineStr">
        <is>
          <t>APPROUVE</t>
        </is>
      </c>
      <c r="I65" s="672" t="n"/>
      <c r="J65" s="675" t="inlineStr">
        <is>
          <t>NON CONCERNE</t>
        </is>
      </c>
      <c r="K65" s="672" t="inlineStr">
        <is>
          <t>Ordinaire</t>
        </is>
      </c>
      <c r="L65" s="676" t="inlineStr">
        <is>
          <t>FONCTIONNEMENT</t>
        </is>
      </c>
      <c r="M65" s="676" t="inlineStr">
        <is>
          <t xml:space="preserve">Prestations de service
Achat prestations de services locales - personnes physiques </t>
        </is>
      </c>
      <c r="N65" s="677" t="n"/>
      <c r="O65" s="678" t="n"/>
      <c r="P65" s="678" t="n"/>
      <c r="Q65" s="672" t="inlineStr">
        <is>
          <t>RECONDUCTION</t>
        </is>
      </c>
      <c r="R65" s="679" t="n"/>
      <c r="S65" s="680" t="n"/>
      <c r="T65" s="681" t="inlineStr">
        <is>
          <t>NASREDDINE MOUHCINE</t>
        </is>
      </c>
      <c r="U65" s="672" t="n">
        <v>2026</v>
      </c>
      <c r="V65" s="680" t="n">
        <v>46387</v>
      </c>
      <c r="W65" s="680" t="n"/>
      <c r="X65" s="680" t="n">
        <v>46024</v>
      </c>
      <c r="Y65" s="677" t="n">
        <v>84000</v>
      </c>
      <c r="Z65" s="678" t="n">
        <v>0</v>
      </c>
      <c r="AA65" s="678">
        <f>Y65</f>
        <v/>
      </c>
      <c r="AB65" s="678" t="n">
        <v>0</v>
      </c>
      <c r="AC65" s="678">
        <f>Y65</f>
        <v/>
      </c>
      <c r="AD65" s="678">
        <f>Y65</f>
        <v/>
      </c>
      <c r="AE65" s="682" t="inlineStr">
        <is>
          <t>ENGAGE</t>
        </is>
      </c>
      <c r="AF65" s="681" t="n"/>
      <c r="AG65" s="678" t="n"/>
      <c r="AH65" s="678" t="n"/>
      <c r="AI65" s="678" t="n"/>
      <c r="AJ65" s="678" t="n"/>
      <c r="AK65" s="683" t="n"/>
      <c r="AL65" s="683" t="n"/>
      <c r="AM65" s="681" t="inlineStr">
        <is>
          <t>Manque n° contrat</t>
        </is>
      </c>
      <c r="AN65" s="684" t="n"/>
      <c r="AO65" s="685" t="n"/>
      <c r="AP65" s="686" t="n"/>
      <c r="AQ65" s="686" t="n"/>
      <c r="AR65" s="23" t="n"/>
      <c r="AS65" s="686" t="n"/>
    </row>
    <row r="66" ht="50.55" customHeight="1" s="392">
      <c r="A66" s="672" t="n">
        <v>2026</v>
      </c>
      <c r="B66" s="673" t="inlineStr">
        <is>
          <t>ASSADISSA</t>
        </is>
      </c>
      <c r="C66" s="673" t="inlineStr">
        <is>
          <t>PV N° : 01RC2025- DPPCCRTV</t>
        </is>
      </c>
      <c r="D66" s="672" t="inlineStr">
        <is>
          <t>CONTRAT</t>
        </is>
      </c>
      <c r="E66" s="672" t="n"/>
      <c r="F66" s="674" t="inlineStr">
        <is>
          <t>HAJJOUJI YOUSSEF  -  Prise de vue (OPV) et le montage TV</t>
        </is>
      </c>
      <c r="G66" s="675" t="inlineStr">
        <is>
          <t>VALIDE</t>
        </is>
      </c>
      <c r="H66" s="672" t="inlineStr">
        <is>
          <t>APPROUVE</t>
        </is>
      </c>
      <c r="I66" s="672" t="n"/>
      <c r="J66" s="675" t="inlineStr">
        <is>
          <t>NON CONCERNE</t>
        </is>
      </c>
      <c r="K66" s="672" t="inlineStr">
        <is>
          <t>Ordinaire</t>
        </is>
      </c>
      <c r="L66" s="676" t="inlineStr">
        <is>
          <t>FONCTIONNEMENT</t>
        </is>
      </c>
      <c r="M66" s="676" t="inlineStr">
        <is>
          <t xml:space="preserve">Prestations de service
Achat prestations de services locales - personnes physiques </t>
        </is>
      </c>
      <c r="N66" s="677" t="n"/>
      <c r="O66" s="678" t="n"/>
      <c r="P66" s="678" t="n"/>
      <c r="Q66" s="672" t="inlineStr">
        <is>
          <t>RECONDUCTION</t>
        </is>
      </c>
      <c r="R66" s="679" t="n"/>
      <c r="S66" s="680" t="n"/>
      <c r="T66" s="681" t="inlineStr">
        <is>
          <t>HAJJOUJI YOUSSEF</t>
        </is>
      </c>
      <c r="U66" s="672" t="n">
        <v>2026</v>
      </c>
      <c r="V66" s="680" t="n">
        <v>46387</v>
      </c>
      <c r="W66" s="680" t="n"/>
      <c r="X66" s="680" t="n">
        <v>46024</v>
      </c>
      <c r="Y66" s="677" t="n">
        <v>84000</v>
      </c>
      <c r="Z66" s="678" t="n">
        <v>0</v>
      </c>
      <c r="AA66" s="678">
        <f>Y66</f>
        <v/>
      </c>
      <c r="AB66" s="678" t="n">
        <v>0</v>
      </c>
      <c r="AC66" s="678">
        <f>Y66</f>
        <v/>
      </c>
      <c r="AD66" s="678">
        <f>Y66</f>
        <v/>
      </c>
      <c r="AE66" s="682" t="inlineStr">
        <is>
          <t>ENGAGE</t>
        </is>
      </c>
      <c r="AF66" s="681" t="n"/>
      <c r="AG66" s="678" t="n"/>
      <c r="AH66" s="678" t="n"/>
      <c r="AI66" s="678" t="n"/>
      <c r="AJ66" s="678" t="n"/>
      <c r="AK66" s="683" t="n"/>
      <c r="AL66" s="683" t="n"/>
      <c r="AM66" s="681" t="inlineStr">
        <is>
          <t>Manque n° contrat</t>
        </is>
      </c>
      <c r="AN66" s="684" t="n"/>
      <c r="AO66" s="685" t="n"/>
      <c r="AP66" s="686" t="n"/>
      <c r="AQ66" s="686" t="n"/>
      <c r="AR66" s="23" t="n"/>
      <c r="AS66" s="686" t="n"/>
    </row>
    <row r="67" ht="50.55" customHeight="1" s="392">
      <c r="A67" s="672" t="n">
        <v>2026</v>
      </c>
      <c r="B67" s="673" t="inlineStr">
        <is>
          <t>ASSADISSA</t>
        </is>
      </c>
      <c r="C67" s="673" t="inlineStr">
        <is>
          <t>PV N° : 01RC2025- DPPCCRTV</t>
        </is>
      </c>
      <c r="D67" s="672" t="inlineStr">
        <is>
          <t>CONTRAT</t>
        </is>
      </c>
      <c r="E67" s="672" t="n"/>
      <c r="F67" s="674" t="inlineStr">
        <is>
          <t>DRISSI WALID  -  Prise de vue et Prise de son TV (OPV/OPS)</t>
        </is>
      </c>
      <c r="G67" s="675" t="inlineStr">
        <is>
          <t>VALIDE</t>
        </is>
      </c>
      <c r="H67" s="672" t="inlineStr">
        <is>
          <t>APPROUVE</t>
        </is>
      </c>
      <c r="I67" s="672" t="n"/>
      <c r="J67" s="675" t="inlineStr">
        <is>
          <t>NON CONCERNE</t>
        </is>
      </c>
      <c r="K67" s="672" t="inlineStr">
        <is>
          <t>Ordinaire</t>
        </is>
      </c>
      <c r="L67" s="676" t="inlineStr">
        <is>
          <t>FONCTIONNEMENT</t>
        </is>
      </c>
      <c r="M67" s="676" t="inlineStr">
        <is>
          <t xml:space="preserve">Prestations de service
Achat prestations de services locales - personnes physiques </t>
        </is>
      </c>
      <c r="N67" s="677" t="n"/>
      <c r="O67" s="678" t="n"/>
      <c r="P67" s="678" t="n"/>
      <c r="Q67" s="672" t="inlineStr">
        <is>
          <t>RECONDUCTION</t>
        </is>
      </c>
      <c r="R67" s="679" t="n"/>
      <c r="S67" s="680" t="n"/>
      <c r="T67" s="681" t="inlineStr">
        <is>
          <t>DRISSI WALID</t>
        </is>
      </c>
      <c r="U67" s="672" t="n">
        <v>2026</v>
      </c>
      <c r="V67" s="680" t="n">
        <v>46387</v>
      </c>
      <c r="W67" s="680" t="n"/>
      <c r="X67" s="680" t="n">
        <v>46024</v>
      </c>
      <c r="Y67" s="677" t="n">
        <v>84000</v>
      </c>
      <c r="Z67" s="678" t="n">
        <v>0</v>
      </c>
      <c r="AA67" s="678">
        <f>Y67</f>
        <v/>
      </c>
      <c r="AB67" s="678" t="n">
        <v>0</v>
      </c>
      <c r="AC67" s="678">
        <f>Y67</f>
        <v/>
      </c>
      <c r="AD67" s="678">
        <f>Y67</f>
        <v/>
      </c>
      <c r="AE67" s="682" t="inlineStr">
        <is>
          <t>ENGAGE</t>
        </is>
      </c>
      <c r="AF67" s="681" t="n"/>
      <c r="AG67" s="678" t="n"/>
      <c r="AH67" s="678" t="n"/>
      <c r="AI67" s="678" t="n"/>
      <c r="AJ67" s="678" t="n"/>
      <c r="AK67" s="683" t="n"/>
      <c r="AL67" s="683" t="n"/>
      <c r="AM67" s="681" t="inlineStr">
        <is>
          <t>Manque n° contrat</t>
        </is>
      </c>
      <c r="AN67" s="684" t="n"/>
      <c r="AO67" s="685" t="n"/>
      <c r="AP67" s="686" t="n"/>
      <c r="AQ67" s="686" t="n"/>
      <c r="AR67" s="23" t="n"/>
      <c r="AS67" s="686" t="n"/>
    </row>
    <row r="68" ht="50.55" customHeight="1" s="392">
      <c r="A68" s="672" t="n">
        <v>2026</v>
      </c>
      <c r="B68" s="673" t="inlineStr">
        <is>
          <t>ASSADISSA</t>
        </is>
      </c>
      <c r="C68" s="673" t="inlineStr">
        <is>
          <t>PV N° : 01RC2025- DPPCCRTV</t>
        </is>
      </c>
      <c r="D68" s="672" t="inlineStr">
        <is>
          <t>CONTRAT</t>
        </is>
      </c>
      <c r="E68" s="672" t="n"/>
      <c r="F68" s="674" t="inlineStr">
        <is>
          <t>EZ-ZHR MOHAMED  -  Prise de vue et Prise de son TV (OPV/OPS)</t>
        </is>
      </c>
      <c r="G68" s="675" t="inlineStr">
        <is>
          <t>VALIDE</t>
        </is>
      </c>
      <c r="H68" s="672" t="inlineStr">
        <is>
          <t>APPROUVE</t>
        </is>
      </c>
      <c r="I68" s="672" t="n"/>
      <c r="J68" s="675" t="inlineStr">
        <is>
          <t>NON CONCERNE</t>
        </is>
      </c>
      <c r="K68" s="672" t="inlineStr">
        <is>
          <t>Ordinaire</t>
        </is>
      </c>
      <c r="L68" s="676" t="inlineStr">
        <is>
          <t>FONCTIONNEMENT</t>
        </is>
      </c>
      <c r="M68" s="676" t="inlineStr">
        <is>
          <t xml:space="preserve">Prestations de service
Achat prestations de services locales - personnes physiques </t>
        </is>
      </c>
      <c r="N68" s="677" t="n"/>
      <c r="O68" s="678" t="n"/>
      <c r="P68" s="678" t="n"/>
      <c r="Q68" s="672" t="inlineStr">
        <is>
          <t>RECONDUCTION</t>
        </is>
      </c>
      <c r="R68" s="679" t="n"/>
      <c r="S68" s="680" t="n"/>
      <c r="T68" s="681" t="inlineStr">
        <is>
          <t>EZ-ZHR MOHAMED</t>
        </is>
      </c>
      <c r="U68" s="672" t="n">
        <v>2026</v>
      </c>
      <c r="V68" s="680" t="n">
        <v>46387</v>
      </c>
      <c r="W68" s="680" t="n"/>
      <c r="X68" s="680" t="n">
        <v>46024</v>
      </c>
      <c r="Y68" s="677" t="n">
        <v>84000</v>
      </c>
      <c r="Z68" s="678" t="n">
        <v>0</v>
      </c>
      <c r="AA68" s="678">
        <f>Y68</f>
        <v/>
      </c>
      <c r="AB68" s="678" t="n">
        <v>0</v>
      </c>
      <c r="AC68" s="678">
        <f>Y68</f>
        <v/>
      </c>
      <c r="AD68" s="678">
        <f>Y68</f>
        <v/>
      </c>
      <c r="AE68" s="682" t="inlineStr">
        <is>
          <t>ENGAGE</t>
        </is>
      </c>
      <c r="AF68" s="681" t="n"/>
      <c r="AG68" s="678" t="n"/>
      <c r="AH68" s="678" t="n"/>
      <c r="AI68" s="678" t="n"/>
      <c r="AJ68" s="678" t="n"/>
      <c r="AK68" s="683" t="n"/>
      <c r="AL68" s="683" t="n"/>
      <c r="AM68" s="681" t="inlineStr">
        <is>
          <t>Manque n° contrat</t>
        </is>
      </c>
      <c r="AN68" s="684" t="n"/>
      <c r="AO68" s="685" t="n"/>
      <c r="AP68" s="686" t="n"/>
      <c r="AQ68" s="686" t="n"/>
      <c r="AR68" s="23" t="n"/>
      <c r="AS68" s="686" t="n"/>
    </row>
    <row r="69" ht="50.55" customHeight="1" s="392">
      <c r="A69" s="672" t="n">
        <v>2026</v>
      </c>
      <c r="B69" s="673" t="inlineStr">
        <is>
          <t>ASSADISSA</t>
        </is>
      </c>
      <c r="C69" s="673" t="inlineStr">
        <is>
          <t>PV N° : 01RC2025- DPPCCRTV</t>
        </is>
      </c>
      <c r="D69" s="672" t="inlineStr">
        <is>
          <t>CONTRAT</t>
        </is>
      </c>
      <c r="E69" s="672" t="n"/>
      <c r="F69" s="674" t="inlineStr">
        <is>
          <t>ABIDA ILIAS  -  Prise de vue TV et Prise de son TV (OPV/OPS)</t>
        </is>
      </c>
      <c r="G69" s="675" t="inlineStr">
        <is>
          <t>VALIDE</t>
        </is>
      </c>
      <c r="H69" s="672" t="inlineStr">
        <is>
          <t>APPROUVE</t>
        </is>
      </c>
      <c r="I69" s="672" t="n"/>
      <c r="J69" s="675" t="inlineStr">
        <is>
          <t>NON CONCERNE</t>
        </is>
      </c>
      <c r="K69" s="672" t="inlineStr">
        <is>
          <t>Ordinaire</t>
        </is>
      </c>
      <c r="L69" s="676" t="inlineStr">
        <is>
          <t>FONCTIONNEMENT</t>
        </is>
      </c>
      <c r="M69" s="676" t="inlineStr">
        <is>
          <t xml:space="preserve">Prestations de service
Achat prestations de services locales - personnes physiques </t>
        </is>
      </c>
      <c r="N69" s="677" t="n"/>
      <c r="O69" s="678" t="n"/>
      <c r="P69" s="678" t="n"/>
      <c r="Q69" s="672" t="inlineStr">
        <is>
          <t>RECONDUCTION</t>
        </is>
      </c>
      <c r="R69" s="679" t="n"/>
      <c r="S69" s="680" t="n"/>
      <c r="T69" s="681" t="inlineStr">
        <is>
          <t>ABIDA ILIAS</t>
        </is>
      </c>
      <c r="U69" s="672" t="n">
        <v>2026</v>
      </c>
      <c r="V69" s="680" t="n">
        <v>46387</v>
      </c>
      <c r="W69" s="680" t="n"/>
      <c r="X69" s="680" t="n">
        <v>46024</v>
      </c>
      <c r="Y69" s="677" t="n">
        <v>84000</v>
      </c>
      <c r="Z69" s="678" t="n">
        <v>0</v>
      </c>
      <c r="AA69" s="678">
        <f>Y69</f>
        <v/>
      </c>
      <c r="AB69" s="678" t="n">
        <v>0</v>
      </c>
      <c r="AC69" s="678">
        <f>Y69</f>
        <v/>
      </c>
      <c r="AD69" s="678">
        <f>Y69</f>
        <v/>
      </c>
      <c r="AE69" s="682" t="inlineStr">
        <is>
          <t>ENGAGE</t>
        </is>
      </c>
      <c r="AF69" s="681" t="n"/>
      <c r="AG69" s="678" t="n"/>
      <c r="AH69" s="678" t="n"/>
      <c r="AI69" s="678" t="n"/>
      <c r="AJ69" s="678" t="n"/>
      <c r="AK69" s="683" t="n"/>
      <c r="AL69" s="683" t="n"/>
      <c r="AM69" s="681" t="inlineStr">
        <is>
          <t>Manque n° contrat</t>
        </is>
      </c>
      <c r="AN69" s="684" t="n"/>
      <c r="AO69" s="685" t="n"/>
      <c r="AP69" s="686" t="n"/>
      <c r="AQ69" s="686" t="n"/>
      <c r="AR69" s="23" t="n"/>
      <c r="AS69" s="686" t="n"/>
    </row>
    <row r="70" ht="50.55" customHeight="1" s="392">
      <c r="A70" s="672" t="n">
        <v>2026</v>
      </c>
      <c r="B70" s="673" t="inlineStr">
        <is>
          <t>ASSADISSA</t>
        </is>
      </c>
      <c r="C70" s="673" t="inlineStr">
        <is>
          <t>PV N° : 01RC2025- DPPCCRTV</t>
        </is>
      </c>
      <c r="D70" s="672" t="inlineStr">
        <is>
          <t>CONTRAT</t>
        </is>
      </c>
      <c r="E70" s="672" t="n"/>
      <c r="F70" s="674" t="inlineStr">
        <is>
          <t>ELMHAMDI BADR  -  Prise de vue et Prise de son TV (OPV/OPS)</t>
        </is>
      </c>
      <c r="G70" s="675" t="inlineStr">
        <is>
          <t>VALIDE</t>
        </is>
      </c>
      <c r="H70" s="672" t="inlineStr">
        <is>
          <t>APPROUVE</t>
        </is>
      </c>
      <c r="I70" s="672" t="n"/>
      <c r="J70" s="675" t="inlineStr">
        <is>
          <t>NON CONCERNE</t>
        </is>
      </c>
      <c r="K70" s="672" t="inlineStr">
        <is>
          <t>Ordinaire</t>
        </is>
      </c>
      <c r="L70" s="676" t="inlineStr">
        <is>
          <t>FONCTIONNEMENT</t>
        </is>
      </c>
      <c r="M70" s="676" t="inlineStr">
        <is>
          <t xml:space="preserve">Prestations de service
Achat prestations de services locales - personnes physiques </t>
        </is>
      </c>
      <c r="N70" s="677" t="n"/>
      <c r="O70" s="678" t="n"/>
      <c r="P70" s="678" t="n"/>
      <c r="Q70" s="672" t="inlineStr">
        <is>
          <t>RECONDUCTION</t>
        </is>
      </c>
      <c r="R70" s="679" t="n"/>
      <c r="S70" s="680" t="n"/>
      <c r="T70" s="681" t="inlineStr">
        <is>
          <t>ELMHAMDI BADR</t>
        </is>
      </c>
      <c r="U70" s="672" t="n">
        <v>2026</v>
      </c>
      <c r="V70" s="680" t="n">
        <v>46387</v>
      </c>
      <c r="W70" s="680" t="n"/>
      <c r="X70" s="680" t="n">
        <v>46024</v>
      </c>
      <c r="Y70" s="677" t="n">
        <v>84000</v>
      </c>
      <c r="Z70" s="678" t="n">
        <v>0</v>
      </c>
      <c r="AA70" s="678">
        <f>Y70</f>
        <v/>
      </c>
      <c r="AB70" s="678" t="n">
        <v>0</v>
      </c>
      <c r="AC70" s="678">
        <f>Y70</f>
        <v/>
      </c>
      <c r="AD70" s="678">
        <f>Y70</f>
        <v/>
      </c>
      <c r="AE70" s="682" t="inlineStr">
        <is>
          <t>ENGAGE</t>
        </is>
      </c>
      <c r="AF70" s="681" t="n"/>
      <c r="AG70" s="678" t="n"/>
      <c r="AH70" s="678" t="n"/>
      <c r="AI70" s="678" t="n"/>
      <c r="AJ70" s="678" t="n"/>
      <c r="AK70" s="683" t="n"/>
      <c r="AL70" s="683" t="n"/>
      <c r="AM70" s="681" t="inlineStr">
        <is>
          <t>Manque n° contrat</t>
        </is>
      </c>
      <c r="AN70" s="684" t="n"/>
      <c r="AO70" s="685" t="n"/>
      <c r="AP70" s="686" t="n"/>
      <c r="AQ70" s="686" t="n"/>
      <c r="AR70" s="23" t="n"/>
      <c r="AS70" s="686" t="n"/>
    </row>
    <row r="71" ht="50.55" customHeight="1" s="392">
      <c r="A71" s="672" t="n">
        <v>2026</v>
      </c>
      <c r="B71" s="673" t="inlineStr">
        <is>
          <t>ASSADISSA</t>
        </is>
      </c>
      <c r="C71" s="673" t="inlineStr">
        <is>
          <t>PV N° : 01RC2025- DPPCCRTV</t>
        </is>
      </c>
      <c r="D71" s="672" t="inlineStr">
        <is>
          <t>CONTRAT</t>
        </is>
      </c>
      <c r="E71" s="672" t="n"/>
      <c r="F71" s="674" t="inlineStr">
        <is>
          <t>BENGHABRIT ANAS  -  Animateur RD/TV : la gestion de l'antenne RD, la couverture et le reportage RD/TV</t>
        </is>
      </c>
      <c r="G71" s="675" t="inlineStr">
        <is>
          <t>VALIDE</t>
        </is>
      </c>
      <c r="H71" s="672" t="inlineStr">
        <is>
          <t>APPROUVE</t>
        </is>
      </c>
      <c r="I71" s="672" t="n"/>
      <c r="J71" s="675" t="inlineStr">
        <is>
          <t>NON CONCERNE</t>
        </is>
      </c>
      <c r="K71" s="672" t="inlineStr">
        <is>
          <t>Ordinaire</t>
        </is>
      </c>
      <c r="L71" s="676" t="inlineStr">
        <is>
          <t>FONCTIONNEMENT</t>
        </is>
      </c>
      <c r="M71" s="676" t="inlineStr">
        <is>
          <t xml:space="preserve">Prestations de service
Achat prestations de services locales - personnes physiques </t>
        </is>
      </c>
      <c r="N71" s="677" t="n"/>
      <c r="O71" s="678" t="n"/>
      <c r="P71" s="678" t="n"/>
      <c r="Q71" s="672" t="inlineStr">
        <is>
          <t>RECONDUCTION</t>
        </is>
      </c>
      <c r="R71" s="679" t="n"/>
      <c r="S71" s="680" t="n"/>
      <c r="T71" s="681" t="inlineStr">
        <is>
          <t>BENGHABRIT ANAS</t>
        </is>
      </c>
      <c r="U71" s="672" t="n">
        <v>2026</v>
      </c>
      <c r="V71" s="680" t="n">
        <v>46387</v>
      </c>
      <c r="W71" s="680" t="n"/>
      <c r="X71" s="680" t="n">
        <v>46024</v>
      </c>
      <c r="Y71" s="677" t="n">
        <v>144000</v>
      </c>
      <c r="Z71" s="678" t="n">
        <v>0</v>
      </c>
      <c r="AA71" s="678">
        <f>Y71</f>
        <v/>
      </c>
      <c r="AB71" s="678" t="n">
        <v>0</v>
      </c>
      <c r="AC71" s="678">
        <f>Y71</f>
        <v/>
      </c>
      <c r="AD71" s="678">
        <f>Y71</f>
        <v/>
      </c>
      <c r="AE71" s="682" t="inlineStr">
        <is>
          <t>ENGAGE</t>
        </is>
      </c>
      <c r="AF71" s="681" t="n"/>
      <c r="AG71" s="678" t="n"/>
      <c r="AH71" s="678" t="n"/>
      <c r="AI71" s="678" t="n"/>
      <c r="AJ71" s="678" t="n"/>
      <c r="AK71" s="683" t="n"/>
      <c r="AL71" s="683" t="n"/>
      <c r="AM71" s="681" t="inlineStr">
        <is>
          <t>Manque n° contrat</t>
        </is>
      </c>
      <c r="AN71" s="684" t="n"/>
      <c r="AO71" s="685" t="n"/>
      <c r="AP71" s="686" t="n"/>
      <c r="AQ71" s="686" t="n"/>
      <c r="AR71" s="23" t="n"/>
      <c r="AS71" s="686" t="n"/>
    </row>
    <row r="72" ht="50.55" customHeight="1" s="392">
      <c r="A72" s="672" t="n">
        <v>2026</v>
      </c>
      <c r="B72" s="673" t="inlineStr">
        <is>
          <t>ASSADISSA</t>
        </is>
      </c>
      <c r="C72" s="673" t="inlineStr">
        <is>
          <t>PV N° : 01RC2025- DPPCCRTV</t>
        </is>
      </c>
      <c r="D72" s="672" t="inlineStr">
        <is>
          <t>CONTRAT</t>
        </is>
      </c>
      <c r="E72" s="672" t="n"/>
      <c r="F72" s="674" t="inlineStr">
        <is>
          <t>TALAOUI YASSINE  -  Animateur RD/TV : la gestion de l'antenne RD, la couverture et le reportage RD/TV</t>
        </is>
      </c>
      <c r="G72" s="675" t="inlineStr">
        <is>
          <t>VALIDE</t>
        </is>
      </c>
      <c r="H72" s="672" t="inlineStr">
        <is>
          <t>APPROUVE</t>
        </is>
      </c>
      <c r="I72" s="672" t="n"/>
      <c r="J72" s="675" t="inlineStr">
        <is>
          <t>NON CONCERNE</t>
        </is>
      </c>
      <c r="K72" s="672" t="inlineStr">
        <is>
          <t>Ordinaire</t>
        </is>
      </c>
      <c r="L72" s="676" t="inlineStr">
        <is>
          <t>FONCTIONNEMENT</t>
        </is>
      </c>
      <c r="M72" s="676" t="inlineStr">
        <is>
          <t xml:space="preserve">Prestations de service
Achat prestations de services locales - personnes physiques </t>
        </is>
      </c>
      <c r="N72" s="677" t="n"/>
      <c r="O72" s="678" t="n"/>
      <c r="P72" s="678" t="n"/>
      <c r="Q72" s="672" t="inlineStr">
        <is>
          <t>RECONDUCTION</t>
        </is>
      </c>
      <c r="R72" s="679" t="n"/>
      <c r="S72" s="680" t="n"/>
      <c r="T72" s="681" t="inlineStr">
        <is>
          <t>TALAOUI YASSINE</t>
        </is>
      </c>
      <c r="U72" s="672" t="n">
        <v>2026</v>
      </c>
      <c r="V72" s="680" t="n">
        <v>46387</v>
      </c>
      <c r="W72" s="680" t="n"/>
      <c r="X72" s="680" t="n">
        <v>46024</v>
      </c>
      <c r="Y72" s="677" t="n">
        <v>144000</v>
      </c>
      <c r="Z72" s="678" t="n">
        <v>0</v>
      </c>
      <c r="AA72" s="678">
        <f>Y72</f>
        <v/>
      </c>
      <c r="AB72" s="678" t="n">
        <v>0</v>
      </c>
      <c r="AC72" s="678">
        <f>Y72</f>
        <v/>
      </c>
      <c r="AD72" s="678">
        <f>Y72</f>
        <v/>
      </c>
      <c r="AE72" s="682" t="inlineStr">
        <is>
          <t>ENGAGE</t>
        </is>
      </c>
      <c r="AF72" s="681" t="n"/>
      <c r="AG72" s="678" t="n"/>
      <c r="AH72" s="678" t="n"/>
      <c r="AI72" s="678" t="n"/>
      <c r="AJ72" s="678" t="n"/>
      <c r="AK72" s="683" t="n"/>
      <c r="AL72" s="683" t="n"/>
      <c r="AM72" s="681" t="inlineStr">
        <is>
          <t>Manque n° contrat</t>
        </is>
      </c>
      <c r="AN72" s="684" t="n"/>
      <c r="AO72" s="685" t="n"/>
      <c r="AP72" s="686" t="n"/>
      <c r="AQ72" s="686" t="n"/>
      <c r="AR72" s="23" t="n"/>
      <c r="AS72" s="686" t="n"/>
    </row>
    <row r="73" ht="50.55" customHeight="1" s="392">
      <c r="A73" s="672" t="n">
        <v>2026</v>
      </c>
      <c r="B73" s="673" t="inlineStr">
        <is>
          <t>ASSADISSA</t>
        </is>
      </c>
      <c r="C73" s="673" t="inlineStr">
        <is>
          <t>PV N° : 01RC2025- DPPCCRTV</t>
        </is>
      </c>
      <c r="D73" s="672" t="inlineStr">
        <is>
          <t>CONTRAT</t>
        </is>
      </c>
      <c r="E73" s="672" t="n"/>
      <c r="F73" s="674" t="inlineStr">
        <is>
          <t>JABRANE WAFAE  -  Animatrice : RD/TV</t>
        </is>
      </c>
      <c r="G73" s="675" t="inlineStr">
        <is>
          <t>VALIDE</t>
        </is>
      </c>
      <c r="H73" s="672" t="inlineStr">
        <is>
          <t>APPROUVE</t>
        </is>
      </c>
      <c r="I73" s="672" t="n"/>
      <c r="J73" s="675" t="inlineStr">
        <is>
          <t>NON CONCERNE</t>
        </is>
      </c>
      <c r="K73" s="672" t="inlineStr">
        <is>
          <t>Ordinaire</t>
        </is>
      </c>
      <c r="L73" s="676" t="inlineStr">
        <is>
          <t>FONCTIONNEMENT</t>
        </is>
      </c>
      <c r="M73" s="676" t="inlineStr">
        <is>
          <t xml:space="preserve">Prestations de service
Achat prestations de services locales - personnes physiques </t>
        </is>
      </c>
      <c r="N73" s="677" t="n"/>
      <c r="O73" s="678" t="n"/>
      <c r="P73" s="678" t="n"/>
      <c r="Q73" s="672" t="inlineStr">
        <is>
          <t>RECONDUCTION</t>
        </is>
      </c>
      <c r="R73" s="679" t="n"/>
      <c r="S73" s="680" t="n"/>
      <c r="T73" s="681" t="inlineStr">
        <is>
          <t>JABRANE WAFAE</t>
        </is>
      </c>
      <c r="U73" s="672" t="n">
        <v>2026</v>
      </c>
      <c r="V73" s="680" t="n">
        <v>46387</v>
      </c>
      <c r="W73" s="680" t="n"/>
      <c r="X73" s="680" t="n">
        <v>46024</v>
      </c>
      <c r="Y73" s="677" t="n">
        <v>60000</v>
      </c>
      <c r="Z73" s="678" t="n">
        <v>0</v>
      </c>
      <c r="AA73" s="678">
        <f>Y73</f>
        <v/>
      </c>
      <c r="AB73" s="678" t="n">
        <v>0</v>
      </c>
      <c r="AC73" s="678">
        <f>Y73</f>
        <v/>
      </c>
      <c r="AD73" s="678">
        <f>Y73</f>
        <v/>
      </c>
      <c r="AE73" s="682" t="inlineStr">
        <is>
          <t>ENGAGE</t>
        </is>
      </c>
      <c r="AF73" s="681" t="n"/>
      <c r="AG73" s="678" t="n"/>
      <c r="AH73" s="678" t="n"/>
      <c r="AI73" s="678" t="n"/>
      <c r="AJ73" s="678" t="n"/>
      <c r="AK73" s="683" t="n"/>
      <c r="AL73" s="683" t="n"/>
      <c r="AM73" s="681" t="inlineStr">
        <is>
          <t>Manque n° contrat</t>
        </is>
      </c>
      <c r="AN73" s="684" t="n"/>
      <c r="AO73" s="685" t="n"/>
      <c r="AP73" s="686" t="n"/>
      <c r="AQ73" s="686" t="n"/>
      <c r="AR73" s="23" t="n"/>
      <c r="AS73" s="686" t="n"/>
    </row>
    <row r="74" ht="70.80000000000001" customHeight="1" s="392">
      <c r="A74" s="672" t="n">
        <v>2026</v>
      </c>
      <c r="B74" s="673" t="inlineStr">
        <is>
          <t>ASSADISSA</t>
        </is>
      </c>
      <c r="C74" s="673" t="inlineStr">
        <is>
          <t>PV N° : 01RC2025- DPPCCRTV</t>
        </is>
      </c>
      <c r="D74" s="672" t="inlineStr">
        <is>
          <t>CONTRAT</t>
        </is>
      </c>
      <c r="E74" s="672" t="n"/>
      <c r="F74" s="674" t="inlineStr">
        <is>
          <t>MANAL LAHFAOUI  -  Programmatrice TV : le montage, la coordination du portail de la chaîne, la coordination et le suivi avec la commission scientifique et l'archivage STM.</t>
        </is>
      </c>
      <c r="G74" s="675" t="inlineStr">
        <is>
          <t>VALIDE</t>
        </is>
      </c>
      <c r="H74" s="672" t="inlineStr">
        <is>
          <t>APPROUVE</t>
        </is>
      </c>
      <c r="I74" s="672" t="n"/>
      <c r="J74" s="675" t="inlineStr">
        <is>
          <t>NON CONCERNE</t>
        </is>
      </c>
      <c r="K74" s="672" t="inlineStr">
        <is>
          <t>Ordinaire</t>
        </is>
      </c>
      <c r="L74" s="676" t="inlineStr">
        <is>
          <t>FONCTIONNEMENT</t>
        </is>
      </c>
      <c r="M74" s="676" t="inlineStr">
        <is>
          <t xml:space="preserve">Prestations de service
Achat prestations de services locales - personnes physiques </t>
        </is>
      </c>
      <c r="N74" s="677" t="n"/>
      <c r="O74" s="678" t="n"/>
      <c r="P74" s="678" t="n"/>
      <c r="Q74" s="672" t="inlineStr">
        <is>
          <t>RECONDUCTION</t>
        </is>
      </c>
      <c r="R74" s="679" t="n"/>
      <c r="S74" s="680" t="n"/>
      <c r="T74" s="681" t="inlineStr">
        <is>
          <t>MANAL LAHFAOUI</t>
        </is>
      </c>
      <c r="U74" s="672" t="n">
        <v>2026</v>
      </c>
      <c r="V74" s="680" t="n">
        <v>46387</v>
      </c>
      <c r="W74" s="680" t="n"/>
      <c r="X74" s="680" t="n">
        <v>46024</v>
      </c>
      <c r="Y74" s="677" t="n">
        <v>72000</v>
      </c>
      <c r="Z74" s="678" t="n">
        <v>0</v>
      </c>
      <c r="AA74" s="678">
        <f>Y74</f>
        <v/>
      </c>
      <c r="AB74" s="678" t="n">
        <v>0</v>
      </c>
      <c r="AC74" s="678">
        <f>Y74</f>
        <v/>
      </c>
      <c r="AD74" s="678">
        <f>Y74</f>
        <v/>
      </c>
      <c r="AE74" s="682" t="inlineStr">
        <is>
          <t>ENGAGE</t>
        </is>
      </c>
      <c r="AF74" s="681" t="n"/>
      <c r="AG74" s="678" t="n"/>
      <c r="AH74" s="678" t="n"/>
      <c r="AI74" s="678" t="n"/>
      <c r="AJ74" s="678" t="n"/>
      <c r="AK74" s="683" t="n"/>
      <c r="AL74" s="683" t="n"/>
      <c r="AM74" s="681" t="inlineStr">
        <is>
          <t>Manque n° contrat</t>
        </is>
      </c>
      <c r="AN74" s="684" t="n"/>
      <c r="AO74" s="685" t="n"/>
      <c r="AP74" s="686" t="n"/>
      <c r="AQ74" s="686" t="n"/>
      <c r="AR74" s="23" t="n"/>
      <c r="AS74" s="686" t="n"/>
    </row>
    <row r="75" ht="50.55" customHeight="1" s="392">
      <c r="A75" s="672" t="n">
        <v>2026</v>
      </c>
      <c r="B75" s="673" t="inlineStr">
        <is>
          <t>ASSADISSA</t>
        </is>
      </c>
      <c r="C75" s="673" t="inlineStr">
        <is>
          <t>PV N° : 01RC2025- DPPCCRTV</t>
        </is>
      </c>
      <c r="D75" s="672" t="inlineStr">
        <is>
          <t>CONTRAT</t>
        </is>
      </c>
      <c r="E75" s="672" t="n"/>
      <c r="F75" s="674" t="inlineStr">
        <is>
          <t>HAZMIRI OMAR  -  Réalisateur RD : montage, mixage et réalisation des émissions RD</t>
        </is>
      </c>
      <c r="G75" s="675" t="inlineStr">
        <is>
          <t>VALIDE</t>
        </is>
      </c>
      <c r="H75" s="672" t="inlineStr">
        <is>
          <t>APPROUVE</t>
        </is>
      </c>
      <c r="I75" s="672" t="n"/>
      <c r="J75" s="675" t="inlineStr">
        <is>
          <t>NON CONCERNE</t>
        </is>
      </c>
      <c r="K75" s="672" t="inlineStr">
        <is>
          <t>Ordinaire</t>
        </is>
      </c>
      <c r="L75" s="676" t="inlineStr">
        <is>
          <t>FONCTIONNEMENT</t>
        </is>
      </c>
      <c r="M75" s="676" t="inlineStr">
        <is>
          <t xml:space="preserve">Prestations de service
Achat prestations de services locales - personnes physiques </t>
        </is>
      </c>
      <c r="N75" s="677" t="n"/>
      <c r="O75" s="678" t="n"/>
      <c r="P75" s="678" t="n"/>
      <c r="Q75" s="672" t="inlineStr">
        <is>
          <t>RECONDUCTION</t>
        </is>
      </c>
      <c r="R75" s="679" t="n"/>
      <c r="S75" s="680" t="n"/>
      <c r="T75" s="681" t="inlineStr">
        <is>
          <t>HAZMIRI OMAR</t>
        </is>
      </c>
      <c r="U75" s="672" t="n">
        <v>2026</v>
      </c>
      <c r="V75" s="680" t="n">
        <v>46387</v>
      </c>
      <c r="W75" s="680" t="n"/>
      <c r="X75" s="680" t="n">
        <v>46024</v>
      </c>
      <c r="Y75" s="677" t="n">
        <v>84000</v>
      </c>
      <c r="Z75" s="678" t="n">
        <v>0</v>
      </c>
      <c r="AA75" s="678">
        <f>Y75</f>
        <v/>
      </c>
      <c r="AB75" s="678" t="n">
        <v>0</v>
      </c>
      <c r="AC75" s="678">
        <f>Y75</f>
        <v/>
      </c>
      <c r="AD75" s="678">
        <f>Y75</f>
        <v/>
      </c>
      <c r="AE75" s="682" t="inlineStr">
        <is>
          <t>ENGAGE</t>
        </is>
      </c>
      <c r="AF75" s="681" t="n"/>
      <c r="AG75" s="678" t="n"/>
      <c r="AH75" s="678" t="n"/>
      <c r="AI75" s="678" t="n"/>
      <c r="AJ75" s="678" t="n"/>
      <c r="AK75" s="683" t="n"/>
      <c r="AL75" s="683" t="n"/>
      <c r="AM75" s="681" t="inlineStr">
        <is>
          <t>Manque n° contrat</t>
        </is>
      </c>
      <c r="AN75" s="684" t="n"/>
      <c r="AO75" s="685" t="n"/>
      <c r="AP75" s="686" t="n"/>
      <c r="AQ75" s="686" t="n"/>
      <c r="AR75" s="23" t="n"/>
      <c r="AS75" s="686" t="n"/>
    </row>
    <row r="76" ht="50.55" customHeight="1" s="392">
      <c r="A76" s="672" t="n">
        <v>2026</v>
      </c>
      <c r="B76" s="673" t="inlineStr">
        <is>
          <t>ASSADISSA</t>
        </is>
      </c>
      <c r="C76" s="673" t="inlineStr">
        <is>
          <t>PV N° : 01RC2025- DPPCCRTV</t>
        </is>
      </c>
      <c r="D76" s="672" t="inlineStr">
        <is>
          <t>CONTRAT</t>
        </is>
      </c>
      <c r="E76" s="672" t="n"/>
      <c r="F76" s="674" t="inlineStr">
        <is>
          <t>EL HAJJI FARID  -  Prise de vue, prise de son, (OPV / OPS)</t>
        </is>
      </c>
      <c r="G76" s="675" t="inlineStr">
        <is>
          <t>VALIDE</t>
        </is>
      </c>
      <c r="H76" s="672" t="inlineStr">
        <is>
          <t>APPROUVE</t>
        </is>
      </c>
      <c r="I76" s="672" t="n"/>
      <c r="J76" s="675" t="inlineStr">
        <is>
          <t>NON CONCERNE</t>
        </is>
      </c>
      <c r="K76" s="672" t="inlineStr">
        <is>
          <t>Ordinaire</t>
        </is>
      </c>
      <c r="L76" s="676" t="inlineStr">
        <is>
          <t>FONCTIONNEMENT</t>
        </is>
      </c>
      <c r="M76" s="676" t="inlineStr">
        <is>
          <t xml:space="preserve">Prestations de service
Achat prestations de services locales - personnes physiques </t>
        </is>
      </c>
      <c r="N76" s="677" t="n"/>
      <c r="O76" s="678" t="n"/>
      <c r="P76" s="678" t="n"/>
      <c r="Q76" s="672" t="inlineStr">
        <is>
          <t>RECONDUCTION</t>
        </is>
      </c>
      <c r="R76" s="679" t="n"/>
      <c r="S76" s="680" t="n"/>
      <c r="T76" s="681" t="inlineStr">
        <is>
          <t>EL HAJJI FARID</t>
        </is>
      </c>
      <c r="U76" s="672" t="n">
        <v>2026</v>
      </c>
      <c r="V76" s="680" t="n">
        <v>46387</v>
      </c>
      <c r="W76" s="680" t="n"/>
      <c r="X76" s="680" t="n">
        <v>46024</v>
      </c>
      <c r="Y76" s="677" t="n">
        <v>84000</v>
      </c>
      <c r="Z76" s="678" t="n">
        <v>0</v>
      </c>
      <c r="AA76" s="678">
        <f>Y76</f>
        <v/>
      </c>
      <c r="AB76" s="678" t="n">
        <v>0</v>
      </c>
      <c r="AC76" s="678">
        <f>Y76</f>
        <v/>
      </c>
      <c r="AD76" s="678">
        <f>Y76</f>
        <v/>
      </c>
      <c r="AE76" s="682" t="inlineStr">
        <is>
          <t>ENGAGE</t>
        </is>
      </c>
      <c r="AF76" s="681" t="n"/>
      <c r="AG76" s="678" t="n"/>
      <c r="AH76" s="678" t="n"/>
      <c r="AI76" s="678" t="n"/>
      <c r="AJ76" s="678" t="n"/>
      <c r="AK76" s="683" t="n"/>
      <c r="AL76" s="683" t="n"/>
      <c r="AM76" s="681" t="inlineStr">
        <is>
          <t>Manque n° contrat</t>
        </is>
      </c>
      <c r="AN76" s="684" t="n"/>
      <c r="AO76" s="685" t="n"/>
      <c r="AP76" s="686" t="n"/>
      <c r="AQ76" s="686" t="n"/>
      <c r="AR76" s="23" t="n"/>
      <c r="AS76" s="686" t="n"/>
    </row>
    <row r="77" ht="54.6" customHeight="1" s="392">
      <c r="A77" s="672" t="n">
        <v>2026</v>
      </c>
      <c r="B77" s="673" t="inlineStr">
        <is>
          <t>ASSADISSA</t>
        </is>
      </c>
      <c r="C77" s="673" t="inlineStr">
        <is>
          <t>PV N° : 01RC2025- DPPCCRTV</t>
        </is>
      </c>
      <c r="D77" s="672" t="inlineStr">
        <is>
          <t>CONTRAT</t>
        </is>
      </c>
      <c r="E77" s="672" t="n"/>
      <c r="F77" s="674" t="inlineStr">
        <is>
          <t>CHBANI SALMA  -  La prise de vue, prise de son, (OPV / OPS), infographie, montage   et coordination du portail de la chaîne</t>
        </is>
      </c>
      <c r="G77" s="675" t="inlineStr">
        <is>
          <t>VALIDE</t>
        </is>
      </c>
      <c r="H77" s="672" t="inlineStr">
        <is>
          <t>APPROUVE</t>
        </is>
      </c>
      <c r="I77" s="672" t="n"/>
      <c r="J77" s="675" t="inlineStr">
        <is>
          <t>NON CONCERNE</t>
        </is>
      </c>
      <c r="K77" s="672" t="inlineStr">
        <is>
          <t>Ordinaire</t>
        </is>
      </c>
      <c r="L77" s="676" t="inlineStr">
        <is>
          <t>FONCTIONNEMENT</t>
        </is>
      </c>
      <c r="M77" s="676" t="inlineStr">
        <is>
          <t xml:space="preserve">Prestations de service
Achat prestations de services locales - personnes physiques </t>
        </is>
      </c>
      <c r="N77" s="677" t="n"/>
      <c r="O77" s="678" t="n"/>
      <c r="P77" s="678" t="n"/>
      <c r="Q77" s="672" t="inlineStr">
        <is>
          <t>RECONDUCTION</t>
        </is>
      </c>
      <c r="R77" s="679" t="n"/>
      <c r="S77" s="680" t="n"/>
      <c r="T77" s="681" t="inlineStr">
        <is>
          <t>CHBANI SALMA</t>
        </is>
      </c>
      <c r="U77" s="672" t="n">
        <v>2026</v>
      </c>
      <c r="V77" s="680" t="n">
        <v>46387</v>
      </c>
      <c r="W77" s="680" t="n"/>
      <c r="X77" s="680" t="n">
        <v>46024</v>
      </c>
      <c r="Y77" s="677" t="n">
        <v>84000</v>
      </c>
      <c r="Z77" s="678" t="n">
        <v>0</v>
      </c>
      <c r="AA77" s="678">
        <f>Y77</f>
        <v/>
      </c>
      <c r="AB77" s="678" t="n">
        <v>0</v>
      </c>
      <c r="AC77" s="678">
        <f>Y77</f>
        <v/>
      </c>
      <c r="AD77" s="678">
        <f>Y77</f>
        <v/>
      </c>
      <c r="AE77" s="682" t="inlineStr">
        <is>
          <t>ENGAGE</t>
        </is>
      </c>
      <c r="AF77" s="681" t="n"/>
      <c r="AG77" s="678" t="n"/>
      <c r="AH77" s="678" t="n"/>
      <c r="AI77" s="678" t="n"/>
      <c r="AJ77" s="678" t="n"/>
      <c r="AK77" s="683" t="n"/>
      <c r="AL77" s="683" t="n"/>
      <c r="AM77" s="681" t="inlineStr">
        <is>
          <t>Manque n° contrat</t>
        </is>
      </c>
      <c r="AN77" s="684" t="n"/>
      <c r="AO77" s="685" t="n"/>
      <c r="AP77" s="686" t="n"/>
      <c r="AQ77" s="686" t="n"/>
      <c r="AR77" s="23" t="n"/>
      <c r="AS77" s="686" t="n"/>
    </row>
    <row r="78" ht="35.7" customHeight="1" s="392">
      <c r="A78" s="672" t="n">
        <v>2026</v>
      </c>
      <c r="B78" s="673" t="inlineStr">
        <is>
          <t>DAR</t>
        </is>
      </c>
      <c r="C78" s="673" t="inlineStr">
        <is>
          <t>PV N° : 01RC2025- DAR</t>
        </is>
      </c>
      <c r="D78" s="672" t="inlineStr">
        <is>
          <t>CONTRAT</t>
        </is>
      </c>
      <c r="E78" s="672" t="n"/>
      <c r="F78" s="674" t="inlineStr">
        <is>
          <t>YOUNESS MAZZA  -  Journaliste Arabophone Sénior</t>
        </is>
      </c>
      <c r="G78" s="675" t="inlineStr">
        <is>
          <t>VALIDE</t>
        </is>
      </c>
      <c r="H78" s="672" t="inlineStr">
        <is>
          <t>APPROUVE</t>
        </is>
      </c>
      <c r="I78" s="672" t="n"/>
      <c r="J78" s="675" t="inlineStr">
        <is>
          <t>NON CONCERNE</t>
        </is>
      </c>
      <c r="K78" s="672" t="inlineStr">
        <is>
          <t>Ordinaire</t>
        </is>
      </c>
      <c r="L78" s="676" t="inlineStr">
        <is>
          <t>FONCTIONNEMENT</t>
        </is>
      </c>
      <c r="M78" s="676" t="inlineStr">
        <is>
          <t xml:space="preserve">Achat prestations de services locales - personnes physiques </t>
        </is>
      </c>
      <c r="N78" s="677" t="n"/>
      <c r="O78" s="678" t="n"/>
      <c r="P78" s="678" t="n"/>
      <c r="Q78" s="672" t="inlineStr">
        <is>
          <t>RECONDUCTION</t>
        </is>
      </c>
      <c r="R78" s="679" t="n"/>
      <c r="S78" s="680" t="n"/>
      <c r="T78" s="681" t="inlineStr">
        <is>
          <t>YOUNESS MAZZA</t>
        </is>
      </c>
      <c r="U78" s="672" t="n">
        <v>2026</v>
      </c>
      <c r="V78" s="680" t="n">
        <v>46387</v>
      </c>
      <c r="W78" s="680" t="n"/>
      <c r="X78" s="680" t="n">
        <v>46024</v>
      </c>
      <c r="Y78" s="677" t="n">
        <v>108000</v>
      </c>
      <c r="Z78" s="678" t="n">
        <v>0</v>
      </c>
      <c r="AA78" s="678">
        <f>Y78</f>
        <v/>
      </c>
      <c r="AB78" s="678" t="n">
        <v>0</v>
      </c>
      <c r="AC78" s="678">
        <f>Y78</f>
        <v/>
      </c>
      <c r="AD78" s="678">
        <f>Y78</f>
        <v/>
      </c>
      <c r="AE78" s="682" t="inlineStr">
        <is>
          <t>ENGAGE</t>
        </is>
      </c>
      <c r="AF78" s="681" t="n"/>
      <c r="AG78" s="678" t="n"/>
      <c r="AH78" s="678" t="n"/>
      <c r="AI78" s="678" t="n"/>
      <c r="AJ78" s="678" t="n"/>
      <c r="AK78" s="683" t="n"/>
      <c r="AL78" s="683" t="n"/>
      <c r="AM78" s="681" t="inlineStr">
        <is>
          <t>Manque n° contrat</t>
        </is>
      </c>
      <c r="AN78" s="684" t="n"/>
      <c r="AO78" s="685" t="n"/>
      <c r="AP78" s="686" t="n"/>
      <c r="AQ78" s="686" t="n"/>
      <c r="AR78" s="23" t="n"/>
      <c r="AS78" s="686" t="n"/>
    </row>
    <row r="79" ht="50.55" customHeight="1" s="392">
      <c r="A79" s="672" t="n">
        <v>2026</v>
      </c>
      <c r="B79" s="673" t="inlineStr">
        <is>
          <t>DPMG</t>
        </is>
      </c>
      <c r="C79" s="673" t="inlineStr">
        <is>
          <t>PV N° : 01RC2025- DPMG</t>
        </is>
      </c>
      <c r="D79" s="672" t="inlineStr">
        <is>
          <t>CONTRAT</t>
        </is>
      </c>
      <c r="E79" s="672" t="n"/>
      <c r="F79" s="674" t="inlineStr">
        <is>
          <t>KHALID KHIYAITA  -  Gestion de la vidéosurveillance du contrôle d'accès et la détection d'incendie</t>
        </is>
      </c>
      <c r="G79" s="675" t="inlineStr">
        <is>
          <t>VALIDE</t>
        </is>
      </c>
      <c r="H79" s="672" t="inlineStr">
        <is>
          <t>APPROUVE</t>
        </is>
      </c>
      <c r="I79" s="672" t="n"/>
      <c r="J79" s="675" t="inlineStr">
        <is>
          <t>NON CONCERNE</t>
        </is>
      </c>
      <c r="K79" s="672" t="inlineStr">
        <is>
          <t>Ordinaire</t>
        </is>
      </c>
      <c r="L79" s="676" t="inlineStr">
        <is>
          <t>FONCTIONNEMENT</t>
        </is>
      </c>
      <c r="M79" s="676" t="inlineStr">
        <is>
          <t xml:space="preserve">Prestations de service
Achat prestations de services locales - personnes physiques </t>
        </is>
      </c>
      <c r="N79" s="677" t="n"/>
      <c r="O79" s="678" t="n"/>
      <c r="P79" s="678" t="n"/>
      <c r="Q79" s="672" t="inlineStr">
        <is>
          <t>RECONDUCTION</t>
        </is>
      </c>
      <c r="R79" s="679" t="n"/>
      <c r="S79" s="680" t="n"/>
      <c r="T79" s="681" t="inlineStr">
        <is>
          <t>KHALID KHIYAITA</t>
        </is>
      </c>
      <c r="U79" s="672" t="n">
        <v>2026</v>
      </c>
      <c r="V79" s="680" t="n">
        <v>46387</v>
      </c>
      <c r="W79" s="680" t="n"/>
      <c r="X79" s="680" t="n">
        <v>46024</v>
      </c>
      <c r="Y79" s="677" t="n">
        <v>102857.16</v>
      </c>
      <c r="Z79" s="678" t="n">
        <v>0</v>
      </c>
      <c r="AA79" s="678">
        <f>Y79</f>
        <v/>
      </c>
      <c r="AB79" s="678" t="n">
        <v>0</v>
      </c>
      <c r="AC79" s="678">
        <f>Y79</f>
        <v/>
      </c>
      <c r="AD79" s="678">
        <f>Y79</f>
        <v/>
      </c>
      <c r="AE79" s="682" t="inlineStr">
        <is>
          <t>ENGAGE</t>
        </is>
      </c>
      <c r="AF79" s="681" t="n"/>
      <c r="AG79" s="678" t="n"/>
      <c r="AH79" s="678" t="n"/>
      <c r="AI79" s="678" t="n"/>
      <c r="AJ79" s="678" t="n"/>
      <c r="AK79" s="683" t="n"/>
      <c r="AL79" s="683" t="n"/>
      <c r="AM79" s="681" t="inlineStr">
        <is>
          <t>Manque n° contrat</t>
        </is>
      </c>
      <c r="AN79" s="684" t="n"/>
      <c r="AO79" s="685" t="n"/>
      <c r="AP79" s="686" t="n"/>
      <c r="AQ79" s="686" t="n"/>
      <c r="AR79" s="23" t="n"/>
      <c r="AS79" s="686" t="n"/>
    </row>
    <row r="80" ht="50.55" customHeight="1" s="392">
      <c r="A80" s="672" t="n">
        <v>2026</v>
      </c>
      <c r="B80" s="673" t="inlineStr">
        <is>
          <t>DPMG</t>
        </is>
      </c>
      <c r="C80" s="673" t="inlineStr">
        <is>
          <t>PV N° : 01RC2025- DPMG</t>
        </is>
      </c>
      <c r="D80" s="672" t="inlineStr">
        <is>
          <t>CONTRAT</t>
        </is>
      </c>
      <c r="E80" s="672" t="n"/>
      <c r="F80" s="674" t="inlineStr">
        <is>
          <t>SAMIR EDRIOUECH  -  Travaux de plomberie</t>
        </is>
      </c>
      <c r="G80" s="675" t="inlineStr">
        <is>
          <t>VALIDE</t>
        </is>
      </c>
      <c r="H80" s="672" t="inlineStr">
        <is>
          <t>APPROUVE</t>
        </is>
      </c>
      <c r="I80" s="672" t="n"/>
      <c r="J80" s="675" t="inlineStr">
        <is>
          <t>NON CONCERNE</t>
        </is>
      </c>
      <c r="K80" s="672" t="inlineStr">
        <is>
          <t>Ordinaire</t>
        </is>
      </c>
      <c r="L80" s="676" t="inlineStr">
        <is>
          <t>FONCTIONNEMENT</t>
        </is>
      </c>
      <c r="M80" s="676" t="inlineStr">
        <is>
          <t xml:space="preserve">Prestations de service
Achat prestations de services locales - personnes physiques </t>
        </is>
      </c>
      <c r="N80" s="677" t="n"/>
      <c r="O80" s="678" t="n"/>
      <c r="P80" s="678" t="n"/>
      <c r="Q80" s="672" t="inlineStr">
        <is>
          <t>RECONDUCTION</t>
        </is>
      </c>
      <c r="R80" s="679" t="n"/>
      <c r="S80" s="680" t="n"/>
      <c r="T80" s="681" t="inlineStr">
        <is>
          <t>SAMIR EDRIOUECH</t>
        </is>
      </c>
      <c r="U80" s="672" t="n">
        <v>2026</v>
      </c>
      <c r="V80" s="680" t="n">
        <v>46387</v>
      </c>
      <c r="W80" s="680" t="n"/>
      <c r="X80" s="680" t="n">
        <v>46024</v>
      </c>
      <c r="Y80" s="677" t="n">
        <v>77142.84</v>
      </c>
      <c r="Z80" s="678" t="n">
        <v>0</v>
      </c>
      <c r="AA80" s="678">
        <f>Y80</f>
        <v/>
      </c>
      <c r="AB80" s="678" t="n">
        <v>0</v>
      </c>
      <c r="AC80" s="678">
        <f>Y80</f>
        <v/>
      </c>
      <c r="AD80" s="678">
        <f>Y80</f>
        <v/>
      </c>
      <c r="AE80" s="682" t="inlineStr">
        <is>
          <t>ENGAGE</t>
        </is>
      </c>
      <c r="AF80" s="681" t="n"/>
      <c r="AG80" s="678" t="n"/>
      <c r="AH80" s="678" t="n"/>
      <c r="AI80" s="678" t="n"/>
      <c r="AJ80" s="678" t="n"/>
      <c r="AK80" s="683" t="n"/>
      <c r="AL80" s="683" t="n"/>
      <c r="AM80" s="681" t="inlineStr">
        <is>
          <t>Manque n° contrat</t>
        </is>
      </c>
      <c r="AN80" s="684" t="n"/>
      <c r="AO80" s="685" t="n"/>
      <c r="AP80" s="686" t="n"/>
      <c r="AQ80" s="686" t="n"/>
      <c r="AR80" s="23" t="n"/>
      <c r="AS80" s="686" t="n"/>
    </row>
    <row r="81" ht="50.55" customHeight="1" s="392">
      <c r="A81" s="672" t="n">
        <v>2026</v>
      </c>
      <c r="B81" s="673" t="inlineStr">
        <is>
          <t>DPMG</t>
        </is>
      </c>
      <c r="C81" s="673" t="inlineStr">
        <is>
          <t>PV N° : 01RC2025- DPMG</t>
        </is>
      </c>
      <c r="D81" s="672" t="inlineStr">
        <is>
          <t>CONTRAT</t>
        </is>
      </c>
      <c r="E81" s="672" t="n"/>
      <c r="F81" s="674" t="inlineStr">
        <is>
          <t>MOHAMED CHERTI  -  Métreur en BTP</t>
        </is>
      </c>
      <c r="G81" s="675" t="inlineStr">
        <is>
          <t>VALIDE</t>
        </is>
      </c>
      <c r="H81" s="672" t="inlineStr">
        <is>
          <t>APPROUVE</t>
        </is>
      </c>
      <c r="I81" s="672" t="n"/>
      <c r="J81" s="675" t="inlineStr">
        <is>
          <t>NON CONCERNE</t>
        </is>
      </c>
      <c r="K81" s="672" t="inlineStr">
        <is>
          <t>Ordinaire</t>
        </is>
      </c>
      <c r="L81" s="676" t="inlineStr">
        <is>
          <t>FONCTIONNEMENT</t>
        </is>
      </c>
      <c r="M81" s="676" t="inlineStr">
        <is>
          <t xml:space="preserve">Prestations de service
Achat prestations de services locales - personnes physiques </t>
        </is>
      </c>
      <c r="N81" s="677" t="n"/>
      <c r="O81" s="678" t="n"/>
      <c r="P81" s="678" t="n"/>
      <c r="Q81" s="672" t="inlineStr">
        <is>
          <t>RECONDUCTION</t>
        </is>
      </c>
      <c r="R81" s="679" t="n"/>
      <c r="S81" s="680" t="n"/>
      <c r="T81" s="681" t="inlineStr">
        <is>
          <t>MOHAMED CHERTI</t>
        </is>
      </c>
      <c r="U81" s="672" t="n">
        <v>2026</v>
      </c>
      <c r="V81" s="680" t="n">
        <v>46387</v>
      </c>
      <c r="W81" s="680" t="n"/>
      <c r="X81" s="680" t="n">
        <v>46024</v>
      </c>
      <c r="Y81" s="677" t="n">
        <v>28000</v>
      </c>
      <c r="Z81" s="678" t="n">
        <v>0</v>
      </c>
      <c r="AA81" s="678">
        <f>Y81</f>
        <v/>
      </c>
      <c r="AB81" s="678" t="n">
        <v>0</v>
      </c>
      <c r="AC81" s="678">
        <f>Y81</f>
        <v/>
      </c>
      <c r="AD81" s="678">
        <f>Y81</f>
        <v/>
      </c>
      <c r="AE81" s="682" t="inlineStr">
        <is>
          <t>ENGAGE</t>
        </is>
      </c>
      <c r="AF81" s="681" t="n"/>
      <c r="AG81" s="678" t="n"/>
      <c r="AH81" s="678" t="n"/>
      <c r="AI81" s="678" t="n"/>
      <c r="AJ81" s="678" t="n"/>
      <c r="AK81" s="683" t="n"/>
      <c r="AL81" s="683" t="n"/>
      <c r="AM81" s="681" t="inlineStr">
        <is>
          <t>Manque n° contrat</t>
        </is>
      </c>
      <c r="AN81" s="684" t="n"/>
      <c r="AO81" s="685" t="n"/>
      <c r="AP81" s="686" t="n"/>
      <c r="AQ81" s="686" t="n"/>
      <c r="AR81" s="23" t="n"/>
      <c r="AS81" s="686" t="n"/>
    </row>
    <row r="82" ht="35.7" customHeight="1" s="392">
      <c r="A82" s="672" t="n">
        <v>2026</v>
      </c>
      <c r="B82" s="673" t="inlineStr">
        <is>
          <t>DINFORADIO</t>
        </is>
      </c>
      <c r="C82" s="673" t="inlineStr">
        <is>
          <t>RECONDUCTIBLE</t>
        </is>
      </c>
      <c r="D82" s="672" t="inlineStr">
        <is>
          <t>CONTRAT</t>
        </is>
      </c>
      <c r="E82" s="672" t="n"/>
      <c r="F82" s="674" t="inlineStr">
        <is>
          <t>Abonnement MAP</t>
        </is>
      </c>
      <c r="G82" s="675" t="inlineStr">
        <is>
          <t>VALIDE</t>
        </is>
      </c>
      <c r="H82" s="672" t="inlineStr">
        <is>
          <t>APPROUVE</t>
        </is>
      </c>
      <c r="I82" s="672" t="n"/>
      <c r="J82" s="675" t="inlineStr">
        <is>
          <t>NON CONCERNE</t>
        </is>
      </c>
      <c r="K82" s="672" t="inlineStr">
        <is>
          <t>Ordinaire</t>
        </is>
      </c>
      <c r="L82" s="676" t="inlineStr">
        <is>
          <t>FONCTIONNEMENT</t>
        </is>
      </c>
      <c r="M82" s="676" t="inlineStr">
        <is>
          <t>Redevances et cotisations
Abonnements</t>
        </is>
      </c>
      <c r="N82" s="677" t="n"/>
      <c r="O82" s="678" t="n"/>
      <c r="P82" s="678" t="n"/>
      <c r="Q82" s="672" t="inlineStr">
        <is>
          <t>RECONDUCTIBLE</t>
        </is>
      </c>
      <c r="R82" s="679" t="n"/>
      <c r="S82" s="680" t="n"/>
      <c r="T82" s="681" t="inlineStr">
        <is>
          <t>MAP</t>
        </is>
      </c>
      <c r="U82" s="672" t="inlineStr">
        <is>
          <t>-</t>
        </is>
      </c>
      <c r="V82" s="680" t="inlineStr">
        <is>
          <t>-</t>
        </is>
      </c>
      <c r="W82" s="680" t="n"/>
      <c r="X82" s="680" t="inlineStr">
        <is>
          <t>-</t>
        </is>
      </c>
      <c r="Y82" s="677" t="n">
        <v>1837404</v>
      </c>
      <c r="Z82" s="678" t="n">
        <v>0</v>
      </c>
      <c r="AA82" s="678" t="n">
        <v>1837404</v>
      </c>
      <c r="AB82" s="678" t="n">
        <v>0</v>
      </c>
      <c r="AC82" s="678" t="n">
        <v>1837404</v>
      </c>
      <c r="AD82" s="678" t="n">
        <v>1837404</v>
      </c>
      <c r="AE82" s="682" t="inlineStr">
        <is>
          <t>ENGAGE</t>
        </is>
      </c>
      <c r="AF82" s="681" t="n"/>
      <c r="AG82" s="678" t="n"/>
      <c r="AH82" s="678" t="n"/>
      <c r="AI82" s="678" t="n"/>
      <c r="AJ82" s="678" t="n"/>
      <c r="AK82" s="683" t="n"/>
      <c r="AL82" s="683" t="n"/>
      <c r="AM82" s="681" t="n"/>
      <c r="AN82" s="684" t="n"/>
      <c r="AO82" s="685" t="n"/>
      <c r="AP82" s="686" t="n"/>
      <c r="AQ82" s="686" t="n"/>
      <c r="AR82" s="23" t="n"/>
      <c r="AS82" s="686" t="n"/>
    </row>
    <row r="83" ht="54.6" customHeight="1" s="392">
      <c r="A83" s="672" t="n">
        <v>2026</v>
      </c>
      <c r="B83" s="673" t="inlineStr">
        <is>
          <t>DINFORADIO</t>
        </is>
      </c>
      <c r="C83" s="673" t="inlineStr">
        <is>
          <t>PV N° : 01RC2025- DIR</t>
        </is>
      </c>
      <c r="D83" s="672" t="inlineStr">
        <is>
          <t>CONTRAT</t>
        </is>
      </c>
      <c r="E83" s="672" t="n"/>
      <c r="F83" s="674" t="inlineStr">
        <is>
          <t>YOUSSEF LAHLALI  -  Journaliste correspondant chargé de la préparation des magazines d'information et reportages RD et la couverture des événements internationaux</t>
        </is>
      </c>
      <c r="G83" s="675" t="inlineStr">
        <is>
          <t>VALIDE</t>
        </is>
      </c>
      <c r="H83" s="672" t="inlineStr">
        <is>
          <t>APPROUVE</t>
        </is>
      </c>
      <c r="I83" s="672" t="n"/>
      <c r="J83" s="675" t="inlineStr">
        <is>
          <t>NON CONCERNE</t>
        </is>
      </c>
      <c r="K83" s="672" t="inlineStr">
        <is>
          <t>Ordinaire</t>
        </is>
      </c>
      <c r="L83" s="676" t="inlineStr">
        <is>
          <t>FONCTIONNEMENT</t>
        </is>
      </c>
      <c r="M83" s="676" t="inlineStr">
        <is>
          <t xml:space="preserve">Prestations de service
Achat prestations de services locales - personnes physiques </t>
        </is>
      </c>
      <c r="N83" s="677" t="n"/>
      <c r="O83" s="678" t="n"/>
      <c r="P83" s="678" t="n"/>
      <c r="Q83" s="672" t="inlineStr">
        <is>
          <t>RECONDUCTION</t>
        </is>
      </c>
      <c r="R83" s="679" t="n"/>
      <c r="S83" s="680" t="n"/>
      <c r="T83" s="681" t="inlineStr">
        <is>
          <t>YOUSSEF LAHLALI</t>
        </is>
      </c>
      <c r="U83" s="672" t="n">
        <v>2026</v>
      </c>
      <c r="V83" s="680" t="n">
        <v>46387</v>
      </c>
      <c r="W83" s="680" t="n"/>
      <c r="X83" s="680" t="n">
        <v>46024</v>
      </c>
      <c r="Y83" s="677" t="n">
        <v>171428.52</v>
      </c>
      <c r="Z83" s="678" t="n">
        <v>0</v>
      </c>
      <c r="AA83" s="678">
        <f>Y83</f>
        <v/>
      </c>
      <c r="AB83" s="678" t="n">
        <v>0</v>
      </c>
      <c r="AC83" s="678">
        <f>Y83</f>
        <v/>
      </c>
      <c r="AD83" s="678">
        <f>Y83</f>
        <v/>
      </c>
      <c r="AE83" s="682" t="inlineStr">
        <is>
          <t>ENGAGE</t>
        </is>
      </c>
      <c r="AF83" s="681" t="n"/>
      <c r="AG83" s="678" t="n"/>
      <c r="AH83" s="678" t="n"/>
      <c r="AI83" s="678" t="n"/>
      <c r="AJ83" s="678" t="n"/>
      <c r="AK83" s="683" t="n"/>
      <c r="AL83" s="683" t="n"/>
      <c r="AM83" s="681" t="inlineStr">
        <is>
          <t>Manque n° contrat</t>
        </is>
      </c>
      <c r="AN83" s="684" t="n"/>
      <c r="AO83" s="685" t="n"/>
      <c r="AP83" s="686" t="n"/>
      <c r="AQ83" s="686" t="n"/>
      <c r="AR83" s="23" t="n"/>
      <c r="AS83" s="686" t="n"/>
    </row>
    <row r="84" ht="50.55" customHeight="1" s="392">
      <c r="A84" s="672" t="n">
        <v>2026</v>
      </c>
      <c r="B84" s="673" t="inlineStr">
        <is>
          <t>DINFORADIO</t>
        </is>
      </c>
      <c r="C84" s="673" t="inlineStr">
        <is>
          <t>PV N° : 01RC2025- DIR</t>
        </is>
      </c>
      <c r="D84" s="672" t="inlineStr">
        <is>
          <t>CONTRAT</t>
        </is>
      </c>
      <c r="E84" s="672" t="n"/>
      <c r="F84" s="674" t="inlineStr">
        <is>
          <t>SAFI RIM  -  Journaliste, présentateur radio francophone/ anglophone</t>
        </is>
      </c>
      <c r="G84" s="675" t="inlineStr">
        <is>
          <t>VALIDE</t>
        </is>
      </c>
      <c r="H84" s="672" t="inlineStr">
        <is>
          <t>APPROUVE</t>
        </is>
      </c>
      <c r="I84" s="672" t="n"/>
      <c r="J84" s="675" t="inlineStr">
        <is>
          <t>NON CONCERNE</t>
        </is>
      </c>
      <c r="K84" s="672" t="inlineStr">
        <is>
          <t>Ordinaire</t>
        </is>
      </c>
      <c r="L84" s="676" t="inlineStr">
        <is>
          <t>FONCTIONNEMENT</t>
        </is>
      </c>
      <c r="M84" s="676" t="inlineStr">
        <is>
          <t xml:space="preserve">Prestations de service
Achat prestations de services locales - personnes physiques </t>
        </is>
      </c>
      <c r="N84" s="677" t="n"/>
      <c r="O84" s="678" t="n"/>
      <c r="P84" s="678" t="n"/>
      <c r="Q84" s="672" t="inlineStr">
        <is>
          <t>RECONDUCTION</t>
        </is>
      </c>
      <c r="R84" s="679" t="n"/>
      <c r="S84" s="680" t="n"/>
      <c r="T84" s="681" t="inlineStr">
        <is>
          <t>SAFI RIM</t>
        </is>
      </c>
      <c r="U84" s="672" t="n">
        <v>2026</v>
      </c>
      <c r="V84" s="680" t="n">
        <v>46387</v>
      </c>
      <c r="W84" s="680" t="n"/>
      <c r="X84" s="680" t="n">
        <v>46024</v>
      </c>
      <c r="Y84" s="677" t="n">
        <v>132000</v>
      </c>
      <c r="Z84" s="678" t="n">
        <v>0</v>
      </c>
      <c r="AA84" s="678">
        <f>Y84</f>
        <v/>
      </c>
      <c r="AB84" s="678" t="n">
        <v>0</v>
      </c>
      <c r="AC84" s="678">
        <f>Y84</f>
        <v/>
      </c>
      <c r="AD84" s="678">
        <f>Y84</f>
        <v/>
      </c>
      <c r="AE84" s="682" t="inlineStr">
        <is>
          <t>ENGAGE</t>
        </is>
      </c>
      <c r="AF84" s="681" t="n"/>
      <c r="AG84" s="678" t="n"/>
      <c r="AH84" s="678" t="n"/>
      <c r="AI84" s="678" t="n"/>
      <c r="AJ84" s="678" t="n"/>
      <c r="AK84" s="683" t="n"/>
      <c r="AL84" s="683" t="n"/>
      <c r="AM84" s="681" t="inlineStr">
        <is>
          <t>Manque n° contrat</t>
        </is>
      </c>
      <c r="AN84" s="684" t="n"/>
      <c r="AO84" s="685" t="n"/>
      <c r="AP84" s="686" t="n"/>
      <c r="AQ84" s="686" t="n"/>
      <c r="AR84" s="23" t="n"/>
      <c r="AS84" s="686" t="n"/>
    </row>
    <row r="85" ht="50.55" customHeight="1" s="392">
      <c r="A85" s="672" t="n">
        <v>2026</v>
      </c>
      <c r="B85" s="673" t="inlineStr">
        <is>
          <t>DINFORADIO</t>
        </is>
      </c>
      <c r="C85" s="673" t="inlineStr">
        <is>
          <t>PV N° : 01RC2025- DIR</t>
        </is>
      </c>
      <c r="D85" s="672" t="inlineStr">
        <is>
          <t>CONTRAT</t>
        </is>
      </c>
      <c r="E85" s="672" t="n"/>
      <c r="F85" s="674" t="inlineStr">
        <is>
          <t>BENCAID KENZA  -  Journaliste et présentateur radio francophone</t>
        </is>
      </c>
      <c r="G85" s="675" t="inlineStr">
        <is>
          <t>VALIDE</t>
        </is>
      </c>
      <c r="H85" s="672" t="inlineStr">
        <is>
          <t>APPROUVE</t>
        </is>
      </c>
      <c r="I85" s="672" t="n"/>
      <c r="J85" s="675" t="inlineStr">
        <is>
          <t>NON CONCERNE</t>
        </is>
      </c>
      <c r="K85" s="672" t="inlineStr">
        <is>
          <t>Ordinaire</t>
        </is>
      </c>
      <c r="L85" s="676" t="inlineStr">
        <is>
          <t>FONCTIONNEMENT</t>
        </is>
      </c>
      <c r="M85" s="676" t="inlineStr">
        <is>
          <t xml:space="preserve">Prestations de service
Achat prestations de services locales - personnes physiques </t>
        </is>
      </c>
      <c r="N85" s="677" t="n"/>
      <c r="O85" s="678" t="n"/>
      <c r="P85" s="678" t="n"/>
      <c r="Q85" s="672" t="inlineStr">
        <is>
          <t>RECONDUCTION</t>
        </is>
      </c>
      <c r="R85" s="679" t="n"/>
      <c r="S85" s="680" t="n"/>
      <c r="T85" s="681" t="inlineStr">
        <is>
          <t>BENCAID KENZA</t>
        </is>
      </c>
      <c r="U85" s="672" t="n">
        <v>2026</v>
      </c>
      <c r="V85" s="680" t="n">
        <v>46387</v>
      </c>
      <c r="W85" s="680" t="n"/>
      <c r="X85" s="680" t="n">
        <v>46024</v>
      </c>
      <c r="Y85" s="677" t="n">
        <v>156000</v>
      </c>
      <c r="Z85" s="678" t="n">
        <v>0</v>
      </c>
      <c r="AA85" s="678">
        <f>Y85</f>
        <v/>
      </c>
      <c r="AB85" s="678" t="n">
        <v>0</v>
      </c>
      <c r="AC85" s="678">
        <f>Y85</f>
        <v/>
      </c>
      <c r="AD85" s="678">
        <f>Y85</f>
        <v/>
      </c>
      <c r="AE85" s="682" t="inlineStr">
        <is>
          <t>ENGAGE</t>
        </is>
      </c>
      <c r="AF85" s="681" t="n"/>
      <c r="AG85" s="678" t="n"/>
      <c r="AH85" s="678" t="n"/>
      <c r="AI85" s="678" t="n"/>
      <c r="AJ85" s="678" t="n"/>
      <c r="AK85" s="683" t="n"/>
      <c r="AL85" s="683" t="n"/>
      <c r="AM85" s="681" t="inlineStr">
        <is>
          <t>Manque n° contrat</t>
        </is>
      </c>
      <c r="AN85" s="684" t="n"/>
      <c r="AO85" s="685" t="n"/>
      <c r="AP85" s="686" t="n"/>
      <c r="AQ85" s="686" t="n"/>
      <c r="AR85" s="23" t="n"/>
      <c r="AS85" s="686" t="n"/>
    </row>
    <row r="86" ht="50.55" customHeight="1" s="392">
      <c r="A86" s="672" t="n">
        <v>2026</v>
      </c>
      <c r="B86" s="673" t="inlineStr">
        <is>
          <t>DINFORADIO</t>
        </is>
      </c>
      <c r="C86" s="673" t="inlineStr">
        <is>
          <t>PV N° : 01RC2025- DIR</t>
        </is>
      </c>
      <c r="D86" s="672" t="inlineStr">
        <is>
          <t>CONTRAT</t>
        </is>
      </c>
      <c r="E86" s="672" t="n"/>
      <c r="F86" s="674" t="inlineStr">
        <is>
          <t>AHMED CHAINA  -  Journaliste, Présentateur radio amazigh/animateur de débats (expression tachelhit)</t>
        </is>
      </c>
      <c r="G86" s="675" t="inlineStr">
        <is>
          <t>VALIDE</t>
        </is>
      </c>
      <c r="H86" s="672" t="inlineStr">
        <is>
          <t>APPROUVE</t>
        </is>
      </c>
      <c r="I86" s="672" t="n"/>
      <c r="J86" s="675" t="inlineStr">
        <is>
          <t>NON CONCERNE</t>
        </is>
      </c>
      <c r="K86" s="672" t="inlineStr">
        <is>
          <t>Ordinaire</t>
        </is>
      </c>
      <c r="L86" s="676" t="inlineStr">
        <is>
          <t>FONCTIONNEMENT</t>
        </is>
      </c>
      <c r="M86" s="676" t="inlineStr">
        <is>
          <t xml:space="preserve">Prestations de service
Achat prestations de services locales - personnes physiques </t>
        </is>
      </c>
      <c r="N86" s="677" t="n"/>
      <c r="O86" s="678" t="n"/>
      <c r="P86" s="678" t="n"/>
      <c r="Q86" s="672" t="inlineStr">
        <is>
          <t>RECONDUCTION</t>
        </is>
      </c>
      <c r="R86" s="679" t="n"/>
      <c r="S86" s="680" t="n"/>
      <c r="T86" s="681" t="inlineStr">
        <is>
          <t>AHMED CHAINA</t>
        </is>
      </c>
      <c r="U86" s="672" t="n">
        <v>2026</v>
      </c>
      <c r="V86" s="680" t="n">
        <v>46387</v>
      </c>
      <c r="W86" s="680" t="n"/>
      <c r="X86" s="680" t="n">
        <v>46024</v>
      </c>
      <c r="Y86" s="677" t="n">
        <v>132000</v>
      </c>
      <c r="Z86" s="678" t="n">
        <v>0</v>
      </c>
      <c r="AA86" s="678" t="n">
        <v>132000</v>
      </c>
      <c r="AB86" s="678" t="n">
        <v>0</v>
      </c>
      <c r="AC86" s="678">
        <f>Y86</f>
        <v/>
      </c>
      <c r="AD86" s="678">
        <f>Y86</f>
        <v/>
      </c>
      <c r="AE86" s="682" t="inlineStr">
        <is>
          <t>ENGAGE</t>
        </is>
      </c>
      <c r="AF86" s="681" t="n"/>
      <c r="AG86" s="678" t="n"/>
      <c r="AH86" s="678" t="n"/>
      <c r="AI86" s="678" t="n"/>
      <c r="AJ86" s="678" t="n"/>
      <c r="AK86" s="683" t="n"/>
      <c r="AL86" s="683" t="n"/>
      <c r="AM86" s="681" t="inlineStr">
        <is>
          <t>Manque n° contrat</t>
        </is>
      </c>
      <c r="AN86" s="684" t="n"/>
      <c r="AO86" s="685" t="n"/>
      <c r="AP86" s="686" t="n"/>
      <c r="AQ86" s="686" t="n"/>
      <c r="AR86" s="23" t="n"/>
      <c r="AS86" s="686" t="n"/>
    </row>
    <row r="87" ht="50.55" customHeight="1" s="392">
      <c r="A87" s="672" t="n">
        <v>2026</v>
      </c>
      <c r="B87" s="673" t="inlineStr">
        <is>
          <t>DINFORADIO</t>
        </is>
      </c>
      <c r="C87" s="673" t="inlineStr">
        <is>
          <t>PV N° : 01RC2025- DIR</t>
        </is>
      </c>
      <c r="D87" s="672" t="inlineStr">
        <is>
          <t>CONTRAT</t>
        </is>
      </c>
      <c r="E87" s="672" t="n"/>
      <c r="F87" s="674" t="inlineStr">
        <is>
          <t>BADDOU KHALID  -  Journaliste, Présentateur radio amazigh/animateur de débats (expression tachelhit)</t>
        </is>
      </c>
      <c r="G87" s="675" t="inlineStr">
        <is>
          <t>VALIDE</t>
        </is>
      </c>
      <c r="H87" s="672" t="inlineStr">
        <is>
          <t>APPROUVE</t>
        </is>
      </c>
      <c r="I87" s="672" t="n"/>
      <c r="J87" s="675" t="inlineStr">
        <is>
          <t>NON CONCERNE</t>
        </is>
      </c>
      <c r="K87" s="672" t="inlineStr">
        <is>
          <t>Ordinaire</t>
        </is>
      </c>
      <c r="L87" s="676" t="inlineStr">
        <is>
          <t>FONCTIONNEMENT</t>
        </is>
      </c>
      <c r="M87" s="676" t="inlineStr">
        <is>
          <t xml:space="preserve">Prestations de service
Achat prestations de services locales - personnes physiques </t>
        </is>
      </c>
      <c r="N87" s="677" t="n"/>
      <c r="O87" s="678" t="n"/>
      <c r="P87" s="678" t="n"/>
      <c r="Q87" s="672" t="inlineStr">
        <is>
          <t>RECONDUCTION</t>
        </is>
      </c>
      <c r="R87" s="679" t="n"/>
      <c r="S87" s="680" t="n"/>
      <c r="T87" s="681" t="inlineStr">
        <is>
          <t>BADDOU KHALID</t>
        </is>
      </c>
      <c r="U87" s="672" t="n">
        <v>2026</v>
      </c>
      <c r="V87" s="680" t="n">
        <v>46387</v>
      </c>
      <c r="W87" s="680" t="n"/>
      <c r="X87" s="680" t="n">
        <v>46024</v>
      </c>
      <c r="Y87" s="677" t="n">
        <v>132000</v>
      </c>
      <c r="Z87" s="678" t="n">
        <v>0</v>
      </c>
      <c r="AA87" s="678" t="n">
        <v>132000</v>
      </c>
      <c r="AB87" s="678" t="n">
        <v>0</v>
      </c>
      <c r="AC87" s="678">
        <f>Y87</f>
        <v/>
      </c>
      <c r="AD87" s="678">
        <f>Y87</f>
        <v/>
      </c>
      <c r="AE87" s="682" t="inlineStr">
        <is>
          <t>ENGAGE</t>
        </is>
      </c>
      <c r="AF87" s="681" t="n"/>
      <c r="AG87" s="678" t="n"/>
      <c r="AH87" s="678" t="n"/>
      <c r="AI87" s="678" t="n"/>
      <c r="AJ87" s="678" t="n"/>
      <c r="AK87" s="683" t="n"/>
      <c r="AL87" s="683" t="n"/>
      <c r="AM87" s="681" t="inlineStr">
        <is>
          <t>Manque n° contrat</t>
        </is>
      </c>
      <c r="AN87" s="684" t="n"/>
      <c r="AO87" s="685" t="n"/>
      <c r="AP87" s="686" t="n"/>
      <c r="AQ87" s="686" t="n"/>
      <c r="AR87" s="23" t="n"/>
      <c r="AS87" s="686" t="n"/>
    </row>
    <row r="88" ht="54.6" customHeight="1" s="392">
      <c r="A88" s="672" t="n">
        <v>2026</v>
      </c>
      <c r="B88" s="673" t="inlineStr">
        <is>
          <t>DINFOTV</t>
        </is>
      </c>
      <c r="C88" s="673" t="inlineStr">
        <is>
          <t>PV N° : 01RC2025- DITV</t>
        </is>
      </c>
      <c r="D88" s="672" t="inlineStr">
        <is>
          <t>CONTRAT</t>
        </is>
      </c>
      <c r="E88" s="672" t="n"/>
      <c r="F88" s="674" t="inlineStr">
        <is>
          <t>EZZAHER ANASS  -  Scripte des journaux télévisés et toutes les émissions produites par la direction de l'information TV</t>
        </is>
      </c>
      <c r="G88" s="675" t="inlineStr">
        <is>
          <t>VALIDE</t>
        </is>
      </c>
      <c r="H88" s="672" t="inlineStr">
        <is>
          <t>APPROUVE</t>
        </is>
      </c>
      <c r="I88" s="672" t="n"/>
      <c r="J88" s="675" t="inlineStr">
        <is>
          <t>NON CONCERNE</t>
        </is>
      </c>
      <c r="K88" s="672" t="inlineStr">
        <is>
          <t>Ordinaire</t>
        </is>
      </c>
      <c r="L88" s="676" t="inlineStr">
        <is>
          <t>FONCTIONNEMENT</t>
        </is>
      </c>
      <c r="M88" s="676" t="inlineStr">
        <is>
          <t>Prestations de service
Achat prestations de services locales - personnes physiques</t>
        </is>
      </c>
      <c r="N88" s="677" t="n"/>
      <c r="O88" s="678" t="n"/>
      <c r="P88" s="678" t="n"/>
      <c r="Q88" s="672" t="inlineStr">
        <is>
          <t>RECONDUCTION</t>
        </is>
      </c>
      <c r="R88" s="679" t="n"/>
      <c r="S88" s="680" t="n"/>
      <c r="T88" s="681" t="inlineStr">
        <is>
          <t>EZZAHER ANASS</t>
        </is>
      </c>
      <c r="U88" s="672" t="n">
        <v>2026</v>
      </c>
      <c r="V88" s="680" t="n">
        <v>46387</v>
      </c>
      <c r="W88" s="680" t="n"/>
      <c r="X88" s="680" t="n">
        <v>46024</v>
      </c>
      <c r="Y88" s="677" t="n">
        <v>96000</v>
      </c>
      <c r="Z88" s="678" t="n">
        <v>0</v>
      </c>
      <c r="AA88" s="678">
        <f>Y88</f>
        <v/>
      </c>
      <c r="AB88" s="678" t="n">
        <v>0</v>
      </c>
      <c r="AC88" s="678">
        <f>Y88</f>
        <v/>
      </c>
      <c r="AD88" s="678">
        <f>Y88</f>
        <v/>
      </c>
      <c r="AE88" s="682" t="inlineStr">
        <is>
          <t>ENGAGE</t>
        </is>
      </c>
      <c r="AF88" s="681" t="n"/>
      <c r="AG88" s="678" t="n"/>
      <c r="AH88" s="678" t="n"/>
      <c r="AI88" s="678" t="n"/>
      <c r="AJ88" s="678" t="n"/>
      <c r="AK88" s="683" t="n"/>
      <c r="AL88" s="683" t="n"/>
      <c r="AM88" s="681" t="inlineStr">
        <is>
          <t>Manque n° contrat</t>
        </is>
      </c>
      <c r="AN88" s="684" t="n"/>
      <c r="AO88" s="685" t="n"/>
      <c r="AP88" s="686" t="n"/>
      <c r="AQ88" s="686" t="n"/>
      <c r="AR88" s="23" t="n"/>
      <c r="AS88" s="686" t="n"/>
    </row>
    <row r="89" ht="54.6" customHeight="1" s="392">
      <c r="A89" s="672" t="n">
        <v>2026</v>
      </c>
      <c r="B89" s="673" t="inlineStr">
        <is>
          <t>DINFOTV</t>
        </is>
      </c>
      <c r="C89" s="673" t="inlineStr">
        <is>
          <t>PV N° : 01RC2025- DITV</t>
        </is>
      </c>
      <c r="D89" s="672" t="inlineStr">
        <is>
          <t>CONTRAT</t>
        </is>
      </c>
      <c r="E89" s="672" t="n"/>
      <c r="F89" s="674" t="inlineStr">
        <is>
          <t>AOUAD MARIA  -  Journaliste chargée de la préparation et la réalisation des reportages news en français au journal télévisé de la chaine AL Aoula</t>
        </is>
      </c>
      <c r="G89" s="675" t="inlineStr">
        <is>
          <t>VALIDE</t>
        </is>
      </c>
      <c r="H89" s="672" t="inlineStr">
        <is>
          <t>APPROUVE</t>
        </is>
      </c>
      <c r="I89" s="672" t="n"/>
      <c r="J89" s="675" t="inlineStr">
        <is>
          <t>NON CONCERNE</t>
        </is>
      </c>
      <c r="K89" s="672" t="inlineStr">
        <is>
          <t>Ordinaire</t>
        </is>
      </c>
      <c r="L89" s="676" t="inlineStr">
        <is>
          <t>FONCTIONNEMENT</t>
        </is>
      </c>
      <c r="M89" s="676" t="inlineStr">
        <is>
          <t>Prestations de service
Achat prestations de services locales - personnes physiques</t>
        </is>
      </c>
      <c r="N89" s="677" t="n"/>
      <c r="O89" s="678" t="n"/>
      <c r="P89" s="678" t="n"/>
      <c r="Q89" s="672" t="inlineStr">
        <is>
          <t>RECONDUCTION</t>
        </is>
      </c>
      <c r="R89" s="679" t="n"/>
      <c r="S89" s="680" t="n"/>
      <c r="T89" s="681" t="inlineStr">
        <is>
          <t>AOUAD MARIA</t>
        </is>
      </c>
      <c r="U89" s="672" t="n">
        <v>2026</v>
      </c>
      <c r="V89" s="680" t="n">
        <v>46387</v>
      </c>
      <c r="W89" s="680" t="n"/>
      <c r="X89" s="680" t="n">
        <v>46024</v>
      </c>
      <c r="Y89" s="677" t="n">
        <v>144000</v>
      </c>
      <c r="Z89" s="678" t="n">
        <v>0</v>
      </c>
      <c r="AA89" s="678">
        <f>Y89</f>
        <v/>
      </c>
      <c r="AB89" s="678" t="n">
        <v>0</v>
      </c>
      <c r="AC89" s="678">
        <f>Y89</f>
        <v/>
      </c>
      <c r="AD89" s="678">
        <f>Y89</f>
        <v/>
      </c>
      <c r="AE89" s="682" t="inlineStr">
        <is>
          <t>ENGAGE</t>
        </is>
      </c>
      <c r="AF89" s="681" t="n"/>
      <c r="AG89" s="678" t="n"/>
      <c r="AH89" s="678" t="n"/>
      <c r="AI89" s="678" t="n"/>
      <c r="AJ89" s="678" t="n"/>
      <c r="AK89" s="683" t="n"/>
      <c r="AL89" s="683" t="n"/>
      <c r="AM89" s="681" t="inlineStr">
        <is>
          <t>Manque n° contrat</t>
        </is>
      </c>
      <c r="AN89" s="684" t="n"/>
      <c r="AO89" s="685" t="n"/>
      <c r="AP89" s="686" t="n"/>
      <c r="AQ89" s="686" t="n"/>
      <c r="AR89" s="23" t="n"/>
      <c r="AS89" s="686" t="n"/>
    </row>
    <row r="90" ht="50.55" customHeight="1" s="392">
      <c r="A90" s="672" t="n">
        <v>2026</v>
      </c>
      <c r="B90" s="673" t="inlineStr">
        <is>
          <t>DINFOTV</t>
        </is>
      </c>
      <c r="C90" s="673" t="inlineStr">
        <is>
          <t>PV N° : 01RC2025- DITV</t>
        </is>
      </c>
      <c r="D90" s="672" t="inlineStr">
        <is>
          <t>CONTRAT</t>
        </is>
      </c>
      <c r="E90" s="672" t="n"/>
      <c r="F90" s="674" t="inlineStr">
        <is>
          <t>KETTANI MOHAMMED  -  Interprète en langue des signes</t>
        </is>
      </c>
      <c r="G90" s="675" t="inlineStr">
        <is>
          <t>VALIDE</t>
        </is>
      </c>
      <c r="H90" s="672" t="inlineStr">
        <is>
          <t>APPROUVE</t>
        </is>
      </c>
      <c r="I90" s="672" t="n"/>
      <c r="J90" s="675" t="inlineStr">
        <is>
          <t>NON CONCERNE</t>
        </is>
      </c>
      <c r="K90" s="672" t="inlineStr">
        <is>
          <t>Ordinaire</t>
        </is>
      </c>
      <c r="L90" s="676" t="inlineStr">
        <is>
          <t>FONCTIONNEMENT</t>
        </is>
      </c>
      <c r="M90" s="676" t="inlineStr">
        <is>
          <t>Prestations de service
Achat prestations de services locales - personnes physiques</t>
        </is>
      </c>
      <c r="N90" s="677" t="n"/>
      <c r="O90" s="678" t="n"/>
      <c r="P90" s="678" t="n"/>
      <c r="Q90" s="672" t="inlineStr">
        <is>
          <t>RECONDUCTION</t>
        </is>
      </c>
      <c r="R90" s="679" t="n"/>
      <c r="S90" s="680" t="n"/>
      <c r="T90" s="681" t="inlineStr">
        <is>
          <t>KETTANI MOHAMMED</t>
        </is>
      </c>
      <c r="U90" s="672" t="n">
        <v>2026</v>
      </c>
      <c r="V90" s="680" t="n">
        <v>46387</v>
      </c>
      <c r="W90" s="680" t="n"/>
      <c r="X90" s="680" t="n">
        <v>46024</v>
      </c>
      <c r="Y90" s="677" t="n">
        <v>154285.68</v>
      </c>
      <c r="Z90" s="678" t="n">
        <v>0</v>
      </c>
      <c r="AA90" s="678">
        <f>Y90</f>
        <v/>
      </c>
      <c r="AB90" s="678" t="n">
        <v>0</v>
      </c>
      <c r="AC90" s="678">
        <f>Y90</f>
        <v/>
      </c>
      <c r="AD90" s="678">
        <f>Y90</f>
        <v/>
      </c>
      <c r="AE90" s="682" t="inlineStr">
        <is>
          <t>ENGAGE</t>
        </is>
      </c>
      <c r="AF90" s="681" t="n"/>
      <c r="AG90" s="678" t="n"/>
      <c r="AH90" s="678" t="n"/>
      <c r="AI90" s="678" t="n"/>
      <c r="AJ90" s="678" t="n"/>
      <c r="AK90" s="683" t="n"/>
      <c r="AL90" s="683" t="n"/>
      <c r="AM90" s="681" t="inlineStr">
        <is>
          <t>Manque n° contrat</t>
        </is>
      </c>
      <c r="AN90" s="684" t="n"/>
      <c r="AO90" s="685" t="n"/>
      <c r="AP90" s="686" t="n"/>
      <c r="AQ90" s="686" t="n"/>
      <c r="AR90" s="23" t="n"/>
      <c r="AS90" s="686" t="n"/>
    </row>
    <row r="91" ht="54.6" customHeight="1" s="392">
      <c r="A91" s="672" t="n">
        <v>2026</v>
      </c>
      <c r="B91" s="673" t="inlineStr">
        <is>
          <t>DINFOTV</t>
        </is>
      </c>
      <c r="C91" s="673" t="inlineStr">
        <is>
          <t>PV N° : 01RC2025- DITV</t>
        </is>
      </c>
      <c r="D91" s="672" t="inlineStr">
        <is>
          <t>CONTRAT</t>
        </is>
      </c>
      <c r="E91" s="672" t="n"/>
      <c r="F91" s="674" t="inlineStr">
        <is>
          <t>NOUINI NOURREDDINE  -  Coiffeur et maquilleur des animateurs et des invités participants au journal télévisé de la chaine Al Aoula</t>
        </is>
      </c>
      <c r="G91" s="675" t="inlineStr">
        <is>
          <t>VALIDE</t>
        </is>
      </c>
      <c r="H91" s="672" t="inlineStr">
        <is>
          <t>APPROUVE</t>
        </is>
      </c>
      <c r="I91" s="672" t="n"/>
      <c r="J91" s="675" t="inlineStr">
        <is>
          <t>NON CONCERNE</t>
        </is>
      </c>
      <c r="K91" s="672" t="inlineStr">
        <is>
          <t>Ordinaire</t>
        </is>
      </c>
      <c r="L91" s="676" t="inlineStr">
        <is>
          <t>FONCTIONNEMENT</t>
        </is>
      </c>
      <c r="M91" s="676" t="inlineStr">
        <is>
          <t>Prestations de service
Achat prestations de services locales - personnes physiques</t>
        </is>
      </c>
      <c r="N91" s="677" t="n"/>
      <c r="O91" s="678" t="n"/>
      <c r="P91" s="678" t="n"/>
      <c r="Q91" s="672" t="inlineStr">
        <is>
          <t>RECONDUCTION</t>
        </is>
      </c>
      <c r="R91" s="679" t="n"/>
      <c r="S91" s="680" t="n"/>
      <c r="T91" s="681" t="inlineStr">
        <is>
          <t>NOUINI NOURREDDINE</t>
        </is>
      </c>
      <c r="U91" s="672" t="n">
        <v>2026</v>
      </c>
      <c r="V91" s="680" t="n">
        <v>46387</v>
      </c>
      <c r="W91" s="680" t="n"/>
      <c r="X91" s="680" t="n">
        <v>46024</v>
      </c>
      <c r="Y91" s="677" t="n">
        <v>72000</v>
      </c>
      <c r="Z91" s="678" t="n">
        <v>0</v>
      </c>
      <c r="AA91" s="678">
        <f>Y91</f>
        <v/>
      </c>
      <c r="AB91" s="678" t="n">
        <v>0</v>
      </c>
      <c r="AC91" s="678">
        <f>Y91</f>
        <v/>
      </c>
      <c r="AD91" s="678">
        <f>Y91</f>
        <v/>
      </c>
      <c r="AE91" s="682" t="inlineStr">
        <is>
          <t>ENGAGE</t>
        </is>
      </c>
      <c r="AF91" s="681" t="n"/>
      <c r="AG91" s="678" t="n"/>
      <c r="AH91" s="678" t="n"/>
      <c r="AI91" s="678" t="n"/>
      <c r="AJ91" s="678" t="n"/>
      <c r="AK91" s="683" t="n"/>
      <c r="AL91" s="683" t="n"/>
      <c r="AM91" s="681" t="inlineStr">
        <is>
          <t>Manque n° contrat</t>
        </is>
      </c>
      <c r="AN91" s="684" t="n"/>
      <c r="AO91" s="685" t="n"/>
      <c r="AP91" s="686" t="n"/>
      <c r="AQ91" s="686" t="n"/>
      <c r="AR91" s="23" t="n"/>
      <c r="AS91" s="686" t="n"/>
    </row>
    <row r="92" ht="54.6" customHeight="1" s="392">
      <c r="A92" s="672" t="n">
        <v>2026</v>
      </c>
      <c r="B92" s="673" t="inlineStr">
        <is>
          <t>DINFOTV</t>
        </is>
      </c>
      <c r="C92" s="673" t="inlineStr">
        <is>
          <t>PV N° : 01RC2025- DITV</t>
        </is>
      </c>
      <c r="D92" s="672" t="inlineStr">
        <is>
          <t>CONTRAT</t>
        </is>
      </c>
      <c r="E92" s="672" t="n"/>
      <c r="F92" s="674" t="inlineStr">
        <is>
          <t>WIAM MOUDDOUN  -  Journaliste chargée de la préparation des magazines d'information, reportages, rédaction des JT et couverture du factuel</t>
        </is>
      </c>
      <c r="G92" s="675" t="inlineStr">
        <is>
          <t>VALIDE</t>
        </is>
      </c>
      <c r="H92" s="672" t="inlineStr">
        <is>
          <t>APPROUVE</t>
        </is>
      </c>
      <c r="I92" s="672" t="n"/>
      <c r="J92" s="675" t="inlineStr">
        <is>
          <t>NON CONCERNE</t>
        </is>
      </c>
      <c r="K92" s="672" t="inlineStr">
        <is>
          <t>Ordinaire</t>
        </is>
      </c>
      <c r="L92" s="676" t="inlineStr">
        <is>
          <t>FONCTIONNEMENT</t>
        </is>
      </c>
      <c r="M92" s="676" t="inlineStr">
        <is>
          <t>Prestations de service
Achat prestations de services locales - personnes physiques</t>
        </is>
      </c>
      <c r="N92" s="677" t="n"/>
      <c r="O92" s="678" t="n"/>
      <c r="P92" s="678" t="n"/>
      <c r="Q92" s="672" t="inlineStr">
        <is>
          <t>RECONDUCTION</t>
        </is>
      </c>
      <c r="R92" s="679" t="n"/>
      <c r="S92" s="680" t="n"/>
      <c r="T92" s="681" t="inlineStr">
        <is>
          <t>WIAM MOUDDOUN</t>
        </is>
      </c>
      <c r="U92" s="672" t="n">
        <v>2026</v>
      </c>
      <c r="V92" s="680" t="n">
        <v>46387</v>
      </c>
      <c r="W92" s="680" t="n"/>
      <c r="X92" s="680" t="n">
        <v>46024</v>
      </c>
      <c r="Y92" s="677" t="n">
        <v>120000</v>
      </c>
      <c r="Z92" s="678" t="n">
        <v>0</v>
      </c>
      <c r="AA92" s="678">
        <f>Y92</f>
        <v/>
      </c>
      <c r="AB92" s="678" t="n">
        <v>0</v>
      </c>
      <c r="AC92" s="678">
        <f>Y92</f>
        <v/>
      </c>
      <c r="AD92" s="678">
        <f>Y92</f>
        <v/>
      </c>
      <c r="AE92" s="682" t="inlineStr">
        <is>
          <t>ENGAGE</t>
        </is>
      </c>
      <c r="AF92" s="681" t="n"/>
      <c r="AG92" s="678" t="n"/>
      <c r="AH92" s="678" t="n"/>
      <c r="AI92" s="678" t="n"/>
      <c r="AJ92" s="678" t="n"/>
      <c r="AK92" s="683" t="n"/>
      <c r="AL92" s="683" t="n"/>
      <c r="AM92" s="681" t="inlineStr">
        <is>
          <t>Manque n° contrat</t>
        </is>
      </c>
      <c r="AN92" s="684" t="n"/>
      <c r="AO92" s="685" t="n"/>
      <c r="AP92" s="686" t="n"/>
      <c r="AQ92" s="686" t="n"/>
      <c r="AR92" s="23" t="n"/>
      <c r="AS92" s="686" t="n"/>
    </row>
    <row r="93" ht="54.6" customHeight="1" s="392">
      <c r="A93" s="672" t="n">
        <v>2026</v>
      </c>
      <c r="B93" s="673" t="inlineStr">
        <is>
          <t>DINFOTV</t>
        </is>
      </c>
      <c r="C93" s="673" t="inlineStr">
        <is>
          <t>PV N° : 01RC2025- DITV</t>
        </is>
      </c>
      <c r="D93" s="672" t="inlineStr">
        <is>
          <t>CONTRAT</t>
        </is>
      </c>
      <c r="E93" s="672" t="n"/>
      <c r="F93" s="674" t="inlineStr">
        <is>
          <t>HOUDA NEJJAR  -  Scripte des journaux télévisés et toutes les émissions produites par la direction de l'Information TV</t>
        </is>
      </c>
      <c r="G93" s="675" t="inlineStr">
        <is>
          <t>VALIDE</t>
        </is>
      </c>
      <c r="H93" s="672" t="inlineStr">
        <is>
          <t>APPROUVE</t>
        </is>
      </c>
      <c r="I93" s="672" t="n"/>
      <c r="J93" s="675" t="inlineStr">
        <is>
          <t>NON CONCERNE</t>
        </is>
      </c>
      <c r="K93" s="672" t="inlineStr">
        <is>
          <t>Ordinaire</t>
        </is>
      </c>
      <c r="L93" s="676" t="inlineStr">
        <is>
          <t>FONCTIONNEMENT</t>
        </is>
      </c>
      <c r="M93" s="676" t="inlineStr">
        <is>
          <t>Prestations de service
Achat prestations de services locales - personnes physiques</t>
        </is>
      </c>
      <c r="N93" s="677" t="n"/>
      <c r="O93" s="678" t="n"/>
      <c r="P93" s="678" t="n"/>
      <c r="Q93" s="672" t="inlineStr">
        <is>
          <t>RECONDUCTION</t>
        </is>
      </c>
      <c r="R93" s="679" t="n"/>
      <c r="S93" s="680" t="n"/>
      <c r="T93" s="681" t="inlineStr">
        <is>
          <t>HOUDA NEJJAR</t>
        </is>
      </c>
      <c r="U93" s="672" t="n">
        <v>2026</v>
      </c>
      <c r="V93" s="680" t="n">
        <v>46387</v>
      </c>
      <c r="W93" s="680" t="n"/>
      <c r="X93" s="680" t="n">
        <v>46024</v>
      </c>
      <c r="Y93" s="677" t="n">
        <v>24000</v>
      </c>
      <c r="Z93" s="678" t="n">
        <v>0</v>
      </c>
      <c r="AA93" s="678" t="n">
        <v>24000</v>
      </c>
      <c r="AB93" s="678" t="n">
        <v>0</v>
      </c>
      <c r="AC93" s="678" t="n">
        <v>24000</v>
      </c>
      <c r="AD93" s="678" t="n">
        <v>24000</v>
      </c>
      <c r="AE93" s="682" t="inlineStr">
        <is>
          <t>ENGAGE</t>
        </is>
      </c>
      <c r="AF93" s="681" t="n"/>
      <c r="AG93" s="678" t="n"/>
      <c r="AH93" s="678" t="n"/>
      <c r="AI93" s="678" t="n"/>
      <c r="AJ93" s="678" t="n"/>
      <c r="AK93" s="683" t="n"/>
      <c r="AL93" s="683" t="n"/>
      <c r="AM93" s="681" t="inlineStr">
        <is>
          <t>Manque n° contrat</t>
        </is>
      </c>
      <c r="AN93" s="684" t="n"/>
      <c r="AO93" s="685" t="n"/>
      <c r="AP93" s="686" t="n"/>
      <c r="AQ93" s="686" t="n"/>
      <c r="AR93" s="23" t="n"/>
      <c r="AS93" s="686" t="n"/>
    </row>
    <row r="94" ht="54.6" customHeight="1" s="392">
      <c r="A94" s="672" t="n">
        <v>2026</v>
      </c>
      <c r="B94" s="673" t="inlineStr">
        <is>
          <t>DINFOTV</t>
        </is>
      </c>
      <c r="C94" s="673" t="inlineStr">
        <is>
          <t>PV N° : 01RC2025- DITV</t>
        </is>
      </c>
      <c r="D94" s="672" t="inlineStr">
        <is>
          <t>CONTRAT</t>
        </is>
      </c>
      <c r="E94" s="672" t="n"/>
      <c r="F94" s="674" t="inlineStr">
        <is>
          <t>TAHRAOUI ABDELHGANI   -  Preneur de vue chargé de la réalisation de reportages et couvertures TV dans la province d'Essaouira et régions</t>
        </is>
      </c>
      <c r="G94" s="675" t="inlineStr">
        <is>
          <t>VALIDE</t>
        </is>
      </c>
      <c r="H94" s="672" t="inlineStr">
        <is>
          <t>APPROUVE</t>
        </is>
      </c>
      <c r="I94" s="672" t="n"/>
      <c r="J94" s="675" t="inlineStr">
        <is>
          <t>NON CONCERNE</t>
        </is>
      </c>
      <c r="K94" s="672" t="inlineStr">
        <is>
          <t>Ordinaire</t>
        </is>
      </c>
      <c r="L94" s="676" t="inlineStr">
        <is>
          <t>FONCTIONNEMENT</t>
        </is>
      </c>
      <c r="M94" s="676" t="inlineStr">
        <is>
          <t>Prestations de service
Achat prestations de services locales - personnes physiques</t>
        </is>
      </c>
      <c r="N94" s="677" t="n"/>
      <c r="O94" s="678" t="n"/>
      <c r="P94" s="678" t="n"/>
      <c r="Q94" s="672" t="inlineStr">
        <is>
          <t>RECONDUCTION</t>
        </is>
      </c>
      <c r="R94" s="679" t="n"/>
      <c r="S94" s="680" t="n"/>
      <c r="T94" s="681" t="inlineStr">
        <is>
          <t>TAHRAOUI ABDELHGANI</t>
        </is>
      </c>
      <c r="U94" s="672" t="n">
        <v>2026</v>
      </c>
      <c r="V94" s="680" t="n">
        <v>46387</v>
      </c>
      <c r="W94" s="680" t="n"/>
      <c r="X94" s="680" t="n">
        <v>46024</v>
      </c>
      <c r="Y94" s="677" t="n">
        <v>44571.36</v>
      </c>
      <c r="Z94" s="678" t="n">
        <v>0</v>
      </c>
      <c r="AA94" s="678">
        <f>Y94</f>
        <v/>
      </c>
      <c r="AB94" s="678" t="n">
        <v>0</v>
      </c>
      <c r="AC94" s="678">
        <f>Y94</f>
        <v/>
      </c>
      <c r="AD94" s="678">
        <f>Y94</f>
        <v/>
      </c>
      <c r="AE94" s="682" t="inlineStr">
        <is>
          <t>ENGAGE</t>
        </is>
      </c>
      <c r="AF94" s="681" t="n"/>
      <c r="AG94" s="678" t="n"/>
      <c r="AH94" s="678" t="n"/>
      <c r="AI94" s="678" t="n"/>
      <c r="AJ94" s="678" t="n"/>
      <c r="AK94" s="683" t="n"/>
      <c r="AL94" s="683" t="n"/>
      <c r="AM94" s="681" t="inlineStr">
        <is>
          <t>Manque n° contrat</t>
        </is>
      </c>
      <c r="AN94" s="684" t="n"/>
      <c r="AO94" s="685" t="n"/>
      <c r="AP94" s="686" t="n"/>
      <c r="AQ94" s="686" t="n"/>
      <c r="AR94" s="23" t="n"/>
      <c r="AS94" s="686" t="n"/>
    </row>
    <row r="95" ht="54.6" customHeight="1" s="392">
      <c r="A95" s="672" t="n">
        <v>2026</v>
      </c>
      <c r="B95" s="673" t="inlineStr">
        <is>
          <t>DINFOTV</t>
        </is>
      </c>
      <c r="C95" s="673" t="inlineStr">
        <is>
          <t>PV N° : 01RC2025- DITV</t>
        </is>
      </c>
      <c r="D95" s="672" t="inlineStr">
        <is>
          <t>CONTRAT</t>
        </is>
      </c>
      <c r="E95" s="672" t="n"/>
      <c r="F95" s="674" t="inlineStr">
        <is>
          <t>FADILI AHMED   -  Preneur de vue chargé de la réalisation de reportages et couvertures TV dans la province d’Ifran Azrou</t>
        </is>
      </c>
      <c r="G95" s="675" t="inlineStr">
        <is>
          <t>VALIDE</t>
        </is>
      </c>
      <c r="H95" s="672" t="inlineStr">
        <is>
          <t>APPROUVE</t>
        </is>
      </c>
      <c r="I95" s="672" t="n"/>
      <c r="J95" s="675" t="inlineStr">
        <is>
          <t>NON CONCERNE</t>
        </is>
      </c>
      <c r="K95" s="672" t="inlineStr">
        <is>
          <t>Ordinaire</t>
        </is>
      </c>
      <c r="L95" s="676" t="inlineStr">
        <is>
          <t>FONCTIONNEMENT</t>
        </is>
      </c>
      <c r="M95" s="676" t="inlineStr">
        <is>
          <t>Prestations de service
Achat prestations de services locales - personnes physiques</t>
        </is>
      </c>
      <c r="N95" s="677" t="n"/>
      <c r="O95" s="678" t="n"/>
      <c r="P95" s="678" t="n"/>
      <c r="Q95" s="672" t="inlineStr">
        <is>
          <t>RECONDUCTION</t>
        </is>
      </c>
      <c r="R95" s="679" t="n"/>
      <c r="S95" s="680" t="n"/>
      <c r="T95" s="681" t="inlineStr">
        <is>
          <t>FADILI AHMED</t>
        </is>
      </c>
      <c r="U95" s="672" t="n">
        <v>2026</v>
      </c>
      <c r="V95" s="680" t="n">
        <v>46387</v>
      </c>
      <c r="W95" s="680" t="n"/>
      <c r="X95" s="680" t="n">
        <v>46024</v>
      </c>
      <c r="Y95" s="677" t="n">
        <v>72000</v>
      </c>
      <c r="Z95" s="678" t="n">
        <v>0</v>
      </c>
      <c r="AA95" s="678">
        <f>Y95</f>
        <v/>
      </c>
      <c r="AB95" s="678" t="n">
        <v>0</v>
      </c>
      <c r="AC95" s="678">
        <f>Y95</f>
        <v/>
      </c>
      <c r="AD95" s="678">
        <f>Y95</f>
        <v/>
      </c>
      <c r="AE95" s="682" t="inlineStr">
        <is>
          <t>ENGAGE</t>
        </is>
      </c>
      <c r="AF95" s="681" t="n"/>
      <c r="AG95" s="678" t="n"/>
      <c r="AH95" s="678" t="n"/>
      <c r="AI95" s="678" t="n"/>
      <c r="AJ95" s="678" t="n"/>
      <c r="AK95" s="683" t="n"/>
      <c r="AL95" s="683" t="n"/>
      <c r="AM95" s="681" t="inlineStr">
        <is>
          <t>Manque n° contrat</t>
        </is>
      </c>
      <c r="AN95" s="684" t="n"/>
      <c r="AO95" s="685" t="n"/>
      <c r="AP95" s="686" t="n"/>
      <c r="AQ95" s="686" t="n"/>
      <c r="AR95" s="23" t="n"/>
      <c r="AS95" s="686" t="n"/>
    </row>
    <row r="96" ht="54.6" customHeight="1" s="392">
      <c r="A96" s="672" t="n">
        <v>2026</v>
      </c>
      <c r="B96" s="673" t="inlineStr">
        <is>
          <t>DINFOTV</t>
        </is>
      </c>
      <c r="C96" s="673" t="inlineStr">
        <is>
          <t>PV N° : 01RC2025- DITV</t>
        </is>
      </c>
      <c r="D96" s="672" t="inlineStr">
        <is>
          <t>CONTRAT</t>
        </is>
      </c>
      <c r="E96" s="672" t="n"/>
      <c r="F96" s="674" t="inlineStr">
        <is>
          <t>KHALID AIT HSSAIN  -  Coiffeur et maquilleur des animateurs et des invités participants au journal télévisé de la chaine ALOULA.</t>
        </is>
      </c>
      <c r="G96" s="675" t="inlineStr">
        <is>
          <t>VALIDE</t>
        </is>
      </c>
      <c r="H96" s="672" t="inlineStr">
        <is>
          <t>APPROUVE</t>
        </is>
      </c>
      <c r="I96" s="672" t="n"/>
      <c r="J96" s="675" t="inlineStr">
        <is>
          <t>NON CONCERNE</t>
        </is>
      </c>
      <c r="K96" s="672" t="inlineStr">
        <is>
          <t>Ordinaire</t>
        </is>
      </c>
      <c r="L96" s="676" t="inlineStr">
        <is>
          <t>FONCTIONNEMENT</t>
        </is>
      </c>
      <c r="M96" s="676" t="inlineStr">
        <is>
          <t>Prestations de service
Achat prestations de services locales - personnes physiques</t>
        </is>
      </c>
      <c r="N96" s="677" t="n"/>
      <c r="O96" s="678" t="n"/>
      <c r="P96" s="678" t="n"/>
      <c r="Q96" s="672" t="inlineStr">
        <is>
          <t>RECONDUCTION</t>
        </is>
      </c>
      <c r="R96" s="679" t="n"/>
      <c r="S96" s="680" t="n"/>
      <c r="T96" s="681" t="inlineStr">
        <is>
          <t>KHALID AIT HSSAIN</t>
        </is>
      </c>
      <c r="U96" s="672" t="n">
        <v>2026</v>
      </c>
      <c r="V96" s="680" t="n">
        <v>46387</v>
      </c>
      <c r="W96" s="680" t="n"/>
      <c r="X96" s="680" t="n">
        <v>46024</v>
      </c>
      <c r="Y96" s="677" t="n">
        <v>72000</v>
      </c>
      <c r="Z96" s="678" t="n">
        <v>0</v>
      </c>
      <c r="AA96" s="678">
        <f>Y96</f>
        <v/>
      </c>
      <c r="AB96" s="678" t="n">
        <v>0</v>
      </c>
      <c r="AC96" s="678">
        <f>Y96</f>
        <v/>
      </c>
      <c r="AD96" s="678">
        <f>Y96</f>
        <v/>
      </c>
      <c r="AE96" s="682" t="inlineStr">
        <is>
          <t>ENGAGE</t>
        </is>
      </c>
      <c r="AF96" s="681" t="n"/>
      <c r="AG96" s="678" t="n"/>
      <c r="AH96" s="678" t="n"/>
      <c r="AI96" s="678" t="n"/>
      <c r="AJ96" s="678" t="n"/>
      <c r="AK96" s="683" t="n"/>
      <c r="AL96" s="683" t="n"/>
      <c r="AM96" s="681" t="inlineStr">
        <is>
          <t>Manque n° contrat</t>
        </is>
      </c>
      <c r="AN96" s="684" t="n"/>
      <c r="AO96" s="685" t="n"/>
      <c r="AP96" s="686" t="n"/>
      <c r="AQ96" s="686" t="n"/>
      <c r="AR96" s="23" t="n"/>
      <c r="AS96" s="686" t="n"/>
    </row>
    <row r="97" ht="54.6" customHeight="1" s="392">
      <c r="A97" s="672" t="n">
        <v>2026</v>
      </c>
      <c r="B97" s="673" t="inlineStr">
        <is>
          <t>DINFOTV</t>
        </is>
      </c>
      <c r="C97" s="673" t="inlineStr">
        <is>
          <t>PV N° : 01RC2025- DITV</t>
        </is>
      </c>
      <c r="D97" s="672" t="inlineStr">
        <is>
          <t>CONTRAT</t>
        </is>
      </c>
      <c r="E97" s="672" t="n"/>
      <c r="F97" s="674" t="inlineStr">
        <is>
          <t>SOUKAINA HACHIMI  -  Journaliste chargée de la préparation des magazines d'information, reportages, rédaction des JT et couverture du factuel</t>
        </is>
      </c>
      <c r="G97" s="675" t="inlineStr">
        <is>
          <t>VALIDE</t>
        </is>
      </c>
      <c r="H97" s="672" t="inlineStr">
        <is>
          <t>APPROUVE</t>
        </is>
      </c>
      <c r="I97" s="672" t="n"/>
      <c r="J97" s="675" t="inlineStr">
        <is>
          <t>NON CONCERNE</t>
        </is>
      </c>
      <c r="K97" s="672" t="inlineStr">
        <is>
          <t>Ordinaire</t>
        </is>
      </c>
      <c r="L97" s="676" t="inlineStr">
        <is>
          <t>FONCTIONNEMENT</t>
        </is>
      </c>
      <c r="M97" s="676" t="inlineStr">
        <is>
          <t>Prestations de service
Achat prestations de services locales - personnes physiques</t>
        </is>
      </c>
      <c r="N97" s="677" t="n"/>
      <c r="O97" s="678" t="n"/>
      <c r="P97" s="678" t="n"/>
      <c r="Q97" s="672" t="inlineStr">
        <is>
          <t>RECONDUCTION</t>
        </is>
      </c>
      <c r="R97" s="679" t="n"/>
      <c r="S97" s="680" t="n"/>
      <c r="T97" s="681" t="inlineStr">
        <is>
          <t>SOUKAINA HACHIMI</t>
        </is>
      </c>
      <c r="U97" s="672" t="n">
        <v>2026</v>
      </c>
      <c r="V97" s="680" t="n">
        <v>46387</v>
      </c>
      <c r="W97" s="680" t="n"/>
      <c r="X97" s="680" t="n">
        <v>46024</v>
      </c>
      <c r="Y97" s="677" t="n">
        <v>120000</v>
      </c>
      <c r="Z97" s="678" t="n">
        <v>0</v>
      </c>
      <c r="AA97" s="678">
        <f>Y97</f>
        <v/>
      </c>
      <c r="AB97" s="678" t="n">
        <v>0</v>
      </c>
      <c r="AC97" s="678">
        <f>Y97</f>
        <v/>
      </c>
      <c r="AD97" s="678">
        <f>Y97</f>
        <v/>
      </c>
      <c r="AE97" s="682" t="inlineStr">
        <is>
          <t>ENGAGE</t>
        </is>
      </c>
      <c r="AF97" s="681" t="n"/>
      <c r="AG97" s="678" t="n"/>
      <c r="AH97" s="678" t="n"/>
      <c r="AI97" s="678" t="n"/>
      <c r="AJ97" s="678" t="n"/>
      <c r="AK97" s="683" t="n"/>
      <c r="AL97" s="683" t="n"/>
      <c r="AM97" s="681" t="inlineStr">
        <is>
          <t>Manque n° contrat</t>
        </is>
      </c>
      <c r="AN97" s="684" t="n"/>
      <c r="AO97" s="685" t="n"/>
      <c r="AP97" s="686" t="n"/>
      <c r="AQ97" s="686" t="n"/>
      <c r="AR97" s="23" t="n"/>
      <c r="AS97" s="686" t="n"/>
    </row>
    <row r="98" ht="54.6" customHeight="1" s="392">
      <c r="A98" s="672" t="n">
        <v>2026</v>
      </c>
      <c r="B98" s="673" t="inlineStr">
        <is>
          <t>DINFOTV</t>
        </is>
      </c>
      <c r="C98" s="673" t="inlineStr">
        <is>
          <t>PV N° : 01RC2025- DITV</t>
        </is>
      </c>
      <c r="D98" s="672" t="inlineStr">
        <is>
          <t>CONTRAT</t>
        </is>
      </c>
      <c r="E98" s="672" t="n"/>
      <c r="F98" s="674" t="inlineStr">
        <is>
          <t>MAHDI KARRAKCHOU  -  Le montage des journaux télévisés et toutes les émissions produites par la direction de l'Information TV</t>
        </is>
      </c>
      <c r="G98" s="675" t="inlineStr">
        <is>
          <t>VALIDE</t>
        </is>
      </c>
      <c r="H98" s="672" t="inlineStr">
        <is>
          <t>APPROUVE</t>
        </is>
      </c>
      <c r="I98" s="672" t="n"/>
      <c r="J98" s="675" t="inlineStr">
        <is>
          <t>NON CONCERNE</t>
        </is>
      </c>
      <c r="K98" s="672" t="inlineStr">
        <is>
          <t>Ordinaire</t>
        </is>
      </c>
      <c r="L98" s="676" t="inlineStr">
        <is>
          <t>FONCTIONNEMENT</t>
        </is>
      </c>
      <c r="M98" s="676" t="inlineStr">
        <is>
          <t>Prestations de service
Achat prestations de services locales - personnes physiques</t>
        </is>
      </c>
      <c r="N98" s="677" t="n"/>
      <c r="O98" s="678" t="n"/>
      <c r="P98" s="678" t="n"/>
      <c r="Q98" s="672" t="inlineStr">
        <is>
          <t>RECONDUCTION</t>
        </is>
      </c>
      <c r="R98" s="679" t="n"/>
      <c r="S98" s="680" t="n"/>
      <c r="T98" s="681" t="inlineStr">
        <is>
          <t>MAHDI KARRAKCHOU</t>
        </is>
      </c>
      <c r="U98" s="672" t="n">
        <v>2026</v>
      </c>
      <c r="V98" s="680" t="n">
        <v>46387</v>
      </c>
      <c r="W98" s="680" t="n"/>
      <c r="X98" s="680" t="n">
        <v>46024</v>
      </c>
      <c r="Y98" s="677" t="n">
        <v>108000</v>
      </c>
      <c r="Z98" s="678" t="n">
        <v>0</v>
      </c>
      <c r="AA98" s="678">
        <f>Y98</f>
        <v/>
      </c>
      <c r="AB98" s="678" t="n">
        <v>0</v>
      </c>
      <c r="AC98" s="678">
        <f>Y98</f>
        <v/>
      </c>
      <c r="AD98" s="678">
        <f>Y98</f>
        <v/>
      </c>
      <c r="AE98" s="682" t="inlineStr">
        <is>
          <t>ENGAGE</t>
        </is>
      </c>
      <c r="AF98" s="681" t="n"/>
      <c r="AG98" s="678" t="n"/>
      <c r="AH98" s="678" t="n"/>
      <c r="AI98" s="678" t="n"/>
      <c r="AJ98" s="678" t="n"/>
      <c r="AK98" s="683" t="n"/>
      <c r="AL98" s="683" t="n"/>
      <c r="AM98" s="681" t="inlineStr">
        <is>
          <t>Manque n° contrat</t>
        </is>
      </c>
      <c r="AN98" s="684" t="n"/>
      <c r="AO98" s="685" t="n"/>
      <c r="AP98" s="686" t="n"/>
      <c r="AQ98" s="686" t="n"/>
      <c r="AR98" s="23" t="n"/>
      <c r="AS98" s="686" t="n"/>
    </row>
    <row r="99" ht="54.6" customHeight="1" s="392">
      <c r="A99" s="672" t="n">
        <v>2026</v>
      </c>
      <c r="B99" s="673" t="inlineStr">
        <is>
          <t>DINFOTV</t>
        </is>
      </c>
      <c r="C99" s="673" t="inlineStr">
        <is>
          <t>PV N° : 01RC2025- DITV</t>
        </is>
      </c>
      <c r="D99" s="672" t="inlineStr">
        <is>
          <t>CONTRAT</t>
        </is>
      </c>
      <c r="E99" s="672" t="n"/>
      <c r="F99" s="674" t="inlineStr">
        <is>
          <t>MOUNIR LAHSAIEN -  Coiffeur et maquilleur des animateurs et des invités participants au journal télévisé de la chaine Al Aoula</t>
        </is>
      </c>
      <c r="G99" s="675" t="inlineStr">
        <is>
          <t>VALIDE</t>
        </is>
      </c>
      <c r="H99" s="672" t="inlineStr">
        <is>
          <t>APPROUVE</t>
        </is>
      </c>
      <c r="I99" s="672" t="n"/>
      <c r="J99" s="675" t="inlineStr">
        <is>
          <t>NON CONCERNE</t>
        </is>
      </c>
      <c r="K99" s="672" t="inlineStr">
        <is>
          <t>Ordinaire</t>
        </is>
      </c>
      <c r="L99" s="676" t="inlineStr">
        <is>
          <t>FONCTIONNEMENT</t>
        </is>
      </c>
      <c r="M99" s="676" t="inlineStr">
        <is>
          <t>Prestations de service
Achat prestations de services locales - personnes physiques</t>
        </is>
      </c>
      <c r="N99" s="677" t="n"/>
      <c r="O99" s="678" t="n"/>
      <c r="P99" s="678" t="n"/>
      <c r="Q99" s="672" t="inlineStr">
        <is>
          <t>RECONDUCTION</t>
        </is>
      </c>
      <c r="R99" s="679" t="n"/>
      <c r="S99" s="680" t="n"/>
      <c r="T99" s="681" t="inlineStr">
        <is>
          <t>MOUNIR LAHSAIEN</t>
        </is>
      </c>
      <c r="U99" s="672" t="n">
        <v>2026</v>
      </c>
      <c r="V99" s="680" t="n">
        <v>46387</v>
      </c>
      <c r="W99" s="680" t="n"/>
      <c r="X99" s="680" t="n">
        <v>46024</v>
      </c>
      <c r="Y99" s="677" t="n">
        <v>72000</v>
      </c>
      <c r="Z99" s="678" t="n">
        <v>0</v>
      </c>
      <c r="AA99" s="678">
        <f>Y99</f>
        <v/>
      </c>
      <c r="AB99" s="678" t="n">
        <v>0</v>
      </c>
      <c r="AC99" s="678">
        <f>Y99</f>
        <v/>
      </c>
      <c r="AD99" s="678">
        <f>Y99</f>
        <v/>
      </c>
      <c r="AE99" s="682" t="inlineStr">
        <is>
          <t>ENGAGE</t>
        </is>
      </c>
      <c r="AF99" s="681" t="n"/>
      <c r="AG99" s="678" t="n"/>
      <c r="AH99" s="678" t="n"/>
      <c r="AI99" s="678" t="n"/>
      <c r="AJ99" s="678" t="n"/>
      <c r="AK99" s="683" t="n"/>
      <c r="AL99" s="683" t="n"/>
      <c r="AM99" s="681" t="inlineStr">
        <is>
          <t>Manque n° contrat</t>
        </is>
      </c>
      <c r="AN99" s="684" t="n"/>
      <c r="AO99" s="685" t="n"/>
      <c r="AP99" s="686" t="n"/>
      <c r="AQ99" s="686" t="n"/>
      <c r="AR99" s="23" t="n"/>
      <c r="AS99" s="686" t="n"/>
    </row>
    <row r="100" ht="50.55" customHeight="1" s="392">
      <c r="A100" s="672" t="n">
        <v>2026</v>
      </c>
      <c r="B100" s="673" t="inlineStr">
        <is>
          <t>DINFOTV</t>
        </is>
      </c>
      <c r="C100" s="673" t="inlineStr">
        <is>
          <t>PV N° : 01RC2025- DITV</t>
        </is>
      </c>
      <c r="D100" s="672" t="inlineStr">
        <is>
          <t>CONTRAT</t>
        </is>
      </c>
      <c r="E100" s="672" t="n"/>
      <c r="F100" s="674" t="inlineStr">
        <is>
          <t>EL AAZIZ ABDERRAZZAQ  -  Chef d'édition des journaux télévisés</t>
        </is>
      </c>
      <c r="G100" s="675" t="inlineStr">
        <is>
          <t>VALIDE</t>
        </is>
      </c>
      <c r="H100" s="672" t="inlineStr">
        <is>
          <t>APPROUVE</t>
        </is>
      </c>
      <c r="I100" s="672" t="n"/>
      <c r="J100" s="675" t="inlineStr">
        <is>
          <t>NON CONCERNE</t>
        </is>
      </c>
      <c r="K100" s="672" t="inlineStr">
        <is>
          <t>Ordinaire</t>
        </is>
      </c>
      <c r="L100" s="676" t="inlineStr">
        <is>
          <t>FONCTIONNEMENT</t>
        </is>
      </c>
      <c r="M100" s="676" t="inlineStr">
        <is>
          <t>Prestations de service
Achat prestations de services locales - personnes physiques</t>
        </is>
      </c>
      <c r="N100" s="677" t="n"/>
      <c r="O100" s="678" t="n"/>
      <c r="P100" s="678" t="n"/>
      <c r="Q100" s="672" t="inlineStr">
        <is>
          <t>RECONDUCTION</t>
        </is>
      </c>
      <c r="R100" s="679" t="n"/>
      <c r="S100" s="680" t="n"/>
      <c r="T100" s="681" t="inlineStr">
        <is>
          <t>EL AAZIZ ABDERRAZZAQ</t>
        </is>
      </c>
      <c r="U100" s="672" t="n">
        <v>2026</v>
      </c>
      <c r="V100" s="680" t="n">
        <v>46387</v>
      </c>
      <c r="W100" s="680" t="n"/>
      <c r="X100" s="680" t="n">
        <v>46024</v>
      </c>
      <c r="Y100" s="677" t="n">
        <v>240000</v>
      </c>
      <c r="Z100" s="678" t="n">
        <v>0</v>
      </c>
      <c r="AA100" s="678">
        <f>Y100</f>
        <v/>
      </c>
      <c r="AB100" s="678" t="n">
        <v>0</v>
      </c>
      <c r="AC100" s="678">
        <f>Y100</f>
        <v/>
      </c>
      <c r="AD100" s="678">
        <f>Y100</f>
        <v/>
      </c>
      <c r="AE100" s="682" t="inlineStr">
        <is>
          <t>ENGAGE</t>
        </is>
      </c>
      <c r="AF100" s="681" t="n"/>
      <c r="AG100" s="678" t="n"/>
      <c r="AH100" s="678" t="n"/>
      <c r="AI100" s="678" t="n"/>
      <c r="AJ100" s="678" t="n"/>
      <c r="AK100" s="683" t="n"/>
      <c r="AL100" s="683" t="n"/>
      <c r="AM100" s="681" t="inlineStr">
        <is>
          <t>Manque n° contrat</t>
        </is>
      </c>
      <c r="AN100" s="684" t="n"/>
      <c r="AO100" s="685" t="n"/>
      <c r="AP100" s="686" t="n"/>
      <c r="AQ100" s="686" t="n"/>
      <c r="AR100" s="23" t="n"/>
      <c r="AS100" s="686" t="n"/>
    </row>
    <row r="101" ht="50.55" customHeight="1" s="392">
      <c r="A101" s="672" t="n">
        <v>2026</v>
      </c>
      <c r="B101" s="673" t="inlineStr">
        <is>
          <t>DINFOTV</t>
        </is>
      </c>
      <c r="C101" s="673" t="inlineStr">
        <is>
          <t>PV N° : 01RC2025- DITV</t>
        </is>
      </c>
      <c r="D101" s="672" t="inlineStr">
        <is>
          <t>CONTRAT</t>
        </is>
      </c>
      <c r="E101" s="672" t="n"/>
      <c r="F101" s="674" t="inlineStr">
        <is>
          <t>BOUJOUBBOU ABDELHAKIM  -  Chef d'édition des journaux télévisés</t>
        </is>
      </c>
      <c r="G101" s="675" t="inlineStr">
        <is>
          <t>VALIDE</t>
        </is>
      </c>
      <c r="H101" s="672" t="inlineStr">
        <is>
          <t>APPROUVE</t>
        </is>
      </c>
      <c r="I101" s="672" t="n"/>
      <c r="J101" s="675" t="inlineStr">
        <is>
          <t>NON CONCERNE</t>
        </is>
      </c>
      <c r="K101" s="672" t="inlineStr">
        <is>
          <t>Ordinaire</t>
        </is>
      </c>
      <c r="L101" s="676" t="inlineStr">
        <is>
          <t>FONCTIONNEMENT</t>
        </is>
      </c>
      <c r="M101" s="676" t="inlineStr">
        <is>
          <t>Prestations de service
Achat prestations de services locales - personnes physiques</t>
        </is>
      </c>
      <c r="N101" s="677" t="n"/>
      <c r="O101" s="678" t="n"/>
      <c r="P101" s="678" t="n"/>
      <c r="Q101" s="672" t="inlineStr">
        <is>
          <t>RECONDUCTION</t>
        </is>
      </c>
      <c r="R101" s="679" t="n"/>
      <c r="S101" s="680" t="n"/>
      <c r="T101" s="681" t="inlineStr">
        <is>
          <t>BOUJOUBBOU ABDELHAKIM</t>
        </is>
      </c>
      <c r="U101" s="672" t="n">
        <v>2026</v>
      </c>
      <c r="V101" s="680" t="n">
        <v>46387</v>
      </c>
      <c r="W101" s="680" t="n"/>
      <c r="X101" s="680" t="n">
        <v>46024</v>
      </c>
      <c r="Y101" s="677" t="n">
        <v>240000</v>
      </c>
      <c r="Z101" s="678" t="n">
        <v>0</v>
      </c>
      <c r="AA101" s="678">
        <f>Y101</f>
        <v/>
      </c>
      <c r="AB101" s="678" t="n">
        <v>0</v>
      </c>
      <c r="AC101" s="678">
        <f>Y101</f>
        <v/>
      </c>
      <c r="AD101" s="678">
        <f>Y101</f>
        <v/>
      </c>
      <c r="AE101" s="682" t="inlineStr">
        <is>
          <t>ENGAGE</t>
        </is>
      </c>
      <c r="AF101" s="681" t="n"/>
      <c r="AG101" s="678" t="n"/>
      <c r="AH101" s="678" t="n"/>
      <c r="AI101" s="678" t="n"/>
      <c r="AJ101" s="678" t="n"/>
      <c r="AK101" s="683" t="n"/>
      <c r="AL101" s="683" t="n"/>
      <c r="AM101" s="681" t="inlineStr">
        <is>
          <t>Manque n° contrat</t>
        </is>
      </c>
      <c r="AN101" s="684" t="n"/>
      <c r="AO101" s="685" t="n"/>
      <c r="AP101" s="686" t="n"/>
      <c r="AQ101" s="686" t="n"/>
      <c r="AR101" s="23" t="n"/>
      <c r="AS101" s="686" t="n"/>
    </row>
    <row r="102" ht="54.6" customHeight="1" s="392">
      <c r="A102" s="672" t="n">
        <v>2026</v>
      </c>
      <c r="B102" s="673" t="inlineStr">
        <is>
          <t>DINFOTV</t>
        </is>
      </c>
      <c r="C102" s="673" t="inlineStr">
        <is>
          <t>PV N° : 01RC2025- DITV</t>
        </is>
      </c>
      <c r="D102" s="672" t="inlineStr">
        <is>
          <t>CONTRAT</t>
        </is>
      </c>
      <c r="E102" s="672" t="n"/>
      <c r="F102" s="674" t="inlineStr">
        <is>
          <t>MOULINE LILIA  -  Styliste, Maquilleuse et Habilleuse des journalistes et présentateurs chargés de la présentation des émissions</t>
        </is>
      </c>
      <c r="G102" s="675" t="inlineStr">
        <is>
          <t>VALIDE</t>
        </is>
      </c>
      <c r="H102" s="672" t="inlineStr">
        <is>
          <t>APPROUVE</t>
        </is>
      </c>
      <c r="I102" s="672" t="n"/>
      <c r="J102" s="675" t="inlineStr">
        <is>
          <t>NON CONCERNE</t>
        </is>
      </c>
      <c r="K102" s="672" t="inlineStr">
        <is>
          <t>Ordinaire</t>
        </is>
      </c>
      <c r="L102" s="676" t="inlineStr">
        <is>
          <t>FONCTIONNEMENT</t>
        </is>
      </c>
      <c r="M102" s="676" t="inlineStr">
        <is>
          <t>Prestations de service
Achat prestations de services locales - personnes physiques</t>
        </is>
      </c>
      <c r="N102" s="677" t="n"/>
      <c r="O102" s="678" t="n"/>
      <c r="P102" s="678" t="n"/>
      <c r="Q102" s="672" t="inlineStr">
        <is>
          <t>RECONDUCTION</t>
        </is>
      </c>
      <c r="R102" s="679" t="n"/>
      <c r="S102" s="680" t="n"/>
      <c r="T102" s="681" t="inlineStr">
        <is>
          <t>MOULINE LILIA</t>
        </is>
      </c>
      <c r="U102" s="672" t="n">
        <v>2026</v>
      </c>
      <c r="V102" s="680" t="n">
        <v>46387</v>
      </c>
      <c r="W102" s="680" t="n"/>
      <c r="X102" s="680" t="n">
        <v>46024</v>
      </c>
      <c r="Y102" s="677" t="n">
        <v>705374.28</v>
      </c>
      <c r="Z102" s="678" t="n">
        <v>0</v>
      </c>
      <c r="AA102" s="678" t="n">
        <v>846449.14</v>
      </c>
      <c r="AB102" s="678" t="n">
        <v>0</v>
      </c>
      <c r="AC102" s="678">
        <f>Y102</f>
        <v/>
      </c>
      <c r="AD102" s="678">
        <f>AA102</f>
        <v/>
      </c>
      <c r="AE102" s="682" t="inlineStr">
        <is>
          <t>ENGAGE</t>
        </is>
      </c>
      <c r="AF102" s="681" t="n"/>
      <c r="AG102" s="678" t="n"/>
      <c r="AH102" s="678" t="n"/>
      <c r="AI102" s="678" t="n"/>
      <c r="AJ102" s="678" t="n"/>
      <c r="AK102" s="683" t="n"/>
      <c r="AL102" s="683" t="n"/>
      <c r="AM102" s="681" t="inlineStr">
        <is>
          <t>Manque n° contrat</t>
        </is>
      </c>
      <c r="AN102" s="684" t="n"/>
      <c r="AO102" s="685" t="n"/>
      <c r="AP102" s="686" t="n"/>
      <c r="AQ102" s="686" t="n"/>
      <c r="AR102" s="23" t="n"/>
      <c r="AS102" s="686" t="n"/>
    </row>
    <row r="103" ht="54.6" customHeight="1" s="392">
      <c r="A103" s="672" t="n">
        <v>2026</v>
      </c>
      <c r="B103" s="673" t="inlineStr">
        <is>
          <t>DINFOTV</t>
        </is>
      </c>
      <c r="C103" s="673" t="inlineStr">
        <is>
          <t>PV N° : 01RC2025- DITV</t>
        </is>
      </c>
      <c r="D103" s="672" t="inlineStr">
        <is>
          <t>CONTRAT</t>
        </is>
      </c>
      <c r="E103" s="672" t="n"/>
      <c r="F103" s="674" t="inlineStr">
        <is>
          <t>BOUBKER BEN GHABRIT  -  Journaliste francophone chargé de la préparation et la réalisation des reportages news en français ainsi que la présentation JT Français.</t>
        </is>
      </c>
      <c r="G103" s="675" t="inlineStr">
        <is>
          <t>VALIDE</t>
        </is>
      </c>
      <c r="H103" s="672" t="inlineStr">
        <is>
          <t>APPROUVE</t>
        </is>
      </c>
      <c r="I103" s="672" t="n"/>
      <c r="J103" s="675" t="inlineStr">
        <is>
          <t>NON CONCERNE</t>
        </is>
      </c>
      <c r="K103" s="672" t="inlineStr">
        <is>
          <t>Ordinaire</t>
        </is>
      </c>
      <c r="L103" s="676" t="inlineStr">
        <is>
          <t>FONCTIONNEMENT</t>
        </is>
      </c>
      <c r="M103" s="676" t="inlineStr">
        <is>
          <t>Prestations de service
Achat prestations de services locales - personnes physiques</t>
        </is>
      </c>
      <c r="N103" s="677" t="n"/>
      <c r="O103" s="678" t="n"/>
      <c r="P103" s="678" t="n"/>
      <c r="Q103" s="672" t="inlineStr">
        <is>
          <t>RECONDUCTION</t>
        </is>
      </c>
      <c r="R103" s="679" t="n"/>
      <c r="S103" s="680" t="n"/>
      <c r="T103" s="681" t="inlineStr">
        <is>
          <t>BOUBKER BEN GHABRIT</t>
        </is>
      </c>
      <c r="U103" s="672" t="n">
        <v>2026</v>
      </c>
      <c r="V103" s="680" t="n">
        <v>46387</v>
      </c>
      <c r="W103" s="680" t="n"/>
      <c r="X103" s="680" t="n">
        <v>46024</v>
      </c>
      <c r="Y103" s="677" t="n">
        <v>214800</v>
      </c>
      <c r="Z103" s="678" t="n">
        <v>0</v>
      </c>
      <c r="AA103" s="678">
        <f>Y103</f>
        <v/>
      </c>
      <c r="AB103" s="678" t="n">
        <v>0</v>
      </c>
      <c r="AC103" s="678">
        <f>Y103</f>
        <v/>
      </c>
      <c r="AD103" s="678">
        <f>AA103</f>
        <v/>
      </c>
      <c r="AE103" s="682" t="inlineStr">
        <is>
          <t>ENGAGE</t>
        </is>
      </c>
      <c r="AF103" s="681" t="n"/>
      <c r="AG103" s="678" t="n"/>
      <c r="AH103" s="678" t="n"/>
      <c r="AI103" s="678" t="n"/>
      <c r="AJ103" s="678" t="n"/>
      <c r="AK103" s="683" t="n"/>
      <c r="AL103" s="683" t="n"/>
      <c r="AM103" s="681" t="inlineStr">
        <is>
          <t>Manque n° contrat</t>
        </is>
      </c>
      <c r="AN103" s="684" t="n"/>
      <c r="AO103" s="685" t="n"/>
      <c r="AP103" s="686" t="n"/>
      <c r="AQ103" s="686" t="n"/>
      <c r="AR103" s="23" t="n"/>
      <c r="AS103" s="686" t="n"/>
    </row>
    <row r="104" ht="70.80000000000001" customHeight="1" s="392">
      <c r="A104" s="672" t="n">
        <v>2026</v>
      </c>
      <c r="B104" s="673" t="inlineStr">
        <is>
          <t>DINFOTV</t>
        </is>
      </c>
      <c r="C104" s="673" t="inlineStr">
        <is>
          <t>PV N° : 01RC2025- DITV</t>
        </is>
      </c>
      <c r="D104" s="672" t="inlineStr">
        <is>
          <t>CONTRAT</t>
        </is>
      </c>
      <c r="E104" s="672" t="n"/>
      <c r="F104" s="674" t="inlineStr">
        <is>
          <t>MOHAMED EL HAJJAM  -  Correspondant chargé de la réalisation de reportages et correspondances en matière d'Information Télévisée à partir des Etats Unies d’Amérique.</t>
        </is>
      </c>
      <c r="G104" s="675" t="inlineStr">
        <is>
          <t>VALIDE</t>
        </is>
      </c>
      <c r="H104" s="672" t="inlineStr">
        <is>
          <t>APPROUVE</t>
        </is>
      </c>
      <c r="I104" s="672" t="n"/>
      <c r="J104" s="675" t="inlineStr">
        <is>
          <t>NON CONCERNE</t>
        </is>
      </c>
      <c r="K104" s="672" t="inlineStr">
        <is>
          <t>Ordinaire</t>
        </is>
      </c>
      <c r="L104" s="676" t="inlineStr">
        <is>
          <t>FONCTIONNEMENT</t>
        </is>
      </c>
      <c r="M104" s="676" t="inlineStr">
        <is>
          <t>Prestations de service
Achat prestations de services locales - personnes physiques</t>
        </is>
      </c>
      <c r="N104" s="677" t="n"/>
      <c r="O104" s="678" t="n"/>
      <c r="P104" s="678" t="n"/>
      <c r="Q104" s="672" t="inlineStr">
        <is>
          <t>RECONDUCTION</t>
        </is>
      </c>
      <c r="R104" s="679" t="n"/>
      <c r="S104" s="680" t="n"/>
      <c r="T104" s="681" t="inlineStr">
        <is>
          <t>MOHAMED EL HAJJAM</t>
        </is>
      </c>
      <c r="U104" s="672" t="n">
        <v>2026</v>
      </c>
      <c r="V104" s="680" t="n">
        <v>46387</v>
      </c>
      <c r="W104" s="680" t="n"/>
      <c r="X104" s="680" t="n">
        <v>46024</v>
      </c>
      <c r="Y104" s="677" t="n">
        <v>145714.32</v>
      </c>
      <c r="Z104" s="678" t="n">
        <v>0</v>
      </c>
      <c r="AA104" s="678">
        <f>Y104</f>
        <v/>
      </c>
      <c r="AB104" s="678" t="n">
        <v>0</v>
      </c>
      <c r="AC104" s="678">
        <f>Y104</f>
        <v/>
      </c>
      <c r="AD104" s="678">
        <f>AA104</f>
        <v/>
      </c>
      <c r="AE104" s="682" t="inlineStr">
        <is>
          <t>ENGAGE</t>
        </is>
      </c>
      <c r="AF104" s="681" t="n"/>
      <c r="AG104" s="678" t="n"/>
      <c r="AH104" s="678" t="n"/>
      <c r="AI104" s="678" t="n"/>
      <c r="AJ104" s="678" t="n"/>
      <c r="AK104" s="683" t="n"/>
      <c r="AL104" s="683" t="n"/>
      <c r="AM104" s="681" t="inlineStr">
        <is>
          <t>Manque n° contrat</t>
        </is>
      </c>
      <c r="AN104" s="684" t="n"/>
      <c r="AO104" s="685" t="n"/>
      <c r="AP104" s="686" t="n"/>
      <c r="AQ104" s="686" t="n"/>
      <c r="AR104" s="23" t="n"/>
      <c r="AS104" s="686" t="n"/>
    </row>
    <row r="105" ht="54.6" customHeight="1" s="392">
      <c r="A105" s="672" t="n">
        <v>2026</v>
      </c>
      <c r="B105" s="673" t="inlineStr">
        <is>
          <t>DINFOTV</t>
        </is>
      </c>
      <c r="C105" s="673" t="inlineStr">
        <is>
          <t>PV N° : 01RC2025- DITV</t>
        </is>
      </c>
      <c r="D105" s="672" t="inlineStr">
        <is>
          <t>CONTRAT</t>
        </is>
      </c>
      <c r="E105" s="672" t="n"/>
      <c r="F105" s="674" t="inlineStr">
        <is>
          <t>MUSTAPHA SEHIMI -  Consultant politique chargé de l'analyse politique et le décryptage hebdomadaire des JT en langue Française</t>
        </is>
      </c>
      <c r="G105" s="675" t="inlineStr">
        <is>
          <t>VALIDE</t>
        </is>
      </c>
      <c r="H105" s="672" t="inlineStr">
        <is>
          <t>APPROUVE</t>
        </is>
      </c>
      <c r="I105" s="672" t="n"/>
      <c r="J105" s="675" t="inlineStr">
        <is>
          <t>NON CONCERNE</t>
        </is>
      </c>
      <c r="K105" s="672" t="inlineStr">
        <is>
          <t>Ordinaire</t>
        </is>
      </c>
      <c r="L105" s="676" t="inlineStr">
        <is>
          <t>FONCTIONNEMENT</t>
        </is>
      </c>
      <c r="M105" s="676" t="inlineStr">
        <is>
          <t>Prestations de service
Achat prestations de services locales - personnes physiques</t>
        </is>
      </c>
      <c r="N105" s="677" t="n"/>
      <c r="O105" s="678" t="n"/>
      <c r="P105" s="678" t="n"/>
      <c r="Q105" s="672" t="inlineStr">
        <is>
          <t>RECONDUCTION</t>
        </is>
      </c>
      <c r="R105" s="679" t="n"/>
      <c r="S105" s="680" t="n"/>
      <c r="T105" s="681" t="inlineStr">
        <is>
          <t>MUSTAPHA SEHIMI</t>
        </is>
      </c>
      <c r="U105" s="672" t="n">
        <v>2026</v>
      </c>
      <c r="V105" s="680" t="n">
        <v>46387</v>
      </c>
      <c r="W105" s="680" t="n"/>
      <c r="X105" s="680" t="n">
        <v>46024</v>
      </c>
      <c r="Y105" s="677" t="n">
        <v>150000</v>
      </c>
      <c r="Z105" s="678" t="n">
        <v>0</v>
      </c>
      <c r="AA105" s="678">
        <f>Y105</f>
        <v/>
      </c>
      <c r="AB105" s="678" t="n">
        <v>0</v>
      </c>
      <c r="AC105" s="678">
        <f>Y105</f>
        <v/>
      </c>
      <c r="AD105" s="678">
        <f>AA105</f>
        <v/>
      </c>
      <c r="AE105" s="682" t="inlineStr">
        <is>
          <t>ENGAGE</t>
        </is>
      </c>
      <c r="AF105" s="681" t="n"/>
      <c r="AG105" s="678" t="n"/>
      <c r="AH105" s="678" t="n"/>
      <c r="AI105" s="678" t="n"/>
      <c r="AJ105" s="678" t="n"/>
      <c r="AK105" s="683" t="n"/>
      <c r="AL105" s="683" t="n"/>
      <c r="AM105" s="681" t="inlineStr">
        <is>
          <t>Manque n° contrat</t>
        </is>
      </c>
      <c r="AN105" s="684" t="n"/>
      <c r="AO105" s="685" t="n"/>
      <c r="AP105" s="686" t="n"/>
      <c r="AQ105" s="686" t="n"/>
      <c r="AR105" s="23" t="n"/>
      <c r="AS105" s="686" t="n"/>
    </row>
    <row r="106" ht="54.6" customHeight="1" s="392">
      <c r="A106" s="672" t="n">
        <v>2026</v>
      </c>
      <c r="B106" s="673" t="inlineStr">
        <is>
          <t>DINFOTV</t>
        </is>
      </c>
      <c r="C106" s="673" t="inlineStr">
        <is>
          <t>PV N° : 01RC2025- DITV</t>
        </is>
      </c>
      <c r="D106" s="672" t="inlineStr">
        <is>
          <t>CONTRAT</t>
        </is>
      </c>
      <c r="E106" s="672" t="n"/>
      <c r="F106" s="674" t="inlineStr">
        <is>
          <t>TOSSA MUSTAPHA -  Consultant chargé de l'analyse politique et le décryptage hebdomadaire des JT en langue Française et Arabe</t>
        </is>
      </c>
      <c r="G106" s="675" t="inlineStr">
        <is>
          <t>VALIDE</t>
        </is>
      </c>
      <c r="H106" s="672" t="inlineStr">
        <is>
          <t>APPROUVE</t>
        </is>
      </c>
      <c r="I106" s="672" t="n"/>
      <c r="J106" s="675" t="inlineStr">
        <is>
          <t>NON CONCERNE</t>
        </is>
      </c>
      <c r="K106" s="672" t="inlineStr">
        <is>
          <t>Ordinaire</t>
        </is>
      </c>
      <c r="L106" s="676" t="inlineStr">
        <is>
          <t>FONCTIONNEMENT</t>
        </is>
      </c>
      <c r="M106" s="676" t="inlineStr">
        <is>
          <t>Prestations de service
Achat prestations de services locales - personnes physiques</t>
        </is>
      </c>
      <c r="N106" s="677" t="n"/>
      <c r="O106" s="678" t="n"/>
      <c r="P106" s="678" t="n"/>
      <c r="Q106" s="672" t="inlineStr">
        <is>
          <t>RECONDUCTION</t>
        </is>
      </c>
      <c r="R106" s="679" t="n"/>
      <c r="S106" s="680" t="n"/>
      <c r="T106" s="681" t="inlineStr">
        <is>
          <t>TOSSA MUSTAPHA</t>
        </is>
      </c>
      <c r="U106" s="672" t="n">
        <v>2026</v>
      </c>
      <c r="V106" s="680" t="n">
        <v>46387</v>
      </c>
      <c r="W106" s="680" t="n"/>
      <c r="X106" s="680" t="n">
        <v>46024</v>
      </c>
      <c r="Y106" s="677" t="n">
        <v>120000</v>
      </c>
      <c r="Z106" s="678" t="n">
        <v>0</v>
      </c>
      <c r="AA106" s="678">
        <f>Y106</f>
        <v/>
      </c>
      <c r="AB106" s="678" t="n">
        <v>0</v>
      </c>
      <c r="AC106" s="678">
        <f>Y106</f>
        <v/>
      </c>
      <c r="AD106" s="678">
        <f>AA106</f>
        <v/>
      </c>
      <c r="AE106" s="682" t="inlineStr">
        <is>
          <t>ENGAGE</t>
        </is>
      </c>
      <c r="AF106" s="681" t="n"/>
      <c r="AG106" s="678" t="n"/>
      <c r="AH106" s="678" t="n"/>
      <c r="AI106" s="678" t="n"/>
      <c r="AJ106" s="678" t="n"/>
      <c r="AK106" s="683" t="n"/>
      <c r="AL106" s="683" t="n"/>
      <c r="AM106" s="681" t="inlineStr">
        <is>
          <t>Manque n° contrat</t>
        </is>
      </c>
      <c r="AN106" s="684" t="n"/>
      <c r="AO106" s="685" t="n"/>
      <c r="AP106" s="686" t="n"/>
      <c r="AQ106" s="686" t="n"/>
      <c r="AR106" s="23" t="n"/>
      <c r="AS106" s="686" t="n"/>
    </row>
    <row r="107" ht="50.55" customHeight="1" s="392">
      <c r="A107" s="672" t="n">
        <v>2026</v>
      </c>
      <c r="B107" s="673" t="inlineStr">
        <is>
          <t>TV LAAYOUNE</t>
        </is>
      </c>
      <c r="C107" s="673" t="inlineStr">
        <is>
          <t>PV N° : 01RC2025-DCL</t>
        </is>
      </c>
      <c r="D107" s="672" t="inlineStr">
        <is>
          <t>CONTRAT</t>
        </is>
      </c>
      <c r="E107" s="672" t="n"/>
      <c r="F107" s="674" t="inlineStr">
        <is>
          <t>SALEK BOUJDOUR -  Préparation et Présentation "HADITH ALMADINA"</t>
        </is>
      </c>
      <c r="G107" s="675" t="inlineStr">
        <is>
          <t>VALIDE</t>
        </is>
      </c>
      <c r="H107" s="672" t="inlineStr">
        <is>
          <t>APPROUVE</t>
        </is>
      </c>
      <c r="I107" s="672" t="n"/>
      <c r="J107" s="675" t="inlineStr">
        <is>
          <t>NON CONCERNE</t>
        </is>
      </c>
      <c r="K107" s="672" t="inlineStr">
        <is>
          <t>Ordinaire</t>
        </is>
      </c>
      <c r="L107" s="676" t="inlineStr">
        <is>
          <t>FONCTIONNEMENT</t>
        </is>
      </c>
      <c r="M107" s="676" t="inlineStr">
        <is>
          <t>Prestations de service
Achat prestations de services locales - personnes physiques</t>
        </is>
      </c>
      <c r="N107" s="677" t="n"/>
      <c r="O107" s="678" t="n"/>
      <c r="P107" s="678" t="n"/>
      <c r="Q107" s="672" t="inlineStr">
        <is>
          <t>RECONDUCTION</t>
        </is>
      </c>
      <c r="R107" s="679" t="n"/>
      <c r="S107" s="680" t="n"/>
      <c r="T107" s="681" t="inlineStr">
        <is>
          <t>SALEK BOUJDOUR</t>
        </is>
      </c>
      <c r="U107" s="672" t="n">
        <v>2026</v>
      </c>
      <c r="V107" s="680" t="n">
        <v>46387</v>
      </c>
      <c r="W107" s="680" t="n"/>
      <c r="X107" s="680" t="n">
        <v>46024</v>
      </c>
      <c r="Y107" s="677" t="n">
        <v>171428.64</v>
      </c>
      <c r="Z107" s="678" t="n">
        <v>0</v>
      </c>
      <c r="AA107" s="678">
        <f>Y107</f>
        <v/>
      </c>
      <c r="AB107" s="678" t="n">
        <v>0</v>
      </c>
      <c r="AC107" s="678">
        <f>AA107</f>
        <v/>
      </c>
      <c r="AD107" s="678">
        <f>AC107</f>
        <v/>
      </c>
      <c r="AE107" s="682" t="inlineStr">
        <is>
          <t>ENGAGE</t>
        </is>
      </c>
      <c r="AF107" s="681" t="n"/>
      <c r="AG107" s="678" t="n"/>
      <c r="AH107" s="678" t="n"/>
      <c r="AI107" s="678" t="n"/>
      <c r="AJ107" s="678" t="n"/>
      <c r="AK107" s="683" t="n"/>
      <c r="AL107" s="683" t="n"/>
      <c r="AM107" s="681" t="inlineStr">
        <is>
          <t>Manque n° contrat</t>
        </is>
      </c>
      <c r="AN107" s="684" t="n"/>
      <c r="AO107" s="685" t="n"/>
      <c r="AP107" s="686" t="n"/>
      <c r="AQ107" s="686" t="n"/>
      <c r="AR107" s="23" t="n"/>
      <c r="AS107" s="686" t="n"/>
    </row>
    <row r="108" ht="50.55" customHeight="1" s="392">
      <c r="A108" s="672" t="n">
        <v>2026</v>
      </c>
      <c r="B108" s="673" t="inlineStr">
        <is>
          <t>TV LAAYOUNE</t>
        </is>
      </c>
      <c r="C108" s="673" t="inlineStr">
        <is>
          <t>PV N° : 01RC2025-DCL</t>
        </is>
      </c>
      <c r="D108" s="672" t="inlineStr">
        <is>
          <t>CONTRAT</t>
        </is>
      </c>
      <c r="E108" s="672" t="n"/>
      <c r="F108" s="674" t="inlineStr">
        <is>
          <t>EL MOUGUAF AMGHAYER  -  Préparation et présentation de l'émission intitulée : " TOURATHAK LAK "</t>
        </is>
      </c>
      <c r="G108" s="675" t="inlineStr">
        <is>
          <t>VALIDE</t>
        </is>
      </c>
      <c r="H108" s="672" t="inlineStr">
        <is>
          <t>APPROUVE</t>
        </is>
      </c>
      <c r="I108" s="672" t="n"/>
      <c r="J108" s="675" t="inlineStr">
        <is>
          <t>NON CONCERNE</t>
        </is>
      </c>
      <c r="K108" s="672" t="inlineStr">
        <is>
          <t>Ordinaire</t>
        </is>
      </c>
      <c r="L108" s="676" t="inlineStr">
        <is>
          <t>FONCTIONNEMENT</t>
        </is>
      </c>
      <c r="M108" s="676" t="inlineStr">
        <is>
          <t>Prestations de service
Achat prestations de services locales - personnes physiques</t>
        </is>
      </c>
      <c r="N108" s="677" t="n"/>
      <c r="O108" s="678" t="n"/>
      <c r="P108" s="678" t="n"/>
      <c r="Q108" s="672" t="inlineStr">
        <is>
          <t>RECONDUCTION</t>
        </is>
      </c>
      <c r="R108" s="679" t="n"/>
      <c r="S108" s="680" t="n"/>
      <c r="T108" s="681" t="inlineStr">
        <is>
          <t>EL MOUGUAF AMGHAYER</t>
        </is>
      </c>
      <c r="U108" s="672" t="n">
        <v>2026</v>
      </c>
      <c r="V108" s="680" t="n">
        <v>46387</v>
      </c>
      <c r="W108" s="680" t="n"/>
      <c r="X108" s="680" t="n">
        <v>46024</v>
      </c>
      <c r="Y108" s="677" t="n">
        <v>280000</v>
      </c>
      <c r="Z108" s="678" t="n">
        <v>0</v>
      </c>
      <c r="AA108" s="678">
        <f>Y108</f>
        <v/>
      </c>
      <c r="AB108" s="678" t="n">
        <v>0</v>
      </c>
      <c r="AC108" s="678">
        <f>AA108</f>
        <v/>
      </c>
      <c r="AD108" s="678">
        <f>AC108</f>
        <v/>
      </c>
      <c r="AE108" s="682" t="inlineStr">
        <is>
          <t>ENGAGE</t>
        </is>
      </c>
      <c r="AF108" s="681" t="n"/>
      <c r="AG108" s="678" t="n"/>
      <c r="AH108" s="678" t="n"/>
      <c r="AI108" s="678" t="n"/>
      <c r="AJ108" s="678" t="n"/>
      <c r="AK108" s="683" t="n"/>
      <c r="AL108" s="683" t="n"/>
      <c r="AM108" s="681" t="inlineStr">
        <is>
          <t>Manque n° contrat</t>
        </is>
      </c>
      <c r="AN108" s="684" t="n"/>
      <c r="AO108" s="685" t="n"/>
      <c r="AP108" s="686" t="n"/>
      <c r="AQ108" s="686" t="n"/>
      <c r="AR108" s="23" t="n"/>
      <c r="AS108" s="686" t="n"/>
    </row>
    <row r="109" ht="50.55" customHeight="1" s="392">
      <c r="A109" s="672" t="n">
        <v>2026</v>
      </c>
      <c r="B109" s="673" t="inlineStr">
        <is>
          <t>TV LAAYOUNE</t>
        </is>
      </c>
      <c r="C109" s="673" t="inlineStr">
        <is>
          <t>PV N° : 01RC2025-DCL</t>
        </is>
      </c>
      <c r="D109" s="672" t="inlineStr">
        <is>
          <t>CONTRAT</t>
        </is>
      </c>
      <c r="E109" s="672" t="n"/>
      <c r="F109" s="674" t="inlineStr">
        <is>
          <t>YASSINE OMARI  -  Préparation quotidienne des revues de presses écrite nationale et Internationale</t>
        </is>
      </c>
      <c r="G109" s="675" t="inlineStr">
        <is>
          <t>VALIDE</t>
        </is>
      </c>
      <c r="H109" s="672" t="inlineStr">
        <is>
          <t>APPROUVE</t>
        </is>
      </c>
      <c r="I109" s="672" t="n"/>
      <c r="J109" s="675" t="inlineStr">
        <is>
          <t>NON CONCERNE</t>
        </is>
      </c>
      <c r="K109" s="672" t="inlineStr">
        <is>
          <t>Ordinaire</t>
        </is>
      </c>
      <c r="L109" s="676" t="inlineStr">
        <is>
          <t>FONCTIONNEMENT</t>
        </is>
      </c>
      <c r="M109" s="676" t="inlineStr">
        <is>
          <t>Prestations de service
Achat prestations de services locales - personnes physiques</t>
        </is>
      </c>
      <c r="N109" s="677" t="n"/>
      <c r="O109" s="678" t="n"/>
      <c r="P109" s="678" t="n"/>
      <c r="Q109" s="672" t="inlineStr">
        <is>
          <t>RECONDUCTION</t>
        </is>
      </c>
      <c r="R109" s="679" t="n"/>
      <c r="S109" s="680" t="n"/>
      <c r="T109" s="681" t="inlineStr">
        <is>
          <t>YASSINE OMARI</t>
        </is>
      </c>
      <c r="U109" s="672" t="n">
        <v>2026</v>
      </c>
      <c r="V109" s="680" t="n">
        <v>46387</v>
      </c>
      <c r="W109" s="680" t="n"/>
      <c r="X109" s="680" t="n">
        <v>46024</v>
      </c>
      <c r="Y109" s="677" t="n">
        <v>171429.12</v>
      </c>
      <c r="Z109" s="678" t="n">
        <v>0</v>
      </c>
      <c r="AA109" s="678">
        <f>Y109</f>
        <v/>
      </c>
      <c r="AB109" s="678" t="n">
        <v>0</v>
      </c>
      <c r="AC109" s="678">
        <f>AA109</f>
        <v/>
      </c>
      <c r="AD109" s="678">
        <f>AC109</f>
        <v/>
      </c>
      <c r="AE109" s="682" t="inlineStr">
        <is>
          <t>ENGAGE</t>
        </is>
      </c>
      <c r="AF109" s="681" t="n"/>
      <c r="AG109" s="678" t="n"/>
      <c r="AH109" s="678" t="n"/>
      <c r="AI109" s="678" t="n"/>
      <c r="AJ109" s="678" t="n"/>
      <c r="AK109" s="683" t="n"/>
      <c r="AL109" s="683" t="n"/>
      <c r="AM109" s="681" t="inlineStr">
        <is>
          <t>Manque n° contrat</t>
        </is>
      </c>
      <c r="AN109" s="684" t="n"/>
      <c r="AO109" s="685" t="n"/>
      <c r="AP109" s="686" t="n"/>
      <c r="AQ109" s="686" t="n"/>
      <c r="AR109" s="23" t="n"/>
      <c r="AS109" s="686" t="n"/>
    </row>
    <row r="110" ht="50.55" customHeight="1" s="392">
      <c r="A110" s="672" t="n">
        <v>2026</v>
      </c>
      <c r="B110" s="673" t="inlineStr">
        <is>
          <t>TV LAAYOUNE</t>
        </is>
      </c>
      <c r="C110" s="673" t="inlineStr">
        <is>
          <t>PV N° : 01RC2025-DCL</t>
        </is>
      </c>
      <c r="D110" s="672" t="inlineStr">
        <is>
          <t>CONTRAT</t>
        </is>
      </c>
      <c r="E110" s="672" t="n"/>
      <c r="F110" s="674" t="inlineStr">
        <is>
          <t>MAHMOUD AIYACH   -  Préparation et la présentation d'une émission produite en interne intitulée " MAA NASS "</t>
        </is>
      </c>
      <c r="G110" s="675" t="inlineStr">
        <is>
          <t>VALIDE</t>
        </is>
      </c>
      <c r="H110" s="672" t="inlineStr">
        <is>
          <t>APPROUVE</t>
        </is>
      </c>
      <c r="I110" s="672" t="n"/>
      <c r="J110" s="675" t="inlineStr">
        <is>
          <t>NON CONCERNE</t>
        </is>
      </c>
      <c r="K110" s="672" t="inlineStr">
        <is>
          <t>Ordinaire</t>
        </is>
      </c>
      <c r="L110" s="676" t="inlineStr">
        <is>
          <t>FONCTIONNEMENT</t>
        </is>
      </c>
      <c r="M110" s="676" t="inlineStr">
        <is>
          <t>Prestations de service
Achat prestations de services locales - personnes physiques</t>
        </is>
      </c>
      <c r="N110" s="677" t="n"/>
      <c r="O110" s="678" t="n"/>
      <c r="P110" s="678" t="n"/>
      <c r="Q110" s="672" t="inlineStr">
        <is>
          <t>RECONDUCTION</t>
        </is>
      </c>
      <c r="R110" s="679" t="n"/>
      <c r="S110" s="680" t="n"/>
      <c r="T110" s="681" t="inlineStr">
        <is>
          <t>MAHMOUD AIYACH</t>
        </is>
      </c>
      <c r="U110" s="672" t="n">
        <v>2026</v>
      </c>
      <c r="V110" s="680" t="n">
        <v>46387</v>
      </c>
      <c r="W110" s="680" t="n"/>
      <c r="X110" s="680" t="n">
        <v>46024</v>
      </c>
      <c r="Y110" s="677" t="n">
        <v>257142.9</v>
      </c>
      <c r="Z110" s="678" t="n">
        <v>0</v>
      </c>
      <c r="AA110" s="678">
        <f>Y110</f>
        <v/>
      </c>
      <c r="AB110" s="678" t="n">
        <v>0</v>
      </c>
      <c r="AC110" s="678">
        <f>AA110</f>
        <v/>
      </c>
      <c r="AD110" s="678">
        <f>AC110</f>
        <v/>
      </c>
      <c r="AE110" s="682" t="inlineStr">
        <is>
          <t>ENGAGE</t>
        </is>
      </c>
      <c r="AF110" s="681" t="n"/>
      <c r="AG110" s="678" t="n"/>
      <c r="AH110" s="678" t="n"/>
      <c r="AI110" s="678" t="n"/>
      <c r="AJ110" s="678" t="n"/>
      <c r="AK110" s="683" t="n"/>
      <c r="AL110" s="683" t="n"/>
      <c r="AM110" s="681" t="inlineStr">
        <is>
          <t>Manque n° contrat</t>
        </is>
      </c>
      <c r="AN110" s="684" t="n"/>
      <c r="AO110" s="685" t="n"/>
      <c r="AP110" s="686" t="n"/>
      <c r="AQ110" s="686" t="n"/>
      <c r="AR110" s="23" t="n"/>
      <c r="AS110" s="686" t="n"/>
    </row>
    <row r="111" ht="54.6" customHeight="1" s="392">
      <c r="A111" s="672" t="n">
        <v>2026</v>
      </c>
      <c r="B111" s="673" t="inlineStr">
        <is>
          <t>TV LAAYOUNE</t>
        </is>
      </c>
      <c r="C111" s="673" t="inlineStr">
        <is>
          <t>PV N° : 01RC2025-DCL</t>
        </is>
      </c>
      <c r="D111" s="672" t="inlineStr">
        <is>
          <t>CONTRAT</t>
        </is>
      </c>
      <c r="E111" s="672" t="n"/>
      <c r="F111" s="674" t="inlineStr">
        <is>
          <t>MARYAM EDDAH  -  Chargée de l'Autopromotion et de l’établissement de la grille et des conducteurs de diffusion.</t>
        </is>
      </c>
      <c r="G111" s="675" t="inlineStr">
        <is>
          <t>VALIDE</t>
        </is>
      </c>
      <c r="H111" s="672" t="inlineStr">
        <is>
          <t>APPROUVE</t>
        </is>
      </c>
      <c r="I111" s="672" t="n"/>
      <c r="J111" s="675" t="inlineStr">
        <is>
          <t>NON CONCERNE</t>
        </is>
      </c>
      <c r="K111" s="672" t="inlineStr">
        <is>
          <t>Ordinaire</t>
        </is>
      </c>
      <c r="L111" s="676" t="inlineStr">
        <is>
          <t>FONCTIONNEMENT</t>
        </is>
      </c>
      <c r="M111" s="676" t="inlineStr">
        <is>
          <t>Prestations de service
Achat prestations de services locales - personnes physiques</t>
        </is>
      </c>
      <c r="N111" s="677" t="n"/>
      <c r="O111" s="678" t="n"/>
      <c r="P111" s="678" t="n"/>
      <c r="Q111" s="672" t="inlineStr">
        <is>
          <t>RECONDUCTION</t>
        </is>
      </c>
      <c r="R111" s="679" t="n"/>
      <c r="S111" s="680" t="n"/>
      <c r="T111" s="681" t="inlineStr">
        <is>
          <t>MARYAM EDDAH</t>
        </is>
      </c>
      <c r="U111" s="672" t="n">
        <v>2026</v>
      </c>
      <c r="V111" s="680" t="n">
        <v>46387</v>
      </c>
      <c r="W111" s="680" t="n"/>
      <c r="X111" s="680" t="n">
        <v>46024</v>
      </c>
      <c r="Y111" s="677" t="n">
        <v>181800</v>
      </c>
      <c r="Z111" s="678" t="n">
        <v>0</v>
      </c>
      <c r="AA111" s="678">
        <f>Y111</f>
        <v/>
      </c>
      <c r="AB111" s="678" t="n">
        <v>0</v>
      </c>
      <c r="AC111" s="678">
        <f>AA111</f>
        <v/>
      </c>
      <c r="AD111" s="678">
        <f>AC111</f>
        <v/>
      </c>
      <c r="AE111" s="682" t="inlineStr">
        <is>
          <t>ENGAGE</t>
        </is>
      </c>
      <c r="AF111" s="681" t="n"/>
      <c r="AG111" s="678" t="n"/>
      <c r="AH111" s="678" t="n"/>
      <c r="AI111" s="678" t="n"/>
      <c r="AJ111" s="678" t="n"/>
      <c r="AK111" s="683" t="n"/>
      <c r="AL111" s="683" t="n"/>
      <c r="AM111" s="681" t="inlineStr">
        <is>
          <t>Manque n° contrat</t>
        </is>
      </c>
      <c r="AN111" s="684" t="n"/>
      <c r="AO111" s="685" t="n"/>
      <c r="AP111" s="686" t="n"/>
      <c r="AQ111" s="686" t="n"/>
      <c r="AR111" s="23" t="n"/>
      <c r="AS111" s="686" t="n"/>
    </row>
    <row r="112" ht="50.55" customHeight="1" s="392">
      <c r="A112" s="672" t="n">
        <v>2026</v>
      </c>
      <c r="B112" s="673" t="inlineStr">
        <is>
          <t>MAGHRIBIA</t>
        </is>
      </c>
      <c r="C112" s="673" t="inlineStr">
        <is>
          <t>PV N° : 01RC2025-DCCMCITV</t>
        </is>
      </c>
      <c r="D112" s="672" t="inlineStr">
        <is>
          <t>CONTRAT</t>
        </is>
      </c>
      <c r="E112" s="672" t="n"/>
      <c r="F112" s="674" t="inlineStr">
        <is>
          <t>OTHMANE RABBAH  -  Technicien infographiste</t>
        </is>
      </c>
      <c r="G112" s="675" t="inlineStr">
        <is>
          <t>VALIDE</t>
        </is>
      </c>
      <c r="H112" s="672" t="inlineStr">
        <is>
          <t>APPROUVE</t>
        </is>
      </c>
      <c r="I112" s="672" t="n"/>
      <c r="J112" s="675" t="inlineStr">
        <is>
          <t>NON CONCERNE</t>
        </is>
      </c>
      <c r="K112" s="672" t="inlineStr">
        <is>
          <t>Ordinaire</t>
        </is>
      </c>
      <c r="L112" s="676" t="inlineStr">
        <is>
          <t>FONCTIONNEMENT</t>
        </is>
      </c>
      <c r="M112" s="676" t="inlineStr">
        <is>
          <t xml:space="preserve">Prestations de service
Achat prestations de services locales - personnes physiques </t>
        </is>
      </c>
      <c r="N112" s="677" t="n"/>
      <c r="O112" s="678" t="n"/>
      <c r="P112" s="678" t="n"/>
      <c r="Q112" s="672" t="inlineStr">
        <is>
          <t>RECONDUCTION</t>
        </is>
      </c>
      <c r="R112" s="679" t="n"/>
      <c r="S112" s="680" t="n"/>
      <c r="T112" s="681" t="inlineStr">
        <is>
          <t>OTHMANE RABBAH</t>
        </is>
      </c>
      <c r="U112" s="672" t="n">
        <v>2026</v>
      </c>
      <c r="V112" s="680" t="n">
        <v>46387</v>
      </c>
      <c r="W112" s="680" t="n"/>
      <c r="X112" s="680" t="n">
        <v>46024</v>
      </c>
      <c r="Y112" s="677" t="n">
        <v>144000</v>
      </c>
      <c r="Z112" s="678" t="n">
        <v>0</v>
      </c>
      <c r="AA112" s="678">
        <f>Y112</f>
        <v/>
      </c>
      <c r="AB112" s="678" t="n">
        <v>0</v>
      </c>
      <c r="AC112" s="678">
        <f>AA112</f>
        <v/>
      </c>
      <c r="AD112" s="678">
        <f>AC112</f>
        <v/>
      </c>
      <c r="AE112" s="682" t="inlineStr">
        <is>
          <t>ENGAGE</t>
        </is>
      </c>
      <c r="AF112" s="681" t="n"/>
      <c r="AG112" s="678" t="n"/>
      <c r="AH112" s="678" t="n"/>
      <c r="AI112" s="678" t="n"/>
      <c r="AJ112" s="678" t="n"/>
      <c r="AK112" s="683" t="n"/>
      <c r="AL112" s="683" t="n"/>
      <c r="AM112" s="681" t="inlineStr">
        <is>
          <t>Manque n° contrat</t>
        </is>
      </c>
      <c r="AN112" s="684" t="n"/>
      <c r="AO112" s="685" t="n"/>
      <c r="AP112" s="686" t="n"/>
      <c r="AQ112" s="686" t="n"/>
      <c r="AR112" s="23" t="n"/>
      <c r="AS112" s="686" t="n"/>
    </row>
    <row r="113" ht="50.55" customHeight="1" s="392">
      <c r="A113" s="672" t="n">
        <v>2026</v>
      </c>
      <c r="B113" s="673" t="inlineStr">
        <is>
          <t>MAGHRIBIA</t>
        </is>
      </c>
      <c r="C113" s="673" t="inlineStr">
        <is>
          <t>PV N° : 01RC2025-DCCMCITV</t>
        </is>
      </c>
      <c r="D113" s="672" t="inlineStr">
        <is>
          <t>CONTRAT</t>
        </is>
      </c>
      <c r="E113" s="672" t="n"/>
      <c r="F113" s="674" t="inlineStr">
        <is>
          <t>HIBA TOUANINA  -  Technicienne Scripte</t>
        </is>
      </c>
      <c r="G113" s="675" t="inlineStr">
        <is>
          <t>VALIDE</t>
        </is>
      </c>
      <c r="H113" s="672" t="inlineStr">
        <is>
          <t>APPROUVE</t>
        </is>
      </c>
      <c r="I113" s="672" t="n"/>
      <c r="J113" s="675" t="inlineStr">
        <is>
          <t>NON CONCERNE</t>
        </is>
      </c>
      <c r="K113" s="672" t="inlineStr">
        <is>
          <t>Ordinaire</t>
        </is>
      </c>
      <c r="L113" s="676" t="inlineStr">
        <is>
          <t>FONCTIONNEMENT</t>
        </is>
      </c>
      <c r="M113" s="676" t="inlineStr">
        <is>
          <t xml:space="preserve">Prestations de service
Achat prestations de services locales - personnes physiques </t>
        </is>
      </c>
      <c r="N113" s="677" t="n"/>
      <c r="O113" s="678" t="n"/>
      <c r="P113" s="678" t="n"/>
      <c r="Q113" s="672" t="inlineStr">
        <is>
          <t>RECONDUCTION</t>
        </is>
      </c>
      <c r="R113" s="679" t="n"/>
      <c r="S113" s="680" t="n"/>
      <c r="T113" s="681" t="inlineStr">
        <is>
          <t>HIBA TOUANINA</t>
        </is>
      </c>
      <c r="U113" s="672" t="n">
        <v>2026</v>
      </c>
      <c r="V113" s="680" t="n">
        <v>46387</v>
      </c>
      <c r="W113" s="680" t="n"/>
      <c r="X113" s="680" t="n">
        <v>46024</v>
      </c>
      <c r="Y113" s="677" t="n">
        <v>100800</v>
      </c>
      <c r="Z113" s="678" t="n">
        <v>0</v>
      </c>
      <c r="AA113" s="678">
        <f>Y113</f>
        <v/>
      </c>
      <c r="AB113" s="678" t="n">
        <v>0</v>
      </c>
      <c r="AC113" s="678">
        <f>AA113</f>
        <v/>
      </c>
      <c r="AD113" s="678">
        <f>AC113</f>
        <v/>
      </c>
      <c r="AE113" s="682" t="inlineStr">
        <is>
          <t>ENGAGE</t>
        </is>
      </c>
      <c r="AF113" s="681" t="n"/>
      <c r="AG113" s="678" t="n"/>
      <c r="AH113" s="678" t="n"/>
      <c r="AI113" s="678" t="n"/>
      <c r="AJ113" s="678" t="n"/>
      <c r="AK113" s="683" t="n"/>
      <c r="AL113" s="683" t="n"/>
      <c r="AM113" s="681" t="inlineStr">
        <is>
          <t>Manque n° contrat</t>
        </is>
      </c>
      <c r="AN113" s="684" t="n"/>
      <c r="AO113" s="685" t="n"/>
      <c r="AP113" s="686" t="n"/>
      <c r="AQ113" s="686" t="n"/>
      <c r="AR113" s="23" t="n"/>
      <c r="AS113" s="686" t="n"/>
    </row>
    <row r="114" ht="50.55" customHeight="1" s="392">
      <c r="A114" s="672" t="n">
        <v>2026</v>
      </c>
      <c r="B114" s="673" t="inlineStr">
        <is>
          <t>MAGHRIBIA</t>
        </is>
      </c>
      <c r="C114" s="673" t="inlineStr">
        <is>
          <t>PV N° : 01RC2025-DCCMCITV</t>
        </is>
      </c>
      <c r="D114" s="672" t="inlineStr">
        <is>
          <t>CONTRAT</t>
        </is>
      </c>
      <c r="E114" s="672" t="n"/>
      <c r="F114" s="674" t="inlineStr">
        <is>
          <t>FATIMA ZAHRA BOUMBAREK  -  Technicienne assistante Réalisatrice</t>
        </is>
      </c>
      <c r="G114" s="675" t="inlineStr">
        <is>
          <t>VALIDE</t>
        </is>
      </c>
      <c r="H114" s="672" t="inlineStr">
        <is>
          <t>APPROUVE</t>
        </is>
      </c>
      <c r="I114" s="672" t="n"/>
      <c r="J114" s="675" t="inlineStr">
        <is>
          <t>NON CONCERNE</t>
        </is>
      </c>
      <c r="K114" s="672" t="inlineStr">
        <is>
          <t>Ordinaire</t>
        </is>
      </c>
      <c r="L114" s="676" t="inlineStr">
        <is>
          <t>FONCTIONNEMENT</t>
        </is>
      </c>
      <c r="M114" s="676" t="inlineStr">
        <is>
          <t xml:space="preserve">Prestations de service
Achat prestations de services locales - personnes physiques </t>
        </is>
      </c>
      <c r="N114" s="677" t="n"/>
      <c r="O114" s="678" t="n"/>
      <c r="P114" s="678" t="n"/>
      <c r="Q114" s="672" t="inlineStr">
        <is>
          <t>RECONDUCTION</t>
        </is>
      </c>
      <c r="R114" s="679" t="n"/>
      <c r="S114" s="680" t="n"/>
      <c r="T114" s="681" t="inlineStr">
        <is>
          <t>FATIMA ZAHRA BOUMBAREK</t>
        </is>
      </c>
      <c r="U114" s="672" t="n">
        <v>2026</v>
      </c>
      <c r="V114" s="680" t="n">
        <v>46387</v>
      </c>
      <c r="W114" s="680" t="n"/>
      <c r="X114" s="680" t="n">
        <v>46024</v>
      </c>
      <c r="Y114" s="677" t="n">
        <v>100800</v>
      </c>
      <c r="Z114" s="678" t="n">
        <v>0</v>
      </c>
      <c r="AA114" s="678">
        <f>Y114</f>
        <v/>
      </c>
      <c r="AB114" s="678" t="n">
        <v>0</v>
      </c>
      <c r="AC114" s="678">
        <f>AA114</f>
        <v/>
      </c>
      <c r="AD114" s="678">
        <f>AC114</f>
        <v/>
      </c>
      <c r="AE114" s="682" t="inlineStr">
        <is>
          <t>ENGAGE</t>
        </is>
      </c>
      <c r="AF114" s="681" t="n"/>
      <c r="AG114" s="678" t="n"/>
      <c r="AH114" s="678" t="n"/>
      <c r="AI114" s="678" t="n"/>
      <c r="AJ114" s="678" t="n"/>
      <c r="AK114" s="683" t="n"/>
      <c r="AL114" s="683" t="n"/>
      <c r="AM114" s="681" t="inlineStr">
        <is>
          <t>Manque n° contrat</t>
        </is>
      </c>
      <c r="AN114" s="684" t="n"/>
      <c r="AO114" s="685" t="n"/>
      <c r="AP114" s="686" t="n"/>
      <c r="AQ114" s="686" t="n"/>
      <c r="AR114" s="23" t="n"/>
      <c r="AS114" s="686" t="n"/>
    </row>
    <row r="115" ht="50.55" customHeight="1" s="392">
      <c r="A115" s="672" t="n">
        <v>2026</v>
      </c>
      <c r="B115" s="673" t="inlineStr">
        <is>
          <t>MAGHRIBIA</t>
        </is>
      </c>
      <c r="C115" s="673" t="inlineStr">
        <is>
          <t>PV N° : 01RC2025-DCCMCITV</t>
        </is>
      </c>
      <c r="D115" s="672" t="inlineStr">
        <is>
          <t>CONTRAT</t>
        </is>
      </c>
      <c r="E115" s="672" t="n"/>
      <c r="F115" s="674" t="inlineStr">
        <is>
          <t>OUMAIMA NACHAR  -  Journaliste présentatrice</t>
        </is>
      </c>
      <c r="G115" s="675" t="inlineStr">
        <is>
          <t>VALIDE</t>
        </is>
      </c>
      <c r="H115" s="672" t="inlineStr">
        <is>
          <t>APPROUVE</t>
        </is>
      </c>
      <c r="I115" s="672" t="n"/>
      <c r="J115" s="675" t="inlineStr">
        <is>
          <t>NON CONCERNE</t>
        </is>
      </c>
      <c r="K115" s="672" t="inlineStr">
        <is>
          <t>Ordinaire</t>
        </is>
      </c>
      <c r="L115" s="676" t="inlineStr">
        <is>
          <t>FONCTIONNEMENT</t>
        </is>
      </c>
      <c r="M115" s="676" t="inlineStr">
        <is>
          <t xml:space="preserve">Prestations de service
Achat prestations de services locales - personnes physiques </t>
        </is>
      </c>
      <c r="N115" s="677" t="n"/>
      <c r="O115" s="678" t="n"/>
      <c r="P115" s="678" t="n"/>
      <c r="Q115" s="672" t="inlineStr">
        <is>
          <t>RECONDUCTION</t>
        </is>
      </c>
      <c r="R115" s="679" t="n"/>
      <c r="S115" s="680" t="n"/>
      <c r="T115" s="681" t="inlineStr">
        <is>
          <t>OUMAIMA NACHAR</t>
        </is>
      </c>
      <c r="U115" s="672" t="n">
        <v>2026</v>
      </c>
      <c r="V115" s="680" t="n">
        <v>46387</v>
      </c>
      <c r="W115" s="680" t="n"/>
      <c r="X115" s="680" t="n">
        <v>46024</v>
      </c>
      <c r="Y115" s="677" t="n">
        <v>144000</v>
      </c>
      <c r="Z115" s="678" t="n">
        <v>0</v>
      </c>
      <c r="AA115" s="678">
        <f>Y115</f>
        <v/>
      </c>
      <c r="AB115" s="678" t="n">
        <v>0</v>
      </c>
      <c r="AC115" s="678">
        <f>AA115</f>
        <v/>
      </c>
      <c r="AD115" s="678">
        <f>AC115</f>
        <v/>
      </c>
      <c r="AE115" s="682" t="inlineStr">
        <is>
          <t>ENGAGE</t>
        </is>
      </c>
      <c r="AF115" s="681" t="n"/>
      <c r="AG115" s="678" t="n"/>
      <c r="AH115" s="678" t="n"/>
      <c r="AI115" s="678" t="n"/>
      <c r="AJ115" s="678" t="n"/>
      <c r="AK115" s="683" t="n"/>
      <c r="AL115" s="683" t="n"/>
      <c r="AM115" s="681" t="inlineStr">
        <is>
          <t>Manque n° contrat</t>
        </is>
      </c>
      <c r="AN115" s="684" t="n"/>
      <c r="AO115" s="685" t="n"/>
      <c r="AP115" s="686" t="n"/>
      <c r="AQ115" s="686" t="n"/>
      <c r="AR115" s="23" t="n"/>
      <c r="AS115" s="686" t="n"/>
    </row>
    <row r="116" ht="50.55" customHeight="1" s="392">
      <c r="A116" s="672" t="n">
        <v>2026</v>
      </c>
      <c r="B116" s="673" t="inlineStr">
        <is>
          <t>MAGHRIBIA</t>
        </is>
      </c>
      <c r="C116" s="673" t="inlineStr">
        <is>
          <t>PV N° : 01RC2025-DCCMCITV</t>
        </is>
      </c>
      <c r="D116" s="672" t="inlineStr">
        <is>
          <t>CONTRAT</t>
        </is>
      </c>
      <c r="E116" s="672" t="n"/>
      <c r="F116" s="674" t="inlineStr">
        <is>
          <t>NIDAL OUJIL  -  Journaliste présentatrice</t>
        </is>
      </c>
      <c r="G116" s="675" t="inlineStr">
        <is>
          <t>VALIDE</t>
        </is>
      </c>
      <c r="H116" s="672" t="inlineStr">
        <is>
          <t>APPROUVE</t>
        </is>
      </c>
      <c r="I116" s="672" t="n"/>
      <c r="J116" s="675" t="inlineStr">
        <is>
          <t>NON CONCERNE</t>
        </is>
      </c>
      <c r="K116" s="672" t="inlineStr">
        <is>
          <t>Ordinaire</t>
        </is>
      </c>
      <c r="L116" s="676" t="inlineStr">
        <is>
          <t>FONCTIONNEMENT</t>
        </is>
      </c>
      <c r="M116" s="676" t="inlineStr">
        <is>
          <t xml:space="preserve">Prestations de service
Achat prestations de services locales - personnes physiques </t>
        </is>
      </c>
      <c r="N116" s="677" t="n"/>
      <c r="O116" s="678" t="n"/>
      <c r="P116" s="678" t="n"/>
      <c r="Q116" s="672" t="inlineStr">
        <is>
          <t>RECONDUCTION</t>
        </is>
      </c>
      <c r="R116" s="679" t="n"/>
      <c r="S116" s="680" t="n"/>
      <c r="T116" s="681" t="inlineStr">
        <is>
          <t>NIDAL OUJI</t>
        </is>
      </c>
      <c r="U116" s="672" t="n">
        <v>2026</v>
      </c>
      <c r="V116" s="680" t="n">
        <v>46387</v>
      </c>
      <c r="W116" s="680" t="n"/>
      <c r="X116" s="680" t="n">
        <v>46024</v>
      </c>
      <c r="Y116" s="677" t="n">
        <v>144000</v>
      </c>
      <c r="Z116" s="678" t="n">
        <v>0</v>
      </c>
      <c r="AA116" s="678">
        <f>Y116</f>
        <v/>
      </c>
      <c r="AB116" s="678" t="n">
        <v>0</v>
      </c>
      <c r="AC116" s="678">
        <f>AA116</f>
        <v/>
      </c>
      <c r="AD116" s="678">
        <f>AC116</f>
        <v/>
      </c>
      <c r="AE116" s="682" t="inlineStr">
        <is>
          <t>ENGAGE</t>
        </is>
      </c>
      <c r="AF116" s="681" t="n"/>
      <c r="AG116" s="678" t="n"/>
      <c r="AH116" s="678" t="n"/>
      <c r="AI116" s="678" t="n"/>
      <c r="AJ116" s="678" t="n"/>
      <c r="AK116" s="683" t="n"/>
      <c r="AL116" s="683" t="n"/>
      <c r="AM116" s="681" t="inlineStr">
        <is>
          <t>Manque n° contrat</t>
        </is>
      </c>
      <c r="AN116" s="684" t="n"/>
      <c r="AO116" s="685" t="n"/>
      <c r="AP116" s="686" t="n"/>
      <c r="AQ116" s="686" t="n"/>
      <c r="AR116" s="23" t="n"/>
      <c r="AS116" s="686" t="n"/>
    </row>
    <row r="117" ht="50.55" customHeight="1" s="392">
      <c r="A117" s="672" t="n">
        <v>2026</v>
      </c>
      <c r="B117" s="673" t="inlineStr">
        <is>
          <t>MAGHRIBIA</t>
        </is>
      </c>
      <c r="C117" s="673" t="inlineStr">
        <is>
          <t>PV N° : 01RC2025-DCCMCITV</t>
        </is>
      </c>
      <c r="D117" s="672" t="inlineStr">
        <is>
          <t>CONTRAT</t>
        </is>
      </c>
      <c r="E117" s="672" t="n"/>
      <c r="F117" s="674" t="inlineStr">
        <is>
          <t>ABDELLATIF AMRANI ZERIFI  -  Technicien assistant réalisateur</t>
        </is>
      </c>
      <c r="G117" s="675" t="inlineStr">
        <is>
          <t>VALIDE</t>
        </is>
      </c>
      <c r="H117" s="672" t="inlineStr">
        <is>
          <t>APPROUVE</t>
        </is>
      </c>
      <c r="I117" s="672" t="n"/>
      <c r="J117" s="675" t="inlineStr">
        <is>
          <t>NON CONCERNE</t>
        </is>
      </c>
      <c r="K117" s="672" t="inlineStr">
        <is>
          <t>Ordinaire</t>
        </is>
      </c>
      <c r="L117" s="676" t="inlineStr">
        <is>
          <t>FONCTIONNEMENT</t>
        </is>
      </c>
      <c r="M117" s="676" t="inlineStr">
        <is>
          <t xml:space="preserve">Prestations de service
Achat prestations de services locales - personnes physiques </t>
        </is>
      </c>
      <c r="N117" s="677" t="n"/>
      <c r="O117" s="678" t="n"/>
      <c r="P117" s="678" t="n"/>
      <c r="Q117" s="672" t="inlineStr">
        <is>
          <t>RECONDUCTION</t>
        </is>
      </c>
      <c r="R117" s="679" t="n"/>
      <c r="S117" s="680" t="n"/>
      <c r="T117" s="681" t="inlineStr">
        <is>
          <t>ABDELLATIF AMRANI ZERIF</t>
        </is>
      </c>
      <c r="U117" s="672" t="n">
        <v>2026</v>
      </c>
      <c r="V117" s="680" t="n">
        <v>46387</v>
      </c>
      <c r="W117" s="680" t="n"/>
      <c r="X117" s="680" t="n">
        <v>46024</v>
      </c>
      <c r="Y117" s="677" t="n">
        <v>100800</v>
      </c>
      <c r="Z117" s="678" t="n">
        <v>0</v>
      </c>
      <c r="AA117" s="678">
        <f>Y117</f>
        <v/>
      </c>
      <c r="AB117" s="678" t="n">
        <v>0</v>
      </c>
      <c r="AC117" s="678">
        <f>AA117</f>
        <v/>
      </c>
      <c r="AD117" s="678">
        <f>AC117</f>
        <v/>
      </c>
      <c r="AE117" s="682" t="inlineStr">
        <is>
          <t>ENGAGE</t>
        </is>
      </c>
      <c r="AF117" s="681" t="n"/>
      <c r="AG117" s="678" t="n"/>
      <c r="AH117" s="678" t="n"/>
      <c r="AI117" s="678" t="n"/>
      <c r="AJ117" s="678" t="n"/>
      <c r="AK117" s="683" t="n"/>
      <c r="AL117" s="683" t="n"/>
      <c r="AM117" s="681" t="inlineStr">
        <is>
          <t>Manque n° contrat</t>
        </is>
      </c>
      <c r="AN117" s="684" t="n"/>
      <c r="AO117" s="685" t="n"/>
      <c r="AP117" s="686" t="n"/>
      <c r="AQ117" s="686" t="n"/>
      <c r="AR117" s="23" t="n"/>
      <c r="AS117" s="686" t="n"/>
    </row>
    <row r="118" ht="50.55" customHeight="1" s="392">
      <c r="A118" s="672" t="n">
        <v>2026</v>
      </c>
      <c r="B118" s="673" t="inlineStr">
        <is>
          <t>MAGHRIBIA</t>
        </is>
      </c>
      <c r="C118" s="673" t="inlineStr">
        <is>
          <t>PV N° : 01RC2025-DCCMCITV</t>
        </is>
      </c>
      <c r="D118" s="672" t="inlineStr">
        <is>
          <t>CONTRAT</t>
        </is>
      </c>
      <c r="E118" s="672" t="n"/>
      <c r="F118" s="674" t="inlineStr">
        <is>
          <t>LAMYAE KHOUADIR  -  Technicienne scripte</t>
        </is>
      </c>
      <c r="G118" s="675" t="inlineStr">
        <is>
          <t>VALIDE</t>
        </is>
      </c>
      <c r="H118" s="672" t="inlineStr">
        <is>
          <t>APPROUVE</t>
        </is>
      </c>
      <c r="I118" s="672" t="n"/>
      <c r="J118" s="675" t="inlineStr">
        <is>
          <t>NON CONCERNE</t>
        </is>
      </c>
      <c r="K118" s="672" t="inlineStr">
        <is>
          <t>Ordinaire</t>
        </is>
      </c>
      <c r="L118" s="676" t="inlineStr">
        <is>
          <t>FONCTIONNEMENT</t>
        </is>
      </c>
      <c r="M118" s="676" t="inlineStr">
        <is>
          <t xml:space="preserve">Prestations de service
Achat prestations de services locales - personnes physiques </t>
        </is>
      </c>
      <c r="N118" s="677" t="n"/>
      <c r="O118" s="678" t="n"/>
      <c r="P118" s="678" t="n"/>
      <c r="Q118" s="672" t="inlineStr">
        <is>
          <t>RECONDUCTION</t>
        </is>
      </c>
      <c r="R118" s="679" t="n"/>
      <c r="S118" s="680" t="n"/>
      <c r="T118" s="681" t="inlineStr">
        <is>
          <t>LAMYAE KHOUADIR</t>
        </is>
      </c>
      <c r="U118" s="672" t="n">
        <v>2026</v>
      </c>
      <c r="V118" s="680" t="n">
        <v>46387</v>
      </c>
      <c r="W118" s="680" t="n"/>
      <c r="X118" s="680" t="n">
        <v>46024</v>
      </c>
      <c r="Y118" s="677" t="n">
        <v>100800</v>
      </c>
      <c r="Z118" s="678" t="n">
        <v>0</v>
      </c>
      <c r="AA118" s="678">
        <f>Y118</f>
        <v/>
      </c>
      <c r="AB118" s="678" t="n">
        <v>0</v>
      </c>
      <c r="AC118" s="678">
        <f>AA118</f>
        <v/>
      </c>
      <c r="AD118" s="678">
        <f>AC118</f>
        <v/>
      </c>
      <c r="AE118" s="682" t="inlineStr">
        <is>
          <t>ENGAGE</t>
        </is>
      </c>
      <c r="AF118" s="681" t="n"/>
      <c r="AG118" s="678" t="n"/>
      <c r="AH118" s="678" t="n"/>
      <c r="AI118" s="678" t="n"/>
      <c r="AJ118" s="678" t="n"/>
      <c r="AK118" s="683" t="n"/>
      <c r="AL118" s="683" t="n"/>
      <c r="AM118" s="681" t="inlineStr">
        <is>
          <t>Manque n° contrat</t>
        </is>
      </c>
      <c r="AN118" s="684" t="n"/>
      <c r="AO118" s="685" t="n"/>
      <c r="AP118" s="686" t="n"/>
      <c r="AQ118" s="686" t="n"/>
      <c r="AR118" s="23" t="n"/>
      <c r="AS118" s="686" t="n"/>
    </row>
    <row r="119" ht="50.55" customHeight="1" s="392">
      <c r="A119" s="672" t="n">
        <v>2026</v>
      </c>
      <c r="B119" s="673" t="inlineStr">
        <is>
          <t>MAGHRIBIA</t>
        </is>
      </c>
      <c r="C119" s="673" t="inlineStr">
        <is>
          <t>PV N° : 01RC2025-DCCMCITV</t>
        </is>
      </c>
      <c r="D119" s="672" t="inlineStr">
        <is>
          <t>CONTRAT</t>
        </is>
      </c>
      <c r="E119" s="672" t="n"/>
      <c r="F119" s="674" t="inlineStr">
        <is>
          <t>EL KARDI RAJAA  -  Journaliste présentatrice</t>
        </is>
      </c>
      <c r="G119" s="675" t="inlineStr">
        <is>
          <t>VALIDE</t>
        </is>
      </c>
      <c r="H119" s="672" t="inlineStr">
        <is>
          <t>APPROUVE</t>
        </is>
      </c>
      <c r="I119" s="672" t="n"/>
      <c r="J119" s="675" t="inlineStr">
        <is>
          <t>NON CONCERNE</t>
        </is>
      </c>
      <c r="K119" s="672" t="inlineStr">
        <is>
          <t>Ordinaire</t>
        </is>
      </c>
      <c r="L119" s="676" t="inlineStr">
        <is>
          <t>FONCTIONNEMENT</t>
        </is>
      </c>
      <c r="M119" s="676" t="inlineStr">
        <is>
          <t xml:space="preserve">Prestations de service
Achat prestations de services locales - personnes physiques </t>
        </is>
      </c>
      <c r="N119" s="677" t="n"/>
      <c r="O119" s="678" t="n"/>
      <c r="P119" s="678" t="n"/>
      <c r="Q119" s="672" t="inlineStr">
        <is>
          <t>RECONDUCTION</t>
        </is>
      </c>
      <c r="R119" s="679" t="n"/>
      <c r="S119" s="680" t="n"/>
      <c r="T119" s="681" t="inlineStr">
        <is>
          <t>EL KARDI RAJAA</t>
        </is>
      </c>
      <c r="U119" s="672" t="n">
        <v>2026</v>
      </c>
      <c r="V119" s="680" t="n">
        <v>46387</v>
      </c>
      <c r="W119" s="680" t="n"/>
      <c r="X119" s="680" t="n">
        <v>46024</v>
      </c>
      <c r="Y119" s="677" t="n">
        <v>144000</v>
      </c>
      <c r="Z119" s="678" t="n">
        <v>0</v>
      </c>
      <c r="AA119" s="678">
        <f>Y119</f>
        <v/>
      </c>
      <c r="AB119" s="678" t="n">
        <v>0</v>
      </c>
      <c r="AC119" s="678">
        <f>AA119</f>
        <v/>
      </c>
      <c r="AD119" s="678">
        <f>AC119</f>
        <v/>
      </c>
      <c r="AE119" s="682" t="inlineStr">
        <is>
          <t>ENGAGE</t>
        </is>
      </c>
      <c r="AF119" s="681" t="n"/>
      <c r="AG119" s="678" t="n"/>
      <c r="AH119" s="678" t="n"/>
      <c r="AI119" s="678" t="n"/>
      <c r="AJ119" s="678" t="n"/>
      <c r="AK119" s="683" t="n"/>
      <c r="AL119" s="683" t="n"/>
      <c r="AM119" s="681" t="inlineStr">
        <is>
          <t>Manque n° contrat</t>
        </is>
      </c>
      <c r="AN119" s="684" t="n"/>
      <c r="AO119" s="685" t="n"/>
      <c r="AP119" s="686" t="n"/>
      <c r="AQ119" s="686" t="n"/>
      <c r="AR119" s="23" t="n"/>
      <c r="AS119" s="686" t="n"/>
    </row>
    <row r="120" ht="50.55" customHeight="1" s="392">
      <c r="A120" s="672" t="n">
        <v>2026</v>
      </c>
      <c r="B120" s="673" t="inlineStr">
        <is>
          <t>MAGHRIBIA</t>
        </is>
      </c>
      <c r="C120" s="673" t="inlineStr">
        <is>
          <t>PV N° : 01RC2025-DCCMCITV</t>
        </is>
      </c>
      <c r="D120" s="672" t="inlineStr">
        <is>
          <t>CONTRAT</t>
        </is>
      </c>
      <c r="E120" s="672" t="n"/>
      <c r="F120" s="674" t="inlineStr">
        <is>
          <t>JEBRANI HAYAT  -  Coiffeuse, maquilleuse</t>
        </is>
      </c>
      <c r="G120" s="675" t="inlineStr">
        <is>
          <t>VALIDE</t>
        </is>
      </c>
      <c r="H120" s="672" t="inlineStr">
        <is>
          <t>APPROUVE</t>
        </is>
      </c>
      <c r="I120" s="672" t="n"/>
      <c r="J120" s="675" t="inlineStr">
        <is>
          <t>NON CONCERNE</t>
        </is>
      </c>
      <c r="K120" s="672" t="inlineStr">
        <is>
          <t>Ordinaire</t>
        </is>
      </c>
      <c r="L120" s="676" t="inlineStr">
        <is>
          <t>FONCTIONNEMENT</t>
        </is>
      </c>
      <c r="M120" s="676" t="inlineStr">
        <is>
          <t xml:space="preserve">Prestations de service
Achat prestations de services locales - personnes physiques </t>
        </is>
      </c>
      <c r="N120" s="677" t="n"/>
      <c r="O120" s="678" t="n"/>
      <c r="P120" s="678" t="n"/>
      <c r="Q120" s="672" t="inlineStr">
        <is>
          <t>RECONDUCTION</t>
        </is>
      </c>
      <c r="R120" s="679" t="n"/>
      <c r="S120" s="680" t="n"/>
      <c r="T120" s="681" t="inlineStr">
        <is>
          <t>JEBRANI HAYAT</t>
        </is>
      </c>
      <c r="U120" s="672" t="n">
        <v>2026</v>
      </c>
      <c r="V120" s="680" t="n">
        <v>46387</v>
      </c>
      <c r="W120" s="680" t="n"/>
      <c r="X120" s="680" t="n">
        <v>46024</v>
      </c>
      <c r="Y120" s="677" t="n">
        <v>72000</v>
      </c>
      <c r="Z120" s="678" t="n">
        <v>0</v>
      </c>
      <c r="AA120" s="678">
        <f>Y120</f>
        <v/>
      </c>
      <c r="AB120" s="678" t="n">
        <v>0</v>
      </c>
      <c r="AC120" s="678">
        <f>AA120</f>
        <v/>
      </c>
      <c r="AD120" s="678">
        <f>AC120</f>
        <v/>
      </c>
      <c r="AE120" s="682" t="inlineStr">
        <is>
          <t>ENGAGE</t>
        </is>
      </c>
      <c r="AF120" s="681" t="n"/>
      <c r="AG120" s="678" t="n"/>
      <c r="AH120" s="678" t="n"/>
      <c r="AI120" s="678" t="n"/>
      <c r="AJ120" s="678" t="n"/>
      <c r="AK120" s="683" t="n"/>
      <c r="AL120" s="683" t="n"/>
      <c r="AM120" s="681" t="inlineStr">
        <is>
          <t>Manque n° contrat</t>
        </is>
      </c>
      <c r="AN120" s="684" t="n"/>
      <c r="AO120" s="685" t="n"/>
      <c r="AP120" s="686" t="n"/>
      <c r="AQ120" s="686" t="n"/>
      <c r="AR120" s="23" t="n"/>
      <c r="AS120" s="686" t="n"/>
    </row>
    <row r="121" ht="54.6" customHeight="1" s="392">
      <c r="A121" s="672" t="n">
        <v>2026</v>
      </c>
      <c r="B121" s="673" t="inlineStr">
        <is>
          <t>DMPTV</t>
        </is>
      </c>
      <c r="C121" s="673" t="inlineStr">
        <is>
          <t>PV N° : 01RC2025-DCMPTV</t>
        </is>
      </c>
      <c r="D121" s="672" t="inlineStr">
        <is>
          <t>CONTRAT</t>
        </is>
      </c>
      <c r="E121" s="672" t="n"/>
      <c r="F121" s="674" t="inlineStr">
        <is>
          <t>ZAKARIA TIBARI  -  Conception de bandes annonces pour la promotion des programmes de la grille de la chaîne Al Aoula</t>
        </is>
      </c>
      <c r="G121" s="675" t="inlineStr">
        <is>
          <t>VALIDE</t>
        </is>
      </c>
      <c r="H121" s="672" t="inlineStr">
        <is>
          <t>APPROUVE</t>
        </is>
      </c>
      <c r="I121" s="672" t="n"/>
      <c r="J121" s="675" t="inlineStr">
        <is>
          <t>NON CONCERNE</t>
        </is>
      </c>
      <c r="K121" s="672" t="inlineStr">
        <is>
          <t>Ordinaire</t>
        </is>
      </c>
      <c r="L121" s="676" t="inlineStr">
        <is>
          <t>FONCTIONNEMENT</t>
        </is>
      </c>
      <c r="M121" s="676" t="inlineStr">
        <is>
          <t xml:space="preserve">Prestations de service
Achat prestations de services locales - personnes physiques </t>
        </is>
      </c>
      <c r="N121" s="677" t="n"/>
      <c r="O121" s="678" t="n"/>
      <c r="P121" s="678" t="n"/>
      <c r="Q121" s="672" t="inlineStr">
        <is>
          <t>RECONDUCTION</t>
        </is>
      </c>
      <c r="R121" s="679" t="n"/>
      <c r="S121" s="680" t="n"/>
      <c r="T121" s="681" t="inlineStr">
        <is>
          <t>ZAKARIA TIBARI</t>
        </is>
      </c>
      <c r="U121" s="672" t="n">
        <v>2026</v>
      </c>
      <c r="V121" s="680" t="n">
        <v>46387</v>
      </c>
      <c r="W121" s="680" t="n"/>
      <c r="X121" s="680" t="n">
        <v>46024</v>
      </c>
      <c r="Y121" s="677" t="n">
        <v>257142.84</v>
      </c>
      <c r="Z121" s="678" t="n"/>
      <c r="AA121" s="678">
        <f>Y121</f>
        <v/>
      </c>
      <c r="AB121" s="678" t="n"/>
      <c r="AC121" s="678">
        <f>Y121</f>
        <v/>
      </c>
      <c r="AD121" s="678">
        <f>AA121</f>
        <v/>
      </c>
      <c r="AE121" s="682" t="inlineStr">
        <is>
          <t>ENGAGE</t>
        </is>
      </c>
      <c r="AF121" s="681" t="n"/>
      <c r="AG121" s="678" t="n"/>
      <c r="AH121" s="678" t="n"/>
      <c r="AI121" s="678" t="n"/>
      <c r="AJ121" s="678" t="n"/>
      <c r="AK121" s="683" t="n"/>
      <c r="AL121" s="683" t="n"/>
      <c r="AM121" s="681" t="inlineStr">
        <is>
          <t>Manque n° contrat</t>
        </is>
      </c>
      <c r="AN121" s="684" t="n"/>
      <c r="AO121" s="685" t="n"/>
      <c r="AP121" s="686" t="n"/>
      <c r="AQ121" s="686" t="n"/>
      <c r="AR121" s="23" t="n"/>
      <c r="AS121" s="686" t="n"/>
    </row>
    <row r="122" ht="50.55" customHeight="1" s="392">
      <c r="A122" s="672" t="n">
        <v>2026</v>
      </c>
      <c r="B122" s="673" t="inlineStr">
        <is>
          <t>DMPTV</t>
        </is>
      </c>
      <c r="C122" s="673" t="inlineStr">
        <is>
          <t>PV N° : 01RC2025-DCMPTV</t>
        </is>
      </c>
      <c r="D122" s="672" t="inlineStr">
        <is>
          <t>CONTRAT</t>
        </is>
      </c>
      <c r="E122" s="672" t="n"/>
      <c r="F122" s="674" t="inlineStr">
        <is>
          <t>GHEZLANE EL MERZOUGUI -  Enregistrement des voix off en arabe des bandes annonces TV et radio Al Aoula</t>
        </is>
      </c>
      <c r="G122" s="675" t="inlineStr">
        <is>
          <t>VALIDE</t>
        </is>
      </c>
      <c r="H122" s="672" t="inlineStr">
        <is>
          <t>APPROUVE</t>
        </is>
      </c>
      <c r="I122" s="672" t="n"/>
      <c r="J122" s="675" t="inlineStr">
        <is>
          <t>NON CONCERNE</t>
        </is>
      </c>
      <c r="K122" s="672" t="inlineStr">
        <is>
          <t>Ordinaire</t>
        </is>
      </c>
      <c r="L122" s="676" t="inlineStr">
        <is>
          <t>FONCTIONNEMENT</t>
        </is>
      </c>
      <c r="M122" s="676" t="inlineStr">
        <is>
          <t xml:space="preserve">Prestations de service
Achat prestations de services locales - personnes physiques </t>
        </is>
      </c>
      <c r="N122" s="677" t="n"/>
      <c r="O122" s="678" t="n"/>
      <c r="P122" s="678" t="n"/>
      <c r="Q122" s="672" t="inlineStr">
        <is>
          <t>RECONDUCTION</t>
        </is>
      </c>
      <c r="R122" s="679" t="n"/>
      <c r="S122" s="680" t="n"/>
      <c r="T122" s="681" t="inlineStr">
        <is>
          <t>GHEZLANE EL MERZOUGUI</t>
        </is>
      </c>
      <c r="U122" s="672" t="n">
        <v>2026</v>
      </c>
      <c r="V122" s="680" t="n">
        <v>46387</v>
      </c>
      <c r="W122" s="680" t="n"/>
      <c r="X122" s="680" t="n">
        <v>46024</v>
      </c>
      <c r="Y122" s="677" t="n">
        <v>84000</v>
      </c>
      <c r="Z122" s="678" t="n"/>
      <c r="AA122" s="678">
        <f>Y122</f>
        <v/>
      </c>
      <c r="AB122" s="678" t="n"/>
      <c r="AC122" s="678">
        <f>Y122</f>
        <v/>
      </c>
      <c r="AD122" s="678">
        <f>AA122</f>
        <v/>
      </c>
      <c r="AE122" s="682" t="inlineStr">
        <is>
          <t>ENGAGE</t>
        </is>
      </c>
      <c r="AF122" s="681" t="n"/>
      <c r="AG122" s="678" t="n"/>
      <c r="AH122" s="678" t="n"/>
      <c r="AI122" s="678" t="n"/>
      <c r="AJ122" s="678" t="n"/>
      <c r="AK122" s="683" t="n"/>
      <c r="AL122" s="683" t="n"/>
      <c r="AM122" s="681" t="inlineStr">
        <is>
          <t>Manque n° contrat</t>
        </is>
      </c>
      <c r="AN122" s="684" t="n"/>
      <c r="AO122" s="685" t="n"/>
      <c r="AP122" s="686" t="n"/>
      <c r="AQ122" s="686" t="n"/>
      <c r="AR122" s="23" t="n"/>
      <c r="AS122" s="686" t="n"/>
    </row>
    <row r="123" ht="50.55" customHeight="1" s="392">
      <c r="A123" s="672" t="n">
        <v>2026</v>
      </c>
      <c r="B123" s="673" t="inlineStr">
        <is>
          <t>DMPTV</t>
        </is>
      </c>
      <c r="C123" s="673" t="inlineStr">
        <is>
          <t>PV N° : 01RC2025-DCMPTV</t>
        </is>
      </c>
      <c r="D123" s="672" t="inlineStr">
        <is>
          <t>CONTRAT</t>
        </is>
      </c>
      <c r="E123" s="672" t="n"/>
      <c r="F123" s="674" t="inlineStr">
        <is>
          <t>HOUSSAM MOUILLAH  -  Monteur</t>
        </is>
      </c>
      <c r="G123" s="675" t="inlineStr">
        <is>
          <t>VALIDE</t>
        </is>
      </c>
      <c r="H123" s="672" t="inlineStr">
        <is>
          <t>APPROUVE</t>
        </is>
      </c>
      <c r="I123" s="672" t="n"/>
      <c r="J123" s="675" t="inlineStr">
        <is>
          <t>NON CONCERNE</t>
        </is>
      </c>
      <c r="K123" s="672" t="inlineStr">
        <is>
          <t>Ordinaire</t>
        </is>
      </c>
      <c r="L123" s="676" t="inlineStr">
        <is>
          <t>FONCTIONNEMENT</t>
        </is>
      </c>
      <c r="M123" s="676" t="inlineStr">
        <is>
          <t xml:space="preserve">Prestations de service
Achat prestations de services locales - personnes physiques </t>
        </is>
      </c>
      <c r="N123" s="677" t="n"/>
      <c r="O123" s="678" t="n"/>
      <c r="P123" s="678" t="n"/>
      <c r="Q123" s="672" t="inlineStr">
        <is>
          <t>RECONDUCTION</t>
        </is>
      </c>
      <c r="R123" s="679" t="n"/>
      <c r="S123" s="680" t="n"/>
      <c r="T123" s="681" t="inlineStr">
        <is>
          <t>HOUSSAM MOUILLAH</t>
        </is>
      </c>
      <c r="U123" s="672" t="n">
        <v>2026</v>
      </c>
      <c r="V123" s="680" t="n">
        <v>46387</v>
      </c>
      <c r="W123" s="680" t="n"/>
      <c r="X123" s="680" t="n">
        <v>46024</v>
      </c>
      <c r="Y123" s="677" t="n">
        <v>120000</v>
      </c>
      <c r="Z123" s="678" t="n"/>
      <c r="AA123" s="678">
        <f>Y123</f>
        <v/>
      </c>
      <c r="AB123" s="678" t="n"/>
      <c r="AC123" s="678">
        <f>Y123</f>
        <v/>
      </c>
      <c r="AD123" s="678">
        <f>AA123</f>
        <v/>
      </c>
      <c r="AE123" s="682" t="inlineStr">
        <is>
          <t>ENGAGE</t>
        </is>
      </c>
      <c r="AF123" s="681" t="n"/>
      <c r="AG123" s="678" t="n"/>
      <c r="AH123" s="678" t="n"/>
      <c r="AI123" s="678" t="n"/>
      <c r="AJ123" s="678" t="n"/>
      <c r="AK123" s="683" t="n"/>
      <c r="AL123" s="683" t="n"/>
      <c r="AM123" s="681" t="inlineStr">
        <is>
          <t>Manque n° contrat</t>
        </is>
      </c>
      <c r="AN123" s="684" t="n"/>
      <c r="AO123" s="685" t="n"/>
      <c r="AP123" s="686" t="n"/>
      <c r="AQ123" s="686" t="n"/>
      <c r="AR123" s="23" t="n"/>
      <c r="AS123" s="686" t="n"/>
    </row>
    <row r="124" ht="50.55" customHeight="1" s="392">
      <c r="A124" s="672" t="n">
        <v>2026</v>
      </c>
      <c r="B124" s="673" t="inlineStr">
        <is>
          <t>DMPTV</t>
        </is>
      </c>
      <c r="C124" s="673" t="inlineStr">
        <is>
          <t>PV N° : 01RC2025-DCMPTV</t>
        </is>
      </c>
      <c r="D124" s="672" t="inlineStr">
        <is>
          <t>CONTRAT</t>
        </is>
      </c>
      <c r="E124" s="672" t="n"/>
      <c r="F124" s="674" t="inlineStr">
        <is>
          <t>MSIOUAS MOHAMED DRISS  -  Chef de produit digital</t>
        </is>
      </c>
      <c r="G124" s="675" t="inlineStr">
        <is>
          <t>VALIDE</t>
        </is>
      </c>
      <c r="H124" s="672" t="inlineStr">
        <is>
          <t>APPROUVE</t>
        </is>
      </c>
      <c r="I124" s="672" t="n"/>
      <c r="J124" s="675" t="inlineStr">
        <is>
          <t>NON CONCERNE</t>
        </is>
      </c>
      <c r="K124" s="672" t="inlineStr">
        <is>
          <t>Ordinaire</t>
        </is>
      </c>
      <c r="L124" s="676" t="inlineStr">
        <is>
          <t>FONCTIONNEMENT</t>
        </is>
      </c>
      <c r="M124" s="676" t="inlineStr">
        <is>
          <t xml:space="preserve">Prestations de service
Achat prestations de services locales - personnes physiques </t>
        </is>
      </c>
      <c r="N124" s="677" t="n"/>
      <c r="O124" s="678" t="n"/>
      <c r="P124" s="678" t="n"/>
      <c r="Q124" s="672" t="inlineStr">
        <is>
          <t>RECONDUCTION</t>
        </is>
      </c>
      <c r="R124" s="679" t="n"/>
      <c r="S124" s="680" t="n"/>
      <c r="T124" s="681" t="inlineStr">
        <is>
          <t>MSIOUAS MOHAMED DRISS</t>
        </is>
      </c>
      <c r="U124" s="672" t="n">
        <v>2026</v>
      </c>
      <c r="V124" s="680" t="n">
        <v>46387</v>
      </c>
      <c r="W124" s="680" t="n"/>
      <c r="X124" s="680" t="n">
        <v>46024</v>
      </c>
      <c r="Y124" s="677" t="n">
        <v>264000</v>
      </c>
      <c r="Z124" s="678" t="n"/>
      <c r="AA124" s="678">
        <f>Y124</f>
        <v/>
      </c>
      <c r="AB124" s="678" t="n"/>
      <c r="AC124" s="678">
        <f>Y124</f>
        <v/>
      </c>
      <c r="AD124" s="678">
        <f>AA124</f>
        <v/>
      </c>
      <c r="AE124" s="682" t="inlineStr">
        <is>
          <t>ENGAGE</t>
        </is>
      </c>
      <c r="AF124" s="681" t="n"/>
      <c r="AG124" s="678" t="n"/>
      <c r="AH124" s="678" t="n"/>
      <c r="AI124" s="678" t="n"/>
      <c r="AJ124" s="678" t="n"/>
      <c r="AK124" s="683" t="n"/>
      <c r="AL124" s="683" t="n"/>
      <c r="AM124" s="681" t="inlineStr">
        <is>
          <t>Manque n° contrat</t>
        </is>
      </c>
      <c r="AN124" s="684" t="n"/>
      <c r="AO124" s="685" t="n"/>
      <c r="AP124" s="686" t="n"/>
      <c r="AQ124" s="686" t="n"/>
      <c r="AR124" s="23" t="n"/>
      <c r="AS124" s="686" t="n"/>
    </row>
    <row r="125" ht="50.55" customHeight="1" s="392">
      <c r="A125" s="672" t="n">
        <v>2026</v>
      </c>
      <c r="B125" s="673" t="inlineStr">
        <is>
          <t>DMPTV</t>
        </is>
      </c>
      <c r="C125" s="673" t="inlineStr">
        <is>
          <t>PV N° : 01RC2025-DCMPTV</t>
        </is>
      </c>
      <c r="D125" s="672" t="inlineStr">
        <is>
          <t>CONTRAT</t>
        </is>
      </c>
      <c r="E125" s="672" t="n"/>
      <c r="F125" s="674" t="inlineStr">
        <is>
          <t>ABDELOUAHED JABBAR  -  Monteur</t>
        </is>
      </c>
      <c r="G125" s="675" t="inlineStr">
        <is>
          <t>VALIDE</t>
        </is>
      </c>
      <c r="H125" s="672" t="inlineStr">
        <is>
          <t>APPROUVE</t>
        </is>
      </c>
      <c r="I125" s="672" t="n"/>
      <c r="J125" s="675" t="inlineStr">
        <is>
          <t>NON CONCERNE</t>
        </is>
      </c>
      <c r="K125" s="672" t="inlineStr">
        <is>
          <t>Ordinaire</t>
        </is>
      </c>
      <c r="L125" s="676" t="inlineStr">
        <is>
          <t>FONCTIONNEMENT</t>
        </is>
      </c>
      <c r="M125" s="676" t="inlineStr">
        <is>
          <t xml:space="preserve">Prestations de service
Achat prestations de services locales - personnes physiques </t>
        </is>
      </c>
      <c r="N125" s="677" t="n"/>
      <c r="O125" s="678" t="n"/>
      <c r="P125" s="678" t="n"/>
      <c r="Q125" s="672" t="inlineStr">
        <is>
          <t>RECONDUCTION</t>
        </is>
      </c>
      <c r="R125" s="679" t="n"/>
      <c r="S125" s="680" t="n"/>
      <c r="T125" s="681" t="inlineStr">
        <is>
          <t>ABDELOUAHED JABBAR</t>
        </is>
      </c>
      <c r="U125" s="672" t="n">
        <v>2026</v>
      </c>
      <c r="V125" s="680" t="n">
        <v>46387</v>
      </c>
      <c r="W125" s="680" t="n"/>
      <c r="X125" s="680" t="n">
        <v>46024</v>
      </c>
      <c r="Y125" s="677" t="n">
        <v>216000</v>
      </c>
      <c r="Z125" s="678" t="n"/>
      <c r="AA125" s="678">
        <f>Y125</f>
        <v/>
      </c>
      <c r="AB125" s="678" t="n"/>
      <c r="AC125" s="678">
        <f>Y125</f>
        <v/>
      </c>
      <c r="AD125" s="678">
        <f>AA125</f>
        <v/>
      </c>
      <c r="AE125" s="682" t="inlineStr">
        <is>
          <t>ENGAGE</t>
        </is>
      </c>
      <c r="AF125" s="681" t="n"/>
      <c r="AG125" s="678" t="n"/>
      <c r="AH125" s="678" t="n"/>
      <c r="AI125" s="678" t="n"/>
      <c r="AJ125" s="678" t="n"/>
      <c r="AK125" s="683" t="n"/>
      <c r="AL125" s="683" t="n"/>
      <c r="AM125" s="681" t="inlineStr">
        <is>
          <t>Manque n° contrat</t>
        </is>
      </c>
      <c r="AN125" s="684" t="n"/>
      <c r="AO125" s="685" t="n"/>
      <c r="AP125" s="686" t="n"/>
      <c r="AQ125" s="686" t="n"/>
      <c r="AR125" s="23" t="n"/>
      <c r="AS125" s="686" t="n"/>
    </row>
    <row r="126" ht="50.55" customHeight="1" s="392">
      <c r="A126" s="672" t="n">
        <v>2026</v>
      </c>
      <c r="B126" s="673" t="inlineStr">
        <is>
          <t>DMPTV</t>
        </is>
      </c>
      <c r="C126" s="673" t="inlineStr">
        <is>
          <t>PV N° : 01RC2025-DCMPTV</t>
        </is>
      </c>
      <c r="D126" s="672" t="inlineStr">
        <is>
          <t>CONTRAT</t>
        </is>
      </c>
      <c r="E126" s="672" t="n"/>
      <c r="F126" s="674" t="inlineStr">
        <is>
          <t>YASSINE KIRAMI  -  Monteur digital et cameraman</t>
        </is>
      </c>
      <c r="G126" s="675" t="inlineStr">
        <is>
          <t>VALIDE</t>
        </is>
      </c>
      <c r="H126" s="672" t="inlineStr">
        <is>
          <t>APPROUVE</t>
        </is>
      </c>
      <c r="I126" s="672" t="n"/>
      <c r="J126" s="675" t="inlineStr">
        <is>
          <t>NON CONCERNE</t>
        </is>
      </c>
      <c r="K126" s="672" t="inlineStr">
        <is>
          <t>Ordinaire</t>
        </is>
      </c>
      <c r="L126" s="676" t="inlineStr">
        <is>
          <t>FONCTIONNEMENT</t>
        </is>
      </c>
      <c r="M126" s="676" t="inlineStr">
        <is>
          <t xml:space="preserve">Prestations de service
Achat prestations de services locales - personnes physiques </t>
        </is>
      </c>
      <c r="N126" s="677" t="n"/>
      <c r="O126" s="678" t="n"/>
      <c r="P126" s="678" t="n"/>
      <c r="Q126" s="672" t="inlineStr">
        <is>
          <t>RECONDUCTION</t>
        </is>
      </c>
      <c r="R126" s="679" t="n"/>
      <c r="S126" s="680" t="n"/>
      <c r="T126" s="681" t="inlineStr">
        <is>
          <t>YASSINE KIRAMI</t>
        </is>
      </c>
      <c r="U126" s="672" t="n">
        <v>2026</v>
      </c>
      <c r="V126" s="680" t="n">
        <v>46387</v>
      </c>
      <c r="W126" s="680" t="n"/>
      <c r="X126" s="680" t="n">
        <v>46024</v>
      </c>
      <c r="Y126" s="677" t="n">
        <v>144000</v>
      </c>
      <c r="Z126" s="678" t="n"/>
      <c r="AA126" s="678">
        <f>Y126</f>
        <v/>
      </c>
      <c r="AB126" s="678" t="n"/>
      <c r="AC126" s="678">
        <f>Y126</f>
        <v/>
      </c>
      <c r="AD126" s="678">
        <f>AA126</f>
        <v/>
      </c>
      <c r="AE126" s="682" t="inlineStr">
        <is>
          <t>ENGAGE</t>
        </is>
      </c>
      <c r="AF126" s="681" t="n"/>
      <c r="AG126" s="678" t="n"/>
      <c r="AH126" s="678" t="n"/>
      <c r="AI126" s="678" t="n"/>
      <c r="AJ126" s="678" t="n"/>
      <c r="AK126" s="683" t="n"/>
      <c r="AL126" s="683" t="n"/>
      <c r="AM126" s="681" t="inlineStr">
        <is>
          <t>Manque n° contrat</t>
        </is>
      </c>
      <c r="AN126" s="684" t="n"/>
      <c r="AO126" s="685" t="n"/>
      <c r="AP126" s="686" t="n"/>
      <c r="AQ126" s="686" t="n"/>
      <c r="AR126" s="23" t="n"/>
      <c r="AS126" s="686" t="n"/>
    </row>
    <row r="127" ht="50.55" customHeight="1" s="392">
      <c r="A127" s="672" t="n">
        <v>2026</v>
      </c>
      <c r="B127" s="673" t="inlineStr">
        <is>
          <t>DMPTV</t>
        </is>
      </c>
      <c r="C127" s="673" t="inlineStr">
        <is>
          <t>PV N° : 01RC2025-DCMPTV</t>
        </is>
      </c>
      <c r="D127" s="672" t="inlineStr">
        <is>
          <t>CONTRAT</t>
        </is>
      </c>
      <c r="E127" s="672" t="n"/>
      <c r="F127" s="674" t="inlineStr">
        <is>
          <t>SAFAA SABRI  -  Rédactrice en arabe</t>
        </is>
      </c>
      <c r="G127" s="675" t="inlineStr">
        <is>
          <t>VALIDE</t>
        </is>
      </c>
      <c r="H127" s="672" t="inlineStr">
        <is>
          <t>APPROUVE</t>
        </is>
      </c>
      <c r="I127" s="672" t="n"/>
      <c r="J127" s="675" t="inlineStr">
        <is>
          <t>NON CONCERNE</t>
        </is>
      </c>
      <c r="K127" s="672" t="inlineStr">
        <is>
          <t>Ordinaire</t>
        </is>
      </c>
      <c r="L127" s="676" t="inlineStr">
        <is>
          <t>FONCTIONNEMENT</t>
        </is>
      </c>
      <c r="M127" s="676" t="inlineStr">
        <is>
          <t xml:space="preserve">Prestations de service
Achat prestations de services locales - personnes physiques </t>
        </is>
      </c>
      <c r="N127" s="677" t="n"/>
      <c r="O127" s="678" t="n"/>
      <c r="P127" s="678" t="n"/>
      <c r="Q127" s="672" t="inlineStr">
        <is>
          <t>RECONDUCTION</t>
        </is>
      </c>
      <c r="R127" s="679" t="n"/>
      <c r="S127" s="680" t="n"/>
      <c r="T127" s="681" t="inlineStr">
        <is>
          <t>SAFAA SABR</t>
        </is>
      </c>
      <c r="U127" s="672" t="n">
        <v>2026</v>
      </c>
      <c r="V127" s="680" t="n">
        <v>46387</v>
      </c>
      <c r="W127" s="680" t="n"/>
      <c r="X127" s="680" t="n">
        <v>46024</v>
      </c>
      <c r="Y127" s="677" t="n">
        <v>132000</v>
      </c>
      <c r="Z127" s="678" t="n"/>
      <c r="AA127" s="678">
        <f>Y127</f>
        <v/>
      </c>
      <c r="AB127" s="678" t="n"/>
      <c r="AC127" s="678">
        <f>Y127</f>
        <v/>
      </c>
      <c r="AD127" s="678">
        <f>AA127</f>
        <v/>
      </c>
      <c r="AE127" s="682" t="inlineStr">
        <is>
          <t>ENGAGE</t>
        </is>
      </c>
      <c r="AF127" s="681" t="n"/>
      <c r="AG127" s="678" t="n"/>
      <c r="AH127" s="678" t="n"/>
      <c r="AI127" s="678" t="n"/>
      <c r="AJ127" s="678" t="n"/>
      <c r="AK127" s="683" t="n"/>
      <c r="AL127" s="683" t="n"/>
      <c r="AM127" s="681" t="inlineStr">
        <is>
          <t>Manque n° contrat</t>
        </is>
      </c>
      <c r="AN127" s="684" t="n"/>
      <c r="AO127" s="685" t="n"/>
      <c r="AP127" s="686" t="n"/>
      <c r="AQ127" s="686" t="n"/>
      <c r="AR127" s="23" t="n"/>
      <c r="AS127" s="686" t="n"/>
    </row>
    <row r="128" ht="50.55" customHeight="1" s="392">
      <c r="A128" s="672" t="n">
        <v>2026</v>
      </c>
      <c r="B128" s="673" t="inlineStr">
        <is>
          <t>DMPTV</t>
        </is>
      </c>
      <c r="C128" s="673" t="inlineStr">
        <is>
          <t>PV N° : 01RC2025-DCMPTV</t>
        </is>
      </c>
      <c r="D128" s="672" t="inlineStr">
        <is>
          <t>CONTRAT</t>
        </is>
      </c>
      <c r="E128" s="672" t="n"/>
      <c r="F128" s="674" t="inlineStr">
        <is>
          <t>SARAH MAACHE  -  Rédactrice en Français</t>
        </is>
      </c>
      <c r="G128" s="675" t="inlineStr">
        <is>
          <t>VALIDE</t>
        </is>
      </c>
      <c r="H128" s="672" t="inlineStr">
        <is>
          <t>APPROUVE</t>
        </is>
      </c>
      <c r="I128" s="672" t="n"/>
      <c r="J128" s="675" t="inlineStr">
        <is>
          <t>NON CONCERNE</t>
        </is>
      </c>
      <c r="K128" s="672" t="inlineStr">
        <is>
          <t>Ordinaire</t>
        </is>
      </c>
      <c r="L128" s="676" t="inlineStr">
        <is>
          <t>FONCTIONNEMENT</t>
        </is>
      </c>
      <c r="M128" s="676" t="inlineStr">
        <is>
          <t xml:space="preserve">Prestations de service
Achat prestations de services locales - personnes physiques </t>
        </is>
      </c>
      <c r="N128" s="677" t="n"/>
      <c r="O128" s="678" t="n"/>
      <c r="P128" s="678" t="n"/>
      <c r="Q128" s="672" t="inlineStr">
        <is>
          <t>RECONDUCTION</t>
        </is>
      </c>
      <c r="R128" s="679" t="n"/>
      <c r="S128" s="680" t="n"/>
      <c r="T128" s="681" t="inlineStr">
        <is>
          <t>SARAH MAACHE</t>
        </is>
      </c>
      <c r="U128" s="672" t="n">
        <v>2026</v>
      </c>
      <c r="V128" s="680" t="n">
        <v>46387</v>
      </c>
      <c r="W128" s="680" t="n"/>
      <c r="X128" s="680" t="n">
        <v>46024</v>
      </c>
      <c r="Y128" s="677" t="n">
        <v>252000</v>
      </c>
      <c r="Z128" s="678" t="n"/>
      <c r="AA128" s="678">
        <f>Y128</f>
        <v/>
      </c>
      <c r="AB128" s="678" t="n"/>
      <c r="AC128" s="678">
        <f>Y128</f>
        <v/>
      </c>
      <c r="AD128" s="678">
        <f>AA128</f>
        <v/>
      </c>
      <c r="AE128" s="682" t="inlineStr">
        <is>
          <t>ENGAGE</t>
        </is>
      </c>
      <c r="AF128" s="681" t="n"/>
      <c r="AG128" s="678" t="n"/>
      <c r="AH128" s="678" t="n"/>
      <c r="AI128" s="678" t="n"/>
      <c r="AJ128" s="678" t="n"/>
      <c r="AK128" s="683" t="n"/>
      <c r="AL128" s="683" t="n"/>
      <c r="AM128" s="681" t="inlineStr">
        <is>
          <t>Manque n° contrat</t>
        </is>
      </c>
      <c r="AN128" s="684" t="n"/>
      <c r="AO128" s="685" t="n"/>
      <c r="AP128" s="686" t="n"/>
      <c r="AQ128" s="686" t="n"/>
      <c r="AR128" s="23" t="n"/>
      <c r="AS128" s="686" t="n"/>
    </row>
    <row r="129" ht="50.55" customHeight="1" s="392">
      <c r="A129" s="672" t="n">
        <v>2026</v>
      </c>
      <c r="B129" s="673" t="inlineStr">
        <is>
          <t>DMPTV</t>
        </is>
      </c>
      <c r="C129" s="673" t="inlineStr">
        <is>
          <t>PV N° : 01RC2025-DCMPTV</t>
        </is>
      </c>
      <c r="D129" s="672" t="inlineStr">
        <is>
          <t>CONTRAT</t>
        </is>
      </c>
      <c r="E129" s="672" t="n"/>
      <c r="F129" s="674" t="inlineStr">
        <is>
          <t>BASMA WAJIB  -  Community Manager</t>
        </is>
      </c>
      <c r="G129" s="675" t="inlineStr">
        <is>
          <t>VALIDE</t>
        </is>
      </c>
      <c r="H129" s="672" t="inlineStr">
        <is>
          <t>APPROUVE</t>
        </is>
      </c>
      <c r="I129" s="672" t="n"/>
      <c r="J129" s="675" t="inlineStr">
        <is>
          <t>NON CONCERNE</t>
        </is>
      </c>
      <c r="K129" s="672" t="inlineStr">
        <is>
          <t>Ordinaire</t>
        </is>
      </c>
      <c r="L129" s="676" t="inlineStr">
        <is>
          <t>FONCTIONNEMENT</t>
        </is>
      </c>
      <c r="M129" s="676" t="inlineStr">
        <is>
          <t xml:space="preserve">Prestations de service
Achat prestations de services locales - personnes physiques </t>
        </is>
      </c>
      <c r="N129" s="677" t="n"/>
      <c r="O129" s="678" t="n"/>
      <c r="P129" s="678" t="n"/>
      <c r="Q129" s="672" t="inlineStr">
        <is>
          <t>RECONDUCTION</t>
        </is>
      </c>
      <c r="R129" s="679" t="n"/>
      <c r="S129" s="680" t="n"/>
      <c r="T129" s="681" t="inlineStr">
        <is>
          <t>BASMA WAJIB</t>
        </is>
      </c>
      <c r="U129" s="672" t="n">
        <v>2026</v>
      </c>
      <c r="V129" s="680" t="n">
        <v>46387</v>
      </c>
      <c r="W129" s="680" t="n"/>
      <c r="X129" s="680" t="n">
        <v>46024</v>
      </c>
      <c r="Y129" s="677" t="n">
        <v>84000</v>
      </c>
      <c r="Z129" s="678" t="n"/>
      <c r="AA129" s="678">
        <f>Y129</f>
        <v/>
      </c>
      <c r="AB129" s="678" t="n"/>
      <c r="AC129" s="678">
        <f>Y129</f>
        <v/>
      </c>
      <c r="AD129" s="678">
        <f>AA129</f>
        <v/>
      </c>
      <c r="AE129" s="682" t="inlineStr">
        <is>
          <t>ENGAGE</t>
        </is>
      </c>
      <c r="AF129" s="681" t="n"/>
      <c r="AG129" s="678" t="n"/>
      <c r="AH129" s="678" t="n"/>
      <c r="AI129" s="678" t="n"/>
      <c r="AJ129" s="678" t="n"/>
      <c r="AK129" s="683" t="n"/>
      <c r="AL129" s="683" t="n"/>
      <c r="AM129" s="681" t="inlineStr">
        <is>
          <t>Manque n° contrat</t>
        </is>
      </c>
      <c r="AN129" s="684" t="n"/>
      <c r="AO129" s="685" t="n"/>
      <c r="AP129" s="686" t="n"/>
      <c r="AQ129" s="686" t="n"/>
      <c r="AR129" s="23" t="n"/>
      <c r="AS129" s="686" t="n"/>
    </row>
    <row r="130" ht="50.55" customHeight="1" s="392">
      <c r="A130" s="672" t="n">
        <v>2026</v>
      </c>
      <c r="B130" s="673" t="inlineStr">
        <is>
          <t>DMPTV</t>
        </is>
      </c>
      <c r="C130" s="673" t="inlineStr">
        <is>
          <t>PV N° : 01RC2025-DCMPTV</t>
        </is>
      </c>
      <c r="D130" s="672" t="inlineStr">
        <is>
          <t>CONTRAT</t>
        </is>
      </c>
      <c r="E130" s="672" t="n"/>
      <c r="F130" s="674" t="inlineStr">
        <is>
          <t>M’BARK AGNAOU  -  Community Manager</t>
        </is>
      </c>
      <c r="G130" s="675" t="inlineStr">
        <is>
          <t>VALIDE</t>
        </is>
      </c>
      <c r="H130" s="672" t="inlineStr">
        <is>
          <t>APPROUVE</t>
        </is>
      </c>
      <c r="I130" s="672" t="n"/>
      <c r="J130" s="675" t="inlineStr">
        <is>
          <t>NON CONCERNE</t>
        </is>
      </c>
      <c r="K130" s="672" t="inlineStr">
        <is>
          <t>Ordinaire</t>
        </is>
      </c>
      <c r="L130" s="676" t="inlineStr">
        <is>
          <t>FONCTIONNEMENT</t>
        </is>
      </c>
      <c r="M130" s="676" t="inlineStr">
        <is>
          <t xml:space="preserve">Prestations de service
Achat prestations de services locales - personnes physiques </t>
        </is>
      </c>
      <c r="N130" s="677" t="n"/>
      <c r="O130" s="678" t="n"/>
      <c r="P130" s="678" t="n"/>
      <c r="Q130" s="672" t="inlineStr">
        <is>
          <t>RECONDUCTION</t>
        </is>
      </c>
      <c r="R130" s="679" t="n"/>
      <c r="S130" s="680" t="n"/>
      <c r="T130" s="681" t="inlineStr">
        <is>
          <t>M’BARK AGNAOU</t>
        </is>
      </c>
      <c r="U130" s="672" t="n">
        <v>2026</v>
      </c>
      <c r="V130" s="680" t="n">
        <v>46387</v>
      </c>
      <c r="W130" s="680" t="n"/>
      <c r="X130" s="680" t="n">
        <v>46024</v>
      </c>
      <c r="Y130" s="677" t="n">
        <v>84000</v>
      </c>
      <c r="Z130" s="678" t="n"/>
      <c r="AA130" s="678">
        <f>Y130</f>
        <v/>
      </c>
      <c r="AB130" s="678" t="n"/>
      <c r="AC130" s="678">
        <f>Y130</f>
        <v/>
      </c>
      <c r="AD130" s="678">
        <f>AA130</f>
        <v/>
      </c>
      <c r="AE130" s="682" t="inlineStr">
        <is>
          <t>ENGAGE</t>
        </is>
      </c>
      <c r="AF130" s="681" t="n"/>
      <c r="AG130" s="678" t="n"/>
      <c r="AH130" s="678" t="n"/>
      <c r="AI130" s="678" t="n"/>
      <c r="AJ130" s="678" t="n"/>
      <c r="AK130" s="683" t="n"/>
      <c r="AL130" s="683" t="n"/>
      <c r="AM130" s="681" t="inlineStr">
        <is>
          <t>Manque n° contrat</t>
        </is>
      </c>
      <c r="AN130" s="684" t="n"/>
      <c r="AO130" s="685" t="n"/>
      <c r="AP130" s="686" t="n"/>
      <c r="AQ130" s="686" t="n"/>
      <c r="AR130" s="23" t="n"/>
      <c r="AS130" s="686" t="n"/>
    </row>
    <row r="131" ht="50.55" customHeight="1" s="392">
      <c r="A131" s="672" t="n">
        <v>2026</v>
      </c>
      <c r="B131" s="673" t="inlineStr">
        <is>
          <t>DMPTV</t>
        </is>
      </c>
      <c r="C131" s="673" t="inlineStr">
        <is>
          <t>PV N° : 01RC2025-DCMPTV</t>
        </is>
      </c>
      <c r="D131" s="672" t="inlineStr">
        <is>
          <t>CONTRAT</t>
        </is>
      </c>
      <c r="E131" s="672" t="n"/>
      <c r="F131" s="674" t="inlineStr">
        <is>
          <t>ESSAIFI MOHAMED SAMI  -  Content lead digital</t>
        </is>
      </c>
      <c r="G131" s="675" t="inlineStr">
        <is>
          <t>VALIDE</t>
        </is>
      </c>
      <c r="H131" s="672" t="inlineStr">
        <is>
          <t>APPROUVE</t>
        </is>
      </c>
      <c r="I131" s="672" t="n"/>
      <c r="J131" s="675" t="inlineStr">
        <is>
          <t>NON CONCERNE</t>
        </is>
      </c>
      <c r="K131" s="672" t="inlineStr">
        <is>
          <t>Ordinaire</t>
        </is>
      </c>
      <c r="L131" s="676" t="inlineStr">
        <is>
          <t>FONCTIONNEMENT</t>
        </is>
      </c>
      <c r="M131" s="676" t="inlineStr">
        <is>
          <t xml:space="preserve">Prestations de service
Achat prestations de services locales - personnes physiques </t>
        </is>
      </c>
      <c r="N131" s="677" t="n"/>
      <c r="O131" s="678" t="n"/>
      <c r="P131" s="678" t="n"/>
      <c r="Q131" s="672" t="inlineStr">
        <is>
          <t>RECONDUCTION</t>
        </is>
      </c>
      <c r="R131" s="679" t="n"/>
      <c r="S131" s="680" t="n"/>
      <c r="T131" s="681" t="inlineStr">
        <is>
          <t xml:space="preserve">ESSAIFI MOHAMED SAMI </t>
        </is>
      </c>
      <c r="U131" s="672" t="n">
        <v>2026</v>
      </c>
      <c r="V131" s="680" t="n">
        <v>46387</v>
      </c>
      <c r="W131" s="680" t="n"/>
      <c r="X131" s="680" t="n">
        <v>46024</v>
      </c>
      <c r="Y131" s="677" t="n">
        <v>276000</v>
      </c>
      <c r="Z131" s="678" t="n"/>
      <c r="AA131" s="678">
        <f>Y131</f>
        <v/>
      </c>
      <c r="AB131" s="678" t="n"/>
      <c r="AC131" s="678">
        <f>Y131</f>
        <v/>
      </c>
      <c r="AD131" s="678">
        <f>AA131</f>
        <v/>
      </c>
      <c r="AE131" s="682" t="inlineStr">
        <is>
          <t>ENGAGE</t>
        </is>
      </c>
      <c r="AF131" s="681" t="n"/>
      <c r="AG131" s="678" t="n"/>
      <c r="AH131" s="678" t="n"/>
      <c r="AI131" s="678" t="n"/>
      <c r="AJ131" s="678" t="n"/>
      <c r="AK131" s="683" t="n"/>
      <c r="AL131" s="683" t="n"/>
      <c r="AM131" s="681" t="inlineStr">
        <is>
          <t>Manque n° contrat</t>
        </is>
      </c>
      <c r="AN131" s="684" t="n"/>
      <c r="AO131" s="685" t="n"/>
      <c r="AP131" s="686" t="n"/>
      <c r="AQ131" s="686" t="n"/>
      <c r="AR131" s="23" t="n"/>
      <c r="AS131" s="686" t="n"/>
    </row>
    <row r="132" ht="50.55" customHeight="1" s="392">
      <c r="A132" s="672" t="n">
        <v>2026</v>
      </c>
      <c r="B132" s="673" t="inlineStr">
        <is>
          <t>DMPTV</t>
        </is>
      </c>
      <c r="C132" s="673" t="inlineStr">
        <is>
          <t>PV N° : 01RC2025-DCMPTV</t>
        </is>
      </c>
      <c r="D132" s="672" t="inlineStr">
        <is>
          <t>CONTRAT</t>
        </is>
      </c>
      <c r="E132" s="672" t="n"/>
      <c r="F132" s="674" t="inlineStr">
        <is>
          <t>HAJAR LAMRANI  -  Monteur</t>
        </is>
      </c>
      <c r="G132" s="675" t="inlineStr">
        <is>
          <t>VALIDE</t>
        </is>
      </c>
      <c r="H132" s="672" t="inlineStr">
        <is>
          <t>APPROUVE</t>
        </is>
      </c>
      <c r="I132" s="672" t="n"/>
      <c r="J132" s="675" t="inlineStr">
        <is>
          <t>NON CONCERNE</t>
        </is>
      </c>
      <c r="K132" s="672" t="inlineStr">
        <is>
          <t>Ordinaire</t>
        </is>
      </c>
      <c r="L132" s="676" t="inlineStr">
        <is>
          <t>FONCTIONNEMENT</t>
        </is>
      </c>
      <c r="M132" s="676" t="inlineStr">
        <is>
          <t xml:space="preserve">Prestations de service
Achat prestations de services locales - personnes physiques </t>
        </is>
      </c>
      <c r="N132" s="677" t="n"/>
      <c r="O132" s="678" t="n"/>
      <c r="P132" s="678" t="n"/>
      <c r="Q132" s="672" t="inlineStr">
        <is>
          <t>RECONDUCTION</t>
        </is>
      </c>
      <c r="R132" s="679" t="n"/>
      <c r="S132" s="680" t="n"/>
      <c r="T132" s="681" t="inlineStr">
        <is>
          <t>HAJAR LAMRANI</t>
        </is>
      </c>
      <c r="U132" s="672" t="n">
        <v>2026</v>
      </c>
      <c r="V132" s="680" t="n">
        <v>46387</v>
      </c>
      <c r="W132" s="680" t="n"/>
      <c r="X132" s="680" t="n">
        <v>46024</v>
      </c>
      <c r="Y132" s="677" t="n">
        <v>144000</v>
      </c>
      <c r="Z132" s="678" t="n"/>
      <c r="AA132" s="678">
        <f>Y132</f>
        <v/>
      </c>
      <c r="AB132" s="678" t="n"/>
      <c r="AC132" s="678">
        <f>Y132</f>
        <v/>
      </c>
      <c r="AD132" s="678">
        <f>AA132</f>
        <v/>
      </c>
      <c r="AE132" s="682" t="inlineStr">
        <is>
          <t>ENGAGE</t>
        </is>
      </c>
      <c r="AF132" s="681" t="n"/>
      <c r="AG132" s="678" t="n"/>
      <c r="AH132" s="678" t="n"/>
      <c r="AI132" s="678" t="n"/>
      <c r="AJ132" s="678" t="n"/>
      <c r="AK132" s="683" t="n"/>
      <c r="AL132" s="683" t="n"/>
      <c r="AM132" s="681" t="inlineStr">
        <is>
          <t>Manque n° contrat</t>
        </is>
      </c>
      <c r="AN132" s="684" t="n"/>
      <c r="AO132" s="685" t="n"/>
      <c r="AP132" s="686" t="n"/>
      <c r="AQ132" s="686" t="n"/>
      <c r="AR132" s="23" t="n"/>
      <c r="AS132" s="686" t="n"/>
    </row>
    <row r="133" ht="50.55" customHeight="1" s="392">
      <c r="A133" s="672" t="n">
        <v>2026</v>
      </c>
      <c r="B133" s="673" t="inlineStr">
        <is>
          <t>DMPTV</t>
        </is>
      </c>
      <c r="C133" s="673" t="inlineStr">
        <is>
          <t>PV N° : 01RC2025-DCMPTV</t>
        </is>
      </c>
      <c r="D133" s="672" t="inlineStr">
        <is>
          <t>CONTRAT</t>
        </is>
      </c>
      <c r="E133" s="672" t="n"/>
      <c r="F133" s="674" t="inlineStr">
        <is>
          <t>ANAS ESSAOUDI  -  Monteur</t>
        </is>
      </c>
      <c r="G133" s="675" t="inlineStr">
        <is>
          <t>VALIDE</t>
        </is>
      </c>
      <c r="H133" s="672" t="inlineStr">
        <is>
          <t>APPROUVE</t>
        </is>
      </c>
      <c r="I133" s="672" t="n"/>
      <c r="J133" s="675" t="inlineStr">
        <is>
          <t>NON CONCERNE</t>
        </is>
      </c>
      <c r="K133" s="672" t="inlineStr">
        <is>
          <t>Ordinaire</t>
        </is>
      </c>
      <c r="L133" s="676" t="inlineStr">
        <is>
          <t>FONCTIONNEMENT</t>
        </is>
      </c>
      <c r="M133" s="676" t="inlineStr">
        <is>
          <t xml:space="preserve">Prestations de service
Achat prestations de services locales - personnes physiques </t>
        </is>
      </c>
      <c r="N133" s="677" t="n"/>
      <c r="O133" s="678" t="n"/>
      <c r="P133" s="678" t="n"/>
      <c r="Q133" s="672" t="inlineStr">
        <is>
          <t>RECONDUCTION</t>
        </is>
      </c>
      <c r="R133" s="679" t="n"/>
      <c r="S133" s="680" t="n"/>
      <c r="T133" s="681" t="inlineStr">
        <is>
          <t>ANAS ESSAOUDI</t>
        </is>
      </c>
      <c r="U133" s="672" t="n">
        <v>2026</v>
      </c>
      <c r="V133" s="680" t="n">
        <v>46387</v>
      </c>
      <c r="W133" s="680" t="n"/>
      <c r="X133" s="680" t="n">
        <v>46024</v>
      </c>
      <c r="Y133" s="677" t="n">
        <v>108000</v>
      </c>
      <c r="Z133" s="678" t="n"/>
      <c r="AA133" s="678">
        <f>Y133</f>
        <v/>
      </c>
      <c r="AB133" s="678" t="n"/>
      <c r="AC133" s="678">
        <f>Y133</f>
        <v/>
      </c>
      <c r="AD133" s="678">
        <f>AA133</f>
        <v/>
      </c>
      <c r="AE133" s="682" t="inlineStr">
        <is>
          <t>ENGAGE</t>
        </is>
      </c>
      <c r="AF133" s="681" t="n"/>
      <c r="AG133" s="678" t="n"/>
      <c r="AH133" s="678" t="n"/>
      <c r="AI133" s="678" t="n"/>
      <c r="AJ133" s="678" t="n"/>
      <c r="AK133" s="683" t="n"/>
      <c r="AL133" s="683" t="n"/>
      <c r="AM133" s="681" t="inlineStr">
        <is>
          <t>Manque n° contrat</t>
        </is>
      </c>
      <c r="AN133" s="684" t="n"/>
      <c r="AO133" s="685" t="n"/>
      <c r="AP133" s="686" t="n"/>
      <c r="AQ133" s="686" t="n"/>
      <c r="AR133" s="23" t="n"/>
      <c r="AS133" s="686" t="n"/>
    </row>
    <row r="134" ht="50.55" customHeight="1" s="392">
      <c r="A134" s="672" t="n">
        <v>2026</v>
      </c>
      <c r="B134" s="673" t="inlineStr">
        <is>
          <t>DMPTV</t>
        </is>
      </c>
      <c r="C134" s="673" t="inlineStr">
        <is>
          <t>PV N° : 01RC2025-DCMPTV</t>
        </is>
      </c>
      <c r="D134" s="672" t="inlineStr">
        <is>
          <t>CONTRAT</t>
        </is>
      </c>
      <c r="E134" s="672" t="n"/>
      <c r="F134" s="674" t="inlineStr">
        <is>
          <t>IDRISS TAZARN  -  Rédacteur Web Sénior en arabe</t>
        </is>
      </c>
      <c r="G134" s="675" t="inlineStr">
        <is>
          <t>VALIDE</t>
        </is>
      </c>
      <c r="H134" s="672" t="inlineStr">
        <is>
          <t>APPROUVE</t>
        </is>
      </c>
      <c r="I134" s="672" t="n"/>
      <c r="J134" s="675" t="inlineStr">
        <is>
          <t>NON CONCERNE</t>
        </is>
      </c>
      <c r="K134" s="672" t="inlineStr">
        <is>
          <t>Ordinaire</t>
        </is>
      </c>
      <c r="L134" s="676" t="inlineStr">
        <is>
          <t>FONCTIONNEMENT</t>
        </is>
      </c>
      <c r="M134" s="676" t="inlineStr">
        <is>
          <t xml:space="preserve">Prestations de service
Achat prestations de services locales - personnes physiques </t>
        </is>
      </c>
      <c r="N134" s="677" t="n"/>
      <c r="O134" s="678" t="n"/>
      <c r="P134" s="678" t="n"/>
      <c r="Q134" s="672" t="inlineStr">
        <is>
          <t>RECONDUCTION</t>
        </is>
      </c>
      <c r="R134" s="679" t="n"/>
      <c r="S134" s="680" t="n"/>
      <c r="T134" s="681" t="inlineStr">
        <is>
          <t>IDRISS TAZARN</t>
        </is>
      </c>
      <c r="U134" s="672" t="n">
        <v>2026</v>
      </c>
      <c r="V134" s="680" t="n">
        <v>46387</v>
      </c>
      <c r="W134" s="680" t="n"/>
      <c r="X134" s="680" t="n">
        <v>46024</v>
      </c>
      <c r="Y134" s="677" t="n">
        <v>240000</v>
      </c>
      <c r="Z134" s="678" t="n"/>
      <c r="AA134" s="678">
        <f>Y134</f>
        <v/>
      </c>
      <c r="AB134" s="678" t="n"/>
      <c r="AC134" s="678">
        <f>Y134</f>
        <v/>
      </c>
      <c r="AD134" s="678">
        <f>AA134</f>
        <v/>
      </c>
      <c r="AE134" s="682" t="inlineStr">
        <is>
          <t>ENGAGE</t>
        </is>
      </c>
      <c r="AF134" s="681" t="n"/>
      <c r="AG134" s="678" t="n"/>
      <c r="AH134" s="678" t="n"/>
      <c r="AI134" s="678" t="n"/>
      <c r="AJ134" s="678" t="n"/>
      <c r="AK134" s="683" t="n"/>
      <c r="AL134" s="683" t="n"/>
      <c r="AM134" s="681" t="inlineStr">
        <is>
          <t>Manque n° contrat</t>
        </is>
      </c>
      <c r="AN134" s="684" t="n"/>
      <c r="AO134" s="685" t="n"/>
      <c r="AP134" s="686" t="n"/>
      <c r="AQ134" s="686" t="n"/>
      <c r="AR134" s="23" t="n"/>
      <c r="AS134" s="686" t="n"/>
    </row>
    <row r="135" ht="50.55" customHeight="1" s="392">
      <c r="A135" s="672" t="n">
        <v>2026</v>
      </c>
      <c r="B135" s="673" t="inlineStr">
        <is>
          <t>DPPR</t>
        </is>
      </c>
      <c r="C135" s="673" t="inlineStr">
        <is>
          <t>PV N° : 01RC2025-DPPR</t>
        </is>
      </c>
      <c r="D135" s="672" t="inlineStr">
        <is>
          <t>CONTRAT</t>
        </is>
      </c>
      <c r="E135" s="672" t="n"/>
      <c r="F135" s="674" t="inlineStr">
        <is>
          <t>NAJAT OUADIF  -  La supervision du contenu musical et la participation à la programmation musicale</t>
        </is>
      </c>
      <c r="G135" s="675" t="inlineStr">
        <is>
          <t>VALIDE</t>
        </is>
      </c>
      <c r="H135" s="672" t="inlineStr">
        <is>
          <t>APPROUVE</t>
        </is>
      </c>
      <c r="I135" s="672" t="n"/>
      <c r="J135" s="675" t="inlineStr">
        <is>
          <t>NON CONCERNE</t>
        </is>
      </c>
      <c r="K135" s="672" t="inlineStr">
        <is>
          <t>Ordinaire</t>
        </is>
      </c>
      <c r="L135" s="676" t="inlineStr">
        <is>
          <t>FONCTIONNEMENT</t>
        </is>
      </c>
      <c r="M135" s="676" t="inlineStr">
        <is>
          <t xml:space="preserve">Prestations de service
Achat prestations de services locales - personnes physiques </t>
        </is>
      </c>
      <c r="N135" s="677" t="n"/>
      <c r="O135" s="678" t="n"/>
      <c r="P135" s="678" t="n"/>
      <c r="Q135" s="672" t="inlineStr">
        <is>
          <t>RECONDUCTION</t>
        </is>
      </c>
      <c r="R135" s="679" t="n"/>
      <c r="S135" s="680" t="n"/>
      <c r="T135" s="681" t="inlineStr">
        <is>
          <t>NAJAT OUADIF</t>
        </is>
      </c>
      <c r="U135" s="672" t="n">
        <v>2026</v>
      </c>
      <c r="V135" s="680" t="n">
        <v>46387</v>
      </c>
      <c r="W135" s="680" t="n"/>
      <c r="X135" s="680" t="n">
        <v>46024</v>
      </c>
      <c r="Y135" s="677" t="n">
        <v>84000</v>
      </c>
      <c r="Z135" s="678" t="n"/>
      <c r="AA135" s="678">
        <f>Y135</f>
        <v/>
      </c>
      <c r="AB135" s="678" t="n"/>
      <c r="AC135" s="678">
        <f>Y135</f>
        <v/>
      </c>
      <c r="AD135" s="678">
        <f>AA135</f>
        <v/>
      </c>
      <c r="AE135" s="682" t="inlineStr">
        <is>
          <t>ENGAGE</t>
        </is>
      </c>
      <c r="AF135" s="681" t="n"/>
      <c r="AG135" s="678" t="n"/>
      <c r="AH135" s="678" t="n"/>
      <c r="AI135" s="678" t="n"/>
      <c r="AJ135" s="678" t="n"/>
      <c r="AK135" s="683" t="n"/>
      <c r="AL135" s="683" t="n"/>
      <c r="AM135" s="681" t="inlineStr">
        <is>
          <t>Manque n° contrat</t>
        </is>
      </c>
      <c r="AN135" s="684" t="n"/>
      <c r="AO135" s="685" t="n"/>
      <c r="AP135" s="686" t="n"/>
      <c r="AQ135" s="686" t="n"/>
      <c r="AR135" s="23" t="n"/>
      <c r="AS135" s="686" t="n"/>
    </row>
    <row r="136" ht="54.6" customHeight="1" s="392">
      <c r="A136" s="672" t="n">
        <v>2026</v>
      </c>
      <c r="B136" s="673" t="inlineStr">
        <is>
          <t>DPPR</t>
        </is>
      </c>
      <c r="C136" s="673" t="inlineStr">
        <is>
          <t>PV N° : 01RC2025-DPPR</t>
        </is>
      </c>
      <c r="D136" s="672" t="inlineStr">
        <is>
          <t>CONTRAT</t>
        </is>
      </c>
      <c r="E136" s="672" t="n"/>
      <c r="F136" s="674" t="inlineStr">
        <is>
          <t>AIT AMMI HADDOU HANANE  -  Journaliste chargée de la préparation et la présentation des émissions radiophoniques</t>
        </is>
      </c>
      <c r="G136" s="675" t="inlineStr">
        <is>
          <t>VALIDE</t>
        </is>
      </c>
      <c r="H136" s="672" t="inlineStr">
        <is>
          <t>APPROUVE</t>
        </is>
      </c>
      <c r="I136" s="672" t="n"/>
      <c r="J136" s="675" t="inlineStr">
        <is>
          <t>NON CONCERNE</t>
        </is>
      </c>
      <c r="K136" s="672" t="inlineStr">
        <is>
          <t>Ordinaire</t>
        </is>
      </c>
      <c r="L136" s="676" t="inlineStr">
        <is>
          <t>FONCTIONNEMENT</t>
        </is>
      </c>
      <c r="M136" s="676" t="inlineStr">
        <is>
          <t xml:space="preserve">Prestations de service
Achat prestations de services locales - personnes physiques </t>
        </is>
      </c>
      <c r="N136" s="677" t="n"/>
      <c r="O136" s="678" t="n"/>
      <c r="P136" s="678" t="n"/>
      <c r="Q136" s="672" t="inlineStr">
        <is>
          <t>RECONDUCTION</t>
        </is>
      </c>
      <c r="R136" s="679" t="n"/>
      <c r="S136" s="680" t="n"/>
      <c r="T136" s="681" t="inlineStr">
        <is>
          <t>AIT AMMI HADDOU HANANE</t>
        </is>
      </c>
      <c r="U136" s="672" t="n">
        <v>2026</v>
      </c>
      <c r="V136" s="680" t="n">
        <v>46387</v>
      </c>
      <c r="W136" s="680" t="n"/>
      <c r="X136" s="680" t="n">
        <v>46024</v>
      </c>
      <c r="Y136" s="677" t="n">
        <v>120000</v>
      </c>
      <c r="Z136" s="678" t="n"/>
      <c r="AA136" s="678">
        <f>Y136</f>
        <v/>
      </c>
      <c r="AB136" s="678" t="n"/>
      <c r="AC136" s="678">
        <f>Y136</f>
        <v/>
      </c>
      <c r="AD136" s="678">
        <f>AA136</f>
        <v/>
      </c>
      <c r="AE136" s="682" t="inlineStr">
        <is>
          <t>ENGAGE</t>
        </is>
      </c>
      <c r="AF136" s="681" t="n"/>
      <c r="AG136" s="678" t="n"/>
      <c r="AH136" s="678" t="n"/>
      <c r="AI136" s="678" t="n"/>
      <c r="AJ136" s="678" t="n"/>
      <c r="AK136" s="683" t="n"/>
      <c r="AL136" s="683" t="n"/>
      <c r="AM136" s="681" t="inlineStr">
        <is>
          <t>Manque n° contrat</t>
        </is>
      </c>
      <c r="AN136" s="684" t="n"/>
      <c r="AO136" s="685" t="n"/>
      <c r="AP136" s="686" t="n"/>
      <c r="AQ136" s="686" t="n"/>
      <c r="AR136" s="23" t="n"/>
      <c r="AS136" s="686" t="n"/>
    </row>
    <row r="137" ht="50.55" customHeight="1" s="392">
      <c r="A137" s="672" t="n">
        <v>2026</v>
      </c>
      <c r="B137" s="673" t="inlineStr">
        <is>
          <t>DPPR</t>
        </is>
      </c>
      <c r="C137" s="673" t="inlineStr">
        <is>
          <t>PV N° : 01RC2025-DPPR</t>
        </is>
      </c>
      <c r="D137" s="672" t="inlineStr">
        <is>
          <t>CONTRAT</t>
        </is>
      </c>
      <c r="E137" s="672" t="n"/>
      <c r="F137" s="674" t="inlineStr">
        <is>
          <t>ADIB EL MACHRAFI  -  Journaliste chargé de la préparation et la présentation des émissions radiophoniques</t>
        </is>
      </c>
      <c r="G137" s="675" t="inlineStr">
        <is>
          <t>VALIDE</t>
        </is>
      </c>
      <c r="H137" s="672" t="inlineStr">
        <is>
          <t>APPROUVE</t>
        </is>
      </c>
      <c r="I137" s="672" t="n"/>
      <c r="J137" s="675" t="inlineStr">
        <is>
          <t>NON CONCERNE</t>
        </is>
      </c>
      <c r="K137" s="672" t="inlineStr">
        <is>
          <t>Ordinaire</t>
        </is>
      </c>
      <c r="L137" s="676" t="inlineStr">
        <is>
          <t>FONCTIONNEMENT</t>
        </is>
      </c>
      <c r="M137" s="676" t="inlineStr">
        <is>
          <t xml:space="preserve">Prestations de service
Achat prestations de services locales - personnes physiques </t>
        </is>
      </c>
      <c r="N137" s="677" t="n"/>
      <c r="O137" s="678" t="n"/>
      <c r="P137" s="678" t="n"/>
      <c r="Q137" s="672" t="inlineStr">
        <is>
          <t>RECONDUCTION</t>
        </is>
      </c>
      <c r="R137" s="679" t="n"/>
      <c r="S137" s="680" t="n"/>
      <c r="T137" s="681" t="inlineStr">
        <is>
          <t>ADIB EL MACHRAFI</t>
        </is>
      </c>
      <c r="U137" s="672" t="n">
        <v>2026</v>
      </c>
      <c r="V137" s="680" t="n">
        <v>46387</v>
      </c>
      <c r="W137" s="680" t="n"/>
      <c r="X137" s="680" t="n">
        <v>46024</v>
      </c>
      <c r="Y137" s="677" t="n">
        <v>180000</v>
      </c>
      <c r="Z137" s="678" t="n"/>
      <c r="AA137" s="678">
        <f>Y137</f>
        <v/>
      </c>
      <c r="AB137" s="678" t="n"/>
      <c r="AC137" s="678">
        <f>Y137</f>
        <v/>
      </c>
      <c r="AD137" s="678">
        <f>AA137</f>
        <v/>
      </c>
      <c r="AE137" s="682" t="inlineStr">
        <is>
          <t>ENGAGE</t>
        </is>
      </c>
      <c r="AF137" s="681" t="n"/>
      <c r="AG137" s="678" t="n"/>
      <c r="AH137" s="678" t="n"/>
      <c r="AI137" s="678" t="n"/>
      <c r="AJ137" s="678" t="n"/>
      <c r="AK137" s="683" t="n"/>
      <c r="AL137" s="683" t="n"/>
      <c r="AM137" s="681" t="inlineStr">
        <is>
          <t>Manque n° contrat</t>
        </is>
      </c>
      <c r="AN137" s="684" t="n"/>
      <c r="AO137" s="685" t="n"/>
      <c r="AP137" s="686" t="n"/>
      <c r="AQ137" s="686" t="n"/>
      <c r="AR137" s="23" t="n"/>
      <c r="AS137" s="686" t="n"/>
    </row>
    <row r="138" ht="50.55" customHeight="1" s="392">
      <c r="A138" s="672" t="n">
        <v>2026</v>
      </c>
      <c r="B138" s="673" t="inlineStr">
        <is>
          <t>DPPR</t>
        </is>
      </c>
      <c r="C138" s="673" t="inlineStr">
        <is>
          <t>PV N° : 01RC2025-DPPR</t>
        </is>
      </c>
      <c r="D138" s="672" t="inlineStr">
        <is>
          <t>CONTRAT</t>
        </is>
      </c>
      <c r="E138" s="672" t="n"/>
      <c r="F138" s="674" t="inlineStr">
        <is>
          <t>SIBARI SAIDA  -  Journaliste chargée de la préparation et la présentation des émissions radiophoniques</t>
        </is>
      </c>
      <c r="G138" s="675" t="inlineStr">
        <is>
          <t>VALIDE</t>
        </is>
      </c>
      <c r="H138" s="672" t="inlineStr">
        <is>
          <t>APPROUVE</t>
        </is>
      </c>
      <c r="I138" s="672" t="n"/>
      <c r="J138" s="675" t="inlineStr">
        <is>
          <t>NON CONCERNE</t>
        </is>
      </c>
      <c r="K138" s="672" t="inlineStr">
        <is>
          <t>Ordinaire</t>
        </is>
      </c>
      <c r="L138" s="676" t="inlineStr">
        <is>
          <t>FONCTIONNEMENT</t>
        </is>
      </c>
      <c r="M138" s="676" t="inlineStr">
        <is>
          <t xml:space="preserve">Prestations de service
Achat prestations de services locales - personnes physiques </t>
        </is>
      </c>
      <c r="N138" s="677" t="n"/>
      <c r="O138" s="678" t="n"/>
      <c r="P138" s="678" t="n"/>
      <c r="Q138" s="672" t="inlineStr">
        <is>
          <t>RECONDUCTION</t>
        </is>
      </c>
      <c r="R138" s="679" t="n"/>
      <c r="S138" s="680" t="n"/>
      <c r="T138" s="681" t="inlineStr">
        <is>
          <t>SIBARI SAIDA</t>
        </is>
      </c>
      <c r="U138" s="672" t="n">
        <v>2026</v>
      </c>
      <c r="V138" s="680" t="n">
        <v>46387</v>
      </c>
      <c r="W138" s="680" t="n"/>
      <c r="X138" s="680" t="n">
        <v>46024</v>
      </c>
      <c r="Y138" s="677" t="n">
        <v>120000</v>
      </c>
      <c r="Z138" s="678" t="n"/>
      <c r="AA138" s="678">
        <f>Y138</f>
        <v/>
      </c>
      <c r="AB138" s="678" t="n"/>
      <c r="AC138" s="678">
        <f>Y138</f>
        <v/>
      </c>
      <c r="AD138" s="678">
        <f>AA138</f>
        <v/>
      </c>
      <c r="AE138" s="682" t="inlineStr">
        <is>
          <t>ENGAGE</t>
        </is>
      </c>
      <c r="AF138" s="681" t="n"/>
      <c r="AG138" s="678" t="n"/>
      <c r="AH138" s="678" t="n"/>
      <c r="AI138" s="678" t="n"/>
      <c r="AJ138" s="678" t="n"/>
      <c r="AK138" s="683" t="n"/>
      <c r="AL138" s="683" t="n"/>
      <c r="AM138" s="681" t="inlineStr">
        <is>
          <t>Manque n° contrat</t>
        </is>
      </c>
      <c r="AN138" s="684" t="n"/>
      <c r="AO138" s="685" t="n"/>
      <c r="AP138" s="686" t="n"/>
      <c r="AQ138" s="686" t="n"/>
      <c r="AR138" s="23" t="n"/>
      <c r="AS138" s="686" t="n"/>
    </row>
    <row r="139" ht="54.6" customHeight="1" s="392">
      <c r="A139" s="672" t="n">
        <v>2026</v>
      </c>
      <c r="B139" s="673" t="inlineStr">
        <is>
          <t>DPPR</t>
        </is>
      </c>
      <c r="C139" s="673" t="inlineStr">
        <is>
          <t>PV N° : 01RC2025-DPPR</t>
        </is>
      </c>
      <c r="D139" s="672" t="inlineStr">
        <is>
          <t>CONTRAT</t>
        </is>
      </c>
      <c r="E139" s="672" t="n"/>
      <c r="F139" s="674" t="inlineStr">
        <is>
          <t>HICHAM LAZREQ  -  Journaliste chargé   la préparation et la présentation des émissions radiophoniques et la programmation musicale</t>
        </is>
      </c>
      <c r="G139" s="675" t="inlineStr">
        <is>
          <t>VALIDE</t>
        </is>
      </c>
      <c r="H139" s="672" t="inlineStr">
        <is>
          <t>APPROUVE</t>
        </is>
      </c>
      <c r="I139" s="672" t="n"/>
      <c r="J139" s="675" t="inlineStr">
        <is>
          <t>NON CONCERNE</t>
        </is>
      </c>
      <c r="K139" s="672" t="inlineStr">
        <is>
          <t>Ordinaire</t>
        </is>
      </c>
      <c r="L139" s="676" t="inlineStr">
        <is>
          <t>FONCTIONNEMENT</t>
        </is>
      </c>
      <c r="M139" s="676" t="inlineStr">
        <is>
          <t xml:space="preserve">Prestations de service
Achat prestations de services locales - personnes physiques </t>
        </is>
      </c>
      <c r="N139" s="677" t="n"/>
      <c r="O139" s="678" t="n"/>
      <c r="P139" s="678" t="n"/>
      <c r="Q139" s="672" t="inlineStr">
        <is>
          <t>RECONDUCTION</t>
        </is>
      </c>
      <c r="R139" s="679" t="n"/>
      <c r="S139" s="680" t="n"/>
      <c r="T139" s="681" t="inlineStr">
        <is>
          <t>HICHAM LAZREQ</t>
        </is>
      </c>
      <c r="U139" s="672" t="n">
        <v>2026</v>
      </c>
      <c r="V139" s="680" t="n">
        <v>46387</v>
      </c>
      <c r="W139" s="680" t="n"/>
      <c r="X139" s="680" t="n">
        <v>46024</v>
      </c>
      <c r="Y139" s="677" t="n">
        <v>216000</v>
      </c>
      <c r="Z139" s="678" t="n"/>
      <c r="AA139" s="678">
        <f>Y139</f>
        <v/>
      </c>
      <c r="AB139" s="678" t="n"/>
      <c r="AC139" s="678">
        <f>Y139</f>
        <v/>
      </c>
      <c r="AD139" s="678">
        <f>AA139</f>
        <v/>
      </c>
      <c r="AE139" s="682" t="inlineStr">
        <is>
          <t>ENGAGE</t>
        </is>
      </c>
      <c r="AF139" s="681" t="n"/>
      <c r="AG139" s="678" t="n"/>
      <c r="AH139" s="678" t="n"/>
      <c r="AI139" s="678" t="n"/>
      <c r="AJ139" s="678" t="n"/>
      <c r="AK139" s="683" t="n"/>
      <c r="AL139" s="683" t="n"/>
      <c r="AM139" s="681" t="inlineStr">
        <is>
          <t>Manque n° contrat</t>
        </is>
      </c>
      <c r="AN139" s="684" t="n"/>
      <c r="AO139" s="685" t="n"/>
      <c r="AP139" s="686" t="n"/>
      <c r="AQ139" s="686" t="n"/>
      <c r="AR139" s="23" t="n"/>
      <c r="AS139" s="686" t="n"/>
    </row>
    <row r="140" ht="50.55" customHeight="1" s="392">
      <c r="A140" s="672" t="n">
        <v>2026</v>
      </c>
      <c r="B140" s="673" t="inlineStr">
        <is>
          <t>DPPR</t>
        </is>
      </c>
      <c r="C140" s="673" t="inlineStr">
        <is>
          <t>PV N° : 01RC2025-DPPR</t>
        </is>
      </c>
      <c r="D140" s="672" t="inlineStr">
        <is>
          <t>CONTRAT</t>
        </is>
      </c>
      <c r="E140" s="672" t="n"/>
      <c r="F140" s="674" t="inlineStr">
        <is>
          <t>BHIRI MHAMED  -  Journaliste chargé de la préparation et l’animation de l’émission RD « INTER MATIN »</t>
        </is>
      </c>
      <c r="G140" s="675" t="inlineStr">
        <is>
          <t>VALIDE</t>
        </is>
      </c>
      <c r="H140" s="672" t="inlineStr">
        <is>
          <t>APPROUVE</t>
        </is>
      </c>
      <c r="I140" s="672" t="n"/>
      <c r="J140" s="675" t="inlineStr">
        <is>
          <t>NON CONCERNE</t>
        </is>
      </c>
      <c r="K140" s="672" t="inlineStr">
        <is>
          <t>Ordinaire</t>
        </is>
      </c>
      <c r="L140" s="676" t="inlineStr">
        <is>
          <t>FONCTIONNEMENT</t>
        </is>
      </c>
      <c r="M140" s="676" t="inlineStr">
        <is>
          <t xml:space="preserve">Prestations de service
Achat prestations de services locales - personnes physiques </t>
        </is>
      </c>
      <c r="N140" s="677" t="n"/>
      <c r="O140" s="678" t="n"/>
      <c r="P140" s="678" t="n"/>
      <c r="Q140" s="672" t="inlineStr">
        <is>
          <t>RECONDUCTION</t>
        </is>
      </c>
      <c r="R140" s="679" t="n"/>
      <c r="S140" s="680" t="n"/>
      <c r="T140" s="681" t="inlineStr">
        <is>
          <t>BHIRI MHAMED</t>
        </is>
      </c>
      <c r="U140" s="672" t="n">
        <v>2026</v>
      </c>
      <c r="V140" s="680" t="n">
        <v>46387</v>
      </c>
      <c r="W140" s="680" t="n"/>
      <c r="X140" s="680" t="n">
        <v>46024</v>
      </c>
      <c r="Y140" s="677" t="n">
        <v>240000</v>
      </c>
      <c r="Z140" s="678" t="n"/>
      <c r="AA140" s="678">
        <f>Y140</f>
        <v/>
      </c>
      <c r="AB140" s="678" t="n"/>
      <c r="AC140" s="678">
        <f>Y140</f>
        <v/>
      </c>
      <c r="AD140" s="678">
        <f>AA140</f>
        <v/>
      </c>
      <c r="AE140" s="682" t="inlineStr">
        <is>
          <t>ENGAGE</t>
        </is>
      </c>
      <c r="AF140" s="681" t="n"/>
      <c r="AG140" s="678" t="n"/>
      <c r="AH140" s="678" t="n"/>
      <c r="AI140" s="678" t="n"/>
      <c r="AJ140" s="678" t="n"/>
      <c r="AK140" s="683" t="n"/>
      <c r="AL140" s="683" t="n"/>
      <c r="AM140" s="681" t="inlineStr">
        <is>
          <t>Manque n° contrat</t>
        </is>
      </c>
      <c r="AN140" s="684" t="n"/>
      <c r="AO140" s="685" t="n"/>
      <c r="AP140" s="686" t="n"/>
      <c r="AQ140" s="686" t="n"/>
      <c r="AR140" s="23" t="n"/>
      <c r="AS140" s="686" t="n"/>
    </row>
    <row r="141" ht="50.55" customHeight="1" s="392">
      <c r="A141" s="672" t="n">
        <v>2026</v>
      </c>
      <c r="B141" s="673" t="inlineStr">
        <is>
          <t>DPPR</t>
        </is>
      </c>
      <c r="C141" s="673" t="inlineStr">
        <is>
          <t>PV N° : 01RC2025-DPPR</t>
        </is>
      </c>
      <c r="D141" s="672" t="inlineStr">
        <is>
          <t>CONTRAT</t>
        </is>
      </c>
      <c r="E141" s="672" t="n"/>
      <c r="F141" s="674" t="inlineStr">
        <is>
          <t>CHRAYGANE GHIZLANE  -  Journaliste chargée de la préparation et la présentation des émissions radiophoniques</t>
        </is>
      </c>
      <c r="G141" s="675" t="inlineStr">
        <is>
          <t>VALIDE</t>
        </is>
      </c>
      <c r="H141" s="672" t="inlineStr">
        <is>
          <t>APPROUVE</t>
        </is>
      </c>
      <c r="I141" s="672" t="n"/>
      <c r="J141" s="675" t="inlineStr">
        <is>
          <t>NON CONCERNE</t>
        </is>
      </c>
      <c r="K141" s="672" t="inlineStr">
        <is>
          <t>Ordinaire</t>
        </is>
      </c>
      <c r="L141" s="676" t="inlineStr">
        <is>
          <t>FONCTIONNEMENT</t>
        </is>
      </c>
      <c r="M141" s="676" t="inlineStr">
        <is>
          <t xml:space="preserve">Prestations de service
Achat prestations de services locales - personnes physiques </t>
        </is>
      </c>
      <c r="N141" s="677" t="n"/>
      <c r="O141" s="678" t="n"/>
      <c r="P141" s="678" t="n"/>
      <c r="Q141" s="672" t="inlineStr">
        <is>
          <t>RECONDUCTION</t>
        </is>
      </c>
      <c r="R141" s="679" t="n"/>
      <c r="S141" s="680" t="n"/>
      <c r="T141" s="681" t="inlineStr">
        <is>
          <t>CHRAYGANE GHIZLANE</t>
        </is>
      </c>
      <c r="U141" s="672" t="n">
        <v>2026</v>
      </c>
      <c r="V141" s="680" t="n">
        <v>46387</v>
      </c>
      <c r="W141" s="680" t="n"/>
      <c r="X141" s="680" t="n">
        <v>46024</v>
      </c>
      <c r="Y141" s="677" t="n">
        <v>156000</v>
      </c>
      <c r="Z141" s="678" t="n"/>
      <c r="AA141" s="678">
        <f>Y141</f>
        <v/>
      </c>
      <c r="AB141" s="678" t="n"/>
      <c r="AC141" s="678">
        <f>Y141</f>
        <v/>
      </c>
      <c r="AD141" s="678">
        <f>AA141</f>
        <v/>
      </c>
      <c r="AE141" s="682" t="inlineStr">
        <is>
          <t>ENGAGE</t>
        </is>
      </c>
      <c r="AF141" s="681" t="n"/>
      <c r="AG141" s="678" t="n"/>
      <c r="AH141" s="678" t="n"/>
      <c r="AI141" s="678" t="n"/>
      <c r="AJ141" s="678" t="n"/>
      <c r="AK141" s="683" t="n"/>
      <c r="AL141" s="683" t="n"/>
      <c r="AM141" s="681" t="inlineStr">
        <is>
          <t>Manque n° contrat</t>
        </is>
      </c>
      <c r="AN141" s="684" t="n"/>
      <c r="AO141" s="685" t="n"/>
      <c r="AP141" s="686" t="n"/>
      <c r="AQ141" s="686" t="n"/>
      <c r="AR141" s="23" t="n"/>
      <c r="AS141" s="686" t="n"/>
    </row>
    <row r="142" ht="50.55" customHeight="1" s="392">
      <c r="A142" s="672" t="n">
        <v>2026</v>
      </c>
      <c r="B142" s="673" t="inlineStr">
        <is>
          <t>DPPR</t>
        </is>
      </c>
      <c r="C142" s="673" t="inlineStr">
        <is>
          <t>PV N° : 01RC2025-DPPR</t>
        </is>
      </c>
      <c r="D142" s="672" t="inlineStr">
        <is>
          <t>CONTRAT</t>
        </is>
      </c>
      <c r="E142" s="672" t="n"/>
      <c r="F142" s="674" t="inlineStr">
        <is>
          <t>HANAA LAIDI  -  Journaliste chargée de la préparation et la présentation des émissions radiophoniques</t>
        </is>
      </c>
      <c r="G142" s="675" t="inlineStr">
        <is>
          <t>VALIDE</t>
        </is>
      </c>
      <c r="H142" s="672" t="inlineStr">
        <is>
          <t>APPROUVE</t>
        </is>
      </c>
      <c r="I142" s="672" t="n"/>
      <c r="J142" s="675" t="inlineStr">
        <is>
          <t>NON CONCERNE</t>
        </is>
      </c>
      <c r="K142" s="672" t="inlineStr">
        <is>
          <t>Ordinaire</t>
        </is>
      </c>
      <c r="L142" s="676" t="inlineStr">
        <is>
          <t>FONCTIONNEMENT</t>
        </is>
      </c>
      <c r="M142" s="676" t="inlineStr">
        <is>
          <t xml:space="preserve">Prestations de service
Achat prestations de services locales - personnes physiques </t>
        </is>
      </c>
      <c r="N142" s="677" t="n"/>
      <c r="O142" s="678" t="n"/>
      <c r="P142" s="678" t="n"/>
      <c r="Q142" s="672" t="inlineStr">
        <is>
          <t>RECONDUCTION</t>
        </is>
      </c>
      <c r="R142" s="679" t="n"/>
      <c r="S142" s="680" t="n"/>
      <c r="T142" s="681" t="inlineStr">
        <is>
          <t>HANAA LAIDI</t>
        </is>
      </c>
      <c r="U142" s="672" t="n">
        <v>2026</v>
      </c>
      <c r="V142" s="680" t="n">
        <v>46387</v>
      </c>
      <c r="W142" s="680" t="n"/>
      <c r="X142" s="680" t="n">
        <v>46024</v>
      </c>
      <c r="Y142" s="677" t="n">
        <v>96000</v>
      </c>
      <c r="Z142" s="678" t="n"/>
      <c r="AA142" s="678">
        <f>Y142</f>
        <v/>
      </c>
      <c r="AB142" s="678" t="n"/>
      <c r="AC142" s="678">
        <f>Y142</f>
        <v/>
      </c>
      <c r="AD142" s="678">
        <f>AA142</f>
        <v/>
      </c>
      <c r="AE142" s="682" t="inlineStr">
        <is>
          <t>ENGAGE</t>
        </is>
      </c>
      <c r="AF142" s="681" t="n"/>
      <c r="AG142" s="678" t="n"/>
      <c r="AH142" s="678" t="n"/>
      <c r="AI142" s="678" t="n"/>
      <c r="AJ142" s="678" t="n"/>
      <c r="AK142" s="683" t="n"/>
      <c r="AL142" s="683" t="n"/>
      <c r="AM142" s="681" t="inlineStr">
        <is>
          <t>Manque n° contrat</t>
        </is>
      </c>
      <c r="AN142" s="684" t="n"/>
      <c r="AO142" s="685" t="n"/>
      <c r="AP142" s="686" t="n"/>
      <c r="AQ142" s="686" t="n"/>
      <c r="AR142" s="23" t="n"/>
      <c r="AS142" s="686" t="n"/>
    </row>
    <row r="143" ht="54.6" customHeight="1" s="392">
      <c r="A143" s="672" t="n">
        <v>2026</v>
      </c>
      <c r="B143" s="673" t="inlineStr">
        <is>
          <t>DPPR</t>
        </is>
      </c>
      <c r="C143" s="673" t="inlineStr">
        <is>
          <t>PV N° : 01RC2025-DPPR</t>
        </is>
      </c>
      <c r="D143" s="672" t="inlineStr">
        <is>
          <t>CONTRAT</t>
        </is>
      </c>
      <c r="E143" s="672" t="n"/>
      <c r="F143" s="674" t="inlineStr">
        <is>
          <t>MOHAMED AKOUNAD  -  Journaliste chargé de la préparation et la présentation des bulletins et flashs d’information et des émissions radiophoniques</t>
        </is>
      </c>
      <c r="G143" s="675" t="inlineStr">
        <is>
          <t>VALIDE</t>
        </is>
      </c>
      <c r="H143" s="672" t="inlineStr">
        <is>
          <t>APPROUVE</t>
        </is>
      </c>
      <c r="I143" s="672" t="n"/>
      <c r="J143" s="675" t="inlineStr">
        <is>
          <t>NON CONCERNE</t>
        </is>
      </c>
      <c r="K143" s="672" t="inlineStr">
        <is>
          <t>Ordinaire</t>
        </is>
      </c>
      <c r="L143" s="676" t="inlineStr">
        <is>
          <t>FONCTIONNEMENT</t>
        </is>
      </c>
      <c r="M143" s="676" t="inlineStr">
        <is>
          <t xml:space="preserve">Prestations de service
Achat prestations de services locales - personnes physiques </t>
        </is>
      </c>
      <c r="N143" s="677" t="n"/>
      <c r="O143" s="678" t="n"/>
      <c r="P143" s="678" t="n"/>
      <c r="Q143" s="672" t="inlineStr">
        <is>
          <t>RECONDUCTION</t>
        </is>
      </c>
      <c r="R143" s="679" t="n"/>
      <c r="S143" s="680" t="n"/>
      <c r="T143" s="681" t="inlineStr">
        <is>
          <t>MOHAMED AKOUNAD</t>
        </is>
      </c>
      <c r="U143" s="672" t="n">
        <v>2026</v>
      </c>
      <c r="V143" s="680" t="n">
        <v>46387</v>
      </c>
      <c r="W143" s="680" t="n"/>
      <c r="X143" s="680" t="n">
        <v>46024</v>
      </c>
      <c r="Y143" s="677" t="n">
        <v>24000</v>
      </c>
      <c r="Z143" s="678" t="n"/>
      <c r="AA143" s="678">
        <f>Y143</f>
        <v/>
      </c>
      <c r="AB143" s="678" t="n"/>
      <c r="AC143" s="678">
        <f>Y143</f>
        <v/>
      </c>
      <c r="AD143" s="678">
        <f>AA143</f>
        <v/>
      </c>
      <c r="AE143" s="682" t="inlineStr">
        <is>
          <t>ENGAGE</t>
        </is>
      </c>
      <c r="AF143" s="681" t="n"/>
      <c r="AG143" s="678" t="n"/>
      <c r="AH143" s="678" t="n"/>
      <c r="AI143" s="678" t="n"/>
      <c r="AJ143" s="678" t="n"/>
      <c r="AK143" s="683" t="n"/>
      <c r="AL143" s="683" t="n"/>
      <c r="AM143" s="681" t="inlineStr">
        <is>
          <t>Manque n° contrat</t>
        </is>
      </c>
      <c r="AN143" s="684" t="n"/>
      <c r="AO143" s="685" t="n"/>
      <c r="AP143" s="686" t="n"/>
      <c r="AQ143" s="686" t="n"/>
      <c r="AR143" s="23" t="n"/>
      <c r="AS143" s="686" t="n"/>
    </row>
    <row r="144" ht="54.6" customHeight="1" s="392">
      <c r="A144" s="672" t="n">
        <v>2026</v>
      </c>
      <c r="B144" s="673" t="inlineStr">
        <is>
          <t>DPPR</t>
        </is>
      </c>
      <c r="C144" s="673" t="inlineStr">
        <is>
          <t>PV N° : 01RC2025-DPPR</t>
        </is>
      </c>
      <c r="D144" s="672" t="inlineStr">
        <is>
          <t>CONTRAT</t>
        </is>
      </c>
      <c r="E144" s="672" t="n"/>
      <c r="F144" s="674" t="inlineStr">
        <is>
          <t>KORCHI YOUSSEF  -  Journaliste chargé de la préparation et la présentation des bulletins et flashs d’information et des émissions radiophoniques</t>
        </is>
      </c>
      <c r="G144" s="675" t="inlineStr">
        <is>
          <t>VALIDE</t>
        </is>
      </c>
      <c r="H144" s="672" t="inlineStr">
        <is>
          <t>APPROUVE</t>
        </is>
      </c>
      <c r="I144" s="672" t="n"/>
      <c r="J144" s="675" t="inlineStr">
        <is>
          <t>NON CONCERNE</t>
        </is>
      </c>
      <c r="K144" s="672" t="inlineStr">
        <is>
          <t>Ordinaire</t>
        </is>
      </c>
      <c r="L144" s="676" t="inlineStr">
        <is>
          <t>FONCTIONNEMENT</t>
        </is>
      </c>
      <c r="M144" s="676" t="inlineStr">
        <is>
          <t xml:space="preserve">Prestations de service
Achat prestations de services locales - personnes physiques </t>
        </is>
      </c>
      <c r="N144" s="677" t="n"/>
      <c r="O144" s="678" t="n"/>
      <c r="P144" s="678" t="n"/>
      <c r="Q144" s="672" t="inlineStr">
        <is>
          <t>RECONDUCTION</t>
        </is>
      </c>
      <c r="R144" s="679" t="n"/>
      <c r="S144" s="680" t="n"/>
      <c r="T144" s="681" t="inlineStr">
        <is>
          <t>KORCHI YOUSSEF</t>
        </is>
      </c>
      <c r="U144" s="672" t="n">
        <v>2026</v>
      </c>
      <c r="V144" s="680" t="n">
        <v>46387</v>
      </c>
      <c r="W144" s="680" t="n"/>
      <c r="X144" s="680" t="n">
        <v>46024</v>
      </c>
      <c r="Y144" s="677" t="n">
        <v>96000</v>
      </c>
      <c r="Z144" s="678" t="n"/>
      <c r="AA144" s="678">
        <f>Y144</f>
        <v/>
      </c>
      <c r="AB144" s="678" t="n"/>
      <c r="AC144" s="678">
        <f>Y144</f>
        <v/>
      </c>
      <c r="AD144" s="678">
        <f>AA144</f>
        <v/>
      </c>
      <c r="AE144" s="682" t="inlineStr">
        <is>
          <t>ENGAGE</t>
        </is>
      </c>
      <c r="AF144" s="681" t="n"/>
      <c r="AG144" s="678" t="n"/>
      <c r="AH144" s="678" t="n"/>
      <c r="AI144" s="678" t="n"/>
      <c r="AJ144" s="678" t="n"/>
      <c r="AK144" s="683" t="n"/>
      <c r="AL144" s="683" t="n"/>
      <c r="AM144" s="681" t="inlineStr">
        <is>
          <t>Manque n° contrat</t>
        </is>
      </c>
      <c r="AN144" s="684" t="n"/>
      <c r="AO144" s="685" t="n"/>
      <c r="AP144" s="686" t="n"/>
      <c r="AQ144" s="686" t="n"/>
      <c r="AR144" s="23" t="n"/>
      <c r="AS144" s="686" t="n"/>
    </row>
    <row r="145" ht="54.6" customHeight="1" s="392">
      <c r="A145" s="672" t="n">
        <v>2026</v>
      </c>
      <c r="B145" s="673" t="inlineStr">
        <is>
          <t>DPPR</t>
        </is>
      </c>
      <c r="C145" s="673" t="inlineStr">
        <is>
          <t>PV N° : 01RC2025-DPPR</t>
        </is>
      </c>
      <c r="D145" s="672" t="inlineStr">
        <is>
          <t>CONTRAT</t>
        </is>
      </c>
      <c r="E145" s="672" t="n"/>
      <c r="F145" s="674" t="inlineStr">
        <is>
          <t>RADOUAN WAHIDI -  Journaliste chargé de la préparation et la présentation des bulletins et flashs d’information et des émissions radiophoniques</t>
        </is>
      </c>
      <c r="G145" s="675" t="inlineStr">
        <is>
          <t>VALIDE</t>
        </is>
      </c>
      <c r="H145" s="672" t="inlineStr">
        <is>
          <t>APPROUVE</t>
        </is>
      </c>
      <c r="I145" s="672" t="n"/>
      <c r="J145" s="675" t="inlineStr">
        <is>
          <t>NON CONCERNE</t>
        </is>
      </c>
      <c r="K145" s="672" t="inlineStr">
        <is>
          <t>Ordinaire</t>
        </is>
      </c>
      <c r="L145" s="676" t="inlineStr">
        <is>
          <t>FONCTIONNEMENT</t>
        </is>
      </c>
      <c r="M145" s="676" t="inlineStr">
        <is>
          <t xml:space="preserve">Prestations de service
Achat prestations de services locales - personnes physiques </t>
        </is>
      </c>
      <c r="N145" s="677" t="n"/>
      <c r="O145" s="678" t="n"/>
      <c r="P145" s="678" t="n"/>
      <c r="Q145" s="672" t="inlineStr">
        <is>
          <t>RECONDUCTION</t>
        </is>
      </c>
      <c r="R145" s="679" t="n"/>
      <c r="S145" s="680" t="n"/>
      <c r="T145" s="681" t="inlineStr">
        <is>
          <t>RADOUAN WAHID</t>
        </is>
      </c>
      <c r="U145" s="672" t="n">
        <v>2026</v>
      </c>
      <c r="V145" s="680" t="n">
        <v>46387</v>
      </c>
      <c r="W145" s="680" t="n"/>
      <c r="X145" s="680" t="n">
        <v>46024</v>
      </c>
      <c r="Y145" s="677" t="n">
        <v>96000</v>
      </c>
      <c r="Z145" s="678" t="n"/>
      <c r="AA145" s="678">
        <f>Y145</f>
        <v/>
      </c>
      <c r="AB145" s="678" t="n"/>
      <c r="AC145" s="678">
        <f>Y145</f>
        <v/>
      </c>
      <c r="AD145" s="678">
        <f>AA145</f>
        <v/>
      </c>
      <c r="AE145" s="682" t="inlineStr">
        <is>
          <t>ENGAGE</t>
        </is>
      </c>
      <c r="AF145" s="681" t="n"/>
      <c r="AG145" s="678" t="n"/>
      <c r="AH145" s="678" t="n"/>
      <c r="AI145" s="678" t="n"/>
      <c r="AJ145" s="678" t="n"/>
      <c r="AK145" s="683" t="n"/>
      <c r="AL145" s="683" t="n"/>
      <c r="AM145" s="681" t="inlineStr">
        <is>
          <t>Manque n° contrat</t>
        </is>
      </c>
      <c r="AN145" s="684" t="n"/>
      <c r="AO145" s="685" t="n"/>
      <c r="AP145" s="686" t="n"/>
      <c r="AQ145" s="686" t="n"/>
      <c r="AR145" s="23" t="n"/>
      <c r="AS145" s="686" t="n"/>
    </row>
    <row r="146" ht="54.6" customHeight="1" s="392">
      <c r="A146" s="672" t="n">
        <v>2026</v>
      </c>
      <c r="B146" s="673" t="inlineStr">
        <is>
          <t>DPPR</t>
        </is>
      </c>
      <c r="C146" s="673" t="inlineStr">
        <is>
          <t>PV N° : 01RC2025-DPPR</t>
        </is>
      </c>
      <c r="D146" s="672" t="inlineStr">
        <is>
          <t>CONTRAT</t>
        </is>
      </c>
      <c r="E146" s="672" t="n"/>
      <c r="F146" s="674" t="inlineStr">
        <is>
          <t>AL AHDI AHMED  -  Journaliste chargé de la préparation et la présentation des bulletins et flashs d’information et des émissions radiophoniques</t>
        </is>
      </c>
      <c r="G146" s="675" t="inlineStr">
        <is>
          <t>VALIDE</t>
        </is>
      </c>
      <c r="H146" s="672" t="inlineStr">
        <is>
          <t>APPROUVE</t>
        </is>
      </c>
      <c r="I146" s="672" t="n"/>
      <c r="J146" s="675" t="inlineStr">
        <is>
          <t>NON CONCERNE</t>
        </is>
      </c>
      <c r="K146" s="672" t="inlineStr">
        <is>
          <t>Ordinaire</t>
        </is>
      </c>
      <c r="L146" s="676" t="inlineStr">
        <is>
          <t>FONCTIONNEMENT</t>
        </is>
      </c>
      <c r="M146" s="676" t="inlineStr">
        <is>
          <t xml:space="preserve">Prestations de service
Achat prestations de services locales - personnes physiques </t>
        </is>
      </c>
      <c r="N146" s="677" t="n"/>
      <c r="O146" s="678" t="n"/>
      <c r="P146" s="678" t="n"/>
      <c r="Q146" s="672" t="inlineStr">
        <is>
          <t>RECONDUCTION</t>
        </is>
      </c>
      <c r="R146" s="679" t="n"/>
      <c r="S146" s="680" t="n"/>
      <c r="T146" s="681" t="inlineStr">
        <is>
          <t>AL AHDI AHMED</t>
        </is>
      </c>
      <c r="U146" s="672" t="n">
        <v>2026</v>
      </c>
      <c r="V146" s="680" t="n">
        <v>46387</v>
      </c>
      <c r="W146" s="680" t="n"/>
      <c r="X146" s="680" t="n">
        <v>46024</v>
      </c>
      <c r="Y146" s="677" t="n">
        <v>60000</v>
      </c>
      <c r="Z146" s="678" t="n"/>
      <c r="AA146" s="678">
        <f>Y146</f>
        <v/>
      </c>
      <c r="AB146" s="678" t="n"/>
      <c r="AC146" s="678">
        <f>Y146</f>
        <v/>
      </c>
      <c r="AD146" s="678">
        <f>AA146</f>
        <v/>
      </c>
      <c r="AE146" s="682" t="inlineStr">
        <is>
          <t>ENGAGE</t>
        </is>
      </c>
      <c r="AF146" s="681" t="n"/>
      <c r="AG146" s="678" t="n"/>
      <c r="AH146" s="678" t="n"/>
      <c r="AI146" s="678" t="n"/>
      <c r="AJ146" s="678" t="n"/>
      <c r="AK146" s="683" t="n"/>
      <c r="AL146" s="683" t="n"/>
      <c r="AM146" s="681" t="inlineStr">
        <is>
          <t>Manque n° contrat</t>
        </is>
      </c>
      <c r="AN146" s="684" t="n"/>
      <c r="AO146" s="685" t="n"/>
      <c r="AP146" s="686" t="n"/>
      <c r="AQ146" s="686" t="n"/>
      <c r="AR146" s="23" t="n"/>
      <c r="AS146" s="686" t="n"/>
    </row>
    <row r="147" ht="54.6" customHeight="1" s="392">
      <c r="A147" s="672" t="n">
        <v>2026</v>
      </c>
      <c r="B147" s="673" t="inlineStr">
        <is>
          <t>DPPR</t>
        </is>
      </c>
      <c r="C147" s="673" t="inlineStr">
        <is>
          <t>PV N° : 01RC2025-DPPR</t>
        </is>
      </c>
      <c r="D147" s="672" t="inlineStr">
        <is>
          <t>CONTRAT</t>
        </is>
      </c>
      <c r="E147" s="672" t="n"/>
      <c r="F147" s="674" t="inlineStr">
        <is>
          <t>AZIZA EL RHAOUI  -  Journaliste chargée de la préparation et la présentation des bulletins et flashs d’information et des émissions radiophoniques</t>
        </is>
      </c>
      <c r="G147" s="675" t="inlineStr">
        <is>
          <t>VALIDE</t>
        </is>
      </c>
      <c r="H147" s="672" t="inlineStr">
        <is>
          <t>APPROUVE</t>
        </is>
      </c>
      <c r="I147" s="672" t="n"/>
      <c r="J147" s="675" t="inlineStr">
        <is>
          <t>NON CONCERNE</t>
        </is>
      </c>
      <c r="K147" s="672" t="inlineStr">
        <is>
          <t>Ordinaire</t>
        </is>
      </c>
      <c r="L147" s="676" t="inlineStr">
        <is>
          <t>FONCTIONNEMENT</t>
        </is>
      </c>
      <c r="M147" s="676" t="inlineStr">
        <is>
          <t xml:space="preserve">Prestations de service
Achat prestations de services locales - personnes physiques </t>
        </is>
      </c>
      <c r="N147" s="677" t="n"/>
      <c r="O147" s="678" t="n"/>
      <c r="P147" s="678" t="n"/>
      <c r="Q147" s="672" t="inlineStr">
        <is>
          <t>RECONDUCTION</t>
        </is>
      </c>
      <c r="R147" s="679" t="n"/>
      <c r="S147" s="680" t="n"/>
      <c r="T147" s="681" t="inlineStr">
        <is>
          <t>AZIZA EL RHAOUI</t>
        </is>
      </c>
      <c r="U147" s="672" t="n">
        <v>2026</v>
      </c>
      <c r="V147" s="680" t="n">
        <v>46387</v>
      </c>
      <c r="W147" s="680" t="n"/>
      <c r="X147" s="680" t="n">
        <v>46024</v>
      </c>
      <c r="Y147" s="677" t="n">
        <v>96000</v>
      </c>
      <c r="Z147" s="678" t="n"/>
      <c r="AA147" s="678">
        <f>Y147</f>
        <v/>
      </c>
      <c r="AB147" s="678" t="n"/>
      <c r="AC147" s="678">
        <f>Y147</f>
        <v/>
      </c>
      <c r="AD147" s="678">
        <f>AA147</f>
        <v/>
      </c>
      <c r="AE147" s="682" t="inlineStr">
        <is>
          <t>ENGAGE</t>
        </is>
      </c>
      <c r="AF147" s="681" t="n"/>
      <c r="AG147" s="678" t="n"/>
      <c r="AH147" s="678" t="n"/>
      <c r="AI147" s="678" t="n"/>
      <c r="AJ147" s="678" t="n"/>
      <c r="AK147" s="683" t="n"/>
      <c r="AL147" s="683" t="n"/>
      <c r="AM147" s="681" t="inlineStr">
        <is>
          <t>Manque n° contrat</t>
        </is>
      </c>
      <c r="AN147" s="684" t="n"/>
      <c r="AO147" s="685" t="n"/>
      <c r="AP147" s="686" t="n"/>
      <c r="AQ147" s="686" t="n"/>
      <c r="AR147" s="23" t="n"/>
      <c r="AS147" s="686" t="n"/>
    </row>
    <row r="148" ht="50.55" customHeight="1" s="392">
      <c r="A148" s="672" t="n">
        <v>2026</v>
      </c>
      <c r="B148" s="673" t="inlineStr">
        <is>
          <t>DPPR</t>
        </is>
      </c>
      <c r="C148" s="673" t="inlineStr">
        <is>
          <t>PV N° : 01RC2025-DPPR</t>
        </is>
      </c>
      <c r="D148" s="672" t="inlineStr">
        <is>
          <t>CONTRAT</t>
        </is>
      </c>
      <c r="E148" s="672" t="n"/>
      <c r="F148" s="674" t="inlineStr">
        <is>
          <t>ABDERRAHMAN LOUKSANI  -  Réalisateur radio</t>
        </is>
      </c>
      <c r="G148" s="675" t="inlineStr">
        <is>
          <t>VALIDE</t>
        </is>
      </c>
      <c r="H148" s="672" t="inlineStr">
        <is>
          <t>APPROUVE</t>
        </is>
      </c>
      <c r="I148" s="672" t="n"/>
      <c r="J148" s="675" t="inlineStr">
        <is>
          <t>NON CONCERNE</t>
        </is>
      </c>
      <c r="K148" s="672" t="inlineStr">
        <is>
          <t>Ordinaire</t>
        </is>
      </c>
      <c r="L148" s="676" t="inlineStr">
        <is>
          <t>FONCTIONNEMENT</t>
        </is>
      </c>
      <c r="M148" s="676" t="inlineStr">
        <is>
          <t xml:space="preserve">Prestations de service
Achat prestations de services locales - personnes physiques </t>
        </is>
      </c>
      <c r="N148" s="677" t="n"/>
      <c r="O148" s="678" t="n"/>
      <c r="P148" s="678" t="n"/>
      <c r="Q148" s="672" t="inlineStr">
        <is>
          <t>RECONDUCTION</t>
        </is>
      </c>
      <c r="R148" s="679" t="n"/>
      <c r="S148" s="680" t="n"/>
      <c r="T148" s="681" t="inlineStr">
        <is>
          <t>ABDERRAHMAN LOUKSANI</t>
        </is>
      </c>
      <c r="U148" s="672" t="n">
        <v>2026</v>
      </c>
      <c r="V148" s="680" t="n">
        <v>46387</v>
      </c>
      <c r="W148" s="680" t="n"/>
      <c r="X148" s="680" t="n">
        <v>46024</v>
      </c>
      <c r="Y148" s="677" t="n">
        <v>84000</v>
      </c>
      <c r="Z148" s="678" t="n"/>
      <c r="AA148" s="678">
        <f>Y148</f>
        <v/>
      </c>
      <c r="AB148" s="678" t="n"/>
      <c r="AC148" s="678">
        <f>Y148</f>
        <v/>
      </c>
      <c r="AD148" s="678">
        <f>AA148</f>
        <v/>
      </c>
      <c r="AE148" s="682" t="inlineStr">
        <is>
          <t>ENGAGE</t>
        </is>
      </c>
      <c r="AF148" s="681" t="n"/>
      <c r="AG148" s="678" t="n"/>
      <c r="AH148" s="678" t="n"/>
      <c r="AI148" s="678" t="n"/>
      <c r="AJ148" s="678" t="n"/>
      <c r="AK148" s="683" t="n"/>
      <c r="AL148" s="683" t="n"/>
      <c r="AM148" s="681" t="inlineStr">
        <is>
          <t>Manque n° contrat</t>
        </is>
      </c>
      <c r="AN148" s="684" t="n"/>
      <c r="AO148" s="685" t="n"/>
      <c r="AP148" s="686" t="n"/>
      <c r="AQ148" s="686" t="n"/>
      <c r="AR148" s="23" t="n"/>
      <c r="AS148" s="686" t="n"/>
    </row>
    <row r="149" ht="54.6" customHeight="1" s="392">
      <c r="A149" s="672" t="n">
        <v>2026</v>
      </c>
      <c r="B149" s="673" t="inlineStr">
        <is>
          <t>DPPR</t>
        </is>
      </c>
      <c r="C149" s="673" t="inlineStr">
        <is>
          <t>PV N° : 01RC2025-DPPR</t>
        </is>
      </c>
      <c r="D149" s="672" t="inlineStr">
        <is>
          <t>CONTRAT</t>
        </is>
      </c>
      <c r="E149" s="672" t="n"/>
      <c r="F149" s="674" t="inlineStr">
        <is>
          <t>HASSAN BENMANSOUR  -  Journaliste chargé de la préparation et la présentation des bulletins et flashs d’information et des émissions radiophoniques</t>
        </is>
      </c>
      <c r="G149" s="675" t="inlineStr">
        <is>
          <t>VALIDE</t>
        </is>
      </c>
      <c r="H149" s="672" t="inlineStr">
        <is>
          <t>APPROUVE</t>
        </is>
      </c>
      <c r="I149" s="672" t="n"/>
      <c r="J149" s="675" t="inlineStr">
        <is>
          <t>NON CONCERNE</t>
        </is>
      </c>
      <c r="K149" s="672" t="inlineStr">
        <is>
          <t>Ordinaire</t>
        </is>
      </c>
      <c r="L149" s="676" t="inlineStr">
        <is>
          <t>FONCTIONNEMENT</t>
        </is>
      </c>
      <c r="M149" s="676" t="inlineStr">
        <is>
          <t xml:space="preserve">Prestations de service
Achat prestations de services locales - personnes physiques </t>
        </is>
      </c>
      <c r="N149" s="677" t="n"/>
      <c r="O149" s="678" t="n"/>
      <c r="P149" s="678" t="n"/>
      <c r="Q149" s="672" t="inlineStr">
        <is>
          <t>RECONDUCTION</t>
        </is>
      </c>
      <c r="R149" s="679" t="n"/>
      <c r="S149" s="680" t="n"/>
      <c r="T149" s="681" t="inlineStr">
        <is>
          <t>HASSAN BENMANSOUR</t>
        </is>
      </c>
      <c r="U149" s="672" t="n">
        <v>2026</v>
      </c>
      <c r="V149" s="680" t="n">
        <v>46387</v>
      </c>
      <c r="W149" s="680" t="n"/>
      <c r="X149" s="680" t="n">
        <v>46024</v>
      </c>
      <c r="Y149" s="677" t="n">
        <v>78000</v>
      </c>
      <c r="Z149" s="678" t="n"/>
      <c r="AA149" s="678">
        <f>Y149</f>
        <v/>
      </c>
      <c r="AB149" s="678" t="n"/>
      <c r="AC149" s="678">
        <f>Y149</f>
        <v/>
      </c>
      <c r="AD149" s="678">
        <f>AA149</f>
        <v/>
      </c>
      <c r="AE149" s="682" t="inlineStr">
        <is>
          <t>ENGAGE</t>
        </is>
      </c>
      <c r="AF149" s="681" t="n"/>
      <c r="AG149" s="678" t="n"/>
      <c r="AH149" s="678" t="n"/>
      <c r="AI149" s="678" t="n"/>
      <c r="AJ149" s="678" t="n"/>
      <c r="AK149" s="683" t="n"/>
      <c r="AL149" s="683" t="n"/>
      <c r="AM149" s="681" t="inlineStr">
        <is>
          <t>Manque n° contrat</t>
        </is>
      </c>
      <c r="AN149" s="684" t="n"/>
      <c r="AO149" s="685" t="n"/>
      <c r="AP149" s="686" t="n"/>
      <c r="AQ149" s="686" t="n"/>
      <c r="AR149" s="23" t="n"/>
      <c r="AS149" s="686" t="n"/>
    </row>
    <row r="150" ht="54.6" customHeight="1" s="392">
      <c r="A150" s="672" t="n">
        <v>2026</v>
      </c>
      <c r="B150" s="673" t="inlineStr">
        <is>
          <t>DPPR</t>
        </is>
      </c>
      <c r="C150" s="673" t="inlineStr">
        <is>
          <t>PV N° : 01RC2025-DPPR</t>
        </is>
      </c>
      <c r="D150" s="672" t="inlineStr">
        <is>
          <t>CONTRAT</t>
        </is>
      </c>
      <c r="E150" s="672" t="n"/>
      <c r="F150" s="674" t="inlineStr">
        <is>
          <t>ANASS EL MALHOUNI  -  Journaliste chargé de la préparation et la présentation des bulletins et flashs d’information et des émissions radiophoniques</t>
        </is>
      </c>
      <c r="G150" s="675" t="inlineStr">
        <is>
          <t>VALIDE</t>
        </is>
      </c>
      <c r="H150" s="672" t="inlineStr">
        <is>
          <t>APPROUVE</t>
        </is>
      </c>
      <c r="I150" s="672" t="n"/>
      <c r="J150" s="675" t="inlineStr">
        <is>
          <t>NON CONCERNE</t>
        </is>
      </c>
      <c r="K150" s="672" t="inlineStr">
        <is>
          <t>Ordinaire</t>
        </is>
      </c>
      <c r="L150" s="676" t="inlineStr">
        <is>
          <t>FONCTIONNEMENT</t>
        </is>
      </c>
      <c r="M150" s="676" t="inlineStr">
        <is>
          <t xml:space="preserve">Prestations de service
Achat prestations de services locales - personnes physiques </t>
        </is>
      </c>
      <c r="N150" s="677" t="n"/>
      <c r="O150" s="678" t="n"/>
      <c r="P150" s="678" t="n"/>
      <c r="Q150" s="672" t="inlineStr">
        <is>
          <t>RECONDUCTION</t>
        </is>
      </c>
      <c r="R150" s="679" t="n"/>
      <c r="S150" s="680" t="n"/>
      <c r="T150" s="681" t="inlineStr">
        <is>
          <t>ANASS EL MALHOUNI</t>
        </is>
      </c>
      <c r="U150" s="672" t="n">
        <v>2026</v>
      </c>
      <c r="V150" s="680" t="n">
        <v>46387</v>
      </c>
      <c r="W150" s="680" t="n"/>
      <c r="X150" s="680" t="n">
        <v>46024</v>
      </c>
      <c r="Y150" s="677" t="n">
        <v>78000</v>
      </c>
      <c r="Z150" s="678" t="n"/>
      <c r="AA150" s="678">
        <f>Y150</f>
        <v/>
      </c>
      <c r="AB150" s="678" t="n"/>
      <c r="AC150" s="678">
        <f>Y150</f>
        <v/>
      </c>
      <c r="AD150" s="678">
        <f>AA150</f>
        <v/>
      </c>
      <c r="AE150" s="682" t="inlineStr">
        <is>
          <t>ENGAGE</t>
        </is>
      </c>
      <c r="AF150" s="681" t="n"/>
      <c r="AG150" s="678" t="n"/>
      <c r="AH150" s="678" t="n"/>
      <c r="AI150" s="678" t="n"/>
      <c r="AJ150" s="678" t="n"/>
      <c r="AK150" s="683" t="n"/>
      <c r="AL150" s="683" t="n"/>
      <c r="AM150" s="681" t="inlineStr">
        <is>
          <t>Manque n° contrat</t>
        </is>
      </c>
      <c r="AN150" s="684" t="n"/>
      <c r="AO150" s="685" t="n"/>
      <c r="AP150" s="686" t="n"/>
      <c r="AQ150" s="686" t="n"/>
      <c r="AR150" s="23" t="n"/>
      <c r="AS150" s="686" t="n"/>
    </row>
    <row r="151" ht="54.6" customHeight="1" s="392">
      <c r="A151" s="672" t="n">
        <v>2026</v>
      </c>
      <c r="B151" s="673" t="inlineStr">
        <is>
          <t>DPPR</t>
        </is>
      </c>
      <c r="C151" s="673" t="inlineStr">
        <is>
          <t>PV N° : 01RC2025-DPPR</t>
        </is>
      </c>
      <c r="D151" s="672" t="inlineStr">
        <is>
          <t>CONTRAT</t>
        </is>
      </c>
      <c r="E151" s="672" t="n"/>
      <c r="F151" s="674" t="inlineStr">
        <is>
          <t>KADIRI EL MAANA MY OMAR  -  Journaliste chargé de la préparation et la présentation des bulletins et flashs d’information et des émissions radiophoniques</t>
        </is>
      </c>
      <c r="G151" s="675" t="inlineStr">
        <is>
          <t>VALIDE</t>
        </is>
      </c>
      <c r="H151" s="672" t="inlineStr">
        <is>
          <t>APPROUVE</t>
        </is>
      </c>
      <c r="I151" s="672" t="n"/>
      <c r="J151" s="675" t="inlineStr">
        <is>
          <t>NON CONCERNE</t>
        </is>
      </c>
      <c r="K151" s="672" t="inlineStr">
        <is>
          <t>Ordinaire</t>
        </is>
      </c>
      <c r="L151" s="676" t="inlineStr">
        <is>
          <t>FONCTIONNEMENT</t>
        </is>
      </c>
      <c r="M151" s="676" t="inlineStr">
        <is>
          <t xml:space="preserve">Prestations de service
Achat prestations de services locales - personnes physiques </t>
        </is>
      </c>
      <c r="N151" s="677" t="n"/>
      <c r="O151" s="678" t="n"/>
      <c r="P151" s="678" t="n"/>
      <c r="Q151" s="672" t="inlineStr">
        <is>
          <t>RECONDUCTION</t>
        </is>
      </c>
      <c r="R151" s="679" t="n"/>
      <c r="S151" s="680" t="n"/>
      <c r="T151" s="681" t="inlineStr">
        <is>
          <t>KADIRI EL MAANA MY OMAR</t>
        </is>
      </c>
      <c r="U151" s="672" t="n">
        <v>2026</v>
      </c>
      <c r="V151" s="680" t="n">
        <v>46387</v>
      </c>
      <c r="W151" s="680" t="n"/>
      <c r="X151" s="680" t="n">
        <v>46024</v>
      </c>
      <c r="Y151" s="677" t="n">
        <v>96000</v>
      </c>
      <c r="Z151" s="678" t="n"/>
      <c r="AA151" s="678">
        <f>Y151</f>
        <v/>
      </c>
      <c r="AB151" s="678" t="n"/>
      <c r="AC151" s="678">
        <f>Y151</f>
        <v/>
      </c>
      <c r="AD151" s="678">
        <f>AA151</f>
        <v/>
      </c>
      <c r="AE151" s="682" t="inlineStr">
        <is>
          <t>ENGAGE</t>
        </is>
      </c>
      <c r="AF151" s="681" t="n"/>
      <c r="AG151" s="678" t="n"/>
      <c r="AH151" s="678" t="n"/>
      <c r="AI151" s="678" t="n"/>
      <c r="AJ151" s="678" t="n"/>
      <c r="AK151" s="683" t="n"/>
      <c r="AL151" s="683" t="n"/>
      <c r="AM151" s="681" t="inlineStr">
        <is>
          <t>Manque n° contrat</t>
        </is>
      </c>
      <c r="AN151" s="684" t="n"/>
      <c r="AO151" s="685" t="n"/>
      <c r="AP151" s="686" t="n"/>
      <c r="AQ151" s="686" t="n"/>
      <c r="AR151" s="23" t="n"/>
      <c r="AS151" s="686" t="n"/>
    </row>
    <row r="152" ht="54.6" customHeight="1" s="392">
      <c r="A152" s="672" t="n">
        <v>2026</v>
      </c>
      <c r="B152" s="673" t="inlineStr">
        <is>
          <t>DPPR</t>
        </is>
      </c>
      <c r="C152" s="673" t="inlineStr">
        <is>
          <t>PV N° : 01RC2025-DPPR</t>
        </is>
      </c>
      <c r="D152" s="672" t="inlineStr">
        <is>
          <t>CONTRAT</t>
        </is>
      </c>
      <c r="E152" s="672" t="n"/>
      <c r="F152" s="674" t="inlineStr">
        <is>
          <t>ZAHRAOUI MOHAMED  -  Journaliste chargé de la préparation et la présentation des bulletins et flashs d’information et des émissions radiophoniques</t>
        </is>
      </c>
      <c r="G152" s="675" t="inlineStr">
        <is>
          <t>VALIDE</t>
        </is>
      </c>
      <c r="H152" s="672" t="inlineStr">
        <is>
          <t>APPROUVE</t>
        </is>
      </c>
      <c r="I152" s="672" t="n"/>
      <c r="J152" s="675" t="inlineStr">
        <is>
          <t>NON CONCERNE</t>
        </is>
      </c>
      <c r="K152" s="672" t="inlineStr">
        <is>
          <t>Ordinaire</t>
        </is>
      </c>
      <c r="L152" s="676" t="inlineStr">
        <is>
          <t>FONCTIONNEMENT</t>
        </is>
      </c>
      <c r="M152" s="676" t="inlineStr">
        <is>
          <t xml:space="preserve">Prestations de service
Achat prestations de services locales - personnes physiques </t>
        </is>
      </c>
      <c r="N152" s="677" t="n"/>
      <c r="O152" s="678" t="n"/>
      <c r="P152" s="678" t="n"/>
      <c r="Q152" s="672" t="inlineStr">
        <is>
          <t>RECONDUCTION</t>
        </is>
      </c>
      <c r="R152" s="679" t="n"/>
      <c r="S152" s="680" t="n"/>
      <c r="T152" s="681" t="inlineStr">
        <is>
          <t>ZAHRAOUI MOHAMED</t>
        </is>
      </c>
      <c r="U152" s="672" t="n">
        <v>2026</v>
      </c>
      <c r="V152" s="680" t="n">
        <v>46387</v>
      </c>
      <c r="W152" s="680" t="n"/>
      <c r="X152" s="680" t="n">
        <v>46024</v>
      </c>
      <c r="Y152" s="677" t="n">
        <v>96000</v>
      </c>
      <c r="Z152" s="678" t="n"/>
      <c r="AA152" s="678">
        <f>Y152</f>
        <v/>
      </c>
      <c r="AB152" s="678" t="n"/>
      <c r="AC152" s="678">
        <f>Y152</f>
        <v/>
      </c>
      <c r="AD152" s="678">
        <f>AA152</f>
        <v/>
      </c>
      <c r="AE152" s="682" t="inlineStr">
        <is>
          <t>ENGAGE</t>
        </is>
      </c>
      <c r="AF152" s="681" t="n"/>
      <c r="AG152" s="678" t="n"/>
      <c r="AH152" s="678" t="n"/>
      <c r="AI152" s="678" t="n"/>
      <c r="AJ152" s="678" t="n"/>
      <c r="AK152" s="683" t="n"/>
      <c r="AL152" s="683" t="n"/>
      <c r="AM152" s="681" t="inlineStr">
        <is>
          <t>Manque n° contrat</t>
        </is>
      </c>
      <c r="AN152" s="684" t="n"/>
      <c r="AO152" s="685" t="n"/>
      <c r="AP152" s="686" t="n"/>
      <c r="AQ152" s="686" t="n"/>
      <c r="AR152" s="23" t="n"/>
      <c r="AS152" s="686" t="n"/>
    </row>
    <row r="153" ht="54.6" customHeight="1" s="392">
      <c r="A153" s="672" t="n">
        <v>2026</v>
      </c>
      <c r="B153" s="673" t="inlineStr">
        <is>
          <t>DPPR</t>
        </is>
      </c>
      <c r="C153" s="673" t="inlineStr">
        <is>
          <t>PV N° : 01RC2025-DPPR</t>
        </is>
      </c>
      <c r="D153" s="672" t="inlineStr">
        <is>
          <t>CONTRAT</t>
        </is>
      </c>
      <c r="E153" s="672" t="n"/>
      <c r="F153" s="674" t="inlineStr">
        <is>
          <t>TASAFT MOHAMMED  -  Journaliste chargé de la préparation et la présentation des bulletins et flashs d’information et des émissions radiophoniques</t>
        </is>
      </c>
      <c r="G153" s="675" t="inlineStr">
        <is>
          <t>VALIDE</t>
        </is>
      </c>
      <c r="H153" s="672" t="inlineStr">
        <is>
          <t>APPROUVE</t>
        </is>
      </c>
      <c r="I153" s="672" t="n"/>
      <c r="J153" s="675" t="inlineStr">
        <is>
          <t>NON CONCERNE</t>
        </is>
      </c>
      <c r="K153" s="672" t="inlineStr">
        <is>
          <t>Ordinaire</t>
        </is>
      </c>
      <c r="L153" s="676" t="inlineStr">
        <is>
          <t>FONCTIONNEMENT</t>
        </is>
      </c>
      <c r="M153" s="676" t="inlineStr">
        <is>
          <t xml:space="preserve">Prestations de service
Achat prestations de services locales - personnes physiques </t>
        </is>
      </c>
      <c r="N153" s="677" t="n"/>
      <c r="O153" s="678" t="n"/>
      <c r="P153" s="678" t="n"/>
      <c r="Q153" s="672" t="inlineStr">
        <is>
          <t>RECONDUCTION</t>
        </is>
      </c>
      <c r="R153" s="679" t="n"/>
      <c r="S153" s="680" t="n"/>
      <c r="T153" s="681" t="inlineStr">
        <is>
          <t>TASAFT MOHAMMED</t>
        </is>
      </c>
      <c r="U153" s="672" t="n">
        <v>2026</v>
      </c>
      <c r="V153" s="680" t="n">
        <v>46387</v>
      </c>
      <c r="W153" s="680" t="n"/>
      <c r="X153" s="680" t="n">
        <v>46024</v>
      </c>
      <c r="Y153" s="677" t="n">
        <v>96000</v>
      </c>
      <c r="Z153" s="678" t="n"/>
      <c r="AA153" s="678">
        <f>Y153</f>
        <v/>
      </c>
      <c r="AB153" s="678" t="n"/>
      <c r="AC153" s="678">
        <f>Y153</f>
        <v/>
      </c>
      <c r="AD153" s="678">
        <f>AA153</f>
        <v/>
      </c>
      <c r="AE153" s="682" t="inlineStr">
        <is>
          <t>ENGAGE</t>
        </is>
      </c>
      <c r="AF153" s="681" t="n"/>
      <c r="AG153" s="678" t="n"/>
      <c r="AH153" s="678" t="n"/>
      <c r="AI153" s="678" t="n"/>
      <c r="AJ153" s="678" t="n"/>
      <c r="AK153" s="683" t="n"/>
      <c r="AL153" s="683" t="n"/>
      <c r="AM153" s="681" t="inlineStr">
        <is>
          <t>Manque n° contrat</t>
        </is>
      </c>
      <c r="AN153" s="684" t="n"/>
      <c r="AO153" s="685" t="n"/>
      <c r="AP153" s="686" t="n"/>
      <c r="AQ153" s="686" t="n"/>
      <c r="AR153" s="23" t="n"/>
      <c r="AS153" s="686" t="n"/>
    </row>
    <row r="154" ht="54.6" customHeight="1" s="392">
      <c r="A154" s="672" t="n">
        <v>2026</v>
      </c>
      <c r="B154" s="673" t="inlineStr">
        <is>
          <t>DPPR</t>
        </is>
      </c>
      <c r="C154" s="673" t="inlineStr">
        <is>
          <t>PV N° : 01RC2025-DPPR</t>
        </is>
      </c>
      <c r="D154" s="672" t="inlineStr">
        <is>
          <t>CONTRAT</t>
        </is>
      </c>
      <c r="E154" s="672" t="n"/>
      <c r="F154" s="674" t="inlineStr">
        <is>
          <t>LAHBIB AADID  -  Journaliste chargé de la préparation et la présentation des bulletins et flashs d’information et des émissions radiophoniques</t>
        </is>
      </c>
      <c r="G154" s="675" t="inlineStr">
        <is>
          <t>VALIDE</t>
        </is>
      </c>
      <c r="H154" s="672" t="inlineStr">
        <is>
          <t>APPROUVE</t>
        </is>
      </c>
      <c r="I154" s="672" t="n"/>
      <c r="J154" s="675" t="inlineStr">
        <is>
          <t>NON CONCERNE</t>
        </is>
      </c>
      <c r="K154" s="672" t="inlineStr">
        <is>
          <t>Ordinaire</t>
        </is>
      </c>
      <c r="L154" s="676" t="inlineStr">
        <is>
          <t>FONCTIONNEMENT</t>
        </is>
      </c>
      <c r="M154" s="676" t="inlineStr">
        <is>
          <t xml:space="preserve">Prestations de service
Achat prestations de services locales - personnes physiques </t>
        </is>
      </c>
      <c r="N154" s="677" t="n"/>
      <c r="O154" s="678" t="n"/>
      <c r="P154" s="678" t="n"/>
      <c r="Q154" s="672" t="inlineStr">
        <is>
          <t>RECONDUCTION</t>
        </is>
      </c>
      <c r="R154" s="679" t="n"/>
      <c r="S154" s="680" t="n"/>
      <c r="T154" s="681" t="inlineStr">
        <is>
          <t xml:space="preserve">LAHBIB AADID </t>
        </is>
      </c>
      <c r="U154" s="672" t="n">
        <v>2026</v>
      </c>
      <c r="V154" s="680" t="n">
        <v>46387</v>
      </c>
      <c r="W154" s="680" t="n"/>
      <c r="X154" s="680" t="n">
        <v>46024</v>
      </c>
      <c r="Y154" s="677" t="n">
        <v>48000</v>
      </c>
      <c r="Z154" s="678" t="n"/>
      <c r="AA154" s="678">
        <f>Y154</f>
        <v/>
      </c>
      <c r="AB154" s="678" t="n"/>
      <c r="AC154" s="678">
        <f>Y154</f>
        <v/>
      </c>
      <c r="AD154" s="678">
        <f>AA154</f>
        <v/>
      </c>
      <c r="AE154" s="682" t="inlineStr">
        <is>
          <t>ENGAGE</t>
        </is>
      </c>
      <c r="AF154" s="681" t="n"/>
      <c r="AG154" s="678" t="n"/>
      <c r="AH154" s="678" t="n"/>
      <c r="AI154" s="678" t="n"/>
      <c r="AJ154" s="678" t="n"/>
      <c r="AK154" s="683" t="n"/>
      <c r="AL154" s="683" t="n"/>
      <c r="AM154" s="681" t="inlineStr">
        <is>
          <t>Manque n° contrat</t>
        </is>
      </c>
      <c r="AN154" s="684" t="n"/>
      <c r="AO154" s="685" t="n"/>
      <c r="AP154" s="686" t="n"/>
      <c r="AQ154" s="686" t="n"/>
      <c r="AR154" s="23" t="n"/>
      <c r="AS154" s="686" t="n"/>
    </row>
    <row r="155" ht="54.6" customHeight="1" s="392">
      <c r="A155" s="672" t="n">
        <v>2026</v>
      </c>
      <c r="B155" s="673" t="inlineStr">
        <is>
          <t>DPPR</t>
        </is>
      </c>
      <c r="C155" s="673" t="inlineStr">
        <is>
          <t>PV N° : 01RC2025-DPPR</t>
        </is>
      </c>
      <c r="D155" s="672" t="inlineStr">
        <is>
          <t>CONTRAT</t>
        </is>
      </c>
      <c r="E155" s="672" t="n"/>
      <c r="F155" s="674" t="inlineStr">
        <is>
          <t>FATIMATOU ERGUIBI  -  Journaliste chargée de la préparation et la présentation des bulletins et flashs d’information et des émissions radiophoniques</t>
        </is>
      </c>
      <c r="G155" s="675" t="inlineStr">
        <is>
          <t>VALIDE</t>
        </is>
      </c>
      <c r="H155" s="672" t="inlineStr">
        <is>
          <t>APPROUVE</t>
        </is>
      </c>
      <c r="I155" s="672" t="n"/>
      <c r="J155" s="675" t="inlineStr">
        <is>
          <t>NON CONCERNE</t>
        </is>
      </c>
      <c r="K155" s="672" t="inlineStr">
        <is>
          <t>Ordinaire</t>
        </is>
      </c>
      <c r="L155" s="676" t="inlineStr">
        <is>
          <t>FONCTIONNEMENT</t>
        </is>
      </c>
      <c r="M155" s="676" t="inlineStr">
        <is>
          <t xml:space="preserve">Prestations de service
Achat prestations de services locales - personnes physiques </t>
        </is>
      </c>
      <c r="N155" s="677" t="n"/>
      <c r="O155" s="678" t="n"/>
      <c r="P155" s="678" t="n"/>
      <c r="Q155" s="672" t="inlineStr">
        <is>
          <t>RECONDUCTION</t>
        </is>
      </c>
      <c r="R155" s="679" t="n"/>
      <c r="S155" s="680" t="n"/>
      <c r="T155" s="681" t="inlineStr">
        <is>
          <t>FATIMATOU ERGUIBI</t>
        </is>
      </c>
      <c r="U155" s="672" t="n">
        <v>2026</v>
      </c>
      <c r="V155" s="680" t="n">
        <v>46387</v>
      </c>
      <c r="W155" s="680" t="n"/>
      <c r="X155" s="680" t="n">
        <v>46024</v>
      </c>
      <c r="Y155" s="677" t="n">
        <v>72000</v>
      </c>
      <c r="Z155" s="678" t="n"/>
      <c r="AA155" s="678">
        <f>Y155</f>
        <v/>
      </c>
      <c r="AB155" s="678" t="n"/>
      <c r="AC155" s="678">
        <f>Y155</f>
        <v/>
      </c>
      <c r="AD155" s="678">
        <f>AA155</f>
        <v/>
      </c>
      <c r="AE155" s="682" t="inlineStr">
        <is>
          <t>ENGAGE</t>
        </is>
      </c>
      <c r="AF155" s="681" t="n"/>
      <c r="AG155" s="678" t="n"/>
      <c r="AH155" s="678" t="n"/>
      <c r="AI155" s="678" t="n"/>
      <c r="AJ155" s="678" t="n"/>
      <c r="AK155" s="683" t="n"/>
      <c r="AL155" s="683" t="n"/>
      <c r="AM155" s="681" t="inlineStr">
        <is>
          <t>Manque n° contrat</t>
        </is>
      </c>
      <c r="AN155" s="684" t="n"/>
      <c r="AO155" s="685" t="n"/>
      <c r="AP155" s="686" t="n"/>
      <c r="AQ155" s="686" t="n"/>
      <c r="AR155" s="23" t="n"/>
      <c r="AS155" s="686" t="n"/>
    </row>
    <row r="156" ht="54.6" customHeight="1" s="392">
      <c r="A156" s="672" t="n">
        <v>2026</v>
      </c>
      <c r="B156" s="673" t="inlineStr">
        <is>
          <t>DPPR</t>
        </is>
      </c>
      <c r="C156" s="673" t="inlineStr">
        <is>
          <t>PV N° : 01RC2025-DPPR</t>
        </is>
      </c>
      <c r="D156" s="672" t="inlineStr">
        <is>
          <t>CONTRAT</t>
        </is>
      </c>
      <c r="E156" s="672" t="n"/>
      <c r="F156" s="674" t="inlineStr">
        <is>
          <t>MAOULAININE MOHAMED  -  Journaliste chargé de la préparation et la présentation des bulletins et flashs d’information et des émissions radiophoniques</t>
        </is>
      </c>
      <c r="G156" s="675" t="inlineStr">
        <is>
          <t>VALIDE</t>
        </is>
      </c>
      <c r="H156" s="672" t="inlineStr">
        <is>
          <t>APPROUVE</t>
        </is>
      </c>
      <c r="I156" s="672" t="n"/>
      <c r="J156" s="675" t="inlineStr">
        <is>
          <t>NON CONCERNE</t>
        </is>
      </c>
      <c r="K156" s="672" t="inlineStr">
        <is>
          <t>Ordinaire</t>
        </is>
      </c>
      <c r="L156" s="676" t="inlineStr">
        <is>
          <t>FONCTIONNEMENT</t>
        </is>
      </c>
      <c r="M156" s="676" t="inlineStr">
        <is>
          <t xml:space="preserve">Prestations de service
Achat prestations de services locales - personnes physiques </t>
        </is>
      </c>
      <c r="N156" s="677" t="n"/>
      <c r="O156" s="678" t="n"/>
      <c r="P156" s="678" t="n"/>
      <c r="Q156" s="672" t="inlineStr">
        <is>
          <t>RECONDUCTION</t>
        </is>
      </c>
      <c r="R156" s="679" t="n"/>
      <c r="S156" s="680" t="n"/>
      <c r="T156" s="681" t="inlineStr">
        <is>
          <t>MAOULAININE MOHAMED</t>
        </is>
      </c>
      <c r="U156" s="672" t="n">
        <v>2026</v>
      </c>
      <c r="V156" s="680" t="n">
        <v>46387</v>
      </c>
      <c r="W156" s="680" t="n"/>
      <c r="X156" s="680" t="n">
        <v>46024</v>
      </c>
      <c r="Y156" s="677" t="n">
        <v>72000</v>
      </c>
      <c r="Z156" s="678" t="n"/>
      <c r="AA156" s="678">
        <f>Y156</f>
        <v/>
      </c>
      <c r="AB156" s="678" t="n"/>
      <c r="AC156" s="678">
        <f>Y156</f>
        <v/>
      </c>
      <c r="AD156" s="678">
        <f>AA156</f>
        <v/>
      </c>
      <c r="AE156" s="682" t="inlineStr">
        <is>
          <t>ENGAGE</t>
        </is>
      </c>
      <c r="AF156" s="681" t="n"/>
      <c r="AG156" s="678" t="n"/>
      <c r="AH156" s="678" t="n"/>
      <c r="AI156" s="678" t="n"/>
      <c r="AJ156" s="678" t="n"/>
      <c r="AK156" s="683" t="n"/>
      <c r="AL156" s="683" t="n"/>
      <c r="AM156" s="681" t="inlineStr">
        <is>
          <t>Manque n° contrat</t>
        </is>
      </c>
      <c r="AN156" s="684" t="n"/>
      <c r="AO156" s="685" t="n"/>
      <c r="AP156" s="686" t="n"/>
      <c r="AQ156" s="686" t="n"/>
      <c r="AR156" s="23" t="n"/>
      <c r="AS156" s="686" t="n"/>
    </row>
    <row r="157" ht="54.6" customHeight="1" s="392">
      <c r="A157" s="672" t="n">
        <v>2026</v>
      </c>
      <c r="B157" s="673" t="inlineStr">
        <is>
          <t>DPPR</t>
        </is>
      </c>
      <c r="C157" s="673" t="inlineStr">
        <is>
          <t>PV N° : 01RC2025-DPPR</t>
        </is>
      </c>
      <c r="D157" s="672" t="inlineStr">
        <is>
          <t>CONTRAT</t>
        </is>
      </c>
      <c r="E157" s="672" t="n"/>
      <c r="F157" s="674" t="inlineStr">
        <is>
          <t>FATMA BOUTABAA  -  Journaliste chargé de la préparation et la présentation des bulletins et flashs d’information et des émissions radiophoniques</t>
        </is>
      </c>
      <c r="G157" s="675" t="inlineStr">
        <is>
          <t>VALIDE</t>
        </is>
      </c>
      <c r="H157" s="672" t="inlineStr">
        <is>
          <t>APPROUVE</t>
        </is>
      </c>
      <c r="I157" s="672" t="n"/>
      <c r="J157" s="675" t="inlineStr">
        <is>
          <t>NON CONCERNE</t>
        </is>
      </c>
      <c r="K157" s="672" t="inlineStr">
        <is>
          <t>Ordinaire</t>
        </is>
      </c>
      <c r="L157" s="676" t="inlineStr">
        <is>
          <t>FONCTIONNEMENT</t>
        </is>
      </c>
      <c r="M157" s="676" t="inlineStr">
        <is>
          <t xml:space="preserve">Prestations de service
Achat prestations de services locales - personnes physiques </t>
        </is>
      </c>
      <c r="N157" s="677" t="n"/>
      <c r="O157" s="678" t="n"/>
      <c r="P157" s="678" t="n"/>
      <c r="Q157" s="672" t="inlineStr">
        <is>
          <t>RECONDUCTION</t>
        </is>
      </c>
      <c r="R157" s="679" t="n"/>
      <c r="S157" s="680" t="n"/>
      <c r="T157" s="681" t="inlineStr">
        <is>
          <t>FATMA BOUTABAA</t>
        </is>
      </c>
      <c r="U157" s="672" t="n">
        <v>2026</v>
      </c>
      <c r="V157" s="680" t="n">
        <v>46387</v>
      </c>
      <c r="W157" s="680" t="n"/>
      <c r="X157" s="680" t="n">
        <v>46024</v>
      </c>
      <c r="Y157" s="677" t="n">
        <v>96000</v>
      </c>
      <c r="Z157" s="678" t="n"/>
      <c r="AA157" s="678">
        <f>Y157</f>
        <v/>
      </c>
      <c r="AB157" s="678" t="n"/>
      <c r="AC157" s="678">
        <f>Y157</f>
        <v/>
      </c>
      <c r="AD157" s="678">
        <f>AA157</f>
        <v/>
      </c>
      <c r="AE157" s="682" t="inlineStr">
        <is>
          <t>ENGAGE</t>
        </is>
      </c>
      <c r="AF157" s="681" t="n"/>
      <c r="AG157" s="678" t="n"/>
      <c r="AH157" s="678" t="n"/>
      <c r="AI157" s="678" t="n"/>
      <c r="AJ157" s="678" t="n"/>
      <c r="AK157" s="683" t="n"/>
      <c r="AL157" s="683" t="n"/>
      <c r="AM157" s="681" t="inlineStr">
        <is>
          <t>Manque n° contrat</t>
        </is>
      </c>
      <c r="AN157" s="684" t="n"/>
      <c r="AO157" s="685" t="n"/>
      <c r="AP157" s="686" t="n"/>
      <c r="AQ157" s="686" t="n"/>
      <c r="AR157" s="23" t="n"/>
      <c r="AS157" s="686" t="n"/>
    </row>
    <row r="158" ht="54.6" customHeight="1" s="392">
      <c r="A158" s="672" t="n">
        <v>2026</v>
      </c>
      <c r="B158" s="673" t="inlineStr">
        <is>
          <t>DPPR</t>
        </is>
      </c>
      <c r="C158" s="673" t="inlineStr">
        <is>
          <t>PV N° : 01RC2025-DPPR</t>
        </is>
      </c>
      <c r="D158" s="672" t="inlineStr">
        <is>
          <t>CONTRAT</t>
        </is>
      </c>
      <c r="E158" s="672" t="n"/>
      <c r="F158" s="674" t="inlineStr">
        <is>
          <t>ZAZA MOHAMMED  -  Journaliste chargé de la préparation et la présentation des bulletins et flashs d’information et des émissions radiophoniques</t>
        </is>
      </c>
      <c r="G158" s="675" t="inlineStr">
        <is>
          <t>VALIDE</t>
        </is>
      </c>
      <c r="H158" s="672" t="inlineStr">
        <is>
          <t>APPROUVE</t>
        </is>
      </c>
      <c r="I158" s="672" t="n"/>
      <c r="J158" s="675" t="inlineStr">
        <is>
          <t>NON CONCERNE</t>
        </is>
      </c>
      <c r="K158" s="672" t="inlineStr">
        <is>
          <t>Ordinaire</t>
        </is>
      </c>
      <c r="L158" s="676" t="inlineStr">
        <is>
          <t>FONCTIONNEMENT</t>
        </is>
      </c>
      <c r="M158" s="676" t="inlineStr">
        <is>
          <t xml:space="preserve">Prestations de service
Achat prestations de services locales - personnes physiques </t>
        </is>
      </c>
      <c r="N158" s="677" t="n"/>
      <c r="O158" s="678" t="n"/>
      <c r="P158" s="678" t="n"/>
      <c r="Q158" s="672" t="inlineStr">
        <is>
          <t>RECONDUCTION</t>
        </is>
      </c>
      <c r="R158" s="679" t="n"/>
      <c r="S158" s="680" t="n"/>
      <c r="T158" s="681" t="inlineStr">
        <is>
          <t>ZAZA MOHAMMED</t>
        </is>
      </c>
      <c r="U158" s="672" t="n">
        <v>2026</v>
      </c>
      <c r="V158" s="680" t="n">
        <v>46387</v>
      </c>
      <c r="W158" s="680" t="n"/>
      <c r="X158" s="680" t="n">
        <v>46024</v>
      </c>
      <c r="Y158" s="677" t="n">
        <v>180000</v>
      </c>
      <c r="Z158" s="678" t="n"/>
      <c r="AA158" s="678">
        <f>Y158</f>
        <v/>
      </c>
      <c r="AB158" s="678" t="n"/>
      <c r="AC158" s="678">
        <f>Y158</f>
        <v/>
      </c>
      <c r="AD158" s="678">
        <f>AA158</f>
        <v/>
      </c>
      <c r="AE158" s="682" t="inlineStr">
        <is>
          <t>ENGAGE</t>
        </is>
      </c>
      <c r="AF158" s="681" t="n"/>
      <c r="AG158" s="678" t="n"/>
      <c r="AH158" s="678" t="n"/>
      <c r="AI158" s="678" t="n"/>
      <c r="AJ158" s="678" t="n"/>
      <c r="AK158" s="683" t="n"/>
      <c r="AL158" s="683" t="n"/>
      <c r="AM158" s="681" t="inlineStr">
        <is>
          <t>Manque n° contrat</t>
        </is>
      </c>
      <c r="AN158" s="684" t="n"/>
      <c r="AO158" s="685" t="n"/>
      <c r="AP158" s="686" t="n"/>
      <c r="AQ158" s="686" t="n"/>
      <c r="AR158" s="23" t="n"/>
      <c r="AS158" s="686" t="n"/>
    </row>
    <row r="159" ht="54.6" customHeight="1" s="392">
      <c r="A159" s="672" t="n">
        <v>2026</v>
      </c>
      <c r="B159" s="673" t="inlineStr">
        <is>
          <t>DPPR</t>
        </is>
      </c>
      <c r="C159" s="673" t="inlineStr">
        <is>
          <t>PV N° : 01RC2025-DPPR</t>
        </is>
      </c>
      <c r="D159" s="672" t="inlineStr">
        <is>
          <t>CONTRAT</t>
        </is>
      </c>
      <c r="E159" s="672" t="n"/>
      <c r="F159" s="674" t="inlineStr">
        <is>
          <t>SALAH ALLALI  -  Journaliste chargé de la préparation et la présentation des bulletins et flashs d’information et des émissions radiophoniques</t>
        </is>
      </c>
      <c r="G159" s="675" t="inlineStr">
        <is>
          <t>VALIDE</t>
        </is>
      </c>
      <c r="H159" s="672" t="inlineStr">
        <is>
          <t>APPROUVE</t>
        </is>
      </c>
      <c r="I159" s="672" t="n"/>
      <c r="J159" s="675" t="inlineStr">
        <is>
          <t>NON CONCERNE</t>
        </is>
      </c>
      <c r="K159" s="672" t="inlineStr">
        <is>
          <t>Ordinaire</t>
        </is>
      </c>
      <c r="L159" s="676" t="inlineStr">
        <is>
          <t>FONCTIONNEMENT</t>
        </is>
      </c>
      <c r="M159" s="676" t="inlineStr">
        <is>
          <t xml:space="preserve">Prestations de service
Achat prestations de services locales - personnes physiques </t>
        </is>
      </c>
      <c r="N159" s="677" t="n"/>
      <c r="O159" s="678" t="n"/>
      <c r="P159" s="678" t="n"/>
      <c r="Q159" s="672" t="inlineStr">
        <is>
          <t>RECONDUCTION</t>
        </is>
      </c>
      <c r="R159" s="679" t="n"/>
      <c r="S159" s="680" t="n"/>
      <c r="T159" s="681" t="inlineStr">
        <is>
          <t xml:space="preserve">SALAH ALLALI </t>
        </is>
      </c>
      <c r="U159" s="672" t="n">
        <v>2026</v>
      </c>
      <c r="V159" s="680" t="n">
        <v>46387</v>
      </c>
      <c r="W159" s="680" t="n"/>
      <c r="X159" s="680" t="n">
        <v>46024</v>
      </c>
      <c r="Y159" s="677" t="n">
        <v>96000</v>
      </c>
      <c r="Z159" s="678" t="n"/>
      <c r="AA159" s="678">
        <f>Y159</f>
        <v/>
      </c>
      <c r="AB159" s="678" t="n"/>
      <c r="AC159" s="678">
        <f>Y159</f>
        <v/>
      </c>
      <c r="AD159" s="678">
        <f>AA159</f>
        <v/>
      </c>
      <c r="AE159" s="682" t="inlineStr">
        <is>
          <t>ENGAGE</t>
        </is>
      </c>
      <c r="AF159" s="681" t="n"/>
      <c r="AG159" s="678" t="n"/>
      <c r="AH159" s="678" t="n"/>
      <c r="AI159" s="678" t="n"/>
      <c r="AJ159" s="678" t="n"/>
      <c r="AK159" s="683" t="n"/>
      <c r="AL159" s="683" t="n"/>
      <c r="AM159" s="681" t="inlineStr">
        <is>
          <t>Manque n° contrat</t>
        </is>
      </c>
      <c r="AN159" s="684" t="n"/>
      <c r="AO159" s="685" t="n"/>
      <c r="AP159" s="686" t="n"/>
      <c r="AQ159" s="686" t="n"/>
      <c r="AR159" s="23" t="n"/>
      <c r="AS159" s="686" t="n"/>
    </row>
    <row r="160" ht="54.6" customHeight="1" s="392">
      <c r="A160" s="672" t="n">
        <v>2026</v>
      </c>
      <c r="B160" s="673" t="inlineStr">
        <is>
          <t>DPPR</t>
        </is>
      </c>
      <c r="C160" s="673" t="inlineStr">
        <is>
          <t>PV N° : 01RC2025-DPPR</t>
        </is>
      </c>
      <c r="D160" s="672" t="inlineStr">
        <is>
          <t>CONTRAT</t>
        </is>
      </c>
      <c r="E160" s="672" t="n"/>
      <c r="F160" s="674" t="inlineStr">
        <is>
          <t>MOHAMMED SAMADI  -  Journaliste chargé de la préparation et la présentation des bulletins et flashs d’information et des émissions radiophoniques</t>
        </is>
      </c>
      <c r="G160" s="675" t="inlineStr">
        <is>
          <t>VALIDE</t>
        </is>
      </c>
      <c r="H160" s="672" t="inlineStr">
        <is>
          <t>APPROUVE</t>
        </is>
      </c>
      <c r="I160" s="672" t="n"/>
      <c r="J160" s="675" t="inlineStr">
        <is>
          <t>NON CONCERNE</t>
        </is>
      </c>
      <c r="K160" s="672" t="inlineStr">
        <is>
          <t>Ordinaire</t>
        </is>
      </c>
      <c r="L160" s="676" t="inlineStr">
        <is>
          <t>FONCTIONNEMENT</t>
        </is>
      </c>
      <c r="M160" s="676" t="inlineStr">
        <is>
          <t xml:space="preserve">Prestations de service
Achat prestations de services locales - personnes physiques </t>
        </is>
      </c>
      <c r="N160" s="677" t="n"/>
      <c r="O160" s="678" t="n"/>
      <c r="P160" s="678" t="n"/>
      <c r="Q160" s="672" t="inlineStr">
        <is>
          <t>RECONDUCTION</t>
        </is>
      </c>
      <c r="R160" s="679" t="n"/>
      <c r="S160" s="680" t="n"/>
      <c r="T160" s="681" t="inlineStr">
        <is>
          <t>MOHAMMED SAMADI</t>
        </is>
      </c>
      <c r="U160" s="672" t="n">
        <v>2026</v>
      </c>
      <c r="V160" s="680" t="n">
        <v>46387</v>
      </c>
      <c r="W160" s="680" t="n"/>
      <c r="X160" s="680" t="n">
        <v>46024</v>
      </c>
      <c r="Y160" s="677" t="n">
        <v>96000</v>
      </c>
      <c r="Z160" s="678" t="n"/>
      <c r="AA160" s="678">
        <f>Y160</f>
        <v/>
      </c>
      <c r="AB160" s="678" t="n"/>
      <c r="AC160" s="678">
        <f>Y160</f>
        <v/>
      </c>
      <c r="AD160" s="678">
        <f>AA160</f>
        <v/>
      </c>
      <c r="AE160" s="682" t="inlineStr">
        <is>
          <t>ENGAGE</t>
        </is>
      </c>
      <c r="AF160" s="681" t="n"/>
      <c r="AG160" s="678" t="n"/>
      <c r="AH160" s="678" t="n"/>
      <c r="AI160" s="678" t="n"/>
      <c r="AJ160" s="678" t="n"/>
      <c r="AK160" s="683" t="n"/>
      <c r="AL160" s="683" t="n"/>
      <c r="AM160" s="681" t="inlineStr">
        <is>
          <t>Manque n° contrat</t>
        </is>
      </c>
      <c r="AN160" s="684" t="n"/>
      <c r="AO160" s="685" t="n"/>
      <c r="AP160" s="686" t="n"/>
      <c r="AQ160" s="686" t="n"/>
      <c r="AR160" s="23" t="n"/>
      <c r="AS160" s="686" t="n"/>
    </row>
    <row r="161" ht="54.6" customHeight="1" s="392">
      <c r="A161" s="672" t="n">
        <v>2026</v>
      </c>
      <c r="B161" s="673" t="inlineStr">
        <is>
          <t>DPPR</t>
        </is>
      </c>
      <c r="C161" s="673" t="inlineStr">
        <is>
          <t>PV N° : 01RC2025-DPPR</t>
        </is>
      </c>
      <c r="D161" s="672" t="inlineStr">
        <is>
          <t>CONTRAT</t>
        </is>
      </c>
      <c r="E161" s="672" t="n"/>
      <c r="F161" s="674" t="inlineStr">
        <is>
          <t>NOUKRACHI ABDELHAMID  -  Journaliste chargé de la préparation et la présentation des bulletins et flashs d’information et des émissions radiophoniques</t>
        </is>
      </c>
      <c r="G161" s="675" t="inlineStr">
        <is>
          <t>VALIDE</t>
        </is>
      </c>
      <c r="H161" s="672" t="inlineStr">
        <is>
          <t>APPROUVE</t>
        </is>
      </c>
      <c r="I161" s="672" t="n"/>
      <c r="J161" s="675" t="inlineStr">
        <is>
          <t>NON CONCERNE</t>
        </is>
      </c>
      <c r="K161" s="672" t="inlineStr">
        <is>
          <t>Ordinaire</t>
        </is>
      </c>
      <c r="L161" s="676" t="inlineStr">
        <is>
          <t>FONCTIONNEMENT</t>
        </is>
      </c>
      <c r="M161" s="676" t="inlineStr">
        <is>
          <t xml:space="preserve">Prestations de service
Achat prestations de services locales - personnes physiques </t>
        </is>
      </c>
      <c r="N161" s="677" t="n"/>
      <c r="O161" s="678" t="n"/>
      <c r="P161" s="678" t="n"/>
      <c r="Q161" s="672" t="inlineStr">
        <is>
          <t>RECONDUCTION</t>
        </is>
      </c>
      <c r="R161" s="679" t="n"/>
      <c r="S161" s="680" t="n"/>
      <c r="T161" s="681" t="inlineStr">
        <is>
          <t>NOUKRACHI ABDELHAMID</t>
        </is>
      </c>
      <c r="U161" s="672" t="n">
        <v>2026</v>
      </c>
      <c r="V161" s="680" t="n">
        <v>46387</v>
      </c>
      <c r="W161" s="680" t="n"/>
      <c r="X161" s="680" t="n">
        <v>46024</v>
      </c>
      <c r="Y161" s="677" t="n">
        <v>96000</v>
      </c>
      <c r="Z161" s="678" t="n"/>
      <c r="AA161" s="678">
        <f>Y161</f>
        <v/>
      </c>
      <c r="AB161" s="678" t="n"/>
      <c r="AC161" s="678">
        <f>Y161</f>
        <v/>
      </c>
      <c r="AD161" s="678">
        <f>AA161</f>
        <v/>
      </c>
      <c r="AE161" s="682" t="inlineStr">
        <is>
          <t>ENGAGE</t>
        </is>
      </c>
      <c r="AF161" s="681" t="n"/>
      <c r="AG161" s="678" t="n"/>
      <c r="AH161" s="678" t="n"/>
      <c r="AI161" s="678" t="n"/>
      <c r="AJ161" s="678" t="n"/>
      <c r="AK161" s="683" t="n"/>
      <c r="AL161" s="683" t="n"/>
      <c r="AM161" s="681" t="inlineStr">
        <is>
          <t>Manque n° contrat</t>
        </is>
      </c>
      <c r="AN161" s="684" t="n"/>
      <c r="AO161" s="685" t="n"/>
      <c r="AP161" s="686" t="n"/>
      <c r="AQ161" s="686" t="n"/>
      <c r="AR161" s="23" t="n"/>
      <c r="AS161" s="686" t="n"/>
    </row>
    <row r="162" ht="54.6" customHeight="1" s="392">
      <c r="A162" s="672" t="n">
        <v>2026</v>
      </c>
      <c r="B162" s="673" t="inlineStr">
        <is>
          <t>DPPR</t>
        </is>
      </c>
      <c r="C162" s="673" t="inlineStr">
        <is>
          <t>PV N° : 01RC2025-DPPR</t>
        </is>
      </c>
      <c r="D162" s="672" t="inlineStr">
        <is>
          <t>CONTRAT</t>
        </is>
      </c>
      <c r="E162" s="672" t="n"/>
      <c r="F162" s="674" t="inlineStr">
        <is>
          <t>ALLOU MOHAMED  -  Journaliste chargé de la préparation et la présentation des bulletins et flashs d’information et des émissions radiophoniques</t>
        </is>
      </c>
      <c r="G162" s="675" t="inlineStr">
        <is>
          <t>VALIDE</t>
        </is>
      </c>
      <c r="H162" s="672" t="inlineStr">
        <is>
          <t>APPROUVE</t>
        </is>
      </c>
      <c r="I162" s="672" t="n"/>
      <c r="J162" s="675" t="inlineStr">
        <is>
          <t>NON CONCERNE</t>
        </is>
      </c>
      <c r="K162" s="672" t="inlineStr">
        <is>
          <t>Ordinaire</t>
        </is>
      </c>
      <c r="L162" s="676" t="inlineStr">
        <is>
          <t>FONCTIONNEMENT</t>
        </is>
      </c>
      <c r="M162" s="676" t="inlineStr">
        <is>
          <t xml:space="preserve">Prestations de service
Achat prestations de services locales - personnes physiques </t>
        </is>
      </c>
      <c r="N162" s="677" t="n"/>
      <c r="O162" s="678" t="n"/>
      <c r="P162" s="678" t="n"/>
      <c r="Q162" s="672" t="inlineStr">
        <is>
          <t>RECONDUCTION</t>
        </is>
      </c>
      <c r="R162" s="679" t="n"/>
      <c r="S162" s="680" t="n"/>
      <c r="T162" s="681" t="inlineStr">
        <is>
          <t>ALLOU MOHAMED</t>
        </is>
      </c>
      <c r="U162" s="672" t="n">
        <v>2026</v>
      </c>
      <c r="V162" s="680" t="n">
        <v>46387</v>
      </c>
      <c r="W162" s="680" t="n"/>
      <c r="X162" s="680" t="n">
        <v>46024</v>
      </c>
      <c r="Y162" s="677" t="n">
        <v>96000</v>
      </c>
      <c r="Z162" s="678" t="n"/>
      <c r="AA162" s="678">
        <f>Y162</f>
        <v/>
      </c>
      <c r="AB162" s="678" t="n"/>
      <c r="AC162" s="678">
        <f>Y162</f>
        <v/>
      </c>
      <c r="AD162" s="678">
        <f>AA162</f>
        <v/>
      </c>
      <c r="AE162" s="682" t="inlineStr">
        <is>
          <t>ENGAGE</t>
        </is>
      </c>
      <c r="AF162" s="681" t="n"/>
      <c r="AG162" s="678" t="n"/>
      <c r="AH162" s="678" t="n"/>
      <c r="AI162" s="678" t="n"/>
      <c r="AJ162" s="678" t="n"/>
      <c r="AK162" s="683" t="n"/>
      <c r="AL162" s="683" t="n"/>
      <c r="AM162" s="681" t="inlineStr">
        <is>
          <t>Manque n° contrat</t>
        </is>
      </c>
      <c r="AN162" s="684" t="n"/>
      <c r="AO162" s="685" t="n"/>
      <c r="AP162" s="686" t="n"/>
      <c r="AQ162" s="686" t="n"/>
      <c r="AR162" s="23" t="n"/>
      <c r="AS162" s="686" t="n"/>
    </row>
    <row r="163" ht="54.6" customHeight="1" s="392">
      <c r="A163" s="672" t="n">
        <v>2026</v>
      </c>
      <c r="B163" s="673" t="inlineStr">
        <is>
          <t>DPPR</t>
        </is>
      </c>
      <c r="C163" s="673" t="inlineStr">
        <is>
          <t>PV N° : 01RC2025-DPPR</t>
        </is>
      </c>
      <c r="D163" s="672" t="inlineStr">
        <is>
          <t>CONTRAT</t>
        </is>
      </c>
      <c r="E163" s="672" t="n"/>
      <c r="F163" s="674" t="inlineStr">
        <is>
          <t>EL OUARDANI ABDELMAJID   -  Journaliste chargé de la préparation et la présentation des bulletins et flashs d’information et des émissions radiophoniques</t>
        </is>
      </c>
      <c r="G163" s="675" t="inlineStr">
        <is>
          <t>VALIDE</t>
        </is>
      </c>
      <c r="H163" s="672" t="inlineStr">
        <is>
          <t>APPROUVE</t>
        </is>
      </c>
      <c r="I163" s="672" t="n"/>
      <c r="J163" s="675" t="inlineStr">
        <is>
          <t>NON CONCERNE</t>
        </is>
      </c>
      <c r="K163" s="672" t="inlineStr">
        <is>
          <t>Ordinaire</t>
        </is>
      </c>
      <c r="L163" s="676" t="inlineStr">
        <is>
          <t>FONCTIONNEMENT</t>
        </is>
      </c>
      <c r="M163" s="676" t="inlineStr">
        <is>
          <t xml:space="preserve">Prestations de service
Achat prestations de services locales - personnes physiques </t>
        </is>
      </c>
      <c r="N163" s="677" t="n"/>
      <c r="O163" s="678" t="n"/>
      <c r="P163" s="678" t="n"/>
      <c r="Q163" s="672" t="inlineStr">
        <is>
          <t>RECONDUCTION</t>
        </is>
      </c>
      <c r="R163" s="679" t="n"/>
      <c r="S163" s="680" t="n"/>
      <c r="T163" s="681" t="inlineStr">
        <is>
          <t>EL OUARDANI ABDELMAJID</t>
        </is>
      </c>
      <c r="U163" s="672" t="n">
        <v>2026</v>
      </c>
      <c r="V163" s="680" t="n">
        <v>46387</v>
      </c>
      <c r="W163" s="680" t="n"/>
      <c r="X163" s="680" t="n">
        <v>46024</v>
      </c>
      <c r="Y163" s="677" t="n">
        <v>96000</v>
      </c>
      <c r="Z163" s="678" t="n"/>
      <c r="AA163" s="678">
        <f>Y163</f>
        <v/>
      </c>
      <c r="AB163" s="678" t="n"/>
      <c r="AC163" s="678">
        <f>Y163</f>
        <v/>
      </c>
      <c r="AD163" s="678">
        <f>AA163</f>
        <v/>
      </c>
      <c r="AE163" s="682" t="inlineStr">
        <is>
          <t>ENGAGE</t>
        </is>
      </c>
      <c r="AF163" s="681" t="n"/>
      <c r="AG163" s="678" t="n"/>
      <c r="AH163" s="678" t="n"/>
      <c r="AI163" s="678" t="n"/>
      <c r="AJ163" s="678" t="n"/>
      <c r="AK163" s="683" t="n"/>
      <c r="AL163" s="683" t="n"/>
      <c r="AM163" s="681" t="inlineStr">
        <is>
          <t>Manque n° contrat</t>
        </is>
      </c>
      <c r="AN163" s="684" t="n"/>
      <c r="AO163" s="685" t="n"/>
      <c r="AP163" s="686" t="n"/>
      <c r="AQ163" s="686" t="n"/>
      <c r="AR163" s="23" t="n"/>
      <c r="AS163" s="686" t="n"/>
    </row>
    <row r="164" ht="54.6" customHeight="1" s="392">
      <c r="A164" s="672" t="n">
        <v>2026</v>
      </c>
      <c r="B164" s="673" t="inlineStr">
        <is>
          <t>DPPR</t>
        </is>
      </c>
      <c r="C164" s="673" t="inlineStr">
        <is>
          <t>PV N° : 01RC2025-DPPR</t>
        </is>
      </c>
      <c r="D164" s="672" t="inlineStr">
        <is>
          <t>CONTRAT</t>
        </is>
      </c>
      <c r="E164" s="672" t="n"/>
      <c r="F164" s="674" t="inlineStr">
        <is>
          <t>LAGZANNAY KHIRA  -  Journaliste chargé de la préparation et la présentation des bulletins et flashs d’information et des émissions radiophoniques</t>
        </is>
      </c>
      <c r="G164" s="675" t="inlineStr">
        <is>
          <t>VALIDE</t>
        </is>
      </c>
      <c r="H164" s="672" t="inlineStr">
        <is>
          <t>APPROUVE</t>
        </is>
      </c>
      <c r="I164" s="672" t="n"/>
      <c r="J164" s="675" t="inlineStr">
        <is>
          <t>NON CONCERNE</t>
        </is>
      </c>
      <c r="K164" s="672" t="inlineStr">
        <is>
          <t>Ordinaire</t>
        </is>
      </c>
      <c r="L164" s="676" t="inlineStr">
        <is>
          <t>FONCTIONNEMENT</t>
        </is>
      </c>
      <c r="M164" s="676" t="inlineStr">
        <is>
          <t xml:space="preserve">Prestations de service
Achat prestations de services locales - personnes physiques </t>
        </is>
      </c>
      <c r="N164" s="677" t="n"/>
      <c r="O164" s="678" t="n"/>
      <c r="P164" s="678" t="n"/>
      <c r="Q164" s="672" t="inlineStr">
        <is>
          <t>RECONDUCTION</t>
        </is>
      </c>
      <c r="R164" s="679" t="n"/>
      <c r="S164" s="680" t="n"/>
      <c r="T164" s="681" t="inlineStr">
        <is>
          <t>LAGZANNAY KHIRA</t>
        </is>
      </c>
      <c r="U164" s="672" t="n">
        <v>2026</v>
      </c>
      <c r="V164" s="680" t="n">
        <v>46387</v>
      </c>
      <c r="W164" s="680" t="n"/>
      <c r="X164" s="680" t="n">
        <v>46024</v>
      </c>
      <c r="Y164" s="677" t="n">
        <v>96000</v>
      </c>
      <c r="Z164" s="678" t="n"/>
      <c r="AA164" s="678">
        <f>Y164</f>
        <v/>
      </c>
      <c r="AB164" s="678" t="n"/>
      <c r="AC164" s="678">
        <f>Y164</f>
        <v/>
      </c>
      <c r="AD164" s="678">
        <f>AA164</f>
        <v/>
      </c>
      <c r="AE164" s="682" t="inlineStr">
        <is>
          <t>ENGAGE</t>
        </is>
      </c>
      <c r="AF164" s="681" t="n"/>
      <c r="AG164" s="678" t="n"/>
      <c r="AH164" s="678" t="n"/>
      <c r="AI164" s="678" t="n"/>
      <c r="AJ164" s="678" t="n"/>
      <c r="AK164" s="683" t="n"/>
      <c r="AL164" s="683" t="n"/>
      <c r="AM164" s="681" t="inlineStr">
        <is>
          <t>Manque n° contrat</t>
        </is>
      </c>
      <c r="AN164" s="684" t="n"/>
      <c r="AO164" s="685" t="n"/>
      <c r="AP164" s="686" t="n"/>
      <c r="AQ164" s="686" t="n"/>
      <c r="AR164" s="23" t="n"/>
      <c r="AS164" s="686" t="n"/>
    </row>
    <row r="165" ht="50.55" customHeight="1" s="392">
      <c r="A165" s="672" t="n">
        <v>2026</v>
      </c>
      <c r="B165" s="673" t="inlineStr">
        <is>
          <t>DPPR</t>
        </is>
      </c>
      <c r="C165" s="673" t="inlineStr">
        <is>
          <t>PV N° : 01RC2025-DPPR</t>
        </is>
      </c>
      <c r="D165" s="672" t="inlineStr">
        <is>
          <t>CONTRAT</t>
        </is>
      </c>
      <c r="E165" s="672" t="n"/>
      <c r="F165" s="674" t="inlineStr">
        <is>
          <t>CHOUKAR YOUSSEF  -  Opérateur prise de son</t>
        </is>
      </c>
      <c r="G165" s="675" t="inlineStr">
        <is>
          <t>VALIDE</t>
        </is>
      </c>
      <c r="H165" s="672" t="inlineStr">
        <is>
          <t>APPROUVE</t>
        </is>
      </c>
      <c r="I165" s="672" t="n"/>
      <c r="J165" s="675" t="inlineStr">
        <is>
          <t>NON CONCERNE</t>
        </is>
      </c>
      <c r="K165" s="672" t="inlineStr">
        <is>
          <t>Ordinaire</t>
        </is>
      </c>
      <c r="L165" s="676" t="inlineStr">
        <is>
          <t>FONCTIONNEMENT</t>
        </is>
      </c>
      <c r="M165" s="676" t="inlineStr">
        <is>
          <t xml:space="preserve">Prestations de service
Achat prestations de services locales - personnes physiques </t>
        </is>
      </c>
      <c r="N165" s="677" t="n"/>
      <c r="O165" s="678" t="n"/>
      <c r="P165" s="678" t="n"/>
      <c r="Q165" s="672" t="inlineStr">
        <is>
          <t>RECONDUCTION</t>
        </is>
      </c>
      <c r="R165" s="679" t="n"/>
      <c r="S165" s="680" t="n"/>
      <c r="T165" s="681" t="inlineStr">
        <is>
          <t>CHOUKAR YOUSSEF</t>
        </is>
      </c>
      <c r="U165" s="672" t="n">
        <v>2026</v>
      </c>
      <c r="V165" s="680" t="n">
        <v>46387</v>
      </c>
      <c r="W165" s="680" t="n"/>
      <c r="X165" s="680" t="n">
        <v>46024</v>
      </c>
      <c r="Y165" s="677" t="n">
        <v>72000</v>
      </c>
      <c r="Z165" s="678" t="n"/>
      <c r="AA165" s="678">
        <f>Y165</f>
        <v/>
      </c>
      <c r="AB165" s="678" t="n"/>
      <c r="AC165" s="678">
        <f>Y165</f>
        <v/>
      </c>
      <c r="AD165" s="678">
        <f>AA165</f>
        <v/>
      </c>
      <c r="AE165" s="682" t="inlineStr">
        <is>
          <t>ENGAGE</t>
        </is>
      </c>
      <c r="AF165" s="681" t="n"/>
      <c r="AG165" s="678" t="n"/>
      <c r="AH165" s="678" t="n"/>
      <c r="AI165" s="678" t="n"/>
      <c r="AJ165" s="678" t="n"/>
      <c r="AK165" s="683" t="n"/>
      <c r="AL165" s="683" t="n"/>
      <c r="AM165" s="681" t="inlineStr">
        <is>
          <t>Manque n° contrat</t>
        </is>
      </c>
      <c r="AN165" s="684" t="n"/>
      <c r="AO165" s="685" t="n"/>
      <c r="AP165" s="686" t="n"/>
      <c r="AQ165" s="686" t="n"/>
      <c r="AR165" s="23" t="n"/>
      <c r="AS165" s="686" t="n"/>
    </row>
    <row r="166" ht="50.55" customHeight="1" s="392">
      <c r="A166" s="672" t="n">
        <v>2026</v>
      </c>
      <c r="B166" s="673" t="inlineStr">
        <is>
          <t>DPPR</t>
        </is>
      </c>
      <c r="C166" s="673" t="inlineStr">
        <is>
          <t>PV N° : 01RC2025-DPPR</t>
        </is>
      </c>
      <c r="D166" s="672" t="inlineStr">
        <is>
          <t>CONTRAT</t>
        </is>
      </c>
      <c r="E166" s="672" t="n"/>
      <c r="F166" s="674" t="inlineStr">
        <is>
          <t>ALIA EDIOURI  -  Journaliste chargée de la préparation et la présentation des émissions radiophoniques</t>
        </is>
      </c>
      <c r="G166" s="675" t="inlineStr">
        <is>
          <t>VALIDE</t>
        </is>
      </c>
      <c r="H166" s="672" t="inlineStr">
        <is>
          <t>APPROUVE</t>
        </is>
      </c>
      <c r="I166" s="672" t="n"/>
      <c r="J166" s="675" t="inlineStr">
        <is>
          <t>NON CONCERNE</t>
        </is>
      </c>
      <c r="K166" s="672" t="inlineStr">
        <is>
          <t>Ordinaire</t>
        </is>
      </c>
      <c r="L166" s="676" t="inlineStr">
        <is>
          <t>FONCTIONNEMENT</t>
        </is>
      </c>
      <c r="M166" s="676" t="inlineStr">
        <is>
          <t xml:space="preserve">Prestations de service
Achat prestations de services locales - personnes physiques </t>
        </is>
      </c>
      <c r="N166" s="677" t="n"/>
      <c r="O166" s="678" t="n"/>
      <c r="P166" s="678" t="n"/>
      <c r="Q166" s="672" t="inlineStr">
        <is>
          <t>RECONDUCTION</t>
        </is>
      </c>
      <c r="R166" s="679" t="n"/>
      <c r="S166" s="680" t="n"/>
      <c r="T166" s="681" t="inlineStr">
        <is>
          <t>ALIA EDIOURI</t>
        </is>
      </c>
      <c r="U166" s="672" t="n">
        <v>2026</v>
      </c>
      <c r="V166" s="680" t="n">
        <v>46387</v>
      </c>
      <c r="W166" s="680" t="n"/>
      <c r="X166" s="680" t="n">
        <v>46024</v>
      </c>
      <c r="Y166" s="677" t="n">
        <v>120000</v>
      </c>
      <c r="Z166" s="678" t="n"/>
      <c r="AA166" s="678">
        <f>Y166</f>
        <v/>
      </c>
      <c r="AB166" s="678" t="n"/>
      <c r="AC166" s="678">
        <f>Y166</f>
        <v/>
      </c>
      <c r="AD166" s="678">
        <f>AA166</f>
        <v/>
      </c>
      <c r="AE166" s="682" t="inlineStr">
        <is>
          <t>ENGAGE</t>
        </is>
      </c>
      <c r="AF166" s="681" t="n"/>
      <c r="AG166" s="678" t="n"/>
      <c r="AH166" s="678" t="n"/>
      <c r="AI166" s="678" t="n"/>
      <c r="AJ166" s="678" t="n"/>
      <c r="AK166" s="683" t="n"/>
      <c r="AL166" s="683" t="n"/>
      <c r="AM166" s="681" t="inlineStr">
        <is>
          <t>Manque n° contrat</t>
        </is>
      </c>
      <c r="AN166" s="684" t="n"/>
      <c r="AO166" s="685" t="n"/>
      <c r="AP166" s="686" t="n"/>
      <c r="AQ166" s="686" t="n"/>
      <c r="AR166" s="23" t="n"/>
      <c r="AS166" s="686" t="n"/>
    </row>
    <row r="167" ht="54.6" customHeight="1" s="392">
      <c r="A167" s="672" t="n">
        <v>2026</v>
      </c>
      <c r="B167" s="673" t="inlineStr">
        <is>
          <t>DPPR</t>
        </is>
      </c>
      <c r="C167" s="673" t="inlineStr">
        <is>
          <t>PV N° : 01RC2025-DPPR</t>
        </is>
      </c>
      <c r="D167" s="672" t="inlineStr">
        <is>
          <t>CONTRAT</t>
        </is>
      </c>
      <c r="E167" s="672" t="n"/>
      <c r="F167" s="674" t="inlineStr">
        <is>
          <t>FATIMA-EZZAHRA ELYAAKOUBI  -  Journaliste chargée de la préparation et la présentation des émissions radiophoniques</t>
        </is>
      </c>
      <c r="G167" s="675" t="inlineStr">
        <is>
          <t>VALIDE</t>
        </is>
      </c>
      <c r="H167" s="672" t="inlineStr">
        <is>
          <t>APPROUVE</t>
        </is>
      </c>
      <c r="I167" s="672" t="n"/>
      <c r="J167" s="675" t="inlineStr">
        <is>
          <t>NON CONCERNE</t>
        </is>
      </c>
      <c r="K167" s="672" t="inlineStr">
        <is>
          <t>Ordinaire</t>
        </is>
      </c>
      <c r="L167" s="676" t="inlineStr">
        <is>
          <t>FONCTIONNEMENT</t>
        </is>
      </c>
      <c r="M167" s="676" t="inlineStr">
        <is>
          <t xml:space="preserve">Prestations de service
Achat prestations de services locales - personnes physiques </t>
        </is>
      </c>
      <c r="N167" s="677" t="n"/>
      <c r="O167" s="678" t="n"/>
      <c r="P167" s="678" t="n"/>
      <c r="Q167" s="672" t="inlineStr">
        <is>
          <t>RECONDUCTION</t>
        </is>
      </c>
      <c r="R167" s="679" t="n"/>
      <c r="S167" s="680" t="n"/>
      <c r="T167" s="681" t="inlineStr">
        <is>
          <t>FATIMA-EZZAHRA ELYAAKOUBI</t>
        </is>
      </c>
      <c r="U167" s="672" t="n">
        <v>2026</v>
      </c>
      <c r="V167" s="680" t="n">
        <v>46387</v>
      </c>
      <c r="W167" s="680" t="n"/>
      <c r="X167" s="680" t="n">
        <v>46024</v>
      </c>
      <c r="Y167" s="677" t="n">
        <v>120000</v>
      </c>
      <c r="Z167" s="678" t="n"/>
      <c r="AA167" s="678">
        <f>Y167</f>
        <v/>
      </c>
      <c r="AB167" s="678" t="n"/>
      <c r="AC167" s="678">
        <f>Y167</f>
        <v/>
      </c>
      <c r="AD167" s="678">
        <f>AA167</f>
        <v/>
      </c>
      <c r="AE167" s="682" t="inlineStr">
        <is>
          <t>ENGAGE</t>
        </is>
      </c>
      <c r="AF167" s="681" t="n"/>
      <c r="AG167" s="678" t="n"/>
      <c r="AH167" s="678" t="n"/>
      <c r="AI167" s="678" t="n"/>
      <c r="AJ167" s="678" t="n"/>
      <c r="AK167" s="683" t="n"/>
      <c r="AL167" s="683" t="n"/>
      <c r="AM167" s="681" t="inlineStr">
        <is>
          <t>Manque n° contrat</t>
        </is>
      </c>
      <c r="AN167" s="684" t="n"/>
      <c r="AO167" s="685" t="n"/>
      <c r="AP167" s="686" t="n"/>
      <c r="AQ167" s="686" t="n"/>
      <c r="AR167" s="23" t="n"/>
      <c r="AS167" s="686" t="n"/>
    </row>
    <row r="168" ht="87" customHeight="1" s="392">
      <c r="A168" s="672" t="n">
        <v>2026</v>
      </c>
      <c r="B168" s="673" t="inlineStr">
        <is>
          <t>DPPR</t>
        </is>
      </c>
      <c r="C168" s="673" t="inlineStr">
        <is>
          <t>PV N° : 01RC2025-DPPR</t>
        </is>
      </c>
      <c r="D168" s="672" t="inlineStr">
        <is>
          <t>CONTRAT</t>
        </is>
      </c>
      <c r="E168" s="672" t="n"/>
      <c r="F168" s="674" t="inlineStr">
        <is>
          <t>MOUAD BOUDINA  -  Journaliste chargé de la préparation des magazines d’information, des reportages RD, la présentation des journaux parlés et flashs d’information, ainsi que la préparation et l’animation des émissions RD dans la région de Fès</t>
        </is>
      </c>
      <c r="G168" s="675" t="inlineStr">
        <is>
          <t>VALIDE</t>
        </is>
      </c>
      <c r="H168" s="672" t="inlineStr">
        <is>
          <t>APPROUVE</t>
        </is>
      </c>
      <c r="I168" s="672" t="n"/>
      <c r="J168" s="675" t="inlineStr">
        <is>
          <t>NON CONCERNE</t>
        </is>
      </c>
      <c r="K168" s="672" t="inlineStr">
        <is>
          <t>Ordinaire</t>
        </is>
      </c>
      <c r="L168" s="676" t="inlineStr">
        <is>
          <t>FONCTIONNEMENT</t>
        </is>
      </c>
      <c r="M168" s="676" t="inlineStr">
        <is>
          <t xml:space="preserve">Prestations de service
Achat prestations de services locales - personnes physiques </t>
        </is>
      </c>
      <c r="N168" s="677" t="n"/>
      <c r="O168" s="678" t="n"/>
      <c r="P168" s="678" t="n"/>
      <c r="Q168" s="672" t="inlineStr">
        <is>
          <t>RECONDUCTION</t>
        </is>
      </c>
      <c r="R168" s="679" t="n"/>
      <c r="S168" s="680" t="n"/>
      <c r="T168" s="681" t="inlineStr">
        <is>
          <t>MOUAD BOUDINA</t>
        </is>
      </c>
      <c r="U168" s="672" t="n">
        <v>2026</v>
      </c>
      <c r="V168" s="680" t="n">
        <v>46387</v>
      </c>
      <c r="W168" s="680" t="n"/>
      <c r="X168" s="680" t="n">
        <v>46024</v>
      </c>
      <c r="Y168" s="677" t="n">
        <v>96000</v>
      </c>
      <c r="Z168" s="678" t="n"/>
      <c r="AA168" s="678">
        <f>Y168</f>
        <v/>
      </c>
      <c r="AB168" s="678" t="n"/>
      <c r="AC168" s="678">
        <f>Y168</f>
        <v/>
      </c>
      <c r="AD168" s="678">
        <f>AA168</f>
        <v/>
      </c>
      <c r="AE168" s="682" t="inlineStr">
        <is>
          <t>ENGAGE</t>
        </is>
      </c>
      <c r="AF168" s="681" t="n"/>
      <c r="AG168" s="678" t="n"/>
      <c r="AH168" s="678" t="n"/>
      <c r="AI168" s="678" t="n"/>
      <c r="AJ168" s="678" t="n"/>
      <c r="AK168" s="683" t="n"/>
      <c r="AL168" s="683" t="n"/>
      <c r="AM168" s="681" t="inlineStr">
        <is>
          <t>Manque n° contrat</t>
        </is>
      </c>
      <c r="AN168" s="684" t="n"/>
      <c r="AO168" s="685" t="n"/>
      <c r="AP168" s="686" t="n"/>
      <c r="AQ168" s="686" t="n"/>
      <c r="AR168" s="23" t="n"/>
      <c r="AS168" s="686" t="n"/>
    </row>
    <row r="169" ht="54.6" customHeight="1" s="392">
      <c r="A169" s="672" t="n">
        <v>2026</v>
      </c>
      <c r="B169" s="673" t="inlineStr">
        <is>
          <t>DPPR</t>
        </is>
      </c>
      <c r="C169" s="673" t="inlineStr">
        <is>
          <t>PV N° : 01RC2025-DPPR</t>
        </is>
      </c>
      <c r="D169" s="672" t="inlineStr">
        <is>
          <t>CONTRAT</t>
        </is>
      </c>
      <c r="E169" s="672" t="n"/>
      <c r="F169" s="674" t="inlineStr">
        <is>
          <t>TAHANI MOULAY ABDELILAH  -  Journaliste chargé de la préparation et la présentation des émissions radiophoniques</t>
        </is>
      </c>
      <c r="G169" s="675" t="inlineStr">
        <is>
          <t>VALIDE</t>
        </is>
      </c>
      <c r="H169" s="672" t="inlineStr">
        <is>
          <t>APPROUVE</t>
        </is>
      </c>
      <c r="I169" s="672" t="n"/>
      <c r="J169" s="675" t="inlineStr">
        <is>
          <t>NON CONCERNE</t>
        </is>
      </c>
      <c r="K169" s="672" t="inlineStr">
        <is>
          <t>Ordinaire</t>
        </is>
      </c>
      <c r="L169" s="676" t="inlineStr">
        <is>
          <t>FONCTIONNEMENT</t>
        </is>
      </c>
      <c r="M169" s="676" t="inlineStr">
        <is>
          <t xml:space="preserve">Prestations de service
Achat prestations de services locales - personnes physiques </t>
        </is>
      </c>
      <c r="N169" s="677" t="n"/>
      <c r="O169" s="678" t="n"/>
      <c r="P169" s="678" t="n"/>
      <c r="Q169" s="672" t="inlineStr">
        <is>
          <t>RECONDUCTION</t>
        </is>
      </c>
      <c r="R169" s="679" t="n"/>
      <c r="S169" s="680" t="n"/>
      <c r="T169" s="681" t="inlineStr">
        <is>
          <t xml:space="preserve">TAHANI MOULAY ABDELILAH </t>
        </is>
      </c>
      <c r="U169" s="672" t="n">
        <v>2026</v>
      </c>
      <c r="V169" s="680" t="n">
        <v>46387</v>
      </c>
      <c r="W169" s="680" t="n"/>
      <c r="X169" s="680" t="n">
        <v>46024</v>
      </c>
      <c r="Y169" s="677" t="n">
        <v>300000</v>
      </c>
      <c r="Z169" s="678" t="n"/>
      <c r="AA169" s="678">
        <f>Y169</f>
        <v/>
      </c>
      <c r="AB169" s="678" t="n"/>
      <c r="AC169" s="678">
        <f>Y169</f>
        <v/>
      </c>
      <c r="AD169" s="678">
        <f>AA169</f>
        <v/>
      </c>
      <c r="AE169" s="682" t="inlineStr">
        <is>
          <t>ENGAGE</t>
        </is>
      </c>
      <c r="AF169" s="681" t="n"/>
      <c r="AG169" s="678" t="n"/>
      <c r="AH169" s="678" t="n"/>
      <c r="AI169" s="678" t="n"/>
      <c r="AJ169" s="678" t="n"/>
      <c r="AK169" s="683" t="n"/>
      <c r="AL169" s="683" t="n"/>
      <c r="AM169" s="681" t="inlineStr">
        <is>
          <t>Manque n° contrat</t>
        </is>
      </c>
      <c r="AN169" s="684" t="n"/>
      <c r="AO169" s="685" t="n"/>
      <c r="AP169" s="686" t="n"/>
      <c r="AQ169" s="686" t="n"/>
      <c r="AR169" s="23" t="n"/>
      <c r="AS169" s="686" t="n"/>
    </row>
    <row r="170" ht="50.55" customHeight="1" s="392">
      <c r="A170" s="672" t="n">
        <v>2026</v>
      </c>
      <c r="B170" s="673" t="inlineStr">
        <is>
          <t>DPPR</t>
        </is>
      </c>
      <c r="C170" s="673" t="inlineStr">
        <is>
          <t>PV N° : 01RC2025-DPPR</t>
        </is>
      </c>
      <c r="D170" s="672" t="inlineStr">
        <is>
          <t>CONTRAT</t>
        </is>
      </c>
      <c r="E170" s="672" t="n"/>
      <c r="F170" s="674" t="inlineStr">
        <is>
          <t>SAMIRA ELHADDOUCHI  -  Chroniqueuse chargée de la préparation et l’animation de l’émission RD « LA MODE »</t>
        </is>
      </c>
      <c r="G170" s="675" t="inlineStr">
        <is>
          <t>VALIDE</t>
        </is>
      </c>
      <c r="H170" s="672" t="inlineStr">
        <is>
          <t>APPROUVE</t>
        </is>
      </c>
      <c r="I170" s="672" t="n"/>
      <c r="J170" s="675" t="inlineStr">
        <is>
          <t>NON CONCERNE</t>
        </is>
      </c>
      <c r="K170" s="672" t="inlineStr">
        <is>
          <t>Ordinaire</t>
        </is>
      </c>
      <c r="L170" s="676" t="inlineStr">
        <is>
          <t>FONCTIONNEMENT</t>
        </is>
      </c>
      <c r="M170" s="676" t="inlineStr">
        <is>
          <t xml:space="preserve">Prestations de service
Achat prestations de services locales - personnes physiques </t>
        </is>
      </c>
      <c r="N170" s="677" t="n"/>
      <c r="O170" s="678" t="n"/>
      <c r="P170" s="678" t="n"/>
      <c r="Q170" s="672" t="inlineStr">
        <is>
          <t>RECONDUCTION</t>
        </is>
      </c>
      <c r="R170" s="679" t="n"/>
      <c r="S170" s="680" t="n"/>
      <c r="T170" s="681" t="inlineStr">
        <is>
          <t>SAMIRA ELHADDOUCHI</t>
        </is>
      </c>
      <c r="U170" s="672" t="n">
        <v>2026</v>
      </c>
      <c r="V170" s="680" t="n">
        <v>46387</v>
      </c>
      <c r="W170" s="680" t="n"/>
      <c r="X170" s="680" t="n">
        <v>46024</v>
      </c>
      <c r="Y170" s="677" t="n">
        <v>130000</v>
      </c>
      <c r="Z170" s="678" t="n"/>
      <c r="AA170" s="678">
        <f>Y170</f>
        <v/>
      </c>
      <c r="AB170" s="678" t="n"/>
      <c r="AC170" s="678">
        <f>Y170</f>
        <v/>
      </c>
      <c r="AD170" s="678">
        <f>AA170</f>
        <v/>
      </c>
      <c r="AE170" s="682" t="inlineStr">
        <is>
          <t>ENGAGE</t>
        </is>
      </c>
      <c r="AF170" s="681" t="n"/>
      <c r="AG170" s="678" t="n"/>
      <c r="AH170" s="678" t="n"/>
      <c r="AI170" s="678" t="n"/>
      <c r="AJ170" s="678" t="n"/>
      <c r="AK170" s="683" t="n"/>
      <c r="AL170" s="683" t="n"/>
      <c r="AM170" s="681" t="inlineStr">
        <is>
          <t>Manque n° contrat</t>
        </is>
      </c>
      <c r="AN170" s="684" t="n"/>
      <c r="AO170" s="685" t="n"/>
      <c r="AP170" s="686" t="n"/>
      <c r="AQ170" s="686" t="n"/>
      <c r="AR170" s="23" t="n"/>
      <c r="AS170" s="686" t="n"/>
    </row>
    <row r="171" ht="50.55" customHeight="1" s="392">
      <c r="A171" s="672" t="n">
        <v>2026</v>
      </c>
      <c r="B171" s="673" t="inlineStr">
        <is>
          <t>DPPR</t>
        </is>
      </c>
      <c r="C171" s="673" t="inlineStr">
        <is>
          <t>PV N° : 01RC2025-DPPR</t>
        </is>
      </c>
      <c r="D171" s="672" t="inlineStr">
        <is>
          <t>CONTRAT</t>
        </is>
      </c>
      <c r="E171" s="672" t="n"/>
      <c r="F171" s="674" t="inlineStr">
        <is>
          <t>MUSTAPHA SEHIMI  -  Chroniqueur chargé de la préparation et l’animation de l’émission RD « REPERE »</t>
        </is>
      </c>
      <c r="G171" s="675" t="inlineStr">
        <is>
          <t>VALIDE</t>
        </is>
      </c>
      <c r="H171" s="672" t="inlineStr">
        <is>
          <t>APPROUVE</t>
        </is>
      </c>
      <c r="I171" s="672" t="n"/>
      <c r="J171" s="675" t="inlineStr">
        <is>
          <t>NON CONCERNE</t>
        </is>
      </c>
      <c r="K171" s="672" t="inlineStr">
        <is>
          <t>Ordinaire</t>
        </is>
      </c>
      <c r="L171" s="676" t="inlineStr">
        <is>
          <t>FONCTIONNEMENT</t>
        </is>
      </c>
      <c r="M171" s="676" t="inlineStr">
        <is>
          <t xml:space="preserve">Prestations de service
Achat prestations de services locales - personnes physiques </t>
        </is>
      </c>
      <c r="N171" s="677" t="n"/>
      <c r="O171" s="678" t="n"/>
      <c r="P171" s="678" t="n"/>
      <c r="Q171" s="672" t="inlineStr">
        <is>
          <t>RECONDUCTION</t>
        </is>
      </c>
      <c r="R171" s="679" t="n"/>
      <c r="S171" s="680" t="n"/>
      <c r="T171" s="681" t="inlineStr">
        <is>
          <t>MUSTAPHA SEHIMI</t>
        </is>
      </c>
      <c r="U171" s="672" t="n">
        <v>2026</v>
      </c>
      <c r="V171" s="680" t="n">
        <v>46387</v>
      </c>
      <c r="W171" s="680" t="n"/>
      <c r="X171" s="680" t="n">
        <v>46024</v>
      </c>
      <c r="Y171" s="677" t="n">
        <v>130000</v>
      </c>
      <c r="Z171" s="678" t="n"/>
      <c r="AA171" s="678">
        <f>Y171</f>
        <v/>
      </c>
      <c r="AB171" s="678" t="n"/>
      <c r="AC171" s="678">
        <f>Y171</f>
        <v/>
      </c>
      <c r="AD171" s="678">
        <f>AA171</f>
        <v/>
      </c>
      <c r="AE171" s="682" t="inlineStr">
        <is>
          <t>ENGAGE</t>
        </is>
      </c>
      <c r="AF171" s="681" t="n"/>
      <c r="AG171" s="678" t="n"/>
      <c r="AH171" s="678" t="n"/>
      <c r="AI171" s="678" t="n"/>
      <c r="AJ171" s="678" t="n"/>
      <c r="AK171" s="683" t="n"/>
      <c r="AL171" s="683" t="n"/>
      <c r="AM171" s="681" t="inlineStr">
        <is>
          <t>Manque n° contrat</t>
        </is>
      </c>
      <c r="AN171" s="684" t="n"/>
      <c r="AO171" s="685" t="n"/>
      <c r="AP171" s="686" t="n"/>
      <c r="AQ171" s="686" t="n"/>
      <c r="AR171" s="23" t="n"/>
      <c r="AS171" s="686" t="n"/>
    </row>
    <row r="172" ht="50.55" customHeight="1" s="392">
      <c r="A172" s="672" t="n">
        <v>2026</v>
      </c>
      <c r="B172" s="673" t="inlineStr">
        <is>
          <t>DPPR</t>
        </is>
      </c>
      <c r="C172" s="673" t="inlineStr">
        <is>
          <t>PV N° : 01RC2025-DPPR</t>
        </is>
      </c>
      <c r="D172" s="672" t="inlineStr">
        <is>
          <t>CONTRAT</t>
        </is>
      </c>
      <c r="E172" s="672" t="n"/>
      <c r="F172" s="674" t="inlineStr">
        <is>
          <t>SANAA CHAABAOUI  -  Préparation et présentation d’une émission de sensibilisation à la santé psychologique</t>
        </is>
      </c>
      <c r="G172" s="675" t="inlineStr">
        <is>
          <t>VALIDE</t>
        </is>
      </c>
      <c r="H172" s="672" t="inlineStr">
        <is>
          <t>APPROUVE</t>
        </is>
      </c>
      <c r="I172" s="672" t="n"/>
      <c r="J172" s="675" t="inlineStr">
        <is>
          <t>NON CONCERNE</t>
        </is>
      </c>
      <c r="K172" s="672" t="inlineStr">
        <is>
          <t>Ordinaire</t>
        </is>
      </c>
      <c r="L172" s="676" t="inlineStr">
        <is>
          <t>FONCTIONNEMENT</t>
        </is>
      </c>
      <c r="M172" s="676" t="inlineStr">
        <is>
          <t xml:space="preserve">Prestations de service
Achat prestations de services locales - personnes physiques </t>
        </is>
      </c>
      <c r="N172" s="677" t="n"/>
      <c r="O172" s="678" t="n"/>
      <c r="P172" s="678" t="n"/>
      <c r="Q172" s="672" t="inlineStr">
        <is>
          <t>RECONDUCTION</t>
        </is>
      </c>
      <c r="R172" s="679" t="n"/>
      <c r="S172" s="680" t="n"/>
      <c r="T172" s="681" t="inlineStr">
        <is>
          <t>SANAA CHAABAOUI</t>
        </is>
      </c>
      <c r="U172" s="672" t="n">
        <v>2026</v>
      </c>
      <c r="V172" s="680" t="n">
        <v>46387</v>
      </c>
      <c r="W172" s="680" t="n"/>
      <c r="X172" s="680" t="n">
        <v>46024</v>
      </c>
      <c r="Y172" s="677" t="n">
        <v>78000</v>
      </c>
      <c r="Z172" s="678" t="n"/>
      <c r="AA172" s="678">
        <f>Y172</f>
        <v/>
      </c>
      <c r="AB172" s="678" t="n"/>
      <c r="AC172" s="678">
        <f>Y172</f>
        <v/>
      </c>
      <c r="AD172" s="678">
        <f>AA172</f>
        <v/>
      </c>
      <c r="AE172" s="682" t="inlineStr">
        <is>
          <t>ENGAGE</t>
        </is>
      </c>
      <c r="AF172" s="681" t="n"/>
      <c r="AG172" s="678" t="n"/>
      <c r="AH172" s="678" t="n"/>
      <c r="AI172" s="678" t="n"/>
      <c r="AJ172" s="678" t="n"/>
      <c r="AK172" s="683" t="n"/>
      <c r="AL172" s="683" t="n"/>
      <c r="AM172" s="681" t="inlineStr">
        <is>
          <t>Manque n° contrat</t>
        </is>
      </c>
      <c r="AN172" s="684" t="n"/>
      <c r="AO172" s="685" t="n"/>
      <c r="AP172" s="686" t="n"/>
      <c r="AQ172" s="686" t="n"/>
      <c r="AR172" s="23" t="n"/>
      <c r="AS172" s="686" t="n"/>
    </row>
    <row r="173" ht="50.55" customHeight="1" s="392">
      <c r="A173" s="672" t="n">
        <v>2026</v>
      </c>
      <c r="B173" s="673" t="inlineStr">
        <is>
          <t>DPPR</t>
        </is>
      </c>
      <c r="C173" s="673" t="inlineStr">
        <is>
          <t>PV N° : 01RC2025-DPPR</t>
        </is>
      </c>
      <c r="D173" s="672" t="inlineStr">
        <is>
          <t>CONTRAT</t>
        </is>
      </c>
      <c r="E173" s="672" t="n"/>
      <c r="F173" s="674" t="inlineStr">
        <is>
          <t>MOHAMED SELHAMI -  Chroniqueur chargé de la préparation et l’animation de l’émission RD « REPERE »</t>
        </is>
      </c>
      <c r="G173" s="675" t="inlineStr">
        <is>
          <t>VALIDE</t>
        </is>
      </c>
      <c r="H173" s="672" t="inlineStr">
        <is>
          <t>APPROUVE</t>
        </is>
      </c>
      <c r="I173" s="672" t="n"/>
      <c r="J173" s="675" t="inlineStr">
        <is>
          <t>NON CONCERNE</t>
        </is>
      </c>
      <c r="K173" s="672" t="inlineStr">
        <is>
          <t>Ordinaire</t>
        </is>
      </c>
      <c r="L173" s="676" t="inlineStr">
        <is>
          <t>FONCTIONNEMENT</t>
        </is>
      </c>
      <c r="M173" s="676" t="inlineStr">
        <is>
          <t xml:space="preserve">Prestations de service
Achat prestations de services locales - personnes physiques </t>
        </is>
      </c>
      <c r="N173" s="677" t="n"/>
      <c r="O173" s="678" t="n"/>
      <c r="P173" s="678" t="n"/>
      <c r="Q173" s="672" t="inlineStr">
        <is>
          <t>RECONDUCTION</t>
        </is>
      </c>
      <c r="R173" s="679" t="n"/>
      <c r="S173" s="680" t="n"/>
      <c r="T173" s="681" t="inlineStr">
        <is>
          <t>MOHAMED SELHAMI</t>
        </is>
      </c>
      <c r="U173" s="672" t="n">
        <v>2026</v>
      </c>
      <c r="V173" s="680" t="n">
        <v>46387</v>
      </c>
      <c r="W173" s="680" t="n"/>
      <c r="X173" s="680" t="n">
        <v>46024</v>
      </c>
      <c r="Y173" s="677" t="n">
        <v>130000</v>
      </c>
      <c r="Z173" s="678" t="n"/>
      <c r="AA173" s="678">
        <f>Y173</f>
        <v/>
      </c>
      <c r="AB173" s="678" t="n"/>
      <c r="AC173" s="678">
        <f>Y173</f>
        <v/>
      </c>
      <c r="AD173" s="678">
        <f>AA173</f>
        <v/>
      </c>
      <c r="AE173" s="682" t="inlineStr">
        <is>
          <t>ENGAGE</t>
        </is>
      </c>
      <c r="AF173" s="681" t="n"/>
      <c r="AG173" s="678" t="n"/>
      <c r="AH173" s="678" t="n"/>
      <c r="AI173" s="678" t="n"/>
      <c r="AJ173" s="678" t="n"/>
      <c r="AK173" s="683" t="n"/>
      <c r="AL173" s="683" t="n"/>
      <c r="AM173" s="681" t="inlineStr">
        <is>
          <t>Manque n° contrat</t>
        </is>
      </c>
      <c r="AN173" s="684" t="n"/>
      <c r="AO173" s="685" t="n"/>
      <c r="AP173" s="686" t="n"/>
      <c r="AQ173" s="686" t="n"/>
      <c r="AR173" s="23" t="n"/>
      <c r="AS173" s="686" t="n"/>
    </row>
    <row r="174" ht="50.55" customHeight="1" s="392">
      <c r="A174" s="672" t="n">
        <v>2026</v>
      </c>
      <c r="B174" s="673" t="inlineStr">
        <is>
          <t>DRPSD</t>
        </is>
      </c>
      <c r="C174" s="673" t="inlineStr">
        <is>
          <t>PV N° : 01RC2025- DRPSD</t>
        </is>
      </c>
      <c r="D174" s="672" t="inlineStr">
        <is>
          <t>CONTRAT</t>
        </is>
      </c>
      <c r="E174" s="672" t="n"/>
      <c r="F174" s="674" t="inlineStr">
        <is>
          <t>ABIR BOUZID  -  Chargée de la gestion des conducteurs publicitaires</t>
        </is>
      </c>
      <c r="G174" s="675" t="inlineStr">
        <is>
          <t>VALIDE</t>
        </is>
      </c>
      <c r="H174" s="672" t="inlineStr">
        <is>
          <t>APPROUVE</t>
        </is>
      </c>
      <c r="I174" s="672" t="n"/>
      <c r="J174" s="675" t="inlineStr">
        <is>
          <t>NON CONCERNE</t>
        </is>
      </c>
      <c r="K174" s="672" t="inlineStr">
        <is>
          <t>Ordinaire</t>
        </is>
      </c>
      <c r="L174" s="676" t="inlineStr">
        <is>
          <t>FONCTIONNEMENT</t>
        </is>
      </c>
      <c r="M174" s="676" t="inlineStr">
        <is>
          <t xml:space="preserve">Prestations de service
Achat prestations de services locales - personnes physiques </t>
        </is>
      </c>
      <c r="N174" s="677" t="n"/>
      <c r="O174" s="678" t="n"/>
      <c r="P174" s="678" t="n"/>
      <c r="Q174" s="672" t="inlineStr">
        <is>
          <t>RECONDUCTION</t>
        </is>
      </c>
      <c r="R174" s="679" t="n"/>
      <c r="S174" s="680" t="n"/>
      <c r="T174" s="681" t="inlineStr">
        <is>
          <t>ABIR BOUZID</t>
        </is>
      </c>
      <c r="U174" s="672" t="n">
        <v>2026</v>
      </c>
      <c r="V174" s="680" t="n">
        <v>46387</v>
      </c>
      <c r="W174" s="680" t="n"/>
      <c r="X174" s="680" t="n">
        <v>46024</v>
      </c>
      <c r="Y174" s="677" t="n">
        <v>120000</v>
      </c>
      <c r="Z174" s="678" t="n"/>
      <c r="AA174" s="678">
        <f>Y174</f>
        <v/>
      </c>
      <c r="AB174" s="678" t="n"/>
      <c r="AC174" s="678">
        <f>Y174</f>
        <v/>
      </c>
      <c r="AD174" s="678">
        <f>AA174</f>
        <v/>
      </c>
      <c r="AE174" s="682" t="inlineStr">
        <is>
          <t>ENGAGE</t>
        </is>
      </c>
      <c r="AF174" s="681" t="n"/>
      <c r="AG174" s="678" t="n"/>
      <c r="AH174" s="678" t="n"/>
      <c r="AI174" s="678" t="n"/>
      <c r="AJ174" s="678" t="n"/>
      <c r="AK174" s="683" t="n"/>
      <c r="AL174" s="683" t="n"/>
      <c r="AM174" s="681" t="inlineStr">
        <is>
          <t>Manque n° contrat</t>
        </is>
      </c>
      <c r="AN174" s="684" t="n"/>
      <c r="AO174" s="685" t="n"/>
      <c r="AP174" s="686" t="n"/>
      <c r="AQ174" s="686" t="n"/>
      <c r="AR174" s="23" t="n"/>
      <c r="AS174" s="686" t="n"/>
    </row>
    <row r="175" ht="50.55" customHeight="1" s="392">
      <c r="A175" s="672" t="n">
        <v>2026</v>
      </c>
      <c r="B175" s="673" t="inlineStr">
        <is>
          <t>DRPSD</t>
        </is>
      </c>
      <c r="C175" s="673" t="inlineStr">
        <is>
          <t>PV N° : 01RC2025- DRPSD</t>
        </is>
      </c>
      <c r="D175" s="672" t="inlineStr">
        <is>
          <t>CONTRAT</t>
        </is>
      </c>
      <c r="E175" s="672" t="n"/>
      <c r="F175" s="674" t="inlineStr">
        <is>
          <t>NAJI RABEH  -  Chargé de la gestion des écrans publicitaires</t>
        </is>
      </c>
      <c r="G175" s="675" t="inlineStr">
        <is>
          <t>VALIDE</t>
        </is>
      </c>
      <c r="H175" s="672" t="inlineStr">
        <is>
          <t>APPROUVE</t>
        </is>
      </c>
      <c r="I175" s="672" t="n"/>
      <c r="J175" s="675" t="inlineStr">
        <is>
          <t>NON CONCERNE</t>
        </is>
      </c>
      <c r="K175" s="672" t="inlineStr">
        <is>
          <t>Ordinaire</t>
        </is>
      </c>
      <c r="L175" s="676" t="inlineStr">
        <is>
          <t>FONCTIONNEMENT</t>
        </is>
      </c>
      <c r="M175" s="676" t="inlineStr">
        <is>
          <t xml:space="preserve">Prestations de service
Achat prestations de services locales - personnes physiques </t>
        </is>
      </c>
      <c r="N175" s="677" t="n"/>
      <c r="O175" s="678" t="n"/>
      <c r="P175" s="678" t="n"/>
      <c r="Q175" s="672" t="inlineStr">
        <is>
          <t>RECONDUCTION</t>
        </is>
      </c>
      <c r="R175" s="679" t="n"/>
      <c r="S175" s="680" t="n"/>
      <c r="T175" s="681" t="inlineStr">
        <is>
          <t>NAJI RABEH</t>
        </is>
      </c>
      <c r="U175" s="672" t="n">
        <v>2026</v>
      </c>
      <c r="V175" s="680" t="n">
        <v>46387</v>
      </c>
      <c r="W175" s="680" t="n"/>
      <c r="X175" s="680" t="n">
        <v>46024</v>
      </c>
      <c r="Y175" s="677" t="n">
        <v>120000</v>
      </c>
      <c r="Z175" s="678" t="n"/>
      <c r="AA175" s="678">
        <f>Y175</f>
        <v/>
      </c>
      <c r="AB175" s="678" t="n"/>
      <c r="AC175" s="678">
        <f>Y175</f>
        <v/>
      </c>
      <c r="AD175" s="678">
        <f>AA175</f>
        <v/>
      </c>
      <c r="AE175" s="682" t="inlineStr">
        <is>
          <t>ENGAGE</t>
        </is>
      </c>
      <c r="AF175" s="681" t="n"/>
      <c r="AG175" s="678" t="n"/>
      <c r="AH175" s="678" t="n"/>
      <c r="AI175" s="678" t="n"/>
      <c r="AJ175" s="678" t="n"/>
      <c r="AK175" s="683" t="n"/>
      <c r="AL175" s="683" t="n"/>
      <c r="AM175" s="681" t="inlineStr">
        <is>
          <t>Manque n° contrat</t>
        </is>
      </c>
      <c r="AN175" s="684" t="n"/>
      <c r="AO175" s="685" t="n"/>
      <c r="AP175" s="686" t="n"/>
      <c r="AQ175" s="686" t="n"/>
      <c r="AR175" s="23" t="n"/>
      <c r="AS175" s="686" t="n"/>
    </row>
    <row r="176" ht="50.55" customHeight="1" s="392">
      <c r="A176" s="672" t="n">
        <v>2026</v>
      </c>
      <c r="B176" s="673" t="inlineStr">
        <is>
          <t>DRPSD</t>
        </is>
      </c>
      <c r="C176" s="673" t="inlineStr">
        <is>
          <t>PV N° : 01RC2025- DRPSD</t>
        </is>
      </c>
      <c r="D176" s="672" t="inlineStr">
        <is>
          <t>CONTRAT</t>
        </is>
      </c>
      <c r="E176" s="672" t="n"/>
      <c r="F176" s="674" t="inlineStr">
        <is>
          <t>MOHAMED CHARIF DJEBLI  -  Informaticien, chargé de la sécurisation des plateformes digitales de la SNRT</t>
        </is>
      </c>
      <c r="G176" s="675" t="inlineStr">
        <is>
          <t>VALIDE</t>
        </is>
      </c>
      <c r="H176" s="672" t="inlineStr">
        <is>
          <t>APPROUVE</t>
        </is>
      </c>
      <c r="I176" s="672" t="n"/>
      <c r="J176" s="675" t="inlineStr">
        <is>
          <t>NON CONCERNE</t>
        </is>
      </c>
      <c r="K176" s="672" t="inlineStr">
        <is>
          <t>Ordinaire</t>
        </is>
      </c>
      <c r="L176" s="676" t="inlineStr">
        <is>
          <t>FONCTIONNEMENT</t>
        </is>
      </c>
      <c r="M176" s="676" t="inlineStr">
        <is>
          <t xml:space="preserve">Prestations de service
Achat prestations de services locales - personnes physiques </t>
        </is>
      </c>
      <c r="N176" s="677" t="n"/>
      <c r="O176" s="678" t="n"/>
      <c r="P176" s="678" t="n"/>
      <c r="Q176" s="672" t="inlineStr">
        <is>
          <t>RECONDUCTION</t>
        </is>
      </c>
      <c r="R176" s="679" t="n"/>
      <c r="S176" s="680" t="n"/>
      <c r="T176" s="681" t="inlineStr">
        <is>
          <t>MOHAMED CHARIF DJEBLI</t>
        </is>
      </c>
      <c r="U176" s="672" t="n">
        <v>2026</v>
      </c>
      <c r="V176" s="680" t="n">
        <v>46387</v>
      </c>
      <c r="W176" s="680" t="n"/>
      <c r="X176" s="680" t="n">
        <v>46024</v>
      </c>
      <c r="Y176" s="677" t="n">
        <v>121212.12</v>
      </c>
      <c r="Z176" s="678" t="n"/>
      <c r="AA176" s="678">
        <f>Y176</f>
        <v/>
      </c>
      <c r="AB176" s="678" t="n"/>
      <c r="AC176" s="678">
        <f>Y176</f>
        <v/>
      </c>
      <c r="AD176" s="678">
        <f>AA176</f>
        <v/>
      </c>
      <c r="AE176" s="682" t="inlineStr">
        <is>
          <t>ENGAGE</t>
        </is>
      </c>
      <c r="AF176" s="681" t="n"/>
      <c r="AG176" s="678" t="n"/>
      <c r="AH176" s="678" t="n"/>
      <c r="AI176" s="678" t="n"/>
      <c r="AJ176" s="678" t="n"/>
      <c r="AK176" s="683" t="n"/>
      <c r="AL176" s="683" t="n"/>
      <c r="AM176" s="681" t="inlineStr">
        <is>
          <t>Manque n° contrat</t>
        </is>
      </c>
      <c r="AN176" s="684" t="n"/>
      <c r="AO176" s="685" t="n"/>
      <c r="AP176" s="686" t="n"/>
      <c r="AQ176" s="686" t="n"/>
      <c r="AR176" s="23" t="n"/>
      <c r="AS176" s="686" t="n"/>
    </row>
    <row r="177" ht="54.6" customHeight="1" s="392">
      <c r="A177" s="672" t="n">
        <v>2026</v>
      </c>
      <c r="B177" s="673" t="inlineStr">
        <is>
          <t>DRPSD</t>
        </is>
      </c>
      <c r="C177" s="673" t="inlineStr">
        <is>
          <t>PV N° : 01RC2025-DRPSD-SNRTNEWS</t>
        </is>
      </c>
      <c r="D177" s="672" t="inlineStr">
        <is>
          <t>CONTRAT</t>
        </is>
      </c>
      <c r="E177" s="672" t="n"/>
      <c r="F177" s="674" t="inlineStr">
        <is>
          <t>JAMAL EL KHANOUSSI  -  Chargé de la rédaction, de la coordination et de la production du contenu de la plateforme SNRTNEWS.</t>
        </is>
      </c>
      <c r="G177" s="675" t="inlineStr">
        <is>
          <t>VALIDE</t>
        </is>
      </c>
      <c r="H177" s="672" t="inlineStr">
        <is>
          <t>APPROUVE</t>
        </is>
      </c>
      <c r="I177" s="672" t="n"/>
      <c r="J177" s="675" t="inlineStr">
        <is>
          <t>NON CONCERNE</t>
        </is>
      </c>
      <c r="K177" s="672" t="inlineStr">
        <is>
          <t>Ordinaire</t>
        </is>
      </c>
      <c r="L177" s="676" t="inlineStr">
        <is>
          <t>FONCTIONNEMENT</t>
        </is>
      </c>
      <c r="M177" s="676" t="inlineStr">
        <is>
          <t xml:space="preserve">Prestations de service
Achat prestations de services locales - personnes physiques </t>
        </is>
      </c>
      <c r="N177" s="677" t="n"/>
      <c r="O177" s="678" t="n"/>
      <c r="P177" s="678" t="n"/>
      <c r="Q177" s="672" t="inlineStr">
        <is>
          <t>RECONDUCTION</t>
        </is>
      </c>
      <c r="R177" s="679" t="n"/>
      <c r="S177" s="680" t="n"/>
      <c r="T177" s="681" t="inlineStr">
        <is>
          <t>JAMAL EL KHANOUSSI</t>
        </is>
      </c>
      <c r="U177" s="672" t="n">
        <v>2026</v>
      </c>
      <c r="V177" s="680" t="n">
        <v>46387</v>
      </c>
      <c r="W177" s="680" t="n"/>
      <c r="X177" s="680" t="n">
        <v>46024</v>
      </c>
      <c r="Y177" s="677" t="n">
        <v>694285.6800000001</v>
      </c>
      <c r="Z177" s="678" t="n"/>
      <c r="AA177" s="678">
        <f>Y177</f>
        <v/>
      </c>
      <c r="AB177" s="678" t="n"/>
      <c r="AC177" s="678">
        <f>Y177</f>
        <v/>
      </c>
      <c r="AD177" s="678">
        <f>AA177</f>
        <v/>
      </c>
      <c r="AE177" s="682" t="inlineStr">
        <is>
          <t>ENGAGE</t>
        </is>
      </c>
      <c r="AF177" s="681" t="n"/>
      <c r="AG177" s="678" t="n"/>
      <c r="AH177" s="678" t="n"/>
      <c r="AI177" s="678" t="n"/>
      <c r="AJ177" s="678" t="n"/>
      <c r="AK177" s="683" t="n"/>
      <c r="AL177" s="683" t="n"/>
      <c r="AM177" s="681" t="inlineStr">
        <is>
          <t>Manque n° contrat</t>
        </is>
      </c>
      <c r="AN177" s="684" t="n"/>
      <c r="AO177" s="685" t="n"/>
      <c r="AP177" s="686" t="n"/>
      <c r="AQ177" s="686" t="n"/>
      <c r="AR177" s="23" t="n"/>
      <c r="AS177" s="686" t="n"/>
    </row>
    <row r="178" ht="50.55" customHeight="1" s="392">
      <c r="A178" s="672" t="n">
        <v>2026</v>
      </c>
      <c r="B178" s="673" t="inlineStr">
        <is>
          <t>DRPSD</t>
        </is>
      </c>
      <c r="C178" s="673" t="inlineStr">
        <is>
          <t>PV N° : 01RC2025-DRPSD-SNRTNEWS</t>
        </is>
      </c>
      <c r="D178" s="672" t="inlineStr">
        <is>
          <t>CONTRAT</t>
        </is>
      </c>
      <c r="E178" s="672" t="n"/>
      <c r="F178" s="674" t="inlineStr">
        <is>
          <t>SALAH ELGOUMRI  -  Journaliste</t>
        </is>
      </c>
      <c r="G178" s="675" t="inlineStr">
        <is>
          <t>VALIDE</t>
        </is>
      </c>
      <c r="H178" s="672" t="inlineStr">
        <is>
          <t>APPROUVE</t>
        </is>
      </c>
      <c r="I178" s="672" t="n"/>
      <c r="J178" s="675" t="inlineStr">
        <is>
          <t>NON CONCERNE</t>
        </is>
      </c>
      <c r="K178" s="672" t="inlineStr">
        <is>
          <t>Ordinaire</t>
        </is>
      </c>
      <c r="L178" s="676" t="inlineStr">
        <is>
          <t>FONCTIONNEMENT</t>
        </is>
      </c>
      <c r="M178" s="676" t="inlineStr">
        <is>
          <t xml:space="preserve">Prestations de service
Achat prestations de services locales - personnes physiques </t>
        </is>
      </c>
      <c r="N178" s="677" t="n"/>
      <c r="O178" s="678" t="n"/>
      <c r="P178" s="678" t="n"/>
      <c r="Q178" s="672" t="inlineStr">
        <is>
          <t>RECONDUCTION</t>
        </is>
      </c>
      <c r="R178" s="679" t="n"/>
      <c r="S178" s="680" t="n"/>
      <c r="T178" s="681" t="inlineStr">
        <is>
          <t xml:space="preserve">SALAH ELGOUMRI </t>
        </is>
      </c>
      <c r="U178" s="672" t="n">
        <v>2026</v>
      </c>
      <c r="V178" s="680" t="n">
        <v>46387</v>
      </c>
      <c r="W178" s="680" t="n"/>
      <c r="X178" s="680" t="n">
        <v>46024</v>
      </c>
      <c r="Y178" s="677" t="n">
        <v>127272.72</v>
      </c>
      <c r="Z178" s="678" t="n"/>
      <c r="AA178" s="678">
        <f>Y178</f>
        <v/>
      </c>
      <c r="AB178" s="678" t="n"/>
      <c r="AC178" s="678">
        <f>Y178</f>
        <v/>
      </c>
      <c r="AD178" s="678">
        <f>AA178</f>
        <v/>
      </c>
      <c r="AE178" s="682" t="inlineStr">
        <is>
          <t>ENGAGE</t>
        </is>
      </c>
      <c r="AF178" s="681" t="n"/>
      <c r="AG178" s="678" t="n"/>
      <c r="AH178" s="678" t="n"/>
      <c r="AI178" s="678" t="n"/>
      <c r="AJ178" s="678" t="n"/>
      <c r="AK178" s="683" t="n"/>
      <c r="AL178" s="683" t="n"/>
      <c r="AM178" s="681" t="inlineStr">
        <is>
          <t>Manque n° contrat</t>
        </is>
      </c>
      <c r="AN178" s="684" t="n"/>
      <c r="AO178" s="685" t="n"/>
      <c r="AP178" s="686" t="n"/>
      <c r="AQ178" s="686" t="n"/>
      <c r="AR178" s="23" t="n"/>
      <c r="AS178" s="686" t="n"/>
    </row>
    <row r="179" ht="50.55" customHeight="1" s="392">
      <c r="A179" s="672" t="n">
        <v>2026</v>
      </c>
      <c r="B179" s="673" t="inlineStr">
        <is>
          <t>DRPSD</t>
        </is>
      </c>
      <c r="C179" s="673" t="inlineStr">
        <is>
          <t>PV N° : 01RC2025-DRPSD-SNRTNEWS</t>
        </is>
      </c>
      <c r="D179" s="672" t="inlineStr">
        <is>
          <t>CONTRAT</t>
        </is>
      </c>
      <c r="E179" s="672" t="n"/>
      <c r="F179" s="674" t="inlineStr">
        <is>
          <t>BOUCHRA EL AOUMARI  -  Assistante de Rédaction</t>
        </is>
      </c>
      <c r="G179" s="675" t="inlineStr">
        <is>
          <t>VALIDE</t>
        </is>
      </c>
      <c r="H179" s="672" t="inlineStr">
        <is>
          <t>APPROUVE</t>
        </is>
      </c>
      <c r="I179" s="672" t="n"/>
      <c r="J179" s="675" t="inlineStr">
        <is>
          <t>NON CONCERNE</t>
        </is>
      </c>
      <c r="K179" s="672" t="inlineStr">
        <is>
          <t>Ordinaire</t>
        </is>
      </c>
      <c r="L179" s="676" t="inlineStr">
        <is>
          <t>FONCTIONNEMENT</t>
        </is>
      </c>
      <c r="M179" s="676" t="inlineStr">
        <is>
          <t xml:space="preserve">Prestations de service
Achat prestations de services locales - personnes physiques </t>
        </is>
      </c>
      <c r="N179" s="677" t="n"/>
      <c r="O179" s="678" t="n"/>
      <c r="P179" s="678" t="n"/>
      <c r="Q179" s="672" t="inlineStr">
        <is>
          <t>RECONDUCTION</t>
        </is>
      </c>
      <c r="R179" s="679" t="n"/>
      <c r="S179" s="680" t="n"/>
      <c r="T179" s="681" t="inlineStr">
        <is>
          <t>BOUCHRA EL AOUMARI</t>
        </is>
      </c>
      <c r="U179" s="672" t="n">
        <v>2026</v>
      </c>
      <c r="V179" s="680" t="n">
        <v>46387</v>
      </c>
      <c r="W179" s="680" t="n"/>
      <c r="X179" s="680" t="n">
        <v>46024</v>
      </c>
      <c r="Y179" s="677" t="n">
        <v>193939.44</v>
      </c>
      <c r="Z179" s="678" t="n"/>
      <c r="AA179" s="678">
        <f>Y179</f>
        <v/>
      </c>
      <c r="AB179" s="678" t="n"/>
      <c r="AC179" s="678">
        <f>Y179</f>
        <v/>
      </c>
      <c r="AD179" s="678">
        <f>AA179</f>
        <v/>
      </c>
      <c r="AE179" s="682" t="inlineStr">
        <is>
          <t>ENGAGE</t>
        </is>
      </c>
      <c r="AF179" s="681" t="n"/>
      <c r="AG179" s="678" t="n"/>
      <c r="AH179" s="678" t="n"/>
      <c r="AI179" s="678" t="n"/>
      <c r="AJ179" s="678" t="n"/>
      <c r="AK179" s="683" t="n"/>
      <c r="AL179" s="683" t="n"/>
      <c r="AM179" s="681" t="inlineStr">
        <is>
          <t>Manque n° contrat</t>
        </is>
      </c>
      <c r="AN179" s="684" t="n"/>
      <c r="AO179" s="685" t="n"/>
      <c r="AP179" s="686" t="n"/>
      <c r="AQ179" s="686" t="n"/>
      <c r="AR179" s="23" t="n"/>
      <c r="AS179" s="686" t="n"/>
    </row>
    <row r="180" ht="50.55" customHeight="1" s="392">
      <c r="A180" s="672" t="n">
        <v>2026</v>
      </c>
      <c r="B180" s="673" t="inlineStr">
        <is>
          <t>DRPSD</t>
        </is>
      </c>
      <c r="C180" s="673" t="inlineStr">
        <is>
          <t>PV N° : 01RC2025-DRPSD-SNRTNEWS</t>
        </is>
      </c>
      <c r="D180" s="672" t="inlineStr">
        <is>
          <t>CONTRAT</t>
        </is>
      </c>
      <c r="E180" s="672" t="n"/>
      <c r="F180" s="674" t="inlineStr">
        <is>
          <t>MOHAMMED ELASRI  -  Chef Monteur</t>
        </is>
      </c>
      <c r="G180" s="675" t="inlineStr">
        <is>
          <t>VALIDE</t>
        </is>
      </c>
      <c r="H180" s="672" t="inlineStr">
        <is>
          <t>APPROUVE</t>
        </is>
      </c>
      <c r="I180" s="672" t="n"/>
      <c r="J180" s="675" t="inlineStr">
        <is>
          <t>NON CONCERNE</t>
        </is>
      </c>
      <c r="K180" s="672" t="inlineStr">
        <is>
          <t>Ordinaire</t>
        </is>
      </c>
      <c r="L180" s="676" t="inlineStr">
        <is>
          <t>FONCTIONNEMENT</t>
        </is>
      </c>
      <c r="M180" s="676" t="inlineStr">
        <is>
          <t xml:space="preserve">Prestations de service
Achat prestations de services locales - personnes physiques </t>
        </is>
      </c>
      <c r="N180" s="677" t="n"/>
      <c r="O180" s="678" t="n"/>
      <c r="P180" s="678" t="n"/>
      <c r="Q180" s="672" t="inlineStr">
        <is>
          <t>RECONDUCTION</t>
        </is>
      </c>
      <c r="R180" s="679" t="n"/>
      <c r="S180" s="680" t="n"/>
      <c r="T180" s="681" t="inlineStr">
        <is>
          <t>MOHAMMED ELASRI</t>
        </is>
      </c>
      <c r="U180" s="672" t="n">
        <v>2026</v>
      </c>
      <c r="V180" s="680" t="n">
        <v>46387</v>
      </c>
      <c r="W180" s="680" t="n"/>
      <c r="X180" s="680" t="n">
        <v>46024</v>
      </c>
      <c r="Y180" s="677" t="n">
        <v>240000</v>
      </c>
      <c r="Z180" s="678" t="n"/>
      <c r="AA180" s="678">
        <f>Y180</f>
        <v/>
      </c>
      <c r="AB180" s="678" t="n"/>
      <c r="AC180" s="678">
        <f>Y180</f>
        <v/>
      </c>
      <c r="AD180" s="678">
        <f>AA180</f>
        <v/>
      </c>
      <c r="AE180" s="682" t="inlineStr">
        <is>
          <t>ENGAGE</t>
        </is>
      </c>
      <c r="AF180" s="681" t="n"/>
      <c r="AG180" s="678" t="n"/>
      <c r="AH180" s="678" t="n"/>
      <c r="AI180" s="678" t="n"/>
      <c r="AJ180" s="678" t="n"/>
      <c r="AK180" s="683" t="n"/>
      <c r="AL180" s="683" t="n"/>
      <c r="AM180" s="681" t="inlineStr">
        <is>
          <t>Manque n° contrat</t>
        </is>
      </c>
      <c r="AN180" s="684" t="n"/>
      <c r="AO180" s="685" t="n"/>
      <c r="AP180" s="686" t="n"/>
      <c r="AQ180" s="686" t="n"/>
      <c r="AR180" s="23" t="n"/>
      <c r="AS180" s="686" t="n"/>
    </row>
    <row r="181" ht="50.55" customHeight="1" s="392">
      <c r="A181" s="672" t="n">
        <v>2026</v>
      </c>
      <c r="B181" s="673" t="inlineStr">
        <is>
          <t>DRPSD</t>
        </is>
      </c>
      <c r="C181" s="673" t="inlineStr">
        <is>
          <t>PV N° : 01RC2025-DRPSD-SNRTNEWS</t>
        </is>
      </c>
      <c r="D181" s="672" t="inlineStr">
        <is>
          <t>CONTRAT</t>
        </is>
      </c>
      <c r="E181" s="672" t="n"/>
      <c r="F181" s="674" t="inlineStr">
        <is>
          <t>MOUSSA MATROUF  -  Secrétaire de Rédaction</t>
        </is>
      </c>
      <c r="G181" s="675" t="inlineStr">
        <is>
          <t>VALIDE</t>
        </is>
      </c>
      <c r="H181" s="672" t="inlineStr">
        <is>
          <t>APPROUVE</t>
        </is>
      </c>
      <c r="I181" s="672" t="n"/>
      <c r="J181" s="675" t="inlineStr">
        <is>
          <t>NON CONCERNE</t>
        </is>
      </c>
      <c r="K181" s="672" t="inlineStr">
        <is>
          <t>Ordinaire</t>
        </is>
      </c>
      <c r="L181" s="676" t="inlineStr">
        <is>
          <t>FONCTIONNEMENT</t>
        </is>
      </c>
      <c r="M181" s="676" t="inlineStr">
        <is>
          <t xml:space="preserve">Prestations de service
Achat prestations de services locales - personnes physiques </t>
        </is>
      </c>
      <c r="N181" s="677" t="n"/>
      <c r="O181" s="678" t="n"/>
      <c r="P181" s="678" t="n"/>
      <c r="Q181" s="672" t="inlineStr">
        <is>
          <t>RECONDUCTION</t>
        </is>
      </c>
      <c r="R181" s="679" t="n"/>
      <c r="S181" s="680" t="n"/>
      <c r="T181" s="681" t="inlineStr">
        <is>
          <t>MOUSSA MATROUF</t>
        </is>
      </c>
      <c r="U181" s="672" t="n">
        <v>2026</v>
      </c>
      <c r="V181" s="680" t="n">
        <v>46387</v>
      </c>
      <c r="W181" s="680" t="n"/>
      <c r="X181" s="680" t="n">
        <v>46024</v>
      </c>
      <c r="Y181" s="677" t="n">
        <v>377142.72</v>
      </c>
      <c r="Z181" s="678" t="n"/>
      <c r="AA181" s="678">
        <f>Y181</f>
        <v/>
      </c>
      <c r="AB181" s="678" t="n"/>
      <c r="AC181" s="678">
        <f>Y181</f>
        <v/>
      </c>
      <c r="AD181" s="678">
        <f>AA181</f>
        <v/>
      </c>
      <c r="AE181" s="682" t="inlineStr">
        <is>
          <t>ENGAGE</t>
        </is>
      </c>
      <c r="AF181" s="681" t="n"/>
      <c r="AG181" s="678" t="n"/>
      <c r="AH181" s="678" t="n"/>
      <c r="AI181" s="678" t="n"/>
      <c r="AJ181" s="678" t="n"/>
      <c r="AK181" s="683" t="n"/>
      <c r="AL181" s="683" t="n"/>
      <c r="AM181" s="681" t="inlineStr">
        <is>
          <t>Manque n° contrat</t>
        </is>
      </c>
      <c r="AN181" s="684" t="n"/>
      <c r="AO181" s="685" t="n"/>
      <c r="AP181" s="686" t="n"/>
      <c r="AQ181" s="686" t="n"/>
      <c r="AR181" s="23" t="n"/>
      <c r="AS181" s="686" t="n"/>
    </row>
    <row r="182" ht="50.55" customHeight="1" s="392">
      <c r="A182" s="672" t="n">
        <v>2026</v>
      </c>
      <c r="B182" s="673" t="inlineStr">
        <is>
          <t>DRPSD</t>
        </is>
      </c>
      <c r="C182" s="673" t="inlineStr">
        <is>
          <t>PV N° : 01RC2025-DRPSD-SNRTNEWS</t>
        </is>
      </c>
      <c r="D182" s="672" t="inlineStr">
        <is>
          <t>CONTRAT</t>
        </is>
      </c>
      <c r="E182" s="672" t="n"/>
      <c r="F182" s="674" t="inlineStr">
        <is>
          <t>MUSTAPHA AZOUGAH  -  Secrétaire de Rédaction</t>
        </is>
      </c>
      <c r="G182" s="675" t="inlineStr">
        <is>
          <t>VALIDE</t>
        </is>
      </c>
      <c r="H182" s="672" t="inlineStr">
        <is>
          <t>APPROUVE</t>
        </is>
      </c>
      <c r="I182" s="672" t="n"/>
      <c r="J182" s="675" t="inlineStr">
        <is>
          <t>NON CONCERNE</t>
        </is>
      </c>
      <c r="K182" s="672" t="inlineStr">
        <is>
          <t>Ordinaire</t>
        </is>
      </c>
      <c r="L182" s="676" t="inlineStr">
        <is>
          <t>FONCTIONNEMENT</t>
        </is>
      </c>
      <c r="M182" s="676" t="inlineStr">
        <is>
          <t xml:space="preserve">Prestations de service
Achat prestations de services locales - personnes physiques </t>
        </is>
      </c>
      <c r="N182" s="677" t="n"/>
      <c r="O182" s="678" t="n"/>
      <c r="P182" s="678" t="n"/>
      <c r="Q182" s="672" t="inlineStr">
        <is>
          <t>RECONDUCTION</t>
        </is>
      </c>
      <c r="R182" s="679" t="n"/>
      <c r="S182" s="680" t="n"/>
      <c r="T182" s="681" t="inlineStr">
        <is>
          <t>MUSTAPHA AZOUGAH</t>
        </is>
      </c>
      <c r="U182" s="672" t="n">
        <v>2026</v>
      </c>
      <c r="V182" s="680" t="n">
        <v>46387</v>
      </c>
      <c r="W182" s="680" t="n"/>
      <c r="X182" s="680" t="n">
        <v>46024</v>
      </c>
      <c r="Y182" s="677" t="n">
        <v>342857.04</v>
      </c>
      <c r="Z182" s="678" t="n"/>
      <c r="AA182" s="678">
        <f>Y182</f>
        <v/>
      </c>
      <c r="AB182" s="678" t="n"/>
      <c r="AC182" s="678">
        <f>Y182</f>
        <v/>
      </c>
      <c r="AD182" s="678">
        <f>AA182</f>
        <v/>
      </c>
      <c r="AE182" s="682" t="inlineStr">
        <is>
          <t>ENGAGE</t>
        </is>
      </c>
      <c r="AF182" s="681" t="n"/>
      <c r="AG182" s="678" t="n"/>
      <c r="AH182" s="678" t="n"/>
      <c r="AI182" s="678" t="n"/>
      <c r="AJ182" s="678" t="n"/>
      <c r="AK182" s="683" t="n"/>
      <c r="AL182" s="683" t="n"/>
      <c r="AM182" s="681" t="inlineStr">
        <is>
          <t>Manque n° contrat</t>
        </is>
      </c>
      <c r="AN182" s="684" t="n"/>
      <c r="AO182" s="685" t="n"/>
      <c r="AP182" s="686" t="n"/>
      <c r="AQ182" s="686" t="n"/>
      <c r="AR182" s="23" t="n"/>
      <c r="AS182" s="686" t="n"/>
    </row>
    <row r="183" ht="50.55" customHeight="1" s="392">
      <c r="A183" s="672" t="n">
        <v>2026</v>
      </c>
      <c r="B183" s="673" t="inlineStr">
        <is>
          <t>DRPSD</t>
        </is>
      </c>
      <c r="C183" s="673" t="inlineStr">
        <is>
          <t>PV N° : 01RC2025-DRPSD-SNRTNEWS</t>
        </is>
      </c>
      <c r="D183" s="672" t="inlineStr">
        <is>
          <t>CONTRAT</t>
        </is>
      </c>
      <c r="E183" s="672" t="n"/>
      <c r="F183" s="674" t="inlineStr">
        <is>
          <t>WALID KDIDIR -  Monteur - Infographiste</t>
        </is>
      </c>
      <c r="G183" s="675" t="inlineStr">
        <is>
          <t>VALIDE</t>
        </is>
      </c>
      <c r="H183" s="672" t="inlineStr">
        <is>
          <t>APPROUVE</t>
        </is>
      </c>
      <c r="I183" s="672" t="n"/>
      <c r="J183" s="675" t="inlineStr">
        <is>
          <t>NON CONCERNE</t>
        </is>
      </c>
      <c r="K183" s="672" t="inlineStr">
        <is>
          <t>Ordinaire</t>
        </is>
      </c>
      <c r="L183" s="676" t="inlineStr">
        <is>
          <t>FONCTIONNEMENT</t>
        </is>
      </c>
      <c r="M183" s="676" t="inlineStr">
        <is>
          <t xml:space="preserve">Prestations de service
Achat prestations de services locales - personnes physiques </t>
        </is>
      </c>
      <c r="N183" s="677" t="n"/>
      <c r="O183" s="678" t="n"/>
      <c r="P183" s="678" t="n"/>
      <c r="Q183" s="672" t="inlineStr">
        <is>
          <t>RECONDUCTION</t>
        </is>
      </c>
      <c r="R183" s="679" t="n"/>
      <c r="S183" s="680" t="n"/>
      <c r="T183" s="681" t="inlineStr">
        <is>
          <t>WALID KDIDIR</t>
        </is>
      </c>
      <c r="U183" s="672" t="n">
        <v>2026</v>
      </c>
      <c r="V183" s="680" t="n">
        <v>46387</v>
      </c>
      <c r="W183" s="680" t="n"/>
      <c r="X183" s="680" t="n">
        <v>46024</v>
      </c>
      <c r="Y183" s="677" t="n">
        <v>126000</v>
      </c>
      <c r="Z183" s="678" t="n"/>
      <c r="AA183" s="678">
        <f>Y183</f>
        <v/>
      </c>
      <c r="AB183" s="678" t="n"/>
      <c r="AC183" s="678">
        <f>Y183</f>
        <v/>
      </c>
      <c r="AD183" s="678">
        <f>AA183</f>
        <v/>
      </c>
      <c r="AE183" s="682" t="inlineStr">
        <is>
          <t>ENGAGE</t>
        </is>
      </c>
      <c r="AF183" s="681" t="n"/>
      <c r="AG183" s="678" t="n"/>
      <c r="AH183" s="678" t="n"/>
      <c r="AI183" s="678" t="n"/>
      <c r="AJ183" s="678" t="n"/>
      <c r="AK183" s="683" t="n"/>
      <c r="AL183" s="683" t="n"/>
      <c r="AM183" s="681" t="inlineStr">
        <is>
          <t>Manque n° contrat</t>
        </is>
      </c>
      <c r="AN183" s="684" t="n"/>
      <c r="AO183" s="685" t="n"/>
      <c r="AP183" s="686" t="n"/>
      <c r="AQ183" s="686" t="n"/>
      <c r="AR183" s="23" t="n"/>
      <c r="AS183" s="686" t="n"/>
    </row>
    <row r="184" ht="50.55" customHeight="1" s="392">
      <c r="A184" s="672" t="n">
        <v>2026</v>
      </c>
      <c r="B184" s="673" t="inlineStr">
        <is>
          <t>DRPSD</t>
        </is>
      </c>
      <c r="C184" s="673" t="inlineStr">
        <is>
          <t>PV N° : 01RC2025-DRPSD-SNRTNEWS</t>
        </is>
      </c>
      <c r="D184" s="672" t="inlineStr">
        <is>
          <t>CONTRAT</t>
        </is>
      </c>
      <c r="E184" s="672" t="n"/>
      <c r="F184" s="674" t="inlineStr">
        <is>
          <t>HAMZA BAMMOU  -  Journaliste</t>
        </is>
      </c>
      <c r="G184" s="675" t="inlineStr">
        <is>
          <t>VALIDE</t>
        </is>
      </c>
      <c r="H184" s="672" t="inlineStr">
        <is>
          <t>APPROUVE</t>
        </is>
      </c>
      <c r="I184" s="672" t="n"/>
      <c r="J184" s="675" t="inlineStr">
        <is>
          <t>NON CONCERNE</t>
        </is>
      </c>
      <c r="K184" s="672" t="inlineStr">
        <is>
          <t>Ordinaire</t>
        </is>
      </c>
      <c r="L184" s="676" t="inlineStr">
        <is>
          <t>FONCTIONNEMENT</t>
        </is>
      </c>
      <c r="M184" s="676" t="inlineStr">
        <is>
          <t xml:space="preserve">Prestations de service
Achat prestations de services locales - personnes physiques </t>
        </is>
      </c>
      <c r="N184" s="677" t="n"/>
      <c r="O184" s="678" t="n"/>
      <c r="P184" s="678" t="n"/>
      <c r="Q184" s="672" t="inlineStr">
        <is>
          <t>RECONDUCTION</t>
        </is>
      </c>
      <c r="R184" s="679" t="n"/>
      <c r="S184" s="680" t="n"/>
      <c r="T184" s="681" t="inlineStr">
        <is>
          <t>HAMZA BAMMOU</t>
        </is>
      </c>
      <c r="U184" s="672" t="n">
        <v>2026</v>
      </c>
      <c r="V184" s="680" t="n">
        <v>46387</v>
      </c>
      <c r="W184" s="680" t="n"/>
      <c r="X184" s="680" t="n">
        <v>46024</v>
      </c>
      <c r="Y184" s="677" t="n">
        <v>126000</v>
      </c>
      <c r="Z184" s="678" t="n"/>
      <c r="AA184" s="678">
        <f>Y184</f>
        <v/>
      </c>
      <c r="AB184" s="678" t="n"/>
      <c r="AC184" s="678">
        <f>Y184</f>
        <v/>
      </c>
      <c r="AD184" s="678">
        <f>AA184</f>
        <v/>
      </c>
      <c r="AE184" s="682" t="inlineStr">
        <is>
          <t>ENGAGE</t>
        </is>
      </c>
      <c r="AF184" s="681" t="n"/>
      <c r="AG184" s="678" t="n"/>
      <c r="AH184" s="678" t="n"/>
      <c r="AI184" s="678" t="n"/>
      <c r="AJ184" s="678" t="n"/>
      <c r="AK184" s="683" t="n"/>
      <c r="AL184" s="683" t="n"/>
      <c r="AM184" s="681" t="inlineStr">
        <is>
          <t>Manque n° contrat</t>
        </is>
      </c>
      <c r="AN184" s="684" t="n"/>
      <c r="AO184" s="685" t="n"/>
      <c r="AP184" s="686" t="n"/>
      <c r="AQ184" s="686" t="n"/>
      <c r="AR184" s="23" t="n"/>
      <c r="AS184" s="686" t="n"/>
    </row>
    <row r="185" ht="50.55" customHeight="1" s="392">
      <c r="A185" s="672" t="n">
        <v>2026</v>
      </c>
      <c r="B185" s="673" t="inlineStr">
        <is>
          <t>TAMAZIGHT</t>
        </is>
      </c>
      <c r="C185" s="673" t="inlineStr">
        <is>
          <t>PV N° : 01RC2025- DCPCART</t>
        </is>
      </c>
      <c r="D185" s="672" t="inlineStr">
        <is>
          <t>CONTRAT</t>
        </is>
      </c>
      <c r="E185" s="672" t="n"/>
      <c r="F185" s="674" t="inlineStr">
        <is>
          <t>NARJISS EL GOURARI  -  Maquilleuse coiffeuse et habilleuse sénior</t>
        </is>
      </c>
      <c r="G185" s="675" t="inlineStr">
        <is>
          <t>VALIDE</t>
        </is>
      </c>
      <c r="H185" s="672" t="inlineStr">
        <is>
          <t>APPROUVE</t>
        </is>
      </c>
      <c r="I185" s="672" t="n"/>
      <c r="J185" s="675" t="inlineStr">
        <is>
          <t>NON CONCERNE</t>
        </is>
      </c>
      <c r="K185" s="672" t="inlineStr">
        <is>
          <t>Ordinaire</t>
        </is>
      </c>
      <c r="L185" s="676" t="inlineStr">
        <is>
          <t>FONCTIONNEMENT</t>
        </is>
      </c>
      <c r="M185" s="676" t="inlineStr">
        <is>
          <t xml:space="preserve">Prestations de service
Achat prestations de services locales - personnes physiques </t>
        </is>
      </c>
      <c r="N185" s="677" t="n"/>
      <c r="O185" s="678" t="n"/>
      <c r="P185" s="678" t="n"/>
      <c r="Q185" s="672" t="inlineStr">
        <is>
          <t>RECONDUCTION</t>
        </is>
      </c>
      <c r="R185" s="679" t="n"/>
      <c r="S185" s="680" t="n"/>
      <c r="T185" s="681" t="inlineStr">
        <is>
          <t>NARJISS EL GOURARI</t>
        </is>
      </c>
      <c r="U185" s="672" t="n">
        <v>2026</v>
      </c>
      <c r="V185" s="680" t="n">
        <v>46387</v>
      </c>
      <c r="W185" s="680" t="n"/>
      <c r="X185" s="680" t="n">
        <v>46024</v>
      </c>
      <c r="Y185" s="677" t="n">
        <v>84000</v>
      </c>
      <c r="Z185" s="678" t="n"/>
      <c r="AA185" s="678">
        <f>Y185</f>
        <v/>
      </c>
      <c r="AB185" s="678" t="n"/>
      <c r="AC185" s="678">
        <f>Y185</f>
        <v/>
      </c>
      <c r="AD185" s="678">
        <f>AA185</f>
        <v/>
      </c>
      <c r="AE185" s="682" t="inlineStr">
        <is>
          <t>ENGAGE</t>
        </is>
      </c>
      <c r="AF185" s="681" t="n"/>
      <c r="AG185" s="678" t="n"/>
      <c r="AH185" s="678" t="n"/>
      <c r="AI185" s="678" t="n"/>
      <c r="AJ185" s="678" t="n"/>
      <c r="AK185" s="683" t="n"/>
      <c r="AL185" s="683" t="n"/>
      <c r="AM185" s="681" t="inlineStr">
        <is>
          <t>Manque n° contrat</t>
        </is>
      </c>
      <c r="AN185" s="684" t="n"/>
      <c r="AO185" s="685" t="n"/>
      <c r="AP185" s="686" t="n"/>
      <c r="AQ185" s="686" t="n"/>
      <c r="AR185" s="23" t="n"/>
      <c r="AS185" s="686" t="n"/>
    </row>
    <row r="186" ht="50.55" customHeight="1" s="392">
      <c r="A186" s="672" t="n">
        <v>2026</v>
      </c>
      <c r="B186" s="673" t="inlineStr">
        <is>
          <t>TAMAZIGHT</t>
        </is>
      </c>
      <c r="C186" s="673" t="inlineStr">
        <is>
          <t>PV N° : 01RC2025- DCPCART</t>
        </is>
      </c>
      <c r="D186" s="672" t="inlineStr">
        <is>
          <t>CONTRAT</t>
        </is>
      </c>
      <c r="E186" s="672" t="n"/>
      <c r="F186" s="674" t="inlineStr">
        <is>
          <t>KARIM DRISS AZIZ  -  Infographiste/Créer et gérer les playlists pour le JT</t>
        </is>
      </c>
      <c r="G186" s="675" t="inlineStr">
        <is>
          <t>VALIDE</t>
        </is>
      </c>
      <c r="H186" s="672" t="inlineStr">
        <is>
          <t>APPROUVE</t>
        </is>
      </c>
      <c r="I186" s="672" t="n"/>
      <c r="J186" s="675" t="inlineStr">
        <is>
          <t>NON CONCERNE</t>
        </is>
      </c>
      <c r="K186" s="672" t="inlineStr">
        <is>
          <t>Ordinaire</t>
        </is>
      </c>
      <c r="L186" s="676" t="inlineStr">
        <is>
          <t>FONCTIONNEMENT</t>
        </is>
      </c>
      <c r="M186" s="676" t="inlineStr">
        <is>
          <t xml:space="preserve">Prestations de service
Achat prestations de services locales - personnes physiques </t>
        </is>
      </c>
      <c r="N186" s="677" t="n"/>
      <c r="O186" s="678" t="n"/>
      <c r="P186" s="678" t="n"/>
      <c r="Q186" s="672" t="inlineStr">
        <is>
          <t>RECONDUCTION</t>
        </is>
      </c>
      <c r="R186" s="679" t="n"/>
      <c r="S186" s="680" t="n"/>
      <c r="T186" s="681" t="inlineStr">
        <is>
          <t>KARIM DRISS AZIZ</t>
        </is>
      </c>
      <c r="U186" s="672" t="n">
        <v>2026</v>
      </c>
      <c r="V186" s="680" t="n">
        <v>46387</v>
      </c>
      <c r="W186" s="680" t="n"/>
      <c r="X186" s="680" t="n">
        <v>46024</v>
      </c>
      <c r="Y186" s="677" t="n">
        <v>109200</v>
      </c>
      <c r="Z186" s="678" t="n"/>
      <c r="AA186" s="678">
        <f>Y186</f>
        <v/>
      </c>
      <c r="AB186" s="678" t="n"/>
      <c r="AC186" s="678">
        <f>Y186</f>
        <v/>
      </c>
      <c r="AD186" s="678">
        <f>AA186</f>
        <v/>
      </c>
      <c r="AE186" s="682" t="inlineStr">
        <is>
          <t>ENGAGE</t>
        </is>
      </c>
      <c r="AF186" s="681" t="n"/>
      <c r="AG186" s="678" t="n"/>
      <c r="AH186" s="678" t="n"/>
      <c r="AI186" s="678" t="n"/>
      <c r="AJ186" s="678" t="n"/>
      <c r="AK186" s="683" t="n"/>
      <c r="AL186" s="683" t="n"/>
      <c r="AM186" s="681" t="inlineStr">
        <is>
          <t>Manque n° contrat</t>
        </is>
      </c>
      <c r="AN186" s="684" t="n"/>
      <c r="AO186" s="685" t="n"/>
      <c r="AP186" s="686" t="n"/>
      <c r="AQ186" s="686" t="n"/>
      <c r="AR186" s="23" t="n"/>
      <c r="AS186" s="686" t="n"/>
    </row>
    <row r="187" ht="50.55" customHeight="1" s="392">
      <c r="A187" s="672" t="n">
        <v>2026</v>
      </c>
      <c r="B187" s="673" t="inlineStr">
        <is>
          <t>TAMAZIGHT</t>
        </is>
      </c>
      <c r="C187" s="673" t="inlineStr">
        <is>
          <t>PV N° : 01RC2025- DCPCART</t>
        </is>
      </c>
      <c r="D187" s="672" t="inlineStr">
        <is>
          <t>CONTRAT</t>
        </is>
      </c>
      <c r="E187" s="672" t="n"/>
      <c r="F187" s="674" t="inlineStr">
        <is>
          <t>FATIMA ID -HAMOU  -  Montage Auto-Promotion et Bandes Annonces, Webmaster</t>
        </is>
      </c>
      <c r="G187" s="675" t="inlineStr">
        <is>
          <t>VALIDE</t>
        </is>
      </c>
      <c r="H187" s="672" t="inlineStr">
        <is>
          <t>APPROUVE</t>
        </is>
      </c>
      <c r="I187" s="672" t="n"/>
      <c r="J187" s="675" t="inlineStr">
        <is>
          <t>NON CONCERNE</t>
        </is>
      </c>
      <c r="K187" s="672" t="inlineStr">
        <is>
          <t>Ordinaire</t>
        </is>
      </c>
      <c r="L187" s="676" t="inlineStr">
        <is>
          <t>FONCTIONNEMENT</t>
        </is>
      </c>
      <c r="M187" s="676" t="inlineStr">
        <is>
          <t xml:space="preserve">Prestations de service
Achat prestations de services locales - personnes physiques </t>
        </is>
      </c>
      <c r="N187" s="677" t="n"/>
      <c r="O187" s="678" t="n"/>
      <c r="P187" s="678" t="n"/>
      <c r="Q187" s="672" t="inlineStr">
        <is>
          <t>RECONDUCTION</t>
        </is>
      </c>
      <c r="R187" s="679" t="n"/>
      <c r="S187" s="680" t="n"/>
      <c r="T187" s="681" t="inlineStr">
        <is>
          <t>FATIMA ID -HAMOU</t>
        </is>
      </c>
      <c r="U187" s="672" t="n">
        <v>2026</v>
      </c>
      <c r="V187" s="680" t="n">
        <v>46387</v>
      </c>
      <c r="W187" s="680" t="n"/>
      <c r="X187" s="680" t="n">
        <v>46024</v>
      </c>
      <c r="Y187" s="677" t="n">
        <v>124800</v>
      </c>
      <c r="Z187" s="678" t="n"/>
      <c r="AA187" s="678">
        <f>Y187</f>
        <v/>
      </c>
      <c r="AB187" s="678" t="n"/>
      <c r="AC187" s="678">
        <f>Y187</f>
        <v/>
      </c>
      <c r="AD187" s="678">
        <f>AA187</f>
        <v/>
      </c>
      <c r="AE187" s="682" t="inlineStr">
        <is>
          <t>ENGAGE</t>
        </is>
      </c>
      <c r="AF187" s="681" t="n"/>
      <c r="AG187" s="678" t="n"/>
      <c r="AH187" s="678" t="n"/>
      <c r="AI187" s="678" t="n"/>
      <c r="AJ187" s="678" t="n"/>
      <c r="AK187" s="683" t="n"/>
      <c r="AL187" s="683" t="n"/>
      <c r="AM187" s="681" t="inlineStr">
        <is>
          <t>Manque n° contrat</t>
        </is>
      </c>
      <c r="AN187" s="684" t="n"/>
      <c r="AO187" s="685" t="n"/>
      <c r="AP187" s="686" t="n"/>
      <c r="AQ187" s="686" t="n"/>
      <c r="AR187" s="23" t="n"/>
      <c r="AS187" s="686" t="n"/>
    </row>
    <row r="188" ht="50.55" customHeight="1" s="392">
      <c r="A188" s="672" t="n">
        <v>2026</v>
      </c>
      <c r="B188" s="673" t="inlineStr">
        <is>
          <t>TAMAZIGHT</t>
        </is>
      </c>
      <c r="C188" s="673" t="inlineStr">
        <is>
          <t>PV N° : 01RC2025- DCPCART</t>
        </is>
      </c>
      <c r="D188" s="672" t="inlineStr">
        <is>
          <t>CONTRAT</t>
        </is>
      </c>
      <c r="E188" s="672" t="n"/>
      <c r="F188" s="674" t="inlineStr">
        <is>
          <t>YOUSSEF CHAIH  -  Pré-PAD/Assistant réalisateur</t>
        </is>
      </c>
      <c r="G188" s="675" t="inlineStr">
        <is>
          <t>VALIDE</t>
        </is>
      </c>
      <c r="H188" s="672" t="inlineStr">
        <is>
          <t>APPROUVE</t>
        </is>
      </c>
      <c r="I188" s="672" t="n"/>
      <c r="J188" s="675" t="inlineStr">
        <is>
          <t>NON CONCERNE</t>
        </is>
      </c>
      <c r="K188" s="672" t="inlineStr">
        <is>
          <t>Ordinaire</t>
        </is>
      </c>
      <c r="L188" s="676" t="inlineStr">
        <is>
          <t>FONCTIONNEMENT</t>
        </is>
      </c>
      <c r="M188" s="676" t="inlineStr">
        <is>
          <t xml:space="preserve">Prestations de service
Achat prestations de services locales - personnes physiques </t>
        </is>
      </c>
      <c r="N188" s="677" t="n"/>
      <c r="O188" s="678" t="n"/>
      <c r="P188" s="678" t="n"/>
      <c r="Q188" s="672" t="inlineStr">
        <is>
          <t>RECONDUCTION</t>
        </is>
      </c>
      <c r="R188" s="679" t="n"/>
      <c r="S188" s="680" t="n"/>
      <c r="T188" s="681" t="inlineStr">
        <is>
          <t>YOUSSEF CHAIH</t>
        </is>
      </c>
      <c r="U188" s="672" t="n">
        <v>2026</v>
      </c>
      <c r="V188" s="680" t="n">
        <v>46387</v>
      </c>
      <c r="W188" s="680" t="n"/>
      <c r="X188" s="680" t="n">
        <v>46024</v>
      </c>
      <c r="Y188" s="677" t="n">
        <v>85800</v>
      </c>
      <c r="Z188" s="678" t="n"/>
      <c r="AA188" s="678">
        <f>Y188</f>
        <v/>
      </c>
      <c r="AB188" s="678" t="n"/>
      <c r="AC188" s="678">
        <f>Y188</f>
        <v/>
      </c>
      <c r="AD188" s="678">
        <f>AA188</f>
        <v/>
      </c>
      <c r="AE188" s="682" t="inlineStr">
        <is>
          <t>ENGAGE</t>
        </is>
      </c>
      <c r="AF188" s="681" t="n"/>
      <c r="AG188" s="678" t="n"/>
      <c r="AH188" s="678" t="n"/>
      <c r="AI188" s="678" t="n"/>
      <c r="AJ188" s="678" t="n"/>
      <c r="AK188" s="683" t="n"/>
      <c r="AL188" s="683" t="n"/>
      <c r="AM188" s="681" t="inlineStr">
        <is>
          <t>Manque n° contrat</t>
        </is>
      </c>
      <c r="AN188" s="684" t="n"/>
      <c r="AO188" s="685" t="n"/>
      <c r="AP188" s="686" t="n"/>
      <c r="AQ188" s="686" t="n"/>
      <c r="AR188" s="23" t="n"/>
      <c r="AS188" s="686" t="n"/>
    </row>
    <row r="189" ht="50.55" customHeight="1" s="392">
      <c r="A189" s="672" t="n">
        <v>2026</v>
      </c>
      <c r="B189" s="673" t="inlineStr">
        <is>
          <t>TAMAZIGHT</t>
        </is>
      </c>
      <c r="C189" s="673" t="inlineStr">
        <is>
          <t>PV N° : 01RC2025- DCPCART</t>
        </is>
      </c>
      <c r="D189" s="672" t="inlineStr">
        <is>
          <t>CONTRAT</t>
        </is>
      </c>
      <c r="E189" s="672" t="n"/>
      <c r="F189" s="674" t="inlineStr">
        <is>
          <t>CHIHAL FOUAD  -  Réalisateur</t>
        </is>
      </c>
      <c r="G189" s="675" t="inlineStr">
        <is>
          <t>VALIDE</t>
        </is>
      </c>
      <c r="H189" s="672" t="inlineStr">
        <is>
          <t>APPROUVE</t>
        </is>
      </c>
      <c r="I189" s="672" t="n"/>
      <c r="J189" s="675" t="inlineStr">
        <is>
          <t>NON CONCERNE</t>
        </is>
      </c>
      <c r="K189" s="672" t="inlineStr">
        <is>
          <t>Ordinaire</t>
        </is>
      </c>
      <c r="L189" s="676" t="inlineStr">
        <is>
          <t>FONCTIONNEMENT</t>
        </is>
      </c>
      <c r="M189" s="676" t="inlineStr">
        <is>
          <t xml:space="preserve">Prestations de service
Achat prestations de services locales - personnes physiques </t>
        </is>
      </c>
      <c r="N189" s="677" t="n"/>
      <c r="O189" s="678" t="n"/>
      <c r="P189" s="678" t="n"/>
      <c r="Q189" s="672" t="inlineStr">
        <is>
          <t>RECONDUCTION</t>
        </is>
      </c>
      <c r="R189" s="679" t="n"/>
      <c r="S189" s="680" t="n"/>
      <c r="T189" s="681" t="inlineStr">
        <is>
          <t>CHIHAL FOUAD</t>
        </is>
      </c>
      <c r="U189" s="672" t="n">
        <v>2026</v>
      </c>
      <c r="V189" s="680" t="n">
        <v>46387</v>
      </c>
      <c r="W189" s="680" t="n"/>
      <c r="X189" s="680" t="n">
        <v>46024</v>
      </c>
      <c r="Y189" s="677" t="n">
        <v>109200</v>
      </c>
      <c r="Z189" s="678" t="n"/>
      <c r="AA189" s="678">
        <f>Y189</f>
        <v/>
      </c>
      <c r="AB189" s="678" t="n"/>
      <c r="AC189" s="678">
        <f>Y189</f>
        <v/>
      </c>
      <c r="AD189" s="678">
        <f>AA189</f>
        <v/>
      </c>
      <c r="AE189" s="682" t="inlineStr">
        <is>
          <t>ENGAGE</t>
        </is>
      </c>
      <c r="AF189" s="681" t="n"/>
      <c r="AG189" s="678" t="n"/>
      <c r="AH189" s="678" t="n"/>
      <c r="AI189" s="678" t="n"/>
      <c r="AJ189" s="678" t="n"/>
      <c r="AK189" s="683" t="n"/>
      <c r="AL189" s="683" t="n"/>
      <c r="AM189" s="681" t="inlineStr">
        <is>
          <t>Manque n° contrat</t>
        </is>
      </c>
      <c r="AN189" s="684" t="n"/>
      <c r="AO189" s="685" t="n"/>
      <c r="AP189" s="686" t="n"/>
      <c r="AQ189" s="686" t="n"/>
      <c r="AR189" s="23" t="n"/>
      <c r="AS189" s="686" t="n"/>
    </row>
    <row r="190" ht="50.55" customHeight="1" s="392">
      <c r="A190" s="672" t="n">
        <v>2026</v>
      </c>
      <c r="B190" s="673" t="inlineStr">
        <is>
          <t>TAMAZIGHT</t>
        </is>
      </c>
      <c r="C190" s="673" t="inlineStr">
        <is>
          <t>PV N° : 01RC2025- DCPCART</t>
        </is>
      </c>
      <c r="D190" s="672" t="inlineStr">
        <is>
          <t>CONTRAT</t>
        </is>
      </c>
      <c r="E190" s="672" t="n"/>
      <c r="F190" s="674" t="inlineStr">
        <is>
          <t>INSSAF BENTARKA  -  Maquilleuse coiffeuse et habilleuse</t>
        </is>
      </c>
      <c r="G190" s="675" t="inlineStr">
        <is>
          <t>VALIDE</t>
        </is>
      </c>
      <c r="H190" s="672" t="inlineStr">
        <is>
          <t>APPROUVE</t>
        </is>
      </c>
      <c r="I190" s="672" t="n"/>
      <c r="J190" s="675" t="inlineStr">
        <is>
          <t>NON CONCERNE</t>
        </is>
      </c>
      <c r="K190" s="672" t="inlineStr">
        <is>
          <t>Ordinaire</t>
        </is>
      </c>
      <c r="L190" s="676" t="inlineStr">
        <is>
          <t>FONCTIONNEMENT</t>
        </is>
      </c>
      <c r="M190" s="676" t="inlineStr">
        <is>
          <t xml:space="preserve">Prestations de service
Achat prestations de services locales - personnes physiques </t>
        </is>
      </c>
      <c r="N190" s="677" t="n"/>
      <c r="O190" s="678" t="n"/>
      <c r="P190" s="678" t="n"/>
      <c r="Q190" s="672" t="inlineStr">
        <is>
          <t>RECONDUCTION</t>
        </is>
      </c>
      <c r="R190" s="679" t="n"/>
      <c r="S190" s="680" t="n"/>
      <c r="T190" s="681" t="inlineStr">
        <is>
          <t>INSSAF BENTARKA</t>
        </is>
      </c>
      <c r="U190" s="672" t="n">
        <v>2026</v>
      </c>
      <c r="V190" s="680" t="n">
        <v>46387</v>
      </c>
      <c r="W190" s="680" t="n"/>
      <c r="X190" s="680" t="n">
        <v>46024</v>
      </c>
      <c r="Y190" s="677" t="n">
        <v>78000</v>
      </c>
      <c r="Z190" s="678" t="n"/>
      <c r="AA190" s="678">
        <f>Y190</f>
        <v/>
      </c>
      <c r="AB190" s="678" t="n"/>
      <c r="AC190" s="678">
        <f>Y190</f>
        <v/>
      </c>
      <c r="AD190" s="678">
        <f>AA190</f>
        <v/>
      </c>
      <c r="AE190" s="682" t="inlineStr">
        <is>
          <t>ENGAGE</t>
        </is>
      </c>
      <c r="AF190" s="681" t="n"/>
      <c r="AG190" s="678" t="n"/>
      <c r="AH190" s="678" t="n"/>
      <c r="AI190" s="678" t="n"/>
      <c r="AJ190" s="678" t="n"/>
      <c r="AK190" s="683" t="n"/>
      <c r="AL190" s="683" t="n"/>
      <c r="AM190" s="681" t="inlineStr">
        <is>
          <t>Manque n° contrat</t>
        </is>
      </c>
      <c r="AN190" s="684" t="n"/>
      <c r="AO190" s="685" t="n"/>
      <c r="AP190" s="686" t="n"/>
      <c r="AQ190" s="686" t="n"/>
      <c r="AR190" s="23" t="n"/>
      <c r="AS190" s="686" t="n"/>
    </row>
    <row r="191" ht="50.55" customHeight="1" s="392">
      <c r="A191" s="672" t="n">
        <v>2026</v>
      </c>
      <c r="B191" s="673" t="inlineStr">
        <is>
          <t>TAMAZIGHT</t>
        </is>
      </c>
      <c r="C191" s="673" t="inlineStr">
        <is>
          <t>PV N° : 01RC2025- DCPCART</t>
        </is>
      </c>
      <c r="D191" s="672" t="inlineStr">
        <is>
          <t>CONTRAT</t>
        </is>
      </c>
      <c r="E191" s="672" t="n"/>
      <c r="F191" s="674" t="inlineStr">
        <is>
          <t>LAHCEN HERRAF  -  Coordinateur Archives</t>
        </is>
      </c>
      <c r="G191" s="675" t="inlineStr">
        <is>
          <t>VALIDE</t>
        </is>
      </c>
      <c r="H191" s="672" t="inlineStr">
        <is>
          <t>APPROUVE</t>
        </is>
      </c>
      <c r="I191" s="672" t="n"/>
      <c r="J191" s="675" t="inlineStr">
        <is>
          <t>NON CONCERNE</t>
        </is>
      </c>
      <c r="K191" s="672" t="inlineStr">
        <is>
          <t>Ordinaire</t>
        </is>
      </c>
      <c r="L191" s="676" t="inlineStr">
        <is>
          <t>FONCTIONNEMENT</t>
        </is>
      </c>
      <c r="M191" s="676" t="inlineStr">
        <is>
          <t xml:space="preserve">Prestations de service
Achat prestations de services locales - personnes physiques </t>
        </is>
      </c>
      <c r="N191" s="677" t="n"/>
      <c r="O191" s="678" t="n"/>
      <c r="P191" s="678" t="n"/>
      <c r="Q191" s="672" t="inlineStr">
        <is>
          <t>RECONDUCTION</t>
        </is>
      </c>
      <c r="R191" s="679" t="n"/>
      <c r="S191" s="680" t="n"/>
      <c r="T191" s="681" t="inlineStr">
        <is>
          <t>LAHCEN HERRAF</t>
        </is>
      </c>
      <c r="U191" s="672" t="n">
        <v>2026</v>
      </c>
      <c r="V191" s="680" t="n">
        <v>46387</v>
      </c>
      <c r="W191" s="680" t="n"/>
      <c r="X191" s="680" t="n">
        <v>46024</v>
      </c>
      <c r="Y191" s="677" t="n">
        <v>62400</v>
      </c>
      <c r="Z191" s="678" t="n"/>
      <c r="AA191" s="678">
        <f>Y191</f>
        <v/>
      </c>
      <c r="AB191" s="678" t="n"/>
      <c r="AC191" s="678">
        <f>Y191</f>
        <v/>
      </c>
      <c r="AD191" s="678">
        <f>AA191</f>
        <v/>
      </c>
      <c r="AE191" s="682" t="inlineStr">
        <is>
          <t>ENGAGE</t>
        </is>
      </c>
      <c r="AF191" s="681" t="n"/>
      <c r="AG191" s="678" t="n"/>
      <c r="AH191" s="678" t="n"/>
      <c r="AI191" s="678" t="n"/>
      <c r="AJ191" s="678" t="n"/>
      <c r="AK191" s="683" t="n"/>
      <c r="AL191" s="683" t="n"/>
      <c r="AM191" s="681" t="inlineStr">
        <is>
          <t>Manque n° contrat</t>
        </is>
      </c>
      <c r="AN191" s="684" t="n"/>
      <c r="AO191" s="685" t="n"/>
      <c r="AP191" s="686" t="n"/>
      <c r="AQ191" s="686" t="n"/>
      <c r="AR191" s="23" t="n"/>
      <c r="AS191" s="686" t="n"/>
    </row>
    <row r="192" ht="50.55" customHeight="1" s="392">
      <c r="A192" s="672" t="n">
        <v>2026</v>
      </c>
      <c r="B192" s="673" t="inlineStr">
        <is>
          <t>TAMAZIGHT</t>
        </is>
      </c>
      <c r="C192" s="673" t="inlineStr">
        <is>
          <t>PV N° : 01RC2025- DCPCART</t>
        </is>
      </c>
      <c r="D192" s="672" t="inlineStr">
        <is>
          <t>CONTRAT</t>
        </is>
      </c>
      <c r="E192" s="672" t="n"/>
      <c r="F192" s="674" t="inlineStr">
        <is>
          <t>FATIMA DOUIBI  -  Maquilleuse coiffeuse et habilleuse</t>
        </is>
      </c>
      <c r="G192" s="675" t="inlineStr">
        <is>
          <t>VALIDE</t>
        </is>
      </c>
      <c r="H192" s="672" t="inlineStr">
        <is>
          <t>APPROUVE</t>
        </is>
      </c>
      <c r="I192" s="672" t="n"/>
      <c r="J192" s="675" t="inlineStr">
        <is>
          <t>NON CONCERNE</t>
        </is>
      </c>
      <c r="K192" s="672" t="inlineStr">
        <is>
          <t>Ordinaire</t>
        </is>
      </c>
      <c r="L192" s="676" t="inlineStr">
        <is>
          <t>FONCTIONNEMENT</t>
        </is>
      </c>
      <c r="M192" s="676" t="inlineStr">
        <is>
          <t xml:space="preserve">Prestations de service
Achat prestations de services locales - personnes physiques </t>
        </is>
      </c>
      <c r="N192" s="677" t="n"/>
      <c r="O192" s="678" t="n"/>
      <c r="P192" s="678" t="n"/>
      <c r="Q192" s="672" t="inlineStr">
        <is>
          <t>RECONDUCTION</t>
        </is>
      </c>
      <c r="R192" s="679" t="n"/>
      <c r="S192" s="680" t="n"/>
      <c r="T192" s="681" t="inlineStr">
        <is>
          <t>FATIMA DOUIBI</t>
        </is>
      </c>
      <c r="U192" s="672" t="n">
        <v>2026</v>
      </c>
      <c r="V192" s="680" t="n">
        <v>46387</v>
      </c>
      <c r="W192" s="680" t="n"/>
      <c r="X192" s="680" t="n">
        <v>46024</v>
      </c>
      <c r="Y192" s="677" t="n">
        <v>72000</v>
      </c>
      <c r="Z192" s="678" t="n"/>
      <c r="AA192" s="678">
        <f>Y192</f>
        <v/>
      </c>
      <c r="AB192" s="678" t="n"/>
      <c r="AC192" s="678">
        <f>Y192</f>
        <v/>
      </c>
      <c r="AD192" s="678">
        <f>AA192</f>
        <v/>
      </c>
      <c r="AE192" s="682" t="inlineStr">
        <is>
          <t>ENGAGE</t>
        </is>
      </c>
      <c r="AF192" s="681" t="n"/>
      <c r="AG192" s="678" t="n"/>
      <c r="AH192" s="678" t="n"/>
      <c r="AI192" s="678" t="n"/>
      <c r="AJ192" s="678" t="n"/>
      <c r="AK192" s="683" t="n"/>
      <c r="AL192" s="683" t="n"/>
      <c r="AM192" s="681" t="inlineStr">
        <is>
          <t>Manque n° contrat</t>
        </is>
      </c>
      <c r="AN192" s="684" t="n"/>
      <c r="AO192" s="685" t="n"/>
      <c r="AP192" s="686" t="n"/>
      <c r="AQ192" s="686" t="n"/>
      <c r="AR192" s="23" t="n"/>
      <c r="AS192" s="686" t="n"/>
    </row>
    <row r="193" ht="50.55" customHeight="1" s="392">
      <c r="A193" s="672" t="n">
        <v>2026</v>
      </c>
      <c r="B193" s="673" t="inlineStr">
        <is>
          <t>TAMAZIGHT</t>
        </is>
      </c>
      <c r="C193" s="673" t="inlineStr">
        <is>
          <t>PV N° : 01RC2025- DCPCART</t>
        </is>
      </c>
      <c r="D193" s="672" t="inlineStr">
        <is>
          <t>CONTRAT</t>
        </is>
      </c>
      <c r="E193" s="672" t="n"/>
      <c r="F193" s="674" t="inlineStr">
        <is>
          <t>SOUAD HILALI  -  Journaliste</t>
        </is>
      </c>
      <c r="G193" s="675" t="inlineStr">
        <is>
          <t>VALIDE</t>
        </is>
      </c>
      <c r="H193" s="672" t="inlineStr">
        <is>
          <t>APPROUVE</t>
        </is>
      </c>
      <c r="I193" s="672" t="n"/>
      <c r="J193" s="675" t="inlineStr">
        <is>
          <t>NON CONCERNE</t>
        </is>
      </c>
      <c r="K193" s="672" t="inlineStr">
        <is>
          <t>Ordinaire</t>
        </is>
      </c>
      <c r="L193" s="676" t="inlineStr">
        <is>
          <t>FONCTIONNEMENT</t>
        </is>
      </c>
      <c r="M193" s="676" t="inlineStr">
        <is>
          <t xml:space="preserve">Prestations de service
Achat prestations de services locales - personnes physiques </t>
        </is>
      </c>
      <c r="N193" s="677" t="n"/>
      <c r="O193" s="678" t="n"/>
      <c r="P193" s="678" t="n"/>
      <c r="Q193" s="672" t="inlineStr">
        <is>
          <t>RECONDUCTION</t>
        </is>
      </c>
      <c r="R193" s="679" t="n"/>
      <c r="S193" s="680" t="n"/>
      <c r="T193" s="681" t="inlineStr">
        <is>
          <t>SOUAD HILALI</t>
        </is>
      </c>
      <c r="U193" s="672" t="n">
        <v>2026</v>
      </c>
      <c r="V193" s="680" t="n">
        <v>46387</v>
      </c>
      <c r="W193" s="680" t="n"/>
      <c r="X193" s="680" t="n">
        <v>46024</v>
      </c>
      <c r="Y193" s="677" t="n">
        <v>90000</v>
      </c>
      <c r="Z193" s="678" t="n"/>
      <c r="AA193" s="678">
        <f>Y193</f>
        <v/>
      </c>
      <c r="AB193" s="678" t="n"/>
      <c r="AC193" s="678">
        <f>Y193</f>
        <v/>
      </c>
      <c r="AD193" s="678">
        <f>AA193</f>
        <v/>
      </c>
      <c r="AE193" s="682" t="inlineStr">
        <is>
          <t>ENGAGE</t>
        </is>
      </c>
      <c r="AF193" s="681" t="n"/>
      <c r="AG193" s="678" t="n"/>
      <c r="AH193" s="678" t="n"/>
      <c r="AI193" s="678" t="n"/>
      <c r="AJ193" s="678" t="n"/>
      <c r="AK193" s="683" t="n"/>
      <c r="AL193" s="683" t="n"/>
      <c r="AM193" s="681" t="inlineStr">
        <is>
          <t>Manque n° contrat</t>
        </is>
      </c>
      <c r="AN193" s="684" t="n"/>
      <c r="AO193" s="685" t="n"/>
      <c r="AP193" s="686" t="n"/>
      <c r="AQ193" s="686" t="n"/>
      <c r="AR193" s="23" t="n"/>
      <c r="AS193" s="686" t="n"/>
    </row>
    <row r="194" ht="50.55" customHeight="1" s="392">
      <c r="A194" s="672" t="n">
        <v>2026</v>
      </c>
      <c r="B194" s="673" t="inlineStr">
        <is>
          <t>TAMAZIGHT</t>
        </is>
      </c>
      <c r="C194" s="673" t="inlineStr">
        <is>
          <t>PV N° : 01RC2025- DCPCART</t>
        </is>
      </c>
      <c r="D194" s="672" t="inlineStr">
        <is>
          <t>CONTRAT</t>
        </is>
      </c>
      <c r="E194" s="672" t="n"/>
      <c r="F194" s="674" t="inlineStr">
        <is>
          <t>REDA KENZI  -  Chargé de production</t>
        </is>
      </c>
      <c r="G194" s="675" t="inlineStr">
        <is>
          <t>VALIDE</t>
        </is>
      </c>
      <c r="H194" s="672" t="inlineStr">
        <is>
          <t>APPROUVE</t>
        </is>
      </c>
      <c r="I194" s="672" t="n"/>
      <c r="J194" s="675" t="inlineStr">
        <is>
          <t>NON CONCERNE</t>
        </is>
      </c>
      <c r="K194" s="672" t="inlineStr">
        <is>
          <t>Ordinaire</t>
        </is>
      </c>
      <c r="L194" s="676" t="inlineStr">
        <is>
          <t>FONCTIONNEMENT</t>
        </is>
      </c>
      <c r="M194" s="676" t="inlineStr">
        <is>
          <t xml:space="preserve">Prestations de service
Achat prestations de services locales - personnes physiques </t>
        </is>
      </c>
      <c r="N194" s="677" t="n"/>
      <c r="O194" s="678" t="n"/>
      <c r="P194" s="678" t="n"/>
      <c r="Q194" s="672" t="inlineStr">
        <is>
          <t>RECONDUCTION</t>
        </is>
      </c>
      <c r="R194" s="679" t="n"/>
      <c r="S194" s="680" t="n"/>
      <c r="T194" s="681" t="inlineStr">
        <is>
          <t>REDA KENZI</t>
        </is>
      </c>
      <c r="U194" s="672" t="n">
        <v>2026</v>
      </c>
      <c r="V194" s="680" t="n">
        <v>46387</v>
      </c>
      <c r="W194" s="680" t="n"/>
      <c r="X194" s="680" t="n">
        <v>46024</v>
      </c>
      <c r="Y194" s="677" t="n">
        <v>84000</v>
      </c>
      <c r="Z194" s="678" t="n"/>
      <c r="AA194" s="678">
        <f>Y194</f>
        <v/>
      </c>
      <c r="AB194" s="678" t="n"/>
      <c r="AC194" s="678">
        <f>Y194</f>
        <v/>
      </c>
      <c r="AD194" s="678">
        <f>AA194</f>
        <v/>
      </c>
      <c r="AE194" s="682" t="inlineStr">
        <is>
          <t>ENGAGE</t>
        </is>
      </c>
      <c r="AF194" s="681" t="n"/>
      <c r="AG194" s="678" t="n"/>
      <c r="AH194" s="678" t="n"/>
      <c r="AI194" s="678" t="n"/>
      <c r="AJ194" s="678" t="n"/>
      <c r="AK194" s="683" t="n"/>
      <c r="AL194" s="683" t="n"/>
      <c r="AM194" s="681" t="inlineStr">
        <is>
          <t>Manque n° contrat</t>
        </is>
      </c>
      <c r="AN194" s="684" t="n"/>
      <c r="AO194" s="685" t="n"/>
      <c r="AP194" s="686" t="n"/>
      <c r="AQ194" s="686" t="n"/>
      <c r="AR194" s="23" t="n"/>
      <c r="AS194" s="686" t="n"/>
    </row>
    <row r="195" ht="50.55" customHeight="1" s="392">
      <c r="A195" s="672" t="n">
        <v>2026</v>
      </c>
      <c r="B195" s="673" t="inlineStr">
        <is>
          <t>TAMAZIGHT</t>
        </is>
      </c>
      <c r="C195" s="673" t="inlineStr">
        <is>
          <t>PV N° : 01RC2025- DCPCART</t>
        </is>
      </c>
      <c r="D195" s="672" t="inlineStr">
        <is>
          <t>CONTRAT</t>
        </is>
      </c>
      <c r="E195" s="672" t="n"/>
      <c r="F195" s="674" t="inlineStr">
        <is>
          <t>IDRISSI BADR TAFRAOUTI  -  Technicien en OPV/OPS.</t>
        </is>
      </c>
      <c r="G195" s="675" t="inlineStr">
        <is>
          <t>VALIDE</t>
        </is>
      </c>
      <c r="H195" s="672" t="inlineStr">
        <is>
          <t>APPROUVE</t>
        </is>
      </c>
      <c r="I195" s="672" t="n"/>
      <c r="J195" s="675" t="inlineStr">
        <is>
          <t>NON CONCERNE</t>
        </is>
      </c>
      <c r="K195" s="672" t="inlineStr">
        <is>
          <t>Ordinaire</t>
        </is>
      </c>
      <c r="L195" s="676" t="inlineStr">
        <is>
          <t>FONCTIONNEMENT</t>
        </is>
      </c>
      <c r="M195" s="676" t="inlineStr">
        <is>
          <t xml:space="preserve">Prestations de service
Achat prestations de services locales - personnes physiques </t>
        </is>
      </c>
      <c r="N195" s="677" t="n"/>
      <c r="O195" s="678" t="n"/>
      <c r="P195" s="678" t="n"/>
      <c r="Q195" s="672" t="inlineStr">
        <is>
          <t>RECONDUCTION</t>
        </is>
      </c>
      <c r="R195" s="679" t="n"/>
      <c r="S195" s="680" t="n"/>
      <c r="T195" s="681" t="inlineStr">
        <is>
          <t>IDRISSI BADR TAFRAOUTI</t>
        </is>
      </c>
      <c r="U195" s="672" t="n">
        <v>2026</v>
      </c>
      <c r="V195" s="680" t="n">
        <v>46387</v>
      </c>
      <c r="W195" s="680" t="n"/>
      <c r="X195" s="680" t="n">
        <v>46024</v>
      </c>
      <c r="Y195" s="677" t="n">
        <v>84000</v>
      </c>
      <c r="Z195" s="678" t="n"/>
      <c r="AA195" s="678">
        <f>Y195</f>
        <v/>
      </c>
      <c r="AB195" s="678" t="n"/>
      <c r="AC195" s="678">
        <f>Y195</f>
        <v/>
      </c>
      <c r="AD195" s="678">
        <f>AA195</f>
        <v/>
      </c>
      <c r="AE195" s="682" t="inlineStr">
        <is>
          <t>ENGAGE</t>
        </is>
      </c>
      <c r="AF195" s="681" t="n"/>
      <c r="AG195" s="678" t="n"/>
      <c r="AH195" s="678" t="n"/>
      <c r="AI195" s="678" t="n"/>
      <c r="AJ195" s="678" t="n"/>
      <c r="AK195" s="683" t="n"/>
      <c r="AL195" s="683" t="n"/>
      <c r="AM195" s="681" t="inlineStr">
        <is>
          <t>Manque n° contrat</t>
        </is>
      </c>
      <c r="AN195" s="684" t="n"/>
      <c r="AO195" s="685" t="n"/>
      <c r="AP195" s="686" t="n"/>
      <c r="AQ195" s="686" t="n"/>
      <c r="AR195" s="23" t="n"/>
      <c r="AS195" s="686" t="n"/>
    </row>
    <row r="196" ht="50.55" customHeight="1" s="392">
      <c r="A196" s="672" t="n">
        <v>2026</v>
      </c>
      <c r="B196" s="673" t="inlineStr">
        <is>
          <t>TAMAZIGHT</t>
        </is>
      </c>
      <c r="C196" s="673" t="inlineStr">
        <is>
          <t>PV N° : 01RC2025- DCPCART</t>
        </is>
      </c>
      <c r="D196" s="672" t="inlineStr">
        <is>
          <t>CONTRAT</t>
        </is>
      </c>
      <c r="E196" s="672" t="n"/>
      <c r="F196" s="674" t="inlineStr">
        <is>
          <t>REDA OU-OUCHEN  -  Monteur/assistant graphiste</t>
        </is>
      </c>
      <c r="G196" s="675" t="inlineStr">
        <is>
          <t>VALIDE</t>
        </is>
      </c>
      <c r="H196" s="672" t="inlineStr">
        <is>
          <t>APPROUVE</t>
        </is>
      </c>
      <c r="I196" s="672" t="n"/>
      <c r="J196" s="675" t="inlineStr">
        <is>
          <t>NON CONCERNE</t>
        </is>
      </c>
      <c r="K196" s="672" t="inlineStr">
        <is>
          <t>Ordinaire</t>
        </is>
      </c>
      <c r="L196" s="676" t="inlineStr">
        <is>
          <t>FONCTIONNEMENT</t>
        </is>
      </c>
      <c r="M196" s="676" t="inlineStr">
        <is>
          <t xml:space="preserve">Prestations de service
Achat prestations de services locales - personnes physiques </t>
        </is>
      </c>
      <c r="N196" s="677" t="n"/>
      <c r="O196" s="678" t="n"/>
      <c r="P196" s="678" t="n"/>
      <c r="Q196" s="672" t="inlineStr">
        <is>
          <t>RECONDUCTION</t>
        </is>
      </c>
      <c r="R196" s="679" t="n"/>
      <c r="S196" s="680" t="n"/>
      <c r="T196" s="681" t="inlineStr">
        <is>
          <t>REDA OU-OUCHEN</t>
        </is>
      </c>
      <c r="U196" s="672" t="n">
        <v>2026</v>
      </c>
      <c r="V196" s="680" t="n">
        <v>46387</v>
      </c>
      <c r="W196" s="680" t="n"/>
      <c r="X196" s="680" t="n">
        <v>46024</v>
      </c>
      <c r="Y196" s="677" t="n">
        <v>96000</v>
      </c>
      <c r="Z196" s="678" t="n"/>
      <c r="AA196" s="678">
        <f>Y196</f>
        <v/>
      </c>
      <c r="AB196" s="678" t="n"/>
      <c r="AC196" s="678">
        <f>Y196</f>
        <v/>
      </c>
      <c r="AD196" s="678">
        <f>AA196</f>
        <v/>
      </c>
      <c r="AE196" s="682" t="inlineStr">
        <is>
          <t>ENGAGE</t>
        </is>
      </c>
      <c r="AF196" s="681" t="n"/>
      <c r="AG196" s="678" t="n"/>
      <c r="AH196" s="678" t="n"/>
      <c r="AI196" s="678" t="n"/>
      <c r="AJ196" s="678" t="n"/>
      <c r="AK196" s="683" t="n"/>
      <c r="AL196" s="683" t="n"/>
      <c r="AM196" s="681" t="inlineStr">
        <is>
          <t>Manque n° contrat</t>
        </is>
      </c>
      <c r="AN196" s="684" t="n"/>
      <c r="AO196" s="685" t="n"/>
      <c r="AP196" s="686" t="n"/>
      <c r="AQ196" s="686" t="n"/>
      <c r="AR196" s="23" t="n"/>
      <c r="AS196" s="686" t="n"/>
    </row>
    <row r="197" ht="50.55" customHeight="1" s="392">
      <c r="A197" s="672" t="n">
        <v>2026</v>
      </c>
      <c r="B197" s="673" t="inlineStr">
        <is>
          <t>TAMAZIGHT</t>
        </is>
      </c>
      <c r="C197" s="673" t="inlineStr">
        <is>
          <t>PV N° : 01RC2025- DCPCART</t>
        </is>
      </c>
      <c r="D197" s="672" t="inlineStr">
        <is>
          <t>CONTRAT</t>
        </is>
      </c>
      <c r="E197" s="672" t="n"/>
      <c r="F197" s="674" t="inlineStr">
        <is>
          <t>SAID BELLI  -  Réalisateur</t>
        </is>
      </c>
      <c r="G197" s="675" t="inlineStr">
        <is>
          <t>VALIDE</t>
        </is>
      </c>
      <c r="H197" s="672" t="inlineStr">
        <is>
          <t>APPROUVE</t>
        </is>
      </c>
      <c r="I197" s="672" t="n"/>
      <c r="J197" s="675" t="inlineStr">
        <is>
          <t>NON CONCERNE</t>
        </is>
      </c>
      <c r="K197" s="672" t="inlineStr">
        <is>
          <t>Ordinaire</t>
        </is>
      </c>
      <c r="L197" s="676" t="inlineStr">
        <is>
          <t>FONCTIONNEMENT</t>
        </is>
      </c>
      <c r="M197" s="676" t="inlineStr">
        <is>
          <t xml:space="preserve">Prestations de service
Achat prestations de services locales - personnes physiques </t>
        </is>
      </c>
      <c r="N197" s="677" t="n"/>
      <c r="O197" s="678" t="n"/>
      <c r="P197" s="678" t="n"/>
      <c r="Q197" s="672" t="inlineStr">
        <is>
          <t>RECONDUCTION</t>
        </is>
      </c>
      <c r="R197" s="679" t="n"/>
      <c r="S197" s="680" t="n"/>
      <c r="T197" s="681" t="inlineStr">
        <is>
          <t xml:space="preserve">SAID BELLI </t>
        </is>
      </c>
      <c r="U197" s="672" t="n">
        <v>2026</v>
      </c>
      <c r="V197" s="680" t="n">
        <v>46387</v>
      </c>
      <c r="W197" s="680" t="n"/>
      <c r="X197" s="680" t="n">
        <v>46024</v>
      </c>
      <c r="Y197" s="677" t="n">
        <v>108000</v>
      </c>
      <c r="Z197" s="678" t="n"/>
      <c r="AA197" s="678">
        <f>Y197</f>
        <v/>
      </c>
      <c r="AB197" s="678" t="n"/>
      <c r="AC197" s="678">
        <f>Y197</f>
        <v/>
      </c>
      <c r="AD197" s="678">
        <f>AA197</f>
        <v/>
      </c>
      <c r="AE197" s="682" t="inlineStr">
        <is>
          <t>ENGAGE</t>
        </is>
      </c>
      <c r="AF197" s="681" t="n"/>
      <c r="AG197" s="678" t="n"/>
      <c r="AH197" s="678" t="n"/>
      <c r="AI197" s="678" t="n"/>
      <c r="AJ197" s="678" t="n"/>
      <c r="AK197" s="683" t="n"/>
      <c r="AL197" s="683" t="n"/>
      <c r="AM197" s="681" t="inlineStr">
        <is>
          <t>Manque n° contrat</t>
        </is>
      </c>
      <c r="AN197" s="684" t="n"/>
      <c r="AO197" s="685" t="n"/>
      <c r="AP197" s="686" t="n"/>
      <c r="AQ197" s="686" t="n"/>
      <c r="AR197" s="23" t="n"/>
      <c r="AS197" s="686" t="n"/>
    </row>
    <row r="198" ht="50.55" customHeight="1" s="392">
      <c r="A198" s="672" t="n">
        <v>2026</v>
      </c>
      <c r="B198" s="673" t="inlineStr">
        <is>
          <t>TAMAZIGHT</t>
        </is>
      </c>
      <c r="C198" s="673" t="inlineStr">
        <is>
          <t>PV N° : 01RC2025- DCPCART</t>
        </is>
      </c>
      <c r="D198" s="672" t="inlineStr">
        <is>
          <t>CONTRAT</t>
        </is>
      </c>
      <c r="E198" s="672" t="n"/>
      <c r="F198" s="674" t="inlineStr">
        <is>
          <t>BASMA OULKHCHICH  -  Journaliste</t>
        </is>
      </c>
      <c r="G198" s="675" t="inlineStr">
        <is>
          <t>VALIDE</t>
        </is>
      </c>
      <c r="H198" s="672" t="inlineStr">
        <is>
          <t>APPROUVE</t>
        </is>
      </c>
      <c r="I198" s="672" t="n"/>
      <c r="J198" s="675" t="inlineStr">
        <is>
          <t>NON CONCERNE</t>
        </is>
      </c>
      <c r="K198" s="672" t="inlineStr">
        <is>
          <t>Ordinaire</t>
        </is>
      </c>
      <c r="L198" s="676" t="inlineStr">
        <is>
          <t>FONCTIONNEMENT</t>
        </is>
      </c>
      <c r="M198" s="676" t="inlineStr">
        <is>
          <t xml:space="preserve">Prestations de service
Achat prestations de services locales - personnes physiques </t>
        </is>
      </c>
      <c r="N198" s="677" t="n"/>
      <c r="O198" s="678" t="n"/>
      <c r="P198" s="678" t="n"/>
      <c r="Q198" s="672" t="inlineStr">
        <is>
          <t>RECONDUCTION</t>
        </is>
      </c>
      <c r="R198" s="679" t="n"/>
      <c r="S198" s="680" t="n"/>
      <c r="T198" s="681" t="inlineStr">
        <is>
          <t>BASMA OULKHCHICH</t>
        </is>
      </c>
      <c r="U198" s="672" t="n">
        <v>2026</v>
      </c>
      <c r="V198" s="680" t="n">
        <v>46387</v>
      </c>
      <c r="W198" s="680" t="n"/>
      <c r="X198" s="680" t="n">
        <v>46024</v>
      </c>
      <c r="Y198" s="677" t="n">
        <v>78000</v>
      </c>
      <c r="Z198" s="678" t="n"/>
      <c r="AA198" s="678">
        <f>Y198</f>
        <v/>
      </c>
      <c r="AB198" s="678" t="n"/>
      <c r="AC198" s="678">
        <f>Y198</f>
        <v/>
      </c>
      <c r="AD198" s="678">
        <f>AA198</f>
        <v/>
      </c>
      <c r="AE198" s="682" t="inlineStr">
        <is>
          <t>ENGAGE</t>
        </is>
      </c>
      <c r="AF198" s="681" t="n"/>
      <c r="AG198" s="678" t="n"/>
      <c r="AH198" s="678" t="n"/>
      <c r="AI198" s="678" t="n"/>
      <c r="AJ198" s="678" t="n"/>
      <c r="AK198" s="683" t="n"/>
      <c r="AL198" s="683" t="n"/>
      <c r="AM198" s="681" t="inlineStr">
        <is>
          <t>Manque n° contrat</t>
        </is>
      </c>
      <c r="AN198" s="684" t="n"/>
      <c r="AO198" s="685" t="n"/>
      <c r="AP198" s="686" t="n"/>
      <c r="AQ198" s="686" t="n"/>
      <c r="AR198" s="23" t="n"/>
      <c r="AS198" s="686" t="n"/>
    </row>
    <row r="199" ht="50.55" customHeight="1" s="392">
      <c r="A199" s="672" t="n">
        <v>2026</v>
      </c>
      <c r="B199" s="673" t="inlineStr">
        <is>
          <t>TAMAZIGHT</t>
        </is>
      </c>
      <c r="C199" s="673" t="inlineStr">
        <is>
          <t>PV N° : 01RC2025- DCPCART</t>
        </is>
      </c>
      <c r="D199" s="672" t="inlineStr">
        <is>
          <t>CONTRAT</t>
        </is>
      </c>
      <c r="E199" s="672" t="n"/>
      <c r="F199" s="674" t="inlineStr">
        <is>
          <t>FATIMA BOUSSABRI  -  Journaliste</t>
        </is>
      </c>
      <c r="G199" s="675" t="inlineStr">
        <is>
          <t>VALIDE</t>
        </is>
      </c>
      <c r="H199" s="672" t="inlineStr">
        <is>
          <t>APPROUVE</t>
        </is>
      </c>
      <c r="I199" s="672" t="n"/>
      <c r="J199" s="675" t="inlineStr">
        <is>
          <t>NON CONCERNE</t>
        </is>
      </c>
      <c r="K199" s="672" t="inlineStr">
        <is>
          <t>Ordinaire</t>
        </is>
      </c>
      <c r="L199" s="676" t="inlineStr">
        <is>
          <t>FONCTIONNEMENT</t>
        </is>
      </c>
      <c r="M199" s="676" t="inlineStr">
        <is>
          <t xml:space="preserve">Prestations de service
Achat prestations de services locales - personnes physiques </t>
        </is>
      </c>
      <c r="N199" s="677" t="n"/>
      <c r="O199" s="678" t="n"/>
      <c r="P199" s="678" t="n"/>
      <c r="Q199" s="672" t="inlineStr">
        <is>
          <t>RECONDUCTION</t>
        </is>
      </c>
      <c r="R199" s="679" t="n"/>
      <c r="S199" s="680" t="n"/>
      <c r="T199" s="681" t="inlineStr">
        <is>
          <t>FATIMA BOUSSABRI</t>
        </is>
      </c>
      <c r="U199" s="672" t="n">
        <v>2026</v>
      </c>
      <c r="V199" s="680" t="n">
        <v>46387</v>
      </c>
      <c r="W199" s="680" t="n"/>
      <c r="X199" s="680" t="n">
        <v>46024</v>
      </c>
      <c r="Y199" s="677" t="n">
        <v>84000</v>
      </c>
      <c r="Z199" s="678" t="n"/>
      <c r="AA199" s="678">
        <f>Y199</f>
        <v/>
      </c>
      <c r="AB199" s="678" t="n"/>
      <c r="AC199" s="678">
        <f>Y199</f>
        <v/>
      </c>
      <c r="AD199" s="678">
        <f>AA199</f>
        <v/>
      </c>
      <c r="AE199" s="682" t="inlineStr">
        <is>
          <t>ENGAGE</t>
        </is>
      </c>
      <c r="AF199" s="681" t="n"/>
      <c r="AG199" s="678" t="n"/>
      <c r="AH199" s="678" t="n"/>
      <c r="AI199" s="678" t="n"/>
      <c r="AJ199" s="678" t="n"/>
      <c r="AK199" s="683" t="n"/>
      <c r="AL199" s="683" t="n"/>
      <c r="AM199" s="681" t="inlineStr">
        <is>
          <t>Manque n° contrat</t>
        </is>
      </c>
      <c r="AN199" s="684" t="n"/>
      <c r="AO199" s="685" t="n"/>
      <c r="AP199" s="686" t="n"/>
      <c r="AQ199" s="686" t="n"/>
      <c r="AR199" s="23" t="n"/>
      <c r="AS199" s="686" t="n"/>
    </row>
    <row r="200" ht="50.55" customHeight="1" s="392">
      <c r="A200" s="672" t="n">
        <v>2026</v>
      </c>
      <c r="B200" s="673" t="inlineStr">
        <is>
          <t>TAMAZIGHT</t>
        </is>
      </c>
      <c r="C200" s="673" t="inlineStr">
        <is>
          <t>PV N° : 01RC2025- DCPCART</t>
        </is>
      </c>
      <c r="D200" s="672" t="inlineStr">
        <is>
          <t>CONTRAT</t>
        </is>
      </c>
      <c r="E200" s="672" t="n"/>
      <c r="F200" s="674" t="inlineStr">
        <is>
          <t>JAMAL OUJDDOU  -  Journaliste</t>
        </is>
      </c>
      <c r="G200" s="675" t="inlineStr">
        <is>
          <t>VALIDE</t>
        </is>
      </c>
      <c r="H200" s="672" t="inlineStr">
        <is>
          <t>APPROUVE</t>
        </is>
      </c>
      <c r="I200" s="672" t="n"/>
      <c r="J200" s="675" t="inlineStr">
        <is>
          <t>NON CONCERNE</t>
        </is>
      </c>
      <c r="K200" s="672" t="inlineStr">
        <is>
          <t>Ordinaire</t>
        </is>
      </c>
      <c r="L200" s="676" t="inlineStr">
        <is>
          <t>FONCTIONNEMENT</t>
        </is>
      </c>
      <c r="M200" s="676" t="inlineStr">
        <is>
          <t xml:space="preserve">Prestations de service
Achat prestations de services locales - personnes physiques </t>
        </is>
      </c>
      <c r="N200" s="677" t="n"/>
      <c r="O200" s="678" t="n"/>
      <c r="P200" s="678" t="n"/>
      <c r="Q200" s="672" t="inlineStr">
        <is>
          <t>RECONDUCTION</t>
        </is>
      </c>
      <c r="R200" s="679" t="n"/>
      <c r="S200" s="680" t="n"/>
      <c r="T200" s="681" t="inlineStr">
        <is>
          <t>JAMAL OUJDDOU</t>
        </is>
      </c>
      <c r="U200" s="672" t="n">
        <v>2026</v>
      </c>
      <c r="V200" s="680" t="n">
        <v>46387</v>
      </c>
      <c r="W200" s="680" t="n"/>
      <c r="X200" s="680" t="n">
        <v>46024</v>
      </c>
      <c r="Y200" s="677" t="n">
        <v>96000</v>
      </c>
      <c r="Z200" s="678" t="n"/>
      <c r="AA200" s="678">
        <f>Y200</f>
        <v/>
      </c>
      <c r="AB200" s="678" t="n"/>
      <c r="AC200" s="678">
        <f>Y200</f>
        <v/>
      </c>
      <c r="AD200" s="678">
        <f>AA200</f>
        <v/>
      </c>
      <c r="AE200" s="682" t="inlineStr">
        <is>
          <t>ENGAGE</t>
        </is>
      </c>
      <c r="AF200" s="681" t="n"/>
      <c r="AG200" s="678" t="n"/>
      <c r="AH200" s="678" t="n"/>
      <c r="AI200" s="678" t="n"/>
      <c r="AJ200" s="678" t="n"/>
      <c r="AK200" s="683" t="n"/>
      <c r="AL200" s="683" t="n"/>
      <c r="AM200" s="681" t="inlineStr">
        <is>
          <t>Manque n° contrat</t>
        </is>
      </c>
      <c r="AN200" s="684" t="n"/>
      <c r="AO200" s="685" t="n"/>
      <c r="AP200" s="686" t="n"/>
      <c r="AQ200" s="686" t="n"/>
      <c r="AR200" s="23" t="n"/>
      <c r="AS200" s="686" t="n"/>
    </row>
    <row r="201" ht="50.55" customHeight="1" s="392">
      <c r="A201" s="672" t="n">
        <v>2026</v>
      </c>
      <c r="B201" s="673" t="inlineStr">
        <is>
          <t>TAMAZIGHT</t>
        </is>
      </c>
      <c r="C201" s="673" t="inlineStr">
        <is>
          <t>PV N° : 01RC2025- DCPCART</t>
        </is>
      </c>
      <c r="D201" s="672" t="inlineStr">
        <is>
          <t>CONTRAT</t>
        </is>
      </c>
      <c r="E201" s="672" t="n"/>
      <c r="F201" s="674" t="inlineStr">
        <is>
          <t>REDOUAN SEDDEKI  -  Monteur</t>
        </is>
      </c>
      <c r="G201" s="675" t="inlineStr">
        <is>
          <t>VALIDE</t>
        </is>
      </c>
      <c r="H201" s="672" t="inlineStr">
        <is>
          <t>APPROUVE</t>
        </is>
      </c>
      <c r="I201" s="672" t="n"/>
      <c r="J201" s="675" t="inlineStr">
        <is>
          <t>NON CONCERNE</t>
        </is>
      </c>
      <c r="K201" s="672" t="inlineStr">
        <is>
          <t>Ordinaire</t>
        </is>
      </c>
      <c r="L201" s="676" t="inlineStr">
        <is>
          <t>FONCTIONNEMENT</t>
        </is>
      </c>
      <c r="M201" s="676" t="inlineStr">
        <is>
          <t xml:space="preserve">Prestations de service
Achat prestations de services locales - personnes physiques </t>
        </is>
      </c>
      <c r="N201" s="677" t="n"/>
      <c r="O201" s="678" t="n"/>
      <c r="P201" s="678" t="n"/>
      <c r="Q201" s="672" t="inlineStr">
        <is>
          <t>RECONDUCTION</t>
        </is>
      </c>
      <c r="R201" s="679" t="n"/>
      <c r="S201" s="680" t="n"/>
      <c r="T201" s="681" t="inlineStr">
        <is>
          <t>REDOUAN SEDDEKI</t>
        </is>
      </c>
      <c r="U201" s="672" t="n">
        <v>2026</v>
      </c>
      <c r="V201" s="680" t="n">
        <v>46387</v>
      </c>
      <c r="W201" s="680" t="n"/>
      <c r="X201" s="680" t="n">
        <v>46024</v>
      </c>
      <c r="Y201" s="677" t="n">
        <v>96000</v>
      </c>
      <c r="Z201" s="678" t="n"/>
      <c r="AA201" s="678">
        <f>Y201</f>
        <v/>
      </c>
      <c r="AB201" s="678" t="n"/>
      <c r="AC201" s="678">
        <f>Y201</f>
        <v/>
      </c>
      <c r="AD201" s="678">
        <f>AA201</f>
        <v/>
      </c>
      <c r="AE201" s="682" t="inlineStr">
        <is>
          <t>ENGAGE</t>
        </is>
      </c>
      <c r="AF201" s="681" t="n"/>
      <c r="AG201" s="678" t="n"/>
      <c r="AH201" s="678" t="n"/>
      <c r="AI201" s="678" t="n"/>
      <c r="AJ201" s="678" t="n"/>
      <c r="AK201" s="683" t="n"/>
      <c r="AL201" s="683" t="n"/>
      <c r="AM201" s="681" t="inlineStr">
        <is>
          <t>Manque n° contrat</t>
        </is>
      </c>
      <c r="AN201" s="684" t="n"/>
      <c r="AO201" s="685" t="n"/>
      <c r="AP201" s="686" t="n"/>
      <c r="AQ201" s="686" t="n"/>
      <c r="AR201" s="23" t="n"/>
      <c r="AS201" s="686" t="n"/>
    </row>
    <row r="202" ht="50.55" customHeight="1" s="392">
      <c r="A202" s="672" t="n">
        <v>2026</v>
      </c>
      <c r="B202" s="673" t="inlineStr">
        <is>
          <t>TAMAZIGHT</t>
        </is>
      </c>
      <c r="C202" s="673" t="inlineStr">
        <is>
          <t>PV N° : 01RC2025- DCPCART</t>
        </is>
      </c>
      <c r="D202" s="672" t="inlineStr">
        <is>
          <t>CONTRAT</t>
        </is>
      </c>
      <c r="E202" s="672" t="n"/>
      <c r="F202" s="674" t="inlineStr">
        <is>
          <t>MOHAMED FADLAOUI  -  Commentateur des matches de football</t>
        </is>
      </c>
      <c r="G202" s="675" t="inlineStr">
        <is>
          <t>VALIDE</t>
        </is>
      </c>
      <c r="H202" s="672" t="inlineStr">
        <is>
          <t>APPROUVE</t>
        </is>
      </c>
      <c r="I202" s="672" t="n"/>
      <c r="J202" s="675" t="inlineStr">
        <is>
          <t>NON CONCERNE</t>
        </is>
      </c>
      <c r="K202" s="672" t="inlineStr">
        <is>
          <t>Ordinaire</t>
        </is>
      </c>
      <c r="L202" s="676" t="inlineStr">
        <is>
          <t>FONCTIONNEMENT</t>
        </is>
      </c>
      <c r="M202" s="676" t="inlineStr">
        <is>
          <t xml:space="preserve">Prestations de service
Achat prestations de services locales - personnes physiques </t>
        </is>
      </c>
      <c r="N202" s="677" t="n"/>
      <c r="O202" s="678" t="n"/>
      <c r="P202" s="678" t="n"/>
      <c r="Q202" s="672" t="inlineStr">
        <is>
          <t>RECONDUCTION</t>
        </is>
      </c>
      <c r="R202" s="679" t="n"/>
      <c r="S202" s="680" t="n"/>
      <c r="T202" s="681" t="inlineStr">
        <is>
          <t xml:space="preserve">MOHAMED FADLAOUI </t>
        </is>
      </c>
      <c r="U202" s="672" t="n">
        <v>2026</v>
      </c>
      <c r="V202" s="680" t="n">
        <v>46387</v>
      </c>
      <c r="W202" s="680" t="n"/>
      <c r="X202" s="680" t="n">
        <v>46024</v>
      </c>
      <c r="Y202" s="677" t="n">
        <v>72000</v>
      </c>
      <c r="Z202" s="678" t="n"/>
      <c r="AA202" s="678">
        <f>Y202</f>
        <v/>
      </c>
      <c r="AB202" s="678" t="n"/>
      <c r="AC202" s="678">
        <f>Y202</f>
        <v/>
      </c>
      <c r="AD202" s="678">
        <f>AA202</f>
        <v/>
      </c>
      <c r="AE202" s="682" t="inlineStr">
        <is>
          <t>ENGAGE</t>
        </is>
      </c>
      <c r="AF202" s="681" t="n"/>
      <c r="AG202" s="678" t="n"/>
      <c r="AH202" s="678" t="n"/>
      <c r="AI202" s="678" t="n"/>
      <c r="AJ202" s="678" t="n"/>
      <c r="AK202" s="683" t="n"/>
      <c r="AL202" s="683" t="n"/>
      <c r="AM202" s="681" t="inlineStr">
        <is>
          <t>Manque n° contrat</t>
        </is>
      </c>
      <c r="AN202" s="684" t="n"/>
      <c r="AO202" s="685" t="n"/>
      <c r="AP202" s="686" t="n"/>
      <c r="AQ202" s="686" t="n"/>
      <c r="AR202" s="23" t="n"/>
      <c r="AS202" s="686" t="n"/>
    </row>
    <row r="203" ht="50.55" customHeight="1" s="392">
      <c r="A203" s="672" t="n">
        <v>2026</v>
      </c>
      <c r="B203" s="673" t="inlineStr">
        <is>
          <t>TAMAZIGHT</t>
        </is>
      </c>
      <c r="C203" s="673" t="inlineStr">
        <is>
          <t>PV N° : 01RC2025- DCPCART</t>
        </is>
      </c>
      <c r="D203" s="672" t="inlineStr">
        <is>
          <t>CONTRAT</t>
        </is>
      </c>
      <c r="E203" s="672" t="n"/>
      <c r="F203" s="674" t="inlineStr">
        <is>
          <t>LARBI OUAHDANI  -  Coiffeur, Maquilleur</t>
        </is>
      </c>
      <c r="G203" s="675" t="inlineStr">
        <is>
          <t>VALIDE</t>
        </is>
      </c>
      <c r="H203" s="672" t="inlineStr">
        <is>
          <t>APPROUVE</t>
        </is>
      </c>
      <c r="I203" s="672" t="n"/>
      <c r="J203" s="675" t="inlineStr">
        <is>
          <t>NON CONCERNE</t>
        </is>
      </c>
      <c r="K203" s="672" t="inlineStr">
        <is>
          <t>Ordinaire</t>
        </is>
      </c>
      <c r="L203" s="676" t="inlineStr">
        <is>
          <t>FONCTIONNEMENT</t>
        </is>
      </c>
      <c r="M203" s="676" t="inlineStr">
        <is>
          <t xml:space="preserve">Prestations de service
Achat prestations de services locales - personnes physiques </t>
        </is>
      </c>
      <c r="N203" s="677" t="n"/>
      <c r="O203" s="678" t="n"/>
      <c r="P203" s="678" t="n"/>
      <c r="Q203" s="672" t="inlineStr">
        <is>
          <t>RECONDUCTION</t>
        </is>
      </c>
      <c r="R203" s="679" t="n"/>
      <c r="S203" s="680" t="n"/>
      <c r="T203" s="681" t="inlineStr">
        <is>
          <t>LARBI OUAHDANI</t>
        </is>
      </c>
      <c r="U203" s="672" t="n">
        <v>2026</v>
      </c>
      <c r="V203" s="680" t="n">
        <v>46387</v>
      </c>
      <c r="W203" s="680" t="n"/>
      <c r="X203" s="680" t="n">
        <v>46024</v>
      </c>
      <c r="Y203" s="677" t="n">
        <v>72000</v>
      </c>
      <c r="Z203" s="678" t="n"/>
      <c r="AA203" s="678">
        <f>Y203</f>
        <v/>
      </c>
      <c r="AB203" s="678" t="n"/>
      <c r="AC203" s="678">
        <f>Y203</f>
        <v/>
      </c>
      <c r="AD203" s="678">
        <f>AA203</f>
        <v/>
      </c>
      <c r="AE203" s="682" t="inlineStr">
        <is>
          <t>ENGAGE</t>
        </is>
      </c>
      <c r="AF203" s="681" t="n"/>
      <c r="AG203" s="678" t="n"/>
      <c r="AH203" s="678" t="n"/>
      <c r="AI203" s="678" t="n"/>
      <c r="AJ203" s="678" t="n"/>
      <c r="AK203" s="683" t="n"/>
      <c r="AL203" s="683" t="n"/>
      <c r="AM203" s="681" t="inlineStr">
        <is>
          <t>Manque n° contrat</t>
        </is>
      </c>
      <c r="AN203" s="684" t="n"/>
      <c r="AO203" s="685" t="n"/>
      <c r="AP203" s="686" t="n"/>
      <c r="AQ203" s="686" t="n"/>
      <c r="AR203" s="23" t="n"/>
      <c r="AS203" s="686" t="n"/>
    </row>
    <row r="204" ht="50.55" customHeight="1" s="392">
      <c r="A204" s="672" t="n">
        <v>2026</v>
      </c>
      <c r="B204" s="673" t="inlineStr">
        <is>
          <t>TAMAZIGHT</t>
        </is>
      </c>
      <c r="C204" s="673" t="inlineStr">
        <is>
          <t>PV N° : 01RC2025- DCPCART</t>
        </is>
      </c>
      <c r="D204" s="672" t="inlineStr">
        <is>
          <t>CONTRAT</t>
        </is>
      </c>
      <c r="E204" s="672" t="n"/>
      <c r="F204" s="674" t="inlineStr">
        <is>
          <t>BOUMCOUSI MOHAMED  -  Concepteur Animateur RD/TV</t>
        </is>
      </c>
      <c r="G204" s="675" t="inlineStr">
        <is>
          <t>VALIDE</t>
        </is>
      </c>
      <c r="H204" s="672" t="inlineStr">
        <is>
          <t>APPROUVE</t>
        </is>
      </c>
      <c r="I204" s="672" t="n"/>
      <c r="J204" s="675" t="inlineStr">
        <is>
          <t>NON CONCERNE</t>
        </is>
      </c>
      <c r="K204" s="672" t="inlineStr">
        <is>
          <t>Ordinaire</t>
        </is>
      </c>
      <c r="L204" s="676" t="inlineStr">
        <is>
          <t>FONCTIONNEMENT</t>
        </is>
      </c>
      <c r="M204" s="676" t="inlineStr">
        <is>
          <t xml:space="preserve">Prestations de service
Achat prestations de services locales - personnes physiques </t>
        </is>
      </c>
      <c r="N204" s="677" t="n"/>
      <c r="O204" s="678" t="n"/>
      <c r="P204" s="678" t="n"/>
      <c r="Q204" s="672" t="inlineStr">
        <is>
          <t>RECONDUCTION</t>
        </is>
      </c>
      <c r="R204" s="679" t="n"/>
      <c r="S204" s="680" t="n"/>
      <c r="T204" s="681" t="inlineStr">
        <is>
          <t>BOUMCOUSI MOHAMED</t>
        </is>
      </c>
      <c r="U204" s="672" t="n">
        <v>2026</v>
      </c>
      <c r="V204" s="680" t="n">
        <v>46387</v>
      </c>
      <c r="W204" s="680" t="n"/>
      <c r="X204" s="680" t="n">
        <v>46024</v>
      </c>
      <c r="Y204" s="677" t="n">
        <v>96000</v>
      </c>
      <c r="Z204" s="678" t="n"/>
      <c r="AA204" s="678">
        <f>Y204</f>
        <v/>
      </c>
      <c r="AB204" s="678" t="n"/>
      <c r="AC204" s="678">
        <f>Y204</f>
        <v/>
      </c>
      <c r="AD204" s="678">
        <f>AA204</f>
        <v/>
      </c>
      <c r="AE204" s="682" t="inlineStr">
        <is>
          <t>ENGAGE</t>
        </is>
      </c>
      <c r="AF204" s="681" t="n"/>
      <c r="AG204" s="678" t="n"/>
      <c r="AH204" s="678" t="n"/>
      <c r="AI204" s="678" t="n"/>
      <c r="AJ204" s="678" t="n"/>
      <c r="AK204" s="683" t="n"/>
      <c r="AL204" s="683" t="n"/>
      <c r="AM204" s="681" t="inlineStr">
        <is>
          <t>Manque n° contrat</t>
        </is>
      </c>
      <c r="AN204" s="684" t="n"/>
      <c r="AO204" s="685" t="n"/>
      <c r="AP204" s="686" t="n"/>
      <c r="AQ204" s="686" t="n"/>
      <c r="AR204" s="23" t="n"/>
      <c r="AS204" s="686" t="n"/>
    </row>
    <row r="205" ht="50.55" customHeight="1" s="392">
      <c r="A205" s="672" t="n">
        <v>2026</v>
      </c>
      <c r="B205" s="673" t="inlineStr">
        <is>
          <t>TAMAZIGHT</t>
        </is>
      </c>
      <c r="C205" s="673" t="inlineStr">
        <is>
          <t>PV N° : 01RC2025- DCPCART</t>
        </is>
      </c>
      <c r="D205" s="672" t="inlineStr">
        <is>
          <t>CONTRAT</t>
        </is>
      </c>
      <c r="E205" s="672" t="n"/>
      <c r="F205" s="674" t="inlineStr">
        <is>
          <t>SALAH BOULLA  -  Chef d’édition JT</t>
        </is>
      </c>
      <c r="G205" s="675" t="inlineStr">
        <is>
          <t>VALIDE</t>
        </is>
      </c>
      <c r="H205" s="672" t="inlineStr">
        <is>
          <t>APPROUVE</t>
        </is>
      </c>
      <c r="I205" s="672" t="n"/>
      <c r="J205" s="675" t="inlineStr">
        <is>
          <t>NON CONCERNE</t>
        </is>
      </c>
      <c r="K205" s="672" t="inlineStr">
        <is>
          <t>Ordinaire</t>
        </is>
      </c>
      <c r="L205" s="676" t="inlineStr">
        <is>
          <t>FONCTIONNEMENT</t>
        </is>
      </c>
      <c r="M205" s="676" t="inlineStr">
        <is>
          <t xml:space="preserve">Prestations de service
Achat prestations de services locales - personnes physiques </t>
        </is>
      </c>
      <c r="N205" s="677" t="n"/>
      <c r="O205" s="678" t="n"/>
      <c r="P205" s="678" t="n"/>
      <c r="Q205" s="672" t="inlineStr">
        <is>
          <t>RECONDUCTION</t>
        </is>
      </c>
      <c r="R205" s="679" t="n"/>
      <c r="S205" s="680" t="n"/>
      <c r="T205" s="681" t="inlineStr">
        <is>
          <t>SALAH BOULLA</t>
        </is>
      </c>
      <c r="U205" s="672" t="n">
        <v>2026</v>
      </c>
      <c r="V205" s="680" t="n">
        <v>46387</v>
      </c>
      <c r="W205" s="680" t="n"/>
      <c r="X205" s="680" t="n">
        <v>46024</v>
      </c>
      <c r="Y205" s="677" t="n">
        <v>144000</v>
      </c>
      <c r="Z205" s="678" t="n"/>
      <c r="AA205" s="678">
        <f>Y205</f>
        <v/>
      </c>
      <c r="AB205" s="678" t="n"/>
      <c r="AC205" s="678">
        <f>Y205</f>
        <v/>
      </c>
      <c r="AD205" s="678">
        <f>AA205</f>
        <v/>
      </c>
      <c r="AE205" s="682" t="inlineStr">
        <is>
          <t>ENGAGE</t>
        </is>
      </c>
      <c r="AF205" s="681" t="n"/>
      <c r="AG205" s="678" t="n"/>
      <c r="AH205" s="678" t="n"/>
      <c r="AI205" s="678" t="n"/>
      <c r="AJ205" s="678" t="n"/>
      <c r="AK205" s="683" t="n"/>
      <c r="AL205" s="683" t="n"/>
      <c r="AM205" s="681" t="inlineStr">
        <is>
          <t>Manque n° contrat</t>
        </is>
      </c>
      <c r="AN205" s="684" t="n"/>
      <c r="AO205" s="685" t="n"/>
      <c r="AP205" s="686" t="n"/>
      <c r="AQ205" s="686" t="n"/>
      <c r="AR205" s="23" t="n"/>
      <c r="AS205" s="686" t="n"/>
    </row>
    <row r="206" ht="50.55" customHeight="1" s="392">
      <c r="A206" s="672" t="n">
        <v>2026</v>
      </c>
      <c r="B206" s="673" t="inlineStr">
        <is>
          <t>TAMAZIGHT</t>
        </is>
      </c>
      <c r="C206" s="673" t="inlineStr">
        <is>
          <t>PV N° : 01RC2025- DCPCART</t>
        </is>
      </c>
      <c r="D206" s="672" t="inlineStr">
        <is>
          <t>CONTRAT</t>
        </is>
      </c>
      <c r="E206" s="672" t="n"/>
      <c r="F206" s="674" t="inlineStr">
        <is>
          <t>AKDIM M'BAREK  -  Concepteur Animateur RD/TV</t>
        </is>
      </c>
      <c r="G206" s="675" t="inlineStr">
        <is>
          <t>VALIDE</t>
        </is>
      </c>
      <c r="H206" s="672" t="inlineStr">
        <is>
          <t>APPROUVE</t>
        </is>
      </c>
      <c r="I206" s="672" t="n"/>
      <c r="J206" s="675" t="inlineStr">
        <is>
          <t>NON CONCERNE</t>
        </is>
      </c>
      <c r="K206" s="672" t="inlineStr">
        <is>
          <t>Ordinaire</t>
        </is>
      </c>
      <c r="L206" s="676" t="inlineStr">
        <is>
          <t>FONCTIONNEMENT</t>
        </is>
      </c>
      <c r="M206" s="676" t="inlineStr">
        <is>
          <t xml:space="preserve">Prestations de service
Achat prestations de services locales - personnes physiques </t>
        </is>
      </c>
      <c r="N206" s="677" t="n"/>
      <c r="O206" s="678" t="n"/>
      <c r="P206" s="678" t="n"/>
      <c r="Q206" s="672" t="inlineStr">
        <is>
          <t>RECONDUCTION</t>
        </is>
      </c>
      <c r="R206" s="679" t="n"/>
      <c r="S206" s="680" t="n"/>
      <c r="T206" s="681" t="inlineStr">
        <is>
          <t>AKDIM M'BAREK</t>
        </is>
      </c>
      <c r="U206" s="672" t="n">
        <v>2026</v>
      </c>
      <c r="V206" s="680" t="n">
        <v>46387</v>
      </c>
      <c r="W206" s="680" t="n"/>
      <c r="X206" s="680" t="n">
        <v>46024</v>
      </c>
      <c r="Y206" s="677" t="n">
        <v>132000</v>
      </c>
      <c r="Z206" s="678" t="n"/>
      <c r="AA206" s="678">
        <f>Y206</f>
        <v/>
      </c>
      <c r="AB206" s="678" t="n"/>
      <c r="AC206" s="678">
        <f>Y206</f>
        <v/>
      </c>
      <c r="AD206" s="678">
        <f>AA206</f>
        <v/>
      </c>
      <c r="AE206" s="682" t="inlineStr">
        <is>
          <t>ENGAGE</t>
        </is>
      </c>
      <c r="AF206" s="681" t="n"/>
      <c r="AG206" s="678" t="n"/>
      <c r="AH206" s="678" t="n"/>
      <c r="AI206" s="678" t="n"/>
      <c r="AJ206" s="678" t="n"/>
      <c r="AK206" s="683" t="n"/>
      <c r="AL206" s="683" t="n"/>
      <c r="AM206" s="681" t="inlineStr">
        <is>
          <t>Manque n° contrat</t>
        </is>
      </c>
      <c r="AN206" s="684" t="n"/>
      <c r="AO206" s="685" t="n"/>
      <c r="AP206" s="686" t="n"/>
      <c r="AQ206" s="686" t="n"/>
      <c r="AR206" s="23" t="n"/>
      <c r="AS206" s="686" t="n"/>
    </row>
    <row r="207" ht="50.55" customHeight="1" s="392">
      <c r="A207" s="672" t="n">
        <v>2026</v>
      </c>
      <c r="B207" s="673" t="inlineStr">
        <is>
          <t>TAMAZIGHT</t>
        </is>
      </c>
      <c r="C207" s="673" t="inlineStr">
        <is>
          <t>PV N° : 01RC2025- DCPCART</t>
        </is>
      </c>
      <c r="D207" s="672" t="inlineStr">
        <is>
          <t>CONTRAT</t>
        </is>
      </c>
      <c r="E207" s="672" t="n"/>
      <c r="F207" s="674" t="inlineStr">
        <is>
          <t>MARYEM OUJOUJ  -  Régisseur d'antenne /Opérateur serveur</t>
        </is>
      </c>
      <c r="G207" s="675" t="inlineStr">
        <is>
          <t>VALIDE</t>
        </is>
      </c>
      <c r="H207" s="672" t="inlineStr">
        <is>
          <t>APPROUVE</t>
        </is>
      </c>
      <c r="I207" s="672" t="n"/>
      <c r="J207" s="675" t="inlineStr">
        <is>
          <t>NON CONCERNE</t>
        </is>
      </c>
      <c r="K207" s="672" t="inlineStr">
        <is>
          <t>Ordinaire</t>
        </is>
      </c>
      <c r="L207" s="676" t="inlineStr">
        <is>
          <t>FONCTIONNEMENT</t>
        </is>
      </c>
      <c r="M207" s="676" t="inlineStr">
        <is>
          <t xml:space="preserve">Prestations de service
Achat prestations de services locales - personnes physiques </t>
        </is>
      </c>
      <c r="N207" s="677" t="n"/>
      <c r="O207" s="678" t="n"/>
      <c r="P207" s="678" t="n"/>
      <c r="Q207" s="672" t="inlineStr">
        <is>
          <t>RECONDUCTION</t>
        </is>
      </c>
      <c r="R207" s="679" t="n"/>
      <c r="S207" s="680" t="n"/>
      <c r="T207" s="681" t="inlineStr">
        <is>
          <t>MARYEM OUJOUJ</t>
        </is>
      </c>
      <c r="U207" s="672" t="n">
        <v>2026</v>
      </c>
      <c r="V207" s="680" t="n">
        <v>46387</v>
      </c>
      <c r="W207" s="680" t="n"/>
      <c r="X207" s="680" t="n">
        <v>46024</v>
      </c>
      <c r="Y207" s="677" t="n">
        <v>96000</v>
      </c>
      <c r="Z207" s="678" t="n"/>
      <c r="AA207" s="678">
        <f>Y207</f>
        <v/>
      </c>
      <c r="AB207" s="678" t="n"/>
      <c r="AC207" s="678">
        <f>Y207</f>
        <v/>
      </c>
      <c r="AD207" s="678">
        <f>AA207</f>
        <v/>
      </c>
      <c r="AE207" s="682" t="inlineStr">
        <is>
          <t>ENGAGE</t>
        </is>
      </c>
      <c r="AF207" s="681" t="n"/>
      <c r="AG207" s="678" t="n"/>
      <c r="AH207" s="678" t="n"/>
      <c r="AI207" s="678" t="n"/>
      <c r="AJ207" s="678" t="n"/>
      <c r="AK207" s="683" t="n"/>
      <c r="AL207" s="683" t="n"/>
      <c r="AM207" s="681" t="inlineStr">
        <is>
          <t>Manque n° contrat</t>
        </is>
      </c>
      <c r="AN207" s="684" t="n"/>
      <c r="AO207" s="685" t="n"/>
      <c r="AP207" s="686" t="n"/>
      <c r="AQ207" s="686" t="n"/>
      <c r="AR207" s="23" t="n"/>
      <c r="AS207" s="686" t="n"/>
    </row>
    <row r="208" ht="50.55" customHeight="1" s="392">
      <c r="A208" s="672" t="n">
        <v>2026</v>
      </c>
      <c r="B208" s="673" t="inlineStr">
        <is>
          <t>TAMAZIGHT</t>
        </is>
      </c>
      <c r="C208" s="673" t="inlineStr">
        <is>
          <t>PV N° : 01RC2025- DCPCART</t>
        </is>
      </c>
      <c r="D208" s="672" t="inlineStr">
        <is>
          <t>CONTRAT</t>
        </is>
      </c>
      <c r="E208" s="672" t="n"/>
      <c r="F208" s="674" t="inlineStr">
        <is>
          <t>RACHID EL MANSOURI  -  Pré PAD/ Assistant réalisateur</t>
        </is>
      </c>
      <c r="G208" s="675" t="inlineStr">
        <is>
          <t>VALIDE</t>
        </is>
      </c>
      <c r="H208" s="672" t="inlineStr">
        <is>
          <t>APPROUVE</t>
        </is>
      </c>
      <c r="I208" s="672" t="n"/>
      <c r="J208" s="675" t="inlineStr">
        <is>
          <t>NON CONCERNE</t>
        </is>
      </c>
      <c r="K208" s="672" t="inlineStr">
        <is>
          <t>Ordinaire</t>
        </is>
      </c>
      <c r="L208" s="676" t="inlineStr">
        <is>
          <t>FONCTIONNEMENT</t>
        </is>
      </c>
      <c r="M208" s="676" t="inlineStr">
        <is>
          <t xml:space="preserve">Prestations de service
Achat prestations de services locales - personnes physiques </t>
        </is>
      </c>
      <c r="N208" s="677" t="n"/>
      <c r="O208" s="678" t="n"/>
      <c r="P208" s="678" t="n"/>
      <c r="Q208" s="672" t="inlineStr">
        <is>
          <t>RECONDUCTION</t>
        </is>
      </c>
      <c r="R208" s="679" t="n"/>
      <c r="S208" s="680" t="n"/>
      <c r="T208" s="681" t="inlineStr">
        <is>
          <t>RACHID EL MANSOURI</t>
        </is>
      </c>
      <c r="U208" s="672" t="n">
        <v>2026</v>
      </c>
      <c r="V208" s="680" t="n">
        <v>46387</v>
      </c>
      <c r="W208" s="680" t="n"/>
      <c r="X208" s="680" t="n">
        <v>46024</v>
      </c>
      <c r="Y208" s="677" t="n">
        <v>124800</v>
      </c>
      <c r="Z208" s="678" t="n"/>
      <c r="AA208" s="678">
        <f>Y208</f>
        <v/>
      </c>
      <c r="AB208" s="678" t="n"/>
      <c r="AC208" s="678">
        <f>Y208</f>
        <v/>
      </c>
      <c r="AD208" s="678">
        <f>AA208</f>
        <v/>
      </c>
      <c r="AE208" s="682" t="inlineStr">
        <is>
          <t>ENGAGE</t>
        </is>
      </c>
      <c r="AF208" s="681" t="n"/>
      <c r="AG208" s="678" t="n"/>
      <c r="AH208" s="678" t="n"/>
      <c r="AI208" s="678" t="n"/>
      <c r="AJ208" s="678" t="n"/>
      <c r="AK208" s="683" t="n"/>
      <c r="AL208" s="683" t="n"/>
      <c r="AM208" s="681" t="inlineStr">
        <is>
          <t>Manque n° contrat</t>
        </is>
      </c>
      <c r="AN208" s="684" t="n"/>
      <c r="AO208" s="685" t="n"/>
      <c r="AP208" s="686" t="n"/>
      <c r="AQ208" s="686" t="n"/>
      <c r="AR208" s="23" t="n"/>
      <c r="AS208" s="686" t="n"/>
    </row>
    <row r="209" ht="50.55" customHeight="1" s="392">
      <c r="A209" s="672" t="n">
        <v>2026</v>
      </c>
      <c r="B209" s="673" t="inlineStr">
        <is>
          <t>TAMAZIGHT</t>
        </is>
      </c>
      <c r="C209" s="673" t="inlineStr">
        <is>
          <t>PV N° : 01RC2025- DCPCART</t>
        </is>
      </c>
      <c r="D209" s="672" t="inlineStr">
        <is>
          <t>CONTRAT</t>
        </is>
      </c>
      <c r="E209" s="672" t="n"/>
      <c r="F209" s="674" t="inlineStr">
        <is>
          <t>HICHAM MADACHA  -  Consultant Politique</t>
        </is>
      </c>
      <c r="G209" s="675" t="inlineStr">
        <is>
          <t>VALIDE</t>
        </is>
      </c>
      <c r="H209" s="672" t="inlineStr">
        <is>
          <t>APPROUVE</t>
        </is>
      </c>
      <c r="I209" s="672" t="n"/>
      <c r="J209" s="675" t="inlineStr">
        <is>
          <t>NON CONCERNE</t>
        </is>
      </c>
      <c r="K209" s="672" t="inlineStr">
        <is>
          <t>Ordinaire</t>
        </is>
      </c>
      <c r="L209" s="676" t="inlineStr">
        <is>
          <t>FONCTIONNEMENT</t>
        </is>
      </c>
      <c r="M209" s="676" t="inlineStr">
        <is>
          <t xml:space="preserve">Prestations de service
Achat prestations de services locales - personnes physiques </t>
        </is>
      </c>
      <c r="N209" s="677" t="n"/>
      <c r="O209" s="678" t="n"/>
      <c r="P209" s="678" t="n"/>
      <c r="Q209" s="672" t="inlineStr">
        <is>
          <t>RECONDUCTION</t>
        </is>
      </c>
      <c r="R209" s="679" t="n"/>
      <c r="S209" s="680" t="n"/>
      <c r="T209" s="681" t="inlineStr">
        <is>
          <t>HICHAM MADACHA</t>
        </is>
      </c>
      <c r="U209" s="672" t="n">
        <v>2026</v>
      </c>
      <c r="V209" s="680" t="n">
        <v>46387</v>
      </c>
      <c r="W209" s="680" t="n"/>
      <c r="X209" s="680" t="n">
        <v>46024</v>
      </c>
      <c r="Y209" s="677" t="n">
        <v>171428.52</v>
      </c>
      <c r="Z209" s="678" t="n"/>
      <c r="AA209" s="678">
        <f>Y209</f>
        <v/>
      </c>
      <c r="AB209" s="678" t="n"/>
      <c r="AC209" s="678">
        <f>Y209</f>
        <v/>
      </c>
      <c r="AD209" s="678">
        <f>AA209</f>
        <v/>
      </c>
      <c r="AE209" s="682" t="inlineStr">
        <is>
          <t>ENGAGE</t>
        </is>
      </c>
      <c r="AF209" s="681" t="n"/>
      <c r="AG209" s="678" t="n"/>
      <c r="AH209" s="678" t="n"/>
      <c r="AI209" s="678" t="n"/>
      <c r="AJ209" s="678" t="n"/>
      <c r="AK209" s="683" t="n"/>
      <c r="AL209" s="683" t="n"/>
      <c r="AM209" s="681" t="inlineStr">
        <is>
          <t>Manque n° contrat</t>
        </is>
      </c>
      <c r="AN209" s="684" t="n"/>
      <c r="AO209" s="685" t="n"/>
      <c r="AP209" s="686" t="n"/>
      <c r="AQ209" s="686" t="n"/>
      <c r="AR209" s="23" t="n"/>
      <c r="AS209" s="686" t="n"/>
    </row>
    <row r="210" ht="50.55" customHeight="1" s="392">
      <c r="A210" s="672" t="n">
        <v>2026</v>
      </c>
      <c r="B210" s="673" t="inlineStr">
        <is>
          <t>TAMAZIGHT</t>
        </is>
      </c>
      <c r="C210" s="673" t="inlineStr">
        <is>
          <t>PV N° : 01RC2025- DCPCART</t>
        </is>
      </c>
      <c r="D210" s="672" t="inlineStr">
        <is>
          <t>CONTRAT</t>
        </is>
      </c>
      <c r="E210" s="672" t="n"/>
      <c r="F210" s="674" t="inlineStr">
        <is>
          <t>MUSTAPHA AZIZI  -  Consultant Politique</t>
        </is>
      </c>
      <c r="G210" s="675" t="inlineStr">
        <is>
          <t>VALIDE</t>
        </is>
      </c>
      <c r="H210" s="672" t="inlineStr">
        <is>
          <t>APPROUVE</t>
        </is>
      </c>
      <c r="I210" s="672" t="n"/>
      <c r="J210" s="675" t="inlineStr">
        <is>
          <t>NON CONCERNE</t>
        </is>
      </c>
      <c r="K210" s="672" t="inlineStr">
        <is>
          <t>Ordinaire</t>
        </is>
      </c>
      <c r="L210" s="676" t="inlineStr">
        <is>
          <t>FONCTIONNEMENT</t>
        </is>
      </c>
      <c r="M210" s="676" t="inlineStr">
        <is>
          <t xml:space="preserve">Prestations de service
Achat prestations de services locales - personnes physiques </t>
        </is>
      </c>
      <c r="N210" s="677" t="n"/>
      <c r="O210" s="678" t="n"/>
      <c r="P210" s="678" t="n"/>
      <c r="Q210" s="672" t="inlineStr">
        <is>
          <t>RECONDUCTION</t>
        </is>
      </c>
      <c r="R210" s="679" t="n"/>
      <c r="S210" s="680" t="n"/>
      <c r="T210" s="681" t="inlineStr">
        <is>
          <t>MUSTAPHA AZIZI</t>
        </is>
      </c>
      <c r="U210" s="672" t="n">
        <v>2026</v>
      </c>
      <c r="V210" s="680" t="n">
        <v>46387</v>
      </c>
      <c r="W210" s="680" t="n"/>
      <c r="X210" s="680" t="n">
        <v>46024</v>
      </c>
      <c r="Y210" s="677" t="n">
        <v>180000</v>
      </c>
      <c r="Z210" s="678" t="n"/>
      <c r="AA210" s="678">
        <f>Y210</f>
        <v/>
      </c>
      <c r="AB210" s="678" t="n"/>
      <c r="AC210" s="678">
        <f>Y210</f>
        <v/>
      </c>
      <c r="AD210" s="678">
        <f>AA210</f>
        <v/>
      </c>
      <c r="AE210" s="682" t="inlineStr">
        <is>
          <t>ENGAGE</t>
        </is>
      </c>
      <c r="AF210" s="681" t="n"/>
      <c r="AG210" s="678" t="n"/>
      <c r="AH210" s="678" t="n"/>
      <c r="AI210" s="678" t="n"/>
      <c r="AJ210" s="678" t="n"/>
      <c r="AK210" s="683" t="n"/>
      <c r="AL210" s="683" t="n"/>
      <c r="AM210" s="681" t="inlineStr">
        <is>
          <t>Manque n° contrat</t>
        </is>
      </c>
      <c r="AN210" s="684" t="n"/>
      <c r="AO210" s="685" t="n"/>
      <c r="AP210" s="686" t="n"/>
      <c r="AQ210" s="686" t="n"/>
      <c r="AR210" s="23" t="n"/>
      <c r="AS210" s="686" t="n"/>
    </row>
    <row r="211" ht="50.55" customHeight="1" s="392">
      <c r="A211" s="672" t="n">
        <v>2026</v>
      </c>
      <c r="B211" s="673" t="inlineStr">
        <is>
          <t>TAMAZIGHT</t>
        </is>
      </c>
      <c r="C211" s="673" t="inlineStr">
        <is>
          <t>PV N° : 01RC2025- DCPCART</t>
        </is>
      </c>
      <c r="D211" s="672" t="inlineStr">
        <is>
          <t>CONTRAT</t>
        </is>
      </c>
      <c r="E211" s="672" t="n"/>
      <c r="F211" s="674" t="inlineStr">
        <is>
          <t>HAFID EZZAHRI  -  Consultant Politique</t>
        </is>
      </c>
      <c r="G211" s="675" t="inlineStr">
        <is>
          <t>VALIDE</t>
        </is>
      </c>
      <c r="H211" s="672" t="inlineStr">
        <is>
          <t>EN SIGNATURE</t>
        </is>
      </c>
      <c r="I211" s="672" t="n"/>
      <c r="J211" s="675" t="inlineStr">
        <is>
          <t>NON CONCERNE</t>
        </is>
      </c>
      <c r="K211" s="672" t="inlineStr">
        <is>
          <t>Ordinaire</t>
        </is>
      </c>
      <c r="L211" s="676" t="inlineStr">
        <is>
          <t>FONCTIONNEMENT</t>
        </is>
      </c>
      <c r="M211" s="676" t="inlineStr">
        <is>
          <t xml:space="preserve">Prestations de service
Achat prestations de services locales - personnes physiques </t>
        </is>
      </c>
      <c r="N211" s="677" t="n"/>
      <c r="O211" s="678" t="n"/>
      <c r="P211" s="678" t="n"/>
      <c r="Q211" s="672" t="inlineStr">
        <is>
          <t>RECONDUCTION</t>
        </is>
      </c>
      <c r="R211" s="679" t="n"/>
      <c r="S211" s="680" t="n"/>
      <c r="T211" s="681" t="inlineStr">
        <is>
          <t>HAFID EZZAHRI</t>
        </is>
      </c>
      <c r="U211" s="672" t="n">
        <v>2026</v>
      </c>
      <c r="V211" s="680" t="n">
        <v>46387</v>
      </c>
      <c r="W211" s="680" t="n"/>
      <c r="X211" s="680" t="n">
        <v>46024</v>
      </c>
      <c r="Y211" s="677" t="n">
        <v>120000</v>
      </c>
      <c r="Z211" s="678" t="n"/>
      <c r="AA211" s="678">
        <f>Y211</f>
        <v/>
      </c>
      <c r="AB211" s="678" t="n"/>
      <c r="AC211" s="678">
        <f>Y211</f>
        <v/>
      </c>
      <c r="AD211" s="678">
        <f>AA211</f>
        <v/>
      </c>
      <c r="AE211" s="682" t="inlineStr">
        <is>
          <t>ENGAGE</t>
        </is>
      </c>
      <c r="AF211" s="681" t="n"/>
      <c r="AG211" s="678" t="n"/>
      <c r="AH211" s="678" t="n"/>
      <c r="AI211" s="678" t="n"/>
      <c r="AJ211" s="678" t="n"/>
      <c r="AK211" s="683" t="n"/>
      <c r="AL211" s="683" t="n"/>
      <c r="AM211" s="681" t="inlineStr">
        <is>
          <t>Manque n° contrat</t>
        </is>
      </c>
      <c r="AN211" s="684" t="n"/>
      <c r="AO211" s="685" t="n"/>
      <c r="AP211" s="686" t="n"/>
      <c r="AQ211" s="686" t="n"/>
      <c r="AR211" s="23" t="n"/>
      <c r="AS211" s="686" t="n"/>
    </row>
    <row r="212" ht="50.55" customHeight="1" s="392">
      <c r="A212" s="672" t="n">
        <v>2026</v>
      </c>
      <c r="B212" s="673" t="inlineStr">
        <is>
          <t>TAMAZIGHT</t>
        </is>
      </c>
      <c r="C212" s="673" t="inlineStr">
        <is>
          <t>PV N° : 01RC2025- DCPCART</t>
        </is>
      </c>
      <c r="D212" s="672" t="inlineStr">
        <is>
          <t>CONTRAT</t>
        </is>
      </c>
      <c r="E212" s="672" t="n"/>
      <c r="F212" s="674" t="inlineStr">
        <is>
          <t>SOFIA EL AMALKI  -  Journaliste</t>
        </is>
      </c>
      <c r="G212" s="675" t="inlineStr">
        <is>
          <t>VALIDE</t>
        </is>
      </c>
      <c r="H212" s="672" t="inlineStr">
        <is>
          <t>APPROUVE</t>
        </is>
      </c>
      <c r="I212" s="672" t="n"/>
      <c r="J212" s="675" t="inlineStr">
        <is>
          <t>NON CONCERNE</t>
        </is>
      </c>
      <c r="K212" s="672" t="inlineStr">
        <is>
          <t>Ordinaire</t>
        </is>
      </c>
      <c r="L212" s="676" t="inlineStr">
        <is>
          <t>FONCTIONNEMENT</t>
        </is>
      </c>
      <c r="M212" s="676" t="inlineStr">
        <is>
          <t xml:space="preserve">Prestations de service
Achat prestations de services locales - personnes physiques </t>
        </is>
      </c>
      <c r="N212" s="677" t="n"/>
      <c r="O212" s="678" t="n"/>
      <c r="P212" s="678" t="n"/>
      <c r="Q212" s="672" t="inlineStr">
        <is>
          <t>RECONDUCTION</t>
        </is>
      </c>
      <c r="R212" s="679" t="n"/>
      <c r="S212" s="680" t="n"/>
      <c r="T212" s="681" t="inlineStr">
        <is>
          <t>SOFIA EL AMALKI</t>
        </is>
      </c>
      <c r="U212" s="672" t="n">
        <v>2026</v>
      </c>
      <c r="V212" s="680" t="n">
        <v>46387</v>
      </c>
      <c r="W212" s="680" t="n"/>
      <c r="X212" s="680" t="n">
        <v>46024</v>
      </c>
      <c r="Y212" s="677" t="n">
        <v>96000</v>
      </c>
      <c r="Z212" s="678" t="n"/>
      <c r="AA212" s="678">
        <f>Y212</f>
        <v/>
      </c>
      <c r="AB212" s="678" t="n"/>
      <c r="AC212" s="678">
        <f>Y212</f>
        <v/>
      </c>
      <c r="AD212" s="678">
        <f>AA212</f>
        <v/>
      </c>
      <c r="AE212" s="682" t="inlineStr">
        <is>
          <t>ENGAGE</t>
        </is>
      </c>
      <c r="AF212" s="681" t="n"/>
      <c r="AG212" s="678" t="n"/>
      <c r="AH212" s="678" t="n"/>
      <c r="AI212" s="678" t="n"/>
      <c r="AJ212" s="678" t="n"/>
      <c r="AK212" s="683" t="n"/>
      <c r="AL212" s="683" t="n"/>
      <c r="AM212" s="681" t="inlineStr">
        <is>
          <t>Manque n° contrat</t>
        </is>
      </c>
      <c r="AN212" s="684" t="n"/>
      <c r="AO212" s="685" t="n"/>
      <c r="AP212" s="686" t="n"/>
      <c r="AQ212" s="686" t="n"/>
      <c r="AR212" s="23" t="n"/>
      <c r="AS212" s="686" t="n"/>
    </row>
    <row r="213" ht="50.55" customHeight="1" s="392">
      <c r="A213" s="672" t="n">
        <v>2026</v>
      </c>
      <c r="B213" s="673" t="inlineStr">
        <is>
          <t>TAMAZIGHT</t>
        </is>
      </c>
      <c r="C213" s="673" t="inlineStr">
        <is>
          <t>PV N° : 01RC2025- DCPCART</t>
        </is>
      </c>
      <c r="D213" s="672" t="inlineStr">
        <is>
          <t>CONTRAT</t>
        </is>
      </c>
      <c r="E213" s="672" t="n"/>
      <c r="F213" s="674" t="inlineStr">
        <is>
          <t>TAHAR MOHAMED  -  Technicien OPV/OPS</t>
        </is>
      </c>
      <c r="G213" s="675" t="inlineStr">
        <is>
          <t>VALIDE</t>
        </is>
      </c>
      <c r="H213" s="672" t="inlineStr">
        <is>
          <t>APPROUVE</t>
        </is>
      </c>
      <c r="I213" s="672" t="n"/>
      <c r="J213" s="675" t="inlineStr">
        <is>
          <t>NON CONCERNE</t>
        </is>
      </c>
      <c r="K213" s="672" t="inlineStr">
        <is>
          <t>Ordinaire</t>
        </is>
      </c>
      <c r="L213" s="676" t="inlineStr">
        <is>
          <t>FONCTIONNEMENT</t>
        </is>
      </c>
      <c r="M213" s="676" t="inlineStr">
        <is>
          <t xml:space="preserve">Prestations de service
Achat prestations de services locales - personnes physiques </t>
        </is>
      </c>
      <c r="N213" s="677" t="n"/>
      <c r="O213" s="678" t="n"/>
      <c r="P213" s="678" t="n"/>
      <c r="Q213" s="672" t="inlineStr">
        <is>
          <t>RECONDUCTION</t>
        </is>
      </c>
      <c r="R213" s="679" t="n"/>
      <c r="S213" s="680" t="n"/>
      <c r="T213" s="681" t="inlineStr">
        <is>
          <t>TAHAR MOHAMED</t>
        </is>
      </c>
      <c r="U213" s="672" t="n">
        <v>2026</v>
      </c>
      <c r="V213" s="680" t="n">
        <v>46387</v>
      </c>
      <c r="W213" s="680" t="n"/>
      <c r="X213" s="680" t="n">
        <v>46024</v>
      </c>
      <c r="Y213" s="677" t="n">
        <v>84000</v>
      </c>
      <c r="Z213" s="678" t="n"/>
      <c r="AA213" s="678">
        <f>Y213</f>
        <v/>
      </c>
      <c r="AB213" s="678" t="n"/>
      <c r="AC213" s="678">
        <f>Y213</f>
        <v/>
      </c>
      <c r="AD213" s="678">
        <f>AA213</f>
        <v/>
      </c>
      <c r="AE213" s="682" t="inlineStr">
        <is>
          <t>ENGAGE</t>
        </is>
      </c>
      <c r="AF213" s="681" t="n"/>
      <c r="AG213" s="678" t="n"/>
      <c r="AH213" s="678" t="n"/>
      <c r="AI213" s="678" t="n"/>
      <c r="AJ213" s="678" t="n"/>
      <c r="AK213" s="683" t="n"/>
      <c r="AL213" s="683" t="n"/>
      <c r="AM213" s="681" t="inlineStr">
        <is>
          <t>Manque n° contrat</t>
        </is>
      </c>
      <c r="AN213" s="684" t="n"/>
      <c r="AO213" s="685" t="n"/>
      <c r="AP213" s="686" t="n"/>
      <c r="AQ213" s="686" t="n"/>
      <c r="AR213" s="23" t="n"/>
      <c r="AS213" s="686" t="n"/>
    </row>
    <row r="214" ht="50.55" customHeight="1" s="392">
      <c r="A214" s="672" t="n">
        <v>2026</v>
      </c>
      <c r="B214" s="673" t="inlineStr">
        <is>
          <t>TAMAZIGHT</t>
        </is>
      </c>
      <c r="C214" s="673" t="inlineStr">
        <is>
          <t>PV N° : 01RC2025- DCPCART</t>
        </is>
      </c>
      <c r="D214" s="672" t="inlineStr">
        <is>
          <t>CONTRAT</t>
        </is>
      </c>
      <c r="E214" s="672" t="n"/>
      <c r="F214" s="674" t="inlineStr">
        <is>
          <t>SAID HASNI  -  Concepteur Animateur RD/TV</t>
        </is>
      </c>
      <c r="G214" s="675" t="inlineStr">
        <is>
          <t>VALIDE</t>
        </is>
      </c>
      <c r="H214" s="672" t="inlineStr">
        <is>
          <t>APPROUVE</t>
        </is>
      </c>
      <c r="I214" s="672" t="n"/>
      <c r="J214" s="675" t="inlineStr">
        <is>
          <t>NON CONCERNE</t>
        </is>
      </c>
      <c r="K214" s="672" t="inlineStr">
        <is>
          <t>Ordinaire</t>
        </is>
      </c>
      <c r="L214" s="676" t="inlineStr">
        <is>
          <t>FONCTIONNEMENT</t>
        </is>
      </c>
      <c r="M214" s="676" t="inlineStr">
        <is>
          <t xml:space="preserve">Prestations de service
Achat prestations de services locales - personnes physiques </t>
        </is>
      </c>
      <c r="N214" s="677" t="n"/>
      <c r="O214" s="678" t="n"/>
      <c r="P214" s="678" t="n"/>
      <c r="Q214" s="672" t="inlineStr">
        <is>
          <t>RECONDUCTION</t>
        </is>
      </c>
      <c r="R214" s="679" t="n"/>
      <c r="S214" s="680" t="n"/>
      <c r="T214" s="681" t="inlineStr">
        <is>
          <t>SAID HASNI</t>
        </is>
      </c>
      <c r="U214" s="672" t="n">
        <v>2026</v>
      </c>
      <c r="V214" s="680" t="n">
        <v>46387</v>
      </c>
      <c r="W214" s="680" t="n"/>
      <c r="X214" s="680" t="n">
        <v>46024</v>
      </c>
      <c r="Y214" s="677" t="n">
        <v>96000</v>
      </c>
      <c r="Z214" s="678" t="n"/>
      <c r="AA214" s="678">
        <f>Y214</f>
        <v/>
      </c>
      <c r="AB214" s="678" t="n"/>
      <c r="AC214" s="678">
        <f>Y214</f>
        <v/>
      </c>
      <c r="AD214" s="678">
        <f>AA214</f>
        <v/>
      </c>
      <c r="AE214" s="682" t="inlineStr">
        <is>
          <t>ENGAGE</t>
        </is>
      </c>
      <c r="AF214" s="681" t="n"/>
      <c r="AG214" s="678" t="n"/>
      <c r="AH214" s="678" t="n"/>
      <c r="AI214" s="678" t="n"/>
      <c r="AJ214" s="678" t="n"/>
      <c r="AK214" s="683" t="n"/>
      <c r="AL214" s="683" t="n"/>
      <c r="AM214" s="681" t="inlineStr">
        <is>
          <t>Manque n° contrat</t>
        </is>
      </c>
      <c r="AN214" s="684" t="n"/>
      <c r="AO214" s="685" t="n"/>
      <c r="AP214" s="686" t="n"/>
      <c r="AQ214" s="686" t="n"/>
      <c r="AR214" s="23" t="n"/>
      <c r="AS214" s="686" t="n"/>
    </row>
    <row r="215" ht="50.55" customHeight="1" s="392">
      <c r="A215" s="672" t="n">
        <v>2026</v>
      </c>
      <c r="B215" s="673" t="inlineStr">
        <is>
          <t>TAMAZIGHT</t>
        </is>
      </c>
      <c r="C215" s="673" t="inlineStr">
        <is>
          <t>PV N° : 01RC2025- DCPCART</t>
        </is>
      </c>
      <c r="D215" s="672" t="inlineStr">
        <is>
          <t>CONTRAT</t>
        </is>
      </c>
      <c r="E215" s="672" t="n"/>
      <c r="F215" s="674" t="inlineStr">
        <is>
          <t>NAJMI NOUREDDIN  -  Concepteur Animateur RD/TV</t>
        </is>
      </c>
      <c r="G215" s="675" t="inlineStr">
        <is>
          <t>VALIDE</t>
        </is>
      </c>
      <c r="H215" s="672" t="inlineStr">
        <is>
          <t>APPROUVE</t>
        </is>
      </c>
      <c r="I215" s="672" t="n"/>
      <c r="J215" s="675" t="inlineStr">
        <is>
          <t>NON CONCERNE</t>
        </is>
      </c>
      <c r="K215" s="672" t="inlineStr">
        <is>
          <t>Ordinaire</t>
        </is>
      </c>
      <c r="L215" s="676" t="inlineStr">
        <is>
          <t>FONCTIONNEMENT</t>
        </is>
      </c>
      <c r="M215" s="676" t="inlineStr">
        <is>
          <t xml:space="preserve">Prestations de service
Achat prestations de services locales - personnes physiques </t>
        </is>
      </c>
      <c r="N215" s="677" t="n"/>
      <c r="O215" s="678" t="n"/>
      <c r="P215" s="678" t="n"/>
      <c r="Q215" s="672" t="inlineStr">
        <is>
          <t>RECONDUCTION</t>
        </is>
      </c>
      <c r="R215" s="679" t="n"/>
      <c r="S215" s="680" t="n"/>
      <c r="T215" s="681" t="inlineStr">
        <is>
          <t>NAJMI NOUREDDIN</t>
        </is>
      </c>
      <c r="U215" s="672" t="n">
        <v>2026</v>
      </c>
      <c r="V215" s="680" t="n">
        <v>46387</v>
      </c>
      <c r="W215" s="680" t="n"/>
      <c r="X215" s="680" t="n">
        <v>46024</v>
      </c>
      <c r="Y215" s="677" t="n">
        <v>96000</v>
      </c>
      <c r="Z215" s="678" t="n"/>
      <c r="AA215" s="678">
        <f>Y215</f>
        <v/>
      </c>
      <c r="AB215" s="678" t="n"/>
      <c r="AC215" s="678">
        <f>Y215</f>
        <v/>
      </c>
      <c r="AD215" s="678">
        <f>AA215</f>
        <v/>
      </c>
      <c r="AE215" s="682" t="inlineStr">
        <is>
          <t>ENGAGE</t>
        </is>
      </c>
      <c r="AF215" s="681" t="n"/>
      <c r="AG215" s="678" t="n"/>
      <c r="AH215" s="678" t="n"/>
      <c r="AI215" s="678" t="n"/>
      <c r="AJ215" s="678" t="n"/>
      <c r="AK215" s="683" t="n"/>
      <c r="AL215" s="683" t="n"/>
      <c r="AM215" s="681" t="inlineStr">
        <is>
          <t>Manque n° contrat</t>
        </is>
      </c>
      <c r="AN215" s="684" t="n"/>
      <c r="AO215" s="685" t="n"/>
      <c r="AP215" s="686" t="n"/>
      <c r="AQ215" s="686" t="n"/>
      <c r="AR215" s="23" t="n"/>
      <c r="AS215" s="686" t="n"/>
    </row>
    <row r="216" ht="50.55" customHeight="1" s="392">
      <c r="A216" s="672" t="n">
        <v>2026</v>
      </c>
      <c r="B216" s="673" t="inlineStr">
        <is>
          <t>TAMAZIGHT</t>
        </is>
      </c>
      <c r="C216" s="673" t="inlineStr">
        <is>
          <t>PV N° : 01RC2025- DCPCART</t>
        </is>
      </c>
      <c r="D216" s="672" t="inlineStr">
        <is>
          <t>CONTRAT</t>
        </is>
      </c>
      <c r="E216" s="672" t="n"/>
      <c r="F216" s="674" t="inlineStr">
        <is>
          <t>ABEL NEZHA  -  Concepteur Animateur RD/TV</t>
        </is>
      </c>
      <c r="G216" s="675" t="inlineStr">
        <is>
          <t>VALIDE</t>
        </is>
      </c>
      <c r="H216" s="672" t="inlineStr">
        <is>
          <t>APPROUVE</t>
        </is>
      </c>
      <c r="I216" s="672" t="n"/>
      <c r="J216" s="675" t="inlineStr">
        <is>
          <t>NON CONCERNE</t>
        </is>
      </c>
      <c r="K216" s="672" t="inlineStr">
        <is>
          <t>Ordinaire</t>
        </is>
      </c>
      <c r="L216" s="676" t="inlineStr">
        <is>
          <t>FONCTIONNEMENT</t>
        </is>
      </c>
      <c r="M216" s="676" t="inlineStr">
        <is>
          <t xml:space="preserve">Prestations de service
Achat prestations de services locales - personnes physiques </t>
        </is>
      </c>
      <c r="N216" s="677" t="n"/>
      <c r="O216" s="678" t="n"/>
      <c r="P216" s="678" t="n"/>
      <c r="Q216" s="672" t="inlineStr">
        <is>
          <t>RECONDUCTION</t>
        </is>
      </c>
      <c r="R216" s="679" t="n"/>
      <c r="S216" s="680" t="n"/>
      <c r="T216" s="681" t="inlineStr">
        <is>
          <t>ABEL NEZHA</t>
        </is>
      </c>
      <c r="U216" s="672" t="n">
        <v>2026</v>
      </c>
      <c r="V216" s="680" t="n">
        <v>46387</v>
      </c>
      <c r="W216" s="680" t="n"/>
      <c r="X216" s="680" t="n">
        <v>46024</v>
      </c>
      <c r="Y216" s="677" t="n">
        <v>84000</v>
      </c>
      <c r="Z216" s="678" t="n"/>
      <c r="AA216" s="678">
        <f>Y216</f>
        <v/>
      </c>
      <c r="AB216" s="678" t="n"/>
      <c r="AC216" s="678">
        <f>Y216</f>
        <v/>
      </c>
      <c r="AD216" s="678">
        <f>AA216</f>
        <v/>
      </c>
      <c r="AE216" s="682" t="inlineStr">
        <is>
          <t>ENGAGE</t>
        </is>
      </c>
      <c r="AF216" s="681" t="n"/>
      <c r="AG216" s="678" t="n"/>
      <c r="AH216" s="678" t="n"/>
      <c r="AI216" s="678" t="n"/>
      <c r="AJ216" s="678" t="n"/>
      <c r="AK216" s="683" t="n"/>
      <c r="AL216" s="683" t="n"/>
      <c r="AM216" s="681" t="inlineStr">
        <is>
          <t>Manque n° contrat</t>
        </is>
      </c>
      <c r="AN216" s="684" t="n"/>
      <c r="AO216" s="685" t="n"/>
      <c r="AP216" s="686" t="n"/>
      <c r="AQ216" s="686" t="n"/>
      <c r="AR216" s="23" t="n"/>
      <c r="AS216" s="686" t="n"/>
    </row>
    <row r="217" ht="50.55" customHeight="1" s="392">
      <c r="A217" s="672" t="n">
        <v>2026</v>
      </c>
      <c r="B217" s="673" t="inlineStr">
        <is>
          <t>TAMAZIGHT</t>
        </is>
      </c>
      <c r="C217" s="673" t="inlineStr">
        <is>
          <t>PV N° : 01RC2025- DCPCART</t>
        </is>
      </c>
      <c r="D217" s="672" t="inlineStr">
        <is>
          <t>CONTRAT</t>
        </is>
      </c>
      <c r="E217" s="672" t="n"/>
      <c r="F217" s="674" t="inlineStr">
        <is>
          <t>MHAMED EL FERDI  -  Concepteur Animateur RD/TV</t>
        </is>
      </c>
      <c r="G217" s="675" t="inlineStr">
        <is>
          <t>VALIDE</t>
        </is>
      </c>
      <c r="H217" s="672" t="inlineStr">
        <is>
          <t>APPROUVE</t>
        </is>
      </c>
      <c r="I217" s="672" t="n"/>
      <c r="J217" s="675" t="inlineStr">
        <is>
          <t>NON CONCERNE</t>
        </is>
      </c>
      <c r="K217" s="672" t="inlineStr">
        <is>
          <t>Ordinaire</t>
        </is>
      </c>
      <c r="L217" s="676" t="inlineStr">
        <is>
          <t>FONCTIONNEMENT</t>
        </is>
      </c>
      <c r="M217" s="676" t="inlineStr">
        <is>
          <t xml:space="preserve">Prestations de service
Achat prestations de services locales - personnes physiques </t>
        </is>
      </c>
      <c r="N217" s="677" t="n"/>
      <c r="O217" s="678" t="n"/>
      <c r="P217" s="678" t="n"/>
      <c r="Q217" s="672" t="inlineStr">
        <is>
          <t>RECONDUCTION</t>
        </is>
      </c>
      <c r="R217" s="679" t="n"/>
      <c r="S217" s="680" t="n"/>
      <c r="T217" s="681" t="inlineStr">
        <is>
          <t>MHAMED EL FERDI</t>
        </is>
      </c>
      <c r="U217" s="672" t="n">
        <v>2026</v>
      </c>
      <c r="V217" s="680" t="n">
        <v>46387</v>
      </c>
      <c r="W217" s="680" t="n"/>
      <c r="X217" s="680" t="n">
        <v>46024</v>
      </c>
      <c r="Y217" s="677" t="n">
        <v>96000</v>
      </c>
      <c r="Z217" s="678" t="n"/>
      <c r="AA217" s="678">
        <f>Y217</f>
        <v/>
      </c>
      <c r="AB217" s="678" t="n"/>
      <c r="AC217" s="678">
        <f>Y217</f>
        <v/>
      </c>
      <c r="AD217" s="678">
        <f>AA217</f>
        <v/>
      </c>
      <c r="AE217" s="682" t="inlineStr">
        <is>
          <t>ENGAGE</t>
        </is>
      </c>
      <c r="AF217" s="681" t="n"/>
      <c r="AG217" s="678" t="n"/>
      <c r="AH217" s="678" t="n"/>
      <c r="AI217" s="678" t="n"/>
      <c r="AJ217" s="678" t="n"/>
      <c r="AK217" s="683" t="n"/>
      <c r="AL217" s="683" t="n"/>
      <c r="AM217" s="681" t="inlineStr">
        <is>
          <t>Manque n° contrat</t>
        </is>
      </c>
      <c r="AN217" s="684" t="n"/>
      <c r="AO217" s="685" t="n"/>
      <c r="AP217" s="686" t="n"/>
      <c r="AQ217" s="686" t="n"/>
      <c r="AR217" s="23" t="n"/>
      <c r="AS217" s="686" t="n"/>
    </row>
    <row r="218" ht="50.55" customHeight="1" s="392">
      <c r="A218" s="672" t="n">
        <v>2026</v>
      </c>
      <c r="B218" s="673" t="inlineStr">
        <is>
          <t>TAMAZIGHT</t>
        </is>
      </c>
      <c r="C218" s="673" t="inlineStr">
        <is>
          <t>PV N° : 01RC2025- DCPCART</t>
        </is>
      </c>
      <c r="D218" s="672" t="inlineStr">
        <is>
          <t>CONTRAT</t>
        </is>
      </c>
      <c r="E218" s="672" t="n"/>
      <c r="F218" s="674" t="inlineStr">
        <is>
          <t>ABRDAOUS NAIMA  -  Chargée de production</t>
        </is>
      </c>
      <c r="G218" s="675" t="inlineStr">
        <is>
          <t>VALIDE</t>
        </is>
      </c>
      <c r="H218" s="672" t="inlineStr">
        <is>
          <t>APPROUVE</t>
        </is>
      </c>
      <c r="I218" s="672" t="n"/>
      <c r="J218" s="675" t="inlineStr">
        <is>
          <t>NON CONCERNE</t>
        </is>
      </c>
      <c r="K218" s="672" t="inlineStr">
        <is>
          <t>Ordinaire</t>
        </is>
      </c>
      <c r="L218" s="676" t="inlineStr">
        <is>
          <t>FONCTIONNEMENT</t>
        </is>
      </c>
      <c r="M218" s="676" t="inlineStr">
        <is>
          <t xml:space="preserve">Prestations de service
Achat prestations de services locales - personnes physiques </t>
        </is>
      </c>
      <c r="N218" s="677" t="n"/>
      <c r="O218" s="678" t="n"/>
      <c r="P218" s="678" t="n"/>
      <c r="Q218" s="672" t="inlineStr">
        <is>
          <t>RECONDUCTION</t>
        </is>
      </c>
      <c r="R218" s="679" t="n"/>
      <c r="S218" s="680" t="n"/>
      <c r="T218" s="681" t="inlineStr">
        <is>
          <t>ABRDAOUS NAIMA</t>
        </is>
      </c>
      <c r="U218" s="672" t="n">
        <v>2026</v>
      </c>
      <c r="V218" s="680" t="n">
        <v>46387</v>
      </c>
      <c r="W218" s="680" t="n"/>
      <c r="X218" s="680" t="n">
        <v>46024</v>
      </c>
      <c r="Y218" s="677" t="n">
        <v>96000</v>
      </c>
      <c r="Z218" s="678" t="n"/>
      <c r="AA218" s="678">
        <f>Y218</f>
        <v/>
      </c>
      <c r="AB218" s="678" t="n"/>
      <c r="AC218" s="678">
        <f>Y218</f>
        <v/>
      </c>
      <c r="AD218" s="678">
        <f>AA218</f>
        <v/>
      </c>
      <c r="AE218" s="682" t="inlineStr">
        <is>
          <t>ENGAGE</t>
        </is>
      </c>
      <c r="AF218" s="681" t="n"/>
      <c r="AG218" s="678" t="n"/>
      <c r="AH218" s="678" t="n"/>
      <c r="AI218" s="678" t="n"/>
      <c r="AJ218" s="678" t="n"/>
      <c r="AK218" s="683" t="n"/>
      <c r="AL218" s="683" t="n"/>
      <c r="AM218" s="681" t="inlineStr">
        <is>
          <t>Manque n° contrat</t>
        </is>
      </c>
      <c r="AN218" s="684" t="n"/>
      <c r="AO218" s="685" t="n"/>
      <c r="AP218" s="686" t="n"/>
      <c r="AQ218" s="686" t="n"/>
      <c r="AR218" s="23" t="n"/>
      <c r="AS218" s="686" t="n"/>
    </row>
    <row r="219" ht="50.55" customHeight="1" s="392">
      <c r="A219" s="672" t="n">
        <v>2026</v>
      </c>
      <c r="B219" s="673" t="inlineStr">
        <is>
          <t>TAMAZIGHT</t>
        </is>
      </c>
      <c r="C219" s="673" t="inlineStr">
        <is>
          <t>PV N° : 01RC2025- DCPCART</t>
        </is>
      </c>
      <c r="D219" s="672" t="inlineStr">
        <is>
          <t>CONTRAT</t>
        </is>
      </c>
      <c r="E219" s="672" t="n"/>
      <c r="F219" s="674" t="inlineStr">
        <is>
          <t>DARKAOUI AHLAM   -  Concepteur Animateur RD</t>
        </is>
      </c>
      <c r="G219" s="675" t="inlineStr">
        <is>
          <t>VALIDE</t>
        </is>
      </c>
      <c r="H219" s="672" t="inlineStr">
        <is>
          <t>APPROUVE</t>
        </is>
      </c>
      <c r="I219" s="672" t="n"/>
      <c r="J219" s="675" t="inlineStr">
        <is>
          <t>NON CONCERNE</t>
        </is>
      </c>
      <c r="K219" s="672" t="inlineStr">
        <is>
          <t>Ordinaire</t>
        </is>
      </c>
      <c r="L219" s="676" t="inlineStr">
        <is>
          <t>FONCTIONNEMENT</t>
        </is>
      </c>
      <c r="M219" s="676" t="inlineStr">
        <is>
          <t xml:space="preserve">Prestations de service
Achat prestations de services locales - personnes physiques </t>
        </is>
      </c>
      <c r="N219" s="677" t="n"/>
      <c r="O219" s="678" t="n"/>
      <c r="P219" s="678" t="n"/>
      <c r="Q219" s="672" t="inlineStr">
        <is>
          <t>RECONDUCTION</t>
        </is>
      </c>
      <c r="R219" s="679" t="n"/>
      <c r="S219" s="680" t="n"/>
      <c r="T219" s="681" t="inlineStr">
        <is>
          <t>DARKAOUI AHLAM</t>
        </is>
      </c>
      <c r="U219" s="672" t="n">
        <v>2026</v>
      </c>
      <c r="V219" s="680" t="n">
        <v>46387</v>
      </c>
      <c r="W219" s="680" t="n"/>
      <c r="X219" s="680" t="n">
        <v>46024</v>
      </c>
      <c r="Y219" s="677" t="n">
        <v>96000</v>
      </c>
      <c r="Z219" s="678" t="n"/>
      <c r="AA219" s="678">
        <f>Y219</f>
        <v/>
      </c>
      <c r="AB219" s="678" t="n"/>
      <c r="AC219" s="678">
        <f>Y219</f>
        <v/>
      </c>
      <c r="AD219" s="678">
        <f>AA219</f>
        <v/>
      </c>
      <c r="AE219" s="682" t="inlineStr">
        <is>
          <t>ENGAGE</t>
        </is>
      </c>
      <c r="AF219" s="681" t="n"/>
      <c r="AG219" s="678" t="n"/>
      <c r="AH219" s="678" t="n"/>
      <c r="AI219" s="678" t="n"/>
      <c r="AJ219" s="678" t="n"/>
      <c r="AK219" s="683" t="n"/>
      <c r="AL219" s="683" t="n"/>
      <c r="AM219" s="681" t="inlineStr">
        <is>
          <t>Manque n° contrat</t>
        </is>
      </c>
      <c r="AN219" s="684" t="n"/>
      <c r="AO219" s="685" t="n"/>
      <c r="AP219" s="686" t="n"/>
      <c r="AQ219" s="686" t="n"/>
      <c r="AR219" s="23" t="n"/>
      <c r="AS219" s="686" t="n"/>
    </row>
    <row r="220" ht="50.55" customHeight="1" s="392">
      <c r="A220" s="672" t="n">
        <v>2026</v>
      </c>
      <c r="B220" s="673" t="inlineStr">
        <is>
          <t>TAMAZIGHT</t>
        </is>
      </c>
      <c r="C220" s="673" t="inlineStr">
        <is>
          <t>PV N° : 01RC2025- DCPCART</t>
        </is>
      </c>
      <c r="D220" s="672" t="inlineStr">
        <is>
          <t>CONTRAT</t>
        </is>
      </c>
      <c r="E220" s="672" t="n"/>
      <c r="F220" s="674" t="inlineStr">
        <is>
          <t>ABEL AMINA  -  Concepteur Animateur RD/TV</t>
        </is>
      </c>
      <c r="G220" s="675" t="inlineStr">
        <is>
          <t>VALIDE</t>
        </is>
      </c>
      <c r="H220" s="672" t="inlineStr">
        <is>
          <t>APPROUVE</t>
        </is>
      </c>
      <c r="I220" s="672" t="n"/>
      <c r="J220" s="675" t="inlineStr">
        <is>
          <t>NON CONCERNE</t>
        </is>
      </c>
      <c r="K220" s="672" t="inlineStr">
        <is>
          <t>Ordinaire</t>
        </is>
      </c>
      <c r="L220" s="676" t="inlineStr">
        <is>
          <t>FONCTIONNEMENT</t>
        </is>
      </c>
      <c r="M220" s="676" t="inlineStr">
        <is>
          <t xml:space="preserve">Prestations de service
Achat prestations de services locales - personnes physiques </t>
        </is>
      </c>
      <c r="N220" s="677" t="n"/>
      <c r="O220" s="678" t="n"/>
      <c r="P220" s="678" t="n"/>
      <c r="Q220" s="672" t="inlineStr">
        <is>
          <t>RECONDUCTION</t>
        </is>
      </c>
      <c r="R220" s="679" t="n"/>
      <c r="S220" s="680" t="n"/>
      <c r="T220" s="681" t="inlineStr">
        <is>
          <t>ABEL AMINA</t>
        </is>
      </c>
      <c r="U220" s="672" t="n">
        <v>2026</v>
      </c>
      <c r="V220" s="680" t="n">
        <v>46387</v>
      </c>
      <c r="W220" s="680" t="n"/>
      <c r="X220" s="680" t="n">
        <v>46024</v>
      </c>
      <c r="Y220" s="677" t="n">
        <v>96000</v>
      </c>
      <c r="Z220" s="678" t="n"/>
      <c r="AA220" s="678">
        <f>Y220</f>
        <v/>
      </c>
      <c r="AB220" s="678" t="n"/>
      <c r="AC220" s="678">
        <f>Y220</f>
        <v/>
      </c>
      <c r="AD220" s="678">
        <f>AA220</f>
        <v/>
      </c>
      <c r="AE220" s="682" t="inlineStr">
        <is>
          <t>ENGAGE</t>
        </is>
      </c>
      <c r="AF220" s="681" t="n"/>
      <c r="AG220" s="678" t="n"/>
      <c r="AH220" s="678" t="n"/>
      <c r="AI220" s="678" t="n"/>
      <c r="AJ220" s="678" t="n"/>
      <c r="AK220" s="683" t="n"/>
      <c r="AL220" s="683" t="n"/>
      <c r="AM220" s="681" t="inlineStr">
        <is>
          <t>Manque n° contrat</t>
        </is>
      </c>
      <c r="AN220" s="684" t="n"/>
      <c r="AO220" s="685" t="n"/>
      <c r="AP220" s="686" t="n"/>
      <c r="AQ220" s="686" t="n"/>
      <c r="AR220" s="23" t="n"/>
      <c r="AS220" s="686" t="n"/>
    </row>
    <row r="221" ht="50.55" customHeight="1" s="392">
      <c r="A221" s="672" t="n">
        <v>2026</v>
      </c>
      <c r="B221" s="673" t="inlineStr">
        <is>
          <t>TAMAZIGHT</t>
        </is>
      </c>
      <c r="C221" s="673" t="inlineStr">
        <is>
          <t>PV N° : 01RC2025- DCPCART</t>
        </is>
      </c>
      <c r="D221" s="672" t="inlineStr">
        <is>
          <t>CONTRAT</t>
        </is>
      </c>
      <c r="E221" s="672" t="n"/>
      <c r="F221" s="674" t="inlineStr">
        <is>
          <t>BRAHIM IAAZA  -  Rédacteur en Tifinagh</t>
        </is>
      </c>
      <c r="G221" s="675" t="inlineStr">
        <is>
          <t>VALIDE</t>
        </is>
      </c>
      <c r="H221" s="672" t="inlineStr">
        <is>
          <t>APPROUVE</t>
        </is>
      </c>
      <c r="I221" s="672" t="n"/>
      <c r="J221" s="675" t="inlineStr">
        <is>
          <t>NON CONCERNE</t>
        </is>
      </c>
      <c r="K221" s="672" t="inlineStr">
        <is>
          <t>Ordinaire</t>
        </is>
      </c>
      <c r="L221" s="676" t="inlineStr">
        <is>
          <t>FONCTIONNEMENT</t>
        </is>
      </c>
      <c r="M221" s="676" t="inlineStr">
        <is>
          <t xml:space="preserve">Prestations de service
Achat prestations de services locales - personnes physiques </t>
        </is>
      </c>
      <c r="N221" s="677" t="n"/>
      <c r="O221" s="678" t="n"/>
      <c r="P221" s="678" t="n"/>
      <c r="Q221" s="672" t="inlineStr">
        <is>
          <t>RECONDUCTION</t>
        </is>
      </c>
      <c r="R221" s="679" t="n"/>
      <c r="S221" s="680" t="n"/>
      <c r="T221" s="681" t="inlineStr">
        <is>
          <t>BRAHIM IAAZA</t>
        </is>
      </c>
      <c r="U221" s="672" t="n">
        <v>2026</v>
      </c>
      <c r="V221" s="680" t="n">
        <v>46387</v>
      </c>
      <c r="W221" s="680" t="n"/>
      <c r="X221" s="680" t="n">
        <v>46024</v>
      </c>
      <c r="Y221" s="677" t="n">
        <v>96000</v>
      </c>
      <c r="Z221" s="678" t="n"/>
      <c r="AA221" s="678">
        <f>Y221</f>
        <v/>
      </c>
      <c r="AB221" s="678" t="n"/>
      <c r="AC221" s="678">
        <f>Y221</f>
        <v/>
      </c>
      <c r="AD221" s="678">
        <f>AA221</f>
        <v/>
      </c>
      <c r="AE221" s="682" t="inlineStr">
        <is>
          <t>ENGAGE</t>
        </is>
      </c>
      <c r="AF221" s="681" t="n"/>
      <c r="AG221" s="678" t="n"/>
      <c r="AH221" s="678" t="n"/>
      <c r="AI221" s="678" t="n"/>
      <c r="AJ221" s="678" t="n"/>
      <c r="AK221" s="683" t="n"/>
      <c r="AL221" s="683" t="n"/>
      <c r="AM221" s="681" t="inlineStr">
        <is>
          <t>Manque n° contrat</t>
        </is>
      </c>
      <c r="AN221" s="684" t="n"/>
      <c r="AO221" s="685" t="n"/>
      <c r="AP221" s="686" t="n"/>
      <c r="AQ221" s="686" t="n"/>
      <c r="AR221" s="23" t="n"/>
      <c r="AS221" s="686" t="n"/>
    </row>
    <row r="222" ht="50.55" customHeight="1" s="392">
      <c r="A222" s="672" t="n">
        <v>2026</v>
      </c>
      <c r="B222" s="673" t="inlineStr">
        <is>
          <t>TAMAZIGHT</t>
        </is>
      </c>
      <c r="C222" s="673" t="inlineStr">
        <is>
          <t>PV N° : 01RC2025- DCPCART</t>
        </is>
      </c>
      <c r="D222" s="672" t="inlineStr">
        <is>
          <t>CONTRAT</t>
        </is>
      </c>
      <c r="E222" s="672" t="n"/>
      <c r="F222" s="674" t="inlineStr">
        <is>
          <t>MOHAMED TALEB  -  Concepteur Animateur RD</t>
        </is>
      </c>
      <c r="G222" s="675" t="inlineStr">
        <is>
          <t>VALIDE</t>
        </is>
      </c>
      <c r="H222" s="672" t="inlineStr">
        <is>
          <t>APPROUVE</t>
        </is>
      </c>
      <c r="I222" s="672" t="n"/>
      <c r="J222" s="675" t="inlineStr">
        <is>
          <t>NON CONCERNE</t>
        </is>
      </c>
      <c r="K222" s="672" t="inlineStr">
        <is>
          <t>Ordinaire</t>
        </is>
      </c>
      <c r="L222" s="676" t="inlineStr">
        <is>
          <t>FONCTIONNEMENT</t>
        </is>
      </c>
      <c r="M222" s="676" t="inlineStr">
        <is>
          <t xml:space="preserve">Prestations de service
Achat prestations de services locales - personnes physiques </t>
        </is>
      </c>
      <c r="N222" s="677" t="n"/>
      <c r="O222" s="678" t="n"/>
      <c r="P222" s="678" t="n"/>
      <c r="Q222" s="672" t="inlineStr">
        <is>
          <t>RECONDUCTION</t>
        </is>
      </c>
      <c r="R222" s="679" t="n"/>
      <c r="S222" s="680" t="n"/>
      <c r="T222" s="681" t="inlineStr">
        <is>
          <t>MOHAMED TALEB</t>
        </is>
      </c>
      <c r="U222" s="672" t="n">
        <v>2026</v>
      </c>
      <c r="V222" s="680" t="n">
        <v>46387</v>
      </c>
      <c r="W222" s="680" t="n"/>
      <c r="X222" s="680" t="n">
        <v>46024</v>
      </c>
      <c r="Y222" s="677" t="n">
        <v>96000</v>
      </c>
      <c r="Z222" s="678" t="n"/>
      <c r="AA222" s="678">
        <f>Y222</f>
        <v/>
      </c>
      <c r="AB222" s="678" t="n"/>
      <c r="AC222" s="678">
        <f>Y222</f>
        <v/>
      </c>
      <c r="AD222" s="678">
        <f>AA222</f>
        <v/>
      </c>
      <c r="AE222" s="682" t="inlineStr">
        <is>
          <t>ENGAGE</t>
        </is>
      </c>
      <c r="AF222" s="681" t="n"/>
      <c r="AG222" s="678" t="n"/>
      <c r="AH222" s="678" t="n"/>
      <c r="AI222" s="678" t="n"/>
      <c r="AJ222" s="678" t="n"/>
      <c r="AK222" s="683" t="n"/>
      <c r="AL222" s="683" t="n"/>
      <c r="AM222" s="681" t="inlineStr">
        <is>
          <t>Manque n° contrat</t>
        </is>
      </c>
      <c r="AN222" s="684" t="n"/>
      <c r="AO222" s="685" t="n"/>
      <c r="AP222" s="686" t="n"/>
      <c r="AQ222" s="686" t="n"/>
      <c r="AR222" s="23" t="n"/>
      <c r="AS222" s="686" t="n"/>
    </row>
    <row r="223" ht="50.55" customHeight="1" s="392">
      <c r="A223" s="672" t="n">
        <v>2026</v>
      </c>
      <c r="B223" s="673" t="inlineStr">
        <is>
          <t>TAMAZIGHT</t>
        </is>
      </c>
      <c r="C223" s="673" t="inlineStr">
        <is>
          <t>PV N° : 01RC2025- DCPCART</t>
        </is>
      </c>
      <c r="D223" s="672" t="inlineStr">
        <is>
          <t>CONTRAT</t>
        </is>
      </c>
      <c r="E223" s="672" t="n"/>
      <c r="F223" s="674" t="inlineStr">
        <is>
          <t>ARJDAL ZOHRA  -  Concepteur Animateur RD/TV</t>
        </is>
      </c>
      <c r="G223" s="675" t="inlineStr">
        <is>
          <t>VALIDE</t>
        </is>
      </c>
      <c r="H223" s="672" t="inlineStr">
        <is>
          <t>APPROUVE</t>
        </is>
      </c>
      <c r="I223" s="672" t="n"/>
      <c r="J223" s="675" t="inlineStr">
        <is>
          <t>NON CONCERNE</t>
        </is>
      </c>
      <c r="K223" s="672" t="inlineStr">
        <is>
          <t>Ordinaire</t>
        </is>
      </c>
      <c r="L223" s="676" t="inlineStr">
        <is>
          <t>FONCTIONNEMENT</t>
        </is>
      </c>
      <c r="M223" s="676" t="inlineStr">
        <is>
          <t xml:space="preserve">Prestations de service
Achat prestations de services locales - personnes physiques </t>
        </is>
      </c>
      <c r="N223" s="677" t="n"/>
      <c r="O223" s="678" t="n"/>
      <c r="P223" s="678" t="n"/>
      <c r="Q223" s="672" t="inlineStr">
        <is>
          <t>RECONDUCTION</t>
        </is>
      </c>
      <c r="R223" s="679" t="n"/>
      <c r="S223" s="680" t="n"/>
      <c r="T223" s="681" t="inlineStr">
        <is>
          <t>ARJDAL ZOHRA</t>
        </is>
      </c>
      <c r="U223" s="672" t="n">
        <v>2026</v>
      </c>
      <c r="V223" s="680" t="n">
        <v>46387</v>
      </c>
      <c r="W223" s="680" t="n"/>
      <c r="X223" s="680" t="n">
        <v>46024</v>
      </c>
      <c r="Y223" s="677" t="n">
        <v>96000</v>
      </c>
      <c r="Z223" s="678" t="n"/>
      <c r="AA223" s="678">
        <f>Y223</f>
        <v/>
      </c>
      <c r="AB223" s="678" t="n"/>
      <c r="AC223" s="678">
        <f>Y223</f>
        <v/>
      </c>
      <c r="AD223" s="678">
        <f>AA223</f>
        <v/>
      </c>
      <c r="AE223" s="682" t="inlineStr">
        <is>
          <t>ENGAGE</t>
        </is>
      </c>
      <c r="AF223" s="681" t="n"/>
      <c r="AG223" s="678" t="n"/>
      <c r="AH223" s="678" t="n"/>
      <c r="AI223" s="678" t="n"/>
      <c r="AJ223" s="678" t="n"/>
      <c r="AK223" s="683" t="n"/>
      <c r="AL223" s="683" t="n"/>
      <c r="AM223" s="681" t="inlineStr">
        <is>
          <t>Manque n° contrat</t>
        </is>
      </c>
      <c r="AN223" s="684" t="n"/>
      <c r="AO223" s="685" t="n"/>
      <c r="AP223" s="686" t="n"/>
      <c r="AQ223" s="686" t="n"/>
      <c r="AR223" s="23" t="n"/>
      <c r="AS223" s="686" t="n"/>
    </row>
    <row r="224" ht="50.55" customHeight="1" s="392">
      <c r="A224" s="672" t="n">
        <v>2026</v>
      </c>
      <c r="B224" s="673" t="inlineStr">
        <is>
          <t>TAMAZIGHT</t>
        </is>
      </c>
      <c r="C224" s="673" t="inlineStr">
        <is>
          <t>PV N° : 01RC2025- DCPCART</t>
        </is>
      </c>
      <c r="D224" s="672" t="inlineStr">
        <is>
          <t>CONTRAT</t>
        </is>
      </c>
      <c r="E224" s="672" t="n"/>
      <c r="F224" s="674" t="inlineStr">
        <is>
          <t>OUARDA KOULLIGE  -  Concepteur Animateur RD</t>
        </is>
      </c>
      <c r="G224" s="675" t="inlineStr">
        <is>
          <t>VALIDE</t>
        </is>
      </c>
      <c r="H224" s="672" t="inlineStr">
        <is>
          <t>APPROUVE</t>
        </is>
      </c>
      <c r="I224" s="672" t="n"/>
      <c r="J224" s="675" t="inlineStr">
        <is>
          <t>NON CONCERNE</t>
        </is>
      </c>
      <c r="K224" s="672" t="inlineStr">
        <is>
          <t>Ordinaire</t>
        </is>
      </c>
      <c r="L224" s="676" t="inlineStr">
        <is>
          <t>FONCTIONNEMENT</t>
        </is>
      </c>
      <c r="M224" s="676" t="inlineStr">
        <is>
          <t xml:space="preserve">Prestations de service
Achat prestations de services locales - personnes physiques </t>
        </is>
      </c>
      <c r="N224" s="677" t="n"/>
      <c r="O224" s="678" t="n"/>
      <c r="P224" s="678" t="n"/>
      <c r="Q224" s="672" t="inlineStr">
        <is>
          <t>RECONDUCTION</t>
        </is>
      </c>
      <c r="R224" s="679" t="n"/>
      <c r="S224" s="680" t="n"/>
      <c r="T224" s="681" t="inlineStr">
        <is>
          <t>OUARDA KOULLIGE</t>
        </is>
      </c>
      <c r="U224" s="672" t="n">
        <v>2026</v>
      </c>
      <c r="V224" s="680" t="n">
        <v>46387</v>
      </c>
      <c r="W224" s="680" t="n"/>
      <c r="X224" s="680" t="n">
        <v>46024</v>
      </c>
      <c r="Y224" s="677" t="n">
        <v>96000</v>
      </c>
      <c r="Z224" s="678" t="n"/>
      <c r="AA224" s="678">
        <f>Y224</f>
        <v/>
      </c>
      <c r="AB224" s="678" t="n"/>
      <c r="AC224" s="678">
        <f>Y224</f>
        <v/>
      </c>
      <c r="AD224" s="678">
        <f>AA224</f>
        <v/>
      </c>
      <c r="AE224" s="682" t="inlineStr">
        <is>
          <t>ENGAGE</t>
        </is>
      </c>
      <c r="AF224" s="681" t="n"/>
      <c r="AG224" s="678" t="n"/>
      <c r="AH224" s="678" t="n"/>
      <c r="AI224" s="678" t="n"/>
      <c r="AJ224" s="678" t="n"/>
      <c r="AK224" s="683" t="n"/>
      <c r="AL224" s="683" t="n"/>
      <c r="AM224" s="681" t="inlineStr">
        <is>
          <t>Manque n° contrat</t>
        </is>
      </c>
      <c r="AN224" s="684" t="n"/>
      <c r="AO224" s="685" t="n"/>
      <c r="AP224" s="686" t="n"/>
      <c r="AQ224" s="686" t="n"/>
      <c r="AR224" s="23" t="n"/>
      <c r="AS224" s="686" t="n"/>
    </row>
    <row r="225" ht="50.55" customHeight="1" s="392">
      <c r="A225" s="672" t="n">
        <v>2026</v>
      </c>
      <c r="B225" s="673" t="inlineStr">
        <is>
          <t>TAMAZIGHT</t>
        </is>
      </c>
      <c r="C225" s="673" t="inlineStr">
        <is>
          <t>PV N° : 01RC2025- DCPCART</t>
        </is>
      </c>
      <c r="D225" s="672" t="inlineStr">
        <is>
          <t>CONTRAT</t>
        </is>
      </c>
      <c r="E225" s="672" t="n"/>
      <c r="F225" s="674" t="inlineStr">
        <is>
          <t>YAMINA CHOUA  -  Concepteur Animateur RD</t>
        </is>
      </c>
      <c r="G225" s="675" t="inlineStr">
        <is>
          <t>VALIDE</t>
        </is>
      </c>
      <c r="H225" s="672" t="inlineStr">
        <is>
          <t>APPROUVE</t>
        </is>
      </c>
      <c r="I225" s="672" t="n"/>
      <c r="J225" s="675" t="inlineStr">
        <is>
          <t>NON CONCERNE</t>
        </is>
      </c>
      <c r="K225" s="672" t="inlineStr">
        <is>
          <t>Ordinaire</t>
        </is>
      </c>
      <c r="L225" s="676" t="inlineStr">
        <is>
          <t>FONCTIONNEMENT</t>
        </is>
      </c>
      <c r="M225" s="676" t="inlineStr">
        <is>
          <t xml:space="preserve">Prestations de service
Achat prestations de services locales - personnes physiques </t>
        </is>
      </c>
      <c r="N225" s="677" t="n"/>
      <c r="O225" s="678" t="n"/>
      <c r="P225" s="678" t="n"/>
      <c r="Q225" s="672" t="inlineStr">
        <is>
          <t>RECONDUCTION</t>
        </is>
      </c>
      <c r="R225" s="679" t="n"/>
      <c r="S225" s="680" t="n"/>
      <c r="T225" s="681" t="inlineStr">
        <is>
          <t>YAMINA CHOUA</t>
        </is>
      </c>
      <c r="U225" s="672" t="n">
        <v>2026</v>
      </c>
      <c r="V225" s="680" t="n">
        <v>46387</v>
      </c>
      <c r="W225" s="680" t="n"/>
      <c r="X225" s="680" t="n">
        <v>46024</v>
      </c>
      <c r="Y225" s="677" t="n">
        <v>96000</v>
      </c>
      <c r="Z225" s="678" t="n"/>
      <c r="AA225" s="678">
        <f>Y225</f>
        <v/>
      </c>
      <c r="AB225" s="678" t="n"/>
      <c r="AC225" s="678">
        <f>Y225</f>
        <v/>
      </c>
      <c r="AD225" s="678">
        <f>AA225</f>
        <v/>
      </c>
      <c r="AE225" s="682" t="inlineStr">
        <is>
          <t>ENGAGE</t>
        </is>
      </c>
      <c r="AF225" s="681" t="n"/>
      <c r="AG225" s="678" t="n"/>
      <c r="AH225" s="678" t="n"/>
      <c r="AI225" s="678" t="n"/>
      <c r="AJ225" s="678" t="n"/>
      <c r="AK225" s="683" t="n"/>
      <c r="AL225" s="683" t="n"/>
      <c r="AM225" s="681" t="inlineStr">
        <is>
          <t>Manque n° contrat</t>
        </is>
      </c>
      <c r="AN225" s="684" t="n"/>
      <c r="AO225" s="685" t="n"/>
      <c r="AP225" s="686" t="n"/>
      <c r="AQ225" s="686" t="n"/>
      <c r="AR225" s="23" t="n"/>
      <c r="AS225" s="686" t="n"/>
    </row>
    <row r="226" ht="50.55" customHeight="1" s="392">
      <c r="A226" s="672" t="n">
        <v>2026</v>
      </c>
      <c r="B226" s="673" t="inlineStr">
        <is>
          <t>TAMAZIGHT</t>
        </is>
      </c>
      <c r="C226" s="673" t="inlineStr">
        <is>
          <t>PV N° : 01RC2025- DCPCART</t>
        </is>
      </c>
      <c r="D226" s="672" t="inlineStr">
        <is>
          <t>CONTRAT</t>
        </is>
      </c>
      <c r="E226" s="672" t="n"/>
      <c r="F226" s="674" t="inlineStr">
        <is>
          <t>MOULOUD RABAH  -  Journaliste sportif</t>
        </is>
      </c>
      <c r="G226" s="675" t="inlineStr">
        <is>
          <t>VALIDE</t>
        </is>
      </c>
      <c r="H226" s="672" t="inlineStr">
        <is>
          <t>APPROUVE</t>
        </is>
      </c>
      <c r="I226" s="672" t="n"/>
      <c r="J226" s="675" t="inlineStr">
        <is>
          <t>NON CONCERNE</t>
        </is>
      </c>
      <c r="K226" s="672" t="inlineStr">
        <is>
          <t>Ordinaire</t>
        </is>
      </c>
      <c r="L226" s="676" t="inlineStr">
        <is>
          <t>FONCTIONNEMENT</t>
        </is>
      </c>
      <c r="M226" s="676" t="inlineStr">
        <is>
          <t xml:space="preserve">Prestations de service
Achat prestations de services locales - personnes physiques </t>
        </is>
      </c>
      <c r="N226" s="677" t="n"/>
      <c r="O226" s="678" t="n"/>
      <c r="P226" s="678" t="n"/>
      <c r="Q226" s="672" t="inlineStr">
        <is>
          <t>RECONDUCTION</t>
        </is>
      </c>
      <c r="R226" s="679" t="n"/>
      <c r="S226" s="680" t="n"/>
      <c r="T226" s="681" t="inlineStr">
        <is>
          <t>MOULOUD RABAH</t>
        </is>
      </c>
      <c r="U226" s="672" t="n">
        <v>2026</v>
      </c>
      <c r="V226" s="680" t="n">
        <v>46387</v>
      </c>
      <c r="W226" s="680" t="n"/>
      <c r="X226" s="680" t="n">
        <v>46024</v>
      </c>
      <c r="Y226" s="677" t="n">
        <v>132000</v>
      </c>
      <c r="Z226" s="678" t="n"/>
      <c r="AA226" s="678">
        <f>Y226</f>
        <v/>
      </c>
      <c r="AB226" s="678" t="n"/>
      <c r="AC226" s="678">
        <f>Y226</f>
        <v/>
      </c>
      <c r="AD226" s="678">
        <f>AA226</f>
        <v/>
      </c>
      <c r="AE226" s="682" t="inlineStr">
        <is>
          <t>ENGAGE</t>
        </is>
      </c>
      <c r="AF226" s="681" t="n"/>
      <c r="AG226" s="678" t="n"/>
      <c r="AH226" s="678" t="n"/>
      <c r="AI226" s="678" t="n"/>
      <c r="AJ226" s="678" t="n"/>
      <c r="AK226" s="683" t="n"/>
      <c r="AL226" s="683" t="n"/>
      <c r="AM226" s="681" t="inlineStr">
        <is>
          <t>Manque n° contrat</t>
        </is>
      </c>
      <c r="AN226" s="684" t="n"/>
      <c r="AO226" s="685" t="n"/>
      <c r="AP226" s="686" t="n"/>
      <c r="AQ226" s="686" t="n"/>
      <c r="AR226" s="23" t="n"/>
      <c r="AS226" s="686" t="n"/>
    </row>
    <row r="227" ht="50.55" customHeight="1" s="392">
      <c r="A227" s="672" t="n">
        <v>2026</v>
      </c>
      <c r="B227" s="673" t="inlineStr">
        <is>
          <t>TAMAZIGHT</t>
        </is>
      </c>
      <c r="C227" s="673" t="inlineStr">
        <is>
          <t>PV N° : 01RC2025- DCPCART</t>
        </is>
      </c>
      <c r="D227" s="672" t="inlineStr">
        <is>
          <t>CONTRAT</t>
        </is>
      </c>
      <c r="E227" s="672" t="n"/>
      <c r="F227" s="674" t="inlineStr">
        <is>
          <t>OBTEL NAJAT  -  Gestionnaire d'antenne</t>
        </is>
      </c>
      <c r="G227" s="675" t="inlineStr">
        <is>
          <t>VALIDE</t>
        </is>
      </c>
      <c r="H227" s="672" t="inlineStr">
        <is>
          <t>APPROUVE</t>
        </is>
      </c>
      <c r="I227" s="672" t="n"/>
      <c r="J227" s="675" t="inlineStr">
        <is>
          <t>NON CONCERNE</t>
        </is>
      </c>
      <c r="K227" s="672" t="inlineStr">
        <is>
          <t>Ordinaire</t>
        </is>
      </c>
      <c r="L227" s="676" t="inlineStr">
        <is>
          <t>FONCTIONNEMENT</t>
        </is>
      </c>
      <c r="M227" s="676" t="inlineStr">
        <is>
          <t xml:space="preserve">Prestations de service
Achat prestations de services locales - personnes physiques </t>
        </is>
      </c>
      <c r="N227" s="677" t="n"/>
      <c r="O227" s="678" t="n"/>
      <c r="P227" s="678" t="n"/>
      <c r="Q227" s="672" t="inlineStr">
        <is>
          <t>RECONDUCTION</t>
        </is>
      </c>
      <c r="R227" s="679" t="n"/>
      <c r="S227" s="680" t="n"/>
      <c r="T227" s="681" t="inlineStr">
        <is>
          <t>OBTEL NAJAT</t>
        </is>
      </c>
      <c r="U227" s="672" t="n">
        <v>2026</v>
      </c>
      <c r="V227" s="680" t="n">
        <v>46387</v>
      </c>
      <c r="W227" s="680" t="n"/>
      <c r="X227" s="680" t="n">
        <v>46024</v>
      </c>
      <c r="Y227" s="677" t="n">
        <v>84000</v>
      </c>
      <c r="Z227" s="678" t="n"/>
      <c r="AA227" s="678">
        <f>Y227</f>
        <v/>
      </c>
      <c r="AB227" s="678" t="n"/>
      <c r="AC227" s="678">
        <f>Y227</f>
        <v/>
      </c>
      <c r="AD227" s="678">
        <f>AA227</f>
        <v/>
      </c>
      <c r="AE227" s="682" t="inlineStr">
        <is>
          <t>ENGAGE</t>
        </is>
      </c>
      <c r="AF227" s="681" t="n"/>
      <c r="AG227" s="678" t="n"/>
      <c r="AH227" s="678" t="n"/>
      <c r="AI227" s="678" t="n"/>
      <c r="AJ227" s="678" t="n"/>
      <c r="AK227" s="683" t="n"/>
      <c r="AL227" s="683" t="n"/>
      <c r="AM227" s="681" t="inlineStr">
        <is>
          <t>Manque n° contrat</t>
        </is>
      </c>
      <c r="AN227" s="684" t="n"/>
      <c r="AO227" s="685" t="n"/>
      <c r="AP227" s="686" t="n"/>
      <c r="AQ227" s="686" t="n"/>
      <c r="AR227" s="23" t="n"/>
      <c r="AS227" s="686" t="n"/>
    </row>
    <row r="228" ht="50.55" customHeight="1" s="392">
      <c r="A228" s="672" t="n">
        <v>2026</v>
      </c>
      <c r="B228" s="673" t="inlineStr">
        <is>
          <t>TAMAZIGHT</t>
        </is>
      </c>
      <c r="C228" s="673" t="inlineStr">
        <is>
          <t>PV N° : 01RC2025- DCPCART</t>
        </is>
      </c>
      <c r="D228" s="672" t="inlineStr">
        <is>
          <t>CONTRAT</t>
        </is>
      </c>
      <c r="E228" s="672" t="n"/>
      <c r="F228" s="674" t="inlineStr">
        <is>
          <t>DANYAL AZAOUM  -  Concepteur Animateur RD/TV</t>
        </is>
      </c>
      <c r="G228" s="675" t="inlineStr">
        <is>
          <t>VALIDE</t>
        </is>
      </c>
      <c r="H228" s="672" t="inlineStr">
        <is>
          <t>APPROUVE</t>
        </is>
      </c>
      <c r="I228" s="672" t="n"/>
      <c r="J228" s="675" t="inlineStr">
        <is>
          <t>NON CONCERNE</t>
        </is>
      </c>
      <c r="K228" s="672" t="inlineStr">
        <is>
          <t>Ordinaire</t>
        </is>
      </c>
      <c r="L228" s="676" t="inlineStr">
        <is>
          <t>FONCTIONNEMENT</t>
        </is>
      </c>
      <c r="M228" s="676" t="inlineStr">
        <is>
          <t xml:space="preserve">Prestations de service
Achat prestations de services locales - personnes physiques </t>
        </is>
      </c>
      <c r="N228" s="677" t="n"/>
      <c r="O228" s="678" t="n"/>
      <c r="P228" s="678" t="n"/>
      <c r="Q228" s="672" t="inlineStr">
        <is>
          <t>RECONDUCTION</t>
        </is>
      </c>
      <c r="R228" s="679" t="n"/>
      <c r="S228" s="680" t="n"/>
      <c r="T228" s="681" t="inlineStr">
        <is>
          <t>DANYAL AZAOUM</t>
        </is>
      </c>
      <c r="U228" s="672" t="n">
        <v>2026</v>
      </c>
      <c r="V228" s="680" t="n">
        <v>46387</v>
      </c>
      <c r="W228" s="680" t="n"/>
      <c r="X228" s="680" t="n">
        <v>46024</v>
      </c>
      <c r="Y228" s="677" t="n">
        <v>96000</v>
      </c>
      <c r="Z228" s="678" t="n"/>
      <c r="AA228" s="678">
        <f>Y228</f>
        <v/>
      </c>
      <c r="AB228" s="678" t="n"/>
      <c r="AC228" s="678">
        <f>Y228</f>
        <v/>
      </c>
      <c r="AD228" s="678">
        <f>AA228</f>
        <v/>
      </c>
      <c r="AE228" s="682" t="inlineStr">
        <is>
          <t>ENGAGE</t>
        </is>
      </c>
      <c r="AF228" s="681" t="n"/>
      <c r="AG228" s="678" t="n"/>
      <c r="AH228" s="678" t="n"/>
      <c r="AI228" s="678" t="n"/>
      <c r="AJ228" s="678" t="n"/>
      <c r="AK228" s="683" t="n"/>
      <c r="AL228" s="683" t="n"/>
      <c r="AM228" s="681" t="inlineStr">
        <is>
          <t>Manque n° contrat</t>
        </is>
      </c>
      <c r="AN228" s="684" t="n"/>
      <c r="AO228" s="685" t="n"/>
      <c r="AP228" s="686" t="n"/>
      <c r="AQ228" s="686" t="n"/>
      <c r="AR228" s="23" t="n"/>
      <c r="AS228" s="686" t="n"/>
    </row>
    <row r="229" ht="50.55" customHeight="1" s="392">
      <c r="A229" s="672" t="n">
        <v>2026</v>
      </c>
      <c r="B229" s="673" t="inlineStr">
        <is>
          <t>TAMAZIGHT</t>
        </is>
      </c>
      <c r="C229" s="673" t="inlineStr">
        <is>
          <t>PV N° : 01RC2025- DCPCART</t>
        </is>
      </c>
      <c r="D229" s="672" t="inlineStr">
        <is>
          <t>CONTRAT</t>
        </is>
      </c>
      <c r="E229" s="672" t="n"/>
      <c r="F229" s="674" t="inlineStr">
        <is>
          <t>OUHSSAIN ZAHRA  -  Concepteur Animateur RD/TV</t>
        </is>
      </c>
      <c r="G229" s="675" t="inlineStr">
        <is>
          <t>VALIDE</t>
        </is>
      </c>
      <c r="H229" s="672" t="inlineStr">
        <is>
          <t>APPROUVE</t>
        </is>
      </c>
      <c r="I229" s="672" t="n"/>
      <c r="J229" s="675" t="inlineStr">
        <is>
          <t>NON CONCERNE</t>
        </is>
      </c>
      <c r="K229" s="672" t="inlineStr">
        <is>
          <t>Ordinaire</t>
        </is>
      </c>
      <c r="L229" s="676" t="inlineStr">
        <is>
          <t>FONCTIONNEMENT</t>
        </is>
      </c>
      <c r="M229" s="676" t="inlineStr">
        <is>
          <t xml:space="preserve">Prestations de service
Achat prestations de services locales - personnes physiques </t>
        </is>
      </c>
      <c r="N229" s="677" t="n"/>
      <c r="O229" s="678" t="n"/>
      <c r="P229" s="678" t="n"/>
      <c r="Q229" s="672" t="inlineStr">
        <is>
          <t>RECONDUCTION</t>
        </is>
      </c>
      <c r="R229" s="679" t="n"/>
      <c r="S229" s="680" t="n"/>
      <c r="T229" s="681" t="inlineStr">
        <is>
          <t>OUHSSAIN ZAHRA</t>
        </is>
      </c>
      <c r="U229" s="672" t="n">
        <v>2026</v>
      </c>
      <c r="V229" s="680" t="n">
        <v>46387</v>
      </c>
      <c r="W229" s="680" t="n"/>
      <c r="X229" s="680" t="n">
        <v>46024</v>
      </c>
      <c r="Y229" s="677" t="n">
        <v>96000</v>
      </c>
      <c r="Z229" s="678" t="n"/>
      <c r="AA229" s="678">
        <f>Y229</f>
        <v/>
      </c>
      <c r="AB229" s="678" t="n"/>
      <c r="AC229" s="678">
        <f>Y229</f>
        <v/>
      </c>
      <c r="AD229" s="678">
        <f>AA229</f>
        <v/>
      </c>
      <c r="AE229" s="682" t="inlineStr">
        <is>
          <t>ENGAGE</t>
        </is>
      </c>
      <c r="AF229" s="681" t="n"/>
      <c r="AG229" s="678" t="n"/>
      <c r="AH229" s="678" t="n"/>
      <c r="AI229" s="678" t="n"/>
      <c r="AJ229" s="678" t="n"/>
      <c r="AK229" s="683" t="n"/>
      <c r="AL229" s="683" t="n"/>
      <c r="AM229" s="681" t="inlineStr">
        <is>
          <t>Manque n° contrat</t>
        </is>
      </c>
      <c r="AN229" s="684" t="n"/>
      <c r="AO229" s="685" t="n"/>
      <c r="AP229" s="686" t="n"/>
      <c r="AQ229" s="686" t="n"/>
      <c r="AR229" s="23" t="n"/>
      <c r="AS229" s="686" t="n"/>
    </row>
    <row r="230" ht="50.55" customHeight="1" s="392">
      <c r="A230" s="672" t="n">
        <v>2026</v>
      </c>
      <c r="B230" s="673" t="inlineStr">
        <is>
          <t>TAMAZIGHT</t>
        </is>
      </c>
      <c r="C230" s="673" t="inlineStr">
        <is>
          <t>PV N° : 01RC2025- DCPCART</t>
        </is>
      </c>
      <c r="D230" s="672" t="inlineStr">
        <is>
          <t>CONTRAT</t>
        </is>
      </c>
      <c r="E230" s="672" t="n"/>
      <c r="F230" s="674" t="inlineStr">
        <is>
          <t>SAADIA BOUZALRHA  -  Concepteur Animateur RD/TV</t>
        </is>
      </c>
      <c r="G230" s="675" t="inlineStr">
        <is>
          <t>VALIDE</t>
        </is>
      </c>
      <c r="H230" s="672" t="inlineStr">
        <is>
          <t>APPROUVE</t>
        </is>
      </c>
      <c r="I230" s="672" t="n"/>
      <c r="J230" s="675" t="inlineStr">
        <is>
          <t>NON CONCERNE</t>
        </is>
      </c>
      <c r="K230" s="672" t="inlineStr">
        <is>
          <t>Ordinaire</t>
        </is>
      </c>
      <c r="L230" s="676" t="inlineStr">
        <is>
          <t>FONCTIONNEMENT</t>
        </is>
      </c>
      <c r="M230" s="676" t="inlineStr">
        <is>
          <t xml:space="preserve">Prestations de service
Achat prestations de services locales - personnes physiques </t>
        </is>
      </c>
      <c r="N230" s="677" t="n"/>
      <c r="O230" s="678" t="n"/>
      <c r="P230" s="678" t="n"/>
      <c r="Q230" s="672" t="inlineStr">
        <is>
          <t>RECONDUCTION</t>
        </is>
      </c>
      <c r="R230" s="679" t="n"/>
      <c r="S230" s="680" t="n"/>
      <c r="T230" s="681" t="inlineStr">
        <is>
          <t>SAADIA BOUZALRHA</t>
        </is>
      </c>
      <c r="U230" s="672" t="n">
        <v>2026</v>
      </c>
      <c r="V230" s="680" t="n">
        <v>46387</v>
      </c>
      <c r="W230" s="680" t="n"/>
      <c r="X230" s="680" t="n">
        <v>46024</v>
      </c>
      <c r="Y230" s="677" t="n">
        <v>96000</v>
      </c>
      <c r="Z230" s="678" t="n"/>
      <c r="AA230" s="678">
        <f>Y230</f>
        <v/>
      </c>
      <c r="AB230" s="678" t="n"/>
      <c r="AC230" s="678">
        <f>Y230</f>
        <v/>
      </c>
      <c r="AD230" s="678">
        <f>AA230</f>
        <v/>
      </c>
      <c r="AE230" s="682" t="inlineStr">
        <is>
          <t>ENGAGE</t>
        </is>
      </c>
      <c r="AF230" s="681" t="n"/>
      <c r="AG230" s="678" t="n"/>
      <c r="AH230" s="678" t="n"/>
      <c r="AI230" s="678" t="n"/>
      <c r="AJ230" s="678" t="n"/>
      <c r="AK230" s="683" t="n"/>
      <c r="AL230" s="683" t="n"/>
      <c r="AM230" s="681" t="inlineStr">
        <is>
          <t>Manque n° contrat</t>
        </is>
      </c>
      <c r="AN230" s="684" t="n"/>
      <c r="AO230" s="685" t="n"/>
      <c r="AP230" s="686" t="n"/>
      <c r="AQ230" s="686" t="n"/>
      <c r="AR230" s="23" t="n"/>
      <c r="AS230" s="686" t="n"/>
    </row>
    <row r="231" ht="50.55" customHeight="1" s="392">
      <c r="A231" s="672" t="n">
        <v>2026</v>
      </c>
      <c r="B231" s="673" t="inlineStr">
        <is>
          <t>TAMAZIGHT</t>
        </is>
      </c>
      <c r="C231" s="673" t="inlineStr">
        <is>
          <t>PV N° : 01RC2025- DCPCART</t>
        </is>
      </c>
      <c r="D231" s="672" t="inlineStr">
        <is>
          <t>CONTRAT</t>
        </is>
      </c>
      <c r="E231" s="672" t="n"/>
      <c r="F231" s="674" t="inlineStr">
        <is>
          <t>MUSTAPHA BOUKRIM  -  Concepteur Animateur RD</t>
        </is>
      </c>
      <c r="G231" s="675" t="inlineStr">
        <is>
          <t>VALIDE</t>
        </is>
      </c>
      <c r="H231" s="672" t="inlineStr">
        <is>
          <t>APPROUVE</t>
        </is>
      </c>
      <c r="I231" s="672" t="n"/>
      <c r="J231" s="675" t="inlineStr">
        <is>
          <t>NON CONCERNE</t>
        </is>
      </c>
      <c r="K231" s="672" t="inlineStr">
        <is>
          <t>Ordinaire</t>
        </is>
      </c>
      <c r="L231" s="676" t="inlineStr">
        <is>
          <t>FONCTIONNEMENT</t>
        </is>
      </c>
      <c r="M231" s="676" t="inlineStr">
        <is>
          <t xml:space="preserve">Prestations de service
Achat prestations de services locales - personnes physiques </t>
        </is>
      </c>
      <c r="N231" s="677" t="n"/>
      <c r="O231" s="678" t="n"/>
      <c r="P231" s="678" t="n"/>
      <c r="Q231" s="672" t="inlineStr">
        <is>
          <t>RECONDUCTION</t>
        </is>
      </c>
      <c r="R231" s="679" t="n"/>
      <c r="S231" s="680" t="n"/>
      <c r="T231" s="681" t="inlineStr">
        <is>
          <t>MUSTAPHA BOUKRIM</t>
        </is>
      </c>
      <c r="U231" s="672" t="n">
        <v>2026</v>
      </c>
      <c r="V231" s="680" t="n">
        <v>46387</v>
      </c>
      <c r="W231" s="680" t="n"/>
      <c r="X231" s="680" t="n">
        <v>46024</v>
      </c>
      <c r="Y231" s="677" t="n">
        <v>96000</v>
      </c>
      <c r="Z231" s="678" t="n"/>
      <c r="AA231" s="678">
        <f>Y231</f>
        <v/>
      </c>
      <c r="AB231" s="678" t="n"/>
      <c r="AC231" s="678">
        <f>Y231</f>
        <v/>
      </c>
      <c r="AD231" s="678">
        <f>AA231</f>
        <v/>
      </c>
      <c r="AE231" s="682" t="inlineStr">
        <is>
          <t>ENGAGE</t>
        </is>
      </c>
      <c r="AF231" s="681" t="n"/>
      <c r="AG231" s="678" t="n"/>
      <c r="AH231" s="678" t="n"/>
      <c r="AI231" s="678" t="n"/>
      <c r="AJ231" s="678" t="n"/>
      <c r="AK231" s="683" t="n"/>
      <c r="AL231" s="683" t="n"/>
      <c r="AM231" s="681" t="inlineStr">
        <is>
          <t>Manque n° contrat</t>
        </is>
      </c>
      <c r="AN231" s="684" t="n"/>
      <c r="AO231" s="685" t="n"/>
      <c r="AP231" s="686" t="n"/>
      <c r="AQ231" s="686" t="n"/>
      <c r="AR231" s="23" t="n"/>
      <c r="AS231" s="686" t="n"/>
    </row>
    <row r="232" ht="50.55" customHeight="1" s="392">
      <c r="A232" s="672" t="n">
        <v>2026</v>
      </c>
      <c r="B232" s="673" t="inlineStr">
        <is>
          <t>TAMAZIGHT</t>
        </is>
      </c>
      <c r="C232" s="673" t="inlineStr">
        <is>
          <t>PV N° : 01RC2025- DCPCART</t>
        </is>
      </c>
      <c r="D232" s="672" t="inlineStr">
        <is>
          <t>CONTRAT</t>
        </is>
      </c>
      <c r="E232" s="672" t="n"/>
      <c r="F232" s="674" t="inlineStr">
        <is>
          <t>FATIMA EL KABBOUD  -  Concepteur Animateur RD/TV</t>
        </is>
      </c>
      <c r="G232" s="675" t="inlineStr">
        <is>
          <t>VALIDE</t>
        </is>
      </c>
      <c r="H232" s="672" t="inlineStr">
        <is>
          <t>APPROUVE</t>
        </is>
      </c>
      <c r="I232" s="672" t="n"/>
      <c r="J232" s="675" t="inlineStr">
        <is>
          <t>NON CONCERNE</t>
        </is>
      </c>
      <c r="K232" s="672" t="inlineStr">
        <is>
          <t>Ordinaire</t>
        </is>
      </c>
      <c r="L232" s="676" t="inlineStr">
        <is>
          <t>FONCTIONNEMENT</t>
        </is>
      </c>
      <c r="M232" s="676" t="inlineStr">
        <is>
          <t xml:space="preserve">Prestations de service
Achat prestations de services locales - personnes physiques </t>
        </is>
      </c>
      <c r="N232" s="677" t="n"/>
      <c r="O232" s="678" t="n"/>
      <c r="P232" s="678" t="n"/>
      <c r="Q232" s="672" t="inlineStr">
        <is>
          <t>RECONDUCTION</t>
        </is>
      </c>
      <c r="R232" s="679" t="n"/>
      <c r="S232" s="680" t="n"/>
      <c r="T232" s="681" t="inlineStr">
        <is>
          <t>FATIMA EL KABBOUD</t>
        </is>
      </c>
      <c r="U232" s="672" t="n">
        <v>2026</v>
      </c>
      <c r="V232" s="680" t="n">
        <v>46387</v>
      </c>
      <c r="W232" s="680" t="n"/>
      <c r="X232" s="680" t="n">
        <v>46024</v>
      </c>
      <c r="Y232" s="677" t="n">
        <v>96000</v>
      </c>
      <c r="Z232" s="678" t="n"/>
      <c r="AA232" s="678">
        <f>Y232</f>
        <v/>
      </c>
      <c r="AB232" s="678" t="n"/>
      <c r="AC232" s="678">
        <f>Y232</f>
        <v/>
      </c>
      <c r="AD232" s="678">
        <f>AA232</f>
        <v/>
      </c>
      <c r="AE232" s="682" t="inlineStr">
        <is>
          <t>ENGAGE</t>
        </is>
      </c>
      <c r="AF232" s="681" t="n"/>
      <c r="AG232" s="678" t="n"/>
      <c r="AH232" s="678" t="n"/>
      <c r="AI232" s="678" t="n"/>
      <c r="AJ232" s="678" t="n"/>
      <c r="AK232" s="683" t="n"/>
      <c r="AL232" s="683" t="n"/>
      <c r="AM232" s="681" t="inlineStr">
        <is>
          <t>Manque n° contrat</t>
        </is>
      </c>
      <c r="AN232" s="684" t="n"/>
      <c r="AO232" s="685" t="n"/>
      <c r="AP232" s="686" t="n"/>
      <c r="AQ232" s="686" t="n"/>
      <c r="AR232" s="23" t="n"/>
      <c r="AS232" s="686" t="n"/>
    </row>
    <row r="233" ht="50.55" customHeight="1" s="392">
      <c r="A233" s="672" t="n">
        <v>2026</v>
      </c>
      <c r="B233" s="673" t="inlineStr">
        <is>
          <t>TAMAZIGHT</t>
        </is>
      </c>
      <c r="C233" s="673" t="inlineStr">
        <is>
          <t>PV N° : 01RC2025- DCPCART</t>
        </is>
      </c>
      <c r="D233" s="672" t="inlineStr">
        <is>
          <t>CONTRAT</t>
        </is>
      </c>
      <c r="E233" s="672" t="n"/>
      <c r="F233" s="674" t="inlineStr">
        <is>
          <t>SAID BAJJI  -  Concepteur Animateur RD</t>
        </is>
      </c>
      <c r="G233" s="675" t="inlineStr">
        <is>
          <t>VALIDE</t>
        </is>
      </c>
      <c r="H233" s="672" t="inlineStr">
        <is>
          <t>APPROUVE</t>
        </is>
      </c>
      <c r="I233" s="672" t="n"/>
      <c r="J233" s="675" t="inlineStr">
        <is>
          <t>NON CONCERNE</t>
        </is>
      </c>
      <c r="K233" s="672" t="inlineStr">
        <is>
          <t>Ordinaire</t>
        </is>
      </c>
      <c r="L233" s="676" t="inlineStr">
        <is>
          <t>FONCTIONNEMENT</t>
        </is>
      </c>
      <c r="M233" s="676" t="inlineStr">
        <is>
          <t xml:space="preserve">Prestations de service
Achat prestations de services locales - personnes physiques </t>
        </is>
      </c>
      <c r="N233" s="677" t="n"/>
      <c r="O233" s="678" t="n"/>
      <c r="P233" s="678" t="n"/>
      <c r="Q233" s="672" t="inlineStr">
        <is>
          <t>RECONDUCTION</t>
        </is>
      </c>
      <c r="R233" s="679" t="n"/>
      <c r="S233" s="680" t="n"/>
      <c r="T233" s="681" t="inlineStr">
        <is>
          <t>SAID BAJJI</t>
        </is>
      </c>
      <c r="U233" s="672" t="n">
        <v>2026</v>
      </c>
      <c r="V233" s="680" t="n">
        <v>46387</v>
      </c>
      <c r="W233" s="680" t="n"/>
      <c r="X233" s="680" t="n">
        <v>46024</v>
      </c>
      <c r="Y233" s="677" t="n">
        <v>96000</v>
      </c>
      <c r="Z233" s="678" t="n"/>
      <c r="AA233" s="678">
        <f>Y233</f>
        <v/>
      </c>
      <c r="AB233" s="678" t="n"/>
      <c r="AC233" s="678">
        <f>Y233</f>
        <v/>
      </c>
      <c r="AD233" s="678">
        <f>AA233</f>
        <v/>
      </c>
      <c r="AE233" s="682" t="inlineStr">
        <is>
          <t>ENGAGE</t>
        </is>
      </c>
      <c r="AF233" s="681" t="n"/>
      <c r="AG233" s="678" t="n"/>
      <c r="AH233" s="678" t="n"/>
      <c r="AI233" s="678" t="n"/>
      <c r="AJ233" s="678" t="n"/>
      <c r="AK233" s="683" t="n"/>
      <c r="AL233" s="683" t="n"/>
      <c r="AM233" s="681" t="inlineStr">
        <is>
          <t>Manque n° contrat</t>
        </is>
      </c>
      <c r="AN233" s="684" t="n"/>
      <c r="AO233" s="685" t="n"/>
      <c r="AP233" s="686" t="n"/>
      <c r="AQ233" s="686" t="n"/>
      <c r="AR233" s="23" t="n"/>
      <c r="AS233" s="686" t="n"/>
    </row>
    <row r="234" ht="50.55" customHeight="1" s="392">
      <c r="A234" s="672" t="n">
        <v>2026</v>
      </c>
      <c r="B234" s="673" t="inlineStr">
        <is>
          <t>TAMAZIGHT</t>
        </is>
      </c>
      <c r="C234" s="673" t="inlineStr">
        <is>
          <t>PV N° : 01RC2025- DCPCART</t>
        </is>
      </c>
      <c r="D234" s="672" t="inlineStr">
        <is>
          <t>CONTRAT</t>
        </is>
      </c>
      <c r="E234" s="672" t="n"/>
      <c r="F234" s="674" t="inlineStr">
        <is>
          <t>AASSID AHMED  -  Chroniqueur</t>
        </is>
      </c>
      <c r="G234" s="675" t="inlineStr">
        <is>
          <t>VALIDE</t>
        </is>
      </c>
      <c r="H234" s="672" t="inlineStr">
        <is>
          <t>APPROUVE</t>
        </is>
      </c>
      <c r="I234" s="672" t="n"/>
      <c r="J234" s="675" t="inlineStr">
        <is>
          <t>NON CONCERNE</t>
        </is>
      </c>
      <c r="K234" s="672" t="inlineStr">
        <is>
          <t>Ordinaire</t>
        </is>
      </c>
      <c r="L234" s="676" t="inlineStr">
        <is>
          <t>FONCTIONNEMENT</t>
        </is>
      </c>
      <c r="M234" s="676" t="inlineStr">
        <is>
          <t xml:space="preserve">Prestations de service
Achat prestations de services locales - personnes physiques </t>
        </is>
      </c>
      <c r="N234" s="677" t="n"/>
      <c r="O234" s="678" t="n"/>
      <c r="P234" s="678" t="n"/>
      <c r="Q234" s="672" t="inlineStr">
        <is>
          <t>RECONDUCTION</t>
        </is>
      </c>
      <c r="R234" s="679" t="n"/>
      <c r="S234" s="680" t="n"/>
      <c r="T234" s="681" t="inlineStr">
        <is>
          <t>AASSID AHMED</t>
        </is>
      </c>
      <c r="U234" s="672" t="n">
        <v>2026</v>
      </c>
      <c r="V234" s="680" t="n">
        <v>46387</v>
      </c>
      <c r="W234" s="680" t="n"/>
      <c r="X234" s="680" t="n">
        <v>46024</v>
      </c>
      <c r="Y234" s="677" t="n">
        <v>457142.72</v>
      </c>
      <c r="Z234" s="678" t="n"/>
      <c r="AA234" s="678">
        <f>Y234</f>
        <v/>
      </c>
      <c r="AB234" s="678" t="n"/>
      <c r="AC234" s="678">
        <f>Y234</f>
        <v/>
      </c>
      <c r="AD234" s="678">
        <f>AA234</f>
        <v/>
      </c>
      <c r="AE234" s="682" t="inlineStr">
        <is>
          <t>ENGAGE</t>
        </is>
      </c>
      <c r="AF234" s="681" t="n"/>
      <c r="AG234" s="678" t="n"/>
      <c r="AH234" s="678" t="n"/>
      <c r="AI234" s="678" t="n"/>
      <c r="AJ234" s="678" t="n"/>
      <c r="AK234" s="683" t="n"/>
      <c r="AL234" s="683" t="n"/>
      <c r="AM234" s="681" t="inlineStr">
        <is>
          <t>Manque n° contrat</t>
        </is>
      </c>
      <c r="AN234" s="684" t="n"/>
      <c r="AO234" s="685" t="n"/>
      <c r="AP234" s="686" t="n"/>
      <c r="AQ234" s="686" t="n"/>
      <c r="AR234" s="23" t="n"/>
      <c r="AS234" s="686" t="n"/>
    </row>
    <row r="235" ht="50.55" customHeight="1" s="392">
      <c r="A235" s="672" t="n">
        <v>2026</v>
      </c>
      <c r="B235" s="673" t="inlineStr">
        <is>
          <t>TAMAZIGHT</t>
        </is>
      </c>
      <c r="C235" s="673" t="inlineStr">
        <is>
          <t>PV N° : 01RC2025- DCPCART</t>
        </is>
      </c>
      <c r="D235" s="672" t="inlineStr">
        <is>
          <t>CONTRAT</t>
        </is>
      </c>
      <c r="E235" s="672" t="n"/>
      <c r="F235" s="674" t="inlineStr">
        <is>
          <t>MOUSTAOUI MOHAMED  -  Chroniqueur</t>
        </is>
      </c>
      <c r="G235" s="675" t="inlineStr">
        <is>
          <t>VALIDE</t>
        </is>
      </c>
      <c r="H235" s="672" t="inlineStr">
        <is>
          <t>APPROUVE</t>
        </is>
      </c>
      <c r="I235" s="672" t="n"/>
      <c r="J235" s="675" t="inlineStr">
        <is>
          <t>NON CONCERNE</t>
        </is>
      </c>
      <c r="K235" s="672" t="inlineStr">
        <is>
          <t>Ordinaire</t>
        </is>
      </c>
      <c r="L235" s="676" t="inlineStr">
        <is>
          <t>FONCTIONNEMENT</t>
        </is>
      </c>
      <c r="M235" s="676" t="inlineStr">
        <is>
          <t xml:space="preserve">Prestations de service
Achat prestations de services locales - personnes physiques </t>
        </is>
      </c>
      <c r="N235" s="677" t="n"/>
      <c r="O235" s="678" t="n"/>
      <c r="P235" s="678" t="n"/>
      <c r="Q235" s="672" t="inlineStr">
        <is>
          <t>RECONDUCTION</t>
        </is>
      </c>
      <c r="R235" s="679" t="n"/>
      <c r="S235" s="680" t="n"/>
      <c r="T235" s="681" t="inlineStr">
        <is>
          <t>MOUSTAOUI MOHAMED</t>
        </is>
      </c>
      <c r="U235" s="672" t="n">
        <v>2026</v>
      </c>
      <c r="V235" s="680" t="n">
        <v>46387</v>
      </c>
      <c r="W235" s="680" t="n"/>
      <c r="X235" s="680" t="n">
        <v>46024</v>
      </c>
      <c r="Y235" s="677" t="n">
        <v>41600</v>
      </c>
      <c r="Z235" s="678" t="n"/>
      <c r="AA235" s="678" t="n">
        <v>41600</v>
      </c>
      <c r="AB235" s="678" t="n"/>
      <c r="AC235" s="678" t="n">
        <v>41600</v>
      </c>
      <c r="AD235" s="678" t="n">
        <v>41600</v>
      </c>
      <c r="AE235" s="682" t="inlineStr">
        <is>
          <t>ENGAGE</t>
        </is>
      </c>
      <c r="AF235" s="681" t="n"/>
      <c r="AG235" s="678" t="n"/>
      <c r="AH235" s="678" t="n"/>
      <c r="AI235" s="678" t="n"/>
      <c r="AJ235" s="678" t="n"/>
      <c r="AK235" s="683" t="n"/>
      <c r="AL235" s="683" t="n"/>
      <c r="AM235" s="681" t="inlineStr">
        <is>
          <t>Manque n° contrat</t>
        </is>
      </c>
      <c r="AN235" s="684" t="n"/>
      <c r="AO235" s="685" t="n"/>
      <c r="AP235" s="686" t="n"/>
      <c r="AQ235" s="686" t="n"/>
      <c r="AR235" s="23" t="n"/>
      <c r="AS235" s="686" t="n"/>
    </row>
    <row r="236" ht="54.6" customHeight="1" s="392">
      <c r="A236" s="672" t="n">
        <v>2026</v>
      </c>
      <c r="B236" s="673" t="inlineStr">
        <is>
          <t>TAMAZIGHT</t>
        </is>
      </c>
      <c r="C236" s="673" t="inlineStr">
        <is>
          <t>PV N° : 01RC2025- DCPCART</t>
        </is>
      </c>
      <c r="D236" s="672" t="inlineStr">
        <is>
          <t>CONTRAT</t>
        </is>
      </c>
      <c r="E236" s="672" t="n"/>
      <c r="F236" s="674" t="inlineStr">
        <is>
          <t>RACHID ABDELOIAHID  -  Journaliste sportif en charge de la préparation et l'animation des émissions ''TONOUNT" &amp; "DIMANCHE SPORT" (version Tachlhit)</t>
        </is>
      </c>
      <c r="G236" s="675" t="inlineStr">
        <is>
          <t>VALIDE</t>
        </is>
      </c>
      <c r="H236" s="672" t="inlineStr">
        <is>
          <t>APPROUVE</t>
        </is>
      </c>
      <c r="I236" s="672" t="n"/>
      <c r="J236" s="675" t="inlineStr">
        <is>
          <t>NON CONCERNE</t>
        </is>
      </c>
      <c r="K236" s="672" t="inlineStr">
        <is>
          <t>Ordinaire</t>
        </is>
      </c>
      <c r="L236" s="676" t="inlineStr">
        <is>
          <t>FONCTIONNEMENT</t>
        </is>
      </c>
      <c r="M236" s="676" t="inlineStr">
        <is>
          <t xml:space="preserve">Prestations de service
Achat prestations de services locales - personnes physiques </t>
        </is>
      </c>
      <c r="N236" s="677" t="n"/>
      <c r="O236" s="678" t="n"/>
      <c r="P236" s="678" t="n"/>
      <c r="Q236" s="672" t="inlineStr">
        <is>
          <t>RECONDUCTION</t>
        </is>
      </c>
      <c r="R236" s="679" t="n"/>
      <c r="S236" s="680" t="n"/>
      <c r="T236" s="681" t="inlineStr">
        <is>
          <t>RACHID ABDELOIAHID</t>
        </is>
      </c>
      <c r="U236" s="672" t="n">
        <v>2026</v>
      </c>
      <c r="V236" s="680" t="n">
        <v>46387</v>
      </c>
      <c r="W236" s="680" t="n"/>
      <c r="X236" s="680" t="n">
        <v>46024</v>
      </c>
      <c r="Y236" s="677" t="n">
        <v>71400</v>
      </c>
      <c r="Z236" s="678" t="n"/>
      <c r="AA236" s="678">
        <f>Y236</f>
        <v/>
      </c>
      <c r="AB236" s="678" t="n"/>
      <c r="AC236" s="678">
        <f>Y236</f>
        <v/>
      </c>
      <c r="AD236" s="678">
        <f>AA236</f>
        <v/>
      </c>
      <c r="AE236" s="682" t="inlineStr">
        <is>
          <t>ENGAGE</t>
        </is>
      </c>
      <c r="AF236" s="681" t="n"/>
      <c r="AG236" s="678" t="n"/>
      <c r="AH236" s="678" t="n"/>
      <c r="AI236" s="678" t="n"/>
      <c r="AJ236" s="678" t="n"/>
      <c r="AK236" s="683" t="n"/>
      <c r="AL236" s="683" t="n"/>
      <c r="AM236" s="681" t="inlineStr">
        <is>
          <t>Manque n° contrat</t>
        </is>
      </c>
      <c r="AN236" s="684" t="n"/>
      <c r="AO236" s="685" t="n"/>
      <c r="AP236" s="686" t="n"/>
      <c r="AQ236" s="686" t="n"/>
      <c r="AR236" s="23" t="n"/>
      <c r="AS236" s="686" t="n"/>
    </row>
    <row r="237" ht="54.6" customHeight="1" s="392">
      <c r="A237" s="672" t="n">
        <v>2026</v>
      </c>
      <c r="B237" s="673" t="inlineStr">
        <is>
          <t>TAMAZIGHT</t>
        </is>
      </c>
      <c r="C237" s="673" t="inlineStr">
        <is>
          <t>PV N° : 01RC2025- DCPCART</t>
        </is>
      </c>
      <c r="D237" s="672" t="inlineStr">
        <is>
          <t>CONTRAT</t>
        </is>
      </c>
      <c r="E237" s="672" t="n"/>
      <c r="F237" s="674" t="inlineStr">
        <is>
          <t>SRHANE EL MOSTAFA  -  Journaliste sportif en charge de l'animation de l'émission ''LEGHA D RIADA" &amp; "DIMANCHE SPORT" (version Tamazight)</t>
        </is>
      </c>
      <c r="G237" s="675" t="inlineStr">
        <is>
          <t>VALIDE</t>
        </is>
      </c>
      <c r="H237" s="672" t="inlineStr">
        <is>
          <t>APPROUVE</t>
        </is>
      </c>
      <c r="I237" s="672" t="n"/>
      <c r="J237" s="675" t="inlineStr">
        <is>
          <t>NON CONCERNE</t>
        </is>
      </c>
      <c r="K237" s="672" t="inlineStr">
        <is>
          <t>Ordinaire</t>
        </is>
      </c>
      <c r="L237" s="676" t="inlineStr">
        <is>
          <t>FONCTIONNEMENT</t>
        </is>
      </c>
      <c r="M237" s="676" t="inlineStr">
        <is>
          <t xml:space="preserve">Prestations de service
Achat prestations de services locales - personnes physiques </t>
        </is>
      </c>
      <c r="N237" s="677" t="n"/>
      <c r="O237" s="678" t="n"/>
      <c r="P237" s="678" t="n"/>
      <c r="Q237" s="672" t="inlineStr">
        <is>
          <t>RECONDUCTION</t>
        </is>
      </c>
      <c r="R237" s="679" t="n"/>
      <c r="S237" s="680" t="n"/>
      <c r="T237" s="681" t="inlineStr">
        <is>
          <t>SRHANE EL MOSTAFA</t>
        </is>
      </c>
      <c r="U237" s="672" t="n">
        <v>2026</v>
      </c>
      <c r="V237" s="680" t="n">
        <v>46387</v>
      </c>
      <c r="W237" s="680" t="n"/>
      <c r="X237" s="680" t="n">
        <v>46024</v>
      </c>
      <c r="Y237" s="677" t="n">
        <v>71400</v>
      </c>
      <c r="Z237" s="678" t="n"/>
      <c r="AA237" s="678">
        <f>Y237</f>
        <v/>
      </c>
      <c r="AB237" s="678" t="n"/>
      <c r="AC237" s="678">
        <f>Y237</f>
        <v/>
      </c>
      <c r="AD237" s="678">
        <f>AA237</f>
        <v/>
      </c>
      <c r="AE237" s="682" t="inlineStr">
        <is>
          <t>ENGAGE</t>
        </is>
      </c>
      <c r="AF237" s="681" t="n"/>
      <c r="AG237" s="678" t="n"/>
      <c r="AH237" s="678" t="n"/>
      <c r="AI237" s="678" t="n"/>
      <c r="AJ237" s="678" t="n"/>
      <c r="AK237" s="683" t="n"/>
      <c r="AL237" s="683" t="n"/>
      <c r="AM237" s="681" t="inlineStr">
        <is>
          <t>Manque n° contrat</t>
        </is>
      </c>
      <c r="AN237" s="684" t="n"/>
      <c r="AO237" s="685" t="n"/>
      <c r="AP237" s="686" t="n"/>
      <c r="AQ237" s="686" t="n"/>
      <c r="AR237" s="23" t="n"/>
      <c r="AS237" s="686" t="n"/>
    </row>
    <row r="238" ht="54.6" customHeight="1" s="392">
      <c r="A238" s="672" t="n">
        <v>2026</v>
      </c>
      <c r="B238" s="673" t="inlineStr">
        <is>
          <t>TAMAZIGHT</t>
        </is>
      </c>
      <c r="C238" s="673" t="inlineStr">
        <is>
          <t>PV N° : 01RC2025- DCPCART</t>
        </is>
      </c>
      <c r="D238" s="672" t="inlineStr">
        <is>
          <t>CONTRAT</t>
        </is>
      </c>
      <c r="E238" s="672" t="n"/>
      <c r="F238" s="674" t="inlineStr">
        <is>
          <t>BEN AMAR RACHID  -  Journaliste sportif en charge de l'animation de l'émission ''LEGHA D RIADA" &amp; "DIMANCHE SPORT" (version Tarifit)</t>
        </is>
      </c>
      <c r="G238" s="675" t="inlineStr">
        <is>
          <t>VALIDE</t>
        </is>
      </c>
      <c r="H238" s="672" t="inlineStr">
        <is>
          <t>APPROUVE</t>
        </is>
      </c>
      <c r="I238" s="672" t="n"/>
      <c r="J238" s="675" t="inlineStr">
        <is>
          <t>NON CONCERNE</t>
        </is>
      </c>
      <c r="K238" s="672" t="inlineStr">
        <is>
          <t>Ordinaire</t>
        </is>
      </c>
      <c r="L238" s="676" t="inlineStr">
        <is>
          <t>FONCTIONNEMENT</t>
        </is>
      </c>
      <c r="M238" s="676" t="inlineStr">
        <is>
          <t xml:space="preserve">Prestations de service
Achat prestations de services locales - personnes physiques </t>
        </is>
      </c>
      <c r="N238" s="677" t="n"/>
      <c r="O238" s="678" t="n"/>
      <c r="P238" s="678" t="n"/>
      <c r="Q238" s="672" t="inlineStr">
        <is>
          <t>RECONDUCTION</t>
        </is>
      </c>
      <c r="R238" s="679" t="n"/>
      <c r="S238" s="680" t="n"/>
      <c r="T238" s="681" t="inlineStr">
        <is>
          <t>BEN AMAR RACHID</t>
        </is>
      </c>
      <c r="U238" s="672" t="n">
        <v>2026</v>
      </c>
      <c r="V238" s="680" t="n">
        <v>46387</v>
      </c>
      <c r="W238" s="680" t="n"/>
      <c r="X238" s="680" t="n">
        <v>46024</v>
      </c>
      <c r="Y238" s="677" t="n">
        <v>71400</v>
      </c>
      <c r="Z238" s="678" t="n"/>
      <c r="AA238" s="678">
        <f>Y238</f>
        <v/>
      </c>
      <c r="AB238" s="678" t="n"/>
      <c r="AC238" s="678">
        <f>Y238</f>
        <v/>
      </c>
      <c r="AD238" s="678">
        <f>AA238</f>
        <v/>
      </c>
      <c r="AE238" s="682" t="inlineStr">
        <is>
          <t>ENGAGE</t>
        </is>
      </c>
      <c r="AF238" s="681" t="n"/>
      <c r="AG238" s="678" t="n"/>
      <c r="AH238" s="678" t="n"/>
      <c r="AI238" s="678" t="n"/>
      <c r="AJ238" s="678" t="n"/>
      <c r="AK238" s="683" t="n"/>
      <c r="AL238" s="683" t="n"/>
      <c r="AM238" s="681" t="inlineStr">
        <is>
          <t>Manque n° contrat</t>
        </is>
      </c>
      <c r="AN238" s="684" t="n"/>
      <c r="AO238" s="685" t="n"/>
      <c r="AP238" s="686" t="n"/>
      <c r="AQ238" s="686" t="n"/>
      <c r="AR238" s="23" t="n"/>
      <c r="AS238" s="686" t="n"/>
    </row>
    <row r="239" ht="50.55" customHeight="1" s="392">
      <c r="A239" s="672" t="n">
        <v>2026</v>
      </c>
      <c r="B239" s="673" t="inlineStr">
        <is>
          <t>TAMAZIGHT</t>
        </is>
      </c>
      <c r="C239" s="673" t="inlineStr">
        <is>
          <t>PV N° : 01RC2025- DCPCART</t>
        </is>
      </c>
      <c r="D239" s="672" t="inlineStr">
        <is>
          <t>CONTRAT</t>
        </is>
      </c>
      <c r="E239" s="672" t="n"/>
      <c r="F239" s="674" t="inlineStr">
        <is>
          <t>AAMOUNE MY EL BACHIR  -  Chroniqueur</t>
        </is>
      </c>
      <c r="G239" s="675" t="inlineStr">
        <is>
          <t>VALIDE</t>
        </is>
      </c>
      <c r="H239" s="672" t="inlineStr">
        <is>
          <t>APPROUVE</t>
        </is>
      </c>
      <c r="I239" s="672" t="n"/>
      <c r="J239" s="675" t="inlineStr">
        <is>
          <t>NON CONCERNE</t>
        </is>
      </c>
      <c r="K239" s="672" t="inlineStr">
        <is>
          <t>Ordinaire</t>
        </is>
      </c>
      <c r="L239" s="676" t="inlineStr">
        <is>
          <t>FONCTIONNEMENT</t>
        </is>
      </c>
      <c r="M239" s="676" t="inlineStr">
        <is>
          <t xml:space="preserve">Prestations de service
Achat prestations de services locales - personnes physiques </t>
        </is>
      </c>
      <c r="N239" s="677" t="n"/>
      <c r="O239" s="678" t="n"/>
      <c r="P239" s="678" t="n"/>
      <c r="Q239" s="672" t="inlineStr">
        <is>
          <t>RECONDUCTION</t>
        </is>
      </c>
      <c r="R239" s="679" t="n"/>
      <c r="S239" s="680" t="n"/>
      <c r="T239" s="681" t="inlineStr">
        <is>
          <t>AAMOUNE MY EL BACHIR</t>
        </is>
      </c>
      <c r="U239" s="672" t="n">
        <v>2026</v>
      </c>
      <c r="V239" s="680" t="n">
        <v>46387</v>
      </c>
      <c r="W239" s="680" t="n"/>
      <c r="X239" s="680" t="n">
        <v>46024</v>
      </c>
      <c r="Y239" s="677" t="n">
        <v>41600</v>
      </c>
      <c r="Z239" s="678" t="n"/>
      <c r="AA239" s="678">
        <f>Y239</f>
        <v/>
      </c>
      <c r="AB239" s="678" t="n"/>
      <c r="AC239" s="678">
        <f>Y239</f>
        <v/>
      </c>
      <c r="AD239" s="678">
        <f>AA239</f>
        <v/>
      </c>
      <c r="AE239" s="682" t="inlineStr">
        <is>
          <t>ENGAGE</t>
        </is>
      </c>
      <c r="AF239" s="681" t="n"/>
      <c r="AG239" s="678" t="n"/>
      <c r="AH239" s="678" t="n"/>
      <c r="AI239" s="678" t="n"/>
      <c r="AJ239" s="678" t="n"/>
      <c r="AK239" s="683" t="n"/>
      <c r="AL239" s="683" t="n"/>
      <c r="AM239" s="681" t="inlineStr">
        <is>
          <t>Manque n° contrat</t>
        </is>
      </c>
      <c r="AN239" s="684" t="n"/>
      <c r="AO239" s="685" t="n"/>
      <c r="AP239" s="686" t="n"/>
      <c r="AQ239" s="686" t="n"/>
      <c r="AR239" s="23" t="n"/>
      <c r="AS239" s="686" t="n"/>
    </row>
    <row r="240" ht="70.80000000000001" customHeight="1" s="392">
      <c r="A240" s="672" t="n">
        <v>2026</v>
      </c>
      <c r="B240" s="673" t="inlineStr">
        <is>
          <t>ASSADISSA</t>
        </is>
      </c>
      <c r="C240" s="673" t="inlineStr">
        <is>
          <t>PV N° : 02RC2025-DPPCCRTV</t>
        </is>
      </c>
      <c r="D240" s="672" t="inlineStr">
        <is>
          <t>CONTRAT</t>
        </is>
      </c>
      <c r="E240" s="672" t="n"/>
      <c r="F240" s="674" t="inlineStr">
        <is>
          <t>LAHASSAN ID SAID  -  Président de la commission scientifique chargée de l’écoute, du visionnage, de la validation et de l’approbation du contenu des émissions coraniques RD et TV</t>
        </is>
      </c>
      <c r="G240" s="675" t="inlineStr">
        <is>
          <t>VALIDE</t>
        </is>
      </c>
      <c r="H240" s="672" t="inlineStr">
        <is>
          <t>APPROUVE</t>
        </is>
      </c>
      <c r="I240" s="672" t="n"/>
      <c r="J240" s="675" t="inlineStr">
        <is>
          <t>NON CONCERNE</t>
        </is>
      </c>
      <c r="K240" s="672" t="inlineStr">
        <is>
          <t>Ordinaire</t>
        </is>
      </c>
      <c r="L240" s="676" t="inlineStr">
        <is>
          <t>FONCTIONNEMENT</t>
        </is>
      </c>
      <c r="M240" s="676" t="inlineStr">
        <is>
          <t xml:space="preserve">Prestations de service
Achat prestations de services locales - personnes physiques </t>
        </is>
      </c>
      <c r="N240" s="677" t="n"/>
      <c r="O240" s="678" t="n"/>
      <c r="P240" s="678" t="n"/>
      <c r="Q240" s="672" t="inlineStr">
        <is>
          <t>RECONDUCTION</t>
        </is>
      </c>
      <c r="R240" s="679" t="n"/>
      <c r="S240" s="680" t="n"/>
      <c r="T240" s="681" t="inlineStr">
        <is>
          <t>LAHASSAN ID SAID</t>
        </is>
      </c>
      <c r="U240" s="672" t="n">
        <v>2026</v>
      </c>
      <c r="V240" s="680" t="n">
        <v>46387</v>
      </c>
      <c r="W240" s="680" t="n"/>
      <c r="X240" s="680" t="n">
        <v>46024</v>
      </c>
      <c r="Y240" s="677" t="n">
        <v>96000</v>
      </c>
      <c r="Z240" s="678" t="n"/>
      <c r="AA240" s="678">
        <f>Y240</f>
        <v/>
      </c>
      <c r="AB240" s="678" t="n"/>
      <c r="AC240" s="678">
        <f>Y240</f>
        <v/>
      </c>
      <c r="AD240" s="678">
        <f>AA240</f>
        <v/>
      </c>
      <c r="AE240" s="682" t="inlineStr">
        <is>
          <t>ENGAGE</t>
        </is>
      </c>
      <c r="AF240" s="681" t="n"/>
      <c r="AG240" s="678" t="n"/>
      <c r="AH240" s="678" t="n"/>
      <c r="AI240" s="678" t="n"/>
      <c r="AJ240" s="678" t="n"/>
      <c r="AK240" s="683" t="n"/>
      <c r="AL240" s="683" t="n"/>
      <c r="AM240" s="681" t="inlineStr">
        <is>
          <t>Manque n° contrat</t>
        </is>
      </c>
      <c r="AN240" s="684" t="n"/>
      <c r="AO240" s="685" t="n"/>
      <c r="AP240" s="686" t="n"/>
      <c r="AQ240" s="686" t="n"/>
      <c r="AR240" s="23" t="n"/>
      <c r="AS240" s="686" t="n"/>
    </row>
    <row r="241" ht="54.6" customHeight="1" s="392">
      <c r="A241" s="672" t="n">
        <v>2026</v>
      </c>
      <c r="B241" s="673" t="inlineStr">
        <is>
          <t>ASSADISSA</t>
        </is>
      </c>
      <c r="C241" s="673" t="inlineStr">
        <is>
          <t>PV N° : 02RC2025-DPPCCRTV</t>
        </is>
      </c>
      <c r="D241" s="672" t="inlineStr">
        <is>
          <t>CONTRAT</t>
        </is>
      </c>
      <c r="E241" s="672" t="n"/>
      <c r="F241" s="674" t="inlineStr">
        <is>
          <t>BOULAAMANE ABDELKAMEL  -  Membre de la commission scientifique chargée de l’écoute, du visionnage et de la validation du contenu des émissions coraniques RD et TV</t>
        </is>
      </c>
      <c r="G241" s="675" t="inlineStr">
        <is>
          <t>VALIDE</t>
        </is>
      </c>
      <c r="H241" s="672" t="inlineStr">
        <is>
          <t>APPROUVE</t>
        </is>
      </c>
      <c r="I241" s="672" t="n"/>
      <c r="J241" s="675" t="inlineStr">
        <is>
          <t>NON CONCERNE</t>
        </is>
      </c>
      <c r="K241" s="672" t="inlineStr">
        <is>
          <t>Ordinaire</t>
        </is>
      </c>
      <c r="L241" s="676" t="inlineStr">
        <is>
          <t>FONCTIONNEMENT</t>
        </is>
      </c>
      <c r="M241" s="676" t="inlineStr">
        <is>
          <t xml:space="preserve">Prestations de service
Achat prestations de services locales - personnes physiques </t>
        </is>
      </c>
      <c r="N241" s="677" t="n"/>
      <c r="O241" s="678" t="n"/>
      <c r="P241" s="678" t="n"/>
      <c r="Q241" s="672" t="inlineStr">
        <is>
          <t>RECONDUCTION</t>
        </is>
      </c>
      <c r="R241" s="679" t="n"/>
      <c r="S241" s="680" t="n"/>
      <c r="T241" s="681" t="inlineStr">
        <is>
          <t>BOULAAMANE ABDELKAMEL</t>
        </is>
      </c>
      <c r="U241" s="672" t="n">
        <v>2026</v>
      </c>
      <c r="V241" s="680" t="n">
        <v>46387</v>
      </c>
      <c r="W241" s="680" t="n"/>
      <c r="X241" s="680" t="n">
        <v>46024</v>
      </c>
      <c r="Y241" s="677" t="n">
        <v>51600</v>
      </c>
      <c r="Z241" s="678" t="n"/>
      <c r="AA241" s="678">
        <f>Y241</f>
        <v/>
      </c>
      <c r="AB241" s="678" t="n"/>
      <c r="AC241" s="678">
        <f>Y241</f>
        <v/>
      </c>
      <c r="AD241" s="678">
        <f>AA241</f>
        <v/>
      </c>
      <c r="AE241" s="682" t="inlineStr">
        <is>
          <t>ENGAGE</t>
        </is>
      </c>
      <c r="AF241" s="681" t="n"/>
      <c r="AG241" s="678" t="n"/>
      <c r="AH241" s="678" t="n"/>
      <c r="AI241" s="678" t="n"/>
      <c r="AJ241" s="678" t="n"/>
      <c r="AK241" s="683" t="n"/>
      <c r="AL241" s="683" t="n"/>
      <c r="AM241" s="681" t="inlineStr">
        <is>
          <t>Manque n° contrat</t>
        </is>
      </c>
      <c r="AN241" s="684" t="n"/>
      <c r="AO241" s="685" t="n"/>
      <c r="AP241" s="686" t="n"/>
      <c r="AQ241" s="686" t="n"/>
      <c r="AR241" s="23" t="n"/>
      <c r="AS241" s="686" t="n"/>
    </row>
    <row r="242" ht="54.6" customHeight="1" s="392">
      <c r="A242" s="672" t="n">
        <v>2026</v>
      </c>
      <c r="B242" s="673" t="inlineStr">
        <is>
          <t>ASSADISSA</t>
        </is>
      </c>
      <c r="C242" s="673" t="inlineStr">
        <is>
          <t>PV N° : 02RC2025-DPPCCRTV</t>
        </is>
      </c>
      <c r="D242" s="672" t="inlineStr">
        <is>
          <t>CONTRAT</t>
        </is>
      </c>
      <c r="E242" s="672" t="n"/>
      <c r="F242" s="674" t="inlineStr">
        <is>
          <t>EL BAHJA MOUSSA  -  Membre de la commission scientifique chargée de l’écoute, du visionnage et de la validation du contenu des émissions coraniques RD et TV</t>
        </is>
      </c>
      <c r="G242" s="675" t="inlineStr">
        <is>
          <t>VALIDE</t>
        </is>
      </c>
      <c r="H242" s="672" t="inlineStr">
        <is>
          <t>APPROUVE</t>
        </is>
      </c>
      <c r="I242" s="672" t="n"/>
      <c r="J242" s="675" t="inlineStr">
        <is>
          <t>NON CONCERNE</t>
        </is>
      </c>
      <c r="K242" s="672" t="inlineStr">
        <is>
          <t>Ordinaire</t>
        </is>
      </c>
      <c r="L242" s="676" t="inlineStr">
        <is>
          <t>FONCTIONNEMENT</t>
        </is>
      </c>
      <c r="M242" s="676" t="inlineStr">
        <is>
          <t xml:space="preserve">Prestations de service
Achat prestations de services locales - personnes physiques </t>
        </is>
      </c>
      <c r="N242" s="677" t="n"/>
      <c r="O242" s="678" t="n"/>
      <c r="P242" s="678" t="n"/>
      <c r="Q242" s="672" t="inlineStr">
        <is>
          <t>RECONDUCTION</t>
        </is>
      </c>
      <c r="R242" s="679" t="n"/>
      <c r="S242" s="680" t="n"/>
      <c r="T242" s="681" t="inlineStr">
        <is>
          <t>EL BAHJA MOUSSA</t>
        </is>
      </c>
      <c r="U242" s="672" t="n">
        <v>2026</v>
      </c>
      <c r="V242" s="680" t="n">
        <v>46387</v>
      </c>
      <c r="W242" s="680" t="n"/>
      <c r="X242" s="680" t="n">
        <v>46024</v>
      </c>
      <c r="Y242" s="677" t="n">
        <v>51600</v>
      </c>
      <c r="Z242" s="678" t="n"/>
      <c r="AA242" s="678">
        <f>Y242</f>
        <v/>
      </c>
      <c r="AB242" s="678" t="n"/>
      <c r="AC242" s="678">
        <f>Y242</f>
        <v/>
      </c>
      <c r="AD242" s="678">
        <f>AA242</f>
        <v/>
      </c>
      <c r="AE242" s="682" t="inlineStr">
        <is>
          <t>ENGAGE</t>
        </is>
      </c>
      <c r="AF242" s="681" t="n"/>
      <c r="AG242" s="678" t="n"/>
      <c r="AH242" s="678" t="n"/>
      <c r="AI242" s="678" t="n"/>
      <c r="AJ242" s="678" t="n"/>
      <c r="AK242" s="683" t="n"/>
      <c r="AL242" s="683" t="n"/>
      <c r="AM242" s="681" t="inlineStr">
        <is>
          <t>Manque n° contrat</t>
        </is>
      </c>
      <c r="AN242" s="684" t="n"/>
      <c r="AO242" s="685" t="n"/>
      <c r="AP242" s="686" t="n"/>
      <c r="AQ242" s="686" t="n"/>
      <c r="AR242" s="23" t="n"/>
      <c r="AS242" s="686" t="n"/>
    </row>
    <row r="243" ht="54.6" customHeight="1" s="392">
      <c r="A243" s="672" t="n">
        <v>2026</v>
      </c>
      <c r="B243" s="673" t="inlineStr">
        <is>
          <t>ASSADISSA</t>
        </is>
      </c>
      <c r="C243" s="673" t="inlineStr">
        <is>
          <t>PV N° : 02RC2025-DPPCCRTV</t>
        </is>
      </c>
      <c r="D243" s="672" t="inlineStr">
        <is>
          <t>CONTRAT</t>
        </is>
      </c>
      <c r="E243" s="672" t="n"/>
      <c r="F243" s="674" t="inlineStr">
        <is>
          <t>AZZOUZI HASSANE  -  Membre de la commission scientifique chargée de l’écoute, du visionnage et de la validation du contenu des émissions coraniques RD et TV</t>
        </is>
      </c>
      <c r="G243" s="675" t="inlineStr">
        <is>
          <t>VALIDE</t>
        </is>
      </c>
      <c r="H243" s="672" t="inlineStr">
        <is>
          <t>APPROUVE</t>
        </is>
      </c>
      <c r="I243" s="672" t="n"/>
      <c r="J243" s="675" t="inlineStr">
        <is>
          <t>NON CONCERNE</t>
        </is>
      </c>
      <c r="K243" s="672" t="inlineStr">
        <is>
          <t>Ordinaire</t>
        </is>
      </c>
      <c r="L243" s="676" t="inlineStr">
        <is>
          <t>FONCTIONNEMENT</t>
        </is>
      </c>
      <c r="M243" s="676" t="inlineStr">
        <is>
          <t xml:space="preserve">Prestations de service
Achat prestations de services locales - personnes physiques </t>
        </is>
      </c>
      <c r="N243" s="677" t="n"/>
      <c r="O243" s="678" t="n"/>
      <c r="P243" s="678" t="n"/>
      <c r="Q243" s="672" t="inlineStr">
        <is>
          <t>RECONDUCTION</t>
        </is>
      </c>
      <c r="R243" s="679" t="n"/>
      <c r="S243" s="680" t="n"/>
      <c r="T243" s="681" t="inlineStr">
        <is>
          <t>AZZOUZI HASSANE</t>
        </is>
      </c>
      <c r="U243" s="672" t="n">
        <v>2026</v>
      </c>
      <c r="V243" s="680" t="n">
        <v>46387</v>
      </c>
      <c r="W243" s="680" t="n"/>
      <c r="X243" s="680" t="n">
        <v>46024</v>
      </c>
      <c r="Y243" s="677" t="n">
        <v>51600</v>
      </c>
      <c r="Z243" s="678" t="n"/>
      <c r="AA243" s="678">
        <f>Y243</f>
        <v/>
      </c>
      <c r="AB243" s="678" t="n"/>
      <c r="AC243" s="678">
        <f>Y243</f>
        <v/>
      </c>
      <c r="AD243" s="678">
        <f>AA243</f>
        <v/>
      </c>
      <c r="AE243" s="682" t="inlineStr">
        <is>
          <t>ENGAGE</t>
        </is>
      </c>
      <c r="AF243" s="681" t="n"/>
      <c r="AG243" s="678" t="n"/>
      <c r="AH243" s="678" t="n"/>
      <c r="AI243" s="678" t="n"/>
      <c r="AJ243" s="678" t="n"/>
      <c r="AK243" s="683" t="n"/>
      <c r="AL243" s="683" t="n"/>
      <c r="AM243" s="681" t="inlineStr">
        <is>
          <t>Manque n° contrat</t>
        </is>
      </c>
      <c r="AN243" s="684" t="n"/>
      <c r="AO243" s="685" t="n"/>
      <c r="AP243" s="686" t="n"/>
      <c r="AQ243" s="686" t="n"/>
      <c r="AR243" s="23" t="n"/>
      <c r="AS243" s="686" t="n"/>
    </row>
    <row r="244" ht="54.6" customHeight="1" s="392">
      <c r="A244" s="672" t="n">
        <v>2026</v>
      </c>
      <c r="B244" s="673" t="inlineStr">
        <is>
          <t>ASSADISSA</t>
        </is>
      </c>
      <c r="C244" s="673" t="inlineStr">
        <is>
          <t>PV N° : 02RC2025-DPPCCRTV</t>
        </is>
      </c>
      <c r="D244" s="672" t="inlineStr">
        <is>
          <t>CONTRAT</t>
        </is>
      </c>
      <c r="E244" s="672" t="n"/>
      <c r="F244" s="674" t="inlineStr">
        <is>
          <t>LAYACHI QABBOUSSI  -  PAD RD et TV : Membre de la commission scientifique chargée de l’écoute, du visionnage des émissions coraniques RD et TV</t>
        </is>
      </c>
      <c r="G244" s="675" t="inlineStr">
        <is>
          <t>VALIDE</t>
        </is>
      </c>
      <c r="H244" s="672" t="inlineStr">
        <is>
          <t>APPROUVE</t>
        </is>
      </c>
      <c r="I244" s="672" t="n"/>
      <c r="J244" s="675" t="inlineStr">
        <is>
          <t>NON CONCERNE</t>
        </is>
      </c>
      <c r="K244" s="672" t="inlineStr">
        <is>
          <t>Ordinaire</t>
        </is>
      </c>
      <c r="L244" s="676" t="inlineStr">
        <is>
          <t>FONCTIONNEMENT</t>
        </is>
      </c>
      <c r="M244" s="676" t="inlineStr">
        <is>
          <t xml:space="preserve">Prestations de service
Achat prestations de services locales - personnes physiques </t>
        </is>
      </c>
      <c r="N244" s="677" t="n"/>
      <c r="O244" s="678" t="n"/>
      <c r="P244" s="678" t="n"/>
      <c r="Q244" s="672" t="inlineStr">
        <is>
          <t>RECONDUCTION</t>
        </is>
      </c>
      <c r="R244" s="679" t="n"/>
      <c r="S244" s="680" t="n"/>
      <c r="T244" s="681" t="inlineStr">
        <is>
          <t>LAYACHI QABBOUSSI</t>
        </is>
      </c>
      <c r="U244" s="672" t="n">
        <v>2026</v>
      </c>
      <c r="V244" s="680" t="n">
        <v>46387</v>
      </c>
      <c r="W244" s="680" t="n"/>
      <c r="X244" s="680" t="n">
        <v>46024</v>
      </c>
      <c r="Y244" s="677" t="n">
        <v>51600</v>
      </c>
      <c r="Z244" s="678" t="n"/>
      <c r="AA244" s="678">
        <f>Y244</f>
        <v/>
      </c>
      <c r="AB244" s="678" t="n"/>
      <c r="AC244" s="678">
        <f>Y244</f>
        <v/>
      </c>
      <c r="AD244" s="678">
        <f>AA244</f>
        <v/>
      </c>
      <c r="AE244" s="682" t="inlineStr">
        <is>
          <t>ENGAGE</t>
        </is>
      </c>
      <c r="AF244" s="681" t="n"/>
      <c r="AG244" s="678" t="n"/>
      <c r="AH244" s="678" t="n"/>
      <c r="AI244" s="678" t="n"/>
      <c r="AJ244" s="678" t="n"/>
      <c r="AK244" s="683" t="n"/>
      <c r="AL244" s="683" t="n"/>
      <c r="AM244" s="681" t="inlineStr">
        <is>
          <t>Manque n° contrat</t>
        </is>
      </c>
      <c r="AN244" s="684" t="n"/>
      <c r="AO244" s="685" t="n"/>
      <c r="AP244" s="686" t="n"/>
      <c r="AQ244" s="686" t="n"/>
      <c r="AR244" s="23" t="n"/>
      <c r="AS244" s="686" t="n"/>
    </row>
    <row r="245" ht="54.6" customHeight="1" s="392">
      <c r="A245" s="672" t="n">
        <v>2026</v>
      </c>
      <c r="B245" s="673" t="inlineStr">
        <is>
          <t>ASSADISSA</t>
        </is>
      </c>
      <c r="C245" s="673" t="inlineStr">
        <is>
          <t>PV N° : 02RC2025-DPPCCRTV</t>
        </is>
      </c>
      <c r="D245" s="672" t="inlineStr">
        <is>
          <t>CONTRAT</t>
        </is>
      </c>
      <c r="E245" s="672" t="n"/>
      <c r="F245" s="674" t="inlineStr">
        <is>
          <t>AMZIL ALI ABDELJALIL  -  PAD RD et TV : Membre de la commission scientifique chargée de l’écoute, du visionnage des émissions coraniques RD et TV</t>
        </is>
      </c>
      <c r="G245" s="675" t="inlineStr">
        <is>
          <t>VALIDE</t>
        </is>
      </c>
      <c r="H245" s="672" t="inlineStr">
        <is>
          <t>APPROUVE</t>
        </is>
      </c>
      <c r="I245" s="672" t="n"/>
      <c r="J245" s="675" t="inlineStr">
        <is>
          <t>NON CONCERNE</t>
        </is>
      </c>
      <c r="K245" s="672" t="inlineStr">
        <is>
          <t>Ordinaire</t>
        </is>
      </c>
      <c r="L245" s="676" t="inlineStr">
        <is>
          <t>FONCTIONNEMENT</t>
        </is>
      </c>
      <c r="M245" s="676" t="inlineStr">
        <is>
          <t xml:space="preserve">Prestations de service
Achat prestations de services locales - personnes physiques </t>
        </is>
      </c>
      <c r="N245" s="677" t="n"/>
      <c r="O245" s="678" t="n"/>
      <c r="P245" s="678" t="n"/>
      <c r="Q245" s="672" t="inlineStr">
        <is>
          <t>RECONDUCTION</t>
        </is>
      </c>
      <c r="R245" s="679" t="n"/>
      <c r="S245" s="680" t="n"/>
      <c r="T245" s="681" t="inlineStr">
        <is>
          <t>AMZIL ALI ABDELJALIL</t>
        </is>
      </c>
      <c r="U245" s="672" t="n">
        <v>2026</v>
      </c>
      <c r="V245" s="680" t="n">
        <v>46387</v>
      </c>
      <c r="W245" s="680" t="n"/>
      <c r="X245" s="680" t="n">
        <v>46024</v>
      </c>
      <c r="Y245" s="677" t="n">
        <v>51600</v>
      </c>
      <c r="Z245" s="678" t="n"/>
      <c r="AA245" s="678">
        <f>Y245</f>
        <v/>
      </c>
      <c r="AB245" s="678" t="n"/>
      <c r="AC245" s="678">
        <f>Y245</f>
        <v/>
      </c>
      <c r="AD245" s="678">
        <f>AA245</f>
        <v/>
      </c>
      <c r="AE245" s="682" t="inlineStr">
        <is>
          <t>ENGAGE</t>
        </is>
      </c>
      <c r="AF245" s="681" t="n"/>
      <c r="AG245" s="678" t="n"/>
      <c r="AH245" s="678" t="n"/>
      <c r="AI245" s="678" t="n"/>
      <c r="AJ245" s="678" t="n"/>
      <c r="AK245" s="683" t="n"/>
      <c r="AL245" s="683" t="n"/>
      <c r="AM245" s="681" t="inlineStr">
        <is>
          <t>Manque n° contrat</t>
        </is>
      </c>
      <c r="AN245" s="684" t="n"/>
      <c r="AO245" s="685" t="n"/>
      <c r="AP245" s="686" t="n"/>
      <c r="AQ245" s="686" t="n"/>
      <c r="AR245" s="23" t="n"/>
      <c r="AS245" s="686" t="n"/>
    </row>
    <row r="246" ht="54.6" customHeight="1" s="392">
      <c r="A246" s="672" t="n">
        <v>2026</v>
      </c>
      <c r="B246" s="673" t="inlineStr">
        <is>
          <t>ASSADISSA</t>
        </is>
      </c>
      <c r="C246" s="673" t="inlineStr">
        <is>
          <t>PV N° : 02RC2025-DPPCCRTV</t>
        </is>
      </c>
      <c r="D246" s="672" t="inlineStr">
        <is>
          <t>CONTRAT</t>
        </is>
      </c>
      <c r="E246" s="672" t="n"/>
      <c r="F246" s="674" t="inlineStr">
        <is>
          <t>ENNACIRI YOUSSEF  -  PAD RD et TV : Membre de la commission scientifique chargée de l’écoute, du visionnage des émissions coraniques RD et TV</t>
        </is>
      </c>
      <c r="G246" s="675" t="inlineStr">
        <is>
          <t>VALIDE</t>
        </is>
      </c>
      <c r="H246" s="672" t="inlineStr">
        <is>
          <t>APPROUVE</t>
        </is>
      </c>
      <c r="I246" s="672" t="n"/>
      <c r="J246" s="675" t="inlineStr">
        <is>
          <t>NON CONCERNE</t>
        </is>
      </c>
      <c r="K246" s="672" t="inlineStr">
        <is>
          <t>Ordinaire</t>
        </is>
      </c>
      <c r="L246" s="676" t="inlineStr">
        <is>
          <t>FONCTIONNEMENT</t>
        </is>
      </c>
      <c r="M246" s="676" t="inlineStr">
        <is>
          <t xml:space="preserve">Prestations de service
Achat prestations de services locales - personnes physiques </t>
        </is>
      </c>
      <c r="N246" s="677" t="n"/>
      <c r="O246" s="678" t="n"/>
      <c r="P246" s="678" t="n"/>
      <c r="Q246" s="672" t="inlineStr">
        <is>
          <t>RECONDUCTION</t>
        </is>
      </c>
      <c r="R246" s="679" t="n"/>
      <c r="S246" s="680" t="n"/>
      <c r="T246" s="681" t="inlineStr">
        <is>
          <t>ENNACIRI YOUSSEF</t>
        </is>
      </c>
      <c r="U246" s="672" t="n">
        <v>2026</v>
      </c>
      <c r="V246" s="680" t="n">
        <v>46387</v>
      </c>
      <c r="W246" s="680" t="n"/>
      <c r="X246" s="680" t="n">
        <v>46024</v>
      </c>
      <c r="Y246" s="677" t="n">
        <v>51600</v>
      </c>
      <c r="Z246" s="678" t="n"/>
      <c r="AA246" s="678">
        <f>Y246</f>
        <v/>
      </c>
      <c r="AB246" s="678" t="n"/>
      <c r="AC246" s="678">
        <f>Y246</f>
        <v/>
      </c>
      <c r="AD246" s="678">
        <f>AA246</f>
        <v/>
      </c>
      <c r="AE246" s="682" t="inlineStr">
        <is>
          <t>ENGAGE</t>
        </is>
      </c>
      <c r="AF246" s="681" t="n"/>
      <c r="AG246" s="678" t="n"/>
      <c r="AH246" s="678" t="n"/>
      <c r="AI246" s="678" t="n"/>
      <c r="AJ246" s="678" t="n"/>
      <c r="AK246" s="683" t="n"/>
      <c r="AL246" s="683" t="n"/>
      <c r="AM246" s="681" t="inlineStr">
        <is>
          <t>Manque n° contrat</t>
        </is>
      </c>
      <c r="AN246" s="684" t="n"/>
      <c r="AO246" s="685" t="n"/>
      <c r="AP246" s="686" t="n"/>
      <c r="AQ246" s="686" t="n"/>
      <c r="AR246" s="23" t="n"/>
      <c r="AS246" s="686" t="n"/>
    </row>
    <row r="247" ht="54.6" customHeight="1" s="392">
      <c r="A247" s="672" t="n">
        <v>2026</v>
      </c>
      <c r="B247" s="673" t="inlineStr">
        <is>
          <t>ASSADISSA</t>
        </is>
      </c>
      <c r="C247" s="673" t="inlineStr">
        <is>
          <t>PV N° : 02RC2025-DPPCCRTV</t>
        </is>
      </c>
      <c r="D247" s="672" t="inlineStr">
        <is>
          <t>CONTRAT</t>
        </is>
      </c>
      <c r="E247" s="672" t="n"/>
      <c r="F247" s="674" t="inlineStr">
        <is>
          <t>TAYEB AIT OUGHORI  -  PAD RD et TV : Membre de la commission scientifique chargée de l’écoute, du visionnage des émissions coraniques RD et TV</t>
        </is>
      </c>
      <c r="G247" s="675" t="inlineStr">
        <is>
          <t>VALIDE</t>
        </is>
      </c>
      <c r="H247" s="672" t="inlineStr">
        <is>
          <t>APPROUVE</t>
        </is>
      </c>
      <c r="I247" s="672" t="n"/>
      <c r="J247" s="675" t="inlineStr">
        <is>
          <t>NON CONCERNE</t>
        </is>
      </c>
      <c r="K247" s="672" t="inlineStr">
        <is>
          <t>Ordinaire</t>
        </is>
      </c>
      <c r="L247" s="676" t="inlineStr">
        <is>
          <t>FONCTIONNEMENT</t>
        </is>
      </c>
      <c r="M247" s="676" t="inlineStr">
        <is>
          <t xml:space="preserve">Prestations de service
Achat prestations de services locales - personnes physiques </t>
        </is>
      </c>
      <c r="N247" s="677" t="n"/>
      <c r="O247" s="678" t="n"/>
      <c r="P247" s="678" t="n"/>
      <c r="Q247" s="672" t="inlineStr">
        <is>
          <t>RECONDUCTION</t>
        </is>
      </c>
      <c r="R247" s="679" t="n"/>
      <c r="S247" s="680" t="n"/>
      <c r="T247" s="681" t="inlineStr">
        <is>
          <t>TAYEB AIT OUGHOR</t>
        </is>
      </c>
      <c r="U247" s="672" t="n">
        <v>2026</v>
      </c>
      <c r="V247" s="680" t="n">
        <v>46387</v>
      </c>
      <c r="W247" s="680" t="n"/>
      <c r="X247" s="680" t="n">
        <v>46024</v>
      </c>
      <c r="Y247" s="677" t="n">
        <v>51600</v>
      </c>
      <c r="Z247" s="678" t="n"/>
      <c r="AA247" s="678">
        <f>Y247</f>
        <v/>
      </c>
      <c r="AB247" s="678" t="n"/>
      <c r="AC247" s="678">
        <f>Y247</f>
        <v/>
      </c>
      <c r="AD247" s="678">
        <f>AA247</f>
        <v/>
      </c>
      <c r="AE247" s="682" t="inlineStr">
        <is>
          <t>ENGAGE</t>
        </is>
      </c>
      <c r="AF247" s="681" t="n"/>
      <c r="AG247" s="678" t="n"/>
      <c r="AH247" s="678" t="n"/>
      <c r="AI247" s="678" t="n"/>
      <c r="AJ247" s="678" t="n"/>
      <c r="AK247" s="683" t="n"/>
      <c r="AL247" s="683" t="n"/>
      <c r="AM247" s="681" t="inlineStr">
        <is>
          <t>Manque n° contrat</t>
        </is>
      </c>
      <c r="AN247" s="684" t="n"/>
      <c r="AO247" s="685" t="n"/>
      <c r="AP247" s="686" t="n"/>
      <c r="AQ247" s="686" t="n"/>
      <c r="AR247" s="23" t="n"/>
      <c r="AS247" s="686" t="n"/>
    </row>
    <row r="248" ht="54.6" customHeight="1" s="392">
      <c r="A248" s="672" t="n">
        <v>2026</v>
      </c>
      <c r="B248" s="673" t="inlineStr">
        <is>
          <t>ASSADISSA</t>
        </is>
      </c>
      <c r="C248" s="673" t="inlineStr">
        <is>
          <t>PV N° : 02RC2025-DPPCCRTV</t>
        </is>
      </c>
      <c r="D248" s="672" t="inlineStr">
        <is>
          <t>CONTRAT</t>
        </is>
      </c>
      <c r="E248" s="672" t="n"/>
      <c r="F248" s="674" t="inlineStr">
        <is>
          <t>HICHAM EL HLIMI  -  PAD RD et TV : Membre de la commission scientifique chargée de l’écoute, du visionnage des émissions coraniques RD et TV</t>
        </is>
      </c>
      <c r="G248" s="675" t="inlineStr">
        <is>
          <t>VALIDE</t>
        </is>
      </c>
      <c r="H248" s="672" t="inlineStr">
        <is>
          <t>APPROUVE</t>
        </is>
      </c>
      <c r="I248" s="672" t="n"/>
      <c r="J248" s="675" t="inlineStr">
        <is>
          <t>NON CONCERNE</t>
        </is>
      </c>
      <c r="K248" s="672" t="inlineStr">
        <is>
          <t>Ordinaire</t>
        </is>
      </c>
      <c r="L248" s="676" t="inlineStr">
        <is>
          <t>FONCTIONNEMENT</t>
        </is>
      </c>
      <c r="M248" s="676" t="inlineStr">
        <is>
          <t xml:space="preserve">Prestations de service
Achat prestations de services locales - personnes physiques </t>
        </is>
      </c>
      <c r="N248" s="677" t="n"/>
      <c r="O248" s="678" t="n"/>
      <c r="P248" s="678" t="n"/>
      <c r="Q248" s="672" t="inlineStr">
        <is>
          <t>RECONDUCTION</t>
        </is>
      </c>
      <c r="R248" s="679" t="n"/>
      <c r="S248" s="680" t="n"/>
      <c r="T248" s="681" t="inlineStr">
        <is>
          <t>HICHAM EL HLIMI</t>
        </is>
      </c>
      <c r="U248" s="672" t="n">
        <v>2026</v>
      </c>
      <c r="V248" s="680" t="n">
        <v>46387</v>
      </c>
      <c r="W248" s="680" t="n"/>
      <c r="X248" s="680" t="n">
        <v>46024</v>
      </c>
      <c r="Y248" s="677" t="n">
        <v>51600</v>
      </c>
      <c r="Z248" s="678" t="n"/>
      <c r="AA248" s="678">
        <f>Y248</f>
        <v/>
      </c>
      <c r="AB248" s="678" t="n"/>
      <c r="AC248" s="678">
        <f>Y248</f>
        <v/>
      </c>
      <c r="AD248" s="678">
        <f>AA248</f>
        <v/>
      </c>
      <c r="AE248" s="682" t="inlineStr">
        <is>
          <t>ENGAGE</t>
        </is>
      </c>
      <c r="AF248" s="681" t="n"/>
      <c r="AG248" s="678" t="n"/>
      <c r="AH248" s="678" t="n"/>
      <c r="AI248" s="678" t="n"/>
      <c r="AJ248" s="678" t="n"/>
      <c r="AK248" s="683" t="n"/>
      <c r="AL248" s="683" t="n"/>
      <c r="AM248" s="681" t="inlineStr">
        <is>
          <t>Manque n° contrat</t>
        </is>
      </c>
      <c r="AN248" s="684" t="n"/>
      <c r="AO248" s="685" t="n"/>
      <c r="AP248" s="686" t="n"/>
      <c r="AQ248" s="686" t="n"/>
      <c r="AR248" s="23" t="n"/>
      <c r="AS248" s="686" t="n"/>
    </row>
    <row r="249" ht="54.6" customHeight="1" s="392">
      <c r="A249" s="672" t="n">
        <v>2026</v>
      </c>
      <c r="B249" s="673" t="inlineStr">
        <is>
          <t>ASSADISSA</t>
        </is>
      </c>
      <c r="C249" s="673" t="inlineStr">
        <is>
          <t>PV N° : 02RC2025-DPPCCRTV</t>
        </is>
      </c>
      <c r="D249" s="672" t="inlineStr">
        <is>
          <t>CONTRAT</t>
        </is>
      </c>
      <c r="E249" s="672" t="n"/>
      <c r="F249" s="674" t="inlineStr">
        <is>
          <t>EL ASRI HAFSAE  -  PAD RD et TV : Membre de la commission scientifique chargée de l’écoute, du visionnage des émissions coraniques RD et TV</t>
        </is>
      </c>
      <c r="G249" s="675" t="inlineStr">
        <is>
          <t>VALIDE</t>
        </is>
      </c>
      <c r="H249" s="672" t="inlineStr">
        <is>
          <t>APPROUVE</t>
        </is>
      </c>
      <c r="I249" s="672" t="n"/>
      <c r="J249" s="675" t="inlineStr">
        <is>
          <t>NON CONCERNE</t>
        </is>
      </c>
      <c r="K249" s="672" t="inlineStr">
        <is>
          <t>Ordinaire</t>
        </is>
      </c>
      <c r="L249" s="676" t="inlineStr">
        <is>
          <t>FONCTIONNEMENT</t>
        </is>
      </c>
      <c r="M249" s="676" t="inlineStr">
        <is>
          <t xml:space="preserve">Prestations de service
Achat prestations de services locales - personnes physiques </t>
        </is>
      </c>
      <c r="N249" s="677" t="n"/>
      <c r="O249" s="678" t="n"/>
      <c r="P249" s="678" t="n"/>
      <c r="Q249" s="672" t="inlineStr">
        <is>
          <t>RECONDUCTION</t>
        </is>
      </c>
      <c r="R249" s="679" t="n"/>
      <c r="S249" s="680" t="n"/>
      <c r="T249" s="681" t="inlineStr">
        <is>
          <t>EL ASRI HAFSAE</t>
        </is>
      </c>
      <c r="U249" s="672" t="n">
        <v>2026</v>
      </c>
      <c r="V249" s="680" t="n">
        <v>46387</v>
      </c>
      <c r="W249" s="680" t="n"/>
      <c r="X249" s="680" t="n">
        <v>46024</v>
      </c>
      <c r="Y249" s="677" t="n">
        <v>51600</v>
      </c>
      <c r="Z249" s="678" t="n"/>
      <c r="AA249" s="678">
        <f>Y249</f>
        <v/>
      </c>
      <c r="AB249" s="678" t="n"/>
      <c r="AC249" s="678">
        <f>Y249</f>
        <v/>
      </c>
      <c r="AD249" s="678">
        <f>AA249</f>
        <v/>
      </c>
      <c r="AE249" s="682" t="inlineStr">
        <is>
          <t>ENGAGE</t>
        </is>
      </c>
      <c r="AF249" s="681" t="n"/>
      <c r="AG249" s="678" t="n"/>
      <c r="AH249" s="678" t="n"/>
      <c r="AI249" s="678" t="n"/>
      <c r="AJ249" s="678" t="n"/>
      <c r="AK249" s="683" t="n"/>
      <c r="AL249" s="683" t="n"/>
      <c r="AM249" s="681" t="inlineStr">
        <is>
          <t>Manque n° contrat</t>
        </is>
      </c>
      <c r="AN249" s="684" t="n"/>
      <c r="AO249" s="685" t="n"/>
      <c r="AP249" s="686" t="n"/>
      <c r="AQ249" s="686" t="n"/>
      <c r="AR249" s="23" t="n"/>
      <c r="AS249" s="686" t="n"/>
    </row>
    <row r="250" ht="54.6" customHeight="1" s="392">
      <c r="A250" s="672" t="n">
        <v>2026</v>
      </c>
      <c r="B250" s="673" t="inlineStr">
        <is>
          <t>ASSADISSA</t>
        </is>
      </c>
      <c r="C250" s="673" t="inlineStr">
        <is>
          <t>PV N° : 02RC2025-DPPCCRTV</t>
        </is>
      </c>
      <c r="D250" s="672" t="inlineStr">
        <is>
          <t>CONTRAT</t>
        </is>
      </c>
      <c r="E250" s="672" t="n"/>
      <c r="F250" s="674" t="inlineStr">
        <is>
          <t>AHMED BENMAHANE  -  PAD RD et TV : Membre de la commission scientifique chargée de l’écoute, du visionnage des lectures et des émissions coraniques RD et TV</t>
        </is>
      </c>
      <c r="G250" s="675" t="inlineStr">
        <is>
          <t>VALIDE</t>
        </is>
      </c>
      <c r="H250" s="672" t="inlineStr">
        <is>
          <t>APPROUVE</t>
        </is>
      </c>
      <c r="I250" s="672" t="n"/>
      <c r="J250" s="675" t="inlineStr">
        <is>
          <t>NON CONCERNE</t>
        </is>
      </c>
      <c r="K250" s="672" t="inlineStr">
        <is>
          <t>Ordinaire</t>
        </is>
      </c>
      <c r="L250" s="676" t="inlineStr">
        <is>
          <t>FONCTIONNEMENT</t>
        </is>
      </c>
      <c r="M250" s="676" t="inlineStr">
        <is>
          <t xml:space="preserve">Prestations de service
Achat prestations de services locales - personnes physiques </t>
        </is>
      </c>
      <c r="N250" s="677" t="n"/>
      <c r="O250" s="678" t="n"/>
      <c r="P250" s="678" t="n"/>
      <c r="Q250" s="672" t="inlineStr">
        <is>
          <t>RECONDUCTION</t>
        </is>
      </c>
      <c r="R250" s="679" t="n"/>
      <c r="S250" s="680" t="n"/>
      <c r="T250" s="681" t="inlineStr">
        <is>
          <t xml:space="preserve">AHMED BENMAHANE </t>
        </is>
      </c>
      <c r="U250" s="672" t="n">
        <v>2026</v>
      </c>
      <c r="V250" s="680" t="n">
        <v>46387</v>
      </c>
      <c r="W250" s="680" t="n"/>
      <c r="X250" s="680" t="n">
        <v>46024</v>
      </c>
      <c r="Y250" s="677" t="n">
        <v>51600</v>
      </c>
      <c r="Z250" s="678" t="n"/>
      <c r="AA250" s="678">
        <f>Y250</f>
        <v/>
      </c>
      <c r="AB250" s="678" t="n"/>
      <c r="AC250" s="678">
        <f>Y250</f>
        <v/>
      </c>
      <c r="AD250" s="678">
        <f>AA250</f>
        <v/>
      </c>
      <c r="AE250" s="682" t="inlineStr">
        <is>
          <t>ENGAGE</t>
        </is>
      </c>
      <c r="AF250" s="681" t="n"/>
      <c r="AG250" s="678" t="n"/>
      <c r="AH250" s="678" t="n"/>
      <c r="AI250" s="678" t="n"/>
      <c r="AJ250" s="678" t="n"/>
      <c r="AK250" s="683" t="n"/>
      <c r="AL250" s="683" t="n"/>
      <c r="AM250" s="681" t="inlineStr">
        <is>
          <t>Manque n° contrat</t>
        </is>
      </c>
      <c r="AN250" s="684" t="n"/>
      <c r="AO250" s="685" t="n"/>
      <c r="AP250" s="686" t="n"/>
      <c r="AQ250" s="686" t="n"/>
      <c r="AR250" s="23" t="n"/>
      <c r="AS250" s="686" t="n"/>
    </row>
    <row r="251" ht="54.6" customHeight="1" s="392">
      <c r="A251" s="672" t="n">
        <v>2026</v>
      </c>
      <c r="B251" s="673" t="inlineStr">
        <is>
          <t>ASSADISSA</t>
        </is>
      </c>
      <c r="C251" s="673" t="inlineStr">
        <is>
          <t>PV N° : 02RC2025-DPPCCRTV</t>
        </is>
      </c>
      <c r="D251" s="672" t="inlineStr">
        <is>
          <t>CONTRAT</t>
        </is>
      </c>
      <c r="E251" s="672" t="n"/>
      <c r="F251" s="674" t="inlineStr">
        <is>
          <t>EL BOUKHARI MOHAMED  -  PAD RD et TV : Membre de la commission scientifique chargée de l’écoute, du visionnage des lectures et des émissions coraniques RD et TV</t>
        </is>
      </c>
      <c r="G251" s="675" t="inlineStr">
        <is>
          <t>VALIDE</t>
        </is>
      </c>
      <c r="H251" s="672" t="inlineStr">
        <is>
          <t>APPROUVE</t>
        </is>
      </c>
      <c r="I251" s="672" t="n"/>
      <c r="J251" s="675" t="inlineStr">
        <is>
          <t>NON CONCERNE</t>
        </is>
      </c>
      <c r="K251" s="672" t="inlineStr">
        <is>
          <t>Ordinaire</t>
        </is>
      </c>
      <c r="L251" s="676" t="inlineStr">
        <is>
          <t>FONCTIONNEMENT</t>
        </is>
      </c>
      <c r="M251" s="676" t="inlineStr">
        <is>
          <t xml:space="preserve">Prestations de service
Achat prestations de services locales - personnes physiques </t>
        </is>
      </c>
      <c r="N251" s="677" t="n"/>
      <c r="O251" s="678" t="n"/>
      <c r="P251" s="678" t="n"/>
      <c r="Q251" s="672" t="inlineStr">
        <is>
          <t>RECONDUCTION</t>
        </is>
      </c>
      <c r="R251" s="679" t="n"/>
      <c r="S251" s="680" t="n"/>
      <c r="T251" s="681" t="inlineStr">
        <is>
          <t>EL BOUKHARI MOHAMED</t>
        </is>
      </c>
      <c r="U251" s="672" t="n">
        <v>2026</v>
      </c>
      <c r="V251" s="680" t="n">
        <v>46387</v>
      </c>
      <c r="W251" s="680" t="n"/>
      <c r="X251" s="680" t="n">
        <v>46024</v>
      </c>
      <c r="Y251" s="677" t="n">
        <v>51600</v>
      </c>
      <c r="Z251" s="678" t="n"/>
      <c r="AA251" s="678">
        <f>Y251</f>
        <v/>
      </c>
      <c r="AB251" s="678" t="n"/>
      <c r="AC251" s="678">
        <f>Y251</f>
        <v/>
      </c>
      <c r="AD251" s="678">
        <f>AA251</f>
        <v/>
      </c>
      <c r="AE251" s="682" t="inlineStr">
        <is>
          <t>ENGAGE</t>
        </is>
      </c>
      <c r="AF251" s="681" t="n"/>
      <c r="AG251" s="678" t="n"/>
      <c r="AH251" s="678" t="n"/>
      <c r="AI251" s="678" t="n"/>
      <c r="AJ251" s="678" t="n"/>
      <c r="AK251" s="683" t="n"/>
      <c r="AL251" s="683" t="n"/>
      <c r="AM251" s="681" t="inlineStr">
        <is>
          <t>Manque n° contrat</t>
        </is>
      </c>
      <c r="AN251" s="684" t="n"/>
      <c r="AO251" s="685" t="n"/>
      <c r="AP251" s="686" t="n"/>
      <c r="AQ251" s="686" t="n"/>
      <c r="AR251" s="23" t="n"/>
      <c r="AS251" s="686" t="n"/>
    </row>
    <row r="252" ht="70.80000000000001" customHeight="1" s="392">
      <c r="A252" s="672" t="n">
        <v>2026</v>
      </c>
      <c r="B252" s="673" t="inlineStr">
        <is>
          <t>ASSADISSA</t>
        </is>
      </c>
      <c r="C252" s="673" t="inlineStr">
        <is>
          <t>PV N° : 02RC2025-DPPCCRTV</t>
        </is>
      </c>
      <c r="D252" s="672" t="inlineStr">
        <is>
          <t>CONTRAT</t>
        </is>
      </c>
      <c r="E252" s="672" t="n"/>
      <c r="F252" s="674" t="inlineStr">
        <is>
          <t>ABDELKRIM EL BAKI ALLAH  -  PAD RD et TV : Membre de la commission scientifique chargée de l’écoute, du visionnage des lectures et des émissions coraniques RD et TV</t>
        </is>
      </c>
      <c r="G252" s="675" t="inlineStr">
        <is>
          <t>VALIDE</t>
        </is>
      </c>
      <c r="H252" s="672" t="inlineStr">
        <is>
          <t>APPROUVE</t>
        </is>
      </c>
      <c r="I252" s="672" t="n"/>
      <c r="J252" s="675" t="inlineStr">
        <is>
          <t>NON CONCERNE</t>
        </is>
      </c>
      <c r="K252" s="672" t="inlineStr">
        <is>
          <t>Ordinaire</t>
        </is>
      </c>
      <c r="L252" s="676" t="inlineStr">
        <is>
          <t>FONCTIONNEMENT</t>
        </is>
      </c>
      <c r="M252" s="676" t="inlineStr">
        <is>
          <t xml:space="preserve">Prestations de service
Achat prestations de services locales - personnes physiques </t>
        </is>
      </c>
      <c r="N252" s="677" t="n"/>
      <c r="O252" s="678" t="n"/>
      <c r="P252" s="678" t="n"/>
      <c r="Q252" s="672" t="inlineStr">
        <is>
          <t>RECONDUCTION</t>
        </is>
      </c>
      <c r="R252" s="679" t="n"/>
      <c r="S252" s="680" t="n"/>
      <c r="T252" s="681" t="inlineStr">
        <is>
          <t>ABDELKRIM EL BAKI ALLAH</t>
        </is>
      </c>
      <c r="U252" s="672" t="n">
        <v>2026</v>
      </c>
      <c r="V252" s="680" t="n">
        <v>46387</v>
      </c>
      <c r="W252" s="680" t="n"/>
      <c r="X252" s="680" t="n">
        <v>46024</v>
      </c>
      <c r="Y252" s="677" t="n">
        <v>51600</v>
      </c>
      <c r="Z252" s="678" t="n"/>
      <c r="AA252" s="678">
        <f>Y252</f>
        <v/>
      </c>
      <c r="AB252" s="678" t="n"/>
      <c r="AC252" s="678">
        <f>Y252</f>
        <v/>
      </c>
      <c r="AD252" s="678">
        <f>AA252</f>
        <v/>
      </c>
      <c r="AE252" s="682" t="inlineStr">
        <is>
          <t>ENGAGE</t>
        </is>
      </c>
      <c r="AF252" s="681" t="n"/>
      <c r="AG252" s="678" t="n"/>
      <c r="AH252" s="678" t="n"/>
      <c r="AI252" s="678" t="n"/>
      <c r="AJ252" s="678" t="n"/>
      <c r="AK252" s="683" t="n"/>
      <c r="AL252" s="683" t="n"/>
      <c r="AM252" s="681" t="inlineStr">
        <is>
          <t>Manque n° contrat</t>
        </is>
      </c>
      <c r="AN252" s="684" t="n"/>
      <c r="AO252" s="685" t="n"/>
      <c r="AP252" s="686" t="n"/>
      <c r="AQ252" s="686" t="n"/>
      <c r="AR252" s="23" t="n"/>
      <c r="AS252" s="686" t="n"/>
    </row>
    <row r="253" ht="50.55" customHeight="1" s="392">
      <c r="A253" s="672" t="n">
        <v>2026</v>
      </c>
      <c r="B253" s="673" t="inlineStr">
        <is>
          <t>DTSI</t>
        </is>
      </c>
      <c r="C253" s="673" t="inlineStr">
        <is>
          <t>PV N° : 02RC2025- DCT</t>
        </is>
      </c>
      <c r="D253" s="672" t="inlineStr">
        <is>
          <t>CONTRAT</t>
        </is>
      </c>
      <c r="E253" s="672" t="n"/>
      <c r="F253" s="674" t="inlineStr">
        <is>
          <t>RIH AMAL  -  Preneur de vue</t>
        </is>
      </c>
      <c r="G253" s="675" t="inlineStr">
        <is>
          <t>VALIDE</t>
        </is>
      </c>
      <c r="H253" s="672" t="inlineStr">
        <is>
          <t>APPROUVE</t>
        </is>
      </c>
      <c r="I253" s="672" t="n"/>
      <c r="J253" s="675" t="inlineStr">
        <is>
          <t>NON CONCERNE</t>
        </is>
      </c>
      <c r="K253" s="672" t="inlineStr">
        <is>
          <t>Ordinaire</t>
        </is>
      </c>
      <c r="L253" s="676" t="inlineStr">
        <is>
          <t>FONCTIONNEMENT</t>
        </is>
      </c>
      <c r="M253" s="676" t="inlineStr">
        <is>
          <t xml:space="preserve">Prestations de service
Achat prestations de services locales - personnes physiques </t>
        </is>
      </c>
      <c r="N253" s="677" t="n"/>
      <c r="O253" s="678" t="n"/>
      <c r="P253" s="678" t="n"/>
      <c r="Q253" s="672" t="inlineStr">
        <is>
          <t>RECONDUCTION</t>
        </is>
      </c>
      <c r="R253" s="679" t="n"/>
      <c r="S253" s="680" t="n"/>
      <c r="T253" s="681" t="inlineStr">
        <is>
          <t>RIH AMA</t>
        </is>
      </c>
      <c r="U253" s="672" t="n">
        <v>2026</v>
      </c>
      <c r="V253" s="680" t="n">
        <v>46387</v>
      </c>
      <c r="W253" s="680" t="n"/>
      <c r="X253" s="680" t="n">
        <v>46024</v>
      </c>
      <c r="Y253" s="677" t="n">
        <v>148800</v>
      </c>
      <c r="Z253" s="678" t="n"/>
      <c r="AA253" s="678">
        <f>Y253</f>
        <v/>
      </c>
      <c r="AB253" s="678" t="n"/>
      <c r="AC253" s="678">
        <f>Y253</f>
        <v/>
      </c>
      <c r="AD253" s="678">
        <f>AA253</f>
        <v/>
      </c>
      <c r="AE253" s="682" t="inlineStr">
        <is>
          <t>ENGAGE</t>
        </is>
      </c>
      <c r="AF253" s="681" t="n"/>
      <c r="AG253" s="678" t="n"/>
      <c r="AH253" s="678" t="n"/>
      <c r="AI253" s="678" t="n"/>
      <c r="AJ253" s="678" t="n"/>
      <c r="AK253" s="683" t="n"/>
      <c r="AL253" s="683" t="n"/>
      <c r="AM253" s="681" t="inlineStr">
        <is>
          <t>Manque n° contrat</t>
        </is>
      </c>
      <c r="AN253" s="684" t="n"/>
      <c r="AO253" s="685" t="n"/>
      <c r="AP253" s="686" t="n"/>
      <c r="AQ253" s="686" t="n"/>
      <c r="AR253" s="23" t="n"/>
      <c r="AS253" s="686" t="n"/>
    </row>
    <row r="254" ht="50.55" customHeight="1" s="392">
      <c r="A254" s="672" t="n">
        <v>2026</v>
      </c>
      <c r="B254" s="673" t="inlineStr">
        <is>
          <t>DTSI</t>
        </is>
      </c>
      <c r="C254" s="673" t="inlineStr">
        <is>
          <t>PV N° : 02RC2025- DCT</t>
        </is>
      </c>
      <c r="D254" s="672" t="inlineStr">
        <is>
          <t>CONTRAT</t>
        </is>
      </c>
      <c r="E254" s="672" t="n"/>
      <c r="F254" s="674" t="inlineStr">
        <is>
          <t>ABDERRAZZAK MOUZAHIM  -  Preneur de vue</t>
        </is>
      </c>
      <c r="G254" s="675" t="inlineStr">
        <is>
          <t>VALIDE</t>
        </is>
      </c>
      <c r="H254" s="672" t="inlineStr">
        <is>
          <t>APPROUVE</t>
        </is>
      </c>
      <c r="I254" s="672" t="n"/>
      <c r="J254" s="675" t="inlineStr">
        <is>
          <t>NON CONCERNE</t>
        </is>
      </c>
      <c r="K254" s="672" t="inlineStr">
        <is>
          <t>Ordinaire</t>
        </is>
      </c>
      <c r="L254" s="676" t="inlineStr">
        <is>
          <t>FONCTIONNEMENT</t>
        </is>
      </c>
      <c r="M254" s="676" t="inlineStr">
        <is>
          <t xml:space="preserve">Prestations de service
Achat prestations de services locales - personnes physiques </t>
        </is>
      </c>
      <c r="N254" s="677" t="n"/>
      <c r="O254" s="678" t="n"/>
      <c r="P254" s="678" t="n"/>
      <c r="Q254" s="672" t="inlineStr">
        <is>
          <t>RECONDUCTION</t>
        </is>
      </c>
      <c r="R254" s="679" t="n"/>
      <c r="S254" s="680" t="n"/>
      <c r="T254" s="681" t="inlineStr">
        <is>
          <t>ABDERRAZZAK MOUZAHIM</t>
        </is>
      </c>
      <c r="U254" s="672" t="n">
        <v>2026</v>
      </c>
      <c r="V254" s="680" t="n">
        <v>46387</v>
      </c>
      <c r="W254" s="680" t="n"/>
      <c r="X254" s="680" t="n">
        <v>46024</v>
      </c>
      <c r="Y254" s="677" t="n">
        <v>148800</v>
      </c>
      <c r="Z254" s="678" t="n"/>
      <c r="AA254" s="678">
        <f>Y254</f>
        <v/>
      </c>
      <c r="AB254" s="678" t="n"/>
      <c r="AC254" s="678">
        <f>Y254</f>
        <v/>
      </c>
      <c r="AD254" s="678">
        <f>AA254</f>
        <v/>
      </c>
      <c r="AE254" s="682" t="inlineStr">
        <is>
          <t>ENGAGE</t>
        </is>
      </c>
      <c r="AF254" s="681" t="n"/>
      <c r="AG254" s="678" t="n"/>
      <c r="AH254" s="678" t="n"/>
      <c r="AI254" s="678" t="n"/>
      <c r="AJ254" s="678" t="n"/>
      <c r="AK254" s="683" t="n"/>
      <c r="AL254" s="683" t="n"/>
      <c r="AM254" s="681" t="inlineStr">
        <is>
          <t>Manque n° contrat</t>
        </is>
      </c>
      <c r="AN254" s="684" t="n"/>
      <c r="AO254" s="685" t="n"/>
      <c r="AP254" s="686" t="n"/>
      <c r="AQ254" s="686" t="n"/>
      <c r="AR254" s="23" t="n"/>
      <c r="AS254" s="686" t="n"/>
    </row>
    <row r="255" ht="50.55" customHeight="1" s="392">
      <c r="A255" s="672" t="n">
        <v>2026</v>
      </c>
      <c r="B255" s="673" t="inlineStr">
        <is>
          <t>DTSI</t>
        </is>
      </c>
      <c r="C255" s="673" t="inlineStr">
        <is>
          <t>PV N° : 02RC2025- DCT</t>
        </is>
      </c>
      <c r="D255" s="672" t="inlineStr">
        <is>
          <t>CONTRAT</t>
        </is>
      </c>
      <c r="E255" s="672" t="n"/>
      <c r="F255" s="674" t="inlineStr">
        <is>
          <t>AMRENSS YOUSSEF  -  Assistant cameraman</t>
        </is>
      </c>
      <c r="G255" s="675" t="inlineStr">
        <is>
          <t>VALIDE</t>
        </is>
      </c>
      <c r="H255" s="672" t="inlineStr">
        <is>
          <t>APPROUVE</t>
        </is>
      </c>
      <c r="I255" s="672" t="n"/>
      <c r="J255" s="675" t="inlineStr">
        <is>
          <t>NON CONCERNE</t>
        </is>
      </c>
      <c r="K255" s="672" t="inlineStr">
        <is>
          <t>Ordinaire</t>
        </is>
      </c>
      <c r="L255" s="676" t="inlineStr">
        <is>
          <t>FONCTIONNEMENT</t>
        </is>
      </c>
      <c r="M255" s="676" t="inlineStr">
        <is>
          <t xml:space="preserve">Prestations de service
Achat prestations de services locales - personnes physiques </t>
        </is>
      </c>
      <c r="N255" s="677" t="n"/>
      <c r="O255" s="678" t="n"/>
      <c r="P255" s="678" t="n"/>
      <c r="Q255" s="672" t="inlineStr">
        <is>
          <t>RECONDUCTION</t>
        </is>
      </c>
      <c r="R255" s="679" t="n"/>
      <c r="S255" s="680" t="n"/>
      <c r="T255" s="681" t="inlineStr">
        <is>
          <t>AMRENSS YOUSSEF</t>
        </is>
      </c>
      <c r="U255" s="672" t="n">
        <v>2026</v>
      </c>
      <c r="V255" s="680" t="n">
        <v>46387</v>
      </c>
      <c r="W255" s="680" t="n"/>
      <c r="X255" s="680" t="n">
        <v>46024</v>
      </c>
      <c r="Y255" s="677" t="n">
        <v>96000</v>
      </c>
      <c r="Z255" s="678" t="n"/>
      <c r="AA255" s="678">
        <f>Y255</f>
        <v/>
      </c>
      <c r="AB255" s="678" t="n"/>
      <c r="AC255" s="678">
        <f>Y255</f>
        <v/>
      </c>
      <c r="AD255" s="678">
        <f>AA255</f>
        <v/>
      </c>
      <c r="AE255" s="682" t="inlineStr">
        <is>
          <t>ENGAGE</t>
        </is>
      </c>
      <c r="AF255" s="681" t="n"/>
      <c r="AG255" s="678" t="n"/>
      <c r="AH255" s="678" t="n"/>
      <c r="AI255" s="678" t="n"/>
      <c r="AJ255" s="678" t="n"/>
      <c r="AK255" s="683" t="n"/>
      <c r="AL255" s="683" t="n"/>
      <c r="AM255" s="681" t="inlineStr">
        <is>
          <t>Manque n° contrat</t>
        </is>
      </c>
      <c r="AN255" s="684" t="n"/>
      <c r="AO255" s="685" t="n"/>
      <c r="AP255" s="686" t="n"/>
      <c r="AQ255" s="686" t="n"/>
      <c r="AR255" s="23" t="n"/>
      <c r="AS255" s="686" t="n"/>
    </row>
    <row r="256" ht="50.55" customHeight="1" s="392">
      <c r="A256" s="672" t="n">
        <v>2026</v>
      </c>
      <c r="B256" s="673" t="inlineStr">
        <is>
          <t>DTSI</t>
        </is>
      </c>
      <c r="C256" s="673" t="inlineStr">
        <is>
          <t>PV N° : 02RC2025- DCT</t>
        </is>
      </c>
      <c r="D256" s="672" t="inlineStr">
        <is>
          <t>CONTRAT</t>
        </is>
      </c>
      <c r="E256" s="672" t="n"/>
      <c r="F256" s="674" t="inlineStr">
        <is>
          <t>ISMAIL MESKINE  -  Assistant cameraman</t>
        </is>
      </c>
      <c r="G256" s="675" t="inlineStr">
        <is>
          <t>VALIDE</t>
        </is>
      </c>
      <c r="H256" s="672" t="inlineStr">
        <is>
          <t>ANNULE</t>
        </is>
      </c>
      <c r="I256" s="672" t="n"/>
      <c r="J256" s="675" t="inlineStr">
        <is>
          <t>NON CONCERNE</t>
        </is>
      </c>
      <c r="K256" s="672" t="inlineStr">
        <is>
          <t>Ordinaire</t>
        </is>
      </c>
      <c r="L256" s="676" t="inlineStr">
        <is>
          <t>FONCTIONNEMENT</t>
        </is>
      </c>
      <c r="M256" s="676" t="inlineStr">
        <is>
          <t xml:space="preserve">Prestations de service
Achat prestations de services locales - personnes physiques </t>
        </is>
      </c>
      <c r="N256" s="677" t="n"/>
      <c r="O256" s="678" t="n"/>
      <c r="P256" s="678" t="n"/>
      <c r="Q256" s="672" t="inlineStr">
        <is>
          <t>RECONDUCTION</t>
        </is>
      </c>
      <c r="R256" s="679" t="n"/>
      <c r="S256" s="680" t="n"/>
      <c r="T256" s="681" t="inlineStr">
        <is>
          <t>ISMAIL MESKINE</t>
        </is>
      </c>
      <c r="U256" s="672" t="n">
        <v>2026</v>
      </c>
      <c r="V256" s="680" t="n">
        <v>46387</v>
      </c>
      <c r="W256" s="680" t="n"/>
      <c r="X256" s="680" t="n">
        <v>46024</v>
      </c>
      <c r="Y256" s="677" t="n">
        <v>96000</v>
      </c>
      <c r="Z256" s="678" t="n"/>
      <c r="AA256" s="678">
        <f>Y256</f>
        <v/>
      </c>
      <c r="AB256" s="678" t="n"/>
      <c r="AC256" s="678">
        <f>Y256</f>
        <v/>
      </c>
      <c r="AD256" s="678">
        <f>AA256</f>
        <v/>
      </c>
      <c r="AE256" s="682" t="inlineStr">
        <is>
          <t>NON ENGAGE</t>
        </is>
      </c>
      <c r="AF256" s="681" t="n"/>
      <c r="AG256" s="678" t="n"/>
      <c r="AH256" s="678" t="n"/>
      <c r="AI256" s="678" t="n"/>
      <c r="AJ256" s="678" t="n"/>
      <c r="AK256" s="683" t="n"/>
      <c r="AL256" s="683" t="n"/>
      <c r="AM256" s="681" t="inlineStr">
        <is>
          <t>Manque n° contrat</t>
        </is>
      </c>
      <c r="AN256" s="684" t="n"/>
      <c r="AO256" s="685" t="n"/>
      <c r="AP256" s="686" t="n"/>
      <c r="AQ256" s="686" t="n"/>
      <c r="AR256" s="23" t="n"/>
      <c r="AS256" s="686" t="n"/>
    </row>
    <row r="257" ht="50.55" customHeight="1" s="392">
      <c r="A257" s="672" t="n">
        <v>2026</v>
      </c>
      <c r="B257" s="673" t="inlineStr">
        <is>
          <t>DTSI</t>
        </is>
      </c>
      <c r="C257" s="673" t="inlineStr">
        <is>
          <t>PV N° : 02RC2025- DCT</t>
        </is>
      </c>
      <c r="D257" s="672" t="inlineStr">
        <is>
          <t>CONTRAT</t>
        </is>
      </c>
      <c r="E257" s="672" t="n"/>
      <c r="F257" s="674" t="inlineStr">
        <is>
          <t>YAHYA SKAF  -  Assistant cameraman</t>
        </is>
      </c>
      <c r="G257" s="675" t="inlineStr">
        <is>
          <t>VALIDE</t>
        </is>
      </c>
      <c r="H257" s="672" t="inlineStr">
        <is>
          <t>APPROUVE</t>
        </is>
      </c>
      <c r="I257" s="672" t="n"/>
      <c r="J257" s="675" t="inlineStr">
        <is>
          <t>NON CONCERNE</t>
        </is>
      </c>
      <c r="K257" s="672" t="inlineStr">
        <is>
          <t>Ordinaire</t>
        </is>
      </c>
      <c r="L257" s="676" t="inlineStr">
        <is>
          <t>FONCTIONNEMENT</t>
        </is>
      </c>
      <c r="M257" s="676" t="inlineStr">
        <is>
          <t xml:space="preserve">Prestations de service
Achat prestations de services locales - personnes physiques </t>
        </is>
      </c>
      <c r="N257" s="677" t="n"/>
      <c r="O257" s="678" t="n"/>
      <c r="P257" s="678" t="n"/>
      <c r="Q257" s="672" t="inlineStr">
        <is>
          <t>RECONDUCTION</t>
        </is>
      </c>
      <c r="R257" s="679" t="n"/>
      <c r="S257" s="680" t="n"/>
      <c r="T257" s="681" t="inlineStr">
        <is>
          <t xml:space="preserve">YAHYA SKAF </t>
        </is>
      </c>
      <c r="U257" s="672" t="n">
        <v>2026</v>
      </c>
      <c r="V257" s="680" t="n">
        <v>46387</v>
      </c>
      <c r="W257" s="680" t="n"/>
      <c r="X257" s="680" t="n">
        <v>46024</v>
      </c>
      <c r="Y257" s="677" t="n">
        <v>96000</v>
      </c>
      <c r="Z257" s="678" t="n"/>
      <c r="AA257" s="678">
        <f>Y257</f>
        <v/>
      </c>
      <c r="AB257" s="678" t="n"/>
      <c r="AC257" s="678">
        <f>Y257</f>
        <v/>
      </c>
      <c r="AD257" s="678">
        <f>AA257</f>
        <v/>
      </c>
      <c r="AE257" s="682" t="inlineStr">
        <is>
          <t>ENGAGE</t>
        </is>
      </c>
      <c r="AF257" s="681" t="n"/>
      <c r="AG257" s="678" t="n"/>
      <c r="AH257" s="678" t="n"/>
      <c r="AI257" s="678" t="n"/>
      <c r="AJ257" s="678" t="n"/>
      <c r="AK257" s="683" t="n"/>
      <c r="AL257" s="683" t="n"/>
      <c r="AM257" s="681" t="inlineStr">
        <is>
          <t>Manque n° contrat</t>
        </is>
      </c>
      <c r="AN257" s="684" t="n"/>
      <c r="AO257" s="685" t="n"/>
      <c r="AP257" s="686" t="n"/>
      <c r="AQ257" s="686" t="n"/>
      <c r="AR257" s="23" t="n"/>
      <c r="AS257" s="686" t="n"/>
    </row>
    <row r="258" ht="50.55" customHeight="1" s="392">
      <c r="A258" s="672" t="n">
        <v>2026</v>
      </c>
      <c r="B258" s="673" t="inlineStr">
        <is>
          <t>DTSI</t>
        </is>
      </c>
      <c r="C258" s="673" t="inlineStr">
        <is>
          <t>PV N° : 02RC2025- DCT</t>
        </is>
      </c>
      <c r="D258" s="672" t="inlineStr">
        <is>
          <t>CONTRAT</t>
        </is>
      </c>
      <c r="E258" s="672" t="n"/>
      <c r="F258" s="674" t="inlineStr">
        <is>
          <t>KABBAJ ZOUHEIR  -  Assistant cameraman</t>
        </is>
      </c>
      <c r="G258" s="675" t="inlineStr">
        <is>
          <t>VALIDE</t>
        </is>
      </c>
      <c r="H258" s="672" t="inlineStr">
        <is>
          <t>APPROUVE</t>
        </is>
      </c>
      <c r="I258" s="672" t="n"/>
      <c r="J258" s="675" t="inlineStr">
        <is>
          <t>NON CONCERNE</t>
        </is>
      </c>
      <c r="K258" s="672" t="inlineStr">
        <is>
          <t>Ordinaire</t>
        </is>
      </c>
      <c r="L258" s="676" t="inlineStr">
        <is>
          <t>FONCTIONNEMENT</t>
        </is>
      </c>
      <c r="M258" s="676" t="inlineStr">
        <is>
          <t xml:space="preserve">Prestations de service
Achat prestations de services locales - personnes physiques </t>
        </is>
      </c>
      <c r="N258" s="677" t="n"/>
      <c r="O258" s="678" t="n"/>
      <c r="P258" s="678" t="n"/>
      <c r="Q258" s="672" t="inlineStr">
        <is>
          <t>RECONDUCTION</t>
        </is>
      </c>
      <c r="R258" s="679" t="n"/>
      <c r="S258" s="680" t="n"/>
      <c r="T258" s="681" t="inlineStr">
        <is>
          <t>KABBAJ ZOUHEIR</t>
        </is>
      </c>
      <c r="U258" s="672" t="n">
        <v>2026</v>
      </c>
      <c r="V258" s="680" t="n">
        <v>46387</v>
      </c>
      <c r="W258" s="680" t="n"/>
      <c r="X258" s="680" t="n">
        <v>46024</v>
      </c>
      <c r="Y258" s="677" t="n">
        <v>96000</v>
      </c>
      <c r="Z258" s="678" t="n"/>
      <c r="AA258" s="678">
        <f>Y258</f>
        <v/>
      </c>
      <c r="AB258" s="678" t="n"/>
      <c r="AC258" s="678">
        <f>Y258</f>
        <v/>
      </c>
      <c r="AD258" s="678">
        <f>AA258</f>
        <v/>
      </c>
      <c r="AE258" s="682" t="inlineStr">
        <is>
          <t>ENGAGE</t>
        </is>
      </c>
      <c r="AF258" s="681" t="n"/>
      <c r="AG258" s="678" t="n"/>
      <c r="AH258" s="678" t="n"/>
      <c r="AI258" s="678" t="n"/>
      <c r="AJ258" s="678" t="n"/>
      <c r="AK258" s="683" t="n"/>
      <c r="AL258" s="683" t="n"/>
      <c r="AM258" s="681" t="inlineStr">
        <is>
          <t>Manque n° contrat</t>
        </is>
      </c>
      <c r="AN258" s="684" t="n"/>
      <c r="AO258" s="685" t="n"/>
      <c r="AP258" s="686" t="n"/>
      <c r="AQ258" s="686" t="n"/>
      <c r="AR258" s="23" t="n"/>
      <c r="AS258" s="686" t="n"/>
    </row>
    <row r="259" ht="50.55" customHeight="1" s="392">
      <c r="A259" s="672" t="n">
        <v>2026</v>
      </c>
      <c r="B259" s="673" t="inlineStr">
        <is>
          <t>DTSI</t>
        </is>
      </c>
      <c r="C259" s="673" t="inlineStr">
        <is>
          <t>PV N° : 02RC2025- DCT</t>
        </is>
      </c>
      <c r="D259" s="672" t="inlineStr">
        <is>
          <t>CONTRAT</t>
        </is>
      </c>
      <c r="E259" s="672" t="n"/>
      <c r="F259" s="674" t="inlineStr">
        <is>
          <t>M'RABETT AYOUB  -  Assistant cameraman</t>
        </is>
      </c>
      <c r="G259" s="675" t="inlineStr">
        <is>
          <t>VALIDE</t>
        </is>
      </c>
      <c r="H259" s="672" t="inlineStr">
        <is>
          <t>APPROUVE</t>
        </is>
      </c>
      <c r="I259" s="672" t="n"/>
      <c r="J259" s="675" t="inlineStr">
        <is>
          <t>NON CONCERNE</t>
        </is>
      </c>
      <c r="K259" s="672" t="inlineStr">
        <is>
          <t>Ordinaire</t>
        </is>
      </c>
      <c r="L259" s="676" t="inlineStr">
        <is>
          <t>FONCTIONNEMENT</t>
        </is>
      </c>
      <c r="M259" s="676" t="inlineStr">
        <is>
          <t xml:space="preserve">Prestations de service
Achat prestations de services locales - personnes physiques </t>
        </is>
      </c>
      <c r="N259" s="677" t="n"/>
      <c r="O259" s="678" t="n"/>
      <c r="P259" s="678" t="n"/>
      <c r="Q259" s="672" t="inlineStr">
        <is>
          <t>RECONDUCTION</t>
        </is>
      </c>
      <c r="R259" s="679" t="n"/>
      <c r="S259" s="680" t="n"/>
      <c r="T259" s="681" t="inlineStr">
        <is>
          <t>M'RABETT AYOUB</t>
        </is>
      </c>
      <c r="U259" s="672" t="n">
        <v>2026</v>
      </c>
      <c r="V259" s="680" t="n">
        <v>46387</v>
      </c>
      <c r="W259" s="680" t="n"/>
      <c r="X259" s="680" t="n">
        <v>46024</v>
      </c>
      <c r="Y259" s="677" t="n">
        <v>96000</v>
      </c>
      <c r="Z259" s="678" t="n"/>
      <c r="AA259" s="678">
        <f>Y259</f>
        <v/>
      </c>
      <c r="AB259" s="678" t="n"/>
      <c r="AC259" s="678">
        <f>Y259</f>
        <v/>
      </c>
      <c r="AD259" s="678">
        <f>AA259</f>
        <v/>
      </c>
      <c r="AE259" s="682" t="inlineStr">
        <is>
          <t>ENGAGE</t>
        </is>
      </c>
      <c r="AF259" s="681" t="n"/>
      <c r="AG259" s="678" t="n"/>
      <c r="AH259" s="678" t="n"/>
      <c r="AI259" s="678" t="n"/>
      <c r="AJ259" s="678" t="n"/>
      <c r="AK259" s="683" t="n"/>
      <c r="AL259" s="683" t="n"/>
      <c r="AM259" s="681" t="inlineStr">
        <is>
          <t>Manque n° contrat</t>
        </is>
      </c>
      <c r="AN259" s="684" t="n"/>
      <c r="AO259" s="685" t="n"/>
      <c r="AP259" s="686" t="n"/>
      <c r="AQ259" s="686" t="n"/>
      <c r="AR259" s="23" t="n"/>
      <c r="AS259" s="686" t="n"/>
    </row>
    <row r="260" ht="65.40000000000001" customHeight="1" s="392">
      <c r="A260" s="672" t="n">
        <v>2026</v>
      </c>
      <c r="B260" s="673" t="inlineStr">
        <is>
          <t>ASSADISSA</t>
        </is>
      </c>
      <c r="C260" s="673" t="inlineStr">
        <is>
          <t>PV N° : 03RC2025-DPPCCRTV</t>
        </is>
      </c>
      <c r="D260" s="672" t="inlineStr">
        <is>
          <t>CONTRAT</t>
        </is>
      </c>
      <c r="E260" s="672" t="n"/>
      <c r="F260" s="674" t="inlineStr">
        <is>
          <t>MOHAMMED TOURABI  -  Préparation et la présentation de l'émission radiophonique « ورتل القرآن ترتيلا »</t>
        </is>
      </c>
      <c r="G260" s="675" t="inlineStr">
        <is>
          <t>VALIDE</t>
        </is>
      </c>
      <c r="H260" s="672" t="inlineStr">
        <is>
          <t>APPROUVE</t>
        </is>
      </c>
      <c r="I260" s="672" t="n"/>
      <c r="J260" s="675" t="inlineStr">
        <is>
          <t>NON CONCERNE</t>
        </is>
      </c>
      <c r="K260" s="672" t="inlineStr">
        <is>
          <t>Ordinaire</t>
        </is>
      </c>
      <c r="L260" s="676" t="inlineStr">
        <is>
          <t>FONCTIONNEMENT</t>
        </is>
      </c>
      <c r="M260" s="676" t="inlineStr">
        <is>
          <t>Achats de productions et de programmes
Achat des programmes en production interne - personnes physiques</t>
        </is>
      </c>
      <c r="N260" s="677" t="n"/>
      <c r="O260" s="678" t="n"/>
      <c r="P260" s="678" t="n"/>
      <c r="Q260" s="672" t="inlineStr">
        <is>
          <t>RECONDUCTION</t>
        </is>
      </c>
      <c r="R260" s="679" t="n"/>
      <c r="S260" s="680" t="n"/>
      <c r="T260" s="681" t="inlineStr">
        <is>
          <t xml:space="preserve">MOHAMMED TOURABI </t>
        </is>
      </c>
      <c r="U260" s="672" t="n">
        <v>2026</v>
      </c>
      <c r="V260" s="680" t="n">
        <v>46387</v>
      </c>
      <c r="W260" s="680" t="n"/>
      <c r="X260" s="680" t="n">
        <v>46024</v>
      </c>
      <c r="Y260" s="677" t="n">
        <v>60000</v>
      </c>
      <c r="Z260" s="678" t="n"/>
      <c r="AA260" s="678">
        <f>Y260</f>
        <v/>
      </c>
      <c r="AB260" s="678" t="n"/>
      <c r="AC260" s="678">
        <f>Y260</f>
        <v/>
      </c>
      <c r="AD260" s="678">
        <f>AA260</f>
        <v/>
      </c>
      <c r="AE260" s="682" t="inlineStr">
        <is>
          <t>ENGAGE</t>
        </is>
      </c>
      <c r="AF260" s="681" t="n"/>
      <c r="AG260" s="678" t="n"/>
      <c r="AH260" s="678" t="n"/>
      <c r="AI260" s="678" t="n"/>
      <c r="AJ260" s="678" t="n"/>
      <c r="AK260" s="683" t="n"/>
      <c r="AL260" s="683" t="n"/>
      <c r="AM260" s="681" t="inlineStr">
        <is>
          <t>Manque n° contrat</t>
        </is>
      </c>
      <c r="AN260" s="684" t="n"/>
      <c r="AO260" s="685" t="n"/>
      <c r="AP260" s="686" t="n"/>
      <c r="AQ260" s="686" t="n"/>
      <c r="AR260" s="23" t="n"/>
      <c r="AS260" s="686" t="n"/>
    </row>
    <row r="261" ht="65.40000000000001" customHeight="1" s="392">
      <c r="A261" s="672" t="n">
        <v>2026</v>
      </c>
      <c r="B261" s="673" t="inlineStr">
        <is>
          <t>ASSADISSA</t>
        </is>
      </c>
      <c r="C261" s="673" t="inlineStr">
        <is>
          <t>PV N° : 03RC2025-DPPCCRTV</t>
        </is>
      </c>
      <c r="D261" s="672" t="inlineStr">
        <is>
          <t>CONTRAT</t>
        </is>
      </c>
      <c r="E261" s="672" t="n"/>
      <c r="F261" s="674" t="inlineStr">
        <is>
          <t>ABDELLATIF BOUBALA  -  Préparation et la présentation de l’émission RD « ملتقى الأطفال»</t>
        </is>
      </c>
      <c r="G261" s="675" t="inlineStr">
        <is>
          <t>VALIDE</t>
        </is>
      </c>
      <c r="H261" s="672" t="inlineStr">
        <is>
          <t>APPROUVE</t>
        </is>
      </c>
      <c r="I261" s="672" t="n"/>
      <c r="J261" s="675" t="inlineStr">
        <is>
          <t>NON CONCERNE</t>
        </is>
      </c>
      <c r="K261" s="672" t="inlineStr">
        <is>
          <t>Ordinaire</t>
        </is>
      </c>
      <c r="L261" s="676" t="inlineStr">
        <is>
          <t>FONCTIONNEMENT</t>
        </is>
      </c>
      <c r="M261" s="676" t="inlineStr">
        <is>
          <t>Achats de productions et de programmes
Achat des programmes en production interne - personnes physiques</t>
        </is>
      </c>
      <c r="N261" s="677" t="n"/>
      <c r="O261" s="678" t="n"/>
      <c r="P261" s="678" t="n"/>
      <c r="Q261" s="672" t="inlineStr">
        <is>
          <t>RECONDUCTION</t>
        </is>
      </c>
      <c r="R261" s="679" t="n"/>
      <c r="S261" s="680" t="n"/>
      <c r="T261" s="681" t="inlineStr">
        <is>
          <t>ABDELLATIF BOUBALA</t>
        </is>
      </c>
      <c r="U261" s="672" t="n">
        <v>2026</v>
      </c>
      <c r="V261" s="680" t="n">
        <v>46387</v>
      </c>
      <c r="W261" s="680" t="n"/>
      <c r="X261" s="680" t="n">
        <v>46024</v>
      </c>
      <c r="Y261" s="677" t="n">
        <v>200000</v>
      </c>
      <c r="Z261" s="678" t="n"/>
      <c r="AA261" s="678">
        <f>Y261</f>
        <v/>
      </c>
      <c r="AB261" s="678" t="n"/>
      <c r="AC261" s="678">
        <f>Y261</f>
        <v/>
      </c>
      <c r="AD261" s="678">
        <f>AA261</f>
        <v/>
      </c>
      <c r="AE261" s="682" t="inlineStr">
        <is>
          <t>ENGAGE</t>
        </is>
      </c>
      <c r="AF261" s="681" t="n"/>
      <c r="AG261" s="678" t="n"/>
      <c r="AH261" s="678" t="n"/>
      <c r="AI261" s="678" t="n"/>
      <c r="AJ261" s="678" t="n"/>
      <c r="AK261" s="683" t="n"/>
      <c r="AL261" s="683" t="n"/>
      <c r="AM261" s="681" t="inlineStr">
        <is>
          <t>Manque n° contrat</t>
        </is>
      </c>
      <c r="AN261" s="684" t="n"/>
      <c r="AO261" s="685" t="n"/>
      <c r="AP261" s="686" t="n"/>
      <c r="AQ261" s="686" t="n"/>
      <c r="AR261" s="23" t="n"/>
      <c r="AS261" s="686" t="n"/>
    </row>
    <row r="262" ht="65.40000000000001" customHeight="1" s="392">
      <c r="A262" s="672" t="n">
        <v>2026</v>
      </c>
      <c r="B262" s="673" t="inlineStr">
        <is>
          <t>ASSADISSA</t>
        </is>
      </c>
      <c r="C262" s="673" t="inlineStr">
        <is>
          <t>PV N° : 03RC2025-DPPCCRTV</t>
        </is>
      </c>
      <c r="D262" s="672" t="inlineStr">
        <is>
          <t>CONTRAT</t>
        </is>
      </c>
      <c r="E262" s="672" t="n"/>
      <c r="F262" s="674" t="inlineStr">
        <is>
          <t>MOSTAFA BEN HAMZA  -  Préparation et présentation de l'émission TV " الكراسي العلمية "</t>
        </is>
      </c>
      <c r="G262" s="675" t="inlineStr">
        <is>
          <t>VALIDE</t>
        </is>
      </c>
      <c r="H262" s="672" t="inlineStr">
        <is>
          <t>APPROUVE</t>
        </is>
      </c>
      <c r="I262" s="672" t="n"/>
      <c r="J262" s="675" t="inlineStr">
        <is>
          <t>NON CONCERNE</t>
        </is>
      </c>
      <c r="K262" s="672" t="inlineStr">
        <is>
          <t>Ordinaire</t>
        </is>
      </c>
      <c r="L262" s="676" t="inlineStr">
        <is>
          <t>FONCTIONNEMENT</t>
        </is>
      </c>
      <c r="M262" s="676" t="inlineStr">
        <is>
          <t>Achats de productions et de programmes
Achat des programmes en production interne - personnes physiques</t>
        </is>
      </c>
      <c r="N262" s="677" t="n"/>
      <c r="O262" s="678" t="n"/>
      <c r="P262" s="678" t="n"/>
      <c r="Q262" s="672" t="inlineStr">
        <is>
          <t>RECONDUCTION</t>
        </is>
      </c>
      <c r="R262" s="679" t="n"/>
      <c r="S262" s="680" t="n"/>
      <c r="T262" s="681" t="inlineStr">
        <is>
          <t>MOSTAFA BEN HAMZA</t>
        </is>
      </c>
      <c r="U262" s="672" t="n">
        <v>2026</v>
      </c>
      <c r="V262" s="680" t="n">
        <v>46387</v>
      </c>
      <c r="W262" s="680" t="n"/>
      <c r="X262" s="680" t="n">
        <v>46024</v>
      </c>
      <c r="Y262" s="677" t="n">
        <v>228571.2</v>
      </c>
      <c r="Z262" s="678" t="n"/>
      <c r="AA262" s="678">
        <f>Y262</f>
        <v/>
      </c>
      <c r="AB262" s="678" t="n"/>
      <c r="AC262" s="678">
        <f>Y262</f>
        <v/>
      </c>
      <c r="AD262" s="678">
        <f>AA262</f>
        <v/>
      </c>
      <c r="AE262" s="682" t="inlineStr">
        <is>
          <t>ENGAGE</t>
        </is>
      </c>
      <c r="AF262" s="681" t="n"/>
      <c r="AG262" s="678" t="n"/>
      <c r="AH262" s="678" t="n"/>
      <c r="AI262" s="678" t="n"/>
      <c r="AJ262" s="678" t="n"/>
      <c r="AK262" s="683" t="n"/>
      <c r="AL262" s="683" t="n"/>
      <c r="AM262" s="681" t="inlineStr">
        <is>
          <t>Manque n° contrat</t>
        </is>
      </c>
      <c r="AN262" s="684" t="n"/>
      <c r="AO262" s="685" t="n"/>
      <c r="AP262" s="686" t="n"/>
      <c r="AQ262" s="686" t="n"/>
      <c r="AR262" s="23" t="n"/>
      <c r="AS262" s="686" t="n"/>
    </row>
    <row r="263" ht="65.40000000000001" customHeight="1" s="392">
      <c r="A263" s="672" t="n">
        <v>2026</v>
      </c>
      <c r="B263" s="673" t="inlineStr">
        <is>
          <t>ASSADISSA</t>
        </is>
      </c>
      <c r="C263" s="673" t="inlineStr">
        <is>
          <t>PV N° : 03RC2025-DPPCCRTV</t>
        </is>
      </c>
      <c r="D263" s="672" t="inlineStr">
        <is>
          <t>CONTRAT</t>
        </is>
      </c>
      <c r="E263" s="672" t="n"/>
      <c r="F263" s="674" t="inlineStr">
        <is>
          <t>ABDERRAHIM NABOULSSI  -  Préparation et présentation de l'émission TV " الكراسي العلمية "</t>
        </is>
      </c>
      <c r="G263" s="675" t="inlineStr">
        <is>
          <t>VALIDE</t>
        </is>
      </c>
      <c r="H263" s="672" t="inlineStr">
        <is>
          <t>APPROUVE</t>
        </is>
      </c>
      <c r="I263" s="672" t="n"/>
      <c r="J263" s="675" t="inlineStr">
        <is>
          <t>NON CONCERNE</t>
        </is>
      </c>
      <c r="K263" s="672" t="inlineStr">
        <is>
          <t>Ordinaire</t>
        </is>
      </c>
      <c r="L263" s="676" t="inlineStr">
        <is>
          <t>FONCTIONNEMENT</t>
        </is>
      </c>
      <c r="M263" s="676" t="inlineStr">
        <is>
          <t>Achats de productions et de programmes
Achat des programmes en production interne - personnes physiques</t>
        </is>
      </c>
      <c r="N263" s="677" t="n"/>
      <c r="O263" s="678" t="n"/>
      <c r="P263" s="678" t="n"/>
      <c r="Q263" s="672" t="inlineStr">
        <is>
          <t>RECONDUCTION</t>
        </is>
      </c>
      <c r="R263" s="679" t="n"/>
      <c r="S263" s="680" t="n"/>
      <c r="T263" s="681" t="inlineStr">
        <is>
          <t>ABDERRAHIM NABOULSSI</t>
        </is>
      </c>
      <c r="U263" s="672" t="n">
        <v>2026</v>
      </c>
      <c r="V263" s="680" t="n">
        <v>46387</v>
      </c>
      <c r="W263" s="680" t="n"/>
      <c r="X263" s="680" t="n">
        <v>46024</v>
      </c>
      <c r="Y263" s="677" t="n">
        <v>228571.2</v>
      </c>
      <c r="Z263" s="678" t="n"/>
      <c r="AA263" s="678">
        <f>Y263</f>
        <v/>
      </c>
      <c r="AB263" s="678" t="n"/>
      <c r="AC263" s="678">
        <f>Y263</f>
        <v/>
      </c>
      <c r="AD263" s="678">
        <f>AA263</f>
        <v/>
      </c>
      <c r="AE263" s="682" t="inlineStr">
        <is>
          <t>ENGAGE</t>
        </is>
      </c>
      <c r="AF263" s="681" t="n"/>
      <c r="AG263" s="678" t="n"/>
      <c r="AH263" s="678" t="n"/>
      <c r="AI263" s="678" t="n"/>
      <c r="AJ263" s="678" t="n"/>
      <c r="AK263" s="683" t="n"/>
      <c r="AL263" s="683" t="n"/>
      <c r="AM263" s="681" t="inlineStr">
        <is>
          <t>Manque n° contrat</t>
        </is>
      </c>
      <c r="AN263" s="684" t="n"/>
      <c r="AO263" s="685" t="n"/>
      <c r="AP263" s="686" t="n"/>
      <c r="AQ263" s="686" t="n"/>
      <c r="AR263" s="23" t="n"/>
      <c r="AS263" s="686" t="n"/>
    </row>
    <row r="264" ht="65.40000000000001" customHeight="1" s="392">
      <c r="A264" s="672" t="n">
        <v>2026</v>
      </c>
      <c r="B264" s="673" t="inlineStr">
        <is>
          <t>ASSADISSA</t>
        </is>
      </c>
      <c r="C264" s="673" t="inlineStr">
        <is>
          <t>PV N° : 03RC2025-DPPCCRTV</t>
        </is>
      </c>
      <c r="D264" s="672" t="inlineStr">
        <is>
          <t>CONTRAT</t>
        </is>
      </c>
      <c r="E264" s="672" t="n"/>
      <c r="F264" s="674" t="inlineStr">
        <is>
          <t>MOHAMED RAOUGUI  -  Préparation et présentation de l'émission TV " الكراسي العلمية "</t>
        </is>
      </c>
      <c r="G264" s="675" t="inlineStr">
        <is>
          <t>VALIDE</t>
        </is>
      </c>
      <c r="H264" s="672" t="inlineStr">
        <is>
          <t>APPROUVE</t>
        </is>
      </c>
      <c r="I264" s="672" t="n"/>
      <c r="J264" s="675" t="inlineStr">
        <is>
          <t>NON CONCERNE</t>
        </is>
      </c>
      <c r="K264" s="672" t="inlineStr">
        <is>
          <t>Ordinaire</t>
        </is>
      </c>
      <c r="L264" s="676" t="inlineStr">
        <is>
          <t>FONCTIONNEMENT</t>
        </is>
      </c>
      <c r="M264" s="676" t="inlineStr">
        <is>
          <t>Achats de productions et de programmes
Achat des programmes en production interne - personnes physiques</t>
        </is>
      </c>
      <c r="N264" s="677" t="n"/>
      <c r="O264" s="678" t="n"/>
      <c r="P264" s="678" t="n"/>
      <c r="Q264" s="672" t="inlineStr">
        <is>
          <t>RECONDUCTION</t>
        </is>
      </c>
      <c r="R264" s="679" t="n"/>
      <c r="S264" s="680" t="n"/>
      <c r="T264" s="681" t="inlineStr">
        <is>
          <t>MOHAMED RAOUGUI</t>
        </is>
      </c>
      <c r="U264" s="672" t="n">
        <v>2026</v>
      </c>
      <c r="V264" s="680" t="n">
        <v>46387</v>
      </c>
      <c r="W264" s="680" t="n"/>
      <c r="X264" s="680" t="n">
        <v>46024</v>
      </c>
      <c r="Y264" s="677" t="n">
        <v>171428.4</v>
      </c>
      <c r="Z264" s="678" t="n"/>
      <c r="AA264" s="678">
        <f>Y264</f>
        <v/>
      </c>
      <c r="AB264" s="678" t="n"/>
      <c r="AC264" s="678">
        <f>Y264</f>
        <v/>
      </c>
      <c r="AD264" s="678">
        <f>AA264</f>
        <v/>
      </c>
      <c r="AE264" s="682" t="inlineStr">
        <is>
          <t>ENGAGE</t>
        </is>
      </c>
      <c r="AF264" s="681" t="n"/>
      <c r="AG264" s="678" t="n"/>
      <c r="AH264" s="678" t="n"/>
      <c r="AI264" s="678" t="n"/>
      <c r="AJ264" s="678" t="n"/>
      <c r="AK264" s="683" t="n"/>
      <c r="AL264" s="683" t="n"/>
      <c r="AM264" s="681" t="inlineStr">
        <is>
          <t>Manque n° contrat</t>
        </is>
      </c>
      <c r="AN264" s="684" t="n"/>
      <c r="AO264" s="685" t="n"/>
      <c r="AP264" s="686" t="n"/>
      <c r="AQ264" s="686" t="n"/>
      <c r="AR264" s="23" t="n"/>
      <c r="AS264" s="686" t="n"/>
    </row>
    <row r="265" ht="65.40000000000001" customHeight="1" s="392">
      <c r="A265" s="672" t="n">
        <v>2026</v>
      </c>
      <c r="B265" s="673" t="inlineStr">
        <is>
          <t>ASSADISSA</t>
        </is>
      </c>
      <c r="C265" s="673" t="inlineStr">
        <is>
          <t>PV N° : 03RC2025-DPPCCRTV</t>
        </is>
      </c>
      <c r="D265" s="672" t="inlineStr">
        <is>
          <t>CONTRAT</t>
        </is>
      </c>
      <c r="E265" s="672" t="n"/>
      <c r="F265" s="674" t="inlineStr">
        <is>
          <t>MUSTAPHA BAHIAOUI  -  Préparation et présentation de l'émission TV " الكراسي العلمية "</t>
        </is>
      </c>
      <c r="G265" s="675" t="inlineStr">
        <is>
          <t>VALIDE</t>
        </is>
      </c>
      <c r="H265" s="672" t="inlineStr">
        <is>
          <t>APPROUVE</t>
        </is>
      </c>
      <c r="I265" s="672" t="n"/>
      <c r="J265" s="675" t="inlineStr">
        <is>
          <t>NON CONCERNE</t>
        </is>
      </c>
      <c r="K265" s="672" t="inlineStr">
        <is>
          <t>Ordinaire</t>
        </is>
      </c>
      <c r="L265" s="676" t="inlineStr">
        <is>
          <t>FONCTIONNEMENT</t>
        </is>
      </c>
      <c r="M265" s="676" t="inlineStr">
        <is>
          <t>Achats de productions et de programmes
Achat des programmes en production interne - personnes physiques</t>
        </is>
      </c>
      <c r="N265" s="677" t="n"/>
      <c r="O265" s="678" t="n"/>
      <c r="P265" s="678" t="n"/>
      <c r="Q265" s="672" t="inlineStr">
        <is>
          <t>RECONDUCTION</t>
        </is>
      </c>
      <c r="R265" s="679" t="n"/>
      <c r="S265" s="680" t="n"/>
      <c r="T265" s="681" t="inlineStr">
        <is>
          <t>MUSTAPHA BAHIAOUI</t>
        </is>
      </c>
      <c r="U265" s="672" t="n">
        <v>2026</v>
      </c>
      <c r="V265" s="680" t="n">
        <v>46387</v>
      </c>
      <c r="W265" s="680" t="n"/>
      <c r="X265" s="680" t="n">
        <v>46024</v>
      </c>
      <c r="Y265" s="677" t="n">
        <v>228571.2</v>
      </c>
      <c r="Z265" s="678" t="n"/>
      <c r="AA265" s="678">
        <f>Y265</f>
        <v/>
      </c>
      <c r="AB265" s="678" t="n"/>
      <c r="AC265" s="678">
        <f>Y265</f>
        <v/>
      </c>
      <c r="AD265" s="678">
        <f>AA265</f>
        <v/>
      </c>
      <c r="AE265" s="682" t="inlineStr">
        <is>
          <t>ENGAGE</t>
        </is>
      </c>
      <c r="AF265" s="681" t="n"/>
      <c r="AG265" s="678" t="n"/>
      <c r="AH265" s="678" t="n"/>
      <c r="AI265" s="678" t="n"/>
      <c r="AJ265" s="678" t="n"/>
      <c r="AK265" s="683" t="n"/>
      <c r="AL265" s="683" t="n"/>
      <c r="AM265" s="681" t="inlineStr">
        <is>
          <t>Manque n° contrat</t>
        </is>
      </c>
      <c r="AN265" s="684" t="n"/>
      <c r="AO265" s="685" t="n"/>
      <c r="AP265" s="686" t="n"/>
      <c r="AQ265" s="686" t="n"/>
      <c r="AR265" s="23" t="n"/>
      <c r="AS265" s="686" t="n"/>
    </row>
    <row r="266" ht="65.40000000000001" customHeight="1" s="392">
      <c r="A266" s="672" t="n">
        <v>2026</v>
      </c>
      <c r="B266" s="673" t="inlineStr">
        <is>
          <t>ASSADISSA</t>
        </is>
      </c>
      <c r="C266" s="673" t="inlineStr">
        <is>
          <t>PV N° : 03RC2025-DPPCCRTV</t>
        </is>
      </c>
      <c r="D266" s="672" t="inlineStr">
        <is>
          <t>CONTRAT</t>
        </is>
      </c>
      <c r="E266" s="672" t="n"/>
      <c r="F266" s="674" t="inlineStr">
        <is>
          <t>MOHAMMED BENKIRANE  -  Préparation et présentation de l'émission TV " الكراسي العلمية "</t>
        </is>
      </c>
      <c r="G266" s="675" t="inlineStr">
        <is>
          <t>VALIDE</t>
        </is>
      </c>
      <c r="H266" s="672" t="inlineStr">
        <is>
          <t>APPROUVE</t>
        </is>
      </c>
      <c r="I266" s="672" t="n"/>
      <c r="J266" s="675" t="inlineStr">
        <is>
          <t>NON CONCERNE</t>
        </is>
      </c>
      <c r="K266" s="672" t="inlineStr">
        <is>
          <t>Ordinaire</t>
        </is>
      </c>
      <c r="L266" s="676" t="inlineStr">
        <is>
          <t>FONCTIONNEMENT</t>
        </is>
      </c>
      <c r="M266" s="676" t="inlineStr">
        <is>
          <t>Achats de productions et de programmes
Achat des programmes en production interne - personnes physiques</t>
        </is>
      </c>
      <c r="N266" s="677" t="n"/>
      <c r="O266" s="678" t="n"/>
      <c r="P266" s="678" t="n"/>
      <c r="Q266" s="672" t="inlineStr">
        <is>
          <t>RECONDUCTION</t>
        </is>
      </c>
      <c r="R266" s="679" t="n"/>
      <c r="S266" s="680" t="n"/>
      <c r="T266" s="681" t="inlineStr">
        <is>
          <t>MOHAMMED BENKIRANE</t>
        </is>
      </c>
      <c r="U266" s="672" t="n">
        <v>2026</v>
      </c>
      <c r="V266" s="680" t="n">
        <v>46387</v>
      </c>
      <c r="W266" s="680" t="n"/>
      <c r="X266" s="680" t="n">
        <v>46024</v>
      </c>
      <c r="Y266" s="677" t="n">
        <v>171428.4</v>
      </c>
      <c r="Z266" s="678" t="n"/>
      <c r="AA266" s="678">
        <f>Y266</f>
        <v/>
      </c>
      <c r="AB266" s="678" t="n"/>
      <c r="AC266" s="678">
        <f>Y266</f>
        <v/>
      </c>
      <c r="AD266" s="678">
        <f>AA266</f>
        <v/>
      </c>
      <c r="AE266" s="682" t="inlineStr">
        <is>
          <t>ENGAGE</t>
        </is>
      </c>
      <c r="AF266" s="681" t="n"/>
      <c r="AG266" s="678" t="n"/>
      <c r="AH266" s="678" t="n"/>
      <c r="AI266" s="678" t="n"/>
      <c r="AJ266" s="678" t="n"/>
      <c r="AK266" s="683" t="n"/>
      <c r="AL266" s="683" t="n"/>
      <c r="AM266" s="681" t="inlineStr">
        <is>
          <t>Manque n° contrat</t>
        </is>
      </c>
      <c r="AN266" s="684" t="n"/>
      <c r="AO266" s="685" t="n"/>
      <c r="AP266" s="686" t="n"/>
      <c r="AQ266" s="686" t="n"/>
      <c r="AR266" s="23" t="n"/>
      <c r="AS266" s="686" t="n"/>
    </row>
    <row r="267" ht="87" customHeight="1" s="392">
      <c r="A267" s="672" t="n">
        <v>2026</v>
      </c>
      <c r="B267" s="673" t="inlineStr">
        <is>
          <t>ASSADISSA</t>
        </is>
      </c>
      <c r="C267" s="673" t="inlineStr">
        <is>
          <t>PV N° : 03RC2025-DPPCCRTV</t>
        </is>
      </c>
      <c r="D267" s="672" t="inlineStr">
        <is>
          <t>CONTRAT</t>
        </is>
      </c>
      <c r="E267" s="672" t="n"/>
      <c r="F267" s="674" t="inlineStr">
        <is>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G267" s="675" t="inlineStr">
        <is>
          <t>VALIDE</t>
        </is>
      </c>
      <c r="H267" s="672" t="inlineStr">
        <is>
          <t>APPROUVE</t>
        </is>
      </c>
      <c r="I267" s="672" t="n"/>
      <c r="J267" s="675" t="inlineStr">
        <is>
          <t>NON CONCERNE</t>
        </is>
      </c>
      <c r="K267" s="672" t="inlineStr">
        <is>
          <t>Ordinaire</t>
        </is>
      </c>
      <c r="L267" s="676" t="inlineStr">
        <is>
          <t>FONCTIONNEMENT</t>
        </is>
      </c>
      <c r="M267" s="676" t="inlineStr">
        <is>
          <t>Achats de productions et de programmes
Achat des programmes en production interne - personnes physiques</t>
        </is>
      </c>
      <c r="N267" s="677" t="n"/>
      <c r="O267" s="678" t="n"/>
      <c r="P267" s="678" t="n"/>
      <c r="Q267" s="672" t="inlineStr">
        <is>
          <t>RECONDUCTION</t>
        </is>
      </c>
      <c r="R267" s="679" t="n"/>
      <c r="S267" s="680" t="n"/>
      <c r="T267" s="681" t="inlineStr">
        <is>
          <t>SIDI ABDERAHMANE ALIOUI</t>
        </is>
      </c>
      <c r="U267" s="672" t="n">
        <v>2026</v>
      </c>
      <c r="V267" s="680" t="n">
        <v>46387</v>
      </c>
      <c r="W267" s="680" t="n"/>
      <c r="X267" s="680" t="n">
        <v>46024</v>
      </c>
      <c r="Y267" s="677" t="n">
        <v>290399.76</v>
      </c>
      <c r="Z267" s="678" t="n"/>
      <c r="AA267" s="678">
        <f>Y267</f>
        <v/>
      </c>
      <c r="AB267" s="678" t="n"/>
      <c r="AC267" s="678">
        <f>Y267</f>
        <v/>
      </c>
      <c r="AD267" s="678">
        <f>AA267</f>
        <v/>
      </c>
      <c r="AE267" s="682" t="inlineStr">
        <is>
          <t>ENGAGE</t>
        </is>
      </c>
      <c r="AF267" s="681" t="n"/>
      <c r="AG267" s="678" t="n"/>
      <c r="AH267" s="678" t="n"/>
      <c r="AI267" s="678" t="n"/>
      <c r="AJ267" s="678" t="n"/>
      <c r="AK267" s="683" t="n"/>
      <c r="AL267" s="683" t="n"/>
      <c r="AM267" s="681" t="inlineStr">
        <is>
          <t>Manque n° contrat</t>
        </is>
      </c>
      <c r="AN267" s="684" t="n"/>
      <c r="AO267" s="685" t="n"/>
      <c r="AP267" s="686" t="n"/>
      <c r="AQ267" s="686" t="n"/>
      <c r="AR267" s="23" t="n"/>
      <c r="AS267" s="686" t="n"/>
    </row>
    <row r="268" ht="65.40000000000001" customHeight="1" s="392">
      <c r="A268" s="672" t="n">
        <v>2026</v>
      </c>
      <c r="B268" s="673" t="inlineStr">
        <is>
          <t>ASSADISSA</t>
        </is>
      </c>
      <c r="C268" s="673" t="inlineStr">
        <is>
          <t>PV N° : 03RC2025-DPPCCRTV</t>
        </is>
      </c>
      <c r="D268" s="672" t="inlineStr">
        <is>
          <t>CONTRAT</t>
        </is>
      </c>
      <c r="E268" s="672" t="n"/>
      <c r="F268" s="674" t="inlineStr">
        <is>
          <t>ABDELLAH ABOUATALLAH  -  Préparation et présentation de l’émission TV " الكراسي العلمية "</t>
        </is>
      </c>
      <c r="G268" s="675" t="inlineStr">
        <is>
          <t>VALIDE</t>
        </is>
      </c>
      <c r="H268" s="672" t="inlineStr">
        <is>
          <t>APPROUVE</t>
        </is>
      </c>
      <c r="I268" s="672" t="n"/>
      <c r="J268" s="675" t="inlineStr">
        <is>
          <t>NON CONCERNE</t>
        </is>
      </c>
      <c r="K268" s="672" t="inlineStr">
        <is>
          <t>Ordinaire</t>
        </is>
      </c>
      <c r="L268" s="676" t="inlineStr">
        <is>
          <t>FONCTIONNEMENT</t>
        </is>
      </c>
      <c r="M268" s="676" t="inlineStr">
        <is>
          <t>Achats de productions et de programmes
Achat des programmes en production interne - personnes physiques</t>
        </is>
      </c>
      <c r="N268" s="677" t="n"/>
      <c r="O268" s="678" t="n"/>
      <c r="P268" s="678" t="n"/>
      <c r="Q268" s="672" t="inlineStr">
        <is>
          <t>RECONDUCTION</t>
        </is>
      </c>
      <c r="R268" s="679" t="n"/>
      <c r="S268" s="680" t="n"/>
      <c r="T268" s="681" t="inlineStr">
        <is>
          <t>ABDELLAH ABOUATALLAH</t>
        </is>
      </c>
      <c r="U268" s="672" t="n">
        <v>2026</v>
      </c>
      <c r="V268" s="680" t="n">
        <v>46387</v>
      </c>
      <c r="W268" s="680" t="n"/>
      <c r="X268" s="680" t="n">
        <v>46024</v>
      </c>
      <c r="Y268" s="677" t="n">
        <v>171428.4</v>
      </c>
      <c r="Z268" s="678" t="n"/>
      <c r="AA268" s="678">
        <f>Y268</f>
        <v/>
      </c>
      <c r="AB268" s="678" t="n"/>
      <c r="AC268" s="678">
        <f>Y268</f>
        <v/>
      </c>
      <c r="AD268" s="678">
        <f>AA268</f>
        <v/>
      </c>
      <c r="AE268" s="682" t="inlineStr">
        <is>
          <t>ENGAGE</t>
        </is>
      </c>
      <c r="AF268" s="681" t="n"/>
      <c r="AG268" s="678" t="n"/>
      <c r="AH268" s="678" t="n"/>
      <c r="AI268" s="678" t="n"/>
      <c r="AJ268" s="678" t="n"/>
      <c r="AK268" s="683" t="n"/>
      <c r="AL268" s="683" t="n"/>
      <c r="AM268" s="681" t="inlineStr">
        <is>
          <t>Manque n° contrat</t>
        </is>
      </c>
      <c r="AN268" s="684" t="n"/>
      <c r="AO268" s="685" t="n"/>
      <c r="AP268" s="686" t="n"/>
      <c r="AQ268" s="686" t="n"/>
      <c r="AR268" s="23" t="n"/>
      <c r="AS268" s="686" t="n"/>
    </row>
    <row r="269" ht="70.80000000000001" customHeight="1" s="392">
      <c r="A269" s="672" t="n">
        <v>2026</v>
      </c>
      <c r="B269" s="673" t="inlineStr">
        <is>
          <t>ASSADISSA</t>
        </is>
      </c>
      <c r="C269" s="673" t="inlineStr">
        <is>
          <t>PV N° : 03RC2025-DPPCCRTV</t>
        </is>
      </c>
      <c r="D269" s="672" t="inlineStr">
        <is>
          <t>CONTRAT</t>
        </is>
      </c>
      <c r="E269" s="672" t="n"/>
      <c r="F269" s="674" t="inlineStr">
        <is>
          <t>ID SAID LAHSSAN  -  Réponse sur antenne TV aux questions des téléspectateurs à l'émission TV " يسألونك/ Réponse sur antenne RD aux questions des auditeurs à l'émission RD "يسألونك"</t>
        </is>
      </c>
      <c r="G269" s="675" t="inlineStr">
        <is>
          <t>VALIDE</t>
        </is>
      </c>
      <c r="H269" s="672" t="inlineStr">
        <is>
          <t>APPROUVE</t>
        </is>
      </c>
      <c r="I269" s="672" t="n"/>
      <c r="J269" s="675" t="inlineStr">
        <is>
          <t>NON CONCERNE</t>
        </is>
      </c>
      <c r="K269" s="672" t="inlineStr">
        <is>
          <t>Ordinaire</t>
        </is>
      </c>
      <c r="L269" s="676" t="inlineStr">
        <is>
          <t>FONCTIONNEMENT</t>
        </is>
      </c>
      <c r="M269" s="676" t="inlineStr">
        <is>
          <t>Achats de productions et de programmes
Achat des programmes en production interne - personnes physiques</t>
        </is>
      </c>
      <c r="N269" s="677" t="n"/>
      <c r="O269" s="678" t="n"/>
      <c r="P269" s="678" t="n"/>
      <c r="Q269" s="672" t="inlineStr">
        <is>
          <t>RECONDUCTION</t>
        </is>
      </c>
      <c r="R269" s="679" t="n"/>
      <c r="S269" s="680" t="n"/>
      <c r="T269" s="681" t="inlineStr">
        <is>
          <t>ID SAID LAHSSAN</t>
        </is>
      </c>
      <c r="U269" s="672" t="n">
        <v>2026</v>
      </c>
      <c r="V269" s="680" t="n">
        <v>46387</v>
      </c>
      <c r="W269" s="680" t="n"/>
      <c r="X269" s="680" t="n">
        <v>46024</v>
      </c>
      <c r="Y269" s="677" t="n">
        <v>125714.16</v>
      </c>
      <c r="Z269" s="678" t="n"/>
      <c r="AA269" s="678">
        <f>Y269</f>
        <v/>
      </c>
      <c r="AB269" s="678" t="n"/>
      <c r="AC269" s="678">
        <f>Y269</f>
        <v/>
      </c>
      <c r="AD269" s="678">
        <f>AA269</f>
        <v/>
      </c>
      <c r="AE269" s="682" t="inlineStr">
        <is>
          <t>ENGAGE</t>
        </is>
      </c>
      <c r="AF269" s="681" t="n"/>
      <c r="AG269" s="678" t="n"/>
      <c r="AH269" s="678" t="n"/>
      <c r="AI269" s="678" t="n"/>
      <c r="AJ269" s="678" t="n"/>
      <c r="AK269" s="683" t="n"/>
      <c r="AL269" s="683" t="n"/>
      <c r="AM269" s="681" t="inlineStr">
        <is>
          <t>Manque n° contrat</t>
        </is>
      </c>
      <c r="AN269" s="684" t="n"/>
      <c r="AO269" s="685" t="n"/>
      <c r="AP269" s="686" t="n"/>
      <c r="AQ269" s="686" t="n"/>
      <c r="AR269" s="23" t="n"/>
      <c r="AS269" s="686" t="n"/>
    </row>
    <row r="270" ht="70.80000000000001" customHeight="1" s="392">
      <c r="A270" s="672" t="n">
        <v>2026</v>
      </c>
      <c r="B270" s="673" t="inlineStr">
        <is>
          <t>ASSADISSA</t>
        </is>
      </c>
      <c r="C270" s="673" t="inlineStr">
        <is>
          <t>PV N° : 03RC2025-DPPCCRTV</t>
        </is>
      </c>
      <c r="D270" s="672" t="inlineStr">
        <is>
          <t>CONTRAT</t>
        </is>
      </c>
      <c r="E270" s="672" t="n"/>
      <c r="F270" s="674" t="inlineStr">
        <is>
          <t>MIFRAH EL HOUSSAIN  -  Réponse sur antenne TV aux questions des téléspectateurs à l'émission TV " يسألونك / Réponse sur antenne RD aux questions des auditeurs à l'émission RD "يسألونك"</t>
        </is>
      </c>
      <c r="G270" s="675" t="inlineStr">
        <is>
          <t>VALIDE</t>
        </is>
      </c>
      <c r="H270" s="672" t="inlineStr">
        <is>
          <t>APPROUVE</t>
        </is>
      </c>
      <c r="I270" s="672" t="n"/>
      <c r="J270" s="675" t="inlineStr">
        <is>
          <t>NON CONCERNE</t>
        </is>
      </c>
      <c r="K270" s="672" t="inlineStr">
        <is>
          <t>Ordinaire</t>
        </is>
      </c>
      <c r="L270" s="676" t="inlineStr">
        <is>
          <t>FONCTIONNEMENT</t>
        </is>
      </c>
      <c r="M270" s="676" t="inlineStr">
        <is>
          <t>Achats de productions et de programmes
Achat des programmes en production interne - personnes physiques</t>
        </is>
      </c>
      <c r="N270" s="677" t="n"/>
      <c r="O270" s="678" t="n"/>
      <c r="P270" s="678" t="n"/>
      <c r="Q270" s="672" t="inlineStr">
        <is>
          <t>RECONDUCTION</t>
        </is>
      </c>
      <c r="R270" s="679" t="n"/>
      <c r="S270" s="680" t="n"/>
      <c r="T270" s="681" t="inlineStr">
        <is>
          <t>MIFRAH EL HOUSSAIN</t>
        </is>
      </c>
      <c r="U270" s="672" t="n">
        <v>2026</v>
      </c>
      <c r="V270" s="680" t="n">
        <v>46387</v>
      </c>
      <c r="W270" s="680" t="n"/>
      <c r="X270" s="680" t="n">
        <v>46024</v>
      </c>
      <c r="Y270" s="677" t="n">
        <v>152114.16</v>
      </c>
      <c r="Z270" s="678" t="n"/>
      <c r="AA270" s="678">
        <f>Y270</f>
        <v/>
      </c>
      <c r="AB270" s="678" t="n"/>
      <c r="AC270" s="678">
        <f>Y270</f>
        <v/>
      </c>
      <c r="AD270" s="678">
        <f>AA270</f>
        <v/>
      </c>
      <c r="AE270" s="682" t="inlineStr">
        <is>
          <t>ENGAGE</t>
        </is>
      </c>
      <c r="AF270" s="681" t="n"/>
      <c r="AG270" s="678" t="n"/>
      <c r="AH270" s="678" t="n"/>
      <c r="AI270" s="678" t="n"/>
      <c r="AJ270" s="678" t="n"/>
      <c r="AK270" s="683" t="n"/>
      <c r="AL270" s="683" t="n"/>
      <c r="AM270" s="681" t="inlineStr">
        <is>
          <t>Manque n° contrat</t>
        </is>
      </c>
      <c r="AN270" s="684" t="n"/>
      <c r="AO270" s="685" t="n"/>
      <c r="AP270" s="686" t="n"/>
      <c r="AQ270" s="686" t="n"/>
      <c r="AR270" s="23" t="n"/>
      <c r="AS270" s="686" t="n"/>
    </row>
    <row r="271" ht="70.80000000000001" customHeight="1" s="392">
      <c r="A271" s="672" t="n">
        <v>2026</v>
      </c>
      <c r="B271" s="673" t="inlineStr">
        <is>
          <t>ASSADISSA</t>
        </is>
      </c>
      <c r="C271" s="673" t="inlineStr">
        <is>
          <t>PV N° : 03RC2025-DPPCCRTV</t>
        </is>
      </c>
      <c r="D271" s="672" t="inlineStr">
        <is>
          <t>CONTRAT</t>
        </is>
      </c>
      <c r="E271" s="672" t="n"/>
      <c r="F271" s="674" t="inlineStr">
        <is>
          <t>MOHAMMED EL YOUSSOUFI  -  Réponse sur antenne TV aux questions des téléspectateurs à l'émission TV " يسألونك / Réponse sur antenne RD aux questions des auditeurs à l'émission RD "يسألونك"</t>
        </is>
      </c>
      <c r="G271" s="675" t="inlineStr">
        <is>
          <t>VALIDE</t>
        </is>
      </c>
      <c r="H271" s="672" t="inlineStr">
        <is>
          <t>APPROUVE</t>
        </is>
      </c>
      <c r="I271" s="672" t="n"/>
      <c r="J271" s="675" t="inlineStr">
        <is>
          <t>NON CONCERNE</t>
        </is>
      </c>
      <c r="K271" s="672" t="inlineStr">
        <is>
          <t>Ordinaire</t>
        </is>
      </c>
      <c r="L271" s="676" t="inlineStr">
        <is>
          <t>FONCTIONNEMENT</t>
        </is>
      </c>
      <c r="M271" s="676" t="inlineStr">
        <is>
          <t>Achats de productions et de programmes
Achat des programmes en production interne - personnes physiques</t>
        </is>
      </c>
      <c r="N271" s="677" t="n"/>
      <c r="O271" s="678" t="n"/>
      <c r="P271" s="678" t="n"/>
      <c r="Q271" s="672" t="inlineStr">
        <is>
          <t>RECONDUCTION</t>
        </is>
      </c>
      <c r="R271" s="679" t="n"/>
      <c r="S271" s="680" t="n"/>
      <c r="T271" s="681" t="inlineStr">
        <is>
          <t>MOHAMMED EL YOUSSOUFI</t>
        </is>
      </c>
      <c r="U271" s="672" t="n">
        <v>2026</v>
      </c>
      <c r="V271" s="680" t="n">
        <v>46387</v>
      </c>
      <c r="W271" s="680" t="n"/>
      <c r="X271" s="680" t="n">
        <v>46024</v>
      </c>
      <c r="Y271" s="677" t="n">
        <v>125714.16</v>
      </c>
      <c r="Z271" s="678" t="n"/>
      <c r="AA271" s="678">
        <f>Y271</f>
        <v/>
      </c>
      <c r="AB271" s="678" t="n"/>
      <c r="AC271" s="678">
        <f>Y271</f>
        <v/>
      </c>
      <c r="AD271" s="678">
        <f>AA271</f>
        <v/>
      </c>
      <c r="AE271" s="682" t="inlineStr">
        <is>
          <t>ENGAGE</t>
        </is>
      </c>
      <c r="AF271" s="681" t="n"/>
      <c r="AG271" s="678" t="n"/>
      <c r="AH271" s="678" t="n"/>
      <c r="AI271" s="678" t="n"/>
      <c r="AJ271" s="678" t="n"/>
      <c r="AK271" s="683" t="n"/>
      <c r="AL271" s="683" t="n"/>
      <c r="AM271" s="681" t="inlineStr">
        <is>
          <t>Manque n° contrat</t>
        </is>
      </c>
      <c r="AN271" s="684" t="n"/>
      <c r="AO271" s="685" t="n"/>
      <c r="AP271" s="686" t="n"/>
      <c r="AQ271" s="686" t="n"/>
      <c r="AR271" s="23" t="n"/>
      <c r="AS271" s="686" t="n"/>
    </row>
    <row r="272" ht="70.80000000000001" customHeight="1" s="392">
      <c r="A272" s="672" t="n">
        <v>2026</v>
      </c>
      <c r="B272" s="673" t="inlineStr">
        <is>
          <t>ASSADISSA</t>
        </is>
      </c>
      <c r="C272" s="673" t="inlineStr">
        <is>
          <t>PV N° : 03RC2025-DPPCCRTV</t>
        </is>
      </c>
      <c r="D272" s="672" t="inlineStr">
        <is>
          <t>CONTRAT</t>
        </is>
      </c>
      <c r="E272" s="672" t="n"/>
      <c r="F272" s="674" t="inlineStr">
        <is>
          <t>ABOUZID KHADIJA  -  Réponse sur antenne TV aux questions des téléspectateurs à l'émission TV " يسألونك / Réponse sur antenne RD aux questions des auditeurs à l'émission RD "يسألونك"</t>
        </is>
      </c>
      <c r="G272" s="675" t="inlineStr">
        <is>
          <t>VALIDE</t>
        </is>
      </c>
      <c r="H272" s="672" t="inlineStr">
        <is>
          <t>APPROUVE</t>
        </is>
      </c>
      <c r="I272" s="672" t="n"/>
      <c r="J272" s="675" t="inlineStr">
        <is>
          <t>NON CONCERNE</t>
        </is>
      </c>
      <c r="K272" s="672" t="inlineStr">
        <is>
          <t>Ordinaire</t>
        </is>
      </c>
      <c r="L272" s="676" t="inlineStr">
        <is>
          <t>FONCTIONNEMENT</t>
        </is>
      </c>
      <c r="M272" s="676" t="inlineStr">
        <is>
          <t>Achats de productions et de programmes
Achat des programmes en production interne - personnes physiques</t>
        </is>
      </c>
      <c r="N272" s="677" t="n"/>
      <c r="O272" s="678" t="n"/>
      <c r="P272" s="678" t="n"/>
      <c r="Q272" s="672" t="inlineStr">
        <is>
          <t>RECONDUCTION</t>
        </is>
      </c>
      <c r="R272" s="679" t="n"/>
      <c r="S272" s="680" t="n"/>
      <c r="T272" s="681" t="inlineStr">
        <is>
          <t>ABOUZID KHADIJA</t>
        </is>
      </c>
      <c r="U272" s="672" t="n">
        <v>2026</v>
      </c>
      <c r="V272" s="680" t="n">
        <v>46387</v>
      </c>
      <c r="W272" s="680" t="n"/>
      <c r="X272" s="680" t="n">
        <v>46024</v>
      </c>
      <c r="Y272" s="677" t="n">
        <v>111428.46</v>
      </c>
      <c r="Z272" s="678" t="n"/>
      <c r="AA272" s="678">
        <f>Y272</f>
        <v/>
      </c>
      <c r="AB272" s="678" t="n"/>
      <c r="AC272" s="678">
        <f>Y272</f>
        <v/>
      </c>
      <c r="AD272" s="678">
        <f>AA272</f>
        <v/>
      </c>
      <c r="AE272" s="682" t="inlineStr">
        <is>
          <t>ENGAGE</t>
        </is>
      </c>
      <c r="AF272" s="681" t="n"/>
      <c r="AG272" s="678" t="n"/>
      <c r="AH272" s="678" t="n"/>
      <c r="AI272" s="678" t="n"/>
      <c r="AJ272" s="678" t="n"/>
      <c r="AK272" s="683" t="n"/>
      <c r="AL272" s="683" t="n"/>
      <c r="AM272" s="681" t="inlineStr">
        <is>
          <t>Manque n° contrat</t>
        </is>
      </c>
      <c r="AN272" s="684" t="n"/>
      <c r="AO272" s="685" t="n"/>
      <c r="AP272" s="686" t="n"/>
      <c r="AQ272" s="686" t="n"/>
      <c r="AR272" s="23" t="n"/>
      <c r="AS272" s="686" t="n"/>
    </row>
    <row r="273" ht="65.40000000000001" customHeight="1" s="392">
      <c r="A273" s="672" t="n">
        <v>2026</v>
      </c>
      <c r="B273" s="673" t="inlineStr">
        <is>
          <t>ASSADISSA</t>
        </is>
      </c>
      <c r="C273" s="673" t="inlineStr">
        <is>
          <t>PV N° : 03RC2025-DPPCCRTV</t>
        </is>
      </c>
      <c r="D273" s="672" t="inlineStr">
        <is>
          <t>CONTRAT</t>
        </is>
      </c>
      <c r="E273" s="672" t="n"/>
      <c r="F273" s="674" t="inlineStr">
        <is>
          <t>EL GHOLABZOURI BOUTHAINA  -  Réponse sur antenne TV aux questions des téléspectateurs à l'émission TV " يسألونك</t>
        </is>
      </c>
      <c r="G273" s="675" t="inlineStr">
        <is>
          <t>VALIDE</t>
        </is>
      </c>
      <c r="H273" s="672" t="inlineStr">
        <is>
          <t>APPROUVE</t>
        </is>
      </c>
      <c r="I273" s="672" t="n"/>
      <c r="J273" s="675" t="inlineStr">
        <is>
          <t>NON CONCERNE</t>
        </is>
      </c>
      <c r="K273" s="672" t="inlineStr">
        <is>
          <t>Ordinaire</t>
        </is>
      </c>
      <c r="L273" s="676" t="inlineStr">
        <is>
          <t>FONCTIONNEMENT</t>
        </is>
      </c>
      <c r="M273" s="676" t="inlineStr">
        <is>
          <t>Achats de productions et de programmes
Achat des programmes en production interne - personnes physiques</t>
        </is>
      </c>
      <c r="N273" s="677" t="n"/>
      <c r="O273" s="678" t="n"/>
      <c r="P273" s="678" t="n"/>
      <c r="Q273" s="672" t="inlineStr">
        <is>
          <t>RECONDUCTION</t>
        </is>
      </c>
      <c r="R273" s="679" t="n"/>
      <c r="S273" s="680" t="n"/>
      <c r="T273" s="681" t="inlineStr">
        <is>
          <t>EL GHOLABZOURI BOUTHAINA</t>
        </is>
      </c>
      <c r="U273" s="672" t="n">
        <v>2026</v>
      </c>
      <c r="V273" s="680" t="n">
        <v>46387</v>
      </c>
      <c r="W273" s="680" t="n"/>
      <c r="X273" s="680" t="n">
        <v>46024</v>
      </c>
      <c r="Y273" s="677" t="n">
        <v>42857.1</v>
      </c>
      <c r="Z273" s="678" t="n"/>
      <c r="AA273" s="678">
        <f>Y273</f>
        <v/>
      </c>
      <c r="AB273" s="678" t="n"/>
      <c r="AC273" s="678">
        <f>Y273</f>
        <v/>
      </c>
      <c r="AD273" s="678">
        <f>AA273</f>
        <v/>
      </c>
      <c r="AE273" s="682" t="inlineStr">
        <is>
          <t>ENGAGE</t>
        </is>
      </c>
      <c r="AF273" s="681" t="n"/>
      <c r="AG273" s="678" t="n"/>
      <c r="AH273" s="678" t="n"/>
      <c r="AI273" s="678" t="n"/>
      <c r="AJ273" s="678" t="n"/>
      <c r="AK273" s="683" t="n"/>
      <c r="AL273" s="683" t="n"/>
      <c r="AM273" s="681" t="inlineStr">
        <is>
          <t>Manque n° contrat</t>
        </is>
      </c>
      <c r="AN273" s="684" t="n"/>
      <c r="AO273" s="685" t="n"/>
      <c r="AP273" s="686" t="n"/>
      <c r="AQ273" s="686" t="n"/>
      <c r="AR273" s="23" t="n"/>
      <c r="AS273" s="686" t="n"/>
    </row>
    <row r="274" ht="65.40000000000001" customHeight="1" s="392">
      <c r="A274" s="672" t="n">
        <v>2026</v>
      </c>
      <c r="B274" s="673" t="inlineStr">
        <is>
          <t>ASSADISSA</t>
        </is>
      </c>
      <c r="C274" s="673" t="inlineStr">
        <is>
          <t>PV N° : 03RC2025-DPPCCRTV</t>
        </is>
      </c>
      <c r="D274" s="672" t="inlineStr">
        <is>
          <t>CONTRAT</t>
        </is>
      </c>
      <c r="E274" s="672" t="n"/>
      <c r="F274" s="674" t="inlineStr">
        <is>
          <t>MUSTAPHA ZAMEHNA  -  Réponse sur antenne TV aux questions des téléspectateurs à l'émission TV " يسألونك</t>
        </is>
      </c>
      <c r="G274" s="675" t="inlineStr">
        <is>
          <t>VALIDE</t>
        </is>
      </c>
      <c r="H274" s="672" t="inlineStr">
        <is>
          <t>APPROUVE</t>
        </is>
      </c>
      <c r="I274" s="672" t="n"/>
      <c r="J274" s="675" t="inlineStr">
        <is>
          <t>NON CONCERNE</t>
        </is>
      </c>
      <c r="K274" s="672" t="inlineStr">
        <is>
          <t>Ordinaire</t>
        </is>
      </c>
      <c r="L274" s="676" t="inlineStr">
        <is>
          <t>FONCTIONNEMENT</t>
        </is>
      </c>
      <c r="M274" s="676" t="inlineStr">
        <is>
          <t>Achats de productions et de programmes
Achat des programmes en production interne - personnes physiques</t>
        </is>
      </c>
      <c r="N274" s="677" t="n"/>
      <c r="O274" s="678" t="n"/>
      <c r="P274" s="678" t="n"/>
      <c r="Q274" s="672" t="inlineStr">
        <is>
          <t>RECONDUCTION</t>
        </is>
      </c>
      <c r="R274" s="679" t="n"/>
      <c r="S274" s="680" t="n"/>
      <c r="T274" s="681" t="inlineStr">
        <is>
          <t>MUSTAPHA ZAMEHNA</t>
        </is>
      </c>
      <c r="U274" s="672" t="n">
        <v>2026</v>
      </c>
      <c r="V274" s="680" t="n">
        <v>46387</v>
      </c>
      <c r="W274" s="680" t="n"/>
      <c r="X274" s="680" t="n">
        <v>46024</v>
      </c>
      <c r="Y274" s="677" t="n">
        <v>57142.8</v>
      </c>
      <c r="Z274" s="678" t="n"/>
      <c r="AA274" s="678">
        <f>Y274</f>
        <v/>
      </c>
      <c r="AB274" s="678" t="n"/>
      <c r="AC274" s="678">
        <f>Y274</f>
        <v/>
      </c>
      <c r="AD274" s="678">
        <f>AA274</f>
        <v/>
      </c>
      <c r="AE274" s="682" t="inlineStr">
        <is>
          <t>ENGAGE</t>
        </is>
      </c>
      <c r="AF274" s="681" t="n"/>
      <c r="AG274" s="678" t="n"/>
      <c r="AH274" s="678" t="n"/>
      <c r="AI274" s="678" t="n"/>
      <c r="AJ274" s="678" t="n"/>
      <c r="AK274" s="683" t="n"/>
      <c r="AL274" s="683" t="n"/>
      <c r="AM274" s="681" t="inlineStr">
        <is>
          <t>Manque n° contrat</t>
        </is>
      </c>
      <c r="AN274" s="684" t="n"/>
      <c r="AO274" s="685" t="n"/>
      <c r="AP274" s="686" t="n"/>
      <c r="AQ274" s="686" t="n"/>
      <c r="AR274" s="23" t="n"/>
      <c r="AS274" s="686" t="n"/>
    </row>
    <row r="275" ht="65.40000000000001" customHeight="1" s="392">
      <c r="A275" s="672" t="n">
        <v>2026</v>
      </c>
      <c r="B275" s="673" t="inlineStr">
        <is>
          <t>ASSADISSA</t>
        </is>
      </c>
      <c r="C275" s="673" t="inlineStr">
        <is>
          <t>PV N° : 03RC2025-DPPCCRTV</t>
        </is>
      </c>
      <c r="D275" s="672" t="inlineStr">
        <is>
          <t>CONTRAT</t>
        </is>
      </c>
      <c r="E275" s="672" t="n"/>
      <c r="F275" s="674" t="inlineStr">
        <is>
          <t>MOHAMMED EL KHIRAOUI  -  Préparation et la présentation l'émission RD "يسألونك"</t>
        </is>
      </c>
      <c r="G275" s="675" t="inlineStr">
        <is>
          <t>VALIDE</t>
        </is>
      </c>
      <c r="H275" s="672" t="inlineStr">
        <is>
          <t>APPROUVE</t>
        </is>
      </c>
      <c r="I275" s="672" t="n"/>
      <c r="J275" s="675" t="inlineStr">
        <is>
          <t>NON CONCERNE</t>
        </is>
      </c>
      <c r="K275" s="672" t="inlineStr">
        <is>
          <t>Ordinaire</t>
        </is>
      </c>
      <c r="L275" s="676" t="inlineStr">
        <is>
          <t>FONCTIONNEMENT</t>
        </is>
      </c>
      <c r="M275" s="676" t="inlineStr">
        <is>
          <t>Achats de productions et de programmes
Achat des programmes en production interne - personnes physiques</t>
        </is>
      </c>
      <c r="N275" s="677" t="n"/>
      <c r="O275" s="678" t="n"/>
      <c r="P275" s="678" t="n"/>
      <c r="Q275" s="672" t="inlineStr">
        <is>
          <t>RECONDUCTION</t>
        </is>
      </c>
      <c r="R275" s="679" t="n"/>
      <c r="S275" s="680" t="n"/>
      <c r="T275" s="681" t="inlineStr">
        <is>
          <t>MOHAMMED EL KHIRAOUI</t>
        </is>
      </c>
      <c r="U275" s="672" t="n">
        <v>2026</v>
      </c>
      <c r="V275" s="680" t="n">
        <v>46387</v>
      </c>
      <c r="W275" s="680" t="n"/>
      <c r="X275" s="680" t="n">
        <v>46024</v>
      </c>
      <c r="Y275" s="677" t="n">
        <v>142857</v>
      </c>
      <c r="Z275" s="678" t="n"/>
      <c r="AA275" s="678">
        <f>Y275</f>
        <v/>
      </c>
      <c r="AB275" s="678" t="n"/>
      <c r="AC275" s="678">
        <f>Y275</f>
        <v/>
      </c>
      <c r="AD275" s="678">
        <f>AA275</f>
        <v/>
      </c>
      <c r="AE275" s="682" t="inlineStr">
        <is>
          <t>ENGAGE</t>
        </is>
      </c>
      <c r="AF275" s="681" t="n"/>
      <c r="AG275" s="678" t="n"/>
      <c r="AH275" s="678" t="n"/>
      <c r="AI275" s="678" t="n"/>
      <c r="AJ275" s="678" t="n"/>
      <c r="AK275" s="683" t="n"/>
      <c r="AL275" s="683" t="n"/>
      <c r="AM275" s="681" t="inlineStr">
        <is>
          <t>Manque n° contrat</t>
        </is>
      </c>
      <c r="AN275" s="684" t="n"/>
      <c r="AO275" s="685" t="n"/>
      <c r="AP275" s="686" t="n"/>
      <c r="AQ275" s="686" t="n"/>
      <c r="AR275" s="23" t="n"/>
      <c r="AS275" s="686" t="n"/>
    </row>
    <row r="276" ht="65.40000000000001" customHeight="1" s="392">
      <c r="A276" s="672" t="n">
        <v>2026</v>
      </c>
      <c r="B276" s="673" t="inlineStr">
        <is>
          <t>ASSADISSA</t>
        </is>
      </c>
      <c r="C276" s="673" t="inlineStr">
        <is>
          <t>PV N° : 03RC2025-DPPCCRTV</t>
        </is>
      </c>
      <c r="D276" s="672" t="inlineStr">
        <is>
          <t>CONTRAT</t>
        </is>
      </c>
      <c r="E276" s="672" t="n"/>
      <c r="F276" s="674" t="inlineStr">
        <is>
          <t>LAYACHI QABBOUSSI  -  La préparation et présentation de l’émission TV « المسالك"</t>
        </is>
      </c>
      <c r="G276" s="675" t="inlineStr">
        <is>
          <t>VALIDE</t>
        </is>
      </c>
      <c r="H276" s="672" t="inlineStr">
        <is>
          <t>APPROUVE</t>
        </is>
      </c>
      <c r="I276" s="672" t="n"/>
      <c r="J276" s="675" t="inlineStr">
        <is>
          <t>NON CONCERNE</t>
        </is>
      </c>
      <c r="K276" s="672" t="inlineStr">
        <is>
          <t>Ordinaire</t>
        </is>
      </c>
      <c r="L276" s="676" t="inlineStr">
        <is>
          <t>FONCTIONNEMENT</t>
        </is>
      </c>
      <c r="M276" s="676" t="inlineStr">
        <is>
          <t>Achats de productions et de programmes
Achat des programmes en production interne - personnes physiques</t>
        </is>
      </c>
      <c r="N276" s="677" t="n"/>
      <c r="O276" s="678" t="n"/>
      <c r="P276" s="678" t="n"/>
      <c r="Q276" s="672" t="inlineStr">
        <is>
          <t>RECONDUCTION</t>
        </is>
      </c>
      <c r="R276" s="679" t="n"/>
      <c r="S276" s="680" t="n"/>
      <c r="T276" s="681" t="inlineStr">
        <is>
          <t>LAYACHI QABBOUSSI</t>
        </is>
      </c>
      <c r="U276" s="672" t="n">
        <v>2026</v>
      </c>
      <c r="V276" s="680" t="n">
        <v>46387</v>
      </c>
      <c r="W276" s="680" t="n"/>
      <c r="X276" s="680" t="n">
        <v>46024</v>
      </c>
      <c r="Y276" s="677" t="n">
        <v>99000</v>
      </c>
      <c r="Z276" s="678" t="n"/>
      <c r="AA276" s="678">
        <f>Y276</f>
        <v/>
      </c>
      <c r="AB276" s="678" t="n"/>
      <c r="AC276" s="678">
        <f>Y276</f>
        <v/>
      </c>
      <c r="AD276" s="678">
        <f>AA276</f>
        <v/>
      </c>
      <c r="AE276" s="682" t="inlineStr">
        <is>
          <t>ENGAGE</t>
        </is>
      </c>
      <c r="AF276" s="681" t="n"/>
      <c r="AG276" s="678" t="n"/>
      <c r="AH276" s="678" t="n"/>
      <c r="AI276" s="678" t="n"/>
      <c r="AJ276" s="678" t="n"/>
      <c r="AK276" s="683" t="n"/>
      <c r="AL276" s="683" t="n"/>
      <c r="AM276" s="681" t="inlineStr">
        <is>
          <t>Manque n° contrat</t>
        </is>
      </c>
      <c r="AN276" s="684" t="n"/>
      <c r="AO276" s="685" t="n"/>
      <c r="AP276" s="686" t="n"/>
      <c r="AQ276" s="686" t="n"/>
      <c r="AR276" s="23" t="n"/>
      <c r="AS276" s="686" t="n"/>
    </row>
    <row r="277" ht="65.40000000000001" customHeight="1" s="392">
      <c r="A277" s="672" t="n">
        <v>2026</v>
      </c>
      <c r="B277" s="673" t="inlineStr">
        <is>
          <t>ASSADISSA</t>
        </is>
      </c>
      <c r="C277" s="673" t="inlineStr">
        <is>
          <t>PV N° : 03RC2025-DPPCCRTV</t>
        </is>
      </c>
      <c r="D277" s="672" t="inlineStr">
        <is>
          <t>CONTRAT</t>
        </is>
      </c>
      <c r="E277" s="672" t="n"/>
      <c r="F277" s="674" t="inlineStr">
        <is>
          <t>YOUSSEF ENNACIRI  -  La préparation et la présentation de l'émission TV " السيرة النبوية قضايا وأعلام"</t>
        </is>
      </c>
      <c r="G277" s="675" t="inlineStr">
        <is>
          <t>VALIDE</t>
        </is>
      </c>
      <c r="H277" s="672" t="inlineStr">
        <is>
          <t>APPROUVE</t>
        </is>
      </c>
      <c r="I277" s="672" t="n"/>
      <c r="J277" s="675" t="inlineStr">
        <is>
          <t>NON CONCERNE</t>
        </is>
      </c>
      <c r="K277" s="672" t="inlineStr">
        <is>
          <t>Ordinaire</t>
        </is>
      </c>
      <c r="L277" s="676" t="inlineStr">
        <is>
          <t>FONCTIONNEMENT</t>
        </is>
      </c>
      <c r="M277" s="676" t="inlineStr">
        <is>
          <t>Achats de productions et de programmes
Achat des programmes en production interne - personnes physiques</t>
        </is>
      </c>
      <c r="N277" s="677" t="n"/>
      <c r="O277" s="678" t="n"/>
      <c r="P277" s="678" t="n"/>
      <c r="Q277" s="672" t="inlineStr">
        <is>
          <t>RECONDUCTION</t>
        </is>
      </c>
      <c r="R277" s="679" t="n"/>
      <c r="S277" s="680" t="n"/>
      <c r="T277" s="681" t="inlineStr">
        <is>
          <t>YOUSSEF ENNACIRI</t>
        </is>
      </c>
      <c r="U277" s="672" t="n">
        <v>2026</v>
      </c>
      <c r="V277" s="680" t="n">
        <v>46387</v>
      </c>
      <c r="W277" s="680" t="n"/>
      <c r="X277" s="680" t="n">
        <v>46024</v>
      </c>
      <c r="Y277" s="677" t="n">
        <v>99000</v>
      </c>
      <c r="Z277" s="678" t="n"/>
      <c r="AA277" s="678">
        <f>Y277</f>
        <v/>
      </c>
      <c r="AB277" s="678" t="n"/>
      <c r="AC277" s="678">
        <f>Y277</f>
        <v/>
      </c>
      <c r="AD277" s="678">
        <f>AA277</f>
        <v/>
      </c>
      <c r="AE277" s="682" t="inlineStr">
        <is>
          <t>ENGAGE</t>
        </is>
      </c>
      <c r="AF277" s="681" t="n"/>
      <c r="AG277" s="678" t="n"/>
      <c r="AH277" s="678" t="n"/>
      <c r="AI277" s="678" t="n"/>
      <c r="AJ277" s="678" t="n"/>
      <c r="AK277" s="683" t="n"/>
      <c r="AL277" s="683" t="n"/>
      <c r="AM277" s="681" t="inlineStr">
        <is>
          <t>Manque n° contrat</t>
        </is>
      </c>
      <c r="AN277" s="684" t="n"/>
      <c r="AO277" s="685" t="n"/>
      <c r="AP277" s="686" t="n"/>
      <c r="AQ277" s="686" t="n"/>
      <c r="AR277" s="23" t="n"/>
      <c r="AS277" s="686" t="n"/>
    </row>
    <row r="278" ht="65.40000000000001" customHeight="1" s="392">
      <c r="A278" s="672" t="n">
        <v>2026</v>
      </c>
      <c r="B278" s="673" t="inlineStr">
        <is>
          <t>ASSADISSA</t>
        </is>
      </c>
      <c r="C278" s="673" t="inlineStr">
        <is>
          <t>PV N° : 03RC2025-DPPCCRTV</t>
        </is>
      </c>
      <c r="D278" s="672" t="inlineStr">
        <is>
          <t>CONTRAT</t>
        </is>
      </c>
      <c r="E278" s="672" t="n"/>
      <c r="F278" s="674" t="inlineStr">
        <is>
          <t>LAMINE ABDERRAHIM  -  Réponse sur antenne RD aux questions des auditeurs à l'émission RD "يسألونك" / La préparation de l'émission TV "الدين و القانون"</t>
        </is>
      </c>
      <c r="G278" s="675" t="inlineStr">
        <is>
          <t>VALIDE</t>
        </is>
      </c>
      <c r="H278" s="672" t="inlineStr">
        <is>
          <t>APPROUVE</t>
        </is>
      </c>
      <c r="I278" s="672" t="n"/>
      <c r="J278" s="675" t="inlineStr">
        <is>
          <t>NON CONCERNE</t>
        </is>
      </c>
      <c r="K278" s="672" t="inlineStr">
        <is>
          <t>Ordinaire</t>
        </is>
      </c>
      <c r="L278" s="676" t="inlineStr">
        <is>
          <t>FONCTIONNEMENT</t>
        </is>
      </c>
      <c r="M278" s="676" t="inlineStr">
        <is>
          <t>Achats de productions et de programmes
Achat des programmes en production interne - personnes physiques</t>
        </is>
      </c>
      <c r="N278" s="677" t="n"/>
      <c r="O278" s="678" t="n"/>
      <c r="P278" s="678" t="n"/>
      <c r="Q278" s="672" t="inlineStr">
        <is>
          <t>RECONDUCTION</t>
        </is>
      </c>
      <c r="R278" s="679" t="n"/>
      <c r="S278" s="680" t="n"/>
      <c r="T278" s="681" t="inlineStr">
        <is>
          <t>LAMINE ABDERRAHIM</t>
        </is>
      </c>
      <c r="U278" s="672" t="n">
        <v>2026</v>
      </c>
      <c r="V278" s="680" t="n">
        <v>46387</v>
      </c>
      <c r="W278" s="680" t="n"/>
      <c r="X278" s="680" t="n">
        <v>46024</v>
      </c>
      <c r="Y278" s="677" t="n">
        <v>146571.36</v>
      </c>
      <c r="Z278" s="678" t="n"/>
      <c r="AA278" s="678">
        <f>Y278</f>
        <v/>
      </c>
      <c r="AB278" s="678" t="n"/>
      <c r="AC278" s="678">
        <f>Y278</f>
        <v/>
      </c>
      <c r="AD278" s="678">
        <f>AA278</f>
        <v/>
      </c>
      <c r="AE278" s="682" t="inlineStr">
        <is>
          <t>ENGAGE</t>
        </is>
      </c>
      <c r="AF278" s="681" t="n"/>
      <c r="AG278" s="678" t="n"/>
      <c r="AH278" s="678" t="n"/>
      <c r="AI278" s="678" t="n"/>
      <c r="AJ278" s="678" t="n"/>
      <c r="AK278" s="683" t="n"/>
      <c r="AL278" s="683" t="n"/>
      <c r="AM278" s="681" t="inlineStr">
        <is>
          <t>Manque n° contrat</t>
        </is>
      </c>
      <c r="AN278" s="684" t="n"/>
      <c r="AO278" s="685" t="n"/>
      <c r="AP278" s="686" t="n"/>
      <c r="AQ278" s="686" t="n"/>
      <c r="AR278" s="23" t="n"/>
      <c r="AS278" s="686" t="n"/>
    </row>
    <row r="279" ht="65.40000000000001" customHeight="1" s="392">
      <c r="A279" s="672" t="n">
        <v>2026</v>
      </c>
      <c r="B279" s="673" t="inlineStr">
        <is>
          <t>ASSADISSA</t>
        </is>
      </c>
      <c r="C279" s="673" t="inlineStr">
        <is>
          <t>PV N° : 03RC2025-DPPCCRTV</t>
        </is>
      </c>
      <c r="D279" s="672" t="inlineStr">
        <is>
          <t>CONTRAT</t>
        </is>
      </c>
      <c r="E279" s="672" t="n"/>
      <c r="F279" s="674" t="inlineStr">
        <is>
          <t>ZERRAD NAWAL  -  La préparation et la présentation de la capsule RD "حكم من القرآن و السنة".</t>
        </is>
      </c>
      <c r="G279" s="675" t="inlineStr">
        <is>
          <t>VALIDE</t>
        </is>
      </c>
      <c r="H279" s="672" t="inlineStr">
        <is>
          <t>APPROUVE</t>
        </is>
      </c>
      <c r="I279" s="672" t="n"/>
      <c r="J279" s="675" t="inlineStr">
        <is>
          <t>NON CONCERNE</t>
        </is>
      </c>
      <c r="K279" s="672" t="inlineStr">
        <is>
          <t>Ordinaire</t>
        </is>
      </c>
      <c r="L279" s="676" t="inlineStr">
        <is>
          <t>FONCTIONNEMENT</t>
        </is>
      </c>
      <c r="M279" s="676" t="inlineStr">
        <is>
          <t>Achats de productions et de programmes
Achat des programmes en production interne - personnes physiques</t>
        </is>
      </c>
      <c r="N279" s="677" t="n"/>
      <c r="O279" s="678" t="n"/>
      <c r="P279" s="678" t="n"/>
      <c r="Q279" s="672" t="inlineStr">
        <is>
          <t>RECONDUCTION</t>
        </is>
      </c>
      <c r="R279" s="679" t="n"/>
      <c r="S279" s="680" t="n"/>
      <c r="T279" s="681" t="inlineStr">
        <is>
          <t>ZERRAD NAWAL</t>
        </is>
      </c>
      <c r="U279" s="672" t="n">
        <v>2026</v>
      </c>
      <c r="V279" s="680" t="n">
        <v>46387</v>
      </c>
      <c r="W279" s="680" t="n"/>
      <c r="X279" s="680" t="n">
        <v>46024</v>
      </c>
      <c r="Y279" s="677" t="n">
        <v>12000</v>
      </c>
      <c r="Z279" s="678" t="n"/>
      <c r="AA279" s="678">
        <f>Y279</f>
        <v/>
      </c>
      <c r="AB279" s="678" t="n"/>
      <c r="AC279" s="678">
        <f>Y279</f>
        <v/>
      </c>
      <c r="AD279" s="678">
        <f>AA279</f>
        <v/>
      </c>
      <c r="AE279" s="682" t="inlineStr">
        <is>
          <t>ENGAGE</t>
        </is>
      </c>
      <c r="AF279" s="681" t="n"/>
      <c r="AG279" s="678" t="n"/>
      <c r="AH279" s="678" t="n"/>
      <c r="AI279" s="678" t="n"/>
      <c r="AJ279" s="678" t="n"/>
      <c r="AK279" s="683" t="n"/>
      <c r="AL279" s="683" t="n"/>
      <c r="AM279" s="681" t="inlineStr">
        <is>
          <t>Manque n° contrat</t>
        </is>
      </c>
      <c r="AN279" s="684" t="n"/>
      <c r="AO279" s="685" t="n"/>
      <c r="AP279" s="686" t="n"/>
      <c r="AQ279" s="686" t="n"/>
      <c r="AR279" s="23" t="n"/>
      <c r="AS279" s="686" t="n"/>
    </row>
    <row r="280" ht="65.40000000000001" customHeight="1" s="392">
      <c r="A280" s="672" t="n">
        <v>2026</v>
      </c>
      <c r="B280" s="673" t="inlineStr">
        <is>
          <t>ASSADISSA</t>
        </is>
      </c>
      <c r="C280" s="673" t="inlineStr">
        <is>
          <t>PV N° : 03RC2025-DPPCCRTV</t>
        </is>
      </c>
      <c r="D280" s="672" t="inlineStr">
        <is>
          <t>CONTRAT</t>
        </is>
      </c>
      <c r="E280" s="672" t="n"/>
      <c r="F280" s="674" t="inlineStr">
        <is>
          <t>AHMED BENMAHANE  -  La préparation et la Présentation de l'émission TV "براعم القراء" / La Préparation et la présentation de l'émission RD "مواهب التجويد"</t>
        </is>
      </c>
      <c r="G280" s="675" t="inlineStr">
        <is>
          <t>VALIDE</t>
        </is>
      </c>
      <c r="H280" s="672" t="inlineStr">
        <is>
          <t>APPROUVE</t>
        </is>
      </c>
      <c r="I280" s="672" t="n"/>
      <c r="J280" s="675" t="inlineStr">
        <is>
          <t>NON CONCERNE</t>
        </is>
      </c>
      <c r="K280" s="672" t="inlineStr">
        <is>
          <t>Ordinaire</t>
        </is>
      </c>
      <c r="L280" s="676" t="inlineStr">
        <is>
          <t>FONCTIONNEMENT</t>
        </is>
      </c>
      <c r="M280" s="676" t="inlineStr">
        <is>
          <t>Achats de productions et de programmes
Achat des programmes en production interne - personnes physiques</t>
        </is>
      </c>
      <c r="N280" s="677" t="n"/>
      <c r="O280" s="678" t="n"/>
      <c r="P280" s="678" t="n"/>
      <c r="Q280" s="672" t="inlineStr">
        <is>
          <t>RECONDUCTION</t>
        </is>
      </c>
      <c r="R280" s="679" t="n"/>
      <c r="S280" s="680" t="n"/>
      <c r="T280" s="681" t="inlineStr">
        <is>
          <t>AHMED BENMAHANE</t>
        </is>
      </c>
      <c r="U280" s="672" t="n">
        <v>2026</v>
      </c>
      <c r="V280" s="680" t="n">
        <v>46387</v>
      </c>
      <c r="W280" s="680" t="n"/>
      <c r="X280" s="680" t="n">
        <v>46024</v>
      </c>
      <c r="Y280" s="677" t="n">
        <v>185280</v>
      </c>
      <c r="Z280" s="678" t="n"/>
      <c r="AA280" s="678">
        <f>Y280</f>
        <v/>
      </c>
      <c r="AB280" s="678" t="n"/>
      <c r="AC280" s="678">
        <f>Y280</f>
        <v/>
      </c>
      <c r="AD280" s="678">
        <f>AA280</f>
        <v/>
      </c>
      <c r="AE280" s="682" t="inlineStr">
        <is>
          <t>ENGAGE</t>
        </is>
      </c>
      <c r="AF280" s="681" t="n"/>
      <c r="AG280" s="678" t="n"/>
      <c r="AH280" s="678" t="n"/>
      <c r="AI280" s="678" t="n"/>
      <c r="AJ280" s="678" t="n"/>
      <c r="AK280" s="683" t="n"/>
      <c r="AL280" s="683" t="n"/>
      <c r="AM280" s="681" t="inlineStr">
        <is>
          <t>Manque n° contrat</t>
        </is>
      </c>
      <c r="AN280" s="684" t="n"/>
      <c r="AO280" s="685" t="n"/>
      <c r="AP280" s="686" t="n"/>
      <c r="AQ280" s="686" t="n"/>
      <c r="AR280" s="23" t="n"/>
      <c r="AS280" s="686" t="n"/>
    </row>
    <row r="281" ht="65.40000000000001" customHeight="1" s="392">
      <c r="A281" s="672" t="n">
        <v>2026</v>
      </c>
      <c r="B281" s="673" t="inlineStr">
        <is>
          <t>ASSADISSA</t>
        </is>
      </c>
      <c r="C281" s="673" t="inlineStr">
        <is>
          <t>PV N° : 03RC2025-DPPCCRTV</t>
        </is>
      </c>
      <c r="D281" s="672" t="inlineStr">
        <is>
          <t>CONTRAT</t>
        </is>
      </c>
      <c r="E281" s="672" t="n"/>
      <c r="F281" s="674" t="inlineStr">
        <is>
          <t>FATOUHI HICHAM  -  La préparation de l'émission TV "الدين و القانون" / La présentation de la capsule RD " ''كمالات محمدية''</t>
        </is>
      </c>
      <c r="G281" s="675" t="inlineStr">
        <is>
          <t>VALIDE</t>
        </is>
      </c>
      <c r="H281" s="672" t="inlineStr">
        <is>
          <t>APPROUVE</t>
        </is>
      </c>
      <c r="I281" s="672" t="n"/>
      <c r="J281" s="675" t="inlineStr">
        <is>
          <t>NON CONCERNE</t>
        </is>
      </c>
      <c r="K281" s="672" t="inlineStr">
        <is>
          <t>Ordinaire</t>
        </is>
      </c>
      <c r="L281" s="676" t="inlineStr">
        <is>
          <t>FONCTIONNEMENT</t>
        </is>
      </c>
      <c r="M281" s="676" t="inlineStr">
        <is>
          <t>Achats de productions et de programmes
Achat des programmes en production interne - personnes physiques</t>
        </is>
      </c>
      <c r="N281" s="677" t="n"/>
      <c r="O281" s="678" t="n"/>
      <c r="P281" s="678" t="n"/>
      <c r="Q281" s="672" t="inlineStr">
        <is>
          <t>RECONDUCTION</t>
        </is>
      </c>
      <c r="R281" s="679" t="n"/>
      <c r="S281" s="680" t="n"/>
      <c r="T281" s="681" t="inlineStr">
        <is>
          <t>FATOUHI HICHAM</t>
        </is>
      </c>
      <c r="U281" s="672" t="n">
        <v>2026</v>
      </c>
      <c r="V281" s="680" t="n">
        <v>46387</v>
      </c>
      <c r="W281" s="680" t="n"/>
      <c r="X281" s="680" t="n">
        <v>46024</v>
      </c>
      <c r="Y281" s="677" t="n">
        <v>138000</v>
      </c>
      <c r="Z281" s="678" t="n"/>
      <c r="AA281" s="678">
        <f>Y281</f>
        <v/>
      </c>
      <c r="AB281" s="678" t="n"/>
      <c r="AC281" s="678">
        <f>Y281</f>
        <v/>
      </c>
      <c r="AD281" s="678">
        <f>AA281</f>
        <v/>
      </c>
      <c r="AE281" s="682" t="inlineStr">
        <is>
          <t>ENGAGE</t>
        </is>
      </c>
      <c r="AF281" s="681" t="n"/>
      <c r="AG281" s="678" t="n"/>
      <c r="AH281" s="678" t="n"/>
      <c r="AI281" s="678" t="n"/>
      <c r="AJ281" s="678" t="n"/>
      <c r="AK281" s="683" t="n"/>
      <c r="AL281" s="683" t="n"/>
      <c r="AM281" s="681" t="inlineStr">
        <is>
          <t>Manque n° contrat</t>
        </is>
      </c>
      <c r="AN281" s="684" t="n"/>
      <c r="AO281" s="685" t="n"/>
      <c r="AP281" s="686" t="n"/>
      <c r="AQ281" s="686" t="n"/>
      <c r="AR281" s="23" t="n"/>
      <c r="AS281" s="686" t="n"/>
    </row>
    <row r="282" ht="65.40000000000001" customHeight="1" s="392">
      <c r="A282" s="672" t="n">
        <v>2026</v>
      </c>
      <c r="B282" s="673" t="inlineStr">
        <is>
          <t>ASSADISSA</t>
        </is>
      </c>
      <c r="C282" s="673" t="inlineStr">
        <is>
          <t>PV N° : 03RC2025-DPPCCRTV</t>
        </is>
      </c>
      <c r="D282" s="672" t="inlineStr">
        <is>
          <t>CONTRAT</t>
        </is>
      </c>
      <c r="E282" s="672" t="n"/>
      <c r="F282" s="674" t="inlineStr">
        <is>
          <t>MOHAMED THAMI EL HARRAK  -  La préparation de la capsule RD " ''كمالات محمدية''</t>
        </is>
      </c>
      <c r="G282" s="675" t="inlineStr">
        <is>
          <t>VALIDE</t>
        </is>
      </c>
      <c r="H282" s="672" t="inlineStr">
        <is>
          <t>APPROUVE</t>
        </is>
      </c>
      <c r="I282" s="672" t="n"/>
      <c r="J282" s="675" t="inlineStr">
        <is>
          <t>NON CONCERNE</t>
        </is>
      </c>
      <c r="K282" s="672" t="inlineStr">
        <is>
          <t>Ordinaire</t>
        </is>
      </c>
      <c r="L282" s="676" t="inlineStr">
        <is>
          <t>FONCTIONNEMENT</t>
        </is>
      </c>
      <c r="M282" s="676" t="inlineStr">
        <is>
          <t>Achats de productions et de programmes
Achat des programmes en production interne - personnes physiques</t>
        </is>
      </c>
      <c r="N282" s="677" t="n"/>
      <c r="O282" s="678" t="n"/>
      <c r="P282" s="678" t="n"/>
      <c r="Q282" s="672" t="inlineStr">
        <is>
          <t>RECONDUCTION</t>
        </is>
      </c>
      <c r="R282" s="679" t="n"/>
      <c r="S282" s="680" t="n"/>
      <c r="T282" s="681" t="inlineStr">
        <is>
          <t>MOHAMED THAMI EL HARRAK</t>
        </is>
      </c>
      <c r="U282" s="672" t="n">
        <v>2026</v>
      </c>
      <c r="V282" s="680" t="n">
        <v>46387</v>
      </c>
      <c r="W282" s="680" t="n"/>
      <c r="X282" s="680" t="n">
        <v>46024</v>
      </c>
      <c r="Y282" s="677" t="n">
        <v>60000</v>
      </c>
      <c r="Z282" s="678" t="n"/>
      <c r="AA282" s="678">
        <f>Y282</f>
        <v/>
      </c>
      <c r="AB282" s="678" t="n"/>
      <c r="AC282" s="678">
        <f>Y282</f>
        <v/>
      </c>
      <c r="AD282" s="678">
        <f>AA282</f>
        <v/>
      </c>
      <c r="AE282" s="682" t="inlineStr">
        <is>
          <t>ENGAGE</t>
        </is>
      </c>
      <c r="AF282" s="681" t="n"/>
      <c r="AG282" s="678" t="n"/>
      <c r="AH282" s="678" t="n"/>
      <c r="AI282" s="678" t="n"/>
      <c r="AJ282" s="678" t="n"/>
      <c r="AK282" s="683" t="n"/>
      <c r="AL282" s="683" t="n"/>
      <c r="AM282" s="681" t="inlineStr">
        <is>
          <t>Manque n° contrat</t>
        </is>
      </c>
      <c r="AN282" s="684" t="n"/>
      <c r="AO282" s="685" t="n"/>
      <c r="AP282" s="686" t="n"/>
      <c r="AQ282" s="686" t="n"/>
      <c r="AR282" s="23" t="n"/>
      <c r="AS282" s="686" t="n"/>
    </row>
    <row r="283" ht="65.40000000000001" customHeight="1" s="392">
      <c r="A283" s="672" t="n">
        <v>2026</v>
      </c>
      <c r="B283" s="673" t="inlineStr">
        <is>
          <t>ASSADISSA</t>
        </is>
      </c>
      <c r="C283" s="673" t="inlineStr">
        <is>
          <t>PV N° : 03RC2025-DPPCCRTV</t>
        </is>
      </c>
      <c r="D283" s="672" t="inlineStr">
        <is>
          <t>CONTRAT</t>
        </is>
      </c>
      <c r="E283" s="672" t="n"/>
      <c r="F283" s="674" t="inlineStr">
        <is>
          <t>ILYASSE BENNANI  -  La préparation et la présentation de la capsule RD ''ومضات حول الثوابت''</t>
        </is>
      </c>
      <c r="G283" s="675" t="inlineStr">
        <is>
          <t>VALIDE</t>
        </is>
      </c>
      <c r="H283" s="672" t="inlineStr">
        <is>
          <t>APPROUVE</t>
        </is>
      </c>
      <c r="I283" s="672" t="n"/>
      <c r="J283" s="675" t="inlineStr">
        <is>
          <t>NON CONCERNE</t>
        </is>
      </c>
      <c r="K283" s="672" t="inlineStr">
        <is>
          <t>Ordinaire</t>
        </is>
      </c>
      <c r="L283" s="676" t="inlineStr">
        <is>
          <t>FONCTIONNEMENT</t>
        </is>
      </c>
      <c r="M283" s="676" t="inlineStr">
        <is>
          <t>Achats de productions et de programmes
Achat des programmes en production interne - personnes physiques</t>
        </is>
      </c>
      <c r="N283" s="677" t="n"/>
      <c r="O283" s="678" t="n"/>
      <c r="P283" s="678" t="n"/>
      <c r="Q283" s="672" t="inlineStr">
        <is>
          <t>RECONDUCTION</t>
        </is>
      </c>
      <c r="R283" s="679" t="n"/>
      <c r="S283" s="680" t="n"/>
      <c r="T283" s="681" t="inlineStr">
        <is>
          <t>ILYASSE BENNANI</t>
        </is>
      </c>
      <c r="U283" s="672" t="n">
        <v>2026</v>
      </c>
      <c r="V283" s="680" t="n">
        <v>46387</v>
      </c>
      <c r="W283" s="680" t="n"/>
      <c r="X283" s="680" t="n">
        <v>46024</v>
      </c>
      <c r="Y283" s="677" t="n">
        <v>54000</v>
      </c>
      <c r="Z283" s="678" t="n"/>
      <c r="AA283" s="678">
        <f>Y283</f>
        <v/>
      </c>
      <c r="AB283" s="678" t="n"/>
      <c r="AC283" s="678">
        <f>Y283</f>
        <v/>
      </c>
      <c r="AD283" s="678">
        <f>AA283</f>
        <v/>
      </c>
      <c r="AE283" s="682" t="inlineStr">
        <is>
          <t>ENGAGE</t>
        </is>
      </c>
      <c r="AF283" s="681" t="n"/>
      <c r="AG283" s="678" t="n"/>
      <c r="AH283" s="678" t="n"/>
      <c r="AI283" s="678" t="n"/>
      <c r="AJ283" s="678" t="n"/>
      <c r="AK283" s="683" t="n"/>
      <c r="AL283" s="683" t="n"/>
      <c r="AM283" s="681" t="inlineStr">
        <is>
          <t>Manque n° contrat</t>
        </is>
      </c>
      <c r="AN283" s="684" t="n"/>
      <c r="AO283" s="685" t="n"/>
      <c r="AP283" s="686" t="n"/>
      <c r="AQ283" s="686" t="n"/>
      <c r="AR283" s="23" t="n"/>
      <c r="AS283" s="686" t="n"/>
    </row>
    <row r="284" ht="65.40000000000001" customHeight="1" s="392">
      <c r="A284" s="672" t="n">
        <v>2026</v>
      </c>
      <c r="B284" s="673" t="inlineStr">
        <is>
          <t>ASSADISSA</t>
        </is>
      </c>
      <c r="C284" s="673" t="inlineStr">
        <is>
          <t>PV N° : 03RC2025-DPPCCRTV</t>
        </is>
      </c>
      <c r="D284" s="672" t="inlineStr">
        <is>
          <t>CONTRAT</t>
        </is>
      </c>
      <c r="E284" s="672" t="n"/>
      <c r="F284" s="674" t="inlineStr">
        <is>
          <t>HAMDAOUI FATIHA  -  La préparation et la présentation de l'émission RD "طفل يقرأ"</t>
        </is>
      </c>
      <c r="G284" s="675" t="inlineStr">
        <is>
          <t>VALIDE</t>
        </is>
      </c>
      <c r="H284" s="672" t="inlineStr">
        <is>
          <t>APPROUVE</t>
        </is>
      </c>
      <c r="I284" s="672" t="n"/>
      <c r="J284" s="675" t="inlineStr">
        <is>
          <t>NON CONCERNE</t>
        </is>
      </c>
      <c r="K284" s="672" t="inlineStr">
        <is>
          <t>Ordinaire</t>
        </is>
      </c>
      <c r="L284" s="676" t="inlineStr">
        <is>
          <t>FONCTIONNEMENT</t>
        </is>
      </c>
      <c r="M284" s="676" t="inlineStr">
        <is>
          <t>Achats de productions et de programmes
Achat des programmes en production interne - personnes physiques</t>
        </is>
      </c>
      <c r="N284" s="677" t="n"/>
      <c r="O284" s="678" t="n"/>
      <c r="P284" s="678" t="n"/>
      <c r="Q284" s="672" t="inlineStr">
        <is>
          <t>RECONDUCTION</t>
        </is>
      </c>
      <c r="R284" s="679" t="n"/>
      <c r="S284" s="680" t="n"/>
      <c r="T284" s="681" t="inlineStr">
        <is>
          <t>HAMDAOUI FATIHA</t>
        </is>
      </c>
      <c r="U284" s="672" t="n">
        <v>2026</v>
      </c>
      <c r="V284" s="680" t="n">
        <v>46387</v>
      </c>
      <c r="W284" s="680" t="n"/>
      <c r="X284" s="680" t="n">
        <v>46024</v>
      </c>
      <c r="Y284" s="677" t="n">
        <v>60000</v>
      </c>
      <c r="Z284" s="678" t="n"/>
      <c r="AA284" s="678">
        <f>Y284</f>
        <v/>
      </c>
      <c r="AB284" s="678" t="n"/>
      <c r="AC284" s="678">
        <f>Y284</f>
        <v/>
      </c>
      <c r="AD284" s="678">
        <f>AA284</f>
        <v/>
      </c>
      <c r="AE284" s="682" t="inlineStr">
        <is>
          <t>ENGAGE</t>
        </is>
      </c>
      <c r="AF284" s="681" t="n"/>
      <c r="AG284" s="678" t="n"/>
      <c r="AH284" s="678" t="n"/>
      <c r="AI284" s="678" t="n"/>
      <c r="AJ284" s="678" t="n"/>
      <c r="AK284" s="683" t="n"/>
      <c r="AL284" s="683" t="n"/>
      <c r="AM284" s="681" t="inlineStr">
        <is>
          <t>Manque n° contrat</t>
        </is>
      </c>
      <c r="AN284" s="684" t="n"/>
      <c r="AO284" s="685" t="n"/>
      <c r="AP284" s="686" t="n"/>
      <c r="AQ284" s="686" t="n"/>
      <c r="AR284" s="23" t="n"/>
      <c r="AS284" s="686" t="n"/>
    </row>
    <row r="285" ht="65.40000000000001" customHeight="1" s="392">
      <c r="A285" s="672" t="n">
        <v>2026</v>
      </c>
      <c r="B285" s="673" t="inlineStr">
        <is>
          <t>ASSADISSA</t>
        </is>
      </c>
      <c r="C285" s="673" t="inlineStr">
        <is>
          <t>PV N° : 03RC2025-DPPCCRTV</t>
        </is>
      </c>
      <c r="D285" s="672" t="inlineStr">
        <is>
          <t>CONTRAT</t>
        </is>
      </c>
      <c r="E285" s="672" t="n"/>
      <c r="F285" s="674" t="inlineStr">
        <is>
          <t>MOHCIN NORCH  -  La préparation et la présentation de l'émission RD "محافل السماع".</t>
        </is>
      </c>
      <c r="G285" s="675" t="inlineStr">
        <is>
          <t>VALIDE</t>
        </is>
      </c>
      <c r="H285" s="672" t="inlineStr">
        <is>
          <t>APPROUVE</t>
        </is>
      </c>
      <c r="I285" s="672" t="n"/>
      <c r="J285" s="675" t="inlineStr">
        <is>
          <t>NON CONCERNE</t>
        </is>
      </c>
      <c r="K285" s="672" t="inlineStr">
        <is>
          <t>Ordinaire</t>
        </is>
      </c>
      <c r="L285" s="676" t="inlineStr">
        <is>
          <t>FONCTIONNEMENT</t>
        </is>
      </c>
      <c r="M285" s="676" t="inlineStr">
        <is>
          <t>Achats de productions et de programmes
Achat des programmes en production interne - personnes physiques</t>
        </is>
      </c>
      <c r="N285" s="677" t="n"/>
      <c r="O285" s="678" t="n"/>
      <c r="P285" s="678" t="n"/>
      <c r="Q285" s="672" t="inlineStr">
        <is>
          <t>RECONDUCTION</t>
        </is>
      </c>
      <c r="R285" s="679" t="n"/>
      <c r="S285" s="680" t="n"/>
      <c r="T285" s="681" t="inlineStr">
        <is>
          <t>MOHCIN NORCH</t>
        </is>
      </c>
      <c r="U285" s="672" t="n">
        <v>2026</v>
      </c>
      <c r="V285" s="680" t="n">
        <v>46387</v>
      </c>
      <c r="W285" s="680" t="n"/>
      <c r="X285" s="680" t="n">
        <v>46024</v>
      </c>
      <c r="Y285" s="677" t="n">
        <v>100000</v>
      </c>
      <c r="Z285" s="678" t="n"/>
      <c r="AA285" s="678">
        <f>Y285</f>
        <v/>
      </c>
      <c r="AB285" s="678" t="n"/>
      <c r="AC285" s="678">
        <f>Y285</f>
        <v/>
      </c>
      <c r="AD285" s="678">
        <f>AA285</f>
        <v/>
      </c>
      <c r="AE285" s="682" t="inlineStr">
        <is>
          <t>ENGAGE</t>
        </is>
      </c>
      <c r="AF285" s="681" t="n"/>
      <c r="AG285" s="678" t="n"/>
      <c r="AH285" s="678" t="n"/>
      <c r="AI285" s="678" t="n"/>
      <c r="AJ285" s="678" t="n"/>
      <c r="AK285" s="683" t="n"/>
      <c r="AL285" s="683" t="n"/>
      <c r="AM285" s="681" t="inlineStr">
        <is>
          <t>Manque n° contrat</t>
        </is>
      </c>
      <c r="AN285" s="684" t="n"/>
      <c r="AO285" s="685" t="n"/>
      <c r="AP285" s="686" t="n"/>
      <c r="AQ285" s="686" t="n"/>
      <c r="AR285" s="23" t="n"/>
      <c r="AS285" s="686" t="n"/>
    </row>
    <row r="286" ht="65.40000000000001" customHeight="1" s="392">
      <c r="A286" s="672" t="n">
        <v>2026</v>
      </c>
      <c r="B286" s="673" t="inlineStr">
        <is>
          <t>ASSADISSA</t>
        </is>
      </c>
      <c r="C286" s="673" t="inlineStr">
        <is>
          <t>PV N° : 03RC2025-DPPCCRTV</t>
        </is>
      </c>
      <c r="D286" s="672" t="inlineStr">
        <is>
          <t>CONTRAT</t>
        </is>
      </c>
      <c r="E286" s="672" t="n"/>
      <c r="F286" s="674" t="inlineStr">
        <is>
          <t>HADDAD ZAKIA   -  La préparation et la présentation de l’émission RD"تاريخ وحضارة".</t>
        </is>
      </c>
      <c r="G286" s="675" t="inlineStr">
        <is>
          <t>VALIDE</t>
        </is>
      </c>
      <c r="H286" s="672" t="inlineStr">
        <is>
          <t>APPROUVE</t>
        </is>
      </c>
      <c r="I286" s="672" t="n"/>
      <c r="J286" s="675" t="inlineStr">
        <is>
          <t>NON CONCERNE</t>
        </is>
      </c>
      <c r="K286" s="672" t="inlineStr">
        <is>
          <t>Ordinaire</t>
        </is>
      </c>
      <c r="L286" s="676" t="inlineStr">
        <is>
          <t>FONCTIONNEMENT</t>
        </is>
      </c>
      <c r="M286" s="676" t="inlineStr">
        <is>
          <t>Achats de productions et de programmes
Achat des programmes en production interne - personnes physiques</t>
        </is>
      </c>
      <c r="N286" s="677" t="n"/>
      <c r="O286" s="678" t="n"/>
      <c r="P286" s="678" t="n"/>
      <c r="Q286" s="672" t="inlineStr">
        <is>
          <t>RECONDUCTION</t>
        </is>
      </c>
      <c r="R286" s="679" t="n"/>
      <c r="S286" s="680" t="n"/>
      <c r="T286" s="681" t="inlineStr">
        <is>
          <t>HADDAD ZAKIA</t>
        </is>
      </c>
      <c r="U286" s="672" t="n">
        <v>2026</v>
      </c>
      <c r="V286" s="680" t="n">
        <v>46387</v>
      </c>
      <c r="W286" s="680" t="n"/>
      <c r="X286" s="680" t="n">
        <v>46024</v>
      </c>
      <c r="Y286" s="677" t="n">
        <v>26000</v>
      </c>
      <c r="Z286" s="678" t="n"/>
      <c r="AA286" s="678">
        <f>Y286</f>
        <v/>
      </c>
      <c r="AB286" s="678" t="n"/>
      <c r="AC286" s="678">
        <f>Y286</f>
        <v/>
      </c>
      <c r="AD286" s="678">
        <f>AA286</f>
        <v/>
      </c>
      <c r="AE286" s="682" t="inlineStr">
        <is>
          <t>ENGAGE</t>
        </is>
      </c>
      <c r="AF286" s="681" t="n"/>
      <c r="AG286" s="678" t="n"/>
      <c r="AH286" s="678" t="n"/>
      <c r="AI286" s="678" t="n"/>
      <c r="AJ286" s="678" t="n"/>
      <c r="AK286" s="683" t="n"/>
      <c r="AL286" s="683" t="n"/>
      <c r="AM286" s="681" t="inlineStr">
        <is>
          <t>Manque n° contrat</t>
        </is>
      </c>
      <c r="AN286" s="684" t="n"/>
      <c r="AO286" s="685" t="n"/>
      <c r="AP286" s="686" t="n"/>
      <c r="AQ286" s="686" t="n"/>
      <c r="AR286" s="23" t="n"/>
      <c r="AS286" s="686" t="n"/>
    </row>
    <row r="287" ht="65.40000000000001" customHeight="1" s="392">
      <c r="A287" s="672" t="n">
        <v>2026</v>
      </c>
      <c r="B287" s="673" t="inlineStr">
        <is>
          <t>ASSADISSA</t>
        </is>
      </c>
      <c r="C287" s="673" t="inlineStr">
        <is>
          <t>PV N° : 03RC2025-DPPCCRTV</t>
        </is>
      </c>
      <c r="D287" s="672" t="inlineStr">
        <is>
          <t>CONTRAT</t>
        </is>
      </c>
      <c r="E287" s="672" t="n"/>
      <c r="F287" s="674" t="inlineStr">
        <is>
          <t>ILHAM CHAFIK  -  La préparation et la présentation de l'émission RD " التبليغ المبين لمعاني المرشد المعين "</t>
        </is>
      </c>
      <c r="G287" s="675" t="inlineStr">
        <is>
          <t>VALIDE</t>
        </is>
      </c>
      <c r="H287" s="672" t="inlineStr">
        <is>
          <t>APPROUVE</t>
        </is>
      </c>
      <c r="I287" s="672" t="n"/>
      <c r="J287" s="675" t="inlineStr">
        <is>
          <t>NON CONCERNE</t>
        </is>
      </c>
      <c r="K287" s="672" t="inlineStr">
        <is>
          <t>Ordinaire</t>
        </is>
      </c>
      <c r="L287" s="676" t="inlineStr">
        <is>
          <t>FONCTIONNEMENT</t>
        </is>
      </c>
      <c r="M287" s="676" t="inlineStr">
        <is>
          <t>Achats de productions et de programmes
Achat des programmes en production interne - personnes physiques</t>
        </is>
      </c>
      <c r="N287" s="677" t="n"/>
      <c r="O287" s="678" t="n"/>
      <c r="P287" s="678" t="n"/>
      <c r="Q287" s="672" t="inlineStr">
        <is>
          <t>RECONDUCTION</t>
        </is>
      </c>
      <c r="R287" s="679" t="n"/>
      <c r="S287" s="680" t="n"/>
      <c r="T287" s="681" t="inlineStr">
        <is>
          <t>ILHAM CHAFIK</t>
        </is>
      </c>
      <c r="U287" s="672" t="n">
        <v>2026</v>
      </c>
      <c r="V287" s="680" t="n">
        <v>46387</v>
      </c>
      <c r="W287" s="680" t="n"/>
      <c r="X287" s="680" t="n">
        <v>46024</v>
      </c>
      <c r="Y287" s="677" t="n">
        <v>72000</v>
      </c>
      <c r="Z287" s="678" t="n"/>
      <c r="AA287" s="678">
        <f>Y287</f>
        <v/>
      </c>
      <c r="AB287" s="678" t="n"/>
      <c r="AC287" s="678">
        <f>Y287</f>
        <v/>
      </c>
      <c r="AD287" s="678">
        <f>AA287</f>
        <v/>
      </c>
      <c r="AE287" s="682" t="inlineStr">
        <is>
          <t>ENGAGE</t>
        </is>
      </c>
      <c r="AF287" s="681" t="n"/>
      <c r="AG287" s="678" t="n"/>
      <c r="AH287" s="678" t="n"/>
      <c r="AI287" s="678" t="n"/>
      <c r="AJ287" s="678" t="n"/>
      <c r="AK287" s="683" t="n"/>
      <c r="AL287" s="683" t="n"/>
      <c r="AM287" s="681" t="inlineStr">
        <is>
          <t>Manque n° contrat</t>
        </is>
      </c>
      <c r="AN287" s="684" t="n"/>
      <c r="AO287" s="685" t="n"/>
      <c r="AP287" s="686" t="n"/>
      <c r="AQ287" s="686" t="n"/>
      <c r="AR287" s="23" t="n"/>
      <c r="AS287" s="686" t="n"/>
    </row>
    <row r="288" ht="65.40000000000001" customHeight="1" s="392">
      <c r="A288" s="672" t="n">
        <v>2026</v>
      </c>
      <c r="B288" s="673" t="inlineStr">
        <is>
          <t>ASSADISSA</t>
        </is>
      </c>
      <c r="C288" s="673" t="inlineStr">
        <is>
          <t>PV N° : 03RC2025-DPPCCRTV</t>
        </is>
      </c>
      <c r="D288" s="672" t="inlineStr">
        <is>
          <t>CONTRAT</t>
        </is>
      </c>
      <c r="E288" s="672" t="n"/>
      <c r="F288" s="674" t="inlineStr">
        <is>
          <t>SAID NAQCHI  -  La préparation et la présentation de l'émission TV"مع الشباب"</t>
        </is>
      </c>
      <c r="G288" s="675" t="inlineStr">
        <is>
          <t>VALIDE</t>
        </is>
      </c>
      <c r="H288" s="672" t="inlineStr">
        <is>
          <t>APPROUVE</t>
        </is>
      </c>
      <c r="I288" s="672" t="n"/>
      <c r="J288" s="675" t="inlineStr">
        <is>
          <t>NON CONCERNE</t>
        </is>
      </c>
      <c r="K288" s="672" t="inlineStr">
        <is>
          <t>Ordinaire</t>
        </is>
      </c>
      <c r="L288" s="676" t="inlineStr">
        <is>
          <t>FONCTIONNEMENT</t>
        </is>
      </c>
      <c r="M288" s="676" t="inlineStr">
        <is>
          <t>Achats de productions et de programmes
Achat des programmes en production interne - personnes physiques</t>
        </is>
      </c>
      <c r="N288" s="677" t="n"/>
      <c r="O288" s="678" t="n"/>
      <c r="P288" s="678" t="n"/>
      <c r="Q288" s="672" t="inlineStr">
        <is>
          <t>RECONDUCTION</t>
        </is>
      </c>
      <c r="R288" s="679" t="n"/>
      <c r="S288" s="680" t="n"/>
      <c r="T288" s="681" t="inlineStr">
        <is>
          <t>SAID NAQCHI</t>
        </is>
      </c>
      <c r="U288" s="672" t="n">
        <v>2026</v>
      </c>
      <c r="V288" s="680" t="n">
        <v>46387</v>
      </c>
      <c r="W288" s="680" t="n"/>
      <c r="X288" s="680" t="n">
        <v>46024</v>
      </c>
      <c r="Y288" s="677" t="n">
        <v>208000</v>
      </c>
      <c r="Z288" s="678" t="n"/>
      <c r="AA288" s="678">
        <f>Y288</f>
        <v/>
      </c>
      <c r="AB288" s="678" t="n"/>
      <c r="AC288" s="678">
        <f>Y288</f>
        <v/>
      </c>
      <c r="AD288" s="678">
        <f>AA288</f>
        <v/>
      </c>
      <c r="AE288" s="682" t="inlineStr">
        <is>
          <t>ENGAGE</t>
        </is>
      </c>
      <c r="AF288" s="681" t="n"/>
      <c r="AG288" s="678" t="n"/>
      <c r="AH288" s="678" t="n"/>
      <c r="AI288" s="678" t="n"/>
      <c r="AJ288" s="678" t="n"/>
      <c r="AK288" s="683" t="n"/>
      <c r="AL288" s="683" t="n"/>
      <c r="AM288" s="681" t="inlineStr">
        <is>
          <t>Manque n° contrat</t>
        </is>
      </c>
      <c r="AN288" s="684" t="n"/>
      <c r="AO288" s="685" t="n"/>
      <c r="AP288" s="686" t="n"/>
      <c r="AQ288" s="686" t="n"/>
      <c r="AR288" s="23" t="n"/>
      <c r="AS288" s="686" t="n"/>
    </row>
    <row r="289" ht="65.40000000000001" customHeight="1" s="392">
      <c r="A289" s="672" t="n">
        <v>2026</v>
      </c>
      <c r="B289" s="673" t="inlineStr">
        <is>
          <t>ASSADISSA</t>
        </is>
      </c>
      <c r="C289" s="673" t="inlineStr">
        <is>
          <t>PV N° : 03RC2025-DPPCCRTV</t>
        </is>
      </c>
      <c r="D289" s="672" t="inlineStr">
        <is>
          <t>CONTRAT</t>
        </is>
      </c>
      <c r="E289" s="672" t="n"/>
      <c r="F289" s="674" t="inlineStr">
        <is>
          <t>DINA KADIRI  -  La préparation et la présentation de l'émission TV"LES CHEMINS CROISES"</t>
        </is>
      </c>
      <c r="G289" s="675" t="inlineStr">
        <is>
          <t>VALIDE</t>
        </is>
      </c>
      <c r="H289" s="672" t="inlineStr">
        <is>
          <t>APPROUVE</t>
        </is>
      </c>
      <c r="I289" s="672" t="n"/>
      <c r="J289" s="675" t="inlineStr">
        <is>
          <t>NON CONCERNE</t>
        </is>
      </c>
      <c r="K289" s="672" t="inlineStr">
        <is>
          <t>Ordinaire</t>
        </is>
      </c>
      <c r="L289" s="676" t="inlineStr">
        <is>
          <t>FONCTIONNEMENT</t>
        </is>
      </c>
      <c r="M289" s="676" t="inlineStr">
        <is>
          <t>Achats de productions et de programmes
Achat des programmes en production interne - personnes physiques</t>
        </is>
      </c>
      <c r="N289" s="677" t="n"/>
      <c r="O289" s="678" t="n"/>
      <c r="P289" s="678" t="n"/>
      <c r="Q289" s="672" t="inlineStr">
        <is>
          <t>RECONDUCTION</t>
        </is>
      </c>
      <c r="R289" s="679" t="n"/>
      <c r="S289" s="680" t="n"/>
      <c r="T289" s="681" t="inlineStr">
        <is>
          <t>DINA KADIRI</t>
        </is>
      </c>
      <c r="U289" s="672" t="n">
        <v>2026</v>
      </c>
      <c r="V289" s="680" t="n">
        <v>46387</v>
      </c>
      <c r="W289" s="680" t="n"/>
      <c r="X289" s="680" t="n">
        <v>46024</v>
      </c>
      <c r="Y289" s="677" t="n">
        <v>130000</v>
      </c>
      <c r="Z289" s="678" t="n"/>
      <c r="AA289" s="678">
        <f>Y289</f>
        <v/>
      </c>
      <c r="AB289" s="678" t="n"/>
      <c r="AC289" s="678">
        <f>Y289</f>
        <v/>
      </c>
      <c r="AD289" s="678">
        <f>AA289</f>
        <v/>
      </c>
      <c r="AE289" s="682" t="inlineStr">
        <is>
          <t>ENGAGE</t>
        </is>
      </c>
      <c r="AF289" s="681" t="n"/>
      <c r="AG289" s="678" t="n"/>
      <c r="AH289" s="678" t="n"/>
      <c r="AI289" s="678" t="n"/>
      <c r="AJ289" s="678" t="n"/>
      <c r="AK289" s="683" t="n"/>
      <c r="AL289" s="683" t="n"/>
      <c r="AM289" s="681" t="inlineStr">
        <is>
          <t>Manque n° contrat</t>
        </is>
      </c>
      <c r="AN289" s="684" t="n"/>
      <c r="AO289" s="685" t="n"/>
      <c r="AP289" s="686" t="n"/>
      <c r="AQ289" s="686" t="n"/>
      <c r="AR289" s="23" t="n"/>
      <c r="AS289" s="686" t="n"/>
    </row>
    <row r="290" ht="65.40000000000001" customHeight="1" s="392">
      <c r="A290" s="672" t="n">
        <v>2026</v>
      </c>
      <c r="B290" s="673" t="inlineStr">
        <is>
          <t>ASSADISSA</t>
        </is>
      </c>
      <c r="C290" s="673" t="inlineStr">
        <is>
          <t>PV N° : 03RC2025-DPPCCRTV</t>
        </is>
      </c>
      <c r="D290" s="672" t="inlineStr">
        <is>
          <t>CONTRAT</t>
        </is>
      </c>
      <c r="E290" s="672" t="n"/>
      <c r="F290" s="674" t="inlineStr">
        <is>
          <t>EL BOUKILI AHMED  -  La préparation et la présentation de l'émission TV " الكلمة السواء"</t>
        </is>
      </c>
      <c r="G290" s="675" t="inlineStr">
        <is>
          <t>VALIDE</t>
        </is>
      </c>
      <c r="H290" s="672" t="inlineStr">
        <is>
          <t>APPROUVE</t>
        </is>
      </c>
      <c r="I290" s="672" t="n"/>
      <c r="J290" s="675" t="inlineStr">
        <is>
          <t>NON CONCERNE</t>
        </is>
      </c>
      <c r="K290" s="672" t="inlineStr">
        <is>
          <t>Ordinaire</t>
        </is>
      </c>
      <c r="L290" s="676" t="inlineStr">
        <is>
          <t>FONCTIONNEMENT</t>
        </is>
      </c>
      <c r="M290" s="676" t="inlineStr">
        <is>
          <t>Achats de productions et de programmes
Achat des programmes en production interne - personnes physiques</t>
        </is>
      </c>
      <c r="N290" s="677" t="n"/>
      <c r="O290" s="678" t="n"/>
      <c r="P290" s="678" t="n"/>
      <c r="Q290" s="672" t="inlineStr">
        <is>
          <t>RECONDUCTION</t>
        </is>
      </c>
      <c r="R290" s="679" t="n"/>
      <c r="S290" s="680" t="n"/>
      <c r="T290" s="681" t="inlineStr">
        <is>
          <t>EL BOUKILI AHMED</t>
        </is>
      </c>
      <c r="U290" s="672" t="n">
        <v>2026</v>
      </c>
      <c r="V290" s="680" t="n">
        <v>46387</v>
      </c>
      <c r="W290" s="680" t="n"/>
      <c r="X290" s="680" t="n">
        <v>46024</v>
      </c>
      <c r="Y290" s="677" t="n">
        <v>208000</v>
      </c>
      <c r="Z290" s="678" t="n"/>
      <c r="AA290" s="678">
        <f>Y290</f>
        <v/>
      </c>
      <c r="AB290" s="678" t="n"/>
      <c r="AC290" s="678">
        <f>Y290</f>
        <v/>
      </c>
      <c r="AD290" s="678">
        <f>AA290</f>
        <v/>
      </c>
      <c r="AE290" s="682" t="inlineStr">
        <is>
          <t>ENGAGE</t>
        </is>
      </c>
      <c r="AF290" s="681" t="n"/>
      <c r="AG290" s="678" t="n"/>
      <c r="AH290" s="678" t="n"/>
      <c r="AI290" s="678" t="n"/>
      <c r="AJ290" s="678" t="n"/>
      <c r="AK290" s="683" t="n"/>
      <c r="AL290" s="683" t="n"/>
      <c r="AM290" s="681" t="inlineStr">
        <is>
          <t>Manque n° contrat</t>
        </is>
      </c>
      <c r="AN290" s="684" t="n"/>
      <c r="AO290" s="685" t="n"/>
      <c r="AP290" s="686" t="n"/>
      <c r="AQ290" s="686" t="n"/>
      <c r="AR290" s="23" t="n"/>
      <c r="AS290" s="686" t="n"/>
    </row>
    <row r="291" ht="65.40000000000001" customHeight="1" s="392">
      <c r="A291" s="672" t="n">
        <v>2026</v>
      </c>
      <c r="B291" s="673" t="inlineStr">
        <is>
          <t>ASSADISSA</t>
        </is>
      </c>
      <c r="C291" s="673" t="inlineStr">
        <is>
          <t>PV N° : 03RC2025-DPPCCRTV</t>
        </is>
      </c>
      <c r="D291" s="672" t="inlineStr">
        <is>
          <t>CONTRAT</t>
        </is>
      </c>
      <c r="E291" s="672" t="n"/>
      <c r="F291" s="674" t="inlineStr">
        <is>
          <t>BIHI SAID  -  La préparation et la présentation de l'émission TV " قضايا التبليغ"</t>
        </is>
      </c>
      <c r="G291" s="675" t="inlineStr">
        <is>
          <t>VALIDE</t>
        </is>
      </c>
      <c r="H291" s="672" t="inlineStr">
        <is>
          <t>APPROUVE</t>
        </is>
      </c>
      <c r="I291" s="672" t="n"/>
      <c r="J291" s="675" t="inlineStr">
        <is>
          <t>NON CONCERNE</t>
        </is>
      </c>
      <c r="K291" s="672" t="inlineStr">
        <is>
          <t>Ordinaire</t>
        </is>
      </c>
      <c r="L291" s="676" t="inlineStr">
        <is>
          <t>FONCTIONNEMENT</t>
        </is>
      </c>
      <c r="M291" s="676" t="inlineStr">
        <is>
          <t>Achats de productions et de programmes
Achat des programmes en production interne - personnes physiques</t>
        </is>
      </c>
      <c r="N291" s="677" t="n"/>
      <c r="O291" s="678" t="n"/>
      <c r="P291" s="678" t="n"/>
      <c r="Q291" s="672" t="inlineStr">
        <is>
          <t>RECONDUCTION</t>
        </is>
      </c>
      <c r="R291" s="679" t="n"/>
      <c r="S291" s="680" t="n"/>
      <c r="T291" s="681" t="inlineStr">
        <is>
          <t>BIHI SAID</t>
        </is>
      </c>
      <c r="U291" s="672" t="n">
        <v>2026</v>
      </c>
      <c r="V291" s="680" t="n">
        <v>46387</v>
      </c>
      <c r="W291" s="680" t="n"/>
      <c r="X291" s="680" t="n">
        <v>46024</v>
      </c>
      <c r="Y291" s="677" t="n">
        <v>148200</v>
      </c>
      <c r="Z291" s="678" t="n"/>
      <c r="AA291" s="678">
        <f>Y291</f>
        <v/>
      </c>
      <c r="AB291" s="678" t="n"/>
      <c r="AC291" s="678">
        <f>Y291</f>
        <v/>
      </c>
      <c r="AD291" s="678">
        <f>AA291</f>
        <v/>
      </c>
      <c r="AE291" s="682" t="inlineStr">
        <is>
          <t>ENGAGE</t>
        </is>
      </c>
      <c r="AF291" s="681" t="n"/>
      <c r="AG291" s="678" t="n"/>
      <c r="AH291" s="678" t="n"/>
      <c r="AI291" s="678" t="n"/>
      <c r="AJ291" s="678" t="n"/>
      <c r="AK291" s="683" t="n"/>
      <c r="AL291" s="683" t="n"/>
      <c r="AM291" s="681" t="inlineStr">
        <is>
          <t>Manque n° contrat</t>
        </is>
      </c>
      <c r="AN291" s="684" t="n"/>
      <c r="AO291" s="685" t="n"/>
      <c r="AP291" s="686" t="n"/>
      <c r="AQ291" s="686" t="n"/>
      <c r="AR291" s="23" t="n"/>
      <c r="AS291" s="686" t="n"/>
    </row>
    <row r="292" ht="65.40000000000001" customHeight="1" s="392">
      <c r="A292" s="672" t="n">
        <v>2026</v>
      </c>
      <c r="B292" s="673" t="inlineStr">
        <is>
          <t>ASSADISSA</t>
        </is>
      </c>
      <c r="C292" s="673" t="inlineStr">
        <is>
          <t>PV N° : 03RC2025-DPPCCRTV</t>
        </is>
      </c>
      <c r="D292" s="672" t="inlineStr">
        <is>
          <t>CONTRAT</t>
        </is>
      </c>
      <c r="E292" s="672" t="n"/>
      <c r="F292" s="674" t="inlineStr">
        <is>
          <t>AMHARAR ILYASS  -  La préparation et la présentation de l'émission TV "LES CONSTANCES RELEGIEUSES".</t>
        </is>
      </c>
      <c r="G292" s="675" t="inlineStr">
        <is>
          <t>VALIDE</t>
        </is>
      </c>
      <c r="H292" s="672" t="inlineStr">
        <is>
          <t>APPROUVE</t>
        </is>
      </c>
      <c r="I292" s="672" t="n"/>
      <c r="J292" s="675" t="inlineStr">
        <is>
          <t>NON CONCERNE</t>
        </is>
      </c>
      <c r="K292" s="672" t="inlineStr">
        <is>
          <t>Ordinaire</t>
        </is>
      </c>
      <c r="L292" s="676" t="inlineStr">
        <is>
          <t>FONCTIONNEMENT</t>
        </is>
      </c>
      <c r="M292" s="676" t="inlineStr">
        <is>
          <t>Achats de productions et de programmes
Achat des programmes en production interne - personnes physiques</t>
        </is>
      </c>
      <c r="N292" s="677" t="n"/>
      <c r="O292" s="678" t="n"/>
      <c r="P292" s="678" t="n"/>
      <c r="Q292" s="672" t="inlineStr">
        <is>
          <t>RECONDUCTION</t>
        </is>
      </c>
      <c r="R292" s="679" t="n"/>
      <c r="S292" s="680" t="n"/>
      <c r="T292" s="681" t="inlineStr">
        <is>
          <t xml:space="preserve">AMHARAR ILYASS </t>
        </is>
      </c>
      <c r="U292" s="672" t="n">
        <v>2026</v>
      </c>
      <c r="V292" s="680" t="n">
        <v>46387</v>
      </c>
      <c r="W292" s="680" t="n"/>
      <c r="X292" s="680" t="n">
        <v>46024</v>
      </c>
      <c r="Y292" s="677" t="n">
        <v>85800</v>
      </c>
      <c r="Z292" s="678" t="n"/>
      <c r="AA292" s="678">
        <f>Y292</f>
        <v/>
      </c>
      <c r="AB292" s="678" t="n"/>
      <c r="AC292" s="678">
        <f>Y292</f>
        <v/>
      </c>
      <c r="AD292" s="678">
        <f>AA292</f>
        <v/>
      </c>
      <c r="AE292" s="682" t="inlineStr">
        <is>
          <t>ENGAGE</t>
        </is>
      </c>
      <c r="AF292" s="681" t="n"/>
      <c r="AG292" s="678" t="n"/>
      <c r="AH292" s="678" t="n"/>
      <c r="AI292" s="678" t="n"/>
      <c r="AJ292" s="678" t="n"/>
      <c r="AK292" s="683" t="n"/>
      <c r="AL292" s="683" t="n"/>
      <c r="AM292" s="681" t="inlineStr">
        <is>
          <t>Manque n° contrat</t>
        </is>
      </c>
      <c r="AN292" s="684" t="n"/>
      <c r="AO292" s="685" t="n"/>
      <c r="AP292" s="686" t="n"/>
      <c r="AQ292" s="686" t="n"/>
      <c r="AR292" s="23" t="n"/>
      <c r="AS292" s="686" t="n"/>
    </row>
    <row r="293" ht="65.40000000000001" customHeight="1" s="392">
      <c r="A293" s="672" t="n">
        <v>2026</v>
      </c>
      <c r="B293" s="673" t="inlineStr">
        <is>
          <t>ASSADISSA</t>
        </is>
      </c>
      <c r="C293" s="673" t="inlineStr">
        <is>
          <t>PV N° : 03RC2025-DPPCCRTV</t>
        </is>
      </c>
      <c r="D293" s="672" t="inlineStr">
        <is>
          <t>CONTRAT</t>
        </is>
      </c>
      <c r="E293" s="672" t="n"/>
      <c r="F293" s="674" t="inlineStr">
        <is>
          <t>ABDELKAMEL DINIA  -  La préparation et la présentation de l'émission RD intitulée ''مذاكرات''</t>
        </is>
      </c>
      <c r="G293" s="675" t="inlineStr">
        <is>
          <t>VALIDE</t>
        </is>
      </c>
      <c r="H293" s="672" t="inlineStr">
        <is>
          <t>APPROUVE</t>
        </is>
      </c>
      <c r="I293" s="672" t="n"/>
      <c r="J293" s="675" t="inlineStr">
        <is>
          <t>NON CONCERNE</t>
        </is>
      </c>
      <c r="K293" s="672" t="inlineStr">
        <is>
          <t>Ordinaire</t>
        </is>
      </c>
      <c r="L293" s="676" t="inlineStr">
        <is>
          <t>FONCTIONNEMENT</t>
        </is>
      </c>
      <c r="M293" s="676" t="inlineStr">
        <is>
          <t>Achats de productions et de programmes
Achat des programmes en production interne - personnes physiques</t>
        </is>
      </c>
      <c r="N293" s="677" t="n"/>
      <c r="O293" s="678" t="n"/>
      <c r="P293" s="678" t="n"/>
      <c r="Q293" s="672" t="inlineStr">
        <is>
          <t>RECONDUCTION</t>
        </is>
      </c>
      <c r="R293" s="679" t="n"/>
      <c r="S293" s="680" t="n"/>
      <c r="T293" s="681" t="inlineStr">
        <is>
          <t>ABDELKAMEL DINIA</t>
        </is>
      </c>
      <c r="U293" s="672" t="n">
        <v>2026</v>
      </c>
      <c r="V293" s="680" t="n">
        <v>46387</v>
      </c>
      <c r="W293" s="680" t="n"/>
      <c r="X293" s="680" t="n">
        <v>46024</v>
      </c>
      <c r="Y293" s="677" t="n">
        <v>72000</v>
      </c>
      <c r="Z293" s="678" t="n"/>
      <c r="AA293" s="678">
        <f>Y293</f>
        <v/>
      </c>
      <c r="AB293" s="678" t="n"/>
      <c r="AC293" s="678">
        <f>Y293</f>
        <v/>
      </c>
      <c r="AD293" s="678">
        <f>AA293</f>
        <v/>
      </c>
      <c r="AE293" s="682" t="inlineStr">
        <is>
          <t>ENGAGE</t>
        </is>
      </c>
      <c r="AF293" s="681" t="n"/>
      <c r="AG293" s="678" t="n"/>
      <c r="AH293" s="678" t="n"/>
      <c r="AI293" s="678" t="n"/>
      <c r="AJ293" s="678" t="n"/>
      <c r="AK293" s="683" t="n"/>
      <c r="AL293" s="683" t="n"/>
      <c r="AM293" s="681" t="inlineStr">
        <is>
          <t>Manque n° contrat</t>
        </is>
      </c>
      <c r="AN293" s="684" t="n"/>
      <c r="AO293" s="685" t="n"/>
      <c r="AP293" s="686" t="n"/>
      <c r="AQ293" s="686" t="n"/>
      <c r="AR293" s="23" t="n"/>
      <c r="AS293" s="686" t="n"/>
    </row>
    <row r="294" ht="65.40000000000001" customHeight="1" s="392">
      <c r="A294" s="672" t="n">
        <v>2026</v>
      </c>
      <c r="B294" s="673" t="inlineStr">
        <is>
          <t>ASSADISSA</t>
        </is>
      </c>
      <c r="C294" s="673" t="inlineStr">
        <is>
          <t>PV N° : 03RC2025-DPPCCRTV</t>
        </is>
      </c>
      <c r="D294" s="672" t="inlineStr">
        <is>
          <t>CONTRAT</t>
        </is>
      </c>
      <c r="E294" s="672" t="n"/>
      <c r="F294" s="674" t="inlineStr">
        <is>
          <t>WAFAE JABRANE  -  La préparation et la présentation de l'émission TV "جسور"</t>
        </is>
      </c>
      <c r="G294" s="675" t="inlineStr">
        <is>
          <t>VALIDE</t>
        </is>
      </c>
      <c r="H294" s="672" t="inlineStr">
        <is>
          <t>APPROUVE</t>
        </is>
      </c>
      <c r="I294" s="672" t="n"/>
      <c r="J294" s="675" t="inlineStr">
        <is>
          <t>NON CONCERNE</t>
        </is>
      </c>
      <c r="K294" s="672" t="inlineStr">
        <is>
          <t>Ordinaire</t>
        </is>
      </c>
      <c r="L294" s="676" t="inlineStr">
        <is>
          <t>FONCTIONNEMENT</t>
        </is>
      </c>
      <c r="M294" s="676" t="inlineStr">
        <is>
          <t>Achats de productions et de programmes
Achat des programmes en production interne - personnes physiques</t>
        </is>
      </c>
      <c r="N294" s="677" t="n"/>
      <c r="O294" s="678" t="n"/>
      <c r="P294" s="678" t="n"/>
      <c r="Q294" s="672" t="inlineStr">
        <is>
          <t>RECONDUCTION</t>
        </is>
      </c>
      <c r="R294" s="679" t="n"/>
      <c r="S294" s="680" t="n"/>
      <c r="T294" s="681" t="inlineStr">
        <is>
          <t>WAFAE JABRANE</t>
        </is>
      </c>
      <c r="U294" s="672" t="n">
        <v>2026</v>
      </c>
      <c r="V294" s="680" t="n">
        <v>46387</v>
      </c>
      <c r="W294" s="680" t="n"/>
      <c r="X294" s="680" t="n">
        <v>46024</v>
      </c>
      <c r="Y294" s="677" t="n">
        <v>156000</v>
      </c>
      <c r="Z294" s="678" t="n"/>
      <c r="AA294" s="678">
        <f>Y294</f>
        <v/>
      </c>
      <c r="AB294" s="678" t="n"/>
      <c r="AC294" s="678">
        <f>Y294</f>
        <v/>
      </c>
      <c r="AD294" s="678">
        <f>AA294</f>
        <v/>
      </c>
      <c r="AE294" s="682" t="inlineStr">
        <is>
          <t>ENGAGE</t>
        </is>
      </c>
      <c r="AF294" s="681" t="n"/>
      <c r="AG294" s="678" t="n"/>
      <c r="AH294" s="678" t="n"/>
      <c r="AI294" s="678" t="n"/>
      <c r="AJ294" s="678" t="n"/>
      <c r="AK294" s="683" t="n"/>
      <c r="AL294" s="683" t="n"/>
      <c r="AM294" s="681" t="inlineStr">
        <is>
          <t>Manque n° contrat</t>
        </is>
      </c>
      <c r="AN294" s="684" t="n"/>
      <c r="AO294" s="685" t="n"/>
      <c r="AP294" s="686" t="n"/>
      <c r="AQ294" s="686" t="n"/>
      <c r="AR294" s="23" t="n"/>
      <c r="AS294" s="686" t="n"/>
    </row>
    <row r="295" ht="65.40000000000001" customHeight="1" s="392">
      <c r="A295" s="672" t="n">
        <v>2026</v>
      </c>
      <c r="B295" s="673" t="inlineStr">
        <is>
          <t>ASSADISSA</t>
        </is>
      </c>
      <c r="C295" s="673" t="inlineStr">
        <is>
          <t>PV N° : 03RC2025-DPPCCRTV</t>
        </is>
      </c>
      <c r="D295" s="672" t="inlineStr">
        <is>
          <t>CONTRAT</t>
        </is>
      </c>
      <c r="E295" s="672" t="n"/>
      <c r="F295" s="674" t="inlineStr">
        <is>
          <t>ENNAJI AL AMJAD  -  La préparation et la présentation de l'émission TV ''استهلال لست وحدك''</t>
        </is>
      </c>
      <c r="G295" s="675" t="inlineStr">
        <is>
          <t>VALIDE</t>
        </is>
      </c>
      <c r="H295" s="672" t="inlineStr">
        <is>
          <t>APPROUVE</t>
        </is>
      </c>
      <c r="I295" s="672" t="n"/>
      <c r="J295" s="675" t="inlineStr">
        <is>
          <t>NON CONCERNE</t>
        </is>
      </c>
      <c r="K295" s="672" t="inlineStr">
        <is>
          <t>Ordinaire</t>
        </is>
      </c>
      <c r="L295" s="676" t="inlineStr">
        <is>
          <t>FONCTIONNEMENT</t>
        </is>
      </c>
      <c r="M295" s="676" t="inlineStr">
        <is>
          <t>Achats de productions et de programmes
Achat des programmes en production interne - personnes physiques</t>
        </is>
      </c>
      <c r="N295" s="677" t="n"/>
      <c r="O295" s="678" t="n"/>
      <c r="P295" s="678" t="n"/>
      <c r="Q295" s="672" t="inlineStr">
        <is>
          <t>RECONDUCTION</t>
        </is>
      </c>
      <c r="R295" s="679" t="n"/>
      <c r="S295" s="680" t="n"/>
      <c r="T295" s="681" t="inlineStr">
        <is>
          <t>ENNAJI AL AMJAD</t>
        </is>
      </c>
      <c r="U295" s="672" t="n">
        <v>2026</v>
      </c>
      <c r="V295" s="680" t="n">
        <v>46387</v>
      </c>
      <c r="W295" s="680" t="n"/>
      <c r="X295" s="680" t="n">
        <v>46024</v>
      </c>
      <c r="Y295" s="677" t="n">
        <v>128000</v>
      </c>
      <c r="Z295" s="678" t="n"/>
      <c r="AA295" s="678">
        <f>Y295</f>
        <v/>
      </c>
      <c r="AB295" s="678" t="n"/>
      <c r="AC295" s="678">
        <f>Y295</f>
        <v/>
      </c>
      <c r="AD295" s="678">
        <f>AA295</f>
        <v/>
      </c>
      <c r="AE295" s="682" t="inlineStr">
        <is>
          <t>ENGAGE</t>
        </is>
      </c>
      <c r="AF295" s="681" t="n"/>
      <c r="AG295" s="678" t="n"/>
      <c r="AH295" s="678" t="n"/>
      <c r="AI295" s="678" t="n"/>
      <c r="AJ295" s="678" t="n"/>
      <c r="AK295" s="683" t="n"/>
      <c r="AL295" s="683" t="n"/>
      <c r="AM295" s="681" t="inlineStr">
        <is>
          <t>Manque n° contrat</t>
        </is>
      </c>
      <c r="AN295" s="684" t="n"/>
      <c r="AO295" s="685" t="n"/>
      <c r="AP295" s="686" t="n"/>
      <c r="AQ295" s="686" t="n"/>
      <c r="AR295" s="23" t="n"/>
      <c r="AS295" s="686" t="n"/>
    </row>
    <row r="296" ht="65.40000000000001" customHeight="1" s="392">
      <c r="A296" s="672" t="n">
        <v>2026</v>
      </c>
      <c r="B296" s="673" t="inlineStr">
        <is>
          <t>ASSADISSA</t>
        </is>
      </c>
      <c r="C296" s="673" t="inlineStr">
        <is>
          <t>PV N° : 03RC2025-DPPCCRTV</t>
        </is>
      </c>
      <c r="D296" s="672" t="inlineStr">
        <is>
          <t>CONTRAT</t>
        </is>
      </c>
      <c r="E296" s="672" t="n"/>
      <c r="F296" s="674" t="inlineStr">
        <is>
          <t>AMINA IRAQI HOUSSAINI  -  La préparation et la présentation de l'émission RD"لحظة لصحتك"</t>
        </is>
      </c>
      <c r="G296" s="675" t="inlineStr">
        <is>
          <t>VALIDE</t>
        </is>
      </c>
      <c r="H296" s="672" t="inlineStr">
        <is>
          <t>APPROUVE</t>
        </is>
      </c>
      <c r="I296" s="672" t="n"/>
      <c r="J296" s="675" t="inlineStr">
        <is>
          <t>NON CONCERNE</t>
        </is>
      </c>
      <c r="K296" s="672" t="inlineStr">
        <is>
          <t>Ordinaire</t>
        </is>
      </c>
      <c r="L296" s="676" t="inlineStr">
        <is>
          <t>FONCTIONNEMENT</t>
        </is>
      </c>
      <c r="M296" s="676" t="inlineStr">
        <is>
          <t>Achats de productions et de programmes
Achat des programmes en production interne - personnes physiques</t>
        </is>
      </c>
      <c r="N296" s="677" t="n"/>
      <c r="O296" s="678" t="n"/>
      <c r="P296" s="678" t="n"/>
      <c r="Q296" s="672" t="inlineStr">
        <is>
          <t>RECONDUCTION</t>
        </is>
      </c>
      <c r="R296" s="679" t="n"/>
      <c r="S296" s="680" t="n"/>
      <c r="T296" s="681" t="inlineStr">
        <is>
          <t>AMINA IRAQI HOUSSAINI</t>
        </is>
      </c>
      <c r="U296" s="672" t="n">
        <v>2026</v>
      </c>
      <c r="V296" s="680" t="n">
        <v>46387</v>
      </c>
      <c r="W296" s="680" t="n"/>
      <c r="X296" s="680" t="n">
        <v>46024</v>
      </c>
      <c r="Y296" s="677" t="n">
        <v>24000</v>
      </c>
      <c r="Z296" s="678" t="n"/>
      <c r="AA296" s="678">
        <f>Y296</f>
        <v/>
      </c>
      <c r="AB296" s="678" t="n"/>
      <c r="AC296" s="678">
        <f>Y296</f>
        <v/>
      </c>
      <c r="AD296" s="678">
        <f>AA296</f>
        <v/>
      </c>
      <c r="AE296" s="682" t="inlineStr">
        <is>
          <t>ENGAGE</t>
        </is>
      </c>
      <c r="AF296" s="681" t="n"/>
      <c r="AG296" s="678" t="n"/>
      <c r="AH296" s="678" t="n"/>
      <c r="AI296" s="678" t="n"/>
      <c r="AJ296" s="678" t="n"/>
      <c r="AK296" s="683" t="n"/>
      <c r="AL296" s="683" t="n"/>
      <c r="AM296" s="681" t="inlineStr">
        <is>
          <t>Manque n° contrat</t>
        </is>
      </c>
      <c r="AN296" s="684" t="n"/>
      <c r="AO296" s="685" t="n"/>
      <c r="AP296" s="686" t="n"/>
      <c r="AQ296" s="686" t="n"/>
      <c r="AR296" s="23" t="n"/>
      <c r="AS296" s="686" t="n"/>
    </row>
    <row r="297" ht="65.40000000000001" customHeight="1" s="392">
      <c r="A297" s="672" t="n">
        <v>2026</v>
      </c>
      <c r="B297" s="673" t="inlineStr">
        <is>
          <t>ASSADISSA</t>
        </is>
      </c>
      <c r="C297" s="673" t="inlineStr">
        <is>
          <t>PV N° : 03RC2025-DPPCCRTV</t>
        </is>
      </c>
      <c r="D297" s="672" t="inlineStr">
        <is>
          <t>CONTRAT</t>
        </is>
      </c>
      <c r="E297" s="672" t="n"/>
      <c r="F297" s="674" t="inlineStr">
        <is>
          <t>KHALID SAQI  -  La préparation et la présentation de l'émission radiophonique intitulée ''الرسالة الخالدة''</t>
        </is>
      </c>
      <c r="G297" s="675" t="inlineStr">
        <is>
          <t>VALIDE</t>
        </is>
      </c>
      <c r="H297" s="672" t="inlineStr">
        <is>
          <t>APPROUVE</t>
        </is>
      </c>
      <c r="I297" s="672" t="n"/>
      <c r="J297" s="675" t="inlineStr">
        <is>
          <t>NON CONCERNE</t>
        </is>
      </c>
      <c r="K297" s="672" t="inlineStr">
        <is>
          <t>Ordinaire</t>
        </is>
      </c>
      <c r="L297" s="676" t="inlineStr">
        <is>
          <t>FONCTIONNEMENT</t>
        </is>
      </c>
      <c r="M297" s="676" t="inlineStr">
        <is>
          <t>Achats de productions et de programmes
Achat des programmes en production interne - personnes physiques</t>
        </is>
      </c>
      <c r="N297" s="677" t="n"/>
      <c r="O297" s="678" t="n"/>
      <c r="P297" s="678" t="n"/>
      <c r="Q297" s="672" t="inlineStr">
        <is>
          <t>RECONDUCTION</t>
        </is>
      </c>
      <c r="R297" s="679" t="n"/>
      <c r="S297" s="680" t="n"/>
      <c r="T297" s="681" t="inlineStr">
        <is>
          <t>KHALID SAQI</t>
        </is>
      </c>
      <c r="U297" s="672" t="n">
        <v>2026</v>
      </c>
      <c r="V297" s="680" t="n">
        <v>46387</v>
      </c>
      <c r="W297" s="680" t="n"/>
      <c r="X297" s="680" t="n">
        <v>46024</v>
      </c>
      <c r="Y297" s="677" t="n">
        <v>45000</v>
      </c>
      <c r="Z297" s="678" t="n"/>
      <c r="AA297" s="678">
        <f>Y297</f>
        <v/>
      </c>
      <c r="AB297" s="678" t="n"/>
      <c r="AC297" s="678">
        <f>Y297</f>
        <v/>
      </c>
      <c r="AD297" s="678">
        <f>AA297</f>
        <v/>
      </c>
      <c r="AE297" s="682" t="inlineStr">
        <is>
          <t>ENGAGE</t>
        </is>
      </c>
      <c r="AF297" s="681" t="n"/>
      <c r="AG297" s="678" t="n"/>
      <c r="AH297" s="678" t="n"/>
      <c r="AI297" s="678" t="n"/>
      <c r="AJ297" s="678" t="n"/>
      <c r="AK297" s="683" t="n"/>
      <c r="AL297" s="683" t="n"/>
      <c r="AM297" s="681" t="inlineStr">
        <is>
          <t>Manque n° contrat</t>
        </is>
      </c>
      <c r="AN297" s="684" t="n"/>
      <c r="AO297" s="685" t="n"/>
      <c r="AP297" s="686" t="n"/>
      <c r="AQ297" s="686" t="n"/>
      <c r="AR297" s="23" t="n"/>
      <c r="AS297" s="686" t="n"/>
    </row>
    <row r="298" ht="65.40000000000001" customHeight="1" s="392">
      <c r="A298" s="672" t="n">
        <v>2026</v>
      </c>
      <c r="B298" s="673" t="inlineStr">
        <is>
          <t>ASSADISSA</t>
        </is>
      </c>
      <c r="C298" s="673" t="inlineStr">
        <is>
          <t>PV N° : 03RC2025-DPPCCRTV</t>
        </is>
      </c>
      <c r="D298" s="672" t="inlineStr">
        <is>
          <t>CONTRAT</t>
        </is>
      </c>
      <c r="E298" s="672" t="n"/>
      <c r="F298" s="674" t="inlineStr">
        <is>
          <t>ZINEB HIDRA  -  La préparation et la présentation de l'émission TV intitulée ''لتسكنوا إليها ''</t>
        </is>
      </c>
      <c r="G298" s="675" t="inlineStr">
        <is>
          <t>VALIDE</t>
        </is>
      </c>
      <c r="H298" s="672" t="inlineStr">
        <is>
          <t>APPROUVE</t>
        </is>
      </c>
      <c r="I298" s="672" t="n"/>
      <c r="J298" s="675" t="inlineStr">
        <is>
          <t>NON CONCERNE</t>
        </is>
      </c>
      <c r="K298" s="672" t="inlineStr">
        <is>
          <t>Ordinaire</t>
        </is>
      </c>
      <c r="L298" s="676" t="inlineStr">
        <is>
          <t>FONCTIONNEMENT</t>
        </is>
      </c>
      <c r="M298" s="676" t="inlineStr">
        <is>
          <t>Achats de productions et de programmes
Achat des programmes en production interne - personnes physiques</t>
        </is>
      </c>
      <c r="N298" s="677" t="n"/>
      <c r="O298" s="678" t="n"/>
      <c r="P298" s="678" t="n"/>
      <c r="Q298" s="672" t="inlineStr">
        <is>
          <t>RECONDUCTION</t>
        </is>
      </c>
      <c r="R298" s="679" t="n"/>
      <c r="S298" s="680" t="n"/>
      <c r="T298" s="681" t="inlineStr">
        <is>
          <t>ZINEB HIDRA</t>
        </is>
      </c>
      <c r="U298" s="672" t="n">
        <v>2026</v>
      </c>
      <c r="V298" s="680" t="n">
        <v>46387</v>
      </c>
      <c r="W298" s="680" t="n"/>
      <c r="X298" s="680" t="n">
        <v>46024</v>
      </c>
      <c r="Y298" s="677" t="n">
        <v>80000</v>
      </c>
      <c r="Z298" s="678" t="n"/>
      <c r="AA298" s="678">
        <f>Y298</f>
        <v/>
      </c>
      <c r="AB298" s="678" t="n"/>
      <c r="AC298" s="678">
        <f>Y298</f>
        <v/>
      </c>
      <c r="AD298" s="678">
        <f>AA298</f>
        <v/>
      </c>
      <c r="AE298" s="682" t="inlineStr">
        <is>
          <t>ENGAGE</t>
        </is>
      </c>
      <c r="AF298" s="681" t="n"/>
      <c r="AG298" s="678" t="n"/>
      <c r="AH298" s="678" t="n"/>
      <c r="AI298" s="678" t="n"/>
      <c r="AJ298" s="678" t="n"/>
      <c r="AK298" s="683" t="n"/>
      <c r="AL298" s="683" t="n"/>
      <c r="AM298" s="681" t="inlineStr">
        <is>
          <t>Manque n° contrat</t>
        </is>
      </c>
      <c r="AN298" s="684" t="n"/>
      <c r="AO298" s="685" t="n"/>
      <c r="AP298" s="686" t="n"/>
      <c r="AQ298" s="686" t="n"/>
      <c r="AR298" s="23" t="n"/>
      <c r="AS298" s="686" t="n"/>
    </row>
    <row r="299" ht="65.40000000000001" customHeight="1" s="392">
      <c r="A299" s="672" t="n">
        <v>2026</v>
      </c>
      <c r="B299" s="673" t="inlineStr">
        <is>
          <t>ASSADISSA</t>
        </is>
      </c>
      <c r="C299" s="673" t="inlineStr">
        <is>
          <t>PV N° : 03RC2025-DPPCCRTV</t>
        </is>
      </c>
      <c r="D299" s="672" t="inlineStr">
        <is>
          <t>CONTRAT</t>
        </is>
      </c>
      <c r="E299" s="672" t="n"/>
      <c r="F299" s="674" t="inlineStr">
        <is>
          <t>YAMNA HAMOURI  -  La préparation et la présentation de l'émission TV intitulée ''همزة وصل ''</t>
        </is>
      </c>
      <c r="G299" s="675" t="inlineStr">
        <is>
          <t>VALIDE</t>
        </is>
      </c>
      <c r="H299" s="672" t="inlineStr">
        <is>
          <t>APPROUVE</t>
        </is>
      </c>
      <c r="I299" s="672" t="n"/>
      <c r="J299" s="675" t="inlineStr">
        <is>
          <t>NON CONCERNE</t>
        </is>
      </c>
      <c r="K299" s="672" t="inlineStr">
        <is>
          <t>Ordinaire</t>
        </is>
      </c>
      <c r="L299" s="676" t="inlineStr">
        <is>
          <t>FONCTIONNEMENT</t>
        </is>
      </c>
      <c r="M299" s="676" t="inlineStr">
        <is>
          <t>Achats de productions et de programmes
Achat des programmes en production interne - personnes physiques</t>
        </is>
      </c>
      <c r="N299" s="677" t="n"/>
      <c r="O299" s="678" t="n"/>
      <c r="P299" s="678" t="n"/>
      <c r="Q299" s="672" t="inlineStr">
        <is>
          <t>RECONDUCTION</t>
        </is>
      </c>
      <c r="R299" s="679" t="n"/>
      <c r="S299" s="680" t="n"/>
      <c r="T299" s="681" t="inlineStr">
        <is>
          <t>YAMNA HAMOURI</t>
        </is>
      </c>
      <c r="U299" s="672" t="n">
        <v>2026</v>
      </c>
      <c r="V299" s="680" t="n">
        <v>46387</v>
      </c>
      <c r="W299" s="680" t="n"/>
      <c r="X299" s="680" t="n">
        <v>46024</v>
      </c>
      <c r="Y299" s="677" t="n">
        <v>72000</v>
      </c>
      <c r="Z299" s="678" t="n"/>
      <c r="AA299" s="678">
        <f>Y299</f>
        <v/>
      </c>
      <c r="AB299" s="678" t="n"/>
      <c r="AC299" s="678">
        <f>Y299</f>
        <v/>
      </c>
      <c r="AD299" s="678">
        <f>AA299</f>
        <v/>
      </c>
      <c r="AE299" s="682" t="inlineStr">
        <is>
          <t>ENGAGE</t>
        </is>
      </c>
      <c r="AF299" s="681" t="n"/>
      <c r="AG299" s="678" t="n"/>
      <c r="AH299" s="678" t="n"/>
      <c r="AI299" s="678" t="n"/>
      <c r="AJ299" s="678" t="n"/>
      <c r="AK299" s="683" t="n"/>
      <c r="AL299" s="683" t="n"/>
      <c r="AM299" s="681" t="inlineStr">
        <is>
          <t>Manque n° contrat</t>
        </is>
      </c>
      <c r="AN299" s="684" t="n"/>
      <c r="AO299" s="685" t="n"/>
      <c r="AP299" s="686" t="n"/>
      <c r="AQ299" s="686" t="n"/>
      <c r="AR299" s="23" t="n"/>
      <c r="AS299" s="686" t="n"/>
    </row>
    <row r="300" ht="65.40000000000001" customHeight="1" s="392">
      <c r="A300" s="672" t="n">
        <v>2026</v>
      </c>
      <c r="B300" s="673" t="inlineStr">
        <is>
          <t>ASSADISSA</t>
        </is>
      </c>
      <c r="C300" s="673" t="inlineStr">
        <is>
          <t>PV N° : 03RC2025-DPPCCRTV</t>
        </is>
      </c>
      <c r="D300" s="672" t="inlineStr">
        <is>
          <t>CONTRAT</t>
        </is>
      </c>
      <c r="E300" s="672" t="n"/>
      <c r="F300" s="674" t="inlineStr">
        <is>
          <t>ABDESLAM JMILI  -  La préparation de l’émission TV « المقنع في علم التوقيت»</t>
        </is>
      </c>
      <c r="G300" s="675" t="inlineStr">
        <is>
          <t>VALIDE</t>
        </is>
      </c>
      <c r="H300" s="672" t="inlineStr">
        <is>
          <t>APPROUVE</t>
        </is>
      </c>
      <c r="I300" s="672" t="n"/>
      <c r="J300" s="675" t="inlineStr">
        <is>
          <t>NON CONCERNE</t>
        </is>
      </c>
      <c r="K300" s="672" t="inlineStr">
        <is>
          <t>Ordinaire</t>
        </is>
      </c>
      <c r="L300" s="676" t="inlineStr">
        <is>
          <t>FONCTIONNEMENT</t>
        </is>
      </c>
      <c r="M300" s="676" t="inlineStr">
        <is>
          <t>Achats de productions et de programmes
Achat des programmes en production interne - personnes physiques</t>
        </is>
      </c>
      <c r="N300" s="677" t="n"/>
      <c r="O300" s="678" t="n"/>
      <c r="P300" s="678" t="n"/>
      <c r="Q300" s="672" t="inlineStr">
        <is>
          <t>RECONDUCTION</t>
        </is>
      </c>
      <c r="R300" s="679" t="n"/>
      <c r="S300" s="680" t="n"/>
      <c r="T300" s="681" t="inlineStr">
        <is>
          <t>ABDESLAM JMILI</t>
        </is>
      </c>
      <c r="U300" s="672" t="n">
        <v>2026</v>
      </c>
      <c r="V300" s="680" t="n">
        <v>46387</v>
      </c>
      <c r="W300" s="680" t="n"/>
      <c r="X300" s="680" t="n">
        <v>46024</v>
      </c>
      <c r="Y300" s="677" t="n">
        <v>80000</v>
      </c>
      <c r="Z300" s="678" t="n"/>
      <c r="AA300" s="678">
        <f>Y300</f>
        <v/>
      </c>
      <c r="AB300" s="678" t="n"/>
      <c r="AC300" s="678">
        <f>Y300</f>
        <v/>
      </c>
      <c r="AD300" s="678">
        <f>AA300</f>
        <v/>
      </c>
      <c r="AE300" s="682" t="inlineStr">
        <is>
          <t>ENGAGE</t>
        </is>
      </c>
      <c r="AF300" s="681" t="n"/>
      <c r="AG300" s="678" t="n"/>
      <c r="AH300" s="678" t="n"/>
      <c r="AI300" s="678" t="n"/>
      <c r="AJ300" s="678" t="n"/>
      <c r="AK300" s="683" t="n"/>
      <c r="AL300" s="683" t="n"/>
      <c r="AM300" s="681" t="inlineStr">
        <is>
          <t>Manque n° contrat</t>
        </is>
      </c>
      <c r="AN300" s="684" t="n"/>
      <c r="AO300" s="685" t="n"/>
      <c r="AP300" s="686" t="n"/>
      <c r="AQ300" s="686" t="n"/>
      <c r="AR300" s="23" t="n"/>
      <c r="AS300" s="686" t="n"/>
    </row>
    <row r="301" ht="65.40000000000001" customHeight="1" s="392">
      <c r="A301" s="672" t="n">
        <v>2026</v>
      </c>
      <c r="B301" s="673" t="inlineStr">
        <is>
          <t>ASSADISSA</t>
        </is>
      </c>
      <c r="C301" s="673" t="inlineStr">
        <is>
          <t>PV N° : 03RC2025-DPPCCRTV</t>
        </is>
      </c>
      <c r="D301" s="672" t="inlineStr">
        <is>
          <t>CONTRAT</t>
        </is>
      </c>
      <c r="E301" s="672" t="n"/>
      <c r="F301" s="674" t="inlineStr">
        <is>
          <t>MOULAY ENNAJEM TAHDAOUI  -  La préparation et la présentation de l'émission TV intitulée ''الرسم القرآني ‘‘</t>
        </is>
      </c>
      <c r="G301" s="675" t="inlineStr">
        <is>
          <t>VALIDE</t>
        </is>
      </c>
      <c r="H301" s="672" t="inlineStr">
        <is>
          <t>APPROUVE</t>
        </is>
      </c>
      <c r="I301" s="672" t="n"/>
      <c r="J301" s="675" t="inlineStr">
        <is>
          <t>NON CONCERNE</t>
        </is>
      </c>
      <c r="K301" s="672" t="inlineStr">
        <is>
          <t>Ordinaire</t>
        </is>
      </c>
      <c r="L301" s="676" t="inlineStr">
        <is>
          <t>FONCTIONNEMENT</t>
        </is>
      </c>
      <c r="M301" s="676" t="inlineStr">
        <is>
          <t>Achats de productions et de programmes
Achat des programmes en production interne - personnes physiques</t>
        </is>
      </c>
      <c r="N301" s="677" t="n"/>
      <c r="O301" s="678" t="n"/>
      <c r="P301" s="678" t="n"/>
      <c r="Q301" s="672" t="inlineStr">
        <is>
          <t>RECONDUCTION</t>
        </is>
      </c>
      <c r="R301" s="679" t="n"/>
      <c r="S301" s="680" t="n"/>
      <c r="T301" s="681" t="inlineStr">
        <is>
          <t>MOULAY ENNAJEM TAHDAOUI</t>
        </is>
      </c>
      <c r="U301" s="672" t="n">
        <v>2026</v>
      </c>
      <c r="V301" s="680" t="n">
        <v>46387</v>
      </c>
      <c r="W301" s="680" t="n"/>
      <c r="X301" s="680" t="n">
        <v>46024</v>
      </c>
      <c r="Y301" s="677" t="n">
        <v>96000</v>
      </c>
      <c r="Z301" s="678" t="n"/>
      <c r="AA301" s="678">
        <f>Y301</f>
        <v/>
      </c>
      <c r="AB301" s="678" t="n"/>
      <c r="AC301" s="678">
        <f>Y301</f>
        <v/>
      </c>
      <c r="AD301" s="678">
        <f>AA301</f>
        <v/>
      </c>
      <c r="AE301" s="682" t="inlineStr">
        <is>
          <t>ENGAGE</t>
        </is>
      </c>
      <c r="AF301" s="681" t="n"/>
      <c r="AG301" s="678" t="n"/>
      <c r="AH301" s="678" t="n"/>
      <c r="AI301" s="678" t="n"/>
      <c r="AJ301" s="678" t="n"/>
      <c r="AK301" s="683" t="n"/>
      <c r="AL301" s="683" t="n"/>
      <c r="AM301" s="681" t="inlineStr">
        <is>
          <t>Manque n° contrat</t>
        </is>
      </c>
      <c r="AN301" s="684" t="n"/>
      <c r="AO301" s="685" t="n"/>
      <c r="AP301" s="686" t="n"/>
      <c r="AQ301" s="686" t="n"/>
      <c r="AR301" s="23" t="n"/>
      <c r="AS301" s="686" t="n"/>
    </row>
    <row r="302" ht="65.40000000000001" customHeight="1" s="392">
      <c r="A302" s="672" t="n">
        <v>2026</v>
      </c>
      <c r="B302" s="673" t="inlineStr">
        <is>
          <t>ASSADISSA</t>
        </is>
      </c>
      <c r="C302" s="673" t="inlineStr">
        <is>
          <t>PV N° : 03RC2025-DPPCCRTV</t>
        </is>
      </c>
      <c r="D302" s="672" t="inlineStr">
        <is>
          <t>CONTRAT</t>
        </is>
      </c>
      <c r="E302" s="672" t="n"/>
      <c r="F302" s="674" t="inlineStr">
        <is>
          <t>MOHAMED AIT ADDI  -  La préparation et la présentation de l'émission TV intitulée ''في ضيافة الشباب ''</t>
        </is>
      </c>
      <c r="G302" s="675" t="inlineStr">
        <is>
          <t>VALIDE</t>
        </is>
      </c>
      <c r="H302" s="672" t="inlineStr">
        <is>
          <t>APPROUVE</t>
        </is>
      </c>
      <c r="I302" s="672" t="n"/>
      <c r="J302" s="675" t="inlineStr">
        <is>
          <t>NON CONCERNE</t>
        </is>
      </c>
      <c r="K302" s="672" t="inlineStr">
        <is>
          <t>Ordinaire</t>
        </is>
      </c>
      <c r="L302" s="676" t="inlineStr">
        <is>
          <t>FONCTIONNEMENT</t>
        </is>
      </c>
      <c r="M302" s="676" t="inlineStr">
        <is>
          <t>Achats de productions et de programmes
Achat des programmes en production interne - personnes physiques</t>
        </is>
      </c>
      <c r="N302" s="677" t="n"/>
      <c r="O302" s="678" t="n"/>
      <c r="P302" s="678" t="n"/>
      <c r="Q302" s="672" t="inlineStr">
        <is>
          <t>RECONDUCTION</t>
        </is>
      </c>
      <c r="R302" s="679" t="n"/>
      <c r="S302" s="680" t="n"/>
      <c r="T302" s="681" t="inlineStr">
        <is>
          <t>MOHAMED AIT ADDI</t>
        </is>
      </c>
      <c r="U302" s="672" t="n">
        <v>2026</v>
      </c>
      <c r="V302" s="680" t="n">
        <v>46387</v>
      </c>
      <c r="W302" s="680" t="n"/>
      <c r="X302" s="680" t="n">
        <v>46024</v>
      </c>
      <c r="Y302" s="677" t="n">
        <v>128000</v>
      </c>
      <c r="Z302" s="678" t="n"/>
      <c r="AA302" s="678">
        <f>Y302</f>
        <v/>
      </c>
      <c r="AB302" s="678" t="n"/>
      <c r="AC302" s="678">
        <f>Y302</f>
        <v/>
      </c>
      <c r="AD302" s="678">
        <f>AA302</f>
        <v/>
      </c>
      <c r="AE302" s="682" t="inlineStr">
        <is>
          <t>ENGAGE</t>
        </is>
      </c>
      <c r="AF302" s="681" t="n"/>
      <c r="AG302" s="678" t="n"/>
      <c r="AH302" s="678" t="n"/>
      <c r="AI302" s="678" t="n"/>
      <c r="AJ302" s="678" t="n"/>
      <c r="AK302" s="683" t="n"/>
      <c r="AL302" s="683" t="n"/>
      <c r="AM302" s="681" t="inlineStr">
        <is>
          <t>Manque n° contrat</t>
        </is>
      </c>
      <c r="AN302" s="684" t="n"/>
      <c r="AO302" s="685" t="n"/>
      <c r="AP302" s="686" t="n"/>
      <c r="AQ302" s="686" t="n"/>
      <c r="AR302" s="23" t="n"/>
      <c r="AS302" s="686" t="n"/>
    </row>
    <row r="303" ht="65.40000000000001" customHeight="1" s="392">
      <c r="A303" s="672" t="n">
        <v>2026</v>
      </c>
      <c r="B303" s="673" t="inlineStr">
        <is>
          <t>ASSADISSA</t>
        </is>
      </c>
      <c r="C303" s="673" t="inlineStr">
        <is>
          <t>PV N° : 03RC2025-DPPCCRTV</t>
        </is>
      </c>
      <c r="D303" s="672" t="inlineStr">
        <is>
          <t>CONTRAT</t>
        </is>
      </c>
      <c r="E303" s="672" t="n"/>
      <c r="F303" s="674" t="inlineStr">
        <is>
          <t>ABDELLATIF TAYBI  -  La préparation et la présentation l'émission TV intitulée ''يوميات مسلم''</t>
        </is>
      </c>
      <c r="G303" s="675" t="inlineStr">
        <is>
          <t>VALIDE</t>
        </is>
      </c>
      <c r="H303" s="672" t="inlineStr">
        <is>
          <t>APPROUVE</t>
        </is>
      </c>
      <c r="I303" s="672" t="n"/>
      <c r="J303" s="675" t="inlineStr">
        <is>
          <t>NON CONCERNE</t>
        </is>
      </c>
      <c r="K303" s="672" t="inlineStr">
        <is>
          <t>Ordinaire</t>
        </is>
      </c>
      <c r="L303" s="676" t="inlineStr">
        <is>
          <t>FONCTIONNEMENT</t>
        </is>
      </c>
      <c r="M303" s="676" t="inlineStr">
        <is>
          <t>Achats de productions et de programmes
Achat des programmes en production interne - personnes physiques</t>
        </is>
      </c>
      <c r="N303" s="677" t="n"/>
      <c r="O303" s="678" t="n"/>
      <c r="P303" s="678" t="n"/>
      <c r="Q303" s="672" t="inlineStr">
        <is>
          <t>RECONDUCTION</t>
        </is>
      </c>
      <c r="R303" s="679" t="n"/>
      <c r="S303" s="680" t="n"/>
      <c r="T303" s="681" t="inlineStr">
        <is>
          <t>ABDELLATIF TAYBI</t>
        </is>
      </c>
      <c r="U303" s="672" t="n">
        <v>2026</v>
      </c>
      <c r="V303" s="680" t="n">
        <v>46387</v>
      </c>
      <c r="W303" s="680" t="n"/>
      <c r="X303" s="680" t="n">
        <v>46024</v>
      </c>
      <c r="Y303" s="677" t="n">
        <v>80000</v>
      </c>
      <c r="Z303" s="678" t="n"/>
      <c r="AA303" s="678">
        <f>Y303</f>
        <v/>
      </c>
      <c r="AB303" s="678" t="n"/>
      <c r="AC303" s="678">
        <f>Y303</f>
        <v/>
      </c>
      <c r="AD303" s="678">
        <f>AA303</f>
        <v/>
      </c>
      <c r="AE303" s="682" t="inlineStr">
        <is>
          <t>ENGAGE</t>
        </is>
      </c>
      <c r="AF303" s="681" t="n"/>
      <c r="AG303" s="678" t="n"/>
      <c r="AH303" s="678" t="n"/>
      <c r="AI303" s="678" t="n"/>
      <c r="AJ303" s="678" t="n"/>
      <c r="AK303" s="683" t="n"/>
      <c r="AL303" s="683" t="n"/>
      <c r="AM303" s="681" t="inlineStr">
        <is>
          <t>Manque n° contrat</t>
        </is>
      </c>
      <c r="AN303" s="684" t="n"/>
      <c r="AO303" s="685" t="n"/>
      <c r="AP303" s="686" t="n"/>
      <c r="AQ303" s="686" t="n"/>
      <c r="AR303" s="23" t="n"/>
      <c r="AS303" s="686" t="n"/>
    </row>
    <row r="304" ht="65.40000000000001" customHeight="1" s="392">
      <c r="A304" s="672" t="n">
        <v>2026</v>
      </c>
      <c r="B304" s="673" t="inlineStr">
        <is>
          <t>ASSADISSA</t>
        </is>
      </c>
      <c r="C304" s="673" t="inlineStr">
        <is>
          <t>PV N° : 03RC2025-DPPCCRTV</t>
        </is>
      </c>
      <c r="D304" s="672" t="inlineStr">
        <is>
          <t>CONTRAT</t>
        </is>
      </c>
      <c r="E304" s="672" t="n"/>
      <c r="F304" s="674" t="inlineStr">
        <is>
          <t>YOUNES BOUALAM  -  La préparation et la présentation de l'émission RD"قبس الأنوار"</t>
        </is>
      </c>
      <c r="G304" s="675" t="inlineStr">
        <is>
          <t>VALIDE</t>
        </is>
      </c>
      <c r="H304" s="672" t="inlineStr">
        <is>
          <t>APPROUVE</t>
        </is>
      </c>
      <c r="I304" s="672" t="n"/>
      <c r="J304" s="675" t="inlineStr">
        <is>
          <t>NON CONCERNE</t>
        </is>
      </c>
      <c r="K304" s="672" t="inlineStr">
        <is>
          <t>Ordinaire</t>
        </is>
      </c>
      <c r="L304" s="676" t="inlineStr">
        <is>
          <t>FONCTIONNEMENT</t>
        </is>
      </c>
      <c r="M304" s="676" t="inlineStr">
        <is>
          <t>Achats de productions et de programmes
Achat des programmes en production interne - personnes physiques</t>
        </is>
      </c>
      <c r="N304" s="677" t="n"/>
      <c r="O304" s="678" t="n"/>
      <c r="P304" s="678" t="n"/>
      <c r="Q304" s="672" t="inlineStr">
        <is>
          <t>RECONDUCTION</t>
        </is>
      </c>
      <c r="R304" s="679" t="n"/>
      <c r="S304" s="680" t="n"/>
      <c r="T304" s="681" t="inlineStr">
        <is>
          <t>YOUNES BOUALAM</t>
        </is>
      </c>
      <c r="U304" s="672" t="n">
        <v>2026</v>
      </c>
      <c r="V304" s="680" t="n">
        <v>46387</v>
      </c>
      <c r="W304" s="680" t="n"/>
      <c r="X304" s="680" t="n">
        <v>46024</v>
      </c>
      <c r="Y304" s="677" t="n">
        <v>51428.52</v>
      </c>
      <c r="Z304" s="678" t="n"/>
      <c r="AA304" s="678">
        <f>Y304</f>
        <v/>
      </c>
      <c r="AB304" s="678" t="n"/>
      <c r="AC304" s="678">
        <f>Y304</f>
        <v/>
      </c>
      <c r="AD304" s="678">
        <f>AA304</f>
        <v/>
      </c>
      <c r="AE304" s="682" t="inlineStr">
        <is>
          <t>ENGAGE</t>
        </is>
      </c>
      <c r="AF304" s="681" t="n"/>
      <c r="AG304" s="678" t="n"/>
      <c r="AH304" s="678" t="n"/>
      <c r="AI304" s="678" t="n"/>
      <c r="AJ304" s="678" t="n"/>
      <c r="AK304" s="683" t="n"/>
      <c r="AL304" s="683" t="n"/>
      <c r="AM304" s="681" t="inlineStr">
        <is>
          <t>Manque n° contrat</t>
        </is>
      </c>
      <c r="AN304" s="684" t="n"/>
      <c r="AO304" s="685" t="n"/>
      <c r="AP304" s="686" t="n"/>
      <c r="AQ304" s="686" t="n"/>
      <c r="AR304" s="23" t="n"/>
      <c r="AS304" s="686" t="n"/>
    </row>
    <row r="305" ht="95.10000000000001" customHeight="1" s="392">
      <c r="A305" s="672" t="n">
        <v>2026</v>
      </c>
      <c r="B305" s="673" t="inlineStr">
        <is>
          <t>TV LAAYOUNE</t>
        </is>
      </c>
      <c r="C305" s="673" t="inlineStr">
        <is>
          <t>RECONDUCTION</t>
        </is>
      </c>
      <c r="D305" s="672" t="inlineStr">
        <is>
          <t>AOO-CT</t>
        </is>
      </c>
      <c r="E305" s="672" t="n">
        <v>1</v>
      </c>
      <c r="F305" s="674" t="inlineStr">
        <is>
          <t>Exécution de la production de l'émission pour femmes en PAD intitulée "LAMASATE NISAIYA"</t>
        </is>
      </c>
      <c r="G305" s="675" t="inlineStr">
        <is>
          <t>VALIDE</t>
        </is>
      </c>
      <c r="H305" s="672" t="inlineStr">
        <is>
          <t>APPROUVE</t>
        </is>
      </c>
      <c r="I305" s="672" t="inlineStr">
        <is>
          <t>12CT/SNRT/2026</t>
        </is>
      </c>
      <c r="J305" s="675" t="inlineStr">
        <is>
          <t>NON CONCERNE</t>
        </is>
      </c>
      <c r="K305" s="672" t="inlineStr">
        <is>
          <t>Ordinaire</t>
        </is>
      </c>
      <c r="L305" s="676" t="inlineStr">
        <is>
          <t>FONCTIONNEMENT</t>
        </is>
      </c>
      <c r="M305" s="676" t="inlineStr">
        <is>
          <t>Achats de productions et de programmes 
Acquis définitive Programmes TV externes 
Achats des programmes en co-production</t>
        </is>
      </c>
      <c r="N305" s="677" t="n"/>
      <c r="O305" s="678" t="n"/>
      <c r="P305" s="678" t="n"/>
      <c r="Q305" s="672" t="inlineStr">
        <is>
          <t>RECONDUCTION</t>
        </is>
      </c>
      <c r="R305" s="679" t="n"/>
      <c r="S305" s="680" t="n"/>
      <c r="T305" s="681" t="inlineStr">
        <is>
          <t>DUNAS PRODUCTION</t>
        </is>
      </c>
      <c r="U305" s="672" t="n">
        <v>2026</v>
      </c>
      <c r="V305" s="680" t="n">
        <v>46030</v>
      </c>
      <c r="W305" s="680" t="n"/>
      <c r="X305" s="680" t="n">
        <v>46038</v>
      </c>
      <c r="Y305" s="677" t="n">
        <v>1030959.9</v>
      </c>
      <c r="Z305" s="678" t="n">
        <v>0</v>
      </c>
      <c r="AA305" s="678" t="n">
        <v>1030959.9</v>
      </c>
      <c r="AB305" s="678" t="n">
        <v>0</v>
      </c>
      <c r="AC305" s="678" t="n">
        <v>1030959.9</v>
      </c>
      <c r="AD305" s="678" t="n">
        <v>1030959.9</v>
      </c>
      <c r="AE305" s="682" t="inlineStr">
        <is>
          <t>ENGAGE</t>
        </is>
      </c>
      <c r="AF305" s="681" t="n"/>
      <c r="AG305" s="678" t="n"/>
      <c r="AH305" s="678" t="n"/>
      <c r="AI305" s="678" t="n"/>
      <c r="AJ305" s="678" t="n"/>
      <c r="AK305" s="683" t="n"/>
      <c r="AL305" s="683" t="n"/>
      <c r="AM305" s="681" t="inlineStr">
        <is>
          <t>RAS</t>
        </is>
      </c>
      <c r="AN305" s="687" t="n"/>
      <c r="AO305" s="688" t="n"/>
      <c r="AP305" s="689" t="n"/>
      <c r="AQ305" s="689" t="n"/>
      <c r="AR305" s="23" t="n"/>
      <c r="AS305" s="689" t="n"/>
    </row>
    <row r="306" ht="95.10000000000001" customHeight="1" s="392">
      <c r="A306" s="672" t="n">
        <v>2026</v>
      </c>
      <c r="B306" s="673" t="inlineStr">
        <is>
          <t>TV LAAYOUNE</t>
        </is>
      </c>
      <c r="C306" s="673" t="inlineStr">
        <is>
          <t>RECONDUCTION</t>
        </is>
      </c>
      <c r="D306" s="672" t="inlineStr">
        <is>
          <t>AOO-CT</t>
        </is>
      </c>
      <c r="E306" s="672" t="n">
        <v>1</v>
      </c>
      <c r="F306" s="674" t="inlineStr">
        <is>
          <t>Exécution de la production de l'émission de jeux culturel en co-prod intitulée «AL FAICHE EX AL FARIH "</t>
        </is>
      </c>
      <c r="G306" s="675" t="inlineStr">
        <is>
          <t>VALIDE</t>
        </is>
      </c>
      <c r="H306" s="672" t="inlineStr">
        <is>
          <t>APPROUVE</t>
        </is>
      </c>
      <c r="I306" s="672" t="inlineStr">
        <is>
          <t>16CT/SNRT/2026</t>
        </is>
      </c>
      <c r="J306" s="675" t="inlineStr">
        <is>
          <t>NON CONCERNE</t>
        </is>
      </c>
      <c r="K306" s="672" t="inlineStr">
        <is>
          <t>Ordinaire</t>
        </is>
      </c>
      <c r="L306" s="676" t="inlineStr">
        <is>
          <t>FONCTIONNEMENT</t>
        </is>
      </c>
      <c r="M306" s="676" t="inlineStr">
        <is>
          <t>Achats de productions et de programmes 
Acquis définitive Programmes TV externes 
Achats des programmes en co-production</t>
        </is>
      </c>
      <c r="N306" s="677" t="n"/>
      <c r="O306" s="678" t="n"/>
      <c r="P306" s="678" t="n"/>
      <c r="Q306" s="672" t="inlineStr">
        <is>
          <t>RECONDUCTION</t>
        </is>
      </c>
      <c r="R306" s="679" t="n"/>
      <c r="S306" s="680" t="n"/>
      <c r="T306" s="681" t="inlineStr">
        <is>
          <t>DUNAS PRODUCTION</t>
        </is>
      </c>
      <c r="U306" s="672" t="n">
        <v>2026</v>
      </c>
      <c r="V306" s="680" t="n">
        <v>46030</v>
      </c>
      <c r="W306" s="680" t="n"/>
      <c r="X306" s="680" t="n">
        <v>46038</v>
      </c>
      <c r="Y306" s="677" t="n">
        <v>696639.96</v>
      </c>
      <c r="Z306" s="678" t="n">
        <v>0</v>
      </c>
      <c r="AA306" s="678" t="n">
        <v>696639.96</v>
      </c>
      <c r="AB306" s="678" t="n">
        <v>0</v>
      </c>
      <c r="AC306" s="678" t="n">
        <v>696639.96</v>
      </c>
      <c r="AD306" s="678" t="n">
        <v>696639.96</v>
      </c>
      <c r="AE306" s="682" t="inlineStr">
        <is>
          <t>ENGAGE</t>
        </is>
      </c>
      <c r="AF306" s="681" t="n"/>
      <c r="AG306" s="678" t="n"/>
      <c r="AH306" s="678" t="n"/>
      <c r="AI306" s="678" t="n"/>
      <c r="AJ306" s="678" t="n"/>
      <c r="AK306" s="683" t="n"/>
      <c r="AL306" s="683" t="n"/>
      <c r="AM306" s="681" t="inlineStr">
        <is>
          <t>RAS</t>
        </is>
      </c>
      <c r="AN306" s="687" t="n"/>
      <c r="AO306" s="688" t="n"/>
      <c r="AP306" s="689" t="n"/>
      <c r="AQ306" s="689" t="n"/>
      <c r="AR306" s="23" t="n"/>
      <c r="AS306" s="690" t="n"/>
    </row>
    <row r="307" ht="95.10000000000001" customHeight="1" s="392">
      <c r="A307" s="672" t="n">
        <v>2026</v>
      </c>
      <c r="B307" s="673" t="inlineStr">
        <is>
          <t>TV LAAYOUNE</t>
        </is>
      </c>
      <c r="C307" s="673" t="inlineStr">
        <is>
          <t>RECONDUCTION</t>
        </is>
      </c>
      <c r="D307" s="672" t="inlineStr">
        <is>
          <t>AOO-CT</t>
        </is>
      </c>
      <c r="E307" s="672" t="n">
        <v>1</v>
      </c>
      <c r="F307" s="674" t="inlineStr">
        <is>
          <t>Exécution de la production de l’émission en PAD "ICHOUF A CHIBANI</t>
        </is>
      </c>
      <c r="G307" s="675" t="inlineStr">
        <is>
          <t>VALIDE</t>
        </is>
      </c>
      <c r="H307" s="672" t="inlineStr">
        <is>
          <t>APPROUVE</t>
        </is>
      </c>
      <c r="I307" s="672" t="inlineStr">
        <is>
          <t>22CT/SNRT/2026</t>
        </is>
      </c>
      <c r="J307" s="675" t="inlineStr">
        <is>
          <t>NON CONCERNE</t>
        </is>
      </c>
      <c r="K307" s="672" t="inlineStr">
        <is>
          <t>Ordinaire</t>
        </is>
      </c>
      <c r="L307" s="676" t="inlineStr">
        <is>
          <t>FONCTIONNEMENT</t>
        </is>
      </c>
      <c r="M307" s="676" t="inlineStr">
        <is>
          <t>Achats de productions et de programmes 
Acquis définitive Programmes TV externes 
Achats des programmes en co-production</t>
        </is>
      </c>
      <c r="N307" s="677" t="n"/>
      <c r="O307" s="678" t="n"/>
      <c r="P307" s="678" t="n"/>
      <c r="Q307" s="672" t="inlineStr">
        <is>
          <t>RECONDUCTION</t>
        </is>
      </c>
      <c r="R307" s="679" t="n"/>
      <c r="S307" s="680" t="n"/>
      <c r="T307" s="681" t="inlineStr">
        <is>
          <t>JOWHARA TECH</t>
        </is>
      </c>
      <c r="U307" s="672" t="n">
        <v>2026</v>
      </c>
      <c r="V307" s="680" t="n">
        <v>46030</v>
      </c>
      <c r="W307" s="680" t="n"/>
      <c r="X307" s="680" t="n">
        <v>46038</v>
      </c>
      <c r="Y307" s="677" t="n">
        <v>1195599.9</v>
      </c>
      <c r="Z307" s="678" t="n">
        <v>0</v>
      </c>
      <c r="AA307" s="678" t="n">
        <v>1195599.9</v>
      </c>
      <c r="AB307" s="678" t="n">
        <v>0</v>
      </c>
      <c r="AC307" s="678" t="n">
        <v>1195599.9</v>
      </c>
      <c r="AD307" s="678" t="n">
        <v>1195599.9</v>
      </c>
      <c r="AE307" s="682" t="inlineStr">
        <is>
          <t>ENGAGE</t>
        </is>
      </c>
      <c r="AF307" s="681" t="n"/>
      <c r="AG307" s="678" t="n"/>
      <c r="AH307" s="678" t="n"/>
      <c r="AI307" s="678" t="n"/>
      <c r="AJ307" s="678" t="n"/>
      <c r="AK307" s="683" t="n"/>
      <c r="AL307" s="683" t="n"/>
      <c r="AM307" s="681" t="inlineStr">
        <is>
          <t>RAS</t>
        </is>
      </c>
      <c r="AN307" s="687" t="n"/>
      <c r="AO307" s="688" t="n"/>
      <c r="AP307" s="689" t="n"/>
      <c r="AQ307" s="689" t="n"/>
      <c r="AR307" s="23" t="n"/>
      <c r="AS307" s="690" t="n"/>
    </row>
    <row r="308" ht="95.10000000000001" customHeight="1" s="392">
      <c r="A308" s="672" t="n">
        <v>2026</v>
      </c>
      <c r="B308" s="673" t="inlineStr">
        <is>
          <t>TV LAAYOUNE</t>
        </is>
      </c>
      <c r="C308" s="673" t="inlineStr">
        <is>
          <t>RECONDUCTION</t>
        </is>
      </c>
      <c r="D308" s="672" t="inlineStr">
        <is>
          <t>AOO-CT</t>
        </is>
      </c>
      <c r="E308" s="672" t="n">
        <v>1</v>
      </c>
      <c r="F308" s="674" t="inlineStr">
        <is>
          <t>Exécution de la production du documentaire découverte sur le Sahara en PAD intitulée "AMNIR"</t>
        </is>
      </c>
      <c r="G308" s="675" t="inlineStr">
        <is>
          <t>VALIDE</t>
        </is>
      </c>
      <c r="H308" s="672" t="inlineStr">
        <is>
          <t>APPROUVE</t>
        </is>
      </c>
      <c r="I308" s="672" t="inlineStr">
        <is>
          <t>15CT/SNRT/2026</t>
        </is>
      </c>
      <c r="J308" s="675" t="inlineStr">
        <is>
          <t>NON CONCERNE</t>
        </is>
      </c>
      <c r="K308" s="672" t="inlineStr">
        <is>
          <t>Ordinaire</t>
        </is>
      </c>
      <c r="L308" s="676" t="inlineStr">
        <is>
          <t>FONCTIONNEMENT</t>
        </is>
      </c>
      <c r="M308" s="676" t="inlineStr">
        <is>
          <t>Achats de productions et de programmes 
Acquis définitive Programmes TV externes 
Achats des programmes en co-production</t>
        </is>
      </c>
      <c r="N308" s="677" t="n"/>
      <c r="O308" s="678" t="n"/>
      <c r="P308" s="678" t="n"/>
      <c r="Q308" s="672" t="inlineStr">
        <is>
          <t>RECONDUCTION</t>
        </is>
      </c>
      <c r="R308" s="679" t="n"/>
      <c r="S308" s="680" t="n"/>
      <c r="T308" s="681" t="inlineStr">
        <is>
          <t>DELTA PRODUCTION</t>
        </is>
      </c>
      <c r="U308" s="672" t="n">
        <v>2026</v>
      </c>
      <c r="V308" s="680" t="n">
        <v>46030</v>
      </c>
      <c r="W308" s="680" t="n"/>
      <c r="X308" s="680" t="n">
        <v>46035</v>
      </c>
      <c r="Y308" s="677" t="n">
        <v>1687503.9</v>
      </c>
      <c r="Z308" s="678" t="n">
        <v>0</v>
      </c>
      <c r="AA308" s="678" t="n">
        <v>1687503.9</v>
      </c>
      <c r="AB308" s="678" t="n">
        <v>0</v>
      </c>
      <c r="AC308" s="678" t="n">
        <v>1687503.9</v>
      </c>
      <c r="AD308" s="678" t="n">
        <v>1687503.9</v>
      </c>
      <c r="AE308" s="682" t="inlineStr">
        <is>
          <t>ENGAGE</t>
        </is>
      </c>
      <c r="AF308" s="681" t="n"/>
      <c r="AG308" s="678" t="n"/>
      <c r="AH308" s="678" t="n"/>
      <c r="AI308" s="678" t="n"/>
      <c r="AJ308" s="678" t="n"/>
      <c r="AK308" s="683" t="n"/>
      <c r="AL308" s="683" t="n"/>
      <c r="AM308" s="681" t="inlineStr">
        <is>
          <t>RAS</t>
        </is>
      </c>
      <c r="AN308" s="687" t="n"/>
      <c r="AO308" s="688" t="n"/>
      <c r="AP308" s="689" t="n"/>
      <c r="AQ308" s="689" t="n"/>
      <c r="AR308" s="23" t="n"/>
      <c r="AS308" s="690" t="n"/>
    </row>
    <row r="309" ht="95.10000000000001" customHeight="1" s="392">
      <c r="A309" s="672" t="n">
        <v>2026</v>
      </c>
      <c r="B309" s="673" t="inlineStr">
        <is>
          <t>TV LAAYOUNE</t>
        </is>
      </c>
      <c r="C309" s="673" t="inlineStr">
        <is>
          <t>RECONDUCTION</t>
        </is>
      </c>
      <c r="D309" s="672" t="inlineStr">
        <is>
          <t>AOO-CT</t>
        </is>
      </c>
      <c r="E309" s="672" t="n">
        <v>1</v>
      </c>
      <c r="F309" s="674" t="inlineStr">
        <is>
          <t>Exécution de la production d’une série d’AMDAH NABAWIYA en PAD intitulée "BISMILAH LAHI NAMDAH"</t>
        </is>
      </c>
      <c r="G309" s="675" t="inlineStr">
        <is>
          <t>VALIDE</t>
        </is>
      </c>
      <c r="H309" s="672" t="inlineStr">
        <is>
          <t>APPROUVE</t>
        </is>
      </c>
      <c r="I309" s="672" t="inlineStr">
        <is>
          <t>13CT/SNRT/2026</t>
        </is>
      </c>
      <c r="J309" s="675" t="inlineStr">
        <is>
          <t>NON CONCERNE</t>
        </is>
      </c>
      <c r="K309" s="672" t="inlineStr">
        <is>
          <t>Ordinaire</t>
        </is>
      </c>
      <c r="L309" s="676" t="inlineStr">
        <is>
          <t>FONCTIONNEMENT</t>
        </is>
      </c>
      <c r="M309" s="676" t="inlineStr">
        <is>
          <t>Achats de productions et de programmes 
Acquis définitive Programmes TV externes 
Achats des programmes en co-production</t>
        </is>
      </c>
      <c r="N309" s="677" t="n"/>
      <c r="O309" s="678" t="n"/>
      <c r="P309" s="678" t="n"/>
      <c r="Q309" s="672" t="inlineStr">
        <is>
          <t>RECONDUCTION</t>
        </is>
      </c>
      <c r="R309" s="679" t="n"/>
      <c r="S309" s="680" t="n"/>
      <c r="T309" s="681" t="inlineStr">
        <is>
          <t>LAJOUAD VISION</t>
        </is>
      </c>
      <c r="U309" s="672" t="n">
        <v>2026</v>
      </c>
      <c r="V309" s="680" t="n">
        <v>46030</v>
      </c>
      <c r="W309" s="680" t="n"/>
      <c r="X309" s="680" t="n">
        <v>46035</v>
      </c>
      <c r="Y309" s="677" t="n">
        <v>933296.1</v>
      </c>
      <c r="Z309" s="678" t="n">
        <v>0</v>
      </c>
      <c r="AA309" s="678" t="n">
        <v>933296.1</v>
      </c>
      <c r="AB309" s="678" t="n">
        <v>0</v>
      </c>
      <c r="AC309" s="678" t="n">
        <v>933296.1</v>
      </c>
      <c r="AD309" s="678" t="n">
        <v>933296.1</v>
      </c>
      <c r="AE309" s="682" t="inlineStr">
        <is>
          <t>ENGAGE</t>
        </is>
      </c>
      <c r="AF309" s="681" t="n"/>
      <c r="AG309" s="678" t="n"/>
      <c r="AH309" s="678" t="n"/>
      <c r="AI309" s="678" t="n"/>
      <c r="AJ309" s="678" t="n"/>
      <c r="AK309" s="683" t="n"/>
      <c r="AL309" s="683" t="n"/>
      <c r="AM309" s="681" t="inlineStr">
        <is>
          <t>RAS</t>
        </is>
      </c>
    </row>
    <row r="310" ht="95.10000000000001" customHeight="1" s="392">
      <c r="A310" s="672" t="n">
        <v>2026</v>
      </c>
      <c r="B310" s="673" t="inlineStr">
        <is>
          <t>TV LAAYOUNE</t>
        </is>
      </c>
      <c r="C310" s="673" t="inlineStr">
        <is>
          <t>RECONDUCTION</t>
        </is>
      </c>
      <c r="D310" s="672" t="inlineStr">
        <is>
          <t>AOO-CT</t>
        </is>
      </c>
      <c r="E310" s="672" t="n">
        <v>1</v>
      </c>
      <c r="F310" s="674" t="inlineStr">
        <is>
          <t>Exécution de la production de   émission sur le patrimoine et la culture hassani en PAD intitulée: "MAA NAHA"</t>
        </is>
      </c>
      <c r="G310" s="675" t="inlineStr">
        <is>
          <t>VALIDE</t>
        </is>
      </c>
      <c r="H310" s="672" t="inlineStr">
        <is>
          <t>APPROUVE</t>
        </is>
      </c>
      <c r="I310" s="672" t="inlineStr">
        <is>
          <t>21CT/SNRT/2026</t>
        </is>
      </c>
      <c r="J310" s="675" t="inlineStr">
        <is>
          <t>NON CONCERNE</t>
        </is>
      </c>
      <c r="K310" s="672" t="inlineStr">
        <is>
          <t>Ordinaire</t>
        </is>
      </c>
      <c r="L310" s="676" t="inlineStr">
        <is>
          <t>FONCTIONNEMENT</t>
        </is>
      </c>
      <c r="M310" s="676" t="inlineStr">
        <is>
          <t>Achats de productions et de programmes 
Acquis définitive Programmes TV externes 
Achats des programmes en co-production</t>
        </is>
      </c>
      <c r="N310" s="677" t="n"/>
      <c r="O310" s="678" t="n"/>
      <c r="P310" s="678" t="n"/>
      <c r="Q310" s="672" t="inlineStr">
        <is>
          <t>RECONDUCTION</t>
        </is>
      </c>
      <c r="R310" s="679" t="n"/>
      <c r="S310" s="680" t="n"/>
      <c r="T310" s="681" t="inlineStr">
        <is>
          <t>SAKIA PRO</t>
        </is>
      </c>
      <c r="U310" s="672" t="n">
        <v>2026</v>
      </c>
      <c r="V310" s="680" t="n">
        <v>46030</v>
      </c>
      <c r="W310" s="680" t="n"/>
      <c r="X310" s="680" t="n">
        <v>46035</v>
      </c>
      <c r="Y310" s="677" t="n">
        <v>1184400</v>
      </c>
      <c r="Z310" s="678" t="n">
        <v>0</v>
      </c>
      <c r="AA310" s="678" t="n">
        <v>1184400</v>
      </c>
      <c r="AB310" s="678" t="n">
        <v>0</v>
      </c>
      <c r="AC310" s="678" t="n">
        <v>1184400</v>
      </c>
      <c r="AD310" s="678" t="n">
        <v>1184400</v>
      </c>
      <c r="AE310" s="682" t="inlineStr">
        <is>
          <t>ENGAGE</t>
        </is>
      </c>
      <c r="AF310" s="681" t="n"/>
      <c r="AG310" s="678" t="n"/>
      <c r="AH310" s="678" t="n"/>
      <c r="AI310" s="678" t="n"/>
      <c r="AJ310" s="678" t="n"/>
      <c r="AK310" s="683" t="n"/>
      <c r="AL310" s="683" t="n"/>
      <c r="AM310" s="681" t="inlineStr">
        <is>
          <t>RAS</t>
        </is>
      </c>
    </row>
    <row r="311" ht="95.10000000000001" customHeight="1" s="392">
      <c r="A311" s="672" t="n">
        <v>2026</v>
      </c>
      <c r="B311" s="673" t="inlineStr">
        <is>
          <t>TV LAAYOUNE</t>
        </is>
      </c>
      <c r="C311" s="673" t="inlineStr">
        <is>
          <t>RECONDUCTION</t>
        </is>
      </c>
      <c r="D311" s="672" t="inlineStr">
        <is>
          <t>AOO-CT</t>
        </is>
      </c>
      <c r="E311" s="672" t="n">
        <v>1</v>
      </c>
      <c r="F311" s="674" t="inlineStr">
        <is>
          <t>Exécution de la production de   l'émission famille en PAD intitulée "HOUZMAT RAMADAN"</t>
        </is>
      </c>
      <c r="G311" s="675" t="inlineStr">
        <is>
          <t>VALIDE</t>
        </is>
      </c>
      <c r="H311" s="672" t="inlineStr">
        <is>
          <t>APPROUVE</t>
        </is>
      </c>
      <c r="I311" s="672" t="inlineStr">
        <is>
          <t>11CT/SNRT/2026</t>
        </is>
      </c>
      <c r="J311" s="675" t="inlineStr">
        <is>
          <t>NON CONCERNE</t>
        </is>
      </c>
      <c r="K311" s="672" t="inlineStr">
        <is>
          <t>Ordinaire</t>
        </is>
      </c>
      <c r="L311" s="676" t="inlineStr">
        <is>
          <t>FONCTIONNEMENT</t>
        </is>
      </c>
      <c r="M311" s="676" t="inlineStr">
        <is>
          <t>Achats de productions et de programmes 
Acquis définitive Programmes TV externes 
Achats des programmes en co-production</t>
        </is>
      </c>
      <c r="N311" s="677" t="n"/>
      <c r="O311" s="678" t="n"/>
      <c r="P311" s="678" t="n"/>
      <c r="Q311" s="672" t="inlineStr">
        <is>
          <t>RECONDUCTION</t>
        </is>
      </c>
      <c r="R311" s="679" t="n"/>
      <c r="S311" s="680" t="n"/>
      <c r="T311" s="681" t="inlineStr">
        <is>
          <t>NOUN PRODUCTION</t>
        </is>
      </c>
      <c r="U311" s="672" t="n">
        <v>2026</v>
      </c>
      <c r="V311" s="680" t="n">
        <v>46030</v>
      </c>
      <c r="W311" s="680" t="n"/>
      <c r="X311" s="680" t="n">
        <v>46035</v>
      </c>
      <c r="Y311" s="677" t="n">
        <v>875616</v>
      </c>
      <c r="Z311" s="678" t="n">
        <v>0</v>
      </c>
      <c r="AA311" s="678" t="n">
        <v>875616</v>
      </c>
      <c r="AB311" s="678" t="n">
        <v>0</v>
      </c>
      <c r="AC311" s="678" t="n">
        <v>875616</v>
      </c>
      <c r="AD311" s="678" t="n">
        <v>875616</v>
      </c>
      <c r="AE311" s="682" t="inlineStr">
        <is>
          <t>ENGAGE</t>
        </is>
      </c>
      <c r="AF311" s="681" t="n"/>
      <c r="AG311" s="678" t="n"/>
      <c r="AH311" s="678" t="n"/>
      <c r="AI311" s="678" t="n"/>
      <c r="AJ311" s="678" t="n"/>
      <c r="AK311" s="683" t="n"/>
      <c r="AL311" s="683" t="n"/>
      <c r="AM311" s="681" t="inlineStr">
        <is>
          <t>RAS</t>
        </is>
      </c>
    </row>
    <row r="312" ht="95.10000000000001" customHeight="1" s="392">
      <c r="A312" s="672" t="n">
        <v>2026</v>
      </c>
      <c r="B312" s="673" t="inlineStr">
        <is>
          <t>TV LAAYOUNE</t>
        </is>
      </c>
      <c r="C312" s="673" t="inlineStr">
        <is>
          <t>RECONDUCTION</t>
        </is>
      </c>
      <c r="D312" s="672" t="inlineStr">
        <is>
          <t>AOO-CT</t>
        </is>
      </c>
      <c r="E312" s="672" t="n">
        <v>1</v>
      </c>
      <c r="F312" s="674" t="inlineStr">
        <is>
          <t>Exécution de la production de   l'émission de jeu  en coprod intitulée : "AL JAMAL BIMA HAMAL"</t>
        </is>
      </c>
      <c r="G312" s="675" t="inlineStr">
        <is>
          <t>VALIDE</t>
        </is>
      </c>
      <c r="H312" s="672" t="inlineStr">
        <is>
          <t>APPROUVE</t>
        </is>
      </c>
      <c r="I312" s="672" t="inlineStr">
        <is>
          <t>08CT/SNRT/2026</t>
        </is>
      </c>
      <c r="J312" s="675" t="inlineStr">
        <is>
          <t>NON CONCERNE</t>
        </is>
      </c>
      <c r="K312" s="672" t="inlineStr">
        <is>
          <t>Ordinaire</t>
        </is>
      </c>
      <c r="L312" s="676" t="inlineStr">
        <is>
          <t>FONCTIONNEMENT</t>
        </is>
      </c>
      <c r="M312" s="676" t="inlineStr">
        <is>
          <t>Achats de productions et de programmes 
Acquis définitive Programmes TV externes 
Achats des programmes en co-production</t>
        </is>
      </c>
      <c r="N312" s="677" t="n"/>
      <c r="O312" s="678" t="n"/>
      <c r="P312" s="678" t="n"/>
      <c r="Q312" s="672" t="inlineStr">
        <is>
          <t>RECONDUCTION</t>
        </is>
      </c>
      <c r="R312" s="679" t="n"/>
      <c r="S312" s="680" t="n"/>
      <c r="T312" s="681" t="inlineStr">
        <is>
          <t>OUSSOUL PRODUCTION</t>
        </is>
      </c>
      <c r="U312" s="672" t="n">
        <v>2026</v>
      </c>
      <c r="V312" s="680" t="n">
        <v>46030</v>
      </c>
      <c r="W312" s="680" t="n"/>
      <c r="X312" s="680" t="n">
        <v>46035</v>
      </c>
      <c r="Y312" s="677" t="n">
        <v>625408</v>
      </c>
      <c r="Z312" s="678" t="n">
        <v>0</v>
      </c>
      <c r="AA312" s="678" t="n">
        <v>625408</v>
      </c>
      <c r="AB312" s="678" t="n">
        <v>0</v>
      </c>
      <c r="AC312" s="678" t="n">
        <v>625408</v>
      </c>
      <c r="AD312" s="678" t="n">
        <v>625408</v>
      </c>
      <c r="AE312" s="682" t="inlineStr">
        <is>
          <t>ENGAGE</t>
        </is>
      </c>
      <c r="AF312" s="681" t="n"/>
      <c r="AG312" s="678" t="n"/>
      <c r="AH312" s="678" t="n"/>
      <c r="AI312" s="678" t="n"/>
      <c r="AJ312" s="678" t="n"/>
      <c r="AK312" s="683" t="n"/>
      <c r="AL312" s="683" t="n"/>
      <c r="AM312" s="681" t="inlineStr">
        <is>
          <t>RAS</t>
        </is>
      </c>
    </row>
    <row r="313" ht="95.10000000000001" customHeight="1" s="392">
      <c r="A313" s="672" t="n">
        <v>2026</v>
      </c>
      <c r="B313" s="673" t="inlineStr">
        <is>
          <t>TV LAAYOUNE</t>
        </is>
      </c>
      <c r="C313" s="673" t="inlineStr">
        <is>
          <t>RECONDUCTION</t>
        </is>
      </c>
      <c r="D313" s="672" t="inlineStr">
        <is>
          <t>AOO-CT</t>
        </is>
      </c>
      <c r="E313" s="672" t="n">
        <v>1</v>
      </c>
      <c r="F313" s="674" t="inlineStr">
        <is>
          <t xml:space="preserve">Exécution de la production de l’émission sur le patrimoine et la culture hassani en PAD "GHAB O JAB" </t>
        </is>
      </c>
      <c r="G313" s="675" t="inlineStr">
        <is>
          <t>VALIDE</t>
        </is>
      </c>
      <c r="H313" s="672" t="inlineStr">
        <is>
          <t>APPROUVE</t>
        </is>
      </c>
      <c r="I313" s="672" t="inlineStr">
        <is>
          <t>20CT/SNRT/2026</t>
        </is>
      </c>
      <c r="J313" s="675" t="inlineStr">
        <is>
          <t>NON CONCERNE</t>
        </is>
      </c>
      <c r="K313" s="672" t="inlineStr">
        <is>
          <t>Ordinaire</t>
        </is>
      </c>
      <c r="L313" s="676" t="inlineStr">
        <is>
          <t>FONCTIONNEMENT</t>
        </is>
      </c>
      <c r="M313" s="676" t="inlineStr">
        <is>
          <t>Achats de productions et de programmes 
Acquis définitive Programmes TV externes 
Achats des programmes en co-production</t>
        </is>
      </c>
      <c r="N313" s="677" t="n"/>
      <c r="O313" s="678" t="n"/>
      <c r="P313" s="678" t="n"/>
      <c r="Q313" s="672" t="inlineStr">
        <is>
          <t>RECONDUCTION</t>
        </is>
      </c>
      <c r="R313" s="679" t="n"/>
      <c r="S313" s="680" t="n"/>
      <c r="T313" s="681" t="inlineStr">
        <is>
          <t>OUSSOUL PRODUCTION</t>
        </is>
      </c>
      <c r="U313" s="672" t="n">
        <v>2026</v>
      </c>
      <c r="V313" s="680" t="n">
        <v>46030</v>
      </c>
      <c r="W313" s="680" t="n"/>
      <c r="X313" s="680" t="n">
        <v>46035</v>
      </c>
      <c r="Y313" s="677" t="n">
        <v>1156108.8</v>
      </c>
      <c r="Z313" s="678" t="n">
        <v>0</v>
      </c>
      <c r="AA313" s="678" t="n">
        <v>1156108.8</v>
      </c>
      <c r="AB313" s="678" t="n">
        <v>0</v>
      </c>
      <c r="AC313" s="678" t="n">
        <v>1156108.8</v>
      </c>
      <c r="AD313" s="678" t="n">
        <v>1156108.8</v>
      </c>
      <c r="AE313" s="682" t="inlineStr">
        <is>
          <t>ENGAGE</t>
        </is>
      </c>
      <c r="AF313" s="681" t="n"/>
      <c r="AG313" s="678" t="n"/>
      <c r="AH313" s="678" t="n"/>
      <c r="AI313" s="678" t="n"/>
      <c r="AJ313" s="678" t="n"/>
      <c r="AK313" s="683" t="n"/>
      <c r="AL313" s="683" t="n"/>
      <c r="AM313" s="681" t="inlineStr">
        <is>
          <t>RAS</t>
        </is>
      </c>
    </row>
    <row r="314" ht="95.10000000000001" customHeight="1" s="392">
      <c r="A314" s="672" t="n">
        <v>2026</v>
      </c>
      <c r="B314" s="673" t="inlineStr">
        <is>
          <t>TV LAAYOUNE</t>
        </is>
      </c>
      <c r="C314" s="673" t="inlineStr">
        <is>
          <t>RECONDUCTION</t>
        </is>
      </c>
      <c r="D314" s="672" t="inlineStr">
        <is>
          <t>AOO-CT</t>
        </is>
      </c>
      <c r="E314" s="672" t="n">
        <v>1</v>
      </c>
      <c r="F314" s="674" t="inlineStr">
        <is>
          <t>Exécution de la production de l’émission de sensibilisation sur la santé en PAD intitulée "SIHATOUKA FI RAMADAN"</t>
        </is>
      </c>
      <c r="G314" s="675" t="inlineStr">
        <is>
          <t>VALIDE</t>
        </is>
      </c>
      <c r="H314" s="672" t="inlineStr">
        <is>
          <t>APPROUVE</t>
        </is>
      </c>
      <c r="I314" s="672" t="inlineStr">
        <is>
          <t>09CT/SNRT/2026</t>
        </is>
      </c>
      <c r="J314" s="675" t="inlineStr">
        <is>
          <t>NON CONCERNE</t>
        </is>
      </c>
      <c r="K314" s="672" t="inlineStr">
        <is>
          <t>Ordinaire</t>
        </is>
      </c>
      <c r="L314" s="676" t="inlineStr">
        <is>
          <t>FONCTIONNEMENT</t>
        </is>
      </c>
      <c r="M314" s="676" t="inlineStr">
        <is>
          <t>Achats de productions et de programmes 
Acquis définitive Programmes TV externes 
Achats des programmes en co-production</t>
        </is>
      </c>
      <c r="N314" s="677" t="n"/>
      <c r="O314" s="678" t="n"/>
      <c r="P314" s="678" t="n"/>
      <c r="Q314" s="672" t="inlineStr">
        <is>
          <t>RECONDUCTION</t>
        </is>
      </c>
      <c r="R314" s="679" t="n"/>
      <c r="S314" s="680" t="n"/>
      <c r="T314" s="681" t="inlineStr">
        <is>
          <t>MOVIE VISION SAHARA</t>
        </is>
      </c>
      <c r="U314" s="672" t="n">
        <v>2026</v>
      </c>
      <c r="V314" s="680" t="n">
        <v>46030</v>
      </c>
      <c r="W314" s="680" t="n"/>
      <c r="X314" s="680" t="n">
        <v>46035</v>
      </c>
      <c r="Y314" s="677" t="n">
        <v>817935.9</v>
      </c>
      <c r="Z314" s="678" t="n">
        <v>0</v>
      </c>
      <c r="AA314" s="678" t="n">
        <v>817935.9</v>
      </c>
      <c r="AB314" s="678" t="n">
        <v>0</v>
      </c>
      <c r="AC314" s="678" t="n">
        <v>817935.9</v>
      </c>
      <c r="AD314" s="678" t="n">
        <v>817935.9</v>
      </c>
      <c r="AE314" s="682" t="inlineStr">
        <is>
          <t>ENGAGE</t>
        </is>
      </c>
      <c r="AF314" s="681" t="n"/>
      <c r="AG314" s="678" t="n"/>
      <c r="AH314" s="678" t="n"/>
      <c r="AI314" s="678" t="n"/>
      <c r="AJ314" s="678" t="n"/>
      <c r="AK314" s="683" t="n"/>
      <c r="AL314" s="683" t="n"/>
      <c r="AM314" s="681" t="inlineStr">
        <is>
          <t>RAS</t>
        </is>
      </c>
    </row>
    <row r="315" ht="95.10000000000001" customHeight="1" s="392">
      <c r="A315" s="672" t="n">
        <v>2026</v>
      </c>
      <c r="B315" s="673" t="inlineStr">
        <is>
          <t>TV LAAYOUNE</t>
        </is>
      </c>
      <c r="C315" s="673" t="inlineStr">
        <is>
          <t>RECONDUCTION</t>
        </is>
      </c>
      <c r="D315" s="672" t="inlineStr">
        <is>
          <t>AOO-CT</t>
        </is>
      </c>
      <c r="E315" s="672" t="n">
        <v>1</v>
      </c>
      <c r="F315" s="674" t="inlineStr">
        <is>
          <t>Exécution de la production de   l'émission culinaire en PAD intitulée "AL MAIDA SAHRAOUIYA"</t>
        </is>
      </c>
      <c r="G315" s="675" t="inlineStr">
        <is>
          <t>VALIDE</t>
        </is>
      </c>
      <c r="H315" s="672" t="inlineStr">
        <is>
          <t>APPROUVE</t>
        </is>
      </c>
      <c r="I315" s="672" t="inlineStr">
        <is>
          <t>10CT/SNRT/2026</t>
        </is>
      </c>
      <c r="J315" s="675" t="inlineStr">
        <is>
          <t>NON CONCERNE</t>
        </is>
      </c>
      <c r="K315" s="672" t="inlineStr">
        <is>
          <t>Ordinaire</t>
        </is>
      </c>
      <c r="L315" s="676" t="inlineStr">
        <is>
          <t>FONCTIONNEMENT</t>
        </is>
      </c>
      <c r="M315" s="676" t="inlineStr">
        <is>
          <t>Achats de productions et de programmes 
Acquis définitive Programmes TV externes 
Achats des programmes en co-production</t>
        </is>
      </c>
      <c r="N315" s="677" t="n"/>
      <c r="O315" s="678" t="n"/>
      <c r="P315" s="678" t="n"/>
      <c r="Q315" s="672" t="inlineStr">
        <is>
          <t>RECONDUCTION</t>
        </is>
      </c>
      <c r="R315" s="679" t="n"/>
      <c r="S315" s="680" t="n"/>
      <c r="T315" s="681" t="inlineStr">
        <is>
          <t>AL JAMAL VISION</t>
        </is>
      </c>
      <c r="U315" s="672" t="n">
        <v>2026</v>
      </c>
      <c r="V315" s="680" t="n">
        <v>46030</v>
      </c>
      <c r="W315" s="680" t="n"/>
      <c r="X315" s="680" t="n">
        <v>46035</v>
      </c>
      <c r="Y315" s="677" t="n">
        <v>882000</v>
      </c>
      <c r="Z315" s="678" t="n">
        <v>0</v>
      </c>
      <c r="AA315" s="678" t="n">
        <v>882000</v>
      </c>
      <c r="AB315" s="678" t="n">
        <v>0</v>
      </c>
      <c r="AC315" s="678" t="n">
        <v>882000</v>
      </c>
      <c r="AD315" s="678" t="n">
        <v>882000</v>
      </c>
      <c r="AE315" s="682" t="inlineStr">
        <is>
          <t>ENGAGE</t>
        </is>
      </c>
      <c r="AF315" s="681" t="n"/>
      <c r="AG315" s="678" t="n"/>
      <c r="AH315" s="678" t="n"/>
      <c r="AI315" s="678" t="n"/>
      <c r="AJ315" s="678" t="n"/>
      <c r="AK315" s="683" t="n"/>
      <c r="AL315" s="683" t="n"/>
      <c r="AM315" s="681" t="inlineStr">
        <is>
          <t>RAS</t>
        </is>
      </c>
    </row>
    <row r="316" ht="95.10000000000001" customHeight="1" s="392">
      <c r="A316" s="672" t="n">
        <v>2026</v>
      </c>
      <c r="B316" s="673" t="inlineStr">
        <is>
          <t>TV LAAYOUNE</t>
        </is>
      </c>
      <c r="C316" s="673" t="inlineStr">
        <is>
          <t>RECONDUCTION</t>
        </is>
      </c>
      <c r="D316" s="672" t="inlineStr">
        <is>
          <t>AOO-CT</t>
        </is>
      </c>
      <c r="E316" s="672" t="n">
        <v>1</v>
      </c>
      <c r="F316" s="674" t="inlineStr">
        <is>
          <t xml:space="preserve">Exécution de la production de   l'émission religieuse en PAD intitulée "KADAYA RAMADANIYA " </t>
        </is>
      </c>
      <c r="G316" s="675" t="inlineStr">
        <is>
          <t>VALIDE</t>
        </is>
      </c>
      <c r="H316" s="672" t="inlineStr">
        <is>
          <t>APPROUVE</t>
        </is>
      </c>
      <c r="I316" s="672" t="inlineStr">
        <is>
          <t>14CT/SNRT/2026</t>
        </is>
      </c>
      <c r="J316" s="675" t="inlineStr">
        <is>
          <t>NON CONCERNE</t>
        </is>
      </c>
      <c r="K316" s="672" t="inlineStr">
        <is>
          <t>Ordinaire</t>
        </is>
      </c>
      <c r="L316" s="676" t="inlineStr">
        <is>
          <t>FONCTIONNEMENT</t>
        </is>
      </c>
      <c r="M316" s="676" t="inlineStr">
        <is>
          <t>Achats de productions et de programmes 
Acquis définitive Programmes TV externes 
Achats des programmes en co-production</t>
        </is>
      </c>
      <c r="N316" s="677" t="n"/>
      <c r="O316" s="678" t="n"/>
      <c r="P316" s="678" t="n"/>
      <c r="Q316" s="672" t="inlineStr">
        <is>
          <t>RECONDUCTION</t>
        </is>
      </c>
      <c r="R316" s="679" t="n"/>
      <c r="S316" s="680" t="n"/>
      <c r="T316" s="681" t="inlineStr">
        <is>
          <t>MONAFRIQUE PROD COM</t>
        </is>
      </c>
      <c r="U316" s="672" t="n">
        <v>2026</v>
      </c>
      <c r="V316" s="680" t="n">
        <v>46030</v>
      </c>
      <c r="W316" s="680" t="n"/>
      <c r="X316" s="680" t="n">
        <v>46035</v>
      </c>
      <c r="Y316" s="677" t="n">
        <v>991872</v>
      </c>
      <c r="Z316" s="678" t="n">
        <v>0</v>
      </c>
      <c r="AA316" s="678" t="n">
        <v>1190246.4</v>
      </c>
      <c r="AB316" s="678" t="n">
        <v>0</v>
      </c>
      <c r="AC316" s="678" t="n">
        <v>991872</v>
      </c>
      <c r="AD316" s="678" t="n">
        <v>1190246.4</v>
      </c>
      <c r="AE316" s="682" t="inlineStr">
        <is>
          <t>ENGAGE</t>
        </is>
      </c>
      <c r="AF316" s="681" t="n"/>
      <c r="AG316" s="678" t="n"/>
      <c r="AH316" s="678" t="n"/>
      <c r="AI316" s="678" t="n"/>
      <c r="AJ316" s="678" t="n"/>
      <c r="AK316" s="683" t="n"/>
      <c r="AL316" s="683" t="n"/>
      <c r="AM316" s="681" t="inlineStr">
        <is>
          <t>RAS</t>
        </is>
      </c>
    </row>
    <row r="317" ht="95.10000000000001" customHeight="1" s="392">
      <c r="A317" s="672" t="n">
        <v>2026</v>
      </c>
      <c r="B317" s="673" t="inlineStr">
        <is>
          <t>TV LAAYOUNE</t>
        </is>
      </c>
      <c r="C317" s="673" t="inlineStr">
        <is>
          <t>RECONDUCTION</t>
        </is>
      </c>
      <c r="D317" s="672" t="inlineStr">
        <is>
          <t>AOO-CT</t>
        </is>
      </c>
      <c r="E317" s="672" t="n">
        <v>1</v>
      </c>
      <c r="F317" s="674" t="inlineStr">
        <is>
          <t>Exécution de la production d'un documentaire en PAD intitulée : « SAFAR WA ISTIKCHAF ABRA SAHRA »</t>
        </is>
      </c>
      <c r="G317" s="675" t="inlineStr">
        <is>
          <t>VALIDE</t>
        </is>
      </c>
      <c r="H317" s="672" t="inlineStr">
        <is>
          <t>APPROUVE</t>
        </is>
      </c>
      <c r="I317" s="672" t="inlineStr">
        <is>
          <t>19CT/SNRT/2026</t>
        </is>
      </c>
      <c r="J317" s="675" t="inlineStr">
        <is>
          <t>NON CONCERNE</t>
        </is>
      </c>
      <c r="K317" s="672" t="inlineStr">
        <is>
          <t>Ordinaire</t>
        </is>
      </c>
      <c r="L317" s="676" t="inlineStr">
        <is>
          <t>FONCTIONNEMENT</t>
        </is>
      </c>
      <c r="M317" s="676" t="inlineStr">
        <is>
          <t>Achats de productions et de programmes 
Acquis définitive Programmes TV externes 
Achats des programmes en co-production</t>
        </is>
      </c>
      <c r="N317" s="677" t="n"/>
      <c r="O317" s="678" t="n"/>
      <c r="P317" s="678" t="n"/>
      <c r="Q317" s="672" t="inlineStr">
        <is>
          <t>RECONDUCTION</t>
        </is>
      </c>
      <c r="R317" s="679" t="n"/>
      <c r="S317" s="680" t="n"/>
      <c r="T317" s="681" t="inlineStr">
        <is>
          <t>MONAFRIQUE PROD COM</t>
        </is>
      </c>
      <c r="U317" s="672" t="n">
        <v>2026</v>
      </c>
      <c r="V317" s="680" t="n">
        <v>46030</v>
      </c>
      <c r="W317" s="680" t="n"/>
      <c r="X317" s="680" t="n">
        <v>46035</v>
      </c>
      <c r="Y317" s="677" t="n">
        <v>2334998.4</v>
      </c>
      <c r="Z317" s="678" t="n">
        <v>0</v>
      </c>
      <c r="AA317" s="678" t="n">
        <v>2334998.4</v>
      </c>
      <c r="AB317" s="678" t="n">
        <v>0</v>
      </c>
      <c r="AC317" s="678" t="n">
        <v>2334998.4</v>
      </c>
      <c r="AD317" s="678" t="n">
        <v>2334998.4</v>
      </c>
      <c r="AE317" s="682" t="inlineStr">
        <is>
          <t>ENGAGE</t>
        </is>
      </c>
      <c r="AF317" s="681" t="n"/>
      <c r="AG317" s="678" t="n"/>
      <c r="AH317" s="678" t="n"/>
      <c r="AI317" s="678" t="n"/>
      <c r="AJ317" s="678" t="n"/>
      <c r="AK317" s="683" t="n"/>
      <c r="AL317" s="683" t="n"/>
      <c r="AM317" s="681" t="inlineStr">
        <is>
          <t>RAS</t>
        </is>
      </c>
    </row>
    <row r="318" ht="95.10000000000001" customHeight="1" s="392">
      <c r="A318" s="672" t="n">
        <v>2026</v>
      </c>
      <c r="B318" s="673" t="inlineStr">
        <is>
          <t>TV LAAYOUNE</t>
        </is>
      </c>
      <c r="C318" s="673" t="inlineStr">
        <is>
          <t>RECONDUCTION</t>
        </is>
      </c>
      <c r="D318" s="672" t="inlineStr">
        <is>
          <t>AOO-CT</t>
        </is>
      </c>
      <c r="E318" s="672" t="n">
        <v>1</v>
      </c>
      <c r="F318" s="674" t="inlineStr">
        <is>
          <t>Exécution de la production de   l'émission patrimoine en PAD intitulée " LYALI LFRIK"</t>
        </is>
      </c>
      <c r="G318" s="675" t="inlineStr">
        <is>
          <t>VALIDE</t>
        </is>
      </c>
      <c r="H318" s="672" t="inlineStr">
        <is>
          <t>APPROUVE</t>
        </is>
      </c>
      <c r="I318" s="672" t="inlineStr">
        <is>
          <t>06CT/SNRT/2026</t>
        </is>
      </c>
      <c r="J318" s="675" t="inlineStr">
        <is>
          <t>NON CONCERNE</t>
        </is>
      </c>
      <c r="K318" s="672" t="inlineStr">
        <is>
          <t>Ordinaire</t>
        </is>
      </c>
      <c r="L318" s="676" t="inlineStr">
        <is>
          <t>FONCTIONNEMENT</t>
        </is>
      </c>
      <c r="M318" s="676" t="inlineStr">
        <is>
          <t>Achats de productions et de programmes 
Acquis définitive Programmes TV externes 
Achats des programmes en co-production</t>
        </is>
      </c>
      <c r="N318" s="677" t="n"/>
      <c r="O318" s="678" t="n"/>
      <c r="P318" s="678" t="n"/>
      <c r="Q318" s="672" t="inlineStr">
        <is>
          <t>RECONDUCTION</t>
        </is>
      </c>
      <c r="R318" s="679" t="n"/>
      <c r="S318" s="680" t="n"/>
      <c r="T318" s="681" t="inlineStr">
        <is>
          <t>MONAFRIQUE PROD COM</t>
        </is>
      </c>
      <c r="U318" s="672" t="n">
        <v>2026</v>
      </c>
      <c r="V318" s="680" t="n">
        <v>46030</v>
      </c>
      <c r="W318" s="680" t="n"/>
      <c r="X318" s="680" t="n">
        <v>46035</v>
      </c>
      <c r="Y318" s="677" t="n">
        <v>1003520.1</v>
      </c>
      <c r="Z318" s="678" t="n">
        <v>0</v>
      </c>
      <c r="AA318" s="678" t="n">
        <v>1204224.12</v>
      </c>
      <c r="AB318" s="678" t="n">
        <v>0</v>
      </c>
      <c r="AC318" s="678" t="n">
        <v>1003520.1</v>
      </c>
      <c r="AD318" s="678" t="n">
        <v>1204224.12</v>
      </c>
      <c r="AE318" s="682" t="inlineStr">
        <is>
          <t>ENGAGE</t>
        </is>
      </c>
      <c r="AF318" s="681" t="n"/>
      <c r="AG318" s="678" t="n"/>
      <c r="AH318" s="678" t="n"/>
      <c r="AI318" s="678" t="n"/>
      <c r="AJ318" s="678" t="n"/>
      <c r="AK318" s="683" t="n"/>
      <c r="AL318" s="683" t="n"/>
      <c r="AM318" s="681" t="inlineStr">
        <is>
          <t>RAS</t>
        </is>
      </c>
    </row>
    <row r="319" ht="95.10000000000001" customHeight="1" s="392">
      <c r="A319" s="672" t="n">
        <v>2026</v>
      </c>
      <c r="B319" s="673" t="inlineStr">
        <is>
          <t>TV LAAYOUNE</t>
        </is>
      </c>
      <c r="C319" s="673" t="inlineStr">
        <is>
          <t>RECONDUCTION</t>
        </is>
      </c>
      <c r="D319" s="672" t="inlineStr">
        <is>
          <t>AOO-CT</t>
        </is>
      </c>
      <c r="E319" s="672" t="n">
        <v>1</v>
      </c>
      <c r="F319" s="674" t="inlineStr">
        <is>
          <t>Exécution de la production de  l'émission de jeu religieux en PAD intitulée "AL MAHDARA"</t>
        </is>
      </c>
      <c r="G319" s="675" t="inlineStr">
        <is>
          <t>VALIDE</t>
        </is>
      </c>
      <c r="H319" s="672" t="inlineStr">
        <is>
          <t>APPROUVE</t>
        </is>
      </c>
      <c r="I319" s="672" t="inlineStr">
        <is>
          <t>05CT/SNRT/2026</t>
        </is>
      </c>
      <c r="J319" s="675" t="inlineStr">
        <is>
          <t>NON CONCERNE</t>
        </is>
      </c>
      <c r="K319" s="672" t="inlineStr">
        <is>
          <t>Ordinaire</t>
        </is>
      </c>
      <c r="L319" s="676" t="inlineStr">
        <is>
          <t>FONCTIONNEMENT</t>
        </is>
      </c>
      <c r="M319" s="676" t="inlineStr">
        <is>
          <t>Achats de productions et de programmes 
Acquis définitive Programmes TV externes 
Achats des programmes en co-production</t>
        </is>
      </c>
      <c r="N319" s="677" t="n"/>
      <c r="O319" s="678" t="n"/>
      <c r="P319" s="678" t="n"/>
      <c r="Q319" s="672" t="inlineStr">
        <is>
          <t>RECONDUCTION</t>
        </is>
      </c>
      <c r="R319" s="679" t="n"/>
      <c r="S319" s="680" t="n"/>
      <c r="T319" s="681" t="inlineStr">
        <is>
          <t>MONAFRIQUE PROD COM</t>
        </is>
      </c>
      <c r="U319" s="672" t="n">
        <v>2026</v>
      </c>
      <c r="V319" s="680" t="n">
        <v>46030</v>
      </c>
      <c r="W319" s="680" t="n"/>
      <c r="X319" s="680" t="n">
        <v>46035</v>
      </c>
      <c r="Y319" s="677" t="n">
        <v>857919.9</v>
      </c>
      <c r="Z319" s="678" t="n">
        <v>0</v>
      </c>
      <c r="AA319" s="678" t="n">
        <v>1029503.88</v>
      </c>
      <c r="AB319" s="678" t="n">
        <v>0</v>
      </c>
      <c r="AC319" s="678" t="n">
        <v>857919.9</v>
      </c>
      <c r="AD319" s="678" t="n">
        <v>1029503.88</v>
      </c>
      <c r="AE319" s="682" t="inlineStr">
        <is>
          <t>ENGAGE</t>
        </is>
      </c>
      <c r="AF319" s="681" t="n"/>
      <c r="AG319" s="678" t="n"/>
      <c r="AH319" s="678" t="n"/>
      <c r="AI319" s="678" t="n"/>
      <c r="AJ319" s="678" t="n"/>
      <c r="AK319" s="683" t="n"/>
      <c r="AL319" s="683" t="n"/>
      <c r="AM319" s="681" t="inlineStr">
        <is>
          <t>RAS</t>
        </is>
      </c>
    </row>
    <row r="320" ht="95.10000000000001" customHeight="1" s="392">
      <c r="A320" s="672" t="n">
        <v>2026</v>
      </c>
      <c r="B320" s="673" t="inlineStr">
        <is>
          <t>TV LAAYOUNE</t>
        </is>
      </c>
      <c r="C320" s="673" t="inlineStr">
        <is>
          <t>RECONDUCTION</t>
        </is>
      </c>
      <c r="D320" s="672" t="inlineStr">
        <is>
          <t>AOO-CT</t>
        </is>
      </c>
      <c r="E320" s="672" t="n">
        <v>1</v>
      </c>
      <c r="F320" s="674" t="inlineStr">
        <is>
          <t>Exécution de la production de d’une soirée en Co Prod intitulé " LAYALI AOZAAOUANE "</t>
        </is>
      </c>
      <c r="G320" s="675" t="inlineStr">
        <is>
          <t>VALIDE</t>
        </is>
      </c>
      <c r="H320" s="672" t="inlineStr">
        <is>
          <t>APPROUVE</t>
        </is>
      </c>
      <c r="I320" s="672" t="inlineStr">
        <is>
          <t>17CT/SNRT/2026</t>
        </is>
      </c>
      <c r="J320" s="675" t="inlineStr">
        <is>
          <t>NON CONCERNE</t>
        </is>
      </c>
      <c r="K320" s="672" t="inlineStr">
        <is>
          <t>Ordinaire</t>
        </is>
      </c>
      <c r="L320" s="676" t="inlineStr">
        <is>
          <t>FONCTIONNEMENT</t>
        </is>
      </c>
      <c r="M320" s="676" t="inlineStr">
        <is>
          <t>Achats de productions et de programmes 
Acquis définitive Programmes TV externes 
Achats des programmes en co-production</t>
        </is>
      </c>
      <c r="N320" s="677" t="n"/>
      <c r="O320" s="678" t="n"/>
      <c r="P320" s="678" t="n"/>
      <c r="Q320" s="672" t="inlineStr">
        <is>
          <t>RECONDUCTION</t>
        </is>
      </c>
      <c r="R320" s="679" t="n"/>
      <c r="S320" s="680" t="n"/>
      <c r="T320" s="681" t="inlineStr">
        <is>
          <t>LAAYOUNE PRO</t>
        </is>
      </c>
      <c r="U320" s="672" t="n">
        <v>2026</v>
      </c>
      <c r="V320" s="680" t="n">
        <v>46030</v>
      </c>
      <c r="W320" s="680" t="n"/>
      <c r="X320" s="680" t="n">
        <v>46035</v>
      </c>
      <c r="Y320" s="677" t="n">
        <v>491736</v>
      </c>
      <c r="Z320" s="678" t="n">
        <v>0</v>
      </c>
      <c r="AA320" s="678" t="n">
        <v>491736</v>
      </c>
      <c r="AB320" s="678" t="n">
        <v>0</v>
      </c>
      <c r="AC320" s="678" t="n">
        <v>491736</v>
      </c>
      <c r="AD320" s="678" t="n">
        <v>491736</v>
      </c>
      <c r="AE320" s="682" t="inlineStr">
        <is>
          <t>ENGAGE</t>
        </is>
      </c>
      <c r="AF320" s="681" t="n"/>
      <c r="AG320" s="678" t="n"/>
      <c r="AH320" s="678" t="n"/>
      <c r="AI320" s="678" t="n"/>
      <c r="AJ320" s="678" t="n"/>
      <c r="AK320" s="683" t="n"/>
      <c r="AL320" s="683" t="n"/>
      <c r="AM320" s="681" t="inlineStr">
        <is>
          <t>RAS</t>
        </is>
      </c>
    </row>
    <row r="321" ht="95.10000000000001" customHeight="1" s="392">
      <c r="A321" s="672" t="n">
        <v>2026</v>
      </c>
      <c r="B321" s="673" t="inlineStr">
        <is>
          <t>TV LAAYOUNE</t>
        </is>
      </c>
      <c r="C321" s="673" t="inlineStr">
        <is>
          <t>RECONDUCTION</t>
        </is>
      </c>
      <c r="D321" s="672" t="inlineStr">
        <is>
          <t>AOO-CT</t>
        </is>
      </c>
      <c r="E321" s="672" t="n">
        <v>1</v>
      </c>
      <c r="F321" s="674" t="inlineStr">
        <is>
          <t>Exécution de la production de l’émission de jeu pour adultes en Co Prod intitulé "SIBAK AL KAWAFI"</t>
        </is>
      </c>
      <c r="G321" s="675" t="inlineStr">
        <is>
          <t>VALIDE</t>
        </is>
      </c>
      <c r="H321" s="672" t="inlineStr">
        <is>
          <t>APPROUVE</t>
        </is>
      </c>
      <c r="I321" s="672" t="inlineStr">
        <is>
          <t>07CT/SNRT/2026</t>
        </is>
      </c>
      <c r="J321" s="675" t="inlineStr">
        <is>
          <t>NON CONCERNE</t>
        </is>
      </c>
      <c r="K321" s="672" t="inlineStr">
        <is>
          <t>Ordinaire</t>
        </is>
      </c>
      <c r="L321" s="676" t="inlineStr">
        <is>
          <t>FONCTIONNEMENT</t>
        </is>
      </c>
      <c r="M321" s="676" t="inlineStr">
        <is>
          <t>Achats de productions et de programmes 
Acquis définitive Programmes TV externes 
Achats des programmes en co-production</t>
        </is>
      </c>
      <c r="N321" s="677" t="n"/>
      <c r="O321" s="678" t="n"/>
      <c r="P321" s="678" t="n"/>
      <c r="Q321" s="672" t="inlineStr">
        <is>
          <t>RECONDUCTION</t>
        </is>
      </c>
      <c r="R321" s="679" t="n"/>
      <c r="S321" s="680" t="n"/>
      <c r="T321" s="681" t="inlineStr">
        <is>
          <t>LAAYOUNE PRO</t>
        </is>
      </c>
      <c r="U321" s="672" t="n">
        <v>2026</v>
      </c>
      <c r="V321" s="680" t="n">
        <v>46030</v>
      </c>
      <c r="W321" s="680" t="n"/>
      <c r="X321" s="680" t="n">
        <v>46038</v>
      </c>
      <c r="Y321" s="677" t="n">
        <v>2335872</v>
      </c>
      <c r="Z321" s="678" t="n">
        <v>0</v>
      </c>
      <c r="AA321" s="678" t="n">
        <v>2335872</v>
      </c>
      <c r="AB321" s="678" t="n">
        <v>0</v>
      </c>
      <c r="AC321" s="678" t="n">
        <v>2335872</v>
      </c>
      <c r="AD321" s="678" t="n">
        <v>2335872</v>
      </c>
      <c r="AE321" s="682" t="inlineStr">
        <is>
          <t>ENGAGE</t>
        </is>
      </c>
      <c r="AF321" s="681" t="n"/>
      <c r="AG321" s="678" t="n"/>
      <c r="AH321" s="678" t="n"/>
      <c r="AI321" s="678" t="n"/>
      <c r="AJ321" s="678" t="n"/>
      <c r="AK321" s="683" t="n"/>
      <c r="AL321" s="683" t="n"/>
      <c r="AM321" s="681" t="inlineStr">
        <is>
          <t>RAS</t>
        </is>
      </c>
    </row>
    <row r="322" ht="95.10000000000001" customHeight="1" s="392">
      <c r="A322" s="672" t="n">
        <v>2026</v>
      </c>
      <c r="B322" s="673" t="inlineStr">
        <is>
          <t>TV LAAYOUNE</t>
        </is>
      </c>
      <c r="C322" s="673" t="inlineStr">
        <is>
          <t>RECONDUCTION</t>
        </is>
      </c>
      <c r="D322" s="672" t="inlineStr">
        <is>
          <t>AOO-CT</t>
        </is>
      </c>
      <c r="E322" s="672" t="n">
        <v>1</v>
      </c>
      <c r="F322" s="674" t="inlineStr">
        <is>
          <t>Exécution de la production d’un documentaire en PAD intitulé « AMAJBOUR »</t>
        </is>
      </c>
      <c r="G322" s="675" t="inlineStr">
        <is>
          <t>VALIDE</t>
        </is>
      </c>
      <c r="H322" s="672" t="inlineStr">
        <is>
          <t>APPROUVE</t>
        </is>
      </c>
      <c r="I322" s="672" t="inlineStr">
        <is>
          <t>18CT/SNRT/2026</t>
        </is>
      </c>
      <c r="J322" s="675" t="inlineStr">
        <is>
          <t>NON CONCERNE</t>
        </is>
      </c>
      <c r="K322" s="672" t="inlineStr">
        <is>
          <t>Ordinaire</t>
        </is>
      </c>
      <c r="L322" s="676" t="inlineStr">
        <is>
          <t>FONCTIONNEMENT</t>
        </is>
      </c>
      <c r="M322" s="676" t="inlineStr">
        <is>
          <t>Achats de productions et de programmes 
Acquis définitive Programmes TV externes 
Achats des programmes en co-production</t>
        </is>
      </c>
      <c r="N322" s="677" t="n"/>
      <c r="O322" s="678" t="n"/>
      <c r="P322" s="678" t="n"/>
      <c r="Q322" s="672" t="inlineStr">
        <is>
          <t>RECONDUCTION</t>
        </is>
      </c>
      <c r="R322" s="679" t="n"/>
      <c r="S322" s="680" t="n"/>
      <c r="T322" s="681" t="inlineStr">
        <is>
          <t>EXTREME MEDIA</t>
        </is>
      </c>
      <c r="U322" s="672" t="n">
        <v>2026</v>
      </c>
      <c r="V322" s="680" t="n">
        <v>46030</v>
      </c>
      <c r="W322" s="680" t="n"/>
      <c r="X322" s="680" t="n">
        <v>46038</v>
      </c>
      <c r="Y322" s="677" t="n">
        <v>1713936</v>
      </c>
      <c r="Z322" s="678" t="n">
        <v>0</v>
      </c>
      <c r="AA322" s="678" t="n">
        <v>1713936</v>
      </c>
      <c r="AB322" s="678" t="n">
        <v>0</v>
      </c>
      <c r="AC322" s="678" t="n">
        <v>1713936</v>
      </c>
      <c r="AD322" s="678" t="n">
        <v>1713936</v>
      </c>
      <c r="AE322" s="682" t="inlineStr">
        <is>
          <t>ENGAGE</t>
        </is>
      </c>
      <c r="AF322" s="681" t="n"/>
      <c r="AG322" s="678" t="n"/>
      <c r="AH322" s="678" t="n"/>
      <c r="AI322" s="678" t="n"/>
      <c r="AJ322" s="678" t="n"/>
      <c r="AK322" s="683" t="n"/>
      <c r="AL322" s="683" t="n"/>
      <c r="AM322" s="681" t="inlineStr">
        <is>
          <t>RAS</t>
        </is>
      </c>
    </row>
    <row r="323" ht="38.40000000000001" customHeight="1" s="392">
      <c r="A323" s="672" t="n">
        <v>2026</v>
      </c>
      <c r="B323" s="673" t="inlineStr">
        <is>
          <t>DA</t>
        </is>
      </c>
      <c r="C323" s="673" t="inlineStr">
        <is>
          <t>EXCLUSIVITÉ</t>
        </is>
      </c>
      <c r="D323" s="672" t="inlineStr">
        <is>
          <t>CONTRAT</t>
        </is>
      </c>
      <c r="E323" s="672" t="n">
        <v>1</v>
      </c>
      <c r="F323" s="674" t="inlineStr">
        <is>
          <t>Souscription PORTNET – Achat forfait importateurs 50 opérations – 2026</t>
        </is>
      </c>
      <c r="G323" s="675" t="inlineStr">
        <is>
          <t>VALIDE</t>
        </is>
      </c>
      <c r="H323" s="672" t="inlineStr">
        <is>
          <t>APPROUVE</t>
        </is>
      </c>
      <c r="I323" s="672" t="inlineStr">
        <is>
          <t>26000104 CT</t>
        </is>
      </c>
      <c r="J323" s="675" t="inlineStr">
        <is>
          <t>NON CONCERNE</t>
        </is>
      </c>
      <c r="K323" s="672" t="inlineStr">
        <is>
          <t>Ordinaire</t>
        </is>
      </c>
      <c r="L323" s="676" t="inlineStr">
        <is>
          <t>FONCTIONNEMENT</t>
        </is>
      </c>
      <c r="M323" s="676" t="inlineStr">
        <is>
          <t>Redevance et cotisations
Abonnements</t>
        </is>
      </c>
      <c r="N323" s="677" t="n"/>
      <c r="O323" s="678" t="n"/>
      <c r="P323" s="678" t="n"/>
      <c r="Q323" s="672" t="inlineStr">
        <is>
          <t>RECONDUCTION</t>
        </is>
      </c>
      <c r="R323" s="679" t="n"/>
      <c r="S323" s="680" t="n"/>
      <c r="T323" s="681" t="inlineStr">
        <is>
          <t>PORTNET S.A</t>
        </is>
      </c>
      <c r="U323" s="672" t="n">
        <v>2026</v>
      </c>
      <c r="V323" s="680" t="n">
        <v>46031</v>
      </c>
      <c r="W323" s="680" t="n"/>
      <c r="X323" s="680" t="n">
        <v>46031</v>
      </c>
      <c r="Y323" s="677" t="n">
        <v>5300</v>
      </c>
      <c r="Z323" s="678" t="n">
        <v>0</v>
      </c>
      <c r="AA323" s="678" t="n">
        <v>6360</v>
      </c>
      <c r="AB323" s="678" t="n">
        <v>0</v>
      </c>
      <c r="AC323" s="678" t="n">
        <v>5300</v>
      </c>
      <c r="AD323" s="678" t="n">
        <v>6360</v>
      </c>
      <c r="AE323" s="682" t="inlineStr">
        <is>
          <t>ENGAGE</t>
        </is>
      </c>
      <c r="AF323" s="681" t="n"/>
      <c r="AG323" s="678" t="n"/>
      <c r="AH323" s="678" t="n"/>
      <c r="AI323" s="678" t="n"/>
      <c r="AJ323" s="678" t="n"/>
      <c r="AK323" s="683" t="n"/>
      <c r="AL323" s="683" t="n"/>
      <c r="AM323" s="681" t="inlineStr">
        <is>
          <t>RAS</t>
        </is>
      </c>
    </row>
    <row r="324" ht="65.40000000000001" customHeight="1" s="392">
      <c r="A324" s="672" t="n">
        <v>2026</v>
      </c>
      <c r="B324" s="673" t="inlineStr">
        <is>
          <t>DCPA</t>
        </is>
      </c>
      <c r="C324" s="673" t="inlineStr">
        <is>
          <t>EXCLUSIVITÉ</t>
        </is>
      </c>
      <c r="D324" s="672" t="inlineStr">
        <is>
          <t>CONTRAT</t>
        </is>
      </c>
      <c r="E324" s="672" t="n">
        <v>1</v>
      </c>
      <c r="F324" s="674" t="inlineStr">
        <is>
          <t>Captation de 30 capsules « IBTIHALAT RAMADANIA », pour le mois de RAMADAN 1447, organisé et produite en interne par la SNRT.</t>
        </is>
      </c>
      <c r="G324" s="675" t="inlineStr">
        <is>
          <t>VALIDE</t>
        </is>
      </c>
      <c r="H324" s="672" t="inlineStr">
        <is>
          <t>APPROUVE</t>
        </is>
      </c>
      <c r="I324" s="672" t="inlineStr">
        <is>
          <t xml:space="preserve"> 191CT/SNRT/2026</t>
        </is>
      </c>
      <c r="J324" s="675" t="inlineStr">
        <is>
          <t>NON CONCERNE</t>
        </is>
      </c>
      <c r="K324" s="672" t="inlineStr">
        <is>
          <t>Ordinaire</t>
        </is>
      </c>
      <c r="L324" s="676" t="inlineStr">
        <is>
          <t>FONCTIONNEMENT</t>
        </is>
      </c>
      <c r="M324" s="676" t="inlineStr">
        <is>
          <t xml:space="preserve">Achats de productions et de programmes
Achat des programmes en production interne </t>
        </is>
      </c>
      <c r="N324" s="677" t="n"/>
      <c r="O324" s="678" t="n"/>
      <c r="P324" s="678" t="n"/>
      <c r="Q324" s="672" t="inlineStr">
        <is>
          <t>NOUVEAU BESOIN</t>
        </is>
      </c>
      <c r="R324" s="679" t="n"/>
      <c r="S324" s="680" t="n"/>
      <c r="T324" s="681" t="inlineStr">
        <is>
          <t>ALI ER-RBAHY</t>
        </is>
      </c>
      <c r="U324" s="672" t="n">
        <v>2026</v>
      </c>
      <c r="V324" s="680" t="n">
        <v>46041</v>
      </c>
      <c r="W324" s="680" t="n"/>
      <c r="X324" s="680" t="n">
        <v>46045</v>
      </c>
      <c r="Y324" s="677" t="n">
        <v>146341.46</v>
      </c>
      <c r="Z324" s="678" t="n">
        <v>0</v>
      </c>
      <c r="AA324" s="678" t="n">
        <v>146341.46</v>
      </c>
      <c r="AB324" s="678" t="n">
        <v>0</v>
      </c>
      <c r="AC324" s="678" t="n">
        <v>146341.46</v>
      </c>
      <c r="AD324" s="678" t="n">
        <v>146341.46</v>
      </c>
      <c r="AE324" s="682" t="inlineStr">
        <is>
          <t>ENGAGE</t>
        </is>
      </c>
      <c r="AF324" s="681" t="n"/>
      <c r="AG324" s="678" t="n"/>
      <c r="AH324" s="678" t="n"/>
      <c r="AI324" s="678" t="n"/>
      <c r="AJ324" s="678" t="n"/>
      <c r="AK324" s="683" t="n"/>
      <c r="AL324" s="683" t="n"/>
      <c r="AM324" s="681" t="inlineStr">
        <is>
          <t>RAS</t>
        </is>
      </c>
    </row>
    <row r="325" ht="70.80000000000001" customHeight="1" s="392">
      <c r="A325" s="672" t="n">
        <v>2026</v>
      </c>
      <c r="B325" s="673" t="inlineStr">
        <is>
          <t>DMPTV</t>
        </is>
      </c>
      <c r="C325" s="673" t="inlineStr">
        <is>
          <t>EXCLUSIVITÉ</t>
        </is>
      </c>
      <c r="D325" s="672" t="inlineStr">
        <is>
          <t>CONTRAT</t>
        </is>
      </c>
      <c r="E325" s="672" t="n">
        <v>1</v>
      </c>
      <c r="F325" s="674" t="inlineStr">
        <is>
          <t>La location de 20 écrans Led pour la promotion des produits et services de la SNRT sur les villes de : Casablanca, Rabat, Marrakech, Agadir et Tanger ainsi que la location d’un écran géant Twin Center (Casablanca)</t>
        </is>
      </c>
      <c r="G325" s="675" t="inlineStr">
        <is>
          <t>VALIDE</t>
        </is>
      </c>
      <c r="H325" s="672" t="inlineStr">
        <is>
          <t>APPROUVE</t>
        </is>
      </c>
      <c r="I325" s="672" t="inlineStr">
        <is>
          <t>FR/KR/01/2026</t>
        </is>
      </c>
      <c r="J325" s="675" t="inlineStr">
        <is>
          <t>NON CONCERNE</t>
        </is>
      </c>
      <c r="K325" s="672" t="inlineStr">
        <is>
          <t>Ordinaire</t>
        </is>
      </c>
      <c r="L325" s="676" t="inlineStr">
        <is>
          <t>FONCTIONNEMENT</t>
        </is>
      </c>
      <c r="M325" s="676" t="inlineStr">
        <is>
          <t>Charges marketing et relations publiques</t>
        </is>
      </c>
      <c r="N325" s="677" t="n"/>
      <c r="O325" s="678" t="n"/>
      <c r="P325" s="678" t="n"/>
      <c r="Q325" s="672" t="inlineStr">
        <is>
          <t>RECONDUCTION</t>
        </is>
      </c>
      <c r="R325" s="679" t="n"/>
      <c r="S325" s="680" t="n"/>
      <c r="T325" s="681" t="inlineStr">
        <is>
          <t>FC MEDIA</t>
        </is>
      </c>
      <c r="U325" s="672" t="n">
        <v>2026</v>
      </c>
      <c r="V325" s="680" t="n">
        <v>46041</v>
      </c>
      <c r="W325" s="680" t="n"/>
      <c r="X325" s="680" t="n">
        <v>46042</v>
      </c>
      <c r="Y325" s="677" t="n">
        <v>5600001.6</v>
      </c>
      <c r="Z325" s="678" t="n">
        <v>0</v>
      </c>
      <c r="AA325" s="678" t="n">
        <v>6720001.92</v>
      </c>
      <c r="AB325" s="678" t="n">
        <v>0</v>
      </c>
      <c r="AC325" s="678" t="n">
        <v>5600001.6</v>
      </c>
      <c r="AD325" s="678" t="n">
        <v>6720001.92</v>
      </c>
      <c r="AE325" s="682" t="inlineStr">
        <is>
          <t>ENGAGE</t>
        </is>
      </c>
      <c r="AF325" s="681" t="n"/>
      <c r="AG325" s="678" t="n"/>
      <c r="AH325" s="678" t="n"/>
      <c r="AI325" s="678" t="n"/>
      <c r="AJ325" s="678" t="n"/>
      <c r="AK325" s="683" t="n"/>
      <c r="AL325" s="683" t="n"/>
      <c r="AM325" s="681" t="inlineStr">
        <is>
          <t>RAS</t>
        </is>
      </c>
    </row>
    <row r="326" ht="70.80000000000001" customHeight="1" s="392">
      <c r="A326" s="672" t="n">
        <v>2025</v>
      </c>
      <c r="B326" s="673" t="inlineStr">
        <is>
          <t>DPMG</t>
        </is>
      </c>
      <c r="C326" s="673" t="inlineStr">
        <is>
          <t>87 AOM/SNRT</t>
        </is>
      </c>
      <c r="D326" s="672" t="inlineStr">
        <is>
          <t>AOO-M</t>
        </is>
      </c>
      <c r="E326" s="672" t="n">
        <v>1</v>
      </c>
      <c r="F326" s="674" t="inlineStr">
        <is>
          <t>Prestation de nettoyage complète y compris les produits de nettoyage et l'entretien des locaux administratifs et techniques des services centraux et régionaux de la SNRT. (pour conclure un marché cadre).</t>
        </is>
      </c>
      <c r="G326" s="675" t="inlineStr">
        <is>
          <t>VALIDE</t>
        </is>
      </c>
      <c r="H326" s="672" t="inlineStr">
        <is>
          <t>APPROUVE</t>
        </is>
      </c>
      <c r="I326" s="672" t="inlineStr">
        <is>
          <t>01M/2026</t>
        </is>
      </c>
      <c r="J326" s="675" t="inlineStr">
        <is>
          <t>GENERAL</t>
        </is>
      </c>
      <c r="K326" s="672" t="inlineStr">
        <is>
          <t>Ordinaire</t>
        </is>
      </c>
      <c r="L326" s="676" t="inlineStr">
        <is>
          <t>FONCTIONNEMENT</t>
        </is>
      </c>
      <c r="M326" s="676" t="inlineStr">
        <is>
          <t>Prestations de service
Achat prestations de services locales - sociétés</t>
        </is>
      </c>
      <c r="N326" s="677" t="n">
        <v>11848790.83</v>
      </c>
      <c r="O326" s="678" t="n">
        <v>10066942.08</v>
      </c>
      <c r="P326" s="678">
        <f>O326/1.2</f>
        <v/>
      </c>
      <c r="Q326" s="672" t="inlineStr">
        <is>
          <t>BESOIN RECURRENT</t>
        </is>
      </c>
      <c r="R326" s="679" t="n">
        <v>46054</v>
      </c>
      <c r="S326" s="680" t="n">
        <v>47150</v>
      </c>
      <c r="T326" s="681" t="inlineStr">
        <is>
          <t>HYATT NEGOCE SERVICE</t>
        </is>
      </c>
      <c r="U326" s="672" t="n">
        <v>2026</v>
      </c>
      <c r="V326" s="680" t="n">
        <v>46044</v>
      </c>
      <c r="W326" s="680" t="n"/>
      <c r="X326" s="680" t="n">
        <v>46049</v>
      </c>
      <c r="Y326" s="677">
        <f>AA326/1.2</f>
        <v/>
      </c>
      <c r="Z326" s="678" t="n">
        <v>0</v>
      </c>
      <c r="AA326" s="678" t="n">
        <v>9199242.609999999</v>
      </c>
      <c r="AB326" s="678" t="n">
        <v>0</v>
      </c>
      <c r="AC326" s="678">
        <f>Y326</f>
        <v/>
      </c>
      <c r="AD326" s="678">
        <f>AA326</f>
        <v/>
      </c>
      <c r="AE326" s="682" t="inlineStr">
        <is>
          <t>ENGAGE</t>
        </is>
      </c>
      <c r="AF326" s="681" t="n"/>
      <c r="AG326" s="678" t="n"/>
      <c r="AH326" s="678" t="n"/>
      <c r="AI326" s="678" t="n"/>
      <c r="AJ326" s="678" t="n"/>
      <c r="AK326" s="683" t="n"/>
      <c r="AL326" s="683" t="n"/>
      <c r="AM326" s="681" t="inlineStr">
        <is>
          <t>Montant engagé sur 11 Mois du Min (10 035 537,40)</t>
        </is>
      </c>
    </row>
    <row r="327" ht="38.40000000000001" customHeight="1" s="392">
      <c r="A327" s="672" t="n">
        <v>2026</v>
      </c>
      <c r="B327" s="673" t="inlineStr">
        <is>
          <t>DPMG</t>
        </is>
      </c>
      <c r="C327" s="673" t="inlineStr">
        <is>
          <t>13AOM/SNRT</t>
        </is>
      </c>
      <c r="D327" s="672" t="inlineStr">
        <is>
          <t>AOO-M</t>
        </is>
      </c>
      <c r="E327" s="672" t="n">
        <v>1</v>
      </c>
      <c r="F327" s="674" t="inlineStr">
        <is>
          <t>Travaux d’aménagement des locaux technique de la SNRT a Rabat : Lot 1 : Aménagement et Agencement</t>
        </is>
      </c>
      <c r="G327" s="675" t="inlineStr">
        <is>
          <t>VALIDE</t>
        </is>
      </c>
      <c r="H327" s="672" t="inlineStr">
        <is>
          <t>ATTRIBUE</t>
        </is>
      </c>
      <c r="I327" s="691" t="n"/>
      <c r="J327" s="675" t="inlineStr">
        <is>
          <t>PME</t>
        </is>
      </c>
      <c r="K327" s="672" t="inlineStr">
        <is>
          <t>REPORT BUDGET ANNEE ANTERIEURE</t>
        </is>
      </c>
      <c r="L327" s="676" t="inlineStr">
        <is>
          <t>INVESTISSEMENT</t>
        </is>
      </c>
      <c r="M327" s="676" t="inlineStr">
        <is>
          <t>Agencements et aménagement constructions</t>
        </is>
      </c>
      <c r="N327" s="677">
        <f>O327*1.2</f>
        <v/>
      </c>
      <c r="O327" s="678" t="n">
        <v>1666392</v>
      </c>
      <c r="P327" s="678">
        <f>O327/1.2</f>
        <v/>
      </c>
      <c r="Q327" s="672" t="inlineStr">
        <is>
          <t>NOUVEAU BESOIN</t>
        </is>
      </c>
      <c r="R327" s="679" t="n"/>
      <c r="S327" s="680" t="n"/>
      <c r="T327" s="681" t="n"/>
      <c r="U327" s="672" t="n"/>
      <c r="V327" s="680" t="n">
        <v>46041</v>
      </c>
      <c r="W327" s="680" t="n"/>
      <c r="X327" s="680" t="n"/>
      <c r="Y327" s="677" t="n"/>
      <c r="Z327" s="678" t="n">
        <v>0</v>
      </c>
      <c r="AA327" s="678" t="n"/>
      <c r="AB327" s="678" t="n">
        <v>0</v>
      </c>
      <c r="AC327" s="678" t="n"/>
      <c r="AD327" s="678" t="n">
        <v>1959240</v>
      </c>
      <c r="AE327" s="682" t="inlineStr">
        <is>
          <t>PREENGAGE</t>
        </is>
      </c>
      <c r="AF327" s="681" t="n"/>
      <c r="AG327" s="678" t="n"/>
      <c r="AH327" s="678" t="n"/>
      <c r="AI327" s="678" t="n"/>
      <c r="AJ327" s="678" t="n"/>
      <c r="AK327" s="683" t="n"/>
      <c r="AL327" s="683" t="n"/>
      <c r="AM327" s="681" t="inlineStr">
        <is>
          <t>Absence Numéro AO</t>
        </is>
      </c>
    </row>
    <row r="328" ht="54.6" customHeight="1" s="392">
      <c r="A328" s="672" t="n">
        <v>2026</v>
      </c>
      <c r="B328" s="673" t="inlineStr">
        <is>
          <t>DPMG</t>
        </is>
      </c>
      <c r="C328" s="673" t="inlineStr">
        <is>
          <t>13AOM/SNRT</t>
        </is>
      </c>
      <c r="D328" s="672" t="inlineStr">
        <is>
          <t>AOO-M</t>
        </is>
      </c>
      <c r="E328" s="672" t="n">
        <v>2</v>
      </c>
      <c r="F328" s="674" t="inlineStr">
        <is>
          <t>Travaux d’aménagement des locaux technique de la SNRT a Rabat : Lot 2 : Electricité – Lustries – Climatisation</t>
        </is>
      </c>
      <c r="G328" s="675" t="inlineStr">
        <is>
          <t>VALIDE</t>
        </is>
      </c>
      <c r="H328" s="672" t="inlineStr">
        <is>
          <t>INFRUCTUEUX</t>
        </is>
      </c>
      <c r="I328" s="691" t="n"/>
      <c r="J328" s="675" t="inlineStr">
        <is>
          <t>PME</t>
        </is>
      </c>
      <c r="K328" s="672" t="inlineStr">
        <is>
          <t>REPORT BUDGET ANNEE ANTERIEURE</t>
        </is>
      </c>
      <c r="L328" s="676" t="inlineStr">
        <is>
          <t>INVESTISSEMENT</t>
        </is>
      </c>
      <c r="M328" s="676" t="inlineStr">
        <is>
          <t>Agencements et aménagement constructions</t>
        </is>
      </c>
      <c r="N328" s="677">
        <f>O328*1.2</f>
        <v/>
      </c>
      <c r="O328" s="678" t="n">
        <v>489516</v>
      </c>
      <c r="P328" s="678">
        <f>O328/1.2</f>
        <v/>
      </c>
      <c r="Q328" s="672" t="inlineStr">
        <is>
          <t>NOUVEAU BESOIN</t>
        </is>
      </c>
      <c r="R328" s="679" t="n"/>
      <c r="S328" s="680" t="n"/>
      <c r="T328" s="681" t="n"/>
      <c r="U328" s="672" t="n"/>
      <c r="V328" s="680" t="n">
        <v>46041</v>
      </c>
      <c r="W328" s="680" t="n"/>
      <c r="X328" s="680" t="n"/>
      <c r="Y328" s="677" t="n"/>
      <c r="Z328" s="678" t="n">
        <v>0</v>
      </c>
      <c r="AA328" s="678" t="n"/>
      <c r="AB328" s="678" t="n">
        <v>0</v>
      </c>
      <c r="AC328" s="678" t="n"/>
      <c r="AD328" s="678" t="n"/>
      <c r="AE328" s="682" t="inlineStr">
        <is>
          <t>NON ENGAGE</t>
        </is>
      </c>
      <c r="AF328" s="681" t="n"/>
      <c r="AG328" s="678" t="n"/>
      <c r="AH328" s="678" t="n"/>
      <c r="AI328" s="678" t="n"/>
      <c r="AJ328" s="678" t="n"/>
      <c r="AK328" s="683" t="n"/>
      <c r="AL328" s="683" t="n"/>
      <c r="AM328" s="681" t="inlineStr">
        <is>
          <t>Absence Numéro AO</t>
        </is>
      </c>
    </row>
    <row r="329" ht="38.40000000000001" customHeight="1" s="392">
      <c r="A329" s="672" t="n">
        <v>2026</v>
      </c>
      <c r="B329" s="673" t="inlineStr">
        <is>
          <t>DPMG</t>
        </is>
      </c>
      <c r="C329" s="673" t="inlineStr">
        <is>
          <t>41AOM/AOM</t>
        </is>
      </c>
      <c r="D329" s="672" t="inlineStr">
        <is>
          <t>AOO-M</t>
        </is>
      </c>
      <c r="E329" s="672" t="n">
        <v>1</v>
      </c>
      <c r="F329" s="674" t="inlineStr">
        <is>
          <t>Travaux d’aménagement et d’agencement de la Régie Publicitaire et des solutions digitales à Casablanca</t>
        </is>
      </c>
      <c r="G329" s="675" t="inlineStr">
        <is>
          <t>VALIDE</t>
        </is>
      </c>
      <c r="H329" s="672" t="inlineStr">
        <is>
          <t>INFRUCTUEUX</t>
        </is>
      </c>
      <c r="I329" s="691" t="n"/>
      <c r="J329" s="675" t="inlineStr">
        <is>
          <t>PME</t>
        </is>
      </c>
      <c r="K329" s="672" t="inlineStr">
        <is>
          <t>REPORT BUDGET ANNEE ANTERIEURE</t>
        </is>
      </c>
      <c r="L329" s="676" t="inlineStr">
        <is>
          <t>INVESTISSEMENT</t>
        </is>
      </c>
      <c r="M329" s="676" t="inlineStr">
        <is>
          <t>Agencements et aménagement constructions</t>
        </is>
      </c>
      <c r="N329" s="677">
        <f>O329*1.2</f>
        <v/>
      </c>
      <c r="O329" s="678" t="n">
        <v>1189290</v>
      </c>
      <c r="P329" s="678">
        <f>O329/1.2</f>
        <v/>
      </c>
      <c r="Q329" s="672" t="inlineStr">
        <is>
          <t>NOUVEAU BESOIN</t>
        </is>
      </c>
      <c r="R329" s="679" t="n"/>
      <c r="S329" s="680" t="n"/>
      <c r="T329" s="681" t="n"/>
      <c r="U329" s="672" t="n"/>
      <c r="V329" s="680" t="n">
        <v>46154</v>
      </c>
      <c r="W329" s="680" t="n"/>
      <c r="X329" s="680" t="n"/>
      <c r="Y329" s="677" t="n"/>
      <c r="Z329" s="678" t="n">
        <v>0</v>
      </c>
      <c r="AA329" s="678" t="n"/>
      <c r="AB329" s="678" t="n">
        <v>0</v>
      </c>
      <c r="AC329" s="678" t="n"/>
      <c r="AD329" s="678" t="n"/>
      <c r="AE329" s="682" t="inlineStr">
        <is>
          <t>NON ENGAGE</t>
        </is>
      </c>
      <c r="AF329" s="681" t="n"/>
      <c r="AG329" s="678" t="n"/>
      <c r="AH329" s="678" t="n"/>
      <c r="AI329" s="678" t="n"/>
      <c r="AJ329" s="678" t="n"/>
      <c r="AK329" s="683" t="n"/>
      <c r="AL329" s="683" t="n"/>
      <c r="AM329" s="681" t="inlineStr">
        <is>
          <t>Absence Numéro AO</t>
        </is>
      </c>
    </row>
    <row r="330" ht="38.40000000000001" customHeight="1" s="392">
      <c r="A330" s="672" t="n">
        <v>2026</v>
      </c>
      <c r="B330" s="673" t="inlineStr">
        <is>
          <t>DPMG</t>
        </is>
      </c>
      <c r="C330" s="673" t="inlineStr">
        <is>
          <t>03 AOM/SNRT</t>
        </is>
      </c>
      <c r="D330" s="672" t="inlineStr">
        <is>
          <t>AOO-M</t>
        </is>
      </c>
      <c r="E330" s="672" t="n">
        <v>1</v>
      </c>
      <c r="F330" s="674" t="inlineStr">
        <is>
          <t>Travaux de démolition et de reconstruction d’un mur de clôture de la station régionale Radio à Oujda</t>
        </is>
      </c>
      <c r="G330" s="675" t="inlineStr">
        <is>
          <t>VALIDE</t>
        </is>
      </c>
      <c r="H330" s="672" t="inlineStr">
        <is>
          <t>ATTRIBUE</t>
        </is>
      </c>
      <c r="I330" s="672" t="inlineStr">
        <is>
          <t>15M/2026</t>
        </is>
      </c>
      <c r="J330" s="675" t="inlineStr">
        <is>
          <t>PME</t>
        </is>
      </c>
      <c r="K330" s="672" t="inlineStr">
        <is>
          <t>REPORT BUDGET ANNEE ANTERIEURE</t>
        </is>
      </c>
      <c r="L330" s="676" t="inlineStr">
        <is>
          <t>INVESTISSEMENT</t>
        </is>
      </c>
      <c r="M330" s="676" t="inlineStr">
        <is>
          <t>Agencements et aménagement constructions</t>
        </is>
      </c>
      <c r="N330" s="677">
        <f>O330*1.2</f>
        <v/>
      </c>
      <c r="O330" s="678" t="n">
        <v>815820</v>
      </c>
      <c r="P330" s="678">
        <f>O330/1.2</f>
        <v/>
      </c>
      <c r="Q330" s="672" t="inlineStr">
        <is>
          <t>NOUVEAU BESOIN</t>
        </is>
      </c>
      <c r="R330" s="679" t="n"/>
      <c r="S330" s="680" t="n"/>
      <c r="T330" s="681" t="inlineStr">
        <is>
          <t>OYIRI TRAVAUX</t>
        </is>
      </c>
      <c r="U330" s="672" t="n">
        <v>2026</v>
      </c>
      <c r="V330" s="680" t="n">
        <v>46041</v>
      </c>
      <c r="W330" s="680" t="n">
        <v>46062</v>
      </c>
      <c r="X330" s="680" t="n">
        <v>46163</v>
      </c>
      <c r="Y330" s="677">
        <f>AA330/1.2</f>
        <v/>
      </c>
      <c r="Z330" s="678" t="n">
        <v>0</v>
      </c>
      <c r="AA330" s="678" t="n">
        <v>819139.2</v>
      </c>
      <c r="AB330" s="678" t="n">
        <v>0</v>
      </c>
      <c r="AC330" s="678">
        <f>Y330</f>
        <v/>
      </c>
      <c r="AD330" s="678">
        <f>AA330</f>
        <v/>
      </c>
      <c r="AE330" s="682" t="inlineStr">
        <is>
          <t>ENGAGE</t>
        </is>
      </c>
      <c r="AF330" s="681" t="n"/>
      <c r="AG330" s="678" t="n"/>
      <c r="AH330" s="678" t="n"/>
      <c r="AI330" s="678" t="n"/>
      <c r="AJ330" s="678" t="n"/>
      <c r="AK330" s="683" t="n"/>
      <c r="AL330" s="683" t="n"/>
      <c r="AM330" s="681" t="inlineStr">
        <is>
          <t>RAS</t>
        </is>
      </c>
    </row>
    <row r="331" ht="38.40000000000001" customHeight="1" s="392">
      <c r="A331" s="672" t="n">
        <v>2026</v>
      </c>
      <c r="B331" s="673" t="inlineStr">
        <is>
          <t>DPMG</t>
        </is>
      </c>
      <c r="C331" s="673" t="inlineStr">
        <is>
          <t>04 AOM/SNRT</t>
        </is>
      </c>
      <c r="D331" s="672" t="inlineStr">
        <is>
          <t>AOO-M</t>
        </is>
      </c>
      <c r="E331" s="672" t="n">
        <v>1</v>
      </c>
      <c r="F331" s="674" t="inlineStr">
        <is>
          <t>Fourniture et installation du matériel de bureau : Photocopieurs, Fax, Toners, Drums et Fours</t>
        </is>
      </c>
      <c r="G331" s="675" t="inlineStr">
        <is>
          <t>INFRUCTUEUX</t>
        </is>
      </c>
      <c r="H331" s="672" t="inlineStr">
        <is>
          <t>INFRUCTUEUX</t>
        </is>
      </c>
      <c r="I331" s="672" t="n"/>
      <c r="J331" s="675" t="inlineStr">
        <is>
          <t>GENERAL</t>
        </is>
      </c>
      <c r="K331" s="672" t="inlineStr">
        <is>
          <t>REPORT BUDGET ANNEE ANTERIEURE</t>
        </is>
      </c>
      <c r="L331" s="676" t="inlineStr">
        <is>
          <t>INVESTISSEMENT</t>
        </is>
      </c>
      <c r="M331" s="676" t="inlineStr">
        <is>
          <t>Matériel de bureau</t>
        </is>
      </c>
      <c r="N331" s="677">
        <f>O331*1.2</f>
        <v/>
      </c>
      <c r="O331" s="678" t="n">
        <v>782160</v>
      </c>
      <c r="P331" s="678">
        <f>O331/1.2</f>
        <v/>
      </c>
      <c r="Q331" s="672" t="inlineStr">
        <is>
          <t>BESOIN RECURRENT</t>
        </is>
      </c>
      <c r="R331" s="679" t="n"/>
      <c r="S331" s="680" t="n"/>
      <c r="T331" s="681" t="n"/>
      <c r="U331" s="672" t="n"/>
      <c r="V331" s="680" t="n">
        <v>46105</v>
      </c>
      <c r="W331" s="680" t="n">
        <v>46108</v>
      </c>
      <c r="X331" s="680" t="n"/>
      <c r="Y331" s="677" t="n">
        <v>0</v>
      </c>
      <c r="Z331" s="678" t="n">
        <v>0</v>
      </c>
      <c r="AA331" s="678" t="n">
        <v>0</v>
      </c>
      <c r="AB331" s="678" t="n">
        <v>0</v>
      </c>
      <c r="AC331" s="678" t="n">
        <v>0</v>
      </c>
      <c r="AD331" s="678" t="n">
        <v>0</v>
      </c>
      <c r="AE331" s="682" t="inlineStr">
        <is>
          <t>NON ENGAGE</t>
        </is>
      </c>
      <c r="AF331" s="681" t="n"/>
      <c r="AG331" s="678" t="n"/>
      <c r="AH331" s="678" t="n"/>
      <c r="AI331" s="678" t="n"/>
      <c r="AJ331" s="678" t="n"/>
      <c r="AK331" s="683" t="n"/>
      <c r="AL331" s="683" t="n"/>
      <c r="AM331" s="681" t="inlineStr">
        <is>
          <t>INFRUCTUEUX</t>
        </is>
      </c>
    </row>
    <row r="332" ht="38.40000000000001" customHeight="1" s="392">
      <c r="A332" s="672" t="n">
        <v>2026</v>
      </c>
      <c r="B332" s="673" t="inlineStr">
        <is>
          <t>DPMG</t>
        </is>
      </c>
      <c r="C332" s="673" t="inlineStr">
        <is>
          <t>04 AOM/SNRT</t>
        </is>
      </c>
      <c r="D332" s="672" t="inlineStr">
        <is>
          <t>AOO-M</t>
        </is>
      </c>
      <c r="E332" s="672" t="n">
        <v>2</v>
      </c>
      <c r="F332" s="674" t="inlineStr">
        <is>
          <t>Achat du consommable pour photocopieur et fax : Toners, Drums et Fours</t>
        </is>
      </c>
      <c r="G332" s="675" t="inlineStr">
        <is>
          <t>INFRUCTUEUX</t>
        </is>
      </c>
      <c r="H332" s="672" t="inlineStr">
        <is>
          <t>INFRUCTUEUX</t>
        </is>
      </c>
      <c r="I332" s="672" t="n"/>
      <c r="J332" s="675" t="inlineStr">
        <is>
          <t>GENERAL</t>
        </is>
      </c>
      <c r="K332" s="672" t="inlineStr">
        <is>
          <t>Ordinaire</t>
        </is>
      </c>
      <c r="L332" s="676" t="inlineStr">
        <is>
          <t>FONCTIONNEMENT</t>
        </is>
      </c>
      <c r="M332" s="676" t="inlineStr">
        <is>
          <t>Achats de matières et fournitures consommables</t>
        </is>
      </c>
      <c r="N332" s="677">
        <f>O332*1.2</f>
        <v/>
      </c>
      <c r="O332" s="678" t="n">
        <v>201000</v>
      </c>
      <c r="P332" s="678">
        <f>O332/1.2</f>
        <v/>
      </c>
      <c r="Q332" s="672" t="inlineStr">
        <is>
          <t>BESOIN RECURRENT</t>
        </is>
      </c>
      <c r="R332" s="679" t="n"/>
      <c r="S332" s="680" t="n"/>
      <c r="T332" s="681" t="n"/>
      <c r="U332" s="672" t="n"/>
      <c r="V332" s="680" t="n">
        <v>46105</v>
      </c>
      <c r="W332" s="680" t="n">
        <v>46108</v>
      </c>
      <c r="X332" s="680" t="n"/>
      <c r="Y332" s="677" t="n">
        <v>0</v>
      </c>
      <c r="Z332" s="678" t="n">
        <v>0</v>
      </c>
      <c r="AA332" s="678" t="n">
        <v>0</v>
      </c>
      <c r="AB332" s="678" t="n">
        <v>0</v>
      </c>
      <c r="AC332" s="678" t="n">
        <v>0</v>
      </c>
      <c r="AD332" s="678" t="n">
        <v>0</v>
      </c>
      <c r="AE332" s="682" t="inlineStr">
        <is>
          <t>NON ENGAGE</t>
        </is>
      </c>
      <c r="AF332" s="681" t="n"/>
      <c r="AG332" s="678" t="n"/>
      <c r="AH332" s="678" t="n"/>
      <c r="AI332" s="678" t="n"/>
      <c r="AJ332" s="678" t="n"/>
      <c r="AK332" s="683" t="n"/>
      <c r="AL332" s="683" t="n"/>
      <c r="AM332" s="681" t="inlineStr">
        <is>
          <t>INFRUCTUEUX</t>
        </is>
      </c>
    </row>
    <row r="333" ht="54.6" customHeight="1" s="392">
      <c r="A333" s="672" t="n">
        <v>2025</v>
      </c>
      <c r="B333" s="673" t="inlineStr">
        <is>
          <t>TDF -SITES</t>
        </is>
      </c>
      <c r="C333" s="673" t="inlineStr">
        <is>
          <t>62 AOM/SNRT/2025</t>
        </is>
      </c>
      <c r="D333" s="672" t="inlineStr">
        <is>
          <t>AOO-M</t>
        </is>
      </c>
      <c r="E333" s="672" t="n">
        <v>1</v>
      </c>
      <c r="F333" s="674" t="inlineStr">
        <is>
          <t>Travaux d’aménagement des sites de diffusion de la SNRT LAKHIAR (P.KHEMISSET) et SIDI AHMED BENRAHAL (P.SIDI BENNOUR)</t>
        </is>
      </c>
      <c r="G333" s="675" t="inlineStr">
        <is>
          <t>VALIDE</t>
        </is>
      </c>
      <c r="H333" s="672" t="inlineStr">
        <is>
          <t>APPROUVE</t>
        </is>
      </c>
      <c r="I333" s="672" t="inlineStr">
        <is>
          <t>02M/2026</t>
        </is>
      </c>
      <c r="J333" s="675" t="inlineStr">
        <is>
          <t>PME</t>
        </is>
      </c>
      <c r="K333" s="672" t="inlineStr">
        <is>
          <t>REPORT BUDGET ANNEE ANTERIEURE</t>
        </is>
      </c>
      <c r="L333" s="676" t="inlineStr">
        <is>
          <t>INVESTISSEMENT</t>
        </is>
      </c>
      <c r="M333" s="676" t="inlineStr">
        <is>
          <t>Agencements et aménagement constructions</t>
        </is>
      </c>
      <c r="N333" s="677">
        <f>O333*1.2</f>
        <v/>
      </c>
      <c r="O333" s="678" t="n">
        <v>2807034</v>
      </c>
      <c r="P333" s="678">
        <f>O333/1.2</f>
        <v/>
      </c>
      <c r="Q333" s="672" t="inlineStr">
        <is>
          <t>NOUVEAU BESOIN</t>
        </is>
      </c>
      <c r="R333" s="679" t="n"/>
      <c r="S333" s="680" t="n"/>
      <c r="T333" s="681" t="inlineStr">
        <is>
          <t>ATLANTIC MULTIPOLE</t>
        </is>
      </c>
      <c r="U333" s="672" t="n">
        <v>2026</v>
      </c>
      <c r="V333" s="680" t="n">
        <v>46044</v>
      </c>
      <c r="W333" s="680" t="n"/>
      <c r="X333" s="680" t="n">
        <v>46049</v>
      </c>
      <c r="Y333" s="677">
        <f>AA333/1.2</f>
        <v/>
      </c>
      <c r="Z333" s="678" t="n">
        <v>0</v>
      </c>
      <c r="AA333" s="678" t="n">
        <v>3228000</v>
      </c>
      <c r="AB333" s="678" t="n">
        <v>0</v>
      </c>
      <c r="AC333" s="678">
        <f>Y333</f>
        <v/>
      </c>
      <c r="AD333" s="678">
        <f>AA333</f>
        <v/>
      </c>
      <c r="AE333" s="682" t="inlineStr">
        <is>
          <t>ENGAGE</t>
        </is>
      </c>
      <c r="AF333" s="681" t="n"/>
      <c r="AG333" s="678" t="n"/>
      <c r="AH333" s="678" t="n"/>
      <c r="AI333" s="678" t="n"/>
      <c r="AJ333" s="678" t="n"/>
      <c r="AK333" s="683" t="n"/>
      <c r="AL333" s="683" t="n"/>
      <c r="AM333" s="681" t="inlineStr">
        <is>
          <t>RAS</t>
        </is>
      </c>
    </row>
    <row r="334" ht="38.40000000000001" customHeight="1" s="392">
      <c r="A334" s="672" t="n">
        <v>2025</v>
      </c>
      <c r="B334" s="673" t="inlineStr">
        <is>
          <t>TDF -SITES</t>
        </is>
      </c>
      <c r="C334" s="673" t="inlineStr">
        <is>
          <t>97 AOM/SNRT</t>
        </is>
      </c>
      <c r="D334" s="672" t="inlineStr">
        <is>
          <t>AOO-M</t>
        </is>
      </c>
      <c r="E334" s="672" t="n">
        <v>1</v>
      </c>
      <c r="F334" s="674" t="inlineStr">
        <is>
          <t>Travaux d’aménagement des sites de diffusion de JBEL TAZEKKA (P.TAZA)</t>
        </is>
      </c>
      <c r="G334" s="675" t="inlineStr">
        <is>
          <t>VALIDE</t>
        </is>
      </c>
      <c r="H334" s="672" t="inlineStr">
        <is>
          <t>APPROUVE</t>
        </is>
      </c>
      <c r="I334" s="672" t="inlineStr">
        <is>
          <t>03M/2026</t>
        </is>
      </c>
      <c r="J334" s="675" t="inlineStr">
        <is>
          <t>PME</t>
        </is>
      </c>
      <c r="K334" s="672" t="inlineStr">
        <is>
          <t>REPORT BUDGET ANNEE ANTERIEURE</t>
        </is>
      </c>
      <c r="L334" s="676" t="inlineStr">
        <is>
          <t>INVESTISSEMENT</t>
        </is>
      </c>
      <c r="M334" s="676" t="inlineStr">
        <is>
          <t>Agencements et aménagement constructions</t>
        </is>
      </c>
      <c r="N334" s="677">
        <f>O334*1.2</f>
        <v/>
      </c>
      <c r="O334" s="678" t="n">
        <v>2559552</v>
      </c>
      <c r="P334" s="678">
        <f>O334/1.2</f>
        <v/>
      </c>
      <c r="Q334" s="672" t="inlineStr">
        <is>
          <t>NOUVEAU BESOIN</t>
        </is>
      </c>
      <c r="R334" s="679" t="n"/>
      <c r="S334" s="680" t="n"/>
      <c r="T334" s="681" t="inlineStr">
        <is>
          <t>MED MAN</t>
        </is>
      </c>
      <c r="U334" s="672" t="n">
        <v>2026</v>
      </c>
      <c r="V334" s="680" t="n">
        <v>46044</v>
      </c>
      <c r="W334" s="680" t="n"/>
      <c r="X334" s="680" t="n">
        <v>46049</v>
      </c>
      <c r="Y334" s="677">
        <f>AA334/1.2</f>
        <v/>
      </c>
      <c r="Z334" s="678" t="n">
        <v>0</v>
      </c>
      <c r="AA334" s="678" t="n">
        <v>2497248</v>
      </c>
      <c r="AB334" s="678" t="n">
        <v>0</v>
      </c>
      <c r="AC334" s="678">
        <f>Y334</f>
        <v/>
      </c>
      <c r="AD334" s="678">
        <f>AA334</f>
        <v/>
      </c>
      <c r="AE334" s="682" t="inlineStr">
        <is>
          <t>ENGAGE</t>
        </is>
      </c>
      <c r="AF334" s="681" t="n"/>
      <c r="AG334" s="678" t="n"/>
      <c r="AH334" s="678" t="n"/>
      <c r="AI334" s="678" t="n"/>
      <c r="AJ334" s="678" t="n"/>
      <c r="AK334" s="683" t="n"/>
      <c r="AL334" s="683" t="n"/>
      <c r="AM334" s="681" t="inlineStr">
        <is>
          <t>RAS</t>
        </is>
      </c>
    </row>
    <row r="335" ht="54.6" customHeight="1" s="392">
      <c r="A335" s="672" t="n">
        <v>2026</v>
      </c>
      <c r="B335" s="673" t="inlineStr">
        <is>
          <t>DA</t>
        </is>
      </c>
      <c r="C335" s="673" t="inlineStr">
        <is>
          <t>EXCLUSIVITÉ</t>
        </is>
      </c>
      <c r="D335" s="672" t="inlineStr">
        <is>
          <t>CONTRAT</t>
        </is>
      </c>
      <c r="E335" s="672" t="n">
        <v>1</v>
      </c>
      <c r="F335" s="674" t="inlineStr">
        <is>
          <t>Publication des  insertions de la SNRT dans les deux journaux  du groupe AL ITIHAD PRESSE  à savoir : «AL ITTIHAD AL ICHTIRAKI » et « LIBERATION »</t>
        </is>
      </c>
      <c r="G335" s="675" t="inlineStr">
        <is>
          <t>VALIDE</t>
        </is>
      </c>
      <c r="H335" s="672" t="inlineStr">
        <is>
          <t>APPROUVE</t>
        </is>
      </c>
      <c r="I335" s="672" t="inlineStr">
        <is>
          <t>01 CT/SNRT/2026</t>
        </is>
      </c>
      <c r="J335" s="675" t="inlineStr">
        <is>
          <t>NON CONCERNE</t>
        </is>
      </c>
      <c r="K335" s="672" t="inlineStr">
        <is>
          <t>Ordinaire</t>
        </is>
      </c>
      <c r="L335" s="676" t="inlineStr">
        <is>
          <t>FONCTIONNEMENT</t>
        </is>
      </c>
      <c r="M335" s="676" t="inlineStr">
        <is>
          <t>Charges marketing et relations publiques
Annonces et insertions</t>
        </is>
      </c>
      <c r="N335" s="677" t="n"/>
      <c r="O335" s="678" t="n"/>
      <c r="P335" s="678" t="n"/>
      <c r="Q335" s="672" t="inlineStr">
        <is>
          <t>BESOIN RECURRENT</t>
        </is>
      </c>
      <c r="R335" s="679" t="n"/>
      <c r="S335" s="680" t="n"/>
      <c r="T335" s="681" t="inlineStr">
        <is>
          <t>GROUPE AL ITTIHAD PRESSE</t>
        </is>
      </c>
      <c r="U335" s="672" t="n">
        <v>2026</v>
      </c>
      <c r="V335" s="680" t="n">
        <v>46022</v>
      </c>
      <c r="W335" s="680" t="n"/>
      <c r="X335" s="680" t="n">
        <v>46024</v>
      </c>
      <c r="Y335" s="677" t="n">
        <v>80000</v>
      </c>
      <c r="Z335" s="678" t="n">
        <v>0</v>
      </c>
      <c r="AA335" s="678" t="n">
        <v>96000</v>
      </c>
      <c r="AB335" s="678" t="n">
        <v>0</v>
      </c>
      <c r="AC335" s="678">
        <f>Y335</f>
        <v/>
      </c>
      <c r="AD335" s="678">
        <f>AA335</f>
        <v/>
      </c>
      <c r="AE335" s="682" t="inlineStr">
        <is>
          <t>ENGAGE</t>
        </is>
      </c>
      <c r="AF335" s="681" t="n"/>
      <c r="AG335" s="678" t="n"/>
      <c r="AH335" s="678" t="n"/>
      <c r="AI335" s="678" t="n"/>
      <c r="AJ335" s="678" t="n"/>
      <c r="AK335" s="683" t="n"/>
      <c r="AL335" s="683" t="n"/>
      <c r="AM335" s="681" t="inlineStr">
        <is>
          <t>RAS</t>
        </is>
      </c>
    </row>
    <row r="336" ht="54.6" customHeight="1" s="392">
      <c r="A336" s="672" t="n">
        <v>2026</v>
      </c>
      <c r="B336" s="673" t="inlineStr">
        <is>
          <t>DA</t>
        </is>
      </c>
      <c r="C336" s="673" t="inlineStr">
        <is>
          <t>EXCLUSIVITÉ</t>
        </is>
      </c>
      <c r="D336" s="672" t="inlineStr">
        <is>
          <t>CONTRAT</t>
        </is>
      </c>
      <c r="E336" s="672" t="n">
        <v>1</v>
      </c>
      <c r="F336" s="674" t="inlineStr">
        <is>
          <t>Publication des insertions de la SNRT dans les journaux du groupe MAROC SOIR : le MATIN et  ASSAHRAA AL MAGHRIBIA</t>
        </is>
      </c>
      <c r="G336" s="675" t="inlineStr">
        <is>
          <t>VALIDE</t>
        </is>
      </c>
      <c r="H336" s="672" t="inlineStr">
        <is>
          <t>APPROUVE</t>
        </is>
      </c>
      <c r="I336" s="672" t="inlineStr">
        <is>
          <t>02 CT/SNRT/2026</t>
        </is>
      </c>
      <c r="J336" s="675" t="inlineStr">
        <is>
          <t>NON CONCERNE</t>
        </is>
      </c>
      <c r="K336" s="672" t="inlineStr">
        <is>
          <t>Ordinaire</t>
        </is>
      </c>
      <c r="L336" s="676" t="inlineStr">
        <is>
          <t>FONCTIONNEMENT</t>
        </is>
      </c>
      <c r="M336" s="676" t="inlineStr">
        <is>
          <t>Charges marketing et relations publiques
Annonces et insertions</t>
        </is>
      </c>
      <c r="N336" s="677" t="n"/>
      <c r="O336" s="678" t="n"/>
      <c r="P336" s="678" t="n"/>
      <c r="Q336" s="672" t="inlineStr">
        <is>
          <t>BESOIN RECURRENT</t>
        </is>
      </c>
      <c r="R336" s="679" t="n"/>
      <c r="S336" s="680" t="n"/>
      <c r="T336" s="681" t="inlineStr">
        <is>
          <t>GROUPE MAROC SOIR</t>
        </is>
      </c>
      <c r="U336" s="672" t="n">
        <v>2026</v>
      </c>
      <c r="V336" s="680" t="n">
        <v>46022</v>
      </c>
      <c r="W336" s="680" t="n"/>
      <c r="X336" s="680" t="n">
        <v>46024</v>
      </c>
      <c r="Y336" s="677" t="n">
        <v>151200</v>
      </c>
      <c r="Z336" s="678" t="n">
        <v>0</v>
      </c>
      <c r="AA336" s="678" t="n">
        <v>181400</v>
      </c>
      <c r="AB336" s="678" t="n">
        <v>0</v>
      </c>
      <c r="AC336" s="678">
        <f>Y336</f>
        <v/>
      </c>
      <c r="AD336" s="678">
        <f>AA336</f>
        <v/>
      </c>
      <c r="AE336" s="682" t="inlineStr">
        <is>
          <t>ENGAGE</t>
        </is>
      </c>
      <c r="AF336" s="681" t="n"/>
      <c r="AG336" s="678" t="n"/>
      <c r="AH336" s="678" t="n"/>
      <c r="AI336" s="678" t="n"/>
      <c r="AJ336" s="678" t="n"/>
      <c r="AK336" s="683" t="n"/>
      <c r="AL336" s="683" t="n"/>
      <c r="AM336" s="681" t="inlineStr">
        <is>
          <t>RAS</t>
        </is>
      </c>
    </row>
    <row r="337" ht="50.55" customHeight="1" s="392">
      <c r="A337" s="672" t="n">
        <v>2026</v>
      </c>
      <c r="B337" s="673" t="inlineStr">
        <is>
          <t>DA</t>
        </is>
      </c>
      <c r="C337" s="673" t="inlineStr">
        <is>
          <t>EXCLUSIVITÉ</t>
        </is>
      </c>
      <c r="D337" s="672" t="inlineStr">
        <is>
          <t>CONTRAT</t>
        </is>
      </c>
      <c r="E337" s="672" t="n">
        <v>1</v>
      </c>
      <c r="F337" s="674" t="inlineStr">
        <is>
          <t>Publication des  insertions de la SNRT dans les deux journaux  du groupe BAYANE</t>
        </is>
      </c>
      <c r="G337" s="675" t="inlineStr">
        <is>
          <t>VALIDE</t>
        </is>
      </c>
      <c r="H337" s="672" t="inlineStr">
        <is>
          <t>APPROUVE</t>
        </is>
      </c>
      <c r="I337" s="672" t="inlineStr">
        <is>
          <t>03 CT/SNRT/2026</t>
        </is>
      </c>
      <c r="J337" s="675" t="inlineStr">
        <is>
          <t>NON CONCERNE</t>
        </is>
      </c>
      <c r="K337" s="672" t="inlineStr">
        <is>
          <t>Ordinaire</t>
        </is>
      </c>
      <c r="L337" s="676" t="inlineStr">
        <is>
          <t>FONCTIONNEMENT</t>
        </is>
      </c>
      <c r="M337" s="676" t="inlineStr">
        <is>
          <t>Charges marketing et relations publiques
Annonces et insertions</t>
        </is>
      </c>
      <c r="N337" s="677" t="n"/>
      <c r="O337" s="678" t="n"/>
      <c r="P337" s="678" t="n"/>
      <c r="Q337" s="672" t="inlineStr">
        <is>
          <t>BESOIN RECURRENT</t>
        </is>
      </c>
      <c r="R337" s="679" t="n"/>
      <c r="S337" s="680" t="n"/>
      <c r="T337" s="681" t="inlineStr">
        <is>
          <t>BAYANE SA</t>
        </is>
      </c>
      <c r="U337" s="672" t="n">
        <v>2026</v>
      </c>
      <c r="V337" s="680" t="n">
        <v>46022</v>
      </c>
      <c r="W337" s="680" t="n"/>
      <c r="X337" s="680" t="n">
        <v>46024</v>
      </c>
      <c r="Y337" s="677" t="n">
        <v>80000</v>
      </c>
      <c r="Z337" s="678" t="n"/>
      <c r="AA337" s="678" t="n">
        <v>96000</v>
      </c>
      <c r="AB337" s="678" t="n"/>
      <c r="AC337" s="678">
        <f>Y337</f>
        <v/>
      </c>
      <c r="AD337" s="678">
        <f>AA337</f>
        <v/>
      </c>
      <c r="AE337" s="682" t="inlineStr">
        <is>
          <t>ENGAGE</t>
        </is>
      </c>
      <c r="AF337" s="681" t="n"/>
      <c r="AG337" s="678" t="n"/>
      <c r="AH337" s="678" t="n"/>
      <c r="AI337" s="678" t="n"/>
      <c r="AJ337" s="678" t="n"/>
      <c r="AK337" s="683" t="n"/>
      <c r="AL337" s="683" t="n"/>
      <c r="AM337" s="681" t="inlineStr">
        <is>
          <t>RAS</t>
        </is>
      </c>
    </row>
    <row r="338" ht="50.55" customHeight="1" s="392">
      <c r="A338" s="672" t="n">
        <v>2026</v>
      </c>
      <c r="B338" s="673" t="inlineStr">
        <is>
          <t>DA</t>
        </is>
      </c>
      <c r="C338" s="673" t="inlineStr">
        <is>
          <t>EXCLUSIVITÉ</t>
        </is>
      </c>
      <c r="D338" s="672" t="inlineStr">
        <is>
          <t>CONTRAT</t>
        </is>
      </c>
      <c r="E338" s="672" t="n">
        <v>1</v>
      </c>
      <c r="F338" s="674" t="inlineStr">
        <is>
          <t>Publication des insertions de la SNRT dans le Journal " ANNAHAR AL MAGHRIBIYA "</t>
        </is>
      </c>
      <c r="G338" s="675" t="inlineStr">
        <is>
          <t>VALIDE</t>
        </is>
      </c>
      <c r="H338" s="672" t="inlineStr">
        <is>
          <t>APPROUVE</t>
        </is>
      </c>
      <c r="I338" s="672" t="inlineStr">
        <is>
          <t>04 CT/SNRT/2026</t>
        </is>
      </c>
      <c r="J338" s="675" t="inlineStr">
        <is>
          <t>NON CONCERNE</t>
        </is>
      </c>
      <c r="K338" s="672" t="inlineStr">
        <is>
          <t>Ordinaire</t>
        </is>
      </c>
      <c r="L338" s="676" t="inlineStr">
        <is>
          <t>FONCTIONNEMENT</t>
        </is>
      </c>
      <c r="M338" s="676" t="inlineStr">
        <is>
          <t>Charges marketing et relations publiques
Annonces et insertions</t>
        </is>
      </c>
      <c r="N338" s="677" t="n"/>
      <c r="O338" s="678" t="n"/>
      <c r="P338" s="678" t="n"/>
      <c r="Q338" s="672" t="inlineStr">
        <is>
          <t>BESOIN RECURRENT</t>
        </is>
      </c>
      <c r="R338" s="679" t="n"/>
      <c r="S338" s="680" t="n"/>
      <c r="T338" s="681" t="inlineStr">
        <is>
          <t>MEDIA CONFIDENCE</t>
        </is>
      </c>
      <c r="U338" s="672" t="n">
        <v>2026</v>
      </c>
      <c r="V338" s="680" t="n">
        <v>46022</v>
      </c>
      <c r="W338" s="680" t="n"/>
      <c r="X338" s="680" t="n">
        <v>46024</v>
      </c>
      <c r="Y338" s="677" t="n">
        <v>40000</v>
      </c>
      <c r="Z338" s="678" t="n"/>
      <c r="AA338" s="678" t="n">
        <v>48000</v>
      </c>
      <c r="AB338" s="678" t="n"/>
      <c r="AC338" s="678">
        <f>+Y338</f>
        <v/>
      </c>
      <c r="AD338" s="678">
        <f>+AA338</f>
        <v/>
      </c>
      <c r="AE338" s="682" t="inlineStr">
        <is>
          <t>ENGAGE</t>
        </is>
      </c>
      <c r="AF338" s="681" t="n"/>
      <c r="AG338" s="678" t="n"/>
      <c r="AH338" s="678" t="n"/>
      <c r="AI338" s="678" t="n"/>
      <c r="AJ338" s="678" t="n"/>
      <c r="AK338" s="683" t="n"/>
      <c r="AL338" s="683" t="n"/>
      <c r="AM338" s="681" t="inlineStr">
        <is>
          <t>RAS</t>
        </is>
      </c>
    </row>
    <row r="339" ht="87" customHeight="1" s="392">
      <c r="A339" s="672" t="n">
        <v>2026</v>
      </c>
      <c r="B339" s="673" t="inlineStr">
        <is>
          <t>DCPA</t>
        </is>
      </c>
      <c r="C339" s="673" t="inlineStr">
        <is>
          <t>RECONDUCTION</t>
        </is>
      </c>
      <c r="D339" s="672" t="inlineStr">
        <is>
          <t>AOO-CT</t>
        </is>
      </c>
      <c r="E339" s="672" t="n">
        <v>1</v>
      </c>
      <c r="F339" s="674" t="inlineStr">
        <is>
          <t>La cession exclusive à la SNRT par l'auteur des droits d'auteurs patrimoniaux et les droits de toute utilisation dérivée du concept et des images relatifs à l'émission de Télé-réalité intitulée: ''LALLA LAAROUSSA'', Reconduction N°12</t>
        </is>
      </c>
      <c r="G339" s="675" t="inlineStr">
        <is>
          <t>VALIDE</t>
        </is>
      </c>
      <c r="H339" s="672" t="inlineStr">
        <is>
          <t>APPROUVE</t>
        </is>
      </c>
      <c r="I339" s="672" t="inlineStr">
        <is>
          <t>234 CT/SNRT/2026</t>
        </is>
      </c>
      <c r="J339" s="675" t="inlineStr">
        <is>
          <t>NON CONCERNE</t>
        </is>
      </c>
      <c r="K339" s="672" t="inlineStr">
        <is>
          <t>Ordinaire</t>
        </is>
      </c>
      <c r="L339" s="676" t="inlineStr">
        <is>
          <t>FONCTIONNEMENT</t>
        </is>
      </c>
      <c r="M339" s="676" t="inlineStr">
        <is>
          <t>Achats de productions et de programmes
Acquis définitive Programmes TV externes</t>
        </is>
      </c>
      <c r="N339" s="677" t="n"/>
      <c r="O339" s="678" t="n"/>
      <c r="P339" s="678" t="n"/>
      <c r="Q339" s="672" t="inlineStr">
        <is>
          <t>RECONDUCTION</t>
        </is>
      </c>
      <c r="R339" s="679" t="n"/>
      <c r="S339" s="680" t="n"/>
      <c r="T339" s="681" t="inlineStr">
        <is>
          <t>PUBLIC EVENEMENT PRODUCTION</t>
        </is>
      </c>
      <c r="U339" s="672" t="n">
        <v>2026</v>
      </c>
      <c r="V339" s="680" t="n">
        <v>46052</v>
      </c>
      <c r="W339" s="680" t="n"/>
      <c r="X339" s="680" t="n">
        <v>46055</v>
      </c>
      <c r="Y339" s="677">
        <f>AA339/1.2</f>
        <v/>
      </c>
      <c r="Z339" s="678" t="n">
        <v>0</v>
      </c>
      <c r="AA339" s="678" t="n">
        <v>12605142.02</v>
      </c>
      <c r="AB339" s="678" t="n">
        <v>0</v>
      </c>
      <c r="AC339" s="678">
        <f>Y339</f>
        <v/>
      </c>
      <c r="AD339" s="678">
        <f>AA339</f>
        <v/>
      </c>
      <c r="AE339" s="682" t="inlineStr">
        <is>
          <t>ENGAGE</t>
        </is>
      </c>
      <c r="AF339" s="681" t="n"/>
      <c r="AG339" s="678" t="n"/>
      <c r="AH339" s="678" t="n"/>
      <c r="AI339" s="678" t="n"/>
      <c r="AJ339" s="678" t="n"/>
      <c r="AK339" s="683" t="n"/>
      <c r="AL339" s="683" t="n"/>
      <c r="AM339" s="681" t="inlineStr">
        <is>
          <t>RAS</t>
        </is>
      </c>
    </row>
    <row r="340" ht="38.40000000000001" customHeight="1" s="392">
      <c r="A340" s="672" t="n">
        <v>2026</v>
      </c>
      <c r="B340" s="673" t="inlineStr">
        <is>
          <t>DRH</t>
        </is>
      </c>
      <c r="C340" s="673" t="inlineStr">
        <is>
          <t xml:space="preserve"> 29CT/SNRT/2025</t>
        </is>
      </c>
      <c r="D340" s="672" t="inlineStr">
        <is>
          <t>CONTRAT</t>
        </is>
      </c>
      <c r="E340" s="672" t="n">
        <v>1</v>
      </c>
      <c r="F340" s="674" t="inlineStr">
        <is>
          <t>L’assurance maladie complémentaire au régime de base AMO géré par la CNOPS au profit du personnel de la SNRT</t>
        </is>
      </c>
      <c r="G340" s="675" t="inlineStr">
        <is>
          <t>VALIDE</t>
        </is>
      </c>
      <c r="H340" s="672" t="inlineStr">
        <is>
          <t>APPROUVE</t>
        </is>
      </c>
      <c r="I340" s="672" t="inlineStr">
        <is>
          <t>POLICE N° 0902943</t>
        </is>
      </c>
      <c r="J340" s="675" t="inlineStr">
        <is>
          <t>NON CONCERNE</t>
        </is>
      </c>
      <c r="K340" s="672" t="inlineStr">
        <is>
          <t>Ordinaire</t>
        </is>
      </c>
      <c r="L340" s="676" t="inlineStr">
        <is>
          <t>FONCTIONNEMENT</t>
        </is>
      </c>
      <c r="M340" s="676" t="inlineStr">
        <is>
          <t>Charges sociales diverses</t>
        </is>
      </c>
      <c r="N340" s="677" t="n"/>
      <c r="O340" s="678" t="n"/>
      <c r="P340" s="678" t="n"/>
      <c r="Q340" s="672" t="inlineStr">
        <is>
          <t>NOUVEAU BESOIN</t>
        </is>
      </c>
      <c r="R340" s="679" t="n"/>
      <c r="S340" s="680" t="n"/>
      <c r="T340" s="681" t="inlineStr">
        <is>
          <t>SANLAM</t>
        </is>
      </c>
      <c r="U340" s="672" t="n">
        <v>2026</v>
      </c>
      <c r="V340" s="680" t="n">
        <v>46054</v>
      </c>
      <c r="W340" s="680" t="n"/>
      <c r="X340" s="680" t="n">
        <v>46055</v>
      </c>
      <c r="Y340" s="677" t="n">
        <v>4365400</v>
      </c>
      <c r="Z340" s="678" t="n">
        <v>0</v>
      </c>
      <c r="AA340" s="678" t="n">
        <v>5042037</v>
      </c>
      <c r="AB340" s="678" t="n">
        <v>0</v>
      </c>
      <c r="AC340" s="678" t="n">
        <v>4365400</v>
      </c>
      <c r="AD340" s="678">
        <f>AA340</f>
        <v/>
      </c>
      <c r="AE340" s="682" t="inlineStr">
        <is>
          <t>ENGAGE</t>
        </is>
      </c>
      <c r="AF340" s="681" t="n"/>
      <c r="AG340" s="678" t="n"/>
      <c r="AH340" s="678" t="n"/>
      <c r="AI340" s="678" t="n"/>
      <c r="AJ340" s="678" t="n"/>
      <c r="AK340" s="683" t="n"/>
      <c r="AL340" s="683" t="n"/>
      <c r="AM340" s="681" t="inlineStr">
        <is>
          <t>RAS</t>
        </is>
      </c>
    </row>
    <row r="341" ht="54.6" customHeight="1" s="392">
      <c r="A341" s="672" t="n">
        <v>2026</v>
      </c>
      <c r="B341" s="673" t="inlineStr">
        <is>
          <t>DPMG</t>
        </is>
      </c>
      <c r="C341" s="673" t="inlineStr">
        <is>
          <t>05 AOM/SNRT</t>
        </is>
      </c>
      <c r="D341" s="672" t="inlineStr">
        <is>
          <t>AOO-M</t>
        </is>
      </c>
      <c r="E341" s="672" t="n">
        <v>1</v>
      </c>
      <c r="F341" s="674" t="inlineStr">
        <is>
          <t>La location en longue durée de véhicule neufs sans option d’achat ainsi que les prestations qui lui sont accessoires et complémentaires pour la SNRT</t>
        </is>
      </c>
      <c r="G341" s="675" t="inlineStr">
        <is>
          <t>VALIDE</t>
        </is>
      </c>
      <c r="H341" s="672" t="inlineStr">
        <is>
          <t>APPROUVE</t>
        </is>
      </c>
      <c r="I341" s="672" t="inlineStr">
        <is>
          <t>11M/2026</t>
        </is>
      </c>
      <c r="J341" s="675" t="inlineStr">
        <is>
          <t>GENERAL</t>
        </is>
      </c>
      <c r="K341" s="672" t="inlineStr">
        <is>
          <t>Ordinaire</t>
        </is>
      </c>
      <c r="L341" s="676" t="inlineStr">
        <is>
          <t>FONCTIONNEMENT</t>
        </is>
      </c>
      <c r="M341" s="676" t="inlineStr">
        <is>
          <t>Location
Location matériel transport</t>
        </is>
      </c>
      <c r="N341" s="677">
        <f>O341*1.2</f>
        <v/>
      </c>
      <c r="O341" s="678" t="n">
        <v>6811236</v>
      </c>
      <c r="P341" s="678">
        <f>O341/1.2</f>
        <v/>
      </c>
      <c r="Q341" s="672" t="inlineStr">
        <is>
          <t>BESOIN RECURRENT</t>
        </is>
      </c>
      <c r="R341" s="679" t="n"/>
      <c r="S341" s="680" t="n"/>
      <c r="T341" s="681" t="inlineStr">
        <is>
          <t>MARLOC</t>
        </is>
      </c>
      <c r="U341" s="672" t="n">
        <v>2026</v>
      </c>
      <c r="V341" s="680" t="n">
        <v>46056</v>
      </c>
      <c r="W341" s="680" t="n">
        <v>46071</v>
      </c>
      <c r="X341" s="680" t="n">
        <v>46136</v>
      </c>
      <c r="Y341" s="677" t="n">
        <v>4680562.9</v>
      </c>
      <c r="Z341" s="678" t="n">
        <v>0</v>
      </c>
      <c r="AA341" s="678" t="n">
        <v>5616675.48</v>
      </c>
      <c r="AB341" s="678" t="n">
        <v>0</v>
      </c>
      <c r="AC341" s="678">
        <f>Y341</f>
        <v/>
      </c>
      <c r="AD341" s="678">
        <f>AA341</f>
        <v/>
      </c>
      <c r="AE341" s="682" t="inlineStr">
        <is>
          <t>ENGAGE</t>
        </is>
      </c>
      <c r="AF341" s="681" t="n"/>
      <c r="AG341" s="678" t="n"/>
      <c r="AH341" s="678" t="n"/>
      <c r="AI341" s="678" t="n"/>
      <c r="AJ341" s="678" t="n"/>
      <c r="AK341" s="683" t="n"/>
      <c r="AL341" s="683" t="n"/>
      <c r="AM341" s="681" t="inlineStr">
        <is>
          <t>MT de pré engagement correspond au prorata de 06 mois et 20 jours + Location</t>
        </is>
      </c>
    </row>
    <row r="342" ht="54.6" customHeight="1" s="392">
      <c r="A342" s="672" t="n">
        <v>2025</v>
      </c>
      <c r="B342" s="673" t="inlineStr">
        <is>
          <t>DPMG</t>
        </is>
      </c>
      <c r="C342" s="673" t="inlineStr">
        <is>
          <t>Consultation N° 30CT/SNRT</t>
        </is>
      </c>
      <c r="D342" s="672" t="inlineStr">
        <is>
          <t>CONTRAT</t>
        </is>
      </c>
      <c r="E342" s="672" t="n">
        <v>1</v>
      </c>
      <c r="F342" s="674" t="inlineStr">
        <is>
          <t>Organisation de l’opération FTOUR et SHOUR au profit du personnel de la SNRT durant le mois sacré Ramadan 1447/2026</t>
        </is>
      </c>
      <c r="G342" s="675" t="inlineStr">
        <is>
          <t>VALIDE</t>
        </is>
      </c>
      <c r="H342" s="672" t="inlineStr">
        <is>
          <t>APPROUVE</t>
        </is>
      </c>
      <c r="I342" s="672" t="inlineStr">
        <is>
          <t>197 CT/SNRT/2026</t>
        </is>
      </c>
      <c r="J342" s="675" t="inlineStr">
        <is>
          <t>NON CONCERNE</t>
        </is>
      </c>
      <c r="K342" s="672" t="inlineStr">
        <is>
          <t>Ordinaire</t>
        </is>
      </c>
      <c r="L342" s="676" t="inlineStr">
        <is>
          <t>FONCTIONNEMENT</t>
        </is>
      </c>
      <c r="M342" s="676" t="inlineStr">
        <is>
          <t>Déplacements, missions et réceptions</t>
        </is>
      </c>
      <c r="N342" s="677" t="n"/>
      <c r="O342" s="678" t="n"/>
      <c r="P342" s="678" t="n"/>
      <c r="Q342" s="672" t="inlineStr">
        <is>
          <t>BESOIN RECURRENT</t>
        </is>
      </c>
      <c r="R342" s="679" t="n"/>
      <c r="S342" s="680" t="n"/>
      <c r="T342" s="681" t="inlineStr">
        <is>
          <t>GO FRESH</t>
        </is>
      </c>
      <c r="U342" s="672" t="n">
        <v>2026</v>
      </c>
      <c r="V342" s="680" t="n">
        <v>46057</v>
      </c>
      <c r="W342" s="680" t="n"/>
      <c r="X342" s="680" t="n">
        <v>46057</v>
      </c>
      <c r="Y342" s="677" t="n">
        <v>1163100</v>
      </c>
      <c r="Z342" s="678" t="n">
        <v>0</v>
      </c>
      <c r="AA342" s="678" t="n">
        <v>1290060</v>
      </c>
      <c r="AB342" s="678" t="n">
        <v>0</v>
      </c>
      <c r="AC342" s="678">
        <f>Y342</f>
        <v/>
      </c>
      <c r="AD342" s="678">
        <f>AA342</f>
        <v/>
      </c>
      <c r="AE342" s="682" t="inlineStr">
        <is>
          <t>ENGAGE</t>
        </is>
      </c>
      <c r="AF342" s="681" t="n"/>
      <c r="AG342" s="678" t="n"/>
      <c r="AH342" s="678" t="n"/>
      <c r="AI342" s="678" t="n"/>
      <c r="AJ342" s="678" t="n"/>
      <c r="AK342" s="683" t="n"/>
      <c r="AL342" s="683" t="n"/>
      <c r="AM342" s="681" t="inlineStr">
        <is>
          <t xml:space="preserve">Le MT engagé correspond au MAX </t>
        </is>
      </c>
    </row>
    <row r="343" ht="65.40000000000001" customHeight="1" s="392">
      <c r="A343" s="672" t="n">
        <v>2026</v>
      </c>
      <c r="B343" s="673" t="inlineStr">
        <is>
          <t>DCPA</t>
        </is>
      </c>
      <c r="C343" s="673" t="inlineStr">
        <is>
          <t>EXCLUSIVITÉ</t>
        </is>
      </c>
      <c r="D343" s="672" t="inlineStr">
        <is>
          <t>CONTRAT</t>
        </is>
      </c>
      <c r="E343" s="672" t="n">
        <v>1</v>
      </c>
      <c r="F343" s="674" t="inlineStr">
        <is>
          <t>Contrats de supervision technique et administrative ainsi que la coordination pour l’enregistrement de 30 capsules de la musique andalouse</t>
        </is>
      </c>
      <c r="G343" s="675" t="inlineStr">
        <is>
          <t>VALIDE</t>
        </is>
      </c>
      <c r="H343" s="672" t="inlineStr">
        <is>
          <t>APPROUVE</t>
        </is>
      </c>
      <c r="I343" s="672" t="inlineStr">
        <is>
          <t>192 CT/SNRT/2026</t>
        </is>
      </c>
      <c r="J343" s="675" t="inlineStr">
        <is>
          <t>NON CONCERNE</t>
        </is>
      </c>
      <c r="K343" s="672" t="inlineStr">
        <is>
          <t>Ordinaire</t>
        </is>
      </c>
      <c r="L343" s="676" t="inlineStr">
        <is>
          <t>FONCTIONNEMENT</t>
        </is>
      </c>
      <c r="M343" s="676" t="inlineStr">
        <is>
          <t xml:space="preserve">Achats de productions et de programmes
Achat des programmes en production interne </t>
        </is>
      </c>
      <c r="N343" s="677" t="n"/>
      <c r="O343" s="678" t="n"/>
      <c r="P343" s="678" t="n"/>
      <c r="Q343" s="672" t="inlineStr">
        <is>
          <t>BESOIN RECURRENT</t>
        </is>
      </c>
      <c r="R343" s="679" t="n"/>
      <c r="S343" s="680" t="n"/>
      <c r="T343" s="681" t="inlineStr">
        <is>
          <t>ALI ER-RBAHY</t>
        </is>
      </c>
      <c r="U343" s="672" t="n">
        <v>2026</v>
      </c>
      <c r="V343" s="680" t="n">
        <v>46064</v>
      </c>
      <c r="W343" s="680" t="n"/>
      <c r="X343" s="680" t="n">
        <v>46066</v>
      </c>
      <c r="Y343" s="677" t="n">
        <v>60975.61</v>
      </c>
      <c r="Z343" s="678" t="n">
        <v>0</v>
      </c>
      <c r="AA343" s="678" t="n">
        <v>60975.61</v>
      </c>
      <c r="AB343" s="678" t="n">
        <v>0</v>
      </c>
      <c r="AC343" s="678">
        <f>+Y343</f>
        <v/>
      </c>
      <c r="AD343" s="678">
        <f>+Y343</f>
        <v/>
      </c>
      <c r="AE343" s="682" t="inlineStr">
        <is>
          <t>ENGAGE</t>
        </is>
      </c>
      <c r="AF343" s="681" t="n"/>
      <c r="AG343" s="678" t="n"/>
      <c r="AH343" s="678" t="n"/>
      <c r="AI343" s="678" t="n"/>
      <c r="AJ343" s="678" t="n"/>
      <c r="AK343" s="683" t="n"/>
      <c r="AL343" s="683" t="n"/>
      <c r="AM343" s="681" t="inlineStr">
        <is>
          <t>RAS</t>
        </is>
      </c>
    </row>
    <row r="344" ht="65.40000000000001" customHeight="1" s="392">
      <c r="A344" s="672" t="n">
        <v>2026</v>
      </c>
      <c r="B344" s="673" t="inlineStr">
        <is>
          <t>DCPA</t>
        </is>
      </c>
      <c r="C344" s="673" t="inlineStr">
        <is>
          <t>EXCLUSIVITÉ</t>
        </is>
      </c>
      <c r="D344" s="672" t="inlineStr">
        <is>
          <t>CONTRAT</t>
        </is>
      </c>
      <c r="E344" s="672" t="n">
        <v>1</v>
      </c>
      <c r="F344" s="674" t="inlineStr">
        <is>
          <t>Contrats de supervision technique et administrative ainsi que la coordination pour l’enregistrement de 30 capsules de la musique andalouse</t>
        </is>
      </c>
      <c r="G344" s="675" t="inlineStr">
        <is>
          <t>VALIDE</t>
        </is>
      </c>
      <c r="H344" s="672" t="inlineStr">
        <is>
          <t>APPROUVE</t>
        </is>
      </c>
      <c r="I344" s="672" t="inlineStr">
        <is>
          <t>193 CT/SNRT/2026</t>
        </is>
      </c>
      <c r="J344" s="675" t="inlineStr">
        <is>
          <t>NON CONCERNE</t>
        </is>
      </c>
      <c r="K344" s="672" t="inlineStr">
        <is>
          <t>Ordinaire</t>
        </is>
      </c>
      <c r="L344" s="676" t="inlineStr">
        <is>
          <t>FONCTIONNEMENT</t>
        </is>
      </c>
      <c r="M344" s="676" t="inlineStr">
        <is>
          <t xml:space="preserve">Achats de productions et de programmes
Achat des programmes en production interne </t>
        </is>
      </c>
      <c r="N344" s="677" t="n"/>
      <c r="O344" s="678" t="n"/>
      <c r="P344" s="678" t="n"/>
      <c r="Q344" s="672" t="inlineStr">
        <is>
          <t>BESOIN RECURRENT</t>
        </is>
      </c>
      <c r="R344" s="679" t="n"/>
      <c r="S344" s="680" t="n"/>
      <c r="T344" s="681" t="inlineStr">
        <is>
          <t>ABDESSALAM KHALOUFI</t>
        </is>
      </c>
      <c r="U344" s="672" t="n">
        <v>2026</v>
      </c>
      <c r="V344" s="680" t="n">
        <v>46064</v>
      </c>
      <c r="W344" s="680" t="n"/>
      <c r="X344" s="680" t="n">
        <v>46066</v>
      </c>
      <c r="Y344" s="677" t="n">
        <v>60975.61</v>
      </c>
      <c r="Z344" s="678" t="n">
        <v>0</v>
      </c>
      <c r="AA344" s="678" t="n">
        <v>60975.61</v>
      </c>
      <c r="AB344" s="678" t="n">
        <v>0</v>
      </c>
      <c r="AC344" s="678">
        <f>+Y344</f>
        <v/>
      </c>
      <c r="AD344" s="678">
        <f>+Y344</f>
        <v/>
      </c>
      <c r="AE344" s="682" t="inlineStr">
        <is>
          <t>ENGAGE</t>
        </is>
      </c>
      <c r="AF344" s="681" t="n"/>
      <c r="AG344" s="678" t="n"/>
      <c r="AH344" s="678" t="n"/>
      <c r="AI344" s="678" t="n"/>
      <c r="AJ344" s="678" t="n"/>
      <c r="AK344" s="683" t="n"/>
      <c r="AL344" s="683" t="n"/>
      <c r="AM344" s="681" t="inlineStr">
        <is>
          <t>RAS</t>
        </is>
      </c>
    </row>
    <row r="345" ht="65.40000000000001" customHeight="1" s="392">
      <c r="A345" s="672" t="n">
        <v>2026</v>
      </c>
      <c r="B345" s="673" t="inlineStr">
        <is>
          <t>DCPA</t>
        </is>
      </c>
      <c r="C345" s="673" t="inlineStr">
        <is>
          <t>EXCLUSIVITÉ</t>
        </is>
      </c>
      <c r="D345" s="672" t="inlineStr">
        <is>
          <t>CONTRAT</t>
        </is>
      </c>
      <c r="E345" s="672" t="n">
        <v>1</v>
      </c>
      <c r="F345" s="674" t="inlineStr">
        <is>
          <t>Contrats de cessions des droits de captation enregistrement et exploitation de 30 capsules de la musique andalouse</t>
        </is>
      </c>
      <c r="G345" s="675" t="inlineStr">
        <is>
          <t>VALIDE</t>
        </is>
      </c>
      <c r="H345" s="672" t="inlineStr">
        <is>
          <t>APPROUVE</t>
        </is>
      </c>
      <c r="I345" s="672" t="inlineStr">
        <is>
          <t>195 CT/SNRT/2026</t>
        </is>
      </c>
      <c r="J345" s="675" t="inlineStr">
        <is>
          <t>NON CONCERNE</t>
        </is>
      </c>
      <c r="K345" s="672" t="inlineStr">
        <is>
          <t>Ordinaire</t>
        </is>
      </c>
      <c r="L345" s="676" t="inlineStr">
        <is>
          <t>FONCTIONNEMENT</t>
        </is>
      </c>
      <c r="M345" s="676" t="inlineStr">
        <is>
          <t xml:space="preserve">Achats de productions et de programmes
Achat des programmes en production interne </t>
        </is>
      </c>
      <c r="N345" s="677" t="n"/>
      <c r="O345" s="678" t="n"/>
      <c r="P345" s="678" t="n"/>
      <c r="Q345" s="672" t="inlineStr">
        <is>
          <t>BESOIN RECURRENT</t>
        </is>
      </c>
      <c r="R345" s="679" t="n"/>
      <c r="S345" s="680" t="n"/>
      <c r="T345" s="681" t="inlineStr">
        <is>
          <t>MOHAMED AMINE EL AKRAMI</t>
        </is>
      </c>
      <c r="U345" s="672" t="n">
        <v>2026</v>
      </c>
      <c r="V345" s="680" t="n">
        <v>46064</v>
      </c>
      <c r="W345" s="680" t="n"/>
      <c r="X345" s="680" t="n">
        <v>46066</v>
      </c>
      <c r="Y345" s="677" t="n">
        <v>317073.17</v>
      </c>
      <c r="Z345" s="678" t="n">
        <v>0</v>
      </c>
      <c r="AA345" s="678">
        <f>317073.17</f>
        <v/>
      </c>
      <c r="AB345" s="678" t="n">
        <v>0</v>
      </c>
      <c r="AC345" s="678">
        <f>Y345</f>
        <v/>
      </c>
      <c r="AD345" s="678">
        <f>AA345</f>
        <v/>
      </c>
      <c r="AE345" s="682" t="inlineStr">
        <is>
          <t>ENGAGE</t>
        </is>
      </c>
      <c r="AF345" s="681" t="n"/>
      <c r="AG345" s="678" t="n"/>
      <c r="AH345" s="678" t="n"/>
      <c r="AI345" s="678" t="n"/>
      <c r="AJ345" s="678" t="n"/>
      <c r="AK345" s="683" t="n"/>
      <c r="AL345" s="683" t="n"/>
      <c r="AM345" s="681" t="inlineStr">
        <is>
          <t>RAS</t>
        </is>
      </c>
    </row>
    <row r="346" ht="65.40000000000001" customHeight="1" s="392">
      <c r="A346" s="672" t="n">
        <v>2026</v>
      </c>
      <c r="B346" s="673" t="inlineStr">
        <is>
          <t>DCPA</t>
        </is>
      </c>
      <c r="C346" s="673" t="inlineStr">
        <is>
          <t>EXCLUSIVITÉ</t>
        </is>
      </c>
      <c r="D346" s="672" t="inlineStr">
        <is>
          <t>CONTRAT</t>
        </is>
      </c>
      <c r="E346" s="672" t="n">
        <v>1</v>
      </c>
      <c r="F346" s="674" t="inlineStr">
        <is>
          <t>Contrats de cessions des droits de captation enregistrement et exploitation de 30 capsules de la musique andalouse</t>
        </is>
      </c>
      <c r="G346" s="675" t="inlineStr">
        <is>
          <t>VALIDE</t>
        </is>
      </c>
      <c r="H346" s="672" t="inlineStr">
        <is>
          <t>APPROUVE</t>
        </is>
      </c>
      <c r="I346" s="672" t="inlineStr">
        <is>
          <t>194 CT/SNRT/2026</t>
        </is>
      </c>
      <c r="J346" s="675" t="inlineStr">
        <is>
          <t>NON CONCERNE</t>
        </is>
      </c>
      <c r="K346" s="672" t="inlineStr">
        <is>
          <t>Ordinaire</t>
        </is>
      </c>
      <c r="L346" s="676" t="inlineStr">
        <is>
          <t>FONCTIONNEMENT</t>
        </is>
      </c>
      <c r="M346" s="676" t="inlineStr">
        <is>
          <t xml:space="preserve">Achats de productions et de programmes
Achat des programmes en production interne </t>
        </is>
      </c>
      <c r="N346" s="677" t="n"/>
      <c r="O346" s="678" t="n"/>
      <c r="P346" s="678" t="n"/>
      <c r="Q346" s="672" t="inlineStr">
        <is>
          <t>BESOIN RECURRENT</t>
        </is>
      </c>
      <c r="R346" s="679" t="n"/>
      <c r="S346" s="680" t="n"/>
      <c r="T346" s="681" t="inlineStr">
        <is>
          <t>DAOUD STITOU</t>
        </is>
      </c>
      <c r="U346" s="672" t="n">
        <v>2026</v>
      </c>
      <c r="V346" s="680" t="n">
        <v>46064</v>
      </c>
      <c r="W346" s="680" t="n"/>
      <c r="X346" s="680" t="n">
        <v>46066</v>
      </c>
      <c r="Y346" s="677" t="n">
        <v>317073.17</v>
      </c>
      <c r="Z346" s="678" t="n">
        <v>0</v>
      </c>
      <c r="AA346" s="678">
        <f>317073.17</f>
        <v/>
      </c>
      <c r="AB346" s="678" t="n">
        <v>0</v>
      </c>
      <c r="AC346" s="678">
        <f>Y346</f>
        <v/>
      </c>
      <c r="AD346" s="678">
        <f>AA346</f>
        <v/>
      </c>
      <c r="AE346" s="682" t="inlineStr">
        <is>
          <t>ENGAGE</t>
        </is>
      </c>
      <c r="AF346" s="681" t="n"/>
      <c r="AG346" s="678" t="n"/>
      <c r="AH346" s="678" t="n"/>
      <c r="AI346" s="678" t="n"/>
      <c r="AJ346" s="678" t="n"/>
      <c r="AK346" s="683" t="n"/>
      <c r="AL346" s="683" t="n"/>
      <c r="AM346" s="681" t="inlineStr">
        <is>
          <t>RAS</t>
        </is>
      </c>
    </row>
    <row r="347" ht="65.40000000000001" customHeight="1" s="392">
      <c r="A347" s="672" t="n">
        <v>2026</v>
      </c>
      <c r="B347" s="673" t="inlineStr">
        <is>
          <t>DCPA</t>
        </is>
      </c>
      <c r="C347" s="673" t="inlineStr">
        <is>
          <t>EXCLUSIVITÉ</t>
        </is>
      </c>
      <c r="D347" s="672" t="inlineStr">
        <is>
          <t>CONTRAT</t>
        </is>
      </c>
      <c r="E347" s="672" t="n">
        <v>1</v>
      </c>
      <c r="F347" s="674" t="inlineStr">
        <is>
          <t>Contrats de cessions des droits de captation enregistrement et exploitation de 30 capsules de la musique andalouse</t>
        </is>
      </c>
      <c r="G347" s="675" t="inlineStr">
        <is>
          <t>VALIDE</t>
        </is>
      </c>
      <c r="H347" s="672" t="inlineStr">
        <is>
          <t>APPROUVE</t>
        </is>
      </c>
      <c r="I347" s="672" t="inlineStr">
        <is>
          <t>236 CT/SNRT/2026</t>
        </is>
      </c>
      <c r="J347" s="675" t="inlineStr">
        <is>
          <t>NON CONCERNE</t>
        </is>
      </c>
      <c r="K347" s="672" t="inlineStr">
        <is>
          <t>Ordinaire</t>
        </is>
      </c>
      <c r="L347" s="676" t="inlineStr">
        <is>
          <t>FONCTIONNEMENT</t>
        </is>
      </c>
      <c r="M347" s="676" t="inlineStr">
        <is>
          <t xml:space="preserve">Achats de productions et de programmes
Achat des programmes en production interne </t>
        </is>
      </c>
      <c r="N347" s="677" t="n"/>
      <c r="O347" s="678" t="n"/>
      <c r="P347" s="678" t="n"/>
      <c r="Q347" s="672" t="inlineStr">
        <is>
          <t>BESOIN RECURRENT</t>
        </is>
      </c>
      <c r="R347" s="679" t="n"/>
      <c r="S347" s="680" t="n"/>
      <c r="T347" s="681" t="inlineStr">
        <is>
          <t>ASSOCIATION AL YOUSSOUFIA LI TOURAT WA SAMAA WA TILAWA</t>
        </is>
      </c>
      <c r="U347" s="672" t="n">
        <v>2026</v>
      </c>
      <c r="V347" s="680" t="n">
        <v>46064</v>
      </c>
      <c r="W347" s="680" t="n"/>
      <c r="X347" s="680" t="n">
        <v>46066</v>
      </c>
      <c r="Y347" s="677" t="n">
        <v>260000</v>
      </c>
      <c r="Z347" s="678" t="n">
        <v>0</v>
      </c>
      <c r="AA347" s="678" t="n">
        <v>260000</v>
      </c>
      <c r="AB347" s="678" t="n">
        <v>0</v>
      </c>
      <c r="AC347" s="678" t="n">
        <v>260000</v>
      </c>
      <c r="AD347" s="678">
        <f>AA347</f>
        <v/>
      </c>
      <c r="AE347" s="682" t="inlineStr">
        <is>
          <t>ENGAGE</t>
        </is>
      </c>
      <c r="AF347" s="681" t="n"/>
      <c r="AG347" s="678" t="n"/>
      <c r="AH347" s="678" t="n"/>
      <c r="AI347" s="678" t="n"/>
      <c r="AJ347" s="678" t="n"/>
      <c r="AK347" s="683" t="n"/>
      <c r="AL347" s="683" t="n"/>
      <c r="AM347" s="681" t="inlineStr">
        <is>
          <t>RAS</t>
        </is>
      </c>
    </row>
    <row r="348" ht="32" customHeight="1" s="392">
      <c r="A348" s="672" t="n">
        <v>2025</v>
      </c>
      <c r="B348" s="673" t="inlineStr">
        <is>
          <t>DPMG</t>
        </is>
      </c>
      <c r="C348" s="673" t="inlineStr">
        <is>
          <t>92 AOM/SNRT</t>
        </is>
      </c>
      <c r="D348" s="672" t="inlineStr">
        <is>
          <t>AOO-M</t>
        </is>
      </c>
      <c r="E348" s="672" t="n">
        <v>1</v>
      </c>
      <c r="F348" s="674" t="inlineStr">
        <is>
          <t>Acquisition de mobilier de bureau pour la SNRT</t>
        </is>
      </c>
      <c r="G348" s="675" t="inlineStr">
        <is>
          <t>VALIDE</t>
        </is>
      </c>
      <c r="H348" s="672" t="inlineStr">
        <is>
          <t>APPROUVE</t>
        </is>
      </c>
      <c r="I348" s="672" t="inlineStr">
        <is>
          <t>04M/2026</t>
        </is>
      </c>
      <c r="J348" s="675" t="inlineStr">
        <is>
          <t>GENERAL</t>
        </is>
      </c>
      <c r="K348" s="672" t="inlineStr">
        <is>
          <t>REPORT BUDGET ANNEE ANTERIEURE</t>
        </is>
      </c>
      <c r="L348" s="676" t="inlineStr">
        <is>
          <t>INVESTISSEMENT</t>
        </is>
      </c>
      <c r="M348" s="676" t="inlineStr">
        <is>
          <t>Mobilier de bureau</t>
        </is>
      </c>
      <c r="N348" s="677">
        <f>O348*1.2</f>
        <v/>
      </c>
      <c r="O348" s="678" t="n">
        <v>1310280</v>
      </c>
      <c r="P348" s="678">
        <f>O348/1.2</f>
        <v/>
      </c>
      <c r="Q348" s="672" t="inlineStr">
        <is>
          <t>NOUVEAU BESOIN</t>
        </is>
      </c>
      <c r="R348" s="679" t="n"/>
      <c r="S348" s="680" t="n"/>
      <c r="T348" s="681" t="inlineStr">
        <is>
          <t>STOKAD</t>
        </is>
      </c>
      <c r="U348" s="672" t="n">
        <v>2026</v>
      </c>
      <c r="V348" s="680" t="n">
        <v>46057</v>
      </c>
      <c r="W348" s="680" t="n"/>
      <c r="X348" s="680" t="n">
        <v>46063</v>
      </c>
      <c r="Y348" s="677">
        <f>AA348/1.2</f>
        <v/>
      </c>
      <c r="Z348" s="678" t="n">
        <v>0</v>
      </c>
      <c r="AA348" s="678" t="n">
        <v>1569228</v>
      </c>
      <c r="AB348" s="678" t="n">
        <v>0</v>
      </c>
      <c r="AC348" s="678">
        <f>Y348</f>
        <v/>
      </c>
      <c r="AD348" s="678">
        <f>AA348</f>
        <v/>
      </c>
      <c r="AE348" s="682" t="inlineStr">
        <is>
          <t>ENGAGE</t>
        </is>
      </c>
      <c r="AF348" s="681" t="n"/>
      <c r="AG348" s="678" t="n"/>
      <c r="AH348" s="678" t="n"/>
      <c r="AI348" s="678" t="n"/>
      <c r="AJ348" s="678" t="n"/>
      <c r="AK348" s="683" t="n"/>
      <c r="AL348" s="683" t="n"/>
      <c r="AM348" s="681" t="inlineStr">
        <is>
          <t>RAS</t>
        </is>
      </c>
    </row>
    <row r="349" ht="38.40000000000001" customHeight="1" s="392">
      <c r="A349" s="672" t="n">
        <v>2026</v>
      </c>
      <c r="B349" s="673" t="inlineStr">
        <is>
          <t>ARRIYADIA</t>
        </is>
      </c>
      <c r="C349" s="673" t="inlineStr">
        <is>
          <t>EXCLUSIVITÉ</t>
        </is>
      </c>
      <c r="D349" s="672" t="inlineStr">
        <is>
          <t>CONTRAT</t>
        </is>
      </c>
      <c r="E349" s="672" t="n">
        <v>1</v>
      </c>
      <c r="F349" s="674" t="inlineStr">
        <is>
          <t>CESSION AU PROFIT DE LA SNRT, LES DROITS DE LA COUVERTURE Télévisée de la compétition Sahraouiya</t>
        </is>
      </c>
      <c r="G349" s="675" t="inlineStr">
        <is>
          <t>VALIDE</t>
        </is>
      </c>
      <c r="H349" s="672" t="inlineStr">
        <is>
          <t>APPROUVE</t>
        </is>
      </c>
      <c r="I349" s="672" t="inlineStr">
        <is>
          <t>237 CT/SNRT/2026</t>
        </is>
      </c>
      <c r="J349" s="675" t="inlineStr">
        <is>
          <t>NON CONCERNE</t>
        </is>
      </c>
      <c r="K349" s="672" t="inlineStr">
        <is>
          <t>Ordinaire</t>
        </is>
      </c>
      <c r="L349" s="676" t="inlineStr">
        <is>
          <t>FONCTIONNEMENT</t>
        </is>
      </c>
      <c r="M349" s="676" t="inlineStr">
        <is>
          <t>Achats de droits
Achats de droit de sport</t>
        </is>
      </c>
      <c r="N349" s="677" t="n"/>
      <c r="O349" s="678" t="n"/>
      <c r="P349" s="678" t="n"/>
      <c r="Q349" s="672" t="inlineStr">
        <is>
          <t>RECONDUCTION</t>
        </is>
      </c>
      <c r="R349" s="679" t="n"/>
      <c r="S349" s="680" t="n"/>
      <c r="T349" s="681" t="inlineStr">
        <is>
          <t>OL DAKHLA</t>
        </is>
      </c>
      <c r="U349" s="672" t="n">
        <v>2026</v>
      </c>
      <c r="V349" s="680" t="n">
        <v>46051</v>
      </c>
      <c r="W349" s="680" t="n"/>
      <c r="X349" s="680" t="n">
        <v>46052</v>
      </c>
      <c r="Y349" s="677" t="n">
        <v>150000</v>
      </c>
      <c r="Z349" s="678" t="n">
        <v>0</v>
      </c>
      <c r="AA349" s="678" t="n">
        <v>150000</v>
      </c>
      <c r="AB349" s="678" t="n">
        <v>0</v>
      </c>
      <c r="AC349" s="678">
        <f>AA349</f>
        <v/>
      </c>
      <c r="AD349" s="678">
        <f>AA349</f>
        <v/>
      </c>
      <c r="AE349" s="682" t="inlineStr">
        <is>
          <t>ENGAGE</t>
        </is>
      </c>
      <c r="AF349" s="681" t="n"/>
      <c r="AG349" s="678" t="n"/>
      <c r="AH349" s="678" t="n"/>
      <c r="AI349" s="678" t="n"/>
      <c r="AJ349" s="678" t="n"/>
      <c r="AK349" s="683" t="n"/>
      <c r="AL349" s="683" t="n"/>
      <c r="AM349" s="681" t="inlineStr">
        <is>
          <t>RAS</t>
        </is>
      </c>
    </row>
    <row r="350" ht="54.6" customHeight="1" s="392">
      <c r="A350" s="672" t="n">
        <v>2026</v>
      </c>
      <c r="B350" s="673" t="inlineStr">
        <is>
          <t>DMPTV</t>
        </is>
      </c>
      <c r="C350" s="673" t="inlineStr">
        <is>
          <t>01CT/SNRT/2026</t>
        </is>
      </c>
      <c r="D350" s="672" t="inlineStr">
        <is>
          <t>CONTRAT</t>
        </is>
      </c>
      <c r="E350" s="672" t="n">
        <v>1</v>
      </c>
      <c r="F350" s="674" t="inlineStr">
        <is>
          <t>Achat d’espaces Publicitaires sur les réseaux sociaux Meta, Google et Tiktok pour la promotion des programmes du Ramadan 2026</t>
        </is>
      </c>
      <c r="G350" s="675" t="inlineStr">
        <is>
          <t>VALIDE</t>
        </is>
      </c>
      <c r="H350" s="672" t="inlineStr">
        <is>
          <t>APPROUVE</t>
        </is>
      </c>
      <c r="I350" s="672" t="inlineStr">
        <is>
          <t>235 CT/SNRT/2026</t>
        </is>
      </c>
      <c r="J350" s="675" t="inlineStr">
        <is>
          <t>NON CONCERNE</t>
        </is>
      </c>
      <c r="K350" s="672" t="inlineStr">
        <is>
          <t>Ordinaire</t>
        </is>
      </c>
      <c r="L350" s="676" t="inlineStr">
        <is>
          <t>FONCTIONNEMENT</t>
        </is>
      </c>
      <c r="M350" s="676" t="inlineStr">
        <is>
          <t>Charges marketing et relations publiques</t>
        </is>
      </c>
      <c r="N350" s="677" t="n"/>
      <c r="O350" s="678" t="n"/>
      <c r="P350" s="678" t="n"/>
      <c r="Q350" s="672" t="inlineStr">
        <is>
          <t>BESOIN RECURRENT</t>
        </is>
      </c>
      <c r="R350" s="679" t="n"/>
      <c r="S350" s="680" t="n"/>
      <c r="T350" s="681" t="inlineStr">
        <is>
          <t>BIG IDEAS</t>
        </is>
      </c>
      <c r="U350" s="672" t="n">
        <v>2026</v>
      </c>
      <c r="V350" s="680" t="n">
        <v>46062</v>
      </c>
      <c r="W350" s="680" t="n"/>
      <c r="X350" s="680" t="n">
        <v>46066</v>
      </c>
      <c r="Y350" s="677" t="n">
        <v>535000</v>
      </c>
      <c r="Z350" s="678" t="n">
        <v>0</v>
      </c>
      <c r="AA350" s="678" t="n">
        <v>642000</v>
      </c>
      <c r="AB350" s="678" t="n">
        <v>0</v>
      </c>
      <c r="AC350" s="678" t="n">
        <v>535000</v>
      </c>
      <c r="AD350" s="678" t="n">
        <v>642000</v>
      </c>
      <c r="AE350" s="682" t="inlineStr">
        <is>
          <t>ENGAGE</t>
        </is>
      </c>
      <c r="AF350" s="681" t="n"/>
      <c r="AG350" s="678" t="n"/>
      <c r="AH350" s="678" t="n"/>
      <c r="AI350" s="678" t="n"/>
      <c r="AJ350" s="678" t="n"/>
      <c r="AK350" s="683" t="n"/>
      <c r="AL350" s="683" t="n"/>
      <c r="AM350" s="681" t="inlineStr">
        <is>
          <t>RAS</t>
        </is>
      </c>
    </row>
    <row r="351" ht="38.40000000000001" customHeight="1" s="392">
      <c r="A351" s="672" t="n">
        <v>2026</v>
      </c>
      <c r="B351" s="673" t="inlineStr">
        <is>
          <t>TDF -SITES</t>
        </is>
      </c>
      <c r="C351" s="673" t="inlineStr">
        <is>
          <t>14 AOM/SNRT</t>
        </is>
      </c>
      <c r="D351" s="672" t="inlineStr">
        <is>
          <t>AOO-M</t>
        </is>
      </c>
      <c r="E351" s="672" t="n">
        <v>1</v>
      </c>
      <c r="F351" s="674" t="inlineStr">
        <is>
          <t>Fourniture, installation et mise en service de Blocs UpConverters</t>
        </is>
      </c>
      <c r="G351" s="675" t="inlineStr">
        <is>
          <t>VALIDE</t>
        </is>
      </c>
      <c r="H351" s="672" t="inlineStr">
        <is>
          <t>APPROUVE</t>
        </is>
      </c>
      <c r="I351" s="691" t="n"/>
      <c r="J351" s="675" t="inlineStr">
        <is>
          <t>GENERAL</t>
        </is>
      </c>
      <c r="K351" s="672" t="inlineStr">
        <is>
          <t>REPORT BUDGET ANNEE ANTERIEURE</t>
        </is>
      </c>
      <c r="L351" s="676" t="inlineStr">
        <is>
          <t>INVESTISSEMENT</t>
        </is>
      </c>
      <c r="M351" s="676" t="inlineStr">
        <is>
          <t>Équipements de télédiffusion</t>
        </is>
      </c>
      <c r="N351" s="677">
        <f>O351*1.2</f>
        <v/>
      </c>
      <c r="O351" s="678" t="n">
        <v>979200</v>
      </c>
      <c r="P351" s="678">
        <f>O351/1.2</f>
        <v/>
      </c>
      <c r="Q351" s="672" t="inlineStr">
        <is>
          <t>NOUVEAU BESOIN</t>
        </is>
      </c>
      <c r="R351" s="679" t="n"/>
      <c r="S351" s="680" t="n"/>
      <c r="T351" s="681" t="inlineStr">
        <is>
          <t>INTRATEL</t>
        </is>
      </c>
      <c r="U351" s="672" t="n"/>
      <c r="V351" s="680" t="n">
        <v>46064</v>
      </c>
      <c r="W351" s="680" t="n">
        <v>46084</v>
      </c>
      <c r="X351" s="680" t="n">
        <v>46213</v>
      </c>
      <c r="Y351" s="677">
        <f>AC351</f>
        <v/>
      </c>
      <c r="Z351" s="678" t="n">
        <v>0</v>
      </c>
      <c r="AA351" s="678">
        <f>AD351</f>
        <v/>
      </c>
      <c r="AB351" s="678" t="n">
        <v>0</v>
      </c>
      <c r="AC351" s="678">
        <f>AD351/1.2</f>
        <v/>
      </c>
      <c r="AD351" s="678" t="n">
        <v>978972</v>
      </c>
      <c r="AE351" s="682" t="inlineStr">
        <is>
          <t>ENGAGE</t>
        </is>
      </c>
      <c r="AF351" s="681" t="n"/>
      <c r="AG351" s="678" t="n"/>
      <c r="AH351" s="678" t="n"/>
      <c r="AI351" s="678" t="n"/>
      <c r="AJ351" s="678" t="n"/>
      <c r="AK351" s="683" t="n"/>
      <c r="AL351" s="683" t="n"/>
      <c r="AM351" s="681" t="inlineStr">
        <is>
          <t>RAS</t>
        </is>
      </c>
    </row>
    <row r="352" ht="54.6" customHeight="1" s="392">
      <c r="A352" s="672" t="n">
        <v>2026</v>
      </c>
      <c r="B352" s="673" t="inlineStr">
        <is>
          <t>TDF -SITES</t>
        </is>
      </c>
      <c r="C352" s="673" t="inlineStr">
        <is>
          <t>07 AOM/SNRT</t>
        </is>
      </c>
      <c r="D352" s="672" t="inlineStr">
        <is>
          <t>AOO-M</t>
        </is>
      </c>
      <c r="E352" s="672" t="n">
        <v>1</v>
      </c>
      <c r="F352" s="674" t="inlineStr">
        <is>
          <t>Fourniture, installation et mise en service des onduleurs 2 x 150 KVA type modulaires et d’un systéme de climatisation au centre de ZAER</t>
        </is>
      </c>
      <c r="G352" s="675" t="inlineStr">
        <is>
          <t>VALIDE</t>
        </is>
      </c>
      <c r="H352" s="672" t="inlineStr">
        <is>
          <t>ATTRIBUE</t>
        </is>
      </c>
      <c r="I352" s="691" t="n"/>
      <c r="J352" s="675" t="inlineStr">
        <is>
          <t>PME</t>
        </is>
      </c>
      <c r="K352" s="672" t="inlineStr">
        <is>
          <t>REPORT BUDGET ANNEE ANTERIEURE</t>
        </is>
      </c>
      <c r="L352" s="676" t="inlineStr">
        <is>
          <t>INVESTISSEMENT</t>
        </is>
      </c>
      <c r="M352" s="676" t="inlineStr">
        <is>
          <t>Équipements de télédiffusion</t>
        </is>
      </c>
      <c r="N352" s="677">
        <f>O352*1.2</f>
        <v/>
      </c>
      <c r="O352" s="678" t="n">
        <v>3201000</v>
      </c>
      <c r="P352" s="678">
        <f>O352/1.2</f>
        <v/>
      </c>
      <c r="Q352" s="672" t="inlineStr">
        <is>
          <t>NOUVEAU BESOIN</t>
        </is>
      </c>
      <c r="R352" s="679" t="n"/>
      <c r="S352" s="680" t="n"/>
      <c r="T352" s="681" t="inlineStr">
        <is>
          <t>ELEXPERT</t>
        </is>
      </c>
      <c r="U352" s="672" t="n"/>
      <c r="V352" s="680" t="n">
        <v>46064</v>
      </c>
      <c r="W352" s="680" t="n">
        <v>46077</v>
      </c>
      <c r="X352" s="680" t="n">
        <v>46188</v>
      </c>
      <c r="Y352" s="677">
        <f>AC352</f>
        <v/>
      </c>
      <c r="Z352" s="678" t="n">
        <v>0</v>
      </c>
      <c r="AA352" s="678">
        <f>AD352</f>
        <v/>
      </c>
      <c r="AB352" s="678" t="n">
        <v>0</v>
      </c>
      <c r="AC352" s="678">
        <f>AD352/1.2</f>
        <v/>
      </c>
      <c r="AD352" s="678" t="n">
        <v>2801865.6</v>
      </c>
      <c r="AE352" s="682" t="inlineStr">
        <is>
          <t>ENGAGE</t>
        </is>
      </c>
      <c r="AF352" s="681" t="n"/>
      <c r="AG352" s="678" t="n"/>
      <c r="AH352" s="678" t="n"/>
      <c r="AI352" s="678" t="n"/>
      <c r="AJ352" s="678" t="n"/>
      <c r="AK352" s="683" t="n"/>
      <c r="AL352" s="683" t="n"/>
      <c r="AM352" s="681" t="inlineStr">
        <is>
          <t>RAS</t>
        </is>
      </c>
    </row>
    <row r="353" ht="70.80000000000001" customHeight="1" s="392">
      <c r="A353" s="672" t="n">
        <v>2026</v>
      </c>
      <c r="B353" s="673" t="inlineStr">
        <is>
          <t>TDF -SITES</t>
        </is>
      </c>
      <c r="C353" s="673" t="inlineStr">
        <is>
          <t>08 AOM/SNRT</t>
        </is>
      </c>
      <c r="D353" s="672" t="inlineStr">
        <is>
          <t>AOO-M</t>
        </is>
      </c>
      <c r="E353" s="672" t="n">
        <v>1</v>
      </c>
      <c r="F353" s="674" t="inlineStr">
        <is>
          <t>Fourniture d’un nouveau groupe électrogène pour le centre de PALOMAS de puissance 200 KW/PRP, ainsi que la mise à niveau et transfert de quelques groupes électrogène entre quelques centres SNRT</t>
        </is>
      </c>
      <c r="G353" s="675" t="inlineStr">
        <is>
          <t>INFRUCTUEUX</t>
        </is>
      </c>
      <c r="H353" s="672" t="inlineStr">
        <is>
          <t>INFRUCTUEUX</t>
        </is>
      </c>
      <c r="I353" s="672" t="n"/>
      <c r="J353" s="675" t="inlineStr">
        <is>
          <t>PME</t>
        </is>
      </c>
      <c r="K353" s="672" t="inlineStr">
        <is>
          <t>REPORT BUDGET ANNEE ANTERIEURE</t>
        </is>
      </c>
      <c r="L353" s="676" t="inlineStr">
        <is>
          <t>INVESTISSEMENT</t>
        </is>
      </c>
      <c r="M353" s="676" t="inlineStr">
        <is>
          <t>Équipements de télédiffusion</t>
        </is>
      </c>
      <c r="N353" s="677">
        <f>O353*1.2</f>
        <v/>
      </c>
      <c r="O353" s="678" t="n">
        <v>1200000</v>
      </c>
      <c r="P353" s="678">
        <f>O353/1.2</f>
        <v/>
      </c>
      <c r="Q353" s="672" t="inlineStr">
        <is>
          <t>NOUVEAU BESOIN</t>
        </is>
      </c>
      <c r="R353" s="679" t="n"/>
      <c r="S353" s="680" t="n"/>
      <c r="T353" s="681" t="n"/>
      <c r="U353" s="672" t="n"/>
      <c r="V353" s="680" t="n">
        <v>46064</v>
      </c>
      <c r="W353" s="680" t="n">
        <v>46077</v>
      </c>
      <c r="X353" s="680" t="n"/>
      <c r="Y353" s="677" t="n">
        <v>0</v>
      </c>
      <c r="Z353" s="678" t="n">
        <v>0</v>
      </c>
      <c r="AA353" s="678" t="n">
        <v>0</v>
      </c>
      <c r="AB353" s="678" t="n">
        <v>0</v>
      </c>
      <c r="AC353" s="678" t="n">
        <v>0</v>
      </c>
      <c r="AD353" s="678" t="n">
        <v>0</v>
      </c>
      <c r="AE353" s="682" t="inlineStr">
        <is>
          <t>NON ENGAGE</t>
        </is>
      </c>
      <c r="AF353" s="681" t="n"/>
      <c r="AG353" s="678" t="n"/>
      <c r="AH353" s="678" t="n"/>
      <c r="AI353" s="678" t="n"/>
      <c r="AJ353" s="678" t="n"/>
      <c r="AK353" s="683" t="n"/>
      <c r="AL353" s="683" t="n"/>
      <c r="AM353" s="681" t="inlineStr">
        <is>
          <t>RAS</t>
        </is>
      </c>
    </row>
    <row r="354" ht="54.6" customHeight="1" s="392">
      <c r="A354" s="672" t="n">
        <v>2025</v>
      </c>
      <c r="B354" s="673" t="inlineStr">
        <is>
          <t>DTSI</t>
        </is>
      </c>
      <c r="C354" s="673" t="inlineStr">
        <is>
          <t>104 AOM/SNRT</t>
        </is>
      </c>
      <c r="D354" s="672" t="inlineStr">
        <is>
          <t>AOO-M</t>
        </is>
      </c>
      <c r="E354" s="672" t="n">
        <v>1</v>
      </c>
      <c r="F354" s="674" t="inlineStr">
        <is>
          <t>Fourniture et mise en service d’équipements de captation vidéo et de prise de son destinés aux besoins de production des chaînes de la SNRT</t>
        </is>
      </c>
      <c r="G354" s="675" t="inlineStr">
        <is>
          <t>VALIDE</t>
        </is>
      </c>
      <c r="H354" s="672" t="inlineStr">
        <is>
          <t>APPROUVE</t>
        </is>
      </c>
      <c r="I354" s="672" t="inlineStr">
        <is>
          <t>05 M/2026</t>
        </is>
      </c>
      <c r="J354" s="675" t="inlineStr">
        <is>
          <t>GENERAL</t>
        </is>
      </c>
      <c r="K354" s="672" t="inlineStr">
        <is>
          <t>REPORT BUDGET EXCEP  ANNEE ANTERIEURE</t>
        </is>
      </c>
      <c r="L354" s="676" t="inlineStr">
        <is>
          <t>INVESTISSEMENT</t>
        </is>
      </c>
      <c r="M354" s="676" t="inlineStr">
        <is>
          <t>Équipements techniques</t>
        </is>
      </c>
      <c r="N354" s="677">
        <f>O354*1.2</f>
        <v/>
      </c>
      <c r="O354" s="678" t="n">
        <v>2249508</v>
      </c>
      <c r="P354" s="678">
        <f>O354/1.2</f>
        <v/>
      </c>
      <c r="Q354" s="672" t="inlineStr">
        <is>
          <t>NOUVEAU BESOIN</t>
        </is>
      </c>
      <c r="R354" s="679" t="n"/>
      <c r="S354" s="680" t="n"/>
      <c r="T354" s="681" t="inlineStr">
        <is>
          <t>NYA AUDIO VIDEO</t>
        </is>
      </c>
      <c r="U354" s="672" t="n">
        <v>2026</v>
      </c>
      <c r="V354" s="680" t="n">
        <v>46065</v>
      </c>
      <c r="W354" s="680" t="n"/>
      <c r="X354" s="680" t="n">
        <v>46066</v>
      </c>
      <c r="Y354" s="677">
        <f>AA354/1.2</f>
        <v/>
      </c>
      <c r="Z354" s="678" t="n">
        <v>0</v>
      </c>
      <c r="AA354" s="678" t="n">
        <v>2688636</v>
      </c>
      <c r="AB354" s="678" t="n">
        <v>0</v>
      </c>
      <c r="AC354" s="678">
        <f>Y354</f>
        <v/>
      </c>
      <c r="AD354" s="678">
        <f>AA354</f>
        <v/>
      </c>
      <c r="AE354" s="682" t="inlineStr">
        <is>
          <t>ENGAGE</t>
        </is>
      </c>
      <c r="AF354" s="681" t="n"/>
      <c r="AG354" s="678" t="n"/>
      <c r="AH354" s="678" t="n"/>
      <c r="AI354" s="678" t="n"/>
      <c r="AJ354" s="678" t="n"/>
      <c r="AK354" s="683" t="n"/>
      <c r="AL354" s="683" t="n"/>
      <c r="AM354" s="681" t="inlineStr">
        <is>
          <t>RAS</t>
        </is>
      </c>
    </row>
    <row r="355" ht="32" customHeight="1" s="392">
      <c r="A355" s="672" t="inlineStr">
        <is>
          <t>-</t>
        </is>
      </c>
      <c r="B355" s="673" t="inlineStr">
        <is>
          <t>DRPSD</t>
        </is>
      </c>
      <c r="C355" s="673" t="inlineStr">
        <is>
          <t>RECONDUCTIBLE</t>
        </is>
      </c>
      <c r="D355" s="672" t="inlineStr">
        <is>
          <t>CONTRAT</t>
        </is>
      </c>
      <c r="E355" s="672" t="n">
        <v>1</v>
      </c>
      <c r="F355" s="674" t="inlineStr">
        <is>
          <t>COTISATIONS PART ANNONCEURS</t>
        </is>
      </c>
      <c r="G355" s="675" t="inlineStr">
        <is>
          <t>VALIDE</t>
        </is>
      </c>
      <c r="H355" s="672" t="inlineStr">
        <is>
          <t>APPROUVE</t>
        </is>
      </c>
      <c r="I355" s="672" t="n">
        <v>21000544</v>
      </c>
      <c r="J355" s="675" t="inlineStr">
        <is>
          <t>NON CONCERNE</t>
        </is>
      </c>
      <c r="K355" s="672" t="inlineStr">
        <is>
          <t>Ordinaire</t>
        </is>
      </c>
      <c r="L355" s="676" t="inlineStr">
        <is>
          <t>FONCTIONNEMENT</t>
        </is>
      </c>
      <c r="M355" s="676" t="inlineStr">
        <is>
          <t>Redevances et cotisations</t>
        </is>
      </c>
      <c r="N355" s="677" t="n"/>
      <c r="O355" s="678" t="n"/>
      <c r="P355" s="678" t="n"/>
      <c r="Q355" s="672" t="inlineStr">
        <is>
          <t>RECONDUCTIBLE</t>
        </is>
      </c>
      <c r="R355" s="679" t="n"/>
      <c r="S355" s="680" t="n"/>
      <c r="T355" s="681" t="inlineStr">
        <is>
          <t>CIRAD</t>
        </is>
      </c>
      <c r="U355" s="672" t="inlineStr">
        <is>
          <t>-</t>
        </is>
      </c>
      <c r="V355" s="680" t="n"/>
      <c r="W355" s="680" t="n"/>
      <c r="X355" s="680" t="n"/>
      <c r="Y355" s="677">
        <f>AC355</f>
        <v/>
      </c>
      <c r="Z355" s="678" t="n">
        <v>0</v>
      </c>
      <c r="AA355" s="678">
        <f>AD355</f>
        <v/>
      </c>
      <c r="AB355" s="678" t="n">
        <v>0</v>
      </c>
      <c r="AC355" s="678">
        <f>AD355/1.2</f>
        <v/>
      </c>
      <c r="AD355" s="678" t="n">
        <v>1772000</v>
      </c>
      <c r="AE355" s="682" t="inlineStr">
        <is>
          <t>ENGAGE</t>
        </is>
      </c>
      <c r="AF355" s="681" t="n"/>
      <c r="AG355" s="678" t="n"/>
      <c r="AH355" s="678" t="n"/>
      <c r="AI355" s="678" t="n"/>
      <c r="AJ355" s="678" t="n"/>
      <c r="AK355" s="683" t="n"/>
      <c r="AL355" s="683" t="n"/>
      <c r="AM355" s="681" t="inlineStr">
        <is>
          <t>RAS</t>
        </is>
      </c>
    </row>
    <row r="356" ht="32" customHeight="1" s="392">
      <c r="A356" s="672" t="inlineStr">
        <is>
          <t>-</t>
        </is>
      </c>
      <c r="B356" s="673" t="inlineStr">
        <is>
          <t>DRPSD</t>
        </is>
      </c>
      <c r="C356" s="673" t="inlineStr">
        <is>
          <t>RECONDUCTIBLE</t>
        </is>
      </c>
      <c r="D356" s="672" t="inlineStr">
        <is>
          <t>CONTRAT</t>
        </is>
      </c>
      <c r="E356" s="672" t="n">
        <v>1</v>
      </c>
      <c r="F356" s="674" t="inlineStr">
        <is>
          <t>CONTRIBUTION AUX FRAIS DE LA MESURE D'AUDIENCE TV</t>
        </is>
      </c>
      <c r="G356" s="675" t="inlineStr">
        <is>
          <t>VALIDE</t>
        </is>
      </c>
      <c r="H356" s="672" t="inlineStr">
        <is>
          <t>APPROUVE</t>
        </is>
      </c>
      <c r="I356" s="672" t="n">
        <v>21000315</v>
      </c>
      <c r="J356" s="675" t="inlineStr">
        <is>
          <t>NON CONCERNE</t>
        </is>
      </c>
      <c r="K356" s="672" t="inlineStr">
        <is>
          <t>Ordinaire</t>
        </is>
      </c>
      <c r="L356" s="676" t="inlineStr">
        <is>
          <t>FONCTIONNEMENT</t>
        </is>
      </c>
      <c r="M356" s="676" t="inlineStr">
        <is>
          <t>Redevances et cotisations</t>
        </is>
      </c>
      <c r="N356" s="677" t="n"/>
      <c r="O356" s="678" t="n"/>
      <c r="P356" s="678" t="n"/>
      <c r="Q356" s="672" t="inlineStr">
        <is>
          <t>RECONDUCTIBLE</t>
        </is>
      </c>
      <c r="R356" s="679" t="n"/>
      <c r="S356" s="680" t="n"/>
      <c r="T356" s="681" t="inlineStr">
        <is>
          <t>CIAUMED</t>
        </is>
      </c>
      <c r="U356" s="672" t="inlineStr">
        <is>
          <t>-</t>
        </is>
      </c>
      <c r="V356" s="680" t="n"/>
      <c r="W356" s="680" t="n"/>
      <c r="X356" s="680" t="n"/>
      <c r="Y356" s="677">
        <f>AC356</f>
        <v/>
      </c>
      <c r="Z356" s="678" t="n">
        <v>0</v>
      </c>
      <c r="AA356" s="678">
        <f>AD356</f>
        <v/>
      </c>
      <c r="AB356" s="678" t="n">
        <v>0</v>
      </c>
      <c r="AC356" s="678">
        <f>AD356/1.2</f>
        <v/>
      </c>
      <c r="AD356" s="678" t="n">
        <v>8892550</v>
      </c>
      <c r="AE356" s="682" t="inlineStr">
        <is>
          <t>ENGAGE</t>
        </is>
      </c>
      <c r="AF356" s="681" t="n"/>
      <c r="AG356" s="678" t="n"/>
      <c r="AH356" s="678" t="n"/>
      <c r="AI356" s="678" t="n"/>
      <c r="AJ356" s="678" t="n"/>
      <c r="AK356" s="683" t="n"/>
      <c r="AL356" s="683" t="n"/>
      <c r="AM356" s="681" t="inlineStr">
        <is>
          <t>RAS</t>
        </is>
      </c>
    </row>
    <row r="357" ht="54.6" customHeight="1" s="392">
      <c r="A357" s="672" t="n">
        <v>2024</v>
      </c>
      <c r="B357" s="673" t="inlineStr">
        <is>
          <t>DRPSD</t>
        </is>
      </c>
      <c r="C357" s="673" t="inlineStr">
        <is>
          <t>RECONDUCTIBLE</t>
        </is>
      </c>
      <c r="D357" s="672" t="inlineStr">
        <is>
          <t>CONTRAT</t>
        </is>
      </c>
      <c r="E357" s="672" t="n">
        <v>1</v>
      </c>
      <c r="F357" s="674" t="inlineStr">
        <is>
          <t>Hébergement de la plateforme SNRTNEWS et la plateforme BOTOLA-Web, mobile (Android et IOS) et TV hors contenu video</t>
        </is>
      </c>
      <c r="G357" s="675" t="inlineStr">
        <is>
          <t>VALIDE</t>
        </is>
      </c>
      <c r="H357" s="672" t="inlineStr">
        <is>
          <t>APPROUVE</t>
        </is>
      </c>
      <c r="I357" s="672" t="inlineStr">
        <is>
          <t>497 CT/SNRT</t>
        </is>
      </c>
      <c r="J357" s="675" t="inlineStr">
        <is>
          <t>NON CONCERNE</t>
        </is>
      </c>
      <c r="K357" s="672" t="inlineStr">
        <is>
          <t>Ordinaire</t>
        </is>
      </c>
      <c r="L357" s="676" t="inlineStr">
        <is>
          <t>FONCTIONNEMENT</t>
        </is>
      </c>
      <c r="M357" s="676" t="inlineStr">
        <is>
          <t>Prestation de services
Achat prestations de services locales - sociétés</t>
        </is>
      </c>
      <c r="N357" s="677" t="n"/>
      <c r="O357" s="678" t="n"/>
      <c r="P357" s="678" t="n"/>
      <c r="Q357" s="672" t="inlineStr">
        <is>
          <t>RECONDUCTIBLE</t>
        </is>
      </c>
      <c r="R357" s="679" t="n"/>
      <c r="S357" s="680" t="n"/>
      <c r="T357" s="681" t="inlineStr">
        <is>
          <t>ATLAS HOSTER</t>
        </is>
      </c>
      <c r="U357" s="672" t="n">
        <v>2024</v>
      </c>
      <c r="V357" s="680" t="n"/>
      <c r="W357" s="680" t="n"/>
      <c r="X357" s="680" t="n"/>
      <c r="Y357" s="677" t="n">
        <v>329600</v>
      </c>
      <c r="Z357" s="678" t="n">
        <v>0</v>
      </c>
      <c r="AA357" s="678" t="n">
        <v>395520</v>
      </c>
      <c r="AB357" s="678" t="n">
        <v>0</v>
      </c>
      <c r="AC357" s="678" t="n">
        <v>329600</v>
      </c>
      <c r="AD357" s="678" t="n">
        <v>395520</v>
      </c>
      <c r="AE357" s="682" t="inlineStr">
        <is>
          <t>ENGAGE</t>
        </is>
      </c>
      <c r="AF357" s="681" t="n"/>
      <c r="AG357" s="678" t="n"/>
      <c r="AH357" s="678" t="n"/>
      <c r="AI357" s="678" t="n"/>
      <c r="AJ357" s="678" t="n"/>
      <c r="AK357" s="683" t="n"/>
      <c r="AL357" s="683" t="n"/>
      <c r="AM357" s="681" t="inlineStr">
        <is>
          <t>RAS</t>
        </is>
      </c>
    </row>
    <row r="358" ht="50.55" customHeight="1" s="392">
      <c r="A358" s="672" t="n">
        <v>2026</v>
      </c>
      <c r="B358" s="673" t="inlineStr">
        <is>
          <t>DRPSD</t>
        </is>
      </c>
      <c r="C358" s="673" t="inlineStr">
        <is>
          <t>ANNULE</t>
        </is>
      </c>
      <c r="D358" s="672" t="inlineStr">
        <is>
          <t>AOO-M</t>
        </is>
      </c>
      <c r="E358" s="672" t="n">
        <v>1</v>
      </c>
      <c r="F358" s="674" t="inlineStr">
        <is>
          <t>Création de capsules digitales pour SNRT News</t>
        </is>
      </c>
      <c r="G358" s="675" t="inlineStr">
        <is>
          <t>ANNULE</t>
        </is>
      </c>
      <c r="H358" s="672" t="inlineStr">
        <is>
          <t>ANNULE</t>
        </is>
      </c>
      <c r="I358" s="672" t="n"/>
      <c r="J358" s="675" t="inlineStr">
        <is>
          <t>GENERAL</t>
        </is>
      </c>
      <c r="K358" s="672" t="inlineStr">
        <is>
          <t>Ordinaire</t>
        </is>
      </c>
      <c r="L358" s="676" t="inlineStr">
        <is>
          <t>FONCTIONNEMENT</t>
        </is>
      </c>
      <c r="M358" s="676" t="inlineStr">
        <is>
          <t>Prestation de services
Achat prestations de services locales - sociétés</t>
        </is>
      </c>
      <c r="N358" s="677">
        <f>O358*1.2</f>
        <v/>
      </c>
      <c r="O358" s="678" t="n">
        <v>200000</v>
      </c>
      <c r="P358" s="678">
        <f>O358/1.2</f>
        <v/>
      </c>
      <c r="Q358" s="672" t="inlineStr">
        <is>
          <t>NOUVEAU BESOIN</t>
        </is>
      </c>
      <c r="R358" s="679" t="n"/>
      <c r="S358" s="680" t="n"/>
      <c r="T358" s="681" t="n"/>
      <c r="U358" s="672" t="n"/>
      <c r="V358" s="680" t="n">
        <v>46064</v>
      </c>
      <c r="W358" s="680" t="n"/>
      <c r="X358" s="680" t="n"/>
      <c r="Y358" s="677" t="n">
        <v>0</v>
      </c>
      <c r="Z358" s="678" t="n">
        <v>0</v>
      </c>
      <c r="AA358" s="678" t="n">
        <v>0</v>
      </c>
      <c r="AB358" s="678" t="n">
        <v>0</v>
      </c>
      <c r="AC358" s="678" t="n">
        <v>0</v>
      </c>
      <c r="AD358" s="678" t="n">
        <v>0</v>
      </c>
      <c r="AE358" s="682" t="inlineStr">
        <is>
          <t>NON ENGAGE</t>
        </is>
      </c>
      <c r="AF358" s="681" t="n"/>
      <c r="AG358" s="678" t="n"/>
      <c r="AH358" s="678" t="n"/>
      <c r="AI358" s="678" t="n"/>
      <c r="AJ358" s="678" t="n"/>
      <c r="AK358" s="683" t="n"/>
      <c r="AL358" s="683" t="n"/>
      <c r="AM358" s="681" t="inlineStr">
        <is>
          <t>RAS</t>
        </is>
      </c>
    </row>
    <row r="359" ht="32" customHeight="1" s="392">
      <c r="A359" s="672" t="n">
        <v>2026</v>
      </c>
      <c r="B359" s="673" t="inlineStr">
        <is>
          <t>DRPSD</t>
        </is>
      </c>
      <c r="C359" s="673" t="n"/>
      <c r="D359" s="672" t="inlineStr">
        <is>
          <t>AOO-M</t>
        </is>
      </c>
      <c r="E359" s="672" t="n">
        <v>1</v>
      </c>
      <c r="F359" s="674" t="inlineStr">
        <is>
          <t>Assistance et maintenance de la Solution BI</t>
        </is>
      </c>
      <c r="G359" s="675" t="inlineStr">
        <is>
          <t>EN SIGNATURE</t>
        </is>
      </c>
      <c r="H359" s="672" t="inlineStr">
        <is>
          <t>EN SIGNATURE</t>
        </is>
      </c>
      <c r="I359" s="691" t="n"/>
      <c r="J359" s="675" t="inlineStr">
        <is>
          <t>GENERAL</t>
        </is>
      </c>
      <c r="K359" s="672" t="inlineStr">
        <is>
          <t>Ordinaire</t>
        </is>
      </c>
      <c r="L359" s="676" t="inlineStr">
        <is>
          <t>FONCTIONNEMENT</t>
        </is>
      </c>
      <c r="M359" s="676" t="inlineStr">
        <is>
          <t>Entretien, réparation et assurance</t>
        </is>
      </c>
      <c r="N359" s="677">
        <f>O359*1.2</f>
        <v/>
      </c>
      <c r="O359" s="678" t="n">
        <v>200000</v>
      </c>
      <c r="P359" s="678">
        <f>O359/1.2</f>
        <v/>
      </c>
      <c r="Q359" s="672" t="inlineStr">
        <is>
          <t>BESOIN RECURRENT</t>
        </is>
      </c>
      <c r="R359" s="679" t="n"/>
      <c r="S359" s="680" t="n"/>
      <c r="T359" s="681" t="n"/>
      <c r="U359" s="672" t="n"/>
      <c r="V359" s="680" t="n">
        <v>46077</v>
      </c>
      <c r="W359" s="680" t="n"/>
      <c r="X359" s="680" t="n"/>
      <c r="Y359" s="677" t="n"/>
      <c r="Z359" s="678" t="n">
        <v>0</v>
      </c>
      <c r="AA359" s="678" t="n"/>
      <c r="AB359" s="678" t="n">
        <v>0</v>
      </c>
      <c r="AC359" s="678" t="n"/>
      <c r="AD359" s="678" t="n"/>
      <c r="AE359" s="682" t="inlineStr">
        <is>
          <t>EN COURS DE PREENGAGEMENT</t>
        </is>
      </c>
      <c r="AF359" s="681" t="n"/>
      <c r="AG359" s="678" t="n"/>
      <c r="AH359" s="678" t="n"/>
      <c r="AI359" s="678" t="n"/>
      <c r="AJ359" s="678" t="n"/>
      <c r="AK359" s="683" t="n"/>
      <c r="AL359" s="683" t="n"/>
      <c r="AM359" s="681" t="inlineStr">
        <is>
          <t>Numéro AO + Date visa</t>
        </is>
      </c>
    </row>
    <row r="360" ht="54.6" customHeight="1" s="392">
      <c r="A360" s="672" t="n">
        <v>2026</v>
      </c>
      <c r="B360" s="673" t="inlineStr">
        <is>
          <t>TV LAAYOUNE</t>
        </is>
      </c>
      <c r="C360" s="673" t="n"/>
      <c r="D360" s="672" t="inlineStr">
        <is>
          <t>BCL</t>
        </is>
      </c>
      <c r="E360" s="672" t="n">
        <v>1</v>
      </c>
      <c r="F360" s="674" t="inlineStr">
        <is>
          <t>Travaux d’impression pour la mise en scène de l’émission « MOSABAQAT ALQURAN ALKARIM » pour l’année 1447/2026</t>
        </is>
      </c>
      <c r="G360" s="675" t="inlineStr">
        <is>
          <t>VALIDE</t>
        </is>
      </c>
      <c r="H360" s="672" t="inlineStr">
        <is>
          <t>APPROUVE</t>
        </is>
      </c>
      <c r="I360" s="672" t="inlineStr">
        <is>
          <t>26000001 CL</t>
        </is>
      </c>
      <c r="J360" s="675" t="inlineStr">
        <is>
          <t>GENERAL</t>
        </is>
      </c>
      <c r="K360" s="672" t="inlineStr">
        <is>
          <t>Ordinaire</t>
        </is>
      </c>
      <c r="L360" s="676" t="inlineStr">
        <is>
          <t>FONCTIONNEMENT</t>
        </is>
      </c>
      <c r="M360" s="676" t="inlineStr">
        <is>
          <t>Prestation de services
Achat prestations de services locales - sociétés</t>
        </is>
      </c>
      <c r="N360" s="677" t="n"/>
      <c r="O360" s="678" t="n"/>
      <c r="P360" s="678" t="n"/>
      <c r="Q360" s="672" t="inlineStr">
        <is>
          <t>NOUVEAU BESOIN</t>
        </is>
      </c>
      <c r="R360" s="679" t="n"/>
      <c r="S360" s="680" t="n"/>
      <c r="T360" s="681" t="inlineStr">
        <is>
          <t>TETSOUL SERVICES</t>
        </is>
      </c>
      <c r="U360" s="672" t="n">
        <v>2026</v>
      </c>
      <c r="V360" s="680" t="n">
        <v>46038</v>
      </c>
      <c r="W360" s="680" t="n"/>
      <c r="X360" s="680" t="n">
        <v>46041</v>
      </c>
      <c r="Y360" s="677" t="n">
        <v>13900</v>
      </c>
      <c r="Z360" s="678" t="n">
        <v>0</v>
      </c>
      <c r="AA360" s="678" t="n">
        <v>13900</v>
      </c>
      <c r="AB360" s="678" t="n">
        <v>0</v>
      </c>
      <c r="AC360" s="678">
        <f>Y360</f>
        <v/>
      </c>
      <c r="AD360" s="678">
        <f>AA360</f>
        <v/>
      </c>
      <c r="AE360" s="682" t="inlineStr">
        <is>
          <t>ENGAGE</t>
        </is>
      </c>
      <c r="AF360" s="681" t="n"/>
      <c r="AG360" s="678" t="n"/>
      <c r="AH360" s="678" t="n"/>
      <c r="AI360" s="678" t="n"/>
      <c r="AJ360" s="678" t="n"/>
      <c r="AK360" s="683" t="n"/>
      <c r="AL360" s="683" t="n"/>
      <c r="AM360" s="681" t="inlineStr">
        <is>
          <t>RAS</t>
        </is>
      </c>
    </row>
    <row r="361" ht="38.40000000000001" customHeight="1" s="392">
      <c r="A361" s="672" t="n">
        <v>2026</v>
      </c>
      <c r="B361" s="673" t="inlineStr">
        <is>
          <t>TV LAAYOUNE</t>
        </is>
      </c>
      <c r="C361" s="673" t="n"/>
      <c r="D361" s="672" t="inlineStr">
        <is>
          <t>BCL</t>
        </is>
      </c>
      <c r="E361" s="672" t="n"/>
      <c r="F361" s="674" t="inlineStr">
        <is>
          <t>Achat de trophées pour l’émission  « MOSABAQAT ALQURAN ALKARIM » pour l’année 1447/2026</t>
        </is>
      </c>
      <c r="G361" s="675" t="inlineStr">
        <is>
          <t>VALIDE</t>
        </is>
      </c>
      <c r="H361" s="672" t="inlineStr">
        <is>
          <t>APPROUVE</t>
        </is>
      </c>
      <c r="I361" s="672" t="inlineStr">
        <is>
          <t>26000002 CL</t>
        </is>
      </c>
      <c r="J361" s="675" t="inlineStr">
        <is>
          <t>GENERAL</t>
        </is>
      </c>
      <c r="K361" s="672" t="inlineStr">
        <is>
          <t>Ordinaire</t>
        </is>
      </c>
      <c r="L361" s="676" t="inlineStr">
        <is>
          <t>FONCTIONNEMENT</t>
        </is>
      </c>
      <c r="M361" s="676" t="inlineStr">
        <is>
          <t xml:space="preserve">Achats non stockés de matières et fournitures </t>
        </is>
      </c>
      <c r="N361" s="677" t="n"/>
      <c r="O361" s="678" t="n"/>
      <c r="P361" s="678" t="n"/>
      <c r="Q361" s="672" t="inlineStr">
        <is>
          <t>NOUVEAU BESOIN</t>
        </is>
      </c>
      <c r="R361" s="679" t="n"/>
      <c r="S361" s="680" t="n"/>
      <c r="T361" s="681" t="inlineStr">
        <is>
          <t>TELTAY TRADING</t>
        </is>
      </c>
      <c r="U361" s="672" t="n">
        <v>2026</v>
      </c>
      <c r="V361" s="680" t="n">
        <v>46038</v>
      </c>
      <c r="W361" s="680" t="n"/>
      <c r="X361" s="680" t="n">
        <v>46041</v>
      </c>
      <c r="Y361" s="677" t="n">
        <v>21600</v>
      </c>
      <c r="Z361" s="678" t="n">
        <v>0</v>
      </c>
      <c r="AA361" s="678" t="n">
        <v>21600</v>
      </c>
      <c r="AB361" s="678" t="n">
        <v>0</v>
      </c>
      <c r="AC361" s="678">
        <f>Y361</f>
        <v/>
      </c>
      <c r="AD361" s="678">
        <f>AA361</f>
        <v/>
      </c>
      <c r="AE361" s="682" t="inlineStr">
        <is>
          <t>ENGAGE</t>
        </is>
      </c>
      <c r="AF361" s="681" t="n"/>
      <c r="AG361" s="678" t="n"/>
      <c r="AH361" s="678" t="n"/>
      <c r="AI361" s="678" t="n"/>
      <c r="AJ361" s="678" t="n"/>
      <c r="AK361" s="683" t="n"/>
      <c r="AL361" s="683" t="n"/>
      <c r="AM361" s="681" t="inlineStr">
        <is>
          <t>RAS</t>
        </is>
      </c>
    </row>
    <row r="362" ht="38.40000000000001" customHeight="1" s="392">
      <c r="A362" s="672" t="n">
        <v>2026</v>
      </c>
      <c r="B362" s="673" t="inlineStr">
        <is>
          <t>DPMG</t>
        </is>
      </c>
      <c r="C362" s="673" t="inlineStr">
        <is>
          <t>ANNULE</t>
        </is>
      </c>
      <c r="D362" s="672" t="inlineStr">
        <is>
          <t>AOO-M</t>
        </is>
      </c>
      <c r="E362" s="672" t="n">
        <v>1</v>
      </c>
      <c r="F362" s="674" t="inlineStr">
        <is>
          <t>Acquisition et travaux d'installation de trois ascenseur dans le bâtiment de la SNRT à Rabat et Casablanca</t>
        </is>
      </c>
      <c r="G362" s="675" t="inlineStr">
        <is>
          <t>ANNULE</t>
        </is>
      </c>
      <c r="H362" s="672" t="inlineStr">
        <is>
          <t>ANNULE</t>
        </is>
      </c>
      <c r="I362" s="672" t="n"/>
      <c r="J362" s="675" t="inlineStr">
        <is>
          <t>PME</t>
        </is>
      </c>
      <c r="K362" s="672" t="inlineStr">
        <is>
          <t>REPORT BUDGET ANNEE ANTERIEURE</t>
        </is>
      </c>
      <c r="L362" s="676" t="inlineStr">
        <is>
          <t>INVESTISSEMENT</t>
        </is>
      </c>
      <c r="M362" s="676" t="inlineStr">
        <is>
          <t>Agencements et aménagement constructions</t>
        </is>
      </c>
      <c r="N362" s="677">
        <f>O362*1.2</f>
        <v/>
      </c>
      <c r="O362" s="678" t="n">
        <v>480000</v>
      </c>
      <c r="P362" s="678">
        <f>O362/1.2</f>
        <v/>
      </c>
      <c r="Q362" s="672" t="inlineStr">
        <is>
          <t>NOUVEAU BESOIN</t>
        </is>
      </c>
      <c r="R362" s="679" t="n"/>
      <c r="S362" s="680" t="n"/>
      <c r="T362" s="681" t="n"/>
      <c r="U362" s="672" t="n"/>
      <c r="V362" s="680" t="n">
        <v>46072</v>
      </c>
      <c r="W362" s="680" t="n"/>
      <c r="X362" s="680" t="n"/>
      <c r="Y362" s="677" t="n">
        <v>0</v>
      </c>
      <c r="Z362" s="678" t="n">
        <v>0</v>
      </c>
      <c r="AA362" s="678" t="n">
        <v>0</v>
      </c>
      <c r="AB362" s="678" t="n">
        <v>0</v>
      </c>
      <c r="AC362" s="678" t="n">
        <v>0</v>
      </c>
      <c r="AD362" s="678" t="n">
        <v>0</v>
      </c>
      <c r="AE362" s="682" t="inlineStr">
        <is>
          <t>NON ENGAGE</t>
        </is>
      </c>
      <c r="AF362" s="681" t="n"/>
      <c r="AG362" s="678" t="n"/>
      <c r="AH362" s="678" t="n"/>
      <c r="AI362" s="678" t="n"/>
      <c r="AJ362" s="678" t="n"/>
      <c r="AK362" s="683" t="n"/>
      <c r="AL362" s="683" t="n"/>
      <c r="AM362" s="681" t="inlineStr">
        <is>
          <t>Annulé</t>
        </is>
      </c>
    </row>
    <row r="363" ht="38.40000000000001" customHeight="1" s="392">
      <c r="A363" s="672" t="n">
        <v>2026</v>
      </c>
      <c r="B363" s="673" t="inlineStr">
        <is>
          <t>DPMG</t>
        </is>
      </c>
      <c r="C363" s="673" t="n"/>
      <c r="D363" s="672" t="inlineStr">
        <is>
          <t>AOO-M</t>
        </is>
      </c>
      <c r="E363" s="672" t="n">
        <v>2</v>
      </c>
      <c r="F363" s="674" t="inlineStr">
        <is>
          <t>Acquisition et travaux d'installation d’un ascenseur dans le batiment de la SNRT NEWS à Casablanca</t>
        </is>
      </c>
      <c r="G363" s="675" t="inlineStr">
        <is>
          <t>EN SIGNATURE</t>
        </is>
      </c>
      <c r="H363" s="672" t="inlineStr">
        <is>
          <t>EN SIGNATURE</t>
        </is>
      </c>
      <c r="I363" s="691" t="n"/>
      <c r="J363" s="675" t="inlineStr">
        <is>
          <t>PME</t>
        </is>
      </c>
      <c r="K363" s="672" t="inlineStr">
        <is>
          <t>Ordinaire</t>
        </is>
      </c>
      <c r="L363" s="676" t="inlineStr">
        <is>
          <t>INVESTISSEMENT</t>
        </is>
      </c>
      <c r="M363" s="676" t="inlineStr">
        <is>
          <t>Agencements et aménagement constructions</t>
        </is>
      </c>
      <c r="N363" s="677">
        <f>O363*1.2</f>
        <v/>
      </c>
      <c r="O363" s="678" t="n">
        <v>458400</v>
      </c>
      <c r="P363" s="678">
        <f>O363/1.2</f>
        <v/>
      </c>
      <c r="Q363" s="672" t="inlineStr">
        <is>
          <t>NOUVEAU BESOIN</t>
        </is>
      </c>
      <c r="R363" s="679" t="n"/>
      <c r="S363" s="680" t="n"/>
      <c r="T363" s="681" t="n"/>
      <c r="U363" s="672" t="n"/>
      <c r="V363" s="680" t="n"/>
      <c r="W363" s="680" t="n"/>
      <c r="X363" s="680" t="n"/>
      <c r="Y363" s="677" t="n"/>
      <c r="Z363" s="678" t="n"/>
      <c r="AA363" s="678" t="n"/>
      <c r="AB363" s="678" t="n"/>
      <c r="AC363" s="678" t="n"/>
      <c r="AD363" s="678" t="n"/>
      <c r="AE363" s="682" t="inlineStr">
        <is>
          <t>EN COURS DE PREENGAGEMENT</t>
        </is>
      </c>
      <c r="AF363" s="681" t="n"/>
      <c r="AG363" s="678" t="n"/>
      <c r="AH363" s="678" t="n"/>
      <c r="AI363" s="678" t="n"/>
      <c r="AJ363" s="678" t="n"/>
      <c r="AK363" s="683" t="n"/>
      <c r="AL363" s="683" t="n"/>
      <c r="AM363" s="681" t="inlineStr">
        <is>
          <t>Numéro AO + Date Fiche et Visa</t>
        </is>
      </c>
      <c r="AN363" s="692" t="n"/>
      <c r="AO363" s="693" t="n"/>
      <c r="AP363" s="694" t="n"/>
      <c r="AQ363" s="694" t="n"/>
      <c r="AR363" s="695" t="n"/>
      <c r="AS363" s="696" t="n"/>
    </row>
    <row r="364" ht="38.40000000000001" customHeight="1" s="392">
      <c r="A364" s="672" t="n">
        <v>2023</v>
      </c>
      <c r="B364" s="673" t="inlineStr">
        <is>
          <t>DMPTV</t>
        </is>
      </c>
      <c r="C364" s="673" t="inlineStr">
        <is>
          <t>RECONDUCTION</t>
        </is>
      </c>
      <c r="D364" s="672" t="inlineStr">
        <is>
          <t>CONTRAT</t>
        </is>
      </c>
      <c r="E364" s="672" t="n">
        <v>1</v>
      </c>
      <c r="F364" s="674" t="inlineStr">
        <is>
          <t>le sponsoring du Festival "Mawazine Rytmes du monde" éditions 2024-2025-2026</t>
        </is>
      </c>
      <c r="G364" s="675" t="inlineStr">
        <is>
          <t>VALIDE</t>
        </is>
      </c>
      <c r="H364" s="672" t="inlineStr">
        <is>
          <t>APPROUVE</t>
        </is>
      </c>
      <c r="I364" s="672" t="inlineStr">
        <is>
          <t>001220623/CT-SNRT</t>
        </is>
      </c>
      <c r="J364" s="675" t="inlineStr">
        <is>
          <t>NON CONCERNE</t>
        </is>
      </c>
      <c r="K364" s="672" t="inlineStr">
        <is>
          <t>Ordinaire</t>
        </is>
      </c>
      <c r="L364" s="676" t="inlineStr">
        <is>
          <t>FONCTIONNEMENT</t>
        </is>
      </c>
      <c r="M364" s="676" t="inlineStr">
        <is>
          <t>Charges marketing et relations publiques</t>
        </is>
      </c>
      <c r="N364" s="677" t="n"/>
      <c r="O364" s="678" t="n"/>
      <c r="P364" s="678" t="n"/>
      <c r="Q364" s="672" t="inlineStr">
        <is>
          <t>RECONDUCTIBLE</t>
        </is>
      </c>
      <c r="R364" s="679" t="n"/>
      <c r="S364" s="680" t="n"/>
      <c r="T364" s="681" t="inlineStr">
        <is>
          <t>ASSOCIATION MAROC CULTURES</t>
        </is>
      </c>
      <c r="U364" s="672" t="n">
        <v>2023</v>
      </c>
      <c r="V364" s="680" t="n"/>
      <c r="W364" s="680" t="n"/>
      <c r="X364" s="680" t="n"/>
      <c r="Y364" s="677" t="n"/>
      <c r="Z364" s="678" t="n"/>
      <c r="AA364" s="678" t="n"/>
      <c r="AB364" s="678" t="n"/>
      <c r="AC364" s="678" t="n"/>
      <c r="AD364" s="678" t="n">
        <v>10200000</v>
      </c>
      <c r="AE364" s="682" t="inlineStr">
        <is>
          <t>ENGAGE</t>
        </is>
      </c>
      <c r="AF364" s="681" t="n"/>
      <c r="AG364" s="678" t="n"/>
      <c r="AH364" s="678" t="n"/>
      <c r="AI364" s="678" t="n"/>
      <c r="AJ364" s="678" t="n"/>
      <c r="AK364" s="683" t="n"/>
      <c r="AL364" s="683" t="n"/>
      <c r="AM364" s="681" t="n"/>
    </row>
    <row r="365" ht="54.6" customHeight="1" s="392">
      <c r="A365" s="672" t="n">
        <v>2026</v>
      </c>
      <c r="B365" s="673" t="inlineStr">
        <is>
          <t>DMPTV</t>
        </is>
      </c>
      <c r="C365" s="673" t="inlineStr">
        <is>
          <t>RECONDUCTION</t>
        </is>
      </c>
      <c r="D365" s="672" t="inlineStr">
        <is>
          <t>CONTRAT</t>
        </is>
      </c>
      <c r="E365" s="672" t="n">
        <v>1</v>
      </c>
      <c r="F365" s="674" t="inlineStr">
        <is>
          <t>Achat d’espace publicitaires sur la presse digitale et la presse écrite pour la promotion des programmes de Ramadan 2026</t>
        </is>
      </c>
      <c r="G365" s="675" t="inlineStr">
        <is>
          <t>VALIDE</t>
        </is>
      </c>
      <c r="H365" s="672" t="inlineStr">
        <is>
          <t>APPROUVE</t>
        </is>
      </c>
      <c r="I365" s="672" t="inlineStr">
        <is>
          <t>325 CT/SNRT/2026</t>
        </is>
      </c>
      <c r="J365" s="675" t="inlineStr">
        <is>
          <t>NON CONCERNE</t>
        </is>
      </c>
      <c r="K365" s="672" t="inlineStr">
        <is>
          <t>Ordinaire</t>
        </is>
      </c>
      <c r="L365" s="676" t="inlineStr">
        <is>
          <t>FONCTIONNEMENT</t>
        </is>
      </c>
      <c r="M365" s="676" t="inlineStr">
        <is>
          <t>Charges marketing et relations publiques</t>
        </is>
      </c>
      <c r="N365" s="677" t="n"/>
      <c r="O365" s="678" t="n"/>
      <c r="P365" s="678" t="n"/>
      <c r="Q365" s="672" t="inlineStr">
        <is>
          <t>BESOIN RECURRENT</t>
        </is>
      </c>
      <c r="R365" s="679" t="n"/>
      <c r="S365" s="680" t="n"/>
      <c r="T365" s="681" t="inlineStr">
        <is>
          <t>ADWEB MAROC</t>
        </is>
      </c>
      <c r="U365" s="672" t="n">
        <v>2026</v>
      </c>
      <c r="V365" s="680" t="n">
        <v>46072</v>
      </c>
      <c r="W365" s="680" t="n"/>
      <c r="X365" s="680" t="n">
        <v>46077</v>
      </c>
      <c r="Y365" s="677">
        <f>AA365/1.2</f>
        <v/>
      </c>
      <c r="Z365" s="678" t="n">
        <v>0</v>
      </c>
      <c r="AA365" s="678" t="n">
        <v>728483.45</v>
      </c>
      <c r="AB365" s="678" t="n">
        <v>0</v>
      </c>
      <c r="AC365" s="678">
        <f>Y365</f>
        <v/>
      </c>
      <c r="AD365" s="678">
        <f>AA365</f>
        <v/>
      </c>
      <c r="AE365" s="682" t="inlineStr">
        <is>
          <t>ENGAGE</t>
        </is>
      </c>
      <c r="AF365" s="681" t="n"/>
      <c r="AG365" s="678" t="n"/>
      <c r="AH365" s="678" t="n"/>
      <c r="AI365" s="678" t="n"/>
      <c r="AJ365" s="678" t="n"/>
      <c r="AK365" s="683" t="n"/>
      <c r="AL365" s="683" t="n"/>
      <c r="AM365" s="681" t="inlineStr">
        <is>
          <t>R,A,S</t>
        </is>
      </c>
    </row>
    <row r="366" ht="50.55" customHeight="1" s="392">
      <c r="A366" s="672" t="n">
        <v>2026</v>
      </c>
      <c r="B366" s="673" t="inlineStr">
        <is>
          <t>DMPTV</t>
        </is>
      </c>
      <c r="C366" s="673" t="n"/>
      <c r="D366" s="672" t="inlineStr">
        <is>
          <t>BCL</t>
        </is>
      </c>
      <c r="E366" s="672" t="n">
        <v>1</v>
      </c>
      <c r="F366" s="674" t="inlineStr">
        <is>
          <t>Réalisation d’une étude marketing pour le compte de la SNRT</t>
        </is>
      </c>
      <c r="G366" s="675" t="inlineStr">
        <is>
          <t>VALIDE</t>
        </is>
      </c>
      <c r="H366" s="672" t="inlineStr">
        <is>
          <t>APPROUVE</t>
        </is>
      </c>
      <c r="I366" s="672" t="inlineStr">
        <is>
          <t>26000003 CL</t>
        </is>
      </c>
      <c r="J366" s="675" t="inlineStr">
        <is>
          <t>NON CONCERNE</t>
        </is>
      </c>
      <c r="K366" s="672" t="inlineStr">
        <is>
          <t>Ordinaire</t>
        </is>
      </c>
      <c r="L366" s="676" t="inlineStr">
        <is>
          <t>FONCTIONNEMENT</t>
        </is>
      </c>
      <c r="M366" s="676" t="inlineStr">
        <is>
          <t>Prestation de services
Achat prestations de services locales - sociétés</t>
        </is>
      </c>
      <c r="N366" s="677" t="n"/>
      <c r="O366" s="678" t="n"/>
      <c r="P366" s="678" t="n"/>
      <c r="Q366" s="672" t="inlineStr">
        <is>
          <t>BESOIN RECURRENT</t>
        </is>
      </c>
      <c r="R366" s="679" t="n"/>
      <c r="S366" s="680" t="n"/>
      <c r="T366" s="681" t="inlineStr">
        <is>
          <t>LMS-CSA</t>
        </is>
      </c>
      <c r="U366" s="672" t="n">
        <v>2026</v>
      </c>
      <c r="V366" s="680" t="n">
        <v>46072</v>
      </c>
      <c r="W366" s="680" t="n"/>
      <c r="X366" s="680" t="n">
        <v>46072</v>
      </c>
      <c r="Y366" s="677" t="n">
        <v>94000</v>
      </c>
      <c r="Z366" s="678" t="n">
        <v>0</v>
      </c>
      <c r="AA366" s="678" t="n">
        <v>112800</v>
      </c>
      <c r="AB366" s="678" t="n">
        <v>0</v>
      </c>
      <c r="AC366" s="678">
        <f>Y366</f>
        <v/>
      </c>
      <c r="AD366" s="678">
        <f>AA366</f>
        <v/>
      </c>
      <c r="AE366" s="682" t="inlineStr">
        <is>
          <t>ENGAGE</t>
        </is>
      </c>
      <c r="AF366" s="681" t="n"/>
      <c r="AG366" s="678" t="n"/>
      <c r="AH366" s="678" t="n"/>
      <c r="AI366" s="678" t="n"/>
      <c r="AJ366" s="678" t="n"/>
      <c r="AK366" s="683" t="n"/>
      <c r="AL366" s="683" t="n"/>
      <c r="AM366" s="681" t="inlineStr">
        <is>
          <t>R,A,S</t>
        </is>
      </c>
    </row>
    <row r="367" ht="38.40000000000001" customHeight="1" s="392">
      <c r="A367" s="672" t="n">
        <v>2026</v>
      </c>
      <c r="B367" s="673" t="inlineStr">
        <is>
          <t>DPMG</t>
        </is>
      </c>
      <c r="C367" s="673" t="n"/>
      <c r="D367" s="672" t="inlineStr">
        <is>
          <t>BCL</t>
        </is>
      </c>
      <c r="E367" s="672" t="n">
        <v>1</v>
      </c>
      <c r="F367" s="674" t="inlineStr">
        <is>
          <t>Acquisition de cachet pour les besoins des différents entité de la SNRT pour l’année 2026</t>
        </is>
      </c>
      <c r="G367" s="675" t="inlineStr">
        <is>
          <t>VALIDE</t>
        </is>
      </c>
      <c r="H367" s="672" t="inlineStr">
        <is>
          <t>APPROUVE</t>
        </is>
      </c>
      <c r="I367" s="672" t="inlineStr">
        <is>
          <t>26000004 CL</t>
        </is>
      </c>
      <c r="J367" s="675" t="inlineStr">
        <is>
          <t>NON CONCERNE</t>
        </is>
      </c>
      <c r="K367" s="672" t="inlineStr">
        <is>
          <t>Ordinaire</t>
        </is>
      </c>
      <c r="L367" s="676" t="inlineStr">
        <is>
          <t>FONCTIONNEMENT</t>
        </is>
      </c>
      <c r="M367" s="676" t="inlineStr">
        <is>
          <t>Achats de matières et fournitures consommables</t>
        </is>
      </c>
      <c r="N367" s="677" t="n"/>
      <c r="O367" s="678" t="n"/>
      <c r="P367" s="678" t="n"/>
      <c r="Q367" s="672" t="inlineStr">
        <is>
          <t>BESOIN RECURRENT</t>
        </is>
      </c>
      <c r="R367" s="679" t="n"/>
      <c r="S367" s="680" t="n"/>
      <c r="T367" s="681" t="inlineStr">
        <is>
          <t>REPRO MASTER</t>
        </is>
      </c>
      <c r="U367" s="672" t="n">
        <v>2026</v>
      </c>
      <c r="V367" s="680" t="n"/>
      <c r="W367" s="680" t="n"/>
      <c r="X367" s="680" t="n">
        <v>46063</v>
      </c>
      <c r="Y367" s="677" t="n">
        <v>55180</v>
      </c>
      <c r="Z367" s="678" t="n">
        <v>0</v>
      </c>
      <c r="AA367" s="678" t="n">
        <v>66216</v>
      </c>
      <c r="AB367" s="678" t="n">
        <v>0</v>
      </c>
      <c r="AC367" s="678">
        <f>Y367</f>
        <v/>
      </c>
      <c r="AD367" s="678">
        <f>AA367</f>
        <v/>
      </c>
      <c r="AE367" s="682" t="inlineStr">
        <is>
          <t>ENGAGE</t>
        </is>
      </c>
      <c r="AF367" s="681" t="n"/>
      <c r="AG367" s="678" t="n"/>
      <c r="AH367" s="678" t="n"/>
      <c r="AI367" s="678" t="n"/>
      <c r="AJ367" s="678" t="n"/>
      <c r="AK367" s="683" t="n"/>
      <c r="AL367" s="683" t="n"/>
      <c r="AM367" s="681" t="inlineStr">
        <is>
          <t>R,A,S</t>
        </is>
      </c>
    </row>
    <row r="368" ht="54.6" customHeight="1" s="392">
      <c r="A368" s="672" t="n">
        <v>2026</v>
      </c>
      <c r="B368" s="673" t="inlineStr">
        <is>
          <t>DPMG</t>
        </is>
      </c>
      <c r="C368" s="673" t="n"/>
      <c r="D368" s="672" t="inlineStr">
        <is>
          <t>BCL</t>
        </is>
      </c>
      <c r="E368" s="672" t="n">
        <v>1</v>
      </c>
      <c r="F368" s="674" t="inlineStr">
        <is>
          <t>Impression numérique 4 couleurs de cartes de visites pour les besoins des différentes entités de la SNRT durant l’année 2026</t>
        </is>
      </c>
      <c r="G368" s="675" t="inlineStr">
        <is>
          <t>VALIDE</t>
        </is>
      </c>
      <c r="H368" s="672" t="inlineStr">
        <is>
          <t>APPROUVE</t>
        </is>
      </c>
      <c r="I368" s="672" t="inlineStr">
        <is>
          <t>26000005 CL</t>
        </is>
      </c>
      <c r="J368" s="675" t="inlineStr">
        <is>
          <t>NON CONCERNE</t>
        </is>
      </c>
      <c r="K368" s="672" t="inlineStr">
        <is>
          <t>Ordinaire</t>
        </is>
      </c>
      <c r="L368" s="676" t="inlineStr">
        <is>
          <t>FONCTIONNEMENT</t>
        </is>
      </c>
      <c r="M368" s="676" t="inlineStr">
        <is>
          <t>Achats de matières et fournitures consommables</t>
        </is>
      </c>
      <c r="N368" s="677" t="n"/>
      <c r="O368" s="678" t="n"/>
      <c r="P368" s="678" t="n"/>
      <c r="Q368" s="672" t="inlineStr">
        <is>
          <t>BESOIN RECURRENT</t>
        </is>
      </c>
      <c r="R368" s="679" t="n"/>
      <c r="S368" s="680" t="n"/>
      <c r="T368" s="681" t="inlineStr">
        <is>
          <t>REPRO MASTER</t>
        </is>
      </c>
      <c r="U368" s="672" t="n">
        <v>2026</v>
      </c>
      <c r="V368" s="680" t="n"/>
      <c r="W368" s="680" t="n"/>
      <c r="X368" s="680" t="n">
        <v>46063</v>
      </c>
      <c r="Y368" s="677" t="n">
        <v>7295</v>
      </c>
      <c r="Z368" s="678" t="n">
        <v>0</v>
      </c>
      <c r="AA368" s="678" t="n">
        <v>8754</v>
      </c>
      <c r="AB368" s="678" t="n">
        <v>0</v>
      </c>
      <c r="AC368" s="678">
        <f>Y368</f>
        <v/>
      </c>
      <c r="AD368" s="678">
        <f>AA368</f>
        <v/>
      </c>
      <c r="AE368" s="682" t="inlineStr">
        <is>
          <t>ENGAGE</t>
        </is>
      </c>
      <c r="AF368" s="681" t="n"/>
      <c r="AG368" s="678" t="n"/>
      <c r="AH368" s="678" t="n"/>
      <c r="AI368" s="678" t="n"/>
      <c r="AJ368" s="678" t="n"/>
      <c r="AK368" s="683" t="n"/>
      <c r="AL368" s="683" t="n"/>
      <c r="AM368" s="681" t="inlineStr">
        <is>
          <t>R,A,S</t>
        </is>
      </c>
    </row>
    <row r="369" ht="70.80000000000001" customHeight="1" s="392">
      <c r="A369" s="672" t="n">
        <v>2026</v>
      </c>
      <c r="B369" s="673" t="inlineStr">
        <is>
          <t>TV LAAYOUNE</t>
        </is>
      </c>
      <c r="C369" s="673" t="n"/>
      <c r="D369" s="672" t="inlineStr">
        <is>
          <t>BCL</t>
        </is>
      </c>
      <c r="E369" s="672" t="n">
        <v>1</v>
      </c>
      <c r="F369" s="674" t="inlineStr">
        <is>
          <t>Rupture de jeune et repas de Shour du personnel de la SNRT TV Laâyoune, Centre Émetteur TV/FM Laâyoune et Station Régionale du Radio Laâyoune du mois sacré de RAMADAN 1447/2026</t>
        </is>
      </c>
      <c r="G369" s="675" t="inlineStr">
        <is>
          <t>VALIDE</t>
        </is>
      </c>
      <c r="H369" s="672" t="inlineStr">
        <is>
          <t>APPROUVE</t>
        </is>
      </c>
      <c r="I369" s="672" t="inlineStr">
        <is>
          <t>26000006 CL</t>
        </is>
      </c>
      <c r="J369" s="675" t="inlineStr">
        <is>
          <t>NON CONCERNE</t>
        </is>
      </c>
      <c r="K369" s="672" t="inlineStr">
        <is>
          <t>Ordinaire</t>
        </is>
      </c>
      <c r="L369" s="676" t="inlineStr">
        <is>
          <t>FONCTIONNEMENT</t>
        </is>
      </c>
      <c r="M369" s="676" t="inlineStr">
        <is>
          <t>Déplacements, missions et réceptions</t>
        </is>
      </c>
      <c r="N369" s="677" t="n"/>
      <c r="O369" s="678" t="n"/>
      <c r="P369" s="678" t="n"/>
      <c r="Q369" s="672" t="inlineStr">
        <is>
          <t>BESOIN RECURRENT</t>
        </is>
      </c>
      <c r="R369" s="679" t="n"/>
      <c r="S369" s="680" t="n"/>
      <c r="T369" s="681" t="inlineStr">
        <is>
          <t>STE JAMAA ANNAOUI</t>
        </is>
      </c>
      <c r="U369" s="672" t="n">
        <v>2026</v>
      </c>
      <c r="V369" s="680" t="n">
        <v>46069</v>
      </c>
      <c r="W369" s="680" t="n"/>
      <c r="X369" s="680" t="n">
        <v>46069</v>
      </c>
      <c r="Y369" s="677" t="n">
        <v>109350</v>
      </c>
      <c r="Z369" s="678" t="n">
        <v>0</v>
      </c>
      <c r="AA369" s="678" t="n">
        <v>109350</v>
      </c>
      <c r="AB369" s="678" t="n">
        <v>0</v>
      </c>
      <c r="AC369" s="678">
        <f>Y369</f>
        <v/>
      </c>
      <c r="AD369" s="678">
        <f>AA369</f>
        <v/>
      </c>
      <c r="AE369" s="682" t="inlineStr">
        <is>
          <t>ENGAGE</t>
        </is>
      </c>
      <c r="AF369" s="681" t="n"/>
      <c r="AG369" s="678" t="n"/>
      <c r="AH369" s="678" t="n"/>
      <c r="AI369" s="678" t="n"/>
      <c r="AJ369" s="678" t="n"/>
      <c r="AK369" s="683" t="n"/>
      <c r="AL369" s="683" t="n"/>
      <c r="AM369" s="681" t="inlineStr">
        <is>
          <t>R,A,S</t>
        </is>
      </c>
    </row>
    <row r="370" ht="70.80000000000001" customHeight="1" s="392">
      <c r="A370" s="672" t="n">
        <v>2026</v>
      </c>
      <c r="B370" s="673" t="inlineStr">
        <is>
          <t>DTSI</t>
        </is>
      </c>
      <c r="C370" s="673" t="inlineStr">
        <is>
          <t>15 AOM/SNRT</t>
        </is>
      </c>
      <c r="D370" s="672" t="inlineStr">
        <is>
          <t>AOO-M</t>
        </is>
      </c>
      <c r="E370" s="672" t="n">
        <v>1</v>
      </c>
      <c r="F370" s="674" t="inlineStr">
        <is>
          <t>La fourniture et la mise en service de serveurs haute performance destinés aux applications d’intelligence artificielle et d’apprentissage automatique pour les besoins de la SNRT</t>
        </is>
      </c>
      <c r="G370" s="675" t="inlineStr">
        <is>
          <t>ANNULE</t>
        </is>
      </c>
      <c r="H370" s="672" t="inlineStr">
        <is>
          <t>ANNULE</t>
        </is>
      </c>
      <c r="I370" s="672" t="n"/>
      <c r="J370" s="675" t="inlineStr">
        <is>
          <t>GENERAL</t>
        </is>
      </c>
      <c r="K370" s="672" t="inlineStr">
        <is>
          <t>Ordinaire</t>
        </is>
      </c>
      <c r="L370" s="676" t="inlineStr">
        <is>
          <t>INVESTISSEMENT</t>
        </is>
      </c>
      <c r="M370" s="676" t="inlineStr">
        <is>
          <t>Matériel informatiques</t>
        </is>
      </c>
      <c r="N370" s="677">
        <f>O370*1.2</f>
        <v/>
      </c>
      <c r="O370" s="678" t="n">
        <v>1906704</v>
      </c>
      <c r="P370" s="678">
        <f>O370/1.2</f>
        <v/>
      </c>
      <c r="Q370" s="672" t="inlineStr">
        <is>
          <t>NOUVEAU BESOIN</t>
        </is>
      </c>
      <c r="R370" s="679" t="n"/>
      <c r="S370" s="680" t="n"/>
      <c r="T370" s="681" t="n"/>
      <c r="U370" s="672" t="n"/>
      <c r="V370" s="680" t="n">
        <v>46073</v>
      </c>
      <c r="W370" s="680" t="n">
        <v>46073</v>
      </c>
      <c r="X370" s="680" t="n"/>
      <c r="Y370" s="677">
        <f>AC370</f>
        <v/>
      </c>
      <c r="Z370" s="678" t="n">
        <v>0</v>
      </c>
      <c r="AA370" s="678" t="n">
        <v>0</v>
      </c>
      <c r="AB370" s="678" t="n">
        <v>0</v>
      </c>
      <c r="AC370" s="678">
        <f>AD370/1.2</f>
        <v/>
      </c>
      <c r="AD370" s="678" t="n">
        <v>0</v>
      </c>
      <c r="AE370" s="682" t="inlineStr">
        <is>
          <t>NON ENGAGE</t>
        </is>
      </c>
      <c r="AF370" s="681" t="n"/>
      <c r="AG370" s="678" t="n"/>
      <c r="AH370" s="678" t="n"/>
      <c r="AI370" s="678" t="n"/>
      <c r="AJ370" s="678" t="n"/>
      <c r="AK370" s="683" t="n"/>
      <c r="AL370" s="683" t="n"/>
      <c r="AM370" s="681" t="inlineStr">
        <is>
          <t>R,A,S</t>
        </is>
      </c>
    </row>
    <row r="371" ht="70.80000000000001" customHeight="1" s="392">
      <c r="A371" s="672" t="n">
        <v>2026</v>
      </c>
      <c r="B371" s="673" t="inlineStr">
        <is>
          <t>DTSI</t>
        </is>
      </c>
      <c r="C371" s="673" t="inlineStr">
        <is>
          <t>15 AOM/SNRT</t>
        </is>
      </c>
      <c r="D371" s="672" t="inlineStr">
        <is>
          <t>AOO-M</t>
        </is>
      </c>
      <c r="E371" s="672" t="n">
        <v>2</v>
      </c>
      <c r="F371" s="674" t="inlineStr">
        <is>
          <t>La fourniture et la mise en service d’infrastructures informatiques haute performance pour les applications d’intelligences artificielle pour les besoins de la SNRT</t>
        </is>
      </c>
      <c r="G371" s="675" t="inlineStr">
        <is>
          <t>INFRUCTUEUX</t>
        </is>
      </c>
      <c r="H371" s="672" t="inlineStr">
        <is>
          <t>INFRUCTUEUX</t>
        </is>
      </c>
      <c r="I371" s="672" t="n"/>
      <c r="J371" s="675" t="inlineStr">
        <is>
          <t>GENERAL</t>
        </is>
      </c>
      <c r="K371" s="672" t="inlineStr">
        <is>
          <t>Ordinaire</t>
        </is>
      </c>
      <c r="L371" s="676" t="inlineStr">
        <is>
          <t>INVESTISSEMENT</t>
        </is>
      </c>
      <c r="M371" s="676" t="inlineStr">
        <is>
          <t>Matériel informatiques</t>
        </is>
      </c>
      <c r="N371" s="677">
        <f>O371*1.2</f>
        <v/>
      </c>
      <c r="O371" s="678" t="n">
        <v>677484</v>
      </c>
      <c r="P371" s="678">
        <f>O371/1.2</f>
        <v/>
      </c>
      <c r="Q371" s="672" t="inlineStr">
        <is>
          <t>NOUVEAU BESOIN</t>
        </is>
      </c>
      <c r="R371" s="679" t="n"/>
      <c r="S371" s="680" t="n"/>
      <c r="T371" s="681" t="n"/>
      <c r="U371" s="672" t="n"/>
      <c r="V371" s="680" t="n">
        <v>46073</v>
      </c>
      <c r="W371" s="680" t="n">
        <v>46073</v>
      </c>
      <c r="X371" s="680" t="n"/>
      <c r="Y371" s="677">
        <f>AC371</f>
        <v/>
      </c>
      <c r="Z371" s="678" t="n"/>
      <c r="AA371" s="678">
        <f>AE371</f>
        <v/>
      </c>
      <c r="AB371" s="678" t="n"/>
      <c r="AC371" s="678">
        <f>AG371</f>
        <v/>
      </c>
      <c r="AD371" s="678">
        <f>AH371</f>
        <v/>
      </c>
      <c r="AE371" s="682" t="inlineStr">
        <is>
          <t>NON ENGAGE</t>
        </is>
      </c>
      <c r="AF371" s="681" t="n"/>
      <c r="AG371" s="678" t="n"/>
      <c r="AH371" s="678" t="n"/>
      <c r="AI371" s="678" t="n"/>
      <c r="AJ371" s="678" t="n"/>
      <c r="AK371" s="683" t="n"/>
      <c r="AL371" s="683" t="n"/>
      <c r="AM371" s="681" t="inlineStr">
        <is>
          <t>R,A,S</t>
        </is>
      </c>
    </row>
    <row r="372" ht="38.40000000000001" customHeight="1" s="392">
      <c r="A372" s="672" t="n">
        <v>2026</v>
      </c>
      <c r="B372" s="673" t="inlineStr">
        <is>
          <t>DTSI</t>
        </is>
      </c>
      <c r="C372" s="673" t="inlineStr">
        <is>
          <t>11 AOM/SNRT</t>
        </is>
      </c>
      <c r="D372" s="672" t="inlineStr">
        <is>
          <t>AOO-M</t>
        </is>
      </c>
      <c r="E372" s="672" t="n">
        <v>1</v>
      </c>
      <c r="F372" s="674" t="inlineStr">
        <is>
          <t>La fourniture d’une solution DLP « Data Loss Prevention »pour les besoins de la SNRT</t>
        </is>
      </c>
      <c r="G372" s="675" t="inlineStr">
        <is>
          <t>VALIDE</t>
        </is>
      </c>
      <c r="H372" s="672" t="inlineStr">
        <is>
          <t>APPROUVE</t>
        </is>
      </c>
      <c r="I372" s="672" t="inlineStr">
        <is>
          <t>12M/2026</t>
        </is>
      </c>
      <c r="J372" s="675" t="inlineStr">
        <is>
          <t>PME</t>
        </is>
      </c>
      <c r="K372" s="672" t="inlineStr">
        <is>
          <t>REPORT BUDGET ANNEE ANTERIEURE</t>
        </is>
      </c>
      <c r="L372" s="676" t="inlineStr">
        <is>
          <t>INVESTISSEMENT</t>
        </is>
      </c>
      <c r="M372" s="676" t="inlineStr">
        <is>
          <t>Immobilisations incorporelles (logiciels, licences, etc.)</t>
        </is>
      </c>
      <c r="N372" s="677">
        <f>O372*1.2</f>
        <v/>
      </c>
      <c r="O372" s="678" t="n">
        <v>142872</v>
      </c>
      <c r="P372" s="678">
        <f>O372/1.2</f>
        <v/>
      </c>
      <c r="Q372" s="672" t="inlineStr">
        <is>
          <t>NOUVEAU BESOIN</t>
        </is>
      </c>
      <c r="R372" s="679" t="n"/>
      <c r="S372" s="680" t="n"/>
      <c r="T372" s="681" t="inlineStr">
        <is>
          <t>MODCOD</t>
        </is>
      </c>
      <c r="U372" s="672" t="n">
        <v>2026</v>
      </c>
      <c r="V372" s="680" t="n">
        <v>46073</v>
      </c>
      <c r="W372" s="680" t="n">
        <v>46073</v>
      </c>
      <c r="X372" s="680" t="n">
        <v>46141</v>
      </c>
      <c r="Y372" s="677">
        <f>AC372</f>
        <v/>
      </c>
      <c r="Z372" s="678" t="n">
        <v>0</v>
      </c>
      <c r="AA372" s="678">
        <f>AD372</f>
        <v/>
      </c>
      <c r="AB372" s="678" t="n">
        <v>0</v>
      </c>
      <c r="AC372" s="678">
        <f>AD372/1.2</f>
        <v/>
      </c>
      <c r="AD372" s="678" t="n">
        <v>166800</v>
      </c>
      <c r="AE372" s="682" t="inlineStr">
        <is>
          <t>ENGAGE</t>
        </is>
      </c>
      <c r="AF372" s="681" t="n"/>
      <c r="AG372" s="678" t="n"/>
      <c r="AH372" s="678" t="n"/>
      <c r="AI372" s="678" t="n"/>
      <c r="AJ372" s="678" t="n"/>
      <c r="AK372" s="683" t="n"/>
      <c r="AL372" s="683" t="n"/>
      <c r="AM372" s="681" t="inlineStr">
        <is>
          <t>R,A,S</t>
        </is>
      </c>
    </row>
    <row r="373" ht="54.6" customHeight="1" s="392">
      <c r="A373" s="672" t="n">
        <v>2025</v>
      </c>
      <c r="B373" s="673" t="inlineStr">
        <is>
          <t>TDF -SITES</t>
        </is>
      </c>
      <c r="C373" s="673" t="inlineStr">
        <is>
          <t>96 AOM/SNRT</t>
        </is>
      </c>
      <c r="D373" s="672" t="inlineStr">
        <is>
          <t>AOO-M</t>
        </is>
      </c>
      <c r="E373" s="672" t="n">
        <v>2</v>
      </c>
      <c r="F373" s="674" t="inlineStr">
        <is>
          <t>Fourniture de convertisseurs « Electrique/ Optique » - « Optique/ Electrique » bidirectionnels pour les signaux électriques SDI, ASI et IP.</t>
        </is>
      </c>
      <c r="G373" s="675" t="inlineStr">
        <is>
          <t>VALIDE</t>
        </is>
      </c>
      <c r="H373" s="672" t="inlineStr">
        <is>
          <t>APPROUVE</t>
        </is>
      </c>
      <c r="I373" s="672" t="inlineStr">
        <is>
          <t>06M/2026</t>
        </is>
      </c>
      <c r="J373" s="675" t="inlineStr">
        <is>
          <t>GENERAL</t>
        </is>
      </c>
      <c r="K373" s="672" t="inlineStr">
        <is>
          <t>REPORT BUDGET ANNEE ANTERIEURE</t>
        </is>
      </c>
      <c r="L373" s="676" t="inlineStr">
        <is>
          <t>INVESTISSEMENT</t>
        </is>
      </c>
      <c r="M373" s="676" t="inlineStr">
        <is>
          <t>Équipements de télédiffusion</t>
        </is>
      </c>
      <c r="N373" s="677">
        <f>O373*1.2</f>
        <v/>
      </c>
      <c r="O373" s="678" t="n">
        <v>1500000</v>
      </c>
      <c r="P373" s="678">
        <f>O373/1.2</f>
        <v/>
      </c>
      <c r="Q373" s="672" t="inlineStr">
        <is>
          <t>NOUVEAU BESOIN</t>
        </is>
      </c>
      <c r="R373" s="679" t="n"/>
      <c r="S373" s="680" t="n"/>
      <c r="T373" s="681" t="inlineStr">
        <is>
          <t>MOYANO MAROC</t>
        </is>
      </c>
      <c r="U373" s="672" t="n">
        <v>2026</v>
      </c>
      <c r="V373" s="680" t="n">
        <v>46073</v>
      </c>
      <c r="W373" s="680" t="n"/>
      <c r="X373" s="680" t="n">
        <v>46077</v>
      </c>
      <c r="Y373" s="677">
        <f>AA373/1.2</f>
        <v/>
      </c>
      <c r="Z373" s="678" t="n">
        <v>0</v>
      </c>
      <c r="AA373" s="678" t="n">
        <v>1581600</v>
      </c>
      <c r="AB373" s="678" t="n">
        <v>0</v>
      </c>
      <c r="AC373" s="678">
        <f>Y373</f>
        <v/>
      </c>
      <c r="AD373" s="678">
        <f>AA373</f>
        <v/>
      </c>
      <c r="AE373" s="682" t="inlineStr">
        <is>
          <t>ENGAGE</t>
        </is>
      </c>
      <c r="AF373" s="681" t="n"/>
      <c r="AG373" s="678" t="n"/>
      <c r="AH373" s="678" t="n"/>
      <c r="AI373" s="678" t="n"/>
      <c r="AJ373" s="678" t="n"/>
      <c r="AK373" s="683" t="n"/>
      <c r="AL373" s="683" t="n"/>
      <c r="AM373" s="681" t="inlineStr">
        <is>
          <t>R,A,S</t>
        </is>
      </c>
    </row>
    <row r="374" ht="87" customHeight="1" s="392">
      <c r="A374" s="672" t="n">
        <v>2026</v>
      </c>
      <c r="B374" s="673" t="inlineStr">
        <is>
          <t>DRPSD</t>
        </is>
      </c>
      <c r="C374" s="673" t="inlineStr">
        <is>
          <t>EXCLUSIVITÉ</t>
        </is>
      </c>
      <c r="D374" s="672" t="inlineStr">
        <is>
          <t>CONTRAT</t>
        </is>
      </c>
      <c r="E374" s="672" t="n">
        <v>1</v>
      </c>
      <c r="F374" s="674" t="inlineStr">
        <is>
          <t>La souscription par la SNRT aux services de mesures d’audience suivants : Planview TV, Radiomat, Fichier Mediapilot, OTVY, Souscription à 21 cibles spécifiques, FICHIER BI, Intégration de la Chaîne Tamazight à Planview, Fichier Mediapilot RADIO</t>
        </is>
      </c>
      <c r="G374" s="675" t="inlineStr">
        <is>
          <t>VALIDE</t>
        </is>
      </c>
      <c r="H374" s="672" t="inlineStr">
        <is>
          <t>APPROUVE</t>
        </is>
      </c>
      <c r="I374" s="672" t="inlineStr">
        <is>
          <t>001/2026</t>
        </is>
      </c>
      <c r="J374" s="675" t="inlineStr">
        <is>
          <t>NON CONCERNE</t>
        </is>
      </c>
      <c r="K374" s="672" t="inlineStr">
        <is>
          <t>Ordinaire</t>
        </is>
      </c>
      <c r="L374" s="676" t="inlineStr">
        <is>
          <t>FONCTIONNEMENT</t>
        </is>
      </c>
      <c r="M374" s="676" t="inlineStr">
        <is>
          <t>Prestation de services
Achat prestations de services locales - sociétés</t>
        </is>
      </c>
      <c r="N374" s="677" t="n"/>
      <c r="O374" s="678" t="n"/>
      <c r="P374" s="678" t="n"/>
      <c r="Q374" s="672" t="inlineStr">
        <is>
          <t>RECONDUCTION</t>
        </is>
      </c>
      <c r="R374" s="679" t="n"/>
      <c r="S374" s="680" t="n"/>
      <c r="T374" s="681" t="inlineStr">
        <is>
          <t>MAROCMETRIE</t>
        </is>
      </c>
      <c r="U374" s="672" t="n">
        <v>2026</v>
      </c>
      <c r="V374" s="680" t="n">
        <v>46387</v>
      </c>
      <c r="W374" s="680" t="n"/>
      <c r="X374" s="680" t="n">
        <v>46024</v>
      </c>
      <c r="Y374" s="677" t="n">
        <v>308300</v>
      </c>
      <c r="Z374" s="678" t="n">
        <v>0</v>
      </c>
      <c r="AA374" s="678" t="n">
        <v>369960</v>
      </c>
      <c r="AB374" s="678" t="n">
        <v>0</v>
      </c>
      <c r="AC374" s="678">
        <f>Y374</f>
        <v/>
      </c>
      <c r="AD374" s="678">
        <f>AA374</f>
        <v/>
      </c>
      <c r="AE374" s="682" t="inlineStr">
        <is>
          <t>ENGAGE</t>
        </is>
      </c>
      <c r="AF374" s="681" t="n"/>
      <c r="AG374" s="678" t="n"/>
      <c r="AH374" s="678" t="n"/>
      <c r="AI374" s="678" t="n"/>
      <c r="AJ374" s="678" t="n"/>
      <c r="AK374" s="683" t="n"/>
      <c r="AL374" s="683" t="n"/>
      <c r="AM374" s="681" t="inlineStr">
        <is>
          <t>R,A,S</t>
        </is>
      </c>
    </row>
    <row r="375" ht="32" customHeight="1" s="392">
      <c r="A375" s="672" t="n">
        <v>2026</v>
      </c>
      <c r="B375" s="673" t="inlineStr">
        <is>
          <t>DRPSD</t>
        </is>
      </c>
      <c r="C375" s="673" t="inlineStr">
        <is>
          <t>EXCLUSIVITÉ</t>
        </is>
      </c>
      <c r="D375" s="672" t="inlineStr">
        <is>
          <t>CONTRAT</t>
        </is>
      </c>
      <c r="E375" s="672" t="n">
        <v>1</v>
      </c>
      <c r="F375" s="674" t="inlineStr">
        <is>
          <t>Adhésion à l’EGTA année 2026</t>
        </is>
      </c>
      <c r="G375" s="675" t="inlineStr">
        <is>
          <t>VALIDE</t>
        </is>
      </c>
      <c r="H375" s="672" t="inlineStr">
        <is>
          <t>APPROUVE</t>
        </is>
      </c>
      <c r="I375" s="672" t="n"/>
      <c r="J375" s="675" t="inlineStr">
        <is>
          <t>NON CONCERNE</t>
        </is>
      </c>
      <c r="K375" s="672" t="inlineStr">
        <is>
          <t>Ordinaire</t>
        </is>
      </c>
      <c r="L375" s="676" t="inlineStr">
        <is>
          <t>FONCTIONNEMENT</t>
        </is>
      </c>
      <c r="M375" s="676" t="inlineStr">
        <is>
          <t>Redevances et cotisations</t>
        </is>
      </c>
      <c r="N375" s="677" t="n"/>
      <c r="O375" s="678" t="n"/>
      <c r="P375" s="678" t="n"/>
      <c r="Q375" s="672" t="inlineStr">
        <is>
          <t>RECONDUCTION</t>
        </is>
      </c>
      <c r="R375" s="679" t="n"/>
      <c r="S375" s="680" t="n"/>
      <c r="T375" s="681" t="inlineStr">
        <is>
          <t>EGTA</t>
        </is>
      </c>
      <c r="U375" s="672" t="n">
        <v>2026</v>
      </c>
      <c r="V375" s="680" t="n">
        <v>46022</v>
      </c>
      <c r="W375" s="680" t="n"/>
      <c r="X375" s="680" t="n">
        <v>46024</v>
      </c>
      <c r="Y375" s="677">
        <f>AC375</f>
        <v/>
      </c>
      <c r="Z375" s="678" t="n">
        <v>10639</v>
      </c>
      <c r="AA375" s="678">
        <f>AC375</f>
        <v/>
      </c>
      <c r="AB375" s="678" t="n">
        <v>10639</v>
      </c>
      <c r="AC375" s="678" t="n">
        <v>113711.51</v>
      </c>
      <c r="AD375" s="678" t="n">
        <v>113711.51</v>
      </c>
      <c r="AE375" s="682" t="inlineStr">
        <is>
          <t>ENGAGE</t>
        </is>
      </c>
      <c r="AF375" s="681" t="n"/>
      <c r="AG375" s="678" t="n"/>
      <c r="AH375" s="678" t="n"/>
      <c r="AI375" s="678" t="n"/>
      <c r="AJ375" s="678" t="n"/>
      <c r="AK375" s="683" t="n"/>
      <c r="AL375" s="683" t="n"/>
      <c r="AM375" s="681" t="inlineStr">
        <is>
          <t>R.A.S</t>
        </is>
      </c>
    </row>
    <row r="376" ht="70.80000000000001" customHeight="1" s="392">
      <c r="A376" s="672" t="n">
        <v>2026</v>
      </c>
      <c r="B376" s="673" t="inlineStr">
        <is>
          <t>TDF-EXP&amp;MAIN</t>
        </is>
      </c>
      <c r="C376" s="673" t="inlineStr">
        <is>
          <t>09 AOM/SNRT</t>
        </is>
      </c>
      <c r="D376" s="672" t="inlineStr">
        <is>
          <t>AOO-M</t>
        </is>
      </c>
      <c r="E376" s="672" t="n">
        <v>1</v>
      </c>
      <c r="F376" s="674" t="inlineStr">
        <is>
          <t>Acquisition de matériel technique et informatique pour l’extension de l’outil digital de gestion des ressources techniques et humaines de l’exploitation et de la maintenance</t>
        </is>
      </c>
      <c r="G376" s="675" t="inlineStr">
        <is>
          <t>INFRUCTUEUX</t>
        </is>
      </c>
      <c r="H376" s="672" t="inlineStr">
        <is>
          <t>INFRUCTUEUX</t>
        </is>
      </c>
      <c r="I376" s="672" t="n"/>
      <c r="J376" s="675" t="inlineStr">
        <is>
          <t>GENERAL</t>
        </is>
      </c>
      <c r="K376" s="672" t="inlineStr">
        <is>
          <t>REPORT BUDGET ANNEE ANTERIEURE</t>
        </is>
      </c>
      <c r="L376" s="676" t="inlineStr">
        <is>
          <t>INVESTISSEMENT</t>
        </is>
      </c>
      <c r="M376" s="676" t="inlineStr">
        <is>
          <t>Équipements de télédiffusion</t>
        </is>
      </c>
      <c r="N376" s="677">
        <f>O376*1.2</f>
        <v/>
      </c>
      <c r="O376" s="678" t="n">
        <v>540000</v>
      </c>
      <c r="P376" s="678">
        <f>O376/1.2</f>
        <v/>
      </c>
      <c r="Q376" s="672" t="inlineStr">
        <is>
          <t>NOUVEAU BESOIN</t>
        </is>
      </c>
      <c r="R376" s="679" t="n"/>
      <c r="S376" s="680" t="n"/>
      <c r="T376" s="681" t="n"/>
      <c r="U376" s="672" t="n"/>
      <c r="V376" s="680" t="n">
        <v>46080</v>
      </c>
      <c r="W376" s="680" t="n">
        <v>46084</v>
      </c>
      <c r="X376" s="680" t="n"/>
      <c r="Y376" s="677" t="n">
        <v>0</v>
      </c>
      <c r="Z376" s="678" t="n">
        <v>0</v>
      </c>
      <c r="AA376" s="678" t="n">
        <v>0</v>
      </c>
      <c r="AB376" s="678" t="n">
        <v>0</v>
      </c>
      <c r="AC376" s="678" t="n">
        <v>0</v>
      </c>
      <c r="AD376" s="678" t="n">
        <v>0</v>
      </c>
      <c r="AE376" s="682" t="inlineStr">
        <is>
          <t>NON ENGAGE</t>
        </is>
      </c>
      <c r="AF376" s="681" t="n"/>
      <c r="AG376" s="678" t="n"/>
      <c r="AH376" s="678" t="n"/>
      <c r="AI376" s="678" t="n"/>
      <c r="AJ376" s="678" t="n"/>
      <c r="AK376" s="683" t="n"/>
      <c r="AL376" s="683" t="n"/>
      <c r="AM376" s="681" t="inlineStr">
        <is>
          <t>R.A.S</t>
        </is>
      </c>
    </row>
    <row r="377" ht="54.6" customHeight="1" s="392">
      <c r="A377" s="672" t="n">
        <v>2025</v>
      </c>
      <c r="B377" s="673" t="inlineStr">
        <is>
          <t>TDF -SITES</t>
        </is>
      </c>
      <c r="C377" s="673" t="inlineStr">
        <is>
          <t>75AOM/SNRT</t>
        </is>
      </c>
      <c r="D377" s="672" t="inlineStr">
        <is>
          <t>AOO-M</t>
        </is>
      </c>
      <c r="E377" s="672" t="n">
        <v>1</v>
      </c>
      <c r="F377" s="674" t="inlineStr">
        <is>
          <t>Fourniture, installation et mise en service de climatiseurs de type armoire de puissance frigorifique 48000 Btu</t>
        </is>
      </c>
      <c r="G377" s="675" t="inlineStr">
        <is>
          <t>VALIDE</t>
        </is>
      </c>
      <c r="H377" s="672" t="inlineStr">
        <is>
          <t>APPROUVE</t>
        </is>
      </c>
      <c r="I377" s="672" t="inlineStr">
        <is>
          <t>07M/2026</t>
        </is>
      </c>
      <c r="J377" s="675" t="inlineStr">
        <is>
          <t>PME</t>
        </is>
      </c>
      <c r="K377" s="672" t="inlineStr">
        <is>
          <t>REPORT BUDGET ANNEE ANTERIEURE</t>
        </is>
      </c>
      <c r="L377" s="676" t="inlineStr">
        <is>
          <t>INVESTISSEMENT</t>
        </is>
      </c>
      <c r="M377" s="676" t="inlineStr">
        <is>
          <t>Équipements de télédiffusion</t>
        </is>
      </c>
      <c r="N377" s="677">
        <f>O377*1.2</f>
        <v/>
      </c>
      <c r="O377" s="678" t="n">
        <v>765000</v>
      </c>
      <c r="P377" s="678">
        <f>O377/1.2</f>
        <v/>
      </c>
      <c r="Q377" s="672" t="inlineStr">
        <is>
          <t>BESOIN RECURRENT</t>
        </is>
      </c>
      <c r="R377" s="679" t="n"/>
      <c r="S377" s="680" t="n"/>
      <c r="T377" s="681" t="inlineStr">
        <is>
          <t>SIDATE BRAHIM TECHNO</t>
        </is>
      </c>
      <c r="U377" s="672" t="n">
        <v>2026</v>
      </c>
      <c r="V377" s="680" t="n">
        <v>46080</v>
      </c>
      <c r="W377" s="680" t="n"/>
      <c r="X377" s="680" t="n">
        <v>46084</v>
      </c>
      <c r="Y377" s="677" t="n">
        <v>500000</v>
      </c>
      <c r="Z377" s="678" t="n">
        <v>0</v>
      </c>
      <c r="AA377" s="678" t="n">
        <v>600000</v>
      </c>
      <c r="AB377" s="678" t="n">
        <v>0</v>
      </c>
      <c r="AC377" s="678" t="n">
        <v>500000</v>
      </c>
      <c r="AD377" s="678" t="n">
        <v>600000</v>
      </c>
      <c r="AE377" s="682" t="inlineStr">
        <is>
          <t>ENGAGE</t>
        </is>
      </c>
      <c r="AF377" s="681" t="n"/>
      <c r="AG377" s="678" t="n"/>
      <c r="AH377" s="678" t="n"/>
      <c r="AI377" s="678" t="n"/>
      <c r="AJ377" s="678" t="n"/>
      <c r="AK377" s="683" t="n"/>
      <c r="AL377" s="683" t="n"/>
      <c r="AM377" s="681" t="inlineStr">
        <is>
          <t>R.A.S</t>
        </is>
      </c>
    </row>
    <row r="378" ht="38.40000000000001" customHeight="1" s="392">
      <c r="A378" s="672" t="n">
        <v>2026</v>
      </c>
      <c r="B378" s="673" t="inlineStr">
        <is>
          <t>DPMG</t>
        </is>
      </c>
      <c r="C378" s="673" t="inlineStr">
        <is>
          <t>58AOM/SNRT/2026</t>
        </is>
      </c>
      <c r="D378" s="672" t="inlineStr">
        <is>
          <t>AOO-M</t>
        </is>
      </c>
      <c r="E378" s="672" t="n">
        <v>1</v>
      </c>
      <c r="F378" s="674" t="inlineStr">
        <is>
          <t>Extension et mise à jour de la solution de la vidéosurveillance de la SNRT à Rabat et Casablanca</t>
        </is>
      </c>
      <c r="G378" s="675" t="inlineStr">
        <is>
          <t>VALIDE</t>
        </is>
      </c>
      <c r="H378" s="672" t="inlineStr">
        <is>
          <t>ATTRIBUE</t>
        </is>
      </c>
      <c r="I378" s="672" t="n"/>
      <c r="J378" s="675" t="inlineStr">
        <is>
          <t>PME</t>
        </is>
      </c>
      <c r="K378" s="672" t="inlineStr">
        <is>
          <t>REPORT BUDGET ANNEE ANTERIEURE</t>
        </is>
      </c>
      <c r="L378" s="676" t="inlineStr">
        <is>
          <t>INVESTISSEMENT</t>
        </is>
      </c>
      <c r="M378" s="676" t="inlineStr">
        <is>
          <t>Installations techniques</t>
        </is>
      </c>
      <c r="N378" s="677">
        <f>O378*1.2</f>
        <v/>
      </c>
      <c r="O378" s="678" t="n">
        <v>1024080</v>
      </c>
      <c r="P378" s="678">
        <f>O378/1.2</f>
        <v/>
      </c>
      <c r="Q378" s="672" t="inlineStr">
        <is>
          <t>NOUVEAU BESOIN</t>
        </is>
      </c>
      <c r="R378" s="679" t="n"/>
      <c r="S378" s="680" t="n"/>
      <c r="T378" s="681" t="inlineStr">
        <is>
          <t>MELINT</t>
        </is>
      </c>
      <c r="U378" s="672" t="n"/>
      <c r="V378" s="680" t="n">
        <v>46086</v>
      </c>
      <c r="W378" s="680" t="n"/>
      <c r="X378" s="680" t="n"/>
      <c r="Y378" s="677" t="n"/>
      <c r="Z378" s="678" t="n"/>
      <c r="AA378" s="678" t="n"/>
      <c r="AB378" s="678" t="n"/>
      <c r="AC378" s="678" t="n"/>
      <c r="AD378" s="678" t="n">
        <v>1003598.4</v>
      </c>
      <c r="AE378" s="682" t="inlineStr">
        <is>
          <t>PREENGAGE</t>
        </is>
      </c>
      <c r="AF378" s="681" t="n"/>
      <c r="AG378" s="678" t="n"/>
      <c r="AH378" s="678" t="n"/>
      <c r="AI378" s="678" t="n"/>
      <c r="AJ378" s="678" t="n"/>
      <c r="AK378" s="683" t="n"/>
      <c r="AL378" s="683" t="n"/>
      <c r="AM378" s="681" t="inlineStr">
        <is>
          <t>N° AO + PME ? + DATE FICHE</t>
        </is>
      </c>
    </row>
    <row r="379" ht="38.40000000000001" customHeight="1" s="392">
      <c r="A379" s="672" t="n">
        <v>2026</v>
      </c>
      <c r="B379" s="673" t="inlineStr">
        <is>
          <t>DPMG</t>
        </is>
      </c>
      <c r="C379" s="673" t="inlineStr">
        <is>
          <t>58AOM/SNRT/2026</t>
        </is>
      </c>
      <c r="D379" s="672" t="inlineStr">
        <is>
          <t>AOO-M</t>
        </is>
      </c>
      <c r="E379" s="672" t="n">
        <v>2</v>
      </c>
      <c r="F379" s="674" t="inlineStr">
        <is>
          <t>Extension et mise à jour de la solution de la vidéosurveillance de la SNRT à Station TV LAAYOUNE</t>
        </is>
      </c>
      <c r="G379" s="675" t="inlineStr">
        <is>
          <t>VALIDE</t>
        </is>
      </c>
      <c r="H379" s="672" t="inlineStr">
        <is>
          <t>ATTRIBUE</t>
        </is>
      </c>
      <c r="I379" s="672" t="n"/>
      <c r="J379" s="675" t="inlineStr">
        <is>
          <t>PME</t>
        </is>
      </c>
      <c r="K379" s="672" t="inlineStr">
        <is>
          <t>REPORT BUDGET ANNEE ANTERIEURE</t>
        </is>
      </c>
      <c r="L379" s="676" t="inlineStr">
        <is>
          <t>INVESTISSEMENT</t>
        </is>
      </c>
      <c r="M379" s="676" t="inlineStr">
        <is>
          <t>Installations techniques</t>
        </is>
      </c>
      <c r="N379" s="677">
        <f>O379*1.2</f>
        <v/>
      </c>
      <c r="O379" s="678" t="n">
        <v>542640</v>
      </c>
      <c r="P379" s="678">
        <f>O379/1.2</f>
        <v/>
      </c>
      <c r="Q379" s="672" t="inlineStr">
        <is>
          <t>NOUVEAU BESOIN</t>
        </is>
      </c>
      <c r="R379" s="679" t="n"/>
      <c r="S379" s="680" t="n"/>
      <c r="T379" s="681" t="inlineStr">
        <is>
          <t>MELINT</t>
        </is>
      </c>
      <c r="U379" s="672" t="n"/>
      <c r="V379" s="680" t="n">
        <v>46086</v>
      </c>
      <c r="W379" s="680" t="n"/>
      <c r="X379" s="680" t="n"/>
      <c r="Y379" s="677" t="n"/>
      <c r="Z379" s="678" t="n"/>
      <c r="AA379" s="678" t="n"/>
      <c r="AB379" s="678" t="n"/>
      <c r="AC379" s="678" t="n"/>
      <c r="AD379" s="678" t="n">
        <v>531787.2</v>
      </c>
      <c r="AE379" s="682" t="inlineStr">
        <is>
          <t>PREENGAGE</t>
        </is>
      </c>
      <c r="AF379" s="681" t="n"/>
      <c r="AG379" s="678" t="n"/>
      <c r="AH379" s="678" t="n"/>
      <c r="AI379" s="678" t="n"/>
      <c r="AJ379" s="678" t="n"/>
      <c r="AK379" s="683" t="n"/>
      <c r="AL379" s="683" t="n"/>
      <c r="AM379" s="681" t="inlineStr">
        <is>
          <t>N° AO + PME ? + DATE FICHE</t>
        </is>
      </c>
    </row>
    <row r="380" ht="32" customHeight="1" s="392">
      <c r="A380" s="672" t="n">
        <v>2026</v>
      </c>
      <c r="B380" s="673" t="inlineStr">
        <is>
          <t>DJURIDIQUE</t>
        </is>
      </c>
      <c r="C380" s="673" t="inlineStr">
        <is>
          <t>EXCLUSIVITÉ</t>
        </is>
      </c>
      <c r="D380" s="672" t="inlineStr">
        <is>
          <t>CONTRAT</t>
        </is>
      </c>
      <c r="E380" s="672" t="n">
        <v>1</v>
      </c>
      <c r="F380" s="674" t="inlineStr">
        <is>
          <t>Convention conclus avec OIAS STATES BOADCASTING</t>
        </is>
      </c>
      <c r="G380" s="675" t="inlineStr">
        <is>
          <t>VALIDE</t>
        </is>
      </c>
      <c r="H380" s="672" t="inlineStr">
        <is>
          <t>APPROUVE</t>
        </is>
      </c>
      <c r="I380" s="672" t="inlineStr">
        <is>
          <t>26000039CT</t>
        </is>
      </c>
      <c r="J380" s="675" t="inlineStr">
        <is>
          <t>NON CONCERNE</t>
        </is>
      </c>
      <c r="K380" s="672" t="inlineStr">
        <is>
          <t>Ordinaire</t>
        </is>
      </c>
      <c r="L380" s="676" t="inlineStr">
        <is>
          <t>FONCTIONNEMENT</t>
        </is>
      </c>
      <c r="M380" s="676" t="inlineStr">
        <is>
          <t>Redevances et cotisations</t>
        </is>
      </c>
      <c r="N380" s="677" t="n"/>
      <c r="O380" s="678" t="n"/>
      <c r="P380" s="678" t="n"/>
      <c r="Q380" s="672" t="inlineStr">
        <is>
          <t>RECONDUCTION</t>
        </is>
      </c>
      <c r="R380" s="679" t="n"/>
      <c r="S380" s="680" t="n"/>
      <c r="T380" s="681" t="inlineStr">
        <is>
          <t>OIAS STATES BROADCASTING</t>
        </is>
      </c>
      <c r="U380" s="672" t="n">
        <v>2026</v>
      </c>
      <c r="V380" s="680" t="n">
        <v>46027</v>
      </c>
      <c r="W380" s="680" t="n"/>
      <c r="X380" s="680" t="n">
        <v>46027</v>
      </c>
      <c r="Y380" s="677" t="n">
        <v>677850.6800000001</v>
      </c>
      <c r="Z380" s="678" t="n">
        <v>37932.56</v>
      </c>
      <c r="AA380" s="678">
        <f>Y380</f>
        <v/>
      </c>
      <c r="AB380" s="678">
        <f>Z380</f>
        <v/>
      </c>
      <c r="AC380" s="678">
        <f>AA380</f>
        <v/>
      </c>
      <c r="AD380" s="678">
        <f>AA380</f>
        <v/>
      </c>
      <c r="AE380" s="682" t="inlineStr">
        <is>
          <t>ENGAGE</t>
        </is>
      </c>
      <c r="AF380" s="681" t="n"/>
      <c r="AG380" s="678" t="n"/>
      <c r="AH380" s="678" t="n"/>
      <c r="AI380" s="678" t="n"/>
      <c r="AJ380" s="678" t="n"/>
      <c r="AK380" s="683" t="n"/>
      <c r="AL380" s="683" t="n"/>
      <c r="AM380" s="681" t="inlineStr">
        <is>
          <t>R.A.S</t>
        </is>
      </c>
    </row>
    <row r="381" ht="32" customHeight="1" s="392">
      <c r="A381" s="672" t="n">
        <v>2026</v>
      </c>
      <c r="B381" s="673" t="inlineStr">
        <is>
          <t>DJURIDIQUE</t>
        </is>
      </c>
      <c r="C381" s="673" t="inlineStr">
        <is>
          <t>EXCLUSIVITÉ</t>
        </is>
      </c>
      <c r="D381" s="672" t="inlineStr">
        <is>
          <t>CONTRAT</t>
        </is>
      </c>
      <c r="E381" s="672" t="n">
        <v>1</v>
      </c>
      <c r="F381" s="674" t="inlineStr">
        <is>
          <t>Convention conclus avec ASBU</t>
        </is>
      </c>
      <c r="G381" s="675" t="inlineStr">
        <is>
          <t>VALIDE</t>
        </is>
      </c>
      <c r="H381" s="672" t="inlineStr">
        <is>
          <t>APPROUVE</t>
        </is>
      </c>
      <c r="I381" s="672" t="inlineStr">
        <is>
          <t>26000156CT</t>
        </is>
      </c>
      <c r="J381" s="675" t="inlineStr">
        <is>
          <t>NON CONCERNE</t>
        </is>
      </c>
      <c r="K381" s="672" t="inlineStr">
        <is>
          <t>Ordinaire</t>
        </is>
      </c>
      <c r="L381" s="676" t="inlineStr">
        <is>
          <t>FONCTIONNEMENT</t>
        </is>
      </c>
      <c r="M381" s="676" t="inlineStr">
        <is>
          <t>Redevances et cotisations</t>
        </is>
      </c>
      <c r="N381" s="677" t="n"/>
      <c r="O381" s="678" t="n"/>
      <c r="P381" s="678" t="n"/>
      <c r="Q381" s="672" t="inlineStr">
        <is>
          <t>RECONDUCTION</t>
        </is>
      </c>
      <c r="R381" s="679" t="n"/>
      <c r="S381" s="680" t="n"/>
      <c r="T381" s="681" t="inlineStr">
        <is>
          <t>ASBU</t>
        </is>
      </c>
      <c r="U381" s="672" t="n">
        <v>2026</v>
      </c>
      <c r="V381" s="680" t="n">
        <v>46049</v>
      </c>
      <c r="W381" s="680" t="n"/>
      <c r="X381" s="680" t="n">
        <v>46049</v>
      </c>
      <c r="Y381" s="677" t="n">
        <v>1111110.72</v>
      </c>
      <c r="Z381" s="678" t="n">
        <v>122427</v>
      </c>
      <c r="AA381" s="678">
        <f>Y381</f>
        <v/>
      </c>
      <c r="AB381" s="678">
        <f>Z381</f>
        <v/>
      </c>
      <c r="AC381" s="678">
        <f>AA381</f>
        <v/>
      </c>
      <c r="AD381" s="678">
        <f>AA381</f>
        <v/>
      </c>
      <c r="AE381" s="682" t="inlineStr">
        <is>
          <t>ENGAGE</t>
        </is>
      </c>
      <c r="AF381" s="681" t="n"/>
      <c r="AG381" s="678" t="n"/>
      <c r="AH381" s="678" t="n"/>
      <c r="AI381" s="678" t="n"/>
      <c r="AJ381" s="678" t="n"/>
      <c r="AK381" s="683" t="n"/>
      <c r="AL381" s="683" t="n"/>
      <c r="AM381" s="681" t="inlineStr">
        <is>
          <t>R.A.S</t>
        </is>
      </c>
    </row>
    <row r="382" ht="32" customHeight="1" s="392">
      <c r="A382" s="672" t="n">
        <v>2026</v>
      </c>
      <c r="B382" s="673" t="inlineStr">
        <is>
          <t>DJURIDIQUE</t>
        </is>
      </c>
      <c r="C382" s="673" t="inlineStr">
        <is>
          <t>EXCLUSIVITÉ</t>
        </is>
      </c>
      <c r="D382" s="672" t="inlineStr">
        <is>
          <t>CONTRAT</t>
        </is>
      </c>
      <c r="E382" s="672" t="n">
        <v>1</v>
      </c>
      <c r="F382" s="674" t="inlineStr">
        <is>
          <t>Convention conclus avec ASBU</t>
        </is>
      </c>
      <c r="G382" s="675" t="inlineStr">
        <is>
          <t>VALIDE</t>
        </is>
      </c>
      <c r="H382" s="672" t="inlineStr">
        <is>
          <t>APPROUVE</t>
        </is>
      </c>
      <c r="I382" s="672" t="inlineStr">
        <is>
          <t>26000156CT</t>
        </is>
      </c>
      <c r="J382" s="675" t="inlineStr">
        <is>
          <t>NON CONCERNE</t>
        </is>
      </c>
      <c r="K382" s="672" t="inlineStr">
        <is>
          <t>Ordinaire</t>
        </is>
      </c>
      <c r="L382" s="676" t="inlineStr">
        <is>
          <t>FONCTIONNEMENT</t>
        </is>
      </c>
      <c r="M382" s="676" t="inlineStr">
        <is>
          <t>Redevances et cotisations</t>
        </is>
      </c>
      <c r="N382" s="677" t="n"/>
      <c r="O382" s="678" t="n"/>
      <c r="P382" s="678" t="n"/>
      <c r="Q382" s="672" t="inlineStr">
        <is>
          <t>RECONDUCTION</t>
        </is>
      </c>
      <c r="R382" s="679" t="n"/>
      <c r="S382" s="680" t="n"/>
      <c r="T382" s="681" t="inlineStr">
        <is>
          <t>ASBU</t>
        </is>
      </c>
      <c r="U382" s="672" t="n">
        <v>2026</v>
      </c>
      <c r="V382" s="680" t="n">
        <v>46049</v>
      </c>
      <c r="W382" s="680" t="n"/>
      <c r="X382" s="680" t="n">
        <v>46049</v>
      </c>
      <c r="Y382" s="677" t="n">
        <v>101358.96</v>
      </c>
      <c r="Z382" s="678" t="n">
        <v>11168.17</v>
      </c>
      <c r="AA382" s="678">
        <f>Y382</f>
        <v/>
      </c>
      <c r="AB382" s="678">
        <f>Z382</f>
        <v/>
      </c>
      <c r="AC382" s="678">
        <f>AA382</f>
        <v/>
      </c>
      <c r="AD382" s="678">
        <f>AA382</f>
        <v/>
      </c>
      <c r="AE382" s="682" t="inlineStr">
        <is>
          <t>ENGAGE</t>
        </is>
      </c>
      <c r="AF382" s="681" t="n"/>
      <c r="AG382" s="678" t="n"/>
      <c r="AH382" s="678" t="n"/>
      <c r="AI382" s="678" t="n"/>
      <c r="AJ382" s="678" t="n"/>
      <c r="AK382" s="683" t="n"/>
      <c r="AL382" s="683" t="n"/>
      <c r="AM382" s="681" t="inlineStr">
        <is>
          <t>R.A.S</t>
        </is>
      </c>
    </row>
    <row r="383" ht="32" customHeight="1" s="392">
      <c r="A383" s="672" t="n">
        <v>2026</v>
      </c>
      <c r="B383" s="673" t="inlineStr">
        <is>
          <t>DJURIDIQUE</t>
        </is>
      </c>
      <c r="C383" s="673" t="inlineStr">
        <is>
          <t>EXCLUSIVITÉ</t>
        </is>
      </c>
      <c r="D383" s="672" t="inlineStr">
        <is>
          <t>CONTRAT</t>
        </is>
      </c>
      <c r="E383" s="672" t="n">
        <v>1</v>
      </c>
      <c r="F383" s="674" t="inlineStr">
        <is>
          <t>Cotisation annuelle CIRTEF au titre de l’année 2026</t>
        </is>
      </c>
      <c r="G383" s="675" t="inlineStr">
        <is>
          <t>VALIDE</t>
        </is>
      </c>
      <c r="H383" s="672" t="inlineStr">
        <is>
          <t>APPROUVE</t>
        </is>
      </c>
      <c r="I383" s="672" t="inlineStr">
        <is>
          <t>26000047CT</t>
        </is>
      </c>
      <c r="J383" s="675" t="inlineStr">
        <is>
          <t>NON CONCERNE</t>
        </is>
      </c>
      <c r="K383" s="672" t="inlineStr">
        <is>
          <t>Ordinaire</t>
        </is>
      </c>
      <c r="L383" s="676" t="inlineStr">
        <is>
          <t>FONCTIONNEMENT</t>
        </is>
      </c>
      <c r="M383" s="676" t="inlineStr">
        <is>
          <t>Redevances et cotisations</t>
        </is>
      </c>
      <c r="N383" s="677" t="n"/>
      <c r="O383" s="678" t="n"/>
      <c r="P383" s="678" t="n"/>
      <c r="Q383" s="672" t="inlineStr">
        <is>
          <t>RECONDUCTION</t>
        </is>
      </c>
      <c r="R383" s="679" t="n"/>
      <c r="S383" s="680" t="n"/>
      <c r="T383" s="681" t="inlineStr">
        <is>
          <t>CIRTEF</t>
        </is>
      </c>
      <c r="U383" s="672" t="n">
        <v>2026</v>
      </c>
      <c r="V383" s="680" t="n">
        <v>46028</v>
      </c>
      <c r="W383" s="680" t="n"/>
      <c r="X383" s="680" t="n">
        <v>46028</v>
      </c>
      <c r="Y383" s="677" t="n">
        <v>69549.91</v>
      </c>
      <c r="Z383" s="678" t="n">
        <v>6470</v>
      </c>
      <c r="AA383" s="678">
        <f>Y383</f>
        <v/>
      </c>
      <c r="AB383" s="678" t="n">
        <v>6470</v>
      </c>
      <c r="AC383" s="678">
        <f>AA383</f>
        <v/>
      </c>
      <c r="AD383" s="678">
        <f>AA383</f>
        <v/>
      </c>
      <c r="AE383" s="682" t="inlineStr">
        <is>
          <t>ENGAGE</t>
        </is>
      </c>
      <c r="AF383" s="681" t="n"/>
      <c r="AG383" s="678" t="n"/>
      <c r="AH383" s="678" t="n"/>
      <c r="AI383" s="678" t="n"/>
      <c r="AJ383" s="678" t="n"/>
      <c r="AK383" s="683" t="n"/>
      <c r="AL383" s="683" t="n"/>
      <c r="AM383" s="681" t="inlineStr">
        <is>
          <t>R.A.S</t>
        </is>
      </c>
    </row>
    <row r="384" ht="32" customHeight="1" s="392">
      <c r="A384" s="672" t="n">
        <v>2026</v>
      </c>
      <c r="B384" s="673" t="inlineStr">
        <is>
          <t>DJURIDIQUE</t>
        </is>
      </c>
      <c r="C384" s="673" t="inlineStr">
        <is>
          <t>EXCLUSIVITÉ</t>
        </is>
      </c>
      <c r="D384" s="672" t="inlineStr">
        <is>
          <t>CONTRAT</t>
        </is>
      </c>
      <c r="E384" s="672" t="n">
        <v>1</v>
      </c>
      <c r="F384" s="674" t="inlineStr">
        <is>
          <t>Cotisation annuelle EBU au titre de l’année 2026</t>
        </is>
      </c>
      <c r="G384" s="675" t="inlineStr">
        <is>
          <t>VALIDE</t>
        </is>
      </c>
      <c r="H384" s="672" t="inlineStr">
        <is>
          <t>APPROUVE</t>
        </is>
      </c>
      <c r="I384" s="672" t="inlineStr">
        <is>
          <t>26000038CT</t>
        </is>
      </c>
      <c r="J384" s="675" t="inlineStr">
        <is>
          <t>NON CONCERNE</t>
        </is>
      </c>
      <c r="K384" s="672" t="inlineStr">
        <is>
          <t>Ordinaire</t>
        </is>
      </c>
      <c r="L384" s="676" t="inlineStr">
        <is>
          <t>FONCTIONNEMENT</t>
        </is>
      </c>
      <c r="M384" s="676" t="inlineStr">
        <is>
          <t>Redevances et cotisations</t>
        </is>
      </c>
      <c r="N384" s="677" t="n"/>
      <c r="O384" s="678" t="n"/>
      <c r="P384" s="678" t="n"/>
      <c r="Q384" s="672" t="inlineStr">
        <is>
          <t>RECONDUCTION</t>
        </is>
      </c>
      <c r="R384" s="679" t="n"/>
      <c r="S384" s="680" t="n"/>
      <c r="T384" s="681" t="inlineStr">
        <is>
          <t>EBU</t>
        </is>
      </c>
      <c r="U384" s="672" t="n">
        <v>2026</v>
      </c>
      <c r="V384" s="680" t="n">
        <v>46027</v>
      </c>
      <c r="W384" s="680" t="n"/>
      <c r="X384" s="680" t="n">
        <v>46057</v>
      </c>
      <c r="Y384" s="677" t="n">
        <v>6109952.74</v>
      </c>
      <c r="Z384" s="678" t="n">
        <v>529780</v>
      </c>
      <c r="AA384" s="678">
        <f>Y384</f>
        <v/>
      </c>
      <c r="AB384" s="678" t="n">
        <v>6470</v>
      </c>
      <c r="AC384" s="678">
        <f>AA384</f>
        <v/>
      </c>
      <c r="AD384" s="678">
        <f>AA384</f>
        <v/>
      </c>
      <c r="AE384" s="682" t="inlineStr">
        <is>
          <t>ENGAGE</t>
        </is>
      </c>
      <c r="AF384" s="681" t="n"/>
      <c r="AG384" s="678" t="n"/>
      <c r="AH384" s="678" t="n"/>
      <c r="AI384" s="678" t="n"/>
      <c r="AJ384" s="678" t="n"/>
      <c r="AK384" s="683" t="n"/>
      <c r="AL384" s="683" t="n"/>
      <c r="AM384" s="681" t="inlineStr">
        <is>
          <t>R.A.S</t>
        </is>
      </c>
    </row>
    <row r="385" ht="32" customHeight="1" s="392">
      <c r="A385" s="672" t="n">
        <v>2026</v>
      </c>
      <c r="B385" s="673" t="inlineStr">
        <is>
          <t>DJURIDIQUE</t>
        </is>
      </c>
      <c r="C385" s="673" t="inlineStr">
        <is>
          <t>EXCLUSIVITÉ</t>
        </is>
      </c>
      <c r="D385" s="672" t="inlineStr">
        <is>
          <t>CONTRAT</t>
        </is>
      </c>
      <c r="E385" s="672" t="n">
        <v>1</v>
      </c>
      <c r="F385" s="674" t="inlineStr">
        <is>
          <t>Cotisation annuelle de l’UAR au titre de l’année 2026</t>
        </is>
      </c>
      <c r="G385" s="675" t="inlineStr">
        <is>
          <t>VALIDE</t>
        </is>
      </c>
      <c r="H385" s="672" t="inlineStr">
        <is>
          <t>APPROUVE</t>
        </is>
      </c>
      <c r="I385" s="672" t="inlineStr">
        <is>
          <t>26000036CT</t>
        </is>
      </c>
      <c r="J385" s="675" t="inlineStr">
        <is>
          <t>NON CONCERNE</t>
        </is>
      </c>
      <c r="K385" s="672" t="inlineStr">
        <is>
          <t>Ordinaire</t>
        </is>
      </c>
      <c r="L385" s="676" t="inlineStr">
        <is>
          <t>FONCTIONNEMENT</t>
        </is>
      </c>
      <c r="M385" s="676" t="inlineStr">
        <is>
          <t>Redevances et cotisations</t>
        </is>
      </c>
      <c r="N385" s="677" t="n"/>
      <c r="O385" s="678" t="n"/>
      <c r="P385" s="678" t="n"/>
      <c r="Q385" s="672" t="inlineStr">
        <is>
          <t>RECONDUCTION</t>
        </is>
      </c>
      <c r="R385" s="679" t="n"/>
      <c r="S385" s="680" t="n"/>
      <c r="T385" s="681" t="inlineStr">
        <is>
          <t>UAR</t>
        </is>
      </c>
      <c r="U385" s="672" t="n">
        <v>2026</v>
      </c>
      <c r="V385" s="680" t="n">
        <v>46027</v>
      </c>
      <c r="W385" s="680" t="n"/>
      <c r="X385" s="680" t="n">
        <v>46027</v>
      </c>
      <c r="Y385" s="677" t="n">
        <v>275055</v>
      </c>
      <c r="Z385" s="678" t="n">
        <v>30000</v>
      </c>
      <c r="AA385" s="678">
        <f>Y385</f>
        <v/>
      </c>
      <c r="AB385" s="678" t="n">
        <v>30000</v>
      </c>
      <c r="AC385" s="678">
        <f>AA385</f>
        <v/>
      </c>
      <c r="AD385" s="678">
        <f>AA385</f>
        <v/>
      </c>
      <c r="AE385" s="682" t="inlineStr">
        <is>
          <t>ENGAGE</t>
        </is>
      </c>
      <c r="AF385" s="681" t="n"/>
      <c r="AG385" s="678" t="n"/>
      <c r="AH385" s="678" t="n"/>
      <c r="AI385" s="678" t="n"/>
      <c r="AJ385" s="678" t="n"/>
      <c r="AK385" s="683" t="n"/>
      <c r="AL385" s="683" t="n"/>
      <c r="AM385" s="681" t="inlineStr">
        <is>
          <t>R.A.S</t>
        </is>
      </c>
    </row>
    <row r="386" ht="32" customHeight="1" s="392">
      <c r="A386" s="672" t="n">
        <v>2026</v>
      </c>
      <c r="B386" s="673" t="inlineStr">
        <is>
          <t>DJURIDIQUE</t>
        </is>
      </c>
      <c r="C386" s="673" t="inlineStr">
        <is>
          <t>EXCLUSIVITÉ</t>
        </is>
      </c>
      <c r="D386" s="672" t="inlineStr">
        <is>
          <t>CONTRAT</t>
        </is>
      </c>
      <c r="E386" s="672" t="n">
        <v>1</v>
      </c>
      <c r="F386" s="674" t="inlineStr">
        <is>
          <t>Cotisation annuelle de l’URTI au titre de l’année 2026</t>
        </is>
      </c>
      <c r="G386" s="675" t="inlineStr">
        <is>
          <t>VALIDE</t>
        </is>
      </c>
      <c r="H386" s="672" t="inlineStr">
        <is>
          <t>APPROUVE</t>
        </is>
      </c>
      <c r="I386" s="672" t="inlineStr">
        <is>
          <t>26000048CT</t>
        </is>
      </c>
      <c r="J386" s="675" t="inlineStr">
        <is>
          <t>NON CONCERNE</t>
        </is>
      </c>
      <c r="K386" s="672" t="inlineStr">
        <is>
          <t>Ordinaire</t>
        </is>
      </c>
      <c r="L386" s="676" t="inlineStr">
        <is>
          <t>FONCTIONNEMENT</t>
        </is>
      </c>
      <c r="M386" s="676" t="inlineStr">
        <is>
          <t>Redevances et cotisations</t>
        </is>
      </c>
      <c r="N386" s="677" t="n"/>
      <c r="O386" s="678" t="n"/>
      <c r="P386" s="678" t="n"/>
      <c r="Q386" s="672" t="inlineStr">
        <is>
          <t>RECONDUCTION</t>
        </is>
      </c>
      <c r="R386" s="679" t="n"/>
      <c r="S386" s="680" t="n"/>
      <c r="T386" s="681" t="inlineStr">
        <is>
          <t>URTI</t>
        </is>
      </c>
      <c r="U386" s="672" t="n">
        <v>2026</v>
      </c>
      <c r="V386" s="680" t="n">
        <v>46028</v>
      </c>
      <c r="W386" s="680" t="n"/>
      <c r="X386" s="680" t="n">
        <v>46028</v>
      </c>
      <c r="Y386" s="677" t="n">
        <v>67722.48</v>
      </c>
      <c r="Z386" s="678" t="n">
        <v>6300</v>
      </c>
      <c r="AA386" s="678">
        <f>Y386</f>
        <v/>
      </c>
      <c r="AB386" s="678" t="n">
        <v>6300</v>
      </c>
      <c r="AC386" s="678">
        <f>AA386</f>
        <v/>
      </c>
      <c r="AD386" s="678">
        <f>AA386</f>
        <v/>
      </c>
      <c r="AE386" s="682" t="inlineStr">
        <is>
          <t>ENGAGE</t>
        </is>
      </c>
      <c r="AF386" s="681" t="n"/>
      <c r="AG386" s="678" t="n"/>
      <c r="AH386" s="678" t="n"/>
      <c r="AI386" s="678" t="n"/>
      <c r="AJ386" s="678" t="n"/>
      <c r="AK386" s="683" t="n"/>
      <c r="AL386" s="683" t="n"/>
      <c r="AM386" s="681" t="inlineStr">
        <is>
          <t>R.A.S</t>
        </is>
      </c>
    </row>
    <row r="387" ht="32" customHeight="1" s="392">
      <c r="A387" s="672" t="n">
        <v>2026</v>
      </c>
      <c r="B387" s="673" t="inlineStr">
        <is>
          <t>DJURIDIQUE</t>
        </is>
      </c>
      <c r="C387" s="673" t="inlineStr">
        <is>
          <t>EXCLUSIVITÉ</t>
        </is>
      </c>
      <c r="D387" s="672" t="inlineStr">
        <is>
          <t>CONTRAT</t>
        </is>
      </c>
      <c r="E387" s="672" t="n">
        <v>1</v>
      </c>
      <c r="F387" s="674" t="inlineStr">
        <is>
          <t>Cotisation annuelle 2026</t>
        </is>
      </c>
      <c r="G387" s="675" t="inlineStr">
        <is>
          <t>VALIDE</t>
        </is>
      </c>
      <c r="H387" s="672" t="inlineStr">
        <is>
          <t>APPROUVE</t>
        </is>
      </c>
      <c r="I387" s="672" t="inlineStr">
        <is>
          <t>26000035CT</t>
        </is>
      </c>
      <c r="J387" s="675" t="inlineStr">
        <is>
          <t>NON CONCERNE</t>
        </is>
      </c>
      <c r="K387" s="672" t="inlineStr">
        <is>
          <t>Ordinaire</t>
        </is>
      </c>
      <c r="L387" s="676" t="inlineStr">
        <is>
          <t>FONCTIONNEMENT</t>
        </is>
      </c>
      <c r="M387" s="676" t="inlineStr">
        <is>
          <t>Redevances et cotisations</t>
        </is>
      </c>
      <c r="N387" s="677" t="n"/>
      <c r="O387" s="678" t="n"/>
      <c r="P387" s="678" t="n"/>
      <c r="Q387" s="672" t="inlineStr">
        <is>
          <t>RECONDUCTION</t>
        </is>
      </c>
      <c r="R387" s="679" t="n"/>
      <c r="S387" s="680" t="n"/>
      <c r="T387" s="681" t="inlineStr">
        <is>
          <t>COPEAM</t>
        </is>
      </c>
      <c r="U387" s="672" t="n">
        <v>2026</v>
      </c>
      <c r="V387" s="680" t="n">
        <v>46027</v>
      </c>
      <c r="W387" s="680" t="n"/>
      <c r="X387" s="680" t="n">
        <v>46027</v>
      </c>
      <c r="Y387" s="677" t="n">
        <v>139287.2</v>
      </c>
      <c r="Z387" s="678" t="n">
        <v>13000</v>
      </c>
      <c r="AA387" s="678">
        <f>Y387</f>
        <v/>
      </c>
      <c r="AB387" s="678">
        <f>Z387</f>
        <v/>
      </c>
      <c r="AC387" s="678">
        <f>AA387</f>
        <v/>
      </c>
      <c r="AD387" s="678">
        <f>AA387</f>
        <v/>
      </c>
      <c r="AE387" s="682" t="inlineStr">
        <is>
          <t>ENGAGE</t>
        </is>
      </c>
      <c r="AF387" s="681" t="n"/>
      <c r="AG387" s="678" t="n"/>
      <c r="AH387" s="678" t="n"/>
      <c r="AI387" s="678" t="n"/>
      <c r="AJ387" s="678" t="n"/>
      <c r="AK387" s="683" t="n"/>
      <c r="AL387" s="683" t="n"/>
      <c r="AM387" s="681" t="inlineStr">
        <is>
          <t>R.A.S</t>
        </is>
      </c>
    </row>
    <row r="388" ht="35.7" customHeight="1" s="392">
      <c r="A388" s="672" t="n">
        <v>2026</v>
      </c>
      <c r="B388" s="673" t="inlineStr">
        <is>
          <t>DPMG</t>
        </is>
      </c>
      <c r="C388" s="673" t="inlineStr">
        <is>
          <t>02AOM/SNRT</t>
        </is>
      </c>
      <c r="D388" s="672" t="inlineStr">
        <is>
          <t>AOO-M</t>
        </is>
      </c>
      <c r="E388" s="672" t="n">
        <v>1</v>
      </c>
      <c r="F388" s="674" t="inlineStr">
        <is>
          <t>Achat de fourniture de Bureau destiné à la SNRT</t>
        </is>
      </c>
      <c r="G388" s="675" t="inlineStr">
        <is>
          <t>VALIDE</t>
        </is>
      </c>
      <c r="H388" s="672" t="inlineStr">
        <is>
          <t>APPROUVE</t>
        </is>
      </c>
      <c r="I388" s="691" t="n"/>
      <c r="J388" s="675" t="inlineStr">
        <is>
          <t>PME</t>
        </is>
      </c>
      <c r="K388" s="672" t="inlineStr">
        <is>
          <t>Ordinaire</t>
        </is>
      </c>
      <c r="L388" s="676" t="inlineStr">
        <is>
          <t>FONCTIONNEMENT</t>
        </is>
      </c>
      <c r="M388" s="676" t="inlineStr">
        <is>
          <t>Achats de matières et fournitures consommables</t>
        </is>
      </c>
      <c r="N388" s="677">
        <f>O388*1.2</f>
        <v/>
      </c>
      <c r="O388" s="678" t="n">
        <v>347478.62</v>
      </c>
      <c r="P388" s="678">
        <f>O388/1.2</f>
        <v/>
      </c>
      <c r="Q388" s="672" t="inlineStr">
        <is>
          <t>BESOIN RECURRENT</t>
        </is>
      </c>
      <c r="R388" s="679" t="n"/>
      <c r="S388" s="680" t="n"/>
      <c r="T388" s="681" t="inlineStr">
        <is>
          <t>EQUIPEMENT GHAZIA</t>
        </is>
      </c>
      <c r="U388" s="672" t="n"/>
      <c r="V388" s="680" t="n">
        <v>46085</v>
      </c>
      <c r="W388" s="680" t="n">
        <v>46087</v>
      </c>
      <c r="X388" s="680" t="n">
        <v>46157</v>
      </c>
      <c r="Y388" s="677" t="n">
        <v>253381</v>
      </c>
      <c r="Z388" s="678" t="n">
        <v>0</v>
      </c>
      <c r="AA388" s="678" t="n">
        <v>304057.2</v>
      </c>
      <c r="AB388" s="678" t="n">
        <v>0</v>
      </c>
      <c r="AC388" s="678">
        <f>+Y388</f>
        <v/>
      </c>
      <c r="AD388" s="678">
        <f>+AA388</f>
        <v/>
      </c>
      <c r="AE388" s="682" t="inlineStr">
        <is>
          <t>ENGAGE</t>
        </is>
      </c>
      <c r="AF388" s="681" t="n"/>
      <c r="AG388" s="678" t="n"/>
      <c r="AH388" s="678" t="n"/>
      <c r="AI388" s="678" t="n"/>
      <c r="AJ388" s="678" t="n"/>
      <c r="AK388" s="683" t="n"/>
      <c r="AL388" s="683" t="n"/>
      <c r="AM388" s="681" t="inlineStr">
        <is>
          <t>R.A.S</t>
        </is>
      </c>
    </row>
    <row r="389" ht="35.7" customHeight="1" s="392">
      <c r="A389" s="672" t="n">
        <v>2026</v>
      </c>
      <c r="B389" s="673" t="inlineStr">
        <is>
          <t>DPMG</t>
        </is>
      </c>
      <c r="C389" s="673" t="inlineStr">
        <is>
          <t>02AOM/SNRT</t>
        </is>
      </c>
      <c r="D389" s="672" t="inlineStr">
        <is>
          <t>AOO-M</t>
        </is>
      </c>
      <c r="E389" s="672" t="n">
        <v>2</v>
      </c>
      <c r="F389" s="674" t="inlineStr">
        <is>
          <t>Achat de Papier Fort A4 destiné à la SNRT</t>
        </is>
      </c>
      <c r="G389" s="675" t="inlineStr">
        <is>
          <t>VALIDE</t>
        </is>
      </c>
      <c r="H389" s="672" t="inlineStr">
        <is>
          <t>APPROUVE</t>
        </is>
      </c>
      <c r="I389" s="691" t="n"/>
      <c r="J389" s="675" t="inlineStr">
        <is>
          <t>PME</t>
        </is>
      </c>
      <c r="K389" s="672" t="inlineStr">
        <is>
          <t>Ordinaire</t>
        </is>
      </c>
      <c r="L389" s="676" t="inlineStr">
        <is>
          <t>FONCTIONNEMENT</t>
        </is>
      </c>
      <c r="M389" s="676" t="inlineStr">
        <is>
          <t>Achats de matières et fournitures consommables</t>
        </is>
      </c>
      <c r="N389" s="677">
        <f>O389*1.2</f>
        <v/>
      </c>
      <c r="O389" s="678" t="n">
        <v>300000</v>
      </c>
      <c r="P389" s="678">
        <f>O389/1.2</f>
        <v/>
      </c>
      <c r="Q389" s="672" t="inlineStr">
        <is>
          <t>BESOIN RECURRENT</t>
        </is>
      </c>
      <c r="R389" s="679" t="n"/>
      <c r="S389" s="680" t="n"/>
      <c r="T389" s="681" t="inlineStr">
        <is>
          <t>PRINTYMA</t>
        </is>
      </c>
      <c r="U389" s="672" t="n"/>
      <c r="V389" s="680" t="n">
        <v>46085</v>
      </c>
      <c r="W389" s="680" t="n">
        <v>46087</v>
      </c>
      <c r="X389" s="680" t="n"/>
      <c r="Y389" s="677">
        <f>AC389</f>
        <v/>
      </c>
      <c r="Z389" s="678" t="n">
        <v>0</v>
      </c>
      <c r="AA389" s="678">
        <f>AD389</f>
        <v/>
      </c>
      <c r="AB389" s="678" t="n">
        <v>0</v>
      </c>
      <c r="AC389" s="678">
        <f>AD389/1.2</f>
        <v/>
      </c>
      <c r="AD389" s="678" t="n">
        <v>240000</v>
      </c>
      <c r="AE389" s="682" t="inlineStr">
        <is>
          <t>ENGAGE</t>
        </is>
      </c>
      <c r="AF389" s="681" t="n"/>
      <c r="AG389" s="678" t="n"/>
      <c r="AH389" s="678" t="n"/>
      <c r="AI389" s="678" t="n"/>
      <c r="AJ389" s="678" t="n"/>
      <c r="AK389" s="683" t="n"/>
      <c r="AL389" s="683" t="n"/>
      <c r="AM389" s="681" t="inlineStr">
        <is>
          <t>R.A.S</t>
        </is>
      </c>
    </row>
    <row r="390" ht="35.7" customHeight="1" s="392">
      <c r="A390" s="672" t="n">
        <v>2026</v>
      </c>
      <c r="B390" s="673" t="inlineStr">
        <is>
          <t>ARRIYADIA</t>
        </is>
      </c>
      <c r="C390" s="673" t="inlineStr">
        <is>
          <t>RECONDUCTION</t>
        </is>
      </c>
      <c r="D390" s="672" t="inlineStr">
        <is>
          <t>CONTRAT</t>
        </is>
      </c>
      <c r="E390" s="672" t="n">
        <v>1</v>
      </c>
      <c r="F390" s="674" t="inlineStr">
        <is>
          <t>Contrats conclus avec la FRM d’ESCRIME</t>
        </is>
      </c>
      <c r="G390" s="675" t="inlineStr">
        <is>
          <t>VALIDE</t>
        </is>
      </c>
      <c r="H390" s="672" t="inlineStr">
        <is>
          <t>APPROUVE</t>
        </is>
      </c>
      <c r="I390" s="672" t="inlineStr">
        <is>
          <t>01-SNRT/FRMES-2026</t>
        </is>
      </c>
      <c r="J390" s="675" t="inlineStr">
        <is>
          <t>NON CONCERNE</t>
        </is>
      </c>
      <c r="K390" s="672" t="inlineStr">
        <is>
          <t>Ordinaire</t>
        </is>
      </c>
      <c r="L390" s="676" t="inlineStr">
        <is>
          <t>FONCTIONNEMENT</t>
        </is>
      </c>
      <c r="M390" s="676" t="inlineStr">
        <is>
          <t>Achats de droits
Achats de droit de sport</t>
        </is>
      </c>
      <c r="N390" s="677" t="n"/>
      <c r="O390" s="678" t="n"/>
      <c r="P390" s="678" t="n"/>
      <c r="Q390" s="672" t="inlineStr">
        <is>
          <t>RECONDUCTION</t>
        </is>
      </c>
      <c r="R390" s="679" t="n"/>
      <c r="S390" s="680" t="n"/>
      <c r="T390" s="681" t="inlineStr">
        <is>
          <t>FRM d’ESCRIME</t>
        </is>
      </c>
      <c r="U390" s="672" t="n">
        <v>2026</v>
      </c>
      <c r="V390" s="680" t="n">
        <v>46041</v>
      </c>
      <c r="W390" s="680" t="n"/>
      <c r="X390" s="680" t="n">
        <v>46042</v>
      </c>
      <c r="Y390" s="677" t="n">
        <v>250000</v>
      </c>
      <c r="Z390" s="678" t="n">
        <v>0</v>
      </c>
      <c r="AA390" s="678">
        <f>+Y390</f>
        <v/>
      </c>
      <c r="AB390" s="678" t="n">
        <v>0</v>
      </c>
      <c r="AC390" s="678">
        <f>+AA390</f>
        <v/>
      </c>
      <c r="AD390" s="678">
        <f>+AC390</f>
        <v/>
      </c>
      <c r="AE390" s="682" t="inlineStr">
        <is>
          <t>ENGAGE</t>
        </is>
      </c>
      <c r="AF390" s="681" t="n"/>
      <c r="AG390" s="678" t="n"/>
      <c r="AH390" s="678" t="n"/>
      <c r="AI390" s="678" t="n"/>
      <c r="AJ390" s="678" t="n"/>
      <c r="AK390" s="683" t="n"/>
      <c r="AL390" s="683" t="n"/>
      <c r="AM390" s="681" t="inlineStr">
        <is>
          <t>R.A.S</t>
        </is>
      </c>
    </row>
    <row r="391" ht="35.7" customHeight="1" s="392">
      <c r="A391" s="672" t="n">
        <v>2026</v>
      </c>
      <c r="B391" s="673" t="inlineStr">
        <is>
          <t>ARRIYADIA</t>
        </is>
      </c>
      <c r="C391" s="673" t="inlineStr">
        <is>
          <t>RECONDUCTION</t>
        </is>
      </c>
      <c r="D391" s="672" t="inlineStr">
        <is>
          <t>CONTRAT</t>
        </is>
      </c>
      <c r="E391" s="672" t="n">
        <v>1</v>
      </c>
      <c r="F391" s="674" t="inlineStr">
        <is>
          <t>Contrats conclus avec la FRM DE TENNIS</t>
        </is>
      </c>
      <c r="G391" s="675" t="inlineStr">
        <is>
          <t>VALIDE</t>
        </is>
      </c>
      <c r="H391" s="672" t="inlineStr">
        <is>
          <t>APPROUVE</t>
        </is>
      </c>
      <c r="I391" s="672" t="inlineStr">
        <is>
          <t>01-SNRT/FRMT-2026</t>
        </is>
      </c>
      <c r="J391" s="675" t="inlineStr">
        <is>
          <t>NON CONCERNE</t>
        </is>
      </c>
      <c r="K391" s="672" t="inlineStr">
        <is>
          <t>Ordinaire</t>
        </is>
      </c>
      <c r="L391" s="676" t="inlineStr">
        <is>
          <t>FONCTIONNEMENT</t>
        </is>
      </c>
      <c r="M391" s="676" t="inlineStr">
        <is>
          <t>Achats de droits
Achats de droit de sport</t>
        </is>
      </c>
      <c r="N391" s="677" t="n"/>
      <c r="O391" s="678" t="n"/>
      <c r="P391" s="678" t="n"/>
      <c r="Q391" s="672" t="inlineStr">
        <is>
          <t>RECONDUCTION</t>
        </is>
      </c>
      <c r="R391" s="679" t="n"/>
      <c r="S391" s="680" t="n"/>
      <c r="T391" s="681" t="inlineStr">
        <is>
          <t>FRM DE TENNIS</t>
        </is>
      </c>
      <c r="U391" s="672" t="n">
        <v>2026</v>
      </c>
      <c r="V391" s="680" t="n">
        <v>46086</v>
      </c>
      <c r="W391" s="680" t="n"/>
      <c r="X391" s="680" t="n">
        <v>46106</v>
      </c>
      <c r="Y391" s="677" t="n">
        <v>1800000</v>
      </c>
      <c r="Z391" s="678" t="n">
        <v>0</v>
      </c>
      <c r="AA391" s="678" t="n">
        <v>1800000</v>
      </c>
      <c r="AB391" s="678" t="n">
        <v>0</v>
      </c>
      <c r="AC391" s="678">
        <f>Y391</f>
        <v/>
      </c>
      <c r="AD391" s="678">
        <f>AA391</f>
        <v/>
      </c>
      <c r="AE391" s="682" t="inlineStr">
        <is>
          <t>ENGAGE</t>
        </is>
      </c>
      <c r="AF391" s="681" t="n"/>
      <c r="AG391" s="678" t="n"/>
      <c r="AH391" s="678" t="n"/>
      <c r="AI391" s="678" t="n"/>
      <c r="AJ391" s="678" t="n"/>
      <c r="AK391" s="683" t="n"/>
      <c r="AL391" s="683" t="n"/>
      <c r="AM391" s="681" t="inlineStr">
        <is>
          <t>R.A.S</t>
        </is>
      </c>
    </row>
    <row r="392" ht="35.7" customHeight="1" s="392">
      <c r="A392" s="672" t="n">
        <v>2026</v>
      </c>
      <c r="B392" s="673" t="inlineStr">
        <is>
          <t>ARRIYADIA</t>
        </is>
      </c>
      <c r="C392" s="673" t="inlineStr">
        <is>
          <t>RECONDUCTION</t>
        </is>
      </c>
      <c r="D392" s="672" t="inlineStr">
        <is>
          <t>CONTRAT</t>
        </is>
      </c>
      <c r="E392" s="672" t="n">
        <v>1</v>
      </c>
      <c r="F392" s="674" t="inlineStr">
        <is>
          <t>Contrats conclus avec la FRM DE KARATE</t>
        </is>
      </c>
      <c r="G392" s="675" t="inlineStr">
        <is>
          <t>VALIDE</t>
        </is>
      </c>
      <c r="H392" s="672" t="inlineStr">
        <is>
          <t>APPROUVE</t>
        </is>
      </c>
      <c r="I392" s="672" t="inlineStr">
        <is>
          <t>01-SNRT/FRMK-2026</t>
        </is>
      </c>
      <c r="J392" s="675" t="inlineStr">
        <is>
          <t>NON CONCERNE</t>
        </is>
      </c>
      <c r="K392" s="672" t="inlineStr">
        <is>
          <t>Ordinaire</t>
        </is>
      </c>
      <c r="L392" s="676" t="inlineStr">
        <is>
          <t>FONCTIONNEMENT</t>
        </is>
      </c>
      <c r="M392" s="676" t="inlineStr">
        <is>
          <t>Achats de droits
Achats de droit de sport</t>
        </is>
      </c>
      <c r="N392" s="677" t="n"/>
      <c r="O392" s="678" t="n"/>
      <c r="P392" s="678" t="n"/>
      <c r="Q392" s="672" t="inlineStr">
        <is>
          <t>RECONDUCTION</t>
        </is>
      </c>
      <c r="R392" s="679" t="n"/>
      <c r="S392" s="680" t="n"/>
      <c r="T392" s="681" t="inlineStr">
        <is>
          <t>FRM DE KARATE</t>
        </is>
      </c>
      <c r="U392" s="672" t="n">
        <v>2026</v>
      </c>
      <c r="V392" s="680" t="n">
        <v>46056</v>
      </c>
      <c r="W392" s="680" t="n"/>
      <c r="X392" s="680" t="n">
        <v>46057</v>
      </c>
      <c r="Y392" s="677" t="n">
        <v>1400000</v>
      </c>
      <c r="Z392" s="678" t="n">
        <v>0</v>
      </c>
      <c r="AA392" s="678" t="n">
        <v>1400000</v>
      </c>
      <c r="AB392" s="678" t="n">
        <v>0</v>
      </c>
      <c r="AC392" s="678">
        <f>Y392</f>
        <v/>
      </c>
      <c r="AD392" s="678">
        <f>AA392</f>
        <v/>
      </c>
      <c r="AE392" s="682" t="inlineStr">
        <is>
          <t>ENGAGE</t>
        </is>
      </c>
      <c r="AF392" s="681" t="n"/>
      <c r="AG392" s="678" t="n"/>
      <c r="AH392" s="678" t="n"/>
      <c r="AI392" s="678" t="n"/>
      <c r="AJ392" s="678" t="n"/>
      <c r="AK392" s="683" t="n"/>
      <c r="AL392" s="683" t="n"/>
      <c r="AM392" s="681" t="inlineStr">
        <is>
          <t>R.A.S</t>
        </is>
      </c>
    </row>
    <row r="393" ht="50.55" customHeight="1" s="392">
      <c r="A393" s="672" t="n">
        <v>2026</v>
      </c>
      <c r="B393" s="673" t="inlineStr">
        <is>
          <t>ARRIYADIA</t>
        </is>
      </c>
      <c r="C393" s="673" t="inlineStr">
        <is>
          <t>EXCLUSIVITÉ</t>
        </is>
      </c>
      <c r="D393" s="672" t="inlineStr">
        <is>
          <t>CONTRAT</t>
        </is>
      </c>
      <c r="E393" s="672" t="n">
        <v>1</v>
      </c>
      <c r="F393" s="674" t="inlineStr">
        <is>
          <t>Frais technique de production des matches amicaux MAROC vs EQUATEUR et MAROC vs PARAGUAY</t>
        </is>
      </c>
      <c r="G393" s="675" t="inlineStr">
        <is>
          <t>VALIDE</t>
        </is>
      </c>
      <c r="H393" s="672" t="inlineStr">
        <is>
          <t>APPROUVE</t>
        </is>
      </c>
      <c r="I393" s="672" t="inlineStr">
        <is>
          <t>01-SNRT-MEDIALUSO-2026</t>
        </is>
      </c>
      <c r="J393" s="675" t="inlineStr">
        <is>
          <t>NON CONCERNE</t>
        </is>
      </c>
      <c r="K393" s="672" t="inlineStr">
        <is>
          <t>Ordinaire</t>
        </is>
      </c>
      <c r="L393" s="676" t="inlineStr">
        <is>
          <t>FONCTIONNEMENT</t>
        </is>
      </c>
      <c r="M393" s="676" t="inlineStr">
        <is>
          <t>Prestation de services
Achat prestations de services locales - sociétés</t>
        </is>
      </c>
      <c r="N393" s="677" t="n"/>
      <c r="O393" s="678" t="n"/>
      <c r="P393" s="678" t="n"/>
      <c r="Q393" s="672" t="inlineStr">
        <is>
          <t>NOUVEAU BESOIN</t>
        </is>
      </c>
      <c r="R393" s="679" t="n"/>
      <c r="S393" s="680" t="n"/>
      <c r="T393" s="681" t="inlineStr">
        <is>
          <t>MEDIALUSO</t>
        </is>
      </c>
      <c r="U393" s="672" t="n">
        <v>2026</v>
      </c>
      <c r="V393" s="680" t="n">
        <v>46084</v>
      </c>
      <c r="W393" s="680" t="n"/>
      <c r="X393" s="680" t="n">
        <v>46091</v>
      </c>
      <c r="Y393" s="677" t="n">
        <v>777671.4</v>
      </c>
      <c r="Z393" s="678" t="n">
        <v>71940</v>
      </c>
      <c r="AA393" s="678">
        <f>Y393</f>
        <v/>
      </c>
      <c r="AB393" s="678" t="n">
        <v>71940</v>
      </c>
      <c r="AC393" s="678">
        <f>AA393</f>
        <v/>
      </c>
      <c r="AD393" s="678">
        <f>AA393</f>
        <v/>
      </c>
      <c r="AE393" s="682" t="inlineStr">
        <is>
          <t>ENGAGE</t>
        </is>
      </c>
      <c r="AF393" s="681" t="n"/>
      <c r="AG393" s="678" t="n"/>
      <c r="AH393" s="678" t="n"/>
      <c r="AI393" s="678" t="n"/>
      <c r="AJ393" s="678" t="n"/>
      <c r="AK393" s="683" t="n"/>
      <c r="AL393" s="683" t="n"/>
      <c r="AM393" s="681" t="inlineStr">
        <is>
          <t>R.A.S</t>
        </is>
      </c>
    </row>
    <row r="394" ht="54.6" customHeight="1" s="392">
      <c r="A394" s="672" t="n">
        <v>2026</v>
      </c>
      <c r="B394" s="673" t="inlineStr">
        <is>
          <t>DMPTV</t>
        </is>
      </c>
      <c r="C394" s="673" t="inlineStr">
        <is>
          <t>EXCLUSIVITÉ</t>
        </is>
      </c>
      <c r="D394" s="672" t="inlineStr">
        <is>
          <t>CONTRAT</t>
        </is>
      </c>
      <c r="E394" s="672" t="n"/>
      <c r="F394" s="674" t="inlineStr">
        <is>
          <t>Souscription par la SNRT au service de mesures d’audience Radiomat, ainsi que la souscription au service bandes annonce</t>
        </is>
      </c>
      <c r="G394" s="675" t="inlineStr">
        <is>
          <t>VALIDE</t>
        </is>
      </c>
      <c r="H394" s="672" t="inlineStr">
        <is>
          <t>APPROUVE</t>
        </is>
      </c>
      <c r="I394" s="672" t="inlineStr">
        <is>
          <t>002/2026</t>
        </is>
      </c>
      <c r="J394" s="675" t="inlineStr">
        <is>
          <t>NON CONCERNE</t>
        </is>
      </c>
      <c r="K394" s="672" t="inlineStr">
        <is>
          <t>Ordinaire</t>
        </is>
      </c>
      <c r="L394" s="676" t="inlineStr">
        <is>
          <t>FONCTIONNEMENT</t>
        </is>
      </c>
      <c r="M394" s="676" t="inlineStr">
        <is>
          <t>Redevances et cotisations</t>
        </is>
      </c>
      <c r="N394" s="677" t="n"/>
      <c r="O394" s="678" t="n"/>
      <c r="P394" s="678" t="n"/>
      <c r="Q394" s="672" t="inlineStr">
        <is>
          <t>RECONDUCTION</t>
        </is>
      </c>
      <c r="R394" s="679" t="n"/>
      <c r="S394" s="680" t="n"/>
      <c r="T394" s="681" t="inlineStr">
        <is>
          <t>MAROCMETRIE</t>
        </is>
      </c>
      <c r="U394" s="672" t="n">
        <v>2026</v>
      </c>
      <c r="V394" s="680" t="n">
        <v>46387</v>
      </c>
      <c r="W394" s="680" t="n"/>
      <c r="X394" s="680" t="n">
        <v>46024</v>
      </c>
      <c r="Y394" s="677" t="n">
        <v>95000</v>
      </c>
      <c r="Z394" s="678" t="n"/>
      <c r="AA394" s="678" t="n">
        <v>114000</v>
      </c>
      <c r="AB394" s="678" t="n"/>
      <c r="AC394" s="678">
        <f>Y394</f>
        <v/>
      </c>
      <c r="AD394" s="678">
        <f>AA394</f>
        <v/>
      </c>
      <c r="AE394" s="682" t="inlineStr">
        <is>
          <t>ENGAGE</t>
        </is>
      </c>
      <c r="AF394" s="681" t="n"/>
      <c r="AG394" s="678" t="n"/>
      <c r="AH394" s="678" t="n"/>
      <c r="AI394" s="678" t="n"/>
      <c r="AJ394" s="678" t="n"/>
      <c r="AK394" s="683" t="n"/>
      <c r="AL394" s="683" t="n"/>
      <c r="AM394" s="681" t="n"/>
    </row>
    <row r="395" ht="50.55" customHeight="1" s="392">
      <c r="A395" s="672" t="n">
        <v>2026</v>
      </c>
      <c r="B395" s="673" t="inlineStr">
        <is>
          <t>DPMG</t>
        </is>
      </c>
      <c r="C395" s="673" t="inlineStr">
        <is>
          <t>12AOM/SNRT</t>
        </is>
      </c>
      <c r="D395" s="672" t="inlineStr">
        <is>
          <t>AOO-M</t>
        </is>
      </c>
      <c r="E395" s="672" t="n">
        <v>1</v>
      </c>
      <c r="F395" s="674" t="inlineStr">
        <is>
          <t>Désherbage des sites de la snrt : TEMARA et ZAER</t>
        </is>
      </c>
      <c r="G395" s="675" t="inlineStr">
        <is>
          <t>VALIDE</t>
        </is>
      </c>
      <c r="H395" s="672" t="inlineStr">
        <is>
          <t>ATTRIBUE</t>
        </is>
      </c>
      <c r="I395" s="672" t="inlineStr">
        <is>
          <t>14M/2026</t>
        </is>
      </c>
      <c r="J395" s="675" t="inlineStr">
        <is>
          <t>PME</t>
        </is>
      </c>
      <c r="K395" s="672" t="inlineStr">
        <is>
          <t>Ordinaire</t>
        </is>
      </c>
      <c r="L395" s="676" t="inlineStr">
        <is>
          <t>FONCTIONNEMENT</t>
        </is>
      </c>
      <c r="M395" s="676" t="inlineStr">
        <is>
          <t>Prestations de service
Achat prestations de services locales - sociétés</t>
        </is>
      </c>
      <c r="N395" s="677">
        <f>O395*1.2</f>
        <v/>
      </c>
      <c r="O395" s="678" t="n">
        <v>126000</v>
      </c>
      <c r="P395" s="678">
        <f>O395/1.2</f>
        <v/>
      </c>
      <c r="Q395" s="672" t="inlineStr">
        <is>
          <t>BESOIN RECURRENT</t>
        </is>
      </c>
      <c r="R395" s="679" t="n"/>
      <c r="S395" s="680" t="n"/>
      <c r="T395" s="681" t="inlineStr">
        <is>
          <t>CCOPERATIVE COOPVERT</t>
        </is>
      </c>
      <c r="U395" s="672" t="n"/>
      <c r="V395" s="680" t="n">
        <v>46066</v>
      </c>
      <c r="W395" s="680" t="n">
        <v>46084</v>
      </c>
      <c r="X395" s="680" t="n">
        <v>46163</v>
      </c>
      <c r="Y395" s="677">
        <f>AA395/1.2</f>
        <v/>
      </c>
      <c r="Z395" s="678" t="n">
        <v>0</v>
      </c>
      <c r="AA395" s="678" t="n">
        <v>94200</v>
      </c>
      <c r="AB395" s="678" t="n">
        <v>0</v>
      </c>
      <c r="AC395" s="678">
        <f>Y395</f>
        <v/>
      </c>
      <c r="AD395" s="678">
        <f>AA395</f>
        <v/>
      </c>
      <c r="AE395" s="682" t="inlineStr">
        <is>
          <t>ENGAGE</t>
        </is>
      </c>
      <c r="AF395" s="681" t="n"/>
      <c r="AG395" s="678" t="n"/>
      <c r="AH395" s="678" t="n"/>
      <c r="AI395" s="678" t="n"/>
      <c r="AJ395" s="678" t="n"/>
      <c r="AK395" s="683" t="n"/>
      <c r="AL395" s="683" t="n"/>
      <c r="AM395" s="681" t="inlineStr">
        <is>
          <t>R.A.S</t>
        </is>
      </c>
    </row>
    <row r="396" ht="50.55" customHeight="1" s="392">
      <c r="A396" s="672" t="n">
        <v>2026</v>
      </c>
      <c r="B396" s="673" t="inlineStr">
        <is>
          <t>DPMG</t>
        </is>
      </c>
      <c r="C396" s="673" t="inlineStr">
        <is>
          <t>12AOM/SNRT</t>
        </is>
      </c>
      <c r="D396" s="672" t="inlineStr">
        <is>
          <t>AOO-M</t>
        </is>
      </c>
      <c r="E396" s="672" t="n">
        <v>2</v>
      </c>
      <c r="F396" s="674" t="inlineStr">
        <is>
          <t>Désherbage des sites de la snrt : Casablanca (Ain Chok et Roche noire)</t>
        </is>
      </c>
      <c r="G396" s="675" t="inlineStr">
        <is>
          <t>VALIDE</t>
        </is>
      </c>
      <c r="H396" s="672" t="inlineStr">
        <is>
          <t>APPROUVE</t>
        </is>
      </c>
      <c r="I396" s="672" t="inlineStr">
        <is>
          <t>13M/2026</t>
        </is>
      </c>
      <c r="J396" s="675" t="inlineStr">
        <is>
          <t>PME</t>
        </is>
      </c>
      <c r="K396" s="672" t="inlineStr">
        <is>
          <t>Ordinaire</t>
        </is>
      </c>
      <c r="L396" s="676" t="inlineStr">
        <is>
          <t>FONCTIONNEMENT</t>
        </is>
      </c>
      <c r="M396" s="676" t="inlineStr">
        <is>
          <t>Prestations de service
Achat prestations de services locales - sociétés</t>
        </is>
      </c>
      <c r="N396" s="677">
        <f>O396*1.2</f>
        <v/>
      </c>
      <c r="O396" s="678" t="n">
        <v>116400</v>
      </c>
      <c r="P396" s="678">
        <f>O396/1.2</f>
        <v/>
      </c>
      <c r="Q396" s="672" t="inlineStr">
        <is>
          <t>BESOIN RECURRENT</t>
        </is>
      </c>
      <c r="R396" s="679" t="n"/>
      <c r="S396" s="680" t="n"/>
      <c r="T396" s="681" t="inlineStr">
        <is>
          <t>LAZI VERT</t>
        </is>
      </c>
      <c r="U396" s="672" t="n">
        <v>2026</v>
      </c>
      <c r="V396" s="680" t="n">
        <v>46066</v>
      </c>
      <c r="W396" s="680" t="n">
        <v>46084</v>
      </c>
      <c r="X396" s="680" t="n">
        <v>46153</v>
      </c>
      <c r="Y396" s="677">
        <f>AA396/1.2</f>
        <v/>
      </c>
      <c r="Z396" s="678" t="n">
        <v>0</v>
      </c>
      <c r="AA396" s="678" t="n">
        <v>90000</v>
      </c>
      <c r="AB396" s="678" t="n">
        <v>0</v>
      </c>
      <c r="AC396" s="678">
        <f>Y396</f>
        <v/>
      </c>
      <c r="AD396" s="678">
        <f>AA396</f>
        <v/>
      </c>
      <c r="AE396" s="682" t="inlineStr">
        <is>
          <t>ENGAGE</t>
        </is>
      </c>
      <c r="AF396" s="681" t="n"/>
      <c r="AG396" s="678" t="n"/>
      <c r="AH396" s="678" t="n"/>
      <c r="AI396" s="678" t="n"/>
      <c r="AJ396" s="678" t="n"/>
      <c r="AK396" s="683" t="n"/>
      <c r="AL396" s="683" t="n"/>
      <c r="AM396" s="681" t="inlineStr">
        <is>
          <t>R.A.S</t>
        </is>
      </c>
    </row>
    <row r="397" ht="70.80000000000001" customHeight="1" s="392">
      <c r="A397" s="672" t="n">
        <v>2026</v>
      </c>
      <c r="B397" s="673" t="inlineStr">
        <is>
          <t>DCPA</t>
        </is>
      </c>
      <c r="C397" s="673" t="inlineStr">
        <is>
          <t>PV N° : 01NV2026-DCPA</t>
        </is>
      </c>
      <c r="D397" s="672" t="inlineStr">
        <is>
          <t>CONTRAT</t>
        </is>
      </c>
      <c r="E397" s="672" t="n">
        <v>1</v>
      </c>
      <c r="F397" s="674" t="inlineStr">
        <is>
          <t>MOULAY DRISS ABOUELFADEL – Préparation, supervision, suivi et rédaction des commentaires pour une nouvelle série documentaire sur l’environnement marin produite en interne</t>
        </is>
      </c>
      <c r="G397" s="675" t="inlineStr">
        <is>
          <t>VALIDE</t>
        </is>
      </c>
      <c r="H397" s="672" t="inlineStr">
        <is>
          <t>APPROUVE</t>
        </is>
      </c>
      <c r="I397" s="691" t="n"/>
      <c r="J397" s="675" t="inlineStr">
        <is>
          <t>NON CONCERNE</t>
        </is>
      </c>
      <c r="K397" s="672" t="inlineStr">
        <is>
          <t>Ordinaire</t>
        </is>
      </c>
      <c r="L397" s="676" t="inlineStr">
        <is>
          <t>FONCTIONNEMENT</t>
        </is>
      </c>
      <c r="M397" s="676" t="inlineStr">
        <is>
          <t xml:space="preserve">Achats de productions et de programmes
Achat des programmes en production interne </t>
        </is>
      </c>
      <c r="N397" s="677" t="n"/>
      <c r="O397" s="678" t="n"/>
      <c r="P397" s="678" t="n"/>
      <c r="Q397" s="672" t="inlineStr">
        <is>
          <t>NOUVEAU BESOIN</t>
        </is>
      </c>
      <c r="R397" s="679" t="n"/>
      <c r="S397" s="680" t="n"/>
      <c r="T397" s="681" t="inlineStr">
        <is>
          <t>MOULAY DRISS ABOUELFADEL</t>
        </is>
      </c>
      <c r="U397" s="672" t="n">
        <v>2026</v>
      </c>
      <c r="V397" s="680" t="n">
        <v>46091</v>
      </c>
      <c r="W397" s="680" t="n"/>
      <c r="X397" s="680" t="n">
        <v>46092</v>
      </c>
      <c r="Y397" s="677" t="n">
        <v>156000</v>
      </c>
      <c r="Z397" s="678" t="n">
        <v>0</v>
      </c>
      <c r="AA397" s="678" t="n">
        <v>156000</v>
      </c>
      <c r="AB397" s="678" t="n">
        <v>0</v>
      </c>
      <c r="AC397" s="678">
        <f>Y397</f>
        <v/>
      </c>
      <c r="AD397" s="678">
        <f>AA397</f>
        <v/>
      </c>
      <c r="AE397" s="682" t="inlineStr">
        <is>
          <t>ENGAGE</t>
        </is>
      </c>
      <c r="AF397" s="681" t="n"/>
      <c r="AG397" s="678" t="n"/>
      <c r="AH397" s="678" t="n"/>
      <c r="AI397" s="678" t="n"/>
      <c r="AJ397" s="678" t="n"/>
      <c r="AK397" s="683" t="n"/>
      <c r="AL397" s="683" t="n"/>
      <c r="AM397" s="681" t="inlineStr">
        <is>
          <t>R.A.S</t>
        </is>
      </c>
    </row>
    <row r="398" ht="38.40000000000001" customHeight="1" s="392">
      <c r="A398" s="672" t="n">
        <v>2026</v>
      </c>
      <c r="B398" s="673" t="inlineStr">
        <is>
          <t>DTSI</t>
        </is>
      </c>
      <c r="C398" s="673" t="inlineStr">
        <is>
          <t>   </t>
        </is>
      </c>
      <c r="D398" s="672" t="inlineStr">
        <is>
          <t>BCL</t>
        </is>
      </c>
      <c r="E398" s="672" t="n">
        <v>1</v>
      </c>
      <c r="F398" s="674" t="inlineStr">
        <is>
          <t>La fourniture de toners d’impression pour les besoins de la SNRT</t>
        </is>
      </c>
      <c r="G398" s="675" t="inlineStr">
        <is>
          <t>VALIDE</t>
        </is>
      </c>
      <c r="H398" s="672" t="inlineStr">
        <is>
          <t>APPROUVE</t>
        </is>
      </c>
      <c r="I398" s="672" t="inlineStr">
        <is>
          <t>26000012 CL</t>
        </is>
      </c>
      <c r="J398" s="675" t="inlineStr">
        <is>
          <t>NON CONCERNE</t>
        </is>
      </c>
      <c r="K398" s="672" t="inlineStr">
        <is>
          <t>Ordinaire</t>
        </is>
      </c>
      <c r="L398" s="676" t="inlineStr">
        <is>
          <t>FONCTIONNEMENT</t>
        </is>
      </c>
      <c r="M398" s="676" t="inlineStr">
        <is>
          <t>Achat de matière et fourniture consommable</t>
        </is>
      </c>
      <c r="N398" s="677" t="n"/>
      <c r="O398" s="678" t="n"/>
      <c r="P398" s="678" t="n"/>
      <c r="Q398" s="672" t="inlineStr">
        <is>
          <t>BESOIN RECURRENT</t>
        </is>
      </c>
      <c r="R398" s="679" t="n"/>
      <c r="S398" s="680" t="n"/>
      <c r="T398" s="681" t="inlineStr">
        <is>
          <t>MONDOFFICE</t>
        </is>
      </c>
      <c r="U398" s="672" t="n">
        <v>2026</v>
      </c>
      <c r="V398" s="680" t="n">
        <v>46091</v>
      </c>
      <c r="W398" s="680" t="n"/>
      <c r="X398" s="680" t="n">
        <v>46091</v>
      </c>
      <c r="Y398" s="677">
        <f>AA398/1.2</f>
        <v/>
      </c>
      <c r="Z398" s="678" t="n">
        <v>0</v>
      </c>
      <c r="AA398" s="678" t="n">
        <v>295662</v>
      </c>
      <c r="AB398" s="678" t="n">
        <v>0</v>
      </c>
      <c r="AC398" s="678">
        <f>Y398</f>
        <v/>
      </c>
      <c r="AD398" s="678">
        <f>AA398</f>
        <v/>
      </c>
      <c r="AE398" s="682" t="inlineStr">
        <is>
          <t>ENGAGE</t>
        </is>
      </c>
      <c r="AF398" s="681" t="n"/>
      <c r="AG398" s="678" t="n"/>
      <c r="AH398" s="678" t="n"/>
      <c r="AI398" s="678" t="n"/>
      <c r="AJ398" s="678" t="n"/>
      <c r="AK398" s="683" t="n"/>
      <c r="AL398" s="683" t="n"/>
      <c r="AM398" s="681" t="inlineStr">
        <is>
          <t>R.A.S</t>
        </is>
      </c>
    </row>
    <row r="399" ht="54.6" customHeight="1" s="392">
      <c r="A399" s="672" t="n">
        <v>2025</v>
      </c>
      <c r="B399" s="673" t="inlineStr">
        <is>
          <t>TDF-EXP&amp;MAIN</t>
        </is>
      </c>
      <c r="C399" s="673" t="inlineStr">
        <is>
          <t>100 AOM/SNRT</t>
        </is>
      </c>
      <c r="D399" s="672" t="inlineStr">
        <is>
          <t>AOO-M</t>
        </is>
      </c>
      <c r="E399" s="672" t="n">
        <v>1</v>
      </c>
      <c r="F399" s="674" t="inlineStr">
        <is>
          <t>La fourniture et installation des radômes pour le feeder du centre émetteur Radio AM de Foum El Oued à Laayoune</t>
        </is>
      </c>
      <c r="G399" s="675" t="inlineStr">
        <is>
          <t>VALIDE</t>
        </is>
      </c>
      <c r="H399" s="672" t="inlineStr">
        <is>
          <t>APPROUVE</t>
        </is>
      </c>
      <c r="I399" s="672" t="inlineStr">
        <is>
          <t>09M/2026</t>
        </is>
      </c>
      <c r="J399" s="675" t="inlineStr">
        <is>
          <t>GENERAL</t>
        </is>
      </c>
      <c r="K399" s="672" t="inlineStr">
        <is>
          <t>REPORT BUDGET ANNEE ANTERIEURE</t>
        </is>
      </c>
      <c r="L399" s="676" t="inlineStr">
        <is>
          <t>INVESTISSEMENT</t>
        </is>
      </c>
      <c r="M399" s="676" t="inlineStr">
        <is>
          <t>Équipements de télédiffusion</t>
        </is>
      </c>
      <c r="N399" s="677">
        <f>O399*1.2</f>
        <v/>
      </c>
      <c r="O399" s="678" t="n">
        <v>2086200</v>
      </c>
      <c r="P399" s="678">
        <f>O399/1.2</f>
        <v/>
      </c>
      <c r="Q399" s="672" t="inlineStr">
        <is>
          <t>NOUVEAU BESOIN</t>
        </is>
      </c>
      <c r="R399" s="679" t="n"/>
      <c r="S399" s="680" t="n"/>
      <c r="T399" s="681" t="inlineStr">
        <is>
          <t>MOYANO MAROC</t>
        </is>
      </c>
      <c r="U399" s="672" t="n">
        <v>2026</v>
      </c>
      <c r="V399" s="680" t="n">
        <v>46094</v>
      </c>
      <c r="W399" s="680" t="n"/>
      <c r="X399" s="680" t="n">
        <v>46108</v>
      </c>
      <c r="Y399" s="677">
        <f>AA399/1.2</f>
        <v/>
      </c>
      <c r="Z399" s="678" t="n">
        <v>0</v>
      </c>
      <c r="AA399" s="678" t="n">
        <v>2497800</v>
      </c>
      <c r="AB399" s="678" t="n">
        <v>0</v>
      </c>
      <c r="AC399" s="678">
        <f>Y399</f>
        <v/>
      </c>
      <c r="AD399" s="678">
        <f>AA399</f>
        <v/>
      </c>
      <c r="AE399" s="682" t="inlineStr">
        <is>
          <t>ENGAGE</t>
        </is>
      </c>
      <c r="AF399" s="681" t="n"/>
      <c r="AG399" s="678" t="n"/>
      <c r="AH399" s="678" t="n"/>
      <c r="AI399" s="678" t="n"/>
      <c r="AJ399" s="678" t="n"/>
      <c r="AK399" s="683" t="n"/>
      <c r="AL399" s="683" t="n"/>
      <c r="AM399" s="681" t="inlineStr">
        <is>
          <t>R,A,S</t>
        </is>
      </c>
    </row>
    <row r="400" ht="35.7" customHeight="1" s="392">
      <c r="A400" s="672" t="n">
        <v>2026</v>
      </c>
      <c r="B400" s="673" t="inlineStr">
        <is>
          <t>DPMG</t>
        </is>
      </c>
      <c r="C400" s="673" t="inlineStr">
        <is>
          <t>   </t>
        </is>
      </c>
      <c r="D400" s="672" t="inlineStr">
        <is>
          <t>BCL</t>
        </is>
      </c>
      <c r="E400" s="672" t="n">
        <v>1</v>
      </c>
      <c r="F400" s="674" t="inlineStr">
        <is>
          <t xml:space="preserve">Travaux d’aménagement </t>
        </is>
      </c>
      <c r="G400" s="675" t="inlineStr">
        <is>
          <t>VALIDE</t>
        </is>
      </c>
      <c r="H400" s="672" t="inlineStr">
        <is>
          <t>APPROUVE</t>
        </is>
      </c>
      <c r="I400" s="672" t="inlineStr">
        <is>
          <t>26000018 CL</t>
        </is>
      </c>
      <c r="J400" s="675" t="inlineStr">
        <is>
          <t>NON CONCERNE</t>
        </is>
      </c>
      <c r="K400" s="672" t="inlineStr">
        <is>
          <t>Ordinaire</t>
        </is>
      </c>
      <c r="L400" s="676" t="inlineStr">
        <is>
          <t>INVESTISSEMENT</t>
        </is>
      </c>
      <c r="M400" s="676" t="inlineStr">
        <is>
          <t>Agencements et aménagement constructions</t>
        </is>
      </c>
      <c r="N400" s="677" t="n"/>
      <c r="O400" s="678" t="n"/>
      <c r="P400" s="678" t="n"/>
      <c r="Q400" s="672" t="inlineStr">
        <is>
          <t>BESOIN RECURRENT</t>
        </is>
      </c>
      <c r="R400" s="679" t="n"/>
      <c r="S400" s="680" t="n"/>
      <c r="T400" s="681" t="inlineStr">
        <is>
          <t>MDFICATION</t>
        </is>
      </c>
      <c r="U400" s="672" t="n">
        <v>2026</v>
      </c>
      <c r="V400" s="680" t="n"/>
      <c r="W400" s="680" t="n"/>
      <c r="X400" s="680" t="n">
        <v>46098</v>
      </c>
      <c r="Y400" s="677" t="n">
        <v>199115</v>
      </c>
      <c r="Z400" s="678" t="n">
        <v>0</v>
      </c>
      <c r="AA400" s="678" t="n">
        <v>238938</v>
      </c>
      <c r="AB400" s="678" t="n">
        <v>0</v>
      </c>
      <c r="AC400" s="678">
        <f>Y400</f>
        <v/>
      </c>
      <c r="AD400" s="678">
        <f>AA400</f>
        <v/>
      </c>
      <c r="AE400" s="682" t="inlineStr">
        <is>
          <t>ENGAGE</t>
        </is>
      </c>
      <c r="AF400" s="681" t="n"/>
      <c r="AG400" s="678" t="n"/>
      <c r="AH400" s="678" t="n"/>
      <c r="AI400" s="678" t="n"/>
      <c r="AJ400" s="678" t="n"/>
      <c r="AK400" s="683" t="n"/>
      <c r="AL400" s="683" t="n"/>
      <c r="AM400" s="681" t="n"/>
    </row>
    <row r="401" ht="54.6" customHeight="1" s="392">
      <c r="A401" s="672" t="n">
        <v>2026</v>
      </c>
      <c r="B401" s="673" t="inlineStr">
        <is>
          <t>DPMG</t>
        </is>
      </c>
      <c r="C401" s="673" t="inlineStr">
        <is>
          <t>   </t>
        </is>
      </c>
      <c r="D401" s="672" t="inlineStr">
        <is>
          <t>BCL</t>
        </is>
      </c>
      <c r="E401" s="672" t="n">
        <v>1</v>
      </c>
      <c r="F401" s="674" t="inlineStr">
        <is>
          <t>Hébergement en pension compléte des invités marocains et étrangers dans le cadre du tournage des émission TV de la SNRT</t>
        </is>
      </c>
      <c r="G401" s="675" t="inlineStr">
        <is>
          <t>VALIDE</t>
        </is>
      </c>
      <c r="H401" s="672" t="inlineStr">
        <is>
          <t>APPROUVE</t>
        </is>
      </c>
      <c r="I401" s="672" t="inlineStr">
        <is>
          <t>26000019 CL</t>
        </is>
      </c>
      <c r="J401" s="675" t="inlineStr">
        <is>
          <t>NON CONCERNE</t>
        </is>
      </c>
      <c r="K401" s="672" t="inlineStr">
        <is>
          <t>Ordinaire</t>
        </is>
      </c>
      <c r="L401" s="676" t="inlineStr">
        <is>
          <t>FONCTIONNEMENT</t>
        </is>
      </c>
      <c r="M401" s="676" t="inlineStr">
        <is>
          <t>Déplacements, missions et réceptions</t>
        </is>
      </c>
      <c r="N401" s="677" t="n"/>
      <c r="O401" s="678" t="n"/>
      <c r="P401" s="678" t="n"/>
      <c r="Q401" s="672" t="inlineStr">
        <is>
          <t>BESOIN RECURRENT</t>
        </is>
      </c>
      <c r="R401" s="679" t="n"/>
      <c r="S401" s="680" t="n"/>
      <c r="T401" s="681" t="inlineStr">
        <is>
          <t>FIKRINVEST-HO (NJ HOTEL)</t>
        </is>
      </c>
      <c r="U401" s="672" t="n">
        <v>2026</v>
      </c>
      <c r="V401" s="680" t="n"/>
      <c r="W401" s="680" t="n"/>
      <c r="X401" s="680" t="n">
        <v>46111</v>
      </c>
      <c r="Y401" s="677" t="n">
        <v>109091.2</v>
      </c>
      <c r="Z401" s="678" t="n">
        <v>0</v>
      </c>
      <c r="AA401" s="678" t="n">
        <v>120000.32</v>
      </c>
      <c r="AB401" s="678" t="n">
        <v>0</v>
      </c>
      <c r="AC401" s="678">
        <f>Y401</f>
        <v/>
      </c>
      <c r="AD401" s="678">
        <f>AA401</f>
        <v/>
      </c>
      <c r="AE401" s="682" t="inlineStr">
        <is>
          <t>ENGAGE</t>
        </is>
      </c>
      <c r="AF401" s="681" t="n"/>
      <c r="AG401" s="678" t="n"/>
      <c r="AH401" s="678" t="n"/>
      <c r="AI401" s="678" t="n"/>
      <c r="AJ401" s="678" t="n"/>
      <c r="AK401" s="683" t="n"/>
      <c r="AL401" s="683" t="n"/>
      <c r="AM401" s="681" t="n"/>
    </row>
    <row r="402" ht="38.40000000000001" customHeight="1" s="392">
      <c r="A402" s="672" t="n">
        <v>2026</v>
      </c>
      <c r="B402" s="673" t="inlineStr">
        <is>
          <t>DPMG</t>
        </is>
      </c>
      <c r="C402" s="673" t="inlineStr">
        <is>
          <t>   </t>
        </is>
      </c>
      <c r="D402" s="672" t="inlineStr">
        <is>
          <t>BCL</t>
        </is>
      </c>
      <c r="E402" s="672" t="n">
        <v>1</v>
      </c>
      <c r="F402" s="674" t="inlineStr">
        <is>
          <t>Achat des piles pour les besoins de différentes entités de la SNRT</t>
        </is>
      </c>
      <c r="G402" s="675" t="inlineStr">
        <is>
          <t>VALIDE</t>
        </is>
      </c>
      <c r="H402" s="672" t="inlineStr">
        <is>
          <t>APPROUVE</t>
        </is>
      </c>
      <c r="I402" s="672" t="inlineStr">
        <is>
          <t>26000015 CL</t>
        </is>
      </c>
      <c r="J402" s="675" t="inlineStr">
        <is>
          <t>NON CONCERNE</t>
        </is>
      </c>
      <c r="K402" s="672" t="inlineStr">
        <is>
          <t>Ordinaire</t>
        </is>
      </c>
      <c r="L402" s="676" t="inlineStr">
        <is>
          <t>FONCTIONNEMENT</t>
        </is>
      </c>
      <c r="M402" s="676" t="inlineStr">
        <is>
          <t xml:space="preserve">Achats non stockés de matières et fournitures </t>
        </is>
      </c>
      <c r="N402" s="677" t="n"/>
      <c r="O402" s="678" t="n"/>
      <c r="P402" s="678" t="n"/>
      <c r="Q402" s="672" t="inlineStr">
        <is>
          <t>BESOIN RECURRENT</t>
        </is>
      </c>
      <c r="R402" s="679" t="n"/>
      <c r="S402" s="680" t="n"/>
      <c r="T402" s="681" t="inlineStr">
        <is>
          <t>BURIM</t>
        </is>
      </c>
      <c r="U402" s="672" t="n">
        <v>2026</v>
      </c>
      <c r="V402" s="680" t="n"/>
      <c r="W402" s="680" t="n"/>
      <c r="X402" s="680" t="n">
        <v>46112</v>
      </c>
      <c r="Y402" s="677" t="n">
        <v>382000</v>
      </c>
      <c r="Z402" s="678" t="n">
        <v>0</v>
      </c>
      <c r="AA402" s="678" t="n">
        <v>458400</v>
      </c>
      <c r="AB402" s="678" t="n">
        <v>0</v>
      </c>
      <c r="AC402" s="678">
        <f>Y402</f>
        <v/>
      </c>
      <c r="AD402" s="678">
        <f>AA402</f>
        <v/>
      </c>
      <c r="AE402" s="682" t="inlineStr">
        <is>
          <t>ENGAGE</t>
        </is>
      </c>
      <c r="AF402" s="681" t="n"/>
      <c r="AG402" s="678" t="n"/>
      <c r="AH402" s="678" t="n"/>
      <c r="AI402" s="678" t="n"/>
      <c r="AJ402" s="678" t="n"/>
      <c r="AK402" s="683" t="n"/>
      <c r="AL402" s="683" t="n"/>
      <c r="AM402" s="681" t="n"/>
    </row>
    <row r="403" ht="50.55" customHeight="1" s="392">
      <c r="A403" s="672" t="n">
        <v>2025</v>
      </c>
      <c r="B403" s="673" t="inlineStr">
        <is>
          <t>DRPSD</t>
        </is>
      </c>
      <c r="C403" s="673" t="inlineStr">
        <is>
          <t>84 AOM/SNRT</t>
        </is>
      </c>
      <c r="D403" s="672" t="inlineStr">
        <is>
          <t>AOO-M</t>
        </is>
      </c>
      <c r="E403" s="672" t="n">
        <v>1</v>
      </c>
      <c r="F403" s="674" t="inlineStr">
        <is>
          <t>Optimisation et amélioration de la stratégie de référencement et maintenance de la plateforme web SNRT news</t>
        </is>
      </c>
      <c r="G403" s="675" t="inlineStr">
        <is>
          <t>VALIDE</t>
        </is>
      </c>
      <c r="H403" s="672" t="inlineStr">
        <is>
          <t>ATTRIBUE</t>
        </is>
      </c>
      <c r="I403" s="691" t="n"/>
      <c r="J403" s="675" t="inlineStr">
        <is>
          <t>PME</t>
        </is>
      </c>
      <c r="K403" s="672" t="inlineStr">
        <is>
          <t>Ordinaire</t>
        </is>
      </c>
      <c r="L403" s="676" t="inlineStr">
        <is>
          <t>FONCTIONNEMENT</t>
        </is>
      </c>
      <c r="M403" s="676" t="inlineStr">
        <is>
          <t>Prestation de services
Achat prestations de services locales - sociétés</t>
        </is>
      </c>
      <c r="N403" s="677">
        <f>O403*1.2</f>
        <v/>
      </c>
      <c r="O403" s="678" t="n">
        <v>350000</v>
      </c>
      <c r="P403" s="678">
        <f>O403/1.2</f>
        <v/>
      </c>
      <c r="Q403" s="672" t="inlineStr">
        <is>
          <t>BESOIN RECURRENT</t>
        </is>
      </c>
      <c r="R403" s="679" t="n"/>
      <c r="S403" s="680" t="n"/>
      <c r="T403" s="681" t="inlineStr">
        <is>
          <t>BE IN BE OUT</t>
        </is>
      </c>
      <c r="U403" s="672" t="n">
        <v>2026</v>
      </c>
      <c r="V403" s="680" t="n">
        <v>46099</v>
      </c>
      <c r="W403" s="680" t="n"/>
      <c r="X403" s="680" t="n"/>
      <c r="Y403" s="677">
        <f>AA403/1.2</f>
        <v/>
      </c>
      <c r="Z403" s="678" t="n">
        <v>0</v>
      </c>
      <c r="AA403" s="678" t="n">
        <v>350000</v>
      </c>
      <c r="AB403" s="678" t="n">
        <v>0</v>
      </c>
      <c r="AC403" s="678">
        <f>Y403</f>
        <v/>
      </c>
      <c r="AD403" s="678">
        <f>AA403</f>
        <v/>
      </c>
      <c r="AE403" s="682" t="inlineStr">
        <is>
          <t>ENGAGE</t>
        </is>
      </c>
      <c r="AF403" s="681" t="n"/>
      <c r="AG403" s="678" t="n"/>
      <c r="AH403" s="678" t="n"/>
      <c r="AI403" s="678" t="n"/>
      <c r="AJ403" s="678" t="n"/>
      <c r="AK403" s="683" t="n"/>
      <c r="AL403" s="683" t="n"/>
      <c r="AM403" s="681" t="inlineStr">
        <is>
          <t>N° Marché + Date Approbation</t>
        </is>
      </c>
    </row>
    <row r="404" ht="38.40000000000001" customHeight="1" s="392">
      <c r="A404" s="672" t="n">
        <v>2025</v>
      </c>
      <c r="B404" s="673" t="inlineStr">
        <is>
          <t>TDF-EXP&amp;MAIN</t>
        </is>
      </c>
      <c r="C404" s="673" t="inlineStr">
        <is>
          <t>78 AOM/SNRT</t>
        </is>
      </c>
      <c r="D404" s="672" t="inlineStr">
        <is>
          <t>AOO-M</t>
        </is>
      </c>
      <c r="E404" s="672" t="n">
        <v>1</v>
      </c>
      <c r="F404" s="674" t="inlineStr">
        <is>
          <t>Travaux de pose de faux planchers et séparation vitrée à la salle technique du centre SNRT d’Ain Chock</t>
        </is>
      </c>
      <c r="G404" s="675" t="inlineStr">
        <is>
          <t>VALIDE</t>
        </is>
      </c>
      <c r="H404" s="672" t="inlineStr">
        <is>
          <t>APPROUVE</t>
        </is>
      </c>
      <c r="I404" s="672" t="inlineStr">
        <is>
          <t>08M/2026</t>
        </is>
      </c>
      <c r="J404" s="675" t="inlineStr">
        <is>
          <t>PME</t>
        </is>
      </c>
      <c r="K404" s="672" t="inlineStr">
        <is>
          <t>REPORT BUDGET ANNEE ANTERIEURE</t>
        </is>
      </c>
      <c r="L404" s="676" t="inlineStr">
        <is>
          <t>INVESTISSEMENT</t>
        </is>
      </c>
      <c r="M404" s="676" t="inlineStr">
        <is>
          <t>Agencements et aménagement constructions</t>
        </is>
      </c>
      <c r="N404" s="677">
        <f>O404*1.2</f>
        <v/>
      </c>
      <c r="O404" s="678" t="n">
        <v>386400</v>
      </c>
      <c r="P404" s="678">
        <f>O404/1.2</f>
        <v/>
      </c>
      <c r="Q404" s="672" t="inlineStr">
        <is>
          <t>NOUVEAU BESOIN</t>
        </is>
      </c>
      <c r="R404" s="679" t="n"/>
      <c r="S404" s="680" t="n"/>
      <c r="T404" s="681" t="inlineStr">
        <is>
          <t>MOYANO MAROC</t>
        </is>
      </c>
      <c r="U404" s="672" t="n">
        <v>2026</v>
      </c>
      <c r="V404" s="680" t="n">
        <v>46099</v>
      </c>
      <c r="W404" s="680" t="n"/>
      <c r="X404" s="680" t="n">
        <v>46108</v>
      </c>
      <c r="Y404" s="677">
        <f>AA404/1.2</f>
        <v/>
      </c>
      <c r="Z404" s="678" t="n">
        <v>0</v>
      </c>
      <c r="AA404" s="678" t="n">
        <v>460560</v>
      </c>
      <c r="AB404" s="678" t="n">
        <v>0</v>
      </c>
      <c r="AC404" s="678">
        <f>Y404</f>
        <v/>
      </c>
      <c r="AD404" s="678">
        <f>AA404</f>
        <v/>
      </c>
      <c r="AE404" s="682" t="inlineStr">
        <is>
          <t>ENGAGE</t>
        </is>
      </c>
      <c r="AF404" s="681" t="n"/>
      <c r="AG404" s="678" t="n"/>
      <c r="AH404" s="678" t="n"/>
      <c r="AI404" s="678" t="n"/>
      <c r="AJ404" s="678" t="n"/>
      <c r="AK404" s="683" t="n"/>
      <c r="AL404" s="683" t="n"/>
      <c r="AM404" s="681" t="inlineStr">
        <is>
          <t>R,A,S</t>
        </is>
      </c>
    </row>
    <row r="405" ht="54.6" customHeight="1" s="392">
      <c r="A405" s="672" t="n">
        <v>2021</v>
      </c>
      <c r="B405" s="673" t="inlineStr">
        <is>
          <t>DINFOTV</t>
        </is>
      </c>
      <c r="C405" s="673" t="inlineStr">
        <is>
          <t>RECONDUCTIBLE</t>
        </is>
      </c>
      <c r="D405" s="672" t="inlineStr">
        <is>
          <t>CONTRAT</t>
        </is>
      </c>
      <c r="E405" s="672" t="n">
        <v>1</v>
      </c>
      <c r="F405" s="674" t="inlineStr">
        <is>
          <t>DIFFUSION D'EURONEWS EN DIRECT OU EN DIFFERE L'UTILISATION DE CERTAINS CONTENUS AVEC OU SON LOGO, ECHANGES D'INFO, UTILISATION DES TALENTS ET MARQUES EURONEWS</t>
        </is>
      </c>
      <c r="G405" s="675" t="inlineStr">
        <is>
          <t>VALIDE</t>
        </is>
      </c>
      <c r="H405" s="672" t="inlineStr">
        <is>
          <t>APPROUVE</t>
        </is>
      </c>
      <c r="I405" s="672" t="n">
        <v>490</v>
      </c>
      <c r="J405" s="675" t="inlineStr">
        <is>
          <t>NON CONCERNE</t>
        </is>
      </c>
      <c r="K405" s="672" t="inlineStr">
        <is>
          <t>Ordinaire</t>
        </is>
      </c>
      <c r="L405" s="676" t="inlineStr">
        <is>
          <t>FONCTIONNEMENT</t>
        </is>
      </c>
      <c r="M405" s="676" t="inlineStr">
        <is>
          <t>Prestations de service
Achat prestations de services étrangères</t>
        </is>
      </c>
      <c r="N405" s="677" t="n"/>
      <c r="O405" s="678" t="n"/>
      <c r="P405" s="678" t="n"/>
      <c r="Q405" s="672" t="inlineStr">
        <is>
          <t>RECONDUCTIBLE</t>
        </is>
      </c>
      <c r="R405" s="679" t="n"/>
      <c r="S405" s="680" t="n"/>
      <c r="T405" s="681" t="inlineStr">
        <is>
          <t>EURONEWS</t>
        </is>
      </c>
      <c r="U405" s="672" t="n">
        <v>2021</v>
      </c>
      <c r="V405" s="680" t="inlineStr">
        <is>
          <t>-</t>
        </is>
      </c>
      <c r="W405" s="680" t="n"/>
      <c r="X405" s="680" t="inlineStr">
        <is>
          <t>-</t>
        </is>
      </c>
      <c r="Y405" s="677" t="n"/>
      <c r="Z405" s="678" t="n"/>
      <c r="AA405" s="678" t="n"/>
      <c r="AB405" s="678" t="n"/>
      <c r="AC405" s="678" t="n"/>
      <c r="AD405" s="678" t="n">
        <v>1241174</v>
      </c>
      <c r="AE405" s="682" t="inlineStr">
        <is>
          <t>ENGAGE</t>
        </is>
      </c>
      <c r="AF405" s="681" t="n"/>
      <c r="AG405" s="678" t="n"/>
      <c r="AH405" s="678" t="n"/>
      <c r="AI405" s="678" t="n"/>
      <c r="AJ405" s="678" t="n"/>
      <c r="AK405" s="683" t="n"/>
      <c r="AL405" s="683" t="n"/>
      <c r="AM405" s="681" t="n"/>
    </row>
    <row r="406" ht="50.55" customHeight="1" s="392">
      <c r="A406" s="672" t="n">
        <v>2023</v>
      </c>
      <c r="B406" s="673" t="inlineStr">
        <is>
          <t>DINFOTV</t>
        </is>
      </c>
      <c r="C406" s="673" t="inlineStr">
        <is>
          <t>RECONDUCTIBLE</t>
        </is>
      </c>
      <c r="D406" s="672" t="inlineStr">
        <is>
          <t>CONTRAT</t>
        </is>
      </c>
      <c r="E406" s="672" t="n">
        <v>1</v>
      </c>
      <c r="F406" s="674" t="inlineStr">
        <is>
          <t>l'abonnement aux services media (reuters vidéo et reurters live service-RLS- via WNE linear delivery</t>
        </is>
      </c>
      <c r="G406" s="675" t="inlineStr">
        <is>
          <t>VALIDE</t>
        </is>
      </c>
      <c r="H406" s="672" t="inlineStr">
        <is>
          <t>APPROUVE</t>
        </is>
      </c>
      <c r="I406" s="672" t="inlineStr">
        <is>
          <t>REMA 398</t>
        </is>
      </c>
      <c r="J406" s="675" t="inlineStr">
        <is>
          <t>NON CONCERNE</t>
        </is>
      </c>
      <c r="K406" s="672" t="inlineStr">
        <is>
          <t>Ordinaire</t>
        </is>
      </c>
      <c r="L406" s="676" t="inlineStr">
        <is>
          <t>FONCTIONNEMENT</t>
        </is>
      </c>
      <c r="M406" s="676" t="inlineStr">
        <is>
          <t>Prestations de service
Achat prestations de services étrangères</t>
        </is>
      </c>
      <c r="N406" s="677" t="n"/>
      <c r="O406" s="678" t="n"/>
      <c r="P406" s="678" t="n"/>
      <c r="Q406" s="672" t="inlineStr">
        <is>
          <t>RECONDUCTIBLE</t>
        </is>
      </c>
      <c r="R406" s="679" t="n"/>
      <c r="S406" s="680" t="n"/>
      <c r="T406" s="681" t="inlineStr">
        <is>
          <t>REUTERS LIMITED</t>
        </is>
      </c>
      <c r="U406" s="672" t="n">
        <v>2023</v>
      </c>
      <c r="V406" s="680" t="inlineStr">
        <is>
          <t>-</t>
        </is>
      </c>
      <c r="W406" s="680" t="n"/>
      <c r="X406" s="680" t="inlineStr">
        <is>
          <t>-</t>
        </is>
      </c>
      <c r="Y406" s="677" t="n"/>
      <c r="Z406" s="678" t="n"/>
      <c r="AA406" s="678" t="n"/>
      <c r="AB406" s="678" t="n"/>
      <c r="AC406" s="678" t="n"/>
      <c r="AD406" s="678" t="n">
        <v>1122588</v>
      </c>
      <c r="AE406" s="682" t="inlineStr">
        <is>
          <t>ENGAGE</t>
        </is>
      </c>
      <c r="AF406" s="681" t="n"/>
      <c r="AG406" s="678" t="n"/>
      <c r="AH406" s="678" t="n"/>
      <c r="AI406" s="678" t="n"/>
      <c r="AJ406" s="678" t="n"/>
      <c r="AK406" s="683" t="n"/>
      <c r="AL406" s="683" t="n"/>
      <c r="AM406" s="681" t="n"/>
    </row>
    <row r="407" ht="70.80000000000001" customHeight="1" s="392">
      <c r="A407" s="672" t="n">
        <v>2023</v>
      </c>
      <c r="B407" s="673" t="inlineStr">
        <is>
          <t>DINFOTV</t>
        </is>
      </c>
      <c r="C407" s="673" t="inlineStr">
        <is>
          <t>RECONDUCTIBLE</t>
        </is>
      </c>
      <c r="D407" s="672" t="inlineStr">
        <is>
          <t>CONTRAT</t>
        </is>
      </c>
      <c r="E407" s="672" t="n">
        <v>1</v>
      </c>
      <c r="F407" s="674" t="inlineStr">
        <is>
          <t>Définir les domaines et les conditions générales de collaboration entre la DGM et la SNRT pour la fourniture des informations météorologiques en matière de donnée et de prévisions météorologiques</t>
        </is>
      </c>
      <c r="G407" s="675" t="inlineStr">
        <is>
          <t>VALIDE</t>
        </is>
      </c>
      <c r="H407" s="672" t="inlineStr">
        <is>
          <t>APPROUVE</t>
        </is>
      </c>
      <c r="I407" s="672" t="inlineStr">
        <is>
          <t>01/2023/SNRT-DGM</t>
        </is>
      </c>
      <c r="J407" s="675" t="inlineStr">
        <is>
          <t>NON CONCERNE</t>
        </is>
      </c>
      <c r="K407" s="672" t="inlineStr">
        <is>
          <t>Ordinaire</t>
        </is>
      </c>
      <c r="L407" s="676" t="inlineStr">
        <is>
          <t>FONCTIONNEMENT</t>
        </is>
      </c>
      <c r="M407" s="676" t="inlineStr">
        <is>
          <t>Redevances et cotisations</t>
        </is>
      </c>
      <c r="N407" s="677" t="n"/>
      <c r="O407" s="678" t="n"/>
      <c r="P407" s="678" t="n"/>
      <c r="Q407" s="672" t="inlineStr">
        <is>
          <t>RECONDUCTIBLE</t>
        </is>
      </c>
      <c r="R407" s="679" t="n"/>
      <c r="S407" s="680" t="n"/>
      <c r="T407" s="681" t="inlineStr">
        <is>
          <t>DGM</t>
        </is>
      </c>
      <c r="U407" s="672" t="n">
        <v>2023</v>
      </c>
      <c r="V407" s="680" t="inlineStr">
        <is>
          <t>-</t>
        </is>
      </c>
      <c r="W407" s="680" t="n"/>
      <c r="X407" s="680" t="inlineStr">
        <is>
          <t>-</t>
        </is>
      </c>
      <c r="Y407" s="677" t="n"/>
      <c r="Z407" s="678" t="n"/>
      <c r="AA407" s="678" t="n"/>
      <c r="AB407" s="678" t="n"/>
      <c r="AC407" s="678" t="n"/>
      <c r="AD407" s="678" t="n">
        <v>864000</v>
      </c>
      <c r="AE407" s="682" t="inlineStr">
        <is>
          <t>ENGAGE</t>
        </is>
      </c>
      <c r="AF407" s="681" t="n"/>
      <c r="AG407" s="678" t="n"/>
      <c r="AH407" s="678" t="n"/>
      <c r="AI407" s="678" t="n"/>
      <c r="AJ407" s="678" t="n"/>
      <c r="AK407" s="683" t="n"/>
      <c r="AL407" s="683" t="n"/>
      <c r="AM407" s="681" t="n"/>
    </row>
    <row r="408" ht="38.40000000000001" customHeight="1" s="392">
      <c r="A408" s="672" t="n">
        <v>2021</v>
      </c>
      <c r="B408" s="673" t="inlineStr">
        <is>
          <t>DINFOTV</t>
        </is>
      </c>
      <c r="C408" s="673" t="inlineStr">
        <is>
          <t>RECONDUCTIBLE</t>
        </is>
      </c>
      <c r="D408" s="672" t="inlineStr">
        <is>
          <t>CONTRAT</t>
        </is>
      </c>
      <c r="E408" s="672" t="n">
        <v>1</v>
      </c>
      <c r="F408" s="674" t="inlineStr">
        <is>
          <t>Acquisition des droits de diffusions des actualités, reportages radiophoniques et télévisuels</t>
        </is>
      </c>
      <c r="G408" s="675" t="inlineStr">
        <is>
          <t>VALIDE</t>
        </is>
      </c>
      <c r="H408" s="672" t="inlineStr">
        <is>
          <t>APPROUVE</t>
        </is>
      </c>
      <c r="I408" s="672" t="n">
        <v>21000511</v>
      </c>
      <c r="J408" s="675" t="inlineStr">
        <is>
          <t>NON CONCERNE</t>
        </is>
      </c>
      <c r="K408" s="672" t="inlineStr">
        <is>
          <t>Ordinaire</t>
        </is>
      </c>
      <c r="L408" s="676" t="inlineStr">
        <is>
          <t>FONCTIONNEMENT</t>
        </is>
      </c>
      <c r="M408" s="676" t="inlineStr">
        <is>
          <t>Redevances et cotisations</t>
        </is>
      </c>
      <c r="N408" s="677" t="n"/>
      <c r="O408" s="678" t="n"/>
      <c r="P408" s="678" t="n"/>
      <c r="Q408" s="672" t="inlineStr">
        <is>
          <t>RECONDUCTIBLE</t>
        </is>
      </c>
      <c r="R408" s="679" t="n"/>
      <c r="S408" s="680" t="n"/>
      <c r="T408" s="681" t="inlineStr">
        <is>
          <t>MAP</t>
        </is>
      </c>
      <c r="U408" s="672" t="n">
        <v>2021</v>
      </c>
      <c r="V408" s="680" t="inlineStr">
        <is>
          <t>-</t>
        </is>
      </c>
      <c r="W408" s="680" t="n"/>
      <c r="X408" s="680" t="inlineStr">
        <is>
          <t>-</t>
        </is>
      </c>
      <c r="Y408" s="677" t="n"/>
      <c r="Z408" s="678" t="n"/>
      <c r="AA408" s="678" t="n"/>
      <c r="AB408" s="678" t="n"/>
      <c r="AC408" s="678" t="inlineStr">
        <is>
          <t>-</t>
        </is>
      </c>
      <c r="AD408" s="678" t="n">
        <v>2040000</v>
      </c>
      <c r="AE408" s="682" t="inlineStr">
        <is>
          <t>ENGAGE</t>
        </is>
      </c>
      <c r="AF408" s="681" t="n"/>
      <c r="AG408" s="678" t="n"/>
      <c r="AH408" s="678" t="n"/>
      <c r="AI408" s="678" t="n"/>
      <c r="AJ408" s="678" t="n"/>
      <c r="AK408" s="683" t="n"/>
      <c r="AL408" s="683" t="n"/>
      <c r="AM408" s="681" t="n"/>
    </row>
    <row r="409" ht="70.80000000000001" customHeight="1" s="392">
      <c r="A409" s="672" t="n">
        <v>2023</v>
      </c>
      <c r="B409" s="673" t="inlineStr">
        <is>
          <t>DINFOTV</t>
        </is>
      </c>
      <c r="C409" s="673" t="inlineStr">
        <is>
          <t>RECONDUCTIBLE</t>
        </is>
      </c>
      <c r="D409" s="672" t="inlineStr">
        <is>
          <t>CONTRAT</t>
        </is>
      </c>
      <c r="E409" s="672" t="n">
        <v>1</v>
      </c>
      <c r="F409" s="674" t="inlineStr">
        <is>
          <t>La fourniture à la SNRT des services : Pack « Broadcast » pour la confection de Programmes TV et Pack « Digital » pour la confection de Programmes numériques et usage direct sur les Supports Digitaux Web</t>
        </is>
      </c>
      <c r="G409" s="675" t="inlineStr">
        <is>
          <t>VALIDE</t>
        </is>
      </c>
      <c r="H409" s="672" t="inlineStr">
        <is>
          <t>APPROUVE</t>
        </is>
      </c>
      <c r="I409" s="672" t="inlineStr">
        <is>
          <t>001310323/CT-SNRT</t>
        </is>
      </c>
      <c r="J409" s="675" t="inlineStr">
        <is>
          <t>NON CONCERNE</t>
        </is>
      </c>
      <c r="K409" s="672" t="inlineStr">
        <is>
          <t>Ordinaire</t>
        </is>
      </c>
      <c r="L409" s="676" t="inlineStr">
        <is>
          <t>FONCTIONNEMENT</t>
        </is>
      </c>
      <c r="M409" s="676" t="inlineStr">
        <is>
          <t>Prestations de service
Achat prestations de services étrangères</t>
        </is>
      </c>
      <c r="N409" s="677" t="n"/>
      <c r="O409" s="678" t="n"/>
      <c r="P409" s="678" t="n"/>
      <c r="Q409" s="672" t="inlineStr">
        <is>
          <t>RECONDUCTIBLE</t>
        </is>
      </c>
      <c r="R409" s="679" t="n"/>
      <c r="S409" s="680" t="n"/>
      <c r="T409" s="681" t="inlineStr">
        <is>
          <t>AFP</t>
        </is>
      </c>
      <c r="U409" s="672" t="n">
        <v>2023</v>
      </c>
      <c r="V409" s="680" t="inlineStr">
        <is>
          <t>-</t>
        </is>
      </c>
      <c r="W409" s="680" t="n"/>
      <c r="X409" s="680" t="inlineStr">
        <is>
          <t>-</t>
        </is>
      </c>
      <c r="Y409" s="677" t="n"/>
      <c r="Z409" s="678" t="n"/>
      <c r="AA409" s="678" t="n"/>
      <c r="AB409" s="678" t="n"/>
      <c r="AC409" s="678" t="n"/>
      <c r="AD409" s="678" t="n">
        <v>240480</v>
      </c>
      <c r="AE409" s="682" t="inlineStr">
        <is>
          <t>ENGAGE</t>
        </is>
      </c>
      <c r="AF409" s="681" t="n"/>
      <c r="AG409" s="678" t="n"/>
      <c r="AH409" s="678" t="n"/>
      <c r="AI409" s="678" t="n"/>
      <c r="AJ409" s="678" t="n"/>
      <c r="AK409" s="683" t="n"/>
      <c r="AL409" s="683" t="n"/>
      <c r="AM409" s="681" t="n"/>
    </row>
    <row r="410" ht="54.6" customHeight="1" s="392">
      <c r="A410" s="672" t="n">
        <v>2026</v>
      </c>
      <c r="B410" s="673" t="inlineStr">
        <is>
          <t>DINFOTV</t>
        </is>
      </c>
      <c r="C410" s="673" t="inlineStr">
        <is>
          <t>20 AOM/SNRT</t>
        </is>
      </c>
      <c r="D410" s="672" t="inlineStr">
        <is>
          <t>AOO-M</t>
        </is>
      </c>
      <c r="E410" s="672" t="n">
        <v>1</v>
      </c>
      <c r="F410" s="674" t="inlineStr">
        <is>
          <t>Préstation de blanchisserie du linge et services associés au profit des journalistes présentateurs du Journal Télévisé (JT) de la chaine Al Aoula de la SNRT-Rabat</t>
        </is>
      </c>
      <c r="G410" s="675" t="inlineStr">
        <is>
          <t>VALIDE</t>
        </is>
      </c>
      <c r="H410" s="672" t="inlineStr">
        <is>
          <t>ATTRIBUE</t>
        </is>
      </c>
      <c r="I410" s="691" t="n"/>
      <c r="J410" s="675" t="inlineStr">
        <is>
          <t>PME</t>
        </is>
      </c>
      <c r="K410" s="672" t="inlineStr">
        <is>
          <t>Ordinaire</t>
        </is>
      </c>
      <c r="L410" s="676" t="inlineStr">
        <is>
          <t>FONCTIONNEMENT</t>
        </is>
      </c>
      <c r="M410" s="676" t="inlineStr">
        <is>
          <t>Prestation de services
Achat prestations de services locales - sociétés</t>
        </is>
      </c>
      <c r="N410" s="677">
        <f>O410*1.2</f>
        <v/>
      </c>
      <c r="O410" s="678" t="n">
        <v>89340</v>
      </c>
      <c r="P410" s="678">
        <f>O410/1.2</f>
        <v/>
      </c>
      <c r="Q410" s="672" t="inlineStr">
        <is>
          <t>BESOIN RECURRENT</t>
        </is>
      </c>
      <c r="R410" s="679" t="n"/>
      <c r="S410" s="680" t="n"/>
      <c r="T410" s="681" t="inlineStr">
        <is>
          <t>PRESSING CLAIRE ECO</t>
        </is>
      </c>
      <c r="U410" s="672" t="n"/>
      <c r="V410" s="680" t="n">
        <v>46126</v>
      </c>
      <c r="W410" s="680" t="n">
        <v>46128</v>
      </c>
      <c r="X410" s="680" t="n"/>
      <c r="Y410" s="677">
        <f>AC410</f>
        <v/>
      </c>
      <c r="Z410" s="678" t="n">
        <v>0</v>
      </c>
      <c r="AA410" s="678">
        <f>AD410</f>
        <v/>
      </c>
      <c r="AB410" s="678" t="n">
        <v>0</v>
      </c>
      <c r="AC410" s="678">
        <f>AD410/1.2</f>
        <v/>
      </c>
      <c r="AD410" s="678" t="n">
        <v>76464</v>
      </c>
      <c r="AE410" s="682" t="inlineStr">
        <is>
          <t>EN COURS D'ENGAGEMENT</t>
        </is>
      </c>
      <c r="AF410" s="681" t="n"/>
      <c r="AG410" s="678" t="n"/>
      <c r="AH410" s="678" t="n"/>
      <c r="AI410" s="678" t="n"/>
      <c r="AJ410" s="678" t="n"/>
      <c r="AK410" s="683" t="n"/>
      <c r="AL410" s="683" t="n"/>
      <c r="AM410" s="681" t="inlineStr">
        <is>
          <t>R,A,S</t>
        </is>
      </c>
    </row>
    <row r="411" ht="87" customHeight="1" s="392">
      <c r="A411" s="672" t="n">
        <v>2026</v>
      </c>
      <c r="B411" s="673" t="inlineStr">
        <is>
          <t>TDF -SITES</t>
        </is>
      </c>
      <c r="C411" s="673" t="inlineStr">
        <is>
          <t>19 AOM/SNRT</t>
        </is>
      </c>
      <c r="D411" s="672" t="inlineStr">
        <is>
          <t>AOO-M</t>
        </is>
      </c>
      <c r="E411" s="672" t="n">
        <v>1</v>
      </c>
      <c r="F411" s="674" t="inlineStr">
        <is>
          <t>Fourniture, installation et mise en service de dix stations DVB-T/T2 de puissance 500 W rms et d'une station DVB-T/T2 de 1KW rms, fonctionnant en mode (2+1) dans la bande [474-690] MHz, avec triplexeurs RF et accessoires</t>
        </is>
      </c>
      <c r="G411" s="675" t="inlineStr">
        <is>
          <t>VALIDE</t>
        </is>
      </c>
      <c r="H411" s="672" t="inlineStr">
        <is>
          <t>ATTRIBUE</t>
        </is>
      </c>
      <c r="I411" s="691" t="n"/>
      <c r="J411" s="675" t="inlineStr">
        <is>
          <t>PME</t>
        </is>
      </c>
      <c r="K411" s="672" t="inlineStr">
        <is>
          <t>REPORT BUDGET ANNEE ANTERIEURE</t>
        </is>
      </c>
      <c r="L411" s="676" t="inlineStr">
        <is>
          <t>INVESTISSEMENT</t>
        </is>
      </c>
      <c r="M411" s="676" t="inlineStr">
        <is>
          <t>Équipements de télédiffusion</t>
        </is>
      </c>
      <c r="N411" s="677">
        <f>O411*1.2</f>
        <v/>
      </c>
      <c r="O411" s="678" t="n">
        <v>5596800</v>
      </c>
      <c r="P411" s="678">
        <f>O411/1.2</f>
        <v/>
      </c>
      <c r="Q411" s="672" t="inlineStr">
        <is>
          <t>NOUVEAU BESOIN</t>
        </is>
      </c>
      <c r="R411" s="679" t="n"/>
      <c r="S411" s="680" t="n"/>
      <c r="T411" s="681" t="inlineStr">
        <is>
          <t>TREDESS 2010</t>
        </is>
      </c>
      <c r="U411" s="672" t="n"/>
      <c r="V411" s="680" t="n">
        <v>46105</v>
      </c>
      <c r="W411" s="680" t="n">
        <v>46112</v>
      </c>
      <c r="X411" s="680" t="n">
        <v>46265</v>
      </c>
      <c r="Y411" s="677" t="n"/>
      <c r="Z411" s="678" t="n">
        <v>0</v>
      </c>
      <c r="AA411" s="678" t="n"/>
      <c r="AB411" s="678" t="n">
        <v>489919.2</v>
      </c>
      <c r="AC411" s="678" t="n"/>
      <c r="AD411" s="678" t="n">
        <v>5246250.76</v>
      </c>
      <c r="AE411" s="682" t="inlineStr">
        <is>
          <t>ENGAGE</t>
        </is>
      </c>
      <c r="AF411" s="681" t="n"/>
      <c r="AG411" s="678" t="n"/>
      <c r="AH411" s="678" t="n"/>
      <c r="AI411" s="678" t="n"/>
      <c r="AJ411" s="678" t="n"/>
      <c r="AK411" s="683" t="n"/>
      <c r="AL411" s="683" t="n"/>
      <c r="AM411" s="681" t="inlineStr">
        <is>
          <t>Publié le 14/04/2026</t>
        </is>
      </c>
    </row>
    <row r="412" ht="65.40000000000001" customHeight="1" s="392">
      <c r="A412" s="672" t="n">
        <v>2026</v>
      </c>
      <c r="B412" s="673" t="inlineStr">
        <is>
          <t>DCPA</t>
        </is>
      </c>
      <c r="C412" s="673" t="inlineStr">
        <is>
          <t>04 CT/SNRT/2026</t>
        </is>
      </c>
      <c r="D412" s="672" t="inlineStr">
        <is>
          <t>CONTRAT</t>
        </is>
      </c>
      <c r="E412" s="672" t="n">
        <v>1</v>
      </c>
      <c r="F412" s="674" t="inlineStr">
        <is>
          <t>La location d’une salle de féte pour le tournage de productions internes de la chaîne Al Aoula – SNRT (30 épisodes de Musique Andalouse)</t>
        </is>
      </c>
      <c r="G412" s="675" t="inlineStr">
        <is>
          <t>VALIDE</t>
        </is>
      </c>
      <c r="H412" s="672" t="inlineStr">
        <is>
          <t>APPROUVE</t>
        </is>
      </c>
      <c r="I412" s="672" t="inlineStr">
        <is>
          <t>378 CT/SNRT/2026</t>
        </is>
      </c>
      <c r="J412" s="675" t="inlineStr">
        <is>
          <t>NON CONCERNE</t>
        </is>
      </c>
      <c r="K412" s="672" t="inlineStr">
        <is>
          <t>Ordinaire</t>
        </is>
      </c>
      <c r="L412" s="676" t="inlineStr">
        <is>
          <t>FONCTIONNEMENT</t>
        </is>
      </c>
      <c r="M412" s="676" t="inlineStr">
        <is>
          <t xml:space="preserve">Achats de productions et de programmes
Achat des programmes en production interne </t>
        </is>
      </c>
      <c r="N412" s="677" t="n"/>
      <c r="O412" s="678" t="n"/>
      <c r="P412" s="678" t="n"/>
      <c r="Q412" s="672" t="inlineStr">
        <is>
          <t>NOUVEAU BESOIN</t>
        </is>
      </c>
      <c r="R412" s="679" t="n"/>
      <c r="S412" s="680" t="n"/>
      <c r="T412" s="681" t="inlineStr">
        <is>
          <t>KZ</t>
        </is>
      </c>
      <c r="U412" s="672" t="n">
        <v>2026</v>
      </c>
      <c r="V412" s="680" t="n">
        <v>46106</v>
      </c>
      <c r="W412" s="680" t="n"/>
      <c r="X412" s="680" t="n">
        <v>46113</v>
      </c>
      <c r="Y412" s="677" t="n">
        <v>70400</v>
      </c>
      <c r="Z412" s="678" t="n">
        <v>0</v>
      </c>
      <c r="AA412" s="678" t="n">
        <v>84480</v>
      </c>
      <c r="AB412" s="678" t="n">
        <v>0</v>
      </c>
      <c r="AC412" s="678">
        <f>Y412</f>
        <v/>
      </c>
      <c r="AD412" s="678">
        <f>AA412</f>
        <v/>
      </c>
      <c r="AE412" s="682" t="inlineStr">
        <is>
          <t>ENGAGE</t>
        </is>
      </c>
      <c r="AF412" s="681" t="n"/>
      <c r="AG412" s="678" t="n"/>
      <c r="AH412" s="678" t="n"/>
      <c r="AI412" s="678" t="n"/>
      <c r="AJ412" s="678" t="n"/>
      <c r="AK412" s="683" t="n"/>
      <c r="AL412" s="683" t="n"/>
      <c r="AM412" s="681" t="inlineStr">
        <is>
          <t>R.A.S</t>
        </is>
      </c>
    </row>
    <row r="413" ht="65.40000000000001" customHeight="1" s="392">
      <c r="A413" s="672" t="n">
        <v>2026</v>
      </c>
      <c r="B413" s="673" t="inlineStr">
        <is>
          <t>DCPA</t>
        </is>
      </c>
      <c r="C413" s="673" t="inlineStr">
        <is>
          <t>06 CT/SNRT/2026</t>
        </is>
      </c>
      <c r="D413" s="672" t="inlineStr">
        <is>
          <t>CONTRAT</t>
        </is>
      </c>
      <c r="E413" s="672" t="n">
        <v>1</v>
      </c>
      <c r="F413" s="674" t="inlineStr">
        <is>
          <t>La préparation, la livraison et le service d’un repas et d’une pause-café, au profit des participants aux productions internes de la SNRT</t>
        </is>
      </c>
      <c r="G413" s="675" t="inlineStr">
        <is>
          <t>VALIDE</t>
        </is>
      </c>
      <c r="H413" s="672" t="inlineStr">
        <is>
          <t>APPROUVE</t>
        </is>
      </c>
      <c r="I413" s="672" t="inlineStr">
        <is>
          <t>390 CT/SNRT/2026</t>
        </is>
      </c>
      <c r="J413" s="675" t="inlineStr">
        <is>
          <t>NON CONCERNE</t>
        </is>
      </c>
      <c r="K413" s="672" t="inlineStr">
        <is>
          <t>Ordinaire</t>
        </is>
      </c>
      <c r="L413" s="676" t="inlineStr">
        <is>
          <t>FONCTIONNEMENT</t>
        </is>
      </c>
      <c r="M413" s="676" t="inlineStr">
        <is>
          <t xml:space="preserve">Achats de productions et de programmes
Achat des programmes en production interne </t>
        </is>
      </c>
      <c r="N413" s="677" t="n"/>
      <c r="O413" s="678" t="n"/>
      <c r="P413" s="678" t="n"/>
      <c r="Q413" s="672" t="inlineStr">
        <is>
          <t>NOUVEAU BESOIN</t>
        </is>
      </c>
      <c r="R413" s="679" t="n"/>
      <c r="S413" s="680" t="n"/>
      <c r="T413" s="681" t="inlineStr">
        <is>
          <t>KZ</t>
        </is>
      </c>
      <c r="U413" s="672" t="n">
        <v>2026</v>
      </c>
      <c r="V413" s="680" t="n">
        <v>46119</v>
      </c>
      <c r="W413" s="680" t="n"/>
      <c r="X413" s="680" t="n">
        <v>46120</v>
      </c>
      <c r="Y413" s="677" t="n">
        <v>81900</v>
      </c>
      <c r="Z413" s="678" t="n">
        <v>0</v>
      </c>
      <c r="AA413" s="678" t="n">
        <v>90090</v>
      </c>
      <c r="AB413" s="678" t="n">
        <v>0</v>
      </c>
      <c r="AC413" s="678">
        <f>Y413</f>
        <v/>
      </c>
      <c r="AD413" s="678">
        <f>AA413</f>
        <v/>
      </c>
      <c r="AE413" s="682" t="inlineStr">
        <is>
          <t>ENGAGE</t>
        </is>
      </c>
      <c r="AF413" s="681" t="n"/>
      <c r="AG413" s="678" t="n"/>
      <c r="AH413" s="678" t="n"/>
      <c r="AI413" s="678" t="n"/>
      <c r="AJ413" s="678" t="n"/>
      <c r="AK413" s="683" t="n"/>
      <c r="AL413" s="683" t="n"/>
      <c r="AM413" s="681" t="inlineStr">
        <is>
          <t>R.A.S</t>
        </is>
      </c>
    </row>
    <row r="414" ht="54.6" customHeight="1" s="392">
      <c r="A414" s="672" t="n">
        <v>2026</v>
      </c>
      <c r="B414" s="673" t="inlineStr">
        <is>
          <t>TDF-EXP&amp;MAIN</t>
        </is>
      </c>
      <c r="C414" s="673" t="inlineStr">
        <is>
          <t>18 AOM/SNRT</t>
        </is>
      </c>
      <c r="D414" s="672" t="inlineStr">
        <is>
          <t>AOO-M</t>
        </is>
      </c>
      <c r="E414" s="672" t="n">
        <v>1</v>
      </c>
      <c r="F414" s="674" t="inlineStr">
        <is>
          <t>Fourniture des modules et pièces de rechanges hydrauliques et électriques pour les émetteurs de diffusion TNT et FM</t>
        </is>
      </c>
      <c r="G414" s="675" t="inlineStr">
        <is>
          <t>VALIDE</t>
        </is>
      </c>
      <c r="H414" s="672" t="inlineStr">
        <is>
          <t>APPROUVE</t>
        </is>
      </c>
      <c r="I414" s="691" t="n"/>
      <c r="J414" s="675" t="inlineStr">
        <is>
          <t>GENERAL</t>
        </is>
      </c>
      <c r="K414" s="672" t="inlineStr">
        <is>
          <t>Ordinaire</t>
        </is>
      </c>
      <c r="L414" s="676" t="inlineStr">
        <is>
          <t>FONCTIONNEMENT</t>
        </is>
      </c>
      <c r="M414" s="676" t="inlineStr">
        <is>
          <t>Achats de matières et fournitures consommables</t>
        </is>
      </c>
      <c r="N414" s="677">
        <f>O414*1.2</f>
        <v/>
      </c>
      <c r="O414" s="678" t="n">
        <v>950000</v>
      </c>
      <c r="P414" s="678">
        <f>O414/1.2</f>
        <v/>
      </c>
      <c r="Q414" s="672" t="inlineStr">
        <is>
          <t>BESOIN RECURRENT</t>
        </is>
      </c>
      <c r="R414" s="679" t="n"/>
      <c r="S414" s="680" t="n"/>
      <c r="T414" s="681" t="inlineStr">
        <is>
          <t>NEURO MEDIA</t>
        </is>
      </c>
      <c r="U414" s="672" t="n"/>
      <c r="V414" s="680" t="n">
        <v>46106</v>
      </c>
      <c r="W414" s="680" t="n">
        <v>46120</v>
      </c>
      <c r="X414" s="680" t="n">
        <v>46210</v>
      </c>
      <c r="Y414" s="677">
        <f>AC414</f>
        <v/>
      </c>
      <c r="Z414" s="678" t="n">
        <v>0</v>
      </c>
      <c r="AA414" s="678" t="n">
        <v>832134</v>
      </c>
      <c r="AB414" s="678" t="n">
        <v>0</v>
      </c>
      <c r="AC414" s="678">
        <f>AD414/1.2</f>
        <v/>
      </c>
      <c r="AD414" s="678" t="n">
        <v>832134</v>
      </c>
      <c r="AE414" s="682" t="inlineStr">
        <is>
          <t>ENGAGE</t>
        </is>
      </c>
      <c r="AF414" s="681" t="n"/>
      <c r="AG414" s="678" t="n"/>
      <c r="AH414" s="678" t="n"/>
      <c r="AI414" s="678" t="n"/>
      <c r="AJ414" s="678" t="n"/>
      <c r="AK414" s="683" t="n"/>
      <c r="AL414" s="683" t="n"/>
      <c r="AM414" s="681" t="inlineStr">
        <is>
          <t>R.A.S</t>
        </is>
      </c>
    </row>
    <row r="415" ht="54.6" customHeight="1" s="392">
      <c r="A415" s="672" t="n">
        <v>2026</v>
      </c>
      <c r="B415" s="673" t="inlineStr">
        <is>
          <t>TDF-EXP&amp;MAIN</t>
        </is>
      </c>
      <c r="C415" s="673" t="inlineStr">
        <is>
          <t>01 AOM/SNRT</t>
        </is>
      </c>
      <c r="D415" s="672" t="inlineStr">
        <is>
          <t>AOO-M</t>
        </is>
      </c>
      <c r="E415" s="672" t="n">
        <v>1</v>
      </c>
      <c r="F415" s="674" t="inlineStr">
        <is>
          <t>Entretien et maintenance des équipement électriques, électroniques des climatiseurs aux centres de diffusion y compris la fourniture des pièces de rechange</t>
        </is>
      </c>
      <c r="G415" s="675" t="inlineStr">
        <is>
          <t>INFRUCTUEUX</t>
        </is>
      </c>
      <c r="H415" s="672" t="inlineStr">
        <is>
          <t>INFRUCTUEUX</t>
        </is>
      </c>
      <c r="I415" s="691" t="n"/>
      <c r="J415" s="675" t="inlineStr">
        <is>
          <t>GENERAL</t>
        </is>
      </c>
      <c r="K415" s="672" t="inlineStr">
        <is>
          <t>Ordinaire</t>
        </is>
      </c>
      <c r="L415" s="676" t="inlineStr">
        <is>
          <t>FONCTIONNEMENT</t>
        </is>
      </c>
      <c r="M415" s="676" t="inlineStr">
        <is>
          <t>Entretien, réparation et assurance</t>
        </is>
      </c>
      <c r="N415" s="677">
        <f>O415*1.2</f>
        <v/>
      </c>
      <c r="O415" s="678" t="n">
        <v>3600000</v>
      </c>
      <c r="P415" s="678">
        <f>O415/1.2</f>
        <v/>
      </c>
      <c r="Q415" s="672" t="inlineStr">
        <is>
          <t>BESOIN RECURRENT</t>
        </is>
      </c>
      <c r="R415" s="679" t="n"/>
      <c r="S415" s="680" t="n"/>
      <c r="T415" s="681" t="n"/>
      <c r="U415" s="672" t="n"/>
      <c r="V415" s="680" t="n">
        <v>46107</v>
      </c>
      <c r="W415" s="680" t="n">
        <v>46112</v>
      </c>
      <c r="X415" s="680" t="n"/>
      <c r="Y415" s="677" t="n">
        <v>0</v>
      </c>
      <c r="Z415" s="678" t="n">
        <v>0</v>
      </c>
      <c r="AA415" s="678" t="n">
        <v>0</v>
      </c>
      <c r="AB415" s="678" t="n">
        <v>0</v>
      </c>
      <c r="AC415" s="678" t="n">
        <v>0</v>
      </c>
      <c r="AD415" s="678" t="n">
        <v>0</v>
      </c>
      <c r="AE415" s="682" t="inlineStr">
        <is>
          <t>NON ENGAGE</t>
        </is>
      </c>
      <c r="AF415" s="681" t="n"/>
      <c r="AG415" s="678" t="n"/>
      <c r="AH415" s="678" t="n"/>
      <c r="AI415" s="678" t="n"/>
      <c r="AJ415" s="678" t="n"/>
      <c r="AK415" s="683" t="n"/>
      <c r="AL415" s="683" t="n"/>
      <c r="AM415" s="681" t="inlineStr">
        <is>
          <t>R.A.S</t>
        </is>
      </c>
    </row>
    <row r="416" ht="38.40000000000001" customHeight="1" s="392">
      <c r="A416" s="672" t="n">
        <v>2026</v>
      </c>
      <c r="B416" s="673" t="inlineStr">
        <is>
          <t>ARRIYADIA</t>
        </is>
      </c>
      <c r="C416" s="673" t="inlineStr">
        <is>
          <t>EXCLUSIVITÉ</t>
        </is>
      </c>
      <c r="D416" s="672" t="inlineStr">
        <is>
          <t>CONTRAT</t>
        </is>
      </c>
      <c r="E416" s="672" t="n">
        <v>1</v>
      </c>
      <c r="F416" s="674" t="inlineStr">
        <is>
          <t>L’acquisition des droits de diffusion des combats de TAEKWONDO saison – 2026 -</t>
        </is>
      </c>
      <c r="G416" s="675" t="inlineStr">
        <is>
          <t>VALIDE</t>
        </is>
      </c>
      <c r="H416" s="672" t="inlineStr">
        <is>
          <t>APPROUVE</t>
        </is>
      </c>
      <c r="I416" s="691" t="n"/>
      <c r="J416" s="675" t="inlineStr">
        <is>
          <t>NON CONCERNE</t>
        </is>
      </c>
      <c r="K416" s="672" t="inlineStr">
        <is>
          <t>Ordinaire</t>
        </is>
      </c>
      <c r="L416" s="676" t="inlineStr">
        <is>
          <t>FONCTIONNEMENT</t>
        </is>
      </c>
      <c r="M416" s="676" t="inlineStr">
        <is>
          <t>Achats de droits
Achats de droit de sport</t>
        </is>
      </c>
      <c r="N416" s="677" t="n"/>
      <c r="O416" s="678" t="n"/>
      <c r="P416" s="678" t="n"/>
      <c r="Q416" s="672" t="inlineStr">
        <is>
          <t>RECONDUCTION</t>
        </is>
      </c>
      <c r="R416" s="679" t="n"/>
      <c r="S416" s="680" t="n"/>
      <c r="T416" s="681" t="inlineStr">
        <is>
          <t>SILVER SPRING MEDIA AB*</t>
        </is>
      </c>
      <c r="U416" s="672" t="n">
        <v>2026</v>
      </c>
      <c r="V416" s="680" t="n"/>
      <c r="W416" s="680" t="n"/>
      <c r="X416" s="680" t="n">
        <v>46167</v>
      </c>
      <c r="Y416" s="677" t="n">
        <v>321020</v>
      </c>
      <c r="Z416" s="678" t="n">
        <v>35000</v>
      </c>
      <c r="AA416" s="678" t="n">
        <v>321020</v>
      </c>
      <c r="AB416" s="678" t="n">
        <v>35000</v>
      </c>
      <c r="AC416" s="678" t="n">
        <v>321020</v>
      </c>
      <c r="AD416" s="678" t="n">
        <v>321020</v>
      </c>
      <c r="AE416" s="682" t="inlineStr">
        <is>
          <t>ENGAGE</t>
        </is>
      </c>
      <c r="AF416" s="681" t="n"/>
      <c r="AG416" s="678" t="n"/>
      <c r="AH416" s="678" t="n"/>
      <c r="AI416" s="678" t="n"/>
      <c r="AJ416" s="678" t="n"/>
      <c r="AK416" s="683" t="n"/>
      <c r="AL416" s="683" t="n"/>
      <c r="AM416" s="681" t="inlineStr">
        <is>
          <t>N° + Date Approbation</t>
        </is>
      </c>
    </row>
    <row r="417" ht="38.40000000000001" customHeight="1" s="392">
      <c r="A417" s="672" t="n">
        <v>2026</v>
      </c>
      <c r="B417" s="673" t="inlineStr">
        <is>
          <t>ARRIYADIA</t>
        </is>
      </c>
      <c r="C417" s="673" t="inlineStr">
        <is>
          <t>EXCLUSIVITÉ</t>
        </is>
      </c>
      <c r="D417" s="672" t="inlineStr">
        <is>
          <t>CONTRAT</t>
        </is>
      </c>
      <c r="E417" s="672" t="n">
        <v>1</v>
      </c>
      <c r="F417" s="674" t="inlineStr">
        <is>
          <t>L’acquisition des droits de diffusion des combats de KARATE saison – 2026 -</t>
        </is>
      </c>
      <c r="G417" s="675" t="inlineStr">
        <is>
          <t>VALIDE</t>
        </is>
      </c>
      <c r="H417" s="672" t="inlineStr">
        <is>
          <t>APPROUVE</t>
        </is>
      </c>
      <c r="I417" s="691" t="n"/>
      <c r="J417" s="675" t="inlineStr">
        <is>
          <t>NON CONCERNE</t>
        </is>
      </c>
      <c r="K417" s="672" t="inlineStr">
        <is>
          <t>Ordinaire</t>
        </is>
      </c>
      <c r="L417" s="676" t="inlineStr">
        <is>
          <t>FONCTIONNEMENT</t>
        </is>
      </c>
      <c r="M417" s="676" t="inlineStr">
        <is>
          <t>Achats de droits
Achats de droit de sport</t>
        </is>
      </c>
      <c r="N417" s="677" t="n"/>
      <c r="O417" s="678" t="n"/>
      <c r="P417" s="678" t="n"/>
      <c r="Q417" s="672" t="inlineStr">
        <is>
          <t>RECONDUCTION</t>
        </is>
      </c>
      <c r="R417" s="679" t="n"/>
      <c r="S417" s="680" t="n"/>
      <c r="T417" s="681" t="inlineStr">
        <is>
          <t>SILVER SPRING MEDIA AB*</t>
        </is>
      </c>
      <c r="U417" s="672" t="n">
        <v>2026</v>
      </c>
      <c r="V417" s="680" t="n"/>
      <c r="W417" s="680" t="n"/>
      <c r="X417" s="680" t="n">
        <v>46167</v>
      </c>
      <c r="Y417" s="677" t="n">
        <v>321020</v>
      </c>
      <c r="Z417" s="678" t="n">
        <v>35000</v>
      </c>
      <c r="AA417" s="678" t="n">
        <v>321020</v>
      </c>
      <c r="AB417" s="678" t="n">
        <v>35000</v>
      </c>
      <c r="AC417" s="678" t="n">
        <v>321020</v>
      </c>
      <c r="AD417" s="678" t="n">
        <v>321020</v>
      </c>
      <c r="AE417" s="682" t="inlineStr">
        <is>
          <t>ENGAGE</t>
        </is>
      </c>
      <c r="AF417" s="681" t="n"/>
      <c r="AG417" s="678" t="n"/>
      <c r="AH417" s="678" t="n"/>
      <c r="AI417" s="678" t="n"/>
      <c r="AJ417" s="678" t="n"/>
      <c r="AK417" s="683" t="n"/>
      <c r="AL417" s="683" t="n"/>
      <c r="AM417" s="681" t="inlineStr">
        <is>
          <t>N° + Date Approbation</t>
        </is>
      </c>
    </row>
    <row r="418" ht="35.7" customHeight="1" s="392">
      <c r="A418" s="672" t="n">
        <v>2026</v>
      </c>
      <c r="B418" s="673" t="inlineStr">
        <is>
          <t>ARRIYADIA</t>
        </is>
      </c>
      <c r="C418" s="673" t="inlineStr">
        <is>
          <t>RECONDUCTION</t>
        </is>
      </c>
      <c r="D418" s="672" t="inlineStr">
        <is>
          <t>CONTRAT</t>
        </is>
      </c>
      <c r="E418" s="672" t="n">
        <v>1</v>
      </c>
      <c r="F418" s="674" t="inlineStr">
        <is>
          <t>Contrats conclus avec la FRM de HANDBALL</t>
        </is>
      </c>
      <c r="G418" s="675" t="inlineStr">
        <is>
          <t>VALIDE</t>
        </is>
      </c>
      <c r="H418" s="672" t="inlineStr">
        <is>
          <t>APPROUVE</t>
        </is>
      </c>
      <c r="I418" s="672" t="inlineStr">
        <is>
          <t>01-SNRT/FRMHB-2026</t>
        </is>
      </c>
      <c r="J418" s="675" t="inlineStr">
        <is>
          <t>NON CONCERNE</t>
        </is>
      </c>
      <c r="K418" s="672" t="inlineStr">
        <is>
          <t>Ordinaire</t>
        </is>
      </c>
      <c r="L418" s="676" t="inlineStr">
        <is>
          <t>FONCTIONNEMENT</t>
        </is>
      </c>
      <c r="M418" s="676" t="inlineStr">
        <is>
          <t>Achats de droits
Achats de droit de sport</t>
        </is>
      </c>
      <c r="N418" s="677" t="n"/>
      <c r="O418" s="678" t="n"/>
      <c r="P418" s="678" t="n"/>
      <c r="Q418" s="672" t="inlineStr">
        <is>
          <t>RECONDUCTION</t>
        </is>
      </c>
      <c r="R418" s="679" t="n"/>
      <c r="S418" s="680" t="n"/>
      <c r="T418" s="681" t="inlineStr">
        <is>
          <t>FRM HANDBALL</t>
        </is>
      </c>
      <c r="U418" s="672" t="n">
        <v>2026</v>
      </c>
      <c r="V418" s="680" t="n">
        <v>46118</v>
      </c>
      <c r="W418" s="680" t="n"/>
      <c r="X418" s="680" t="n">
        <v>46119</v>
      </c>
      <c r="Y418" s="677" t="n">
        <v>926100</v>
      </c>
      <c r="Z418" s="678" t="n">
        <v>0</v>
      </c>
      <c r="AA418" s="678">
        <f>+Y418</f>
        <v/>
      </c>
      <c r="AB418" s="678" t="n">
        <v>0</v>
      </c>
      <c r="AC418" s="678">
        <f>+AA418</f>
        <v/>
      </c>
      <c r="AD418" s="678">
        <f>+AC418</f>
        <v/>
      </c>
      <c r="AE418" s="682" t="inlineStr">
        <is>
          <t>ENGAGE</t>
        </is>
      </c>
      <c r="AF418" s="681" t="n"/>
      <c r="AG418" s="678" t="n"/>
      <c r="AH418" s="678" t="n"/>
      <c r="AI418" s="678" t="n"/>
      <c r="AJ418" s="678" t="n"/>
      <c r="AK418" s="683" t="n"/>
      <c r="AL418" s="683" t="n"/>
      <c r="AM418" s="681" t="inlineStr">
        <is>
          <t>R.A.S</t>
        </is>
      </c>
    </row>
    <row r="419" ht="38.40000000000001" customHeight="1" s="392">
      <c r="A419" s="672" t="n">
        <v>2024</v>
      </c>
      <c r="B419" s="673" t="inlineStr">
        <is>
          <t>ARRIYADIA</t>
        </is>
      </c>
      <c r="C419" s="673" t="inlineStr">
        <is>
          <t>RECONDUCTIBLE</t>
        </is>
      </c>
      <c r="D419" s="672" t="inlineStr">
        <is>
          <t>CONTRAT</t>
        </is>
      </c>
      <c r="E419" s="672" t="n">
        <v>1</v>
      </c>
      <c r="F419" s="674" t="inlineStr">
        <is>
          <t>achat des droits sportifs du championnat du monde d'athlétisme (2024-2029)</t>
        </is>
      </c>
      <c r="G419" s="675" t="inlineStr">
        <is>
          <t>VALIDE</t>
        </is>
      </c>
      <c r="H419" s="672" t="inlineStr">
        <is>
          <t>APPROUVE</t>
        </is>
      </c>
      <c r="I419" s="672" t="inlineStr">
        <is>
          <t>002020124/CT-SNRT</t>
        </is>
      </c>
      <c r="J419" s="675" t="inlineStr">
        <is>
          <t>NON CONCERNE</t>
        </is>
      </c>
      <c r="K419" s="672" t="inlineStr">
        <is>
          <t>Ordinaire</t>
        </is>
      </c>
      <c r="L419" s="676" t="inlineStr">
        <is>
          <t>FONCTIONNEMENT</t>
        </is>
      </c>
      <c r="M419" s="676" t="inlineStr">
        <is>
          <t>Achats de droits
Achats de droit de sport</t>
        </is>
      </c>
      <c r="N419" s="677" t="n"/>
      <c r="O419" s="678" t="n"/>
      <c r="P419" s="678" t="n"/>
      <c r="Q419" s="672" t="inlineStr">
        <is>
          <t>RECONDUCTIBLE</t>
        </is>
      </c>
      <c r="R419" s="679" t="n"/>
      <c r="S419" s="680" t="n"/>
      <c r="T419" s="681" t="inlineStr">
        <is>
          <t>EBU</t>
        </is>
      </c>
      <c r="U419" s="672" t="n">
        <v>2024</v>
      </c>
      <c r="V419" s="680" t="inlineStr">
        <is>
          <t>-</t>
        </is>
      </c>
      <c r="W419" s="680" t="n"/>
      <c r="X419" s="680" t="inlineStr">
        <is>
          <t>-</t>
        </is>
      </c>
      <c r="Y419" s="677" t="n">
        <v>1200000</v>
      </c>
      <c r="Z419" s="678" t="n">
        <v>0</v>
      </c>
      <c r="AA419" s="678" t="n">
        <v>1200000</v>
      </c>
      <c r="AB419" s="678" t="n">
        <v>0</v>
      </c>
      <c r="AC419" s="678" t="n">
        <v>1200000</v>
      </c>
      <c r="AD419" s="678" t="n">
        <v>1200000</v>
      </c>
      <c r="AE419" s="682" t="inlineStr">
        <is>
          <t>ENGAGE</t>
        </is>
      </c>
      <c r="AF419" s="681" t="n"/>
      <c r="AG419" s="678" t="n"/>
      <c r="AH419" s="678" t="n"/>
      <c r="AI419" s="678" t="n"/>
      <c r="AJ419" s="678" t="n"/>
      <c r="AK419" s="683" t="n"/>
      <c r="AL419" s="683" t="n"/>
      <c r="AM419" s="681" t="inlineStr">
        <is>
          <t>R.A.S</t>
        </is>
      </c>
    </row>
    <row r="420" ht="87" customHeight="1" s="392">
      <c r="A420" s="672" t="n">
        <v>2023</v>
      </c>
      <c r="B420" s="673" t="inlineStr">
        <is>
          <t>ARRIYADIA</t>
        </is>
      </c>
      <c r="C420" s="673" t="inlineStr">
        <is>
          <t>RECONDUCTIBLE</t>
        </is>
      </c>
      <c r="D420" s="672" t="inlineStr">
        <is>
          <t>CONTRAT</t>
        </is>
      </c>
      <c r="E420" s="672" t="n">
        <v>1</v>
      </c>
      <c r="F420" s="674" t="inlineStr">
        <is>
          <t>la Couverture, production retransmission et diffusion audiovisuelle de tous les événements Tennis : Grand prix Hassan II; grand prix SAR la Princesse Lalla Meryem; coupe Davis au titres des années 2023; 2024; 2025; 2026; 2027; 2028</t>
        </is>
      </c>
      <c r="G420" s="675" t="inlineStr">
        <is>
          <t>VALIDE</t>
        </is>
      </c>
      <c r="H420" s="672" t="inlineStr">
        <is>
          <t>APPROUVE</t>
        </is>
      </c>
      <c r="I420" s="672" t="inlineStr">
        <is>
          <t>472 CT/SNRT/2023</t>
        </is>
      </c>
      <c r="J420" s="675" t="inlineStr">
        <is>
          <t>NON CONCERNE</t>
        </is>
      </c>
      <c r="K420" s="672" t="inlineStr">
        <is>
          <t>Ordinaire</t>
        </is>
      </c>
      <c r="L420" s="676" t="inlineStr">
        <is>
          <t>FONCTIONNEMENT</t>
        </is>
      </c>
      <c r="M420" s="676" t="inlineStr">
        <is>
          <t>Achats de droits
Achats de droit de sport</t>
        </is>
      </c>
      <c r="N420" s="677" t="n"/>
      <c r="O420" s="678" t="n"/>
      <c r="P420" s="678" t="n"/>
      <c r="Q420" s="672" t="inlineStr">
        <is>
          <t>RECONDUCTIBLE</t>
        </is>
      </c>
      <c r="R420" s="679" t="n"/>
      <c r="S420" s="680" t="n"/>
      <c r="T420" s="681" t="inlineStr">
        <is>
          <t>FRMT</t>
        </is>
      </c>
      <c r="U420" s="672" t="n">
        <v>2023</v>
      </c>
      <c r="V420" s="680" t="inlineStr">
        <is>
          <t>-</t>
        </is>
      </c>
      <c r="W420" s="680" t="n"/>
      <c r="X420" s="680" t="inlineStr">
        <is>
          <t>-</t>
        </is>
      </c>
      <c r="Y420" s="677" t="n">
        <v>1000000</v>
      </c>
      <c r="Z420" s="678" t="n">
        <v>0</v>
      </c>
      <c r="AA420" s="678" t="n">
        <v>1000000</v>
      </c>
      <c r="AB420" s="678" t="n">
        <v>0</v>
      </c>
      <c r="AC420" s="678" t="n">
        <v>1000000</v>
      </c>
      <c r="AD420" s="678" t="n">
        <v>1000000</v>
      </c>
      <c r="AE420" s="682" t="inlineStr">
        <is>
          <t>ENGAGE</t>
        </is>
      </c>
      <c r="AF420" s="681" t="n"/>
      <c r="AG420" s="678" t="n"/>
      <c r="AH420" s="678" t="n"/>
      <c r="AI420" s="678" t="n"/>
      <c r="AJ420" s="678" t="n"/>
      <c r="AK420" s="683" t="n"/>
      <c r="AL420" s="683" t="n"/>
      <c r="AM420" s="681" t="inlineStr">
        <is>
          <t>R.A.S</t>
        </is>
      </c>
    </row>
    <row r="421" ht="70.80000000000001" customHeight="1" s="392">
      <c r="A421" s="672" t="n">
        <v>2022</v>
      </c>
      <c r="B421" s="673" t="inlineStr">
        <is>
          <t>ARRIYADIA</t>
        </is>
      </c>
      <c r="C421" s="673" t="inlineStr">
        <is>
          <t>RECONDUCTIBLE</t>
        </is>
      </c>
      <c r="D421" s="672" t="inlineStr">
        <is>
          <t>CONTRAT</t>
        </is>
      </c>
      <c r="E421" s="672" t="n">
        <v>1</v>
      </c>
      <c r="F421" s="674" t="inlineStr">
        <is>
          <t>La cession exclusive à la SNRT des droits d'exploitation audiovisuelle des manifestations, compétitions et/ou évènements spotifs dont la FRMF détient les droits saisons 2022/2023;2023/2024; 2024/2025; 2025/2026</t>
        </is>
      </c>
      <c r="G421" s="675" t="inlineStr">
        <is>
          <t>VALIDE</t>
        </is>
      </c>
      <c r="H421" s="672" t="inlineStr">
        <is>
          <t>APPROUVE</t>
        </is>
      </c>
      <c r="I421" s="672" t="inlineStr">
        <is>
          <t>612 CT/SNRT/2022</t>
        </is>
      </c>
      <c r="J421" s="675" t="inlineStr">
        <is>
          <t>NON CONCERNE</t>
        </is>
      </c>
      <c r="K421" s="672" t="inlineStr">
        <is>
          <t>Ordinaire</t>
        </is>
      </c>
      <c r="L421" s="676" t="inlineStr">
        <is>
          <t>FONCTIONNEMENT</t>
        </is>
      </c>
      <c r="M421" s="676" t="inlineStr">
        <is>
          <t>Achats de droits
Achats de droit de sport</t>
        </is>
      </c>
      <c r="N421" s="677" t="n"/>
      <c r="O421" s="678" t="n"/>
      <c r="P421" s="678" t="n"/>
      <c r="Q421" s="672" t="inlineStr">
        <is>
          <t>RECONDUCTIBLE</t>
        </is>
      </c>
      <c r="R421" s="679" t="n"/>
      <c r="S421" s="680" t="n"/>
      <c r="T421" s="681" t="inlineStr">
        <is>
          <t>FRMF</t>
        </is>
      </c>
      <c r="U421" s="672" t="n">
        <v>2022</v>
      </c>
      <c r="V421" s="680" t="inlineStr">
        <is>
          <t>-</t>
        </is>
      </c>
      <c r="W421" s="680" t="n"/>
      <c r="X421" s="680" t="inlineStr">
        <is>
          <t>-</t>
        </is>
      </c>
      <c r="Y421" s="677" t="n">
        <v>155000000</v>
      </c>
      <c r="Z421" s="678" t="n">
        <v>0</v>
      </c>
      <c r="AA421" s="678" t="n">
        <v>155000000</v>
      </c>
      <c r="AB421" s="678" t="n">
        <v>0</v>
      </c>
      <c r="AC421" s="678" t="n">
        <v>155000000</v>
      </c>
      <c r="AD421" s="678" t="n">
        <v>155000000</v>
      </c>
      <c r="AE421" s="682" t="inlineStr">
        <is>
          <t>ENGAGE</t>
        </is>
      </c>
      <c r="AF421" s="681" t="n"/>
      <c r="AG421" s="678" t="n"/>
      <c r="AH421" s="678" t="n"/>
      <c r="AI421" s="678" t="n"/>
      <c r="AJ421" s="678" t="n"/>
      <c r="AK421" s="683" t="n"/>
      <c r="AL421" s="683" t="n"/>
      <c r="AM421" s="681" t="inlineStr">
        <is>
          <t>R.A.S</t>
        </is>
      </c>
    </row>
    <row r="422" ht="35.7" customHeight="1" s="392">
      <c r="A422" s="672" t="n">
        <v>2026</v>
      </c>
      <c r="B422" s="673" t="inlineStr">
        <is>
          <t>ARRIYADIA</t>
        </is>
      </c>
      <c r="C422" s="673" t="inlineStr">
        <is>
          <t>RECONDUCTION</t>
        </is>
      </c>
      <c r="D422" s="672" t="inlineStr">
        <is>
          <t>CONTRAT</t>
        </is>
      </c>
      <c r="E422" s="672" t="n">
        <v>1</v>
      </c>
      <c r="F422" s="674" t="inlineStr">
        <is>
          <t>Contrats conclus avec la FRM de RUGBY</t>
        </is>
      </c>
      <c r="G422" s="675" t="inlineStr">
        <is>
          <t>VALIDE</t>
        </is>
      </c>
      <c r="H422" s="672" t="inlineStr">
        <is>
          <t>APPROUVE</t>
        </is>
      </c>
      <c r="I422" s="672" t="inlineStr">
        <is>
          <t>01-SNRT/FRMR-2026</t>
        </is>
      </c>
      <c r="J422" s="675" t="inlineStr">
        <is>
          <t>NON CONCERNE</t>
        </is>
      </c>
      <c r="K422" s="672" t="inlineStr">
        <is>
          <t>Ordinaire</t>
        </is>
      </c>
      <c r="L422" s="676" t="inlineStr">
        <is>
          <t>FONCTIONNEMENT</t>
        </is>
      </c>
      <c r="M422" s="676" t="inlineStr">
        <is>
          <t>Achats de droits
Achats de droit de sport</t>
        </is>
      </c>
      <c r="N422" s="677" t="n"/>
      <c r="O422" s="678" t="n"/>
      <c r="P422" s="678" t="n"/>
      <c r="Q422" s="672" t="inlineStr">
        <is>
          <t>RECONDUCTION</t>
        </is>
      </c>
      <c r="R422" s="679" t="n"/>
      <c r="S422" s="680" t="n"/>
      <c r="T422" s="681" t="inlineStr">
        <is>
          <t>FRM RUGBY</t>
        </is>
      </c>
      <c r="U422" s="672" t="n">
        <v>2026</v>
      </c>
      <c r="V422" s="680" t="n">
        <v>46118</v>
      </c>
      <c r="W422" s="680" t="n"/>
      <c r="X422" s="680" t="n">
        <v>46119</v>
      </c>
      <c r="Y422" s="677" t="n">
        <v>250000</v>
      </c>
      <c r="Z422" s="678" t="n">
        <v>0</v>
      </c>
      <c r="AA422" s="678">
        <f>+Y422</f>
        <v/>
      </c>
      <c r="AB422" s="678" t="n">
        <v>0</v>
      </c>
      <c r="AC422" s="678">
        <f>+AA422</f>
        <v/>
      </c>
      <c r="AD422" s="678">
        <f>+AC422</f>
        <v/>
      </c>
      <c r="AE422" s="682" t="inlineStr">
        <is>
          <t>ENGAGE</t>
        </is>
      </c>
      <c r="AF422" s="681" t="n"/>
      <c r="AG422" s="678" t="n"/>
      <c r="AH422" s="678" t="n"/>
      <c r="AI422" s="678" t="n"/>
      <c r="AJ422" s="678" t="n"/>
      <c r="AK422" s="683" t="n"/>
      <c r="AL422" s="683" t="n"/>
      <c r="AM422" s="681" t="inlineStr">
        <is>
          <t>R.A.S</t>
        </is>
      </c>
    </row>
    <row r="423" ht="70.80000000000001" customHeight="1" s="392">
      <c r="A423" s="672" t="n">
        <v>2026</v>
      </c>
      <c r="B423" s="673" t="inlineStr">
        <is>
          <t>DCPA</t>
        </is>
      </c>
      <c r="C423" s="673" t="inlineStr">
        <is>
          <t>EXCLUSIVITÉ</t>
        </is>
      </c>
      <c r="D423" s="672" t="inlineStr">
        <is>
          <t>CONTRAT</t>
        </is>
      </c>
      <c r="E423" s="672" t="n">
        <v>1</v>
      </c>
      <c r="F423" s="674" t="inlineStr">
        <is>
          <t>La cession au profit de la SNRT des droits de captation et de diffusion des actualités et la couverture télévisée de la 15éme édition du Festival de Fiction TV de Meknès qui se tiendra du 03 au 07 avril 2026</t>
        </is>
      </c>
      <c r="G423" s="675" t="inlineStr">
        <is>
          <t>VALIDE</t>
        </is>
      </c>
      <c r="H423" s="672" t="inlineStr">
        <is>
          <t>APPROUVE</t>
        </is>
      </c>
      <c r="I423" s="672" t="inlineStr">
        <is>
          <t>385 CT/SNRT/2026</t>
        </is>
      </c>
      <c r="J423" s="675" t="inlineStr">
        <is>
          <t>NON CONCERNE</t>
        </is>
      </c>
      <c r="K423" s="672" t="inlineStr">
        <is>
          <t>Ordinaire</t>
        </is>
      </c>
      <c r="L423" s="676" t="inlineStr">
        <is>
          <t>FONCTIONNEMENT</t>
        </is>
      </c>
      <c r="M423" s="676" t="inlineStr">
        <is>
          <t>Achats de droits 
Achats des droits de captation</t>
        </is>
      </c>
      <c r="N423" s="677" t="n"/>
      <c r="O423" s="678" t="n"/>
      <c r="P423" s="678" t="n"/>
      <c r="Q423" s="672" t="inlineStr">
        <is>
          <t>NOUVEAU BESOIN</t>
        </is>
      </c>
      <c r="R423" s="679" t="n"/>
      <c r="S423" s="680" t="n"/>
      <c r="T423" s="681" t="inlineStr">
        <is>
          <t>Association le spectacle libre</t>
        </is>
      </c>
      <c r="U423" s="672" t="n">
        <v>2026</v>
      </c>
      <c r="V423" s="680" t="n">
        <v>46113</v>
      </c>
      <c r="W423" s="680" t="n"/>
      <c r="X423" s="680" t="n">
        <v>46113</v>
      </c>
      <c r="Y423" s="677" t="n">
        <v>200000</v>
      </c>
      <c r="Z423" s="678" t="n">
        <v>0</v>
      </c>
      <c r="AA423" s="678" t="n">
        <v>200000</v>
      </c>
      <c r="AB423" s="678" t="n">
        <v>0</v>
      </c>
      <c r="AC423" s="678">
        <f>Y423</f>
        <v/>
      </c>
      <c r="AD423" s="678">
        <f>AA423</f>
        <v/>
      </c>
      <c r="AE423" s="682" t="inlineStr">
        <is>
          <t>ENGAGE</t>
        </is>
      </c>
      <c r="AF423" s="681" t="n"/>
      <c r="AG423" s="678" t="n"/>
      <c r="AH423" s="678" t="n"/>
      <c r="AI423" s="678" t="n"/>
      <c r="AJ423" s="678" t="n"/>
      <c r="AK423" s="683" t="n"/>
      <c r="AL423" s="683" t="n"/>
      <c r="AM423" s="681" t="inlineStr">
        <is>
          <t>R.A.S</t>
        </is>
      </c>
    </row>
    <row r="424" ht="38.40000000000001" customHeight="1" s="392">
      <c r="A424" s="672" t="n">
        <v>2026</v>
      </c>
      <c r="B424" s="673" t="inlineStr">
        <is>
          <t>DMPTV</t>
        </is>
      </c>
      <c r="C424" s="673" t="inlineStr">
        <is>
          <t>EXCLUSIVITÉ</t>
        </is>
      </c>
      <c r="D424" s="672" t="inlineStr">
        <is>
          <t>CONTRAT</t>
        </is>
      </c>
      <c r="E424" s="672" t="n">
        <v>1</v>
      </c>
      <c r="F424" s="674" t="inlineStr">
        <is>
          <t>La publication des insertions de la SNRT dans la revue de la gendarmerie royale</t>
        </is>
      </c>
      <c r="G424" s="675" t="inlineStr">
        <is>
          <t>VALIDE</t>
        </is>
      </c>
      <c r="H424" s="672" t="inlineStr">
        <is>
          <t>APPROUVE</t>
        </is>
      </c>
      <c r="I424" s="672" t="inlineStr">
        <is>
          <t>386 CT/SNRT/2026</t>
        </is>
      </c>
      <c r="J424" s="675" t="inlineStr">
        <is>
          <t>NON CONCERNE</t>
        </is>
      </c>
      <c r="K424" s="672" t="inlineStr">
        <is>
          <t>Ordinaire</t>
        </is>
      </c>
      <c r="L424" s="676" t="inlineStr">
        <is>
          <t>FONCTIONNEMENT</t>
        </is>
      </c>
      <c r="M424" s="676" t="inlineStr">
        <is>
          <t>Charges marketing et relations publiques</t>
        </is>
      </c>
      <c r="N424" s="677" t="n"/>
      <c r="O424" s="678" t="n"/>
      <c r="P424" s="678" t="n"/>
      <c r="Q424" s="672" t="inlineStr">
        <is>
          <t>NOUVEAU BESOIN</t>
        </is>
      </c>
      <c r="R424" s="679" t="n"/>
      <c r="S424" s="680" t="n"/>
      <c r="T424" s="681" t="inlineStr">
        <is>
          <t>MEDIAREP</t>
        </is>
      </c>
      <c r="U424" s="672" t="n">
        <v>2026</v>
      </c>
      <c r="V424" s="680" t="n">
        <v>46114</v>
      </c>
      <c r="W424" s="680" t="n"/>
      <c r="X424" s="680" t="n">
        <v>46135</v>
      </c>
      <c r="Y424" s="677" t="n">
        <v>60000</v>
      </c>
      <c r="Z424" s="678" t="n">
        <v>0</v>
      </c>
      <c r="AA424" s="678" t="n">
        <v>72000</v>
      </c>
      <c r="AB424" s="678" t="n">
        <v>0</v>
      </c>
      <c r="AC424" s="678">
        <f>Y424</f>
        <v/>
      </c>
      <c r="AD424" s="678">
        <f>AA424</f>
        <v/>
      </c>
      <c r="AE424" s="682" t="inlineStr">
        <is>
          <t>ENGAGE</t>
        </is>
      </c>
      <c r="AF424" s="681" t="n"/>
      <c r="AG424" s="678" t="n"/>
      <c r="AH424" s="678" t="n"/>
      <c r="AI424" s="678" t="n"/>
      <c r="AJ424" s="678" t="n"/>
      <c r="AK424" s="683" t="n"/>
      <c r="AL424" s="683" t="n"/>
      <c r="AM424" s="681" t="inlineStr">
        <is>
          <t>R.A.S</t>
        </is>
      </c>
    </row>
    <row r="425" ht="38.40000000000001" customHeight="1" s="392">
      <c r="A425" s="672" t="n">
        <v>2026</v>
      </c>
      <c r="B425" s="673" t="inlineStr">
        <is>
          <t>DTSI</t>
        </is>
      </c>
      <c r="C425" s="673" t="inlineStr">
        <is>
          <t>21 AOM/SNRT</t>
        </is>
      </c>
      <c r="D425" s="672" t="inlineStr">
        <is>
          <t>AOO-M</t>
        </is>
      </c>
      <c r="E425" s="672" t="n">
        <v>1</v>
      </c>
      <c r="F425" s="674" t="inlineStr">
        <is>
          <t>La fourniture et la mise en service d'équipement informatiques les besoins de SNRT new de la SNRT</t>
        </is>
      </c>
      <c r="G425" s="675" t="inlineStr">
        <is>
          <t>INFRUCTUEUX</t>
        </is>
      </c>
      <c r="H425" s="672" t="inlineStr">
        <is>
          <t>INFRUCTUEUX</t>
        </is>
      </c>
      <c r="I425" s="691" t="n"/>
      <c r="J425" s="675" t="inlineStr">
        <is>
          <t>PME</t>
        </is>
      </c>
      <c r="K425" s="672" t="inlineStr">
        <is>
          <t>Ordinaire</t>
        </is>
      </c>
      <c r="L425" s="676" t="inlineStr">
        <is>
          <t>INVESTISSEMENT</t>
        </is>
      </c>
      <c r="M425" s="676" t="inlineStr">
        <is>
          <t>Matériel informatiques</t>
        </is>
      </c>
      <c r="N425" s="677">
        <f>O425*1.2</f>
        <v/>
      </c>
      <c r="O425" s="678" t="n">
        <v>1896696</v>
      </c>
      <c r="P425" s="678">
        <f>O425/1.2</f>
        <v/>
      </c>
      <c r="Q425" s="672" t="inlineStr">
        <is>
          <t>NOUVEAU BESOIN</t>
        </is>
      </c>
      <c r="R425" s="679" t="n"/>
      <c r="S425" s="680" t="n"/>
      <c r="T425" s="681" t="n"/>
      <c r="U425" s="672" t="n"/>
      <c r="V425" s="680" t="n">
        <v>46114</v>
      </c>
      <c r="W425" s="680" t="n">
        <v>46118</v>
      </c>
      <c r="X425" s="680" t="n"/>
      <c r="Y425" s="677" t="n"/>
      <c r="Z425" s="678" t="n">
        <v>0</v>
      </c>
      <c r="AA425" s="678" t="n"/>
      <c r="AB425" s="678" t="n">
        <v>0</v>
      </c>
      <c r="AC425" s="678" t="n"/>
      <c r="AD425" s="678" t="n"/>
      <c r="AE425" s="682" t="inlineStr">
        <is>
          <t>NON ENGAGE</t>
        </is>
      </c>
      <c r="AF425" s="681" t="n"/>
      <c r="AG425" s="678" t="n"/>
      <c r="AH425" s="678" t="n"/>
      <c r="AI425" s="678" t="n"/>
      <c r="AJ425" s="678" t="n"/>
      <c r="AK425" s="683" t="n"/>
      <c r="AL425" s="683" t="n"/>
      <c r="AM425" s="681" t="inlineStr">
        <is>
          <t>R.A.S</t>
        </is>
      </c>
    </row>
    <row r="426" ht="38.40000000000001" customHeight="1" s="392">
      <c r="A426" s="672" t="n">
        <v>2026</v>
      </c>
      <c r="B426" s="673" t="inlineStr">
        <is>
          <t>DTSI</t>
        </is>
      </c>
      <c r="C426" s="673" t="inlineStr">
        <is>
          <t>21AOM/SNRT</t>
        </is>
      </c>
      <c r="D426" s="672" t="inlineStr">
        <is>
          <t>AOO-M</t>
        </is>
      </c>
      <c r="E426" s="672" t="n">
        <v>2</v>
      </c>
      <c r="F426" s="674" t="inlineStr">
        <is>
          <t>La fourniture de consommables d'impression pour les besoins de SNRT News de la SNRT</t>
        </is>
      </c>
      <c r="G426" s="675" t="inlineStr">
        <is>
          <t>VALIDE</t>
        </is>
      </c>
      <c r="H426" s="672" t="inlineStr">
        <is>
          <t>ATTRIBUE</t>
        </is>
      </c>
      <c r="I426" s="691" t="n"/>
      <c r="J426" s="675" t="inlineStr">
        <is>
          <t>PME</t>
        </is>
      </c>
      <c r="K426" s="672" t="inlineStr">
        <is>
          <t>Ordinaire</t>
        </is>
      </c>
      <c r="L426" s="676" t="inlineStr">
        <is>
          <t>FONCTIONNEMENT</t>
        </is>
      </c>
      <c r="M426" s="676" t="inlineStr">
        <is>
          <t>Achat de matière et fourniture consommable</t>
        </is>
      </c>
      <c r="N426" s="677">
        <f>O426*1.2</f>
        <v/>
      </c>
      <c r="O426" s="678" t="n">
        <v>283380</v>
      </c>
      <c r="P426" s="678">
        <f>O426/1.2</f>
        <v/>
      </c>
      <c r="Q426" s="672" t="inlineStr">
        <is>
          <t>NOUVEAU BESOIN</t>
        </is>
      </c>
      <c r="R426" s="679" t="n"/>
      <c r="S426" s="680" t="n"/>
      <c r="T426" s="681" t="inlineStr">
        <is>
          <t>MONDOFFICE</t>
        </is>
      </c>
      <c r="U426" s="672" t="n"/>
      <c r="V426" s="680" t="n">
        <v>46114</v>
      </c>
      <c r="W426" s="680" t="n">
        <v>46118</v>
      </c>
      <c r="X426" s="680" t="n">
        <v>46189</v>
      </c>
      <c r="Y426" s="677">
        <f>+AC426</f>
        <v/>
      </c>
      <c r="Z426" s="678" t="n">
        <v>0</v>
      </c>
      <c r="AA426" s="678">
        <f>+AD426</f>
        <v/>
      </c>
      <c r="AB426" s="678" t="n">
        <v>0</v>
      </c>
      <c r="AC426" s="678">
        <f>+AD426/1.2</f>
        <v/>
      </c>
      <c r="AD426" s="678" t="n">
        <v>337110</v>
      </c>
      <c r="AE426" s="682" t="inlineStr">
        <is>
          <t>ENGAGE</t>
        </is>
      </c>
      <c r="AF426" s="681" t="n"/>
      <c r="AG426" s="678" t="n"/>
      <c r="AH426" s="678" t="n"/>
      <c r="AI426" s="678" t="n"/>
      <c r="AJ426" s="678" t="n"/>
      <c r="AK426" s="683" t="n"/>
      <c r="AL426" s="683" t="n"/>
      <c r="AM426" s="681" t="inlineStr">
        <is>
          <t>R.A.S</t>
        </is>
      </c>
    </row>
    <row r="427" ht="38.40000000000001" customHeight="1" s="392">
      <c r="A427" s="672" t="n">
        <v>2026</v>
      </c>
      <c r="B427" s="673" t="inlineStr">
        <is>
          <t>DTSI</t>
        </is>
      </c>
      <c r="C427" s="673" t="inlineStr">
        <is>
          <t>06 AOM/SNRT</t>
        </is>
      </c>
      <c r="D427" s="672" t="inlineStr">
        <is>
          <t>AOO-M</t>
        </is>
      </c>
      <c r="E427" s="672" t="n">
        <v>1</v>
      </c>
      <c r="F427" s="674" t="inlineStr">
        <is>
          <t>La fourniture de consommables d'impression pour la SNRT</t>
        </is>
      </c>
      <c r="G427" s="675" t="inlineStr">
        <is>
          <t>VALIDE</t>
        </is>
      </c>
      <c r="H427" s="672" t="inlineStr">
        <is>
          <t>APPROUVE</t>
        </is>
      </c>
      <c r="I427" s="691" t="n"/>
      <c r="J427" s="675" t="inlineStr">
        <is>
          <t>PME</t>
        </is>
      </c>
      <c r="K427" s="672" t="inlineStr">
        <is>
          <t>Ordinaire</t>
        </is>
      </c>
      <c r="L427" s="676" t="inlineStr">
        <is>
          <t>FONCTIONNEMENT</t>
        </is>
      </c>
      <c r="M427" s="676" t="inlineStr">
        <is>
          <t>Achat de matière et fourniture consommable</t>
        </is>
      </c>
      <c r="N427" s="677">
        <f>O427*1.2</f>
        <v/>
      </c>
      <c r="O427" s="678" t="n">
        <v>1269444</v>
      </c>
      <c r="P427" s="678">
        <f>O427/1.2</f>
        <v/>
      </c>
      <c r="Q427" s="672" t="inlineStr">
        <is>
          <t>NOUVEAU BESOIN</t>
        </is>
      </c>
      <c r="R427" s="679" t="n"/>
      <c r="S427" s="680" t="n"/>
      <c r="T427" s="681" t="inlineStr">
        <is>
          <t>EQUIPEMENT BADR</t>
        </is>
      </c>
      <c r="U427" s="672" t="n"/>
      <c r="V427" s="680" t="n">
        <v>46114</v>
      </c>
      <c r="W427" s="680" t="n">
        <v>46120</v>
      </c>
      <c r="X427" s="680" t="n">
        <v>46197</v>
      </c>
      <c r="Y427" s="677">
        <f>AA427/1.2</f>
        <v/>
      </c>
      <c r="Z427" s="678" t="n">
        <v>0</v>
      </c>
      <c r="AA427" s="678" t="n">
        <v>1379196</v>
      </c>
      <c r="AB427" s="678" t="n">
        <v>0</v>
      </c>
      <c r="AC427" s="678">
        <f>Y427</f>
        <v/>
      </c>
      <c r="AD427" s="678">
        <f>AA427</f>
        <v/>
      </c>
      <c r="AE427" s="682" t="inlineStr">
        <is>
          <t>ENGAGE</t>
        </is>
      </c>
      <c r="AF427" s="681" t="n"/>
      <c r="AG427" s="678" t="n"/>
      <c r="AH427" s="678" t="n"/>
      <c r="AI427" s="678" t="n"/>
      <c r="AJ427" s="678" t="n"/>
      <c r="AK427" s="683" t="n"/>
      <c r="AL427" s="683" t="n"/>
      <c r="AM427" s="681" t="inlineStr">
        <is>
          <t>R.A.S</t>
        </is>
      </c>
    </row>
    <row r="428" ht="54.6" customHeight="1" s="392">
      <c r="A428" s="672" t="n">
        <v>2026</v>
      </c>
      <c r="B428" s="673" t="inlineStr">
        <is>
          <t>DTSI</t>
        </is>
      </c>
      <c r="C428" s="673" t="inlineStr">
        <is>
          <t>06 AOM/SNRT</t>
        </is>
      </c>
      <c r="D428" s="672" t="inlineStr">
        <is>
          <t>AOO-M</t>
        </is>
      </c>
      <c r="E428" s="672" t="n">
        <v>2</v>
      </c>
      <c r="F428" s="674" t="inlineStr">
        <is>
          <t>La fourniture et la mise en service d'accessoires,pièces de rechange et outillage informatique pour les besoins de la SNRT</t>
        </is>
      </c>
      <c r="G428" s="675" t="inlineStr">
        <is>
          <t>INFRUCTUEUX</t>
        </is>
      </c>
      <c r="H428" s="672" t="inlineStr">
        <is>
          <t>INFRUCTUEUX</t>
        </is>
      </c>
      <c r="I428" s="691" t="n"/>
      <c r="J428" s="675" t="inlineStr">
        <is>
          <t>PME</t>
        </is>
      </c>
      <c r="K428" s="672" t="inlineStr">
        <is>
          <t>Ordinaire</t>
        </is>
      </c>
      <c r="L428" s="676" t="inlineStr">
        <is>
          <t>FONCTIONNEMENT</t>
        </is>
      </c>
      <c r="M428" s="676" t="inlineStr">
        <is>
          <t>Achat de matière et fourniture consommable</t>
        </is>
      </c>
      <c r="N428" s="677">
        <f>O428*1.2</f>
        <v/>
      </c>
      <c r="O428" s="678" t="n">
        <v>407304</v>
      </c>
      <c r="P428" s="678">
        <f>O428/1.2</f>
        <v/>
      </c>
      <c r="Q428" s="672" t="inlineStr">
        <is>
          <t>NOUVEAU BESOIN</t>
        </is>
      </c>
      <c r="R428" s="679" t="n"/>
      <c r="S428" s="680" t="n"/>
      <c r="T428" s="681" t="n"/>
      <c r="U428" s="672" t="n"/>
      <c r="V428" s="680" t="n">
        <v>46114</v>
      </c>
      <c r="W428" s="680" t="n">
        <v>46120</v>
      </c>
      <c r="X428" s="680" t="n">
        <v>0</v>
      </c>
      <c r="Y428" s="677" t="n">
        <v>0</v>
      </c>
      <c r="Z428" s="678" t="n">
        <v>0</v>
      </c>
      <c r="AA428" s="678" t="n">
        <v>0</v>
      </c>
      <c r="AB428" s="678" t="n">
        <v>0</v>
      </c>
      <c r="AC428" s="678" t="n">
        <v>0</v>
      </c>
      <c r="AD428" s="678" t="n">
        <v>0</v>
      </c>
      <c r="AE428" s="682" t="inlineStr">
        <is>
          <t>NON ENGAGE</t>
        </is>
      </c>
      <c r="AF428" s="681" t="n"/>
      <c r="AG428" s="678" t="n"/>
      <c r="AH428" s="678" t="n"/>
      <c r="AI428" s="678" t="n"/>
      <c r="AJ428" s="678" t="n"/>
      <c r="AK428" s="683" t="n"/>
      <c r="AL428" s="683" t="n"/>
      <c r="AM428" s="681" t="inlineStr">
        <is>
          <t>R.A.S</t>
        </is>
      </c>
    </row>
    <row r="429" ht="38.40000000000001" customHeight="1" s="392">
      <c r="A429" s="672" t="n">
        <v>2026</v>
      </c>
      <c r="B429" s="673" t="inlineStr">
        <is>
          <t>DPMG</t>
        </is>
      </c>
      <c r="C429" s="673" t="n"/>
      <c r="D429" s="672" t="inlineStr">
        <is>
          <t>BCL</t>
        </is>
      </c>
      <c r="E429" s="672" t="n">
        <v>1</v>
      </c>
      <c r="F429" s="674" t="inlineStr">
        <is>
          <t>Étude des travaux d’aménagement de la nouvelle station radio de Tétouane</t>
        </is>
      </c>
      <c r="G429" s="675" t="inlineStr">
        <is>
          <t>ANNULE</t>
        </is>
      </c>
      <c r="H429" s="672" t="inlineStr">
        <is>
          <t>ANNULE</t>
        </is>
      </c>
      <c r="I429" s="672" t="inlineStr">
        <is>
          <t>26000021 CL</t>
        </is>
      </c>
      <c r="J429" s="675" t="inlineStr">
        <is>
          <t>NON CONCERNE</t>
        </is>
      </c>
      <c r="K429" s="672" t="inlineStr">
        <is>
          <t>Ordinaire</t>
        </is>
      </c>
      <c r="L429" s="676" t="inlineStr">
        <is>
          <t>INVESTISSEMENT</t>
        </is>
      </c>
      <c r="M429" s="676" t="inlineStr">
        <is>
          <t>Frais d’acquisition des immobilisation</t>
        </is>
      </c>
      <c r="N429" s="677" t="n"/>
      <c r="O429" s="678" t="n"/>
      <c r="P429" s="678" t="n"/>
      <c r="Q429" s="672" t="inlineStr">
        <is>
          <t>BESOIN RECURRENT</t>
        </is>
      </c>
      <c r="R429" s="679" t="n"/>
      <c r="S429" s="680" t="n"/>
      <c r="T429" s="681" t="inlineStr">
        <is>
          <t>BLACKLINE STUDIO</t>
        </is>
      </c>
      <c r="U429" s="672" t="n"/>
      <c r="V429" s="680" t="n">
        <v>46118</v>
      </c>
      <c r="W429" s="680" t="n"/>
      <c r="X429" s="680" t="n"/>
      <c r="Y429" s="677" t="n">
        <v>55000</v>
      </c>
      <c r="Z429" s="678" t="n">
        <v>0</v>
      </c>
      <c r="AA429" s="678" t="n">
        <v>66000</v>
      </c>
      <c r="AB429" s="678" t="n">
        <v>0</v>
      </c>
      <c r="AC429" s="678" t="n">
        <v>55000</v>
      </c>
      <c r="AD429" s="678" t="n">
        <v>66000</v>
      </c>
      <c r="AE429" s="682" t="inlineStr">
        <is>
          <t>NON ENGAGE</t>
        </is>
      </c>
      <c r="AF429" s="681" t="n"/>
      <c r="AG429" s="678" t="n"/>
      <c r="AH429" s="678" t="n"/>
      <c r="AI429" s="678" t="n"/>
      <c r="AJ429" s="678" t="n"/>
      <c r="AK429" s="683" t="n"/>
      <c r="AL429" s="683" t="n"/>
      <c r="AM429" s="681" t="inlineStr">
        <is>
          <t xml:space="preserve">Annulé </t>
        </is>
      </c>
    </row>
    <row r="430" ht="38.40000000000001" customHeight="1" s="392">
      <c r="A430" s="672" t="n">
        <v>2026</v>
      </c>
      <c r="B430" s="673" t="inlineStr">
        <is>
          <t>DTSI</t>
        </is>
      </c>
      <c r="C430" s="673" t="inlineStr">
        <is>
          <t>10 AOM/SNRT</t>
        </is>
      </c>
      <c r="D430" s="672" t="inlineStr">
        <is>
          <t>AOO-M</t>
        </is>
      </c>
      <c r="E430" s="672" t="n">
        <v>1</v>
      </c>
      <c r="F430" s="674" t="inlineStr">
        <is>
          <t>La fourniture et la mise en service des équipements d’éclairage pour les besoins de la production de la SNRT</t>
        </is>
      </c>
      <c r="G430" s="675" t="inlineStr">
        <is>
          <t>VALIDE</t>
        </is>
      </c>
      <c r="H430" s="672" t="inlineStr">
        <is>
          <t>ATTRIBUE</t>
        </is>
      </c>
      <c r="I430" s="691" t="n"/>
      <c r="J430" s="675" t="inlineStr">
        <is>
          <t>GENERAL</t>
        </is>
      </c>
      <c r="K430" s="672" t="inlineStr">
        <is>
          <t>Exceptionnel</t>
        </is>
      </c>
      <c r="L430" s="676" t="inlineStr">
        <is>
          <t>INVESTISSEMENT</t>
        </is>
      </c>
      <c r="M430" s="676" t="inlineStr">
        <is>
          <t>Équipements techniques</t>
        </is>
      </c>
      <c r="N430" s="677">
        <f>O430*1.2</f>
        <v/>
      </c>
      <c r="O430" s="678" t="n">
        <v>1782744</v>
      </c>
      <c r="P430" s="678">
        <f>O430/1.2</f>
        <v/>
      </c>
      <c r="Q430" s="672" t="inlineStr">
        <is>
          <t>NOUVEAU BESOIN</t>
        </is>
      </c>
      <c r="R430" s="679" t="n"/>
      <c r="S430" s="680" t="n"/>
      <c r="T430" s="681" t="inlineStr">
        <is>
          <t>NYA AUDIO VIDEO</t>
        </is>
      </c>
      <c r="U430" s="672" t="n"/>
      <c r="V430" s="680" t="n">
        <v>46121</v>
      </c>
      <c r="W430" s="680" t="n">
        <v>46126</v>
      </c>
      <c r="X430" s="680" t="n"/>
      <c r="Y430" s="677">
        <f>AA430/1.2</f>
        <v/>
      </c>
      <c r="Z430" s="678">
        <f>AB430/1.2</f>
        <v/>
      </c>
      <c r="AA430" s="678" t="n">
        <v>2017741.2</v>
      </c>
      <c r="AB430" s="678" t="n">
        <v>198372.18</v>
      </c>
      <c r="AC430" s="678">
        <f>Y430</f>
        <v/>
      </c>
      <c r="AD430" s="678">
        <f>AA430</f>
        <v/>
      </c>
      <c r="AE430" s="682" t="inlineStr">
        <is>
          <t>EN COURS D'ENGAGEMENT</t>
        </is>
      </c>
      <c r="AF430" s="681" t="n"/>
      <c r="AG430" s="678" t="n"/>
      <c r="AH430" s="678" t="n"/>
      <c r="AI430" s="678" t="n"/>
      <c r="AJ430" s="678" t="n"/>
      <c r="AK430" s="683" t="n"/>
      <c r="AL430" s="683" t="n"/>
      <c r="AM430" s="681" t="inlineStr">
        <is>
          <t>R.A.S</t>
        </is>
      </c>
    </row>
    <row r="431" ht="70.80000000000001" customHeight="1" s="392">
      <c r="A431" s="672" t="n">
        <v>2026</v>
      </c>
      <c r="B431" s="673" t="inlineStr">
        <is>
          <t>DTSI</t>
        </is>
      </c>
      <c r="C431" s="673" t="inlineStr">
        <is>
          <t>23 AOM/SNRT</t>
        </is>
      </c>
      <c r="D431" s="672" t="inlineStr">
        <is>
          <t>AOO-M</t>
        </is>
      </c>
      <c r="E431" s="672" t="n">
        <v>1</v>
      </c>
      <c r="F431" s="674" t="inlineStr">
        <is>
          <t>La fourniture et la mise en service d'une solution de transport des communications intercom via des coules audio IP BROADCAST pour les besoins des unités mobiles de la SNRT</t>
        </is>
      </c>
      <c r="G431" s="675" t="inlineStr">
        <is>
          <t>INFRUCTUEUX</t>
        </is>
      </c>
      <c r="H431" s="672" t="inlineStr">
        <is>
          <t>INFRUCTUEUX</t>
        </is>
      </c>
      <c r="I431" s="672" t="n"/>
      <c r="J431" s="675" t="inlineStr">
        <is>
          <t>GENERAL</t>
        </is>
      </c>
      <c r="K431" s="672" t="inlineStr">
        <is>
          <t>REPORT BUDGET ANNEE ANTERIEURE</t>
        </is>
      </c>
      <c r="L431" s="676" t="inlineStr">
        <is>
          <t>INVESTISSEMENT</t>
        </is>
      </c>
      <c r="M431" s="676" t="inlineStr">
        <is>
          <t>Immobilisations incorporelles (logiciels, licences, etc.)</t>
        </is>
      </c>
      <c r="N431" s="677">
        <f>O431*1.2</f>
        <v/>
      </c>
      <c r="O431" s="678" t="n">
        <v>291156</v>
      </c>
      <c r="P431" s="678">
        <f>O431/1.2</f>
        <v/>
      </c>
      <c r="Q431" s="672" t="inlineStr">
        <is>
          <t>NOUVEAU BESOIN</t>
        </is>
      </c>
      <c r="R431" s="679" t="n"/>
      <c r="S431" s="680" t="n"/>
      <c r="T431" s="681" t="n"/>
      <c r="U431" s="672" t="n"/>
      <c r="V431" s="680" t="n">
        <v>46119</v>
      </c>
      <c r="W431" s="680" t="n">
        <v>46126</v>
      </c>
      <c r="X431" s="680" t="n"/>
      <c r="Y431" s="677" t="n">
        <v>0</v>
      </c>
      <c r="Z431" s="678" t="n">
        <v>0</v>
      </c>
      <c r="AA431" s="678" t="n">
        <v>0</v>
      </c>
      <c r="AB431" s="678" t="n">
        <v>0</v>
      </c>
      <c r="AC431" s="678" t="n">
        <v>0</v>
      </c>
      <c r="AD431" s="678" t="n">
        <v>0</v>
      </c>
      <c r="AE431" s="682" t="inlineStr">
        <is>
          <t>NON ENGAGE</t>
        </is>
      </c>
      <c r="AF431" s="681" t="n"/>
      <c r="AG431" s="678" t="n"/>
      <c r="AH431" s="678" t="n"/>
      <c r="AI431" s="678" t="n"/>
      <c r="AJ431" s="678" t="n"/>
      <c r="AK431" s="683" t="n"/>
      <c r="AL431" s="683" t="n"/>
      <c r="AM431" s="681" t="inlineStr">
        <is>
          <t>R.A.S</t>
        </is>
      </c>
    </row>
    <row r="432" ht="38.40000000000001" customHeight="1" s="392">
      <c r="A432" s="672" t="n">
        <v>2026</v>
      </c>
      <c r="B432" s="673" t="inlineStr">
        <is>
          <t>DTSI</t>
        </is>
      </c>
      <c r="C432" s="673" t="inlineStr">
        <is>
          <t>26 AOM/SNRT</t>
        </is>
      </c>
      <c r="D432" s="672" t="inlineStr">
        <is>
          <t>AOO-M</t>
        </is>
      </c>
      <c r="E432" s="672" t="n">
        <v>1</v>
      </c>
      <c r="F432" s="674" t="inlineStr">
        <is>
          <t>Fourniture et mise en service d’équipements audio vidéo au profit de la DCRPSD de la SNRT</t>
        </is>
      </c>
      <c r="G432" s="675" t="inlineStr">
        <is>
          <t>INFRUCTUEUX</t>
        </is>
      </c>
      <c r="H432" s="672" t="inlineStr">
        <is>
          <t>INFRUCTUEUX</t>
        </is>
      </c>
      <c r="I432" s="672" t="n"/>
      <c r="J432" s="675" t="inlineStr">
        <is>
          <t>PME</t>
        </is>
      </c>
      <c r="K432" s="672" t="inlineStr">
        <is>
          <t>Ordinaire</t>
        </is>
      </c>
      <c r="L432" s="676" t="inlineStr">
        <is>
          <t>INVESTISSEMENT</t>
        </is>
      </c>
      <c r="M432" s="676" t="inlineStr">
        <is>
          <t>Matériel informatiques</t>
        </is>
      </c>
      <c r="N432" s="677">
        <f>O432*1.2</f>
        <v/>
      </c>
      <c r="O432" s="678" t="n">
        <v>287676</v>
      </c>
      <c r="P432" s="678">
        <f>O432/1.2</f>
        <v/>
      </c>
      <c r="Q432" s="672" t="inlineStr">
        <is>
          <t>NOUVEAU BESOIN</t>
        </is>
      </c>
      <c r="R432" s="679" t="n"/>
      <c r="S432" s="680" t="n"/>
      <c r="T432" s="681" t="n"/>
      <c r="U432" s="672" t="n"/>
      <c r="V432" s="680" t="n">
        <v>46121</v>
      </c>
      <c r="W432" s="680" t="n">
        <v>46126</v>
      </c>
      <c r="X432" s="680" t="n">
        <v>0</v>
      </c>
      <c r="Y432" s="677" t="n">
        <v>0</v>
      </c>
      <c r="Z432" s="678" t="n">
        <v>0</v>
      </c>
      <c r="AA432" s="678" t="n">
        <v>0</v>
      </c>
      <c r="AB432" s="678" t="n">
        <v>0</v>
      </c>
      <c r="AC432" s="678" t="n">
        <v>0</v>
      </c>
      <c r="AD432" s="678" t="n">
        <v>0</v>
      </c>
      <c r="AE432" s="682" t="inlineStr">
        <is>
          <t>NON ENGAGE</t>
        </is>
      </c>
      <c r="AF432" s="681" t="n"/>
      <c r="AG432" s="678" t="n"/>
      <c r="AH432" s="678" t="n"/>
      <c r="AI432" s="678" t="n"/>
      <c r="AJ432" s="678" t="n"/>
      <c r="AK432" s="683" t="n"/>
      <c r="AL432" s="683" t="n"/>
      <c r="AM432" s="681" t="inlineStr">
        <is>
          <t>R.A.S</t>
        </is>
      </c>
    </row>
    <row r="433" ht="38.40000000000001" customHeight="1" s="392">
      <c r="A433" s="672" t="n">
        <v>2026</v>
      </c>
      <c r="B433" s="673" t="inlineStr">
        <is>
          <t>DTSI</t>
        </is>
      </c>
      <c r="C433" s="673" t="inlineStr">
        <is>
          <t>27 AOM/SNRT</t>
        </is>
      </c>
      <c r="D433" s="672" t="inlineStr">
        <is>
          <t>AOO-M</t>
        </is>
      </c>
      <c r="E433" s="672" t="n">
        <v>1</v>
      </c>
      <c r="F433" s="674" t="inlineStr">
        <is>
          <t>La fourniture de supports d’enregistrement et de lecture pour les besoins des chaines TV de la SNRT</t>
        </is>
      </c>
      <c r="G433" s="675" t="inlineStr">
        <is>
          <t>VALIDE</t>
        </is>
      </c>
      <c r="H433" s="672" t="inlineStr">
        <is>
          <t>APPROUVE</t>
        </is>
      </c>
      <c r="I433" s="691" t="n"/>
      <c r="J433" s="675" t="inlineStr">
        <is>
          <t>GENERAL</t>
        </is>
      </c>
      <c r="K433" s="672" t="inlineStr">
        <is>
          <t>Ordinaire</t>
        </is>
      </c>
      <c r="L433" s="676" t="inlineStr">
        <is>
          <t>FONCTIONNEMENT</t>
        </is>
      </c>
      <c r="M433" s="676" t="inlineStr">
        <is>
          <t>Achat de matière et fourniture consommable</t>
        </is>
      </c>
      <c r="N433" s="677">
        <f>O433*1.2</f>
        <v/>
      </c>
      <c r="O433" s="678" t="n">
        <v>259200</v>
      </c>
      <c r="P433" s="678">
        <f>O433/1.2</f>
        <v/>
      </c>
      <c r="Q433" s="672" t="inlineStr">
        <is>
          <t>BESOIN RECURRENT</t>
        </is>
      </c>
      <c r="R433" s="679" t="n"/>
      <c r="S433" s="680" t="n"/>
      <c r="T433" s="681" t="inlineStr">
        <is>
          <t>LTS NETWORK</t>
        </is>
      </c>
      <c r="U433" s="672" t="n"/>
      <c r="V433" s="680" t="n">
        <v>46126</v>
      </c>
      <c r="W433" s="680" t="n">
        <v>46129</v>
      </c>
      <c r="X433" s="680" t="n">
        <v>46206</v>
      </c>
      <c r="Y433" s="677">
        <f>AC433</f>
        <v/>
      </c>
      <c r="Z433" s="678" t="n">
        <v>0</v>
      </c>
      <c r="AA433" s="678">
        <f>AD433</f>
        <v/>
      </c>
      <c r="AB433" s="678" t="n">
        <v>0</v>
      </c>
      <c r="AC433" s="678">
        <f>AD433/1.2</f>
        <v/>
      </c>
      <c r="AD433" s="678" t="n">
        <v>307526.4</v>
      </c>
      <c r="AE433" s="682" t="inlineStr">
        <is>
          <t>ENGAGE</t>
        </is>
      </c>
      <c r="AF433" s="681" t="n"/>
      <c r="AG433" s="678" t="n"/>
      <c r="AH433" s="678" t="n"/>
      <c r="AI433" s="678" t="n"/>
      <c r="AJ433" s="678" t="n"/>
      <c r="AK433" s="683" t="n"/>
      <c r="AL433" s="683" t="n"/>
      <c r="AM433" s="681" t="inlineStr">
        <is>
          <t>R.A.S</t>
        </is>
      </c>
    </row>
    <row r="434" ht="70.80000000000001" customHeight="1" s="392">
      <c r="A434" s="672" t="n">
        <v>2026</v>
      </c>
      <c r="B434" s="673" t="inlineStr">
        <is>
          <t>TDF -SITES</t>
        </is>
      </c>
      <c r="C434" s="673" t="inlineStr">
        <is>
          <t>ancien 17AOM/SNRT</t>
        </is>
      </c>
      <c r="D434" s="672" t="inlineStr">
        <is>
          <t>AOO-M</t>
        </is>
      </c>
      <c r="E434" s="672" t="n">
        <v>1</v>
      </c>
      <c r="F434" s="674" t="inlineStr">
        <is>
          <t>Élaboration des études techniques et suivi des travaux d’achèvement d’installation d’un pylone auto-stable de 30+10m de hauteur au site SNRT TANAKOUB (P.CHEFCHAOUEN)</t>
        </is>
      </c>
      <c r="G434" s="675" t="inlineStr">
        <is>
          <t>EN SIGNATURE</t>
        </is>
      </c>
      <c r="H434" s="672" t="inlineStr">
        <is>
          <t>EN SIGNATURE</t>
        </is>
      </c>
      <c r="I434" s="691" t="n"/>
      <c r="J434" s="675" t="inlineStr">
        <is>
          <t>GENERAL</t>
        </is>
      </c>
      <c r="K434" s="672" t="inlineStr">
        <is>
          <t>Ordinaire</t>
        </is>
      </c>
      <c r="L434" s="676" t="inlineStr">
        <is>
          <t>INVESTISSEMENT</t>
        </is>
      </c>
      <c r="M434" s="676" t="inlineStr">
        <is>
          <t>Frais d’acquisition des immobilisation</t>
        </is>
      </c>
      <c r="N434" s="677">
        <f>O434*1.2</f>
        <v/>
      </c>
      <c r="O434" s="678" t="n">
        <v>72000</v>
      </c>
      <c r="P434" s="678">
        <f>O434/1.2</f>
        <v/>
      </c>
      <c r="Q434" s="672" t="inlineStr">
        <is>
          <t>NOUVEAU BESOIN</t>
        </is>
      </c>
      <c r="R434" s="679" t="n"/>
      <c r="S434" s="680" t="n"/>
      <c r="T434" s="681" t="n"/>
      <c r="U434" s="672" t="n"/>
      <c r="V434" s="680" t="n">
        <v>46198</v>
      </c>
      <c r="W434" s="680" t="n"/>
      <c r="X434" s="680" t="n"/>
      <c r="Y434" s="677" t="n"/>
      <c r="Z434" s="678" t="n">
        <v>0</v>
      </c>
      <c r="AA434" s="678" t="n"/>
      <c r="AB434" s="678" t="n">
        <v>0</v>
      </c>
      <c r="AC434" s="678" t="n"/>
      <c r="AD434" s="678" t="n"/>
      <c r="AE434" s="682" t="inlineStr">
        <is>
          <t>EN COURS DE PREENGAGEMENT</t>
        </is>
      </c>
      <c r="AF434" s="681" t="n"/>
      <c r="AG434" s="678" t="n"/>
      <c r="AH434" s="678" t="n"/>
      <c r="AI434" s="678" t="n"/>
      <c r="AJ434" s="678" t="n"/>
      <c r="AK434" s="683" t="n"/>
      <c r="AL434" s="683" t="n"/>
      <c r="AM434" s="681" t="inlineStr">
        <is>
          <t>Date de VISA</t>
        </is>
      </c>
    </row>
    <row r="435" ht="54.6" customHeight="1" s="392">
      <c r="A435" s="672" t="n">
        <v>2026</v>
      </c>
      <c r="B435" s="673" t="inlineStr">
        <is>
          <t>ARRIYADIA</t>
        </is>
      </c>
      <c r="C435" s="673" t="inlineStr">
        <is>
          <t>RECONDUCTION</t>
        </is>
      </c>
      <c r="D435" s="672" t="inlineStr">
        <is>
          <t>CONTRAT</t>
        </is>
      </c>
      <c r="E435" s="672" t="n">
        <v>1</v>
      </c>
      <c r="F435" s="674" t="inlineStr">
        <is>
          <t>La couverture, production, retransmission et diffusion audiovisuelle de toutes les compétitions de VOLLEY BALL – Saison 2026-</t>
        </is>
      </c>
      <c r="G435" s="675" t="inlineStr">
        <is>
          <t>VALIDE</t>
        </is>
      </c>
      <c r="H435" s="672" t="inlineStr">
        <is>
          <t>APPROUVE</t>
        </is>
      </c>
      <c r="I435" s="672" t="inlineStr">
        <is>
          <t>01-SNRT/FRMVB-2026</t>
        </is>
      </c>
      <c r="J435" s="675" t="inlineStr">
        <is>
          <t>NON CONCERNE</t>
        </is>
      </c>
      <c r="K435" s="672" t="inlineStr">
        <is>
          <t>Ordinaire</t>
        </is>
      </c>
      <c r="L435" s="676" t="inlineStr">
        <is>
          <t>FONCTIONNEMENT</t>
        </is>
      </c>
      <c r="M435" s="676" t="inlineStr">
        <is>
          <t>Achats de droits
Achats de droit de sport</t>
        </is>
      </c>
      <c r="N435" s="677" t="n"/>
      <c r="O435" s="678" t="n"/>
      <c r="P435" s="678" t="n"/>
      <c r="Q435" s="672" t="inlineStr">
        <is>
          <t>RECONDUCTION</t>
        </is>
      </c>
      <c r="R435" s="679" t="n"/>
      <c r="S435" s="680" t="n"/>
      <c r="T435" s="681" t="inlineStr">
        <is>
          <t>FRM VEOLLEY BALL</t>
        </is>
      </c>
      <c r="U435" s="672" t="n">
        <v>2026</v>
      </c>
      <c r="V435" s="680" t="n">
        <v>46126</v>
      </c>
      <c r="W435" s="680" t="n"/>
      <c r="X435" s="680" t="n">
        <v>46127</v>
      </c>
      <c r="Y435" s="677">
        <f>AA435</f>
        <v/>
      </c>
      <c r="Z435" s="678" t="n">
        <v>0</v>
      </c>
      <c r="AA435" s="678">
        <f>AC435</f>
        <v/>
      </c>
      <c r="AB435" s="678" t="n">
        <v>0</v>
      </c>
      <c r="AC435" s="678">
        <f>AD435</f>
        <v/>
      </c>
      <c r="AD435" s="678" t="n">
        <v>848337.5</v>
      </c>
      <c r="AE435" s="682" t="inlineStr">
        <is>
          <t>ENGAGE</t>
        </is>
      </c>
      <c r="AF435" s="681" t="n"/>
      <c r="AG435" s="678" t="n"/>
      <c r="AH435" s="678" t="n"/>
      <c r="AI435" s="678" t="n"/>
      <c r="AJ435" s="678" t="n"/>
      <c r="AK435" s="683" t="n"/>
      <c r="AL435" s="683" t="n"/>
      <c r="AM435" s="681" t="inlineStr">
        <is>
          <t>R.A.S</t>
        </is>
      </c>
    </row>
    <row r="436" ht="38.40000000000001" customHeight="1" s="392">
      <c r="A436" s="672" t="n">
        <v>2026</v>
      </c>
      <c r="B436" s="673" t="inlineStr">
        <is>
          <t>ARRIYADIA</t>
        </is>
      </c>
      <c r="C436" s="673" t="inlineStr">
        <is>
          <t>EXCLUSIVITÉ</t>
        </is>
      </c>
      <c r="D436" s="672" t="inlineStr">
        <is>
          <t>CONTRAT</t>
        </is>
      </c>
      <c r="E436" s="672" t="n">
        <v>1</v>
      </c>
      <c r="F436" s="674" t="inlineStr">
        <is>
          <t>Acquisition des droits de diffusion télévisuelle du programme intitulé « FIGHT SPIRIT »</t>
        </is>
      </c>
      <c r="G436" s="675" t="inlineStr">
        <is>
          <t>VALIDE</t>
        </is>
      </c>
      <c r="H436" s="672" t="inlineStr">
        <is>
          <t>APPROUVE</t>
        </is>
      </c>
      <c r="I436" s="672" t="inlineStr">
        <is>
          <t>388 CT/SNRT/2026</t>
        </is>
      </c>
      <c r="J436" s="675" t="inlineStr">
        <is>
          <t>NON CONCERNE</t>
        </is>
      </c>
      <c r="K436" s="672" t="inlineStr">
        <is>
          <t>Ordinaire</t>
        </is>
      </c>
      <c r="L436" s="676" t="inlineStr">
        <is>
          <t>FONCTIONNEMENT</t>
        </is>
      </c>
      <c r="M436" s="676" t="inlineStr">
        <is>
          <t>Achats de droits
Achats de droit de sport</t>
        </is>
      </c>
      <c r="N436" s="677" t="n"/>
      <c r="O436" s="678" t="n"/>
      <c r="P436" s="678" t="n"/>
      <c r="Q436" s="672" t="inlineStr">
        <is>
          <t>BESOIN RECURRENT</t>
        </is>
      </c>
      <c r="R436" s="679" t="n"/>
      <c r="S436" s="680" t="n"/>
      <c r="T436" s="681" t="inlineStr">
        <is>
          <t>ATLAS MEDIA ORGANISATION</t>
        </is>
      </c>
      <c r="U436" s="672" t="n">
        <v>2026</v>
      </c>
      <c r="V436" s="680" t="n">
        <v>46118</v>
      </c>
      <c r="W436" s="680" t="n"/>
      <c r="X436" s="680" t="n">
        <v>46119</v>
      </c>
      <c r="Y436" s="677" t="n">
        <v>1349674.56</v>
      </c>
      <c r="Z436" s="678" t="n">
        <v>124800</v>
      </c>
      <c r="AA436" s="678">
        <f>Y436</f>
        <v/>
      </c>
      <c r="AB436" s="678">
        <f>Z436</f>
        <v/>
      </c>
      <c r="AC436" s="678">
        <f>AA436</f>
        <v/>
      </c>
      <c r="AD436" s="678">
        <f>AA436</f>
        <v/>
      </c>
      <c r="AE436" s="682" t="inlineStr">
        <is>
          <t>ENGAGE</t>
        </is>
      </c>
      <c r="AF436" s="681" t="n"/>
      <c r="AG436" s="678" t="n"/>
      <c r="AH436" s="678" t="n"/>
      <c r="AI436" s="678" t="n"/>
      <c r="AJ436" s="678" t="n"/>
      <c r="AK436" s="683" t="n"/>
      <c r="AL436" s="683" t="n"/>
      <c r="AM436" s="681" t="inlineStr">
        <is>
          <t>R.A.S</t>
        </is>
      </c>
    </row>
    <row r="437" ht="38.40000000000001" customHeight="1" s="392">
      <c r="A437" s="672" t="n">
        <v>2026</v>
      </c>
      <c r="B437" s="673" t="inlineStr">
        <is>
          <t>ARRIYADIA</t>
        </is>
      </c>
      <c r="C437" s="673" t="inlineStr">
        <is>
          <t>EXCLUSIVITÉ</t>
        </is>
      </c>
      <c r="D437" s="672" t="inlineStr">
        <is>
          <t>CONTRAT</t>
        </is>
      </c>
      <c r="E437" s="672" t="n">
        <v>1</v>
      </c>
      <c r="F437" s="674" t="inlineStr">
        <is>
          <t>Acquisition des droits de diffusion télévisuelle de 90 matchs du programme intitulé « OLYMPIC SOCCER FIVE »</t>
        </is>
      </c>
      <c r="G437" s="675" t="inlineStr">
        <is>
          <t>VALIDE</t>
        </is>
      </c>
      <c r="H437" s="672" t="inlineStr">
        <is>
          <t>APPROUVE</t>
        </is>
      </c>
      <c r="I437" s="672" t="inlineStr">
        <is>
          <t>387 CT/SNRT/2026</t>
        </is>
      </c>
      <c r="J437" s="675" t="inlineStr">
        <is>
          <t>NON CONCERNE</t>
        </is>
      </c>
      <c r="K437" s="672" t="inlineStr">
        <is>
          <t>Ordinaire</t>
        </is>
      </c>
      <c r="L437" s="676" t="inlineStr">
        <is>
          <t>FONCTIONNEMENT</t>
        </is>
      </c>
      <c r="M437" s="676" t="inlineStr">
        <is>
          <t>Achats de droits
Achats de droit de sport</t>
        </is>
      </c>
      <c r="N437" s="677" t="n"/>
      <c r="O437" s="678" t="n"/>
      <c r="P437" s="678" t="n"/>
      <c r="Q437" s="672" t="inlineStr">
        <is>
          <t>BESOIN RECURRENT</t>
        </is>
      </c>
      <c r="R437" s="679" t="n"/>
      <c r="S437" s="680" t="n"/>
      <c r="T437" s="681" t="inlineStr">
        <is>
          <t>MABC</t>
        </is>
      </c>
      <c r="U437" s="672" t="n">
        <v>2026</v>
      </c>
      <c r="V437" s="680" t="n">
        <v>46118</v>
      </c>
      <c r="W437" s="680" t="n"/>
      <c r="X437" s="680" t="n">
        <v>46119</v>
      </c>
      <c r="Y437" s="677" t="n">
        <v>2335975.2</v>
      </c>
      <c r="Z437" s="678" t="n">
        <v>216000</v>
      </c>
      <c r="AA437" s="678">
        <f>+Y437</f>
        <v/>
      </c>
      <c r="AB437" s="678">
        <f>+Z437</f>
        <v/>
      </c>
      <c r="AC437" s="678">
        <f>AA437</f>
        <v/>
      </c>
      <c r="AD437" s="678">
        <f>AC437</f>
        <v/>
      </c>
      <c r="AE437" s="682" t="inlineStr">
        <is>
          <t>ENGAGE</t>
        </is>
      </c>
      <c r="AF437" s="681" t="n"/>
      <c r="AG437" s="678" t="n"/>
      <c r="AH437" s="678" t="n"/>
      <c r="AI437" s="678" t="n"/>
      <c r="AJ437" s="678" t="n"/>
      <c r="AK437" s="683" t="n"/>
      <c r="AL437" s="683" t="n"/>
      <c r="AM437" s="681" t="inlineStr">
        <is>
          <t>R.A.S</t>
        </is>
      </c>
    </row>
    <row r="438" ht="70.80000000000001" customHeight="1" s="392">
      <c r="A438" s="672" t="n">
        <v>2026</v>
      </c>
      <c r="B438" s="673" t="inlineStr">
        <is>
          <t>ARRIYADIA</t>
        </is>
      </c>
      <c r="C438" s="673" t="inlineStr">
        <is>
          <t>EXCLUSIVITÉ</t>
        </is>
      </c>
      <c r="D438" s="672" t="inlineStr">
        <is>
          <t>CONTRAT</t>
        </is>
      </c>
      <c r="E438" s="672" t="n">
        <v>1</v>
      </c>
      <c r="F438" s="674" t="inlineStr">
        <is>
          <t>La couverture, la transmission et la transmission et la diffusion audiovisuelle du tournoi de football international 7 Cup de Marrakech qui se tiendra du 07/05 au 10/05/2026</t>
        </is>
      </c>
      <c r="G438" s="675" t="inlineStr">
        <is>
          <t>VALIDE</t>
        </is>
      </c>
      <c r="H438" s="672" t="inlineStr">
        <is>
          <t>APPROUVE</t>
        </is>
      </c>
      <c r="I438" s="672" t="inlineStr">
        <is>
          <t>389 CT/SNRT/2026</t>
        </is>
      </c>
      <c r="J438" s="675" t="inlineStr">
        <is>
          <t>NON CONCERNE</t>
        </is>
      </c>
      <c r="K438" s="672" t="inlineStr">
        <is>
          <t>Ordinaire</t>
        </is>
      </c>
      <c r="L438" s="676" t="inlineStr">
        <is>
          <t>FONCTIONNEMENT</t>
        </is>
      </c>
      <c r="M438" s="676" t="inlineStr">
        <is>
          <t>Achats de droits
Achats de droit de sport</t>
        </is>
      </c>
      <c r="N438" s="677" t="n"/>
      <c r="O438" s="678" t="n"/>
      <c r="P438" s="678" t="n"/>
      <c r="Q438" s="672" t="inlineStr">
        <is>
          <t>BESOIN RECURRENT</t>
        </is>
      </c>
      <c r="R438" s="679" t="n"/>
      <c r="S438" s="680" t="n"/>
      <c r="T438" s="681" t="inlineStr">
        <is>
          <t>N LAKAY</t>
        </is>
      </c>
      <c r="U438" s="672" t="n">
        <v>2026</v>
      </c>
      <c r="V438" s="680" t="n">
        <v>46118</v>
      </c>
      <c r="W438" s="680" t="n"/>
      <c r="X438" s="680" t="n">
        <v>46119</v>
      </c>
      <c r="Y438" s="677" t="n">
        <v>150000</v>
      </c>
      <c r="Z438" s="678" t="n">
        <v>0</v>
      </c>
      <c r="AA438" s="678">
        <f>Y438</f>
        <v/>
      </c>
      <c r="AB438" s="678" t="n">
        <v>0</v>
      </c>
      <c r="AC438" s="678" t="n">
        <v>125000</v>
      </c>
      <c r="AD438" s="678">
        <f>AA438</f>
        <v/>
      </c>
      <c r="AE438" s="682" t="inlineStr">
        <is>
          <t>ENGAGE</t>
        </is>
      </c>
      <c r="AF438" s="681" t="n"/>
      <c r="AG438" s="678" t="n"/>
      <c r="AH438" s="678" t="n"/>
      <c r="AI438" s="678" t="n"/>
      <c r="AJ438" s="678" t="n"/>
      <c r="AK438" s="683" t="n"/>
      <c r="AL438" s="683" t="n"/>
      <c r="AM438" s="681" t="inlineStr">
        <is>
          <t>R.A.S</t>
        </is>
      </c>
    </row>
    <row r="439" ht="103.2" customHeight="1" s="392">
      <c r="A439" s="672" t="n">
        <v>2025</v>
      </c>
      <c r="B439" s="673" t="inlineStr">
        <is>
          <t>TDF -SITES</t>
        </is>
      </c>
      <c r="C439" s="673" t="inlineStr">
        <is>
          <t>102 AOM/SNRT</t>
        </is>
      </c>
      <c r="D439" s="672" t="inlineStr">
        <is>
          <t>AOO-M</t>
        </is>
      </c>
      <c r="E439" s="672" t="n">
        <v>1</v>
      </c>
      <c r="F439" s="674" t="inlineStr">
        <is>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is>
      </c>
      <c r="G439" s="675" t="inlineStr">
        <is>
          <t>VALIDE</t>
        </is>
      </c>
      <c r="H439" s="672" t="inlineStr">
        <is>
          <t>APPROUVE</t>
        </is>
      </c>
      <c r="I439" s="672" t="inlineStr">
        <is>
          <t>10M/2026</t>
        </is>
      </c>
      <c r="J439" s="675" t="inlineStr">
        <is>
          <t>GENERAL</t>
        </is>
      </c>
      <c r="K439" s="672" t="inlineStr">
        <is>
          <t>REPORT BUDGET ANNEE ANTERIEURE</t>
        </is>
      </c>
      <c r="L439" s="676" t="inlineStr">
        <is>
          <t>INVESTISSEMENT</t>
        </is>
      </c>
      <c r="M439" s="676" t="inlineStr">
        <is>
          <t>Équipements de télédiffusion</t>
        </is>
      </c>
      <c r="N439" s="677">
        <f>O439*1.2</f>
        <v/>
      </c>
      <c r="O439" s="678" t="n">
        <v>2556000</v>
      </c>
      <c r="P439" s="678">
        <f>O439/1.2</f>
        <v/>
      </c>
      <c r="Q439" s="672" t="inlineStr">
        <is>
          <t>NOUVEAU BESOIN</t>
        </is>
      </c>
      <c r="R439" s="679" t="n"/>
      <c r="S439" s="680" t="n"/>
      <c r="T439" s="681" t="inlineStr">
        <is>
          <t>RFE BROADCAST</t>
        </is>
      </c>
      <c r="U439" s="672" t="n">
        <v>2026</v>
      </c>
      <c r="V439" s="680" t="n">
        <v>46120</v>
      </c>
      <c r="W439" s="680" t="n"/>
      <c r="X439" s="680" t="n">
        <v>46121</v>
      </c>
      <c r="Y439" s="677">
        <f>AA439/1.2</f>
        <v/>
      </c>
      <c r="Z439" s="678">
        <f>AB439/1.2</f>
        <v/>
      </c>
      <c r="AA439" s="678" t="n">
        <v>2373651.54</v>
      </c>
      <c r="AB439" s="678" t="n">
        <v>221400</v>
      </c>
      <c r="AC439" s="678">
        <f>Y439</f>
        <v/>
      </c>
      <c r="AD439" s="678">
        <f>AA439</f>
        <v/>
      </c>
      <c r="AE439" s="682" t="inlineStr">
        <is>
          <t>ENGAGE</t>
        </is>
      </c>
      <c r="AF439" s="681" t="n"/>
      <c r="AG439" s="678" t="n"/>
      <c r="AH439" s="678" t="n"/>
      <c r="AI439" s="678" t="n"/>
      <c r="AJ439" s="678" t="n"/>
      <c r="AK439" s="683" t="n"/>
      <c r="AL439" s="683" t="n"/>
      <c r="AM439" s="681" t="inlineStr">
        <is>
          <t>R.A.S</t>
        </is>
      </c>
    </row>
    <row r="440" ht="54.6" customHeight="1" s="392">
      <c r="A440" s="672" t="n">
        <v>2026</v>
      </c>
      <c r="B440" s="673" t="inlineStr">
        <is>
          <t>TDF -SITES</t>
        </is>
      </c>
      <c r="C440" s="673" t="inlineStr">
        <is>
          <t>-</t>
        </is>
      </c>
      <c r="D440" s="672" t="inlineStr">
        <is>
          <t>BCL</t>
        </is>
      </c>
      <c r="E440" s="672" t="n">
        <v>1</v>
      </c>
      <c r="F440" s="674" t="inlineStr">
        <is>
          <t>Entretien et maintenance du poste de livraison et de transformation MT/BT au centre de diffusion SNRT d’AIN CHOCK</t>
        </is>
      </c>
      <c r="G440" s="675" t="inlineStr">
        <is>
          <t>VALIDE</t>
        </is>
      </c>
      <c r="H440" s="672" t="inlineStr">
        <is>
          <t>APPROUVE</t>
        </is>
      </c>
      <c r="I440" s="672" t="inlineStr">
        <is>
          <t xml:space="preserve">260000020 CL </t>
        </is>
      </c>
      <c r="J440" s="675" t="inlineStr">
        <is>
          <t>NON CONCERNE</t>
        </is>
      </c>
      <c r="K440" s="672" t="inlineStr">
        <is>
          <t>Ordinaire</t>
        </is>
      </c>
      <c r="L440" s="676" t="inlineStr">
        <is>
          <t>FONCTIONNEMENT</t>
        </is>
      </c>
      <c r="M440" s="676" t="inlineStr">
        <is>
          <t>Entretien, réparation et assurance</t>
        </is>
      </c>
      <c r="N440" s="677" t="n"/>
      <c r="O440" s="678" t="n"/>
      <c r="P440" s="678" t="n"/>
      <c r="Q440" s="672" t="inlineStr">
        <is>
          <t>BESOIN RECURRENT</t>
        </is>
      </c>
      <c r="R440" s="679" t="n"/>
      <c r="S440" s="680" t="n"/>
      <c r="T440" s="681" t="inlineStr">
        <is>
          <t>SOGENELEC</t>
        </is>
      </c>
      <c r="U440" s="672" t="n">
        <v>2026</v>
      </c>
      <c r="V440" s="680" t="n">
        <v>46106</v>
      </c>
      <c r="W440" s="680" t="n"/>
      <c r="X440" s="680" t="n">
        <v>46133</v>
      </c>
      <c r="Y440" s="677" t="n">
        <v>89166.67</v>
      </c>
      <c r="Z440" s="678" t="n">
        <v>0</v>
      </c>
      <c r="AA440" s="678" t="n">
        <v>107000</v>
      </c>
      <c r="AB440" s="678" t="n">
        <v>0</v>
      </c>
      <c r="AC440" s="678">
        <f>Y440</f>
        <v/>
      </c>
      <c r="AD440" s="678">
        <f>AA440</f>
        <v/>
      </c>
      <c r="AE440" s="682" t="inlineStr">
        <is>
          <t>ENGAGE</t>
        </is>
      </c>
      <c r="AF440" s="681" t="n"/>
      <c r="AG440" s="678" t="n"/>
      <c r="AH440" s="678" t="n"/>
      <c r="AI440" s="678" t="n"/>
      <c r="AJ440" s="678" t="n"/>
      <c r="AK440" s="683" t="n"/>
      <c r="AL440" s="683" t="n"/>
      <c r="AM440" s="681" t="n"/>
    </row>
    <row r="441" ht="38.40000000000001" customHeight="1" s="392">
      <c r="A441" s="672" t="n">
        <v>2026</v>
      </c>
      <c r="B441" s="673" t="inlineStr">
        <is>
          <t>TDF -SITES</t>
        </is>
      </c>
      <c r="C441" s="673" t="inlineStr">
        <is>
          <t>-</t>
        </is>
      </c>
      <c r="D441" s="672" t="inlineStr">
        <is>
          <t>BCL</t>
        </is>
      </c>
      <c r="E441" s="672" t="n">
        <v>1</v>
      </c>
      <c r="F441" s="674" t="inlineStr">
        <is>
          <t>Réparation et Maintenance du groupe électrogène au centre SNRT de DAKHLA</t>
        </is>
      </c>
      <c r="G441" s="675" t="inlineStr">
        <is>
          <t>VALIDE</t>
        </is>
      </c>
      <c r="H441" s="672" t="inlineStr">
        <is>
          <t>APPROUVE</t>
        </is>
      </c>
      <c r="I441" s="672" t="inlineStr">
        <is>
          <t xml:space="preserve">260000023 CL </t>
        </is>
      </c>
      <c r="J441" s="675" t="inlineStr">
        <is>
          <t>NON CONCERNE</t>
        </is>
      </c>
      <c r="K441" s="672" t="inlineStr">
        <is>
          <t>Ordinaire</t>
        </is>
      </c>
      <c r="L441" s="676" t="inlineStr">
        <is>
          <t>FONCTIONNEMENT</t>
        </is>
      </c>
      <c r="M441" s="676" t="inlineStr">
        <is>
          <t>Entretien, réparation et assurance</t>
        </is>
      </c>
      <c r="N441" s="677" t="n"/>
      <c r="O441" s="678" t="n"/>
      <c r="P441" s="678" t="n"/>
      <c r="Q441" s="672" t="inlineStr">
        <is>
          <t>BESOIN RECURRENT</t>
        </is>
      </c>
      <c r="R441" s="679" t="n"/>
      <c r="S441" s="680" t="n"/>
      <c r="T441" s="681" t="inlineStr">
        <is>
          <t>BEHWY SARL</t>
        </is>
      </c>
      <c r="U441" s="672" t="n">
        <v>2026</v>
      </c>
      <c r="V441" s="680" t="n">
        <v>46106</v>
      </c>
      <c r="W441" s="680" t="n"/>
      <c r="X441" s="680" t="n">
        <v>46133</v>
      </c>
      <c r="Y441" s="677" t="n">
        <v>31500</v>
      </c>
      <c r="Z441" s="678" t="n">
        <v>0</v>
      </c>
      <c r="AA441" s="678" t="n">
        <v>37800</v>
      </c>
      <c r="AB441" s="678" t="n">
        <v>0</v>
      </c>
      <c r="AC441" s="678">
        <f>Y441</f>
        <v/>
      </c>
      <c r="AD441" s="678">
        <f>AA441</f>
        <v/>
      </c>
      <c r="AE441" s="682" t="inlineStr">
        <is>
          <t>ENGAGE</t>
        </is>
      </c>
      <c r="AF441" s="681" t="n"/>
      <c r="AG441" s="678" t="n"/>
      <c r="AH441" s="678" t="n"/>
      <c r="AI441" s="678" t="n"/>
      <c r="AJ441" s="678" t="n"/>
      <c r="AK441" s="683" t="n"/>
      <c r="AL441" s="683" t="n"/>
      <c r="AM441" s="681" t="n"/>
    </row>
    <row r="442" ht="54.6" customHeight="1" s="392">
      <c r="A442" s="672" t="n">
        <v>2026</v>
      </c>
      <c r="B442" s="673" t="inlineStr">
        <is>
          <t>DINFOTV</t>
        </is>
      </c>
      <c r="C442" s="673" t="inlineStr">
        <is>
          <t>PV N° : 01NV2026- DITV</t>
        </is>
      </c>
      <c r="D442" s="672" t="inlineStr">
        <is>
          <t>CONTRAT</t>
        </is>
      </c>
      <c r="E442" s="672" t="n">
        <v>1</v>
      </c>
      <c r="F442" s="674" t="inlineStr">
        <is>
          <t>MOHAMED-MOURAD KHETTA  -  Journaliste sportif chargé de réaliser des couvertures et reportages liés au sport et à l’actualité diverse au journal télévisé</t>
        </is>
      </c>
      <c r="G442" s="675" t="inlineStr">
        <is>
          <t>VALIDE</t>
        </is>
      </c>
      <c r="H442" s="672" t="inlineStr">
        <is>
          <t>APPROUVE</t>
        </is>
      </c>
      <c r="I442" s="691" t="n"/>
      <c r="J442" s="675" t="inlineStr">
        <is>
          <t>NON CONCERNE</t>
        </is>
      </c>
      <c r="K442" s="672" t="inlineStr">
        <is>
          <t>Ordinaire</t>
        </is>
      </c>
      <c r="L442" s="676" t="inlineStr">
        <is>
          <t>FONCTIONNEMENT</t>
        </is>
      </c>
      <c r="M442" s="676" t="inlineStr">
        <is>
          <t>Prestations de service
Achat prestations de services locales - personnes physiques</t>
        </is>
      </c>
      <c r="N442" s="677" t="n"/>
      <c r="O442" s="678" t="n"/>
      <c r="P442" s="678" t="n"/>
      <c r="Q442" s="672" t="inlineStr">
        <is>
          <t>NOUVEAU BESOIN</t>
        </is>
      </c>
      <c r="R442" s="679" t="n"/>
      <c r="S442" s="680" t="n"/>
      <c r="T442" s="681" t="inlineStr">
        <is>
          <t>MOHAMED-MOURAD KHETTA</t>
        </is>
      </c>
      <c r="U442" s="672" t="n"/>
      <c r="V442" s="680" t="n">
        <v>46082</v>
      </c>
      <c r="W442" s="680" t="n"/>
      <c r="X442" s="680" t="n">
        <v>46083</v>
      </c>
      <c r="Y442" s="677" t="n">
        <v>130000</v>
      </c>
      <c r="Z442" s="678" t="n">
        <v>0</v>
      </c>
      <c r="AA442" s="678">
        <f>Y442</f>
        <v/>
      </c>
      <c r="AB442" s="678" t="n">
        <v>0</v>
      </c>
      <c r="AC442" s="678">
        <f>AA442</f>
        <v/>
      </c>
      <c r="AD442" s="678">
        <f>AA442</f>
        <v/>
      </c>
      <c r="AE442" s="682" t="inlineStr">
        <is>
          <t>ENGAGE</t>
        </is>
      </c>
      <c r="AF442" s="681" t="n"/>
      <c r="AG442" s="678" t="n"/>
      <c r="AH442" s="678" t="n"/>
      <c r="AI442" s="678" t="n"/>
      <c r="AJ442" s="678" t="n"/>
      <c r="AK442" s="683" t="n"/>
      <c r="AL442" s="683" t="n"/>
      <c r="AM442" s="681" t="inlineStr">
        <is>
          <t>R.A.S</t>
        </is>
      </c>
    </row>
    <row r="443" ht="54.6" customHeight="1" s="392">
      <c r="A443" s="672" t="n">
        <v>2026</v>
      </c>
      <c r="B443" s="673" t="inlineStr">
        <is>
          <t>DINFOTV</t>
        </is>
      </c>
      <c r="C443" s="673" t="inlineStr">
        <is>
          <t>PV N° : 01NV2026- DITV</t>
        </is>
      </c>
      <c r="D443" s="672" t="inlineStr">
        <is>
          <t>CONTRAT</t>
        </is>
      </c>
      <c r="E443" s="672" t="n">
        <v>1</v>
      </c>
      <c r="F443" s="674" t="inlineStr">
        <is>
          <t>SAFAE NOURY  -  Journaliste sportif chargé de réaliser des couvertures et reportages liés au sport et à l’actualité diverse au journal télévisé</t>
        </is>
      </c>
      <c r="G443" s="675" t="inlineStr">
        <is>
          <t>VALIDE</t>
        </is>
      </c>
      <c r="H443" s="672" t="inlineStr">
        <is>
          <t>APPROUVE</t>
        </is>
      </c>
      <c r="I443" s="691" t="n"/>
      <c r="J443" s="675" t="inlineStr">
        <is>
          <t>NON CONCERNE</t>
        </is>
      </c>
      <c r="K443" s="672" t="inlineStr">
        <is>
          <t>Ordinaire</t>
        </is>
      </c>
      <c r="L443" s="676" t="inlineStr">
        <is>
          <t>FONCTIONNEMENT</t>
        </is>
      </c>
      <c r="M443" s="676" t="inlineStr">
        <is>
          <t>Prestations de service
Achat prestations de services locales - personnes physiques</t>
        </is>
      </c>
      <c r="N443" s="677" t="n"/>
      <c r="O443" s="678" t="n"/>
      <c r="P443" s="678" t="n"/>
      <c r="Q443" s="672" t="inlineStr">
        <is>
          <t>NOUVEAU BESOIN</t>
        </is>
      </c>
      <c r="R443" s="679" t="n"/>
      <c r="S443" s="680" t="n"/>
      <c r="T443" s="681" t="inlineStr">
        <is>
          <t>SAFAE NOURY</t>
        </is>
      </c>
      <c r="U443" s="672" t="n"/>
      <c r="V443" s="680" t="n">
        <v>46082</v>
      </c>
      <c r="W443" s="680" t="n"/>
      <c r="X443" s="680" t="n">
        <v>46083</v>
      </c>
      <c r="Y443" s="677" t="n">
        <v>130000</v>
      </c>
      <c r="Z443" s="678" t="n">
        <v>0</v>
      </c>
      <c r="AA443" s="678">
        <f>Y443</f>
        <v/>
      </c>
      <c r="AB443" s="678" t="n">
        <v>0</v>
      </c>
      <c r="AC443" s="678">
        <f>AA443</f>
        <v/>
      </c>
      <c r="AD443" s="678">
        <f>AA443</f>
        <v/>
      </c>
      <c r="AE443" s="682" t="inlineStr">
        <is>
          <t>ENGAGE</t>
        </is>
      </c>
      <c r="AF443" s="681" t="n"/>
      <c r="AG443" s="678" t="n"/>
      <c r="AH443" s="678" t="n"/>
      <c r="AI443" s="678" t="n"/>
      <c r="AJ443" s="678" t="n"/>
      <c r="AK443" s="683" t="n"/>
      <c r="AL443" s="683" t="n"/>
      <c r="AM443" s="681" t="inlineStr">
        <is>
          <t>R.A.S</t>
        </is>
      </c>
    </row>
    <row r="444" ht="54.6" customHeight="1" s="392">
      <c r="A444" s="672" t="n">
        <v>2026</v>
      </c>
      <c r="B444" s="673" t="inlineStr">
        <is>
          <t>DINFOTV</t>
        </is>
      </c>
      <c r="C444" s="673" t="inlineStr">
        <is>
          <t>PV N° : 01NV2026- DITV</t>
        </is>
      </c>
      <c r="D444" s="672" t="inlineStr">
        <is>
          <t>CONTRAT</t>
        </is>
      </c>
      <c r="E444" s="672" t="n">
        <v>1</v>
      </c>
      <c r="F444" s="674" t="inlineStr">
        <is>
          <t>OBAID HARRAS  -  Journaliste sportif chargé de réaliser des couvertures et reportages liés au sport et à l’actualité diverse au journal télévisé</t>
        </is>
      </c>
      <c r="G444" s="675" t="inlineStr">
        <is>
          <t>VALIDE</t>
        </is>
      </c>
      <c r="H444" s="672" t="inlineStr">
        <is>
          <t>APPROUVE</t>
        </is>
      </c>
      <c r="I444" s="691" t="n"/>
      <c r="J444" s="675" t="inlineStr">
        <is>
          <t>NON CONCERNE</t>
        </is>
      </c>
      <c r="K444" s="672" t="inlineStr">
        <is>
          <t>Ordinaire</t>
        </is>
      </c>
      <c r="L444" s="676" t="inlineStr">
        <is>
          <t>FONCTIONNEMENT</t>
        </is>
      </c>
      <c r="M444" s="676" t="inlineStr">
        <is>
          <t>Prestations de service
Achat prestations de services locales - personnes physiques</t>
        </is>
      </c>
      <c r="N444" s="677" t="n"/>
      <c r="O444" s="678" t="n"/>
      <c r="P444" s="678" t="n"/>
      <c r="Q444" s="672" t="inlineStr">
        <is>
          <t>NOUVEAU BESOIN</t>
        </is>
      </c>
      <c r="R444" s="679" t="n"/>
      <c r="S444" s="680" t="n"/>
      <c r="T444" s="681" t="inlineStr">
        <is>
          <t>OBAID HARRAS</t>
        </is>
      </c>
      <c r="U444" s="672" t="n"/>
      <c r="V444" s="680" t="n">
        <v>46082</v>
      </c>
      <c r="W444" s="680" t="n"/>
      <c r="X444" s="680" t="n">
        <v>46083</v>
      </c>
      <c r="Y444" s="677" t="n">
        <v>130000</v>
      </c>
      <c r="Z444" s="678" t="n">
        <v>0</v>
      </c>
      <c r="AA444" s="678">
        <f>Y444</f>
        <v/>
      </c>
      <c r="AB444" s="678" t="n">
        <v>0</v>
      </c>
      <c r="AC444" s="678">
        <f>AA444</f>
        <v/>
      </c>
      <c r="AD444" s="678">
        <f>AA444</f>
        <v/>
      </c>
      <c r="AE444" s="682" t="inlineStr">
        <is>
          <t>ENGAGE</t>
        </is>
      </c>
      <c r="AF444" s="681" t="n"/>
      <c r="AG444" s="678" t="n"/>
      <c r="AH444" s="678" t="n"/>
      <c r="AI444" s="678" t="n"/>
      <c r="AJ444" s="678" t="n"/>
      <c r="AK444" s="683" t="n"/>
      <c r="AL444" s="683" t="n"/>
      <c r="AM444" s="681" t="inlineStr">
        <is>
          <t>R.A.S</t>
        </is>
      </c>
    </row>
    <row r="445" ht="70.80000000000001" customHeight="1" s="392">
      <c r="A445" s="672" t="n">
        <v>2026</v>
      </c>
      <c r="B445" s="673" t="inlineStr">
        <is>
          <t>DTSI</t>
        </is>
      </c>
      <c r="C445" s="673" t="inlineStr">
        <is>
          <t>28 AOM/SNRT</t>
        </is>
      </c>
      <c r="D445" s="672" t="inlineStr">
        <is>
          <t>AOO-M</t>
        </is>
      </c>
      <c r="E445" s="672" t="n">
        <v>1</v>
      </c>
      <c r="F445" s="674" t="inlineStr">
        <is>
          <t>La fourniture et la mise en service d’infrastructures informatiques haute performance pour les applications d’intelligences artificielle pour les besoins de la SNRT</t>
        </is>
      </c>
      <c r="G445" s="675" t="inlineStr">
        <is>
          <t>VALIDE</t>
        </is>
      </c>
      <c r="H445" s="672" t="inlineStr">
        <is>
          <t>APPROUVE</t>
        </is>
      </c>
      <c r="I445" s="691" t="n"/>
      <c r="J445" s="675" t="inlineStr">
        <is>
          <t>GENERAL</t>
        </is>
      </c>
      <c r="K445" s="672" t="inlineStr">
        <is>
          <t>Ordinaire</t>
        </is>
      </c>
      <c r="L445" s="676" t="inlineStr">
        <is>
          <t>INVESTISSEMENT</t>
        </is>
      </c>
      <c r="M445" s="676" t="inlineStr">
        <is>
          <t>Matériel informatiques</t>
        </is>
      </c>
      <c r="N445" s="677">
        <f>O445*1.2</f>
        <v/>
      </c>
      <c r="O445" s="678" t="n">
        <v>746316</v>
      </c>
      <c r="P445" s="678">
        <f>O445/1.2</f>
        <v/>
      </c>
      <c r="Q445" s="672" t="inlineStr">
        <is>
          <t>BESOIN RECURRENT</t>
        </is>
      </c>
      <c r="R445" s="679" t="n"/>
      <c r="S445" s="680" t="n"/>
      <c r="T445" s="681" t="n"/>
      <c r="U445" s="672" t="n"/>
      <c r="V445" s="680" t="n">
        <v>46128</v>
      </c>
      <c r="W445" s="680" t="n">
        <v>46126</v>
      </c>
      <c r="X445" s="680" t="n">
        <v>46212</v>
      </c>
      <c r="Y445" s="677" t="n"/>
      <c r="Z445" s="678" t="n"/>
      <c r="AA445" s="678" t="n">
        <v>641388</v>
      </c>
      <c r="AB445" s="678" t="n">
        <v>0</v>
      </c>
      <c r="AC445" s="678" t="n">
        <v>534490</v>
      </c>
      <c r="AD445" s="678">
        <f>AA445</f>
        <v/>
      </c>
      <c r="AE445" s="682" t="inlineStr">
        <is>
          <t>ENGAGE</t>
        </is>
      </c>
      <c r="AF445" s="681" t="n"/>
      <c r="AG445" s="678" t="n"/>
      <c r="AH445" s="678" t="n"/>
      <c r="AI445" s="678" t="n"/>
      <c r="AJ445" s="678" t="n"/>
      <c r="AK445" s="683" t="n"/>
      <c r="AL445" s="683" t="n"/>
      <c r="AM445" s="681" t="inlineStr">
        <is>
          <t>Suite a AO 15 = INFRUCTUEUX</t>
        </is>
      </c>
    </row>
    <row r="446" ht="32" customHeight="1" s="392">
      <c r="A446" s="672" t="n">
        <v>2026</v>
      </c>
      <c r="B446" s="673" t="inlineStr">
        <is>
          <t>DPMG</t>
        </is>
      </c>
      <c r="C446" s="673" t="inlineStr">
        <is>
          <t>RECONDUCTIBLE</t>
        </is>
      </c>
      <c r="D446" s="672" t="inlineStr">
        <is>
          <t>CONTRAT</t>
        </is>
      </c>
      <c r="E446" s="672" t="n">
        <v>1</v>
      </c>
      <c r="F446" s="674" t="inlineStr">
        <is>
          <t xml:space="preserve">Location d’immeuble </t>
        </is>
      </c>
      <c r="G446" s="675" t="inlineStr">
        <is>
          <t>VALIDE</t>
        </is>
      </c>
      <c r="H446" s="672" t="inlineStr">
        <is>
          <t>APPROUVE</t>
        </is>
      </c>
      <c r="I446" s="672" t="n">
        <v>20000459</v>
      </c>
      <c r="J446" s="675" t="inlineStr">
        <is>
          <t>NON CONCERNE</t>
        </is>
      </c>
      <c r="K446" s="672" t="inlineStr">
        <is>
          <t>Ordinaire</t>
        </is>
      </c>
      <c r="L446" s="676" t="inlineStr">
        <is>
          <t>FONCTIONNEMENT</t>
        </is>
      </c>
      <c r="M446" s="676" t="inlineStr">
        <is>
          <t>Locations</t>
        </is>
      </c>
      <c r="N446" s="677" t="n"/>
      <c r="O446" s="678" t="n"/>
      <c r="P446" s="678" t="n"/>
      <c r="Q446" s="672" t="inlineStr">
        <is>
          <t>RECONDUCTIBLE</t>
        </is>
      </c>
      <c r="R446" s="679" t="n"/>
      <c r="S446" s="680" t="n"/>
      <c r="T446" s="681" t="inlineStr">
        <is>
          <t>BENBAREK SALAH</t>
        </is>
      </c>
      <c r="U446" s="672" t="n"/>
      <c r="V446" s="680" t="n"/>
      <c r="W446" s="680" t="n"/>
      <c r="X446" s="680" t="n"/>
      <c r="Y446" s="677">
        <f>AC446</f>
        <v/>
      </c>
      <c r="Z446" s="678" t="n">
        <v>0</v>
      </c>
      <c r="AA446" s="678">
        <f>AC446</f>
        <v/>
      </c>
      <c r="AB446" s="678" t="n">
        <v>0</v>
      </c>
      <c r="AC446" s="678">
        <f>AD446</f>
        <v/>
      </c>
      <c r="AD446" s="678" t="n">
        <v>622864.76</v>
      </c>
      <c r="AE446" s="682" t="inlineStr">
        <is>
          <t>ENGAGE</t>
        </is>
      </c>
      <c r="AF446" s="681" t="n"/>
      <c r="AG446" s="678" t="n"/>
      <c r="AH446" s="678" t="n"/>
      <c r="AI446" s="678" t="n"/>
      <c r="AJ446" s="678" t="n"/>
      <c r="AK446" s="683" t="n"/>
      <c r="AL446" s="683" t="n"/>
      <c r="AM446" s="681" t="inlineStr">
        <is>
          <t>R.A.S</t>
        </is>
      </c>
    </row>
    <row r="447" ht="32" customHeight="1" s="392">
      <c r="A447" s="672" t="n">
        <v>2026</v>
      </c>
      <c r="B447" s="673" t="inlineStr">
        <is>
          <t>DPMG</t>
        </is>
      </c>
      <c r="C447" s="673" t="inlineStr">
        <is>
          <t>RECONDUCTIBLE</t>
        </is>
      </c>
      <c r="D447" s="672" t="inlineStr">
        <is>
          <t>CONTRAT</t>
        </is>
      </c>
      <c r="E447" s="672" t="n">
        <v>1</v>
      </c>
      <c r="F447" s="674" t="inlineStr">
        <is>
          <t xml:space="preserve">Location d’immeuble </t>
        </is>
      </c>
      <c r="G447" s="675" t="inlineStr">
        <is>
          <t>VALIDE</t>
        </is>
      </c>
      <c r="H447" s="672" t="inlineStr">
        <is>
          <t>APPROUVE</t>
        </is>
      </c>
      <c r="I447" s="672" t="n">
        <v>20000470</v>
      </c>
      <c r="J447" s="675" t="inlineStr">
        <is>
          <t>NON CONCERNE</t>
        </is>
      </c>
      <c r="K447" s="672" t="inlineStr">
        <is>
          <t>Ordinaire</t>
        </is>
      </c>
      <c r="L447" s="676" t="inlineStr">
        <is>
          <t>FONCTIONNEMENT</t>
        </is>
      </c>
      <c r="M447" s="676" t="inlineStr">
        <is>
          <t>Locations</t>
        </is>
      </c>
      <c r="N447" s="677" t="n"/>
      <c r="O447" s="678" t="n"/>
      <c r="P447" s="678" t="n"/>
      <c r="Q447" s="672" t="inlineStr">
        <is>
          <t>RECONDUCTIBLE</t>
        </is>
      </c>
      <c r="R447" s="679" t="n"/>
      <c r="S447" s="680" t="n"/>
      <c r="T447" s="681" t="inlineStr">
        <is>
          <t>MICHELE "AZIZA LEBOUC "</t>
        </is>
      </c>
      <c r="U447" s="672" t="n"/>
      <c r="V447" s="680" t="n"/>
      <c r="W447" s="680" t="n"/>
      <c r="X447" s="680" t="n"/>
      <c r="Y447" s="677">
        <f>AC447</f>
        <v/>
      </c>
      <c r="Z447" s="678" t="n">
        <v>0</v>
      </c>
      <c r="AA447" s="678">
        <f>AC447</f>
        <v/>
      </c>
      <c r="AB447" s="678" t="n">
        <v>0</v>
      </c>
      <c r="AC447" s="678">
        <f>AD447</f>
        <v/>
      </c>
      <c r="AD447" s="678" t="n">
        <v>9116.24</v>
      </c>
      <c r="AE447" s="682" t="inlineStr">
        <is>
          <t>ENGAGE</t>
        </is>
      </c>
      <c r="AF447" s="681" t="n"/>
      <c r="AG447" s="678" t="n"/>
      <c r="AH447" s="678" t="n"/>
      <c r="AI447" s="678" t="n"/>
      <c r="AJ447" s="678" t="n"/>
      <c r="AK447" s="683" t="n"/>
      <c r="AL447" s="683" t="n"/>
      <c r="AM447" s="681" t="inlineStr">
        <is>
          <t>R.A.S</t>
        </is>
      </c>
    </row>
    <row r="448" ht="32" customHeight="1" s="392">
      <c r="A448" s="672" t="n">
        <v>2026</v>
      </c>
      <c r="B448" s="673" t="inlineStr">
        <is>
          <t>DPMG</t>
        </is>
      </c>
      <c r="C448" s="673" t="inlineStr">
        <is>
          <t>RECONDUCTIBLE</t>
        </is>
      </c>
      <c r="D448" s="672" t="inlineStr">
        <is>
          <t>CONTRAT</t>
        </is>
      </c>
      <c r="E448" s="672" t="n">
        <v>1</v>
      </c>
      <c r="F448" s="674" t="inlineStr">
        <is>
          <t xml:space="preserve">Location d’immeuble </t>
        </is>
      </c>
      <c r="G448" s="675" t="inlineStr">
        <is>
          <t>VALIDE</t>
        </is>
      </c>
      <c r="H448" s="672" t="inlineStr">
        <is>
          <t>APPROUVE</t>
        </is>
      </c>
      <c r="I448" s="672" t="n">
        <v>20000471</v>
      </c>
      <c r="J448" s="675" t="inlineStr">
        <is>
          <t>NON CONCERNE</t>
        </is>
      </c>
      <c r="K448" s="672" t="inlineStr">
        <is>
          <t>Ordinaire</t>
        </is>
      </c>
      <c r="L448" s="676" t="inlineStr">
        <is>
          <t>FONCTIONNEMENT</t>
        </is>
      </c>
      <c r="M448" s="676" t="inlineStr">
        <is>
          <t>Locations</t>
        </is>
      </c>
      <c r="N448" s="677" t="n"/>
      <c r="O448" s="678" t="n"/>
      <c r="P448" s="678" t="n"/>
      <c r="Q448" s="672" t="inlineStr">
        <is>
          <t>RECONDUCTIBLE</t>
        </is>
      </c>
      <c r="R448" s="679" t="n"/>
      <c r="S448" s="680" t="n"/>
      <c r="T448" s="681" t="inlineStr">
        <is>
          <t>SALIMA BELGHMI-KOUHEN</t>
        </is>
      </c>
      <c r="U448" s="672" t="n"/>
      <c r="V448" s="680" t="n"/>
      <c r="W448" s="680" t="n"/>
      <c r="X448" s="680" t="n"/>
      <c r="Y448" s="677">
        <f>AC448</f>
        <v/>
      </c>
      <c r="Z448" s="678" t="n">
        <v>0</v>
      </c>
      <c r="AA448" s="678">
        <f>AC448</f>
        <v/>
      </c>
      <c r="AB448" s="678" t="n">
        <v>0</v>
      </c>
      <c r="AC448" s="678">
        <f>AD448</f>
        <v/>
      </c>
      <c r="AD448" s="678" t="n">
        <v>12762.72</v>
      </c>
      <c r="AE448" s="682" t="inlineStr">
        <is>
          <t>ENGAGE</t>
        </is>
      </c>
      <c r="AF448" s="681" t="n"/>
      <c r="AG448" s="678" t="n"/>
      <c r="AH448" s="678" t="n"/>
      <c r="AI448" s="678" t="n"/>
      <c r="AJ448" s="678" t="n"/>
      <c r="AK448" s="683" t="n"/>
      <c r="AL448" s="683" t="n"/>
      <c r="AM448" s="681" t="inlineStr">
        <is>
          <t>R.A.S</t>
        </is>
      </c>
    </row>
    <row r="449" ht="32" customHeight="1" s="392">
      <c r="A449" s="672" t="n">
        <v>2026</v>
      </c>
      <c r="B449" s="673" t="inlineStr">
        <is>
          <t>DPMG</t>
        </is>
      </c>
      <c r="C449" s="673" t="inlineStr">
        <is>
          <t>RECONDUCTIBLE</t>
        </is>
      </c>
      <c r="D449" s="672" t="inlineStr">
        <is>
          <t>CONTRAT</t>
        </is>
      </c>
      <c r="E449" s="672" t="n">
        <v>1</v>
      </c>
      <c r="F449" s="674" t="inlineStr">
        <is>
          <t xml:space="preserve">Location d’immeuble </t>
        </is>
      </c>
      <c r="G449" s="675" t="inlineStr">
        <is>
          <t>VALIDE</t>
        </is>
      </c>
      <c r="H449" s="672" t="inlineStr">
        <is>
          <t>APPROUVE</t>
        </is>
      </c>
      <c r="I449" s="672" t="n">
        <v>20000454</v>
      </c>
      <c r="J449" s="675" t="inlineStr">
        <is>
          <t>NON CONCERNE</t>
        </is>
      </c>
      <c r="K449" s="672" t="inlineStr">
        <is>
          <t>Ordinaire</t>
        </is>
      </c>
      <c r="L449" s="676" t="inlineStr">
        <is>
          <t>FONCTIONNEMENT</t>
        </is>
      </c>
      <c r="M449" s="676" t="inlineStr">
        <is>
          <t>Locations</t>
        </is>
      </c>
      <c r="N449" s="677" t="n"/>
      <c r="O449" s="678" t="n"/>
      <c r="P449" s="678" t="n"/>
      <c r="Q449" s="672" t="inlineStr">
        <is>
          <t>RECONDUCTIBLE</t>
        </is>
      </c>
      <c r="R449" s="679" t="n"/>
      <c r="S449" s="680" t="n"/>
      <c r="T449" s="681" t="inlineStr">
        <is>
          <t>FATIMA BENABDALLAH</t>
        </is>
      </c>
      <c r="U449" s="672" t="n"/>
      <c r="V449" s="680" t="n"/>
      <c r="W449" s="680" t="n"/>
      <c r="X449" s="680" t="n"/>
      <c r="Y449" s="677">
        <f>AC449</f>
        <v/>
      </c>
      <c r="Z449" s="678" t="n">
        <v>0</v>
      </c>
      <c r="AA449" s="678">
        <f>AC449</f>
        <v/>
      </c>
      <c r="AB449" s="678" t="n">
        <v>0</v>
      </c>
      <c r="AC449" s="678">
        <f>AD449</f>
        <v/>
      </c>
      <c r="AD449" s="678" t="n">
        <v>1896356.04</v>
      </c>
      <c r="AE449" s="682" t="inlineStr">
        <is>
          <t>ENGAGE</t>
        </is>
      </c>
      <c r="AF449" s="681" t="n"/>
      <c r="AG449" s="678" t="n"/>
      <c r="AH449" s="678" t="n"/>
      <c r="AI449" s="678" t="n"/>
      <c r="AJ449" s="678" t="n"/>
      <c r="AK449" s="683" t="n"/>
      <c r="AL449" s="683" t="n"/>
      <c r="AM449" s="681" t="inlineStr">
        <is>
          <t>R.A.S</t>
        </is>
      </c>
    </row>
    <row r="450" ht="32" customHeight="1" s="392">
      <c r="A450" s="672" t="n">
        <v>2026</v>
      </c>
      <c r="B450" s="673" t="inlineStr">
        <is>
          <t>DPMG</t>
        </is>
      </c>
      <c r="C450" s="673" t="inlineStr">
        <is>
          <t>RECONDUCTIBLE</t>
        </is>
      </c>
      <c r="D450" s="672" t="inlineStr">
        <is>
          <t>CONTRAT</t>
        </is>
      </c>
      <c r="E450" s="672" t="n">
        <v>1</v>
      </c>
      <c r="F450" s="674" t="inlineStr">
        <is>
          <t xml:space="preserve">Location d’immeuble </t>
        </is>
      </c>
      <c r="G450" s="675" t="inlineStr">
        <is>
          <t>VALIDE</t>
        </is>
      </c>
      <c r="H450" s="672" t="inlineStr">
        <is>
          <t>APPROUVE</t>
        </is>
      </c>
      <c r="I450" s="672" t="n">
        <v>20000481</v>
      </c>
      <c r="J450" s="675" t="inlineStr">
        <is>
          <t>NON CONCERNE</t>
        </is>
      </c>
      <c r="K450" s="672" t="inlineStr">
        <is>
          <t>Ordinaire</t>
        </is>
      </c>
      <c r="L450" s="676" t="inlineStr">
        <is>
          <t>FONCTIONNEMENT</t>
        </is>
      </c>
      <c r="M450" s="676" t="inlineStr">
        <is>
          <t>Locations</t>
        </is>
      </c>
      <c r="N450" s="677" t="n"/>
      <c r="O450" s="678" t="n"/>
      <c r="P450" s="678" t="n"/>
      <c r="Q450" s="672" t="inlineStr">
        <is>
          <t>RECONDUCTIBLE</t>
        </is>
      </c>
      <c r="R450" s="679" t="n"/>
      <c r="S450" s="680" t="n"/>
      <c r="T450" s="681" t="inlineStr">
        <is>
          <t>BENBAREK JAMAL EDDINE</t>
        </is>
      </c>
      <c r="U450" s="672" t="n"/>
      <c r="V450" s="680" t="n"/>
      <c r="W450" s="680" t="n"/>
      <c r="X450" s="680" t="n"/>
      <c r="Y450" s="677">
        <f>AC450</f>
        <v/>
      </c>
      <c r="Z450" s="678" t="n">
        <v>0</v>
      </c>
      <c r="AA450" s="678">
        <f>AC450</f>
        <v/>
      </c>
      <c r="AB450" s="678" t="n">
        <v>0</v>
      </c>
      <c r="AC450" s="678">
        <f>AD450</f>
        <v/>
      </c>
      <c r="AD450" s="678" t="n">
        <v>190540.92</v>
      </c>
      <c r="AE450" s="682" t="inlineStr">
        <is>
          <t>ENGAGE</t>
        </is>
      </c>
      <c r="AF450" s="681" t="n"/>
      <c r="AG450" s="678" t="n"/>
      <c r="AH450" s="678" t="n"/>
      <c r="AI450" s="678" t="n"/>
      <c r="AJ450" s="678" t="n"/>
      <c r="AK450" s="683" t="n"/>
      <c r="AL450" s="683" t="n"/>
      <c r="AM450" s="681" t="inlineStr">
        <is>
          <t>R.A.S</t>
        </is>
      </c>
    </row>
    <row r="451" ht="32" customHeight="1" s="392">
      <c r="A451" s="672" t="n">
        <v>2026</v>
      </c>
      <c r="B451" s="673" t="inlineStr">
        <is>
          <t>DPMG</t>
        </is>
      </c>
      <c r="C451" s="673" t="inlineStr">
        <is>
          <t>RECONDUCTIBLE</t>
        </is>
      </c>
      <c r="D451" s="672" t="inlineStr">
        <is>
          <t>CONTRAT</t>
        </is>
      </c>
      <c r="E451" s="672" t="n">
        <v>1</v>
      </c>
      <c r="F451" s="674" t="inlineStr">
        <is>
          <t xml:space="preserve">Location d’immeuble </t>
        </is>
      </c>
      <c r="G451" s="675" t="inlineStr">
        <is>
          <t>VALIDE</t>
        </is>
      </c>
      <c r="H451" s="672" t="inlineStr">
        <is>
          <t>APPROUVE</t>
        </is>
      </c>
      <c r="I451" s="672" t="n">
        <v>20000669</v>
      </c>
      <c r="J451" s="675" t="inlineStr">
        <is>
          <t>NON CONCERNE</t>
        </is>
      </c>
      <c r="K451" s="672" t="inlineStr">
        <is>
          <t>Ordinaire</t>
        </is>
      </c>
      <c r="L451" s="676" t="inlineStr">
        <is>
          <t>FONCTIONNEMENT</t>
        </is>
      </c>
      <c r="M451" s="676" t="inlineStr">
        <is>
          <t>Locations</t>
        </is>
      </c>
      <c r="N451" s="677" t="n"/>
      <c r="O451" s="678" t="n"/>
      <c r="P451" s="678" t="n"/>
      <c r="Q451" s="672" t="inlineStr">
        <is>
          <t>RECONDUCTIBLE</t>
        </is>
      </c>
      <c r="R451" s="679" t="n"/>
      <c r="S451" s="680" t="n"/>
      <c r="T451" s="681" t="inlineStr">
        <is>
          <t>NOUZHA BENBAREK</t>
        </is>
      </c>
      <c r="U451" s="672" t="n"/>
      <c r="V451" s="680" t="n"/>
      <c r="W451" s="680" t="n"/>
      <c r="X451" s="680" t="n"/>
      <c r="Y451" s="677">
        <f>AC451</f>
        <v/>
      </c>
      <c r="Z451" s="678" t="n">
        <v>0</v>
      </c>
      <c r="AA451" s="678">
        <f>AC451</f>
        <v/>
      </c>
      <c r="AB451" s="678" t="n">
        <v>0</v>
      </c>
      <c r="AC451" s="678">
        <f>AD451</f>
        <v/>
      </c>
      <c r="AD451" s="678" t="n">
        <v>144079.24</v>
      </c>
      <c r="AE451" s="682" t="inlineStr">
        <is>
          <t>ENGAGE</t>
        </is>
      </c>
      <c r="AF451" s="681" t="n"/>
      <c r="AG451" s="678" t="n"/>
      <c r="AH451" s="678" t="n"/>
      <c r="AI451" s="678" t="n"/>
      <c r="AJ451" s="678" t="n"/>
      <c r="AK451" s="683" t="n"/>
      <c r="AL451" s="683" t="n"/>
      <c r="AM451" s="681" t="inlineStr">
        <is>
          <t>R.A.S</t>
        </is>
      </c>
    </row>
    <row r="452" ht="32" customHeight="1" s="392">
      <c r="A452" s="672" t="n">
        <v>2026</v>
      </c>
      <c r="B452" s="673" t="inlineStr">
        <is>
          <t>DPMG</t>
        </is>
      </c>
      <c r="C452" s="673" t="inlineStr">
        <is>
          <t>RECONDUCTIBLE</t>
        </is>
      </c>
      <c r="D452" s="672" t="inlineStr">
        <is>
          <t>CONTRAT</t>
        </is>
      </c>
      <c r="E452" s="672" t="n">
        <v>1</v>
      </c>
      <c r="F452" s="674" t="inlineStr">
        <is>
          <t xml:space="preserve">Location d’immeuble </t>
        </is>
      </c>
      <c r="G452" s="675" t="inlineStr">
        <is>
          <t>VALIDE</t>
        </is>
      </c>
      <c r="H452" s="672" t="inlineStr">
        <is>
          <t>APPROUVE</t>
        </is>
      </c>
      <c r="I452" s="672" t="n">
        <v>20000468</v>
      </c>
      <c r="J452" s="675" t="inlineStr">
        <is>
          <t>NON CONCERNE</t>
        </is>
      </c>
      <c r="K452" s="672" t="inlineStr">
        <is>
          <t>Ordinaire</t>
        </is>
      </c>
      <c r="L452" s="676" t="inlineStr">
        <is>
          <t>FONCTIONNEMENT</t>
        </is>
      </c>
      <c r="M452" s="676" t="inlineStr">
        <is>
          <t>Locations</t>
        </is>
      </c>
      <c r="N452" s="677" t="n"/>
      <c r="O452" s="678" t="n"/>
      <c r="P452" s="678" t="n"/>
      <c r="Q452" s="672" t="inlineStr">
        <is>
          <t>RECONDUCTIBLE</t>
        </is>
      </c>
      <c r="R452" s="679" t="n"/>
      <c r="S452" s="680" t="n"/>
      <c r="T452" s="681" t="inlineStr">
        <is>
          <t>KARIM BELGHMI</t>
        </is>
      </c>
      <c r="U452" s="672" t="n"/>
      <c r="V452" s="680" t="n"/>
      <c r="W452" s="680" t="n"/>
      <c r="X452" s="680" t="n"/>
      <c r="Y452" s="677">
        <f>AC452</f>
        <v/>
      </c>
      <c r="Z452" s="678" t="n">
        <v>0</v>
      </c>
      <c r="AA452" s="678">
        <f>AC452</f>
        <v/>
      </c>
      <c r="AB452" s="678" t="n">
        <v>0</v>
      </c>
      <c r="AC452" s="678">
        <f>AD452</f>
        <v/>
      </c>
      <c r="AD452" s="678" t="n">
        <v>25525.52</v>
      </c>
      <c r="AE452" s="682" t="inlineStr">
        <is>
          <t>ENGAGE</t>
        </is>
      </c>
      <c r="AF452" s="681" t="n"/>
      <c r="AG452" s="678" t="n"/>
      <c r="AH452" s="678" t="n"/>
      <c r="AI452" s="678" t="n"/>
      <c r="AJ452" s="678" t="n"/>
      <c r="AK452" s="683" t="n"/>
      <c r="AL452" s="683" t="n"/>
      <c r="AM452" s="681" t="inlineStr">
        <is>
          <t>R.A.S</t>
        </is>
      </c>
    </row>
    <row r="453" ht="32" customHeight="1" s="392">
      <c r="A453" s="672" t="n">
        <v>2026</v>
      </c>
      <c r="B453" s="673" t="inlineStr">
        <is>
          <t>DPMG</t>
        </is>
      </c>
      <c r="C453" s="673" t="inlineStr">
        <is>
          <t>RECONDUCTIBLE</t>
        </is>
      </c>
      <c r="D453" s="672" t="inlineStr">
        <is>
          <t>CONTRAT</t>
        </is>
      </c>
      <c r="E453" s="672" t="n">
        <v>1</v>
      </c>
      <c r="F453" s="674" t="inlineStr">
        <is>
          <t xml:space="preserve">Location d’immeuble </t>
        </is>
      </c>
      <c r="G453" s="675" t="inlineStr">
        <is>
          <t>VALIDE</t>
        </is>
      </c>
      <c r="H453" s="672" t="inlineStr">
        <is>
          <t>APPROUVE</t>
        </is>
      </c>
      <c r="I453" s="672" t="n">
        <v>20000469</v>
      </c>
      <c r="J453" s="675" t="inlineStr">
        <is>
          <t>NON CONCERNE</t>
        </is>
      </c>
      <c r="K453" s="672" t="inlineStr">
        <is>
          <t>Ordinaire</t>
        </is>
      </c>
      <c r="L453" s="676" t="inlineStr">
        <is>
          <t>FONCTIONNEMENT</t>
        </is>
      </c>
      <c r="M453" s="676" t="inlineStr">
        <is>
          <t>Locations</t>
        </is>
      </c>
      <c r="N453" s="677" t="n"/>
      <c r="O453" s="678" t="n"/>
      <c r="P453" s="678" t="n"/>
      <c r="Q453" s="672" t="inlineStr">
        <is>
          <t>RECONDUCTIBLE</t>
        </is>
      </c>
      <c r="R453" s="679" t="n"/>
      <c r="S453" s="680" t="n"/>
      <c r="T453" s="681" t="inlineStr">
        <is>
          <t>MOHAMMED KAMAL BELGHMI</t>
        </is>
      </c>
      <c r="U453" s="672" t="n"/>
      <c r="V453" s="680" t="n"/>
      <c r="W453" s="680" t="n"/>
      <c r="X453" s="680" t="n"/>
      <c r="Y453" s="677">
        <f>AC453</f>
        <v/>
      </c>
      <c r="Z453" s="678" t="n">
        <v>0</v>
      </c>
      <c r="AA453" s="678">
        <f>AC453</f>
        <v/>
      </c>
      <c r="AB453" s="678" t="n">
        <v>0</v>
      </c>
      <c r="AC453" s="678">
        <f>AD453</f>
        <v/>
      </c>
      <c r="AD453" s="678" t="n">
        <v>25525.52</v>
      </c>
      <c r="AE453" s="682" t="inlineStr">
        <is>
          <t>ENGAGE</t>
        </is>
      </c>
      <c r="AF453" s="681" t="n"/>
      <c r="AG453" s="678" t="n"/>
      <c r="AH453" s="678" t="n"/>
      <c r="AI453" s="678" t="n"/>
      <c r="AJ453" s="678" t="n"/>
      <c r="AK453" s="683" t="n"/>
      <c r="AL453" s="683" t="n"/>
      <c r="AM453" s="681" t="inlineStr">
        <is>
          <t>R.A.S</t>
        </is>
      </c>
    </row>
    <row r="454" ht="35.7" customHeight="1" s="392">
      <c r="A454" s="672" t="n">
        <v>2026</v>
      </c>
      <c r="B454" s="673" t="inlineStr">
        <is>
          <t>DPMG</t>
        </is>
      </c>
      <c r="C454" s="673" t="inlineStr">
        <is>
          <t>RECONDUCTIBLE</t>
        </is>
      </c>
      <c r="D454" s="672" t="inlineStr">
        <is>
          <t>CONTRAT</t>
        </is>
      </c>
      <c r="E454" s="672" t="n">
        <v>1</v>
      </c>
      <c r="F454" s="674" t="inlineStr">
        <is>
          <t xml:space="preserve">Location d’immeuble </t>
        </is>
      </c>
      <c r="G454" s="675" t="inlineStr">
        <is>
          <t>VALIDE</t>
        </is>
      </c>
      <c r="H454" s="672" t="inlineStr">
        <is>
          <t>APPROUVE</t>
        </is>
      </c>
      <c r="I454" s="672" t="n">
        <v>20000451</v>
      </c>
      <c r="J454" s="675" t="inlineStr">
        <is>
          <t>NON CONCERNE</t>
        </is>
      </c>
      <c r="K454" s="672" t="inlineStr">
        <is>
          <t>Ordinaire</t>
        </is>
      </c>
      <c r="L454" s="676" t="inlineStr">
        <is>
          <t>FONCTIONNEMENT</t>
        </is>
      </c>
      <c r="M454" s="676" t="inlineStr">
        <is>
          <t>Locations</t>
        </is>
      </c>
      <c r="N454" s="677" t="n"/>
      <c r="O454" s="678" t="n"/>
      <c r="P454" s="678" t="n"/>
      <c r="Q454" s="672" t="inlineStr">
        <is>
          <t>RECONDUCTIBLE</t>
        </is>
      </c>
      <c r="R454" s="679" t="n"/>
      <c r="S454" s="680" t="n"/>
      <c r="T454" s="681" t="inlineStr">
        <is>
          <t>BENCHAKROUN ADNANE ET CONSORTS</t>
        </is>
      </c>
      <c r="U454" s="672" t="n"/>
      <c r="V454" s="680" t="n"/>
      <c r="W454" s="680" t="n"/>
      <c r="X454" s="680" t="n"/>
      <c r="Y454" s="677">
        <f>AC454</f>
        <v/>
      </c>
      <c r="Z454" s="678" t="n">
        <v>0</v>
      </c>
      <c r="AA454" s="678">
        <f>AC454</f>
        <v/>
      </c>
      <c r="AB454" s="678" t="n">
        <v>0</v>
      </c>
      <c r="AC454" s="678">
        <f>AD454</f>
        <v/>
      </c>
      <c r="AD454" s="678" t="n">
        <v>88245</v>
      </c>
      <c r="AE454" s="682" t="inlineStr">
        <is>
          <t>ENGAGE</t>
        </is>
      </c>
      <c r="AF454" s="681" t="n"/>
      <c r="AG454" s="678" t="n"/>
      <c r="AH454" s="678" t="n"/>
      <c r="AI454" s="678" t="n"/>
      <c r="AJ454" s="678" t="n"/>
      <c r="AK454" s="683" t="n"/>
      <c r="AL454" s="683" t="n"/>
      <c r="AM454" s="681" t="inlineStr">
        <is>
          <t>R.A.S</t>
        </is>
      </c>
    </row>
    <row r="455" ht="32" customHeight="1" s="392">
      <c r="A455" s="672" t="n">
        <v>2026</v>
      </c>
      <c r="B455" s="673" t="inlineStr">
        <is>
          <t>DPMG</t>
        </is>
      </c>
      <c r="C455" s="673" t="inlineStr">
        <is>
          <t>RECONDUCTIBLE</t>
        </is>
      </c>
      <c r="D455" s="672" t="inlineStr">
        <is>
          <t>CONTRAT</t>
        </is>
      </c>
      <c r="E455" s="672" t="n">
        <v>1</v>
      </c>
      <c r="F455" s="674" t="inlineStr">
        <is>
          <t xml:space="preserve">Location d’immeuble </t>
        </is>
      </c>
      <c r="G455" s="675" t="inlineStr">
        <is>
          <t>VALIDE</t>
        </is>
      </c>
      <c r="H455" s="672" t="inlineStr">
        <is>
          <t>APPROUVE</t>
        </is>
      </c>
      <c r="I455" s="672" t="n">
        <v>20000668</v>
      </c>
      <c r="J455" s="675" t="inlineStr">
        <is>
          <t>NON CONCERNE</t>
        </is>
      </c>
      <c r="K455" s="672" t="inlineStr">
        <is>
          <t>Ordinaire</t>
        </is>
      </c>
      <c r="L455" s="676" t="inlineStr">
        <is>
          <t>FONCTIONNEMENT</t>
        </is>
      </c>
      <c r="M455" s="676" t="inlineStr">
        <is>
          <t>Locations</t>
        </is>
      </c>
      <c r="N455" s="677" t="n"/>
      <c r="O455" s="678" t="n"/>
      <c r="P455" s="678" t="n"/>
      <c r="Q455" s="672" t="inlineStr">
        <is>
          <t>RECONDUCTIBLE</t>
        </is>
      </c>
      <c r="R455" s="679" t="n"/>
      <c r="S455" s="680" t="n"/>
      <c r="T455" s="681" t="inlineStr">
        <is>
          <t>SOUAD BENBAREK</t>
        </is>
      </c>
      <c r="U455" s="672" t="n"/>
      <c r="V455" s="680" t="n"/>
      <c r="W455" s="680" t="n"/>
      <c r="X455" s="680" t="n"/>
      <c r="Y455" s="677">
        <f>AC455</f>
        <v/>
      </c>
      <c r="Z455" s="678" t="n">
        <v>0</v>
      </c>
      <c r="AA455" s="678">
        <f>AC455</f>
        <v/>
      </c>
      <c r="AB455" s="678" t="n">
        <v>0</v>
      </c>
      <c r="AC455" s="678">
        <f>AD455</f>
        <v/>
      </c>
      <c r="AD455" s="678" t="n">
        <v>265585.04</v>
      </c>
      <c r="AE455" s="682" t="inlineStr">
        <is>
          <t>ENGAGE</t>
        </is>
      </c>
      <c r="AF455" s="681" t="n"/>
      <c r="AG455" s="678" t="n"/>
      <c r="AH455" s="678" t="n"/>
      <c r="AI455" s="678" t="n"/>
      <c r="AJ455" s="678" t="n"/>
      <c r="AK455" s="683" t="n"/>
      <c r="AL455" s="683" t="n"/>
      <c r="AM455" s="681" t="inlineStr">
        <is>
          <t>R.A.S</t>
        </is>
      </c>
    </row>
    <row r="456" ht="32" customHeight="1" s="392">
      <c r="A456" s="672" t="n">
        <v>2026</v>
      </c>
      <c r="B456" s="673" t="inlineStr">
        <is>
          <t>DPMG</t>
        </is>
      </c>
      <c r="C456" s="673" t="inlineStr">
        <is>
          <t>RECONDUCTIBLE</t>
        </is>
      </c>
      <c r="D456" s="672" t="inlineStr">
        <is>
          <t>CONTRAT</t>
        </is>
      </c>
      <c r="E456" s="672" t="n">
        <v>1</v>
      </c>
      <c r="F456" s="674" t="inlineStr">
        <is>
          <t xml:space="preserve">Location d’immeuble </t>
        </is>
      </c>
      <c r="G456" s="675" t="inlineStr">
        <is>
          <t>VALIDE</t>
        </is>
      </c>
      <c r="H456" s="672" t="inlineStr">
        <is>
          <t>APPROUVE</t>
        </is>
      </c>
      <c r="I456" s="672" t="n">
        <v>20000480</v>
      </c>
      <c r="J456" s="675" t="inlineStr">
        <is>
          <t>NON CONCERNE</t>
        </is>
      </c>
      <c r="K456" s="672" t="inlineStr">
        <is>
          <t>Ordinaire</t>
        </is>
      </c>
      <c r="L456" s="676" t="inlineStr">
        <is>
          <t>FONCTIONNEMENT</t>
        </is>
      </c>
      <c r="M456" s="676" t="inlineStr">
        <is>
          <t>Locations</t>
        </is>
      </c>
      <c r="N456" s="677" t="n"/>
      <c r="O456" s="678" t="n"/>
      <c r="P456" s="678" t="n"/>
      <c r="Q456" s="672" t="inlineStr">
        <is>
          <t>RECONDUCTIBLE</t>
        </is>
      </c>
      <c r="R456" s="679" t="n"/>
      <c r="S456" s="680" t="n"/>
      <c r="T456" s="681" t="inlineStr">
        <is>
          <t>GUESSOUS FETTOUMA</t>
        </is>
      </c>
      <c r="U456" s="672" t="n"/>
      <c r="V456" s="680" t="n"/>
      <c r="W456" s="680" t="n"/>
      <c r="X456" s="680" t="n"/>
      <c r="Y456" s="677">
        <f>AC456</f>
        <v/>
      </c>
      <c r="Z456" s="678" t="n">
        <v>0</v>
      </c>
      <c r="AA456" s="678">
        <f>AC456</f>
        <v/>
      </c>
      <c r="AB456" s="678" t="n">
        <v>0</v>
      </c>
      <c r="AC456" s="678">
        <f>AD456</f>
        <v/>
      </c>
      <c r="AD456" s="678" t="n">
        <v>135907.6</v>
      </c>
      <c r="AE456" s="682" t="inlineStr">
        <is>
          <t>ENGAGE</t>
        </is>
      </c>
      <c r="AF456" s="681" t="n"/>
      <c r="AG456" s="678" t="n"/>
      <c r="AH456" s="678" t="n"/>
      <c r="AI456" s="678" t="n"/>
      <c r="AJ456" s="678" t="n"/>
      <c r="AK456" s="683" t="n"/>
      <c r="AL456" s="683" t="n"/>
      <c r="AM456" s="681" t="inlineStr">
        <is>
          <t>R.A.S</t>
        </is>
      </c>
    </row>
    <row r="457" ht="35.7" customHeight="1" s="392">
      <c r="A457" s="672" t="n">
        <v>2026</v>
      </c>
      <c r="B457" s="673" t="inlineStr">
        <is>
          <t>DPMG</t>
        </is>
      </c>
      <c r="C457" s="673" t="inlineStr">
        <is>
          <t>RECONDUCTIBLE</t>
        </is>
      </c>
      <c r="D457" s="672" t="inlineStr">
        <is>
          <t>CONTRAT</t>
        </is>
      </c>
      <c r="E457" s="672" t="n">
        <v>1</v>
      </c>
      <c r="F457" s="674" t="inlineStr">
        <is>
          <t xml:space="preserve">Location d’immeuble </t>
        </is>
      </c>
      <c r="G457" s="675" t="inlineStr">
        <is>
          <t>VALIDE</t>
        </is>
      </c>
      <c r="H457" s="672" t="inlineStr">
        <is>
          <t>APPROUVE</t>
        </is>
      </c>
      <c r="I457" s="672" t="n">
        <v>20000482</v>
      </c>
      <c r="J457" s="675" t="inlineStr">
        <is>
          <t>NON CONCERNE</t>
        </is>
      </c>
      <c r="K457" s="672" t="inlineStr">
        <is>
          <t>Ordinaire</t>
        </is>
      </c>
      <c r="L457" s="676" t="inlineStr">
        <is>
          <t>FONCTIONNEMENT</t>
        </is>
      </c>
      <c r="M457" s="676" t="inlineStr">
        <is>
          <t>Locations</t>
        </is>
      </c>
      <c r="N457" s="677" t="n"/>
      <c r="O457" s="678" t="n"/>
      <c r="P457" s="678" t="n"/>
      <c r="Q457" s="672" t="inlineStr">
        <is>
          <t>RECONDUCTIBLE</t>
        </is>
      </c>
      <c r="R457" s="679" t="n"/>
      <c r="S457" s="680" t="n"/>
      <c r="T457" s="681" t="inlineStr">
        <is>
          <t xml:space="preserve">MOHAMMED LAHLOU ET CONSORTS </t>
        </is>
      </c>
      <c r="U457" s="672" t="n"/>
      <c r="V457" s="680" t="n"/>
      <c r="W457" s="680" t="n"/>
      <c r="X457" s="680" t="n"/>
      <c r="Y457" s="677">
        <f>AC457</f>
        <v/>
      </c>
      <c r="Z457" s="678" t="n">
        <v>0</v>
      </c>
      <c r="AA457" s="678">
        <f>AC457</f>
        <v/>
      </c>
      <c r="AB457" s="678" t="n">
        <v>0</v>
      </c>
      <c r="AC457" s="678">
        <f>AD457</f>
        <v/>
      </c>
      <c r="AD457" s="678" t="n">
        <v>1863740.64</v>
      </c>
      <c r="AE457" s="682" t="inlineStr">
        <is>
          <t>ENGAGE</t>
        </is>
      </c>
      <c r="AF457" s="681" t="n"/>
      <c r="AG457" s="678" t="n"/>
      <c r="AH457" s="678" t="n"/>
      <c r="AI457" s="678" t="n"/>
      <c r="AJ457" s="678" t="n"/>
      <c r="AK457" s="683" t="n"/>
      <c r="AL457" s="683" t="n"/>
      <c r="AM457" s="681" t="inlineStr">
        <is>
          <t>R.A.S</t>
        </is>
      </c>
    </row>
    <row r="458" ht="35.7" customHeight="1" s="392">
      <c r="A458" s="672" t="n">
        <v>2026</v>
      </c>
      <c r="B458" s="673" t="inlineStr">
        <is>
          <t>DPMG</t>
        </is>
      </c>
      <c r="C458" s="673" t="inlineStr">
        <is>
          <t>RECONDUCTIBLE</t>
        </is>
      </c>
      <c r="D458" s="672" t="inlineStr">
        <is>
          <t>CONTRAT</t>
        </is>
      </c>
      <c r="E458" s="672" t="n">
        <v>1</v>
      </c>
      <c r="F458" s="674" t="inlineStr">
        <is>
          <t xml:space="preserve">Location d’immeuble </t>
        </is>
      </c>
      <c r="G458" s="675" t="inlineStr">
        <is>
          <t>VALIDE</t>
        </is>
      </c>
      <c r="H458" s="672" t="inlineStr">
        <is>
          <t>APPROUVE</t>
        </is>
      </c>
      <c r="I458" s="672" t="n">
        <v>20000464</v>
      </c>
      <c r="J458" s="675" t="inlineStr">
        <is>
          <t>NON CONCERNE</t>
        </is>
      </c>
      <c r="K458" s="672" t="inlineStr">
        <is>
          <t>Ordinaire</t>
        </is>
      </c>
      <c r="L458" s="676" t="inlineStr">
        <is>
          <t>FONCTIONNEMENT</t>
        </is>
      </c>
      <c r="M458" s="676" t="inlineStr">
        <is>
          <t>Locations</t>
        </is>
      </c>
      <c r="N458" s="677" t="n"/>
      <c r="O458" s="678" t="n"/>
      <c r="P458" s="678" t="n"/>
      <c r="Q458" s="672" t="inlineStr">
        <is>
          <t>RECONDUCTIBLE</t>
        </is>
      </c>
      <c r="R458" s="679" t="n"/>
      <c r="S458" s="680" t="n"/>
      <c r="T458" s="681" t="inlineStr">
        <is>
          <t xml:space="preserve">LAMARTI AHMED BEN HASSAN ET CONSORT </t>
        </is>
      </c>
      <c r="U458" s="672" t="n"/>
      <c r="V458" s="680" t="n"/>
      <c r="W458" s="680" t="n"/>
      <c r="X458" s="680" t="n"/>
      <c r="Y458" s="677">
        <f>AC458</f>
        <v/>
      </c>
      <c r="Z458" s="678" t="n">
        <v>0</v>
      </c>
      <c r="AA458" s="678">
        <f>AC458</f>
        <v/>
      </c>
      <c r="AB458" s="678" t="n">
        <v>0</v>
      </c>
      <c r="AC458" s="678">
        <f>AD458</f>
        <v/>
      </c>
      <c r="AD458" s="678" t="n">
        <v>1553117.28</v>
      </c>
      <c r="AE458" s="682" t="inlineStr">
        <is>
          <t>ENGAGE</t>
        </is>
      </c>
      <c r="AF458" s="681" t="n"/>
      <c r="AG458" s="678" t="n"/>
      <c r="AH458" s="678" t="n"/>
      <c r="AI458" s="678" t="n"/>
      <c r="AJ458" s="678" t="n"/>
      <c r="AK458" s="683" t="n"/>
      <c r="AL458" s="683" t="n"/>
      <c r="AM458" s="681" t="inlineStr">
        <is>
          <t>R.A.S</t>
        </is>
      </c>
    </row>
    <row r="459" ht="32" customHeight="1" s="392">
      <c r="A459" s="672" t="n">
        <v>2026</v>
      </c>
      <c r="B459" s="673" t="inlineStr">
        <is>
          <t>DPMG</t>
        </is>
      </c>
      <c r="C459" s="673" t="inlineStr">
        <is>
          <t>RECONDUCTIBLE</t>
        </is>
      </c>
      <c r="D459" s="672" t="inlineStr">
        <is>
          <t>CONTRAT</t>
        </is>
      </c>
      <c r="E459" s="672" t="n">
        <v>1</v>
      </c>
      <c r="F459" s="674" t="inlineStr">
        <is>
          <t xml:space="preserve">Location d’immeuble </t>
        </is>
      </c>
      <c r="G459" s="675" t="inlineStr">
        <is>
          <t>VALIDE</t>
        </is>
      </c>
      <c r="H459" s="672" t="inlineStr">
        <is>
          <t>APPROUVE</t>
        </is>
      </c>
      <c r="I459" s="672" t="n">
        <v>20000466</v>
      </c>
      <c r="J459" s="675" t="inlineStr">
        <is>
          <t>NON CONCERNE</t>
        </is>
      </c>
      <c r="K459" s="672" t="inlineStr">
        <is>
          <t>Ordinaire</t>
        </is>
      </c>
      <c r="L459" s="676" t="inlineStr">
        <is>
          <t>FONCTIONNEMENT</t>
        </is>
      </c>
      <c r="M459" s="676" t="inlineStr">
        <is>
          <t>Locations</t>
        </is>
      </c>
      <c r="N459" s="677" t="n"/>
      <c r="O459" s="678" t="n"/>
      <c r="P459" s="678" t="n"/>
      <c r="Q459" s="672" t="inlineStr">
        <is>
          <t>RECONDUCTIBLE</t>
        </is>
      </c>
      <c r="R459" s="679" t="n"/>
      <c r="S459" s="680" t="n"/>
      <c r="T459" s="681" t="inlineStr">
        <is>
          <t>IMMO MHM</t>
        </is>
      </c>
      <c r="U459" s="672" t="n"/>
      <c r="V459" s="680" t="n"/>
      <c r="W459" s="680" t="n"/>
      <c r="X459" s="680" t="n"/>
      <c r="Y459" s="677">
        <f>AC459</f>
        <v/>
      </c>
      <c r="Z459" s="678" t="n">
        <v>0</v>
      </c>
      <c r="AA459" s="678">
        <f>AC459</f>
        <v/>
      </c>
      <c r="AB459" s="678" t="n">
        <v>0</v>
      </c>
      <c r="AC459" s="678">
        <f>AD459</f>
        <v/>
      </c>
      <c r="AD459" s="678" t="n">
        <v>1588415.4</v>
      </c>
      <c r="AE459" s="682" t="inlineStr">
        <is>
          <t>ENGAGE</t>
        </is>
      </c>
      <c r="AF459" s="681" t="n"/>
      <c r="AG459" s="678" t="n"/>
      <c r="AH459" s="678" t="n"/>
      <c r="AI459" s="678" t="n"/>
      <c r="AJ459" s="678" t="n"/>
      <c r="AK459" s="683" t="n"/>
      <c r="AL459" s="683" t="n"/>
      <c r="AM459" s="681" t="inlineStr">
        <is>
          <t>R.A.S</t>
        </is>
      </c>
    </row>
    <row r="460" ht="32" customHeight="1" s="392">
      <c r="A460" s="672" t="n">
        <v>2026</v>
      </c>
      <c r="B460" s="673" t="inlineStr">
        <is>
          <t>DPMG</t>
        </is>
      </c>
      <c r="C460" s="673" t="inlineStr">
        <is>
          <t>RECONDUCTIBLE</t>
        </is>
      </c>
      <c r="D460" s="672" t="inlineStr">
        <is>
          <t>CONTRAT</t>
        </is>
      </c>
      <c r="E460" s="672" t="n">
        <v>1</v>
      </c>
      <c r="F460" s="674" t="inlineStr">
        <is>
          <t xml:space="preserve">Location d’immeuble </t>
        </is>
      </c>
      <c r="G460" s="675" t="inlineStr">
        <is>
          <t>VALIDE</t>
        </is>
      </c>
      <c r="H460" s="672" t="inlineStr">
        <is>
          <t>APPROUVE</t>
        </is>
      </c>
      <c r="I460" s="672" t="n">
        <v>20000465</v>
      </c>
      <c r="J460" s="675" t="inlineStr">
        <is>
          <t>NON CONCERNE</t>
        </is>
      </c>
      <c r="K460" s="672" t="inlineStr">
        <is>
          <t>Ordinaire</t>
        </is>
      </c>
      <c r="L460" s="676" t="inlineStr">
        <is>
          <t>FONCTIONNEMENT</t>
        </is>
      </c>
      <c r="M460" s="676" t="inlineStr">
        <is>
          <t>Locations</t>
        </is>
      </c>
      <c r="N460" s="677" t="n"/>
      <c r="O460" s="678" t="n"/>
      <c r="P460" s="678" t="n"/>
      <c r="Q460" s="672" t="inlineStr">
        <is>
          <t>RECONDUCTIBLE</t>
        </is>
      </c>
      <c r="R460" s="679" t="n"/>
      <c r="S460" s="680" t="n"/>
      <c r="T460" s="681" t="inlineStr">
        <is>
          <t>IMMO MHM</t>
        </is>
      </c>
      <c r="U460" s="672" t="n"/>
      <c r="V460" s="680" t="n"/>
      <c r="W460" s="680" t="n"/>
      <c r="X460" s="680" t="n"/>
      <c r="Y460" s="677">
        <f>AC460</f>
        <v/>
      </c>
      <c r="Z460" s="678" t="n">
        <v>0</v>
      </c>
      <c r="AA460" s="678">
        <f>AC460</f>
        <v/>
      </c>
      <c r="AB460" s="678" t="n">
        <v>0</v>
      </c>
      <c r="AC460" s="678">
        <f>AD460</f>
        <v/>
      </c>
      <c r="AD460" s="678" t="n">
        <v>529471.8</v>
      </c>
      <c r="AE460" s="682" t="inlineStr">
        <is>
          <t>ENGAGE</t>
        </is>
      </c>
      <c r="AF460" s="681" t="n"/>
      <c r="AG460" s="678" t="n"/>
      <c r="AH460" s="678" t="n"/>
      <c r="AI460" s="678" t="n"/>
      <c r="AJ460" s="678" t="n"/>
      <c r="AK460" s="683" t="n"/>
      <c r="AL460" s="683" t="n"/>
      <c r="AM460" s="681" t="inlineStr">
        <is>
          <t>R.A.S</t>
        </is>
      </c>
    </row>
    <row r="461" ht="32" customHeight="1" s="392">
      <c r="A461" s="672" t="n">
        <v>2026</v>
      </c>
      <c r="B461" s="673" t="inlineStr">
        <is>
          <t>DPMG</t>
        </is>
      </c>
      <c r="C461" s="673" t="inlineStr">
        <is>
          <t>RECONDUCTIBLE</t>
        </is>
      </c>
      <c r="D461" s="672" t="inlineStr">
        <is>
          <t>CONTRAT</t>
        </is>
      </c>
      <c r="E461" s="672" t="n">
        <v>1</v>
      </c>
      <c r="F461" s="674" t="inlineStr">
        <is>
          <t xml:space="preserve">Location d’immeuble </t>
        </is>
      </c>
      <c r="G461" s="675" t="inlineStr">
        <is>
          <t>VALIDE</t>
        </is>
      </c>
      <c r="H461" s="672" t="inlineStr">
        <is>
          <t>APPROUVE</t>
        </is>
      </c>
      <c r="I461" s="672" t="n">
        <v>20000467</v>
      </c>
      <c r="J461" s="675" t="inlineStr">
        <is>
          <t>NON CONCERNE</t>
        </is>
      </c>
      <c r="K461" s="672" t="inlineStr">
        <is>
          <t>Ordinaire</t>
        </is>
      </c>
      <c r="L461" s="676" t="inlineStr">
        <is>
          <t>FONCTIONNEMENT</t>
        </is>
      </c>
      <c r="M461" s="676" t="inlineStr">
        <is>
          <t>Locations</t>
        </is>
      </c>
      <c r="N461" s="677" t="n"/>
      <c r="O461" s="678" t="n"/>
      <c r="P461" s="678" t="n"/>
      <c r="Q461" s="672" t="inlineStr">
        <is>
          <t>RECONDUCTIBLE</t>
        </is>
      </c>
      <c r="R461" s="679" t="n"/>
      <c r="S461" s="680" t="n"/>
      <c r="T461" s="681" t="inlineStr">
        <is>
          <t>IMMO MHM</t>
        </is>
      </c>
      <c r="U461" s="672" t="n"/>
      <c r="V461" s="680" t="n"/>
      <c r="W461" s="680" t="n"/>
      <c r="X461" s="680" t="n"/>
      <c r="Y461" s="677">
        <f>AC461</f>
        <v/>
      </c>
      <c r="Z461" s="678" t="n">
        <v>0</v>
      </c>
      <c r="AA461" s="678">
        <f>AC461</f>
        <v/>
      </c>
      <c r="AB461" s="678" t="n">
        <v>0</v>
      </c>
      <c r="AC461" s="678">
        <f>AD461</f>
        <v/>
      </c>
      <c r="AD461" s="678" t="n">
        <v>641784</v>
      </c>
      <c r="AE461" s="682" t="inlineStr">
        <is>
          <t>ENGAGE</t>
        </is>
      </c>
      <c r="AF461" s="681" t="n"/>
      <c r="AG461" s="678" t="n"/>
      <c r="AH461" s="678" t="n"/>
      <c r="AI461" s="678" t="n"/>
      <c r="AJ461" s="678" t="n"/>
      <c r="AK461" s="683" t="n"/>
      <c r="AL461" s="683" t="n"/>
      <c r="AM461" s="681" t="inlineStr">
        <is>
          <t>R.A.S</t>
        </is>
      </c>
    </row>
    <row r="462" ht="32" customHeight="1" s="392">
      <c r="A462" s="672" t="n">
        <v>2026</v>
      </c>
      <c r="B462" s="673" t="inlineStr">
        <is>
          <t>DPMG</t>
        </is>
      </c>
      <c r="C462" s="673" t="inlineStr">
        <is>
          <t>RECONDUCTIBLE</t>
        </is>
      </c>
      <c r="D462" s="672" t="inlineStr">
        <is>
          <t>CONTRAT</t>
        </is>
      </c>
      <c r="E462" s="672" t="n">
        <v>1</v>
      </c>
      <c r="F462" s="674" t="inlineStr">
        <is>
          <t xml:space="preserve">Location d’immeuble </t>
        </is>
      </c>
      <c r="G462" s="675" t="inlineStr">
        <is>
          <t>VALIDE</t>
        </is>
      </c>
      <c r="H462" s="672" t="inlineStr">
        <is>
          <t>APPROUVE</t>
        </is>
      </c>
      <c r="I462" s="672" t="n">
        <v>20000472</v>
      </c>
      <c r="J462" s="675" t="inlineStr">
        <is>
          <t>NON CONCERNE</t>
        </is>
      </c>
      <c r="K462" s="672" t="inlineStr">
        <is>
          <t>Ordinaire</t>
        </is>
      </c>
      <c r="L462" s="676" t="inlineStr">
        <is>
          <t>FONCTIONNEMENT</t>
        </is>
      </c>
      <c r="M462" s="676" t="inlineStr">
        <is>
          <t>Locations</t>
        </is>
      </c>
      <c r="N462" s="677" t="n"/>
      <c r="O462" s="678" t="n"/>
      <c r="P462" s="678" t="n"/>
      <c r="Q462" s="672" t="inlineStr">
        <is>
          <t>RECONDUCTIBLE</t>
        </is>
      </c>
      <c r="R462" s="679" t="n"/>
      <c r="S462" s="680" t="n"/>
      <c r="T462" s="681" t="inlineStr">
        <is>
          <t>SOUMAYA LOUDYI</t>
        </is>
      </c>
      <c r="U462" s="672" t="n"/>
      <c r="V462" s="680" t="n"/>
      <c r="W462" s="680" t="n"/>
      <c r="X462" s="680" t="n"/>
      <c r="Y462" s="677">
        <f>AC462</f>
        <v/>
      </c>
      <c r="Z462" s="678" t="n">
        <v>0</v>
      </c>
      <c r="AA462" s="678">
        <f>AC462</f>
        <v/>
      </c>
      <c r="AB462" s="678" t="n">
        <v>0</v>
      </c>
      <c r="AC462" s="678">
        <f>AD462</f>
        <v/>
      </c>
      <c r="AD462" s="678" t="n">
        <v>260724.72</v>
      </c>
      <c r="AE462" s="682" t="inlineStr">
        <is>
          <t>ENGAGE</t>
        </is>
      </c>
      <c r="AF462" s="681" t="n"/>
      <c r="AG462" s="678" t="n"/>
      <c r="AH462" s="678" t="n"/>
      <c r="AI462" s="678" t="n"/>
      <c r="AJ462" s="678" t="n"/>
      <c r="AK462" s="683" t="n"/>
      <c r="AL462" s="683" t="n"/>
      <c r="AM462" s="681" t="inlineStr">
        <is>
          <t>R.A.S</t>
        </is>
      </c>
    </row>
    <row r="463" ht="32" customHeight="1" s="392">
      <c r="A463" s="672" t="n">
        <v>2026</v>
      </c>
      <c r="B463" s="673" t="inlineStr">
        <is>
          <t>DPMG</t>
        </is>
      </c>
      <c r="C463" s="673" t="inlineStr">
        <is>
          <t>RECONDUCTIBLE</t>
        </is>
      </c>
      <c r="D463" s="672" t="inlineStr">
        <is>
          <t>CONTRAT</t>
        </is>
      </c>
      <c r="E463" s="672" t="n">
        <v>1</v>
      </c>
      <c r="F463" s="674" t="inlineStr">
        <is>
          <t xml:space="preserve">Location d’immeuble </t>
        </is>
      </c>
      <c r="G463" s="675" t="inlineStr">
        <is>
          <t>VALIDE</t>
        </is>
      </c>
      <c r="H463" s="672" t="inlineStr">
        <is>
          <t>APPROUVE</t>
        </is>
      </c>
      <c r="I463" s="672" t="n">
        <v>20000473</v>
      </c>
      <c r="J463" s="675" t="inlineStr">
        <is>
          <t>NON CONCERNE</t>
        </is>
      </c>
      <c r="K463" s="672" t="inlineStr">
        <is>
          <t>Ordinaire</t>
        </is>
      </c>
      <c r="L463" s="676" t="inlineStr">
        <is>
          <t>FONCTIONNEMENT</t>
        </is>
      </c>
      <c r="M463" s="676" t="inlineStr">
        <is>
          <t>Locations</t>
        </is>
      </c>
      <c r="N463" s="677" t="n"/>
      <c r="O463" s="678" t="n"/>
      <c r="P463" s="678" t="n"/>
      <c r="Q463" s="672" t="inlineStr">
        <is>
          <t>RECONDUCTIBLE</t>
        </is>
      </c>
      <c r="R463" s="679" t="n"/>
      <c r="S463" s="680" t="n"/>
      <c r="T463" s="681" t="inlineStr">
        <is>
          <t>BTISSAM JAKHOUKH</t>
        </is>
      </c>
      <c r="U463" s="672" t="n"/>
      <c r="V463" s="680" t="n"/>
      <c r="W463" s="680" t="n"/>
      <c r="X463" s="680" t="n"/>
      <c r="Y463" s="677">
        <f>AC463</f>
        <v/>
      </c>
      <c r="Z463" s="678" t="n">
        <v>0</v>
      </c>
      <c r="AA463" s="678">
        <f>AC463</f>
        <v/>
      </c>
      <c r="AB463" s="678" t="n">
        <v>0</v>
      </c>
      <c r="AC463" s="678">
        <f>AD463</f>
        <v/>
      </c>
      <c r="AD463" s="678" t="n">
        <v>260724.72</v>
      </c>
      <c r="AE463" s="682" t="inlineStr">
        <is>
          <t>ENGAGE</t>
        </is>
      </c>
      <c r="AF463" s="681" t="n"/>
      <c r="AG463" s="678" t="n"/>
      <c r="AH463" s="678" t="n"/>
      <c r="AI463" s="678" t="n"/>
      <c r="AJ463" s="678" t="n"/>
      <c r="AK463" s="683" t="n"/>
      <c r="AL463" s="683" t="n"/>
      <c r="AM463" s="681" t="inlineStr">
        <is>
          <t>R.A.S</t>
        </is>
      </c>
    </row>
    <row r="464" ht="32" customHeight="1" s="392">
      <c r="A464" s="672" t="n">
        <v>2026</v>
      </c>
      <c r="B464" s="673" t="inlineStr">
        <is>
          <t>DPMG</t>
        </is>
      </c>
      <c r="C464" s="673" t="inlineStr">
        <is>
          <t>RECONDUCTIBLE</t>
        </is>
      </c>
      <c r="D464" s="672" t="inlineStr">
        <is>
          <t>CONTRAT</t>
        </is>
      </c>
      <c r="E464" s="672" t="n">
        <v>1</v>
      </c>
      <c r="F464" s="674" t="inlineStr">
        <is>
          <t xml:space="preserve">Location d’immeuble </t>
        </is>
      </c>
      <c r="G464" s="675" t="inlineStr">
        <is>
          <t>VALIDE</t>
        </is>
      </c>
      <c r="H464" s="672" t="inlineStr">
        <is>
          <t>APPROUVE</t>
        </is>
      </c>
      <c r="I464" s="672" t="n">
        <v>20000474</v>
      </c>
      <c r="J464" s="675" t="inlineStr">
        <is>
          <t>NON CONCERNE</t>
        </is>
      </c>
      <c r="K464" s="672" t="inlineStr">
        <is>
          <t>Ordinaire</t>
        </is>
      </c>
      <c r="L464" s="676" t="inlineStr">
        <is>
          <t>FONCTIONNEMENT</t>
        </is>
      </c>
      <c r="M464" s="676" t="inlineStr">
        <is>
          <t>Locations</t>
        </is>
      </c>
      <c r="N464" s="677" t="n"/>
      <c r="O464" s="678" t="n"/>
      <c r="P464" s="678" t="n"/>
      <c r="Q464" s="672" t="inlineStr">
        <is>
          <t>RECONDUCTIBLE</t>
        </is>
      </c>
      <c r="R464" s="679" t="n"/>
      <c r="S464" s="680" t="n"/>
      <c r="T464" s="681" t="inlineStr">
        <is>
          <t>TARIK JAKHOUKH</t>
        </is>
      </c>
      <c r="U464" s="672" t="n"/>
      <c r="V464" s="680" t="n"/>
      <c r="W464" s="680" t="n"/>
      <c r="X464" s="680" t="n"/>
      <c r="Y464" s="677">
        <f>AC464</f>
        <v/>
      </c>
      <c r="Z464" s="678" t="n">
        <v>0</v>
      </c>
      <c r="AA464" s="678">
        <f>AC464</f>
        <v/>
      </c>
      <c r="AB464" s="678" t="n">
        <v>0</v>
      </c>
      <c r="AC464" s="678">
        <f>AD464</f>
        <v/>
      </c>
      <c r="AD464" s="678" t="n">
        <v>521449.44</v>
      </c>
      <c r="AE464" s="682" t="inlineStr">
        <is>
          <t>ENGAGE</t>
        </is>
      </c>
      <c r="AF464" s="681" t="n"/>
      <c r="AG464" s="678" t="n"/>
      <c r="AH464" s="678" t="n"/>
      <c r="AI464" s="678" t="n"/>
      <c r="AJ464" s="678" t="n"/>
      <c r="AK464" s="683" t="n"/>
      <c r="AL464" s="683" t="n"/>
      <c r="AM464" s="681" t="inlineStr">
        <is>
          <t>R.A.S</t>
        </is>
      </c>
    </row>
    <row r="465" ht="32" customHeight="1" s="392">
      <c r="A465" s="672" t="n">
        <v>2026</v>
      </c>
      <c r="B465" s="673" t="inlineStr">
        <is>
          <t>DPMG</t>
        </is>
      </c>
      <c r="C465" s="673" t="inlineStr">
        <is>
          <t>RECONDUCTIBLE</t>
        </is>
      </c>
      <c r="D465" s="672" t="inlineStr">
        <is>
          <t>CONTRAT</t>
        </is>
      </c>
      <c r="E465" s="672" t="n">
        <v>1</v>
      </c>
      <c r="F465" s="674" t="inlineStr">
        <is>
          <t xml:space="preserve">Location d’immeuble </t>
        </is>
      </c>
      <c r="G465" s="675" t="inlineStr">
        <is>
          <t>VALIDE</t>
        </is>
      </c>
      <c r="H465" s="672" t="inlineStr">
        <is>
          <t>APPROUVE</t>
        </is>
      </c>
      <c r="I465" s="672" t="n">
        <v>20000475</v>
      </c>
      <c r="J465" s="675" t="inlineStr">
        <is>
          <t>NON CONCERNE</t>
        </is>
      </c>
      <c r="K465" s="672" t="inlineStr">
        <is>
          <t>Ordinaire</t>
        </is>
      </c>
      <c r="L465" s="676" t="inlineStr">
        <is>
          <t>FONCTIONNEMENT</t>
        </is>
      </c>
      <c r="M465" s="676" t="inlineStr">
        <is>
          <t>Locations</t>
        </is>
      </c>
      <c r="N465" s="677" t="n"/>
      <c r="O465" s="678" t="n"/>
      <c r="P465" s="678" t="n"/>
      <c r="Q465" s="672" t="inlineStr">
        <is>
          <t>RECONDUCTIBLE</t>
        </is>
      </c>
      <c r="R465" s="679" t="n"/>
      <c r="S465" s="680" t="n"/>
      <c r="T465" s="681" t="inlineStr">
        <is>
          <t>BADER-EDDINE  JAKHOUKH</t>
        </is>
      </c>
      <c r="U465" s="672" t="n"/>
      <c r="V465" s="680" t="n"/>
      <c r="W465" s="680" t="n"/>
      <c r="X465" s="680" t="n"/>
      <c r="Y465" s="677">
        <f>AC465</f>
        <v/>
      </c>
      <c r="Z465" s="678" t="n">
        <v>0</v>
      </c>
      <c r="AA465" s="678">
        <f>AC465</f>
        <v/>
      </c>
      <c r="AB465" s="678" t="n">
        <v>0</v>
      </c>
      <c r="AC465" s="678">
        <f>AD465</f>
        <v/>
      </c>
      <c r="AD465" s="678" t="n">
        <v>521449.44</v>
      </c>
      <c r="AE465" s="682" t="inlineStr">
        <is>
          <t>ENGAGE</t>
        </is>
      </c>
      <c r="AF465" s="681" t="n"/>
      <c r="AG465" s="678" t="n"/>
      <c r="AH465" s="678" t="n"/>
      <c r="AI465" s="678" t="n"/>
      <c r="AJ465" s="678" t="n"/>
      <c r="AK465" s="683" t="n"/>
      <c r="AL465" s="683" t="n"/>
      <c r="AM465" s="681" t="inlineStr">
        <is>
          <t>R.A.S</t>
        </is>
      </c>
    </row>
    <row r="466" ht="32" customHeight="1" s="392">
      <c r="A466" s="672" t="n">
        <v>2026</v>
      </c>
      <c r="B466" s="673" t="inlineStr">
        <is>
          <t>DPMG</t>
        </is>
      </c>
      <c r="C466" s="673" t="inlineStr">
        <is>
          <t>RECONDUCTIBLE</t>
        </is>
      </c>
      <c r="D466" s="672" t="inlineStr">
        <is>
          <t>CONTRAT</t>
        </is>
      </c>
      <c r="E466" s="672" t="n">
        <v>1</v>
      </c>
      <c r="F466" s="674" t="inlineStr">
        <is>
          <t xml:space="preserve">Location d’immeuble </t>
        </is>
      </c>
      <c r="G466" s="675" t="inlineStr">
        <is>
          <t>VALIDE</t>
        </is>
      </c>
      <c r="H466" s="672" t="inlineStr">
        <is>
          <t>APPROUVE</t>
        </is>
      </c>
      <c r="I466" s="672" t="n">
        <v>20000476</v>
      </c>
      <c r="J466" s="675" t="inlineStr">
        <is>
          <t>NON CONCERNE</t>
        </is>
      </c>
      <c r="K466" s="672" t="inlineStr">
        <is>
          <t>Ordinaire</t>
        </is>
      </c>
      <c r="L466" s="676" t="inlineStr">
        <is>
          <t>FONCTIONNEMENT</t>
        </is>
      </c>
      <c r="M466" s="676" t="inlineStr">
        <is>
          <t>Locations</t>
        </is>
      </c>
      <c r="N466" s="677" t="n"/>
      <c r="O466" s="678" t="n"/>
      <c r="P466" s="678" t="n"/>
      <c r="Q466" s="672" t="inlineStr">
        <is>
          <t>RECONDUCTIBLE</t>
        </is>
      </c>
      <c r="R466" s="679" t="n"/>
      <c r="S466" s="680" t="n"/>
      <c r="T466" s="681" t="inlineStr">
        <is>
          <t>ANOUAR  JAKHOUKH</t>
        </is>
      </c>
      <c r="U466" s="672" t="n"/>
      <c r="V466" s="680" t="n"/>
      <c r="W466" s="680" t="n"/>
      <c r="X466" s="680" t="n"/>
      <c r="Y466" s="677">
        <f>AC466</f>
        <v/>
      </c>
      <c r="Z466" s="678" t="n">
        <v>0</v>
      </c>
      <c r="AA466" s="678">
        <f>AC466</f>
        <v/>
      </c>
      <c r="AB466" s="678" t="n">
        <v>0</v>
      </c>
      <c r="AC466" s="678">
        <f>AD466</f>
        <v/>
      </c>
      <c r="AD466" s="678" t="n">
        <v>521449.44</v>
      </c>
      <c r="AE466" s="682" t="inlineStr">
        <is>
          <t>ENGAGE</t>
        </is>
      </c>
      <c r="AF466" s="681" t="n"/>
      <c r="AG466" s="678" t="n"/>
      <c r="AH466" s="678" t="n"/>
      <c r="AI466" s="678" t="n"/>
      <c r="AJ466" s="678" t="n"/>
      <c r="AK466" s="683" t="n"/>
      <c r="AL466" s="683" t="n"/>
      <c r="AM466" s="681" t="inlineStr">
        <is>
          <t>R.A.S</t>
        </is>
      </c>
    </row>
    <row r="467" ht="32" customHeight="1" s="392">
      <c r="A467" s="672" t="n">
        <v>2026</v>
      </c>
      <c r="B467" s="673" t="inlineStr">
        <is>
          <t>DPMG</t>
        </is>
      </c>
      <c r="C467" s="673" t="inlineStr">
        <is>
          <t>RECONDUCTIBLE</t>
        </is>
      </c>
      <c r="D467" s="672" t="inlineStr">
        <is>
          <t>CONTRAT</t>
        </is>
      </c>
      <c r="E467" s="672" t="n">
        <v>1</v>
      </c>
      <c r="F467" s="674" t="inlineStr">
        <is>
          <t xml:space="preserve">Location d’immeuble </t>
        </is>
      </c>
      <c r="G467" s="675" t="inlineStr">
        <is>
          <t>VALIDE</t>
        </is>
      </c>
      <c r="H467" s="672" t="inlineStr">
        <is>
          <t>APPROUVE</t>
        </is>
      </c>
      <c r="I467" s="672" t="n">
        <v>20000479</v>
      </c>
      <c r="J467" s="675" t="inlineStr">
        <is>
          <t>NON CONCERNE</t>
        </is>
      </c>
      <c r="K467" s="672" t="inlineStr">
        <is>
          <t>Ordinaire</t>
        </is>
      </c>
      <c r="L467" s="676" t="inlineStr">
        <is>
          <t>FONCTIONNEMENT</t>
        </is>
      </c>
      <c r="M467" s="676" t="inlineStr">
        <is>
          <t>Locations</t>
        </is>
      </c>
      <c r="N467" s="677" t="n"/>
      <c r="O467" s="678" t="n"/>
      <c r="P467" s="678" t="n"/>
      <c r="Q467" s="672" t="inlineStr">
        <is>
          <t>RECONDUCTIBLE</t>
        </is>
      </c>
      <c r="R467" s="679" t="n"/>
      <c r="S467" s="680" t="n"/>
      <c r="T467" s="681" t="inlineStr">
        <is>
          <t>NADIA LYOUSSI</t>
        </is>
      </c>
      <c r="U467" s="672" t="n"/>
      <c r="V467" s="680" t="n"/>
      <c r="W467" s="680" t="n"/>
      <c r="X467" s="680" t="n"/>
      <c r="Y467" s="677">
        <f>AC467</f>
        <v/>
      </c>
      <c r="Z467" s="678" t="n">
        <v>0</v>
      </c>
      <c r="AA467" s="678">
        <f>AC467</f>
        <v/>
      </c>
      <c r="AB467" s="678" t="n">
        <v>0</v>
      </c>
      <c r="AC467" s="678">
        <f>AD467</f>
        <v/>
      </c>
      <c r="AD467" s="678" t="n">
        <v>75219.96000000001</v>
      </c>
      <c r="AE467" s="682" t="inlineStr">
        <is>
          <t>ENGAGE</t>
        </is>
      </c>
      <c r="AF467" s="681" t="n"/>
      <c r="AG467" s="678" t="n"/>
      <c r="AH467" s="678" t="n"/>
      <c r="AI467" s="678" t="n"/>
      <c r="AJ467" s="678" t="n"/>
      <c r="AK467" s="683" t="n"/>
      <c r="AL467" s="683" t="n"/>
      <c r="AM467" s="681" t="inlineStr">
        <is>
          <t>R.A.S</t>
        </is>
      </c>
    </row>
    <row r="468" ht="32" customHeight="1" s="392">
      <c r="A468" s="672" t="n">
        <v>2026</v>
      </c>
      <c r="B468" s="673" t="inlineStr">
        <is>
          <t>DPMG</t>
        </is>
      </c>
      <c r="C468" s="673" t="inlineStr">
        <is>
          <t>RECONDUCTIBLE</t>
        </is>
      </c>
      <c r="D468" s="672" t="inlineStr">
        <is>
          <t>CONTRAT</t>
        </is>
      </c>
      <c r="E468" s="672" t="n">
        <v>1</v>
      </c>
      <c r="F468" s="674" t="inlineStr">
        <is>
          <t xml:space="preserve">Location d’immeuble </t>
        </is>
      </c>
      <c r="G468" s="675" t="inlineStr">
        <is>
          <t>VALIDE</t>
        </is>
      </c>
      <c r="H468" s="672" t="inlineStr">
        <is>
          <t>APPROUVE</t>
        </is>
      </c>
      <c r="I468" s="672" t="n">
        <v>20000478</v>
      </c>
      <c r="J468" s="675" t="inlineStr">
        <is>
          <t>NON CONCERNE</t>
        </is>
      </c>
      <c r="K468" s="672" t="inlineStr">
        <is>
          <t>Ordinaire</t>
        </is>
      </c>
      <c r="L468" s="676" t="inlineStr">
        <is>
          <t>FONCTIONNEMENT</t>
        </is>
      </c>
      <c r="M468" s="676" t="inlineStr">
        <is>
          <t>Locations</t>
        </is>
      </c>
      <c r="N468" s="677" t="n"/>
      <c r="O468" s="678" t="n"/>
      <c r="P468" s="678" t="n"/>
      <c r="Q468" s="672" t="inlineStr">
        <is>
          <t>RECONDUCTIBLE</t>
        </is>
      </c>
      <c r="R468" s="679" t="n"/>
      <c r="S468" s="680" t="n"/>
      <c r="T468" s="681" t="inlineStr">
        <is>
          <t>NADIA LYOUSSI</t>
        </is>
      </c>
      <c r="U468" s="672" t="n"/>
      <c r="V468" s="680" t="n"/>
      <c r="W468" s="680" t="n"/>
      <c r="X468" s="680" t="n"/>
      <c r="Y468" s="677">
        <f>AC468</f>
        <v/>
      </c>
      <c r="Z468" s="678" t="n">
        <v>0</v>
      </c>
      <c r="AA468" s="678">
        <f>AC468</f>
        <v/>
      </c>
      <c r="AB468" s="678" t="n">
        <v>0</v>
      </c>
      <c r="AC468" s="678">
        <f>AD468</f>
        <v/>
      </c>
      <c r="AD468" s="678" t="n">
        <v>38579.88</v>
      </c>
      <c r="AE468" s="682" t="inlineStr">
        <is>
          <t>ENGAGE</t>
        </is>
      </c>
      <c r="AF468" s="681" t="n"/>
      <c r="AG468" s="678" t="n"/>
      <c r="AH468" s="678" t="n"/>
      <c r="AI468" s="678" t="n"/>
      <c r="AJ468" s="678" t="n"/>
      <c r="AK468" s="683" t="n"/>
      <c r="AL468" s="683" t="n"/>
      <c r="AM468" s="681" t="inlineStr">
        <is>
          <t>R.A.S</t>
        </is>
      </c>
    </row>
    <row r="469" ht="32" customHeight="1" s="392">
      <c r="A469" s="672" t="n">
        <v>2026</v>
      </c>
      <c r="B469" s="673" t="inlineStr">
        <is>
          <t>DPMG</t>
        </is>
      </c>
      <c r="C469" s="673" t="inlineStr">
        <is>
          <t>RECONDUCTIBLE</t>
        </is>
      </c>
      <c r="D469" s="672" t="inlineStr">
        <is>
          <t>CONTRAT</t>
        </is>
      </c>
      <c r="E469" s="672" t="n">
        <v>1</v>
      </c>
      <c r="F469" s="674" t="inlineStr">
        <is>
          <t xml:space="preserve">Location d’immeuble </t>
        </is>
      </c>
      <c r="G469" s="675" t="inlineStr">
        <is>
          <t>VALIDE</t>
        </is>
      </c>
      <c r="H469" s="672" t="inlineStr">
        <is>
          <t>APPROUVE</t>
        </is>
      </c>
      <c r="I469" s="672" t="n">
        <v>20000477</v>
      </c>
      <c r="J469" s="675" t="inlineStr">
        <is>
          <t>NON CONCERNE</t>
        </is>
      </c>
      <c r="K469" s="672" t="inlineStr">
        <is>
          <t>Ordinaire</t>
        </is>
      </c>
      <c r="L469" s="676" t="inlineStr">
        <is>
          <t>FONCTIONNEMENT</t>
        </is>
      </c>
      <c r="M469" s="676" t="inlineStr">
        <is>
          <t>Locations</t>
        </is>
      </c>
      <c r="N469" s="677" t="n"/>
      <c r="O469" s="678" t="n"/>
      <c r="P469" s="678" t="n"/>
      <c r="Q469" s="672" t="inlineStr">
        <is>
          <t>RECONDUCTIBLE</t>
        </is>
      </c>
      <c r="R469" s="679" t="n"/>
      <c r="S469" s="680" t="n"/>
      <c r="T469" s="681" t="inlineStr">
        <is>
          <t xml:space="preserve">RAZAMA MOHAMED </t>
        </is>
      </c>
      <c r="U469" s="672" t="n"/>
      <c r="V469" s="680" t="n"/>
      <c r="W469" s="680" t="n"/>
      <c r="X469" s="680" t="n"/>
      <c r="Y469" s="677">
        <f>AC469</f>
        <v/>
      </c>
      <c r="Z469" s="678" t="n">
        <v>0</v>
      </c>
      <c r="AA469" s="678">
        <f>AC469</f>
        <v/>
      </c>
      <c r="AB469" s="678" t="n">
        <v>0</v>
      </c>
      <c r="AC469" s="678">
        <f>AD469</f>
        <v/>
      </c>
      <c r="AD469" s="678" t="n">
        <v>319440</v>
      </c>
      <c r="AE469" s="682" t="inlineStr">
        <is>
          <t>ENGAGE</t>
        </is>
      </c>
      <c r="AF469" s="681" t="n"/>
      <c r="AG469" s="678" t="n"/>
      <c r="AH469" s="678" t="n"/>
      <c r="AI469" s="678" t="n"/>
      <c r="AJ469" s="678" t="n"/>
      <c r="AK469" s="683" t="n"/>
      <c r="AL469" s="683" t="n"/>
      <c r="AM469" s="681" t="inlineStr">
        <is>
          <t>R.A.S</t>
        </is>
      </c>
    </row>
    <row r="470" ht="32" customHeight="1" s="392">
      <c r="A470" s="672" t="n">
        <v>2026</v>
      </c>
      <c r="B470" s="673" t="inlineStr">
        <is>
          <t>DPMG</t>
        </is>
      </c>
      <c r="C470" s="673" t="inlineStr">
        <is>
          <t>RECONDUCTIBLE</t>
        </is>
      </c>
      <c r="D470" s="672" t="inlineStr">
        <is>
          <t>CONTRAT</t>
        </is>
      </c>
      <c r="E470" s="672" t="n">
        <v>1</v>
      </c>
      <c r="F470" s="674" t="inlineStr">
        <is>
          <t xml:space="preserve">Location d’immeuble </t>
        </is>
      </c>
      <c r="G470" s="675" t="inlineStr">
        <is>
          <t>VALIDE</t>
        </is>
      </c>
      <c r="H470" s="672" t="inlineStr">
        <is>
          <t>APPROUVE</t>
        </is>
      </c>
      <c r="I470" s="672" t="n">
        <v>20000462</v>
      </c>
      <c r="J470" s="675" t="inlineStr">
        <is>
          <t>NON CONCERNE</t>
        </is>
      </c>
      <c r="K470" s="672" t="inlineStr">
        <is>
          <t>Ordinaire</t>
        </is>
      </c>
      <c r="L470" s="676" t="inlineStr">
        <is>
          <t>FONCTIONNEMENT</t>
        </is>
      </c>
      <c r="M470" s="676" t="inlineStr">
        <is>
          <t>Locations</t>
        </is>
      </c>
      <c r="N470" s="677" t="n"/>
      <c r="O470" s="678" t="n"/>
      <c r="P470" s="678" t="n"/>
      <c r="Q470" s="672" t="inlineStr">
        <is>
          <t>RECONDUCTIBLE</t>
        </is>
      </c>
      <c r="R470" s="679" t="n"/>
      <c r="S470" s="680" t="n"/>
      <c r="T470" s="681" t="inlineStr">
        <is>
          <t>BEIDA M BAREK</t>
        </is>
      </c>
      <c r="U470" s="672" t="n"/>
      <c r="V470" s="680" t="n"/>
      <c r="W470" s="680" t="n"/>
      <c r="X470" s="680" t="n"/>
      <c r="Y470" s="677">
        <f>AC470</f>
        <v/>
      </c>
      <c r="Z470" s="678" t="n">
        <v>0</v>
      </c>
      <c r="AA470" s="678">
        <f>AC470</f>
        <v/>
      </c>
      <c r="AB470" s="678" t="n">
        <v>0</v>
      </c>
      <c r="AC470" s="678">
        <f>AD470</f>
        <v/>
      </c>
      <c r="AD470" s="678" t="n">
        <v>154608.96</v>
      </c>
      <c r="AE470" s="682" t="inlineStr">
        <is>
          <t>ENGAGE</t>
        </is>
      </c>
      <c r="AF470" s="681" t="n"/>
      <c r="AG470" s="678" t="n"/>
      <c r="AH470" s="678" t="n"/>
      <c r="AI470" s="678" t="n"/>
      <c r="AJ470" s="678" t="n"/>
      <c r="AK470" s="683" t="n"/>
      <c r="AL470" s="683" t="n"/>
      <c r="AM470" s="681" t="inlineStr">
        <is>
          <t>R.A.S</t>
        </is>
      </c>
    </row>
    <row r="471" ht="32" customHeight="1" s="392">
      <c r="A471" s="672" t="n">
        <v>2026</v>
      </c>
      <c r="B471" s="673" t="inlineStr">
        <is>
          <t>DPMG</t>
        </is>
      </c>
      <c r="C471" s="673" t="inlineStr">
        <is>
          <t>RECONDUCTIBLE</t>
        </is>
      </c>
      <c r="D471" s="672" t="inlineStr">
        <is>
          <t>CONTRAT</t>
        </is>
      </c>
      <c r="E471" s="672" t="n">
        <v>1</v>
      </c>
      <c r="F471" s="674" t="inlineStr">
        <is>
          <t xml:space="preserve">Location d’immeuble </t>
        </is>
      </c>
      <c r="G471" s="675" t="inlineStr">
        <is>
          <t>VALIDE</t>
        </is>
      </c>
      <c r="H471" s="672" t="inlineStr">
        <is>
          <t>APPROUVE</t>
        </is>
      </c>
      <c r="I471" s="672" t="n">
        <v>20000483</v>
      </c>
      <c r="J471" s="675" t="inlineStr">
        <is>
          <t>NON CONCERNE</t>
        </is>
      </c>
      <c r="K471" s="672" t="inlineStr">
        <is>
          <t>Ordinaire</t>
        </is>
      </c>
      <c r="L471" s="676" t="inlineStr">
        <is>
          <t>FONCTIONNEMENT</t>
        </is>
      </c>
      <c r="M471" s="676" t="inlineStr">
        <is>
          <t>Locations</t>
        </is>
      </c>
      <c r="N471" s="677" t="n"/>
      <c r="O471" s="678" t="n"/>
      <c r="P471" s="678" t="n"/>
      <c r="Q471" s="672" t="inlineStr">
        <is>
          <t>RECONDUCTIBLE</t>
        </is>
      </c>
      <c r="R471" s="679" t="n"/>
      <c r="S471" s="680" t="n"/>
      <c r="T471" s="681" t="inlineStr">
        <is>
          <t xml:space="preserve">SOCIETE MEDITERRAC </t>
        </is>
      </c>
      <c r="U471" s="672" t="n"/>
      <c r="V471" s="680" t="n"/>
      <c r="W471" s="680" t="n"/>
      <c r="X471" s="680" t="n"/>
      <c r="Y471" s="677">
        <f>AC471</f>
        <v/>
      </c>
      <c r="Z471" s="678" t="n">
        <v>0</v>
      </c>
      <c r="AA471" s="678">
        <f>AC471</f>
        <v/>
      </c>
      <c r="AB471" s="678" t="n">
        <v>0</v>
      </c>
      <c r="AC471" s="678">
        <f>AD471</f>
        <v/>
      </c>
      <c r="AD471" s="678" t="n">
        <v>92400</v>
      </c>
      <c r="AE471" s="682" t="inlineStr">
        <is>
          <t>ENGAGE</t>
        </is>
      </c>
      <c r="AF471" s="681" t="n"/>
      <c r="AG471" s="678" t="n"/>
      <c r="AH471" s="678" t="n"/>
      <c r="AI471" s="678" t="n"/>
      <c r="AJ471" s="678" t="n"/>
      <c r="AK471" s="683" t="n"/>
      <c r="AL471" s="683" t="n"/>
      <c r="AM471" s="681" t="inlineStr">
        <is>
          <t>R.A.S</t>
        </is>
      </c>
    </row>
    <row r="472" ht="32" customHeight="1" s="392">
      <c r="A472" s="672" t="n">
        <v>2026</v>
      </c>
      <c r="B472" s="673" t="inlineStr">
        <is>
          <t>DPMG</t>
        </is>
      </c>
      <c r="C472" s="673" t="inlineStr">
        <is>
          <t>RECONDUCTIBLE</t>
        </is>
      </c>
      <c r="D472" s="672" t="inlineStr">
        <is>
          <t>CONTRAT</t>
        </is>
      </c>
      <c r="E472" s="672" t="n">
        <v>1</v>
      </c>
      <c r="F472" s="674" t="inlineStr">
        <is>
          <t xml:space="preserve">Location d’immeuble </t>
        </is>
      </c>
      <c r="G472" s="675" t="inlineStr">
        <is>
          <t>VALIDE</t>
        </is>
      </c>
      <c r="H472" s="672" t="inlineStr">
        <is>
          <t>APPROUVE</t>
        </is>
      </c>
      <c r="I472" s="672" t="n">
        <v>20000457</v>
      </c>
      <c r="J472" s="675" t="inlineStr">
        <is>
          <t>NON CONCERNE</t>
        </is>
      </c>
      <c r="K472" s="672" t="inlineStr">
        <is>
          <t>Ordinaire</t>
        </is>
      </c>
      <c r="L472" s="676" t="inlineStr">
        <is>
          <t>FONCTIONNEMENT</t>
        </is>
      </c>
      <c r="M472" s="676" t="inlineStr">
        <is>
          <t>Locations</t>
        </is>
      </c>
      <c r="N472" s="677" t="n"/>
      <c r="O472" s="678" t="n"/>
      <c r="P472" s="678" t="n"/>
      <c r="Q472" s="672" t="inlineStr">
        <is>
          <t>RECONDUCTIBLE</t>
        </is>
      </c>
      <c r="R472" s="679" t="n"/>
      <c r="S472" s="680" t="n"/>
      <c r="T472" s="681" t="inlineStr">
        <is>
          <t>SOUKAINA AHL- CHEIKH</t>
        </is>
      </c>
      <c r="U472" s="672" t="n"/>
      <c r="V472" s="680" t="n"/>
      <c r="W472" s="680" t="n"/>
      <c r="X472" s="680" t="n"/>
      <c r="Y472" s="677">
        <f>AC472</f>
        <v/>
      </c>
      <c r="Z472" s="678" t="n">
        <v>0</v>
      </c>
      <c r="AA472" s="678">
        <f>AC472</f>
        <v/>
      </c>
      <c r="AB472" s="678" t="n">
        <v>0</v>
      </c>
      <c r="AC472" s="678">
        <f>AD472</f>
        <v/>
      </c>
      <c r="AD472" s="678" t="n">
        <v>290400</v>
      </c>
      <c r="AE472" s="682" t="inlineStr">
        <is>
          <t>ENGAGE</t>
        </is>
      </c>
      <c r="AF472" s="681" t="n"/>
      <c r="AG472" s="678" t="n"/>
      <c r="AH472" s="678" t="n"/>
      <c r="AI472" s="678" t="n"/>
      <c r="AJ472" s="678" t="n"/>
      <c r="AK472" s="683" t="n"/>
      <c r="AL472" s="683" t="n"/>
      <c r="AM472" s="681" t="inlineStr">
        <is>
          <t>R.A.S</t>
        </is>
      </c>
    </row>
    <row r="473" ht="32" customHeight="1" s="392">
      <c r="A473" s="672" t="n">
        <v>2026</v>
      </c>
      <c r="B473" s="673" t="inlineStr">
        <is>
          <t>DPMG</t>
        </is>
      </c>
      <c r="C473" s="673" t="inlineStr">
        <is>
          <t>RECONDUCTIBLE</t>
        </is>
      </c>
      <c r="D473" s="672" t="inlineStr">
        <is>
          <t>CONTRAT</t>
        </is>
      </c>
      <c r="E473" s="672" t="n">
        <v>1</v>
      </c>
      <c r="F473" s="674" t="inlineStr">
        <is>
          <t xml:space="preserve">Location d’immeuble </t>
        </is>
      </c>
      <c r="G473" s="675" t="inlineStr">
        <is>
          <t>VALIDE</t>
        </is>
      </c>
      <c r="H473" s="672" t="inlineStr">
        <is>
          <t>APPROUVE</t>
        </is>
      </c>
      <c r="I473" s="672" t="n">
        <v>20000461</v>
      </c>
      <c r="J473" s="675" t="inlineStr">
        <is>
          <t>NON CONCERNE</t>
        </is>
      </c>
      <c r="K473" s="672" t="inlineStr">
        <is>
          <t>Ordinaire</t>
        </is>
      </c>
      <c r="L473" s="676" t="inlineStr">
        <is>
          <t>FONCTIONNEMENT</t>
        </is>
      </c>
      <c r="M473" s="676" t="inlineStr">
        <is>
          <t>Locations</t>
        </is>
      </c>
      <c r="N473" s="677" t="n"/>
      <c r="O473" s="678" t="n"/>
      <c r="P473" s="678" t="n"/>
      <c r="Q473" s="672" t="inlineStr">
        <is>
          <t>RECONDUCTIBLE</t>
        </is>
      </c>
      <c r="R473" s="679" t="n"/>
      <c r="S473" s="680" t="n"/>
      <c r="T473" s="681" t="inlineStr">
        <is>
          <t xml:space="preserve">GHLANA BOUHRIGUA </t>
        </is>
      </c>
      <c r="U473" s="672" t="n"/>
      <c r="V473" s="680" t="n"/>
      <c r="W473" s="680" t="n"/>
      <c r="X473" s="680" t="n"/>
      <c r="Y473" s="677">
        <f>AC473</f>
        <v/>
      </c>
      <c r="Z473" s="678" t="n">
        <v>0</v>
      </c>
      <c r="AA473" s="678">
        <f>AC473</f>
        <v/>
      </c>
      <c r="AB473" s="678" t="n">
        <v>0</v>
      </c>
      <c r="AC473" s="678">
        <f>AD473</f>
        <v/>
      </c>
      <c r="AD473" s="678" t="n">
        <v>303600</v>
      </c>
      <c r="AE473" s="682" t="inlineStr">
        <is>
          <t>ENGAGE</t>
        </is>
      </c>
      <c r="AF473" s="681" t="n"/>
      <c r="AG473" s="678" t="n"/>
      <c r="AH473" s="678" t="n"/>
      <c r="AI473" s="678" t="n"/>
      <c r="AJ473" s="678" t="n"/>
      <c r="AK473" s="683" t="n"/>
      <c r="AL473" s="683" t="n"/>
      <c r="AM473" s="681" t="inlineStr">
        <is>
          <t>R.A.S</t>
        </is>
      </c>
    </row>
    <row r="474" ht="32" customHeight="1" s="392">
      <c r="A474" s="672" t="n">
        <v>2026</v>
      </c>
      <c r="B474" s="673" t="inlineStr">
        <is>
          <t>DPMG</t>
        </is>
      </c>
      <c r="C474" s="673" t="inlineStr">
        <is>
          <t>RECONDUCTIBLE</t>
        </is>
      </c>
      <c r="D474" s="672" t="inlineStr">
        <is>
          <t>CONTRAT</t>
        </is>
      </c>
      <c r="E474" s="672" t="n">
        <v>1</v>
      </c>
      <c r="F474" s="674" t="inlineStr">
        <is>
          <t xml:space="preserve">Location d’immeuble </t>
        </is>
      </c>
      <c r="G474" s="675" t="inlineStr">
        <is>
          <t>VALIDE</t>
        </is>
      </c>
      <c r="H474" s="672" t="inlineStr">
        <is>
          <t>APPROUVE</t>
        </is>
      </c>
      <c r="I474" s="672" t="n">
        <v>20000458</v>
      </c>
      <c r="J474" s="675" t="inlineStr">
        <is>
          <t>NON CONCERNE</t>
        </is>
      </c>
      <c r="K474" s="672" t="inlineStr">
        <is>
          <t>Ordinaire</t>
        </is>
      </c>
      <c r="L474" s="676" t="inlineStr">
        <is>
          <t>FONCTIONNEMENT</t>
        </is>
      </c>
      <c r="M474" s="676" t="inlineStr">
        <is>
          <t>Locations</t>
        </is>
      </c>
      <c r="N474" s="677" t="n"/>
      <c r="O474" s="678" t="n"/>
      <c r="P474" s="678" t="n"/>
      <c r="Q474" s="672" t="inlineStr">
        <is>
          <t>RECONDUCTIBLE</t>
        </is>
      </c>
      <c r="R474" s="679" t="n"/>
      <c r="S474" s="680" t="n"/>
      <c r="T474" s="681" t="inlineStr">
        <is>
          <t xml:space="preserve">ABDELHAFID EL AZHARI </t>
        </is>
      </c>
      <c r="U474" s="672" t="n"/>
      <c r="V474" s="680" t="n"/>
      <c r="W474" s="680" t="n"/>
      <c r="X474" s="680" t="n"/>
      <c r="Y474" s="677">
        <f>AC474</f>
        <v/>
      </c>
      <c r="Z474" s="678" t="n">
        <v>0</v>
      </c>
      <c r="AA474" s="678">
        <f>AC474</f>
        <v/>
      </c>
      <c r="AB474" s="678" t="n">
        <v>0</v>
      </c>
      <c r="AC474" s="678">
        <f>AD474</f>
        <v/>
      </c>
      <c r="AD474" s="678" t="n">
        <v>288802.8</v>
      </c>
      <c r="AE474" s="682" t="inlineStr">
        <is>
          <t>ENGAGE</t>
        </is>
      </c>
      <c r="AF474" s="681" t="n"/>
      <c r="AG474" s="678" t="n"/>
      <c r="AH474" s="678" t="n"/>
      <c r="AI474" s="678" t="n"/>
      <c r="AJ474" s="678" t="n"/>
      <c r="AK474" s="683" t="n"/>
      <c r="AL474" s="683" t="n"/>
      <c r="AM474" s="681" t="inlineStr">
        <is>
          <t>R.A.S</t>
        </is>
      </c>
    </row>
    <row r="475" ht="35.7" customHeight="1" s="392">
      <c r="A475" s="672" t="n">
        <v>2026</v>
      </c>
      <c r="B475" s="673" t="inlineStr">
        <is>
          <t>DPMG</t>
        </is>
      </c>
      <c r="C475" s="673" t="inlineStr">
        <is>
          <t>RECONDUCTIBLE</t>
        </is>
      </c>
      <c r="D475" s="672" t="inlineStr">
        <is>
          <t>CONTRAT</t>
        </is>
      </c>
      <c r="E475" s="672" t="n">
        <v>1</v>
      </c>
      <c r="F475" s="674" t="inlineStr">
        <is>
          <t xml:space="preserve">Location d’immeuble </t>
        </is>
      </c>
      <c r="G475" s="675" t="inlineStr">
        <is>
          <t>VALIDE</t>
        </is>
      </c>
      <c r="H475" s="672" t="inlineStr">
        <is>
          <t>APPROUVE</t>
        </is>
      </c>
      <c r="I475" s="672" t="n">
        <v>20000463</v>
      </c>
      <c r="J475" s="675" t="inlineStr">
        <is>
          <t>NON CONCERNE</t>
        </is>
      </c>
      <c r="K475" s="672" t="inlineStr">
        <is>
          <t>Ordinaire</t>
        </is>
      </c>
      <c r="L475" s="676" t="inlineStr">
        <is>
          <t>FONCTIONNEMENT</t>
        </is>
      </c>
      <c r="M475" s="676" t="inlineStr">
        <is>
          <t>Locations</t>
        </is>
      </c>
      <c r="N475" s="677" t="n"/>
      <c r="O475" s="678" t="n"/>
      <c r="P475" s="678" t="n"/>
      <c r="Q475" s="672" t="inlineStr">
        <is>
          <t>RECONDUCTIBLE</t>
        </is>
      </c>
      <c r="R475" s="679" t="n"/>
      <c r="S475" s="680" t="n"/>
      <c r="T475" s="681" t="inlineStr">
        <is>
          <t xml:space="preserve">MOHAMED SALEM HAMOU OU ALI </t>
        </is>
      </c>
      <c r="U475" s="672" t="n"/>
      <c r="V475" s="680" t="n"/>
      <c r="W475" s="680" t="n"/>
      <c r="X475" s="680" t="n"/>
      <c r="Y475" s="677">
        <f>AC475</f>
        <v/>
      </c>
      <c r="Z475" s="678" t="n">
        <v>0</v>
      </c>
      <c r="AA475" s="678">
        <f>AC475</f>
        <v/>
      </c>
      <c r="AB475" s="678" t="n">
        <v>0</v>
      </c>
      <c r="AC475" s="678">
        <f>AD475</f>
        <v/>
      </c>
      <c r="AD475" s="678" t="n">
        <v>406560</v>
      </c>
      <c r="AE475" s="682" t="inlineStr">
        <is>
          <t>ENGAGE</t>
        </is>
      </c>
      <c r="AF475" s="681" t="n"/>
      <c r="AG475" s="678" t="n"/>
      <c r="AH475" s="678" t="n"/>
      <c r="AI475" s="678" t="n"/>
      <c r="AJ475" s="678" t="n"/>
      <c r="AK475" s="683" t="n"/>
      <c r="AL475" s="683" t="n"/>
      <c r="AM475" s="681" t="inlineStr">
        <is>
          <t>R.A.S</t>
        </is>
      </c>
    </row>
    <row r="476" ht="32" customHeight="1" s="392">
      <c r="A476" s="672" t="n">
        <v>2026</v>
      </c>
      <c r="B476" s="673" t="inlineStr">
        <is>
          <t>DPMG</t>
        </is>
      </c>
      <c r="C476" s="673" t="inlineStr">
        <is>
          <t>RECONDUCTIBLE</t>
        </is>
      </c>
      <c r="D476" s="672" t="inlineStr">
        <is>
          <t>CONTRAT</t>
        </is>
      </c>
      <c r="E476" s="672" t="n">
        <v>1</v>
      </c>
      <c r="F476" s="674" t="inlineStr">
        <is>
          <t xml:space="preserve">Location d’immeuble </t>
        </is>
      </c>
      <c r="G476" s="675" t="inlineStr">
        <is>
          <t>VALIDE</t>
        </is>
      </c>
      <c r="H476" s="672" t="inlineStr">
        <is>
          <t>APPROUVE</t>
        </is>
      </c>
      <c r="I476" s="672" t="n">
        <v>20000447</v>
      </c>
      <c r="J476" s="675" t="inlineStr">
        <is>
          <t>NON CONCERNE</t>
        </is>
      </c>
      <c r="K476" s="672" t="inlineStr">
        <is>
          <t>Ordinaire</t>
        </is>
      </c>
      <c r="L476" s="676" t="inlineStr">
        <is>
          <t>FONCTIONNEMENT</t>
        </is>
      </c>
      <c r="M476" s="676" t="inlineStr">
        <is>
          <t>Locations</t>
        </is>
      </c>
      <c r="N476" s="677" t="n"/>
      <c r="O476" s="678" t="n"/>
      <c r="P476" s="678" t="n"/>
      <c r="Q476" s="672" t="inlineStr">
        <is>
          <t>RECONDUCTIBLE</t>
        </is>
      </c>
      <c r="R476" s="679" t="n"/>
      <c r="S476" s="680" t="n"/>
      <c r="T476" s="681" t="inlineStr">
        <is>
          <t xml:space="preserve">SOCIETE CIVILE LEOPARDI </t>
        </is>
      </c>
      <c r="U476" s="672" t="n"/>
      <c r="V476" s="680" t="n"/>
      <c r="W476" s="680" t="n"/>
      <c r="X476" s="680" t="n"/>
      <c r="Y476" s="677">
        <f>AC476</f>
        <v/>
      </c>
      <c r="Z476" s="678" t="n">
        <v>0</v>
      </c>
      <c r="AA476" s="678">
        <f>AC476</f>
        <v/>
      </c>
      <c r="AB476" s="678" t="n">
        <v>0</v>
      </c>
      <c r="AC476" s="678">
        <f>AD476</f>
        <v/>
      </c>
      <c r="AD476" s="678" t="n">
        <v>58564</v>
      </c>
      <c r="AE476" s="682" t="inlineStr">
        <is>
          <t>ENGAGE</t>
        </is>
      </c>
      <c r="AF476" s="681" t="n"/>
      <c r="AG476" s="678" t="n"/>
      <c r="AH476" s="678" t="n"/>
      <c r="AI476" s="678" t="n"/>
      <c r="AJ476" s="678" t="n"/>
      <c r="AK476" s="683" t="n"/>
      <c r="AL476" s="683" t="n"/>
      <c r="AM476" s="681" t="inlineStr">
        <is>
          <t>R.A.S</t>
        </is>
      </c>
    </row>
    <row r="477" ht="54.6" customHeight="1" s="392">
      <c r="A477" s="672" t="n">
        <v>2022</v>
      </c>
      <c r="B477" s="673" t="inlineStr">
        <is>
          <t>DPMG</t>
        </is>
      </c>
      <c r="C477" s="673" t="inlineStr">
        <is>
          <t>RECONDUCTIBLE</t>
        </is>
      </c>
      <c r="D477" s="672" t="inlineStr">
        <is>
          <t>AOO-M</t>
        </is>
      </c>
      <c r="E477" s="672" t="n">
        <v>1</v>
      </c>
      <c r="F477" s="674" t="inlineStr">
        <is>
          <t>Location long durée de véhicule neufs sans option d’achat ainsi que les prestations qui lui sont accessoires et complémentaires pour la SNRT</t>
        </is>
      </c>
      <c r="G477" s="675" t="inlineStr">
        <is>
          <t>VALIDE</t>
        </is>
      </c>
      <c r="H477" s="672" t="inlineStr">
        <is>
          <t>APPROUVE</t>
        </is>
      </c>
      <c r="I477" s="672" t="inlineStr">
        <is>
          <t>32M/2022</t>
        </is>
      </c>
      <c r="J477" s="675" t="inlineStr">
        <is>
          <t>GENERAL</t>
        </is>
      </c>
      <c r="K477" s="672" t="inlineStr">
        <is>
          <t>Ordinaire</t>
        </is>
      </c>
      <c r="L477" s="676" t="inlineStr">
        <is>
          <t>FONCTIONNEMENT</t>
        </is>
      </c>
      <c r="M477" s="676" t="inlineStr">
        <is>
          <t>Location
Location matériel transport</t>
        </is>
      </c>
      <c r="N477" s="677" t="n"/>
      <c r="O477" s="678" t="n"/>
      <c r="P477" s="678" t="n"/>
      <c r="Q477" s="672" t="inlineStr">
        <is>
          <t>RECONDUCTIBLE</t>
        </is>
      </c>
      <c r="R477" s="679" t="n">
        <v>44844</v>
      </c>
      <c r="S477" s="680" t="n">
        <v>46670</v>
      </c>
      <c r="T477" s="681" t="inlineStr">
        <is>
          <t>WAFA LLD</t>
        </is>
      </c>
      <c r="U477" s="672" t="n">
        <v>2022</v>
      </c>
      <c r="V477" s="680" t="n"/>
      <c r="W477" s="680" t="n"/>
      <c r="X477" s="680" t="n">
        <v>44761</v>
      </c>
      <c r="Y477" s="677" t="n">
        <v>6119655.7</v>
      </c>
      <c r="Z477" s="678" t="n">
        <v>0</v>
      </c>
      <c r="AA477" s="678" t="n">
        <v>7343586.84</v>
      </c>
      <c r="AB477" s="678" t="n">
        <v>0</v>
      </c>
      <c r="AC477" s="678">
        <f>Y477</f>
        <v/>
      </c>
      <c r="AD477" s="678">
        <f>AA477</f>
        <v/>
      </c>
      <c r="AE477" s="682" t="inlineStr">
        <is>
          <t>ENGAGE</t>
        </is>
      </c>
      <c r="AF477" s="681" t="n"/>
      <c r="AG477" s="678" t="n"/>
      <c r="AH477" s="678" t="n"/>
      <c r="AI477" s="678" t="n"/>
      <c r="AJ477" s="678" t="n"/>
      <c r="AK477" s="683" t="n"/>
      <c r="AL477" s="683" t="n"/>
      <c r="AM477" s="681" t="n"/>
    </row>
    <row r="478" ht="38.40000000000001" customHeight="1" s="392">
      <c r="A478" s="672" t="n">
        <v>2023</v>
      </c>
      <c r="B478" s="673" t="inlineStr">
        <is>
          <t>DPMG</t>
        </is>
      </c>
      <c r="C478" s="673" t="inlineStr">
        <is>
          <t>RECONDUCTIBLE</t>
        </is>
      </c>
      <c r="D478" s="672" t="inlineStr">
        <is>
          <t>AOO-M</t>
        </is>
      </c>
      <c r="E478" s="672" t="n">
        <v>1</v>
      </c>
      <c r="F478" s="674" t="inlineStr">
        <is>
          <t>Location de véhicules neufs avec chauffeurs pour le transport permanent et régulier du personnel de la SNRT</t>
        </is>
      </c>
      <c r="G478" s="675" t="inlineStr">
        <is>
          <t>VALIDE</t>
        </is>
      </c>
      <c r="H478" s="672" t="inlineStr">
        <is>
          <t>APPROUVE</t>
        </is>
      </c>
      <c r="I478" s="672" t="inlineStr">
        <is>
          <t>19M/2023</t>
        </is>
      </c>
      <c r="J478" s="675" t="inlineStr">
        <is>
          <t>GENERAL</t>
        </is>
      </c>
      <c r="K478" s="672" t="inlineStr">
        <is>
          <t>Ordinaire</t>
        </is>
      </c>
      <c r="L478" s="676" t="inlineStr">
        <is>
          <t>FONCTIONNEMENT</t>
        </is>
      </c>
      <c r="M478" s="676" t="inlineStr">
        <is>
          <t>Autres charges de fonctionnement</t>
        </is>
      </c>
      <c r="N478" s="677" t="n"/>
      <c r="O478" s="678" t="n"/>
      <c r="P478" s="678" t="n"/>
      <c r="Q478" s="672" t="inlineStr">
        <is>
          <t>RECONDUCTIBLE</t>
        </is>
      </c>
      <c r="R478" s="679" t="n">
        <v>45042</v>
      </c>
      <c r="S478" s="680" t="n">
        <v>46869</v>
      </c>
      <c r="T478" s="681" t="inlineStr">
        <is>
          <t>GM2 TOURS</t>
        </is>
      </c>
      <c r="U478" s="672" t="n">
        <v>2023</v>
      </c>
      <c r="V478" s="680" t="n"/>
      <c r="W478" s="680" t="n"/>
      <c r="X478" s="680" t="n">
        <v>45028</v>
      </c>
      <c r="Y478" s="677" t="n">
        <v>1208077</v>
      </c>
      <c r="Z478" s="678" t="n">
        <v>0</v>
      </c>
      <c r="AA478" s="678" t="n">
        <v>1449692.4</v>
      </c>
      <c r="AB478" s="678" t="n">
        <v>0</v>
      </c>
      <c r="AC478" s="678">
        <f>Y478</f>
        <v/>
      </c>
      <c r="AD478" s="678">
        <f>AA478</f>
        <v/>
      </c>
      <c r="AE478" s="682" t="inlineStr">
        <is>
          <t>ENGAGE</t>
        </is>
      </c>
      <c r="AF478" s="681" t="n"/>
      <c r="AG478" s="678" t="n"/>
      <c r="AH478" s="678" t="n"/>
      <c r="AI478" s="678" t="n"/>
      <c r="AJ478" s="678" t="n"/>
      <c r="AK478" s="683" t="n"/>
      <c r="AL478" s="683" t="n"/>
      <c r="AM478" s="681" t="n"/>
    </row>
    <row r="479" ht="54.6" customHeight="1" s="392">
      <c r="A479" s="672" t="n">
        <v>2021</v>
      </c>
      <c r="B479" s="673" t="inlineStr">
        <is>
          <t>DPMG</t>
        </is>
      </c>
      <c r="C479" s="673" t="inlineStr">
        <is>
          <t>RECONDUCTIBLE</t>
        </is>
      </c>
      <c r="D479" s="672" t="inlineStr">
        <is>
          <t>AOO-M</t>
        </is>
      </c>
      <c r="E479" s="672" t="n">
        <v>1</v>
      </c>
      <c r="F479" s="674" t="inlineStr">
        <is>
          <t>Location long durée de véhicule neufs sans option d’achat ainsi que les prestations qui lui sont accessoires et complémentaires pour la SNRT</t>
        </is>
      </c>
      <c r="G479" s="675" t="inlineStr">
        <is>
          <t>VALIDE</t>
        </is>
      </c>
      <c r="H479" s="672" t="inlineStr">
        <is>
          <t>APPROUVE</t>
        </is>
      </c>
      <c r="I479" s="672" t="inlineStr">
        <is>
          <t>11M/2021</t>
        </is>
      </c>
      <c r="J479" s="675" t="inlineStr">
        <is>
          <t>GENERAL</t>
        </is>
      </c>
      <c r="K479" s="672" t="inlineStr">
        <is>
          <t>Ordinaire</t>
        </is>
      </c>
      <c r="L479" s="676" t="inlineStr">
        <is>
          <t>FONCTIONNEMENT</t>
        </is>
      </c>
      <c r="M479" s="676" t="inlineStr">
        <is>
          <t>Location
Location matériel transport</t>
        </is>
      </c>
      <c r="N479" s="677" t="n"/>
      <c r="O479" s="678" t="n"/>
      <c r="P479" s="678" t="n"/>
      <c r="Q479" s="672" t="inlineStr">
        <is>
          <t>RECONDUCTIBLE</t>
        </is>
      </c>
      <c r="R479" s="679" t="n">
        <v>44358</v>
      </c>
      <c r="S479" s="680" t="n">
        <v>46184</v>
      </c>
      <c r="T479" s="681" t="inlineStr">
        <is>
          <t>MARLOC EUROPCAR</t>
        </is>
      </c>
      <c r="U479" s="672" t="n">
        <v>2021</v>
      </c>
      <c r="V479" s="680" t="n"/>
      <c r="W479" s="680" t="n"/>
      <c r="X479" s="680" t="n">
        <v>44312</v>
      </c>
      <c r="Y479" s="677" t="n"/>
      <c r="Z479" s="678" t="n">
        <v>0</v>
      </c>
      <c r="AA479" s="678" t="n">
        <v>2940732</v>
      </c>
      <c r="AB479" s="678" t="n">
        <v>0</v>
      </c>
      <c r="AC479" s="678" t="n"/>
      <c r="AD479" s="678" t="n">
        <v>2940732</v>
      </c>
      <c r="AE479" s="682" t="inlineStr">
        <is>
          <t>ENGAGE</t>
        </is>
      </c>
      <c r="AF479" s="681" t="n"/>
      <c r="AG479" s="678" t="n"/>
      <c r="AH479" s="678" t="n"/>
      <c r="AI479" s="678" t="n"/>
      <c r="AJ479" s="678" t="n"/>
      <c r="AK479" s="683" t="n"/>
      <c r="AL479" s="683" t="n"/>
      <c r="AM479" s="681" t="inlineStr">
        <is>
          <t>Jusqu’a 11 Juin 2026</t>
        </is>
      </c>
    </row>
    <row r="480" ht="38.40000000000001" customHeight="1" s="392">
      <c r="A480" s="672" t="n">
        <v>2023</v>
      </c>
      <c r="B480" s="673" t="inlineStr">
        <is>
          <t>DPMG</t>
        </is>
      </c>
      <c r="C480" s="673" t="inlineStr">
        <is>
          <t>RECONDUCTIBLE</t>
        </is>
      </c>
      <c r="D480" s="672" t="inlineStr">
        <is>
          <t>AOO-M</t>
        </is>
      </c>
      <c r="E480" s="672" t="n">
        <v>1</v>
      </c>
      <c r="F480" s="674" t="inlineStr">
        <is>
          <t>Location de véhicules neufs avec chauffeurs pour le transport permanent et régulier du personnel de la SNRT</t>
        </is>
      </c>
      <c r="G480" s="675" t="inlineStr">
        <is>
          <t>VALIDE</t>
        </is>
      </c>
      <c r="H480" s="672" t="inlineStr">
        <is>
          <t>APPROUVE</t>
        </is>
      </c>
      <c r="I480" s="672" t="inlineStr">
        <is>
          <t>20M/2023</t>
        </is>
      </c>
      <c r="J480" s="675" t="inlineStr">
        <is>
          <t>GENERAL</t>
        </is>
      </c>
      <c r="K480" s="672" t="inlineStr">
        <is>
          <t>Ordinaire</t>
        </is>
      </c>
      <c r="L480" s="676" t="inlineStr">
        <is>
          <t>FONCTIONNEMENT</t>
        </is>
      </c>
      <c r="M480" s="676" t="inlineStr">
        <is>
          <t>Autres charges de fonctionnement</t>
        </is>
      </c>
      <c r="N480" s="677" t="n"/>
      <c r="O480" s="678" t="n"/>
      <c r="P480" s="678" t="n"/>
      <c r="Q480" s="672" t="inlineStr">
        <is>
          <t>RECONDUCTIBLE</t>
        </is>
      </c>
      <c r="R480" s="679" t="n">
        <v>45042</v>
      </c>
      <c r="S480" s="680" t="n">
        <v>46869</v>
      </c>
      <c r="T480" s="681" t="inlineStr">
        <is>
          <t>ANFGOU TOURS</t>
        </is>
      </c>
      <c r="U480" s="672" t="n">
        <v>2023</v>
      </c>
      <c r="V480" s="680" t="n"/>
      <c r="W480" s="680" t="n"/>
      <c r="X480" s="680" t="n">
        <v>45028</v>
      </c>
      <c r="Y480" s="677" t="n">
        <v>572137.5</v>
      </c>
      <c r="Z480" s="678" t="n">
        <v>0</v>
      </c>
      <c r="AA480" s="678" t="n">
        <v>686565</v>
      </c>
      <c r="AB480" s="678" t="n">
        <v>0</v>
      </c>
      <c r="AC480" s="678">
        <f>Y480</f>
        <v/>
      </c>
      <c r="AD480" s="678">
        <f>AA480</f>
        <v/>
      </c>
      <c r="AE480" s="682" t="inlineStr">
        <is>
          <t>ENGAGE</t>
        </is>
      </c>
      <c r="AF480" s="681" t="n"/>
      <c r="AG480" s="678" t="n"/>
      <c r="AH480" s="678" t="n"/>
      <c r="AI480" s="678" t="n"/>
      <c r="AJ480" s="678" t="n"/>
      <c r="AK480" s="683" t="n"/>
      <c r="AL480" s="683" t="n"/>
      <c r="AM480" s="681" t="n"/>
    </row>
    <row r="481" ht="70.80000000000001" customHeight="1" s="392">
      <c r="A481" s="672" t="n">
        <v>2023</v>
      </c>
      <c r="B481" s="673" t="inlineStr">
        <is>
          <t>DPMG</t>
        </is>
      </c>
      <c r="C481" s="673" t="inlineStr">
        <is>
          <t>RECONDUCTIBLE</t>
        </is>
      </c>
      <c r="D481" s="672" t="inlineStr">
        <is>
          <t>AOO-M</t>
        </is>
      </c>
      <c r="E481" s="672" t="n">
        <v>1</v>
      </c>
      <c r="F481" s="674" t="inlineStr">
        <is>
          <t xml:space="preserve">Prestation de nettoyage complète y compris les produits de nettoyage et l'entretien des locaux administratifs et techniques des services centraux et régionaux de la SNRT. </t>
        </is>
      </c>
      <c r="G481" s="675" t="inlineStr">
        <is>
          <t>VALIDE</t>
        </is>
      </c>
      <c r="H481" s="672" t="inlineStr">
        <is>
          <t>APPROUVE</t>
        </is>
      </c>
      <c r="I481" s="672" t="inlineStr">
        <is>
          <t>02M/2023</t>
        </is>
      </c>
      <c r="J481" s="675" t="inlineStr">
        <is>
          <t>GENERAL</t>
        </is>
      </c>
      <c r="K481" s="672" t="inlineStr">
        <is>
          <t>Ordinaire</t>
        </is>
      </c>
      <c r="L481" s="676" t="inlineStr">
        <is>
          <t>FONCTIONNEMENT</t>
        </is>
      </c>
      <c r="M481" s="676" t="inlineStr">
        <is>
          <t>Prestations de service
Achat prestations de services locales - sociétés</t>
        </is>
      </c>
      <c r="N481" s="677" t="n"/>
      <c r="O481" s="678" t="n"/>
      <c r="P481" s="678" t="n"/>
      <c r="Q481" s="672" t="inlineStr">
        <is>
          <t>RECONDUCTIBLE</t>
        </is>
      </c>
      <c r="R481" s="679" t="n">
        <v>44959</v>
      </c>
      <c r="S481" s="680" t="n">
        <v>46055</v>
      </c>
      <c r="T481" s="681" t="inlineStr">
        <is>
          <t>HYATT NEGOCE SERVICE</t>
        </is>
      </c>
      <c r="U481" s="672" t="n">
        <v>2023</v>
      </c>
      <c r="V481" s="680" t="n"/>
      <c r="W481" s="680" t="n"/>
      <c r="X481" s="680" t="n">
        <v>44957</v>
      </c>
      <c r="Y481" s="677" t="n"/>
      <c r="Z481" s="678" t="n">
        <v>0</v>
      </c>
      <c r="AA481" s="678" t="n">
        <v>867981.0699999999</v>
      </c>
      <c r="AB481" s="678" t="n">
        <v>0</v>
      </c>
      <c r="AC481" s="678" t="n"/>
      <c r="AD481" s="678" t="n">
        <v>867981.0699999999</v>
      </c>
      <c r="AE481" s="682" t="inlineStr">
        <is>
          <t>ENGAGE</t>
        </is>
      </c>
      <c r="AF481" s="681" t="n"/>
      <c r="AG481" s="678" t="n"/>
      <c r="AH481" s="678" t="n"/>
      <c r="AI481" s="678" t="n"/>
      <c r="AJ481" s="678" t="n"/>
      <c r="AK481" s="683" t="n"/>
      <c r="AL481" s="683" t="n"/>
      <c r="AM481" s="681" t="inlineStr">
        <is>
          <t>Facture réelle</t>
        </is>
      </c>
    </row>
    <row r="482" ht="54.6" customHeight="1" s="392">
      <c r="A482" s="672" t="n">
        <v>2023</v>
      </c>
      <c r="B482" s="673" t="inlineStr">
        <is>
          <t>DPMG</t>
        </is>
      </c>
      <c r="C482" s="673" t="inlineStr">
        <is>
          <t>RECONDUCTIBLE</t>
        </is>
      </c>
      <c r="D482" s="672" t="inlineStr">
        <is>
          <t>AOO-M</t>
        </is>
      </c>
      <c r="E482" s="672" t="n">
        <v>1</v>
      </c>
      <c r="F482" s="674" t="inlineStr">
        <is>
          <t>Location long durée de véhicule neufs sans option d’achat ainsi que les prestations qui lui sont accessoires et complémentaires pour la SNRT</t>
        </is>
      </c>
      <c r="G482" s="675" t="inlineStr">
        <is>
          <t>VALIDE</t>
        </is>
      </c>
      <c r="H482" s="672" t="inlineStr">
        <is>
          <t>APPROUVE</t>
        </is>
      </c>
      <c r="I482" s="672" t="inlineStr">
        <is>
          <t>97M/2023</t>
        </is>
      </c>
      <c r="J482" s="675" t="inlineStr">
        <is>
          <t>GENERAL</t>
        </is>
      </c>
      <c r="K482" s="672" t="inlineStr">
        <is>
          <t>Ordinaire</t>
        </is>
      </c>
      <c r="L482" s="676" t="inlineStr">
        <is>
          <t>FONCTIONNEMENT</t>
        </is>
      </c>
      <c r="M482" s="676" t="inlineStr">
        <is>
          <t>Location
Location matériel transport</t>
        </is>
      </c>
      <c r="N482" s="677" t="n"/>
      <c r="O482" s="678" t="n"/>
      <c r="P482" s="678" t="n"/>
      <c r="Q482" s="672" t="inlineStr">
        <is>
          <t>RECONDUCTIBLE</t>
        </is>
      </c>
      <c r="R482" s="679" t="n">
        <v>45378</v>
      </c>
      <c r="S482" s="680" t="n">
        <v>47204</v>
      </c>
      <c r="T482" s="681" t="inlineStr">
        <is>
          <t>MARLOC EUROPCAR</t>
        </is>
      </c>
      <c r="U482" s="672" t="n">
        <v>2023</v>
      </c>
      <c r="V482" s="680" t="n"/>
      <c r="W482" s="680" t="n"/>
      <c r="X482" s="680" t="n">
        <v>45288</v>
      </c>
      <c r="Y482" s="677" t="n">
        <v>333060</v>
      </c>
      <c r="Z482" s="678" t="n">
        <v>0</v>
      </c>
      <c r="AA482" s="678" t="n">
        <v>399672</v>
      </c>
      <c r="AB482" s="678" t="n">
        <v>0</v>
      </c>
      <c r="AC482" s="678">
        <f>Y482</f>
        <v/>
      </c>
      <c r="AD482" s="678">
        <f>AA482</f>
        <v/>
      </c>
      <c r="AE482" s="682" t="inlineStr">
        <is>
          <t>ENGAGE</t>
        </is>
      </c>
      <c r="AF482" s="681" t="n"/>
      <c r="AG482" s="678" t="n"/>
      <c r="AH482" s="678" t="n"/>
      <c r="AI482" s="678" t="n"/>
      <c r="AJ482" s="678" t="n"/>
      <c r="AK482" s="683" t="n"/>
      <c r="AL482" s="683" t="n"/>
      <c r="AM482" s="681" t="n"/>
    </row>
    <row r="483" ht="54.6" customHeight="1" s="392">
      <c r="A483" s="672" t="n">
        <v>2022</v>
      </c>
      <c r="B483" s="673" t="inlineStr">
        <is>
          <t>DPMG</t>
        </is>
      </c>
      <c r="C483" s="673" t="inlineStr">
        <is>
          <t>RECONDUCTIBLE</t>
        </is>
      </c>
      <c r="D483" s="672" t="inlineStr">
        <is>
          <t>AOO-M</t>
        </is>
      </c>
      <c r="E483" s="672" t="n">
        <v>1</v>
      </c>
      <c r="F483" s="674" t="inlineStr">
        <is>
          <t>Location long durée de véhicule neufs sans option d’achat ainsi que les prestations qui lui sont accessoires et complémentaires pour la SNRT</t>
        </is>
      </c>
      <c r="G483" s="675" t="inlineStr">
        <is>
          <t>VALIDE</t>
        </is>
      </c>
      <c r="H483" s="672" t="inlineStr">
        <is>
          <t>APPROUVE</t>
        </is>
      </c>
      <c r="I483" s="672" t="inlineStr">
        <is>
          <t>40M/2024</t>
        </is>
      </c>
      <c r="J483" s="675" t="inlineStr">
        <is>
          <t>GENERAL</t>
        </is>
      </c>
      <c r="K483" s="672" t="inlineStr">
        <is>
          <t>Ordinaire</t>
        </is>
      </c>
      <c r="L483" s="676" t="inlineStr">
        <is>
          <t>FONCTIONNEMENT</t>
        </is>
      </c>
      <c r="M483" s="676" t="inlineStr">
        <is>
          <t>Location
Location matériel transport</t>
        </is>
      </c>
      <c r="N483" s="677" t="n"/>
      <c r="O483" s="678" t="n"/>
      <c r="P483" s="678" t="n"/>
      <c r="Q483" s="672" t="inlineStr">
        <is>
          <t>RECONDUCTIBLE</t>
        </is>
      </c>
      <c r="R483" s="679" t="n">
        <v>45650</v>
      </c>
      <c r="S483" s="680" t="n">
        <v>47476</v>
      </c>
      <c r="T483" s="681" t="inlineStr">
        <is>
          <t>WAFA LLD</t>
        </is>
      </c>
      <c r="U483" s="672" t="n">
        <v>2024</v>
      </c>
      <c r="V483" s="680" t="n"/>
      <c r="W483" s="680" t="n"/>
      <c r="X483" s="680" t="n">
        <v>45559</v>
      </c>
      <c r="Y483" s="677" t="n">
        <v>2891971.65</v>
      </c>
      <c r="Z483" s="678" t="n">
        <v>0</v>
      </c>
      <c r="AA483" s="678" t="n">
        <v>3470365.98</v>
      </c>
      <c r="AB483" s="678" t="n">
        <v>0</v>
      </c>
      <c r="AC483" s="678">
        <f>Y483</f>
        <v/>
      </c>
      <c r="AD483" s="678">
        <f>AA483</f>
        <v/>
      </c>
      <c r="AE483" s="682" t="inlineStr">
        <is>
          <t>ENGAGE</t>
        </is>
      </c>
      <c r="AF483" s="681" t="n"/>
      <c r="AG483" s="678" t="n"/>
      <c r="AH483" s="678" t="n"/>
      <c r="AI483" s="678" t="n"/>
      <c r="AJ483" s="678" t="n"/>
      <c r="AK483" s="683" t="n"/>
      <c r="AL483" s="683" t="n"/>
      <c r="AM483" s="681" t="n"/>
    </row>
    <row r="484" ht="50.55" customHeight="1" s="392">
      <c r="A484" s="672" t="n">
        <v>2025</v>
      </c>
      <c r="B484" s="673" t="inlineStr">
        <is>
          <t>DPMG</t>
        </is>
      </c>
      <c r="C484" s="673" t="inlineStr">
        <is>
          <t>RECONDUCTIBLE</t>
        </is>
      </c>
      <c r="D484" s="672" t="inlineStr">
        <is>
          <t>AOO-M</t>
        </is>
      </c>
      <c r="E484" s="672" t="n">
        <v>1</v>
      </c>
      <c r="F484" s="674" t="inlineStr">
        <is>
          <t>Sécurité  et gardiennage Siège &amp; centres régionaux</t>
        </is>
      </c>
      <c r="G484" s="675" t="inlineStr">
        <is>
          <t>VALIDE</t>
        </is>
      </c>
      <c r="H484" s="672" t="inlineStr">
        <is>
          <t>APPROUVE</t>
        </is>
      </c>
      <c r="I484" s="672" t="inlineStr">
        <is>
          <t>19M/2025</t>
        </is>
      </c>
      <c r="J484" s="675" t="inlineStr">
        <is>
          <t>GENERAL</t>
        </is>
      </c>
      <c r="K484" s="672" t="inlineStr">
        <is>
          <t>Ordinaire</t>
        </is>
      </c>
      <c r="L484" s="676" t="inlineStr">
        <is>
          <t>FONCTIONNEMENT</t>
        </is>
      </c>
      <c r="M484" s="676" t="inlineStr">
        <is>
          <t>Prestations de service
Achat prestations de services locales - sociétés</t>
        </is>
      </c>
      <c r="N484" s="677" t="n"/>
      <c r="O484" s="678" t="n"/>
      <c r="P484" s="678" t="n"/>
      <c r="Q484" s="672" t="inlineStr">
        <is>
          <t>RECONDUCTIBLE</t>
        </is>
      </c>
      <c r="R484" s="679" t="n">
        <v>45778</v>
      </c>
      <c r="S484" s="680" t="n">
        <v>46874</v>
      </c>
      <c r="T484" s="681" t="inlineStr">
        <is>
          <t>HYATT NEGOCE SERVICE</t>
        </is>
      </c>
      <c r="U484" s="672" t="n">
        <v>2025</v>
      </c>
      <c r="V484" s="680" t="n"/>
      <c r="W484" s="680" t="n"/>
      <c r="X484" s="680" t="n">
        <v>45777</v>
      </c>
      <c r="Y484" s="677">
        <f>+AA484/1.2</f>
        <v/>
      </c>
      <c r="Z484" s="678" t="n">
        <v>0</v>
      </c>
      <c r="AA484" s="678" t="n">
        <v>41205482</v>
      </c>
      <c r="AB484" s="678" t="n">
        <v>0</v>
      </c>
      <c r="AC484" s="678">
        <f>+Y484</f>
        <v/>
      </c>
      <c r="AD484" s="678">
        <f>+AA484</f>
        <v/>
      </c>
      <c r="AE484" s="682" t="inlineStr">
        <is>
          <t>ENGAGE</t>
        </is>
      </c>
      <c r="AF484" s="681" t="n"/>
      <c r="AG484" s="678" t="n"/>
      <c r="AH484" s="678" t="n"/>
      <c r="AI484" s="678" t="n"/>
      <c r="AJ484" s="678" t="n"/>
      <c r="AK484" s="683" t="n"/>
      <c r="AL484" s="683" t="n"/>
      <c r="AM484" s="681" t="n"/>
    </row>
    <row r="485" ht="103.2" customHeight="1" s="392">
      <c r="A485" s="672" t="n">
        <v>2025</v>
      </c>
      <c r="B485" s="673" t="inlineStr">
        <is>
          <t>DPMG</t>
        </is>
      </c>
      <c r="C485" s="673" t="inlineStr">
        <is>
          <t>RECONDUCTIBLE</t>
        </is>
      </c>
      <c r="D485" s="672" t="inlineStr">
        <is>
          <t>AOO-M</t>
        </is>
      </c>
      <c r="E485" s="672" t="n">
        <v>1</v>
      </c>
      <c r="F485" s="674" t="inlineStr">
        <is>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is>
      </c>
      <c r="G485" s="675" t="inlineStr">
        <is>
          <t>VALIDE</t>
        </is>
      </c>
      <c r="H485" s="672" t="inlineStr">
        <is>
          <t>APPROUVE</t>
        </is>
      </c>
      <c r="I485" s="672" t="inlineStr">
        <is>
          <t>470 CT/SNRT/2025</t>
        </is>
      </c>
      <c r="J485" s="675" t="inlineStr">
        <is>
          <t>GENERAL</t>
        </is>
      </c>
      <c r="K485" s="672" t="inlineStr">
        <is>
          <t>Ordinaire</t>
        </is>
      </c>
      <c r="L485" s="676" t="inlineStr">
        <is>
          <t>FONCTIONNEMENT</t>
        </is>
      </c>
      <c r="M485" s="676" t="inlineStr">
        <is>
          <t>Redevances et cotisations</t>
        </is>
      </c>
      <c r="N485" s="677" t="n"/>
      <c r="O485" s="678" t="n"/>
      <c r="P485" s="678" t="n"/>
      <c r="Q485" s="672" t="inlineStr">
        <is>
          <t>RECONDUCTIBLE</t>
        </is>
      </c>
      <c r="R485" s="679" t="n">
        <v>45981</v>
      </c>
      <c r="S485" s="680" t="n">
        <v>47457</v>
      </c>
      <c r="T485" s="681" t="inlineStr">
        <is>
          <t>ARRIBAT TECHNOLOGY</t>
        </is>
      </c>
      <c r="U485" s="672" t="n">
        <v>2025</v>
      </c>
      <c r="V485" s="680" t="n"/>
      <c r="W485" s="680" t="n"/>
      <c r="X485" s="680" t="n">
        <v>45981</v>
      </c>
      <c r="Y485" s="677" t="n">
        <v>150080</v>
      </c>
      <c r="Z485" s="678" t="n">
        <v>0</v>
      </c>
      <c r="AA485" s="678" t="n">
        <v>180096</v>
      </c>
      <c r="AB485" s="678" t="n">
        <v>0</v>
      </c>
      <c r="AC485" s="678" t="n">
        <v>150080</v>
      </c>
      <c r="AD485" s="678" t="n">
        <v>180096</v>
      </c>
      <c r="AE485" s="682" t="inlineStr">
        <is>
          <t>ENGAGE</t>
        </is>
      </c>
      <c r="AF485" s="681" t="n"/>
      <c r="AG485" s="678" t="n"/>
      <c r="AH485" s="678" t="n"/>
      <c r="AI485" s="678" t="n"/>
      <c r="AJ485" s="678" t="n"/>
      <c r="AK485" s="683" t="n"/>
      <c r="AL485" s="683" t="n"/>
      <c r="AM485" s="681" t="n"/>
    </row>
    <row r="486" ht="38.40000000000001" customHeight="1" s="392">
      <c r="A486" s="672" t="n">
        <v>2025</v>
      </c>
      <c r="B486" s="673" t="inlineStr">
        <is>
          <t>DPMG</t>
        </is>
      </c>
      <c r="C486" s="673" t="inlineStr">
        <is>
          <t>RECONDUCTIBLE</t>
        </is>
      </c>
      <c r="D486" s="672" t="inlineStr">
        <is>
          <t>CONTRAT</t>
        </is>
      </c>
      <c r="E486" s="672" t="n">
        <v>1</v>
      </c>
      <c r="F486" s="674" t="inlineStr">
        <is>
          <t xml:space="preserve">L'achat de carburant par "carbucarte" à lecture électronique pour les véhicules de la SNRT </t>
        </is>
      </c>
      <c r="G486" s="675" t="inlineStr">
        <is>
          <t>VALIDE</t>
        </is>
      </c>
      <c r="H486" s="672" t="inlineStr">
        <is>
          <t>APPROUVE</t>
        </is>
      </c>
      <c r="I486" s="672" t="inlineStr">
        <is>
          <t>Convention N° 392CT/SNRT/2025</t>
        </is>
      </c>
      <c r="J486" s="675" t="inlineStr">
        <is>
          <t>NON CONCERNE</t>
        </is>
      </c>
      <c r="K486" s="672" t="inlineStr">
        <is>
          <t>Ordinaire</t>
        </is>
      </c>
      <c r="L486" s="676" t="inlineStr">
        <is>
          <t>FONCTIONNEMENT</t>
        </is>
      </c>
      <c r="M486" s="676" t="inlineStr">
        <is>
          <t>Achats non stockés de matières et fournitures</t>
        </is>
      </c>
      <c r="N486" s="677" t="n"/>
      <c r="O486" s="678" t="n"/>
      <c r="P486" s="678" t="n"/>
      <c r="Q486" s="672" t="inlineStr">
        <is>
          <t>RECONDUCTIBLE</t>
        </is>
      </c>
      <c r="R486" s="679" t="n">
        <v>45761</v>
      </c>
      <c r="S486" s="680" t="n">
        <v>46856</v>
      </c>
      <c r="T486" s="681" t="inlineStr">
        <is>
          <t>AFRIQUIA SMDC</t>
        </is>
      </c>
      <c r="U486" s="672" t="n">
        <v>2025</v>
      </c>
      <c r="V486" s="680" t="n"/>
      <c r="W486" s="680" t="n"/>
      <c r="X486" s="680" t="n"/>
      <c r="Y486" s="677" t="n">
        <v>8891000</v>
      </c>
      <c r="Z486" s="678" t="n">
        <v>0</v>
      </c>
      <c r="AA486" s="678" t="n">
        <v>9780100</v>
      </c>
      <c r="AB486" s="678" t="n">
        <v>0</v>
      </c>
      <c r="AC486" s="678" t="n">
        <v>8891000</v>
      </c>
      <c r="AD486" s="678">
        <f>AA486</f>
        <v/>
      </c>
      <c r="AE486" s="682" t="inlineStr">
        <is>
          <t>ENGAGE</t>
        </is>
      </c>
      <c r="AF486" s="681" t="n"/>
      <c r="AG486" s="678" t="n"/>
      <c r="AH486" s="678" t="n"/>
      <c r="AI486" s="678" t="n"/>
      <c r="AJ486" s="678" t="n"/>
      <c r="AK486" s="683" t="n"/>
      <c r="AL486" s="683" t="n"/>
      <c r="AM486" s="681" t="n"/>
    </row>
    <row r="487" ht="87" customHeight="1" s="392">
      <c r="A487" s="672" t="n">
        <v>2025</v>
      </c>
      <c r="B487" s="673" t="inlineStr">
        <is>
          <t>DPMG</t>
        </is>
      </c>
      <c r="C487" s="673" t="inlineStr">
        <is>
          <t>RECONDUCTIBLE</t>
        </is>
      </c>
      <c r="D487" s="672" t="inlineStr">
        <is>
          <t>CONTRAT</t>
        </is>
      </c>
      <c r="E487" s="672" t="n">
        <v>1</v>
      </c>
      <c r="F487" s="674" t="inlineStr">
        <is>
          <t>La couverture en termes d'assurance multirisque automobile pour l'ensemble du Par Auto de la SNRT Contrat N° FL 11202102045593/01/2025 + Assurance des nouveaux tracteurs acquis, ainsi les tracteurs en cours d'acquisition par la Direction technique.</t>
        </is>
      </c>
      <c r="G487" s="675" t="inlineStr">
        <is>
          <t>VALIDE</t>
        </is>
      </c>
      <c r="H487" s="672" t="inlineStr">
        <is>
          <t>APPROUVE</t>
        </is>
      </c>
      <c r="I487" s="672" t="inlineStr">
        <is>
          <t>FL 11202102045593/01/2025</t>
        </is>
      </c>
      <c r="J487" s="675" t="inlineStr">
        <is>
          <t>NON CONCERNE</t>
        </is>
      </c>
      <c r="K487" s="672" t="inlineStr">
        <is>
          <t>Ordinaire</t>
        </is>
      </c>
      <c r="L487" s="676" t="inlineStr">
        <is>
          <t>FONCTIONNEMENT</t>
        </is>
      </c>
      <c r="M487" s="676" t="inlineStr">
        <is>
          <t>Entretien, réparation et assurance</t>
        </is>
      </c>
      <c r="N487" s="677" t="n"/>
      <c r="O487" s="678" t="n"/>
      <c r="P487" s="678" t="n"/>
      <c r="Q487" s="672" t="inlineStr">
        <is>
          <t>RECONDUCTIBLE</t>
        </is>
      </c>
      <c r="R487" s="679" t="n">
        <v>45658</v>
      </c>
      <c r="S487" s="680" t="n">
        <v>47118</v>
      </c>
      <c r="T487" s="681" t="inlineStr">
        <is>
          <t>SANLAM</t>
        </is>
      </c>
      <c r="U487" s="672" t="n">
        <v>2025</v>
      </c>
      <c r="V487" s="680" t="n"/>
      <c r="W487" s="680" t="n"/>
      <c r="X487" s="680" t="n"/>
      <c r="Y487" s="677" t="n"/>
      <c r="Z487" s="678" t="n">
        <v>0</v>
      </c>
      <c r="AA487" s="678" t="n">
        <v>400000</v>
      </c>
      <c r="AB487" s="678" t="n">
        <v>0</v>
      </c>
      <c r="AC487" s="678" t="n"/>
      <c r="AD487" s="678">
        <f>AA487</f>
        <v/>
      </c>
      <c r="AE487" s="682" t="inlineStr">
        <is>
          <t>ENGAGE</t>
        </is>
      </c>
      <c r="AF487" s="681" t="n"/>
      <c r="AG487" s="678" t="n"/>
      <c r="AH487" s="678" t="n"/>
      <c r="AI487" s="678" t="n"/>
      <c r="AJ487" s="678" t="n"/>
      <c r="AK487" s="683" t="n"/>
      <c r="AL487" s="683" t="n"/>
      <c r="AM487" s="681" t="n"/>
    </row>
    <row r="488" ht="54.6" customHeight="1" s="392">
      <c r="A488" s="672" t="inlineStr">
        <is>
          <t>-</t>
        </is>
      </c>
      <c r="B488" s="673" t="inlineStr">
        <is>
          <t>DPMG</t>
        </is>
      </c>
      <c r="C488" s="673" t="inlineStr">
        <is>
          <t>RECONDUCTIBLE</t>
        </is>
      </c>
      <c r="D488" s="672" t="inlineStr">
        <is>
          <t>CONTRAT</t>
        </is>
      </c>
      <c r="E488" s="672" t="n">
        <v>1</v>
      </c>
      <c r="F488" s="674" t="inlineStr">
        <is>
          <t>L’abonnement d’accès des données de traçabilité en ligne de la flotte automobile SNRT avec boitiers GPS  + acquisition des boitier pour les nouveaux véhicules</t>
        </is>
      </c>
      <c r="G488" s="675" t="inlineStr">
        <is>
          <t>VALIDE</t>
        </is>
      </c>
      <c r="H488" s="672" t="inlineStr">
        <is>
          <t>APPROUVE</t>
        </is>
      </c>
      <c r="I488" s="691" t="n"/>
      <c r="J488" s="675" t="inlineStr">
        <is>
          <t>NON CONCERNE</t>
        </is>
      </c>
      <c r="K488" s="672" t="inlineStr">
        <is>
          <t>Ordinaire</t>
        </is>
      </c>
      <c r="L488" s="676" t="inlineStr">
        <is>
          <t>FONCTIONNEMENT</t>
        </is>
      </c>
      <c r="M488" s="676" t="inlineStr">
        <is>
          <t>Redevances et cotisations</t>
        </is>
      </c>
      <c r="N488" s="677" t="n"/>
      <c r="O488" s="678" t="n"/>
      <c r="P488" s="678" t="n"/>
      <c r="Q488" s="672" t="inlineStr">
        <is>
          <t>RECONDUCTIBLE</t>
        </is>
      </c>
      <c r="R488" s="679" t="n"/>
      <c r="S488" s="680" t="n"/>
      <c r="T488" s="681" t="inlineStr">
        <is>
          <t>ARRIBAT TECHNOLOGY</t>
        </is>
      </c>
      <c r="U488" s="672" t="n">
        <v>2025</v>
      </c>
      <c r="V488" s="680" t="n"/>
      <c r="W488" s="680" t="n"/>
      <c r="X488" s="680" t="n"/>
      <c r="Y488" s="677" t="n"/>
      <c r="Z488" s="678" t="n">
        <v>0</v>
      </c>
      <c r="AA488" s="678" t="n">
        <v>1100000</v>
      </c>
      <c r="AB488" s="678" t="n">
        <v>0</v>
      </c>
      <c r="AC488" s="678" t="n"/>
      <c r="AD488" s="678">
        <f>AA488</f>
        <v/>
      </c>
      <c r="AE488" s="682" t="inlineStr">
        <is>
          <t>ENGAGE</t>
        </is>
      </c>
      <c r="AF488" s="681" t="n"/>
      <c r="AG488" s="678" t="n"/>
      <c r="AH488" s="678" t="n"/>
      <c r="AI488" s="678" t="n"/>
      <c r="AJ488" s="678" t="n"/>
      <c r="AK488" s="683" t="n"/>
      <c r="AL488" s="683" t="n"/>
      <c r="AM488" s="681" t="n"/>
    </row>
    <row r="489" ht="38.40000000000001" customHeight="1" s="392">
      <c r="A489" s="672" t="inlineStr">
        <is>
          <t>-</t>
        </is>
      </c>
      <c r="B489" s="673" t="inlineStr">
        <is>
          <t>DPMG</t>
        </is>
      </c>
      <c r="C489" s="673" t="inlineStr">
        <is>
          <t>RECONDUCTIBLE</t>
        </is>
      </c>
      <c r="D489" s="672" t="inlineStr">
        <is>
          <t>CONTRAT</t>
        </is>
      </c>
      <c r="E489" s="672" t="n"/>
      <c r="F489" s="674" t="inlineStr">
        <is>
          <t xml:space="preserve">Acquisition et Recharge des Tags télépéage par la SNRT (JAWAZ) </t>
        </is>
      </c>
      <c r="G489" s="675" t="inlineStr">
        <is>
          <t>VALIDE</t>
        </is>
      </c>
      <c r="H489" s="672" t="inlineStr">
        <is>
          <t>APPROUVE</t>
        </is>
      </c>
      <c r="I489" s="672" t="inlineStr">
        <is>
          <t>Convention N°52/18/S</t>
        </is>
      </c>
      <c r="J489" s="675" t="inlineStr">
        <is>
          <t>NON CONCERNE</t>
        </is>
      </c>
      <c r="K489" s="672" t="inlineStr">
        <is>
          <t>Ordinaire</t>
        </is>
      </c>
      <c r="L489" s="676" t="inlineStr">
        <is>
          <t>FONCTIONNEMENT</t>
        </is>
      </c>
      <c r="M489" s="676" t="inlineStr">
        <is>
          <t>Déplacements, missions et réceptions</t>
        </is>
      </c>
      <c r="N489" s="677" t="n"/>
      <c r="O489" s="678" t="n"/>
      <c r="P489" s="678" t="n"/>
      <c r="Q489" s="672" t="inlineStr">
        <is>
          <t>RECONDUCTIBLE</t>
        </is>
      </c>
      <c r="R489" s="679" t="n"/>
      <c r="S489" s="680" t="n"/>
      <c r="T489" s="681" t="inlineStr">
        <is>
          <t>ADM</t>
        </is>
      </c>
      <c r="U489" s="672" t="n"/>
      <c r="V489" s="680" t="n"/>
      <c r="W489" s="680" t="n"/>
      <c r="X489" s="680" t="n"/>
      <c r="Y489" s="677" t="n"/>
      <c r="Z489" s="678" t="n">
        <v>0</v>
      </c>
      <c r="AA489" s="678" t="n">
        <v>1200000</v>
      </c>
      <c r="AB489" s="678" t="n">
        <v>0</v>
      </c>
      <c r="AC489" s="678" t="n"/>
      <c r="AD489" s="678">
        <f>AA489</f>
        <v/>
      </c>
      <c r="AE489" s="682" t="inlineStr">
        <is>
          <t>ENGAGE</t>
        </is>
      </c>
      <c r="AF489" s="681" t="n"/>
      <c r="AG489" s="678" t="n"/>
      <c r="AH489" s="678" t="n"/>
      <c r="AI489" s="678" t="n"/>
      <c r="AJ489" s="678" t="n"/>
      <c r="AK489" s="683" t="n"/>
      <c r="AL489" s="683" t="n"/>
      <c r="AM489" s="681" t="n"/>
    </row>
    <row r="490" ht="32" customHeight="1" s="392">
      <c r="A490" s="672" t="inlineStr">
        <is>
          <t>-</t>
        </is>
      </c>
      <c r="B490" s="673" t="inlineStr">
        <is>
          <t>DPMG</t>
        </is>
      </c>
      <c r="C490" s="673" t="inlineStr">
        <is>
          <t>RECONDUCTIBLE</t>
        </is>
      </c>
      <c r="D490" s="672" t="inlineStr">
        <is>
          <t>CONTRAT</t>
        </is>
      </c>
      <c r="E490" s="672" t="n">
        <v>1</v>
      </c>
      <c r="F490" s="674" t="inlineStr">
        <is>
          <t xml:space="preserve">Contrat de la boite postale </t>
        </is>
      </c>
      <c r="G490" s="675" t="inlineStr">
        <is>
          <t>VALIDE</t>
        </is>
      </c>
      <c r="H490" s="672" t="inlineStr">
        <is>
          <t>APPROUVE</t>
        </is>
      </c>
      <c r="I490" s="691" t="n"/>
      <c r="J490" s="675" t="inlineStr">
        <is>
          <t>NON CONCERNE</t>
        </is>
      </c>
      <c r="K490" s="672" t="inlineStr">
        <is>
          <t>Ordinaire</t>
        </is>
      </c>
      <c r="L490" s="676" t="inlineStr">
        <is>
          <t>FONCTIONNEMENT</t>
        </is>
      </c>
      <c r="M490" s="676" t="inlineStr">
        <is>
          <t>Autres charges de fonctionnement</t>
        </is>
      </c>
      <c r="N490" s="677" t="n"/>
      <c r="O490" s="678" t="n"/>
      <c r="P490" s="678" t="n"/>
      <c r="Q490" s="672" t="inlineStr">
        <is>
          <t>RECONDUCTIBLE</t>
        </is>
      </c>
      <c r="R490" s="679" t="n"/>
      <c r="S490" s="680" t="n"/>
      <c r="T490" s="681" t="n"/>
      <c r="U490" s="672" t="n"/>
      <c r="V490" s="680" t="n"/>
      <c r="W490" s="680" t="n"/>
      <c r="X490" s="680" t="n"/>
      <c r="Y490" s="677" t="n"/>
      <c r="Z490" s="678" t="n">
        <v>0</v>
      </c>
      <c r="AA490" s="678" t="n">
        <v>318</v>
      </c>
      <c r="AB490" s="678" t="n">
        <v>0</v>
      </c>
      <c r="AC490" s="678" t="n"/>
      <c r="AD490" s="678">
        <f>+AA490</f>
        <v/>
      </c>
      <c r="AE490" s="682" t="inlineStr">
        <is>
          <t>ENGAGE</t>
        </is>
      </c>
      <c r="AF490" s="681" t="n"/>
      <c r="AG490" s="678" t="n"/>
      <c r="AH490" s="678" t="n"/>
      <c r="AI490" s="678" t="n"/>
      <c r="AJ490" s="678" t="n"/>
      <c r="AK490" s="683" t="n"/>
      <c r="AL490" s="683" t="n"/>
      <c r="AM490" s="681" t="n"/>
    </row>
    <row r="491" ht="54.6" customHeight="1" s="392">
      <c r="A491" s="672" t="inlineStr">
        <is>
          <t>-</t>
        </is>
      </c>
      <c r="B491" s="673" t="inlineStr">
        <is>
          <t>DPMG</t>
        </is>
      </c>
      <c r="C491" s="673" t="inlineStr">
        <is>
          <t>RECONDUCTIBLE</t>
        </is>
      </c>
      <c r="D491" s="672" t="inlineStr">
        <is>
          <t>CONTRAT</t>
        </is>
      </c>
      <c r="E491" s="672" t="n">
        <v>1</v>
      </c>
      <c r="F491" s="674" t="inlineStr">
        <is>
          <t>Couverture en termes d’assurance pour le bris de machine concernant les régies montées sur véhicules roulants – Contrat N° 0302220000247</t>
        </is>
      </c>
      <c r="G491" s="675" t="inlineStr">
        <is>
          <t>VALIDE</t>
        </is>
      </c>
      <c r="H491" s="672" t="inlineStr">
        <is>
          <t>APPROUVE</t>
        </is>
      </c>
      <c r="I491" s="672" t="n">
        <v>302220000247</v>
      </c>
      <c r="J491" s="675" t="inlineStr">
        <is>
          <t>NON CONCERNE</t>
        </is>
      </c>
      <c r="K491" s="672" t="inlineStr">
        <is>
          <t>Ordinaire</t>
        </is>
      </c>
      <c r="L491" s="676" t="inlineStr">
        <is>
          <t>FONCTIONNEMENT</t>
        </is>
      </c>
      <c r="M491" s="676" t="inlineStr">
        <is>
          <t>Entretien, réparation et assurance</t>
        </is>
      </c>
      <c r="N491" s="677" t="n"/>
      <c r="O491" s="678" t="n"/>
      <c r="P491" s="678" t="n"/>
      <c r="Q491" s="672" t="inlineStr">
        <is>
          <t>RECONDUCTIBLE</t>
        </is>
      </c>
      <c r="R491" s="679" t="n"/>
      <c r="S491" s="680" t="n"/>
      <c r="T491" s="681" t="n"/>
      <c r="U491" s="672" t="n"/>
      <c r="V491" s="680" t="n"/>
      <c r="W491" s="680" t="n"/>
      <c r="X491" s="680" t="n"/>
      <c r="Y491" s="677" t="n"/>
      <c r="Z491" s="678" t="n">
        <v>0</v>
      </c>
      <c r="AA491" s="678" t="n">
        <v>5000000</v>
      </c>
      <c r="AB491" s="678" t="n">
        <v>0</v>
      </c>
      <c r="AC491" s="678" t="n"/>
      <c r="AD491" s="678">
        <f>+AA491</f>
        <v/>
      </c>
      <c r="AE491" s="682" t="inlineStr">
        <is>
          <t>ENGAGE</t>
        </is>
      </c>
      <c r="AF491" s="681" t="n"/>
      <c r="AG491" s="678" t="n"/>
      <c r="AH491" s="678" t="n"/>
      <c r="AI491" s="678" t="n"/>
      <c r="AJ491" s="678" t="n"/>
      <c r="AK491" s="683" t="n"/>
      <c r="AL491" s="683" t="n"/>
      <c r="AM491" s="681" t="n"/>
    </row>
    <row r="492" ht="32" customHeight="1" s="392">
      <c r="A492" s="672" t="inlineStr">
        <is>
          <t>-</t>
        </is>
      </c>
      <c r="B492" s="673" t="inlineStr">
        <is>
          <t>DPMG</t>
        </is>
      </c>
      <c r="C492" s="673" t="inlineStr">
        <is>
          <t>RECONDUCTIBLE</t>
        </is>
      </c>
      <c r="D492" s="672" t="inlineStr">
        <is>
          <t>CONTRAT</t>
        </is>
      </c>
      <c r="E492" s="672" t="n">
        <v>1</v>
      </c>
      <c r="F492" s="674" t="inlineStr">
        <is>
          <t>Contrat Barid el Maghreb - Contrat N° 07/2020 BP</t>
        </is>
      </c>
      <c r="G492" s="675" t="inlineStr">
        <is>
          <t>VALIDE</t>
        </is>
      </c>
      <c r="H492" s="672" t="inlineStr">
        <is>
          <t>APPROUVE</t>
        </is>
      </c>
      <c r="I492" s="672" t="inlineStr">
        <is>
          <t>07/2020 BP</t>
        </is>
      </c>
      <c r="J492" s="675" t="inlineStr">
        <is>
          <t>NON CONCERNE</t>
        </is>
      </c>
      <c r="K492" s="672" t="inlineStr">
        <is>
          <t>Ordinaire</t>
        </is>
      </c>
      <c r="L492" s="676" t="inlineStr">
        <is>
          <t>FONCTIONNEMENT</t>
        </is>
      </c>
      <c r="M492" s="676" t="inlineStr">
        <is>
          <t>Autres charges de fonctionnement</t>
        </is>
      </c>
      <c r="N492" s="677" t="n"/>
      <c r="O492" s="678" t="n"/>
      <c r="P492" s="678" t="n"/>
      <c r="Q492" s="672" t="inlineStr">
        <is>
          <t>RECONDUCTIBLE</t>
        </is>
      </c>
      <c r="R492" s="679" t="n"/>
      <c r="S492" s="680" t="n"/>
      <c r="T492" s="681" t="n"/>
      <c r="U492" s="672" t="n"/>
      <c r="V492" s="680" t="n"/>
      <c r="W492" s="680" t="n"/>
      <c r="X492" s="680" t="n"/>
      <c r="Y492" s="677" t="n"/>
      <c r="Z492" s="678" t="n">
        <v>0</v>
      </c>
      <c r="AA492" s="678" t="n">
        <v>70000</v>
      </c>
      <c r="AB492" s="678" t="n">
        <v>0</v>
      </c>
      <c r="AC492" s="678" t="n"/>
      <c r="AD492" s="678">
        <f>+AA492</f>
        <v/>
      </c>
      <c r="AE492" s="682" t="inlineStr">
        <is>
          <t>ENGAGE</t>
        </is>
      </c>
      <c r="AF492" s="681" t="n"/>
      <c r="AG492" s="678" t="n"/>
      <c r="AH492" s="678" t="n"/>
      <c r="AI492" s="678" t="n"/>
      <c r="AJ492" s="678" t="n"/>
      <c r="AK492" s="683" t="n"/>
      <c r="AL492" s="683" t="n"/>
      <c r="AM492" s="681" t="n"/>
    </row>
    <row r="493" ht="32" customHeight="1" s="392">
      <c r="A493" s="672" t="inlineStr">
        <is>
          <t>-</t>
        </is>
      </c>
      <c r="B493" s="673" t="inlineStr">
        <is>
          <t>DPMG</t>
        </is>
      </c>
      <c r="C493" s="673" t="inlineStr">
        <is>
          <t>RECONDUCTIBLE</t>
        </is>
      </c>
      <c r="D493" s="672" t="inlineStr">
        <is>
          <t>CONTRAT</t>
        </is>
      </c>
      <c r="E493" s="672" t="n">
        <v>1</v>
      </c>
      <c r="F493" s="674" t="inlineStr">
        <is>
          <t>Contrat d'AMANA  -  Contrat N° CL03733</t>
        </is>
      </c>
      <c r="G493" s="675" t="inlineStr">
        <is>
          <t>VALIDE</t>
        </is>
      </c>
      <c r="H493" s="672" t="inlineStr">
        <is>
          <t>APPROUVE</t>
        </is>
      </c>
      <c r="I493" s="672" t="inlineStr">
        <is>
          <t>CL03733</t>
        </is>
      </c>
      <c r="J493" s="675" t="inlineStr">
        <is>
          <t>NON CONCERNE</t>
        </is>
      </c>
      <c r="K493" s="672" t="inlineStr">
        <is>
          <t>Ordinaire</t>
        </is>
      </c>
      <c r="L493" s="676" t="inlineStr">
        <is>
          <t>FONCTIONNEMENT</t>
        </is>
      </c>
      <c r="M493" s="676" t="inlineStr">
        <is>
          <t>Autres charges de fonctionnement</t>
        </is>
      </c>
      <c r="N493" s="677" t="n"/>
      <c r="O493" s="678" t="n"/>
      <c r="P493" s="678" t="n"/>
      <c r="Q493" s="672" t="inlineStr">
        <is>
          <t>RECONDUCTIBLE</t>
        </is>
      </c>
      <c r="R493" s="679" t="n"/>
      <c r="S493" s="680" t="n"/>
      <c r="T493" s="681" t="n"/>
      <c r="U493" s="672" t="n"/>
      <c r="V493" s="680" t="n"/>
      <c r="W493" s="680" t="n"/>
      <c r="X493" s="680" t="n"/>
      <c r="Y493" s="677" t="n"/>
      <c r="Z493" s="678" t="n">
        <v>0</v>
      </c>
      <c r="AA493" s="678" t="n">
        <v>5000</v>
      </c>
      <c r="AB493" s="678" t="n">
        <v>0</v>
      </c>
      <c r="AC493" s="678" t="n"/>
      <c r="AD493" s="678">
        <f>+AA493</f>
        <v/>
      </c>
      <c r="AE493" s="682" t="inlineStr">
        <is>
          <t>ENGAGE</t>
        </is>
      </c>
      <c r="AF493" s="681" t="n"/>
      <c r="AG493" s="678" t="n"/>
      <c r="AH493" s="678" t="n"/>
      <c r="AI493" s="678" t="n"/>
      <c r="AJ493" s="678" t="n"/>
      <c r="AK493" s="683" t="n"/>
      <c r="AL493" s="683" t="n"/>
      <c r="AM493" s="681" t="n"/>
    </row>
    <row r="494" ht="38.40000000000001" customHeight="1" s="392">
      <c r="A494" s="672" t="inlineStr">
        <is>
          <t>-</t>
        </is>
      </c>
      <c r="B494" s="673" t="inlineStr">
        <is>
          <t>DPMG</t>
        </is>
      </c>
      <c r="C494" s="673" t="inlineStr">
        <is>
          <t>RECONDUCTIBLE</t>
        </is>
      </c>
      <c r="D494" s="672" t="inlineStr">
        <is>
          <t>CONTRAT</t>
        </is>
      </c>
      <c r="E494" s="672" t="n">
        <v>1</v>
      </c>
      <c r="F494" s="674" t="inlineStr">
        <is>
          <t>Contrat d'acquisition billeterie Aérienne -  Convention N° 505CT/SNRT/2024</t>
        </is>
      </c>
      <c r="G494" s="675" t="inlineStr">
        <is>
          <t>VALIDE</t>
        </is>
      </c>
      <c r="H494" s="672" t="inlineStr">
        <is>
          <t>APPROUVE</t>
        </is>
      </c>
      <c r="I494" s="672" t="inlineStr">
        <is>
          <t>505CT/SNRT/2024</t>
        </is>
      </c>
      <c r="J494" s="675" t="inlineStr">
        <is>
          <t>NON CONCERNE</t>
        </is>
      </c>
      <c r="K494" s="672" t="inlineStr">
        <is>
          <t>Ordinaire</t>
        </is>
      </c>
      <c r="L494" s="676" t="inlineStr">
        <is>
          <t>FONCTIONNEMENT</t>
        </is>
      </c>
      <c r="M494" s="676" t="inlineStr">
        <is>
          <t>Déplacements, missions et réceptions</t>
        </is>
      </c>
      <c r="N494" s="677" t="n"/>
      <c r="O494" s="678" t="n"/>
      <c r="P494" s="678" t="n"/>
      <c r="Q494" s="672" t="inlineStr">
        <is>
          <t>RECONDUCTIBLE</t>
        </is>
      </c>
      <c r="R494" s="679" t="n"/>
      <c r="S494" s="680" t="n"/>
      <c r="T494" s="681" t="n"/>
      <c r="U494" s="672" t="n"/>
      <c r="V494" s="680" t="n"/>
      <c r="W494" s="680" t="n"/>
      <c r="X494" s="680" t="n"/>
      <c r="Y494" s="677" t="n"/>
      <c r="Z494" s="678" t="n">
        <v>0</v>
      </c>
      <c r="AA494" s="678" t="n">
        <v>4000000</v>
      </c>
      <c r="AB494" s="678" t="n">
        <v>0</v>
      </c>
      <c r="AC494" s="678" t="n"/>
      <c r="AD494" s="678">
        <f>+AA494</f>
        <v/>
      </c>
      <c r="AE494" s="682" t="inlineStr">
        <is>
          <t>ENGAGE</t>
        </is>
      </c>
      <c r="AF494" s="681" t="n"/>
      <c r="AG494" s="678" t="n"/>
      <c r="AH494" s="678" t="n"/>
      <c r="AI494" s="678" t="n"/>
      <c r="AJ494" s="678" t="n"/>
      <c r="AK494" s="683" t="n"/>
      <c r="AL494" s="683" t="n"/>
      <c r="AM494" s="681" t="n"/>
    </row>
    <row r="495" ht="32" customHeight="1" s="392">
      <c r="A495" s="672" t="inlineStr">
        <is>
          <t>-</t>
        </is>
      </c>
      <c r="B495" s="673" t="inlineStr">
        <is>
          <t>DPMG</t>
        </is>
      </c>
      <c r="C495" s="673" t="inlineStr">
        <is>
          <t>RECONDUCTIBLE</t>
        </is>
      </c>
      <c r="D495" s="672" t="inlineStr">
        <is>
          <t>CONTRAT</t>
        </is>
      </c>
      <c r="E495" s="672" t="n">
        <v>1</v>
      </c>
      <c r="F495" s="674" t="inlineStr">
        <is>
          <t>Assurance multirisque professionnelle</t>
        </is>
      </c>
      <c r="G495" s="675" t="inlineStr">
        <is>
          <t>VALIDE</t>
        </is>
      </c>
      <c r="H495" s="672" t="inlineStr">
        <is>
          <t>APPROUVE</t>
        </is>
      </c>
      <c r="I495" s="691" t="n"/>
      <c r="J495" s="675" t="inlineStr">
        <is>
          <t>NON CONCERNE</t>
        </is>
      </c>
      <c r="K495" s="672" t="inlineStr">
        <is>
          <t>Ordinaire</t>
        </is>
      </c>
      <c r="L495" s="676" t="inlineStr">
        <is>
          <t>FONCTIONNEMENT</t>
        </is>
      </c>
      <c r="M495" s="676" t="inlineStr">
        <is>
          <t>Entretien, réparation et assurance</t>
        </is>
      </c>
      <c r="N495" s="677" t="n"/>
      <c r="O495" s="678" t="n"/>
      <c r="P495" s="678" t="n"/>
      <c r="Q495" s="672" t="inlineStr">
        <is>
          <t>RECONDUCTIBLE</t>
        </is>
      </c>
      <c r="R495" s="679" t="n"/>
      <c r="S495" s="680" t="n"/>
      <c r="T495" s="681" t="n"/>
      <c r="U495" s="672" t="n"/>
      <c r="V495" s="680" t="n"/>
      <c r="W495" s="680" t="n"/>
      <c r="X495" s="680" t="n"/>
      <c r="Y495" s="677" t="n"/>
      <c r="Z495" s="678" t="n">
        <v>0</v>
      </c>
      <c r="AA495" s="678" t="n">
        <v>900000</v>
      </c>
      <c r="AB495" s="678" t="n">
        <v>0</v>
      </c>
      <c r="AC495" s="678" t="n"/>
      <c r="AD495" s="678">
        <f>+AA495</f>
        <v/>
      </c>
      <c r="AE495" s="682" t="inlineStr">
        <is>
          <t>ENGAGE</t>
        </is>
      </c>
      <c r="AF495" s="681" t="n"/>
      <c r="AG495" s="678" t="n"/>
      <c r="AH495" s="678" t="n"/>
      <c r="AI495" s="678" t="n"/>
      <c r="AJ495" s="678" t="n"/>
      <c r="AK495" s="683" t="n"/>
      <c r="AL495" s="683" t="n"/>
      <c r="AM495" s="681" t="n"/>
    </row>
    <row r="496" ht="50.55" customHeight="1" s="392">
      <c r="A496" s="672" t="inlineStr">
        <is>
          <t>-</t>
        </is>
      </c>
      <c r="B496" s="673" t="inlineStr">
        <is>
          <t>DPMG</t>
        </is>
      </c>
      <c r="C496" s="673" t="inlineStr">
        <is>
          <t>RECONDUCTIBLE</t>
        </is>
      </c>
      <c r="D496" s="672" t="inlineStr">
        <is>
          <t>CONTRAT</t>
        </is>
      </c>
      <c r="E496" s="672" t="n">
        <v>1</v>
      </c>
      <c r="F496" s="674" t="inlineStr">
        <is>
          <t>Parking Twin center DRPSD</t>
        </is>
      </c>
      <c r="G496" s="675" t="inlineStr">
        <is>
          <t>VALIDE</t>
        </is>
      </c>
      <c r="H496" s="672" t="inlineStr">
        <is>
          <t>APPROUVE</t>
        </is>
      </c>
      <c r="I496" s="691" t="n"/>
      <c r="J496" s="675" t="inlineStr">
        <is>
          <t>NON CONCERNE</t>
        </is>
      </c>
      <c r="K496" s="672" t="inlineStr">
        <is>
          <t>Ordinaire</t>
        </is>
      </c>
      <c r="L496" s="676" t="inlineStr">
        <is>
          <t>FONCTIONNEMENT</t>
        </is>
      </c>
      <c r="M496" s="676" t="inlineStr">
        <is>
          <t>Prestations de service
Achat prestations de services locales - sociétés</t>
        </is>
      </c>
      <c r="N496" s="677" t="n"/>
      <c r="O496" s="678" t="n"/>
      <c r="P496" s="678" t="n"/>
      <c r="Q496" s="672" t="inlineStr">
        <is>
          <t>RECONDUCTIBLE</t>
        </is>
      </c>
      <c r="R496" s="679" t="n"/>
      <c r="S496" s="680" t="n"/>
      <c r="T496" s="681" t="n"/>
      <c r="U496" s="672" t="n"/>
      <c r="V496" s="680" t="n"/>
      <c r="W496" s="680" t="n"/>
      <c r="X496" s="680" t="n"/>
      <c r="Y496" s="677" t="n"/>
      <c r="Z496" s="678" t="n">
        <v>0</v>
      </c>
      <c r="AA496" s="678" t="n">
        <v>51000</v>
      </c>
      <c r="AB496" s="678" t="n">
        <v>0</v>
      </c>
      <c r="AC496" s="678" t="n"/>
      <c r="AD496" s="678">
        <f>+AA496</f>
        <v/>
      </c>
      <c r="AE496" s="682" t="inlineStr">
        <is>
          <t>ENGAGE</t>
        </is>
      </c>
      <c r="AF496" s="681" t="n"/>
      <c r="AG496" s="678" t="n"/>
      <c r="AH496" s="678" t="n"/>
      <c r="AI496" s="678" t="n"/>
      <c r="AJ496" s="678" t="n"/>
      <c r="AK496" s="683" t="n"/>
      <c r="AL496" s="683" t="n"/>
      <c r="AM496" s="681" t="n"/>
    </row>
    <row r="497" ht="32" customHeight="1" s="392">
      <c r="A497" s="672" t="inlineStr">
        <is>
          <t>-</t>
        </is>
      </c>
      <c r="B497" s="673" t="inlineStr">
        <is>
          <t>DPMG</t>
        </is>
      </c>
      <c r="C497" s="673" t="inlineStr">
        <is>
          <t>RECONDUCTIBLE</t>
        </is>
      </c>
      <c r="D497" s="672" t="inlineStr">
        <is>
          <t>CONTRAT</t>
        </is>
      </c>
      <c r="E497" s="672" t="n">
        <v>1</v>
      </c>
      <c r="F497" s="674" t="inlineStr">
        <is>
          <t>INWI</t>
        </is>
      </c>
      <c r="G497" s="675" t="inlineStr">
        <is>
          <t>VALIDE</t>
        </is>
      </c>
      <c r="H497" s="672" t="inlineStr">
        <is>
          <t>APPROUVE</t>
        </is>
      </c>
      <c r="I497" s="691" t="n"/>
      <c r="J497" s="675" t="inlineStr">
        <is>
          <t>NON CONCERNE</t>
        </is>
      </c>
      <c r="K497" s="672" t="inlineStr">
        <is>
          <t>Ordinaire</t>
        </is>
      </c>
      <c r="L497" s="676" t="inlineStr">
        <is>
          <t>FONCTIONNEMENT</t>
        </is>
      </c>
      <c r="M497" s="676" t="inlineStr">
        <is>
          <t>Autres charges de fonctionnement</t>
        </is>
      </c>
      <c r="N497" s="677" t="n"/>
      <c r="O497" s="678" t="n"/>
      <c r="P497" s="678" t="n"/>
      <c r="Q497" s="672" t="inlineStr">
        <is>
          <t>RECONDUCTIBLE</t>
        </is>
      </c>
      <c r="R497" s="679" t="n"/>
      <c r="S497" s="680" t="n"/>
      <c r="T497" s="681" t="n"/>
      <c r="U497" s="672" t="n"/>
      <c r="V497" s="680" t="n"/>
      <c r="W497" s="680" t="n"/>
      <c r="X497" s="680" t="n"/>
      <c r="Y497" s="677" t="n"/>
      <c r="Z497" s="678" t="n">
        <v>0</v>
      </c>
      <c r="AA497" s="678" t="n">
        <v>2934182.63</v>
      </c>
      <c r="AB497" s="678" t="n">
        <v>0</v>
      </c>
      <c r="AC497" s="678" t="n"/>
      <c r="AD497" s="678">
        <f>AA497</f>
        <v/>
      </c>
      <c r="AE497" s="682" t="inlineStr">
        <is>
          <t>ENGAGE</t>
        </is>
      </c>
      <c r="AF497" s="681" t="n"/>
      <c r="AG497" s="678" t="n"/>
      <c r="AH497" s="678" t="n"/>
      <c r="AI497" s="678" t="n"/>
      <c r="AJ497" s="678" t="n"/>
      <c r="AK497" s="683" t="n"/>
      <c r="AL497" s="683" t="n"/>
      <c r="AM497" s="681" t="n"/>
    </row>
    <row r="498" ht="32" customHeight="1" s="392">
      <c r="A498" s="672" t="inlineStr">
        <is>
          <t>-</t>
        </is>
      </c>
      <c r="B498" s="673" t="inlineStr">
        <is>
          <t>DPMG</t>
        </is>
      </c>
      <c r="C498" s="673" t="inlineStr">
        <is>
          <t>RECONDUCTIBLE</t>
        </is>
      </c>
      <c r="D498" s="672" t="inlineStr">
        <is>
          <t>CONTRAT</t>
        </is>
      </c>
      <c r="E498" s="672" t="n">
        <v>1</v>
      </c>
      <c r="F498" s="674" t="inlineStr">
        <is>
          <t>MAROC TELECOM</t>
        </is>
      </c>
      <c r="G498" s="675" t="inlineStr">
        <is>
          <t>VALIDE</t>
        </is>
      </c>
      <c r="H498" s="672" t="inlineStr">
        <is>
          <t>APPROUVE</t>
        </is>
      </c>
      <c r="I498" s="691" t="n"/>
      <c r="J498" s="675" t="inlineStr">
        <is>
          <t>NON CONCERNE</t>
        </is>
      </c>
      <c r="K498" s="672" t="inlineStr">
        <is>
          <t>Ordinaire</t>
        </is>
      </c>
      <c r="L498" s="676" t="inlineStr">
        <is>
          <t>FONCTIONNEMENT</t>
        </is>
      </c>
      <c r="M498" s="676" t="inlineStr">
        <is>
          <t>Autres charges de fonctionnement</t>
        </is>
      </c>
      <c r="N498" s="677" t="n"/>
      <c r="O498" s="678" t="n"/>
      <c r="P498" s="678" t="n"/>
      <c r="Q498" s="672" t="inlineStr">
        <is>
          <t>RECONDUCTIBLE</t>
        </is>
      </c>
      <c r="R498" s="679" t="n"/>
      <c r="S498" s="680" t="n"/>
      <c r="T498" s="681" t="n"/>
      <c r="U498" s="672" t="n"/>
      <c r="V498" s="680" t="n"/>
      <c r="W498" s="680" t="n"/>
      <c r="X498" s="680" t="n"/>
      <c r="Y498" s="677" t="n"/>
      <c r="Z498" s="678" t="n">
        <v>0</v>
      </c>
      <c r="AA498" s="678" t="n">
        <v>6602511.15</v>
      </c>
      <c r="AB498" s="678" t="n">
        <v>0</v>
      </c>
      <c r="AC498" s="678" t="n"/>
      <c r="AD498" s="678">
        <f>AA498</f>
        <v/>
      </c>
      <c r="AE498" s="682" t="inlineStr">
        <is>
          <t>ENGAGE</t>
        </is>
      </c>
      <c r="AF498" s="681" t="n"/>
      <c r="AG498" s="678" t="n"/>
      <c r="AH498" s="678" t="n"/>
      <c r="AI498" s="678" t="n"/>
      <c r="AJ498" s="678" t="n"/>
      <c r="AK498" s="683" t="n"/>
      <c r="AL498" s="683" t="n"/>
      <c r="AM498" s="681" t="n"/>
    </row>
    <row r="499" ht="32" customHeight="1" s="392">
      <c r="A499" s="672" t="inlineStr">
        <is>
          <t>-</t>
        </is>
      </c>
      <c r="B499" s="673" t="inlineStr">
        <is>
          <t>DPMG</t>
        </is>
      </c>
      <c r="C499" s="673" t="inlineStr">
        <is>
          <t>RECONDUCTIBLE</t>
        </is>
      </c>
      <c r="D499" s="672" t="inlineStr">
        <is>
          <t>CONTRAT</t>
        </is>
      </c>
      <c r="E499" s="672" t="n">
        <v>1</v>
      </c>
      <c r="F499" s="674" t="inlineStr">
        <is>
          <t>ORANGE</t>
        </is>
      </c>
      <c r="G499" s="675" t="inlineStr">
        <is>
          <t>VALIDE</t>
        </is>
      </c>
      <c r="H499" s="672" t="inlineStr">
        <is>
          <t>APPROUVE</t>
        </is>
      </c>
      <c r="I499" s="691" t="n"/>
      <c r="J499" s="675" t="inlineStr">
        <is>
          <t>NON CONCERNE</t>
        </is>
      </c>
      <c r="K499" s="672" t="inlineStr">
        <is>
          <t>Ordinaire</t>
        </is>
      </c>
      <c r="L499" s="676" t="inlineStr">
        <is>
          <t>FONCTIONNEMENT</t>
        </is>
      </c>
      <c r="M499" s="676" t="inlineStr">
        <is>
          <t>Autres charges de fonctionnement</t>
        </is>
      </c>
      <c r="N499" s="677" t="n"/>
      <c r="O499" s="678" t="n"/>
      <c r="P499" s="678" t="n"/>
      <c r="Q499" s="672" t="inlineStr">
        <is>
          <t>RECONDUCTIBLE</t>
        </is>
      </c>
      <c r="R499" s="679" t="n"/>
      <c r="S499" s="680" t="n"/>
      <c r="T499" s="681" t="n"/>
      <c r="U499" s="672" t="n"/>
      <c r="V499" s="680" t="n"/>
      <c r="W499" s="680" t="n"/>
      <c r="X499" s="680" t="n"/>
      <c r="Y499" s="677" t="n"/>
      <c r="Z499" s="678" t="n">
        <v>0</v>
      </c>
      <c r="AA499" s="678" t="n">
        <v>3806571</v>
      </c>
      <c r="AB499" s="678" t="n">
        <v>0</v>
      </c>
      <c r="AC499" s="678" t="n"/>
      <c r="AD499" s="678">
        <f>AA499</f>
        <v/>
      </c>
      <c r="AE499" s="682" t="inlineStr">
        <is>
          <t>ENGAGE</t>
        </is>
      </c>
      <c r="AF499" s="681" t="n"/>
      <c r="AG499" s="678" t="n"/>
      <c r="AH499" s="678" t="n"/>
      <c r="AI499" s="678" t="n"/>
      <c r="AJ499" s="678" t="n"/>
      <c r="AK499" s="683" t="n"/>
      <c r="AL499" s="683" t="n"/>
      <c r="AM499" s="681" t="n"/>
    </row>
    <row r="500" ht="32" customHeight="1" s="392">
      <c r="A500" s="672" t="inlineStr">
        <is>
          <t>-</t>
        </is>
      </c>
      <c r="B500" s="673" t="inlineStr">
        <is>
          <t>DPMG</t>
        </is>
      </c>
      <c r="C500" s="673" t="inlineStr">
        <is>
          <t>RECONDUCTIBLE</t>
        </is>
      </c>
      <c r="D500" s="672" t="inlineStr">
        <is>
          <t>CONTRAT</t>
        </is>
      </c>
      <c r="E500" s="672" t="n">
        <v>1</v>
      </c>
      <c r="F500" s="674" t="inlineStr">
        <is>
          <t>Occupation temporaire eaux et forets</t>
        </is>
      </c>
      <c r="G500" s="675" t="inlineStr">
        <is>
          <t>VALIDE</t>
        </is>
      </c>
      <c r="H500" s="672" t="inlineStr">
        <is>
          <t>APPROUVE</t>
        </is>
      </c>
      <c r="I500" s="691" t="n"/>
      <c r="J500" s="675" t="inlineStr">
        <is>
          <t>NON CONCERNE</t>
        </is>
      </c>
      <c r="K500" s="672" t="inlineStr">
        <is>
          <t>Ordinaire</t>
        </is>
      </c>
      <c r="L500" s="676" t="inlineStr">
        <is>
          <t>FONCTIONNEMENT</t>
        </is>
      </c>
      <c r="M500" s="676" t="inlineStr">
        <is>
          <t>Location</t>
        </is>
      </c>
      <c r="N500" s="677" t="n"/>
      <c r="O500" s="678" t="n"/>
      <c r="P500" s="678" t="n"/>
      <c r="Q500" s="672" t="inlineStr">
        <is>
          <t>RECONDUCTIBLE</t>
        </is>
      </c>
      <c r="R500" s="679" t="n"/>
      <c r="S500" s="680" t="n"/>
      <c r="T500" s="681" t="n"/>
      <c r="U500" s="672" t="n"/>
      <c r="V500" s="680" t="n"/>
      <c r="W500" s="680" t="n"/>
      <c r="X500" s="680" t="n"/>
      <c r="Y500" s="677" t="n"/>
      <c r="Z500" s="678" t="n">
        <v>0</v>
      </c>
      <c r="AA500" s="678">
        <f>AD500</f>
        <v/>
      </c>
      <c r="AB500" s="678" t="n">
        <v>0</v>
      </c>
      <c r="AC500" s="678" t="n"/>
      <c r="AD500" s="678" t="n">
        <v>550000</v>
      </c>
      <c r="AE500" s="682" t="inlineStr">
        <is>
          <t>ENGAGE</t>
        </is>
      </c>
      <c r="AF500" s="681" t="n"/>
      <c r="AG500" s="678" t="n"/>
      <c r="AH500" s="678" t="n"/>
      <c r="AI500" s="678" t="n"/>
      <c r="AJ500" s="678" t="n"/>
      <c r="AK500" s="683" t="n"/>
      <c r="AL500" s="683" t="n"/>
      <c r="AM500" s="681" t="n"/>
    </row>
    <row r="501" ht="32" customHeight="1" s="392">
      <c r="A501" s="672" t="inlineStr">
        <is>
          <t>-</t>
        </is>
      </c>
      <c r="B501" s="673" t="inlineStr">
        <is>
          <t>DPMG</t>
        </is>
      </c>
      <c r="C501" s="673" t="inlineStr">
        <is>
          <t>RECONDUCTIBLE</t>
        </is>
      </c>
      <c r="D501" s="672" t="inlineStr">
        <is>
          <t>CONTRAT</t>
        </is>
      </c>
      <c r="E501" s="672" t="n">
        <v>1</v>
      </c>
      <c r="F501" s="674" t="inlineStr">
        <is>
          <t>contrat location collectivités ethniques</t>
        </is>
      </c>
      <c r="G501" s="675" t="inlineStr">
        <is>
          <t>VALIDE</t>
        </is>
      </c>
      <c r="H501" s="672" t="inlineStr">
        <is>
          <t>APPROUVE</t>
        </is>
      </c>
      <c r="I501" s="691" t="n"/>
      <c r="J501" s="675" t="inlineStr">
        <is>
          <t>NON CONCERNE</t>
        </is>
      </c>
      <c r="K501" s="672" t="inlineStr">
        <is>
          <t>Ordinaire</t>
        </is>
      </c>
      <c r="L501" s="676" t="inlineStr">
        <is>
          <t>FONCTIONNEMENT</t>
        </is>
      </c>
      <c r="M501" s="676" t="inlineStr">
        <is>
          <t>Location</t>
        </is>
      </c>
      <c r="N501" s="677" t="n"/>
      <c r="O501" s="678" t="n"/>
      <c r="P501" s="678" t="n"/>
      <c r="Q501" s="672" t="inlineStr">
        <is>
          <t>RECONDUCTIBLE</t>
        </is>
      </c>
      <c r="R501" s="679" t="n"/>
      <c r="S501" s="680" t="n"/>
      <c r="T501" s="681" t="n"/>
      <c r="U501" s="672" t="n"/>
      <c r="V501" s="680" t="n"/>
      <c r="W501" s="680" t="n"/>
      <c r="X501" s="680" t="n"/>
      <c r="Y501" s="677" t="n"/>
      <c r="Z501" s="678" t="n">
        <v>0</v>
      </c>
      <c r="AA501" s="678" t="n">
        <v>1119028</v>
      </c>
      <c r="AB501" s="678" t="n">
        <v>0</v>
      </c>
      <c r="AC501" s="678" t="n"/>
      <c r="AD501" s="678" t="n">
        <v>1119028</v>
      </c>
      <c r="AE501" s="682" t="inlineStr">
        <is>
          <t>ENGAGE</t>
        </is>
      </c>
      <c r="AF501" s="681" t="n"/>
      <c r="AG501" s="678" t="n"/>
      <c r="AH501" s="678" t="n"/>
      <c r="AI501" s="678" t="n"/>
      <c r="AJ501" s="678" t="n"/>
      <c r="AK501" s="683" t="n"/>
      <c r="AL501" s="683" t="n"/>
      <c r="AM501" s="681" t="n"/>
    </row>
    <row r="502" ht="38.40000000000001" customHeight="1" s="392">
      <c r="A502" s="672" t="n">
        <v>2017</v>
      </c>
      <c r="B502" s="673" t="inlineStr">
        <is>
          <t>DRH</t>
        </is>
      </c>
      <c r="C502" s="673" t="inlineStr">
        <is>
          <t>RECONDUCTIBLE</t>
        </is>
      </c>
      <c r="D502" s="672" t="inlineStr">
        <is>
          <t>CONTRAT</t>
        </is>
      </c>
      <c r="E502" s="672" t="n">
        <v>1</v>
      </c>
      <c r="F502" s="674" t="inlineStr">
        <is>
          <t>Assurer personnellement au service médical de la SNRT, un service de vingt heures (20 heures) par mois</t>
        </is>
      </c>
      <c r="G502" s="675" t="inlineStr">
        <is>
          <t>VALIDE</t>
        </is>
      </c>
      <c r="H502" s="672" t="inlineStr">
        <is>
          <t>APPROUVE</t>
        </is>
      </c>
      <c r="I502" s="672" t="inlineStr">
        <is>
          <t>760/SNRT/2017</t>
        </is>
      </c>
      <c r="J502" s="675" t="inlineStr">
        <is>
          <t>NON CONCERNE</t>
        </is>
      </c>
      <c r="K502" s="672" t="inlineStr">
        <is>
          <t>Ordinaire</t>
        </is>
      </c>
      <c r="L502" s="676" t="inlineStr">
        <is>
          <t>FONCTIONNEMENT</t>
        </is>
      </c>
      <c r="M502" s="676" t="inlineStr">
        <is>
          <t>Charges sociales diverses</t>
        </is>
      </c>
      <c r="N502" s="677" t="n"/>
      <c r="O502" s="678" t="n"/>
      <c r="P502" s="678" t="n"/>
      <c r="Q502" s="672" t="inlineStr">
        <is>
          <t>RECONDUCTIBLE</t>
        </is>
      </c>
      <c r="R502" s="679" t="n"/>
      <c r="S502" s="680" t="n"/>
      <c r="T502" s="681" t="inlineStr">
        <is>
          <t>DOCTEUR BOUBKER ABOUZAHIR</t>
        </is>
      </c>
      <c r="U502" s="672" t="n">
        <v>2017</v>
      </c>
      <c r="V502" s="680" t="n"/>
      <c r="W502" s="680" t="n"/>
      <c r="X502" s="680" t="n"/>
      <c r="Y502" s="677" t="n">
        <v>85714.32000000001</v>
      </c>
      <c r="Z502" s="678" t="n">
        <v>0</v>
      </c>
      <c r="AA502" s="678" t="n">
        <v>85714.32000000001</v>
      </c>
      <c r="AB502" s="678" t="n">
        <v>0</v>
      </c>
      <c r="AC502" s="678" t="n">
        <v>85714.32000000001</v>
      </c>
      <c r="AD502" s="678" t="n">
        <v>85714.32000000001</v>
      </c>
      <c r="AE502" s="682" t="inlineStr">
        <is>
          <t>ENGAGE</t>
        </is>
      </c>
      <c r="AF502" s="681" t="n"/>
      <c r="AG502" s="678" t="n"/>
      <c r="AH502" s="678" t="n"/>
      <c r="AI502" s="678" t="n"/>
      <c r="AJ502" s="678" t="n"/>
      <c r="AK502" s="683" t="n"/>
      <c r="AL502" s="683" t="n"/>
      <c r="AM502" s="681" t="n"/>
    </row>
    <row r="503" ht="38.40000000000001" customHeight="1" s="392">
      <c r="A503" s="672" t="n">
        <v>2011</v>
      </c>
      <c r="B503" s="673" t="inlineStr">
        <is>
          <t>DRH</t>
        </is>
      </c>
      <c r="C503" s="673" t="inlineStr">
        <is>
          <t>RECONDUCTIBLE</t>
        </is>
      </c>
      <c r="D503" s="672" t="inlineStr">
        <is>
          <t>CONTRAT</t>
        </is>
      </c>
      <c r="E503" s="672" t="n">
        <v>1</v>
      </c>
      <c r="F503" s="674" t="inlineStr">
        <is>
          <t>MEDECIN DE TRAVAIL- Docteur inscrite au tableau de l'ordre des médecins (Région Rabat-Nord)-</t>
        </is>
      </c>
      <c r="G503" s="675" t="inlineStr">
        <is>
          <t>VALIDE</t>
        </is>
      </c>
      <c r="H503" s="672" t="inlineStr">
        <is>
          <t>APPROUVE</t>
        </is>
      </c>
      <c r="I503" s="672" t="inlineStr">
        <is>
          <t>06/SNRT/2011</t>
        </is>
      </c>
      <c r="J503" s="675" t="inlineStr">
        <is>
          <t>NON CONCERNE</t>
        </is>
      </c>
      <c r="K503" s="672" t="inlineStr">
        <is>
          <t>Ordinaire</t>
        </is>
      </c>
      <c r="L503" s="676" t="inlineStr">
        <is>
          <t>FONCTIONNEMENT</t>
        </is>
      </c>
      <c r="M503" s="676" t="inlineStr">
        <is>
          <t>Charges sociales diverses</t>
        </is>
      </c>
      <c r="N503" s="677" t="n"/>
      <c r="O503" s="678" t="n"/>
      <c r="P503" s="678" t="n"/>
      <c r="Q503" s="672" t="inlineStr">
        <is>
          <t>RECONDUCTIBLE</t>
        </is>
      </c>
      <c r="R503" s="679" t="n"/>
      <c r="S503" s="680" t="n"/>
      <c r="T503" s="681" t="inlineStr">
        <is>
          <t>OUAFAA FAHSI</t>
        </is>
      </c>
      <c r="U503" s="672" t="n">
        <v>2011</v>
      </c>
      <c r="V503" s="680" t="n"/>
      <c r="W503" s="680" t="n"/>
      <c r="X503" s="680" t="n"/>
      <c r="Y503" s="677" t="n">
        <v>171428.5704</v>
      </c>
      <c r="Z503" s="678" t="n">
        <v>0</v>
      </c>
      <c r="AA503" s="678" t="n">
        <v>171428.5704</v>
      </c>
      <c r="AB503" s="678" t="n">
        <v>0</v>
      </c>
      <c r="AC503" s="678" t="n">
        <v>171428.5704</v>
      </c>
      <c r="AD503" s="678" t="n">
        <v>171428.5704</v>
      </c>
      <c r="AE503" s="682" t="inlineStr">
        <is>
          <t>ENGAGE</t>
        </is>
      </c>
      <c r="AF503" s="681" t="n"/>
      <c r="AG503" s="678" t="n"/>
      <c r="AH503" s="678" t="n"/>
      <c r="AI503" s="678" t="n"/>
      <c r="AJ503" s="678" t="n"/>
      <c r="AK503" s="683" t="n"/>
      <c r="AL503" s="683" t="n"/>
      <c r="AM503" s="681" t="n"/>
    </row>
    <row r="504" ht="38.40000000000001" customHeight="1" s="392">
      <c r="A504" s="672" t="n">
        <v>2011</v>
      </c>
      <c r="B504" s="673" t="inlineStr">
        <is>
          <t>DRH</t>
        </is>
      </c>
      <c r="C504" s="673" t="inlineStr">
        <is>
          <t>RECONDUCTIBLE</t>
        </is>
      </c>
      <c r="D504" s="672" t="inlineStr">
        <is>
          <t>CONTRAT</t>
        </is>
      </c>
      <c r="E504" s="672" t="n">
        <v>1</v>
      </c>
      <c r="F504" s="674" t="inlineStr">
        <is>
          <t>MEDECIN DE TRAVAIL- Docteur inscrite au tableau de l'ordre des médecins (Région Rabat-Nord)-</t>
        </is>
      </c>
      <c r="G504" s="675" t="inlineStr">
        <is>
          <t>VALIDE</t>
        </is>
      </c>
      <c r="H504" s="672" t="inlineStr">
        <is>
          <t>APPROUVE</t>
        </is>
      </c>
      <c r="I504" s="672" t="inlineStr">
        <is>
          <t>07/SNRT/2011</t>
        </is>
      </c>
      <c r="J504" s="675" t="inlineStr">
        <is>
          <t>NON CONCERNE</t>
        </is>
      </c>
      <c r="K504" s="672" t="inlineStr">
        <is>
          <t>Ordinaire</t>
        </is>
      </c>
      <c r="L504" s="676" t="inlineStr">
        <is>
          <t>FONCTIONNEMENT</t>
        </is>
      </c>
      <c r="M504" s="676" t="inlineStr">
        <is>
          <t>Charges sociales diverses</t>
        </is>
      </c>
      <c r="N504" s="677" t="n"/>
      <c r="O504" s="678" t="n"/>
      <c r="P504" s="678" t="n"/>
      <c r="Q504" s="672" t="inlineStr">
        <is>
          <t>RECONDUCTIBLE</t>
        </is>
      </c>
      <c r="R504" s="679" t="n"/>
      <c r="S504" s="680" t="n"/>
      <c r="T504" s="681" t="inlineStr">
        <is>
          <t>ZAKARIA BENSAOUD</t>
        </is>
      </c>
      <c r="U504" s="672" t="n">
        <v>2011</v>
      </c>
      <c r="V504" s="680" t="n"/>
      <c r="W504" s="680" t="n"/>
      <c r="X504" s="680" t="n"/>
      <c r="Y504" s="677" t="n">
        <v>171428.5704</v>
      </c>
      <c r="Z504" s="678" t="n">
        <v>0</v>
      </c>
      <c r="AA504" s="678" t="n">
        <v>171428.5704</v>
      </c>
      <c r="AB504" s="678" t="n">
        <v>0</v>
      </c>
      <c r="AC504" s="678" t="n">
        <v>171428.5704</v>
      </c>
      <c r="AD504" s="678" t="n">
        <v>171428.5704</v>
      </c>
      <c r="AE504" s="682" t="inlineStr">
        <is>
          <t>ENGAGE</t>
        </is>
      </c>
      <c r="AF504" s="681" t="n"/>
      <c r="AG504" s="678" t="n"/>
      <c r="AH504" s="678" t="n"/>
      <c r="AI504" s="678" t="n"/>
      <c r="AJ504" s="678" t="n"/>
      <c r="AK504" s="683" t="n"/>
      <c r="AL504" s="683" t="n"/>
      <c r="AM504" s="681" t="n"/>
    </row>
    <row r="505" ht="38.40000000000001" customHeight="1" s="392">
      <c r="A505" s="672" t="n">
        <v>2011</v>
      </c>
      <c r="B505" s="673" t="inlineStr">
        <is>
          <t>DRH</t>
        </is>
      </c>
      <c r="C505" s="673" t="inlineStr">
        <is>
          <t>RECONDUCTIBLE</t>
        </is>
      </c>
      <c r="D505" s="672" t="inlineStr">
        <is>
          <t>CONTRAT</t>
        </is>
      </c>
      <c r="E505" s="672" t="n">
        <v>1</v>
      </c>
      <c r="F505" s="674" t="inlineStr">
        <is>
          <t>MEDECIN DE TRAVAIL -Docteur inscrite au tableau de l'ordre des médecins (Région Rabat-Nord)-</t>
        </is>
      </c>
      <c r="G505" s="675" t="inlineStr">
        <is>
          <t>VALIDE</t>
        </is>
      </c>
      <c r="H505" s="672" t="inlineStr">
        <is>
          <t>APPROUVE</t>
        </is>
      </c>
      <c r="I505" s="672" t="inlineStr">
        <is>
          <t>08/SNRT/2011</t>
        </is>
      </c>
      <c r="J505" s="675" t="inlineStr">
        <is>
          <t>NON CONCERNE</t>
        </is>
      </c>
      <c r="K505" s="672" t="inlineStr">
        <is>
          <t>Ordinaire</t>
        </is>
      </c>
      <c r="L505" s="676" t="inlineStr">
        <is>
          <t>FONCTIONNEMENT</t>
        </is>
      </c>
      <c r="M505" s="676" t="inlineStr">
        <is>
          <t>Charges sociales diverses</t>
        </is>
      </c>
      <c r="N505" s="677" t="n"/>
      <c r="O505" s="678" t="n"/>
      <c r="P505" s="678" t="n"/>
      <c r="Q505" s="672" t="inlineStr">
        <is>
          <t>RECONDUCTIBLE</t>
        </is>
      </c>
      <c r="R505" s="679" t="n"/>
      <c r="S505" s="680" t="n"/>
      <c r="T505" s="681" t="inlineStr">
        <is>
          <t>ABDELHAMID KHADRI</t>
        </is>
      </c>
      <c r="U505" s="672" t="n">
        <v>2011</v>
      </c>
      <c r="V505" s="680" t="n"/>
      <c r="W505" s="680" t="n"/>
      <c r="X505" s="680" t="n"/>
      <c r="Y505" s="677" t="n">
        <v>171428.5704</v>
      </c>
      <c r="Z505" s="678" t="n">
        <v>0</v>
      </c>
      <c r="AA505" s="678" t="n">
        <v>171428.5704</v>
      </c>
      <c r="AB505" s="678" t="n">
        <v>0</v>
      </c>
      <c r="AC505" s="678" t="n">
        <v>171428.5704</v>
      </c>
      <c r="AD505" s="678" t="n">
        <v>171428.5704</v>
      </c>
      <c r="AE505" s="682" t="inlineStr">
        <is>
          <t>ENGAGE</t>
        </is>
      </c>
      <c r="AF505" s="681" t="n"/>
      <c r="AG505" s="678" t="n"/>
      <c r="AH505" s="678" t="n"/>
      <c r="AI505" s="678" t="n"/>
      <c r="AJ505" s="678" t="n"/>
      <c r="AK505" s="683" t="n"/>
      <c r="AL505" s="683" t="n"/>
      <c r="AM505" s="681" t="n"/>
    </row>
    <row r="506" ht="50.55" customHeight="1" s="392">
      <c r="A506" s="672" t="inlineStr">
        <is>
          <t>-</t>
        </is>
      </c>
      <c r="B506" s="673" t="inlineStr">
        <is>
          <t>DRH</t>
        </is>
      </c>
      <c r="C506" s="673" t="inlineStr">
        <is>
          <t>RECONDUCTIBLE</t>
        </is>
      </c>
      <c r="D506" s="672" t="inlineStr">
        <is>
          <t>CONTRAT</t>
        </is>
      </c>
      <c r="E506" s="672" t="n">
        <v>1</v>
      </c>
      <c r="F506" s="674" t="inlineStr">
        <is>
          <t>Traitement de la Paie</t>
        </is>
      </c>
      <c r="G506" s="675" t="inlineStr">
        <is>
          <t>VALIDE</t>
        </is>
      </c>
      <c r="H506" s="672" t="inlineStr">
        <is>
          <t>APPROUVE</t>
        </is>
      </c>
      <c r="I506" s="672" t="inlineStr">
        <is>
          <t>JDE : 19000754</t>
        </is>
      </c>
      <c r="J506" s="675" t="inlineStr">
        <is>
          <t>NON CONCERNE</t>
        </is>
      </c>
      <c r="K506" s="672" t="inlineStr">
        <is>
          <t>Ordinaire</t>
        </is>
      </c>
      <c r="L506" s="676" t="inlineStr">
        <is>
          <t>FONCTIONNEMENT</t>
        </is>
      </c>
      <c r="M506" s="676" t="inlineStr">
        <is>
          <t>Prestation de services
Achat prestations de services locales - sociétés</t>
        </is>
      </c>
      <c r="N506" s="677" t="n"/>
      <c r="O506" s="678" t="n"/>
      <c r="P506" s="678" t="n"/>
      <c r="Q506" s="672" t="inlineStr">
        <is>
          <t>RECONDUCTIBLE</t>
        </is>
      </c>
      <c r="R506" s="679" t="n"/>
      <c r="S506" s="680" t="n"/>
      <c r="T506" s="681" t="inlineStr">
        <is>
          <t>TGR</t>
        </is>
      </c>
      <c r="U506" s="672" t="n"/>
      <c r="V506" s="680" t="n"/>
      <c r="W506" s="680" t="n"/>
      <c r="X506" s="680" t="n"/>
      <c r="Y506" s="677" t="n">
        <v>183680</v>
      </c>
      <c r="Z506" s="678" t="n">
        <v>0</v>
      </c>
      <c r="AA506" s="678" t="n">
        <v>183680</v>
      </c>
      <c r="AB506" s="678" t="n">
        <v>0</v>
      </c>
      <c r="AC506" s="678" t="n">
        <v>183680</v>
      </c>
      <c r="AD506" s="678" t="n">
        <v>183680</v>
      </c>
      <c r="AE506" s="682" t="inlineStr">
        <is>
          <t>ENGAGE</t>
        </is>
      </c>
      <c r="AF506" s="681" t="n"/>
      <c r="AG506" s="678" t="n"/>
      <c r="AH506" s="678" t="n"/>
      <c r="AI506" s="678" t="n"/>
      <c r="AJ506" s="678" t="n"/>
      <c r="AK506" s="683" t="n"/>
      <c r="AL506" s="683" t="n"/>
      <c r="AM506" s="681" t="n"/>
    </row>
    <row r="507" ht="50.55" customHeight="1" s="392">
      <c r="A507" s="672" t="n">
        <v>2001</v>
      </c>
      <c r="B507" s="673" t="inlineStr">
        <is>
          <t>DRH</t>
        </is>
      </c>
      <c r="C507" s="673" t="inlineStr">
        <is>
          <t>RECONDUCTIBLE</t>
        </is>
      </c>
      <c r="D507" s="672" t="inlineStr">
        <is>
          <t>CONTRAT</t>
        </is>
      </c>
      <c r="E507" s="672" t="n">
        <v>1</v>
      </c>
      <c r="F507" s="674" t="inlineStr">
        <is>
          <t>Traitement de la Paie</t>
        </is>
      </c>
      <c r="G507" s="675" t="inlineStr">
        <is>
          <t>VALIDE</t>
        </is>
      </c>
      <c r="H507" s="672" t="inlineStr">
        <is>
          <t>APPROUVE</t>
        </is>
      </c>
      <c r="I507" s="672" t="inlineStr">
        <is>
          <t>322/2001</t>
        </is>
      </c>
      <c r="J507" s="675" t="inlineStr">
        <is>
          <t>NON CONCERNE</t>
        </is>
      </c>
      <c r="K507" s="672" t="inlineStr">
        <is>
          <t>Ordinaire</t>
        </is>
      </c>
      <c r="L507" s="676" t="inlineStr">
        <is>
          <t>FONCTIONNEMENT</t>
        </is>
      </c>
      <c r="M507" s="676" t="inlineStr">
        <is>
          <t>Prestation de services
Achat prestations de services locales - sociétés</t>
        </is>
      </c>
      <c r="N507" s="677" t="n"/>
      <c r="O507" s="678" t="n"/>
      <c r="P507" s="678" t="n"/>
      <c r="Q507" s="672" t="inlineStr">
        <is>
          <t>RECONDUCTIBLE</t>
        </is>
      </c>
      <c r="R507" s="679" t="n"/>
      <c r="S507" s="680" t="n"/>
      <c r="T507" s="681" t="inlineStr">
        <is>
          <t>SOMEIGE</t>
        </is>
      </c>
      <c r="U507" s="672" t="n">
        <v>2001</v>
      </c>
      <c r="V507" s="680" t="n"/>
      <c r="W507" s="680" t="n"/>
      <c r="X507" s="680" t="n"/>
      <c r="Y507" s="677" t="n">
        <v>127666.666666667</v>
      </c>
      <c r="Z507" s="678" t="n">
        <v>0</v>
      </c>
      <c r="AA507" s="678" t="n">
        <v>127666.666666667</v>
      </c>
      <c r="AB507" s="678" t="n">
        <v>0</v>
      </c>
      <c r="AC507" s="678" t="n">
        <v>127666.666666667</v>
      </c>
      <c r="AD507" s="678" t="n">
        <v>127666.666666667</v>
      </c>
      <c r="AE507" s="682" t="inlineStr">
        <is>
          <t>ENGAGE</t>
        </is>
      </c>
      <c r="AF507" s="681" t="n"/>
      <c r="AG507" s="678" t="n"/>
      <c r="AH507" s="678" t="n"/>
      <c r="AI507" s="678" t="n"/>
      <c r="AJ507" s="678" t="n"/>
      <c r="AK507" s="683" t="n"/>
      <c r="AL507" s="683" t="n"/>
      <c r="AM507" s="681" t="n"/>
    </row>
    <row r="508" ht="54.6" customHeight="1" s="392">
      <c r="A508" s="672" t="n">
        <v>2025</v>
      </c>
      <c r="B508" s="673" t="inlineStr">
        <is>
          <t>DMPTV</t>
        </is>
      </c>
      <c r="C508" s="673" t="inlineStr">
        <is>
          <t>RECONDUCTIBLE</t>
        </is>
      </c>
      <c r="D508" s="672" t="inlineStr">
        <is>
          <t>CONTRAT</t>
        </is>
      </c>
      <c r="E508" s="672" t="n">
        <v>1</v>
      </c>
      <c r="F508" s="674" t="inlineStr">
        <is>
          <t>Determiner les termes et conditions par lesquels la SNRT " SPONSOR  SILVER "  du Nationnal Performmances Tour des éditions 2025,2026 et 2027</t>
        </is>
      </c>
      <c r="G508" s="675" t="inlineStr">
        <is>
          <t>VALIDE</t>
        </is>
      </c>
      <c r="H508" s="672" t="inlineStr">
        <is>
          <t>APPROUVE</t>
        </is>
      </c>
      <c r="I508" s="672" t="inlineStr">
        <is>
          <t>001270125/CT-SNRT</t>
        </is>
      </c>
      <c r="J508" s="675" t="inlineStr">
        <is>
          <t>NON CONCERNE</t>
        </is>
      </c>
      <c r="K508" s="672" t="inlineStr">
        <is>
          <t>Ordinaire</t>
        </is>
      </c>
      <c r="L508" s="676" t="inlineStr">
        <is>
          <t>FONCTIONNEMENT</t>
        </is>
      </c>
      <c r="M508" s="676" t="inlineStr">
        <is>
          <t>Charges marketing et relations publiques</t>
        </is>
      </c>
      <c r="N508" s="677" t="n"/>
      <c r="O508" s="678" t="n"/>
      <c r="P508" s="678" t="n"/>
      <c r="Q508" s="672" t="inlineStr">
        <is>
          <t>RECONDUCTIBLE</t>
        </is>
      </c>
      <c r="R508" s="679" t="n"/>
      <c r="S508" s="680" t="n"/>
      <c r="T508" s="681" t="inlineStr">
        <is>
          <t>ASSOCIATION DU TROPHEE HASSAN II</t>
        </is>
      </c>
      <c r="U508" s="672" t="n">
        <v>2025</v>
      </c>
      <c r="V508" s="680" t="n"/>
      <c r="W508" s="680" t="n"/>
      <c r="X508" s="680" t="n"/>
      <c r="Y508" s="677">
        <f>AC508</f>
        <v/>
      </c>
      <c r="Z508" s="678" t="n">
        <v>0</v>
      </c>
      <c r="AA508" s="678">
        <f>AD508</f>
        <v/>
      </c>
      <c r="AB508" s="678" t="n">
        <v>0</v>
      </c>
      <c r="AC508" s="678" t="n">
        <v>1300000</v>
      </c>
      <c r="AD508" s="678" t="n">
        <v>1560000</v>
      </c>
      <c r="AE508" s="682" t="inlineStr">
        <is>
          <t>ENGAGE</t>
        </is>
      </c>
      <c r="AF508" s="681" t="n"/>
      <c r="AG508" s="678" t="n"/>
      <c r="AH508" s="678" t="n"/>
      <c r="AI508" s="678" t="n"/>
      <c r="AJ508" s="678" t="n"/>
      <c r="AK508" s="683" t="n"/>
      <c r="AL508" s="683" t="n"/>
      <c r="AM508" s="681" t="n"/>
    </row>
    <row r="509" ht="35.7" customHeight="1" s="392">
      <c r="A509" s="672" t="inlineStr">
        <is>
          <t>-</t>
        </is>
      </c>
      <c r="B509" s="673" t="inlineStr">
        <is>
          <t>DRPSD</t>
        </is>
      </c>
      <c r="C509" s="673" t="inlineStr">
        <is>
          <t>RECONDUCTIBLE</t>
        </is>
      </c>
      <c r="D509" s="672" t="inlineStr">
        <is>
          <t>CONTRAT</t>
        </is>
      </c>
      <c r="E509" s="672" t="n">
        <v>1</v>
      </c>
      <c r="F509" s="674" t="inlineStr">
        <is>
          <t>FRAIS DE SYNDICAT DU TWIN CENTER</t>
        </is>
      </c>
      <c r="G509" s="675" t="inlineStr">
        <is>
          <t>VALIDE</t>
        </is>
      </c>
      <c r="H509" s="672" t="inlineStr">
        <is>
          <t>APPROUVE</t>
        </is>
      </c>
      <c r="I509" s="672" t="inlineStr">
        <is>
          <t>JDE : 21000030</t>
        </is>
      </c>
      <c r="J509" s="675" t="inlineStr">
        <is>
          <t>NON CONCERNE</t>
        </is>
      </c>
      <c r="K509" s="672" t="inlineStr">
        <is>
          <t>Ordinaire</t>
        </is>
      </c>
      <c r="L509" s="676" t="inlineStr">
        <is>
          <t>FONCTIONNEMENT</t>
        </is>
      </c>
      <c r="M509" s="676" t="inlineStr">
        <is>
          <t>Redevances et cotisations</t>
        </is>
      </c>
      <c r="N509" s="677" t="n"/>
      <c r="O509" s="678" t="n"/>
      <c r="P509" s="678" t="n"/>
      <c r="Q509" s="672" t="inlineStr">
        <is>
          <t>RECONDUCTIBLE</t>
        </is>
      </c>
      <c r="R509" s="679" t="n"/>
      <c r="S509" s="680" t="n"/>
      <c r="T509" s="681" t="inlineStr">
        <is>
          <t>SYNDICAT DES PROPRIETAIRES DU TWIN CENTR</t>
        </is>
      </c>
      <c r="U509" s="672" t="inlineStr">
        <is>
          <t>-</t>
        </is>
      </c>
      <c r="V509" s="680" t="n"/>
      <c r="W509" s="680" t="n"/>
      <c r="X509" s="680" t="n"/>
      <c r="Y509" s="677" t="n">
        <v>250000</v>
      </c>
      <c r="Z509" s="678" t="n">
        <v>0</v>
      </c>
      <c r="AA509" s="678" t="n">
        <v>250000</v>
      </c>
      <c r="AB509" s="678" t="n">
        <v>0</v>
      </c>
      <c r="AC509" s="678" t="n">
        <v>250000</v>
      </c>
      <c r="AD509" s="678" t="n">
        <v>250000</v>
      </c>
      <c r="AE509" s="682" t="inlineStr">
        <is>
          <t>ENGAGE</t>
        </is>
      </c>
      <c r="AF509" s="681" t="n"/>
      <c r="AG509" s="678" t="n"/>
      <c r="AH509" s="678" t="n"/>
      <c r="AI509" s="678" t="n"/>
      <c r="AJ509" s="678" t="n"/>
      <c r="AK509" s="683" t="n"/>
      <c r="AL509" s="683" t="n"/>
      <c r="AM509" s="681" t="n"/>
    </row>
    <row r="510" ht="38.40000000000001" customHeight="1" s="392">
      <c r="A510" s="672" t="n">
        <v>2024</v>
      </c>
      <c r="B510" s="673" t="inlineStr">
        <is>
          <t>ARRIYADIA</t>
        </is>
      </c>
      <c r="C510" s="673" t="inlineStr">
        <is>
          <t>RECONDUCTIBLE</t>
        </is>
      </c>
      <c r="D510" s="672" t="inlineStr">
        <is>
          <t>CONTRAT</t>
        </is>
      </c>
      <c r="E510" s="672" t="n">
        <v>1</v>
      </c>
      <c r="F510" s="674" t="inlineStr">
        <is>
          <t>l’acquisition des droits de diffusion de SPORT NEWS REPORTING (2024 – 2029).</t>
        </is>
      </c>
      <c r="G510" s="675" t="inlineStr">
        <is>
          <t>VALIDE</t>
        </is>
      </c>
      <c r="H510" s="672" t="inlineStr">
        <is>
          <t>APPROUVE</t>
        </is>
      </c>
      <c r="I510" s="672" t="inlineStr">
        <is>
          <t>004070224/CT-SNRT</t>
        </is>
      </c>
      <c r="J510" s="675" t="inlineStr">
        <is>
          <t>NON CONCERNE</t>
        </is>
      </c>
      <c r="K510" s="672" t="inlineStr">
        <is>
          <t>Ordinaire</t>
        </is>
      </c>
      <c r="L510" s="676" t="inlineStr">
        <is>
          <t>FONCTIONNEMENT</t>
        </is>
      </c>
      <c r="M510" s="676" t="inlineStr">
        <is>
          <t>Achats de droits
Achats de droit de sport</t>
        </is>
      </c>
      <c r="N510" s="677" t="n"/>
      <c r="O510" s="678" t="n"/>
      <c r="P510" s="678" t="n"/>
      <c r="Q510" s="672" t="inlineStr">
        <is>
          <t>RECONDUCTIBLE</t>
        </is>
      </c>
      <c r="R510" s="679" t="n"/>
      <c r="S510" s="680" t="n"/>
      <c r="T510" s="681" t="inlineStr">
        <is>
          <t>SNTV</t>
        </is>
      </c>
      <c r="U510" s="672" t="n">
        <v>2024</v>
      </c>
      <c r="V510" s="680" t="n"/>
      <c r="W510" s="680" t="n"/>
      <c r="X510" s="680" t="n"/>
      <c r="Y510" s="677" t="n">
        <v>1427180</v>
      </c>
      <c r="Z510" s="678" t="n">
        <v>0</v>
      </c>
      <c r="AA510" s="678" t="n">
        <v>1427180</v>
      </c>
      <c r="AB510" s="678" t="n">
        <v>0</v>
      </c>
      <c r="AC510" s="678" t="n">
        <v>1427180</v>
      </c>
      <c r="AD510" s="678" t="n">
        <v>1427180</v>
      </c>
      <c r="AE510" s="682" t="inlineStr">
        <is>
          <t>ENGAGE</t>
        </is>
      </c>
      <c r="AF510" s="681" t="n"/>
      <c r="AG510" s="678" t="n"/>
      <c r="AH510" s="678" t="n"/>
      <c r="AI510" s="678" t="n"/>
      <c r="AJ510" s="678" t="n"/>
      <c r="AK510" s="683" t="n"/>
      <c r="AL510" s="683" t="n"/>
      <c r="AM510" s="681" t="inlineStr">
        <is>
          <t>R.A.S</t>
        </is>
      </c>
    </row>
    <row r="511" ht="38.40000000000001" customHeight="1" s="392">
      <c r="A511" s="672" t="n">
        <v>2025</v>
      </c>
      <c r="B511" s="673" t="inlineStr">
        <is>
          <t>ARRIYADIA</t>
        </is>
      </c>
      <c r="C511" s="673" t="inlineStr">
        <is>
          <t>RECONDUCTIBLE</t>
        </is>
      </c>
      <c r="D511" s="672" t="inlineStr">
        <is>
          <t>CONTRAT</t>
        </is>
      </c>
      <c r="E511" s="672" t="n">
        <v>1</v>
      </c>
      <c r="F511" s="674" t="inlineStr">
        <is>
          <t>L’acquisition des droits de diffusion des compétitions de Judo 2025</t>
        </is>
      </c>
      <c r="G511" s="675" t="inlineStr">
        <is>
          <t>VALIDE</t>
        </is>
      </c>
      <c r="H511" s="672" t="inlineStr">
        <is>
          <t>APPROUVE</t>
        </is>
      </c>
      <c r="I511" s="672" t="inlineStr">
        <is>
          <t>004270125/CT-SNRT</t>
        </is>
      </c>
      <c r="J511" s="675" t="inlineStr">
        <is>
          <t>NON CONCERNE</t>
        </is>
      </c>
      <c r="K511" s="672" t="inlineStr">
        <is>
          <t>Ordinaire</t>
        </is>
      </c>
      <c r="L511" s="676" t="inlineStr">
        <is>
          <t>FONCTIONNEMENT</t>
        </is>
      </c>
      <c r="M511" s="676" t="inlineStr">
        <is>
          <t>Achats de droits
Achats de droit de sport</t>
        </is>
      </c>
      <c r="N511" s="677" t="n"/>
      <c r="O511" s="678" t="n"/>
      <c r="P511" s="678" t="n"/>
      <c r="Q511" s="672" t="inlineStr">
        <is>
          <t>RECONDUCTIBLE</t>
        </is>
      </c>
      <c r="R511" s="679" t="n"/>
      <c r="S511" s="680" t="n"/>
      <c r="T511" s="681" t="inlineStr">
        <is>
          <t>SILVER SPRING MEDIA AB</t>
        </is>
      </c>
      <c r="U511" s="672" t="n">
        <v>2025</v>
      </c>
      <c r="V511" s="680" t="n"/>
      <c r="W511" s="680" t="n"/>
      <c r="X511" s="680" t="n"/>
      <c r="Y511" s="677" t="n">
        <v>414064</v>
      </c>
      <c r="Z511" s="678" t="n">
        <v>40000</v>
      </c>
      <c r="AA511" s="678" t="n">
        <v>414064</v>
      </c>
      <c r="AB511" s="678" t="n">
        <v>40000</v>
      </c>
      <c r="AC511" s="678" t="n">
        <v>414064</v>
      </c>
      <c r="AD511" s="678" t="n">
        <v>414064</v>
      </c>
      <c r="AE511" s="682" t="inlineStr">
        <is>
          <t>ENGAGE</t>
        </is>
      </c>
      <c r="AF511" s="681" t="n"/>
      <c r="AG511" s="678" t="n"/>
      <c r="AH511" s="678" t="n"/>
      <c r="AI511" s="678" t="n"/>
      <c r="AJ511" s="678" t="n"/>
      <c r="AK511" s="683" t="n"/>
      <c r="AL511" s="683" t="n"/>
      <c r="AM511" s="681" t="inlineStr">
        <is>
          <t>R.A.S</t>
        </is>
      </c>
    </row>
    <row r="512" ht="54.6" customHeight="1" s="392">
      <c r="A512" s="672" t="n">
        <v>2025</v>
      </c>
      <c r="B512" s="673" t="inlineStr">
        <is>
          <t>ARRIYADIA</t>
        </is>
      </c>
      <c r="C512" s="673" t="inlineStr">
        <is>
          <t>RECONDUCTIBLE</t>
        </is>
      </c>
      <c r="D512" s="672" t="inlineStr">
        <is>
          <t>CONTRAT</t>
        </is>
      </c>
      <c r="E512" s="672" t="n">
        <v>1</v>
      </c>
      <c r="F512" s="674" t="inlineStr">
        <is>
          <t>Achats des droits de diffusion des compétitions du championnat de la ligue africaine du Basket Ball 10 000/année</t>
        </is>
      </c>
      <c r="G512" s="675" t="inlineStr">
        <is>
          <t>VALIDE</t>
        </is>
      </c>
      <c r="H512" s="672" t="inlineStr">
        <is>
          <t>APPROUVE</t>
        </is>
      </c>
      <c r="I512" s="672" t="inlineStr">
        <is>
          <t>003020425/CT-SNRT</t>
        </is>
      </c>
      <c r="J512" s="675" t="inlineStr">
        <is>
          <t>NON CONCERNE</t>
        </is>
      </c>
      <c r="K512" s="672" t="inlineStr">
        <is>
          <t>Ordinaire</t>
        </is>
      </c>
      <c r="L512" s="676" t="inlineStr">
        <is>
          <t>FONCTIONNEMENT</t>
        </is>
      </c>
      <c r="M512" s="676" t="inlineStr">
        <is>
          <t>Achats de droits
Achats de droit de sport</t>
        </is>
      </c>
      <c r="N512" s="677" t="n"/>
      <c r="O512" s="678" t="n"/>
      <c r="P512" s="678" t="n"/>
      <c r="Q512" s="672" t="inlineStr">
        <is>
          <t>RECONDUCTIBLE</t>
        </is>
      </c>
      <c r="R512" s="679" t="n"/>
      <c r="S512" s="680" t="n"/>
      <c r="T512" s="681" t="inlineStr">
        <is>
          <t>BALP</t>
        </is>
      </c>
      <c r="U512" s="672" t="n">
        <v>2025</v>
      </c>
      <c r="V512" s="680" t="n"/>
      <c r="W512" s="680" t="n"/>
      <c r="X512" s="680" t="n"/>
      <c r="Y512" s="677" t="n">
        <v>96190</v>
      </c>
      <c r="Z512" s="678" t="n">
        <v>10000</v>
      </c>
      <c r="AA512" s="678" t="n">
        <v>96190</v>
      </c>
      <c r="AB512" s="678" t="n">
        <v>10000</v>
      </c>
      <c r="AC512" s="678" t="n">
        <v>96190</v>
      </c>
      <c r="AD512" s="678" t="n">
        <v>96190</v>
      </c>
      <c r="AE512" s="682" t="inlineStr">
        <is>
          <t>ENGAGE</t>
        </is>
      </c>
      <c r="AF512" s="681" t="n"/>
      <c r="AG512" s="678" t="n"/>
      <c r="AH512" s="678" t="n"/>
      <c r="AI512" s="678" t="n"/>
      <c r="AJ512" s="678" t="n"/>
      <c r="AK512" s="683" t="n"/>
      <c r="AL512" s="683" t="n"/>
      <c r="AM512" s="681" t="inlineStr">
        <is>
          <t>R.A.S</t>
        </is>
      </c>
    </row>
    <row r="513" ht="54.6" customHeight="1" s="392">
      <c r="A513" s="672" t="n">
        <v>2025</v>
      </c>
      <c r="B513" s="673" t="inlineStr">
        <is>
          <t>DTSI</t>
        </is>
      </c>
      <c r="C513" s="673" t="inlineStr">
        <is>
          <t>RECONDUCTIBLE</t>
        </is>
      </c>
      <c r="D513" s="672" t="inlineStr">
        <is>
          <t>CONTRAT</t>
        </is>
      </c>
      <c r="E513" s="672" t="n">
        <v>1</v>
      </c>
      <c r="F513" s="674" t="inlineStr">
        <is>
          <t>Abonnement au service de production virtuelle basé sur l'intelligence artificielle de Huawei Cloud ''MetaStudio'' pour les besoins de la SNRT.</t>
        </is>
      </c>
      <c r="G513" s="675" t="inlineStr">
        <is>
          <t>VALIDE</t>
        </is>
      </c>
      <c r="H513" s="672" t="inlineStr">
        <is>
          <t>APPROUVE</t>
        </is>
      </c>
      <c r="I513" s="672" t="inlineStr">
        <is>
          <t>472 CT/SNRT/2025</t>
        </is>
      </c>
      <c r="J513" s="675" t="inlineStr">
        <is>
          <t>NON CONCERNE</t>
        </is>
      </c>
      <c r="K513" s="672" t="inlineStr">
        <is>
          <t>Ordinaire</t>
        </is>
      </c>
      <c r="L513" s="676" t="inlineStr">
        <is>
          <t>FONCTIONNEMENT</t>
        </is>
      </c>
      <c r="M513" s="676" t="inlineStr">
        <is>
          <t>Redevances et cotisations</t>
        </is>
      </c>
      <c r="N513" s="677" t="n"/>
      <c r="O513" s="678" t="n"/>
      <c r="P513" s="678" t="n"/>
      <c r="Q513" s="672" t="inlineStr">
        <is>
          <t>RECONDUCTIBLE</t>
        </is>
      </c>
      <c r="R513" s="679" t="n"/>
      <c r="S513" s="680" t="n"/>
      <c r="T513" s="681" t="inlineStr">
        <is>
          <t>ONE CLOUD</t>
        </is>
      </c>
      <c r="U513" s="672" t="n">
        <v>2025</v>
      </c>
      <c r="V513" s="680" t="n"/>
      <c r="W513" s="680" t="n"/>
      <c r="X513" s="680" t="n"/>
      <c r="Y513" s="677" t="n">
        <v>366650</v>
      </c>
      <c r="Z513" s="678" t="n">
        <v>0</v>
      </c>
      <c r="AA513" s="678" t="n">
        <v>439980</v>
      </c>
      <c r="AB513" s="678" t="n">
        <v>0</v>
      </c>
      <c r="AC513" s="678" t="n">
        <v>366650</v>
      </c>
      <c r="AD513" s="678" t="n">
        <v>439980</v>
      </c>
      <c r="AE513" s="682" t="inlineStr">
        <is>
          <t>ENGAGE</t>
        </is>
      </c>
      <c r="AF513" s="681" t="n"/>
      <c r="AG513" s="678" t="n"/>
      <c r="AH513" s="678" t="n"/>
      <c r="AI513" s="678" t="n"/>
      <c r="AJ513" s="678" t="n"/>
      <c r="AK513" s="683" t="n"/>
      <c r="AL513" s="683" t="n"/>
      <c r="AM513" s="681" t="n"/>
    </row>
    <row r="514" ht="32" customHeight="1" s="392">
      <c r="A514" s="672" t="n">
        <v>2025</v>
      </c>
      <c r="B514" s="673" t="inlineStr">
        <is>
          <t>DTSI</t>
        </is>
      </c>
      <c r="C514" s="673" t="inlineStr">
        <is>
          <t>RECONDUCTIBLE</t>
        </is>
      </c>
      <c r="D514" s="672" t="inlineStr">
        <is>
          <t>CONTRAT</t>
        </is>
      </c>
      <c r="E514" s="672" t="n">
        <v>1</v>
      </c>
      <c r="F514" s="674" t="inlineStr">
        <is>
          <t>Abonnement  "Google Workspace"</t>
        </is>
      </c>
      <c r="G514" s="675" t="inlineStr">
        <is>
          <t>VALIDE</t>
        </is>
      </c>
      <c r="H514" s="672" t="inlineStr">
        <is>
          <t>APPROUVE</t>
        </is>
      </c>
      <c r="I514" s="672" t="inlineStr">
        <is>
          <t>427 CT/SNRT/2024</t>
        </is>
      </c>
      <c r="J514" s="675" t="inlineStr">
        <is>
          <t>NON CONCERNE</t>
        </is>
      </c>
      <c r="K514" s="672" t="inlineStr">
        <is>
          <t>Ordinaire</t>
        </is>
      </c>
      <c r="L514" s="676" t="inlineStr">
        <is>
          <t>FONCTIONNEMENT</t>
        </is>
      </c>
      <c r="M514" s="676" t="inlineStr">
        <is>
          <t>Redevances et cotisations</t>
        </is>
      </c>
      <c r="N514" s="677" t="n"/>
      <c r="O514" s="678" t="n"/>
      <c r="P514" s="678" t="n"/>
      <c r="Q514" s="672" t="inlineStr">
        <is>
          <t>RECONDUCTIBLE</t>
        </is>
      </c>
      <c r="R514" s="679" t="n"/>
      <c r="S514" s="680" t="n"/>
      <c r="T514" s="681" t="inlineStr">
        <is>
          <t>NPONE SARL</t>
        </is>
      </c>
      <c r="U514" s="672" t="n">
        <v>2024</v>
      </c>
      <c r="V514" s="680" t="n"/>
      <c r="W514" s="680" t="n"/>
      <c r="X514" s="680" t="n"/>
      <c r="Y514" s="677" t="n">
        <v>283200</v>
      </c>
      <c r="Z514" s="678" t="n">
        <v>0</v>
      </c>
      <c r="AA514" s="678" t="n">
        <v>339840</v>
      </c>
      <c r="AB514" s="678" t="n"/>
      <c r="AC514" s="678" t="n">
        <v>0</v>
      </c>
      <c r="AD514" s="678" t="n">
        <v>339840</v>
      </c>
      <c r="AE514" s="682" t="inlineStr">
        <is>
          <t>ENGAGE</t>
        </is>
      </c>
      <c r="AF514" s="681" t="n"/>
      <c r="AG514" s="678" t="n"/>
      <c r="AH514" s="678" t="n"/>
      <c r="AI514" s="678" t="n"/>
      <c r="AJ514" s="678" t="n"/>
      <c r="AK514" s="683" t="n"/>
      <c r="AL514" s="683" t="n"/>
      <c r="AM514" s="681" t="n"/>
    </row>
    <row r="515" ht="54.6" customHeight="1" s="392">
      <c r="A515" s="672" t="n">
        <v>2025</v>
      </c>
      <c r="B515" s="673" t="inlineStr">
        <is>
          <t>DTSI</t>
        </is>
      </c>
      <c r="C515" s="673" t="inlineStr">
        <is>
          <t>RECONDUCTIBLE</t>
        </is>
      </c>
      <c r="D515" s="672" t="inlineStr">
        <is>
          <t>CONTRAT</t>
        </is>
      </c>
      <c r="E515" s="672" t="n">
        <v>1</v>
      </c>
      <c r="F515" s="674" t="inlineStr">
        <is>
          <t>Abonnement au service de synthése vocale basée sur les voix Text-To-Speech de Google Cloud AI pour les besoins de la SNRT.</t>
        </is>
      </c>
      <c r="G515" s="675" t="inlineStr">
        <is>
          <t>VALIDE</t>
        </is>
      </c>
      <c r="H515" s="672" t="inlineStr">
        <is>
          <t>APPROUVE</t>
        </is>
      </c>
      <c r="I515" s="672" t="inlineStr">
        <is>
          <t>471 CT/SNRT/2025</t>
        </is>
      </c>
      <c r="J515" s="675" t="inlineStr">
        <is>
          <t>NON CONCERNE</t>
        </is>
      </c>
      <c r="K515" s="672" t="inlineStr">
        <is>
          <t>Ordinaire</t>
        </is>
      </c>
      <c r="L515" s="676" t="inlineStr">
        <is>
          <t>FONCTIONNEMENT</t>
        </is>
      </c>
      <c r="M515" s="676" t="inlineStr">
        <is>
          <t>Redevances et cotisations</t>
        </is>
      </c>
      <c r="N515" s="677" t="n"/>
      <c r="O515" s="678" t="n"/>
      <c r="P515" s="678" t="n"/>
      <c r="Q515" s="672" t="inlineStr">
        <is>
          <t>RECONDUCTIBLE</t>
        </is>
      </c>
      <c r="R515" s="679" t="n"/>
      <c r="S515" s="680" t="n"/>
      <c r="T515" s="681" t="inlineStr">
        <is>
          <t>ONE CLOUD</t>
        </is>
      </c>
      <c r="U515" s="672" t="n">
        <v>2025</v>
      </c>
      <c r="V515" s="680" t="n"/>
      <c r="W515" s="680" t="n"/>
      <c r="X515" s="680" t="n"/>
      <c r="Y515" s="677" t="n">
        <v>114720</v>
      </c>
      <c r="Z515" s="678" t="n">
        <v>0</v>
      </c>
      <c r="AA515" s="678" t="n">
        <v>137664</v>
      </c>
      <c r="AB515" s="678" t="n">
        <v>0</v>
      </c>
      <c r="AC515" s="678" t="n">
        <v>114720</v>
      </c>
      <c r="AD515" s="678" t="n">
        <v>137664</v>
      </c>
      <c r="AE515" s="682" t="inlineStr">
        <is>
          <t>ENGAGE</t>
        </is>
      </c>
      <c r="AF515" s="681" t="n"/>
      <c r="AG515" s="678" t="n"/>
      <c r="AH515" s="678" t="n"/>
      <c r="AI515" s="678" t="n"/>
      <c r="AJ515" s="678" t="n"/>
      <c r="AK515" s="683" t="n"/>
      <c r="AL515" s="683" t="n"/>
      <c r="AM515" s="681" t="n"/>
    </row>
    <row r="516" ht="50.55" customHeight="1" s="392">
      <c r="A516" s="672" t="n">
        <v>2025</v>
      </c>
      <c r="B516" s="673" t="inlineStr">
        <is>
          <t>DTSI</t>
        </is>
      </c>
      <c r="C516" s="673" t="inlineStr">
        <is>
          <t>RECONDUCTIBLE</t>
        </is>
      </c>
      <c r="D516" s="672" t="inlineStr">
        <is>
          <t>CONTRAT</t>
        </is>
      </c>
      <c r="E516" s="672" t="n">
        <v>1</v>
      </c>
      <c r="F516" s="674" t="inlineStr">
        <is>
          <t>Services (transcodage, segmentation et streaming Live sur internet) pour les chaînes TV et Radio de la SNRT.</t>
        </is>
      </c>
      <c r="G516" s="675" t="inlineStr">
        <is>
          <t>VALIDE</t>
        </is>
      </c>
      <c r="H516" s="672" t="inlineStr">
        <is>
          <t>APPROUVE</t>
        </is>
      </c>
      <c r="I516" s="672" t="inlineStr">
        <is>
          <t>389 CT/SNRT/2025</t>
        </is>
      </c>
      <c r="J516" s="675" t="inlineStr">
        <is>
          <t>NON CONCERNE</t>
        </is>
      </c>
      <c r="K516" s="672" t="inlineStr">
        <is>
          <t>Ordinaire</t>
        </is>
      </c>
      <c r="L516" s="676" t="inlineStr">
        <is>
          <t>FONCTIONNEMENT</t>
        </is>
      </c>
      <c r="M516" s="676" t="inlineStr">
        <is>
          <t>Prestation de services
Achat prestations de services locales - sociétés</t>
        </is>
      </c>
      <c r="N516" s="677" t="n"/>
      <c r="O516" s="678" t="n"/>
      <c r="P516" s="678" t="n"/>
      <c r="Q516" s="672" t="inlineStr">
        <is>
          <t>RECONDUCTIBLE</t>
        </is>
      </c>
      <c r="R516" s="679" t="n"/>
      <c r="S516" s="680" t="n"/>
      <c r="T516" s="681" t="inlineStr">
        <is>
          <t>EASYBROADCAST</t>
        </is>
      </c>
      <c r="U516" s="672" t="n">
        <v>2025</v>
      </c>
      <c r="V516" s="680" t="n"/>
      <c r="W516" s="680" t="n"/>
      <c r="X516" s="680" t="n"/>
      <c r="Y516" s="677" t="n">
        <v>1644442.8</v>
      </c>
      <c r="Z516" s="678" t="n">
        <v>156000</v>
      </c>
      <c r="AA516" s="678" t="n">
        <v>1644442.8</v>
      </c>
      <c r="AB516" s="678" t="n">
        <v>156000</v>
      </c>
      <c r="AC516" s="678" t="n">
        <v>1644442.8</v>
      </c>
      <c r="AD516" s="678" t="n">
        <v>1644442.8</v>
      </c>
      <c r="AE516" s="682" t="inlineStr">
        <is>
          <t>ENGAGE</t>
        </is>
      </c>
      <c r="AF516" s="681" t="n"/>
      <c r="AG516" s="678" t="n"/>
      <c r="AH516" s="678" t="n"/>
      <c r="AI516" s="678" t="n"/>
      <c r="AJ516" s="678" t="n"/>
      <c r="AK516" s="683" t="n"/>
      <c r="AL516" s="683" t="n"/>
      <c r="AM516" s="681" t="n"/>
    </row>
    <row r="517" ht="38.40000000000001" customHeight="1" s="392">
      <c r="A517" s="672" t="n">
        <v>2025</v>
      </c>
      <c r="B517" s="673" t="inlineStr">
        <is>
          <t>DG</t>
        </is>
      </c>
      <c r="C517" s="673" t="inlineStr">
        <is>
          <t>RECONDUCTIBLE</t>
        </is>
      </c>
      <c r="D517" s="672" t="inlineStr">
        <is>
          <t>CONTRAT</t>
        </is>
      </c>
      <c r="E517" s="672" t="n">
        <v>1</v>
      </c>
      <c r="F517" s="674" t="inlineStr">
        <is>
          <t xml:space="preserve"> Consultant s’engage à accomplir une mission de conseil, d’étude et d’expertise, au profit de la SNRT.</t>
        </is>
      </c>
      <c r="G517" s="675" t="inlineStr">
        <is>
          <t>VALIDE</t>
        </is>
      </c>
      <c r="H517" s="672" t="inlineStr">
        <is>
          <t>APPROUVE</t>
        </is>
      </c>
      <c r="I517" s="672" t="inlineStr">
        <is>
          <t>445 CT/SNRT/2025</t>
        </is>
      </c>
      <c r="J517" s="675" t="inlineStr">
        <is>
          <t>NON CONCERNE</t>
        </is>
      </c>
      <c r="K517" s="672" t="inlineStr">
        <is>
          <t>Ordinaire</t>
        </is>
      </c>
      <c r="L517" s="676" t="inlineStr">
        <is>
          <t>FONCTIONNEMENT</t>
        </is>
      </c>
      <c r="M517" s="676" t="inlineStr">
        <is>
          <t>Honoraires et rémunération du personnel occasionnel</t>
        </is>
      </c>
      <c r="N517" s="677" t="n"/>
      <c r="O517" s="678" t="n"/>
      <c r="P517" s="678" t="n"/>
      <c r="Q517" s="672" t="inlineStr">
        <is>
          <t>RECONDUCTIBLE</t>
        </is>
      </c>
      <c r="R517" s="679" t="n"/>
      <c r="S517" s="680" t="n"/>
      <c r="T517" s="681" t="inlineStr">
        <is>
          <t>TALBI AUDIT ET CONSEIL</t>
        </is>
      </c>
      <c r="U517" s="672" t="n">
        <v>2025</v>
      </c>
      <c r="V517" s="680" t="n"/>
      <c r="W517" s="680" t="n"/>
      <c r="X517" s="680" t="n"/>
      <c r="Y517" s="677" t="n">
        <v>480000</v>
      </c>
      <c r="Z517" s="678" t="n">
        <v>0</v>
      </c>
      <c r="AA517" s="678" t="n">
        <v>576000</v>
      </c>
      <c r="AB517" s="678" t="n">
        <v>0</v>
      </c>
      <c r="AC517" s="678" t="n">
        <v>480000</v>
      </c>
      <c r="AD517" s="678" t="n">
        <v>576000</v>
      </c>
      <c r="AE517" s="682" t="inlineStr">
        <is>
          <t>ENGAGE</t>
        </is>
      </c>
      <c r="AF517" s="681" t="n"/>
      <c r="AG517" s="678" t="n"/>
      <c r="AH517" s="678" t="n"/>
      <c r="AI517" s="678" t="n"/>
      <c r="AJ517" s="678" t="n"/>
      <c r="AK517" s="683" t="n"/>
      <c r="AL517" s="683" t="n"/>
      <c r="AM517" s="681" t="n"/>
    </row>
    <row r="518" ht="35.7" customHeight="1" s="392">
      <c r="A518" s="672" t="n">
        <v>2023</v>
      </c>
      <c r="B518" s="673" t="inlineStr">
        <is>
          <t>DACG</t>
        </is>
      </c>
      <c r="C518" s="673" t="inlineStr">
        <is>
          <t>RECONDUCTIBLE</t>
        </is>
      </c>
      <c r="D518" s="672" t="inlineStr">
        <is>
          <t>CONTRAT</t>
        </is>
      </c>
      <c r="E518" s="672" t="n">
        <v>1</v>
      </c>
      <c r="F518" s="674" t="inlineStr">
        <is>
          <t>Abonnement à la base de données ARTEMIS</t>
        </is>
      </c>
      <c r="G518" s="675" t="inlineStr">
        <is>
          <t>VALIDE</t>
        </is>
      </c>
      <c r="H518" s="672" t="inlineStr">
        <is>
          <t>APPROUVE</t>
        </is>
      </c>
      <c r="I518" s="680" t="n">
        <v>45292</v>
      </c>
      <c r="J518" s="675" t="inlineStr">
        <is>
          <t>NON CONCERNE</t>
        </is>
      </c>
      <c r="K518" s="672" t="inlineStr">
        <is>
          <t>Ordinaire</t>
        </is>
      </c>
      <c r="L518" s="676" t="inlineStr">
        <is>
          <t>FONCTIONNEMENT</t>
        </is>
      </c>
      <c r="M518" s="676" t="inlineStr">
        <is>
          <t>Redevances et cotisations
Abonnements</t>
        </is>
      </c>
      <c r="N518" s="677" t="n"/>
      <c r="O518" s="678" t="n"/>
      <c r="P518" s="678" t="n"/>
      <c r="Q518" s="672" t="inlineStr">
        <is>
          <t>RECONDUCTIBLE</t>
        </is>
      </c>
      <c r="R518" s="679" t="n"/>
      <c r="S518" s="680" t="n"/>
      <c r="T518" s="681" t="inlineStr">
        <is>
          <t>ARTEMIS</t>
        </is>
      </c>
      <c r="U518" s="672" t="n">
        <v>2024</v>
      </c>
      <c r="V518" s="680" t="n"/>
      <c r="W518" s="680" t="n"/>
      <c r="X518" s="680" t="n"/>
      <c r="Y518" s="677">
        <f>AC518</f>
        <v/>
      </c>
      <c r="Z518" s="678" t="n">
        <v>0</v>
      </c>
      <c r="AA518" s="678">
        <f>AD518</f>
        <v/>
      </c>
      <c r="AB518" s="678" t="n">
        <v>0</v>
      </c>
      <c r="AC518" s="678">
        <f>AD518/1.2</f>
        <v/>
      </c>
      <c r="AD518" s="678" t="n">
        <v>118500</v>
      </c>
      <c r="AE518" s="682" t="inlineStr">
        <is>
          <t>ENGAGE</t>
        </is>
      </c>
      <c r="AF518" s="681" t="n"/>
      <c r="AG518" s="678" t="n"/>
      <c r="AH518" s="678" t="n"/>
      <c r="AI518" s="678" t="n"/>
      <c r="AJ518" s="678" t="n"/>
      <c r="AK518" s="683" t="n"/>
      <c r="AL518" s="683" t="n"/>
      <c r="AM518" s="681" t="n"/>
    </row>
    <row r="519" ht="38.40000000000001" customHeight="1" s="392">
      <c r="A519" s="672" t="n">
        <v>2023</v>
      </c>
      <c r="B519" s="673" t="inlineStr">
        <is>
          <t>DACG</t>
        </is>
      </c>
      <c r="C519" s="673" t="inlineStr">
        <is>
          <t>RECONDUCTIBLE</t>
        </is>
      </c>
      <c r="D519" s="672" t="inlineStr">
        <is>
          <t>CONTRAT</t>
        </is>
      </c>
      <c r="E519" s="672" t="n">
        <v>1</v>
      </c>
      <c r="F519" s="674" t="inlineStr">
        <is>
          <t>Consultations portant sur des problématiques spécifiques liées aux domaines comptable, fiscal et social</t>
        </is>
      </c>
      <c r="G519" s="675" t="inlineStr">
        <is>
          <t>VALIDE</t>
        </is>
      </c>
      <c r="H519" s="672" t="inlineStr">
        <is>
          <t>APPROUVE</t>
        </is>
      </c>
      <c r="I519" s="672" t="inlineStr">
        <is>
          <t>404 CT/SNRT/2023</t>
        </is>
      </c>
      <c r="J519" s="675" t="inlineStr">
        <is>
          <t>NON CONCERNE</t>
        </is>
      </c>
      <c r="K519" s="672" t="inlineStr">
        <is>
          <t>Ordinaire</t>
        </is>
      </c>
      <c r="L519" s="676" t="inlineStr">
        <is>
          <t>FONCTIONNEMENT</t>
        </is>
      </c>
      <c r="M519" s="676" t="inlineStr">
        <is>
          <t>Honoraires et rémunération du personnel occasionnel</t>
        </is>
      </c>
      <c r="N519" s="677" t="n"/>
      <c r="O519" s="678" t="n"/>
      <c r="P519" s="678" t="n"/>
      <c r="Q519" s="672" t="inlineStr">
        <is>
          <t>RECONDUCTIBLE</t>
        </is>
      </c>
      <c r="R519" s="679" t="n"/>
      <c r="S519" s="680" t="n"/>
      <c r="T519" s="681" t="inlineStr">
        <is>
          <t>EL JERARI AUDIT CONSEIL</t>
        </is>
      </c>
      <c r="U519" s="672" t="n">
        <v>2023</v>
      </c>
      <c r="V519" s="680" t="n"/>
      <c r="W519" s="680" t="n"/>
      <c r="X519" s="680" t="n"/>
      <c r="Y519" s="677">
        <f>AA519/1.2</f>
        <v/>
      </c>
      <c r="Z519" s="678" t="n">
        <v>0</v>
      </c>
      <c r="AA519" s="678" t="n">
        <v>100000</v>
      </c>
      <c r="AB519" s="678" t="n">
        <v>0</v>
      </c>
      <c r="AC519" s="678">
        <f>Y519</f>
        <v/>
      </c>
      <c r="AD519" s="678">
        <f>AA519</f>
        <v/>
      </c>
      <c r="AE519" s="682" t="inlineStr">
        <is>
          <t>ENGAGE</t>
        </is>
      </c>
      <c r="AF519" s="681" t="n"/>
      <c r="AG519" s="678" t="n"/>
      <c r="AH519" s="678" t="n"/>
      <c r="AI519" s="678" t="n"/>
      <c r="AJ519" s="678" t="n"/>
      <c r="AK519" s="683" t="n"/>
      <c r="AL519" s="683" t="n"/>
      <c r="AM519" s="681" t="inlineStr">
        <is>
          <t>R.A.S</t>
        </is>
      </c>
    </row>
    <row r="520" ht="35.7" customHeight="1" s="392">
      <c r="A520" s="672" t="n">
        <v>2022</v>
      </c>
      <c r="B520" s="673" t="inlineStr">
        <is>
          <t>DACG</t>
        </is>
      </c>
      <c r="C520" s="673" t="inlineStr">
        <is>
          <t>RECONDUCTIBLE</t>
        </is>
      </c>
      <c r="D520" s="672" t="inlineStr">
        <is>
          <t>CONTRAT</t>
        </is>
      </c>
      <c r="E520" s="672" t="n">
        <v>1</v>
      </c>
      <c r="F520" s="674" t="inlineStr">
        <is>
          <t>Prestation de conseil juridique au profit de la SNRT</t>
        </is>
      </c>
      <c r="G520" s="675" t="inlineStr">
        <is>
          <t>VALIDE</t>
        </is>
      </c>
      <c r="H520" s="672" t="inlineStr">
        <is>
          <t>APPROUVE</t>
        </is>
      </c>
      <c r="I520" s="672" t="inlineStr">
        <is>
          <t>529 CT/SNRT/2022</t>
        </is>
      </c>
      <c r="J520" s="675" t="inlineStr">
        <is>
          <t>NON CONCERNE</t>
        </is>
      </c>
      <c r="K520" s="672" t="inlineStr">
        <is>
          <t>Ordinaire</t>
        </is>
      </c>
      <c r="L520" s="676" t="inlineStr">
        <is>
          <t>FONCTIONNEMENT</t>
        </is>
      </c>
      <c r="M520" s="676" t="inlineStr">
        <is>
          <t>Honoraires et rémunération du personnel occasionnel</t>
        </is>
      </c>
      <c r="N520" s="677" t="n"/>
      <c r="O520" s="678" t="n"/>
      <c r="P520" s="678" t="n"/>
      <c r="Q520" s="672" t="inlineStr">
        <is>
          <t>RECONDUCTIBLE</t>
        </is>
      </c>
      <c r="R520" s="679" t="n"/>
      <c r="S520" s="680" t="n"/>
      <c r="T520" s="681" t="inlineStr">
        <is>
          <t>AB LAW</t>
        </is>
      </c>
      <c r="U520" s="672" t="n">
        <v>2022</v>
      </c>
      <c r="V520" s="680" t="n"/>
      <c r="W520" s="680" t="n"/>
      <c r="X520" s="680" t="n"/>
      <c r="Y520" s="677">
        <f>AA520/1.2</f>
        <v/>
      </c>
      <c r="Z520" s="678" t="n">
        <v>0</v>
      </c>
      <c r="AA520" s="678" t="n">
        <v>100000</v>
      </c>
      <c r="AB520" s="678" t="n">
        <v>0</v>
      </c>
      <c r="AC520" s="678">
        <f>Y520</f>
        <v/>
      </c>
      <c r="AD520" s="678">
        <f>AA520</f>
        <v/>
      </c>
      <c r="AE520" s="682" t="inlineStr">
        <is>
          <t>ENGAGE</t>
        </is>
      </c>
      <c r="AF520" s="681" t="n"/>
      <c r="AG520" s="678" t="n"/>
      <c r="AH520" s="678" t="n"/>
      <c r="AI520" s="678" t="n"/>
      <c r="AJ520" s="678" t="n"/>
      <c r="AK520" s="683" t="n"/>
      <c r="AL520" s="683" t="n"/>
      <c r="AM520" s="681" t="inlineStr">
        <is>
          <t>R.A.S</t>
        </is>
      </c>
    </row>
    <row r="521" ht="32" customHeight="1" s="392">
      <c r="A521" s="672" t="inlineStr">
        <is>
          <t>-</t>
        </is>
      </c>
      <c r="B521" s="673" t="inlineStr">
        <is>
          <t>TDF -SITES</t>
        </is>
      </c>
      <c r="C521" s="673" t="inlineStr">
        <is>
          <t>RECONDUCTIBLE</t>
        </is>
      </c>
      <c r="D521" s="672" t="inlineStr">
        <is>
          <t>CONTRAT</t>
        </is>
      </c>
      <c r="E521" s="672" t="n">
        <v>1</v>
      </c>
      <c r="F521" s="674" t="inlineStr">
        <is>
          <t xml:space="preserve"> Prestation satellitaire Nilesat</t>
        </is>
      </c>
      <c r="G521" s="675" t="inlineStr">
        <is>
          <t>VALIDE</t>
        </is>
      </c>
      <c r="H521" s="672" t="inlineStr">
        <is>
          <t>APPROUVE</t>
        </is>
      </c>
      <c r="I521" s="691" t="n"/>
      <c r="J521" s="675" t="inlineStr">
        <is>
          <t>NON CONCERNE</t>
        </is>
      </c>
      <c r="K521" s="672" t="inlineStr">
        <is>
          <t>Ordinaire</t>
        </is>
      </c>
      <c r="L521" s="676" t="inlineStr">
        <is>
          <t>FONCTIONNEMENT</t>
        </is>
      </c>
      <c r="M521" s="676" t="inlineStr">
        <is>
          <t>Redevances satellitaires</t>
        </is>
      </c>
      <c r="N521" s="677" t="n"/>
      <c r="O521" s="678" t="n"/>
      <c r="P521" s="678" t="n"/>
      <c r="Q521" s="672" t="inlineStr">
        <is>
          <t>RECONDUCTIBLE</t>
        </is>
      </c>
      <c r="R521" s="679" t="n"/>
      <c r="S521" s="680" t="n"/>
      <c r="T521" s="681" t="inlineStr">
        <is>
          <t>NILESAT</t>
        </is>
      </c>
      <c r="U521" s="672" t="inlineStr">
        <is>
          <t>-</t>
        </is>
      </c>
      <c r="V521" s="680" t="n"/>
      <c r="W521" s="680" t="n"/>
      <c r="X521" s="680" t="n"/>
      <c r="Y521" s="677">
        <f>AC521</f>
        <v/>
      </c>
      <c r="Z521" s="678" t="inlineStr">
        <is>
          <t>-</t>
        </is>
      </c>
      <c r="AA521" s="678">
        <f>AC521</f>
        <v/>
      </c>
      <c r="AB521" s="678" t="inlineStr">
        <is>
          <t>-</t>
        </is>
      </c>
      <c r="AC521" s="678">
        <f>AD521</f>
        <v/>
      </c>
      <c r="AD521" s="678" t="n">
        <v>3000000</v>
      </c>
      <c r="AE521" s="682" t="inlineStr">
        <is>
          <t>ENGAGE</t>
        </is>
      </c>
      <c r="AF521" s="681" t="n"/>
      <c r="AG521" s="678" t="n"/>
      <c r="AH521" s="678" t="n"/>
      <c r="AI521" s="678" t="n"/>
      <c r="AJ521" s="678" t="n"/>
      <c r="AK521" s="683" t="n"/>
      <c r="AL521" s="683" t="n"/>
      <c r="AM521" s="681" t="n"/>
    </row>
    <row r="522" ht="32" customHeight="1" s="392">
      <c r="A522" s="672" t="inlineStr">
        <is>
          <t>-</t>
        </is>
      </c>
      <c r="B522" s="673" t="inlineStr">
        <is>
          <t>TDF -SITES</t>
        </is>
      </c>
      <c r="C522" s="673" t="inlineStr">
        <is>
          <t>RECONDUCTIBLE</t>
        </is>
      </c>
      <c r="D522" s="672" t="inlineStr">
        <is>
          <t>CONTRAT</t>
        </is>
      </c>
      <c r="E522" s="672" t="n">
        <v>1</v>
      </c>
      <c r="F522" s="674" t="inlineStr">
        <is>
          <t>Prestation satellitaire Arabsat</t>
        </is>
      </c>
      <c r="G522" s="675" t="inlineStr">
        <is>
          <t>VALIDE</t>
        </is>
      </c>
      <c r="H522" s="672" t="inlineStr">
        <is>
          <t>APPROUVE</t>
        </is>
      </c>
      <c r="I522" s="691" t="n"/>
      <c r="J522" s="675" t="inlineStr">
        <is>
          <t>NON CONCERNE</t>
        </is>
      </c>
      <c r="K522" s="672" t="inlineStr">
        <is>
          <t>Ordinaire</t>
        </is>
      </c>
      <c r="L522" s="676" t="inlineStr">
        <is>
          <t>FONCTIONNEMENT</t>
        </is>
      </c>
      <c r="M522" s="676" t="inlineStr">
        <is>
          <t>Redevances satellitaires</t>
        </is>
      </c>
      <c r="N522" s="677" t="n"/>
      <c r="O522" s="678" t="n"/>
      <c r="P522" s="678" t="n"/>
      <c r="Q522" s="672" t="inlineStr">
        <is>
          <t>RECONDUCTIBLE</t>
        </is>
      </c>
      <c r="R522" s="679" t="n"/>
      <c r="S522" s="680" t="n"/>
      <c r="T522" s="681" t="inlineStr">
        <is>
          <t>ARABSAT</t>
        </is>
      </c>
      <c r="U522" s="672" t="inlineStr">
        <is>
          <t>-</t>
        </is>
      </c>
      <c r="V522" s="680" t="n"/>
      <c r="W522" s="680" t="n"/>
      <c r="X522" s="680" t="n"/>
      <c r="Y522" s="677">
        <f>AC522</f>
        <v/>
      </c>
      <c r="Z522" s="678" t="inlineStr">
        <is>
          <t>-</t>
        </is>
      </c>
      <c r="AA522" s="678">
        <f>AC522</f>
        <v/>
      </c>
      <c r="AB522" s="678" t="inlineStr">
        <is>
          <t>-</t>
        </is>
      </c>
      <c r="AC522" s="678" t="n">
        <v>2340000</v>
      </c>
      <c r="AD522" s="678" t="n">
        <v>2340000</v>
      </c>
      <c r="AE522" s="682" t="inlineStr">
        <is>
          <t>ENGAGE</t>
        </is>
      </c>
      <c r="AF522" s="681" t="n"/>
      <c r="AG522" s="678" t="n"/>
      <c r="AH522" s="678" t="n"/>
      <c r="AI522" s="678" t="n"/>
      <c r="AJ522" s="678" t="n"/>
      <c r="AK522" s="683" t="n"/>
      <c r="AL522" s="683" t="n"/>
      <c r="AM522" s="681" t="n"/>
    </row>
    <row r="523" ht="32" customHeight="1" s="392">
      <c r="A523" s="672" t="inlineStr">
        <is>
          <t>-</t>
        </is>
      </c>
      <c r="B523" s="673" t="inlineStr">
        <is>
          <t>TDF -SITES</t>
        </is>
      </c>
      <c r="C523" s="673" t="inlineStr">
        <is>
          <t>RECONDUCTIBLE</t>
        </is>
      </c>
      <c r="D523" s="672" t="inlineStr">
        <is>
          <t>CONTRAT</t>
        </is>
      </c>
      <c r="E523" s="672" t="n">
        <v>1</v>
      </c>
      <c r="F523" s="674" t="inlineStr">
        <is>
          <t>Prestation satellitaire Es'hailsat</t>
        </is>
      </c>
      <c r="G523" s="675" t="inlineStr">
        <is>
          <t>VALIDE</t>
        </is>
      </c>
      <c r="H523" s="672" t="inlineStr">
        <is>
          <t>APPROUVE</t>
        </is>
      </c>
      <c r="I523" s="691" t="n"/>
      <c r="J523" s="675" t="inlineStr">
        <is>
          <t>NON CONCERNE</t>
        </is>
      </c>
      <c r="K523" s="672" t="inlineStr">
        <is>
          <t>Ordinaire</t>
        </is>
      </c>
      <c r="L523" s="676" t="inlineStr">
        <is>
          <t>FONCTIONNEMENT</t>
        </is>
      </c>
      <c r="M523" s="676" t="inlineStr">
        <is>
          <t>Redevances satellitaires</t>
        </is>
      </c>
      <c r="N523" s="677" t="n"/>
      <c r="O523" s="678" t="n"/>
      <c r="P523" s="678" t="n"/>
      <c r="Q523" s="672" t="inlineStr">
        <is>
          <t>RECONDUCTIBLE</t>
        </is>
      </c>
      <c r="R523" s="679" t="n"/>
      <c r="S523" s="680" t="n"/>
      <c r="T523" s="681" t="inlineStr">
        <is>
          <t>ES'HAILSAT</t>
        </is>
      </c>
      <c r="U523" s="672" t="inlineStr">
        <is>
          <t>-</t>
        </is>
      </c>
      <c r="V523" s="680" t="n"/>
      <c r="W523" s="680" t="n"/>
      <c r="X523" s="680" t="n"/>
      <c r="Y523" s="677">
        <f>AC523</f>
        <v/>
      </c>
      <c r="Z523" s="678" t="inlineStr">
        <is>
          <t>-</t>
        </is>
      </c>
      <c r="AA523" s="678">
        <f>AD523</f>
        <v/>
      </c>
      <c r="AB523" s="678" t="inlineStr">
        <is>
          <t>-</t>
        </is>
      </c>
      <c r="AC523" s="678">
        <f>AD523/1.2</f>
        <v/>
      </c>
      <c r="AD523" s="678" t="n">
        <v>18960000</v>
      </c>
      <c r="AE523" s="682" t="inlineStr">
        <is>
          <t>ENGAGE</t>
        </is>
      </c>
      <c r="AF523" s="681" t="n"/>
      <c r="AG523" s="678" t="n"/>
      <c r="AH523" s="678" t="n"/>
      <c r="AI523" s="678" t="n"/>
      <c r="AJ523" s="678" t="n"/>
      <c r="AK523" s="683" t="n"/>
      <c r="AL523" s="683" t="n"/>
      <c r="AM523" s="681" t="n"/>
    </row>
    <row r="524" ht="32" customHeight="1" s="392">
      <c r="A524" s="672" t="inlineStr">
        <is>
          <t>-</t>
        </is>
      </c>
      <c r="B524" s="673" t="inlineStr">
        <is>
          <t>TDF -SITES</t>
        </is>
      </c>
      <c r="C524" s="673" t="inlineStr">
        <is>
          <t>RECONDUCTIBLE</t>
        </is>
      </c>
      <c r="D524" s="672" t="inlineStr">
        <is>
          <t>CONTRAT</t>
        </is>
      </c>
      <c r="E524" s="672" t="n">
        <v>1</v>
      </c>
      <c r="F524" s="674" t="inlineStr">
        <is>
          <t>Prestation satellitaire Eutelsat</t>
        </is>
      </c>
      <c r="G524" s="675" t="inlineStr">
        <is>
          <t>VALIDE</t>
        </is>
      </c>
      <c r="H524" s="672" t="inlineStr">
        <is>
          <t>APPROUVE</t>
        </is>
      </c>
      <c r="I524" s="691" t="n"/>
      <c r="J524" s="675" t="inlineStr">
        <is>
          <t>NON CONCERNE</t>
        </is>
      </c>
      <c r="K524" s="672" t="inlineStr">
        <is>
          <t>Ordinaire</t>
        </is>
      </c>
      <c r="L524" s="676" t="inlineStr">
        <is>
          <t>FONCTIONNEMENT</t>
        </is>
      </c>
      <c r="M524" s="676" t="inlineStr">
        <is>
          <t>Redevances satellitaires</t>
        </is>
      </c>
      <c r="N524" s="677" t="n"/>
      <c r="O524" s="678" t="n"/>
      <c r="P524" s="678" t="n"/>
      <c r="Q524" s="672" t="inlineStr">
        <is>
          <t>RECONDUCTIBLE</t>
        </is>
      </c>
      <c r="R524" s="679" t="n"/>
      <c r="S524" s="680" t="n"/>
      <c r="T524" s="681" t="inlineStr">
        <is>
          <t>EUTELSAT</t>
        </is>
      </c>
      <c r="U524" s="672" t="inlineStr">
        <is>
          <t>-</t>
        </is>
      </c>
      <c r="V524" s="680" t="n"/>
      <c r="W524" s="680" t="n"/>
      <c r="X524" s="680" t="n"/>
      <c r="Y524" s="677" t="n">
        <v>66430944.36</v>
      </c>
      <c r="Z524" s="678" t="inlineStr">
        <is>
          <t>-</t>
        </is>
      </c>
      <c r="AA524" s="678" t="n">
        <v>66430944.36</v>
      </c>
      <c r="AB524" s="678" t="inlineStr">
        <is>
          <t>-</t>
        </is>
      </c>
      <c r="AC524" s="678" t="n">
        <v>66430944.36</v>
      </c>
      <c r="AD524" s="678" t="n">
        <v>66430944.36</v>
      </c>
      <c r="AE524" s="682" t="inlineStr">
        <is>
          <t>ENGAGE</t>
        </is>
      </c>
      <c r="AF524" s="681" t="n"/>
      <c r="AG524" s="678" t="n"/>
      <c r="AH524" s="678" t="n"/>
      <c r="AI524" s="678" t="n"/>
      <c r="AJ524" s="678" t="n"/>
      <c r="AK524" s="683" t="n"/>
      <c r="AL524" s="683" t="n"/>
      <c r="AM524" s="681" t="n"/>
    </row>
    <row r="525" ht="32" customHeight="1" s="392">
      <c r="A525" s="672" t="inlineStr">
        <is>
          <t>-</t>
        </is>
      </c>
      <c r="B525" s="673" t="inlineStr">
        <is>
          <t>TDF -SITES</t>
        </is>
      </c>
      <c r="C525" s="673" t="inlineStr">
        <is>
          <t>RECONDUCTIBLE</t>
        </is>
      </c>
      <c r="D525" s="672" t="inlineStr">
        <is>
          <t>CONTRAT</t>
        </is>
      </c>
      <c r="E525" s="672" t="n">
        <v>1</v>
      </c>
      <c r="F525" s="674" t="inlineStr">
        <is>
          <t>Prestation GlobeCast</t>
        </is>
      </c>
      <c r="G525" s="675" t="inlineStr">
        <is>
          <t>VALIDE</t>
        </is>
      </c>
      <c r="H525" s="672" t="inlineStr">
        <is>
          <t>APPROUVE</t>
        </is>
      </c>
      <c r="I525" s="691" t="n"/>
      <c r="J525" s="675" t="inlineStr">
        <is>
          <t>NON CONCERNE</t>
        </is>
      </c>
      <c r="K525" s="672" t="inlineStr">
        <is>
          <t>Ordinaire</t>
        </is>
      </c>
      <c r="L525" s="676" t="inlineStr">
        <is>
          <t>FONCTIONNEMENT</t>
        </is>
      </c>
      <c r="M525" s="676" t="inlineStr">
        <is>
          <t>Redevances satellitaires</t>
        </is>
      </c>
      <c r="N525" s="677" t="n"/>
      <c r="O525" s="678" t="n"/>
      <c r="P525" s="678" t="n"/>
      <c r="Q525" s="672" t="inlineStr">
        <is>
          <t>RECONDUCTIBLE</t>
        </is>
      </c>
      <c r="R525" s="679" t="n"/>
      <c r="S525" s="680" t="n"/>
      <c r="T525" s="681" t="inlineStr">
        <is>
          <t>GlobeCast</t>
        </is>
      </c>
      <c r="U525" s="672" t="inlineStr">
        <is>
          <t>-</t>
        </is>
      </c>
      <c r="V525" s="680" t="n"/>
      <c r="W525" s="680" t="n"/>
      <c r="X525" s="680" t="n"/>
      <c r="Y525" s="677">
        <f>AC525</f>
        <v/>
      </c>
      <c r="Z525" s="678" t="inlineStr">
        <is>
          <t>-</t>
        </is>
      </c>
      <c r="AA525" s="678">
        <f>AD525</f>
        <v/>
      </c>
      <c r="AB525" s="678" t="inlineStr">
        <is>
          <t>-</t>
        </is>
      </c>
      <c r="AC525" s="678">
        <f>AD525/1.2</f>
        <v/>
      </c>
      <c r="AD525" s="678" t="n">
        <v>1950000</v>
      </c>
      <c r="AE525" s="682" t="inlineStr">
        <is>
          <t>ENGAGE</t>
        </is>
      </c>
      <c r="AF525" s="681" t="n"/>
      <c r="AG525" s="678" t="n"/>
      <c r="AH525" s="678" t="n"/>
      <c r="AI525" s="678" t="n"/>
      <c r="AJ525" s="678" t="n"/>
      <c r="AK525" s="683" t="n"/>
      <c r="AL525" s="683" t="n"/>
      <c r="AM525" s="681" t="n"/>
    </row>
    <row r="526" ht="32" customHeight="1" s="392">
      <c r="A526" s="672" t="n">
        <v>2021</v>
      </c>
      <c r="B526" s="673" t="inlineStr">
        <is>
          <t>TDF -SITES</t>
        </is>
      </c>
      <c r="C526" s="673" t="inlineStr">
        <is>
          <t>RECONDUCTIBLE</t>
        </is>
      </c>
      <c r="D526" s="672" t="inlineStr">
        <is>
          <t>CONTRAT</t>
        </is>
      </c>
      <c r="E526" s="672" t="n">
        <v>1</v>
      </c>
      <c r="F526" s="674" t="inlineStr">
        <is>
          <t xml:space="preserve">Redevances d'assignation de fréquences </t>
        </is>
      </c>
      <c r="G526" s="675" t="inlineStr">
        <is>
          <t>VALIDE</t>
        </is>
      </c>
      <c r="H526" s="672" t="inlineStr">
        <is>
          <t>APPROUVE</t>
        </is>
      </c>
      <c r="I526" s="691" t="n"/>
      <c r="J526" s="675" t="inlineStr">
        <is>
          <t>NON CONCERNE</t>
        </is>
      </c>
      <c r="K526" s="672" t="inlineStr">
        <is>
          <t>Ordinaire</t>
        </is>
      </c>
      <c r="L526" s="676" t="inlineStr">
        <is>
          <t>FONCTIONNEMENT</t>
        </is>
      </c>
      <c r="M526" s="676" t="inlineStr">
        <is>
          <t>Redevances et cotisations</t>
        </is>
      </c>
      <c r="N526" s="677" t="n"/>
      <c r="O526" s="678" t="n"/>
      <c r="P526" s="678" t="n"/>
      <c r="Q526" s="672" t="inlineStr">
        <is>
          <t>RECONDUCTIBLE</t>
        </is>
      </c>
      <c r="R526" s="679" t="n"/>
      <c r="S526" s="680" t="n"/>
      <c r="T526" s="681" t="inlineStr">
        <is>
          <t>ANRT</t>
        </is>
      </c>
      <c r="U526" s="672" t="n">
        <v>2021</v>
      </c>
      <c r="V526" s="680" t="n"/>
      <c r="W526" s="680" t="n"/>
      <c r="X526" s="680" t="n"/>
      <c r="Y526" s="677">
        <f>AC526</f>
        <v/>
      </c>
      <c r="Z526" s="678" t="inlineStr">
        <is>
          <t>-</t>
        </is>
      </c>
      <c r="AA526" s="678">
        <f>AD526</f>
        <v/>
      </c>
      <c r="AB526" s="678" t="inlineStr">
        <is>
          <t>-</t>
        </is>
      </c>
      <c r="AC526" s="678">
        <f>AD526/1.2</f>
        <v/>
      </c>
      <c r="AD526" s="678" t="n">
        <v>1805904</v>
      </c>
      <c r="AE526" s="682" t="inlineStr">
        <is>
          <t>ENGAGE</t>
        </is>
      </c>
      <c r="AF526" s="681" t="n"/>
      <c r="AG526" s="678" t="n"/>
      <c r="AH526" s="678" t="n"/>
      <c r="AI526" s="678" t="n"/>
      <c r="AJ526" s="678" t="n"/>
      <c r="AK526" s="683" t="n"/>
      <c r="AL526" s="683" t="n"/>
      <c r="AM526" s="681" t="n"/>
    </row>
    <row r="527" ht="54.6" customHeight="1" s="392">
      <c r="A527" s="672" t="n">
        <v>2021</v>
      </c>
      <c r="B527" s="673" t="inlineStr">
        <is>
          <t>TDF -SITES</t>
        </is>
      </c>
      <c r="C527" s="673" t="inlineStr">
        <is>
          <t>RECONDUCTIBLE</t>
        </is>
      </c>
      <c r="D527" s="672" t="inlineStr">
        <is>
          <t>CONTRAT</t>
        </is>
      </c>
      <c r="E527" s="672" t="n">
        <v>1</v>
      </c>
      <c r="F527" s="674" t="inlineStr">
        <is>
          <t>Redevance pour assignation de fréquences TV, Redevance pour assignation de fréquences RD et Redevance pour assignation de fréquences radio</t>
        </is>
      </c>
      <c r="G527" s="675" t="inlineStr">
        <is>
          <t>VALIDE</t>
        </is>
      </c>
      <c r="H527" s="672" t="inlineStr">
        <is>
          <t>APPROUVE</t>
        </is>
      </c>
      <c r="I527" s="691" t="n"/>
      <c r="J527" s="675" t="inlineStr">
        <is>
          <t>NON CONCERNE</t>
        </is>
      </c>
      <c r="K527" s="672" t="inlineStr">
        <is>
          <t>Ordinaire</t>
        </is>
      </c>
      <c r="L527" s="676" t="inlineStr">
        <is>
          <t>FONCTIONNEMENT</t>
        </is>
      </c>
      <c r="M527" s="676" t="inlineStr">
        <is>
          <t>Redevances et cotisations</t>
        </is>
      </c>
      <c r="N527" s="677" t="n"/>
      <c r="O527" s="678" t="n"/>
      <c r="P527" s="678" t="n"/>
      <c r="Q527" s="672" t="inlineStr">
        <is>
          <t>RECONDUCTIBLE</t>
        </is>
      </c>
      <c r="R527" s="679" t="n"/>
      <c r="S527" s="680" t="n"/>
      <c r="T527" s="681" t="inlineStr">
        <is>
          <t>HACA</t>
        </is>
      </c>
      <c r="U527" s="672" t="n">
        <v>2021</v>
      </c>
      <c r="V527" s="680" t="n"/>
      <c r="W527" s="680" t="n"/>
      <c r="X527" s="680" t="n"/>
      <c r="Y527" s="677">
        <f>AC527</f>
        <v/>
      </c>
      <c r="Z527" s="678" t="inlineStr">
        <is>
          <t>-</t>
        </is>
      </c>
      <c r="AA527" s="678">
        <f>AD527</f>
        <v/>
      </c>
      <c r="AB527" s="678" t="inlineStr">
        <is>
          <t>-</t>
        </is>
      </c>
      <c r="AC527" s="678">
        <f>AD527/1.2</f>
        <v/>
      </c>
      <c r="AD527" s="678" t="n">
        <v>11163484.99</v>
      </c>
      <c r="AE527" s="682" t="inlineStr">
        <is>
          <t>ENGAGE</t>
        </is>
      </c>
      <c r="AF527" s="681" t="n"/>
      <c r="AG527" s="678" t="n"/>
      <c r="AH527" s="678" t="n"/>
      <c r="AI527" s="678" t="n"/>
      <c r="AJ527" s="678" t="n"/>
      <c r="AK527" s="683" t="n"/>
      <c r="AL527" s="683" t="n"/>
      <c r="AM527" s="681" t="n"/>
    </row>
    <row r="528" ht="38.40000000000001" customHeight="1" s="392">
      <c r="A528" s="672" t="n">
        <v>2023</v>
      </c>
      <c r="B528" s="673" t="inlineStr">
        <is>
          <t>TDF -SITES</t>
        </is>
      </c>
      <c r="C528" s="673" t="inlineStr">
        <is>
          <t>RECONDUCTIBLE</t>
        </is>
      </c>
      <c r="D528" s="672" t="inlineStr">
        <is>
          <t>AOO-M</t>
        </is>
      </c>
      <c r="E528" s="672" t="n">
        <v>1</v>
      </c>
      <c r="F528" s="674" t="inlineStr">
        <is>
          <t>La maintenance périodique du systéme de calcul de couverture TV et FM</t>
        </is>
      </c>
      <c r="G528" s="675" t="inlineStr">
        <is>
          <t>VALIDE</t>
        </is>
      </c>
      <c r="H528" s="672" t="inlineStr">
        <is>
          <t>APPROUVE</t>
        </is>
      </c>
      <c r="I528" s="672" t="inlineStr">
        <is>
          <t>47M/SNRT/2023</t>
        </is>
      </c>
      <c r="J528" s="675" t="inlineStr">
        <is>
          <t>NON CONCERNE</t>
        </is>
      </c>
      <c r="K528" s="672" t="inlineStr">
        <is>
          <t>Ordinaire</t>
        </is>
      </c>
      <c r="L528" s="676" t="inlineStr">
        <is>
          <t>FONCTIONNEMENT</t>
        </is>
      </c>
      <c r="M528" s="676" t="inlineStr">
        <is>
          <t>Entretien, réparation et assurance</t>
        </is>
      </c>
      <c r="N528" s="677" t="n"/>
      <c r="O528" s="678" t="n"/>
      <c r="P528" s="678" t="n"/>
      <c r="Q528" s="672" t="inlineStr">
        <is>
          <t>RECONDUCTIBLE</t>
        </is>
      </c>
      <c r="R528" s="679" t="n"/>
      <c r="S528" s="680" t="n"/>
      <c r="T528" s="681" t="inlineStr">
        <is>
          <t>LS TELECOM</t>
        </is>
      </c>
      <c r="U528" s="672" t="n">
        <v>2023</v>
      </c>
      <c r="V528" s="680" t="n"/>
      <c r="W528" s="680" t="n"/>
      <c r="X528" s="680" t="n"/>
      <c r="Y528" s="677">
        <f>AC528</f>
        <v/>
      </c>
      <c r="Z528" s="678" t="inlineStr">
        <is>
          <t>-</t>
        </is>
      </c>
      <c r="AA528" s="678">
        <f>AD528</f>
        <v/>
      </c>
      <c r="AB528" s="678" t="inlineStr">
        <is>
          <t>-</t>
        </is>
      </c>
      <c r="AC528" s="678">
        <f>AD528/1.2</f>
        <v/>
      </c>
      <c r="AD528" s="678" t="n">
        <v>180000</v>
      </c>
      <c r="AE528" s="682" t="inlineStr">
        <is>
          <t>ENGAGE</t>
        </is>
      </c>
      <c r="AF528" s="681" t="n"/>
      <c r="AG528" s="678" t="n"/>
      <c r="AH528" s="678" t="n"/>
      <c r="AI528" s="678" t="n"/>
      <c r="AJ528" s="678" t="n"/>
      <c r="AK528" s="683" t="n"/>
      <c r="AL528" s="683" t="n"/>
      <c r="AM528" s="681" t="n"/>
    </row>
    <row r="529" ht="54.6" customHeight="1" s="392">
      <c r="A529" s="672" t="n">
        <v>2023</v>
      </c>
      <c r="B529" s="673" t="inlineStr">
        <is>
          <t>TDF -SITES</t>
        </is>
      </c>
      <c r="C529" s="673" t="inlineStr">
        <is>
          <t>RECONDUCTIBLE</t>
        </is>
      </c>
      <c r="D529" s="672" t="inlineStr">
        <is>
          <t>AOO-M</t>
        </is>
      </c>
      <c r="E529" s="672" t="n">
        <v>1</v>
      </c>
      <c r="F529" s="674" t="inlineStr">
        <is>
          <t>Etude et assistance technique aux travaux d'essais d'expertises et de conrole des ouvrages (Pylones, Tours, Batiments)</t>
        </is>
      </c>
      <c r="G529" s="675" t="inlineStr">
        <is>
          <t>VALIDE</t>
        </is>
      </c>
      <c r="H529" s="672" t="inlineStr">
        <is>
          <t>APPROUVE</t>
        </is>
      </c>
      <c r="I529" s="672" t="inlineStr">
        <is>
          <t>82M/SNRT/2023</t>
        </is>
      </c>
      <c r="J529" s="675" t="inlineStr">
        <is>
          <t>NON CONCERNE</t>
        </is>
      </c>
      <c r="K529" s="672" t="inlineStr">
        <is>
          <t>Ordinaire</t>
        </is>
      </c>
      <c r="L529" s="676" t="inlineStr">
        <is>
          <t>FONCTIONNEMENT</t>
        </is>
      </c>
      <c r="M529" s="676" t="inlineStr">
        <is>
          <t>Prestation de services
Achat prestations de services locales - sociétés</t>
        </is>
      </c>
      <c r="N529" s="677" t="n"/>
      <c r="O529" s="678" t="n"/>
      <c r="P529" s="678" t="n"/>
      <c r="Q529" s="672" t="inlineStr">
        <is>
          <t>RECONDUCTIBLE</t>
        </is>
      </c>
      <c r="R529" s="679" t="n"/>
      <c r="S529" s="680" t="n"/>
      <c r="T529" s="681" t="inlineStr">
        <is>
          <t>LPEE</t>
        </is>
      </c>
      <c r="U529" s="672" t="n">
        <v>2023</v>
      </c>
      <c r="V529" s="680" t="n"/>
      <c r="W529" s="680" t="n"/>
      <c r="X529" s="680" t="n"/>
      <c r="Y529" s="677" t="n">
        <v>766500</v>
      </c>
      <c r="Z529" s="678" t="n">
        <v>0</v>
      </c>
      <c r="AA529" s="678" t="n">
        <v>919800</v>
      </c>
      <c r="AB529" s="678" t="n">
        <v>0</v>
      </c>
      <c r="AC529" s="678">
        <f>Y529</f>
        <v/>
      </c>
      <c r="AD529" s="678">
        <f>AA529</f>
        <v/>
      </c>
      <c r="AE529" s="682" t="inlineStr">
        <is>
          <t>ENGAGE</t>
        </is>
      </c>
      <c r="AF529" s="681" t="n"/>
      <c r="AG529" s="678" t="n"/>
      <c r="AH529" s="678" t="n"/>
      <c r="AI529" s="678" t="n"/>
      <c r="AJ529" s="678" t="n"/>
      <c r="AK529" s="683" t="n"/>
      <c r="AL529" s="683" t="n"/>
      <c r="AM529" s="681" t="n"/>
    </row>
    <row r="530" ht="38.40000000000001" customHeight="1" s="392">
      <c r="A530" s="672" t="n">
        <v>2022</v>
      </c>
      <c r="B530" s="673" t="inlineStr">
        <is>
          <t>TDF -SITES</t>
        </is>
      </c>
      <c r="C530" s="673" t="inlineStr">
        <is>
          <t>RECONDUCTIBLE</t>
        </is>
      </c>
      <c r="D530" s="672" t="inlineStr">
        <is>
          <t>AOO-M</t>
        </is>
      </c>
      <c r="E530" s="672" t="n">
        <v>1</v>
      </c>
      <c r="F530" s="674" t="inlineStr">
        <is>
          <t>Maintenance de la solution exustante de ka chaine radio info-trafic</t>
        </is>
      </c>
      <c r="G530" s="675" t="inlineStr">
        <is>
          <t>VALIDE</t>
        </is>
      </c>
      <c r="H530" s="672" t="inlineStr">
        <is>
          <t>APPROUVE</t>
        </is>
      </c>
      <c r="I530" s="672" t="inlineStr">
        <is>
          <t>31M/SNRT/2022</t>
        </is>
      </c>
      <c r="J530" s="675" t="inlineStr">
        <is>
          <t>NON CONCERNE</t>
        </is>
      </c>
      <c r="K530" s="672" t="inlineStr">
        <is>
          <t>Ordinaire</t>
        </is>
      </c>
      <c r="L530" s="676" t="inlineStr">
        <is>
          <t>FONCTIONNEMENT</t>
        </is>
      </c>
      <c r="M530" s="676" t="inlineStr">
        <is>
          <t>Entretien, réparation et assurance</t>
        </is>
      </c>
      <c r="N530" s="677" t="n"/>
      <c r="O530" s="678" t="n"/>
      <c r="P530" s="678" t="n"/>
      <c r="Q530" s="672" t="inlineStr">
        <is>
          <t>RECONDUCTIBLE</t>
        </is>
      </c>
      <c r="R530" s="679" t="n"/>
      <c r="S530" s="680" t="n"/>
      <c r="T530" s="681" t="inlineStr">
        <is>
          <t>PHF COM</t>
        </is>
      </c>
      <c r="U530" s="672" t="n">
        <v>2022</v>
      </c>
      <c r="V530" s="680" t="n"/>
      <c r="W530" s="680" t="n"/>
      <c r="X530" s="680" t="n"/>
      <c r="Y530" s="677" t="n">
        <v>265800</v>
      </c>
      <c r="Z530" s="678" t="n">
        <v>0</v>
      </c>
      <c r="AA530" s="678" t="n">
        <v>318960</v>
      </c>
      <c r="AB530" s="678" t="n">
        <v>0</v>
      </c>
      <c r="AC530" s="678">
        <f>Y530</f>
        <v/>
      </c>
      <c r="AD530" s="678">
        <f>AA530</f>
        <v/>
      </c>
      <c r="AE530" s="682" t="inlineStr">
        <is>
          <t>ENGAGE</t>
        </is>
      </c>
      <c r="AF530" s="681" t="n"/>
      <c r="AG530" s="678" t="n"/>
      <c r="AH530" s="678" t="n"/>
      <c r="AI530" s="678" t="n"/>
      <c r="AJ530" s="678" t="n"/>
      <c r="AK530" s="683" t="n"/>
      <c r="AL530" s="683" t="n"/>
      <c r="AM530" s="681" t="n"/>
    </row>
    <row r="531" ht="54.6" customHeight="1" s="392">
      <c r="A531" s="672" t="n">
        <v>2023</v>
      </c>
      <c r="B531" s="673" t="inlineStr">
        <is>
          <t>TDF -SITES</t>
        </is>
      </c>
      <c r="C531" s="673" t="inlineStr">
        <is>
          <t>RECONDUCTIBLE</t>
        </is>
      </c>
      <c r="D531" s="672" t="inlineStr">
        <is>
          <t>AOO-M</t>
        </is>
      </c>
      <c r="E531" s="672" t="n">
        <v>1</v>
      </c>
      <c r="F531" s="674" t="inlineStr">
        <is>
          <t>La maintenance préventive et curative de la plateforme soft de  codage et de pultiplexage des ouvrages (Pylones, Tours, Batiments)</t>
        </is>
      </c>
      <c r="G531" s="675" t="inlineStr">
        <is>
          <t>VALIDE</t>
        </is>
      </c>
      <c r="H531" s="672" t="inlineStr">
        <is>
          <t>APPROUVE</t>
        </is>
      </c>
      <c r="I531" s="672" t="inlineStr">
        <is>
          <t>91M/SNRT/2023</t>
        </is>
      </c>
      <c r="J531" s="675" t="inlineStr">
        <is>
          <t>NON CONCERNE</t>
        </is>
      </c>
      <c r="K531" s="672" t="inlineStr">
        <is>
          <t>Ordinaire</t>
        </is>
      </c>
      <c r="L531" s="676" t="inlineStr">
        <is>
          <t>FONCTIONNEMENT</t>
        </is>
      </c>
      <c r="M531" s="676" t="inlineStr">
        <is>
          <t>Entretien, réparation et assurance</t>
        </is>
      </c>
      <c r="N531" s="677" t="n"/>
      <c r="O531" s="678" t="n"/>
      <c r="P531" s="678" t="n"/>
      <c r="Q531" s="672" t="inlineStr">
        <is>
          <t>RECONDUCTIBLE</t>
        </is>
      </c>
      <c r="R531" s="679" t="n"/>
      <c r="S531" s="680" t="n"/>
      <c r="T531" s="681" t="inlineStr">
        <is>
          <t>INTRATEL</t>
        </is>
      </c>
      <c r="U531" s="672" t="n">
        <v>2023</v>
      </c>
      <c r="V531" s="680" t="n"/>
      <c r="W531" s="680" t="n"/>
      <c r="X531" s="680" t="n"/>
      <c r="Y531" s="677" t="n">
        <v>699000</v>
      </c>
      <c r="Z531" s="678" t="n">
        <v>0</v>
      </c>
      <c r="AA531" s="678" t="n">
        <v>838800</v>
      </c>
      <c r="AB531" s="678" t="n">
        <v>0</v>
      </c>
      <c r="AC531" s="678">
        <f>Y531</f>
        <v/>
      </c>
      <c r="AD531" s="678">
        <f>AA531</f>
        <v/>
      </c>
      <c r="AE531" s="682" t="inlineStr">
        <is>
          <t>ENGAGE</t>
        </is>
      </c>
      <c r="AF531" s="681" t="n"/>
      <c r="AG531" s="678" t="n"/>
      <c r="AH531" s="678" t="n"/>
      <c r="AI531" s="678" t="n"/>
      <c r="AJ531" s="678" t="n"/>
      <c r="AK531" s="683" t="n"/>
      <c r="AL531" s="683" t="n"/>
      <c r="AM531" s="681" t="n"/>
    </row>
    <row r="532" ht="50.55" customHeight="1" s="392">
      <c r="A532" s="672" t="n">
        <v>2024</v>
      </c>
      <c r="B532" s="673" t="inlineStr">
        <is>
          <t>DTSI</t>
        </is>
      </c>
      <c r="C532" s="673" t="inlineStr">
        <is>
          <t>RECONDUCTIBLE</t>
        </is>
      </c>
      <c r="D532" s="672" t="inlineStr">
        <is>
          <t>AOO-M</t>
        </is>
      </c>
      <c r="E532" s="672" t="n">
        <v>1</v>
      </c>
      <c r="F532" s="674" t="inlineStr">
        <is>
          <t>Location et infogérance de plateforme publiques d'hébergement "Cloud" et fourniture des services associés.</t>
        </is>
      </c>
      <c r="G532" s="675" t="inlineStr">
        <is>
          <t>VALIDE</t>
        </is>
      </c>
      <c r="H532" s="672" t="inlineStr">
        <is>
          <t>APPROUVE</t>
        </is>
      </c>
      <c r="I532" s="672" t="inlineStr">
        <is>
          <t>31M/SNRT/2024</t>
        </is>
      </c>
      <c r="J532" s="675" t="inlineStr">
        <is>
          <t>NON CONCERNE</t>
        </is>
      </c>
      <c r="K532" s="672" t="inlineStr">
        <is>
          <t>Ordinaire</t>
        </is>
      </c>
      <c r="L532" s="676" t="inlineStr">
        <is>
          <t>FONCTIONNEMENT</t>
        </is>
      </c>
      <c r="M532" s="676" t="inlineStr">
        <is>
          <t>Prestation de services
Achat prestations de services locales - sociétés</t>
        </is>
      </c>
      <c r="N532" s="677" t="n"/>
      <c r="O532" s="678" t="n"/>
      <c r="P532" s="678" t="n"/>
      <c r="Q532" s="672" t="inlineStr">
        <is>
          <t>RECONDUCTIBLE</t>
        </is>
      </c>
      <c r="R532" s="679" t="n"/>
      <c r="S532" s="680" t="n"/>
      <c r="T532" s="681" t="n"/>
      <c r="U532" s="672" t="n">
        <v>2024</v>
      </c>
      <c r="V532" s="680" t="n"/>
      <c r="W532" s="680" t="n"/>
      <c r="X532" s="680" t="n"/>
      <c r="Y532" s="677">
        <f>AC532</f>
        <v/>
      </c>
      <c r="Z532" s="678" t="n">
        <v>0</v>
      </c>
      <c r="AA532" s="678">
        <f>AD532</f>
        <v/>
      </c>
      <c r="AB532" s="678" t="n">
        <v>0</v>
      </c>
      <c r="AC532" s="678">
        <f>AD532/1.2</f>
        <v/>
      </c>
      <c r="AD532" s="678" t="n">
        <v>375420</v>
      </c>
      <c r="AE532" s="682" t="inlineStr">
        <is>
          <t>ENGAGE</t>
        </is>
      </c>
      <c r="AF532" s="681" t="n"/>
      <c r="AG532" s="678" t="n"/>
      <c r="AH532" s="678" t="n"/>
      <c r="AI532" s="678" t="n"/>
      <c r="AJ532" s="678" t="n"/>
      <c r="AK532" s="683" t="n"/>
      <c r="AL532" s="683" t="n"/>
      <c r="AM532" s="681" t="n"/>
    </row>
    <row r="533" ht="50.55" customHeight="1" s="392">
      <c r="A533" s="672" t="n">
        <v>2025</v>
      </c>
      <c r="B533" s="673" t="inlineStr">
        <is>
          <t>DTSI</t>
        </is>
      </c>
      <c r="C533" s="673" t="inlineStr">
        <is>
          <t>RECONDUCTIBLE</t>
        </is>
      </c>
      <c r="D533" s="672" t="inlineStr">
        <is>
          <t>AOO-M</t>
        </is>
      </c>
      <c r="E533" s="672" t="n">
        <v>1</v>
      </c>
      <c r="F533" s="674" t="inlineStr">
        <is>
          <t>Prestations de maintenance du progiciel de gestion des ressources humaines AGIRH</t>
        </is>
      </c>
      <c r="G533" s="675" t="inlineStr">
        <is>
          <t>VALIDE</t>
        </is>
      </c>
      <c r="H533" s="672" t="inlineStr">
        <is>
          <t>APPROUVE</t>
        </is>
      </c>
      <c r="I533" s="691" t="n"/>
      <c r="J533" s="675" t="inlineStr">
        <is>
          <t>NON CONCERNE</t>
        </is>
      </c>
      <c r="K533" s="672" t="inlineStr">
        <is>
          <t>Ordinaire</t>
        </is>
      </c>
      <c r="L533" s="676" t="inlineStr">
        <is>
          <t>FONCTIONNEMENT</t>
        </is>
      </c>
      <c r="M533" s="676" t="inlineStr">
        <is>
          <t>Prestation de services
Achat prestations de services locales - sociétés</t>
        </is>
      </c>
      <c r="N533" s="677" t="n"/>
      <c r="O533" s="678" t="n"/>
      <c r="P533" s="678" t="n"/>
      <c r="Q533" s="672" t="inlineStr">
        <is>
          <t>RECONDUCTIBLE</t>
        </is>
      </c>
      <c r="R533" s="679" t="n"/>
      <c r="S533" s="680" t="n"/>
      <c r="T533" s="681" t="n"/>
      <c r="U533" s="672" t="n">
        <v>2025</v>
      </c>
      <c r="V533" s="680" t="n"/>
      <c r="W533" s="680" t="n"/>
      <c r="X533" s="680" t="n"/>
      <c r="Y533" s="677">
        <f>AC533</f>
        <v/>
      </c>
      <c r="Z533" s="678" t="n">
        <v>0</v>
      </c>
      <c r="AA533" s="678">
        <f>AD533</f>
        <v/>
      </c>
      <c r="AB533" s="678" t="n">
        <v>0</v>
      </c>
      <c r="AC533" s="678">
        <f>AD533/1.2</f>
        <v/>
      </c>
      <c r="AD533" s="678" t="n">
        <v>240000</v>
      </c>
      <c r="AE533" s="682" t="inlineStr">
        <is>
          <t>ENGAGE</t>
        </is>
      </c>
      <c r="AF533" s="681" t="n"/>
      <c r="AG533" s="678" t="n"/>
      <c r="AH533" s="678" t="n"/>
      <c r="AI533" s="678" t="n"/>
      <c r="AJ533" s="678" t="n"/>
      <c r="AK533" s="683" t="n"/>
      <c r="AL533" s="683" t="n"/>
      <c r="AM533" s="681" t="n"/>
    </row>
    <row r="534" ht="50.55" customHeight="1" s="392">
      <c r="A534" s="672" t="n">
        <v>2025</v>
      </c>
      <c r="B534" s="673" t="inlineStr">
        <is>
          <t>DTSI</t>
        </is>
      </c>
      <c r="C534" s="673" t="inlineStr">
        <is>
          <t>RECONDUCTIBLE</t>
        </is>
      </c>
      <c r="D534" s="672" t="inlineStr">
        <is>
          <t>AOO-M</t>
        </is>
      </c>
      <c r="E534" s="672" t="n">
        <v>1</v>
      </c>
      <c r="F534" s="674" t="inlineStr">
        <is>
          <t>Prestations fonctionnelles et techniques du progiciel de gestion intégré de la SNRT: JDEWARDS</t>
        </is>
      </c>
      <c r="G534" s="675" t="inlineStr">
        <is>
          <t>VALIDE</t>
        </is>
      </c>
      <c r="H534" s="672" t="inlineStr">
        <is>
          <t>APPROUVE</t>
        </is>
      </c>
      <c r="I534" s="691" t="n"/>
      <c r="J534" s="675" t="inlineStr">
        <is>
          <t>NON CONCERNE</t>
        </is>
      </c>
      <c r="K534" s="672" t="inlineStr">
        <is>
          <t>Ordinaire</t>
        </is>
      </c>
      <c r="L534" s="676" t="inlineStr">
        <is>
          <t>FONCTIONNEMENT</t>
        </is>
      </c>
      <c r="M534" s="676" t="inlineStr">
        <is>
          <t>Prestation de services
Achat prestations de services locales - sociétés</t>
        </is>
      </c>
      <c r="N534" s="677" t="n"/>
      <c r="O534" s="678" t="n"/>
      <c r="P534" s="678" t="n"/>
      <c r="Q534" s="672" t="inlineStr">
        <is>
          <t>RECONDUCTIBLE</t>
        </is>
      </c>
      <c r="R534" s="679" t="n"/>
      <c r="S534" s="680" t="n"/>
      <c r="T534" s="681" t="n"/>
      <c r="U534" s="672" t="n">
        <v>2025</v>
      </c>
      <c r="V534" s="680" t="n"/>
      <c r="W534" s="680" t="n"/>
      <c r="X534" s="680" t="n"/>
      <c r="Y534" s="677">
        <f>AC534</f>
        <v/>
      </c>
      <c r="Z534" s="678" t="n">
        <v>0</v>
      </c>
      <c r="AA534" s="678">
        <f>AD534</f>
        <v/>
      </c>
      <c r="AB534" s="678" t="n">
        <v>0</v>
      </c>
      <c r="AC534" s="678">
        <f>AD534/1.2</f>
        <v/>
      </c>
      <c r="AD534" s="678" t="n">
        <v>516000</v>
      </c>
      <c r="AE534" s="682" t="inlineStr">
        <is>
          <t>ENGAGE</t>
        </is>
      </c>
      <c r="AF534" s="681" t="n"/>
      <c r="AG534" s="678" t="n"/>
      <c r="AH534" s="678" t="n"/>
      <c r="AI534" s="678" t="n"/>
      <c r="AJ534" s="678" t="n"/>
      <c r="AK534" s="683" t="n"/>
      <c r="AL534" s="683" t="n"/>
      <c r="AM534" s="681" t="n"/>
    </row>
    <row r="535" ht="50.55" customHeight="1" s="392">
      <c r="A535" s="672" t="n">
        <v>2022</v>
      </c>
      <c r="B535" s="673" t="inlineStr">
        <is>
          <t>DTSI</t>
        </is>
      </c>
      <c r="C535" s="673" t="inlineStr">
        <is>
          <t>RECONDUCTIBLE</t>
        </is>
      </c>
      <c r="D535" s="672" t="inlineStr">
        <is>
          <t>AOO-M</t>
        </is>
      </c>
      <c r="E535" s="672" t="n">
        <v>1</v>
      </c>
      <c r="F535" s="674" t="inlineStr">
        <is>
          <t>Contrat de service de support (SLA) du Système de Production News « News Room » de la SNRT.</t>
        </is>
      </c>
      <c r="G535" s="675" t="inlineStr">
        <is>
          <t>VALIDE</t>
        </is>
      </c>
      <c r="H535" s="672" t="inlineStr">
        <is>
          <t>APPROUVE</t>
        </is>
      </c>
      <c r="I535" s="672" t="inlineStr">
        <is>
          <t>51M/SNRT/2022</t>
        </is>
      </c>
      <c r="J535" s="675" t="inlineStr">
        <is>
          <t>GENERAL</t>
        </is>
      </c>
      <c r="K535" s="672" t="inlineStr">
        <is>
          <t>Ordinaire</t>
        </is>
      </c>
      <c r="L535" s="676" t="inlineStr">
        <is>
          <t>FONCTIONNEMENT</t>
        </is>
      </c>
      <c r="M535" s="676" t="inlineStr">
        <is>
          <t>Prestation de services
Achat prestations de services locales - sociétés</t>
        </is>
      </c>
      <c r="N535" s="677" t="n"/>
      <c r="O535" s="678" t="n"/>
      <c r="P535" s="678" t="n"/>
      <c r="Q535" s="672" t="inlineStr">
        <is>
          <t>RECONDUCTIBLE</t>
        </is>
      </c>
      <c r="R535" s="679" t="n"/>
      <c r="S535" s="680" t="n"/>
      <c r="T535" s="681" t="n"/>
      <c r="U535" s="672" t="n">
        <v>2022</v>
      </c>
      <c r="V535" s="680" t="n"/>
      <c r="W535" s="680" t="n"/>
      <c r="X535" s="680" t="n"/>
      <c r="Y535" s="677">
        <f>AC535</f>
        <v/>
      </c>
      <c r="Z535" s="678" t="n">
        <v>0</v>
      </c>
      <c r="AA535" s="678">
        <f>AD535</f>
        <v/>
      </c>
      <c r="AB535" s="678" t="n">
        <v>0</v>
      </c>
      <c r="AC535" s="678">
        <f>AD535/1.2</f>
        <v/>
      </c>
      <c r="AD535" s="678" t="n">
        <v>1365699.456</v>
      </c>
      <c r="AE535" s="682" t="inlineStr">
        <is>
          <t>ENGAGE</t>
        </is>
      </c>
      <c r="AF535" s="681" t="n"/>
      <c r="AG535" s="678" t="n"/>
      <c r="AH535" s="678" t="n"/>
      <c r="AI535" s="678" t="n"/>
      <c r="AJ535" s="678" t="n"/>
      <c r="AK535" s="683" t="n"/>
      <c r="AL535" s="683" t="n"/>
      <c r="AM535" s="681" t="n"/>
    </row>
    <row r="536" ht="54.6" customHeight="1" s="392">
      <c r="A536" s="672" t="n">
        <v>2023</v>
      </c>
      <c r="B536" s="673" t="inlineStr">
        <is>
          <t>DTSI</t>
        </is>
      </c>
      <c r="C536" s="673" t="inlineStr">
        <is>
          <t>RECONDUCTIBLE</t>
        </is>
      </c>
      <c r="D536" s="672" t="inlineStr">
        <is>
          <t>AOO-M</t>
        </is>
      </c>
      <c r="E536" s="672" t="n">
        <v>1</v>
      </c>
      <c r="F536" s="674" t="inlineStr">
        <is>
          <t>Souscription à un abonnement annuel de licences de logiciels de montage et de graphisme pour les besoins des chaines TV de la SNRT.</t>
        </is>
      </c>
      <c r="G536" s="675" t="inlineStr">
        <is>
          <t>VALIDE</t>
        </is>
      </c>
      <c r="H536" s="672" t="inlineStr">
        <is>
          <t>APPROUVE</t>
        </is>
      </c>
      <c r="I536" s="672" t="inlineStr">
        <is>
          <t>22M/SNRT/2023</t>
        </is>
      </c>
      <c r="J536" s="675" t="inlineStr">
        <is>
          <t>GENERAL</t>
        </is>
      </c>
      <c r="K536" s="672" t="inlineStr">
        <is>
          <t>Ordinaire</t>
        </is>
      </c>
      <c r="L536" s="676" t="inlineStr">
        <is>
          <t>FONCTIONNEMENT</t>
        </is>
      </c>
      <c r="M536" s="676" t="inlineStr">
        <is>
          <t>Redevances et cotisations</t>
        </is>
      </c>
      <c r="N536" s="677" t="n"/>
      <c r="O536" s="678" t="n"/>
      <c r="P536" s="678" t="n"/>
      <c r="Q536" s="672" t="inlineStr">
        <is>
          <t>RECONDUCTIBLE</t>
        </is>
      </c>
      <c r="R536" s="679" t="n"/>
      <c r="S536" s="680" t="n"/>
      <c r="T536" s="681" t="n"/>
      <c r="U536" s="672" t="n">
        <v>2023</v>
      </c>
      <c r="V536" s="680" t="n"/>
      <c r="W536" s="680" t="n"/>
      <c r="X536" s="680" t="n"/>
      <c r="Y536" s="677">
        <f>AC536</f>
        <v/>
      </c>
      <c r="Z536" s="678" t="n">
        <v>0</v>
      </c>
      <c r="AA536" s="678">
        <f>AD536</f>
        <v/>
      </c>
      <c r="AB536" s="678" t="n">
        <v>0</v>
      </c>
      <c r="AC536" s="678">
        <f>AD536/1.2</f>
        <v/>
      </c>
      <c r="AD536" s="678" t="n">
        <v>494628</v>
      </c>
      <c r="AE536" s="682" t="inlineStr">
        <is>
          <t>ENGAGE</t>
        </is>
      </c>
      <c r="AF536" s="681" t="n"/>
      <c r="AG536" s="678" t="n"/>
      <c r="AH536" s="678" t="n"/>
      <c r="AI536" s="678" t="n"/>
      <c r="AJ536" s="678" t="n"/>
      <c r="AK536" s="683" t="n"/>
      <c r="AL536" s="683" t="n"/>
      <c r="AM536" s="681" t="n"/>
    </row>
    <row r="537" ht="70.80000000000001" customHeight="1" s="392">
      <c r="A537" s="672" t="n">
        <v>2026</v>
      </c>
      <c r="B537" s="673" t="inlineStr">
        <is>
          <t>DTSI</t>
        </is>
      </c>
      <c r="C537" s="673" t="inlineStr">
        <is>
          <t>30 AOM/SNRT</t>
        </is>
      </c>
      <c r="D537" s="672" t="inlineStr">
        <is>
          <t>AOO-M</t>
        </is>
      </c>
      <c r="E537" s="672" t="n">
        <v>1</v>
      </c>
      <c r="F537" s="674" t="inlineStr">
        <is>
          <t>La fourniture et la mise en service de serveurs pour renouvellement de serveurs d’enregistrement et de replay pour les besoins de la production TV des manifestations sportives</t>
        </is>
      </c>
      <c r="G537" s="675" t="inlineStr">
        <is>
          <t>INFRUCTUEUX</t>
        </is>
      </c>
      <c r="H537" s="672" t="inlineStr">
        <is>
          <t>INFRUCTUEUX</t>
        </is>
      </c>
      <c r="I537" s="672" t="n"/>
      <c r="J537" s="675" t="inlineStr">
        <is>
          <t>GENERAL</t>
        </is>
      </c>
      <c r="K537" s="672" t="inlineStr">
        <is>
          <t>REPORT BUDGET EXCEP  ANNEE ANTERIEURE</t>
        </is>
      </c>
      <c r="L537" s="676" t="inlineStr">
        <is>
          <t>INVESTISSEMENT</t>
        </is>
      </c>
      <c r="M537" s="676" t="inlineStr">
        <is>
          <t>Équipements techniques</t>
        </is>
      </c>
      <c r="N537" s="677">
        <f>O537*1.2</f>
        <v/>
      </c>
      <c r="O537" s="678" t="n">
        <v>8948880</v>
      </c>
      <c r="P537" s="678">
        <f>O537/1.2</f>
        <v/>
      </c>
      <c r="Q537" s="672" t="inlineStr">
        <is>
          <t>NOUVEAU BESOIN</t>
        </is>
      </c>
      <c r="R537" s="679" t="n"/>
      <c r="S537" s="680" t="n"/>
      <c r="T537" s="681" t="n"/>
      <c r="U537" s="672" t="n"/>
      <c r="V537" s="680" t="n">
        <v>46129</v>
      </c>
      <c r="W537" s="680" t="n">
        <v>46133</v>
      </c>
      <c r="X537" s="680" t="n"/>
      <c r="Y537" s="677" t="n">
        <v>0</v>
      </c>
      <c r="Z537" s="678" t="n">
        <v>0</v>
      </c>
      <c r="AA537" s="678" t="n">
        <v>0</v>
      </c>
      <c r="AB537" s="678" t="n">
        <v>0</v>
      </c>
      <c r="AC537" s="678" t="n">
        <v>0</v>
      </c>
      <c r="AD537" s="678" t="n">
        <v>0</v>
      </c>
      <c r="AE537" s="682" t="inlineStr">
        <is>
          <t>NON ENGAGE</t>
        </is>
      </c>
      <c r="AF537" s="681" t="n"/>
      <c r="AG537" s="678" t="n"/>
      <c r="AH537" s="678" t="n"/>
      <c r="AI537" s="678" t="n"/>
      <c r="AJ537" s="678" t="n"/>
      <c r="AK537" s="683" t="n"/>
      <c r="AL537" s="683" t="n"/>
      <c r="AM537" s="681" t="n"/>
    </row>
    <row r="538" ht="65.40000000000001" customHeight="1" s="392">
      <c r="A538" s="672" t="n">
        <v>2026</v>
      </c>
      <c r="B538" s="673" t="inlineStr">
        <is>
          <t>ASSADISSA</t>
        </is>
      </c>
      <c r="C538" s="673" t="inlineStr">
        <is>
          <t>PV N° 02RE2025-DPPCCRTV</t>
        </is>
      </c>
      <c r="D538" s="672" t="inlineStr">
        <is>
          <t>CONTRAT</t>
        </is>
      </c>
      <c r="E538" s="672" t="n">
        <v>1</v>
      </c>
      <c r="F538" s="674" t="inlineStr">
        <is>
          <t>HAKIM KHIZRAN  -  Préparation et présentation de l’émission RD الابتهالات</t>
        </is>
      </c>
      <c r="G538" s="675" t="inlineStr">
        <is>
          <t>VALIDE</t>
        </is>
      </c>
      <c r="H538" s="672" t="inlineStr">
        <is>
          <t>APPROUVE</t>
        </is>
      </c>
      <c r="I538" s="672" t="n"/>
      <c r="J538" s="675" t="inlineStr">
        <is>
          <t>NON CONCERNE</t>
        </is>
      </c>
      <c r="K538" s="672" t="inlineStr">
        <is>
          <t>Ordinaire</t>
        </is>
      </c>
      <c r="L538" s="676" t="inlineStr">
        <is>
          <t>FONCTIONNEMENT</t>
        </is>
      </c>
      <c r="M538" s="676" t="inlineStr">
        <is>
          <t>Achats de productions et de programmes
Achat des programmes en production interne - personnes physiques</t>
        </is>
      </c>
      <c r="N538" s="677" t="n"/>
      <c r="O538" s="678" t="n"/>
      <c r="P538" s="678" t="n"/>
      <c r="Q538" s="672" t="inlineStr">
        <is>
          <t>NOUVEAU BESOIN</t>
        </is>
      </c>
      <c r="R538" s="679" t="n"/>
      <c r="S538" s="680" t="n"/>
      <c r="T538" s="681" t="inlineStr">
        <is>
          <t>HAKIM KHIZRAN</t>
        </is>
      </c>
      <c r="U538" s="672" t="n">
        <v>2026</v>
      </c>
      <c r="V538" s="680" t="n">
        <v>46129</v>
      </c>
      <c r="W538" s="680" t="n"/>
      <c r="X538" s="680" t="n"/>
      <c r="Y538" s="677" t="n">
        <v>45000</v>
      </c>
      <c r="Z538" s="678" t="n">
        <v>0</v>
      </c>
      <c r="AA538" s="678" t="n">
        <v>45000</v>
      </c>
      <c r="AB538" s="678" t="n">
        <v>0</v>
      </c>
      <c r="AC538" s="678">
        <f>Y538</f>
        <v/>
      </c>
      <c r="AD538" s="678">
        <f>AC538</f>
        <v/>
      </c>
      <c r="AE538" s="682" t="inlineStr">
        <is>
          <t>ENGAGE</t>
        </is>
      </c>
      <c r="AF538" s="681" t="n"/>
      <c r="AG538" s="678" t="n"/>
      <c r="AH538" s="678" t="n"/>
      <c r="AI538" s="678" t="n"/>
      <c r="AJ538" s="678" t="n"/>
      <c r="AK538" s="683" t="n"/>
      <c r="AL538" s="683" t="n"/>
      <c r="AM538" s="681" t="n"/>
    </row>
    <row r="539" ht="65.40000000000001" customHeight="1" s="392">
      <c r="A539" s="672" t="n">
        <v>2026</v>
      </c>
      <c r="B539" s="673" t="inlineStr">
        <is>
          <t>ASSADISSA</t>
        </is>
      </c>
      <c r="C539" s="673" t="inlineStr">
        <is>
          <t>PV N° 02RE2025-DPPCCRTV</t>
        </is>
      </c>
      <c r="D539" s="672" t="inlineStr">
        <is>
          <t>CONTRAT</t>
        </is>
      </c>
      <c r="E539" s="672" t="n">
        <v>1</v>
      </c>
      <c r="F539" s="674" t="inlineStr">
        <is>
          <t>HICHAM EL HLIMI -  Préparation et présentation de l’émission RD في حضرة زوايا</t>
        </is>
      </c>
      <c r="G539" s="675" t="inlineStr">
        <is>
          <t>VALIDE</t>
        </is>
      </c>
      <c r="H539" s="672" t="inlineStr">
        <is>
          <t>APPROUVE</t>
        </is>
      </c>
      <c r="I539" s="672" t="n"/>
      <c r="J539" s="675" t="inlineStr">
        <is>
          <t>NON CONCERNE</t>
        </is>
      </c>
      <c r="K539" s="672" t="inlineStr">
        <is>
          <t>Ordinaire</t>
        </is>
      </c>
      <c r="L539" s="676" t="inlineStr">
        <is>
          <t>FONCTIONNEMENT</t>
        </is>
      </c>
      <c r="M539" s="676" t="inlineStr">
        <is>
          <t>Achats de productions et de programmes
Achat des programmes en production interne - personnes physiques</t>
        </is>
      </c>
      <c r="N539" s="677" t="n"/>
      <c r="O539" s="678" t="n"/>
      <c r="P539" s="678" t="n"/>
      <c r="Q539" s="672" t="inlineStr">
        <is>
          <t>NOUVEAU BESOIN</t>
        </is>
      </c>
      <c r="R539" s="679" t="n"/>
      <c r="S539" s="680" t="n"/>
      <c r="T539" s="681" t="inlineStr">
        <is>
          <t>HICHAM EL HLIMI</t>
        </is>
      </c>
      <c r="U539" s="672" t="n">
        <v>2026</v>
      </c>
      <c r="V539" s="680" t="n">
        <v>46129</v>
      </c>
      <c r="W539" s="680" t="n"/>
      <c r="X539" s="680" t="n"/>
      <c r="Y539" s="677" t="n">
        <v>96000</v>
      </c>
      <c r="Z539" s="678" t="n">
        <v>0</v>
      </c>
      <c r="AA539" s="678" t="n">
        <v>96000</v>
      </c>
      <c r="AB539" s="678" t="n">
        <v>0</v>
      </c>
      <c r="AC539" s="678">
        <f>Y539</f>
        <v/>
      </c>
      <c r="AD539" s="678">
        <f>AC539</f>
        <v/>
      </c>
      <c r="AE539" s="682" t="inlineStr">
        <is>
          <t>ENGAGE</t>
        </is>
      </c>
      <c r="AF539" s="681" t="n"/>
      <c r="AG539" s="678" t="n"/>
      <c r="AH539" s="678" t="n"/>
      <c r="AI539" s="678" t="n"/>
      <c r="AJ539" s="678" t="n"/>
      <c r="AK539" s="683" t="n"/>
      <c r="AL539" s="683" t="n"/>
      <c r="AM539" s="681" t="n"/>
    </row>
    <row r="540" ht="50.55" customHeight="1" s="392">
      <c r="A540" s="672" t="n">
        <v>2026</v>
      </c>
      <c r="B540" s="673" t="inlineStr">
        <is>
          <t>DINFOTV</t>
        </is>
      </c>
      <c r="C540" s="673" t="inlineStr">
        <is>
          <t>EXCLUSIVITÉ</t>
        </is>
      </c>
      <c r="D540" s="672" t="inlineStr">
        <is>
          <t>CONTRAT</t>
        </is>
      </c>
      <c r="E540" s="672" t="n">
        <v>1</v>
      </c>
      <c r="F540" s="674" t="inlineStr">
        <is>
          <t>Acquisition des droits de diffusion de reportages télévisuels sur l’actualité à Bruxelles</t>
        </is>
      </c>
      <c r="G540" s="675" t="inlineStr">
        <is>
          <t>VALIDE</t>
        </is>
      </c>
      <c r="H540" s="672" t="inlineStr">
        <is>
          <t>APPROUVE</t>
        </is>
      </c>
      <c r="I540" s="672" t="inlineStr">
        <is>
          <t>391 CT/SNRT</t>
        </is>
      </c>
      <c r="J540" s="675" t="inlineStr">
        <is>
          <t>NON CONCERNE</t>
        </is>
      </c>
      <c r="K540" s="672" t="inlineStr">
        <is>
          <t>Ordinaire</t>
        </is>
      </c>
      <c r="L540" s="676" t="inlineStr">
        <is>
          <t>FONCTIONNEMENT</t>
        </is>
      </c>
      <c r="M540" s="676" t="inlineStr">
        <is>
          <t>Prestation de services
Achat prestations de services locales - sociétés</t>
        </is>
      </c>
      <c r="N540" s="677" t="n"/>
      <c r="O540" s="678" t="n"/>
      <c r="P540" s="678" t="n"/>
      <c r="Q540" s="672" t="inlineStr">
        <is>
          <t>BESOIN RECURRENT</t>
        </is>
      </c>
      <c r="R540" s="679" t="n"/>
      <c r="S540" s="680" t="n"/>
      <c r="T540" s="681" t="inlineStr">
        <is>
          <t>NET PROD</t>
        </is>
      </c>
      <c r="U540" s="672" t="n">
        <v>2026</v>
      </c>
      <c r="V540" s="680" t="n">
        <v>46132</v>
      </c>
      <c r="W540" s="680" t="n"/>
      <c r="X540" s="680" t="n">
        <v>46115</v>
      </c>
      <c r="Y540" s="677" t="n">
        <v>360000</v>
      </c>
      <c r="Z540" s="678" t="n">
        <v>0</v>
      </c>
      <c r="AA540" s="678" t="n">
        <v>432000</v>
      </c>
      <c r="AB540" s="678" t="n">
        <v>0</v>
      </c>
      <c r="AC540" s="678">
        <f>Y540</f>
        <v/>
      </c>
      <c r="AD540" s="678">
        <f>AC540</f>
        <v/>
      </c>
      <c r="AE540" s="682" t="inlineStr">
        <is>
          <t>ENGAGE</t>
        </is>
      </c>
      <c r="AF540" s="681" t="n"/>
      <c r="AG540" s="678" t="n"/>
      <c r="AH540" s="678" t="n"/>
      <c r="AI540" s="678" t="n"/>
      <c r="AJ540" s="678" t="n"/>
      <c r="AK540" s="683" t="n"/>
      <c r="AL540" s="683" t="n"/>
      <c r="AM540" s="681" t="n"/>
    </row>
    <row r="541" ht="50.55" customHeight="1" s="392">
      <c r="A541" s="672" t="n">
        <v>2026</v>
      </c>
      <c r="B541" s="673" t="inlineStr">
        <is>
          <t>DINFOTV</t>
        </is>
      </c>
      <c r="C541" s="673" t="inlineStr">
        <is>
          <t>EXCLUSIVITÉ</t>
        </is>
      </c>
      <c r="D541" s="672" t="inlineStr">
        <is>
          <t>CONTRAT</t>
        </is>
      </c>
      <c r="E541" s="672" t="n">
        <v>1</v>
      </c>
      <c r="F541" s="674" t="inlineStr">
        <is>
          <t>Acquisition des droits de diffusion de reportages télévisuels sur l’actualité en Palestine</t>
        </is>
      </c>
      <c r="G541" s="675" t="inlineStr">
        <is>
          <t>VALIDE</t>
        </is>
      </c>
      <c r="H541" s="672" t="inlineStr">
        <is>
          <t>APPROUVE</t>
        </is>
      </c>
      <c r="I541" s="672" t="inlineStr">
        <is>
          <t>392 CT/SNRT</t>
        </is>
      </c>
      <c r="J541" s="675" t="inlineStr">
        <is>
          <t>NON CONCERNE</t>
        </is>
      </c>
      <c r="K541" s="672" t="inlineStr">
        <is>
          <t>Ordinaire</t>
        </is>
      </c>
      <c r="L541" s="676" t="inlineStr">
        <is>
          <t>FONCTIONNEMENT</t>
        </is>
      </c>
      <c r="M541" s="676" t="inlineStr">
        <is>
          <t>Prestations de service
Achat prestations de services étrangères</t>
        </is>
      </c>
      <c r="N541" s="677" t="n"/>
      <c r="O541" s="678" t="n"/>
      <c r="P541" s="678" t="n"/>
      <c r="Q541" s="672" t="inlineStr">
        <is>
          <t>BESOIN RECURRENT</t>
        </is>
      </c>
      <c r="R541" s="679" t="n"/>
      <c r="S541" s="680" t="n"/>
      <c r="T541" s="681" t="inlineStr">
        <is>
          <t>ALAM NEWS CO.FOR MEDIA PRODUCTION</t>
        </is>
      </c>
      <c r="U541" s="672" t="n">
        <v>2026</v>
      </c>
      <c r="V541" s="680" t="n">
        <v>46132</v>
      </c>
      <c r="W541" s="680" t="n"/>
      <c r="X541" s="680" t="n">
        <v>46115</v>
      </c>
      <c r="Y541" s="677" t="n">
        <v>437638.83</v>
      </c>
      <c r="Z541" s="678" t="n">
        <v>46667.04</v>
      </c>
      <c r="AA541" s="678">
        <f>Y541</f>
        <v/>
      </c>
      <c r="AB541" s="678" t="n">
        <v>46667.04</v>
      </c>
      <c r="AC541" s="678">
        <f>Y541</f>
        <v/>
      </c>
      <c r="AD541" s="678">
        <f>AC541</f>
        <v/>
      </c>
      <c r="AE541" s="682" t="inlineStr">
        <is>
          <t>ENGAGE</t>
        </is>
      </c>
      <c r="AF541" s="681" t="n"/>
      <c r="AG541" s="678" t="n"/>
      <c r="AH541" s="678" t="n"/>
      <c r="AI541" s="678" t="n"/>
      <c r="AJ541" s="678" t="n"/>
      <c r="AK541" s="683" t="n"/>
      <c r="AL541" s="683" t="n"/>
      <c r="AM541" s="681" t="n"/>
    </row>
    <row r="542" ht="38.40000000000001" customHeight="1" s="392">
      <c r="A542" s="672" t="n">
        <v>2026</v>
      </c>
      <c r="B542" s="673" t="inlineStr">
        <is>
          <t>DMPTV</t>
        </is>
      </c>
      <c r="C542" s="673" t="inlineStr">
        <is>
          <t>EXCLUSIVITÉ</t>
        </is>
      </c>
      <c r="D542" s="672" t="inlineStr">
        <is>
          <t>CONTRAT</t>
        </is>
      </c>
      <c r="E542" s="672" t="n">
        <v>1</v>
      </c>
      <c r="F542" s="674" t="inlineStr">
        <is>
          <t xml:space="preserve">Location de Deux unipoles LED entrée/sortie Casablanca Technopark au niveau du pont a Haubans </t>
        </is>
      </c>
      <c r="G542" s="675" t="inlineStr">
        <is>
          <t>VALIDE</t>
        </is>
      </c>
      <c r="H542" s="672" t="inlineStr">
        <is>
          <t>APPROUVE</t>
        </is>
      </c>
      <c r="I542" s="672" t="inlineStr">
        <is>
          <t>FR/KR/02/2026</t>
        </is>
      </c>
      <c r="J542" s="675" t="inlineStr">
        <is>
          <t>NON CONCERNE</t>
        </is>
      </c>
      <c r="K542" s="672" t="inlineStr">
        <is>
          <t>Ordinaire</t>
        </is>
      </c>
      <c r="L542" s="676" t="inlineStr">
        <is>
          <t>FONCTIONNEMENT</t>
        </is>
      </c>
      <c r="M542" s="676" t="inlineStr">
        <is>
          <t>Charges marketing et relations publiques</t>
        </is>
      </c>
      <c r="N542" s="677" t="n"/>
      <c r="O542" s="678" t="n"/>
      <c r="P542" s="678" t="n"/>
      <c r="Q542" s="672" t="inlineStr">
        <is>
          <t>BESOIN RECURRENT</t>
        </is>
      </c>
      <c r="R542" s="679" t="n"/>
      <c r="S542" s="680" t="n"/>
      <c r="T542" s="681" t="inlineStr">
        <is>
          <t>FC MEDIA</t>
        </is>
      </c>
      <c r="U542" s="672" t="n">
        <v>2026</v>
      </c>
      <c r="V542" s="680" t="n">
        <v>46132</v>
      </c>
      <c r="W542" s="680" t="n"/>
      <c r="X542" s="680" t="n">
        <v>46168</v>
      </c>
      <c r="Y542" s="677" t="n">
        <v>900000</v>
      </c>
      <c r="Z542" s="678" t="n">
        <v>0</v>
      </c>
      <c r="AA542" s="678" t="n">
        <v>1080000</v>
      </c>
      <c r="AB542" s="678" t="n">
        <v>0</v>
      </c>
      <c r="AC542" s="678">
        <f>Y542</f>
        <v/>
      </c>
      <c r="AD542" s="678">
        <f>+AA542</f>
        <v/>
      </c>
      <c r="AE542" s="682" t="inlineStr">
        <is>
          <t>ENGAGE</t>
        </is>
      </c>
      <c r="AF542" s="681" t="n"/>
      <c r="AG542" s="678" t="n"/>
      <c r="AH542" s="678" t="n"/>
      <c r="AI542" s="678" t="n"/>
      <c r="AJ542" s="678" t="n"/>
      <c r="AK542" s="683" t="n"/>
      <c r="AL542" s="683" t="n"/>
      <c r="AM542" s="681" t="n"/>
    </row>
    <row r="543" ht="54.6" customHeight="1" s="392">
      <c r="A543" s="672" t="n">
        <v>2026</v>
      </c>
      <c r="B543" s="673" t="inlineStr">
        <is>
          <t>ASSADISSA</t>
        </is>
      </c>
      <c r="C543" s="673" t="inlineStr">
        <is>
          <t>PV N° : 01RE2026- DPPCCRTV</t>
        </is>
      </c>
      <c r="D543" s="672" t="inlineStr">
        <is>
          <t>CONTRAT</t>
        </is>
      </c>
      <c r="E543" s="672" t="n"/>
      <c r="F543" s="674" t="inlineStr">
        <is>
          <t>IMAD ZAOUI – Programmateur TV : conducteur quotidien, montage, coordination et suivi avec la commission technique TV</t>
        </is>
      </c>
      <c r="G543" s="675" t="inlineStr">
        <is>
          <t>VALIDE</t>
        </is>
      </c>
      <c r="H543" s="672" t="inlineStr">
        <is>
          <t>APPROUVE</t>
        </is>
      </c>
      <c r="I543" s="672" t="n"/>
      <c r="J543" s="675" t="inlineStr">
        <is>
          <t>NON CONCERNE</t>
        </is>
      </c>
      <c r="K543" s="672" t="inlineStr">
        <is>
          <t>Ordinaire</t>
        </is>
      </c>
      <c r="L543" s="676" t="inlineStr">
        <is>
          <t>FONCTIONNEMENT</t>
        </is>
      </c>
      <c r="M543" s="676" t="inlineStr">
        <is>
          <t xml:space="preserve">Prestations de service
Achat prestations de services locales - personnes physiques </t>
        </is>
      </c>
      <c r="N543" s="677" t="n"/>
      <c r="O543" s="678" t="n"/>
      <c r="P543" s="678" t="n"/>
      <c r="Q543" s="672" t="inlineStr">
        <is>
          <t>BESOIN RECURRENT</t>
        </is>
      </c>
      <c r="R543" s="679" t="n"/>
      <c r="S543" s="680" t="n"/>
      <c r="T543" s="681" t="inlineStr">
        <is>
          <t>IMAD ZAOUI</t>
        </is>
      </c>
      <c r="U543" s="672" t="n">
        <v>2026</v>
      </c>
      <c r="V543" s="680" t="n">
        <v>46082</v>
      </c>
      <c r="W543" s="680" t="n"/>
      <c r="X543" s="680" t="n"/>
      <c r="Y543" s="677" t="n">
        <v>70000</v>
      </c>
      <c r="Z543" s="678" t="n">
        <v>0</v>
      </c>
      <c r="AA543" s="678">
        <f>Y543</f>
        <v/>
      </c>
      <c r="AB543" s="678" t="n">
        <v>0</v>
      </c>
      <c r="AC543" s="678">
        <f>Y543</f>
        <v/>
      </c>
      <c r="AD543" s="678">
        <f>Y543</f>
        <v/>
      </c>
      <c r="AE543" s="682" t="inlineStr">
        <is>
          <t>ENGAGE</t>
        </is>
      </c>
      <c r="AF543" s="681" t="n"/>
      <c r="AG543" s="678" t="n"/>
      <c r="AH543" s="678" t="n"/>
      <c r="AI543" s="678" t="n"/>
      <c r="AJ543" s="678" t="n"/>
      <c r="AK543" s="683" t="n"/>
      <c r="AL543" s="683" t="n"/>
      <c r="AM543" s="681" t="inlineStr">
        <is>
          <t>Manque n° contrat</t>
        </is>
      </c>
      <c r="AN543" s="684" t="n"/>
      <c r="AO543" s="685" t="n"/>
      <c r="AP543" s="686" t="n"/>
      <c r="AQ543" s="686" t="n"/>
      <c r="AR543" s="23" t="n"/>
      <c r="AS543" s="686" t="n"/>
    </row>
    <row r="544" ht="50.55" customHeight="1" s="392">
      <c r="A544" s="672" t="n">
        <v>2026</v>
      </c>
      <c r="B544" s="673" t="inlineStr">
        <is>
          <t>ASSADISSA</t>
        </is>
      </c>
      <c r="C544" s="673" t="inlineStr">
        <is>
          <t>PV N° : 01RE2026- DPPCCRTV</t>
        </is>
      </c>
      <c r="D544" s="672" t="inlineStr">
        <is>
          <t>CONTRAT</t>
        </is>
      </c>
      <c r="E544" s="672" t="n"/>
      <c r="F544" s="674" t="inlineStr">
        <is>
          <t>AICHA CHAFAI – Animateur RD/TV : les gestion de l’antenne RD, la couverture et le reportage RD/TV</t>
        </is>
      </c>
      <c r="G544" s="675" t="inlineStr">
        <is>
          <t>VALIDE</t>
        </is>
      </c>
      <c r="H544" s="672" t="inlineStr">
        <is>
          <t>APPROUVE</t>
        </is>
      </c>
      <c r="I544" s="672" t="n"/>
      <c r="J544" s="675" t="inlineStr">
        <is>
          <t>NON CONCERNE</t>
        </is>
      </c>
      <c r="K544" s="672" t="inlineStr">
        <is>
          <t>Ordinaire</t>
        </is>
      </c>
      <c r="L544" s="676" t="inlineStr">
        <is>
          <t>FONCTIONNEMENT</t>
        </is>
      </c>
      <c r="M544" s="676" t="inlineStr">
        <is>
          <t xml:space="preserve">Prestations de service
Achat prestations de services locales - personnes physiques </t>
        </is>
      </c>
      <c r="N544" s="677" t="n"/>
      <c r="O544" s="678" t="n"/>
      <c r="P544" s="678" t="n"/>
      <c r="Q544" s="672" t="inlineStr">
        <is>
          <t>BESOIN RECURRENT</t>
        </is>
      </c>
      <c r="R544" s="679" t="n"/>
      <c r="S544" s="680" t="n"/>
      <c r="T544" s="681" t="inlineStr">
        <is>
          <t>AICHA CHAFAI</t>
        </is>
      </c>
      <c r="U544" s="672" t="n">
        <v>2026</v>
      </c>
      <c r="V544" s="680" t="n">
        <v>46082</v>
      </c>
      <c r="W544" s="680" t="n"/>
      <c r="X544" s="680" t="n"/>
      <c r="Y544" s="677" t="n">
        <v>80000</v>
      </c>
      <c r="Z544" s="678" t="n">
        <v>0</v>
      </c>
      <c r="AA544" s="678">
        <f>Y544</f>
        <v/>
      </c>
      <c r="AB544" s="678" t="n">
        <v>0</v>
      </c>
      <c r="AC544" s="678">
        <f>Y544</f>
        <v/>
      </c>
      <c r="AD544" s="678">
        <f>Y544</f>
        <v/>
      </c>
      <c r="AE544" s="682" t="inlineStr">
        <is>
          <t>ENGAGE</t>
        </is>
      </c>
      <c r="AF544" s="681" t="n"/>
      <c r="AG544" s="678" t="n"/>
      <c r="AH544" s="678" t="n"/>
      <c r="AI544" s="678" t="n"/>
      <c r="AJ544" s="678" t="n"/>
      <c r="AK544" s="683" t="n"/>
      <c r="AL544" s="683" t="n"/>
      <c r="AM544" s="681" t="inlineStr">
        <is>
          <t>Manque n° contrat</t>
        </is>
      </c>
      <c r="AN544" s="684" t="n"/>
      <c r="AO544" s="685" t="n"/>
      <c r="AP544" s="686" t="n"/>
      <c r="AQ544" s="686" t="n"/>
      <c r="AR544" s="23" t="n"/>
      <c r="AS544" s="686" t="n"/>
    </row>
    <row r="545" ht="50.55" customHeight="1" s="392">
      <c r="A545" s="672" t="n">
        <v>2026</v>
      </c>
      <c r="B545" s="673" t="inlineStr">
        <is>
          <t>ASSADISSA</t>
        </is>
      </c>
      <c r="C545" s="673" t="inlineStr">
        <is>
          <t>PV N° : 01RE2026- DPPCCRTV</t>
        </is>
      </c>
      <c r="D545" s="672" t="inlineStr">
        <is>
          <t>CONTRAT</t>
        </is>
      </c>
      <c r="E545" s="672" t="n"/>
      <c r="F545" s="674" t="inlineStr">
        <is>
          <t>AMINE MARZOUKI – Programmation TV (conducteur quotidien)</t>
        </is>
      </c>
      <c r="G545" s="675" t="inlineStr">
        <is>
          <t>VALIDE</t>
        </is>
      </c>
      <c r="H545" s="672" t="inlineStr">
        <is>
          <t>APPROUVE</t>
        </is>
      </c>
      <c r="I545" s="672" t="n"/>
      <c r="J545" s="675" t="inlineStr">
        <is>
          <t>NON CONCERNE</t>
        </is>
      </c>
      <c r="K545" s="672" t="inlineStr">
        <is>
          <t>Ordinaire</t>
        </is>
      </c>
      <c r="L545" s="676" t="inlineStr">
        <is>
          <t>FONCTIONNEMENT</t>
        </is>
      </c>
      <c r="M545" s="676" t="inlineStr">
        <is>
          <t xml:space="preserve">Prestations de service
Achat prestations de services locales - personnes physiques </t>
        </is>
      </c>
      <c r="N545" s="677" t="n"/>
      <c r="O545" s="678" t="n"/>
      <c r="P545" s="678" t="n"/>
      <c r="Q545" s="672" t="inlineStr">
        <is>
          <t>BESOIN RECURRENT</t>
        </is>
      </c>
      <c r="R545" s="679" t="n"/>
      <c r="S545" s="680" t="n"/>
      <c r="T545" s="681" t="inlineStr">
        <is>
          <t>AMINE MARZOUKI</t>
        </is>
      </c>
      <c r="U545" s="672" t="n">
        <v>2026</v>
      </c>
      <c r="V545" s="680" t="n">
        <v>46082</v>
      </c>
      <c r="W545" s="680" t="n"/>
      <c r="X545" s="680" t="n"/>
      <c r="Y545" s="677" t="n">
        <v>70000</v>
      </c>
      <c r="Z545" s="678" t="n">
        <v>0</v>
      </c>
      <c r="AA545" s="678">
        <f>Y545</f>
        <v/>
      </c>
      <c r="AB545" s="678" t="n">
        <v>0</v>
      </c>
      <c r="AC545" s="678">
        <f>Y545</f>
        <v/>
      </c>
      <c r="AD545" s="678">
        <f>Y545</f>
        <v/>
      </c>
      <c r="AE545" s="682" t="inlineStr">
        <is>
          <t>ENGAGE</t>
        </is>
      </c>
      <c r="AF545" s="681" t="n"/>
      <c r="AG545" s="678" t="n"/>
      <c r="AH545" s="678" t="n"/>
      <c r="AI545" s="678" t="n"/>
      <c r="AJ545" s="678" t="n"/>
      <c r="AK545" s="683" t="n"/>
      <c r="AL545" s="683" t="n"/>
      <c r="AM545" s="681" t="inlineStr">
        <is>
          <t>Manque n° contrat</t>
        </is>
      </c>
      <c r="AN545" s="684" t="n"/>
      <c r="AO545" s="685" t="n"/>
      <c r="AP545" s="686" t="n"/>
      <c r="AQ545" s="686" t="n"/>
      <c r="AR545" s="23" t="n"/>
      <c r="AS545" s="686" t="n"/>
    </row>
    <row r="546" ht="70.80000000000001" customHeight="1" s="392">
      <c r="A546" s="672" t="n">
        <v>2026</v>
      </c>
      <c r="B546" s="673" t="inlineStr">
        <is>
          <t>ASSADISSA</t>
        </is>
      </c>
      <c r="C546" s="673" t="inlineStr">
        <is>
          <t>PV N° : 01RE2026- DPPCCRTV</t>
        </is>
      </c>
      <c r="D546" s="672" t="inlineStr">
        <is>
          <t>CONTRAT</t>
        </is>
      </c>
      <c r="E546" s="672" t="n"/>
      <c r="F546" s="674" t="inlineStr">
        <is>
          <t>YOUSSEF ESBAISS – Programmatrice TV : le montage, la coordination et le suivi avec la commission scinetiifique, l’archive STM et la coordination du portail de la chaine</t>
        </is>
      </c>
      <c r="G546" s="675" t="inlineStr">
        <is>
          <t>VALIDE</t>
        </is>
      </c>
      <c r="H546" s="672" t="inlineStr">
        <is>
          <t>APPROUVE</t>
        </is>
      </c>
      <c r="I546" s="672" t="n"/>
      <c r="J546" s="675" t="inlineStr">
        <is>
          <t>NON CONCERNE</t>
        </is>
      </c>
      <c r="K546" s="672" t="inlineStr">
        <is>
          <t>Ordinaire</t>
        </is>
      </c>
      <c r="L546" s="676" t="inlineStr">
        <is>
          <t>FONCTIONNEMENT</t>
        </is>
      </c>
      <c r="M546" s="676" t="inlineStr">
        <is>
          <t xml:space="preserve">Prestations de service
Achat prestations de services locales - personnes physiques </t>
        </is>
      </c>
      <c r="N546" s="677" t="n"/>
      <c r="O546" s="678" t="n"/>
      <c r="P546" s="678" t="n"/>
      <c r="Q546" s="672" t="inlineStr">
        <is>
          <t>BESOIN RECURRENT</t>
        </is>
      </c>
      <c r="R546" s="679" t="n"/>
      <c r="S546" s="680" t="n"/>
      <c r="T546" s="681" t="inlineStr">
        <is>
          <t>YOUSSEF ESBAISS</t>
        </is>
      </c>
      <c r="U546" s="672" t="n">
        <v>2026</v>
      </c>
      <c r="V546" s="680" t="n">
        <v>46082</v>
      </c>
      <c r="W546" s="680" t="n"/>
      <c r="X546" s="680" t="n"/>
      <c r="Y546" s="677" t="n">
        <v>70000</v>
      </c>
      <c r="Z546" s="678" t="n">
        <v>0</v>
      </c>
      <c r="AA546" s="678">
        <f>Y546</f>
        <v/>
      </c>
      <c r="AB546" s="678" t="n">
        <v>0</v>
      </c>
      <c r="AC546" s="678">
        <f>Y546</f>
        <v/>
      </c>
      <c r="AD546" s="678">
        <f>Y546</f>
        <v/>
      </c>
      <c r="AE546" s="682" t="inlineStr">
        <is>
          <t>ENGAGE</t>
        </is>
      </c>
      <c r="AF546" s="681" t="n"/>
      <c r="AG546" s="678" t="n"/>
      <c r="AH546" s="678" t="n"/>
      <c r="AI546" s="678" t="n"/>
      <c r="AJ546" s="678" t="n"/>
      <c r="AK546" s="683" t="n"/>
      <c r="AL546" s="683" t="n"/>
      <c r="AM546" s="681" t="inlineStr">
        <is>
          <t>Manque n° contrat</t>
        </is>
      </c>
      <c r="AN546" s="684" t="n"/>
      <c r="AO546" s="685" t="n"/>
      <c r="AP546" s="686" t="n"/>
      <c r="AQ546" s="686" t="n"/>
      <c r="AR546" s="23" t="n"/>
      <c r="AS546" s="686" t="n"/>
    </row>
    <row r="547" ht="38.40000000000001" customHeight="1" s="392">
      <c r="A547" s="672" t="n">
        <v>2026</v>
      </c>
      <c r="B547" s="673" t="inlineStr">
        <is>
          <t>DPMG</t>
        </is>
      </c>
      <c r="C547" s="673" t="inlineStr">
        <is>
          <t>61AOM/SNRT</t>
        </is>
      </c>
      <c r="D547" s="672" t="inlineStr">
        <is>
          <t>AOO-M</t>
        </is>
      </c>
      <c r="E547" s="672" t="n"/>
      <c r="F547" s="674" t="inlineStr">
        <is>
          <t>Maintenance et entretien des appareils de climatisation (Pièce et main d’œuvre) : Rabat et Casablanca</t>
        </is>
      </c>
      <c r="G547" s="675" t="inlineStr">
        <is>
          <t>VALIDE</t>
        </is>
      </c>
      <c r="H547" s="672" t="inlineStr">
        <is>
          <t>PHASE AOO</t>
        </is>
      </c>
      <c r="I547" s="672" t="n"/>
      <c r="J547" s="675" t="inlineStr">
        <is>
          <t>PME</t>
        </is>
      </c>
      <c r="K547" s="672" t="inlineStr">
        <is>
          <t>Ordinaire</t>
        </is>
      </c>
      <c r="L547" s="676" t="inlineStr">
        <is>
          <t>FONCTIONNEMENT</t>
        </is>
      </c>
      <c r="M547" s="676" t="inlineStr">
        <is>
          <t>Entretien, réparation et assurance</t>
        </is>
      </c>
      <c r="N547" s="677">
        <f>O547*1.2</f>
        <v/>
      </c>
      <c r="O547" s="678" t="n">
        <v>500580</v>
      </c>
      <c r="P547" s="678">
        <f>O547/1.2</f>
        <v/>
      </c>
      <c r="Q547" s="672" t="inlineStr">
        <is>
          <t>BESOIN RECURRENT</t>
        </is>
      </c>
      <c r="R547" s="679" t="n"/>
      <c r="S547" s="680" t="n"/>
      <c r="T547" s="681" t="n"/>
      <c r="U547" s="672" t="n"/>
      <c r="V547" s="680" t="n">
        <v>46213</v>
      </c>
      <c r="W547" s="680" t="n"/>
      <c r="X547" s="680" t="n"/>
      <c r="Y547" s="677" t="n"/>
      <c r="Z547" s="678" t="n"/>
      <c r="AA547" s="678" t="n"/>
      <c r="AB547" s="678" t="n"/>
      <c r="AC547" s="678" t="n"/>
      <c r="AD547" s="678" t="n"/>
      <c r="AE547" s="682" t="inlineStr">
        <is>
          <t>PREENGAGE</t>
        </is>
      </c>
      <c r="AF547" s="681" t="n"/>
      <c r="AG547" s="678" t="n"/>
      <c r="AH547" s="678" t="n"/>
      <c r="AI547" s="678" t="n"/>
      <c r="AJ547" s="678" t="n"/>
      <c r="AK547" s="683" t="n"/>
      <c r="AL547" s="683" t="n"/>
      <c r="AM547" s="681" t="inlineStr">
        <is>
          <t xml:space="preserve">N° AO et DATE VALIDATION </t>
        </is>
      </c>
      <c r="AN547" s="684" t="n"/>
      <c r="AO547" s="685" t="n"/>
      <c r="AP547" s="686" t="n"/>
      <c r="AQ547" s="686" t="n"/>
      <c r="AR547" s="23" t="n"/>
      <c r="AS547" s="686" t="n"/>
    </row>
    <row r="548" ht="32" customHeight="1" s="392">
      <c r="A548" s="672" t="n">
        <v>2026</v>
      </c>
      <c r="B548" s="673" t="inlineStr">
        <is>
          <t>TDF -SITES</t>
        </is>
      </c>
      <c r="C548" s="673" t="inlineStr">
        <is>
          <t>31 AOM/SNRT</t>
        </is>
      </c>
      <c r="D548" s="672" t="inlineStr">
        <is>
          <t>AOO-M</t>
        </is>
      </c>
      <c r="E548" s="672" t="n"/>
      <c r="F548" s="674" t="inlineStr">
        <is>
          <t>Fourniture de commutateurs de flux transport stream</t>
        </is>
      </c>
      <c r="G548" s="675" t="inlineStr">
        <is>
          <t>VALIDE</t>
        </is>
      </c>
      <c r="H548" s="672" t="inlineStr">
        <is>
          <t>ATTRIBUE</t>
        </is>
      </c>
      <c r="I548" s="691" t="n"/>
      <c r="J548" s="675" t="inlineStr">
        <is>
          <t>GENERAL</t>
        </is>
      </c>
      <c r="K548" s="672" t="inlineStr">
        <is>
          <t>REPORT BUDGET ANNEE ANTERIEURE</t>
        </is>
      </c>
      <c r="L548" s="676" t="inlineStr">
        <is>
          <t>INVESTISSEMENT</t>
        </is>
      </c>
      <c r="M548" s="676" t="inlineStr">
        <is>
          <t>Équipements de télédiffusion</t>
        </is>
      </c>
      <c r="N548" s="677">
        <f>O548*1.2</f>
        <v/>
      </c>
      <c r="O548" s="678" t="n">
        <v>1785000</v>
      </c>
      <c r="P548" s="678">
        <f>O548/1.2</f>
        <v/>
      </c>
      <c r="Q548" s="672" t="inlineStr">
        <is>
          <t>NOUVEAU BESOIN</t>
        </is>
      </c>
      <c r="R548" s="679" t="n"/>
      <c r="S548" s="680" t="n"/>
      <c r="T548" s="681" t="inlineStr">
        <is>
          <t>INTRATEL</t>
        </is>
      </c>
      <c r="U548" s="672" t="n"/>
      <c r="V548" s="680" t="n">
        <v>46136</v>
      </c>
      <c r="W548" s="680" t="n">
        <v>46142</v>
      </c>
      <c r="X548" s="680" t="n">
        <v>46258</v>
      </c>
      <c r="Y548" s="677" t="n"/>
      <c r="Z548" s="678" t="n">
        <v>0</v>
      </c>
      <c r="AA548" s="678" t="n">
        <v>2135520</v>
      </c>
      <c r="AB548" s="678" t="n">
        <v>0</v>
      </c>
      <c r="AC548" s="678">
        <f>Engagements2026Juillet[[#This Row],[MONTANT MARCHE TTC  PART EN MAD]]/1.2</f>
        <v/>
      </c>
      <c r="AD548" s="678">
        <f>Engagements2026Juillet[[#This Row],[MONTANT MARCHE TTC  PART EN MAD]]</f>
        <v/>
      </c>
      <c r="AE548" s="682" t="inlineStr">
        <is>
          <t>ENGAGE</t>
        </is>
      </c>
      <c r="AF548" s="681" t="n"/>
      <c r="AG548" s="678" t="n"/>
      <c r="AH548" s="678" t="n"/>
      <c r="AI548" s="678" t="n"/>
      <c r="AJ548" s="678" t="n"/>
      <c r="AK548" s="683" t="n"/>
      <c r="AL548" s="683" t="n"/>
      <c r="AM548" s="681" t="n"/>
      <c r="AN548" s="684" t="n"/>
      <c r="AO548" s="685" t="n"/>
      <c r="AP548" s="686" t="n"/>
      <c r="AQ548" s="686" t="n"/>
      <c r="AR548" s="23" t="n"/>
      <c r="AS548" s="686" t="n"/>
    </row>
    <row r="549" ht="54.6" customHeight="1" s="392">
      <c r="A549" s="672" t="n">
        <v>2026</v>
      </c>
      <c r="B549" s="673" t="inlineStr">
        <is>
          <t>DCRI</t>
        </is>
      </c>
      <c r="C549" s="673" t="inlineStr">
        <is>
          <t>Consultation N° 08CT/SNRT/2026</t>
        </is>
      </c>
      <c r="D549" s="672" t="inlineStr">
        <is>
          <t>CONTRAT</t>
        </is>
      </c>
      <c r="E549" s="672" t="n"/>
      <c r="F549" s="674" t="inlineStr">
        <is>
          <t>Agencement d’un stand de 66 M2 au Salon International de l’Édition et du livre (SIEL) ainsi que l’organisation de 05 récéptions pour 40 personnes</t>
        </is>
      </c>
      <c r="G549" s="675" t="inlineStr">
        <is>
          <t>VALIDE</t>
        </is>
      </c>
      <c r="H549" s="672" t="inlineStr">
        <is>
          <t>APPROUVE</t>
        </is>
      </c>
      <c r="I549" s="672" t="inlineStr">
        <is>
          <t>394 CT/SNRT/2026</t>
        </is>
      </c>
      <c r="J549" s="675" t="inlineStr">
        <is>
          <t>NON CONCERNE</t>
        </is>
      </c>
      <c r="K549" s="672" t="inlineStr">
        <is>
          <t>Ordinaire</t>
        </is>
      </c>
      <c r="L549" s="676" t="inlineStr">
        <is>
          <t>FONCTIONNEMENT</t>
        </is>
      </c>
      <c r="M549" s="676" t="inlineStr">
        <is>
          <t>Charges marketing et relations publiques</t>
        </is>
      </c>
      <c r="N549" s="677" t="n"/>
      <c r="O549" s="678" t="n"/>
      <c r="P549" s="678" t="n"/>
      <c r="Q549" s="672" t="inlineStr">
        <is>
          <t>BESOIN RECURRENT</t>
        </is>
      </c>
      <c r="R549" s="679" t="n"/>
      <c r="S549" s="680" t="n"/>
      <c r="T549" s="681" t="inlineStr">
        <is>
          <t>KI VISION</t>
        </is>
      </c>
      <c r="U549" s="672" t="n"/>
      <c r="V549" s="680" t="n">
        <v>46135</v>
      </c>
      <c r="W549" s="680" t="n"/>
      <c r="X549" s="680" t="n">
        <v>46135</v>
      </c>
      <c r="Y549" s="677" t="n">
        <v>265200</v>
      </c>
      <c r="Z549" s="678" t="n">
        <v>0</v>
      </c>
      <c r="AA549" s="678" t="n">
        <v>318240</v>
      </c>
      <c r="AB549" s="678" t="n">
        <v>0</v>
      </c>
      <c r="AC549" s="678">
        <f>Y549</f>
        <v/>
      </c>
      <c r="AD549" s="678">
        <f>AA549</f>
        <v/>
      </c>
      <c r="AE549" s="682" t="inlineStr">
        <is>
          <t>ENGAGE</t>
        </is>
      </c>
      <c r="AF549" s="681" t="n"/>
      <c r="AG549" s="678" t="n"/>
      <c r="AH549" s="678" t="n"/>
      <c r="AI549" s="678" t="n"/>
      <c r="AJ549" s="678" t="n"/>
      <c r="AK549" s="683" t="n"/>
      <c r="AL549" s="683" t="n"/>
      <c r="AM549" s="681" t="inlineStr">
        <is>
          <t>R.A.S</t>
        </is>
      </c>
      <c r="AN549" s="684" t="n"/>
      <c r="AO549" s="685" t="n"/>
      <c r="AP549" s="686" t="n"/>
      <c r="AQ549" s="686" t="n"/>
      <c r="AR549" s="23" t="n"/>
      <c r="AS549" s="686" t="n"/>
    </row>
    <row r="550" ht="70.80000000000001" customHeight="1" s="392">
      <c r="A550" s="672" t="n">
        <v>2026</v>
      </c>
      <c r="B550" s="673" t="inlineStr">
        <is>
          <t>TDF-EXP&amp;MAIN</t>
        </is>
      </c>
      <c r="C550" s="673" t="inlineStr">
        <is>
          <t>32 AOM/SNRT</t>
        </is>
      </c>
      <c r="D550" s="672" t="inlineStr">
        <is>
          <t>AOO-M</t>
        </is>
      </c>
      <c r="E550" s="672" t="n">
        <v>1</v>
      </c>
      <c r="F550" s="674" t="inlineStr">
        <is>
          <t>Acquisition de matériel technique et informatique pour l’extension de l’outil digital de gestion des ressources techniques et humaines de l’exploitation et de la maintenance</t>
        </is>
      </c>
      <c r="G550" s="675" t="inlineStr">
        <is>
          <t>INFRUCTUEUX</t>
        </is>
      </c>
      <c r="H550" s="672" t="inlineStr">
        <is>
          <t>INFRUCTUEUX</t>
        </is>
      </c>
      <c r="I550" s="672" t="n"/>
      <c r="J550" s="675" t="inlineStr">
        <is>
          <t>GENERAL</t>
        </is>
      </c>
      <c r="K550" s="672" t="inlineStr">
        <is>
          <t>REPORT BUDGET ANNEE ANTERIEURE</t>
        </is>
      </c>
      <c r="L550" s="676" t="inlineStr">
        <is>
          <t>INVESTISSEMENT</t>
        </is>
      </c>
      <c r="M550" s="676" t="inlineStr">
        <is>
          <t>Équipements de télédiffusion</t>
        </is>
      </c>
      <c r="N550" s="677">
        <f>O550*1.2</f>
        <v/>
      </c>
      <c r="O550" s="678" t="n">
        <v>540000</v>
      </c>
      <c r="P550" s="678">
        <f>O550/1.2</f>
        <v/>
      </c>
      <c r="Q550" s="672" t="inlineStr">
        <is>
          <t>NOUVEAU BESOIN</t>
        </is>
      </c>
      <c r="R550" s="679" t="n"/>
      <c r="S550" s="680" t="n"/>
      <c r="T550" s="681" t="n"/>
      <c r="U550" s="672" t="n"/>
      <c r="V550" s="680" t="n">
        <v>46080</v>
      </c>
      <c r="W550" s="680" t="n">
        <v>46084</v>
      </c>
      <c r="X550" s="680" t="inlineStr">
        <is>
          <t>-</t>
        </is>
      </c>
      <c r="Y550" s="677" t="n">
        <v>0</v>
      </c>
      <c r="Z550" s="678" t="n">
        <v>0</v>
      </c>
      <c r="AA550" s="678" t="n">
        <v>0</v>
      </c>
      <c r="AB550" s="678" t="n">
        <v>0</v>
      </c>
      <c r="AC550" s="678" t="n">
        <v>0</v>
      </c>
      <c r="AD550" s="678" t="n">
        <v>0</v>
      </c>
      <c r="AE550" s="682" t="inlineStr">
        <is>
          <t>NON ENGAGE</t>
        </is>
      </c>
      <c r="AF550" s="681" t="n"/>
      <c r="AG550" s="678" t="n"/>
      <c r="AH550" s="678" t="n"/>
      <c r="AI550" s="678" t="n"/>
      <c r="AJ550" s="678" t="n"/>
      <c r="AK550" s="683" t="n"/>
      <c r="AL550" s="683" t="n"/>
      <c r="AM550" s="681" t="inlineStr">
        <is>
          <t>Publié le 19/03/2026</t>
        </is>
      </c>
    </row>
    <row r="551" ht="70.80000000000001" customHeight="1" s="392">
      <c r="A551" s="672" t="n">
        <v>2026</v>
      </c>
      <c r="B551" s="673" t="inlineStr">
        <is>
          <t>DTSI</t>
        </is>
      </c>
      <c r="C551" s="673" t="inlineStr">
        <is>
          <t>33 AOM/SNRT</t>
        </is>
      </c>
      <c r="D551" s="672" t="inlineStr">
        <is>
          <t>AOO-M</t>
        </is>
      </c>
      <c r="E551" s="672" t="n">
        <v>1</v>
      </c>
      <c r="F551" s="674" t="inlineStr">
        <is>
          <t>La fourniture et la mise en service de serveurs haute performance destinés aux applications d’intelligence artificielle et d’apprentissage automatique pour les besoins de la SNRT</t>
        </is>
      </c>
      <c r="G551" s="675" t="inlineStr">
        <is>
          <t>INFRUCTUEUX</t>
        </is>
      </c>
      <c r="H551" s="672" t="inlineStr">
        <is>
          <t>INFRUCTUEUX</t>
        </is>
      </c>
      <c r="I551" s="672" t="n"/>
      <c r="J551" s="675" t="inlineStr">
        <is>
          <t>GENERAL</t>
        </is>
      </c>
      <c r="K551" s="672" t="inlineStr">
        <is>
          <t>Ordinaire</t>
        </is>
      </c>
      <c r="L551" s="676" t="inlineStr">
        <is>
          <t>INVESTISSEMENT</t>
        </is>
      </c>
      <c r="M551" s="676" t="inlineStr">
        <is>
          <t>Matériel informatiques</t>
        </is>
      </c>
      <c r="N551" s="677">
        <f>O551*1.2</f>
        <v/>
      </c>
      <c r="O551" s="678" t="n">
        <v>1906704</v>
      </c>
      <c r="P551" s="678">
        <f>O551/1.2</f>
        <v/>
      </c>
      <c r="Q551" s="672" t="inlineStr">
        <is>
          <t>NOUVEAU BESOIN</t>
        </is>
      </c>
      <c r="R551" s="679" t="n"/>
      <c r="S551" s="680" t="n"/>
      <c r="T551" s="681" t="n"/>
      <c r="U551" s="672" t="n"/>
      <c r="V551" s="680" t="n">
        <v>46140</v>
      </c>
      <c r="W551" s="680" t="n">
        <v>46142</v>
      </c>
      <c r="X551" s="680" t="inlineStr">
        <is>
          <t>-</t>
        </is>
      </c>
      <c r="Y551" s="677" t="n">
        <v>0</v>
      </c>
      <c r="Z551" s="678" t="n">
        <v>0</v>
      </c>
      <c r="AA551" s="678" t="n">
        <v>0</v>
      </c>
      <c r="AB551" s="678" t="n">
        <v>0</v>
      </c>
      <c r="AC551" s="678" t="n">
        <v>0</v>
      </c>
      <c r="AD551" s="678" t="n">
        <v>0</v>
      </c>
      <c r="AE551" s="682" t="inlineStr">
        <is>
          <t>NON ENGAGE</t>
        </is>
      </c>
      <c r="AF551" s="681" t="n"/>
      <c r="AG551" s="678" t="n"/>
      <c r="AH551" s="678" t="n"/>
      <c r="AI551" s="678" t="n"/>
      <c r="AJ551" s="678" t="n"/>
      <c r="AK551" s="683" t="n"/>
      <c r="AL551" s="683" t="n"/>
      <c r="AM551" s="681" t="inlineStr">
        <is>
          <t>Suite annuléation AO 15</t>
        </is>
      </c>
    </row>
    <row r="552" ht="54.6" customHeight="1" s="392">
      <c r="A552" s="672" t="n">
        <v>2026</v>
      </c>
      <c r="B552" s="673" t="inlineStr">
        <is>
          <t>DTSI</t>
        </is>
      </c>
      <c r="C552" s="673" t="inlineStr">
        <is>
          <t>34 AOM/SNRT</t>
        </is>
      </c>
      <c r="D552" s="672" t="inlineStr">
        <is>
          <t>AOO-M</t>
        </is>
      </c>
      <c r="E552" s="672" t="n">
        <v>1</v>
      </c>
      <c r="F552" s="674" t="inlineStr">
        <is>
          <t>Souscription à des abonnements annuels de licences de logiciels de création de contenu et outils basés sur l’intelligence artificielle au profit de la DCRPSD</t>
        </is>
      </c>
      <c r="G552" s="675" t="inlineStr">
        <is>
          <t>VALIDE</t>
        </is>
      </c>
      <c r="H552" s="672" t="inlineStr">
        <is>
          <t>ATTRIBUE</t>
        </is>
      </c>
      <c r="I552" s="691" t="n"/>
      <c r="J552" s="675" t="inlineStr">
        <is>
          <t>PME</t>
        </is>
      </c>
      <c r="K552" s="672" t="inlineStr">
        <is>
          <t>Ordinaire</t>
        </is>
      </c>
      <c r="L552" s="676" t="inlineStr">
        <is>
          <t>FONCTIONNEMENT</t>
        </is>
      </c>
      <c r="M552" s="676" t="inlineStr">
        <is>
          <t>Redevances et cotisations</t>
        </is>
      </c>
      <c r="N552" s="677">
        <f>O552*1.2</f>
        <v/>
      </c>
      <c r="O552" s="678" t="n">
        <v>100620</v>
      </c>
      <c r="P552" s="678">
        <f>O552/1.2</f>
        <v/>
      </c>
      <c r="Q552" s="672" t="inlineStr">
        <is>
          <t>BESOIN RECURRENT</t>
        </is>
      </c>
      <c r="R552" s="679" t="n"/>
      <c r="S552" s="680" t="n"/>
      <c r="T552" s="681" t="inlineStr">
        <is>
          <t>WARNA</t>
        </is>
      </c>
      <c r="U552" s="672" t="n"/>
      <c r="V552" s="680" t="n">
        <v>46140</v>
      </c>
      <c r="W552" s="680" t="n">
        <v>46141</v>
      </c>
      <c r="X552" s="680" t="n"/>
      <c r="Y552" s="677" t="n"/>
      <c r="Z552" s="678" t="n"/>
      <c r="AA552" s="678" t="n">
        <v>119737.08</v>
      </c>
      <c r="AB552" s="678" t="n"/>
      <c r="AC552" s="678">
        <f>Engagements2026Juillet[[#This Row],[TOTAL MARCHE TTC TOTAL ENGAGE TTC]]/1.2</f>
        <v/>
      </c>
      <c r="AD552" s="678" t="n">
        <v>119737.08</v>
      </c>
      <c r="AE552" s="682" t="inlineStr">
        <is>
          <t>ENGAGE</t>
        </is>
      </c>
      <c r="AF552" s="681" t="n"/>
      <c r="AG552" s="678" t="n"/>
      <c r="AH552" s="678" t="n"/>
      <c r="AI552" s="678" t="n"/>
      <c r="AJ552" s="678" t="n"/>
      <c r="AK552" s="683" t="n"/>
      <c r="AL552" s="683" t="n"/>
      <c r="AM552" s="681" t="inlineStr">
        <is>
          <t>R.A.S</t>
        </is>
      </c>
    </row>
    <row r="553" ht="50.55" customHeight="1" s="392">
      <c r="A553" s="672" t="n">
        <v>2026</v>
      </c>
      <c r="B553" s="673" t="inlineStr">
        <is>
          <t>ARRIYADIA</t>
        </is>
      </c>
      <c r="C553" s="673" t="inlineStr">
        <is>
          <t>01RE2026-DCCCA</t>
        </is>
      </c>
      <c r="D553" s="672" t="inlineStr">
        <is>
          <t>CONTRAT</t>
        </is>
      </c>
      <c r="E553" s="672" t="n">
        <v>1</v>
      </c>
      <c r="F553" s="674" t="inlineStr">
        <is>
          <t>SAMIR BENCHEKROUN – CONSULTANT EN MATCHS DE FOOTBALL</t>
        </is>
      </c>
      <c r="G553" s="675" t="inlineStr">
        <is>
          <t>VALIDE</t>
        </is>
      </c>
      <c r="H553" s="672" t="inlineStr">
        <is>
          <t>APPROUVE</t>
        </is>
      </c>
      <c r="I553" s="672" t="n"/>
      <c r="J553" s="675" t="inlineStr">
        <is>
          <t>NON CONCERNE</t>
        </is>
      </c>
      <c r="K553" s="672" t="inlineStr">
        <is>
          <t>Ordinaire</t>
        </is>
      </c>
      <c r="L553" s="676" t="inlineStr">
        <is>
          <t>FONCTIONNEMENT</t>
        </is>
      </c>
      <c r="M553" s="676" t="inlineStr">
        <is>
          <t xml:space="preserve">Prestations de service
Achat prestations de services locales - personnes physiques </t>
        </is>
      </c>
      <c r="N553" s="677" t="n"/>
      <c r="O553" s="678" t="n"/>
      <c r="P553" s="678" t="n"/>
      <c r="Q553" s="672" t="inlineStr">
        <is>
          <t>NOUVEAU BESOIN</t>
        </is>
      </c>
      <c r="R553" s="679" t="n"/>
      <c r="S553" s="680" t="n"/>
      <c r="T553" s="681" t="inlineStr">
        <is>
          <t>SAMIR BENCHEKROUN</t>
        </is>
      </c>
      <c r="U553" s="672" t="n">
        <v>2026</v>
      </c>
      <c r="V553" s="680" t="n">
        <v>46087</v>
      </c>
      <c r="W553" s="680" t="n"/>
      <c r="X553" s="680" t="n">
        <v>46087</v>
      </c>
      <c r="Y553" s="677" t="n">
        <v>150000</v>
      </c>
      <c r="Z553" s="678" t="n">
        <v>0</v>
      </c>
      <c r="AA553" s="678" t="n">
        <v>150000</v>
      </c>
      <c r="AB553" s="678" t="n">
        <v>0</v>
      </c>
      <c r="AC553" s="678" t="n">
        <v>150000</v>
      </c>
      <c r="AD553" s="678" t="n">
        <v>150000</v>
      </c>
      <c r="AE553" s="682" t="inlineStr">
        <is>
          <t>ENGAGE</t>
        </is>
      </c>
      <c r="AF553" s="681" t="n"/>
      <c r="AG553" s="678" t="n"/>
      <c r="AH553" s="678" t="n"/>
      <c r="AI553" s="678" t="n"/>
      <c r="AJ553" s="678" t="n"/>
      <c r="AK553" s="683" t="n"/>
      <c r="AL553" s="683" t="n"/>
      <c r="AM553" s="681" t="inlineStr">
        <is>
          <t>R.A.S</t>
        </is>
      </c>
    </row>
    <row r="554" ht="50.55" customHeight="1" s="392">
      <c r="A554" s="672" t="n">
        <v>2026</v>
      </c>
      <c r="B554" s="673" t="inlineStr">
        <is>
          <t>TAMAZIGHT</t>
        </is>
      </c>
      <c r="C554" s="673" t="inlineStr">
        <is>
          <t>01RE2026-DCPCART</t>
        </is>
      </c>
      <c r="D554" s="672" t="inlineStr">
        <is>
          <t>CONTRAT</t>
        </is>
      </c>
      <c r="E554" s="672" t="n">
        <v>1</v>
      </c>
      <c r="F554" s="674" t="inlineStr">
        <is>
          <t>SAIDA EL ALAOUI – JOURNALISTE</t>
        </is>
      </c>
      <c r="G554" s="675" t="inlineStr">
        <is>
          <t>VALIDE</t>
        </is>
      </c>
      <c r="H554" s="672" t="inlineStr">
        <is>
          <t>APPROUVE</t>
        </is>
      </c>
      <c r="I554" s="672" t="n"/>
      <c r="J554" s="675" t="inlineStr">
        <is>
          <t>NON CONCERNE</t>
        </is>
      </c>
      <c r="K554" s="672" t="inlineStr">
        <is>
          <t>Ordinaire</t>
        </is>
      </c>
      <c r="L554" s="676" t="inlineStr">
        <is>
          <t>FONCTIONNEMENT</t>
        </is>
      </c>
      <c r="M554" s="676" t="inlineStr">
        <is>
          <t xml:space="preserve">Prestations de service
Achat prestations de services locales - personnes physiques </t>
        </is>
      </c>
      <c r="N554" s="677" t="n"/>
      <c r="O554" s="678" t="n"/>
      <c r="P554" s="678" t="n"/>
      <c r="Q554" s="672" t="n"/>
      <c r="R554" s="679" t="n"/>
      <c r="S554" s="680" t="n"/>
      <c r="T554" s="681" t="inlineStr">
        <is>
          <t>SAIDA EL ALAOUI</t>
        </is>
      </c>
      <c r="U554" s="672" t="n"/>
      <c r="V554" s="680" t="n">
        <v>46146</v>
      </c>
      <c r="W554" s="680" t="n">
        <v>46142</v>
      </c>
      <c r="X554" s="680" t="n"/>
      <c r="Y554" s="677" t="n"/>
      <c r="Z554" s="678" t="n"/>
      <c r="AA554" s="678" t="n"/>
      <c r="AB554" s="678" t="n"/>
      <c r="AC554" s="678" t="n"/>
      <c r="AD554" s="678" t="n">
        <v>64000</v>
      </c>
      <c r="AE554" s="682" t="inlineStr">
        <is>
          <t>ENGAGE</t>
        </is>
      </c>
      <c r="AF554" s="681" t="n"/>
      <c r="AG554" s="678" t="n"/>
      <c r="AH554" s="678" t="n"/>
      <c r="AI554" s="678" t="n"/>
      <c r="AJ554" s="678" t="n"/>
      <c r="AK554" s="683" t="n"/>
      <c r="AL554" s="683" t="n"/>
      <c r="AM554" s="681" t="inlineStr">
        <is>
          <t>R.A.S</t>
        </is>
      </c>
    </row>
    <row r="555" ht="70.80000000000001" customHeight="1" s="392">
      <c r="A555" s="672" t="n">
        <v>2026</v>
      </c>
      <c r="B555" s="673" t="inlineStr">
        <is>
          <t>DCPA</t>
        </is>
      </c>
      <c r="C555" s="673" t="inlineStr">
        <is>
          <t>EXCLUSIVITÉ</t>
        </is>
      </c>
      <c r="D555" s="672" t="inlineStr">
        <is>
          <t>CONTRAT</t>
        </is>
      </c>
      <c r="E555" s="672" t="n">
        <v>1</v>
      </c>
      <c r="F555" s="674" t="inlineStr">
        <is>
          <t>Cession des droits de diffusion des actualités et la couverture télévisée de la 14éme édition du Festival International du Film de Dakhla,  qui se tiendra du 06 au 12 Juin 2026,</t>
        </is>
      </c>
      <c r="G555" s="675" t="inlineStr">
        <is>
          <t>VALIDE</t>
        </is>
      </c>
      <c r="H555" s="672" t="inlineStr">
        <is>
          <t>APPROUVE</t>
        </is>
      </c>
      <c r="I555" s="672" t="inlineStr">
        <is>
          <t>398 CT/SNRT/2026</t>
        </is>
      </c>
      <c r="J555" s="675" t="inlineStr">
        <is>
          <t>NON CONCERNE</t>
        </is>
      </c>
      <c r="K555" s="672" t="inlineStr">
        <is>
          <t>Ordinaire</t>
        </is>
      </c>
      <c r="L555" s="676" t="inlineStr">
        <is>
          <t>FONCTIONNEMENT</t>
        </is>
      </c>
      <c r="M555" s="676" t="inlineStr">
        <is>
          <t>Achats de droits 
Achats des droits de captation</t>
        </is>
      </c>
      <c r="N555" s="677" t="n"/>
      <c r="O555" s="678" t="n"/>
      <c r="P555" s="678" t="n"/>
      <c r="Q555" s="672" t="inlineStr">
        <is>
          <t>NOUVEAU BESOIN</t>
        </is>
      </c>
      <c r="R555" s="679" t="n"/>
      <c r="S555" s="680" t="n"/>
      <c r="T555" s="681" t="inlineStr">
        <is>
          <t>ASSOCIATION D'ANIMATION CULTURELLE ET ARTISTIQUE DES PROVINCES DU SUD</t>
        </is>
      </c>
      <c r="U555" s="672" t="n">
        <v>2026</v>
      </c>
      <c r="V555" s="680" t="n">
        <v>46146</v>
      </c>
      <c r="W555" s="680" t="n"/>
      <c r="X555" s="680" t="n">
        <v>46153</v>
      </c>
      <c r="Y555" s="677">
        <f>AA555</f>
        <v/>
      </c>
      <c r="Z555" s="678" t="n">
        <v>0</v>
      </c>
      <c r="AA555" s="678">
        <f>AC555</f>
        <v/>
      </c>
      <c r="AB555" s="678" t="n">
        <v>0</v>
      </c>
      <c r="AC555" s="678">
        <f>AD555</f>
        <v/>
      </c>
      <c r="AD555" s="678" t="n">
        <v>200000</v>
      </c>
      <c r="AE555" s="682" t="inlineStr">
        <is>
          <t>ENGAGE</t>
        </is>
      </c>
      <c r="AF555" s="681" t="n"/>
      <c r="AG555" s="678" t="n"/>
      <c r="AH555" s="678" t="n"/>
      <c r="AI555" s="678" t="n"/>
      <c r="AJ555" s="678" t="n"/>
      <c r="AK555" s="683" t="n"/>
      <c r="AL555" s="683" t="n"/>
      <c r="AM555" s="681" t="inlineStr">
        <is>
          <t>R.A.S</t>
        </is>
      </c>
    </row>
    <row r="556" ht="54.6" customHeight="1" s="392">
      <c r="A556" s="672" t="n">
        <v>2026</v>
      </c>
      <c r="B556" s="673" t="inlineStr">
        <is>
          <t>DTSI</t>
        </is>
      </c>
      <c r="C556" s="673" t="n"/>
      <c r="D556" s="672" t="inlineStr">
        <is>
          <t>BCL</t>
        </is>
      </c>
      <c r="E556" s="672" t="n">
        <v>1</v>
      </c>
      <c r="F556" s="674" t="inlineStr">
        <is>
          <t>Fourniture et mise en service de systèmes de commande sans fils pour optique de caméra pour les besoins des unités mobiles de la SNRT</t>
        </is>
      </c>
      <c r="G556" s="675" t="inlineStr">
        <is>
          <t>VALIDE</t>
        </is>
      </c>
      <c r="H556" s="672" t="inlineStr">
        <is>
          <t>APPROUVE</t>
        </is>
      </c>
      <c r="I556" s="672" t="inlineStr">
        <is>
          <t>26000024 CL</t>
        </is>
      </c>
      <c r="J556" s="675" t="inlineStr">
        <is>
          <t>NON CONCERNE</t>
        </is>
      </c>
      <c r="K556" s="672" t="inlineStr">
        <is>
          <t>Ordinaire</t>
        </is>
      </c>
      <c r="L556" s="676" t="inlineStr">
        <is>
          <t>INVESTISSEMENT</t>
        </is>
      </c>
      <c r="M556" s="676" t="inlineStr">
        <is>
          <t>Équipements techniques</t>
        </is>
      </c>
      <c r="N556" s="677" t="n"/>
      <c r="O556" s="678" t="n"/>
      <c r="P556" s="678" t="n"/>
      <c r="Q556" s="672" t="inlineStr">
        <is>
          <t>NOUVEAU BESOIN</t>
        </is>
      </c>
      <c r="R556" s="679" t="n"/>
      <c r="S556" s="680" t="n"/>
      <c r="T556" s="681" t="inlineStr">
        <is>
          <t>LTS NETWORK</t>
        </is>
      </c>
      <c r="U556" s="672" t="n">
        <v>2026</v>
      </c>
      <c r="V556" s="680" t="n">
        <v>46133</v>
      </c>
      <c r="W556" s="680" t="n"/>
      <c r="X556" s="680" t="n">
        <v>46133</v>
      </c>
      <c r="Y556" s="677">
        <f>AC556</f>
        <v/>
      </c>
      <c r="Z556" s="678" t="n">
        <v>0</v>
      </c>
      <c r="AA556" s="678">
        <f>AD556</f>
        <v/>
      </c>
      <c r="AB556" s="678" t="n">
        <v>0</v>
      </c>
      <c r="AC556" s="678">
        <f>AD556/1.2</f>
        <v/>
      </c>
      <c r="AD556" s="678" t="n">
        <v>83649.19</v>
      </c>
      <c r="AE556" s="682" t="inlineStr">
        <is>
          <t>ENGAGE</t>
        </is>
      </c>
      <c r="AF556" s="681" t="n"/>
      <c r="AG556" s="678" t="n"/>
      <c r="AH556" s="678" t="n"/>
      <c r="AI556" s="678" t="n"/>
      <c r="AJ556" s="678" t="n"/>
      <c r="AK556" s="683" t="n"/>
      <c r="AL556" s="683" t="n"/>
      <c r="AM556" s="681" t="inlineStr">
        <is>
          <t>R.A.S</t>
        </is>
      </c>
    </row>
    <row r="557" ht="54.6" customHeight="1" s="392">
      <c r="A557" s="672" t="n">
        <v>2026</v>
      </c>
      <c r="B557" s="673" t="inlineStr">
        <is>
          <t>DTSI</t>
        </is>
      </c>
      <c r="C557" s="673" t="inlineStr">
        <is>
          <t>37 AOM/SNRT</t>
        </is>
      </c>
      <c r="D557" s="672" t="inlineStr">
        <is>
          <t>AOO-M</t>
        </is>
      </c>
      <c r="E557" s="672" t="n">
        <v>1</v>
      </c>
      <c r="F557" s="674" t="inlineStr">
        <is>
          <t>L'élaboration du Schéma Directeur des Systèmes d'information (SDSI) de la Société Nationale de Radiodiffusion et de Télévision.</t>
        </is>
      </c>
      <c r="G557" s="675" t="inlineStr">
        <is>
          <t>VALIDE</t>
        </is>
      </c>
      <c r="H557" s="672" t="inlineStr">
        <is>
          <t>ATTRIBUE</t>
        </is>
      </c>
      <c r="I557" s="672" t="n"/>
      <c r="J557" s="675" t="inlineStr">
        <is>
          <t>GENERAL</t>
        </is>
      </c>
      <c r="K557" s="672" t="inlineStr">
        <is>
          <t>Ordinaire</t>
        </is>
      </c>
      <c r="L557" s="676" t="inlineStr">
        <is>
          <t>INVESTISSEMENT</t>
        </is>
      </c>
      <c r="M557" s="676" t="inlineStr">
        <is>
          <t>Matériel informatiques</t>
        </is>
      </c>
      <c r="N557" s="677">
        <f>O557*1.2</f>
        <v/>
      </c>
      <c r="O557" s="678" t="n">
        <v>840000</v>
      </c>
      <c r="P557" s="678">
        <f>O557/1.2</f>
        <v/>
      </c>
      <c r="Q557" s="672" t="n"/>
      <c r="R557" s="679" t="n"/>
      <c r="S557" s="680" t="n"/>
      <c r="T557" s="681" t="n"/>
      <c r="U557" s="672" t="n"/>
      <c r="V557" s="680" t="n">
        <v>46147</v>
      </c>
      <c r="W557" s="680" t="n">
        <v>46148</v>
      </c>
      <c r="X557" s="680" t="n"/>
      <c r="Y557" s="677">
        <f>Engagements2026Juillet[[#This Row],[TOTAL MARCHE HT TOTAL ENGAGE HT]]</f>
        <v/>
      </c>
      <c r="Z557" s="678" t="n"/>
      <c r="AA557" s="678">
        <f>Engagements2026Juillet[[#This Row],[TOTAL MARCHE TTC TOTAL ENGAGE TTC]]</f>
        <v/>
      </c>
      <c r="AB557" s="678">
        <f>Engagements2026Juillet[[#This Row],[TOTAL MARCHE TTC TOTAL ENGAGE TTC]]</f>
        <v/>
      </c>
      <c r="AC557" s="678">
        <f>Engagements2026Juillet[[#This Row],[TOTAL MARCHE TTC TOTAL ENGAGE TTC]]/1.2</f>
        <v/>
      </c>
      <c r="AD557" s="678" t="n">
        <v>705900</v>
      </c>
      <c r="AE557" s="682" t="inlineStr">
        <is>
          <t>PREENGAGE</t>
        </is>
      </c>
      <c r="AF557" s="681" t="n"/>
      <c r="AG557" s="678" t="n"/>
      <c r="AH557" s="678" t="n"/>
      <c r="AI557" s="678" t="n"/>
      <c r="AJ557" s="678" t="n"/>
      <c r="AK557" s="683" t="n"/>
      <c r="AL557" s="683" t="n"/>
      <c r="AM557" s="681" t="inlineStr">
        <is>
          <t>R.A.S</t>
        </is>
      </c>
    </row>
    <row r="558" ht="38.40000000000001" customHeight="1" s="392">
      <c r="A558" s="672" t="n">
        <v>2026</v>
      </c>
      <c r="B558" s="673" t="inlineStr">
        <is>
          <t>DTSI</t>
        </is>
      </c>
      <c r="C558" s="673" t="inlineStr">
        <is>
          <t>38 AOM/SNRT</t>
        </is>
      </c>
      <c r="D558" s="672" t="inlineStr">
        <is>
          <t>AOO-M</t>
        </is>
      </c>
      <c r="E558" s="672" t="n">
        <v>1</v>
      </c>
      <c r="F558" s="674" t="inlineStr">
        <is>
          <t>La fourniture et la mise en service de lecteurs LTO destinés aux besoins d’archivage de la SNRT</t>
        </is>
      </c>
      <c r="G558" s="675" t="inlineStr">
        <is>
          <t>INFRUCTUEUX</t>
        </is>
      </c>
      <c r="H558" s="672" t="inlineStr">
        <is>
          <t>INFRUCTUEUX</t>
        </is>
      </c>
      <c r="I558" s="672" t="n"/>
      <c r="J558" s="675" t="inlineStr">
        <is>
          <t>GENERAL</t>
        </is>
      </c>
      <c r="K558" s="672" t="inlineStr">
        <is>
          <t>Ordinaire</t>
        </is>
      </c>
      <c r="L558" s="676" t="inlineStr">
        <is>
          <t>INVESTISSEMENT</t>
        </is>
      </c>
      <c r="M558" s="676" t="inlineStr">
        <is>
          <t>Équipements techniques</t>
        </is>
      </c>
      <c r="N558" s="677">
        <f>O558*1.2</f>
        <v/>
      </c>
      <c r="O558" s="678" t="n">
        <v>367296</v>
      </c>
      <c r="P558" s="678">
        <f>O558/1.2</f>
        <v/>
      </c>
      <c r="Q558" s="672" t="n"/>
      <c r="R558" s="679" t="n"/>
      <c r="S558" s="680" t="n"/>
      <c r="T558" s="681" t="n"/>
      <c r="U558" s="672" t="n"/>
      <c r="V558" s="680" t="n">
        <v>46147</v>
      </c>
      <c r="W558" s="680" t="n">
        <v>46148</v>
      </c>
      <c r="X558" s="680" t="inlineStr">
        <is>
          <t>-</t>
        </is>
      </c>
      <c r="Y558" s="677" t="n">
        <v>0</v>
      </c>
      <c r="Z558" s="678" t="n">
        <v>0</v>
      </c>
      <c r="AA558" s="678" t="n">
        <v>0</v>
      </c>
      <c r="AB558" s="678" t="n">
        <v>0</v>
      </c>
      <c r="AC558" s="678" t="n">
        <v>0</v>
      </c>
      <c r="AD558" s="678" t="n">
        <v>0</v>
      </c>
      <c r="AE558" s="682" t="inlineStr">
        <is>
          <t>NON ENGAGE</t>
        </is>
      </c>
      <c r="AF558" s="681" t="n"/>
      <c r="AG558" s="678" t="n"/>
      <c r="AH558" s="678" t="n"/>
      <c r="AI558" s="678" t="n"/>
      <c r="AJ558" s="678" t="n"/>
      <c r="AK558" s="683" t="n"/>
      <c r="AL558" s="683" t="n"/>
      <c r="AM558" s="681" t="n"/>
    </row>
    <row r="559" ht="54.6" customHeight="1" s="392">
      <c r="A559" s="672" t="n">
        <v>2026</v>
      </c>
      <c r="B559" s="673" t="inlineStr">
        <is>
          <t>TDF -SITES</t>
        </is>
      </c>
      <c r="C559" s="673" t="inlineStr">
        <is>
          <t>39 AOM/SNRT</t>
        </is>
      </c>
      <c r="D559" s="672" t="inlineStr">
        <is>
          <t>AOO-M</t>
        </is>
      </c>
      <c r="E559" s="672" t="n">
        <v>1</v>
      </c>
      <c r="F559" s="674" t="inlineStr">
        <is>
          <t>Fourniture, installation, paramétrage et mise en service de batteries pour onduleurs existants de marque EATON déployés au siége SNRT à Rabat</t>
        </is>
      </c>
      <c r="G559" s="675" t="inlineStr">
        <is>
          <t>VALIDE</t>
        </is>
      </c>
      <c r="H559" s="672" t="inlineStr">
        <is>
          <t>PHASE AOO</t>
        </is>
      </c>
      <c r="I559" s="672" t="n"/>
      <c r="J559" s="675" t="inlineStr">
        <is>
          <t>GENERAL</t>
        </is>
      </c>
      <c r="K559" s="672" t="inlineStr">
        <is>
          <t>Ordinaire</t>
        </is>
      </c>
      <c r="L559" s="676" t="inlineStr">
        <is>
          <t>FONCTIONNEMENT</t>
        </is>
      </c>
      <c r="M559" s="676" t="inlineStr">
        <is>
          <t>Entretien, réparation et assurance</t>
        </is>
      </c>
      <c r="N559" s="677">
        <f>O559*1.2</f>
        <v/>
      </c>
      <c r="O559" s="678" t="n">
        <v>793728</v>
      </c>
      <c r="P559" s="678">
        <f>O559/1.2</f>
        <v/>
      </c>
      <c r="Q559" s="672" t="n"/>
      <c r="R559" s="679" t="n"/>
      <c r="S559" s="680" t="n"/>
      <c r="T559" s="681" t="n"/>
      <c r="U559" s="672" t="n"/>
      <c r="V559" s="680" t="n"/>
      <c r="W559" s="680" t="n"/>
      <c r="X559" s="680" t="n"/>
      <c r="Y559" s="677" t="n"/>
      <c r="Z559" s="678" t="n"/>
      <c r="AA559" s="678" t="n"/>
      <c r="AB559" s="678" t="n"/>
      <c r="AC559" s="678" t="n"/>
      <c r="AD559" s="678" t="n"/>
      <c r="AE559" s="682" t="inlineStr">
        <is>
          <t>PREENGAGE</t>
        </is>
      </c>
      <c r="AF559" s="681" t="n"/>
      <c r="AG559" s="678" t="n"/>
      <c r="AH559" s="678" t="n"/>
      <c r="AI559" s="678" t="n"/>
      <c r="AJ559" s="678" t="n"/>
      <c r="AK559" s="683" t="n"/>
      <c r="AL559" s="683" t="n"/>
      <c r="AM559" s="681" t="n"/>
    </row>
    <row r="560" ht="54.6" customHeight="1" s="392">
      <c r="A560" s="672" t="n">
        <v>2026</v>
      </c>
      <c r="B560" s="673" t="inlineStr">
        <is>
          <t>TDF -SITES</t>
        </is>
      </c>
      <c r="C560" s="673" t="n"/>
      <c r="D560" s="672" t="inlineStr">
        <is>
          <t>AOO-M</t>
        </is>
      </c>
      <c r="E560" s="672" t="n">
        <v>1</v>
      </c>
      <c r="F560" s="674" t="inlineStr">
        <is>
          <t>Élaboration des études techniques et suivi des travaux d’installation d’un pylône auto-stable de 55m de hauteur au site SNRT TAOURIRT (P.TAOURIRT)</t>
        </is>
      </c>
      <c r="G560" s="675" t="inlineStr">
        <is>
          <t>EN SIGNATURE</t>
        </is>
      </c>
      <c r="H560" s="672" t="inlineStr">
        <is>
          <t>EN SIGNATURE</t>
        </is>
      </c>
      <c r="I560" s="672" t="n"/>
      <c r="J560" s="675" t="inlineStr">
        <is>
          <t>GENERAL</t>
        </is>
      </c>
      <c r="K560" s="672" t="inlineStr">
        <is>
          <t>Ordinaire</t>
        </is>
      </c>
      <c r="L560" s="676" t="inlineStr">
        <is>
          <t>INVESTISSEMENT</t>
        </is>
      </c>
      <c r="M560" s="676" t="inlineStr">
        <is>
          <t>Frais d'acquisition des immobilisations</t>
        </is>
      </c>
      <c r="N560" s="677">
        <f>O560*1.2</f>
        <v/>
      </c>
      <c r="O560" s="678" t="n">
        <v>72000</v>
      </c>
      <c r="P560" s="678">
        <f>O560/1.2</f>
        <v/>
      </c>
      <c r="Q560" s="672" t="inlineStr">
        <is>
          <t>NOUVEAU BESOIN</t>
        </is>
      </c>
      <c r="R560" s="679" t="n"/>
      <c r="S560" s="680" t="n"/>
      <c r="T560" s="681" t="n"/>
      <c r="U560" s="672" t="n"/>
      <c r="V560" s="680" t="n">
        <v>46198</v>
      </c>
      <c r="W560" s="680" t="n"/>
      <c r="X560" s="680" t="n"/>
      <c r="Y560" s="677" t="n"/>
      <c r="Z560" s="678" t="n"/>
      <c r="AA560" s="678" t="n"/>
      <c r="AB560" s="678" t="n"/>
      <c r="AC560" s="678" t="n"/>
      <c r="AD560" s="678" t="n"/>
      <c r="AE560" s="682" t="inlineStr">
        <is>
          <t>EN COURS DE PREENGAGEMENT</t>
        </is>
      </c>
      <c r="AF560" s="681" t="n"/>
      <c r="AG560" s="678" t="n"/>
      <c r="AH560" s="678" t="n"/>
      <c r="AI560" s="678" t="n"/>
      <c r="AJ560" s="678" t="n"/>
      <c r="AK560" s="683" t="n"/>
      <c r="AL560" s="683" t="n"/>
      <c r="AM560" s="681" t="n"/>
    </row>
    <row r="561" ht="65.40000000000001" customHeight="1" s="392">
      <c r="A561" s="672" t="n">
        <v>2026</v>
      </c>
      <c r="B561" s="673" t="inlineStr">
        <is>
          <t>DCPA</t>
        </is>
      </c>
      <c r="C561" s="673" t="inlineStr">
        <is>
          <t xml:space="preserve">PV N° : 01RE2025-DCPA </t>
        </is>
      </c>
      <c r="D561" s="672" t="inlineStr">
        <is>
          <t>CONTRAT</t>
        </is>
      </c>
      <c r="E561" s="672" t="n">
        <v>1</v>
      </c>
      <c r="F561" s="674" t="inlineStr">
        <is>
          <t>AZIZ BENISSAAD – Ecriture de commentaires de l’émission interne « الغالية بلادي »</t>
        </is>
      </c>
      <c r="G561" s="675" t="inlineStr">
        <is>
          <t>VALIDE</t>
        </is>
      </c>
      <c r="H561" s="672" t="inlineStr">
        <is>
          <t>APPROUVE</t>
        </is>
      </c>
      <c r="I561" s="672" t="n"/>
      <c r="J561" s="675" t="inlineStr">
        <is>
          <t>NON CONCERNE</t>
        </is>
      </c>
      <c r="K561" s="672" t="inlineStr">
        <is>
          <t>Ordinaire</t>
        </is>
      </c>
      <c r="L561" s="676" t="inlineStr">
        <is>
          <t>FONCTIONNEMENT</t>
        </is>
      </c>
      <c r="M561" s="676" t="inlineStr">
        <is>
          <t xml:space="preserve">Achats de productions et de programmes
Achat des programmes en production interne </t>
        </is>
      </c>
      <c r="N561" s="677" t="n"/>
      <c r="O561" s="678" t="n"/>
      <c r="P561" s="678" t="n"/>
      <c r="Q561" s="672" t="n"/>
      <c r="R561" s="679" t="n"/>
      <c r="S561" s="680" t="n"/>
      <c r="T561" s="681" t="inlineStr">
        <is>
          <t>AZIZ BENISSAAD</t>
        </is>
      </c>
      <c r="U561" s="672" t="n"/>
      <c r="V561" s="680" t="n"/>
      <c r="W561" s="680" t="n"/>
      <c r="X561" s="680" t="n"/>
      <c r="Y561" s="677" t="n">
        <v>50071.4</v>
      </c>
      <c r="Z561" s="678" t="n">
        <v>0</v>
      </c>
      <c r="AA561" s="678" t="n">
        <v>50071.4</v>
      </c>
      <c r="AB561" s="678" t="n"/>
      <c r="AC561" s="678">
        <f>Y561</f>
        <v/>
      </c>
      <c r="AD561" s="678">
        <f>AA561</f>
        <v/>
      </c>
      <c r="AE561" s="682" t="inlineStr">
        <is>
          <t>ENGAGE</t>
        </is>
      </c>
      <c r="AF561" s="681" t="n"/>
      <c r="AG561" s="678" t="n"/>
      <c r="AH561" s="678" t="n"/>
      <c r="AI561" s="678" t="n"/>
      <c r="AJ561" s="678" t="n"/>
      <c r="AK561" s="683" t="n"/>
      <c r="AL561" s="683" t="n"/>
      <c r="AM561" s="681" t="n"/>
    </row>
    <row r="562" ht="38.40000000000001" customHeight="1" s="392">
      <c r="A562" s="672" t="n">
        <v>2026</v>
      </c>
      <c r="B562" s="673" t="inlineStr">
        <is>
          <t>DPMG</t>
        </is>
      </c>
      <c r="C562" s="673" t="inlineStr">
        <is>
          <t>36 AOM/SNRT</t>
        </is>
      </c>
      <c r="D562" s="672" t="inlineStr">
        <is>
          <t>AOO-M</t>
        </is>
      </c>
      <c r="E562" s="672" t="n">
        <v>1</v>
      </c>
      <c r="F562" s="674" t="inlineStr">
        <is>
          <t>Achat d’habillement pour le personnel de la SNRT (Journalistes, Caméramen, Techniciens et Chauffeurs</t>
        </is>
      </c>
      <c r="G562" s="675" t="inlineStr">
        <is>
          <t>VALIDE</t>
        </is>
      </c>
      <c r="H562" s="672" t="inlineStr">
        <is>
          <t>APPROUVE</t>
        </is>
      </c>
      <c r="I562" s="672" t="n"/>
      <c r="J562" s="675" t="inlineStr">
        <is>
          <t>GENERAL</t>
        </is>
      </c>
      <c r="K562" s="672" t="inlineStr">
        <is>
          <t>Ordinaire</t>
        </is>
      </c>
      <c r="L562" s="676" t="inlineStr">
        <is>
          <t>FONCTIONNEMENT</t>
        </is>
      </c>
      <c r="M562" s="676" t="inlineStr">
        <is>
          <t>Charges sociales diverses</t>
        </is>
      </c>
      <c r="N562" s="677">
        <f>O562*1.2</f>
        <v/>
      </c>
      <c r="O562" s="678" t="n">
        <v>574656</v>
      </c>
      <c r="P562" s="678">
        <f>O562/1.2</f>
        <v/>
      </c>
      <c r="Q562" s="672" t="n"/>
      <c r="R562" s="679" t="n"/>
      <c r="S562" s="680" t="n"/>
      <c r="T562" s="681" t="n"/>
      <c r="U562" s="672" t="n"/>
      <c r="V562" s="680" t="n">
        <v>46150</v>
      </c>
      <c r="W562" s="680" t="n">
        <v>46153</v>
      </c>
      <c r="X562" s="680" t="n">
        <v>46216</v>
      </c>
      <c r="Y562" s="677" t="n"/>
      <c r="Z562" s="678">
        <f>AA562/1.2</f>
        <v/>
      </c>
      <c r="AA562" s="678" t="n">
        <v>674520</v>
      </c>
      <c r="AB562" s="678" t="n"/>
      <c r="AC562" s="678">
        <f>Z562</f>
        <v/>
      </c>
      <c r="AD562" s="678">
        <f>AA562</f>
        <v/>
      </c>
      <c r="AE562" s="682" t="inlineStr">
        <is>
          <t>ENGAGE</t>
        </is>
      </c>
      <c r="AF562" s="681" t="n"/>
      <c r="AG562" s="678" t="n"/>
      <c r="AH562" s="678" t="n"/>
      <c r="AI562" s="678" t="n"/>
      <c r="AJ562" s="678" t="n"/>
      <c r="AK562" s="683" t="n"/>
      <c r="AL562" s="683" t="n"/>
      <c r="AM562" s="681" t="n"/>
    </row>
    <row r="563" ht="54.6" customHeight="1" s="392">
      <c r="A563" s="672" t="n">
        <v>2026</v>
      </c>
      <c r="B563" s="673" t="inlineStr">
        <is>
          <t>DACG</t>
        </is>
      </c>
      <c r="C563" s="673" t="inlineStr">
        <is>
          <t>59AOM/SNRT</t>
        </is>
      </c>
      <c r="D563" s="672" t="inlineStr">
        <is>
          <t>AOO-M</t>
        </is>
      </c>
      <c r="E563" s="672" t="n">
        <v>1</v>
      </c>
      <c r="F563" s="674" t="inlineStr">
        <is>
          <t>Élaboration de la cartographie des risques de la SNRT et déploiement du dispositif de suivi et de mise à jour y afférent</t>
        </is>
      </c>
      <c r="G563" s="675" t="inlineStr">
        <is>
          <t>EN SIGNATURE</t>
        </is>
      </c>
      <c r="H563" s="672" t="inlineStr">
        <is>
          <t>EN SIGNATURE</t>
        </is>
      </c>
      <c r="I563" s="672" t="n"/>
      <c r="J563" s="675" t="inlineStr">
        <is>
          <t>PME</t>
        </is>
      </c>
      <c r="K563" s="672" t="inlineStr">
        <is>
          <t>Ordinaire</t>
        </is>
      </c>
      <c r="L563" s="676" t="inlineStr">
        <is>
          <t>FONCTIONNEMENT</t>
        </is>
      </c>
      <c r="M563" s="676" t="inlineStr">
        <is>
          <t>Honoraires et rémunération du personnel occasionnel</t>
        </is>
      </c>
      <c r="N563" s="677">
        <f>O563*1.2</f>
        <v/>
      </c>
      <c r="O563" s="678" t="n">
        <v>120000</v>
      </c>
      <c r="P563" s="678">
        <f>O563/1.2</f>
        <v/>
      </c>
      <c r="Q563" s="672" t="n"/>
      <c r="R563" s="679" t="n"/>
      <c r="S563" s="680" t="n"/>
      <c r="T563" s="681" t="n"/>
      <c r="U563" s="672" t="n"/>
      <c r="V563" s="680" t="n">
        <v>46192</v>
      </c>
      <c r="W563" s="680" t="n"/>
      <c r="X563" s="680" t="n"/>
      <c r="Y563" s="677" t="n"/>
      <c r="Z563" s="678" t="n"/>
      <c r="AA563" s="678" t="n"/>
      <c r="AB563" s="678" t="n"/>
      <c r="AC563" s="678" t="n"/>
      <c r="AD563" s="678" t="n"/>
      <c r="AE563" s="682" t="inlineStr">
        <is>
          <t>EN COURS DE PREENGAGEMENT</t>
        </is>
      </c>
      <c r="AF563" s="681" t="n"/>
      <c r="AG563" s="678" t="n"/>
      <c r="AH563" s="678" t="n"/>
      <c r="AI563" s="678" t="n"/>
      <c r="AJ563" s="678" t="n"/>
      <c r="AK563" s="683" t="n"/>
      <c r="AL563" s="683" t="n"/>
      <c r="AM563" s="681" t="n"/>
    </row>
    <row r="564" ht="38.40000000000001" customHeight="1" s="392">
      <c r="A564" s="672" t="n">
        <v>2026</v>
      </c>
      <c r="B564" s="673" t="inlineStr">
        <is>
          <t>DMPTV</t>
        </is>
      </c>
      <c r="C564" s="673" t="inlineStr">
        <is>
          <t>60AOM/SNRT</t>
        </is>
      </c>
      <c r="D564" s="672" t="inlineStr">
        <is>
          <t>AOO-M</t>
        </is>
      </c>
      <c r="E564" s="672" t="n">
        <v>1</v>
      </c>
      <c r="F564" s="674" t="inlineStr">
        <is>
          <t>Location de supports d’affichage urbain 4X3 pour la SNRT</t>
        </is>
      </c>
      <c r="G564" s="675" t="inlineStr">
        <is>
          <t>VALIDE</t>
        </is>
      </c>
      <c r="H564" s="672" t="inlineStr">
        <is>
          <t>PHASE AOO</t>
        </is>
      </c>
      <c r="I564" s="672" t="n"/>
      <c r="J564" s="675" t="inlineStr">
        <is>
          <t>GENERAL</t>
        </is>
      </c>
      <c r="K564" s="672" t="inlineStr">
        <is>
          <t>Ordinaire</t>
        </is>
      </c>
      <c r="L564" s="676" t="inlineStr">
        <is>
          <t>FONCTIONNEMENT</t>
        </is>
      </c>
      <c r="M564" s="676" t="inlineStr">
        <is>
          <t>Charges marketing et relations publiques</t>
        </is>
      </c>
      <c r="N564" s="677">
        <f>O564*1.2</f>
        <v/>
      </c>
      <c r="O564" s="678" t="n">
        <v>12373800</v>
      </c>
      <c r="P564" s="678">
        <f>O564/1.2</f>
        <v/>
      </c>
      <c r="Q564" s="672" t="inlineStr">
        <is>
          <t>BESOIN RECURRENT</t>
        </is>
      </c>
      <c r="R564" s="679" t="n"/>
      <c r="S564" s="680" t="n"/>
      <c r="T564" s="681" t="n"/>
      <c r="U564" s="672" t="n"/>
      <c r="V564" s="680" t="n"/>
      <c r="W564" s="680" t="n"/>
      <c r="X564" s="680" t="n"/>
      <c r="Y564" s="677" t="n"/>
      <c r="Z564" s="678" t="n"/>
      <c r="AA564" s="678" t="n"/>
      <c r="AB564" s="678" t="n"/>
      <c r="AC564" s="678" t="n"/>
      <c r="AD564" s="678" t="n"/>
      <c r="AE564" s="682" t="inlineStr">
        <is>
          <t>PREENGAGE</t>
        </is>
      </c>
      <c r="AF564" s="681" t="n"/>
      <c r="AG564" s="678" t="n"/>
      <c r="AH564" s="678" t="n"/>
      <c r="AI564" s="678" t="n"/>
      <c r="AJ564" s="678" t="n"/>
      <c r="AK564" s="683" t="n"/>
      <c r="AL564" s="683" t="n"/>
      <c r="AM564" s="681" t="n"/>
    </row>
    <row r="565" ht="54.6" customHeight="1" s="392">
      <c r="A565" s="672" t="n">
        <v>2026</v>
      </c>
      <c r="B565" s="673" t="inlineStr">
        <is>
          <t>DMPTV</t>
        </is>
      </c>
      <c r="C565" s="673" t="inlineStr">
        <is>
          <t>26000002 CI</t>
        </is>
      </c>
      <c r="D565" s="672" t="inlineStr">
        <is>
          <t>BCI</t>
        </is>
      </c>
      <c r="E565" s="672" t="n">
        <v>1</v>
      </c>
      <c r="F565" s="674" t="inlineStr">
        <is>
          <t>Conception d’un décor virtuel pour la chaine Arryadia avec des éléments de réalité augmentée (RA) destinée  à accompagner la couverture de la CAN féminine</t>
        </is>
      </c>
      <c r="G565" s="675" t="inlineStr">
        <is>
          <t>VALIDE</t>
        </is>
      </c>
      <c r="H565" s="672" t="inlineStr">
        <is>
          <t>APPROUVE</t>
        </is>
      </c>
      <c r="I565" s="672" t="inlineStr">
        <is>
          <t>26000002 CI</t>
        </is>
      </c>
      <c r="J565" s="675" t="inlineStr">
        <is>
          <t>NON CONCERNE</t>
        </is>
      </c>
      <c r="K565" s="672" t="inlineStr">
        <is>
          <t>Ordinaire</t>
        </is>
      </c>
      <c r="L565" s="676" t="inlineStr">
        <is>
          <t>INVESTISSEMENT</t>
        </is>
      </c>
      <c r="M565" s="676" t="inlineStr">
        <is>
          <t>Installations techniques</t>
        </is>
      </c>
      <c r="N565" s="677" t="n"/>
      <c r="O565" s="678" t="n"/>
      <c r="P565" s="678" t="n"/>
      <c r="Q565" s="672" t="n"/>
      <c r="R565" s="679" t="n"/>
      <c r="S565" s="680" t="n"/>
      <c r="T565" s="681" t="inlineStr">
        <is>
          <t>ASKI-DA CREATIVE</t>
        </is>
      </c>
      <c r="U565" s="672" t="n"/>
      <c r="V565" s="680" t="n"/>
      <c r="W565" s="680" t="n"/>
      <c r="X565" s="680" t="n">
        <v>46148</v>
      </c>
      <c r="Y565" s="677">
        <f>AD565</f>
        <v/>
      </c>
      <c r="Z565" s="678">
        <f>AB565</f>
        <v/>
      </c>
      <c r="AA565" s="678">
        <f>AC565</f>
        <v/>
      </c>
      <c r="AB565" s="678" t="n">
        <v>18440.4</v>
      </c>
      <c r="AC565" s="678">
        <f>AD565</f>
        <v/>
      </c>
      <c r="AD565" s="678" t="n">
        <v>198971.91</v>
      </c>
      <c r="AE565" s="682" t="inlineStr">
        <is>
          <t>ENGAGE</t>
        </is>
      </c>
      <c r="AF565" s="681" t="n"/>
      <c r="AG565" s="678" t="n"/>
      <c r="AH565" s="678" t="n"/>
      <c r="AI565" s="678" t="n"/>
      <c r="AJ565" s="678" t="n"/>
      <c r="AK565" s="683" t="n"/>
      <c r="AL565" s="683" t="n"/>
      <c r="AM565" s="681" t="n"/>
    </row>
    <row r="566" ht="50.55" customHeight="1" s="392">
      <c r="A566" s="672" t="n">
        <v>2026</v>
      </c>
      <c r="B566" s="673" t="inlineStr">
        <is>
          <t>ARRIYADIA</t>
        </is>
      </c>
      <c r="C566" s="673" t="inlineStr">
        <is>
          <t>SANS PV</t>
        </is>
      </c>
      <c r="D566" s="672" t="inlineStr">
        <is>
          <t>CONTRAT</t>
        </is>
      </c>
      <c r="E566" s="672" t="n">
        <v>1</v>
      </c>
      <c r="F566" s="674" t="inlineStr">
        <is>
          <t>MOHAMMED BENDIAB – Consiltant Golf</t>
        </is>
      </c>
      <c r="G566" s="675" t="inlineStr">
        <is>
          <t>VALIDE</t>
        </is>
      </c>
      <c r="H566" s="672" t="inlineStr">
        <is>
          <t>APPROUVE</t>
        </is>
      </c>
      <c r="I566" s="672" t="n"/>
      <c r="J566" s="675" t="inlineStr">
        <is>
          <t>NON CONCERNE</t>
        </is>
      </c>
      <c r="K566" s="672" t="inlineStr">
        <is>
          <t>Ordinaire</t>
        </is>
      </c>
      <c r="L566" s="676" t="inlineStr">
        <is>
          <t>FONCTIONNEMENT</t>
        </is>
      </c>
      <c r="M566" s="676" t="inlineStr">
        <is>
          <t xml:space="preserve">Prestations de service
Achat prestations de services locales - personnes physiques </t>
        </is>
      </c>
      <c r="N566" s="677" t="n"/>
      <c r="O566" s="678" t="n"/>
      <c r="P566" s="678" t="n"/>
      <c r="Q566" s="672" t="inlineStr">
        <is>
          <t>NOUVEAU BESOIN</t>
        </is>
      </c>
      <c r="R566" s="679" t="n"/>
      <c r="S566" s="680" t="n"/>
      <c r="T566" s="681" t="inlineStr">
        <is>
          <t>MOHAMMED BENDIAB</t>
        </is>
      </c>
      <c r="U566" s="672" t="n"/>
      <c r="V566" s="680" t="n">
        <v>46156</v>
      </c>
      <c r="W566" s="680" t="n"/>
      <c r="X566" s="680" t="n">
        <v>46157</v>
      </c>
      <c r="Y566" s="677" t="n">
        <v>12857.14</v>
      </c>
      <c r="Z566" s="678" t="n"/>
      <c r="AA566" s="678" t="n">
        <v>12857.14</v>
      </c>
      <c r="AB566" s="678" t="n"/>
      <c r="AC566" s="678" t="n">
        <v>12857.14</v>
      </c>
      <c r="AD566" s="678" t="n">
        <v>12857.14</v>
      </c>
      <c r="AE566" s="682" t="inlineStr">
        <is>
          <t>ENGAGE</t>
        </is>
      </c>
      <c r="AF566" s="681" t="n"/>
      <c r="AG566" s="678" t="n"/>
      <c r="AH566" s="678" t="n"/>
      <c r="AI566" s="678" t="n"/>
      <c r="AJ566" s="678" t="n"/>
      <c r="AK566" s="683" t="n"/>
      <c r="AL566" s="683" t="n"/>
      <c r="AM566" s="681" t="inlineStr">
        <is>
          <t>R.A.S</t>
        </is>
      </c>
    </row>
    <row r="567" ht="54.6" customHeight="1" s="392">
      <c r="A567" s="672" t="n">
        <v>2026</v>
      </c>
      <c r="B567" s="673" t="inlineStr">
        <is>
          <t>TDF-EXP&amp;MAIN</t>
        </is>
      </c>
      <c r="C567" s="673" t="inlineStr">
        <is>
          <t>ancien13AOM/SNRT</t>
        </is>
      </c>
      <c r="D567" s="672" t="inlineStr">
        <is>
          <t>AOO-M</t>
        </is>
      </c>
      <c r="E567" s="672" t="n">
        <v>1</v>
      </c>
      <c r="F567" s="674" t="inlineStr">
        <is>
          <t>Entretien et remises en état du système de verrouillage et de protection de la cabine d’antenne du centre AM de Sbaa Aioune</t>
        </is>
      </c>
      <c r="G567" s="675" t="inlineStr">
        <is>
          <t>EN SIGNATURE</t>
        </is>
      </c>
      <c r="H567" s="672" t="inlineStr">
        <is>
          <t>EN SIGNATURE</t>
        </is>
      </c>
      <c r="I567" s="672" t="n"/>
      <c r="J567" s="675" t="n"/>
      <c r="K567" s="672" t="inlineStr">
        <is>
          <t>Ordinaire</t>
        </is>
      </c>
      <c r="L567" s="676" t="inlineStr">
        <is>
          <t>FONCTIONNEMENT</t>
        </is>
      </c>
      <c r="M567" s="676" t="inlineStr">
        <is>
          <t>Entretien, réparation et assurance</t>
        </is>
      </c>
      <c r="N567" s="677">
        <f>O567*1.2</f>
        <v/>
      </c>
      <c r="O567" s="678" t="n">
        <v>1650000</v>
      </c>
      <c r="P567" s="678">
        <f>O567/1.2</f>
        <v/>
      </c>
      <c r="Q567" s="672" t="n"/>
      <c r="R567" s="679" t="n"/>
      <c r="S567" s="680" t="n"/>
      <c r="T567" s="681" t="n"/>
      <c r="U567" s="672" t="n"/>
      <c r="V567" s="680" t="n"/>
      <c r="W567" s="680" t="n"/>
      <c r="X567" s="680" t="n"/>
      <c r="Y567" s="677" t="n"/>
      <c r="Z567" s="678" t="n"/>
      <c r="AA567" s="678" t="n"/>
      <c r="AB567" s="678" t="n"/>
      <c r="AC567" s="678" t="n"/>
      <c r="AD567" s="678" t="n"/>
      <c r="AE567" s="682" t="inlineStr">
        <is>
          <t>EN COURS DE PREENGAGEMENT</t>
        </is>
      </c>
      <c r="AF567" s="681" t="n"/>
      <c r="AG567" s="678" t="n"/>
      <c r="AH567" s="678" t="n"/>
      <c r="AI567" s="678" t="n"/>
      <c r="AJ567" s="678" t="n"/>
      <c r="AK567" s="683" t="n"/>
      <c r="AL567" s="683" t="n"/>
      <c r="AM567" s="681" t="n"/>
    </row>
    <row r="568" ht="38.40000000000001" customHeight="1" s="392">
      <c r="A568" s="672" t="n">
        <v>2026</v>
      </c>
      <c r="B568" s="673" t="inlineStr">
        <is>
          <t>DPMG</t>
        </is>
      </c>
      <c r="C568" s="673" t="n"/>
      <c r="D568" s="672" t="inlineStr">
        <is>
          <t>CONTRAT</t>
        </is>
      </c>
      <c r="E568" s="672" t="n">
        <v>1</v>
      </c>
      <c r="F568" s="674" t="inlineStr">
        <is>
          <t>Acquisition de vignettes pour l’entretien et la réparation des véhicules de la SNRT</t>
        </is>
      </c>
      <c r="G568" s="675" t="inlineStr">
        <is>
          <t>VALIDE</t>
        </is>
      </c>
      <c r="H568" s="672" t="inlineStr">
        <is>
          <t>APPROUVE</t>
        </is>
      </c>
      <c r="I568" s="672" t="inlineStr">
        <is>
          <t>Convention N° 5913</t>
        </is>
      </c>
      <c r="J568" s="675" t="inlineStr">
        <is>
          <t>NON CONCERNE</t>
        </is>
      </c>
      <c r="K568" s="672" t="inlineStr">
        <is>
          <t>Ordinaire</t>
        </is>
      </c>
      <c r="L568" s="676" t="inlineStr">
        <is>
          <t>FONCTIONNEMENT</t>
        </is>
      </c>
      <c r="M568" s="676" t="inlineStr">
        <is>
          <t>Entretien, réparation et assurance</t>
        </is>
      </c>
      <c r="N568" s="677" t="n"/>
      <c r="O568" s="678" t="n"/>
      <c r="P568" s="678" t="n"/>
      <c r="Q568" s="672" t="inlineStr">
        <is>
          <t>RECONDUCTION</t>
        </is>
      </c>
      <c r="R568" s="679" t="n"/>
      <c r="S568" s="680" t="n"/>
      <c r="T568" s="681" t="inlineStr">
        <is>
          <t>SNTL</t>
        </is>
      </c>
      <c r="U568" s="672" t="n"/>
      <c r="V568" s="680" t="n">
        <v>46161</v>
      </c>
      <c r="W568" s="680" t="n"/>
      <c r="X568" s="680" t="n">
        <v>46168</v>
      </c>
      <c r="Y568" s="677" t="n">
        <v>500000</v>
      </c>
      <c r="Z568" s="678" t="n">
        <v>0</v>
      </c>
      <c r="AA568" s="678" t="n">
        <v>500000</v>
      </c>
      <c r="AB568" s="678" t="n">
        <v>0</v>
      </c>
      <c r="AC568" s="678">
        <f>+AA568</f>
        <v/>
      </c>
      <c r="AD568" s="678">
        <f>+AA568</f>
        <v/>
      </c>
      <c r="AE568" s="682" t="inlineStr">
        <is>
          <t>ENGAGE</t>
        </is>
      </c>
      <c r="AF568" s="681" t="n"/>
      <c r="AG568" s="678" t="n"/>
      <c r="AH568" s="678" t="n"/>
      <c r="AI568" s="678" t="n"/>
      <c r="AJ568" s="678" t="n"/>
      <c r="AK568" s="683" t="n"/>
      <c r="AL568" s="683" t="n"/>
      <c r="AM568" s="681" t="n"/>
    </row>
    <row r="569" ht="38.40000000000001" customHeight="1" s="392">
      <c r="A569" s="672" t="n">
        <v>2026</v>
      </c>
      <c r="B569" s="673" t="inlineStr">
        <is>
          <t>DMPTV</t>
        </is>
      </c>
      <c r="C569" s="673" t="inlineStr">
        <is>
          <t>EXCLUSIVITÉ</t>
        </is>
      </c>
      <c r="D569" s="672" t="inlineStr">
        <is>
          <t>CONTRAT</t>
        </is>
      </c>
      <c r="E569" s="672" t="n">
        <v>1</v>
      </c>
      <c r="F569" s="674" t="inlineStr">
        <is>
          <t>La publication des insertions de la SNRT dans le supports : « le jardin des Hespérides »</t>
        </is>
      </c>
      <c r="G569" s="675" t="inlineStr">
        <is>
          <t>VALIDE</t>
        </is>
      </c>
      <c r="H569" s="672" t="inlineStr">
        <is>
          <t>APPROUVE</t>
        </is>
      </c>
      <c r="I569" s="672" t="inlineStr">
        <is>
          <t>393 CT/SNRT/2026</t>
        </is>
      </c>
      <c r="J569" s="675" t="inlineStr">
        <is>
          <t>NON CONCERNE</t>
        </is>
      </c>
      <c r="K569" s="672" t="inlineStr">
        <is>
          <t>Ordinaire</t>
        </is>
      </c>
      <c r="L569" s="676" t="inlineStr">
        <is>
          <t>FONCTIONNEMENT</t>
        </is>
      </c>
      <c r="M569" s="676" t="inlineStr">
        <is>
          <t>Charges marketing et relations publiques</t>
        </is>
      </c>
      <c r="N569" s="677" t="n"/>
      <c r="O569" s="678" t="n"/>
      <c r="P569" s="678" t="n"/>
      <c r="Q569" s="672" t="inlineStr">
        <is>
          <t>BESOIN RECURRENT</t>
        </is>
      </c>
      <c r="R569" s="679" t="n"/>
      <c r="S569" s="680" t="n"/>
      <c r="T569" s="681" t="inlineStr">
        <is>
          <t>AGENCE PROMOTION DAKHLA</t>
        </is>
      </c>
      <c r="U569" s="672" t="n"/>
      <c r="V569" s="680" t="n">
        <v>46161</v>
      </c>
      <c r="W569" s="680" t="n"/>
      <c r="X569" s="680" t="n">
        <v>46174</v>
      </c>
      <c r="Y569" s="677" t="n">
        <v>50000</v>
      </c>
      <c r="Z569" s="678" t="n">
        <v>0</v>
      </c>
      <c r="AA569" s="678" t="n">
        <v>60000</v>
      </c>
      <c r="AB569" s="678" t="n">
        <v>0</v>
      </c>
      <c r="AC569" s="678">
        <f>+Y569</f>
        <v/>
      </c>
      <c r="AD569" s="678">
        <f>+AA569</f>
        <v/>
      </c>
      <c r="AE569" s="682" t="inlineStr">
        <is>
          <t>ENGAGE</t>
        </is>
      </c>
      <c r="AF569" s="681" t="n"/>
      <c r="AG569" s="678" t="n"/>
      <c r="AH569" s="678" t="n"/>
      <c r="AI569" s="678" t="n"/>
      <c r="AJ569" s="678" t="n"/>
      <c r="AK569" s="683" t="n"/>
      <c r="AL569" s="683" t="n"/>
      <c r="AM569" s="681" t="n"/>
    </row>
    <row r="570" ht="50.55" customHeight="1" s="392">
      <c r="A570" s="672" t="n">
        <v>2026</v>
      </c>
      <c r="B570" s="673" t="inlineStr">
        <is>
          <t>DINFORADIO</t>
        </is>
      </c>
      <c r="C570" s="673" t="n"/>
      <c r="D570" s="672" t="inlineStr">
        <is>
          <t>CONTRAT</t>
        </is>
      </c>
      <c r="E570" s="672" t="n">
        <v>1</v>
      </c>
      <c r="F570" s="674" t="inlineStr">
        <is>
          <t>LINA BOUFARDOU – Journaliste francophone, présentatrice et animatrice de débats sur la chaine Inter.</t>
        </is>
      </c>
      <c r="G570" s="675" t="inlineStr">
        <is>
          <t>VALIDE</t>
        </is>
      </c>
      <c r="H570" s="672" t="inlineStr">
        <is>
          <t>APPROUVE</t>
        </is>
      </c>
      <c r="I570" s="672" t="n"/>
      <c r="J570" s="675" t="inlineStr">
        <is>
          <t>NON CONCERNE</t>
        </is>
      </c>
      <c r="K570" s="672" t="inlineStr">
        <is>
          <t>Ordinaire</t>
        </is>
      </c>
      <c r="L570" s="676" t="inlineStr">
        <is>
          <t>FONCTIONNEMENT</t>
        </is>
      </c>
      <c r="M570" s="676" t="inlineStr">
        <is>
          <t xml:space="preserve">Prestations de service
Achat prestations de services locales - personnes physiques </t>
        </is>
      </c>
      <c r="N570" s="677" t="n"/>
      <c r="O570" s="678" t="n"/>
      <c r="P570" s="678" t="n"/>
      <c r="Q570" s="672" t="n"/>
      <c r="R570" s="679" t="n"/>
      <c r="S570" s="680" t="n"/>
      <c r="T570" s="681" t="inlineStr">
        <is>
          <t>LINA BOUFARDOU</t>
        </is>
      </c>
      <c r="U570" s="672" t="n">
        <v>2026</v>
      </c>
      <c r="V570" s="680" t="n"/>
      <c r="W570" s="680" t="n"/>
      <c r="X570" s="680" t="n">
        <v>46146</v>
      </c>
      <c r="Y570" s="677" t="n">
        <v>88000</v>
      </c>
      <c r="Z570" s="678" t="n"/>
      <c r="AA570" s="678" t="n">
        <v>88000</v>
      </c>
      <c r="AB570" s="678" t="n"/>
      <c r="AC570" s="678" t="n">
        <v>88000</v>
      </c>
      <c r="AD570" s="678" t="n">
        <v>88000</v>
      </c>
      <c r="AE570" s="682" t="inlineStr">
        <is>
          <t>ENGAGE</t>
        </is>
      </c>
      <c r="AF570" s="681" t="n"/>
      <c r="AG570" s="678" t="n"/>
      <c r="AH570" s="678" t="n"/>
      <c r="AI570" s="678" t="n"/>
      <c r="AJ570" s="678" t="n"/>
      <c r="AK570" s="683" t="n"/>
      <c r="AL570" s="683" t="n"/>
      <c r="AM570" s="681" t="n"/>
    </row>
    <row r="571" ht="38.40000000000001" customHeight="1" s="392">
      <c r="A571" s="672" t="n">
        <v>2026</v>
      </c>
      <c r="B571" s="673" t="inlineStr">
        <is>
          <t>ARRIYADIA</t>
        </is>
      </c>
      <c r="C571" s="673" t="inlineStr">
        <is>
          <t>EXCLUSIVITÉ</t>
        </is>
      </c>
      <c r="D571" s="672" t="inlineStr">
        <is>
          <t>CONTRAT</t>
        </is>
      </c>
      <c r="E571" s="672" t="n">
        <v>1</v>
      </c>
      <c r="F571" s="674" t="inlineStr">
        <is>
          <t>Achats des droits sportifs Match Maroc vs Norvège (Retenue à la source à la charge de la SNRT)</t>
        </is>
      </c>
      <c r="G571" s="675" t="inlineStr">
        <is>
          <t>VALIDE</t>
        </is>
      </c>
      <c r="H571" s="672" t="inlineStr">
        <is>
          <t>APPROUVE</t>
        </is>
      </c>
      <c r="I571" s="672" t="n"/>
      <c r="J571" s="675" t="inlineStr">
        <is>
          <t>NON CONCERNE</t>
        </is>
      </c>
      <c r="K571" s="672" t="inlineStr">
        <is>
          <t>Ordinaire</t>
        </is>
      </c>
      <c r="L571" s="676" t="inlineStr">
        <is>
          <t>FONCTIONNEMENT</t>
        </is>
      </c>
      <c r="M571" s="676" t="inlineStr">
        <is>
          <t>Achats de droits
Achats de droit de sport</t>
        </is>
      </c>
      <c r="N571" s="677" t="n"/>
      <c r="O571" s="678" t="n"/>
      <c r="P571" s="678" t="n"/>
      <c r="Q571" s="672" t="inlineStr">
        <is>
          <t>BESOIN RECURRENT</t>
        </is>
      </c>
      <c r="R571" s="679" t="n"/>
      <c r="S571" s="680" t="n"/>
      <c r="T571" s="681" t="inlineStr">
        <is>
          <t>FANZONE STUDIOS</t>
        </is>
      </c>
      <c r="U571" s="672" t="n">
        <v>2026</v>
      </c>
      <c r="V571" s="680" t="n">
        <v>46163</v>
      </c>
      <c r="W571" s="680" t="n"/>
      <c r="X571" s="680" t="n">
        <v>46174</v>
      </c>
      <c r="Y571" s="677" t="n">
        <v>803722.5</v>
      </c>
      <c r="Z571" s="678" t="n">
        <v>75000</v>
      </c>
      <c r="AA571" s="678" t="n">
        <v>803722.5</v>
      </c>
      <c r="AB571" s="678" t="n">
        <v>75000</v>
      </c>
      <c r="AC571" s="678">
        <f>+AA571</f>
        <v/>
      </c>
      <c r="AD571" s="678">
        <f>+AC571</f>
        <v/>
      </c>
      <c r="AE571" s="682" t="inlineStr">
        <is>
          <t>ENGAGE</t>
        </is>
      </c>
      <c r="AF571" s="681" t="n"/>
      <c r="AG571" s="678" t="n"/>
      <c r="AH571" s="678" t="n"/>
      <c r="AI571" s="678" t="n"/>
      <c r="AJ571" s="678" t="n"/>
      <c r="AK571" s="683" t="n"/>
      <c r="AL571" s="683" t="n"/>
      <c r="AM571" s="681" t="inlineStr">
        <is>
          <t>R.A.S</t>
        </is>
      </c>
    </row>
    <row r="572" ht="35.7" customHeight="1" s="392">
      <c r="A572" s="672" t="n">
        <v>2026</v>
      </c>
      <c r="B572" s="673" t="inlineStr">
        <is>
          <t>DPMG</t>
        </is>
      </c>
      <c r="C572" s="673" t="inlineStr">
        <is>
          <t>45AOM/SNRT/2026</t>
        </is>
      </c>
      <c r="D572" s="672" t="inlineStr">
        <is>
          <t>AOO-M</t>
        </is>
      </c>
      <c r="E572" s="672" t="n"/>
      <c r="F572" s="674" t="inlineStr">
        <is>
          <t>Peinture des facades et des locaux de la SNRT</t>
        </is>
      </c>
      <c r="G572" s="675" t="inlineStr">
        <is>
          <t>VALIDE</t>
        </is>
      </c>
      <c r="H572" s="672" t="inlineStr">
        <is>
          <t>ATTRIBUE</t>
        </is>
      </c>
      <c r="I572" s="672" t="n"/>
      <c r="J572" s="675" t="inlineStr">
        <is>
          <t>PME</t>
        </is>
      </c>
      <c r="K572" s="672" t="inlineStr">
        <is>
          <t>Ordinaire</t>
        </is>
      </c>
      <c r="L572" s="676" t="inlineStr">
        <is>
          <t>INVESTISSEMENT</t>
        </is>
      </c>
      <c r="M572" s="676" t="inlineStr">
        <is>
          <t>Agencements et aménagement constructions</t>
        </is>
      </c>
      <c r="N572" s="677">
        <f>O572*1.2</f>
        <v/>
      </c>
      <c r="O572" s="678" t="n">
        <v>459600</v>
      </c>
      <c r="P572" s="678">
        <f>O572/1.2</f>
        <v/>
      </c>
      <c r="Q572" s="672" t="inlineStr">
        <is>
          <t>NOUVEAU BESOIN</t>
        </is>
      </c>
      <c r="R572" s="679" t="n"/>
      <c r="S572" s="680" t="n"/>
      <c r="T572" s="681" t="inlineStr">
        <is>
          <t>ALI OUBANE TRAVAUX</t>
        </is>
      </c>
      <c r="U572" s="672" t="n"/>
      <c r="V572" s="680" t="n">
        <v>46195</v>
      </c>
      <c r="W572" s="680" t="n"/>
      <c r="X572" s="680" t="n"/>
      <c r="Y572" s="677" t="n"/>
      <c r="Z572" s="678" t="n"/>
      <c r="AA572" s="678" t="n"/>
      <c r="AB572" s="678" t="n"/>
      <c r="AC572" s="678" t="n"/>
      <c r="AD572" s="678" t="n">
        <v>457560</v>
      </c>
      <c r="AE572" s="682" t="inlineStr">
        <is>
          <t>EN COURS D'ENGAGEMENT</t>
        </is>
      </c>
      <c r="AF572" s="681" t="n"/>
      <c r="AG572" s="678" t="n"/>
      <c r="AH572" s="678" t="n"/>
      <c r="AI572" s="678" t="n"/>
      <c r="AJ572" s="678" t="n"/>
      <c r="AK572" s="683" t="n"/>
      <c r="AL572" s="683" t="n"/>
      <c r="AM572" s="681" t="n"/>
    </row>
    <row r="573" ht="38.40000000000001" customHeight="1" s="392">
      <c r="A573" s="672" t="n">
        <v>2026</v>
      </c>
      <c r="B573" s="673" t="inlineStr">
        <is>
          <t>DPMG</t>
        </is>
      </c>
      <c r="C573" s="673" t="inlineStr">
        <is>
          <t>22 AOM/SNRT</t>
        </is>
      </c>
      <c r="D573" s="672" t="inlineStr">
        <is>
          <t>AOO-M</t>
        </is>
      </c>
      <c r="E573" s="672" t="n">
        <v>1</v>
      </c>
      <c r="F573" s="674" t="inlineStr">
        <is>
          <t>Fourniture et installation du matériel de bureau : Photocopieurs, Fax, Toners, Drums et Fours</t>
        </is>
      </c>
      <c r="G573" s="675" t="inlineStr">
        <is>
          <t>VALIDE</t>
        </is>
      </c>
      <c r="H573" s="672" t="inlineStr">
        <is>
          <t>APPROUVE</t>
        </is>
      </c>
      <c r="I573" s="672" t="n"/>
      <c r="J573" s="675" t="inlineStr">
        <is>
          <t>GENERAL</t>
        </is>
      </c>
      <c r="K573" s="672" t="inlineStr">
        <is>
          <t>REPORT BUDGET ANNEE ANTERIEURE</t>
        </is>
      </c>
      <c r="L573" s="676" t="inlineStr">
        <is>
          <t>INVESTISSEMENT</t>
        </is>
      </c>
      <c r="M573" s="676" t="inlineStr">
        <is>
          <t>Matériel de bureau</t>
        </is>
      </c>
      <c r="N573" s="677">
        <f>O573*1.2</f>
        <v/>
      </c>
      <c r="O573" s="678" t="n">
        <v>782160</v>
      </c>
      <c r="P573" s="678">
        <f>O573/1.2</f>
        <v/>
      </c>
      <c r="Q573" s="672" t="inlineStr">
        <is>
          <t>BESOIN RECURRENT</t>
        </is>
      </c>
      <c r="R573" s="679" t="n"/>
      <c r="S573" s="680" t="n"/>
      <c r="T573" s="681" t="n"/>
      <c r="U573" s="672" t="n"/>
      <c r="V573" s="680" t="n">
        <v>46175</v>
      </c>
      <c r="W573" s="680" t="n">
        <v>46176</v>
      </c>
      <c r="X573" s="680" t="n"/>
      <c r="Y573" s="677" t="n"/>
      <c r="Z573" s="678" t="n"/>
      <c r="AA573" s="678" t="n"/>
      <c r="AB573" s="678" t="n"/>
      <c r="AC573" s="678">
        <f>Engagements2026Juillet[[#This Row],[TOTAL MARCHE TTC TOTAL ENGAGE TTC]]/1.2</f>
        <v/>
      </c>
      <c r="AD573" s="678" t="n">
        <v>868200</v>
      </c>
      <c r="AE573" s="682" t="inlineStr">
        <is>
          <t>ENGAGE</t>
        </is>
      </c>
      <c r="AF573" s="681" t="n"/>
      <c r="AG573" s="678" t="n"/>
      <c r="AH573" s="678" t="n"/>
      <c r="AI573" s="678" t="n"/>
      <c r="AJ573" s="678" t="n"/>
      <c r="AK573" s="683" t="n"/>
      <c r="AL573" s="683" t="n"/>
      <c r="AM573" s="681" t="n"/>
    </row>
    <row r="574" ht="38.40000000000001" customHeight="1" s="392">
      <c r="A574" s="672" t="n">
        <v>2026</v>
      </c>
      <c r="B574" s="673" t="inlineStr">
        <is>
          <t>DPMG</t>
        </is>
      </c>
      <c r="C574" s="673" t="inlineStr">
        <is>
          <t>22 AOM/SNRT</t>
        </is>
      </c>
      <c r="D574" s="672" t="inlineStr">
        <is>
          <t>AOO-M</t>
        </is>
      </c>
      <c r="E574" s="672" t="n">
        <v>2</v>
      </c>
      <c r="F574" s="674" t="inlineStr">
        <is>
          <t>Achat du consommable pour photocopieur et fax : Toners, Drums et Fours</t>
        </is>
      </c>
      <c r="G574" s="675" t="inlineStr">
        <is>
          <t>VALIDE</t>
        </is>
      </c>
      <c r="H574" s="672" t="inlineStr">
        <is>
          <t>ATTRIBUE</t>
        </is>
      </c>
      <c r="I574" s="672" t="n"/>
      <c r="J574" s="675" t="inlineStr">
        <is>
          <t>GENERAL</t>
        </is>
      </c>
      <c r="K574" s="672" t="inlineStr">
        <is>
          <t>Ordinaire</t>
        </is>
      </c>
      <c r="L574" s="676" t="inlineStr">
        <is>
          <t>FONCTIONNEMENT</t>
        </is>
      </c>
      <c r="M574" s="676" t="inlineStr">
        <is>
          <t>Achats de matières et fournitures consommables</t>
        </is>
      </c>
      <c r="N574" s="677">
        <f>O574*1.2</f>
        <v/>
      </c>
      <c r="O574" s="678" t="n">
        <v>201000</v>
      </c>
      <c r="P574" s="678">
        <f>O574/1.2</f>
        <v/>
      </c>
      <c r="Q574" s="672" t="inlineStr">
        <is>
          <t>BESOIN RECURRENT</t>
        </is>
      </c>
      <c r="R574" s="679" t="n"/>
      <c r="S574" s="680" t="n"/>
      <c r="T574" s="681" t="n"/>
      <c r="U574" s="672" t="n"/>
      <c r="V574" s="680" t="n">
        <v>46175</v>
      </c>
      <c r="W574" s="680" t="n">
        <v>46176</v>
      </c>
      <c r="X574" s="680" t="n"/>
      <c r="Y574" s="677" t="n"/>
      <c r="Z574" s="678" t="n"/>
      <c r="AA574" s="678" t="n"/>
      <c r="AB574" s="678" t="n"/>
      <c r="AC574" s="678">
        <f>Engagements2026Juillet[[#This Row],[TOTAL MARCHE TTC TOTAL ENGAGE TTC]]/1.2</f>
        <v/>
      </c>
      <c r="AD574" s="678" t="n">
        <v>223140</v>
      </c>
      <c r="AE574" s="682" t="inlineStr">
        <is>
          <t>EN COURS D'ENGAGEMENT</t>
        </is>
      </c>
      <c r="AF574" s="681" t="n"/>
      <c r="AG574" s="678" t="n"/>
      <c r="AH574" s="678" t="n"/>
      <c r="AI574" s="678" t="n"/>
      <c r="AJ574" s="678" t="n"/>
      <c r="AK574" s="683" t="n"/>
      <c r="AL574" s="683" t="n"/>
      <c r="AM574" s="681" t="n"/>
    </row>
    <row r="575" ht="50.55" customHeight="1" s="392">
      <c r="A575" s="672" t="n">
        <v>2026</v>
      </c>
      <c r="B575" s="673" t="inlineStr">
        <is>
          <t>DINFOTV</t>
        </is>
      </c>
      <c r="C575" s="673" t="inlineStr">
        <is>
          <t>PV N° : 02NV2026- DITV</t>
        </is>
      </c>
      <c r="D575" s="672" t="inlineStr">
        <is>
          <t>CONTRAT</t>
        </is>
      </c>
      <c r="E575" s="672" t="n">
        <v>1</v>
      </c>
      <c r="F575" s="674" t="inlineStr">
        <is>
          <t>BELHAISSI YOUSSEF – La préparation et la présentation des emissions politiques</t>
        </is>
      </c>
      <c r="G575" s="675" t="inlineStr">
        <is>
          <t>VALIDE</t>
        </is>
      </c>
      <c r="H575" s="672" t="inlineStr">
        <is>
          <t>APPROUVE</t>
        </is>
      </c>
      <c r="I575" s="672" t="n"/>
      <c r="J575" s="675" t="inlineStr">
        <is>
          <t>NON CONCERNE</t>
        </is>
      </c>
      <c r="K575" s="672" t="inlineStr">
        <is>
          <t>Ordinaire</t>
        </is>
      </c>
      <c r="L575" s="676" t="inlineStr">
        <is>
          <t>FONCTIONNEMENT</t>
        </is>
      </c>
      <c r="M575" s="676" t="inlineStr">
        <is>
          <t>Prestations de service
Achat prestations de services locales - personnes physiques</t>
        </is>
      </c>
      <c r="N575" s="677" t="n"/>
      <c r="O575" s="678" t="n"/>
      <c r="P575" s="678" t="n"/>
      <c r="Q575" s="672" t="inlineStr">
        <is>
          <t>BESOIN RECURRENT</t>
        </is>
      </c>
      <c r="R575" s="679" t="n"/>
      <c r="S575" s="680" t="n"/>
      <c r="T575" s="681" t="inlineStr">
        <is>
          <t>BELHAISSI YOUSSEF</t>
        </is>
      </c>
      <c r="U575" s="672" t="n"/>
      <c r="V575" s="680" t="n">
        <v>46084</v>
      </c>
      <c r="W575" s="680" t="n"/>
      <c r="X575" s="680" t="n"/>
      <c r="Y575" s="677" t="n">
        <v>800000</v>
      </c>
      <c r="Z575" s="678" t="n"/>
      <c r="AA575" s="678" t="n">
        <v>960000</v>
      </c>
      <c r="AB575" s="678" t="n"/>
      <c r="AC575" s="678">
        <f>+Y575</f>
        <v/>
      </c>
      <c r="AD575" s="678">
        <f>+AA575</f>
        <v/>
      </c>
      <c r="AE575" s="682" t="inlineStr">
        <is>
          <t>ENGAGE</t>
        </is>
      </c>
      <c r="AF575" s="681" t="n"/>
      <c r="AG575" s="678" t="n"/>
      <c r="AH575" s="678" t="n"/>
      <c r="AI575" s="678" t="n"/>
      <c r="AJ575" s="678" t="n"/>
      <c r="AK575" s="683" t="n"/>
      <c r="AL575" s="683" t="n"/>
      <c r="AM575" s="681" t="n"/>
    </row>
    <row r="576" ht="54.6" customHeight="1" s="392">
      <c r="A576" s="672" t="n">
        <v>2026</v>
      </c>
      <c r="B576" s="673" t="inlineStr">
        <is>
          <t>DTSI</t>
        </is>
      </c>
      <c r="C576" s="673" t="inlineStr">
        <is>
          <t>52 AOM/SNRT</t>
        </is>
      </c>
      <c r="D576" s="672" t="inlineStr">
        <is>
          <t>AOO-M</t>
        </is>
      </c>
      <c r="E576" s="672" t="n">
        <v>1</v>
      </c>
      <c r="F576" s="674" t="inlineStr">
        <is>
          <t>La fourniture et la mise en service de véhicules fourgon aménagés en rayonnage pour les besoins de la production de la SNRT</t>
        </is>
      </c>
      <c r="G576" s="675" t="inlineStr">
        <is>
          <t>INFRUCTUEUX</t>
        </is>
      </c>
      <c r="H576" s="672" t="inlineStr">
        <is>
          <t>INFRUCTUEUX</t>
        </is>
      </c>
      <c r="I576" s="672" t="n"/>
      <c r="J576" s="675" t="inlineStr">
        <is>
          <t>GENERAL</t>
        </is>
      </c>
      <c r="K576" s="672" t="inlineStr">
        <is>
          <t>Exceptionnel</t>
        </is>
      </c>
      <c r="L576" s="676" t="inlineStr">
        <is>
          <t>INVESTISSEMENT</t>
        </is>
      </c>
      <c r="M576" s="676" t="inlineStr">
        <is>
          <t>Équipements techniques</t>
        </is>
      </c>
      <c r="N576" s="677">
        <f>O576*1.2</f>
        <v/>
      </c>
      <c r="O576" s="678" t="n">
        <v>2054700</v>
      </c>
      <c r="P576" s="678">
        <f>O576/1.2</f>
        <v/>
      </c>
      <c r="Q576" s="672" t="inlineStr">
        <is>
          <t>NOUVEAU BESOIN</t>
        </is>
      </c>
      <c r="R576" s="679" t="n"/>
      <c r="S576" s="680" t="n"/>
      <c r="T576" s="681" t="n"/>
      <c r="U576" s="672" t="n"/>
      <c r="V576" s="680" t="n">
        <v>46175</v>
      </c>
      <c r="W576" s="680" t="n">
        <v>46176</v>
      </c>
      <c r="X576" s="680" t="n"/>
      <c r="Y576" s="677" t="n"/>
      <c r="Z576" s="678" t="n"/>
      <c r="AA576" s="678" t="n"/>
      <c r="AB576" s="678" t="n"/>
      <c r="AC576" s="678" t="n"/>
      <c r="AD576" s="678" t="n">
        <v>0</v>
      </c>
      <c r="AE576" s="682" t="inlineStr">
        <is>
          <t>NON ENGAGE</t>
        </is>
      </c>
      <c r="AF576" s="681" t="n"/>
      <c r="AG576" s="678" t="n"/>
      <c r="AH576" s="678" t="n"/>
      <c r="AI576" s="678" t="n"/>
      <c r="AJ576" s="678" t="n"/>
      <c r="AK576" s="683" t="n"/>
      <c r="AL576" s="683" t="n"/>
      <c r="AM576" s="681" t="n"/>
    </row>
    <row r="577" ht="38.40000000000001" customHeight="1" s="392">
      <c r="A577" s="672" t="n">
        <v>2026</v>
      </c>
      <c r="B577" s="673" t="inlineStr">
        <is>
          <t>DTSI</t>
        </is>
      </c>
      <c r="C577" s="673" t="inlineStr">
        <is>
          <t>46 AOM/SNRT</t>
        </is>
      </c>
      <c r="D577" s="672" t="inlineStr">
        <is>
          <t>AOO-M</t>
        </is>
      </c>
      <c r="E577" s="672" t="n">
        <v>1</v>
      </c>
      <c r="F577" s="674" t="inlineStr">
        <is>
          <t>Renouvellement des licences de la solution de gestion financière pour les besoins de la SNRT</t>
        </is>
      </c>
      <c r="G577" s="675" t="inlineStr">
        <is>
          <t>VALIDE</t>
        </is>
      </c>
      <c r="H577" s="672" t="inlineStr">
        <is>
          <t>INFRUCTUEUX</t>
        </is>
      </c>
      <c r="I577" s="672" t="n"/>
      <c r="J577" s="675" t="inlineStr">
        <is>
          <t>PME</t>
        </is>
      </c>
      <c r="K577" s="672" t="inlineStr">
        <is>
          <t>Ordinaire</t>
        </is>
      </c>
      <c r="L577" s="676" t="inlineStr">
        <is>
          <t>FONCTIONNEMENT</t>
        </is>
      </c>
      <c r="M577" s="676" t="inlineStr">
        <is>
          <t>Redevances et cotisations</t>
        </is>
      </c>
      <c r="N577" s="677">
        <f>O577*1.2</f>
        <v/>
      </c>
      <c r="O577" s="678" t="n">
        <v>112824</v>
      </c>
      <c r="P577" s="678">
        <f>O577/1.2</f>
        <v/>
      </c>
      <c r="Q577" s="672" t="inlineStr">
        <is>
          <t>BESOIN RECURRENT</t>
        </is>
      </c>
      <c r="R577" s="679" t="n"/>
      <c r="S577" s="680" t="n"/>
      <c r="T577" s="681" t="n"/>
      <c r="U577" s="672" t="n"/>
      <c r="V577" s="680" t="n">
        <v>46175</v>
      </c>
      <c r="W577" s="680" t="n">
        <v>46176</v>
      </c>
      <c r="X577" s="680" t="n"/>
      <c r="Y577" s="677" t="n"/>
      <c r="Z577" s="678" t="n"/>
      <c r="AA577" s="678" t="n"/>
      <c r="AB577" s="678" t="n"/>
      <c r="AC577" s="678" t="n"/>
      <c r="AD577" s="678" t="n"/>
      <c r="AE577" s="682" t="inlineStr">
        <is>
          <t>NON ENGAGE</t>
        </is>
      </c>
      <c r="AF577" s="681" t="n"/>
      <c r="AG577" s="678" t="n"/>
      <c r="AH577" s="678" t="n"/>
      <c r="AI577" s="678" t="n"/>
      <c r="AJ577" s="678" t="n"/>
      <c r="AK577" s="683" t="n"/>
      <c r="AL577" s="683" t="n"/>
      <c r="AM577" s="681" t="n"/>
    </row>
    <row r="578" ht="54.6" customHeight="1" s="392">
      <c r="A578" s="672" t="n">
        <v>2026</v>
      </c>
      <c r="B578" s="673" t="inlineStr">
        <is>
          <t>DTSI</t>
        </is>
      </c>
      <c r="C578" s="673" t="inlineStr">
        <is>
          <t>16 AOM/SNRT</t>
        </is>
      </c>
      <c r="D578" s="672" t="inlineStr">
        <is>
          <t>AOO-M</t>
        </is>
      </c>
      <c r="E578" s="672" t="n">
        <v>1</v>
      </c>
      <c r="F578" s="674" t="inlineStr">
        <is>
          <t>La numérisation des anciennes archives télévisuelles stockées sur des supports analogiques de type cassette U-MATIC pour les besoins des archives TV de la SNRT</t>
        </is>
      </c>
      <c r="G578" s="675" t="inlineStr">
        <is>
          <t>VALIDE</t>
        </is>
      </c>
      <c r="H578" s="672" t="inlineStr">
        <is>
          <t>ATTRIBUE</t>
        </is>
      </c>
      <c r="I578" s="672" t="n"/>
      <c r="J578" s="675" t="inlineStr">
        <is>
          <t>GENERAL</t>
        </is>
      </c>
      <c r="K578" s="672" t="inlineStr">
        <is>
          <t>Ordinaire</t>
        </is>
      </c>
      <c r="L578" s="676" t="inlineStr">
        <is>
          <t>FONCTIONNEMENT</t>
        </is>
      </c>
      <c r="M578" s="676" t="inlineStr">
        <is>
          <t>Prestation de services
Achat prestations de services locales - sociétés</t>
        </is>
      </c>
      <c r="N578" s="677">
        <f>O578*1.2</f>
        <v/>
      </c>
      <c r="O578" s="678" t="n">
        <v>1019520</v>
      </c>
      <c r="P578" s="678">
        <f>O578/1.2</f>
        <v/>
      </c>
      <c r="Q578" s="672" t="inlineStr">
        <is>
          <t>NOUVEAU BESOIN</t>
        </is>
      </c>
      <c r="R578" s="679" t="n"/>
      <c r="S578" s="680" t="n"/>
      <c r="T578" s="681" t="inlineStr">
        <is>
          <t>VESTRACOM</t>
        </is>
      </c>
      <c r="U578" s="672" t="n"/>
      <c r="V578" s="680" t="n">
        <v>46175</v>
      </c>
      <c r="W578" s="680" t="n">
        <v>46176</v>
      </c>
      <c r="X578" s="680" t="n"/>
      <c r="Y578" s="677" t="n"/>
      <c r="Z578" s="678" t="n"/>
      <c r="AA578" s="678" t="n"/>
      <c r="AB578" s="678" t="n">
        <v>90720</v>
      </c>
      <c r="AC578" s="678" t="n"/>
      <c r="AD578" s="678" t="n">
        <v>970159.6800000001</v>
      </c>
      <c r="AE578" s="682" t="inlineStr">
        <is>
          <t>EN COURS D'ENGAGEMENT</t>
        </is>
      </c>
      <c r="AF578" s="681" t="n"/>
      <c r="AG578" s="678" t="n"/>
      <c r="AH578" s="678" t="n"/>
      <c r="AI578" s="678" t="n"/>
      <c r="AJ578" s="678" t="n"/>
      <c r="AK578" s="683" t="n"/>
      <c r="AL578" s="683" t="n"/>
      <c r="AM578" s="681" t="n"/>
    </row>
    <row r="579" ht="38.40000000000001" customHeight="1" s="392">
      <c r="A579" s="672" t="n">
        <v>2026</v>
      </c>
      <c r="B579" s="673" t="inlineStr">
        <is>
          <t>TDF-EXP&amp;MAIN</t>
        </is>
      </c>
      <c r="C579" s="673" t="inlineStr">
        <is>
          <t>51 AOM</t>
        </is>
      </c>
      <c r="D579" s="672" t="inlineStr">
        <is>
          <t>AOO-M</t>
        </is>
      </c>
      <c r="E579" s="672" t="n">
        <v>1</v>
      </c>
      <c r="F579" s="674" t="inlineStr">
        <is>
          <t>Fourniture des modules et pièces de rechange pour les émetteurs FM de marque RVR</t>
        </is>
      </c>
      <c r="G579" s="675" t="inlineStr">
        <is>
          <t>VALIDE</t>
        </is>
      </c>
      <c r="H579" s="672" t="inlineStr">
        <is>
          <t>ATTRIBUE</t>
        </is>
      </c>
      <c r="I579" s="672" t="n"/>
      <c r="J579" s="675" t="inlineStr">
        <is>
          <t>GENERAL</t>
        </is>
      </c>
      <c r="K579" s="672" t="inlineStr">
        <is>
          <t>Ordinaire</t>
        </is>
      </c>
      <c r="L579" s="676" t="inlineStr">
        <is>
          <t>FONCTIONNEMENT</t>
        </is>
      </c>
      <c r="M579" s="676" t="inlineStr">
        <is>
          <t>Achats de matières et fournitures consommables</t>
        </is>
      </c>
      <c r="N579" s="677">
        <f>O579*1.2</f>
        <v/>
      </c>
      <c r="O579" s="678" t="n">
        <v>2254080</v>
      </c>
      <c r="P579" s="678">
        <f>O579/1.2</f>
        <v/>
      </c>
      <c r="Q579" s="672" t="inlineStr">
        <is>
          <t>BESOIN RECURRENT</t>
        </is>
      </c>
      <c r="R579" s="679" t="n"/>
      <c r="S579" s="680" t="n"/>
      <c r="T579" s="681" t="inlineStr">
        <is>
          <t>MOYANO MAROC</t>
        </is>
      </c>
      <c r="U579" s="672" t="n"/>
      <c r="V579" s="680" t="n">
        <v>46175</v>
      </c>
      <c r="W579" s="680" t="n">
        <v>46176</v>
      </c>
      <c r="X579" s="680" t="n"/>
      <c r="Y579" s="677" t="n"/>
      <c r="Z579" s="678" t="n"/>
      <c r="AA579" s="678">
        <f>Engagements2026Juillet[[#This Row],[TOTAL MARCHE TTC TOTAL ENGAGE TTC]]</f>
        <v/>
      </c>
      <c r="AB579" s="678" t="n"/>
      <c r="AC579" s="678">
        <f>Engagements2026Juillet[[#This Row],[TOTAL MARCHE TTC TOTAL ENGAGE TTC]]/1.2</f>
        <v/>
      </c>
      <c r="AD579" s="678" t="n">
        <v>2700386.4</v>
      </c>
      <c r="AE579" s="682" t="inlineStr">
        <is>
          <t>EN COURS D'ENGAGEMENT</t>
        </is>
      </c>
      <c r="AF579" s="681" t="n"/>
      <c r="AG579" s="678" t="n"/>
      <c r="AH579" s="678" t="n"/>
      <c r="AI579" s="678" t="n"/>
      <c r="AJ579" s="678" t="n"/>
      <c r="AK579" s="683" t="n"/>
      <c r="AL579" s="683" t="n"/>
      <c r="AM579" s="681" t="n"/>
    </row>
    <row r="580" ht="38.40000000000001" customHeight="1" s="392">
      <c r="A580" s="672" t="n">
        <v>2026</v>
      </c>
      <c r="B580" s="673" t="inlineStr">
        <is>
          <t>TDF-EXP&amp;MAIN</t>
        </is>
      </c>
      <c r="C580" s="673" t="inlineStr">
        <is>
          <t>51 AOM</t>
        </is>
      </c>
      <c r="D580" s="672" t="inlineStr">
        <is>
          <t>AOO-M</t>
        </is>
      </c>
      <c r="E580" s="672" t="n">
        <v>2</v>
      </c>
      <c r="F580" s="674" t="inlineStr">
        <is>
          <t>Fourniture des modules et pièces de rechange pour les émetteurs FM 10 KW et 5 KW de marque RFE</t>
        </is>
      </c>
      <c r="G580" s="675" t="inlineStr">
        <is>
          <t>INFRUCTUEUX</t>
        </is>
      </c>
      <c r="H580" s="672" t="inlineStr">
        <is>
          <t>INFRUCTUEUX</t>
        </is>
      </c>
      <c r="I580" s="672" t="n"/>
      <c r="J580" s="675" t="inlineStr">
        <is>
          <t>GENERAL</t>
        </is>
      </c>
      <c r="K580" s="672" t="inlineStr">
        <is>
          <t>Ordinaire</t>
        </is>
      </c>
      <c r="L580" s="676" t="inlineStr">
        <is>
          <t>FONCTIONNEMENT</t>
        </is>
      </c>
      <c r="M580" s="676" t="inlineStr">
        <is>
          <t>Achats de matières et fournitures consommables</t>
        </is>
      </c>
      <c r="N580" s="677">
        <f>O580*1.2</f>
        <v/>
      </c>
      <c r="O580" s="678" t="n">
        <v>2945880</v>
      </c>
      <c r="P580" s="678">
        <f>O580/1.2</f>
        <v/>
      </c>
      <c r="Q580" s="672" t="inlineStr">
        <is>
          <t>BESOIN RECURRENT</t>
        </is>
      </c>
      <c r="R580" s="679" t="n"/>
      <c r="S580" s="680" t="n"/>
      <c r="T580" s="681" t="n"/>
      <c r="U580" s="672" t="n"/>
      <c r="V580" s="680" t="n">
        <v>46175</v>
      </c>
      <c r="W580" s="680" t="n">
        <v>46176</v>
      </c>
      <c r="X580" s="680" t="n"/>
      <c r="Y580" s="677" t="n"/>
      <c r="Z580" s="678" t="n"/>
      <c r="AA580" s="678" t="n"/>
      <c r="AB580" s="678" t="n"/>
      <c r="AC580" s="678" t="n"/>
      <c r="AD580" s="678" t="n"/>
      <c r="AE580" s="682" t="inlineStr">
        <is>
          <t>NON ENGAGE</t>
        </is>
      </c>
      <c r="AF580" s="681" t="n"/>
      <c r="AG580" s="678" t="n"/>
      <c r="AH580" s="678" t="n"/>
      <c r="AI580" s="678" t="n"/>
      <c r="AJ580" s="678" t="n"/>
      <c r="AK580" s="683" t="n"/>
      <c r="AL580" s="683" t="n"/>
      <c r="AM580" s="681" t="n"/>
    </row>
    <row r="581" ht="54.6" customHeight="1" s="392">
      <c r="A581" s="672" t="n">
        <v>2026</v>
      </c>
      <c r="B581" s="673" t="inlineStr">
        <is>
          <t>DCPA</t>
        </is>
      </c>
      <c r="C581" s="673" t="inlineStr">
        <is>
          <t>EXCLUSIVITÉ</t>
        </is>
      </c>
      <c r="D581" s="672" t="inlineStr">
        <is>
          <t>CONTRAT</t>
        </is>
      </c>
      <c r="E581" s="672" t="n">
        <v>1</v>
      </c>
      <c r="F581" s="674" t="inlineStr">
        <is>
          <t>La captation et la cession exclusive pour le compte de la SNRT des droits de diffusion des concerts du Festival Gnaoua et Musiques du Monde</t>
        </is>
      </c>
      <c r="G581" s="675" t="inlineStr">
        <is>
          <t>VALIDE</t>
        </is>
      </c>
      <c r="H581" s="672" t="inlineStr">
        <is>
          <t>APPROUVE</t>
        </is>
      </c>
      <c r="I581" s="672" t="n"/>
      <c r="J581" s="675" t="inlineStr">
        <is>
          <t>NON CONCERNE</t>
        </is>
      </c>
      <c r="K581" s="672" t="inlineStr">
        <is>
          <t>Ordinaire</t>
        </is>
      </c>
      <c r="L581" s="676" t="inlineStr">
        <is>
          <t>FONCTIONNEMENT</t>
        </is>
      </c>
      <c r="M581" s="676" t="inlineStr">
        <is>
          <t>Achats de droits 
Achats des droits de captation</t>
        </is>
      </c>
      <c r="N581" s="677" t="n"/>
      <c r="O581" s="678" t="n"/>
      <c r="P581" s="678" t="n"/>
      <c r="Q581" s="672" t="inlineStr">
        <is>
          <t>BESOIN RECURRENT</t>
        </is>
      </c>
      <c r="R581" s="679" t="n"/>
      <c r="S581" s="680" t="n"/>
      <c r="T581" s="681" t="inlineStr">
        <is>
          <t>A3 COMMUNICATION</t>
        </is>
      </c>
      <c r="U581" s="672" t="n">
        <v>2026</v>
      </c>
      <c r="V581" s="680" t="n">
        <v>46185</v>
      </c>
      <c r="W581" s="680" t="n"/>
      <c r="X581" s="680" t="n">
        <v>46191</v>
      </c>
      <c r="Y581" s="677">
        <f>AC581</f>
        <v/>
      </c>
      <c r="Z581" s="678" t="n">
        <v>0</v>
      </c>
      <c r="AA581" s="678">
        <f>AD581</f>
        <v/>
      </c>
      <c r="AB581" s="678" t="n">
        <v>0</v>
      </c>
      <c r="AC581" s="678">
        <f>AD581/1.2</f>
        <v/>
      </c>
      <c r="AD581" s="678" t="n">
        <v>400000</v>
      </c>
      <c r="AE581" s="682" t="inlineStr">
        <is>
          <t>ENGAGE</t>
        </is>
      </c>
      <c r="AF581" s="681" t="n"/>
      <c r="AG581" s="678" t="n"/>
      <c r="AH581" s="678" t="n"/>
      <c r="AI581" s="678" t="n"/>
      <c r="AJ581" s="678" t="n"/>
      <c r="AK581" s="683" t="n"/>
      <c r="AL581" s="683" t="n"/>
      <c r="AM581" s="681" t="n"/>
    </row>
    <row r="582" ht="38.40000000000001" customHeight="1" s="392">
      <c r="A582" s="672" t="n">
        <v>2026</v>
      </c>
      <c r="B582" s="673" t="inlineStr">
        <is>
          <t>TDF-EXP&amp;MAIN</t>
        </is>
      </c>
      <c r="C582" s="673" t="inlineStr">
        <is>
          <t>47 AOM</t>
        </is>
      </c>
      <c r="D582" s="672" t="inlineStr">
        <is>
          <t>AOO-M</t>
        </is>
      </c>
      <c r="E582" s="672" t="n">
        <v>1</v>
      </c>
      <c r="F582" s="674" t="inlineStr">
        <is>
          <t>Fourniture des modules et piéces de rechange pour les émetteurs TNT de puissance 250 Watts de marque EUROTEK</t>
        </is>
      </c>
      <c r="G582" s="675" t="inlineStr">
        <is>
          <t>EN SIGNATURE</t>
        </is>
      </c>
      <c r="H582" s="672" t="inlineStr">
        <is>
          <t>ATTRIBUE</t>
        </is>
      </c>
      <c r="I582" s="672" t="n"/>
      <c r="J582" s="675" t="inlineStr">
        <is>
          <t>GENERAL</t>
        </is>
      </c>
      <c r="K582" s="672" t="inlineStr">
        <is>
          <t>Ordinaire</t>
        </is>
      </c>
      <c r="L582" s="676" t="inlineStr">
        <is>
          <t>FONCTIONNEMENT</t>
        </is>
      </c>
      <c r="M582" s="676" t="inlineStr">
        <is>
          <t>Achats de matières et fournitures consommables</t>
        </is>
      </c>
      <c r="N582" s="677">
        <f>O582*1.2</f>
        <v/>
      </c>
      <c r="O582" s="678" t="n">
        <v>1841022</v>
      </c>
      <c r="P582" s="678">
        <f>O582/1.2</f>
        <v/>
      </c>
      <c r="Q582" s="672" t="inlineStr">
        <is>
          <t>BESOIN RECURRENT</t>
        </is>
      </c>
      <c r="R582" s="679" t="n"/>
      <c r="S582" s="680" t="n"/>
      <c r="T582" s="681" t="inlineStr">
        <is>
          <t>KLS INFRASTRUCTURE</t>
        </is>
      </c>
      <c r="U582" s="672" t="n"/>
      <c r="V582" s="680" t="n">
        <v>46185</v>
      </c>
      <c r="W582" s="680" t="n"/>
      <c r="X582" s="680" t="n"/>
      <c r="Y582" s="677" t="n"/>
      <c r="Z582" s="678" t="n"/>
      <c r="AA582" s="678" t="n"/>
      <c r="AB582" s="678" t="n"/>
      <c r="AC582" s="678" t="n"/>
      <c r="AD582" s="678" t="n">
        <v>2190688.8</v>
      </c>
      <c r="AE582" s="682" t="inlineStr">
        <is>
          <t>PREENGAGE</t>
        </is>
      </c>
      <c r="AF582" s="681" t="n"/>
      <c r="AG582" s="678" t="n"/>
      <c r="AH582" s="678" t="n"/>
      <c r="AI582" s="678" t="n"/>
      <c r="AJ582" s="678" t="n"/>
      <c r="AK582" s="683" t="n"/>
      <c r="AL582" s="683" t="n"/>
      <c r="AM582" s="681" t="n"/>
    </row>
    <row r="583" ht="38.40000000000001" customHeight="1" s="392">
      <c r="A583" s="672" t="n">
        <v>2026</v>
      </c>
      <c r="B583" s="673" t="inlineStr">
        <is>
          <t>TDF-EXP&amp;MAIN</t>
        </is>
      </c>
      <c r="C583" s="673" t="inlineStr">
        <is>
          <t>47 AOM</t>
        </is>
      </c>
      <c r="D583" s="672" t="inlineStr">
        <is>
          <t>AOO-M</t>
        </is>
      </c>
      <c r="E583" s="672" t="n">
        <v>2</v>
      </c>
      <c r="F583" s="674" t="inlineStr">
        <is>
          <t>Fourniture des modules et piéces de rechange des émetteurs TNT de marque ITELSIS</t>
        </is>
      </c>
      <c r="G583" s="675" t="inlineStr">
        <is>
          <t>EN SIGNATURE</t>
        </is>
      </c>
      <c r="H583" s="672" t="inlineStr">
        <is>
          <t>ATTRIBUE</t>
        </is>
      </c>
      <c r="I583" s="672" t="n"/>
      <c r="J583" s="675" t="inlineStr">
        <is>
          <t>GENERAL</t>
        </is>
      </c>
      <c r="K583" s="672" t="inlineStr">
        <is>
          <t>Ordinaire</t>
        </is>
      </c>
      <c r="L583" s="676" t="inlineStr">
        <is>
          <t>FONCTIONNEMENT</t>
        </is>
      </c>
      <c r="M583" s="676" t="inlineStr">
        <is>
          <t>Achats de matières et fournitures consommables</t>
        </is>
      </c>
      <c r="N583" s="677">
        <f>O583*1.2</f>
        <v/>
      </c>
      <c r="O583" s="678" t="n">
        <v>1855800</v>
      </c>
      <c r="P583" s="678">
        <f>O583/1.2</f>
        <v/>
      </c>
      <c r="Q583" s="672" t="inlineStr">
        <is>
          <t>BESOIN RECURRENT</t>
        </is>
      </c>
      <c r="R583" s="679" t="n"/>
      <c r="S583" s="680" t="n"/>
      <c r="T583" s="681" t="inlineStr">
        <is>
          <t>KLS INFRASTRUCTURE</t>
        </is>
      </c>
      <c r="U583" s="672" t="n"/>
      <c r="V583" s="680" t="n">
        <v>46185</v>
      </c>
      <c r="W583" s="680" t="n"/>
      <c r="X583" s="680" t="n"/>
      <c r="Y583" s="677" t="n"/>
      <c r="Z583" s="678" t="n"/>
      <c r="AA583" s="678" t="n"/>
      <c r="AB583" s="678" t="n"/>
      <c r="AC583" s="678" t="n"/>
      <c r="AD583" s="678" t="n">
        <v>2217600</v>
      </c>
      <c r="AE583" s="682" t="inlineStr">
        <is>
          <t>PREENGAGE</t>
        </is>
      </c>
      <c r="AF583" s="681" t="n"/>
      <c r="AG583" s="678" t="n"/>
      <c r="AH583" s="678" t="n"/>
      <c r="AI583" s="678" t="n"/>
      <c r="AJ583" s="678" t="n"/>
      <c r="AK583" s="683" t="n"/>
      <c r="AL583" s="683" t="n"/>
      <c r="AM583" s="681" t="n"/>
    </row>
    <row r="584" ht="38.40000000000001" customHeight="1" s="392">
      <c r="A584" s="672" t="n">
        <v>2026</v>
      </c>
      <c r="B584" s="673" t="inlineStr">
        <is>
          <t>TDF-EXP&amp;MAIN</t>
        </is>
      </c>
      <c r="C584" s="673" t="inlineStr">
        <is>
          <t>47 AOM</t>
        </is>
      </c>
      <c r="D584" s="672" t="inlineStr">
        <is>
          <t>AOO-M</t>
        </is>
      </c>
      <c r="E584" s="672" t="n">
        <v>3</v>
      </c>
      <c r="F584" s="674" t="inlineStr">
        <is>
          <t>Fourniture des modules et piéces de rechange des émetteurs TNT de marque EGATEL de puissance 10KW</t>
        </is>
      </c>
      <c r="G584" s="675" t="inlineStr">
        <is>
          <t>EN SIGNATURE</t>
        </is>
      </c>
      <c r="H584" s="672" t="inlineStr">
        <is>
          <t>ATTRIBUE</t>
        </is>
      </c>
      <c r="I584" s="672" t="n"/>
      <c r="J584" s="675" t="inlineStr">
        <is>
          <t>GENERAL</t>
        </is>
      </c>
      <c r="K584" s="672" t="inlineStr">
        <is>
          <t>Ordinaire</t>
        </is>
      </c>
      <c r="L584" s="676" t="inlineStr">
        <is>
          <t>FONCTIONNEMENT</t>
        </is>
      </c>
      <c r="M584" s="676" t="inlineStr">
        <is>
          <t>Achats de matières et fournitures consommables</t>
        </is>
      </c>
      <c r="N584" s="677">
        <f>O584*1.2</f>
        <v/>
      </c>
      <c r="O584" s="678" t="n">
        <v>1503144</v>
      </c>
      <c r="P584" s="678">
        <f>O584/1.2</f>
        <v/>
      </c>
      <c r="Q584" s="672" t="inlineStr">
        <is>
          <t>BESOIN RECURRENT</t>
        </is>
      </c>
      <c r="R584" s="679" t="n"/>
      <c r="S584" s="680" t="n"/>
      <c r="T584" s="681" t="inlineStr">
        <is>
          <t>KLS INFRASTRUCTURE</t>
        </is>
      </c>
      <c r="U584" s="672" t="n"/>
      <c r="V584" s="680" t="n">
        <v>46185</v>
      </c>
      <c r="W584" s="680" t="n"/>
      <c r="X584" s="680" t="n"/>
      <c r="Y584" s="677" t="n"/>
      <c r="Z584" s="678" t="n"/>
      <c r="AA584" s="678" t="n"/>
      <c r="AB584" s="678" t="n"/>
      <c r="AC584" s="678" t="n"/>
      <c r="AD584" s="678" t="n">
        <v>1792788</v>
      </c>
      <c r="AE584" s="682" t="inlineStr">
        <is>
          <t>PREENGAGE</t>
        </is>
      </c>
      <c r="AF584" s="681" t="n"/>
      <c r="AG584" s="678" t="n"/>
      <c r="AH584" s="678" t="n"/>
      <c r="AI584" s="678" t="n"/>
      <c r="AJ584" s="678" t="n"/>
      <c r="AK584" s="683" t="n"/>
      <c r="AL584" s="683" t="n"/>
      <c r="AM584" s="681" t="n"/>
    </row>
    <row r="585" ht="54.6" customHeight="1" s="392">
      <c r="A585" s="672" t="n">
        <v>2026</v>
      </c>
      <c r="B585" s="673" t="inlineStr">
        <is>
          <t>DTSI</t>
        </is>
      </c>
      <c r="C585" s="673" t="inlineStr">
        <is>
          <t>29 AOM</t>
        </is>
      </c>
      <c r="D585" s="672" t="inlineStr">
        <is>
          <t>AOO-M</t>
        </is>
      </c>
      <c r="E585" s="672" t="n">
        <v>1</v>
      </c>
      <c r="F585" s="674" t="inlineStr">
        <is>
          <t>La fourniture et la mise en service d'encodeurs et décodeurs SRT pour les besoins des unités mobiles de la SNRT</t>
        </is>
      </c>
      <c r="G585" s="675" t="inlineStr">
        <is>
          <t>VALIDE</t>
        </is>
      </c>
      <c r="H585" s="672" t="inlineStr">
        <is>
          <t>APPROUVE</t>
        </is>
      </c>
      <c r="I585" s="672" t="n"/>
      <c r="J585" s="675" t="inlineStr">
        <is>
          <t>GENERAL</t>
        </is>
      </c>
      <c r="K585" s="672" t="inlineStr">
        <is>
          <t>Ordinaire</t>
        </is>
      </c>
      <c r="L585" s="676" t="inlineStr">
        <is>
          <t>INVESTISSEMENT</t>
        </is>
      </c>
      <c r="M585" s="676" t="inlineStr">
        <is>
          <t>Equipements techniques</t>
        </is>
      </c>
      <c r="N585" s="677">
        <f>O585*1.2</f>
        <v/>
      </c>
      <c r="O585" s="678" t="n">
        <v>2906664</v>
      </c>
      <c r="P585" s="678">
        <f>O585/1.2</f>
        <v/>
      </c>
      <c r="Q585" s="672" t="n"/>
      <c r="R585" s="679" t="n"/>
      <c r="S585" s="680" t="n"/>
      <c r="T585" s="681" t="inlineStr">
        <is>
          <t>LTS NETWORK/LTS France</t>
        </is>
      </c>
      <c r="U585" s="672" t="n"/>
      <c r="V585" s="680" t="n">
        <v>46185</v>
      </c>
      <c r="W585" s="680" t="n">
        <v>46075</v>
      </c>
      <c r="X585" s="680" t="n">
        <v>46268</v>
      </c>
      <c r="Y585" s="677" t="n"/>
      <c r="Z585" s="678" t="n"/>
      <c r="AA585" s="678" t="n"/>
      <c r="AB585" s="678" t="n"/>
      <c r="AC585" s="678" t="n"/>
      <c r="AD585" s="678" t="n">
        <v>3486881.04</v>
      </c>
      <c r="AE585" s="682" t="inlineStr">
        <is>
          <t>ENGAGE</t>
        </is>
      </c>
      <c r="AF585" s="681" t="n"/>
      <c r="AG585" s="678" t="n"/>
      <c r="AH585" s="678" t="n"/>
      <c r="AI585" s="678" t="n"/>
      <c r="AJ585" s="678" t="n"/>
      <c r="AK585" s="683" t="n"/>
      <c r="AL585" s="683" t="n"/>
      <c r="AM585" s="681" t="n"/>
    </row>
    <row r="586" ht="38.40000000000001" customHeight="1" s="392">
      <c r="A586" s="672" t="n">
        <v>2026</v>
      </c>
      <c r="B586" s="673" t="inlineStr">
        <is>
          <t>DTSI</t>
        </is>
      </c>
      <c r="C586" s="673" t="inlineStr">
        <is>
          <t>44 AOM</t>
        </is>
      </c>
      <c r="D586" s="672" t="inlineStr">
        <is>
          <t>AOO-M</t>
        </is>
      </c>
      <c r="E586" s="672" t="n">
        <v>1</v>
      </c>
      <c r="F586" s="674" t="inlineStr">
        <is>
          <t>La fourniture et la mise en service de lecteurs LTO destinés aux besoins d’archivage de la SNRT</t>
        </is>
      </c>
      <c r="G586" s="675" t="inlineStr">
        <is>
          <t>VALIDE</t>
        </is>
      </c>
      <c r="H586" s="672" t="inlineStr">
        <is>
          <t>INFRUCTUEUX</t>
        </is>
      </c>
      <c r="I586" s="672" t="n"/>
      <c r="J586" s="675" t="inlineStr">
        <is>
          <t>GENERAL</t>
        </is>
      </c>
      <c r="K586" s="672" t="inlineStr">
        <is>
          <t>Ordinaire</t>
        </is>
      </c>
      <c r="L586" s="676" t="inlineStr">
        <is>
          <t>INVESTISSEMENT</t>
        </is>
      </c>
      <c r="M586" s="676" t="inlineStr">
        <is>
          <t>Equipements techniques</t>
        </is>
      </c>
      <c r="N586" s="677">
        <f>O586*1.2</f>
        <v/>
      </c>
      <c r="O586" s="678" t="n">
        <v>422256</v>
      </c>
      <c r="P586" s="678">
        <f>O586/1.2</f>
        <v/>
      </c>
      <c r="Q586" s="672" t="n"/>
      <c r="R586" s="679" t="n"/>
      <c r="S586" s="680" t="n"/>
      <c r="T586" s="681" t="n"/>
      <c r="U586" s="672" t="n"/>
      <c r="V586" s="680" t="n">
        <v>46185</v>
      </c>
      <c r="W586" s="680" t="n">
        <v>46195</v>
      </c>
      <c r="X586" s="680" t="n"/>
      <c r="Y586" s="677" t="n"/>
      <c r="Z586" s="678" t="n"/>
      <c r="AA586" s="678" t="n"/>
      <c r="AB586" s="678" t="n"/>
      <c r="AC586" s="678" t="n"/>
      <c r="AD586" s="678" t="n"/>
      <c r="AE586" s="682" t="inlineStr">
        <is>
          <t>NON ENGAGE</t>
        </is>
      </c>
      <c r="AF586" s="681" t="n"/>
      <c r="AG586" s="678" t="n"/>
      <c r="AH586" s="678" t="n"/>
      <c r="AI586" s="678" t="n"/>
      <c r="AJ586" s="678" t="n"/>
      <c r="AK586" s="683" t="n"/>
      <c r="AL586" s="683" t="n"/>
      <c r="AM586" s="681" t="n"/>
    </row>
    <row r="587" ht="70.80000000000001" customHeight="1" s="392">
      <c r="A587" s="672" t="n">
        <v>2026</v>
      </c>
      <c r="B587" s="673" t="inlineStr">
        <is>
          <t>DTSI</t>
        </is>
      </c>
      <c r="C587" s="673" t="inlineStr">
        <is>
          <t>35 AOM</t>
        </is>
      </c>
      <c r="D587" s="672" t="inlineStr">
        <is>
          <t>AOO-M</t>
        </is>
      </c>
      <c r="E587" s="672" t="n">
        <v>1</v>
      </c>
      <c r="F587" s="674" t="inlineStr">
        <is>
          <t>La fourniture et la mise en service de serveurs haute performance destinés aux applications d’intelligence artificielle et d’apprentissage automatique pour les besoins de la SNRT</t>
        </is>
      </c>
      <c r="G587" s="675" t="inlineStr">
        <is>
          <t>VALIDE</t>
        </is>
      </c>
      <c r="H587" s="672" t="inlineStr">
        <is>
          <t>APPROUVE</t>
        </is>
      </c>
      <c r="I587" s="672" t="n"/>
      <c r="J587" s="675" t="inlineStr">
        <is>
          <t>GENERAL</t>
        </is>
      </c>
      <c r="K587" s="672" t="inlineStr">
        <is>
          <t>Ordinaire</t>
        </is>
      </c>
      <c r="L587" s="676" t="inlineStr">
        <is>
          <t>INVESTISSEMENT</t>
        </is>
      </c>
      <c r="M587" s="676" t="inlineStr">
        <is>
          <t>Matériel informatiques</t>
        </is>
      </c>
      <c r="N587" s="677">
        <f>O587*1.2</f>
        <v/>
      </c>
      <c r="O587" s="678" t="n">
        <v>3000000</v>
      </c>
      <c r="P587" s="678">
        <f>+O587/1.2</f>
        <v/>
      </c>
      <c r="Q587" s="672" t="inlineStr">
        <is>
          <t>NOUVEAU BESOIN</t>
        </is>
      </c>
      <c r="R587" s="679" t="n"/>
      <c r="S587" s="680" t="n"/>
      <c r="T587" s="681" t="inlineStr">
        <is>
          <t>3N SYSTÈME</t>
        </is>
      </c>
      <c r="U587" s="672" t="n"/>
      <c r="V587" s="680" t="n">
        <v>46185</v>
      </c>
      <c r="W587" s="680" t="n"/>
      <c r="X587" s="680" t="n">
        <v>46276</v>
      </c>
      <c r="Y587" s="677" t="n"/>
      <c r="Z587" s="678" t="n"/>
      <c r="AA587" s="678" t="n"/>
      <c r="AB587" s="678" t="n"/>
      <c r="AC587" s="678" t="n"/>
      <c r="AD587" s="678" t="n">
        <v>2880000</v>
      </c>
      <c r="AE587" s="682" t="inlineStr">
        <is>
          <t>ENGAGE</t>
        </is>
      </c>
      <c r="AF587" s="681" t="inlineStr">
        <is>
          <t>Suite annuléation AO 15</t>
        </is>
      </c>
      <c r="AG587" s="678" t="n"/>
      <c r="AH587" s="678" t="n"/>
      <c r="AI587" s="678" t="n"/>
      <c r="AJ587" s="678" t="n"/>
      <c r="AK587" s="683" t="n"/>
      <c r="AL587" s="683" t="n"/>
      <c r="AM587" s="681" t="n"/>
    </row>
    <row r="588" ht="32" customHeight="1" s="392">
      <c r="A588" s="672" t="n">
        <v>2026</v>
      </c>
      <c r="B588" s="673" t="inlineStr">
        <is>
          <t>DRPSD</t>
        </is>
      </c>
      <c r="C588" s="673" t="inlineStr">
        <is>
          <t>49 AOM</t>
        </is>
      </c>
      <c r="D588" s="672" t="inlineStr">
        <is>
          <t>AOO-M</t>
        </is>
      </c>
      <c r="E588" s="672" t="n">
        <v>1</v>
      </c>
      <c r="F588" s="674" t="inlineStr">
        <is>
          <t>La maintenance de messagerie Lotus Notes/Domino</t>
        </is>
      </c>
      <c r="G588" s="675" t="inlineStr">
        <is>
          <t>EN SIGNATURE</t>
        </is>
      </c>
      <c r="H588" s="672" t="inlineStr">
        <is>
          <t>EN SIGNATURE</t>
        </is>
      </c>
      <c r="I588" s="672" t="n"/>
      <c r="J588" s="675" t="n"/>
      <c r="K588" s="672" t="inlineStr">
        <is>
          <t>Ordinaire</t>
        </is>
      </c>
      <c r="L588" s="676" t="inlineStr">
        <is>
          <t>FONCTIONNEMENT</t>
        </is>
      </c>
      <c r="M588" s="676" t="inlineStr">
        <is>
          <t>Entretien, réparation et assurance</t>
        </is>
      </c>
      <c r="N588" s="677">
        <f>O588*1.2</f>
        <v/>
      </c>
      <c r="O588" s="678" t="n">
        <v>51000</v>
      </c>
      <c r="P588" s="678">
        <f>+O588/1.2</f>
        <v/>
      </c>
      <c r="Q588" s="672" t="inlineStr">
        <is>
          <t>BESOIN RECURRENT</t>
        </is>
      </c>
      <c r="R588" s="679" t="n"/>
      <c r="S588" s="680" t="n"/>
      <c r="T588" s="681" t="n"/>
      <c r="U588" s="672" t="n"/>
      <c r="V588" s="680" t="n">
        <v>46191</v>
      </c>
      <c r="W588" s="680" t="n"/>
      <c r="X588" s="680" t="n"/>
      <c r="Y588" s="677" t="n"/>
      <c r="Z588" s="678" t="n"/>
      <c r="AA588" s="678" t="n"/>
      <c r="AB588" s="678" t="n"/>
      <c r="AC588" s="678" t="n"/>
      <c r="AD588" s="678" t="n"/>
      <c r="AE588" s="682" t="inlineStr">
        <is>
          <t>EN COURS DE PREENGAGEMENT</t>
        </is>
      </c>
      <c r="AF588" s="681" t="n"/>
      <c r="AG588" s="678" t="n"/>
      <c r="AH588" s="678" t="n"/>
      <c r="AI588" s="678" t="n"/>
      <c r="AJ588" s="678" t="n"/>
      <c r="AK588" s="683" t="n"/>
      <c r="AL588" s="683" t="n"/>
      <c r="AM588" s="681" t="n"/>
    </row>
    <row r="589" ht="54.6" customHeight="1" s="392">
      <c r="A589" s="672" t="n">
        <v>2026</v>
      </c>
      <c r="B589" s="673" t="inlineStr">
        <is>
          <t>DRPSD</t>
        </is>
      </c>
      <c r="C589" s="673" t="inlineStr">
        <is>
          <t>48 AOM</t>
        </is>
      </c>
      <c r="D589" s="672" t="inlineStr">
        <is>
          <t>AOO-M</t>
        </is>
      </c>
      <c r="E589" s="672" t="n">
        <v>1</v>
      </c>
      <c r="F589" s="674" t="inlineStr">
        <is>
          <t>Prestation de maintenance et assitance /  Support du logiciel de gestion des campagnes publicitaires des support TV et Radio de la SNRT</t>
        </is>
      </c>
      <c r="G589" s="675" t="inlineStr">
        <is>
          <t>EN SIGNATURE</t>
        </is>
      </c>
      <c r="H589" s="672" t="inlineStr">
        <is>
          <t>EN SIGNATURE</t>
        </is>
      </c>
      <c r="I589" s="672" t="n"/>
      <c r="J589" s="675" t="n"/>
      <c r="K589" s="672" t="inlineStr">
        <is>
          <t>Ordinaire</t>
        </is>
      </c>
      <c r="L589" s="676" t="inlineStr">
        <is>
          <t>FONCTIONNEMENT</t>
        </is>
      </c>
      <c r="M589" s="676" t="inlineStr">
        <is>
          <t>Entretien, réparation et assurance</t>
        </is>
      </c>
      <c r="N589" s="677">
        <f>O589*1.2</f>
        <v/>
      </c>
      <c r="O589" s="678" t="n">
        <v>753940</v>
      </c>
      <c r="P589" s="678">
        <f>+O589/1.2</f>
        <v/>
      </c>
      <c r="Q589" s="672" t="inlineStr">
        <is>
          <t>BESOIN RECURRENT</t>
        </is>
      </c>
      <c r="R589" s="679" t="n"/>
      <c r="S589" s="680" t="n"/>
      <c r="T589" s="681" t="n"/>
      <c r="U589" s="672" t="n"/>
      <c r="V589" s="680" t="n">
        <v>46191</v>
      </c>
      <c r="W589" s="680" t="n"/>
      <c r="X589" s="680" t="n"/>
      <c r="Y589" s="677" t="n"/>
      <c r="Z589" s="678" t="n"/>
      <c r="AA589" s="678" t="n"/>
      <c r="AB589" s="678" t="n"/>
      <c r="AC589" s="678" t="n"/>
      <c r="AD589" s="678" t="n"/>
      <c r="AE589" s="682" t="inlineStr">
        <is>
          <t>EN COURS DE PREENGAGEMENT</t>
        </is>
      </c>
      <c r="AF589" s="681" t="n"/>
      <c r="AG589" s="678" t="n"/>
      <c r="AH589" s="678" t="n"/>
      <c r="AI589" s="678" t="n"/>
      <c r="AJ589" s="678" t="n"/>
      <c r="AK589" s="683" t="n"/>
      <c r="AL589" s="683" t="n"/>
      <c r="AM589" s="681" t="n"/>
    </row>
    <row r="590" ht="70.80000000000001" customHeight="1" s="392">
      <c r="A590" s="672" t="n">
        <v>2026</v>
      </c>
      <c r="B590" s="673" t="inlineStr">
        <is>
          <t>DTSI</t>
        </is>
      </c>
      <c r="C590" s="673" t="inlineStr">
        <is>
          <t>25 AOM/SNRT</t>
        </is>
      </c>
      <c r="D590" s="672" t="inlineStr">
        <is>
          <t>AOO-M</t>
        </is>
      </c>
      <c r="E590" s="672" t="n">
        <v>1</v>
      </c>
      <c r="F590" s="674" t="inlineStr">
        <is>
          <t>La fourniture et la mise en service d'une solution de transport des communications intercom via des coules audio IP BROADCAST pour les besoins des unités mobiles de la SNRT</t>
        </is>
      </c>
      <c r="G590" s="675" t="inlineStr">
        <is>
          <t>VALIDE</t>
        </is>
      </c>
      <c r="H590" s="672" t="inlineStr">
        <is>
          <t>ATTRIBUE</t>
        </is>
      </c>
      <c r="I590" s="691" t="n"/>
      <c r="J590" s="675" t="inlineStr">
        <is>
          <t>GENERAL</t>
        </is>
      </c>
      <c r="K590" s="672" t="inlineStr">
        <is>
          <t>REPORT BUDGET ANNEE ANTERIEURE</t>
        </is>
      </c>
      <c r="L590" s="676" t="inlineStr">
        <is>
          <t>INVESTISSEMENT</t>
        </is>
      </c>
      <c r="M590" s="676" t="inlineStr">
        <is>
          <t>Immobilisations incorporelles (logiciels, licences, etc.)</t>
        </is>
      </c>
      <c r="N590" s="677" t="n">
        <v>349387.2</v>
      </c>
      <c r="O590" s="678" t="n">
        <v>291156</v>
      </c>
      <c r="P590" s="678" t="n">
        <v>242630</v>
      </c>
      <c r="Q590" s="672" t="inlineStr">
        <is>
          <t>NOUVEAU BESOIN</t>
        </is>
      </c>
      <c r="R590" s="679" t="n"/>
      <c r="S590" s="680" t="n"/>
      <c r="T590" s="681" t="inlineStr">
        <is>
          <t>BSS TRADING</t>
        </is>
      </c>
      <c r="U590" s="672" t="n"/>
      <c r="V590" s="680" t="n">
        <v>46191</v>
      </c>
      <c r="W590" s="680" t="n"/>
      <c r="X590" s="680" t="n"/>
      <c r="Y590" s="677" t="n"/>
      <c r="Z590" s="678" t="n">
        <v>0</v>
      </c>
      <c r="AA590" s="678" t="n"/>
      <c r="AB590" s="678" t="n">
        <v>32462.08</v>
      </c>
      <c r="AC590" s="678" t="n"/>
      <c r="AD590" s="678" t="n">
        <v>346250.28</v>
      </c>
      <c r="AE590" s="682" t="inlineStr">
        <is>
          <t>PREENGAGE</t>
        </is>
      </c>
      <c r="AF590" s="681" t="inlineStr">
        <is>
          <t>R.A.S</t>
        </is>
      </c>
      <c r="AG590" s="678" t="n"/>
      <c r="AH590" s="678" t="n"/>
      <c r="AI590" s="678" t="n"/>
      <c r="AJ590" s="678" t="n"/>
      <c r="AK590" s="683" t="n"/>
      <c r="AL590" s="683" t="n"/>
      <c r="AM590" s="681" t="inlineStr">
        <is>
          <t>SUITE AO INFRUCTUEUX</t>
        </is>
      </c>
    </row>
    <row r="591" ht="32" customHeight="1" s="392">
      <c r="A591" s="672" t="n">
        <v>2026</v>
      </c>
      <c r="B591" s="673" t="inlineStr">
        <is>
          <t>TDF -SITES</t>
        </is>
      </c>
      <c r="C591" s="673" t="inlineStr">
        <is>
          <t>26000042 CL</t>
        </is>
      </c>
      <c r="D591" s="672" t="inlineStr">
        <is>
          <t>BCL</t>
        </is>
      </c>
      <c r="E591" s="672" t="n">
        <v>1</v>
      </c>
      <c r="F591" s="674" t="inlineStr">
        <is>
          <t>Fourniture de materiel de diffusion</t>
        </is>
      </c>
      <c r="G591" s="675" t="inlineStr">
        <is>
          <t>VALIDE</t>
        </is>
      </c>
      <c r="H591" s="672" t="inlineStr">
        <is>
          <t>APPROUVE</t>
        </is>
      </c>
      <c r="I591" s="672" t="inlineStr">
        <is>
          <t>26000042 CL</t>
        </is>
      </c>
      <c r="J591" s="675" t="inlineStr">
        <is>
          <t>NON CONCERNE</t>
        </is>
      </c>
      <c r="K591" s="672" t="inlineStr">
        <is>
          <t>Ordinaire</t>
        </is>
      </c>
      <c r="L591" s="676" t="inlineStr">
        <is>
          <t>INVESTISSEMENT</t>
        </is>
      </c>
      <c r="M591" s="676" t="inlineStr">
        <is>
          <t>Équipements de télédiffusion</t>
        </is>
      </c>
      <c r="N591" s="677" t="n"/>
      <c r="O591" s="678" t="n"/>
      <c r="P591" s="678" t="n"/>
      <c r="Q591" s="672" t="inlineStr">
        <is>
          <t>NOUVEAU BESOIN</t>
        </is>
      </c>
      <c r="R591" s="679" t="n"/>
      <c r="S591" s="680" t="n"/>
      <c r="T591" s="681" t="inlineStr">
        <is>
          <t>LYSMA SYSTÈME</t>
        </is>
      </c>
      <c r="U591" s="672" t="n">
        <v>2026</v>
      </c>
      <c r="V591" s="680" t="n">
        <v>46184</v>
      </c>
      <c r="W591" s="680" t="n"/>
      <c r="X591" s="680" t="n">
        <v>46233</v>
      </c>
      <c r="Y591" s="677">
        <f>+AC591</f>
        <v/>
      </c>
      <c r="Z591" s="678" t="n">
        <v>0</v>
      </c>
      <c r="AA591" s="678">
        <f>+AD591</f>
        <v/>
      </c>
      <c r="AB591" s="678" t="n">
        <v>0</v>
      </c>
      <c r="AC591" s="678">
        <f>+AD591/1.2</f>
        <v/>
      </c>
      <c r="AD591" s="678" t="n">
        <v>89976</v>
      </c>
      <c r="AE591" s="682" t="inlineStr">
        <is>
          <t>ENGAGE</t>
        </is>
      </c>
      <c r="AF591" s="681" t="n"/>
      <c r="AG591" s="678" t="n"/>
      <c r="AH591" s="678" t="n"/>
      <c r="AI591" s="678" t="n"/>
      <c r="AJ591" s="678" t="n"/>
      <c r="AK591" s="683" t="n"/>
      <c r="AL591" s="683" t="n"/>
      <c r="AM591" s="681" t="n"/>
    </row>
    <row r="592" ht="87" customHeight="1" s="392">
      <c r="A592" s="672" t="n">
        <v>2026</v>
      </c>
      <c r="B592" s="673" t="inlineStr">
        <is>
          <t>TDF -SITES</t>
        </is>
      </c>
      <c r="C592" s="673" t="inlineStr">
        <is>
          <t>50 AOM/SNRT</t>
        </is>
      </c>
      <c r="D592" s="672" t="inlineStr">
        <is>
          <t>AOO-M</t>
        </is>
      </c>
      <c r="E592" s="672" t="n">
        <v>1</v>
      </c>
      <c r="F592" s="674" t="inlineStr">
        <is>
          <t>Fourniture, installation et mise en service d'un nouveau groupe électrogène de puissance 200KW/PRP pour le centre SNRT de PALOMAS (P.EL HOCEIMA), ainsi que le transfert de quelques groupes électrogènes entre des centres SNRT y compris leurs mises à niveau</t>
        </is>
      </c>
      <c r="G592" s="675" t="inlineStr">
        <is>
          <t>VALIDE</t>
        </is>
      </c>
      <c r="H592" s="672" t="inlineStr">
        <is>
          <t>PHASE AOO</t>
        </is>
      </c>
      <c r="I592" s="691" t="n"/>
      <c r="J592" s="675" t="inlineStr">
        <is>
          <t>PME</t>
        </is>
      </c>
      <c r="K592" s="672" t="inlineStr">
        <is>
          <t>REPORT BUDGET ANNEE ANTERIEURE</t>
        </is>
      </c>
      <c r="L592" s="676" t="inlineStr">
        <is>
          <t>INVESTISSEMENT</t>
        </is>
      </c>
      <c r="M592" s="676" t="inlineStr">
        <is>
          <t>Équipements de télédiffusion</t>
        </is>
      </c>
      <c r="N592" s="677">
        <f>O592*1.2</f>
        <v/>
      </c>
      <c r="O592" s="678" t="n">
        <v>1260000</v>
      </c>
      <c r="P592" s="678">
        <f>O592/1.2</f>
        <v/>
      </c>
      <c r="Q592" s="672" t="inlineStr">
        <is>
          <t>NOUVEAU BESOIN</t>
        </is>
      </c>
      <c r="R592" s="679" t="n"/>
      <c r="S592" s="680" t="n"/>
      <c r="T592" s="681" t="n"/>
      <c r="U592" s="672" t="n"/>
      <c r="V592" s="680" t="n">
        <v>46191</v>
      </c>
      <c r="W592" s="680" t="n"/>
      <c r="X592" s="680" t="n"/>
      <c r="Y592" s="677" t="n"/>
      <c r="Z592" s="678" t="n"/>
      <c r="AA592" s="678" t="n"/>
      <c r="AB592" s="678" t="n"/>
      <c r="AC592" s="678" t="n"/>
      <c r="AD592" s="678" t="n"/>
      <c r="AE592" s="682" t="inlineStr">
        <is>
          <t>PREENGAGE</t>
        </is>
      </c>
      <c r="AF592" s="681" t="n"/>
      <c r="AG592" s="678" t="n"/>
      <c r="AH592" s="678" t="n"/>
      <c r="AI592" s="678" t="n"/>
      <c r="AJ592" s="678" t="n"/>
      <c r="AK592" s="683" t="n"/>
      <c r="AL592" s="683" t="n"/>
      <c r="AM592" s="681" t="n"/>
    </row>
    <row r="593" ht="38.40000000000001" customHeight="1" s="392">
      <c r="A593" s="672" t="n">
        <v>2026</v>
      </c>
      <c r="B593" s="673" t="inlineStr">
        <is>
          <t>DTSI</t>
        </is>
      </c>
      <c r="C593" s="673" t="inlineStr">
        <is>
          <t>53 AOM/SNRT</t>
        </is>
      </c>
      <c r="D593" s="672" t="inlineStr">
        <is>
          <t>AOO-M</t>
        </is>
      </c>
      <c r="E593" s="672" t="n">
        <v>1</v>
      </c>
      <c r="F593" s="674" t="inlineStr">
        <is>
          <t>La fourniture et la mise en service d'équipement informatiques les besoins de SNRT new de la SNRT</t>
        </is>
      </c>
      <c r="G593" s="675" t="inlineStr">
        <is>
          <t>VALIDE</t>
        </is>
      </c>
      <c r="H593" s="672" t="inlineStr">
        <is>
          <t>INFRUCTUEUX</t>
        </is>
      </c>
      <c r="I593" s="691" t="n"/>
      <c r="J593" s="675" t="inlineStr">
        <is>
          <t>PME</t>
        </is>
      </c>
      <c r="K593" s="672" t="inlineStr">
        <is>
          <t>Ordinaire</t>
        </is>
      </c>
      <c r="L593" s="676" t="inlineStr">
        <is>
          <t>INVESTISSEMENT</t>
        </is>
      </c>
      <c r="M593" s="676" t="inlineStr">
        <is>
          <t>Matériel informatiques</t>
        </is>
      </c>
      <c r="N593" s="677">
        <f>O593*1.2</f>
        <v/>
      </c>
      <c r="O593" s="678" t="n">
        <v>2086500</v>
      </c>
      <c r="P593" s="678">
        <f>O593/1.2</f>
        <v/>
      </c>
      <c r="Q593" s="672" t="inlineStr">
        <is>
          <t>NOUVEAU BESOIN</t>
        </is>
      </c>
      <c r="R593" s="679" t="n"/>
      <c r="S593" s="680" t="n"/>
      <c r="T593" s="681" t="n"/>
      <c r="U593" s="672" t="n"/>
      <c r="V593" s="680" t="n">
        <v>46191</v>
      </c>
      <c r="W593" s="680" t="n"/>
      <c r="X593" s="680" t="n"/>
      <c r="Y593" s="677" t="n"/>
      <c r="Z593" s="678" t="n">
        <v>0</v>
      </c>
      <c r="AA593" s="678" t="n"/>
      <c r="AB593" s="678" t="n">
        <v>0</v>
      </c>
      <c r="AC593" s="678" t="n"/>
      <c r="AD593" s="678" t="n"/>
      <c r="AE593" s="682" t="inlineStr">
        <is>
          <t>NON ENGAGE</t>
        </is>
      </c>
      <c r="AF593" s="681" t="inlineStr">
        <is>
          <t>R.A.S</t>
        </is>
      </c>
      <c r="AG593" s="678" t="n"/>
      <c r="AH593" s="678" t="n"/>
      <c r="AI593" s="678" t="n"/>
      <c r="AJ593" s="678" t="n"/>
      <c r="AK593" s="683" t="n"/>
      <c r="AL593" s="683" t="n"/>
      <c r="AM593" s="681" t="inlineStr">
        <is>
          <t>SUITE AO INFRUCTUEUX</t>
        </is>
      </c>
    </row>
    <row r="594" ht="50.55" customHeight="1" s="392">
      <c r="A594" s="672" t="n">
        <v>2026</v>
      </c>
      <c r="B594" s="673" t="inlineStr">
        <is>
          <t>TDF-EXP&amp;MAIN</t>
        </is>
      </c>
      <c r="C594" s="673" t="inlineStr">
        <is>
          <t>DPN26000058DV</t>
        </is>
      </c>
      <c r="D594" s="672" t="inlineStr">
        <is>
          <t>BCL</t>
        </is>
      </c>
      <c r="E594" s="672" t="n">
        <v>1</v>
      </c>
      <c r="F594" s="674" t="inlineStr">
        <is>
          <t>Désherbage elagage deraninage des arbres de centre emetteur radio AM de Sebaa Aioune</t>
        </is>
      </c>
      <c r="G594" s="675" t="inlineStr">
        <is>
          <t>VALIDE</t>
        </is>
      </c>
      <c r="H594" s="672" t="inlineStr">
        <is>
          <t>APPROUVE</t>
        </is>
      </c>
      <c r="I594" s="672" t="inlineStr">
        <is>
          <t>26000049 CL</t>
        </is>
      </c>
      <c r="J594" s="675" t="inlineStr">
        <is>
          <t>NON CONCERNE</t>
        </is>
      </c>
      <c r="K594" s="672" t="inlineStr">
        <is>
          <t>Ordinaire</t>
        </is>
      </c>
      <c r="L594" s="676" t="inlineStr">
        <is>
          <t>FONCTIONNEMENT</t>
        </is>
      </c>
      <c r="M594" s="676" t="inlineStr">
        <is>
          <t>Prestation de services
Achat prestations de services locales - sociétés</t>
        </is>
      </c>
      <c r="N594" s="677" t="n"/>
      <c r="O594" s="678" t="n"/>
      <c r="P594" s="678" t="n"/>
      <c r="Q594" s="672" t="inlineStr">
        <is>
          <t>NOUVEAU BESOIN</t>
        </is>
      </c>
      <c r="R594" s="679" t="n"/>
      <c r="S594" s="680" t="n"/>
      <c r="T594" s="681" t="inlineStr">
        <is>
          <t>HOUSSADIM</t>
        </is>
      </c>
      <c r="U594" s="672" t="n">
        <v>2026</v>
      </c>
      <c r="V594" s="680" t="n">
        <v>46196</v>
      </c>
      <c r="W594" s="680" t="n">
        <v>46203</v>
      </c>
      <c r="X594" s="680" t="n"/>
      <c r="Y594" s="677" t="n">
        <v>48000</v>
      </c>
      <c r="Z594" s="678" t="n">
        <v>0</v>
      </c>
      <c r="AA594" s="678" t="n">
        <v>57600</v>
      </c>
      <c r="AB594" s="678" t="n">
        <v>0</v>
      </c>
      <c r="AC594" s="678" t="n">
        <v>48000</v>
      </c>
      <c r="AD594" s="678" t="n">
        <v>57600</v>
      </c>
      <c r="AE594" s="682" t="inlineStr">
        <is>
          <t>ENGAGE</t>
        </is>
      </c>
      <c r="AF594" s="681" t="n"/>
      <c r="AG594" s="678" t="n"/>
      <c r="AH594" s="678" t="n"/>
      <c r="AI594" s="678" t="n"/>
      <c r="AJ594" s="678" t="n"/>
      <c r="AK594" s="683" t="n"/>
      <c r="AL594" s="683" t="n"/>
      <c r="AM594" s="681" t="n"/>
    </row>
    <row r="595" ht="50.55" customHeight="1" s="392">
      <c r="A595" s="672" t="n">
        <v>2026</v>
      </c>
      <c r="B595" s="673" t="inlineStr">
        <is>
          <t>TDF-EXP&amp;MAIN</t>
        </is>
      </c>
      <c r="C595" s="673" t="inlineStr">
        <is>
          <t>DPN26000060DV</t>
        </is>
      </c>
      <c r="D595" s="672" t="inlineStr">
        <is>
          <t>BCL</t>
        </is>
      </c>
      <c r="E595" s="672" t="n">
        <v>1</v>
      </c>
      <c r="F595" s="674" t="inlineStr">
        <is>
          <t>Désherbage elagage deraninage des arbres de centre emetteur radio AM d'Oujda</t>
        </is>
      </c>
      <c r="G595" s="675" t="inlineStr">
        <is>
          <t>VALIDE</t>
        </is>
      </c>
      <c r="H595" s="672" t="inlineStr">
        <is>
          <t>APPROUVE</t>
        </is>
      </c>
      <c r="I595" s="672" t="inlineStr">
        <is>
          <t>26000050 CL</t>
        </is>
      </c>
      <c r="J595" s="675" t="inlineStr">
        <is>
          <t>NON CONCERNE</t>
        </is>
      </c>
      <c r="K595" s="672" t="inlineStr">
        <is>
          <t>Ordinaire</t>
        </is>
      </c>
      <c r="L595" s="676" t="inlineStr">
        <is>
          <t>FONCTIONNEMENT</t>
        </is>
      </c>
      <c r="M595" s="676" t="inlineStr">
        <is>
          <t>Prestation de services
Achat prestations de services locales - sociétés</t>
        </is>
      </c>
      <c r="N595" s="677" t="n"/>
      <c r="O595" s="678" t="n"/>
      <c r="P595" s="678" t="n"/>
      <c r="Q595" s="672" t="inlineStr">
        <is>
          <t>NOUVEAU BESOIN</t>
        </is>
      </c>
      <c r="R595" s="679" t="n"/>
      <c r="S595" s="680" t="n"/>
      <c r="T595" s="681" t="inlineStr">
        <is>
          <t>HOUSSADIM</t>
        </is>
      </c>
      <c r="U595" s="672" t="n">
        <v>2026</v>
      </c>
      <c r="V595" s="680" t="n">
        <v>46196</v>
      </c>
      <c r="W595" s="680" t="n">
        <v>46202</v>
      </c>
      <c r="X595" s="680" t="n"/>
      <c r="Y595" s="677" t="n">
        <v>29980</v>
      </c>
      <c r="Z595" s="678" t="n">
        <v>0</v>
      </c>
      <c r="AA595" s="678">
        <f>Y595*1.2</f>
        <v/>
      </c>
      <c r="AB595" s="678" t="n">
        <v>0</v>
      </c>
      <c r="AC595" s="678">
        <f>Y595</f>
        <v/>
      </c>
      <c r="AD595" s="678">
        <f>AA595</f>
        <v/>
      </c>
      <c r="AE595" s="682" t="inlineStr">
        <is>
          <t>ENGAGE</t>
        </is>
      </c>
      <c r="AF595" s="681" t="n"/>
      <c r="AG595" s="678" t="n"/>
      <c r="AH595" s="678" t="n"/>
      <c r="AI595" s="678" t="n"/>
      <c r="AJ595" s="678" t="n"/>
      <c r="AK595" s="683" t="n"/>
      <c r="AL595" s="683" t="n"/>
      <c r="AM595" s="681" t="n"/>
    </row>
    <row r="596" ht="54.6" customHeight="1" s="392">
      <c r="A596" s="672" t="n">
        <v>2026</v>
      </c>
      <c r="B596" s="673" t="inlineStr">
        <is>
          <t>DTSI</t>
        </is>
      </c>
      <c r="C596" s="673" t="inlineStr">
        <is>
          <t>DPN26000056DV</t>
        </is>
      </c>
      <c r="D596" s="672" t="inlineStr">
        <is>
          <t>BCL</t>
        </is>
      </c>
      <c r="E596" s="672" t="n">
        <v>1</v>
      </c>
      <c r="F596" s="674" t="inlineStr">
        <is>
          <t>Fourniture et mise en service de cartes graphiques pour applications de calcul intensif et d'intelligence artificielle pour les besoins de la SNRT</t>
        </is>
      </c>
      <c r="G596" s="675" t="inlineStr">
        <is>
          <t>VALIDE</t>
        </is>
      </c>
      <c r="H596" s="672" t="inlineStr">
        <is>
          <t>APPROUVE</t>
        </is>
      </c>
      <c r="I596" s="672" t="inlineStr">
        <is>
          <t>26000047 CL</t>
        </is>
      </c>
      <c r="J596" s="675" t="inlineStr">
        <is>
          <t>NON CONCERNE</t>
        </is>
      </c>
      <c r="K596" s="672" t="inlineStr">
        <is>
          <t>Ordinaire</t>
        </is>
      </c>
      <c r="L596" s="676" t="inlineStr">
        <is>
          <t>INVESTISSEMENT</t>
        </is>
      </c>
      <c r="M596" s="676" t="inlineStr">
        <is>
          <t>Matériel informatiques</t>
        </is>
      </c>
      <c r="N596" s="677" t="n"/>
      <c r="O596" s="678" t="n"/>
      <c r="P596" s="678" t="n"/>
      <c r="Q596" s="672" t="inlineStr">
        <is>
          <t>NOUVEAU BESOIN</t>
        </is>
      </c>
      <c r="R596" s="679" t="n"/>
      <c r="S596" s="680" t="n"/>
      <c r="T596" s="681" t="inlineStr">
        <is>
          <t>LTS NETWORK</t>
        </is>
      </c>
      <c r="U596" s="672" t="n"/>
      <c r="V596" s="680" t="n">
        <v>46197</v>
      </c>
      <c r="W596" s="680" t="n"/>
      <c r="X596" s="680" t="n"/>
      <c r="Y596" s="677" t="n">
        <v>343397.56</v>
      </c>
      <c r="Z596" s="678" t="n">
        <v>0</v>
      </c>
      <c r="AA596" s="678" t="n">
        <v>412077.77</v>
      </c>
      <c r="AB596" s="678" t="n">
        <v>0</v>
      </c>
      <c r="AC596" s="678" t="n">
        <v>343397.56</v>
      </c>
      <c r="AD596" s="678" t="n">
        <v>412077.77</v>
      </c>
      <c r="AE596" s="682" t="inlineStr">
        <is>
          <t>ENGAGE</t>
        </is>
      </c>
      <c r="AF596" s="681" t="n"/>
      <c r="AG596" s="678" t="n"/>
      <c r="AH596" s="678" t="n"/>
      <c r="AI596" s="678" t="n"/>
      <c r="AJ596" s="678" t="n"/>
      <c r="AK596" s="683" t="n"/>
      <c r="AL596" s="683" t="n"/>
      <c r="AM596" s="681" t="n"/>
    </row>
    <row r="597" ht="54.6" customHeight="1" s="392">
      <c r="A597" s="672" t="n">
        <v>2026</v>
      </c>
      <c r="B597" s="673" t="inlineStr">
        <is>
          <t>TDF -SITES</t>
        </is>
      </c>
      <c r="C597" s="673" t="inlineStr">
        <is>
          <t>26000044 CL</t>
        </is>
      </c>
      <c r="D597" s="672" t="inlineStr">
        <is>
          <t>BCL</t>
        </is>
      </c>
      <c r="E597" s="672" t="n">
        <v>1</v>
      </c>
      <c r="F597" s="674" t="inlineStr">
        <is>
          <t>Réparation et maintenance du Poste de transformation MT/BT haut de poteau type H61 50KVA au site SNRT de LAKSIBA (P.BENI MELLAL)</t>
        </is>
      </c>
      <c r="G597" s="675" t="inlineStr">
        <is>
          <t>VALIDE</t>
        </is>
      </c>
      <c r="H597" s="672" t="inlineStr">
        <is>
          <t>APPROUVE</t>
        </is>
      </c>
      <c r="I597" s="672" t="inlineStr">
        <is>
          <t>26000044 CL</t>
        </is>
      </c>
      <c r="J597" s="675" t="inlineStr">
        <is>
          <t>NON CONCERNE</t>
        </is>
      </c>
      <c r="K597" s="672" t="inlineStr">
        <is>
          <t>Ordinaire</t>
        </is>
      </c>
      <c r="L597" s="676" t="inlineStr">
        <is>
          <t>FONCTIONNEMENT</t>
        </is>
      </c>
      <c r="M597" s="676" t="inlineStr">
        <is>
          <t>Entretien, réparation et assurance</t>
        </is>
      </c>
      <c r="N597" s="677" t="n"/>
      <c r="O597" s="678" t="n"/>
      <c r="P597" s="678" t="n"/>
      <c r="Q597" s="672" t="inlineStr">
        <is>
          <t>NOUVEAU BESOIN</t>
        </is>
      </c>
      <c r="R597" s="679" t="n"/>
      <c r="S597" s="680" t="n"/>
      <c r="T597" s="681" t="inlineStr">
        <is>
          <t>SOGENELEC</t>
        </is>
      </c>
      <c r="U597" s="672" t="n"/>
      <c r="V597" s="680" t="n">
        <v>46197</v>
      </c>
      <c r="W597" s="680" t="n"/>
      <c r="X597" s="680" t="n">
        <v>46175</v>
      </c>
      <c r="Y597" s="677" t="n">
        <v>11666.67</v>
      </c>
      <c r="Z597" s="678" t="n">
        <v>0</v>
      </c>
      <c r="AA597" s="678" t="n">
        <v>14000</v>
      </c>
      <c r="AB597" s="678" t="n">
        <v>0</v>
      </c>
      <c r="AC597" s="678" t="n">
        <v>11666.67</v>
      </c>
      <c r="AD597" s="678" t="n">
        <v>14000</v>
      </c>
      <c r="AE597" s="682" t="inlineStr">
        <is>
          <t>ENGAGE</t>
        </is>
      </c>
      <c r="AF597" s="681" t="n"/>
      <c r="AG597" s="678" t="n"/>
      <c r="AH597" s="678" t="n"/>
      <c r="AI597" s="678" t="n"/>
      <c r="AJ597" s="678" t="n"/>
      <c r="AK597" s="683" t="n"/>
      <c r="AL597" s="683" t="n"/>
      <c r="AM597" s="681" t="n"/>
    </row>
    <row r="598" ht="38.40000000000001" customHeight="1" s="392">
      <c r="A598" s="672" t="n">
        <v>2026</v>
      </c>
      <c r="B598" s="673" t="inlineStr">
        <is>
          <t>DPMG</t>
        </is>
      </c>
      <c r="C598" s="673" t="inlineStr">
        <is>
          <t>26000043 CL</t>
        </is>
      </c>
      <c r="D598" s="672" t="inlineStr">
        <is>
          <t>BCL</t>
        </is>
      </c>
      <c r="E598" s="672" t="n">
        <v>1</v>
      </c>
      <c r="F598" s="674" t="inlineStr">
        <is>
          <t>LOT n°1: Etude des travaux d'aménagement du nouveau siège de la radio de Tétouane</t>
        </is>
      </c>
      <c r="G598" s="675" t="inlineStr">
        <is>
          <t>VALIDE</t>
        </is>
      </c>
      <c r="H598" s="672" t="inlineStr">
        <is>
          <t>APPROUVE</t>
        </is>
      </c>
      <c r="I598" s="672" t="inlineStr">
        <is>
          <t>26000043 CL</t>
        </is>
      </c>
      <c r="J598" s="675" t="inlineStr">
        <is>
          <t>NON CONCERNE</t>
        </is>
      </c>
      <c r="K598" s="672" t="inlineStr">
        <is>
          <t>Ordinaire</t>
        </is>
      </c>
      <c r="L598" s="676" t="inlineStr">
        <is>
          <t>INVESTISSEMENT</t>
        </is>
      </c>
      <c r="M598" s="676" t="inlineStr">
        <is>
          <t>Frais d'acquisition des immobilisations</t>
        </is>
      </c>
      <c r="N598" s="677" t="n"/>
      <c r="O598" s="678" t="n"/>
      <c r="P598" s="678" t="n"/>
      <c r="Q598" s="672" t="inlineStr">
        <is>
          <t>NOUVEAU BESOIN</t>
        </is>
      </c>
      <c r="R598" s="679" t="n"/>
      <c r="S598" s="680" t="n"/>
      <c r="T598" s="681" t="inlineStr">
        <is>
          <t>MES ETUDES</t>
        </is>
      </c>
      <c r="U598" s="672" t="n"/>
      <c r="V598" s="680" t="n">
        <v>46197</v>
      </c>
      <c r="W598" s="680" t="n"/>
      <c r="X598" s="680" t="n">
        <v>46245</v>
      </c>
      <c r="Y598" s="677" t="n">
        <v>37500</v>
      </c>
      <c r="Z598" s="678" t="n">
        <v>0</v>
      </c>
      <c r="AA598" s="678" t="n">
        <v>45000</v>
      </c>
      <c r="AB598" s="678" t="n">
        <v>0</v>
      </c>
      <c r="AC598" s="678" t="n">
        <v>37500</v>
      </c>
      <c r="AD598" s="678" t="n">
        <v>45000</v>
      </c>
      <c r="AE598" s="682" t="inlineStr">
        <is>
          <t>EN COURS D'ENGAGEMENT</t>
        </is>
      </c>
      <c r="AF598" s="681" t="n"/>
      <c r="AG598" s="678" t="n"/>
      <c r="AH598" s="678" t="n"/>
      <c r="AI598" s="678" t="n"/>
      <c r="AJ598" s="678" t="n"/>
      <c r="AK598" s="683" t="n"/>
      <c r="AL598" s="683" t="n"/>
      <c r="AM598" s="681" t="n"/>
    </row>
    <row r="599" ht="50.55" customHeight="1" s="392">
      <c r="A599" s="672" t="n">
        <v>2026</v>
      </c>
      <c r="B599" s="673" t="inlineStr">
        <is>
          <t>TDF-EXP&amp;MAIN</t>
        </is>
      </c>
      <c r="C599" s="673" t="inlineStr">
        <is>
          <t>DPN26000059DV</t>
        </is>
      </c>
      <c r="D599" s="672" t="inlineStr">
        <is>
          <t>BCL</t>
        </is>
      </c>
      <c r="E599" s="672" t="n">
        <v>1</v>
      </c>
      <c r="F599" s="674" t="inlineStr">
        <is>
          <t>Désherbage elagage deraninage des arbres de centre emetteur radio AM d'Ait Melloul</t>
        </is>
      </c>
      <c r="G599" s="675" t="inlineStr">
        <is>
          <t>VALIDE</t>
        </is>
      </c>
      <c r="H599" s="672" t="inlineStr">
        <is>
          <t>APPROUVE</t>
        </is>
      </c>
      <c r="I599" s="672" t="inlineStr">
        <is>
          <t>26000052 CL</t>
        </is>
      </c>
      <c r="J599" s="675" t="inlineStr">
        <is>
          <t>NON CONCERNE</t>
        </is>
      </c>
      <c r="K599" s="672" t="inlineStr">
        <is>
          <t>Ordinaire</t>
        </is>
      </c>
      <c r="L599" s="676" t="inlineStr">
        <is>
          <t>FONCTIONNEMENT</t>
        </is>
      </c>
      <c r="M599" s="676" t="inlineStr">
        <is>
          <t>Prestation de services
Achat prestations de services locales - sociétés</t>
        </is>
      </c>
      <c r="N599" s="677" t="n"/>
      <c r="O599" s="678" t="n"/>
      <c r="P599" s="678" t="n"/>
      <c r="Q599" s="672" t="inlineStr">
        <is>
          <t>NOUVEAU BESOIN</t>
        </is>
      </c>
      <c r="R599" s="679" t="n"/>
      <c r="S599" s="680" t="n"/>
      <c r="T599" s="681" t="inlineStr">
        <is>
          <t>EXCELIACOM CONTRACTORS</t>
        </is>
      </c>
      <c r="U599" s="672" t="n">
        <v>2026</v>
      </c>
      <c r="V599" s="680" t="n">
        <v>46197</v>
      </c>
      <c r="W599" s="680" t="n">
        <v>46203</v>
      </c>
      <c r="X599" s="680" t="n"/>
      <c r="Y599" s="677" t="n">
        <v>26700</v>
      </c>
      <c r="Z599" s="678" t="n">
        <v>0</v>
      </c>
      <c r="AA599" s="678">
        <f>Y599*1.2</f>
        <v/>
      </c>
      <c r="AB599" s="678" t="n">
        <v>0</v>
      </c>
      <c r="AC599" s="678">
        <f>Y599</f>
        <v/>
      </c>
      <c r="AD599" s="678">
        <f>AA599</f>
        <v/>
      </c>
      <c r="AE599" s="682" t="inlineStr">
        <is>
          <t>ENGAGE</t>
        </is>
      </c>
      <c r="AF599" s="681" t="n"/>
      <c r="AG599" s="678" t="n"/>
      <c r="AH599" s="678" t="n"/>
      <c r="AI599" s="678" t="n"/>
      <c r="AJ599" s="678" t="n"/>
      <c r="AK599" s="683" t="n"/>
      <c r="AL599" s="683" t="n"/>
      <c r="AM599" s="681" t="n"/>
    </row>
    <row r="600" ht="35.7" customHeight="1" s="392">
      <c r="A600" s="672" t="n">
        <v>2026</v>
      </c>
      <c r="B600" s="673" t="inlineStr">
        <is>
          <t>ARRIYADIA</t>
        </is>
      </c>
      <c r="C600" s="673" t="inlineStr">
        <is>
          <t>26000554 CT</t>
        </is>
      </c>
      <c r="D600" s="672" t="inlineStr">
        <is>
          <t>CONTRAT</t>
        </is>
      </c>
      <c r="E600" s="672" t="n">
        <v>1</v>
      </c>
      <c r="F600" s="674" t="inlineStr">
        <is>
          <t>Frais technique pour la coupe du monde FIFA 2026</t>
        </is>
      </c>
      <c r="G600" s="675" t="inlineStr">
        <is>
          <t>EN SIGNATURE</t>
        </is>
      </c>
      <c r="H600" s="672" t="inlineStr">
        <is>
          <t>EN SIGNATURE</t>
        </is>
      </c>
      <c r="I600" s="672" t="inlineStr">
        <is>
          <t>26000554 CT</t>
        </is>
      </c>
      <c r="J600" s="675" t="inlineStr">
        <is>
          <t>NON CONCERNE</t>
        </is>
      </c>
      <c r="K600" s="672" t="inlineStr">
        <is>
          <t>Ordinaire</t>
        </is>
      </c>
      <c r="L600" s="676" t="inlineStr">
        <is>
          <t>FONCTIONNEMENT</t>
        </is>
      </c>
      <c r="M600" s="676" t="inlineStr">
        <is>
          <t>Achats de droits</t>
        </is>
      </c>
      <c r="N600" s="677" t="n"/>
      <c r="O600" s="678" t="n"/>
      <c r="P600" s="678" t="n"/>
      <c r="Q600" s="672" t="inlineStr">
        <is>
          <t>NOUVEAU BESOIN</t>
        </is>
      </c>
      <c r="R600" s="679" t="n"/>
      <c r="S600" s="680" t="n"/>
      <c r="T600" s="681" t="inlineStr">
        <is>
          <t>HOST BROADCAST SERVICES-HBS</t>
        </is>
      </c>
      <c r="U600" s="672" t="n"/>
      <c r="V600" s="680" t="n"/>
      <c r="W600" s="680" t="n"/>
      <c r="X600" s="680" t="n"/>
      <c r="Y600" s="677" t="n">
        <v>2776080</v>
      </c>
      <c r="Z600" s="678" t="n">
        <v>300000</v>
      </c>
      <c r="AA600" s="678" t="n">
        <v>2776080</v>
      </c>
      <c r="AB600" s="678" t="n">
        <v>300000</v>
      </c>
      <c r="AC600" s="678" t="n">
        <v>2776080</v>
      </c>
      <c r="AD600" s="678" t="n">
        <v>2776080</v>
      </c>
      <c r="AE600" s="682" t="inlineStr">
        <is>
          <t>ENGAGE</t>
        </is>
      </c>
      <c r="AF600" s="681" t="n"/>
      <c r="AG600" s="678" t="n"/>
      <c r="AH600" s="678" t="n"/>
      <c r="AI600" s="678" t="n"/>
      <c r="AJ600" s="678" t="n"/>
      <c r="AK600" s="683" t="n"/>
      <c r="AL600" s="683" t="n"/>
      <c r="AM600" s="681" t="n"/>
    </row>
    <row r="601" ht="54.6" customHeight="1" s="392">
      <c r="A601" s="672" t="n">
        <v>2026</v>
      </c>
      <c r="B601" s="673" t="inlineStr">
        <is>
          <t>TDF -SITES</t>
        </is>
      </c>
      <c r="C601" s="673" t="inlineStr">
        <is>
          <t>ancien 43AOM/SNRT</t>
        </is>
      </c>
      <c r="D601" s="672" t="inlineStr">
        <is>
          <t>AOO-M</t>
        </is>
      </c>
      <c r="E601" s="672" t="n">
        <v>1</v>
      </c>
      <c r="F601" s="674" t="inlineStr">
        <is>
          <t>Elaboration des études techniques et suivi des travaux d'aménagement de l'ancien site de diffusion TV/FM de la SNRT à Jbel Hammat Moulay Hachem (P.Midelt)</t>
        </is>
      </c>
      <c r="G601" s="675" t="inlineStr">
        <is>
          <t>EN SIGNATURE</t>
        </is>
      </c>
      <c r="H601" s="672" t="inlineStr">
        <is>
          <t>EN SIGNATURE</t>
        </is>
      </c>
      <c r="I601" s="691" t="n"/>
      <c r="J601" s="675" t="inlineStr">
        <is>
          <t>GENERAL</t>
        </is>
      </c>
      <c r="K601" s="672" t="inlineStr">
        <is>
          <t>Ordinaire</t>
        </is>
      </c>
      <c r="L601" s="676" t="inlineStr">
        <is>
          <t>INVESTISSEMENT</t>
        </is>
      </c>
      <c r="M601" s="676" t="inlineStr">
        <is>
          <t>Frais d'acquisition des immobilisations</t>
        </is>
      </c>
      <c r="N601" s="677">
        <f>O601*1.2</f>
        <v/>
      </c>
      <c r="O601" s="678" t="n">
        <v>72000</v>
      </c>
      <c r="P601" s="678" t="n">
        <v>60000</v>
      </c>
      <c r="Q601" s="672" t="inlineStr">
        <is>
          <t>NOUVEAU BESOIN</t>
        </is>
      </c>
      <c r="R601" s="679" t="n"/>
      <c r="S601" s="680" t="n"/>
      <c r="T601" s="681" t="n"/>
      <c r="U601" s="672" t="n"/>
      <c r="V601" s="680" t="n">
        <v>46198</v>
      </c>
      <c r="W601" s="680" t="n"/>
      <c r="X601" s="680" t="n"/>
      <c r="Y601" s="677" t="n"/>
      <c r="Z601" s="678" t="n"/>
      <c r="AA601" s="678" t="n"/>
      <c r="AB601" s="678" t="n"/>
      <c r="AC601" s="678" t="n"/>
      <c r="AD601" s="678" t="n"/>
      <c r="AE601" s="682" t="inlineStr">
        <is>
          <t>EN COURS DE PREENGAGEMENT</t>
        </is>
      </c>
      <c r="AF601" s="681" t="n"/>
      <c r="AG601" s="678" t="n"/>
      <c r="AH601" s="678" t="n"/>
      <c r="AI601" s="678" t="n"/>
      <c r="AJ601" s="678" t="n"/>
      <c r="AK601" s="683" t="n"/>
      <c r="AL601" s="683" t="n"/>
      <c r="AM601" s="681" t="n"/>
    </row>
    <row r="602" ht="54.6" customHeight="1" s="392">
      <c r="A602" s="672" t="n">
        <v>2026</v>
      </c>
      <c r="B602" s="673" t="inlineStr">
        <is>
          <t>TDF -SITES</t>
        </is>
      </c>
      <c r="C602" s="673" t="inlineStr">
        <is>
          <t>ancien 43AOM/SNRT</t>
        </is>
      </c>
      <c r="D602" s="672" t="inlineStr">
        <is>
          <t>AOO-M</t>
        </is>
      </c>
      <c r="E602" s="672" t="n">
        <v>2</v>
      </c>
      <c r="F602" s="674" t="inlineStr">
        <is>
          <t>Elaboration des études techniques et suivi des travaux de construction du site de diffusion TV/FM de la SNRT à Msissi(P.Tinghir)</t>
        </is>
      </c>
      <c r="G602" s="675" t="inlineStr">
        <is>
          <t>EN SIGNATURE</t>
        </is>
      </c>
      <c r="H602" s="672" t="inlineStr">
        <is>
          <t>EN SIGNATURE</t>
        </is>
      </c>
      <c r="I602" s="691" t="n"/>
      <c r="J602" s="675" t="inlineStr">
        <is>
          <t>GENERAL</t>
        </is>
      </c>
      <c r="K602" s="672" t="inlineStr">
        <is>
          <t>Ordinaire</t>
        </is>
      </c>
      <c r="L602" s="676" t="inlineStr">
        <is>
          <t>INVESTISSEMENT</t>
        </is>
      </c>
      <c r="M602" s="676" t="inlineStr">
        <is>
          <t>Frais d'acquisition des immobilisations</t>
        </is>
      </c>
      <c r="N602" s="677" t="n">
        <v>86400</v>
      </c>
      <c r="O602" s="678" t="n">
        <v>72000</v>
      </c>
      <c r="P602" s="678" t="n">
        <v>60000</v>
      </c>
      <c r="Q602" s="672" t="inlineStr">
        <is>
          <t>NOUVEAU BESOIN</t>
        </is>
      </c>
      <c r="R602" s="679" t="n"/>
      <c r="S602" s="680" t="n"/>
      <c r="T602" s="681" t="n"/>
      <c r="U602" s="672" t="n"/>
      <c r="V602" s="680" t="n">
        <v>46198</v>
      </c>
      <c r="W602" s="680" t="n"/>
      <c r="X602" s="680" t="n"/>
      <c r="Y602" s="677" t="n"/>
      <c r="Z602" s="678" t="n"/>
      <c r="AA602" s="678" t="n"/>
      <c r="AB602" s="678" t="n"/>
      <c r="AC602" s="678" t="n"/>
      <c r="AD602" s="678" t="n"/>
      <c r="AE602" s="682" t="inlineStr">
        <is>
          <t>EN COURS DE PREENGAGEMENT</t>
        </is>
      </c>
      <c r="AF602" s="681" t="n"/>
      <c r="AG602" s="678" t="n"/>
      <c r="AH602" s="678" t="n"/>
      <c r="AI602" s="678" t="n"/>
      <c r="AJ602" s="678" t="n"/>
      <c r="AK602" s="683" t="n"/>
      <c r="AL602" s="683" t="n"/>
      <c r="AM602" s="681" t="n"/>
    </row>
    <row r="603" ht="103.2" customHeight="1" s="392">
      <c r="A603" s="672" t="n">
        <v>2026</v>
      </c>
      <c r="B603" s="673" t="inlineStr">
        <is>
          <t>TDF -SITES</t>
        </is>
      </c>
      <c r="C603" s="673" t="inlineStr">
        <is>
          <t>56AOM/SNRT</t>
        </is>
      </c>
      <c r="D603" s="672" t="inlineStr">
        <is>
          <t>AOO-M</t>
        </is>
      </c>
      <c r="E603" s="672" t="n">
        <v>1</v>
      </c>
      <c r="F603" s="674" t="inlineStr">
        <is>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is>
      </c>
      <c r="G603" s="675" t="inlineStr">
        <is>
          <t>VALIDE</t>
        </is>
      </c>
      <c r="H603" s="672" t="inlineStr">
        <is>
          <t>PHASE AOO</t>
        </is>
      </c>
      <c r="I603" s="691" t="n"/>
      <c r="J603" s="675" t="inlineStr">
        <is>
          <t>PME</t>
        </is>
      </c>
      <c r="K603" s="672" t="inlineStr">
        <is>
          <t>Ordinaire</t>
        </is>
      </c>
      <c r="L603" s="676" t="inlineStr">
        <is>
          <t>INVESTISSEMENT</t>
        </is>
      </c>
      <c r="M603" s="676" t="inlineStr">
        <is>
          <t>Equipements de télédiffusion</t>
        </is>
      </c>
      <c r="N603" s="677" t="n">
        <v>2057660.17</v>
      </c>
      <c r="O603" s="678" t="n">
        <v>1714716.81</v>
      </c>
      <c r="P603" s="678">
        <f>O603/1.2</f>
        <v/>
      </c>
      <c r="Q603" s="672" t="inlineStr">
        <is>
          <t>NOUVEAU BESOIN</t>
        </is>
      </c>
      <c r="R603" s="679" t="n"/>
      <c r="S603" s="680" t="n"/>
      <c r="T603" s="681" t="n"/>
      <c r="U603" s="672" t="n"/>
      <c r="V603" s="680" t="n"/>
      <c r="W603" s="680" t="n"/>
      <c r="X603" s="680" t="n"/>
      <c r="Y603" s="677" t="n"/>
      <c r="Z603" s="678" t="n"/>
      <c r="AA603" s="678" t="n"/>
      <c r="AB603" s="678" t="n"/>
      <c r="AC603" s="678" t="n"/>
      <c r="AD603" s="678" t="n"/>
      <c r="AE603" s="682" t="inlineStr">
        <is>
          <t>PREENGAGE</t>
        </is>
      </c>
      <c r="AF603" s="681" t="n"/>
      <c r="AG603" s="678" t="n"/>
      <c r="AH603" s="678" t="n"/>
      <c r="AI603" s="678" t="n"/>
      <c r="AJ603" s="678" t="n"/>
      <c r="AK603" s="683" t="n"/>
      <c r="AL603" s="683" t="n"/>
      <c r="AM603" s="681" t="n"/>
    </row>
    <row r="604" ht="54.6" customHeight="1" s="392">
      <c r="A604" s="672" t="n">
        <v>2026</v>
      </c>
      <c r="B604" s="673" t="inlineStr">
        <is>
          <t>TDF-EXP&amp;MAIN</t>
        </is>
      </c>
      <c r="C604" s="673" t="inlineStr">
        <is>
          <t>55AOM/SNRT</t>
        </is>
      </c>
      <c r="D604" s="672" t="inlineStr">
        <is>
          <t>AOO-M</t>
        </is>
      </c>
      <c r="E604" s="672" t="n">
        <v>1</v>
      </c>
      <c r="F604" s="674" t="inlineStr">
        <is>
          <t>Entretien et maintenance des équipement électriques, électroniques des climatiseurs aux centres de diffusion y compris la fourniture des pièces de rechange</t>
        </is>
      </c>
      <c r="G604" s="675" t="inlineStr">
        <is>
          <t>VALIDE</t>
        </is>
      </c>
      <c r="H604" s="672" t="inlineStr">
        <is>
          <t>PHASE AOO</t>
        </is>
      </c>
      <c r="I604" s="691" t="n"/>
      <c r="J604" s="675" t="inlineStr">
        <is>
          <t>PME</t>
        </is>
      </c>
      <c r="K604" s="672" t="inlineStr">
        <is>
          <t>Ordinaire</t>
        </is>
      </c>
      <c r="L604" s="676" t="inlineStr">
        <is>
          <t>FONCTIONNEMENT</t>
        </is>
      </c>
      <c r="M604" s="676" t="inlineStr">
        <is>
          <t>Entretien, réparation et assurance</t>
        </is>
      </c>
      <c r="N604" s="677">
        <f>O604*1.2</f>
        <v/>
      </c>
      <c r="O604" s="678" t="n">
        <v>3600000</v>
      </c>
      <c r="P604" s="678">
        <f>O604/1.2</f>
        <v/>
      </c>
      <c r="Q604" s="672" t="inlineStr">
        <is>
          <t>BESOIN RECURRENT</t>
        </is>
      </c>
      <c r="R604" s="679" t="n"/>
      <c r="S604" s="680" t="n"/>
      <c r="T604" s="681" t="n"/>
      <c r="U604" s="672" t="n"/>
      <c r="V604" s="680" t="n"/>
      <c r="W604" s="680" t="n"/>
      <c r="X604" s="680" t="n"/>
      <c r="Y604" s="677" t="n"/>
      <c r="Z604" s="678" t="n"/>
      <c r="AA604" s="678" t="n"/>
      <c r="AB604" s="678" t="n"/>
      <c r="AC604" s="678" t="n"/>
      <c r="AD604" s="678" t="n"/>
      <c r="AE604" s="682" t="inlineStr">
        <is>
          <t>PREENGAGE</t>
        </is>
      </c>
      <c r="AF604" s="681" t="n"/>
      <c r="AG604" s="678" t="n"/>
      <c r="AH604" s="678" t="n"/>
      <c r="AI604" s="678" t="n"/>
      <c r="AJ604" s="678" t="n"/>
      <c r="AK604" s="683" t="n"/>
      <c r="AL604" s="683" t="n"/>
      <c r="AM604" s="681" t="n"/>
    </row>
    <row r="605" ht="50.55" customHeight="1" s="392">
      <c r="A605" s="672" t="n">
        <v>2026</v>
      </c>
      <c r="B605" s="673" t="inlineStr">
        <is>
          <t>TDF-EXP&amp;MAIN</t>
        </is>
      </c>
      <c r="C605" s="673" t="inlineStr">
        <is>
          <t>DPN26000059DV</t>
        </is>
      </c>
      <c r="D605" s="672" t="inlineStr">
        <is>
          <t>BCL</t>
        </is>
      </c>
      <c r="E605" s="672" t="n">
        <v>1</v>
      </c>
      <c r="F605" s="674" t="inlineStr">
        <is>
          <t>Désherbage elagage deracinage des arbres de centre de télédiffusion TV/FM Cap spartel</t>
        </is>
      </c>
      <c r="G605" s="675" t="inlineStr">
        <is>
          <t>VALIDE</t>
        </is>
      </c>
      <c r="H605" s="672" t="inlineStr">
        <is>
          <t>APPROUVE</t>
        </is>
      </c>
      <c r="I605" s="672" t="inlineStr">
        <is>
          <t>26000048 CL</t>
        </is>
      </c>
      <c r="J605" s="675" t="inlineStr">
        <is>
          <t>NON CONCERNE</t>
        </is>
      </c>
      <c r="K605" s="672" t="inlineStr">
        <is>
          <t>Ordinaire</t>
        </is>
      </c>
      <c r="L605" s="676" t="inlineStr">
        <is>
          <t>FONCTIONNEMENT</t>
        </is>
      </c>
      <c r="M605" s="676" t="inlineStr">
        <is>
          <t>Prestation de services
Achat prestations de services locales - sociétés</t>
        </is>
      </c>
      <c r="N605" s="677" t="n"/>
      <c r="O605" s="678" t="n"/>
      <c r="P605" s="678" t="n"/>
      <c r="Q605" s="672" t="inlineStr">
        <is>
          <t>NOUVEAU BESOIN</t>
        </is>
      </c>
      <c r="R605" s="679" t="n"/>
      <c r="S605" s="680" t="n"/>
      <c r="T605" s="681" t="inlineStr">
        <is>
          <t>EXCELIACOM CONTRACTORS</t>
        </is>
      </c>
      <c r="U605" s="672" t="n">
        <v>2026</v>
      </c>
      <c r="V605" s="680" t="n">
        <v>46203</v>
      </c>
      <c r="W605" s="680" t="n">
        <v>46203</v>
      </c>
      <c r="X605" s="680" t="n"/>
      <c r="Y605" s="677" t="n">
        <v>21600</v>
      </c>
      <c r="Z605" s="678" t="n">
        <v>0</v>
      </c>
      <c r="AA605" s="678">
        <f>Y605*1.2</f>
        <v/>
      </c>
      <c r="AB605" s="678" t="n">
        <v>0</v>
      </c>
      <c r="AC605" s="678" t="n">
        <v>21600</v>
      </c>
      <c r="AD605" s="678">
        <f>AC605*1.2</f>
        <v/>
      </c>
      <c r="AE605" s="682" t="inlineStr">
        <is>
          <t>ENGAGE</t>
        </is>
      </c>
      <c r="AF605" s="681" t="n"/>
      <c r="AG605" s="678" t="n"/>
      <c r="AH605" s="678" t="n"/>
      <c r="AI605" s="678" t="n"/>
      <c r="AJ605" s="678" t="n"/>
      <c r="AK605" s="683" t="n"/>
      <c r="AL605" s="683" t="n"/>
      <c r="AM605" s="681" t="n"/>
    </row>
    <row r="606" ht="38.40000000000001" customHeight="1" s="392">
      <c r="A606" s="672" t="n">
        <v>2026</v>
      </c>
      <c r="B606" s="673" t="inlineStr">
        <is>
          <t>DCPA</t>
        </is>
      </c>
      <c r="C606" s="673" t="inlineStr">
        <is>
          <t>DPN 26000052DV</t>
        </is>
      </c>
      <c r="D606" s="672" t="inlineStr">
        <is>
          <t>BCL</t>
        </is>
      </c>
      <c r="E606" s="672" t="n">
        <v>1</v>
      </c>
      <c r="F606" s="674" t="inlineStr">
        <is>
          <t>Entretien et réparation de mobilier pour l'emission "CHABAB FI AL WAJIHA" au studio Ain Chok à Casablanca</t>
        </is>
      </c>
      <c r="G606" s="675" t="inlineStr">
        <is>
          <t>VALIDE</t>
        </is>
      </c>
      <c r="H606" s="672" t="inlineStr">
        <is>
          <t>EN SIGNATURE</t>
        </is>
      </c>
      <c r="I606" s="672" t="inlineStr">
        <is>
          <t>26000051 CL</t>
        </is>
      </c>
      <c r="J606" s="675" t="inlineStr">
        <is>
          <t>NON CONCERNE</t>
        </is>
      </c>
      <c r="K606" s="672" t="inlineStr">
        <is>
          <t>Ordinaire</t>
        </is>
      </c>
      <c r="L606" s="676" t="inlineStr">
        <is>
          <t>FONCTIONNEMENT</t>
        </is>
      </c>
      <c r="M606" s="676" t="inlineStr">
        <is>
          <t xml:space="preserve">Achats non stockés de matières et fournitures </t>
        </is>
      </c>
      <c r="N606" s="677" t="n"/>
      <c r="O606" s="678" t="n"/>
      <c r="P606" s="678" t="n"/>
      <c r="Q606" s="672" t="inlineStr">
        <is>
          <t>NOUVEAU BESOIN</t>
        </is>
      </c>
      <c r="R606" s="679" t="n"/>
      <c r="S606" s="680" t="n"/>
      <c r="T606" s="681" t="inlineStr">
        <is>
          <t>BEST PRODUCTION</t>
        </is>
      </c>
      <c r="U606" s="672" t="n">
        <v>2026</v>
      </c>
      <c r="V606" s="680" t="n">
        <v>46203</v>
      </c>
      <c r="W606" s="680" t="n"/>
      <c r="X606" s="680" t="n"/>
      <c r="Y606" s="677" t="n">
        <v>29000</v>
      </c>
      <c r="Z606" s="678" t="n">
        <v>0</v>
      </c>
      <c r="AA606" s="678">
        <f>+Y606*1.2</f>
        <v/>
      </c>
      <c r="AB606" s="678" t="n"/>
      <c r="AC606" s="678" t="n">
        <v>29000</v>
      </c>
      <c r="AD606" s="678">
        <f>AC606*1.2</f>
        <v/>
      </c>
      <c r="AE606" s="682" t="inlineStr">
        <is>
          <t>ENGAGE</t>
        </is>
      </c>
      <c r="AF606" s="681" t="n"/>
      <c r="AG606" s="678" t="n"/>
      <c r="AH606" s="678" t="n"/>
      <c r="AI606" s="678" t="n"/>
      <c r="AJ606" s="678" t="n"/>
      <c r="AK606" s="683" t="n"/>
      <c r="AL606" s="683" t="n"/>
      <c r="AM606" s="681" t="n"/>
    </row>
    <row r="607" ht="35.7" customHeight="1" s="392">
      <c r="A607" s="672" t="n">
        <v>2026</v>
      </c>
      <c r="B607" s="673" t="inlineStr">
        <is>
          <t>TV LAAYOUNE</t>
        </is>
      </c>
      <c r="C607" s="673" t="inlineStr">
        <is>
          <t>24AOM/SNRT/2026</t>
        </is>
      </c>
      <c r="D607" s="672" t="inlineStr">
        <is>
          <t>AOO-M</t>
        </is>
      </c>
      <c r="E607" s="672" t="n">
        <v>1</v>
      </c>
      <c r="F607" s="674" t="inlineStr">
        <is>
          <t>Achat de maquillage des animateurs pour TV LAAYOUNE.</t>
        </is>
      </c>
      <c r="G607" s="675" t="inlineStr">
        <is>
          <t>VALIDE</t>
        </is>
      </c>
      <c r="H607" s="672" t="inlineStr">
        <is>
          <t>PHASE AOO</t>
        </is>
      </c>
      <c r="I607" s="691" t="n"/>
      <c r="J607" s="675" t="inlineStr">
        <is>
          <t>GENERAL</t>
        </is>
      </c>
      <c r="K607" s="672" t="inlineStr">
        <is>
          <t>Ordinaire</t>
        </is>
      </c>
      <c r="L607" s="676" t="inlineStr">
        <is>
          <t>FONCTIONNEMENT</t>
        </is>
      </c>
      <c r="M607" s="676" t="inlineStr">
        <is>
          <t xml:space="preserve">Achats non stockés de matières et fournitures </t>
        </is>
      </c>
      <c r="N607" s="677" t="n">
        <v>102000</v>
      </c>
      <c r="O607" s="678" t="n">
        <v>85000</v>
      </c>
      <c r="P607" s="678">
        <f>O607/1.2</f>
        <v/>
      </c>
      <c r="Q607" s="672" t="inlineStr">
        <is>
          <t>NOUVEAU BESOIN</t>
        </is>
      </c>
      <c r="R607" s="679" t="n"/>
      <c r="S607" s="680" t="n"/>
      <c r="T607" s="681" t="n"/>
      <c r="U607" s="672" t="n"/>
      <c r="V607" s="680" t="n"/>
      <c r="W607" s="680" t="n"/>
      <c r="X607" s="680" t="n"/>
      <c r="Y607" s="677" t="n"/>
      <c r="Z607" s="678" t="n"/>
      <c r="AA607" s="678" t="n"/>
      <c r="AB607" s="678" t="n"/>
      <c r="AC607" s="678" t="n"/>
      <c r="AD607" s="678" t="n"/>
      <c r="AE607" s="682" t="inlineStr">
        <is>
          <t>PREENGAGE</t>
        </is>
      </c>
      <c r="AF607" s="681" t="n"/>
      <c r="AG607" s="678" t="n"/>
      <c r="AH607" s="678" t="n"/>
      <c r="AI607" s="678" t="n"/>
      <c r="AJ607" s="678" t="n"/>
      <c r="AK607" s="683" t="n"/>
      <c r="AL607" s="683" t="n"/>
      <c r="AM607" s="681" t="n"/>
    </row>
    <row r="608" ht="70.80000000000001" customHeight="1" s="392">
      <c r="A608" s="672" t="n">
        <v>2026</v>
      </c>
      <c r="B608" s="673" t="inlineStr">
        <is>
          <t>DTSI</t>
        </is>
      </c>
      <c r="C608" s="673" t="inlineStr">
        <is>
          <t>57AOM/SNRT/2026</t>
        </is>
      </c>
      <c r="D608" s="672" t="inlineStr">
        <is>
          <t>AOO-M</t>
        </is>
      </c>
      <c r="E608" s="672" t="n">
        <v>1</v>
      </c>
      <c r="F608" s="674" t="inlineStr">
        <is>
          <t>La fourniture et la mise en service de serveurs pour renouvellement de serveurs d’enregistrement et de replay pour les besoins de la production TV des manifestations sportives</t>
        </is>
      </c>
      <c r="G608" s="675" t="inlineStr">
        <is>
          <t>VALIDE</t>
        </is>
      </c>
      <c r="H608" s="672" t="inlineStr">
        <is>
          <t>ATTRIBUE</t>
        </is>
      </c>
      <c r="I608" s="691" t="n"/>
      <c r="J608" s="675" t="inlineStr">
        <is>
          <t>GENERAL</t>
        </is>
      </c>
      <c r="K608" s="672" t="inlineStr">
        <is>
          <t>REPORT BUDGET EXCEP  ANNEE ANTERIEURE</t>
        </is>
      </c>
      <c r="L608" s="676" t="inlineStr">
        <is>
          <t>INVESTISSEMENT</t>
        </is>
      </c>
      <c r="M608" s="676" t="inlineStr">
        <is>
          <t>Équipements techniques</t>
        </is>
      </c>
      <c r="N608" s="677">
        <f>O608*1.2</f>
        <v/>
      </c>
      <c r="O608" s="678" t="n">
        <v>9154152</v>
      </c>
      <c r="P608" s="678">
        <f>O608/1.2</f>
        <v/>
      </c>
      <c r="Q608" s="672" t="inlineStr">
        <is>
          <t>NOUVEAU BESOIN</t>
        </is>
      </c>
      <c r="R608" s="679" t="n"/>
      <c r="S608" s="680" t="n"/>
      <c r="T608" s="681" t="inlineStr">
        <is>
          <t>Lts network et Lts France</t>
        </is>
      </c>
      <c r="U608" s="672" t="n"/>
      <c r="V608" s="680" t="n">
        <v>46206</v>
      </c>
      <c r="W608" s="680" t="n"/>
      <c r="X608" s="680" t="n"/>
      <c r="Y608" s="677" t="n"/>
      <c r="Z608" s="678" t="n"/>
      <c r="AA608" s="678" t="n"/>
      <c r="AB608" s="678" t="n"/>
      <c r="AC608" s="678" t="n"/>
      <c r="AD608" s="678" t="n">
        <v>10979856.08</v>
      </c>
      <c r="AE608" s="682" t="inlineStr">
        <is>
          <t>PREENGAGE</t>
        </is>
      </c>
      <c r="AF608" s="681" t="n"/>
      <c r="AG608" s="678" t="n"/>
      <c r="AH608" s="678" t="n"/>
      <c r="AI608" s="678" t="n"/>
      <c r="AJ608" s="678" t="n"/>
      <c r="AK608" s="683" t="n"/>
      <c r="AL608" s="683" t="n"/>
      <c r="AM608" s="681" t="n"/>
    </row>
    <row r="609" ht="38.40000000000001" customHeight="1" s="392">
      <c r="A609" s="672" t="n">
        <v>2026</v>
      </c>
      <c r="B609" s="673" t="inlineStr">
        <is>
          <t>DCPA</t>
        </is>
      </c>
      <c r="C609" s="697" t="n"/>
      <c r="D609" s="672" t="inlineStr">
        <is>
          <t>CA</t>
        </is>
      </c>
      <c r="E609" s="672" t="n">
        <v>1</v>
      </c>
      <c r="F609" s="674" t="inlineStr">
        <is>
          <t>ALI ER-RBAHY-Supervision technique et administratif et coordination</t>
        </is>
      </c>
      <c r="G609" s="675" t="inlineStr">
        <is>
          <t>VALIDE</t>
        </is>
      </c>
      <c r="H609" s="672" t="inlineStr">
        <is>
          <t>APPROUVE</t>
        </is>
      </c>
      <c r="I609" s="691" t="n"/>
      <c r="J609" s="675" t="inlineStr">
        <is>
          <t>NON CONCERNE</t>
        </is>
      </c>
      <c r="K609" s="672" t="inlineStr">
        <is>
          <t>Ordinaire</t>
        </is>
      </c>
      <c r="L609" s="676" t="inlineStr">
        <is>
          <t>FONCTIONNEMENT</t>
        </is>
      </c>
      <c r="M609" s="676" t="inlineStr">
        <is>
          <t>Achats de productions et de programmes</t>
        </is>
      </c>
      <c r="N609" s="677" t="n"/>
      <c r="O609" s="678" t="n"/>
      <c r="P609" s="678" t="n"/>
      <c r="Q609" s="672" t="inlineStr">
        <is>
          <t>NOUVEAU BESOIN</t>
        </is>
      </c>
      <c r="R609" s="679" t="n"/>
      <c r="S609" s="680" t="n"/>
      <c r="T609" s="681" t="inlineStr">
        <is>
          <t>ALI ER-RBAHY</t>
        </is>
      </c>
      <c r="U609" s="672" t="n">
        <v>2026</v>
      </c>
      <c r="V609" s="680" t="n"/>
      <c r="W609" s="680" t="n"/>
      <c r="X609" s="680" t="n">
        <v>46217</v>
      </c>
      <c r="Y609" s="677" t="n">
        <v>48780</v>
      </c>
      <c r="Z609" s="678" t="n"/>
      <c r="AA609" s="678" t="n">
        <v>48780</v>
      </c>
      <c r="AB609" s="678" t="n"/>
      <c r="AC609" s="678" t="n"/>
      <c r="AD609" s="678" t="n">
        <v>48780</v>
      </c>
      <c r="AE609" s="682" t="inlineStr">
        <is>
          <t>ENGAGE</t>
        </is>
      </c>
      <c r="AF609" s="681" t="n"/>
      <c r="AG609" s="678" t="n"/>
      <c r="AH609" s="678" t="n"/>
      <c r="AI609" s="678" t="n"/>
      <c r="AJ609" s="678" t="n"/>
      <c r="AK609" s="683" t="n"/>
      <c r="AL609" s="683" t="n"/>
      <c r="AM609" s="681" t="n"/>
    </row>
    <row r="610" ht="38.40000000000001" customHeight="1" s="392">
      <c r="A610" s="672" t="n">
        <v>2026</v>
      </c>
      <c r="B610" s="673" t="inlineStr">
        <is>
          <t>DCPA</t>
        </is>
      </c>
      <c r="C610" s="697" t="n"/>
      <c r="D610" s="672" t="inlineStr">
        <is>
          <t>CA</t>
        </is>
      </c>
      <c r="E610" s="672" t="n">
        <v>1</v>
      </c>
      <c r="F610" s="674" t="inlineStr">
        <is>
          <t>ABDESLAM KHALOUFI-Supervision technique et administratif et coordination</t>
        </is>
      </c>
      <c r="G610" s="675" t="inlineStr">
        <is>
          <t>EN SIGNATURE</t>
        </is>
      </c>
      <c r="H610" s="672" t="inlineStr">
        <is>
          <t>EN SIGNATURE</t>
        </is>
      </c>
      <c r="I610" s="691" t="n"/>
      <c r="J610" s="675" t="inlineStr">
        <is>
          <t>NON CONCERNE</t>
        </is>
      </c>
      <c r="K610" s="672" t="inlineStr">
        <is>
          <t>Ordinaire</t>
        </is>
      </c>
      <c r="L610" s="676" t="inlineStr">
        <is>
          <t>FONCTIONNEMENT</t>
        </is>
      </c>
      <c r="M610" s="676" t="inlineStr">
        <is>
          <t>Achats de productions et de programmes</t>
        </is>
      </c>
      <c r="N610" s="677" t="n"/>
      <c r="O610" s="678" t="n"/>
      <c r="P610" s="678" t="n"/>
      <c r="Q610" s="672" t="inlineStr">
        <is>
          <t>NOUVEAU BESOIN</t>
        </is>
      </c>
      <c r="R610" s="679" t="n"/>
      <c r="S610" s="680" t="n"/>
      <c r="T610" s="681" t="inlineStr">
        <is>
          <t>ABDESLAM KHALOUFI</t>
        </is>
      </c>
      <c r="U610" s="672" t="n">
        <v>2026</v>
      </c>
      <c r="V610" s="680" t="n"/>
      <c r="W610" s="680" t="n"/>
      <c r="X610" s="680" t="n"/>
      <c r="Y610" s="677" t="n">
        <v>48780</v>
      </c>
      <c r="Z610" s="678" t="n"/>
      <c r="AA610" s="678" t="n">
        <v>48780</v>
      </c>
      <c r="AB610" s="678" t="n"/>
      <c r="AC610" s="678" t="n"/>
      <c r="AD610" s="678" t="n">
        <v>48780</v>
      </c>
      <c r="AE610" s="682" t="inlineStr">
        <is>
          <t>EN COURS D'ENGAGEMENT</t>
        </is>
      </c>
      <c r="AF610" s="681" t="n"/>
      <c r="AG610" s="678" t="n"/>
      <c r="AH610" s="678" t="n"/>
      <c r="AI610" s="678" t="n"/>
      <c r="AJ610" s="678" t="n"/>
      <c r="AK610" s="683" t="n"/>
      <c r="AL610" s="683" t="n"/>
      <c r="AM610" s="681" t="n"/>
    </row>
    <row r="611" ht="38.40000000000001" customHeight="1" s="392">
      <c r="A611" s="672" t="n">
        <v>2026</v>
      </c>
      <c r="B611" s="673" t="inlineStr">
        <is>
          <t>DCPA</t>
        </is>
      </c>
      <c r="C611" s="697" t="n"/>
      <c r="D611" s="672" t="inlineStr">
        <is>
          <t>CA</t>
        </is>
      </c>
      <c r="E611" s="672" t="n">
        <v>1</v>
      </c>
      <c r="F611" s="674" t="inlineStr">
        <is>
          <t>NADIA EL MECHRAFI-Le droit d'enregistrement de diffusion et d'exploitation de 10 séances de musique gharnati</t>
        </is>
      </c>
      <c r="G611" s="675" t="inlineStr">
        <is>
          <t>VALIDE</t>
        </is>
      </c>
      <c r="H611" s="672" t="inlineStr">
        <is>
          <t>APPROUVE</t>
        </is>
      </c>
      <c r="I611" s="691" t="n"/>
      <c r="J611" s="675" t="inlineStr">
        <is>
          <t>NON CONCERNE</t>
        </is>
      </c>
      <c r="K611" s="672" t="inlineStr">
        <is>
          <t>Ordinaire</t>
        </is>
      </c>
      <c r="L611" s="676" t="inlineStr">
        <is>
          <t>FONCTIONNEMENT</t>
        </is>
      </c>
      <c r="M611" s="676" t="inlineStr">
        <is>
          <t>Achats de productions et de programmes</t>
        </is>
      </c>
      <c r="N611" s="677" t="n"/>
      <c r="O611" s="678" t="n"/>
      <c r="P611" s="678" t="n"/>
      <c r="Q611" s="672" t="inlineStr">
        <is>
          <t>NOUVEAU BESOIN</t>
        </is>
      </c>
      <c r="R611" s="679" t="n"/>
      <c r="S611" s="680" t="n"/>
      <c r="T611" s="681" t="inlineStr">
        <is>
          <t>NADIA EL MECHRAFI</t>
        </is>
      </c>
      <c r="U611" s="672" t="n">
        <v>2026</v>
      </c>
      <c r="V611" s="680" t="n"/>
      <c r="W611" s="680" t="n"/>
      <c r="X611" s="680" t="n">
        <v>46217</v>
      </c>
      <c r="Y611" s="677" t="inlineStr">
        <is>
          <t>317 073,17</t>
        </is>
      </c>
      <c r="Z611" s="678" t="n"/>
      <c r="AA611" s="678" t="inlineStr">
        <is>
          <t>317 073,17</t>
        </is>
      </c>
      <c r="AB611" s="678" t="n"/>
      <c r="AC611" s="678" t="n"/>
      <c r="AD611" s="678" t="inlineStr">
        <is>
          <t>317 073,17</t>
        </is>
      </c>
      <c r="AE611" s="682" t="inlineStr">
        <is>
          <t>ENGAGE</t>
        </is>
      </c>
      <c r="AF611" s="681" t="n"/>
      <c r="AG611" s="678" t="n"/>
      <c r="AH611" s="678" t="n"/>
      <c r="AI611" s="678" t="n"/>
      <c r="AJ611" s="678" t="n"/>
      <c r="AK611" s="683" t="n"/>
      <c r="AL611" s="683" t="n"/>
      <c r="AM611" s="681" t="n"/>
    </row>
    <row r="612" ht="54.6" customHeight="1" s="392">
      <c r="A612" s="672" t="n">
        <v>2026</v>
      </c>
      <c r="B612" s="673" t="inlineStr">
        <is>
          <t>DCPA</t>
        </is>
      </c>
      <c r="C612" s="697" t="n"/>
      <c r="D612" s="672" t="inlineStr">
        <is>
          <t>CA</t>
        </is>
      </c>
      <c r="E612" s="672" t="n">
        <v>1</v>
      </c>
      <c r="F612" s="674" t="inlineStr">
        <is>
          <t>ASSOCIATION AHMED PIRO DE MUSIQUE GHARNATI-Le droit d'enregistrement de diffusion et d'exploitation de 10 séances de musique gharnati</t>
        </is>
      </c>
      <c r="G612" s="675" t="inlineStr">
        <is>
          <t>VALIDE</t>
        </is>
      </c>
      <c r="H612" s="672" t="inlineStr">
        <is>
          <t>APPROUVE</t>
        </is>
      </c>
      <c r="I612" s="691" t="n"/>
      <c r="J612" s="675" t="inlineStr">
        <is>
          <t>NON CONCERNE</t>
        </is>
      </c>
      <c r="K612" s="672" t="inlineStr">
        <is>
          <t>Ordinaire</t>
        </is>
      </c>
      <c r="L612" s="676" t="inlineStr">
        <is>
          <t>FONCTIONNEMENT</t>
        </is>
      </c>
      <c r="M612" s="676" t="inlineStr">
        <is>
          <t>Achats de productions et de programmes</t>
        </is>
      </c>
      <c r="N612" s="677" t="n"/>
      <c r="O612" s="678" t="n"/>
      <c r="P612" s="678" t="n"/>
      <c r="Q612" s="672" t="inlineStr">
        <is>
          <t>NOUVEAU BESOIN</t>
        </is>
      </c>
      <c r="R612" s="679" t="n"/>
      <c r="S612" s="680" t="n"/>
      <c r="T612" s="681" t="inlineStr">
        <is>
          <t>ASSOCIATION AHMED PIRO DE MUSIQUE GHARNATI-</t>
        </is>
      </c>
      <c r="U612" s="672" t="n">
        <v>2026</v>
      </c>
      <c r="V612" s="680" t="n"/>
      <c r="W612" s="680" t="n"/>
      <c r="X612" s="680" t="n">
        <v>46217</v>
      </c>
      <c r="Y612" s="677" t="n">
        <v>260000</v>
      </c>
      <c r="Z612" s="678" t="n"/>
      <c r="AA612" s="678" t="n">
        <v>260000</v>
      </c>
      <c r="AB612" s="678" t="n"/>
      <c r="AC612" s="678" t="n"/>
      <c r="AD612" s="678" t="n">
        <v>260000</v>
      </c>
      <c r="AE612" s="682" t="inlineStr">
        <is>
          <t>ENGAGE</t>
        </is>
      </c>
      <c r="AF612" s="681" t="n"/>
      <c r="AG612" s="678" t="n"/>
      <c r="AH612" s="678" t="n"/>
      <c r="AI612" s="678" t="n"/>
      <c r="AJ612" s="678" t="n"/>
      <c r="AK612" s="683" t="n"/>
      <c r="AL612" s="683" t="n"/>
      <c r="AM612" s="681" t="n"/>
    </row>
    <row r="613" ht="50.55" customHeight="1" s="392">
      <c r="A613" s="672" t="n">
        <v>2026</v>
      </c>
      <c r="B613" s="673" t="inlineStr">
        <is>
          <t>DPMG</t>
        </is>
      </c>
      <c r="C613" s="673" t="inlineStr">
        <is>
          <t>PV N01RE2026-DPMG</t>
        </is>
      </c>
      <c r="D613" s="672" t="inlineStr">
        <is>
          <t>CA</t>
        </is>
      </c>
      <c r="E613" s="672" t="n">
        <v>1</v>
      </c>
      <c r="F613" s="674" t="inlineStr">
        <is>
          <t>YOUSSEF EL MANSOUR-Metreur en BTP</t>
        </is>
      </c>
      <c r="G613" s="675" t="inlineStr">
        <is>
          <t>EN SIGNATURE</t>
        </is>
      </c>
      <c r="H613" s="672" t="inlineStr">
        <is>
          <t>EN SIGNATURE</t>
        </is>
      </c>
      <c r="I613" s="691" t="n"/>
      <c r="J613" s="675" t="inlineStr">
        <is>
          <t>NON CONCERNE</t>
        </is>
      </c>
      <c r="K613" s="672" t="inlineStr">
        <is>
          <t>Ordinaire</t>
        </is>
      </c>
      <c r="L613" s="676" t="inlineStr">
        <is>
          <t>FONCTIONNEMENT</t>
        </is>
      </c>
      <c r="M613" s="676" t="inlineStr">
        <is>
          <t xml:space="preserve">Prestations de service
Achat prestations de services locales - personnes physiques </t>
        </is>
      </c>
      <c r="N613" s="677" t="n"/>
      <c r="O613" s="678" t="n"/>
      <c r="P613" s="678" t="n"/>
      <c r="Q613" s="672" t="inlineStr">
        <is>
          <t>NOUVEAU BESOIN</t>
        </is>
      </c>
      <c r="R613" s="679" t="n"/>
      <c r="S613" s="680" t="n"/>
      <c r="T613" s="681" t="inlineStr">
        <is>
          <t>YOUSSEF ELMANSOUR</t>
        </is>
      </c>
      <c r="U613" s="672" t="n">
        <v>2026</v>
      </c>
      <c r="V613" s="680" t="n"/>
      <c r="W613" s="680" t="n"/>
      <c r="X613" s="680" t="n"/>
      <c r="Y613" s="677" t="n">
        <v>42000</v>
      </c>
      <c r="Z613" s="678" t="n"/>
      <c r="AA613" s="678" t="n">
        <v>42000</v>
      </c>
      <c r="AB613" s="678" t="n"/>
      <c r="AC613" s="678" t="n"/>
      <c r="AD613" s="678" t="n">
        <v>42000</v>
      </c>
      <c r="AE613" s="682" t="inlineStr">
        <is>
          <t>EN COURS D'ENGAGEMENT</t>
        </is>
      </c>
      <c r="AF613" s="681" t="n"/>
      <c r="AG613" s="678" t="n"/>
      <c r="AH613" s="678" t="n"/>
      <c r="AI613" s="678" t="n"/>
      <c r="AJ613" s="678" t="n"/>
      <c r="AK613" s="683" t="n"/>
      <c r="AL613" s="683" t="n"/>
      <c r="AM613" s="681" t="inlineStr">
        <is>
          <t>PV EN COURS DE SIGNATURE</t>
        </is>
      </c>
    </row>
    <row r="614" ht="54.6" customHeight="1" s="392">
      <c r="A614" s="672" t="n">
        <v>2026</v>
      </c>
      <c r="B614" s="673" t="inlineStr">
        <is>
          <t>DTSI</t>
        </is>
      </c>
      <c r="C614" s="673" t="inlineStr">
        <is>
          <t>40AOM/SNRT/2026</t>
        </is>
      </c>
      <c r="D614" s="672" t="inlineStr">
        <is>
          <t>AOO-M</t>
        </is>
      </c>
      <c r="E614" s="672" t="n">
        <v>1</v>
      </c>
      <c r="F614" s="674" t="inlineStr">
        <is>
          <t>La fourniture et la mise en service de logiciels et de licences de solutions IT pour les besoins de la Société Nationale de Radiodiffusion et de Télévision</t>
        </is>
      </c>
      <c r="G614" s="675" t="inlineStr">
        <is>
          <t>VALIDE</t>
        </is>
      </c>
      <c r="H614" s="672" t="inlineStr">
        <is>
          <t>INFRUCTUEUX</t>
        </is>
      </c>
      <c r="I614" s="691" t="n"/>
      <c r="J614" s="675" t="inlineStr">
        <is>
          <t>GENERAL</t>
        </is>
      </c>
      <c r="K614" s="672" t="inlineStr">
        <is>
          <t>Ordinaire</t>
        </is>
      </c>
      <c r="L614" s="676" t="inlineStr">
        <is>
          <t>INVESTISSEMENT</t>
        </is>
      </c>
      <c r="M614" s="676" t="inlineStr">
        <is>
          <t>Matériel informatiques</t>
        </is>
      </c>
      <c r="N614" s="677">
        <f>O614*1.2</f>
        <v/>
      </c>
      <c r="O614" s="678" t="n">
        <v>988416</v>
      </c>
      <c r="P614" s="678">
        <f>O614/1.2</f>
        <v/>
      </c>
      <c r="Q614" s="672" t="inlineStr">
        <is>
          <t>NOUVEAU BESOIN</t>
        </is>
      </c>
      <c r="R614" s="679" t="n"/>
      <c r="S614" s="680" t="n"/>
      <c r="T614" s="681" t="n"/>
      <c r="U614" s="672" t="n"/>
      <c r="V614" s="680" t="n">
        <v>46209</v>
      </c>
      <c r="W614" s="680" t="n"/>
      <c r="X614" s="680" t="n"/>
      <c r="Y614" s="677" t="n"/>
      <c r="Z614" s="678" t="n"/>
      <c r="AA614" s="678" t="n"/>
      <c r="AB614" s="678" t="n"/>
      <c r="AC614" s="678" t="n"/>
      <c r="AD614" s="678" t="n"/>
      <c r="AE614" s="682" t="inlineStr">
        <is>
          <t>NON ENGAGE</t>
        </is>
      </c>
      <c r="AF614" s="681" t="n"/>
      <c r="AG614" s="678" t="n"/>
      <c r="AH614" s="678" t="n"/>
      <c r="AI614" s="678" t="n"/>
      <c r="AJ614" s="678" t="n"/>
      <c r="AK614" s="683" t="n"/>
      <c r="AL614" s="683" t="n"/>
      <c r="AM614" s="681" t="n"/>
    </row>
    <row r="615" ht="38.40000000000001" customHeight="1" s="392">
      <c r="A615" s="672" t="n">
        <v>2026</v>
      </c>
      <c r="B615" s="673" t="inlineStr">
        <is>
          <t>DJURIDIQUE</t>
        </is>
      </c>
      <c r="C615" s="673" t="inlineStr">
        <is>
          <t>26000057 CL</t>
        </is>
      </c>
      <c r="D615" s="672" t="inlineStr">
        <is>
          <t>BCL</t>
        </is>
      </c>
      <c r="E615" s="672" t="n">
        <v>1</v>
      </c>
      <c r="F615" s="674" t="inlineStr">
        <is>
          <t>Publications des comptes annuels de la SNRT 2025 au Bulletin Officiel</t>
        </is>
      </c>
      <c r="G615" s="675" t="inlineStr">
        <is>
          <t>EN SIGNATURE</t>
        </is>
      </c>
      <c r="H615" s="672" t="inlineStr">
        <is>
          <t>EN SIGNATURE</t>
        </is>
      </c>
      <c r="I615" s="672" t="inlineStr">
        <is>
          <t>26000057 CL</t>
        </is>
      </c>
      <c r="J615" s="675" t="inlineStr">
        <is>
          <t>NON CONCERNE</t>
        </is>
      </c>
      <c r="K615" s="672" t="inlineStr">
        <is>
          <t>Ordinaire</t>
        </is>
      </c>
      <c r="L615" s="676" t="inlineStr">
        <is>
          <t>FONCTIONNEMENT</t>
        </is>
      </c>
      <c r="M615" s="676" t="inlineStr">
        <is>
          <t>Redevances et cotisations</t>
        </is>
      </c>
      <c r="N615" s="677" t="n"/>
      <c r="O615" s="678" t="n"/>
      <c r="P615" s="678" t="n"/>
      <c r="Q615" s="672" t="inlineStr">
        <is>
          <t>BESOIN RECURRENT</t>
        </is>
      </c>
      <c r="R615" s="679" t="n"/>
      <c r="S615" s="680" t="n"/>
      <c r="T615" s="681" t="inlineStr">
        <is>
          <t>Directions de l'imprimerie officel</t>
        </is>
      </c>
      <c r="U615" s="672" t="n">
        <v>2026</v>
      </c>
      <c r="V615" s="680" t="n">
        <v>46212</v>
      </c>
      <c r="W615" s="680" t="n"/>
      <c r="X615" s="680" t="n"/>
      <c r="Y615" s="677" t="n">
        <v>9600</v>
      </c>
      <c r="Z615" s="678" t="n"/>
      <c r="AA615" s="678">
        <f>Engagements2026Juillet[[#This Row],[MONTANT MARCHE HT PART EN MAD]]</f>
        <v/>
      </c>
      <c r="AB615" s="678" t="n"/>
      <c r="AC615" s="678" t="n"/>
      <c r="AD615" s="678">
        <f>Engagements2026Juillet[[#This Row],[MONTANT MARCHE HT PART EN MAD]]</f>
        <v/>
      </c>
      <c r="AE615" s="682" t="inlineStr">
        <is>
          <t>EN COURS D'ENGAGEMENT</t>
        </is>
      </c>
      <c r="AF615" s="681" t="n"/>
      <c r="AG615" s="678" t="n"/>
      <c r="AH615" s="678" t="n"/>
      <c r="AI615" s="678" t="n"/>
      <c r="AJ615" s="678" t="n"/>
      <c r="AK615" s="683" t="n"/>
      <c r="AL615" s="683" t="n"/>
      <c r="AM615" s="681" t="n"/>
    </row>
    <row r="616" ht="54.6" customHeight="1" s="392">
      <c r="A616" s="672" t="n">
        <v>2026</v>
      </c>
      <c r="B616" s="673" t="inlineStr">
        <is>
          <t>DPPR</t>
        </is>
      </c>
      <c r="C616" s="673" t="inlineStr">
        <is>
          <t>26000564 CT</t>
        </is>
      </c>
      <c r="D616" s="672" t="inlineStr">
        <is>
          <t>CONTRAT</t>
        </is>
      </c>
      <c r="E616" s="672" t="n">
        <v>1</v>
      </c>
      <c r="F616" s="674" t="inlineStr">
        <is>
          <t>MAHJOUB BEN-SI-ALI - Journaliste chargé de la préparation et la présentation des bulletins et flashs d'information des èmissions RD</t>
        </is>
      </c>
      <c r="G616" s="675" t="inlineStr">
        <is>
          <t>VALIDE</t>
        </is>
      </c>
      <c r="H616" s="672" t="inlineStr">
        <is>
          <t>APPROUVE</t>
        </is>
      </c>
      <c r="I616" s="672" t="inlineStr">
        <is>
          <t>26000564 CT</t>
        </is>
      </c>
      <c r="J616" s="675" t="inlineStr">
        <is>
          <t>NON CONCERNE</t>
        </is>
      </c>
      <c r="K616" s="672" t="inlineStr">
        <is>
          <t>Ordinaire</t>
        </is>
      </c>
      <c r="L616" s="676" t="inlineStr">
        <is>
          <t>FONCTIONNEMENT</t>
        </is>
      </c>
      <c r="M616" s="676" t="inlineStr">
        <is>
          <t xml:space="preserve">Prestations de service
Achat prestations de services locales - personnes physiques </t>
        </is>
      </c>
      <c r="N616" s="677" t="n"/>
      <c r="O616" s="678" t="n"/>
      <c r="P616" s="678" t="n"/>
      <c r="Q616" s="672" t="inlineStr">
        <is>
          <t>RECONDUCTIBLE</t>
        </is>
      </c>
      <c r="R616" s="679" t="n"/>
      <c r="S616" s="680" t="n"/>
      <c r="T616" s="681" t="inlineStr">
        <is>
          <t>MAHJOUB BEN -SI-ALI</t>
        </is>
      </c>
      <c r="U616" s="672" t="n">
        <v>2026</v>
      </c>
      <c r="V616" s="680" t="n"/>
      <c r="W616" s="680" t="n"/>
      <c r="X616" s="680" t="n"/>
      <c r="Y616" s="677" t="n">
        <v>48000</v>
      </c>
      <c r="Z616" s="678" t="n"/>
      <c r="AA616" s="678" t="n">
        <v>48000</v>
      </c>
      <c r="AB616" s="678" t="n"/>
      <c r="AC616" s="678" t="n"/>
      <c r="AD616" s="678" t="n">
        <v>48000</v>
      </c>
      <c r="AE616" s="682" t="inlineStr">
        <is>
          <t>ENGAGE</t>
        </is>
      </c>
      <c r="AF616" s="681" t="n"/>
      <c r="AG616" s="678" t="n"/>
      <c r="AH616" s="678" t="n"/>
      <c r="AI616" s="678" t="n"/>
      <c r="AJ616" s="678" t="n"/>
      <c r="AK616" s="683" t="n"/>
      <c r="AL616" s="683" t="n"/>
      <c r="AM616" s="681" t="n"/>
      <c r="AN616" s="698" t="n"/>
      <c r="AO616" s="699" t="n"/>
      <c r="AP616" s="700" t="n"/>
      <c r="AQ616" s="700" t="n"/>
      <c r="AR616" s="701" t="n"/>
      <c r="AS616" s="702" t="n"/>
    </row>
    <row r="617" ht="54.6" customHeight="1" s="392">
      <c r="A617" s="672" t="n">
        <v>2026</v>
      </c>
      <c r="B617" s="673" t="inlineStr">
        <is>
          <t>DPPR</t>
        </is>
      </c>
      <c r="C617" s="673" t="inlineStr">
        <is>
          <t>26000565 CT</t>
        </is>
      </c>
      <c r="D617" s="672" t="inlineStr">
        <is>
          <t>CONTRAT</t>
        </is>
      </c>
      <c r="E617" s="672" t="n">
        <v>1</v>
      </c>
      <c r="F617" s="674" t="inlineStr">
        <is>
          <t>FATIMA ZOHRA BOUSKRAOUI-Journaliste chargé de la préparation et la présentation des bulletins et flashs d'information des èmissions RD</t>
        </is>
      </c>
      <c r="G617" s="675" t="inlineStr">
        <is>
          <t>VALIDE</t>
        </is>
      </c>
      <c r="H617" s="672" t="inlineStr">
        <is>
          <t>APPROUVE</t>
        </is>
      </c>
      <c r="I617" s="672" t="inlineStr">
        <is>
          <t>26000565CT</t>
        </is>
      </c>
      <c r="J617" s="675" t="inlineStr">
        <is>
          <t>NON CONCERNE</t>
        </is>
      </c>
      <c r="K617" s="672" t="inlineStr">
        <is>
          <t>Ordinaire</t>
        </is>
      </c>
      <c r="L617" s="676" t="inlineStr">
        <is>
          <t>FONCTIONNEMENT</t>
        </is>
      </c>
      <c r="M617" s="676" t="inlineStr">
        <is>
          <t xml:space="preserve">Prestations de service
Achat prestations de services locales - personnes physiques </t>
        </is>
      </c>
      <c r="N617" s="677" t="n"/>
      <c r="O617" s="678" t="n"/>
      <c r="P617" s="678" t="n"/>
      <c r="Q617" s="672" t="inlineStr">
        <is>
          <t>RECONDUCTIBLE</t>
        </is>
      </c>
      <c r="R617" s="679" t="n"/>
      <c r="S617" s="680" t="n"/>
      <c r="T617" s="681" t="inlineStr">
        <is>
          <t>FATIMA ZOHRA BOUSKRAOUI</t>
        </is>
      </c>
      <c r="U617" s="672" t="n">
        <v>2026</v>
      </c>
      <c r="V617" s="680" t="n"/>
      <c r="W617" s="680" t="n"/>
      <c r="X617" s="680" t="n"/>
      <c r="Y617" s="677" t="n">
        <v>48000</v>
      </c>
      <c r="Z617" s="678" t="n"/>
      <c r="AA617" s="678" t="n">
        <v>48000</v>
      </c>
      <c r="AB617" s="678" t="n"/>
      <c r="AC617" s="678" t="n"/>
      <c r="AD617" s="678" t="n">
        <v>48000</v>
      </c>
      <c r="AE617" s="682" t="inlineStr">
        <is>
          <t>ENGAGE</t>
        </is>
      </c>
      <c r="AF617" s="681" t="n"/>
      <c r="AG617" s="678" t="n"/>
      <c r="AH617" s="678" t="n"/>
      <c r="AI617" s="678" t="n"/>
      <c r="AJ617" s="678" t="n"/>
      <c r="AK617" s="683" t="n"/>
      <c r="AL617" s="683" t="n"/>
      <c r="AM617" s="681" t="n"/>
      <c r="AN617" s="698" t="n"/>
      <c r="AO617" s="699" t="n"/>
      <c r="AP617" s="700" t="n"/>
      <c r="AQ617" s="700" t="n"/>
      <c r="AR617" s="701" t="n"/>
      <c r="AS617" s="702" t="n"/>
    </row>
    <row r="618" ht="54.6" customHeight="1" s="392">
      <c r="A618" s="672" t="n">
        <v>2026</v>
      </c>
      <c r="B618" s="673" t="inlineStr">
        <is>
          <t>DPPR</t>
        </is>
      </c>
      <c r="C618" s="673" t="inlineStr">
        <is>
          <t>26000566 CT</t>
        </is>
      </c>
      <c r="D618" s="672" t="inlineStr">
        <is>
          <t>CONTRAT</t>
        </is>
      </c>
      <c r="E618" s="672" t="n">
        <v>1</v>
      </c>
      <c r="F618" s="674" t="inlineStr">
        <is>
          <t>MEHDI EL ATIFI - Journaliste chargé de la préparation et la présentation des bulletins et flashs d'information des èmissions RD</t>
        </is>
      </c>
      <c r="G618" s="675" t="inlineStr">
        <is>
          <t>VALIDE</t>
        </is>
      </c>
      <c r="H618" s="672" t="inlineStr">
        <is>
          <t>APPROUVE</t>
        </is>
      </c>
      <c r="I618" s="672" t="inlineStr">
        <is>
          <t>26000566 CT</t>
        </is>
      </c>
      <c r="J618" s="675" t="inlineStr">
        <is>
          <t>NON CONCERNE</t>
        </is>
      </c>
      <c r="K618" s="672" t="inlineStr">
        <is>
          <t>Ordinaire</t>
        </is>
      </c>
      <c r="L618" s="676" t="inlineStr">
        <is>
          <t>FONCTIONNEMENT</t>
        </is>
      </c>
      <c r="M618" s="676" t="inlineStr">
        <is>
          <t xml:space="preserve">Prestations de service
Achat prestations de services locales - personnes physiques </t>
        </is>
      </c>
      <c r="N618" s="677" t="n"/>
      <c r="O618" s="678" t="n"/>
      <c r="P618" s="678" t="n"/>
      <c r="Q618" s="672" t="inlineStr">
        <is>
          <t>RECONDUCTIBLE</t>
        </is>
      </c>
      <c r="R618" s="679" t="n"/>
      <c r="S618" s="680" t="n"/>
      <c r="T618" s="681" t="inlineStr">
        <is>
          <t>MEHDI EL ATIFI</t>
        </is>
      </c>
      <c r="U618" s="672" t="n">
        <v>2026</v>
      </c>
      <c r="V618" s="680" t="n"/>
      <c r="W618" s="680" t="n"/>
      <c r="X618" s="680" t="n"/>
      <c r="Y618" s="677" t="n">
        <v>48000</v>
      </c>
      <c r="Z618" s="678" t="n"/>
      <c r="AA618" s="678" t="n">
        <v>48000</v>
      </c>
      <c r="AB618" s="678" t="n"/>
      <c r="AC618" s="678" t="n"/>
      <c r="AD618" s="678" t="n">
        <v>48000</v>
      </c>
      <c r="AE618" s="682" t="inlineStr">
        <is>
          <t>ENGAGE</t>
        </is>
      </c>
      <c r="AF618" s="681" t="n"/>
      <c r="AG618" s="678" t="n"/>
      <c r="AH618" s="678" t="n"/>
      <c r="AI618" s="678" t="n"/>
      <c r="AJ618" s="678" t="n"/>
      <c r="AK618" s="683" t="n"/>
      <c r="AL618" s="683" t="n"/>
      <c r="AM618" s="681" t="n"/>
      <c r="AN618" s="698" t="n"/>
      <c r="AO618" s="699" t="n"/>
      <c r="AP618" s="700" t="n"/>
      <c r="AQ618" s="700" t="n"/>
      <c r="AR618" s="701" t="n"/>
      <c r="AS618" s="702" t="n"/>
    </row>
    <row r="619" ht="70.80000000000001" customHeight="1" s="392">
      <c r="A619" s="672" t="n">
        <v>2026</v>
      </c>
      <c r="B619" s="673" t="inlineStr">
        <is>
          <t>DCT</t>
        </is>
      </c>
      <c r="C619" s="673" t="inlineStr">
        <is>
          <t>63AOM/SNRT/2026</t>
        </is>
      </c>
      <c r="D619" s="672" t="inlineStr">
        <is>
          <t>AOO-M</t>
        </is>
      </c>
      <c r="E619" s="672" t="n">
        <v>1</v>
      </c>
      <c r="F619" s="674" t="inlineStr">
        <is>
          <t>Fourniture et mise en service d'équipements audio vidéo au profit de la Direction de la Régie Publicitaire et Solutions Digitales de la Société Nationale de la Radiodiffusion et de la Télévision</t>
        </is>
      </c>
      <c r="G619" s="675" t="inlineStr">
        <is>
          <t>VALIDE</t>
        </is>
      </c>
      <c r="H619" s="672" t="inlineStr">
        <is>
          <t>PHASE AOO</t>
        </is>
      </c>
      <c r="I619" s="691" t="n"/>
      <c r="J619" s="675" t="inlineStr">
        <is>
          <t>GENERAL</t>
        </is>
      </c>
      <c r="K619" s="672" t="inlineStr">
        <is>
          <t>Ordinaire</t>
        </is>
      </c>
      <c r="L619" s="676" t="inlineStr">
        <is>
          <t>INVESTISSEMENT</t>
        </is>
      </c>
      <c r="M619" s="676" t="inlineStr">
        <is>
          <t>Matériel informatique</t>
        </is>
      </c>
      <c r="N619" s="677">
        <f>Engagements2026Juillet[[#This Row],[ESTIMATION TTC]]*1.2</f>
        <v/>
      </c>
      <c r="O619" s="678" t="n">
        <v>323628</v>
      </c>
      <c r="P619" s="678">
        <f>Engagements2026Juillet[[#This Row],[ESTIMATION TTC]]/1.2</f>
        <v/>
      </c>
      <c r="Q619" s="672" t="inlineStr">
        <is>
          <t>NOUVEAU BESOIN</t>
        </is>
      </c>
      <c r="R619" s="679" t="n"/>
      <c r="S619" s="680" t="n"/>
      <c r="T619" s="681" t="n"/>
      <c r="U619" s="691" t="n"/>
      <c r="V619" s="680" t="n">
        <v>46218</v>
      </c>
      <c r="W619" s="680" t="n"/>
      <c r="X619" s="680" t="n"/>
      <c r="Y619" s="677" t="n"/>
      <c r="Z619" s="678" t="n"/>
      <c r="AA619" s="678" t="n"/>
      <c r="AB619" s="678" t="n"/>
      <c r="AC619" s="678" t="n"/>
      <c r="AD619" s="678" t="n"/>
      <c r="AE619" s="682" t="inlineStr">
        <is>
          <t>PREENGAGE</t>
        </is>
      </c>
      <c r="AF619" s="681" t="n"/>
      <c r="AG619" s="678" t="n"/>
      <c r="AH619" s="678" t="n"/>
      <c r="AI619" s="678" t="n"/>
      <c r="AJ619" s="678" t="n"/>
      <c r="AK619" s="683" t="n"/>
      <c r="AL619" s="683" t="n"/>
      <c r="AM619" s="681" t="n"/>
      <c r="AN619" s="698" t="n"/>
      <c r="AO619" s="699" t="n"/>
      <c r="AP619" s="700" t="n"/>
      <c r="AQ619" s="700" t="n"/>
      <c r="AR619" s="701" t="n"/>
      <c r="AS619" s="702" t="n"/>
    </row>
    <row r="620" ht="54.6" customHeight="1" s="392">
      <c r="A620" s="672" t="n">
        <v>2026</v>
      </c>
      <c r="B620" s="673" t="inlineStr">
        <is>
          <t>DCT</t>
        </is>
      </c>
      <c r="C620" s="673" t="inlineStr">
        <is>
          <t>64AOM/SNRT/2026</t>
        </is>
      </c>
      <c r="D620" s="672" t="inlineStr">
        <is>
          <t>AOO-M</t>
        </is>
      </c>
      <c r="E620" s="672" t="n">
        <v>1</v>
      </c>
      <c r="F620" s="674" t="inlineStr">
        <is>
          <t>Fourniture et mise en service d'un système de traveling robotisé pour les besoins de la production de la SNRT</t>
        </is>
      </c>
      <c r="G620" s="675" t="inlineStr">
        <is>
          <t>VALIDE</t>
        </is>
      </c>
      <c r="H620" s="672" t="inlineStr">
        <is>
          <t>INFRUCTUEUX</t>
        </is>
      </c>
      <c r="I620" s="691" t="n"/>
      <c r="J620" s="675" t="inlineStr">
        <is>
          <t>GENERAL</t>
        </is>
      </c>
      <c r="K620" s="672" t="inlineStr">
        <is>
          <t>Exceptionnel</t>
        </is>
      </c>
      <c r="L620" s="676" t="inlineStr">
        <is>
          <t>INVESTISSEMENT</t>
        </is>
      </c>
      <c r="M620" s="676" t="inlineStr">
        <is>
          <t>Équipements techniques</t>
        </is>
      </c>
      <c r="N620" s="677">
        <f>Engagements2026Juillet[[#This Row],[ESTIMATION TTC]]*1.2</f>
        <v/>
      </c>
      <c r="O620" s="678" t="n">
        <v>3132276</v>
      </c>
      <c r="P620" s="678">
        <f>Engagements2026Juillet[[#This Row],[ESTIMATION TTC]]/1.2</f>
        <v/>
      </c>
      <c r="Q620" s="672" t="n"/>
      <c r="R620" s="679" t="n"/>
      <c r="S620" s="680" t="n"/>
      <c r="T620" s="681" t="n"/>
      <c r="U620" s="691" t="n"/>
      <c r="V620" s="680" t="n">
        <v>46127</v>
      </c>
      <c r="W620" s="680" t="n"/>
      <c r="X620" s="680" t="n"/>
      <c r="Y620" s="677" t="n"/>
      <c r="Z620" s="678" t="n"/>
      <c r="AA620" s="678" t="n"/>
      <c r="AB620" s="678" t="n"/>
      <c r="AC620" s="678" t="n"/>
      <c r="AD620" s="678" t="n"/>
      <c r="AE620" s="682" t="inlineStr">
        <is>
          <t>NON ENGAGE</t>
        </is>
      </c>
      <c r="AF620" s="681" t="n"/>
      <c r="AG620" s="678" t="n"/>
      <c r="AH620" s="678" t="n"/>
      <c r="AI620" s="678" t="n"/>
      <c r="AJ620" s="678" t="n"/>
      <c r="AK620" s="683" t="n"/>
      <c r="AL620" s="683" t="n"/>
      <c r="AM620" s="681" t="n"/>
      <c r="AN620" s="698" t="n"/>
      <c r="AO620" s="699" t="n"/>
      <c r="AP620" s="700" t="n"/>
      <c r="AQ620" s="700" t="n"/>
      <c r="AR620" s="701" t="n"/>
      <c r="AS620" s="702" t="n"/>
    </row>
    <row r="621" ht="70.80000000000001" customHeight="1" s="392">
      <c r="A621" s="672" t="n">
        <v>2026</v>
      </c>
      <c r="B621" s="673" t="inlineStr">
        <is>
          <t>DINFOTV</t>
        </is>
      </c>
      <c r="C621" s="673" t="inlineStr">
        <is>
          <t>PV N°04NV2026-DITV</t>
        </is>
      </c>
      <c r="D621" s="672" t="inlineStr">
        <is>
          <t>CONTRAT</t>
        </is>
      </c>
      <c r="E621" s="672" t="n">
        <v>1</v>
      </c>
      <c r="F621" s="674" t="inlineStr">
        <is>
          <t>DRISS ABIS- L'accompagnement de la couverture médiatique des grandes compétitions sportives dans le cadre des journaux télévisés et des studios d'analyse des matchs</t>
        </is>
      </c>
      <c r="G621" s="675" t="inlineStr">
        <is>
          <t>EN SIGNATURE</t>
        </is>
      </c>
      <c r="H621" s="672" t="inlineStr">
        <is>
          <t>EN SIGNATURE</t>
        </is>
      </c>
      <c r="I621" s="691" t="n"/>
      <c r="J621" s="675" t="inlineStr">
        <is>
          <t>NON CONCERNE</t>
        </is>
      </c>
      <c r="K621" s="672" t="inlineStr">
        <is>
          <t>Ordinaire</t>
        </is>
      </c>
      <c r="L621" s="676" t="inlineStr">
        <is>
          <t>FONCTIONNEMENT</t>
        </is>
      </c>
      <c r="M621" s="676" t="inlineStr">
        <is>
          <t xml:space="preserve">Prestations de service
Achat prestations de services locales - personnes physiques </t>
        </is>
      </c>
      <c r="N621" s="677" t="n"/>
      <c r="O621" s="678" t="n"/>
      <c r="P621" s="678" t="n"/>
      <c r="Q621" s="672" t="inlineStr">
        <is>
          <t>RECONDUCTIBLE</t>
        </is>
      </c>
      <c r="R621" s="679" t="n"/>
      <c r="S621" s="680" t="n"/>
      <c r="T621" s="681" t="inlineStr">
        <is>
          <t>DRISS ABIS</t>
        </is>
      </c>
      <c r="U621" s="672" t="n">
        <v>2026</v>
      </c>
      <c r="V621" s="680" t="n"/>
      <c r="W621" s="680" t="n"/>
      <c r="X621" s="680" t="n"/>
      <c r="Y621" s="677" t="n"/>
      <c r="Z621" s="678" t="n"/>
      <c r="AA621" s="678" t="n">
        <v>350000</v>
      </c>
      <c r="AB621" s="678" t="n"/>
      <c r="AC621" s="678" t="n"/>
      <c r="AD621" s="678">
        <f>Engagements2026Juillet[[#This Row],[MONTANT MARCHE TTC  PART EN MAD]]</f>
        <v/>
      </c>
      <c r="AE621" s="682" t="inlineStr">
        <is>
          <t>EN COURS D'ENGAGEMENT</t>
        </is>
      </c>
      <c r="AF621" s="681" t="n"/>
      <c r="AG621" s="678" t="n"/>
      <c r="AH621" s="678" t="n"/>
      <c r="AI621" s="678" t="n"/>
      <c r="AJ621" s="678" t="n"/>
      <c r="AK621" s="683" t="n"/>
      <c r="AL621" s="683" t="n"/>
      <c r="AM621" s="681" t="n"/>
      <c r="AN621" s="698" t="n"/>
      <c r="AO621" s="699" t="n"/>
      <c r="AP621" s="700" t="n"/>
      <c r="AQ621" s="700" t="n"/>
      <c r="AR621" s="701" t="n"/>
      <c r="AS621" s="702" t="n"/>
    </row>
    <row r="622" ht="38.40000000000001" customHeight="1" s="392">
      <c r="A622" s="672" t="n">
        <v>2026</v>
      </c>
      <c r="B622" s="673" t="inlineStr">
        <is>
          <t>DPMG</t>
        </is>
      </c>
      <c r="C622" s="673" t="inlineStr">
        <is>
          <t>26000068 CL</t>
        </is>
      </c>
      <c r="D622" s="672" t="inlineStr">
        <is>
          <t>BCL</t>
        </is>
      </c>
      <c r="E622" s="672" t="n">
        <v>1</v>
      </c>
      <c r="F622" s="674" t="inlineStr">
        <is>
          <t>Acquisition de mini-refrigerateurs pour les directions de la SNRT</t>
        </is>
      </c>
      <c r="G622" s="675" t="inlineStr">
        <is>
          <t>EN SIGNATURE</t>
        </is>
      </c>
      <c r="H622" s="672" t="inlineStr">
        <is>
          <t>EN SIGNATURE</t>
        </is>
      </c>
      <c r="I622" s="672" t="inlineStr">
        <is>
          <t>26000068 CL</t>
        </is>
      </c>
      <c r="J622" s="675" t="inlineStr">
        <is>
          <t>NON CONCERNE</t>
        </is>
      </c>
      <c r="K622" s="672" t="n"/>
      <c r="L622" s="676" t="inlineStr">
        <is>
          <t>FONCTIONNEMENT</t>
        </is>
      </c>
      <c r="M622" s="676" t="inlineStr">
        <is>
          <t xml:space="preserve">Achats non stockés de matières et fournitures </t>
        </is>
      </c>
      <c r="N622" s="677" t="n"/>
      <c r="O622" s="678" t="n"/>
      <c r="P622" s="678" t="n"/>
      <c r="Q622" s="672" t="inlineStr">
        <is>
          <t>NOUVEAU BESOIN</t>
        </is>
      </c>
      <c r="R622" s="679" t="n"/>
      <c r="S622" s="680" t="n"/>
      <c r="T622" s="681" t="inlineStr">
        <is>
          <t>ASWAK ASSALAM</t>
        </is>
      </c>
      <c r="U622" s="691" t="n"/>
      <c r="V622" s="680" t="n">
        <v>46223</v>
      </c>
      <c r="W622" s="680" t="n"/>
      <c r="X622" s="680" t="n"/>
      <c r="Y622" s="677" t="n">
        <v>11660</v>
      </c>
      <c r="Z622" s="678" t="n"/>
      <c r="AA622" s="678">
        <f>+Engagements2026Juillet[[#This Row],[MONTANT MARCHE HT PART EN MAD]]*1.2</f>
        <v/>
      </c>
      <c r="AB622" s="678" t="n"/>
      <c r="AC622" s="678" t="n"/>
      <c r="AD622" s="678">
        <f>Engagements2026Juillet[[#This Row],[MONTANT MARCHE TTC  PART EN MAD]]</f>
        <v/>
      </c>
      <c r="AE622" s="682" t="inlineStr">
        <is>
          <t>EN COURS D'ENGAGEMENT</t>
        </is>
      </c>
      <c r="AF622" s="681" t="n"/>
      <c r="AG622" s="678" t="n"/>
      <c r="AH622" s="678" t="n"/>
      <c r="AI622" s="678" t="n"/>
      <c r="AJ622" s="678" t="n"/>
      <c r="AK622" s="683" t="n"/>
      <c r="AL622" s="683" t="n"/>
      <c r="AM622" s="681" t="n"/>
      <c r="AN622" s="698" t="n"/>
      <c r="AO622" s="699" t="n"/>
      <c r="AP622" s="700" t="n"/>
      <c r="AQ622" s="700" t="n"/>
      <c r="AR622" s="701" t="n"/>
      <c r="AS622" s="702" t="n"/>
    </row>
    <row r="623" ht="38.40000000000001" customHeight="1" s="392">
      <c r="A623" s="672" t="n">
        <v>2026</v>
      </c>
      <c r="B623" s="673" t="inlineStr">
        <is>
          <t>DCT</t>
        </is>
      </c>
      <c r="C623" s="673" t="inlineStr">
        <is>
          <t>54AOM/SNRT/2026</t>
        </is>
      </c>
      <c r="D623" s="672" t="inlineStr">
        <is>
          <t>AOO-M</t>
        </is>
      </c>
      <c r="E623" s="672" t="n">
        <v>1</v>
      </c>
      <c r="F623" s="674" t="inlineStr">
        <is>
          <t>Renouvellement des licences de la solution de gestion financière pour les besoins de la SNRT</t>
        </is>
      </c>
      <c r="G623" s="675" t="inlineStr">
        <is>
          <t>VALIDE</t>
        </is>
      </c>
      <c r="H623" s="672" t="inlineStr">
        <is>
          <t>PHASE AOO</t>
        </is>
      </c>
      <c r="I623" s="691" t="n"/>
      <c r="J623" s="675" t="inlineStr">
        <is>
          <t>GENERAL</t>
        </is>
      </c>
      <c r="K623" s="672" t="inlineStr">
        <is>
          <t>Ordinaire</t>
        </is>
      </c>
      <c r="L623" s="676" t="inlineStr">
        <is>
          <t>FONCTIONNEMENT</t>
        </is>
      </c>
      <c r="M623" s="676" t="inlineStr">
        <is>
          <t>Redevances et cotisations</t>
        </is>
      </c>
      <c r="N623" s="677">
        <f>Engagements2026Juillet[[#This Row],[ESTIMATION TTC]]*1.2</f>
        <v/>
      </c>
      <c r="O623" s="678" t="n">
        <v>112824</v>
      </c>
      <c r="P623" s="678">
        <f>Engagements2026Juillet[[#This Row],[ESTIMATION TTC]]/1.2</f>
        <v/>
      </c>
      <c r="Q623" s="672" t="inlineStr">
        <is>
          <t>NOUVEAU BESOIN</t>
        </is>
      </c>
      <c r="R623" s="679" t="n"/>
      <c r="S623" s="680" t="n"/>
      <c r="T623" s="681" t="n"/>
      <c r="U623" s="691" t="n"/>
      <c r="V623" s="680" t="n"/>
      <c r="W623" s="680" t="n"/>
      <c r="X623" s="680" t="n"/>
      <c r="Y623" s="677" t="n"/>
      <c r="Z623" s="678" t="n"/>
      <c r="AA623" s="678" t="n"/>
      <c r="AB623" s="678" t="n"/>
      <c r="AC623" s="678" t="n"/>
      <c r="AD623" s="678" t="n"/>
      <c r="AE623" s="682" t="inlineStr">
        <is>
          <t>PREENGAGE</t>
        </is>
      </c>
      <c r="AF623" s="681" t="n"/>
      <c r="AG623" s="678" t="n"/>
      <c r="AH623" s="678" t="n"/>
      <c r="AI623" s="678" t="n"/>
      <c r="AJ623" s="678" t="n"/>
      <c r="AK623" s="683" t="n"/>
      <c r="AL623" s="683" t="n"/>
      <c r="AM623" s="681" t="n"/>
      <c r="AN623" s="698" t="n"/>
      <c r="AO623" s="699" t="n"/>
      <c r="AP623" s="700" t="n"/>
      <c r="AQ623" s="700" t="n"/>
      <c r="AR623" s="701" t="n"/>
      <c r="AS623" s="702" t="n"/>
    </row>
    <row r="624" ht="70.80000000000001" customHeight="1" s="392">
      <c r="A624" s="672" t="n">
        <v>2026</v>
      </c>
      <c r="B624" s="673" t="inlineStr">
        <is>
          <t>DCPA</t>
        </is>
      </c>
      <c r="C624" s="673" t="inlineStr">
        <is>
          <t>26000594 CT</t>
        </is>
      </c>
      <c r="D624" s="672" t="inlineStr">
        <is>
          <t>CONTRAT</t>
        </is>
      </c>
      <c r="E624" s="672" t="n">
        <v>1</v>
      </c>
      <c r="F624" s="674" t="inlineStr">
        <is>
          <t>ABDELLAH TOUKOUNA(ALIAS FERKOUSS)-LA PARTICIPATION ARTISTIQUE DE L'ARTISTE ABDELLAH TAKOUNA DANS LA SERIE DOCUMENTAIRE HANINE EL FARAH EPISODE - IMALCHIL MAWSSIM AL JAMAL WA AL HAYAT</t>
        </is>
      </c>
      <c r="G624" s="675" t="inlineStr">
        <is>
          <t>EN SIGNATURE</t>
        </is>
      </c>
      <c r="H624" s="672" t="inlineStr">
        <is>
          <t>EN SIGNATURE</t>
        </is>
      </c>
      <c r="I624" s="691" t="n"/>
      <c r="J624" s="675" t="inlineStr">
        <is>
          <t>NON CONCERNE</t>
        </is>
      </c>
      <c r="K624" s="672" t="inlineStr">
        <is>
          <t>Ordinaire</t>
        </is>
      </c>
      <c r="L624" s="676" t="inlineStr">
        <is>
          <t>FONCTIONNEMENT</t>
        </is>
      </c>
      <c r="M624" s="676" t="inlineStr">
        <is>
          <t xml:space="preserve">Achats de productions et de programmes
Achat des programmes en production interne </t>
        </is>
      </c>
      <c r="N624" s="677" t="n"/>
      <c r="O624" s="678" t="n"/>
      <c r="P624" s="678" t="n"/>
      <c r="Q624" s="672" t="inlineStr">
        <is>
          <t>NOUVEAU BESOIN</t>
        </is>
      </c>
      <c r="R624" s="679" t="n"/>
      <c r="S624" s="680" t="n"/>
      <c r="T624" s="681" t="inlineStr">
        <is>
          <t xml:space="preserve">ABDELLAH TOUKOUNA </t>
        </is>
      </c>
      <c r="U624" s="680" t="n">
        <v>46224</v>
      </c>
      <c r="V624" s="680" t="n"/>
      <c r="W624" s="680" t="n"/>
      <c r="X624" s="680" t="n"/>
      <c r="Y624" s="677" t="n">
        <v>12000</v>
      </c>
      <c r="Z624" s="678" t="n"/>
      <c r="AA624" s="678" t="n">
        <v>12000</v>
      </c>
      <c r="AB624" s="678" t="n"/>
      <c r="AC624" s="678" t="n"/>
      <c r="AD624" s="678" t="n">
        <v>0</v>
      </c>
      <c r="AE624" s="682" t="inlineStr">
        <is>
          <t>NON ENGAGE</t>
        </is>
      </c>
      <c r="AF624" s="681" t="n"/>
      <c r="AG624" s="678" t="n"/>
      <c r="AH624" s="678" t="n"/>
      <c r="AI624" s="678" t="n"/>
      <c r="AJ624" s="678" t="n"/>
      <c r="AK624" s="683" t="n"/>
      <c r="AL624" s="683" t="n"/>
      <c r="AM624" s="681" t="n"/>
      <c r="AN624" s="698" t="n"/>
      <c r="AO624" s="699" t="n"/>
      <c r="AP624" s="700" t="n"/>
      <c r="AQ624" s="700" t="n"/>
      <c r="AR624" s="701" t="n"/>
      <c r="AS624" s="702" t="n"/>
    </row>
    <row r="625" ht="65.40000000000001" customHeight="1" s="392">
      <c r="A625" s="672" t="n">
        <v>2026</v>
      </c>
      <c r="B625" s="673" t="inlineStr">
        <is>
          <t>DCPA</t>
        </is>
      </c>
      <c r="C625" s="673" t="inlineStr">
        <is>
          <t>26000593 CT</t>
        </is>
      </c>
      <c r="D625" s="672" t="inlineStr">
        <is>
          <t>CONTRAT</t>
        </is>
      </c>
      <c r="E625" s="672" t="n"/>
      <c r="F625" s="674" t="inlineStr">
        <is>
          <t>MOHAMED ATIR - la participation artiqtique de l'artiste Mohamed Atir dans la serie documentaire -Dakirate Tourab- episode -Hariss Mina Adakirat-</t>
        </is>
      </c>
      <c r="G625" s="675" t="inlineStr">
        <is>
          <t>VALIDE</t>
        </is>
      </c>
      <c r="H625" s="672" t="inlineStr">
        <is>
          <t>APPROUVE</t>
        </is>
      </c>
      <c r="I625" s="691" t="n"/>
      <c r="J625" s="675" t="inlineStr">
        <is>
          <t>NON CONCERNE</t>
        </is>
      </c>
      <c r="K625" s="672" t="inlineStr">
        <is>
          <t>Ordinaire</t>
        </is>
      </c>
      <c r="L625" s="676" t="inlineStr">
        <is>
          <t>FONCTIONNEMENT</t>
        </is>
      </c>
      <c r="M625" s="676" t="inlineStr">
        <is>
          <t xml:space="preserve">Achats de productions et de programmes
Achat des programmes en production interne </t>
        </is>
      </c>
      <c r="N625" s="677" t="n"/>
      <c r="O625" s="678" t="n"/>
      <c r="P625" s="678" t="n"/>
      <c r="Q625" s="672" t="inlineStr">
        <is>
          <t>NOUVEAU BESOIN</t>
        </is>
      </c>
      <c r="R625" s="679" t="n"/>
      <c r="S625" s="680" t="n"/>
      <c r="T625" s="681" t="inlineStr">
        <is>
          <t>MOHAMED ATIR</t>
        </is>
      </c>
      <c r="U625" s="680" t="n">
        <v>46224</v>
      </c>
      <c r="V625" s="680" t="n"/>
      <c r="W625" s="680" t="n"/>
      <c r="X625" s="680" t="n"/>
      <c r="Y625" s="677" t="n">
        <v>36600</v>
      </c>
      <c r="Z625" s="678" t="n"/>
      <c r="AA625" s="678" t="n">
        <v>36600</v>
      </c>
      <c r="AB625" s="678" t="n"/>
      <c r="AC625" s="678" t="n"/>
      <c r="AD625" s="678" t="n">
        <v>36600</v>
      </c>
      <c r="AE625" s="682" t="inlineStr">
        <is>
          <t>ENGAGE</t>
        </is>
      </c>
      <c r="AF625" s="681" t="n"/>
      <c r="AG625" s="678" t="n"/>
      <c r="AH625" s="678" t="n"/>
      <c r="AI625" s="678" t="n"/>
      <c r="AJ625" s="678" t="n"/>
      <c r="AK625" s="683" t="n"/>
      <c r="AL625" s="683" t="n"/>
      <c r="AM625" s="681" t="n"/>
      <c r="AN625" s="698" t="n"/>
      <c r="AO625" s="699" t="n"/>
      <c r="AP625" s="700" t="n"/>
      <c r="AQ625" s="700" t="n"/>
      <c r="AR625" s="701" t="n"/>
      <c r="AS625" s="702" t="n"/>
    </row>
    <row r="626" ht="50.55" customHeight="1" s="392">
      <c r="A626" s="672" t="n">
        <v>2026</v>
      </c>
      <c r="B626" s="673" t="inlineStr">
        <is>
          <t>MAGHRIBIA</t>
        </is>
      </c>
      <c r="C626" s="673" t="inlineStr">
        <is>
          <t>26000598 CT</t>
        </is>
      </c>
      <c r="D626" s="672" t="inlineStr">
        <is>
          <t>CONTRAT</t>
        </is>
      </c>
      <c r="E626" s="672" t="n">
        <v>1</v>
      </c>
      <c r="F626" s="674" t="inlineStr">
        <is>
          <t>CHAIMAE BENLECHHAB - TECHNICIENNE ASSISTANTE REALISATEUR</t>
        </is>
      </c>
      <c r="G626" s="675" t="inlineStr">
        <is>
          <t>VALIDE</t>
        </is>
      </c>
      <c r="H626" s="672" t="inlineStr">
        <is>
          <t>APPROUVE</t>
        </is>
      </c>
      <c r="I626" s="691" t="n"/>
      <c r="J626" s="675" t="inlineStr">
        <is>
          <t>NON CONCERNE</t>
        </is>
      </c>
      <c r="K626" s="672" t="inlineStr">
        <is>
          <t>Ordinaire</t>
        </is>
      </c>
      <c r="L626" s="676" t="inlineStr">
        <is>
          <t>FONCTIONNEMENT</t>
        </is>
      </c>
      <c r="M626" s="676" t="inlineStr">
        <is>
          <t xml:space="preserve">Prestations de service
Achat prestations de services locales - personnes physiques </t>
        </is>
      </c>
      <c r="N626" s="677" t="n"/>
      <c r="O626" s="678" t="n"/>
      <c r="P626" s="678" t="n"/>
      <c r="Q626" s="672" t="inlineStr">
        <is>
          <t>NOUVEAU BESOIN</t>
        </is>
      </c>
      <c r="R626" s="679" t="n"/>
      <c r="S626" s="680" t="n"/>
      <c r="T626" s="681" t="inlineStr">
        <is>
          <t>CHAIMAE BENLECHHAB</t>
        </is>
      </c>
      <c r="U626" s="691" t="n"/>
      <c r="V626" s="680" t="n"/>
      <c r="W626" s="680" t="n"/>
      <c r="X626" s="680" t="n"/>
      <c r="Y626" s="677" t="n">
        <v>50400</v>
      </c>
      <c r="Z626" s="678" t="n"/>
      <c r="AA626" s="678" t="n">
        <v>50400</v>
      </c>
      <c r="AB626" s="678" t="n"/>
      <c r="AC626" s="678" t="n"/>
      <c r="AD626" s="678" t="n">
        <v>50400</v>
      </c>
      <c r="AE626" s="682" t="inlineStr">
        <is>
          <t>ENGAGE</t>
        </is>
      </c>
      <c r="AF626" s="681" t="n"/>
      <c r="AG626" s="678" t="n"/>
      <c r="AH626" s="678" t="n"/>
      <c r="AI626" s="678" t="n"/>
      <c r="AJ626" s="678" t="n"/>
      <c r="AK626" s="683" t="n"/>
      <c r="AL626" s="683" t="n"/>
      <c r="AM626" s="681" t="n"/>
      <c r="AN626" s="698" t="n"/>
      <c r="AO626" s="699" t="n"/>
      <c r="AP626" s="700" t="n"/>
      <c r="AQ626" s="700" t="n"/>
      <c r="AR626" s="701" t="n"/>
      <c r="AS626" s="702" t="n"/>
    </row>
    <row r="627" ht="54.6" customHeight="1" s="392">
      <c r="A627" s="672" t="n">
        <v>2026</v>
      </c>
      <c r="B627" s="673" t="inlineStr">
        <is>
          <t>DCT</t>
        </is>
      </c>
      <c r="C627" s="673" t="inlineStr">
        <is>
          <t>62AOM/SNRT/2026</t>
        </is>
      </c>
      <c r="D627" s="672" t="inlineStr">
        <is>
          <t>AOO-M</t>
        </is>
      </c>
      <c r="E627" s="672" t="n">
        <v>1</v>
      </c>
      <c r="F627" s="674" t="inlineStr">
        <is>
          <t>La fourniture et la mise en service d'une unité mobile clé en main de contribution des signaux audio/vidéo an 4K par satellite (DSNG) pour les besoins de la SNRT</t>
        </is>
      </c>
      <c r="G627" s="675" t="inlineStr">
        <is>
          <t>VALIDE</t>
        </is>
      </c>
      <c r="H627" s="672" t="inlineStr">
        <is>
          <t>PHASE AOO</t>
        </is>
      </c>
      <c r="I627" s="691" t="n"/>
      <c r="J627" s="675" t="inlineStr">
        <is>
          <t>NON CONCERNE</t>
        </is>
      </c>
      <c r="K627" s="672" t="inlineStr">
        <is>
          <t>REPORT BUDGET EXCEP  ANNEE ANTERIEURE</t>
        </is>
      </c>
      <c r="L627" s="676" t="inlineStr">
        <is>
          <t>INVESTISSEMENT</t>
        </is>
      </c>
      <c r="M627" s="676" t="inlineStr">
        <is>
          <t>Équipements techniques</t>
        </is>
      </c>
      <c r="N627" s="677">
        <f>Engagements2026Juillet[[#This Row],[ESTIMATION TTC]]*1.2</f>
        <v/>
      </c>
      <c r="O627" s="678" t="n">
        <v>5442864</v>
      </c>
      <c r="P627" s="678">
        <f>Engagements2026Juillet[[#This Row],[ESTIMATION TTC]]/1.2</f>
        <v/>
      </c>
      <c r="Q627" s="672" t="inlineStr">
        <is>
          <t>NOUVEAU BESOIN</t>
        </is>
      </c>
      <c r="R627" s="679" t="n"/>
      <c r="S627" s="680" t="n"/>
      <c r="T627" s="681" t="n"/>
      <c r="U627" s="691" t="n"/>
      <c r="V627" s="680" t="n"/>
      <c r="W627" s="680" t="n"/>
      <c r="X627" s="680" t="n"/>
      <c r="Y627" s="677" t="n"/>
      <c r="Z627" s="678" t="n"/>
      <c r="AA627" s="678" t="n"/>
      <c r="AB627" s="678" t="n"/>
      <c r="AC627" s="678" t="n"/>
      <c r="AD627" s="678" t="n"/>
      <c r="AE627" s="682" t="inlineStr">
        <is>
          <t>PREENGAGE</t>
        </is>
      </c>
      <c r="AF627" s="681" t="n"/>
      <c r="AG627" s="678" t="n"/>
      <c r="AH627" s="678" t="n"/>
      <c r="AI627" s="678" t="n"/>
      <c r="AJ627" s="678" t="n"/>
      <c r="AK627" s="683" t="n"/>
      <c r="AL627" s="683" t="n"/>
      <c r="AM627" s="681" t="n"/>
      <c r="AN627" s="698" t="n"/>
      <c r="AO627" s="699" t="n"/>
      <c r="AP627" s="700" t="n"/>
      <c r="AQ627" s="700" t="n"/>
      <c r="AR627" s="701" t="n"/>
      <c r="AS627" s="702" t="n"/>
    </row>
    <row r="628" ht="54.6" customHeight="1" s="392">
      <c r="A628" s="672" t="n">
        <v>2026</v>
      </c>
      <c r="B628" s="673" t="inlineStr">
        <is>
          <t>DCT</t>
        </is>
      </c>
      <c r="C628" s="673" t="inlineStr">
        <is>
          <t>62AOM/SNRT/2026</t>
        </is>
      </c>
      <c r="D628" s="672" t="inlineStr">
        <is>
          <t>AOO-M</t>
        </is>
      </c>
      <c r="E628" s="672" t="n">
        <v>2</v>
      </c>
      <c r="F628" s="674" t="inlineStr">
        <is>
          <t>La fourniture et la mise en service de modulateurs pour les besoins des moyens de contribution de signaux audio/vidéo par satellite pour les besoins de la SNRT</t>
        </is>
      </c>
      <c r="G628" s="675" t="inlineStr">
        <is>
          <t>VALIDE</t>
        </is>
      </c>
      <c r="H628" s="672" t="inlineStr">
        <is>
          <t>PHASE AOO</t>
        </is>
      </c>
      <c r="I628" s="691" t="n"/>
      <c r="J628" s="675" t="inlineStr">
        <is>
          <t>NON CONCERNE</t>
        </is>
      </c>
      <c r="K628" s="672" t="inlineStr">
        <is>
          <t>REPORT BUDGET EXCEP  ANNEE ANTERIEURE</t>
        </is>
      </c>
      <c r="L628" s="676" t="inlineStr">
        <is>
          <t>INVESTISSEMENT</t>
        </is>
      </c>
      <c r="M628" s="676" t="inlineStr">
        <is>
          <t>Équipements techniques</t>
        </is>
      </c>
      <c r="N628" s="677">
        <f>Engagements2026Juillet[[#This Row],[ESTIMATION TTC]]*1.2</f>
        <v/>
      </c>
      <c r="O628" s="678" t="n">
        <v>605376</v>
      </c>
      <c r="P628" s="678">
        <f>Engagements2026Juillet[[#This Row],[ESTIMATION TTC]]/1.2</f>
        <v/>
      </c>
      <c r="Q628" s="672" t="inlineStr">
        <is>
          <t>NOUVEAU BESOIN</t>
        </is>
      </c>
      <c r="R628" s="679" t="n"/>
      <c r="S628" s="680" t="n"/>
      <c r="T628" s="681" t="n"/>
      <c r="U628" s="691" t="n"/>
      <c r="V628" s="680" t="n"/>
      <c r="W628" s="680" t="n"/>
      <c r="X628" s="680" t="n"/>
      <c r="Y628" s="677" t="n"/>
      <c r="Z628" s="678" t="n"/>
      <c r="AA628" s="678" t="n"/>
      <c r="AB628" s="678" t="n"/>
      <c r="AC628" s="678" t="n"/>
      <c r="AD628" s="678" t="n"/>
      <c r="AE628" s="682" t="inlineStr">
        <is>
          <t>PREENGAGE</t>
        </is>
      </c>
      <c r="AF628" s="681" t="n"/>
      <c r="AG628" s="678" t="n"/>
      <c r="AH628" s="678" t="n"/>
      <c r="AI628" s="678" t="n"/>
      <c r="AJ628" s="678" t="n"/>
      <c r="AK628" s="683" t="n"/>
      <c r="AL628" s="683" t="n"/>
      <c r="AM628" s="681" t="n"/>
      <c r="AN628" s="698" t="n"/>
      <c r="AO628" s="699" t="n"/>
      <c r="AP628" s="700" t="n"/>
      <c r="AQ628" s="700" t="n"/>
      <c r="AR628" s="701" t="n"/>
      <c r="AS628" s="702" t="n"/>
    </row>
    <row r="629" ht="54.6" customHeight="1" s="392">
      <c r="A629" s="672" t="n">
        <v>2026</v>
      </c>
      <c r="B629" s="673" t="inlineStr">
        <is>
          <t>DCT</t>
        </is>
      </c>
      <c r="C629" s="673" t="inlineStr">
        <is>
          <t>65AOM/SNRT/2026</t>
        </is>
      </c>
      <c r="D629" s="672" t="inlineStr">
        <is>
          <t>AOO-M</t>
        </is>
      </c>
      <c r="E629" s="672" t="n">
        <v>1</v>
      </c>
      <c r="F629" s="674" t="inlineStr">
        <is>
          <t>La fourniture et la mise en service de véhicules fourgon aménagés en rayonnage pour les besoins de la production de la SNRT</t>
        </is>
      </c>
      <c r="G629" s="675" t="inlineStr">
        <is>
          <t>VALIDE</t>
        </is>
      </c>
      <c r="H629" s="672" t="inlineStr">
        <is>
          <t>PHASE AOO</t>
        </is>
      </c>
      <c r="I629" s="691" t="n"/>
      <c r="J629" s="675" t="inlineStr">
        <is>
          <t>GENERAL</t>
        </is>
      </c>
      <c r="K629" s="672" t="inlineStr">
        <is>
          <t>Ordinaire</t>
        </is>
      </c>
      <c r="L629" s="676" t="inlineStr">
        <is>
          <t>INVESTISSEMENT</t>
        </is>
      </c>
      <c r="M629" s="676" t="inlineStr">
        <is>
          <t>Équipements techniques</t>
        </is>
      </c>
      <c r="N629" s="677" t="n">
        <v>2465640</v>
      </c>
      <c r="O629" s="678" t="n">
        <v>2054700</v>
      </c>
      <c r="P629" s="678" t="n">
        <v>1712250</v>
      </c>
      <c r="Q629" s="672" t="inlineStr">
        <is>
          <t>NOUVEAU BESOIN</t>
        </is>
      </c>
      <c r="R629" s="679" t="n"/>
      <c r="S629" s="680" t="n"/>
      <c r="T629" s="681" t="n"/>
      <c r="U629" s="691" t="n"/>
      <c r="V629" s="680" t="n"/>
      <c r="W629" s="680" t="n"/>
      <c r="X629" s="680" t="n"/>
      <c r="Y629" s="677" t="n"/>
      <c r="Z629" s="678" t="n"/>
      <c r="AA629" s="678" t="n"/>
      <c r="AB629" s="678" t="n"/>
      <c r="AC629" s="678" t="n"/>
      <c r="AD629" s="678" t="n"/>
      <c r="AE629" s="682" t="inlineStr">
        <is>
          <t>PREENGAGE</t>
        </is>
      </c>
      <c r="AF629" s="681" t="n"/>
      <c r="AG629" s="678" t="n"/>
      <c r="AH629" s="678" t="n"/>
      <c r="AI629" s="678" t="n"/>
      <c r="AJ629" s="678" t="n"/>
      <c r="AK629" s="683" t="n"/>
      <c r="AL629" s="683" t="n"/>
      <c r="AM629" s="681" t="inlineStr">
        <is>
          <t xml:space="preserve">INFRUCTUEUX 51/2026 </t>
        </is>
      </c>
    </row>
    <row r="630" ht="54.6" customHeight="1" s="392">
      <c r="A630" s="672" t="n">
        <v>2026</v>
      </c>
      <c r="B630" s="673" t="inlineStr">
        <is>
          <t>DCT</t>
        </is>
      </c>
      <c r="C630" s="673" t="inlineStr">
        <is>
          <t>17AOM/SNRT/2026</t>
        </is>
      </c>
      <c r="D630" s="672" t="inlineStr">
        <is>
          <t>AOO-M</t>
        </is>
      </c>
      <c r="E630" s="672" t="n">
        <v>1</v>
      </c>
      <c r="F630" s="674" t="inlineStr">
        <is>
          <t>La  fourniture et la mise en service de caméras box en ULTRA HAUTE DEFINITION (4K) pour les besoins des unités mobiles de la SNRT</t>
        </is>
      </c>
      <c r="G630" s="675" t="inlineStr">
        <is>
          <t>VALIDE</t>
        </is>
      </c>
      <c r="H630" s="672" t="inlineStr">
        <is>
          <t>PHASE AOO</t>
        </is>
      </c>
      <c r="I630" s="691" t="n"/>
      <c r="J630" s="675" t="inlineStr">
        <is>
          <t>GENERAL</t>
        </is>
      </c>
      <c r="K630" s="672" t="inlineStr">
        <is>
          <t>Exceptionnel</t>
        </is>
      </c>
      <c r="L630" s="676" t="inlineStr">
        <is>
          <t>INVESTISSEMENT</t>
        </is>
      </c>
      <c r="M630" s="676" t="inlineStr">
        <is>
          <t>Équipements techniques</t>
        </is>
      </c>
      <c r="N630" s="677">
        <f>Engagements2026Juillet[[#This Row],[ESTIMATION TTC]]*1.2</f>
        <v/>
      </c>
      <c r="O630" s="678" t="n">
        <v>1864044</v>
      </c>
      <c r="P630" s="678" t="n"/>
      <c r="Q630" s="672" t="inlineStr">
        <is>
          <t>NOUVEAU BESOIN</t>
        </is>
      </c>
      <c r="R630" s="679" t="n"/>
      <c r="S630" s="680" t="n"/>
      <c r="T630" s="681" t="n"/>
      <c r="U630" s="691" t="n"/>
      <c r="V630" s="680" t="n"/>
      <c r="W630" s="680" t="n"/>
      <c r="X630" s="680" t="n"/>
      <c r="Y630" s="677" t="n"/>
      <c r="Z630" s="678" t="n"/>
      <c r="AA630" s="678" t="n"/>
      <c r="AB630" s="678" t="n"/>
      <c r="AC630" s="678" t="n"/>
      <c r="AD630" s="678" t="n"/>
      <c r="AE630" s="682" t="inlineStr">
        <is>
          <t>PREENGAGE</t>
        </is>
      </c>
      <c r="AF630" s="681" t="n"/>
      <c r="AG630" s="678" t="n"/>
      <c r="AH630" s="678" t="n"/>
      <c r="AI630" s="678" t="n"/>
      <c r="AJ630" s="678" t="n"/>
      <c r="AK630" s="683" t="n"/>
      <c r="AL630" s="683" t="n"/>
      <c r="AM630" s="681" t="n"/>
    </row>
    <row r="631" ht="103.2" customHeight="1" s="392">
      <c r="A631" s="672" t="n">
        <v>2026</v>
      </c>
      <c r="B631" s="673" t="inlineStr">
        <is>
          <t>TDF -SITES</t>
        </is>
      </c>
      <c r="C631" s="673" t="inlineStr">
        <is>
          <t>43AOM/SNRT/2026</t>
        </is>
      </c>
      <c r="D631" s="672" t="inlineStr">
        <is>
          <t>AOO-M</t>
        </is>
      </c>
      <c r="E631" s="672" t="n">
        <v>1</v>
      </c>
      <c r="F631" s="674"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G631" s="675" t="inlineStr">
        <is>
          <t>VALIDE</t>
        </is>
      </c>
      <c r="H631" s="672" t="inlineStr">
        <is>
          <t>PHASE AOO</t>
        </is>
      </c>
      <c r="I631" s="691" t="n"/>
      <c r="J631" s="675" t="inlineStr">
        <is>
          <t>GENERAL</t>
        </is>
      </c>
      <c r="K631" s="672" t="inlineStr">
        <is>
          <t>Ordinaire</t>
        </is>
      </c>
      <c r="L631" s="676" t="inlineStr">
        <is>
          <t>INVESTISSEMENT</t>
        </is>
      </c>
      <c r="M631" s="676" t="inlineStr">
        <is>
          <t>Équipements de télédiffusion</t>
        </is>
      </c>
      <c r="N631" s="677">
        <f>Engagements2026Juillet[[#This Row],[ESTIMATION TTC]]*1.2</f>
        <v/>
      </c>
      <c r="O631" s="678" t="n">
        <v>4141200</v>
      </c>
      <c r="P631" s="678" t="n"/>
      <c r="Q631" s="672" t="inlineStr">
        <is>
          <t>NOUVEAU BESOIN</t>
        </is>
      </c>
      <c r="R631" s="679" t="n"/>
      <c r="S631" s="680" t="n"/>
      <c r="T631" s="681" t="n"/>
      <c r="U631" s="691" t="n"/>
      <c r="V631" s="680" t="n"/>
      <c r="W631" s="680" t="n"/>
      <c r="X631" s="680" t="n"/>
      <c r="Y631" s="677" t="n"/>
      <c r="Z631" s="678" t="n"/>
      <c r="AA631" s="678" t="n"/>
      <c r="AB631" s="678" t="n"/>
      <c r="AC631" s="678" t="n"/>
      <c r="AD631" s="678" t="n"/>
      <c r="AE631" s="682" t="inlineStr">
        <is>
          <t>PREENGAGE</t>
        </is>
      </c>
      <c r="AF631" s="681" t="n"/>
      <c r="AG631" s="678" t="n"/>
      <c r="AH631" s="678" t="n"/>
      <c r="AI631" s="678" t="n"/>
      <c r="AJ631" s="678" t="n"/>
      <c r="AK631" s="683" t="n"/>
      <c r="AL631" s="683" t="n"/>
      <c r="AM631" s="681" t="n"/>
    </row>
    <row r="632" ht="50.55" customHeight="1" s="392">
      <c r="A632" s="672" t="n">
        <v>2026</v>
      </c>
      <c r="B632" s="673" t="inlineStr">
        <is>
          <t>DCT</t>
        </is>
      </c>
      <c r="C632" s="673" t="inlineStr">
        <is>
          <t>26000003 CI</t>
        </is>
      </c>
      <c r="D632" s="672" t="inlineStr">
        <is>
          <t>BCI</t>
        </is>
      </c>
      <c r="E632" s="672" t="n">
        <v>1</v>
      </c>
      <c r="F632" s="674" t="inlineStr">
        <is>
          <t>Assistanceet support "SLA" de la solution NRCS du système de production News "Newsroom" de la SNRT</t>
        </is>
      </c>
      <c r="G632" s="675" t="inlineStr">
        <is>
          <t>EN SIGNATURE</t>
        </is>
      </c>
      <c r="H632" s="672" t="inlineStr">
        <is>
          <t>EN SIGNATURE</t>
        </is>
      </c>
      <c r="I632" s="691" t="n"/>
      <c r="J632" s="675" t="inlineStr">
        <is>
          <t>GENERAL</t>
        </is>
      </c>
      <c r="K632" s="672" t="inlineStr">
        <is>
          <t>Ordinaire</t>
        </is>
      </c>
      <c r="L632" s="676" t="inlineStr">
        <is>
          <t>FONCTIONNEMENT</t>
        </is>
      </c>
      <c r="M632" s="676" t="inlineStr">
        <is>
          <t>Prestations de service
Achat prestations de services locales - sociétés</t>
        </is>
      </c>
      <c r="N632" s="677" t="n"/>
      <c r="O632" s="678" t="n"/>
      <c r="P632" s="678" t="n"/>
      <c r="Q632" s="672" t="n"/>
      <c r="R632" s="679" t="n"/>
      <c r="S632" s="680" t="n"/>
      <c r="T632" s="681" t="inlineStr">
        <is>
          <t>OCTOPUS NEWSROOM</t>
        </is>
      </c>
      <c r="U632" s="672" t="n">
        <v>2026</v>
      </c>
      <c r="V632" s="680" t="n"/>
      <c r="W632" s="680" t="n"/>
      <c r="X632" s="680" t="n">
        <v>46234</v>
      </c>
      <c r="Y632" s="677" t="n"/>
      <c r="Z632" s="678" t="n"/>
      <c r="AA632" s="678" t="n"/>
      <c r="AB632" s="678" t="n"/>
      <c r="AC632" s="678" t="n"/>
      <c r="AD632" s="678" t="n">
        <v>134289.08</v>
      </c>
      <c r="AE632" s="682" t="inlineStr">
        <is>
          <t>ENGAGE</t>
        </is>
      </c>
      <c r="AF632" s="681" t="n"/>
      <c r="AG632" s="678" t="n"/>
      <c r="AH632" s="678" t="n"/>
      <c r="AI632" s="678" t="n"/>
      <c r="AJ632" s="678" t="n"/>
      <c r="AK632" s="683" t="n"/>
      <c r="AL632" s="683" t="n"/>
      <c r="AM632" s="681" t="n"/>
    </row>
    <row r="633" ht="38.40000000000001" customHeight="1" s="392">
      <c r="A633" s="672" t="n">
        <v>2026</v>
      </c>
      <c r="B633" s="673" t="inlineStr">
        <is>
          <t>DPMG</t>
        </is>
      </c>
      <c r="C633" s="673" t="inlineStr">
        <is>
          <t>26000025 CL</t>
        </is>
      </c>
      <c r="D633" s="672" t="inlineStr">
        <is>
          <t>BCL</t>
        </is>
      </c>
      <c r="E633" s="672" t="n">
        <v>1</v>
      </c>
      <c r="F633" s="674" t="inlineStr">
        <is>
          <t>Prestations de restauration au profit du personnel des directions du siège et des annexes de la SNRT à RABAT</t>
        </is>
      </c>
      <c r="G633" s="675" t="inlineStr">
        <is>
          <t>VALIDE</t>
        </is>
      </c>
      <c r="H633" s="672" t="inlineStr">
        <is>
          <t>APPROUVE</t>
        </is>
      </c>
      <c r="I633" s="691" t="n"/>
      <c r="J633" s="675" t="inlineStr">
        <is>
          <t>GENERAL</t>
        </is>
      </c>
      <c r="K633" s="672" t="inlineStr">
        <is>
          <t>Ordinaire</t>
        </is>
      </c>
      <c r="L633" s="676" t="inlineStr">
        <is>
          <t>FONCTIONNEMENT</t>
        </is>
      </c>
      <c r="M633" s="676" t="inlineStr">
        <is>
          <t>Déplacements, missions et réceptions</t>
        </is>
      </c>
      <c r="N633" s="677" t="n"/>
      <c r="O633" s="678" t="n"/>
      <c r="P633" s="678" t="n"/>
      <c r="Q633" s="672" t="n"/>
      <c r="R633" s="679" t="n"/>
      <c r="S633" s="680" t="n"/>
      <c r="T633" s="681" t="inlineStr">
        <is>
          <t>GO FRESH</t>
        </is>
      </c>
      <c r="U633" s="680" t="n">
        <v>46120</v>
      </c>
      <c r="V633" s="680" t="n"/>
      <c r="W633" s="680" t="n"/>
      <c r="X633" s="680" t="n"/>
      <c r="Y633" s="677" t="n"/>
      <c r="Z633" s="678" t="n"/>
      <c r="AA633" s="678" t="n"/>
      <c r="AB633" s="678" t="n">
        <v>490050</v>
      </c>
      <c r="AC633" s="678" t="n">
        <v>445500</v>
      </c>
      <c r="AD633" s="678" t="n">
        <v>490050</v>
      </c>
      <c r="AE633" s="682" t="inlineStr">
        <is>
          <t>ENGAGE</t>
        </is>
      </c>
      <c r="AF633" s="681" t="n"/>
      <c r="AG633" s="678" t="n"/>
      <c r="AH633" s="678" t="n"/>
      <c r="AI633" s="678" t="n"/>
      <c r="AJ633" s="678" t="n"/>
      <c r="AK633" s="683" t="n"/>
      <c r="AL633" s="683" t="n"/>
      <c r="AM633" s="681" t="n"/>
    </row>
    <row r="634" ht="35.7" customHeight="1" s="392">
      <c r="A634" s="672" t="n">
        <v>2026</v>
      </c>
      <c r="B634" s="673" t="inlineStr">
        <is>
          <t>DPMG</t>
        </is>
      </c>
      <c r="C634" s="673" t="inlineStr">
        <is>
          <t>26000026 CL</t>
        </is>
      </c>
      <c r="D634" s="672" t="inlineStr">
        <is>
          <t>BCL</t>
        </is>
      </c>
      <c r="E634" s="672" t="n">
        <v>1</v>
      </c>
      <c r="F634" s="674" t="inlineStr">
        <is>
          <t>Achat de gasoil pour chauffage</t>
        </is>
      </c>
      <c r="G634" s="675" t="inlineStr">
        <is>
          <t>VALIDE</t>
        </is>
      </c>
      <c r="H634" s="672" t="inlineStr">
        <is>
          <t>APPROUVE</t>
        </is>
      </c>
      <c r="I634" s="691" t="n"/>
      <c r="J634" s="675" t="inlineStr">
        <is>
          <t>GENERAL</t>
        </is>
      </c>
      <c r="K634" s="672" t="inlineStr">
        <is>
          <t>Ordinaire</t>
        </is>
      </c>
      <c r="L634" s="676" t="inlineStr">
        <is>
          <t>FONCTIONNEMENT</t>
        </is>
      </c>
      <c r="M634" s="676" t="inlineStr">
        <is>
          <t xml:space="preserve">Achats non stockés de matières et fournitures </t>
        </is>
      </c>
      <c r="N634" s="677" t="n"/>
      <c r="O634" s="678" t="n"/>
      <c r="P634" s="678" t="n"/>
      <c r="Q634" s="672" t="n"/>
      <c r="R634" s="679" t="n"/>
      <c r="S634" s="680" t="n"/>
      <c r="T634" s="681" t="inlineStr">
        <is>
          <t>AFRIQUIA SMDC</t>
        </is>
      </c>
      <c r="U634" s="680" t="n">
        <v>46129</v>
      </c>
      <c r="V634" s="680" t="n"/>
      <c r="W634" s="680" t="n"/>
      <c r="X634" s="680" t="n"/>
      <c r="Y634" s="677" t="n"/>
      <c r="Z634" s="678" t="n"/>
      <c r="AA634" s="678" t="n"/>
      <c r="AB634" s="678" t="n">
        <v>297000</v>
      </c>
      <c r="AC634" s="678" t="n">
        <v>270000</v>
      </c>
      <c r="AD634" s="678" t="n">
        <v>297000</v>
      </c>
      <c r="AE634" s="682" t="inlineStr">
        <is>
          <t>ENGAGE</t>
        </is>
      </c>
      <c r="AF634" s="681" t="n"/>
      <c r="AG634" s="678" t="n"/>
      <c r="AH634" s="678" t="n"/>
      <c r="AI634" s="678" t="n"/>
      <c r="AJ634" s="678" t="n"/>
      <c r="AK634" s="683" t="n"/>
      <c r="AL634" s="683" t="n"/>
      <c r="AM634" s="681" t="n"/>
    </row>
    <row r="635" ht="35.7" customHeight="1" s="392">
      <c r="A635" s="672" t="n">
        <v>2026</v>
      </c>
      <c r="B635" s="673" t="inlineStr">
        <is>
          <t>DPMG</t>
        </is>
      </c>
      <c r="C635" s="673" t="inlineStr">
        <is>
          <t>26000032 CL</t>
        </is>
      </c>
      <c r="D635" s="672" t="inlineStr">
        <is>
          <t>BCL</t>
        </is>
      </c>
      <c r="E635" s="672" t="n">
        <v>1</v>
      </c>
      <c r="F635" s="674" t="inlineStr">
        <is>
          <t>Impression papier en-tete</t>
        </is>
      </c>
      <c r="G635" s="675" t="inlineStr">
        <is>
          <t>VALIDE</t>
        </is>
      </c>
      <c r="H635" s="672" t="inlineStr">
        <is>
          <t>APPROUVE</t>
        </is>
      </c>
      <c r="I635" s="691" t="n"/>
      <c r="J635" s="675" t="inlineStr">
        <is>
          <t>GENERAL</t>
        </is>
      </c>
      <c r="K635" s="672" t="inlineStr">
        <is>
          <t>Ordinaire</t>
        </is>
      </c>
      <c r="L635" s="676" t="inlineStr">
        <is>
          <t>FONCTIONNEMENT</t>
        </is>
      </c>
      <c r="M635" s="676" t="inlineStr">
        <is>
          <t>Achats de matières et fournitures consommables</t>
        </is>
      </c>
      <c r="N635" s="677" t="n"/>
      <c r="O635" s="678" t="n"/>
      <c r="P635" s="678" t="n"/>
      <c r="Q635" s="672" t="n"/>
      <c r="R635" s="679" t="n"/>
      <c r="S635" s="680" t="n"/>
      <c r="T635" s="681" t="inlineStr">
        <is>
          <t>IMPRIMERIE PAPETRIE EL FADIL</t>
        </is>
      </c>
      <c r="U635" s="680" t="n">
        <v>46135</v>
      </c>
      <c r="V635" s="680" t="n"/>
      <c r="W635" s="680" t="n"/>
      <c r="X635" s="680" t="n"/>
      <c r="Y635" s="677" t="n"/>
      <c r="Z635" s="678" t="n"/>
      <c r="AA635" s="678" t="n"/>
      <c r="AB635" s="678" t="n">
        <v>57000</v>
      </c>
      <c r="AC635" s="678" t="n">
        <v>47500</v>
      </c>
      <c r="AD635" s="678" t="n">
        <v>57000</v>
      </c>
      <c r="AE635" s="682" t="inlineStr">
        <is>
          <t>ENGAGE</t>
        </is>
      </c>
      <c r="AF635" s="681" t="n"/>
      <c r="AG635" s="678" t="n"/>
      <c r="AH635" s="678" t="n"/>
      <c r="AI635" s="678" t="n"/>
      <c r="AJ635" s="678" t="n"/>
      <c r="AK635" s="683" t="n"/>
      <c r="AL635" s="683" t="n"/>
      <c r="AM635" s="681" t="n"/>
    </row>
    <row r="636" ht="38.40000000000001" customHeight="1" s="392">
      <c r="A636" s="672" t="n">
        <v>2026</v>
      </c>
      <c r="B636" s="673" t="inlineStr">
        <is>
          <t>DPMG</t>
        </is>
      </c>
      <c r="C636" s="673" t="inlineStr">
        <is>
          <t>26000033 CL</t>
        </is>
      </c>
      <c r="D636" s="672" t="inlineStr">
        <is>
          <t>BCL</t>
        </is>
      </c>
      <c r="E636" s="672" t="n">
        <v>1</v>
      </c>
      <c r="F636" s="674" t="inlineStr">
        <is>
          <t>Achat de 2000 paquets de 12 bouteilles d'eau minérale 0,5 L</t>
        </is>
      </c>
      <c r="G636" s="675" t="inlineStr">
        <is>
          <t>VALIDE</t>
        </is>
      </c>
      <c r="H636" s="672" t="inlineStr">
        <is>
          <t>APPROUVE</t>
        </is>
      </c>
      <c r="I636" s="691" t="n"/>
      <c r="J636" s="675" t="inlineStr">
        <is>
          <t>GENERAL</t>
        </is>
      </c>
      <c r="K636" s="672" t="inlineStr">
        <is>
          <t>Ordinaire</t>
        </is>
      </c>
      <c r="L636" s="676" t="inlineStr">
        <is>
          <t>FONCTIONNEMENT</t>
        </is>
      </c>
      <c r="M636" s="676" t="inlineStr">
        <is>
          <t>Déplacements, missions et réceptions</t>
        </is>
      </c>
      <c r="N636" s="677" t="n"/>
      <c r="O636" s="678" t="n"/>
      <c r="P636" s="678" t="n"/>
      <c r="Q636" s="672" t="n"/>
      <c r="R636" s="679" t="n"/>
      <c r="S636" s="680" t="n"/>
      <c r="T636" s="681" t="inlineStr">
        <is>
          <t>LES EAUX MINERALES D'OULMES</t>
        </is>
      </c>
      <c r="U636" s="680" t="n">
        <v>46135</v>
      </c>
      <c r="V636" s="680" t="n"/>
      <c r="W636" s="680" t="n"/>
      <c r="X636" s="680" t="n"/>
      <c r="Y636" s="677" t="n"/>
      <c r="Z636" s="678" t="n"/>
      <c r="AA636" s="678" t="n"/>
      <c r="AB636" s="678" t="n">
        <v>65592</v>
      </c>
      <c r="AC636" s="678" t="n">
        <v>54660</v>
      </c>
      <c r="AD636" s="678" t="n">
        <v>65592</v>
      </c>
      <c r="AE636" s="682" t="inlineStr">
        <is>
          <t>ENGAGE</t>
        </is>
      </c>
      <c r="AF636" s="681" t="n"/>
      <c r="AG636" s="678" t="n"/>
      <c r="AH636" s="678" t="n"/>
      <c r="AI636" s="678" t="n"/>
      <c r="AJ636" s="678" t="n"/>
      <c r="AK636" s="683" t="n"/>
      <c r="AL636" s="683" t="n"/>
      <c r="AM636" s="681" t="n"/>
    </row>
    <row r="637" ht="38.40000000000001" customHeight="1" s="392">
      <c r="A637" s="672" t="n">
        <v>2026</v>
      </c>
      <c r="B637" s="673" t="inlineStr">
        <is>
          <t>DMPTV</t>
        </is>
      </c>
      <c r="C637" s="673" t="inlineStr">
        <is>
          <t>26000040 CL</t>
        </is>
      </c>
      <c r="D637" s="672" t="inlineStr">
        <is>
          <t>BCL</t>
        </is>
      </c>
      <c r="E637" s="672" t="n">
        <v>1</v>
      </c>
      <c r="F637" s="674" t="inlineStr">
        <is>
          <t>Fourniture et pose du mobilier d'exposition pour le Stand SNRT (trophee hassan II Golf 2026)</t>
        </is>
      </c>
      <c r="G637" s="675" t="inlineStr">
        <is>
          <t>VALIDE</t>
        </is>
      </c>
      <c r="H637" s="672" t="inlineStr">
        <is>
          <t>APPROUVE</t>
        </is>
      </c>
      <c r="I637" s="691" t="n"/>
      <c r="J637" s="675" t="inlineStr">
        <is>
          <t>GENERAL</t>
        </is>
      </c>
      <c r="K637" s="672" t="inlineStr">
        <is>
          <t>Ordinaire</t>
        </is>
      </c>
      <c r="L637" s="676" t="inlineStr">
        <is>
          <t>FONCTIONNEMENT</t>
        </is>
      </c>
      <c r="M637" s="676" t="inlineStr">
        <is>
          <t>Charges marketing et relations publiques</t>
        </is>
      </c>
      <c r="N637" s="677" t="n"/>
      <c r="O637" s="678" t="n"/>
      <c r="P637" s="678" t="n"/>
      <c r="Q637" s="672" t="n"/>
      <c r="R637" s="679" t="n"/>
      <c r="S637" s="680" t="n"/>
      <c r="T637" s="681" t="inlineStr">
        <is>
          <t>RT CONCEPT MAROC</t>
        </is>
      </c>
      <c r="U637" s="680" t="n">
        <v>46150</v>
      </c>
      <c r="V637" s="680" t="n"/>
      <c r="W637" s="680" t="n"/>
      <c r="X637" s="680" t="n"/>
      <c r="Y637" s="677" t="n"/>
      <c r="Z637" s="678" t="n"/>
      <c r="AA637" s="678" t="n"/>
      <c r="AB637" s="678" t="n">
        <v>106200</v>
      </c>
      <c r="AC637" s="678" t="n">
        <v>88500</v>
      </c>
      <c r="AD637" s="678" t="n">
        <v>106200</v>
      </c>
      <c r="AE637" s="682" t="inlineStr">
        <is>
          <t>ENGAGE</t>
        </is>
      </c>
      <c r="AF637" s="681" t="n"/>
      <c r="AG637" s="678" t="n"/>
      <c r="AH637" s="678" t="n"/>
      <c r="AI637" s="678" t="n"/>
      <c r="AJ637" s="678" t="n"/>
      <c r="AK637" s="683" t="n"/>
      <c r="AL637" s="683" t="n"/>
      <c r="AM637" s="681" t="n"/>
    </row>
    <row r="638" ht="38.40000000000001" customHeight="1" s="392">
      <c r="A638" s="672" t="n">
        <v>2026</v>
      </c>
      <c r="B638" s="673" t="inlineStr">
        <is>
          <t>DPMG</t>
        </is>
      </c>
      <c r="C638" s="673" t="inlineStr">
        <is>
          <t>26000046 CL</t>
        </is>
      </c>
      <c r="D638" s="672" t="inlineStr">
        <is>
          <t>BCL</t>
        </is>
      </c>
      <c r="E638" s="672" t="n">
        <v>1</v>
      </c>
      <c r="F638" s="674" t="inlineStr">
        <is>
          <t>Achat des tonners rouges originaux pour une machine à affranchir NEOPOST I J 40</t>
        </is>
      </c>
      <c r="G638" s="675" t="inlineStr">
        <is>
          <t>VALIDE</t>
        </is>
      </c>
      <c r="H638" s="672" t="inlineStr">
        <is>
          <t>APPROUVE</t>
        </is>
      </c>
      <c r="I638" s="691" t="n"/>
      <c r="J638" s="675" t="inlineStr">
        <is>
          <t>GENERAL</t>
        </is>
      </c>
      <c r="K638" s="672" t="inlineStr">
        <is>
          <t>Ordinaire</t>
        </is>
      </c>
      <c r="L638" s="676" t="inlineStr">
        <is>
          <t>FONCTIONNEMENT</t>
        </is>
      </c>
      <c r="M638" s="676" t="inlineStr">
        <is>
          <t>Matériel de bureau</t>
        </is>
      </c>
      <c r="N638" s="677" t="n"/>
      <c r="O638" s="678" t="n"/>
      <c r="P638" s="678" t="n"/>
      <c r="Q638" s="672" t="n"/>
      <c r="R638" s="679" t="n"/>
      <c r="S638" s="680" t="n"/>
      <c r="T638" s="681" t="inlineStr">
        <is>
          <t>MAJD TECHNOLOGIE</t>
        </is>
      </c>
      <c r="U638" s="680" t="n">
        <v>46183</v>
      </c>
      <c r="V638" s="680" t="n"/>
      <c r="W638" s="680" t="n"/>
      <c r="X638" s="680" t="n"/>
      <c r="Y638" s="677" t="n"/>
      <c r="Z638" s="678" t="n"/>
      <c r="AA638" s="678" t="n"/>
      <c r="AB638" s="678" t="n">
        <v>4200</v>
      </c>
      <c r="AC638" s="678" t="n">
        <v>3500</v>
      </c>
      <c r="AD638" s="678" t="n">
        <v>4200</v>
      </c>
      <c r="AE638" s="682" t="inlineStr">
        <is>
          <t>ENGAGE</t>
        </is>
      </c>
      <c r="AF638" s="681" t="n"/>
      <c r="AG638" s="678" t="n"/>
      <c r="AH638" s="678" t="n"/>
      <c r="AI638" s="678" t="n"/>
      <c r="AJ638" s="678" t="n"/>
      <c r="AK638" s="683" t="n"/>
      <c r="AL638" s="683" t="n"/>
      <c r="AM638" s="681" t="n"/>
    </row>
    <row r="639" ht="38.40000000000001" customHeight="1" s="392">
      <c r="A639" s="672" t="n">
        <v>2026</v>
      </c>
      <c r="B639" s="673" t="inlineStr">
        <is>
          <t>DCPA</t>
        </is>
      </c>
      <c r="C639" s="673" t="inlineStr">
        <is>
          <t>26000014 CL</t>
        </is>
      </c>
      <c r="D639" s="672" t="inlineStr">
        <is>
          <t>BCL</t>
        </is>
      </c>
      <c r="E639" s="672" t="n">
        <v>1</v>
      </c>
      <c r="F639" s="674" t="inlineStr">
        <is>
          <t xml:space="preserve">Location du matériel d'éclairage pour le tournage des 30 épisodes de "Musique Andalousie" </t>
        </is>
      </c>
      <c r="G639" s="675" t="inlineStr">
        <is>
          <t>VALIDE</t>
        </is>
      </c>
      <c r="H639" s="672" t="inlineStr">
        <is>
          <t>APPROUVE</t>
        </is>
      </c>
      <c r="I639" s="691" t="n"/>
      <c r="J639" s="675" t="inlineStr">
        <is>
          <t>GENERAL</t>
        </is>
      </c>
      <c r="K639" s="672" t="inlineStr">
        <is>
          <t>Ordinaire</t>
        </is>
      </c>
      <c r="L639" s="676" t="inlineStr">
        <is>
          <t>FONCTIONNEMENT</t>
        </is>
      </c>
      <c r="M639" s="676" t="inlineStr">
        <is>
          <t xml:space="preserve">Achats non stockés de matières et fournitures </t>
        </is>
      </c>
      <c r="N639" s="677" t="n"/>
      <c r="O639" s="678" t="n"/>
      <c r="P639" s="678" t="n"/>
      <c r="Q639" s="672" t="n"/>
      <c r="R639" s="679" t="n"/>
      <c r="S639" s="680" t="n"/>
      <c r="T639" s="681" t="inlineStr">
        <is>
          <t>BEST PRODUCTION</t>
        </is>
      </c>
      <c r="U639" s="680" t="n">
        <v>46092</v>
      </c>
      <c r="V639" s="680" t="n"/>
      <c r="W639" s="680" t="n"/>
      <c r="X639" s="680" t="n"/>
      <c r="Y639" s="677" t="n"/>
      <c r="Z639" s="678" t="n"/>
      <c r="AA639" s="678" t="n"/>
      <c r="AB639" s="678" t="n">
        <v>22800</v>
      </c>
      <c r="AC639" s="678" t="n">
        <v>19000</v>
      </c>
      <c r="AD639" s="678" t="n">
        <v>22800</v>
      </c>
      <c r="AE639" s="682" t="inlineStr">
        <is>
          <t>ENGAGE</t>
        </is>
      </c>
      <c r="AF639" s="681" t="n"/>
      <c r="AG639" s="678" t="n"/>
      <c r="AH639" s="678" t="n"/>
      <c r="AI639" s="678" t="n"/>
      <c r="AJ639" s="678" t="n"/>
      <c r="AK639" s="683" t="n"/>
      <c r="AL639" s="683" t="n"/>
      <c r="AM639" s="681" t="n"/>
    </row>
    <row r="640" ht="70.80000000000001" customHeight="1" s="392">
      <c r="A640" s="672" t="n">
        <v>2026</v>
      </c>
      <c r="B640" s="673" t="inlineStr">
        <is>
          <t>DPMG</t>
        </is>
      </c>
      <c r="C640" s="673" t="inlineStr">
        <is>
          <t>26000070 CL</t>
        </is>
      </c>
      <c r="D640" s="672" t="inlineStr">
        <is>
          <t>BCL</t>
        </is>
      </c>
      <c r="E640" s="672" t="n">
        <v>1</v>
      </c>
      <c r="F640" s="674" t="inlineStr">
        <is>
          <t>Prestation de restauration au profit du personnel assurant la couverture TV de la CAN Féminine 2026 émission : Lil Hadit Bakia , et couverture des éléctions législatives 2026</t>
        </is>
      </c>
      <c r="G640" s="675" t="inlineStr">
        <is>
          <t>VALIDE</t>
        </is>
      </c>
      <c r="H640" s="672" t="inlineStr">
        <is>
          <t>APPROUVE</t>
        </is>
      </c>
      <c r="I640" s="691" t="n"/>
      <c r="J640" s="675" t="inlineStr">
        <is>
          <t>GENERAL</t>
        </is>
      </c>
      <c r="K640" s="672" t="inlineStr">
        <is>
          <t>Ordinaire</t>
        </is>
      </c>
      <c r="L640" s="676" t="inlineStr">
        <is>
          <t>FONCTIONNEMENT</t>
        </is>
      </c>
      <c r="M640" s="676" t="inlineStr">
        <is>
          <t>Déplacements, missions et réceptions</t>
        </is>
      </c>
      <c r="N640" s="677" t="n"/>
      <c r="O640" s="678" t="n"/>
      <c r="P640" s="678" t="n"/>
      <c r="Q640" s="672" t="n"/>
      <c r="R640" s="679" t="n"/>
      <c r="S640" s="680" t="n"/>
      <c r="T640" s="681" t="inlineStr">
        <is>
          <t>GO FRESH</t>
        </is>
      </c>
      <c r="U640" s="691" t="n"/>
      <c r="V640" s="680" t="n"/>
      <c r="W640" s="680" t="n"/>
      <c r="X640" s="680" t="n">
        <v>46232</v>
      </c>
      <c r="Y640" s="677" t="n"/>
      <c r="Z640" s="678" t="n"/>
      <c r="AA640" s="678" t="n"/>
      <c r="AB640" s="678" t="n">
        <v>459030</v>
      </c>
      <c r="AC640" s="678" t="n">
        <v>417300</v>
      </c>
      <c r="AD640" s="678" t="n">
        <v>459030</v>
      </c>
      <c r="AE640" s="682" t="inlineStr">
        <is>
          <t>ENGAGE</t>
        </is>
      </c>
      <c r="AF640" s="681" t="n"/>
      <c r="AG640" s="678" t="n"/>
      <c r="AH640" s="678" t="n"/>
      <c r="AI640" s="678" t="n"/>
      <c r="AJ640" s="678" t="n"/>
      <c r="AK640" s="683" t="n"/>
      <c r="AL640" s="683" t="n"/>
      <c r="AM640" s="681" t="n"/>
    </row>
    <row r="641" ht="38.40000000000001" customHeight="1" s="392">
      <c r="A641" s="672" t="n">
        <v>2026</v>
      </c>
      <c r="B641" s="673" t="inlineStr">
        <is>
          <t>TDF -SITES</t>
        </is>
      </c>
      <c r="C641" s="673" t="inlineStr">
        <is>
          <t>26000056 CL</t>
        </is>
      </c>
      <c r="D641" s="672" t="inlineStr">
        <is>
          <t>BCL</t>
        </is>
      </c>
      <c r="E641" s="672" t="n">
        <v>1</v>
      </c>
      <c r="F641" s="674" t="inlineStr">
        <is>
          <t xml:space="preserve">Diagnostic et expertise des onduleurs de tyoe 93E de marque Eaton et de puissance 80KVA </t>
        </is>
      </c>
      <c r="G641" s="675" t="inlineStr">
        <is>
          <t>VALIDE</t>
        </is>
      </c>
      <c r="H641" s="672" t="inlineStr">
        <is>
          <t>APPROUVE</t>
        </is>
      </c>
      <c r="I641" s="691" t="n"/>
      <c r="J641" s="675" t="inlineStr">
        <is>
          <t>GENERAL</t>
        </is>
      </c>
      <c r="K641" s="672" t="inlineStr">
        <is>
          <t>Ordinaire</t>
        </is>
      </c>
      <c r="L641" s="676" t="inlineStr">
        <is>
          <t>INVESTISSEMENT</t>
        </is>
      </c>
      <c r="M641" s="676" t="inlineStr">
        <is>
          <t>Prestations de service à immobiliser</t>
        </is>
      </c>
      <c r="N641" s="677" t="n"/>
      <c r="O641" s="678" t="n"/>
      <c r="P641" s="678" t="n"/>
      <c r="Q641" s="672" t="n"/>
      <c r="R641" s="679" t="n"/>
      <c r="S641" s="680" t="n"/>
      <c r="T641" s="681" t="inlineStr">
        <is>
          <t>EATON ELECTRIC</t>
        </is>
      </c>
      <c r="U641" s="691" t="n"/>
      <c r="V641" s="680" t="n"/>
      <c r="W641" s="680" t="n"/>
      <c r="X641" s="680" t="n">
        <v>46245</v>
      </c>
      <c r="Y641" s="677" t="n"/>
      <c r="Z641" s="678" t="n"/>
      <c r="AA641" s="678" t="n"/>
      <c r="AB641" s="678" t="n">
        <v>19200</v>
      </c>
      <c r="AC641" s="678" t="n">
        <v>16000</v>
      </c>
      <c r="AD641" s="678" t="n">
        <v>19200</v>
      </c>
      <c r="AE641" s="682" t="inlineStr">
        <is>
          <t>ENGAGE</t>
        </is>
      </c>
      <c r="AF641" s="681" t="n"/>
      <c r="AG641" s="678" t="n"/>
      <c r="AH641" s="678" t="n"/>
      <c r="AI641" s="678" t="n"/>
      <c r="AJ641" s="678" t="n"/>
      <c r="AK641" s="683" t="n"/>
      <c r="AL641" s="683" t="n"/>
      <c r="AM641" s="681" t="n"/>
    </row>
    <row r="642" ht="50.55" customHeight="1" s="392">
      <c r="A642" s="672" t="n">
        <v>2026</v>
      </c>
      <c r="B642" s="673" t="inlineStr">
        <is>
          <t>DPMG</t>
        </is>
      </c>
      <c r="C642" s="673" t="inlineStr">
        <is>
          <t>67AOM/SNRT/2026</t>
        </is>
      </c>
      <c r="D642" s="672" t="inlineStr">
        <is>
          <t>AOO-M</t>
        </is>
      </c>
      <c r="E642" s="672" t="n">
        <v>1</v>
      </c>
      <c r="F642" s="674" t="inlineStr">
        <is>
          <t xml:space="preserve"> Inventaire physique et fiabilisation du fichier comptable des immobilisations de la SNRT</t>
        </is>
      </c>
      <c r="G642" s="675" t="inlineStr">
        <is>
          <t>EN SIGNATURE</t>
        </is>
      </c>
      <c r="H642" s="672" t="inlineStr">
        <is>
          <t>EN SIGNATURE</t>
        </is>
      </c>
      <c r="I642" s="691" t="n"/>
      <c r="J642" s="675" t="inlineStr">
        <is>
          <t>GENERAL</t>
        </is>
      </c>
      <c r="K642" s="672" t="inlineStr">
        <is>
          <t>Ordinaire</t>
        </is>
      </c>
      <c r="L642" s="676" t="inlineStr">
        <is>
          <t>FONCTIONNEMENT</t>
        </is>
      </c>
      <c r="M642" s="676" t="inlineStr">
        <is>
          <t>Prestations de service Achat prestations de services locales - sociétés</t>
        </is>
      </c>
      <c r="N642" s="677">
        <f>Engagements2026Juillet[[#This Row],[ESTIMATION TTC]]*1.2</f>
        <v/>
      </c>
      <c r="O642" s="678" t="n">
        <v>2400000</v>
      </c>
      <c r="P642" s="678" t="n"/>
      <c r="Q642" s="672" t="n"/>
      <c r="R642" s="679" t="n"/>
      <c r="S642" s="680" t="n"/>
      <c r="T642" s="681" t="n"/>
      <c r="U642" s="691" t="n"/>
      <c r="V642" s="680" t="n"/>
      <c r="W642" s="680" t="n"/>
      <c r="X642" s="680" t="n"/>
      <c r="Y642" s="677" t="n"/>
      <c r="Z642" s="678" t="n"/>
      <c r="AA642" s="678" t="n"/>
      <c r="AB642" s="678" t="n"/>
      <c r="AC642" s="678" t="n"/>
      <c r="AD642" s="678" t="n"/>
      <c r="AE642" s="682" t="inlineStr">
        <is>
          <t>EN COURS DE PREENGAGEMENT</t>
        </is>
      </c>
      <c r="AF642" s="681" t="n"/>
      <c r="AG642" s="678" t="n"/>
      <c r="AH642" s="678" t="n"/>
      <c r="AI642" s="678" t="n"/>
      <c r="AJ642" s="678" t="n"/>
      <c r="AK642" s="683" t="n"/>
      <c r="AL642" s="683" t="n"/>
      <c r="AM642" s="681" t="n"/>
    </row>
    <row r="643" ht="54.6" customHeight="1" s="392">
      <c r="A643" s="672" t="n">
        <v>2026</v>
      </c>
      <c r="B643" s="673" t="inlineStr">
        <is>
          <t>DPMG</t>
        </is>
      </c>
      <c r="C643" s="673" t="inlineStr">
        <is>
          <t>26000606 CT</t>
        </is>
      </c>
      <c r="D643" s="672" t="inlineStr">
        <is>
          <t>CONTRAT</t>
        </is>
      </c>
      <c r="E643" s="672" t="n">
        <v>1</v>
      </c>
      <c r="F643" s="674" t="inlineStr">
        <is>
          <t>la fourniture des vignettes pour payer les frais de transport par voie terrestre du personnel de la SNRT pour l'exercice de 2026</t>
        </is>
      </c>
      <c r="G643" s="675" t="inlineStr">
        <is>
          <t>VALIDE</t>
        </is>
      </c>
      <c r="H643" s="672" t="inlineStr">
        <is>
          <t>APPROUVE</t>
        </is>
      </c>
      <c r="I643" s="691" t="n"/>
      <c r="J643" s="675" t="inlineStr">
        <is>
          <t>GENERAL</t>
        </is>
      </c>
      <c r="K643" s="672" t="inlineStr">
        <is>
          <t>Ordinaire</t>
        </is>
      </c>
      <c r="L643" s="676" t="inlineStr">
        <is>
          <t>FONCTIONNEMENT</t>
        </is>
      </c>
      <c r="M643" s="676" t="inlineStr">
        <is>
          <t>Déplacements, missions et réceptions</t>
        </is>
      </c>
      <c r="N643" s="677" t="n"/>
      <c r="O643" s="678" t="n"/>
      <c r="P643" s="678" t="n"/>
      <c r="Q643" s="672" t="n"/>
      <c r="R643" s="679" t="n"/>
      <c r="S643" s="680" t="n"/>
      <c r="T643" s="681" t="inlineStr">
        <is>
          <t>SNTL</t>
        </is>
      </c>
      <c r="U643" s="691" t="n"/>
      <c r="V643" s="680" t="n"/>
      <c r="W643" s="680" t="n"/>
      <c r="X643" s="680" t="n"/>
      <c r="Y643" s="677" t="n"/>
      <c r="Z643" s="678" t="n"/>
      <c r="AA643" s="678" t="n"/>
      <c r="AB643" s="678" t="n">
        <v>200000</v>
      </c>
      <c r="AC643" s="678" t="n"/>
      <c r="AD643" s="678" t="n">
        <v>200000</v>
      </c>
      <c r="AE643" s="682" t="inlineStr">
        <is>
          <t>ENGAGE</t>
        </is>
      </c>
      <c r="AF643" s="681" t="n"/>
      <c r="AG643" s="678" t="n"/>
      <c r="AH643" s="678" t="n"/>
      <c r="AI643" s="678" t="n"/>
      <c r="AJ643" s="678" t="n"/>
      <c r="AK643" s="683" t="n"/>
      <c r="AL643" s="683" t="n"/>
      <c r="AM643" s="681" t="n"/>
    </row>
    <row r="644" ht="70.80000000000001" customHeight="1" s="392">
      <c r="A644" s="672" t="n">
        <v>2026</v>
      </c>
      <c r="B644" s="673" t="inlineStr">
        <is>
          <t>DINFOTV</t>
        </is>
      </c>
      <c r="C644" s="673" t="inlineStr">
        <is>
          <t>26000609 CT</t>
        </is>
      </c>
      <c r="D644" s="672" t="inlineStr">
        <is>
          <t>CONTRAT</t>
        </is>
      </c>
      <c r="E644" s="672" t="n">
        <v>1</v>
      </c>
      <c r="F644" s="674" t="inlineStr">
        <is>
          <t>Aquisition auprés de REUTERS de services et de droits d'utilisation et de diffusion de contenus d'actualité sur les chaines de télévision et les supports numériques de la SNRT</t>
        </is>
      </c>
      <c r="G644" s="675" t="inlineStr">
        <is>
          <t>EN SIGNATURE</t>
        </is>
      </c>
      <c r="H644" s="672" t="inlineStr">
        <is>
          <t>EN SIGNATURE</t>
        </is>
      </c>
      <c r="I644" s="691" t="n"/>
      <c r="J644" s="675" t="inlineStr">
        <is>
          <t>GENERAL</t>
        </is>
      </c>
      <c r="K644" s="672" t="inlineStr">
        <is>
          <t>Ordinaire</t>
        </is>
      </c>
      <c r="L644" s="676" t="inlineStr">
        <is>
          <t>FONCTIONNEMENT</t>
        </is>
      </c>
      <c r="M644" s="676" t="inlineStr">
        <is>
          <t>Prestations de service
Achat prestations de services étrangères</t>
        </is>
      </c>
      <c r="N644" s="677" t="n"/>
      <c r="O644" s="678" t="n"/>
      <c r="P644" s="678" t="n"/>
      <c r="Q644" s="672" t="n"/>
      <c r="R644" s="679" t="n"/>
      <c r="S644" s="680" t="n"/>
      <c r="T644" s="681" t="inlineStr">
        <is>
          <t>REUTERS</t>
        </is>
      </c>
      <c r="U644" s="691" t="n"/>
      <c r="V644" s="680" t="n"/>
      <c r="W644" s="680" t="n"/>
      <c r="X644" s="680" t="n"/>
      <c r="Y644" s="677" t="n"/>
      <c r="Z644" s="678" t="n"/>
      <c r="AA644" s="678" t="n"/>
      <c r="AB644" s="678" t="n"/>
      <c r="AC644" s="678" t="n"/>
      <c r="AD644" s="678" t="n">
        <v>1082231.34</v>
      </c>
      <c r="AE644" s="682" t="inlineStr">
        <is>
          <t>EN COURS D'ENGAGEMENT</t>
        </is>
      </c>
      <c r="AF644" s="681" t="n"/>
      <c r="AG644" s="678" t="n"/>
      <c r="AH644" s="678" t="n"/>
      <c r="AI644" s="678" t="n"/>
      <c r="AJ644" s="678" t="n"/>
      <c r="AK644" s="683" t="n"/>
      <c r="AL644" s="683" t="n"/>
      <c r="AM644" s="681" t="n"/>
    </row>
    <row r="645" ht="38.40000000000001" customHeight="1" s="392">
      <c r="A645" s="672" t="n">
        <v>2026</v>
      </c>
      <c r="B645" s="673" t="inlineStr">
        <is>
          <t>TDF-EXP&amp;MAIN</t>
        </is>
      </c>
      <c r="C645" s="673" t="inlineStr">
        <is>
          <t>66AOM/SNRT/2026</t>
        </is>
      </c>
      <c r="D645" s="672" t="inlineStr">
        <is>
          <t>AOO-M</t>
        </is>
      </c>
      <c r="E645" s="672" t="n">
        <v>1</v>
      </c>
      <c r="F645" s="674" t="inlineStr">
        <is>
          <t>Fourniture des modules et pièces de rechange pour les émetteurs FM 10 KW et 5 KW de marque RFE</t>
        </is>
      </c>
      <c r="G645" s="675" t="inlineStr">
        <is>
          <t>VALIDE</t>
        </is>
      </c>
      <c r="H645" s="672" t="inlineStr">
        <is>
          <t>PHASE AOO</t>
        </is>
      </c>
      <c r="I645" s="691" t="n"/>
      <c r="J645" s="675" t="inlineStr">
        <is>
          <t>GENERAL</t>
        </is>
      </c>
      <c r="K645" s="672" t="inlineStr">
        <is>
          <t>Ordinaire</t>
        </is>
      </c>
      <c r="L645" s="676" t="inlineStr">
        <is>
          <t>FONCTIONNEMENT</t>
        </is>
      </c>
      <c r="M645" s="676" t="inlineStr">
        <is>
          <t>Achats de matières et fournitures consommables</t>
        </is>
      </c>
      <c r="N645" s="677">
        <f>Engagements2026Juillet[[#This Row],[ESTIMATION TTC]]*1.2</f>
        <v/>
      </c>
      <c r="O645" s="678" t="n">
        <v>2945880</v>
      </c>
      <c r="P645" s="678" t="n"/>
      <c r="Q645" s="672" t="n"/>
      <c r="R645" s="679" t="n"/>
      <c r="S645" s="680" t="n"/>
      <c r="T645" s="681" t="n"/>
      <c r="U645" s="691" t="n"/>
      <c r="V645" s="680" t="n"/>
      <c r="W645" s="680" t="n"/>
      <c r="X645" s="680" t="n"/>
      <c r="Y645" s="677" t="n"/>
      <c r="Z645" s="678" t="n"/>
      <c r="AA645" s="678" t="n"/>
      <c r="AB645" s="678" t="n"/>
      <c r="AC645" s="678" t="n"/>
      <c r="AD645" s="678" t="n"/>
      <c r="AE645" s="682" t="inlineStr">
        <is>
          <t>PREENGAGE</t>
        </is>
      </c>
      <c r="AF645" s="681" t="n"/>
      <c r="AG645" s="678" t="n"/>
      <c r="AH645" s="678" t="n"/>
      <c r="AI645" s="678" t="n"/>
      <c r="AJ645" s="678" t="n"/>
      <c r="AK645" s="683" t="n"/>
      <c r="AL645" s="683" t="n"/>
      <c r="AM645" s="681" t="n"/>
    </row>
    <row r="646" ht="87" customHeight="1" s="392">
      <c r="A646" s="672" t="n">
        <v>2026</v>
      </c>
      <c r="B646" s="673" t="inlineStr">
        <is>
          <t>DPMG</t>
        </is>
      </c>
      <c r="C646" s="673" t="inlineStr">
        <is>
          <t>42AOM/SNRT/2026</t>
        </is>
      </c>
      <c r="D646" s="672" t="inlineStr">
        <is>
          <t>AOO-M</t>
        </is>
      </c>
      <c r="E646" s="672" t="n">
        <v>1</v>
      </c>
      <c r="F646" s="674" t="inlineStr">
        <is>
          <t>Maintenance et entretien des onduleurs (Pièce et main d’œuvre) : Onduleurs au niveau des sites de la SNRT Rabat, Casablanca et stations régionales Radio-Poste de transformation MT/BT situé au niveau de la station TV Ain Chok à Casablanca de la SNRT</t>
        </is>
      </c>
      <c r="G646" s="675" t="inlineStr">
        <is>
          <t>VALIDE</t>
        </is>
      </c>
      <c r="H646" s="672" t="inlineStr">
        <is>
          <t>PHASE AOO</t>
        </is>
      </c>
      <c r="I646" s="691" t="n"/>
      <c r="J646" s="675" t="inlineStr">
        <is>
          <t>GENERAL</t>
        </is>
      </c>
      <c r="K646" s="672" t="inlineStr">
        <is>
          <t>Ordinaire</t>
        </is>
      </c>
      <c r="L646" s="676" t="inlineStr">
        <is>
          <t>FONCTIONNEMENT</t>
        </is>
      </c>
      <c r="M646" s="676" t="inlineStr">
        <is>
          <t>Entretien, réparation et assurance</t>
        </is>
      </c>
      <c r="N646" s="677">
        <f>Engagements2026Juillet[[#This Row],[ESTIMATION TTC]]*1.2</f>
        <v/>
      </c>
      <c r="O646" s="678" t="n">
        <v>730000</v>
      </c>
      <c r="P646" s="678" t="n"/>
      <c r="Q646" s="672" t="n"/>
      <c r="R646" s="679" t="n"/>
      <c r="S646" s="680" t="n"/>
      <c r="T646" s="681" t="n"/>
      <c r="U646" s="691" t="n"/>
      <c r="V646" s="680" t="n"/>
      <c r="W646" s="680" t="n"/>
      <c r="X646" s="680" t="n"/>
      <c r="Y646" s="677" t="n"/>
      <c r="Z646" s="678" t="n"/>
      <c r="AA646" s="678" t="n"/>
      <c r="AB646" s="678" t="n"/>
      <c r="AC646" s="678" t="n"/>
      <c r="AD646" s="678" t="n"/>
      <c r="AE646" s="682" t="inlineStr">
        <is>
          <t>PREENGAGE</t>
        </is>
      </c>
      <c r="AF646" s="681" t="n"/>
      <c r="AG646" s="678" t="n"/>
      <c r="AH646" s="678" t="n"/>
      <c r="AI646" s="678" t="n"/>
      <c r="AJ646" s="678" t="n"/>
      <c r="AK646" s="683" t="n"/>
      <c r="AL646" s="683" t="n"/>
      <c r="AM646" s="681" t="n"/>
    </row>
    <row r="647" ht="38.40000000000001" customHeight="1" s="392">
      <c r="A647" s="672" t="n">
        <v>2026</v>
      </c>
      <c r="B647" s="673" t="inlineStr">
        <is>
          <t>ARRIYADIA</t>
        </is>
      </c>
      <c r="C647" s="673" t="inlineStr">
        <is>
          <t>26000549CT</t>
        </is>
      </c>
      <c r="D647" s="672" t="inlineStr">
        <is>
          <t>CONTRAT</t>
        </is>
      </c>
      <c r="E647" s="672" t="n">
        <v>1</v>
      </c>
      <c r="F647" s="674" t="inlineStr">
        <is>
          <t>Achat des droits sportifs des jeux méditerranéens et des jeux méditerrannéens de plage</t>
        </is>
      </c>
      <c r="G647" s="675" t="inlineStr">
        <is>
          <t>VALIDE</t>
        </is>
      </c>
      <c r="H647" s="672" t="inlineStr">
        <is>
          <t>APPROUVE</t>
        </is>
      </c>
      <c r="I647" s="691" t="n"/>
      <c r="J647" s="675" t="inlineStr">
        <is>
          <t>GENERAL</t>
        </is>
      </c>
      <c r="K647" s="672" t="inlineStr">
        <is>
          <t>Ordinaire</t>
        </is>
      </c>
      <c r="L647" s="676" t="inlineStr">
        <is>
          <t>FONCTIONNEMENT</t>
        </is>
      </c>
      <c r="M647" s="676" t="inlineStr">
        <is>
          <t>Achats de droits
Achats de droit de sport</t>
        </is>
      </c>
      <c r="N647" s="677" t="n"/>
      <c r="O647" s="678" t="n"/>
      <c r="P647" s="678" t="n"/>
      <c r="Q647" s="672" t="n"/>
      <c r="R647" s="679" t="n"/>
      <c r="S647" s="680" t="n"/>
      <c r="T647" s="681" t="inlineStr">
        <is>
          <t>EUROPEEN BROADCASTING UNION</t>
        </is>
      </c>
      <c r="U647" s="691" t="n"/>
      <c r="V647" s="680" t="n"/>
      <c r="W647" s="680" t="n"/>
      <c r="X647" s="680" t="n"/>
      <c r="Y647" s="677" t="n"/>
      <c r="Z647" s="678" t="n"/>
      <c r="AA647" s="678" t="n"/>
      <c r="AB647" s="678" t="n"/>
      <c r="AC647" s="678" t="n"/>
      <c r="AD647" s="678" t="n">
        <v>534310</v>
      </c>
      <c r="AE647" s="682" t="inlineStr">
        <is>
          <t>ENGAGE</t>
        </is>
      </c>
      <c r="AF647" s="681" t="n"/>
      <c r="AG647" s="678" t="n"/>
      <c r="AH647" s="678" t="n"/>
      <c r="AI647" s="678" t="n"/>
      <c r="AJ647" s="678" t="n"/>
      <c r="AK647" s="683" t="n"/>
      <c r="AL647" s="683" t="n"/>
      <c r="AM647" s="681" t="n"/>
    </row>
    <row r="648" ht="65.40000000000001" customHeight="1" s="392">
      <c r="A648" s="672" t="n">
        <v>2026</v>
      </c>
      <c r="B648" s="673" t="inlineStr">
        <is>
          <t>DCPA</t>
        </is>
      </c>
      <c r="C648" s="673" t="inlineStr">
        <is>
          <t>425CT/SNRT/2026</t>
        </is>
      </c>
      <c r="D648" s="672" t="inlineStr">
        <is>
          <t>AOO-CT</t>
        </is>
      </c>
      <c r="E648" s="672" t="n">
        <v>1</v>
      </c>
      <c r="F648" s="674" t="inlineStr">
        <is>
          <t>Documentaire - MIN SOUK L SOUK</t>
        </is>
      </c>
      <c r="G648" s="675" t="inlineStr">
        <is>
          <t>EN SIGNATURE</t>
        </is>
      </c>
      <c r="H648" s="672" t="inlineStr">
        <is>
          <t>EN SIGNATURE</t>
        </is>
      </c>
      <c r="I648" s="691" t="n"/>
      <c r="J648" s="675" t="inlineStr">
        <is>
          <t>GENERAL</t>
        </is>
      </c>
      <c r="K648" s="672" t="inlineStr">
        <is>
          <t>Ordinaire</t>
        </is>
      </c>
      <c r="L648" s="676" t="inlineStr">
        <is>
          <t>FONCTIONNEMENT</t>
        </is>
      </c>
      <c r="M648" s="676" t="inlineStr">
        <is>
          <t>Achats de productions et de programmes
Acquis définitive Programmes TV externes</t>
        </is>
      </c>
      <c r="N648" s="677" t="n"/>
      <c r="O648" s="678" t="n"/>
      <c r="P648" s="678" t="n"/>
      <c r="Q648" s="672" t="n"/>
      <c r="R648" s="679" t="n"/>
      <c r="S648" s="680" t="n"/>
      <c r="T648" s="681" t="inlineStr">
        <is>
          <t>MEDIA COLLECT</t>
        </is>
      </c>
      <c r="U648" s="691" t="n"/>
      <c r="V648" s="680" t="n"/>
      <c r="W648" s="680" t="n"/>
      <c r="X648" s="680" t="n"/>
      <c r="Y648" s="677" t="n"/>
      <c r="Z648" s="678" t="n"/>
      <c r="AA648" s="678" t="n"/>
      <c r="AB648" s="678" t="n"/>
      <c r="AC648" s="678" t="n">
        <v>3339840</v>
      </c>
      <c r="AD648" s="678" t="n">
        <v>3339840</v>
      </c>
      <c r="AE648" s="682" t="inlineStr">
        <is>
          <t>ENGAGE</t>
        </is>
      </c>
      <c r="AF648" s="681" t="n"/>
      <c r="AG648" s="678" t="n"/>
      <c r="AH648" s="678" t="n"/>
      <c r="AI648" s="678" t="n"/>
      <c r="AJ648" s="678" t="n"/>
      <c r="AK648" s="683" t="n"/>
      <c r="AL648" s="683" t="n"/>
      <c r="AM648" s="681" t="n"/>
    </row>
    <row r="649" ht="65.40000000000001" customHeight="1" s="392">
      <c r="A649" s="672" t="n">
        <v>2026</v>
      </c>
      <c r="B649" s="673" t="inlineStr">
        <is>
          <t>DCPA</t>
        </is>
      </c>
      <c r="C649" s="673" t="inlineStr">
        <is>
          <t>422CT/SNRT/2026</t>
        </is>
      </c>
      <c r="D649" s="672" t="inlineStr">
        <is>
          <t>AOO-CT</t>
        </is>
      </c>
      <c r="E649" s="672" t="n">
        <v>1</v>
      </c>
      <c r="F649" s="674" t="inlineStr">
        <is>
          <t>Documentaire - AMOUDOU</t>
        </is>
      </c>
      <c r="G649" s="675" t="inlineStr">
        <is>
          <t>EN SIGNATURE</t>
        </is>
      </c>
      <c r="H649" s="672" t="inlineStr">
        <is>
          <t>EN SIGNATURE</t>
        </is>
      </c>
      <c r="I649" s="691" t="n"/>
      <c r="J649" s="675" t="inlineStr">
        <is>
          <t>GENERAL</t>
        </is>
      </c>
      <c r="K649" s="672" t="inlineStr">
        <is>
          <t>Ordinaire</t>
        </is>
      </c>
      <c r="L649" s="676" t="inlineStr">
        <is>
          <t>FONCTIONNEMENT</t>
        </is>
      </c>
      <c r="M649" s="676" t="inlineStr">
        <is>
          <t>Achats de productions et de programmes
Acquis définitive Programmes TV externes</t>
        </is>
      </c>
      <c r="N649" s="677" t="n"/>
      <c r="O649" s="678" t="n"/>
      <c r="P649" s="678" t="n"/>
      <c r="Q649" s="672" t="n"/>
      <c r="R649" s="679" t="n"/>
      <c r="S649" s="680" t="n"/>
      <c r="T649" s="681" t="inlineStr">
        <is>
          <t>FAOUZI VISION</t>
        </is>
      </c>
      <c r="U649" s="691" t="n"/>
      <c r="V649" s="680" t="n"/>
      <c r="W649" s="680" t="n"/>
      <c r="X649" s="680" t="n"/>
      <c r="Y649" s="677" t="n"/>
      <c r="Z649" s="678" t="n"/>
      <c r="AA649" s="678" t="n"/>
      <c r="AB649" s="678" t="n"/>
      <c r="AC649" s="678" t="n">
        <v>3581536</v>
      </c>
      <c r="AD649" s="678" t="n">
        <v>3581536</v>
      </c>
      <c r="AE649" s="682" t="inlineStr">
        <is>
          <t>EN COURS D'ENGAGEMENT</t>
        </is>
      </c>
      <c r="AF649" s="681" t="n"/>
      <c r="AG649" s="678" t="n"/>
      <c r="AH649" s="678" t="n"/>
      <c r="AI649" s="678" t="n"/>
      <c r="AJ649" s="678" t="n"/>
      <c r="AK649" s="683" t="n"/>
      <c r="AL649" s="683" t="n"/>
      <c r="AM649" s="681" t="n"/>
    </row>
    <row r="650" ht="65.40000000000001" customHeight="1" s="392">
      <c r="A650" s="672" t="n">
        <v>2026</v>
      </c>
      <c r="B650" s="673" t="inlineStr">
        <is>
          <t>DCPA</t>
        </is>
      </c>
      <c r="C650" s="673" t="inlineStr">
        <is>
          <t>421CT/SNRT/2026</t>
        </is>
      </c>
      <c r="D650" s="672" t="inlineStr">
        <is>
          <t>AOO-CT</t>
        </is>
      </c>
      <c r="E650" s="672" t="n">
        <v>1</v>
      </c>
      <c r="F650" s="674" t="inlineStr">
        <is>
          <t>Documentaire - AMALLAY</t>
        </is>
      </c>
      <c r="G650" s="675" t="inlineStr">
        <is>
          <t>EN SIGNATURE</t>
        </is>
      </c>
      <c r="H650" s="672" t="inlineStr">
        <is>
          <t>EN SIGNATURE</t>
        </is>
      </c>
      <c r="I650" s="691" t="n"/>
      <c r="J650" s="675" t="inlineStr">
        <is>
          <t>GENERAL</t>
        </is>
      </c>
      <c r="K650" s="672" t="inlineStr">
        <is>
          <t>Ordinaire</t>
        </is>
      </c>
      <c r="L650" s="676" t="inlineStr">
        <is>
          <t>FONCTIONNEMENT</t>
        </is>
      </c>
      <c r="M650" s="676" t="inlineStr">
        <is>
          <t>Achats de productions et de programmes
Acquis définitive Programmes TV externes</t>
        </is>
      </c>
      <c r="N650" s="677" t="n"/>
      <c r="O650" s="678" t="n"/>
      <c r="P650" s="678" t="n"/>
      <c r="Q650" s="672" t="n"/>
      <c r="R650" s="679" t="n"/>
      <c r="S650" s="680" t="n"/>
      <c r="T650" s="681" t="inlineStr">
        <is>
          <t>FAOUZI VISION</t>
        </is>
      </c>
      <c r="U650" s="691" t="n"/>
      <c r="V650" s="680" t="n"/>
      <c r="W650" s="680" t="n"/>
      <c r="X650" s="680" t="n"/>
      <c r="Y650" s="677" t="n"/>
      <c r="Z650" s="678" t="n"/>
      <c r="AA650" s="678" t="n"/>
      <c r="AB650" s="678" t="n"/>
      <c r="AC650" s="678" t="n">
        <v>4086096</v>
      </c>
      <c r="AD650" s="678" t="n">
        <v>4086096</v>
      </c>
      <c r="AE650" s="682" t="inlineStr">
        <is>
          <t>ENGAGE</t>
        </is>
      </c>
      <c r="AF650" s="681" t="n"/>
      <c r="AG650" s="678" t="n"/>
      <c r="AH650" s="678" t="n"/>
      <c r="AI650" s="678" t="n"/>
      <c r="AJ650" s="678" t="n"/>
      <c r="AK650" s="683" t="n"/>
      <c r="AL650" s="683" t="n"/>
      <c r="AM650" s="681" t="n"/>
    </row>
    <row r="651" ht="65.40000000000001" customHeight="1" s="392">
      <c r="A651" s="672" t="n">
        <v>2026</v>
      </c>
      <c r="B651" s="673" t="inlineStr">
        <is>
          <t>DCPA</t>
        </is>
      </c>
      <c r="C651" s="673" t="inlineStr">
        <is>
          <t>423CT/SNRT/2026</t>
        </is>
      </c>
      <c r="D651" s="672" t="inlineStr">
        <is>
          <t>AOO-CT</t>
        </is>
      </c>
      <c r="E651" s="672" t="n">
        <v>1</v>
      </c>
      <c r="F651" s="674" t="inlineStr">
        <is>
          <t>Docu-fiction - MOUDAWALA</t>
        </is>
      </c>
      <c r="G651" s="675" t="inlineStr">
        <is>
          <t>EN SIGNATURE</t>
        </is>
      </c>
      <c r="H651" s="672" t="inlineStr">
        <is>
          <t>EN SIGNATURE</t>
        </is>
      </c>
      <c r="I651" s="691" t="n"/>
      <c r="J651" s="675" t="inlineStr">
        <is>
          <t>GENERAL</t>
        </is>
      </c>
      <c r="K651" s="672" t="inlineStr">
        <is>
          <t>Ordinaire</t>
        </is>
      </c>
      <c r="L651" s="676" t="inlineStr">
        <is>
          <t>FONCTIONNEMENT</t>
        </is>
      </c>
      <c r="M651" s="676" t="inlineStr">
        <is>
          <t>Achats de productions et de programmes
Acquis définitive Programmes TV externes</t>
        </is>
      </c>
      <c r="N651" s="677" t="n"/>
      <c r="O651" s="678" t="n"/>
      <c r="P651" s="678" t="n"/>
      <c r="Q651" s="672" t="n"/>
      <c r="R651" s="679" t="n"/>
      <c r="S651" s="680" t="n"/>
      <c r="T651" s="681" t="inlineStr">
        <is>
          <t>HASSANI SOFT</t>
        </is>
      </c>
      <c r="U651" s="691" t="n"/>
      <c r="V651" s="680" t="n"/>
      <c r="W651" s="680" t="n"/>
      <c r="X651" s="680" t="n"/>
      <c r="Y651" s="677" t="n"/>
      <c r="Z651" s="678" t="n"/>
      <c r="AA651" s="678" t="n"/>
      <c r="AB651" s="678" t="n"/>
      <c r="AC651" s="678" t="n">
        <v>3901912.01</v>
      </c>
      <c r="AD651" s="678">
        <f>AC651*1.2</f>
        <v/>
      </c>
      <c r="AE651" s="682" t="inlineStr">
        <is>
          <t>ENGAGE</t>
        </is>
      </c>
      <c r="AF651" s="681" t="n"/>
      <c r="AG651" s="678" t="n"/>
      <c r="AH651" s="678" t="n"/>
      <c r="AI651" s="678" t="n"/>
      <c r="AJ651" s="678" t="n"/>
      <c r="AK651" s="683" t="n"/>
      <c r="AL651" s="683" t="n"/>
      <c r="AM651" s="681" t="n"/>
    </row>
    <row r="652" ht="65.40000000000001" customHeight="1" s="392">
      <c r="A652" s="672" t="n">
        <v>2026</v>
      </c>
      <c r="B652" s="673" t="inlineStr">
        <is>
          <t>DCPA</t>
        </is>
      </c>
      <c r="C652" s="673" t="inlineStr">
        <is>
          <t>417CT/SNRT/2026</t>
        </is>
      </c>
      <c r="D652" s="672" t="inlineStr">
        <is>
          <t>AOO-CT</t>
        </is>
      </c>
      <c r="E652" s="672" t="n">
        <v>1</v>
      </c>
      <c r="F652" s="674" t="inlineStr">
        <is>
          <t>Docu-fiction - ABAK ATTOURATH</t>
        </is>
      </c>
      <c r="G652" s="675" t="inlineStr">
        <is>
          <t>EN SIGNATURE</t>
        </is>
      </c>
      <c r="H652" s="672" t="inlineStr">
        <is>
          <t>EN SIGNATURE</t>
        </is>
      </c>
      <c r="I652" s="691" t="n"/>
      <c r="J652" s="675" t="inlineStr">
        <is>
          <t>GENERAL</t>
        </is>
      </c>
      <c r="K652" s="672" t="inlineStr">
        <is>
          <t>Ordinaire</t>
        </is>
      </c>
      <c r="L652" s="676" t="inlineStr">
        <is>
          <t>FONCTIONNEMENT</t>
        </is>
      </c>
      <c r="M652" s="676" t="inlineStr">
        <is>
          <t>Achats de productions et de programmes
Acquis définitive Programmes TV externes</t>
        </is>
      </c>
      <c r="N652" s="677" t="n"/>
      <c r="O652" s="678" t="n"/>
      <c r="P652" s="678" t="n"/>
      <c r="Q652" s="672" t="n"/>
      <c r="R652" s="679" t="n"/>
      <c r="S652" s="680" t="n"/>
      <c r="T652" s="681" t="inlineStr">
        <is>
          <t>AGHLAL PRODUCTION</t>
        </is>
      </c>
      <c r="U652" s="691" t="n"/>
      <c r="V652" s="680" t="n"/>
      <c r="W652" s="680" t="n"/>
      <c r="X652" s="680" t="n"/>
      <c r="Y652" s="677" t="n"/>
      <c r="Z652" s="678" t="n"/>
      <c r="AA652" s="678" t="n"/>
      <c r="AB652" s="678" t="n"/>
      <c r="AC652" s="678" t="n">
        <v>4101440</v>
      </c>
      <c r="AD652" s="678">
        <f>AC652*1.2</f>
        <v/>
      </c>
      <c r="AE652" s="682" t="inlineStr">
        <is>
          <t>ENGAGE</t>
        </is>
      </c>
      <c r="AF652" s="681" t="n"/>
      <c r="AG652" s="678" t="n"/>
      <c r="AH652" s="678" t="n"/>
      <c r="AI652" s="678" t="n"/>
      <c r="AJ652" s="678" t="n"/>
      <c r="AK652" s="683" t="n"/>
      <c r="AL652" s="683" t="n"/>
      <c r="AM652" s="681" t="n"/>
    </row>
    <row r="653" ht="65.40000000000001" customHeight="1" s="392">
      <c r="A653" s="672" t="n">
        <v>2026</v>
      </c>
      <c r="B653" s="673" t="inlineStr">
        <is>
          <t>DCPA</t>
        </is>
      </c>
      <c r="C653" s="673" t="inlineStr">
        <is>
          <t>430CT/SNRT/2026</t>
        </is>
      </c>
      <c r="D653" s="672" t="inlineStr">
        <is>
          <t>AOO-CT</t>
        </is>
      </c>
      <c r="E653" s="672" t="n">
        <v>1</v>
      </c>
      <c r="F653" s="674" t="inlineStr">
        <is>
          <t>Emission Téléréalité - MATIHCH AALA LBAL</t>
        </is>
      </c>
      <c r="G653" s="675" t="inlineStr">
        <is>
          <t>EN SIGNATURE</t>
        </is>
      </c>
      <c r="H653" s="672" t="inlineStr">
        <is>
          <t>EN SIGNATURE</t>
        </is>
      </c>
      <c r="I653" s="691" t="n"/>
      <c r="J653" s="675" t="inlineStr">
        <is>
          <t>GENERAL</t>
        </is>
      </c>
      <c r="K653" s="672" t="inlineStr">
        <is>
          <t>Ordinaire</t>
        </is>
      </c>
      <c r="L653" s="676" t="inlineStr">
        <is>
          <t>FONCTIONNEMENT</t>
        </is>
      </c>
      <c r="M653" s="676" t="inlineStr">
        <is>
          <t>Achats de productions et de programmes
Acquis définitive Programmes TV externes</t>
        </is>
      </c>
      <c r="N653" s="677" t="n"/>
      <c r="O653" s="678" t="n"/>
      <c r="P653" s="678" t="n"/>
      <c r="Q653" s="672" t="n"/>
      <c r="R653" s="679" t="n"/>
      <c r="S653" s="680" t="n"/>
      <c r="T653" s="681" t="inlineStr">
        <is>
          <t>W5 MEDIA</t>
        </is>
      </c>
      <c r="U653" s="691" t="n"/>
      <c r="V653" s="680" t="n"/>
      <c r="W653" s="680" t="n"/>
      <c r="X653" s="680" t="n"/>
      <c r="Y653" s="677" t="n"/>
      <c r="Z653" s="678" t="n"/>
      <c r="AA653" s="678" t="n"/>
      <c r="AB653" s="678" t="n"/>
      <c r="AC653" s="678" t="n">
        <v>1460480</v>
      </c>
      <c r="AD653" s="678">
        <f>AC653*1.2</f>
        <v/>
      </c>
      <c r="AE653" s="682" t="inlineStr">
        <is>
          <t>ENGAGE</t>
        </is>
      </c>
      <c r="AF653" s="681" t="n"/>
      <c r="AG653" s="678" t="n"/>
      <c r="AH653" s="678" t="n"/>
      <c r="AI653" s="678" t="n"/>
      <c r="AJ653" s="678" t="n"/>
      <c r="AK653" s="683" t="n"/>
      <c r="AL653" s="683" t="n"/>
      <c r="AM653" s="681" t="n"/>
    </row>
    <row r="654" ht="65.40000000000001" customHeight="1" s="392">
      <c r="A654" s="672" t="n">
        <v>2026</v>
      </c>
      <c r="B654" s="673" t="inlineStr">
        <is>
          <t>DCPA</t>
        </is>
      </c>
      <c r="C654" s="673" t="inlineStr">
        <is>
          <t>419CT/SNRT/2026</t>
        </is>
      </c>
      <c r="D654" s="672" t="inlineStr">
        <is>
          <t>AOO-CT</t>
        </is>
      </c>
      <c r="E654" s="672" t="n">
        <v>1</v>
      </c>
      <c r="F654" s="674" t="inlineStr">
        <is>
          <t>Emission Téléréalité - STAND UP</t>
        </is>
      </c>
      <c r="G654" s="675" t="inlineStr">
        <is>
          <t>EN SIGNATURE</t>
        </is>
      </c>
      <c r="H654" s="672" t="inlineStr">
        <is>
          <t>EN SIGNATURE</t>
        </is>
      </c>
      <c r="I654" s="691" t="n"/>
      <c r="J654" s="675" t="inlineStr">
        <is>
          <t>GENERAL</t>
        </is>
      </c>
      <c r="K654" s="672" t="inlineStr">
        <is>
          <t>Ordinaire</t>
        </is>
      </c>
      <c r="L654" s="676" t="inlineStr">
        <is>
          <t>FONCTIONNEMENT</t>
        </is>
      </c>
      <c r="M654" s="676" t="inlineStr">
        <is>
          <t>Achats de productions et de programmes
Acquis définitive Programmes TV externes</t>
        </is>
      </c>
      <c r="N654" s="677" t="n"/>
      <c r="O654" s="678" t="n"/>
      <c r="P654" s="678" t="n"/>
      <c r="Q654" s="672" t="n"/>
      <c r="R654" s="679" t="n"/>
      <c r="S654" s="680" t="n"/>
      <c r="T654" s="681" t="inlineStr">
        <is>
          <t>CONNEXION MEDIA</t>
        </is>
      </c>
      <c r="U654" s="691" t="n"/>
      <c r="V654" s="680" t="n"/>
      <c r="W654" s="680" t="n"/>
      <c r="X654" s="680" t="n"/>
      <c r="Y654" s="677" t="n"/>
      <c r="Z654" s="678" t="n"/>
      <c r="AA654" s="678" t="n"/>
      <c r="AB654" s="678" t="n"/>
      <c r="AC654" s="678" t="n">
        <v>6183900.8</v>
      </c>
      <c r="AD654" s="678">
        <f>AC654*1.2</f>
        <v/>
      </c>
      <c r="AE654" s="682" t="inlineStr">
        <is>
          <t>ENGAGE</t>
        </is>
      </c>
      <c r="AF654" s="681" t="n"/>
      <c r="AG654" s="678" t="n"/>
      <c r="AH654" s="678" t="n"/>
      <c r="AI654" s="678" t="n"/>
      <c r="AJ654" s="678" t="n"/>
      <c r="AK654" s="683" t="n"/>
      <c r="AL654" s="683" t="n"/>
      <c r="AM654" s="681" t="n"/>
    </row>
    <row r="655" ht="65.40000000000001" customHeight="1" s="392">
      <c r="A655" s="672" t="n">
        <v>2026</v>
      </c>
      <c r="B655" s="673" t="inlineStr">
        <is>
          <t>DCPA</t>
        </is>
      </c>
      <c r="C655" s="673" t="inlineStr">
        <is>
          <t>420CT/SNRT/2026</t>
        </is>
      </c>
      <c r="D655" s="672" t="inlineStr">
        <is>
          <t>AOO-CT</t>
        </is>
      </c>
      <c r="E655" s="672" t="n">
        <v>1</v>
      </c>
      <c r="F655" s="674" t="inlineStr">
        <is>
          <t>Magasine d'investigation-45 min</t>
        </is>
      </c>
      <c r="G655" s="675" t="inlineStr">
        <is>
          <t>EN SIGNATURE</t>
        </is>
      </c>
      <c r="H655" s="672" t="inlineStr">
        <is>
          <t>EN SIGNATURE</t>
        </is>
      </c>
      <c r="I655" s="691" t="n"/>
      <c r="J655" s="675" t="inlineStr">
        <is>
          <t>GENERAL</t>
        </is>
      </c>
      <c r="K655" s="672" t="inlineStr">
        <is>
          <t>Ordinaire</t>
        </is>
      </c>
      <c r="L655" s="676" t="inlineStr">
        <is>
          <t>FONCTIONNEMENT</t>
        </is>
      </c>
      <c r="M655" s="676" t="inlineStr">
        <is>
          <t>Achats de productions et de programmes
Acquis définitive Programmes TV externes</t>
        </is>
      </c>
      <c r="N655" s="677" t="n"/>
      <c r="O655" s="678" t="n"/>
      <c r="P655" s="678" t="n"/>
      <c r="Q655" s="672" t="n"/>
      <c r="R655" s="679" t="n"/>
      <c r="S655" s="680" t="n"/>
      <c r="T655" s="681" t="inlineStr">
        <is>
          <t>CONNEXION MEDIA</t>
        </is>
      </c>
      <c r="U655" s="691" t="n"/>
      <c r="V655" s="680" t="n"/>
      <c r="W655" s="680" t="n"/>
      <c r="X655" s="680" t="n"/>
      <c r="Y655" s="677" t="n"/>
      <c r="Z655" s="678" t="n"/>
      <c r="AA655" s="678" t="n"/>
      <c r="AB655" s="678" t="n"/>
      <c r="AC655" s="678" t="n">
        <v>5048959.96</v>
      </c>
      <c r="AD655" s="678">
        <f>AC655*1.2</f>
        <v/>
      </c>
      <c r="AE655" s="682" t="inlineStr">
        <is>
          <t>EN COURS D'ENGAGEMENT</t>
        </is>
      </c>
      <c r="AF655" s="681" t="n"/>
      <c r="AG655" s="678" t="n"/>
      <c r="AH655" s="678" t="n"/>
      <c r="AI655" s="678" t="n"/>
      <c r="AJ655" s="678" t="n"/>
      <c r="AK655" s="683" t="n"/>
      <c r="AL655" s="683" t="n"/>
      <c r="AM655" s="681" t="n"/>
    </row>
    <row r="656" ht="38.40000000000001" customHeight="1" s="392">
      <c r="A656" s="672" t="n">
        <v>2026</v>
      </c>
      <c r="B656" s="673" t="inlineStr">
        <is>
          <t>DCT</t>
        </is>
      </c>
      <c r="C656" s="673" t="inlineStr">
        <is>
          <t>26000071 CL</t>
        </is>
      </c>
      <c r="D656" s="672" t="inlineStr">
        <is>
          <t>BCL</t>
        </is>
      </c>
      <c r="E656" s="672" t="n">
        <v>1</v>
      </c>
      <c r="F656" s="674" t="inlineStr">
        <is>
          <t>La fourniture d'alimentations électriques des mélangeurs SONY MVS-300A pour les besoins de la SNRT</t>
        </is>
      </c>
      <c r="G656" s="675" t="inlineStr">
        <is>
          <t>VALIDE</t>
        </is>
      </c>
      <c r="H656" s="672" t="inlineStr">
        <is>
          <t>APPROUVE</t>
        </is>
      </c>
      <c r="I656" s="691" t="n"/>
      <c r="J656" s="675" t="inlineStr">
        <is>
          <t>GENERAL</t>
        </is>
      </c>
      <c r="K656" s="672" t="inlineStr">
        <is>
          <t>Ordinaire</t>
        </is>
      </c>
      <c r="L656" s="676" t="inlineStr">
        <is>
          <t>FONCTIONNEMENT</t>
        </is>
      </c>
      <c r="M656" s="676" t="inlineStr">
        <is>
          <t>Achats de matières et fournitures consommables</t>
        </is>
      </c>
      <c r="N656" s="677" t="n"/>
      <c r="O656" s="678" t="n"/>
      <c r="P656" s="678" t="n"/>
      <c r="Q656" s="672" t="n"/>
      <c r="R656" s="679" t="n"/>
      <c r="S656" s="680" t="n"/>
      <c r="T656" s="681" t="inlineStr">
        <is>
          <t>IBS DIGITAL MEDIA</t>
        </is>
      </c>
      <c r="U656" s="691" t="n"/>
      <c r="V656" s="680" t="n">
        <v>46246</v>
      </c>
      <c r="W656" s="680" t="n"/>
      <c r="X656" s="680" t="n"/>
      <c r="Y656" s="677" t="n"/>
      <c r="Z656" s="678" t="n"/>
      <c r="AA656" s="678" t="n"/>
      <c r="AB656" s="678" t="n"/>
      <c r="AC656" s="678" t="n"/>
      <c r="AD656" s="678" t="n">
        <v>137160</v>
      </c>
      <c r="AE656" s="682" t="inlineStr">
        <is>
          <t>ENGAGE</t>
        </is>
      </c>
      <c r="AF656" s="681" t="n"/>
      <c r="AG656" s="678" t="n"/>
      <c r="AH656" s="678" t="n"/>
      <c r="AI656" s="678" t="n"/>
      <c r="AJ656" s="678" t="n"/>
      <c r="AK656" s="683" t="n"/>
      <c r="AL656" s="683" t="n"/>
      <c r="AM656" s="681" t="n"/>
    </row>
    <row r="657" ht="50.55" customHeight="1" s="392">
      <c r="A657" s="672" t="n">
        <v>2026</v>
      </c>
      <c r="B657" s="673" t="inlineStr">
        <is>
          <t>TDF -SITES</t>
        </is>
      </c>
      <c r="C657" s="673" t="inlineStr">
        <is>
          <t>26000072 CL</t>
        </is>
      </c>
      <c r="D657" s="672" t="inlineStr">
        <is>
          <t>BCL</t>
        </is>
      </c>
      <c r="E657" s="672" t="n">
        <v>1</v>
      </c>
      <c r="F657" s="674" t="inlineStr">
        <is>
          <t>Transfert des batteries depuis le site SNRT d'AIN CHOCK vers le site SNRT de Zaer</t>
        </is>
      </c>
      <c r="G657" s="675" t="inlineStr">
        <is>
          <t>VALIDE</t>
        </is>
      </c>
      <c r="H657" s="672" t="inlineStr">
        <is>
          <t>APPROUVE</t>
        </is>
      </c>
      <c r="I657" s="672" t="n"/>
      <c r="J657" s="675" t="inlineStr">
        <is>
          <t>GENERAL</t>
        </is>
      </c>
      <c r="K657" s="672" t="inlineStr">
        <is>
          <t>Ordinaire</t>
        </is>
      </c>
      <c r="L657" s="676" t="inlineStr">
        <is>
          <t>FONCTIONNEMENT</t>
        </is>
      </c>
      <c r="M657" s="676" t="inlineStr">
        <is>
          <t>Prestations de service
Achat prestations de services locales - sociétés</t>
        </is>
      </c>
      <c r="N657" s="677" t="n"/>
      <c r="O657" s="678" t="n"/>
      <c r="P657" s="678" t="n"/>
      <c r="Q657" s="672" t="n"/>
      <c r="R657" s="679" t="n"/>
      <c r="S657" s="680" t="n"/>
      <c r="T657" s="681" t="inlineStr">
        <is>
          <t>IT ENERGIE</t>
        </is>
      </c>
      <c r="U657" s="672" t="n"/>
      <c r="V657" s="680" t="n"/>
      <c r="W657" s="680" t="n"/>
      <c r="X657" s="680" t="n">
        <v>46247</v>
      </c>
      <c r="Y657" s="677" t="n"/>
      <c r="Z657" s="678" t="n"/>
      <c r="AA657" s="678" t="n"/>
      <c r="AB657" s="678" t="n"/>
      <c r="AC657" s="678" t="n">
        <v>21200</v>
      </c>
      <c r="AD657" s="678" t="n">
        <v>25440</v>
      </c>
      <c r="AE657" s="682" t="inlineStr">
        <is>
          <t>ENGAGE</t>
        </is>
      </c>
      <c r="AF657" s="681" t="n"/>
      <c r="AG657" s="678" t="n"/>
      <c r="AH657" s="678" t="n"/>
      <c r="AI657" s="678" t="n"/>
      <c r="AJ657" s="678" t="n"/>
      <c r="AK657" s="683" t="n"/>
      <c r="AL657" s="683" t="n"/>
      <c r="AM657" s="681" t="n"/>
    </row>
    <row r="658" ht="32" customHeight="1" s="392">
      <c r="A658" s="672" t="n">
        <v>2026</v>
      </c>
      <c r="B658" s="673" t="inlineStr">
        <is>
          <t>DRPSD</t>
        </is>
      </c>
      <c r="C658" s="673" t="inlineStr">
        <is>
          <t>403CT/SNRT2026</t>
        </is>
      </c>
      <c r="D658" s="672" t="inlineStr">
        <is>
          <t>CONTRAT</t>
        </is>
      </c>
      <c r="E658" s="672" t="n">
        <v>1</v>
      </c>
      <c r="F658" s="674" t="inlineStr">
        <is>
          <t>VOD FORJA</t>
        </is>
      </c>
      <c r="G658" s="675" t="inlineStr">
        <is>
          <t>VALIDE</t>
        </is>
      </c>
      <c r="H658" s="672" t="inlineStr">
        <is>
          <t>APPROUVE</t>
        </is>
      </c>
      <c r="I658" s="672" t="n"/>
      <c r="J658" s="675" t="inlineStr">
        <is>
          <t>GENERAL</t>
        </is>
      </c>
      <c r="K658" s="672" t="inlineStr">
        <is>
          <t>Ordinaire</t>
        </is>
      </c>
      <c r="L658" s="676" t="inlineStr">
        <is>
          <t>FONCTIONNEMENT</t>
        </is>
      </c>
      <c r="M658" s="676" t="inlineStr">
        <is>
          <t>Redevances et cotisations</t>
        </is>
      </c>
      <c r="N658" s="677" t="n"/>
      <c r="O658" s="678" t="n"/>
      <c r="P658" s="678" t="n"/>
      <c r="Q658" s="672" t="n"/>
      <c r="R658" s="679" t="n"/>
      <c r="S658" s="680" t="n"/>
      <c r="T658" s="681" t="inlineStr">
        <is>
          <t>EASY BROADCAST</t>
        </is>
      </c>
      <c r="U658" s="672" t="n"/>
      <c r="V658" s="680" t="n"/>
      <c r="W658" s="680" t="n"/>
      <c r="X658" s="680" t="n"/>
      <c r="Y658" s="677" t="n"/>
      <c r="Z658" s="678" t="n"/>
      <c r="AA658" s="678" t="n"/>
      <c r="AB658" s="678" t="n"/>
      <c r="AC658" s="678" t="n"/>
      <c r="AD658" s="678" t="n">
        <v>5675853.26</v>
      </c>
      <c r="AE658" s="682" t="inlineStr">
        <is>
          <t>ENGAGE</t>
        </is>
      </c>
      <c r="AF658" s="681" t="n"/>
      <c r="AG658" s="678" t="n"/>
      <c r="AH658" s="678" t="n"/>
      <c r="AI658" s="678" t="n"/>
      <c r="AJ658" s="678" t="n"/>
      <c r="AK658" s="683" t="n"/>
      <c r="AL658" s="683" t="n"/>
      <c r="AM658" s="703" t="n"/>
      <c r="AN658" s="698" t="n"/>
      <c r="AO658" s="699" t="n"/>
      <c r="AP658" s="700" t="n"/>
      <c r="AQ658" s="700" t="n"/>
      <c r="AR658" s="701" t="n"/>
      <c r="AS658" s="702" t="n"/>
    </row>
    <row r="659" ht="54.6" customHeight="1" s="392">
      <c r="A659" s="672" t="n">
        <v>2026</v>
      </c>
      <c r="B659" s="673" t="inlineStr">
        <is>
          <t>RSSI</t>
        </is>
      </c>
      <c r="C659" s="673" t="inlineStr">
        <is>
          <t>68AOM/SNRT/2026</t>
        </is>
      </c>
      <c r="D659" s="672" t="inlineStr">
        <is>
          <t>AOO-M</t>
        </is>
      </c>
      <c r="E659" s="672" t="n">
        <v>1</v>
      </c>
      <c r="F659" s="674" t="inlineStr">
        <is>
          <t>Réalisation des prestationsd'Audit de sécurité des systèmes d'information de la SNRT relevant de la "Classe A"</t>
        </is>
      </c>
      <c r="G659" s="675" t="inlineStr">
        <is>
          <t>VALIDE</t>
        </is>
      </c>
      <c r="H659" s="672" t="inlineStr">
        <is>
          <t>PHASE AOO</t>
        </is>
      </c>
      <c r="I659" s="672" t="n"/>
      <c r="J659" s="675" t="inlineStr">
        <is>
          <t>GENERAL</t>
        </is>
      </c>
      <c r="K659" s="672" t="inlineStr">
        <is>
          <t>Ordinaire</t>
        </is>
      </c>
      <c r="L659" s="676" t="inlineStr">
        <is>
          <t>FONCTIONNEMENT</t>
        </is>
      </c>
      <c r="M659" s="676" t="inlineStr">
        <is>
          <t>Honoraires et rémunération du personnel occasionnel</t>
        </is>
      </c>
      <c r="N659" s="677">
        <f>O659*1.2</f>
        <v/>
      </c>
      <c r="O659" s="678" t="n">
        <v>336316.8</v>
      </c>
      <c r="P659" s="678" t="n"/>
      <c r="Q659" s="672" t="n"/>
      <c r="R659" s="679" t="n"/>
      <c r="S659" s="680" t="n"/>
      <c r="T659" s="681" t="n"/>
      <c r="U659" s="672" t="n"/>
      <c r="V659" s="680" t="n"/>
      <c r="W659" s="680" t="n"/>
      <c r="X659" s="680" t="n"/>
      <c r="Y659" s="677" t="n"/>
      <c r="Z659" s="678" t="n"/>
      <c r="AA659" s="678" t="n"/>
      <c r="AB659" s="678" t="n"/>
      <c r="AC659" s="678" t="n"/>
      <c r="AD659" s="678" t="n"/>
      <c r="AE659" s="682" t="inlineStr">
        <is>
          <t>PREENGAGE</t>
        </is>
      </c>
      <c r="AF659" s="681" t="n"/>
      <c r="AG659" s="678" t="n"/>
      <c r="AH659" s="678" t="n"/>
      <c r="AI659" s="678" t="n"/>
      <c r="AJ659" s="678" t="n"/>
      <c r="AK659" s="683" t="n"/>
      <c r="AL659" s="683" t="n"/>
      <c r="AM659" s="703" t="n"/>
      <c r="AN659" s="698" t="n"/>
      <c r="AO659" s="699" t="n"/>
      <c r="AP659" s="700" t="n"/>
      <c r="AQ659" s="700" t="n"/>
      <c r="AR659" s="701" t="n"/>
      <c r="AS659" s="702" t="n"/>
    </row>
    <row r="660" ht="54.6" customHeight="1" s="392">
      <c r="A660" s="672" t="n">
        <v>2026</v>
      </c>
      <c r="B660" s="673" t="inlineStr">
        <is>
          <t>RSSI</t>
        </is>
      </c>
      <c r="C660" s="673" t="inlineStr">
        <is>
          <t>68AOM/SNRT/2026</t>
        </is>
      </c>
      <c r="D660" s="672" t="inlineStr">
        <is>
          <t>AOO-M</t>
        </is>
      </c>
      <c r="E660" s="672" t="n">
        <v>2</v>
      </c>
      <c r="F660" s="674" t="inlineStr">
        <is>
          <t>Réalisation des prestationsd'Audit de sécurité des systèmes d'information de la SNRT relevant de la "Classe B""Classe C""Classe D"</t>
        </is>
      </c>
      <c r="G660" s="675" t="inlineStr">
        <is>
          <t>VALIDE</t>
        </is>
      </c>
      <c r="H660" s="672" t="inlineStr">
        <is>
          <t>PHASE AOO</t>
        </is>
      </c>
      <c r="I660" s="672" t="n"/>
      <c r="J660" s="675" t="inlineStr">
        <is>
          <t>GENERAL</t>
        </is>
      </c>
      <c r="K660" s="672" t="inlineStr">
        <is>
          <t>Ordinaire</t>
        </is>
      </c>
      <c r="L660" s="676" t="inlineStr">
        <is>
          <t>FONCTIONNEMENT</t>
        </is>
      </c>
      <c r="M660" s="676" t="inlineStr">
        <is>
          <t>Honoraires et rémunération du personnel occasionnel</t>
        </is>
      </c>
      <c r="N660" s="677">
        <f>O660*1.2</f>
        <v/>
      </c>
      <c r="O660" s="678" t="n">
        <v>380736</v>
      </c>
      <c r="P660" s="678" t="n"/>
      <c r="Q660" s="672" t="n"/>
      <c r="R660" s="679" t="n"/>
      <c r="S660" s="680" t="n"/>
      <c r="T660" s="681" t="n"/>
      <c r="U660" s="672" t="n"/>
      <c r="V660" s="680" t="n"/>
      <c r="W660" s="680" t="n"/>
      <c r="X660" s="680" t="n"/>
      <c r="Y660" s="677" t="n"/>
      <c r="Z660" s="678" t="n"/>
      <c r="AA660" s="678" t="n"/>
      <c r="AB660" s="678" t="n"/>
      <c r="AC660" s="678" t="n"/>
      <c r="AD660" s="678" t="n"/>
      <c r="AE660" s="682" t="inlineStr">
        <is>
          <t>PREENGAGE</t>
        </is>
      </c>
      <c r="AF660" s="681" t="n"/>
      <c r="AG660" s="678" t="n"/>
      <c r="AH660" s="678" t="n"/>
      <c r="AI660" s="678" t="n"/>
      <c r="AJ660" s="678" t="n"/>
      <c r="AK660" s="683" t="n"/>
      <c r="AL660" s="683" t="n"/>
      <c r="AM660" s="703" t="n"/>
      <c r="AN660" s="698" t="n"/>
      <c r="AO660" s="699" t="n"/>
      <c r="AP660" s="700" t="n"/>
      <c r="AQ660" s="700" t="n"/>
      <c r="AR660" s="701" t="n"/>
      <c r="AS660" s="702" t="n"/>
    </row>
    <row r="661" ht="54.6" customHeight="1" s="392">
      <c r="A661" s="672" t="n">
        <v>2026</v>
      </c>
      <c r="B661" s="673" t="inlineStr">
        <is>
          <t>DPMG</t>
        </is>
      </c>
      <c r="C661" s="673" t="inlineStr">
        <is>
          <t>AOM/SNRT/2026</t>
        </is>
      </c>
      <c r="D661" s="672" t="inlineStr">
        <is>
          <t>AOO-M</t>
        </is>
      </c>
      <c r="E661" s="672" t="n">
        <v>1</v>
      </c>
      <c r="F661" s="674" t="inlineStr">
        <is>
          <t>Travaux d'aménagement et sécurisation des salles serveurs des Stations régioanles Radio de la SNRT : Lot 1:Amenagement</t>
        </is>
      </c>
      <c r="G661" s="675" t="inlineStr">
        <is>
          <t>EN SIGNATURE</t>
        </is>
      </c>
      <c r="H661" s="672" t="inlineStr">
        <is>
          <t>EN SIGNATURE</t>
        </is>
      </c>
      <c r="I661" s="672" t="n"/>
      <c r="J661" s="675" t="inlineStr">
        <is>
          <t>GENERAL</t>
        </is>
      </c>
      <c r="K661" s="672" t="inlineStr">
        <is>
          <t>Ordinaire</t>
        </is>
      </c>
      <c r="L661" s="676" t="inlineStr">
        <is>
          <t>INVESTISSEMENT</t>
        </is>
      </c>
      <c r="M661" s="676" t="inlineStr">
        <is>
          <t>Agencements et aménagement constructions</t>
        </is>
      </c>
      <c r="N661" s="677">
        <f>O661*1.2</f>
        <v/>
      </c>
      <c r="O661" s="678" t="n">
        <v>810420</v>
      </c>
      <c r="P661" s="678" t="n"/>
      <c r="Q661" s="672" t="n"/>
      <c r="R661" s="679" t="n"/>
      <c r="S661" s="680" t="n"/>
      <c r="T661" s="681" t="n"/>
      <c r="U661" s="672" t="n"/>
      <c r="V661" s="680" t="n"/>
      <c r="W661" s="680" t="n"/>
      <c r="X661" s="680" t="n"/>
      <c r="Y661" s="677" t="n"/>
      <c r="Z661" s="678" t="n"/>
      <c r="AA661" s="678" t="n"/>
      <c r="AB661" s="678" t="n"/>
      <c r="AC661" s="678" t="n"/>
      <c r="AD661" s="678" t="n"/>
      <c r="AE661" s="682" t="inlineStr">
        <is>
          <t>EN COURS DE PREENGAGEMENT</t>
        </is>
      </c>
      <c r="AF661" s="681" t="n"/>
      <c r="AG661" s="678" t="n"/>
      <c r="AH661" s="678" t="n"/>
      <c r="AI661" s="678" t="n"/>
      <c r="AJ661" s="678" t="n"/>
      <c r="AK661" s="683" t="n"/>
      <c r="AL661" s="683" t="n"/>
      <c r="AM661" s="703" t="n"/>
      <c r="AN661" s="698" t="n"/>
      <c r="AO661" s="699" t="n"/>
      <c r="AP661" s="700" t="n"/>
      <c r="AQ661" s="700" t="n"/>
      <c r="AR661" s="701" t="n"/>
      <c r="AS661" s="702" t="n"/>
    </row>
    <row r="662" ht="54.6" customHeight="1" s="392">
      <c r="A662" s="672" t="n">
        <v>2026</v>
      </c>
      <c r="B662" s="673" t="inlineStr">
        <is>
          <t>DPMG</t>
        </is>
      </c>
      <c r="C662" s="673" t="inlineStr">
        <is>
          <t>AOM/SNRT/2026</t>
        </is>
      </c>
      <c r="D662" s="672" t="inlineStr">
        <is>
          <t>AOO-M</t>
        </is>
      </c>
      <c r="E662" s="672" t="n">
        <v>2</v>
      </c>
      <c r="F662" s="674" t="inlineStr">
        <is>
          <t>Travaux d'aménagement et sécurisation des salles serveurs des Stations régioanles Radio de la SNRT : Lot 2:Systèmes de Securité</t>
        </is>
      </c>
      <c r="G662" s="675" t="inlineStr">
        <is>
          <t>EN SIGNATURE</t>
        </is>
      </c>
      <c r="H662" s="672" t="inlineStr">
        <is>
          <t>EN SIGNATURE</t>
        </is>
      </c>
      <c r="I662" s="672" t="n"/>
      <c r="J662" s="675" t="inlineStr">
        <is>
          <t>GENERAL</t>
        </is>
      </c>
      <c r="K662" s="672" t="inlineStr">
        <is>
          <t>Ordinaire</t>
        </is>
      </c>
      <c r="L662" s="676" t="inlineStr">
        <is>
          <t>INVESTISSEMENT</t>
        </is>
      </c>
      <c r="M662" s="676" t="inlineStr">
        <is>
          <t>Agencements et aménagement constructions</t>
        </is>
      </c>
      <c r="N662" s="677">
        <f>O662*1.2</f>
        <v/>
      </c>
      <c r="O662" s="678" t="n">
        <v>577200</v>
      </c>
      <c r="P662" s="678" t="n"/>
      <c r="Q662" s="672" t="n"/>
      <c r="R662" s="679" t="n"/>
      <c r="S662" s="680" t="n"/>
      <c r="T662" s="681" t="n"/>
      <c r="U662" s="672" t="n"/>
      <c r="V662" s="680" t="n"/>
      <c r="W662" s="680" t="n"/>
      <c r="X662" s="680" t="n"/>
      <c r="Y662" s="677" t="n"/>
      <c r="Z662" s="678" t="n"/>
      <c r="AA662" s="678" t="n"/>
      <c r="AB662" s="678" t="n"/>
      <c r="AC662" s="678" t="n"/>
      <c r="AD662" s="678" t="n"/>
      <c r="AE662" s="682" t="inlineStr">
        <is>
          <t>EN COURS DE PREENGAGEMENT</t>
        </is>
      </c>
      <c r="AF662" s="681" t="n"/>
      <c r="AG662" s="678" t="n"/>
      <c r="AH662" s="678" t="n"/>
      <c r="AI662" s="678" t="n"/>
      <c r="AJ662" s="678" t="n"/>
      <c r="AK662" s="683" t="n"/>
      <c r="AL662" s="683" t="n"/>
      <c r="AM662" s="703" t="n"/>
      <c r="AN662" s="698" t="n"/>
      <c r="AO662" s="699" t="n"/>
      <c r="AP662" s="700" t="n"/>
      <c r="AQ662" s="700" t="n"/>
      <c r="AR662" s="701" t="n"/>
      <c r="AS662" s="702" t="n"/>
    </row>
    <row r="663" ht="35.7" customHeight="1" s="392">
      <c r="A663" s="672" t="n">
        <v>2026</v>
      </c>
      <c r="B663" s="673" t="inlineStr">
        <is>
          <t>DPMG</t>
        </is>
      </c>
      <c r="C663" s="673" t="inlineStr">
        <is>
          <t>26000076 CL</t>
        </is>
      </c>
      <c r="D663" s="672" t="inlineStr">
        <is>
          <t>BCL</t>
        </is>
      </c>
      <c r="E663" s="672" t="n">
        <v>1</v>
      </c>
      <c r="F663" s="674" t="inlineStr">
        <is>
          <t>Achat de fournitures pour les climatiseurs</t>
        </is>
      </c>
      <c r="G663" s="675" t="inlineStr">
        <is>
          <t>EN SIGNATURE</t>
        </is>
      </c>
      <c r="H663" s="672" t="inlineStr">
        <is>
          <t>EN SIGNATURE</t>
        </is>
      </c>
      <c r="I663" s="672" t="n"/>
      <c r="J663" s="675" t="inlineStr">
        <is>
          <t>GENERAL</t>
        </is>
      </c>
      <c r="K663" s="672" t="inlineStr">
        <is>
          <t>Ordinaire</t>
        </is>
      </c>
      <c r="L663" s="676" t="inlineStr">
        <is>
          <t>FONCTIONNEMENT</t>
        </is>
      </c>
      <c r="M663" s="676" t="inlineStr">
        <is>
          <t xml:space="preserve">Achats non stockés de matières et fournitures </t>
        </is>
      </c>
      <c r="N663" s="677" t="n"/>
      <c r="O663" s="678" t="n"/>
      <c r="P663" s="678" t="n"/>
      <c r="Q663" s="672" t="n"/>
      <c r="R663" s="679" t="n"/>
      <c r="S663" s="680" t="n"/>
      <c r="T663" s="681" t="inlineStr">
        <is>
          <t>OUAHAD ELEC</t>
        </is>
      </c>
      <c r="U663" s="672" t="n"/>
      <c r="V663" s="680" t="n">
        <v>46261</v>
      </c>
      <c r="W663" s="680" t="n"/>
      <c r="X663" s="680" t="n"/>
      <c r="Y663" s="677" t="n"/>
      <c r="Z663" s="678" t="n"/>
      <c r="AA663" s="678" t="n"/>
      <c r="AB663" s="678" t="n"/>
      <c r="AC663" s="678" t="n">
        <v>175500</v>
      </c>
      <c r="AD663" s="678" t="n">
        <v>210600</v>
      </c>
      <c r="AE663" s="682" t="inlineStr">
        <is>
          <t>ENGAGE</t>
        </is>
      </c>
      <c r="AF663" s="681" t="n"/>
      <c r="AG663" s="678" t="n"/>
      <c r="AH663" s="678" t="n"/>
      <c r="AI663" s="678" t="n"/>
      <c r="AJ663" s="678" t="n"/>
      <c r="AK663" s="683" t="n"/>
      <c r="AL663" s="683" t="n"/>
      <c r="AM663" s="703" t="n"/>
      <c r="AN663" s="698" t="n"/>
      <c r="AO663" s="699" t="n"/>
      <c r="AP663" s="700" t="n"/>
      <c r="AQ663" s="700" t="n"/>
      <c r="AR663" s="701" t="n"/>
      <c r="AS663" s="702" t="n"/>
    </row>
    <row r="664" ht="38.40000000000001" customHeight="1" s="392">
      <c r="A664" s="672" t="n">
        <v>2026</v>
      </c>
      <c r="B664" s="673" t="inlineStr">
        <is>
          <t>DPMG</t>
        </is>
      </c>
      <c r="C664" s="673" t="inlineStr">
        <is>
          <t>26000075 CL</t>
        </is>
      </c>
      <c r="D664" s="672" t="inlineStr">
        <is>
          <t>BCL</t>
        </is>
      </c>
      <c r="E664" s="672" t="n">
        <v>1</v>
      </c>
      <c r="F664" s="674" t="inlineStr">
        <is>
          <t>La mise à niveau des blocs sanitaires au siège de la SNRT à Rabat</t>
        </is>
      </c>
      <c r="G664" s="675" t="inlineStr">
        <is>
          <t>VALIDE</t>
        </is>
      </c>
      <c r="H664" s="672" t="inlineStr">
        <is>
          <t>APPROUVE</t>
        </is>
      </c>
      <c r="I664" s="672" t="n"/>
      <c r="J664" s="675" t="inlineStr">
        <is>
          <t>GENERAL</t>
        </is>
      </c>
      <c r="K664" s="672" t="inlineStr">
        <is>
          <t>Ordinaire</t>
        </is>
      </c>
      <c r="L664" s="676" t="inlineStr">
        <is>
          <t>INVESTISSEMENT</t>
        </is>
      </c>
      <c r="M664" s="676" t="inlineStr">
        <is>
          <t>Agencements et aménagement constructions</t>
        </is>
      </c>
      <c r="N664" s="677" t="n"/>
      <c r="O664" s="678" t="n"/>
      <c r="P664" s="678" t="n"/>
      <c r="Q664" s="672" t="n"/>
      <c r="R664" s="679" t="n"/>
      <c r="S664" s="680" t="n"/>
      <c r="T664" s="681" t="inlineStr">
        <is>
          <t>BATI VERT</t>
        </is>
      </c>
      <c r="U664" s="672" t="n"/>
      <c r="V664" s="680" t="n">
        <v>46261</v>
      </c>
      <c r="W664" s="680" t="n"/>
      <c r="X664" s="680" t="n"/>
      <c r="Y664" s="677" t="n"/>
      <c r="Z664" s="678" t="n"/>
      <c r="AA664" s="678" t="n"/>
      <c r="AB664" s="678" t="n"/>
      <c r="AC664" s="678" t="n">
        <v>82760</v>
      </c>
      <c r="AD664" s="678" t="n">
        <v>99312</v>
      </c>
      <c r="AE664" s="682" t="inlineStr">
        <is>
          <t>ENGAGE</t>
        </is>
      </c>
      <c r="AF664" s="681" t="n"/>
      <c r="AG664" s="678" t="n"/>
      <c r="AH664" s="678" t="n"/>
      <c r="AI664" s="678" t="n"/>
      <c r="AJ664" s="678" t="n"/>
      <c r="AK664" s="683" t="n"/>
      <c r="AL664" s="683" t="n"/>
      <c r="AM664" s="703" t="n"/>
      <c r="AN664" s="698" t="n"/>
      <c r="AO664" s="699" t="n"/>
      <c r="AP664" s="700" t="n"/>
      <c r="AQ664" s="700" t="n"/>
      <c r="AR664" s="701" t="n"/>
      <c r="AS664" s="702" t="n"/>
    </row>
    <row r="665" ht="54.6" customHeight="1" s="392">
      <c r="A665" s="672" t="n">
        <v>2026</v>
      </c>
      <c r="B665" s="673" t="inlineStr">
        <is>
          <t>DPMG</t>
        </is>
      </c>
      <c r="C665" s="673" t="inlineStr">
        <is>
          <t>26000082 CL</t>
        </is>
      </c>
      <c r="D665" s="672" t="inlineStr">
        <is>
          <t>BCL</t>
        </is>
      </c>
      <c r="E665" s="672" t="n">
        <v>1</v>
      </c>
      <c r="F665" s="674" t="inlineStr">
        <is>
          <t>Aménagement de la salle serveur de la station radio régionale Meknes : Aménagement - électricité -  climatisation</t>
        </is>
      </c>
      <c r="G665" s="675" t="inlineStr">
        <is>
          <t>EN SIGNATURE</t>
        </is>
      </c>
      <c r="H665" s="672" t="inlineStr">
        <is>
          <t>EN SIGNATURE</t>
        </is>
      </c>
      <c r="I665" s="672" t="n"/>
      <c r="J665" s="675" t="inlineStr">
        <is>
          <t>GENERAL</t>
        </is>
      </c>
      <c r="K665" s="672" t="inlineStr">
        <is>
          <t>Ordinaire</t>
        </is>
      </c>
      <c r="L665" s="676" t="inlineStr">
        <is>
          <t>INVESTISSEMENT</t>
        </is>
      </c>
      <c r="M665" s="676" t="inlineStr">
        <is>
          <t>Agencements et aménagement constructions</t>
        </is>
      </c>
      <c r="N665" s="677" t="n"/>
      <c r="O665" s="678" t="n"/>
      <c r="P665" s="678" t="n"/>
      <c r="Q665" s="672" t="n"/>
      <c r="R665" s="679" t="n"/>
      <c r="S665" s="680" t="n"/>
      <c r="T665" s="681" t="inlineStr">
        <is>
          <t>Ouhad ELEC</t>
        </is>
      </c>
      <c r="U665" s="672" t="n"/>
      <c r="V665" s="680" t="n">
        <v>46261</v>
      </c>
      <c r="W665" s="680" t="n"/>
      <c r="X665" s="680" t="n"/>
      <c r="Y665" s="677" t="n"/>
      <c r="Z665" s="678" t="n"/>
      <c r="AA665" s="678" t="n"/>
      <c r="AB665" s="678" t="n"/>
      <c r="AC665" s="678">
        <f>AD665/1.2</f>
        <v/>
      </c>
      <c r="AD665" s="678" t="n">
        <v>160000.8</v>
      </c>
      <c r="AE665" s="682" t="inlineStr">
        <is>
          <t>EN COURS D'ENGAGEMENT</t>
        </is>
      </c>
      <c r="AF665" s="681" t="n"/>
      <c r="AG665" s="678" t="n"/>
      <c r="AH665" s="678" t="n"/>
      <c r="AI665" s="678" t="n"/>
      <c r="AJ665" s="678" t="n"/>
      <c r="AK665" s="683" t="n"/>
      <c r="AL665" s="683" t="n"/>
      <c r="AM665" s="703" t="n"/>
      <c r="AN665" s="698" t="n"/>
      <c r="AO665" s="699" t="n"/>
      <c r="AP665" s="700" t="n"/>
      <c r="AQ665" s="700" t="n"/>
      <c r="AR665" s="701" t="n"/>
      <c r="AS665" s="702" t="n"/>
    </row>
    <row r="666" ht="87" customHeight="1" s="392">
      <c r="A666" s="672" t="n">
        <v>2026</v>
      </c>
      <c r="B666" s="673" t="inlineStr">
        <is>
          <t>TDF -SITES</t>
        </is>
      </c>
      <c r="C666" s="673" t="inlineStr">
        <is>
          <t>71AOM/SNRT/2026</t>
        </is>
      </c>
      <c r="D666" s="672" t="inlineStr">
        <is>
          <t>AOO-M</t>
        </is>
      </c>
      <c r="E666" s="672" t="n">
        <v>1</v>
      </c>
      <c r="F666" s="674" t="inlineStr">
        <is>
          <t>Fourniture installation et mise en service de deux onduleurs de puissance 200 KVA chacun de type modulaire y compris des systèmes de climatisation associés aux sites SNRT d'Oukaimden (P,EL HAOUZ) et de BOUKOUALI(P,TAOURIRT)</t>
        </is>
      </c>
      <c r="G666" s="675" t="inlineStr">
        <is>
          <t>VALIDE</t>
        </is>
      </c>
      <c r="H666" s="672" t="inlineStr">
        <is>
          <t>PHASE AOO</t>
        </is>
      </c>
      <c r="I666" s="672" t="n"/>
      <c r="J666" s="675" t="inlineStr">
        <is>
          <t>GENERAL</t>
        </is>
      </c>
      <c r="K666" s="672" t="inlineStr">
        <is>
          <t>Ordinaire</t>
        </is>
      </c>
      <c r="L666" s="676" t="inlineStr">
        <is>
          <t>INVESTISSEMENT</t>
        </is>
      </c>
      <c r="M666" s="676" t="inlineStr">
        <is>
          <t>Equipements de télédiffusion</t>
        </is>
      </c>
      <c r="N666" s="677">
        <f>O666*1.2</f>
        <v/>
      </c>
      <c r="O666" s="678" t="n">
        <v>3610800</v>
      </c>
      <c r="P666" s="678" t="n"/>
      <c r="Q666" s="672" t="n"/>
      <c r="R666" s="679" t="n"/>
      <c r="S666" s="680" t="n"/>
      <c r="T666" s="681" t="n"/>
      <c r="U666" s="672" t="n"/>
      <c r="V666" s="680" t="n">
        <v>46262</v>
      </c>
      <c r="W666" s="680" t="n"/>
      <c r="X666" s="680" t="n"/>
      <c r="Y666" s="677" t="n"/>
      <c r="Z666" s="678" t="n"/>
      <c r="AA666" s="678" t="n"/>
      <c r="AB666" s="678" t="n"/>
      <c r="AC666" s="678" t="n"/>
      <c r="AD666" s="678" t="n"/>
      <c r="AE666" s="682" t="inlineStr">
        <is>
          <t>PREENGAGE</t>
        </is>
      </c>
      <c r="AF666" s="681" t="n"/>
      <c r="AG666" s="678" t="n"/>
      <c r="AH666" s="678" t="n"/>
      <c r="AI666" s="678" t="n"/>
      <c r="AJ666" s="678" t="n"/>
      <c r="AK666" s="683" t="n"/>
      <c r="AL666" s="683" t="n"/>
      <c r="AM666" s="703" t="n"/>
      <c r="AN666" s="698" t="n"/>
      <c r="AO666" s="699" t="n"/>
      <c r="AP666" s="700" t="n"/>
      <c r="AQ666" s="700" t="n"/>
      <c r="AR666" s="701" t="n"/>
      <c r="AS666" s="702" t="n"/>
    </row>
    <row r="667" ht="35.7" customHeight="1" s="392">
      <c r="A667" s="672" t="n">
        <v>2026</v>
      </c>
      <c r="B667" s="673" t="inlineStr">
        <is>
          <t>ARRIYADIA</t>
        </is>
      </c>
      <c r="C667" s="673" t="inlineStr">
        <is>
          <t>26000618 CT</t>
        </is>
      </c>
      <c r="D667" s="672" t="inlineStr">
        <is>
          <t>CONTRAT</t>
        </is>
      </c>
      <c r="E667" s="672" t="n">
        <v>1</v>
      </c>
      <c r="F667" s="674" t="inlineStr">
        <is>
          <t>Achat droits d'un documentaire des jeux méditéranneens</t>
        </is>
      </c>
      <c r="G667" s="675" t="inlineStr">
        <is>
          <t>EN SIGNATURE</t>
        </is>
      </c>
      <c r="H667" s="672" t="inlineStr">
        <is>
          <t>EN SIGNATURE</t>
        </is>
      </c>
      <c r="I667" s="672" t="n"/>
      <c r="J667" s="675" t="inlineStr">
        <is>
          <t>GENERAL</t>
        </is>
      </c>
      <c r="K667" s="672" t="inlineStr">
        <is>
          <t>Ordinaire</t>
        </is>
      </c>
      <c r="L667" s="676" t="inlineStr">
        <is>
          <t>FONCTIONNEMENT</t>
        </is>
      </c>
      <c r="M667" s="676" t="inlineStr">
        <is>
          <t>Achats de droits
Achats de droit de sport</t>
        </is>
      </c>
      <c r="N667" s="677" t="n"/>
      <c r="O667" s="678" t="n"/>
      <c r="P667" s="678" t="n"/>
      <c r="Q667" s="672" t="n"/>
      <c r="R667" s="679" t="n"/>
      <c r="S667" s="680" t="n"/>
      <c r="T667" s="681" t="inlineStr">
        <is>
          <t>MEDIA SPORTS MANAGEMENT FE LLC</t>
        </is>
      </c>
      <c r="U667" s="672" t="n"/>
      <c r="V667" s="680" t="n">
        <v>46262</v>
      </c>
      <c r="W667" s="680" t="n"/>
      <c r="X667" s="680" t="n"/>
      <c r="Y667" s="677" t="n"/>
      <c r="Z667" s="678" t="n"/>
      <c r="AA667" s="678" t="n"/>
      <c r="AB667" s="678" t="inlineStr">
        <is>
          <t>1800 DOL</t>
        </is>
      </c>
      <c r="AC667" s="678" t="n"/>
      <c r="AD667" s="678" t="n">
        <v>16653.24</v>
      </c>
      <c r="AE667" s="682" t="inlineStr">
        <is>
          <t>EN COURS D'ENGAGEMENT</t>
        </is>
      </c>
      <c r="AF667" s="681" t="n"/>
      <c r="AG667" s="678" t="n"/>
      <c r="AH667" s="678" t="n"/>
      <c r="AI667" s="678" t="n"/>
      <c r="AJ667" s="678" t="n"/>
      <c r="AK667" s="683" t="n"/>
      <c r="AL667" s="683" t="n"/>
      <c r="AM667" s="703" t="n"/>
      <c r="AN667" s="698" t="n"/>
      <c r="AO667" s="699" t="n"/>
      <c r="AP667" s="700" t="n"/>
      <c r="AQ667" s="700" t="n"/>
      <c r="AR667" s="701" t="n"/>
      <c r="AS667" s="702" t="n"/>
    </row>
    <row r="668" ht="38.40000000000001" customHeight="1" s="392">
      <c r="A668" s="672" t="n">
        <v>2026</v>
      </c>
      <c r="B668" s="673" t="inlineStr">
        <is>
          <t>TDF-EXP&amp;MAIN</t>
        </is>
      </c>
      <c r="C668" s="673" t="n"/>
      <c r="D668" s="672" t="inlineStr">
        <is>
          <t>AOO-M</t>
        </is>
      </c>
      <c r="E668" s="672" t="n">
        <v>1</v>
      </c>
      <c r="F668" s="674" t="inlineStr">
        <is>
          <t>Entretien et maintenance du syteme d'antennes du centre radio AM d'Ait Melloul</t>
        </is>
      </c>
      <c r="G668" s="675" t="inlineStr">
        <is>
          <t>EN SIGNATURE</t>
        </is>
      </c>
      <c r="H668" s="672" t="inlineStr">
        <is>
          <t>EN SIGNATURE</t>
        </is>
      </c>
      <c r="I668" s="672" t="n"/>
      <c r="J668" s="675" t="inlineStr">
        <is>
          <t>GENERAL</t>
        </is>
      </c>
      <c r="K668" s="672" t="inlineStr">
        <is>
          <t>Ordinaire</t>
        </is>
      </c>
      <c r="L668" s="676" t="inlineStr">
        <is>
          <t>FONCTIONNEMENT</t>
        </is>
      </c>
      <c r="M668" s="676" t="inlineStr">
        <is>
          <t>Entretien, réparation et assurance</t>
        </is>
      </c>
      <c r="N668" s="677">
        <f>O668*1.2</f>
        <v/>
      </c>
      <c r="O668" s="678" t="n">
        <v>2600000</v>
      </c>
      <c r="P668" s="678" t="n"/>
      <c r="Q668" s="672" t="n"/>
      <c r="R668" s="679" t="n"/>
      <c r="S668" s="680" t="n"/>
      <c r="T668" s="681" t="n"/>
      <c r="U668" s="672" t="n"/>
      <c r="V668" s="680" t="n">
        <v>46265</v>
      </c>
      <c r="W668" s="680" t="n"/>
      <c r="X668" s="680" t="n"/>
      <c r="Y668" s="677" t="n"/>
      <c r="Z668" s="678" t="n"/>
      <c r="AA668" s="678" t="n"/>
      <c r="AB668" s="678" t="n"/>
      <c r="AC668" s="678" t="n"/>
      <c r="AD668" s="678" t="n"/>
      <c r="AE668" s="682" t="inlineStr">
        <is>
          <t>EN COURS DE PREENGAGEMENT</t>
        </is>
      </c>
      <c r="AF668" s="681" t="n"/>
      <c r="AG668" s="678" t="n"/>
      <c r="AH668" s="678" t="n"/>
      <c r="AI668" s="678" t="n"/>
      <c r="AJ668" s="678" t="n"/>
      <c r="AK668" s="683" t="n"/>
      <c r="AL668" s="683" t="n"/>
      <c r="AM668" s="703" t="n"/>
      <c r="AN668" s="698" t="n"/>
      <c r="AO668" s="699" t="n"/>
      <c r="AP668" s="700" t="n"/>
      <c r="AQ668" s="700" t="n"/>
      <c r="AR668" s="701" t="n"/>
      <c r="AS668" s="702" t="n"/>
    </row>
    <row r="669" ht="54.6" customHeight="1" s="392">
      <c r="A669" s="672" t="n">
        <v>2026</v>
      </c>
      <c r="B669" s="673" t="inlineStr">
        <is>
          <t>TDF-EXP&amp;MAIN</t>
        </is>
      </c>
      <c r="C669" s="673" t="inlineStr">
        <is>
          <t>73AOM/SNRT/2026</t>
        </is>
      </c>
      <c r="D669" s="672" t="inlineStr">
        <is>
          <t>AOO-M</t>
        </is>
      </c>
      <c r="E669" s="672" t="n">
        <v>1</v>
      </c>
      <c r="F669" s="674" t="inlineStr">
        <is>
          <t>Fourniture des feeders antennes distributeurs de puissance RF connecteurs adaptateurs et accessoires de raccordement</t>
        </is>
      </c>
      <c r="G669" s="675" t="inlineStr">
        <is>
          <t>VALIDE</t>
        </is>
      </c>
      <c r="H669" s="672" t="inlineStr">
        <is>
          <t>PHASE AOO</t>
        </is>
      </c>
      <c r="I669" s="672" t="n"/>
      <c r="J669" s="675" t="inlineStr">
        <is>
          <t>GENERAL</t>
        </is>
      </c>
      <c r="K669" s="672" t="inlineStr">
        <is>
          <t>Ordinaire</t>
        </is>
      </c>
      <c r="L669" s="676" t="inlineStr">
        <is>
          <t>FONCTIONNEMENT</t>
        </is>
      </c>
      <c r="M669" s="676" t="inlineStr">
        <is>
          <t>Achats de matières et fournitures consommables</t>
        </is>
      </c>
      <c r="N669" s="677">
        <f>O669*1.2</f>
        <v/>
      </c>
      <c r="O669" s="678" t="n">
        <v>3309600</v>
      </c>
      <c r="P669" s="678" t="n"/>
      <c r="Q669" s="672" t="n"/>
      <c r="R669" s="679" t="n"/>
      <c r="S669" s="680" t="n"/>
      <c r="T669" s="681" t="n"/>
      <c r="U669" s="672" t="n"/>
      <c r="V669" s="680" t="n">
        <v>46265</v>
      </c>
      <c r="W669" s="680" t="n"/>
      <c r="X669" s="680" t="n"/>
      <c r="Y669" s="677" t="n"/>
      <c r="Z669" s="678" t="n"/>
      <c r="AA669" s="678" t="n"/>
      <c r="AB669" s="678" t="n"/>
      <c r="AC669" s="678" t="n"/>
      <c r="AD669" s="678" t="n"/>
      <c r="AE669" s="682" t="inlineStr">
        <is>
          <t>PREENGAGE</t>
        </is>
      </c>
      <c r="AF669" s="681" t="n"/>
      <c r="AG669" s="678" t="n"/>
      <c r="AH669" s="678" t="n"/>
      <c r="AI669" s="678" t="n"/>
      <c r="AJ669" s="678" t="n"/>
      <c r="AK669" s="683" t="n"/>
      <c r="AL669" s="683" t="n"/>
      <c r="AM669" s="703" t="n"/>
      <c r="AN669" s="698" t="n"/>
      <c r="AO669" s="699" t="n"/>
      <c r="AP669" s="700" t="n"/>
      <c r="AQ669" s="700" t="n"/>
      <c r="AR669" s="701" t="n"/>
      <c r="AS669" s="702" t="n"/>
    </row>
    <row r="670" ht="38.40000000000001" customHeight="1" s="392">
      <c r="A670" s="672" t="n">
        <v>2026</v>
      </c>
      <c r="B670" s="673" t="inlineStr">
        <is>
          <t>TDF-EXP&amp;MAIN</t>
        </is>
      </c>
      <c r="C670" s="673" t="inlineStr">
        <is>
          <t>73AOM/SNRT/2026</t>
        </is>
      </c>
      <c r="D670" s="672" t="inlineStr">
        <is>
          <t>AOO-M</t>
        </is>
      </c>
      <c r="E670" s="672" t="n">
        <v>2</v>
      </c>
      <c r="F670" s="674" t="inlineStr">
        <is>
          <t>Fourniture de duplexeurs filtres combiners et patch panels</t>
        </is>
      </c>
      <c r="G670" s="675" t="inlineStr">
        <is>
          <t>VALIDE</t>
        </is>
      </c>
      <c r="H670" s="672" t="inlineStr">
        <is>
          <t>PHASE AOO</t>
        </is>
      </c>
      <c r="I670" s="672" t="n"/>
      <c r="J670" s="675" t="inlineStr">
        <is>
          <t>GENERAL</t>
        </is>
      </c>
      <c r="K670" s="672" t="inlineStr">
        <is>
          <t>Ordinaire</t>
        </is>
      </c>
      <c r="L670" s="676" t="inlineStr">
        <is>
          <t>FONCTIONNEMENT</t>
        </is>
      </c>
      <c r="M670" s="676" t="inlineStr">
        <is>
          <t>Achats de matières et fournitures consommables</t>
        </is>
      </c>
      <c r="N670" s="677">
        <f>O670*1.2</f>
        <v/>
      </c>
      <c r="O670" s="678" t="n">
        <v>1600000</v>
      </c>
      <c r="P670" s="678" t="n"/>
      <c r="Q670" s="672" t="n"/>
      <c r="R670" s="679" t="n"/>
      <c r="S670" s="680" t="n"/>
      <c r="T670" s="681" t="n"/>
      <c r="U670" s="672" t="n"/>
      <c r="V670" s="680" t="n">
        <v>46265</v>
      </c>
      <c r="W670" s="680" t="n"/>
      <c r="X670" s="680" t="n"/>
      <c r="Y670" s="677" t="n"/>
      <c r="Z670" s="678" t="n"/>
      <c r="AA670" s="678" t="n"/>
      <c r="AB670" s="678" t="n"/>
      <c r="AC670" s="678" t="n"/>
      <c r="AD670" s="678" t="n"/>
      <c r="AE670" s="682" t="inlineStr">
        <is>
          <t>PREENGAGE</t>
        </is>
      </c>
      <c r="AF670" s="681" t="n"/>
      <c r="AG670" s="678" t="n"/>
      <c r="AH670" s="678" t="n"/>
      <c r="AI670" s="678" t="n"/>
      <c r="AJ670" s="678" t="n"/>
      <c r="AK670" s="683" t="n"/>
      <c r="AL670" s="683" t="n"/>
      <c r="AM670" s="703" t="n"/>
      <c r="AN670" s="698" t="n"/>
      <c r="AO670" s="699" t="n"/>
      <c r="AP670" s="700" t="n"/>
      <c r="AQ670" s="700" t="n"/>
      <c r="AR670" s="701" t="n"/>
      <c r="AS670" s="702" t="n"/>
    </row>
    <row r="671" ht="70.80000000000001" customHeight="1" s="392">
      <c r="A671" s="672" t="n">
        <v>2026</v>
      </c>
      <c r="B671" s="673" t="inlineStr">
        <is>
          <t>TDF -SITES</t>
        </is>
      </c>
      <c r="C671" s="673" t="inlineStr">
        <is>
          <t>72AOM/SNRT/2026</t>
        </is>
      </c>
      <c r="D671" s="672" t="inlineStr">
        <is>
          <t>AOO-M</t>
        </is>
      </c>
      <c r="E671" s="672" t="n">
        <v>1</v>
      </c>
      <c r="F671" s="674" t="inlineStr">
        <is>
          <t>Fourniture, installation et mise en service de deux émetteurs DVB-T/T2 double drive refroidi à liquide fonctionnant dans la bande [474-690] MHz et de puissance 5KW rms chacun avec leurs accessoires</t>
        </is>
      </c>
      <c r="G671" s="675" t="inlineStr">
        <is>
          <t>VALIDE</t>
        </is>
      </c>
      <c r="H671" s="672" t="inlineStr">
        <is>
          <t>PHASE AOO</t>
        </is>
      </c>
      <c r="I671" s="672" t="n"/>
      <c r="J671" s="675" t="inlineStr">
        <is>
          <t>GENERAL</t>
        </is>
      </c>
      <c r="K671" s="672" t="inlineStr">
        <is>
          <t>Ordinaire</t>
        </is>
      </c>
      <c r="L671" s="676" t="inlineStr">
        <is>
          <t>INVESTISSEMENT</t>
        </is>
      </c>
      <c r="M671" s="676" t="inlineStr">
        <is>
          <t>Equipements de télédiffusion</t>
        </is>
      </c>
      <c r="N671" s="677">
        <f>O671*1.2</f>
        <v/>
      </c>
      <c r="O671" s="678" t="n">
        <v>4110000</v>
      </c>
      <c r="P671" s="678" t="n"/>
      <c r="Q671" s="672" t="n"/>
      <c r="R671" s="679" t="n"/>
      <c r="S671" s="680" t="n"/>
      <c r="T671" s="681" t="n"/>
      <c r="U671" s="672" t="n"/>
      <c r="V671" s="680" t="n">
        <v>46266</v>
      </c>
      <c r="W671" s="680" t="n"/>
      <c r="X671" s="680" t="n"/>
      <c r="Y671" s="677" t="n"/>
      <c r="Z671" s="678" t="n"/>
      <c r="AA671" s="678" t="n"/>
      <c r="AB671" s="678" t="n"/>
      <c r="AC671" s="678" t="n"/>
      <c r="AD671" s="678" t="n"/>
      <c r="AE671" s="682" t="inlineStr">
        <is>
          <t>PREENGAGE</t>
        </is>
      </c>
      <c r="AF671" s="681" t="n"/>
      <c r="AG671" s="678" t="n"/>
      <c r="AH671" s="678" t="n"/>
      <c r="AI671" s="678" t="n"/>
      <c r="AJ671" s="678" t="n"/>
      <c r="AK671" s="683" t="n"/>
      <c r="AL671" s="683" t="n"/>
      <c r="AM671" s="703" t="n"/>
      <c r="AN671" s="698" t="n"/>
      <c r="AO671" s="699" t="n"/>
      <c r="AP671" s="700" t="n"/>
      <c r="AQ671" s="700" t="n"/>
      <c r="AR671" s="701" t="n"/>
      <c r="AS671" s="702" t="n"/>
    </row>
    <row r="672" ht="38.40000000000001" customHeight="1" s="392">
      <c r="A672" s="672" t="n">
        <v>2026</v>
      </c>
      <c r="B672" s="673" t="inlineStr">
        <is>
          <t>DPMG</t>
        </is>
      </c>
      <c r="C672" s="673" t="inlineStr">
        <is>
          <t>402CT/SNRT/2026</t>
        </is>
      </c>
      <c r="D672" s="672" t="inlineStr">
        <is>
          <t>CONTRAT</t>
        </is>
      </c>
      <c r="E672" s="672" t="n">
        <v>1</v>
      </c>
      <c r="F672" s="674" t="inlineStr">
        <is>
          <t>Aquisition des véhicules aménagés de transport de personnel</t>
        </is>
      </c>
      <c r="G672" s="675" t="inlineStr">
        <is>
          <t>EN SIGNATURE</t>
        </is>
      </c>
      <c r="H672" s="672" t="inlineStr">
        <is>
          <t>EN SIGNATURE</t>
        </is>
      </c>
      <c r="I672" s="672" t="n"/>
      <c r="J672" s="675" t="inlineStr">
        <is>
          <t>GENERAL</t>
        </is>
      </c>
      <c r="K672" s="672" t="inlineStr">
        <is>
          <t>Exceptionnel</t>
        </is>
      </c>
      <c r="L672" s="676" t="inlineStr">
        <is>
          <t>INVESTISSEMENT</t>
        </is>
      </c>
      <c r="M672" s="676" t="inlineStr">
        <is>
          <t>Matériels de transport</t>
        </is>
      </c>
      <c r="N672" s="677" t="n"/>
      <c r="O672" s="678" t="n"/>
      <c r="P672" s="678" t="n"/>
      <c r="Q672" s="672" t="n"/>
      <c r="R672" s="679" t="n"/>
      <c r="S672" s="680" t="n"/>
      <c r="T672" s="681" t="inlineStr">
        <is>
          <t>ATLAS VEHICULES INDUSTRIELS</t>
        </is>
      </c>
      <c r="U672" s="672" t="n"/>
      <c r="V672" s="680" t="n">
        <v>46268</v>
      </c>
      <c r="W672" s="680" t="n"/>
      <c r="X672" s="680" t="n"/>
      <c r="Y672" s="677" t="n"/>
      <c r="Z672" s="678" t="n"/>
      <c r="AA672" s="678" t="n"/>
      <c r="AB672" s="678" t="n"/>
      <c r="AC672" s="678" t="n"/>
      <c r="AD672" s="678" t="n">
        <v>3547200</v>
      </c>
      <c r="AE672" s="682" t="inlineStr">
        <is>
          <t>EN COURS D'ENGAGEMENT</t>
        </is>
      </c>
      <c r="AF672" s="681" t="n"/>
      <c r="AG672" s="678" t="n"/>
      <c r="AH672" s="678" t="n"/>
      <c r="AI672" s="678" t="n"/>
      <c r="AJ672" s="678" t="n"/>
      <c r="AK672" s="683" t="n"/>
      <c r="AL672" s="683" t="n"/>
      <c r="AM672" s="703" t="n"/>
      <c r="AN672" s="698" t="n"/>
      <c r="AO672" s="699" t="n"/>
      <c r="AP672" s="700" t="n"/>
      <c r="AQ672" s="700" t="n"/>
      <c r="AR672" s="701" t="n"/>
      <c r="AS672" s="702" t="n"/>
    </row>
    <row r="673" ht="54.6" customHeight="1" s="392">
      <c r="A673" s="672" t="n">
        <v>2026</v>
      </c>
      <c r="B673" s="673" t="inlineStr">
        <is>
          <t>DCT</t>
        </is>
      </c>
      <c r="C673" s="673" t="inlineStr">
        <is>
          <t>74AOM/SNRT/2026</t>
        </is>
      </c>
      <c r="D673" s="672" t="inlineStr">
        <is>
          <t>AOO-M</t>
        </is>
      </c>
      <c r="E673" s="672" t="n">
        <v>1</v>
      </c>
      <c r="F673" s="674" t="inlineStr">
        <is>
          <t>La fourniture et la mise en service d'équipement de traitement de signaux Audio/vidéo pour les besoins des chaines TV de la SNRT</t>
        </is>
      </c>
      <c r="G673" s="675" t="inlineStr">
        <is>
          <t>VALIDE</t>
        </is>
      </c>
      <c r="H673" s="672" t="inlineStr">
        <is>
          <t>PHASE AOO</t>
        </is>
      </c>
      <c r="I673" s="672" t="n"/>
      <c r="J673" s="675" t="inlineStr">
        <is>
          <t>GENERAL</t>
        </is>
      </c>
      <c r="K673" s="672" t="inlineStr">
        <is>
          <t>Exceptionnel</t>
        </is>
      </c>
      <c r="L673" s="676" t="inlineStr">
        <is>
          <t>INVESTISSEMENT</t>
        </is>
      </c>
      <c r="M673" s="676" t="inlineStr">
        <is>
          <t>Équipements techniques</t>
        </is>
      </c>
      <c r="N673" s="677">
        <f>Engagements2026Juillet[[#This Row],[ESTIMATION TTC]]*1.2</f>
        <v/>
      </c>
      <c r="O673" s="678" t="n">
        <v>2770812</v>
      </c>
      <c r="P673" s="678" t="n"/>
      <c r="Q673" s="672" t="n"/>
      <c r="R673" s="679" t="n"/>
      <c r="S673" s="680" t="n"/>
      <c r="T673" s="681" t="n"/>
      <c r="U673" s="672" t="n"/>
      <c r="V673" s="680" t="n">
        <v>46266</v>
      </c>
      <c r="W673" s="680" t="n"/>
      <c r="X673" s="680" t="n"/>
      <c r="Y673" s="677" t="n"/>
      <c r="Z673" s="678" t="n"/>
      <c r="AA673" s="678" t="n"/>
      <c r="AB673" s="678" t="n"/>
      <c r="AC673" s="678" t="n"/>
      <c r="AD673" s="678" t="n"/>
      <c r="AE673" s="682" t="inlineStr">
        <is>
          <t>PREENGAGE</t>
        </is>
      </c>
      <c r="AF673" s="681" t="n"/>
      <c r="AG673" s="678" t="n"/>
      <c r="AH673" s="678" t="n"/>
      <c r="AI673" s="678" t="n"/>
      <c r="AJ673" s="678" t="n"/>
      <c r="AK673" s="683" t="n"/>
      <c r="AL673" s="683" t="n"/>
      <c r="AM673" s="703" t="n"/>
      <c r="AN673" s="698" t="n"/>
      <c r="AO673" s="699" t="n"/>
      <c r="AP673" s="700" t="n"/>
      <c r="AQ673" s="700" t="n"/>
      <c r="AR673" s="701" t="n"/>
      <c r="AS673" s="702" t="n"/>
    </row>
    <row r="674" ht="70.80000000000001" customHeight="1" s="392">
      <c r="A674" s="672" t="n">
        <v>2026</v>
      </c>
      <c r="B674" s="673" t="inlineStr">
        <is>
          <t>DCPA</t>
        </is>
      </c>
      <c r="C674" s="697" t="n"/>
      <c r="D674" s="672" t="inlineStr">
        <is>
          <t>CONTRAT</t>
        </is>
      </c>
      <c r="E674" s="672" t="n">
        <v>1</v>
      </c>
      <c r="F674" s="674" t="inlineStr">
        <is>
          <t>ABDELLAH TOUKOUNA(ALIAS FERKOUSS)-LA PARTICIPATION ARTISTIQUE DE L'ARTISTE ABDELLAH TAKOUNA DANS LA SERIE DOCUMENTAIRE HANINE EL FARAH EPISODE - IMALCHIL MAWSSIM AL JAMAL WA AL HAYAT</t>
        </is>
      </c>
      <c r="G674" s="675" t="inlineStr">
        <is>
          <t>VALIDE</t>
        </is>
      </c>
      <c r="H674" s="672" t="inlineStr">
        <is>
          <t>APPROUVE</t>
        </is>
      </c>
      <c r="I674" s="691" t="n"/>
      <c r="J674" s="675" t="inlineStr">
        <is>
          <t>NON CONCERNE</t>
        </is>
      </c>
      <c r="K674" s="672" t="inlineStr">
        <is>
          <t>Ordinaire</t>
        </is>
      </c>
      <c r="L674" s="676" t="inlineStr">
        <is>
          <t>FONCTIONNEMENT</t>
        </is>
      </c>
      <c r="M674" s="676" t="inlineStr">
        <is>
          <t>Achats de productions et de programmes
Achat des programmes en production interne</t>
        </is>
      </c>
      <c r="N674" s="677" t="n"/>
      <c r="O674" s="678" t="n"/>
      <c r="P674" s="678" t="n"/>
      <c r="Q674" s="672" t="n"/>
      <c r="R674" s="679" t="n"/>
      <c r="S674" s="680" t="n"/>
      <c r="T674" s="681" t="inlineStr">
        <is>
          <t xml:space="preserve">ABDELLAH TOUKOUNA </t>
        </is>
      </c>
      <c r="U674" s="672" t="n"/>
      <c r="V674" s="680" t="n"/>
      <c r="W674" s="680" t="n"/>
      <c r="X674" s="680" t="n"/>
      <c r="Y674" s="677" t="n"/>
      <c r="Z674" s="678" t="n"/>
      <c r="AA674" s="678" t="n"/>
      <c r="AB674" s="678" t="n"/>
      <c r="AC674" s="678" t="n"/>
      <c r="AD674" s="678" t="n">
        <v>36600</v>
      </c>
      <c r="AE674" s="682" t="inlineStr">
        <is>
          <t>ENGAGE</t>
        </is>
      </c>
      <c r="AF674" s="681" t="n"/>
      <c r="AG674" s="678" t="n"/>
      <c r="AH674" s="678" t="n"/>
      <c r="AI674" s="678" t="n"/>
      <c r="AJ674" s="678" t="n"/>
      <c r="AK674" s="683" t="n"/>
      <c r="AL674" s="683" t="n"/>
      <c r="AM674" s="681" t="n"/>
      <c r="AN674" s="698" t="n"/>
      <c r="AO674" s="699" t="n"/>
      <c r="AP674" s="700" t="n"/>
      <c r="AQ674" s="700" t="n"/>
      <c r="AR674" s="701" t="n"/>
      <c r="AS674" s="702" t="n"/>
    </row>
    <row r="675" ht="65.40000000000001" customHeight="1" s="392">
      <c r="A675" s="672" t="n">
        <v>2026</v>
      </c>
      <c r="B675" s="673" t="inlineStr">
        <is>
          <t>DCPA</t>
        </is>
      </c>
      <c r="C675" s="673" t="inlineStr">
        <is>
          <t>424CT/SNRT/2026</t>
        </is>
      </c>
      <c r="D675" s="672" t="inlineStr">
        <is>
          <t>AOO-CT</t>
        </is>
      </c>
      <c r="E675" s="672" t="n">
        <v>1</v>
      </c>
      <c r="F675" s="674" t="inlineStr">
        <is>
          <t>Emission Matinale 'Ousrati'</t>
        </is>
      </c>
      <c r="G675" s="675" t="inlineStr">
        <is>
          <t>VALIDE</t>
        </is>
      </c>
      <c r="H675" s="672" t="inlineStr">
        <is>
          <t>APPROUVE</t>
        </is>
      </c>
      <c r="I675" s="691" t="n"/>
      <c r="J675" s="675" t="inlineStr">
        <is>
          <t>GENERAL</t>
        </is>
      </c>
      <c r="K675" s="672" t="inlineStr">
        <is>
          <t>Ordinaire</t>
        </is>
      </c>
      <c r="L675" s="676" t="inlineStr">
        <is>
          <t>FONCTIONNEMENT</t>
        </is>
      </c>
      <c r="M675" s="676" t="inlineStr">
        <is>
          <t>Achats de productions et de programmes
Acquis définitive Programmes TV externes</t>
        </is>
      </c>
      <c r="N675" s="677" t="n"/>
      <c r="O675" s="678" t="n"/>
      <c r="P675" s="678" t="n"/>
      <c r="Q675" s="672" t="n"/>
      <c r="R675" s="679" t="n"/>
      <c r="S675" s="680" t="n"/>
      <c r="T675" s="681" t="inlineStr">
        <is>
          <t>IMAGE FACTORY</t>
        </is>
      </c>
      <c r="U675" s="691" t="n"/>
      <c r="V675" s="680" t="n"/>
      <c r="W675" s="680" t="n"/>
      <c r="X675" s="680" t="n"/>
      <c r="Y675" s="677" t="n"/>
      <c r="Z675" s="678" t="n"/>
      <c r="AA675" s="678" t="n"/>
      <c r="AB675" s="678" t="n"/>
      <c r="AC675" s="678" t="n"/>
      <c r="AD675" s="678" t="n">
        <v>5489836.8</v>
      </c>
      <c r="AE675" s="682" t="inlineStr">
        <is>
          <t>ENGAGE</t>
        </is>
      </c>
      <c r="AF675" s="681" t="n"/>
      <c r="AG675" s="678" t="n"/>
      <c r="AH675" s="678" t="n"/>
      <c r="AI675" s="678" t="n"/>
      <c r="AJ675" s="678" t="n"/>
      <c r="AK675" s="683" t="n"/>
      <c r="AL675" s="683" t="n"/>
      <c r="AM675" s="681" t="n"/>
      <c r="AN675" s="704" t="n"/>
      <c r="AO675" s="705" t="n"/>
      <c r="AP675" s="706" t="n"/>
      <c r="AQ675" s="706" t="n"/>
      <c r="AR675" s="707" t="n"/>
      <c r="AS675" s="708" t="n"/>
    </row>
    <row r="676" ht="65.40000000000001" customHeight="1" s="392">
      <c r="A676" s="672" t="n">
        <v>2026</v>
      </c>
      <c r="B676" s="673" t="inlineStr">
        <is>
          <t>DCPA</t>
        </is>
      </c>
      <c r="C676" s="673" t="inlineStr">
        <is>
          <t>426CT/SNRT/2026</t>
        </is>
      </c>
      <c r="D676" s="672" t="inlineStr">
        <is>
          <t>AOO-CT</t>
        </is>
      </c>
      <c r="E676" s="672" t="n">
        <v>1</v>
      </c>
      <c r="F676" s="674" t="inlineStr">
        <is>
          <t>Documentaire 'ICHAA MAMLAKA'</t>
        </is>
      </c>
      <c r="G676" s="675" t="inlineStr">
        <is>
          <t>VALIDE</t>
        </is>
      </c>
      <c r="H676" s="672" t="inlineStr">
        <is>
          <t>APPROUVE</t>
        </is>
      </c>
      <c r="I676" s="691" t="n"/>
      <c r="J676" s="675" t="inlineStr">
        <is>
          <t>GENERAL</t>
        </is>
      </c>
      <c r="K676" s="672" t="inlineStr">
        <is>
          <t>Ordinaire</t>
        </is>
      </c>
      <c r="L676" s="676" t="inlineStr">
        <is>
          <t>FONCTIONNEMENT</t>
        </is>
      </c>
      <c r="M676" s="676" t="inlineStr">
        <is>
          <t>Achats de productions et de programmes
Acquis définitive Programmes TV externes</t>
        </is>
      </c>
      <c r="N676" s="677" t="n"/>
      <c r="O676" s="678" t="n"/>
      <c r="P676" s="678" t="n"/>
      <c r="Q676" s="672" t="n"/>
      <c r="R676" s="679" t="n"/>
      <c r="S676" s="680" t="n"/>
      <c r="T676" s="681" t="inlineStr">
        <is>
          <t>MONAFRIQUE PRODCOM</t>
        </is>
      </c>
      <c r="U676" s="691" t="n"/>
      <c r="V676" s="680" t="n"/>
      <c r="W676" s="680" t="n"/>
      <c r="X676" s="680" t="n"/>
      <c r="Y676" s="677" t="n"/>
      <c r="Z676" s="678" t="n"/>
      <c r="AA676" s="678" t="n"/>
      <c r="AB676" s="678" t="n"/>
      <c r="AC676" s="678" t="n"/>
      <c r="AD676" s="678" t="n">
        <v>4082624.04</v>
      </c>
      <c r="AE676" s="682" t="inlineStr">
        <is>
          <t>ENGAGE</t>
        </is>
      </c>
      <c r="AF676" s="681" t="n"/>
      <c r="AG676" s="678" t="n"/>
      <c r="AH676" s="678" t="n"/>
      <c r="AI676" s="678" t="n"/>
      <c r="AJ676" s="678" t="n"/>
      <c r="AK676" s="683" t="n"/>
      <c r="AL676" s="683" t="n"/>
      <c r="AM676" s="681" t="n"/>
      <c r="AN676" s="704" t="n"/>
      <c r="AO676" s="705" t="n"/>
      <c r="AP676" s="706" t="n"/>
      <c r="AQ676" s="706" t="n"/>
      <c r="AR676" s="707" t="n"/>
      <c r="AS676" s="708" t="n"/>
    </row>
    <row r="677" ht="65.40000000000001" customHeight="1" s="392">
      <c r="A677" s="672" t="n">
        <v>2026</v>
      </c>
      <c r="B677" s="673" t="inlineStr">
        <is>
          <t>DCPA</t>
        </is>
      </c>
      <c r="C677" s="673" t="inlineStr">
        <is>
          <t>428CT/SNRT/2026</t>
        </is>
      </c>
      <c r="D677" s="672" t="inlineStr">
        <is>
          <t>AOO-CT</t>
        </is>
      </c>
      <c r="E677" s="672" t="n">
        <v>1</v>
      </c>
      <c r="F677" s="674" t="inlineStr">
        <is>
          <t>Emission pour enfabt 'WLIDATE BLADI'</t>
        </is>
      </c>
      <c r="G677" s="675" t="inlineStr">
        <is>
          <t>VALIDE</t>
        </is>
      </c>
      <c r="H677" s="672" t="inlineStr">
        <is>
          <t>APPROUVE</t>
        </is>
      </c>
      <c r="I677" s="691" t="n"/>
      <c r="J677" s="675" t="inlineStr">
        <is>
          <t>GENERAL</t>
        </is>
      </c>
      <c r="K677" s="672" t="inlineStr">
        <is>
          <t>Ordinaire</t>
        </is>
      </c>
      <c r="L677" s="676" t="inlineStr">
        <is>
          <t>FONCTIONNEMENT</t>
        </is>
      </c>
      <c r="M677" s="676" t="inlineStr">
        <is>
          <t>Achats de productions et de programmes
Acquis définitive Programmes TV externes</t>
        </is>
      </c>
      <c r="N677" s="677" t="n"/>
      <c r="O677" s="678" t="n"/>
      <c r="P677" s="678" t="n"/>
      <c r="Q677" s="672" t="n"/>
      <c r="R677" s="679" t="n"/>
      <c r="S677" s="680" t="n"/>
      <c r="T677" s="681" t="inlineStr">
        <is>
          <t>POPKORN PRODUCTON</t>
        </is>
      </c>
      <c r="U677" s="691" t="n"/>
      <c r="V677" s="680" t="n"/>
      <c r="W677" s="680" t="n"/>
      <c r="X677" s="680" t="n"/>
      <c r="Y677" s="677" t="n"/>
      <c r="Z677" s="678" t="n"/>
      <c r="AA677" s="678" t="n"/>
      <c r="AB677" s="678" t="n"/>
      <c r="AC677" s="678" t="n"/>
      <c r="AD677" s="678" t="n">
        <v>2885702.4</v>
      </c>
      <c r="AE677" s="682" t="inlineStr">
        <is>
          <t>ENGAGE</t>
        </is>
      </c>
      <c r="AF677" s="681" t="n"/>
      <c r="AG677" s="678" t="n"/>
      <c r="AH677" s="678" t="n"/>
      <c r="AI677" s="678" t="n"/>
      <c r="AJ677" s="678" t="n"/>
      <c r="AK677" s="683" t="n"/>
      <c r="AL677" s="683" t="n"/>
      <c r="AM677" s="681" t="n"/>
      <c r="AN677" s="704" t="n"/>
      <c r="AO677" s="705" t="n"/>
      <c r="AP677" s="706" t="n"/>
      <c r="AQ677" s="706" t="n"/>
      <c r="AR677" s="707" t="n"/>
      <c r="AS677" s="708" t="n"/>
    </row>
    <row r="678" ht="65.40000000000001" customHeight="1" s="392">
      <c r="A678" s="672" t="n">
        <v>2026</v>
      </c>
      <c r="B678" s="673" t="inlineStr">
        <is>
          <t>DCPA</t>
        </is>
      </c>
      <c r="C678" s="673" t="inlineStr">
        <is>
          <t>427CT/SNRT/2026</t>
        </is>
      </c>
      <c r="D678" s="672" t="inlineStr">
        <is>
          <t>AOO-CT</t>
        </is>
      </c>
      <c r="E678" s="672" t="n">
        <v>1</v>
      </c>
      <c r="F678" s="674" t="inlineStr">
        <is>
          <t>Documentaire 'AHL AL MAGHREB'</t>
        </is>
      </c>
      <c r="G678" s="675" t="inlineStr">
        <is>
          <t>VALIDE</t>
        </is>
      </c>
      <c r="H678" s="672" t="inlineStr">
        <is>
          <t>APPROUVE</t>
        </is>
      </c>
      <c r="I678" s="691" t="n"/>
      <c r="J678" s="675" t="inlineStr">
        <is>
          <t>GENERAL</t>
        </is>
      </c>
      <c r="K678" s="672" t="inlineStr">
        <is>
          <t>Ordinaire</t>
        </is>
      </c>
      <c r="L678" s="676" t="inlineStr">
        <is>
          <t>FONCTIONNEMENT</t>
        </is>
      </c>
      <c r="M678" s="676" t="inlineStr">
        <is>
          <t>Achats de productions et de programmes
Acquis définitive Programmes TV externes</t>
        </is>
      </c>
      <c r="N678" s="677" t="n"/>
      <c r="O678" s="678" t="n"/>
      <c r="P678" s="678" t="n"/>
      <c r="Q678" s="672" t="n"/>
      <c r="R678" s="679" t="n"/>
      <c r="S678" s="680" t="n"/>
      <c r="T678" s="681" t="inlineStr">
        <is>
          <t>NADACOM DESIGN</t>
        </is>
      </c>
      <c r="U678" s="691" t="n"/>
      <c r="V678" s="680" t="n"/>
      <c r="W678" s="680" t="n"/>
      <c r="X678" s="680" t="n"/>
      <c r="Y678" s="677" t="n"/>
      <c r="Z678" s="678" t="n"/>
      <c r="AA678" s="678" t="n"/>
      <c r="AB678" s="678" t="n"/>
      <c r="AC678" s="678" t="n"/>
      <c r="AD678" s="678" t="n">
        <v>3107440</v>
      </c>
      <c r="AE678" s="682" t="inlineStr">
        <is>
          <t>ENGAGE</t>
        </is>
      </c>
      <c r="AF678" s="681" t="n"/>
      <c r="AG678" s="678" t="n"/>
      <c r="AH678" s="678" t="n"/>
      <c r="AI678" s="678" t="n"/>
      <c r="AJ678" s="678" t="n"/>
      <c r="AK678" s="683" t="n"/>
      <c r="AL678" s="683" t="n"/>
      <c r="AM678" s="681" t="n"/>
      <c r="AN678" s="704" t="n"/>
      <c r="AO678" s="705" t="n"/>
      <c r="AP678" s="706" t="n"/>
      <c r="AQ678" s="706" t="n"/>
      <c r="AR678" s="707" t="n"/>
      <c r="AS678" s="708" t="n"/>
    </row>
    <row r="679" ht="65.40000000000001" customHeight="1" s="392">
      <c r="A679" s="672" t="n">
        <v>2026</v>
      </c>
      <c r="B679" s="673" t="inlineStr">
        <is>
          <t>DCPA</t>
        </is>
      </c>
      <c r="C679" s="673" t="inlineStr">
        <is>
          <t>431CT/SNRT/2026</t>
        </is>
      </c>
      <c r="D679" s="672" t="inlineStr">
        <is>
          <t>AOO-CT</t>
        </is>
      </c>
      <c r="E679" s="672" t="n">
        <v>1</v>
      </c>
      <c r="F679" s="674" t="inlineStr">
        <is>
          <t>Emission Magazine Economique 'MADE IN MOROCCO'</t>
        </is>
      </c>
      <c r="G679" s="675" t="inlineStr">
        <is>
          <t>VALIDE</t>
        </is>
      </c>
      <c r="H679" s="672" t="inlineStr">
        <is>
          <t>APPROUVE</t>
        </is>
      </c>
      <c r="I679" s="691" t="n"/>
      <c r="J679" s="675" t="inlineStr">
        <is>
          <t>GENERAL</t>
        </is>
      </c>
      <c r="K679" s="672" t="inlineStr">
        <is>
          <t>Ordinaire</t>
        </is>
      </c>
      <c r="L679" s="676" t="inlineStr">
        <is>
          <t>FONCTIONNEMENT</t>
        </is>
      </c>
      <c r="M679" s="676" t="inlineStr">
        <is>
          <t>Achats de productions et de programmes
Acquis définitive Programmes TV externes</t>
        </is>
      </c>
      <c r="N679" s="677" t="n"/>
      <c r="O679" s="678" t="n"/>
      <c r="P679" s="678" t="n"/>
      <c r="Q679" s="672" t="n"/>
      <c r="R679" s="679" t="n"/>
      <c r="S679" s="680" t="n"/>
      <c r="T679" s="681" t="inlineStr">
        <is>
          <t>W5 MEDIA</t>
        </is>
      </c>
      <c r="U679" s="691" t="n"/>
      <c r="V679" s="680" t="n"/>
      <c r="W679" s="680" t="n"/>
      <c r="X679" s="680" t="n"/>
      <c r="Y679" s="677" t="n"/>
      <c r="Z679" s="678" t="n"/>
      <c r="AA679" s="678" t="n"/>
      <c r="AB679" s="678" t="n"/>
      <c r="AC679" s="678" t="n"/>
      <c r="AD679" s="678" t="n">
        <v>1958880</v>
      </c>
      <c r="AE679" s="682" t="inlineStr">
        <is>
          <t>ENGAGE</t>
        </is>
      </c>
      <c r="AF679" s="681" t="n"/>
      <c r="AG679" s="678" t="n"/>
      <c r="AH679" s="678" t="n"/>
      <c r="AI679" s="678" t="n"/>
      <c r="AJ679" s="678" t="n"/>
      <c r="AK679" s="683" t="n"/>
      <c r="AL679" s="683" t="n"/>
      <c r="AM679" s="681" t="n"/>
      <c r="AN679" s="704" t="n"/>
      <c r="AO679" s="705" t="n"/>
      <c r="AP679" s="706" t="n"/>
      <c r="AQ679" s="706" t="n"/>
      <c r="AR679" s="707" t="n"/>
      <c r="AS679" s="708" t="n"/>
    </row>
    <row r="680" ht="38.40000000000001" customHeight="1" s="392">
      <c r="A680" s="672" t="n">
        <v>2026</v>
      </c>
      <c r="B680" s="673" t="inlineStr">
        <is>
          <t>DPMG</t>
        </is>
      </c>
      <c r="C680" s="673" t="inlineStr">
        <is>
          <t>76AOM/SNRT/2026</t>
        </is>
      </c>
      <c r="D680" s="672" t="inlineStr">
        <is>
          <t>AOO-M</t>
        </is>
      </c>
      <c r="E680" s="672" t="n">
        <v>1</v>
      </c>
      <c r="F680" s="674" t="inlineStr">
        <is>
          <t>Travaux d'electricite et de climatisation des locaux technique de la SNRT à Rabat</t>
        </is>
      </c>
      <c r="G680" s="675" t="inlineStr">
        <is>
          <t>EN SIGNATURE</t>
        </is>
      </c>
      <c r="H680" s="672" t="inlineStr">
        <is>
          <t>EN SIGNATURE</t>
        </is>
      </c>
      <c r="I680" s="691" t="n"/>
      <c r="J680" s="675" t="inlineStr">
        <is>
          <t>PME</t>
        </is>
      </c>
      <c r="K680" s="672" t="inlineStr">
        <is>
          <t>REPORT BUDGET ANNEE ANTERIEURE</t>
        </is>
      </c>
      <c r="L680" s="676" t="inlineStr">
        <is>
          <t>INVESTISSEMENT</t>
        </is>
      </c>
      <c r="M680" s="676" t="inlineStr">
        <is>
          <t>Agencements et aménagement constructions</t>
        </is>
      </c>
      <c r="N680" s="677">
        <f>O680*1.2</f>
        <v/>
      </c>
      <c r="O680" s="678" t="n">
        <v>3242700</v>
      </c>
      <c r="P680" s="678" t="n"/>
      <c r="Q680" s="672" t="n"/>
      <c r="R680" s="679" t="n"/>
      <c r="S680" s="680" t="n"/>
      <c r="T680" s="681" t="n"/>
      <c r="U680" s="691" t="n"/>
      <c r="V680" s="680" t="n"/>
      <c r="W680" s="680" t="n"/>
      <c r="X680" s="680" t="n"/>
      <c r="Y680" s="677" t="n"/>
      <c r="Z680" s="678" t="n"/>
      <c r="AA680" s="678" t="n"/>
      <c r="AB680" s="678" t="n"/>
      <c r="AC680" s="678" t="n"/>
      <c r="AD680" s="678" t="n"/>
      <c r="AE680" s="682" t="inlineStr">
        <is>
          <t>EN COURS DE PREENGAGEMENT</t>
        </is>
      </c>
      <c r="AF680" s="681" t="n"/>
      <c r="AG680" s="678" t="n"/>
      <c r="AH680" s="678" t="n"/>
      <c r="AI680" s="678" t="n"/>
      <c r="AJ680" s="678" t="n"/>
      <c r="AK680" s="683" t="n"/>
      <c r="AL680" s="683" t="n"/>
      <c r="AM680" s="681" t="n"/>
      <c r="AN680" s="698" t="n"/>
      <c r="AO680" s="699" t="n"/>
      <c r="AP680" s="700" t="n"/>
      <c r="AQ680" s="700" t="n"/>
      <c r="AR680" s="701" t="n"/>
      <c r="AS680" s="702" t="n"/>
    </row>
    <row r="681" ht="38.40000000000001" customHeight="1" s="392">
      <c r="A681" s="672" t="n">
        <v>2026</v>
      </c>
      <c r="B681" s="673" t="inlineStr">
        <is>
          <t>DCPA</t>
        </is>
      </c>
      <c r="C681" s="673" t="inlineStr">
        <is>
          <t>435CT/SNRT/2026</t>
        </is>
      </c>
      <c r="D681" s="672" t="inlineStr">
        <is>
          <t>CONTRAT</t>
        </is>
      </c>
      <c r="E681" s="672" t="n">
        <v>1</v>
      </c>
      <c r="F681" s="674" t="inlineStr">
        <is>
          <t>Edition 31 du festival international du cinéma méditerranéen de Tétouan du 03 au 10/10/2026</t>
        </is>
      </c>
      <c r="G681" s="675" t="inlineStr">
        <is>
          <t>EN SIGNATURE</t>
        </is>
      </c>
      <c r="H681" s="672" t="inlineStr">
        <is>
          <t>EN SIGNATURE</t>
        </is>
      </c>
      <c r="I681" s="691" t="n"/>
      <c r="J681" s="675" t="inlineStr">
        <is>
          <t>GENERAL</t>
        </is>
      </c>
      <c r="K681" s="672" t="inlineStr">
        <is>
          <t>Ordinaire</t>
        </is>
      </c>
      <c r="L681" s="676" t="inlineStr">
        <is>
          <t>FONCTIONNEMENT</t>
        </is>
      </c>
      <c r="M681" s="676" t="inlineStr">
        <is>
          <t>Achats de droits
Achats des droits de captation</t>
        </is>
      </c>
      <c r="N681" s="677" t="n"/>
      <c r="O681" s="678" t="n"/>
      <c r="P681" s="678" t="n"/>
      <c r="Q681" s="672" t="n"/>
      <c r="R681" s="679" t="n"/>
      <c r="S681" s="680" t="n"/>
      <c r="T681" s="681" t="inlineStr">
        <is>
          <t>Fondation de Festival de cinéma 13001948</t>
        </is>
      </c>
      <c r="U681" s="691" t="n"/>
      <c r="V681" s="680" t="n"/>
      <c r="W681" s="680" t="n"/>
      <c r="X681" s="680" t="n"/>
      <c r="Y681" s="677" t="n"/>
      <c r="Z681" s="678" t="n"/>
      <c r="AA681" s="678" t="n"/>
      <c r="AB681" s="678" t="n"/>
      <c r="AC681" s="678" t="n"/>
      <c r="AD681" s="678" t="n">
        <v>200000</v>
      </c>
      <c r="AE681" s="682" t="inlineStr">
        <is>
          <t>EN COURS D'ENGAGEMENT</t>
        </is>
      </c>
      <c r="AF681" s="681" t="n"/>
      <c r="AG681" s="678" t="n"/>
      <c r="AH681" s="678" t="n"/>
      <c r="AI681" s="678" t="n"/>
      <c r="AJ681" s="678" t="n"/>
      <c r="AK681" s="683" t="n"/>
      <c r="AL681" s="683" t="n"/>
      <c r="AM681" s="681" t="n"/>
      <c r="AN681" s="698" t="n"/>
      <c r="AO681" s="699" t="n"/>
      <c r="AP681" s="700" t="n"/>
      <c r="AQ681" s="700" t="n"/>
      <c r="AR681" s="701" t="n"/>
      <c r="AS681" s="702" t="n"/>
    </row>
    <row r="682" ht="38.40000000000001" customHeight="1" s="392">
      <c r="A682" s="672" t="n">
        <v>2026</v>
      </c>
      <c r="B682" s="673" t="inlineStr">
        <is>
          <t>TDF-EXP&amp;MAIN</t>
        </is>
      </c>
      <c r="C682" s="673" t="inlineStr">
        <is>
          <t>75AOM/SNRT/2026</t>
        </is>
      </c>
      <c r="D682" s="672" t="inlineStr">
        <is>
          <t>AOO-M</t>
        </is>
      </c>
      <c r="E682" s="672" t="n">
        <v>1</v>
      </c>
      <c r="F682" s="674" t="inlineStr">
        <is>
          <t>Entretien et remise en état des systèmes de balisage aux pylônes des centres de diffusion TV/FM</t>
        </is>
      </c>
      <c r="G682" s="675" t="inlineStr">
        <is>
          <t>VALIDE</t>
        </is>
      </c>
      <c r="H682" s="672" t="inlineStr">
        <is>
          <t>PHASE AOO</t>
        </is>
      </c>
      <c r="I682" s="691" t="n"/>
      <c r="J682" s="675" t="inlineStr">
        <is>
          <t>PME</t>
        </is>
      </c>
      <c r="K682" s="672" t="inlineStr">
        <is>
          <t>Ordinaire</t>
        </is>
      </c>
      <c r="L682" s="676" t="inlineStr">
        <is>
          <t>FONCTIONNEMENT</t>
        </is>
      </c>
      <c r="M682" s="676" t="inlineStr">
        <is>
          <t>Entretien, réparation et assurance</t>
        </is>
      </c>
      <c r="N682" s="677">
        <f>O682*1.2</f>
        <v/>
      </c>
      <c r="O682" s="678" t="n">
        <v>500000</v>
      </c>
      <c r="P682" s="678" t="n"/>
      <c r="Q682" s="672" t="n"/>
      <c r="R682" s="679" t="n"/>
      <c r="S682" s="680" t="n"/>
      <c r="T682" s="681" t="n"/>
      <c r="U682" s="691" t="n"/>
      <c r="V682" s="680" t="n"/>
      <c r="W682" s="680" t="n"/>
      <c r="X682" s="680" t="n"/>
      <c r="Y682" s="677" t="n"/>
      <c r="Z682" s="678" t="n"/>
      <c r="AA682" s="678" t="n"/>
      <c r="AB682" s="678" t="n"/>
      <c r="AC682" s="678" t="n"/>
      <c r="AD682" s="678" t="n"/>
      <c r="AE682" s="682" t="inlineStr">
        <is>
          <t>PREENGAGE</t>
        </is>
      </c>
      <c r="AF682" s="681" t="n"/>
      <c r="AG682" s="678" t="n"/>
      <c r="AH682" s="678" t="n"/>
      <c r="AI682" s="678" t="n"/>
      <c r="AJ682" s="678" t="n"/>
      <c r="AK682" s="683" t="n"/>
      <c r="AL682" s="683" t="n"/>
      <c r="AM682" s="681" t="n"/>
      <c r="AN682" s="698" t="n"/>
      <c r="AO682" s="699" t="n"/>
      <c r="AP682" s="700" t="n"/>
      <c r="AQ682" s="700" t="n"/>
      <c r="AR682" s="701" t="n"/>
      <c r="AS682" s="702" t="n"/>
    </row>
    <row r="683" ht="70.80000000000001" customHeight="1" s="392">
      <c r="A683" s="672" t="n">
        <v>2026</v>
      </c>
      <c r="B683" s="673" t="inlineStr">
        <is>
          <t>DMPTV</t>
        </is>
      </c>
      <c r="C683" s="673" t="inlineStr">
        <is>
          <t>436CT/SNRT/2026</t>
        </is>
      </c>
      <c r="D683" s="672" t="inlineStr">
        <is>
          <t>CONTRAT</t>
        </is>
      </c>
      <c r="E683" s="672" t="n">
        <v>1</v>
      </c>
      <c r="F683" s="674" t="inlineStr">
        <is>
          <t>La création et réalisation pour le compte de la SNRT, d'une œuvre artistique en réalité augmentée des éléments graphiques, pour la couverture de la soirée électrorale 2026</t>
        </is>
      </c>
      <c r="G683" s="675" t="inlineStr">
        <is>
          <t>EN SIGNATURE</t>
        </is>
      </c>
      <c r="H683" s="672" t="inlineStr">
        <is>
          <t>EN SIGNATURE</t>
        </is>
      </c>
      <c r="I683" s="691" t="n"/>
      <c r="J683" s="675" t="inlineStr">
        <is>
          <t>NON CONCERNE</t>
        </is>
      </c>
      <c r="K683" s="672" t="inlineStr">
        <is>
          <t>Ordinaire</t>
        </is>
      </c>
      <c r="L683" s="676" t="inlineStr">
        <is>
          <t>FONCTIONNEMENT</t>
        </is>
      </c>
      <c r="M683" s="676" t="inlineStr">
        <is>
          <t>Charges marketing et relations publiques</t>
        </is>
      </c>
      <c r="N683" s="677" t="n"/>
      <c r="O683" s="678" t="n"/>
      <c r="P683" s="678" t="n"/>
      <c r="Q683" s="672" t="n"/>
      <c r="R683" s="679" t="n"/>
      <c r="S683" s="680" t="n"/>
      <c r="T683" s="681" t="inlineStr">
        <is>
          <t>VIZRT AUSTRIA GMBH</t>
        </is>
      </c>
      <c r="U683" s="691" t="n"/>
      <c r="V683" s="680" t="n"/>
      <c r="W683" s="680" t="n"/>
      <c r="X683" s="680" t="n"/>
      <c r="Y683" s="677" t="n"/>
      <c r="Z683" s="678" t="n"/>
      <c r="AA683" s="678" t="n"/>
      <c r="AB683" s="678" t="n"/>
      <c r="AC683" s="678" t="n"/>
      <c r="AD683" s="678" t="n">
        <v>552106.61</v>
      </c>
      <c r="AE683" s="682" t="inlineStr">
        <is>
          <t>EN COURS D'ENGAGEMENT</t>
        </is>
      </c>
      <c r="AF683" s="681" t="n"/>
      <c r="AG683" s="678" t="n"/>
      <c r="AH683" s="678" t="n"/>
      <c r="AI683" s="678" t="n"/>
      <c r="AJ683" s="678" t="n"/>
      <c r="AK683" s="683" t="n"/>
      <c r="AL683" s="683" t="n"/>
      <c r="AM683" s="681" t="n"/>
      <c r="AN683" s="698" t="n"/>
      <c r="AO683" s="699" t="n"/>
      <c r="AP683" s="700" t="n"/>
      <c r="AQ683" s="700" t="n"/>
      <c r="AR683" s="701" t="n"/>
      <c r="AS683" s="702" t="n"/>
    </row>
    <row r="684" ht="50.55" customHeight="1" s="392">
      <c r="A684" s="672" t="n">
        <v>2026</v>
      </c>
      <c r="B684" s="673" t="inlineStr">
        <is>
          <t>DPMG</t>
        </is>
      </c>
      <c r="C684" s="673" t="inlineStr">
        <is>
          <t>26000550CT</t>
        </is>
      </c>
      <c r="D684" s="672" t="inlineStr">
        <is>
          <t>CONTRAT</t>
        </is>
      </c>
      <c r="E684" s="672" t="n">
        <v>1</v>
      </c>
      <c r="F684" s="674" t="inlineStr">
        <is>
          <t>Augmentation de puissance pour le nouveau siège de la station régionale radio de Tétouan</t>
        </is>
      </c>
      <c r="G684" s="675" t="inlineStr">
        <is>
          <t>EN SIGNATURE</t>
        </is>
      </c>
      <c r="H684" s="672" t="inlineStr">
        <is>
          <t>EN SIGNATURE</t>
        </is>
      </c>
      <c r="I684" s="691" t="n"/>
      <c r="J684" s="675" t="inlineStr">
        <is>
          <t>NON CONCERNE</t>
        </is>
      </c>
      <c r="K684" s="672" t="inlineStr">
        <is>
          <t>Ordinaire</t>
        </is>
      </c>
      <c r="L684" s="676" t="inlineStr">
        <is>
          <t>FONCTIONNEMENT</t>
        </is>
      </c>
      <c r="M684" s="676" t="inlineStr">
        <is>
          <t>Prestations de service
Achat prestations de services locales - sociétés</t>
        </is>
      </c>
      <c r="N684" s="677" t="n"/>
      <c r="O684" s="678" t="n"/>
      <c r="P684" s="678" t="n"/>
      <c r="Q684" s="672" t="n"/>
      <c r="R684" s="679" t="n"/>
      <c r="S684" s="680" t="n"/>
      <c r="T684" s="681" t="inlineStr">
        <is>
          <t>Amendis</t>
        </is>
      </c>
      <c r="U684" s="691" t="n"/>
      <c r="V684" s="680" t="n"/>
      <c r="W684" s="680" t="n"/>
      <c r="X684" s="680" t="n"/>
      <c r="Y684" s="677" t="n"/>
      <c r="Z684" s="678" t="n"/>
      <c r="AA684" s="678" t="n"/>
      <c r="AB684" s="678" t="n"/>
      <c r="AC684" s="678" t="n"/>
      <c r="AD684" s="678" t="n">
        <v>79676.92999999999</v>
      </c>
      <c r="AE684" s="682" t="inlineStr">
        <is>
          <t>EN COURS D'ENGAGEMENT</t>
        </is>
      </c>
      <c r="AF684" s="681" t="n"/>
      <c r="AG684" s="678" t="n"/>
      <c r="AH684" s="678" t="n"/>
      <c r="AI684" s="678" t="n"/>
      <c r="AJ684" s="678" t="n"/>
      <c r="AK684" s="683" t="n"/>
      <c r="AL684" s="683" t="n"/>
      <c r="AM684" s="681" t="n"/>
      <c r="AN684" s="698" t="n"/>
      <c r="AO684" s="699" t="n"/>
      <c r="AP684" s="700" t="n"/>
      <c r="AQ684" s="700" t="n"/>
      <c r="AR684" s="701" t="n"/>
      <c r="AS684" s="702" t="n"/>
    </row>
    <row r="685" ht="38.40000000000001" customHeight="1" s="392">
      <c r="A685" s="672" t="n">
        <v>2026</v>
      </c>
      <c r="B685" s="673" t="inlineStr">
        <is>
          <t>DCT</t>
        </is>
      </c>
      <c r="C685" s="673" t="inlineStr">
        <is>
          <t>69AOM/SNRT/2026</t>
        </is>
      </c>
      <c r="D685" s="672" t="inlineStr">
        <is>
          <t>AOO-M</t>
        </is>
      </c>
      <c r="E685" s="672" t="n">
        <v>1</v>
      </c>
      <c r="F685" s="674" t="inlineStr">
        <is>
          <t>Aquisition d'un porteur pré-câblé multi-caméras pour les besoins des moyens mobiles de la SNRT</t>
        </is>
      </c>
      <c r="G685" s="675" t="inlineStr">
        <is>
          <t>EN SIGNATURE</t>
        </is>
      </c>
      <c r="H685" s="672" t="inlineStr">
        <is>
          <t>EN SIGNATURE</t>
        </is>
      </c>
      <c r="I685" s="691" t="n"/>
      <c r="J685" s="675" t="inlineStr">
        <is>
          <t>GENERAL</t>
        </is>
      </c>
      <c r="K685" s="672" t="inlineStr">
        <is>
          <t>REPORT BUDGET EXCEP  ANNEE ANTERIEURE</t>
        </is>
      </c>
      <c r="L685" s="676" t="inlineStr">
        <is>
          <t>INVESTISSEMENT</t>
        </is>
      </c>
      <c r="M685" s="676" t="inlineStr">
        <is>
          <t>Équipements techniques</t>
        </is>
      </c>
      <c r="N685" s="677">
        <f>O685*1.2</f>
        <v/>
      </c>
      <c r="O685" s="678" t="n">
        <v>9630000</v>
      </c>
      <c r="P685" s="678" t="n"/>
      <c r="Q685" s="672" t="n"/>
      <c r="R685" s="679" t="n"/>
      <c r="S685" s="680" t="n"/>
      <c r="T685" s="681" t="n"/>
      <c r="U685" s="691" t="n"/>
      <c r="V685" s="680" t="n"/>
      <c r="W685" s="680" t="n"/>
      <c r="X685" s="680" t="n"/>
      <c r="Y685" s="677" t="n"/>
      <c r="Z685" s="678" t="n"/>
      <c r="AA685" s="678" t="n"/>
      <c r="AB685" s="678" t="n"/>
      <c r="AC685" s="678" t="n"/>
      <c r="AD685" s="678" t="n"/>
      <c r="AE685" s="682" t="inlineStr">
        <is>
          <t>EN COURS DE PREENGAGEMENT</t>
        </is>
      </c>
      <c r="AF685" s="681" t="n"/>
      <c r="AG685" s="678" t="n"/>
      <c r="AH685" s="678" t="n"/>
      <c r="AI685" s="678" t="n"/>
      <c r="AJ685" s="678" t="n"/>
      <c r="AK685" s="683" t="n"/>
      <c r="AL685" s="683" t="n"/>
      <c r="AM685" s="681" t="n"/>
      <c r="AN685" s="698" t="n"/>
      <c r="AO685" s="699" t="n"/>
      <c r="AP685" s="700" t="n"/>
      <c r="AQ685" s="700" t="n"/>
      <c r="AR685" s="701" t="n"/>
      <c r="AS685" s="702" t="n"/>
    </row>
    <row r="686" ht="15" customHeight="1" s="392">
      <c r="N686" s="709" t="n"/>
    </row>
    <row r="687" ht="15" customHeight="1" s="392">
      <c r="N687" s="709" t="n"/>
    </row>
    <row r="688" ht="15" customHeight="1" s="392">
      <c r="N688" s="709" t="n"/>
    </row>
    <row r="689" ht="15" customHeight="1" s="392">
      <c r="N689" s="709" t="n"/>
    </row>
    <row r="690" ht="15" customHeight="1" s="392">
      <c r="N690" s="709" t="n"/>
    </row>
    <row r="691" ht="15" customHeight="1" s="392">
      <c r="N691" s="709" t="n"/>
    </row>
    <row r="692" ht="15" customHeight="1" s="392">
      <c r="N692" s="709" t="n"/>
    </row>
    <row r="693" ht="15" customHeight="1" s="392">
      <c r="N693" s="709" t="n"/>
    </row>
    <row r="694" ht="15" customHeight="1" s="392">
      <c r="N694" s="709" t="n"/>
    </row>
    <row r="695" ht="15" customHeight="1" s="392">
      <c r="N695" s="709" t="n"/>
    </row>
    <row r="696" ht="15" customHeight="1" s="392">
      <c r="N696" s="709" t="n"/>
    </row>
    <row r="697" ht="15" customHeight="1" s="392">
      <c r="N697" s="709" t="n"/>
    </row>
    <row r="698" ht="15" customHeight="1" s="392">
      <c r="N698" s="709" t="n"/>
    </row>
    <row r="699" ht="15" customHeight="1" s="392">
      <c r="N699" s="709" t="n"/>
    </row>
    <row r="700" ht="15" customHeight="1" s="392">
      <c r="N700" s="709" t="n"/>
    </row>
    <row r="701" ht="15" customHeight="1" s="392">
      <c r="N701" s="709" t="n"/>
    </row>
    <row r="702" ht="15" customHeight="1" s="392">
      <c r="N702" s="709" t="n"/>
    </row>
    <row r="703" ht="15" customHeight="1" s="392">
      <c r="N703" s="709" t="n"/>
    </row>
    <row r="704" ht="15" customHeight="1" s="392">
      <c r="N704" s="709" t="n"/>
    </row>
    <row r="705" ht="15" customHeight="1" s="392">
      <c r="N705" s="709" t="n"/>
    </row>
    <row r="706" ht="15" customHeight="1" s="392">
      <c r="N706" s="709" t="n"/>
    </row>
    <row r="707" ht="15" customHeight="1" s="392">
      <c r="N707" s="709" t="n"/>
    </row>
    <row r="708" ht="15" customHeight="1" s="392">
      <c r="N708" s="709" t="n"/>
    </row>
    <row r="709" ht="15" customHeight="1" s="392">
      <c r="N709" s="709" t="n"/>
    </row>
    <row r="710" ht="15" customHeight="1" s="392">
      <c r="N710" s="709" t="n"/>
    </row>
    <row r="711" ht="15" customHeight="1" s="392">
      <c r="N711" s="709" t="n"/>
    </row>
    <row r="712" ht="15" customHeight="1" s="392">
      <c r="N712" s="709" t="n"/>
    </row>
    <row r="713" ht="15" customHeight="1" s="392">
      <c r="N713" s="709" t="n"/>
    </row>
    <row r="714" ht="15" customHeight="1" s="392">
      <c r="N714" s="709" t="n"/>
    </row>
    <row r="715" ht="15" customHeight="1" s="392">
      <c r="N715" s="709" t="n"/>
    </row>
    <row r="716" ht="15" customHeight="1" s="392">
      <c r="N716" s="709" t="n"/>
    </row>
    <row r="717" ht="15" customHeight="1" s="392">
      <c r="N717" s="709" t="n"/>
    </row>
    <row r="718" ht="15" customHeight="1" s="392">
      <c r="N718" s="709" t="n"/>
    </row>
    <row r="719" ht="15" customHeight="1" s="392">
      <c r="N719" s="709" t="n"/>
    </row>
    <row r="720" ht="15" customHeight="1" s="392">
      <c r="N720" s="709" t="n"/>
    </row>
    <row r="721" ht="15" customHeight="1" s="392">
      <c r="N721" s="709" t="n"/>
    </row>
    <row r="722" ht="15" customHeight="1" s="392">
      <c r="N722" s="709" t="n"/>
    </row>
    <row r="723" ht="15" customHeight="1" s="392">
      <c r="N723" s="709" t="n"/>
    </row>
    <row r="724" ht="15" customHeight="1" s="392">
      <c r="N724" s="709" t="n"/>
    </row>
    <row r="725" ht="15" customHeight="1" s="392">
      <c r="N725" s="709" t="n"/>
    </row>
    <row r="726" ht="15" customHeight="1" s="392">
      <c r="N726" s="709" t="n"/>
    </row>
    <row r="727" ht="15" customHeight="1" s="392">
      <c r="N727" s="709" t="n"/>
    </row>
    <row r="728" ht="15" customHeight="1" s="392">
      <c r="N728" s="709" t="n"/>
    </row>
    <row r="729" ht="15" customHeight="1" s="392">
      <c r="N729" s="709" t="n"/>
    </row>
    <row r="730" ht="15" customHeight="1" s="392">
      <c r="N730" s="709" t="n"/>
    </row>
    <row r="731" ht="15" customHeight="1" s="392">
      <c r="N731" s="709" t="n"/>
    </row>
    <row r="732" ht="15" customHeight="1" s="392">
      <c r="N732" s="709" t="n"/>
    </row>
    <row r="733" ht="15" customHeight="1" s="392">
      <c r="N733" s="709" t="n"/>
    </row>
    <row r="734" ht="15" customHeight="1" s="392">
      <c r="N734" s="709" t="n"/>
    </row>
    <row r="735" ht="15" customHeight="1" s="392">
      <c r="N735" s="709" t="n"/>
    </row>
    <row r="736" ht="15" customHeight="1" s="392">
      <c r="N736" s="709" t="n"/>
    </row>
    <row r="737" ht="15" customHeight="1" s="392">
      <c r="N737" s="709" t="n"/>
    </row>
    <row r="738" ht="15" customHeight="1" s="392">
      <c r="N738" s="709" t="n"/>
    </row>
    <row r="739" ht="15" customHeight="1" s="392">
      <c r="N739" s="709" t="n"/>
    </row>
    <row r="740" ht="15" customHeight="1" s="392">
      <c r="N740" s="709" t="n"/>
    </row>
    <row r="741" ht="15" customHeight="1" s="392">
      <c r="N741" s="709" t="n"/>
    </row>
    <row r="742" ht="15" customHeight="1" s="392">
      <c r="N742" s="709" t="n"/>
    </row>
    <row r="743" ht="15" customHeight="1" s="392">
      <c r="N743" s="709" t="n"/>
    </row>
    <row r="744" ht="15" customHeight="1" s="392">
      <c r="N744" s="709" t="n"/>
    </row>
    <row r="745" ht="15" customHeight="1" s="392">
      <c r="N745" s="709" t="n"/>
    </row>
    <row r="746" ht="15" customHeight="1" s="392">
      <c r="N746" s="709" t="n"/>
    </row>
    <row r="747" ht="15" customHeight="1" s="392">
      <c r="N747" s="709" t="n"/>
    </row>
    <row r="748" ht="15" customHeight="1" s="392">
      <c r="N748" s="709" t="n"/>
    </row>
    <row r="749" ht="15" customHeight="1" s="392">
      <c r="N749" s="709" t="n"/>
    </row>
    <row r="750" ht="15" customHeight="1" s="392">
      <c r="N750" s="709" t="n"/>
    </row>
    <row r="751" ht="15" customHeight="1" s="392">
      <c r="N751" s="709" t="n"/>
    </row>
    <row r="752" ht="15" customHeight="1" s="392">
      <c r="N752" s="709" t="n"/>
    </row>
    <row r="753" ht="15" customHeight="1" s="392">
      <c r="N753" s="709" t="n"/>
    </row>
    <row r="754" ht="15" customHeight="1" s="392">
      <c r="N754" s="709" t="n"/>
    </row>
    <row r="755" ht="15" customHeight="1" s="392">
      <c r="N755" s="709" t="n"/>
    </row>
    <row r="756" ht="15" customHeight="1" s="392">
      <c r="N756" s="709" t="n"/>
    </row>
    <row r="757" ht="15" customHeight="1" s="392">
      <c r="N757" s="709" t="n"/>
    </row>
    <row r="758" ht="15" customHeight="1" s="392">
      <c r="N758" s="709" t="n"/>
    </row>
    <row r="759" ht="15" customHeight="1" s="392">
      <c r="N759" s="709" t="n"/>
    </row>
    <row r="760" ht="15" customHeight="1" s="392">
      <c r="N760" s="709" t="n"/>
    </row>
    <row r="761" ht="15" customHeight="1" s="392">
      <c r="N761" s="709" t="n"/>
    </row>
    <row r="762" ht="15" customHeight="1" s="392">
      <c r="N762" s="709" t="n"/>
    </row>
    <row r="763" ht="15" customHeight="1" s="392">
      <c r="N763" s="709" t="n"/>
    </row>
    <row r="764" ht="15" customHeight="1" s="392">
      <c r="N764" s="709" t="n"/>
    </row>
    <row r="765" ht="15" customHeight="1" s="392">
      <c r="N765" s="709" t="n"/>
    </row>
    <row r="766" ht="15" customHeight="1" s="392">
      <c r="N766" s="709" t="n"/>
    </row>
    <row r="767" ht="15" customHeight="1" s="392">
      <c r="N767" s="709" t="n"/>
    </row>
    <row r="768" ht="15" customHeight="1" s="392">
      <c r="N768" s="709" t="n"/>
    </row>
    <row r="769" ht="15" customHeight="1" s="392">
      <c r="N769" s="709" t="n"/>
    </row>
    <row r="770" ht="15" customHeight="1" s="392">
      <c r="N770" s="709" t="n"/>
    </row>
    <row r="771" ht="15" customHeight="1" s="392">
      <c r="N771" s="709" t="n"/>
    </row>
    <row r="772" ht="15" customHeight="1" s="392">
      <c r="N772" s="709" t="n"/>
    </row>
    <row r="773" ht="15" customHeight="1" s="392">
      <c r="N773" s="709" t="n"/>
    </row>
    <row r="774" ht="15" customHeight="1" s="392">
      <c r="N774" s="709" t="n"/>
    </row>
    <row r="775" ht="15" customHeight="1" s="392">
      <c r="N775" s="709" t="n"/>
    </row>
    <row r="776" ht="15" customHeight="1" s="392">
      <c r="N776" s="709" t="n"/>
    </row>
    <row r="777" ht="15" customHeight="1" s="392">
      <c r="N777" s="709" t="n"/>
    </row>
    <row r="778" ht="15" customHeight="1" s="392">
      <c r="N778" s="709" t="n"/>
    </row>
    <row r="779" ht="15" customHeight="1" s="392">
      <c r="N779" s="709" t="n"/>
    </row>
    <row r="780" ht="15" customHeight="1" s="392">
      <c r="N780" s="709" t="n"/>
    </row>
    <row r="781" ht="15" customHeight="1" s="392">
      <c r="N781" s="709" t="n"/>
    </row>
    <row r="782" ht="15" customHeight="1" s="392">
      <c r="N782" s="709" t="n"/>
    </row>
    <row r="783" ht="15" customHeight="1" s="392">
      <c r="N783" s="709" t="n"/>
    </row>
    <row r="784" ht="15" customHeight="1" s="392">
      <c r="N784" s="709" t="n"/>
    </row>
    <row r="785" ht="15" customHeight="1" s="392">
      <c r="N785" s="709" t="n"/>
    </row>
    <row r="786" ht="15" customHeight="1" s="392">
      <c r="N786" s="709" t="n"/>
    </row>
    <row r="787" ht="15" customHeight="1" s="392">
      <c r="N787" s="709" t="n"/>
    </row>
    <row r="788" ht="15" customHeight="1" s="392">
      <c r="N788" s="709" t="n"/>
    </row>
    <row r="789" ht="15" customHeight="1" s="392">
      <c r="N789" s="709" t="n"/>
    </row>
    <row r="790" ht="15" customHeight="1" s="392">
      <c r="N790" s="709" t="n"/>
    </row>
    <row r="791" ht="15" customHeight="1" s="392">
      <c r="N791" s="709" t="n"/>
    </row>
    <row r="792" ht="15" customHeight="1" s="392">
      <c r="N792" s="709" t="n"/>
    </row>
    <row r="793" ht="15" customHeight="1" s="392">
      <c r="N793" s="709" t="n"/>
    </row>
    <row r="794" ht="15" customHeight="1" s="392">
      <c r="N794" s="709" t="n"/>
    </row>
    <row r="795" ht="15" customHeight="1" s="392">
      <c r="N795" s="709" t="n"/>
    </row>
    <row r="796" ht="15" customHeight="1" s="392">
      <c r="N796" s="709" t="n"/>
    </row>
    <row r="797" ht="15" customHeight="1" s="392">
      <c r="N797" s="709" t="n"/>
    </row>
    <row r="798" ht="15" customHeight="1" s="392">
      <c r="N798" s="709" t="n"/>
    </row>
    <row r="799" ht="15" customHeight="1" s="392">
      <c r="N799" s="709" t="n"/>
    </row>
    <row r="800" ht="15" customHeight="1" s="392">
      <c r="N800" s="709" t="n"/>
    </row>
    <row r="801" ht="15" customHeight="1" s="392">
      <c r="N801" s="709" t="n"/>
    </row>
    <row r="802" ht="15" customHeight="1" s="392">
      <c r="N802" s="709" t="n"/>
    </row>
    <row r="803" ht="15" customHeight="1" s="392">
      <c r="N803" s="709" t="n"/>
    </row>
    <row r="804" ht="15" customHeight="1" s="392">
      <c r="N804" s="709" t="n"/>
    </row>
    <row r="805" ht="15" customHeight="1" s="392">
      <c r="N805" s="709" t="n"/>
    </row>
    <row r="806" ht="15" customHeight="1" s="392">
      <c r="N806" s="709" t="n"/>
    </row>
    <row r="807" ht="15" customHeight="1" s="392">
      <c r="N807" s="709" t="n"/>
    </row>
    <row r="808" ht="15" customHeight="1" s="392">
      <c r="N808" s="709" t="n"/>
    </row>
    <row r="809" ht="15" customHeight="1" s="392">
      <c r="N809" s="709" t="n"/>
    </row>
    <row r="810" ht="15" customHeight="1" s="392">
      <c r="N810" s="709" t="n"/>
    </row>
    <row r="811" ht="15" customHeight="1" s="392">
      <c r="N811" s="709" t="n"/>
    </row>
    <row r="812" ht="15" customHeight="1" s="392">
      <c r="N812" s="709" t="n"/>
    </row>
    <row r="813" ht="15" customHeight="1" s="392">
      <c r="N813" s="709" t="n"/>
    </row>
    <row r="814" ht="15" customHeight="1" s="392">
      <c r="N814" s="709" t="n"/>
    </row>
    <row r="815" ht="15" customHeight="1" s="392">
      <c r="N815" s="709" t="n"/>
    </row>
    <row r="816" ht="15" customHeight="1" s="392">
      <c r="N816" s="709" t="n"/>
    </row>
    <row r="817" ht="15" customHeight="1" s="392">
      <c r="N817" s="709" t="n"/>
    </row>
    <row r="818" ht="15" customHeight="1" s="392">
      <c r="N818" s="709" t="n"/>
    </row>
    <row r="819" ht="15" customHeight="1" s="392">
      <c r="N819" s="709" t="n"/>
    </row>
    <row r="820" ht="15" customHeight="1" s="392">
      <c r="N820" s="709" t="n"/>
    </row>
    <row r="821" ht="15" customHeight="1" s="392">
      <c r="N821" s="709" t="n"/>
    </row>
    <row r="822" ht="15" customHeight="1" s="392">
      <c r="N822" s="709" t="n"/>
    </row>
    <row r="823" ht="15" customHeight="1" s="392">
      <c r="N823" s="709" t="n"/>
    </row>
    <row r="824" ht="15" customHeight="1" s="392">
      <c r="N824" s="709" t="n"/>
    </row>
    <row r="825" ht="15" customHeight="1" s="392">
      <c r="N825" s="709" t="n"/>
    </row>
    <row r="826" ht="15" customHeight="1" s="392">
      <c r="N826" s="709" t="n"/>
    </row>
    <row r="827" ht="15" customHeight="1" s="392">
      <c r="N827" s="709" t="n"/>
    </row>
    <row r="828" ht="15" customHeight="1" s="392">
      <c r="N828" s="709" t="n"/>
    </row>
    <row r="829" ht="15" customHeight="1" s="392">
      <c r="N829" s="709" t="n"/>
    </row>
    <row r="830" ht="15" customHeight="1" s="392">
      <c r="N830" s="709" t="n"/>
    </row>
    <row r="831" ht="15" customHeight="1" s="392">
      <c r="N831" s="709" t="n"/>
    </row>
    <row r="832" ht="15" customHeight="1" s="392">
      <c r="N832" s="709" t="n"/>
    </row>
    <row r="833" ht="15" customHeight="1" s="392">
      <c r="N833" s="709" t="n"/>
    </row>
    <row r="834" ht="15" customHeight="1" s="392">
      <c r="N834" s="709" t="n"/>
    </row>
    <row r="835" ht="15" customHeight="1" s="392">
      <c r="N835" s="709" t="n"/>
    </row>
    <row r="836" ht="15" customHeight="1" s="392">
      <c r="N836" s="709" t="n"/>
    </row>
    <row r="837" ht="15" customHeight="1" s="392">
      <c r="N837" s="709" t="n"/>
    </row>
    <row r="838" ht="15" customHeight="1" s="392">
      <c r="N838" s="709" t="n"/>
    </row>
    <row r="839" ht="15" customHeight="1" s="392">
      <c r="N839" s="709" t="n"/>
    </row>
    <row r="840" ht="15" customHeight="1" s="392">
      <c r="N840" s="709" t="n"/>
    </row>
    <row r="841" ht="15" customHeight="1" s="392">
      <c r="N841" s="709" t="n"/>
    </row>
    <row r="842" ht="15" customHeight="1" s="392">
      <c r="N842" s="709" t="n"/>
    </row>
    <row r="843" ht="15" customHeight="1" s="392">
      <c r="N843" s="709" t="n"/>
    </row>
    <row r="844" ht="15" customHeight="1" s="392">
      <c r="N844" s="709" t="n"/>
    </row>
    <row r="845" ht="15" customHeight="1" s="392">
      <c r="N845" s="709" t="n"/>
    </row>
    <row r="846" ht="15" customHeight="1" s="392">
      <c r="N846" s="709" t="n"/>
    </row>
    <row r="847" ht="15" customHeight="1" s="392">
      <c r="N847" s="709" t="n"/>
    </row>
    <row r="848" ht="15" customHeight="1" s="392">
      <c r="N848" s="709" t="n"/>
    </row>
    <row r="849" ht="15" customHeight="1" s="392">
      <c r="N849" s="709" t="n"/>
    </row>
    <row r="850" ht="15" customHeight="1" s="392">
      <c r="N850" s="709" t="n"/>
    </row>
    <row r="851" ht="15" customHeight="1" s="392">
      <c r="N851" s="709" t="n"/>
    </row>
    <row r="852" ht="15" customHeight="1" s="392">
      <c r="N852" s="709" t="n"/>
    </row>
    <row r="853" ht="15" customHeight="1" s="392">
      <c r="N853" s="709" t="n"/>
    </row>
    <row r="854" ht="15" customHeight="1" s="392">
      <c r="N854" s="709" t="n"/>
    </row>
    <row r="855" ht="15" customHeight="1" s="392">
      <c r="N855" s="709" t="n"/>
    </row>
    <row r="856" ht="15" customHeight="1" s="392">
      <c r="N856" s="709" t="n"/>
    </row>
    <row r="857" ht="15" customHeight="1" s="392">
      <c r="N857" s="709" t="n"/>
    </row>
    <row r="858" ht="15" customHeight="1" s="392">
      <c r="N858" s="709" t="n"/>
    </row>
    <row r="859" ht="15" customHeight="1" s="392">
      <c r="N859" s="709" t="n"/>
    </row>
    <row r="860" ht="15" customHeight="1" s="392">
      <c r="N860" s="709" t="n"/>
    </row>
    <row r="861" ht="15" customHeight="1" s="392">
      <c r="N861" s="709" t="n"/>
    </row>
    <row r="862" ht="15" customHeight="1" s="392">
      <c r="N862" s="709" t="n"/>
    </row>
    <row r="863" ht="15" customHeight="1" s="392">
      <c r="N863" s="709" t="n"/>
    </row>
    <row r="864" ht="15" customHeight="1" s="392">
      <c r="N864" s="709" t="n"/>
    </row>
    <row r="865" ht="15" customHeight="1" s="392">
      <c r="N865" s="709" t="n"/>
    </row>
    <row r="866" ht="15" customHeight="1" s="392">
      <c r="N866" s="709" t="n"/>
    </row>
    <row r="867" ht="15" customHeight="1" s="392">
      <c r="N867" s="709" t="n"/>
    </row>
  </sheetData>
  <conditionalFormatting sqref="A2:AM3000">
    <cfRule type="expression" priority="743" dxfId="701">
      <formula>$AE2="ENGAGE"</formula>
    </cfRule>
    <cfRule type="expression" priority="745" dxfId="702">
      <formula>$AE2="PREENGAGE"</formula>
    </cfRule>
    <cfRule type="expression" priority="747" dxfId="703">
      <formula>$AE2="EN COURS D'ENGAGEMENT"</formula>
    </cfRule>
    <cfRule type="expression" priority="749" dxfId="704">
      <formula>$AE2="EN COURS DE PREENGAGEMENT"</formula>
    </cfRule>
    <cfRule type="expression" priority="751" dxfId="705">
      <formula>$AE2="NON ENGAGE"</formula>
    </cfRule>
  </conditionalFormatting>
  <conditionalFormatting sqref="AE2:AE3000">
    <cfRule type="expression" priority="744" dxfId="706">
      <formula>$AE2="ENGAGE"</formula>
    </cfRule>
    <cfRule type="expression" priority="746" dxfId="707">
      <formula>$AE2="PREENGAGE"</formula>
    </cfRule>
    <cfRule type="expression" priority="748" dxfId="708">
      <formula>$AE2="EN COURS D'ENGAGEMENT"</formula>
    </cfRule>
    <cfRule type="expression" priority="750" dxfId="709">
      <formula>$AE2="EN COURS DE PREENGAGEMENT"</formula>
    </cfRule>
    <cfRule type="expression" priority="752" dxfId="710">
      <formula>$AE2="NON ENGAGE"</formula>
    </cfRule>
  </conditionalFormatting>
  <dataValidations count="30">
    <dataValidation sqref="Q1:Q553 Q555:Q556 Q560 Q564 Q566 Q568:Q1635" showDropDown="0" showInputMessage="1" showErrorMessage="1" allowBlank="1" type="list" operator="equal">
      <formula1>xBesoin</formula1>
      <formula2>0</formula2>
    </dataValidation>
    <dataValidation sqref="R1:R304 R543:R549 R616:R1635" showDropDown="0" showInputMessage="0" showErrorMessage="1" allowBlank="0" errorTitle="ALERTE" error="Ce champ est réservé à la Reconduction" type="custom">
      <formula1>O1=xRec</formula1>
      <formula2>0</formula2>
    </dataValidation>
    <dataValidation sqref="S1:S304 S543:S549 S616:S1635 W2:W304 W543:W547 W549 W553" showDropDown="0" showInputMessage="0" showErrorMessage="1" allowBlank="0" errorTitle="ALERTE" error="Ce champ est réservé à la Reconduction" type="custom">
      <formula1>O1=xRec</formula1>
      <formula2>0</formula2>
    </dataValidation>
    <dataValidation sqref="AE1:AE1635 AF1:AG586 AF616:AG1635" showDropDown="0" showInputMessage="1" showErrorMessage="1" allowBlank="1" type="list" operator="equal">
      <formula1>xStEng</formula1>
      <formula2>0</formula2>
    </dataValidation>
    <dataValidation sqref="AK587:AK615 AR2:AR586 AR616:AR1635" showDropDown="0" showInputMessage="1" showErrorMessage="1" allowBlank="1" type="list" operator="equal">
      <formula1>xnatreg</formula1>
      <formula2>0</formula2>
    </dataValidation>
    <dataValidation sqref="N1162 N1211" showDropDown="0" showInputMessage="1" showErrorMessage="1" allowBlank="1" type="list" operator="equal">
      <formula1>INDIRECT(#REF!)</formula1>
      <formula2>0</formula2>
    </dataValidation>
    <dataValidation sqref="H1:H1635 Z616:Z1635" showDropDown="0" showInputMessage="1" showErrorMessage="1" allowBlank="1" type="list" operator="equal">
      <formula1>xSTATUTSUP</formula1>
      <formula2>0</formula2>
    </dataValidation>
    <dataValidation sqref="B1:B1635" showDropDown="0" showInputMessage="1" showErrorMessage="1" allowBlank="1" type="list" operator="equal">
      <formula1>xDIRECTION</formula1>
      <formula2>0</formula2>
    </dataValidation>
    <dataValidation sqref="D1:D1635 E1629:F1635" showDropDown="0" showInputMessage="1" showErrorMessage="1" allowBlank="1" type="list" operator="equal">
      <formula1>xTYPE1</formula1>
      <formula2>0</formula2>
    </dataValidation>
    <dataValidation sqref="G1:G1635" showDropDown="0" showInputMessage="1" showErrorMessage="1" allowBlank="1" type="list" operator="equal">
      <formula1>xStatut1</formula1>
      <formula2>0</formula2>
    </dataValidation>
    <dataValidation sqref="J1:J1635" showDropDown="0" showInputMessage="1" showErrorMessage="1" allowBlank="1" type="list" operator="equal">
      <formula1>xCATEGORIES</formula1>
      <formula2>0</formula2>
    </dataValidation>
    <dataValidation sqref="K2:K1635" showDropDown="0" showInputMessage="1" showErrorMessage="1" allowBlank="1" type="list" operator="equal">
      <formula1>TypBudget</formula1>
      <formula2>0</formula2>
    </dataValidation>
    <dataValidation sqref="L2:L1635" showDropDown="0" showInputMessage="1" showErrorMessage="1" allowBlank="1" type="list" operator="equal">
      <formula1>xBUDGET</formula1>
      <formula2>0</formula2>
    </dataValidation>
    <dataValidation sqref="N1166:N1210" showDropDown="0" showInputMessage="1" showErrorMessage="1" allowBlank="1" type="list" operator="equal">
      <formula1>INDIRECT($F537)</formula1>
      <formula2>0</formula2>
    </dataValidation>
    <dataValidation sqref="N1085:N1147 N1163:N1165" showDropDown="0" showInputMessage="1" showErrorMessage="1" allowBlank="1" type="list" operator="equal">
      <formula1>INDIRECT($F422)</formula1>
      <formula2>0</formula2>
    </dataValidation>
    <dataValidation sqref="N1212" showDropDown="0" showInputMessage="1" showErrorMessage="1" allowBlank="1" type="list" operator="equal">
      <formula1>INDIRECT($F587)</formula1>
      <formula2>0</formula2>
    </dataValidation>
    <dataValidation sqref="N1442:N1635" showDropDown="0" showInputMessage="1" showErrorMessage="1" allowBlank="1" type="list" operator="equal">
      <formula1>INDIRECT($F868)</formula1>
      <formula2>0</formula2>
    </dataValidation>
    <dataValidation sqref="N1148:N1161" showDropDown="0" showInputMessage="1" showErrorMessage="1" allowBlank="1" type="list" operator="equal">
      <formula1>INDIRECT($F486)</formula1>
      <formula2>0</formula2>
    </dataValidation>
    <dataValidation sqref="N1076:N1084" showDropDown="0" showInputMessage="1" showErrorMessage="1" allowBlank="1" type="list" operator="equal">
      <formula1>INDIRECT($F410)</formula1>
      <formula2>0</formula2>
    </dataValidation>
    <dataValidation sqref="N1036:N1075" showDropDown="0" showInputMessage="1" showErrorMessage="1" allowBlank="1" type="list" operator="equal">
      <formula1>INDIRECT($F365)</formula1>
      <formula2>0</formula2>
    </dataValidation>
    <dataValidation sqref="N868:N1029" showDropDown="0" showInputMessage="1" showErrorMessage="1" allowBlank="1" type="list" operator="equal">
      <formula1>INDIRECT($F193)</formula1>
      <formula2>0</formula2>
    </dataValidation>
    <dataValidation sqref="N1030:N1035" showDropDown="0" showInputMessage="1" showErrorMessage="1" allowBlank="1" type="list" operator="equal">
      <formula1>INDIRECT($F358)</formula1>
      <formula2>0</formula2>
    </dataValidation>
    <dataValidation sqref="N1213:N1215" showDropDown="0" showInputMessage="1" showErrorMessage="1" allowBlank="1" type="list" operator="equal">
      <formula1>INDIRECT($F616)</formula1>
      <formula2>0</formula2>
    </dataValidation>
    <dataValidation sqref="N1216:N1243" showDropDown="0" showInputMessage="1" showErrorMessage="1" allowBlank="1" type="list" operator="equal">
      <formula1>INDIRECT($F620)</formula1>
      <formula2>0</formula2>
    </dataValidation>
    <dataValidation sqref="N1244:N1252" showDropDown="0" showInputMessage="1" showErrorMessage="1" allowBlank="1" type="list" operator="equal">
      <formula1>INDIRECT($F649)</formula1>
      <formula2>0</formula2>
    </dataValidation>
    <dataValidation sqref="N1253:N1254" showDropDown="0" showInputMessage="1" showErrorMessage="1" allowBlank="1" type="list" operator="equal">
      <formula1>INDIRECT($F659)</formula1>
      <formula2>0</formula2>
    </dataValidation>
    <dataValidation sqref="N1255" showDropDown="0" showInputMessage="1" showErrorMessage="1" allowBlank="1" type="list" operator="equal">
      <formula1>INDIRECT($F662)</formula1>
      <formula2>0</formula2>
    </dataValidation>
    <dataValidation sqref="N1256:N1257" showDropDown="0" showInputMessage="1" showErrorMessage="1" allowBlank="1" type="list" operator="equal">
      <formula1>INDIRECT($F669)</formula1>
      <formula2>0</formula2>
    </dataValidation>
    <dataValidation sqref="N1258:N1261" showDropDown="0" showInputMessage="1" showErrorMessage="1" allowBlank="1" type="list" operator="equal">
      <formula1>INDIRECT($F676)</formula1>
      <formula2>0</formula2>
    </dataValidation>
    <dataValidation sqref="N1262:N1441" showDropDown="0" showInputMessage="1" showErrorMessage="1" allowBlank="1" type="list" operator="equal">
      <formula1>INDIRECT($F686)</formula1>
      <formula2>0</formula2>
    </dataValidation>
  </dataValidations>
  <pageMargins left="0.75" right="0.75" top="1" bottom="1" header="0.5" footer="0.5"/>
  <pageSetup orientation="landscape"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88" customWidth="1" style="392" min="2" max="2"/>
  </cols>
  <sheetData>
    <row r="1" ht="15" customHeight="1" s="392">
      <c r="A1" s="24" t="inlineStr">
        <is>
          <t>Compte</t>
        </is>
      </c>
      <c r="B1" s="24" t="inlineStr">
        <is>
          <t>Libellé</t>
        </is>
      </c>
    </row>
    <row r="2" ht="15" customHeight="1" s="392">
      <c r="A2" s="25" t="inlineStr">
        <is>
          <t>212-1</t>
        </is>
      </c>
      <c r="B2" s="25" t="inlineStr">
        <is>
          <t>Frais d'acquisition des immobilisations</t>
        </is>
      </c>
    </row>
    <row r="3" ht="15" customHeight="1" s="392">
      <c r="A3" s="25" t="inlineStr">
        <is>
          <t>212-2</t>
        </is>
      </c>
      <c r="B3" s="25" t="inlineStr">
        <is>
          <t>Prestations de service à immobiliser</t>
        </is>
      </c>
    </row>
    <row r="4" ht="15" customHeight="1" s="392">
      <c r="A4" s="25" t="inlineStr">
        <is>
          <t>221-1</t>
        </is>
      </c>
      <c r="B4" s="25" t="inlineStr">
        <is>
          <t>Immobilisations incorporelles (logiciels, licences, etc.)</t>
        </is>
      </c>
    </row>
    <row r="5" ht="15" customHeight="1" s="392">
      <c r="A5" s="25" t="inlineStr">
        <is>
          <t>231-1</t>
        </is>
      </c>
      <c r="B5" s="25" t="inlineStr">
        <is>
          <t>Terrains</t>
        </is>
      </c>
    </row>
    <row r="6" ht="15" customHeight="1" s="392">
      <c r="A6" s="25" t="inlineStr">
        <is>
          <t>232-2</t>
        </is>
      </c>
      <c r="B6" s="25" t="inlineStr">
        <is>
          <t>Agencements et aménagement constructions</t>
        </is>
      </c>
    </row>
    <row r="7" ht="15" customHeight="1" s="392">
      <c r="A7" s="25" t="inlineStr">
        <is>
          <t>233-1</t>
        </is>
      </c>
      <c r="B7" s="25" t="inlineStr">
        <is>
          <t>Installations techniques</t>
        </is>
      </c>
    </row>
    <row r="8" ht="15" customHeight="1" s="392">
      <c r="A8" s="25" t="inlineStr">
        <is>
          <t>233-2</t>
        </is>
      </c>
      <c r="B8" s="25" t="inlineStr">
        <is>
          <t xml:space="preserve">Matériel et outillage </t>
        </is>
      </c>
    </row>
    <row r="9" ht="15" customHeight="1" s="392">
      <c r="A9" s="25" t="inlineStr">
        <is>
          <t>233-3</t>
        </is>
      </c>
      <c r="B9" s="25" t="inlineStr">
        <is>
          <t>Equipements de télédiffusion</t>
        </is>
      </c>
    </row>
    <row r="10" ht="15" customHeight="1" s="392">
      <c r="A10" s="25" t="inlineStr">
        <is>
          <t>233-4</t>
        </is>
      </c>
      <c r="B10" s="25" t="inlineStr">
        <is>
          <t>Equipements techniques</t>
        </is>
      </c>
    </row>
    <row r="11" ht="15" customHeight="1" s="392">
      <c r="A11" s="25" t="inlineStr">
        <is>
          <t>235-1</t>
        </is>
      </c>
      <c r="B11" s="25" t="inlineStr">
        <is>
          <t>Mobilier de bureau</t>
        </is>
      </c>
    </row>
    <row r="12" ht="15" customHeight="1" s="392">
      <c r="A12" s="25" t="inlineStr">
        <is>
          <t>235-2</t>
        </is>
      </c>
      <c r="B12" s="25" t="inlineStr">
        <is>
          <t>Matériel de bureau</t>
        </is>
      </c>
    </row>
    <row r="13" ht="15" customHeight="1" s="392">
      <c r="A13" s="25" t="inlineStr">
        <is>
          <t>235-3</t>
        </is>
      </c>
      <c r="B13" s="25" t="inlineStr">
        <is>
          <t>Matériel informatiques</t>
        </is>
      </c>
    </row>
    <row r="14" ht="15" customHeight="1" s="392">
      <c r="A14" s="25" t="inlineStr">
        <is>
          <t>235-4</t>
        </is>
      </c>
      <c r="B14" s="25" t="inlineStr">
        <is>
          <t>Autres Matériel et mobilier de bureau</t>
        </is>
      </c>
    </row>
    <row r="15" ht="15" customHeight="1" s="392">
      <c r="A15" s="25" t="inlineStr">
        <is>
          <t>612-1-1</t>
        </is>
      </c>
      <c r="B15" s="25" t="inlineStr">
        <is>
          <t>Acquis définitive Programmes TV externes</t>
        </is>
      </c>
    </row>
    <row r="16" ht="15" customHeight="1" s="392">
      <c r="A16" s="25" t="inlineStr">
        <is>
          <t>612-1-3</t>
        </is>
      </c>
      <c r="B16" s="25" t="inlineStr">
        <is>
          <t>Achat des programmes en production interne</t>
        </is>
      </c>
    </row>
    <row r="17" ht="15" customHeight="1" s="392">
      <c r="A17" s="25" t="inlineStr">
        <is>
          <t>612-1-4</t>
        </is>
      </c>
      <c r="B17" s="25" t="inlineStr">
        <is>
          <t>Achats des programmes en co-production</t>
        </is>
      </c>
    </row>
    <row r="18" ht="15" customHeight="1" s="392">
      <c r="A18" s="25" t="inlineStr">
        <is>
          <t>612-2-1</t>
        </is>
      </c>
      <c r="B18" s="25" t="inlineStr">
        <is>
          <t>Achats des droits de captation</t>
        </is>
      </c>
    </row>
    <row r="19" ht="15" customHeight="1" s="392">
      <c r="A19" s="25" t="inlineStr">
        <is>
          <t>612-2-2</t>
        </is>
      </c>
      <c r="B19" s="25" t="inlineStr">
        <is>
          <t xml:space="preserve">Cession de Droits de sport </t>
        </is>
      </c>
    </row>
    <row r="20" ht="15" customHeight="1" s="392">
      <c r="A20" s="25" t="inlineStr">
        <is>
          <t>612-3-2</t>
        </is>
      </c>
      <c r="B20" s="25" t="inlineStr">
        <is>
          <t>Achats des pièces de rechange</t>
        </is>
      </c>
    </row>
    <row r="21" ht="15" customHeight="1" s="392">
      <c r="A21" s="25" t="inlineStr">
        <is>
          <t>612-3-3</t>
        </is>
      </c>
      <c r="B21" s="25" t="inlineStr">
        <is>
          <t>Fournitures de bureau et fournitures informatiques</t>
        </is>
      </c>
    </row>
    <row r="22" ht="15" customHeight="1" s="392">
      <c r="A22" s="25" t="inlineStr">
        <is>
          <t>612-3-4</t>
        </is>
      </c>
      <c r="B22" s="25" t="inlineStr">
        <is>
          <t>Autres Matières et fournitures consommables</t>
        </is>
      </c>
    </row>
    <row r="23" ht="15" customHeight="1" s="392">
      <c r="A23" s="25" t="inlineStr">
        <is>
          <t>612-4-2</t>
        </is>
      </c>
      <c r="B23" s="25" t="inlineStr">
        <is>
          <t>Achats de carburants</t>
        </is>
      </c>
    </row>
    <row r="24" ht="15" customHeight="1" s="392">
      <c r="A24" s="25" t="inlineStr">
        <is>
          <t>612-4-3</t>
        </is>
      </c>
      <c r="B24" s="25" t="inlineStr">
        <is>
          <t>Achats Petit outillage &amp; petit équipement</t>
        </is>
      </c>
    </row>
    <row r="25" ht="15" customHeight="1" s="392">
      <c r="A25" s="25" t="inlineStr">
        <is>
          <t>612-4-4</t>
        </is>
      </c>
      <c r="B25" s="25" t="inlineStr">
        <is>
          <t>Achat fournitures (entretien, fournitures de bureau et fournitures informatiques)</t>
        </is>
      </c>
    </row>
    <row r="26" ht="15" customHeight="1" s="392">
      <c r="A26" s="25" t="inlineStr">
        <is>
          <t>612-5-1</t>
        </is>
      </c>
      <c r="B26" s="25" t="inlineStr">
        <is>
          <t xml:space="preserve">Achats d'études </t>
        </is>
      </c>
    </row>
    <row r="27" ht="15" customHeight="1" s="392">
      <c r="A27" s="25" t="inlineStr">
        <is>
          <t>612-5-2</t>
        </is>
      </c>
      <c r="B27" s="25" t="inlineStr">
        <is>
          <t>Achat prestations de services locales - sociétés</t>
        </is>
      </c>
    </row>
    <row r="28" ht="15" customHeight="1" s="392">
      <c r="A28" s="25" t="inlineStr">
        <is>
          <t>612-5-3</t>
        </is>
      </c>
      <c r="B28" s="25" t="inlineStr">
        <is>
          <t xml:space="preserve">Achat prestations de services locales - personnes physiques </t>
        </is>
      </c>
    </row>
    <row r="29" ht="15" customHeight="1" s="392">
      <c r="A29" s="25" t="inlineStr">
        <is>
          <t>612-5-4</t>
        </is>
      </c>
      <c r="B29" s="25" t="inlineStr">
        <is>
          <t>Achat prestations services Etrangères</t>
        </is>
      </c>
    </row>
    <row r="30" ht="15" customHeight="1" s="392">
      <c r="A30" s="25" t="inlineStr">
        <is>
          <t>612-6-1</t>
        </is>
      </c>
      <c r="B30" s="25" t="inlineStr">
        <is>
          <t xml:space="preserve">Achat prestations satellitaires </t>
        </is>
      </c>
    </row>
    <row r="31" ht="15" customHeight="1" s="392">
      <c r="A31" s="25" t="inlineStr">
        <is>
          <t>613-1-1</t>
        </is>
      </c>
      <c r="B31" s="25" t="inlineStr">
        <is>
          <t>Location de terrains et constructions</t>
        </is>
      </c>
    </row>
    <row r="32" ht="15" customHeight="1" s="392">
      <c r="A32" s="25" t="inlineStr">
        <is>
          <t>613-1-4</t>
        </is>
      </c>
      <c r="B32" s="25" t="inlineStr">
        <is>
          <t>Location matériel transport</t>
        </is>
      </c>
    </row>
    <row r="33" ht="15" customHeight="1" s="392">
      <c r="A33" s="25" t="inlineStr">
        <is>
          <t>613-2-1</t>
        </is>
      </c>
      <c r="B33" s="25" t="inlineStr">
        <is>
          <t>Entr&amp;réparat biens immoblier</t>
        </is>
      </c>
    </row>
    <row r="34" ht="15" customHeight="1" s="392">
      <c r="A34" s="25" t="inlineStr">
        <is>
          <t>613-2-2</t>
        </is>
      </c>
      <c r="B34" s="25" t="inlineStr">
        <is>
          <t>Entr&amp;réparat biens mobilier</t>
        </is>
      </c>
    </row>
    <row r="35" ht="15" customHeight="1" s="392">
      <c r="A35" s="25" t="inlineStr">
        <is>
          <t>613-2-3</t>
        </is>
      </c>
      <c r="B35" s="25" t="inlineStr">
        <is>
          <t>Entretien et réparation matériel transport</t>
        </is>
      </c>
    </row>
    <row r="36" ht="15" customHeight="1" s="392">
      <c r="A36" s="25" t="inlineStr">
        <is>
          <t>613-2-4</t>
        </is>
      </c>
      <c r="B36" s="25" t="inlineStr">
        <is>
          <t>Entretien et réparation matériel&amp;outillage</t>
        </is>
      </c>
    </row>
    <row r="37" ht="15" customHeight="1" s="392">
      <c r="A37" s="25" t="inlineStr">
        <is>
          <t>613-2-5</t>
        </is>
      </c>
      <c r="B37" s="25" t="inlineStr">
        <is>
          <t>Entretien et maintenance matériel Informatiq &amp; logiciels</t>
        </is>
      </c>
    </row>
    <row r="38" ht="15" customHeight="1" s="392">
      <c r="A38" s="25" t="inlineStr">
        <is>
          <t>613-2-6</t>
        </is>
      </c>
      <c r="B38" s="25" t="inlineStr">
        <is>
          <t xml:space="preserve">Assurances </t>
        </is>
      </c>
    </row>
    <row r="39" ht="15" customHeight="1" s="392">
      <c r="A39" s="25" t="inlineStr">
        <is>
          <t>613-3-2</t>
        </is>
      </c>
      <c r="B39" s="25" t="inlineStr">
        <is>
          <t>Honoraires</t>
        </is>
      </c>
    </row>
    <row r="40" ht="15" customHeight="1" s="392">
      <c r="A40" s="25" t="inlineStr">
        <is>
          <t>613-3-3</t>
        </is>
      </c>
      <c r="B40" s="25" t="inlineStr">
        <is>
          <t>Frais d'actes et contentieux</t>
        </is>
      </c>
    </row>
    <row r="41" ht="15" customHeight="1" s="392">
      <c r="A41" s="25" t="inlineStr">
        <is>
          <t>613-4-2</t>
        </is>
      </c>
      <c r="B41" s="25" t="inlineStr">
        <is>
          <t>Autres redevances</t>
        </is>
      </c>
    </row>
    <row r="42" ht="15" customHeight="1" s="392">
      <c r="A42" s="25" t="inlineStr">
        <is>
          <t>613-4-3</t>
        </is>
      </c>
      <c r="B42" s="25" t="inlineStr">
        <is>
          <t xml:space="preserve">Documentation </t>
        </is>
      </c>
    </row>
    <row r="43" ht="15" customHeight="1" s="392">
      <c r="A43" s="25" t="inlineStr">
        <is>
          <t>613-4-4</t>
        </is>
      </c>
      <c r="B43" s="25" t="inlineStr">
        <is>
          <t>Abonnements</t>
        </is>
      </c>
    </row>
    <row r="44" ht="15" customHeight="1" s="392">
      <c r="A44" s="25" t="inlineStr">
        <is>
          <t>613-4-5</t>
        </is>
      </c>
      <c r="B44" s="25" t="inlineStr">
        <is>
          <t>Cotisations</t>
        </is>
      </c>
    </row>
    <row r="45" ht="15" customHeight="1" s="392">
      <c r="A45" s="25" t="inlineStr">
        <is>
          <t>614-1-1</t>
        </is>
      </c>
      <c r="B45" s="25" t="inlineStr">
        <is>
          <t>Mission au Maroc</t>
        </is>
      </c>
    </row>
    <row r="46" ht="15" customHeight="1" s="392">
      <c r="A46" s="25" t="inlineStr">
        <is>
          <t>614-1-2</t>
        </is>
      </c>
      <c r="B46" s="25" t="inlineStr">
        <is>
          <t>Mission à l'étranger</t>
        </is>
      </c>
    </row>
    <row r="47" ht="15" customHeight="1" s="392">
      <c r="A47" s="25" t="inlineStr">
        <is>
          <t>614-1-3</t>
        </is>
      </c>
      <c r="B47" s="25" t="inlineStr">
        <is>
          <t>Réceptions</t>
        </is>
      </c>
    </row>
    <row r="48" ht="15" customHeight="1" s="392">
      <c r="A48" s="25" t="inlineStr">
        <is>
          <t>614-2-1</t>
        </is>
      </c>
      <c r="B48" s="25" t="inlineStr">
        <is>
          <t>Annonces et insertions</t>
        </is>
      </c>
    </row>
    <row r="49" ht="15" customHeight="1" s="392">
      <c r="A49" s="25" t="inlineStr">
        <is>
          <t>614-2-2</t>
        </is>
      </c>
      <c r="B49" s="25" t="inlineStr">
        <is>
          <t>Charges de publicité</t>
        </is>
      </c>
    </row>
    <row r="50" ht="15" customHeight="1" s="392">
      <c r="A50" s="25" t="inlineStr">
        <is>
          <t>614-2-3</t>
        </is>
      </c>
      <c r="B50" s="25" t="inlineStr">
        <is>
          <t>Autres charges de relations publiques</t>
        </is>
      </c>
    </row>
    <row r="51" ht="15" customHeight="1" s="392">
      <c r="A51" s="25" t="inlineStr">
        <is>
          <t>614-3-1</t>
        </is>
      </c>
      <c r="B51" s="25" t="inlineStr">
        <is>
          <t>Frais postaux</t>
        </is>
      </c>
    </row>
    <row r="52" ht="15" customHeight="1" s="392">
      <c r="A52" s="25" t="inlineStr">
        <is>
          <t>614-3-2</t>
        </is>
      </c>
      <c r="B52" s="25" t="inlineStr">
        <is>
          <t>Téléphone &amp; internet</t>
        </is>
      </c>
    </row>
    <row r="53" ht="15" customHeight="1" s="392">
      <c r="A53" s="25" t="inlineStr">
        <is>
          <t>614-3-4</t>
        </is>
      </c>
      <c r="B53" s="25" t="inlineStr">
        <is>
          <t>Transport du personnel</t>
        </is>
      </c>
    </row>
    <row r="54" ht="15" customHeight="1" s="392">
      <c r="A54" s="25" t="inlineStr">
        <is>
          <t>614-3-5</t>
        </is>
      </c>
      <c r="B54" s="25" t="inlineStr">
        <is>
          <t>Autres transports</t>
        </is>
      </c>
    </row>
    <row r="55" ht="15" customHeight="1" s="392">
      <c r="A55" s="25" t="inlineStr">
        <is>
          <t>617-1-1</t>
        </is>
      </c>
      <c r="B55" s="25" t="inlineStr">
        <is>
          <t>Salaires de bases +rappels</t>
        </is>
      </c>
    </row>
    <row r="56" ht="15" customHeight="1" s="392">
      <c r="A56" s="25" t="inlineStr">
        <is>
          <t>617-1-2</t>
        </is>
      </c>
      <c r="B56" s="25" t="inlineStr">
        <is>
          <t xml:space="preserve">Primes et indemnités </t>
        </is>
      </c>
    </row>
    <row r="57" ht="15" customHeight="1" s="392">
      <c r="A57" s="25" t="inlineStr">
        <is>
          <t>617-2</t>
        </is>
      </c>
      <c r="B57" s="25" t="inlineStr">
        <is>
          <t>Charges sociales</t>
        </is>
      </c>
    </row>
    <row r="58" ht="15" customHeight="1" s="392">
      <c r="A58" s="25" t="inlineStr">
        <is>
          <t>617-3</t>
        </is>
      </c>
      <c r="B58" s="25" t="inlineStr">
        <is>
          <t>Charges sociales diverses</t>
        </is>
      </c>
    </row>
  </sheetData>
  <pageMargins left="0.75" right="0.75" top="1" bottom="1" header="0.5" footer="0.5"/>
  <pageSetup orientation="portrait" paperSize="9"/>
</worksheet>
</file>

<file path=xl/worksheets/sheet7.xml><?xml version="1.0" encoding="utf-8"?>
<worksheet xmlns="http://schemas.openxmlformats.org/spreadsheetml/2006/main">
  <sheetPr>
    <outlinePr summaryBelow="1" summaryRight="1"/>
    <pageSetUpPr/>
  </sheetPr>
  <dimension ref="A1:AD169"/>
  <sheetViews>
    <sheetView workbookViewId="0">
      <selection activeCell="A1" sqref="A1"/>
    </sheetView>
  </sheetViews>
  <sheetFormatPr baseColWidth="10" defaultColWidth="8.7265625" defaultRowHeight="14.5"/>
  <cols>
    <col width="26.54296875" customWidth="1" style="392" min="1" max="1"/>
    <col width="48.54296875" customWidth="1" style="392" min="2" max="2"/>
    <col width="13.7265625" customWidth="1" style="392" min="3" max="3"/>
    <col width="19.26953125" customWidth="1" style="392" min="4" max="4"/>
    <col width="16.7265625" customWidth="1" style="392" min="5" max="5"/>
    <col width="19.1796875" customWidth="1" style="392" min="6" max="6"/>
    <col width="14.1796875" customWidth="1" style="392" min="7" max="7"/>
    <col width="14.54296875" customWidth="1" style="392" min="8" max="8"/>
    <col width="16" customWidth="1" style="392" min="9" max="9"/>
    <col width="9.1796875" customWidth="1" style="392" min="10" max="10"/>
  </cols>
  <sheetData>
    <row r="1">
      <c r="A1" s="410" t="inlineStr">
        <is>
          <t xml:space="preserve">PROGRAMME PREVISIONNEL DES MARCHES PAR APPELS D'OFFRES </t>
        </is>
      </c>
    </row>
    <row r="2">
      <c r="A2" s="408" t="n"/>
    </row>
    <row r="3"/>
    <row r="4"/>
    <row r="5"/>
    <row r="6"/>
    <row r="7"/>
    <row r="8">
      <c r="A8" s="409" t="n"/>
      <c r="B8" s="409" t="n"/>
      <c r="C8" s="409" t="n"/>
      <c r="D8" s="409" t="n"/>
      <c r="E8" s="409" t="n"/>
      <c r="F8" s="409" t="n"/>
      <c r="G8" s="409" t="n"/>
      <c r="H8" s="409" t="n"/>
    </row>
    <row r="9" ht="47.25" customHeight="1" s="392">
      <c r="A9" s="219" t="inlineStr">
        <is>
          <t xml:space="preserve">DIRECTION </t>
        </is>
      </c>
      <c r="B9" s="219" t="inlineStr">
        <is>
          <t xml:space="preserve">OBJET
 </t>
        </is>
      </c>
      <c r="C9" s="219" t="inlineStr">
        <is>
          <t>NATURE DE LA PRESTATION</t>
        </is>
      </c>
      <c r="D9" s="219" t="inlineStr">
        <is>
          <t>MODE DE PASSATION</t>
        </is>
      </c>
      <c r="E9" s="219" t="inlineStr">
        <is>
          <t>PERIODE PREVUE POUR LE LANCEMENT</t>
        </is>
      </c>
      <c r="F9" s="219" t="inlineStr">
        <is>
          <t>LIEU D'EXECUTION</t>
        </is>
      </c>
      <c r="G9" s="219" t="inlineStr">
        <is>
          <t xml:space="preserve">AOO RESERVES AUX PME </t>
        </is>
      </c>
      <c r="H9" s="219" t="inlineStr">
        <is>
          <t>ESTIMATION</t>
        </is>
      </c>
      <c r="I9" s="219" t="inlineStr">
        <is>
          <t>NATURE BUDGET</t>
        </is>
      </c>
    </row>
    <row r="10" ht="37.5" customHeight="1" s="392">
      <c r="A10" s="220" t="inlineStr">
        <is>
          <t>Direction de la Télédiffusion</t>
        </is>
      </c>
      <c r="B10" s="220" t="inlineStr">
        <is>
          <t>Fourniture des  modules  de  traitement audio et RDS  pour les émetteurs FM</t>
        </is>
      </c>
      <c r="C10" s="221" t="inlineStr">
        <is>
          <t>Fournitures</t>
        </is>
      </c>
      <c r="D10" s="222" t="inlineStr">
        <is>
          <t>Appel d'offres ouvert</t>
        </is>
      </c>
      <c r="E10" s="221" t="inlineStr">
        <is>
          <t>T3</t>
        </is>
      </c>
      <c r="F10" s="221" t="inlineStr">
        <is>
          <t>Magasin Temara</t>
        </is>
      </c>
      <c r="G10" s="221" t="inlineStr">
        <is>
          <t>Non</t>
        </is>
      </c>
      <c r="H10" s="223" t="n">
        <v>1800000</v>
      </c>
      <c r="I10" s="224" t="inlineStr">
        <is>
          <t>Investissement</t>
        </is>
      </c>
    </row>
    <row r="11" ht="39.75" customHeight="1" s="392">
      <c r="A11" s="220" t="inlineStr">
        <is>
          <t>Direction de la Télédiffusion</t>
        </is>
      </c>
      <c r="B11" s="220" t="inlineStr">
        <is>
          <t>Fourniture, installation et mise en service de systèmes de supervision des antennes de diffusion FM et TV</t>
        </is>
      </c>
      <c r="C11" s="221" t="inlineStr">
        <is>
          <t>Fournitures</t>
        </is>
      </c>
      <c r="D11" s="222" t="inlineStr">
        <is>
          <t>Appel d'offres ouvert</t>
        </is>
      </c>
      <c r="E11" s="221" t="inlineStr">
        <is>
          <t>T2</t>
        </is>
      </c>
      <c r="F11" s="221" t="inlineStr">
        <is>
          <t>Centres de diffusion de la SNRT</t>
        </is>
      </c>
      <c r="G11" s="221" t="inlineStr">
        <is>
          <t>Non</t>
        </is>
      </c>
      <c r="H11" s="223" t="n">
        <v>2755000</v>
      </c>
      <c r="I11" s="224" t="inlineStr">
        <is>
          <t>Investissement</t>
        </is>
      </c>
    </row>
    <row r="12" ht="41.25" customHeight="1" s="392">
      <c r="A12" s="220" t="inlineStr">
        <is>
          <t>Direction de la Télédiffusion</t>
        </is>
      </c>
      <c r="B12" s="220" t="inlineStr">
        <is>
          <t>Fourniture et installation des équipements de contrôle audio et vidéo pour les petits centres de diffusion TV/FM</t>
        </is>
      </c>
      <c r="C12" s="221" t="inlineStr">
        <is>
          <t>Fournitures</t>
        </is>
      </c>
      <c r="D12" s="222" t="inlineStr">
        <is>
          <t>Appel d'offres ouvert</t>
        </is>
      </c>
      <c r="E12" s="221" t="inlineStr">
        <is>
          <t>T2</t>
        </is>
      </c>
      <c r="F12" s="221" t="inlineStr">
        <is>
          <t>Centres de diffusion de la SNRT</t>
        </is>
      </c>
      <c r="G12" s="221" t="inlineStr">
        <is>
          <t>Non</t>
        </is>
      </c>
      <c r="H12" s="223" t="n">
        <v>1000000</v>
      </c>
      <c r="I12" s="224" t="inlineStr">
        <is>
          <t>Investissement</t>
        </is>
      </c>
    </row>
    <row r="13" ht="38.25" customHeight="1" s="392">
      <c r="A13" s="220" t="inlineStr">
        <is>
          <t>Direction de la Télédiffusion</t>
        </is>
      </c>
      <c r="B13" s="225" t="inlineStr">
        <is>
          <t>Fourniture, installation et mise en service des climatiseurs aux centres de diffusion de la SNRT</t>
        </is>
      </c>
      <c r="C13" s="221" t="inlineStr">
        <is>
          <t>Fournitures</t>
        </is>
      </c>
      <c r="D13" s="222" t="inlineStr">
        <is>
          <t>Appel d'offres ouvert</t>
        </is>
      </c>
      <c r="E13" s="221" t="inlineStr">
        <is>
          <t>T3</t>
        </is>
      </c>
      <c r="F13" s="221" t="inlineStr">
        <is>
          <t>Centres de diffusion de la SNRT</t>
        </is>
      </c>
      <c r="G13" s="221" t="inlineStr">
        <is>
          <t>Oui</t>
        </is>
      </c>
      <c r="H13" s="223" t="n">
        <v>3500000</v>
      </c>
      <c r="I13" s="224" t="inlineStr">
        <is>
          <t>Investissement</t>
        </is>
      </c>
    </row>
    <row r="14" ht="31.5" customHeight="1" s="392">
      <c r="A14" s="220" t="inlineStr">
        <is>
          <t>Direction de la Télédiffusion</t>
        </is>
      </c>
      <c r="B14" s="226" t="inlineStr">
        <is>
          <t>Fourniture des analyseurs de réseaux électrique et les appareils de mesure électrique</t>
        </is>
      </c>
      <c r="C14" s="224" t="inlineStr">
        <is>
          <t>Fournitures</t>
        </is>
      </c>
      <c r="D14" s="222" t="inlineStr">
        <is>
          <t>Appel d'offres ouvert</t>
        </is>
      </c>
      <c r="E14" s="224" t="inlineStr">
        <is>
          <t>T2</t>
        </is>
      </c>
      <c r="F14" s="224" t="inlineStr">
        <is>
          <t>Magasin Temara</t>
        </is>
      </c>
      <c r="G14" s="224" t="inlineStr">
        <is>
          <t>Non</t>
        </is>
      </c>
      <c r="H14" s="227" t="n">
        <v>800000</v>
      </c>
      <c r="I14" s="224" t="inlineStr">
        <is>
          <t>Investissement</t>
        </is>
      </c>
    </row>
    <row r="15" ht="39.75" customHeight="1" s="392">
      <c r="A15" s="220" t="inlineStr">
        <is>
          <t>Direction de la Télédiffusion</t>
        </is>
      </c>
      <c r="B15" s="220" t="inlineStr">
        <is>
          <t>Fourniture,installation et mise en service des commutateurs et distributeurs des signaux ASI et IP pour les centres de diffusion TNT et FM</t>
        </is>
      </c>
      <c r="C15" s="221" t="inlineStr">
        <is>
          <t>Fournitures</t>
        </is>
      </c>
      <c r="D15" s="222" t="inlineStr">
        <is>
          <t>Appel d'offres ouvert</t>
        </is>
      </c>
      <c r="E15" s="221" t="inlineStr">
        <is>
          <t>T3</t>
        </is>
      </c>
      <c r="F15" s="221" t="inlineStr">
        <is>
          <t>Centres de diffusion de la SNRT</t>
        </is>
      </c>
      <c r="G15" s="224" t="inlineStr">
        <is>
          <t>Non</t>
        </is>
      </c>
      <c r="H15" s="223" t="n">
        <v>1000000</v>
      </c>
      <c r="I15" s="224" t="inlineStr">
        <is>
          <t>Investissement</t>
        </is>
      </c>
    </row>
    <row r="16" ht="40.5" customHeight="1" s="392">
      <c r="A16" s="220" t="inlineStr">
        <is>
          <t>Direction de la Télédiffusion</t>
        </is>
      </c>
      <c r="B16" s="226" t="inlineStr">
        <is>
          <t>Fourniture et installation des sondes FM et TNT pour le contrôle des signaux audios et vidéo des chaines radio et télevision de la SNRT</t>
        </is>
      </c>
      <c r="C16" s="228" t="inlineStr">
        <is>
          <t>Fournitures</t>
        </is>
      </c>
      <c r="D16" s="222" t="inlineStr">
        <is>
          <t>Appel d'offres ouvert</t>
        </is>
      </c>
      <c r="E16" s="228" t="inlineStr">
        <is>
          <t>T3</t>
        </is>
      </c>
      <c r="F16" s="228" t="inlineStr">
        <is>
          <t>Magasin Temara</t>
        </is>
      </c>
      <c r="G16" s="224" t="inlineStr">
        <is>
          <t>Non</t>
        </is>
      </c>
      <c r="H16" s="229" t="n">
        <v>1200000</v>
      </c>
      <c r="I16" s="228" t="inlineStr">
        <is>
          <t>Investissement</t>
        </is>
      </c>
    </row>
    <row r="17" ht="25.5" customHeight="1" s="392">
      <c r="A17" s="230" t="inlineStr">
        <is>
          <t>Direction de la Télédiffusion</t>
        </is>
      </c>
      <c r="B17" s="230" t="inlineStr">
        <is>
          <t>Fourniture des modules et pièces de rechanges des émetteurs TNT de  des centres de la SNRT</t>
        </is>
      </c>
      <c r="C17" s="231" t="inlineStr">
        <is>
          <t>Fournitures</t>
        </is>
      </c>
      <c r="D17" s="232" t="inlineStr">
        <is>
          <t>Appel d'offres ouvert</t>
        </is>
      </c>
      <c r="E17" s="231" t="inlineStr">
        <is>
          <t>T2</t>
        </is>
      </c>
      <c r="F17" s="231" t="inlineStr">
        <is>
          <t>Magasin Temara</t>
        </is>
      </c>
      <c r="G17" s="231" t="inlineStr">
        <is>
          <t>Non</t>
        </is>
      </c>
      <c r="H17" s="233" t="n">
        <v>6500000</v>
      </c>
      <c r="I17" s="231" t="inlineStr">
        <is>
          <t>Fonctionnement</t>
        </is>
      </c>
    </row>
    <row r="18" ht="25.5" customHeight="1" s="392">
      <c r="A18" s="230" t="inlineStr">
        <is>
          <t>Direction de la Télédiffusion</t>
        </is>
      </c>
      <c r="B18" s="230" t="inlineStr">
        <is>
          <t>Fourniture des modules et pièces de rechanges des émetteurs FM  des centres de la SNRT</t>
        </is>
      </c>
      <c r="C18" s="231" t="inlineStr">
        <is>
          <t>Fournitures</t>
        </is>
      </c>
      <c r="D18" s="232" t="inlineStr">
        <is>
          <t>Appel d'offres ouvert</t>
        </is>
      </c>
      <c r="E18" s="231" t="inlineStr">
        <is>
          <t>T2</t>
        </is>
      </c>
      <c r="F18" s="231" t="inlineStr">
        <is>
          <t>Magasin Temara</t>
        </is>
      </c>
      <c r="G18" s="231" t="inlineStr">
        <is>
          <t>Non</t>
        </is>
      </c>
      <c r="H18" s="233" t="n">
        <v>6500000</v>
      </c>
      <c r="I18" s="231" t="inlineStr">
        <is>
          <t>Fonctionnement</t>
        </is>
      </c>
    </row>
    <row r="19" ht="25.5" customHeight="1" s="392">
      <c r="A19" s="220" t="inlineStr">
        <is>
          <t>Direction de la Télédiffusion</t>
        </is>
      </c>
      <c r="B19" s="220" t="inlineStr">
        <is>
          <t>Fourniture des duplexeurs, filtres, patchs panel , commutateurs RF et adaptateurs</t>
        </is>
      </c>
      <c r="C19" s="221" t="inlineStr">
        <is>
          <t>Fournitures</t>
        </is>
      </c>
      <c r="D19" s="222" t="inlineStr">
        <is>
          <t>Appel d'offres ouvert</t>
        </is>
      </c>
      <c r="E19" s="221" t="inlineStr">
        <is>
          <t>T3</t>
        </is>
      </c>
      <c r="F19" s="221" t="inlineStr">
        <is>
          <t>Magasin Temara</t>
        </is>
      </c>
      <c r="G19" s="224" t="inlineStr">
        <is>
          <t>Non</t>
        </is>
      </c>
      <c r="H19" s="223" t="n">
        <v>1600000</v>
      </c>
      <c r="I19" s="224" t="inlineStr">
        <is>
          <t>Fonctionnement</t>
        </is>
      </c>
    </row>
    <row r="20" ht="25.5" customHeight="1" s="392">
      <c r="A20" s="220" t="inlineStr">
        <is>
          <t>Direction de la Télédiffusion</t>
        </is>
      </c>
      <c r="B20" s="226" t="inlineStr">
        <is>
          <t>Fourniture des distributeurs de puissance UHF et  FM, combiners, feeders et antennes</t>
        </is>
      </c>
      <c r="C20" s="224" t="inlineStr">
        <is>
          <t>Fournitures</t>
        </is>
      </c>
      <c r="D20" s="222" t="inlineStr">
        <is>
          <t>Appel d'offres ouvert</t>
        </is>
      </c>
      <c r="E20" s="224" t="inlineStr">
        <is>
          <t>T3</t>
        </is>
      </c>
      <c r="F20" s="224" t="inlineStr">
        <is>
          <t>Magasin Temara</t>
        </is>
      </c>
      <c r="G20" s="224" t="inlineStr">
        <is>
          <t>Non</t>
        </is>
      </c>
      <c r="H20" s="227" t="n">
        <v>3500000</v>
      </c>
      <c r="I20" s="224" t="inlineStr">
        <is>
          <t>Fonctionnement</t>
        </is>
      </c>
    </row>
    <row r="21" ht="38.25" customHeight="1" s="392">
      <c r="A21" s="220" t="inlineStr">
        <is>
          <t>Direction de la Télédiffusion</t>
        </is>
      </c>
      <c r="B21" s="220" t="inlineStr">
        <is>
          <t>Fourniture des modules et pièces de rechanges hydrauliques et électriques  pour les émetteurs de diffusion TNT et FM</t>
        </is>
      </c>
      <c r="C21" s="221" t="inlineStr">
        <is>
          <t>Fournitures</t>
        </is>
      </c>
      <c r="D21" s="222" t="inlineStr">
        <is>
          <t>Appel d'offres ouvert</t>
        </is>
      </c>
      <c r="E21" s="221" t="inlineStr">
        <is>
          <t>T2</t>
        </is>
      </c>
      <c r="F21" s="221" t="inlineStr">
        <is>
          <t>Magasin Temara</t>
        </is>
      </c>
      <c r="G21" s="224" t="inlineStr">
        <is>
          <t>Non</t>
        </is>
      </c>
      <c r="H21" s="223" t="n">
        <v>1100000</v>
      </c>
      <c r="I21" s="224" t="inlineStr">
        <is>
          <t>Fonctionnement</t>
        </is>
      </c>
    </row>
    <row r="22" ht="44.25" customHeight="1" s="392">
      <c r="A22" s="220" t="inlineStr">
        <is>
          <t>Direction de la Télédiffusion</t>
        </is>
      </c>
      <c r="B22" s="220" t="inlineStr">
        <is>
          <t>L'entretien et la remise en état des systèmes de balisage aux pylônes des centres de diffusion TV/FM</t>
        </is>
      </c>
      <c r="C22" s="221" t="inlineStr">
        <is>
          <t>Services</t>
        </is>
      </c>
      <c r="D22" s="222" t="inlineStr">
        <is>
          <t>Appel d'offres ouvert</t>
        </is>
      </c>
      <c r="E22" s="221" t="inlineStr">
        <is>
          <t>T2</t>
        </is>
      </c>
      <c r="F22" s="221" t="inlineStr">
        <is>
          <t>centres de diffusion de la SNRT</t>
        </is>
      </c>
      <c r="G22" s="221" t="inlineStr">
        <is>
          <t>Oui</t>
        </is>
      </c>
      <c r="H22" s="223" t="n">
        <v>500000</v>
      </c>
      <c r="I22" s="224" t="inlineStr">
        <is>
          <t>Fonctionnement</t>
        </is>
      </c>
    </row>
    <row r="23" ht="37.5" customHeight="1" s="392">
      <c r="A23" s="220" t="inlineStr">
        <is>
          <t>Direction de la Télédiffusion</t>
        </is>
      </c>
      <c r="B23" s="226" t="inlineStr">
        <is>
          <t>Entretien et maintenance du syteme d'antennes du centre radio AM d'Ait Melloul</t>
        </is>
      </c>
      <c r="C23" s="224" t="inlineStr">
        <is>
          <t>Services</t>
        </is>
      </c>
      <c r="D23" s="222" t="inlineStr">
        <is>
          <t>Appel d'offres ouvert</t>
        </is>
      </c>
      <c r="E23" s="221" t="inlineStr">
        <is>
          <t>T2</t>
        </is>
      </c>
      <c r="F23" s="224" t="inlineStr">
        <is>
          <t>Ait Melloul</t>
        </is>
      </c>
      <c r="G23" s="221" t="inlineStr">
        <is>
          <t>Oui</t>
        </is>
      </c>
      <c r="H23" s="227" t="n">
        <v>2600000</v>
      </c>
      <c r="I23" s="224" t="inlineStr">
        <is>
          <t>Fonctionnement</t>
        </is>
      </c>
    </row>
    <row r="24" ht="43.5" customHeight="1" s="392">
      <c r="A24" s="230" t="inlineStr">
        <is>
          <t>Direction de la Télédiffusion</t>
        </is>
      </c>
      <c r="B24" s="230" t="inlineStr">
        <is>
          <t>Entretien et remise en état  du système de verouillage et de protection des cabines d'antennes de  centres AM</t>
        </is>
      </c>
      <c r="C24" s="231" t="inlineStr">
        <is>
          <t>Services</t>
        </is>
      </c>
      <c r="D24" s="232" t="inlineStr">
        <is>
          <t>Appel d'offres ouvert</t>
        </is>
      </c>
      <c r="E24" s="231" t="inlineStr">
        <is>
          <t>T3</t>
        </is>
      </c>
      <c r="F24" s="231" t="inlineStr">
        <is>
          <t>centres de diffusion de la SNRT</t>
        </is>
      </c>
      <c r="G24" s="231" t="inlineStr">
        <is>
          <t>Oui</t>
        </is>
      </c>
      <c r="H24" s="233" t="n">
        <v>1800000</v>
      </c>
      <c r="I24" s="231" t="inlineStr">
        <is>
          <t>Fonctionnement</t>
        </is>
      </c>
    </row>
    <row r="25" ht="25.5" customHeight="1" s="392">
      <c r="A25" s="220" t="inlineStr">
        <is>
          <t>Direction de la Télédiffusion</t>
        </is>
      </c>
      <c r="B25" s="220" t="inlineStr">
        <is>
          <t>Entretien des  systèmes de la télésurveillance des centres radio AM.</t>
        </is>
      </c>
      <c r="C25" s="224" t="inlineStr">
        <is>
          <t>Services</t>
        </is>
      </c>
      <c r="D25" s="222" t="inlineStr">
        <is>
          <t>Appel d'offres ouvert</t>
        </is>
      </c>
      <c r="E25" s="224" t="inlineStr">
        <is>
          <t>T2</t>
        </is>
      </c>
      <c r="F25" s="221" t="inlineStr">
        <is>
          <t>Centre de diffusion AM</t>
        </is>
      </c>
      <c r="G25" s="221" t="inlineStr">
        <is>
          <t>Oui</t>
        </is>
      </c>
      <c r="H25" s="227" t="n">
        <v>180000</v>
      </c>
      <c r="I25" s="224" t="inlineStr">
        <is>
          <t>Fonctionnement</t>
        </is>
      </c>
    </row>
    <row r="26" ht="38.25" customHeight="1" s="392">
      <c r="A26" s="220" t="inlineStr">
        <is>
          <t>Direction de la Télédiffusion</t>
        </is>
      </c>
      <c r="B26" s="220" t="inlineStr">
        <is>
          <t>Entretien et maintenance des équipements électriques, électroniques des climatiseurs aux centres de diffusion, y compris la fourniture des pièces de rechange.</t>
        </is>
      </c>
      <c r="C26" s="234" t="inlineStr">
        <is>
          <t>Services</t>
        </is>
      </c>
      <c r="D26" s="222" t="inlineStr">
        <is>
          <t>Appel d'offres ouvert</t>
        </is>
      </c>
      <c r="E26" s="234" t="inlineStr">
        <is>
          <t>T2</t>
        </is>
      </c>
      <c r="F26" s="221" t="inlineStr">
        <is>
          <t>Centres de diffusion TV/FM</t>
        </is>
      </c>
      <c r="G26" s="221" t="inlineStr">
        <is>
          <t>Oui</t>
        </is>
      </c>
      <c r="H26" s="574" t="n">
        <v>4500000</v>
      </c>
      <c r="I26" s="224" t="inlineStr">
        <is>
          <t>Fonctionnement</t>
        </is>
      </c>
    </row>
    <row r="27" ht="38.25" customHeight="1" s="392">
      <c r="A27" s="220" t="inlineStr">
        <is>
          <t>Direction de la Télédiffusion</t>
        </is>
      </c>
      <c r="B27" s="220" t="inlineStr">
        <is>
          <t xml:space="preserve">Fourniture, installation et mise en service des émetteurs DVB-T/T2 avec combiners pour quelques sites de diffusion </t>
        </is>
      </c>
      <c r="C27" s="221" t="inlineStr">
        <is>
          <t>Fournitures</t>
        </is>
      </c>
      <c r="D27" s="222" t="inlineStr">
        <is>
          <t>Appel d'offres ouvert</t>
        </is>
      </c>
      <c r="E27" s="221" t="inlineStr">
        <is>
          <t>T2</t>
        </is>
      </c>
      <c r="F27" s="221" t="inlineStr">
        <is>
          <t>Laayoune, Palomas, Tazerkount</t>
        </is>
      </c>
      <c r="G27" s="221" t="inlineStr">
        <is>
          <t>Non</t>
        </is>
      </c>
      <c r="H27" s="227" t="n">
        <v>4000000</v>
      </c>
      <c r="I27" s="224" t="inlineStr">
        <is>
          <t>Investissement</t>
        </is>
      </c>
      <c r="J27" s="235" t="n"/>
      <c r="K27" s="235" t="n"/>
      <c r="L27" s="235" t="n"/>
      <c r="M27" s="235" t="n"/>
      <c r="N27" s="235" t="n"/>
      <c r="O27" s="235" t="n"/>
      <c r="P27" s="235" t="n"/>
      <c r="Q27" s="235" t="n"/>
      <c r="R27" s="235" t="n"/>
      <c r="S27" s="235" t="n"/>
      <c r="T27" s="235" t="n"/>
      <c r="U27" s="235" t="n"/>
      <c r="V27" s="235" t="n"/>
    </row>
    <row r="28" ht="38.25" customHeight="1" s="392">
      <c r="A28" s="220" t="inlineStr">
        <is>
          <t>Direction de la Télédiffusion</t>
        </is>
      </c>
      <c r="B28" s="220" t="inlineStr">
        <is>
          <t xml:space="preserve">Fourniture, installation et mise en service des émetteurs FM avec combiners et systèmes d'antennes FM pour quelques sites de diffusion </t>
        </is>
      </c>
      <c r="C28" s="221" t="inlineStr">
        <is>
          <t>Fournitures</t>
        </is>
      </c>
      <c r="D28" s="222" t="inlineStr">
        <is>
          <t>Appel d'offres ouvert</t>
        </is>
      </c>
      <c r="E28" s="221" t="inlineStr">
        <is>
          <t>T2</t>
        </is>
      </c>
      <c r="F28" s="221" t="inlineStr">
        <is>
          <t>Azougar, Bouarfa,  Figuig, Palomas,  Tizi Azza</t>
        </is>
      </c>
      <c r="G28" s="221" t="inlineStr">
        <is>
          <t>Non</t>
        </is>
      </c>
      <c r="H28" s="227" t="n">
        <v>4400000</v>
      </c>
      <c r="I28" s="224" t="inlineStr">
        <is>
          <t>Investissement</t>
        </is>
      </c>
      <c r="J28" s="235" t="n"/>
      <c r="K28" s="235" t="n"/>
      <c r="L28" s="235" t="n"/>
      <c r="M28" s="235" t="n"/>
      <c r="N28" s="235" t="n"/>
      <c r="O28" s="235" t="n"/>
      <c r="P28" s="235" t="n"/>
      <c r="Q28" s="235" t="n"/>
      <c r="R28" s="235" t="n"/>
      <c r="S28" s="235" t="n"/>
      <c r="T28" s="235" t="n"/>
      <c r="U28" s="235" t="n"/>
      <c r="V28" s="235" t="n"/>
    </row>
    <row r="29" ht="75" customHeight="1" s="392">
      <c r="A29" s="220" t="inlineStr">
        <is>
          <t>Direction de la Télédiffusion</t>
        </is>
      </c>
      <c r="B29" s="220" t="inlineStr">
        <is>
          <t>Fourniture, installation et mise en service de nouvelles liaisons de faisceaux hertzien pour un Trafic MPEG-TS/IP et IP.</t>
        </is>
      </c>
      <c r="C29" s="221" t="inlineStr">
        <is>
          <t>Fournitures</t>
        </is>
      </c>
      <c r="D29" s="222" t="inlineStr">
        <is>
          <t>Appel d'offres ouvert</t>
        </is>
      </c>
      <c r="E29" s="221" t="inlineStr">
        <is>
          <t>T3</t>
        </is>
      </c>
      <c r="F29" s="221" t="inlineStr">
        <is>
          <t>Zerhoun - Azougar - Tiguelmamine - Takka Tissoufra - Izeft - Errachidia - Rich
Rabat - Zaers - Témara.</t>
        </is>
      </c>
      <c r="G29" s="221" t="inlineStr">
        <is>
          <t>Non</t>
        </is>
      </c>
      <c r="H29" s="227" t="n">
        <v>8000000</v>
      </c>
      <c r="I29" s="224" t="inlineStr">
        <is>
          <t>Investissement</t>
        </is>
      </c>
      <c r="J29" s="235" t="n"/>
      <c r="K29" s="235" t="n"/>
      <c r="L29" s="235" t="n"/>
      <c r="M29" s="235" t="n"/>
      <c r="N29" s="235" t="n"/>
      <c r="O29" s="235" t="n"/>
      <c r="P29" s="235" t="n"/>
      <c r="Q29" s="235" t="n"/>
      <c r="R29" s="235" t="n"/>
      <c r="S29" s="235" t="n"/>
      <c r="T29" s="235" t="n"/>
      <c r="U29" s="235" t="n"/>
      <c r="V29" s="235" t="n"/>
    </row>
    <row r="30" ht="34.5" customHeight="1" s="392">
      <c r="A30" s="230" t="inlineStr">
        <is>
          <t>Direction de la Télédiffusion</t>
        </is>
      </c>
      <c r="B30" s="230" t="inlineStr">
        <is>
          <t>Fourniture de combiners/upconverters.</t>
        </is>
      </c>
      <c r="C30" s="236" t="inlineStr">
        <is>
          <t>Fournitures</t>
        </is>
      </c>
      <c r="D30" s="232" t="inlineStr">
        <is>
          <t>Appel d'offres ouvert</t>
        </is>
      </c>
      <c r="E30" s="231" t="inlineStr">
        <is>
          <t>T1</t>
        </is>
      </c>
      <c r="F30" s="231" t="inlineStr">
        <is>
          <t>Rabat</t>
        </is>
      </c>
      <c r="G30" s="231" t="inlineStr">
        <is>
          <t>Non</t>
        </is>
      </c>
      <c r="H30" s="233" t="n">
        <v>979200</v>
      </c>
      <c r="I30" s="224" t="inlineStr">
        <is>
          <t>Investissement</t>
        </is>
      </c>
      <c r="J30" s="235" t="n"/>
      <c r="K30" s="235" t="n"/>
      <c r="L30" s="235" t="n"/>
      <c r="M30" s="235" t="n"/>
      <c r="N30" s="235" t="n"/>
      <c r="O30" s="235" t="n"/>
      <c r="P30" s="235" t="n"/>
      <c r="Q30" s="235" t="n"/>
      <c r="R30" s="235" t="n"/>
      <c r="S30" s="235" t="n"/>
      <c r="T30" s="235" t="n"/>
      <c r="U30" s="235" t="n"/>
      <c r="V30" s="235" t="n"/>
    </row>
    <row r="31" ht="47.25" customHeight="1" s="392">
      <c r="A31" s="230" t="inlineStr">
        <is>
          <t>Direction de la Télédiffusion</t>
        </is>
      </c>
      <c r="B31" s="230" t="inlineStr">
        <is>
          <t>Fourniture, installation et mise en service des onduleurs 2x150 KVA type modulaires et d’un système de climatisation au centre SNRT de ZAER (RABAT).</t>
        </is>
      </c>
      <c r="C31" s="236" t="inlineStr">
        <is>
          <t>Fournitures</t>
        </is>
      </c>
      <c r="D31" s="232" t="inlineStr">
        <is>
          <t>Appel d'offres ouvert</t>
        </is>
      </c>
      <c r="E31" s="231" t="inlineStr">
        <is>
          <t>T1</t>
        </is>
      </c>
      <c r="F31" s="231" t="inlineStr">
        <is>
          <t>Rabat zaer</t>
        </is>
      </c>
      <c r="G31" s="231" t="inlineStr">
        <is>
          <t>Oui</t>
        </is>
      </c>
      <c r="H31" s="233" t="n">
        <v>3301704</v>
      </c>
      <c r="I31" s="224" t="inlineStr">
        <is>
          <t>Investissement</t>
        </is>
      </c>
      <c r="J31" s="235" t="n"/>
      <c r="K31" s="235" t="n"/>
      <c r="L31" s="235" t="n"/>
      <c r="M31" s="235" t="n"/>
      <c r="N31" s="235" t="n"/>
      <c r="O31" s="235" t="n"/>
      <c r="P31" s="235" t="n"/>
      <c r="Q31" s="235" t="n"/>
      <c r="R31" s="235" t="n"/>
      <c r="S31" s="235" t="n"/>
      <c r="T31" s="235" t="n"/>
      <c r="U31" s="235" t="n"/>
      <c r="V31" s="235" t="n"/>
    </row>
    <row r="32" ht="52.5" customHeight="1" s="392">
      <c r="A32" s="230" t="inlineStr">
        <is>
          <t>Direction de la Télédiffusion</t>
        </is>
      </c>
      <c r="B32" s="230" t="inlineStr">
        <is>
          <t xml:space="preserve">Acquisition de matériel technique et informatique pour l'extension de l'outil digital de gestion des ressources techniques et humaines de l'exploitation et de la maintenance. </t>
        </is>
      </c>
      <c r="C32" s="236" t="inlineStr">
        <is>
          <t>Fournitures</t>
        </is>
      </c>
      <c r="D32" s="232" t="inlineStr">
        <is>
          <t>Appel d'offres ouvert</t>
        </is>
      </c>
      <c r="E32" s="231" t="inlineStr">
        <is>
          <t>T1</t>
        </is>
      </c>
      <c r="F32" s="231" t="inlineStr">
        <is>
          <t>Témara</t>
        </is>
      </c>
      <c r="G32" s="231" t="inlineStr">
        <is>
          <t>Non</t>
        </is>
      </c>
      <c r="H32" s="233" t="n">
        <v>540000</v>
      </c>
      <c r="I32" s="224" t="inlineStr">
        <is>
          <t>Investissement</t>
        </is>
      </c>
      <c r="J32" s="235" t="n"/>
      <c r="K32" s="235" t="n"/>
      <c r="L32" s="235" t="n"/>
      <c r="M32" s="235" t="n"/>
      <c r="N32" s="235" t="n"/>
      <c r="O32" s="235" t="n"/>
      <c r="P32" s="235" t="n"/>
      <c r="Q32" s="235" t="n"/>
      <c r="R32" s="235" t="n"/>
      <c r="S32" s="235" t="n"/>
      <c r="T32" s="235" t="n"/>
      <c r="U32" s="235" t="n"/>
      <c r="V32" s="235" t="n"/>
    </row>
    <row r="33" ht="75.75" customHeight="1" s="392">
      <c r="A33" s="230" t="inlineStr">
        <is>
          <t>Direction de la Télédiffusion</t>
        </is>
      </c>
      <c r="B33" s="230" t="inlineStr">
        <is>
          <t>Fourniture installation et mise en service d’un nouveau groupe électrogène  de puissance 200 KW/PRP  pour le centre SNRT de PALOMAS (P.EL HOCEIMA), ainsi que le transfert de quelques groupes électrogènes entre des centres SNRT y compris leurs mise à niveau.</t>
        </is>
      </c>
      <c r="C33" s="236" t="inlineStr">
        <is>
          <t>Travaux</t>
        </is>
      </c>
      <c r="D33" s="232" t="inlineStr">
        <is>
          <t>Appel d'offres ouvert</t>
        </is>
      </c>
      <c r="E33" s="231" t="inlineStr">
        <is>
          <t>T1</t>
        </is>
      </c>
      <c r="F33" s="231" t="inlineStr">
        <is>
          <t>Al Houceima</t>
        </is>
      </c>
      <c r="G33" s="231" t="inlineStr">
        <is>
          <t>Oui</t>
        </is>
      </c>
      <c r="H33" s="233" t="n">
        <v>1200000</v>
      </c>
      <c r="I33" s="224" t="inlineStr">
        <is>
          <t>Investissement</t>
        </is>
      </c>
      <c r="J33" s="235" t="n"/>
      <c r="K33" s="235" t="n"/>
      <c r="L33" s="235" t="n"/>
      <c r="M33" s="235" t="n"/>
      <c r="N33" s="235" t="n"/>
      <c r="O33" s="235" t="n"/>
      <c r="P33" s="235" t="n"/>
      <c r="Q33" s="235" t="n"/>
      <c r="R33" s="235" t="n"/>
      <c r="S33" s="235" t="n"/>
      <c r="T33" s="235" t="n"/>
      <c r="U33" s="235" t="n"/>
      <c r="V33" s="235" t="n"/>
    </row>
    <row r="34" ht="51" customHeight="1" s="392">
      <c r="A34" s="220" t="inlineStr">
        <is>
          <t>Direction de la Télédiffusion</t>
        </is>
      </c>
      <c r="B34" s="220" t="inlineStr">
        <is>
          <t>Fourniture, installation et mise en service de nouveaux onduleurs dans quelques sites de diffusion.</t>
        </is>
      </c>
      <c r="C34" s="221" t="inlineStr">
        <is>
          <t>Fournitures</t>
        </is>
      </c>
      <c r="D34" s="222" t="inlineStr">
        <is>
          <t>Appel d'offres ouvert</t>
        </is>
      </c>
      <c r="E34" s="221" t="inlineStr">
        <is>
          <t>T2</t>
        </is>
      </c>
      <c r="F34" s="221" t="inlineStr">
        <is>
          <t>JBEL LAHDID (ESSAOUIRA) - ZERHOUNE - OUKEIMEDEN</t>
        </is>
      </c>
      <c r="G34" s="221" t="inlineStr">
        <is>
          <t>Oui</t>
        </is>
      </c>
      <c r="H34" s="227" t="n">
        <v>4000000</v>
      </c>
      <c r="I34" s="224" t="inlineStr">
        <is>
          <t>Investissement</t>
        </is>
      </c>
      <c r="J34" s="235" t="n"/>
      <c r="K34" s="235" t="n"/>
      <c r="L34" s="235" t="n"/>
      <c r="M34" s="235" t="n"/>
      <c r="N34" s="235" t="n"/>
      <c r="O34" s="235" t="n"/>
      <c r="P34" s="235" t="n"/>
      <c r="Q34" s="235" t="n"/>
      <c r="R34" s="235" t="n"/>
      <c r="S34" s="235" t="n"/>
      <c r="T34" s="235" t="n"/>
      <c r="U34" s="235" t="n"/>
      <c r="V34" s="235" t="n"/>
    </row>
    <row r="35" ht="38.25" customHeight="1" s="392">
      <c r="A35" s="220" t="inlineStr">
        <is>
          <t>Direction de la Télédiffusion</t>
        </is>
      </c>
      <c r="B35" s="220" t="inlineStr">
        <is>
          <t>Fourniture, installation et mise en service des groupes électrogènes dans quelques sites de diffusion.</t>
        </is>
      </c>
      <c r="C35" s="221" t="inlineStr">
        <is>
          <t>Travaux</t>
        </is>
      </c>
      <c r="D35" s="222" t="inlineStr">
        <is>
          <t>Appel d'offres ouvert</t>
        </is>
      </c>
      <c r="E35" s="221" t="inlineStr">
        <is>
          <t>T2</t>
        </is>
      </c>
      <c r="F35" s="221" t="inlineStr">
        <is>
          <t>Tarfaya - Akhfennir - Abtih - Sidi IfniI - Sidi Bounouara</t>
        </is>
      </c>
      <c r="G35" s="221" t="inlineStr">
        <is>
          <t>Oui</t>
        </is>
      </c>
      <c r="H35" s="227" t="n">
        <v>3000000</v>
      </c>
      <c r="I35" s="224" t="inlineStr">
        <is>
          <t>Investissement</t>
        </is>
      </c>
      <c r="J35" s="235" t="n"/>
      <c r="K35" s="235" t="n"/>
      <c r="L35" s="235" t="n"/>
      <c r="M35" s="235" t="n"/>
      <c r="N35" s="235" t="n"/>
      <c r="O35" s="235" t="n"/>
      <c r="P35" s="235" t="n"/>
      <c r="Q35" s="235" t="n"/>
      <c r="R35" s="235" t="n"/>
      <c r="S35" s="235" t="n"/>
      <c r="T35" s="235" t="n"/>
      <c r="U35" s="235" t="n"/>
      <c r="V35" s="235" t="n"/>
    </row>
    <row r="36" ht="48.75" customHeight="1" s="392">
      <c r="A36" s="230" t="inlineStr">
        <is>
          <t>Direction de la Télédiffusion</t>
        </is>
      </c>
      <c r="B36" s="230" t="inlineStr">
        <is>
          <t>Electricafication/augmentation MT/BT 2éme reseau de quelques sites de diffusion SNRT.</t>
        </is>
      </c>
      <c r="C36" s="231" t="inlineStr">
        <is>
          <t>Travaux</t>
        </is>
      </c>
      <c r="D36" s="232" t="inlineStr">
        <is>
          <t>Appel d'offres ouvert</t>
        </is>
      </c>
      <c r="E36" s="231" t="inlineStr">
        <is>
          <t>T3</t>
        </is>
      </c>
      <c r="F36" s="231" t="inlineStr">
        <is>
          <t>Fogo (Guelmim) - Akka Ighan (Tata) - Arfoud (Errachidia)</t>
        </is>
      </c>
      <c r="G36" s="231" t="inlineStr">
        <is>
          <t>Oui</t>
        </is>
      </c>
      <c r="H36" s="233" t="n">
        <v>4000000</v>
      </c>
      <c r="I36" s="224" t="inlineStr">
        <is>
          <t>Investissement</t>
        </is>
      </c>
      <c r="J36" s="235" t="n"/>
      <c r="K36" s="235" t="n"/>
      <c r="L36" s="235" t="n"/>
      <c r="M36" s="235" t="n"/>
      <c r="N36" s="235" t="n"/>
      <c r="O36" s="235" t="n"/>
      <c r="P36" s="235" t="n"/>
      <c r="Q36" s="235" t="n"/>
      <c r="R36" s="235" t="n"/>
      <c r="S36" s="235" t="n"/>
      <c r="T36" s="235" t="n"/>
      <c r="U36" s="235" t="n"/>
      <c r="V36" s="235" t="n"/>
    </row>
    <row r="37" ht="76.5" customHeight="1" s="392">
      <c r="A37" s="220" t="inlineStr">
        <is>
          <t>Direction de la Télédiffusion</t>
        </is>
      </c>
      <c r="B37" s="220"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C37" s="221" t="inlineStr">
        <is>
          <t>Fournitures</t>
        </is>
      </c>
      <c r="D37" s="222" t="inlineStr">
        <is>
          <t>Appel d'offres ouvert</t>
        </is>
      </c>
      <c r="E37" s="221" t="inlineStr">
        <is>
          <t>T2</t>
        </is>
      </c>
      <c r="F37" s="221" t="inlineStr">
        <is>
          <t>Magasin Témara</t>
        </is>
      </c>
      <c r="G37" s="221" t="inlineStr">
        <is>
          <t>Oui</t>
        </is>
      </c>
      <c r="H37" s="227" t="n">
        <v>900000</v>
      </c>
      <c r="I37" s="224" t="inlineStr">
        <is>
          <t>Investissement</t>
        </is>
      </c>
      <c r="J37" s="235" t="n"/>
      <c r="K37" s="235" t="n"/>
      <c r="L37" s="235" t="n"/>
      <c r="M37" s="235" t="n"/>
      <c r="N37" s="235" t="n"/>
      <c r="O37" s="235" t="n"/>
      <c r="P37" s="235" t="n"/>
      <c r="Q37" s="235" t="n"/>
      <c r="R37" s="235" t="n"/>
      <c r="S37" s="235" t="n"/>
      <c r="T37" s="235" t="n"/>
      <c r="U37" s="235" t="n"/>
      <c r="V37" s="235" t="n"/>
    </row>
    <row r="38" ht="25.5" customHeight="1" s="392">
      <c r="A38" s="220" t="inlineStr">
        <is>
          <t>Direction de la Télédiffusion</t>
        </is>
      </c>
      <c r="B38" s="220" t="inlineStr">
        <is>
          <t>Acquisition de climatiseurs</t>
        </is>
      </c>
      <c r="C38" s="221" t="inlineStr">
        <is>
          <t>Fournitures</t>
        </is>
      </c>
      <c r="D38" s="222" t="inlineStr">
        <is>
          <t>Appel d'offres ouvert</t>
        </is>
      </c>
      <c r="E38" s="221" t="inlineStr">
        <is>
          <t>T4</t>
        </is>
      </c>
      <c r="F38" s="221" t="inlineStr">
        <is>
          <t>Akka Ighan + tout besoin ponctuel</t>
        </is>
      </c>
      <c r="G38" s="221" t="inlineStr">
        <is>
          <t>Oui</t>
        </is>
      </c>
      <c r="H38" s="227" t="n">
        <v>200000</v>
      </c>
      <c r="I38" s="224" t="inlineStr">
        <is>
          <t>Investissement</t>
        </is>
      </c>
      <c r="J38" s="235" t="n"/>
      <c r="K38" s="235" t="n"/>
      <c r="L38" s="235" t="n"/>
      <c r="M38" s="235" t="n"/>
      <c r="N38" s="235" t="n"/>
      <c r="O38" s="235" t="n"/>
      <c r="P38" s="235" t="n"/>
      <c r="Q38" s="235" t="n"/>
      <c r="R38" s="235" t="n"/>
      <c r="S38" s="235" t="n"/>
      <c r="T38" s="235" t="n"/>
      <c r="U38" s="235" t="n"/>
      <c r="V38" s="235" t="n"/>
    </row>
    <row r="39" ht="38.25" customHeight="1" s="392">
      <c r="A39" s="220" t="inlineStr">
        <is>
          <t>Direction de la Télédiffusion</t>
        </is>
      </c>
      <c r="B39" s="220" t="inlineStr">
        <is>
          <t>Construction et achèvement d'installation des pylônes auto-stable aux sites SNRT TANAKOUBE ( P.CHEFCHAOUEN) et TAOURIRT</t>
        </is>
      </c>
      <c r="C39" s="221" t="inlineStr">
        <is>
          <t>Travaux</t>
        </is>
      </c>
      <c r="D39" s="222" t="inlineStr">
        <is>
          <t>Appel d'offres ouvert</t>
        </is>
      </c>
      <c r="E39" s="221" t="inlineStr">
        <is>
          <t>T3</t>
        </is>
      </c>
      <c r="F39" s="221" t="inlineStr">
        <is>
          <t>Tanakoube ( (P,Chefchaouen) et Taourirt)</t>
        </is>
      </c>
      <c r="G39" s="221" t="inlineStr">
        <is>
          <t>Oui</t>
        </is>
      </c>
      <c r="H39" s="227" t="n">
        <v>2000000</v>
      </c>
      <c r="I39" s="224" t="inlineStr">
        <is>
          <t>Investissement</t>
        </is>
      </c>
      <c r="J39" s="235" t="n"/>
      <c r="K39" s="235" t="n"/>
      <c r="L39" s="235" t="n"/>
      <c r="M39" s="235" t="n"/>
      <c r="N39" s="235" t="n"/>
      <c r="O39" s="235" t="n"/>
      <c r="P39" s="235" t="n"/>
      <c r="Q39" s="235" t="n"/>
      <c r="R39" s="235" t="n"/>
      <c r="S39" s="235" t="n"/>
      <c r="T39" s="235" t="n"/>
      <c r="U39" s="235" t="n"/>
      <c r="V39" s="235" t="n"/>
    </row>
    <row r="40" ht="68.25" customHeight="1" s="392">
      <c r="A40" s="230" t="inlineStr">
        <is>
          <t>Direction de la Télédiffusion</t>
        </is>
      </c>
      <c r="B40" s="230" t="inlineStr">
        <is>
          <t>Elaboration des études technique et le suivi des travaux  pour la construction et achèvement d'installation des pylônes auto-stable aux sites SNRT TANAKOUBE ( P.CHEFCHAOUEN) et TAOURIRT</t>
        </is>
      </c>
      <c r="C40" s="231" t="inlineStr">
        <is>
          <t>Services</t>
        </is>
      </c>
      <c r="D40" s="232" t="inlineStr">
        <is>
          <t>Appel d'offres ouvert</t>
        </is>
      </c>
      <c r="E40" s="231" t="inlineStr">
        <is>
          <t>T2</t>
        </is>
      </c>
      <c r="F40" s="231" t="inlineStr">
        <is>
          <t>Tanakoube
 ( P,Chefchaouen) et Taourirt</t>
        </is>
      </c>
      <c r="G40" s="231" t="inlineStr">
        <is>
          <t>Non</t>
        </is>
      </c>
      <c r="H40" s="233" t="n">
        <v>120000</v>
      </c>
      <c r="I40" s="224" t="inlineStr">
        <is>
          <t>Investissement</t>
        </is>
      </c>
      <c r="J40" s="235" t="n"/>
      <c r="K40" s="235" t="n"/>
      <c r="L40" s="235" t="n"/>
      <c r="M40" s="235" t="n"/>
      <c r="N40" s="235" t="n"/>
      <c r="O40" s="235" t="n"/>
      <c r="P40" s="235" t="n"/>
      <c r="Q40" s="235" t="n"/>
      <c r="R40" s="235" t="n"/>
      <c r="S40" s="235" t="n"/>
      <c r="T40" s="235" t="n"/>
      <c r="U40" s="235" t="n"/>
      <c r="V40" s="235" t="n"/>
    </row>
    <row r="41" ht="51.75" customHeight="1" s="392">
      <c r="A41" s="220" t="inlineStr">
        <is>
          <t>Direction de la Télédiffusion</t>
        </is>
      </c>
      <c r="B41" s="220" t="inlineStr">
        <is>
          <t>Etudes architecturales et le suivi des travaux pour la construction des nouveau sites de diffusion de la SNRT à RICH et MSISSI</t>
        </is>
      </c>
      <c r="C41" s="221" t="inlineStr">
        <is>
          <t>Services</t>
        </is>
      </c>
      <c r="D41" s="222" t="inlineStr">
        <is>
          <t>Appel d'offres ouvert</t>
        </is>
      </c>
      <c r="E41" s="221" t="inlineStr">
        <is>
          <t>T2</t>
        </is>
      </c>
      <c r="F41" s="221" t="inlineStr">
        <is>
          <t>Rich  et Msissi</t>
        </is>
      </c>
      <c r="G41" s="221" t="inlineStr">
        <is>
          <t>Non</t>
        </is>
      </c>
      <c r="H41" s="223" t="n">
        <v>180000</v>
      </c>
      <c r="I41" s="224" t="inlineStr">
        <is>
          <t>Investissement</t>
        </is>
      </c>
      <c r="J41" s="235" t="n"/>
      <c r="K41" s="235" t="n"/>
      <c r="L41" s="235" t="n"/>
      <c r="M41" s="235" t="n"/>
      <c r="N41" s="235" t="n"/>
      <c r="O41" s="235" t="n"/>
      <c r="P41" s="235" t="n"/>
      <c r="Q41" s="235" t="n"/>
      <c r="R41" s="235" t="n"/>
      <c r="S41" s="235" t="n"/>
      <c r="T41" s="235" t="n"/>
      <c r="U41" s="235" t="n"/>
      <c r="V41" s="235" t="n"/>
    </row>
    <row r="42" ht="58.5" customHeight="1" s="392">
      <c r="A42" s="230" t="inlineStr">
        <is>
          <t>Direction de la Télédiffusion</t>
        </is>
      </c>
      <c r="B42" s="230" t="inlineStr">
        <is>
          <t>Elaboration des études technique et le suivi des travaux  pour la construction des nouveau sites de diffusion  à RICH et MSISSI</t>
        </is>
      </c>
      <c r="C42" s="231" t="inlineStr">
        <is>
          <t>Services</t>
        </is>
      </c>
      <c r="D42" s="232" t="inlineStr">
        <is>
          <t>Appel d'offres ouvert</t>
        </is>
      </c>
      <c r="E42" s="231" t="inlineStr">
        <is>
          <t>T2</t>
        </is>
      </c>
      <c r="F42" s="231" t="inlineStr">
        <is>
          <t>Rich  et Msissi</t>
        </is>
      </c>
      <c r="G42" s="231" t="inlineStr">
        <is>
          <t>Non</t>
        </is>
      </c>
      <c r="H42" s="233" t="n">
        <v>150000</v>
      </c>
      <c r="I42" s="224" t="inlineStr">
        <is>
          <t>Investissement</t>
        </is>
      </c>
      <c r="J42" s="235" t="n"/>
      <c r="K42" s="235" t="n"/>
      <c r="L42" s="235" t="n"/>
      <c r="M42" s="235" t="n"/>
      <c r="N42" s="235" t="n"/>
      <c r="O42" s="235" t="n"/>
      <c r="P42" s="235" t="n"/>
      <c r="Q42" s="235" t="n"/>
      <c r="R42" s="235" t="n"/>
      <c r="S42" s="235" t="n"/>
      <c r="T42" s="235" t="n"/>
      <c r="U42" s="235" t="n"/>
      <c r="V42" s="235" t="n"/>
    </row>
    <row r="43" ht="25.5" customHeight="1" s="392">
      <c r="A43" s="220" t="inlineStr">
        <is>
          <t>Direction de la Télédiffusion</t>
        </is>
      </c>
      <c r="B43" s="220" t="inlineStr">
        <is>
          <t>Travaux de construction de nouveaux sites à RICH et MSISSI</t>
        </is>
      </c>
      <c r="C43" s="221" t="inlineStr">
        <is>
          <t>Travaux</t>
        </is>
      </c>
      <c r="D43" s="222" t="inlineStr">
        <is>
          <t>Appel d'offres ouvert</t>
        </is>
      </c>
      <c r="E43" s="221" t="inlineStr">
        <is>
          <t>T3</t>
        </is>
      </c>
      <c r="F43" s="221" t="inlineStr">
        <is>
          <t>Rich  et Msissi</t>
        </is>
      </c>
      <c r="G43" s="221" t="inlineStr">
        <is>
          <t>Oui</t>
        </is>
      </c>
      <c r="H43" s="227" t="n">
        <v>3000000</v>
      </c>
      <c r="I43" s="224" t="inlineStr">
        <is>
          <t>Investissement</t>
        </is>
      </c>
      <c r="J43" s="235" t="n"/>
      <c r="K43" s="235" t="n"/>
      <c r="L43" s="235" t="n"/>
      <c r="M43" s="235" t="n"/>
      <c r="N43" s="235" t="n"/>
      <c r="O43" s="235" t="n"/>
      <c r="P43" s="235" t="n"/>
      <c r="Q43" s="235" t="n"/>
      <c r="R43" s="235" t="n"/>
      <c r="S43" s="235" t="n"/>
      <c r="T43" s="235" t="n"/>
      <c r="U43" s="235" t="n"/>
      <c r="V43" s="235" t="n"/>
    </row>
    <row r="44" ht="55.5" customHeight="1" s="392">
      <c r="A44" s="220" t="inlineStr">
        <is>
          <t>Direction de la Télédiffusion</t>
        </is>
      </c>
      <c r="B44" s="220" t="inlineStr">
        <is>
          <t>Travaux d'aménagement des sites de diffusion.</t>
        </is>
      </c>
      <c r="C44" s="221" t="inlineStr">
        <is>
          <t>Travaux</t>
        </is>
      </c>
      <c r="D44" s="222" t="inlineStr">
        <is>
          <t>Appel d'offres ouvert</t>
        </is>
      </c>
      <c r="E44" s="221" t="inlineStr">
        <is>
          <t>T2 - T3 - T4</t>
        </is>
      </c>
      <c r="F44" s="221" t="inlineStr">
        <is>
          <t>Hafa Safa, Zerhoune,  Figuig, Izeft, Safi</t>
        </is>
      </c>
      <c r="G44" s="221" t="inlineStr">
        <is>
          <t>Oui</t>
        </is>
      </c>
      <c r="H44" s="223" t="n">
        <v>4800000</v>
      </c>
      <c r="I44" s="224" t="inlineStr">
        <is>
          <t>Investissement</t>
        </is>
      </c>
      <c r="J44" s="235" t="n"/>
      <c r="K44" s="235" t="n"/>
      <c r="L44" s="235" t="n"/>
      <c r="M44" s="235" t="n"/>
      <c r="N44" s="235" t="n"/>
      <c r="O44" s="235" t="n"/>
      <c r="P44" s="235" t="n"/>
      <c r="Q44" s="235" t="n"/>
      <c r="R44" s="235" t="n"/>
      <c r="S44" s="235" t="n"/>
      <c r="T44" s="235" t="n"/>
      <c r="U44" s="235" t="n"/>
      <c r="V44" s="235" t="n"/>
    </row>
    <row r="45" ht="51" customHeight="1" s="392">
      <c r="A45" s="220" t="inlineStr">
        <is>
          <t>Direction de la Télédiffusion</t>
        </is>
      </c>
      <c r="B45" s="220" t="inlineStr">
        <is>
          <t xml:space="preserve">Entretien des pylônes et tours dessites de diffusion </t>
        </is>
      </c>
      <c r="C45" s="221" t="inlineStr">
        <is>
          <t>Travaux</t>
        </is>
      </c>
      <c r="D45" s="222" t="inlineStr">
        <is>
          <t>Appel d'offres ouvert</t>
        </is>
      </c>
      <c r="E45" s="221" t="inlineStr">
        <is>
          <t>T3</t>
        </is>
      </c>
      <c r="F45" s="221" t="inlineStr">
        <is>
          <t>Cap Spartel, Hafa Safa, Zerhoune, Safi, Ain Chock, Mirchich et Lakhiar</t>
        </is>
      </c>
      <c r="G45" s="221" t="inlineStr">
        <is>
          <t>Oui</t>
        </is>
      </c>
      <c r="H45" s="227" t="n">
        <v>2000000</v>
      </c>
      <c r="I45" s="224" t="inlineStr">
        <is>
          <t>Investissement</t>
        </is>
      </c>
      <c r="J45" s="235" t="n"/>
      <c r="K45" s="235" t="n"/>
      <c r="L45" s="235" t="n"/>
      <c r="M45" s="235" t="n"/>
      <c r="N45" s="235" t="n"/>
      <c r="O45" s="235" t="n"/>
      <c r="P45" s="235" t="n"/>
      <c r="Q45" s="235" t="n"/>
      <c r="R45" s="235" t="n"/>
      <c r="S45" s="235" t="n"/>
      <c r="T45" s="235" t="n"/>
      <c r="U45" s="235" t="n"/>
      <c r="V45" s="235" t="n"/>
    </row>
    <row r="46" ht="38.25" customHeight="1" s="392">
      <c r="A46" s="220" t="inlineStr">
        <is>
          <t>Direction de la Télédiffusion</t>
        </is>
      </c>
      <c r="B46" s="220" t="inlineStr">
        <is>
          <t>Fourniture, installation et mise en service de plateformes d'encodage et de multiplexage/Mise à niveau des platformes existantes.</t>
        </is>
      </c>
      <c r="C46" s="221" t="inlineStr">
        <is>
          <t>Fournitures</t>
        </is>
      </c>
      <c r="D46" s="222" t="inlineStr">
        <is>
          <t>Appel d'offres ouvert</t>
        </is>
      </c>
      <c r="E46" s="221" t="inlineStr">
        <is>
          <t>T2</t>
        </is>
      </c>
      <c r="F46" s="221" t="inlineStr">
        <is>
          <t>Rabat - Casablanca</t>
        </is>
      </c>
      <c r="G46" s="221" t="inlineStr">
        <is>
          <t>Non</t>
        </is>
      </c>
      <c r="H46" s="227" t="n">
        <v>5000000</v>
      </c>
      <c r="I46" s="224" t="inlineStr">
        <is>
          <t>Investissement</t>
        </is>
      </c>
      <c r="J46" s="235" t="n"/>
      <c r="K46" s="235" t="n"/>
      <c r="L46" s="235" t="n"/>
      <c r="M46" s="235" t="n"/>
      <c r="N46" s="235" t="n"/>
      <c r="O46" s="235" t="n"/>
      <c r="P46" s="235" t="n"/>
      <c r="Q46" s="235" t="n"/>
      <c r="R46" s="235" t="n"/>
      <c r="S46" s="235" t="n"/>
      <c r="T46" s="235" t="n"/>
      <c r="U46" s="235" t="n"/>
      <c r="V46" s="235" t="n"/>
    </row>
    <row r="47" ht="38.25" customHeight="1" s="392">
      <c r="A47" s="230" t="inlineStr">
        <is>
          <t>Direction de la Télédiffusion</t>
        </is>
      </c>
      <c r="B47" s="230" t="inlineStr">
        <is>
          <t>Fourniture des équipements de transmission pour les réseaux FH, satellite, contribution, tête réseau et NMS des stations terriennes.</t>
        </is>
      </c>
      <c r="C47" s="231" t="inlineStr">
        <is>
          <t>Fournitures</t>
        </is>
      </c>
      <c r="D47" s="232" t="inlineStr">
        <is>
          <t>Appel d'offres ouvert</t>
        </is>
      </c>
      <c r="E47" s="231" t="inlineStr">
        <is>
          <t>T2</t>
        </is>
      </c>
      <c r="F47" s="231" t="inlineStr">
        <is>
          <t>Rabat - Casablanca - Témara</t>
        </is>
      </c>
      <c r="G47" s="231" t="inlineStr">
        <is>
          <t>Non</t>
        </is>
      </c>
      <c r="H47" s="233" t="n">
        <v>8000000</v>
      </c>
      <c r="I47" s="231" t="inlineStr">
        <is>
          <t>Investissement</t>
        </is>
      </c>
      <c r="J47" s="237" t="n"/>
      <c r="K47" s="237" t="n"/>
      <c r="L47" s="237" t="n"/>
      <c r="M47" s="237" t="n"/>
      <c r="N47" s="237" t="n"/>
      <c r="O47" s="237" t="n"/>
      <c r="P47" s="237" t="n"/>
      <c r="Q47" s="237" t="n"/>
      <c r="R47" s="237" t="n"/>
      <c r="S47" s="237" t="n"/>
      <c r="T47" s="237" t="n"/>
      <c r="U47" s="237" t="n"/>
      <c r="V47" s="237" t="n"/>
    </row>
    <row r="48" ht="25.5" customHeight="1" s="392">
      <c r="A48" s="220" t="inlineStr">
        <is>
          <t>Direction de la Télédiffusion</t>
        </is>
      </c>
      <c r="B48" s="220" t="inlineStr">
        <is>
          <t>Formation dans les réseaux informatiques et réseaux de transmission.</t>
        </is>
      </c>
      <c r="C48" s="221" t="inlineStr">
        <is>
          <t>Services</t>
        </is>
      </c>
      <c r="D48" s="222" t="inlineStr">
        <is>
          <t>Appel d'offres ouvert</t>
        </is>
      </c>
      <c r="E48" s="221" t="inlineStr">
        <is>
          <t>T4</t>
        </is>
      </c>
      <c r="F48" s="221" t="inlineStr">
        <is>
          <t>Rabat</t>
        </is>
      </c>
      <c r="G48" s="221" t="inlineStr">
        <is>
          <t>Non</t>
        </is>
      </c>
      <c r="H48" s="223" t="n">
        <v>500000</v>
      </c>
      <c r="I48" s="224" t="inlineStr">
        <is>
          <t>Investissement</t>
        </is>
      </c>
      <c r="J48" s="235" t="n"/>
      <c r="K48" s="235" t="n"/>
      <c r="L48" s="235" t="n"/>
      <c r="M48" s="235" t="n"/>
      <c r="N48" s="235" t="n"/>
      <c r="O48" s="235" t="n"/>
      <c r="P48" s="235" t="n"/>
      <c r="Q48" s="235" t="n"/>
      <c r="R48" s="235" t="n"/>
      <c r="S48" s="235" t="n"/>
      <c r="T48" s="235" t="n"/>
      <c r="U48" s="235" t="n"/>
      <c r="V48" s="235" t="n"/>
    </row>
    <row r="49" ht="25.5" customHeight="1" s="392">
      <c r="A49" s="220" t="inlineStr">
        <is>
          <t>Direction de la Télédiffusion</t>
        </is>
      </c>
      <c r="B49" s="238" t="inlineStr">
        <is>
          <t>Entretien, réparation et maintenance des équipements de transmission.</t>
        </is>
      </c>
      <c r="C49" s="221" t="inlineStr">
        <is>
          <t>Services</t>
        </is>
      </c>
      <c r="D49" s="222" t="inlineStr">
        <is>
          <t>Appel d'offres ouvert</t>
        </is>
      </c>
      <c r="E49" s="221" t="inlineStr">
        <is>
          <t>T2</t>
        </is>
      </c>
      <c r="F49" s="221" t="inlineStr">
        <is>
          <t>Sites de Transmission</t>
        </is>
      </c>
      <c r="G49" s="221" t="inlineStr">
        <is>
          <t>Non</t>
        </is>
      </c>
      <c r="H49" s="223" t="n">
        <v>934000</v>
      </c>
      <c r="I49" s="224" t="inlineStr">
        <is>
          <t>Investissement</t>
        </is>
      </c>
      <c r="J49" s="235" t="n"/>
      <c r="K49" s="235" t="n"/>
      <c r="L49" s="235" t="n"/>
      <c r="M49" s="235" t="n"/>
      <c r="N49" s="235" t="n"/>
      <c r="O49" s="235" t="n"/>
      <c r="P49" s="235" t="n"/>
      <c r="Q49" s="235" t="n"/>
      <c r="R49" s="235" t="n"/>
      <c r="S49" s="235" t="n"/>
      <c r="T49" s="235" t="n"/>
      <c r="U49" s="235" t="n"/>
      <c r="V49" s="235" t="n"/>
    </row>
    <row r="50" ht="25.5" customHeight="1" s="392">
      <c r="A50" s="220" t="inlineStr">
        <is>
          <t>Direction Financière</t>
        </is>
      </c>
      <c r="B50" s="238" t="inlineStr">
        <is>
          <t>Commissarit aux apports - Expertise d'évaluation du foncier transféré par l'Etat à la SNRT</t>
        </is>
      </c>
      <c r="C50" s="221" t="inlineStr">
        <is>
          <t>Services</t>
        </is>
      </c>
      <c r="D50" s="222" t="inlineStr">
        <is>
          <t>Appel d'offres ouvert</t>
        </is>
      </c>
      <c r="E50" s="221" t="inlineStr">
        <is>
          <t>T2</t>
        </is>
      </c>
      <c r="F50" s="221" t="inlineStr">
        <is>
          <t xml:space="preserve">Siège SNRT </t>
        </is>
      </c>
      <c r="G50" s="221" t="inlineStr">
        <is>
          <t>Non</t>
        </is>
      </c>
      <c r="H50" s="575" t="n">
        <v>360000</v>
      </c>
      <c r="I50" s="224" t="inlineStr">
        <is>
          <t>Investissement</t>
        </is>
      </c>
    </row>
    <row r="51" ht="25.5" customHeight="1" s="392">
      <c r="A51" s="220" t="inlineStr">
        <is>
          <t>Direction Financière</t>
        </is>
      </c>
      <c r="B51" s="238" t="inlineStr">
        <is>
          <t xml:space="preserve">Audit fiscal de la SNRT au titre des exercices non prescrits (2022 - 2025) </t>
        </is>
      </c>
      <c r="C51" s="221" t="inlineStr">
        <is>
          <t>Services</t>
        </is>
      </c>
      <c r="D51" s="222" t="inlineStr">
        <is>
          <t>Appel d'offres ouvert</t>
        </is>
      </c>
      <c r="E51" s="221" t="inlineStr">
        <is>
          <t>T2</t>
        </is>
      </c>
      <c r="F51" s="221" t="inlineStr">
        <is>
          <t>Siège SNRT</t>
        </is>
      </c>
      <c r="G51" s="221" t="inlineStr">
        <is>
          <t>Non</t>
        </is>
      </c>
      <c r="H51" s="575" t="n">
        <v>600000</v>
      </c>
      <c r="I51" s="224" t="inlineStr">
        <is>
          <t>Investissement</t>
        </is>
      </c>
    </row>
    <row r="52" ht="63.75" customHeight="1" s="392">
      <c r="A52" s="220" t="inlineStr">
        <is>
          <t>Direction Financière</t>
        </is>
      </c>
      <c r="B52" s="238" t="inlineStr">
        <is>
          <t>Accompagnement du Groupe SNRT dans la production des comptes en IFRS (trois prix distincts : la production des comptes individuels de la SNRT, la production des comptes individuels des filiales, la production des comptes consolidés du groupe)</t>
        </is>
      </c>
      <c r="C52" s="221" t="inlineStr">
        <is>
          <t>Services</t>
        </is>
      </c>
      <c r="D52" s="222" t="inlineStr">
        <is>
          <t>Appel d'offres ouvert</t>
        </is>
      </c>
      <c r="E52" s="221" t="inlineStr">
        <is>
          <t>T2</t>
        </is>
      </c>
      <c r="F52" s="221" t="inlineStr">
        <is>
          <t>SNRT et Filiales</t>
        </is>
      </c>
      <c r="G52" s="221" t="inlineStr">
        <is>
          <t>Non</t>
        </is>
      </c>
      <c r="H52" s="575" t="n">
        <v>2600000</v>
      </c>
      <c r="I52" s="224" t="inlineStr">
        <is>
          <t>Investissement</t>
        </is>
      </c>
    </row>
    <row r="53" ht="25.5" customHeight="1" s="392">
      <c r="A53" s="220" t="inlineStr">
        <is>
          <t>Direction Centrale Marketing et Programmation TV</t>
        </is>
      </c>
      <c r="B53" s="238" t="inlineStr">
        <is>
          <t>Réalisation d'études qualitatives et quantitatives marketing pour la SNRT</t>
        </is>
      </c>
      <c r="C53" s="221" t="inlineStr">
        <is>
          <t>Services</t>
        </is>
      </c>
      <c r="D53" s="222" t="inlineStr">
        <is>
          <t>Appel d'offres ouvert</t>
        </is>
      </c>
      <c r="E53" s="221" t="inlineStr">
        <is>
          <t>T4</t>
        </is>
      </c>
      <c r="F53" s="221" t="inlineStr">
        <is>
          <t>Royaume du 
Maroc</t>
        </is>
      </c>
      <c r="G53" s="221" t="inlineStr">
        <is>
          <t>Non</t>
        </is>
      </c>
      <c r="H53" s="575" t="n">
        <v>800000</v>
      </c>
      <c r="I53" s="224" t="inlineStr">
        <is>
          <t>Fonctionnement</t>
        </is>
      </c>
    </row>
    <row r="54" ht="25.5" customHeight="1" s="392">
      <c r="A54" s="220" t="inlineStr">
        <is>
          <t>Direction Centrale Marketing et Programmation TV</t>
        </is>
      </c>
      <c r="B54" s="220" t="inlineStr">
        <is>
          <t>Maintenance du portail de la SNRT</t>
        </is>
      </c>
      <c r="C54" s="224" t="inlineStr">
        <is>
          <t>Services</t>
        </is>
      </c>
      <c r="D54" s="226" t="inlineStr">
        <is>
          <t>Appel d'offres ouvert</t>
        </is>
      </c>
      <c r="E54" s="221" t="inlineStr">
        <is>
          <t>T2</t>
        </is>
      </c>
      <c r="F54" s="224" t="inlineStr">
        <is>
          <t>Rabat</t>
        </is>
      </c>
      <c r="G54" s="224" t="inlineStr">
        <is>
          <t>Non</t>
        </is>
      </c>
      <c r="H54" s="576" t="n">
        <v>730000</v>
      </c>
      <c r="I54" s="224" t="inlineStr">
        <is>
          <t>Fonctionnement</t>
        </is>
      </c>
    </row>
    <row r="55" ht="25.5" customHeight="1" s="392">
      <c r="A55" s="220" t="inlineStr">
        <is>
          <t>Direction Centrale Marketing et Programmation TV</t>
        </is>
      </c>
      <c r="B55" s="220" t="inlineStr">
        <is>
          <t>Production de flags et bonnettes pour les micros des chaînes TV et radios de la SNRT</t>
        </is>
      </c>
      <c r="C55" s="224" t="inlineStr">
        <is>
          <t>Fournitures</t>
        </is>
      </c>
      <c r="D55" s="226" t="inlineStr">
        <is>
          <t>Appel d'offres ouvert</t>
        </is>
      </c>
      <c r="E55" s="221" t="inlineStr">
        <is>
          <t>T2</t>
        </is>
      </c>
      <c r="F55" s="224" t="inlineStr">
        <is>
          <t>Rabat</t>
        </is>
      </c>
      <c r="G55" s="224" t="inlineStr">
        <is>
          <t>Non</t>
        </is>
      </c>
      <c r="H55" s="576" t="n">
        <v>500000</v>
      </c>
      <c r="I55" s="224" t="inlineStr">
        <is>
          <t>Fonctionnement</t>
        </is>
      </c>
    </row>
    <row r="56" ht="25.5" customHeight="1" s="392">
      <c r="A56" s="220" t="inlineStr">
        <is>
          <t>Direction Centrale Marketing et Programmation TV</t>
        </is>
      </c>
      <c r="B56" s="220" t="inlineStr">
        <is>
          <t xml:space="preserve">Stratégie Marketing, conseil en communication, exécution et production des campagnes </t>
        </is>
      </c>
      <c r="C56" s="224" t="inlineStr">
        <is>
          <t>Services</t>
        </is>
      </c>
      <c r="D56" s="226" t="inlineStr">
        <is>
          <t>Appel d'offres ouvert</t>
        </is>
      </c>
      <c r="E56" s="221" t="inlineStr">
        <is>
          <t>T4</t>
        </is>
      </c>
      <c r="F56" s="224" t="inlineStr">
        <is>
          <t>Rabat</t>
        </is>
      </c>
      <c r="G56" s="224" t="inlineStr">
        <is>
          <t>Non</t>
        </is>
      </c>
      <c r="H56" s="576" t="n">
        <v>4000000</v>
      </c>
      <c r="I56" s="224" t="inlineStr">
        <is>
          <t>Fonctionnement</t>
        </is>
      </c>
    </row>
    <row r="57" ht="25.5" customHeight="1" s="392">
      <c r="A57" s="230" t="inlineStr">
        <is>
          <t>Direction Centrale Marketing et Programmation TV</t>
        </is>
      </c>
      <c r="B57" s="230" t="inlineStr">
        <is>
          <t>Location de supports d'affichage urbain 4x3 pour la promotion des produits et services de la SNRT</t>
        </is>
      </c>
      <c r="C57" s="231" t="inlineStr">
        <is>
          <t>Services</t>
        </is>
      </c>
      <c r="D57" s="230" t="inlineStr">
        <is>
          <t>Appel d'offres ouvert</t>
        </is>
      </c>
      <c r="E57" s="231" t="inlineStr">
        <is>
          <t>T2</t>
        </is>
      </c>
      <c r="F57" s="231" t="inlineStr">
        <is>
          <t>Rabat</t>
        </is>
      </c>
      <c r="G57" s="231" t="inlineStr">
        <is>
          <t>Non</t>
        </is>
      </c>
      <c r="H57" s="577" t="n">
        <v>11700000</v>
      </c>
      <c r="I57" s="224" t="inlineStr">
        <is>
          <t>Fonctionnement</t>
        </is>
      </c>
    </row>
    <row r="58" ht="25.5" customHeight="1" s="392">
      <c r="A58" s="220" t="inlineStr">
        <is>
          <t>Direction Centrale Marketing et Programmation TV</t>
        </is>
      </c>
      <c r="B58" s="220" t="inlineStr">
        <is>
          <t>Production de spots / films publicitaires pour la promotion des produits et services de la SNRT</t>
        </is>
      </c>
      <c r="C58" s="224" t="inlineStr">
        <is>
          <t>Services</t>
        </is>
      </c>
      <c r="D58" s="226" t="inlineStr">
        <is>
          <t>Appel d'offres ouvert</t>
        </is>
      </c>
      <c r="E58" s="221" t="inlineStr">
        <is>
          <t>T2</t>
        </is>
      </c>
      <c r="F58" s="224" t="inlineStr">
        <is>
          <t>Royaume du 
Maroc</t>
        </is>
      </c>
      <c r="G58" s="224" t="inlineStr">
        <is>
          <t>Non</t>
        </is>
      </c>
      <c r="H58" s="576" t="n">
        <v>2750000</v>
      </c>
      <c r="I58" s="224" t="inlineStr">
        <is>
          <t>Fonctionnement</t>
        </is>
      </c>
    </row>
    <row r="59" ht="25.5" customHeight="1" s="392">
      <c r="A59" s="220" t="inlineStr">
        <is>
          <t>Direction Centrale Marketing et Programmation TV</t>
        </is>
      </c>
      <c r="B59" s="220" t="inlineStr">
        <is>
          <t>Décor  JT Al Aoula , Laayoune, Tamazight
Habillage chaînes SNRT</t>
        </is>
      </c>
      <c r="C59" s="224" t="inlineStr">
        <is>
          <t>Fournitures</t>
        </is>
      </c>
      <c r="D59" s="226" t="inlineStr">
        <is>
          <t>Appel d'offres ouvert</t>
        </is>
      </c>
      <c r="E59" s="221" t="inlineStr">
        <is>
          <t>T2</t>
        </is>
      </c>
      <c r="F59" s="224" t="inlineStr">
        <is>
          <t>Rabat et Laayoune</t>
        </is>
      </c>
      <c r="G59" s="224" t="inlineStr">
        <is>
          <t>Non</t>
        </is>
      </c>
      <c r="H59" s="576" t="n">
        <v>5500000</v>
      </c>
      <c r="I59" s="224" t="inlineStr">
        <is>
          <t>Investissement</t>
        </is>
      </c>
    </row>
    <row r="60" ht="25.5" customHeight="1" s="392">
      <c r="A60" s="220" t="inlineStr">
        <is>
          <t>Direction Centrale Marketing et Programmation TV</t>
        </is>
      </c>
      <c r="B60" s="239" t="inlineStr">
        <is>
          <t xml:space="preserve">Décors virtuels des chaînes de la SNRT </t>
        </is>
      </c>
      <c r="C60" s="240" t="inlineStr">
        <is>
          <t>Services</t>
        </is>
      </c>
      <c r="D60" s="241" t="inlineStr">
        <is>
          <t>Appel d'offres ouvert</t>
        </is>
      </c>
      <c r="E60" s="242" t="inlineStr">
        <is>
          <t>T2</t>
        </is>
      </c>
      <c r="F60" s="240" t="inlineStr">
        <is>
          <t>Rabat/Casablanca</t>
        </is>
      </c>
      <c r="G60" s="240" t="inlineStr">
        <is>
          <t>Non</t>
        </is>
      </c>
      <c r="H60" s="578" t="n">
        <v>2000000</v>
      </c>
      <c r="I60" s="240" t="inlineStr">
        <is>
          <t>Investissement</t>
        </is>
      </c>
    </row>
    <row r="61" ht="25.5" customHeight="1" s="392">
      <c r="A61" s="230" t="inlineStr">
        <is>
          <t xml:space="preserve">Direction du Patrimoine et Moyens Généraux </t>
        </is>
      </c>
      <c r="B61" s="230" t="inlineStr">
        <is>
          <t>Acquisition et installation des caméras dans les locaux de la SNRT y compris serveurs et baie de stockage</t>
        </is>
      </c>
      <c r="C61" s="236" t="inlineStr">
        <is>
          <t>Fournitures</t>
        </is>
      </c>
      <c r="D61" s="243" t="inlineStr">
        <is>
          <t>Appel d'offres ouvert</t>
        </is>
      </c>
      <c r="E61" s="231" t="inlineStr">
        <is>
          <t>T1-T2</t>
        </is>
      </c>
      <c r="F61" s="231" t="inlineStr">
        <is>
          <t>Annexes SNRT</t>
        </is>
      </c>
      <c r="G61" s="231" t="inlineStr">
        <is>
          <t>Oui</t>
        </is>
      </c>
      <c r="H61" s="233" t="n">
        <v>6838480</v>
      </c>
      <c r="I61" s="224" t="inlineStr">
        <is>
          <t>Investissement</t>
        </is>
      </c>
    </row>
    <row r="62" ht="25.5" customHeight="1" s="392">
      <c r="A62" s="220" t="inlineStr">
        <is>
          <t xml:space="preserve">Direction du Patrimoine et Moyens Généraux </t>
        </is>
      </c>
      <c r="B62" s="220" t="inlineStr">
        <is>
          <t>Travaux d'aménagement des locaux d'archive TV de la SNRT  à Témara.</t>
        </is>
      </c>
      <c r="C62" s="244" t="inlineStr">
        <is>
          <t>Travaux</t>
        </is>
      </c>
      <c r="D62" s="245" t="inlineStr">
        <is>
          <t>Appel d'offres ouvert</t>
        </is>
      </c>
      <c r="E62" s="221" t="inlineStr">
        <is>
          <t>T2</t>
        </is>
      </c>
      <c r="F62" s="221" t="inlineStr">
        <is>
          <t xml:space="preserve">Rabat </t>
        </is>
      </c>
      <c r="G62" s="221" t="inlineStr">
        <is>
          <t>Oui</t>
        </is>
      </c>
      <c r="H62" s="223" t="n">
        <v>600000</v>
      </c>
      <c r="I62" s="224" t="inlineStr">
        <is>
          <t>Investissement</t>
        </is>
      </c>
    </row>
    <row r="63" ht="25.5" customHeight="1" s="392">
      <c r="A63" s="220" t="inlineStr">
        <is>
          <t xml:space="preserve">Direction du Patrimoine et Moyens Généraux </t>
        </is>
      </c>
      <c r="B63" s="220" t="inlineStr">
        <is>
          <t>Travaux d'aménagement des  locaux de la SNRT  à Rabat.</t>
        </is>
      </c>
      <c r="C63" s="244" t="inlineStr">
        <is>
          <t>Travaux</t>
        </is>
      </c>
      <c r="D63" s="245" t="inlineStr">
        <is>
          <t>Appel d'offres ouvert</t>
        </is>
      </c>
      <c r="E63" s="221" t="inlineStr">
        <is>
          <t>T3</t>
        </is>
      </c>
      <c r="F63" s="221" t="inlineStr">
        <is>
          <t xml:space="preserve">Rabat </t>
        </is>
      </c>
      <c r="G63" s="221" t="inlineStr">
        <is>
          <t>Oui</t>
        </is>
      </c>
      <c r="H63" s="223" t="n">
        <v>3000000</v>
      </c>
      <c r="I63" s="224" t="inlineStr">
        <is>
          <t>Investissement</t>
        </is>
      </c>
    </row>
    <row r="64" ht="25.5" customHeight="1" s="392">
      <c r="A64" s="220" t="inlineStr">
        <is>
          <t xml:space="preserve">Direction du Patrimoine et Moyens Généraux </t>
        </is>
      </c>
      <c r="B64" s="220" t="inlineStr">
        <is>
          <t>Travaux d'aménagement de la station régionale Radio de Marrakech</t>
        </is>
      </c>
      <c r="C64" s="244" t="inlineStr">
        <is>
          <t>Travaux</t>
        </is>
      </c>
      <c r="D64" s="245" t="inlineStr">
        <is>
          <t>Appel d'offres ouvert</t>
        </is>
      </c>
      <c r="E64" s="221" t="inlineStr">
        <is>
          <t>T2</t>
        </is>
      </c>
      <c r="F64" s="221" t="inlineStr">
        <is>
          <t>Marrakech</t>
        </is>
      </c>
      <c r="G64" s="221" t="inlineStr">
        <is>
          <t>Oui</t>
        </is>
      </c>
      <c r="H64" s="223" t="n">
        <v>1400000</v>
      </c>
      <c r="I64" s="224" t="inlineStr">
        <is>
          <t>Investissement</t>
        </is>
      </c>
    </row>
    <row r="65" ht="25.5" customHeight="1" s="392">
      <c r="A65" s="220" t="inlineStr">
        <is>
          <t xml:space="preserve">Direction du Patrimoine et Moyens Généraux </t>
        </is>
      </c>
      <c r="B65" s="220" t="inlineStr">
        <is>
          <t>Travaux d'aménagement de la station régionale Radio d'AL Houceima</t>
        </is>
      </c>
      <c r="C65" s="244" t="inlineStr">
        <is>
          <t>Travaux</t>
        </is>
      </c>
      <c r="D65" s="245" t="inlineStr">
        <is>
          <t>Appel d'offres ouvert</t>
        </is>
      </c>
      <c r="E65" s="221" t="inlineStr">
        <is>
          <t>T3</t>
        </is>
      </c>
      <c r="F65" s="221" t="inlineStr">
        <is>
          <t>Al Houceima</t>
        </is>
      </c>
      <c r="G65" s="221" t="inlineStr">
        <is>
          <t>Oui</t>
        </is>
      </c>
      <c r="H65" s="223" t="n">
        <v>800000</v>
      </c>
      <c r="I65" s="224" t="inlineStr">
        <is>
          <t>Investissement</t>
        </is>
      </c>
    </row>
    <row r="66" ht="25.5" customHeight="1" s="392">
      <c r="A66" s="220" t="inlineStr">
        <is>
          <t xml:space="preserve">Direction du Patrimoine et Moyens Généraux </t>
        </is>
      </c>
      <c r="B66" s="220" t="inlineStr">
        <is>
          <t>Travaux d'aménagement de la station régionale Radio de Tetouane,</t>
        </is>
      </c>
      <c r="C66" s="244" t="inlineStr">
        <is>
          <t>Travaux</t>
        </is>
      </c>
      <c r="D66" s="245" t="inlineStr">
        <is>
          <t>Appel d'offres ouvert</t>
        </is>
      </c>
      <c r="E66" s="221" t="inlineStr">
        <is>
          <t>T2</t>
        </is>
      </c>
      <c r="F66" s="221" t="inlineStr">
        <is>
          <t>Al Houceima</t>
        </is>
      </c>
      <c r="G66" s="221" t="inlineStr">
        <is>
          <t>Oui</t>
        </is>
      </c>
      <c r="H66" s="223" t="n">
        <v>1000000</v>
      </c>
      <c r="I66" s="224" t="inlineStr">
        <is>
          <t>Investissement</t>
        </is>
      </c>
    </row>
    <row r="67" ht="25.5" customHeight="1" s="392">
      <c r="A67" s="220" t="inlineStr">
        <is>
          <t xml:space="preserve">Direction du Patrimoine et Moyens Généraux </t>
        </is>
      </c>
      <c r="B67" s="239" t="inlineStr">
        <is>
          <t>Travaux d'installation électrique au bâtiment administratif de la SNRT à Rabat</t>
        </is>
      </c>
      <c r="C67" s="244" t="inlineStr">
        <is>
          <t>Travaux</t>
        </is>
      </c>
      <c r="D67" s="245" t="inlineStr">
        <is>
          <t>Appel d'offres ouvert</t>
        </is>
      </c>
      <c r="E67" s="221" t="inlineStr">
        <is>
          <t>T2</t>
        </is>
      </c>
      <c r="F67" s="221" t="inlineStr">
        <is>
          <t xml:space="preserve">Rabat </t>
        </is>
      </c>
      <c r="G67" s="221" t="inlineStr">
        <is>
          <t>Non</t>
        </is>
      </c>
      <c r="H67" s="223" t="n">
        <v>450000</v>
      </c>
      <c r="I67" s="224" t="inlineStr">
        <is>
          <t>Investissement</t>
        </is>
      </c>
    </row>
    <row r="68" ht="25.5" customHeight="1" s="392">
      <c r="A68" s="220" t="inlineStr">
        <is>
          <t xml:space="preserve">Direction du Patrimoine et Moyens Généraux </t>
        </is>
      </c>
      <c r="B68" s="220" t="inlineStr">
        <is>
          <t>Travaux de plomberie au niveau des locaux de la SNRT Rabat</t>
        </is>
      </c>
      <c r="C68" s="244" t="inlineStr">
        <is>
          <t>Travaux</t>
        </is>
      </c>
      <c r="D68" s="245" t="inlineStr">
        <is>
          <t>Appel d'offres ouvert</t>
        </is>
      </c>
      <c r="E68" s="221" t="inlineStr">
        <is>
          <t>T3</t>
        </is>
      </c>
      <c r="F68" s="221" t="inlineStr">
        <is>
          <t xml:space="preserve">Rabat </t>
        </is>
      </c>
      <c r="G68" s="221" t="inlineStr">
        <is>
          <t>Oui</t>
        </is>
      </c>
      <c r="H68" s="223" t="n">
        <v>600000</v>
      </c>
      <c r="I68" s="224" t="inlineStr">
        <is>
          <t>Investissement</t>
        </is>
      </c>
    </row>
    <row r="69" ht="25.5" customHeight="1" s="392">
      <c r="A69" s="220" t="inlineStr">
        <is>
          <t xml:space="preserve">Direction du Patrimoine et Moyens Généraux </t>
        </is>
      </c>
      <c r="B69" s="220" t="inlineStr">
        <is>
          <t xml:space="preserve">Peinture extérieure pour les façades des bâtiments de la SNRT à Rabat. </t>
        </is>
      </c>
      <c r="C69" s="244" t="inlineStr">
        <is>
          <t>Travaux</t>
        </is>
      </c>
      <c r="D69" s="245" t="inlineStr">
        <is>
          <t>Appel d'offres ouvert</t>
        </is>
      </c>
      <c r="E69" s="221" t="inlineStr">
        <is>
          <t>T2</t>
        </is>
      </c>
      <c r="F69" s="221" t="inlineStr">
        <is>
          <t xml:space="preserve">Rabat </t>
        </is>
      </c>
      <c r="G69" s="221" t="inlineStr">
        <is>
          <t>Oui</t>
        </is>
      </c>
      <c r="H69" s="223" t="n">
        <v>650000</v>
      </c>
      <c r="I69" s="224" t="inlineStr">
        <is>
          <t>Investissement</t>
        </is>
      </c>
    </row>
    <row r="70" ht="25.5" customHeight="1" s="392">
      <c r="A70" s="220" t="inlineStr">
        <is>
          <t xml:space="preserve">Direction du Patrimoine et Moyens Généraux </t>
        </is>
      </c>
      <c r="B70" s="220" t="inlineStr">
        <is>
          <t>Aménagement des locaux Techniques (salles machines) des stations régionales radio de la SNRT.</t>
        </is>
      </c>
      <c r="C70" s="244" t="inlineStr">
        <is>
          <t>Travaux</t>
        </is>
      </c>
      <c r="D70" s="245" t="inlineStr">
        <is>
          <t>Appel d'offres ouvert</t>
        </is>
      </c>
      <c r="E70" s="221" t="inlineStr">
        <is>
          <t>T2</t>
        </is>
      </c>
      <c r="F70" s="221" t="inlineStr">
        <is>
          <t>Stations régionales Radio</t>
        </is>
      </c>
      <c r="G70" s="221" t="inlineStr">
        <is>
          <t>Non</t>
        </is>
      </c>
      <c r="H70" s="223" t="n">
        <v>1000000</v>
      </c>
      <c r="I70" s="224" t="inlineStr">
        <is>
          <t>Investissement</t>
        </is>
      </c>
    </row>
    <row r="71" ht="38.25" customHeight="1" s="392">
      <c r="A71" s="220" t="inlineStr">
        <is>
          <t xml:space="preserve">Direction du Patrimoine et Moyens Généraux </t>
        </is>
      </c>
      <c r="B71" s="220" t="inlineStr">
        <is>
          <t xml:space="preserve">Acquisition et installation de climatiseurs au niveau des locaux techniques des stations regionales radio.
</t>
        </is>
      </c>
      <c r="C71" s="244" t="inlineStr">
        <is>
          <t>Travaux</t>
        </is>
      </c>
      <c r="D71" s="245" t="inlineStr">
        <is>
          <t>Appel d'offres ouvert</t>
        </is>
      </c>
      <c r="E71" s="221" t="inlineStr">
        <is>
          <t>T2</t>
        </is>
      </c>
      <c r="F71" s="221" t="inlineStr">
        <is>
          <t>Stations régionales Radio</t>
        </is>
      </c>
      <c r="G71" s="221" t="inlineStr">
        <is>
          <t>Non</t>
        </is>
      </c>
      <c r="H71" s="223" t="n">
        <v>2420000</v>
      </c>
      <c r="I71" s="224" t="inlineStr">
        <is>
          <t>Investissement</t>
        </is>
      </c>
    </row>
    <row r="72" ht="25.5" customHeight="1" s="392">
      <c r="A72" s="220" t="inlineStr">
        <is>
          <t xml:space="preserve">Direction du Patrimoine et Moyens Généraux </t>
        </is>
      </c>
      <c r="B72" s="220" t="inlineStr">
        <is>
          <t>Etanchéité des terrasses des locaux de la SNRT à Rabat et Casablanca.</t>
        </is>
      </c>
      <c r="C72" s="244" t="inlineStr">
        <is>
          <t>Travaux</t>
        </is>
      </c>
      <c r="D72" s="245" t="inlineStr">
        <is>
          <t>Appel d'offres ouvert</t>
        </is>
      </c>
      <c r="E72" s="221" t="inlineStr">
        <is>
          <t>T2</t>
        </is>
      </c>
      <c r="F72" s="221" t="inlineStr">
        <is>
          <t>Rabat et Casablanca</t>
        </is>
      </c>
      <c r="G72" s="221" t="inlineStr">
        <is>
          <t>Oui</t>
        </is>
      </c>
      <c r="H72" s="223" t="n">
        <v>400000</v>
      </c>
      <c r="I72" s="224" t="inlineStr">
        <is>
          <t>Investissement</t>
        </is>
      </c>
    </row>
    <row r="73" ht="25.5" customHeight="1" s="392">
      <c r="A73" s="220" t="inlineStr">
        <is>
          <t xml:space="preserve">Direction du Patrimoine et Moyens Généraux </t>
        </is>
      </c>
      <c r="B73" s="220" t="inlineStr">
        <is>
          <t>Aménagement du studio virtuel de la station TV Laayoune.</t>
        </is>
      </c>
      <c r="C73" s="244" t="inlineStr">
        <is>
          <t>Travaux</t>
        </is>
      </c>
      <c r="D73" s="245" t="inlineStr">
        <is>
          <t>Appel d'offres ouvert</t>
        </is>
      </c>
      <c r="E73" s="221" t="inlineStr">
        <is>
          <t>T3</t>
        </is>
      </c>
      <c r="F73" s="221" t="inlineStr">
        <is>
          <t>Laayoune</t>
        </is>
      </c>
      <c r="G73" s="221" t="inlineStr">
        <is>
          <t>Non</t>
        </is>
      </c>
      <c r="H73" s="223" t="n">
        <v>1000000</v>
      </c>
      <c r="I73" s="224" t="inlineStr">
        <is>
          <t>Investissement</t>
        </is>
      </c>
    </row>
    <row r="74" ht="25.5" customHeight="1" s="392">
      <c r="A74" s="230" t="inlineStr">
        <is>
          <t xml:space="preserve">Direction du Patrimoine et Moyens Généraux </t>
        </is>
      </c>
      <c r="B74" s="230" t="inlineStr">
        <is>
          <t xml:space="preserve">Prestations de désherbage. </t>
        </is>
      </c>
      <c r="C74" s="236" t="inlineStr">
        <is>
          <t>Services</t>
        </is>
      </c>
      <c r="D74" s="243" t="inlineStr">
        <is>
          <t>Appel d'offres ouvert</t>
        </is>
      </c>
      <c r="E74" s="231" t="inlineStr">
        <is>
          <t>T1</t>
        </is>
      </c>
      <c r="F74" s="231" t="inlineStr">
        <is>
          <t>Rabat Temara casablanca</t>
        </is>
      </c>
      <c r="G74" s="231" t="inlineStr">
        <is>
          <t>Oui</t>
        </is>
      </c>
      <c r="H74" s="233" t="n">
        <v>400000</v>
      </c>
      <c r="I74" s="224" t="inlineStr">
        <is>
          <t>Fonctionnement</t>
        </is>
      </c>
    </row>
    <row r="75" ht="25.5" customHeight="1" s="392">
      <c r="A75" s="220" t="inlineStr">
        <is>
          <t xml:space="preserve">Direction du Patrimoine et Moyens Généraux </t>
        </is>
      </c>
      <c r="B75" s="220" t="inlineStr">
        <is>
          <t>Maintenance des ascenseurs.</t>
        </is>
      </c>
      <c r="C75" s="244" t="inlineStr">
        <is>
          <t>Services</t>
        </is>
      </c>
      <c r="D75" s="245" t="inlineStr">
        <is>
          <t>Appel d'offres ouvert</t>
        </is>
      </c>
      <c r="E75" s="221" t="inlineStr">
        <is>
          <t>T4</t>
        </is>
      </c>
      <c r="F75" s="221" t="inlineStr">
        <is>
          <t>Rabat- Casablanca</t>
        </is>
      </c>
      <c r="G75" s="221" t="inlineStr">
        <is>
          <t>Non</t>
        </is>
      </c>
      <c r="H75" s="223" t="n">
        <v>200000</v>
      </c>
      <c r="I75" s="224" t="inlineStr">
        <is>
          <t>Fonctionnement</t>
        </is>
      </c>
    </row>
    <row r="76" ht="25.5" customHeight="1" s="392">
      <c r="A76" s="220" t="inlineStr">
        <is>
          <t xml:space="preserve">Direction du Patrimoine et Moyens Généraux </t>
        </is>
      </c>
      <c r="B76" s="220" t="inlineStr">
        <is>
          <t>Maintenance des extincteurs.</t>
        </is>
      </c>
      <c r="C76" s="244" t="inlineStr">
        <is>
          <t>Services</t>
        </is>
      </c>
      <c r="D76" s="245" t="inlineStr">
        <is>
          <t>Appel d'offres ouvert</t>
        </is>
      </c>
      <c r="E76" s="221" t="inlineStr">
        <is>
          <t>T4</t>
        </is>
      </c>
      <c r="F76" s="221" t="inlineStr">
        <is>
          <t>Anexes SNRT</t>
        </is>
      </c>
      <c r="G76" s="221" t="inlineStr">
        <is>
          <t>Oui</t>
        </is>
      </c>
      <c r="H76" s="223" t="n">
        <v>150000</v>
      </c>
      <c r="I76" s="224" t="inlineStr">
        <is>
          <t>Fonctionnement</t>
        </is>
      </c>
    </row>
    <row r="77" ht="25.5" customHeight="1" s="392">
      <c r="A77" s="230" t="inlineStr">
        <is>
          <t xml:space="preserve">Direction du Patrimoine et Moyens Généraux </t>
        </is>
      </c>
      <c r="B77" s="230" t="inlineStr">
        <is>
          <t>Maintenance des onduleurs.</t>
        </is>
      </c>
      <c r="C77" s="236" t="inlineStr">
        <is>
          <t>Services</t>
        </is>
      </c>
      <c r="D77" s="243" t="inlineStr">
        <is>
          <t>Appel d'offres ouvert</t>
        </is>
      </c>
      <c r="E77" s="231" t="inlineStr">
        <is>
          <t>T2</t>
        </is>
      </c>
      <c r="F77" s="231" t="inlineStr">
        <is>
          <t>Rabat et Casablanca</t>
        </is>
      </c>
      <c r="G77" s="231" t="inlineStr">
        <is>
          <t>Non</t>
        </is>
      </c>
      <c r="H77" s="233" t="n">
        <v>600000</v>
      </c>
      <c r="I77" s="224" t="inlineStr">
        <is>
          <t>Fonctionnement</t>
        </is>
      </c>
    </row>
    <row r="78" ht="38.25" customHeight="1" s="392">
      <c r="A78" s="220" t="inlineStr">
        <is>
          <t xml:space="preserve">Direction du Patrimoine et Moyens Généraux </t>
        </is>
      </c>
      <c r="B78" s="220" t="inlineStr">
        <is>
          <t xml:space="preserve">Maintenance des installations de détection et d'extinction automatique d'incendie .
</t>
        </is>
      </c>
      <c r="C78" s="244" t="inlineStr">
        <is>
          <t>Services</t>
        </is>
      </c>
      <c r="D78" s="245" t="inlineStr">
        <is>
          <t>Appel d'offres ouvert</t>
        </is>
      </c>
      <c r="E78" s="221" t="inlineStr">
        <is>
          <t>T2</t>
        </is>
      </c>
      <c r="F78" s="221" t="inlineStr">
        <is>
          <t>Rabat et Casablanca</t>
        </is>
      </c>
      <c r="G78" s="221" t="inlineStr">
        <is>
          <t>Oui</t>
        </is>
      </c>
      <c r="H78" s="223" t="n">
        <v>650000</v>
      </c>
      <c r="I78" s="224" t="inlineStr">
        <is>
          <t>Fonctionnement</t>
        </is>
      </c>
    </row>
    <row r="79" ht="25.5" customHeight="1" s="392">
      <c r="A79" s="230" t="inlineStr">
        <is>
          <t xml:space="preserve">Direction du Patrimoine et Moyens Généraux </t>
        </is>
      </c>
      <c r="B79" s="230" t="inlineStr">
        <is>
          <t xml:space="preserve">Maintenance des installations de climatisation: 
 Rabat Casablanca </t>
        </is>
      </c>
      <c r="C79" s="236" t="inlineStr">
        <is>
          <t>Services</t>
        </is>
      </c>
      <c r="D79" s="243" t="inlineStr">
        <is>
          <t>Appel d'offres ouvert</t>
        </is>
      </c>
      <c r="E79" s="231" t="inlineStr">
        <is>
          <t>T2</t>
        </is>
      </c>
      <c r="F79" s="231" t="inlineStr">
        <is>
          <t>Anexes SNRT</t>
        </is>
      </c>
      <c r="G79" s="231" t="inlineStr">
        <is>
          <t>Non</t>
        </is>
      </c>
      <c r="H79" s="233" t="n">
        <v>590000</v>
      </c>
      <c r="I79" s="224" t="inlineStr">
        <is>
          <t>Fonctionnement</t>
        </is>
      </c>
    </row>
    <row r="80" ht="25.5" customHeight="1" s="392">
      <c r="A80" s="220" t="inlineStr">
        <is>
          <t xml:space="preserve">Direction du Patrimoine et Moyens Généraux </t>
        </is>
      </c>
      <c r="B80" s="220" t="inlineStr">
        <is>
          <t>Mise à jour de la solution de pointage et de contrôle d'accès</t>
        </is>
      </c>
      <c r="C80" s="244" t="inlineStr">
        <is>
          <t>Services</t>
        </is>
      </c>
      <c r="D80" s="245" t="inlineStr">
        <is>
          <t>Appel d'offres ouvert</t>
        </is>
      </c>
      <c r="E80" s="221" t="inlineStr">
        <is>
          <t>T3</t>
        </is>
      </c>
      <c r="F80" s="221" t="inlineStr">
        <is>
          <t>Rabat, Casablanca et Laayoune</t>
        </is>
      </c>
      <c r="G80" s="221" t="inlineStr">
        <is>
          <t>Non</t>
        </is>
      </c>
      <c r="H80" s="223" t="n">
        <v>500000</v>
      </c>
      <c r="I80" s="224" t="inlineStr">
        <is>
          <t>Fonctionnement</t>
        </is>
      </c>
    </row>
    <row r="81" ht="25.5" customHeight="1" s="392">
      <c r="A81" s="220" t="inlineStr">
        <is>
          <t xml:space="preserve">Direction du Patrimoine et Moyens Généraux </t>
        </is>
      </c>
      <c r="B81" s="220" t="inlineStr">
        <is>
          <t>Fourniture Matériel Electrique Siége et Annexes</t>
        </is>
      </c>
      <c r="C81" s="244" t="inlineStr">
        <is>
          <t>Fournitures</t>
        </is>
      </c>
      <c r="D81" s="245" t="inlineStr">
        <is>
          <t>Appel d'offres ouvert</t>
        </is>
      </c>
      <c r="E81" s="221" t="inlineStr">
        <is>
          <t>T3</t>
        </is>
      </c>
      <c r="F81" s="221" t="inlineStr">
        <is>
          <t>Anexes SNRT</t>
        </is>
      </c>
      <c r="G81" s="221" t="inlineStr">
        <is>
          <t>Oui</t>
        </is>
      </c>
      <c r="H81" s="223" t="n">
        <v>200000</v>
      </c>
      <c r="I81" s="224" t="inlineStr">
        <is>
          <t>Fonctionnement</t>
        </is>
      </c>
    </row>
    <row r="82" ht="25.5" customHeight="1" s="392">
      <c r="A82" s="220" t="inlineStr">
        <is>
          <t xml:space="preserve">Direction du Patrimoine et Moyens Généraux </t>
        </is>
      </c>
      <c r="B82" s="220" t="inlineStr">
        <is>
          <t>Installation extracteurs et détection incendie locaux Archives Finances et Achats</t>
        </is>
      </c>
      <c r="C82" s="244" t="inlineStr">
        <is>
          <t>Fournitures</t>
        </is>
      </c>
      <c r="D82" s="245" t="inlineStr">
        <is>
          <t>Appel d'offres ouvert</t>
        </is>
      </c>
      <c r="E82" s="221" t="inlineStr">
        <is>
          <t>T2</t>
        </is>
      </c>
      <c r="F82" s="221" t="inlineStr">
        <is>
          <t>Rabat</t>
        </is>
      </c>
      <c r="G82" s="221" t="inlineStr">
        <is>
          <t>Oui</t>
        </is>
      </c>
      <c r="H82" s="223" t="n">
        <v>800000</v>
      </c>
      <c r="I82" s="224" t="inlineStr">
        <is>
          <t>Investissement</t>
        </is>
      </c>
    </row>
    <row r="83" ht="25.5" customHeight="1" s="392">
      <c r="A83" s="220" t="inlineStr">
        <is>
          <t xml:space="preserve">Direction du Patrimoine et Moyens Généraux </t>
        </is>
      </c>
      <c r="B83" s="220" t="inlineStr">
        <is>
          <t xml:space="preserve">Acquisition de climatiseurs </t>
        </is>
      </c>
      <c r="C83" s="244" t="inlineStr">
        <is>
          <t>Fournitures</t>
        </is>
      </c>
      <c r="D83" s="245" t="inlineStr">
        <is>
          <t>Appel d'offres ouvert</t>
        </is>
      </c>
      <c r="E83" s="221" t="inlineStr">
        <is>
          <t>T3</t>
        </is>
      </c>
      <c r="F83" s="221" t="inlineStr">
        <is>
          <t>Anexes SNRT</t>
        </is>
      </c>
      <c r="G83" s="221" t="inlineStr">
        <is>
          <t>Oui</t>
        </is>
      </c>
      <c r="H83" s="223" t="n">
        <v>1500000</v>
      </c>
      <c r="I83" s="224" t="inlineStr">
        <is>
          <t>Investissement</t>
        </is>
      </c>
    </row>
    <row r="84" ht="25.5" customHeight="1" s="392">
      <c r="A84" s="220" t="inlineStr">
        <is>
          <t xml:space="preserve">Direction du Patrimoine et Moyens Généraux </t>
        </is>
      </c>
      <c r="B84" s="220" t="inlineStr">
        <is>
          <t xml:space="preserve">Travaux d'aménagement de la régie et du Studio N°5 de la  Radio </t>
        </is>
      </c>
      <c r="C84" s="244" t="inlineStr">
        <is>
          <t>Travaux</t>
        </is>
      </c>
      <c r="D84" s="245" t="inlineStr">
        <is>
          <t>Appel d'offres ouvert</t>
        </is>
      </c>
      <c r="E84" s="221" t="inlineStr">
        <is>
          <t>T3</t>
        </is>
      </c>
      <c r="F84" s="221" t="inlineStr">
        <is>
          <t>Rabat</t>
        </is>
      </c>
      <c r="G84" s="221" t="inlineStr">
        <is>
          <t>Non</t>
        </is>
      </c>
      <c r="H84" s="223" t="n">
        <v>800000</v>
      </c>
      <c r="I84" s="224" t="inlineStr">
        <is>
          <t>Investissement</t>
        </is>
      </c>
    </row>
    <row r="85" ht="45" customHeight="1" s="392">
      <c r="A85" s="220" t="inlineStr">
        <is>
          <t xml:space="preserve">Direction du Patrimoine et Moyens Généraux </t>
        </is>
      </c>
      <c r="B85" s="220" t="inlineStr">
        <is>
          <t>Acquisition et travaux d'installation de deux ascenseurs aux bâtiments  de la Radio SNRT-Rabat et de Radio-TV coranique Assadissa</t>
        </is>
      </c>
      <c r="C85" s="244" t="inlineStr">
        <is>
          <t>Travaux</t>
        </is>
      </c>
      <c r="D85" s="245" t="inlineStr">
        <is>
          <t>Appel d'offres ouvert</t>
        </is>
      </c>
      <c r="E85" s="221" t="inlineStr">
        <is>
          <t>T2</t>
        </is>
      </c>
      <c r="F85" s="221" t="inlineStr">
        <is>
          <t>Rabat</t>
        </is>
      </c>
      <c r="G85" s="221" t="inlineStr">
        <is>
          <t>Oui</t>
        </is>
      </c>
      <c r="H85" s="246" t="n">
        <v>1076000</v>
      </c>
      <c r="I85" s="247" t="inlineStr">
        <is>
          <t>Investissement</t>
        </is>
      </c>
    </row>
    <row r="86" ht="38.25" customHeight="1" s="392">
      <c r="A86" s="230" t="inlineStr">
        <is>
          <t xml:space="preserve">Direction du Patrimoine et Moyens Généraux </t>
        </is>
      </c>
      <c r="B86" s="230" t="inlineStr">
        <is>
          <t xml:space="preserve"> la location de longue durée à la SNRT de véhicules neufs sans option d'achat  ainsi que les prestations qui lui sont accessoires et complémentaire</t>
        </is>
      </c>
      <c r="C86" s="236" t="inlineStr">
        <is>
          <t>Services</t>
        </is>
      </c>
      <c r="D86" s="243" t="inlineStr">
        <is>
          <t>Appel d'offres ouvert</t>
        </is>
      </c>
      <c r="E86" s="231" t="inlineStr">
        <is>
          <t>T1</t>
        </is>
      </c>
      <c r="F86" s="231" t="inlineStr">
        <is>
          <t>Rabat</t>
        </is>
      </c>
      <c r="G86" s="231" t="inlineStr">
        <is>
          <t>Non</t>
        </is>
      </c>
      <c r="H86" s="233" t="n">
        <v>8234049.6</v>
      </c>
      <c r="I86" s="224" t="inlineStr">
        <is>
          <t>Fonctionnement</t>
        </is>
      </c>
    </row>
    <row r="87" ht="35.25" customHeight="1" s="392">
      <c r="A87" s="230" t="inlineStr">
        <is>
          <t xml:space="preserve">Direction du Patrimoine et Moyens Généraux </t>
        </is>
      </c>
      <c r="B87" s="230" t="inlineStr">
        <is>
          <t xml:space="preserve">Acquisition  de mobilier de bureau </t>
        </is>
      </c>
      <c r="C87" s="236" t="inlineStr">
        <is>
          <t>Fournitures</t>
        </is>
      </c>
      <c r="D87" s="243" t="inlineStr">
        <is>
          <t>Appel d'offres ouvert</t>
        </is>
      </c>
      <c r="E87" s="231" t="inlineStr">
        <is>
          <t>T2</t>
        </is>
      </c>
      <c r="F87" s="231" t="inlineStr">
        <is>
          <t>Rabat</t>
        </is>
      </c>
      <c r="G87" s="231" t="inlineStr">
        <is>
          <t>Non</t>
        </is>
      </c>
      <c r="H87" s="233" t="n">
        <v>2000000</v>
      </c>
      <c r="I87" s="224" t="inlineStr">
        <is>
          <t>Investissement</t>
        </is>
      </c>
    </row>
    <row r="88" ht="25.5" customHeight="1" s="392">
      <c r="A88" s="230" t="inlineStr">
        <is>
          <t xml:space="preserve">Direction du Patrimoine et Moyens Généraux </t>
        </is>
      </c>
      <c r="B88" s="230" t="inlineStr">
        <is>
          <t xml:space="preserve">Acquisition de Matériel de Bureau (photocopieurs, Fax, Destructeur Tonners et drums ) </t>
        </is>
      </c>
      <c r="C88" s="236" t="inlineStr">
        <is>
          <t>Fournitures</t>
        </is>
      </c>
      <c r="D88" s="243" t="inlineStr">
        <is>
          <t>Appel d'offres ouvert</t>
        </is>
      </c>
      <c r="E88" s="231" t="inlineStr">
        <is>
          <t>T1-T4</t>
        </is>
      </c>
      <c r="F88" s="231" t="inlineStr">
        <is>
          <t>Rabat</t>
        </is>
      </c>
      <c r="G88" s="231" t="inlineStr">
        <is>
          <t>Oui</t>
        </is>
      </c>
      <c r="H88" s="233" t="n">
        <v>2028592</v>
      </c>
      <c r="I88" s="224" t="inlineStr">
        <is>
          <t>Investissement</t>
        </is>
      </c>
    </row>
    <row r="89" ht="25.5" customHeight="1" s="392">
      <c r="A89" s="230" t="inlineStr">
        <is>
          <t xml:space="preserve">Direction du Patrimoine et Moyens Généraux </t>
        </is>
      </c>
      <c r="B89" s="230" t="inlineStr">
        <is>
          <t xml:space="preserve">Achat Fournitures de Bureau </t>
        </is>
      </c>
      <c r="C89" s="236" t="inlineStr">
        <is>
          <t>Fournitures</t>
        </is>
      </c>
      <c r="D89" s="243" t="inlineStr">
        <is>
          <t>Appel d'offres ouvert</t>
        </is>
      </c>
      <c r="E89" s="231" t="inlineStr">
        <is>
          <t>T1</t>
        </is>
      </c>
      <c r="F89" s="231" t="inlineStr">
        <is>
          <t>Rabat</t>
        </is>
      </c>
      <c r="G89" s="231" t="inlineStr">
        <is>
          <t>Oui</t>
        </is>
      </c>
      <c r="H89" s="233" t="n">
        <v>300000</v>
      </c>
      <c r="I89" s="224" t="inlineStr">
        <is>
          <t>Fonctionnement</t>
        </is>
      </c>
    </row>
    <row r="90" ht="25.5" customHeight="1" s="392">
      <c r="A90" s="230" t="inlineStr">
        <is>
          <t xml:space="preserve">Direction du Patrimoine et Moyens Généraux </t>
        </is>
      </c>
      <c r="B90" s="230" t="inlineStr">
        <is>
          <t xml:space="preserve">Achat Papier Fort A4
</t>
        </is>
      </c>
      <c r="C90" s="236" t="inlineStr">
        <is>
          <t>Fournitures</t>
        </is>
      </c>
      <c r="D90" s="243" t="inlineStr">
        <is>
          <t>Appel d'offres ouvert</t>
        </is>
      </c>
      <c r="E90" s="231" t="inlineStr">
        <is>
          <t>T1</t>
        </is>
      </c>
      <c r="F90" s="231" t="inlineStr">
        <is>
          <t>Rabat</t>
        </is>
      </c>
      <c r="G90" s="231" t="inlineStr">
        <is>
          <t>Oui</t>
        </is>
      </c>
      <c r="H90" s="233" t="n">
        <v>3000000</v>
      </c>
      <c r="I90" s="224" t="inlineStr">
        <is>
          <t>Fonctionnement</t>
        </is>
      </c>
    </row>
    <row r="91" ht="41.25" customHeight="1" s="392">
      <c r="A91" s="220" t="inlineStr">
        <is>
          <t xml:space="preserve">Direction du Patrimoine et Moyens Généraux </t>
        </is>
      </c>
      <c r="B91" s="220" t="inlineStr">
        <is>
          <t xml:space="preserve"> Inventaire physique et fiabilisation du fichier comptable des immobilisations de la SNRT,
</t>
        </is>
      </c>
      <c r="C91" s="244" t="inlineStr">
        <is>
          <t>Services</t>
        </is>
      </c>
      <c r="D91" s="245" t="inlineStr">
        <is>
          <t>Appel d'offres ouvert</t>
        </is>
      </c>
      <c r="E91" s="221" t="inlineStr">
        <is>
          <t>T2</t>
        </is>
      </c>
      <c r="F91" s="221" t="inlineStr">
        <is>
          <t>Sites de la SNRT</t>
        </is>
      </c>
      <c r="G91" s="221" t="inlineStr">
        <is>
          <t>Non</t>
        </is>
      </c>
      <c r="H91" s="223" t="n">
        <v>3000000</v>
      </c>
      <c r="I91" s="224" t="inlineStr">
        <is>
          <t>Fonctionnement</t>
        </is>
      </c>
    </row>
    <row r="92" ht="29.25" customHeight="1" s="392">
      <c r="A92" s="220" t="inlineStr">
        <is>
          <t xml:space="preserve">Direction du Patrimoine et Moyens Généraux </t>
        </is>
      </c>
      <c r="B92" s="220" t="inlineStr">
        <is>
          <t>Extension de l'abri des cars régies à Témara</t>
        </is>
      </c>
      <c r="C92" s="244" t="inlineStr">
        <is>
          <t>Travaux</t>
        </is>
      </c>
      <c r="D92" s="245" t="inlineStr">
        <is>
          <t>Appel d'offres ouvert</t>
        </is>
      </c>
      <c r="E92" s="221" t="inlineStr">
        <is>
          <t>T2</t>
        </is>
      </c>
      <c r="F92" s="221" t="inlineStr">
        <is>
          <t>Témara</t>
        </is>
      </c>
      <c r="G92" s="221" t="inlineStr">
        <is>
          <t>Oui</t>
        </is>
      </c>
      <c r="H92" s="223" t="n">
        <v>7792000</v>
      </c>
      <c r="I92" s="224" t="inlineStr">
        <is>
          <t>Investissement</t>
        </is>
      </c>
    </row>
    <row r="93" ht="25.5" customHeight="1" s="392">
      <c r="A93" s="230" t="inlineStr">
        <is>
          <t xml:space="preserve">Direction du Patrimoine et Moyens Généraux </t>
        </is>
      </c>
      <c r="B93" s="230" t="inlineStr">
        <is>
          <t>Travaux de démolition et de reconstruction d'un mur de cloture de la station Régionale Radio à Oujda</t>
        </is>
      </c>
      <c r="C93" s="236" t="inlineStr">
        <is>
          <t>Travaux</t>
        </is>
      </c>
      <c r="D93" s="243" t="inlineStr">
        <is>
          <t>Appel d'offres ouvert</t>
        </is>
      </c>
      <c r="E93" s="231" t="inlineStr">
        <is>
          <t>T1</t>
        </is>
      </c>
      <c r="F93" s="231" t="inlineStr">
        <is>
          <t>Oujda</t>
        </is>
      </c>
      <c r="G93" s="231" t="inlineStr">
        <is>
          <t>Oui</t>
        </is>
      </c>
      <c r="H93" s="233" t="n">
        <v>1050000</v>
      </c>
      <c r="I93" s="224" t="inlineStr">
        <is>
          <t>Investissement</t>
        </is>
      </c>
    </row>
    <row r="94" ht="25.5" customHeight="1" s="392">
      <c r="A94" s="220" t="inlineStr">
        <is>
          <t xml:space="preserve">Direction du Patrimoine et Moyens Généraux </t>
        </is>
      </c>
      <c r="B94" s="220" t="inlineStr">
        <is>
          <t>Travaux d'aménagement et d'agencement de la régie publicitaire et des solutions digitales</t>
        </is>
      </c>
      <c r="C94" s="244" t="inlineStr">
        <is>
          <t>Travaux</t>
        </is>
      </c>
      <c r="D94" s="245" t="inlineStr">
        <is>
          <t>Appel d'offres ouvert</t>
        </is>
      </c>
      <c r="E94" s="221" t="inlineStr">
        <is>
          <t>T2</t>
        </is>
      </c>
      <c r="F94" s="221" t="inlineStr">
        <is>
          <t xml:space="preserve">Casablanca </t>
        </is>
      </c>
      <c r="G94" s="221" t="inlineStr">
        <is>
          <t>Oui</t>
        </is>
      </c>
      <c r="H94" s="223" t="n">
        <v>2551240.8</v>
      </c>
      <c r="I94" s="224" t="inlineStr">
        <is>
          <t>Investissement</t>
        </is>
      </c>
    </row>
    <row r="95" ht="35.25" customHeight="1" s="392">
      <c r="A95" s="230" t="inlineStr">
        <is>
          <t xml:space="preserve">Direction du Patrimoine et Moyens Généraux </t>
        </is>
      </c>
      <c r="B95" s="230" t="inlineStr">
        <is>
          <t>Travaux d'aménagement des locaux techniques à Rabat Aménagement et Agencement</t>
        </is>
      </c>
      <c r="C95" s="236" t="inlineStr">
        <is>
          <t>Travaux</t>
        </is>
      </c>
      <c r="D95" s="243" t="inlineStr">
        <is>
          <t>Appel d'offres ouvert</t>
        </is>
      </c>
      <c r="E95" s="231" t="inlineStr">
        <is>
          <t>T2</t>
        </is>
      </c>
      <c r="F95" s="231" t="inlineStr">
        <is>
          <t>Rabat</t>
        </is>
      </c>
      <c r="G95" s="231" t="inlineStr">
        <is>
          <t>Oui</t>
        </is>
      </c>
      <c r="H95" s="233" t="n">
        <v>3248928</v>
      </c>
      <c r="I95" s="224" t="inlineStr">
        <is>
          <t>Investissement</t>
        </is>
      </c>
    </row>
    <row r="96" ht="25.5" customHeight="1" s="392">
      <c r="A96" s="230" t="inlineStr">
        <is>
          <t xml:space="preserve">Direction du Patrimoine et Moyens Généraux </t>
        </is>
      </c>
      <c r="B96" s="230" t="inlineStr">
        <is>
          <t>Travaux d'aménagement des locaux techniques à Rabat  Electricité-Lustreries-Climatisation</t>
        </is>
      </c>
      <c r="C96" s="236" t="inlineStr">
        <is>
          <t>Travaux</t>
        </is>
      </c>
      <c r="D96" s="243" t="inlineStr">
        <is>
          <t>Appel d'offres ouvert</t>
        </is>
      </c>
      <c r="E96" s="231" t="inlineStr">
        <is>
          <t>T2</t>
        </is>
      </c>
      <c r="F96" s="231" t="inlineStr">
        <is>
          <t>Rabat</t>
        </is>
      </c>
      <c r="G96" s="231" t="inlineStr">
        <is>
          <t>Oui</t>
        </is>
      </c>
      <c r="H96" s="233" t="n">
        <v>587419.2</v>
      </c>
      <c r="I96" s="224" t="inlineStr">
        <is>
          <t>Investissement</t>
        </is>
      </c>
    </row>
    <row r="97" ht="36" customHeight="1" s="392">
      <c r="A97" s="220" t="inlineStr">
        <is>
          <t xml:space="preserve">Direction du Patrimoine et Moyens Généraux </t>
        </is>
      </c>
      <c r="B97" s="220" t="inlineStr">
        <is>
          <t>Fourniture et installation des Panneaux de signatlisation Bâtiments SNRT</t>
        </is>
      </c>
      <c r="C97" s="244" t="inlineStr">
        <is>
          <t>Fournitures</t>
        </is>
      </c>
      <c r="D97" s="245" t="inlineStr">
        <is>
          <t>Appel d'offres ouvert</t>
        </is>
      </c>
      <c r="E97" s="221" t="inlineStr">
        <is>
          <t>T3</t>
        </is>
      </c>
      <c r="F97" s="221" t="inlineStr">
        <is>
          <t>Sites SNRT</t>
        </is>
      </c>
      <c r="G97" s="221" t="inlineStr">
        <is>
          <t>Non</t>
        </is>
      </c>
      <c r="H97" s="223" t="n">
        <v>300000</v>
      </c>
      <c r="I97" s="224" t="inlineStr">
        <is>
          <t>Investissement</t>
        </is>
      </c>
    </row>
    <row r="98" ht="25.5" customHeight="1" s="392">
      <c r="A98" s="220" t="inlineStr">
        <is>
          <t xml:space="preserve">Direction Centrale de la Production et de l'Antenne </t>
        </is>
      </c>
      <c r="B98" s="220" t="inlineStr">
        <is>
          <t>Décors Emissions Internes Al Aoula</t>
        </is>
      </c>
      <c r="C98" s="221" t="inlineStr">
        <is>
          <t>Services</t>
        </is>
      </c>
      <c r="D98" s="222" t="inlineStr">
        <is>
          <t>Appel d'offres ouvert</t>
        </is>
      </c>
      <c r="E98" s="221" t="inlineStr">
        <is>
          <t>T2</t>
        </is>
      </c>
      <c r="F98" s="221" t="inlineStr">
        <is>
          <t>Casablanca / Rabat</t>
        </is>
      </c>
      <c r="G98" s="221" t="inlineStr">
        <is>
          <t>Oui</t>
        </is>
      </c>
      <c r="H98" s="575" t="n">
        <v>1620000</v>
      </c>
      <c r="I98" s="224" t="inlineStr">
        <is>
          <t>Investissement</t>
        </is>
      </c>
    </row>
    <row r="99" ht="25.5" customHeight="1" s="392">
      <c r="A99" s="220" t="inlineStr">
        <is>
          <t xml:space="preserve">Direction Centrale de la Production et de l'Antenne </t>
        </is>
      </c>
      <c r="B99" s="220" t="inlineStr">
        <is>
          <t>Location Ecrans &amp; Barres à Led</t>
        </is>
      </c>
      <c r="C99" s="221" t="inlineStr">
        <is>
          <t>Services</t>
        </is>
      </c>
      <c r="D99" s="222" t="inlineStr">
        <is>
          <t>Appel d'offres ouvert</t>
        </is>
      </c>
      <c r="E99" s="221" t="inlineStr">
        <is>
          <t>T2</t>
        </is>
      </c>
      <c r="F99" s="221" t="inlineStr">
        <is>
          <t>Casablanca / Rabat</t>
        </is>
      </c>
      <c r="G99" s="221" t="inlineStr">
        <is>
          <t>Oui</t>
        </is>
      </c>
      <c r="H99" s="575" t="n">
        <v>360000</v>
      </c>
      <c r="I99" s="224" t="inlineStr">
        <is>
          <t>Investissement</t>
        </is>
      </c>
    </row>
    <row r="100" ht="25.5" customHeight="1" s="392">
      <c r="A100" s="220" t="inlineStr">
        <is>
          <t xml:space="preserve">Direction Centrale de la Production et de l'Antenne </t>
        </is>
      </c>
      <c r="B100" s="220" t="inlineStr">
        <is>
          <t>Location Matériel pour les productions internes Al Aoula</t>
        </is>
      </c>
      <c r="C100" s="221" t="inlineStr">
        <is>
          <t>Services</t>
        </is>
      </c>
      <c r="D100" s="222" t="inlineStr">
        <is>
          <t>Appel d'offres ouvert</t>
        </is>
      </c>
      <c r="E100" s="221" t="inlineStr">
        <is>
          <t>T2</t>
        </is>
      </c>
      <c r="F100" s="221" t="inlineStr">
        <is>
          <t>Casablanca / Rabat</t>
        </is>
      </c>
      <c r="G100" s="221" t="inlineStr">
        <is>
          <t>Oui</t>
        </is>
      </c>
      <c r="H100" s="575" t="n">
        <v>1232000</v>
      </c>
      <c r="I100" s="224" t="inlineStr">
        <is>
          <t>Investissement</t>
        </is>
      </c>
    </row>
    <row r="101" ht="38.25" customHeight="1" s="392">
      <c r="A101" s="220" t="inlineStr">
        <is>
          <t>Direction Al Maghribia</t>
        </is>
      </c>
      <c r="B101" s="220" t="inlineStr">
        <is>
          <t>Prestation de blanchisserie du linge et services associés au profit des journalistes présentateurs du journal Télévisés (JT)</t>
        </is>
      </c>
      <c r="C101" s="221" t="inlineStr">
        <is>
          <t>Services</t>
        </is>
      </c>
      <c r="D101" s="222" t="inlineStr">
        <is>
          <t>Appel d'offres ouvert</t>
        </is>
      </c>
      <c r="E101" s="221" t="inlineStr">
        <is>
          <t>T2</t>
        </is>
      </c>
      <c r="F101" s="221" t="inlineStr">
        <is>
          <t>Rabat</t>
        </is>
      </c>
      <c r="G101" s="221" t="inlineStr">
        <is>
          <t>Oui</t>
        </is>
      </c>
      <c r="H101" s="575" t="n">
        <v>60000</v>
      </c>
      <c r="I101" s="224" t="inlineStr">
        <is>
          <t>Investissement</t>
        </is>
      </c>
    </row>
    <row r="102">
      <c r="A102" s="220" t="inlineStr">
        <is>
          <t>Direction Al Maghribia</t>
        </is>
      </c>
      <c r="B102" s="220" t="inlineStr">
        <is>
          <t>Décor Virtuel Live News</t>
        </is>
      </c>
      <c r="C102" s="221" t="inlineStr">
        <is>
          <t>Services</t>
        </is>
      </c>
      <c r="D102" s="222" t="inlineStr">
        <is>
          <t>Appel d'offres ouvert</t>
        </is>
      </c>
      <c r="E102" s="221" t="inlineStr">
        <is>
          <t>T2</t>
        </is>
      </c>
      <c r="F102" s="221" t="inlineStr">
        <is>
          <t>Rabat</t>
        </is>
      </c>
      <c r="G102" s="221" t="inlineStr">
        <is>
          <t>Oui</t>
        </is>
      </c>
      <c r="H102" s="575" t="n">
        <v>150000</v>
      </c>
      <c r="I102" s="224" t="inlineStr">
        <is>
          <t>Investissement</t>
        </is>
      </c>
    </row>
    <row r="103" ht="25.5" customHeight="1" s="392">
      <c r="A103" s="230" t="inlineStr">
        <is>
          <t xml:space="preserve">Direction Audit et Contrôle et de Gestion </t>
        </is>
      </c>
      <c r="B103" s="230" t="inlineStr">
        <is>
          <t>Elaboration d'une cartographie des risques couvrant les processus de la SNRT</t>
        </is>
      </c>
      <c r="C103" s="231" t="inlineStr">
        <is>
          <t>Services</t>
        </is>
      </c>
      <c r="D103" s="232" t="inlineStr">
        <is>
          <t>Appel d'offres ouvert</t>
        </is>
      </c>
      <c r="E103" s="231" t="inlineStr">
        <is>
          <t>T2</t>
        </is>
      </c>
      <c r="F103" s="231" t="inlineStr">
        <is>
          <t>Rabat</t>
        </is>
      </c>
      <c r="G103" s="231" t="inlineStr">
        <is>
          <t>Non</t>
        </is>
      </c>
      <c r="H103" s="579" t="n">
        <v>840000</v>
      </c>
      <c r="I103" s="248" t="inlineStr">
        <is>
          <t>Investissement</t>
        </is>
      </c>
    </row>
    <row r="104" ht="38.25" customHeight="1" s="392">
      <c r="A104" s="220" t="inlineStr">
        <is>
          <t>Direction chargée des programmes Amazigh Radio et TV</t>
        </is>
      </c>
      <c r="B104" s="239" t="inlineStr">
        <is>
          <t>Habillage général de la chaîne Amazighia</t>
        </is>
      </c>
      <c r="C104" s="221" t="inlineStr">
        <is>
          <t>Services</t>
        </is>
      </c>
      <c r="D104" s="222" t="inlineStr">
        <is>
          <t>Appel d'offres ouvert</t>
        </is>
      </c>
      <c r="E104" s="221" t="inlineStr">
        <is>
          <t>T2</t>
        </is>
      </c>
      <c r="F104" s="221" t="inlineStr">
        <is>
          <t>Rabat</t>
        </is>
      </c>
      <c r="G104" s="221" t="inlineStr">
        <is>
          <t>Non</t>
        </is>
      </c>
      <c r="H104" s="575" t="n">
        <v>1500000</v>
      </c>
      <c r="I104" s="224" t="inlineStr">
        <is>
          <t>Investissement</t>
        </is>
      </c>
    </row>
    <row r="105" ht="38.25" customHeight="1" s="392">
      <c r="A105" s="220" t="inlineStr">
        <is>
          <t>Direction chargée des programmes Amazigh Radio et TV</t>
        </is>
      </c>
      <c r="B105" s="220" t="inlineStr">
        <is>
          <t>Conception et fabrication d'un ensemble de décors comprenant une table et cinq chaises dédiées aux émissions de débat télévisé diffusées sur la chaîne TV8.</t>
        </is>
      </c>
      <c r="C105" s="221" t="inlineStr">
        <is>
          <t>Services</t>
        </is>
      </c>
      <c r="D105" s="222" t="inlineStr">
        <is>
          <t>Appel d'offres ouvert</t>
        </is>
      </c>
      <c r="E105" s="221" t="inlineStr">
        <is>
          <t>T2</t>
        </is>
      </c>
      <c r="F105" s="221" t="inlineStr">
        <is>
          <t>Rabat</t>
        </is>
      </c>
      <c r="G105" s="221" t="inlineStr">
        <is>
          <t>Oui</t>
        </is>
      </c>
      <c r="H105" s="575" t="n">
        <v>600000</v>
      </c>
      <c r="I105" s="224" t="inlineStr">
        <is>
          <t>Investissement</t>
        </is>
      </c>
    </row>
    <row r="106" ht="38.25" customHeight="1" s="392">
      <c r="A106" s="220" t="inlineStr">
        <is>
          <t>Direction chargée des programmes Amazigh Radio et TV</t>
        </is>
      </c>
      <c r="B106" s="220" t="inlineStr">
        <is>
          <t>Habillage général de Radio Amazigh</t>
        </is>
      </c>
      <c r="C106" s="221" t="inlineStr">
        <is>
          <t>Services</t>
        </is>
      </c>
      <c r="D106" s="222" t="inlineStr">
        <is>
          <t>Appel d'offres ouvert</t>
        </is>
      </c>
      <c r="E106" s="221" t="inlineStr">
        <is>
          <t>T3</t>
        </is>
      </c>
      <c r="F106" s="221" t="inlineStr">
        <is>
          <t>Rabat</t>
        </is>
      </c>
      <c r="G106" s="221" t="inlineStr">
        <is>
          <t>Non</t>
        </is>
      </c>
      <c r="H106" s="575" t="n">
        <v>500000</v>
      </c>
      <c r="I106" s="224" t="inlineStr">
        <is>
          <t>Investissement</t>
        </is>
      </c>
    </row>
    <row r="107" ht="25.5" customHeight="1" s="392">
      <c r="A107" s="220" t="inlineStr">
        <is>
          <t>Direction des  Ressources Humaines</t>
        </is>
      </c>
      <c r="B107" s="220" t="inlineStr">
        <is>
          <t>Programmes de formation  au profit du personnel de la SNRT</t>
        </is>
      </c>
      <c r="C107" s="221" t="inlineStr">
        <is>
          <t>Services</t>
        </is>
      </c>
      <c r="D107" s="222" t="inlineStr">
        <is>
          <t>Appel d'offres ouvert</t>
        </is>
      </c>
      <c r="E107" s="234" t="inlineStr">
        <is>
          <t>T2</t>
        </is>
      </c>
      <c r="F107" s="221" t="inlineStr">
        <is>
          <t>Rabat</t>
        </is>
      </c>
      <c r="G107" s="249" t="inlineStr">
        <is>
          <t>Non</t>
        </is>
      </c>
      <c r="H107" s="575" t="n">
        <v>1208041.4</v>
      </c>
      <c r="I107" s="224" t="inlineStr">
        <is>
          <t>Fonctionnement</t>
        </is>
      </c>
    </row>
    <row r="108" ht="45.75" customHeight="1" s="392">
      <c r="A108" s="220" t="inlineStr">
        <is>
          <t>Direction de l'Information TV</t>
        </is>
      </c>
      <c r="B108" s="220" t="inlineStr">
        <is>
          <t>Prestation de blanchisserie du linge et services assiciés au profit des journalistes présentateurs du journal Télévisés (JT) ,</t>
        </is>
      </c>
      <c r="C108" s="221" t="inlineStr">
        <is>
          <t>Services</t>
        </is>
      </c>
      <c r="D108" s="222" t="inlineStr">
        <is>
          <t>Appel d'offres ouvert</t>
        </is>
      </c>
      <c r="E108" s="234" t="inlineStr">
        <is>
          <t>T2</t>
        </is>
      </c>
      <c r="F108" s="221" t="inlineStr">
        <is>
          <t>Rabat</t>
        </is>
      </c>
      <c r="G108" s="221" t="inlineStr">
        <is>
          <t>Oui</t>
        </is>
      </c>
      <c r="H108" s="575" t="n">
        <v>100000</v>
      </c>
      <c r="I108" s="224" t="inlineStr">
        <is>
          <t>Fonctionnement</t>
        </is>
      </c>
    </row>
    <row r="109" ht="25.5" customHeight="1" s="392">
      <c r="A109" s="220" t="inlineStr">
        <is>
          <t xml:space="preserve">Direction du Patrimoine et Moyens Généraux </t>
        </is>
      </c>
      <c r="B109" s="220" t="inlineStr">
        <is>
          <t xml:space="preserve">Achat d'habillement au profit des journalistes présentateurs des évenements sportifs, </t>
        </is>
      </c>
      <c r="C109" s="244" t="inlineStr">
        <is>
          <t>Fournitures</t>
        </is>
      </c>
      <c r="D109" s="222" t="inlineStr">
        <is>
          <t>Appel d'offres ouvert</t>
        </is>
      </c>
      <c r="E109" s="234" t="inlineStr">
        <is>
          <t>T2</t>
        </is>
      </c>
      <c r="F109" s="221" t="inlineStr">
        <is>
          <t>Rabat</t>
        </is>
      </c>
      <c r="G109" s="221" t="inlineStr">
        <is>
          <t>Non</t>
        </is>
      </c>
      <c r="H109" s="575" t="n">
        <v>300000</v>
      </c>
      <c r="I109" s="224" t="inlineStr">
        <is>
          <t>Investissement</t>
        </is>
      </c>
    </row>
    <row r="110" ht="25.5" customHeight="1" s="392">
      <c r="A110" s="220" t="inlineStr">
        <is>
          <t>Direction de l'Information TV</t>
        </is>
      </c>
      <c r="B110" s="220" t="inlineStr">
        <is>
          <t>Achat d'habillement au profit des journalistes présentateurs des JTV ,</t>
        </is>
      </c>
      <c r="C110" s="244" t="inlineStr">
        <is>
          <t>Fournitures</t>
        </is>
      </c>
      <c r="D110" s="222" t="inlineStr">
        <is>
          <t>Appel d'offres ouvert</t>
        </is>
      </c>
      <c r="E110" s="234" t="inlineStr">
        <is>
          <t>T2</t>
        </is>
      </c>
      <c r="F110" s="221" t="inlineStr">
        <is>
          <t>Rabat</t>
        </is>
      </c>
      <c r="G110" s="221" t="inlineStr">
        <is>
          <t>Non</t>
        </is>
      </c>
      <c r="H110" s="575" t="n">
        <v>700000</v>
      </c>
      <c r="I110" s="224" t="inlineStr">
        <is>
          <t>Investissement</t>
        </is>
      </c>
    </row>
    <row r="111" ht="38.25" customHeight="1" s="392">
      <c r="A111" s="220" t="inlineStr">
        <is>
          <t>Direction de l'Information TV</t>
        </is>
      </c>
      <c r="B111" s="220" t="inlineStr">
        <is>
          <t>Conception et réalisation d'un décor du plateau de télévision professionnel aux standards internationaux pour la couverture de la CAN 2026 (femmes)</t>
        </is>
      </c>
      <c r="C111" s="244" t="inlineStr">
        <is>
          <t>Fournitures</t>
        </is>
      </c>
      <c r="D111" s="222" t="inlineStr">
        <is>
          <t>Appel d'offres ouvert</t>
        </is>
      </c>
      <c r="E111" s="234" t="inlineStr">
        <is>
          <t>T2</t>
        </is>
      </c>
      <c r="F111" s="221" t="inlineStr">
        <is>
          <t>Rabat</t>
        </is>
      </c>
      <c r="G111" s="221" t="inlineStr">
        <is>
          <t>Non</t>
        </is>
      </c>
      <c r="H111" s="575" t="n">
        <v>400000</v>
      </c>
      <c r="I111" s="224" t="inlineStr">
        <is>
          <t>Investissement</t>
        </is>
      </c>
    </row>
    <row r="112" ht="38.25" customHeight="1" s="392">
      <c r="A112" s="220" t="inlineStr">
        <is>
          <t>Direction de l'Information TV</t>
        </is>
      </c>
      <c r="B112" s="239" t="inlineStr">
        <is>
          <t>Réalisation d'un décor plateau de télévision professionnel aux standards internationaux pour l'émission" نقطة الى السطر"</t>
        </is>
      </c>
      <c r="C112" s="244" t="inlineStr">
        <is>
          <t>Services</t>
        </is>
      </c>
      <c r="D112" s="222" t="inlineStr">
        <is>
          <t>Appel d'offres ouvert</t>
        </is>
      </c>
      <c r="E112" s="234" t="inlineStr">
        <is>
          <t>T2</t>
        </is>
      </c>
      <c r="F112" s="221" t="inlineStr">
        <is>
          <t>Rabat</t>
        </is>
      </c>
      <c r="G112" s="221" t="inlineStr">
        <is>
          <t>Non</t>
        </is>
      </c>
      <c r="H112" s="575" t="n">
        <v>500000</v>
      </c>
      <c r="I112" s="224" t="inlineStr">
        <is>
          <t>Investissement</t>
        </is>
      </c>
    </row>
    <row r="113" ht="25.5" customHeight="1" s="392">
      <c r="A113" s="220" t="inlineStr">
        <is>
          <t>Direction de l'Information TV</t>
        </is>
      </c>
      <c r="B113" s="220" t="inlineStr">
        <is>
          <t>Conception et fabrication de décor pour une émission grand débat  politique 2026</t>
        </is>
      </c>
      <c r="C113" s="244" t="inlineStr">
        <is>
          <t>Fournitures</t>
        </is>
      </c>
      <c r="D113" s="222" t="inlineStr">
        <is>
          <t>Appel d'offres ouvert</t>
        </is>
      </c>
      <c r="E113" s="234" t="inlineStr">
        <is>
          <t>T2</t>
        </is>
      </c>
      <c r="F113" s="221" t="inlineStr">
        <is>
          <t>Rabat</t>
        </is>
      </c>
      <c r="G113" s="221" t="inlineStr">
        <is>
          <t>Non</t>
        </is>
      </c>
      <c r="H113" s="575" t="n">
        <v>400000</v>
      </c>
      <c r="I113" s="250" t="inlineStr">
        <is>
          <t>Investissement</t>
        </is>
      </c>
    </row>
    <row r="114" ht="25.5" customHeight="1" s="392">
      <c r="A114" s="220" t="inlineStr">
        <is>
          <t>Direction de l'Information TV</t>
        </is>
      </c>
      <c r="B114" s="239" t="inlineStr">
        <is>
          <t>Acquisition des produits de maquillage pour les présentateurs des  JT e t des émissions TV,</t>
        </is>
      </c>
      <c r="C114" s="244" t="inlineStr">
        <is>
          <t>Fournitures</t>
        </is>
      </c>
      <c r="D114" s="222" t="inlineStr">
        <is>
          <t>Appel d'offres ouvert</t>
        </is>
      </c>
      <c r="E114" s="234" t="inlineStr">
        <is>
          <t>T2</t>
        </is>
      </c>
      <c r="F114" s="245" t="inlineStr">
        <is>
          <t>Rabat</t>
        </is>
      </c>
      <c r="G114" s="221" t="inlineStr">
        <is>
          <t>Non</t>
        </is>
      </c>
      <c r="H114" s="575" t="n">
        <v>300000</v>
      </c>
      <c r="I114" s="224" t="inlineStr">
        <is>
          <t>Fonctionnement</t>
        </is>
      </c>
    </row>
    <row r="115" ht="38.25" customHeight="1" s="392">
      <c r="A115" s="220" t="inlineStr">
        <is>
          <t>Direction Centrale Technique</t>
        </is>
      </c>
      <c r="B115" s="251" t="inlineStr">
        <is>
          <t>Acquisition de systèmes de caméras aériennes sur câbles pour répondre aux besoins de production de la SNRT.</t>
        </is>
      </c>
      <c r="C115" s="234" t="inlineStr">
        <is>
          <t>Fournitures</t>
        </is>
      </c>
      <c r="D115" s="245" t="inlineStr">
        <is>
          <t>Appel d'offres ouvert</t>
        </is>
      </c>
      <c r="E115" s="245" t="inlineStr">
        <is>
          <t>T2</t>
        </is>
      </c>
      <c r="F115" s="245" t="inlineStr">
        <is>
          <t>Rabat - Tanger</t>
        </is>
      </c>
      <c r="G115" s="245" t="inlineStr">
        <is>
          <t>Non</t>
        </is>
      </c>
      <c r="H115" s="252" t="n">
        <v>13200000</v>
      </c>
      <c r="I115" s="240" t="inlineStr">
        <is>
          <t>Investissement</t>
        </is>
      </c>
    </row>
    <row r="116" ht="33.75" customHeight="1" s="392">
      <c r="A116" s="220" t="inlineStr">
        <is>
          <t>Direction Centrale Technique</t>
        </is>
      </c>
      <c r="B116" s="253" t="inlineStr">
        <is>
          <t>Acquisition de matériel audio/vidéo pour le renouvellement des dispositifs des unités mobiles de la SNRT.</t>
        </is>
      </c>
      <c r="C116" s="244" t="inlineStr">
        <is>
          <t>Fournitures</t>
        </is>
      </c>
      <c r="D116" s="245" t="inlineStr">
        <is>
          <t>Appel d'offres ouvert</t>
        </is>
      </c>
      <c r="E116" s="245" t="inlineStr">
        <is>
          <t>T2</t>
        </is>
      </c>
      <c r="F116" s="245" t="inlineStr">
        <is>
          <t>Témara</t>
        </is>
      </c>
      <c r="G116" s="245" t="inlineStr">
        <is>
          <t>Non</t>
        </is>
      </c>
      <c r="H116" s="254" t="n">
        <v>6000000</v>
      </c>
      <c r="I116" s="240" t="inlineStr">
        <is>
          <t>Investissement</t>
        </is>
      </c>
    </row>
    <row r="117" ht="33" customHeight="1" s="392">
      <c r="A117" s="220" t="inlineStr">
        <is>
          <t>Direction Centrale Technique</t>
        </is>
      </c>
      <c r="B117" s="251" t="inlineStr">
        <is>
          <t>Acquisition de véhicules « Support Trucks » pour répondre aux besoins des unités mobiles de la SNRT.</t>
        </is>
      </c>
      <c r="C117" s="244" t="inlineStr">
        <is>
          <t>Fournitures</t>
        </is>
      </c>
      <c r="D117" s="245" t="inlineStr">
        <is>
          <t>Appel d'offres ouvert</t>
        </is>
      </c>
      <c r="E117" s="245" t="inlineStr">
        <is>
          <t>T2</t>
        </is>
      </c>
      <c r="F117" s="245" t="inlineStr">
        <is>
          <t>Témara</t>
        </is>
      </c>
      <c r="G117" s="245" t="inlineStr">
        <is>
          <t>Non</t>
        </is>
      </c>
      <c r="H117" s="252" t="n">
        <v>7200000</v>
      </c>
      <c r="I117" s="240" t="inlineStr">
        <is>
          <t>Investissement</t>
        </is>
      </c>
    </row>
    <row r="118" ht="44.25" customHeight="1" s="392">
      <c r="A118" s="230" t="inlineStr">
        <is>
          <t>Direction Centrale Technique</t>
        </is>
      </c>
      <c r="B118" s="255" t="inlineStr">
        <is>
          <t>Acquisition des équipements de machinerie et d'éclairage pour répondre aux besoins de production de la SNRT</t>
        </is>
      </c>
      <c r="C118" s="236" t="inlineStr">
        <is>
          <t>Fournitures</t>
        </is>
      </c>
      <c r="D118" s="243" t="inlineStr">
        <is>
          <t>Appel d'offres ouvert</t>
        </is>
      </c>
      <c r="E118" s="243" t="inlineStr">
        <is>
          <t>T2</t>
        </is>
      </c>
      <c r="F118" s="243" t="inlineStr">
        <is>
          <t>Témara</t>
        </is>
      </c>
      <c r="G118" s="243" t="inlineStr">
        <is>
          <t>Non</t>
        </is>
      </c>
      <c r="H118" s="256" t="n">
        <v>2400000</v>
      </c>
      <c r="I118" s="257" t="inlineStr">
        <is>
          <t>Investissement</t>
        </is>
      </c>
      <c r="J118" s="258" t="n"/>
      <c r="K118" s="258" t="n"/>
      <c r="L118" s="258" t="n"/>
      <c r="M118" s="258" t="n"/>
      <c r="N118" s="258" t="n"/>
      <c r="O118" s="258" t="n"/>
      <c r="P118" s="258" t="n"/>
      <c r="Q118" s="258" t="n"/>
      <c r="R118" s="258" t="n"/>
      <c r="S118" s="258" t="n"/>
      <c r="T118" s="258" t="n"/>
      <c r="U118" s="258" t="n"/>
      <c r="V118" s="258" t="n"/>
    </row>
    <row r="119" ht="41.25" customHeight="1" s="392">
      <c r="A119" s="220" t="inlineStr">
        <is>
          <t>Direction Centrale Technique</t>
        </is>
      </c>
      <c r="B119" s="259" t="inlineStr">
        <is>
          <t>Acquisition de véhicules utilitaires aménagés pour abriter les équipements d'éclairage et de machinerie pour répondre aux besoins de production de la SNRT.</t>
        </is>
      </c>
      <c r="C119" s="244" t="inlineStr">
        <is>
          <t>Fournitures</t>
        </is>
      </c>
      <c r="D119" s="245" t="inlineStr">
        <is>
          <t>Appel d'offres ouvert</t>
        </is>
      </c>
      <c r="E119" s="245" t="inlineStr">
        <is>
          <t>T2</t>
        </is>
      </c>
      <c r="F119" s="245" t="inlineStr">
        <is>
          <t>Témara</t>
        </is>
      </c>
      <c r="G119" s="245" t="inlineStr">
        <is>
          <t>Non</t>
        </is>
      </c>
      <c r="H119" s="252" t="n">
        <v>4800000</v>
      </c>
      <c r="I119" s="240" t="inlineStr">
        <is>
          <t>Investissement</t>
        </is>
      </c>
    </row>
    <row r="120" ht="42.75" customHeight="1" s="392">
      <c r="A120" s="220" t="inlineStr">
        <is>
          <t>Direction Centrale Technique</t>
        </is>
      </c>
      <c r="B120" s="251" t="inlineStr">
        <is>
          <t>Renouvellement et mise à niveau des équipements d'enregistrement, de lecture  et de traitement pour les besoins du système News Room de la SNRT.</t>
        </is>
      </c>
      <c r="C120" s="244" t="inlineStr">
        <is>
          <t>Fournitures</t>
        </is>
      </c>
      <c r="D120" s="245" t="inlineStr">
        <is>
          <t>Appel d'offres ouvert</t>
        </is>
      </c>
      <c r="E120" s="245" t="inlineStr">
        <is>
          <t>T2</t>
        </is>
      </c>
      <c r="F120" s="245" t="inlineStr">
        <is>
          <t>Rabat</t>
        </is>
      </c>
      <c r="G120" s="245" t="inlineStr">
        <is>
          <t>Non</t>
        </is>
      </c>
      <c r="H120" s="252" t="n">
        <v>7200000</v>
      </c>
      <c r="I120" s="240" t="inlineStr">
        <is>
          <t>Investissement</t>
        </is>
      </c>
    </row>
    <row r="121" ht="44.25" customHeight="1" s="392">
      <c r="A121" s="220" t="inlineStr">
        <is>
          <t>Direction Centrale Technique</t>
        </is>
      </c>
      <c r="B121" s="253" t="inlineStr">
        <is>
          <t>Contrat de support logiciel du système News Room (PAM et NRCS) pour les besoins des chaines TV de la SNRT.</t>
        </is>
      </c>
      <c r="C121" s="244" t="inlineStr">
        <is>
          <t>Services</t>
        </is>
      </c>
      <c r="D121" s="245" t="inlineStr">
        <is>
          <t>Appel d'offres ouvert</t>
        </is>
      </c>
      <c r="E121" s="245" t="inlineStr">
        <is>
          <t>T2</t>
        </is>
      </c>
      <c r="F121" s="245" t="inlineStr">
        <is>
          <t>Rabat</t>
        </is>
      </c>
      <c r="G121" s="245" t="inlineStr">
        <is>
          <t>Non</t>
        </is>
      </c>
      <c r="H121" s="254" t="n">
        <v>600000</v>
      </c>
      <c r="I121" s="240" t="inlineStr">
        <is>
          <t>Fonctionnement</t>
        </is>
      </c>
    </row>
    <row r="122" ht="54" customHeight="1" s="392">
      <c r="A122" s="220" t="inlineStr">
        <is>
          <t>Direction Centrale Technique</t>
        </is>
      </c>
      <c r="B122" s="251" t="inlineStr">
        <is>
          <t>Renouvellement des licences logicielles pour les stations d’habillage et de graphisme pour les besoins des chaînes TV de la SNRT.</t>
        </is>
      </c>
      <c r="C122" s="244" t="inlineStr">
        <is>
          <t>Services</t>
        </is>
      </c>
      <c r="D122" s="245" t="inlineStr">
        <is>
          <t>Appel d'offres ouvert</t>
        </is>
      </c>
      <c r="E122" s="245" t="inlineStr">
        <is>
          <t>T2</t>
        </is>
      </c>
      <c r="F122" s="245" t="inlineStr">
        <is>
          <t>Rabat</t>
        </is>
      </c>
      <c r="G122" s="221" t="inlineStr">
        <is>
          <t>Oui</t>
        </is>
      </c>
      <c r="H122" s="252" t="n">
        <v>480000</v>
      </c>
      <c r="I122" s="240" t="inlineStr">
        <is>
          <t>Fonctionnement</t>
        </is>
      </c>
    </row>
    <row r="123" ht="51" customHeight="1" s="392">
      <c r="A123" s="220" t="inlineStr">
        <is>
          <t>Direction Centrale Technique</t>
        </is>
      </c>
      <c r="B123" s="253" t="inlineStr">
        <is>
          <t>Renouvellement des équipements audio/vidéo et des châssis de traitement de signaux pour répondre aux besoins des installations techniques de la SNRT.</t>
        </is>
      </c>
      <c r="C123" s="244" t="inlineStr">
        <is>
          <t>Fournitures</t>
        </is>
      </c>
      <c r="D123" s="245" t="inlineStr">
        <is>
          <t>Appel d'offres ouvert</t>
        </is>
      </c>
      <c r="E123" s="245" t="inlineStr">
        <is>
          <t>T2</t>
        </is>
      </c>
      <c r="F123" s="245" t="inlineStr">
        <is>
          <t>Rabat</t>
        </is>
      </c>
      <c r="G123" s="245" t="inlineStr">
        <is>
          <t>Non</t>
        </is>
      </c>
      <c r="H123" s="254" t="n">
        <v>2400000</v>
      </c>
      <c r="I123" s="240" t="inlineStr">
        <is>
          <t>Investissement</t>
        </is>
      </c>
    </row>
    <row r="124" ht="43.5" customHeight="1" s="392">
      <c r="A124" s="220" t="inlineStr">
        <is>
          <t>Direction Centrale Technique</t>
        </is>
      </c>
      <c r="B124" s="251" t="inlineStr">
        <is>
          <t>Mise en place d'un système d'automation TV pour répondre aux besoins de la diffusion des chaines TV de la SNRT.</t>
        </is>
      </c>
      <c r="C124" s="244" t="inlineStr">
        <is>
          <t>Fournitures</t>
        </is>
      </c>
      <c r="D124" s="245" t="inlineStr">
        <is>
          <t>Appel d'offres ouvert</t>
        </is>
      </c>
      <c r="E124" s="245" t="inlineStr">
        <is>
          <t>T3</t>
        </is>
      </c>
      <c r="F124" s="245" t="inlineStr">
        <is>
          <t>Rabat</t>
        </is>
      </c>
      <c r="G124" s="245" t="inlineStr">
        <is>
          <t>Non</t>
        </is>
      </c>
      <c r="H124" s="252" t="n">
        <v>6000000</v>
      </c>
      <c r="I124" s="240" t="inlineStr">
        <is>
          <t>Investissement</t>
        </is>
      </c>
    </row>
    <row r="125" ht="40.5" customHeight="1" s="392">
      <c r="A125" s="230" t="inlineStr">
        <is>
          <t>Direction Centrale Technique</t>
        </is>
      </c>
      <c r="B125" s="255" t="inlineStr">
        <is>
          <t>Renouvellement des équipements Audio/Vidéo pour répondre aux besoins des chaines TV de la SNRT.</t>
        </is>
      </c>
      <c r="C125" s="236" t="inlineStr">
        <is>
          <t>Fournitures</t>
        </is>
      </c>
      <c r="D125" s="243" t="inlineStr">
        <is>
          <t>Appel d'offres ouvert</t>
        </is>
      </c>
      <c r="E125" s="243" t="inlineStr">
        <is>
          <t>T3</t>
        </is>
      </c>
      <c r="F125" s="243" t="inlineStr">
        <is>
          <t>Rabat</t>
        </is>
      </c>
      <c r="G125" s="243" t="inlineStr">
        <is>
          <t>Non</t>
        </is>
      </c>
      <c r="H125" s="256" t="n">
        <v>2400000</v>
      </c>
      <c r="I125" s="240" t="inlineStr">
        <is>
          <t>Investissement</t>
        </is>
      </c>
    </row>
    <row r="126" ht="45.75" customHeight="1" s="392">
      <c r="A126" s="220" t="inlineStr">
        <is>
          <t>Direction Centrale Technique</t>
        </is>
      </c>
      <c r="B126" s="239" t="inlineStr">
        <is>
          <t>Acquisition et mise à niveau des équipements Audio/vidéo de la régie multidiffusion pour répondre aux besoins de la chaine Arryadia de la SNRT.</t>
        </is>
      </c>
      <c r="C126" s="244" t="inlineStr">
        <is>
          <t>Fournitures</t>
        </is>
      </c>
      <c r="D126" s="245" t="inlineStr">
        <is>
          <t>Appel d'offres ouvert</t>
        </is>
      </c>
      <c r="E126" s="245" t="inlineStr">
        <is>
          <t>T2</t>
        </is>
      </c>
      <c r="F126" s="245" t="inlineStr">
        <is>
          <t>Rabat</t>
        </is>
      </c>
      <c r="G126" s="245" t="inlineStr">
        <is>
          <t>Non</t>
        </is>
      </c>
      <c r="H126" s="254" t="n">
        <v>6000000</v>
      </c>
      <c r="I126" s="240" t="inlineStr">
        <is>
          <t>Investissement</t>
        </is>
      </c>
    </row>
    <row r="127" ht="44.25" customHeight="1" s="392">
      <c r="A127" s="220" t="inlineStr">
        <is>
          <t>Direction Centrale Technique</t>
        </is>
      </c>
      <c r="B127" s="253" t="inlineStr">
        <is>
          <t>Renouvellement des équipements Audio/Vidéo du plateau JT pour répondre aux besoins de la chaine Al Aoula de la SNRT.</t>
        </is>
      </c>
      <c r="C127" s="244" t="inlineStr">
        <is>
          <t>Fournitures</t>
        </is>
      </c>
      <c r="D127" s="245" t="inlineStr">
        <is>
          <t>Appel d'offres ouvert</t>
        </is>
      </c>
      <c r="E127" s="245" t="inlineStr">
        <is>
          <t>T2</t>
        </is>
      </c>
      <c r="F127" s="245" t="inlineStr">
        <is>
          <t>Rabat</t>
        </is>
      </c>
      <c r="G127" s="245" t="inlineStr">
        <is>
          <t>Non</t>
        </is>
      </c>
      <c r="H127" s="252" t="n">
        <v>9600000</v>
      </c>
      <c r="I127" s="240" t="inlineStr">
        <is>
          <t>Investissement</t>
        </is>
      </c>
    </row>
    <row r="128" ht="30.75" customHeight="1" s="392">
      <c r="A128" s="220" t="inlineStr">
        <is>
          <t>Direction Centrale Technique</t>
        </is>
      </c>
      <c r="B128" s="239" t="inlineStr">
        <is>
          <t>Renouvellement des équipements de captation Audio/Vidéo pour répondre aux besoins de la chaine Al Aoula de la SNRT.</t>
        </is>
      </c>
      <c r="C128" s="244" t="inlineStr">
        <is>
          <t>Fournitures</t>
        </is>
      </c>
      <c r="D128" s="245" t="inlineStr">
        <is>
          <t>Appel d'offres ouvert</t>
        </is>
      </c>
      <c r="E128" s="245" t="inlineStr">
        <is>
          <t>T2</t>
        </is>
      </c>
      <c r="F128" s="245" t="inlineStr">
        <is>
          <t>Rabat</t>
        </is>
      </c>
      <c r="G128" s="245" t="inlineStr">
        <is>
          <t>Non</t>
        </is>
      </c>
      <c r="H128" s="254" t="n">
        <v>2400000</v>
      </c>
      <c r="I128" s="240" t="inlineStr">
        <is>
          <t>Investissement</t>
        </is>
      </c>
    </row>
    <row r="129" ht="46.5" customHeight="1" s="392">
      <c r="A129" s="220" t="inlineStr">
        <is>
          <t>Direction Centrale Technique</t>
        </is>
      </c>
      <c r="B129" s="253" t="inlineStr">
        <is>
          <t>Renouvellement et mise à niveau des équipements Audio/Vidéo de la régie JT pour répondre aux besoins de la chaine TV Laayoune de la SNRT.</t>
        </is>
      </c>
      <c r="C129" s="244" t="inlineStr">
        <is>
          <t>Fournitures</t>
        </is>
      </c>
      <c r="D129" s="245" t="inlineStr">
        <is>
          <t>Appel d'offres ouvert</t>
        </is>
      </c>
      <c r="E129" s="245" t="inlineStr">
        <is>
          <t>T2</t>
        </is>
      </c>
      <c r="F129" s="245" t="inlineStr">
        <is>
          <t>Rabat</t>
        </is>
      </c>
      <c r="G129" s="245" t="inlineStr">
        <is>
          <t>Non</t>
        </is>
      </c>
      <c r="H129" s="252" t="n">
        <v>2400000</v>
      </c>
      <c r="I129" s="240" t="inlineStr">
        <is>
          <t>Investissement</t>
        </is>
      </c>
    </row>
    <row r="130" ht="51.75" customHeight="1" s="392">
      <c r="A130" s="220" t="inlineStr">
        <is>
          <t>Direction Centrale Technique</t>
        </is>
      </c>
      <c r="B130" s="239" t="inlineStr">
        <is>
          <t>Acquisition et mise à niveau des équipements Audio/Vidéo du studio virtuel pour répondre aux besoins de production de la chaine TV Laayoune de la SNRT.</t>
        </is>
      </c>
      <c r="C130" s="244" t="inlineStr">
        <is>
          <t>Fournitures</t>
        </is>
      </c>
      <c r="D130" s="245" t="inlineStr">
        <is>
          <t>Appel d'offres ouvert</t>
        </is>
      </c>
      <c r="E130" s="245" t="inlineStr">
        <is>
          <t>T2</t>
        </is>
      </c>
      <c r="F130" s="245" t="inlineStr">
        <is>
          <t>Laayoune</t>
        </is>
      </c>
      <c r="G130" s="245" t="inlineStr">
        <is>
          <t>Non</t>
        </is>
      </c>
      <c r="H130" s="252" t="n">
        <v>4200000</v>
      </c>
      <c r="I130" s="240" t="inlineStr">
        <is>
          <t>Investissement</t>
        </is>
      </c>
    </row>
    <row r="131" ht="25.5" customHeight="1" s="392">
      <c r="A131" s="220" t="inlineStr">
        <is>
          <t>Direction Centrale Technique</t>
        </is>
      </c>
      <c r="B131" s="253" t="inlineStr">
        <is>
          <t>Acquisition des équipements audio pour les besoins des chaines radios de la SNRT.</t>
        </is>
      </c>
      <c r="C131" s="244" t="inlineStr">
        <is>
          <t>Fournitures</t>
        </is>
      </c>
      <c r="D131" s="245" t="inlineStr">
        <is>
          <t>Appel d'offres ouvert</t>
        </is>
      </c>
      <c r="E131" s="245" t="inlineStr">
        <is>
          <t>T2</t>
        </is>
      </c>
      <c r="F131" s="245" t="inlineStr">
        <is>
          <t>Rabat</t>
        </is>
      </c>
      <c r="G131" s="245" t="inlineStr">
        <is>
          <t>Non</t>
        </is>
      </c>
      <c r="H131" s="254" t="n">
        <v>2400000</v>
      </c>
      <c r="I131" s="240" t="inlineStr">
        <is>
          <t>Investissement</t>
        </is>
      </c>
    </row>
    <row r="132" ht="56.25" customHeight="1" s="392">
      <c r="A132" s="220" t="inlineStr">
        <is>
          <t>Direction Centrale Technique</t>
        </is>
      </c>
      <c r="B132" s="251" t="inlineStr">
        <is>
          <t>Renouvellement et mise à niveau du Centre de Diffusion et de Monitoring (CDM) pour les besoins des chaines Radio de la SNRT. afin d’assurer la supervision centralisée, la redondance et la continuité de service des diffusions.</t>
        </is>
      </c>
      <c r="C132" s="244" t="inlineStr">
        <is>
          <t>Fournitures</t>
        </is>
      </c>
      <c r="D132" s="245" t="inlineStr">
        <is>
          <t>Appel d'offres ouvert</t>
        </is>
      </c>
      <c r="E132" s="245" t="inlineStr">
        <is>
          <t>T2</t>
        </is>
      </c>
      <c r="F132" s="245" t="inlineStr">
        <is>
          <t>Rabat</t>
        </is>
      </c>
      <c r="G132" s="245" t="inlineStr">
        <is>
          <t>Non</t>
        </is>
      </c>
      <c r="H132" s="252" t="n">
        <v>3600000</v>
      </c>
      <c r="I132" s="240" t="inlineStr">
        <is>
          <t>Investissement</t>
        </is>
      </c>
    </row>
    <row r="133" ht="36.75" customHeight="1" s="392">
      <c r="A133" s="220" t="inlineStr">
        <is>
          <t>Direction Centrale Technique</t>
        </is>
      </c>
      <c r="B133" s="253" t="inlineStr">
        <is>
          <t>Renouvellement des systèmes d’automation radio des chaînes radios régionales de la SNRT.</t>
        </is>
      </c>
      <c r="C133" s="244" t="inlineStr">
        <is>
          <t>Fournitures</t>
        </is>
      </c>
      <c r="D133" s="245" t="inlineStr">
        <is>
          <t>Appel d'offres ouvert</t>
        </is>
      </c>
      <c r="E133" s="245" t="inlineStr">
        <is>
          <t>T2</t>
        </is>
      </c>
      <c r="F133" s="245" t="inlineStr">
        <is>
          <t>Radios régionales</t>
        </is>
      </c>
      <c r="G133" s="245" t="inlineStr">
        <is>
          <t>Non</t>
        </is>
      </c>
      <c r="H133" s="254" t="n">
        <v>4800000</v>
      </c>
      <c r="I133" s="240" t="inlineStr">
        <is>
          <t>Investissement</t>
        </is>
      </c>
    </row>
    <row r="134" ht="40.5" customHeight="1" s="392">
      <c r="A134" s="220" t="inlineStr">
        <is>
          <t>Direction Centrale Technique</t>
        </is>
      </c>
      <c r="B134" s="239" t="inlineStr">
        <is>
          <t>Acquisition des équipements informatiques Broadcast pour les besoins des chaines radios régionales de la SNRT.</t>
        </is>
      </c>
      <c r="C134" s="244" t="inlineStr">
        <is>
          <t>Fournitures</t>
        </is>
      </c>
      <c r="D134" s="245" t="inlineStr">
        <is>
          <t>Appel d'offres ouvert</t>
        </is>
      </c>
      <c r="E134" s="245" t="inlineStr">
        <is>
          <t>T3</t>
        </is>
      </c>
      <c r="F134" s="245" t="inlineStr">
        <is>
          <t>Rabat</t>
        </is>
      </c>
      <c r="G134" s="245" t="inlineStr">
        <is>
          <t>Non</t>
        </is>
      </c>
      <c r="H134" s="252" t="n">
        <v>3000000</v>
      </c>
      <c r="I134" s="240" t="inlineStr">
        <is>
          <t>Investissement</t>
        </is>
      </c>
    </row>
    <row r="135" ht="44.25" customHeight="1" s="392">
      <c r="A135" s="230" t="inlineStr">
        <is>
          <t>Direction Centrale Technique</t>
        </is>
      </c>
      <c r="B135" s="255" t="inlineStr">
        <is>
          <t>Acquisition des supports d’enregistrement et de lecture pour les besoins des chaines TV de la SNRT</t>
        </is>
      </c>
      <c r="C135" s="236" t="inlineStr">
        <is>
          <t>Fournitures</t>
        </is>
      </c>
      <c r="D135" s="243" t="inlineStr">
        <is>
          <t>Appel d'offres ouvert</t>
        </is>
      </c>
      <c r="E135" s="243" t="inlineStr">
        <is>
          <t>T2</t>
        </is>
      </c>
      <c r="F135" s="243" t="inlineStr">
        <is>
          <t>Rabat</t>
        </is>
      </c>
      <c r="G135" s="243" t="inlineStr">
        <is>
          <t>Non</t>
        </is>
      </c>
      <c r="H135" s="256" t="n">
        <v>480000</v>
      </c>
      <c r="I135" s="242" t="inlineStr">
        <is>
          <t>Fonctionnement</t>
        </is>
      </c>
      <c r="J135" s="260" t="n"/>
      <c r="K135" s="260" t="n"/>
      <c r="L135" s="260" t="n"/>
      <c r="M135" s="260" t="n"/>
      <c r="N135" s="260" t="n"/>
      <c r="O135" s="260" t="n"/>
      <c r="P135" s="260" t="n"/>
      <c r="Q135" s="260" t="n"/>
      <c r="R135" s="260" t="n"/>
      <c r="S135" s="260" t="n"/>
      <c r="T135" s="260" t="n"/>
      <c r="U135" s="260" t="n"/>
      <c r="V135" s="260" t="n"/>
      <c r="W135" s="260" t="n"/>
      <c r="X135" s="260" t="n"/>
      <c r="Y135" s="260" t="n"/>
      <c r="Z135" s="260" t="n"/>
      <c r="AA135" s="260" t="n"/>
      <c r="AB135" s="260" t="n"/>
      <c r="AC135" s="260" t="n"/>
      <c r="AD135" s="260" t="n"/>
    </row>
    <row r="136" ht="36" customHeight="1" s="392">
      <c r="A136" s="230" t="inlineStr">
        <is>
          <t>Direction Centrale Technique</t>
        </is>
      </c>
      <c r="B136" s="255" t="inlineStr">
        <is>
          <t>Acquisition de lecteurs LTO destinés aux besoins d’archivage de la SNRT</t>
        </is>
      </c>
      <c r="C136" s="236" t="inlineStr">
        <is>
          <t>Fournitures</t>
        </is>
      </c>
      <c r="D136" s="243" t="inlineStr">
        <is>
          <t>Appel d'offres ouvert</t>
        </is>
      </c>
      <c r="E136" s="243" t="inlineStr">
        <is>
          <t>T2</t>
        </is>
      </c>
      <c r="F136" s="243" t="inlineStr">
        <is>
          <t>Rabat</t>
        </is>
      </c>
      <c r="G136" s="243" t="inlineStr">
        <is>
          <t>Non</t>
        </is>
      </c>
      <c r="H136" s="256" t="n">
        <v>1200000</v>
      </c>
      <c r="I136" s="257" t="inlineStr">
        <is>
          <t>Investissement</t>
        </is>
      </c>
      <c r="J136" s="258" t="n"/>
      <c r="K136" s="258" t="n"/>
      <c r="L136" s="258" t="n"/>
      <c r="M136" s="258" t="n"/>
      <c r="N136" s="258" t="n"/>
      <c r="O136" s="258" t="n"/>
      <c r="P136" s="258" t="n"/>
      <c r="Q136" s="258" t="n"/>
      <c r="R136" s="258" t="n"/>
      <c r="S136" s="258" t="n"/>
      <c r="T136" s="258" t="n"/>
      <c r="U136" s="258" t="n"/>
      <c r="V136" s="258" t="n"/>
    </row>
    <row r="137" ht="51.75" customHeight="1" s="392">
      <c r="A137" s="230" t="inlineStr">
        <is>
          <t>Direction Centrale Technique</t>
        </is>
      </c>
      <c r="B137" s="255" t="inlineStr">
        <is>
          <t>Numérisation des anciennes archives télévisuelles stockées sur des supports analogiques de type U-MATIC, pour les besoins des archives TV de la SNRT</t>
        </is>
      </c>
      <c r="C137" s="236" t="inlineStr">
        <is>
          <t>Services</t>
        </is>
      </c>
      <c r="D137" s="243" t="inlineStr">
        <is>
          <t>Appel d'offres ouvert</t>
        </is>
      </c>
      <c r="E137" s="243" t="inlineStr">
        <is>
          <t>T2</t>
        </is>
      </c>
      <c r="F137" s="243" t="inlineStr">
        <is>
          <t>Rabat</t>
        </is>
      </c>
      <c r="G137" s="243" t="inlineStr">
        <is>
          <t>Non</t>
        </is>
      </c>
      <c r="H137" s="256" t="n">
        <v>1200000</v>
      </c>
      <c r="I137" s="257" t="inlineStr">
        <is>
          <t>Fonctionnement</t>
        </is>
      </c>
      <c r="J137" s="258" t="n"/>
      <c r="K137" s="258" t="n"/>
      <c r="L137" s="258" t="n"/>
      <c r="M137" s="258" t="n"/>
      <c r="N137" s="258" t="n"/>
      <c r="O137" s="258" t="n"/>
      <c r="P137" s="258" t="n"/>
      <c r="Q137" s="258" t="n"/>
      <c r="R137" s="258" t="n"/>
      <c r="S137" s="258" t="n"/>
      <c r="T137" s="258" t="n"/>
      <c r="U137" s="258" t="n"/>
      <c r="V137" s="258" t="n"/>
    </row>
    <row r="138" ht="36.75" customHeight="1" s="392">
      <c r="A138" s="230" t="inlineStr">
        <is>
          <t>Direction Centrale Technique</t>
        </is>
      </c>
      <c r="B138" s="255" t="inlineStr">
        <is>
          <t>Renouvellement et mise à niveau des systèmes et solutions logicielles de l'infrastructure IT de la SNRT</t>
        </is>
      </c>
      <c r="C138" s="236" t="inlineStr">
        <is>
          <t>Fournitures</t>
        </is>
      </c>
      <c r="D138" s="243" t="inlineStr">
        <is>
          <t>Appel d'offres ouvert</t>
        </is>
      </c>
      <c r="E138" s="243" t="inlineStr">
        <is>
          <t>T1-T2</t>
        </is>
      </c>
      <c r="F138" s="243" t="inlineStr">
        <is>
          <t>Rabat</t>
        </is>
      </c>
      <c r="G138" s="243" t="inlineStr">
        <is>
          <t>Non</t>
        </is>
      </c>
      <c r="H138" s="256" t="n">
        <v>10200000</v>
      </c>
      <c r="I138" s="240" t="inlineStr">
        <is>
          <t>Investissement</t>
        </is>
      </c>
    </row>
    <row r="139" ht="26.25" customHeight="1" s="392">
      <c r="A139" s="230" t="inlineStr">
        <is>
          <t>Direction Centrale Technique</t>
        </is>
      </c>
      <c r="B139" s="255" t="inlineStr">
        <is>
          <t>Souscription à un abonnement annuel de licences logiciels pour les besoins de la SNRT</t>
        </is>
      </c>
      <c r="C139" s="236" t="inlineStr">
        <is>
          <t>Services</t>
        </is>
      </c>
      <c r="D139" s="243" t="inlineStr">
        <is>
          <t>Appel d'offres ouvert</t>
        </is>
      </c>
      <c r="E139" s="243" t="inlineStr">
        <is>
          <t>T2</t>
        </is>
      </c>
      <c r="F139" s="243" t="inlineStr">
        <is>
          <t>Rabat</t>
        </is>
      </c>
      <c r="G139" s="231" t="inlineStr">
        <is>
          <t>Oui</t>
        </is>
      </c>
      <c r="H139" s="256" t="n">
        <v>1800000</v>
      </c>
      <c r="I139" s="240" t="inlineStr">
        <is>
          <t>Fonctionnement</t>
        </is>
      </c>
    </row>
    <row r="140" ht="42.75" customHeight="1" s="392">
      <c r="A140" s="220" t="inlineStr">
        <is>
          <t>Direction Centrale Technique</t>
        </is>
      </c>
      <c r="B140" s="261" t="inlineStr">
        <is>
          <t>Acquisition des consommables, accessoires, pièces de rechange et outillage informatiques pour les besoins de la SNRT</t>
        </is>
      </c>
      <c r="C140" s="244" t="inlineStr">
        <is>
          <t>Fournitures</t>
        </is>
      </c>
      <c r="D140" s="245" t="inlineStr">
        <is>
          <t>Appel d'offres ouvert</t>
        </is>
      </c>
      <c r="E140" s="245" t="inlineStr">
        <is>
          <t>T2</t>
        </is>
      </c>
      <c r="F140" s="245" t="inlineStr">
        <is>
          <t>Rabat</t>
        </is>
      </c>
      <c r="G140" s="221" t="inlineStr">
        <is>
          <t>Oui</t>
        </is>
      </c>
      <c r="H140" s="252" t="n">
        <v>2400000</v>
      </c>
      <c r="I140" s="240" t="inlineStr">
        <is>
          <t>Investissement</t>
        </is>
      </c>
    </row>
    <row r="141" ht="36" customHeight="1" s="392">
      <c r="A141" s="230" t="inlineStr">
        <is>
          <t>Direction Centrale Technique</t>
        </is>
      </c>
      <c r="B141" s="255" t="inlineStr">
        <is>
          <t>Acquisition des serveurs et des équipements Informatiques pour les besoins de la SNRT</t>
        </is>
      </c>
      <c r="C141" s="236" t="inlineStr">
        <is>
          <t>Fournitures</t>
        </is>
      </c>
      <c r="D141" s="243" t="inlineStr">
        <is>
          <t>Appel d'offres ouvert</t>
        </is>
      </c>
      <c r="E141" s="243" t="inlineStr">
        <is>
          <t>T1-T2</t>
        </is>
      </c>
      <c r="F141" s="243" t="inlineStr">
        <is>
          <t>Rabat</t>
        </is>
      </c>
      <c r="G141" s="243" t="inlineStr">
        <is>
          <t>Non</t>
        </is>
      </c>
      <c r="H141" s="256" t="n">
        <v>4800000</v>
      </c>
      <c r="I141" s="240" t="inlineStr">
        <is>
          <t>Investissement</t>
        </is>
      </c>
    </row>
    <row r="142" ht="29.25" customHeight="1" s="392">
      <c r="A142" s="220" t="inlineStr">
        <is>
          <t>Direction Centrale Technique</t>
        </is>
      </c>
      <c r="B142" s="261" t="inlineStr">
        <is>
          <t>Acquisition des équipements pour la mise à niveau de l'infrastructure réseau de la SNRT</t>
        </is>
      </c>
      <c r="C142" s="244" t="inlineStr">
        <is>
          <t>Fournitures</t>
        </is>
      </c>
      <c r="D142" s="245" t="inlineStr">
        <is>
          <t>Appel d'offres ouvert</t>
        </is>
      </c>
      <c r="E142" s="245" t="inlineStr">
        <is>
          <t>T2</t>
        </is>
      </c>
      <c r="F142" s="245" t="inlineStr">
        <is>
          <t>Rabat</t>
        </is>
      </c>
      <c r="G142" s="245" t="inlineStr">
        <is>
          <t>Non</t>
        </is>
      </c>
      <c r="H142" s="252" t="n">
        <v>5400000</v>
      </c>
      <c r="I142" s="240" t="inlineStr">
        <is>
          <t>Investissement</t>
        </is>
      </c>
    </row>
    <row r="143" ht="33" customHeight="1" s="392">
      <c r="A143" s="220" t="inlineStr">
        <is>
          <t>Direction Centrale Technique</t>
        </is>
      </c>
      <c r="B143" s="251" t="inlineStr">
        <is>
          <t>Acquisition d’équipements informatiques  pour les besoins de SNRT NEWS</t>
        </is>
      </c>
      <c r="C143" s="244" t="inlineStr">
        <is>
          <t>Fournitures</t>
        </is>
      </c>
      <c r="D143" s="245" t="inlineStr">
        <is>
          <t>Appel d'offres ouvert</t>
        </is>
      </c>
      <c r="E143" s="245" t="inlineStr">
        <is>
          <t>T2</t>
        </is>
      </c>
      <c r="F143" s="245" t="inlineStr">
        <is>
          <t>Rabat</t>
        </is>
      </c>
      <c r="G143" s="221" t="inlineStr">
        <is>
          <t>Oui</t>
        </is>
      </c>
      <c r="H143" s="254" t="n">
        <v>3600000</v>
      </c>
      <c r="I143" s="240" t="inlineStr">
        <is>
          <t>Investissement</t>
        </is>
      </c>
    </row>
    <row r="144" ht="34.5" customHeight="1" s="392">
      <c r="A144" s="230" t="inlineStr">
        <is>
          <t>Direction Centrale Technique</t>
        </is>
      </c>
      <c r="B144" s="262" t="inlineStr">
        <is>
          <t>Acquisition d’équipements informatiques et audiovisuels pour la mise à niveau du matériel de SNRT NEWS</t>
        </is>
      </c>
      <c r="C144" s="236" t="inlineStr">
        <is>
          <t>Fournitures</t>
        </is>
      </c>
      <c r="D144" s="243" t="inlineStr">
        <is>
          <t>Appel d'offres ouvert</t>
        </is>
      </c>
      <c r="E144" s="243" t="inlineStr">
        <is>
          <t>T2</t>
        </is>
      </c>
      <c r="F144" s="243" t="inlineStr">
        <is>
          <t>Rabat</t>
        </is>
      </c>
      <c r="G144" s="231" t="inlineStr">
        <is>
          <t>Oui</t>
        </is>
      </c>
      <c r="H144" s="256" t="n">
        <v>1400000</v>
      </c>
      <c r="I144" s="240" t="inlineStr">
        <is>
          <t>Investissement</t>
        </is>
      </c>
    </row>
    <row r="145" ht="37.5" customHeight="1" s="392">
      <c r="A145" s="220" t="inlineStr">
        <is>
          <t>Direction Centrale Technique</t>
        </is>
      </c>
      <c r="B145" s="251" t="inlineStr">
        <is>
          <t>Acquisition de licences et de logiciels pour  les besoins de SNRT NEWS</t>
        </is>
      </c>
      <c r="C145" s="244" t="inlineStr">
        <is>
          <t>Fournitures</t>
        </is>
      </c>
      <c r="D145" s="245" t="inlineStr">
        <is>
          <t>Appel d'offres ouvert</t>
        </is>
      </c>
      <c r="E145" s="245" t="inlineStr">
        <is>
          <t>T2</t>
        </is>
      </c>
      <c r="F145" s="245" t="inlineStr">
        <is>
          <t>Rabat</t>
        </is>
      </c>
      <c r="G145" s="221" t="inlineStr">
        <is>
          <t>Oui</t>
        </is>
      </c>
      <c r="H145" s="252" t="n">
        <v>210000</v>
      </c>
      <c r="I145" s="240" t="inlineStr">
        <is>
          <t>Fonctionnement</t>
        </is>
      </c>
    </row>
    <row r="146" ht="42" customHeight="1" s="392">
      <c r="A146" s="220" t="inlineStr">
        <is>
          <t>Direction Centrale de la Régie publicitaire et des Solutions Digitales</t>
        </is>
      </c>
      <c r="B146" s="239" t="inlineStr">
        <is>
          <t>Assistance et maintenance de lasolution BI etlocation de licences</t>
        </is>
      </c>
      <c r="C146" s="221" t="inlineStr">
        <is>
          <t>Services</t>
        </is>
      </c>
      <c r="D146" s="222" t="inlineStr">
        <is>
          <t>Appel d'offres ouvert</t>
        </is>
      </c>
      <c r="E146" s="263" t="inlineStr">
        <is>
          <t>T2</t>
        </is>
      </c>
      <c r="F146" s="221" t="inlineStr">
        <is>
          <t>Casablanca</t>
        </is>
      </c>
      <c r="G146" s="221" t="inlineStr">
        <is>
          <t>Oui</t>
        </is>
      </c>
      <c r="H146" s="575" t="n">
        <v>250000</v>
      </c>
      <c r="I146" s="224" t="inlineStr">
        <is>
          <t>Fonctionnement</t>
        </is>
      </c>
    </row>
    <row r="147" ht="68.25" customHeight="1" s="392">
      <c r="A147" s="230" t="inlineStr">
        <is>
          <t>Direction Centrale de la Régie publicitaire et des Solutions Digitales</t>
        </is>
      </c>
      <c r="B147" s="230" t="inlineStr">
        <is>
          <t>Prestation de maintenance corrective, maintenance évolutive, d'assistance utilisateur, d'assistance technique et des mises à jour de Media Pilot, Logiciel de gestion de la commercialisation de l'espace publicitaire des supports TV Radio de la SNRT</t>
        </is>
      </c>
      <c r="C147" s="231" t="inlineStr">
        <is>
          <t>Services</t>
        </is>
      </c>
      <c r="D147" s="232" t="inlineStr">
        <is>
          <t>Appel d'offres ouvert</t>
        </is>
      </c>
      <c r="E147" s="264" t="inlineStr">
        <is>
          <t>T2</t>
        </is>
      </c>
      <c r="F147" s="231" t="inlineStr">
        <is>
          <t>Casablanca</t>
        </is>
      </c>
      <c r="G147" s="231" t="inlineStr">
        <is>
          <t>Non</t>
        </is>
      </c>
      <c r="H147" s="580" t="n">
        <v>753940</v>
      </c>
      <c r="I147" s="231" t="inlineStr">
        <is>
          <t>Fonctionnement</t>
        </is>
      </c>
      <c r="J147" s="258" t="n"/>
      <c r="K147" s="258" t="n"/>
      <c r="L147" s="258" t="n"/>
      <c r="M147" s="258" t="n"/>
      <c r="N147" s="258" t="n"/>
      <c r="O147" s="258" t="n"/>
      <c r="P147" s="258" t="n"/>
      <c r="Q147" s="258" t="n"/>
      <c r="R147" s="258" t="n"/>
      <c r="S147" s="258" t="n"/>
      <c r="T147" s="258" t="n"/>
      <c r="U147" s="258" t="n"/>
      <c r="V147" s="258" t="n"/>
    </row>
    <row r="148" ht="51" customHeight="1" s="392">
      <c r="A148" s="220" t="inlineStr">
        <is>
          <t>Direction Centrale de la Régie publicitaire et des Solutions Digitales</t>
        </is>
      </c>
      <c r="B148" s="226" t="inlineStr">
        <is>
          <t>"Acquisition d'une Solution Multifonction visant la gestion de projets, la mise en place de la chaine Devops et l’acquisition des Outils de développement : éditeur de code".</t>
        </is>
      </c>
      <c r="C148" s="221" t="inlineStr">
        <is>
          <t>Services</t>
        </is>
      </c>
      <c r="D148" s="222" t="inlineStr">
        <is>
          <t>Appel d'offres ouvert</t>
        </is>
      </c>
      <c r="E148" s="265" t="inlineStr">
        <is>
          <t>T2</t>
        </is>
      </c>
      <c r="F148" s="221" t="inlineStr">
        <is>
          <t>Casablanca</t>
        </is>
      </c>
      <c r="G148" s="221" t="inlineStr">
        <is>
          <t>Oui</t>
        </is>
      </c>
      <c r="H148" s="581" t="n">
        <v>250000</v>
      </c>
      <c r="I148" s="224" t="inlineStr">
        <is>
          <t>Fonctionnement</t>
        </is>
      </c>
    </row>
    <row r="149" ht="63.75" customHeight="1" s="392">
      <c r="A149" s="220" t="inlineStr">
        <is>
          <t>Direction Centrale de la Régie publicitaire et des Solutions Digitales</t>
        </is>
      </c>
      <c r="B149" s="226" t="inlineStr">
        <is>
          <t>Mise en place d’une plateforme de gestion de données : Data management platorm: (DMP) pour la collecte et l’analyse de données sociodémographiques et comportementales, afin d'optimiser les campagnes publicitaires sur les plateformes digitales de la régie.</t>
        </is>
      </c>
      <c r="C149" s="221" t="inlineStr">
        <is>
          <t>Services</t>
        </is>
      </c>
      <c r="D149" s="222" t="inlineStr">
        <is>
          <t>Appel d'offres ouvert</t>
        </is>
      </c>
      <c r="E149" s="265" t="inlineStr">
        <is>
          <t>T2</t>
        </is>
      </c>
      <c r="F149" s="221" t="inlineStr">
        <is>
          <t>Casablanca</t>
        </is>
      </c>
      <c r="G149" s="221" t="inlineStr">
        <is>
          <t>Oui</t>
        </is>
      </c>
      <c r="H149" s="581" t="n">
        <v>600000</v>
      </c>
      <c r="I149" s="224" t="inlineStr">
        <is>
          <t>Fonctionnement</t>
        </is>
      </c>
    </row>
    <row r="150" ht="62.25" customHeight="1" s="392">
      <c r="A150" s="220" t="inlineStr">
        <is>
          <t>Direction Centrale de la Régie publicitaire et des Solutions Digitales</t>
        </is>
      </c>
      <c r="B150" s="226" t="inlineStr">
        <is>
          <t>Lancement d'une Analyse de l'impact  de l'engagement et de l'attention des téléspectateurs sur les programmes TV : De la mémorisation à l’attractivité pour les marques ( Efficacité publicitaire TV (linéaire + Broadcaster Video On Demand).</t>
        </is>
      </c>
      <c r="C150" s="221" t="inlineStr">
        <is>
          <t>Services</t>
        </is>
      </c>
      <c r="D150" s="222" t="inlineStr">
        <is>
          <t>Appel d'offres ouvert</t>
        </is>
      </c>
      <c r="E150" s="265" t="inlineStr">
        <is>
          <t>T2</t>
        </is>
      </c>
      <c r="F150" s="221" t="inlineStr">
        <is>
          <t>Casablanca</t>
        </is>
      </c>
      <c r="G150" s="221" t="inlineStr">
        <is>
          <t>Oui</t>
        </is>
      </c>
      <c r="H150" s="581" t="n">
        <v>600000</v>
      </c>
      <c r="I150" s="224" t="inlineStr">
        <is>
          <t>Fonctionnement</t>
        </is>
      </c>
    </row>
    <row r="151" ht="54" customHeight="1" s="392">
      <c r="A151" s="220" t="inlineStr">
        <is>
          <t>Direction Centrale de la Régie publicitaire et des Solutions Digitales</t>
        </is>
      </c>
      <c r="B151" s="241" t="inlineStr">
        <is>
          <t xml:space="preserve">Lancement d'une étude "Return on investment": ( ROI) permettant l'évaluation de l'effiicacité des camapgnes publicitaires </t>
        </is>
      </c>
      <c r="C151" s="221" t="inlineStr">
        <is>
          <t>Services</t>
        </is>
      </c>
      <c r="D151" s="222" t="inlineStr">
        <is>
          <t>Appel d'offres ouvert</t>
        </is>
      </c>
      <c r="E151" s="265" t="inlineStr">
        <is>
          <t>T2</t>
        </is>
      </c>
      <c r="F151" s="221" t="inlineStr">
        <is>
          <t>Casablanca</t>
        </is>
      </c>
      <c r="G151" s="221" t="inlineStr">
        <is>
          <t>Oui</t>
        </is>
      </c>
      <c r="H151" s="581" t="n">
        <v>600000</v>
      </c>
      <c r="I151" s="224" t="inlineStr">
        <is>
          <t>Fonctionnement</t>
        </is>
      </c>
    </row>
    <row r="152" ht="46.5" customHeight="1" s="392">
      <c r="A152" s="230" t="inlineStr">
        <is>
          <t>Direction Centrale de la Régie publicitaire et des Solutions Digitales</t>
        </is>
      </c>
      <c r="B152" s="262" t="inlineStr">
        <is>
          <t xml:space="preserve">Maintenance de la messagerie de la DRPSD  </t>
        </is>
      </c>
      <c r="C152" s="231" t="inlineStr">
        <is>
          <t>Services</t>
        </is>
      </c>
      <c r="D152" s="232" t="inlineStr">
        <is>
          <t>Appel d'offres ouvert</t>
        </is>
      </c>
      <c r="E152" s="266" t="inlineStr">
        <is>
          <t>T4</t>
        </is>
      </c>
      <c r="F152" s="231" t="inlineStr">
        <is>
          <t>Casablanca</t>
        </is>
      </c>
      <c r="G152" s="231" t="inlineStr">
        <is>
          <t>Oui</t>
        </is>
      </c>
      <c r="H152" s="580" t="n">
        <v>51000</v>
      </c>
      <c r="I152" s="231" t="inlineStr">
        <is>
          <t>Fonctionnement</t>
        </is>
      </c>
      <c r="J152" s="258" t="n"/>
      <c r="K152" s="258" t="n"/>
      <c r="L152" s="258" t="n"/>
      <c r="M152" s="258" t="n"/>
      <c r="N152" s="258" t="n"/>
      <c r="O152" s="258" t="n"/>
      <c r="P152" s="258" t="n"/>
      <c r="Q152" s="258" t="n"/>
      <c r="R152" s="258" t="n"/>
      <c r="S152" s="258" t="n"/>
      <c r="T152" s="258" t="n"/>
      <c r="U152" s="258" t="n"/>
      <c r="V152" s="258" t="n"/>
    </row>
    <row r="153" ht="38.25" customHeight="1" s="392">
      <c r="A153" s="220" t="inlineStr">
        <is>
          <t>Direction Centrale de la Régie publicitaire et des Solutions Digitales</t>
        </is>
      </c>
      <c r="B153" s="241" t="inlineStr">
        <is>
          <t xml:space="preserve">Acquisition d'une Solution visant l'Automatisation et la Digitalisation de la Gestion des Campagnes Publicitaires 
( Annonceurs - Agences- Régie Publicitaire ) </t>
        </is>
      </c>
      <c r="C153" s="221" t="inlineStr">
        <is>
          <t>Services</t>
        </is>
      </c>
      <c r="D153" s="222" t="inlineStr">
        <is>
          <t>Appel d'offres ouvert</t>
        </is>
      </c>
      <c r="E153" s="267" t="inlineStr">
        <is>
          <t>T2</t>
        </is>
      </c>
      <c r="F153" s="221" t="inlineStr">
        <is>
          <t>Casablanca</t>
        </is>
      </c>
      <c r="G153" s="221" t="inlineStr">
        <is>
          <t>NON</t>
        </is>
      </c>
      <c r="H153" s="581" t="n">
        <v>350000</v>
      </c>
      <c r="I153" s="224" t="inlineStr">
        <is>
          <t>Investissement</t>
        </is>
      </c>
    </row>
    <row r="154" ht="45" customHeight="1" s="392">
      <c r="A154" s="220" t="inlineStr">
        <is>
          <t>Direction Centrale de la Régie publicitaire et des Solutions Digitales</t>
        </is>
      </c>
      <c r="B154" s="226" t="inlineStr">
        <is>
          <t>Refonte de la Solution de publicité digitale pour l'ensemble des plateformes digitales de la SNRT</t>
        </is>
      </c>
      <c r="C154" s="221" t="inlineStr">
        <is>
          <t>Services</t>
        </is>
      </c>
      <c r="D154" s="222" t="inlineStr">
        <is>
          <t>Appel d'offres ouvert</t>
        </is>
      </c>
      <c r="E154" s="267" t="inlineStr">
        <is>
          <t>T2</t>
        </is>
      </c>
      <c r="F154" s="221" t="inlineStr">
        <is>
          <t>Casablanca</t>
        </is>
      </c>
      <c r="G154" s="221" t="inlineStr">
        <is>
          <t>Oui</t>
        </is>
      </c>
      <c r="H154" s="575" t="n">
        <v>400000</v>
      </c>
      <c r="I154" s="224" t="inlineStr">
        <is>
          <t>Investissement</t>
        </is>
      </c>
    </row>
    <row r="155" ht="38.25" customHeight="1" s="392">
      <c r="A155" s="220" t="inlineStr">
        <is>
          <t>Direction Centrale de la Régie publicitaire et des Solutions Digitales</t>
        </is>
      </c>
      <c r="B155" s="226" t="inlineStr">
        <is>
          <t xml:space="preserve">Réferencement de la plate forme SNRTNEWS et Mise en place de la stratégie digitale </t>
        </is>
      </c>
      <c r="C155" s="221" t="inlineStr">
        <is>
          <t>Services</t>
        </is>
      </c>
      <c r="D155" s="222" t="inlineStr">
        <is>
          <t>Appel d'offres ouvert</t>
        </is>
      </c>
      <c r="E155" s="265" t="inlineStr">
        <is>
          <t>T2</t>
        </is>
      </c>
      <c r="F155" s="221" t="inlineStr">
        <is>
          <t>Casablanca</t>
        </is>
      </c>
      <c r="G155" s="221" t="inlineStr">
        <is>
          <t>Oui</t>
        </is>
      </c>
      <c r="H155" s="581" t="n">
        <v>350000</v>
      </c>
      <c r="I155" s="224" t="inlineStr">
        <is>
          <t>Fonctionnement</t>
        </is>
      </c>
    </row>
    <row r="156" ht="38.25" customHeight="1" s="392">
      <c r="A156" s="220" t="inlineStr">
        <is>
          <t>Direction Centrale de la Régie publicitaire et des Solutions Digitales</t>
        </is>
      </c>
      <c r="B156" s="226" t="inlineStr">
        <is>
          <t xml:space="preserve">Accompagnement et Sponsoring des plateformes digitales </t>
        </is>
      </c>
      <c r="C156" s="221" t="inlineStr">
        <is>
          <t>Services</t>
        </is>
      </c>
      <c r="D156" s="222" t="inlineStr">
        <is>
          <t>Appel d'offres ouvert</t>
        </is>
      </c>
      <c r="E156" s="265" t="inlineStr">
        <is>
          <t>T2</t>
        </is>
      </c>
      <c r="F156" s="221" t="inlineStr">
        <is>
          <t>Casablanca</t>
        </is>
      </c>
      <c r="G156" s="221" t="inlineStr">
        <is>
          <t>Non</t>
        </is>
      </c>
      <c r="H156" s="581" t="n">
        <v>500000</v>
      </c>
      <c r="I156" s="224" t="inlineStr">
        <is>
          <t>Fonctionnement</t>
        </is>
      </c>
    </row>
    <row r="157" ht="38.25" customHeight="1" s="392">
      <c r="A157" s="220" t="inlineStr">
        <is>
          <t>Direction Centrale de la Régie publicitaire et des Solutions Digitales</t>
        </is>
      </c>
      <c r="B157" s="226" t="inlineStr">
        <is>
          <t>Solutions relatives au projet d'homologation RSSI</t>
        </is>
      </c>
      <c r="C157" s="221" t="inlineStr">
        <is>
          <t>Services</t>
        </is>
      </c>
      <c r="D157" s="222" t="inlineStr">
        <is>
          <t>Appel d'offres ouvert</t>
        </is>
      </c>
      <c r="E157" s="265" t="inlineStr">
        <is>
          <t>T2</t>
        </is>
      </c>
      <c r="F157" s="221" t="inlineStr">
        <is>
          <t>Casablanca</t>
        </is>
      </c>
      <c r="G157" s="221" t="inlineStr">
        <is>
          <t>Oui</t>
        </is>
      </c>
      <c r="H157" s="581" t="n">
        <v>300000</v>
      </c>
      <c r="I157" s="224" t="inlineStr">
        <is>
          <t>Investissement</t>
        </is>
      </c>
    </row>
    <row r="158" ht="38.25" customHeight="1" s="392">
      <c r="A158" s="220" t="inlineStr">
        <is>
          <t>Direction Centrale de la Régie publicitaire et des Solutions Digitales</t>
        </is>
      </c>
      <c r="B158" s="226" t="inlineStr">
        <is>
          <t xml:space="preserve">Développement de projets digitaux </t>
        </is>
      </c>
      <c r="C158" s="221" t="inlineStr">
        <is>
          <t>Services</t>
        </is>
      </c>
      <c r="D158" s="222" t="inlineStr">
        <is>
          <t>Appel d'offres ouvert</t>
        </is>
      </c>
      <c r="E158" s="265" t="inlineStr">
        <is>
          <t>T2</t>
        </is>
      </c>
      <c r="F158" s="221" t="inlineStr">
        <is>
          <t>Casablanca</t>
        </is>
      </c>
      <c r="G158" s="221" t="inlineStr">
        <is>
          <t>Oui</t>
        </is>
      </c>
      <c r="H158" s="581" t="n">
        <v>450000</v>
      </c>
      <c r="I158" s="224" t="inlineStr">
        <is>
          <t>Investissement</t>
        </is>
      </c>
    </row>
    <row r="159" ht="63.75" customHeight="1" s="392">
      <c r="A159" s="220" t="inlineStr">
        <is>
          <t>Responsable de la Sécurité des Systèmes d’Information (RSSI)</t>
        </is>
      </c>
      <c r="B159" s="220"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C159" s="221" t="inlineStr">
        <is>
          <t>Services</t>
        </is>
      </c>
      <c r="D159" s="222" t="inlineStr">
        <is>
          <t>Appel d'offres ouvert</t>
        </is>
      </c>
      <c r="E159" s="221" t="inlineStr">
        <is>
          <t>T2</t>
        </is>
      </c>
      <c r="F159" s="221" t="inlineStr">
        <is>
          <t>Rabat</t>
        </is>
      </c>
      <c r="G159" s="221" t="inlineStr">
        <is>
          <t xml:space="preserve">Non </t>
        </is>
      </c>
      <c r="H159" s="582" t="n">
        <v>1800000</v>
      </c>
      <c r="I159" s="224" t="inlineStr">
        <is>
          <t>Investissement</t>
        </is>
      </c>
    </row>
    <row r="160" ht="63.75" customHeight="1" s="392">
      <c r="A160" s="220" t="inlineStr">
        <is>
          <t>Responsable de la Sécurité des Systèmes d’Information (RSSI)</t>
        </is>
      </c>
      <c r="B160" s="220" t="inlineStr">
        <is>
          <t>Souscription au service de "Cyber Threat Intelligence (CTI)" pour les besoins des équipes CyberSOC et CyberCERT, dans le cadre de la mise en place du centre opérationnel de cybersécurité interne (CyberSOC &amp; CyberCERT) de la SNRT.</t>
        </is>
      </c>
      <c r="C160" s="221" t="inlineStr">
        <is>
          <t>Services</t>
        </is>
      </c>
      <c r="D160" s="222" t="inlineStr">
        <is>
          <t>Appel d'offres ouvert</t>
        </is>
      </c>
      <c r="E160" s="221" t="inlineStr">
        <is>
          <t>T2</t>
        </is>
      </c>
      <c r="F160" s="221" t="inlineStr">
        <is>
          <t>Rabat</t>
        </is>
      </c>
      <c r="G160" s="224" t="inlineStr">
        <is>
          <t>Non</t>
        </is>
      </c>
      <c r="H160" s="582" t="n">
        <v>750000</v>
      </c>
      <c r="I160" s="224" t="inlineStr">
        <is>
          <t>Investissement</t>
        </is>
      </c>
    </row>
    <row r="161" ht="102" customHeight="1" s="392">
      <c r="A161" s="220" t="inlineStr">
        <is>
          <t>Responsable de la Sécurité des Systèmes d’Information (RSSI)</t>
        </is>
      </c>
      <c r="B161" s="22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C161" s="221" t="inlineStr">
        <is>
          <t>Services</t>
        </is>
      </c>
      <c r="D161" s="222" t="inlineStr">
        <is>
          <t>Appel d'offres ouvert</t>
        </is>
      </c>
      <c r="E161" s="221" t="inlineStr">
        <is>
          <t>T2</t>
        </is>
      </c>
      <c r="F161" s="221" t="inlineStr">
        <is>
          <t>Rabat</t>
        </is>
      </c>
      <c r="G161" s="224" t="inlineStr">
        <is>
          <t>Non</t>
        </is>
      </c>
      <c r="H161" s="582" t="n">
        <v>850000</v>
      </c>
      <c r="I161" s="224" t="inlineStr">
        <is>
          <t>Investissement</t>
        </is>
      </c>
    </row>
    <row r="162" ht="116.25" customHeight="1" s="392">
      <c r="A162" s="220" t="inlineStr">
        <is>
          <t>Responsable de la Sécurité des Systèmes d’Information (RSSI)</t>
        </is>
      </c>
      <c r="B162" s="220"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C162" s="221" t="inlineStr">
        <is>
          <t>Services</t>
        </is>
      </c>
      <c r="D162" s="222" t="inlineStr">
        <is>
          <t>Appel d'offres ouvert</t>
        </is>
      </c>
      <c r="E162" s="221" t="inlineStr">
        <is>
          <t>T4</t>
        </is>
      </c>
      <c r="F162" s="221" t="inlineStr">
        <is>
          <t>Rabat</t>
        </is>
      </c>
      <c r="G162" s="224" t="inlineStr">
        <is>
          <t>Non</t>
        </is>
      </c>
      <c r="H162" s="582" t="n">
        <v>800000</v>
      </c>
      <c r="I162" s="224" t="inlineStr">
        <is>
          <t>Investissement</t>
        </is>
      </c>
    </row>
    <row r="163" ht="51" customHeight="1" s="392">
      <c r="A163" s="220" t="inlineStr">
        <is>
          <t>Responsable de la Sécurité des Systèmes d’Information (RSSI)</t>
        </is>
      </c>
      <c r="B163" s="220" t="inlineStr">
        <is>
          <t>Accompagnement à la transition vers la nouvelle version ISO/IEC 27001:2022 et extension du domaine d'application du SMSI pour couvrir l'ensemble des systèmes d'information de la SNRT.</t>
        </is>
      </c>
      <c r="C163" s="221" t="inlineStr">
        <is>
          <t>Services</t>
        </is>
      </c>
      <c r="D163" s="222" t="inlineStr">
        <is>
          <t>Appel d'offres ouvert</t>
        </is>
      </c>
      <c r="E163" s="221" t="inlineStr">
        <is>
          <t>T4</t>
        </is>
      </c>
      <c r="F163" s="221" t="inlineStr">
        <is>
          <t>Rabat</t>
        </is>
      </c>
      <c r="G163" s="224" t="inlineStr">
        <is>
          <t>Non</t>
        </is>
      </c>
      <c r="H163" s="582" t="n">
        <v>450000</v>
      </c>
      <c r="I163" s="224" t="inlineStr">
        <is>
          <t>Investissement</t>
        </is>
      </c>
    </row>
    <row r="164" ht="56.25" customHeight="1" s="392">
      <c r="A164" s="268" t="inlineStr">
        <is>
          <t>Responsable de la Sécurité des Systèmes d’Information (RSSI)</t>
        </is>
      </c>
      <c r="B164" s="268" t="inlineStr">
        <is>
          <t>Réalisation de prestations d'audits de certification et de surveillance annuels du Système de Management de la Sécurité de l'Information (SMSI) selon la norme ISO/IEC 27001:2022</t>
        </is>
      </c>
      <c r="C164" s="269" t="inlineStr">
        <is>
          <t>Services</t>
        </is>
      </c>
      <c r="D164" s="270" t="inlineStr">
        <is>
          <t>Appel d'offres ouvert</t>
        </is>
      </c>
      <c r="E164" s="269" t="inlineStr">
        <is>
          <t>T4</t>
        </is>
      </c>
      <c r="F164" s="269" t="inlineStr">
        <is>
          <t>Rabat</t>
        </is>
      </c>
      <c r="G164" s="228" t="inlineStr">
        <is>
          <t>Non</t>
        </is>
      </c>
      <c r="H164" s="583" t="n">
        <v>200000</v>
      </c>
      <c r="I164" s="228" t="inlineStr">
        <is>
          <t>Investissement</t>
        </is>
      </c>
    </row>
    <row r="165" ht="30.75" customHeight="1" s="392">
      <c r="A165" s="220" t="inlineStr">
        <is>
          <t>Direction Attakafia</t>
        </is>
      </c>
      <c r="B165" s="220" t="inlineStr">
        <is>
          <t>Prestation de blanchisserie du linge et services associés au profit des journalistes présentateurs</t>
        </is>
      </c>
      <c r="C165" s="221" t="inlineStr">
        <is>
          <t>Services</t>
        </is>
      </c>
      <c r="D165" s="222" t="inlineStr">
        <is>
          <t>Appel d'offres ouvert</t>
        </is>
      </c>
      <c r="E165" s="221" t="inlineStr">
        <is>
          <t>T2</t>
        </is>
      </c>
      <c r="F165" s="221" t="inlineStr">
        <is>
          <t>Rabat</t>
        </is>
      </c>
      <c r="G165" s="224" t="inlineStr">
        <is>
          <t>Oui</t>
        </is>
      </c>
      <c r="H165" s="582" t="n">
        <v>60000</v>
      </c>
      <c r="I165" s="224" t="inlineStr">
        <is>
          <t>Fonctionnement</t>
        </is>
      </c>
    </row>
    <row r="166" ht="34.5" customHeight="1" s="392">
      <c r="A166" s="220" t="inlineStr">
        <is>
          <t>Direction de la Chaîne TV Laayoune</t>
        </is>
      </c>
      <c r="B166" s="226" t="inlineStr">
        <is>
          <t>Fabrication de décor et conception d'habillage  de l'émission "AL FADAA ARIYADI".</t>
        </is>
      </c>
      <c r="C166" s="221" t="inlineStr">
        <is>
          <t>Fournitures</t>
        </is>
      </c>
      <c r="D166" s="222" t="inlineStr">
        <is>
          <t>Appel d'offres ouvert</t>
        </is>
      </c>
      <c r="E166" s="265" t="inlineStr">
        <is>
          <t>T2</t>
        </is>
      </c>
      <c r="F166" s="221" t="inlineStr">
        <is>
          <t>Laayoune</t>
        </is>
      </c>
      <c r="G166" s="221" t="inlineStr">
        <is>
          <t>Non</t>
        </is>
      </c>
      <c r="H166" s="582" t="n">
        <v>300000</v>
      </c>
      <c r="I166" s="224" t="inlineStr">
        <is>
          <t>Investissement</t>
        </is>
      </c>
    </row>
    <row r="167" ht="34.5" customHeight="1" s="392">
      <c r="A167" s="220" t="inlineStr">
        <is>
          <t>Direction de la Chaîne TV Laayoune</t>
        </is>
      </c>
      <c r="B167" s="226" t="inlineStr">
        <is>
          <t>Fabrication de décor et conception d'habillage  de l'émission "AAOYON ALMAGHRIB ".</t>
        </is>
      </c>
      <c r="C167" s="221" t="inlineStr">
        <is>
          <t>Fournitures</t>
        </is>
      </c>
      <c r="D167" s="222" t="inlineStr">
        <is>
          <t>Appel d'offres ouvert</t>
        </is>
      </c>
      <c r="E167" s="265" t="inlineStr">
        <is>
          <t>T2</t>
        </is>
      </c>
      <c r="F167" s="221" t="inlineStr">
        <is>
          <t>Laayoune</t>
        </is>
      </c>
      <c r="G167" s="221" t="inlineStr">
        <is>
          <t>Non</t>
        </is>
      </c>
      <c r="H167" s="582" t="n">
        <v>300000</v>
      </c>
      <c r="I167" s="224" t="inlineStr">
        <is>
          <t>Investissement</t>
        </is>
      </c>
    </row>
    <row r="168" ht="51" customHeight="1" s="392">
      <c r="A168" s="271" t="inlineStr">
        <is>
          <t>Direction Centrale Technique</t>
        </is>
      </c>
      <c r="B168" s="271" t="inlineStr">
        <is>
          <t>La fourniture et la mise en service de serveurs 
pour renouvellement de serveurs d’enregistrement et de replay pour les besoins de la production TV des manifestations sportives.</t>
        </is>
      </c>
      <c r="C168" s="271" t="inlineStr">
        <is>
          <t>Fournitures</t>
        </is>
      </c>
      <c r="D168" s="271" t="inlineStr">
        <is>
          <t>Appel d'offres ouvert</t>
        </is>
      </c>
      <c r="E168" s="271" t="inlineStr">
        <is>
          <t>T2</t>
        </is>
      </c>
      <c r="F168" s="271" t="inlineStr">
        <is>
          <t>Rabat</t>
        </is>
      </c>
      <c r="G168" s="271" t="inlineStr">
        <is>
          <t>Non</t>
        </is>
      </c>
      <c r="H168" s="271" t="n">
        <v>8948880</v>
      </c>
      <c r="I168" s="272" t="inlineStr">
        <is>
          <t>Investissement</t>
        </is>
      </c>
    </row>
    <row r="169" ht="25.5" customHeight="1" s="392">
      <c r="A169" s="271" t="inlineStr">
        <is>
          <t>Direction Centrale Technique</t>
        </is>
      </c>
      <c r="B169" s="271" t="inlineStr">
        <is>
          <t>Fourniture et mise en service d'un systéme d'intercom boradcast pour les besoins de la SNRT</t>
        </is>
      </c>
      <c r="C169" s="271" t="inlineStr">
        <is>
          <t>Fournitures</t>
        </is>
      </c>
      <c r="D169" s="271" t="inlineStr">
        <is>
          <t>Appel d'offres ouvert</t>
        </is>
      </c>
      <c r="E169" s="271" t="inlineStr">
        <is>
          <t>T2</t>
        </is>
      </c>
      <c r="F169" s="271" t="inlineStr">
        <is>
          <t>Rabat</t>
        </is>
      </c>
      <c r="G169" s="271" t="inlineStr">
        <is>
          <t>Non</t>
        </is>
      </c>
      <c r="H169" s="273" t="n">
        <v>291156</v>
      </c>
      <c r="I169" s="224" t="inlineStr">
        <is>
          <t>Investissement</t>
        </is>
      </c>
    </row>
  </sheetData>
  <mergeCells count="2">
    <mergeCell ref="A2:H8"/>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00"/>
  <sheetViews>
    <sheetView workbookViewId="0">
      <pane ySplit="1" topLeftCell="A2" activePane="bottomLeft" state="frozen"/>
      <selection pane="bottomLeft" activeCell="A1" sqref="A1"/>
    </sheetView>
  </sheetViews>
  <sheetFormatPr baseColWidth="8" defaultRowHeight="15"/>
  <cols>
    <col width="30" customWidth="1" style="392" min="1" max="1"/>
    <col width="14" customWidth="1" style="392" min="2" max="2"/>
    <col width="16" customWidth="1" style="392" min="3" max="3"/>
    <col width="45" customWidth="1" style="392" min="4" max="4"/>
    <col width="24" customWidth="1" style="392" min="5" max="5"/>
    <col width="18" customWidth="1" style="392" min="6" max="6"/>
    <col width="16" customWidth="1" style="392" min="7" max="7"/>
    <col width="22" customWidth="1" style="392" min="8" max="8"/>
    <col width="12" customWidth="1" style="392" min="9" max="9"/>
    <col width="15" customWidth="1" style="392" min="10" max="10"/>
    <col width="13" customWidth="1" style="392" min="11" max="11"/>
    <col width="14" customWidth="1" style="392" min="12" max="12"/>
    <col width="18" customWidth="1" style="392" min="13" max="13"/>
    <col width="26" customWidth="1" style="392" min="14" max="14"/>
    <col width="18" customWidth="1" style="392" min="15" max="15"/>
    <col width="16" customWidth="1" style="392" min="16" max="16"/>
    <col width="20" customWidth="1" style="392" min="17" max="17"/>
  </cols>
  <sheetData>
    <row r="1">
      <c r="A1" s="584" t="inlineStr">
        <is>
          <t>DIRECTION</t>
        </is>
      </c>
      <c r="B1" s="584" t="inlineStr">
        <is>
          <t>REF</t>
        </is>
      </c>
      <c r="C1" s="584" t="inlineStr">
        <is>
          <t>BCI (TYPE D'ACHAT)</t>
        </is>
      </c>
      <c r="D1" s="584" t="inlineStr">
        <is>
          <t>OBJET</t>
        </is>
      </c>
      <c r="E1" s="584" t="inlineStr">
        <is>
          <t>STATUT SUPPORT D'ENGAGEMENT</t>
        </is>
      </c>
      <c r="F1" s="584" t="inlineStr">
        <is>
          <t>N° SUPPORT D'ENGAGEMENT</t>
        </is>
      </c>
      <c r="G1" s="584" t="inlineStr">
        <is>
          <t>NATURE BUDGET</t>
        </is>
      </c>
      <c r="H1" s="584" t="inlineStr">
        <is>
          <t>STATUT D'ENGAGEMENT</t>
        </is>
      </c>
      <c r="I1" s="584" t="inlineStr">
        <is>
          <t>STATUT 1</t>
        </is>
      </c>
      <c r="J1" s="584" t="inlineStr">
        <is>
          <t>MONTANT (MAD)</t>
        </is>
      </c>
      <c r="K1" s="584" t="inlineStr">
        <is>
          <t>DATE FICHE</t>
        </is>
      </c>
      <c r="L1" s="584" t="inlineStr">
        <is>
          <t>ANCIENNETE (jours)</t>
        </is>
      </c>
      <c r="M1" s="584" t="inlineStr">
        <is>
          <t>CATEGORIE SUIVI</t>
        </is>
      </c>
      <c r="N1" s="584" t="inlineStr">
        <is>
          <t>TYPE BUDGET</t>
        </is>
      </c>
      <c r="O1" s="584" t="inlineStr">
        <is>
          <t>NATURE BUDGET</t>
        </is>
      </c>
      <c r="P1" s="584" t="inlineStr">
        <is>
          <t>CATEGORIES</t>
        </is>
      </c>
      <c r="Q1" s="584" t="inlineStr">
        <is>
          <t>CLE INFR-ANNULE</t>
        </is>
      </c>
    </row>
    <row r="2">
      <c r="A2">
        <f>IF(ISBLANK('ENGAGEMENTS 2026'!B2),"",IF('ENGAGEMENTS 2026'!B2="DTSI","DCT",'ENGAGEMENTS 2026'!B2))</f>
        <v/>
      </c>
      <c r="B2">
        <f>IF(ISBLANK('ENGAGEMENTS 2026'!B2),"",'ENGAGEMENTS 2026'!C2)</f>
        <v/>
      </c>
      <c r="C2">
        <f>IF(ISBLANK('ENGAGEMENTS 2026'!B2),"",'ENGAGEMENTS 2026'!D2)</f>
        <v/>
      </c>
      <c r="D2">
        <f>IF(ISBLANK('ENGAGEMENTS 2026'!B2),"",'ENGAGEMENTS 2026'!F2)</f>
        <v/>
      </c>
      <c r="E2">
        <f>IF(ISBLANK('ENGAGEMENTS 2026'!B2),"",'ENGAGEMENTS 2026'!H2)</f>
        <v/>
      </c>
      <c r="F2">
        <f>IF(ISBLANK('ENGAGEMENTS 2026'!B2),"",'ENGAGEMENTS 2026'!I2)</f>
        <v/>
      </c>
      <c r="G2">
        <f>IF(ISBLANK('ENGAGEMENTS 2026'!B2),"",'ENGAGEMENTS 2026'!L2)</f>
        <v/>
      </c>
      <c r="H2">
        <f>IF(ISBLANK('ENGAGEMENTS 2026'!B2),"",'ENGAGEMENTS 2026'!AE2)</f>
        <v/>
      </c>
      <c r="I2">
        <f>IF(ISBLANK('ENGAGEMENTS 2026'!B2),"",'ENGAGEMENTS 2026'!G2)</f>
        <v/>
      </c>
      <c r="J2" s="275">
        <f>IF(ISBLANK('ENGAGEMENTS 2026'!B2),"",IF(AND(OR($E2="INFRUCTUEUX",$E2="ANNULE"),$C2="AOO-M"),'ENGAGEMENTS 2026'!O2,IF($H2="EN COURS DE PREENGAGEMENT",'ENGAGEMENTS 2026'!N2,IF($H2="PREENGAGE",IF($E2="ATTRIBUE",'ENGAGEMENTS 2026'!AD2,'ENGAGEMENTS 2026'!N2),'ENGAGEMENTS 2026'!AD2))))</f>
        <v/>
      </c>
      <c r="K2" s="604">
        <f>IF(ISBLANK('ENGAGEMENTS 2026'!V2),"",'ENGAGEMENTS 2026'!V2)</f>
        <v/>
      </c>
      <c r="L2" s="276">
        <f>IF($K2="","",TODAY()-$K2)</f>
        <v/>
      </c>
      <c r="M2">
        <f>IF($A2="","",IF($H2="ENGAGE","Engagé",IF(AND($H2="NON ENGAGE",OR($I2="INFRUCTUEUX",$I2="ANNULE")),"Clôturé sans suite","En cours")))</f>
        <v/>
      </c>
      <c r="N2">
        <f>IF(ISBLANK('ENGAGEMENTS 2026'!B2),"",'ENGAGEMENTS 2026'!K2)</f>
        <v/>
      </c>
      <c r="O2">
        <f>IF(ISBLANK('ENGAGEMENTS 2026'!B2),"",'ENGAGEMENTS 2026'!L2)</f>
        <v/>
      </c>
      <c r="P2">
        <f>IF(ISBLANK('ENGAGEMENTS 2026'!B2),"",'ENGAGEMENTS 2026'!J2)</f>
        <v/>
      </c>
      <c r="Q2">
        <f>IF($A2="","",IF(OR($E2="INFRUCTUEUX",$E2="ANNULE"),$A2&amp;"|"&amp;(COUNTIFS($A$2:$A2,$A2,$E$2:$E2,"INFRUCTUEUX")+COUNTIFS($A$2:$A2,$A2,$E$2:$E2,"ANNULE")),""))</f>
        <v/>
      </c>
    </row>
    <row r="3">
      <c r="A3">
        <f>IF(ISBLANK('ENGAGEMENTS 2026'!B3),"",IF('ENGAGEMENTS 2026'!B3="DTSI","DCT",'ENGAGEMENTS 2026'!B3))</f>
        <v/>
      </c>
      <c r="B3">
        <f>IF(ISBLANK('ENGAGEMENTS 2026'!B3),"",'ENGAGEMENTS 2026'!C3)</f>
        <v/>
      </c>
      <c r="C3">
        <f>IF(ISBLANK('ENGAGEMENTS 2026'!B3),"",'ENGAGEMENTS 2026'!D3)</f>
        <v/>
      </c>
      <c r="D3">
        <f>IF(ISBLANK('ENGAGEMENTS 2026'!B3),"",'ENGAGEMENTS 2026'!F3)</f>
        <v/>
      </c>
      <c r="E3">
        <f>IF(ISBLANK('ENGAGEMENTS 2026'!B3),"",'ENGAGEMENTS 2026'!H3)</f>
        <v/>
      </c>
      <c r="F3">
        <f>IF(ISBLANK('ENGAGEMENTS 2026'!B3),"",'ENGAGEMENTS 2026'!I3)</f>
        <v/>
      </c>
      <c r="G3">
        <f>IF(ISBLANK('ENGAGEMENTS 2026'!B3),"",'ENGAGEMENTS 2026'!L3)</f>
        <v/>
      </c>
      <c r="H3">
        <f>IF(ISBLANK('ENGAGEMENTS 2026'!B3),"",'ENGAGEMENTS 2026'!AE3)</f>
        <v/>
      </c>
      <c r="I3">
        <f>IF(ISBLANK('ENGAGEMENTS 2026'!B3),"",'ENGAGEMENTS 2026'!G3)</f>
        <v/>
      </c>
      <c r="J3" s="275">
        <f>IF(ISBLANK('ENGAGEMENTS 2026'!B3),"",IF(AND(OR($E3="INFRUCTUEUX",$E3="ANNULE"),$C3="AOO-M"),'ENGAGEMENTS 2026'!O3,IF($H3="EN COURS DE PREENGAGEMENT",'ENGAGEMENTS 2026'!N3,IF($H3="PREENGAGE",IF($E3="ATTRIBUE",'ENGAGEMENTS 2026'!AD3,'ENGAGEMENTS 2026'!N3),'ENGAGEMENTS 2026'!AD3))))</f>
        <v/>
      </c>
      <c r="K3" s="604">
        <f>IF(ISBLANK('ENGAGEMENTS 2026'!V3),"",'ENGAGEMENTS 2026'!V3)</f>
        <v/>
      </c>
      <c r="L3" s="276">
        <f>IF($K3="","",TODAY()-$K3)</f>
        <v/>
      </c>
      <c r="M3">
        <f>IF($A3="","",IF($H3="ENGAGE","Engagé",IF(AND($H3="NON ENGAGE",OR($I3="INFRUCTUEUX",$I3="ANNULE")),"Clôturé sans suite","En cours")))</f>
        <v/>
      </c>
      <c r="N3">
        <f>IF(ISBLANK('ENGAGEMENTS 2026'!B3),"",'ENGAGEMENTS 2026'!K3)</f>
        <v/>
      </c>
      <c r="O3">
        <f>IF(ISBLANK('ENGAGEMENTS 2026'!B3),"",'ENGAGEMENTS 2026'!L3)</f>
        <v/>
      </c>
      <c r="P3">
        <f>IF(ISBLANK('ENGAGEMENTS 2026'!B3),"",'ENGAGEMENTS 2026'!J3)</f>
        <v/>
      </c>
      <c r="Q3">
        <f>IF($A3="","",IF(OR($E3="INFRUCTUEUX",$E3="ANNULE"),$A3&amp;"|"&amp;(COUNTIFS($A$2:$A3,$A3,$E$2:$E3,"INFRUCTUEUX")+COUNTIFS($A$2:$A3,$A3,$E$2:$E3,"ANNULE")),""))</f>
        <v/>
      </c>
    </row>
    <row r="4">
      <c r="A4">
        <f>IF(ISBLANK('ENGAGEMENTS 2026'!B4),"",IF('ENGAGEMENTS 2026'!B4="DTSI","DCT",'ENGAGEMENTS 2026'!B4))</f>
        <v/>
      </c>
      <c r="B4">
        <f>IF(ISBLANK('ENGAGEMENTS 2026'!B4),"",'ENGAGEMENTS 2026'!C4)</f>
        <v/>
      </c>
      <c r="C4">
        <f>IF(ISBLANK('ENGAGEMENTS 2026'!B4),"",'ENGAGEMENTS 2026'!D4)</f>
        <v/>
      </c>
      <c r="D4">
        <f>IF(ISBLANK('ENGAGEMENTS 2026'!B4),"",'ENGAGEMENTS 2026'!F4)</f>
        <v/>
      </c>
      <c r="E4">
        <f>IF(ISBLANK('ENGAGEMENTS 2026'!B4),"",'ENGAGEMENTS 2026'!H4)</f>
        <v/>
      </c>
      <c r="F4">
        <f>IF(ISBLANK('ENGAGEMENTS 2026'!B4),"",'ENGAGEMENTS 2026'!I4)</f>
        <v/>
      </c>
      <c r="G4">
        <f>IF(ISBLANK('ENGAGEMENTS 2026'!B4),"",'ENGAGEMENTS 2026'!L4)</f>
        <v/>
      </c>
      <c r="H4">
        <f>IF(ISBLANK('ENGAGEMENTS 2026'!B4),"",'ENGAGEMENTS 2026'!AE4)</f>
        <v/>
      </c>
      <c r="I4">
        <f>IF(ISBLANK('ENGAGEMENTS 2026'!B4),"",'ENGAGEMENTS 2026'!G4)</f>
        <v/>
      </c>
      <c r="J4" s="275">
        <f>IF(ISBLANK('ENGAGEMENTS 2026'!B4),"",IF(AND(OR($E4="INFRUCTUEUX",$E4="ANNULE"),$C4="AOO-M"),'ENGAGEMENTS 2026'!O4,IF($H4="EN COURS DE PREENGAGEMENT",'ENGAGEMENTS 2026'!N4,IF($H4="PREENGAGE",IF($E4="ATTRIBUE",'ENGAGEMENTS 2026'!AD4,'ENGAGEMENTS 2026'!N4),'ENGAGEMENTS 2026'!AD4))))</f>
        <v/>
      </c>
      <c r="K4" s="604">
        <f>IF(ISBLANK('ENGAGEMENTS 2026'!V4),"",'ENGAGEMENTS 2026'!V4)</f>
        <v/>
      </c>
      <c r="L4" s="276">
        <f>IF($K4="","",TODAY()-$K4)</f>
        <v/>
      </c>
      <c r="M4">
        <f>IF($A4="","",IF($H4="ENGAGE","Engagé",IF(AND($H4="NON ENGAGE",OR($I4="INFRUCTUEUX",$I4="ANNULE")),"Clôturé sans suite","En cours")))</f>
        <v/>
      </c>
      <c r="N4">
        <f>IF(ISBLANK('ENGAGEMENTS 2026'!B4),"",'ENGAGEMENTS 2026'!K4)</f>
        <v/>
      </c>
      <c r="O4">
        <f>IF(ISBLANK('ENGAGEMENTS 2026'!B4),"",'ENGAGEMENTS 2026'!L4)</f>
        <v/>
      </c>
      <c r="P4">
        <f>IF(ISBLANK('ENGAGEMENTS 2026'!B4),"",'ENGAGEMENTS 2026'!J4)</f>
        <v/>
      </c>
      <c r="Q4">
        <f>IF($A4="","",IF(OR($E4="INFRUCTUEUX",$E4="ANNULE"),$A4&amp;"|"&amp;(COUNTIFS($A$2:$A4,$A4,$E$2:$E4,"INFRUCTUEUX")+COUNTIFS($A$2:$A4,$A4,$E$2:$E4,"ANNULE")),""))</f>
        <v/>
      </c>
    </row>
    <row r="5">
      <c r="A5">
        <f>IF(ISBLANK('ENGAGEMENTS 2026'!B5),"",IF('ENGAGEMENTS 2026'!B5="DTSI","DCT",'ENGAGEMENTS 2026'!B5))</f>
        <v/>
      </c>
      <c r="B5">
        <f>IF(ISBLANK('ENGAGEMENTS 2026'!B5),"",'ENGAGEMENTS 2026'!C5)</f>
        <v/>
      </c>
      <c r="C5">
        <f>IF(ISBLANK('ENGAGEMENTS 2026'!B5),"",'ENGAGEMENTS 2026'!D5)</f>
        <v/>
      </c>
      <c r="D5">
        <f>IF(ISBLANK('ENGAGEMENTS 2026'!B5),"",'ENGAGEMENTS 2026'!F5)</f>
        <v/>
      </c>
      <c r="E5">
        <f>IF(ISBLANK('ENGAGEMENTS 2026'!B5),"",'ENGAGEMENTS 2026'!H5)</f>
        <v/>
      </c>
      <c r="F5">
        <f>IF(ISBLANK('ENGAGEMENTS 2026'!B5),"",'ENGAGEMENTS 2026'!I5)</f>
        <v/>
      </c>
      <c r="G5">
        <f>IF(ISBLANK('ENGAGEMENTS 2026'!B5),"",'ENGAGEMENTS 2026'!L5)</f>
        <v/>
      </c>
      <c r="H5">
        <f>IF(ISBLANK('ENGAGEMENTS 2026'!B5),"",'ENGAGEMENTS 2026'!AE5)</f>
        <v/>
      </c>
      <c r="I5">
        <f>IF(ISBLANK('ENGAGEMENTS 2026'!B5),"",'ENGAGEMENTS 2026'!G5)</f>
        <v/>
      </c>
      <c r="J5" s="275">
        <f>IF(ISBLANK('ENGAGEMENTS 2026'!B5),"",IF(AND(OR($E5="INFRUCTUEUX",$E5="ANNULE"),$C5="AOO-M"),'ENGAGEMENTS 2026'!O5,IF($H5="EN COURS DE PREENGAGEMENT",'ENGAGEMENTS 2026'!N5,IF($H5="PREENGAGE",IF($E5="ATTRIBUE",'ENGAGEMENTS 2026'!AD5,'ENGAGEMENTS 2026'!N5),'ENGAGEMENTS 2026'!AD5))))</f>
        <v/>
      </c>
      <c r="K5" s="604">
        <f>IF(ISBLANK('ENGAGEMENTS 2026'!V5),"",'ENGAGEMENTS 2026'!V5)</f>
        <v/>
      </c>
      <c r="L5" s="276">
        <f>IF($K5="","",TODAY()-$K5)</f>
        <v/>
      </c>
      <c r="M5">
        <f>IF($A5="","",IF($H5="ENGAGE","Engagé",IF(AND($H5="NON ENGAGE",OR($I5="INFRUCTUEUX",$I5="ANNULE")),"Clôturé sans suite","En cours")))</f>
        <v/>
      </c>
      <c r="N5">
        <f>IF(ISBLANK('ENGAGEMENTS 2026'!B5),"",'ENGAGEMENTS 2026'!K5)</f>
        <v/>
      </c>
      <c r="O5">
        <f>IF(ISBLANK('ENGAGEMENTS 2026'!B5),"",'ENGAGEMENTS 2026'!L5)</f>
        <v/>
      </c>
      <c r="P5">
        <f>IF(ISBLANK('ENGAGEMENTS 2026'!B5),"",'ENGAGEMENTS 2026'!J5)</f>
        <v/>
      </c>
      <c r="Q5">
        <f>IF($A5="","",IF(OR($E5="INFRUCTUEUX",$E5="ANNULE"),$A5&amp;"|"&amp;(COUNTIFS($A$2:$A5,$A5,$E$2:$E5,"INFRUCTUEUX")+COUNTIFS($A$2:$A5,$A5,$E$2:$E5,"ANNULE")),""))</f>
        <v/>
      </c>
    </row>
    <row r="6">
      <c r="A6">
        <f>IF(ISBLANK('ENGAGEMENTS 2026'!B6),"",IF('ENGAGEMENTS 2026'!B6="DTSI","DCT",'ENGAGEMENTS 2026'!B6))</f>
        <v/>
      </c>
      <c r="B6">
        <f>IF(ISBLANK('ENGAGEMENTS 2026'!B6),"",'ENGAGEMENTS 2026'!C6)</f>
        <v/>
      </c>
      <c r="C6">
        <f>IF(ISBLANK('ENGAGEMENTS 2026'!B6),"",'ENGAGEMENTS 2026'!D6)</f>
        <v/>
      </c>
      <c r="D6">
        <f>IF(ISBLANK('ENGAGEMENTS 2026'!B6),"",'ENGAGEMENTS 2026'!F6)</f>
        <v/>
      </c>
      <c r="E6">
        <f>IF(ISBLANK('ENGAGEMENTS 2026'!B6),"",'ENGAGEMENTS 2026'!H6)</f>
        <v/>
      </c>
      <c r="F6">
        <f>IF(ISBLANK('ENGAGEMENTS 2026'!B6),"",'ENGAGEMENTS 2026'!I6)</f>
        <v/>
      </c>
      <c r="G6">
        <f>IF(ISBLANK('ENGAGEMENTS 2026'!B6),"",'ENGAGEMENTS 2026'!L6)</f>
        <v/>
      </c>
      <c r="H6">
        <f>IF(ISBLANK('ENGAGEMENTS 2026'!B6),"",'ENGAGEMENTS 2026'!AE6)</f>
        <v/>
      </c>
      <c r="I6">
        <f>IF(ISBLANK('ENGAGEMENTS 2026'!B6),"",'ENGAGEMENTS 2026'!G6)</f>
        <v/>
      </c>
      <c r="J6" s="275">
        <f>IF(ISBLANK('ENGAGEMENTS 2026'!B6),"",IF(AND(OR($E6="INFRUCTUEUX",$E6="ANNULE"),$C6="AOO-M"),'ENGAGEMENTS 2026'!O6,IF($H6="EN COURS DE PREENGAGEMENT",'ENGAGEMENTS 2026'!N6,IF($H6="PREENGAGE",IF($E6="ATTRIBUE",'ENGAGEMENTS 2026'!AD6,'ENGAGEMENTS 2026'!N6),'ENGAGEMENTS 2026'!AD6))))</f>
        <v/>
      </c>
      <c r="K6" s="604">
        <f>IF(ISBLANK('ENGAGEMENTS 2026'!V6),"",'ENGAGEMENTS 2026'!V6)</f>
        <v/>
      </c>
      <c r="L6" s="276">
        <f>IF($K6="","",TODAY()-$K6)</f>
        <v/>
      </c>
      <c r="M6">
        <f>IF($A6="","",IF($H6="ENGAGE","Engagé",IF(AND($H6="NON ENGAGE",OR($I6="INFRUCTUEUX",$I6="ANNULE")),"Clôturé sans suite","En cours")))</f>
        <v/>
      </c>
      <c r="N6">
        <f>IF(ISBLANK('ENGAGEMENTS 2026'!B6),"",'ENGAGEMENTS 2026'!K6)</f>
        <v/>
      </c>
      <c r="O6">
        <f>IF(ISBLANK('ENGAGEMENTS 2026'!B6),"",'ENGAGEMENTS 2026'!L6)</f>
        <v/>
      </c>
      <c r="P6">
        <f>IF(ISBLANK('ENGAGEMENTS 2026'!B6),"",'ENGAGEMENTS 2026'!J6)</f>
        <v/>
      </c>
      <c r="Q6">
        <f>IF($A6="","",IF(OR($E6="INFRUCTUEUX",$E6="ANNULE"),$A6&amp;"|"&amp;(COUNTIFS($A$2:$A6,$A6,$E$2:$E6,"INFRUCTUEUX")+COUNTIFS($A$2:$A6,$A6,$E$2:$E6,"ANNULE")),""))</f>
        <v/>
      </c>
    </row>
    <row r="7">
      <c r="A7">
        <f>IF(ISBLANK('ENGAGEMENTS 2026'!B7),"",IF('ENGAGEMENTS 2026'!B7="DTSI","DCT",'ENGAGEMENTS 2026'!B7))</f>
        <v/>
      </c>
      <c r="B7">
        <f>IF(ISBLANK('ENGAGEMENTS 2026'!B7),"",'ENGAGEMENTS 2026'!C7)</f>
        <v/>
      </c>
      <c r="C7">
        <f>IF(ISBLANK('ENGAGEMENTS 2026'!B7),"",'ENGAGEMENTS 2026'!D7)</f>
        <v/>
      </c>
      <c r="D7">
        <f>IF(ISBLANK('ENGAGEMENTS 2026'!B7),"",'ENGAGEMENTS 2026'!F7)</f>
        <v/>
      </c>
      <c r="E7">
        <f>IF(ISBLANK('ENGAGEMENTS 2026'!B7),"",'ENGAGEMENTS 2026'!H7)</f>
        <v/>
      </c>
      <c r="F7">
        <f>IF(ISBLANK('ENGAGEMENTS 2026'!B7),"",'ENGAGEMENTS 2026'!I7)</f>
        <v/>
      </c>
      <c r="G7">
        <f>IF(ISBLANK('ENGAGEMENTS 2026'!B7),"",'ENGAGEMENTS 2026'!L7)</f>
        <v/>
      </c>
      <c r="H7">
        <f>IF(ISBLANK('ENGAGEMENTS 2026'!B7),"",'ENGAGEMENTS 2026'!AE7)</f>
        <v/>
      </c>
      <c r="I7">
        <f>IF(ISBLANK('ENGAGEMENTS 2026'!B7),"",'ENGAGEMENTS 2026'!G7)</f>
        <v/>
      </c>
      <c r="J7" s="275">
        <f>IF(ISBLANK('ENGAGEMENTS 2026'!B7),"",IF(AND(OR($E7="INFRUCTUEUX",$E7="ANNULE"),$C7="AOO-M"),'ENGAGEMENTS 2026'!O7,IF($H7="EN COURS DE PREENGAGEMENT",'ENGAGEMENTS 2026'!N7,IF($H7="PREENGAGE",IF($E7="ATTRIBUE",'ENGAGEMENTS 2026'!AD7,'ENGAGEMENTS 2026'!N7),'ENGAGEMENTS 2026'!AD7))))</f>
        <v/>
      </c>
      <c r="K7" s="604">
        <f>IF(ISBLANK('ENGAGEMENTS 2026'!V7),"",'ENGAGEMENTS 2026'!V7)</f>
        <v/>
      </c>
      <c r="L7" s="276">
        <f>IF($K7="","",TODAY()-$K7)</f>
        <v/>
      </c>
      <c r="M7">
        <f>IF($A7="","",IF($H7="ENGAGE","Engagé",IF(AND($H7="NON ENGAGE",OR($I7="INFRUCTUEUX",$I7="ANNULE")),"Clôturé sans suite","En cours")))</f>
        <v/>
      </c>
      <c r="N7">
        <f>IF(ISBLANK('ENGAGEMENTS 2026'!B7),"",'ENGAGEMENTS 2026'!K7)</f>
        <v/>
      </c>
      <c r="O7">
        <f>IF(ISBLANK('ENGAGEMENTS 2026'!B7),"",'ENGAGEMENTS 2026'!L7)</f>
        <v/>
      </c>
      <c r="P7">
        <f>IF(ISBLANK('ENGAGEMENTS 2026'!B7),"",'ENGAGEMENTS 2026'!J7)</f>
        <v/>
      </c>
      <c r="Q7">
        <f>IF($A7="","",IF(OR($E7="INFRUCTUEUX",$E7="ANNULE"),$A7&amp;"|"&amp;(COUNTIFS($A$2:$A7,$A7,$E$2:$E7,"INFRUCTUEUX")+COUNTIFS($A$2:$A7,$A7,$E$2:$E7,"ANNULE")),""))</f>
        <v/>
      </c>
    </row>
    <row r="8">
      <c r="A8">
        <f>IF(ISBLANK('ENGAGEMENTS 2026'!B8),"",IF('ENGAGEMENTS 2026'!B8="DTSI","DCT",'ENGAGEMENTS 2026'!B8))</f>
        <v/>
      </c>
      <c r="B8">
        <f>IF(ISBLANK('ENGAGEMENTS 2026'!B8),"",'ENGAGEMENTS 2026'!C8)</f>
        <v/>
      </c>
      <c r="C8">
        <f>IF(ISBLANK('ENGAGEMENTS 2026'!B8),"",'ENGAGEMENTS 2026'!D8)</f>
        <v/>
      </c>
      <c r="D8">
        <f>IF(ISBLANK('ENGAGEMENTS 2026'!B8),"",'ENGAGEMENTS 2026'!F8)</f>
        <v/>
      </c>
      <c r="E8">
        <f>IF(ISBLANK('ENGAGEMENTS 2026'!B8),"",'ENGAGEMENTS 2026'!H8)</f>
        <v/>
      </c>
      <c r="F8">
        <f>IF(ISBLANK('ENGAGEMENTS 2026'!B8),"",'ENGAGEMENTS 2026'!I8)</f>
        <v/>
      </c>
      <c r="G8">
        <f>IF(ISBLANK('ENGAGEMENTS 2026'!B8),"",'ENGAGEMENTS 2026'!L8)</f>
        <v/>
      </c>
      <c r="H8">
        <f>IF(ISBLANK('ENGAGEMENTS 2026'!B8),"",'ENGAGEMENTS 2026'!AE8)</f>
        <v/>
      </c>
      <c r="I8">
        <f>IF(ISBLANK('ENGAGEMENTS 2026'!B8),"",'ENGAGEMENTS 2026'!G8)</f>
        <v/>
      </c>
      <c r="J8" s="275">
        <f>IF(ISBLANK('ENGAGEMENTS 2026'!B8),"",IF(AND(OR($E8="INFRUCTUEUX",$E8="ANNULE"),$C8="AOO-M"),'ENGAGEMENTS 2026'!O8,IF($H8="EN COURS DE PREENGAGEMENT",'ENGAGEMENTS 2026'!N8,IF($H8="PREENGAGE",IF($E8="ATTRIBUE",'ENGAGEMENTS 2026'!AD8,'ENGAGEMENTS 2026'!N8),'ENGAGEMENTS 2026'!AD8))))</f>
        <v/>
      </c>
      <c r="K8" s="604">
        <f>IF(ISBLANK('ENGAGEMENTS 2026'!V8),"",'ENGAGEMENTS 2026'!V8)</f>
        <v/>
      </c>
      <c r="L8" s="276">
        <f>IF($K8="","",TODAY()-$K8)</f>
        <v/>
      </c>
      <c r="M8">
        <f>IF($A8="","",IF($H8="ENGAGE","Engagé",IF(AND($H8="NON ENGAGE",OR($I8="INFRUCTUEUX",$I8="ANNULE")),"Clôturé sans suite","En cours")))</f>
        <v/>
      </c>
      <c r="N8">
        <f>IF(ISBLANK('ENGAGEMENTS 2026'!B8),"",'ENGAGEMENTS 2026'!K8)</f>
        <v/>
      </c>
      <c r="O8">
        <f>IF(ISBLANK('ENGAGEMENTS 2026'!B8),"",'ENGAGEMENTS 2026'!L8)</f>
        <v/>
      </c>
      <c r="P8">
        <f>IF(ISBLANK('ENGAGEMENTS 2026'!B8),"",'ENGAGEMENTS 2026'!J8)</f>
        <v/>
      </c>
      <c r="Q8">
        <f>IF($A8="","",IF(OR($E8="INFRUCTUEUX",$E8="ANNULE"),$A8&amp;"|"&amp;(COUNTIFS($A$2:$A8,$A8,$E$2:$E8,"INFRUCTUEUX")+COUNTIFS($A$2:$A8,$A8,$E$2:$E8,"ANNULE")),""))</f>
        <v/>
      </c>
    </row>
    <row r="9">
      <c r="A9">
        <f>IF(ISBLANK('ENGAGEMENTS 2026'!B9),"",IF('ENGAGEMENTS 2026'!B9="DTSI","DCT",'ENGAGEMENTS 2026'!B9))</f>
        <v/>
      </c>
      <c r="B9">
        <f>IF(ISBLANK('ENGAGEMENTS 2026'!B9),"",'ENGAGEMENTS 2026'!C9)</f>
        <v/>
      </c>
      <c r="C9">
        <f>IF(ISBLANK('ENGAGEMENTS 2026'!B9),"",'ENGAGEMENTS 2026'!D9)</f>
        <v/>
      </c>
      <c r="D9">
        <f>IF(ISBLANK('ENGAGEMENTS 2026'!B9),"",'ENGAGEMENTS 2026'!F9)</f>
        <v/>
      </c>
      <c r="E9">
        <f>IF(ISBLANK('ENGAGEMENTS 2026'!B9),"",'ENGAGEMENTS 2026'!H9)</f>
        <v/>
      </c>
      <c r="F9">
        <f>IF(ISBLANK('ENGAGEMENTS 2026'!B9),"",'ENGAGEMENTS 2026'!I9)</f>
        <v/>
      </c>
      <c r="G9">
        <f>IF(ISBLANK('ENGAGEMENTS 2026'!B9),"",'ENGAGEMENTS 2026'!L9)</f>
        <v/>
      </c>
      <c r="H9">
        <f>IF(ISBLANK('ENGAGEMENTS 2026'!B9),"",'ENGAGEMENTS 2026'!AE9)</f>
        <v/>
      </c>
      <c r="I9">
        <f>IF(ISBLANK('ENGAGEMENTS 2026'!B9),"",'ENGAGEMENTS 2026'!G9)</f>
        <v/>
      </c>
      <c r="J9" s="275">
        <f>IF(ISBLANK('ENGAGEMENTS 2026'!B9),"",IF(AND(OR($E9="INFRUCTUEUX",$E9="ANNULE"),$C9="AOO-M"),'ENGAGEMENTS 2026'!O9,IF($H9="EN COURS DE PREENGAGEMENT",'ENGAGEMENTS 2026'!N9,IF($H9="PREENGAGE",IF($E9="ATTRIBUE",'ENGAGEMENTS 2026'!AD9,'ENGAGEMENTS 2026'!N9),'ENGAGEMENTS 2026'!AD9))))</f>
        <v/>
      </c>
      <c r="K9" s="604">
        <f>IF(ISBLANK('ENGAGEMENTS 2026'!V9),"",'ENGAGEMENTS 2026'!V9)</f>
        <v/>
      </c>
      <c r="L9" s="276">
        <f>IF($K9="","",TODAY()-$K9)</f>
        <v/>
      </c>
      <c r="M9">
        <f>IF($A9="","",IF($H9="ENGAGE","Engagé",IF(AND($H9="NON ENGAGE",OR($I9="INFRUCTUEUX",$I9="ANNULE")),"Clôturé sans suite","En cours")))</f>
        <v/>
      </c>
      <c r="N9">
        <f>IF(ISBLANK('ENGAGEMENTS 2026'!B9),"",'ENGAGEMENTS 2026'!K9)</f>
        <v/>
      </c>
      <c r="O9">
        <f>IF(ISBLANK('ENGAGEMENTS 2026'!B9),"",'ENGAGEMENTS 2026'!L9)</f>
        <v/>
      </c>
      <c r="P9">
        <f>IF(ISBLANK('ENGAGEMENTS 2026'!B9),"",'ENGAGEMENTS 2026'!J9)</f>
        <v/>
      </c>
      <c r="Q9">
        <f>IF($A9="","",IF(OR($E9="INFRUCTUEUX",$E9="ANNULE"),$A9&amp;"|"&amp;(COUNTIFS($A$2:$A9,$A9,$E$2:$E9,"INFRUCTUEUX")+COUNTIFS($A$2:$A9,$A9,$E$2:$E9,"ANNULE")),""))</f>
        <v/>
      </c>
    </row>
    <row r="10">
      <c r="A10">
        <f>IF(ISBLANK('ENGAGEMENTS 2026'!B10),"",IF('ENGAGEMENTS 2026'!B10="DTSI","DCT",'ENGAGEMENTS 2026'!B10))</f>
        <v/>
      </c>
      <c r="B10">
        <f>IF(ISBLANK('ENGAGEMENTS 2026'!B10),"",'ENGAGEMENTS 2026'!C10)</f>
        <v/>
      </c>
      <c r="C10">
        <f>IF(ISBLANK('ENGAGEMENTS 2026'!B10),"",'ENGAGEMENTS 2026'!D10)</f>
        <v/>
      </c>
      <c r="D10">
        <f>IF(ISBLANK('ENGAGEMENTS 2026'!B10),"",'ENGAGEMENTS 2026'!F10)</f>
        <v/>
      </c>
      <c r="E10">
        <f>IF(ISBLANK('ENGAGEMENTS 2026'!B10),"",'ENGAGEMENTS 2026'!H10)</f>
        <v/>
      </c>
      <c r="F10">
        <f>IF(ISBLANK('ENGAGEMENTS 2026'!B10),"",'ENGAGEMENTS 2026'!I10)</f>
        <v/>
      </c>
      <c r="G10">
        <f>IF(ISBLANK('ENGAGEMENTS 2026'!B10),"",'ENGAGEMENTS 2026'!L10)</f>
        <v/>
      </c>
      <c r="H10">
        <f>IF(ISBLANK('ENGAGEMENTS 2026'!B10),"",'ENGAGEMENTS 2026'!AE10)</f>
        <v/>
      </c>
      <c r="I10">
        <f>IF(ISBLANK('ENGAGEMENTS 2026'!B10),"",'ENGAGEMENTS 2026'!G10)</f>
        <v/>
      </c>
      <c r="J10" s="275">
        <f>IF(ISBLANK('ENGAGEMENTS 2026'!B10),"",IF(AND(OR($E10="INFRUCTUEUX",$E10="ANNULE"),$C10="AOO-M"),'ENGAGEMENTS 2026'!O10,IF($H10="EN COURS DE PREENGAGEMENT",'ENGAGEMENTS 2026'!N10,IF($H10="PREENGAGE",IF($E10="ATTRIBUE",'ENGAGEMENTS 2026'!AD10,'ENGAGEMENTS 2026'!N10),'ENGAGEMENTS 2026'!AD10))))</f>
        <v/>
      </c>
      <c r="K10" s="604">
        <f>IF(ISBLANK('ENGAGEMENTS 2026'!V10),"",'ENGAGEMENTS 2026'!V10)</f>
        <v/>
      </c>
      <c r="L10" s="276">
        <f>IF($K10="","",TODAY()-$K10)</f>
        <v/>
      </c>
      <c r="M10">
        <f>IF($A10="","",IF($H10="ENGAGE","Engagé",IF(AND($H10="NON ENGAGE",OR($I10="INFRUCTUEUX",$I10="ANNULE")),"Clôturé sans suite","En cours")))</f>
        <v/>
      </c>
      <c r="N10">
        <f>IF(ISBLANK('ENGAGEMENTS 2026'!B10),"",'ENGAGEMENTS 2026'!K10)</f>
        <v/>
      </c>
      <c r="O10">
        <f>IF(ISBLANK('ENGAGEMENTS 2026'!B10),"",'ENGAGEMENTS 2026'!L10)</f>
        <v/>
      </c>
      <c r="P10">
        <f>IF(ISBLANK('ENGAGEMENTS 2026'!B10),"",'ENGAGEMENTS 2026'!J10)</f>
        <v/>
      </c>
      <c r="Q10">
        <f>IF($A10="","",IF(OR($E10="INFRUCTUEUX",$E10="ANNULE"),$A10&amp;"|"&amp;(COUNTIFS($A$2:$A10,$A10,$E$2:$E10,"INFRUCTUEUX")+COUNTIFS($A$2:$A10,$A10,$E$2:$E10,"ANNULE")),""))</f>
        <v/>
      </c>
    </row>
    <row r="11">
      <c r="A11">
        <f>IF(ISBLANK('ENGAGEMENTS 2026'!B11),"",IF('ENGAGEMENTS 2026'!B11="DTSI","DCT",'ENGAGEMENTS 2026'!B11))</f>
        <v/>
      </c>
      <c r="B11">
        <f>IF(ISBLANK('ENGAGEMENTS 2026'!B11),"",'ENGAGEMENTS 2026'!C11)</f>
        <v/>
      </c>
      <c r="C11">
        <f>IF(ISBLANK('ENGAGEMENTS 2026'!B11),"",'ENGAGEMENTS 2026'!D11)</f>
        <v/>
      </c>
      <c r="D11">
        <f>IF(ISBLANK('ENGAGEMENTS 2026'!B11),"",'ENGAGEMENTS 2026'!F11)</f>
        <v/>
      </c>
      <c r="E11">
        <f>IF(ISBLANK('ENGAGEMENTS 2026'!B11),"",'ENGAGEMENTS 2026'!H11)</f>
        <v/>
      </c>
      <c r="F11">
        <f>IF(ISBLANK('ENGAGEMENTS 2026'!B11),"",'ENGAGEMENTS 2026'!I11)</f>
        <v/>
      </c>
      <c r="G11">
        <f>IF(ISBLANK('ENGAGEMENTS 2026'!B11),"",'ENGAGEMENTS 2026'!L11)</f>
        <v/>
      </c>
      <c r="H11">
        <f>IF(ISBLANK('ENGAGEMENTS 2026'!B11),"",'ENGAGEMENTS 2026'!AE11)</f>
        <v/>
      </c>
      <c r="I11">
        <f>IF(ISBLANK('ENGAGEMENTS 2026'!B11),"",'ENGAGEMENTS 2026'!G11)</f>
        <v/>
      </c>
      <c r="J11" s="275">
        <f>IF(ISBLANK('ENGAGEMENTS 2026'!B11),"",IF(AND(OR($E11="INFRUCTUEUX",$E11="ANNULE"),$C11="AOO-M"),'ENGAGEMENTS 2026'!O11,IF($H11="EN COURS DE PREENGAGEMENT",'ENGAGEMENTS 2026'!N11,IF($H11="PREENGAGE",IF($E11="ATTRIBUE",'ENGAGEMENTS 2026'!AD11,'ENGAGEMENTS 2026'!N11),'ENGAGEMENTS 2026'!AD11))))</f>
        <v/>
      </c>
      <c r="K11" s="604">
        <f>IF(ISBLANK('ENGAGEMENTS 2026'!V11),"",'ENGAGEMENTS 2026'!V11)</f>
        <v/>
      </c>
      <c r="L11" s="276">
        <f>IF($K11="","",TODAY()-$K11)</f>
        <v/>
      </c>
      <c r="M11">
        <f>IF($A11="","",IF($H11="ENGAGE","Engagé",IF(AND($H11="NON ENGAGE",OR($I11="INFRUCTUEUX",$I11="ANNULE")),"Clôturé sans suite","En cours")))</f>
        <v/>
      </c>
      <c r="N11">
        <f>IF(ISBLANK('ENGAGEMENTS 2026'!B11),"",'ENGAGEMENTS 2026'!K11)</f>
        <v/>
      </c>
      <c r="O11">
        <f>IF(ISBLANK('ENGAGEMENTS 2026'!B11),"",'ENGAGEMENTS 2026'!L11)</f>
        <v/>
      </c>
      <c r="P11">
        <f>IF(ISBLANK('ENGAGEMENTS 2026'!B11),"",'ENGAGEMENTS 2026'!J11)</f>
        <v/>
      </c>
      <c r="Q11">
        <f>IF($A11="","",IF(OR($E11="INFRUCTUEUX",$E11="ANNULE"),$A11&amp;"|"&amp;(COUNTIFS($A$2:$A11,$A11,$E$2:$E11,"INFRUCTUEUX")+COUNTIFS($A$2:$A11,$A11,$E$2:$E11,"ANNULE")),""))</f>
        <v/>
      </c>
    </row>
    <row r="12">
      <c r="A12">
        <f>IF(ISBLANK('ENGAGEMENTS 2026'!B12),"",IF('ENGAGEMENTS 2026'!B12="DTSI","DCT",'ENGAGEMENTS 2026'!B12))</f>
        <v/>
      </c>
      <c r="B12">
        <f>IF(ISBLANK('ENGAGEMENTS 2026'!B12),"",'ENGAGEMENTS 2026'!C12)</f>
        <v/>
      </c>
      <c r="C12">
        <f>IF(ISBLANK('ENGAGEMENTS 2026'!B12),"",'ENGAGEMENTS 2026'!D12)</f>
        <v/>
      </c>
      <c r="D12">
        <f>IF(ISBLANK('ENGAGEMENTS 2026'!B12),"",'ENGAGEMENTS 2026'!F12)</f>
        <v/>
      </c>
      <c r="E12">
        <f>IF(ISBLANK('ENGAGEMENTS 2026'!B12),"",'ENGAGEMENTS 2026'!H12)</f>
        <v/>
      </c>
      <c r="F12">
        <f>IF(ISBLANK('ENGAGEMENTS 2026'!B12),"",'ENGAGEMENTS 2026'!I12)</f>
        <v/>
      </c>
      <c r="G12">
        <f>IF(ISBLANK('ENGAGEMENTS 2026'!B12),"",'ENGAGEMENTS 2026'!L12)</f>
        <v/>
      </c>
      <c r="H12">
        <f>IF(ISBLANK('ENGAGEMENTS 2026'!B12),"",'ENGAGEMENTS 2026'!AE12)</f>
        <v/>
      </c>
      <c r="I12">
        <f>IF(ISBLANK('ENGAGEMENTS 2026'!B12),"",'ENGAGEMENTS 2026'!G12)</f>
        <v/>
      </c>
      <c r="J12" s="275">
        <f>IF(ISBLANK('ENGAGEMENTS 2026'!B12),"",IF(AND(OR($E12="INFRUCTUEUX",$E12="ANNULE"),$C12="AOO-M"),'ENGAGEMENTS 2026'!O12,IF($H12="EN COURS DE PREENGAGEMENT",'ENGAGEMENTS 2026'!N12,IF($H12="PREENGAGE",IF($E12="ATTRIBUE",'ENGAGEMENTS 2026'!AD12,'ENGAGEMENTS 2026'!N12),'ENGAGEMENTS 2026'!AD12))))</f>
        <v/>
      </c>
      <c r="K12" s="604">
        <f>IF(ISBLANK('ENGAGEMENTS 2026'!V12),"",'ENGAGEMENTS 2026'!V12)</f>
        <v/>
      </c>
      <c r="L12" s="276">
        <f>IF($K12="","",TODAY()-$K12)</f>
        <v/>
      </c>
      <c r="M12">
        <f>IF($A12="","",IF($H12="ENGAGE","Engagé",IF(AND($H12="NON ENGAGE",OR($I12="INFRUCTUEUX",$I12="ANNULE")),"Clôturé sans suite","En cours")))</f>
        <v/>
      </c>
      <c r="N12">
        <f>IF(ISBLANK('ENGAGEMENTS 2026'!B12),"",'ENGAGEMENTS 2026'!K12)</f>
        <v/>
      </c>
      <c r="O12">
        <f>IF(ISBLANK('ENGAGEMENTS 2026'!B12),"",'ENGAGEMENTS 2026'!L12)</f>
        <v/>
      </c>
      <c r="P12">
        <f>IF(ISBLANK('ENGAGEMENTS 2026'!B12),"",'ENGAGEMENTS 2026'!J12)</f>
        <v/>
      </c>
      <c r="Q12">
        <f>IF($A12="","",IF(OR($E12="INFRUCTUEUX",$E12="ANNULE"),$A12&amp;"|"&amp;(COUNTIFS($A$2:$A12,$A12,$E$2:$E12,"INFRUCTUEUX")+COUNTIFS($A$2:$A12,$A12,$E$2:$E12,"ANNULE")),""))</f>
        <v/>
      </c>
    </row>
    <row r="13">
      <c r="A13">
        <f>IF(ISBLANK('ENGAGEMENTS 2026'!B13),"",IF('ENGAGEMENTS 2026'!B13="DTSI","DCT",'ENGAGEMENTS 2026'!B13))</f>
        <v/>
      </c>
      <c r="B13">
        <f>IF(ISBLANK('ENGAGEMENTS 2026'!B13),"",'ENGAGEMENTS 2026'!C13)</f>
        <v/>
      </c>
      <c r="C13">
        <f>IF(ISBLANK('ENGAGEMENTS 2026'!B13),"",'ENGAGEMENTS 2026'!D13)</f>
        <v/>
      </c>
      <c r="D13">
        <f>IF(ISBLANK('ENGAGEMENTS 2026'!B13),"",'ENGAGEMENTS 2026'!F13)</f>
        <v/>
      </c>
      <c r="E13">
        <f>IF(ISBLANK('ENGAGEMENTS 2026'!B13),"",'ENGAGEMENTS 2026'!H13)</f>
        <v/>
      </c>
      <c r="F13">
        <f>IF(ISBLANK('ENGAGEMENTS 2026'!B13),"",'ENGAGEMENTS 2026'!I13)</f>
        <v/>
      </c>
      <c r="G13">
        <f>IF(ISBLANK('ENGAGEMENTS 2026'!B13),"",'ENGAGEMENTS 2026'!L13)</f>
        <v/>
      </c>
      <c r="H13">
        <f>IF(ISBLANK('ENGAGEMENTS 2026'!B13),"",'ENGAGEMENTS 2026'!AE13)</f>
        <v/>
      </c>
      <c r="I13">
        <f>IF(ISBLANK('ENGAGEMENTS 2026'!B13),"",'ENGAGEMENTS 2026'!G13)</f>
        <v/>
      </c>
      <c r="J13" s="275">
        <f>IF(ISBLANK('ENGAGEMENTS 2026'!B13),"",IF(AND(OR($E13="INFRUCTUEUX",$E13="ANNULE"),$C13="AOO-M"),'ENGAGEMENTS 2026'!O13,IF($H13="EN COURS DE PREENGAGEMENT",'ENGAGEMENTS 2026'!N13,IF($H13="PREENGAGE",IF($E13="ATTRIBUE",'ENGAGEMENTS 2026'!AD13,'ENGAGEMENTS 2026'!N13),'ENGAGEMENTS 2026'!AD13))))</f>
        <v/>
      </c>
      <c r="K13" s="604">
        <f>IF(ISBLANK('ENGAGEMENTS 2026'!V13),"",'ENGAGEMENTS 2026'!V13)</f>
        <v/>
      </c>
      <c r="L13" s="276">
        <f>IF($K13="","",TODAY()-$K13)</f>
        <v/>
      </c>
      <c r="M13">
        <f>IF($A13="","",IF($H13="ENGAGE","Engagé",IF(AND($H13="NON ENGAGE",OR($I13="INFRUCTUEUX",$I13="ANNULE")),"Clôturé sans suite","En cours")))</f>
        <v/>
      </c>
      <c r="N13">
        <f>IF(ISBLANK('ENGAGEMENTS 2026'!B13),"",'ENGAGEMENTS 2026'!K13)</f>
        <v/>
      </c>
      <c r="O13">
        <f>IF(ISBLANK('ENGAGEMENTS 2026'!B13),"",'ENGAGEMENTS 2026'!L13)</f>
        <v/>
      </c>
      <c r="P13">
        <f>IF(ISBLANK('ENGAGEMENTS 2026'!B13),"",'ENGAGEMENTS 2026'!J13)</f>
        <v/>
      </c>
      <c r="Q13">
        <f>IF($A13="","",IF(OR($E13="INFRUCTUEUX",$E13="ANNULE"),$A13&amp;"|"&amp;(COUNTIFS($A$2:$A13,$A13,$E$2:$E13,"INFRUCTUEUX")+COUNTIFS($A$2:$A13,$A13,$E$2:$E13,"ANNULE")),""))</f>
        <v/>
      </c>
    </row>
    <row r="14">
      <c r="A14">
        <f>IF(ISBLANK('ENGAGEMENTS 2026'!B14),"",IF('ENGAGEMENTS 2026'!B14="DTSI","DCT",'ENGAGEMENTS 2026'!B14))</f>
        <v/>
      </c>
      <c r="B14">
        <f>IF(ISBLANK('ENGAGEMENTS 2026'!B14),"",'ENGAGEMENTS 2026'!C14)</f>
        <v/>
      </c>
      <c r="C14">
        <f>IF(ISBLANK('ENGAGEMENTS 2026'!B14),"",'ENGAGEMENTS 2026'!D14)</f>
        <v/>
      </c>
      <c r="D14">
        <f>IF(ISBLANK('ENGAGEMENTS 2026'!B14),"",'ENGAGEMENTS 2026'!F14)</f>
        <v/>
      </c>
      <c r="E14">
        <f>IF(ISBLANK('ENGAGEMENTS 2026'!B14),"",'ENGAGEMENTS 2026'!H14)</f>
        <v/>
      </c>
      <c r="F14">
        <f>IF(ISBLANK('ENGAGEMENTS 2026'!B14),"",'ENGAGEMENTS 2026'!I14)</f>
        <v/>
      </c>
      <c r="G14">
        <f>IF(ISBLANK('ENGAGEMENTS 2026'!B14),"",'ENGAGEMENTS 2026'!L14)</f>
        <v/>
      </c>
      <c r="H14">
        <f>IF(ISBLANK('ENGAGEMENTS 2026'!B14),"",'ENGAGEMENTS 2026'!AE14)</f>
        <v/>
      </c>
      <c r="I14">
        <f>IF(ISBLANK('ENGAGEMENTS 2026'!B14),"",'ENGAGEMENTS 2026'!G14)</f>
        <v/>
      </c>
      <c r="J14" s="275">
        <f>IF(ISBLANK('ENGAGEMENTS 2026'!B14),"",IF(AND(OR($E14="INFRUCTUEUX",$E14="ANNULE"),$C14="AOO-M"),'ENGAGEMENTS 2026'!O14,IF($H14="EN COURS DE PREENGAGEMENT",'ENGAGEMENTS 2026'!N14,IF($H14="PREENGAGE",IF($E14="ATTRIBUE",'ENGAGEMENTS 2026'!AD14,'ENGAGEMENTS 2026'!N14),'ENGAGEMENTS 2026'!AD14))))</f>
        <v/>
      </c>
      <c r="K14" s="604">
        <f>IF(ISBLANK('ENGAGEMENTS 2026'!V14),"",'ENGAGEMENTS 2026'!V14)</f>
        <v/>
      </c>
      <c r="L14" s="276">
        <f>IF($K14="","",TODAY()-$K14)</f>
        <v/>
      </c>
      <c r="M14">
        <f>IF($A14="","",IF($H14="ENGAGE","Engagé",IF(AND($H14="NON ENGAGE",OR($I14="INFRUCTUEUX",$I14="ANNULE")),"Clôturé sans suite","En cours")))</f>
        <v/>
      </c>
      <c r="N14">
        <f>IF(ISBLANK('ENGAGEMENTS 2026'!B14),"",'ENGAGEMENTS 2026'!K14)</f>
        <v/>
      </c>
      <c r="O14">
        <f>IF(ISBLANK('ENGAGEMENTS 2026'!B14),"",'ENGAGEMENTS 2026'!L14)</f>
        <v/>
      </c>
      <c r="P14">
        <f>IF(ISBLANK('ENGAGEMENTS 2026'!B14),"",'ENGAGEMENTS 2026'!J14)</f>
        <v/>
      </c>
      <c r="Q14">
        <f>IF($A14="","",IF(OR($E14="INFRUCTUEUX",$E14="ANNULE"),$A14&amp;"|"&amp;(COUNTIFS($A$2:$A14,$A14,$E$2:$E14,"INFRUCTUEUX")+COUNTIFS($A$2:$A14,$A14,$E$2:$E14,"ANNULE")),""))</f>
        <v/>
      </c>
    </row>
    <row r="15">
      <c r="A15">
        <f>IF(ISBLANK('ENGAGEMENTS 2026'!B15),"",IF('ENGAGEMENTS 2026'!B15="DTSI","DCT",'ENGAGEMENTS 2026'!B15))</f>
        <v/>
      </c>
      <c r="B15">
        <f>IF(ISBLANK('ENGAGEMENTS 2026'!B15),"",'ENGAGEMENTS 2026'!C15)</f>
        <v/>
      </c>
      <c r="C15">
        <f>IF(ISBLANK('ENGAGEMENTS 2026'!B15),"",'ENGAGEMENTS 2026'!D15)</f>
        <v/>
      </c>
      <c r="D15">
        <f>IF(ISBLANK('ENGAGEMENTS 2026'!B15),"",'ENGAGEMENTS 2026'!F15)</f>
        <v/>
      </c>
      <c r="E15">
        <f>IF(ISBLANK('ENGAGEMENTS 2026'!B15),"",'ENGAGEMENTS 2026'!H15)</f>
        <v/>
      </c>
      <c r="F15">
        <f>IF(ISBLANK('ENGAGEMENTS 2026'!B15),"",'ENGAGEMENTS 2026'!I15)</f>
        <v/>
      </c>
      <c r="G15">
        <f>IF(ISBLANK('ENGAGEMENTS 2026'!B15),"",'ENGAGEMENTS 2026'!L15)</f>
        <v/>
      </c>
      <c r="H15">
        <f>IF(ISBLANK('ENGAGEMENTS 2026'!B15),"",'ENGAGEMENTS 2026'!AE15)</f>
        <v/>
      </c>
      <c r="I15">
        <f>IF(ISBLANK('ENGAGEMENTS 2026'!B15),"",'ENGAGEMENTS 2026'!G15)</f>
        <v/>
      </c>
      <c r="J15" s="275">
        <f>IF(ISBLANK('ENGAGEMENTS 2026'!B15),"",IF(AND(OR($E15="INFRUCTUEUX",$E15="ANNULE"),$C15="AOO-M"),'ENGAGEMENTS 2026'!O15,IF($H15="EN COURS DE PREENGAGEMENT",'ENGAGEMENTS 2026'!N15,IF($H15="PREENGAGE",IF($E15="ATTRIBUE",'ENGAGEMENTS 2026'!AD15,'ENGAGEMENTS 2026'!N15),'ENGAGEMENTS 2026'!AD15))))</f>
        <v/>
      </c>
      <c r="K15" s="604">
        <f>IF(ISBLANK('ENGAGEMENTS 2026'!V15),"",'ENGAGEMENTS 2026'!V15)</f>
        <v/>
      </c>
      <c r="L15" s="276">
        <f>IF($K15="","",TODAY()-$K15)</f>
        <v/>
      </c>
      <c r="M15">
        <f>IF($A15="","",IF($H15="ENGAGE","Engagé",IF(AND($H15="NON ENGAGE",OR($I15="INFRUCTUEUX",$I15="ANNULE")),"Clôturé sans suite","En cours")))</f>
        <v/>
      </c>
      <c r="N15">
        <f>IF(ISBLANK('ENGAGEMENTS 2026'!B15),"",'ENGAGEMENTS 2026'!K15)</f>
        <v/>
      </c>
      <c r="O15">
        <f>IF(ISBLANK('ENGAGEMENTS 2026'!B15),"",'ENGAGEMENTS 2026'!L15)</f>
        <v/>
      </c>
      <c r="P15">
        <f>IF(ISBLANK('ENGAGEMENTS 2026'!B15),"",'ENGAGEMENTS 2026'!J15)</f>
        <v/>
      </c>
      <c r="Q15">
        <f>IF($A15="","",IF(OR($E15="INFRUCTUEUX",$E15="ANNULE"),$A15&amp;"|"&amp;(COUNTIFS($A$2:$A15,$A15,$E$2:$E15,"INFRUCTUEUX")+COUNTIFS($A$2:$A15,$A15,$E$2:$E15,"ANNULE")),""))</f>
        <v/>
      </c>
    </row>
    <row r="16">
      <c r="A16">
        <f>IF(ISBLANK('ENGAGEMENTS 2026'!B16),"",IF('ENGAGEMENTS 2026'!B16="DTSI","DCT",'ENGAGEMENTS 2026'!B16))</f>
        <v/>
      </c>
      <c r="B16">
        <f>IF(ISBLANK('ENGAGEMENTS 2026'!B16),"",'ENGAGEMENTS 2026'!C16)</f>
        <v/>
      </c>
      <c r="C16">
        <f>IF(ISBLANK('ENGAGEMENTS 2026'!B16),"",'ENGAGEMENTS 2026'!D16)</f>
        <v/>
      </c>
      <c r="D16">
        <f>IF(ISBLANK('ENGAGEMENTS 2026'!B16),"",'ENGAGEMENTS 2026'!F16)</f>
        <v/>
      </c>
      <c r="E16">
        <f>IF(ISBLANK('ENGAGEMENTS 2026'!B16),"",'ENGAGEMENTS 2026'!H16)</f>
        <v/>
      </c>
      <c r="F16">
        <f>IF(ISBLANK('ENGAGEMENTS 2026'!B16),"",'ENGAGEMENTS 2026'!I16)</f>
        <v/>
      </c>
      <c r="G16">
        <f>IF(ISBLANK('ENGAGEMENTS 2026'!B16),"",'ENGAGEMENTS 2026'!L16)</f>
        <v/>
      </c>
      <c r="H16">
        <f>IF(ISBLANK('ENGAGEMENTS 2026'!B16),"",'ENGAGEMENTS 2026'!AE16)</f>
        <v/>
      </c>
      <c r="I16">
        <f>IF(ISBLANK('ENGAGEMENTS 2026'!B16),"",'ENGAGEMENTS 2026'!G16)</f>
        <v/>
      </c>
      <c r="J16" s="275">
        <f>IF(ISBLANK('ENGAGEMENTS 2026'!B16),"",IF(AND(OR($E16="INFRUCTUEUX",$E16="ANNULE"),$C16="AOO-M"),'ENGAGEMENTS 2026'!O16,IF($H16="EN COURS DE PREENGAGEMENT",'ENGAGEMENTS 2026'!N16,IF($H16="PREENGAGE",IF($E16="ATTRIBUE",'ENGAGEMENTS 2026'!AD16,'ENGAGEMENTS 2026'!N16),'ENGAGEMENTS 2026'!AD16))))</f>
        <v/>
      </c>
      <c r="K16" s="604">
        <f>IF(ISBLANK('ENGAGEMENTS 2026'!V16),"",'ENGAGEMENTS 2026'!V16)</f>
        <v/>
      </c>
      <c r="L16" s="276">
        <f>IF($K16="","",TODAY()-$K16)</f>
        <v/>
      </c>
      <c r="M16">
        <f>IF($A16="","",IF($H16="ENGAGE","Engagé",IF(AND($H16="NON ENGAGE",OR($I16="INFRUCTUEUX",$I16="ANNULE")),"Clôturé sans suite","En cours")))</f>
        <v/>
      </c>
      <c r="N16">
        <f>IF(ISBLANK('ENGAGEMENTS 2026'!B16),"",'ENGAGEMENTS 2026'!K16)</f>
        <v/>
      </c>
      <c r="O16">
        <f>IF(ISBLANK('ENGAGEMENTS 2026'!B16),"",'ENGAGEMENTS 2026'!L16)</f>
        <v/>
      </c>
      <c r="P16">
        <f>IF(ISBLANK('ENGAGEMENTS 2026'!B16),"",'ENGAGEMENTS 2026'!J16)</f>
        <v/>
      </c>
      <c r="Q16">
        <f>IF($A16="","",IF(OR($E16="INFRUCTUEUX",$E16="ANNULE"),$A16&amp;"|"&amp;(COUNTIFS($A$2:$A16,$A16,$E$2:$E16,"INFRUCTUEUX")+COUNTIFS($A$2:$A16,$A16,$E$2:$E16,"ANNULE")),""))</f>
        <v/>
      </c>
    </row>
    <row r="17">
      <c r="A17">
        <f>IF(ISBLANK('ENGAGEMENTS 2026'!B17),"",IF('ENGAGEMENTS 2026'!B17="DTSI","DCT",'ENGAGEMENTS 2026'!B17))</f>
        <v/>
      </c>
      <c r="B17">
        <f>IF(ISBLANK('ENGAGEMENTS 2026'!B17),"",'ENGAGEMENTS 2026'!C17)</f>
        <v/>
      </c>
      <c r="C17">
        <f>IF(ISBLANK('ENGAGEMENTS 2026'!B17),"",'ENGAGEMENTS 2026'!D17)</f>
        <v/>
      </c>
      <c r="D17">
        <f>IF(ISBLANK('ENGAGEMENTS 2026'!B17),"",'ENGAGEMENTS 2026'!F17)</f>
        <v/>
      </c>
      <c r="E17">
        <f>IF(ISBLANK('ENGAGEMENTS 2026'!B17),"",'ENGAGEMENTS 2026'!H17)</f>
        <v/>
      </c>
      <c r="F17">
        <f>IF(ISBLANK('ENGAGEMENTS 2026'!B17),"",'ENGAGEMENTS 2026'!I17)</f>
        <v/>
      </c>
      <c r="G17">
        <f>IF(ISBLANK('ENGAGEMENTS 2026'!B17),"",'ENGAGEMENTS 2026'!L17)</f>
        <v/>
      </c>
      <c r="H17">
        <f>IF(ISBLANK('ENGAGEMENTS 2026'!B17),"",'ENGAGEMENTS 2026'!AE17)</f>
        <v/>
      </c>
      <c r="I17">
        <f>IF(ISBLANK('ENGAGEMENTS 2026'!B17),"",'ENGAGEMENTS 2026'!G17)</f>
        <v/>
      </c>
      <c r="J17" s="275">
        <f>IF(ISBLANK('ENGAGEMENTS 2026'!B17),"",IF(AND(OR($E17="INFRUCTUEUX",$E17="ANNULE"),$C17="AOO-M"),'ENGAGEMENTS 2026'!O17,IF($H17="EN COURS DE PREENGAGEMENT",'ENGAGEMENTS 2026'!N17,IF($H17="PREENGAGE",IF($E17="ATTRIBUE",'ENGAGEMENTS 2026'!AD17,'ENGAGEMENTS 2026'!N17),'ENGAGEMENTS 2026'!AD17))))</f>
        <v/>
      </c>
      <c r="K17" s="604">
        <f>IF(ISBLANK('ENGAGEMENTS 2026'!V17),"",'ENGAGEMENTS 2026'!V17)</f>
        <v/>
      </c>
      <c r="L17" s="276">
        <f>IF($K17="","",TODAY()-$K17)</f>
        <v/>
      </c>
      <c r="M17">
        <f>IF($A17="","",IF($H17="ENGAGE","Engagé",IF(AND($H17="NON ENGAGE",OR($I17="INFRUCTUEUX",$I17="ANNULE")),"Clôturé sans suite","En cours")))</f>
        <v/>
      </c>
      <c r="N17">
        <f>IF(ISBLANK('ENGAGEMENTS 2026'!B17),"",'ENGAGEMENTS 2026'!K17)</f>
        <v/>
      </c>
      <c r="O17">
        <f>IF(ISBLANK('ENGAGEMENTS 2026'!B17),"",'ENGAGEMENTS 2026'!L17)</f>
        <v/>
      </c>
      <c r="P17">
        <f>IF(ISBLANK('ENGAGEMENTS 2026'!B17),"",'ENGAGEMENTS 2026'!J17)</f>
        <v/>
      </c>
      <c r="Q17">
        <f>IF($A17="","",IF(OR($E17="INFRUCTUEUX",$E17="ANNULE"),$A17&amp;"|"&amp;(COUNTIFS($A$2:$A17,$A17,$E$2:$E17,"INFRUCTUEUX")+COUNTIFS($A$2:$A17,$A17,$E$2:$E17,"ANNULE")),""))</f>
        <v/>
      </c>
    </row>
    <row r="18">
      <c r="A18">
        <f>IF(ISBLANK('ENGAGEMENTS 2026'!B18),"",IF('ENGAGEMENTS 2026'!B18="DTSI","DCT",'ENGAGEMENTS 2026'!B18))</f>
        <v/>
      </c>
      <c r="B18">
        <f>IF(ISBLANK('ENGAGEMENTS 2026'!B18),"",'ENGAGEMENTS 2026'!C18)</f>
        <v/>
      </c>
      <c r="C18">
        <f>IF(ISBLANK('ENGAGEMENTS 2026'!B18),"",'ENGAGEMENTS 2026'!D18)</f>
        <v/>
      </c>
      <c r="D18">
        <f>IF(ISBLANK('ENGAGEMENTS 2026'!B18),"",'ENGAGEMENTS 2026'!F18)</f>
        <v/>
      </c>
      <c r="E18">
        <f>IF(ISBLANK('ENGAGEMENTS 2026'!B18),"",'ENGAGEMENTS 2026'!H18)</f>
        <v/>
      </c>
      <c r="F18">
        <f>IF(ISBLANK('ENGAGEMENTS 2026'!B18),"",'ENGAGEMENTS 2026'!I18)</f>
        <v/>
      </c>
      <c r="G18">
        <f>IF(ISBLANK('ENGAGEMENTS 2026'!B18),"",'ENGAGEMENTS 2026'!L18)</f>
        <v/>
      </c>
      <c r="H18">
        <f>IF(ISBLANK('ENGAGEMENTS 2026'!B18),"",'ENGAGEMENTS 2026'!AE18)</f>
        <v/>
      </c>
      <c r="I18">
        <f>IF(ISBLANK('ENGAGEMENTS 2026'!B18),"",'ENGAGEMENTS 2026'!G18)</f>
        <v/>
      </c>
      <c r="J18" s="275">
        <f>IF(ISBLANK('ENGAGEMENTS 2026'!B18),"",IF(AND(OR($E18="INFRUCTUEUX",$E18="ANNULE"),$C18="AOO-M"),'ENGAGEMENTS 2026'!O18,IF($H18="EN COURS DE PREENGAGEMENT",'ENGAGEMENTS 2026'!N18,IF($H18="PREENGAGE",IF($E18="ATTRIBUE",'ENGAGEMENTS 2026'!AD18,'ENGAGEMENTS 2026'!N18),'ENGAGEMENTS 2026'!AD18))))</f>
        <v/>
      </c>
      <c r="K18" s="604">
        <f>IF(ISBLANK('ENGAGEMENTS 2026'!V18),"",'ENGAGEMENTS 2026'!V18)</f>
        <v/>
      </c>
      <c r="L18" s="276">
        <f>IF($K18="","",TODAY()-$K18)</f>
        <v/>
      </c>
      <c r="M18">
        <f>IF($A18="","",IF($H18="ENGAGE","Engagé",IF(AND($H18="NON ENGAGE",OR($I18="INFRUCTUEUX",$I18="ANNULE")),"Clôturé sans suite","En cours")))</f>
        <v/>
      </c>
      <c r="N18">
        <f>IF(ISBLANK('ENGAGEMENTS 2026'!B18),"",'ENGAGEMENTS 2026'!K18)</f>
        <v/>
      </c>
      <c r="O18">
        <f>IF(ISBLANK('ENGAGEMENTS 2026'!B18),"",'ENGAGEMENTS 2026'!L18)</f>
        <v/>
      </c>
      <c r="P18">
        <f>IF(ISBLANK('ENGAGEMENTS 2026'!B18),"",'ENGAGEMENTS 2026'!J18)</f>
        <v/>
      </c>
      <c r="Q18">
        <f>IF($A18="","",IF(OR($E18="INFRUCTUEUX",$E18="ANNULE"),$A18&amp;"|"&amp;(COUNTIFS($A$2:$A18,$A18,$E$2:$E18,"INFRUCTUEUX")+COUNTIFS($A$2:$A18,$A18,$E$2:$E18,"ANNULE")),""))</f>
        <v/>
      </c>
    </row>
    <row r="19">
      <c r="A19">
        <f>IF(ISBLANK('ENGAGEMENTS 2026'!B19),"",IF('ENGAGEMENTS 2026'!B19="DTSI","DCT",'ENGAGEMENTS 2026'!B19))</f>
        <v/>
      </c>
      <c r="B19">
        <f>IF(ISBLANK('ENGAGEMENTS 2026'!B19),"",'ENGAGEMENTS 2026'!C19)</f>
        <v/>
      </c>
      <c r="C19">
        <f>IF(ISBLANK('ENGAGEMENTS 2026'!B19),"",'ENGAGEMENTS 2026'!D19)</f>
        <v/>
      </c>
      <c r="D19">
        <f>IF(ISBLANK('ENGAGEMENTS 2026'!B19),"",'ENGAGEMENTS 2026'!F19)</f>
        <v/>
      </c>
      <c r="E19">
        <f>IF(ISBLANK('ENGAGEMENTS 2026'!B19),"",'ENGAGEMENTS 2026'!H19)</f>
        <v/>
      </c>
      <c r="F19">
        <f>IF(ISBLANK('ENGAGEMENTS 2026'!B19),"",'ENGAGEMENTS 2026'!I19)</f>
        <v/>
      </c>
      <c r="G19">
        <f>IF(ISBLANK('ENGAGEMENTS 2026'!B19),"",'ENGAGEMENTS 2026'!L19)</f>
        <v/>
      </c>
      <c r="H19">
        <f>IF(ISBLANK('ENGAGEMENTS 2026'!B19),"",'ENGAGEMENTS 2026'!AE19)</f>
        <v/>
      </c>
      <c r="I19">
        <f>IF(ISBLANK('ENGAGEMENTS 2026'!B19),"",'ENGAGEMENTS 2026'!G19)</f>
        <v/>
      </c>
      <c r="J19" s="275">
        <f>IF(ISBLANK('ENGAGEMENTS 2026'!B19),"",IF(AND(OR($E19="INFRUCTUEUX",$E19="ANNULE"),$C19="AOO-M"),'ENGAGEMENTS 2026'!O19,IF($H19="EN COURS DE PREENGAGEMENT",'ENGAGEMENTS 2026'!N19,IF($H19="PREENGAGE",IF($E19="ATTRIBUE",'ENGAGEMENTS 2026'!AD19,'ENGAGEMENTS 2026'!N19),'ENGAGEMENTS 2026'!AD19))))</f>
        <v/>
      </c>
      <c r="K19" s="604">
        <f>IF(ISBLANK('ENGAGEMENTS 2026'!V19),"",'ENGAGEMENTS 2026'!V19)</f>
        <v/>
      </c>
      <c r="L19" s="276">
        <f>IF($K19="","",TODAY()-$K19)</f>
        <v/>
      </c>
      <c r="M19">
        <f>IF($A19="","",IF($H19="ENGAGE","Engagé",IF(AND($H19="NON ENGAGE",OR($I19="INFRUCTUEUX",$I19="ANNULE")),"Clôturé sans suite","En cours")))</f>
        <v/>
      </c>
      <c r="N19">
        <f>IF(ISBLANK('ENGAGEMENTS 2026'!B19),"",'ENGAGEMENTS 2026'!K19)</f>
        <v/>
      </c>
      <c r="O19">
        <f>IF(ISBLANK('ENGAGEMENTS 2026'!B19),"",'ENGAGEMENTS 2026'!L19)</f>
        <v/>
      </c>
      <c r="P19">
        <f>IF(ISBLANK('ENGAGEMENTS 2026'!B19),"",'ENGAGEMENTS 2026'!J19)</f>
        <v/>
      </c>
      <c r="Q19">
        <f>IF($A19="","",IF(OR($E19="INFRUCTUEUX",$E19="ANNULE"),$A19&amp;"|"&amp;(COUNTIFS($A$2:$A19,$A19,$E$2:$E19,"INFRUCTUEUX")+COUNTIFS($A$2:$A19,$A19,$E$2:$E19,"ANNULE")),""))</f>
        <v/>
      </c>
    </row>
    <row r="20">
      <c r="A20">
        <f>IF(ISBLANK('ENGAGEMENTS 2026'!B20),"",IF('ENGAGEMENTS 2026'!B20="DTSI","DCT",'ENGAGEMENTS 2026'!B20))</f>
        <v/>
      </c>
      <c r="B20">
        <f>IF(ISBLANK('ENGAGEMENTS 2026'!B20),"",'ENGAGEMENTS 2026'!C20)</f>
        <v/>
      </c>
      <c r="C20">
        <f>IF(ISBLANK('ENGAGEMENTS 2026'!B20),"",'ENGAGEMENTS 2026'!D20)</f>
        <v/>
      </c>
      <c r="D20">
        <f>IF(ISBLANK('ENGAGEMENTS 2026'!B20),"",'ENGAGEMENTS 2026'!F20)</f>
        <v/>
      </c>
      <c r="E20">
        <f>IF(ISBLANK('ENGAGEMENTS 2026'!B20),"",'ENGAGEMENTS 2026'!H20)</f>
        <v/>
      </c>
      <c r="F20">
        <f>IF(ISBLANK('ENGAGEMENTS 2026'!B20),"",'ENGAGEMENTS 2026'!I20)</f>
        <v/>
      </c>
      <c r="G20">
        <f>IF(ISBLANK('ENGAGEMENTS 2026'!B20),"",'ENGAGEMENTS 2026'!L20)</f>
        <v/>
      </c>
      <c r="H20">
        <f>IF(ISBLANK('ENGAGEMENTS 2026'!B20),"",'ENGAGEMENTS 2026'!AE20)</f>
        <v/>
      </c>
      <c r="I20">
        <f>IF(ISBLANK('ENGAGEMENTS 2026'!B20),"",'ENGAGEMENTS 2026'!G20)</f>
        <v/>
      </c>
      <c r="J20" s="275">
        <f>IF(ISBLANK('ENGAGEMENTS 2026'!B20),"",IF(AND(OR($E20="INFRUCTUEUX",$E20="ANNULE"),$C20="AOO-M"),'ENGAGEMENTS 2026'!O20,IF($H20="EN COURS DE PREENGAGEMENT",'ENGAGEMENTS 2026'!N20,IF($H20="PREENGAGE",IF($E20="ATTRIBUE",'ENGAGEMENTS 2026'!AD20,'ENGAGEMENTS 2026'!N20),'ENGAGEMENTS 2026'!AD20))))</f>
        <v/>
      </c>
      <c r="K20" s="604">
        <f>IF(ISBLANK('ENGAGEMENTS 2026'!V20),"",'ENGAGEMENTS 2026'!V20)</f>
        <v/>
      </c>
      <c r="L20" s="276">
        <f>IF($K20="","",TODAY()-$K20)</f>
        <v/>
      </c>
      <c r="M20">
        <f>IF($A20="","",IF($H20="ENGAGE","Engagé",IF(AND($H20="NON ENGAGE",OR($I20="INFRUCTUEUX",$I20="ANNULE")),"Clôturé sans suite","En cours")))</f>
        <v/>
      </c>
      <c r="N20">
        <f>IF(ISBLANK('ENGAGEMENTS 2026'!B20),"",'ENGAGEMENTS 2026'!K20)</f>
        <v/>
      </c>
      <c r="O20">
        <f>IF(ISBLANK('ENGAGEMENTS 2026'!B20),"",'ENGAGEMENTS 2026'!L20)</f>
        <v/>
      </c>
      <c r="P20">
        <f>IF(ISBLANK('ENGAGEMENTS 2026'!B20),"",'ENGAGEMENTS 2026'!J20)</f>
        <v/>
      </c>
      <c r="Q20">
        <f>IF($A20="","",IF(OR($E20="INFRUCTUEUX",$E20="ANNULE"),$A20&amp;"|"&amp;(COUNTIFS($A$2:$A20,$A20,$E$2:$E20,"INFRUCTUEUX")+COUNTIFS($A$2:$A20,$A20,$E$2:$E20,"ANNULE")),""))</f>
        <v/>
      </c>
    </row>
    <row r="21">
      <c r="A21">
        <f>IF(ISBLANK('ENGAGEMENTS 2026'!B21),"",IF('ENGAGEMENTS 2026'!B21="DTSI","DCT",'ENGAGEMENTS 2026'!B21))</f>
        <v/>
      </c>
      <c r="B21">
        <f>IF(ISBLANK('ENGAGEMENTS 2026'!B21),"",'ENGAGEMENTS 2026'!C21)</f>
        <v/>
      </c>
      <c r="C21">
        <f>IF(ISBLANK('ENGAGEMENTS 2026'!B21),"",'ENGAGEMENTS 2026'!D21)</f>
        <v/>
      </c>
      <c r="D21">
        <f>IF(ISBLANK('ENGAGEMENTS 2026'!B21),"",'ENGAGEMENTS 2026'!F21)</f>
        <v/>
      </c>
      <c r="E21">
        <f>IF(ISBLANK('ENGAGEMENTS 2026'!B21),"",'ENGAGEMENTS 2026'!H21)</f>
        <v/>
      </c>
      <c r="F21">
        <f>IF(ISBLANK('ENGAGEMENTS 2026'!B21),"",'ENGAGEMENTS 2026'!I21)</f>
        <v/>
      </c>
      <c r="G21">
        <f>IF(ISBLANK('ENGAGEMENTS 2026'!B21),"",'ENGAGEMENTS 2026'!L21)</f>
        <v/>
      </c>
      <c r="H21">
        <f>IF(ISBLANK('ENGAGEMENTS 2026'!B21),"",'ENGAGEMENTS 2026'!AE21)</f>
        <v/>
      </c>
      <c r="I21">
        <f>IF(ISBLANK('ENGAGEMENTS 2026'!B21),"",'ENGAGEMENTS 2026'!G21)</f>
        <v/>
      </c>
      <c r="J21" s="275">
        <f>IF(ISBLANK('ENGAGEMENTS 2026'!B21),"",IF(AND(OR($E21="INFRUCTUEUX",$E21="ANNULE"),$C21="AOO-M"),'ENGAGEMENTS 2026'!O21,IF($H21="EN COURS DE PREENGAGEMENT",'ENGAGEMENTS 2026'!N21,IF($H21="PREENGAGE",IF($E21="ATTRIBUE",'ENGAGEMENTS 2026'!AD21,'ENGAGEMENTS 2026'!N21),'ENGAGEMENTS 2026'!AD21))))</f>
        <v/>
      </c>
      <c r="K21" s="604">
        <f>IF(ISBLANK('ENGAGEMENTS 2026'!V21),"",'ENGAGEMENTS 2026'!V21)</f>
        <v/>
      </c>
      <c r="L21" s="276">
        <f>IF($K21="","",TODAY()-$K21)</f>
        <v/>
      </c>
      <c r="M21">
        <f>IF($A21="","",IF($H21="ENGAGE","Engagé",IF(AND($H21="NON ENGAGE",OR($I21="INFRUCTUEUX",$I21="ANNULE")),"Clôturé sans suite","En cours")))</f>
        <v/>
      </c>
      <c r="N21">
        <f>IF(ISBLANK('ENGAGEMENTS 2026'!B21),"",'ENGAGEMENTS 2026'!K21)</f>
        <v/>
      </c>
      <c r="O21">
        <f>IF(ISBLANK('ENGAGEMENTS 2026'!B21),"",'ENGAGEMENTS 2026'!L21)</f>
        <v/>
      </c>
      <c r="P21">
        <f>IF(ISBLANK('ENGAGEMENTS 2026'!B21),"",'ENGAGEMENTS 2026'!J21)</f>
        <v/>
      </c>
      <c r="Q21">
        <f>IF($A21="","",IF(OR($E21="INFRUCTUEUX",$E21="ANNULE"),$A21&amp;"|"&amp;(COUNTIFS($A$2:$A21,$A21,$E$2:$E21,"INFRUCTUEUX")+COUNTIFS($A$2:$A21,$A21,$E$2:$E21,"ANNULE")),""))</f>
        <v/>
      </c>
    </row>
    <row r="22">
      <c r="A22">
        <f>IF(ISBLANK('ENGAGEMENTS 2026'!B22),"",IF('ENGAGEMENTS 2026'!B22="DTSI","DCT",'ENGAGEMENTS 2026'!B22))</f>
        <v/>
      </c>
      <c r="B22">
        <f>IF(ISBLANK('ENGAGEMENTS 2026'!B22),"",'ENGAGEMENTS 2026'!C22)</f>
        <v/>
      </c>
      <c r="C22">
        <f>IF(ISBLANK('ENGAGEMENTS 2026'!B22),"",'ENGAGEMENTS 2026'!D22)</f>
        <v/>
      </c>
      <c r="D22">
        <f>IF(ISBLANK('ENGAGEMENTS 2026'!B22),"",'ENGAGEMENTS 2026'!F22)</f>
        <v/>
      </c>
      <c r="E22">
        <f>IF(ISBLANK('ENGAGEMENTS 2026'!B22),"",'ENGAGEMENTS 2026'!H22)</f>
        <v/>
      </c>
      <c r="F22">
        <f>IF(ISBLANK('ENGAGEMENTS 2026'!B22),"",'ENGAGEMENTS 2026'!I22)</f>
        <v/>
      </c>
      <c r="G22">
        <f>IF(ISBLANK('ENGAGEMENTS 2026'!B22),"",'ENGAGEMENTS 2026'!L22)</f>
        <v/>
      </c>
      <c r="H22">
        <f>IF(ISBLANK('ENGAGEMENTS 2026'!B22),"",'ENGAGEMENTS 2026'!AE22)</f>
        <v/>
      </c>
      <c r="I22">
        <f>IF(ISBLANK('ENGAGEMENTS 2026'!B22),"",'ENGAGEMENTS 2026'!G22)</f>
        <v/>
      </c>
      <c r="J22" s="275">
        <f>IF(ISBLANK('ENGAGEMENTS 2026'!B22),"",IF(AND(OR($E22="INFRUCTUEUX",$E22="ANNULE"),$C22="AOO-M"),'ENGAGEMENTS 2026'!O22,IF($H22="EN COURS DE PREENGAGEMENT",'ENGAGEMENTS 2026'!N22,IF($H22="PREENGAGE",IF($E22="ATTRIBUE",'ENGAGEMENTS 2026'!AD22,'ENGAGEMENTS 2026'!N22),'ENGAGEMENTS 2026'!AD22))))</f>
        <v/>
      </c>
      <c r="K22" s="604">
        <f>IF(ISBLANK('ENGAGEMENTS 2026'!V22),"",'ENGAGEMENTS 2026'!V22)</f>
        <v/>
      </c>
      <c r="L22" s="276">
        <f>IF($K22="","",TODAY()-$K22)</f>
        <v/>
      </c>
      <c r="M22">
        <f>IF($A22="","",IF($H22="ENGAGE","Engagé",IF(AND($H22="NON ENGAGE",OR($I22="INFRUCTUEUX",$I22="ANNULE")),"Clôturé sans suite","En cours")))</f>
        <v/>
      </c>
      <c r="N22">
        <f>IF(ISBLANK('ENGAGEMENTS 2026'!B22),"",'ENGAGEMENTS 2026'!K22)</f>
        <v/>
      </c>
      <c r="O22">
        <f>IF(ISBLANK('ENGAGEMENTS 2026'!B22),"",'ENGAGEMENTS 2026'!L22)</f>
        <v/>
      </c>
      <c r="P22">
        <f>IF(ISBLANK('ENGAGEMENTS 2026'!B22),"",'ENGAGEMENTS 2026'!J22)</f>
        <v/>
      </c>
      <c r="Q22">
        <f>IF($A22="","",IF(OR($E22="INFRUCTUEUX",$E22="ANNULE"),$A22&amp;"|"&amp;(COUNTIFS($A$2:$A22,$A22,$E$2:$E22,"INFRUCTUEUX")+COUNTIFS($A$2:$A22,$A22,$E$2:$E22,"ANNULE")),""))</f>
        <v/>
      </c>
    </row>
    <row r="23">
      <c r="A23">
        <f>IF(ISBLANK('ENGAGEMENTS 2026'!B23),"",IF('ENGAGEMENTS 2026'!B23="DTSI","DCT",'ENGAGEMENTS 2026'!B23))</f>
        <v/>
      </c>
      <c r="B23">
        <f>IF(ISBLANK('ENGAGEMENTS 2026'!B23),"",'ENGAGEMENTS 2026'!C23)</f>
        <v/>
      </c>
      <c r="C23">
        <f>IF(ISBLANK('ENGAGEMENTS 2026'!B23),"",'ENGAGEMENTS 2026'!D23)</f>
        <v/>
      </c>
      <c r="D23">
        <f>IF(ISBLANK('ENGAGEMENTS 2026'!B23),"",'ENGAGEMENTS 2026'!F23)</f>
        <v/>
      </c>
      <c r="E23">
        <f>IF(ISBLANK('ENGAGEMENTS 2026'!B23),"",'ENGAGEMENTS 2026'!H23)</f>
        <v/>
      </c>
      <c r="F23">
        <f>IF(ISBLANK('ENGAGEMENTS 2026'!B23),"",'ENGAGEMENTS 2026'!I23)</f>
        <v/>
      </c>
      <c r="G23">
        <f>IF(ISBLANK('ENGAGEMENTS 2026'!B23),"",'ENGAGEMENTS 2026'!L23)</f>
        <v/>
      </c>
      <c r="H23">
        <f>IF(ISBLANK('ENGAGEMENTS 2026'!B23),"",'ENGAGEMENTS 2026'!AE23)</f>
        <v/>
      </c>
      <c r="I23">
        <f>IF(ISBLANK('ENGAGEMENTS 2026'!B23),"",'ENGAGEMENTS 2026'!G23)</f>
        <v/>
      </c>
      <c r="J23" s="275">
        <f>IF(ISBLANK('ENGAGEMENTS 2026'!B23),"",IF(AND(OR($E23="INFRUCTUEUX",$E23="ANNULE"),$C23="AOO-M"),'ENGAGEMENTS 2026'!O23,IF($H23="EN COURS DE PREENGAGEMENT",'ENGAGEMENTS 2026'!N23,IF($H23="PREENGAGE",IF($E23="ATTRIBUE",'ENGAGEMENTS 2026'!AD23,'ENGAGEMENTS 2026'!N23),'ENGAGEMENTS 2026'!AD23))))</f>
        <v/>
      </c>
      <c r="K23" s="604">
        <f>IF(ISBLANK('ENGAGEMENTS 2026'!V23),"",'ENGAGEMENTS 2026'!V23)</f>
        <v/>
      </c>
      <c r="L23" s="276">
        <f>IF($K23="","",TODAY()-$K23)</f>
        <v/>
      </c>
      <c r="M23">
        <f>IF($A23="","",IF($H23="ENGAGE","Engagé",IF(AND($H23="NON ENGAGE",OR($I23="INFRUCTUEUX",$I23="ANNULE")),"Clôturé sans suite","En cours")))</f>
        <v/>
      </c>
      <c r="N23">
        <f>IF(ISBLANK('ENGAGEMENTS 2026'!B23),"",'ENGAGEMENTS 2026'!K23)</f>
        <v/>
      </c>
      <c r="O23">
        <f>IF(ISBLANK('ENGAGEMENTS 2026'!B23),"",'ENGAGEMENTS 2026'!L23)</f>
        <v/>
      </c>
      <c r="P23">
        <f>IF(ISBLANK('ENGAGEMENTS 2026'!B23),"",'ENGAGEMENTS 2026'!J23)</f>
        <v/>
      </c>
      <c r="Q23">
        <f>IF($A23="","",IF(OR($E23="INFRUCTUEUX",$E23="ANNULE"),$A23&amp;"|"&amp;(COUNTIFS($A$2:$A23,$A23,$E$2:$E23,"INFRUCTUEUX")+COUNTIFS($A$2:$A23,$A23,$E$2:$E23,"ANNULE")),""))</f>
        <v/>
      </c>
    </row>
    <row r="24">
      <c r="A24">
        <f>IF(ISBLANK('ENGAGEMENTS 2026'!B24),"",IF('ENGAGEMENTS 2026'!B24="DTSI","DCT",'ENGAGEMENTS 2026'!B24))</f>
        <v/>
      </c>
      <c r="B24">
        <f>IF(ISBLANK('ENGAGEMENTS 2026'!B24),"",'ENGAGEMENTS 2026'!C24)</f>
        <v/>
      </c>
      <c r="C24">
        <f>IF(ISBLANK('ENGAGEMENTS 2026'!B24),"",'ENGAGEMENTS 2026'!D24)</f>
        <v/>
      </c>
      <c r="D24">
        <f>IF(ISBLANK('ENGAGEMENTS 2026'!B24),"",'ENGAGEMENTS 2026'!F24)</f>
        <v/>
      </c>
      <c r="E24">
        <f>IF(ISBLANK('ENGAGEMENTS 2026'!B24),"",'ENGAGEMENTS 2026'!H24)</f>
        <v/>
      </c>
      <c r="F24">
        <f>IF(ISBLANK('ENGAGEMENTS 2026'!B24),"",'ENGAGEMENTS 2026'!I24)</f>
        <v/>
      </c>
      <c r="G24">
        <f>IF(ISBLANK('ENGAGEMENTS 2026'!B24),"",'ENGAGEMENTS 2026'!L24)</f>
        <v/>
      </c>
      <c r="H24">
        <f>IF(ISBLANK('ENGAGEMENTS 2026'!B24),"",'ENGAGEMENTS 2026'!AE24)</f>
        <v/>
      </c>
      <c r="I24">
        <f>IF(ISBLANK('ENGAGEMENTS 2026'!B24),"",'ENGAGEMENTS 2026'!G24)</f>
        <v/>
      </c>
      <c r="J24" s="275">
        <f>IF(ISBLANK('ENGAGEMENTS 2026'!B24),"",IF(AND(OR($E24="INFRUCTUEUX",$E24="ANNULE"),$C24="AOO-M"),'ENGAGEMENTS 2026'!O24,IF($H24="EN COURS DE PREENGAGEMENT",'ENGAGEMENTS 2026'!N24,IF($H24="PREENGAGE",IF($E24="ATTRIBUE",'ENGAGEMENTS 2026'!AD24,'ENGAGEMENTS 2026'!N24),'ENGAGEMENTS 2026'!AD24))))</f>
        <v/>
      </c>
      <c r="K24" s="604">
        <f>IF(ISBLANK('ENGAGEMENTS 2026'!V24),"",'ENGAGEMENTS 2026'!V24)</f>
        <v/>
      </c>
      <c r="L24" s="276">
        <f>IF($K24="","",TODAY()-$K24)</f>
        <v/>
      </c>
      <c r="M24">
        <f>IF($A24="","",IF($H24="ENGAGE","Engagé",IF(AND($H24="NON ENGAGE",OR($I24="INFRUCTUEUX",$I24="ANNULE")),"Clôturé sans suite","En cours")))</f>
        <v/>
      </c>
      <c r="N24">
        <f>IF(ISBLANK('ENGAGEMENTS 2026'!B24),"",'ENGAGEMENTS 2026'!K24)</f>
        <v/>
      </c>
      <c r="O24">
        <f>IF(ISBLANK('ENGAGEMENTS 2026'!B24),"",'ENGAGEMENTS 2026'!L24)</f>
        <v/>
      </c>
      <c r="P24">
        <f>IF(ISBLANK('ENGAGEMENTS 2026'!B24),"",'ENGAGEMENTS 2026'!J24)</f>
        <v/>
      </c>
      <c r="Q24">
        <f>IF($A24="","",IF(OR($E24="INFRUCTUEUX",$E24="ANNULE"),$A24&amp;"|"&amp;(COUNTIFS($A$2:$A24,$A24,$E$2:$E24,"INFRUCTUEUX")+COUNTIFS($A$2:$A24,$A24,$E$2:$E24,"ANNULE")),""))</f>
        <v/>
      </c>
    </row>
    <row r="25">
      <c r="A25">
        <f>IF(ISBLANK('ENGAGEMENTS 2026'!B25),"",IF('ENGAGEMENTS 2026'!B25="DTSI","DCT",'ENGAGEMENTS 2026'!B25))</f>
        <v/>
      </c>
      <c r="B25">
        <f>IF(ISBLANK('ENGAGEMENTS 2026'!B25),"",'ENGAGEMENTS 2026'!C25)</f>
        <v/>
      </c>
      <c r="C25">
        <f>IF(ISBLANK('ENGAGEMENTS 2026'!B25),"",'ENGAGEMENTS 2026'!D25)</f>
        <v/>
      </c>
      <c r="D25">
        <f>IF(ISBLANK('ENGAGEMENTS 2026'!B25),"",'ENGAGEMENTS 2026'!F25)</f>
        <v/>
      </c>
      <c r="E25">
        <f>IF(ISBLANK('ENGAGEMENTS 2026'!B25),"",'ENGAGEMENTS 2026'!H25)</f>
        <v/>
      </c>
      <c r="F25">
        <f>IF(ISBLANK('ENGAGEMENTS 2026'!B25),"",'ENGAGEMENTS 2026'!I25)</f>
        <v/>
      </c>
      <c r="G25">
        <f>IF(ISBLANK('ENGAGEMENTS 2026'!B25),"",'ENGAGEMENTS 2026'!L25)</f>
        <v/>
      </c>
      <c r="H25">
        <f>IF(ISBLANK('ENGAGEMENTS 2026'!B25),"",'ENGAGEMENTS 2026'!AE25)</f>
        <v/>
      </c>
      <c r="I25">
        <f>IF(ISBLANK('ENGAGEMENTS 2026'!B25),"",'ENGAGEMENTS 2026'!G25)</f>
        <v/>
      </c>
      <c r="J25" s="275">
        <f>IF(ISBLANK('ENGAGEMENTS 2026'!B25),"",IF(AND(OR($E25="INFRUCTUEUX",$E25="ANNULE"),$C25="AOO-M"),'ENGAGEMENTS 2026'!O25,IF($H25="EN COURS DE PREENGAGEMENT",'ENGAGEMENTS 2026'!N25,IF($H25="PREENGAGE",IF($E25="ATTRIBUE",'ENGAGEMENTS 2026'!AD25,'ENGAGEMENTS 2026'!N25),'ENGAGEMENTS 2026'!AD25))))</f>
        <v/>
      </c>
      <c r="K25" s="604">
        <f>IF(ISBLANK('ENGAGEMENTS 2026'!V25),"",'ENGAGEMENTS 2026'!V25)</f>
        <v/>
      </c>
      <c r="L25" s="276">
        <f>IF($K25="","",TODAY()-$K25)</f>
        <v/>
      </c>
      <c r="M25">
        <f>IF($A25="","",IF($H25="ENGAGE","Engagé",IF(AND($H25="NON ENGAGE",OR($I25="INFRUCTUEUX",$I25="ANNULE")),"Clôturé sans suite","En cours")))</f>
        <v/>
      </c>
      <c r="N25">
        <f>IF(ISBLANK('ENGAGEMENTS 2026'!B25),"",'ENGAGEMENTS 2026'!K25)</f>
        <v/>
      </c>
      <c r="O25">
        <f>IF(ISBLANK('ENGAGEMENTS 2026'!B25),"",'ENGAGEMENTS 2026'!L25)</f>
        <v/>
      </c>
      <c r="P25">
        <f>IF(ISBLANK('ENGAGEMENTS 2026'!B25),"",'ENGAGEMENTS 2026'!J25)</f>
        <v/>
      </c>
      <c r="Q25">
        <f>IF($A25="","",IF(OR($E25="INFRUCTUEUX",$E25="ANNULE"),$A25&amp;"|"&amp;(COUNTIFS($A$2:$A25,$A25,$E$2:$E25,"INFRUCTUEUX")+COUNTIFS($A$2:$A25,$A25,$E$2:$E25,"ANNULE")),""))</f>
        <v/>
      </c>
    </row>
    <row r="26">
      <c r="A26">
        <f>IF(ISBLANK('ENGAGEMENTS 2026'!B26),"",IF('ENGAGEMENTS 2026'!B26="DTSI","DCT",'ENGAGEMENTS 2026'!B26))</f>
        <v/>
      </c>
      <c r="B26">
        <f>IF(ISBLANK('ENGAGEMENTS 2026'!B26),"",'ENGAGEMENTS 2026'!C26)</f>
        <v/>
      </c>
      <c r="C26">
        <f>IF(ISBLANK('ENGAGEMENTS 2026'!B26),"",'ENGAGEMENTS 2026'!D26)</f>
        <v/>
      </c>
      <c r="D26">
        <f>IF(ISBLANK('ENGAGEMENTS 2026'!B26),"",'ENGAGEMENTS 2026'!F26)</f>
        <v/>
      </c>
      <c r="E26">
        <f>IF(ISBLANK('ENGAGEMENTS 2026'!B26),"",'ENGAGEMENTS 2026'!H26)</f>
        <v/>
      </c>
      <c r="F26">
        <f>IF(ISBLANK('ENGAGEMENTS 2026'!B26),"",'ENGAGEMENTS 2026'!I26)</f>
        <v/>
      </c>
      <c r="G26">
        <f>IF(ISBLANK('ENGAGEMENTS 2026'!B26),"",'ENGAGEMENTS 2026'!L26)</f>
        <v/>
      </c>
      <c r="H26">
        <f>IF(ISBLANK('ENGAGEMENTS 2026'!B26),"",'ENGAGEMENTS 2026'!AE26)</f>
        <v/>
      </c>
      <c r="I26">
        <f>IF(ISBLANK('ENGAGEMENTS 2026'!B26),"",'ENGAGEMENTS 2026'!G26)</f>
        <v/>
      </c>
      <c r="J26" s="275">
        <f>IF(ISBLANK('ENGAGEMENTS 2026'!B26),"",IF(AND(OR($E26="INFRUCTUEUX",$E26="ANNULE"),$C26="AOO-M"),'ENGAGEMENTS 2026'!O26,IF($H26="EN COURS DE PREENGAGEMENT",'ENGAGEMENTS 2026'!N26,IF($H26="PREENGAGE",IF($E26="ATTRIBUE",'ENGAGEMENTS 2026'!AD26,'ENGAGEMENTS 2026'!N26),'ENGAGEMENTS 2026'!AD26))))</f>
        <v/>
      </c>
      <c r="K26" s="604">
        <f>IF(ISBLANK('ENGAGEMENTS 2026'!V26),"",'ENGAGEMENTS 2026'!V26)</f>
        <v/>
      </c>
      <c r="L26" s="276">
        <f>IF($K26="","",TODAY()-$K26)</f>
        <v/>
      </c>
      <c r="M26">
        <f>IF($A26="","",IF($H26="ENGAGE","Engagé",IF(AND($H26="NON ENGAGE",OR($I26="INFRUCTUEUX",$I26="ANNULE")),"Clôturé sans suite","En cours")))</f>
        <v/>
      </c>
      <c r="N26">
        <f>IF(ISBLANK('ENGAGEMENTS 2026'!B26),"",'ENGAGEMENTS 2026'!K26)</f>
        <v/>
      </c>
      <c r="O26">
        <f>IF(ISBLANK('ENGAGEMENTS 2026'!B26),"",'ENGAGEMENTS 2026'!L26)</f>
        <v/>
      </c>
      <c r="P26">
        <f>IF(ISBLANK('ENGAGEMENTS 2026'!B26),"",'ENGAGEMENTS 2026'!J26)</f>
        <v/>
      </c>
      <c r="Q26">
        <f>IF($A26="","",IF(OR($E26="INFRUCTUEUX",$E26="ANNULE"),$A26&amp;"|"&amp;(COUNTIFS($A$2:$A26,$A26,$E$2:$E26,"INFRUCTUEUX")+COUNTIFS($A$2:$A26,$A26,$E$2:$E26,"ANNULE")),""))</f>
        <v/>
      </c>
    </row>
    <row r="27">
      <c r="A27">
        <f>IF(ISBLANK('ENGAGEMENTS 2026'!B27),"",IF('ENGAGEMENTS 2026'!B27="DTSI","DCT",'ENGAGEMENTS 2026'!B27))</f>
        <v/>
      </c>
      <c r="B27">
        <f>IF(ISBLANK('ENGAGEMENTS 2026'!B27),"",'ENGAGEMENTS 2026'!C27)</f>
        <v/>
      </c>
      <c r="C27">
        <f>IF(ISBLANK('ENGAGEMENTS 2026'!B27),"",'ENGAGEMENTS 2026'!D27)</f>
        <v/>
      </c>
      <c r="D27">
        <f>IF(ISBLANK('ENGAGEMENTS 2026'!B27),"",'ENGAGEMENTS 2026'!F27)</f>
        <v/>
      </c>
      <c r="E27">
        <f>IF(ISBLANK('ENGAGEMENTS 2026'!B27),"",'ENGAGEMENTS 2026'!H27)</f>
        <v/>
      </c>
      <c r="F27">
        <f>IF(ISBLANK('ENGAGEMENTS 2026'!B27),"",'ENGAGEMENTS 2026'!I27)</f>
        <v/>
      </c>
      <c r="G27">
        <f>IF(ISBLANK('ENGAGEMENTS 2026'!B27),"",'ENGAGEMENTS 2026'!L27)</f>
        <v/>
      </c>
      <c r="H27">
        <f>IF(ISBLANK('ENGAGEMENTS 2026'!B27),"",'ENGAGEMENTS 2026'!AE27)</f>
        <v/>
      </c>
      <c r="I27">
        <f>IF(ISBLANK('ENGAGEMENTS 2026'!B27),"",'ENGAGEMENTS 2026'!G27)</f>
        <v/>
      </c>
      <c r="J27" s="275">
        <f>IF(ISBLANK('ENGAGEMENTS 2026'!B27),"",IF(AND(OR($E27="INFRUCTUEUX",$E27="ANNULE"),$C27="AOO-M"),'ENGAGEMENTS 2026'!O27,IF($H27="EN COURS DE PREENGAGEMENT",'ENGAGEMENTS 2026'!N27,IF($H27="PREENGAGE",IF($E27="ATTRIBUE",'ENGAGEMENTS 2026'!AD27,'ENGAGEMENTS 2026'!N27),'ENGAGEMENTS 2026'!AD27))))</f>
        <v/>
      </c>
      <c r="K27" s="604">
        <f>IF(ISBLANK('ENGAGEMENTS 2026'!V27),"",'ENGAGEMENTS 2026'!V27)</f>
        <v/>
      </c>
      <c r="L27" s="276">
        <f>IF($K27="","",TODAY()-$K27)</f>
        <v/>
      </c>
      <c r="M27">
        <f>IF($A27="","",IF($H27="ENGAGE","Engagé",IF(AND($H27="NON ENGAGE",OR($I27="INFRUCTUEUX",$I27="ANNULE")),"Clôturé sans suite","En cours")))</f>
        <v/>
      </c>
      <c r="N27">
        <f>IF(ISBLANK('ENGAGEMENTS 2026'!B27),"",'ENGAGEMENTS 2026'!K27)</f>
        <v/>
      </c>
      <c r="O27">
        <f>IF(ISBLANK('ENGAGEMENTS 2026'!B27),"",'ENGAGEMENTS 2026'!L27)</f>
        <v/>
      </c>
      <c r="P27">
        <f>IF(ISBLANK('ENGAGEMENTS 2026'!B27),"",'ENGAGEMENTS 2026'!J27)</f>
        <v/>
      </c>
      <c r="Q27">
        <f>IF($A27="","",IF(OR($E27="INFRUCTUEUX",$E27="ANNULE"),$A27&amp;"|"&amp;(COUNTIFS($A$2:$A27,$A27,$E$2:$E27,"INFRUCTUEUX")+COUNTIFS($A$2:$A27,$A27,$E$2:$E27,"ANNULE")),""))</f>
        <v/>
      </c>
    </row>
    <row r="28">
      <c r="A28">
        <f>IF(ISBLANK('ENGAGEMENTS 2026'!B28),"",IF('ENGAGEMENTS 2026'!B28="DTSI","DCT",'ENGAGEMENTS 2026'!B28))</f>
        <v/>
      </c>
      <c r="B28">
        <f>IF(ISBLANK('ENGAGEMENTS 2026'!B28),"",'ENGAGEMENTS 2026'!C28)</f>
        <v/>
      </c>
      <c r="C28">
        <f>IF(ISBLANK('ENGAGEMENTS 2026'!B28),"",'ENGAGEMENTS 2026'!D28)</f>
        <v/>
      </c>
      <c r="D28">
        <f>IF(ISBLANK('ENGAGEMENTS 2026'!B28),"",'ENGAGEMENTS 2026'!F28)</f>
        <v/>
      </c>
      <c r="E28">
        <f>IF(ISBLANK('ENGAGEMENTS 2026'!B28),"",'ENGAGEMENTS 2026'!H28)</f>
        <v/>
      </c>
      <c r="F28">
        <f>IF(ISBLANK('ENGAGEMENTS 2026'!B28),"",'ENGAGEMENTS 2026'!I28)</f>
        <v/>
      </c>
      <c r="G28">
        <f>IF(ISBLANK('ENGAGEMENTS 2026'!B28),"",'ENGAGEMENTS 2026'!L28)</f>
        <v/>
      </c>
      <c r="H28">
        <f>IF(ISBLANK('ENGAGEMENTS 2026'!B28),"",'ENGAGEMENTS 2026'!AE28)</f>
        <v/>
      </c>
      <c r="I28">
        <f>IF(ISBLANK('ENGAGEMENTS 2026'!B28),"",'ENGAGEMENTS 2026'!G28)</f>
        <v/>
      </c>
      <c r="J28" s="275">
        <f>IF(ISBLANK('ENGAGEMENTS 2026'!B28),"",IF(AND(OR($E28="INFRUCTUEUX",$E28="ANNULE"),$C28="AOO-M"),'ENGAGEMENTS 2026'!O28,IF($H28="EN COURS DE PREENGAGEMENT",'ENGAGEMENTS 2026'!N28,IF($H28="PREENGAGE",IF($E28="ATTRIBUE",'ENGAGEMENTS 2026'!AD28,'ENGAGEMENTS 2026'!N28),'ENGAGEMENTS 2026'!AD28))))</f>
        <v/>
      </c>
      <c r="K28" s="604">
        <f>IF(ISBLANK('ENGAGEMENTS 2026'!V28),"",'ENGAGEMENTS 2026'!V28)</f>
        <v/>
      </c>
      <c r="L28" s="276">
        <f>IF($K28="","",TODAY()-$K28)</f>
        <v/>
      </c>
      <c r="M28">
        <f>IF($A28="","",IF($H28="ENGAGE","Engagé",IF(AND($H28="NON ENGAGE",OR($I28="INFRUCTUEUX",$I28="ANNULE")),"Clôturé sans suite","En cours")))</f>
        <v/>
      </c>
      <c r="N28">
        <f>IF(ISBLANK('ENGAGEMENTS 2026'!B28),"",'ENGAGEMENTS 2026'!K28)</f>
        <v/>
      </c>
      <c r="O28">
        <f>IF(ISBLANK('ENGAGEMENTS 2026'!B28),"",'ENGAGEMENTS 2026'!L28)</f>
        <v/>
      </c>
      <c r="P28">
        <f>IF(ISBLANK('ENGAGEMENTS 2026'!B28),"",'ENGAGEMENTS 2026'!J28)</f>
        <v/>
      </c>
      <c r="Q28">
        <f>IF($A28="","",IF(OR($E28="INFRUCTUEUX",$E28="ANNULE"),$A28&amp;"|"&amp;(COUNTIFS($A$2:$A28,$A28,$E$2:$E28,"INFRUCTUEUX")+COUNTIFS($A$2:$A28,$A28,$E$2:$E28,"ANNULE")),""))</f>
        <v/>
      </c>
    </row>
    <row r="29">
      <c r="A29">
        <f>IF(ISBLANK('ENGAGEMENTS 2026'!B29),"",IF('ENGAGEMENTS 2026'!B29="DTSI","DCT",'ENGAGEMENTS 2026'!B29))</f>
        <v/>
      </c>
      <c r="B29">
        <f>IF(ISBLANK('ENGAGEMENTS 2026'!B29),"",'ENGAGEMENTS 2026'!C29)</f>
        <v/>
      </c>
      <c r="C29">
        <f>IF(ISBLANK('ENGAGEMENTS 2026'!B29),"",'ENGAGEMENTS 2026'!D29)</f>
        <v/>
      </c>
      <c r="D29">
        <f>IF(ISBLANK('ENGAGEMENTS 2026'!B29),"",'ENGAGEMENTS 2026'!F29)</f>
        <v/>
      </c>
      <c r="E29">
        <f>IF(ISBLANK('ENGAGEMENTS 2026'!B29),"",'ENGAGEMENTS 2026'!H29)</f>
        <v/>
      </c>
      <c r="F29">
        <f>IF(ISBLANK('ENGAGEMENTS 2026'!B29),"",'ENGAGEMENTS 2026'!I29)</f>
        <v/>
      </c>
      <c r="G29">
        <f>IF(ISBLANK('ENGAGEMENTS 2026'!B29),"",'ENGAGEMENTS 2026'!L29)</f>
        <v/>
      </c>
      <c r="H29">
        <f>IF(ISBLANK('ENGAGEMENTS 2026'!B29),"",'ENGAGEMENTS 2026'!AE29)</f>
        <v/>
      </c>
      <c r="I29">
        <f>IF(ISBLANK('ENGAGEMENTS 2026'!B29),"",'ENGAGEMENTS 2026'!G29)</f>
        <v/>
      </c>
      <c r="J29" s="275">
        <f>IF(ISBLANK('ENGAGEMENTS 2026'!B29),"",IF(AND(OR($E29="INFRUCTUEUX",$E29="ANNULE"),$C29="AOO-M"),'ENGAGEMENTS 2026'!O29,IF($H29="EN COURS DE PREENGAGEMENT",'ENGAGEMENTS 2026'!N29,IF($H29="PREENGAGE",IF($E29="ATTRIBUE",'ENGAGEMENTS 2026'!AD29,'ENGAGEMENTS 2026'!N29),'ENGAGEMENTS 2026'!AD29))))</f>
        <v/>
      </c>
      <c r="K29" s="604">
        <f>IF(ISBLANK('ENGAGEMENTS 2026'!V29),"",'ENGAGEMENTS 2026'!V29)</f>
        <v/>
      </c>
      <c r="L29" s="276">
        <f>IF($K29="","",TODAY()-$K29)</f>
        <v/>
      </c>
      <c r="M29">
        <f>IF($A29="","",IF($H29="ENGAGE","Engagé",IF(AND($H29="NON ENGAGE",OR($I29="INFRUCTUEUX",$I29="ANNULE")),"Clôturé sans suite","En cours")))</f>
        <v/>
      </c>
      <c r="N29">
        <f>IF(ISBLANK('ENGAGEMENTS 2026'!B29),"",'ENGAGEMENTS 2026'!K29)</f>
        <v/>
      </c>
      <c r="O29">
        <f>IF(ISBLANK('ENGAGEMENTS 2026'!B29),"",'ENGAGEMENTS 2026'!L29)</f>
        <v/>
      </c>
      <c r="P29">
        <f>IF(ISBLANK('ENGAGEMENTS 2026'!B29),"",'ENGAGEMENTS 2026'!J29)</f>
        <v/>
      </c>
      <c r="Q29">
        <f>IF($A29="","",IF(OR($E29="INFRUCTUEUX",$E29="ANNULE"),$A29&amp;"|"&amp;(COUNTIFS($A$2:$A29,$A29,$E$2:$E29,"INFRUCTUEUX")+COUNTIFS($A$2:$A29,$A29,$E$2:$E29,"ANNULE")),""))</f>
        <v/>
      </c>
    </row>
    <row r="30">
      <c r="A30">
        <f>IF(ISBLANK('ENGAGEMENTS 2026'!B30),"",IF('ENGAGEMENTS 2026'!B30="DTSI","DCT",'ENGAGEMENTS 2026'!B30))</f>
        <v/>
      </c>
      <c r="B30">
        <f>IF(ISBLANK('ENGAGEMENTS 2026'!B30),"",'ENGAGEMENTS 2026'!C30)</f>
        <v/>
      </c>
      <c r="C30">
        <f>IF(ISBLANK('ENGAGEMENTS 2026'!B30),"",'ENGAGEMENTS 2026'!D30)</f>
        <v/>
      </c>
      <c r="D30">
        <f>IF(ISBLANK('ENGAGEMENTS 2026'!B30),"",'ENGAGEMENTS 2026'!F30)</f>
        <v/>
      </c>
      <c r="E30">
        <f>IF(ISBLANK('ENGAGEMENTS 2026'!B30),"",'ENGAGEMENTS 2026'!H30)</f>
        <v/>
      </c>
      <c r="F30">
        <f>IF(ISBLANK('ENGAGEMENTS 2026'!B30),"",'ENGAGEMENTS 2026'!I30)</f>
        <v/>
      </c>
      <c r="G30">
        <f>IF(ISBLANK('ENGAGEMENTS 2026'!B30),"",'ENGAGEMENTS 2026'!L30)</f>
        <v/>
      </c>
      <c r="H30">
        <f>IF(ISBLANK('ENGAGEMENTS 2026'!B30),"",'ENGAGEMENTS 2026'!AE30)</f>
        <v/>
      </c>
      <c r="I30">
        <f>IF(ISBLANK('ENGAGEMENTS 2026'!B30),"",'ENGAGEMENTS 2026'!G30)</f>
        <v/>
      </c>
      <c r="J30" s="275">
        <f>IF(ISBLANK('ENGAGEMENTS 2026'!B30),"",IF(AND(OR($E30="INFRUCTUEUX",$E30="ANNULE"),$C30="AOO-M"),'ENGAGEMENTS 2026'!O30,IF($H30="EN COURS DE PREENGAGEMENT",'ENGAGEMENTS 2026'!N30,IF($H30="PREENGAGE",IF($E30="ATTRIBUE",'ENGAGEMENTS 2026'!AD30,'ENGAGEMENTS 2026'!N30),'ENGAGEMENTS 2026'!AD30))))</f>
        <v/>
      </c>
      <c r="K30" s="604">
        <f>IF(ISBLANK('ENGAGEMENTS 2026'!V30),"",'ENGAGEMENTS 2026'!V30)</f>
        <v/>
      </c>
      <c r="L30" s="276">
        <f>IF($K30="","",TODAY()-$K30)</f>
        <v/>
      </c>
      <c r="M30">
        <f>IF($A30="","",IF($H30="ENGAGE","Engagé",IF(AND($H30="NON ENGAGE",OR($I30="INFRUCTUEUX",$I30="ANNULE")),"Clôturé sans suite","En cours")))</f>
        <v/>
      </c>
      <c r="N30">
        <f>IF(ISBLANK('ENGAGEMENTS 2026'!B30),"",'ENGAGEMENTS 2026'!K30)</f>
        <v/>
      </c>
      <c r="O30">
        <f>IF(ISBLANK('ENGAGEMENTS 2026'!B30),"",'ENGAGEMENTS 2026'!L30)</f>
        <v/>
      </c>
      <c r="P30">
        <f>IF(ISBLANK('ENGAGEMENTS 2026'!B30),"",'ENGAGEMENTS 2026'!J30)</f>
        <v/>
      </c>
      <c r="Q30">
        <f>IF($A30="","",IF(OR($E30="INFRUCTUEUX",$E30="ANNULE"),$A30&amp;"|"&amp;(COUNTIFS($A$2:$A30,$A30,$E$2:$E30,"INFRUCTUEUX")+COUNTIFS($A$2:$A30,$A30,$E$2:$E30,"ANNULE")),""))</f>
        <v/>
      </c>
    </row>
    <row r="31">
      <c r="A31">
        <f>IF(ISBLANK('ENGAGEMENTS 2026'!B31),"",IF('ENGAGEMENTS 2026'!B31="DTSI","DCT",'ENGAGEMENTS 2026'!B31))</f>
        <v/>
      </c>
      <c r="B31">
        <f>IF(ISBLANK('ENGAGEMENTS 2026'!B31),"",'ENGAGEMENTS 2026'!C31)</f>
        <v/>
      </c>
      <c r="C31">
        <f>IF(ISBLANK('ENGAGEMENTS 2026'!B31),"",'ENGAGEMENTS 2026'!D31)</f>
        <v/>
      </c>
      <c r="D31">
        <f>IF(ISBLANK('ENGAGEMENTS 2026'!B31),"",'ENGAGEMENTS 2026'!F31)</f>
        <v/>
      </c>
      <c r="E31">
        <f>IF(ISBLANK('ENGAGEMENTS 2026'!B31),"",'ENGAGEMENTS 2026'!H31)</f>
        <v/>
      </c>
      <c r="F31">
        <f>IF(ISBLANK('ENGAGEMENTS 2026'!B31),"",'ENGAGEMENTS 2026'!I31)</f>
        <v/>
      </c>
      <c r="G31">
        <f>IF(ISBLANK('ENGAGEMENTS 2026'!B31),"",'ENGAGEMENTS 2026'!L31)</f>
        <v/>
      </c>
      <c r="H31">
        <f>IF(ISBLANK('ENGAGEMENTS 2026'!B31),"",'ENGAGEMENTS 2026'!AE31)</f>
        <v/>
      </c>
      <c r="I31">
        <f>IF(ISBLANK('ENGAGEMENTS 2026'!B31),"",'ENGAGEMENTS 2026'!G31)</f>
        <v/>
      </c>
      <c r="J31" s="275">
        <f>IF(ISBLANK('ENGAGEMENTS 2026'!B31),"",IF(AND(OR($E31="INFRUCTUEUX",$E31="ANNULE"),$C31="AOO-M"),'ENGAGEMENTS 2026'!O31,IF($H31="EN COURS DE PREENGAGEMENT",'ENGAGEMENTS 2026'!N31,IF($H31="PREENGAGE",IF($E31="ATTRIBUE",'ENGAGEMENTS 2026'!AD31,'ENGAGEMENTS 2026'!N31),'ENGAGEMENTS 2026'!AD31))))</f>
        <v/>
      </c>
      <c r="K31" s="604">
        <f>IF(ISBLANK('ENGAGEMENTS 2026'!V31),"",'ENGAGEMENTS 2026'!V31)</f>
        <v/>
      </c>
      <c r="L31" s="276">
        <f>IF($K31="","",TODAY()-$K31)</f>
        <v/>
      </c>
      <c r="M31">
        <f>IF($A31="","",IF($H31="ENGAGE","Engagé",IF(AND($H31="NON ENGAGE",OR($I31="INFRUCTUEUX",$I31="ANNULE")),"Clôturé sans suite","En cours")))</f>
        <v/>
      </c>
      <c r="N31">
        <f>IF(ISBLANK('ENGAGEMENTS 2026'!B31),"",'ENGAGEMENTS 2026'!K31)</f>
        <v/>
      </c>
      <c r="O31">
        <f>IF(ISBLANK('ENGAGEMENTS 2026'!B31),"",'ENGAGEMENTS 2026'!L31)</f>
        <v/>
      </c>
      <c r="P31">
        <f>IF(ISBLANK('ENGAGEMENTS 2026'!B31),"",'ENGAGEMENTS 2026'!J31)</f>
        <v/>
      </c>
      <c r="Q31">
        <f>IF($A31="","",IF(OR($E31="INFRUCTUEUX",$E31="ANNULE"),$A31&amp;"|"&amp;(COUNTIFS($A$2:$A31,$A31,$E$2:$E31,"INFRUCTUEUX")+COUNTIFS($A$2:$A31,$A31,$E$2:$E31,"ANNULE")),""))</f>
        <v/>
      </c>
    </row>
    <row r="32">
      <c r="A32">
        <f>IF(ISBLANK('ENGAGEMENTS 2026'!B32),"",IF('ENGAGEMENTS 2026'!B32="DTSI","DCT",'ENGAGEMENTS 2026'!B32))</f>
        <v/>
      </c>
      <c r="B32">
        <f>IF(ISBLANK('ENGAGEMENTS 2026'!B32),"",'ENGAGEMENTS 2026'!C32)</f>
        <v/>
      </c>
      <c r="C32">
        <f>IF(ISBLANK('ENGAGEMENTS 2026'!B32),"",'ENGAGEMENTS 2026'!D32)</f>
        <v/>
      </c>
      <c r="D32">
        <f>IF(ISBLANK('ENGAGEMENTS 2026'!B32),"",'ENGAGEMENTS 2026'!F32)</f>
        <v/>
      </c>
      <c r="E32">
        <f>IF(ISBLANK('ENGAGEMENTS 2026'!B32),"",'ENGAGEMENTS 2026'!H32)</f>
        <v/>
      </c>
      <c r="F32">
        <f>IF(ISBLANK('ENGAGEMENTS 2026'!B32),"",'ENGAGEMENTS 2026'!I32)</f>
        <v/>
      </c>
      <c r="G32">
        <f>IF(ISBLANK('ENGAGEMENTS 2026'!B32),"",'ENGAGEMENTS 2026'!L32)</f>
        <v/>
      </c>
      <c r="H32">
        <f>IF(ISBLANK('ENGAGEMENTS 2026'!B32),"",'ENGAGEMENTS 2026'!AE32)</f>
        <v/>
      </c>
      <c r="I32">
        <f>IF(ISBLANK('ENGAGEMENTS 2026'!B32),"",'ENGAGEMENTS 2026'!G32)</f>
        <v/>
      </c>
      <c r="J32" s="275">
        <f>IF(ISBLANK('ENGAGEMENTS 2026'!B32),"",IF(AND(OR($E32="INFRUCTUEUX",$E32="ANNULE"),$C32="AOO-M"),'ENGAGEMENTS 2026'!O32,IF($H32="EN COURS DE PREENGAGEMENT",'ENGAGEMENTS 2026'!N32,IF($H32="PREENGAGE",IF($E32="ATTRIBUE",'ENGAGEMENTS 2026'!AD32,'ENGAGEMENTS 2026'!N32),'ENGAGEMENTS 2026'!AD32))))</f>
        <v/>
      </c>
      <c r="K32" s="604">
        <f>IF(ISBLANK('ENGAGEMENTS 2026'!V32),"",'ENGAGEMENTS 2026'!V32)</f>
        <v/>
      </c>
      <c r="L32" s="276">
        <f>IF($K32="","",TODAY()-$K32)</f>
        <v/>
      </c>
      <c r="M32">
        <f>IF($A32="","",IF($H32="ENGAGE","Engagé",IF(AND($H32="NON ENGAGE",OR($I32="INFRUCTUEUX",$I32="ANNULE")),"Clôturé sans suite","En cours")))</f>
        <v/>
      </c>
      <c r="N32">
        <f>IF(ISBLANK('ENGAGEMENTS 2026'!B32),"",'ENGAGEMENTS 2026'!K32)</f>
        <v/>
      </c>
      <c r="O32">
        <f>IF(ISBLANK('ENGAGEMENTS 2026'!B32),"",'ENGAGEMENTS 2026'!L32)</f>
        <v/>
      </c>
      <c r="P32">
        <f>IF(ISBLANK('ENGAGEMENTS 2026'!B32),"",'ENGAGEMENTS 2026'!J32)</f>
        <v/>
      </c>
      <c r="Q32">
        <f>IF($A32="","",IF(OR($E32="INFRUCTUEUX",$E32="ANNULE"),$A32&amp;"|"&amp;(COUNTIFS($A$2:$A32,$A32,$E$2:$E32,"INFRUCTUEUX")+COUNTIFS($A$2:$A32,$A32,$E$2:$E32,"ANNULE")),""))</f>
        <v/>
      </c>
    </row>
    <row r="33">
      <c r="A33">
        <f>IF(ISBLANK('ENGAGEMENTS 2026'!B33),"",IF('ENGAGEMENTS 2026'!B33="DTSI","DCT",'ENGAGEMENTS 2026'!B33))</f>
        <v/>
      </c>
      <c r="B33">
        <f>IF(ISBLANK('ENGAGEMENTS 2026'!B33),"",'ENGAGEMENTS 2026'!C33)</f>
        <v/>
      </c>
      <c r="C33">
        <f>IF(ISBLANK('ENGAGEMENTS 2026'!B33),"",'ENGAGEMENTS 2026'!D33)</f>
        <v/>
      </c>
      <c r="D33">
        <f>IF(ISBLANK('ENGAGEMENTS 2026'!B33),"",'ENGAGEMENTS 2026'!F33)</f>
        <v/>
      </c>
      <c r="E33">
        <f>IF(ISBLANK('ENGAGEMENTS 2026'!B33),"",'ENGAGEMENTS 2026'!H33)</f>
        <v/>
      </c>
      <c r="F33">
        <f>IF(ISBLANK('ENGAGEMENTS 2026'!B33),"",'ENGAGEMENTS 2026'!I33)</f>
        <v/>
      </c>
      <c r="G33">
        <f>IF(ISBLANK('ENGAGEMENTS 2026'!B33),"",'ENGAGEMENTS 2026'!L33)</f>
        <v/>
      </c>
      <c r="H33">
        <f>IF(ISBLANK('ENGAGEMENTS 2026'!B33),"",'ENGAGEMENTS 2026'!AE33)</f>
        <v/>
      </c>
      <c r="I33">
        <f>IF(ISBLANK('ENGAGEMENTS 2026'!B33),"",'ENGAGEMENTS 2026'!G33)</f>
        <v/>
      </c>
      <c r="J33" s="275">
        <f>IF(ISBLANK('ENGAGEMENTS 2026'!B33),"",IF(AND(OR($E33="INFRUCTUEUX",$E33="ANNULE"),$C33="AOO-M"),'ENGAGEMENTS 2026'!O33,IF($H33="EN COURS DE PREENGAGEMENT",'ENGAGEMENTS 2026'!N33,IF($H33="PREENGAGE",IF($E33="ATTRIBUE",'ENGAGEMENTS 2026'!AD33,'ENGAGEMENTS 2026'!N33),'ENGAGEMENTS 2026'!AD33))))</f>
        <v/>
      </c>
      <c r="K33" s="604">
        <f>IF(ISBLANK('ENGAGEMENTS 2026'!V33),"",'ENGAGEMENTS 2026'!V33)</f>
        <v/>
      </c>
      <c r="L33" s="276">
        <f>IF($K33="","",TODAY()-$K33)</f>
        <v/>
      </c>
      <c r="M33">
        <f>IF($A33="","",IF($H33="ENGAGE","Engagé",IF(AND($H33="NON ENGAGE",OR($I33="INFRUCTUEUX",$I33="ANNULE")),"Clôturé sans suite","En cours")))</f>
        <v/>
      </c>
      <c r="N33">
        <f>IF(ISBLANK('ENGAGEMENTS 2026'!B33),"",'ENGAGEMENTS 2026'!K33)</f>
        <v/>
      </c>
      <c r="O33">
        <f>IF(ISBLANK('ENGAGEMENTS 2026'!B33),"",'ENGAGEMENTS 2026'!L33)</f>
        <v/>
      </c>
      <c r="P33">
        <f>IF(ISBLANK('ENGAGEMENTS 2026'!B33),"",'ENGAGEMENTS 2026'!J33)</f>
        <v/>
      </c>
      <c r="Q33">
        <f>IF($A33="","",IF(OR($E33="INFRUCTUEUX",$E33="ANNULE"),$A33&amp;"|"&amp;(COUNTIFS($A$2:$A33,$A33,$E$2:$E33,"INFRUCTUEUX")+COUNTIFS($A$2:$A33,$A33,$E$2:$E33,"ANNULE")),""))</f>
        <v/>
      </c>
    </row>
    <row r="34">
      <c r="A34">
        <f>IF(ISBLANK('ENGAGEMENTS 2026'!B34),"",IF('ENGAGEMENTS 2026'!B34="DTSI","DCT",'ENGAGEMENTS 2026'!B34))</f>
        <v/>
      </c>
      <c r="B34">
        <f>IF(ISBLANK('ENGAGEMENTS 2026'!B34),"",'ENGAGEMENTS 2026'!C34)</f>
        <v/>
      </c>
      <c r="C34">
        <f>IF(ISBLANK('ENGAGEMENTS 2026'!B34),"",'ENGAGEMENTS 2026'!D34)</f>
        <v/>
      </c>
      <c r="D34">
        <f>IF(ISBLANK('ENGAGEMENTS 2026'!B34),"",'ENGAGEMENTS 2026'!F34)</f>
        <v/>
      </c>
      <c r="E34">
        <f>IF(ISBLANK('ENGAGEMENTS 2026'!B34),"",'ENGAGEMENTS 2026'!H34)</f>
        <v/>
      </c>
      <c r="F34">
        <f>IF(ISBLANK('ENGAGEMENTS 2026'!B34),"",'ENGAGEMENTS 2026'!I34)</f>
        <v/>
      </c>
      <c r="G34">
        <f>IF(ISBLANK('ENGAGEMENTS 2026'!B34),"",'ENGAGEMENTS 2026'!L34)</f>
        <v/>
      </c>
      <c r="H34">
        <f>IF(ISBLANK('ENGAGEMENTS 2026'!B34),"",'ENGAGEMENTS 2026'!AE34)</f>
        <v/>
      </c>
      <c r="I34">
        <f>IF(ISBLANK('ENGAGEMENTS 2026'!B34),"",'ENGAGEMENTS 2026'!G34)</f>
        <v/>
      </c>
      <c r="J34" s="275">
        <f>IF(ISBLANK('ENGAGEMENTS 2026'!B34),"",IF(AND(OR($E34="INFRUCTUEUX",$E34="ANNULE"),$C34="AOO-M"),'ENGAGEMENTS 2026'!O34,IF($H34="EN COURS DE PREENGAGEMENT",'ENGAGEMENTS 2026'!N34,IF($H34="PREENGAGE",IF($E34="ATTRIBUE",'ENGAGEMENTS 2026'!AD34,'ENGAGEMENTS 2026'!N34),'ENGAGEMENTS 2026'!AD34))))</f>
        <v/>
      </c>
      <c r="K34" s="604">
        <f>IF(ISBLANK('ENGAGEMENTS 2026'!V34),"",'ENGAGEMENTS 2026'!V34)</f>
        <v/>
      </c>
      <c r="L34" s="276">
        <f>IF($K34="","",TODAY()-$K34)</f>
        <v/>
      </c>
      <c r="M34">
        <f>IF($A34="","",IF($H34="ENGAGE","Engagé",IF(AND($H34="NON ENGAGE",OR($I34="INFRUCTUEUX",$I34="ANNULE")),"Clôturé sans suite","En cours")))</f>
        <v/>
      </c>
      <c r="N34">
        <f>IF(ISBLANK('ENGAGEMENTS 2026'!B34),"",'ENGAGEMENTS 2026'!K34)</f>
        <v/>
      </c>
      <c r="O34">
        <f>IF(ISBLANK('ENGAGEMENTS 2026'!B34),"",'ENGAGEMENTS 2026'!L34)</f>
        <v/>
      </c>
      <c r="P34">
        <f>IF(ISBLANK('ENGAGEMENTS 2026'!B34),"",'ENGAGEMENTS 2026'!J34)</f>
        <v/>
      </c>
      <c r="Q34">
        <f>IF($A34="","",IF(OR($E34="INFRUCTUEUX",$E34="ANNULE"),$A34&amp;"|"&amp;(COUNTIFS($A$2:$A34,$A34,$E$2:$E34,"INFRUCTUEUX")+COUNTIFS($A$2:$A34,$A34,$E$2:$E34,"ANNULE")),""))</f>
        <v/>
      </c>
    </row>
    <row r="35">
      <c r="A35">
        <f>IF(ISBLANK('ENGAGEMENTS 2026'!B35),"",IF('ENGAGEMENTS 2026'!B35="DTSI","DCT",'ENGAGEMENTS 2026'!B35))</f>
        <v/>
      </c>
      <c r="B35">
        <f>IF(ISBLANK('ENGAGEMENTS 2026'!B35),"",'ENGAGEMENTS 2026'!C35)</f>
        <v/>
      </c>
      <c r="C35">
        <f>IF(ISBLANK('ENGAGEMENTS 2026'!B35),"",'ENGAGEMENTS 2026'!D35)</f>
        <v/>
      </c>
      <c r="D35">
        <f>IF(ISBLANK('ENGAGEMENTS 2026'!B35),"",'ENGAGEMENTS 2026'!F35)</f>
        <v/>
      </c>
      <c r="E35">
        <f>IF(ISBLANK('ENGAGEMENTS 2026'!B35),"",'ENGAGEMENTS 2026'!H35)</f>
        <v/>
      </c>
      <c r="F35">
        <f>IF(ISBLANK('ENGAGEMENTS 2026'!B35),"",'ENGAGEMENTS 2026'!I35)</f>
        <v/>
      </c>
      <c r="G35">
        <f>IF(ISBLANK('ENGAGEMENTS 2026'!B35),"",'ENGAGEMENTS 2026'!L35)</f>
        <v/>
      </c>
      <c r="H35">
        <f>IF(ISBLANK('ENGAGEMENTS 2026'!B35),"",'ENGAGEMENTS 2026'!AE35)</f>
        <v/>
      </c>
      <c r="I35">
        <f>IF(ISBLANK('ENGAGEMENTS 2026'!B35),"",'ENGAGEMENTS 2026'!G35)</f>
        <v/>
      </c>
      <c r="J35" s="275">
        <f>IF(ISBLANK('ENGAGEMENTS 2026'!B35),"",IF(AND(OR($E35="INFRUCTUEUX",$E35="ANNULE"),$C35="AOO-M"),'ENGAGEMENTS 2026'!O35,IF($H35="EN COURS DE PREENGAGEMENT",'ENGAGEMENTS 2026'!N35,IF($H35="PREENGAGE",IF($E35="ATTRIBUE",'ENGAGEMENTS 2026'!AD35,'ENGAGEMENTS 2026'!N35),'ENGAGEMENTS 2026'!AD35))))</f>
        <v/>
      </c>
      <c r="K35" s="604">
        <f>IF(ISBLANK('ENGAGEMENTS 2026'!V35),"",'ENGAGEMENTS 2026'!V35)</f>
        <v/>
      </c>
      <c r="L35" s="276">
        <f>IF($K35="","",TODAY()-$K35)</f>
        <v/>
      </c>
      <c r="M35">
        <f>IF($A35="","",IF($H35="ENGAGE","Engagé",IF(AND($H35="NON ENGAGE",OR($I35="INFRUCTUEUX",$I35="ANNULE")),"Clôturé sans suite","En cours")))</f>
        <v/>
      </c>
      <c r="N35">
        <f>IF(ISBLANK('ENGAGEMENTS 2026'!B35),"",'ENGAGEMENTS 2026'!K35)</f>
        <v/>
      </c>
      <c r="O35">
        <f>IF(ISBLANK('ENGAGEMENTS 2026'!B35),"",'ENGAGEMENTS 2026'!L35)</f>
        <v/>
      </c>
      <c r="P35">
        <f>IF(ISBLANK('ENGAGEMENTS 2026'!B35),"",'ENGAGEMENTS 2026'!J35)</f>
        <v/>
      </c>
      <c r="Q35">
        <f>IF($A35="","",IF(OR($E35="INFRUCTUEUX",$E35="ANNULE"),$A35&amp;"|"&amp;(COUNTIFS($A$2:$A35,$A35,$E$2:$E35,"INFRUCTUEUX")+COUNTIFS($A$2:$A35,$A35,$E$2:$E35,"ANNULE")),""))</f>
        <v/>
      </c>
    </row>
    <row r="36">
      <c r="A36">
        <f>IF(ISBLANK('ENGAGEMENTS 2026'!B36),"",IF('ENGAGEMENTS 2026'!B36="DTSI","DCT",'ENGAGEMENTS 2026'!B36))</f>
        <v/>
      </c>
      <c r="B36">
        <f>IF(ISBLANK('ENGAGEMENTS 2026'!B36),"",'ENGAGEMENTS 2026'!C36)</f>
        <v/>
      </c>
      <c r="C36">
        <f>IF(ISBLANK('ENGAGEMENTS 2026'!B36),"",'ENGAGEMENTS 2026'!D36)</f>
        <v/>
      </c>
      <c r="D36">
        <f>IF(ISBLANK('ENGAGEMENTS 2026'!B36),"",'ENGAGEMENTS 2026'!F36)</f>
        <v/>
      </c>
      <c r="E36">
        <f>IF(ISBLANK('ENGAGEMENTS 2026'!B36),"",'ENGAGEMENTS 2026'!H36)</f>
        <v/>
      </c>
      <c r="F36">
        <f>IF(ISBLANK('ENGAGEMENTS 2026'!B36),"",'ENGAGEMENTS 2026'!I36)</f>
        <v/>
      </c>
      <c r="G36">
        <f>IF(ISBLANK('ENGAGEMENTS 2026'!B36),"",'ENGAGEMENTS 2026'!L36)</f>
        <v/>
      </c>
      <c r="H36">
        <f>IF(ISBLANK('ENGAGEMENTS 2026'!B36),"",'ENGAGEMENTS 2026'!AE36)</f>
        <v/>
      </c>
      <c r="I36">
        <f>IF(ISBLANK('ENGAGEMENTS 2026'!B36),"",'ENGAGEMENTS 2026'!G36)</f>
        <v/>
      </c>
      <c r="J36" s="275">
        <f>IF(ISBLANK('ENGAGEMENTS 2026'!B36),"",IF(AND(OR($E36="INFRUCTUEUX",$E36="ANNULE"),$C36="AOO-M"),'ENGAGEMENTS 2026'!O36,IF($H36="EN COURS DE PREENGAGEMENT",'ENGAGEMENTS 2026'!N36,IF($H36="PREENGAGE",IF($E36="ATTRIBUE",'ENGAGEMENTS 2026'!AD36,'ENGAGEMENTS 2026'!N36),'ENGAGEMENTS 2026'!AD36))))</f>
        <v/>
      </c>
      <c r="K36" s="604">
        <f>IF(ISBLANK('ENGAGEMENTS 2026'!V36),"",'ENGAGEMENTS 2026'!V36)</f>
        <v/>
      </c>
      <c r="L36" s="276">
        <f>IF($K36="","",TODAY()-$K36)</f>
        <v/>
      </c>
      <c r="M36">
        <f>IF($A36="","",IF($H36="ENGAGE","Engagé",IF(AND($H36="NON ENGAGE",OR($I36="INFRUCTUEUX",$I36="ANNULE")),"Clôturé sans suite","En cours")))</f>
        <v/>
      </c>
      <c r="N36">
        <f>IF(ISBLANK('ENGAGEMENTS 2026'!B36),"",'ENGAGEMENTS 2026'!K36)</f>
        <v/>
      </c>
      <c r="O36">
        <f>IF(ISBLANK('ENGAGEMENTS 2026'!B36),"",'ENGAGEMENTS 2026'!L36)</f>
        <v/>
      </c>
      <c r="P36">
        <f>IF(ISBLANK('ENGAGEMENTS 2026'!B36),"",'ENGAGEMENTS 2026'!J36)</f>
        <v/>
      </c>
      <c r="Q36">
        <f>IF($A36="","",IF(OR($E36="INFRUCTUEUX",$E36="ANNULE"),$A36&amp;"|"&amp;(COUNTIFS($A$2:$A36,$A36,$E$2:$E36,"INFRUCTUEUX")+COUNTIFS($A$2:$A36,$A36,$E$2:$E36,"ANNULE")),""))</f>
        <v/>
      </c>
    </row>
    <row r="37">
      <c r="A37">
        <f>IF(ISBLANK('ENGAGEMENTS 2026'!B37),"",IF('ENGAGEMENTS 2026'!B37="DTSI","DCT",'ENGAGEMENTS 2026'!B37))</f>
        <v/>
      </c>
      <c r="B37">
        <f>IF(ISBLANK('ENGAGEMENTS 2026'!B37),"",'ENGAGEMENTS 2026'!C37)</f>
        <v/>
      </c>
      <c r="C37">
        <f>IF(ISBLANK('ENGAGEMENTS 2026'!B37),"",'ENGAGEMENTS 2026'!D37)</f>
        <v/>
      </c>
      <c r="D37">
        <f>IF(ISBLANK('ENGAGEMENTS 2026'!B37),"",'ENGAGEMENTS 2026'!F37)</f>
        <v/>
      </c>
      <c r="E37">
        <f>IF(ISBLANK('ENGAGEMENTS 2026'!B37),"",'ENGAGEMENTS 2026'!H37)</f>
        <v/>
      </c>
      <c r="F37">
        <f>IF(ISBLANK('ENGAGEMENTS 2026'!B37),"",'ENGAGEMENTS 2026'!I37)</f>
        <v/>
      </c>
      <c r="G37">
        <f>IF(ISBLANK('ENGAGEMENTS 2026'!B37),"",'ENGAGEMENTS 2026'!L37)</f>
        <v/>
      </c>
      <c r="H37">
        <f>IF(ISBLANK('ENGAGEMENTS 2026'!B37),"",'ENGAGEMENTS 2026'!AE37)</f>
        <v/>
      </c>
      <c r="I37">
        <f>IF(ISBLANK('ENGAGEMENTS 2026'!B37),"",'ENGAGEMENTS 2026'!G37)</f>
        <v/>
      </c>
      <c r="J37" s="275">
        <f>IF(ISBLANK('ENGAGEMENTS 2026'!B37),"",IF(AND(OR($E37="INFRUCTUEUX",$E37="ANNULE"),$C37="AOO-M"),'ENGAGEMENTS 2026'!O37,IF($H37="EN COURS DE PREENGAGEMENT",'ENGAGEMENTS 2026'!N37,IF($H37="PREENGAGE",IF($E37="ATTRIBUE",'ENGAGEMENTS 2026'!AD37,'ENGAGEMENTS 2026'!N37),'ENGAGEMENTS 2026'!AD37))))</f>
        <v/>
      </c>
      <c r="K37" s="604">
        <f>IF(ISBLANK('ENGAGEMENTS 2026'!V37),"",'ENGAGEMENTS 2026'!V37)</f>
        <v/>
      </c>
      <c r="L37" s="276">
        <f>IF($K37="","",TODAY()-$K37)</f>
        <v/>
      </c>
      <c r="M37">
        <f>IF($A37="","",IF($H37="ENGAGE","Engagé",IF(AND($H37="NON ENGAGE",OR($I37="INFRUCTUEUX",$I37="ANNULE")),"Clôturé sans suite","En cours")))</f>
        <v/>
      </c>
      <c r="N37">
        <f>IF(ISBLANK('ENGAGEMENTS 2026'!B37),"",'ENGAGEMENTS 2026'!K37)</f>
        <v/>
      </c>
      <c r="O37">
        <f>IF(ISBLANK('ENGAGEMENTS 2026'!B37),"",'ENGAGEMENTS 2026'!L37)</f>
        <v/>
      </c>
      <c r="P37">
        <f>IF(ISBLANK('ENGAGEMENTS 2026'!B37),"",'ENGAGEMENTS 2026'!J37)</f>
        <v/>
      </c>
      <c r="Q37">
        <f>IF($A37="","",IF(OR($E37="INFRUCTUEUX",$E37="ANNULE"),$A37&amp;"|"&amp;(COUNTIFS($A$2:$A37,$A37,$E$2:$E37,"INFRUCTUEUX")+COUNTIFS($A$2:$A37,$A37,$E$2:$E37,"ANNULE")),""))</f>
        <v/>
      </c>
    </row>
    <row r="38">
      <c r="A38">
        <f>IF(ISBLANK('ENGAGEMENTS 2026'!B38),"",IF('ENGAGEMENTS 2026'!B38="DTSI","DCT",'ENGAGEMENTS 2026'!B38))</f>
        <v/>
      </c>
      <c r="B38">
        <f>IF(ISBLANK('ENGAGEMENTS 2026'!B38),"",'ENGAGEMENTS 2026'!C38)</f>
        <v/>
      </c>
      <c r="C38">
        <f>IF(ISBLANK('ENGAGEMENTS 2026'!B38),"",'ENGAGEMENTS 2026'!D38)</f>
        <v/>
      </c>
      <c r="D38">
        <f>IF(ISBLANK('ENGAGEMENTS 2026'!B38),"",'ENGAGEMENTS 2026'!F38)</f>
        <v/>
      </c>
      <c r="E38">
        <f>IF(ISBLANK('ENGAGEMENTS 2026'!B38),"",'ENGAGEMENTS 2026'!H38)</f>
        <v/>
      </c>
      <c r="F38">
        <f>IF(ISBLANK('ENGAGEMENTS 2026'!B38),"",'ENGAGEMENTS 2026'!I38)</f>
        <v/>
      </c>
      <c r="G38">
        <f>IF(ISBLANK('ENGAGEMENTS 2026'!B38),"",'ENGAGEMENTS 2026'!L38)</f>
        <v/>
      </c>
      <c r="H38">
        <f>IF(ISBLANK('ENGAGEMENTS 2026'!B38),"",'ENGAGEMENTS 2026'!AE38)</f>
        <v/>
      </c>
      <c r="I38">
        <f>IF(ISBLANK('ENGAGEMENTS 2026'!B38),"",'ENGAGEMENTS 2026'!G38)</f>
        <v/>
      </c>
      <c r="J38" s="275">
        <f>IF(ISBLANK('ENGAGEMENTS 2026'!B38),"",IF(AND(OR($E38="INFRUCTUEUX",$E38="ANNULE"),$C38="AOO-M"),'ENGAGEMENTS 2026'!O38,IF($H38="EN COURS DE PREENGAGEMENT",'ENGAGEMENTS 2026'!N38,IF($H38="PREENGAGE",IF($E38="ATTRIBUE",'ENGAGEMENTS 2026'!AD38,'ENGAGEMENTS 2026'!N38),'ENGAGEMENTS 2026'!AD38))))</f>
        <v/>
      </c>
      <c r="K38" s="604">
        <f>IF(ISBLANK('ENGAGEMENTS 2026'!V38),"",'ENGAGEMENTS 2026'!V38)</f>
        <v/>
      </c>
      <c r="L38" s="276">
        <f>IF($K38="","",TODAY()-$K38)</f>
        <v/>
      </c>
      <c r="M38">
        <f>IF($A38="","",IF($H38="ENGAGE","Engagé",IF(AND($H38="NON ENGAGE",OR($I38="INFRUCTUEUX",$I38="ANNULE")),"Clôturé sans suite","En cours")))</f>
        <v/>
      </c>
      <c r="N38">
        <f>IF(ISBLANK('ENGAGEMENTS 2026'!B38),"",'ENGAGEMENTS 2026'!K38)</f>
        <v/>
      </c>
      <c r="O38">
        <f>IF(ISBLANK('ENGAGEMENTS 2026'!B38),"",'ENGAGEMENTS 2026'!L38)</f>
        <v/>
      </c>
      <c r="P38">
        <f>IF(ISBLANK('ENGAGEMENTS 2026'!B38),"",'ENGAGEMENTS 2026'!J38)</f>
        <v/>
      </c>
      <c r="Q38">
        <f>IF($A38="","",IF(OR($E38="INFRUCTUEUX",$E38="ANNULE"),$A38&amp;"|"&amp;(COUNTIFS($A$2:$A38,$A38,$E$2:$E38,"INFRUCTUEUX")+COUNTIFS($A$2:$A38,$A38,$E$2:$E38,"ANNULE")),""))</f>
        <v/>
      </c>
    </row>
    <row r="39">
      <c r="A39">
        <f>IF(ISBLANK('ENGAGEMENTS 2026'!B39),"",IF('ENGAGEMENTS 2026'!B39="DTSI","DCT",'ENGAGEMENTS 2026'!B39))</f>
        <v/>
      </c>
      <c r="B39">
        <f>IF(ISBLANK('ENGAGEMENTS 2026'!B39),"",'ENGAGEMENTS 2026'!C39)</f>
        <v/>
      </c>
      <c r="C39">
        <f>IF(ISBLANK('ENGAGEMENTS 2026'!B39),"",'ENGAGEMENTS 2026'!D39)</f>
        <v/>
      </c>
      <c r="D39">
        <f>IF(ISBLANK('ENGAGEMENTS 2026'!B39),"",'ENGAGEMENTS 2026'!F39)</f>
        <v/>
      </c>
      <c r="E39">
        <f>IF(ISBLANK('ENGAGEMENTS 2026'!B39),"",'ENGAGEMENTS 2026'!H39)</f>
        <v/>
      </c>
      <c r="F39">
        <f>IF(ISBLANK('ENGAGEMENTS 2026'!B39),"",'ENGAGEMENTS 2026'!I39)</f>
        <v/>
      </c>
      <c r="G39">
        <f>IF(ISBLANK('ENGAGEMENTS 2026'!B39),"",'ENGAGEMENTS 2026'!L39)</f>
        <v/>
      </c>
      <c r="H39">
        <f>IF(ISBLANK('ENGAGEMENTS 2026'!B39),"",'ENGAGEMENTS 2026'!AE39)</f>
        <v/>
      </c>
      <c r="I39">
        <f>IF(ISBLANK('ENGAGEMENTS 2026'!B39),"",'ENGAGEMENTS 2026'!G39)</f>
        <v/>
      </c>
      <c r="J39" s="275">
        <f>IF(ISBLANK('ENGAGEMENTS 2026'!B39),"",IF(AND(OR($E39="INFRUCTUEUX",$E39="ANNULE"),$C39="AOO-M"),'ENGAGEMENTS 2026'!O39,IF($H39="EN COURS DE PREENGAGEMENT",'ENGAGEMENTS 2026'!N39,IF($H39="PREENGAGE",IF($E39="ATTRIBUE",'ENGAGEMENTS 2026'!AD39,'ENGAGEMENTS 2026'!N39),'ENGAGEMENTS 2026'!AD39))))</f>
        <v/>
      </c>
      <c r="K39" s="604">
        <f>IF(ISBLANK('ENGAGEMENTS 2026'!V39),"",'ENGAGEMENTS 2026'!V39)</f>
        <v/>
      </c>
      <c r="L39" s="276">
        <f>IF($K39="","",TODAY()-$K39)</f>
        <v/>
      </c>
      <c r="M39">
        <f>IF($A39="","",IF($H39="ENGAGE","Engagé",IF(AND($H39="NON ENGAGE",OR($I39="INFRUCTUEUX",$I39="ANNULE")),"Clôturé sans suite","En cours")))</f>
        <v/>
      </c>
      <c r="N39">
        <f>IF(ISBLANK('ENGAGEMENTS 2026'!B39),"",'ENGAGEMENTS 2026'!K39)</f>
        <v/>
      </c>
      <c r="O39">
        <f>IF(ISBLANK('ENGAGEMENTS 2026'!B39),"",'ENGAGEMENTS 2026'!L39)</f>
        <v/>
      </c>
      <c r="P39">
        <f>IF(ISBLANK('ENGAGEMENTS 2026'!B39),"",'ENGAGEMENTS 2026'!J39)</f>
        <v/>
      </c>
      <c r="Q39">
        <f>IF($A39="","",IF(OR($E39="INFRUCTUEUX",$E39="ANNULE"),$A39&amp;"|"&amp;(COUNTIFS($A$2:$A39,$A39,$E$2:$E39,"INFRUCTUEUX")+COUNTIFS($A$2:$A39,$A39,$E$2:$E39,"ANNULE")),""))</f>
        <v/>
      </c>
    </row>
    <row r="40">
      <c r="A40">
        <f>IF(ISBLANK('ENGAGEMENTS 2026'!B40),"",IF('ENGAGEMENTS 2026'!B40="DTSI","DCT",'ENGAGEMENTS 2026'!B40))</f>
        <v/>
      </c>
      <c r="B40">
        <f>IF(ISBLANK('ENGAGEMENTS 2026'!B40),"",'ENGAGEMENTS 2026'!C40)</f>
        <v/>
      </c>
      <c r="C40">
        <f>IF(ISBLANK('ENGAGEMENTS 2026'!B40),"",'ENGAGEMENTS 2026'!D40)</f>
        <v/>
      </c>
      <c r="D40">
        <f>IF(ISBLANK('ENGAGEMENTS 2026'!B40),"",'ENGAGEMENTS 2026'!F40)</f>
        <v/>
      </c>
      <c r="E40">
        <f>IF(ISBLANK('ENGAGEMENTS 2026'!B40),"",'ENGAGEMENTS 2026'!H40)</f>
        <v/>
      </c>
      <c r="F40">
        <f>IF(ISBLANK('ENGAGEMENTS 2026'!B40),"",'ENGAGEMENTS 2026'!I40)</f>
        <v/>
      </c>
      <c r="G40">
        <f>IF(ISBLANK('ENGAGEMENTS 2026'!B40),"",'ENGAGEMENTS 2026'!L40)</f>
        <v/>
      </c>
      <c r="H40">
        <f>IF(ISBLANK('ENGAGEMENTS 2026'!B40),"",'ENGAGEMENTS 2026'!AE40)</f>
        <v/>
      </c>
      <c r="I40">
        <f>IF(ISBLANK('ENGAGEMENTS 2026'!B40),"",'ENGAGEMENTS 2026'!G40)</f>
        <v/>
      </c>
      <c r="J40" s="275">
        <f>IF(ISBLANK('ENGAGEMENTS 2026'!B40),"",IF(AND(OR($E40="INFRUCTUEUX",$E40="ANNULE"),$C40="AOO-M"),'ENGAGEMENTS 2026'!O40,IF($H40="EN COURS DE PREENGAGEMENT",'ENGAGEMENTS 2026'!N40,IF($H40="PREENGAGE",IF($E40="ATTRIBUE",'ENGAGEMENTS 2026'!AD40,'ENGAGEMENTS 2026'!N40),'ENGAGEMENTS 2026'!AD40))))</f>
        <v/>
      </c>
      <c r="K40" s="604">
        <f>IF(ISBLANK('ENGAGEMENTS 2026'!V40),"",'ENGAGEMENTS 2026'!V40)</f>
        <v/>
      </c>
      <c r="L40" s="276">
        <f>IF($K40="","",TODAY()-$K40)</f>
        <v/>
      </c>
      <c r="M40">
        <f>IF($A40="","",IF($H40="ENGAGE","Engagé",IF(AND($H40="NON ENGAGE",OR($I40="INFRUCTUEUX",$I40="ANNULE")),"Clôturé sans suite","En cours")))</f>
        <v/>
      </c>
      <c r="N40">
        <f>IF(ISBLANK('ENGAGEMENTS 2026'!B40),"",'ENGAGEMENTS 2026'!K40)</f>
        <v/>
      </c>
      <c r="O40">
        <f>IF(ISBLANK('ENGAGEMENTS 2026'!B40),"",'ENGAGEMENTS 2026'!L40)</f>
        <v/>
      </c>
      <c r="P40">
        <f>IF(ISBLANK('ENGAGEMENTS 2026'!B40),"",'ENGAGEMENTS 2026'!J40)</f>
        <v/>
      </c>
      <c r="Q40">
        <f>IF($A40="","",IF(OR($E40="INFRUCTUEUX",$E40="ANNULE"),$A40&amp;"|"&amp;(COUNTIFS($A$2:$A40,$A40,$E$2:$E40,"INFRUCTUEUX")+COUNTIFS($A$2:$A40,$A40,$E$2:$E40,"ANNULE")),""))</f>
        <v/>
      </c>
    </row>
    <row r="41">
      <c r="A41">
        <f>IF(ISBLANK('ENGAGEMENTS 2026'!B41),"",IF('ENGAGEMENTS 2026'!B41="DTSI","DCT",'ENGAGEMENTS 2026'!B41))</f>
        <v/>
      </c>
      <c r="B41">
        <f>IF(ISBLANK('ENGAGEMENTS 2026'!B41),"",'ENGAGEMENTS 2026'!C41)</f>
        <v/>
      </c>
      <c r="C41">
        <f>IF(ISBLANK('ENGAGEMENTS 2026'!B41),"",'ENGAGEMENTS 2026'!D41)</f>
        <v/>
      </c>
      <c r="D41">
        <f>IF(ISBLANK('ENGAGEMENTS 2026'!B41),"",'ENGAGEMENTS 2026'!F41)</f>
        <v/>
      </c>
      <c r="E41">
        <f>IF(ISBLANK('ENGAGEMENTS 2026'!B41),"",'ENGAGEMENTS 2026'!H41)</f>
        <v/>
      </c>
      <c r="F41">
        <f>IF(ISBLANK('ENGAGEMENTS 2026'!B41),"",'ENGAGEMENTS 2026'!I41)</f>
        <v/>
      </c>
      <c r="G41">
        <f>IF(ISBLANK('ENGAGEMENTS 2026'!B41),"",'ENGAGEMENTS 2026'!L41)</f>
        <v/>
      </c>
      <c r="H41">
        <f>IF(ISBLANK('ENGAGEMENTS 2026'!B41),"",'ENGAGEMENTS 2026'!AE41)</f>
        <v/>
      </c>
      <c r="I41">
        <f>IF(ISBLANK('ENGAGEMENTS 2026'!B41),"",'ENGAGEMENTS 2026'!G41)</f>
        <v/>
      </c>
      <c r="J41" s="275">
        <f>IF(ISBLANK('ENGAGEMENTS 2026'!B41),"",IF(AND(OR($E41="INFRUCTUEUX",$E41="ANNULE"),$C41="AOO-M"),'ENGAGEMENTS 2026'!O41,IF($H41="EN COURS DE PREENGAGEMENT",'ENGAGEMENTS 2026'!N41,IF($H41="PREENGAGE",IF($E41="ATTRIBUE",'ENGAGEMENTS 2026'!AD41,'ENGAGEMENTS 2026'!N41),'ENGAGEMENTS 2026'!AD41))))</f>
        <v/>
      </c>
      <c r="K41" s="604">
        <f>IF(ISBLANK('ENGAGEMENTS 2026'!V41),"",'ENGAGEMENTS 2026'!V41)</f>
        <v/>
      </c>
      <c r="L41" s="276">
        <f>IF($K41="","",TODAY()-$K41)</f>
        <v/>
      </c>
      <c r="M41">
        <f>IF($A41="","",IF($H41="ENGAGE","Engagé",IF(AND($H41="NON ENGAGE",OR($I41="INFRUCTUEUX",$I41="ANNULE")),"Clôturé sans suite","En cours")))</f>
        <v/>
      </c>
      <c r="N41">
        <f>IF(ISBLANK('ENGAGEMENTS 2026'!B41),"",'ENGAGEMENTS 2026'!K41)</f>
        <v/>
      </c>
      <c r="O41">
        <f>IF(ISBLANK('ENGAGEMENTS 2026'!B41),"",'ENGAGEMENTS 2026'!L41)</f>
        <v/>
      </c>
      <c r="P41">
        <f>IF(ISBLANK('ENGAGEMENTS 2026'!B41),"",'ENGAGEMENTS 2026'!J41)</f>
        <v/>
      </c>
      <c r="Q41">
        <f>IF($A41="","",IF(OR($E41="INFRUCTUEUX",$E41="ANNULE"),$A41&amp;"|"&amp;(COUNTIFS($A$2:$A41,$A41,$E$2:$E41,"INFRUCTUEUX")+COUNTIFS($A$2:$A41,$A41,$E$2:$E41,"ANNULE")),""))</f>
        <v/>
      </c>
    </row>
    <row r="42">
      <c r="A42">
        <f>IF(ISBLANK('ENGAGEMENTS 2026'!B42),"",IF('ENGAGEMENTS 2026'!B42="DTSI","DCT",'ENGAGEMENTS 2026'!B42))</f>
        <v/>
      </c>
      <c r="B42">
        <f>IF(ISBLANK('ENGAGEMENTS 2026'!B42),"",'ENGAGEMENTS 2026'!C42)</f>
        <v/>
      </c>
      <c r="C42">
        <f>IF(ISBLANK('ENGAGEMENTS 2026'!B42),"",'ENGAGEMENTS 2026'!D42)</f>
        <v/>
      </c>
      <c r="D42">
        <f>IF(ISBLANK('ENGAGEMENTS 2026'!B42),"",'ENGAGEMENTS 2026'!F42)</f>
        <v/>
      </c>
      <c r="E42">
        <f>IF(ISBLANK('ENGAGEMENTS 2026'!B42),"",'ENGAGEMENTS 2026'!H42)</f>
        <v/>
      </c>
      <c r="F42">
        <f>IF(ISBLANK('ENGAGEMENTS 2026'!B42),"",'ENGAGEMENTS 2026'!I42)</f>
        <v/>
      </c>
      <c r="G42">
        <f>IF(ISBLANK('ENGAGEMENTS 2026'!B42),"",'ENGAGEMENTS 2026'!L42)</f>
        <v/>
      </c>
      <c r="H42">
        <f>IF(ISBLANK('ENGAGEMENTS 2026'!B42),"",'ENGAGEMENTS 2026'!AE42)</f>
        <v/>
      </c>
      <c r="I42">
        <f>IF(ISBLANK('ENGAGEMENTS 2026'!B42),"",'ENGAGEMENTS 2026'!G42)</f>
        <v/>
      </c>
      <c r="J42" s="275">
        <f>IF(ISBLANK('ENGAGEMENTS 2026'!B42),"",IF(AND(OR($E42="INFRUCTUEUX",$E42="ANNULE"),$C42="AOO-M"),'ENGAGEMENTS 2026'!O42,IF($H42="EN COURS DE PREENGAGEMENT",'ENGAGEMENTS 2026'!N42,IF($H42="PREENGAGE",IF($E42="ATTRIBUE",'ENGAGEMENTS 2026'!AD42,'ENGAGEMENTS 2026'!N42),'ENGAGEMENTS 2026'!AD42))))</f>
        <v/>
      </c>
      <c r="K42" s="604">
        <f>IF(ISBLANK('ENGAGEMENTS 2026'!V42),"",'ENGAGEMENTS 2026'!V42)</f>
        <v/>
      </c>
      <c r="L42" s="276">
        <f>IF($K42="","",TODAY()-$K42)</f>
        <v/>
      </c>
      <c r="M42">
        <f>IF($A42="","",IF($H42="ENGAGE","Engagé",IF(AND($H42="NON ENGAGE",OR($I42="INFRUCTUEUX",$I42="ANNULE")),"Clôturé sans suite","En cours")))</f>
        <v/>
      </c>
      <c r="N42">
        <f>IF(ISBLANK('ENGAGEMENTS 2026'!B42),"",'ENGAGEMENTS 2026'!K42)</f>
        <v/>
      </c>
      <c r="O42">
        <f>IF(ISBLANK('ENGAGEMENTS 2026'!B42),"",'ENGAGEMENTS 2026'!L42)</f>
        <v/>
      </c>
      <c r="P42">
        <f>IF(ISBLANK('ENGAGEMENTS 2026'!B42),"",'ENGAGEMENTS 2026'!J42)</f>
        <v/>
      </c>
      <c r="Q42">
        <f>IF($A42="","",IF(OR($E42="INFRUCTUEUX",$E42="ANNULE"),$A42&amp;"|"&amp;(COUNTIFS($A$2:$A42,$A42,$E$2:$E42,"INFRUCTUEUX")+COUNTIFS($A$2:$A42,$A42,$E$2:$E42,"ANNULE")),""))</f>
        <v/>
      </c>
    </row>
    <row r="43">
      <c r="A43">
        <f>IF(ISBLANK('ENGAGEMENTS 2026'!B43),"",IF('ENGAGEMENTS 2026'!B43="DTSI","DCT",'ENGAGEMENTS 2026'!B43))</f>
        <v/>
      </c>
      <c r="B43">
        <f>IF(ISBLANK('ENGAGEMENTS 2026'!B43),"",'ENGAGEMENTS 2026'!C43)</f>
        <v/>
      </c>
      <c r="C43">
        <f>IF(ISBLANK('ENGAGEMENTS 2026'!B43),"",'ENGAGEMENTS 2026'!D43)</f>
        <v/>
      </c>
      <c r="D43">
        <f>IF(ISBLANK('ENGAGEMENTS 2026'!B43),"",'ENGAGEMENTS 2026'!F43)</f>
        <v/>
      </c>
      <c r="E43">
        <f>IF(ISBLANK('ENGAGEMENTS 2026'!B43),"",'ENGAGEMENTS 2026'!H43)</f>
        <v/>
      </c>
      <c r="F43">
        <f>IF(ISBLANK('ENGAGEMENTS 2026'!B43),"",'ENGAGEMENTS 2026'!I43)</f>
        <v/>
      </c>
      <c r="G43">
        <f>IF(ISBLANK('ENGAGEMENTS 2026'!B43),"",'ENGAGEMENTS 2026'!L43)</f>
        <v/>
      </c>
      <c r="H43">
        <f>IF(ISBLANK('ENGAGEMENTS 2026'!B43),"",'ENGAGEMENTS 2026'!AE43)</f>
        <v/>
      </c>
      <c r="I43">
        <f>IF(ISBLANK('ENGAGEMENTS 2026'!B43),"",'ENGAGEMENTS 2026'!G43)</f>
        <v/>
      </c>
      <c r="J43" s="275">
        <f>IF(ISBLANK('ENGAGEMENTS 2026'!B43),"",IF(AND(OR($E43="INFRUCTUEUX",$E43="ANNULE"),$C43="AOO-M"),'ENGAGEMENTS 2026'!O43,IF($H43="EN COURS DE PREENGAGEMENT",'ENGAGEMENTS 2026'!N43,IF($H43="PREENGAGE",IF($E43="ATTRIBUE",'ENGAGEMENTS 2026'!AD43,'ENGAGEMENTS 2026'!N43),'ENGAGEMENTS 2026'!AD43))))</f>
        <v/>
      </c>
      <c r="K43" s="604">
        <f>IF(ISBLANK('ENGAGEMENTS 2026'!V43),"",'ENGAGEMENTS 2026'!V43)</f>
        <v/>
      </c>
      <c r="L43" s="276">
        <f>IF($K43="","",TODAY()-$K43)</f>
        <v/>
      </c>
      <c r="M43">
        <f>IF($A43="","",IF($H43="ENGAGE","Engagé",IF(AND($H43="NON ENGAGE",OR($I43="INFRUCTUEUX",$I43="ANNULE")),"Clôturé sans suite","En cours")))</f>
        <v/>
      </c>
      <c r="N43">
        <f>IF(ISBLANK('ENGAGEMENTS 2026'!B43),"",'ENGAGEMENTS 2026'!K43)</f>
        <v/>
      </c>
      <c r="O43">
        <f>IF(ISBLANK('ENGAGEMENTS 2026'!B43),"",'ENGAGEMENTS 2026'!L43)</f>
        <v/>
      </c>
      <c r="P43">
        <f>IF(ISBLANK('ENGAGEMENTS 2026'!B43),"",'ENGAGEMENTS 2026'!J43)</f>
        <v/>
      </c>
      <c r="Q43">
        <f>IF($A43="","",IF(OR($E43="INFRUCTUEUX",$E43="ANNULE"),$A43&amp;"|"&amp;(COUNTIFS($A$2:$A43,$A43,$E$2:$E43,"INFRUCTUEUX")+COUNTIFS($A$2:$A43,$A43,$E$2:$E43,"ANNULE")),""))</f>
        <v/>
      </c>
    </row>
    <row r="44">
      <c r="A44">
        <f>IF(ISBLANK('ENGAGEMENTS 2026'!B44),"",IF('ENGAGEMENTS 2026'!B44="DTSI","DCT",'ENGAGEMENTS 2026'!B44))</f>
        <v/>
      </c>
      <c r="B44">
        <f>IF(ISBLANK('ENGAGEMENTS 2026'!B44),"",'ENGAGEMENTS 2026'!C44)</f>
        <v/>
      </c>
      <c r="C44">
        <f>IF(ISBLANK('ENGAGEMENTS 2026'!B44),"",'ENGAGEMENTS 2026'!D44)</f>
        <v/>
      </c>
      <c r="D44">
        <f>IF(ISBLANK('ENGAGEMENTS 2026'!B44),"",'ENGAGEMENTS 2026'!F44)</f>
        <v/>
      </c>
      <c r="E44">
        <f>IF(ISBLANK('ENGAGEMENTS 2026'!B44),"",'ENGAGEMENTS 2026'!H44)</f>
        <v/>
      </c>
      <c r="F44">
        <f>IF(ISBLANK('ENGAGEMENTS 2026'!B44),"",'ENGAGEMENTS 2026'!I44)</f>
        <v/>
      </c>
      <c r="G44">
        <f>IF(ISBLANK('ENGAGEMENTS 2026'!B44),"",'ENGAGEMENTS 2026'!L44)</f>
        <v/>
      </c>
      <c r="H44">
        <f>IF(ISBLANK('ENGAGEMENTS 2026'!B44),"",'ENGAGEMENTS 2026'!AE44)</f>
        <v/>
      </c>
      <c r="I44">
        <f>IF(ISBLANK('ENGAGEMENTS 2026'!B44),"",'ENGAGEMENTS 2026'!G44)</f>
        <v/>
      </c>
      <c r="J44" s="275">
        <f>IF(ISBLANK('ENGAGEMENTS 2026'!B44),"",IF(AND(OR($E44="INFRUCTUEUX",$E44="ANNULE"),$C44="AOO-M"),'ENGAGEMENTS 2026'!O44,IF($H44="EN COURS DE PREENGAGEMENT",'ENGAGEMENTS 2026'!N44,IF($H44="PREENGAGE",IF($E44="ATTRIBUE",'ENGAGEMENTS 2026'!AD44,'ENGAGEMENTS 2026'!N44),'ENGAGEMENTS 2026'!AD44))))</f>
        <v/>
      </c>
      <c r="K44" s="604">
        <f>IF(ISBLANK('ENGAGEMENTS 2026'!V44),"",'ENGAGEMENTS 2026'!V44)</f>
        <v/>
      </c>
      <c r="L44" s="276">
        <f>IF($K44="","",TODAY()-$K44)</f>
        <v/>
      </c>
      <c r="M44">
        <f>IF($A44="","",IF($H44="ENGAGE","Engagé",IF(AND($H44="NON ENGAGE",OR($I44="INFRUCTUEUX",$I44="ANNULE")),"Clôturé sans suite","En cours")))</f>
        <v/>
      </c>
      <c r="N44">
        <f>IF(ISBLANK('ENGAGEMENTS 2026'!B44),"",'ENGAGEMENTS 2026'!K44)</f>
        <v/>
      </c>
      <c r="O44">
        <f>IF(ISBLANK('ENGAGEMENTS 2026'!B44),"",'ENGAGEMENTS 2026'!L44)</f>
        <v/>
      </c>
      <c r="P44">
        <f>IF(ISBLANK('ENGAGEMENTS 2026'!B44),"",'ENGAGEMENTS 2026'!J44)</f>
        <v/>
      </c>
      <c r="Q44">
        <f>IF($A44="","",IF(OR($E44="INFRUCTUEUX",$E44="ANNULE"),$A44&amp;"|"&amp;(COUNTIFS($A$2:$A44,$A44,$E$2:$E44,"INFRUCTUEUX")+COUNTIFS($A$2:$A44,$A44,$E$2:$E44,"ANNULE")),""))</f>
        <v/>
      </c>
    </row>
    <row r="45">
      <c r="A45">
        <f>IF(ISBLANK('ENGAGEMENTS 2026'!B45),"",IF('ENGAGEMENTS 2026'!B45="DTSI","DCT",'ENGAGEMENTS 2026'!B45))</f>
        <v/>
      </c>
      <c r="B45">
        <f>IF(ISBLANK('ENGAGEMENTS 2026'!B45),"",'ENGAGEMENTS 2026'!C45)</f>
        <v/>
      </c>
      <c r="C45">
        <f>IF(ISBLANK('ENGAGEMENTS 2026'!B45),"",'ENGAGEMENTS 2026'!D45)</f>
        <v/>
      </c>
      <c r="D45">
        <f>IF(ISBLANK('ENGAGEMENTS 2026'!B45),"",'ENGAGEMENTS 2026'!F45)</f>
        <v/>
      </c>
      <c r="E45">
        <f>IF(ISBLANK('ENGAGEMENTS 2026'!B45),"",'ENGAGEMENTS 2026'!H45)</f>
        <v/>
      </c>
      <c r="F45">
        <f>IF(ISBLANK('ENGAGEMENTS 2026'!B45),"",'ENGAGEMENTS 2026'!I45)</f>
        <v/>
      </c>
      <c r="G45">
        <f>IF(ISBLANK('ENGAGEMENTS 2026'!B45),"",'ENGAGEMENTS 2026'!L45)</f>
        <v/>
      </c>
      <c r="H45">
        <f>IF(ISBLANK('ENGAGEMENTS 2026'!B45),"",'ENGAGEMENTS 2026'!AE45)</f>
        <v/>
      </c>
      <c r="I45">
        <f>IF(ISBLANK('ENGAGEMENTS 2026'!B45),"",'ENGAGEMENTS 2026'!G45)</f>
        <v/>
      </c>
      <c r="J45" s="275">
        <f>IF(ISBLANK('ENGAGEMENTS 2026'!B45),"",IF(AND(OR($E45="INFRUCTUEUX",$E45="ANNULE"),$C45="AOO-M"),'ENGAGEMENTS 2026'!O45,IF($H45="EN COURS DE PREENGAGEMENT",'ENGAGEMENTS 2026'!N45,IF($H45="PREENGAGE",IF($E45="ATTRIBUE",'ENGAGEMENTS 2026'!AD45,'ENGAGEMENTS 2026'!N45),'ENGAGEMENTS 2026'!AD45))))</f>
        <v/>
      </c>
      <c r="K45" s="604">
        <f>IF(ISBLANK('ENGAGEMENTS 2026'!V45),"",'ENGAGEMENTS 2026'!V45)</f>
        <v/>
      </c>
      <c r="L45" s="276">
        <f>IF($K45="","",TODAY()-$K45)</f>
        <v/>
      </c>
      <c r="M45">
        <f>IF($A45="","",IF($H45="ENGAGE","Engagé",IF(AND($H45="NON ENGAGE",OR($I45="INFRUCTUEUX",$I45="ANNULE")),"Clôturé sans suite","En cours")))</f>
        <v/>
      </c>
      <c r="N45">
        <f>IF(ISBLANK('ENGAGEMENTS 2026'!B45),"",'ENGAGEMENTS 2026'!K45)</f>
        <v/>
      </c>
      <c r="O45">
        <f>IF(ISBLANK('ENGAGEMENTS 2026'!B45),"",'ENGAGEMENTS 2026'!L45)</f>
        <v/>
      </c>
      <c r="P45">
        <f>IF(ISBLANK('ENGAGEMENTS 2026'!B45),"",'ENGAGEMENTS 2026'!J45)</f>
        <v/>
      </c>
      <c r="Q45">
        <f>IF($A45="","",IF(OR($E45="INFRUCTUEUX",$E45="ANNULE"),$A45&amp;"|"&amp;(COUNTIFS($A$2:$A45,$A45,$E$2:$E45,"INFRUCTUEUX")+COUNTIFS($A$2:$A45,$A45,$E$2:$E45,"ANNULE")),""))</f>
        <v/>
      </c>
    </row>
    <row r="46">
      <c r="A46">
        <f>IF(ISBLANK('ENGAGEMENTS 2026'!B46),"",IF('ENGAGEMENTS 2026'!B46="DTSI","DCT",'ENGAGEMENTS 2026'!B46))</f>
        <v/>
      </c>
      <c r="B46">
        <f>IF(ISBLANK('ENGAGEMENTS 2026'!B46),"",'ENGAGEMENTS 2026'!C46)</f>
        <v/>
      </c>
      <c r="C46">
        <f>IF(ISBLANK('ENGAGEMENTS 2026'!B46),"",'ENGAGEMENTS 2026'!D46)</f>
        <v/>
      </c>
      <c r="D46">
        <f>IF(ISBLANK('ENGAGEMENTS 2026'!B46),"",'ENGAGEMENTS 2026'!F46)</f>
        <v/>
      </c>
      <c r="E46">
        <f>IF(ISBLANK('ENGAGEMENTS 2026'!B46),"",'ENGAGEMENTS 2026'!H46)</f>
        <v/>
      </c>
      <c r="F46">
        <f>IF(ISBLANK('ENGAGEMENTS 2026'!B46),"",'ENGAGEMENTS 2026'!I46)</f>
        <v/>
      </c>
      <c r="G46">
        <f>IF(ISBLANK('ENGAGEMENTS 2026'!B46),"",'ENGAGEMENTS 2026'!L46)</f>
        <v/>
      </c>
      <c r="H46">
        <f>IF(ISBLANK('ENGAGEMENTS 2026'!B46),"",'ENGAGEMENTS 2026'!AE46)</f>
        <v/>
      </c>
      <c r="I46">
        <f>IF(ISBLANK('ENGAGEMENTS 2026'!B46),"",'ENGAGEMENTS 2026'!G46)</f>
        <v/>
      </c>
      <c r="J46" s="275">
        <f>IF(ISBLANK('ENGAGEMENTS 2026'!B46),"",IF(AND(OR($E46="INFRUCTUEUX",$E46="ANNULE"),$C46="AOO-M"),'ENGAGEMENTS 2026'!O46,IF($H46="EN COURS DE PREENGAGEMENT",'ENGAGEMENTS 2026'!N46,IF($H46="PREENGAGE",IF($E46="ATTRIBUE",'ENGAGEMENTS 2026'!AD46,'ENGAGEMENTS 2026'!N46),'ENGAGEMENTS 2026'!AD46))))</f>
        <v/>
      </c>
      <c r="K46" s="604">
        <f>IF(ISBLANK('ENGAGEMENTS 2026'!V46),"",'ENGAGEMENTS 2026'!V46)</f>
        <v/>
      </c>
      <c r="L46" s="276">
        <f>IF($K46="","",TODAY()-$K46)</f>
        <v/>
      </c>
      <c r="M46">
        <f>IF($A46="","",IF($H46="ENGAGE","Engagé",IF(AND($H46="NON ENGAGE",OR($I46="INFRUCTUEUX",$I46="ANNULE")),"Clôturé sans suite","En cours")))</f>
        <v/>
      </c>
      <c r="N46">
        <f>IF(ISBLANK('ENGAGEMENTS 2026'!B46),"",'ENGAGEMENTS 2026'!K46)</f>
        <v/>
      </c>
      <c r="O46">
        <f>IF(ISBLANK('ENGAGEMENTS 2026'!B46),"",'ENGAGEMENTS 2026'!L46)</f>
        <v/>
      </c>
      <c r="P46">
        <f>IF(ISBLANK('ENGAGEMENTS 2026'!B46),"",'ENGAGEMENTS 2026'!J46)</f>
        <v/>
      </c>
      <c r="Q46">
        <f>IF($A46="","",IF(OR($E46="INFRUCTUEUX",$E46="ANNULE"),$A46&amp;"|"&amp;(COUNTIFS($A$2:$A46,$A46,$E$2:$E46,"INFRUCTUEUX")+COUNTIFS($A$2:$A46,$A46,$E$2:$E46,"ANNULE")),""))</f>
        <v/>
      </c>
    </row>
    <row r="47">
      <c r="A47">
        <f>IF(ISBLANK('ENGAGEMENTS 2026'!B47),"",IF('ENGAGEMENTS 2026'!B47="DTSI","DCT",'ENGAGEMENTS 2026'!B47))</f>
        <v/>
      </c>
      <c r="B47">
        <f>IF(ISBLANK('ENGAGEMENTS 2026'!B47),"",'ENGAGEMENTS 2026'!C47)</f>
        <v/>
      </c>
      <c r="C47">
        <f>IF(ISBLANK('ENGAGEMENTS 2026'!B47),"",'ENGAGEMENTS 2026'!D47)</f>
        <v/>
      </c>
      <c r="D47">
        <f>IF(ISBLANK('ENGAGEMENTS 2026'!B47),"",'ENGAGEMENTS 2026'!F47)</f>
        <v/>
      </c>
      <c r="E47">
        <f>IF(ISBLANK('ENGAGEMENTS 2026'!B47),"",'ENGAGEMENTS 2026'!H47)</f>
        <v/>
      </c>
      <c r="F47">
        <f>IF(ISBLANK('ENGAGEMENTS 2026'!B47),"",'ENGAGEMENTS 2026'!I47)</f>
        <v/>
      </c>
      <c r="G47">
        <f>IF(ISBLANK('ENGAGEMENTS 2026'!B47),"",'ENGAGEMENTS 2026'!L47)</f>
        <v/>
      </c>
      <c r="H47">
        <f>IF(ISBLANK('ENGAGEMENTS 2026'!B47),"",'ENGAGEMENTS 2026'!AE47)</f>
        <v/>
      </c>
      <c r="I47">
        <f>IF(ISBLANK('ENGAGEMENTS 2026'!B47),"",'ENGAGEMENTS 2026'!G47)</f>
        <v/>
      </c>
      <c r="J47" s="275">
        <f>IF(ISBLANK('ENGAGEMENTS 2026'!B47),"",IF(AND(OR($E47="INFRUCTUEUX",$E47="ANNULE"),$C47="AOO-M"),'ENGAGEMENTS 2026'!O47,IF($H47="EN COURS DE PREENGAGEMENT",'ENGAGEMENTS 2026'!N47,IF($H47="PREENGAGE",IF($E47="ATTRIBUE",'ENGAGEMENTS 2026'!AD47,'ENGAGEMENTS 2026'!N47),'ENGAGEMENTS 2026'!AD47))))</f>
        <v/>
      </c>
      <c r="K47" s="604">
        <f>IF(ISBLANK('ENGAGEMENTS 2026'!V47),"",'ENGAGEMENTS 2026'!V47)</f>
        <v/>
      </c>
      <c r="L47" s="276">
        <f>IF($K47="","",TODAY()-$K47)</f>
        <v/>
      </c>
      <c r="M47">
        <f>IF($A47="","",IF($H47="ENGAGE","Engagé",IF(AND($H47="NON ENGAGE",OR($I47="INFRUCTUEUX",$I47="ANNULE")),"Clôturé sans suite","En cours")))</f>
        <v/>
      </c>
      <c r="N47">
        <f>IF(ISBLANK('ENGAGEMENTS 2026'!B47),"",'ENGAGEMENTS 2026'!K47)</f>
        <v/>
      </c>
      <c r="O47">
        <f>IF(ISBLANK('ENGAGEMENTS 2026'!B47),"",'ENGAGEMENTS 2026'!L47)</f>
        <v/>
      </c>
      <c r="P47">
        <f>IF(ISBLANK('ENGAGEMENTS 2026'!B47),"",'ENGAGEMENTS 2026'!J47)</f>
        <v/>
      </c>
      <c r="Q47">
        <f>IF($A47="","",IF(OR($E47="INFRUCTUEUX",$E47="ANNULE"),$A47&amp;"|"&amp;(COUNTIFS($A$2:$A47,$A47,$E$2:$E47,"INFRUCTUEUX")+COUNTIFS($A$2:$A47,$A47,$E$2:$E47,"ANNULE")),""))</f>
        <v/>
      </c>
    </row>
    <row r="48">
      <c r="A48">
        <f>IF(ISBLANK('ENGAGEMENTS 2026'!B48),"",IF('ENGAGEMENTS 2026'!B48="DTSI","DCT",'ENGAGEMENTS 2026'!B48))</f>
        <v/>
      </c>
      <c r="B48">
        <f>IF(ISBLANK('ENGAGEMENTS 2026'!B48),"",'ENGAGEMENTS 2026'!C48)</f>
        <v/>
      </c>
      <c r="C48">
        <f>IF(ISBLANK('ENGAGEMENTS 2026'!B48),"",'ENGAGEMENTS 2026'!D48)</f>
        <v/>
      </c>
      <c r="D48">
        <f>IF(ISBLANK('ENGAGEMENTS 2026'!B48),"",'ENGAGEMENTS 2026'!F48)</f>
        <v/>
      </c>
      <c r="E48">
        <f>IF(ISBLANK('ENGAGEMENTS 2026'!B48),"",'ENGAGEMENTS 2026'!H48)</f>
        <v/>
      </c>
      <c r="F48">
        <f>IF(ISBLANK('ENGAGEMENTS 2026'!B48),"",'ENGAGEMENTS 2026'!I48)</f>
        <v/>
      </c>
      <c r="G48">
        <f>IF(ISBLANK('ENGAGEMENTS 2026'!B48),"",'ENGAGEMENTS 2026'!L48)</f>
        <v/>
      </c>
      <c r="H48">
        <f>IF(ISBLANK('ENGAGEMENTS 2026'!B48),"",'ENGAGEMENTS 2026'!AE48)</f>
        <v/>
      </c>
      <c r="I48">
        <f>IF(ISBLANK('ENGAGEMENTS 2026'!B48),"",'ENGAGEMENTS 2026'!G48)</f>
        <v/>
      </c>
      <c r="J48" s="275">
        <f>IF(ISBLANK('ENGAGEMENTS 2026'!B48),"",IF(AND(OR($E48="INFRUCTUEUX",$E48="ANNULE"),$C48="AOO-M"),'ENGAGEMENTS 2026'!O48,IF($H48="EN COURS DE PREENGAGEMENT",'ENGAGEMENTS 2026'!N48,IF($H48="PREENGAGE",IF($E48="ATTRIBUE",'ENGAGEMENTS 2026'!AD48,'ENGAGEMENTS 2026'!N48),'ENGAGEMENTS 2026'!AD48))))</f>
        <v/>
      </c>
      <c r="K48" s="604">
        <f>IF(ISBLANK('ENGAGEMENTS 2026'!V48),"",'ENGAGEMENTS 2026'!V48)</f>
        <v/>
      </c>
      <c r="L48" s="276">
        <f>IF($K48="","",TODAY()-$K48)</f>
        <v/>
      </c>
      <c r="M48">
        <f>IF($A48="","",IF($H48="ENGAGE","Engagé",IF(AND($H48="NON ENGAGE",OR($I48="INFRUCTUEUX",$I48="ANNULE")),"Clôturé sans suite","En cours")))</f>
        <v/>
      </c>
      <c r="N48">
        <f>IF(ISBLANK('ENGAGEMENTS 2026'!B48),"",'ENGAGEMENTS 2026'!K48)</f>
        <v/>
      </c>
      <c r="O48">
        <f>IF(ISBLANK('ENGAGEMENTS 2026'!B48),"",'ENGAGEMENTS 2026'!L48)</f>
        <v/>
      </c>
      <c r="P48">
        <f>IF(ISBLANK('ENGAGEMENTS 2026'!B48),"",'ENGAGEMENTS 2026'!J48)</f>
        <v/>
      </c>
      <c r="Q48">
        <f>IF($A48="","",IF(OR($E48="INFRUCTUEUX",$E48="ANNULE"),$A48&amp;"|"&amp;(COUNTIFS($A$2:$A48,$A48,$E$2:$E48,"INFRUCTUEUX")+COUNTIFS($A$2:$A48,$A48,$E$2:$E48,"ANNULE")),""))</f>
        <v/>
      </c>
    </row>
    <row r="49">
      <c r="A49">
        <f>IF(ISBLANK('ENGAGEMENTS 2026'!B49),"",IF('ENGAGEMENTS 2026'!B49="DTSI","DCT",'ENGAGEMENTS 2026'!B49))</f>
        <v/>
      </c>
      <c r="B49">
        <f>IF(ISBLANK('ENGAGEMENTS 2026'!B49),"",'ENGAGEMENTS 2026'!C49)</f>
        <v/>
      </c>
      <c r="C49">
        <f>IF(ISBLANK('ENGAGEMENTS 2026'!B49),"",'ENGAGEMENTS 2026'!D49)</f>
        <v/>
      </c>
      <c r="D49">
        <f>IF(ISBLANK('ENGAGEMENTS 2026'!B49),"",'ENGAGEMENTS 2026'!F49)</f>
        <v/>
      </c>
      <c r="E49">
        <f>IF(ISBLANK('ENGAGEMENTS 2026'!B49),"",'ENGAGEMENTS 2026'!H49)</f>
        <v/>
      </c>
      <c r="F49">
        <f>IF(ISBLANK('ENGAGEMENTS 2026'!B49),"",'ENGAGEMENTS 2026'!I49)</f>
        <v/>
      </c>
      <c r="G49">
        <f>IF(ISBLANK('ENGAGEMENTS 2026'!B49),"",'ENGAGEMENTS 2026'!L49)</f>
        <v/>
      </c>
      <c r="H49">
        <f>IF(ISBLANK('ENGAGEMENTS 2026'!B49),"",'ENGAGEMENTS 2026'!AE49)</f>
        <v/>
      </c>
      <c r="I49">
        <f>IF(ISBLANK('ENGAGEMENTS 2026'!B49),"",'ENGAGEMENTS 2026'!G49)</f>
        <v/>
      </c>
      <c r="J49" s="275">
        <f>IF(ISBLANK('ENGAGEMENTS 2026'!B49),"",IF(AND(OR($E49="INFRUCTUEUX",$E49="ANNULE"),$C49="AOO-M"),'ENGAGEMENTS 2026'!O49,IF($H49="EN COURS DE PREENGAGEMENT",'ENGAGEMENTS 2026'!N49,IF($H49="PREENGAGE",IF($E49="ATTRIBUE",'ENGAGEMENTS 2026'!AD49,'ENGAGEMENTS 2026'!N49),'ENGAGEMENTS 2026'!AD49))))</f>
        <v/>
      </c>
      <c r="K49" s="604">
        <f>IF(ISBLANK('ENGAGEMENTS 2026'!V49),"",'ENGAGEMENTS 2026'!V49)</f>
        <v/>
      </c>
      <c r="L49" s="276">
        <f>IF($K49="","",TODAY()-$K49)</f>
        <v/>
      </c>
      <c r="M49">
        <f>IF($A49="","",IF($H49="ENGAGE","Engagé",IF(AND($H49="NON ENGAGE",OR($I49="INFRUCTUEUX",$I49="ANNULE")),"Clôturé sans suite","En cours")))</f>
        <v/>
      </c>
      <c r="N49">
        <f>IF(ISBLANK('ENGAGEMENTS 2026'!B49),"",'ENGAGEMENTS 2026'!K49)</f>
        <v/>
      </c>
      <c r="O49">
        <f>IF(ISBLANK('ENGAGEMENTS 2026'!B49),"",'ENGAGEMENTS 2026'!L49)</f>
        <v/>
      </c>
      <c r="P49">
        <f>IF(ISBLANK('ENGAGEMENTS 2026'!B49),"",'ENGAGEMENTS 2026'!J49)</f>
        <v/>
      </c>
      <c r="Q49">
        <f>IF($A49="","",IF(OR($E49="INFRUCTUEUX",$E49="ANNULE"),$A49&amp;"|"&amp;(COUNTIFS($A$2:$A49,$A49,$E$2:$E49,"INFRUCTUEUX")+COUNTIFS($A$2:$A49,$A49,$E$2:$E49,"ANNULE")),""))</f>
        <v/>
      </c>
    </row>
    <row r="50">
      <c r="A50">
        <f>IF(ISBLANK('ENGAGEMENTS 2026'!B50),"",IF('ENGAGEMENTS 2026'!B50="DTSI","DCT",'ENGAGEMENTS 2026'!B50))</f>
        <v/>
      </c>
      <c r="B50">
        <f>IF(ISBLANK('ENGAGEMENTS 2026'!B50),"",'ENGAGEMENTS 2026'!C50)</f>
        <v/>
      </c>
      <c r="C50">
        <f>IF(ISBLANK('ENGAGEMENTS 2026'!B50),"",'ENGAGEMENTS 2026'!D50)</f>
        <v/>
      </c>
      <c r="D50">
        <f>IF(ISBLANK('ENGAGEMENTS 2026'!B50),"",'ENGAGEMENTS 2026'!F50)</f>
        <v/>
      </c>
      <c r="E50">
        <f>IF(ISBLANK('ENGAGEMENTS 2026'!B50),"",'ENGAGEMENTS 2026'!H50)</f>
        <v/>
      </c>
      <c r="F50">
        <f>IF(ISBLANK('ENGAGEMENTS 2026'!B50),"",'ENGAGEMENTS 2026'!I50)</f>
        <v/>
      </c>
      <c r="G50">
        <f>IF(ISBLANK('ENGAGEMENTS 2026'!B50),"",'ENGAGEMENTS 2026'!L50)</f>
        <v/>
      </c>
      <c r="H50">
        <f>IF(ISBLANK('ENGAGEMENTS 2026'!B50),"",'ENGAGEMENTS 2026'!AE50)</f>
        <v/>
      </c>
      <c r="I50">
        <f>IF(ISBLANK('ENGAGEMENTS 2026'!B50),"",'ENGAGEMENTS 2026'!G50)</f>
        <v/>
      </c>
      <c r="J50" s="275">
        <f>IF(ISBLANK('ENGAGEMENTS 2026'!B50),"",IF(AND(OR($E50="INFRUCTUEUX",$E50="ANNULE"),$C50="AOO-M"),'ENGAGEMENTS 2026'!O50,IF($H50="EN COURS DE PREENGAGEMENT",'ENGAGEMENTS 2026'!N50,IF($H50="PREENGAGE",IF($E50="ATTRIBUE",'ENGAGEMENTS 2026'!AD50,'ENGAGEMENTS 2026'!N50),'ENGAGEMENTS 2026'!AD50))))</f>
        <v/>
      </c>
      <c r="K50" s="604">
        <f>IF(ISBLANK('ENGAGEMENTS 2026'!V50),"",'ENGAGEMENTS 2026'!V50)</f>
        <v/>
      </c>
      <c r="L50" s="276">
        <f>IF($K50="","",TODAY()-$K50)</f>
        <v/>
      </c>
      <c r="M50">
        <f>IF($A50="","",IF($H50="ENGAGE","Engagé",IF(AND($H50="NON ENGAGE",OR($I50="INFRUCTUEUX",$I50="ANNULE")),"Clôturé sans suite","En cours")))</f>
        <v/>
      </c>
      <c r="N50">
        <f>IF(ISBLANK('ENGAGEMENTS 2026'!B50),"",'ENGAGEMENTS 2026'!K50)</f>
        <v/>
      </c>
      <c r="O50">
        <f>IF(ISBLANK('ENGAGEMENTS 2026'!B50),"",'ENGAGEMENTS 2026'!L50)</f>
        <v/>
      </c>
      <c r="P50">
        <f>IF(ISBLANK('ENGAGEMENTS 2026'!B50),"",'ENGAGEMENTS 2026'!J50)</f>
        <v/>
      </c>
      <c r="Q50">
        <f>IF($A50="","",IF(OR($E50="INFRUCTUEUX",$E50="ANNULE"),$A50&amp;"|"&amp;(COUNTIFS($A$2:$A50,$A50,$E$2:$E50,"INFRUCTUEUX")+COUNTIFS($A$2:$A50,$A50,$E$2:$E50,"ANNULE")),""))</f>
        <v/>
      </c>
    </row>
    <row r="51">
      <c r="A51">
        <f>IF(ISBLANK('ENGAGEMENTS 2026'!B51),"",IF('ENGAGEMENTS 2026'!B51="DTSI","DCT",'ENGAGEMENTS 2026'!B51))</f>
        <v/>
      </c>
      <c r="B51">
        <f>IF(ISBLANK('ENGAGEMENTS 2026'!B51),"",'ENGAGEMENTS 2026'!C51)</f>
        <v/>
      </c>
      <c r="C51">
        <f>IF(ISBLANK('ENGAGEMENTS 2026'!B51),"",'ENGAGEMENTS 2026'!D51)</f>
        <v/>
      </c>
      <c r="D51">
        <f>IF(ISBLANK('ENGAGEMENTS 2026'!B51),"",'ENGAGEMENTS 2026'!F51)</f>
        <v/>
      </c>
      <c r="E51">
        <f>IF(ISBLANK('ENGAGEMENTS 2026'!B51),"",'ENGAGEMENTS 2026'!H51)</f>
        <v/>
      </c>
      <c r="F51">
        <f>IF(ISBLANK('ENGAGEMENTS 2026'!B51),"",'ENGAGEMENTS 2026'!I51)</f>
        <v/>
      </c>
      <c r="G51">
        <f>IF(ISBLANK('ENGAGEMENTS 2026'!B51),"",'ENGAGEMENTS 2026'!L51)</f>
        <v/>
      </c>
      <c r="H51">
        <f>IF(ISBLANK('ENGAGEMENTS 2026'!B51),"",'ENGAGEMENTS 2026'!AE51)</f>
        <v/>
      </c>
      <c r="I51">
        <f>IF(ISBLANK('ENGAGEMENTS 2026'!B51),"",'ENGAGEMENTS 2026'!G51)</f>
        <v/>
      </c>
      <c r="J51" s="275">
        <f>IF(ISBLANK('ENGAGEMENTS 2026'!B51),"",IF(AND(OR($E51="INFRUCTUEUX",$E51="ANNULE"),$C51="AOO-M"),'ENGAGEMENTS 2026'!O51,IF($H51="EN COURS DE PREENGAGEMENT",'ENGAGEMENTS 2026'!N51,IF($H51="PREENGAGE",IF($E51="ATTRIBUE",'ENGAGEMENTS 2026'!AD51,'ENGAGEMENTS 2026'!N51),'ENGAGEMENTS 2026'!AD51))))</f>
        <v/>
      </c>
      <c r="K51" s="604">
        <f>IF(ISBLANK('ENGAGEMENTS 2026'!V51),"",'ENGAGEMENTS 2026'!V51)</f>
        <v/>
      </c>
      <c r="L51" s="276">
        <f>IF($K51="","",TODAY()-$K51)</f>
        <v/>
      </c>
      <c r="M51">
        <f>IF($A51="","",IF($H51="ENGAGE","Engagé",IF(AND($H51="NON ENGAGE",OR($I51="INFRUCTUEUX",$I51="ANNULE")),"Clôturé sans suite","En cours")))</f>
        <v/>
      </c>
      <c r="N51">
        <f>IF(ISBLANK('ENGAGEMENTS 2026'!B51),"",'ENGAGEMENTS 2026'!K51)</f>
        <v/>
      </c>
      <c r="O51">
        <f>IF(ISBLANK('ENGAGEMENTS 2026'!B51),"",'ENGAGEMENTS 2026'!L51)</f>
        <v/>
      </c>
      <c r="P51">
        <f>IF(ISBLANK('ENGAGEMENTS 2026'!B51),"",'ENGAGEMENTS 2026'!J51)</f>
        <v/>
      </c>
      <c r="Q51">
        <f>IF($A51="","",IF(OR($E51="INFRUCTUEUX",$E51="ANNULE"),$A51&amp;"|"&amp;(COUNTIFS($A$2:$A51,$A51,$E$2:$E51,"INFRUCTUEUX")+COUNTIFS($A$2:$A51,$A51,$E$2:$E51,"ANNULE")),""))</f>
        <v/>
      </c>
    </row>
    <row r="52">
      <c r="A52">
        <f>IF(ISBLANK('ENGAGEMENTS 2026'!B52),"",IF('ENGAGEMENTS 2026'!B52="DTSI","DCT",'ENGAGEMENTS 2026'!B52))</f>
        <v/>
      </c>
      <c r="B52">
        <f>IF(ISBLANK('ENGAGEMENTS 2026'!B52),"",'ENGAGEMENTS 2026'!C52)</f>
        <v/>
      </c>
      <c r="C52">
        <f>IF(ISBLANK('ENGAGEMENTS 2026'!B52),"",'ENGAGEMENTS 2026'!D52)</f>
        <v/>
      </c>
      <c r="D52">
        <f>IF(ISBLANK('ENGAGEMENTS 2026'!B52),"",'ENGAGEMENTS 2026'!F52)</f>
        <v/>
      </c>
      <c r="E52">
        <f>IF(ISBLANK('ENGAGEMENTS 2026'!B52),"",'ENGAGEMENTS 2026'!H52)</f>
        <v/>
      </c>
      <c r="F52">
        <f>IF(ISBLANK('ENGAGEMENTS 2026'!B52),"",'ENGAGEMENTS 2026'!I52)</f>
        <v/>
      </c>
      <c r="G52">
        <f>IF(ISBLANK('ENGAGEMENTS 2026'!B52),"",'ENGAGEMENTS 2026'!L52)</f>
        <v/>
      </c>
      <c r="H52">
        <f>IF(ISBLANK('ENGAGEMENTS 2026'!B52),"",'ENGAGEMENTS 2026'!AE52)</f>
        <v/>
      </c>
      <c r="I52">
        <f>IF(ISBLANK('ENGAGEMENTS 2026'!B52),"",'ENGAGEMENTS 2026'!G52)</f>
        <v/>
      </c>
      <c r="J52" s="275">
        <f>IF(ISBLANK('ENGAGEMENTS 2026'!B52),"",IF(AND(OR($E52="INFRUCTUEUX",$E52="ANNULE"),$C52="AOO-M"),'ENGAGEMENTS 2026'!O52,IF($H52="EN COURS DE PREENGAGEMENT",'ENGAGEMENTS 2026'!N52,IF($H52="PREENGAGE",IF($E52="ATTRIBUE",'ENGAGEMENTS 2026'!AD52,'ENGAGEMENTS 2026'!N52),'ENGAGEMENTS 2026'!AD52))))</f>
        <v/>
      </c>
      <c r="K52" s="604">
        <f>IF(ISBLANK('ENGAGEMENTS 2026'!V52),"",'ENGAGEMENTS 2026'!V52)</f>
        <v/>
      </c>
      <c r="L52" s="276">
        <f>IF($K52="","",TODAY()-$K52)</f>
        <v/>
      </c>
      <c r="M52">
        <f>IF($A52="","",IF($H52="ENGAGE","Engagé",IF(AND($H52="NON ENGAGE",OR($I52="INFRUCTUEUX",$I52="ANNULE")),"Clôturé sans suite","En cours")))</f>
        <v/>
      </c>
      <c r="N52">
        <f>IF(ISBLANK('ENGAGEMENTS 2026'!B52),"",'ENGAGEMENTS 2026'!K52)</f>
        <v/>
      </c>
      <c r="O52">
        <f>IF(ISBLANK('ENGAGEMENTS 2026'!B52),"",'ENGAGEMENTS 2026'!L52)</f>
        <v/>
      </c>
      <c r="P52">
        <f>IF(ISBLANK('ENGAGEMENTS 2026'!B52),"",'ENGAGEMENTS 2026'!J52)</f>
        <v/>
      </c>
      <c r="Q52">
        <f>IF($A52="","",IF(OR($E52="INFRUCTUEUX",$E52="ANNULE"),$A52&amp;"|"&amp;(COUNTIFS($A$2:$A52,$A52,$E$2:$E52,"INFRUCTUEUX")+COUNTIFS($A$2:$A52,$A52,$E$2:$E52,"ANNULE")),""))</f>
        <v/>
      </c>
    </row>
    <row r="53">
      <c r="A53">
        <f>IF(ISBLANK('ENGAGEMENTS 2026'!B53),"",IF('ENGAGEMENTS 2026'!B53="DTSI","DCT",'ENGAGEMENTS 2026'!B53))</f>
        <v/>
      </c>
      <c r="B53">
        <f>IF(ISBLANK('ENGAGEMENTS 2026'!B53),"",'ENGAGEMENTS 2026'!C53)</f>
        <v/>
      </c>
      <c r="C53">
        <f>IF(ISBLANK('ENGAGEMENTS 2026'!B53),"",'ENGAGEMENTS 2026'!D53)</f>
        <v/>
      </c>
      <c r="D53">
        <f>IF(ISBLANK('ENGAGEMENTS 2026'!B53),"",'ENGAGEMENTS 2026'!F53)</f>
        <v/>
      </c>
      <c r="E53">
        <f>IF(ISBLANK('ENGAGEMENTS 2026'!B53),"",'ENGAGEMENTS 2026'!H53)</f>
        <v/>
      </c>
      <c r="F53">
        <f>IF(ISBLANK('ENGAGEMENTS 2026'!B53),"",'ENGAGEMENTS 2026'!I53)</f>
        <v/>
      </c>
      <c r="G53">
        <f>IF(ISBLANK('ENGAGEMENTS 2026'!B53),"",'ENGAGEMENTS 2026'!L53)</f>
        <v/>
      </c>
      <c r="H53">
        <f>IF(ISBLANK('ENGAGEMENTS 2026'!B53),"",'ENGAGEMENTS 2026'!AE53)</f>
        <v/>
      </c>
      <c r="I53">
        <f>IF(ISBLANK('ENGAGEMENTS 2026'!B53),"",'ENGAGEMENTS 2026'!G53)</f>
        <v/>
      </c>
      <c r="J53" s="275">
        <f>IF(ISBLANK('ENGAGEMENTS 2026'!B53),"",IF(AND(OR($E53="INFRUCTUEUX",$E53="ANNULE"),$C53="AOO-M"),'ENGAGEMENTS 2026'!O53,IF($H53="EN COURS DE PREENGAGEMENT",'ENGAGEMENTS 2026'!N53,IF($H53="PREENGAGE",IF($E53="ATTRIBUE",'ENGAGEMENTS 2026'!AD53,'ENGAGEMENTS 2026'!N53),'ENGAGEMENTS 2026'!AD53))))</f>
        <v/>
      </c>
      <c r="K53" s="604">
        <f>IF(ISBLANK('ENGAGEMENTS 2026'!V53),"",'ENGAGEMENTS 2026'!V53)</f>
        <v/>
      </c>
      <c r="L53" s="276">
        <f>IF($K53="","",TODAY()-$K53)</f>
        <v/>
      </c>
      <c r="M53">
        <f>IF($A53="","",IF($H53="ENGAGE","Engagé",IF(AND($H53="NON ENGAGE",OR($I53="INFRUCTUEUX",$I53="ANNULE")),"Clôturé sans suite","En cours")))</f>
        <v/>
      </c>
      <c r="N53">
        <f>IF(ISBLANK('ENGAGEMENTS 2026'!B53),"",'ENGAGEMENTS 2026'!K53)</f>
        <v/>
      </c>
      <c r="O53">
        <f>IF(ISBLANK('ENGAGEMENTS 2026'!B53),"",'ENGAGEMENTS 2026'!L53)</f>
        <v/>
      </c>
      <c r="P53">
        <f>IF(ISBLANK('ENGAGEMENTS 2026'!B53),"",'ENGAGEMENTS 2026'!J53)</f>
        <v/>
      </c>
      <c r="Q53">
        <f>IF($A53="","",IF(OR($E53="INFRUCTUEUX",$E53="ANNULE"),$A53&amp;"|"&amp;(COUNTIFS($A$2:$A53,$A53,$E$2:$E53,"INFRUCTUEUX")+COUNTIFS($A$2:$A53,$A53,$E$2:$E53,"ANNULE")),""))</f>
        <v/>
      </c>
    </row>
    <row r="54">
      <c r="A54">
        <f>IF(ISBLANK('ENGAGEMENTS 2026'!B54),"",IF('ENGAGEMENTS 2026'!B54="DTSI","DCT",'ENGAGEMENTS 2026'!B54))</f>
        <v/>
      </c>
      <c r="B54">
        <f>IF(ISBLANK('ENGAGEMENTS 2026'!B54),"",'ENGAGEMENTS 2026'!C54)</f>
        <v/>
      </c>
      <c r="C54">
        <f>IF(ISBLANK('ENGAGEMENTS 2026'!B54),"",'ENGAGEMENTS 2026'!D54)</f>
        <v/>
      </c>
      <c r="D54">
        <f>IF(ISBLANK('ENGAGEMENTS 2026'!B54),"",'ENGAGEMENTS 2026'!F54)</f>
        <v/>
      </c>
      <c r="E54">
        <f>IF(ISBLANK('ENGAGEMENTS 2026'!B54),"",'ENGAGEMENTS 2026'!H54)</f>
        <v/>
      </c>
      <c r="F54">
        <f>IF(ISBLANK('ENGAGEMENTS 2026'!B54),"",'ENGAGEMENTS 2026'!I54)</f>
        <v/>
      </c>
      <c r="G54">
        <f>IF(ISBLANK('ENGAGEMENTS 2026'!B54),"",'ENGAGEMENTS 2026'!L54)</f>
        <v/>
      </c>
      <c r="H54">
        <f>IF(ISBLANK('ENGAGEMENTS 2026'!B54),"",'ENGAGEMENTS 2026'!AE54)</f>
        <v/>
      </c>
      <c r="I54">
        <f>IF(ISBLANK('ENGAGEMENTS 2026'!B54),"",'ENGAGEMENTS 2026'!G54)</f>
        <v/>
      </c>
      <c r="J54" s="275">
        <f>IF(ISBLANK('ENGAGEMENTS 2026'!B54),"",IF(AND(OR($E54="INFRUCTUEUX",$E54="ANNULE"),$C54="AOO-M"),'ENGAGEMENTS 2026'!O54,IF($H54="EN COURS DE PREENGAGEMENT",'ENGAGEMENTS 2026'!N54,IF($H54="PREENGAGE",IF($E54="ATTRIBUE",'ENGAGEMENTS 2026'!AD54,'ENGAGEMENTS 2026'!N54),'ENGAGEMENTS 2026'!AD54))))</f>
        <v/>
      </c>
      <c r="K54" s="604">
        <f>IF(ISBLANK('ENGAGEMENTS 2026'!V54),"",'ENGAGEMENTS 2026'!V54)</f>
        <v/>
      </c>
      <c r="L54" s="276">
        <f>IF($K54="","",TODAY()-$K54)</f>
        <v/>
      </c>
      <c r="M54">
        <f>IF($A54="","",IF($H54="ENGAGE","Engagé",IF(AND($H54="NON ENGAGE",OR($I54="INFRUCTUEUX",$I54="ANNULE")),"Clôturé sans suite","En cours")))</f>
        <v/>
      </c>
      <c r="N54">
        <f>IF(ISBLANK('ENGAGEMENTS 2026'!B54),"",'ENGAGEMENTS 2026'!K54)</f>
        <v/>
      </c>
      <c r="O54">
        <f>IF(ISBLANK('ENGAGEMENTS 2026'!B54),"",'ENGAGEMENTS 2026'!L54)</f>
        <v/>
      </c>
      <c r="P54">
        <f>IF(ISBLANK('ENGAGEMENTS 2026'!B54),"",'ENGAGEMENTS 2026'!J54)</f>
        <v/>
      </c>
      <c r="Q54">
        <f>IF($A54="","",IF(OR($E54="INFRUCTUEUX",$E54="ANNULE"),$A54&amp;"|"&amp;(COUNTIFS($A$2:$A54,$A54,$E$2:$E54,"INFRUCTUEUX")+COUNTIFS($A$2:$A54,$A54,$E$2:$E54,"ANNULE")),""))</f>
        <v/>
      </c>
    </row>
    <row r="55">
      <c r="A55">
        <f>IF(ISBLANK('ENGAGEMENTS 2026'!B55),"",IF('ENGAGEMENTS 2026'!B55="DTSI","DCT",'ENGAGEMENTS 2026'!B55))</f>
        <v/>
      </c>
      <c r="B55">
        <f>IF(ISBLANK('ENGAGEMENTS 2026'!B55),"",'ENGAGEMENTS 2026'!C55)</f>
        <v/>
      </c>
      <c r="C55">
        <f>IF(ISBLANK('ENGAGEMENTS 2026'!B55),"",'ENGAGEMENTS 2026'!D55)</f>
        <v/>
      </c>
      <c r="D55">
        <f>IF(ISBLANK('ENGAGEMENTS 2026'!B55),"",'ENGAGEMENTS 2026'!F55)</f>
        <v/>
      </c>
      <c r="E55">
        <f>IF(ISBLANK('ENGAGEMENTS 2026'!B55),"",'ENGAGEMENTS 2026'!H55)</f>
        <v/>
      </c>
      <c r="F55">
        <f>IF(ISBLANK('ENGAGEMENTS 2026'!B55),"",'ENGAGEMENTS 2026'!I55)</f>
        <v/>
      </c>
      <c r="G55">
        <f>IF(ISBLANK('ENGAGEMENTS 2026'!B55),"",'ENGAGEMENTS 2026'!L55)</f>
        <v/>
      </c>
      <c r="H55">
        <f>IF(ISBLANK('ENGAGEMENTS 2026'!B55),"",'ENGAGEMENTS 2026'!AE55)</f>
        <v/>
      </c>
      <c r="I55">
        <f>IF(ISBLANK('ENGAGEMENTS 2026'!B55),"",'ENGAGEMENTS 2026'!G55)</f>
        <v/>
      </c>
      <c r="J55" s="275">
        <f>IF(ISBLANK('ENGAGEMENTS 2026'!B55),"",IF(AND(OR($E55="INFRUCTUEUX",$E55="ANNULE"),$C55="AOO-M"),'ENGAGEMENTS 2026'!O55,IF($H55="EN COURS DE PREENGAGEMENT",'ENGAGEMENTS 2026'!N55,IF($H55="PREENGAGE",IF($E55="ATTRIBUE",'ENGAGEMENTS 2026'!AD55,'ENGAGEMENTS 2026'!N55),'ENGAGEMENTS 2026'!AD55))))</f>
        <v/>
      </c>
      <c r="K55" s="604">
        <f>IF(ISBLANK('ENGAGEMENTS 2026'!V55),"",'ENGAGEMENTS 2026'!V55)</f>
        <v/>
      </c>
      <c r="L55" s="276">
        <f>IF($K55="","",TODAY()-$K55)</f>
        <v/>
      </c>
      <c r="M55">
        <f>IF($A55="","",IF($H55="ENGAGE","Engagé",IF(AND($H55="NON ENGAGE",OR($I55="INFRUCTUEUX",$I55="ANNULE")),"Clôturé sans suite","En cours")))</f>
        <v/>
      </c>
      <c r="N55">
        <f>IF(ISBLANK('ENGAGEMENTS 2026'!B55),"",'ENGAGEMENTS 2026'!K55)</f>
        <v/>
      </c>
      <c r="O55">
        <f>IF(ISBLANK('ENGAGEMENTS 2026'!B55),"",'ENGAGEMENTS 2026'!L55)</f>
        <v/>
      </c>
      <c r="P55">
        <f>IF(ISBLANK('ENGAGEMENTS 2026'!B55),"",'ENGAGEMENTS 2026'!J55)</f>
        <v/>
      </c>
      <c r="Q55">
        <f>IF($A55="","",IF(OR($E55="INFRUCTUEUX",$E55="ANNULE"),$A55&amp;"|"&amp;(COUNTIFS($A$2:$A55,$A55,$E$2:$E55,"INFRUCTUEUX")+COUNTIFS($A$2:$A55,$A55,$E$2:$E55,"ANNULE")),""))</f>
        <v/>
      </c>
    </row>
    <row r="56">
      <c r="A56">
        <f>IF(ISBLANK('ENGAGEMENTS 2026'!B56),"",IF('ENGAGEMENTS 2026'!B56="DTSI","DCT",'ENGAGEMENTS 2026'!B56))</f>
        <v/>
      </c>
      <c r="B56">
        <f>IF(ISBLANK('ENGAGEMENTS 2026'!B56),"",'ENGAGEMENTS 2026'!C56)</f>
        <v/>
      </c>
      <c r="C56">
        <f>IF(ISBLANK('ENGAGEMENTS 2026'!B56),"",'ENGAGEMENTS 2026'!D56)</f>
        <v/>
      </c>
      <c r="D56">
        <f>IF(ISBLANK('ENGAGEMENTS 2026'!B56),"",'ENGAGEMENTS 2026'!F56)</f>
        <v/>
      </c>
      <c r="E56">
        <f>IF(ISBLANK('ENGAGEMENTS 2026'!B56),"",'ENGAGEMENTS 2026'!H56)</f>
        <v/>
      </c>
      <c r="F56">
        <f>IF(ISBLANK('ENGAGEMENTS 2026'!B56),"",'ENGAGEMENTS 2026'!I56)</f>
        <v/>
      </c>
      <c r="G56">
        <f>IF(ISBLANK('ENGAGEMENTS 2026'!B56),"",'ENGAGEMENTS 2026'!L56)</f>
        <v/>
      </c>
      <c r="H56">
        <f>IF(ISBLANK('ENGAGEMENTS 2026'!B56),"",'ENGAGEMENTS 2026'!AE56)</f>
        <v/>
      </c>
      <c r="I56">
        <f>IF(ISBLANK('ENGAGEMENTS 2026'!B56),"",'ENGAGEMENTS 2026'!G56)</f>
        <v/>
      </c>
      <c r="J56" s="275">
        <f>IF(ISBLANK('ENGAGEMENTS 2026'!B56),"",IF(AND(OR($E56="INFRUCTUEUX",$E56="ANNULE"),$C56="AOO-M"),'ENGAGEMENTS 2026'!O56,IF($H56="EN COURS DE PREENGAGEMENT",'ENGAGEMENTS 2026'!N56,IF($H56="PREENGAGE",IF($E56="ATTRIBUE",'ENGAGEMENTS 2026'!AD56,'ENGAGEMENTS 2026'!N56),'ENGAGEMENTS 2026'!AD56))))</f>
        <v/>
      </c>
      <c r="K56" s="604">
        <f>IF(ISBLANK('ENGAGEMENTS 2026'!V56),"",'ENGAGEMENTS 2026'!V56)</f>
        <v/>
      </c>
      <c r="L56" s="276">
        <f>IF($K56="","",TODAY()-$K56)</f>
        <v/>
      </c>
      <c r="M56">
        <f>IF($A56="","",IF($H56="ENGAGE","Engagé",IF(AND($H56="NON ENGAGE",OR($I56="INFRUCTUEUX",$I56="ANNULE")),"Clôturé sans suite","En cours")))</f>
        <v/>
      </c>
      <c r="N56">
        <f>IF(ISBLANK('ENGAGEMENTS 2026'!B56),"",'ENGAGEMENTS 2026'!K56)</f>
        <v/>
      </c>
      <c r="O56">
        <f>IF(ISBLANK('ENGAGEMENTS 2026'!B56),"",'ENGAGEMENTS 2026'!L56)</f>
        <v/>
      </c>
      <c r="P56">
        <f>IF(ISBLANK('ENGAGEMENTS 2026'!B56),"",'ENGAGEMENTS 2026'!J56)</f>
        <v/>
      </c>
      <c r="Q56">
        <f>IF($A56="","",IF(OR($E56="INFRUCTUEUX",$E56="ANNULE"),$A56&amp;"|"&amp;(COUNTIFS($A$2:$A56,$A56,$E$2:$E56,"INFRUCTUEUX")+COUNTIFS($A$2:$A56,$A56,$E$2:$E56,"ANNULE")),""))</f>
        <v/>
      </c>
    </row>
    <row r="57">
      <c r="A57">
        <f>IF(ISBLANK('ENGAGEMENTS 2026'!B57),"",IF('ENGAGEMENTS 2026'!B57="DTSI","DCT",'ENGAGEMENTS 2026'!B57))</f>
        <v/>
      </c>
      <c r="B57">
        <f>IF(ISBLANK('ENGAGEMENTS 2026'!B57),"",'ENGAGEMENTS 2026'!C57)</f>
        <v/>
      </c>
      <c r="C57">
        <f>IF(ISBLANK('ENGAGEMENTS 2026'!B57),"",'ENGAGEMENTS 2026'!D57)</f>
        <v/>
      </c>
      <c r="D57">
        <f>IF(ISBLANK('ENGAGEMENTS 2026'!B57),"",'ENGAGEMENTS 2026'!F57)</f>
        <v/>
      </c>
      <c r="E57">
        <f>IF(ISBLANK('ENGAGEMENTS 2026'!B57),"",'ENGAGEMENTS 2026'!H57)</f>
        <v/>
      </c>
      <c r="F57">
        <f>IF(ISBLANK('ENGAGEMENTS 2026'!B57),"",'ENGAGEMENTS 2026'!I57)</f>
        <v/>
      </c>
      <c r="G57">
        <f>IF(ISBLANK('ENGAGEMENTS 2026'!B57),"",'ENGAGEMENTS 2026'!L57)</f>
        <v/>
      </c>
      <c r="H57">
        <f>IF(ISBLANK('ENGAGEMENTS 2026'!B57),"",'ENGAGEMENTS 2026'!AE57)</f>
        <v/>
      </c>
      <c r="I57">
        <f>IF(ISBLANK('ENGAGEMENTS 2026'!B57),"",'ENGAGEMENTS 2026'!G57)</f>
        <v/>
      </c>
      <c r="J57" s="275">
        <f>IF(ISBLANK('ENGAGEMENTS 2026'!B57),"",IF(AND(OR($E57="INFRUCTUEUX",$E57="ANNULE"),$C57="AOO-M"),'ENGAGEMENTS 2026'!O57,IF($H57="EN COURS DE PREENGAGEMENT",'ENGAGEMENTS 2026'!N57,IF($H57="PREENGAGE",IF($E57="ATTRIBUE",'ENGAGEMENTS 2026'!AD57,'ENGAGEMENTS 2026'!N57),'ENGAGEMENTS 2026'!AD57))))</f>
        <v/>
      </c>
      <c r="K57" s="604">
        <f>IF(ISBLANK('ENGAGEMENTS 2026'!V57),"",'ENGAGEMENTS 2026'!V57)</f>
        <v/>
      </c>
      <c r="L57" s="276">
        <f>IF($K57="","",TODAY()-$K57)</f>
        <v/>
      </c>
      <c r="M57">
        <f>IF($A57="","",IF($H57="ENGAGE","Engagé",IF(AND($H57="NON ENGAGE",OR($I57="INFRUCTUEUX",$I57="ANNULE")),"Clôturé sans suite","En cours")))</f>
        <v/>
      </c>
      <c r="N57">
        <f>IF(ISBLANK('ENGAGEMENTS 2026'!B57),"",'ENGAGEMENTS 2026'!K57)</f>
        <v/>
      </c>
      <c r="O57">
        <f>IF(ISBLANK('ENGAGEMENTS 2026'!B57),"",'ENGAGEMENTS 2026'!L57)</f>
        <v/>
      </c>
      <c r="P57">
        <f>IF(ISBLANK('ENGAGEMENTS 2026'!B57),"",'ENGAGEMENTS 2026'!J57)</f>
        <v/>
      </c>
      <c r="Q57">
        <f>IF($A57="","",IF(OR($E57="INFRUCTUEUX",$E57="ANNULE"),$A57&amp;"|"&amp;(COUNTIFS($A$2:$A57,$A57,$E$2:$E57,"INFRUCTUEUX")+COUNTIFS($A$2:$A57,$A57,$E$2:$E57,"ANNULE")),""))</f>
        <v/>
      </c>
    </row>
    <row r="58">
      <c r="A58">
        <f>IF(ISBLANK('ENGAGEMENTS 2026'!B58),"",IF('ENGAGEMENTS 2026'!B58="DTSI","DCT",'ENGAGEMENTS 2026'!B58))</f>
        <v/>
      </c>
      <c r="B58">
        <f>IF(ISBLANK('ENGAGEMENTS 2026'!B58),"",'ENGAGEMENTS 2026'!C58)</f>
        <v/>
      </c>
      <c r="C58">
        <f>IF(ISBLANK('ENGAGEMENTS 2026'!B58),"",'ENGAGEMENTS 2026'!D58)</f>
        <v/>
      </c>
      <c r="D58">
        <f>IF(ISBLANK('ENGAGEMENTS 2026'!B58),"",'ENGAGEMENTS 2026'!F58)</f>
        <v/>
      </c>
      <c r="E58">
        <f>IF(ISBLANK('ENGAGEMENTS 2026'!B58),"",'ENGAGEMENTS 2026'!H58)</f>
        <v/>
      </c>
      <c r="F58">
        <f>IF(ISBLANK('ENGAGEMENTS 2026'!B58),"",'ENGAGEMENTS 2026'!I58)</f>
        <v/>
      </c>
      <c r="G58">
        <f>IF(ISBLANK('ENGAGEMENTS 2026'!B58),"",'ENGAGEMENTS 2026'!L58)</f>
        <v/>
      </c>
      <c r="H58">
        <f>IF(ISBLANK('ENGAGEMENTS 2026'!B58),"",'ENGAGEMENTS 2026'!AE58)</f>
        <v/>
      </c>
      <c r="I58">
        <f>IF(ISBLANK('ENGAGEMENTS 2026'!B58),"",'ENGAGEMENTS 2026'!G58)</f>
        <v/>
      </c>
      <c r="J58" s="275">
        <f>IF(ISBLANK('ENGAGEMENTS 2026'!B58),"",IF(AND(OR($E58="INFRUCTUEUX",$E58="ANNULE"),$C58="AOO-M"),'ENGAGEMENTS 2026'!O58,IF($H58="EN COURS DE PREENGAGEMENT",'ENGAGEMENTS 2026'!N58,IF($H58="PREENGAGE",IF($E58="ATTRIBUE",'ENGAGEMENTS 2026'!AD58,'ENGAGEMENTS 2026'!N58),'ENGAGEMENTS 2026'!AD58))))</f>
        <v/>
      </c>
      <c r="K58" s="604">
        <f>IF(ISBLANK('ENGAGEMENTS 2026'!V58),"",'ENGAGEMENTS 2026'!V58)</f>
        <v/>
      </c>
      <c r="L58" s="276">
        <f>IF($K58="","",TODAY()-$K58)</f>
        <v/>
      </c>
      <c r="M58">
        <f>IF($A58="","",IF($H58="ENGAGE","Engagé",IF(AND($H58="NON ENGAGE",OR($I58="INFRUCTUEUX",$I58="ANNULE")),"Clôturé sans suite","En cours")))</f>
        <v/>
      </c>
      <c r="N58">
        <f>IF(ISBLANK('ENGAGEMENTS 2026'!B58),"",'ENGAGEMENTS 2026'!K58)</f>
        <v/>
      </c>
      <c r="O58">
        <f>IF(ISBLANK('ENGAGEMENTS 2026'!B58),"",'ENGAGEMENTS 2026'!L58)</f>
        <v/>
      </c>
      <c r="P58">
        <f>IF(ISBLANK('ENGAGEMENTS 2026'!B58),"",'ENGAGEMENTS 2026'!J58)</f>
        <v/>
      </c>
      <c r="Q58">
        <f>IF($A58="","",IF(OR($E58="INFRUCTUEUX",$E58="ANNULE"),$A58&amp;"|"&amp;(COUNTIFS($A$2:$A58,$A58,$E$2:$E58,"INFRUCTUEUX")+COUNTIFS($A$2:$A58,$A58,$E$2:$E58,"ANNULE")),""))</f>
        <v/>
      </c>
    </row>
    <row r="59">
      <c r="A59">
        <f>IF(ISBLANK('ENGAGEMENTS 2026'!B59),"",IF('ENGAGEMENTS 2026'!B59="DTSI","DCT",'ENGAGEMENTS 2026'!B59))</f>
        <v/>
      </c>
      <c r="B59">
        <f>IF(ISBLANK('ENGAGEMENTS 2026'!B59),"",'ENGAGEMENTS 2026'!C59)</f>
        <v/>
      </c>
      <c r="C59">
        <f>IF(ISBLANK('ENGAGEMENTS 2026'!B59),"",'ENGAGEMENTS 2026'!D59)</f>
        <v/>
      </c>
      <c r="D59">
        <f>IF(ISBLANK('ENGAGEMENTS 2026'!B59),"",'ENGAGEMENTS 2026'!F59)</f>
        <v/>
      </c>
      <c r="E59">
        <f>IF(ISBLANK('ENGAGEMENTS 2026'!B59),"",'ENGAGEMENTS 2026'!H59)</f>
        <v/>
      </c>
      <c r="F59">
        <f>IF(ISBLANK('ENGAGEMENTS 2026'!B59),"",'ENGAGEMENTS 2026'!I59)</f>
        <v/>
      </c>
      <c r="G59">
        <f>IF(ISBLANK('ENGAGEMENTS 2026'!B59),"",'ENGAGEMENTS 2026'!L59)</f>
        <v/>
      </c>
      <c r="H59">
        <f>IF(ISBLANK('ENGAGEMENTS 2026'!B59),"",'ENGAGEMENTS 2026'!AE59)</f>
        <v/>
      </c>
      <c r="I59">
        <f>IF(ISBLANK('ENGAGEMENTS 2026'!B59),"",'ENGAGEMENTS 2026'!G59)</f>
        <v/>
      </c>
      <c r="J59" s="275">
        <f>IF(ISBLANK('ENGAGEMENTS 2026'!B59),"",IF(AND(OR($E59="INFRUCTUEUX",$E59="ANNULE"),$C59="AOO-M"),'ENGAGEMENTS 2026'!O59,IF($H59="EN COURS DE PREENGAGEMENT",'ENGAGEMENTS 2026'!N59,IF($H59="PREENGAGE",IF($E59="ATTRIBUE",'ENGAGEMENTS 2026'!AD59,'ENGAGEMENTS 2026'!N59),'ENGAGEMENTS 2026'!AD59))))</f>
        <v/>
      </c>
      <c r="K59" s="604">
        <f>IF(ISBLANK('ENGAGEMENTS 2026'!V59),"",'ENGAGEMENTS 2026'!V59)</f>
        <v/>
      </c>
      <c r="L59" s="276">
        <f>IF($K59="","",TODAY()-$K59)</f>
        <v/>
      </c>
      <c r="M59">
        <f>IF($A59="","",IF($H59="ENGAGE","Engagé",IF(AND($H59="NON ENGAGE",OR($I59="INFRUCTUEUX",$I59="ANNULE")),"Clôturé sans suite","En cours")))</f>
        <v/>
      </c>
      <c r="N59">
        <f>IF(ISBLANK('ENGAGEMENTS 2026'!B59),"",'ENGAGEMENTS 2026'!K59)</f>
        <v/>
      </c>
      <c r="O59">
        <f>IF(ISBLANK('ENGAGEMENTS 2026'!B59),"",'ENGAGEMENTS 2026'!L59)</f>
        <v/>
      </c>
      <c r="P59">
        <f>IF(ISBLANK('ENGAGEMENTS 2026'!B59),"",'ENGAGEMENTS 2026'!J59)</f>
        <v/>
      </c>
      <c r="Q59">
        <f>IF($A59="","",IF(OR($E59="INFRUCTUEUX",$E59="ANNULE"),$A59&amp;"|"&amp;(COUNTIFS($A$2:$A59,$A59,$E$2:$E59,"INFRUCTUEUX")+COUNTIFS($A$2:$A59,$A59,$E$2:$E59,"ANNULE")),""))</f>
        <v/>
      </c>
    </row>
    <row r="60">
      <c r="A60">
        <f>IF(ISBLANK('ENGAGEMENTS 2026'!B60),"",IF('ENGAGEMENTS 2026'!B60="DTSI","DCT",'ENGAGEMENTS 2026'!B60))</f>
        <v/>
      </c>
      <c r="B60">
        <f>IF(ISBLANK('ENGAGEMENTS 2026'!B60),"",'ENGAGEMENTS 2026'!C60)</f>
        <v/>
      </c>
      <c r="C60">
        <f>IF(ISBLANK('ENGAGEMENTS 2026'!B60),"",'ENGAGEMENTS 2026'!D60)</f>
        <v/>
      </c>
      <c r="D60">
        <f>IF(ISBLANK('ENGAGEMENTS 2026'!B60),"",'ENGAGEMENTS 2026'!F60)</f>
        <v/>
      </c>
      <c r="E60">
        <f>IF(ISBLANK('ENGAGEMENTS 2026'!B60),"",'ENGAGEMENTS 2026'!H60)</f>
        <v/>
      </c>
      <c r="F60">
        <f>IF(ISBLANK('ENGAGEMENTS 2026'!B60),"",'ENGAGEMENTS 2026'!I60)</f>
        <v/>
      </c>
      <c r="G60">
        <f>IF(ISBLANK('ENGAGEMENTS 2026'!B60),"",'ENGAGEMENTS 2026'!L60)</f>
        <v/>
      </c>
      <c r="H60">
        <f>IF(ISBLANK('ENGAGEMENTS 2026'!B60),"",'ENGAGEMENTS 2026'!AE60)</f>
        <v/>
      </c>
      <c r="I60">
        <f>IF(ISBLANK('ENGAGEMENTS 2026'!B60),"",'ENGAGEMENTS 2026'!G60)</f>
        <v/>
      </c>
      <c r="J60" s="275">
        <f>IF(ISBLANK('ENGAGEMENTS 2026'!B60),"",IF(AND(OR($E60="INFRUCTUEUX",$E60="ANNULE"),$C60="AOO-M"),'ENGAGEMENTS 2026'!O60,IF($H60="EN COURS DE PREENGAGEMENT",'ENGAGEMENTS 2026'!N60,IF($H60="PREENGAGE",IF($E60="ATTRIBUE",'ENGAGEMENTS 2026'!AD60,'ENGAGEMENTS 2026'!N60),'ENGAGEMENTS 2026'!AD60))))</f>
        <v/>
      </c>
      <c r="K60" s="604">
        <f>IF(ISBLANK('ENGAGEMENTS 2026'!V60),"",'ENGAGEMENTS 2026'!V60)</f>
        <v/>
      </c>
      <c r="L60" s="276">
        <f>IF($K60="","",TODAY()-$K60)</f>
        <v/>
      </c>
      <c r="M60">
        <f>IF($A60="","",IF($H60="ENGAGE","Engagé",IF(AND($H60="NON ENGAGE",OR($I60="INFRUCTUEUX",$I60="ANNULE")),"Clôturé sans suite","En cours")))</f>
        <v/>
      </c>
      <c r="N60">
        <f>IF(ISBLANK('ENGAGEMENTS 2026'!B60),"",'ENGAGEMENTS 2026'!K60)</f>
        <v/>
      </c>
      <c r="O60">
        <f>IF(ISBLANK('ENGAGEMENTS 2026'!B60),"",'ENGAGEMENTS 2026'!L60)</f>
        <v/>
      </c>
      <c r="P60">
        <f>IF(ISBLANK('ENGAGEMENTS 2026'!B60),"",'ENGAGEMENTS 2026'!J60)</f>
        <v/>
      </c>
      <c r="Q60">
        <f>IF($A60="","",IF(OR($E60="INFRUCTUEUX",$E60="ANNULE"),$A60&amp;"|"&amp;(COUNTIFS($A$2:$A60,$A60,$E$2:$E60,"INFRUCTUEUX")+COUNTIFS($A$2:$A60,$A60,$E$2:$E60,"ANNULE")),""))</f>
        <v/>
      </c>
    </row>
    <row r="61">
      <c r="A61">
        <f>IF(ISBLANK('ENGAGEMENTS 2026'!B61),"",IF('ENGAGEMENTS 2026'!B61="DTSI","DCT",'ENGAGEMENTS 2026'!B61))</f>
        <v/>
      </c>
      <c r="B61">
        <f>IF(ISBLANK('ENGAGEMENTS 2026'!B61),"",'ENGAGEMENTS 2026'!C61)</f>
        <v/>
      </c>
      <c r="C61">
        <f>IF(ISBLANK('ENGAGEMENTS 2026'!B61),"",'ENGAGEMENTS 2026'!D61)</f>
        <v/>
      </c>
      <c r="D61">
        <f>IF(ISBLANK('ENGAGEMENTS 2026'!B61),"",'ENGAGEMENTS 2026'!F61)</f>
        <v/>
      </c>
      <c r="E61">
        <f>IF(ISBLANK('ENGAGEMENTS 2026'!B61),"",'ENGAGEMENTS 2026'!H61)</f>
        <v/>
      </c>
      <c r="F61">
        <f>IF(ISBLANK('ENGAGEMENTS 2026'!B61),"",'ENGAGEMENTS 2026'!I61)</f>
        <v/>
      </c>
      <c r="G61">
        <f>IF(ISBLANK('ENGAGEMENTS 2026'!B61),"",'ENGAGEMENTS 2026'!L61)</f>
        <v/>
      </c>
      <c r="H61">
        <f>IF(ISBLANK('ENGAGEMENTS 2026'!B61),"",'ENGAGEMENTS 2026'!AE61)</f>
        <v/>
      </c>
      <c r="I61">
        <f>IF(ISBLANK('ENGAGEMENTS 2026'!B61),"",'ENGAGEMENTS 2026'!G61)</f>
        <v/>
      </c>
      <c r="J61" s="275">
        <f>IF(ISBLANK('ENGAGEMENTS 2026'!B61),"",IF(AND(OR($E61="INFRUCTUEUX",$E61="ANNULE"),$C61="AOO-M"),'ENGAGEMENTS 2026'!O61,IF($H61="EN COURS DE PREENGAGEMENT",'ENGAGEMENTS 2026'!N61,IF($H61="PREENGAGE",IF($E61="ATTRIBUE",'ENGAGEMENTS 2026'!AD61,'ENGAGEMENTS 2026'!N61),'ENGAGEMENTS 2026'!AD61))))</f>
        <v/>
      </c>
      <c r="K61" s="604">
        <f>IF(ISBLANK('ENGAGEMENTS 2026'!V61),"",'ENGAGEMENTS 2026'!V61)</f>
        <v/>
      </c>
      <c r="L61" s="276">
        <f>IF($K61="","",TODAY()-$K61)</f>
        <v/>
      </c>
      <c r="M61">
        <f>IF($A61="","",IF($H61="ENGAGE","Engagé",IF(AND($H61="NON ENGAGE",OR($I61="INFRUCTUEUX",$I61="ANNULE")),"Clôturé sans suite","En cours")))</f>
        <v/>
      </c>
      <c r="N61">
        <f>IF(ISBLANK('ENGAGEMENTS 2026'!B61),"",'ENGAGEMENTS 2026'!K61)</f>
        <v/>
      </c>
      <c r="O61">
        <f>IF(ISBLANK('ENGAGEMENTS 2026'!B61),"",'ENGAGEMENTS 2026'!L61)</f>
        <v/>
      </c>
      <c r="P61">
        <f>IF(ISBLANK('ENGAGEMENTS 2026'!B61),"",'ENGAGEMENTS 2026'!J61)</f>
        <v/>
      </c>
      <c r="Q61">
        <f>IF($A61="","",IF(OR($E61="INFRUCTUEUX",$E61="ANNULE"),$A61&amp;"|"&amp;(COUNTIFS($A$2:$A61,$A61,$E$2:$E61,"INFRUCTUEUX")+COUNTIFS($A$2:$A61,$A61,$E$2:$E61,"ANNULE")),""))</f>
        <v/>
      </c>
    </row>
    <row r="62">
      <c r="A62">
        <f>IF(ISBLANK('ENGAGEMENTS 2026'!B62),"",IF('ENGAGEMENTS 2026'!B62="DTSI","DCT",'ENGAGEMENTS 2026'!B62))</f>
        <v/>
      </c>
      <c r="B62">
        <f>IF(ISBLANK('ENGAGEMENTS 2026'!B62),"",'ENGAGEMENTS 2026'!C62)</f>
        <v/>
      </c>
      <c r="C62">
        <f>IF(ISBLANK('ENGAGEMENTS 2026'!B62),"",'ENGAGEMENTS 2026'!D62)</f>
        <v/>
      </c>
      <c r="D62">
        <f>IF(ISBLANK('ENGAGEMENTS 2026'!B62),"",'ENGAGEMENTS 2026'!F62)</f>
        <v/>
      </c>
      <c r="E62">
        <f>IF(ISBLANK('ENGAGEMENTS 2026'!B62),"",'ENGAGEMENTS 2026'!H62)</f>
        <v/>
      </c>
      <c r="F62">
        <f>IF(ISBLANK('ENGAGEMENTS 2026'!B62),"",'ENGAGEMENTS 2026'!I62)</f>
        <v/>
      </c>
      <c r="G62">
        <f>IF(ISBLANK('ENGAGEMENTS 2026'!B62),"",'ENGAGEMENTS 2026'!L62)</f>
        <v/>
      </c>
      <c r="H62">
        <f>IF(ISBLANK('ENGAGEMENTS 2026'!B62),"",'ENGAGEMENTS 2026'!AE62)</f>
        <v/>
      </c>
      <c r="I62">
        <f>IF(ISBLANK('ENGAGEMENTS 2026'!B62),"",'ENGAGEMENTS 2026'!G62)</f>
        <v/>
      </c>
      <c r="J62" s="275">
        <f>IF(ISBLANK('ENGAGEMENTS 2026'!B62),"",IF(AND(OR($E62="INFRUCTUEUX",$E62="ANNULE"),$C62="AOO-M"),'ENGAGEMENTS 2026'!O62,IF($H62="EN COURS DE PREENGAGEMENT",'ENGAGEMENTS 2026'!N62,IF($H62="PREENGAGE",IF($E62="ATTRIBUE",'ENGAGEMENTS 2026'!AD62,'ENGAGEMENTS 2026'!N62),'ENGAGEMENTS 2026'!AD62))))</f>
        <v/>
      </c>
      <c r="K62" s="604">
        <f>IF(ISBLANK('ENGAGEMENTS 2026'!V62),"",'ENGAGEMENTS 2026'!V62)</f>
        <v/>
      </c>
      <c r="L62" s="276">
        <f>IF($K62="","",TODAY()-$K62)</f>
        <v/>
      </c>
      <c r="M62">
        <f>IF($A62="","",IF($H62="ENGAGE","Engagé",IF(AND($H62="NON ENGAGE",OR($I62="INFRUCTUEUX",$I62="ANNULE")),"Clôturé sans suite","En cours")))</f>
        <v/>
      </c>
      <c r="N62">
        <f>IF(ISBLANK('ENGAGEMENTS 2026'!B62),"",'ENGAGEMENTS 2026'!K62)</f>
        <v/>
      </c>
      <c r="O62">
        <f>IF(ISBLANK('ENGAGEMENTS 2026'!B62),"",'ENGAGEMENTS 2026'!L62)</f>
        <v/>
      </c>
      <c r="P62">
        <f>IF(ISBLANK('ENGAGEMENTS 2026'!B62),"",'ENGAGEMENTS 2026'!J62)</f>
        <v/>
      </c>
      <c r="Q62">
        <f>IF($A62="","",IF(OR($E62="INFRUCTUEUX",$E62="ANNULE"),$A62&amp;"|"&amp;(COUNTIFS($A$2:$A62,$A62,$E$2:$E62,"INFRUCTUEUX")+COUNTIFS($A$2:$A62,$A62,$E$2:$E62,"ANNULE")),""))</f>
        <v/>
      </c>
    </row>
    <row r="63">
      <c r="A63">
        <f>IF(ISBLANK('ENGAGEMENTS 2026'!B63),"",IF('ENGAGEMENTS 2026'!B63="DTSI","DCT",'ENGAGEMENTS 2026'!B63))</f>
        <v/>
      </c>
      <c r="B63">
        <f>IF(ISBLANK('ENGAGEMENTS 2026'!B63),"",'ENGAGEMENTS 2026'!C63)</f>
        <v/>
      </c>
      <c r="C63">
        <f>IF(ISBLANK('ENGAGEMENTS 2026'!B63),"",'ENGAGEMENTS 2026'!D63)</f>
        <v/>
      </c>
      <c r="D63">
        <f>IF(ISBLANK('ENGAGEMENTS 2026'!B63),"",'ENGAGEMENTS 2026'!F63)</f>
        <v/>
      </c>
      <c r="E63">
        <f>IF(ISBLANK('ENGAGEMENTS 2026'!B63),"",'ENGAGEMENTS 2026'!H63)</f>
        <v/>
      </c>
      <c r="F63">
        <f>IF(ISBLANK('ENGAGEMENTS 2026'!B63),"",'ENGAGEMENTS 2026'!I63)</f>
        <v/>
      </c>
      <c r="G63">
        <f>IF(ISBLANK('ENGAGEMENTS 2026'!B63),"",'ENGAGEMENTS 2026'!L63)</f>
        <v/>
      </c>
      <c r="H63">
        <f>IF(ISBLANK('ENGAGEMENTS 2026'!B63),"",'ENGAGEMENTS 2026'!AE63)</f>
        <v/>
      </c>
      <c r="I63">
        <f>IF(ISBLANK('ENGAGEMENTS 2026'!B63),"",'ENGAGEMENTS 2026'!G63)</f>
        <v/>
      </c>
      <c r="J63" s="275">
        <f>IF(ISBLANK('ENGAGEMENTS 2026'!B63),"",IF(AND(OR($E63="INFRUCTUEUX",$E63="ANNULE"),$C63="AOO-M"),'ENGAGEMENTS 2026'!O63,IF($H63="EN COURS DE PREENGAGEMENT",'ENGAGEMENTS 2026'!N63,IF($H63="PREENGAGE",IF($E63="ATTRIBUE",'ENGAGEMENTS 2026'!AD63,'ENGAGEMENTS 2026'!N63),'ENGAGEMENTS 2026'!AD63))))</f>
        <v/>
      </c>
      <c r="K63" s="604">
        <f>IF(ISBLANK('ENGAGEMENTS 2026'!V63),"",'ENGAGEMENTS 2026'!V63)</f>
        <v/>
      </c>
      <c r="L63" s="276">
        <f>IF($K63="","",TODAY()-$K63)</f>
        <v/>
      </c>
      <c r="M63">
        <f>IF($A63="","",IF($H63="ENGAGE","Engagé",IF(AND($H63="NON ENGAGE",OR($I63="INFRUCTUEUX",$I63="ANNULE")),"Clôturé sans suite","En cours")))</f>
        <v/>
      </c>
      <c r="N63">
        <f>IF(ISBLANK('ENGAGEMENTS 2026'!B63),"",'ENGAGEMENTS 2026'!K63)</f>
        <v/>
      </c>
      <c r="O63">
        <f>IF(ISBLANK('ENGAGEMENTS 2026'!B63),"",'ENGAGEMENTS 2026'!L63)</f>
        <v/>
      </c>
      <c r="P63">
        <f>IF(ISBLANK('ENGAGEMENTS 2026'!B63),"",'ENGAGEMENTS 2026'!J63)</f>
        <v/>
      </c>
      <c r="Q63">
        <f>IF($A63="","",IF(OR($E63="INFRUCTUEUX",$E63="ANNULE"),$A63&amp;"|"&amp;(COUNTIFS($A$2:$A63,$A63,$E$2:$E63,"INFRUCTUEUX")+COUNTIFS($A$2:$A63,$A63,$E$2:$E63,"ANNULE")),""))</f>
        <v/>
      </c>
    </row>
    <row r="64">
      <c r="A64">
        <f>IF(ISBLANK('ENGAGEMENTS 2026'!B64),"",IF('ENGAGEMENTS 2026'!B64="DTSI","DCT",'ENGAGEMENTS 2026'!B64))</f>
        <v/>
      </c>
      <c r="B64">
        <f>IF(ISBLANK('ENGAGEMENTS 2026'!B64),"",'ENGAGEMENTS 2026'!C64)</f>
        <v/>
      </c>
      <c r="C64">
        <f>IF(ISBLANK('ENGAGEMENTS 2026'!B64),"",'ENGAGEMENTS 2026'!D64)</f>
        <v/>
      </c>
      <c r="D64">
        <f>IF(ISBLANK('ENGAGEMENTS 2026'!B64),"",'ENGAGEMENTS 2026'!F64)</f>
        <v/>
      </c>
      <c r="E64">
        <f>IF(ISBLANK('ENGAGEMENTS 2026'!B64),"",'ENGAGEMENTS 2026'!H64)</f>
        <v/>
      </c>
      <c r="F64">
        <f>IF(ISBLANK('ENGAGEMENTS 2026'!B64),"",'ENGAGEMENTS 2026'!I64)</f>
        <v/>
      </c>
      <c r="G64">
        <f>IF(ISBLANK('ENGAGEMENTS 2026'!B64),"",'ENGAGEMENTS 2026'!L64)</f>
        <v/>
      </c>
      <c r="H64">
        <f>IF(ISBLANK('ENGAGEMENTS 2026'!B64),"",'ENGAGEMENTS 2026'!AE64)</f>
        <v/>
      </c>
      <c r="I64">
        <f>IF(ISBLANK('ENGAGEMENTS 2026'!B64),"",'ENGAGEMENTS 2026'!G64)</f>
        <v/>
      </c>
      <c r="J64" s="275">
        <f>IF(ISBLANK('ENGAGEMENTS 2026'!B64),"",IF(AND(OR($E64="INFRUCTUEUX",$E64="ANNULE"),$C64="AOO-M"),'ENGAGEMENTS 2026'!O64,IF($H64="EN COURS DE PREENGAGEMENT",'ENGAGEMENTS 2026'!N64,IF($H64="PREENGAGE",IF($E64="ATTRIBUE",'ENGAGEMENTS 2026'!AD64,'ENGAGEMENTS 2026'!N64),'ENGAGEMENTS 2026'!AD64))))</f>
        <v/>
      </c>
      <c r="K64" s="604">
        <f>IF(ISBLANK('ENGAGEMENTS 2026'!V64),"",'ENGAGEMENTS 2026'!V64)</f>
        <v/>
      </c>
      <c r="L64" s="276">
        <f>IF($K64="","",TODAY()-$K64)</f>
        <v/>
      </c>
      <c r="M64">
        <f>IF($A64="","",IF($H64="ENGAGE","Engagé",IF(AND($H64="NON ENGAGE",OR($I64="INFRUCTUEUX",$I64="ANNULE")),"Clôturé sans suite","En cours")))</f>
        <v/>
      </c>
      <c r="N64">
        <f>IF(ISBLANK('ENGAGEMENTS 2026'!B64),"",'ENGAGEMENTS 2026'!K64)</f>
        <v/>
      </c>
      <c r="O64">
        <f>IF(ISBLANK('ENGAGEMENTS 2026'!B64),"",'ENGAGEMENTS 2026'!L64)</f>
        <v/>
      </c>
      <c r="P64">
        <f>IF(ISBLANK('ENGAGEMENTS 2026'!B64),"",'ENGAGEMENTS 2026'!J64)</f>
        <v/>
      </c>
      <c r="Q64">
        <f>IF($A64="","",IF(OR($E64="INFRUCTUEUX",$E64="ANNULE"),$A64&amp;"|"&amp;(COUNTIFS($A$2:$A64,$A64,$E$2:$E64,"INFRUCTUEUX")+COUNTIFS($A$2:$A64,$A64,$E$2:$E64,"ANNULE")),""))</f>
        <v/>
      </c>
    </row>
    <row r="65">
      <c r="A65">
        <f>IF(ISBLANK('ENGAGEMENTS 2026'!B65),"",IF('ENGAGEMENTS 2026'!B65="DTSI","DCT",'ENGAGEMENTS 2026'!B65))</f>
        <v/>
      </c>
      <c r="B65">
        <f>IF(ISBLANK('ENGAGEMENTS 2026'!B65),"",'ENGAGEMENTS 2026'!C65)</f>
        <v/>
      </c>
      <c r="C65">
        <f>IF(ISBLANK('ENGAGEMENTS 2026'!B65),"",'ENGAGEMENTS 2026'!D65)</f>
        <v/>
      </c>
      <c r="D65">
        <f>IF(ISBLANK('ENGAGEMENTS 2026'!B65),"",'ENGAGEMENTS 2026'!F65)</f>
        <v/>
      </c>
      <c r="E65">
        <f>IF(ISBLANK('ENGAGEMENTS 2026'!B65),"",'ENGAGEMENTS 2026'!H65)</f>
        <v/>
      </c>
      <c r="F65">
        <f>IF(ISBLANK('ENGAGEMENTS 2026'!B65),"",'ENGAGEMENTS 2026'!I65)</f>
        <v/>
      </c>
      <c r="G65">
        <f>IF(ISBLANK('ENGAGEMENTS 2026'!B65),"",'ENGAGEMENTS 2026'!L65)</f>
        <v/>
      </c>
      <c r="H65">
        <f>IF(ISBLANK('ENGAGEMENTS 2026'!B65),"",'ENGAGEMENTS 2026'!AE65)</f>
        <v/>
      </c>
      <c r="I65">
        <f>IF(ISBLANK('ENGAGEMENTS 2026'!B65),"",'ENGAGEMENTS 2026'!G65)</f>
        <v/>
      </c>
      <c r="J65" s="275">
        <f>IF(ISBLANK('ENGAGEMENTS 2026'!B65),"",IF(AND(OR($E65="INFRUCTUEUX",$E65="ANNULE"),$C65="AOO-M"),'ENGAGEMENTS 2026'!O65,IF($H65="EN COURS DE PREENGAGEMENT",'ENGAGEMENTS 2026'!N65,IF($H65="PREENGAGE",IF($E65="ATTRIBUE",'ENGAGEMENTS 2026'!AD65,'ENGAGEMENTS 2026'!N65),'ENGAGEMENTS 2026'!AD65))))</f>
        <v/>
      </c>
      <c r="K65" s="604">
        <f>IF(ISBLANK('ENGAGEMENTS 2026'!V65),"",'ENGAGEMENTS 2026'!V65)</f>
        <v/>
      </c>
      <c r="L65" s="276">
        <f>IF($K65="","",TODAY()-$K65)</f>
        <v/>
      </c>
      <c r="M65">
        <f>IF($A65="","",IF($H65="ENGAGE","Engagé",IF(AND($H65="NON ENGAGE",OR($I65="INFRUCTUEUX",$I65="ANNULE")),"Clôturé sans suite","En cours")))</f>
        <v/>
      </c>
      <c r="N65">
        <f>IF(ISBLANK('ENGAGEMENTS 2026'!B65),"",'ENGAGEMENTS 2026'!K65)</f>
        <v/>
      </c>
      <c r="O65">
        <f>IF(ISBLANK('ENGAGEMENTS 2026'!B65),"",'ENGAGEMENTS 2026'!L65)</f>
        <v/>
      </c>
      <c r="P65">
        <f>IF(ISBLANK('ENGAGEMENTS 2026'!B65),"",'ENGAGEMENTS 2026'!J65)</f>
        <v/>
      </c>
      <c r="Q65">
        <f>IF($A65="","",IF(OR($E65="INFRUCTUEUX",$E65="ANNULE"),$A65&amp;"|"&amp;(COUNTIFS($A$2:$A65,$A65,$E$2:$E65,"INFRUCTUEUX")+COUNTIFS($A$2:$A65,$A65,$E$2:$E65,"ANNULE")),""))</f>
        <v/>
      </c>
    </row>
    <row r="66">
      <c r="A66">
        <f>IF(ISBLANK('ENGAGEMENTS 2026'!B66),"",IF('ENGAGEMENTS 2026'!B66="DTSI","DCT",'ENGAGEMENTS 2026'!B66))</f>
        <v/>
      </c>
      <c r="B66">
        <f>IF(ISBLANK('ENGAGEMENTS 2026'!B66),"",'ENGAGEMENTS 2026'!C66)</f>
        <v/>
      </c>
      <c r="C66">
        <f>IF(ISBLANK('ENGAGEMENTS 2026'!B66),"",'ENGAGEMENTS 2026'!D66)</f>
        <v/>
      </c>
      <c r="D66">
        <f>IF(ISBLANK('ENGAGEMENTS 2026'!B66),"",'ENGAGEMENTS 2026'!F66)</f>
        <v/>
      </c>
      <c r="E66">
        <f>IF(ISBLANK('ENGAGEMENTS 2026'!B66),"",'ENGAGEMENTS 2026'!H66)</f>
        <v/>
      </c>
      <c r="F66">
        <f>IF(ISBLANK('ENGAGEMENTS 2026'!B66),"",'ENGAGEMENTS 2026'!I66)</f>
        <v/>
      </c>
      <c r="G66">
        <f>IF(ISBLANK('ENGAGEMENTS 2026'!B66),"",'ENGAGEMENTS 2026'!L66)</f>
        <v/>
      </c>
      <c r="H66">
        <f>IF(ISBLANK('ENGAGEMENTS 2026'!B66),"",'ENGAGEMENTS 2026'!AE66)</f>
        <v/>
      </c>
      <c r="I66">
        <f>IF(ISBLANK('ENGAGEMENTS 2026'!B66),"",'ENGAGEMENTS 2026'!G66)</f>
        <v/>
      </c>
      <c r="J66" s="275">
        <f>IF(ISBLANK('ENGAGEMENTS 2026'!B66),"",IF(AND(OR($E66="INFRUCTUEUX",$E66="ANNULE"),$C66="AOO-M"),'ENGAGEMENTS 2026'!O66,IF($H66="EN COURS DE PREENGAGEMENT",'ENGAGEMENTS 2026'!N66,IF($H66="PREENGAGE",IF($E66="ATTRIBUE",'ENGAGEMENTS 2026'!AD66,'ENGAGEMENTS 2026'!N66),'ENGAGEMENTS 2026'!AD66))))</f>
        <v/>
      </c>
      <c r="K66" s="604">
        <f>IF(ISBLANK('ENGAGEMENTS 2026'!V66),"",'ENGAGEMENTS 2026'!V66)</f>
        <v/>
      </c>
      <c r="L66" s="276">
        <f>IF($K66="","",TODAY()-$K66)</f>
        <v/>
      </c>
      <c r="M66">
        <f>IF($A66="","",IF($H66="ENGAGE","Engagé",IF(AND($H66="NON ENGAGE",OR($I66="INFRUCTUEUX",$I66="ANNULE")),"Clôturé sans suite","En cours")))</f>
        <v/>
      </c>
      <c r="N66">
        <f>IF(ISBLANK('ENGAGEMENTS 2026'!B66),"",'ENGAGEMENTS 2026'!K66)</f>
        <v/>
      </c>
      <c r="O66">
        <f>IF(ISBLANK('ENGAGEMENTS 2026'!B66),"",'ENGAGEMENTS 2026'!L66)</f>
        <v/>
      </c>
      <c r="P66">
        <f>IF(ISBLANK('ENGAGEMENTS 2026'!B66),"",'ENGAGEMENTS 2026'!J66)</f>
        <v/>
      </c>
      <c r="Q66">
        <f>IF($A66="","",IF(OR($E66="INFRUCTUEUX",$E66="ANNULE"),$A66&amp;"|"&amp;(COUNTIFS($A$2:$A66,$A66,$E$2:$E66,"INFRUCTUEUX")+COUNTIFS($A$2:$A66,$A66,$E$2:$E66,"ANNULE")),""))</f>
        <v/>
      </c>
    </row>
    <row r="67">
      <c r="A67">
        <f>IF(ISBLANK('ENGAGEMENTS 2026'!B67),"",IF('ENGAGEMENTS 2026'!B67="DTSI","DCT",'ENGAGEMENTS 2026'!B67))</f>
        <v/>
      </c>
      <c r="B67">
        <f>IF(ISBLANK('ENGAGEMENTS 2026'!B67),"",'ENGAGEMENTS 2026'!C67)</f>
        <v/>
      </c>
      <c r="C67">
        <f>IF(ISBLANK('ENGAGEMENTS 2026'!B67),"",'ENGAGEMENTS 2026'!D67)</f>
        <v/>
      </c>
      <c r="D67">
        <f>IF(ISBLANK('ENGAGEMENTS 2026'!B67),"",'ENGAGEMENTS 2026'!F67)</f>
        <v/>
      </c>
      <c r="E67">
        <f>IF(ISBLANK('ENGAGEMENTS 2026'!B67),"",'ENGAGEMENTS 2026'!H67)</f>
        <v/>
      </c>
      <c r="F67">
        <f>IF(ISBLANK('ENGAGEMENTS 2026'!B67),"",'ENGAGEMENTS 2026'!I67)</f>
        <v/>
      </c>
      <c r="G67">
        <f>IF(ISBLANK('ENGAGEMENTS 2026'!B67),"",'ENGAGEMENTS 2026'!L67)</f>
        <v/>
      </c>
      <c r="H67">
        <f>IF(ISBLANK('ENGAGEMENTS 2026'!B67),"",'ENGAGEMENTS 2026'!AE67)</f>
        <v/>
      </c>
      <c r="I67">
        <f>IF(ISBLANK('ENGAGEMENTS 2026'!B67),"",'ENGAGEMENTS 2026'!G67)</f>
        <v/>
      </c>
      <c r="J67" s="275">
        <f>IF(ISBLANK('ENGAGEMENTS 2026'!B67),"",IF(AND(OR($E67="INFRUCTUEUX",$E67="ANNULE"),$C67="AOO-M"),'ENGAGEMENTS 2026'!O67,IF($H67="EN COURS DE PREENGAGEMENT",'ENGAGEMENTS 2026'!N67,IF($H67="PREENGAGE",IF($E67="ATTRIBUE",'ENGAGEMENTS 2026'!AD67,'ENGAGEMENTS 2026'!N67),'ENGAGEMENTS 2026'!AD67))))</f>
        <v/>
      </c>
      <c r="K67" s="604">
        <f>IF(ISBLANK('ENGAGEMENTS 2026'!V67),"",'ENGAGEMENTS 2026'!V67)</f>
        <v/>
      </c>
      <c r="L67" s="276">
        <f>IF($K67="","",TODAY()-$K67)</f>
        <v/>
      </c>
      <c r="M67">
        <f>IF($A67="","",IF($H67="ENGAGE","Engagé",IF(AND($H67="NON ENGAGE",OR($I67="INFRUCTUEUX",$I67="ANNULE")),"Clôturé sans suite","En cours")))</f>
        <v/>
      </c>
      <c r="N67">
        <f>IF(ISBLANK('ENGAGEMENTS 2026'!B67),"",'ENGAGEMENTS 2026'!K67)</f>
        <v/>
      </c>
      <c r="O67">
        <f>IF(ISBLANK('ENGAGEMENTS 2026'!B67),"",'ENGAGEMENTS 2026'!L67)</f>
        <v/>
      </c>
      <c r="P67">
        <f>IF(ISBLANK('ENGAGEMENTS 2026'!B67),"",'ENGAGEMENTS 2026'!J67)</f>
        <v/>
      </c>
      <c r="Q67">
        <f>IF($A67="","",IF(OR($E67="INFRUCTUEUX",$E67="ANNULE"),$A67&amp;"|"&amp;(COUNTIFS($A$2:$A67,$A67,$E$2:$E67,"INFRUCTUEUX")+COUNTIFS($A$2:$A67,$A67,$E$2:$E67,"ANNULE")),""))</f>
        <v/>
      </c>
    </row>
    <row r="68">
      <c r="A68">
        <f>IF(ISBLANK('ENGAGEMENTS 2026'!B68),"",IF('ENGAGEMENTS 2026'!B68="DTSI","DCT",'ENGAGEMENTS 2026'!B68))</f>
        <v/>
      </c>
      <c r="B68">
        <f>IF(ISBLANK('ENGAGEMENTS 2026'!B68),"",'ENGAGEMENTS 2026'!C68)</f>
        <v/>
      </c>
      <c r="C68">
        <f>IF(ISBLANK('ENGAGEMENTS 2026'!B68),"",'ENGAGEMENTS 2026'!D68)</f>
        <v/>
      </c>
      <c r="D68">
        <f>IF(ISBLANK('ENGAGEMENTS 2026'!B68),"",'ENGAGEMENTS 2026'!F68)</f>
        <v/>
      </c>
      <c r="E68">
        <f>IF(ISBLANK('ENGAGEMENTS 2026'!B68),"",'ENGAGEMENTS 2026'!H68)</f>
        <v/>
      </c>
      <c r="F68">
        <f>IF(ISBLANK('ENGAGEMENTS 2026'!B68),"",'ENGAGEMENTS 2026'!I68)</f>
        <v/>
      </c>
      <c r="G68">
        <f>IF(ISBLANK('ENGAGEMENTS 2026'!B68),"",'ENGAGEMENTS 2026'!L68)</f>
        <v/>
      </c>
      <c r="H68">
        <f>IF(ISBLANK('ENGAGEMENTS 2026'!B68),"",'ENGAGEMENTS 2026'!AE68)</f>
        <v/>
      </c>
      <c r="I68">
        <f>IF(ISBLANK('ENGAGEMENTS 2026'!B68),"",'ENGAGEMENTS 2026'!G68)</f>
        <v/>
      </c>
      <c r="J68" s="275">
        <f>IF(ISBLANK('ENGAGEMENTS 2026'!B68),"",IF(AND(OR($E68="INFRUCTUEUX",$E68="ANNULE"),$C68="AOO-M"),'ENGAGEMENTS 2026'!O68,IF($H68="EN COURS DE PREENGAGEMENT",'ENGAGEMENTS 2026'!N68,IF($H68="PREENGAGE",IF($E68="ATTRIBUE",'ENGAGEMENTS 2026'!AD68,'ENGAGEMENTS 2026'!N68),'ENGAGEMENTS 2026'!AD68))))</f>
        <v/>
      </c>
      <c r="K68" s="604">
        <f>IF(ISBLANK('ENGAGEMENTS 2026'!V68),"",'ENGAGEMENTS 2026'!V68)</f>
        <v/>
      </c>
      <c r="L68" s="276">
        <f>IF($K68="","",TODAY()-$K68)</f>
        <v/>
      </c>
      <c r="M68">
        <f>IF($A68="","",IF($H68="ENGAGE","Engagé",IF(AND($H68="NON ENGAGE",OR($I68="INFRUCTUEUX",$I68="ANNULE")),"Clôturé sans suite","En cours")))</f>
        <v/>
      </c>
      <c r="N68">
        <f>IF(ISBLANK('ENGAGEMENTS 2026'!B68),"",'ENGAGEMENTS 2026'!K68)</f>
        <v/>
      </c>
      <c r="O68">
        <f>IF(ISBLANK('ENGAGEMENTS 2026'!B68),"",'ENGAGEMENTS 2026'!L68)</f>
        <v/>
      </c>
      <c r="P68">
        <f>IF(ISBLANK('ENGAGEMENTS 2026'!B68),"",'ENGAGEMENTS 2026'!J68)</f>
        <v/>
      </c>
      <c r="Q68">
        <f>IF($A68="","",IF(OR($E68="INFRUCTUEUX",$E68="ANNULE"),$A68&amp;"|"&amp;(COUNTIFS($A$2:$A68,$A68,$E$2:$E68,"INFRUCTUEUX")+COUNTIFS($A$2:$A68,$A68,$E$2:$E68,"ANNULE")),""))</f>
        <v/>
      </c>
    </row>
    <row r="69">
      <c r="A69">
        <f>IF(ISBLANK('ENGAGEMENTS 2026'!B69),"",IF('ENGAGEMENTS 2026'!B69="DTSI","DCT",'ENGAGEMENTS 2026'!B69))</f>
        <v/>
      </c>
      <c r="B69">
        <f>IF(ISBLANK('ENGAGEMENTS 2026'!B69),"",'ENGAGEMENTS 2026'!C69)</f>
        <v/>
      </c>
      <c r="C69">
        <f>IF(ISBLANK('ENGAGEMENTS 2026'!B69),"",'ENGAGEMENTS 2026'!D69)</f>
        <v/>
      </c>
      <c r="D69">
        <f>IF(ISBLANK('ENGAGEMENTS 2026'!B69),"",'ENGAGEMENTS 2026'!F69)</f>
        <v/>
      </c>
      <c r="E69">
        <f>IF(ISBLANK('ENGAGEMENTS 2026'!B69),"",'ENGAGEMENTS 2026'!H69)</f>
        <v/>
      </c>
      <c r="F69">
        <f>IF(ISBLANK('ENGAGEMENTS 2026'!B69),"",'ENGAGEMENTS 2026'!I69)</f>
        <v/>
      </c>
      <c r="G69">
        <f>IF(ISBLANK('ENGAGEMENTS 2026'!B69),"",'ENGAGEMENTS 2026'!L69)</f>
        <v/>
      </c>
      <c r="H69">
        <f>IF(ISBLANK('ENGAGEMENTS 2026'!B69),"",'ENGAGEMENTS 2026'!AE69)</f>
        <v/>
      </c>
      <c r="I69">
        <f>IF(ISBLANK('ENGAGEMENTS 2026'!B69),"",'ENGAGEMENTS 2026'!G69)</f>
        <v/>
      </c>
      <c r="J69" s="275">
        <f>IF(ISBLANK('ENGAGEMENTS 2026'!B69),"",IF(AND(OR($E69="INFRUCTUEUX",$E69="ANNULE"),$C69="AOO-M"),'ENGAGEMENTS 2026'!O69,IF($H69="EN COURS DE PREENGAGEMENT",'ENGAGEMENTS 2026'!N69,IF($H69="PREENGAGE",IF($E69="ATTRIBUE",'ENGAGEMENTS 2026'!AD69,'ENGAGEMENTS 2026'!N69),'ENGAGEMENTS 2026'!AD69))))</f>
        <v/>
      </c>
      <c r="K69" s="604">
        <f>IF(ISBLANK('ENGAGEMENTS 2026'!V69),"",'ENGAGEMENTS 2026'!V69)</f>
        <v/>
      </c>
      <c r="L69" s="276">
        <f>IF($K69="","",TODAY()-$K69)</f>
        <v/>
      </c>
      <c r="M69">
        <f>IF($A69="","",IF($H69="ENGAGE","Engagé",IF(AND($H69="NON ENGAGE",OR($I69="INFRUCTUEUX",$I69="ANNULE")),"Clôturé sans suite","En cours")))</f>
        <v/>
      </c>
      <c r="N69">
        <f>IF(ISBLANK('ENGAGEMENTS 2026'!B69),"",'ENGAGEMENTS 2026'!K69)</f>
        <v/>
      </c>
      <c r="O69">
        <f>IF(ISBLANK('ENGAGEMENTS 2026'!B69),"",'ENGAGEMENTS 2026'!L69)</f>
        <v/>
      </c>
      <c r="P69">
        <f>IF(ISBLANK('ENGAGEMENTS 2026'!B69),"",'ENGAGEMENTS 2026'!J69)</f>
        <v/>
      </c>
      <c r="Q69">
        <f>IF($A69="","",IF(OR($E69="INFRUCTUEUX",$E69="ANNULE"),$A69&amp;"|"&amp;(COUNTIFS($A$2:$A69,$A69,$E$2:$E69,"INFRUCTUEUX")+COUNTIFS($A$2:$A69,$A69,$E$2:$E69,"ANNULE")),""))</f>
        <v/>
      </c>
    </row>
    <row r="70">
      <c r="A70">
        <f>IF(ISBLANK('ENGAGEMENTS 2026'!B70),"",IF('ENGAGEMENTS 2026'!B70="DTSI","DCT",'ENGAGEMENTS 2026'!B70))</f>
        <v/>
      </c>
      <c r="B70">
        <f>IF(ISBLANK('ENGAGEMENTS 2026'!B70),"",'ENGAGEMENTS 2026'!C70)</f>
        <v/>
      </c>
      <c r="C70">
        <f>IF(ISBLANK('ENGAGEMENTS 2026'!B70),"",'ENGAGEMENTS 2026'!D70)</f>
        <v/>
      </c>
      <c r="D70">
        <f>IF(ISBLANK('ENGAGEMENTS 2026'!B70),"",'ENGAGEMENTS 2026'!F70)</f>
        <v/>
      </c>
      <c r="E70">
        <f>IF(ISBLANK('ENGAGEMENTS 2026'!B70),"",'ENGAGEMENTS 2026'!H70)</f>
        <v/>
      </c>
      <c r="F70">
        <f>IF(ISBLANK('ENGAGEMENTS 2026'!B70),"",'ENGAGEMENTS 2026'!I70)</f>
        <v/>
      </c>
      <c r="G70">
        <f>IF(ISBLANK('ENGAGEMENTS 2026'!B70),"",'ENGAGEMENTS 2026'!L70)</f>
        <v/>
      </c>
      <c r="H70">
        <f>IF(ISBLANK('ENGAGEMENTS 2026'!B70),"",'ENGAGEMENTS 2026'!AE70)</f>
        <v/>
      </c>
      <c r="I70">
        <f>IF(ISBLANK('ENGAGEMENTS 2026'!B70),"",'ENGAGEMENTS 2026'!G70)</f>
        <v/>
      </c>
      <c r="J70" s="275">
        <f>IF(ISBLANK('ENGAGEMENTS 2026'!B70),"",IF(AND(OR($E70="INFRUCTUEUX",$E70="ANNULE"),$C70="AOO-M"),'ENGAGEMENTS 2026'!O70,IF($H70="EN COURS DE PREENGAGEMENT",'ENGAGEMENTS 2026'!N70,IF($H70="PREENGAGE",IF($E70="ATTRIBUE",'ENGAGEMENTS 2026'!AD70,'ENGAGEMENTS 2026'!N70),'ENGAGEMENTS 2026'!AD70))))</f>
        <v/>
      </c>
      <c r="K70" s="604">
        <f>IF(ISBLANK('ENGAGEMENTS 2026'!V70),"",'ENGAGEMENTS 2026'!V70)</f>
        <v/>
      </c>
      <c r="L70" s="276">
        <f>IF($K70="","",TODAY()-$K70)</f>
        <v/>
      </c>
      <c r="M70">
        <f>IF($A70="","",IF($H70="ENGAGE","Engagé",IF(AND($H70="NON ENGAGE",OR($I70="INFRUCTUEUX",$I70="ANNULE")),"Clôturé sans suite","En cours")))</f>
        <v/>
      </c>
      <c r="N70">
        <f>IF(ISBLANK('ENGAGEMENTS 2026'!B70),"",'ENGAGEMENTS 2026'!K70)</f>
        <v/>
      </c>
      <c r="O70">
        <f>IF(ISBLANK('ENGAGEMENTS 2026'!B70),"",'ENGAGEMENTS 2026'!L70)</f>
        <v/>
      </c>
      <c r="P70">
        <f>IF(ISBLANK('ENGAGEMENTS 2026'!B70),"",'ENGAGEMENTS 2026'!J70)</f>
        <v/>
      </c>
      <c r="Q70">
        <f>IF($A70="","",IF(OR($E70="INFRUCTUEUX",$E70="ANNULE"),$A70&amp;"|"&amp;(COUNTIFS($A$2:$A70,$A70,$E$2:$E70,"INFRUCTUEUX")+COUNTIFS($A$2:$A70,$A70,$E$2:$E70,"ANNULE")),""))</f>
        <v/>
      </c>
    </row>
    <row r="71">
      <c r="A71">
        <f>IF(ISBLANK('ENGAGEMENTS 2026'!B71),"",IF('ENGAGEMENTS 2026'!B71="DTSI","DCT",'ENGAGEMENTS 2026'!B71))</f>
        <v/>
      </c>
      <c r="B71">
        <f>IF(ISBLANK('ENGAGEMENTS 2026'!B71),"",'ENGAGEMENTS 2026'!C71)</f>
        <v/>
      </c>
      <c r="C71">
        <f>IF(ISBLANK('ENGAGEMENTS 2026'!B71),"",'ENGAGEMENTS 2026'!D71)</f>
        <v/>
      </c>
      <c r="D71">
        <f>IF(ISBLANK('ENGAGEMENTS 2026'!B71),"",'ENGAGEMENTS 2026'!F71)</f>
        <v/>
      </c>
      <c r="E71">
        <f>IF(ISBLANK('ENGAGEMENTS 2026'!B71),"",'ENGAGEMENTS 2026'!H71)</f>
        <v/>
      </c>
      <c r="F71">
        <f>IF(ISBLANK('ENGAGEMENTS 2026'!B71),"",'ENGAGEMENTS 2026'!I71)</f>
        <v/>
      </c>
      <c r="G71">
        <f>IF(ISBLANK('ENGAGEMENTS 2026'!B71),"",'ENGAGEMENTS 2026'!L71)</f>
        <v/>
      </c>
      <c r="H71">
        <f>IF(ISBLANK('ENGAGEMENTS 2026'!B71),"",'ENGAGEMENTS 2026'!AE71)</f>
        <v/>
      </c>
      <c r="I71">
        <f>IF(ISBLANK('ENGAGEMENTS 2026'!B71),"",'ENGAGEMENTS 2026'!G71)</f>
        <v/>
      </c>
      <c r="J71" s="275">
        <f>IF(ISBLANK('ENGAGEMENTS 2026'!B71),"",IF(AND(OR($E71="INFRUCTUEUX",$E71="ANNULE"),$C71="AOO-M"),'ENGAGEMENTS 2026'!O71,IF($H71="EN COURS DE PREENGAGEMENT",'ENGAGEMENTS 2026'!N71,IF($H71="PREENGAGE",IF($E71="ATTRIBUE",'ENGAGEMENTS 2026'!AD71,'ENGAGEMENTS 2026'!N71),'ENGAGEMENTS 2026'!AD71))))</f>
        <v/>
      </c>
      <c r="K71" s="604">
        <f>IF(ISBLANK('ENGAGEMENTS 2026'!V71),"",'ENGAGEMENTS 2026'!V71)</f>
        <v/>
      </c>
      <c r="L71" s="276">
        <f>IF($K71="","",TODAY()-$K71)</f>
        <v/>
      </c>
      <c r="M71">
        <f>IF($A71="","",IF($H71="ENGAGE","Engagé",IF(AND($H71="NON ENGAGE",OR($I71="INFRUCTUEUX",$I71="ANNULE")),"Clôturé sans suite","En cours")))</f>
        <v/>
      </c>
      <c r="N71">
        <f>IF(ISBLANK('ENGAGEMENTS 2026'!B71),"",'ENGAGEMENTS 2026'!K71)</f>
        <v/>
      </c>
      <c r="O71">
        <f>IF(ISBLANK('ENGAGEMENTS 2026'!B71),"",'ENGAGEMENTS 2026'!L71)</f>
        <v/>
      </c>
      <c r="P71">
        <f>IF(ISBLANK('ENGAGEMENTS 2026'!B71),"",'ENGAGEMENTS 2026'!J71)</f>
        <v/>
      </c>
      <c r="Q71">
        <f>IF($A71="","",IF(OR($E71="INFRUCTUEUX",$E71="ANNULE"),$A71&amp;"|"&amp;(COUNTIFS($A$2:$A71,$A71,$E$2:$E71,"INFRUCTUEUX")+COUNTIFS($A$2:$A71,$A71,$E$2:$E71,"ANNULE")),""))</f>
        <v/>
      </c>
    </row>
    <row r="72">
      <c r="A72">
        <f>IF(ISBLANK('ENGAGEMENTS 2026'!B72),"",IF('ENGAGEMENTS 2026'!B72="DTSI","DCT",'ENGAGEMENTS 2026'!B72))</f>
        <v/>
      </c>
      <c r="B72">
        <f>IF(ISBLANK('ENGAGEMENTS 2026'!B72),"",'ENGAGEMENTS 2026'!C72)</f>
        <v/>
      </c>
      <c r="C72">
        <f>IF(ISBLANK('ENGAGEMENTS 2026'!B72),"",'ENGAGEMENTS 2026'!D72)</f>
        <v/>
      </c>
      <c r="D72">
        <f>IF(ISBLANK('ENGAGEMENTS 2026'!B72),"",'ENGAGEMENTS 2026'!F72)</f>
        <v/>
      </c>
      <c r="E72">
        <f>IF(ISBLANK('ENGAGEMENTS 2026'!B72),"",'ENGAGEMENTS 2026'!H72)</f>
        <v/>
      </c>
      <c r="F72">
        <f>IF(ISBLANK('ENGAGEMENTS 2026'!B72),"",'ENGAGEMENTS 2026'!I72)</f>
        <v/>
      </c>
      <c r="G72">
        <f>IF(ISBLANK('ENGAGEMENTS 2026'!B72),"",'ENGAGEMENTS 2026'!L72)</f>
        <v/>
      </c>
      <c r="H72">
        <f>IF(ISBLANK('ENGAGEMENTS 2026'!B72),"",'ENGAGEMENTS 2026'!AE72)</f>
        <v/>
      </c>
      <c r="I72">
        <f>IF(ISBLANK('ENGAGEMENTS 2026'!B72),"",'ENGAGEMENTS 2026'!G72)</f>
        <v/>
      </c>
      <c r="J72" s="275">
        <f>IF(ISBLANK('ENGAGEMENTS 2026'!B72),"",IF(AND(OR($E72="INFRUCTUEUX",$E72="ANNULE"),$C72="AOO-M"),'ENGAGEMENTS 2026'!O72,IF($H72="EN COURS DE PREENGAGEMENT",'ENGAGEMENTS 2026'!N72,IF($H72="PREENGAGE",IF($E72="ATTRIBUE",'ENGAGEMENTS 2026'!AD72,'ENGAGEMENTS 2026'!N72),'ENGAGEMENTS 2026'!AD72))))</f>
        <v/>
      </c>
      <c r="K72" s="604">
        <f>IF(ISBLANK('ENGAGEMENTS 2026'!V72),"",'ENGAGEMENTS 2026'!V72)</f>
        <v/>
      </c>
      <c r="L72" s="276">
        <f>IF($K72="","",TODAY()-$K72)</f>
        <v/>
      </c>
      <c r="M72">
        <f>IF($A72="","",IF($H72="ENGAGE","Engagé",IF(AND($H72="NON ENGAGE",OR($I72="INFRUCTUEUX",$I72="ANNULE")),"Clôturé sans suite","En cours")))</f>
        <v/>
      </c>
      <c r="N72">
        <f>IF(ISBLANK('ENGAGEMENTS 2026'!B72),"",'ENGAGEMENTS 2026'!K72)</f>
        <v/>
      </c>
      <c r="O72">
        <f>IF(ISBLANK('ENGAGEMENTS 2026'!B72),"",'ENGAGEMENTS 2026'!L72)</f>
        <v/>
      </c>
      <c r="P72">
        <f>IF(ISBLANK('ENGAGEMENTS 2026'!B72),"",'ENGAGEMENTS 2026'!J72)</f>
        <v/>
      </c>
      <c r="Q72">
        <f>IF($A72="","",IF(OR($E72="INFRUCTUEUX",$E72="ANNULE"),$A72&amp;"|"&amp;(COUNTIFS($A$2:$A72,$A72,$E$2:$E72,"INFRUCTUEUX")+COUNTIFS($A$2:$A72,$A72,$E$2:$E72,"ANNULE")),""))</f>
        <v/>
      </c>
    </row>
    <row r="73">
      <c r="A73">
        <f>IF(ISBLANK('ENGAGEMENTS 2026'!B73),"",IF('ENGAGEMENTS 2026'!B73="DTSI","DCT",'ENGAGEMENTS 2026'!B73))</f>
        <v/>
      </c>
      <c r="B73">
        <f>IF(ISBLANK('ENGAGEMENTS 2026'!B73),"",'ENGAGEMENTS 2026'!C73)</f>
        <v/>
      </c>
      <c r="C73">
        <f>IF(ISBLANK('ENGAGEMENTS 2026'!B73),"",'ENGAGEMENTS 2026'!D73)</f>
        <v/>
      </c>
      <c r="D73">
        <f>IF(ISBLANK('ENGAGEMENTS 2026'!B73),"",'ENGAGEMENTS 2026'!F73)</f>
        <v/>
      </c>
      <c r="E73">
        <f>IF(ISBLANK('ENGAGEMENTS 2026'!B73),"",'ENGAGEMENTS 2026'!H73)</f>
        <v/>
      </c>
      <c r="F73">
        <f>IF(ISBLANK('ENGAGEMENTS 2026'!B73),"",'ENGAGEMENTS 2026'!I73)</f>
        <v/>
      </c>
      <c r="G73">
        <f>IF(ISBLANK('ENGAGEMENTS 2026'!B73),"",'ENGAGEMENTS 2026'!L73)</f>
        <v/>
      </c>
      <c r="H73">
        <f>IF(ISBLANK('ENGAGEMENTS 2026'!B73),"",'ENGAGEMENTS 2026'!AE73)</f>
        <v/>
      </c>
      <c r="I73">
        <f>IF(ISBLANK('ENGAGEMENTS 2026'!B73),"",'ENGAGEMENTS 2026'!G73)</f>
        <v/>
      </c>
      <c r="J73" s="275">
        <f>IF(ISBLANK('ENGAGEMENTS 2026'!B73),"",IF(AND(OR($E73="INFRUCTUEUX",$E73="ANNULE"),$C73="AOO-M"),'ENGAGEMENTS 2026'!O73,IF($H73="EN COURS DE PREENGAGEMENT",'ENGAGEMENTS 2026'!N73,IF($H73="PREENGAGE",IF($E73="ATTRIBUE",'ENGAGEMENTS 2026'!AD73,'ENGAGEMENTS 2026'!N73),'ENGAGEMENTS 2026'!AD73))))</f>
        <v/>
      </c>
      <c r="K73" s="604">
        <f>IF(ISBLANK('ENGAGEMENTS 2026'!V73),"",'ENGAGEMENTS 2026'!V73)</f>
        <v/>
      </c>
      <c r="L73" s="276">
        <f>IF($K73="","",TODAY()-$K73)</f>
        <v/>
      </c>
      <c r="M73">
        <f>IF($A73="","",IF($H73="ENGAGE","Engagé",IF(AND($H73="NON ENGAGE",OR($I73="INFRUCTUEUX",$I73="ANNULE")),"Clôturé sans suite","En cours")))</f>
        <v/>
      </c>
      <c r="N73">
        <f>IF(ISBLANK('ENGAGEMENTS 2026'!B73),"",'ENGAGEMENTS 2026'!K73)</f>
        <v/>
      </c>
      <c r="O73">
        <f>IF(ISBLANK('ENGAGEMENTS 2026'!B73),"",'ENGAGEMENTS 2026'!L73)</f>
        <v/>
      </c>
      <c r="P73">
        <f>IF(ISBLANK('ENGAGEMENTS 2026'!B73),"",'ENGAGEMENTS 2026'!J73)</f>
        <v/>
      </c>
      <c r="Q73">
        <f>IF($A73="","",IF(OR($E73="INFRUCTUEUX",$E73="ANNULE"),$A73&amp;"|"&amp;(COUNTIFS($A$2:$A73,$A73,$E$2:$E73,"INFRUCTUEUX")+COUNTIFS($A$2:$A73,$A73,$E$2:$E73,"ANNULE")),""))</f>
        <v/>
      </c>
    </row>
    <row r="74">
      <c r="A74">
        <f>IF(ISBLANK('ENGAGEMENTS 2026'!B74),"",IF('ENGAGEMENTS 2026'!B74="DTSI","DCT",'ENGAGEMENTS 2026'!B74))</f>
        <v/>
      </c>
      <c r="B74">
        <f>IF(ISBLANK('ENGAGEMENTS 2026'!B74),"",'ENGAGEMENTS 2026'!C74)</f>
        <v/>
      </c>
      <c r="C74">
        <f>IF(ISBLANK('ENGAGEMENTS 2026'!B74),"",'ENGAGEMENTS 2026'!D74)</f>
        <v/>
      </c>
      <c r="D74">
        <f>IF(ISBLANK('ENGAGEMENTS 2026'!B74),"",'ENGAGEMENTS 2026'!F74)</f>
        <v/>
      </c>
      <c r="E74">
        <f>IF(ISBLANK('ENGAGEMENTS 2026'!B74),"",'ENGAGEMENTS 2026'!H74)</f>
        <v/>
      </c>
      <c r="F74">
        <f>IF(ISBLANK('ENGAGEMENTS 2026'!B74),"",'ENGAGEMENTS 2026'!I74)</f>
        <v/>
      </c>
      <c r="G74">
        <f>IF(ISBLANK('ENGAGEMENTS 2026'!B74),"",'ENGAGEMENTS 2026'!L74)</f>
        <v/>
      </c>
      <c r="H74">
        <f>IF(ISBLANK('ENGAGEMENTS 2026'!B74),"",'ENGAGEMENTS 2026'!AE74)</f>
        <v/>
      </c>
      <c r="I74">
        <f>IF(ISBLANK('ENGAGEMENTS 2026'!B74),"",'ENGAGEMENTS 2026'!G74)</f>
        <v/>
      </c>
      <c r="J74" s="275">
        <f>IF(ISBLANK('ENGAGEMENTS 2026'!B74),"",IF(AND(OR($E74="INFRUCTUEUX",$E74="ANNULE"),$C74="AOO-M"),'ENGAGEMENTS 2026'!O74,IF($H74="EN COURS DE PREENGAGEMENT",'ENGAGEMENTS 2026'!N74,IF($H74="PREENGAGE",IF($E74="ATTRIBUE",'ENGAGEMENTS 2026'!AD74,'ENGAGEMENTS 2026'!N74),'ENGAGEMENTS 2026'!AD74))))</f>
        <v/>
      </c>
      <c r="K74" s="604">
        <f>IF(ISBLANK('ENGAGEMENTS 2026'!V74),"",'ENGAGEMENTS 2026'!V74)</f>
        <v/>
      </c>
      <c r="L74" s="276">
        <f>IF($K74="","",TODAY()-$K74)</f>
        <v/>
      </c>
      <c r="M74">
        <f>IF($A74="","",IF($H74="ENGAGE","Engagé",IF(AND($H74="NON ENGAGE",OR($I74="INFRUCTUEUX",$I74="ANNULE")),"Clôturé sans suite","En cours")))</f>
        <v/>
      </c>
      <c r="N74">
        <f>IF(ISBLANK('ENGAGEMENTS 2026'!B74),"",'ENGAGEMENTS 2026'!K74)</f>
        <v/>
      </c>
      <c r="O74">
        <f>IF(ISBLANK('ENGAGEMENTS 2026'!B74),"",'ENGAGEMENTS 2026'!L74)</f>
        <v/>
      </c>
      <c r="P74">
        <f>IF(ISBLANK('ENGAGEMENTS 2026'!B74),"",'ENGAGEMENTS 2026'!J74)</f>
        <v/>
      </c>
      <c r="Q74">
        <f>IF($A74="","",IF(OR($E74="INFRUCTUEUX",$E74="ANNULE"),$A74&amp;"|"&amp;(COUNTIFS($A$2:$A74,$A74,$E$2:$E74,"INFRUCTUEUX")+COUNTIFS($A$2:$A74,$A74,$E$2:$E74,"ANNULE")),""))</f>
        <v/>
      </c>
    </row>
    <row r="75">
      <c r="A75">
        <f>IF(ISBLANK('ENGAGEMENTS 2026'!B75),"",IF('ENGAGEMENTS 2026'!B75="DTSI","DCT",'ENGAGEMENTS 2026'!B75))</f>
        <v/>
      </c>
      <c r="B75">
        <f>IF(ISBLANK('ENGAGEMENTS 2026'!B75),"",'ENGAGEMENTS 2026'!C75)</f>
        <v/>
      </c>
      <c r="C75">
        <f>IF(ISBLANK('ENGAGEMENTS 2026'!B75),"",'ENGAGEMENTS 2026'!D75)</f>
        <v/>
      </c>
      <c r="D75">
        <f>IF(ISBLANK('ENGAGEMENTS 2026'!B75),"",'ENGAGEMENTS 2026'!F75)</f>
        <v/>
      </c>
      <c r="E75">
        <f>IF(ISBLANK('ENGAGEMENTS 2026'!B75),"",'ENGAGEMENTS 2026'!H75)</f>
        <v/>
      </c>
      <c r="F75">
        <f>IF(ISBLANK('ENGAGEMENTS 2026'!B75),"",'ENGAGEMENTS 2026'!I75)</f>
        <v/>
      </c>
      <c r="G75">
        <f>IF(ISBLANK('ENGAGEMENTS 2026'!B75),"",'ENGAGEMENTS 2026'!L75)</f>
        <v/>
      </c>
      <c r="H75">
        <f>IF(ISBLANK('ENGAGEMENTS 2026'!B75),"",'ENGAGEMENTS 2026'!AE75)</f>
        <v/>
      </c>
      <c r="I75">
        <f>IF(ISBLANK('ENGAGEMENTS 2026'!B75),"",'ENGAGEMENTS 2026'!G75)</f>
        <v/>
      </c>
      <c r="J75" s="275">
        <f>IF(ISBLANK('ENGAGEMENTS 2026'!B75),"",IF(AND(OR($E75="INFRUCTUEUX",$E75="ANNULE"),$C75="AOO-M"),'ENGAGEMENTS 2026'!O75,IF($H75="EN COURS DE PREENGAGEMENT",'ENGAGEMENTS 2026'!N75,IF($H75="PREENGAGE",IF($E75="ATTRIBUE",'ENGAGEMENTS 2026'!AD75,'ENGAGEMENTS 2026'!N75),'ENGAGEMENTS 2026'!AD75))))</f>
        <v/>
      </c>
      <c r="K75" s="604">
        <f>IF(ISBLANK('ENGAGEMENTS 2026'!V75),"",'ENGAGEMENTS 2026'!V75)</f>
        <v/>
      </c>
      <c r="L75" s="276">
        <f>IF($K75="","",TODAY()-$K75)</f>
        <v/>
      </c>
      <c r="M75">
        <f>IF($A75="","",IF($H75="ENGAGE","Engagé",IF(AND($H75="NON ENGAGE",OR($I75="INFRUCTUEUX",$I75="ANNULE")),"Clôturé sans suite","En cours")))</f>
        <v/>
      </c>
      <c r="N75">
        <f>IF(ISBLANK('ENGAGEMENTS 2026'!B75),"",'ENGAGEMENTS 2026'!K75)</f>
        <v/>
      </c>
      <c r="O75">
        <f>IF(ISBLANK('ENGAGEMENTS 2026'!B75),"",'ENGAGEMENTS 2026'!L75)</f>
        <v/>
      </c>
      <c r="P75">
        <f>IF(ISBLANK('ENGAGEMENTS 2026'!B75),"",'ENGAGEMENTS 2026'!J75)</f>
        <v/>
      </c>
      <c r="Q75">
        <f>IF($A75="","",IF(OR($E75="INFRUCTUEUX",$E75="ANNULE"),$A75&amp;"|"&amp;(COUNTIFS($A$2:$A75,$A75,$E$2:$E75,"INFRUCTUEUX")+COUNTIFS($A$2:$A75,$A75,$E$2:$E75,"ANNULE")),""))</f>
        <v/>
      </c>
    </row>
    <row r="76">
      <c r="A76">
        <f>IF(ISBLANK('ENGAGEMENTS 2026'!B76),"",IF('ENGAGEMENTS 2026'!B76="DTSI","DCT",'ENGAGEMENTS 2026'!B76))</f>
        <v/>
      </c>
      <c r="B76">
        <f>IF(ISBLANK('ENGAGEMENTS 2026'!B76),"",'ENGAGEMENTS 2026'!C76)</f>
        <v/>
      </c>
      <c r="C76">
        <f>IF(ISBLANK('ENGAGEMENTS 2026'!B76),"",'ENGAGEMENTS 2026'!D76)</f>
        <v/>
      </c>
      <c r="D76">
        <f>IF(ISBLANK('ENGAGEMENTS 2026'!B76),"",'ENGAGEMENTS 2026'!F76)</f>
        <v/>
      </c>
      <c r="E76">
        <f>IF(ISBLANK('ENGAGEMENTS 2026'!B76),"",'ENGAGEMENTS 2026'!H76)</f>
        <v/>
      </c>
      <c r="F76">
        <f>IF(ISBLANK('ENGAGEMENTS 2026'!B76),"",'ENGAGEMENTS 2026'!I76)</f>
        <v/>
      </c>
      <c r="G76">
        <f>IF(ISBLANK('ENGAGEMENTS 2026'!B76),"",'ENGAGEMENTS 2026'!L76)</f>
        <v/>
      </c>
      <c r="H76">
        <f>IF(ISBLANK('ENGAGEMENTS 2026'!B76),"",'ENGAGEMENTS 2026'!AE76)</f>
        <v/>
      </c>
      <c r="I76">
        <f>IF(ISBLANK('ENGAGEMENTS 2026'!B76),"",'ENGAGEMENTS 2026'!G76)</f>
        <v/>
      </c>
      <c r="J76" s="275">
        <f>IF(ISBLANK('ENGAGEMENTS 2026'!B76),"",IF(AND(OR($E76="INFRUCTUEUX",$E76="ANNULE"),$C76="AOO-M"),'ENGAGEMENTS 2026'!O76,IF($H76="EN COURS DE PREENGAGEMENT",'ENGAGEMENTS 2026'!N76,IF($H76="PREENGAGE",IF($E76="ATTRIBUE",'ENGAGEMENTS 2026'!AD76,'ENGAGEMENTS 2026'!N76),'ENGAGEMENTS 2026'!AD76))))</f>
        <v/>
      </c>
      <c r="K76" s="604">
        <f>IF(ISBLANK('ENGAGEMENTS 2026'!V76),"",'ENGAGEMENTS 2026'!V76)</f>
        <v/>
      </c>
      <c r="L76" s="276">
        <f>IF($K76="","",TODAY()-$K76)</f>
        <v/>
      </c>
      <c r="M76">
        <f>IF($A76="","",IF($H76="ENGAGE","Engagé",IF(AND($H76="NON ENGAGE",OR($I76="INFRUCTUEUX",$I76="ANNULE")),"Clôturé sans suite","En cours")))</f>
        <v/>
      </c>
      <c r="N76">
        <f>IF(ISBLANK('ENGAGEMENTS 2026'!B76),"",'ENGAGEMENTS 2026'!K76)</f>
        <v/>
      </c>
      <c r="O76">
        <f>IF(ISBLANK('ENGAGEMENTS 2026'!B76),"",'ENGAGEMENTS 2026'!L76)</f>
        <v/>
      </c>
      <c r="P76">
        <f>IF(ISBLANK('ENGAGEMENTS 2026'!B76),"",'ENGAGEMENTS 2026'!J76)</f>
        <v/>
      </c>
      <c r="Q76">
        <f>IF($A76="","",IF(OR($E76="INFRUCTUEUX",$E76="ANNULE"),$A76&amp;"|"&amp;(COUNTIFS($A$2:$A76,$A76,$E$2:$E76,"INFRUCTUEUX")+COUNTIFS($A$2:$A76,$A76,$E$2:$E76,"ANNULE")),""))</f>
        <v/>
      </c>
    </row>
    <row r="77">
      <c r="A77">
        <f>IF(ISBLANK('ENGAGEMENTS 2026'!B77),"",IF('ENGAGEMENTS 2026'!B77="DTSI","DCT",'ENGAGEMENTS 2026'!B77))</f>
        <v/>
      </c>
      <c r="B77">
        <f>IF(ISBLANK('ENGAGEMENTS 2026'!B77),"",'ENGAGEMENTS 2026'!C77)</f>
        <v/>
      </c>
      <c r="C77">
        <f>IF(ISBLANK('ENGAGEMENTS 2026'!B77),"",'ENGAGEMENTS 2026'!D77)</f>
        <v/>
      </c>
      <c r="D77">
        <f>IF(ISBLANK('ENGAGEMENTS 2026'!B77),"",'ENGAGEMENTS 2026'!F77)</f>
        <v/>
      </c>
      <c r="E77">
        <f>IF(ISBLANK('ENGAGEMENTS 2026'!B77),"",'ENGAGEMENTS 2026'!H77)</f>
        <v/>
      </c>
      <c r="F77">
        <f>IF(ISBLANK('ENGAGEMENTS 2026'!B77),"",'ENGAGEMENTS 2026'!I77)</f>
        <v/>
      </c>
      <c r="G77">
        <f>IF(ISBLANK('ENGAGEMENTS 2026'!B77),"",'ENGAGEMENTS 2026'!L77)</f>
        <v/>
      </c>
      <c r="H77">
        <f>IF(ISBLANK('ENGAGEMENTS 2026'!B77),"",'ENGAGEMENTS 2026'!AE77)</f>
        <v/>
      </c>
      <c r="I77">
        <f>IF(ISBLANK('ENGAGEMENTS 2026'!B77),"",'ENGAGEMENTS 2026'!G77)</f>
        <v/>
      </c>
      <c r="J77" s="275">
        <f>IF(ISBLANK('ENGAGEMENTS 2026'!B77),"",IF(AND(OR($E77="INFRUCTUEUX",$E77="ANNULE"),$C77="AOO-M"),'ENGAGEMENTS 2026'!O77,IF($H77="EN COURS DE PREENGAGEMENT",'ENGAGEMENTS 2026'!N77,IF($H77="PREENGAGE",IF($E77="ATTRIBUE",'ENGAGEMENTS 2026'!AD77,'ENGAGEMENTS 2026'!N77),'ENGAGEMENTS 2026'!AD77))))</f>
        <v/>
      </c>
      <c r="K77" s="604">
        <f>IF(ISBLANK('ENGAGEMENTS 2026'!V77),"",'ENGAGEMENTS 2026'!V77)</f>
        <v/>
      </c>
      <c r="L77" s="276">
        <f>IF($K77="","",TODAY()-$K77)</f>
        <v/>
      </c>
      <c r="M77">
        <f>IF($A77="","",IF($H77="ENGAGE","Engagé",IF(AND($H77="NON ENGAGE",OR($I77="INFRUCTUEUX",$I77="ANNULE")),"Clôturé sans suite","En cours")))</f>
        <v/>
      </c>
      <c r="N77">
        <f>IF(ISBLANK('ENGAGEMENTS 2026'!B77),"",'ENGAGEMENTS 2026'!K77)</f>
        <v/>
      </c>
      <c r="O77">
        <f>IF(ISBLANK('ENGAGEMENTS 2026'!B77),"",'ENGAGEMENTS 2026'!L77)</f>
        <v/>
      </c>
      <c r="P77">
        <f>IF(ISBLANK('ENGAGEMENTS 2026'!B77),"",'ENGAGEMENTS 2026'!J77)</f>
        <v/>
      </c>
      <c r="Q77">
        <f>IF($A77="","",IF(OR($E77="INFRUCTUEUX",$E77="ANNULE"),$A77&amp;"|"&amp;(COUNTIFS($A$2:$A77,$A77,$E$2:$E77,"INFRUCTUEUX")+COUNTIFS($A$2:$A77,$A77,$E$2:$E77,"ANNULE")),""))</f>
        <v/>
      </c>
    </row>
    <row r="78">
      <c r="A78">
        <f>IF(ISBLANK('ENGAGEMENTS 2026'!B78),"",IF('ENGAGEMENTS 2026'!B78="DTSI","DCT",'ENGAGEMENTS 2026'!B78))</f>
        <v/>
      </c>
      <c r="B78">
        <f>IF(ISBLANK('ENGAGEMENTS 2026'!B78),"",'ENGAGEMENTS 2026'!C78)</f>
        <v/>
      </c>
      <c r="C78">
        <f>IF(ISBLANK('ENGAGEMENTS 2026'!B78),"",'ENGAGEMENTS 2026'!D78)</f>
        <v/>
      </c>
      <c r="D78">
        <f>IF(ISBLANK('ENGAGEMENTS 2026'!B78),"",'ENGAGEMENTS 2026'!F78)</f>
        <v/>
      </c>
      <c r="E78">
        <f>IF(ISBLANK('ENGAGEMENTS 2026'!B78),"",'ENGAGEMENTS 2026'!H78)</f>
        <v/>
      </c>
      <c r="F78">
        <f>IF(ISBLANK('ENGAGEMENTS 2026'!B78),"",'ENGAGEMENTS 2026'!I78)</f>
        <v/>
      </c>
      <c r="G78">
        <f>IF(ISBLANK('ENGAGEMENTS 2026'!B78),"",'ENGAGEMENTS 2026'!L78)</f>
        <v/>
      </c>
      <c r="H78">
        <f>IF(ISBLANK('ENGAGEMENTS 2026'!B78),"",'ENGAGEMENTS 2026'!AE78)</f>
        <v/>
      </c>
      <c r="I78">
        <f>IF(ISBLANK('ENGAGEMENTS 2026'!B78),"",'ENGAGEMENTS 2026'!G78)</f>
        <v/>
      </c>
      <c r="J78" s="275">
        <f>IF(ISBLANK('ENGAGEMENTS 2026'!B78),"",IF(AND(OR($E78="INFRUCTUEUX",$E78="ANNULE"),$C78="AOO-M"),'ENGAGEMENTS 2026'!O78,IF($H78="EN COURS DE PREENGAGEMENT",'ENGAGEMENTS 2026'!N78,IF($H78="PREENGAGE",IF($E78="ATTRIBUE",'ENGAGEMENTS 2026'!AD78,'ENGAGEMENTS 2026'!N78),'ENGAGEMENTS 2026'!AD78))))</f>
        <v/>
      </c>
      <c r="K78" s="604">
        <f>IF(ISBLANK('ENGAGEMENTS 2026'!V78),"",'ENGAGEMENTS 2026'!V78)</f>
        <v/>
      </c>
      <c r="L78" s="276">
        <f>IF($K78="","",TODAY()-$K78)</f>
        <v/>
      </c>
      <c r="M78">
        <f>IF($A78="","",IF($H78="ENGAGE","Engagé",IF(AND($H78="NON ENGAGE",OR($I78="INFRUCTUEUX",$I78="ANNULE")),"Clôturé sans suite","En cours")))</f>
        <v/>
      </c>
      <c r="N78">
        <f>IF(ISBLANK('ENGAGEMENTS 2026'!B78),"",'ENGAGEMENTS 2026'!K78)</f>
        <v/>
      </c>
      <c r="O78">
        <f>IF(ISBLANK('ENGAGEMENTS 2026'!B78),"",'ENGAGEMENTS 2026'!L78)</f>
        <v/>
      </c>
      <c r="P78">
        <f>IF(ISBLANK('ENGAGEMENTS 2026'!B78),"",'ENGAGEMENTS 2026'!J78)</f>
        <v/>
      </c>
      <c r="Q78">
        <f>IF($A78="","",IF(OR($E78="INFRUCTUEUX",$E78="ANNULE"),$A78&amp;"|"&amp;(COUNTIFS($A$2:$A78,$A78,$E$2:$E78,"INFRUCTUEUX")+COUNTIFS($A$2:$A78,$A78,$E$2:$E78,"ANNULE")),""))</f>
        <v/>
      </c>
    </row>
    <row r="79">
      <c r="A79">
        <f>IF(ISBLANK('ENGAGEMENTS 2026'!B79),"",IF('ENGAGEMENTS 2026'!B79="DTSI","DCT",'ENGAGEMENTS 2026'!B79))</f>
        <v/>
      </c>
      <c r="B79">
        <f>IF(ISBLANK('ENGAGEMENTS 2026'!B79),"",'ENGAGEMENTS 2026'!C79)</f>
        <v/>
      </c>
      <c r="C79">
        <f>IF(ISBLANK('ENGAGEMENTS 2026'!B79),"",'ENGAGEMENTS 2026'!D79)</f>
        <v/>
      </c>
      <c r="D79">
        <f>IF(ISBLANK('ENGAGEMENTS 2026'!B79),"",'ENGAGEMENTS 2026'!F79)</f>
        <v/>
      </c>
      <c r="E79">
        <f>IF(ISBLANK('ENGAGEMENTS 2026'!B79),"",'ENGAGEMENTS 2026'!H79)</f>
        <v/>
      </c>
      <c r="F79">
        <f>IF(ISBLANK('ENGAGEMENTS 2026'!B79),"",'ENGAGEMENTS 2026'!I79)</f>
        <v/>
      </c>
      <c r="G79">
        <f>IF(ISBLANK('ENGAGEMENTS 2026'!B79),"",'ENGAGEMENTS 2026'!L79)</f>
        <v/>
      </c>
      <c r="H79">
        <f>IF(ISBLANK('ENGAGEMENTS 2026'!B79),"",'ENGAGEMENTS 2026'!AE79)</f>
        <v/>
      </c>
      <c r="I79">
        <f>IF(ISBLANK('ENGAGEMENTS 2026'!B79),"",'ENGAGEMENTS 2026'!G79)</f>
        <v/>
      </c>
      <c r="J79" s="275">
        <f>IF(ISBLANK('ENGAGEMENTS 2026'!B79),"",IF(AND(OR($E79="INFRUCTUEUX",$E79="ANNULE"),$C79="AOO-M"),'ENGAGEMENTS 2026'!O79,IF($H79="EN COURS DE PREENGAGEMENT",'ENGAGEMENTS 2026'!N79,IF($H79="PREENGAGE",IF($E79="ATTRIBUE",'ENGAGEMENTS 2026'!AD79,'ENGAGEMENTS 2026'!N79),'ENGAGEMENTS 2026'!AD79))))</f>
        <v/>
      </c>
      <c r="K79" s="604">
        <f>IF(ISBLANK('ENGAGEMENTS 2026'!V79),"",'ENGAGEMENTS 2026'!V79)</f>
        <v/>
      </c>
      <c r="L79" s="276">
        <f>IF($K79="","",TODAY()-$K79)</f>
        <v/>
      </c>
      <c r="M79">
        <f>IF($A79="","",IF($H79="ENGAGE","Engagé",IF(AND($H79="NON ENGAGE",OR($I79="INFRUCTUEUX",$I79="ANNULE")),"Clôturé sans suite","En cours")))</f>
        <v/>
      </c>
      <c r="N79">
        <f>IF(ISBLANK('ENGAGEMENTS 2026'!B79),"",'ENGAGEMENTS 2026'!K79)</f>
        <v/>
      </c>
      <c r="O79">
        <f>IF(ISBLANK('ENGAGEMENTS 2026'!B79),"",'ENGAGEMENTS 2026'!L79)</f>
        <v/>
      </c>
      <c r="P79">
        <f>IF(ISBLANK('ENGAGEMENTS 2026'!B79),"",'ENGAGEMENTS 2026'!J79)</f>
        <v/>
      </c>
      <c r="Q79">
        <f>IF($A79="","",IF(OR($E79="INFRUCTUEUX",$E79="ANNULE"),$A79&amp;"|"&amp;(COUNTIFS($A$2:$A79,$A79,$E$2:$E79,"INFRUCTUEUX")+COUNTIFS($A$2:$A79,$A79,$E$2:$E79,"ANNULE")),""))</f>
        <v/>
      </c>
    </row>
    <row r="80">
      <c r="A80">
        <f>IF(ISBLANK('ENGAGEMENTS 2026'!B80),"",IF('ENGAGEMENTS 2026'!B80="DTSI","DCT",'ENGAGEMENTS 2026'!B80))</f>
        <v/>
      </c>
      <c r="B80">
        <f>IF(ISBLANK('ENGAGEMENTS 2026'!B80),"",'ENGAGEMENTS 2026'!C80)</f>
        <v/>
      </c>
      <c r="C80">
        <f>IF(ISBLANK('ENGAGEMENTS 2026'!B80),"",'ENGAGEMENTS 2026'!D80)</f>
        <v/>
      </c>
      <c r="D80">
        <f>IF(ISBLANK('ENGAGEMENTS 2026'!B80),"",'ENGAGEMENTS 2026'!F80)</f>
        <v/>
      </c>
      <c r="E80">
        <f>IF(ISBLANK('ENGAGEMENTS 2026'!B80),"",'ENGAGEMENTS 2026'!H80)</f>
        <v/>
      </c>
      <c r="F80">
        <f>IF(ISBLANK('ENGAGEMENTS 2026'!B80),"",'ENGAGEMENTS 2026'!I80)</f>
        <v/>
      </c>
      <c r="G80">
        <f>IF(ISBLANK('ENGAGEMENTS 2026'!B80),"",'ENGAGEMENTS 2026'!L80)</f>
        <v/>
      </c>
      <c r="H80">
        <f>IF(ISBLANK('ENGAGEMENTS 2026'!B80),"",'ENGAGEMENTS 2026'!AE80)</f>
        <v/>
      </c>
      <c r="I80">
        <f>IF(ISBLANK('ENGAGEMENTS 2026'!B80),"",'ENGAGEMENTS 2026'!G80)</f>
        <v/>
      </c>
      <c r="J80" s="275">
        <f>IF(ISBLANK('ENGAGEMENTS 2026'!B80),"",IF(AND(OR($E80="INFRUCTUEUX",$E80="ANNULE"),$C80="AOO-M"),'ENGAGEMENTS 2026'!O80,IF($H80="EN COURS DE PREENGAGEMENT",'ENGAGEMENTS 2026'!N80,IF($H80="PREENGAGE",IF($E80="ATTRIBUE",'ENGAGEMENTS 2026'!AD80,'ENGAGEMENTS 2026'!N80),'ENGAGEMENTS 2026'!AD80))))</f>
        <v/>
      </c>
      <c r="K80" s="604">
        <f>IF(ISBLANK('ENGAGEMENTS 2026'!V80),"",'ENGAGEMENTS 2026'!V80)</f>
        <v/>
      </c>
      <c r="L80" s="276">
        <f>IF($K80="","",TODAY()-$K80)</f>
        <v/>
      </c>
      <c r="M80">
        <f>IF($A80="","",IF($H80="ENGAGE","Engagé",IF(AND($H80="NON ENGAGE",OR($I80="INFRUCTUEUX",$I80="ANNULE")),"Clôturé sans suite","En cours")))</f>
        <v/>
      </c>
      <c r="N80">
        <f>IF(ISBLANK('ENGAGEMENTS 2026'!B80),"",'ENGAGEMENTS 2026'!K80)</f>
        <v/>
      </c>
      <c r="O80">
        <f>IF(ISBLANK('ENGAGEMENTS 2026'!B80),"",'ENGAGEMENTS 2026'!L80)</f>
        <v/>
      </c>
      <c r="P80">
        <f>IF(ISBLANK('ENGAGEMENTS 2026'!B80),"",'ENGAGEMENTS 2026'!J80)</f>
        <v/>
      </c>
      <c r="Q80">
        <f>IF($A80="","",IF(OR($E80="INFRUCTUEUX",$E80="ANNULE"),$A80&amp;"|"&amp;(COUNTIFS($A$2:$A80,$A80,$E$2:$E80,"INFRUCTUEUX")+COUNTIFS($A$2:$A80,$A80,$E$2:$E80,"ANNULE")),""))</f>
        <v/>
      </c>
    </row>
    <row r="81">
      <c r="A81">
        <f>IF(ISBLANK('ENGAGEMENTS 2026'!B81),"",IF('ENGAGEMENTS 2026'!B81="DTSI","DCT",'ENGAGEMENTS 2026'!B81))</f>
        <v/>
      </c>
      <c r="B81">
        <f>IF(ISBLANK('ENGAGEMENTS 2026'!B81),"",'ENGAGEMENTS 2026'!C81)</f>
        <v/>
      </c>
      <c r="C81">
        <f>IF(ISBLANK('ENGAGEMENTS 2026'!B81),"",'ENGAGEMENTS 2026'!D81)</f>
        <v/>
      </c>
      <c r="D81">
        <f>IF(ISBLANK('ENGAGEMENTS 2026'!B81),"",'ENGAGEMENTS 2026'!F81)</f>
        <v/>
      </c>
      <c r="E81">
        <f>IF(ISBLANK('ENGAGEMENTS 2026'!B81),"",'ENGAGEMENTS 2026'!H81)</f>
        <v/>
      </c>
      <c r="F81">
        <f>IF(ISBLANK('ENGAGEMENTS 2026'!B81),"",'ENGAGEMENTS 2026'!I81)</f>
        <v/>
      </c>
      <c r="G81">
        <f>IF(ISBLANK('ENGAGEMENTS 2026'!B81),"",'ENGAGEMENTS 2026'!L81)</f>
        <v/>
      </c>
      <c r="H81">
        <f>IF(ISBLANK('ENGAGEMENTS 2026'!B81),"",'ENGAGEMENTS 2026'!AE81)</f>
        <v/>
      </c>
      <c r="I81">
        <f>IF(ISBLANK('ENGAGEMENTS 2026'!B81),"",'ENGAGEMENTS 2026'!G81)</f>
        <v/>
      </c>
      <c r="J81" s="275">
        <f>IF(ISBLANK('ENGAGEMENTS 2026'!B81),"",IF(AND(OR($E81="INFRUCTUEUX",$E81="ANNULE"),$C81="AOO-M"),'ENGAGEMENTS 2026'!O81,IF($H81="EN COURS DE PREENGAGEMENT",'ENGAGEMENTS 2026'!N81,IF($H81="PREENGAGE",IF($E81="ATTRIBUE",'ENGAGEMENTS 2026'!AD81,'ENGAGEMENTS 2026'!N81),'ENGAGEMENTS 2026'!AD81))))</f>
        <v/>
      </c>
      <c r="K81" s="604">
        <f>IF(ISBLANK('ENGAGEMENTS 2026'!V81),"",'ENGAGEMENTS 2026'!V81)</f>
        <v/>
      </c>
      <c r="L81" s="276">
        <f>IF($K81="","",TODAY()-$K81)</f>
        <v/>
      </c>
      <c r="M81">
        <f>IF($A81="","",IF($H81="ENGAGE","Engagé",IF(AND($H81="NON ENGAGE",OR($I81="INFRUCTUEUX",$I81="ANNULE")),"Clôturé sans suite","En cours")))</f>
        <v/>
      </c>
      <c r="N81">
        <f>IF(ISBLANK('ENGAGEMENTS 2026'!B81),"",'ENGAGEMENTS 2026'!K81)</f>
        <v/>
      </c>
      <c r="O81">
        <f>IF(ISBLANK('ENGAGEMENTS 2026'!B81),"",'ENGAGEMENTS 2026'!L81)</f>
        <v/>
      </c>
      <c r="P81">
        <f>IF(ISBLANK('ENGAGEMENTS 2026'!B81),"",'ENGAGEMENTS 2026'!J81)</f>
        <v/>
      </c>
      <c r="Q81">
        <f>IF($A81="","",IF(OR($E81="INFRUCTUEUX",$E81="ANNULE"),$A81&amp;"|"&amp;(COUNTIFS($A$2:$A81,$A81,$E$2:$E81,"INFRUCTUEUX")+COUNTIFS($A$2:$A81,$A81,$E$2:$E81,"ANNULE")),""))</f>
        <v/>
      </c>
    </row>
    <row r="82">
      <c r="A82">
        <f>IF(ISBLANK('ENGAGEMENTS 2026'!B82),"",IF('ENGAGEMENTS 2026'!B82="DTSI","DCT",'ENGAGEMENTS 2026'!B82))</f>
        <v/>
      </c>
      <c r="B82">
        <f>IF(ISBLANK('ENGAGEMENTS 2026'!B82),"",'ENGAGEMENTS 2026'!C82)</f>
        <v/>
      </c>
      <c r="C82">
        <f>IF(ISBLANK('ENGAGEMENTS 2026'!B82),"",'ENGAGEMENTS 2026'!D82)</f>
        <v/>
      </c>
      <c r="D82">
        <f>IF(ISBLANK('ENGAGEMENTS 2026'!B82),"",'ENGAGEMENTS 2026'!F82)</f>
        <v/>
      </c>
      <c r="E82">
        <f>IF(ISBLANK('ENGAGEMENTS 2026'!B82),"",'ENGAGEMENTS 2026'!H82)</f>
        <v/>
      </c>
      <c r="F82">
        <f>IF(ISBLANK('ENGAGEMENTS 2026'!B82),"",'ENGAGEMENTS 2026'!I82)</f>
        <v/>
      </c>
      <c r="G82">
        <f>IF(ISBLANK('ENGAGEMENTS 2026'!B82),"",'ENGAGEMENTS 2026'!L82)</f>
        <v/>
      </c>
      <c r="H82">
        <f>IF(ISBLANK('ENGAGEMENTS 2026'!B82),"",'ENGAGEMENTS 2026'!AE82)</f>
        <v/>
      </c>
      <c r="I82">
        <f>IF(ISBLANK('ENGAGEMENTS 2026'!B82),"",'ENGAGEMENTS 2026'!G82)</f>
        <v/>
      </c>
      <c r="J82" s="275">
        <f>IF(ISBLANK('ENGAGEMENTS 2026'!B82),"",IF(AND(OR($E82="INFRUCTUEUX",$E82="ANNULE"),$C82="AOO-M"),'ENGAGEMENTS 2026'!O82,IF($H82="EN COURS DE PREENGAGEMENT",'ENGAGEMENTS 2026'!N82,IF($H82="PREENGAGE",IF($E82="ATTRIBUE",'ENGAGEMENTS 2026'!AD82,'ENGAGEMENTS 2026'!N82),'ENGAGEMENTS 2026'!AD82))))</f>
        <v/>
      </c>
      <c r="K82" s="604">
        <f>IF(ISBLANK('ENGAGEMENTS 2026'!V82),"",'ENGAGEMENTS 2026'!V82)</f>
        <v/>
      </c>
      <c r="L82" s="276">
        <f>IF($K82="","",TODAY()-$K82)</f>
        <v/>
      </c>
      <c r="M82">
        <f>IF($A82="","",IF($H82="ENGAGE","Engagé",IF(AND($H82="NON ENGAGE",OR($I82="INFRUCTUEUX",$I82="ANNULE")),"Clôturé sans suite","En cours")))</f>
        <v/>
      </c>
      <c r="N82">
        <f>IF(ISBLANK('ENGAGEMENTS 2026'!B82),"",'ENGAGEMENTS 2026'!K82)</f>
        <v/>
      </c>
      <c r="O82">
        <f>IF(ISBLANK('ENGAGEMENTS 2026'!B82),"",'ENGAGEMENTS 2026'!L82)</f>
        <v/>
      </c>
      <c r="P82">
        <f>IF(ISBLANK('ENGAGEMENTS 2026'!B82),"",'ENGAGEMENTS 2026'!J82)</f>
        <v/>
      </c>
      <c r="Q82">
        <f>IF($A82="","",IF(OR($E82="INFRUCTUEUX",$E82="ANNULE"),$A82&amp;"|"&amp;(COUNTIFS($A$2:$A82,$A82,$E$2:$E82,"INFRUCTUEUX")+COUNTIFS($A$2:$A82,$A82,$E$2:$E82,"ANNULE")),""))</f>
        <v/>
      </c>
    </row>
    <row r="83">
      <c r="A83">
        <f>IF(ISBLANK('ENGAGEMENTS 2026'!B83),"",IF('ENGAGEMENTS 2026'!B83="DTSI","DCT",'ENGAGEMENTS 2026'!B83))</f>
        <v/>
      </c>
      <c r="B83">
        <f>IF(ISBLANK('ENGAGEMENTS 2026'!B83),"",'ENGAGEMENTS 2026'!C83)</f>
        <v/>
      </c>
      <c r="C83">
        <f>IF(ISBLANK('ENGAGEMENTS 2026'!B83),"",'ENGAGEMENTS 2026'!D83)</f>
        <v/>
      </c>
      <c r="D83">
        <f>IF(ISBLANK('ENGAGEMENTS 2026'!B83),"",'ENGAGEMENTS 2026'!F83)</f>
        <v/>
      </c>
      <c r="E83">
        <f>IF(ISBLANK('ENGAGEMENTS 2026'!B83),"",'ENGAGEMENTS 2026'!H83)</f>
        <v/>
      </c>
      <c r="F83">
        <f>IF(ISBLANK('ENGAGEMENTS 2026'!B83),"",'ENGAGEMENTS 2026'!I83)</f>
        <v/>
      </c>
      <c r="G83">
        <f>IF(ISBLANK('ENGAGEMENTS 2026'!B83),"",'ENGAGEMENTS 2026'!L83)</f>
        <v/>
      </c>
      <c r="H83">
        <f>IF(ISBLANK('ENGAGEMENTS 2026'!B83),"",'ENGAGEMENTS 2026'!AE83)</f>
        <v/>
      </c>
      <c r="I83">
        <f>IF(ISBLANK('ENGAGEMENTS 2026'!B83),"",'ENGAGEMENTS 2026'!G83)</f>
        <v/>
      </c>
      <c r="J83" s="275">
        <f>IF(ISBLANK('ENGAGEMENTS 2026'!B83),"",IF(AND(OR($E83="INFRUCTUEUX",$E83="ANNULE"),$C83="AOO-M"),'ENGAGEMENTS 2026'!O83,IF($H83="EN COURS DE PREENGAGEMENT",'ENGAGEMENTS 2026'!N83,IF($H83="PREENGAGE",IF($E83="ATTRIBUE",'ENGAGEMENTS 2026'!AD83,'ENGAGEMENTS 2026'!N83),'ENGAGEMENTS 2026'!AD83))))</f>
        <v/>
      </c>
      <c r="K83" s="604">
        <f>IF(ISBLANK('ENGAGEMENTS 2026'!V83),"",'ENGAGEMENTS 2026'!V83)</f>
        <v/>
      </c>
      <c r="L83" s="276">
        <f>IF($K83="","",TODAY()-$K83)</f>
        <v/>
      </c>
      <c r="M83">
        <f>IF($A83="","",IF($H83="ENGAGE","Engagé",IF(AND($H83="NON ENGAGE",OR($I83="INFRUCTUEUX",$I83="ANNULE")),"Clôturé sans suite","En cours")))</f>
        <v/>
      </c>
      <c r="N83">
        <f>IF(ISBLANK('ENGAGEMENTS 2026'!B83),"",'ENGAGEMENTS 2026'!K83)</f>
        <v/>
      </c>
      <c r="O83">
        <f>IF(ISBLANK('ENGAGEMENTS 2026'!B83),"",'ENGAGEMENTS 2026'!L83)</f>
        <v/>
      </c>
      <c r="P83">
        <f>IF(ISBLANK('ENGAGEMENTS 2026'!B83),"",'ENGAGEMENTS 2026'!J83)</f>
        <v/>
      </c>
      <c r="Q83">
        <f>IF($A83="","",IF(OR($E83="INFRUCTUEUX",$E83="ANNULE"),$A83&amp;"|"&amp;(COUNTIFS($A$2:$A83,$A83,$E$2:$E83,"INFRUCTUEUX")+COUNTIFS($A$2:$A83,$A83,$E$2:$E83,"ANNULE")),""))</f>
        <v/>
      </c>
    </row>
    <row r="84">
      <c r="A84">
        <f>IF(ISBLANK('ENGAGEMENTS 2026'!B84),"",IF('ENGAGEMENTS 2026'!B84="DTSI","DCT",'ENGAGEMENTS 2026'!B84))</f>
        <v/>
      </c>
      <c r="B84">
        <f>IF(ISBLANK('ENGAGEMENTS 2026'!B84),"",'ENGAGEMENTS 2026'!C84)</f>
        <v/>
      </c>
      <c r="C84">
        <f>IF(ISBLANK('ENGAGEMENTS 2026'!B84),"",'ENGAGEMENTS 2026'!D84)</f>
        <v/>
      </c>
      <c r="D84">
        <f>IF(ISBLANK('ENGAGEMENTS 2026'!B84),"",'ENGAGEMENTS 2026'!F84)</f>
        <v/>
      </c>
      <c r="E84">
        <f>IF(ISBLANK('ENGAGEMENTS 2026'!B84),"",'ENGAGEMENTS 2026'!H84)</f>
        <v/>
      </c>
      <c r="F84">
        <f>IF(ISBLANK('ENGAGEMENTS 2026'!B84),"",'ENGAGEMENTS 2026'!I84)</f>
        <v/>
      </c>
      <c r="G84">
        <f>IF(ISBLANK('ENGAGEMENTS 2026'!B84),"",'ENGAGEMENTS 2026'!L84)</f>
        <v/>
      </c>
      <c r="H84">
        <f>IF(ISBLANK('ENGAGEMENTS 2026'!B84),"",'ENGAGEMENTS 2026'!AE84)</f>
        <v/>
      </c>
      <c r="I84">
        <f>IF(ISBLANK('ENGAGEMENTS 2026'!B84),"",'ENGAGEMENTS 2026'!G84)</f>
        <v/>
      </c>
      <c r="J84" s="275">
        <f>IF(ISBLANK('ENGAGEMENTS 2026'!B84),"",IF(AND(OR($E84="INFRUCTUEUX",$E84="ANNULE"),$C84="AOO-M"),'ENGAGEMENTS 2026'!O84,IF($H84="EN COURS DE PREENGAGEMENT",'ENGAGEMENTS 2026'!N84,IF($H84="PREENGAGE",IF($E84="ATTRIBUE",'ENGAGEMENTS 2026'!AD84,'ENGAGEMENTS 2026'!N84),'ENGAGEMENTS 2026'!AD84))))</f>
        <v/>
      </c>
      <c r="K84" s="604">
        <f>IF(ISBLANK('ENGAGEMENTS 2026'!V84),"",'ENGAGEMENTS 2026'!V84)</f>
        <v/>
      </c>
      <c r="L84" s="276">
        <f>IF($K84="","",TODAY()-$K84)</f>
        <v/>
      </c>
      <c r="M84">
        <f>IF($A84="","",IF($H84="ENGAGE","Engagé",IF(AND($H84="NON ENGAGE",OR($I84="INFRUCTUEUX",$I84="ANNULE")),"Clôturé sans suite","En cours")))</f>
        <v/>
      </c>
      <c r="N84">
        <f>IF(ISBLANK('ENGAGEMENTS 2026'!B84),"",'ENGAGEMENTS 2026'!K84)</f>
        <v/>
      </c>
      <c r="O84">
        <f>IF(ISBLANK('ENGAGEMENTS 2026'!B84),"",'ENGAGEMENTS 2026'!L84)</f>
        <v/>
      </c>
      <c r="P84">
        <f>IF(ISBLANK('ENGAGEMENTS 2026'!B84),"",'ENGAGEMENTS 2026'!J84)</f>
        <v/>
      </c>
      <c r="Q84">
        <f>IF($A84="","",IF(OR($E84="INFRUCTUEUX",$E84="ANNULE"),$A84&amp;"|"&amp;(COUNTIFS($A$2:$A84,$A84,$E$2:$E84,"INFRUCTUEUX")+COUNTIFS($A$2:$A84,$A84,$E$2:$E84,"ANNULE")),""))</f>
        <v/>
      </c>
    </row>
    <row r="85">
      <c r="A85">
        <f>IF(ISBLANK('ENGAGEMENTS 2026'!B85),"",IF('ENGAGEMENTS 2026'!B85="DTSI","DCT",'ENGAGEMENTS 2026'!B85))</f>
        <v/>
      </c>
      <c r="B85">
        <f>IF(ISBLANK('ENGAGEMENTS 2026'!B85),"",'ENGAGEMENTS 2026'!C85)</f>
        <v/>
      </c>
      <c r="C85">
        <f>IF(ISBLANK('ENGAGEMENTS 2026'!B85),"",'ENGAGEMENTS 2026'!D85)</f>
        <v/>
      </c>
      <c r="D85">
        <f>IF(ISBLANK('ENGAGEMENTS 2026'!B85),"",'ENGAGEMENTS 2026'!F85)</f>
        <v/>
      </c>
      <c r="E85">
        <f>IF(ISBLANK('ENGAGEMENTS 2026'!B85),"",'ENGAGEMENTS 2026'!H85)</f>
        <v/>
      </c>
      <c r="F85">
        <f>IF(ISBLANK('ENGAGEMENTS 2026'!B85),"",'ENGAGEMENTS 2026'!I85)</f>
        <v/>
      </c>
      <c r="G85">
        <f>IF(ISBLANK('ENGAGEMENTS 2026'!B85),"",'ENGAGEMENTS 2026'!L85)</f>
        <v/>
      </c>
      <c r="H85">
        <f>IF(ISBLANK('ENGAGEMENTS 2026'!B85),"",'ENGAGEMENTS 2026'!AE85)</f>
        <v/>
      </c>
      <c r="I85">
        <f>IF(ISBLANK('ENGAGEMENTS 2026'!B85),"",'ENGAGEMENTS 2026'!G85)</f>
        <v/>
      </c>
      <c r="J85" s="275">
        <f>IF(ISBLANK('ENGAGEMENTS 2026'!B85),"",IF(AND(OR($E85="INFRUCTUEUX",$E85="ANNULE"),$C85="AOO-M"),'ENGAGEMENTS 2026'!O85,IF($H85="EN COURS DE PREENGAGEMENT",'ENGAGEMENTS 2026'!N85,IF($H85="PREENGAGE",IF($E85="ATTRIBUE",'ENGAGEMENTS 2026'!AD85,'ENGAGEMENTS 2026'!N85),'ENGAGEMENTS 2026'!AD85))))</f>
        <v/>
      </c>
      <c r="K85" s="604">
        <f>IF(ISBLANK('ENGAGEMENTS 2026'!V85),"",'ENGAGEMENTS 2026'!V85)</f>
        <v/>
      </c>
      <c r="L85" s="276">
        <f>IF($K85="","",TODAY()-$K85)</f>
        <v/>
      </c>
      <c r="M85">
        <f>IF($A85="","",IF($H85="ENGAGE","Engagé",IF(AND($H85="NON ENGAGE",OR($I85="INFRUCTUEUX",$I85="ANNULE")),"Clôturé sans suite","En cours")))</f>
        <v/>
      </c>
      <c r="N85">
        <f>IF(ISBLANK('ENGAGEMENTS 2026'!B85),"",'ENGAGEMENTS 2026'!K85)</f>
        <v/>
      </c>
      <c r="O85">
        <f>IF(ISBLANK('ENGAGEMENTS 2026'!B85),"",'ENGAGEMENTS 2026'!L85)</f>
        <v/>
      </c>
      <c r="P85">
        <f>IF(ISBLANK('ENGAGEMENTS 2026'!B85),"",'ENGAGEMENTS 2026'!J85)</f>
        <v/>
      </c>
      <c r="Q85">
        <f>IF($A85="","",IF(OR($E85="INFRUCTUEUX",$E85="ANNULE"),$A85&amp;"|"&amp;(COUNTIFS($A$2:$A85,$A85,$E$2:$E85,"INFRUCTUEUX")+COUNTIFS($A$2:$A85,$A85,$E$2:$E85,"ANNULE")),""))</f>
        <v/>
      </c>
    </row>
    <row r="86">
      <c r="A86">
        <f>IF(ISBLANK('ENGAGEMENTS 2026'!B86),"",IF('ENGAGEMENTS 2026'!B86="DTSI","DCT",'ENGAGEMENTS 2026'!B86))</f>
        <v/>
      </c>
      <c r="B86">
        <f>IF(ISBLANK('ENGAGEMENTS 2026'!B86),"",'ENGAGEMENTS 2026'!C86)</f>
        <v/>
      </c>
      <c r="C86">
        <f>IF(ISBLANK('ENGAGEMENTS 2026'!B86),"",'ENGAGEMENTS 2026'!D86)</f>
        <v/>
      </c>
      <c r="D86">
        <f>IF(ISBLANK('ENGAGEMENTS 2026'!B86),"",'ENGAGEMENTS 2026'!F86)</f>
        <v/>
      </c>
      <c r="E86">
        <f>IF(ISBLANK('ENGAGEMENTS 2026'!B86),"",'ENGAGEMENTS 2026'!H86)</f>
        <v/>
      </c>
      <c r="F86">
        <f>IF(ISBLANK('ENGAGEMENTS 2026'!B86),"",'ENGAGEMENTS 2026'!I86)</f>
        <v/>
      </c>
      <c r="G86">
        <f>IF(ISBLANK('ENGAGEMENTS 2026'!B86),"",'ENGAGEMENTS 2026'!L86)</f>
        <v/>
      </c>
      <c r="H86">
        <f>IF(ISBLANK('ENGAGEMENTS 2026'!B86),"",'ENGAGEMENTS 2026'!AE86)</f>
        <v/>
      </c>
      <c r="I86">
        <f>IF(ISBLANK('ENGAGEMENTS 2026'!B86),"",'ENGAGEMENTS 2026'!G86)</f>
        <v/>
      </c>
      <c r="J86" s="275">
        <f>IF(ISBLANK('ENGAGEMENTS 2026'!B86),"",IF(AND(OR($E86="INFRUCTUEUX",$E86="ANNULE"),$C86="AOO-M"),'ENGAGEMENTS 2026'!O86,IF($H86="EN COURS DE PREENGAGEMENT",'ENGAGEMENTS 2026'!N86,IF($H86="PREENGAGE",IF($E86="ATTRIBUE",'ENGAGEMENTS 2026'!AD86,'ENGAGEMENTS 2026'!N86),'ENGAGEMENTS 2026'!AD86))))</f>
        <v/>
      </c>
      <c r="K86" s="604">
        <f>IF(ISBLANK('ENGAGEMENTS 2026'!V86),"",'ENGAGEMENTS 2026'!V86)</f>
        <v/>
      </c>
      <c r="L86" s="276">
        <f>IF($K86="","",TODAY()-$K86)</f>
        <v/>
      </c>
      <c r="M86">
        <f>IF($A86="","",IF($H86="ENGAGE","Engagé",IF(AND($H86="NON ENGAGE",OR($I86="INFRUCTUEUX",$I86="ANNULE")),"Clôturé sans suite","En cours")))</f>
        <v/>
      </c>
      <c r="N86">
        <f>IF(ISBLANK('ENGAGEMENTS 2026'!B86),"",'ENGAGEMENTS 2026'!K86)</f>
        <v/>
      </c>
      <c r="O86">
        <f>IF(ISBLANK('ENGAGEMENTS 2026'!B86),"",'ENGAGEMENTS 2026'!L86)</f>
        <v/>
      </c>
      <c r="P86">
        <f>IF(ISBLANK('ENGAGEMENTS 2026'!B86),"",'ENGAGEMENTS 2026'!J86)</f>
        <v/>
      </c>
      <c r="Q86">
        <f>IF($A86="","",IF(OR($E86="INFRUCTUEUX",$E86="ANNULE"),$A86&amp;"|"&amp;(COUNTIFS($A$2:$A86,$A86,$E$2:$E86,"INFRUCTUEUX")+COUNTIFS($A$2:$A86,$A86,$E$2:$E86,"ANNULE")),""))</f>
        <v/>
      </c>
    </row>
    <row r="87">
      <c r="A87">
        <f>IF(ISBLANK('ENGAGEMENTS 2026'!B87),"",IF('ENGAGEMENTS 2026'!B87="DTSI","DCT",'ENGAGEMENTS 2026'!B87))</f>
        <v/>
      </c>
      <c r="B87">
        <f>IF(ISBLANK('ENGAGEMENTS 2026'!B87),"",'ENGAGEMENTS 2026'!C87)</f>
        <v/>
      </c>
      <c r="C87">
        <f>IF(ISBLANK('ENGAGEMENTS 2026'!B87),"",'ENGAGEMENTS 2026'!D87)</f>
        <v/>
      </c>
      <c r="D87">
        <f>IF(ISBLANK('ENGAGEMENTS 2026'!B87),"",'ENGAGEMENTS 2026'!F87)</f>
        <v/>
      </c>
      <c r="E87">
        <f>IF(ISBLANK('ENGAGEMENTS 2026'!B87),"",'ENGAGEMENTS 2026'!H87)</f>
        <v/>
      </c>
      <c r="F87">
        <f>IF(ISBLANK('ENGAGEMENTS 2026'!B87),"",'ENGAGEMENTS 2026'!I87)</f>
        <v/>
      </c>
      <c r="G87">
        <f>IF(ISBLANK('ENGAGEMENTS 2026'!B87),"",'ENGAGEMENTS 2026'!L87)</f>
        <v/>
      </c>
      <c r="H87">
        <f>IF(ISBLANK('ENGAGEMENTS 2026'!B87),"",'ENGAGEMENTS 2026'!AE87)</f>
        <v/>
      </c>
      <c r="I87">
        <f>IF(ISBLANK('ENGAGEMENTS 2026'!B87),"",'ENGAGEMENTS 2026'!G87)</f>
        <v/>
      </c>
      <c r="J87" s="275">
        <f>IF(ISBLANK('ENGAGEMENTS 2026'!B87),"",IF(AND(OR($E87="INFRUCTUEUX",$E87="ANNULE"),$C87="AOO-M"),'ENGAGEMENTS 2026'!O87,IF($H87="EN COURS DE PREENGAGEMENT",'ENGAGEMENTS 2026'!N87,IF($H87="PREENGAGE",IF($E87="ATTRIBUE",'ENGAGEMENTS 2026'!AD87,'ENGAGEMENTS 2026'!N87),'ENGAGEMENTS 2026'!AD87))))</f>
        <v/>
      </c>
      <c r="K87" s="604">
        <f>IF(ISBLANK('ENGAGEMENTS 2026'!V87),"",'ENGAGEMENTS 2026'!V87)</f>
        <v/>
      </c>
      <c r="L87" s="276">
        <f>IF($K87="","",TODAY()-$K87)</f>
        <v/>
      </c>
      <c r="M87">
        <f>IF($A87="","",IF($H87="ENGAGE","Engagé",IF(AND($H87="NON ENGAGE",OR($I87="INFRUCTUEUX",$I87="ANNULE")),"Clôturé sans suite","En cours")))</f>
        <v/>
      </c>
      <c r="N87">
        <f>IF(ISBLANK('ENGAGEMENTS 2026'!B87),"",'ENGAGEMENTS 2026'!K87)</f>
        <v/>
      </c>
      <c r="O87">
        <f>IF(ISBLANK('ENGAGEMENTS 2026'!B87),"",'ENGAGEMENTS 2026'!L87)</f>
        <v/>
      </c>
      <c r="P87">
        <f>IF(ISBLANK('ENGAGEMENTS 2026'!B87),"",'ENGAGEMENTS 2026'!J87)</f>
        <v/>
      </c>
      <c r="Q87">
        <f>IF($A87="","",IF(OR($E87="INFRUCTUEUX",$E87="ANNULE"),$A87&amp;"|"&amp;(COUNTIFS($A$2:$A87,$A87,$E$2:$E87,"INFRUCTUEUX")+COUNTIFS($A$2:$A87,$A87,$E$2:$E87,"ANNULE")),""))</f>
        <v/>
      </c>
    </row>
    <row r="88">
      <c r="A88">
        <f>IF(ISBLANK('ENGAGEMENTS 2026'!B88),"",IF('ENGAGEMENTS 2026'!B88="DTSI","DCT",'ENGAGEMENTS 2026'!B88))</f>
        <v/>
      </c>
      <c r="B88">
        <f>IF(ISBLANK('ENGAGEMENTS 2026'!B88),"",'ENGAGEMENTS 2026'!C88)</f>
        <v/>
      </c>
      <c r="C88">
        <f>IF(ISBLANK('ENGAGEMENTS 2026'!B88),"",'ENGAGEMENTS 2026'!D88)</f>
        <v/>
      </c>
      <c r="D88">
        <f>IF(ISBLANK('ENGAGEMENTS 2026'!B88),"",'ENGAGEMENTS 2026'!F88)</f>
        <v/>
      </c>
      <c r="E88">
        <f>IF(ISBLANK('ENGAGEMENTS 2026'!B88),"",'ENGAGEMENTS 2026'!H88)</f>
        <v/>
      </c>
      <c r="F88">
        <f>IF(ISBLANK('ENGAGEMENTS 2026'!B88),"",'ENGAGEMENTS 2026'!I88)</f>
        <v/>
      </c>
      <c r="G88">
        <f>IF(ISBLANK('ENGAGEMENTS 2026'!B88),"",'ENGAGEMENTS 2026'!L88)</f>
        <v/>
      </c>
      <c r="H88">
        <f>IF(ISBLANK('ENGAGEMENTS 2026'!B88),"",'ENGAGEMENTS 2026'!AE88)</f>
        <v/>
      </c>
      <c r="I88">
        <f>IF(ISBLANK('ENGAGEMENTS 2026'!B88),"",'ENGAGEMENTS 2026'!G88)</f>
        <v/>
      </c>
      <c r="J88" s="275">
        <f>IF(ISBLANK('ENGAGEMENTS 2026'!B88),"",IF(AND(OR($E88="INFRUCTUEUX",$E88="ANNULE"),$C88="AOO-M"),'ENGAGEMENTS 2026'!O88,IF($H88="EN COURS DE PREENGAGEMENT",'ENGAGEMENTS 2026'!N88,IF($H88="PREENGAGE",IF($E88="ATTRIBUE",'ENGAGEMENTS 2026'!AD88,'ENGAGEMENTS 2026'!N88),'ENGAGEMENTS 2026'!AD88))))</f>
        <v/>
      </c>
      <c r="K88" s="604">
        <f>IF(ISBLANK('ENGAGEMENTS 2026'!V88),"",'ENGAGEMENTS 2026'!V88)</f>
        <v/>
      </c>
      <c r="L88" s="276">
        <f>IF($K88="","",TODAY()-$K88)</f>
        <v/>
      </c>
      <c r="M88">
        <f>IF($A88="","",IF($H88="ENGAGE","Engagé",IF(AND($H88="NON ENGAGE",OR($I88="INFRUCTUEUX",$I88="ANNULE")),"Clôturé sans suite","En cours")))</f>
        <v/>
      </c>
      <c r="N88">
        <f>IF(ISBLANK('ENGAGEMENTS 2026'!B88),"",'ENGAGEMENTS 2026'!K88)</f>
        <v/>
      </c>
      <c r="O88">
        <f>IF(ISBLANK('ENGAGEMENTS 2026'!B88),"",'ENGAGEMENTS 2026'!L88)</f>
        <v/>
      </c>
      <c r="P88">
        <f>IF(ISBLANK('ENGAGEMENTS 2026'!B88),"",'ENGAGEMENTS 2026'!J88)</f>
        <v/>
      </c>
      <c r="Q88">
        <f>IF($A88="","",IF(OR($E88="INFRUCTUEUX",$E88="ANNULE"),$A88&amp;"|"&amp;(COUNTIFS($A$2:$A88,$A88,$E$2:$E88,"INFRUCTUEUX")+COUNTIFS($A$2:$A88,$A88,$E$2:$E88,"ANNULE")),""))</f>
        <v/>
      </c>
    </row>
    <row r="89">
      <c r="A89">
        <f>IF(ISBLANK('ENGAGEMENTS 2026'!B89),"",IF('ENGAGEMENTS 2026'!B89="DTSI","DCT",'ENGAGEMENTS 2026'!B89))</f>
        <v/>
      </c>
      <c r="B89">
        <f>IF(ISBLANK('ENGAGEMENTS 2026'!B89),"",'ENGAGEMENTS 2026'!C89)</f>
        <v/>
      </c>
      <c r="C89">
        <f>IF(ISBLANK('ENGAGEMENTS 2026'!B89),"",'ENGAGEMENTS 2026'!D89)</f>
        <v/>
      </c>
      <c r="D89">
        <f>IF(ISBLANK('ENGAGEMENTS 2026'!B89),"",'ENGAGEMENTS 2026'!F89)</f>
        <v/>
      </c>
      <c r="E89">
        <f>IF(ISBLANK('ENGAGEMENTS 2026'!B89),"",'ENGAGEMENTS 2026'!H89)</f>
        <v/>
      </c>
      <c r="F89">
        <f>IF(ISBLANK('ENGAGEMENTS 2026'!B89),"",'ENGAGEMENTS 2026'!I89)</f>
        <v/>
      </c>
      <c r="G89">
        <f>IF(ISBLANK('ENGAGEMENTS 2026'!B89),"",'ENGAGEMENTS 2026'!L89)</f>
        <v/>
      </c>
      <c r="H89">
        <f>IF(ISBLANK('ENGAGEMENTS 2026'!B89),"",'ENGAGEMENTS 2026'!AE89)</f>
        <v/>
      </c>
      <c r="I89">
        <f>IF(ISBLANK('ENGAGEMENTS 2026'!B89),"",'ENGAGEMENTS 2026'!G89)</f>
        <v/>
      </c>
      <c r="J89" s="275">
        <f>IF(ISBLANK('ENGAGEMENTS 2026'!B89),"",IF(AND(OR($E89="INFRUCTUEUX",$E89="ANNULE"),$C89="AOO-M"),'ENGAGEMENTS 2026'!O89,IF($H89="EN COURS DE PREENGAGEMENT",'ENGAGEMENTS 2026'!N89,IF($H89="PREENGAGE",IF($E89="ATTRIBUE",'ENGAGEMENTS 2026'!AD89,'ENGAGEMENTS 2026'!N89),'ENGAGEMENTS 2026'!AD89))))</f>
        <v/>
      </c>
      <c r="K89" s="604">
        <f>IF(ISBLANK('ENGAGEMENTS 2026'!V89),"",'ENGAGEMENTS 2026'!V89)</f>
        <v/>
      </c>
      <c r="L89" s="276">
        <f>IF($K89="","",TODAY()-$K89)</f>
        <v/>
      </c>
      <c r="M89">
        <f>IF($A89="","",IF($H89="ENGAGE","Engagé",IF(AND($H89="NON ENGAGE",OR($I89="INFRUCTUEUX",$I89="ANNULE")),"Clôturé sans suite","En cours")))</f>
        <v/>
      </c>
      <c r="N89">
        <f>IF(ISBLANK('ENGAGEMENTS 2026'!B89),"",'ENGAGEMENTS 2026'!K89)</f>
        <v/>
      </c>
      <c r="O89">
        <f>IF(ISBLANK('ENGAGEMENTS 2026'!B89),"",'ENGAGEMENTS 2026'!L89)</f>
        <v/>
      </c>
      <c r="P89">
        <f>IF(ISBLANK('ENGAGEMENTS 2026'!B89),"",'ENGAGEMENTS 2026'!J89)</f>
        <v/>
      </c>
      <c r="Q89">
        <f>IF($A89="","",IF(OR($E89="INFRUCTUEUX",$E89="ANNULE"),$A89&amp;"|"&amp;(COUNTIFS($A$2:$A89,$A89,$E$2:$E89,"INFRUCTUEUX")+COUNTIFS($A$2:$A89,$A89,$E$2:$E89,"ANNULE")),""))</f>
        <v/>
      </c>
    </row>
    <row r="90">
      <c r="A90">
        <f>IF(ISBLANK('ENGAGEMENTS 2026'!B90),"",IF('ENGAGEMENTS 2026'!B90="DTSI","DCT",'ENGAGEMENTS 2026'!B90))</f>
        <v/>
      </c>
      <c r="B90">
        <f>IF(ISBLANK('ENGAGEMENTS 2026'!B90),"",'ENGAGEMENTS 2026'!C90)</f>
        <v/>
      </c>
      <c r="C90">
        <f>IF(ISBLANK('ENGAGEMENTS 2026'!B90),"",'ENGAGEMENTS 2026'!D90)</f>
        <v/>
      </c>
      <c r="D90">
        <f>IF(ISBLANK('ENGAGEMENTS 2026'!B90),"",'ENGAGEMENTS 2026'!F90)</f>
        <v/>
      </c>
      <c r="E90">
        <f>IF(ISBLANK('ENGAGEMENTS 2026'!B90),"",'ENGAGEMENTS 2026'!H90)</f>
        <v/>
      </c>
      <c r="F90">
        <f>IF(ISBLANK('ENGAGEMENTS 2026'!B90),"",'ENGAGEMENTS 2026'!I90)</f>
        <v/>
      </c>
      <c r="G90">
        <f>IF(ISBLANK('ENGAGEMENTS 2026'!B90),"",'ENGAGEMENTS 2026'!L90)</f>
        <v/>
      </c>
      <c r="H90">
        <f>IF(ISBLANK('ENGAGEMENTS 2026'!B90),"",'ENGAGEMENTS 2026'!AE90)</f>
        <v/>
      </c>
      <c r="I90">
        <f>IF(ISBLANK('ENGAGEMENTS 2026'!B90),"",'ENGAGEMENTS 2026'!G90)</f>
        <v/>
      </c>
      <c r="J90" s="275">
        <f>IF(ISBLANK('ENGAGEMENTS 2026'!B90),"",IF(AND(OR($E90="INFRUCTUEUX",$E90="ANNULE"),$C90="AOO-M"),'ENGAGEMENTS 2026'!O90,IF($H90="EN COURS DE PREENGAGEMENT",'ENGAGEMENTS 2026'!N90,IF($H90="PREENGAGE",IF($E90="ATTRIBUE",'ENGAGEMENTS 2026'!AD90,'ENGAGEMENTS 2026'!N90),'ENGAGEMENTS 2026'!AD90))))</f>
        <v/>
      </c>
      <c r="K90" s="604">
        <f>IF(ISBLANK('ENGAGEMENTS 2026'!V90),"",'ENGAGEMENTS 2026'!V90)</f>
        <v/>
      </c>
      <c r="L90" s="276">
        <f>IF($K90="","",TODAY()-$K90)</f>
        <v/>
      </c>
      <c r="M90">
        <f>IF($A90="","",IF($H90="ENGAGE","Engagé",IF(AND($H90="NON ENGAGE",OR($I90="INFRUCTUEUX",$I90="ANNULE")),"Clôturé sans suite","En cours")))</f>
        <v/>
      </c>
      <c r="N90">
        <f>IF(ISBLANK('ENGAGEMENTS 2026'!B90),"",'ENGAGEMENTS 2026'!K90)</f>
        <v/>
      </c>
      <c r="O90">
        <f>IF(ISBLANK('ENGAGEMENTS 2026'!B90),"",'ENGAGEMENTS 2026'!L90)</f>
        <v/>
      </c>
      <c r="P90">
        <f>IF(ISBLANK('ENGAGEMENTS 2026'!B90),"",'ENGAGEMENTS 2026'!J90)</f>
        <v/>
      </c>
      <c r="Q90">
        <f>IF($A90="","",IF(OR($E90="INFRUCTUEUX",$E90="ANNULE"),$A90&amp;"|"&amp;(COUNTIFS($A$2:$A90,$A90,$E$2:$E90,"INFRUCTUEUX")+COUNTIFS($A$2:$A90,$A90,$E$2:$E90,"ANNULE")),""))</f>
        <v/>
      </c>
    </row>
    <row r="91">
      <c r="A91">
        <f>IF(ISBLANK('ENGAGEMENTS 2026'!B91),"",IF('ENGAGEMENTS 2026'!B91="DTSI","DCT",'ENGAGEMENTS 2026'!B91))</f>
        <v/>
      </c>
      <c r="B91">
        <f>IF(ISBLANK('ENGAGEMENTS 2026'!B91),"",'ENGAGEMENTS 2026'!C91)</f>
        <v/>
      </c>
      <c r="C91">
        <f>IF(ISBLANK('ENGAGEMENTS 2026'!B91),"",'ENGAGEMENTS 2026'!D91)</f>
        <v/>
      </c>
      <c r="D91">
        <f>IF(ISBLANK('ENGAGEMENTS 2026'!B91),"",'ENGAGEMENTS 2026'!F91)</f>
        <v/>
      </c>
      <c r="E91">
        <f>IF(ISBLANK('ENGAGEMENTS 2026'!B91),"",'ENGAGEMENTS 2026'!H91)</f>
        <v/>
      </c>
      <c r="F91">
        <f>IF(ISBLANK('ENGAGEMENTS 2026'!B91),"",'ENGAGEMENTS 2026'!I91)</f>
        <v/>
      </c>
      <c r="G91">
        <f>IF(ISBLANK('ENGAGEMENTS 2026'!B91),"",'ENGAGEMENTS 2026'!L91)</f>
        <v/>
      </c>
      <c r="H91">
        <f>IF(ISBLANK('ENGAGEMENTS 2026'!B91),"",'ENGAGEMENTS 2026'!AE91)</f>
        <v/>
      </c>
      <c r="I91">
        <f>IF(ISBLANK('ENGAGEMENTS 2026'!B91),"",'ENGAGEMENTS 2026'!G91)</f>
        <v/>
      </c>
      <c r="J91" s="275">
        <f>IF(ISBLANK('ENGAGEMENTS 2026'!B91),"",IF(AND(OR($E91="INFRUCTUEUX",$E91="ANNULE"),$C91="AOO-M"),'ENGAGEMENTS 2026'!O91,IF($H91="EN COURS DE PREENGAGEMENT",'ENGAGEMENTS 2026'!N91,IF($H91="PREENGAGE",IF($E91="ATTRIBUE",'ENGAGEMENTS 2026'!AD91,'ENGAGEMENTS 2026'!N91),'ENGAGEMENTS 2026'!AD91))))</f>
        <v/>
      </c>
      <c r="K91" s="604">
        <f>IF(ISBLANK('ENGAGEMENTS 2026'!V91),"",'ENGAGEMENTS 2026'!V91)</f>
        <v/>
      </c>
      <c r="L91" s="276">
        <f>IF($K91="","",TODAY()-$K91)</f>
        <v/>
      </c>
      <c r="M91">
        <f>IF($A91="","",IF($H91="ENGAGE","Engagé",IF(AND($H91="NON ENGAGE",OR($I91="INFRUCTUEUX",$I91="ANNULE")),"Clôturé sans suite","En cours")))</f>
        <v/>
      </c>
      <c r="N91">
        <f>IF(ISBLANK('ENGAGEMENTS 2026'!B91),"",'ENGAGEMENTS 2026'!K91)</f>
        <v/>
      </c>
      <c r="O91">
        <f>IF(ISBLANK('ENGAGEMENTS 2026'!B91),"",'ENGAGEMENTS 2026'!L91)</f>
        <v/>
      </c>
      <c r="P91">
        <f>IF(ISBLANK('ENGAGEMENTS 2026'!B91),"",'ENGAGEMENTS 2026'!J91)</f>
        <v/>
      </c>
      <c r="Q91">
        <f>IF($A91="","",IF(OR($E91="INFRUCTUEUX",$E91="ANNULE"),$A91&amp;"|"&amp;(COUNTIFS($A$2:$A91,$A91,$E$2:$E91,"INFRUCTUEUX")+COUNTIFS($A$2:$A91,$A91,$E$2:$E91,"ANNULE")),""))</f>
        <v/>
      </c>
    </row>
    <row r="92">
      <c r="A92">
        <f>IF(ISBLANK('ENGAGEMENTS 2026'!B92),"",IF('ENGAGEMENTS 2026'!B92="DTSI","DCT",'ENGAGEMENTS 2026'!B92))</f>
        <v/>
      </c>
      <c r="B92">
        <f>IF(ISBLANK('ENGAGEMENTS 2026'!B92),"",'ENGAGEMENTS 2026'!C92)</f>
        <v/>
      </c>
      <c r="C92">
        <f>IF(ISBLANK('ENGAGEMENTS 2026'!B92),"",'ENGAGEMENTS 2026'!D92)</f>
        <v/>
      </c>
      <c r="D92">
        <f>IF(ISBLANK('ENGAGEMENTS 2026'!B92),"",'ENGAGEMENTS 2026'!F92)</f>
        <v/>
      </c>
      <c r="E92">
        <f>IF(ISBLANK('ENGAGEMENTS 2026'!B92),"",'ENGAGEMENTS 2026'!H92)</f>
        <v/>
      </c>
      <c r="F92">
        <f>IF(ISBLANK('ENGAGEMENTS 2026'!B92),"",'ENGAGEMENTS 2026'!I92)</f>
        <v/>
      </c>
      <c r="G92">
        <f>IF(ISBLANK('ENGAGEMENTS 2026'!B92),"",'ENGAGEMENTS 2026'!L92)</f>
        <v/>
      </c>
      <c r="H92">
        <f>IF(ISBLANK('ENGAGEMENTS 2026'!B92),"",'ENGAGEMENTS 2026'!AE92)</f>
        <v/>
      </c>
      <c r="I92">
        <f>IF(ISBLANK('ENGAGEMENTS 2026'!B92),"",'ENGAGEMENTS 2026'!G92)</f>
        <v/>
      </c>
      <c r="J92" s="275">
        <f>IF(ISBLANK('ENGAGEMENTS 2026'!B92),"",IF(AND(OR($E92="INFRUCTUEUX",$E92="ANNULE"),$C92="AOO-M"),'ENGAGEMENTS 2026'!O92,IF($H92="EN COURS DE PREENGAGEMENT",'ENGAGEMENTS 2026'!N92,IF($H92="PREENGAGE",IF($E92="ATTRIBUE",'ENGAGEMENTS 2026'!AD92,'ENGAGEMENTS 2026'!N92),'ENGAGEMENTS 2026'!AD92))))</f>
        <v/>
      </c>
      <c r="K92" s="604">
        <f>IF(ISBLANK('ENGAGEMENTS 2026'!V92),"",'ENGAGEMENTS 2026'!V92)</f>
        <v/>
      </c>
      <c r="L92" s="276">
        <f>IF($K92="","",TODAY()-$K92)</f>
        <v/>
      </c>
      <c r="M92">
        <f>IF($A92="","",IF($H92="ENGAGE","Engagé",IF(AND($H92="NON ENGAGE",OR($I92="INFRUCTUEUX",$I92="ANNULE")),"Clôturé sans suite","En cours")))</f>
        <v/>
      </c>
      <c r="N92">
        <f>IF(ISBLANK('ENGAGEMENTS 2026'!B92),"",'ENGAGEMENTS 2026'!K92)</f>
        <v/>
      </c>
      <c r="O92">
        <f>IF(ISBLANK('ENGAGEMENTS 2026'!B92),"",'ENGAGEMENTS 2026'!L92)</f>
        <v/>
      </c>
      <c r="P92">
        <f>IF(ISBLANK('ENGAGEMENTS 2026'!B92),"",'ENGAGEMENTS 2026'!J92)</f>
        <v/>
      </c>
      <c r="Q92">
        <f>IF($A92="","",IF(OR($E92="INFRUCTUEUX",$E92="ANNULE"),$A92&amp;"|"&amp;(COUNTIFS($A$2:$A92,$A92,$E$2:$E92,"INFRUCTUEUX")+COUNTIFS($A$2:$A92,$A92,$E$2:$E92,"ANNULE")),""))</f>
        <v/>
      </c>
    </row>
    <row r="93">
      <c r="A93">
        <f>IF(ISBLANK('ENGAGEMENTS 2026'!B93),"",IF('ENGAGEMENTS 2026'!B93="DTSI","DCT",'ENGAGEMENTS 2026'!B93))</f>
        <v/>
      </c>
      <c r="B93">
        <f>IF(ISBLANK('ENGAGEMENTS 2026'!B93),"",'ENGAGEMENTS 2026'!C93)</f>
        <v/>
      </c>
      <c r="C93">
        <f>IF(ISBLANK('ENGAGEMENTS 2026'!B93),"",'ENGAGEMENTS 2026'!D93)</f>
        <v/>
      </c>
      <c r="D93">
        <f>IF(ISBLANK('ENGAGEMENTS 2026'!B93),"",'ENGAGEMENTS 2026'!F93)</f>
        <v/>
      </c>
      <c r="E93">
        <f>IF(ISBLANK('ENGAGEMENTS 2026'!B93),"",'ENGAGEMENTS 2026'!H93)</f>
        <v/>
      </c>
      <c r="F93">
        <f>IF(ISBLANK('ENGAGEMENTS 2026'!B93),"",'ENGAGEMENTS 2026'!I93)</f>
        <v/>
      </c>
      <c r="G93">
        <f>IF(ISBLANK('ENGAGEMENTS 2026'!B93),"",'ENGAGEMENTS 2026'!L93)</f>
        <v/>
      </c>
      <c r="H93">
        <f>IF(ISBLANK('ENGAGEMENTS 2026'!B93),"",'ENGAGEMENTS 2026'!AE93)</f>
        <v/>
      </c>
      <c r="I93">
        <f>IF(ISBLANK('ENGAGEMENTS 2026'!B93),"",'ENGAGEMENTS 2026'!G93)</f>
        <v/>
      </c>
      <c r="J93" s="275">
        <f>IF(ISBLANK('ENGAGEMENTS 2026'!B93),"",IF(AND(OR($E93="INFRUCTUEUX",$E93="ANNULE"),$C93="AOO-M"),'ENGAGEMENTS 2026'!O93,IF($H93="EN COURS DE PREENGAGEMENT",'ENGAGEMENTS 2026'!N93,IF($H93="PREENGAGE",IF($E93="ATTRIBUE",'ENGAGEMENTS 2026'!AD93,'ENGAGEMENTS 2026'!N93),'ENGAGEMENTS 2026'!AD93))))</f>
        <v/>
      </c>
      <c r="K93" s="604">
        <f>IF(ISBLANK('ENGAGEMENTS 2026'!V93),"",'ENGAGEMENTS 2026'!V93)</f>
        <v/>
      </c>
      <c r="L93" s="276">
        <f>IF($K93="","",TODAY()-$K93)</f>
        <v/>
      </c>
      <c r="M93">
        <f>IF($A93="","",IF($H93="ENGAGE","Engagé",IF(AND($H93="NON ENGAGE",OR($I93="INFRUCTUEUX",$I93="ANNULE")),"Clôturé sans suite","En cours")))</f>
        <v/>
      </c>
      <c r="N93">
        <f>IF(ISBLANK('ENGAGEMENTS 2026'!B93),"",'ENGAGEMENTS 2026'!K93)</f>
        <v/>
      </c>
      <c r="O93">
        <f>IF(ISBLANK('ENGAGEMENTS 2026'!B93),"",'ENGAGEMENTS 2026'!L93)</f>
        <v/>
      </c>
      <c r="P93">
        <f>IF(ISBLANK('ENGAGEMENTS 2026'!B93),"",'ENGAGEMENTS 2026'!J93)</f>
        <v/>
      </c>
      <c r="Q93">
        <f>IF($A93="","",IF(OR($E93="INFRUCTUEUX",$E93="ANNULE"),$A93&amp;"|"&amp;(COUNTIFS($A$2:$A93,$A93,$E$2:$E93,"INFRUCTUEUX")+COUNTIFS($A$2:$A93,$A93,$E$2:$E93,"ANNULE")),""))</f>
        <v/>
      </c>
    </row>
    <row r="94">
      <c r="A94">
        <f>IF(ISBLANK('ENGAGEMENTS 2026'!B94),"",IF('ENGAGEMENTS 2026'!B94="DTSI","DCT",'ENGAGEMENTS 2026'!B94))</f>
        <v/>
      </c>
      <c r="B94">
        <f>IF(ISBLANK('ENGAGEMENTS 2026'!B94),"",'ENGAGEMENTS 2026'!C94)</f>
        <v/>
      </c>
      <c r="C94">
        <f>IF(ISBLANK('ENGAGEMENTS 2026'!B94),"",'ENGAGEMENTS 2026'!D94)</f>
        <v/>
      </c>
      <c r="D94">
        <f>IF(ISBLANK('ENGAGEMENTS 2026'!B94),"",'ENGAGEMENTS 2026'!F94)</f>
        <v/>
      </c>
      <c r="E94">
        <f>IF(ISBLANK('ENGAGEMENTS 2026'!B94),"",'ENGAGEMENTS 2026'!H94)</f>
        <v/>
      </c>
      <c r="F94">
        <f>IF(ISBLANK('ENGAGEMENTS 2026'!B94),"",'ENGAGEMENTS 2026'!I94)</f>
        <v/>
      </c>
      <c r="G94">
        <f>IF(ISBLANK('ENGAGEMENTS 2026'!B94),"",'ENGAGEMENTS 2026'!L94)</f>
        <v/>
      </c>
      <c r="H94">
        <f>IF(ISBLANK('ENGAGEMENTS 2026'!B94),"",'ENGAGEMENTS 2026'!AE94)</f>
        <v/>
      </c>
      <c r="I94">
        <f>IF(ISBLANK('ENGAGEMENTS 2026'!B94),"",'ENGAGEMENTS 2026'!G94)</f>
        <v/>
      </c>
      <c r="J94" s="275">
        <f>IF(ISBLANK('ENGAGEMENTS 2026'!B94),"",IF(AND(OR($E94="INFRUCTUEUX",$E94="ANNULE"),$C94="AOO-M"),'ENGAGEMENTS 2026'!O94,IF($H94="EN COURS DE PREENGAGEMENT",'ENGAGEMENTS 2026'!N94,IF($H94="PREENGAGE",IF($E94="ATTRIBUE",'ENGAGEMENTS 2026'!AD94,'ENGAGEMENTS 2026'!N94),'ENGAGEMENTS 2026'!AD94))))</f>
        <v/>
      </c>
      <c r="K94" s="604">
        <f>IF(ISBLANK('ENGAGEMENTS 2026'!V94),"",'ENGAGEMENTS 2026'!V94)</f>
        <v/>
      </c>
      <c r="L94" s="276">
        <f>IF($K94="","",TODAY()-$K94)</f>
        <v/>
      </c>
      <c r="M94">
        <f>IF($A94="","",IF($H94="ENGAGE","Engagé",IF(AND($H94="NON ENGAGE",OR($I94="INFRUCTUEUX",$I94="ANNULE")),"Clôturé sans suite","En cours")))</f>
        <v/>
      </c>
      <c r="N94">
        <f>IF(ISBLANK('ENGAGEMENTS 2026'!B94),"",'ENGAGEMENTS 2026'!K94)</f>
        <v/>
      </c>
      <c r="O94">
        <f>IF(ISBLANK('ENGAGEMENTS 2026'!B94),"",'ENGAGEMENTS 2026'!L94)</f>
        <v/>
      </c>
      <c r="P94">
        <f>IF(ISBLANK('ENGAGEMENTS 2026'!B94),"",'ENGAGEMENTS 2026'!J94)</f>
        <v/>
      </c>
      <c r="Q94">
        <f>IF($A94="","",IF(OR($E94="INFRUCTUEUX",$E94="ANNULE"),$A94&amp;"|"&amp;(COUNTIFS($A$2:$A94,$A94,$E$2:$E94,"INFRUCTUEUX")+COUNTIFS($A$2:$A94,$A94,$E$2:$E94,"ANNULE")),""))</f>
        <v/>
      </c>
    </row>
    <row r="95">
      <c r="A95">
        <f>IF(ISBLANK('ENGAGEMENTS 2026'!B95),"",IF('ENGAGEMENTS 2026'!B95="DTSI","DCT",'ENGAGEMENTS 2026'!B95))</f>
        <v/>
      </c>
      <c r="B95">
        <f>IF(ISBLANK('ENGAGEMENTS 2026'!B95),"",'ENGAGEMENTS 2026'!C95)</f>
        <v/>
      </c>
      <c r="C95">
        <f>IF(ISBLANK('ENGAGEMENTS 2026'!B95),"",'ENGAGEMENTS 2026'!D95)</f>
        <v/>
      </c>
      <c r="D95">
        <f>IF(ISBLANK('ENGAGEMENTS 2026'!B95),"",'ENGAGEMENTS 2026'!F95)</f>
        <v/>
      </c>
      <c r="E95">
        <f>IF(ISBLANK('ENGAGEMENTS 2026'!B95),"",'ENGAGEMENTS 2026'!H95)</f>
        <v/>
      </c>
      <c r="F95">
        <f>IF(ISBLANK('ENGAGEMENTS 2026'!B95),"",'ENGAGEMENTS 2026'!I95)</f>
        <v/>
      </c>
      <c r="G95">
        <f>IF(ISBLANK('ENGAGEMENTS 2026'!B95),"",'ENGAGEMENTS 2026'!L95)</f>
        <v/>
      </c>
      <c r="H95">
        <f>IF(ISBLANK('ENGAGEMENTS 2026'!B95),"",'ENGAGEMENTS 2026'!AE95)</f>
        <v/>
      </c>
      <c r="I95">
        <f>IF(ISBLANK('ENGAGEMENTS 2026'!B95),"",'ENGAGEMENTS 2026'!G95)</f>
        <v/>
      </c>
      <c r="J95" s="275">
        <f>IF(ISBLANK('ENGAGEMENTS 2026'!B95),"",IF(AND(OR($E95="INFRUCTUEUX",$E95="ANNULE"),$C95="AOO-M"),'ENGAGEMENTS 2026'!O95,IF($H95="EN COURS DE PREENGAGEMENT",'ENGAGEMENTS 2026'!N95,IF($H95="PREENGAGE",IF($E95="ATTRIBUE",'ENGAGEMENTS 2026'!AD95,'ENGAGEMENTS 2026'!N95),'ENGAGEMENTS 2026'!AD95))))</f>
        <v/>
      </c>
      <c r="K95" s="604">
        <f>IF(ISBLANK('ENGAGEMENTS 2026'!V95),"",'ENGAGEMENTS 2026'!V95)</f>
        <v/>
      </c>
      <c r="L95" s="276">
        <f>IF($K95="","",TODAY()-$K95)</f>
        <v/>
      </c>
      <c r="M95">
        <f>IF($A95="","",IF($H95="ENGAGE","Engagé",IF(AND($H95="NON ENGAGE",OR($I95="INFRUCTUEUX",$I95="ANNULE")),"Clôturé sans suite","En cours")))</f>
        <v/>
      </c>
      <c r="N95">
        <f>IF(ISBLANK('ENGAGEMENTS 2026'!B95),"",'ENGAGEMENTS 2026'!K95)</f>
        <v/>
      </c>
      <c r="O95">
        <f>IF(ISBLANK('ENGAGEMENTS 2026'!B95),"",'ENGAGEMENTS 2026'!L95)</f>
        <v/>
      </c>
      <c r="P95">
        <f>IF(ISBLANK('ENGAGEMENTS 2026'!B95),"",'ENGAGEMENTS 2026'!J95)</f>
        <v/>
      </c>
      <c r="Q95">
        <f>IF($A95="","",IF(OR($E95="INFRUCTUEUX",$E95="ANNULE"),$A95&amp;"|"&amp;(COUNTIFS($A$2:$A95,$A95,$E$2:$E95,"INFRUCTUEUX")+COUNTIFS($A$2:$A95,$A95,$E$2:$E95,"ANNULE")),""))</f>
        <v/>
      </c>
    </row>
    <row r="96">
      <c r="A96">
        <f>IF(ISBLANK('ENGAGEMENTS 2026'!B96),"",IF('ENGAGEMENTS 2026'!B96="DTSI","DCT",'ENGAGEMENTS 2026'!B96))</f>
        <v/>
      </c>
      <c r="B96">
        <f>IF(ISBLANK('ENGAGEMENTS 2026'!B96),"",'ENGAGEMENTS 2026'!C96)</f>
        <v/>
      </c>
      <c r="C96">
        <f>IF(ISBLANK('ENGAGEMENTS 2026'!B96),"",'ENGAGEMENTS 2026'!D96)</f>
        <v/>
      </c>
      <c r="D96">
        <f>IF(ISBLANK('ENGAGEMENTS 2026'!B96),"",'ENGAGEMENTS 2026'!F96)</f>
        <v/>
      </c>
      <c r="E96">
        <f>IF(ISBLANK('ENGAGEMENTS 2026'!B96),"",'ENGAGEMENTS 2026'!H96)</f>
        <v/>
      </c>
      <c r="F96">
        <f>IF(ISBLANK('ENGAGEMENTS 2026'!B96),"",'ENGAGEMENTS 2026'!I96)</f>
        <v/>
      </c>
      <c r="G96">
        <f>IF(ISBLANK('ENGAGEMENTS 2026'!B96),"",'ENGAGEMENTS 2026'!L96)</f>
        <v/>
      </c>
      <c r="H96">
        <f>IF(ISBLANK('ENGAGEMENTS 2026'!B96),"",'ENGAGEMENTS 2026'!AE96)</f>
        <v/>
      </c>
      <c r="I96">
        <f>IF(ISBLANK('ENGAGEMENTS 2026'!B96),"",'ENGAGEMENTS 2026'!G96)</f>
        <v/>
      </c>
      <c r="J96" s="275">
        <f>IF(ISBLANK('ENGAGEMENTS 2026'!B96),"",IF(AND(OR($E96="INFRUCTUEUX",$E96="ANNULE"),$C96="AOO-M"),'ENGAGEMENTS 2026'!O96,IF($H96="EN COURS DE PREENGAGEMENT",'ENGAGEMENTS 2026'!N96,IF($H96="PREENGAGE",IF($E96="ATTRIBUE",'ENGAGEMENTS 2026'!AD96,'ENGAGEMENTS 2026'!N96),'ENGAGEMENTS 2026'!AD96))))</f>
        <v/>
      </c>
      <c r="K96" s="604">
        <f>IF(ISBLANK('ENGAGEMENTS 2026'!V96),"",'ENGAGEMENTS 2026'!V96)</f>
        <v/>
      </c>
      <c r="L96" s="276">
        <f>IF($K96="","",TODAY()-$K96)</f>
        <v/>
      </c>
      <c r="M96">
        <f>IF($A96="","",IF($H96="ENGAGE","Engagé",IF(AND($H96="NON ENGAGE",OR($I96="INFRUCTUEUX",$I96="ANNULE")),"Clôturé sans suite","En cours")))</f>
        <v/>
      </c>
      <c r="N96">
        <f>IF(ISBLANK('ENGAGEMENTS 2026'!B96),"",'ENGAGEMENTS 2026'!K96)</f>
        <v/>
      </c>
      <c r="O96">
        <f>IF(ISBLANK('ENGAGEMENTS 2026'!B96),"",'ENGAGEMENTS 2026'!L96)</f>
        <v/>
      </c>
      <c r="P96">
        <f>IF(ISBLANK('ENGAGEMENTS 2026'!B96),"",'ENGAGEMENTS 2026'!J96)</f>
        <v/>
      </c>
      <c r="Q96">
        <f>IF($A96="","",IF(OR($E96="INFRUCTUEUX",$E96="ANNULE"),$A96&amp;"|"&amp;(COUNTIFS($A$2:$A96,$A96,$E$2:$E96,"INFRUCTUEUX")+COUNTIFS($A$2:$A96,$A96,$E$2:$E96,"ANNULE")),""))</f>
        <v/>
      </c>
    </row>
    <row r="97">
      <c r="A97">
        <f>IF(ISBLANK('ENGAGEMENTS 2026'!B97),"",IF('ENGAGEMENTS 2026'!B97="DTSI","DCT",'ENGAGEMENTS 2026'!B97))</f>
        <v/>
      </c>
      <c r="B97">
        <f>IF(ISBLANK('ENGAGEMENTS 2026'!B97),"",'ENGAGEMENTS 2026'!C97)</f>
        <v/>
      </c>
      <c r="C97">
        <f>IF(ISBLANK('ENGAGEMENTS 2026'!B97),"",'ENGAGEMENTS 2026'!D97)</f>
        <v/>
      </c>
      <c r="D97">
        <f>IF(ISBLANK('ENGAGEMENTS 2026'!B97),"",'ENGAGEMENTS 2026'!F97)</f>
        <v/>
      </c>
      <c r="E97">
        <f>IF(ISBLANK('ENGAGEMENTS 2026'!B97),"",'ENGAGEMENTS 2026'!H97)</f>
        <v/>
      </c>
      <c r="F97">
        <f>IF(ISBLANK('ENGAGEMENTS 2026'!B97),"",'ENGAGEMENTS 2026'!I97)</f>
        <v/>
      </c>
      <c r="G97">
        <f>IF(ISBLANK('ENGAGEMENTS 2026'!B97),"",'ENGAGEMENTS 2026'!L97)</f>
        <v/>
      </c>
      <c r="H97">
        <f>IF(ISBLANK('ENGAGEMENTS 2026'!B97),"",'ENGAGEMENTS 2026'!AE97)</f>
        <v/>
      </c>
      <c r="I97">
        <f>IF(ISBLANK('ENGAGEMENTS 2026'!B97),"",'ENGAGEMENTS 2026'!G97)</f>
        <v/>
      </c>
      <c r="J97" s="275">
        <f>IF(ISBLANK('ENGAGEMENTS 2026'!B97),"",IF(AND(OR($E97="INFRUCTUEUX",$E97="ANNULE"),$C97="AOO-M"),'ENGAGEMENTS 2026'!O97,IF($H97="EN COURS DE PREENGAGEMENT",'ENGAGEMENTS 2026'!N97,IF($H97="PREENGAGE",IF($E97="ATTRIBUE",'ENGAGEMENTS 2026'!AD97,'ENGAGEMENTS 2026'!N97),'ENGAGEMENTS 2026'!AD97))))</f>
        <v/>
      </c>
      <c r="K97" s="604">
        <f>IF(ISBLANK('ENGAGEMENTS 2026'!V97),"",'ENGAGEMENTS 2026'!V97)</f>
        <v/>
      </c>
      <c r="L97" s="276">
        <f>IF($K97="","",TODAY()-$K97)</f>
        <v/>
      </c>
      <c r="M97">
        <f>IF($A97="","",IF($H97="ENGAGE","Engagé",IF(AND($H97="NON ENGAGE",OR($I97="INFRUCTUEUX",$I97="ANNULE")),"Clôturé sans suite","En cours")))</f>
        <v/>
      </c>
      <c r="N97">
        <f>IF(ISBLANK('ENGAGEMENTS 2026'!B97),"",'ENGAGEMENTS 2026'!K97)</f>
        <v/>
      </c>
      <c r="O97">
        <f>IF(ISBLANK('ENGAGEMENTS 2026'!B97),"",'ENGAGEMENTS 2026'!L97)</f>
        <v/>
      </c>
      <c r="P97">
        <f>IF(ISBLANK('ENGAGEMENTS 2026'!B97),"",'ENGAGEMENTS 2026'!J97)</f>
        <v/>
      </c>
      <c r="Q97">
        <f>IF($A97="","",IF(OR($E97="INFRUCTUEUX",$E97="ANNULE"),$A97&amp;"|"&amp;(COUNTIFS($A$2:$A97,$A97,$E$2:$E97,"INFRUCTUEUX")+COUNTIFS($A$2:$A97,$A97,$E$2:$E97,"ANNULE")),""))</f>
        <v/>
      </c>
    </row>
    <row r="98">
      <c r="A98">
        <f>IF(ISBLANK('ENGAGEMENTS 2026'!B98),"",IF('ENGAGEMENTS 2026'!B98="DTSI","DCT",'ENGAGEMENTS 2026'!B98))</f>
        <v/>
      </c>
      <c r="B98">
        <f>IF(ISBLANK('ENGAGEMENTS 2026'!B98),"",'ENGAGEMENTS 2026'!C98)</f>
        <v/>
      </c>
      <c r="C98">
        <f>IF(ISBLANK('ENGAGEMENTS 2026'!B98),"",'ENGAGEMENTS 2026'!D98)</f>
        <v/>
      </c>
      <c r="D98">
        <f>IF(ISBLANK('ENGAGEMENTS 2026'!B98),"",'ENGAGEMENTS 2026'!F98)</f>
        <v/>
      </c>
      <c r="E98">
        <f>IF(ISBLANK('ENGAGEMENTS 2026'!B98),"",'ENGAGEMENTS 2026'!H98)</f>
        <v/>
      </c>
      <c r="F98">
        <f>IF(ISBLANK('ENGAGEMENTS 2026'!B98),"",'ENGAGEMENTS 2026'!I98)</f>
        <v/>
      </c>
      <c r="G98">
        <f>IF(ISBLANK('ENGAGEMENTS 2026'!B98),"",'ENGAGEMENTS 2026'!L98)</f>
        <v/>
      </c>
      <c r="H98">
        <f>IF(ISBLANK('ENGAGEMENTS 2026'!B98),"",'ENGAGEMENTS 2026'!AE98)</f>
        <v/>
      </c>
      <c r="I98">
        <f>IF(ISBLANK('ENGAGEMENTS 2026'!B98),"",'ENGAGEMENTS 2026'!G98)</f>
        <v/>
      </c>
      <c r="J98" s="275">
        <f>IF(ISBLANK('ENGAGEMENTS 2026'!B98),"",IF(AND(OR($E98="INFRUCTUEUX",$E98="ANNULE"),$C98="AOO-M"),'ENGAGEMENTS 2026'!O98,IF($H98="EN COURS DE PREENGAGEMENT",'ENGAGEMENTS 2026'!N98,IF($H98="PREENGAGE",IF($E98="ATTRIBUE",'ENGAGEMENTS 2026'!AD98,'ENGAGEMENTS 2026'!N98),'ENGAGEMENTS 2026'!AD98))))</f>
        <v/>
      </c>
      <c r="K98" s="604">
        <f>IF(ISBLANK('ENGAGEMENTS 2026'!V98),"",'ENGAGEMENTS 2026'!V98)</f>
        <v/>
      </c>
      <c r="L98" s="276">
        <f>IF($K98="","",TODAY()-$K98)</f>
        <v/>
      </c>
      <c r="M98">
        <f>IF($A98="","",IF($H98="ENGAGE","Engagé",IF(AND($H98="NON ENGAGE",OR($I98="INFRUCTUEUX",$I98="ANNULE")),"Clôturé sans suite","En cours")))</f>
        <v/>
      </c>
      <c r="N98">
        <f>IF(ISBLANK('ENGAGEMENTS 2026'!B98),"",'ENGAGEMENTS 2026'!K98)</f>
        <v/>
      </c>
      <c r="O98">
        <f>IF(ISBLANK('ENGAGEMENTS 2026'!B98),"",'ENGAGEMENTS 2026'!L98)</f>
        <v/>
      </c>
      <c r="P98">
        <f>IF(ISBLANK('ENGAGEMENTS 2026'!B98),"",'ENGAGEMENTS 2026'!J98)</f>
        <v/>
      </c>
      <c r="Q98">
        <f>IF($A98="","",IF(OR($E98="INFRUCTUEUX",$E98="ANNULE"),$A98&amp;"|"&amp;(COUNTIFS($A$2:$A98,$A98,$E$2:$E98,"INFRUCTUEUX")+COUNTIFS($A$2:$A98,$A98,$E$2:$E98,"ANNULE")),""))</f>
        <v/>
      </c>
    </row>
    <row r="99">
      <c r="A99">
        <f>IF(ISBLANK('ENGAGEMENTS 2026'!B99),"",IF('ENGAGEMENTS 2026'!B99="DTSI","DCT",'ENGAGEMENTS 2026'!B99))</f>
        <v/>
      </c>
      <c r="B99">
        <f>IF(ISBLANK('ENGAGEMENTS 2026'!B99),"",'ENGAGEMENTS 2026'!C99)</f>
        <v/>
      </c>
      <c r="C99">
        <f>IF(ISBLANK('ENGAGEMENTS 2026'!B99),"",'ENGAGEMENTS 2026'!D99)</f>
        <v/>
      </c>
      <c r="D99">
        <f>IF(ISBLANK('ENGAGEMENTS 2026'!B99),"",'ENGAGEMENTS 2026'!F99)</f>
        <v/>
      </c>
      <c r="E99">
        <f>IF(ISBLANK('ENGAGEMENTS 2026'!B99),"",'ENGAGEMENTS 2026'!H99)</f>
        <v/>
      </c>
      <c r="F99">
        <f>IF(ISBLANK('ENGAGEMENTS 2026'!B99),"",'ENGAGEMENTS 2026'!I99)</f>
        <v/>
      </c>
      <c r="G99">
        <f>IF(ISBLANK('ENGAGEMENTS 2026'!B99),"",'ENGAGEMENTS 2026'!L99)</f>
        <v/>
      </c>
      <c r="H99">
        <f>IF(ISBLANK('ENGAGEMENTS 2026'!B99),"",'ENGAGEMENTS 2026'!AE99)</f>
        <v/>
      </c>
      <c r="I99">
        <f>IF(ISBLANK('ENGAGEMENTS 2026'!B99),"",'ENGAGEMENTS 2026'!G99)</f>
        <v/>
      </c>
      <c r="J99" s="275">
        <f>IF(ISBLANK('ENGAGEMENTS 2026'!B99),"",IF(AND(OR($E99="INFRUCTUEUX",$E99="ANNULE"),$C99="AOO-M"),'ENGAGEMENTS 2026'!O99,IF($H99="EN COURS DE PREENGAGEMENT",'ENGAGEMENTS 2026'!N99,IF($H99="PREENGAGE",IF($E99="ATTRIBUE",'ENGAGEMENTS 2026'!AD99,'ENGAGEMENTS 2026'!N99),'ENGAGEMENTS 2026'!AD99))))</f>
        <v/>
      </c>
      <c r="K99" s="604">
        <f>IF(ISBLANK('ENGAGEMENTS 2026'!V99),"",'ENGAGEMENTS 2026'!V99)</f>
        <v/>
      </c>
      <c r="L99" s="276">
        <f>IF($K99="","",TODAY()-$K99)</f>
        <v/>
      </c>
      <c r="M99">
        <f>IF($A99="","",IF($H99="ENGAGE","Engagé",IF(AND($H99="NON ENGAGE",OR($I99="INFRUCTUEUX",$I99="ANNULE")),"Clôturé sans suite","En cours")))</f>
        <v/>
      </c>
      <c r="N99">
        <f>IF(ISBLANK('ENGAGEMENTS 2026'!B99),"",'ENGAGEMENTS 2026'!K99)</f>
        <v/>
      </c>
      <c r="O99">
        <f>IF(ISBLANK('ENGAGEMENTS 2026'!B99),"",'ENGAGEMENTS 2026'!L99)</f>
        <v/>
      </c>
      <c r="P99">
        <f>IF(ISBLANK('ENGAGEMENTS 2026'!B99),"",'ENGAGEMENTS 2026'!J99)</f>
        <v/>
      </c>
      <c r="Q99">
        <f>IF($A99="","",IF(OR($E99="INFRUCTUEUX",$E99="ANNULE"),$A99&amp;"|"&amp;(COUNTIFS($A$2:$A99,$A99,$E$2:$E99,"INFRUCTUEUX")+COUNTIFS($A$2:$A99,$A99,$E$2:$E99,"ANNULE")),""))</f>
        <v/>
      </c>
    </row>
    <row r="100">
      <c r="A100">
        <f>IF(ISBLANK('ENGAGEMENTS 2026'!B100),"",IF('ENGAGEMENTS 2026'!B100="DTSI","DCT",'ENGAGEMENTS 2026'!B100))</f>
        <v/>
      </c>
      <c r="B100">
        <f>IF(ISBLANK('ENGAGEMENTS 2026'!B100),"",'ENGAGEMENTS 2026'!C100)</f>
        <v/>
      </c>
      <c r="C100">
        <f>IF(ISBLANK('ENGAGEMENTS 2026'!B100),"",'ENGAGEMENTS 2026'!D100)</f>
        <v/>
      </c>
      <c r="D100">
        <f>IF(ISBLANK('ENGAGEMENTS 2026'!B100),"",'ENGAGEMENTS 2026'!F100)</f>
        <v/>
      </c>
      <c r="E100">
        <f>IF(ISBLANK('ENGAGEMENTS 2026'!B100),"",'ENGAGEMENTS 2026'!H100)</f>
        <v/>
      </c>
      <c r="F100">
        <f>IF(ISBLANK('ENGAGEMENTS 2026'!B100),"",'ENGAGEMENTS 2026'!I100)</f>
        <v/>
      </c>
      <c r="G100">
        <f>IF(ISBLANK('ENGAGEMENTS 2026'!B100),"",'ENGAGEMENTS 2026'!L100)</f>
        <v/>
      </c>
      <c r="H100">
        <f>IF(ISBLANK('ENGAGEMENTS 2026'!B100),"",'ENGAGEMENTS 2026'!AE100)</f>
        <v/>
      </c>
      <c r="I100">
        <f>IF(ISBLANK('ENGAGEMENTS 2026'!B100),"",'ENGAGEMENTS 2026'!G100)</f>
        <v/>
      </c>
      <c r="J100" s="275">
        <f>IF(ISBLANK('ENGAGEMENTS 2026'!B100),"",IF(AND(OR($E100="INFRUCTUEUX",$E100="ANNULE"),$C100="AOO-M"),'ENGAGEMENTS 2026'!O100,IF($H100="EN COURS DE PREENGAGEMENT",'ENGAGEMENTS 2026'!N100,IF($H100="PREENGAGE",IF($E100="ATTRIBUE",'ENGAGEMENTS 2026'!AD100,'ENGAGEMENTS 2026'!N100),'ENGAGEMENTS 2026'!AD100))))</f>
        <v/>
      </c>
      <c r="K100" s="604">
        <f>IF(ISBLANK('ENGAGEMENTS 2026'!V100),"",'ENGAGEMENTS 2026'!V100)</f>
        <v/>
      </c>
      <c r="L100" s="276">
        <f>IF($K100="","",TODAY()-$K100)</f>
        <v/>
      </c>
      <c r="M100">
        <f>IF($A100="","",IF($H100="ENGAGE","Engagé",IF(AND($H100="NON ENGAGE",OR($I100="INFRUCTUEUX",$I100="ANNULE")),"Clôturé sans suite","En cours")))</f>
        <v/>
      </c>
      <c r="N100">
        <f>IF(ISBLANK('ENGAGEMENTS 2026'!B100),"",'ENGAGEMENTS 2026'!K100)</f>
        <v/>
      </c>
      <c r="O100">
        <f>IF(ISBLANK('ENGAGEMENTS 2026'!B100),"",'ENGAGEMENTS 2026'!L100)</f>
        <v/>
      </c>
      <c r="P100">
        <f>IF(ISBLANK('ENGAGEMENTS 2026'!B100),"",'ENGAGEMENTS 2026'!J100)</f>
        <v/>
      </c>
      <c r="Q100">
        <f>IF($A100="","",IF(OR($E100="INFRUCTUEUX",$E100="ANNULE"),$A100&amp;"|"&amp;(COUNTIFS($A$2:$A100,$A100,$E$2:$E100,"INFRUCTUEUX")+COUNTIFS($A$2:$A100,$A100,$E$2:$E100,"ANNULE")),""))</f>
        <v/>
      </c>
    </row>
    <row r="101">
      <c r="A101">
        <f>IF(ISBLANK('ENGAGEMENTS 2026'!B101),"",IF('ENGAGEMENTS 2026'!B101="DTSI","DCT",'ENGAGEMENTS 2026'!B101))</f>
        <v/>
      </c>
      <c r="B101">
        <f>IF(ISBLANK('ENGAGEMENTS 2026'!B101),"",'ENGAGEMENTS 2026'!C101)</f>
        <v/>
      </c>
      <c r="C101">
        <f>IF(ISBLANK('ENGAGEMENTS 2026'!B101),"",'ENGAGEMENTS 2026'!D101)</f>
        <v/>
      </c>
      <c r="D101">
        <f>IF(ISBLANK('ENGAGEMENTS 2026'!B101),"",'ENGAGEMENTS 2026'!F101)</f>
        <v/>
      </c>
      <c r="E101">
        <f>IF(ISBLANK('ENGAGEMENTS 2026'!B101),"",'ENGAGEMENTS 2026'!H101)</f>
        <v/>
      </c>
      <c r="F101">
        <f>IF(ISBLANK('ENGAGEMENTS 2026'!B101),"",'ENGAGEMENTS 2026'!I101)</f>
        <v/>
      </c>
      <c r="G101">
        <f>IF(ISBLANK('ENGAGEMENTS 2026'!B101),"",'ENGAGEMENTS 2026'!L101)</f>
        <v/>
      </c>
      <c r="H101">
        <f>IF(ISBLANK('ENGAGEMENTS 2026'!B101),"",'ENGAGEMENTS 2026'!AE101)</f>
        <v/>
      </c>
      <c r="I101">
        <f>IF(ISBLANK('ENGAGEMENTS 2026'!B101),"",'ENGAGEMENTS 2026'!G101)</f>
        <v/>
      </c>
      <c r="J101" s="275">
        <f>IF(ISBLANK('ENGAGEMENTS 2026'!B101),"",IF(AND(OR($E101="INFRUCTUEUX",$E101="ANNULE"),$C101="AOO-M"),'ENGAGEMENTS 2026'!O101,IF($H101="EN COURS DE PREENGAGEMENT",'ENGAGEMENTS 2026'!N101,IF($H101="PREENGAGE",IF($E101="ATTRIBUE",'ENGAGEMENTS 2026'!AD101,'ENGAGEMENTS 2026'!N101),'ENGAGEMENTS 2026'!AD101))))</f>
        <v/>
      </c>
      <c r="K101" s="604">
        <f>IF(ISBLANK('ENGAGEMENTS 2026'!V101),"",'ENGAGEMENTS 2026'!V101)</f>
        <v/>
      </c>
      <c r="L101" s="276">
        <f>IF($K101="","",TODAY()-$K101)</f>
        <v/>
      </c>
      <c r="M101">
        <f>IF($A101="","",IF($H101="ENGAGE","Engagé",IF(AND($H101="NON ENGAGE",OR($I101="INFRUCTUEUX",$I101="ANNULE")),"Clôturé sans suite","En cours")))</f>
        <v/>
      </c>
      <c r="N101">
        <f>IF(ISBLANK('ENGAGEMENTS 2026'!B101),"",'ENGAGEMENTS 2026'!K101)</f>
        <v/>
      </c>
      <c r="O101">
        <f>IF(ISBLANK('ENGAGEMENTS 2026'!B101),"",'ENGAGEMENTS 2026'!L101)</f>
        <v/>
      </c>
      <c r="P101">
        <f>IF(ISBLANK('ENGAGEMENTS 2026'!B101),"",'ENGAGEMENTS 2026'!J101)</f>
        <v/>
      </c>
      <c r="Q101">
        <f>IF($A101="","",IF(OR($E101="INFRUCTUEUX",$E101="ANNULE"),$A101&amp;"|"&amp;(COUNTIFS($A$2:$A101,$A101,$E$2:$E101,"INFRUCTUEUX")+COUNTIFS($A$2:$A101,$A101,$E$2:$E101,"ANNULE")),""))</f>
        <v/>
      </c>
    </row>
    <row r="102">
      <c r="A102">
        <f>IF(ISBLANK('ENGAGEMENTS 2026'!B102),"",IF('ENGAGEMENTS 2026'!B102="DTSI","DCT",'ENGAGEMENTS 2026'!B102))</f>
        <v/>
      </c>
      <c r="B102">
        <f>IF(ISBLANK('ENGAGEMENTS 2026'!B102),"",'ENGAGEMENTS 2026'!C102)</f>
        <v/>
      </c>
      <c r="C102">
        <f>IF(ISBLANK('ENGAGEMENTS 2026'!B102),"",'ENGAGEMENTS 2026'!D102)</f>
        <v/>
      </c>
      <c r="D102">
        <f>IF(ISBLANK('ENGAGEMENTS 2026'!B102),"",'ENGAGEMENTS 2026'!F102)</f>
        <v/>
      </c>
      <c r="E102">
        <f>IF(ISBLANK('ENGAGEMENTS 2026'!B102),"",'ENGAGEMENTS 2026'!H102)</f>
        <v/>
      </c>
      <c r="F102">
        <f>IF(ISBLANK('ENGAGEMENTS 2026'!B102),"",'ENGAGEMENTS 2026'!I102)</f>
        <v/>
      </c>
      <c r="G102">
        <f>IF(ISBLANK('ENGAGEMENTS 2026'!B102),"",'ENGAGEMENTS 2026'!L102)</f>
        <v/>
      </c>
      <c r="H102">
        <f>IF(ISBLANK('ENGAGEMENTS 2026'!B102),"",'ENGAGEMENTS 2026'!AE102)</f>
        <v/>
      </c>
      <c r="I102">
        <f>IF(ISBLANK('ENGAGEMENTS 2026'!B102),"",'ENGAGEMENTS 2026'!G102)</f>
        <v/>
      </c>
      <c r="J102" s="275">
        <f>IF(ISBLANK('ENGAGEMENTS 2026'!B102),"",IF(AND(OR($E102="INFRUCTUEUX",$E102="ANNULE"),$C102="AOO-M"),'ENGAGEMENTS 2026'!O102,IF($H102="EN COURS DE PREENGAGEMENT",'ENGAGEMENTS 2026'!N102,IF($H102="PREENGAGE",IF($E102="ATTRIBUE",'ENGAGEMENTS 2026'!AD102,'ENGAGEMENTS 2026'!N102),'ENGAGEMENTS 2026'!AD102))))</f>
        <v/>
      </c>
      <c r="K102" s="604">
        <f>IF(ISBLANK('ENGAGEMENTS 2026'!V102),"",'ENGAGEMENTS 2026'!V102)</f>
        <v/>
      </c>
      <c r="L102" s="276">
        <f>IF($K102="","",TODAY()-$K102)</f>
        <v/>
      </c>
      <c r="M102">
        <f>IF($A102="","",IF($H102="ENGAGE","Engagé",IF(AND($H102="NON ENGAGE",OR($I102="INFRUCTUEUX",$I102="ANNULE")),"Clôturé sans suite","En cours")))</f>
        <v/>
      </c>
      <c r="N102">
        <f>IF(ISBLANK('ENGAGEMENTS 2026'!B102),"",'ENGAGEMENTS 2026'!K102)</f>
        <v/>
      </c>
      <c r="O102">
        <f>IF(ISBLANK('ENGAGEMENTS 2026'!B102),"",'ENGAGEMENTS 2026'!L102)</f>
        <v/>
      </c>
      <c r="P102">
        <f>IF(ISBLANK('ENGAGEMENTS 2026'!B102),"",'ENGAGEMENTS 2026'!J102)</f>
        <v/>
      </c>
      <c r="Q102">
        <f>IF($A102="","",IF(OR($E102="INFRUCTUEUX",$E102="ANNULE"),$A102&amp;"|"&amp;(COUNTIFS($A$2:$A102,$A102,$E$2:$E102,"INFRUCTUEUX")+COUNTIFS($A$2:$A102,$A102,$E$2:$E102,"ANNULE")),""))</f>
        <v/>
      </c>
    </row>
    <row r="103">
      <c r="A103">
        <f>IF(ISBLANK('ENGAGEMENTS 2026'!B103),"",IF('ENGAGEMENTS 2026'!B103="DTSI","DCT",'ENGAGEMENTS 2026'!B103))</f>
        <v/>
      </c>
      <c r="B103">
        <f>IF(ISBLANK('ENGAGEMENTS 2026'!B103),"",'ENGAGEMENTS 2026'!C103)</f>
        <v/>
      </c>
      <c r="C103">
        <f>IF(ISBLANK('ENGAGEMENTS 2026'!B103),"",'ENGAGEMENTS 2026'!D103)</f>
        <v/>
      </c>
      <c r="D103">
        <f>IF(ISBLANK('ENGAGEMENTS 2026'!B103),"",'ENGAGEMENTS 2026'!F103)</f>
        <v/>
      </c>
      <c r="E103">
        <f>IF(ISBLANK('ENGAGEMENTS 2026'!B103),"",'ENGAGEMENTS 2026'!H103)</f>
        <v/>
      </c>
      <c r="F103">
        <f>IF(ISBLANK('ENGAGEMENTS 2026'!B103),"",'ENGAGEMENTS 2026'!I103)</f>
        <v/>
      </c>
      <c r="G103">
        <f>IF(ISBLANK('ENGAGEMENTS 2026'!B103),"",'ENGAGEMENTS 2026'!L103)</f>
        <v/>
      </c>
      <c r="H103">
        <f>IF(ISBLANK('ENGAGEMENTS 2026'!B103),"",'ENGAGEMENTS 2026'!AE103)</f>
        <v/>
      </c>
      <c r="I103">
        <f>IF(ISBLANK('ENGAGEMENTS 2026'!B103),"",'ENGAGEMENTS 2026'!G103)</f>
        <v/>
      </c>
      <c r="J103" s="275">
        <f>IF(ISBLANK('ENGAGEMENTS 2026'!B103),"",IF(AND(OR($E103="INFRUCTUEUX",$E103="ANNULE"),$C103="AOO-M"),'ENGAGEMENTS 2026'!O103,IF($H103="EN COURS DE PREENGAGEMENT",'ENGAGEMENTS 2026'!N103,IF($H103="PREENGAGE",IF($E103="ATTRIBUE",'ENGAGEMENTS 2026'!AD103,'ENGAGEMENTS 2026'!N103),'ENGAGEMENTS 2026'!AD103))))</f>
        <v/>
      </c>
      <c r="K103" s="604">
        <f>IF(ISBLANK('ENGAGEMENTS 2026'!V103),"",'ENGAGEMENTS 2026'!V103)</f>
        <v/>
      </c>
      <c r="L103" s="276">
        <f>IF($K103="","",TODAY()-$K103)</f>
        <v/>
      </c>
      <c r="M103">
        <f>IF($A103="","",IF($H103="ENGAGE","Engagé",IF(AND($H103="NON ENGAGE",OR($I103="INFRUCTUEUX",$I103="ANNULE")),"Clôturé sans suite","En cours")))</f>
        <v/>
      </c>
      <c r="N103">
        <f>IF(ISBLANK('ENGAGEMENTS 2026'!B103),"",'ENGAGEMENTS 2026'!K103)</f>
        <v/>
      </c>
      <c r="O103">
        <f>IF(ISBLANK('ENGAGEMENTS 2026'!B103),"",'ENGAGEMENTS 2026'!L103)</f>
        <v/>
      </c>
      <c r="P103">
        <f>IF(ISBLANK('ENGAGEMENTS 2026'!B103),"",'ENGAGEMENTS 2026'!J103)</f>
        <v/>
      </c>
      <c r="Q103">
        <f>IF($A103="","",IF(OR($E103="INFRUCTUEUX",$E103="ANNULE"),$A103&amp;"|"&amp;(COUNTIFS($A$2:$A103,$A103,$E$2:$E103,"INFRUCTUEUX")+COUNTIFS($A$2:$A103,$A103,$E$2:$E103,"ANNULE")),""))</f>
        <v/>
      </c>
    </row>
    <row r="104">
      <c r="A104">
        <f>IF(ISBLANK('ENGAGEMENTS 2026'!B104),"",IF('ENGAGEMENTS 2026'!B104="DTSI","DCT",'ENGAGEMENTS 2026'!B104))</f>
        <v/>
      </c>
      <c r="B104">
        <f>IF(ISBLANK('ENGAGEMENTS 2026'!B104),"",'ENGAGEMENTS 2026'!C104)</f>
        <v/>
      </c>
      <c r="C104">
        <f>IF(ISBLANK('ENGAGEMENTS 2026'!B104),"",'ENGAGEMENTS 2026'!D104)</f>
        <v/>
      </c>
      <c r="D104">
        <f>IF(ISBLANK('ENGAGEMENTS 2026'!B104),"",'ENGAGEMENTS 2026'!F104)</f>
        <v/>
      </c>
      <c r="E104">
        <f>IF(ISBLANK('ENGAGEMENTS 2026'!B104),"",'ENGAGEMENTS 2026'!H104)</f>
        <v/>
      </c>
      <c r="F104">
        <f>IF(ISBLANK('ENGAGEMENTS 2026'!B104),"",'ENGAGEMENTS 2026'!I104)</f>
        <v/>
      </c>
      <c r="G104">
        <f>IF(ISBLANK('ENGAGEMENTS 2026'!B104),"",'ENGAGEMENTS 2026'!L104)</f>
        <v/>
      </c>
      <c r="H104">
        <f>IF(ISBLANK('ENGAGEMENTS 2026'!B104),"",'ENGAGEMENTS 2026'!AE104)</f>
        <v/>
      </c>
      <c r="I104">
        <f>IF(ISBLANK('ENGAGEMENTS 2026'!B104),"",'ENGAGEMENTS 2026'!G104)</f>
        <v/>
      </c>
      <c r="J104" s="275">
        <f>IF(ISBLANK('ENGAGEMENTS 2026'!B104),"",IF(AND(OR($E104="INFRUCTUEUX",$E104="ANNULE"),$C104="AOO-M"),'ENGAGEMENTS 2026'!O104,IF($H104="EN COURS DE PREENGAGEMENT",'ENGAGEMENTS 2026'!N104,IF($H104="PREENGAGE",IF($E104="ATTRIBUE",'ENGAGEMENTS 2026'!AD104,'ENGAGEMENTS 2026'!N104),'ENGAGEMENTS 2026'!AD104))))</f>
        <v/>
      </c>
      <c r="K104" s="604">
        <f>IF(ISBLANK('ENGAGEMENTS 2026'!V104),"",'ENGAGEMENTS 2026'!V104)</f>
        <v/>
      </c>
      <c r="L104" s="276">
        <f>IF($K104="","",TODAY()-$K104)</f>
        <v/>
      </c>
      <c r="M104">
        <f>IF($A104="","",IF($H104="ENGAGE","Engagé",IF(AND($H104="NON ENGAGE",OR($I104="INFRUCTUEUX",$I104="ANNULE")),"Clôturé sans suite","En cours")))</f>
        <v/>
      </c>
      <c r="N104">
        <f>IF(ISBLANK('ENGAGEMENTS 2026'!B104),"",'ENGAGEMENTS 2026'!K104)</f>
        <v/>
      </c>
      <c r="O104">
        <f>IF(ISBLANK('ENGAGEMENTS 2026'!B104),"",'ENGAGEMENTS 2026'!L104)</f>
        <v/>
      </c>
      <c r="P104">
        <f>IF(ISBLANK('ENGAGEMENTS 2026'!B104),"",'ENGAGEMENTS 2026'!J104)</f>
        <v/>
      </c>
      <c r="Q104">
        <f>IF($A104="","",IF(OR($E104="INFRUCTUEUX",$E104="ANNULE"),$A104&amp;"|"&amp;(COUNTIFS($A$2:$A104,$A104,$E$2:$E104,"INFRUCTUEUX")+COUNTIFS($A$2:$A104,$A104,$E$2:$E104,"ANNULE")),""))</f>
        <v/>
      </c>
    </row>
    <row r="105">
      <c r="A105">
        <f>IF(ISBLANK('ENGAGEMENTS 2026'!B105),"",IF('ENGAGEMENTS 2026'!B105="DTSI","DCT",'ENGAGEMENTS 2026'!B105))</f>
        <v/>
      </c>
      <c r="B105">
        <f>IF(ISBLANK('ENGAGEMENTS 2026'!B105),"",'ENGAGEMENTS 2026'!C105)</f>
        <v/>
      </c>
      <c r="C105">
        <f>IF(ISBLANK('ENGAGEMENTS 2026'!B105),"",'ENGAGEMENTS 2026'!D105)</f>
        <v/>
      </c>
      <c r="D105">
        <f>IF(ISBLANK('ENGAGEMENTS 2026'!B105),"",'ENGAGEMENTS 2026'!F105)</f>
        <v/>
      </c>
      <c r="E105">
        <f>IF(ISBLANK('ENGAGEMENTS 2026'!B105),"",'ENGAGEMENTS 2026'!H105)</f>
        <v/>
      </c>
      <c r="F105">
        <f>IF(ISBLANK('ENGAGEMENTS 2026'!B105),"",'ENGAGEMENTS 2026'!I105)</f>
        <v/>
      </c>
      <c r="G105">
        <f>IF(ISBLANK('ENGAGEMENTS 2026'!B105),"",'ENGAGEMENTS 2026'!L105)</f>
        <v/>
      </c>
      <c r="H105">
        <f>IF(ISBLANK('ENGAGEMENTS 2026'!B105),"",'ENGAGEMENTS 2026'!AE105)</f>
        <v/>
      </c>
      <c r="I105">
        <f>IF(ISBLANK('ENGAGEMENTS 2026'!B105),"",'ENGAGEMENTS 2026'!G105)</f>
        <v/>
      </c>
      <c r="J105" s="275">
        <f>IF(ISBLANK('ENGAGEMENTS 2026'!B105),"",IF(AND(OR($E105="INFRUCTUEUX",$E105="ANNULE"),$C105="AOO-M"),'ENGAGEMENTS 2026'!O105,IF($H105="EN COURS DE PREENGAGEMENT",'ENGAGEMENTS 2026'!N105,IF($H105="PREENGAGE",IF($E105="ATTRIBUE",'ENGAGEMENTS 2026'!AD105,'ENGAGEMENTS 2026'!N105),'ENGAGEMENTS 2026'!AD105))))</f>
        <v/>
      </c>
      <c r="K105" s="604">
        <f>IF(ISBLANK('ENGAGEMENTS 2026'!V105),"",'ENGAGEMENTS 2026'!V105)</f>
        <v/>
      </c>
      <c r="L105" s="276">
        <f>IF($K105="","",TODAY()-$K105)</f>
        <v/>
      </c>
      <c r="M105">
        <f>IF($A105="","",IF($H105="ENGAGE","Engagé",IF(AND($H105="NON ENGAGE",OR($I105="INFRUCTUEUX",$I105="ANNULE")),"Clôturé sans suite","En cours")))</f>
        <v/>
      </c>
      <c r="N105">
        <f>IF(ISBLANK('ENGAGEMENTS 2026'!B105),"",'ENGAGEMENTS 2026'!K105)</f>
        <v/>
      </c>
      <c r="O105">
        <f>IF(ISBLANK('ENGAGEMENTS 2026'!B105),"",'ENGAGEMENTS 2026'!L105)</f>
        <v/>
      </c>
      <c r="P105">
        <f>IF(ISBLANK('ENGAGEMENTS 2026'!B105),"",'ENGAGEMENTS 2026'!J105)</f>
        <v/>
      </c>
      <c r="Q105">
        <f>IF($A105="","",IF(OR($E105="INFRUCTUEUX",$E105="ANNULE"),$A105&amp;"|"&amp;(COUNTIFS($A$2:$A105,$A105,$E$2:$E105,"INFRUCTUEUX")+COUNTIFS($A$2:$A105,$A105,$E$2:$E105,"ANNULE")),""))</f>
        <v/>
      </c>
    </row>
    <row r="106">
      <c r="A106">
        <f>IF(ISBLANK('ENGAGEMENTS 2026'!B106),"",IF('ENGAGEMENTS 2026'!B106="DTSI","DCT",'ENGAGEMENTS 2026'!B106))</f>
        <v/>
      </c>
      <c r="B106">
        <f>IF(ISBLANK('ENGAGEMENTS 2026'!B106),"",'ENGAGEMENTS 2026'!C106)</f>
        <v/>
      </c>
      <c r="C106">
        <f>IF(ISBLANK('ENGAGEMENTS 2026'!B106),"",'ENGAGEMENTS 2026'!D106)</f>
        <v/>
      </c>
      <c r="D106">
        <f>IF(ISBLANK('ENGAGEMENTS 2026'!B106),"",'ENGAGEMENTS 2026'!F106)</f>
        <v/>
      </c>
      <c r="E106">
        <f>IF(ISBLANK('ENGAGEMENTS 2026'!B106),"",'ENGAGEMENTS 2026'!H106)</f>
        <v/>
      </c>
      <c r="F106">
        <f>IF(ISBLANK('ENGAGEMENTS 2026'!B106),"",'ENGAGEMENTS 2026'!I106)</f>
        <v/>
      </c>
      <c r="G106">
        <f>IF(ISBLANK('ENGAGEMENTS 2026'!B106),"",'ENGAGEMENTS 2026'!L106)</f>
        <v/>
      </c>
      <c r="H106">
        <f>IF(ISBLANK('ENGAGEMENTS 2026'!B106),"",'ENGAGEMENTS 2026'!AE106)</f>
        <v/>
      </c>
      <c r="I106">
        <f>IF(ISBLANK('ENGAGEMENTS 2026'!B106),"",'ENGAGEMENTS 2026'!G106)</f>
        <v/>
      </c>
      <c r="J106" s="275">
        <f>IF(ISBLANK('ENGAGEMENTS 2026'!B106),"",IF(AND(OR($E106="INFRUCTUEUX",$E106="ANNULE"),$C106="AOO-M"),'ENGAGEMENTS 2026'!O106,IF($H106="EN COURS DE PREENGAGEMENT",'ENGAGEMENTS 2026'!N106,IF($H106="PREENGAGE",IF($E106="ATTRIBUE",'ENGAGEMENTS 2026'!AD106,'ENGAGEMENTS 2026'!N106),'ENGAGEMENTS 2026'!AD106))))</f>
        <v/>
      </c>
      <c r="K106" s="604">
        <f>IF(ISBLANK('ENGAGEMENTS 2026'!V106),"",'ENGAGEMENTS 2026'!V106)</f>
        <v/>
      </c>
      <c r="L106" s="276">
        <f>IF($K106="","",TODAY()-$K106)</f>
        <v/>
      </c>
      <c r="M106">
        <f>IF($A106="","",IF($H106="ENGAGE","Engagé",IF(AND($H106="NON ENGAGE",OR($I106="INFRUCTUEUX",$I106="ANNULE")),"Clôturé sans suite","En cours")))</f>
        <v/>
      </c>
      <c r="N106">
        <f>IF(ISBLANK('ENGAGEMENTS 2026'!B106),"",'ENGAGEMENTS 2026'!K106)</f>
        <v/>
      </c>
      <c r="O106">
        <f>IF(ISBLANK('ENGAGEMENTS 2026'!B106),"",'ENGAGEMENTS 2026'!L106)</f>
        <v/>
      </c>
      <c r="P106">
        <f>IF(ISBLANK('ENGAGEMENTS 2026'!B106),"",'ENGAGEMENTS 2026'!J106)</f>
        <v/>
      </c>
      <c r="Q106">
        <f>IF($A106="","",IF(OR($E106="INFRUCTUEUX",$E106="ANNULE"),$A106&amp;"|"&amp;(COUNTIFS($A$2:$A106,$A106,$E$2:$E106,"INFRUCTUEUX")+COUNTIFS($A$2:$A106,$A106,$E$2:$E106,"ANNULE")),""))</f>
        <v/>
      </c>
    </row>
    <row r="107">
      <c r="A107">
        <f>IF(ISBLANK('ENGAGEMENTS 2026'!B107),"",IF('ENGAGEMENTS 2026'!B107="DTSI","DCT",'ENGAGEMENTS 2026'!B107))</f>
        <v/>
      </c>
      <c r="B107">
        <f>IF(ISBLANK('ENGAGEMENTS 2026'!B107),"",'ENGAGEMENTS 2026'!C107)</f>
        <v/>
      </c>
      <c r="C107">
        <f>IF(ISBLANK('ENGAGEMENTS 2026'!B107),"",'ENGAGEMENTS 2026'!D107)</f>
        <v/>
      </c>
      <c r="D107">
        <f>IF(ISBLANK('ENGAGEMENTS 2026'!B107),"",'ENGAGEMENTS 2026'!F107)</f>
        <v/>
      </c>
      <c r="E107">
        <f>IF(ISBLANK('ENGAGEMENTS 2026'!B107),"",'ENGAGEMENTS 2026'!H107)</f>
        <v/>
      </c>
      <c r="F107">
        <f>IF(ISBLANK('ENGAGEMENTS 2026'!B107),"",'ENGAGEMENTS 2026'!I107)</f>
        <v/>
      </c>
      <c r="G107">
        <f>IF(ISBLANK('ENGAGEMENTS 2026'!B107),"",'ENGAGEMENTS 2026'!L107)</f>
        <v/>
      </c>
      <c r="H107">
        <f>IF(ISBLANK('ENGAGEMENTS 2026'!B107),"",'ENGAGEMENTS 2026'!AE107)</f>
        <v/>
      </c>
      <c r="I107">
        <f>IF(ISBLANK('ENGAGEMENTS 2026'!B107),"",'ENGAGEMENTS 2026'!G107)</f>
        <v/>
      </c>
      <c r="J107" s="275">
        <f>IF(ISBLANK('ENGAGEMENTS 2026'!B107),"",IF(AND(OR($E107="INFRUCTUEUX",$E107="ANNULE"),$C107="AOO-M"),'ENGAGEMENTS 2026'!O107,IF($H107="EN COURS DE PREENGAGEMENT",'ENGAGEMENTS 2026'!N107,IF($H107="PREENGAGE",IF($E107="ATTRIBUE",'ENGAGEMENTS 2026'!AD107,'ENGAGEMENTS 2026'!N107),'ENGAGEMENTS 2026'!AD107))))</f>
        <v/>
      </c>
      <c r="K107" s="604">
        <f>IF(ISBLANK('ENGAGEMENTS 2026'!V107),"",'ENGAGEMENTS 2026'!V107)</f>
        <v/>
      </c>
      <c r="L107" s="276">
        <f>IF($K107="","",TODAY()-$K107)</f>
        <v/>
      </c>
      <c r="M107">
        <f>IF($A107="","",IF($H107="ENGAGE","Engagé",IF(AND($H107="NON ENGAGE",OR($I107="INFRUCTUEUX",$I107="ANNULE")),"Clôturé sans suite","En cours")))</f>
        <v/>
      </c>
      <c r="N107">
        <f>IF(ISBLANK('ENGAGEMENTS 2026'!B107),"",'ENGAGEMENTS 2026'!K107)</f>
        <v/>
      </c>
      <c r="O107">
        <f>IF(ISBLANK('ENGAGEMENTS 2026'!B107),"",'ENGAGEMENTS 2026'!L107)</f>
        <v/>
      </c>
      <c r="P107">
        <f>IF(ISBLANK('ENGAGEMENTS 2026'!B107),"",'ENGAGEMENTS 2026'!J107)</f>
        <v/>
      </c>
      <c r="Q107">
        <f>IF($A107="","",IF(OR($E107="INFRUCTUEUX",$E107="ANNULE"),$A107&amp;"|"&amp;(COUNTIFS($A$2:$A107,$A107,$E$2:$E107,"INFRUCTUEUX")+COUNTIFS($A$2:$A107,$A107,$E$2:$E107,"ANNULE")),""))</f>
        <v/>
      </c>
    </row>
    <row r="108">
      <c r="A108">
        <f>IF(ISBLANK('ENGAGEMENTS 2026'!B108),"",IF('ENGAGEMENTS 2026'!B108="DTSI","DCT",'ENGAGEMENTS 2026'!B108))</f>
        <v/>
      </c>
      <c r="B108">
        <f>IF(ISBLANK('ENGAGEMENTS 2026'!B108),"",'ENGAGEMENTS 2026'!C108)</f>
        <v/>
      </c>
      <c r="C108">
        <f>IF(ISBLANK('ENGAGEMENTS 2026'!B108),"",'ENGAGEMENTS 2026'!D108)</f>
        <v/>
      </c>
      <c r="D108">
        <f>IF(ISBLANK('ENGAGEMENTS 2026'!B108),"",'ENGAGEMENTS 2026'!F108)</f>
        <v/>
      </c>
      <c r="E108">
        <f>IF(ISBLANK('ENGAGEMENTS 2026'!B108),"",'ENGAGEMENTS 2026'!H108)</f>
        <v/>
      </c>
      <c r="F108">
        <f>IF(ISBLANK('ENGAGEMENTS 2026'!B108),"",'ENGAGEMENTS 2026'!I108)</f>
        <v/>
      </c>
      <c r="G108">
        <f>IF(ISBLANK('ENGAGEMENTS 2026'!B108),"",'ENGAGEMENTS 2026'!L108)</f>
        <v/>
      </c>
      <c r="H108">
        <f>IF(ISBLANK('ENGAGEMENTS 2026'!B108),"",'ENGAGEMENTS 2026'!AE108)</f>
        <v/>
      </c>
      <c r="I108">
        <f>IF(ISBLANK('ENGAGEMENTS 2026'!B108),"",'ENGAGEMENTS 2026'!G108)</f>
        <v/>
      </c>
      <c r="J108" s="275">
        <f>IF(ISBLANK('ENGAGEMENTS 2026'!B108),"",IF(AND(OR($E108="INFRUCTUEUX",$E108="ANNULE"),$C108="AOO-M"),'ENGAGEMENTS 2026'!O108,IF($H108="EN COURS DE PREENGAGEMENT",'ENGAGEMENTS 2026'!N108,IF($H108="PREENGAGE",IF($E108="ATTRIBUE",'ENGAGEMENTS 2026'!AD108,'ENGAGEMENTS 2026'!N108),'ENGAGEMENTS 2026'!AD108))))</f>
        <v/>
      </c>
      <c r="K108" s="604">
        <f>IF(ISBLANK('ENGAGEMENTS 2026'!V108),"",'ENGAGEMENTS 2026'!V108)</f>
        <v/>
      </c>
      <c r="L108" s="276">
        <f>IF($K108="","",TODAY()-$K108)</f>
        <v/>
      </c>
      <c r="M108">
        <f>IF($A108="","",IF($H108="ENGAGE","Engagé",IF(AND($H108="NON ENGAGE",OR($I108="INFRUCTUEUX",$I108="ANNULE")),"Clôturé sans suite","En cours")))</f>
        <v/>
      </c>
      <c r="N108">
        <f>IF(ISBLANK('ENGAGEMENTS 2026'!B108),"",'ENGAGEMENTS 2026'!K108)</f>
        <v/>
      </c>
      <c r="O108">
        <f>IF(ISBLANK('ENGAGEMENTS 2026'!B108),"",'ENGAGEMENTS 2026'!L108)</f>
        <v/>
      </c>
      <c r="P108">
        <f>IF(ISBLANK('ENGAGEMENTS 2026'!B108),"",'ENGAGEMENTS 2026'!J108)</f>
        <v/>
      </c>
      <c r="Q108">
        <f>IF($A108="","",IF(OR($E108="INFRUCTUEUX",$E108="ANNULE"),$A108&amp;"|"&amp;(COUNTIFS($A$2:$A108,$A108,$E$2:$E108,"INFRUCTUEUX")+COUNTIFS($A$2:$A108,$A108,$E$2:$E108,"ANNULE")),""))</f>
        <v/>
      </c>
    </row>
    <row r="109">
      <c r="A109">
        <f>IF(ISBLANK('ENGAGEMENTS 2026'!B109),"",IF('ENGAGEMENTS 2026'!B109="DTSI","DCT",'ENGAGEMENTS 2026'!B109))</f>
        <v/>
      </c>
      <c r="B109">
        <f>IF(ISBLANK('ENGAGEMENTS 2026'!B109),"",'ENGAGEMENTS 2026'!C109)</f>
        <v/>
      </c>
      <c r="C109">
        <f>IF(ISBLANK('ENGAGEMENTS 2026'!B109),"",'ENGAGEMENTS 2026'!D109)</f>
        <v/>
      </c>
      <c r="D109">
        <f>IF(ISBLANK('ENGAGEMENTS 2026'!B109),"",'ENGAGEMENTS 2026'!F109)</f>
        <v/>
      </c>
      <c r="E109">
        <f>IF(ISBLANK('ENGAGEMENTS 2026'!B109),"",'ENGAGEMENTS 2026'!H109)</f>
        <v/>
      </c>
      <c r="F109">
        <f>IF(ISBLANK('ENGAGEMENTS 2026'!B109),"",'ENGAGEMENTS 2026'!I109)</f>
        <v/>
      </c>
      <c r="G109">
        <f>IF(ISBLANK('ENGAGEMENTS 2026'!B109),"",'ENGAGEMENTS 2026'!L109)</f>
        <v/>
      </c>
      <c r="H109">
        <f>IF(ISBLANK('ENGAGEMENTS 2026'!B109),"",'ENGAGEMENTS 2026'!AE109)</f>
        <v/>
      </c>
      <c r="I109">
        <f>IF(ISBLANK('ENGAGEMENTS 2026'!B109),"",'ENGAGEMENTS 2026'!G109)</f>
        <v/>
      </c>
      <c r="J109" s="275">
        <f>IF(ISBLANK('ENGAGEMENTS 2026'!B109),"",IF(AND(OR($E109="INFRUCTUEUX",$E109="ANNULE"),$C109="AOO-M"),'ENGAGEMENTS 2026'!O109,IF($H109="EN COURS DE PREENGAGEMENT",'ENGAGEMENTS 2026'!N109,IF($H109="PREENGAGE",IF($E109="ATTRIBUE",'ENGAGEMENTS 2026'!AD109,'ENGAGEMENTS 2026'!N109),'ENGAGEMENTS 2026'!AD109))))</f>
        <v/>
      </c>
      <c r="K109" s="604">
        <f>IF(ISBLANK('ENGAGEMENTS 2026'!V109),"",'ENGAGEMENTS 2026'!V109)</f>
        <v/>
      </c>
      <c r="L109" s="276">
        <f>IF($K109="","",TODAY()-$K109)</f>
        <v/>
      </c>
      <c r="M109">
        <f>IF($A109="","",IF($H109="ENGAGE","Engagé",IF(AND($H109="NON ENGAGE",OR($I109="INFRUCTUEUX",$I109="ANNULE")),"Clôturé sans suite","En cours")))</f>
        <v/>
      </c>
      <c r="N109">
        <f>IF(ISBLANK('ENGAGEMENTS 2026'!B109),"",'ENGAGEMENTS 2026'!K109)</f>
        <v/>
      </c>
      <c r="O109">
        <f>IF(ISBLANK('ENGAGEMENTS 2026'!B109),"",'ENGAGEMENTS 2026'!L109)</f>
        <v/>
      </c>
      <c r="P109">
        <f>IF(ISBLANK('ENGAGEMENTS 2026'!B109),"",'ENGAGEMENTS 2026'!J109)</f>
        <v/>
      </c>
      <c r="Q109">
        <f>IF($A109="","",IF(OR($E109="INFRUCTUEUX",$E109="ANNULE"),$A109&amp;"|"&amp;(COUNTIFS($A$2:$A109,$A109,$E$2:$E109,"INFRUCTUEUX")+COUNTIFS($A$2:$A109,$A109,$E$2:$E109,"ANNULE")),""))</f>
        <v/>
      </c>
    </row>
    <row r="110">
      <c r="A110">
        <f>IF(ISBLANK('ENGAGEMENTS 2026'!B110),"",IF('ENGAGEMENTS 2026'!B110="DTSI","DCT",'ENGAGEMENTS 2026'!B110))</f>
        <v/>
      </c>
      <c r="B110">
        <f>IF(ISBLANK('ENGAGEMENTS 2026'!B110),"",'ENGAGEMENTS 2026'!C110)</f>
        <v/>
      </c>
      <c r="C110">
        <f>IF(ISBLANK('ENGAGEMENTS 2026'!B110),"",'ENGAGEMENTS 2026'!D110)</f>
        <v/>
      </c>
      <c r="D110">
        <f>IF(ISBLANK('ENGAGEMENTS 2026'!B110),"",'ENGAGEMENTS 2026'!F110)</f>
        <v/>
      </c>
      <c r="E110">
        <f>IF(ISBLANK('ENGAGEMENTS 2026'!B110),"",'ENGAGEMENTS 2026'!H110)</f>
        <v/>
      </c>
      <c r="F110">
        <f>IF(ISBLANK('ENGAGEMENTS 2026'!B110),"",'ENGAGEMENTS 2026'!I110)</f>
        <v/>
      </c>
      <c r="G110">
        <f>IF(ISBLANK('ENGAGEMENTS 2026'!B110),"",'ENGAGEMENTS 2026'!L110)</f>
        <v/>
      </c>
      <c r="H110">
        <f>IF(ISBLANK('ENGAGEMENTS 2026'!B110),"",'ENGAGEMENTS 2026'!AE110)</f>
        <v/>
      </c>
      <c r="I110">
        <f>IF(ISBLANK('ENGAGEMENTS 2026'!B110),"",'ENGAGEMENTS 2026'!G110)</f>
        <v/>
      </c>
      <c r="J110" s="275">
        <f>IF(ISBLANK('ENGAGEMENTS 2026'!B110),"",IF(AND(OR($E110="INFRUCTUEUX",$E110="ANNULE"),$C110="AOO-M"),'ENGAGEMENTS 2026'!O110,IF($H110="EN COURS DE PREENGAGEMENT",'ENGAGEMENTS 2026'!N110,IF($H110="PREENGAGE",IF($E110="ATTRIBUE",'ENGAGEMENTS 2026'!AD110,'ENGAGEMENTS 2026'!N110),'ENGAGEMENTS 2026'!AD110))))</f>
        <v/>
      </c>
      <c r="K110" s="604">
        <f>IF(ISBLANK('ENGAGEMENTS 2026'!V110),"",'ENGAGEMENTS 2026'!V110)</f>
        <v/>
      </c>
      <c r="L110" s="276">
        <f>IF($K110="","",TODAY()-$K110)</f>
        <v/>
      </c>
      <c r="M110">
        <f>IF($A110="","",IF($H110="ENGAGE","Engagé",IF(AND($H110="NON ENGAGE",OR($I110="INFRUCTUEUX",$I110="ANNULE")),"Clôturé sans suite","En cours")))</f>
        <v/>
      </c>
      <c r="N110">
        <f>IF(ISBLANK('ENGAGEMENTS 2026'!B110),"",'ENGAGEMENTS 2026'!K110)</f>
        <v/>
      </c>
      <c r="O110">
        <f>IF(ISBLANK('ENGAGEMENTS 2026'!B110),"",'ENGAGEMENTS 2026'!L110)</f>
        <v/>
      </c>
      <c r="P110">
        <f>IF(ISBLANK('ENGAGEMENTS 2026'!B110),"",'ENGAGEMENTS 2026'!J110)</f>
        <v/>
      </c>
      <c r="Q110">
        <f>IF($A110="","",IF(OR($E110="INFRUCTUEUX",$E110="ANNULE"),$A110&amp;"|"&amp;(COUNTIFS($A$2:$A110,$A110,$E$2:$E110,"INFRUCTUEUX")+COUNTIFS($A$2:$A110,$A110,$E$2:$E110,"ANNULE")),""))</f>
        <v/>
      </c>
    </row>
    <row r="111">
      <c r="A111">
        <f>IF(ISBLANK('ENGAGEMENTS 2026'!B111),"",IF('ENGAGEMENTS 2026'!B111="DTSI","DCT",'ENGAGEMENTS 2026'!B111))</f>
        <v/>
      </c>
      <c r="B111">
        <f>IF(ISBLANK('ENGAGEMENTS 2026'!B111),"",'ENGAGEMENTS 2026'!C111)</f>
        <v/>
      </c>
      <c r="C111">
        <f>IF(ISBLANK('ENGAGEMENTS 2026'!B111),"",'ENGAGEMENTS 2026'!D111)</f>
        <v/>
      </c>
      <c r="D111">
        <f>IF(ISBLANK('ENGAGEMENTS 2026'!B111),"",'ENGAGEMENTS 2026'!F111)</f>
        <v/>
      </c>
      <c r="E111">
        <f>IF(ISBLANK('ENGAGEMENTS 2026'!B111),"",'ENGAGEMENTS 2026'!H111)</f>
        <v/>
      </c>
      <c r="F111">
        <f>IF(ISBLANK('ENGAGEMENTS 2026'!B111),"",'ENGAGEMENTS 2026'!I111)</f>
        <v/>
      </c>
      <c r="G111">
        <f>IF(ISBLANK('ENGAGEMENTS 2026'!B111),"",'ENGAGEMENTS 2026'!L111)</f>
        <v/>
      </c>
      <c r="H111">
        <f>IF(ISBLANK('ENGAGEMENTS 2026'!B111),"",'ENGAGEMENTS 2026'!AE111)</f>
        <v/>
      </c>
      <c r="I111">
        <f>IF(ISBLANK('ENGAGEMENTS 2026'!B111),"",'ENGAGEMENTS 2026'!G111)</f>
        <v/>
      </c>
      <c r="J111" s="275">
        <f>IF(ISBLANK('ENGAGEMENTS 2026'!B111),"",IF(AND(OR($E111="INFRUCTUEUX",$E111="ANNULE"),$C111="AOO-M"),'ENGAGEMENTS 2026'!O111,IF($H111="EN COURS DE PREENGAGEMENT",'ENGAGEMENTS 2026'!N111,IF($H111="PREENGAGE",IF($E111="ATTRIBUE",'ENGAGEMENTS 2026'!AD111,'ENGAGEMENTS 2026'!N111),'ENGAGEMENTS 2026'!AD111))))</f>
        <v/>
      </c>
      <c r="K111" s="604">
        <f>IF(ISBLANK('ENGAGEMENTS 2026'!V111),"",'ENGAGEMENTS 2026'!V111)</f>
        <v/>
      </c>
      <c r="L111" s="276">
        <f>IF($K111="","",TODAY()-$K111)</f>
        <v/>
      </c>
      <c r="M111">
        <f>IF($A111="","",IF($H111="ENGAGE","Engagé",IF(AND($H111="NON ENGAGE",OR($I111="INFRUCTUEUX",$I111="ANNULE")),"Clôturé sans suite","En cours")))</f>
        <v/>
      </c>
      <c r="N111">
        <f>IF(ISBLANK('ENGAGEMENTS 2026'!B111),"",'ENGAGEMENTS 2026'!K111)</f>
        <v/>
      </c>
      <c r="O111">
        <f>IF(ISBLANK('ENGAGEMENTS 2026'!B111),"",'ENGAGEMENTS 2026'!L111)</f>
        <v/>
      </c>
      <c r="P111">
        <f>IF(ISBLANK('ENGAGEMENTS 2026'!B111),"",'ENGAGEMENTS 2026'!J111)</f>
        <v/>
      </c>
      <c r="Q111">
        <f>IF($A111="","",IF(OR($E111="INFRUCTUEUX",$E111="ANNULE"),$A111&amp;"|"&amp;(COUNTIFS($A$2:$A111,$A111,$E$2:$E111,"INFRUCTUEUX")+COUNTIFS($A$2:$A111,$A111,$E$2:$E111,"ANNULE")),""))</f>
        <v/>
      </c>
    </row>
    <row r="112">
      <c r="A112">
        <f>IF(ISBLANK('ENGAGEMENTS 2026'!B112),"",IF('ENGAGEMENTS 2026'!B112="DTSI","DCT",'ENGAGEMENTS 2026'!B112))</f>
        <v/>
      </c>
      <c r="B112">
        <f>IF(ISBLANK('ENGAGEMENTS 2026'!B112),"",'ENGAGEMENTS 2026'!C112)</f>
        <v/>
      </c>
      <c r="C112">
        <f>IF(ISBLANK('ENGAGEMENTS 2026'!B112),"",'ENGAGEMENTS 2026'!D112)</f>
        <v/>
      </c>
      <c r="D112">
        <f>IF(ISBLANK('ENGAGEMENTS 2026'!B112),"",'ENGAGEMENTS 2026'!F112)</f>
        <v/>
      </c>
      <c r="E112">
        <f>IF(ISBLANK('ENGAGEMENTS 2026'!B112),"",'ENGAGEMENTS 2026'!H112)</f>
        <v/>
      </c>
      <c r="F112">
        <f>IF(ISBLANK('ENGAGEMENTS 2026'!B112),"",'ENGAGEMENTS 2026'!I112)</f>
        <v/>
      </c>
      <c r="G112">
        <f>IF(ISBLANK('ENGAGEMENTS 2026'!B112),"",'ENGAGEMENTS 2026'!L112)</f>
        <v/>
      </c>
      <c r="H112">
        <f>IF(ISBLANK('ENGAGEMENTS 2026'!B112),"",'ENGAGEMENTS 2026'!AE112)</f>
        <v/>
      </c>
      <c r="I112">
        <f>IF(ISBLANK('ENGAGEMENTS 2026'!B112),"",'ENGAGEMENTS 2026'!G112)</f>
        <v/>
      </c>
      <c r="J112" s="275">
        <f>IF(ISBLANK('ENGAGEMENTS 2026'!B112),"",IF(AND(OR($E112="INFRUCTUEUX",$E112="ANNULE"),$C112="AOO-M"),'ENGAGEMENTS 2026'!O112,IF($H112="EN COURS DE PREENGAGEMENT",'ENGAGEMENTS 2026'!N112,IF($H112="PREENGAGE",IF($E112="ATTRIBUE",'ENGAGEMENTS 2026'!AD112,'ENGAGEMENTS 2026'!N112),'ENGAGEMENTS 2026'!AD112))))</f>
        <v/>
      </c>
      <c r="K112" s="604">
        <f>IF(ISBLANK('ENGAGEMENTS 2026'!V112),"",'ENGAGEMENTS 2026'!V112)</f>
        <v/>
      </c>
      <c r="L112" s="276">
        <f>IF($K112="","",TODAY()-$K112)</f>
        <v/>
      </c>
      <c r="M112">
        <f>IF($A112="","",IF($H112="ENGAGE","Engagé",IF(AND($H112="NON ENGAGE",OR($I112="INFRUCTUEUX",$I112="ANNULE")),"Clôturé sans suite","En cours")))</f>
        <v/>
      </c>
      <c r="N112">
        <f>IF(ISBLANK('ENGAGEMENTS 2026'!B112),"",'ENGAGEMENTS 2026'!K112)</f>
        <v/>
      </c>
      <c r="O112">
        <f>IF(ISBLANK('ENGAGEMENTS 2026'!B112),"",'ENGAGEMENTS 2026'!L112)</f>
        <v/>
      </c>
      <c r="P112">
        <f>IF(ISBLANK('ENGAGEMENTS 2026'!B112),"",'ENGAGEMENTS 2026'!J112)</f>
        <v/>
      </c>
      <c r="Q112">
        <f>IF($A112="","",IF(OR($E112="INFRUCTUEUX",$E112="ANNULE"),$A112&amp;"|"&amp;(COUNTIFS($A$2:$A112,$A112,$E$2:$E112,"INFRUCTUEUX")+COUNTIFS($A$2:$A112,$A112,$E$2:$E112,"ANNULE")),""))</f>
        <v/>
      </c>
    </row>
    <row r="113">
      <c r="A113">
        <f>IF(ISBLANK('ENGAGEMENTS 2026'!B113),"",IF('ENGAGEMENTS 2026'!B113="DTSI","DCT",'ENGAGEMENTS 2026'!B113))</f>
        <v/>
      </c>
      <c r="B113">
        <f>IF(ISBLANK('ENGAGEMENTS 2026'!B113),"",'ENGAGEMENTS 2026'!C113)</f>
        <v/>
      </c>
      <c r="C113">
        <f>IF(ISBLANK('ENGAGEMENTS 2026'!B113),"",'ENGAGEMENTS 2026'!D113)</f>
        <v/>
      </c>
      <c r="D113">
        <f>IF(ISBLANK('ENGAGEMENTS 2026'!B113),"",'ENGAGEMENTS 2026'!F113)</f>
        <v/>
      </c>
      <c r="E113">
        <f>IF(ISBLANK('ENGAGEMENTS 2026'!B113),"",'ENGAGEMENTS 2026'!H113)</f>
        <v/>
      </c>
      <c r="F113">
        <f>IF(ISBLANK('ENGAGEMENTS 2026'!B113),"",'ENGAGEMENTS 2026'!I113)</f>
        <v/>
      </c>
      <c r="G113">
        <f>IF(ISBLANK('ENGAGEMENTS 2026'!B113),"",'ENGAGEMENTS 2026'!L113)</f>
        <v/>
      </c>
      <c r="H113">
        <f>IF(ISBLANK('ENGAGEMENTS 2026'!B113),"",'ENGAGEMENTS 2026'!AE113)</f>
        <v/>
      </c>
      <c r="I113">
        <f>IF(ISBLANK('ENGAGEMENTS 2026'!B113),"",'ENGAGEMENTS 2026'!G113)</f>
        <v/>
      </c>
      <c r="J113" s="275">
        <f>IF(ISBLANK('ENGAGEMENTS 2026'!B113),"",IF(AND(OR($E113="INFRUCTUEUX",$E113="ANNULE"),$C113="AOO-M"),'ENGAGEMENTS 2026'!O113,IF($H113="EN COURS DE PREENGAGEMENT",'ENGAGEMENTS 2026'!N113,IF($H113="PREENGAGE",IF($E113="ATTRIBUE",'ENGAGEMENTS 2026'!AD113,'ENGAGEMENTS 2026'!N113),'ENGAGEMENTS 2026'!AD113))))</f>
        <v/>
      </c>
      <c r="K113" s="604">
        <f>IF(ISBLANK('ENGAGEMENTS 2026'!V113),"",'ENGAGEMENTS 2026'!V113)</f>
        <v/>
      </c>
      <c r="L113" s="276">
        <f>IF($K113="","",TODAY()-$K113)</f>
        <v/>
      </c>
      <c r="M113">
        <f>IF($A113="","",IF($H113="ENGAGE","Engagé",IF(AND($H113="NON ENGAGE",OR($I113="INFRUCTUEUX",$I113="ANNULE")),"Clôturé sans suite","En cours")))</f>
        <v/>
      </c>
      <c r="N113">
        <f>IF(ISBLANK('ENGAGEMENTS 2026'!B113),"",'ENGAGEMENTS 2026'!K113)</f>
        <v/>
      </c>
      <c r="O113">
        <f>IF(ISBLANK('ENGAGEMENTS 2026'!B113),"",'ENGAGEMENTS 2026'!L113)</f>
        <v/>
      </c>
      <c r="P113">
        <f>IF(ISBLANK('ENGAGEMENTS 2026'!B113),"",'ENGAGEMENTS 2026'!J113)</f>
        <v/>
      </c>
      <c r="Q113">
        <f>IF($A113="","",IF(OR($E113="INFRUCTUEUX",$E113="ANNULE"),$A113&amp;"|"&amp;(COUNTIFS($A$2:$A113,$A113,$E$2:$E113,"INFRUCTUEUX")+COUNTIFS($A$2:$A113,$A113,$E$2:$E113,"ANNULE")),""))</f>
        <v/>
      </c>
    </row>
    <row r="114">
      <c r="A114">
        <f>IF(ISBLANK('ENGAGEMENTS 2026'!B114),"",IF('ENGAGEMENTS 2026'!B114="DTSI","DCT",'ENGAGEMENTS 2026'!B114))</f>
        <v/>
      </c>
      <c r="B114">
        <f>IF(ISBLANK('ENGAGEMENTS 2026'!B114),"",'ENGAGEMENTS 2026'!C114)</f>
        <v/>
      </c>
      <c r="C114">
        <f>IF(ISBLANK('ENGAGEMENTS 2026'!B114),"",'ENGAGEMENTS 2026'!D114)</f>
        <v/>
      </c>
      <c r="D114">
        <f>IF(ISBLANK('ENGAGEMENTS 2026'!B114),"",'ENGAGEMENTS 2026'!F114)</f>
        <v/>
      </c>
      <c r="E114">
        <f>IF(ISBLANK('ENGAGEMENTS 2026'!B114),"",'ENGAGEMENTS 2026'!H114)</f>
        <v/>
      </c>
      <c r="F114">
        <f>IF(ISBLANK('ENGAGEMENTS 2026'!B114),"",'ENGAGEMENTS 2026'!I114)</f>
        <v/>
      </c>
      <c r="G114">
        <f>IF(ISBLANK('ENGAGEMENTS 2026'!B114),"",'ENGAGEMENTS 2026'!L114)</f>
        <v/>
      </c>
      <c r="H114">
        <f>IF(ISBLANK('ENGAGEMENTS 2026'!B114),"",'ENGAGEMENTS 2026'!AE114)</f>
        <v/>
      </c>
      <c r="I114">
        <f>IF(ISBLANK('ENGAGEMENTS 2026'!B114),"",'ENGAGEMENTS 2026'!G114)</f>
        <v/>
      </c>
      <c r="J114" s="275">
        <f>IF(ISBLANK('ENGAGEMENTS 2026'!B114),"",IF(AND(OR($E114="INFRUCTUEUX",$E114="ANNULE"),$C114="AOO-M"),'ENGAGEMENTS 2026'!O114,IF($H114="EN COURS DE PREENGAGEMENT",'ENGAGEMENTS 2026'!N114,IF($H114="PREENGAGE",IF($E114="ATTRIBUE",'ENGAGEMENTS 2026'!AD114,'ENGAGEMENTS 2026'!N114),'ENGAGEMENTS 2026'!AD114))))</f>
        <v/>
      </c>
      <c r="K114" s="604">
        <f>IF(ISBLANK('ENGAGEMENTS 2026'!V114),"",'ENGAGEMENTS 2026'!V114)</f>
        <v/>
      </c>
      <c r="L114" s="276">
        <f>IF($K114="","",TODAY()-$K114)</f>
        <v/>
      </c>
      <c r="M114">
        <f>IF($A114="","",IF($H114="ENGAGE","Engagé",IF(AND($H114="NON ENGAGE",OR($I114="INFRUCTUEUX",$I114="ANNULE")),"Clôturé sans suite","En cours")))</f>
        <v/>
      </c>
      <c r="N114">
        <f>IF(ISBLANK('ENGAGEMENTS 2026'!B114),"",'ENGAGEMENTS 2026'!K114)</f>
        <v/>
      </c>
      <c r="O114">
        <f>IF(ISBLANK('ENGAGEMENTS 2026'!B114),"",'ENGAGEMENTS 2026'!L114)</f>
        <v/>
      </c>
      <c r="P114">
        <f>IF(ISBLANK('ENGAGEMENTS 2026'!B114),"",'ENGAGEMENTS 2026'!J114)</f>
        <v/>
      </c>
      <c r="Q114">
        <f>IF($A114="","",IF(OR($E114="INFRUCTUEUX",$E114="ANNULE"),$A114&amp;"|"&amp;(COUNTIFS($A$2:$A114,$A114,$E$2:$E114,"INFRUCTUEUX")+COUNTIFS($A$2:$A114,$A114,$E$2:$E114,"ANNULE")),""))</f>
        <v/>
      </c>
    </row>
    <row r="115">
      <c r="A115">
        <f>IF(ISBLANK('ENGAGEMENTS 2026'!B115),"",IF('ENGAGEMENTS 2026'!B115="DTSI","DCT",'ENGAGEMENTS 2026'!B115))</f>
        <v/>
      </c>
      <c r="B115">
        <f>IF(ISBLANK('ENGAGEMENTS 2026'!B115),"",'ENGAGEMENTS 2026'!C115)</f>
        <v/>
      </c>
      <c r="C115">
        <f>IF(ISBLANK('ENGAGEMENTS 2026'!B115),"",'ENGAGEMENTS 2026'!D115)</f>
        <v/>
      </c>
      <c r="D115">
        <f>IF(ISBLANK('ENGAGEMENTS 2026'!B115),"",'ENGAGEMENTS 2026'!F115)</f>
        <v/>
      </c>
      <c r="E115">
        <f>IF(ISBLANK('ENGAGEMENTS 2026'!B115),"",'ENGAGEMENTS 2026'!H115)</f>
        <v/>
      </c>
      <c r="F115">
        <f>IF(ISBLANK('ENGAGEMENTS 2026'!B115),"",'ENGAGEMENTS 2026'!I115)</f>
        <v/>
      </c>
      <c r="G115">
        <f>IF(ISBLANK('ENGAGEMENTS 2026'!B115),"",'ENGAGEMENTS 2026'!L115)</f>
        <v/>
      </c>
      <c r="H115">
        <f>IF(ISBLANK('ENGAGEMENTS 2026'!B115),"",'ENGAGEMENTS 2026'!AE115)</f>
        <v/>
      </c>
      <c r="I115">
        <f>IF(ISBLANK('ENGAGEMENTS 2026'!B115),"",'ENGAGEMENTS 2026'!G115)</f>
        <v/>
      </c>
      <c r="J115" s="275">
        <f>IF(ISBLANK('ENGAGEMENTS 2026'!B115),"",IF(AND(OR($E115="INFRUCTUEUX",$E115="ANNULE"),$C115="AOO-M"),'ENGAGEMENTS 2026'!O115,IF($H115="EN COURS DE PREENGAGEMENT",'ENGAGEMENTS 2026'!N115,IF($H115="PREENGAGE",IF($E115="ATTRIBUE",'ENGAGEMENTS 2026'!AD115,'ENGAGEMENTS 2026'!N115),'ENGAGEMENTS 2026'!AD115))))</f>
        <v/>
      </c>
      <c r="K115" s="604">
        <f>IF(ISBLANK('ENGAGEMENTS 2026'!V115),"",'ENGAGEMENTS 2026'!V115)</f>
        <v/>
      </c>
      <c r="L115" s="276">
        <f>IF($K115="","",TODAY()-$K115)</f>
        <v/>
      </c>
      <c r="M115">
        <f>IF($A115="","",IF($H115="ENGAGE","Engagé",IF(AND($H115="NON ENGAGE",OR($I115="INFRUCTUEUX",$I115="ANNULE")),"Clôturé sans suite","En cours")))</f>
        <v/>
      </c>
      <c r="N115">
        <f>IF(ISBLANK('ENGAGEMENTS 2026'!B115),"",'ENGAGEMENTS 2026'!K115)</f>
        <v/>
      </c>
      <c r="O115">
        <f>IF(ISBLANK('ENGAGEMENTS 2026'!B115),"",'ENGAGEMENTS 2026'!L115)</f>
        <v/>
      </c>
      <c r="P115">
        <f>IF(ISBLANK('ENGAGEMENTS 2026'!B115),"",'ENGAGEMENTS 2026'!J115)</f>
        <v/>
      </c>
      <c r="Q115">
        <f>IF($A115="","",IF(OR($E115="INFRUCTUEUX",$E115="ANNULE"),$A115&amp;"|"&amp;(COUNTIFS($A$2:$A115,$A115,$E$2:$E115,"INFRUCTUEUX")+COUNTIFS($A$2:$A115,$A115,$E$2:$E115,"ANNULE")),""))</f>
        <v/>
      </c>
    </row>
    <row r="116">
      <c r="A116">
        <f>IF(ISBLANK('ENGAGEMENTS 2026'!B116),"",IF('ENGAGEMENTS 2026'!B116="DTSI","DCT",'ENGAGEMENTS 2026'!B116))</f>
        <v/>
      </c>
      <c r="B116">
        <f>IF(ISBLANK('ENGAGEMENTS 2026'!B116),"",'ENGAGEMENTS 2026'!C116)</f>
        <v/>
      </c>
      <c r="C116">
        <f>IF(ISBLANK('ENGAGEMENTS 2026'!B116),"",'ENGAGEMENTS 2026'!D116)</f>
        <v/>
      </c>
      <c r="D116">
        <f>IF(ISBLANK('ENGAGEMENTS 2026'!B116),"",'ENGAGEMENTS 2026'!F116)</f>
        <v/>
      </c>
      <c r="E116">
        <f>IF(ISBLANK('ENGAGEMENTS 2026'!B116),"",'ENGAGEMENTS 2026'!H116)</f>
        <v/>
      </c>
      <c r="F116">
        <f>IF(ISBLANK('ENGAGEMENTS 2026'!B116),"",'ENGAGEMENTS 2026'!I116)</f>
        <v/>
      </c>
      <c r="G116">
        <f>IF(ISBLANK('ENGAGEMENTS 2026'!B116),"",'ENGAGEMENTS 2026'!L116)</f>
        <v/>
      </c>
      <c r="H116">
        <f>IF(ISBLANK('ENGAGEMENTS 2026'!B116),"",'ENGAGEMENTS 2026'!AE116)</f>
        <v/>
      </c>
      <c r="I116">
        <f>IF(ISBLANK('ENGAGEMENTS 2026'!B116),"",'ENGAGEMENTS 2026'!G116)</f>
        <v/>
      </c>
      <c r="J116" s="275">
        <f>IF(ISBLANK('ENGAGEMENTS 2026'!B116),"",IF(AND(OR($E116="INFRUCTUEUX",$E116="ANNULE"),$C116="AOO-M"),'ENGAGEMENTS 2026'!O116,IF($H116="EN COURS DE PREENGAGEMENT",'ENGAGEMENTS 2026'!N116,IF($H116="PREENGAGE",IF($E116="ATTRIBUE",'ENGAGEMENTS 2026'!AD116,'ENGAGEMENTS 2026'!N116),'ENGAGEMENTS 2026'!AD116))))</f>
        <v/>
      </c>
      <c r="K116" s="604">
        <f>IF(ISBLANK('ENGAGEMENTS 2026'!V116),"",'ENGAGEMENTS 2026'!V116)</f>
        <v/>
      </c>
      <c r="L116" s="276">
        <f>IF($K116="","",TODAY()-$K116)</f>
        <v/>
      </c>
      <c r="M116">
        <f>IF($A116="","",IF($H116="ENGAGE","Engagé",IF(AND($H116="NON ENGAGE",OR($I116="INFRUCTUEUX",$I116="ANNULE")),"Clôturé sans suite","En cours")))</f>
        <v/>
      </c>
      <c r="N116">
        <f>IF(ISBLANK('ENGAGEMENTS 2026'!B116),"",'ENGAGEMENTS 2026'!K116)</f>
        <v/>
      </c>
      <c r="O116">
        <f>IF(ISBLANK('ENGAGEMENTS 2026'!B116),"",'ENGAGEMENTS 2026'!L116)</f>
        <v/>
      </c>
      <c r="P116">
        <f>IF(ISBLANK('ENGAGEMENTS 2026'!B116),"",'ENGAGEMENTS 2026'!J116)</f>
        <v/>
      </c>
      <c r="Q116">
        <f>IF($A116="","",IF(OR($E116="INFRUCTUEUX",$E116="ANNULE"),$A116&amp;"|"&amp;(COUNTIFS($A$2:$A116,$A116,$E$2:$E116,"INFRUCTUEUX")+COUNTIFS($A$2:$A116,$A116,$E$2:$E116,"ANNULE")),""))</f>
        <v/>
      </c>
    </row>
    <row r="117">
      <c r="A117">
        <f>IF(ISBLANK('ENGAGEMENTS 2026'!B117),"",IF('ENGAGEMENTS 2026'!B117="DTSI","DCT",'ENGAGEMENTS 2026'!B117))</f>
        <v/>
      </c>
      <c r="B117">
        <f>IF(ISBLANK('ENGAGEMENTS 2026'!B117),"",'ENGAGEMENTS 2026'!C117)</f>
        <v/>
      </c>
      <c r="C117">
        <f>IF(ISBLANK('ENGAGEMENTS 2026'!B117),"",'ENGAGEMENTS 2026'!D117)</f>
        <v/>
      </c>
      <c r="D117">
        <f>IF(ISBLANK('ENGAGEMENTS 2026'!B117),"",'ENGAGEMENTS 2026'!F117)</f>
        <v/>
      </c>
      <c r="E117">
        <f>IF(ISBLANK('ENGAGEMENTS 2026'!B117),"",'ENGAGEMENTS 2026'!H117)</f>
        <v/>
      </c>
      <c r="F117">
        <f>IF(ISBLANK('ENGAGEMENTS 2026'!B117),"",'ENGAGEMENTS 2026'!I117)</f>
        <v/>
      </c>
      <c r="G117">
        <f>IF(ISBLANK('ENGAGEMENTS 2026'!B117),"",'ENGAGEMENTS 2026'!L117)</f>
        <v/>
      </c>
      <c r="H117">
        <f>IF(ISBLANK('ENGAGEMENTS 2026'!B117),"",'ENGAGEMENTS 2026'!AE117)</f>
        <v/>
      </c>
      <c r="I117">
        <f>IF(ISBLANK('ENGAGEMENTS 2026'!B117),"",'ENGAGEMENTS 2026'!G117)</f>
        <v/>
      </c>
      <c r="J117" s="275">
        <f>IF(ISBLANK('ENGAGEMENTS 2026'!B117),"",IF(AND(OR($E117="INFRUCTUEUX",$E117="ANNULE"),$C117="AOO-M"),'ENGAGEMENTS 2026'!O117,IF($H117="EN COURS DE PREENGAGEMENT",'ENGAGEMENTS 2026'!N117,IF($H117="PREENGAGE",IF($E117="ATTRIBUE",'ENGAGEMENTS 2026'!AD117,'ENGAGEMENTS 2026'!N117),'ENGAGEMENTS 2026'!AD117))))</f>
        <v/>
      </c>
      <c r="K117" s="604">
        <f>IF(ISBLANK('ENGAGEMENTS 2026'!V117),"",'ENGAGEMENTS 2026'!V117)</f>
        <v/>
      </c>
      <c r="L117" s="276">
        <f>IF($K117="","",TODAY()-$K117)</f>
        <v/>
      </c>
      <c r="M117">
        <f>IF($A117="","",IF($H117="ENGAGE","Engagé",IF(AND($H117="NON ENGAGE",OR($I117="INFRUCTUEUX",$I117="ANNULE")),"Clôturé sans suite","En cours")))</f>
        <v/>
      </c>
      <c r="N117">
        <f>IF(ISBLANK('ENGAGEMENTS 2026'!B117),"",'ENGAGEMENTS 2026'!K117)</f>
        <v/>
      </c>
      <c r="O117">
        <f>IF(ISBLANK('ENGAGEMENTS 2026'!B117),"",'ENGAGEMENTS 2026'!L117)</f>
        <v/>
      </c>
      <c r="P117">
        <f>IF(ISBLANK('ENGAGEMENTS 2026'!B117),"",'ENGAGEMENTS 2026'!J117)</f>
        <v/>
      </c>
      <c r="Q117">
        <f>IF($A117="","",IF(OR($E117="INFRUCTUEUX",$E117="ANNULE"),$A117&amp;"|"&amp;(COUNTIFS($A$2:$A117,$A117,$E$2:$E117,"INFRUCTUEUX")+COUNTIFS($A$2:$A117,$A117,$E$2:$E117,"ANNULE")),""))</f>
        <v/>
      </c>
    </row>
    <row r="118">
      <c r="A118">
        <f>IF(ISBLANK('ENGAGEMENTS 2026'!B118),"",IF('ENGAGEMENTS 2026'!B118="DTSI","DCT",'ENGAGEMENTS 2026'!B118))</f>
        <v/>
      </c>
      <c r="B118">
        <f>IF(ISBLANK('ENGAGEMENTS 2026'!B118),"",'ENGAGEMENTS 2026'!C118)</f>
        <v/>
      </c>
      <c r="C118">
        <f>IF(ISBLANK('ENGAGEMENTS 2026'!B118),"",'ENGAGEMENTS 2026'!D118)</f>
        <v/>
      </c>
      <c r="D118">
        <f>IF(ISBLANK('ENGAGEMENTS 2026'!B118),"",'ENGAGEMENTS 2026'!F118)</f>
        <v/>
      </c>
      <c r="E118">
        <f>IF(ISBLANK('ENGAGEMENTS 2026'!B118),"",'ENGAGEMENTS 2026'!H118)</f>
        <v/>
      </c>
      <c r="F118">
        <f>IF(ISBLANK('ENGAGEMENTS 2026'!B118),"",'ENGAGEMENTS 2026'!I118)</f>
        <v/>
      </c>
      <c r="G118">
        <f>IF(ISBLANK('ENGAGEMENTS 2026'!B118),"",'ENGAGEMENTS 2026'!L118)</f>
        <v/>
      </c>
      <c r="H118">
        <f>IF(ISBLANK('ENGAGEMENTS 2026'!B118),"",'ENGAGEMENTS 2026'!AE118)</f>
        <v/>
      </c>
      <c r="I118">
        <f>IF(ISBLANK('ENGAGEMENTS 2026'!B118),"",'ENGAGEMENTS 2026'!G118)</f>
        <v/>
      </c>
      <c r="J118" s="275">
        <f>IF(ISBLANK('ENGAGEMENTS 2026'!B118),"",IF(AND(OR($E118="INFRUCTUEUX",$E118="ANNULE"),$C118="AOO-M"),'ENGAGEMENTS 2026'!O118,IF($H118="EN COURS DE PREENGAGEMENT",'ENGAGEMENTS 2026'!N118,IF($H118="PREENGAGE",IF($E118="ATTRIBUE",'ENGAGEMENTS 2026'!AD118,'ENGAGEMENTS 2026'!N118),'ENGAGEMENTS 2026'!AD118))))</f>
        <v/>
      </c>
      <c r="K118" s="604">
        <f>IF(ISBLANK('ENGAGEMENTS 2026'!V118),"",'ENGAGEMENTS 2026'!V118)</f>
        <v/>
      </c>
      <c r="L118" s="276">
        <f>IF($K118="","",TODAY()-$K118)</f>
        <v/>
      </c>
      <c r="M118">
        <f>IF($A118="","",IF($H118="ENGAGE","Engagé",IF(AND($H118="NON ENGAGE",OR($I118="INFRUCTUEUX",$I118="ANNULE")),"Clôturé sans suite","En cours")))</f>
        <v/>
      </c>
      <c r="N118">
        <f>IF(ISBLANK('ENGAGEMENTS 2026'!B118),"",'ENGAGEMENTS 2026'!K118)</f>
        <v/>
      </c>
      <c r="O118">
        <f>IF(ISBLANK('ENGAGEMENTS 2026'!B118),"",'ENGAGEMENTS 2026'!L118)</f>
        <v/>
      </c>
      <c r="P118">
        <f>IF(ISBLANK('ENGAGEMENTS 2026'!B118),"",'ENGAGEMENTS 2026'!J118)</f>
        <v/>
      </c>
      <c r="Q118">
        <f>IF($A118="","",IF(OR($E118="INFRUCTUEUX",$E118="ANNULE"),$A118&amp;"|"&amp;(COUNTIFS($A$2:$A118,$A118,$E$2:$E118,"INFRUCTUEUX")+COUNTIFS($A$2:$A118,$A118,$E$2:$E118,"ANNULE")),""))</f>
        <v/>
      </c>
    </row>
    <row r="119">
      <c r="A119">
        <f>IF(ISBLANK('ENGAGEMENTS 2026'!B119),"",IF('ENGAGEMENTS 2026'!B119="DTSI","DCT",'ENGAGEMENTS 2026'!B119))</f>
        <v/>
      </c>
      <c r="B119">
        <f>IF(ISBLANK('ENGAGEMENTS 2026'!B119),"",'ENGAGEMENTS 2026'!C119)</f>
        <v/>
      </c>
      <c r="C119">
        <f>IF(ISBLANK('ENGAGEMENTS 2026'!B119),"",'ENGAGEMENTS 2026'!D119)</f>
        <v/>
      </c>
      <c r="D119">
        <f>IF(ISBLANK('ENGAGEMENTS 2026'!B119),"",'ENGAGEMENTS 2026'!F119)</f>
        <v/>
      </c>
      <c r="E119">
        <f>IF(ISBLANK('ENGAGEMENTS 2026'!B119),"",'ENGAGEMENTS 2026'!H119)</f>
        <v/>
      </c>
      <c r="F119">
        <f>IF(ISBLANK('ENGAGEMENTS 2026'!B119),"",'ENGAGEMENTS 2026'!I119)</f>
        <v/>
      </c>
      <c r="G119">
        <f>IF(ISBLANK('ENGAGEMENTS 2026'!B119),"",'ENGAGEMENTS 2026'!L119)</f>
        <v/>
      </c>
      <c r="H119">
        <f>IF(ISBLANK('ENGAGEMENTS 2026'!B119),"",'ENGAGEMENTS 2026'!AE119)</f>
        <v/>
      </c>
      <c r="I119">
        <f>IF(ISBLANK('ENGAGEMENTS 2026'!B119),"",'ENGAGEMENTS 2026'!G119)</f>
        <v/>
      </c>
      <c r="J119" s="275">
        <f>IF(ISBLANK('ENGAGEMENTS 2026'!B119),"",IF(AND(OR($E119="INFRUCTUEUX",$E119="ANNULE"),$C119="AOO-M"),'ENGAGEMENTS 2026'!O119,IF($H119="EN COURS DE PREENGAGEMENT",'ENGAGEMENTS 2026'!N119,IF($H119="PREENGAGE",IF($E119="ATTRIBUE",'ENGAGEMENTS 2026'!AD119,'ENGAGEMENTS 2026'!N119),'ENGAGEMENTS 2026'!AD119))))</f>
        <v/>
      </c>
      <c r="K119" s="604">
        <f>IF(ISBLANK('ENGAGEMENTS 2026'!V119),"",'ENGAGEMENTS 2026'!V119)</f>
        <v/>
      </c>
      <c r="L119" s="276">
        <f>IF($K119="","",TODAY()-$K119)</f>
        <v/>
      </c>
      <c r="M119">
        <f>IF($A119="","",IF($H119="ENGAGE","Engagé",IF(AND($H119="NON ENGAGE",OR($I119="INFRUCTUEUX",$I119="ANNULE")),"Clôturé sans suite","En cours")))</f>
        <v/>
      </c>
      <c r="N119">
        <f>IF(ISBLANK('ENGAGEMENTS 2026'!B119),"",'ENGAGEMENTS 2026'!K119)</f>
        <v/>
      </c>
      <c r="O119">
        <f>IF(ISBLANK('ENGAGEMENTS 2026'!B119),"",'ENGAGEMENTS 2026'!L119)</f>
        <v/>
      </c>
      <c r="P119">
        <f>IF(ISBLANK('ENGAGEMENTS 2026'!B119),"",'ENGAGEMENTS 2026'!J119)</f>
        <v/>
      </c>
      <c r="Q119">
        <f>IF($A119="","",IF(OR($E119="INFRUCTUEUX",$E119="ANNULE"),$A119&amp;"|"&amp;(COUNTIFS($A$2:$A119,$A119,$E$2:$E119,"INFRUCTUEUX")+COUNTIFS($A$2:$A119,$A119,$E$2:$E119,"ANNULE")),""))</f>
        <v/>
      </c>
    </row>
    <row r="120">
      <c r="A120">
        <f>IF(ISBLANK('ENGAGEMENTS 2026'!B120),"",IF('ENGAGEMENTS 2026'!B120="DTSI","DCT",'ENGAGEMENTS 2026'!B120))</f>
        <v/>
      </c>
      <c r="B120">
        <f>IF(ISBLANK('ENGAGEMENTS 2026'!B120),"",'ENGAGEMENTS 2026'!C120)</f>
        <v/>
      </c>
      <c r="C120">
        <f>IF(ISBLANK('ENGAGEMENTS 2026'!B120),"",'ENGAGEMENTS 2026'!D120)</f>
        <v/>
      </c>
      <c r="D120">
        <f>IF(ISBLANK('ENGAGEMENTS 2026'!B120),"",'ENGAGEMENTS 2026'!F120)</f>
        <v/>
      </c>
      <c r="E120">
        <f>IF(ISBLANK('ENGAGEMENTS 2026'!B120),"",'ENGAGEMENTS 2026'!H120)</f>
        <v/>
      </c>
      <c r="F120">
        <f>IF(ISBLANK('ENGAGEMENTS 2026'!B120),"",'ENGAGEMENTS 2026'!I120)</f>
        <v/>
      </c>
      <c r="G120">
        <f>IF(ISBLANK('ENGAGEMENTS 2026'!B120),"",'ENGAGEMENTS 2026'!L120)</f>
        <v/>
      </c>
      <c r="H120">
        <f>IF(ISBLANK('ENGAGEMENTS 2026'!B120),"",'ENGAGEMENTS 2026'!AE120)</f>
        <v/>
      </c>
      <c r="I120">
        <f>IF(ISBLANK('ENGAGEMENTS 2026'!B120),"",'ENGAGEMENTS 2026'!G120)</f>
        <v/>
      </c>
      <c r="J120" s="275">
        <f>IF(ISBLANK('ENGAGEMENTS 2026'!B120),"",IF(AND(OR($E120="INFRUCTUEUX",$E120="ANNULE"),$C120="AOO-M"),'ENGAGEMENTS 2026'!O120,IF($H120="EN COURS DE PREENGAGEMENT",'ENGAGEMENTS 2026'!N120,IF($H120="PREENGAGE",IF($E120="ATTRIBUE",'ENGAGEMENTS 2026'!AD120,'ENGAGEMENTS 2026'!N120),'ENGAGEMENTS 2026'!AD120))))</f>
        <v/>
      </c>
      <c r="K120" s="604">
        <f>IF(ISBLANK('ENGAGEMENTS 2026'!V120),"",'ENGAGEMENTS 2026'!V120)</f>
        <v/>
      </c>
      <c r="L120" s="276">
        <f>IF($K120="","",TODAY()-$K120)</f>
        <v/>
      </c>
      <c r="M120">
        <f>IF($A120="","",IF($H120="ENGAGE","Engagé",IF(AND($H120="NON ENGAGE",OR($I120="INFRUCTUEUX",$I120="ANNULE")),"Clôturé sans suite","En cours")))</f>
        <v/>
      </c>
      <c r="N120">
        <f>IF(ISBLANK('ENGAGEMENTS 2026'!B120),"",'ENGAGEMENTS 2026'!K120)</f>
        <v/>
      </c>
      <c r="O120">
        <f>IF(ISBLANK('ENGAGEMENTS 2026'!B120),"",'ENGAGEMENTS 2026'!L120)</f>
        <v/>
      </c>
      <c r="P120">
        <f>IF(ISBLANK('ENGAGEMENTS 2026'!B120),"",'ENGAGEMENTS 2026'!J120)</f>
        <v/>
      </c>
      <c r="Q120">
        <f>IF($A120="","",IF(OR($E120="INFRUCTUEUX",$E120="ANNULE"),$A120&amp;"|"&amp;(COUNTIFS($A$2:$A120,$A120,$E$2:$E120,"INFRUCTUEUX")+COUNTIFS($A$2:$A120,$A120,$E$2:$E120,"ANNULE")),""))</f>
        <v/>
      </c>
    </row>
    <row r="121">
      <c r="A121">
        <f>IF(ISBLANK('ENGAGEMENTS 2026'!B121),"",IF('ENGAGEMENTS 2026'!B121="DTSI","DCT",'ENGAGEMENTS 2026'!B121))</f>
        <v/>
      </c>
      <c r="B121">
        <f>IF(ISBLANK('ENGAGEMENTS 2026'!B121),"",'ENGAGEMENTS 2026'!C121)</f>
        <v/>
      </c>
      <c r="C121">
        <f>IF(ISBLANK('ENGAGEMENTS 2026'!B121),"",'ENGAGEMENTS 2026'!D121)</f>
        <v/>
      </c>
      <c r="D121">
        <f>IF(ISBLANK('ENGAGEMENTS 2026'!B121),"",'ENGAGEMENTS 2026'!F121)</f>
        <v/>
      </c>
      <c r="E121">
        <f>IF(ISBLANK('ENGAGEMENTS 2026'!B121),"",'ENGAGEMENTS 2026'!H121)</f>
        <v/>
      </c>
      <c r="F121">
        <f>IF(ISBLANK('ENGAGEMENTS 2026'!B121),"",'ENGAGEMENTS 2026'!I121)</f>
        <v/>
      </c>
      <c r="G121">
        <f>IF(ISBLANK('ENGAGEMENTS 2026'!B121),"",'ENGAGEMENTS 2026'!L121)</f>
        <v/>
      </c>
      <c r="H121">
        <f>IF(ISBLANK('ENGAGEMENTS 2026'!B121),"",'ENGAGEMENTS 2026'!AE121)</f>
        <v/>
      </c>
      <c r="I121">
        <f>IF(ISBLANK('ENGAGEMENTS 2026'!B121),"",'ENGAGEMENTS 2026'!G121)</f>
        <v/>
      </c>
      <c r="J121" s="275">
        <f>IF(ISBLANK('ENGAGEMENTS 2026'!B121),"",IF(AND(OR($E121="INFRUCTUEUX",$E121="ANNULE"),$C121="AOO-M"),'ENGAGEMENTS 2026'!O121,IF($H121="EN COURS DE PREENGAGEMENT",'ENGAGEMENTS 2026'!N121,IF($H121="PREENGAGE",IF($E121="ATTRIBUE",'ENGAGEMENTS 2026'!AD121,'ENGAGEMENTS 2026'!N121),'ENGAGEMENTS 2026'!AD121))))</f>
        <v/>
      </c>
      <c r="K121" s="604">
        <f>IF(ISBLANK('ENGAGEMENTS 2026'!V121),"",'ENGAGEMENTS 2026'!V121)</f>
        <v/>
      </c>
      <c r="L121" s="276">
        <f>IF($K121="","",TODAY()-$K121)</f>
        <v/>
      </c>
      <c r="M121">
        <f>IF($A121="","",IF($H121="ENGAGE","Engagé",IF(AND($H121="NON ENGAGE",OR($I121="INFRUCTUEUX",$I121="ANNULE")),"Clôturé sans suite","En cours")))</f>
        <v/>
      </c>
      <c r="N121">
        <f>IF(ISBLANK('ENGAGEMENTS 2026'!B121),"",'ENGAGEMENTS 2026'!K121)</f>
        <v/>
      </c>
      <c r="O121">
        <f>IF(ISBLANK('ENGAGEMENTS 2026'!B121),"",'ENGAGEMENTS 2026'!L121)</f>
        <v/>
      </c>
      <c r="P121">
        <f>IF(ISBLANK('ENGAGEMENTS 2026'!B121),"",'ENGAGEMENTS 2026'!J121)</f>
        <v/>
      </c>
      <c r="Q121">
        <f>IF($A121="","",IF(OR($E121="INFRUCTUEUX",$E121="ANNULE"),$A121&amp;"|"&amp;(COUNTIFS($A$2:$A121,$A121,$E$2:$E121,"INFRUCTUEUX")+COUNTIFS($A$2:$A121,$A121,$E$2:$E121,"ANNULE")),""))</f>
        <v/>
      </c>
    </row>
    <row r="122">
      <c r="A122">
        <f>IF(ISBLANK('ENGAGEMENTS 2026'!B122),"",IF('ENGAGEMENTS 2026'!B122="DTSI","DCT",'ENGAGEMENTS 2026'!B122))</f>
        <v/>
      </c>
      <c r="B122">
        <f>IF(ISBLANK('ENGAGEMENTS 2026'!B122),"",'ENGAGEMENTS 2026'!C122)</f>
        <v/>
      </c>
      <c r="C122">
        <f>IF(ISBLANK('ENGAGEMENTS 2026'!B122),"",'ENGAGEMENTS 2026'!D122)</f>
        <v/>
      </c>
      <c r="D122">
        <f>IF(ISBLANK('ENGAGEMENTS 2026'!B122),"",'ENGAGEMENTS 2026'!F122)</f>
        <v/>
      </c>
      <c r="E122">
        <f>IF(ISBLANK('ENGAGEMENTS 2026'!B122),"",'ENGAGEMENTS 2026'!H122)</f>
        <v/>
      </c>
      <c r="F122">
        <f>IF(ISBLANK('ENGAGEMENTS 2026'!B122),"",'ENGAGEMENTS 2026'!I122)</f>
        <v/>
      </c>
      <c r="G122">
        <f>IF(ISBLANK('ENGAGEMENTS 2026'!B122),"",'ENGAGEMENTS 2026'!L122)</f>
        <v/>
      </c>
      <c r="H122">
        <f>IF(ISBLANK('ENGAGEMENTS 2026'!B122),"",'ENGAGEMENTS 2026'!AE122)</f>
        <v/>
      </c>
      <c r="I122">
        <f>IF(ISBLANK('ENGAGEMENTS 2026'!B122),"",'ENGAGEMENTS 2026'!G122)</f>
        <v/>
      </c>
      <c r="J122" s="275">
        <f>IF(ISBLANK('ENGAGEMENTS 2026'!B122),"",IF(AND(OR($E122="INFRUCTUEUX",$E122="ANNULE"),$C122="AOO-M"),'ENGAGEMENTS 2026'!O122,IF($H122="EN COURS DE PREENGAGEMENT",'ENGAGEMENTS 2026'!N122,IF($H122="PREENGAGE",IF($E122="ATTRIBUE",'ENGAGEMENTS 2026'!AD122,'ENGAGEMENTS 2026'!N122),'ENGAGEMENTS 2026'!AD122))))</f>
        <v/>
      </c>
      <c r="K122" s="604">
        <f>IF(ISBLANK('ENGAGEMENTS 2026'!V122),"",'ENGAGEMENTS 2026'!V122)</f>
        <v/>
      </c>
      <c r="L122" s="276">
        <f>IF($K122="","",TODAY()-$K122)</f>
        <v/>
      </c>
      <c r="M122">
        <f>IF($A122="","",IF($H122="ENGAGE","Engagé",IF(AND($H122="NON ENGAGE",OR($I122="INFRUCTUEUX",$I122="ANNULE")),"Clôturé sans suite","En cours")))</f>
        <v/>
      </c>
      <c r="N122">
        <f>IF(ISBLANK('ENGAGEMENTS 2026'!B122),"",'ENGAGEMENTS 2026'!K122)</f>
        <v/>
      </c>
      <c r="O122">
        <f>IF(ISBLANK('ENGAGEMENTS 2026'!B122),"",'ENGAGEMENTS 2026'!L122)</f>
        <v/>
      </c>
      <c r="P122">
        <f>IF(ISBLANK('ENGAGEMENTS 2026'!B122),"",'ENGAGEMENTS 2026'!J122)</f>
        <v/>
      </c>
      <c r="Q122">
        <f>IF($A122="","",IF(OR($E122="INFRUCTUEUX",$E122="ANNULE"),$A122&amp;"|"&amp;(COUNTIFS($A$2:$A122,$A122,$E$2:$E122,"INFRUCTUEUX")+COUNTIFS($A$2:$A122,$A122,$E$2:$E122,"ANNULE")),""))</f>
        <v/>
      </c>
    </row>
    <row r="123">
      <c r="A123">
        <f>IF(ISBLANK('ENGAGEMENTS 2026'!B123),"",IF('ENGAGEMENTS 2026'!B123="DTSI","DCT",'ENGAGEMENTS 2026'!B123))</f>
        <v/>
      </c>
      <c r="B123">
        <f>IF(ISBLANK('ENGAGEMENTS 2026'!B123),"",'ENGAGEMENTS 2026'!C123)</f>
        <v/>
      </c>
      <c r="C123">
        <f>IF(ISBLANK('ENGAGEMENTS 2026'!B123),"",'ENGAGEMENTS 2026'!D123)</f>
        <v/>
      </c>
      <c r="D123">
        <f>IF(ISBLANK('ENGAGEMENTS 2026'!B123),"",'ENGAGEMENTS 2026'!F123)</f>
        <v/>
      </c>
      <c r="E123">
        <f>IF(ISBLANK('ENGAGEMENTS 2026'!B123),"",'ENGAGEMENTS 2026'!H123)</f>
        <v/>
      </c>
      <c r="F123">
        <f>IF(ISBLANK('ENGAGEMENTS 2026'!B123),"",'ENGAGEMENTS 2026'!I123)</f>
        <v/>
      </c>
      <c r="G123">
        <f>IF(ISBLANK('ENGAGEMENTS 2026'!B123),"",'ENGAGEMENTS 2026'!L123)</f>
        <v/>
      </c>
      <c r="H123">
        <f>IF(ISBLANK('ENGAGEMENTS 2026'!B123),"",'ENGAGEMENTS 2026'!AE123)</f>
        <v/>
      </c>
      <c r="I123">
        <f>IF(ISBLANK('ENGAGEMENTS 2026'!B123),"",'ENGAGEMENTS 2026'!G123)</f>
        <v/>
      </c>
      <c r="J123" s="275">
        <f>IF(ISBLANK('ENGAGEMENTS 2026'!B123),"",IF(AND(OR($E123="INFRUCTUEUX",$E123="ANNULE"),$C123="AOO-M"),'ENGAGEMENTS 2026'!O123,IF($H123="EN COURS DE PREENGAGEMENT",'ENGAGEMENTS 2026'!N123,IF($H123="PREENGAGE",IF($E123="ATTRIBUE",'ENGAGEMENTS 2026'!AD123,'ENGAGEMENTS 2026'!N123),'ENGAGEMENTS 2026'!AD123))))</f>
        <v/>
      </c>
      <c r="K123" s="604">
        <f>IF(ISBLANK('ENGAGEMENTS 2026'!V123),"",'ENGAGEMENTS 2026'!V123)</f>
        <v/>
      </c>
      <c r="L123" s="276">
        <f>IF($K123="","",TODAY()-$K123)</f>
        <v/>
      </c>
      <c r="M123">
        <f>IF($A123="","",IF($H123="ENGAGE","Engagé",IF(AND($H123="NON ENGAGE",OR($I123="INFRUCTUEUX",$I123="ANNULE")),"Clôturé sans suite","En cours")))</f>
        <v/>
      </c>
      <c r="N123">
        <f>IF(ISBLANK('ENGAGEMENTS 2026'!B123),"",'ENGAGEMENTS 2026'!K123)</f>
        <v/>
      </c>
      <c r="O123">
        <f>IF(ISBLANK('ENGAGEMENTS 2026'!B123),"",'ENGAGEMENTS 2026'!L123)</f>
        <v/>
      </c>
      <c r="P123">
        <f>IF(ISBLANK('ENGAGEMENTS 2026'!B123),"",'ENGAGEMENTS 2026'!J123)</f>
        <v/>
      </c>
      <c r="Q123">
        <f>IF($A123="","",IF(OR($E123="INFRUCTUEUX",$E123="ANNULE"),$A123&amp;"|"&amp;(COUNTIFS($A$2:$A123,$A123,$E$2:$E123,"INFRUCTUEUX")+COUNTIFS($A$2:$A123,$A123,$E$2:$E123,"ANNULE")),""))</f>
        <v/>
      </c>
    </row>
    <row r="124">
      <c r="A124">
        <f>IF(ISBLANK('ENGAGEMENTS 2026'!B124),"",IF('ENGAGEMENTS 2026'!B124="DTSI","DCT",'ENGAGEMENTS 2026'!B124))</f>
        <v/>
      </c>
      <c r="B124">
        <f>IF(ISBLANK('ENGAGEMENTS 2026'!B124),"",'ENGAGEMENTS 2026'!C124)</f>
        <v/>
      </c>
      <c r="C124">
        <f>IF(ISBLANK('ENGAGEMENTS 2026'!B124),"",'ENGAGEMENTS 2026'!D124)</f>
        <v/>
      </c>
      <c r="D124">
        <f>IF(ISBLANK('ENGAGEMENTS 2026'!B124),"",'ENGAGEMENTS 2026'!F124)</f>
        <v/>
      </c>
      <c r="E124">
        <f>IF(ISBLANK('ENGAGEMENTS 2026'!B124),"",'ENGAGEMENTS 2026'!H124)</f>
        <v/>
      </c>
      <c r="F124">
        <f>IF(ISBLANK('ENGAGEMENTS 2026'!B124),"",'ENGAGEMENTS 2026'!I124)</f>
        <v/>
      </c>
      <c r="G124">
        <f>IF(ISBLANK('ENGAGEMENTS 2026'!B124),"",'ENGAGEMENTS 2026'!L124)</f>
        <v/>
      </c>
      <c r="H124">
        <f>IF(ISBLANK('ENGAGEMENTS 2026'!B124),"",'ENGAGEMENTS 2026'!AE124)</f>
        <v/>
      </c>
      <c r="I124">
        <f>IF(ISBLANK('ENGAGEMENTS 2026'!B124),"",'ENGAGEMENTS 2026'!G124)</f>
        <v/>
      </c>
      <c r="J124" s="275">
        <f>IF(ISBLANK('ENGAGEMENTS 2026'!B124),"",IF(AND(OR($E124="INFRUCTUEUX",$E124="ANNULE"),$C124="AOO-M"),'ENGAGEMENTS 2026'!O124,IF($H124="EN COURS DE PREENGAGEMENT",'ENGAGEMENTS 2026'!N124,IF($H124="PREENGAGE",IF($E124="ATTRIBUE",'ENGAGEMENTS 2026'!AD124,'ENGAGEMENTS 2026'!N124),'ENGAGEMENTS 2026'!AD124))))</f>
        <v/>
      </c>
      <c r="K124" s="604">
        <f>IF(ISBLANK('ENGAGEMENTS 2026'!V124),"",'ENGAGEMENTS 2026'!V124)</f>
        <v/>
      </c>
      <c r="L124" s="276">
        <f>IF($K124="","",TODAY()-$K124)</f>
        <v/>
      </c>
      <c r="M124">
        <f>IF($A124="","",IF($H124="ENGAGE","Engagé",IF(AND($H124="NON ENGAGE",OR($I124="INFRUCTUEUX",$I124="ANNULE")),"Clôturé sans suite","En cours")))</f>
        <v/>
      </c>
      <c r="N124">
        <f>IF(ISBLANK('ENGAGEMENTS 2026'!B124),"",'ENGAGEMENTS 2026'!K124)</f>
        <v/>
      </c>
      <c r="O124">
        <f>IF(ISBLANK('ENGAGEMENTS 2026'!B124),"",'ENGAGEMENTS 2026'!L124)</f>
        <v/>
      </c>
      <c r="P124">
        <f>IF(ISBLANK('ENGAGEMENTS 2026'!B124),"",'ENGAGEMENTS 2026'!J124)</f>
        <v/>
      </c>
      <c r="Q124">
        <f>IF($A124="","",IF(OR($E124="INFRUCTUEUX",$E124="ANNULE"),$A124&amp;"|"&amp;(COUNTIFS($A$2:$A124,$A124,$E$2:$E124,"INFRUCTUEUX")+COUNTIFS($A$2:$A124,$A124,$E$2:$E124,"ANNULE")),""))</f>
        <v/>
      </c>
    </row>
    <row r="125">
      <c r="A125">
        <f>IF(ISBLANK('ENGAGEMENTS 2026'!B125),"",IF('ENGAGEMENTS 2026'!B125="DTSI","DCT",'ENGAGEMENTS 2026'!B125))</f>
        <v/>
      </c>
      <c r="B125">
        <f>IF(ISBLANK('ENGAGEMENTS 2026'!B125),"",'ENGAGEMENTS 2026'!C125)</f>
        <v/>
      </c>
      <c r="C125">
        <f>IF(ISBLANK('ENGAGEMENTS 2026'!B125),"",'ENGAGEMENTS 2026'!D125)</f>
        <v/>
      </c>
      <c r="D125">
        <f>IF(ISBLANK('ENGAGEMENTS 2026'!B125),"",'ENGAGEMENTS 2026'!F125)</f>
        <v/>
      </c>
      <c r="E125">
        <f>IF(ISBLANK('ENGAGEMENTS 2026'!B125),"",'ENGAGEMENTS 2026'!H125)</f>
        <v/>
      </c>
      <c r="F125">
        <f>IF(ISBLANK('ENGAGEMENTS 2026'!B125),"",'ENGAGEMENTS 2026'!I125)</f>
        <v/>
      </c>
      <c r="G125">
        <f>IF(ISBLANK('ENGAGEMENTS 2026'!B125),"",'ENGAGEMENTS 2026'!L125)</f>
        <v/>
      </c>
      <c r="H125">
        <f>IF(ISBLANK('ENGAGEMENTS 2026'!B125),"",'ENGAGEMENTS 2026'!AE125)</f>
        <v/>
      </c>
      <c r="I125">
        <f>IF(ISBLANK('ENGAGEMENTS 2026'!B125),"",'ENGAGEMENTS 2026'!G125)</f>
        <v/>
      </c>
      <c r="J125" s="275">
        <f>IF(ISBLANK('ENGAGEMENTS 2026'!B125),"",IF(AND(OR($E125="INFRUCTUEUX",$E125="ANNULE"),$C125="AOO-M"),'ENGAGEMENTS 2026'!O125,IF($H125="EN COURS DE PREENGAGEMENT",'ENGAGEMENTS 2026'!N125,IF($H125="PREENGAGE",IF($E125="ATTRIBUE",'ENGAGEMENTS 2026'!AD125,'ENGAGEMENTS 2026'!N125),'ENGAGEMENTS 2026'!AD125))))</f>
        <v/>
      </c>
      <c r="K125" s="604">
        <f>IF(ISBLANK('ENGAGEMENTS 2026'!V125),"",'ENGAGEMENTS 2026'!V125)</f>
        <v/>
      </c>
      <c r="L125" s="276">
        <f>IF($K125="","",TODAY()-$K125)</f>
        <v/>
      </c>
      <c r="M125">
        <f>IF($A125="","",IF($H125="ENGAGE","Engagé",IF(AND($H125="NON ENGAGE",OR($I125="INFRUCTUEUX",$I125="ANNULE")),"Clôturé sans suite","En cours")))</f>
        <v/>
      </c>
      <c r="N125">
        <f>IF(ISBLANK('ENGAGEMENTS 2026'!B125),"",'ENGAGEMENTS 2026'!K125)</f>
        <v/>
      </c>
      <c r="O125">
        <f>IF(ISBLANK('ENGAGEMENTS 2026'!B125),"",'ENGAGEMENTS 2026'!L125)</f>
        <v/>
      </c>
      <c r="P125">
        <f>IF(ISBLANK('ENGAGEMENTS 2026'!B125),"",'ENGAGEMENTS 2026'!J125)</f>
        <v/>
      </c>
      <c r="Q125">
        <f>IF($A125="","",IF(OR($E125="INFRUCTUEUX",$E125="ANNULE"),$A125&amp;"|"&amp;(COUNTIFS($A$2:$A125,$A125,$E$2:$E125,"INFRUCTUEUX")+COUNTIFS($A$2:$A125,$A125,$E$2:$E125,"ANNULE")),""))</f>
        <v/>
      </c>
    </row>
    <row r="126">
      <c r="A126">
        <f>IF(ISBLANK('ENGAGEMENTS 2026'!B126),"",IF('ENGAGEMENTS 2026'!B126="DTSI","DCT",'ENGAGEMENTS 2026'!B126))</f>
        <v/>
      </c>
      <c r="B126">
        <f>IF(ISBLANK('ENGAGEMENTS 2026'!B126),"",'ENGAGEMENTS 2026'!C126)</f>
        <v/>
      </c>
      <c r="C126">
        <f>IF(ISBLANK('ENGAGEMENTS 2026'!B126),"",'ENGAGEMENTS 2026'!D126)</f>
        <v/>
      </c>
      <c r="D126">
        <f>IF(ISBLANK('ENGAGEMENTS 2026'!B126),"",'ENGAGEMENTS 2026'!F126)</f>
        <v/>
      </c>
      <c r="E126">
        <f>IF(ISBLANK('ENGAGEMENTS 2026'!B126),"",'ENGAGEMENTS 2026'!H126)</f>
        <v/>
      </c>
      <c r="F126">
        <f>IF(ISBLANK('ENGAGEMENTS 2026'!B126),"",'ENGAGEMENTS 2026'!I126)</f>
        <v/>
      </c>
      <c r="G126">
        <f>IF(ISBLANK('ENGAGEMENTS 2026'!B126),"",'ENGAGEMENTS 2026'!L126)</f>
        <v/>
      </c>
      <c r="H126">
        <f>IF(ISBLANK('ENGAGEMENTS 2026'!B126),"",'ENGAGEMENTS 2026'!AE126)</f>
        <v/>
      </c>
      <c r="I126">
        <f>IF(ISBLANK('ENGAGEMENTS 2026'!B126),"",'ENGAGEMENTS 2026'!G126)</f>
        <v/>
      </c>
      <c r="J126" s="275">
        <f>IF(ISBLANK('ENGAGEMENTS 2026'!B126),"",IF(AND(OR($E126="INFRUCTUEUX",$E126="ANNULE"),$C126="AOO-M"),'ENGAGEMENTS 2026'!O126,IF($H126="EN COURS DE PREENGAGEMENT",'ENGAGEMENTS 2026'!N126,IF($H126="PREENGAGE",IF($E126="ATTRIBUE",'ENGAGEMENTS 2026'!AD126,'ENGAGEMENTS 2026'!N126),'ENGAGEMENTS 2026'!AD126))))</f>
        <v/>
      </c>
      <c r="K126" s="604">
        <f>IF(ISBLANK('ENGAGEMENTS 2026'!V126),"",'ENGAGEMENTS 2026'!V126)</f>
        <v/>
      </c>
      <c r="L126" s="276">
        <f>IF($K126="","",TODAY()-$K126)</f>
        <v/>
      </c>
      <c r="M126">
        <f>IF($A126="","",IF($H126="ENGAGE","Engagé",IF(AND($H126="NON ENGAGE",OR($I126="INFRUCTUEUX",$I126="ANNULE")),"Clôturé sans suite","En cours")))</f>
        <v/>
      </c>
      <c r="N126">
        <f>IF(ISBLANK('ENGAGEMENTS 2026'!B126),"",'ENGAGEMENTS 2026'!K126)</f>
        <v/>
      </c>
      <c r="O126">
        <f>IF(ISBLANK('ENGAGEMENTS 2026'!B126),"",'ENGAGEMENTS 2026'!L126)</f>
        <v/>
      </c>
      <c r="P126">
        <f>IF(ISBLANK('ENGAGEMENTS 2026'!B126),"",'ENGAGEMENTS 2026'!J126)</f>
        <v/>
      </c>
      <c r="Q126">
        <f>IF($A126="","",IF(OR($E126="INFRUCTUEUX",$E126="ANNULE"),$A126&amp;"|"&amp;(COUNTIFS($A$2:$A126,$A126,$E$2:$E126,"INFRUCTUEUX")+COUNTIFS($A$2:$A126,$A126,$E$2:$E126,"ANNULE")),""))</f>
        <v/>
      </c>
    </row>
    <row r="127">
      <c r="A127">
        <f>IF(ISBLANK('ENGAGEMENTS 2026'!B127),"",IF('ENGAGEMENTS 2026'!B127="DTSI","DCT",'ENGAGEMENTS 2026'!B127))</f>
        <v/>
      </c>
      <c r="B127">
        <f>IF(ISBLANK('ENGAGEMENTS 2026'!B127),"",'ENGAGEMENTS 2026'!C127)</f>
        <v/>
      </c>
      <c r="C127">
        <f>IF(ISBLANK('ENGAGEMENTS 2026'!B127),"",'ENGAGEMENTS 2026'!D127)</f>
        <v/>
      </c>
      <c r="D127">
        <f>IF(ISBLANK('ENGAGEMENTS 2026'!B127),"",'ENGAGEMENTS 2026'!F127)</f>
        <v/>
      </c>
      <c r="E127">
        <f>IF(ISBLANK('ENGAGEMENTS 2026'!B127),"",'ENGAGEMENTS 2026'!H127)</f>
        <v/>
      </c>
      <c r="F127">
        <f>IF(ISBLANK('ENGAGEMENTS 2026'!B127),"",'ENGAGEMENTS 2026'!I127)</f>
        <v/>
      </c>
      <c r="G127">
        <f>IF(ISBLANK('ENGAGEMENTS 2026'!B127),"",'ENGAGEMENTS 2026'!L127)</f>
        <v/>
      </c>
      <c r="H127">
        <f>IF(ISBLANK('ENGAGEMENTS 2026'!B127),"",'ENGAGEMENTS 2026'!AE127)</f>
        <v/>
      </c>
      <c r="I127">
        <f>IF(ISBLANK('ENGAGEMENTS 2026'!B127),"",'ENGAGEMENTS 2026'!G127)</f>
        <v/>
      </c>
      <c r="J127" s="275">
        <f>IF(ISBLANK('ENGAGEMENTS 2026'!B127),"",IF(AND(OR($E127="INFRUCTUEUX",$E127="ANNULE"),$C127="AOO-M"),'ENGAGEMENTS 2026'!O127,IF($H127="EN COURS DE PREENGAGEMENT",'ENGAGEMENTS 2026'!N127,IF($H127="PREENGAGE",IF($E127="ATTRIBUE",'ENGAGEMENTS 2026'!AD127,'ENGAGEMENTS 2026'!N127),'ENGAGEMENTS 2026'!AD127))))</f>
        <v/>
      </c>
      <c r="K127" s="604">
        <f>IF(ISBLANK('ENGAGEMENTS 2026'!V127),"",'ENGAGEMENTS 2026'!V127)</f>
        <v/>
      </c>
      <c r="L127" s="276">
        <f>IF($K127="","",TODAY()-$K127)</f>
        <v/>
      </c>
      <c r="M127">
        <f>IF($A127="","",IF($H127="ENGAGE","Engagé",IF(AND($H127="NON ENGAGE",OR($I127="INFRUCTUEUX",$I127="ANNULE")),"Clôturé sans suite","En cours")))</f>
        <v/>
      </c>
      <c r="N127">
        <f>IF(ISBLANK('ENGAGEMENTS 2026'!B127),"",'ENGAGEMENTS 2026'!K127)</f>
        <v/>
      </c>
      <c r="O127">
        <f>IF(ISBLANK('ENGAGEMENTS 2026'!B127),"",'ENGAGEMENTS 2026'!L127)</f>
        <v/>
      </c>
      <c r="P127">
        <f>IF(ISBLANK('ENGAGEMENTS 2026'!B127),"",'ENGAGEMENTS 2026'!J127)</f>
        <v/>
      </c>
      <c r="Q127">
        <f>IF($A127="","",IF(OR($E127="INFRUCTUEUX",$E127="ANNULE"),$A127&amp;"|"&amp;(COUNTIFS($A$2:$A127,$A127,$E$2:$E127,"INFRUCTUEUX")+COUNTIFS($A$2:$A127,$A127,$E$2:$E127,"ANNULE")),""))</f>
        <v/>
      </c>
    </row>
    <row r="128">
      <c r="A128">
        <f>IF(ISBLANK('ENGAGEMENTS 2026'!B128),"",IF('ENGAGEMENTS 2026'!B128="DTSI","DCT",'ENGAGEMENTS 2026'!B128))</f>
        <v/>
      </c>
      <c r="B128">
        <f>IF(ISBLANK('ENGAGEMENTS 2026'!B128),"",'ENGAGEMENTS 2026'!C128)</f>
        <v/>
      </c>
      <c r="C128">
        <f>IF(ISBLANK('ENGAGEMENTS 2026'!B128),"",'ENGAGEMENTS 2026'!D128)</f>
        <v/>
      </c>
      <c r="D128">
        <f>IF(ISBLANK('ENGAGEMENTS 2026'!B128),"",'ENGAGEMENTS 2026'!F128)</f>
        <v/>
      </c>
      <c r="E128">
        <f>IF(ISBLANK('ENGAGEMENTS 2026'!B128),"",'ENGAGEMENTS 2026'!H128)</f>
        <v/>
      </c>
      <c r="F128">
        <f>IF(ISBLANK('ENGAGEMENTS 2026'!B128),"",'ENGAGEMENTS 2026'!I128)</f>
        <v/>
      </c>
      <c r="G128">
        <f>IF(ISBLANK('ENGAGEMENTS 2026'!B128),"",'ENGAGEMENTS 2026'!L128)</f>
        <v/>
      </c>
      <c r="H128">
        <f>IF(ISBLANK('ENGAGEMENTS 2026'!B128),"",'ENGAGEMENTS 2026'!AE128)</f>
        <v/>
      </c>
      <c r="I128">
        <f>IF(ISBLANK('ENGAGEMENTS 2026'!B128),"",'ENGAGEMENTS 2026'!G128)</f>
        <v/>
      </c>
      <c r="J128" s="275">
        <f>IF(ISBLANK('ENGAGEMENTS 2026'!B128),"",IF(AND(OR($E128="INFRUCTUEUX",$E128="ANNULE"),$C128="AOO-M"),'ENGAGEMENTS 2026'!O128,IF($H128="EN COURS DE PREENGAGEMENT",'ENGAGEMENTS 2026'!N128,IF($H128="PREENGAGE",IF($E128="ATTRIBUE",'ENGAGEMENTS 2026'!AD128,'ENGAGEMENTS 2026'!N128),'ENGAGEMENTS 2026'!AD128))))</f>
        <v/>
      </c>
      <c r="K128" s="604">
        <f>IF(ISBLANK('ENGAGEMENTS 2026'!V128),"",'ENGAGEMENTS 2026'!V128)</f>
        <v/>
      </c>
      <c r="L128" s="276">
        <f>IF($K128="","",TODAY()-$K128)</f>
        <v/>
      </c>
      <c r="M128">
        <f>IF($A128="","",IF($H128="ENGAGE","Engagé",IF(AND($H128="NON ENGAGE",OR($I128="INFRUCTUEUX",$I128="ANNULE")),"Clôturé sans suite","En cours")))</f>
        <v/>
      </c>
      <c r="N128">
        <f>IF(ISBLANK('ENGAGEMENTS 2026'!B128),"",'ENGAGEMENTS 2026'!K128)</f>
        <v/>
      </c>
      <c r="O128">
        <f>IF(ISBLANK('ENGAGEMENTS 2026'!B128),"",'ENGAGEMENTS 2026'!L128)</f>
        <v/>
      </c>
      <c r="P128">
        <f>IF(ISBLANK('ENGAGEMENTS 2026'!B128),"",'ENGAGEMENTS 2026'!J128)</f>
        <v/>
      </c>
      <c r="Q128">
        <f>IF($A128="","",IF(OR($E128="INFRUCTUEUX",$E128="ANNULE"),$A128&amp;"|"&amp;(COUNTIFS($A$2:$A128,$A128,$E$2:$E128,"INFRUCTUEUX")+COUNTIFS($A$2:$A128,$A128,$E$2:$E128,"ANNULE")),""))</f>
        <v/>
      </c>
    </row>
    <row r="129">
      <c r="A129">
        <f>IF(ISBLANK('ENGAGEMENTS 2026'!B129),"",IF('ENGAGEMENTS 2026'!B129="DTSI","DCT",'ENGAGEMENTS 2026'!B129))</f>
        <v/>
      </c>
      <c r="B129">
        <f>IF(ISBLANK('ENGAGEMENTS 2026'!B129),"",'ENGAGEMENTS 2026'!C129)</f>
        <v/>
      </c>
      <c r="C129">
        <f>IF(ISBLANK('ENGAGEMENTS 2026'!B129),"",'ENGAGEMENTS 2026'!D129)</f>
        <v/>
      </c>
      <c r="D129">
        <f>IF(ISBLANK('ENGAGEMENTS 2026'!B129),"",'ENGAGEMENTS 2026'!F129)</f>
        <v/>
      </c>
      <c r="E129">
        <f>IF(ISBLANK('ENGAGEMENTS 2026'!B129),"",'ENGAGEMENTS 2026'!H129)</f>
        <v/>
      </c>
      <c r="F129">
        <f>IF(ISBLANK('ENGAGEMENTS 2026'!B129),"",'ENGAGEMENTS 2026'!I129)</f>
        <v/>
      </c>
      <c r="G129">
        <f>IF(ISBLANK('ENGAGEMENTS 2026'!B129),"",'ENGAGEMENTS 2026'!L129)</f>
        <v/>
      </c>
      <c r="H129">
        <f>IF(ISBLANK('ENGAGEMENTS 2026'!B129),"",'ENGAGEMENTS 2026'!AE129)</f>
        <v/>
      </c>
      <c r="I129">
        <f>IF(ISBLANK('ENGAGEMENTS 2026'!B129),"",'ENGAGEMENTS 2026'!G129)</f>
        <v/>
      </c>
      <c r="J129" s="275">
        <f>IF(ISBLANK('ENGAGEMENTS 2026'!B129),"",IF(AND(OR($E129="INFRUCTUEUX",$E129="ANNULE"),$C129="AOO-M"),'ENGAGEMENTS 2026'!O129,IF($H129="EN COURS DE PREENGAGEMENT",'ENGAGEMENTS 2026'!N129,IF($H129="PREENGAGE",IF($E129="ATTRIBUE",'ENGAGEMENTS 2026'!AD129,'ENGAGEMENTS 2026'!N129),'ENGAGEMENTS 2026'!AD129))))</f>
        <v/>
      </c>
      <c r="K129" s="604">
        <f>IF(ISBLANK('ENGAGEMENTS 2026'!V129),"",'ENGAGEMENTS 2026'!V129)</f>
        <v/>
      </c>
      <c r="L129" s="276">
        <f>IF($K129="","",TODAY()-$K129)</f>
        <v/>
      </c>
      <c r="M129">
        <f>IF($A129="","",IF($H129="ENGAGE","Engagé",IF(AND($H129="NON ENGAGE",OR($I129="INFRUCTUEUX",$I129="ANNULE")),"Clôturé sans suite","En cours")))</f>
        <v/>
      </c>
      <c r="N129">
        <f>IF(ISBLANK('ENGAGEMENTS 2026'!B129),"",'ENGAGEMENTS 2026'!K129)</f>
        <v/>
      </c>
      <c r="O129">
        <f>IF(ISBLANK('ENGAGEMENTS 2026'!B129),"",'ENGAGEMENTS 2026'!L129)</f>
        <v/>
      </c>
      <c r="P129">
        <f>IF(ISBLANK('ENGAGEMENTS 2026'!B129),"",'ENGAGEMENTS 2026'!J129)</f>
        <v/>
      </c>
      <c r="Q129">
        <f>IF($A129="","",IF(OR($E129="INFRUCTUEUX",$E129="ANNULE"),$A129&amp;"|"&amp;(COUNTIFS($A$2:$A129,$A129,$E$2:$E129,"INFRUCTUEUX")+COUNTIFS($A$2:$A129,$A129,$E$2:$E129,"ANNULE")),""))</f>
        <v/>
      </c>
    </row>
    <row r="130">
      <c r="A130">
        <f>IF(ISBLANK('ENGAGEMENTS 2026'!B130),"",IF('ENGAGEMENTS 2026'!B130="DTSI","DCT",'ENGAGEMENTS 2026'!B130))</f>
        <v/>
      </c>
      <c r="B130">
        <f>IF(ISBLANK('ENGAGEMENTS 2026'!B130),"",'ENGAGEMENTS 2026'!C130)</f>
        <v/>
      </c>
      <c r="C130">
        <f>IF(ISBLANK('ENGAGEMENTS 2026'!B130),"",'ENGAGEMENTS 2026'!D130)</f>
        <v/>
      </c>
      <c r="D130">
        <f>IF(ISBLANK('ENGAGEMENTS 2026'!B130),"",'ENGAGEMENTS 2026'!F130)</f>
        <v/>
      </c>
      <c r="E130">
        <f>IF(ISBLANK('ENGAGEMENTS 2026'!B130),"",'ENGAGEMENTS 2026'!H130)</f>
        <v/>
      </c>
      <c r="F130">
        <f>IF(ISBLANK('ENGAGEMENTS 2026'!B130),"",'ENGAGEMENTS 2026'!I130)</f>
        <v/>
      </c>
      <c r="G130">
        <f>IF(ISBLANK('ENGAGEMENTS 2026'!B130),"",'ENGAGEMENTS 2026'!L130)</f>
        <v/>
      </c>
      <c r="H130">
        <f>IF(ISBLANK('ENGAGEMENTS 2026'!B130),"",'ENGAGEMENTS 2026'!AE130)</f>
        <v/>
      </c>
      <c r="I130">
        <f>IF(ISBLANK('ENGAGEMENTS 2026'!B130),"",'ENGAGEMENTS 2026'!G130)</f>
        <v/>
      </c>
      <c r="J130" s="275">
        <f>IF(ISBLANK('ENGAGEMENTS 2026'!B130),"",IF(AND(OR($E130="INFRUCTUEUX",$E130="ANNULE"),$C130="AOO-M"),'ENGAGEMENTS 2026'!O130,IF($H130="EN COURS DE PREENGAGEMENT",'ENGAGEMENTS 2026'!N130,IF($H130="PREENGAGE",IF($E130="ATTRIBUE",'ENGAGEMENTS 2026'!AD130,'ENGAGEMENTS 2026'!N130),'ENGAGEMENTS 2026'!AD130))))</f>
        <v/>
      </c>
      <c r="K130" s="604">
        <f>IF(ISBLANK('ENGAGEMENTS 2026'!V130),"",'ENGAGEMENTS 2026'!V130)</f>
        <v/>
      </c>
      <c r="L130" s="276">
        <f>IF($K130="","",TODAY()-$K130)</f>
        <v/>
      </c>
      <c r="M130">
        <f>IF($A130="","",IF($H130="ENGAGE","Engagé",IF(AND($H130="NON ENGAGE",OR($I130="INFRUCTUEUX",$I130="ANNULE")),"Clôturé sans suite","En cours")))</f>
        <v/>
      </c>
      <c r="N130">
        <f>IF(ISBLANK('ENGAGEMENTS 2026'!B130),"",'ENGAGEMENTS 2026'!K130)</f>
        <v/>
      </c>
      <c r="O130">
        <f>IF(ISBLANK('ENGAGEMENTS 2026'!B130),"",'ENGAGEMENTS 2026'!L130)</f>
        <v/>
      </c>
      <c r="P130">
        <f>IF(ISBLANK('ENGAGEMENTS 2026'!B130),"",'ENGAGEMENTS 2026'!J130)</f>
        <v/>
      </c>
      <c r="Q130">
        <f>IF($A130="","",IF(OR($E130="INFRUCTUEUX",$E130="ANNULE"),$A130&amp;"|"&amp;(COUNTIFS($A$2:$A130,$A130,$E$2:$E130,"INFRUCTUEUX")+COUNTIFS($A$2:$A130,$A130,$E$2:$E130,"ANNULE")),""))</f>
        <v/>
      </c>
    </row>
    <row r="131">
      <c r="A131">
        <f>IF(ISBLANK('ENGAGEMENTS 2026'!B131),"",IF('ENGAGEMENTS 2026'!B131="DTSI","DCT",'ENGAGEMENTS 2026'!B131))</f>
        <v/>
      </c>
      <c r="B131">
        <f>IF(ISBLANK('ENGAGEMENTS 2026'!B131),"",'ENGAGEMENTS 2026'!C131)</f>
        <v/>
      </c>
      <c r="C131">
        <f>IF(ISBLANK('ENGAGEMENTS 2026'!B131),"",'ENGAGEMENTS 2026'!D131)</f>
        <v/>
      </c>
      <c r="D131">
        <f>IF(ISBLANK('ENGAGEMENTS 2026'!B131),"",'ENGAGEMENTS 2026'!F131)</f>
        <v/>
      </c>
      <c r="E131">
        <f>IF(ISBLANK('ENGAGEMENTS 2026'!B131),"",'ENGAGEMENTS 2026'!H131)</f>
        <v/>
      </c>
      <c r="F131">
        <f>IF(ISBLANK('ENGAGEMENTS 2026'!B131),"",'ENGAGEMENTS 2026'!I131)</f>
        <v/>
      </c>
      <c r="G131">
        <f>IF(ISBLANK('ENGAGEMENTS 2026'!B131),"",'ENGAGEMENTS 2026'!L131)</f>
        <v/>
      </c>
      <c r="H131">
        <f>IF(ISBLANK('ENGAGEMENTS 2026'!B131),"",'ENGAGEMENTS 2026'!AE131)</f>
        <v/>
      </c>
      <c r="I131">
        <f>IF(ISBLANK('ENGAGEMENTS 2026'!B131),"",'ENGAGEMENTS 2026'!G131)</f>
        <v/>
      </c>
      <c r="J131" s="275">
        <f>IF(ISBLANK('ENGAGEMENTS 2026'!B131),"",IF(AND(OR($E131="INFRUCTUEUX",$E131="ANNULE"),$C131="AOO-M"),'ENGAGEMENTS 2026'!O131,IF($H131="EN COURS DE PREENGAGEMENT",'ENGAGEMENTS 2026'!N131,IF($H131="PREENGAGE",IF($E131="ATTRIBUE",'ENGAGEMENTS 2026'!AD131,'ENGAGEMENTS 2026'!N131),'ENGAGEMENTS 2026'!AD131))))</f>
        <v/>
      </c>
      <c r="K131" s="604">
        <f>IF(ISBLANK('ENGAGEMENTS 2026'!V131),"",'ENGAGEMENTS 2026'!V131)</f>
        <v/>
      </c>
      <c r="L131" s="276">
        <f>IF($K131="","",TODAY()-$K131)</f>
        <v/>
      </c>
      <c r="M131">
        <f>IF($A131="","",IF($H131="ENGAGE","Engagé",IF(AND($H131="NON ENGAGE",OR($I131="INFRUCTUEUX",$I131="ANNULE")),"Clôturé sans suite","En cours")))</f>
        <v/>
      </c>
      <c r="N131">
        <f>IF(ISBLANK('ENGAGEMENTS 2026'!B131),"",'ENGAGEMENTS 2026'!K131)</f>
        <v/>
      </c>
      <c r="O131">
        <f>IF(ISBLANK('ENGAGEMENTS 2026'!B131),"",'ENGAGEMENTS 2026'!L131)</f>
        <v/>
      </c>
      <c r="P131">
        <f>IF(ISBLANK('ENGAGEMENTS 2026'!B131),"",'ENGAGEMENTS 2026'!J131)</f>
        <v/>
      </c>
      <c r="Q131">
        <f>IF($A131="","",IF(OR($E131="INFRUCTUEUX",$E131="ANNULE"),$A131&amp;"|"&amp;(COUNTIFS($A$2:$A131,$A131,$E$2:$E131,"INFRUCTUEUX")+COUNTIFS($A$2:$A131,$A131,$E$2:$E131,"ANNULE")),""))</f>
        <v/>
      </c>
    </row>
    <row r="132">
      <c r="A132">
        <f>IF(ISBLANK('ENGAGEMENTS 2026'!B132),"",IF('ENGAGEMENTS 2026'!B132="DTSI","DCT",'ENGAGEMENTS 2026'!B132))</f>
        <v/>
      </c>
      <c r="B132">
        <f>IF(ISBLANK('ENGAGEMENTS 2026'!B132),"",'ENGAGEMENTS 2026'!C132)</f>
        <v/>
      </c>
      <c r="C132">
        <f>IF(ISBLANK('ENGAGEMENTS 2026'!B132),"",'ENGAGEMENTS 2026'!D132)</f>
        <v/>
      </c>
      <c r="D132">
        <f>IF(ISBLANK('ENGAGEMENTS 2026'!B132),"",'ENGAGEMENTS 2026'!F132)</f>
        <v/>
      </c>
      <c r="E132">
        <f>IF(ISBLANK('ENGAGEMENTS 2026'!B132),"",'ENGAGEMENTS 2026'!H132)</f>
        <v/>
      </c>
      <c r="F132">
        <f>IF(ISBLANK('ENGAGEMENTS 2026'!B132),"",'ENGAGEMENTS 2026'!I132)</f>
        <v/>
      </c>
      <c r="G132">
        <f>IF(ISBLANK('ENGAGEMENTS 2026'!B132),"",'ENGAGEMENTS 2026'!L132)</f>
        <v/>
      </c>
      <c r="H132">
        <f>IF(ISBLANK('ENGAGEMENTS 2026'!B132),"",'ENGAGEMENTS 2026'!AE132)</f>
        <v/>
      </c>
      <c r="I132">
        <f>IF(ISBLANK('ENGAGEMENTS 2026'!B132),"",'ENGAGEMENTS 2026'!G132)</f>
        <v/>
      </c>
      <c r="J132" s="275">
        <f>IF(ISBLANK('ENGAGEMENTS 2026'!B132),"",IF(AND(OR($E132="INFRUCTUEUX",$E132="ANNULE"),$C132="AOO-M"),'ENGAGEMENTS 2026'!O132,IF($H132="EN COURS DE PREENGAGEMENT",'ENGAGEMENTS 2026'!N132,IF($H132="PREENGAGE",IF($E132="ATTRIBUE",'ENGAGEMENTS 2026'!AD132,'ENGAGEMENTS 2026'!N132),'ENGAGEMENTS 2026'!AD132))))</f>
        <v/>
      </c>
      <c r="K132" s="604">
        <f>IF(ISBLANK('ENGAGEMENTS 2026'!V132),"",'ENGAGEMENTS 2026'!V132)</f>
        <v/>
      </c>
      <c r="L132" s="276">
        <f>IF($K132="","",TODAY()-$K132)</f>
        <v/>
      </c>
      <c r="M132">
        <f>IF($A132="","",IF($H132="ENGAGE","Engagé",IF(AND($H132="NON ENGAGE",OR($I132="INFRUCTUEUX",$I132="ANNULE")),"Clôturé sans suite","En cours")))</f>
        <v/>
      </c>
      <c r="N132">
        <f>IF(ISBLANK('ENGAGEMENTS 2026'!B132),"",'ENGAGEMENTS 2026'!K132)</f>
        <v/>
      </c>
      <c r="O132">
        <f>IF(ISBLANK('ENGAGEMENTS 2026'!B132),"",'ENGAGEMENTS 2026'!L132)</f>
        <v/>
      </c>
      <c r="P132">
        <f>IF(ISBLANK('ENGAGEMENTS 2026'!B132),"",'ENGAGEMENTS 2026'!J132)</f>
        <v/>
      </c>
      <c r="Q132">
        <f>IF($A132="","",IF(OR($E132="INFRUCTUEUX",$E132="ANNULE"),$A132&amp;"|"&amp;(COUNTIFS($A$2:$A132,$A132,$E$2:$E132,"INFRUCTUEUX")+COUNTIFS($A$2:$A132,$A132,$E$2:$E132,"ANNULE")),""))</f>
        <v/>
      </c>
    </row>
    <row r="133">
      <c r="A133">
        <f>IF(ISBLANK('ENGAGEMENTS 2026'!B133),"",IF('ENGAGEMENTS 2026'!B133="DTSI","DCT",'ENGAGEMENTS 2026'!B133))</f>
        <v/>
      </c>
      <c r="B133">
        <f>IF(ISBLANK('ENGAGEMENTS 2026'!B133),"",'ENGAGEMENTS 2026'!C133)</f>
        <v/>
      </c>
      <c r="C133">
        <f>IF(ISBLANK('ENGAGEMENTS 2026'!B133),"",'ENGAGEMENTS 2026'!D133)</f>
        <v/>
      </c>
      <c r="D133">
        <f>IF(ISBLANK('ENGAGEMENTS 2026'!B133),"",'ENGAGEMENTS 2026'!F133)</f>
        <v/>
      </c>
      <c r="E133">
        <f>IF(ISBLANK('ENGAGEMENTS 2026'!B133),"",'ENGAGEMENTS 2026'!H133)</f>
        <v/>
      </c>
      <c r="F133">
        <f>IF(ISBLANK('ENGAGEMENTS 2026'!B133),"",'ENGAGEMENTS 2026'!I133)</f>
        <v/>
      </c>
      <c r="G133">
        <f>IF(ISBLANK('ENGAGEMENTS 2026'!B133),"",'ENGAGEMENTS 2026'!L133)</f>
        <v/>
      </c>
      <c r="H133">
        <f>IF(ISBLANK('ENGAGEMENTS 2026'!B133),"",'ENGAGEMENTS 2026'!AE133)</f>
        <v/>
      </c>
      <c r="I133">
        <f>IF(ISBLANK('ENGAGEMENTS 2026'!B133),"",'ENGAGEMENTS 2026'!G133)</f>
        <v/>
      </c>
      <c r="J133" s="275">
        <f>IF(ISBLANK('ENGAGEMENTS 2026'!B133),"",IF(AND(OR($E133="INFRUCTUEUX",$E133="ANNULE"),$C133="AOO-M"),'ENGAGEMENTS 2026'!O133,IF($H133="EN COURS DE PREENGAGEMENT",'ENGAGEMENTS 2026'!N133,IF($H133="PREENGAGE",IF($E133="ATTRIBUE",'ENGAGEMENTS 2026'!AD133,'ENGAGEMENTS 2026'!N133),'ENGAGEMENTS 2026'!AD133))))</f>
        <v/>
      </c>
      <c r="K133" s="604">
        <f>IF(ISBLANK('ENGAGEMENTS 2026'!V133),"",'ENGAGEMENTS 2026'!V133)</f>
        <v/>
      </c>
      <c r="L133" s="276">
        <f>IF($K133="","",TODAY()-$K133)</f>
        <v/>
      </c>
      <c r="M133">
        <f>IF($A133="","",IF($H133="ENGAGE","Engagé",IF(AND($H133="NON ENGAGE",OR($I133="INFRUCTUEUX",$I133="ANNULE")),"Clôturé sans suite","En cours")))</f>
        <v/>
      </c>
      <c r="N133">
        <f>IF(ISBLANK('ENGAGEMENTS 2026'!B133),"",'ENGAGEMENTS 2026'!K133)</f>
        <v/>
      </c>
      <c r="O133">
        <f>IF(ISBLANK('ENGAGEMENTS 2026'!B133),"",'ENGAGEMENTS 2026'!L133)</f>
        <v/>
      </c>
      <c r="P133">
        <f>IF(ISBLANK('ENGAGEMENTS 2026'!B133),"",'ENGAGEMENTS 2026'!J133)</f>
        <v/>
      </c>
      <c r="Q133">
        <f>IF($A133="","",IF(OR($E133="INFRUCTUEUX",$E133="ANNULE"),$A133&amp;"|"&amp;(COUNTIFS($A$2:$A133,$A133,$E$2:$E133,"INFRUCTUEUX")+COUNTIFS($A$2:$A133,$A133,$E$2:$E133,"ANNULE")),""))</f>
        <v/>
      </c>
    </row>
    <row r="134">
      <c r="A134">
        <f>IF(ISBLANK('ENGAGEMENTS 2026'!B134),"",IF('ENGAGEMENTS 2026'!B134="DTSI","DCT",'ENGAGEMENTS 2026'!B134))</f>
        <v/>
      </c>
      <c r="B134">
        <f>IF(ISBLANK('ENGAGEMENTS 2026'!B134),"",'ENGAGEMENTS 2026'!C134)</f>
        <v/>
      </c>
      <c r="C134">
        <f>IF(ISBLANK('ENGAGEMENTS 2026'!B134),"",'ENGAGEMENTS 2026'!D134)</f>
        <v/>
      </c>
      <c r="D134">
        <f>IF(ISBLANK('ENGAGEMENTS 2026'!B134),"",'ENGAGEMENTS 2026'!F134)</f>
        <v/>
      </c>
      <c r="E134">
        <f>IF(ISBLANK('ENGAGEMENTS 2026'!B134),"",'ENGAGEMENTS 2026'!H134)</f>
        <v/>
      </c>
      <c r="F134">
        <f>IF(ISBLANK('ENGAGEMENTS 2026'!B134),"",'ENGAGEMENTS 2026'!I134)</f>
        <v/>
      </c>
      <c r="G134">
        <f>IF(ISBLANK('ENGAGEMENTS 2026'!B134),"",'ENGAGEMENTS 2026'!L134)</f>
        <v/>
      </c>
      <c r="H134">
        <f>IF(ISBLANK('ENGAGEMENTS 2026'!B134),"",'ENGAGEMENTS 2026'!AE134)</f>
        <v/>
      </c>
      <c r="I134">
        <f>IF(ISBLANK('ENGAGEMENTS 2026'!B134),"",'ENGAGEMENTS 2026'!G134)</f>
        <v/>
      </c>
      <c r="J134" s="275">
        <f>IF(ISBLANK('ENGAGEMENTS 2026'!B134),"",IF(AND(OR($E134="INFRUCTUEUX",$E134="ANNULE"),$C134="AOO-M"),'ENGAGEMENTS 2026'!O134,IF($H134="EN COURS DE PREENGAGEMENT",'ENGAGEMENTS 2026'!N134,IF($H134="PREENGAGE",IF($E134="ATTRIBUE",'ENGAGEMENTS 2026'!AD134,'ENGAGEMENTS 2026'!N134),'ENGAGEMENTS 2026'!AD134))))</f>
        <v/>
      </c>
      <c r="K134" s="604">
        <f>IF(ISBLANK('ENGAGEMENTS 2026'!V134),"",'ENGAGEMENTS 2026'!V134)</f>
        <v/>
      </c>
      <c r="L134" s="276">
        <f>IF($K134="","",TODAY()-$K134)</f>
        <v/>
      </c>
      <c r="M134">
        <f>IF($A134="","",IF($H134="ENGAGE","Engagé",IF(AND($H134="NON ENGAGE",OR($I134="INFRUCTUEUX",$I134="ANNULE")),"Clôturé sans suite","En cours")))</f>
        <v/>
      </c>
      <c r="N134">
        <f>IF(ISBLANK('ENGAGEMENTS 2026'!B134),"",'ENGAGEMENTS 2026'!K134)</f>
        <v/>
      </c>
      <c r="O134">
        <f>IF(ISBLANK('ENGAGEMENTS 2026'!B134),"",'ENGAGEMENTS 2026'!L134)</f>
        <v/>
      </c>
      <c r="P134">
        <f>IF(ISBLANK('ENGAGEMENTS 2026'!B134),"",'ENGAGEMENTS 2026'!J134)</f>
        <v/>
      </c>
      <c r="Q134">
        <f>IF($A134="","",IF(OR($E134="INFRUCTUEUX",$E134="ANNULE"),$A134&amp;"|"&amp;(COUNTIFS($A$2:$A134,$A134,$E$2:$E134,"INFRUCTUEUX")+COUNTIFS($A$2:$A134,$A134,$E$2:$E134,"ANNULE")),""))</f>
        <v/>
      </c>
    </row>
    <row r="135">
      <c r="A135">
        <f>IF(ISBLANK('ENGAGEMENTS 2026'!B135),"",IF('ENGAGEMENTS 2026'!B135="DTSI","DCT",'ENGAGEMENTS 2026'!B135))</f>
        <v/>
      </c>
      <c r="B135">
        <f>IF(ISBLANK('ENGAGEMENTS 2026'!B135),"",'ENGAGEMENTS 2026'!C135)</f>
        <v/>
      </c>
      <c r="C135">
        <f>IF(ISBLANK('ENGAGEMENTS 2026'!B135),"",'ENGAGEMENTS 2026'!D135)</f>
        <v/>
      </c>
      <c r="D135">
        <f>IF(ISBLANK('ENGAGEMENTS 2026'!B135),"",'ENGAGEMENTS 2026'!F135)</f>
        <v/>
      </c>
      <c r="E135">
        <f>IF(ISBLANK('ENGAGEMENTS 2026'!B135),"",'ENGAGEMENTS 2026'!H135)</f>
        <v/>
      </c>
      <c r="F135">
        <f>IF(ISBLANK('ENGAGEMENTS 2026'!B135),"",'ENGAGEMENTS 2026'!I135)</f>
        <v/>
      </c>
      <c r="G135">
        <f>IF(ISBLANK('ENGAGEMENTS 2026'!B135),"",'ENGAGEMENTS 2026'!L135)</f>
        <v/>
      </c>
      <c r="H135">
        <f>IF(ISBLANK('ENGAGEMENTS 2026'!B135),"",'ENGAGEMENTS 2026'!AE135)</f>
        <v/>
      </c>
      <c r="I135">
        <f>IF(ISBLANK('ENGAGEMENTS 2026'!B135),"",'ENGAGEMENTS 2026'!G135)</f>
        <v/>
      </c>
      <c r="J135" s="275">
        <f>IF(ISBLANK('ENGAGEMENTS 2026'!B135),"",IF(AND(OR($E135="INFRUCTUEUX",$E135="ANNULE"),$C135="AOO-M"),'ENGAGEMENTS 2026'!O135,IF($H135="EN COURS DE PREENGAGEMENT",'ENGAGEMENTS 2026'!N135,IF($H135="PREENGAGE",IF($E135="ATTRIBUE",'ENGAGEMENTS 2026'!AD135,'ENGAGEMENTS 2026'!N135),'ENGAGEMENTS 2026'!AD135))))</f>
        <v/>
      </c>
      <c r="K135" s="604">
        <f>IF(ISBLANK('ENGAGEMENTS 2026'!V135),"",'ENGAGEMENTS 2026'!V135)</f>
        <v/>
      </c>
      <c r="L135" s="276">
        <f>IF($K135="","",TODAY()-$K135)</f>
        <v/>
      </c>
      <c r="M135">
        <f>IF($A135="","",IF($H135="ENGAGE","Engagé",IF(AND($H135="NON ENGAGE",OR($I135="INFRUCTUEUX",$I135="ANNULE")),"Clôturé sans suite","En cours")))</f>
        <v/>
      </c>
      <c r="N135">
        <f>IF(ISBLANK('ENGAGEMENTS 2026'!B135),"",'ENGAGEMENTS 2026'!K135)</f>
        <v/>
      </c>
      <c r="O135">
        <f>IF(ISBLANK('ENGAGEMENTS 2026'!B135),"",'ENGAGEMENTS 2026'!L135)</f>
        <v/>
      </c>
      <c r="P135">
        <f>IF(ISBLANK('ENGAGEMENTS 2026'!B135),"",'ENGAGEMENTS 2026'!J135)</f>
        <v/>
      </c>
      <c r="Q135">
        <f>IF($A135="","",IF(OR($E135="INFRUCTUEUX",$E135="ANNULE"),$A135&amp;"|"&amp;(COUNTIFS($A$2:$A135,$A135,$E$2:$E135,"INFRUCTUEUX")+COUNTIFS($A$2:$A135,$A135,$E$2:$E135,"ANNULE")),""))</f>
        <v/>
      </c>
    </row>
    <row r="136">
      <c r="A136">
        <f>IF(ISBLANK('ENGAGEMENTS 2026'!B136),"",IF('ENGAGEMENTS 2026'!B136="DTSI","DCT",'ENGAGEMENTS 2026'!B136))</f>
        <v/>
      </c>
      <c r="B136">
        <f>IF(ISBLANK('ENGAGEMENTS 2026'!B136),"",'ENGAGEMENTS 2026'!C136)</f>
        <v/>
      </c>
      <c r="C136">
        <f>IF(ISBLANK('ENGAGEMENTS 2026'!B136),"",'ENGAGEMENTS 2026'!D136)</f>
        <v/>
      </c>
      <c r="D136">
        <f>IF(ISBLANK('ENGAGEMENTS 2026'!B136),"",'ENGAGEMENTS 2026'!F136)</f>
        <v/>
      </c>
      <c r="E136">
        <f>IF(ISBLANK('ENGAGEMENTS 2026'!B136),"",'ENGAGEMENTS 2026'!H136)</f>
        <v/>
      </c>
      <c r="F136">
        <f>IF(ISBLANK('ENGAGEMENTS 2026'!B136),"",'ENGAGEMENTS 2026'!I136)</f>
        <v/>
      </c>
      <c r="G136">
        <f>IF(ISBLANK('ENGAGEMENTS 2026'!B136),"",'ENGAGEMENTS 2026'!L136)</f>
        <v/>
      </c>
      <c r="H136">
        <f>IF(ISBLANK('ENGAGEMENTS 2026'!B136),"",'ENGAGEMENTS 2026'!AE136)</f>
        <v/>
      </c>
      <c r="I136">
        <f>IF(ISBLANK('ENGAGEMENTS 2026'!B136),"",'ENGAGEMENTS 2026'!G136)</f>
        <v/>
      </c>
      <c r="J136" s="275">
        <f>IF(ISBLANK('ENGAGEMENTS 2026'!B136),"",IF(AND(OR($E136="INFRUCTUEUX",$E136="ANNULE"),$C136="AOO-M"),'ENGAGEMENTS 2026'!O136,IF($H136="EN COURS DE PREENGAGEMENT",'ENGAGEMENTS 2026'!N136,IF($H136="PREENGAGE",IF($E136="ATTRIBUE",'ENGAGEMENTS 2026'!AD136,'ENGAGEMENTS 2026'!N136),'ENGAGEMENTS 2026'!AD136))))</f>
        <v/>
      </c>
      <c r="K136" s="604">
        <f>IF(ISBLANK('ENGAGEMENTS 2026'!V136),"",'ENGAGEMENTS 2026'!V136)</f>
        <v/>
      </c>
      <c r="L136" s="276">
        <f>IF($K136="","",TODAY()-$K136)</f>
        <v/>
      </c>
      <c r="M136">
        <f>IF($A136="","",IF($H136="ENGAGE","Engagé",IF(AND($H136="NON ENGAGE",OR($I136="INFRUCTUEUX",$I136="ANNULE")),"Clôturé sans suite","En cours")))</f>
        <v/>
      </c>
      <c r="N136">
        <f>IF(ISBLANK('ENGAGEMENTS 2026'!B136),"",'ENGAGEMENTS 2026'!K136)</f>
        <v/>
      </c>
      <c r="O136">
        <f>IF(ISBLANK('ENGAGEMENTS 2026'!B136),"",'ENGAGEMENTS 2026'!L136)</f>
        <v/>
      </c>
      <c r="P136">
        <f>IF(ISBLANK('ENGAGEMENTS 2026'!B136),"",'ENGAGEMENTS 2026'!J136)</f>
        <v/>
      </c>
      <c r="Q136">
        <f>IF($A136="","",IF(OR($E136="INFRUCTUEUX",$E136="ANNULE"),$A136&amp;"|"&amp;(COUNTIFS($A$2:$A136,$A136,$E$2:$E136,"INFRUCTUEUX")+COUNTIFS($A$2:$A136,$A136,$E$2:$E136,"ANNULE")),""))</f>
        <v/>
      </c>
    </row>
    <row r="137">
      <c r="A137">
        <f>IF(ISBLANK('ENGAGEMENTS 2026'!B137),"",IF('ENGAGEMENTS 2026'!B137="DTSI","DCT",'ENGAGEMENTS 2026'!B137))</f>
        <v/>
      </c>
      <c r="B137">
        <f>IF(ISBLANK('ENGAGEMENTS 2026'!B137),"",'ENGAGEMENTS 2026'!C137)</f>
        <v/>
      </c>
      <c r="C137">
        <f>IF(ISBLANK('ENGAGEMENTS 2026'!B137),"",'ENGAGEMENTS 2026'!D137)</f>
        <v/>
      </c>
      <c r="D137">
        <f>IF(ISBLANK('ENGAGEMENTS 2026'!B137),"",'ENGAGEMENTS 2026'!F137)</f>
        <v/>
      </c>
      <c r="E137">
        <f>IF(ISBLANK('ENGAGEMENTS 2026'!B137),"",'ENGAGEMENTS 2026'!H137)</f>
        <v/>
      </c>
      <c r="F137">
        <f>IF(ISBLANK('ENGAGEMENTS 2026'!B137),"",'ENGAGEMENTS 2026'!I137)</f>
        <v/>
      </c>
      <c r="G137">
        <f>IF(ISBLANK('ENGAGEMENTS 2026'!B137),"",'ENGAGEMENTS 2026'!L137)</f>
        <v/>
      </c>
      <c r="H137">
        <f>IF(ISBLANK('ENGAGEMENTS 2026'!B137),"",'ENGAGEMENTS 2026'!AE137)</f>
        <v/>
      </c>
      <c r="I137">
        <f>IF(ISBLANK('ENGAGEMENTS 2026'!B137),"",'ENGAGEMENTS 2026'!G137)</f>
        <v/>
      </c>
      <c r="J137" s="275">
        <f>IF(ISBLANK('ENGAGEMENTS 2026'!B137),"",IF(AND(OR($E137="INFRUCTUEUX",$E137="ANNULE"),$C137="AOO-M"),'ENGAGEMENTS 2026'!O137,IF($H137="EN COURS DE PREENGAGEMENT",'ENGAGEMENTS 2026'!N137,IF($H137="PREENGAGE",IF($E137="ATTRIBUE",'ENGAGEMENTS 2026'!AD137,'ENGAGEMENTS 2026'!N137),'ENGAGEMENTS 2026'!AD137))))</f>
        <v/>
      </c>
      <c r="K137" s="604">
        <f>IF(ISBLANK('ENGAGEMENTS 2026'!V137),"",'ENGAGEMENTS 2026'!V137)</f>
        <v/>
      </c>
      <c r="L137" s="276">
        <f>IF($K137="","",TODAY()-$K137)</f>
        <v/>
      </c>
      <c r="M137">
        <f>IF($A137="","",IF($H137="ENGAGE","Engagé",IF(AND($H137="NON ENGAGE",OR($I137="INFRUCTUEUX",$I137="ANNULE")),"Clôturé sans suite","En cours")))</f>
        <v/>
      </c>
      <c r="N137">
        <f>IF(ISBLANK('ENGAGEMENTS 2026'!B137),"",'ENGAGEMENTS 2026'!K137)</f>
        <v/>
      </c>
      <c r="O137">
        <f>IF(ISBLANK('ENGAGEMENTS 2026'!B137),"",'ENGAGEMENTS 2026'!L137)</f>
        <v/>
      </c>
      <c r="P137">
        <f>IF(ISBLANK('ENGAGEMENTS 2026'!B137),"",'ENGAGEMENTS 2026'!J137)</f>
        <v/>
      </c>
      <c r="Q137">
        <f>IF($A137="","",IF(OR($E137="INFRUCTUEUX",$E137="ANNULE"),$A137&amp;"|"&amp;(COUNTIFS($A$2:$A137,$A137,$E$2:$E137,"INFRUCTUEUX")+COUNTIFS($A$2:$A137,$A137,$E$2:$E137,"ANNULE")),""))</f>
        <v/>
      </c>
    </row>
    <row r="138">
      <c r="A138">
        <f>IF(ISBLANK('ENGAGEMENTS 2026'!B138),"",IF('ENGAGEMENTS 2026'!B138="DTSI","DCT",'ENGAGEMENTS 2026'!B138))</f>
        <v/>
      </c>
      <c r="B138">
        <f>IF(ISBLANK('ENGAGEMENTS 2026'!B138),"",'ENGAGEMENTS 2026'!C138)</f>
        <v/>
      </c>
      <c r="C138">
        <f>IF(ISBLANK('ENGAGEMENTS 2026'!B138),"",'ENGAGEMENTS 2026'!D138)</f>
        <v/>
      </c>
      <c r="D138">
        <f>IF(ISBLANK('ENGAGEMENTS 2026'!B138),"",'ENGAGEMENTS 2026'!F138)</f>
        <v/>
      </c>
      <c r="E138">
        <f>IF(ISBLANK('ENGAGEMENTS 2026'!B138),"",'ENGAGEMENTS 2026'!H138)</f>
        <v/>
      </c>
      <c r="F138">
        <f>IF(ISBLANK('ENGAGEMENTS 2026'!B138),"",'ENGAGEMENTS 2026'!I138)</f>
        <v/>
      </c>
      <c r="G138">
        <f>IF(ISBLANK('ENGAGEMENTS 2026'!B138),"",'ENGAGEMENTS 2026'!L138)</f>
        <v/>
      </c>
      <c r="H138">
        <f>IF(ISBLANK('ENGAGEMENTS 2026'!B138),"",'ENGAGEMENTS 2026'!AE138)</f>
        <v/>
      </c>
      <c r="I138">
        <f>IF(ISBLANK('ENGAGEMENTS 2026'!B138),"",'ENGAGEMENTS 2026'!G138)</f>
        <v/>
      </c>
      <c r="J138" s="275">
        <f>IF(ISBLANK('ENGAGEMENTS 2026'!B138),"",IF(AND(OR($E138="INFRUCTUEUX",$E138="ANNULE"),$C138="AOO-M"),'ENGAGEMENTS 2026'!O138,IF($H138="EN COURS DE PREENGAGEMENT",'ENGAGEMENTS 2026'!N138,IF($H138="PREENGAGE",IF($E138="ATTRIBUE",'ENGAGEMENTS 2026'!AD138,'ENGAGEMENTS 2026'!N138),'ENGAGEMENTS 2026'!AD138))))</f>
        <v/>
      </c>
      <c r="K138" s="604">
        <f>IF(ISBLANK('ENGAGEMENTS 2026'!V138),"",'ENGAGEMENTS 2026'!V138)</f>
        <v/>
      </c>
      <c r="L138" s="276">
        <f>IF($K138="","",TODAY()-$K138)</f>
        <v/>
      </c>
      <c r="M138">
        <f>IF($A138="","",IF($H138="ENGAGE","Engagé",IF(AND($H138="NON ENGAGE",OR($I138="INFRUCTUEUX",$I138="ANNULE")),"Clôturé sans suite","En cours")))</f>
        <v/>
      </c>
      <c r="N138">
        <f>IF(ISBLANK('ENGAGEMENTS 2026'!B138),"",'ENGAGEMENTS 2026'!K138)</f>
        <v/>
      </c>
      <c r="O138">
        <f>IF(ISBLANK('ENGAGEMENTS 2026'!B138),"",'ENGAGEMENTS 2026'!L138)</f>
        <v/>
      </c>
      <c r="P138">
        <f>IF(ISBLANK('ENGAGEMENTS 2026'!B138),"",'ENGAGEMENTS 2026'!J138)</f>
        <v/>
      </c>
      <c r="Q138">
        <f>IF($A138="","",IF(OR($E138="INFRUCTUEUX",$E138="ANNULE"),$A138&amp;"|"&amp;(COUNTIFS($A$2:$A138,$A138,$E$2:$E138,"INFRUCTUEUX")+COUNTIFS($A$2:$A138,$A138,$E$2:$E138,"ANNULE")),""))</f>
        <v/>
      </c>
    </row>
    <row r="139">
      <c r="A139">
        <f>IF(ISBLANK('ENGAGEMENTS 2026'!B139),"",IF('ENGAGEMENTS 2026'!B139="DTSI","DCT",'ENGAGEMENTS 2026'!B139))</f>
        <v/>
      </c>
      <c r="B139">
        <f>IF(ISBLANK('ENGAGEMENTS 2026'!B139),"",'ENGAGEMENTS 2026'!C139)</f>
        <v/>
      </c>
      <c r="C139">
        <f>IF(ISBLANK('ENGAGEMENTS 2026'!B139),"",'ENGAGEMENTS 2026'!D139)</f>
        <v/>
      </c>
      <c r="D139">
        <f>IF(ISBLANK('ENGAGEMENTS 2026'!B139),"",'ENGAGEMENTS 2026'!F139)</f>
        <v/>
      </c>
      <c r="E139">
        <f>IF(ISBLANK('ENGAGEMENTS 2026'!B139),"",'ENGAGEMENTS 2026'!H139)</f>
        <v/>
      </c>
      <c r="F139">
        <f>IF(ISBLANK('ENGAGEMENTS 2026'!B139),"",'ENGAGEMENTS 2026'!I139)</f>
        <v/>
      </c>
      <c r="G139">
        <f>IF(ISBLANK('ENGAGEMENTS 2026'!B139),"",'ENGAGEMENTS 2026'!L139)</f>
        <v/>
      </c>
      <c r="H139">
        <f>IF(ISBLANK('ENGAGEMENTS 2026'!B139),"",'ENGAGEMENTS 2026'!AE139)</f>
        <v/>
      </c>
      <c r="I139">
        <f>IF(ISBLANK('ENGAGEMENTS 2026'!B139),"",'ENGAGEMENTS 2026'!G139)</f>
        <v/>
      </c>
      <c r="J139" s="275">
        <f>IF(ISBLANK('ENGAGEMENTS 2026'!B139),"",IF(AND(OR($E139="INFRUCTUEUX",$E139="ANNULE"),$C139="AOO-M"),'ENGAGEMENTS 2026'!O139,IF($H139="EN COURS DE PREENGAGEMENT",'ENGAGEMENTS 2026'!N139,IF($H139="PREENGAGE",IF($E139="ATTRIBUE",'ENGAGEMENTS 2026'!AD139,'ENGAGEMENTS 2026'!N139),'ENGAGEMENTS 2026'!AD139))))</f>
        <v/>
      </c>
      <c r="K139" s="604">
        <f>IF(ISBLANK('ENGAGEMENTS 2026'!V139),"",'ENGAGEMENTS 2026'!V139)</f>
        <v/>
      </c>
      <c r="L139" s="276">
        <f>IF($K139="","",TODAY()-$K139)</f>
        <v/>
      </c>
      <c r="M139">
        <f>IF($A139="","",IF($H139="ENGAGE","Engagé",IF(AND($H139="NON ENGAGE",OR($I139="INFRUCTUEUX",$I139="ANNULE")),"Clôturé sans suite","En cours")))</f>
        <v/>
      </c>
      <c r="N139">
        <f>IF(ISBLANK('ENGAGEMENTS 2026'!B139),"",'ENGAGEMENTS 2026'!K139)</f>
        <v/>
      </c>
      <c r="O139">
        <f>IF(ISBLANK('ENGAGEMENTS 2026'!B139),"",'ENGAGEMENTS 2026'!L139)</f>
        <v/>
      </c>
      <c r="P139">
        <f>IF(ISBLANK('ENGAGEMENTS 2026'!B139),"",'ENGAGEMENTS 2026'!J139)</f>
        <v/>
      </c>
      <c r="Q139">
        <f>IF($A139="","",IF(OR($E139="INFRUCTUEUX",$E139="ANNULE"),$A139&amp;"|"&amp;(COUNTIFS($A$2:$A139,$A139,$E$2:$E139,"INFRUCTUEUX")+COUNTIFS($A$2:$A139,$A139,$E$2:$E139,"ANNULE")),""))</f>
        <v/>
      </c>
    </row>
    <row r="140">
      <c r="A140">
        <f>IF(ISBLANK('ENGAGEMENTS 2026'!B140),"",IF('ENGAGEMENTS 2026'!B140="DTSI","DCT",'ENGAGEMENTS 2026'!B140))</f>
        <v/>
      </c>
      <c r="B140">
        <f>IF(ISBLANK('ENGAGEMENTS 2026'!B140),"",'ENGAGEMENTS 2026'!C140)</f>
        <v/>
      </c>
      <c r="C140">
        <f>IF(ISBLANK('ENGAGEMENTS 2026'!B140),"",'ENGAGEMENTS 2026'!D140)</f>
        <v/>
      </c>
      <c r="D140">
        <f>IF(ISBLANK('ENGAGEMENTS 2026'!B140),"",'ENGAGEMENTS 2026'!F140)</f>
        <v/>
      </c>
      <c r="E140">
        <f>IF(ISBLANK('ENGAGEMENTS 2026'!B140),"",'ENGAGEMENTS 2026'!H140)</f>
        <v/>
      </c>
      <c r="F140">
        <f>IF(ISBLANK('ENGAGEMENTS 2026'!B140),"",'ENGAGEMENTS 2026'!I140)</f>
        <v/>
      </c>
      <c r="G140">
        <f>IF(ISBLANK('ENGAGEMENTS 2026'!B140),"",'ENGAGEMENTS 2026'!L140)</f>
        <v/>
      </c>
      <c r="H140">
        <f>IF(ISBLANK('ENGAGEMENTS 2026'!B140),"",'ENGAGEMENTS 2026'!AE140)</f>
        <v/>
      </c>
      <c r="I140">
        <f>IF(ISBLANK('ENGAGEMENTS 2026'!B140),"",'ENGAGEMENTS 2026'!G140)</f>
        <v/>
      </c>
      <c r="J140" s="275">
        <f>IF(ISBLANK('ENGAGEMENTS 2026'!B140),"",IF(AND(OR($E140="INFRUCTUEUX",$E140="ANNULE"),$C140="AOO-M"),'ENGAGEMENTS 2026'!O140,IF($H140="EN COURS DE PREENGAGEMENT",'ENGAGEMENTS 2026'!N140,IF($H140="PREENGAGE",IF($E140="ATTRIBUE",'ENGAGEMENTS 2026'!AD140,'ENGAGEMENTS 2026'!N140),'ENGAGEMENTS 2026'!AD140))))</f>
        <v/>
      </c>
      <c r="K140" s="604">
        <f>IF(ISBLANK('ENGAGEMENTS 2026'!V140),"",'ENGAGEMENTS 2026'!V140)</f>
        <v/>
      </c>
      <c r="L140" s="276">
        <f>IF($K140="","",TODAY()-$K140)</f>
        <v/>
      </c>
      <c r="M140">
        <f>IF($A140="","",IF($H140="ENGAGE","Engagé",IF(AND($H140="NON ENGAGE",OR($I140="INFRUCTUEUX",$I140="ANNULE")),"Clôturé sans suite","En cours")))</f>
        <v/>
      </c>
      <c r="N140">
        <f>IF(ISBLANK('ENGAGEMENTS 2026'!B140),"",'ENGAGEMENTS 2026'!K140)</f>
        <v/>
      </c>
      <c r="O140">
        <f>IF(ISBLANK('ENGAGEMENTS 2026'!B140),"",'ENGAGEMENTS 2026'!L140)</f>
        <v/>
      </c>
      <c r="P140">
        <f>IF(ISBLANK('ENGAGEMENTS 2026'!B140),"",'ENGAGEMENTS 2026'!J140)</f>
        <v/>
      </c>
      <c r="Q140">
        <f>IF($A140="","",IF(OR($E140="INFRUCTUEUX",$E140="ANNULE"),$A140&amp;"|"&amp;(COUNTIFS($A$2:$A140,$A140,$E$2:$E140,"INFRUCTUEUX")+COUNTIFS($A$2:$A140,$A140,$E$2:$E140,"ANNULE")),""))</f>
        <v/>
      </c>
    </row>
    <row r="141">
      <c r="A141">
        <f>IF(ISBLANK('ENGAGEMENTS 2026'!B141),"",IF('ENGAGEMENTS 2026'!B141="DTSI","DCT",'ENGAGEMENTS 2026'!B141))</f>
        <v/>
      </c>
      <c r="B141">
        <f>IF(ISBLANK('ENGAGEMENTS 2026'!B141),"",'ENGAGEMENTS 2026'!C141)</f>
        <v/>
      </c>
      <c r="C141">
        <f>IF(ISBLANK('ENGAGEMENTS 2026'!B141),"",'ENGAGEMENTS 2026'!D141)</f>
        <v/>
      </c>
      <c r="D141">
        <f>IF(ISBLANK('ENGAGEMENTS 2026'!B141),"",'ENGAGEMENTS 2026'!F141)</f>
        <v/>
      </c>
      <c r="E141">
        <f>IF(ISBLANK('ENGAGEMENTS 2026'!B141),"",'ENGAGEMENTS 2026'!H141)</f>
        <v/>
      </c>
      <c r="F141">
        <f>IF(ISBLANK('ENGAGEMENTS 2026'!B141),"",'ENGAGEMENTS 2026'!I141)</f>
        <v/>
      </c>
      <c r="G141">
        <f>IF(ISBLANK('ENGAGEMENTS 2026'!B141),"",'ENGAGEMENTS 2026'!L141)</f>
        <v/>
      </c>
      <c r="H141">
        <f>IF(ISBLANK('ENGAGEMENTS 2026'!B141),"",'ENGAGEMENTS 2026'!AE141)</f>
        <v/>
      </c>
      <c r="I141">
        <f>IF(ISBLANK('ENGAGEMENTS 2026'!B141),"",'ENGAGEMENTS 2026'!G141)</f>
        <v/>
      </c>
      <c r="J141" s="275">
        <f>IF(ISBLANK('ENGAGEMENTS 2026'!B141),"",IF(AND(OR($E141="INFRUCTUEUX",$E141="ANNULE"),$C141="AOO-M"),'ENGAGEMENTS 2026'!O141,IF($H141="EN COURS DE PREENGAGEMENT",'ENGAGEMENTS 2026'!N141,IF($H141="PREENGAGE",IF($E141="ATTRIBUE",'ENGAGEMENTS 2026'!AD141,'ENGAGEMENTS 2026'!N141),'ENGAGEMENTS 2026'!AD141))))</f>
        <v/>
      </c>
      <c r="K141" s="604">
        <f>IF(ISBLANK('ENGAGEMENTS 2026'!V141),"",'ENGAGEMENTS 2026'!V141)</f>
        <v/>
      </c>
      <c r="L141" s="276">
        <f>IF($K141="","",TODAY()-$K141)</f>
        <v/>
      </c>
      <c r="M141">
        <f>IF($A141="","",IF($H141="ENGAGE","Engagé",IF(AND($H141="NON ENGAGE",OR($I141="INFRUCTUEUX",$I141="ANNULE")),"Clôturé sans suite","En cours")))</f>
        <v/>
      </c>
      <c r="N141">
        <f>IF(ISBLANK('ENGAGEMENTS 2026'!B141),"",'ENGAGEMENTS 2026'!K141)</f>
        <v/>
      </c>
      <c r="O141">
        <f>IF(ISBLANK('ENGAGEMENTS 2026'!B141),"",'ENGAGEMENTS 2026'!L141)</f>
        <v/>
      </c>
      <c r="P141">
        <f>IF(ISBLANK('ENGAGEMENTS 2026'!B141),"",'ENGAGEMENTS 2026'!J141)</f>
        <v/>
      </c>
      <c r="Q141">
        <f>IF($A141="","",IF(OR($E141="INFRUCTUEUX",$E141="ANNULE"),$A141&amp;"|"&amp;(COUNTIFS($A$2:$A141,$A141,$E$2:$E141,"INFRUCTUEUX")+COUNTIFS($A$2:$A141,$A141,$E$2:$E141,"ANNULE")),""))</f>
        <v/>
      </c>
    </row>
    <row r="142">
      <c r="A142">
        <f>IF(ISBLANK('ENGAGEMENTS 2026'!B142),"",IF('ENGAGEMENTS 2026'!B142="DTSI","DCT",'ENGAGEMENTS 2026'!B142))</f>
        <v/>
      </c>
      <c r="B142">
        <f>IF(ISBLANK('ENGAGEMENTS 2026'!B142),"",'ENGAGEMENTS 2026'!C142)</f>
        <v/>
      </c>
      <c r="C142">
        <f>IF(ISBLANK('ENGAGEMENTS 2026'!B142),"",'ENGAGEMENTS 2026'!D142)</f>
        <v/>
      </c>
      <c r="D142">
        <f>IF(ISBLANK('ENGAGEMENTS 2026'!B142),"",'ENGAGEMENTS 2026'!F142)</f>
        <v/>
      </c>
      <c r="E142">
        <f>IF(ISBLANK('ENGAGEMENTS 2026'!B142),"",'ENGAGEMENTS 2026'!H142)</f>
        <v/>
      </c>
      <c r="F142">
        <f>IF(ISBLANK('ENGAGEMENTS 2026'!B142),"",'ENGAGEMENTS 2026'!I142)</f>
        <v/>
      </c>
      <c r="G142">
        <f>IF(ISBLANK('ENGAGEMENTS 2026'!B142),"",'ENGAGEMENTS 2026'!L142)</f>
        <v/>
      </c>
      <c r="H142">
        <f>IF(ISBLANK('ENGAGEMENTS 2026'!B142),"",'ENGAGEMENTS 2026'!AE142)</f>
        <v/>
      </c>
      <c r="I142">
        <f>IF(ISBLANK('ENGAGEMENTS 2026'!B142),"",'ENGAGEMENTS 2026'!G142)</f>
        <v/>
      </c>
      <c r="J142" s="275">
        <f>IF(ISBLANK('ENGAGEMENTS 2026'!B142),"",IF(AND(OR($E142="INFRUCTUEUX",$E142="ANNULE"),$C142="AOO-M"),'ENGAGEMENTS 2026'!O142,IF($H142="EN COURS DE PREENGAGEMENT",'ENGAGEMENTS 2026'!N142,IF($H142="PREENGAGE",IF($E142="ATTRIBUE",'ENGAGEMENTS 2026'!AD142,'ENGAGEMENTS 2026'!N142),'ENGAGEMENTS 2026'!AD142))))</f>
        <v/>
      </c>
      <c r="K142" s="604">
        <f>IF(ISBLANK('ENGAGEMENTS 2026'!V142),"",'ENGAGEMENTS 2026'!V142)</f>
        <v/>
      </c>
      <c r="L142" s="276">
        <f>IF($K142="","",TODAY()-$K142)</f>
        <v/>
      </c>
      <c r="M142">
        <f>IF($A142="","",IF($H142="ENGAGE","Engagé",IF(AND($H142="NON ENGAGE",OR($I142="INFRUCTUEUX",$I142="ANNULE")),"Clôturé sans suite","En cours")))</f>
        <v/>
      </c>
      <c r="N142">
        <f>IF(ISBLANK('ENGAGEMENTS 2026'!B142),"",'ENGAGEMENTS 2026'!K142)</f>
        <v/>
      </c>
      <c r="O142">
        <f>IF(ISBLANK('ENGAGEMENTS 2026'!B142),"",'ENGAGEMENTS 2026'!L142)</f>
        <v/>
      </c>
      <c r="P142">
        <f>IF(ISBLANK('ENGAGEMENTS 2026'!B142),"",'ENGAGEMENTS 2026'!J142)</f>
        <v/>
      </c>
      <c r="Q142">
        <f>IF($A142="","",IF(OR($E142="INFRUCTUEUX",$E142="ANNULE"),$A142&amp;"|"&amp;(COUNTIFS($A$2:$A142,$A142,$E$2:$E142,"INFRUCTUEUX")+COUNTIFS($A$2:$A142,$A142,$E$2:$E142,"ANNULE")),""))</f>
        <v/>
      </c>
    </row>
    <row r="143">
      <c r="A143">
        <f>IF(ISBLANK('ENGAGEMENTS 2026'!B143),"",IF('ENGAGEMENTS 2026'!B143="DTSI","DCT",'ENGAGEMENTS 2026'!B143))</f>
        <v/>
      </c>
      <c r="B143">
        <f>IF(ISBLANK('ENGAGEMENTS 2026'!B143),"",'ENGAGEMENTS 2026'!C143)</f>
        <v/>
      </c>
      <c r="C143">
        <f>IF(ISBLANK('ENGAGEMENTS 2026'!B143),"",'ENGAGEMENTS 2026'!D143)</f>
        <v/>
      </c>
      <c r="D143">
        <f>IF(ISBLANK('ENGAGEMENTS 2026'!B143),"",'ENGAGEMENTS 2026'!F143)</f>
        <v/>
      </c>
      <c r="E143">
        <f>IF(ISBLANK('ENGAGEMENTS 2026'!B143),"",'ENGAGEMENTS 2026'!H143)</f>
        <v/>
      </c>
      <c r="F143">
        <f>IF(ISBLANK('ENGAGEMENTS 2026'!B143),"",'ENGAGEMENTS 2026'!I143)</f>
        <v/>
      </c>
      <c r="G143">
        <f>IF(ISBLANK('ENGAGEMENTS 2026'!B143),"",'ENGAGEMENTS 2026'!L143)</f>
        <v/>
      </c>
      <c r="H143">
        <f>IF(ISBLANK('ENGAGEMENTS 2026'!B143),"",'ENGAGEMENTS 2026'!AE143)</f>
        <v/>
      </c>
      <c r="I143">
        <f>IF(ISBLANK('ENGAGEMENTS 2026'!B143),"",'ENGAGEMENTS 2026'!G143)</f>
        <v/>
      </c>
      <c r="J143" s="275">
        <f>IF(ISBLANK('ENGAGEMENTS 2026'!B143),"",IF(AND(OR($E143="INFRUCTUEUX",$E143="ANNULE"),$C143="AOO-M"),'ENGAGEMENTS 2026'!O143,IF($H143="EN COURS DE PREENGAGEMENT",'ENGAGEMENTS 2026'!N143,IF($H143="PREENGAGE",IF($E143="ATTRIBUE",'ENGAGEMENTS 2026'!AD143,'ENGAGEMENTS 2026'!N143),'ENGAGEMENTS 2026'!AD143))))</f>
        <v/>
      </c>
      <c r="K143" s="604">
        <f>IF(ISBLANK('ENGAGEMENTS 2026'!V143),"",'ENGAGEMENTS 2026'!V143)</f>
        <v/>
      </c>
      <c r="L143" s="276">
        <f>IF($K143="","",TODAY()-$K143)</f>
        <v/>
      </c>
      <c r="M143">
        <f>IF($A143="","",IF($H143="ENGAGE","Engagé",IF(AND($H143="NON ENGAGE",OR($I143="INFRUCTUEUX",$I143="ANNULE")),"Clôturé sans suite","En cours")))</f>
        <v/>
      </c>
      <c r="N143">
        <f>IF(ISBLANK('ENGAGEMENTS 2026'!B143),"",'ENGAGEMENTS 2026'!K143)</f>
        <v/>
      </c>
      <c r="O143">
        <f>IF(ISBLANK('ENGAGEMENTS 2026'!B143),"",'ENGAGEMENTS 2026'!L143)</f>
        <v/>
      </c>
      <c r="P143">
        <f>IF(ISBLANK('ENGAGEMENTS 2026'!B143),"",'ENGAGEMENTS 2026'!J143)</f>
        <v/>
      </c>
      <c r="Q143">
        <f>IF($A143="","",IF(OR($E143="INFRUCTUEUX",$E143="ANNULE"),$A143&amp;"|"&amp;(COUNTIFS($A$2:$A143,$A143,$E$2:$E143,"INFRUCTUEUX")+COUNTIFS($A$2:$A143,$A143,$E$2:$E143,"ANNULE")),""))</f>
        <v/>
      </c>
    </row>
    <row r="144">
      <c r="A144">
        <f>IF(ISBLANK('ENGAGEMENTS 2026'!B144),"",IF('ENGAGEMENTS 2026'!B144="DTSI","DCT",'ENGAGEMENTS 2026'!B144))</f>
        <v/>
      </c>
      <c r="B144">
        <f>IF(ISBLANK('ENGAGEMENTS 2026'!B144),"",'ENGAGEMENTS 2026'!C144)</f>
        <v/>
      </c>
      <c r="C144">
        <f>IF(ISBLANK('ENGAGEMENTS 2026'!B144),"",'ENGAGEMENTS 2026'!D144)</f>
        <v/>
      </c>
      <c r="D144">
        <f>IF(ISBLANK('ENGAGEMENTS 2026'!B144),"",'ENGAGEMENTS 2026'!F144)</f>
        <v/>
      </c>
      <c r="E144">
        <f>IF(ISBLANK('ENGAGEMENTS 2026'!B144),"",'ENGAGEMENTS 2026'!H144)</f>
        <v/>
      </c>
      <c r="F144">
        <f>IF(ISBLANK('ENGAGEMENTS 2026'!B144),"",'ENGAGEMENTS 2026'!I144)</f>
        <v/>
      </c>
      <c r="G144">
        <f>IF(ISBLANK('ENGAGEMENTS 2026'!B144),"",'ENGAGEMENTS 2026'!L144)</f>
        <v/>
      </c>
      <c r="H144">
        <f>IF(ISBLANK('ENGAGEMENTS 2026'!B144),"",'ENGAGEMENTS 2026'!AE144)</f>
        <v/>
      </c>
      <c r="I144">
        <f>IF(ISBLANK('ENGAGEMENTS 2026'!B144),"",'ENGAGEMENTS 2026'!G144)</f>
        <v/>
      </c>
      <c r="J144" s="275">
        <f>IF(ISBLANK('ENGAGEMENTS 2026'!B144),"",IF(AND(OR($E144="INFRUCTUEUX",$E144="ANNULE"),$C144="AOO-M"),'ENGAGEMENTS 2026'!O144,IF($H144="EN COURS DE PREENGAGEMENT",'ENGAGEMENTS 2026'!N144,IF($H144="PREENGAGE",IF($E144="ATTRIBUE",'ENGAGEMENTS 2026'!AD144,'ENGAGEMENTS 2026'!N144),'ENGAGEMENTS 2026'!AD144))))</f>
        <v/>
      </c>
      <c r="K144" s="604">
        <f>IF(ISBLANK('ENGAGEMENTS 2026'!V144),"",'ENGAGEMENTS 2026'!V144)</f>
        <v/>
      </c>
      <c r="L144" s="276">
        <f>IF($K144="","",TODAY()-$K144)</f>
        <v/>
      </c>
      <c r="M144">
        <f>IF($A144="","",IF($H144="ENGAGE","Engagé",IF(AND($H144="NON ENGAGE",OR($I144="INFRUCTUEUX",$I144="ANNULE")),"Clôturé sans suite","En cours")))</f>
        <v/>
      </c>
      <c r="N144">
        <f>IF(ISBLANK('ENGAGEMENTS 2026'!B144),"",'ENGAGEMENTS 2026'!K144)</f>
        <v/>
      </c>
      <c r="O144">
        <f>IF(ISBLANK('ENGAGEMENTS 2026'!B144),"",'ENGAGEMENTS 2026'!L144)</f>
        <v/>
      </c>
      <c r="P144">
        <f>IF(ISBLANK('ENGAGEMENTS 2026'!B144),"",'ENGAGEMENTS 2026'!J144)</f>
        <v/>
      </c>
      <c r="Q144">
        <f>IF($A144="","",IF(OR($E144="INFRUCTUEUX",$E144="ANNULE"),$A144&amp;"|"&amp;(COUNTIFS($A$2:$A144,$A144,$E$2:$E144,"INFRUCTUEUX")+COUNTIFS($A$2:$A144,$A144,$E$2:$E144,"ANNULE")),""))</f>
        <v/>
      </c>
    </row>
    <row r="145">
      <c r="A145">
        <f>IF(ISBLANK('ENGAGEMENTS 2026'!B145),"",IF('ENGAGEMENTS 2026'!B145="DTSI","DCT",'ENGAGEMENTS 2026'!B145))</f>
        <v/>
      </c>
      <c r="B145">
        <f>IF(ISBLANK('ENGAGEMENTS 2026'!B145),"",'ENGAGEMENTS 2026'!C145)</f>
        <v/>
      </c>
      <c r="C145">
        <f>IF(ISBLANK('ENGAGEMENTS 2026'!B145),"",'ENGAGEMENTS 2026'!D145)</f>
        <v/>
      </c>
      <c r="D145">
        <f>IF(ISBLANK('ENGAGEMENTS 2026'!B145),"",'ENGAGEMENTS 2026'!F145)</f>
        <v/>
      </c>
      <c r="E145">
        <f>IF(ISBLANK('ENGAGEMENTS 2026'!B145),"",'ENGAGEMENTS 2026'!H145)</f>
        <v/>
      </c>
      <c r="F145">
        <f>IF(ISBLANK('ENGAGEMENTS 2026'!B145),"",'ENGAGEMENTS 2026'!I145)</f>
        <v/>
      </c>
      <c r="G145">
        <f>IF(ISBLANK('ENGAGEMENTS 2026'!B145),"",'ENGAGEMENTS 2026'!L145)</f>
        <v/>
      </c>
      <c r="H145">
        <f>IF(ISBLANK('ENGAGEMENTS 2026'!B145),"",'ENGAGEMENTS 2026'!AE145)</f>
        <v/>
      </c>
      <c r="I145">
        <f>IF(ISBLANK('ENGAGEMENTS 2026'!B145),"",'ENGAGEMENTS 2026'!G145)</f>
        <v/>
      </c>
      <c r="J145" s="275">
        <f>IF(ISBLANK('ENGAGEMENTS 2026'!B145),"",IF(AND(OR($E145="INFRUCTUEUX",$E145="ANNULE"),$C145="AOO-M"),'ENGAGEMENTS 2026'!O145,IF($H145="EN COURS DE PREENGAGEMENT",'ENGAGEMENTS 2026'!N145,IF($H145="PREENGAGE",IF($E145="ATTRIBUE",'ENGAGEMENTS 2026'!AD145,'ENGAGEMENTS 2026'!N145),'ENGAGEMENTS 2026'!AD145))))</f>
        <v/>
      </c>
      <c r="K145" s="604">
        <f>IF(ISBLANK('ENGAGEMENTS 2026'!V145),"",'ENGAGEMENTS 2026'!V145)</f>
        <v/>
      </c>
      <c r="L145" s="276">
        <f>IF($K145="","",TODAY()-$K145)</f>
        <v/>
      </c>
      <c r="M145">
        <f>IF($A145="","",IF($H145="ENGAGE","Engagé",IF(AND($H145="NON ENGAGE",OR($I145="INFRUCTUEUX",$I145="ANNULE")),"Clôturé sans suite","En cours")))</f>
        <v/>
      </c>
      <c r="N145">
        <f>IF(ISBLANK('ENGAGEMENTS 2026'!B145),"",'ENGAGEMENTS 2026'!K145)</f>
        <v/>
      </c>
      <c r="O145">
        <f>IF(ISBLANK('ENGAGEMENTS 2026'!B145),"",'ENGAGEMENTS 2026'!L145)</f>
        <v/>
      </c>
      <c r="P145">
        <f>IF(ISBLANK('ENGAGEMENTS 2026'!B145),"",'ENGAGEMENTS 2026'!J145)</f>
        <v/>
      </c>
      <c r="Q145">
        <f>IF($A145="","",IF(OR($E145="INFRUCTUEUX",$E145="ANNULE"),$A145&amp;"|"&amp;(COUNTIFS($A$2:$A145,$A145,$E$2:$E145,"INFRUCTUEUX")+COUNTIFS($A$2:$A145,$A145,$E$2:$E145,"ANNULE")),""))</f>
        <v/>
      </c>
    </row>
    <row r="146">
      <c r="A146">
        <f>IF(ISBLANK('ENGAGEMENTS 2026'!B146),"",IF('ENGAGEMENTS 2026'!B146="DTSI","DCT",'ENGAGEMENTS 2026'!B146))</f>
        <v/>
      </c>
      <c r="B146">
        <f>IF(ISBLANK('ENGAGEMENTS 2026'!B146),"",'ENGAGEMENTS 2026'!C146)</f>
        <v/>
      </c>
      <c r="C146">
        <f>IF(ISBLANK('ENGAGEMENTS 2026'!B146),"",'ENGAGEMENTS 2026'!D146)</f>
        <v/>
      </c>
      <c r="D146">
        <f>IF(ISBLANK('ENGAGEMENTS 2026'!B146),"",'ENGAGEMENTS 2026'!F146)</f>
        <v/>
      </c>
      <c r="E146">
        <f>IF(ISBLANK('ENGAGEMENTS 2026'!B146),"",'ENGAGEMENTS 2026'!H146)</f>
        <v/>
      </c>
      <c r="F146">
        <f>IF(ISBLANK('ENGAGEMENTS 2026'!B146),"",'ENGAGEMENTS 2026'!I146)</f>
        <v/>
      </c>
      <c r="G146">
        <f>IF(ISBLANK('ENGAGEMENTS 2026'!B146),"",'ENGAGEMENTS 2026'!L146)</f>
        <v/>
      </c>
      <c r="H146">
        <f>IF(ISBLANK('ENGAGEMENTS 2026'!B146),"",'ENGAGEMENTS 2026'!AE146)</f>
        <v/>
      </c>
      <c r="I146">
        <f>IF(ISBLANK('ENGAGEMENTS 2026'!B146),"",'ENGAGEMENTS 2026'!G146)</f>
        <v/>
      </c>
      <c r="J146" s="275">
        <f>IF(ISBLANK('ENGAGEMENTS 2026'!B146),"",IF(AND(OR($E146="INFRUCTUEUX",$E146="ANNULE"),$C146="AOO-M"),'ENGAGEMENTS 2026'!O146,IF($H146="EN COURS DE PREENGAGEMENT",'ENGAGEMENTS 2026'!N146,IF($H146="PREENGAGE",IF($E146="ATTRIBUE",'ENGAGEMENTS 2026'!AD146,'ENGAGEMENTS 2026'!N146),'ENGAGEMENTS 2026'!AD146))))</f>
        <v/>
      </c>
      <c r="K146" s="604">
        <f>IF(ISBLANK('ENGAGEMENTS 2026'!V146),"",'ENGAGEMENTS 2026'!V146)</f>
        <v/>
      </c>
      <c r="L146" s="276">
        <f>IF($K146="","",TODAY()-$K146)</f>
        <v/>
      </c>
      <c r="M146">
        <f>IF($A146="","",IF($H146="ENGAGE","Engagé",IF(AND($H146="NON ENGAGE",OR($I146="INFRUCTUEUX",$I146="ANNULE")),"Clôturé sans suite","En cours")))</f>
        <v/>
      </c>
      <c r="N146">
        <f>IF(ISBLANK('ENGAGEMENTS 2026'!B146),"",'ENGAGEMENTS 2026'!K146)</f>
        <v/>
      </c>
      <c r="O146">
        <f>IF(ISBLANK('ENGAGEMENTS 2026'!B146),"",'ENGAGEMENTS 2026'!L146)</f>
        <v/>
      </c>
      <c r="P146">
        <f>IF(ISBLANK('ENGAGEMENTS 2026'!B146),"",'ENGAGEMENTS 2026'!J146)</f>
        <v/>
      </c>
      <c r="Q146">
        <f>IF($A146="","",IF(OR($E146="INFRUCTUEUX",$E146="ANNULE"),$A146&amp;"|"&amp;(COUNTIFS($A$2:$A146,$A146,$E$2:$E146,"INFRUCTUEUX")+COUNTIFS($A$2:$A146,$A146,$E$2:$E146,"ANNULE")),""))</f>
        <v/>
      </c>
    </row>
    <row r="147">
      <c r="A147">
        <f>IF(ISBLANK('ENGAGEMENTS 2026'!B147),"",IF('ENGAGEMENTS 2026'!B147="DTSI","DCT",'ENGAGEMENTS 2026'!B147))</f>
        <v/>
      </c>
      <c r="B147">
        <f>IF(ISBLANK('ENGAGEMENTS 2026'!B147),"",'ENGAGEMENTS 2026'!C147)</f>
        <v/>
      </c>
      <c r="C147">
        <f>IF(ISBLANK('ENGAGEMENTS 2026'!B147),"",'ENGAGEMENTS 2026'!D147)</f>
        <v/>
      </c>
      <c r="D147">
        <f>IF(ISBLANK('ENGAGEMENTS 2026'!B147),"",'ENGAGEMENTS 2026'!F147)</f>
        <v/>
      </c>
      <c r="E147">
        <f>IF(ISBLANK('ENGAGEMENTS 2026'!B147),"",'ENGAGEMENTS 2026'!H147)</f>
        <v/>
      </c>
      <c r="F147">
        <f>IF(ISBLANK('ENGAGEMENTS 2026'!B147),"",'ENGAGEMENTS 2026'!I147)</f>
        <v/>
      </c>
      <c r="G147">
        <f>IF(ISBLANK('ENGAGEMENTS 2026'!B147),"",'ENGAGEMENTS 2026'!L147)</f>
        <v/>
      </c>
      <c r="H147">
        <f>IF(ISBLANK('ENGAGEMENTS 2026'!B147),"",'ENGAGEMENTS 2026'!AE147)</f>
        <v/>
      </c>
      <c r="I147">
        <f>IF(ISBLANK('ENGAGEMENTS 2026'!B147),"",'ENGAGEMENTS 2026'!G147)</f>
        <v/>
      </c>
      <c r="J147" s="275">
        <f>IF(ISBLANK('ENGAGEMENTS 2026'!B147),"",IF(AND(OR($E147="INFRUCTUEUX",$E147="ANNULE"),$C147="AOO-M"),'ENGAGEMENTS 2026'!O147,IF($H147="EN COURS DE PREENGAGEMENT",'ENGAGEMENTS 2026'!N147,IF($H147="PREENGAGE",IF($E147="ATTRIBUE",'ENGAGEMENTS 2026'!AD147,'ENGAGEMENTS 2026'!N147),'ENGAGEMENTS 2026'!AD147))))</f>
        <v/>
      </c>
      <c r="K147" s="604">
        <f>IF(ISBLANK('ENGAGEMENTS 2026'!V147),"",'ENGAGEMENTS 2026'!V147)</f>
        <v/>
      </c>
      <c r="L147" s="276">
        <f>IF($K147="","",TODAY()-$K147)</f>
        <v/>
      </c>
      <c r="M147">
        <f>IF($A147="","",IF($H147="ENGAGE","Engagé",IF(AND($H147="NON ENGAGE",OR($I147="INFRUCTUEUX",$I147="ANNULE")),"Clôturé sans suite","En cours")))</f>
        <v/>
      </c>
      <c r="N147">
        <f>IF(ISBLANK('ENGAGEMENTS 2026'!B147),"",'ENGAGEMENTS 2026'!K147)</f>
        <v/>
      </c>
      <c r="O147">
        <f>IF(ISBLANK('ENGAGEMENTS 2026'!B147),"",'ENGAGEMENTS 2026'!L147)</f>
        <v/>
      </c>
      <c r="P147">
        <f>IF(ISBLANK('ENGAGEMENTS 2026'!B147),"",'ENGAGEMENTS 2026'!J147)</f>
        <v/>
      </c>
      <c r="Q147">
        <f>IF($A147="","",IF(OR($E147="INFRUCTUEUX",$E147="ANNULE"),$A147&amp;"|"&amp;(COUNTIFS($A$2:$A147,$A147,$E$2:$E147,"INFRUCTUEUX")+COUNTIFS($A$2:$A147,$A147,$E$2:$E147,"ANNULE")),""))</f>
        <v/>
      </c>
    </row>
    <row r="148">
      <c r="A148">
        <f>IF(ISBLANK('ENGAGEMENTS 2026'!B148),"",IF('ENGAGEMENTS 2026'!B148="DTSI","DCT",'ENGAGEMENTS 2026'!B148))</f>
        <v/>
      </c>
      <c r="B148">
        <f>IF(ISBLANK('ENGAGEMENTS 2026'!B148),"",'ENGAGEMENTS 2026'!C148)</f>
        <v/>
      </c>
      <c r="C148">
        <f>IF(ISBLANK('ENGAGEMENTS 2026'!B148),"",'ENGAGEMENTS 2026'!D148)</f>
        <v/>
      </c>
      <c r="D148">
        <f>IF(ISBLANK('ENGAGEMENTS 2026'!B148),"",'ENGAGEMENTS 2026'!F148)</f>
        <v/>
      </c>
      <c r="E148">
        <f>IF(ISBLANK('ENGAGEMENTS 2026'!B148),"",'ENGAGEMENTS 2026'!H148)</f>
        <v/>
      </c>
      <c r="F148">
        <f>IF(ISBLANK('ENGAGEMENTS 2026'!B148),"",'ENGAGEMENTS 2026'!I148)</f>
        <v/>
      </c>
      <c r="G148">
        <f>IF(ISBLANK('ENGAGEMENTS 2026'!B148),"",'ENGAGEMENTS 2026'!L148)</f>
        <v/>
      </c>
      <c r="H148">
        <f>IF(ISBLANK('ENGAGEMENTS 2026'!B148),"",'ENGAGEMENTS 2026'!AE148)</f>
        <v/>
      </c>
      <c r="I148">
        <f>IF(ISBLANK('ENGAGEMENTS 2026'!B148),"",'ENGAGEMENTS 2026'!G148)</f>
        <v/>
      </c>
      <c r="J148" s="275">
        <f>IF(ISBLANK('ENGAGEMENTS 2026'!B148),"",IF(AND(OR($E148="INFRUCTUEUX",$E148="ANNULE"),$C148="AOO-M"),'ENGAGEMENTS 2026'!O148,IF($H148="EN COURS DE PREENGAGEMENT",'ENGAGEMENTS 2026'!N148,IF($H148="PREENGAGE",IF($E148="ATTRIBUE",'ENGAGEMENTS 2026'!AD148,'ENGAGEMENTS 2026'!N148),'ENGAGEMENTS 2026'!AD148))))</f>
        <v/>
      </c>
      <c r="K148" s="604">
        <f>IF(ISBLANK('ENGAGEMENTS 2026'!V148),"",'ENGAGEMENTS 2026'!V148)</f>
        <v/>
      </c>
      <c r="L148" s="276">
        <f>IF($K148="","",TODAY()-$K148)</f>
        <v/>
      </c>
      <c r="M148">
        <f>IF($A148="","",IF($H148="ENGAGE","Engagé",IF(AND($H148="NON ENGAGE",OR($I148="INFRUCTUEUX",$I148="ANNULE")),"Clôturé sans suite","En cours")))</f>
        <v/>
      </c>
      <c r="N148">
        <f>IF(ISBLANK('ENGAGEMENTS 2026'!B148),"",'ENGAGEMENTS 2026'!K148)</f>
        <v/>
      </c>
      <c r="O148">
        <f>IF(ISBLANK('ENGAGEMENTS 2026'!B148),"",'ENGAGEMENTS 2026'!L148)</f>
        <v/>
      </c>
      <c r="P148">
        <f>IF(ISBLANK('ENGAGEMENTS 2026'!B148),"",'ENGAGEMENTS 2026'!J148)</f>
        <v/>
      </c>
      <c r="Q148">
        <f>IF($A148="","",IF(OR($E148="INFRUCTUEUX",$E148="ANNULE"),$A148&amp;"|"&amp;(COUNTIFS($A$2:$A148,$A148,$E$2:$E148,"INFRUCTUEUX")+COUNTIFS($A$2:$A148,$A148,$E$2:$E148,"ANNULE")),""))</f>
        <v/>
      </c>
    </row>
    <row r="149">
      <c r="A149">
        <f>IF(ISBLANK('ENGAGEMENTS 2026'!B149),"",IF('ENGAGEMENTS 2026'!B149="DTSI","DCT",'ENGAGEMENTS 2026'!B149))</f>
        <v/>
      </c>
      <c r="B149">
        <f>IF(ISBLANK('ENGAGEMENTS 2026'!B149),"",'ENGAGEMENTS 2026'!C149)</f>
        <v/>
      </c>
      <c r="C149">
        <f>IF(ISBLANK('ENGAGEMENTS 2026'!B149),"",'ENGAGEMENTS 2026'!D149)</f>
        <v/>
      </c>
      <c r="D149">
        <f>IF(ISBLANK('ENGAGEMENTS 2026'!B149),"",'ENGAGEMENTS 2026'!F149)</f>
        <v/>
      </c>
      <c r="E149">
        <f>IF(ISBLANK('ENGAGEMENTS 2026'!B149),"",'ENGAGEMENTS 2026'!H149)</f>
        <v/>
      </c>
      <c r="F149">
        <f>IF(ISBLANK('ENGAGEMENTS 2026'!B149),"",'ENGAGEMENTS 2026'!I149)</f>
        <v/>
      </c>
      <c r="G149">
        <f>IF(ISBLANK('ENGAGEMENTS 2026'!B149),"",'ENGAGEMENTS 2026'!L149)</f>
        <v/>
      </c>
      <c r="H149">
        <f>IF(ISBLANK('ENGAGEMENTS 2026'!B149),"",'ENGAGEMENTS 2026'!AE149)</f>
        <v/>
      </c>
      <c r="I149">
        <f>IF(ISBLANK('ENGAGEMENTS 2026'!B149),"",'ENGAGEMENTS 2026'!G149)</f>
        <v/>
      </c>
      <c r="J149" s="275">
        <f>IF(ISBLANK('ENGAGEMENTS 2026'!B149),"",IF(AND(OR($E149="INFRUCTUEUX",$E149="ANNULE"),$C149="AOO-M"),'ENGAGEMENTS 2026'!O149,IF($H149="EN COURS DE PREENGAGEMENT",'ENGAGEMENTS 2026'!N149,IF($H149="PREENGAGE",IF($E149="ATTRIBUE",'ENGAGEMENTS 2026'!AD149,'ENGAGEMENTS 2026'!N149),'ENGAGEMENTS 2026'!AD149))))</f>
        <v/>
      </c>
      <c r="K149" s="604">
        <f>IF(ISBLANK('ENGAGEMENTS 2026'!V149),"",'ENGAGEMENTS 2026'!V149)</f>
        <v/>
      </c>
      <c r="L149" s="276">
        <f>IF($K149="","",TODAY()-$K149)</f>
        <v/>
      </c>
      <c r="M149">
        <f>IF($A149="","",IF($H149="ENGAGE","Engagé",IF(AND($H149="NON ENGAGE",OR($I149="INFRUCTUEUX",$I149="ANNULE")),"Clôturé sans suite","En cours")))</f>
        <v/>
      </c>
      <c r="N149">
        <f>IF(ISBLANK('ENGAGEMENTS 2026'!B149),"",'ENGAGEMENTS 2026'!K149)</f>
        <v/>
      </c>
      <c r="O149">
        <f>IF(ISBLANK('ENGAGEMENTS 2026'!B149),"",'ENGAGEMENTS 2026'!L149)</f>
        <v/>
      </c>
      <c r="P149">
        <f>IF(ISBLANK('ENGAGEMENTS 2026'!B149),"",'ENGAGEMENTS 2026'!J149)</f>
        <v/>
      </c>
      <c r="Q149">
        <f>IF($A149="","",IF(OR($E149="INFRUCTUEUX",$E149="ANNULE"),$A149&amp;"|"&amp;(COUNTIFS($A$2:$A149,$A149,$E$2:$E149,"INFRUCTUEUX")+COUNTIFS($A$2:$A149,$A149,$E$2:$E149,"ANNULE")),""))</f>
        <v/>
      </c>
    </row>
    <row r="150">
      <c r="A150">
        <f>IF(ISBLANK('ENGAGEMENTS 2026'!B150),"",IF('ENGAGEMENTS 2026'!B150="DTSI","DCT",'ENGAGEMENTS 2026'!B150))</f>
        <v/>
      </c>
      <c r="B150">
        <f>IF(ISBLANK('ENGAGEMENTS 2026'!B150),"",'ENGAGEMENTS 2026'!C150)</f>
        <v/>
      </c>
      <c r="C150">
        <f>IF(ISBLANK('ENGAGEMENTS 2026'!B150),"",'ENGAGEMENTS 2026'!D150)</f>
        <v/>
      </c>
      <c r="D150">
        <f>IF(ISBLANK('ENGAGEMENTS 2026'!B150),"",'ENGAGEMENTS 2026'!F150)</f>
        <v/>
      </c>
      <c r="E150">
        <f>IF(ISBLANK('ENGAGEMENTS 2026'!B150),"",'ENGAGEMENTS 2026'!H150)</f>
        <v/>
      </c>
      <c r="F150">
        <f>IF(ISBLANK('ENGAGEMENTS 2026'!B150),"",'ENGAGEMENTS 2026'!I150)</f>
        <v/>
      </c>
      <c r="G150">
        <f>IF(ISBLANK('ENGAGEMENTS 2026'!B150),"",'ENGAGEMENTS 2026'!L150)</f>
        <v/>
      </c>
      <c r="H150">
        <f>IF(ISBLANK('ENGAGEMENTS 2026'!B150),"",'ENGAGEMENTS 2026'!AE150)</f>
        <v/>
      </c>
      <c r="I150">
        <f>IF(ISBLANK('ENGAGEMENTS 2026'!B150),"",'ENGAGEMENTS 2026'!G150)</f>
        <v/>
      </c>
      <c r="J150" s="275">
        <f>IF(ISBLANK('ENGAGEMENTS 2026'!B150),"",IF(AND(OR($E150="INFRUCTUEUX",$E150="ANNULE"),$C150="AOO-M"),'ENGAGEMENTS 2026'!O150,IF($H150="EN COURS DE PREENGAGEMENT",'ENGAGEMENTS 2026'!N150,IF($H150="PREENGAGE",IF($E150="ATTRIBUE",'ENGAGEMENTS 2026'!AD150,'ENGAGEMENTS 2026'!N150),'ENGAGEMENTS 2026'!AD150))))</f>
        <v/>
      </c>
      <c r="K150" s="604">
        <f>IF(ISBLANK('ENGAGEMENTS 2026'!V150),"",'ENGAGEMENTS 2026'!V150)</f>
        <v/>
      </c>
      <c r="L150" s="276">
        <f>IF($K150="","",TODAY()-$K150)</f>
        <v/>
      </c>
      <c r="M150">
        <f>IF($A150="","",IF($H150="ENGAGE","Engagé",IF(AND($H150="NON ENGAGE",OR($I150="INFRUCTUEUX",$I150="ANNULE")),"Clôturé sans suite","En cours")))</f>
        <v/>
      </c>
      <c r="N150">
        <f>IF(ISBLANK('ENGAGEMENTS 2026'!B150),"",'ENGAGEMENTS 2026'!K150)</f>
        <v/>
      </c>
      <c r="O150">
        <f>IF(ISBLANK('ENGAGEMENTS 2026'!B150),"",'ENGAGEMENTS 2026'!L150)</f>
        <v/>
      </c>
      <c r="P150">
        <f>IF(ISBLANK('ENGAGEMENTS 2026'!B150),"",'ENGAGEMENTS 2026'!J150)</f>
        <v/>
      </c>
      <c r="Q150">
        <f>IF($A150="","",IF(OR($E150="INFRUCTUEUX",$E150="ANNULE"),$A150&amp;"|"&amp;(COUNTIFS($A$2:$A150,$A150,$E$2:$E150,"INFRUCTUEUX")+COUNTIFS($A$2:$A150,$A150,$E$2:$E150,"ANNULE")),""))</f>
        <v/>
      </c>
    </row>
    <row r="151">
      <c r="A151">
        <f>IF(ISBLANK('ENGAGEMENTS 2026'!B151),"",IF('ENGAGEMENTS 2026'!B151="DTSI","DCT",'ENGAGEMENTS 2026'!B151))</f>
        <v/>
      </c>
      <c r="B151">
        <f>IF(ISBLANK('ENGAGEMENTS 2026'!B151),"",'ENGAGEMENTS 2026'!C151)</f>
        <v/>
      </c>
      <c r="C151">
        <f>IF(ISBLANK('ENGAGEMENTS 2026'!B151),"",'ENGAGEMENTS 2026'!D151)</f>
        <v/>
      </c>
      <c r="D151">
        <f>IF(ISBLANK('ENGAGEMENTS 2026'!B151),"",'ENGAGEMENTS 2026'!F151)</f>
        <v/>
      </c>
      <c r="E151">
        <f>IF(ISBLANK('ENGAGEMENTS 2026'!B151),"",'ENGAGEMENTS 2026'!H151)</f>
        <v/>
      </c>
      <c r="F151">
        <f>IF(ISBLANK('ENGAGEMENTS 2026'!B151),"",'ENGAGEMENTS 2026'!I151)</f>
        <v/>
      </c>
      <c r="G151">
        <f>IF(ISBLANK('ENGAGEMENTS 2026'!B151),"",'ENGAGEMENTS 2026'!L151)</f>
        <v/>
      </c>
      <c r="H151">
        <f>IF(ISBLANK('ENGAGEMENTS 2026'!B151),"",'ENGAGEMENTS 2026'!AE151)</f>
        <v/>
      </c>
      <c r="I151">
        <f>IF(ISBLANK('ENGAGEMENTS 2026'!B151),"",'ENGAGEMENTS 2026'!G151)</f>
        <v/>
      </c>
      <c r="J151" s="275">
        <f>IF(ISBLANK('ENGAGEMENTS 2026'!B151),"",IF(AND(OR($E151="INFRUCTUEUX",$E151="ANNULE"),$C151="AOO-M"),'ENGAGEMENTS 2026'!O151,IF($H151="EN COURS DE PREENGAGEMENT",'ENGAGEMENTS 2026'!N151,IF($H151="PREENGAGE",IF($E151="ATTRIBUE",'ENGAGEMENTS 2026'!AD151,'ENGAGEMENTS 2026'!N151),'ENGAGEMENTS 2026'!AD151))))</f>
        <v/>
      </c>
      <c r="K151" s="604">
        <f>IF(ISBLANK('ENGAGEMENTS 2026'!V151),"",'ENGAGEMENTS 2026'!V151)</f>
        <v/>
      </c>
      <c r="L151" s="276">
        <f>IF($K151="","",TODAY()-$K151)</f>
        <v/>
      </c>
      <c r="M151">
        <f>IF($A151="","",IF($H151="ENGAGE","Engagé",IF(AND($H151="NON ENGAGE",OR($I151="INFRUCTUEUX",$I151="ANNULE")),"Clôturé sans suite","En cours")))</f>
        <v/>
      </c>
      <c r="N151">
        <f>IF(ISBLANK('ENGAGEMENTS 2026'!B151),"",'ENGAGEMENTS 2026'!K151)</f>
        <v/>
      </c>
      <c r="O151">
        <f>IF(ISBLANK('ENGAGEMENTS 2026'!B151),"",'ENGAGEMENTS 2026'!L151)</f>
        <v/>
      </c>
      <c r="P151">
        <f>IF(ISBLANK('ENGAGEMENTS 2026'!B151),"",'ENGAGEMENTS 2026'!J151)</f>
        <v/>
      </c>
      <c r="Q151">
        <f>IF($A151="","",IF(OR($E151="INFRUCTUEUX",$E151="ANNULE"),$A151&amp;"|"&amp;(COUNTIFS($A$2:$A151,$A151,$E$2:$E151,"INFRUCTUEUX")+COUNTIFS($A$2:$A151,$A151,$E$2:$E151,"ANNULE")),""))</f>
        <v/>
      </c>
    </row>
    <row r="152">
      <c r="A152">
        <f>IF(ISBLANK('ENGAGEMENTS 2026'!B152),"",IF('ENGAGEMENTS 2026'!B152="DTSI","DCT",'ENGAGEMENTS 2026'!B152))</f>
        <v/>
      </c>
      <c r="B152">
        <f>IF(ISBLANK('ENGAGEMENTS 2026'!B152),"",'ENGAGEMENTS 2026'!C152)</f>
        <v/>
      </c>
      <c r="C152">
        <f>IF(ISBLANK('ENGAGEMENTS 2026'!B152),"",'ENGAGEMENTS 2026'!D152)</f>
        <v/>
      </c>
      <c r="D152">
        <f>IF(ISBLANK('ENGAGEMENTS 2026'!B152),"",'ENGAGEMENTS 2026'!F152)</f>
        <v/>
      </c>
      <c r="E152">
        <f>IF(ISBLANK('ENGAGEMENTS 2026'!B152),"",'ENGAGEMENTS 2026'!H152)</f>
        <v/>
      </c>
      <c r="F152">
        <f>IF(ISBLANK('ENGAGEMENTS 2026'!B152),"",'ENGAGEMENTS 2026'!I152)</f>
        <v/>
      </c>
      <c r="G152">
        <f>IF(ISBLANK('ENGAGEMENTS 2026'!B152),"",'ENGAGEMENTS 2026'!L152)</f>
        <v/>
      </c>
      <c r="H152">
        <f>IF(ISBLANK('ENGAGEMENTS 2026'!B152),"",'ENGAGEMENTS 2026'!AE152)</f>
        <v/>
      </c>
      <c r="I152">
        <f>IF(ISBLANK('ENGAGEMENTS 2026'!B152),"",'ENGAGEMENTS 2026'!G152)</f>
        <v/>
      </c>
      <c r="J152" s="275">
        <f>IF(ISBLANK('ENGAGEMENTS 2026'!B152),"",IF(AND(OR($E152="INFRUCTUEUX",$E152="ANNULE"),$C152="AOO-M"),'ENGAGEMENTS 2026'!O152,IF($H152="EN COURS DE PREENGAGEMENT",'ENGAGEMENTS 2026'!N152,IF($H152="PREENGAGE",IF($E152="ATTRIBUE",'ENGAGEMENTS 2026'!AD152,'ENGAGEMENTS 2026'!N152),'ENGAGEMENTS 2026'!AD152))))</f>
        <v/>
      </c>
      <c r="K152" s="604">
        <f>IF(ISBLANK('ENGAGEMENTS 2026'!V152),"",'ENGAGEMENTS 2026'!V152)</f>
        <v/>
      </c>
      <c r="L152" s="276">
        <f>IF($K152="","",TODAY()-$K152)</f>
        <v/>
      </c>
      <c r="M152">
        <f>IF($A152="","",IF($H152="ENGAGE","Engagé",IF(AND($H152="NON ENGAGE",OR($I152="INFRUCTUEUX",$I152="ANNULE")),"Clôturé sans suite","En cours")))</f>
        <v/>
      </c>
      <c r="N152">
        <f>IF(ISBLANK('ENGAGEMENTS 2026'!B152),"",'ENGAGEMENTS 2026'!K152)</f>
        <v/>
      </c>
      <c r="O152">
        <f>IF(ISBLANK('ENGAGEMENTS 2026'!B152),"",'ENGAGEMENTS 2026'!L152)</f>
        <v/>
      </c>
      <c r="P152">
        <f>IF(ISBLANK('ENGAGEMENTS 2026'!B152),"",'ENGAGEMENTS 2026'!J152)</f>
        <v/>
      </c>
      <c r="Q152">
        <f>IF($A152="","",IF(OR($E152="INFRUCTUEUX",$E152="ANNULE"),$A152&amp;"|"&amp;(COUNTIFS($A$2:$A152,$A152,$E$2:$E152,"INFRUCTUEUX")+COUNTIFS($A$2:$A152,$A152,$E$2:$E152,"ANNULE")),""))</f>
        <v/>
      </c>
    </row>
    <row r="153">
      <c r="A153">
        <f>IF(ISBLANK('ENGAGEMENTS 2026'!B153),"",IF('ENGAGEMENTS 2026'!B153="DTSI","DCT",'ENGAGEMENTS 2026'!B153))</f>
        <v/>
      </c>
      <c r="B153">
        <f>IF(ISBLANK('ENGAGEMENTS 2026'!B153),"",'ENGAGEMENTS 2026'!C153)</f>
        <v/>
      </c>
      <c r="C153">
        <f>IF(ISBLANK('ENGAGEMENTS 2026'!B153),"",'ENGAGEMENTS 2026'!D153)</f>
        <v/>
      </c>
      <c r="D153">
        <f>IF(ISBLANK('ENGAGEMENTS 2026'!B153),"",'ENGAGEMENTS 2026'!F153)</f>
        <v/>
      </c>
      <c r="E153">
        <f>IF(ISBLANK('ENGAGEMENTS 2026'!B153),"",'ENGAGEMENTS 2026'!H153)</f>
        <v/>
      </c>
      <c r="F153">
        <f>IF(ISBLANK('ENGAGEMENTS 2026'!B153),"",'ENGAGEMENTS 2026'!I153)</f>
        <v/>
      </c>
      <c r="G153">
        <f>IF(ISBLANK('ENGAGEMENTS 2026'!B153),"",'ENGAGEMENTS 2026'!L153)</f>
        <v/>
      </c>
      <c r="H153">
        <f>IF(ISBLANK('ENGAGEMENTS 2026'!B153),"",'ENGAGEMENTS 2026'!AE153)</f>
        <v/>
      </c>
      <c r="I153">
        <f>IF(ISBLANK('ENGAGEMENTS 2026'!B153),"",'ENGAGEMENTS 2026'!G153)</f>
        <v/>
      </c>
      <c r="J153" s="275">
        <f>IF(ISBLANK('ENGAGEMENTS 2026'!B153),"",IF(AND(OR($E153="INFRUCTUEUX",$E153="ANNULE"),$C153="AOO-M"),'ENGAGEMENTS 2026'!O153,IF($H153="EN COURS DE PREENGAGEMENT",'ENGAGEMENTS 2026'!N153,IF($H153="PREENGAGE",IF($E153="ATTRIBUE",'ENGAGEMENTS 2026'!AD153,'ENGAGEMENTS 2026'!N153),'ENGAGEMENTS 2026'!AD153))))</f>
        <v/>
      </c>
      <c r="K153" s="604">
        <f>IF(ISBLANK('ENGAGEMENTS 2026'!V153),"",'ENGAGEMENTS 2026'!V153)</f>
        <v/>
      </c>
      <c r="L153" s="276">
        <f>IF($K153="","",TODAY()-$K153)</f>
        <v/>
      </c>
      <c r="M153">
        <f>IF($A153="","",IF($H153="ENGAGE","Engagé",IF(AND($H153="NON ENGAGE",OR($I153="INFRUCTUEUX",$I153="ANNULE")),"Clôturé sans suite","En cours")))</f>
        <v/>
      </c>
      <c r="N153">
        <f>IF(ISBLANK('ENGAGEMENTS 2026'!B153),"",'ENGAGEMENTS 2026'!K153)</f>
        <v/>
      </c>
      <c r="O153">
        <f>IF(ISBLANK('ENGAGEMENTS 2026'!B153),"",'ENGAGEMENTS 2026'!L153)</f>
        <v/>
      </c>
      <c r="P153">
        <f>IF(ISBLANK('ENGAGEMENTS 2026'!B153),"",'ENGAGEMENTS 2026'!J153)</f>
        <v/>
      </c>
      <c r="Q153">
        <f>IF($A153="","",IF(OR($E153="INFRUCTUEUX",$E153="ANNULE"),$A153&amp;"|"&amp;(COUNTIFS($A$2:$A153,$A153,$E$2:$E153,"INFRUCTUEUX")+COUNTIFS($A$2:$A153,$A153,$E$2:$E153,"ANNULE")),""))</f>
        <v/>
      </c>
    </row>
    <row r="154">
      <c r="A154">
        <f>IF(ISBLANK('ENGAGEMENTS 2026'!B154),"",IF('ENGAGEMENTS 2026'!B154="DTSI","DCT",'ENGAGEMENTS 2026'!B154))</f>
        <v/>
      </c>
      <c r="B154">
        <f>IF(ISBLANK('ENGAGEMENTS 2026'!B154),"",'ENGAGEMENTS 2026'!C154)</f>
        <v/>
      </c>
      <c r="C154">
        <f>IF(ISBLANK('ENGAGEMENTS 2026'!B154),"",'ENGAGEMENTS 2026'!D154)</f>
        <v/>
      </c>
      <c r="D154">
        <f>IF(ISBLANK('ENGAGEMENTS 2026'!B154),"",'ENGAGEMENTS 2026'!F154)</f>
        <v/>
      </c>
      <c r="E154">
        <f>IF(ISBLANK('ENGAGEMENTS 2026'!B154),"",'ENGAGEMENTS 2026'!H154)</f>
        <v/>
      </c>
      <c r="F154">
        <f>IF(ISBLANK('ENGAGEMENTS 2026'!B154),"",'ENGAGEMENTS 2026'!I154)</f>
        <v/>
      </c>
      <c r="G154">
        <f>IF(ISBLANK('ENGAGEMENTS 2026'!B154),"",'ENGAGEMENTS 2026'!L154)</f>
        <v/>
      </c>
      <c r="H154">
        <f>IF(ISBLANK('ENGAGEMENTS 2026'!B154),"",'ENGAGEMENTS 2026'!AE154)</f>
        <v/>
      </c>
      <c r="I154">
        <f>IF(ISBLANK('ENGAGEMENTS 2026'!B154),"",'ENGAGEMENTS 2026'!G154)</f>
        <v/>
      </c>
      <c r="J154" s="275">
        <f>IF(ISBLANK('ENGAGEMENTS 2026'!B154),"",IF(AND(OR($E154="INFRUCTUEUX",$E154="ANNULE"),$C154="AOO-M"),'ENGAGEMENTS 2026'!O154,IF($H154="EN COURS DE PREENGAGEMENT",'ENGAGEMENTS 2026'!N154,IF($H154="PREENGAGE",IF($E154="ATTRIBUE",'ENGAGEMENTS 2026'!AD154,'ENGAGEMENTS 2026'!N154),'ENGAGEMENTS 2026'!AD154))))</f>
        <v/>
      </c>
      <c r="K154" s="604">
        <f>IF(ISBLANK('ENGAGEMENTS 2026'!V154),"",'ENGAGEMENTS 2026'!V154)</f>
        <v/>
      </c>
      <c r="L154" s="276">
        <f>IF($K154="","",TODAY()-$K154)</f>
        <v/>
      </c>
      <c r="M154">
        <f>IF($A154="","",IF($H154="ENGAGE","Engagé",IF(AND($H154="NON ENGAGE",OR($I154="INFRUCTUEUX",$I154="ANNULE")),"Clôturé sans suite","En cours")))</f>
        <v/>
      </c>
      <c r="N154">
        <f>IF(ISBLANK('ENGAGEMENTS 2026'!B154),"",'ENGAGEMENTS 2026'!K154)</f>
        <v/>
      </c>
      <c r="O154">
        <f>IF(ISBLANK('ENGAGEMENTS 2026'!B154),"",'ENGAGEMENTS 2026'!L154)</f>
        <v/>
      </c>
      <c r="P154">
        <f>IF(ISBLANK('ENGAGEMENTS 2026'!B154),"",'ENGAGEMENTS 2026'!J154)</f>
        <v/>
      </c>
      <c r="Q154">
        <f>IF($A154="","",IF(OR($E154="INFRUCTUEUX",$E154="ANNULE"),$A154&amp;"|"&amp;(COUNTIFS($A$2:$A154,$A154,$E$2:$E154,"INFRUCTUEUX")+COUNTIFS($A$2:$A154,$A154,$E$2:$E154,"ANNULE")),""))</f>
        <v/>
      </c>
    </row>
    <row r="155">
      <c r="A155">
        <f>IF(ISBLANK('ENGAGEMENTS 2026'!B155),"",IF('ENGAGEMENTS 2026'!B155="DTSI","DCT",'ENGAGEMENTS 2026'!B155))</f>
        <v/>
      </c>
      <c r="B155">
        <f>IF(ISBLANK('ENGAGEMENTS 2026'!B155),"",'ENGAGEMENTS 2026'!C155)</f>
        <v/>
      </c>
      <c r="C155">
        <f>IF(ISBLANK('ENGAGEMENTS 2026'!B155),"",'ENGAGEMENTS 2026'!D155)</f>
        <v/>
      </c>
      <c r="D155">
        <f>IF(ISBLANK('ENGAGEMENTS 2026'!B155),"",'ENGAGEMENTS 2026'!F155)</f>
        <v/>
      </c>
      <c r="E155">
        <f>IF(ISBLANK('ENGAGEMENTS 2026'!B155),"",'ENGAGEMENTS 2026'!H155)</f>
        <v/>
      </c>
      <c r="F155">
        <f>IF(ISBLANK('ENGAGEMENTS 2026'!B155),"",'ENGAGEMENTS 2026'!I155)</f>
        <v/>
      </c>
      <c r="G155">
        <f>IF(ISBLANK('ENGAGEMENTS 2026'!B155),"",'ENGAGEMENTS 2026'!L155)</f>
        <v/>
      </c>
      <c r="H155">
        <f>IF(ISBLANK('ENGAGEMENTS 2026'!B155),"",'ENGAGEMENTS 2026'!AE155)</f>
        <v/>
      </c>
      <c r="I155">
        <f>IF(ISBLANK('ENGAGEMENTS 2026'!B155),"",'ENGAGEMENTS 2026'!G155)</f>
        <v/>
      </c>
      <c r="J155" s="275">
        <f>IF(ISBLANK('ENGAGEMENTS 2026'!B155),"",IF(AND(OR($E155="INFRUCTUEUX",$E155="ANNULE"),$C155="AOO-M"),'ENGAGEMENTS 2026'!O155,IF($H155="EN COURS DE PREENGAGEMENT",'ENGAGEMENTS 2026'!N155,IF($H155="PREENGAGE",IF($E155="ATTRIBUE",'ENGAGEMENTS 2026'!AD155,'ENGAGEMENTS 2026'!N155),'ENGAGEMENTS 2026'!AD155))))</f>
        <v/>
      </c>
      <c r="K155" s="604">
        <f>IF(ISBLANK('ENGAGEMENTS 2026'!V155),"",'ENGAGEMENTS 2026'!V155)</f>
        <v/>
      </c>
      <c r="L155" s="276">
        <f>IF($K155="","",TODAY()-$K155)</f>
        <v/>
      </c>
      <c r="M155">
        <f>IF($A155="","",IF($H155="ENGAGE","Engagé",IF(AND($H155="NON ENGAGE",OR($I155="INFRUCTUEUX",$I155="ANNULE")),"Clôturé sans suite","En cours")))</f>
        <v/>
      </c>
      <c r="N155">
        <f>IF(ISBLANK('ENGAGEMENTS 2026'!B155),"",'ENGAGEMENTS 2026'!K155)</f>
        <v/>
      </c>
      <c r="O155">
        <f>IF(ISBLANK('ENGAGEMENTS 2026'!B155),"",'ENGAGEMENTS 2026'!L155)</f>
        <v/>
      </c>
      <c r="P155">
        <f>IF(ISBLANK('ENGAGEMENTS 2026'!B155),"",'ENGAGEMENTS 2026'!J155)</f>
        <v/>
      </c>
      <c r="Q155">
        <f>IF($A155="","",IF(OR($E155="INFRUCTUEUX",$E155="ANNULE"),$A155&amp;"|"&amp;(COUNTIFS($A$2:$A155,$A155,$E$2:$E155,"INFRUCTUEUX")+COUNTIFS($A$2:$A155,$A155,$E$2:$E155,"ANNULE")),""))</f>
        <v/>
      </c>
    </row>
    <row r="156">
      <c r="A156">
        <f>IF(ISBLANK('ENGAGEMENTS 2026'!B156),"",IF('ENGAGEMENTS 2026'!B156="DTSI","DCT",'ENGAGEMENTS 2026'!B156))</f>
        <v/>
      </c>
      <c r="B156">
        <f>IF(ISBLANK('ENGAGEMENTS 2026'!B156),"",'ENGAGEMENTS 2026'!C156)</f>
        <v/>
      </c>
      <c r="C156">
        <f>IF(ISBLANK('ENGAGEMENTS 2026'!B156),"",'ENGAGEMENTS 2026'!D156)</f>
        <v/>
      </c>
      <c r="D156">
        <f>IF(ISBLANK('ENGAGEMENTS 2026'!B156),"",'ENGAGEMENTS 2026'!F156)</f>
        <v/>
      </c>
      <c r="E156">
        <f>IF(ISBLANK('ENGAGEMENTS 2026'!B156),"",'ENGAGEMENTS 2026'!H156)</f>
        <v/>
      </c>
      <c r="F156">
        <f>IF(ISBLANK('ENGAGEMENTS 2026'!B156),"",'ENGAGEMENTS 2026'!I156)</f>
        <v/>
      </c>
      <c r="G156">
        <f>IF(ISBLANK('ENGAGEMENTS 2026'!B156),"",'ENGAGEMENTS 2026'!L156)</f>
        <v/>
      </c>
      <c r="H156">
        <f>IF(ISBLANK('ENGAGEMENTS 2026'!B156),"",'ENGAGEMENTS 2026'!AE156)</f>
        <v/>
      </c>
      <c r="I156">
        <f>IF(ISBLANK('ENGAGEMENTS 2026'!B156),"",'ENGAGEMENTS 2026'!G156)</f>
        <v/>
      </c>
      <c r="J156" s="275">
        <f>IF(ISBLANK('ENGAGEMENTS 2026'!B156),"",IF(AND(OR($E156="INFRUCTUEUX",$E156="ANNULE"),$C156="AOO-M"),'ENGAGEMENTS 2026'!O156,IF($H156="EN COURS DE PREENGAGEMENT",'ENGAGEMENTS 2026'!N156,IF($H156="PREENGAGE",IF($E156="ATTRIBUE",'ENGAGEMENTS 2026'!AD156,'ENGAGEMENTS 2026'!N156),'ENGAGEMENTS 2026'!AD156))))</f>
        <v/>
      </c>
      <c r="K156" s="604">
        <f>IF(ISBLANK('ENGAGEMENTS 2026'!V156),"",'ENGAGEMENTS 2026'!V156)</f>
        <v/>
      </c>
      <c r="L156" s="276">
        <f>IF($K156="","",TODAY()-$K156)</f>
        <v/>
      </c>
      <c r="M156">
        <f>IF($A156="","",IF($H156="ENGAGE","Engagé",IF(AND($H156="NON ENGAGE",OR($I156="INFRUCTUEUX",$I156="ANNULE")),"Clôturé sans suite","En cours")))</f>
        <v/>
      </c>
      <c r="N156">
        <f>IF(ISBLANK('ENGAGEMENTS 2026'!B156),"",'ENGAGEMENTS 2026'!K156)</f>
        <v/>
      </c>
      <c r="O156">
        <f>IF(ISBLANK('ENGAGEMENTS 2026'!B156),"",'ENGAGEMENTS 2026'!L156)</f>
        <v/>
      </c>
      <c r="P156">
        <f>IF(ISBLANK('ENGAGEMENTS 2026'!B156),"",'ENGAGEMENTS 2026'!J156)</f>
        <v/>
      </c>
      <c r="Q156">
        <f>IF($A156="","",IF(OR($E156="INFRUCTUEUX",$E156="ANNULE"),$A156&amp;"|"&amp;(COUNTIFS($A$2:$A156,$A156,$E$2:$E156,"INFRUCTUEUX")+COUNTIFS($A$2:$A156,$A156,$E$2:$E156,"ANNULE")),""))</f>
        <v/>
      </c>
    </row>
    <row r="157">
      <c r="A157">
        <f>IF(ISBLANK('ENGAGEMENTS 2026'!B157),"",IF('ENGAGEMENTS 2026'!B157="DTSI","DCT",'ENGAGEMENTS 2026'!B157))</f>
        <v/>
      </c>
      <c r="B157">
        <f>IF(ISBLANK('ENGAGEMENTS 2026'!B157),"",'ENGAGEMENTS 2026'!C157)</f>
        <v/>
      </c>
      <c r="C157">
        <f>IF(ISBLANK('ENGAGEMENTS 2026'!B157),"",'ENGAGEMENTS 2026'!D157)</f>
        <v/>
      </c>
      <c r="D157">
        <f>IF(ISBLANK('ENGAGEMENTS 2026'!B157),"",'ENGAGEMENTS 2026'!F157)</f>
        <v/>
      </c>
      <c r="E157">
        <f>IF(ISBLANK('ENGAGEMENTS 2026'!B157),"",'ENGAGEMENTS 2026'!H157)</f>
        <v/>
      </c>
      <c r="F157">
        <f>IF(ISBLANK('ENGAGEMENTS 2026'!B157),"",'ENGAGEMENTS 2026'!I157)</f>
        <v/>
      </c>
      <c r="G157">
        <f>IF(ISBLANK('ENGAGEMENTS 2026'!B157),"",'ENGAGEMENTS 2026'!L157)</f>
        <v/>
      </c>
      <c r="H157">
        <f>IF(ISBLANK('ENGAGEMENTS 2026'!B157),"",'ENGAGEMENTS 2026'!AE157)</f>
        <v/>
      </c>
      <c r="I157">
        <f>IF(ISBLANK('ENGAGEMENTS 2026'!B157),"",'ENGAGEMENTS 2026'!G157)</f>
        <v/>
      </c>
      <c r="J157" s="275">
        <f>IF(ISBLANK('ENGAGEMENTS 2026'!B157),"",IF(AND(OR($E157="INFRUCTUEUX",$E157="ANNULE"),$C157="AOO-M"),'ENGAGEMENTS 2026'!O157,IF($H157="EN COURS DE PREENGAGEMENT",'ENGAGEMENTS 2026'!N157,IF($H157="PREENGAGE",IF($E157="ATTRIBUE",'ENGAGEMENTS 2026'!AD157,'ENGAGEMENTS 2026'!N157),'ENGAGEMENTS 2026'!AD157))))</f>
        <v/>
      </c>
      <c r="K157" s="604">
        <f>IF(ISBLANK('ENGAGEMENTS 2026'!V157),"",'ENGAGEMENTS 2026'!V157)</f>
        <v/>
      </c>
      <c r="L157" s="276">
        <f>IF($K157="","",TODAY()-$K157)</f>
        <v/>
      </c>
      <c r="M157">
        <f>IF($A157="","",IF($H157="ENGAGE","Engagé",IF(AND($H157="NON ENGAGE",OR($I157="INFRUCTUEUX",$I157="ANNULE")),"Clôturé sans suite","En cours")))</f>
        <v/>
      </c>
      <c r="N157">
        <f>IF(ISBLANK('ENGAGEMENTS 2026'!B157),"",'ENGAGEMENTS 2026'!K157)</f>
        <v/>
      </c>
      <c r="O157">
        <f>IF(ISBLANK('ENGAGEMENTS 2026'!B157),"",'ENGAGEMENTS 2026'!L157)</f>
        <v/>
      </c>
      <c r="P157">
        <f>IF(ISBLANK('ENGAGEMENTS 2026'!B157),"",'ENGAGEMENTS 2026'!J157)</f>
        <v/>
      </c>
      <c r="Q157">
        <f>IF($A157="","",IF(OR($E157="INFRUCTUEUX",$E157="ANNULE"),$A157&amp;"|"&amp;(COUNTIFS($A$2:$A157,$A157,$E$2:$E157,"INFRUCTUEUX")+COUNTIFS($A$2:$A157,$A157,$E$2:$E157,"ANNULE")),""))</f>
        <v/>
      </c>
    </row>
    <row r="158">
      <c r="A158">
        <f>IF(ISBLANK('ENGAGEMENTS 2026'!B158),"",IF('ENGAGEMENTS 2026'!B158="DTSI","DCT",'ENGAGEMENTS 2026'!B158))</f>
        <v/>
      </c>
      <c r="B158">
        <f>IF(ISBLANK('ENGAGEMENTS 2026'!B158),"",'ENGAGEMENTS 2026'!C158)</f>
        <v/>
      </c>
      <c r="C158">
        <f>IF(ISBLANK('ENGAGEMENTS 2026'!B158),"",'ENGAGEMENTS 2026'!D158)</f>
        <v/>
      </c>
      <c r="D158">
        <f>IF(ISBLANK('ENGAGEMENTS 2026'!B158),"",'ENGAGEMENTS 2026'!F158)</f>
        <v/>
      </c>
      <c r="E158">
        <f>IF(ISBLANK('ENGAGEMENTS 2026'!B158),"",'ENGAGEMENTS 2026'!H158)</f>
        <v/>
      </c>
      <c r="F158">
        <f>IF(ISBLANK('ENGAGEMENTS 2026'!B158),"",'ENGAGEMENTS 2026'!I158)</f>
        <v/>
      </c>
      <c r="G158">
        <f>IF(ISBLANK('ENGAGEMENTS 2026'!B158),"",'ENGAGEMENTS 2026'!L158)</f>
        <v/>
      </c>
      <c r="H158">
        <f>IF(ISBLANK('ENGAGEMENTS 2026'!B158),"",'ENGAGEMENTS 2026'!AE158)</f>
        <v/>
      </c>
      <c r="I158">
        <f>IF(ISBLANK('ENGAGEMENTS 2026'!B158),"",'ENGAGEMENTS 2026'!G158)</f>
        <v/>
      </c>
      <c r="J158" s="275">
        <f>IF(ISBLANK('ENGAGEMENTS 2026'!B158),"",IF(AND(OR($E158="INFRUCTUEUX",$E158="ANNULE"),$C158="AOO-M"),'ENGAGEMENTS 2026'!O158,IF($H158="EN COURS DE PREENGAGEMENT",'ENGAGEMENTS 2026'!N158,IF($H158="PREENGAGE",IF($E158="ATTRIBUE",'ENGAGEMENTS 2026'!AD158,'ENGAGEMENTS 2026'!N158),'ENGAGEMENTS 2026'!AD158))))</f>
        <v/>
      </c>
      <c r="K158" s="604">
        <f>IF(ISBLANK('ENGAGEMENTS 2026'!V158),"",'ENGAGEMENTS 2026'!V158)</f>
        <v/>
      </c>
      <c r="L158" s="276">
        <f>IF($K158="","",TODAY()-$K158)</f>
        <v/>
      </c>
      <c r="M158">
        <f>IF($A158="","",IF($H158="ENGAGE","Engagé",IF(AND($H158="NON ENGAGE",OR($I158="INFRUCTUEUX",$I158="ANNULE")),"Clôturé sans suite","En cours")))</f>
        <v/>
      </c>
      <c r="N158">
        <f>IF(ISBLANK('ENGAGEMENTS 2026'!B158),"",'ENGAGEMENTS 2026'!K158)</f>
        <v/>
      </c>
      <c r="O158">
        <f>IF(ISBLANK('ENGAGEMENTS 2026'!B158),"",'ENGAGEMENTS 2026'!L158)</f>
        <v/>
      </c>
      <c r="P158">
        <f>IF(ISBLANK('ENGAGEMENTS 2026'!B158),"",'ENGAGEMENTS 2026'!J158)</f>
        <v/>
      </c>
      <c r="Q158">
        <f>IF($A158="","",IF(OR($E158="INFRUCTUEUX",$E158="ANNULE"),$A158&amp;"|"&amp;(COUNTIFS($A$2:$A158,$A158,$E$2:$E158,"INFRUCTUEUX")+COUNTIFS($A$2:$A158,$A158,$E$2:$E158,"ANNULE")),""))</f>
        <v/>
      </c>
    </row>
    <row r="159">
      <c r="A159">
        <f>IF(ISBLANK('ENGAGEMENTS 2026'!B159),"",IF('ENGAGEMENTS 2026'!B159="DTSI","DCT",'ENGAGEMENTS 2026'!B159))</f>
        <v/>
      </c>
      <c r="B159">
        <f>IF(ISBLANK('ENGAGEMENTS 2026'!B159),"",'ENGAGEMENTS 2026'!C159)</f>
        <v/>
      </c>
      <c r="C159">
        <f>IF(ISBLANK('ENGAGEMENTS 2026'!B159),"",'ENGAGEMENTS 2026'!D159)</f>
        <v/>
      </c>
      <c r="D159">
        <f>IF(ISBLANK('ENGAGEMENTS 2026'!B159),"",'ENGAGEMENTS 2026'!F159)</f>
        <v/>
      </c>
      <c r="E159">
        <f>IF(ISBLANK('ENGAGEMENTS 2026'!B159),"",'ENGAGEMENTS 2026'!H159)</f>
        <v/>
      </c>
      <c r="F159">
        <f>IF(ISBLANK('ENGAGEMENTS 2026'!B159),"",'ENGAGEMENTS 2026'!I159)</f>
        <v/>
      </c>
      <c r="G159">
        <f>IF(ISBLANK('ENGAGEMENTS 2026'!B159),"",'ENGAGEMENTS 2026'!L159)</f>
        <v/>
      </c>
      <c r="H159">
        <f>IF(ISBLANK('ENGAGEMENTS 2026'!B159),"",'ENGAGEMENTS 2026'!AE159)</f>
        <v/>
      </c>
      <c r="I159">
        <f>IF(ISBLANK('ENGAGEMENTS 2026'!B159),"",'ENGAGEMENTS 2026'!G159)</f>
        <v/>
      </c>
      <c r="J159" s="275">
        <f>IF(ISBLANK('ENGAGEMENTS 2026'!B159),"",IF(AND(OR($E159="INFRUCTUEUX",$E159="ANNULE"),$C159="AOO-M"),'ENGAGEMENTS 2026'!O159,IF($H159="EN COURS DE PREENGAGEMENT",'ENGAGEMENTS 2026'!N159,IF($H159="PREENGAGE",IF($E159="ATTRIBUE",'ENGAGEMENTS 2026'!AD159,'ENGAGEMENTS 2026'!N159),'ENGAGEMENTS 2026'!AD159))))</f>
        <v/>
      </c>
      <c r="K159" s="604">
        <f>IF(ISBLANK('ENGAGEMENTS 2026'!V159),"",'ENGAGEMENTS 2026'!V159)</f>
        <v/>
      </c>
      <c r="L159" s="276">
        <f>IF($K159="","",TODAY()-$K159)</f>
        <v/>
      </c>
      <c r="M159">
        <f>IF($A159="","",IF($H159="ENGAGE","Engagé",IF(AND($H159="NON ENGAGE",OR($I159="INFRUCTUEUX",$I159="ANNULE")),"Clôturé sans suite","En cours")))</f>
        <v/>
      </c>
      <c r="N159">
        <f>IF(ISBLANK('ENGAGEMENTS 2026'!B159),"",'ENGAGEMENTS 2026'!K159)</f>
        <v/>
      </c>
      <c r="O159">
        <f>IF(ISBLANK('ENGAGEMENTS 2026'!B159),"",'ENGAGEMENTS 2026'!L159)</f>
        <v/>
      </c>
      <c r="P159">
        <f>IF(ISBLANK('ENGAGEMENTS 2026'!B159),"",'ENGAGEMENTS 2026'!J159)</f>
        <v/>
      </c>
      <c r="Q159">
        <f>IF($A159="","",IF(OR($E159="INFRUCTUEUX",$E159="ANNULE"),$A159&amp;"|"&amp;(COUNTIFS($A$2:$A159,$A159,$E$2:$E159,"INFRUCTUEUX")+COUNTIFS($A$2:$A159,$A159,$E$2:$E159,"ANNULE")),""))</f>
        <v/>
      </c>
    </row>
    <row r="160">
      <c r="A160">
        <f>IF(ISBLANK('ENGAGEMENTS 2026'!B160),"",IF('ENGAGEMENTS 2026'!B160="DTSI","DCT",'ENGAGEMENTS 2026'!B160))</f>
        <v/>
      </c>
      <c r="B160">
        <f>IF(ISBLANK('ENGAGEMENTS 2026'!B160),"",'ENGAGEMENTS 2026'!C160)</f>
        <v/>
      </c>
      <c r="C160">
        <f>IF(ISBLANK('ENGAGEMENTS 2026'!B160),"",'ENGAGEMENTS 2026'!D160)</f>
        <v/>
      </c>
      <c r="D160">
        <f>IF(ISBLANK('ENGAGEMENTS 2026'!B160),"",'ENGAGEMENTS 2026'!F160)</f>
        <v/>
      </c>
      <c r="E160">
        <f>IF(ISBLANK('ENGAGEMENTS 2026'!B160),"",'ENGAGEMENTS 2026'!H160)</f>
        <v/>
      </c>
      <c r="F160">
        <f>IF(ISBLANK('ENGAGEMENTS 2026'!B160),"",'ENGAGEMENTS 2026'!I160)</f>
        <v/>
      </c>
      <c r="G160">
        <f>IF(ISBLANK('ENGAGEMENTS 2026'!B160),"",'ENGAGEMENTS 2026'!L160)</f>
        <v/>
      </c>
      <c r="H160">
        <f>IF(ISBLANK('ENGAGEMENTS 2026'!B160),"",'ENGAGEMENTS 2026'!AE160)</f>
        <v/>
      </c>
      <c r="I160">
        <f>IF(ISBLANK('ENGAGEMENTS 2026'!B160),"",'ENGAGEMENTS 2026'!G160)</f>
        <v/>
      </c>
      <c r="J160" s="275">
        <f>IF(ISBLANK('ENGAGEMENTS 2026'!B160),"",IF(AND(OR($E160="INFRUCTUEUX",$E160="ANNULE"),$C160="AOO-M"),'ENGAGEMENTS 2026'!O160,IF($H160="EN COURS DE PREENGAGEMENT",'ENGAGEMENTS 2026'!N160,IF($H160="PREENGAGE",IF($E160="ATTRIBUE",'ENGAGEMENTS 2026'!AD160,'ENGAGEMENTS 2026'!N160),'ENGAGEMENTS 2026'!AD160))))</f>
        <v/>
      </c>
      <c r="K160" s="604">
        <f>IF(ISBLANK('ENGAGEMENTS 2026'!V160),"",'ENGAGEMENTS 2026'!V160)</f>
        <v/>
      </c>
      <c r="L160" s="276">
        <f>IF($K160="","",TODAY()-$K160)</f>
        <v/>
      </c>
      <c r="M160">
        <f>IF($A160="","",IF($H160="ENGAGE","Engagé",IF(AND($H160="NON ENGAGE",OR($I160="INFRUCTUEUX",$I160="ANNULE")),"Clôturé sans suite","En cours")))</f>
        <v/>
      </c>
      <c r="N160">
        <f>IF(ISBLANK('ENGAGEMENTS 2026'!B160),"",'ENGAGEMENTS 2026'!K160)</f>
        <v/>
      </c>
      <c r="O160">
        <f>IF(ISBLANK('ENGAGEMENTS 2026'!B160),"",'ENGAGEMENTS 2026'!L160)</f>
        <v/>
      </c>
      <c r="P160">
        <f>IF(ISBLANK('ENGAGEMENTS 2026'!B160),"",'ENGAGEMENTS 2026'!J160)</f>
        <v/>
      </c>
      <c r="Q160">
        <f>IF($A160="","",IF(OR($E160="INFRUCTUEUX",$E160="ANNULE"),$A160&amp;"|"&amp;(COUNTIFS($A$2:$A160,$A160,$E$2:$E160,"INFRUCTUEUX")+COUNTIFS($A$2:$A160,$A160,$E$2:$E160,"ANNULE")),""))</f>
        <v/>
      </c>
    </row>
    <row r="161">
      <c r="A161">
        <f>IF(ISBLANK('ENGAGEMENTS 2026'!B161),"",IF('ENGAGEMENTS 2026'!B161="DTSI","DCT",'ENGAGEMENTS 2026'!B161))</f>
        <v/>
      </c>
      <c r="B161">
        <f>IF(ISBLANK('ENGAGEMENTS 2026'!B161),"",'ENGAGEMENTS 2026'!C161)</f>
        <v/>
      </c>
      <c r="C161">
        <f>IF(ISBLANK('ENGAGEMENTS 2026'!B161),"",'ENGAGEMENTS 2026'!D161)</f>
        <v/>
      </c>
      <c r="D161">
        <f>IF(ISBLANK('ENGAGEMENTS 2026'!B161),"",'ENGAGEMENTS 2026'!F161)</f>
        <v/>
      </c>
      <c r="E161">
        <f>IF(ISBLANK('ENGAGEMENTS 2026'!B161),"",'ENGAGEMENTS 2026'!H161)</f>
        <v/>
      </c>
      <c r="F161">
        <f>IF(ISBLANK('ENGAGEMENTS 2026'!B161),"",'ENGAGEMENTS 2026'!I161)</f>
        <v/>
      </c>
      <c r="G161">
        <f>IF(ISBLANK('ENGAGEMENTS 2026'!B161),"",'ENGAGEMENTS 2026'!L161)</f>
        <v/>
      </c>
      <c r="H161">
        <f>IF(ISBLANK('ENGAGEMENTS 2026'!B161),"",'ENGAGEMENTS 2026'!AE161)</f>
        <v/>
      </c>
      <c r="I161">
        <f>IF(ISBLANK('ENGAGEMENTS 2026'!B161),"",'ENGAGEMENTS 2026'!G161)</f>
        <v/>
      </c>
      <c r="J161" s="275">
        <f>IF(ISBLANK('ENGAGEMENTS 2026'!B161),"",IF(AND(OR($E161="INFRUCTUEUX",$E161="ANNULE"),$C161="AOO-M"),'ENGAGEMENTS 2026'!O161,IF($H161="EN COURS DE PREENGAGEMENT",'ENGAGEMENTS 2026'!N161,IF($H161="PREENGAGE",IF($E161="ATTRIBUE",'ENGAGEMENTS 2026'!AD161,'ENGAGEMENTS 2026'!N161),'ENGAGEMENTS 2026'!AD161))))</f>
        <v/>
      </c>
      <c r="K161" s="604">
        <f>IF(ISBLANK('ENGAGEMENTS 2026'!V161),"",'ENGAGEMENTS 2026'!V161)</f>
        <v/>
      </c>
      <c r="L161" s="276">
        <f>IF($K161="","",TODAY()-$K161)</f>
        <v/>
      </c>
      <c r="M161">
        <f>IF($A161="","",IF($H161="ENGAGE","Engagé",IF(AND($H161="NON ENGAGE",OR($I161="INFRUCTUEUX",$I161="ANNULE")),"Clôturé sans suite","En cours")))</f>
        <v/>
      </c>
      <c r="N161">
        <f>IF(ISBLANK('ENGAGEMENTS 2026'!B161),"",'ENGAGEMENTS 2026'!K161)</f>
        <v/>
      </c>
      <c r="O161">
        <f>IF(ISBLANK('ENGAGEMENTS 2026'!B161),"",'ENGAGEMENTS 2026'!L161)</f>
        <v/>
      </c>
      <c r="P161">
        <f>IF(ISBLANK('ENGAGEMENTS 2026'!B161),"",'ENGAGEMENTS 2026'!J161)</f>
        <v/>
      </c>
      <c r="Q161">
        <f>IF($A161="","",IF(OR($E161="INFRUCTUEUX",$E161="ANNULE"),$A161&amp;"|"&amp;(COUNTIFS($A$2:$A161,$A161,$E$2:$E161,"INFRUCTUEUX")+COUNTIFS($A$2:$A161,$A161,$E$2:$E161,"ANNULE")),""))</f>
        <v/>
      </c>
    </row>
    <row r="162">
      <c r="A162">
        <f>IF(ISBLANK('ENGAGEMENTS 2026'!B162),"",IF('ENGAGEMENTS 2026'!B162="DTSI","DCT",'ENGAGEMENTS 2026'!B162))</f>
        <v/>
      </c>
      <c r="B162">
        <f>IF(ISBLANK('ENGAGEMENTS 2026'!B162),"",'ENGAGEMENTS 2026'!C162)</f>
        <v/>
      </c>
      <c r="C162">
        <f>IF(ISBLANK('ENGAGEMENTS 2026'!B162),"",'ENGAGEMENTS 2026'!D162)</f>
        <v/>
      </c>
      <c r="D162">
        <f>IF(ISBLANK('ENGAGEMENTS 2026'!B162),"",'ENGAGEMENTS 2026'!F162)</f>
        <v/>
      </c>
      <c r="E162">
        <f>IF(ISBLANK('ENGAGEMENTS 2026'!B162),"",'ENGAGEMENTS 2026'!H162)</f>
        <v/>
      </c>
      <c r="F162">
        <f>IF(ISBLANK('ENGAGEMENTS 2026'!B162),"",'ENGAGEMENTS 2026'!I162)</f>
        <v/>
      </c>
      <c r="G162">
        <f>IF(ISBLANK('ENGAGEMENTS 2026'!B162),"",'ENGAGEMENTS 2026'!L162)</f>
        <v/>
      </c>
      <c r="H162">
        <f>IF(ISBLANK('ENGAGEMENTS 2026'!B162),"",'ENGAGEMENTS 2026'!AE162)</f>
        <v/>
      </c>
      <c r="I162">
        <f>IF(ISBLANK('ENGAGEMENTS 2026'!B162),"",'ENGAGEMENTS 2026'!G162)</f>
        <v/>
      </c>
      <c r="J162" s="275">
        <f>IF(ISBLANK('ENGAGEMENTS 2026'!B162),"",IF(AND(OR($E162="INFRUCTUEUX",$E162="ANNULE"),$C162="AOO-M"),'ENGAGEMENTS 2026'!O162,IF($H162="EN COURS DE PREENGAGEMENT",'ENGAGEMENTS 2026'!N162,IF($H162="PREENGAGE",IF($E162="ATTRIBUE",'ENGAGEMENTS 2026'!AD162,'ENGAGEMENTS 2026'!N162),'ENGAGEMENTS 2026'!AD162))))</f>
        <v/>
      </c>
      <c r="K162" s="604">
        <f>IF(ISBLANK('ENGAGEMENTS 2026'!V162),"",'ENGAGEMENTS 2026'!V162)</f>
        <v/>
      </c>
      <c r="L162" s="276">
        <f>IF($K162="","",TODAY()-$K162)</f>
        <v/>
      </c>
      <c r="M162">
        <f>IF($A162="","",IF($H162="ENGAGE","Engagé",IF(AND($H162="NON ENGAGE",OR($I162="INFRUCTUEUX",$I162="ANNULE")),"Clôturé sans suite","En cours")))</f>
        <v/>
      </c>
      <c r="N162">
        <f>IF(ISBLANK('ENGAGEMENTS 2026'!B162),"",'ENGAGEMENTS 2026'!K162)</f>
        <v/>
      </c>
      <c r="O162">
        <f>IF(ISBLANK('ENGAGEMENTS 2026'!B162),"",'ENGAGEMENTS 2026'!L162)</f>
        <v/>
      </c>
      <c r="P162">
        <f>IF(ISBLANK('ENGAGEMENTS 2026'!B162),"",'ENGAGEMENTS 2026'!J162)</f>
        <v/>
      </c>
      <c r="Q162">
        <f>IF($A162="","",IF(OR($E162="INFRUCTUEUX",$E162="ANNULE"),$A162&amp;"|"&amp;(COUNTIFS($A$2:$A162,$A162,$E$2:$E162,"INFRUCTUEUX")+COUNTIFS($A$2:$A162,$A162,$E$2:$E162,"ANNULE")),""))</f>
        <v/>
      </c>
    </row>
    <row r="163">
      <c r="A163">
        <f>IF(ISBLANK('ENGAGEMENTS 2026'!B163),"",IF('ENGAGEMENTS 2026'!B163="DTSI","DCT",'ENGAGEMENTS 2026'!B163))</f>
        <v/>
      </c>
      <c r="B163">
        <f>IF(ISBLANK('ENGAGEMENTS 2026'!B163),"",'ENGAGEMENTS 2026'!C163)</f>
        <v/>
      </c>
      <c r="C163">
        <f>IF(ISBLANK('ENGAGEMENTS 2026'!B163),"",'ENGAGEMENTS 2026'!D163)</f>
        <v/>
      </c>
      <c r="D163">
        <f>IF(ISBLANK('ENGAGEMENTS 2026'!B163),"",'ENGAGEMENTS 2026'!F163)</f>
        <v/>
      </c>
      <c r="E163">
        <f>IF(ISBLANK('ENGAGEMENTS 2026'!B163),"",'ENGAGEMENTS 2026'!H163)</f>
        <v/>
      </c>
      <c r="F163">
        <f>IF(ISBLANK('ENGAGEMENTS 2026'!B163),"",'ENGAGEMENTS 2026'!I163)</f>
        <v/>
      </c>
      <c r="G163">
        <f>IF(ISBLANK('ENGAGEMENTS 2026'!B163),"",'ENGAGEMENTS 2026'!L163)</f>
        <v/>
      </c>
      <c r="H163">
        <f>IF(ISBLANK('ENGAGEMENTS 2026'!B163),"",'ENGAGEMENTS 2026'!AE163)</f>
        <v/>
      </c>
      <c r="I163">
        <f>IF(ISBLANK('ENGAGEMENTS 2026'!B163),"",'ENGAGEMENTS 2026'!G163)</f>
        <v/>
      </c>
      <c r="J163" s="275">
        <f>IF(ISBLANK('ENGAGEMENTS 2026'!B163),"",IF(AND(OR($E163="INFRUCTUEUX",$E163="ANNULE"),$C163="AOO-M"),'ENGAGEMENTS 2026'!O163,IF($H163="EN COURS DE PREENGAGEMENT",'ENGAGEMENTS 2026'!N163,IF($H163="PREENGAGE",IF($E163="ATTRIBUE",'ENGAGEMENTS 2026'!AD163,'ENGAGEMENTS 2026'!N163),'ENGAGEMENTS 2026'!AD163))))</f>
        <v/>
      </c>
      <c r="K163" s="604">
        <f>IF(ISBLANK('ENGAGEMENTS 2026'!V163),"",'ENGAGEMENTS 2026'!V163)</f>
        <v/>
      </c>
      <c r="L163" s="276">
        <f>IF($K163="","",TODAY()-$K163)</f>
        <v/>
      </c>
      <c r="M163">
        <f>IF($A163="","",IF($H163="ENGAGE","Engagé",IF(AND($H163="NON ENGAGE",OR($I163="INFRUCTUEUX",$I163="ANNULE")),"Clôturé sans suite","En cours")))</f>
        <v/>
      </c>
      <c r="N163">
        <f>IF(ISBLANK('ENGAGEMENTS 2026'!B163),"",'ENGAGEMENTS 2026'!K163)</f>
        <v/>
      </c>
      <c r="O163">
        <f>IF(ISBLANK('ENGAGEMENTS 2026'!B163),"",'ENGAGEMENTS 2026'!L163)</f>
        <v/>
      </c>
      <c r="P163">
        <f>IF(ISBLANK('ENGAGEMENTS 2026'!B163),"",'ENGAGEMENTS 2026'!J163)</f>
        <v/>
      </c>
      <c r="Q163">
        <f>IF($A163="","",IF(OR($E163="INFRUCTUEUX",$E163="ANNULE"),$A163&amp;"|"&amp;(COUNTIFS($A$2:$A163,$A163,$E$2:$E163,"INFRUCTUEUX")+COUNTIFS($A$2:$A163,$A163,$E$2:$E163,"ANNULE")),""))</f>
        <v/>
      </c>
    </row>
    <row r="164">
      <c r="A164">
        <f>IF(ISBLANK('ENGAGEMENTS 2026'!B164),"",IF('ENGAGEMENTS 2026'!B164="DTSI","DCT",'ENGAGEMENTS 2026'!B164))</f>
        <v/>
      </c>
      <c r="B164">
        <f>IF(ISBLANK('ENGAGEMENTS 2026'!B164),"",'ENGAGEMENTS 2026'!C164)</f>
        <v/>
      </c>
      <c r="C164">
        <f>IF(ISBLANK('ENGAGEMENTS 2026'!B164),"",'ENGAGEMENTS 2026'!D164)</f>
        <v/>
      </c>
      <c r="D164">
        <f>IF(ISBLANK('ENGAGEMENTS 2026'!B164),"",'ENGAGEMENTS 2026'!F164)</f>
        <v/>
      </c>
      <c r="E164">
        <f>IF(ISBLANK('ENGAGEMENTS 2026'!B164),"",'ENGAGEMENTS 2026'!H164)</f>
        <v/>
      </c>
      <c r="F164">
        <f>IF(ISBLANK('ENGAGEMENTS 2026'!B164),"",'ENGAGEMENTS 2026'!I164)</f>
        <v/>
      </c>
      <c r="G164">
        <f>IF(ISBLANK('ENGAGEMENTS 2026'!B164),"",'ENGAGEMENTS 2026'!L164)</f>
        <v/>
      </c>
      <c r="H164">
        <f>IF(ISBLANK('ENGAGEMENTS 2026'!B164),"",'ENGAGEMENTS 2026'!AE164)</f>
        <v/>
      </c>
      <c r="I164">
        <f>IF(ISBLANK('ENGAGEMENTS 2026'!B164),"",'ENGAGEMENTS 2026'!G164)</f>
        <v/>
      </c>
      <c r="J164" s="275">
        <f>IF(ISBLANK('ENGAGEMENTS 2026'!B164),"",IF(AND(OR($E164="INFRUCTUEUX",$E164="ANNULE"),$C164="AOO-M"),'ENGAGEMENTS 2026'!O164,IF($H164="EN COURS DE PREENGAGEMENT",'ENGAGEMENTS 2026'!N164,IF($H164="PREENGAGE",IF($E164="ATTRIBUE",'ENGAGEMENTS 2026'!AD164,'ENGAGEMENTS 2026'!N164),'ENGAGEMENTS 2026'!AD164))))</f>
        <v/>
      </c>
      <c r="K164" s="604">
        <f>IF(ISBLANK('ENGAGEMENTS 2026'!V164),"",'ENGAGEMENTS 2026'!V164)</f>
        <v/>
      </c>
      <c r="L164" s="276">
        <f>IF($K164="","",TODAY()-$K164)</f>
        <v/>
      </c>
      <c r="M164">
        <f>IF($A164="","",IF($H164="ENGAGE","Engagé",IF(AND($H164="NON ENGAGE",OR($I164="INFRUCTUEUX",$I164="ANNULE")),"Clôturé sans suite","En cours")))</f>
        <v/>
      </c>
      <c r="N164">
        <f>IF(ISBLANK('ENGAGEMENTS 2026'!B164),"",'ENGAGEMENTS 2026'!K164)</f>
        <v/>
      </c>
      <c r="O164">
        <f>IF(ISBLANK('ENGAGEMENTS 2026'!B164),"",'ENGAGEMENTS 2026'!L164)</f>
        <v/>
      </c>
      <c r="P164">
        <f>IF(ISBLANK('ENGAGEMENTS 2026'!B164),"",'ENGAGEMENTS 2026'!J164)</f>
        <v/>
      </c>
      <c r="Q164">
        <f>IF($A164="","",IF(OR($E164="INFRUCTUEUX",$E164="ANNULE"),$A164&amp;"|"&amp;(COUNTIFS($A$2:$A164,$A164,$E$2:$E164,"INFRUCTUEUX")+COUNTIFS($A$2:$A164,$A164,$E$2:$E164,"ANNULE")),""))</f>
        <v/>
      </c>
    </row>
    <row r="165">
      <c r="A165">
        <f>IF(ISBLANK('ENGAGEMENTS 2026'!B165),"",IF('ENGAGEMENTS 2026'!B165="DTSI","DCT",'ENGAGEMENTS 2026'!B165))</f>
        <v/>
      </c>
      <c r="B165">
        <f>IF(ISBLANK('ENGAGEMENTS 2026'!B165),"",'ENGAGEMENTS 2026'!C165)</f>
        <v/>
      </c>
      <c r="C165">
        <f>IF(ISBLANK('ENGAGEMENTS 2026'!B165),"",'ENGAGEMENTS 2026'!D165)</f>
        <v/>
      </c>
      <c r="D165">
        <f>IF(ISBLANK('ENGAGEMENTS 2026'!B165),"",'ENGAGEMENTS 2026'!F165)</f>
        <v/>
      </c>
      <c r="E165">
        <f>IF(ISBLANK('ENGAGEMENTS 2026'!B165),"",'ENGAGEMENTS 2026'!H165)</f>
        <v/>
      </c>
      <c r="F165">
        <f>IF(ISBLANK('ENGAGEMENTS 2026'!B165),"",'ENGAGEMENTS 2026'!I165)</f>
        <v/>
      </c>
      <c r="G165">
        <f>IF(ISBLANK('ENGAGEMENTS 2026'!B165),"",'ENGAGEMENTS 2026'!L165)</f>
        <v/>
      </c>
      <c r="H165">
        <f>IF(ISBLANK('ENGAGEMENTS 2026'!B165),"",'ENGAGEMENTS 2026'!AE165)</f>
        <v/>
      </c>
      <c r="I165">
        <f>IF(ISBLANK('ENGAGEMENTS 2026'!B165),"",'ENGAGEMENTS 2026'!G165)</f>
        <v/>
      </c>
      <c r="J165" s="275">
        <f>IF(ISBLANK('ENGAGEMENTS 2026'!B165),"",IF(AND(OR($E165="INFRUCTUEUX",$E165="ANNULE"),$C165="AOO-M"),'ENGAGEMENTS 2026'!O165,IF($H165="EN COURS DE PREENGAGEMENT",'ENGAGEMENTS 2026'!N165,IF($H165="PREENGAGE",IF($E165="ATTRIBUE",'ENGAGEMENTS 2026'!AD165,'ENGAGEMENTS 2026'!N165),'ENGAGEMENTS 2026'!AD165))))</f>
        <v/>
      </c>
      <c r="K165" s="604">
        <f>IF(ISBLANK('ENGAGEMENTS 2026'!V165),"",'ENGAGEMENTS 2026'!V165)</f>
        <v/>
      </c>
      <c r="L165" s="276">
        <f>IF($K165="","",TODAY()-$K165)</f>
        <v/>
      </c>
      <c r="M165">
        <f>IF($A165="","",IF($H165="ENGAGE","Engagé",IF(AND($H165="NON ENGAGE",OR($I165="INFRUCTUEUX",$I165="ANNULE")),"Clôturé sans suite","En cours")))</f>
        <v/>
      </c>
      <c r="N165">
        <f>IF(ISBLANK('ENGAGEMENTS 2026'!B165),"",'ENGAGEMENTS 2026'!K165)</f>
        <v/>
      </c>
      <c r="O165">
        <f>IF(ISBLANK('ENGAGEMENTS 2026'!B165),"",'ENGAGEMENTS 2026'!L165)</f>
        <v/>
      </c>
      <c r="P165">
        <f>IF(ISBLANK('ENGAGEMENTS 2026'!B165),"",'ENGAGEMENTS 2026'!J165)</f>
        <v/>
      </c>
      <c r="Q165">
        <f>IF($A165="","",IF(OR($E165="INFRUCTUEUX",$E165="ANNULE"),$A165&amp;"|"&amp;(COUNTIFS($A$2:$A165,$A165,$E$2:$E165,"INFRUCTUEUX")+COUNTIFS($A$2:$A165,$A165,$E$2:$E165,"ANNULE")),""))</f>
        <v/>
      </c>
    </row>
    <row r="166">
      <c r="A166">
        <f>IF(ISBLANK('ENGAGEMENTS 2026'!B166),"",IF('ENGAGEMENTS 2026'!B166="DTSI","DCT",'ENGAGEMENTS 2026'!B166))</f>
        <v/>
      </c>
      <c r="B166">
        <f>IF(ISBLANK('ENGAGEMENTS 2026'!B166),"",'ENGAGEMENTS 2026'!C166)</f>
        <v/>
      </c>
      <c r="C166">
        <f>IF(ISBLANK('ENGAGEMENTS 2026'!B166),"",'ENGAGEMENTS 2026'!D166)</f>
        <v/>
      </c>
      <c r="D166">
        <f>IF(ISBLANK('ENGAGEMENTS 2026'!B166),"",'ENGAGEMENTS 2026'!F166)</f>
        <v/>
      </c>
      <c r="E166">
        <f>IF(ISBLANK('ENGAGEMENTS 2026'!B166),"",'ENGAGEMENTS 2026'!H166)</f>
        <v/>
      </c>
      <c r="F166">
        <f>IF(ISBLANK('ENGAGEMENTS 2026'!B166),"",'ENGAGEMENTS 2026'!I166)</f>
        <v/>
      </c>
      <c r="G166">
        <f>IF(ISBLANK('ENGAGEMENTS 2026'!B166),"",'ENGAGEMENTS 2026'!L166)</f>
        <v/>
      </c>
      <c r="H166">
        <f>IF(ISBLANK('ENGAGEMENTS 2026'!B166),"",'ENGAGEMENTS 2026'!AE166)</f>
        <v/>
      </c>
      <c r="I166">
        <f>IF(ISBLANK('ENGAGEMENTS 2026'!B166),"",'ENGAGEMENTS 2026'!G166)</f>
        <v/>
      </c>
      <c r="J166" s="275">
        <f>IF(ISBLANK('ENGAGEMENTS 2026'!B166),"",IF(AND(OR($E166="INFRUCTUEUX",$E166="ANNULE"),$C166="AOO-M"),'ENGAGEMENTS 2026'!O166,IF($H166="EN COURS DE PREENGAGEMENT",'ENGAGEMENTS 2026'!N166,IF($H166="PREENGAGE",IF($E166="ATTRIBUE",'ENGAGEMENTS 2026'!AD166,'ENGAGEMENTS 2026'!N166),'ENGAGEMENTS 2026'!AD166))))</f>
        <v/>
      </c>
      <c r="K166" s="604">
        <f>IF(ISBLANK('ENGAGEMENTS 2026'!V166),"",'ENGAGEMENTS 2026'!V166)</f>
        <v/>
      </c>
      <c r="L166" s="276">
        <f>IF($K166="","",TODAY()-$K166)</f>
        <v/>
      </c>
      <c r="M166">
        <f>IF($A166="","",IF($H166="ENGAGE","Engagé",IF(AND($H166="NON ENGAGE",OR($I166="INFRUCTUEUX",$I166="ANNULE")),"Clôturé sans suite","En cours")))</f>
        <v/>
      </c>
      <c r="N166">
        <f>IF(ISBLANK('ENGAGEMENTS 2026'!B166),"",'ENGAGEMENTS 2026'!K166)</f>
        <v/>
      </c>
      <c r="O166">
        <f>IF(ISBLANK('ENGAGEMENTS 2026'!B166),"",'ENGAGEMENTS 2026'!L166)</f>
        <v/>
      </c>
      <c r="P166">
        <f>IF(ISBLANK('ENGAGEMENTS 2026'!B166),"",'ENGAGEMENTS 2026'!J166)</f>
        <v/>
      </c>
      <c r="Q166">
        <f>IF($A166="","",IF(OR($E166="INFRUCTUEUX",$E166="ANNULE"),$A166&amp;"|"&amp;(COUNTIFS($A$2:$A166,$A166,$E$2:$E166,"INFRUCTUEUX")+COUNTIFS($A$2:$A166,$A166,$E$2:$E166,"ANNULE")),""))</f>
        <v/>
      </c>
    </row>
    <row r="167">
      <c r="A167">
        <f>IF(ISBLANK('ENGAGEMENTS 2026'!B167),"",IF('ENGAGEMENTS 2026'!B167="DTSI","DCT",'ENGAGEMENTS 2026'!B167))</f>
        <v/>
      </c>
      <c r="B167">
        <f>IF(ISBLANK('ENGAGEMENTS 2026'!B167),"",'ENGAGEMENTS 2026'!C167)</f>
        <v/>
      </c>
      <c r="C167">
        <f>IF(ISBLANK('ENGAGEMENTS 2026'!B167),"",'ENGAGEMENTS 2026'!D167)</f>
        <v/>
      </c>
      <c r="D167">
        <f>IF(ISBLANK('ENGAGEMENTS 2026'!B167),"",'ENGAGEMENTS 2026'!F167)</f>
        <v/>
      </c>
      <c r="E167">
        <f>IF(ISBLANK('ENGAGEMENTS 2026'!B167),"",'ENGAGEMENTS 2026'!H167)</f>
        <v/>
      </c>
      <c r="F167">
        <f>IF(ISBLANK('ENGAGEMENTS 2026'!B167),"",'ENGAGEMENTS 2026'!I167)</f>
        <v/>
      </c>
      <c r="G167">
        <f>IF(ISBLANK('ENGAGEMENTS 2026'!B167),"",'ENGAGEMENTS 2026'!L167)</f>
        <v/>
      </c>
      <c r="H167">
        <f>IF(ISBLANK('ENGAGEMENTS 2026'!B167),"",'ENGAGEMENTS 2026'!AE167)</f>
        <v/>
      </c>
      <c r="I167">
        <f>IF(ISBLANK('ENGAGEMENTS 2026'!B167),"",'ENGAGEMENTS 2026'!G167)</f>
        <v/>
      </c>
      <c r="J167" s="275">
        <f>IF(ISBLANK('ENGAGEMENTS 2026'!B167),"",IF(AND(OR($E167="INFRUCTUEUX",$E167="ANNULE"),$C167="AOO-M"),'ENGAGEMENTS 2026'!O167,IF($H167="EN COURS DE PREENGAGEMENT",'ENGAGEMENTS 2026'!N167,IF($H167="PREENGAGE",IF($E167="ATTRIBUE",'ENGAGEMENTS 2026'!AD167,'ENGAGEMENTS 2026'!N167),'ENGAGEMENTS 2026'!AD167))))</f>
        <v/>
      </c>
      <c r="K167" s="604">
        <f>IF(ISBLANK('ENGAGEMENTS 2026'!V167),"",'ENGAGEMENTS 2026'!V167)</f>
        <v/>
      </c>
      <c r="L167" s="276">
        <f>IF($K167="","",TODAY()-$K167)</f>
        <v/>
      </c>
      <c r="M167">
        <f>IF($A167="","",IF($H167="ENGAGE","Engagé",IF(AND($H167="NON ENGAGE",OR($I167="INFRUCTUEUX",$I167="ANNULE")),"Clôturé sans suite","En cours")))</f>
        <v/>
      </c>
      <c r="N167">
        <f>IF(ISBLANK('ENGAGEMENTS 2026'!B167),"",'ENGAGEMENTS 2026'!K167)</f>
        <v/>
      </c>
      <c r="O167">
        <f>IF(ISBLANK('ENGAGEMENTS 2026'!B167),"",'ENGAGEMENTS 2026'!L167)</f>
        <v/>
      </c>
      <c r="P167">
        <f>IF(ISBLANK('ENGAGEMENTS 2026'!B167),"",'ENGAGEMENTS 2026'!J167)</f>
        <v/>
      </c>
      <c r="Q167">
        <f>IF($A167="","",IF(OR($E167="INFRUCTUEUX",$E167="ANNULE"),$A167&amp;"|"&amp;(COUNTIFS($A$2:$A167,$A167,$E$2:$E167,"INFRUCTUEUX")+COUNTIFS($A$2:$A167,$A167,$E$2:$E167,"ANNULE")),""))</f>
        <v/>
      </c>
    </row>
    <row r="168">
      <c r="A168">
        <f>IF(ISBLANK('ENGAGEMENTS 2026'!B168),"",IF('ENGAGEMENTS 2026'!B168="DTSI","DCT",'ENGAGEMENTS 2026'!B168))</f>
        <v/>
      </c>
      <c r="B168">
        <f>IF(ISBLANK('ENGAGEMENTS 2026'!B168),"",'ENGAGEMENTS 2026'!C168)</f>
        <v/>
      </c>
      <c r="C168">
        <f>IF(ISBLANK('ENGAGEMENTS 2026'!B168),"",'ENGAGEMENTS 2026'!D168)</f>
        <v/>
      </c>
      <c r="D168">
        <f>IF(ISBLANK('ENGAGEMENTS 2026'!B168),"",'ENGAGEMENTS 2026'!F168)</f>
        <v/>
      </c>
      <c r="E168">
        <f>IF(ISBLANK('ENGAGEMENTS 2026'!B168),"",'ENGAGEMENTS 2026'!H168)</f>
        <v/>
      </c>
      <c r="F168">
        <f>IF(ISBLANK('ENGAGEMENTS 2026'!B168),"",'ENGAGEMENTS 2026'!I168)</f>
        <v/>
      </c>
      <c r="G168">
        <f>IF(ISBLANK('ENGAGEMENTS 2026'!B168),"",'ENGAGEMENTS 2026'!L168)</f>
        <v/>
      </c>
      <c r="H168">
        <f>IF(ISBLANK('ENGAGEMENTS 2026'!B168),"",'ENGAGEMENTS 2026'!AE168)</f>
        <v/>
      </c>
      <c r="I168">
        <f>IF(ISBLANK('ENGAGEMENTS 2026'!B168),"",'ENGAGEMENTS 2026'!G168)</f>
        <v/>
      </c>
      <c r="J168" s="275">
        <f>IF(ISBLANK('ENGAGEMENTS 2026'!B168),"",IF(AND(OR($E168="INFRUCTUEUX",$E168="ANNULE"),$C168="AOO-M"),'ENGAGEMENTS 2026'!O168,IF($H168="EN COURS DE PREENGAGEMENT",'ENGAGEMENTS 2026'!N168,IF($H168="PREENGAGE",IF($E168="ATTRIBUE",'ENGAGEMENTS 2026'!AD168,'ENGAGEMENTS 2026'!N168),'ENGAGEMENTS 2026'!AD168))))</f>
        <v/>
      </c>
      <c r="K168" s="604">
        <f>IF(ISBLANK('ENGAGEMENTS 2026'!V168),"",'ENGAGEMENTS 2026'!V168)</f>
        <v/>
      </c>
      <c r="L168" s="276">
        <f>IF($K168="","",TODAY()-$K168)</f>
        <v/>
      </c>
      <c r="M168">
        <f>IF($A168="","",IF($H168="ENGAGE","Engagé",IF(AND($H168="NON ENGAGE",OR($I168="INFRUCTUEUX",$I168="ANNULE")),"Clôturé sans suite","En cours")))</f>
        <v/>
      </c>
      <c r="N168">
        <f>IF(ISBLANK('ENGAGEMENTS 2026'!B168),"",'ENGAGEMENTS 2026'!K168)</f>
        <v/>
      </c>
      <c r="O168">
        <f>IF(ISBLANK('ENGAGEMENTS 2026'!B168),"",'ENGAGEMENTS 2026'!L168)</f>
        <v/>
      </c>
      <c r="P168">
        <f>IF(ISBLANK('ENGAGEMENTS 2026'!B168),"",'ENGAGEMENTS 2026'!J168)</f>
        <v/>
      </c>
      <c r="Q168">
        <f>IF($A168="","",IF(OR($E168="INFRUCTUEUX",$E168="ANNULE"),$A168&amp;"|"&amp;(COUNTIFS($A$2:$A168,$A168,$E$2:$E168,"INFRUCTUEUX")+COUNTIFS($A$2:$A168,$A168,$E$2:$E168,"ANNULE")),""))</f>
        <v/>
      </c>
    </row>
    <row r="169">
      <c r="A169">
        <f>IF(ISBLANK('ENGAGEMENTS 2026'!B169),"",IF('ENGAGEMENTS 2026'!B169="DTSI","DCT",'ENGAGEMENTS 2026'!B169))</f>
        <v/>
      </c>
      <c r="B169">
        <f>IF(ISBLANK('ENGAGEMENTS 2026'!B169),"",'ENGAGEMENTS 2026'!C169)</f>
        <v/>
      </c>
      <c r="C169">
        <f>IF(ISBLANK('ENGAGEMENTS 2026'!B169),"",'ENGAGEMENTS 2026'!D169)</f>
        <v/>
      </c>
      <c r="D169">
        <f>IF(ISBLANK('ENGAGEMENTS 2026'!B169),"",'ENGAGEMENTS 2026'!F169)</f>
        <v/>
      </c>
      <c r="E169">
        <f>IF(ISBLANK('ENGAGEMENTS 2026'!B169),"",'ENGAGEMENTS 2026'!H169)</f>
        <v/>
      </c>
      <c r="F169">
        <f>IF(ISBLANK('ENGAGEMENTS 2026'!B169),"",'ENGAGEMENTS 2026'!I169)</f>
        <v/>
      </c>
      <c r="G169">
        <f>IF(ISBLANK('ENGAGEMENTS 2026'!B169),"",'ENGAGEMENTS 2026'!L169)</f>
        <v/>
      </c>
      <c r="H169">
        <f>IF(ISBLANK('ENGAGEMENTS 2026'!B169),"",'ENGAGEMENTS 2026'!AE169)</f>
        <v/>
      </c>
      <c r="I169">
        <f>IF(ISBLANK('ENGAGEMENTS 2026'!B169),"",'ENGAGEMENTS 2026'!G169)</f>
        <v/>
      </c>
      <c r="J169" s="275">
        <f>IF(ISBLANK('ENGAGEMENTS 2026'!B169),"",IF(AND(OR($E169="INFRUCTUEUX",$E169="ANNULE"),$C169="AOO-M"),'ENGAGEMENTS 2026'!O169,IF($H169="EN COURS DE PREENGAGEMENT",'ENGAGEMENTS 2026'!N169,IF($H169="PREENGAGE",IF($E169="ATTRIBUE",'ENGAGEMENTS 2026'!AD169,'ENGAGEMENTS 2026'!N169),'ENGAGEMENTS 2026'!AD169))))</f>
        <v/>
      </c>
      <c r="K169" s="604">
        <f>IF(ISBLANK('ENGAGEMENTS 2026'!V169),"",'ENGAGEMENTS 2026'!V169)</f>
        <v/>
      </c>
      <c r="L169" s="276">
        <f>IF($K169="","",TODAY()-$K169)</f>
        <v/>
      </c>
      <c r="M169">
        <f>IF($A169="","",IF($H169="ENGAGE","Engagé",IF(AND($H169="NON ENGAGE",OR($I169="INFRUCTUEUX",$I169="ANNULE")),"Clôturé sans suite","En cours")))</f>
        <v/>
      </c>
      <c r="N169">
        <f>IF(ISBLANK('ENGAGEMENTS 2026'!B169),"",'ENGAGEMENTS 2026'!K169)</f>
        <v/>
      </c>
      <c r="O169">
        <f>IF(ISBLANK('ENGAGEMENTS 2026'!B169),"",'ENGAGEMENTS 2026'!L169)</f>
        <v/>
      </c>
      <c r="P169">
        <f>IF(ISBLANK('ENGAGEMENTS 2026'!B169),"",'ENGAGEMENTS 2026'!J169)</f>
        <v/>
      </c>
      <c r="Q169">
        <f>IF($A169="","",IF(OR($E169="INFRUCTUEUX",$E169="ANNULE"),$A169&amp;"|"&amp;(COUNTIFS($A$2:$A169,$A169,$E$2:$E169,"INFRUCTUEUX")+COUNTIFS($A$2:$A169,$A169,$E$2:$E169,"ANNULE")),""))</f>
        <v/>
      </c>
    </row>
    <row r="170">
      <c r="A170">
        <f>IF(ISBLANK('ENGAGEMENTS 2026'!B170),"",IF('ENGAGEMENTS 2026'!B170="DTSI","DCT",'ENGAGEMENTS 2026'!B170))</f>
        <v/>
      </c>
      <c r="B170">
        <f>IF(ISBLANK('ENGAGEMENTS 2026'!B170),"",'ENGAGEMENTS 2026'!C170)</f>
        <v/>
      </c>
      <c r="C170">
        <f>IF(ISBLANK('ENGAGEMENTS 2026'!B170),"",'ENGAGEMENTS 2026'!D170)</f>
        <v/>
      </c>
      <c r="D170">
        <f>IF(ISBLANK('ENGAGEMENTS 2026'!B170),"",'ENGAGEMENTS 2026'!F170)</f>
        <v/>
      </c>
      <c r="E170">
        <f>IF(ISBLANK('ENGAGEMENTS 2026'!B170),"",'ENGAGEMENTS 2026'!H170)</f>
        <v/>
      </c>
      <c r="F170">
        <f>IF(ISBLANK('ENGAGEMENTS 2026'!B170),"",'ENGAGEMENTS 2026'!I170)</f>
        <v/>
      </c>
      <c r="G170">
        <f>IF(ISBLANK('ENGAGEMENTS 2026'!B170),"",'ENGAGEMENTS 2026'!L170)</f>
        <v/>
      </c>
      <c r="H170">
        <f>IF(ISBLANK('ENGAGEMENTS 2026'!B170),"",'ENGAGEMENTS 2026'!AE170)</f>
        <v/>
      </c>
      <c r="I170">
        <f>IF(ISBLANK('ENGAGEMENTS 2026'!B170),"",'ENGAGEMENTS 2026'!G170)</f>
        <v/>
      </c>
      <c r="J170" s="275">
        <f>IF(ISBLANK('ENGAGEMENTS 2026'!B170),"",IF(AND(OR($E170="INFRUCTUEUX",$E170="ANNULE"),$C170="AOO-M"),'ENGAGEMENTS 2026'!O170,IF($H170="EN COURS DE PREENGAGEMENT",'ENGAGEMENTS 2026'!N170,IF($H170="PREENGAGE",IF($E170="ATTRIBUE",'ENGAGEMENTS 2026'!AD170,'ENGAGEMENTS 2026'!N170),'ENGAGEMENTS 2026'!AD170))))</f>
        <v/>
      </c>
      <c r="K170" s="604">
        <f>IF(ISBLANK('ENGAGEMENTS 2026'!V170),"",'ENGAGEMENTS 2026'!V170)</f>
        <v/>
      </c>
      <c r="L170" s="276">
        <f>IF($K170="","",TODAY()-$K170)</f>
        <v/>
      </c>
      <c r="M170">
        <f>IF($A170="","",IF($H170="ENGAGE","Engagé",IF(AND($H170="NON ENGAGE",OR($I170="INFRUCTUEUX",$I170="ANNULE")),"Clôturé sans suite","En cours")))</f>
        <v/>
      </c>
      <c r="N170">
        <f>IF(ISBLANK('ENGAGEMENTS 2026'!B170),"",'ENGAGEMENTS 2026'!K170)</f>
        <v/>
      </c>
      <c r="O170">
        <f>IF(ISBLANK('ENGAGEMENTS 2026'!B170),"",'ENGAGEMENTS 2026'!L170)</f>
        <v/>
      </c>
      <c r="P170">
        <f>IF(ISBLANK('ENGAGEMENTS 2026'!B170),"",'ENGAGEMENTS 2026'!J170)</f>
        <v/>
      </c>
      <c r="Q170">
        <f>IF($A170="","",IF(OR($E170="INFRUCTUEUX",$E170="ANNULE"),$A170&amp;"|"&amp;(COUNTIFS($A$2:$A170,$A170,$E$2:$E170,"INFRUCTUEUX")+COUNTIFS($A$2:$A170,$A170,$E$2:$E170,"ANNULE")),""))</f>
        <v/>
      </c>
    </row>
    <row r="171">
      <c r="A171">
        <f>IF(ISBLANK('ENGAGEMENTS 2026'!B171),"",IF('ENGAGEMENTS 2026'!B171="DTSI","DCT",'ENGAGEMENTS 2026'!B171))</f>
        <v/>
      </c>
      <c r="B171">
        <f>IF(ISBLANK('ENGAGEMENTS 2026'!B171),"",'ENGAGEMENTS 2026'!C171)</f>
        <v/>
      </c>
      <c r="C171">
        <f>IF(ISBLANK('ENGAGEMENTS 2026'!B171),"",'ENGAGEMENTS 2026'!D171)</f>
        <v/>
      </c>
      <c r="D171">
        <f>IF(ISBLANK('ENGAGEMENTS 2026'!B171),"",'ENGAGEMENTS 2026'!F171)</f>
        <v/>
      </c>
      <c r="E171">
        <f>IF(ISBLANK('ENGAGEMENTS 2026'!B171),"",'ENGAGEMENTS 2026'!H171)</f>
        <v/>
      </c>
      <c r="F171">
        <f>IF(ISBLANK('ENGAGEMENTS 2026'!B171),"",'ENGAGEMENTS 2026'!I171)</f>
        <v/>
      </c>
      <c r="G171">
        <f>IF(ISBLANK('ENGAGEMENTS 2026'!B171),"",'ENGAGEMENTS 2026'!L171)</f>
        <v/>
      </c>
      <c r="H171">
        <f>IF(ISBLANK('ENGAGEMENTS 2026'!B171),"",'ENGAGEMENTS 2026'!AE171)</f>
        <v/>
      </c>
      <c r="I171">
        <f>IF(ISBLANK('ENGAGEMENTS 2026'!B171),"",'ENGAGEMENTS 2026'!G171)</f>
        <v/>
      </c>
      <c r="J171" s="275">
        <f>IF(ISBLANK('ENGAGEMENTS 2026'!B171),"",IF(AND(OR($E171="INFRUCTUEUX",$E171="ANNULE"),$C171="AOO-M"),'ENGAGEMENTS 2026'!O171,IF($H171="EN COURS DE PREENGAGEMENT",'ENGAGEMENTS 2026'!N171,IF($H171="PREENGAGE",IF($E171="ATTRIBUE",'ENGAGEMENTS 2026'!AD171,'ENGAGEMENTS 2026'!N171),'ENGAGEMENTS 2026'!AD171))))</f>
        <v/>
      </c>
      <c r="K171" s="604">
        <f>IF(ISBLANK('ENGAGEMENTS 2026'!V171),"",'ENGAGEMENTS 2026'!V171)</f>
        <v/>
      </c>
      <c r="L171" s="276">
        <f>IF($K171="","",TODAY()-$K171)</f>
        <v/>
      </c>
      <c r="M171">
        <f>IF($A171="","",IF($H171="ENGAGE","Engagé",IF(AND($H171="NON ENGAGE",OR($I171="INFRUCTUEUX",$I171="ANNULE")),"Clôturé sans suite","En cours")))</f>
        <v/>
      </c>
      <c r="N171">
        <f>IF(ISBLANK('ENGAGEMENTS 2026'!B171),"",'ENGAGEMENTS 2026'!K171)</f>
        <v/>
      </c>
      <c r="O171">
        <f>IF(ISBLANK('ENGAGEMENTS 2026'!B171),"",'ENGAGEMENTS 2026'!L171)</f>
        <v/>
      </c>
      <c r="P171">
        <f>IF(ISBLANK('ENGAGEMENTS 2026'!B171),"",'ENGAGEMENTS 2026'!J171)</f>
        <v/>
      </c>
      <c r="Q171">
        <f>IF($A171="","",IF(OR($E171="INFRUCTUEUX",$E171="ANNULE"),$A171&amp;"|"&amp;(COUNTIFS($A$2:$A171,$A171,$E$2:$E171,"INFRUCTUEUX")+COUNTIFS($A$2:$A171,$A171,$E$2:$E171,"ANNULE")),""))</f>
        <v/>
      </c>
    </row>
    <row r="172">
      <c r="A172">
        <f>IF(ISBLANK('ENGAGEMENTS 2026'!B172),"",IF('ENGAGEMENTS 2026'!B172="DTSI","DCT",'ENGAGEMENTS 2026'!B172))</f>
        <v/>
      </c>
      <c r="B172">
        <f>IF(ISBLANK('ENGAGEMENTS 2026'!B172),"",'ENGAGEMENTS 2026'!C172)</f>
        <v/>
      </c>
      <c r="C172">
        <f>IF(ISBLANK('ENGAGEMENTS 2026'!B172),"",'ENGAGEMENTS 2026'!D172)</f>
        <v/>
      </c>
      <c r="D172">
        <f>IF(ISBLANK('ENGAGEMENTS 2026'!B172),"",'ENGAGEMENTS 2026'!F172)</f>
        <v/>
      </c>
      <c r="E172">
        <f>IF(ISBLANK('ENGAGEMENTS 2026'!B172),"",'ENGAGEMENTS 2026'!H172)</f>
        <v/>
      </c>
      <c r="F172">
        <f>IF(ISBLANK('ENGAGEMENTS 2026'!B172),"",'ENGAGEMENTS 2026'!I172)</f>
        <v/>
      </c>
      <c r="G172">
        <f>IF(ISBLANK('ENGAGEMENTS 2026'!B172),"",'ENGAGEMENTS 2026'!L172)</f>
        <v/>
      </c>
      <c r="H172">
        <f>IF(ISBLANK('ENGAGEMENTS 2026'!B172),"",'ENGAGEMENTS 2026'!AE172)</f>
        <v/>
      </c>
      <c r="I172">
        <f>IF(ISBLANK('ENGAGEMENTS 2026'!B172),"",'ENGAGEMENTS 2026'!G172)</f>
        <v/>
      </c>
      <c r="J172" s="275">
        <f>IF(ISBLANK('ENGAGEMENTS 2026'!B172),"",IF(AND(OR($E172="INFRUCTUEUX",$E172="ANNULE"),$C172="AOO-M"),'ENGAGEMENTS 2026'!O172,IF($H172="EN COURS DE PREENGAGEMENT",'ENGAGEMENTS 2026'!N172,IF($H172="PREENGAGE",IF($E172="ATTRIBUE",'ENGAGEMENTS 2026'!AD172,'ENGAGEMENTS 2026'!N172),'ENGAGEMENTS 2026'!AD172))))</f>
        <v/>
      </c>
      <c r="K172" s="604">
        <f>IF(ISBLANK('ENGAGEMENTS 2026'!V172),"",'ENGAGEMENTS 2026'!V172)</f>
        <v/>
      </c>
      <c r="L172" s="276">
        <f>IF($K172="","",TODAY()-$K172)</f>
        <v/>
      </c>
      <c r="M172">
        <f>IF($A172="","",IF($H172="ENGAGE","Engagé",IF(AND($H172="NON ENGAGE",OR($I172="INFRUCTUEUX",$I172="ANNULE")),"Clôturé sans suite","En cours")))</f>
        <v/>
      </c>
      <c r="N172">
        <f>IF(ISBLANK('ENGAGEMENTS 2026'!B172),"",'ENGAGEMENTS 2026'!K172)</f>
        <v/>
      </c>
      <c r="O172">
        <f>IF(ISBLANK('ENGAGEMENTS 2026'!B172),"",'ENGAGEMENTS 2026'!L172)</f>
        <v/>
      </c>
      <c r="P172">
        <f>IF(ISBLANK('ENGAGEMENTS 2026'!B172),"",'ENGAGEMENTS 2026'!J172)</f>
        <v/>
      </c>
      <c r="Q172">
        <f>IF($A172="","",IF(OR($E172="INFRUCTUEUX",$E172="ANNULE"),$A172&amp;"|"&amp;(COUNTIFS($A$2:$A172,$A172,$E$2:$E172,"INFRUCTUEUX")+COUNTIFS($A$2:$A172,$A172,$E$2:$E172,"ANNULE")),""))</f>
        <v/>
      </c>
    </row>
    <row r="173">
      <c r="A173">
        <f>IF(ISBLANK('ENGAGEMENTS 2026'!B173),"",IF('ENGAGEMENTS 2026'!B173="DTSI","DCT",'ENGAGEMENTS 2026'!B173))</f>
        <v/>
      </c>
      <c r="B173">
        <f>IF(ISBLANK('ENGAGEMENTS 2026'!B173),"",'ENGAGEMENTS 2026'!C173)</f>
        <v/>
      </c>
      <c r="C173">
        <f>IF(ISBLANK('ENGAGEMENTS 2026'!B173),"",'ENGAGEMENTS 2026'!D173)</f>
        <v/>
      </c>
      <c r="D173">
        <f>IF(ISBLANK('ENGAGEMENTS 2026'!B173),"",'ENGAGEMENTS 2026'!F173)</f>
        <v/>
      </c>
      <c r="E173">
        <f>IF(ISBLANK('ENGAGEMENTS 2026'!B173),"",'ENGAGEMENTS 2026'!H173)</f>
        <v/>
      </c>
      <c r="F173">
        <f>IF(ISBLANK('ENGAGEMENTS 2026'!B173),"",'ENGAGEMENTS 2026'!I173)</f>
        <v/>
      </c>
      <c r="G173">
        <f>IF(ISBLANK('ENGAGEMENTS 2026'!B173),"",'ENGAGEMENTS 2026'!L173)</f>
        <v/>
      </c>
      <c r="H173">
        <f>IF(ISBLANK('ENGAGEMENTS 2026'!B173),"",'ENGAGEMENTS 2026'!AE173)</f>
        <v/>
      </c>
      <c r="I173">
        <f>IF(ISBLANK('ENGAGEMENTS 2026'!B173),"",'ENGAGEMENTS 2026'!G173)</f>
        <v/>
      </c>
      <c r="J173" s="275">
        <f>IF(ISBLANK('ENGAGEMENTS 2026'!B173),"",IF(AND(OR($E173="INFRUCTUEUX",$E173="ANNULE"),$C173="AOO-M"),'ENGAGEMENTS 2026'!O173,IF($H173="EN COURS DE PREENGAGEMENT",'ENGAGEMENTS 2026'!N173,IF($H173="PREENGAGE",IF($E173="ATTRIBUE",'ENGAGEMENTS 2026'!AD173,'ENGAGEMENTS 2026'!N173),'ENGAGEMENTS 2026'!AD173))))</f>
        <v/>
      </c>
      <c r="K173" s="604">
        <f>IF(ISBLANK('ENGAGEMENTS 2026'!V173),"",'ENGAGEMENTS 2026'!V173)</f>
        <v/>
      </c>
      <c r="L173" s="276">
        <f>IF($K173="","",TODAY()-$K173)</f>
        <v/>
      </c>
      <c r="M173">
        <f>IF($A173="","",IF($H173="ENGAGE","Engagé",IF(AND($H173="NON ENGAGE",OR($I173="INFRUCTUEUX",$I173="ANNULE")),"Clôturé sans suite","En cours")))</f>
        <v/>
      </c>
      <c r="N173">
        <f>IF(ISBLANK('ENGAGEMENTS 2026'!B173),"",'ENGAGEMENTS 2026'!K173)</f>
        <v/>
      </c>
      <c r="O173">
        <f>IF(ISBLANK('ENGAGEMENTS 2026'!B173),"",'ENGAGEMENTS 2026'!L173)</f>
        <v/>
      </c>
      <c r="P173">
        <f>IF(ISBLANK('ENGAGEMENTS 2026'!B173),"",'ENGAGEMENTS 2026'!J173)</f>
        <v/>
      </c>
      <c r="Q173">
        <f>IF($A173="","",IF(OR($E173="INFRUCTUEUX",$E173="ANNULE"),$A173&amp;"|"&amp;(COUNTIFS($A$2:$A173,$A173,$E$2:$E173,"INFRUCTUEUX")+COUNTIFS($A$2:$A173,$A173,$E$2:$E173,"ANNULE")),""))</f>
        <v/>
      </c>
    </row>
    <row r="174">
      <c r="A174">
        <f>IF(ISBLANK('ENGAGEMENTS 2026'!B174),"",IF('ENGAGEMENTS 2026'!B174="DTSI","DCT",'ENGAGEMENTS 2026'!B174))</f>
        <v/>
      </c>
      <c r="B174">
        <f>IF(ISBLANK('ENGAGEMENTS 2026'!B174),"",'ENGAGEMENTS 2026'!C174)</f>
        <v/>
      </c>
      <c r="C174">
        <f>IF(ISBLANK('ENGAGEMENTS 2026'!B174),"",'ENGAGEMENTS 2026'!D174)</f>
        <v/>
      </c>
      <c r="D174">
        <f>IF(ISBLANK('ENGAGEMENTS 2026'!B174),"",'ENGAGEMENTS 2026'!F174)</f>
        <v/>
      </c>
      <c r="E174">
        <f>IF(ISBLANK('ENGAGEMENTS 2026'!B174),"",'ENGAGEMENTS 2026'!H174)</f>
        <v/>
      </c>
      <c r="F174">
        <f>IF(ISBLANK('ENGAGEMENTS 2026'!B174),"",'ENGAGEMENTS 2026'!I174)</f>
        <v/>
      </c>
      <c r="G174">
        <f>IF(ISBLANK('ENGAGEMENTS 2026'!B174),"",'ENGAGEMENTS 2026'!L174)</f>
        <v/>
      </c>
      <c r="H174">
        <f>IF(ISBLANK('ENGAGEMENTS 2026'!B174),"",'ENGAGEMENTS 2026'!AE174)</f>
        <v/>
      </c>
      <c r="I174">
        <f>IF(ISBLANK('ENGAGEMENTS 2026'!B174),"",'ENGAGEMENTS 2026'!G174)</f>
        <v/>
      </c>
      <c r="J174" s="275">
        <f>IF(ISBLANK('ENGAGEMENTS 2026'!B174),"",IF(AND(OR($E174="INFRUCTUEUX",$E174="ANNULE"),$C174="AOO-M"),'ENGAGEMENTS 2026'!O174,IF($H174="EN COURS DE PREENGAGEMENT",'ENGAGEMENTS 2026'!N174,IF($H174="PREENGAGE",IF($E174="ATTRIBUE",'ENGAGEMENTS 2026'!AD174,'ENGAGEMENTS 2026'!N174),'ENGAGEMENTS 2026'!AD174))))</f>
        <v/>
      </c>
      <c r="K174" s="604">
        <f>IF(ISBLANK('ENGAGEMENTS 2026'!V174),"",'ENGAGEMENTS 2026'!V174)</f>
        <v/>
      </c>
      <c r="L174" s="276">
        <f>IF($K174="","",TODAY()-$K174)</f>
        <v/>
      </c>
      <c r="M174">
        <f>IF($A174="","",IF($H174="ENGAGE","Engagé",IF(AND($H174="NON ENGAGE",OR($I174="INFRUCTUEUX",$I174="ANNULE")),"Clôturé sans suite","En cours")))</f>
        <v/>
      </c>
      <c r="N174">
        <f>IF(ISBLANK('ENGAGEMENTS 2026'!B174),"",'ENGAGEMENTS 2026'!K174)</f>
        <v/>
      </c>
      <c r="O174">
        <f>IF(ISBLANK('ENGAGEMENTS 2026'!B174),"",'ENGAGEMENTS 2026'!L174)</f>
        <v/>
      </c>
      <c r="P174">
        <f>IF(ISBLANK('ENGAGEMENTS 2026'!B174),"",'ENGAGEMENTS 2026'!J174)</f>
        <v/>
      </c>
      <c r="Q174">
        <f>IF($A174="","",IF(OR($E174="INFRUCTUEUX",$E174="ANNULE"),$A174&amp;"|"&amp;(COUNTIFS($A$2:$A174,$A174,$E$2:$E174,"INFRUCTUEUX")+COUNTIFS($A$2:$A174,$A174,$E$2:$E174,"ANNULE")),""))</f>
        <v/>
      </c>
    </row>
    <row r="175">
      <c r="A175">
        <f>IF(ISBLANK('ENGAGEMENTS 2026'!B175),"",IF('ENGAGEMENTS 2026'!B175="DTSI","DCT",'ENGAGEMENTS 2026'!B175))</f>
        <v/>
      </c>
      <c r="B175">
        <f>IF(ISBLANK('ENGAGEMENTS 2026'!B175),"",'ENGAGEMENTS 2026'!C175)</f>
        <v/>
      </c>
      <c r="C175">
        <f>IF(ISBLANK('ENGAGEMENTS 2026'!B175),"",'ENGAGEMENTS 2026'!D175)</f>
        <v/>
      </c>
      <c r="D175">
        <f>IF(ISBLANK('ENGAGEMENTS 2026'!B175),"",'ENGAGEMENTS 2026'!F175)</f>
        <v/>
      </c>
      <c r="E175">
        <f>IF(ISBLANK('ENGAGEMENTS 2026'!B175),"",'ENGAGEMENTS 2026'!H175)</f>
        <v/>
      </c>
      <c r="F175">
        <f>IF(ISBLANK('ENGAGEMENTS 2026'!B175),"",'ENGAGEMENTS 2026'!I175)</f>
        <v/>
      </c>
      <c r="G175">
        <f>IF(ISBLANK('ENGAGEMENTS 2026'!B175),"",'ENGAGEMENTS 2026'!L175)</f>
        <v/>
      </c>
      <c r="H175">
        <f>IF(ISBLANK('ENGAGEMENTS 2026'!B175),"",'ENGAGEMENTS 2026'!AE175)</f>
        <v/>
      </c>
      <c r="I175">
        <f>IF(ISBLANK('ENGAGEMENTS 2026'!B175),"",'ENGAGEMENTS 2026'!G175)</f>
        <v/>
      </c>
      <c r="J175" s="275">
        <f>IF(ISBLANK('ENGAGEMENTS 2026'!B175),"",IF(AND(OR($E175="INFRUCTUEUX",$E175="ANNULE"),$C175="AOO-M"),'ENGAGEMENTS 2026'!O175,IF($H175="EN COURS DE PREENGAGEMENT",'ENGAGEMENTS 2026'!N175,IF($H175="PREENGAGE",IF($E175="ATTRIBUE",'ENGAGEMENTS 2026'!AD175,'ENGAGEMENTS 2026'!N175),'ENGAGEMENTS 2026'!AD175))))</f>
        <v/>
      </c>
      <c r="K175" s="604">
        <f>IF(ISBLANK('ENGAGEMENTS 2026'!V175),"",'ENGAGEMENTS 2026'!V175)</f>
        <v/>
      </c>
      <c r="L175" s="276">
        <f>IF($K175="","",TODAY()-$K175)</f>
        <v/>
      </c>
      <c r="M175">
        <f>IF($A175="","",IF($H175="ENGAGE","Engagé",IF(AND($H175="NON ENGAGE",OR($I175="INFRUCTUEUX",$I175="ANNULE")),"Clôturé sans suite","En cours")))</f>
        <v/>
      </c>
      <c r="N175">
        <f>IF(ISBLANK('ENGAGEMENTS 2026'!B175),"",'ENGAGEMENTS 2026'!K175)</f>
        <v/>
      </c>
      <c r="O175">
        <f>IF(ISBLANK('ENGAGEMENTS 2026'!B175),"",'ENGAGEMENTS 2026'!L175)</f>
        <v/>
      </c>
      <c r="P175">
        <f>IF(ISBLANK('ENGAGEMENTS 2026'!B175),"",'ENGAGEMENTS 2026'!J175)</f>
        <v/>
      </c>
      <c r="Q175">
        <f>IF($A175="","",IF(OR($E175="INFRUCTUEUX",$E175="ANNULE"),$A175&amp;"|"&amp;(COUNTIFS($A$2:$A175,$A175,$E$2:$E175,"INFRUCTUEUX")+COUNTIFS($A$2:$A175,$A175,$E$2:$E175,"ANNULE")),""))</f>
        <v/>
      </c>
    </row>
    <row r="176">
      <c r="A176">
        <f>IF(ISBLANK('ENGAGEMENTS 2026'!B176),"",IF('ENGAGEMENTS 2026'!B176="DTSI","DCT",'ENGAGEMENTS 2026'!B176))</f>
        <v/>
      </c>
      <c r="B176">
        <f>IF(ISBLANK('ENGAGEMENTS 2026'!B176),"",'ENGAGEMENTS 2026'!C176)</f>
        <v/>
      </c>
      <c r="C176">
        <f>IF(ISBLANK('ENGAGEMENTS 2026'!B176),"",'ENGAGEMENTS 2026'!D176)</f>
        <v/>
      </c>
      <c r="D176">
        <f>IF(ISBLANK('ENGAGEMENTS 2026'!B176),"",'ENGAGEMENTS 2026'!F176)</f>
        <v/>
      </c>
      <c r="E176">
        <f>IF(ISBLANK('ENGAGEMENTS 2026'!B176),"",'ENGAGEMENTS 2026'!H176)</f>
        <v/>
      </c>
      <c r="F176">
        <f>IF(ISBLANK('ENGAGEMENTS 2026'!B176),"",'ENGAGEMENTS 2026'!I176)</f>
        <v/>
      </c>
      <c r="G176">
        <f>IF(ISBLANK('ENGAGEMENTS 2026'!B176),"",'ENGAGEMENTS 2026'!L176)</f>
        <v/>
      </c>
      <c r="H176">
        <f>IF(ISBLANK('ENGAGEMENTS 2026'!B176),"",'ENGAGEMENTS 2026'!AE176)</f>
        <v/>
      </c>
      <c r="I176">
        <f>IF(ISBLANK('ENGAGEMENTS 2026'!B176),"",'ENGAGEMENTS 2026'!G176)</f>
        <v/>
      </c>
      <c r="J176" s="275">
        <f>IF(ISBLANK('ENGAGEMENTS 2026'!B176),"",IF(AND(OR($E176="INFRUCTUEUX",$E176="ANNULE"),$C176="AOO-M"),'ENGAGEMENTS 2026'!O176,IF($H176="EN COURS DE PREENGAGEMENT",'ENGAGEMENTS 2026'!N176,IF($H176="PREENGAGE",IF($E176="ATTRIBUE",'ENGAGEMENTS 2026'!AD176,'ENGAGEMENTS 2026'!N176),'ENGAGEMENTS 2026'!AD176))))</f>
        <v/>
      </c>
      <c r="K176" s="604">
        <f>IF(ISBLANK('ENGAGEMENTS 2026'!V176),"",'ENGAGEMENTS 2026'!V176)</f>
        <v/>
      </c>
      <c r="L176" s="276">
        <f>IF($K176="","",TODAY()-$K176)</f>
        <v/>
      </c>
      <c r="M176">
        <f>IF($A176="","",IF($H176="ENGAGE","Engagé",IF(AND($H176="NON ENGAGE",OR($I176="INFRUCTUEUX",$I176="ANNULE")),"Clôturé sans suite","En cours")))</f>
        <v/>
      </c>
      <c r="N176">
        <f>IF(ISBLANK('ENGAGEMENTS 2026'!B176),"",'ENGAGEMENTS 2026'!K176)</f>
        <v/>
      </c>
      <c r="O176">
        <f>IF(ISBLANK('ENGAGEMENTS 2026'!B176),"",'ENGAGEMENTS 2026'!L176)</f>
        <v/>
      </c>
      <c r="P176">
        <f>IF(ISBLANK('ENGAGEMENTS 2026'!B176),"",'ENGAGEMENTS 2026'!J176)</f>
        <v/>
      </c>
      <c r="Q176">
        <f>IF($A176="","",IF(OR($E176="INFRUCTUEUX",$E176="ANNULE"),$A176&amp;"|"&amp;(COUNTIFS($A$2:$A176,$A176,$E$2:$E176,"INFRUCTUEUX")+COUNTIFS($A$2:$A176,$A176,$E$2:$E176,"ANNULE")),""))</f>
        <v/>
      </c>
    </row>
    <row r="177">
      <c r="A177">
        <f>IF(ISBLANK('ENGAGEMENTS 2026'!B177),"",IF('ENGAGEMENTS 2026'!B177="DTSI","DCT",'ENGAGEMENTS 2026'!B177))</f>
        <v/>
      </c>
      <c r="B177">
        <f>IF(ISBLANK('ENGAGEMENTS 2026'!B177),"",'ENGAGEMENTS 2026'!C177)</f>
        <v/>
      </c>
      <c r="C177">
        <f>IF(ISBLANK('ENGAGEMENTS 2026'!B177),"",'ENGAGEMENTS 2026'!D177)</f>
        <v/>
      </c>
      <c r="D177">
        <f>IF(ISBLANK('ENGAGEMENTS 2026'!B177),"",'ENGAGEMENTS 2026'!F177)</f>
        <v/>
      </c>
      <c r="E177">
        <f>IF(ISBLANK('ENGAGEMENTS 2026'!B177),"",'ENGAGEMENTS 2026'!H177)</f>
        <v/>
      </c>
      <c r="F177">
        <f>IF(ISBLANK('ENGAGEMENTS 2026'!B177),"",'ENGAGEMENTS 2026'!I177)</f>
        <v/>
      </c>
      <c r="G177">
        <f>IF(ISBLANK('ENGAGEMENTS 2026'!B177),"",'ENGAGEMENTS 2026'!L177)</f>
        <v/>
      </c>
      <c r="H177">
        <f>IF(ISBLANK('ENGAGEMENTS 2026'!B177),"",'ENGAGEMENTS 2026'!AE177)</f>
        <v/>
      </c>
      <c r="I177">
        <f>IF(ISBLANK('ENGAGEMENTS 2026'!B177),"",'ENGAGEMENTS 2026'!G177)</f>
        <v/>
      </c>
      <c r="J177" s="275">
        <f>IF(ISBLANK('ENGAGEMENTS 2026'!B177),"",IF(AND(OR($E177="INFRUCTUEUX",$E177="ANNULE"),$C177="AOO-M"),'ENGAGEMENTS 2026'!O177,IF($H177="EN COURS DE PREENGAGEMENT",'ENGAGEMENTS 2026'!N177,IF($H177="PREENGAGE",IF($E177="ATTRIBUE",'ENGAGEMENTS 2026'!AD177,'ENGAGEMENTS 2026'!N177),'ENGAGEMENTS 2026'!AD177))))</f>
        <v/>
      </c>
      <c r="K177" s="604">
        <f>IF(ISBLANK('ENGAGEMENTS 2026'!V177),"",'ENGAGEMENTS 2026'!V177)</f>
        <v/>
      </c>
      <c r="L177" s="276">
        <f>IF($K177="","",TODAY()-$K177)</f>
        <v/>
      </c>
      <c r="M177">
        <f>IF($A177="","",IF($H177="ENGAGE","Engagé",IF(AND($H177="NON ENGAGE",OR($I177="INFRUCTUEUX",$I177="ANNULE")),"Clôturé sans suite","En cours")))</f>
        <v/>
      </c>
      <c r="N177">
        <f>IF(ISBLANK('ENGAGEMENTS 2026'!B177),"",'ENGAGEMENTS 2026'!K177)</f>
        <v/>
      </c>
      <c r="O177">
        <f>IF(ISBLANK('ENGAGEMENTS 2026'!B177),"",'ENGAGEMENTS 2026'!L177)</f>
        <v/>
      </c>
      <c r="P177">
        <f>IF(ISBLANK('ENGAGEMENTS 2026'!B177),"",'ENGAGEMENTS 2026'!J177)</f>
        <v/>
      </c>
      <c r="Q177">
        <f>IF($A177="","",IF(OR($E177="INFRUCTUEUX",$E177="ANNULE"),$A177&amp;"|"&amp;(COUNTIFS($A$2:$A177,$A177,$E$2:$E177,"INFRUCTUEUX")+COUNTIFS($A$2:$A177,$A177,$E$2:$E177,"ANNULE")),""))</f>
        <v/>
      </c>
    </row>
    <row r="178">
      <c r="A178">
        <f>IF(ISBLANK('ENGAGEMENTS 2026'!B178),"",IF('ENGAGEMENTS 2026'!B178="DTSI","DCT",'ENGAGEMENTS 2026'!B178))</f>
        <v/>
      </c>
      <c r="B178">
        <f>IF(ISBLANK('ENGAGEMENTS 2026'!B178),"",'ENGAGEMENTS 2026'!C178)</f>
        <v/>
      </c>
      <c r="C178">
        <f>IF(ISBLANK('ENGAGEMENTS 2026'!B178),"",'ENGAGEMENTS 2026'!D178)</f>
        <v/>
      </c>
      <c r="D178">
        <f>IF(ISBLANK('ENGAGEMENTS 2026'!B178),"",'ENGAGEMENTS 2026'!F178)</f>
        <v/>
      </c>
      <c r="E178">
        <f>IF(ISBLANK('ENGAGEMENTS 2026'!B178),"",'ENGAGEMENTS 2026'!H178)</f>
        <v/>
      </c>
      <c r="F178">
        <f>IF(ISBLANK('ENGAGEMENTS 2026'!B178),"",'ENGAGEMENTS 2026'!I178)</f>
        <v/>
      </c>
      <c r="G178">
        <f>IF(ISBLANK('ENGAGEMENTS 2026'!B178),"",'ENGAGEMENTS 2026'!L178)</f>
        <v/>
      </c>
      <c r="H178">
        <f>IF(ISBLANK('ENGAGEMENTS 2026'!B178),"",'ENGAGEMENTS 2026'!AE178)</f>
        <v/>
      </c>
      <c r="I178">
        <f>IF(ISBLANK('ENGAGEMENTS 2026'!B178),"",'ENGAGEMENTS 2026'!G178)</f>
        <v/>
      </c>
      <c r="J178" s="275">
        <f>IF(ISBLANK('ENGAGEMENTS 2026'!B178),"",IF(AND(OR($E178="INFRUCTUEUX",$E178="ANNULE"),$C178="AOO-M"),'ENGAGEMENTS 2026'!O178,IF($H178="EN COURS DE PREENGAGEMENT",'ENGAGEMENTS 2026'!N178,IF($H178="PREENGAGE",IF($E178="ATTRIBUE",'ENGAGEMENTS 2026'!AD178,'ENGAGEMENTS 2026'!N178),'ENGAGEMENTS 2026'!AD178))))</f>
        <v/>
      </c>
      <c r="K178" s="604">
        <f>IF(ISBLANK('ENGAGEMENTS 2026'!V178),"",'ENGAGEMENTS 2026'!V178)</f>
        <v/>
      </c>
      <c r="L178" s="276">
        <f>IF($K178="","",TODAY()-$K178)</f>
        <v/>
      </c>
      <c r="M178">
        <f>IF($A178="","",IF($H178="ENGAGE","Engagé",IF(AND($H178="NON ENGAGE",OR($I178="INFRUCTUEUX",$I178="ANNULE")),"Clôturé sans suite","En cours")))</f>
        <v/>
      </c>
      <c r="N178">
        <f>IF(ISBLANK('ENGAGEMENTS 2026'!B178),"",'ENGAGEMENTS 2026'!K178)</f>
        <v/>
      </c>
      <c r="O178">
        <f>IF(ISBLANK('ENGAGEMENTS 2026'!B178),"",'ENGAGEMENTS 2026'!L178)</f>
        <v/>
      </c>
      <c r="P178">
        <f>IF(ISBLANK('ENGAGEMENTS 2026'!B178),"",'ENGAGEMENTS 2026'!J178)</f>
        <v/>
      </c>
      <c r="Q178">
        <f>IF($A178="","",IF(OR($E178="INFRUCTUEUX",$E178="ANNULE"),$A178&amp;"|"&amp;(COUNTIFS($A$2:$A178,$A178,$E$2:$E178,"INFRUCTUEUX")+COUNTIFS($A$2:$A178,$A178,$E$2:$E178,"ANNULE")),""))</f>
        <v/>
      </c>
    </row>
    <row r="179">
      <c r="A179">
        <f>IF(ISBLANK('ENGAGEMENTS 2026'!B179),"",IF('ENGAGEMENTS 2026'!B179="DTSI","DCT",'ENGAGEMENTS 2026'!B179))</f>
        <v/>
      </c>
      <c r="B179">
        <f>IF(ISBLANK('ENGAGEMENTS 2026'!B179),"",'ENGAGEMENTS 2026'!C179)</f>
        <v/>
      </c>
      <c r="C179">
        <f>IF(ISBLANK('ENGAGEMENTS 2026'!B179),"",'ENGAGEMENTS 2026'!D179)</f>
        <v/>
      </c>
      <c r="D179">
        <f>IF(ISBLANK('ENGAGEMENTS 2026'!B179),"",'ENGAGEMENTS 2026'!F179)</f>
        <v/>
      </c>
      <c r="E179">
        <f>IF(ISBLANK('ENGAGEMENTS 2026'!B179),"",'ENGAGEMENTS 2026'!H179)</f>
        <v/>
      </c>
      <c r="F179">
        <f>IF(ISBLANK('ENGAGEMENTS 2026'!B179),"",'ENGAGEMENTS 2026'!I179)</f>
        <v/>
      </c>
      <c r="G179">
        <f>IF(ISBLANK('ENGAGEMENTS 2026'!B179),"",'ENGAGEMENTS 2026'!L179)</f>
        <v/>
      </c>
      <c r="H179">
        <f>IF(ISBLANK('ENGAGEMENTS 2026'!B179),"",'ENGAGEMENTS 2026'!AE179)</f>
        <v/>
      </c>
      <c r="I179">
        <f>IF(ISBLANK('ENGAGEMENTS 2026'!B179),"",'ENGAGEMENTS 2026'!G179)</f>
        <v/>
      </c>
      <c r="J179" s="275">
        <f>IF(ISBLANK('ENGAGEMENTS 2026'!B179),"",IF(AND(OR($E179="INFRUCTUEUX",$E179="ANNULE"),$C179="AOO-M"),'ENGAGEMENTS 2026'!O179,IF($H179="EN COURS DE PREENGAGEMENT",'ENGAGEMENTS 2026'!N179,IF($H179="PREENGAGE",IF($E179="ATTRIBUE",'ENGAGEMENTS 2026'!AD179,'ENGAGEMENTS 2026'!N179),'ENGAGEMENTS 2026'!AD179))))</f>
        <v/>
      </c>
      <c r="K179" s="604">
        <f>IF(ISBLANK('ENGAGEMENTS 2026'!V179),"",'ENGAGEMENTS 2026'!V179)</f>
        <v/>
      </c>
      <c r="L179" s="276">
        <f>IF($K179="","",TODAY()-$K179)</f>
        <v/>
      </c>
      <c r="M179">
        <f>IF($A179="","",IF($H179="ENGAGE","Engagé",IF(AND($H179="NON ENGAGE",OR($I179="INFRUCTUEUX",$I179="ANNULE")),"Clôturé sans suite","En cours")))</f>
        <v/>
      </c>
      <c r="N179">
        <f>IF(ISBLANK('ENGAGEMENTS 2026'!B179),"",'ENGAGEMENTS 2026'!K179)</f>
        <v/>
      </c>
      <c r="O179">
        <f>IF(ISBLANK('ENGAGEMENTS 2026'!B179),"",'ENGAGEMENTS 2026'!L179)</f>
        <v/>
      </c>
      <c r="P179">
        <f>IF(ISBLANK('ENGAGEMENTS 2026'!B179),"",'ENGAGEMENTS 2026'!J179)</f>
        <v/>
      </c>
      <c r="Q179">
        <f>IF($A179="","",IF(OR($E179="INFRUCTUEUX",$E179="ANNULE"),$A179&amp;"|"&amp;(COUNTIFS($A$2:$A179,$A179,$E$2:$E179,"INFRUCTUEUX")+COUNTIFS($A$2:$A179,$A179,$E$2:$E179,"ANNULE")),""))</f>
        <v/>
      </c>
    </row>
    <row r="180">
      <c r="A180">
        <f>IF(ISBLANK('ENGAGEMENTS 2026'!B180),"",IF('ENGAGEMENTS 2026'!B180="DTSI","DCT",'ENGAGEMENTS 2026'!B180))</f>
        <v/>
      </c>
      <c r="B180">
        <f>IF(ISBLANK('ENGAGEMENTS 2026'!B180),"",'ENGAGEMENTS 2026'!C180)</f>
        <v/>
      </c>
      <c r="C180">
        <f>IF(ISBLANK('ENGAGEMENTS 2026'!B180),"",'ENGAGEMENTS 2026'!D180)</f>
        <v/>
      </c>
      <c r="D180">
        <f>IF(ISBLANK('ENGAGEMENTS 2026'!B180),"",'ENGAGEMENTS 2026'!F180)</f>
        <v/>
      </c>
      <c r="E180">
        <f>IF(ISBLANK('ENGAGEMENTS 2026'!B180),"",'ENGAGEMENTS 2026'!H180)</f>
        <v/>
      </c>
      <c r="F180">
        <f>IF(ISBLANK('ENGAGEMENTS 2026'!B180),"",'ENGAGEMENTS 2026'!I180)</f>
        <v/>
      </c>
      <c r="G180">
        <f>IF(ISBLANK('ENGAGEMENTS 2026'!B180),"",'ENGAGEMENTS 2026'!L180)</f>
        <v/>
      </c>
      <c r="H180">
        <f>IF(ISBLANK('ENGAGEMENTS 2026'!B180),"",'ENGAGEMENTS 2026'!AE180)</f>
        <v/>
      </c>
      <c r="I180">
        <f>IF(ISBLANK('ENGAGEMENTS 2026'!B180),"",'ENGAGEMENTS 2026'!G180)</f>
        <v/>
      </c>
      <c r="J180" s="275">
        <f>IF(ISBLANK('ENGAGEMENTS 2026'!B180),"",IF(AND(OR($E180="INFRUCTUEUX",$E180="ANNULE"),$C180="AOO-M"),'ENGAGEMENTS 2026'!O180,IF($H180="EN COURS DE PREENGAGEMENT",'ENGAGEMENTS 2026'!N180,IF($H180="PREENGAGE",IF($E180="ATTRIBUE",'ENGAGEMENTS 2026'!AD180,'ENGAGEMENTS 2026'!N180),'ENGAGEMENTS 2026'!AD180))))</f>
        <v/>
      </c>
      <c r="K180" s="604">
        <f>IF(ISBLANK('ENGAGEMENTS 2026'!V180),"",'ENGAGEMENTS 2026'!V180)</f>
        <v/>
      </c>
      <c r="L180" s="276">
        <f>IF($K180="","",TODAY()-$K180)</f>
        <v/>
      </c>
      <c r="M180">
        <f>IF($A180="","",IF($H180="ENGAGE","Engagé",IF(AND($H180="NON ENGAGE",OR($I180="INFRUCTUEUX",$I180="ANNULE")),"Clôturé sans suite","En cours")))</f>
        <v/>
      </c>
      <c r="N180">
        <f>IF(ISBLANK('ENGAGEMENTS 2026'!B180),"",'ENGAGEMENTS 2026'!K180)</f>
        <v/>
      </c>
      <c r="O180">
        <f>IF(ISBLANK('ENGAGEMENTS 2026'!B180),"",'ENGAGEMENTS 2026'!L180)</f>
        <v/>
      </c>
      <c r="P180">
        <f>IF(ISBLANK('ENGAGEMENTS 2026'!B180),"",'ENGAGEMENTS 2026'!J180)</f>
        <v/>
      </c>
      <c r="Q180">
        <f>IF($A180="","",IF(OR($E180="INFRUCTUEUX",$E180="ANNULE"),$A180&amp;"|"&amp;(COUNTIFS($A$2:$A180,$A180,$E$2:$E180,"INFRUCTUEUX")+COUNTIFS($A$2:$A180,$A180,$E$2:$E180,"ANNULE")),""))</f>
        <v/>
      </c>
    </row>
    <row r="181">
      <c r="A181">
        <f>IF(ISBLANK('ENGAGEMENTS 2026'!B181),"",IF('ENGAGEMENTS 2026'!B181="DTSI","DCT",'ENGAGEMENTS 2026'!B181))</f>
        <v/>
      </c>
      <c r="B181">
        <f>IF(ISBLANK('ENGAGEMENTS 2026'!B181),"",'ENGAGEMENTS 2026'!C181)</f>
        <v/>
      </c>
      <c r="C181">
        <f>IF(ISBLANK('ENGAGEMENTS 2026'!B181),"",'ENGAGEMENTS 2026'!D181)</f>
        <v/>
      </c>
      <c r="D181">
        <f>IF(ISBLANK('ENGAGEMENTS 2026'!B181),"",'ENGAGEMENTS 2026'!F181)</f>
        <v/>
      </c>
      <c r="E181">
        <f>IF(ISBLANK('ENGAGEMENTS 2026'!B181),"",'ENGAGEMENTS 2026'!H181)</f>
        <v/>
      </c>
      <c r="F181">
        <f>IF(ISBLANK('ENGAGEMENTS 2026'!B181),"",'ENGAGEMENTS 2026'!I181)</f>
        <v/>
      </c>
      <c r="G181">
        <f>IF(ISBLANK('ENGAGEMENTS 2026'!B181),"",'ENGAGEMENTS 2026'!L181)</f>
        <v/>
      </c>
      <c r="H181">
        <f>IF(ISBLANK('ENGAGEMENTS 2026'!B181),"",'ENGAGEMENTS 2026'!AE181)</f>
        <v/>
      </c>
      <c r="I181">
        <f>IF(ISBLANK('ENGAGEMENTS 2026'!B181),"",'ENGAGEMENTS 2026'!G181)</f>
        <v/>
      </c>
      <c r="J181" s="275">
        <f>IF(ISBLANK('ENGAGEMENTS 2026'!B181),"",IF(AND(OR($E181="INFRUCTUEUX",$E181="ANNULE"),$C181="AOO-M"),'ENGAGEMENTS 2026'!O181,IF($H181="EN COURS DE PREENGAGEMENT",'ENGAGEMENTS 2026'!N181,IF($H181="PREENGAGE",IF($E181="ATTRIBUE",'ENGAGEMENTS 2026'!AD181,'ENGAGEMENTS 2026'!N181),'ENGAGEMENTS 2026'!AD181))))</f>
        <v/>
      </c>
      <c r="K181" s="604">
        <f>IF(ISBLANK('ENGAGEMENTS 2026'!V181),"",'ENGAGEMENTS 2026'!V181)</f>
        <v/>
      </c>
      <c r="L181" s="276">
        <f>IF($K181="","",TODAY()-$K181)</f>
        <v/>
      </c>
      <c r="M181">
        <f>IF($A181="","",IF($H181="ENGAGE","Engagé",IF(AND($H181="NON ENGAGE",OR($I181="INFRUCTUEUX",$I181="ANNULE")),"Clôturé sans suite","En cours")))</f>
        <v/>
      </c>
      <c r="N181">
        <f>IF(ISBLANK('ENGAGEMENTS 2026'!B181),"",'ENGAGEMENTS 2026'!K181)</f>
        <v/>
      </c>
      <c r="O181">
        <f>IF(ISBLANK('ENGAGEMENTS 2026'!B181),"",'ENGAGEMENTS 2026'!L181)</f>
        <v/>
      </c>
      <c r="P181">
        <f>IF(ISBLANK('ENGAGEMENTS 2026'!B181),"",'ENGAGEMENTS 2026'!J181)</f>
        <v/>
      </c>
      <c r="Q181">
        <f>IF($A181="","",IF(OR($E181="INFRUCTUEUX",$E181="ANNULE"),$A181&amp;"|"&amp;(COUNTIFS($A$2:$A181,$A181,$E$2:$E181,"INFRUCTUEUX")+COUNTIFS($A$2:$A181,$A181,$E$2:$E181,"ANNULE")),""))</f>
        <v/>
      </c>
    </row>
    <row r="182">
      <c r="A182">
        <f>IF(ISBLANK('ENGAGEMENTS 2026'!B182),"",IF('ENGAGEMENTS 2026'!B182="DTSI","DCT",'ENGAGEMENTS 2026'!B182))</f>
        <v/>
      </c>
      <c r="B182">
        <f>IF(ISBLANK('ENGAGEMENTS 2026'!B182),"",'ENGAGEMENTS 2026'!C182)</f>
        <v/>
      </c>
      <c r="C182">
        <f>IF(ISBLANK('ENGAGEMENTS 2026'!B182),"",'ENGAGEMENTS 2026'!D182)</f>
        <v/>
      </c>
      <c r="D182">
        <f>IF(ISBLANK('ENGAGEMENTS 2026'!B182),"",'ENGAGEMENTS 2026'!F182)</f>
        <v/>
      </c>
      <c r="E182">
        <f>IF(ISBLANK('ENGAGEMENTS 2026'!B182),"",'ENGAGEMENTS 2026'!H182)</f>
        <v/>
      </c>
      <c r="F182">
        <f>IF(ISBLANK('ENGAGEMENTS 2026'!B182),"",'ENGAGEMENTS 2026'!I182)</f>
        <v/>
      </c>
      <c r="G182">
        <f>IF(ISBLANK('ENGAGEMENTS 2026'!B182),"",'ENGAGEMENTS 2026'!L182)</f>
        <v/>
      </c>
      <c r="H182">
        <f>IF(ISBLANK('ENGAGEMENTS 2026'!B182),"",'ENGAGEMENTS 2026'!AE182)</f>
        <v/>
      </c>
      <c r="I182">
        <f>IF(ISBLANK('ENGAGEMENTS 2026'!B182),"",'ENGAGEMENTS 2026'!G182)</f>
        <v/>
      </c>
      <c r="J182" s="275">
        <f>IF(ISBLANK('ENGAGEMENTS 2026'!B182),"",IF(AND(OR($E182="INFRUCTUEUX",$E182="ANNULE"),$C182="AOO-M"),'ENGAGEMENTS 2026'!O182,IF($H182="EN COURS DE PREENGAGEMENT",'ENGAGEMENTS 2026'!N182,IF($H182="PREENGAGE",IF($E182="ATTRIBUE",'ENGAGEMENTS 2026'!AD182,'ENGAGEMENTS 2026'!N182),'ENGAGEMENTS 2026'!AD182))))</f>
        <v/>
      </c>
      <c r="K182" s="604">
        <f>IF(ISBLANK('ENGAGEMENTS 2026'!V182),"",'ENGAGEMENTS 2026'!V182)</f>
        <v/>
      </c>
      <c r="L182" s="276">
        <f>IF($K182="","",TODAY()-$K182)</f>
        <v/>
      </c>
      <c r="M182">
        <f>IF($A182="","",IF($H182="ENGAGE","Engagé",IF(AND($H182="NON ENGAGE",OR($I182="INFRUCTUEUX",$I182="ANNULE")),"Clôturé sans suite","En cours")))</f>
        <v/>
      </c>
      <c r="N182">
        <f>IF(ISBLANK('ENGAGEMENTS 2026'!B182),"",'ENGAGEMENTS 2026'!K182)</f>
        <v/>
      </c>
      <c r="O182">
        <f>IF(ISBLANK('ENGAGEMENTS 2026'!B182),"",'ENGAGEMENTS 2026'!L182)</f>
        <v/>
      </c>
      <c r="P182">
        <f>IF(ISBLANK('ENGAGEMENTS 2026'!B182),"",'ENGAGEMENTS 2026'!J182)</f>
        <v/>
      </c>
      <c r="Q182">
        <f>IF($A182="","",IF(OR($E182="INFRUCTUEUX",$E182="ANNULE"),$A182&amp;"|"&amp;(COUNTIFS($A$2:$A182,$A182,$E$2:$E182,"INFRUCTUEUX")+COUNTIFS($A$2:$A182,$A182,$E$2:$E182,"ANNULE")),""))</f>
        <v/>
      </c>
    </row>
    <row r="183">
      <c r="A183">
        <f>IF(ISBLANK('ENGAGEMENTS 2026'!B183),"",IF('ENGAGEMENTS 2026'!B183="DTSI","DCT",'ENGAGEMENTS 2026'!B183))</f>
        <v/>
      </c>
      <c r="B183">
        <f>IF(ISBLANK('ENGAGEMENTS 2026'!B183),"",'ENGAGEMENTS 2026'!C183)</f>
        <v/>
      </c>
      <c r="C183">
        <f>IF(ISBLANK('ENGAGEMENTS 2026'!B183),"",'ENGAGEMENTS 2026'!D183)</f>
        <v/>
      </c>
      <c r="D183">
        <f>IF(ISBLANK('ENGAGEMENTS 2026'!B183),"",'ENGAGEMENTS 2026'!F183)</f>
        <v/>
      </c>
      <c r="E183">
        <f>IF(ISBLANK('ENGAGEMENTS 2026'!B183),"",'ENGAGEMENTS 2026'!H183)</f>
        <v/>
      </c>
      <c r="F183">
        <f>IF(ISBLANK('ENGAGEMENTS 2026'!B183),"",'ENGAGEMENTS 2026'!I183)</f>
        <v/>
      </c>
      <c r="G183">
        <f>IF(ISBLANK('ENGAGEMENTS 2026'!B183),"",'ENGAGEMENTS 2026'!L183)</f>
        <v/>
      </c>
      <c r="H183">
        <f>IF(ISBLANK('ENGAGEMENTS 2026'!B183),"",'ENGAGEMENTS 2026'!AE183)</f>
        <v/>
      </c>
      <c r="I183">
        <f>IF(ISBLANK('ENGAGEMENTS 2026'!B183),"",'ENGAGEMENTS 2026'!G183)</f>
        <v/>
      </c>
      <c r="J183" s="275">
        <f>IF(ISBLANK('ENGAGEMENTS 2026'!B183),"",IF(AND(OR($E183="INFRUCTUEUX",$E183="ANNULE"),$C183="AOO-M"),'ENGAGEMENTS 2026'!O183,IF($H183="EN COURS DE PREENGAGEMENT",'ENGAGEMENTS 2026'!N183,IF($H183="PREENGAGE",IF($E183="ATTRIBUE",'ENGAGEMENTS 2026'!AD183,'ENGAGEMENTS 2026'!N183),'ENGAGEMENTS 2026'!AD183))))</f>
        <v/>
      </c>
      <c r="K183" s="604">
        <f>IF(ISBLANK('ENGAGEMENTS 2026'!V183),"",'ENGAGEMENTS 2026'!V183)</f>
        <v/>
      </c>
      <c r="L183" s="276">
        <f>IF($K183="","",TODAY()-$K183)</f>
        <v/>
      </c>
      <c r="M183">
        <f>IF($A183="","",IF($H183="ENGAGE","Engagé",IF(AND($H183="NON ENGAGE",OR($I183="INFRUCTUEUX",$I183="ANNULE")),"Clôturé sans suite","En cours")))</f>
        <v/>
      </c>
      <c r="N183">
        <f>IF(ISBLANK('ENGAGEMENTS 2026'!B183),"",'ENGAGEMENTS 2026'!K183)</f>
        <v/>
      </c>
      <c r="O183">
        <f>IF(ISBLANK('ENGAGEMENTS 2026'!B183),"",'ENGAGEMENTS 2026'!L183)</f>
        <v/>
      </c>
      <c r="P183">
        <f>IF(ISBLANK('ENGAGEMENTS 2026'!B183),"",'ENGAGEMENTS 2026'!J183)</f>
        <v/>
      </c>
      <c r="Q183">
        <f>IF($A183="","",IF(OR($E183="INFRUCTUEUX",$E183="ANNULE"),$A183&amp;"|"&amp;(COUNTIFS($A$2:$A183,$A183,$E$2:$E183,"INFRUCTUEUX")+COUNTIFS($A$2:$A183,$A183,$E$2:$E183,"ANNULE")),""))</f>
        <v/>
      </c>
    </row>
    <row r="184">
      <c r="A184">
        <f>IF(ISBLANK('ENGAGEMENTS 2026'!B184),"",IF('ENGAGEMENTS 2026'!B184="DTSI","DCT",'ENGAGEMENTS 2026'!B184))</f>
        <v/>
      </c>
      <c r="B184">
        <f>IF(ISBLANK('ENGAGEMENTS 2026'!B184),"",'ENGAGEMENTS 2026'!C184)</f>
        <v/>
      </c>
      <c r="C184">
        <f>IF(ISBLANK('ENGAGEMENTS 2026'!B184),"",'ENGAGEMENTS 2026'!D184)</f>
        <v/>
      </c>
      <c r="D184">
        <f>IF(ISBLANK('ENGAGEMENTS 2026'!B184),"",'ENGAGEMENTS 2026'!F184)</f>
        <v/>
      </c>
      <c r="E184">
        <f>IF(ISBLANK('ENGAGEMENTS 2026'!B184),"",'ENGAGEMENTS 2026'!H184)</f>
        <v/>
      </c>
      <c r="F184">
        <f>IF(ISBLANK('ENGAGEMENTS 2026'!B184),"",'ENGAGEMENTS 2026'!I184)</f>
        <v/>
      </c>
      <c r="G184">
        <f>IF(ISBLANK('ENGAGEMENTS 2026'!B184),"",'ENGAGEMENTS 2026'!L184)</f>
        <v/>
      </c>
      <c r="H184">
        <f>IF(ISBLANK('ENGAGEMENTS 2026'!B184),"",'ENGAGEMENTS 2026'!AE184)</f>
        <v/>
      </c>
      <c r="I184">
        <f>IF(ISBLANK('ENGAGEMENTS 2026'!B184),"",'ENGAGEMENTS 2026'!G184)</f>
        <v/>
      </c>
      <c r="J184" s="275">
        <f>IF(ISBLANK('ENGAGEMENTS 2026'!B184),"",IF(AND(OR($E184="INFRUCTUEUX",$E184="ANNULE"),$C184="AOO-M"),'ENGAGEMENTS 2026'!O184,IF($H184="EN COURS DE PREENGAGEMENT",'ENGAGEMENTS 2026'!N184,IF($H184="PREENGAGE",IF($E184="ATTRIBUE",'ENGAGEMENTS 2026'!AD184,'ENGAGEMENTS 2026'!N184),'ENGAGEMENTS 2026'!AD184))))</f>
        <v/>
      </c>
      <c r="K184" s="604">
        <f>IF(ISBLANK('ENGAGEMENTS 2026'!V184),"",'ENGAGEMENTS 2026'!V184)</f>
        <v/>
      </c>
      <c r="L184" s="276">
        <f>IF($K184="","",TODAY()-$K184)</f>
        <v/>
      </c>
      <c r="M184">
        <f>IF($A184="","",IF($H184="ENGAGE","Engagé",IF(AND($H184="NON ENGAGE",OR($I184="INFRUCTUEUX",$I184="ANNULE")),"Clôturé sans suite","En cours")))</f>
        <v/>
      </c>
      <c r="N184">
        <f>IF(ISBLANK('ENGAGEMENTS 2026'!B184),"",'ENGAGEMENTS 2026'!K184)</f>
        <v/>
      </c>
      <c r="O184">
        <f>IF(ISBLANK('ENGAGEMENTS 2026'!B184),"",'ENGAGEMENTS 2026'!L184)</f>
        <v/>
      </c>
      <c r="P184">
        <f>IF(ISBLANK('ENGAGEMENTS 2026'!B184),"",'ENGAGEMENTS 2026'!J184)</f>
        <v/>
      </c>
      <c r="Q184">
        <f>IF($A184="","",IF(OR($E184="INFRUCTUEUX",$E184="ANNULE"),$A184&amp;"|"&amp;(COUNTIFS($A$2:$A184,$A184,$E$2:$E184,"INFRUCTUEUX")+COUNTIFS($A$2:$A184,$A184,$E$2:$E184,"ANNULE")),""))</f>
        <v/>
      </c>
    </row>
    <row r="185">
      <c r="A185">
        <f>IF(ISBLANK('ENGAGEMENTS 2026'!B185),"",IF('ENGAGEMENTS 2026'!B185="DTSI","DCT",'ENGAGEMENTS 2026'!B185))</f>
        <v/>
      </c>
      <c r="B185">
        <f>IF(ISBLANK('ENGAGEMENTS 2026'!B185),"",'ENGAGEMENTS 2026'!C185)</f>
        <v/>
      </c>
      <c r="C185">
        <f>IF(ISBLANK('ENGAGEMENTS 2026'!B185),"",'ENGAGEMENTS 2026'!D185)</f>
        <v/>
      </c>
      <c r="D185">
        <f>IF(ISBLANK('ENGAGEMENTS 2026'!B185),"",'ENGAGEMENTS 2026'!F185)</f>
        <v/>
      </c>
      <c r="E185">
        <f>IF(ISBLANK('ENGAGEMENTS 2026'!B185),"",'ENGAGEMENTS 2026'!H185)</f>
        <v/>
      </c>
      <c r="F185">
        <f>IF(ISBLANK('ENGAGEMENTS 2026'!B185),"",'ENGAGEMENTS 2026'!I185)</f>
        <v/>
      </c>
      <c r="G185">
        <f>IF(ISBLANK('ENGAGEMENTS 2026'!B185),"",'ENGAGEMENTS 2026'!L185)</f>
        <v/>
      </c>
      <c r="H185">
        <f>IF(ISBLANK('ENGAGEMENTS 2026'!B185),"",'ENGAGEMENTS 2026'!AE185)</f>
        <v/>
      </c>
      <c r="I185">
        <f>IF(ISBLANK('ENGAGEMENTS 2026'!B185),"",'ENGAGEMENTS 2026'!G185)</f>
        <v/>
      </c>
      <c r="J185" s="275">
        <f>IF(ISBLANK('ENGAGEMENTS 2026'!B185),"",IF(AND(OR($E185="INFRUCTUEUX",$E185="ANNULE"),$C185="AOO-M"),'ENGAGEMENTS 2026'!O185,IF($H185="EN COURS DE PREENGAGEMENT",'ENGAGEMENTS 2026'!N185,IF($H185="PREENGAGE",IF($E185="ATTRIBUE",'ENGAGEMENTS 2026'!AD185,'ENGAGEMENTS 2026'!N185),'ENGAGEMENTS 2026'!AD185))))</f>
        <v/>
      </c>
      <c r="K185" s="604">
        <f>IF(ISBLANK('ENGAGEMENTS 2026'!V185),"",'ENGAGEMENTS 2026'!V185)</f>
        <v/>
      </c>
      <c r="L185" s="276">
        <f>IF($K185="","",TODAY()-$K185)</f>
        <v/>
      </c>
      <c r="M185">
        <f>IF($A185="","",IF($H185="ENGAGE","Engagé",IF(AND($H185="NON ENGAGE",OR($I185="INFRUCTUEUX",$I185="ANNULE")),"Clôturé sans suite","En cours")))</f>
        <v/>
      </c>
      <c r="N185">
        <f>IF(ISBLANK('ENGAGEMENTS 2026'!B185),"",'ENGAGEMENTS 2026'!K185)</f>
        <v/>
      </c>
      <c r="O185">
        <f>IF(ISBLANK('ENGAGEMENTS 2026'!B185),"",'ENGAGEMENTS 2026'!L185)</f>
        <v/>
      </c>
      <c r="P185">
        <f>IF(ISBLANK('ENGAGEMENTS 2026'!B185),"",'ENGAGEMENTS 2026'!J185)</f>
        <v/>
      </c>
      <c r="Q185">
        <f>IF($A185="","",IF(OR($E185="INFRUCTUEUX",$E185="ANNULE"),$A185&amp;"|"&amp;(COUNTIFS($A$2:$A185,$A185,$E$2:$E185,"INFRUCTUEUX")+COUNTIFS($A$2:$A185,$A185,$E$2:$E185,"ANNULE")),""))</f>
        <v/>
      </c>
    </row>
    <row r="186">
      <c r="A186">
        <f>IF(ISBLANK('ENGAGEMENTS 2026'!B186),"",IF('ENGAGEMENTS 2026'!B186="DTSI","DCT",'ENGAGEMENTS 2026'!B186))</f>
        <v/>
      </c>
      <c r="B186">
        <f>IF(ISBLANK('ENGAGEMENTS 2026'!B186),"",'ENGAGEMENTS 2026'!C186)</f>
        <v/>
      </c>
      <c r="C186">
        <f>IF(ISBLANK('ENGAGEMENTS 2026'!B186),"",'ENGAGEMENTS 2026'!D186)</f>
        <v/>
      </c>
      <c r="D186">
        <f>IF(ISBLANK('ENGAGEMENTS 2026'!B186),"",'ENGAGEMENTS 2026'!F186)</f>
        <v/>
      </c>
      <c r="E186">
        <f>IF(ISBLANK('ENGAGEMENTS 2026'!B186),"",'ENGAGEMENTS 2026'!H186)</f>
        <v/>
      </c>
      <c r="F186">
        <f>IF(ISBLANK('ENGAGEMENTS 2026'!B186),"",'ENGAGEMENTS 2026'!I186)</f>
        <v/>
      </c>
      <c r="G186">
        <f>IF(ISBLANK('ENGAGEMENTS 2026'!B186),"",'ENGAGEMENTS 2026'!L186)</f>
        <v/>
      </c>
      <c r="H186">
        <f>IF(ISBLANK('ENGAGEMENTS 2026'!B186),"",'ENGAGEMENTS 2026'!AE186)</f>
        <v/>
      </c>
      <c r="I186">
        <f>IF(ISBLANK('ENGAGEMENTS 2026'!B186),"",'ENGAGEMENTS 2026'!G186)</f>
        <v/>
      </c>
      <c r="J186" s="275">
        <f>IF(ISBLANK('ENGAGEMENTS 2026'!B186),"",IF(AND(OR($E186="INFRUCTUEUX",$E186="ANNULE"),$C186="AOO-M"),'ENGAGEMENTS 2026'!O186,IF($H186="EN COURS DE PREENGAGEMENT",'ENGAGEMENTS 2026'!N186,IF($H186="PREENGAGE",IF($E186="ATTRIBUE",'ENGAGEMENTS 2026'!AD186,'ENGAGEMENTS 2026'!N186),'ENGAGEMENTS 2026'!AD186))))</f>
        <v/>
      </c>
      <c r="K186" s="604">
        <f>IF(ISBLANK('ENGAGEMENTS 2026'!V186),"",'ENGAGEMENTS 2026'!V186)</f>
        <v/>
      </c>
      <c r="L186" s="276">
        <f>IF($K186="","",TODAY()-$K186)</f>
        <v/>
      </c>
      <c r="M186">
        <f>IF($A186="","",IF($H186="ENGAGE","Engagé",IF(AND($H186="NON ENGAGE",OR($I186="INFRUCTUEUX",$I186="ANNULE")),"Clôturé sans suite","En cours")))</f>
        <v/>
      </c>
      <c r="N186">
        <f>IF(ISBLANK('ENGAGEMENTS 2026'!B186),"",'ENGAGEMENTS 2026'!K186)</f>
        <v/>
      </c>
      <c r="O186">
        <f>IF(ISBLANK('ENGAGEMENTS 2026'!B186),"",'ENGAGEMENTS 2026'!L186)</f>
        <v/>
      </c>
      <c r="P186">
        <f>IF(ISBLANK('ENGAGEMENTS 2026'!B186),"",'ENGAGEMENTS 2026'!J186)</f>
        <v/>
      </c>
      <c r="Q186">
        <f>IF($A186="","",IF(OR($E186="INFRUCTUEUX",$E186="ANNULE"),$A186&amp;"|"&amp;(COUNTIFS($A$2:$A186,$A186,$E$2:$E186,"INFRUCTUEUX")+COUNTIFS($A$2:$A186,$A186,$E$2:$E186,"ANNULE")),""))</f>
        <v/>
      </c>
    </row>
    <row r="187">
      <c r="A187">
        <f>IF(ISBLANK('ENGAGEMENTS 2026'!B187),"",IF('ENGAGEMENTS 2026'!B187="DTSI","DCT",'ENGAGEMENTS 2026'!B187))</f>
        <v/>
      </c>
      <c r="B187">
        <f>IF(ISBLANK('ENGAGEMENTS 2026'!B187),"",'ENGAGEMENTS 2026'!C187)</f>
        <v/>
      </c>
      <c r="C187">
        <f>IF(ISBLANK('ENGAGEMENTS 2026'!B187),"",'ENGAGEMENTS 2026'!D187)</f>
        <v/>
      </c>
      <c r="D187">
        <f>IF(ISBLANK('ENGAGEMENTS 2026'!B187),"",'ENGAGEMENTS 2026'!F187)</f>
        <v/>
      </c>
      <c r="E187">
        <f>IF(ISBLANK('ENGAGEMENTS 2026'!B187),"",'ENGAGEMENTS 2026'!H187)</f>
        <v/>
      </c>
      <c r="F187">
        <f>IF(ISBLANK('ENGAGEMENTS 2026'!B187),"",'ENGAGEMENTS 2026'!I187)</f>
        <v/>
      </c>
      <c r="G187">
        <f>IF(ISBLANK('ENGAGEMENTS 2026'!B187),"",'ENGAGEMENTS 2026'!L187)</f>
        <v/>
      </c>
      <c r="H187">
        <f>IF(ISBLANK('ENGAGEMENTS 2026'!B187),"",'ENGAGEMENTS 2026'!AE187)</f>
        <v/>
      </c>
      <c r="I187">
        <f>IF(ISBLANK('ENGAGEMENTS 2026'!B187),"",'ENGAGEMENTS 2026'!G187)</f>
        <v/>
      </c>
      <c r="J187" s="275">
        <f>IF(ISBLANK('ENGAGEMENTS 2026'!B187),"",IF(AND(OR($E187="INFRUCTUEUX",$E187="ANNULE"),$C187="AOO-M"),'ENGAGEMENTS 2026'!O187,IF($H187="EN COURS DE PREENGAGEMENT",'ENGAGEMENTS 2026'!N187,IF($H187="PREENGAGE",IF($E187="ATTRIBUE",'ENGAGEMENTS 2026'!AD187,'ENGAGEMENTS 2026'!N187),'ENGAGEMENTS 2026'!AD187))))</f>
        <v/>
      </c>
      <c r="K187" s="604">
        <f>IF(ISBLANK('ENGAGEMENTS 2026'!V187),"",'ENGAGEMENTS 2026'!V187)</f>
        <v/>
      </c>
      <c r="L187" s="276">
        <f>IF($K187="","",TODAY()-$K187)</f>
        <v/>
      </c>
      <c r="M187">
        <f>IF($A187="","",IF($H187="ENGAGE","Engagé",IF(AND($H187="NON ENGAGE",OR($I187="INFRUCTUEUX",$I187="ANNULE")),"Clôturé sans suite","En cours")))</f>
        <v/>
      </c>
      <c r="N187">
        <f>IF(ISBLANK('ENGAGEMENTS 2026'!B187),"",'ENGAGEMENTS 2026'!K187)</f>
        <v/>
      </c>
      <c r="O187">
        <f>IF(ISBLANK('ENGAGEMENTS 2026'!B187),"",'ENGAGEMENTS 2026'!L187)</f>
        <v/>
      </c>
      <c r="P187">
        <f>IF(ISBLANK('ENGAGEMENTS 2026'!B187),"",'ENGAGEMENTS 2026'!J187)</f>
        <v/>
      </c>
      <c r="Q187">
        <f>IF($A187="","",IF(OR($E187="INFRUCTUEUX",$E187="ANNULE"),$A187&amp;"|"&amp;(COUNTIFS($A$2:$A187,$A187,$E$2:$E187,"INFRUCTUEUX")+COUNTIFS($A$2:$A187,$A187,$E$2:$E187,"ANNULE")),""))</f>
        <v/>
      </c>
    </row>
    <row r="188">
      <c r="A188">
        <f>IF(ISBLANK('ENGAGEMENTS 2026'!B188),"",IF('ENGAGEMENTS 2026'!B188="DTSI","DCT",'ENGAGEMENTS 2026'!B188))</f>
        <v/>
      </c>
      <c r="B188">
        <f>IF(ISBLANK('ENGAGEMENTS 2026'!B188),"",'ENGAGEMENTS 2026'!C188)</f>
        <v/>
      </c>
      <c r="C188">
        <f>IF(ISBLANK('ENGAGEMENTS 2026'!B188),"",'ENGAGEMENTS 2026'!D188)</f>
        <v/>
      </c>
      <c r="D188">
        <f>IF(ISBLANK('ENGAGEMENTS 2026'!B188),"",'ENGAGEMENTS 2026'!F188)</f>
        <v/>
      </c>
      <c r="E188">
        <f>IF(ISBLANK('ENGAGEMENTS 2026'!B188),"",'ENGAGEMENTS 2026'!H188)</f>
        <v/>
      </c>
      <c r="F188">
        <f>IF(ISBLANK('ENGAGEMENTS 2026'!B188),"",'ENGAGEMENTS 2026'!I188)</f>
        <v/>
      </c>
      <c r="G188">
        <f>IF(ISBLANK('ENGAGEMENTS 2026'!B188),"",'ENGAGEMENTS 2026'!L188)</f>
        <v/>
      </c>
      <c r="H188">
        <f>IF(ISBLANK('ENGAGEMENTS 2026'!B188),"",'ENGAGEMENTS 2026'!AE188)</f>
        <v/>
      </c>
      <c r="I188">
        <f>IF(ISBLANK('ENGAGEMENTS 2026'!B188),"",'ENGAGEMENTS 2026'!G188)</f>
        <v/>
      </c>
      <c r="J188" s="275">
        <f>IF(ISBLANK('ENGAGEMENTS 2026'!B188),"",IF(AND(OR($E188="INFRUCTUEUX",$E188="ANNULE"),$C188="AOO-M"),'ENGAGEMENTS 2026'!O188,IF($H188="EN COURS DE PREENGAGEMENT",'ENGAGEMENTS 2026'!N188,IF($H188="PREENGAGE",IF($E188="ATTRIBUE",'ENGAGEMENTS 2026'!AD188,'ENGAGEMENTS 2026'!N188),'ENGAGEMENTS 2026'!AD188))))</f>
        <v/>
      </c>
      <c r="K188" s="604">
        <f>IF(ISBLANK('ENGAGEMENTS 2026'!V188),"",'ENGAGEMENTS 2026'!V188)</f>
        <v/>
      </c>
      <c r="L188" s="276">
        <f>IF($K188="","",TODAY()-$K188)</f>
        <v/>
      </c>
      <c r="M188">
        <f>IF($A188="","",IF($H188="ENGAGE","Engagé",IF(AND($H188="NON ENGAGE",OR($I188="INFRUCTUEUX",$I188="ANNULE")),"Clôturé sans suite","En cours")))</f>
        <v/>
      </c>
      <c r="N188">
        <f>IF(ISBLANK('ENGAGEMENTS 2026'!B188),"",'ENGAGEMENTS 2026'!K188)</f>
        <v/>
      </c>
      <c r="O188">
        <f>IF(ISBLANK('ENGAGEMENTS 2026'!B188),"",'ENGAGEMENTS 2026'!L188)</f>
        <v/>
      </c>
      <c r="P188">
        <f>IF(ISBLANK('ENGAGEMENTS 2026'!B188),"",'ENGAGEMENTS 2026'!J188)</f>
        <v/>
      </c>
      <c r="Q188">
        <f>IF($A188="","",IF(OR($E188="INFRUCTUEUX",$E188="ANNULE"),$A188&amp;"|"&amp;(COUNTIFS($A$2:$A188,$A188,$E$2:$E188,"INFRUCTUEUX")+COUNTIFS($A$2:$A188,$A188,$E$2:$E188,"ANNULE")),""))</f>
        <v/>
      </c>
    </row>
    <row r="189">
      <c r="A189">
        <f>IF(ISBLANK('ENGAGEMENTS 2026'!B189),"",IF('ENGAGEMENTS 2026'!B189="DTSI","DCT",'ENGAGEMENTS 2026'!B189))</f>
        <v/>
      </c>
      <c r="B189">
        <f>IF(ISBLANK('ENGAGEMENTS 2026'!B189),"",'ENGAGEMENTS 2026'!C189)</f>
        <v/>
      </c>
      <c r="C189">
        <f>IF(ISBLANK('ENGAGEMENTS 2026'!B189),"",'ENGAGEMENTS 2026'!D189)</f>
        <v/>
      </c>
      <c r="D189">
        <f>IF(ISBLANK('ENGAGEMENTS 2026'!B189),"",'ENGAGEMENTS 2026'!F189)</f>
        <v/>
      </c>
      <c r="E189">
        <f>IF(ISBLANK('ENGAGEMENTS 2026'!B189),"",'ENGAGEMENTS 2026'!H189)</f>
        <v/>
      </c>
      <c r="F189">
        <f>IF(ISBLANK('ENGAGEMENTS 2026'!B189),"",'ENGAGEMENTS 2026'!I189)</f>
        <v/>
      </c>
      <c r="G189">
        <f>IF(ISBLANK('ENGAGEMENTS 2026'!B189),"",'ENGAGEMENTS 2026'!L189)</f>
        <v/>
      </c>
      <c r="H189">
        <f>IF(ISBLANK('ENGAGEMENTS 2026'!B189),"",'ENGAGEMENTS 2026'!AE189)</f>
        <v/>
      </c>
      <c r="I189">
        <f>IF(ISBLANK('ENGAGEMENTS 2026'!B189),"",'ENGAGEMENTS 2026'!G189)</f>
        <v/>
      </c>
      <c r="J189" s="275">
        <f>IF(ISBLANK('ENGAGEMENTS 2026'!B189),"",IF(AND(OR($E189="INFRUCTUEUX",$E189="ANNULE"),$C189="AOO-M"),'ENGAGEMENTS 2026'!O189,IF($H189="EN COURS DE PREENGAGEMENT",'ENGAGEMENTS 2026'!N189,IF($H189="PREENGAGE",IF($E189="ATTRIBUE",'ENGAGEMENTS 2026'!AD189,'ENGAGEMENTS 2026'!N189),'ENGAGEMENTS 2026'!AD189))))</f>
        <v/>
      </c>
      <c r="K189" s="604">
        <f>IF(ISBLANK('ENGAGEMENTS 2026'!V189),"",'ENGAGEMENTS 2026'!V189)</f>
        <v/>
      </c>
      <c r="L189" s="276">
        <f>IF($K189="","",TODAY()-$K189)</f>
        <v/>
      </c>
      <c r="M189">
        <f>IF($A189="","",IF($H189="ENGAGE","Engagé",IF(AND($H189="NON ENGAGE",OR($I189="INFRUCTUEUX",$I189="ANNULE")),"Clôturé sans suite","En cours")))</f>
        <v/>
      </c>
      <c r="N189">
        <f>IF(ISBLANK('ENGAGEMENTS 2026'!B189),"",'ENGAGEMENTS 2026'!K189)</f>
        <v/>
      </c>
      <c r="O189">
        <f>IF(ISBLANK('ENGAGEMENTS 2026'!B189),"",'ENGAGEMENTS 2026'!L189)</f>
        <v/>
      </c>
      <c r="P189">
        <f>IF(ISBLANK('ENGAGEMENTS 2026'!B189),"",'ENGAGEMENTS 2026'!J189)</f>
        <v/>
      </c>
      <c r="Q189">
        <f>IF($A189="","",IF(OR($E189="INFRUCTUEUX",$E189="ANNULE"),$A189&amp;"|"&amp;(COUNTIFS($A$2:$A189,$A189,$E$2:$E189,"INFRUCTUEUX")+COUNTIFS($A$2:$A189,$A189,$E$2:$E189,"ANNULE")),""))</f>
        <v/>
      </c>
    </row>
    <row r="190">
      <c r="A190">
        <f>IF(ISBLANK('ENGAGEMENTS 2026'!B190),"",IF('ENGAGEMENTS 2026'!B190="DTSI","DCT",'ENGAGEMENTS 2026'!B190))</f>
        <v/>
      </c>
      <c r="B190">
        <f>IF(ISBLANK('ENGAGEMENTS 2026'!B190),"",'ENGAGEMENTS 2026'!C190)</f>
        <v/>
      </c>
      <c r="C190">
        <f>IF(ISBLANK('ENGAGEMENTS 2026'!B190),"",'ENGAGEMENTS 2026'!D190)</f>
        <v/>
      </c>
      <c r="D190">
        <f>IF(ISBLANK('ENGAGEMENTS 2026'!B190),"",'ENGAGEMENTS 2026'!F190)</f>
        <v/>
      </c>
      <c r="E190">
        <f>IF(ISBLANK('ENGAGEMENTS 2026'!B190),"",'ENGAGEMENTS 2026'!H190)</f>
        <v/>
      </c>
      <c r="F190">
        <f>IF(ISBLANK('ENGAGEMENTS 2026'!B190),"",'ENGAGEMENTS 2026'!I190)</f>
        <v/>
      </c>
      <c r="G190">
        <f>IF(ISBLANK('ENGAGEMENTS 2026'!B190),"",'ENGAGEMENTS 2026'!L190)</f>
        <v/>
      </c>
      <c r="H190">
        <f>IF(ISBLANK('ENGAGEMENTS 2026'!B190),"",'ENGAGEMENTS 2026'!AE190)</f>
        <v/>
      </c>
      <c r="I190">
        <f>IF(ISBLANK('ENGAGEMENTS 2026'!B190),"",'ENGAGEMENTS 2026'!G190)</f>
        <v/>
      </c>
      <c r="J190" s="275">
        <f>IF(ISBLANK('ENGAGEMENTS 2026'!B190),"",IF(AND(OR($E190="INFRUCTUEUX",$E190="ANNULE"),$C190="AOO-M"),'ENGAGEMENTS 2026'!O190,IF($H190="EN COURS DE PREENGAGEMENT",'ENGAGEMENTS 2026'!N190,IF($H190="PREENGAGE",IF($E190="ATTRIBUE",'ENGAGEMENTS 2026'!AD190,'ENGAGEMENTS 2026'!N190),'ENGAGEMENTS 2026'!AD190))))</f>
        <v/>
      </c>
      <c r="K190" s="604">
        <f>IF(ISBLANK('ENGAGEMENTS 2026'!V190),"",'ENGAGEMENTS 2026'!V190)</f>
        <v/>
      </c>
      <c r="L190" s="276">
        <f>IF($K190="","",TODAY()-$K190)</f>
        <v/>
      </c>
      <c r="M190">
        <f>IF($A190="","",IF($H190="ENGAGE","Engagé",IF(AND($H190="NON ENGAGE",OR($I190="INFRUCTUEUX",$I190="ANNULE")),"Clôturé sans suite","En cours")))</f>
        <v/>
      </c>
      <c r="N190">
        <f>IF(ISBLANK('ENGAGEMENTS 2026'!B190),"",'ENGAGEMENTS 2026'!K190)</f>
        <v/>
      </c>
      <c r="O190">
        <f>IF(ISBLANK('ENGAGEMENTS 2026'!B190),"",'ENGAGEMENTS 2026'!L190)</f>
        <v/>
      </c>
      <c r="P190">
        <f>IF(ISBLANK('ENGAGEMENTS 2026'!B190),"",'ENGAGEMENTS 2026'!J190)</f>
        <v/>
      </c>
      <c r="Q190">
        <f>IF($A190="","",IF(OR($E190="INFRUCTUEUX",$E190="ANNULE"),$A190&amp;"|"&amp;(COUNTIFS($A$2:$A190,$A190,$E$2:$E190,"INFRUCTUEUX")+COUNTIFS($A$2:$A190,$A190,$E$2:$E190,"ANNULE")),""))</f>
        <v/>
      </c>
    </row>
    <row r="191">
      <c r="A191">
        <f>IF(ISBLANK('ENGAGEMENTS 2026'!B191),"",IF('ENGAGEMENTS 2026'!B191="DTSI","DCT",'ENGAGEMENTS 2026'!B191))</f>
        <v/>
      </c>
      <c r="B191">
        <f>IF(ISBLANK('ENGAGEMENTS 2026'!B191),"",'ENGAGEMENTS 2026'!C191)</f>
        <v/>
      </c>
      <c r="C191">
        <f>IF(ISBLANK('ENGAGEMENTS 2026'!B191),"",'ENGAGEMENTS 2026'!D191)</f>
        <v/>
      </c>
      <c r="D191">
        <f>IF(ISBLANK('ENGAGEMENTS 2026'!B191),"",'ENGAGEMENTS 2026'!F191)</f>
        <v/>
      </c>
      <c r="E191">
        <f>IF(ISBLANK('ENGAGEMENTS 2026'!B191),"",'ENGAGEMENTS 2026'!H191)</f>
        <v/>
      </c>
      <c r="F191">
        <f>IF(ISBLANK('ENGAGEMENTS 2026'!B191),"",'ENGAGEMENTS 2026'!I191)</f>
        <v/>
      </c>
      <c r="G191">
        <f>IF(ISBLANK('ENGAGEMENTS 2026'!B191),"",'ENGAGEMENTS 2026'!L191)</f>
        <v/>
      </c>
      <c r="H191">
        <f>IF(ISBLANK('ENGAGEMENTS 2026'!B191),"",'ENGAGEMENTS 2026'!AE191)</f>
        <v/>
      </c>
      <c r="I191">
        <f>IF(ISBLANK('ENGAGEMENTS 2026'!B191),"",'ENGAGEMENTS 2026'!G191)</f>
        <v/>
      </c>
      <c r="J191" s="275">
        <f>IF(ISBLANK('ENGAGEMENTS 2026'!B191),"",IF(AND(OR($E191="INFRUCTUEUX",$E191="ANNULE"),$C191="AOO-M"),'ENGAGEMENTS 2026'!O191,IF($H191="EN COURS DE PREENGAGEMENT",'ENGAGEMENTS 2026'!N191,IF($H191="PREENGAGE",IF($E191="ATTRIBUE",'ENGAGEMENTS 2026'!AD191,'ENGAGEMENTS 2026'!N191),'ENGAGEMENTS 2026'!AD191))))</f>
        <v/>
      </c>
      <c r="K191" s="604">
        <f>IF(ISBLANK('ENGAGEMENTS 2026'!V191),"",'ENGAGEMENTS 2026'!V191)</f>
        <v/>
      </c>
      <c r="L191" s="276">
        <f>IF($K191="","",TODAY()-$K191)</f>
        <v/>
      </c>
      <c r="M191">
        <f>IF($A191="","",IF($H191="ENGAGE","Engagé",IF(AND($H191="NON ENGAGE",OR($I191="INFRUCTUEUX",$I191="ANNULE")),"Clôturé sans suite","En cours")))</f>
        <v/>
      </c>
      <c r="N191">
        <f>IF(ISBLANK('ENGAGEMENTS 2026'!B191),"",'ENGAGEMENTS 2026'!K191)</f>
        <v/>
      </c>
      <c r="O191">
        <f>IF(ISBLANK('ENGAGEMENTS 2026'!B191),"",'ENGAGEMENTS 2026'!L191)</f>
        <v/>
      </c>
      <c r="P191">
        <f>IF(ISBLANK('ENGAGEMENTS 2026'!B191),"",'ENGAGEMENTS 2026'!J191)</f>
        <v/>
      </c>
      <c r="Q191">
        <f>IF($A191="","",IF(OR($E191="INFRUCTUEUX",$E191="ANNULE"),$A191&amp;"|"&amp;(COUNTIFS($A$2:$A191,$A191,$E$2:$E191,"INFRUCTUEUX")+COUNTIFS($A$2:$A191,$A191,$E$2:$E191,"ANNULE")),""))</f>
        <v/>
      </c>
    </row>
    <row r="192">
      <c r="A192">
        <f>IF(ISBLANK('ENGAGEMENTS 2026'!B192),"",IF('ENGAGEMENTS 2026'!B192="DTSI","DCT",'ENGAGEMENTS 2026'!B192))</f>
        <v/>
      </c>
      <c r="B192">
        <f>IF(ISBLANK('ENGAGEMENTS 2026'!B192),"",'ENGAGEMENTS 2026'!C192)</f>
        <v/>
      </c>
      <c r="C192">
        <f>IF(ISBLANK('ENGAGEMENTS 2026'!B192),"",'ENGAGEMENTS 2026'!D192)</f>
        <v/>
      </c>
      <c r="D192">
        <f>IF(ISBLANK('ENGAGEMENTS 2026'!B192),"",'ENGAGEMENTS 2026'!F192)</f>
        <v/>
      </c>
      <c r="E192">
        <f>IF(ISBLANK('ENGAGEMENTS 2026'!B192),"",'ENGAGEMENTS 2026'!H192)</f>
        <v/>
      </c>
      <c r="F192">
        <f>IF(ISBLANK('ENGAGEMENTS 2026'!B192),"",'ENGAGEMENTS 2026'!I192)</f>
        <v/>
      </c>
      <c r="G192">
        <f>IF(ISBLANK('ENGAGEMENTS 2026'!B192),"",'ENGAGEMENTS 2026'!L192)</f>
        <v/>
      </c>
      <c r="H192">
        <f>IF(ISBLANK('ENGAGEMENTS 2026'!B192),"",'ENGAGEMENTS 2026'!AE192)</f>
        <v/>
      </c>
      <c r="I192">
        <f>IF(ISBLANK('ENGAGEMENTS 2026'!B192),"",'ENGAGEMENTS 2026'!G192)</f>
        <v/>
      </c>
      <c r="J192" s="275">
        <f>IF(ISBLANK('ENGAGEMENTS 2026'!B192),"",IF(AND(OR($E192="INFRUCTUEUX",$E192="ANNULE"),$C192="AOO-M"),'ENGAGEMENTS 2026'!O192,IF($H192="EN COURS DE PREENGAGEMENT",'ENGAGEMENTS 2026'!N192,IF($H192="PREENGAGE",IF($E192="ATTRIBUE",'ENGAGEMENTS 2026'!AD192,'ENGAGEMENTS 2026'!N192),'ENGAGEMENTS 2026'!AD192))))</f>
        <v/>
      </c>
      <c r="K192" s="604">
        <f>IF(ISBLANK('ENGAGEMENTS 2026'!V192),"",'ENGAGEMENTS 2026'!V192)</f>
        <v/>
      </c>
      <c r="L192" s="276">
        <f>IF($K192="","",TODAY()-$K192)</f>
        <v/>
      </c>
      <c r="M192">
        <f>IF($A192="","",IF($H192="ENGAGE","Engagé",IF(AND($H192="NON ENGAGE",OR($I192="INFRUCTUEUX",$I192="ANNULE")),"Clôturé sans suite","En cours")))</f>
        <v/>
      </c>
      <c r="N192">
        <f>IF(ISBLANK('ENGAGEMENTS 2026'!B192),"",'ENGAGEMENTS 2026'!K192)</f>
        <v/>
      </c>
      <c r="O192">
        <f>IF(ISBLANK('ENGAGEMENTS 2026'!B192),"",'ENGAGEMENTS 2026'!L192)</f>
        <v/>
      </c>
      <c r="P192">
        <f>IF(ISBLANK('ENGAGEMENTS 2026'!B192),"",'ENGAGEMENTS 2026'!J192)</f>
        <v/>
      </c>
      <c r="Q192">
        <f>IF($A192="","",IF(OR($E192="INFRUCTUEUX",$E192="ANNULE"),$A192&amp;"|"&amp;(COUNTIFS($A$2:$A192,$A192,$E$2:$E192,"INFRUCTUEUX")+COUNTIFS($A$2:$A192,$A192,$E$2:$E192,"ANNULE")),""))</f>
        <v/>
      </c>
    </row>
    <row r="193">
      <c r="A193">
        <f>IF(ISBLANK('ENGAGEMENTS 2026'!B193),"",IF('ENGAGEMENTS 2026'!B193="DTSI","DCT",'ENGAGEMENTS 2026'!B193))</f>
        <v/>
      </c>
      <c r="B193">
        <f>IF(ISBLANK('ENGAGEMENTS 2026'!B193),"",'ENGAGEMENTS 2026'!C193)</f>
        <v/>
      </c>
      <c r="C193">
        <f>IF(ISBLANK('ENGAGEMENTS 2026'!B193),"",'ENGAGEMENTS 2026'!D193)</f>
        <v/>
      </c>
      <c r="D193">
        <f>IF(ISBLANK('ENGAGEMENTS 2026'!B193),"",'ENGAGEMENTS 2026'!F193)</f>
        <v/>
      </c>
      <c r="E193">
        <f>IF(ISBLANK('ENGAGEMENTS 2026'!B193),"",'ENGAGEMENTS 2026'!H193)</f>
        <v/>
      </c>
      <c r="F193">
        <f>IF(ISBLANK('ENGAGEMENTS 2026'!B193),"",'ENGAGEMENTS 2026'!I193)</f>
        <v/>
      </c>
      <c r="G193">
        <f>IF(ISBLANK('ENGAGEMENTS 2026'!B193),"",'ENGAGEMENTS 2026'!L193)</f>
        <v/>
      </c>
      <c r="H193">
        <f>IF(ISBLANK('ENGAGEMENTS 2026'!B193),"",'ENGAGEMENTS 2026'!AE193)</f>
        <v/>
      </c>
      <c r="I193">
        <f>IF(ISBLANK('ENGAGEMENTS 2026'!B193),"",'ENGAGEMENTS 2026'!G193)</f>
        <v/>
      </c>
      <c r="J193" s="275">
        <f>IF(ISBLANK('ENGAGEMENTS 2026'!B193),"",IF(AND(OR($E193="INFRUCTUEUX",$E193="ANNULE"),$C193="AOO-M"),'ENGAGEMENTS 2026'!O193,IF($H193="EN COURS DE PREENGAGEMENT",'ENGAGEMENTS 2026'!N193,IF($H193="PREENGAGE",IF($E193="ATTRIBUE",'ENGAGEMENTS 2026'!AD193,'ENGAGEMENTS 2026'!N193),'ENGAGEMENTS 2026'!AD193))))</f>
        <v/>
      </c>
      <c r="K193" s="604">
        <f>IF(ISBLANK('ENGAGEMENTS 2026'!V193),"",'ENGAGEMENTS 2026'!V193)</f>
        <v/>
      </c>
      <c r="L193" s="276">
        <f>IF($K193="","",TODAY()-$K193)</f>
        <v/>
      </c>
      <c r="M193">
        <f>IF($A193="","",IF($H193="ENGAGE","Engagé",IF(AND($H193="NON ENGAGE",OR($I193="INFRUCTUEUX",$I193="ANNULE")),"Clôturé sans suite","En cours")))</f>
        <v/>
      </c>
      <c r="N193">
        <f>IF(ISBLANK('ENGAGEMENTS 2026'!B193),"",'ENGAGEMENTS 2026'!K193)</f>
        <v/>
      </c>
      <c r="O193">
        <f>IF(ISBLANK('ENGAGEMENTS 2026'!B193),"",'ENGAGEMENTS 2026'!L193)</f>
        <v/>
      </c>
      <c r="P193">
        <f>IF(ISBLANK('ENGAGEMENTS 2026'!B193),"",'ENGAGEMENTS 2026'!J193)</f>
        <v/>
      </c>
      <c r="Q193">
        <f>IF($A193="","",IF(OR($E193="INFRUCTUEUX",$E193="ANNULE"),$A193&amp;"|"&amp;(COUNTIFS($A$2:$A193,$A193,$E$2:$E193,"INFRUCTUEUX")+COUNTIFS($A$2:$A193,$A193,$E$2:$E193,"ANNULE")),""))</f>
        <v/>
      </c>
    </row>
    <row r="194">
      <c r="A194">
        <f>IF(ISBLANK('ENGAGEMENTS 2026'!B194),"",IF('ENGAGEMENTS 2026'!B194="DTSI","DCT",'ENGAGEMENTS 2026'!B194))</f>
        <v/>
      </c>
      <c r="B194">
        <f>IF(ISBLANK('ENGAGEMENTS 2026'!B194),"",'ENGAGEMENTS 2026'!C194)</f>
        <v/>
      </c>
      <c r="C194">
        <f>IF(ISBLANK('ENGAGEMENTS 2026'!B194),"",'ENGAGEMENTS 2026'!D194)</f>
        <v/>
      </c>
      <c r="D194">
        <f>IF(ISBLANK('ENGAGEMENTS 2026'!B194),"",'ENGAGEMENTS 2026'!F194)</f>
        <v/>
      </c>
      <c r="E194">
        <f>IF(ISBLANK('ENGAGEMENTS 2026'!B194),"",'ENGAGEMENTS 2026'!H194)</f>
        <v/>
      </c>
      <c r="F194">
        <f>IF(ISBLANK('ENGAGEMENTS 2026'!B194),"",'ENGAGEMENTS 2026'!I194)</f>
        <v/>
      </c>
      <c r="G194">
        <f>IF(ISBLANK('ENGAGEMENTS 2026'!B194),"",'ENGAGEMENTS 2026'!L194)</f>
        <v/>
      </c>
      <c r="H194">
        <f>IF(ISBLANK('ENGAGEMENTS 2026'!B194),"",'ENGAGEMENTS 2026'!AE194)</f>
        <v/>
      </c>
      <c r="I194">
        <f>IF(ISBLANK('ENGAGEMENTS 2026'!B194),"",'ENGAGEMENTS 2026'!G194)</f>
        <v/>
      </c>
      <c r="J194" s="275">
        <f>IF(ISBLANK('ENGAGEMENTS 2026'!B194),"",IF(AND(OR($E194="INFRUCTUEUX",$E194="ANNULE"),$C194="AOO-M"),'ENGAGEMENTS 2026'!O194,IF($H194="EN COURS DE PREENGAGEMENT",'ENGAGEMENTS 2026'!N194,IF($H194="PREENGAGE",IF($E194="ATTRIBUE",'ENGAGEMENTS 2026'!AD194,'ENGAGEMENTS 2026'!N194),'ENGAGEMENTS 2026'!AD194))))</f>
        <v/>
      </c>
      <c r="K194" s="604">
        <f>IF(ISBLANK('ENGAGEMENTS 2026'!V194),"",'ENGAGEMENTS 2026'!V194)</f>
        <v/>
      </c>
      <c r="L194" s="276">
        <f>IF($K194="","",TODAY()-$K194)</f>
        <v/>
      </c>
      <c r="M194">
        <f>IF($A194="","",IF($H194="ENGAGE","Engagé",IF(AND($H194="NON ENGAGE",OR($I194="INFRUCTUEUX",$I194="ANNULE")),"Clôturé sans suite","En cours")))</f>
        <v/>
      </c>
      <c r="N194">
        <f>IF(ISBLANK('ENGAGEMENTS 2026'!B194),"",'ENGAGEMENTS 2026'!K194)</f>
        <v/>
      </c>
      <c r="O194">
        <f>IF(ISBLANK('ENGAGEMENTS 2026'!B194),"",'ENGAGEMENTS 2026'!L194)</f>
        <v/>
      </c>
      <c r="P194">
        <f>IF(ISBLANK('ENGAGEMENTS 2026'!B194),"",'ENGAGEMENTS 2026'!J194)</f>
        <v/>
      </c>
      <c r="Q194">
        <f>IF($A194="","",IF(OR($E194="INFRUCTUEUX",$E194="ANNULE"),$A194&amp;"|"&amp;(COUNTIFS($A$2:$A194,$A194,$E$2:$E194,"INFRUCTUEUX")+COUNTIFS($A$2:$A194,$A194,$E$2:$E194,"ANNULE")),""))</f>
        <v/>
      </c>
    </row>
    <row r="195">
      <c r="A195">
        <f>IF(ISBLANK('ENGAGEMENTS 2026'!B195),"",IF('ENGAGEMENTS 2026'!B195="DTSI","DCT",'ENGAGEMENTS 2026'!B195))</f>
        <v/>
      </c>
      <c r="B195">
        <f>IF(ISBLANK('ENGAGEMENTS 2026'!B195),"",'ENGAGEMENTS 2026'!C195)</f>
        <v/>
      </c>
      <c r="C195">
        <f>IF(ISBLANK('ENGAGEMENTS 2026'!B195),"",'ENGAGEMENTS 2026'!D195)</f>
        <v/>
      </c>
      <c r="D195">
        <f>IF(ISBLANK('ENGAGEMENTS 2026'!B195),"",'ENGAGEMENTS 2026'!F195)</f>
        <v/>
      </c>
      <c r="E195">
        <f>IF(ISBLANK('ENGAGEMENTS 2026'!B195),"",'ENGAGEMENTS 2026'!H195)</f>
        <v/>
      </c>
      <c r="F195">
        <f>IF(ISBLANK('ENGAGEMENTS 2026'!B195),"",'ENGAGEMENTS 2026'!I195)</f>
        <v/>
      </c>
      <c r="G195">
        <f>IF(ISBLANK('ENGAGEMENTS 2026'!B195),"",'ENGAGEMENTS 2026'!L195)</f>
        <v/>
      </c>
      <c r="H195">
        <f>IF(ISBLANK('ENGAGEMENTS 2026'!B195),"",'ENGAGEMENTS 2026'!AE195)</f>
        <v/>
      </c>
      <c r="I195">
        <f>IF(ISBLANK('ENGAGEMENTS 2026'!B195),"",'ENGAGEMENTS 2026'!G195)</f>
        <v/>
      </c>
      <c r="J195" s="275">
        <f>IF(ISBLANK('ENGAGEMENTS 2026'!B195),"",IF(AND(OR($E195="INFRUCTUEUX",$E195="ANNULE"),$C195="AOO-M"),'ENGAGEMENTS 2026'!O195,IF($H195="EN COURS DE PREENGAGEMENT",'ENGAGEMENTS 2026'!N195,IF($H195="PREENGAGE",IF($E195="ATTRIBUE",'ENGAGEMENTS 2026'!AD195,'ENGAGEMENTS 2026'!N195),'ENGAGEMENTS 2026'!AD195))))</f>
        <v/>
      </c>
      <c r="K195" s="604">
        <f>IF(ISBLANK('ENGAGEMENTS 2026'!V195),"",'ENGAGEMENTS 2026'!V195)</f>
        <v/>
      </c>
      <c r="L195" s="276">
        <f>IF($K195="","",TODAY()-$K195)</f>
        <v/>
      </c>
      <c r="M195">
        <f>IF($A195="","",IF($H195="ENGAGE","Engagé",IF(AND($H195="NON ENGAGE",OR($I195="INFRUCTUEUX",$I195="ANNULE")),"Clôturé sans suite","En cours")))</f>
        <v/>
      </c>
      <c r="N195">
        <f>IF(ISBLANK('ENGAGEMENTS 2026'!B195),"",'ENGAGEMENTS 2026'!K195)</f>
        <v/>
      </c>
      <c r="O195">
        <f>IF(ISBLANK('ENGAGEMENTS 2026'!B195),"",'ENGAGEMENTS 2026'!L195)</f>
        <v/>
      </c>
      <c r="P195">
        <f>IF(ISBLANK('ENGAGEMENTS 2026'!B195),"",'ENGAGEMENTS 2026'!J195)</f>
        <v/>
      </c>
      <c r="Q195">
        <f>IF($A195="","",IF(OR($E195="INFRUCTUEUX",$E195="ANNULE"),$A195&amp;"|"&amp;(COUNTIFS($A$2:$A195,$A195,$E$2:$E195,"INFRUCTUEUX")+COUNTIFS($A$2:$A195,$A195,$E$2:$E195,"ANNULE")),""))</f>
        <v/>
      </c>
    </row>
    <row r="196">
      <c r="A196">
        <f>IF(ISBLANK('ENGAGEMENTS 2026'!B196),"",IF('ENGAGEMENTS 2026'!B196="DTSI","DCT",'ENGAGEMENTS 2026'!B196))</f>
        <v/>
      </c>
      <c r="B196">
        <f>IF(ISBLANK('ENGAGEMENTS 2026'!B196),"",'ENGAGEMENTS 2026'!C196)</f>
        <v/>
      </c>
      <c r="C196">
        <f>IF(ISBLANK('ENGAGEMENTS 2026'!B196),"",'ENGAGEMENTS 2026'!D196)</f>
        <v/>
      </c>
      <c r="D196">
        <f>IF(ISBLANK('ENGAGEMENTS 2026'!B196),"",'ENGAGEMENTS 2026'!F196)</f>
        <v/>
      </c>
      <c r="E196">
        <f>IF(ISBLANK('ENGAGEMENTS 2026'!B196),"",'ENGAGEMENTS 2026'!H196)</f>
        <v/>
      </c>
      <c r="F196">
        <f>IF(ISBLANK('ENGAGEMENTS 2026'!B196),"",'ENGAGEMENTS 2026'!I196)</f>
        <v/>
      </c>
      <c r="G196">
        <f>IF(ISBLANK('ENGAGEMENTS 2026'!B196),"",'ENGAGEMENTS 2026'!L196)</f>
        <v/>
      </c>
      <c r="H196">
        <f>IF(ISBLANK('ENGAGEMENTS 2026'!B196),"",'ENGAGEMENTS 2026'!AE196)</f>
        <v/>
      </c>
      <c r="I196">
        <f>IF(ISBLANK('ENGAGEMENTS 2026'!B196),"",'ENGAGEMENTS 2026'!G196)</f>
        <v/>
      </c>
      <c r="J196" s="275">
        <f>IF(ISBLANK('ENGAGEMENTS 2026'!B196),"",IF(AND(OR($E196="INFRUCTUEUX",$E196="ANNULE"),$C196="AOO-M"),'ENGAGEMENTS 2026'!O196,IF($H196="EN COURS DE PREENGAGEMENT",'ENGAGEMENTS 2026'!N196,IF($H196="PREENGAGE",IF($E196="ATTRIBUE",'ENGAGEMENTS 2026'!AD196,'ENGAGEMENTS 2026'!N196),'ENGAGEMENTS 2026'!AD196))))</f>
        <v/>
      </c>
      <c r="K196" s="604">
        <f>IF(ISBLANK('ENGAGEMENTS 2026'!V196),"",'ENGAGEMENTS 2026'!V196)</f>
        <v/>
      </c>
      <c r="L196" s="276">
        <f>IF($K196="","",TODAY()-$K196)</f>
        <v/>
      </c>
      <c r="M196">
        <f>IF($A196="","",IF($H196="ENGAGE","Engagé",IF(AND($H196="NON ENGAGE",OR($I196="INFRUCTUEUX",$I196="ANNULE")),"Clôturé sans suite","En cours")))</f>
        <v/>
      </c>
      <c r="N196">
        <f>IF(ISBLANK('ENGAGEMENTS 2026'!B196),"",'ENGAGEMENTS 2026'!K196)</f>
        <v/>
      </c>
      <c r="O196">
        <f>IF(ISBLANK('ENGAGEMENTS 2026'!B196),"",'ENGAGEMENTS 2026'!L196)</f>
        <v/>
      </c>
      <c r="P196">
        <f>IF(ISBLANK('ENGAGEMENTS 2026'!B196),"",'ENGAGEMENTS 2026'!J196)</f>
        <v/>
      </c>
      <c r="Q196">
        <f>IF($A196="","",IF(OR($E196="INFRUCTUEUX",$E196="ANNULE"),$A196&amp;"|"&amp;(COUNTIFS($A$2:$A196,$A196,$E$2:$E196,"INFRUCTUEUX")+COUNTIFS($A$2:$A196,$A196,$E$2:$E196,"ANNULE")),""))</f>
        <v/>
      </c>
    </row>
    <row r="197">
      <c r="A197">
        <f>IF(ISBLANK('ENGAGEMENTS 2026'!B197),"",IF('ENGAGEMENTS 2026'!B197="DTSI","DCT",'ENGAGEMENTS 2026'!B197))</f>
        <v/>
      </c>
      <c r="B197">
        <f>IF(ISBLANK('ENGAGEMENTS 2026'!B197),"",'ENGAGEMENTS 2026'!C197)</f>
        <v/>
      </c>
      <c r="C197">
        <f>IF(ISBLANK('ENGAGEMENTS 2026'!B197),"",'ENGAGEMENTS 2026'!D197)</f>
        <v/>
      </c>
      <c r="D197">
        <f>IF(ISBLANK('ENGAGEMENTS 2026'!B197),"",'ENGAGEMENTS 2026'!F197)</f>
        <v/>
      </c>
      <c r="E197">
        <f>IF(ISBLANK('ENGAGEMENTS 2026'!B197),"",'ENGAGEMENTS 2026'!H197)</f>
        <v/>
      </c>
      <c r="F197">
        <f>IF(ISBLANK('ENGAGEMENTS 2026'!B197),"",'ENGAGEMENTS 2026'!I197)</f>
        <v/>
      </c>
      <c r="G197">
        <f>IF(ISBLANK('ENGAGEMENTS 2026'!B197),"",'ENGAGEMENTS 2026'!L197)</f>
        <v/>
      </c>
      <c r="H197">
        <f>IF(ISBLANK('ENGAGEMENTS 2026'!B197),"",'ENGAGEMENTS 2026'!AE197)</f>
        <v/>
      </c>
      <c r="I197">
        <f>IF(ISBLANK('ENGAGEMENTS 2026'!B197),"",'ENGAGEMENTS 2026'!G197)</f>
        <v/>
      </c>
      <c r="J197" s="275">
        <f>IF(ISBLANK('ENGAGEMENTS 2026'!B197),"",IF(AND(OR($E197="INFRUCTUEUX",$E197="ANNULE"),$C197="AOO-M"),'ENGAGEMENTS 2026'!O197,IF($H197="EN COURS DE PREENGAGEMENT",'ENGAGEMENTS 2026'!N197,IF($H197="PREENGAGE",IF($E197="ATTRIBUE",'ENGAGEMENTS 2026'!AD197,'ENGAGEMENTS 2026'!N197),'ENGAGEMENTS 2026'!AD197))))</f>
        <v/>
      </c>
      <c r="K197" s="604">
        <f>IF(ISBLANK('ENGAGEMENTS 2026'!V197),"",'ENGAGEMENTS 2026'!V197)</f>
        <v/>
      </c>
      <c r="L197" s="276">
        <f>IF($K197="","",TODAY()-$K197)</f>
        <v/>
      </c>
      <c r="M197">
        <f>IF($A197="","",IF($H197="ENGAGE","Engagé",IF(AND($H197="NON ENGAGE",OR($I197="INFRUCTUEUX",$I197="ANNULE")),"Clôturé sans suite","En cours")))</f>
        <v/>
      </c>
      <c r="N197">
        <f>IF(ISBLANK('ENGAGEMENTS 2026'!B197),"",'ENGAGEMENTS 2026'!K197)</f>
        <v/>
      </c>
      <c r="O197">
        <f>IF(ISBLANK('ENGAGEMENTS 2026'!B197),"",'ENGAGEMENTS 2026'!L197)</f>
        <v/>
      </c>
      <c r="P197">
        <f>IF(ISBLANK('ENGAGEMENTS 2026'!B197),"",'ENGAGEMENTS 2026'!J197)</f>
        <v/>
      </c>
      <c r="Q197">
        <f>IF($A197="","",IF(OR($E197="INFRUCTUEUX",$E197="ANNULE"),$A197&amp;"|"&amp;(COUNTIFS($A$2:$A197,$A197,$E$2:$E197,"INFRUCTUEUX")+COUNTIFS($A$2:$A197,$A197,$E$2:$E197,"ANNULE")),""))</f>
        <v/>
      </c>
    </row>
    <row r="198">
      <c r="A198">
        <f>IF(ISBLANK('ENGAGEMENTS 2026'!B198),"",IF('ENGAGEMENTS 2026'!B198="DTSI","DCT",'ENGAGEMENTS 2026'!B198))</f>
        <v/>
      </c>
      <c r="B198">
        <f>IF(ISBLANK('ENGAGEMENTS 2026'!B198),"",'ENGAGEMENTS 2026'!C198)</f>
        <v/>
      </c>
      <c r="C198">
        <f>IF(ISBLANK('ENGAGEMENTS 2026'!B198),"",'ENGAGEMENTS 2026'!D198)</f>
        <v/>
      </c>
      <c r="D198">
        <f>IF(ISBLANK('ENGAGEMENTS 2026'!B198),"",'ENGAGEMENTS 2026'!F198)</f>
        <v/>
      </c>
      <c r="E198">
        <f>IF(ISBLANK('ENGAGEMENTS 2026'!B198),"",'ENGAGEMENTS 2026'!H198)</f>
        <v/>
      </c>
      <c r="F198">
        <f>IF(ISBLANK('ENGAGEMENTS 2026'!B198),"",'ENGAGEMENTS 2026'!I198)</f>
        <v/>
      </c>
      <c r="G198">
        <f>IF(ISBLANK('ENGAGEMENTS 2026'!B198),"",'ENGAGEMENTS 2026'!L198)</f>
        <v/>
      </c>
      <c r="H198">
        <f>IF(ISBLANK('ENGAGEMENTS 2026'!B198),"",'ENGAGEMENTS 2026'!AE198)</f>
        <v/>
      </c>
      <c r="I198">
        <f>IF(ISBLANK('ENGAGEMENTS 2026'!B198),"",'ENGAGEMENTS 2026'!G198)</f>
        <v/>
      </c>
      <c r="J198" s="275">
        <f>IF(ISBLANK('ENGAGEMENTS 2026'!B198),"",IF(AND(OR($E198="INFRUCTUEUX",$E198="ANNULE"),$C198="AOO-M"),'ENGAGEMENTS 2026'!O198,IF($H198="EN COURS DE PREENGAGEMENT",'ENGAGEMENTS 2026'!N198,IF($H198="PREENGAGE",IF($E198="ATTRIBUE",'ENGAGEMENTS 2026'!AD198,'ENGAGEMENTS 2026'!N198),'ENGAGEMENTS 2026'!AD198))))</f>
        <v/>
      </c>
      <c r="K198" s="604">
        <f>IF(ISBLANK('ENGAGEMENTS 2026'!V198),"",'ENGAGEMENTS 2026'!V198)</f>
        <v/>
      </c>
      <c r="L198" s="276">
        <f>IF($K198="","",TODAY()-$K198)</f>
        <v/>
      </c>
      <c r="M198">
        <f>IF($A198="","",IF($H198="ENGAGE","Engagé",IF(AND($H198="NON ENGAGE",OR($I198="INFRUCTUEUX",$I198="ANNULE")),"Clôturé sans suite","En cours")))</f>
        <v/>
      </c>
      <c r="N198">
        <f>IF(ISBLANK('ENGAGEMENTS 2026'!B198),"",'ENGAGEMENTS 2026'!K198)</f>
        <v/>
      </c>
      <c r="O198">
        <f>IF(ISBLANK('ENGAGEMENTS 2026'!B198),"",'ENGAGEMENTS 2026'!L198)</f>
        <v/>
      </c>
      <c r="P198">
        <f>IF(ISBLANK('ENGAGEMENTS 2026'!B198),"",'ENGAGEMENTS 2026'!J198)</f>
        <v/>
      </c>
      <c r="Q198">
        <f>IF($A198="","",IF(OR($E198="INFRUCTUEUX",$E198="ANNULE"),$A198&amp;"|"&amp;(COUNTIFS($A$2:$A198,$A198,$E$2:$E198,"INFRUCTUEUX")+COUNTIFS($A$2:$A198,$A198,$E$2:$E198,"ANNULE")),""))</f>
        <v/>
      </c>
    </row>
    <row r="199">
      <c r="A199">
        <f>IF(ISBLANK('ENGAGEMENTS 2026'!B199),"",IF('ENGAGEMENTS 2026'!B199="DTSI","DCT",'ENGAGEMENTS 2026'!B199))</f>
        <v/>
      </c>
      <c r="B199">
        <f>IF(ISBLANK('ENGAGEMENTS 2026'!B199),"",'ENGAGEMENTS 2026'!C199)</f>
        <v/>
      </c>
      <c r="C199">
        <f>IF(ISBLANK('ENGAGEMENTS 2026'!B199),"",'ENGAGEMENTS 2026'!D199)</f>
        <v/>
      </c>
      <c r="D199">
        <f>IF(ISBLANK('ENGAGEMENTS 2026'!B199),"",'ENGAGEMENTS 2026'!F199)</f>
        <v/>
      </c>
      <c r="E199">
        <f>IF(ISBLANK('ENGAGEMENTS 2026'!B199),"",'ENGAGEMENTS 2026'!H199)</f>
        <v/>
      </c>
      <c r="F199">
        <f>IF(ISBLANK('ENGAGEMENTS 2026'!B199),"",'ENGAGEMENTS 2026'!I199)</f>
        <v/>
      </c>
      <c r="G199">
        <f>IF(ISBLANK('ENGAGEMENTS 2026'!B199),"",'ENGAGEMENTS 2026'!L199)</f>
        <v/>
      </c>
      <c r="H199">
        <f>IF(ISBLANK('ENGAGEMENTS 2026'!B199),"",'ENGAGEMENTS 2026'!AE199)</f>
        <v/>
      </c>
      <c r="I199">
        <f>IF(ISBLANK('ENGAGEMENTS 2026'!B199),"",'ENGAGEMENTS 2026'!G199)</f>
        <v/>
      </c>
      <c r="J199" s="275">
        <f>IF(ISBLANK('ENGAGEMENTS 2026'!B199),"",IF(AND(OR($E199="INFRUCTUEUX",$E199="ANNULE"),$C199="AOO-M"),'ENGAGEMENTS 2026'!O199,IF($H199="EN COURS DE PREENGAGEMENT",'ENGAGEMENTS 2026'!N199,IF($H199="PREENGAGE",IF($E199="ATTRIBUE",'ENGAGEMENTS 2026'!AD199,'ENGAGEMENTS 2026'!N199),'ENGAGEMENTS 2026'!AD199))))</f>
        <v/>
      </c>
      <c r="K199" s="604">
        <f>IF(ISBLANK('ENGAGEMENTS 2026'!V199),"",'ENGAGEMENTS 2026'!V199)</f>
        <v/>
      </c>
      <c r="L199" s="276">
        <f>IF($K199="","",TODAY()-$K199)</f>
        <v/>
      </c>
      <c r="M199">
        <f>IF($A199="","",IF($H199="ENGAGE","Engagé",IF(AND($H199="NON ENGAGE",OR($I199="INFRUCTUEUX",$I199="ANNULE")),"Clôturé sans suite","En cours")))</f>
        <v/>
      </c>
      <c r="N199">
        <f>IF(ISBLANK('ENGAGEMENTS 2026'!B199),"",'ENGAGEMENTS 2026'!K199)</f>
        <v/>
      </c>
      <c r="O199">
        <f>IF(ISBLANK('ENGAGEMENTS 2026'!B199),"",'ENGAGEMENTS 2026'!L199)</f>
        <v/>
      </c>
      <c r="P199">
        <f>IF(ISBLANK('ENGAGEMENTS 2026'!B199),"",'ENGAGEMENTS 2026'!J199)</f>
        <v/>
      </c>
      <c r="Q199">
        <f>IF($A199="","",IF(OR($E199="INFRUCTUEUX",$E199="ANNULE"),$A199&amp;"|"&amp;(COUNTIFS($A$2:$A199,$A199,$E$2:$E199,"INFRUCTUEUX")+COUNTIFS($A$2:$A199,$A199,$E$2:$E199,"ANNULE")),""))</f>
        <v/>
      </c>
    </row>
    <row r="200">
      <c r="A200">
        <f>IF(ISBLANK('ENGAGEMENTS 2026'!B200),"",IF('ENGAGEMENTS 2026'!B200="DTSI","DCT",'ENGAGEMENTS 2026'!B200))</f>
        <v/>
      </c>
      <c r="B200">
        <f>IF(ISBLANK('ENGAGEMENTS 2026'!B200),"",'ENGAGEMENTS 2026'!C200)</f>
        <v/>
      </c>
      <c r="C200">
        <f>IF(ISBLANK('ENGAGEMENTS 2026'!B200),"",'ENGAGEMENTS 2026'!D200)</f>
        <v/>
      </c>
      <c r="D200">
        <f>IF(ISBLANK('ENGAGEMENTS 2026'!B200),"",'ENGAGEMENTS 2026'!F200)</f>
        <v/>
      </c>
      <c r="E200">
        <f>IF(ISBLANK('ENGAGEMENTS 2026'!B200),"",'ENGAGEMENTS 2026'!H200)</f>
        <v/>
      </c>
      <c r="F200">
        <f>IF(ISBLANK('ENGAGEMENTS 2026'!B200),"",'ENGAGEMENTS 2026'!I200)</f>
        <v/>
      </c>
      <c r="G200">
        <f>IF(ISBLANK('ENGAGEMENTS 2026'!B200),"",'ENGAGEMENTS 2026'!L200)</f>
        <v/>
      </c>
      <c r="H200">
        <f>IF(ISBLANK('ENGAGEMENTS 2026'!B200),"",'ENGAGEMENTS 2026'!AE200)</f>
        <v/>
      </c>
      <c r="I200">
        <f>IF(ISBLANK('ENGAGEMENTS 2026'!B200),"",'ENGAGEMENTS 2026'!G200)</f>
        <v/>
      </c>
      <c r="J200" s="275">
        <f>IF(ISBLANK('ENGAGEMENTS 2026'!B200),"",IF(AND(OR($E200="INFRUCTUEUX",$E200="ANNULE"),$C200="AOO-M"),'ENGAGEMENTS 2026'!O200,IF($H200="EN COURS DE PREENGAGEMENT",'ENGAGEMENTS 2026'!N200,IF($H200="PREENGAGE",IF($E200="ATTRIBUE",'ENGAGEMENTS 2026'!AD200,'ENGAGEMENTS 2026'!N200),'ENGAGEMENTS 2026'!AD200))))</f>
        <v/>
      </c>
      <c r="K200" s="604">
        <f>IF(ISBLANK('ENGAGEMENTS 2026'!V200),"",'ENGAGEMENTS 2026'!V200)</f>
        <v/>
      </c>
      <c r="L200" s="276">
        <f>IF($K200="","",TODAY()-$K200)</f>
        <v/>
      </c>
      <c r="M200">
        <f>IF($A200="","",IF($H200="ENGAGE","Engagé",IF(AND($H200="NON ENGAGE",OR($I200="INFRUCTUEUX",$I200="ANNULE")),"Clôturé sans suite","En cours")))</f>
        <v/>
      </c>
      <c r="N200">
        <f>IF(ISBLANK('ENGAGEMENTS 2026'!B200),"",'ENGAGEMENTS 2026'!K200)</f>
        <v/>
      </c>
      <c r="O200">
        <f>IF(ISBLANK('ENGAGEMENTS 2026'!B200),"",'ENGAGEMENTS 2026'!L200)</f>
        <v/>
      </c>
      <c r="P200">
        <f>IF(ISBLANK('ENGAGEMENTS 2026'!B200),"",'ENGAGEMENTS 2026'!J200)</f>
        <v/>
      </c>
      <c r="Q200">
        <f>IF($A200="","",IF(OR($E200="INFRUCTUEUX",$E200="ANNULE"),$A200&amp;"|"&amp;(COUNTIFS($A$2:$A200,$A200,$E$2:$E200,"INFRUCTUEUX")+COUNTIFS($A$2:$A200,$A200,$E$2:$E200,"ANNULE")),""))</f>
        <v/>
      </c>
    </row>
    <row r="201">
      <c r="A201">
        <f>IF(ISBLANK('ENGAGEMENTS 2026'!B201),"",IF('ENGAGEMENTS 2026'!B201="DTSI","DCT",'ENGAGEMENTS 2026'!B201))</f>
        <v/>
      </c>
      <c r="B201">
        <f>IF(ISBLANK('ENGAGEMENTS 2026'!B201),"",'ENGAGEMENTS 2026'!C201)</f>
        <v/>
      </c>
      <c r="C201">
        <f>IF(ISBLANK('ENGAGEMENTS 2026'!B201),"",'ENGAGEMENTS 2026'!D201)</f>
        <v/>
      </c>
      <c r="D201">
        <f>IF(ISBLANK('ENGAGEMENTS 2026'!B201),"",'ENGAGEMENTS 2026'!F201)</f>
        <v/>
      </c>
      <c r="E201">
        <f>IF(ISBLANK('ENGAGEMENTS 2026'!B201),"",'ENGAGEMENTS 2026'!H201)</f>
        <v/>
      </c>
      <c r="F201">
        <f>IF(ISBLANK('ENGAGEMENTS 2026'!B201),"",'ENGAGEMENTS 2026'!I201)</f>
        <v/>
      </c>
      <c r="G201">
        <f>IF(ISBLANK('ENGAGEMENTS 2026'!B201),"",'ENGAGEMENTS 2026'!L201)</f>
        <v/>
      </c>
      <c r="H201">
        <f>IF(ISBLANK('ENGAGEMENTS 2026'!B201),"",'ENGAGEMENTS 2026'!AE201)</f>
        <v/>
      </c>
      <c r="I201">
        <f>IF(ISBLANK('ENGAGEMENTS 2026'!B201),"",'ENGAGEMENTS 2026'!G201)</f>
        <v/>
      </c>
      <c r="J201" s="275">
        <f>IF(ISBLANK('ENGAGEMENTS 2026'!B201),"",IF(AND(OR($E201="INFRUCTUEUX",$E201="ANNULE"),$C201="AOO-M"),'ENGAGEMENTS 2026'!O201,IF($H201="EN COURS DE PREENGAGEMENT",'ENGAGEMENTS 2026'!N201,IF($H201="PREENGAGE",IF($E201="ATTRIBUE",'ENGAGEMENTS 2026'!AD201,'ENGAGEMENTS 2026'!N201),'ENGAGEMENTS 2026'!AD201))))</f>
        <v/>
      </c>
      <c r="K201" s="604">
        <f>IF(ISBLANK('ENGAGEMENTS 2026'!V201),"",'ENGAGEMENTS 2026'!V201)</f>
        <v/>
      </c>
      <c r="L201" s="276">
        <f>IF($K201="","",TODAY()-$K201)</f>
        <v/>
      </c>
      <c r="M201">
        <f>IF($A201="","",IF($H201="ENGAGE","Engagé",IF(AND($H201="NON ENGAGE",OR($I201="INFRUCTUEUX",$I201="ANNULE")),"Clôturé sans suite","En cours")))</f>
        <v/>
      </c>
      <c r="N201">
        <f>IF(ISBLANK('ENGAGEMENTS 2026'!B201),"",'ENGAGEMENTS 2026'!K201)</f>
        <v/>
      </c>
      <c r="O201">
        <f>IF(ISBLANK('ENGAGEMENTS 2026'!B201),"",'ENGAGEMENTS 2026'!L201)</f>
        <v/>
      </c>
      <c r="P201">
        <f>IF(ISBLANK('ENGAGEMENTS 2026'!B201),"",'ENGAGEMENTS 2026'!J201)</f>
        <v/>
      </c>
      <c r="Q201">
        <f>IF($A201="","",IF(OR($E201="INFRUCTUEUX",$E201="ANNULE"),$A201&amp;"|"&amp;(COUNTIFS($A$2:$A201,$A201,$E$2:$E201,"INFRUCTUEUX")+COUNTIFS($A$2:$A201,$A201,$E$2:$E201,"ANNULE")),""))</f>
        <v/>
      </c>
    </row>
    <row r="202">
      <c r="A202">
        <f>IF(ISBLANK('ENGAGEMENTS 2026'!B202),"",IF('ENGAGEMENTS 2026'!B202="DTSI","DCT",'ENGAGEMENTS 2026'!B202))</f>
        <v/>
      </c>
      <c r="B202">
        <f>IF(ISBLANK('ENGAGEMENTS 2026'!B202),"",'ENGAGEMENTS 2026'!C202)</f>
        <v/>
      </c>
      <c r="C202">
        <f>IF(ISBLANK('ENGAGEMENTS 2026'!B202),"",'ENGAGEMENTS 2026'!D202)</f>
        <v/>
      </c>
      <c r="D202">
        <f>IF(ISBLANK('ENGAGEMENTS 2026'!B202),"",'ENGAGEMENTS 2026'!F202)</f>
        <v/>
      </c>
      <c r="E202">
        <f>IF(ISBLANK('ENGAGEMENTS 2026'!B202),"",'ENGAGEMENTS 2026'!H202)</f>
        <v/>
      </c>
      <c r="F202">
        <f>IF(ISBLANK('ENGAGEMENTS 2026'!B202),"",'ENGAGEMENTS 2026'!I202)</f>
        <v/>
      </c>
      <c r="G202">
        <f>IF(ISBLANK('ENGAGEMENTS 2026'!B202),"",'ENGAGEMENTS 2026'!L202)</f>
        <v/>
      </c>
      <c r="H202">
        <f>IF(ISBLANK('ENGAGEMENTS 2026'!B202),"",'ENGAGEMENTS 2026'!AE202)</f>
        <v/>
      </c>
      <c r="I202">
        <f>IF(ISBLANK('ENGAGEMENTS 2026'!B202),"",'ENGAGEMENTS 2026'!G202)</f>
        <v/>
      </c>
      <c r="J202" s="275">
        <f>IF(ISBLANK('ENGAGEMENTS 2026'!B202),"",IF(AND(OR($E202="INFRUCTUEUX",$E202="ANNULE"),$C202="AOO-M"),'ENGAGEMENTS 2026'!O202,IF($H202="EN COURS DE PREENGAGEMENT",'ENGAGEMENTS 2026'!N202,IF($H202="PREENGAGE",IF($E202="ATTRIBUE",'ENGAGEMENTS 2026'!AD202,'ENGAGEMENTS 2026'!N202),'ENGAGEMENTS 2026'!AD202))))</f>
        <v/>
      </c>
      <c r="K202" s="604">
        <f>IF(ISBLANK('ENGAGEMENTS 2026'!V202),"",'ENGAGEMENTS 2026'!V202)</f>
        <v/>
      </c>
      <c r="L202" s="276">
        <f>IF($K202="","",TODAY()-$K202)</f>
        <v/>
      </c>
      <c r="M202">
        <f>IF($A202="","",IF($H202="ENGAGE","Engagé",IF(AND($H202="NON ENGAGE",OR($I202="INFRUCTUEUX",$I202="ANNULE")),"Clôturé sans suite","En cours")))</f>
        <v/>
      </c>
      <c r="N202">
        <f>IF(ISBLANK('ENGAGEMENTS 2026'!B202),"",'ENGAGEMENTS 2026'!K202)</f>
        <v/>
      </c>
      <c r="O202">
        <f>IF(ISBLANK('ENGAGEMENTS 2026'!B202),"",'ENGAGEMENTS 2026'!L202)</f>
        <v/>
      </c>
      <c r="P202">
        <f>IF(ISBLANK('ENGAGEMENTS 2026'!B202),"",'ENGAGEMENTS 2026'!J202)</f>
        <v/>
      </c>
      <c r="Q202">
        <f>IF($A202="","",IF(OR($E202="INFRUCTUEUX",$E202="ANNULE"),$A202&amp;"|"&amp;(COUNTIFS($A$2:$A202,$A202,$E$2:$E202,"INFRUCTUEUX")+COUNTIFS($A$2:$A202,$A202,$E$2:$E202,"ANNULE")),""))</f>
        <v/>
      </c>
    </row>
    <row r="203">
      <c r="A203">
        <f>IF(ISBLANK('ENGAGEMENTS 2026'!B203),"",IF('ENGAGEMENTS 2026'!B203="DTSI","DCT",'ENGAGEMENTS 2026'!B203))</f>
        <v/>
      </c>
      <c r="B203">
        <f>IF(ISBLANK('ENGAGEMENTS 2026'!B203),"",'ENGAGEMENTS 2026'!C203)</f>
        <v/>
      </c>
      <c r="C203">
        <f>IF(ISBLANK('ENGAGEMENTS 2026'!B203),"",'ENGAGEMENTS 2026'!D203)</f>
        <v/>
      </c>
      <c r="D203">
        <f>IF(ISBLANK('ENGAGEMENTS 2026'!B203),"",'ENGAGEMENTS 2026'!F203)</f>
        <v/>
      </c>
      <c r="E203">
        <f>IF(ISBLANK('ENGAGEMENTS 2026'!B203),"",'ENGAGEMENTS 2026'!H203)</f>
        <v/>
      </c>
      <c r="F203">
        <f>IF(ISBLANK('ENGAGEMENTS 2026'!B203),"",'ENGAGEMENTS 2026'!I203)</f>
        <v/>
      </c>
      <c r="G203">
        <f>IF(ISBLANK('ENGAGEMENTS 2026'!B203),"",'ENGAGEMENTS 2026'!L203)</f>
        <v/>
      </c>
      <c r="H203">
        <f>IF(ISBLANK('ENGAGEMENTS 2026'!B203),"",'ENGAGEMENTS 2026'!AE203)</f>
        <v/>
      </c>
      <c r="I203">
        <f>IF(ISBLANK('ENGAGEMENTS 2026'!B203),"",'ENGAGEMENTS 2026'!G203)</f>
        <v/>
      </c>
      <c r="J203" s="275">
        <f>IF(ISBLANK('ENGAGEMENTS 2026'!B203),"",IF(AND(OR($E203="INFRUCTUEUX",$E203="ANNULE"),$C203="AOO-M"),'ENGAGEMENTS 2026'!O203,IF($H203="EN COURS DE PREENGAGEMENT",'ENGAGEMENTS 2026'!N203,IF($H203="PREENGAGE",IF($E203="ATTRIBUE",'ENGAGEMENTS 2026'!AD203,'ENGAGEMENTS 2026'!N203),'ENGAGEMENTS 2026'!AD203))))</f>
        <v/>
      </c>
      <c r="K203" s="604">
        <f>IF(ISBLANK('ENGAGEMENTS 2026'!V203),"",'ENGAGEMENTS 2026'!V203)</f>
        <v/>
      </c>
      <c r="L203" s="276">
        <f>IF($K203="","",TODAY()-$K203)</f>
        <v/>
      </c>
      <c r="M203">
        <f>IF($A203="","",IF($H203="ENGAGE","Engagé",IF(AND($H203="NON ENGAGE",OR($I203="INFRUCTUEUX",$I203="ANNULE")),"Clôturé sans suite","En cours")))</f>
        <v/>
      </c>
      <c r="N203">
        <f>IF(ISBLANK('ENGAGEMENTS 2026'!B203),"",'ENGAGEMENTS 2026'!K203)</f>
        <v/>
      </c>
      <c r="O203">
        <f>IF(ISBLANK('ENGAGEMENTS 2026'!B203),"",'ENGAGEMENTS 2026'!L203)</f>
        <v/>
      </c>
      <c r="P203">
        <f>IF(ISBLANK('ENGAGEMENTS 2026'!B203),"",'ENGAGEMENTS 2026'!J203)</f>
        <v/>
      </c>
      <c r="Q203">
        <f>IF($A203="","",IF(OR($E203="INFRUCTUEUX",$E203="ANNULE"),$A203&amp;"|"&amp;(COUNTIFS($A$2:$A203,$A203,$E$2:$E203,"INFRUCTUEUX")+COUNTIFS($A$2:$A203,$A203,$E$2:$E203,"ANNULE")),""))</f>
        <v/>
      </c>
    </row>
    <row r="204">
      <c r="A204">
        <f>IF(ISBLANK('ENGAGEMENTS 2026'!B204),"",IF('ENGAGEMENTS 2026'!B204="DTSI","DCT",'ENGAGEMENTS 2026'!B204))</f>
        <v/>
      </c>
      <c r="B204">
        <f>IF(ISBLANK('ENGAGEMENTS 2026'!B204),"",'ENGAGEMENTS 2026'!C204)</f>
        <v/>
      </c>
      <c r="C204">
        <f>IF(ISBLANK('ENGAGEMENTS 2026'!B204),"",'ENGAGEMENTS 2026'!D204)</f>
        <v/>
      </c>
      <c r="D204">
        <f>IF(ISBLANK('ENGAGEMENTS 2026'!B204),"",'ENGAGEMENTS 2026'!F204)</f>
        <v/>
      </c>
      <c r="E204">
        <f>IF(ISBLANK('ENGAGEMENTS 2026'!B204),"",'ENGAGEMENTS 2026'!H204)</f>
        <v/>
      </c>
      <c r="F204">
        <f>IF(ISBLANK('ENGAGEMENTS 2026'!B204),"",'ENGAGEMENTS 2026'!I204)</f>
        <v/>
      </c>
      <c r="G204">
        <f>IF(ISBLANK('ENGAGEMENTS 2026'!B204),"",'ENGAGEMENTS 2026'!L204)</f>
        <v/>
      </c>
      <c r="H204">
        <f>IF(ISBLANK('ENGAGEMENTS 2026'!B204),"",'ENGAGEMENTS 2026'!AE204)</f>
        <v/>
      </c>
      <c r="I204">
        <f>IF(ISBLANK('ENGAGEMENTS 2026'!B204),"",'ENGAGEMENTS 2026'!G204)</f>
        <v/>
      </c>
      <c r="J204" s="275">
        <f>IF(ISBLANK('ENGAGEMENTS 2026'!B204),"",IF(AND(OR($E204="INFRUCTUEUX",$E204="ANNULE"),$C204="AOO-M"),'ENGAGEMENTS 2026'!O204,IF($H204="EN COURS DE PREENGAGEMENT",'ENGAGEMENTS 2026'!N204,IF($H204="PREENGAGE",IF($E204="ATTRIBUE",'ENGAGEMENTS 2026'!AD204,'ENGAGEMENTS 2026'!N204),'ENGAGEMENTS 2026'!AD204))))</f>
        <v/>
      </c>
      <c r="K204" s="604">
        <f>IF(ISBLANK('ENGAGEMENTS 2026'!V204),"",'ENGAGEMENTS 2026'!V204)</f>
        <v/>
      </c>
      <c r="L204" s="276">
        <f>IF($K204="","",TODAY()-$K204)</f>
        <v/>
      </c>
      <c r="M204">
        <f>IF($A204="","",IF($H204="ENGAGE","Engagé",IF(AND($H204="NON ENGAGE",OR($I204="INFRUCTUEUX",$I204="ANNULE")),"Clôturé sans suite","En cours")))</f>
        <v/>
      </c>
      <c r="N204">
        <f>IF(ISBLANK('ENGAGEMENTS 2026'!B204),"",'ENGAGEMENTS 2026'!K204)</f>
        <v/>
      </c>
      <c r="O204">
        <f>IF(ISBLANK('ENGAGEMENTS 2026'!B204),"",'ENGAGEMENTS 2026'!L204)</f>
        <v/>
      </c>
      <c r="P204">
        <f>IF(ISBLANK('ENGAGEMENTS 2026'!B204),"",'ENGAGEMENTS 2026'!J204)</f>
        <v/>
      </c>
      <c r="Q204">
        <f>IF($A204="","",IF(OR($E204="INFRUCTUEUX",$E204="ANNULE"),$A204&amp;"|"&amp;(COUNTIFS($A$2:$A204,$A204,$E$2:$E204,"INFRUCTUEUX")+COUNTIFS($A$2:$A204,$A204,$E$2:$E204,"ANNULE")),""))</f>
        <v/>
      </c>
    </row>
    <row r="205">
      <c r="A205">
        <f>IF(ISBLANK('ENGAGEMENTS 2026'!B205),"",IF('ENGAGEMENTS 2026'!B205="DTSI","DCT",'ENGAGEMENTS 2026'!B205))</f>
        <v/>
      </c>
      <c r="B205">
        <f>IF(ISBLANK('ENGAGEMENTS 2026'!B205),"",'ENGAGEMENTS 2026'!C205)</f>
        <v/>
      </c>
      <c r="C205">
        <f>IF(ISBLANK('ENGAGEMENTS 2026'!B205),"",'ENGAGEMENTS 2026'!D205)</f>
        <v/>
      </c>
      <c r="D205">
        <f>IF(ISBLANK('ENGAGEMENTS 2026'!B205),"",'ENGAGEMENTS 2026'!F205)</f>
        <v/>
      </c>
      <c r="E205">
        <f>IF(ISBLANK('ENGAGEMENTS 2026'!B205),"",'ENGAGEMENTS 2026'!H205)</f>
        <v/>
      </c>
      <c r="F205">
        <f>IF(ISBLANK('ENGAGEMENTS 2026'!B205),"",'ENGAGEMENTS 2026'!I205)</f>
        <v/>
      </c>
      <c r="G205">
        <f>IF(ISBLANK('ENGAGEMENTS 2026'!B205),"",'ENGAGEMENTS 2026'!L205)</f>
        <v/>
      </c>
      <c r="H205">
        <f>IF(ISBLANK('ENGAGEMENTS 2026'!B205),"",'ENGAGEMENTS 2026'!AE205)</f>
        <v/>
      </c>
      <c r="I205">
        <f>IF(ISBLANK('ENGAGEMENTS 2026'!B205),"",'ENGAGEMENTS 2026'!G205)</f>
        <v/>
      </c>
      <c r="J205" s="275">
        <f>IF(ISBLANK('ENGAGEMENTS 2026'!B205),"",IF(AND(OR($E205="INFRUCTUEUX",$E205="ANNULE"),$C205="AOO-M"),'ENGAGEMENTS 2026'!O205,IF($H205="EN COURS DE PREENGAGEMENT",'ENGAGEMENTS 2026'!N205,IF($H205="PREENGAGE",IF($E205="ATTRIBUE",'ENGAGEMENTS 2026'!AD205,'ENGAGEMENTS 2026'!N205),'ENGAGEMENTS 2026'!AD205))))</f>
        <v/>
      </c>
      <c r="K205" s="604">
        <f>IF(ISBLANK('ENGAGEMENTS 2026'!V205),"",'ENGAGEMENTS 2026'!V205)</f>
        <v/>
      </c>
      <c r="L205" s="276">
        <f>IF($K205="","",TODAY()-$K205)</f>
        <v/>
      </c>
      <c r="M205">
        <f>IF($A205="","",IF($H205="ENGAGE","Engagé",IF(AND($H205="NON ENGAGE",OR($I205="INFRUCTUEUX",$I205="ANNULE")),"Clôturé sans suite","En cours")))</f>
        <v/>
      </c>
      <c r="N205">
        <f>IF(ISBLANK('ENGAGEMENTS 2026'!B205),"",'ENGAGEMENTS 2026'!K205)</f>
        <v/>
      </c>
      <c r="O205">
        <f>IF(ISBLANK('ENGAGEMENTS 2026'!B205),"",'ENGAGEMENTS 2026'!L205)</f>
        <v/>
      </c>
      <c r="P205">
        <f>IF(ISBLANK('ENGAGEMENTS 2026'!B205),"",'ENGAGEMENTS 2026'!J205)</f>
        <v/>
      </c>
      <c r="Q205">
        <f>IF($A205="","",IF(OR($E205="INFRUCTUEUX",$E205="ANNULE"),$A205&amp;"|"&amp;(COUNTIFS($A$2:$A205,$A205,$E$2:$E205,"INFRUCTUEUX")+COUNTIFS($A$2:$A205,$A205,$E$2:$E205,"ANNULE")),""))</f>
        <v/>
      </c>
    </row>
    <row r="206">
      <c r="A206">
        <f>IF(ISBLANK('ENGAGEMENTS 2026'!B206),"",IF('ENGAGEMENTS 2026'!B206="DTSI","DCT",'ENGAGEMENTS 2026'!B206))</f>
        <v/>
      </c>
      <c r="B206">
        <f>IF(ISBLANK('ENGAGEMENTS 2026'!B206),"",'ENGAGEMENTS 2026'!C206)</f>
        <v/>
      </c>
      <c r="C206">
        <f>IF(ISBLANK('ENGAGEMENTS 2026'!B206),"",'ENGAGEMENTS 2026'!D206)</f>
        <v/>
      </c>
      <c r="D206">
        <f>IF(ISBLANK('ENGAGEMENTS 2026'!B206),"",'ENGAGEMENTS 2026'!F206)</f>
        <v/>
      </c>
      <c r="E206">
        <f>IF(ISBLANK('ENGAGEMENTS 2026'!B206),"",'ENGAGEMENTS 2026'!H206)</f>
        <v/>
      </c>
      <c r="F206">
        <f>IF(ISBLANK('ENGAGEMENTS 2026'!B206),"",'ENGAGEMENTS 2026'!I206)</f>
        <v/>
      </c>
      <c r="G206">
        <f>IF(ISBLANK('ENGAGEMENTS 2026'!B206),"",'ENGAGEMENTS 2026'!L206)</f>
        <v/>
      </c>
      <c r="H206">
        <f>IF(ISBLANK('ENGAGEMENTS 2026'!B206),"",'ENGAGEMENTS 2026'!AE206)</f>
        <v/>
      </c>
      <c r="I206">
        <f>IF(ISBLANK('ENGAGEMENTS 2026'!B206),"",'ENGAGEMENTS 2026'!G206)</f>
        <v/>
      </c>
      <c r="J206" s="275">
        <f>IF(ISBLANK('ENGAGEMENTS 2026'!B206),"",IF(AND(OR($E206="INFRUCTUEUX",$E206="ANNULE"),$C206="AOO-M"),'ENGAGEMENTS 2026'!O206,IF($H206="EN COURS DE PREENGAGEMENT",'ENGAGEMENTS 2026'!N206,IF($H206="PREENGAGE",IF($E206="ATTRIBUE",'ENGAGEMENTS 2026'!AD206,'ENGAGEMENTS 2026'!N206),'ENGAGEMENTS 2026'!AD206))))</f>
        <v/>
      </c>
      <c r="K206" s="604">
        <f>IF(ISBLANK('ENGAGEMENTS 2026'!V206),"",'ENGAGEMENTS 2026'!V206)</f>
        <v/>
      </c>
      <c r="L206" s="276">
        <f>IF($K206="","",TODAY()-$K206)</f>
        <v/>
      </c>
      <c r="M206">
        <f>IF($A206="","",IF($H206="ENGAGE","Engagé",IF(AND($H206="NON ENGAGE",OR($I206="INFRUCTUEUX",$I206="ANNULE")),"Clôturé sans suite","En cours")))</f>
        <v/>
      </c>
      <c r="N206">
        <f>IF(ISBLANK('ENGAGEMENTS 2026'!B206),"",'ENGAGEMENTS 2026'!K206)</f>
        <v/>
      </c>
      <c r="O206">
        <f>IF(ISBLANK('ENGAGEMENTS 2026'!B206),"",'ENGAGEMENTS 2026'!L206)</f>
        <v/>
      </c>
      <c r="P206">
        <f>IF(ISBLANK('ENGAGEMENTS 2026'!B206),"",'ENGAGEMENTS 2026'!J206)</f>
        <v/>
      </c>
      <c r="Q206">
        <f>IF($A206="","",IF(OR($E206="INFRUCTUEUX",$E206="ANNULE"),$A206&amp;"|"&amp;(COUNTIFS($A$2:$A206,$A206,$E$2:$E206,"INFRUCTUEUX")+COUNTIFS($A$2:$A206,$A206,$E$2:$E206,"ANNULE")),""))</f>
        <v/>
      </c>
    </row>
    <row r="207">
      <c r="A207">
        <f>IF(ISBLANK('ENGAGEMENTS 2026'!B207),"",IF('ENGAGEMENTS 2026'!B207="DTSI","DCT",'ENGAGEMENTS 2026'!B207))</f>
        <v/>
      </c>
      <c r="B207">
        <f>IF(ISBLANK('ENGAGEMENTS 2026'!B207),"",'ENGAGEMENTS 2026'!C207)</f>
        <v/>
      </c>
      <c r="C207">
        <f>IF(ISBLANK('ENGAGEMENTS 2026'!B207),"",'ENGAGEMENTS 2026'!D207)</f>
        <v/>
      </c>
      <c r="D207">
        <f>IF(ISBLANK('ENGAGEMENTS 2026'!B207),"",'ENGAGEMENTS 2026'!F207)</f>
        <v/>
      </c>
      <c r="E207">
        <f>IF(ISBLANK('ENGAGEMENTS 2026'!B207),"",'ENGAGEMENTS 2026'!H207)</f>
        <v/>
      </c>
      <c r="F207">
        <f>IF(ISBLANK('ENGAGEMENTS 2026'!B207),"",'ENGAGEMENTS 2026'!I207)</f>
        <v/>
      </c>
      <c r="G207">
        <f>IF(ISBLANK('ENGAGEMENTS 2026'!B207),"",'ENGAGEMENTS 2026'!L207)</f>
        <v/>
      </c>
      <c r="H207">
        <f>IF(ISBLANK('ENGAGEMENTS 2026'!B207),"",'ENGAGEMENTS 2026'!AE207)</f>
        <v/>
      </c>
      <c r="I207">
        <f>IF(ISBLANK('ENGAGEMENTS 2026'!B207),"",'ENGAGEMENTS 2026'!G207)</f>
        <v/>
      </c>
      <c r="J207" s="275">
        <f>IF(ISBLANK('ENGAGEMENTS 2026'!B207),"",IF(AND(OR($E207="INFRUCTUEUX",$E207="ANNULE"),$C207="AOO-M"),'ENGAGEMENTS 2026'!O207,IF($H207="EN COURS DE PREENGAGEMENT",'ENGAGEMENTS 2026'!N207,IF($H207="PREENGAGE",IF($E207="ATTRIBUE",'ENGAGEMENTS 2026'!AD207,'ENGAGEMENTS 2026'!N207),'ENGAGEMENTS 2026'!AD207))))</f>
        <v/>
      </c>
      <c r="K207" s="604">
        <f>IF(ISBLANK('ENGAGEMENTS 2026'!V207),"",'ENGAGEMENTS 2026'!V207)</f>
        <v/>
      </c>
      <c r="L207" s="276">
        <f>IF($K207="","",TODAY()-$K207)</f>
        <v/>
      </c>
      <c r="M207">
        <f>IF($A207="","",IF($H207="ENGAGE","Engagé",IF(AND($H207="NON ENGAGE",OR($I207="INFRUCTUEUX",$I207="ANNULE")),"Clôturé sans suite","En cours")))</f>
        <v/>
      </c>
      <c r="N207">
        <f>IF(ISBLANK('ENGAGEMENTS 2026'!B207),"",'ENGAGEMENTS 2026'!K207)</f>
        <v/>
      </c>
      <c r="O207">
        <f>IF(ISBLANK('ENGAGEMENTS 2026'!B207),"",'ENGAGEMENTS 2026'!L207)</f>
        <v/>
      </c>
      <c r="P207">
        <f>IF(ISBLANK('ENGAGEMENTS 2026'!B207),"",'ENGAGEMENTS 2026'!J207)</f>
        <v/>
      </c>
      <c r="Q207">
        <f>IF($A207="","",IF(OR($E207="INFRUCTUEUX",$E207="ANNULE"),$A207&amp;"|"&amp;(COUNTIFS($A$2:$A207,$A207,$E$2:$E207,"INFRUCTUEUX")+COUNTIFS($A$2:$A207,$A207,$E$2:$E207,"ANNULE")),""))</f>
        <v/>
      </c>
    </row>
    <row r="208">
      <c r="A208">
        <f>IF(ISBLANK('ENGAGEMENTS 2026'!B208),"",IF('ENGAGEMENTS 2026'!B208="DTSI","DCT",'ENGAGEMENTS 2026'!B208))</f>
        <v/>
      </c>
      <c r="B208">
        <f>IF(ISBLANK('ENGAGEMENTS 2026'!B208),"",'ENGAGEMENTS 2026'!C208)</f>
        <v/>
      </c>
      <c r="C208">
        <f>IF(ISBLANK('ENGAGEMENTS 2026'!B208),"",'ENGAGEMENTS 2026'!D208)</f>
        <v/>
      </c>
      <c r="D208">
        <f>IF(ISBLANK('ENGAGEMENTS 2026'!B208),"",'ENGAGEMENTS 2026'!F208)</f>
        <v/>
      </c>
      <c r="E208">
        <f>IF(ISBLANK('ENGAGEMENTS 2026'!B208),"",'ENGAGEMENTS 2026'!H208)</f>
        <v/>
      </c>
      <c r="F208">
        <f>IF(ISBLANK('ENGAGEMENTS 2026'!B208),"",'ENGAGEMENTS 2026'!I208)</f>
        <v/>
      </c>
      <c r="G208">
        <f>IF(ISBLANK('ENGAGEMENTS 2026'!B208),"",'ENGAGEMENTS 2026'!L208)</f>
        <v/>
      </c>
      <c r="H208">
        <f>IF(ISBLANK('ENGAGEMENTS 2026'!B208),"",'ENGAGEMENTS 2026'!AE208)</f>
        <v/>
      </c>
      <c r="I208">
        <f>IF(ISBLANK('ENGAGEMENTS 2026'!B208),"",'ENGAGEMENTS 2026'!G208)</f>
        <v/>
      </c>
      <c r="J208" s="275">
        <f>IF(ISBLANK('ENGAGEMENTS 2026'!B208),"",IF(AND(OR($E208="INFRUCTUEUX",$E208="ANNULE"),$C208="AOO-M"),'ENGAGEMENTS 2026'!O208,IF($H208="EN COURS DE PREENGAGEMENT",'ENGAGEMENTS 2026'!N208,IF($H208="PREENGAGE",IF($E208="ATTRIBUE",'ENGAGEMENTS 2026'!AD208,'ENGAGEMENTS 2026'!N208),'ENGAGEMENTS 2026'!AD208))))</f>
        <v/>
      </c>
      <c r="K208" s="604">
        <f>IF(ISBLANK('ENGAGEMENTS 2026'!V208),"",'ENGAGEMENTS 2026'!V208)</f>
        <v/>
      </c>
      <c r="L208" s="276">
        <f>IF($K208="","",TODAY()-$K208)</f>
        <v/>
      </c>
      <c r="M208">
        <f>IF($A208="","",IF($H208="ENGAGE","Engagé",IF(AND($H208="NON ENGAGE",OR($I208="INFRUCTUEUX",$I208="ANNULE")),"Clôturé sans suite","En cours")))</f>
        <v/>
      </c>
      <c r="N208">
        <f>IF(ISBLANK('ENGAGEMENTS 2026'!B208),"",'ENGAGEMENTS 2026'!K208)</f>
        <v/>
      </c>
      <c r="O208">
        <f>IF(ISBLANK('ENGAGEMENTS 2026'!B208),"",'ENGAGEMENTS 2026'!L208)</f>
        <v/>
      </c>
      <c r="P208">
        <f>IF(ISBLANK('ENGAGEMENTS 2026'!B208),"",'ENGAGEMENTS 2026'!J208)</f>
        <v/>
      </c>
      <c r="Q208">
        <f>IF($A208="","",IF(OR($E208="INFRUCTUEUX",$E208="ANNULE"),$A208&amp;"|"&amp;(COUNTIFS($A$2:$A208,$A208,$E$2:$E208,"INFRUCTUEUX")+COUNTIFS($A$2:$A208,$A208,$E$2:$E208,"ANNULE")),""))</f>
        <v/>
      </c>
    </row>
    <row r="209">
      <c r="A209">
        <f>IF(ISBLANK('ENGAGEMENTS 2026'!B209),"",IF('ENGAGEMENTS 2026'!B209="DTSI","DCT",'ENGAGEMENTS 2026'!B209))</f>
        <v/>
      </c>
      <c r="B209">
        <f>IF(ISBLANK('ENGAGEMENTS 2026'!B209),"",'ENGAGEMENTS 2026'!C209)</f>
        <v/>
      </c>
      <c r="C209">
        <f>IF(ISBLANK('ENGAGEMENTS 2026'!B209),"",'ENGAGEMENTS 2026'!D209)</f>
        <v/>
      </c>
      <c r="D209">
        <f>IF(ISBLANK('ENGAGEMENTS 2026'!B209),"",'ENGAGEMENTS 2026'!F209)</f>
        <v/>
      </c>
      <c r="E209">
        <f>IF(ISBLANK('ENGAGEMENTS 2026'!B209),"",'ENGAGEMENTS 2026'!H209)</f>
        <v/>
      </c>
      <c r="F209">
        <f>IF(ISBLANK('ENGAGEMENTS 2026'!B209),"",'ENGAGEMENTS 2026'!I209)</f>
        <v/>
      </c>
      <c r="G209">
        <f>IF(ISBLANK('ENGAGEMENTS 2026'!B209),"",'ENGAGEMENTS 2026'!L209)</f>
        <v/>
      </c>
      <c r="H209">
        <f>IF(ISBLANK('ENGAGEMENTS 2026'!B209),"",'ENGAGEMENTS 2026'!AE209)</f>
        <v/>
      </c>
      <c r="I209">
        <f>IF(ISBLANK('ENGAGEMENTS 2026'!B209),"",'ENGAGEMENTS 2026'!G209)</f>
        <v/>
      </c>
      <c r="J209" s="275">
        <f>IF(ISBLANK('ENGAGEMENTS 2026'!B209),"",IF(AND(OR($E209="INFRUCTUEUX",$E209="ANNULE"),$C209="AOO-M"),'ENGAGEMENTS 2026'!O209,IF($H209="EN COURS DE PREENGAGEMENT",'ENGAGEMENTS 2026'!N209,IF($H209="PREENGAGE",IF($E209="ATTRIBUE",'ENGAGEMENTS 2026'!AD209,'ENGAGEMENTS 2026'!N209),'ENGAGEMENTS 2026'!AD209))))</f>
        <v/>
      </c>
      <c r="K209" s="604">
        <f>IF(ISBLANK('ENGAGEMENTS 2026'!V209),"",'ENGAGEMENTS 2026'!V209)</f>
        <v/>
      </c>
      <c r="L209" s="276">
        <f>IF($K209="","",TODAY()-$K209)</f>
        <v/>
      </c>
      <c r="M209">
        <f>IF($A209="","",IF($H209="ENGAGE","Engagé",IF(AND($H209="NON ENGAGE",OR($I209="INFRUCTUEUX",$I209="ANNULE")),"Clôturé sans suite","En cours")))</f>
        <v/>
      </c>
      <c r="N209">
        <f>IF(ISBLANK('ENGAGEMENTS 2026'!B209),"",'ENGAGEMENTS 2026'!K209)</f>
        <v/>
      </c>
      <c r="O209">
        <f>IF(ISBLANK('ENGAGEMENTS 2026'!B209),"",'ENGAGEMENTS 2026'!L209)</f>
        <v/>
      </c>
      <c r="P209">
        <f>IF(ISBLANK('ENGAGEMENTS 2026'!B209),"",'ENGAGEMENTS 2026'!J209)</f>
        <v/>
      </c>
      <c r="Q209">
        <f>IF($A209="","",IF(OR($E209="INFRUCTUEUX",$E209="ANNULE"),$A209&amp;"|"&amp;(COUNTIFS($A$2:$A209,$A209,$E$2:$E209,"INFRUCTUEUX")+COUNTIFS($A$2:$A209,$A209,$E$2:$E209,"ANNULE")),""))</f>
        <v/>
      </c>
    </row>
    <row r="210">
      <c r="A210">
        <f>IF(ISBLANK('ENGAGEMENTS 2026'!B210),"",IF('ENGAGEMENTS 2026'!B210="DTSI","DCT",'ENGAGEMENTS 2026'!B210))</f>
        <v/>
      </c>
      <c r="B210">
        <f>IF(ISBLANK('ENGAGEMENTS 2026'!B210),"",'ENGAGEMENTS 2026'!C210)</f>
        <v/>
      </c>
      <c r="C210">
        <f>IF(ISBLANK('ENGAGEMENTS 2026'!B210),"",'ENGAGEMENTS 2026'!D210)</f>
        <v/>
      </c>
      <c r="D210">
        <f>IF(ISBLANK('ENGAGEMENTS 2026'!B210),"",'ENGAGEMENTS 2026'!F210)</f>
        <v/>
      </c>
      <c r="E210">
        <f>IF(ISBLANK('ENGAGEMENTS 2026'!B210),"",'ENGAGEMENTS 2026'!H210)</f>
        <v/>
      </c>
      <c r="F210">
        <f>IF(ISBLANK('ENGAGEMENTS 2026'!B210),"",'ENGAGEMENTS 2026'!I210)</f>
        <v/>
      </c>
      <c r="G210">
        <f>IF(ISBLANK('ENGAGEMENTS 2026'!B210),"",'ENGAGEMENTS 2026'!L210)</f>
        <v/>
      </c>
      <c r="H210">
        <f>IF(ISBLANK('ENGAGEMENTS 2026'!B210),"",'ENGAGEMENTS 2026'!AE210)</f>
        <v/>
      </c>
      <c r="I210">
        <f>IF(ISBLANK('ENGAGEMENTS 2026'!B210),"",'ENGAGEMENTS 2026'!G210)</f>
        <v/>
      </c>
      <c r="J210" s="275">
        <f>IF(ISBLANK('ENGAGEMENTS 2026'!B210),"",IF(AND(OR($E210="INFRUCTUEUX",$E210="ANNULE"),$C210="AOO-M"),'ENGAGEMENTS 2026'!O210,IF($H210="EN COURS DE PREENGAGEMENT",'ENGAGEMENTS 2026'!N210,IF($H210="PREENGAGE",IF($E210="ATTRIBUE",'ENGAGEMENTS 2026'!AD210,'ENGAGEMENTS 2026'!N210),'ENGAGEMENTS 2026'!AD210))))</f>
        <v/>
      </c>
      <c r="K210" s="604">
        <f>IF(ISBLANK('ENGAGEMENTS 2026'!V210),"",'ENGAGEMENTS 2026'!V210)</f>
        <v/>
      </c>
      <c r="L210" s="276">
        <f>IF($K210="","",TODAY()-$K210)</f>
        <v/>
      </c>
      <c r="M210">
        <f>IF($A210="","",IF($H210="ENGAGE","Engagé",IF(AND($H210="NON ENGAGE",OR($I210="INFRUCTUEUX",$I210="ANNULE")),"Clôturé sans suite","En cours")))</f>
        <v/>
      </c>
      <c r="N210">
        <f>IF(ISBLANK('ENGAGEMENTS 2026'!B210),"",'ENGAGEMENTS 2026'!K210)</f>
        <v/>
      </c>
      <c r="O210">
        <f>IF(ISBLANK('ENGAGEMENTS 2026'!B210),"",'ENGAGEMENTS 2026'!L210)</f>
        <v/>
      </c>
      <c r="P210">
        <f>IF(ISBLANK('ENGAGEMENTS 2026'!B210),"",'ENGAGEMENTS 2026'!J210)</f>
        <v/>
      </c>
      <c r="Q210">
        <f>IF($A210="","",IF(OR($E210="INFRUCTUEUX",$E210="ANNULE"),$A210&amp;"|"&amp;(COUNTIFS($A$2:$A210,$A210,$E$2:$E210,"INFRUCTUEUX")+COUNTIFS($A$2:$A210,$A210,$E$2:$E210,"ANNULE")),""))</f>
        <v/>
      </c>
    </row>
    <row r="211">
      <c r="A211">
        <f>IF(ISBLANK('ENGAGEMENTS 2026'!B211),"",IF('ENGAGEMENTS 2026'!B211="DTSI","DCT",'ENGAGEMENTS 2026'!B211))</f>
        <v/>
      </c>
      <c r="B211">
        <f>IF(ISBLANK('ENGAGEMENTS 2026'!B211),"",'ENGAGEMENTS 2026'!C211)</f>
        <v/>
      </c>
      <c r="C211">
        <f>IF(ISBLANK('ENGAGEMENTS 2026'!B211),"",'ENGAGEMENTS 2026'!D211)</f>
        <v/>
      </c>
      <c r="D211">
        <f>IF(ISBLANK('ENGAGEMENTS 2026'!B211),"",'ENGAGEMENTS 2026'!F211)</f>
        <v/>
      </c>
      <c r="E211">
        <f>IF(ISBLANK('ENGAGEMENTS 2026'!B211),"",'ENGAGEMENTS 2026'!H211)</f>
        <v/>
      </c>
      <c r="F211">
        <f>IF(ISBLANK('ENGAGEMENTS 2026'!B211),"",'ENGAGEMENTS 2026'!I211)</f>
        <v/>
      </c>
      <c r="G211">
        <f>IF(ISBLANK('ENGAGEMENTS 2026'!B211),"",'ENGAGEMENTS 2026'!L211)</f>
        <v/>
      </c>
      <c r="H211">
        <f>IF(ISBLANK('ENGAGEMENTS 2026'!B211),"",'ENGAGEMENTS 2026'!AE211)</f>
        <v/>
      </c>
      <c r="I211">
        <f>IF(ISBLANK('ENGAGEMENTS 2026'!B211),"",'ENGAGEMENTS 2026'!G211)</f>
        <v/>
      </c>
      <c r="J211" s="275">
        <f>IF(ISBLANK('ENGAGEMENTS 2026'!B211),"",IF(AND(OR($E211="INFRUCTUEUX",$E211="ANNULE"),$C211="AOO-M"),'ENGAGEMENTS 2026'!O211,IF($H211="EN COURS DE PREENGAGEMENT",'ENGAGEMENTS 2026'!N211,IF($H211="PREENGAGE",IF($E211="ATTRIBUE",'ENGAGEMENTS 2026'!AD211,'ENGAGEMENTS 2026'!N211),'ENGAGEMENTS 2026'!AD211))))</f>
        <v/>
      </c>
      <c r="K211" s="604">
        <f>IF(ISBLANK('ENGAGEMENTS 2026'!V211),"",'ENGAGEMENTS 2026'!V211)</f>
        <v/>
      </c>
      <c r="L211" s="276">
        <f>IF($K211="","",TODAY()-$K211)</f>
        <v/>
      </c>
      <c r="M211">
        <f>IF($A211="","",IF($H211="ENGAGE","Engagé",IF(AND($H211="NON ENGAGE",OR($I211="INFRUCTUEUX",$I211="ANNULE")),"Clôturé sans suite","En cours")))</f>
        <v/>
      </c>
      <c r="N211">
        <f>IF(ISBLANK('ENGAGEMENTS 2026'!B211),"",'ENGAGEMENTS 2026'!K211)</f>
        <v/>
      </c>
      <c r="O211">
        <f>IF(ISBLANK('ENGAGEMENTS 2026'!B211),"",'ENGAGEMENTS 2026'!L211)</f>
        <v/>
      </c>
      <c r="P211">
        <f>IF(ISBLANK('ENGAGEMENTS 2026'!B211),"",'ENGAGEMENTS 2026'!J211)</f>
        <v/>
      </c>
      <c r="Q211">
        <f>IF($A211="","",IF(OR($E211="INFRUCTUEUX",$E211="ANNULE"),$A211&amp;"|"&amp;(COUNTIFS($A$2:$A211,$A211,$E$2:$E211,"INFRUCTUEUX")+COUNTIFS($A$2:$A211,$A211,$E$2:$E211,"ANNULE")),""))</f>
        <v/>
      </c>
    </row>
    <row r="212">
      <c r="A212">
        <f>IF(ISBLANK('ENGAGEMENTS 2026'!B212),"",IF('ENGAGEMENTS 2026'!B212="DTSI","DCT",'ENGAGEMENTS 2026'!B212))</f>
        <v/>
      </c>
      <c r="B212">
        <f>IF(ISBLANK('ENGAGEMENTS 2026'!B212),"",'ENGAGEMENTS 2026'!C212)</f>
        <v/>
      </c>
      <c r="C212">
        <f>IF(ISBLANK('ENGAGEMENTS 2026'!B212),"",'ENGAGEMENTS 2026'!D212)</f>
        <v/>
      </c>
      <c r="D212">
        <f>IF(ISBLANK('ENGAGEMENTS 2026'!B212),"",'ENGAGEMENTS 2026'!F212)</f>
        <v/>
      </c>
      <c r="E212">
        <f>IF(ISBLANK('ENGAGEMENTS 2026'!B212),"",'ENGAGEMENTS 2026'!H212)</f>
        <v/>
      </c>
      <c r="F212">
        <f>IF(ISBLANK('ENGAGEMENTS 2026'!B212),"",'ENGAGEMENTS 2026'!I212)</f>
        <v/>
      </c>
      <c r="G212">
        <f>IF(ISBLANK('ENGAGEMENTS 2026'!B212),"",'ENGAGEMENTS 2026'!L212)</f>
        <v/>
      </c>
      <c r="H212">
        <f>IF(ISBLANK('ENGAGEMENTS 2026'!B212),"",'ENGAGEMENTS 2026'!AE212)</f>
        <v/>
      </c>
      <c r="I212">
        <f>IF(ISBLANK('ENGAGEMENTS 2026'!B212),"",'ENGAGEMENTS 2026'!G212)</f>
        <v/>
      </c>
      <c r="J212" s="275">
        <f>IF(ISBLANK('ENGAGEMENTS 2026'!B212),"",IF(AND(OR($E212="INFRUCTUEUX",$E212="ANNULE"),$C212="AOO-M"),'ENGAGEMENTS 2026'!O212,IF($H212="EN COURS DE PREENGAGEMENT",'ENGAGEMENTS 2026'!N212,IF($H212="PREENGAGE",IF($E212="ATTRIBUE",'ENGAGEMENTS 2026'!AD212,'ENGAGEMENTS 2026'!N212),'ENGAGEMENTS 2026'!AD212))))</f>
        <v/>
      </c>
      <c r="K212" s="604">
        <f>IF(ISBLANK('ENGAGEMENTS 2026'!V212),"",'ENGAGEMENTS 2026'!V212)</f>
        <v/>
      </c>
      <c r="L212" s="276">
        <f>IF($K212="","",TODAY()-$K212)</f>
        <v/>
      </c>
      <c r="M212">
        <f>IF($A212="","",IF($H212="ENGAGE","Engagé",IF(AND($H212="NON ENGAGE",OR($I212="INFRUCTUEUX",$I212="ANNULE")),"Clôturé sans suite","En cours")))</f>
        <v/>
      </c>
      <c r="N212">
        <f>IF(ISBLANK('ENGAGEMENTS 2026'!B212),"",'ENGAGEMENTS 2026'!K212)</f>
        <v/>
      </c>
      <c r="O212">
        <f>IF(ISBLANK('ENGAGEMENTS 2026'!B212),"",'ENGAGEMENTS 2026'!L212)</f>
        <v/>
      </c>
      <c r="P212">
        <f>IF(ISBLANK('ENGAGEMENTS 2026'!B212),"",'ENGAGEMENTS 2026'!J212)</f>
        <v/>
      </c>
      <c r="Q212">
        <f>IF($A212="","",IF(OR($E212="INFRUCTUEUX",$E212="ANNULE"),$A212&amp;"|"&amp;(COUNTIFS($A$2:$A212,$A212,$E$2:$E212,"INFRUCTUEUX")+COUNTIFS($A$2:$A212,$A212,$E$2:$E212,"ANNULE")),""))</f>
        <v/>
      </c>
    </row>
    <row r="213">
      <c r="A213">
        <f>IF(ISBLANK('ENGAGEMENTS 2026'!B213),"",IF('ENGAGEMENTS 2026'!B213="DTSI","DCT",'ENGAGEMENTS 2026'!B213))</f>
        <v/>
      </c>
      <c r="B213">
        <f>IF(ISBLANK('ENGAGEMENTS 2026'!B213),"",'ENGAGEMENTS 2026'!C213)</f>
        <v/>
      </c>
      <c r="C213">
        <f>IF(ISBLANK('ENGAGEMENTS 2026'!B213),"",'ENGAGEMENTS 2026'!D213)</f>
        <v/>
      </c>
      <c r="D213">
        <f>IF(ISBLANK('ENGAGEMENTS 2026'!B213),"",'ENGAGEMENTS 2026'!F213)</f>
        <v/>
      </c>
      <c r="E213">
        <f>IF(ISBLANK('ENGAGEMENTS 2026'!B213),"",'ENGAGEMENTS 2026'!H213)</f>
        <v/>
      </c>
      <c r="F213">
        <f>IF(ISBLANK('ENGAGEMENTS 2026'!B213),"",'ENGAGEMENTS 2026'!I213)</f>
        <v/>
      </c>
      <c r="G213">
        <f>IF(ISBLANK('ENGAGEMENTS 2026'!B213),"",'ENGAGEMENTS 2026'!L213)</f>
        <v/>
      </c>
      <c r="H213">
        <f>IF(ISBLANK('ENGAGEMENTS 2026'!B213),"",'ENGAGEMENTS 2026'!AE213)</f>
        <v/>
      </c>
      <c r="I213">
        <f>IF(ISBLANK('ENGAGEMENTS 2026'!B213),"",'ENGAGEMENTS 2026'!G213)</f>
        <v/>
      </c>
      <c r="J213" s="275">
        <f>IF(ISBLANK('ENGAGEMENTS 2026'!B213),"",IF(AND(OR($E213="INFRUCTUEUX",$E213="ANNULE"),$C213="AOO-M"),'ENGAGEMENTS 2026'!O213,IF($H213="EN COURS DE PREENGAGEMENT",'ENGAGEMENTS 2026'!N213,IF($H213="PREENGAGE",IF($E213="ATTRIBUE",'ENGAGEMENTS 2026'!AD213,'ENGAGEMENTS 2026'!N213),'ENGAGEMENTS 2026'!AD213))))</f>
        <v/>
      </c>
      <c r="K213" s="604">
        <f>IF(ISBLANK('ENGAGEMENTS 2026'!V213),"",'ENGAGEMENTS 2026'!V213)</f>
        <v/>
      </c>
      <c r="L213" s="276">
        <f>IF($K213="","",TODAY()-$K213)</f>
        <v/>
      </c>
      <c r="M213">
        <f>IF($A213="","",IF($H213="ENGAGE","Engagé",IF(AND($H213="NON ENGAGE",OR($I213="INFRUCTUEUX",$I213="ANNULE")),"Clôturé sans suite","En cours")))</f>
        <v/>
      </c>
      <c r="N213">
        <f>IF(ISBLANK('ENGAGEMENTS 2026'!B213),"",'ENGAGEMENTS 2026'!K213)</f>
        <v/>
      </c>
      <c r="O213">
        <f>IF(ISBLANK('ENGAGEMENTS 2026'!B213),"",'ENGAGEMENTS 2026'!L213)</f>
        <v/>
      </c>
      <c r="P213">
        <f>IF(ISBLANK('ENGAGEMENTS 2026'!B213),"",'ENGAGEMENTS 2026'!J213)</f>
        <v/>
      </c>
      <c r="Q213">
        <f>IF($A213="","",IF(OR($E213="INFRUCTUEUX",$E213="ANNULE"),$A213&amp;"|"&amp;(COUNTIFS($A$2:$A213,$A213,$E$2:$E213,"INFRUCTUEUX")+COUNTIFS($A$2:$A213,$A213,$E$2:$E213,"ANNULE")),""))</f>
        <v/>
      </c>
    </row>
    <row r="214">
      <c r="A214">
        <f>IF(ISBLANK('ENGAGEMENTS 2026'!B214),"",IF('ENGAGEMENTS 2026'!B214="DTSI","DCT",'ENGAGEMENTS 2026'!B214))</f>
        <v/>
      </c>
      <c r="B214">
        <f>IF(ISBLANK('ENGAGEMENTS 2026'!B214),"",'ENGAGEMENTS 2026'!C214)</f>
        <v/>
      </c>
      <c r="C214">
        <f>IF(ISBLANK('ENGAGEMENTS 2026'!B214),"",'ENGAGEMENTS 2026'!D214)</f>
        <v/>
      </c>
      <c r="D214">
        <f>IF(ISBLANK('ENGAGEMENTS 2026'!B214),"",'ENGAGEMENTS 2026'!F214)</f>
        <v/>
      </c>
      <c r="E214">
        <f>IF(ISBLANK('ENGAGEMENTS 2026'!B214),"",'ENGAGEMENTS 2026'!H214)</f>
        <v/>
      </c>
      <c r="F214">
        <f>IF(ISBLANK('ENGAGEMENTS 2026'!B214),"",'ENGAGEMENTS 2026'!I214)</f>
        <v/>
      </c>
      <c r="G214">
        <f>IF(ISBLANK('ENGAGEMENTS 2026'!B214),"",'ENGAGEMENTS 2026'!L214)</f>
        <v/>
      </c>
      <c r="H214">
        <f>IF(ISBLANK('ENGAGEMENTS 2026'!B214),"",'ENGAGEMENTS 2026'!AE214)</f>
        <v/>
      </c>
      <c r="I214">
        <f>IF(ISBLANK('ENGAGEMENTS 2026'!B214),"",'ENGAGEMENTS 2026'!G214)</f>
        <v/>
      </c>
      <c r="J214" s="275">
        <f>IF(ISBLANK('ENGAGEMENTS 2026'!B214),"",IF(AND(OR($E214="INFRUCTUEUX",$E214="ANNULE"),$C214="AOO-M"),'ENGAGEMENTS 2026'!O214,IF($H214="EN COURS DE PREENGAGEMENT",'ENGAGEMENTS 2026'!N214,IF($H214="PREENGAGE",IF($E214="ATTRIBUE",'ENGAGEMENTS 2026'!AD214,'ENGAGEMENTS 2026'!N214),'ENGAGEMENTS 2026'!AD214))))</f>
        <v/>
      </c>
      <c r="K214" s="604">
        <f>IF(ISBLANK('ENGAGEMENTS 2026'!V214),"",'ENGAGEMENTS 2026'!V214)</f>
        <v/>
      </c>
      <c r="L214" s="276">
        <f>IF($K214="","",TODAY()-$K214)</f>
        <v/>
      </c>
      <c r="M214">
        <f>IF($A214="","",IF($H214="ENGAGE","Engagé",IF(AND($H214="NON ENGAGE",OR($I214="INFRUCTUEUX",$I214="ANNULE")),"Clôturé sans suite","En cours")))</f>
        <v/>
      </c>
      <c r="N214">
        <f>IF(ISBLANK('ENGAGEMENTS 2026'!B214),"",'ENGAGEMENTS 2026'!K214)</f>
        <v/>
      </c>
      <c r="O214">
        <f>IF(ISBLANK('ENGAGEMENTS 2026'!B214),"",'ENGAGEMENTS 2026'!L214)</f>
        <v/>
      </c>
      <c r="P214">
        <f>IF(ISBLANK('ENGAGEMENTS 2026'!B214),"",'ENGAGEMENTS 2026'!J214)</f>
        <v/>
      </c>
      <c r="Q214">
        <f>IF($A214="","",IF(OR($E214="INFRUCTUEUX",$E214="ANNULE"),$A214&amp;"|"&amp;(COUNTIFS($A$2:$A214,$A214,$E$2:$E214,"INFRUCTUEUX")+COUNTIFS($A$2:$A214,$A214,$E$2:$E214,"ANNULE")),""))</f>
        <v/>
      </c>
    </row>
    <row r="215">
      <c r="A215">
        <f>IF(ISBLANK('ENGAGEMENTS 2026'!B215),"",IF('ENGAGEMENTS 2026'!B215="DTSI","DCT",'ENGAGEMENTS 2026'!B215))</f>
        <v/>
      </c>
      <c r="B215">
        <f>IF(ISBLANK('ENGAGEMENTS 2026'!B215),"",'ENGAGEMENTS 2026'!C215)</f>
        <v/>
      </c>
      <c r="C215">
        <f>IF(ISBLANK('ENGAGEMENTS 2026'!B215),"",'ENGAGEMENTS 2026'!D215)</f>
        <v/>
      </c>
      <c r="D215">
        <f>IF(ISBLANK('ENGAGEMENTS 2026'!B215),"",'ENGAGEMENTS 2026'!F215)</f>
        <v/>
      </c>
      <c r="E215">
        <f>IF(ISBLANK('ENGAGEMENTS 2026'!B215),"",'ENGAGEMENTS 2026'!H215)</f>
        <v/>
      </c>
      <c r="F215">
        <f>IF(ISBLANK('ENGAGEMENTS 2026'!B215),"",'ENGAGEMENTS 2026'!I215)</f>
        <v/>
      </c>
      <c r="G215">
        <f>IF(ISBLANK('ENGAGEMENTS 2026'!B215),"",'ENGAGEMENTS 2026'!L215)</f>
        <v/>
      </c>
      <c r="H215">
        <f>IF(ISBLANK('ENGAGEMENTS 2026'!B215),"",'ENGAGEMENTS 2026'!AE215)</f>
        <v/>
      </c>
      <c r="I215">
        <f>IF(ISBLANK('ENGAGEMENTS 2026'!B215),"",'ENGAGEMENTS 2026'!G215)</f>
        <v/>
      </c>
      <c r="J215" s="275">
        <f>IF(ISBLANK('ENGAGEMENTS 2026'!B215),"",IF(AND(OR($E215="INFRUCTUEUX",$E215="ANNULE"),$C215="AOO-M"),'ENGAGEMENTS 2026'!O215,IF($H215="EN COURS DE PREENGAGEMENT",'ENGAGEMENTS 2026'!N215,IF($H215="PREENGAGE",IF($E215="ATTRIBUE",'ENGAGEMENTS 2026'!AD215,'ENGAGEMENTS 2026'!N215),'ENGAGEMENTS 2026'!AD215))))</f>
        <v/>
      </c>
      <c r="K215" s="604">
        <f>IF(ISBLANK('ENGAGEMENTS 2026'!V215),"",'ENGAGEMENTS 2026'!V215)</f>
        <v/>
      </c>
      <c r="L215" s="276">
        <f>IF($K215="","",TODAY()-$K215)</f>
        <v/>
      </c>
      <c r="M215">
        <f>IF($A215="","",IF($H215="ENGAGE","Engagé",IF(AND($H215="NON ENGAGE",OR($I215="INFRUCTUEUX",$I215="ANNULE")),"Clôturé sans suite","En cours")))</f>
        <v/>
      </c>
      <c r="N215">
        <f>IF(ISBLANK('ENGAGEMENTS 2026'!B215),"",'ENGAGEMENTS 2026'!K215)</f>
        <v/>
      </c>
      <c r="O215">
        <f>IF(ISBLANK('ENGAGEMENTS 2026'!B215),"",'ENGAGEMENTS 2026'!L215)</f>
        <v/>
      </c>
      <c r="P215">
        <f>IF(ISBLANK('ENGAGEMENTS 2026'!B215),"",'ENGAGEMENTS 2026'!J215)</f>
        <v/>
      </c>
      <c r="Q215">
        <f>IF($A215="","",IF(OR($E215="INFRUCTUEUX",$E215="ANNULE"),$A215&amp;"|"&amp;(COUNTIFS($A$2:$A215,$A215,$E$2:$E215,"INFRUCTUEUX")+COUNTIFS($A$2:$A215,$A215,$E$2:$E215,"ANNULE")),""))</f>
        <v/>
      </c>
    </row>
    <row r="216">
      <c r="A216">
        <f>IF(ISBLANK('ENGAGEMENTS 2026'!B216),"",IF('ENGAGEMENTS 2026'!B216="DTSI","DCT",'ENGAGEMENTS 2026'!B216))</f>
        <v/>
      </c>
      <c r="B216">
        <f>IF(ISBLANK('ENGAGEMENTS 2026'!B216),"",'ENGAGEMENTS 2026'!C216)</f>
        <v/>
      </c>
      <c r="C216">
        <f>IF(ISBLANK('ENGAGEMENTS 2026'!B216),"",'ENGAGEMENTS 2026'!D216)</f>
        <v/>
      </c>
      <c r="D216">
        <f>IF(ISBLANK('ENGAGEMENTS 2026'!B216),"",'ENGAGEMENTS 2026'!F216)</f>
        <v/>
      </c>
      <c r="E216">
        <f>IF(ISBLANK('ENGAGEMENTS 2026'!B216),"",'ENGAGEMENTS 2026'!H216)</f>
        <v/>
      </c>
      <c r="F216">
        <f>IF(ISBLANK('ENGAGEMENTS 2026'!B216),"",'ENGAGEMENTS 2026'!I216)</f>
        <v/>
      </c>
      <c r="G216">
        <f>IF(ISBLANK('ENGAGEMENTS 2026'!B216),"",'ENGAGEMENTS 2026'!L216)</f>
        <v/>
      </c>
      <c r="H216">
        <f>IF(ISBLANK('ENGAGEMENTS 2026'!B216),"",'ENGAGEMENTS 2026'!AE216)</f>
        <v/>
      </c>
      <c r="I216">
        <f>IF(ISBLANK('ENGAGEMENTS 2026'!B216),"",'ENGAGEMENTS 2026'!G216)</f>
        <v/>
      </c>
      <c r="J216" s="275">
        <f>IF(ISBLANK('ENGAGEMENTS 2026'!B216),"",IF(AND(OR($E216="INFRUCTUEUX",$E216="ANNULE"),$C216="AOO-M"),'ENGAGEMENTS 2026'!O216,IF($H216="EN COURS DE PREENGAGEMENT",'ENGAGEMENTS 2026'!N216,IF($H216="PREENGAGE",IF($E216="ATTRIBUE",'ENGAGEMENTS 2026'!AD216,'ENGAGEMENTS 2026'!N216),'ENGAGEMENTS 2026'!AD216))))</f>
        <v/>
      </c>
      <c r="K216" s="604">
        <f>IF(ISBLANK('ENGAGEMENTS 2026'!V216),"",'ENGAGEMENTS 2026'!V216)</f>
        <v/>
      </c>
      <c r="L216" s="276">
        <f>IF($K216="","",TODAY()-$K216)</f>
        <v/>
      </c>
      <c r="M216">
        <f>IF($A216="","",IF($H216="ENGAGE","Engagé",IF(AND($H216="NON ENGAGE",OR($I216="INFRUCTUEUX",$I216="ANNULE")),"Clôturé sans suite","En cours")))</f>
        <v/>
      </c>
      <c r="N216">
        <f>IF(ISBLANK('ENGAGEMENTS 2026'!B216),"",'ENGAGEMENTS 2026'!K216)</f>
        <v/>
      </c>
      <c r="O216">
        <f>IF(ISBLANK('ENGAGEMENTS 2026'!B216),"",'ENGAGEMENTS 2026'!L216)</f>
        <v/>
      </c>
      <c r="P216">
        <f>IF(ISBLANK('ENGAGEMENTS 2026'!B216),"",'ENGAGEMENTS 2026'!J216)</f>
        <v/>
      </c>
      <c r="Q216">
        <f>IF($A216="","",IF(OR($E216="INFRUCTUEUX",$E216="ANNULE"),$A216&amp;"|"&amp;(COUNTIFS($A$2:$A216,$A216,$E$2:$E216,"INFRUCTUEUX")+COUNTIFS($A$2:$A216,$A216,$E$2:$E216,"ANNULE")),""))</f>
        <v/>
      </c>
    </row>
    <row r="217">
      <c r="A217">
        <f>IF(ISBLANK('ENGAGEMENTS 2026'!B217),"",IF('ENGAGEMENTS 2026'!B217="DTSI","DCT",'ENGAGEMENTS 2026'!B217))</f>
        <v/>
      </c>
      <c r="B217">
        <f>IF(ISBLANK('ENGAGEMENTS 2026'!B217),"",'ENGAGEMENTS 2026'!C217)</f>
        <v/>
      </c>
      <c r="C217">
        <f>IF(ISBLANK('ENGAGEMENTS 2026'!B217),"",'ENGAGEMENTS 2026'!D217)</f>
        <v/>
      </c>
      <c r="D217">
        <f>IF(ISBLANK('ENGAGEMENTS 2026'!B217),"",'ENGAGEMENTS 2026'!F217)</f>
        <v/>
      </c>
      <c r="E217">
        <f>IF(ISBLANK('ENGAGEMENTS 2026'!B217),"",'ENGAGEMENTS 2026'!H217)</f>
        <v/>
      </c>
      <c r="F217">
        <f>IF(ISBLANK('ENGAGEMENTS 2026'!B217),"",'ENGAGEMENTS 2026'!I217)</f>
        <v/>
      </c>
      <c r="G217">
        <f>IF(ISBLANK('ENGAGEMENTS 2026'!B217),"",'ENGAGEMENTS 2026'!L217)</f>
        <v/>
      </c>
      <c r="H217">
        <f>IF(ISBLANK('ENGAGEMENTS 2026'!B217),"",'ENGAGEMENTS 2026'!AE217)</f>
        <v/>
      </c>
      <c r="I217">
        <f>IF(ISBLANK('ENGAGEMENTS 2026'!B217),"",'ENGAGEMENTS 2026'!G217)</f>
        <v/>
      </c>
      <c r="J217" s="275">
        <f>IF(ISBLANK('ENGAGEMENTS 2026'!B217),"",IF(AND(OR($E217="INFRUCTUEUX",$E217="ANNULE"),$C217="AOO-M"),'ENGAGEMENTS 2026'!O217,IF($H217="EN COURS DE PREENGAGEMENT",'ENGAGEMENTS 2026'!N217,IF($H217="PREENGAGE",IF($E217="ATTRIBUE",'ENGAGEMENTS 2026'!AD217,'ENGAGEMENTS 2026'!N217),'ENGAGEMENTS 2026'!AD217))))</f>
        <v/>
      </c>
      <c r="K217" s="604">
        <f>IF(ISBLANK('ENGAGEMENTS 2026'!V217),"",'ENGAGEMENTS 2026'!V217)</f>
        <v/>
      </c>
      <c r="L217" s="276">
        <f>IF($K217="","",TODAY()-$K217)</f>
        <v/>
      </c>
      <c r="M217">
        <f>IF($A217="","",IF($H217="ENGAGE","Engagé",IF(AND($H217="NON ENGAGE",OR($I217="INFRUCTUEUX",$I217="ANNULE")),"Clôturé sans suite","En cours")))</f>
        <v/>
      </c>
      <c r="N217">
        <f>IF(ISBLANK('ENGAGEMENTS 2026'!B217),"",'ENGAGEMENTS 2026'!K217)</f>
        <v/>
      </c>
      <c r="O217">
        <f>IF(ISBLANK('ENGAGEMENTS 2026'!B217),"",'ENGAGEMENTS 2026'!L217)</f>
        <v/>
      </c>
      <c r="P217">
        <f>IF(ISBLANK('ENGAGEMENTS 2026'!B217),"",'ENGAGEMENTS 2026'!J217)</f>
        <v/>
      </c>
      <c r="Q217">
        <f>IF($A217="","",IF(OR($E217="INFRUCTUEUX",$E217="ANNULE"),$A217&amp;"|"&amp;(COUNTIFS($A$2:$A217,$A217,$E$2:$E217,"INFRUCTUEUX")+COUNTIFS($A$2:$A217,$A217,$E$2:$E217,"ANNULE")),""))</f>
        <v/>
      </c>
    </row>
    <row r="218">
      <c r="A218">
        <f>IF(ISBLANK('ENGAGEMENTS 2026'!B218),"",IF('ENGAGEMENTS 2026'!B218="DTSI","DCT",'ENGAGEMENTS 2026'!B218))</f>
        <v/>
      </c>
      <c r="B218">
        <f>IF(ISBLANK('ENGAGEMENTS 2026'!B218),"",'ENGAGEMENTS 2026'!C218)</f>
        <v/>
      </c>
      <c r="C218">
        <f>IF(ISBLANK('ENGAGEMENTS 2026'!B218),"",'ENGAGEMENTS 2026'!D218)</f>
        <v/>
      </c>
      <c r="D218">
        <f>IF(ISBLANK('ENGAGEMENTS 2026'!B218),"",'ENGAGEMENTS 2026'!F218)</f>
        <v/>
      </c>
      <c r="E218">
        <f>IF(ISBLANK('ENGAGEMENTS 2026'!B218),"",'ENGAGEMENTS 2026'!H218)</f>
        <v/>
      </c>
      <c r="F218">
        <f>IF(ISBLANK('ENGAGEMENTS 2026'!B218),"",'ENGAGEMENTS 2026'!I218)</f>
        <v/>
      </c>
      <c r="G218">
        <f>IF(ISBLANK('ENGAGEMENTS 2026'!B218),"",'ENGAGEMENTS 2026'!L218)</f>
        <v/>
      </c>
      <c r="H218">
        <f>IF(ISBLANK('ENGAGEMENTS 2026'!B218),"",'ENGAGEMENTS 2026'!AE218)</f>
        <v/>
      </c>
      <c r="I218">
        <f>IF(ISBLANK('ENGAGEMENTS 2026'!B218),"",'ENGAGEMENTS 2026'!G218)</f>
        <v/>
      </c>
      <c r="J218" s="275">
        <f>IF(ISBLANK('ENGAGEMENTS 2026'!B218),"",IF(AND(OR($E218="INFRUCTUEUX",$E218="ANNULE"),$C218="AOO-M"),'ENGAGEMENTS 2026'!O218,IF($H218="EN COURS DE PREENGAGEMENT",'ENGAGEMENTS 2026'!N218,IF($H218="PREENGAGE",IF($E218="ATTRIBUE",'ENGAGEMENTS 2026'!AD218,'ENGAGEMENTS 2026'!N218),'ENGAGEMENTS 2026'!AD218))))</f>
        <v/>
      </c>
      <c r="K218" s="604">
        <f>IF(ISBLANK('ENGAGEMENTS 2026'!V218),"",'ENGAGEMENTS 2026'!V218)</f>
        <v/>
      </c>
      <c r="L218" s="276">
        <f>IF($K218="","",TODAY()-$K218)</f>
        <v/>
      </c>
      <c r="M218">
        <f>IF($A218="","",IF($H218="ENGAGE","Engagé",IF(AND($H218="NON ENGAGE",OR($I218="INFRUCTUEUX",$I218="ANNULE")),"Clôturé sans suite","En cours")))</f>
        <v/>
      </c>
      <c r="N218">
        <f>IF(ISBLANK('ENGAGEMENTS 2026'!B218),"",'ENGAGEMENTS 2026'!K218)</f>
        <v/>
      </c>
      <c r="O218">
        <f>IF(ISBLANK('ENGAGEMENTS 2026'!B218),"",'ENGAGEMENTS 2026'!L218)</f>
        <v/>
      </c>
      <c r="P218">
        <f>IF(ISBLANK('ENGAGEMENTS 2026'!B218),"",'ENGAGEMENTS 2026'!J218)</f>
        <v/>
      </c>
      <c r="Q218">
        <f>IF($A218="","",IF(OR($E218="INFRUCTUEUX",$E218="ANNULE"),$A218&amp;"|"&amp;(COUNTIFS($A$2:$A218,$A218,$E$2:$E218,"INFRUCTUEUX")+COUNTIFS($A$2:$A218,$A218,$E$2:$E218,"ANNULE")),""))</f>
        <v/>
      </c>
    </row>
    <row r="219">
      <c r="A219">
        <f>IF(ISBLANK('ENGAGEMENTS 2026'!B219),"",IF('ENGAGEMENTS 2026'!B219="DTSI","DCT",'ENGAGEMENTS 2026'!B219))</f>
        <v/>
      </c>
      <c r="B219">
        <f>IF(ISBLANK('ENGAGEMENTS 2026'!B219),"",'ENGAGEMENTS 2026'!C219)</f>
        <v/>
      </c>
      <c r="C219">
        <f>IF(ISBLANK('ENGAGEMENTS 2026'!B219),"",'ENGAGEMENTS 2026'!D219)</f>
        <v/>
      </c>
      <c r="D219">
        <f>IF(ISBLANK('ENGAGEMENTS 2026'!B219),"",'ENGAGEMENTS 2026'!F219)</f>
        <v/>
      </c>
      <c r="E219">
        <f>IF(ISBLANK('ENGAGEMENTS 2026'!B219),"",'ENGAGEMENTS 2026'!H219)</f>
        <v/>
      </c>
      <c r="F219">
        <f>IF(ISBLANK('ENGAGEMENTS 2026'!B219),"",'ENGAGEMENTS 2026'!I219)</f>
        <v/>
      </c>
      <c r="G219">
        <f>IF(ISBLANK('ENGAGEMENTS 2026'!B219),"",'ENGAGEMENTS 2026'!L219)</f>
        <v/>
      </c>
      <c r="H219">
        <f>IF(ISBLANK('ENGAGEMENTS 2026'!B219),"",'ENGAGEMENTS 2026'!AE219)</f>
        <v/>
      </c>
      <c r="I219">
        <f>IF(ISBLANK('ENGAGEMENTS 2026'!B219),"",'ENGAGEMENTS 2026'!G219)</f>
        <v/>
      </c>
      <c r="J219" s="275">
        <f>IF(ISBLANK('ENGAGEMENTS 2026'!B219),"",IF(AND(OR($E219="INFRUCTUEUX",$E219="ANNULE"),$C219="AOO-M"),'ENGAGEMENTS 2026'!O219,IF($H219="EN COURS DE PREENGAGEMENT",'ENGAGEMENTS 2026'!N219,IF($H219="PREENGAGE",IF($E219="ATTRIBUE",'ENGAGEMENTS 2026'!AD219,'ENGAGEMENTS 2026'!N219),'ENGAGEMENTS 2026'!AD219))))</f>
        <v/>
      </c>
      <c r="K219" s="604">
        <f>IF(ISBLANK('ENGAGEMENTS 2026'!V219),"",'ENGAGEMENTS 2026'!V219)</f>
        <v/>
      </c>
      <c r="L219" s="276">
        <f>IF($K219="","",TODAY()-$K219)</f>
        <v/>
      </c>
      <c r="M219">
        <f>IF($A219="","",IF($H219="ENGAGE","Engagé",IF(AND($H219="NON ENGAGE",OR($I219="INFRUCTUEUX",$I219="ANNULE")),"Clôturé sans suite","En cours")))</f>
        <v/>
      </c>
      <c r="N219">
        <f>IF(ISBLANK('ENGAGEMENTS 2026'!B219),"",'ENGAGEMENTS 2026'!K219)</f>
        <v/>
      </c>
      <c r="O219">
        <f>IF(ISBLANK('ENGAGEMENTS 2026'!B219),"",'ENGAGEMENTS 2026'!L219)</f>
        <v/>
      </c>
      <c r="P219">
        <f>IF(ISBLANK('ENGAGEMENTS 2026'!B219),"",'ENGAGEMENTS 2026'!J219)</f>
        <v/>
      </c>
      <c r="Q219">
        <f>IF($A219="","",IF(OR($E219="INFRUCTUEUX",$E219="ANNULE"),$A219&amp;"|"&amp;(COUNTIFS($A$2:$A219,$A219,$E$2:$E219,"INFRUCTUEUX")+COUNTIFS($A$2:$A219,$A219,$E$2:$E219,"ANNULE")),""))</f>
        <v/>
      </c>
    </row>
    <row r="220">
      <c r="A220">
        <f>IF(ISBLANK('ENGAGEMENTS 2026'!B220),"",IF('ENGAGEMENTS 2026'!B220="DTSI","DCT",'ENGAGEMENTS 2026'!B220))</f>
        <v/>
      </c>
      <c r="B220">
        <f>IF(ISBLANK('ENGAGEMENTS 2026'!B220),"",'ENGAGEMENTS 2026'!C220)</f>
        <v/>
      </c>
      <c r="C220">
        <f>IF(ISBLANK('ENGAGEMENTS 2026'!B220),"",'ENGAGEMENTS 2026'!D220)</f>
        <v/>
      </c>
      <c r="D220">
        <f>IF(ISBLANK('ENGAGEMENTS 2026'!B220),"",'ENGAGEMENTS 2026'!F220)</f>
        <v/>
      </c>
      <c r="E220">
        <f>IF(ISBLANK('ENGAGEMENTS 2026'!B220),"",'ENGAGEMENTS 2026'!H220)</f>
        <v/>
      </c>
      <c r="F220">
        <f>IF(ISBLANK('ENGAGEMENTS 2026'!B220),"",'ENGAGEMENTS 2026'!I220)</f>
        <v/>
      </c>
      <c r="G220">
        <f>IF(ISBLANK('ENGAGEMENTS 2026'!B220),"",'ENGAGEMENTS 2026'!L220)</f>
        <v/>
      </c>
      <c r="H220">
        <f>IF(ISBLANK('ENGAGEMENTS 2026'!B220),"",'ENGAGEMENTS 2026'!AE220)</f>
        <v/>
      </c>
      <c r="I220">
        <f>IF(ISBLANK('ENGAGEMENTS 2026'!B220),"",'ENGAGEMENTS 2026'!G220)</f>
        <v/>
      </c>
      <c r="J220" s="275">
        <f>IF(ISBLANK('ENGAGEMENTS 2026'!B220),"",IF(AND(OR($E220="INFRUCTUEUX",$E220="ANNULE"),$C220="AOO-M"),'ENGAGEMENTS 2026'!O220,IF($H220="EN COURS DE PREENGAGEMENT",'ENGAGEMENTS 2026'!N220,IF($H220="PREENGAGE",IF($E220="ATTRIBUE",'ENGAGEMENTS 2026'!AD220,'ENGAGEMENTS 2026'!N220),'ENGAGEMENTS 2026'!AD220))))</f>
        <v/>
      </c>
      <c r="K220" s="604">
        <f>IF(ISBLANK('ENGAGEMENTS 2026'!V220),"",'ENGAGEMENTS 2026'!V220)</f>
        <v/>
      </c>
      <c r="L220" s="276">
        <f>IF($K220="","",TODAY()-$K220)</f>
        <v/>
      </c>
      <c r="M220">
        <f>IF($A220="","",IF($H220="ENGAGE","Engagé",IF(AND($H220="NON ENGAGE",OR($I220="INFRUCTUEUX",$I220="ANNULE")),"Clôturé sans suite","En cours")))</f>
        <v/>
      </c>
      <c r="N220">
        <f>IF(ISBLANK('ENGAGEMENTS 2026'!B220),"",'ENGAGEMENTS 2026'!K220)</f>
        <v/>
      </c>
      <c r="O220">
        <f>IF(ISBLANK('ENGAGEMENTS 2026'!B220),"",'ENGAGEMENTS 2026'!L220)</f>
        <v/>
      </c>
      <c r="P220">
        <f>IF(ISBLANK('ENGAGEMENTS 2026'!B220),"",'ENGAGEMENTS 2026'!J220)</f>
        <v/>
      </c>
      <c r="Q220">
        <f>IF($A220="","",IF(OR($E220="INFRUCTUEUX",$E220="ANNULE"),$A220&amp;"|"&amp;(COUNTIFS($A$2:$A220,$A220,$E$2:$E220,"INFRUCTUEUX")+COUNTIFS($A$2:$A220,$A220,$E$2:$E220,"ANNULE")),""))</f>
        <v/>
      </c>
    </row>
    <row r="221">
      <c r="A221">
        <f>IF(ISBLANK('ENGAGEMENTS 2026'!B221),"",IF('ENGAGEMENTS 2026'!B221="DTSI","DCT",'ENGAGEMENTS 2026'!B221))</f>
        <v/>
      </c>
      <c r="B221">
        <f>IF(ISBLANK('ENGAGEMENTS 2026'!B221),"",'ENGAGEMENTS 2026'!C221)</f>
        <v/>
      </c>
      <c r="C221">
        <f>IF(ISBLANK('ENGAGEMENTS 2026'!B221),"",'ENGAGEMENTS 2026'!D221)</f>
        <v/>
      </c>
      <c r="D221">
        <f>IF(ISBLANK('ENGAGEMENTS 2026'!B221),"",'ENGAGEMENTS 2026'!F221)</f>
        <v/>
      </c>
      <c r="E221">
        <f>IF(ISBLANK('ENGAGEMENTS 2026'!B221),"",'ENGAGEMENTS 2026'!H221)</f>
        <v/>
      </c>
      <c r="F221">
        <f>IF(ISBLANK('ENGAGEMENTS 2026'!B221),"",'ENGAGEMENTS 2026'!I221)</f>
        <v/>
      </c>
      <c r="G221">
        <f>IF(ISBLANK('ENGAGEMENTS 2026'!B221),"",'ENGAGEMENTS 2026'!L221)</f>
        <v/>
      </c>
      <c r="H221">
        <f>IF(ISBLANK('ENGAGEMENTS 2026'!B221),"",'ENGAGEMENTS 2026'!AE221)</f>
        <v/>
      </c>
      <c r="I221">
        <f>IF(ISBLANK('ENGAGEMENTS 2026'!B221),"",'ENGAGEMENTS 2026'!G221)</f>
        <v/>
      </c>
      <c r="J221" s="275">
        <f>IF(ISBLANK('ENGAGEMENTS 2026'!B221),"",IF(AND(OR($E221="INFRUCTUEUX",$E221="ANNULE"),$C221="AOO-M"),'ENGAGEMENTS 2026'!O221,IF($H221="EN COURS DE PREENGAGEMENT",'ENGAGEMENTS 2026'!N221,IF($H221="PREENGAGE",IF($E221="ATTRIBUE",'ENGAGEMENTS 2026'!AD221,'ENGAGEMENTS 2026'!N221),'ENGAGEMENTS 2026'!AD221))))</f>
        <v/>
      </c>
      <c r="K221" s="604">
        <f>IF(ISBLANK('ENGAGEMENTS 2026'!V221),"",'ENGAGEMENTS 2026'!V221)</f>
        <v/>
      </c>
      <c r="L221" s="276">
        <f>IF($K221="","",TODAY()-$K221)</f>
        <v/>
      </c>
      <c r="M221">
        <f>IF($A221="","",IF($H221="ENGAGE","Engagé",IF(AND($H221="NON ENGAGE",OR($I221="INFRUCTUEUX",$I221="ANNULE")),"Clôturé sans suite","En cours")))</f>
        <v/>
      </c>
      <c r="N221">
        <f>IF(ISBLANK('ENGAGEMENTS 2026'!B221),"",'ENGAGEMENTS 2026'!K221)</f>
        <v/>
      </c>
      <c r="O221">
        <f>IF(ISBLANK('ENGAGEMENTS 2026'!B221),"",'ENGAGEMENTS 2026'!L221)</f>
        <v/>
      </c>
      <c r="P221">
        <f>IF(ISBLANK('ENGAGEMENTS 2026'!B221),"",'ENGAGEMENTS 2026'!J221)</f>
        <v/>
      </c>
      <c r="Q221">
        <f>IF($A221="","",IF(OR($E221="INFRUCTUEUX",$E221="ANNULE"),$A221&amp;"|"&amp;(COUNTIFS($A$2:$A221,$A221,$E$2:$E221,"INFRUCTUEUX")+COUNTIFS($A$2:$A221,$A221,$E$2:$E221,"ANNULE")),""))</f>
        <v/>
      </c>
    </row>
    <row r="222">
      <c r="A222">
        <f>IF(ISBLANK('ENGAGEMENTS 2026'!B222),"",IF('ENGAGEMENTS 2026'!B222="DTSI","DCT",'ENGAGEMENTS 2026'!B222))</f>
        <v/>
      </c>
      <c r="B222">
        <f>IF(ISBLANK('ENGAGEMENTS 2026'!B222),"",'ENGAGEMENTS 2026'!C222)</f>
        <v/>
      </c>
      <c r="C222">
        <f>IF(ISBLANK('ENGAGEMENTS 2026'!B222),"",'ENGAGEMENTS 2026'!D222)</f>
        <v/>
      </c>
      <c r="D222">
        <f>IF(ISBLANK('ENGAGEMENTS 2026'!B222),"",'ENGAGEMENTS 2026'!F222)</f>
        <v/>
      </c>
      <c r="E222">
        <f>IF(ISBLANK('ENGAGEMENTS 2026'!B222),"",'ENGAGEMENTS 2026'!H222)</f>
        <v/>
      </c>
      <c r="F222">
        <f>IF(ISBLANK('ENGAGEMENTS 2026'!B222),"",'ENGAGEMENTS 2026'!I222)</f>
        <v/>
      </c>
      <c r="G222">
        <f>IF(ISBLANK('ENGAGEMENTS 2026'!B222),"",'ENGAGEMENTS 2026'!L222)</f>
        <v/>
      </c>
      <c r="H222">
        <f>IF(ISBLANK('ENGAGEMENTS 2026'!B222),"",'ENGAGEMENTS 2026'!AE222)</f>
        <v/>
      </c>
      <c r="I222">
        <f>IF(ISBLANK('ENGAGEMENTS 2026'!B222),"",'ENGAGEMENTS 2026'!G222)</f>
        <v/>
      </c>
      <c r="J222" s="275">
        <f>IF(ISBLANK('ENGAGEMENTS 2026'!B222),"",IF(AND(OR($E222="INFRUCTUEUX",$E222="ANNULE"),$C222="AOO-M"),'ENGAGEMENTS 2026'!O222,IF($H222="EN COURS DE PREENGAGEMENT",'ENGAGEMENTS 2026'!N222,IF($H222="PREENGAGE",IF($E222="ATTRIBUE",'ENGAGEMENTS 2026'!AD222,'ENGAGEMENTS 2026'!N222),'ENGAGEMENTS 2026'!AD222))))</f>
        <v/>
      </c>
      <c r="K222" s="604">
        <f>IF(ISBLANK('ENGAGEMENTS 2026'!V222),"",'ENGAGEMENTS 2026'!V222)</f>
        <v/>
      </c>
      <c r="L222" s="276">
        <f>IF($K222="","",TODAY()-$K222)</f>
        <v/>
      </c>
      <c r="M222">
        <f>IF($A222="","",IF($H222="ENGAGE","Engagé",IF(AND($H222="NON ENGAGE",OR($I222="INFRUCTUEUX",$I222="ANNULE")),"Clôturé sans suite","En cours")))</f>
        <v/>
      </c>
      <c r="N222">
        <f>IF(ISBLANK('ENGAGEMENTS 2026'!B222),"",'ENGAGEMENTS 2026'!K222)</f>
        <v/>
      </c>
      <c r="O222">
        <f>IF(ISBLANK('ENGAGEMENTS 2026'!B222),"",'ENGAGEMENTS 2026'!L222)</f>
        <v/>
      </c>
      <c r="P222">
        <f>IF(ISBLANK('ENGAGEMENTS 2026'!B222),"",'ENGAGEMENTS 2026'!J222)</f>
        <v/>
      </c>
      <c r="Q222">
        <f>IF($A222="","",IF(OR($E222="INFRUCTUEUX",$E222="ANNULE"),$A222&amp;"|"&amp;(COUNTIFS($A$2:$A222,$A222,$E$2:$E222,"INFRUCTUEUX")+COUNTIFS($A$2:$A222,$A222,$E$2:$E222,"ANNULE")),""))</f>
        <v/>
      </c>
    </row>
    <row r="223">
      <c r="A223">
        <f>IF(ISBLANK('ENGAGEMENTS 2026'!B223),"",IF('ENGAGEMENTS 2026'!B223="DTSI","DCT",'ENGAGEMENTS 2026'!B223))</f>
        <v/>
      </c>
      <c r="B223">
        <f>IF(ISBLANK('ENGAGEMENTS 2026'!B223),"",'ENGAGEMENTS 2026'!C223)</f>
        <v/>
      </c>
      <c r="C223">
        <f>IF(ISBLANK('ENGAGEMENTS 2026'!B223),"",'ENGAGEMENTS 2026'!D223)</f>
        <v/>
      </c>
      <c r="D223">
        <f>IF(ISBLANK('ENGAGEMENTS 2026'!B223),"",'ENGAGEMENTS 2026'!F223)</f>
        <v/>
      </c>
      <c r="E223">
        <f>IF(ISBLANK('ENGAGEMENTS 2026'!B223),"",'ENGAGEMENTS 2026'!H223)</f>
        <v/>
      </c>
      <c r="F223">
        <f>IF(ISBLANK('ENGAGEMENTS 2026'!B223),"",'ENGAGEMENTS 2026'!I223)</f>
        <v/>
      </c>
      <c r="G223">
        <f>IF(ISBLANK('ENGAGEMENTS 2026'!B223),"",'ENGAGEMENTS 2026'!L223)</f>
        <v/>
      </c>
      <c r="H223">
        <f>IF(ISBLANK('ENGAGEMENTS 2026'!B223),"",'ENGAGEMENTS 2026'!AE223)</f>
        <v/>
      </c>
      <c r="I223">
        <f>IF(ISBLANK('ENGAGEMENTS 2026'!B223),"",'ENGAGEMENTS 2026'!G223)</f>
        <v/>
      </c>
      <c r="J223" s="275">
        <f>IF(ISBLANK('ENGAGEMENTS 2026'!B223),"",IF(AND(OR($E223="INFRUCTUEUX",$E223="ANNULE"),$C223="AOO-M"),'ENGAGEMENTS 2026'!O223,IF($H223="EN COURS DE PREENGAGEMENT",'ENGAGEMENTS 2026'!N223,IF($H223="PREENGAGE",IF($E223="ATTRIBUE",'ENGAGEMENTS 2026'!AD223,'ENGAGEMENTS 2026'!N223),'ENGAGEMENTS 2026'!AD223))))</f>
        <v/>
      </c>
      <c r="K223" s="604">
        <f>IF(ISBLANK('ENGAGEMENTS 2026'!V223),"",'ENGAGEMENTS 2026'!V223)</f>
        <v/>
      </c>
      <c r="L223" s="276">
        <f>IF($K223="","",TODAY()-$K223)</f>
        <v/>
      </c>
      <c r="M223">
        <f>IF($A223="","",IF($H223="ENGAGE","Engagé",IF(AND($H223="NON ENGAGE",OR($I223="INFRUCTUEUX",$I223="ANNULE")),"Clôturé sans suite","En cours")))</f>
        <v/>
      </c>
      <c r="N223">
        <f>IF(ISBLANK('ENGAGEMENTS 2026'!B223),"",'ENGAGEMENTS 2026'!K223)</f>
        <v/>
      </c>
      <c r="O223">
        <f>IF(ISBLANK('ENGAGEMENTS 2026'!B223),"",'ENGAGEMENTS 2026'!L223)</f>
        <v/>
      </c>
      <c r="P223">
        <f>IF(ISBLANK('ENGAGEMENTS 2026'!B223),"",'ENGAGEMENTS 2026'!J223)</f>
        <v/>
      </c>
      <c r="Q223">
        <f>IF($A223="","",IF(OR($E223="INFRUCTUEUX",$E223="ANNULE"),$A223&amp;"|"&amp;(COUNTIFS($A$2:$A223,$A223,$E$2:$E223,"INFRUCTUEUX")+COUNTIFS($A$2:$A223,$A223,$E$2:$E223,"ANNULE")),""))</f>
        <v/>
      </c>
    </row>
    <row r="224">
      <c r="A224">
        <f>IF(ISBLANK('ENGAGEMENTS 2026'!B224),"",IF('ENGAGEMENTS 2026'!B224="DTSI","DCT",'ENGAGEMENTS 2026'!B224))</f>
        <v/>
      </c>
      <c r="B224">
        <f>IF(ISBLANK('ENGAGEMENTS 2026'!B224),"",'ENGAGEMENTS 2026'!C224)</f>
        <v/>
      </c>
      <c r="C224">
        <f>IF(ISBLANK('ENGAGEMENTS 2026'!B224),"",'ENGAGEMENTS 2026'!D224)</f>
        <v/>
      </c>
      <c r="D224">
        <f>IF(ISBLANK('ENGAGEMENTS 2026'!B224),"",'ENGAGEMENTS 2026'!F224)</f>
        <v/>
      </c>
      <c r="E224">
        <f>IF(ISBLANK('ENGAGEMENTS 2026'!B224),"",'ENGAGEMENTS 2026'!H224)</f>
        <v/>
      </c>
      <c r="F224">
        <f>IF(ISBLANK('ENGAGEMENTS 2026'!B224),"",'ENGAGEMENTS 2026'!I224)</f>
        <v/>
      </c>
      <c r="G224">
        <f>IF(ISBLANK('ENGAGEMENTS 2026'!B224),"",'ENGAGEMENTS 2026'!L224)</f>
        <v/>
      </c>
      <c r="H224">
        <f>IF(ISBLANK('ENGAGEMENTS 2026'!B224),"",'ENGAGEMENTS 2026'!AE224)</f>
        <v/>
      </c>
      <c r="I224">
        <f>IF(ISBLANK('ENGAGEMENTS 2026'!B224),"",'ENGAGEMENTS 2026'!G224)</f>
        <v/>
      </c>
      <c r="J224" s="275">
        <f>IF(ISBLANK('ENGAGEMENTS 2026'!B224),"",IF(AND(OR($E224="INFRUCTUEUX",$E224="ANNULE"),$C224="AOO-M"),'ENGAGEMENTS 2026'!O224,IF($H224="EN COURS DE PREENGAGEMENT",'ENGAGEMENTS 2026'!N224,IF($H224="PREENGAGE",IF($E224="ATTRIBUE",'ENGAGEMENTS 2026'!AD224,'ENGAGEMENTS 2026'!N224),'ENGAGEMENTS 2026'!AD224))))</f>
        <v/>
      </c>
      <c r="K224" s="604">
        <f>IF(ISBLANK('ENGAGEMENTS 2026'!V224),"",'ENGAGEMENTS 2026'!V224)</f>
        <v/>
      </c>
      <c r="L224" s="276">
        <f>IF($K224="","",TODAY()-$K224)</f>
        <v/>
      </c>
      <c r="M224">
        <f>IF($A224="","",IF($H224="ENGAGE","Engagé",IF(AND($H224="NON ENGAGE",OR($I224="INFRUCTUEUX",$I224="ANNULE")),"Clôturé sans suite","En cours")))</f>
        <v/>
      </c>
      <c r="N224">
        <f>IF(ISBLANK('ENGAGEMENTS 2026'!B224),"",'ENGAGEMENTS 2026'!K224)</f>
        <v/>
      </c>
      <c r="O224">
        <f>IF(ISBLANK('ENGAGEMENTS 2026'!B224),"",'ENGAGEMENTS 2026'!L224)</f>
        <v/>
      </c>
      <c r="P224">
        <f>IF(ISBLANK('ENGAGEMENTS 2026'!B224),"",'ENGAGEMENTS 2026'!J224)</f>
        <v/>
      </c>
      <c r="Q224">
        <f>IF($A224="","",IF(OR($E224="INFRUCTUEUX",$E224="ANNULE"),$A224&amp;"|"&amp;(COUNTIFS($A$2:$A224,$A224,$E$2:$E224,"INFRUCTUEUX")+COUNTIFS($A$2:$A224,$A224,$E$2:$E224,"ANNULE")),""))</f>
        <v/>
      </c>
    </row>
    <row r="225">
      <c r="A225">
        <f>IF(ISBLANK('ENGAGEMENTS 2026'!B225),"",IF('ENGAGEMENTS 2026'!B225="DTSI","DCT",'ENGAGEMENTS 2026'!B225))</f>
        <v/>
      </c>
      <c r="B225">
        <f>IF(ISBLANK('ENGAGEMENTS 2026'!B225),"",'ENGAGEMENTS 2026'!C225)</f>
        <v/>
      </c>
      <c r="C225">
        <f>IF(ISBLANK('ENGAGEMENTS 2026'!B225),"",'ENGAGEMENTS 2026'!D225)</f>
        <v/>
      </c>
      <c r="D225">
        <f>IF(ISBLANK('ENGAGEMENTS 2026'!B225),"",'ENGAGEMENTS 2026'!F225)</f>
        <v/>
      </c>
      <c r="E225">
        <f>IF(ISBLANK('ENGAGEMENTS 2026'!B225),"",'ENGAGEMENTS 2026'!H225)</f>
        <v/>
      </c>
      <c r="F225">
        <f>IF(ISBLANK('ENGAGEMENTS 2026'!B225),"",'ENGAGEMENTS 2026'!I225)</f>
        <v/>
      </c>
      <c r="G225">
        <f>IF(ISBLANK('ENGAGEMENTS 2026'!B225),"",'ENGAGEMENTS 2026'!L225)</f>
        <v/>
      </c>
      <c r="H225">
        <f>IF(ISBLANK('ENGAGEMENTS 2026'!B225),"",'ENGAGEMENTS 2026'!AE225)</f>
        <v/>
      </c>
      <c r="I225">
        <f>IF(ISBLANK('ENGAGEMENTS 2026'!B225),"",'ENGAGEMENTS 2026'!G225)</f>
        <v/>
      </c>
      <c r="J225" s="275">
        <f>IF(ISBLANK('ENGAGEMENTS 2026'!B225),"",IF(AND(OR($E225="INFRUCTUEUX",$E225="ANNULE"),$C225="AOO-M"),'ENGAGEMENTS 2026'!O225,IF($H225="EN COURS DE PREENGAGEMENT",'ENGAGEMENTS 2026'!N225,IF($H225="PREENGAGE",IF($E225="ATTRIBUE",'ENGAGEMENTS 2026'!AD225,'ENGAGEMENTS 2026'!N225),'ENGAGEMENTS 2026'!AD225))))</f>
        <v/>
      </c>
      <c r="K225" s="604">
        <f>IF(ISBLANK('ENGAGEMENTS 2026'!V225),"",'ENGAGEMENTS 2026'!V225)</f>
        <v/>
      </c>
      <c r="L225" s="276">
        <f>IF($K225="","",TODAY()-$K225)</f>
        <v/>
      </c>
      <c r="M225">
        <f>IF($A225="","",IF($H225="ENGAGE","Engagé",IF(AND($H225="NON ENGAGE",OR($I225="INFRUCTUEUX",$I225="ANNULE")),"Clôturé sans suite","En cours")))</f>
        <v/>
      </c>
      <c r="N225">
        <f>IF(ISBLANK('ENGAGEMENTS 2026'!B225),"",'ENGAGEMENTS 2026'!K225)</f>
        <v/>
      </c>
      <c r="O225">
        <f>IF(ISBLANK('ENGAGEMENTS 2026'!B225),"",'ENGAGEMENTS 2026'!L225)</f>
        <v/>
      </c>
      <c r="P225">
        <f>IF(ISBLANK('ENGAGEMENTS 2026'!B225),"",'ENGAGEMENTS 2026'!J225)</f>
        <v/>
      </c>
      <c r="Q225">
        <f>IF($A225="","",IF(OR($E225="INFRUCTUEUX",$E225="ANNULE"),$A225&amp;"|"&amp;(COUNTIFS($A$2:$A225,$A225,$E$2:$E225,"INFRUCTUEUX")+COUNTIFS($A$2:$A225,$A225,$E$2:$E225,"ANNULE")),""))</f>
        <v/>
      </c>
    </row>
    <row r="226">
      <c r="A226">
        <f>IF(ISBLANK('ENGAGEMENTS 2026'!B226),"",IF('ENGAGEMENTS 2026'!B226="DTSI","DCT",'ENGAGEMENTS 2026'!B226))</f>
        <v/>
      </c>
      <c r="B226">
        <f>IF(ISBLANK('ENGAGEMENTS 2026'!B226),"",'ENGAGEMENTS 2026'!C226)</f>
        <v/>
      </c>
      <c r="C226">
        <f>IF(ISBLANK('ENGAGEMENTS 2026'!B226),"",'ENGAGEMENTS 2026'!D226)</f>
        <v/>
      </c>
      <c r="D226">
        <f>IF(ISBLANK('ENGAGEMENTS 2026'!B226),"",'ENGAGEMENTS 2026'!F226)</f>
        <v/>
      </c>
      <c r="E226">
        <f>IF(ISBLANK('ENGAGEMENTS 2026'!B226),"",'ENGAGEMENTS 2026'!H226)</f>
        <v/>
      </c>
      <c r="F226">
        <f>IF(ISBLANK('ENGAGEMENTS 2026'!B226),"",'ENGAGEMENTS 2026'!I226)</f>
        <v/>
      </c>
      <c r="G226">
        <f>IF(ISBLANK('ENGAGEMENTS 2026'!B226),"",'ENGAGEMENTS 2026'!L226)</f>
        <v/>
      </c>
      <c r="H226">
        <f>IF(ISBLANK('ENGAGEMENTS 2026'!B226),"",'ENGAGEMENTS 2026'!AE226)</f>
        <v/>
      </c>
      <c r="I226">
        <f>IF(ISBLANK('ENGAGEMENTS 2026'!B226),"",'ENGAGEMENTS 2026'!G226)</f>
        <v/>
      </c>
      <c r="J226" s="275">
        <f>IF(ISBLANK('ENGAGEMENTS 2026'!B226),"",IF(AND(OR($E226="INFRUCTUEUX",$E226="ANNULE"),$C226="AOO-M"),'ENGAGEMENTS 2026'!O226,IF($H226="EN COURS DE PREENGAGEMENT",'ENGAGEMENTS 2026'!N226,IF($H226="PREENGAGE",IF($E226="ATTRIBUE",'ENGAGEMENTS 2026'!AD226,'ENGAGEMENTS 2026'!N226),'ENGAGEMENTS 2026'!AD226))))</f>
        <v/>
      </c>
      <c r="K226" s="604">
        <f>IF(ISBLANK('ENGAGEMENTS 2026'!V226),"",'ENGAGEMENTS 2026'!V226)</f>
        <v/>
      </c>
      <c r="L226" s="276">
        <f>IF($K226="","",TODAY()-$K226)</f>
        <v/>
      </c>
      <c r="M226">
        <f>IF($A226="","",IF($H226="ENGAGE","Engagé",IF(AND($H226="NON ENGAGE",OR($I226="INFRUCTUEUX",$I226="ANNULE")),"Clôturé sans suite","En cours")))</f>
        <v/>
      </c>
      <c r="N226">
        <f>IF(ISBLANK('ENGAGEMENTS 2026'!B226),"",'ENGAGEMENTS 2026'!K226)</f>
        <v/>
      </c>
      <c r="O226">
        <f>IF(ISBLANK('ENGAGEMENTS 2026'!B226),"",'ENGAGEMENTS 2026'!L226)</f>
        <v/>
      </c>
      <c r="P226">
        <f>IF(ISBLANK('ENGAGEMENTS 2026'!B226),"",'ENGAGEMENTS 2026'!J226)</f>
        <v/>
      </c>
      <c r="Q226">
        <f>IF($A226="","",IF(OR($E226="INFRUCTUEUX",$E226="ANNULE"),$A226&amp;"|"&amp;(COUNTIFS($A$2:$A226,$A226,$E$2:$E226,"INFRUCTUEUX")+COUNTIFS($A$2:$A226,$A226,$E$2:$E226,"ANNULE")),""))</f>
        <v/>
      </c>
    </row>
    <row r="227">
      <c r="A227">
        <f>IF(ISBLANK('ENGAGEMENTS 2026'!B227),"",IF('ENGAGEMENTS 2026'!B227="DTSI","DCT",'ENGAGEMENTS 2026'!B227))</f>
        <v/>
      </c>
      <c r="B227">
        <f>IF(ISBLANK('ENGAGEMENTS 2026'!B227),"",'ENGAGEMENTS 2026'!C227)</f>
        <v/>
      </c>
      <c r="C227">
        <f>IF(ISBLANK('ENGAGEMENTS 2026'!B227),"",'ENGAGEMENTS 2026'!D227)</f>
        <v/>
      </c>
      <c r="D227">
        <f>IF(ISBLANK('ENGAGEMENTS 2026'!B227),"",'ENGAGEMENTS 2026'!F227)</f>
        <v/>
      </c>
      <c r="E227">
        <f>IF(ISBLANK('ENGAGEMENTS 2026'!B227),"",'ENGAGEMENTS 2026'!H227)</f>
        <v/>
      </c>
      <c r="F227">
        <f>IF(ISBLANK('ENGAGEMENTS 2026'!B227),"",'ENGAGEMENTS 2026'!I227)</f>
        <v/>
      </c>
      <c r="G227">
        <f>IF(ISBLANK('ENGAGEMENTS 2026'!B227),"",'ENGAGEMENTS 2026'!L227)</f>
        <v/>
      </c>
      <c r="H227">
        <f>IF(ISBLANK('ENGAGEMENTS 2026'!B227),"",'ENGAGEMENTS 2026'!AE227)</f>
        <v/>
      </c>
      <c r="I227">
        <f>IF(ISBLANK('ENGAGEMENTS 2026'!B227),"",'ENGAGEMENTS 2026'!G227)</f>
        <v/>
      </c>
      <c r="J227" s="275">
        <f>IF(ISBLANK('ENGAGEMENTS 2026'!B227),"",IF(AND(OR($E227="INFRUCTUEUX",$E227="ANNULE"),$C227="AOO-M"),'ENGAGEMENTS 2026'!O227,IF($H227="EN COURS DE PREENGAGEMENT",'ENGAGEMENTS 2026'!N227,IF($H227="PREENGAGE",IF($E227="ATTRIBUE",'ENGAGEMENTS 2026'!AD227,'ENGAGEMENTS 2026'!N227),'ENGAGEMENTS 2026'!AD227))))</f>
        <v/>
      </c>
      <c r="K227" s="604">
        <f>IF(ISBLANK('ENGAGEMENTS 2026'!V227),"",'ENGAGEMENTS 2026'!V227)</f>
        <v/>
      </c>
      <c r="L227" s="276">
        <f>IF($K227="","",TODAY()-$K227)</f>
        <v/>
      </c>
      <c r="M227">
        <f>IF($A227="","",IF($H227="ENGAGE","Engagé",IF(AND($H227="NON ENGAGE",OR($I227="INFRUCTUEUX",$I227="ANNULE")),"Clôturé sans suite","En cours")))</f>
        <v/>
      </c>
      <c r="N227">
        <f>IF(ISBLANK('ENGAGEMENTS 2026'!B227),"",'ENGAGEMENTS 2026'!K227)</f>
        <v/>
      </c>
      <c r="O227">
        <f>IF(ISBLANK('ENGAGEMENTS 2026'!B227),"",'ENGAGEMENTS 2026'!L227)</f>
        <v/>
      </c>
      <c r="P227">
        <f>IF(ISBLANK('ENGAGEMENTS 2026'!B227),"",'ENGAGEMENTS 2026'!J227)</f>
        <v/>
      </c>
      <c r="Q227">
        <f>IF($A227="","",IF(OR($E227="INFRUCTUEUX",$E227="ANNULE"),$A227&amp;"|"&amp;(COUNTIFS($A$2:$A227,$A227,$E$2:$E227,"INFRUCTUEUX")+COUNTIFS($A$2:$A227,$A227,$E$2:$E227,"ANNULE")),""))</f>
        <v/>
      </c>
    </row>
    <row r="228">
      <c r="A228">
        <f>IF(ISBLANK('ENGAGEMENTS 2026'!B228),"",IF('ENGAGEMENTS 2026'!B228="DTSI","DCT",'ENGAGEMENTS 2026'!B228))</f>
        <v/>
      </c>
      <c r="B228">
        <f>IF(ISBLANK('ENGAGEMENTS 2026'!B228),"",'ENGAGEMENTS 2026'!C228)</f>
        <v/>
      </c>
      <c r="C228">
        <f>IF(ISBLANK('ENGAGEMENTS 2026'!B228),"",'ENGAGEMENTS 2026'!D228)</f>
        <v/>
      </c>
      <c r="D228">
        <f>IF(ISBLANK('ENGAGEMENTS 2026'!B228),"",'ENGAGEMENTS 2026'!F228)</f>
        <v/>
      </c>
      <c r="E228">
        <f>IF(ISBLANK('ENGAGEMENTS 2026'!B228),"",'ENGAGEMENTS 2026'!H228)</f>
        <v/>
      </c>
      <c r="F228">
        <f>IF(ISBLANK('ENGAGEMENTS 2026'!B228),"",'ENGAGEMENTS 2026'!I228)</f>
        <v/>
      </c>
      <c r="G228">
        <f>IF(ISBLANK('ENGAGEMENTS 2026'!B228),"",'ENGAGEMENTS 2026'!L228)</f>
        <v/>
      </c>
      <c r="H228">
        <f>IF(ISBLANK('ENGAGEMENTS 2026'!B228),"",'ENGAGEMENTS 2026'!AE228)</f>
        <v/>
      </c>
      <c r="I228">
        <f>IF(ISBLANK('ENGAGEMENTS 2026'!B228),"",'ENGAGEMENTS 2026'!G228)</f>
        <v/>
      </c>
      <c r="J228" s="275">
        <f>IF(ISBLANK('ENGAGEMENTS 2026'!B228),"",IF(AND(OR($E228="INFRUCTUEUX",$E228="ANNULE"),$C228="AOO-M"),'ENGAGEMENTS 2026'!O228,IF($H228="EN COURS DE PREENGAGEMENT",'ENGAGEMENTS 2026'!N228,IF($H228="PREENGAGE",IF($E228="ATTRIBUE",'ENGAGEMENTS 2026'!AD228,'ENGAGEMENTS 2026'!N228),'ENGAGEMENTS 2026'!AD228))))</f>
        <v/>
      </c>
      <c r="K228" s="604">
        <f>IF(ISBLANK('ENGAGEMENTS 2026'!V228),"",'ENGAGEMENTS 2026'!V228)</f>
        <v/>
      </c>
      <c r="L228" s="276">
        <f>IF($K228="","",TODAY()-$K228)</f>
        <v/>
      </c>
      <c r="M228">
        <f>IF($A228="","",IF($H228="ENGAGE","Engagé",IF(AND($H228="NON ENGAGE",OR($I228="INFRUCTUEUX",$I228="ANNULE")),"Clôturé sans suite","En cours")))</f>
        <v/>
      </c>
      <c r="N228">
        <f>IF(ISBLANK('ENGAGEMENTS 2026'!B228),"",'ENGAGEMENTS 2026'!K228)</f>
        <v/>
      </c>
      <c r="O228">
        <f>IF(ISBLANK('ENGAGEMENTS 2026'!B228),"",'ENGAGEMENTS 2026'!L228)</f>
        <v/>
      </c>
      <c r="P228">
        <f>IF(ISBLANK('ENGAGEMENTS 2026'!B228),"",'ENGAGEMENTS 2026'!J228)</f>
        <v/>
      </c>
      <c r="Q228">
        <f>IF($A228="","",IF(OR($E228="INFRUCTUEUX",$E228="ANNULE"),$A228&amp;"|"&amp;(COUNTIFS($A$2:$A228,$A228,$E$2:$E228,"INFRUCTUEUX")+COUNTIFS($A$2:$A228,$A228,$E$2:$E228,"ANNULE")),""))</f>
        <v/>
      </c>
    </row>
    <row r="229">
      <c r="A229">
        <f>IF(ISBLANK('ENGAGEMENTS 2026'!B229),"",IF('ENGAGEMENTS 2026'!B229="DTSI","DCT",'ENGAGEMENTS 2026'!B229))</f>
        <v/>
      </c>
      <c r="B229">
        <f>IF(ISBLANK('ENGAGEMENTS 2026'!B229),"",'ENGAGEMENTS 2026'!C229)</f>
        <v/>
      </c>
      <c r="C229">
        <f>IF(ISBLANK('ENGAGEMENTS 2026'!B229),"",'ENGAGEMENTS 2026'!D229)</f>
        <v/>
      </c>
      <c r="D229">
        <f>IF(ISBLANK('ENGAGEMENTS 2026'!B229),"",'ENGAGEMENTS 2026'!F229)</f>
        <v/>
      </c>
      <c r="E229">
        <f>IF(ISBLANK('ENGAGEMENTS 2026'!B229),"",'ENGAGEMENTS 2026'!H229)</f>
        <v/>
      </c>
      <c r="F229">
        <f>IF(ISBLANK('ENGAGEMENTS 2026'!B229),"",'ENGAGEMENTS 2026'!I229)</f>
        <v/>
      </c>
      <c r="G229">
        <f>IF(ISBLANK('ENGAGEMENTS 2026'!B229),"",'ENGAGEMENTS 2026'!L229)</f>
        <v/>
      </c>
      <c r="H229">
        <f>IF(ISBLANK('ENGAGEMENTS 2026'!B229),"",'ENGAGEMENTS 2026'!AE229)</f>
        <v/>
      </c>
      <c r="I229">
        <f>IF(ISBLANK('ENGAGEMENTS 2026'!B229),"",'ENGAGEMENTS 2026'!G229)</f>
        <v/>
      </c>
      <c r="J229" s="275">
        <f>IF(ISBLANK('ENGAGEMENTS 2026'!B229),"",IF(AND(OR($E229="INFRUCTUEUX",$E229="ANNULE"),$C229="AOO-M"),'ENGAGEMENTS 2026'!O229,IF($H229="EN COURS DE PREENGAGEMENT",'ENGAGEMENTS 2026'!N229,IF($H229="PREENGAGE",IF($E229="ATTRIBUE",'ENGAGEMENTS 2026'!AD229,'ENGAGEMENTS 2026'!N229),'ENGAGEMENTS 2026'!AD229))))</f>
        <v/>
      </c>
      <c r="K229" s="604">
        <f>IF(ISBLANK('ENGAGEMENTS 2026'!V229),"",'ENGAGEMENTS 2026'!V229)</f>
        <v/>
      </c>
      <c r="L229" s="276">
        <f>IF($K229="","",TODAY()-$K229)</f>
        <v/>
      </c>
      <c r="M229">
        <f>IF($A229="","",IF($H229="ENGAGE","Engagé",IF(AND($H229="NON ENGAGE",OR($I229="INFRUCTUEUX",$I229="ANNULE")),"Clôturé sans suite","En cours")))</f>
        <v/>
      </c>
      <c r="N229">
        <f>IF(ISBLANK('ENGAGEMENTS 2026'!B229),"",'ENGAGEMENTS 2026'!K229)</f>
        <v/>
      </c>
      <c r="O229">
        <f>IF(ISBLANK('ENGAGEMENTS 2026'!B229),"",'ENGAGEMENTS 2026'!L229)</f>
        <v/>
      </c>
      <c r="P229">
        <f>IF(ISBLANK('ENGAGEMENTS 2026'!B229),"",'ENGAGEMENTS 2026'!J229)</f>
        <v/>
      </c>
      <c r="Q229">
        <f>IF($A229="","",IF(OR($E229="INFRUCTUEUX",$E229="ANNULE"),$A229&amp;"|"&amp;(COUNTIFS($A$2:$A229,$A229,$E$2:$E229,"INFRUCTUEUX")+COUNTIFS($A$2:$A229,$A229,$E$2:$E229,"ANNULE")),""))</f>
        <v/>
      </c>
    </row>
    <row r="230">
      <c r="A230">
        <f>IF(ISBLANK('ENGAGEMENTS 2026'!B230),"",IF('ENGAGEMENTS 2026'!B230="DTSI","DCT",'ENGAGEMENTS 2026'!B230))</f>
        <v/>
      </c>
      <c r="B230">
        <f>IF(ISBLANK('ENGAGEMENTS 2026'!B230),"",'ENGAGEMENTS 2026'!C230)</f>
        <v/>
      </c>
      <c r="C230">
        <f>IF(ISBLANK('ENGAGEMENTS 2026'!B230),"",'ENGAGEMENTS 2026'!D230)</f>
        <v/>
      </c>
      <c r="D230">
        <f>IF(ISBLANK('ENGAGEMENTS 2026'!B230),"",'ENGAGEMENTS 2026'!F230)</f>
        <v/>
      </c>
      <c r="E230">
        <f>IF(ISBLANK('ENGAGEMENTS 2026'!B230),"",'ENGAGEMENTS 2026'!H230)</f>
        <v/>
      </c>
      <c r="F230">
        <f>IF(ISBLANK('ENGAGEMENTS 2026'!B230),"",'ENGAGEMENTS 2026'!I230)</f>
        <v/>
      </c>
      <c r="G230">
        <f>IF(ISBLANK('ENGAGEMENTS 2026'!B230),"",'ENGAGEMENTS 2026'!L230)</f>
        <v/>
      </c>
      <c r="H230">
        <f>IF(ISBLANK('ENGAGEMENTS 2026'!B230),"",'ENGAGEMENTS 2026'!AE230)</f>
        <v/>
      </c>
      <c r="I230">
        <f>IF(ISBLANK('ENGAGEMENTS 2026'!B230),"",'ENGAGEMENTS 2026'!G230)</f>
        <v/>
      </c>
      <c r="J230" s="275">
        <f>IF(ISBLANK('ENGAGEMENTS 2026'!B230),"",IF(AND(OR($E230="INFRUCTUEUX",$E230="ANNULE"),$C230="AOO-M"),'ENGAGEMENTS 2026'!O230,IF($H230="EN COURS DE PREENGAGEMENT",'ENGAGEMENTS 2026'!N230,IF($H230="PREENGAGE",IF($E230="ATTRIBUE",'ENGAGEMENTS 2026'!AD230,'ENGAGEMENTS 2026'!N230),'ENGAGEMENTS 2026'!AD230))))</f>
        <v/>
      </c>
      <c r="K230" s="604">
        <f>IF(ISBLANK('ENGAGEMENTS 2026'!V230),"",'ENGAGEMENTS 2026'!V230)</f>
        <v/>
      </c>
      <c r="L230" s="276">
        <f>IF($K230="","",TODAY()-$K230)</f>
        <v/>
      </c>
      <c r="M230">
        <f>IF($A230="","",IF($H230="ENGAGE","Engagé",IF(AND($H230="NON ENGAGE",OR($I230="INFRUCTUEUX",$I230="ANNULE")),"Clôturé sans suite","En cours")))</f>
        <v/>
      </c>
      <c r="N230">
        <f>IF(ISBLANK('ENGAGEMENTS 2026'!B230),"",'ENGAGEMENTS 2026'!K230)</f>
        <v/>
      </c>
      <c r="O230">
        <f>IF(ISBLANK('ENGAGEMENTS 2026'!B230),"",'ENGAGEMENTS 2026'!L230)</f>
        <v/>
      </c>
      <c r="P230">
        <f>IF(ISBLANK('ENGAGEMENTS 2026'!B230),"",'ENGAGEMENTS 2026'!J230)</f>
        <v/>
      </c>
      <c r="Q230">
        <f>IF($A230="","",IF(OR($E230="INFRUCTUEUX",$E230="ANNULE"),$A230&amp;"|"&amp;(COUNTIFS($A$2:$A230,$A230,$E$2:$E230,"INFRUCTUEUX")+COUNTIFS($A$2:$A230,$A230,$E$2:$E230,"ANNULE")),""))</f>
        <v/>
      </c>
    </row>
    <row r="231">
      <c r="A231">
        <f>IF(ISBLANK('ENGAGEMENTS 2026'!B231),"",IF('ENGAGEMENTS 2026'!B231="DTSI","DCT",'ENGAGEMENTS 2026'!B231))</f>
        <v/>
      </c>
      <c r="B231">
        <f>IF(ISBLANK('ENGAGEMENTS 2026'!B231),"",'ENGAGEMENTS 2026'!C231)</f>
        <v/>
      </c>
      <c r="C231">
        <f>IF(ISBLANK('ENGAGEMENTS 2026'!B231),"",'ENGAGEMENTS 2026'!D231)</f>
        <v/>
      </c>
      <c r="D231">
        <f>IF(ISBLANK('ENGAGEMENTS 2026'!B231),"",'ENGAGEMENTS 2026'!F231)</f>
        <v/>
      </c>
      <c r="E231">
        <f>IF(ISBLANK('ENGAGEMENTS 2026'!B231),"",'ENGAGEMENTS 2026'!H231)</f>
        <v/>
      </c>
      <c r="F231">
        <f>IF(ISBLANK('ENGAGEMENTS 2026'!B231),"",'ENGAGEMENTS 2026'!I231)</f>
        <v/>
      </c>
      <c r="G231">
        <f>IF(ISBLANK('ENGAGEMENTS 2026'!B231),"",'ENGAGEMENTS 2026'!L231)</f>
        <v/>
      </c>
      <c r="H231">
        <f>IF(ISBLANK('ENGAGEMENTS 2026'!B231),"",'ENGAGEMENTS 2026'!AE231)</f>
        <v/>
      </c>
      <c r="I231">
        <f>IF(ISBLANK('ENGAGEMENTS 2026'!B231),"",'ENGAGEMENTS 2026'!G231)</f>
        <v/>
      </c>
      <c r="J231" s="275">
        <f>IF(ISBLANK('ENGAGEMENTS 2026'!B231),"",IF(AND(OR($E231="INFRUCTUEUX",$E231="ANNULE"),$C231="AOO-M"),'ENGAGEMENTS 2026'!O231,IF($H231="EN COURS DE PREENGAGEMENT",'ENGAGEMENTS 2026'!N231,IF($H231="PREENGAGE",IF($E231="ATTRIBUE",'ENGAGEMENTS 2026'!AD231,'ENGAGEMENTS 2026'!N231),'ENGAGEMENTS 2026'!AD231))))</f>
        <v/>
      </c>
      <c r="K231" s="604">
        <f>IF(ISBLANK('ENGAGEMENTS 2026'!V231),"",'ENGAGEMENTS 2026'!V231)</f>
        <v/>
      </c>
      <c r="L231" s="276">
        <f>IF($K231="","",TODAY()-$K231)</f>
        <v/>
      </c>
      <c r="M231">
        <f>IF($A231="","",IF($H231="ENGAGE","Engagé",IF(AND($H231="NON ENGAGE",OR($I231="INFRUCTUEUX",$I231="ANNULE")),"Clôturé sans suite","En cours")))</f>
        <v/>
      </c>
      <c r="N231">
        <f>IF(ISBLANK('ENGAGEMENTS 2026'!B231),"",'ENGAGEMENTS 2026'!K231)</f>
        <v/>
      </c>
      <c r="O231">
        <f>IF(ISBLANK('ENGAGEMENTS 2026'!B231),"",'ENGAGEMENTS 2026'!L231)</f>
        <v/>
      </c>
      <c r="P231">
        <f>IF(ISBLANK('ENGAGEMENTS 2026'!B231),"",'ENGAGEMENTS 2026'!J231)</f>
        <v/>
      </c>
      <c r="Q231">
        <f>IF($A231="","",IF(OR($E231="INFRUCTUEUX",$E231="ANNULE"),$A231&amp;"|"&amp;(COUNTIFS($A$2:$A231,$A231,$E$2:$E231,"INFRUCTUEUX")+COUNTIFS($A$2:$A231,$A231,$E$2:$E231,"ANNULE")),""))</f>
        <v/>
      </c>
    </row>
    <row r="232">
      <c r="A232">
        <f>IF(ISBLANK('ENGAGEMENTS 2026'!B232),"",IF('ENGAGEMENTS 2026'!B232="DTSI","DCT",'ENGAGEMENTS 2026'!B232))</f>
        <v/>
      </c>
      <c r="B232">
        <f>IF(ISBLANK('ENGAGEMENTS 2026'!B232),"",'ENGAGEMENTS 2026'!C232)</f>
        <v/>
      </c>
      <c r="C232">
        <f>IF(ISBLANK('ENGAGEMENTS 2026'!B232),"",'ENGAGEMENTS 2026'!D232)</f>
        <v/>
      </c>
      <c r="D232">
        <f>IF(ISBLANK('ENGAGEMENTS 2026'!B232),"",'ENGAGEMENTS 2026'!F232)</f>
        <v/>
      </c>
      <c r="E232">
        <f>IF(ISBLANK('ENGAGEMENTS 2026'!B232),"",'ENGAGEMENTS 2026'!H232)</f>
        <v/>
      </c>
      <c r="F232">
        <f>IF(ISBLANK('ENGAGEMENTS 2026'!B232),"",'ENGAGEMENTS 2026'!I232)</f>
        <v/>
      </c>
      <c r="G232">
        <f>IF(ISBLANK('ENGAGEMENTS 2026'!B232),"",'ENGAGEMENTS 2026'!L232)</f>
        <v/>
      </c>
      <c r="H232">
        <f>IF(ISBLANK('ENGAGEMENTS 2026'!B232),"",'ENGAGEMENTS 2026'!AE232)</f>
        <v/>
      </c>
      <c r="I232">
        <f>IF(ISBLANK('ENGAGEMENTS 2026'!B232),"",'ENGAGEMENTS 2026'!G232)</f>
        <v/>
      </c>
      <c r="J232" s="275">
        <f>IF(ISBLANK('ENGAGEMENTS 2026'!B232),"",IF(AND(OR($E232="INFRUCTUEUX",$E232="ANNULE"),$C232="AOO-M"),'ENGAGEMENTS 2026'!O232,IF($H232="EN COURS DE PREENGAGEMENT",'ENGAGEMENTS 2026'!N232,IF($H232="PREENGAGE",IF($E232="ATTRIBUE",'ENGAGEMENTS 2026'!AD232,'ENGAGEMENTS 2026'!N232),'ENGAGEMENTS 2026'!AD232))))</f>
        <v/>
      </c>
      <c r="K232" s="604">
        <f>IF(ISBLANK('ENGAGEMENTS 2026'!V232),"",'ENGAGEMENTS 2026'!V232)</f>
        <v/>
      </c>
      <c r="L232" s="276">
        <f>IF($K232="","",TODAY()-$K232)</f>
        <v/>
      </c>
      <c r="M232">
        <f>IF($A232="","",IF($H232="ENGAGE","Engagé",IF(AND($H232="NON ENGAGE",OR($I232="INFRUCTUEUX",$I232="ANNULE")),"Clôturé sans suite","En cours")))</f>
        <v/>
      </c>
      <c r="N232">
        <f>IF(ISBLANK('ENGAGEMENTS 2026'!B232),"",'ENGAGEMENTS 2026'!K232)</f>
        <v/>
      </c>
      <c r="O232">
        <f>IF(ISBLANK('ENGAGEMENTS 2026'!B232),"",'ENGAGEMENTS 2026'!L232)</f>
        <v/>
      </c>
      <c r="P232">
        <f>IF(ISBLANK('ENGAGEMENTS 2026'!B232),"",'ENGAGEMENTS 2026'!J232)</f>
        <v/>
      </c>
      <c r="Q232">
        <f>IF($A232="","",IF(OR($E232="INFRUCTUEUX",$E232="ANNULE"),$A232&amp;"|"&amp;(COUNTIFS($A$2:$A232,$A232,$E$2:$E232,"INFRUCTUEUX")+COUNTIFS($A$2:$A232,$A232,$E$2:$E232,"ANNULE")),""))</f>
        <v/>
      </c>
    </row>
    <row r="233">
      <c r="A233">
        <f>IF(ISBLANK('ENGAGEMENTS 2026'!B233),"",IF('ENGAGEMENTS 2026'!B233="DTSI","DCT",'ENGAGEMENTS 2026'!B233))</f>
        <v/>
      </c>
      <c r="B233">
        <f>IF(ISBLANK('ENGAGEMENTS 2026'!B233),"",'ENGAGEMENTS 2026'!C233)</f>
        <v/>
      </c>
      <c r="C233">
        <f>IF(ISBLANK('ENGAGEMENTS 2026'!B233),"",'ENGAGEMENTS 2026'!D233)</f>
        <v/>
      </c>
      <c r="D233">
        <f>IF(ISBLANK('ENGAGEMENTS 2026'!B233),"",'ENGAGEMENTS 2026'!F233)</f>
        <v/>
      </c>
      <c r="E233">
        <f>IF(ISBLANK('ENGAGEMENTS 2026'!B233),"",'ENGAGEMENTS 2026'!H233)</f>
        <v/>
      </c>
      <c r="F233">
        <f>IF(ISBLANK('ENGAGEMENTS 2026'!B233),"",'ENGAGEMENTS 2026'!I233)</f>
        <v/>
      </c>
      <c r="G233">
        <f>IF(ISBLANK('ENGAGEMENTS 2026'!B233),"",'ENGAGEMENTS 2026'!L233)</f>
        <v/>
      </c>
      <c r="H233">
        <f>IF(ISBLANK('ENGAGEMENTS 2026'!B233),"",'ENGAGEMENTS 2026'!AE233)</f>
        <v/>
      </c>
      <c r="I233">
        <f>IF(ISBLANK('ENGAGEMENTS 2026'!B233),"",'ENGAGEMENTS 2026'!G233)</f>
        <v/>
      </c>
      <c r="J233" s="275">
        <f>IF(ISBLANK('ENGAGEMENTS 2026'!B233),"",IF(AND(OR($E233="INFRUCTUEUX",$E233="ANNULE"),$C233="AOO-M"),'ENGAGEMENTS 2026'!O233,IF($H233="EN COURS DE PREENGAGEMENT",'ENGAGEMENTS 2026'!N233,IF($H233="PREENGAGE",IF($E233="ATTRIBUE",'ENGAGEMENTS 2026'!AD233,'ENGAGEMENTS 2026'!N233),'ENGAGEMENTS 2026'!AD233))))</f>
        <v/>
      </c>
      <c r="K233" s="604">
        <f>IF(ISBLANK('ENGAGEMENTS 2026'!V233),"",'ENGAGEMENTS 2026'!V233)</f>
        <v/>
      </c>
      <c r="L233" s="276">
        <f>IF($K233="","",TODAY()-$K233)</f>
        <v/>
      </c>
      <c r="M233">
        <f>IF($A233="","",IF($H233="ENGAGE","Engagé",IF(AND($H233="NON ENGAGE",OR($I233="INFRUCTUEUX",$I233="ANNULE")),"Clôturé sans suite","En cours")))</f>
        <v/>
      </c>
      <c r="N233">
        <f>IF(ISBLANK('ENGAGEMENTS 2026'!B233),"",'ENGAGEMENTS 2026'!K233)</f>
        <v/>
      </c>
      <c r="O233">
        <f>IF(ISBLANK('ENGAGEMENTS 2026'!B233),"",'ENGAGEMENTS 2026'!L233)</f>
        <v/>
      </c>
      <c r="P233">
        <f>IF(ISBLANK('ENGAGEMENTS 2026'!B233),"",'ENGAGEMENTS 2026'!J233)</f>
        <v/>
      </c>
      <c r="Q233">
        <f>IF($A233="","",IF(OR($E233="INFRUCTUEUX",$E233="ANNULE"),$A233&amp;"|"&amp;(COUNTIFS($A$2:$A233,$A233,$E$2:$E233,"INFRUCTUEUX")+COUNTIFS($A$2:$A233,$A233,$E$2:$E233,"ANNULE")),""))</f>
        <v/>
      </c>
    </row>
    <row r="234">
      <c r="A234">
        <f>IF(ISBLANK('ENGAGEMENTS 2026'!B234),"",IF('ENGAGEMENTS 2026'!B234="DTSI","DCT",'ENGAGEMENTS 2026'!B234))</f>
        <v/>
      </c>
      <c r="B234">
        <f>IF(ISBLANK('ENGAGEMENTS 2026'!B234),"",'ENGAGEMENTS 2026'!C234)</f>
        <v/>
      </c>
      <c r="C234">
        <f>IF(ISBLANK('ENGAGEMENTS 2026'!B234),"",'ENGAGEMENTS 2026'!D234)</f>
        <v/>
      </c>
      <c r="D234">
        <f>IF(ISBLANK('ENGAGEMENTS 2026'!B234),"",'ENGAGEMENTS 2026'!F234)</f>
        <v/>
      </c>
      <c r="E234">
        <f>IF(ISBLANK('ENGAGEMENTS 2026'!B234),"",'ENGAGEMENTS 2026'!H234)</f>
        <v/>
      </c>
      <c r="F234">
        <f>IF(ISBLANK('ENGAGEMENTS 2026'!B234),"",'ENGAGEMENTS 2026'!I234)</f>
        <v/>
      </c>
      <c r="G234">
        <f>IF(ISBLANK('ENGAGEMENTS 2026'!B234),"",'ENGAGEMENTS 2026'!L234)</f>
        <v/>
      </c>
      <c r="H234">
        <f>IF(ISBLANK('ENGAGEMENTS 2026'!B234),"",'ENGAGEMENTS 2026'!AE234)</f>
        <v/>
      </c>
      <c r="I234">
        <f>IF(ISBLANK('ENGAGEMENTS 2026'!B234),"",'ENGAGEMENTS 2026'!G234)</f>
        <v/>
      </c>
      <c r="J234" s="275">
        <f>IF(ISBLANK('ENGAGEMENTS 2026'!B234),"",IF(AND(OR($E234="INFRUCTUEUX",$E234="ANNULE"),$C234="AOO-M"),'ENGAGEMENTS 2026'!O234,IF($H234="EN COURS DE PREENGAGEMENT",'ENGAGEMENTS 2026'!N234,IF($H234="PREENGAGE",IF($E234="ATTRIBUE",'ENGAGEMENTS 2026'!AD234,'ENGAGEMENTS 2026'!N234),'ENGAGEMENTS 2026'!AD234))))</f>
        <v/>
      </c>
      <c r="K234" s="604">
        <f>IF(ISBLANK('ENGAGEMENTS 2026'!V234),"",'ENGAGEMENTS 2026'!V234)</f>
        <v/>
      </c>
      <c r="L234" s="276">
        <f>IF($K234="","",TODAY()-$K234)</f>
        <v/>
      </c>
      <c r="M234">
        <f>IF($A234="","",IF($H234="ENGAGE","Engagé",IF(AND($H234="NON ENGAGE",OR($I234="INFRUCTUEUX",$I234="ANNULE")),"Clôturé sans suite","En cours")))</f>
        <v/>
      </c>
      <c r="N234">
        <f>IF(ISBLANK('ENGAGEMENTS 2026'!B234),"",'ENGAGEMENTS 2026'!K234)</f>
        <v/>
      </c>
      <c r="O234">
        <f>IF(ISBLANK('ENGAGEMENTS 2026'!B234),"",'ENGAGEMENTS 2026'!L234)</f>
        <v/>
      </c>
      <c r="P234">
        <f>IF(ISBLANK('ENGAGEMENTS 2026'!B234),"",'ENGAGEMENTS 2026'!J234)</f>
        <v/>
      </c>
      <c r="Q234">
        <f>IF($A234="","",IF(OR($E234="INFRUCTUEUX",$E234="ANNULE"),$A234&amp;"|"&amp;(COUNTIFS($A$2:$A234,$A234,$E$2:$E234,"INFRUCTUEUX")+COUNTIFS($A$2:$A234,$A234,$E$2:$E234,"ANNULE")),""))</f>
        <v/>
      </c>
    </row>
    <row r="235">
      <c r="A235">
        <f>IF(ISBLANK('ENGAGEMENTS 2026'!B235),"",IF('ENGAGEMENTS 2026'!B235="DTSI","DCT",'ENGAGEMENTS 2026'!B235))</f>
        <v/>
      </c>
      <c r="B235">
        <f>IF(ISBLANK('ENGAGEMENTS 2026'!B235),"",'ENGAGEMENTS 2026'!C235)</f>
        <v/>
      </c>
      <c r="C235">
        <f>IF(ISBLANK('ENGAGEMENTS 2026'!B235),"",'ENGAGEMENTS 2026'!D235)</f>
        <v/>
      </c>
      <c r="D235">
        <f>IF(ISBLANK('ENGAGEMENTS 2026'!B235),"",'ENGAGEMENTS 2026'!F235)</f>
        <v/>
      </c>
      <c r="E235">
        <f>IF(ISBLANK('ENGAGEMENTS 2026'!B235),"",'ENGAGEMENTS 2026'!H235)</f>
        <v/>
      </c>
      <c r="F235">
        <f>IF(ISBLANK('ENGAGEMENTS 2026'!B235),"",'ENGAGEMENTS 2026'!I235)</f>
        <v/>
      </c>
      <c r="G235">
        <f>IF(ISBLANK('ENGAGEMENTS 2026'!B235),"",'ENGAGEMENTS 2026'!L235)</f>
        <v/>
      </c>
      <c r="H235">
        <f>IF(ISBLANK('ENGAGEMENTS 2026'!B235),"",'ENGAGEMENTS 2026'!AE235)</f>
        <v/>
      </c>
      <c r="I235">
        <f>IF(ISBLANK('ENGAGEMENTS 2026'!B235),"",'ENGAGEMENTS 2026'!G235)</f>
        <v/>
      </c>
      <c r="J235" s="275">
        <f>IF(ISBLANK('ENGAGEMENTS 2026'!B235),"",IF(AND(OR($E235="INFRUCTUEUX",$E235="ANNULE"),$C235="AOO-M"),'ENGAGEMENTS 2026'!O235,IF($H235="EN COURS DE PREENGAGEMENT",'ENGAGEMENTS 2026'!N235,IF($H235="PREENGAGE",IF($E235="ATTRIBUE",'ENGAGEMENTS 2026'!AD235,'ENGAGEMENTS 2026'!N235),'ENGAGEMENTS 2026'!AD235))))</f>
        <v/>
      </c>
      <c r="K235" s="604">
        <f>IF(ISBLANK('ENGAGEMENTS 2026'!V235),"",'ENGAGEMENTS 2026'!V235)</f>
        <v/>
      </c>
      <c r="L235" s="276">
        <f>IF($K235="","",TODAY()-$K235)</f>
        <v/>
      </c>
      <c r="M235">
        <f>IF($A235="","",IF($H235="ENGAGE","Engagé",IF(AND($H235="NON ENGAGE",OR($I235="INFRUCTUEUX",$I235="ANNULE")),"Clôturé sans suite","En cours")))</f>
        <v/>
      </c>
      <c r="N235">
        <f>IF(ISBLANK('ENGAGEMENTS 2026'!B235),"",'ENGAGEMENTS 2026'!K235)</f>
        <v/>
      </c>
      <c r="O235">
        <f>IF(ISBLANK('ENGAGEMENTS 2026'!B235),"",'ENGAGEMENTS 2026'!L235)</f>
        <v/>
      </c>
      <c r="P235">
        <f>IF(ISBLANK('ENGAGEMENTS 2026'!B235),"",'ENGAGEMENTS 2026'!J235)</f>
        <v/>
      </c>
      <c r="Q235">
        <f>IF($A235="","",IF(OR($E235="INFRUCTUEUX",$E235="ANNULE"),$A235&amp;"|"&amp;(COUNTIFS($A$2:$A235,$A235,$E$2:$E235,"INFRUCTUEUX")+COUNTIFS($A$2:$A235,$A235,$E$2:$E235,"ANNULE")),""))</f>
        <v/>
      </c>
    </row>
    <row r="236">
      <c r="A236">
        <f>IF(ISBLANK('ENGAGEMENTS 2026'!B236),"",IF('ENGAGEMENTS 2026'!B236="DTSI","DCT",'ENGAGEMENTS 2026'!B236))</f>
        <v/>
      </c>
      <c r="B236">
        <f>IF(ISBLANK('ENGAGEMENTS 2026'!B236),"",'ENGAGEMENTS 2026'!C236)</f>
        <v/>
      </c>
      <c r="C236">
        <f>IF(ISBLANK('ENGAGEMENTS 2026'!B236),"",'ENGAGEMENTS 2026'!D236)</f>
        <v/>
      </c>
      <c r="D236">
        <f>IF(ISBLANK('ENGAGEMENTS 2026'!B236),"",'ENGAGEMENTS 2026'!F236)</f>
        <v/>
      </c>
      <c r="E236">
        <f>IF(ISBLANK('ENGAGEMENTS 2026'!B236),"",'ENGAGEMENTS 2026'!H236)</f>
        <v/>
      </c>
      <c r="F236">
        <f>IF(ISBLANK('ENGAGEMENTS 2026'!B236),"",'ENGAGEMENTS 2026'!I236)</f>
        <v/>
      </c>
      <c r="G236">
        <f>IF(ISBLANK('ENGAGEMENTS 2026'!B236),"",'ENGAGEMENTS 2026'!L236)</f>
        <v/>
      </c>
      <c r="H236">
        <f>IF(ISBLANK('ENGAGEMENTS 2026'!B236),"",'ENGAGEMENTS 2026'!AE236)</f>
        <v/>
      </c>
      <c r="I236">
        <f>IF(ISBLANK('ENGAGEMENTS 2026'!B236),"",'ENGAGEMENTS 2026'!G236)</f>
        <v/>
      </c>
      <c r="J236" s="275">
        <f>IF(ISBLANK('ENGAGEMENTS 2026'!B236),"",IF(AND(OR($E236="INFRUCTUEUX",$E236="ANNULE"),$C236="AOO-M"),'ENGAGEMENTS 2026'!O236,IF($H236="EN COURS DE PREENGAGEMENT",'ENGAGEMENTS 2026'!N236,IF($H236="PREENGAGE",IF($E236="ATTRIBUE",'ENGAGEMENTS 2026'!AD236,'ENGAGEMENTS 2026'!N236),'ENGAGEMENTS 2026'!AD236))))</f>
        <v/>
      </c>
      <c r="K236" s="604">
        <f>IF(ISBLANK('ENGAGEMENTS 2026'!V236),"",'ENGAGEMENTS 2026'!V236)</f>
        <v/>
      </c>
      <c r="L236" s="276">
        <f>IF($K236="","",TODAY()-$K236)</f>
        <v/>
      </c>
      <c r="M236">
        <f>IF($A236="","",IF($H236="ENGAGE","Engagé",IF(AND($H236="NON ENGAGE",OR($I236="INFRUCTUEUX",$I236="ANNULE")),"Clôturé sans suite","En cours")))</f>
        <v/>
      </c>
      <c r="N236">
        <f>IF(ISBLANK('ENGAGEMENTS 2026'!B236),"",'ENGAGEMENTS 2026'!K236)</f>
        <v/>
      </c>
      <c r="O236">
        <f>IF(ISBLANK('ENGAGEMENTS 2026'!B236),"",'ENGAGEMENTS 2026'!L236)</f>
        <v/>
      </c>
      <c r="P236">
        <f>IF(ISBLANK('ENGAGEMENTS 2026'!B236),"",'ENGAGEMENTS 2026'!J236)</f>
        <v/>
      </c>
      <c r="Q236">
        <f>IF($A236="","",IF(OR($E236="INFRUCTUEUX",$E236="ANNULE"),$A236&amp;"|"&amp;(COUNTIFS($A$2:$A236,$A236,$E$2:$E236,"INFRUCTUEUX")+COUNTIFS($A$2:$A236,$A236,$E$2:$E236,"ANNULE")),""))</f>
        <v/>
      </c>
    </row>
    <row r="237">
      <c r="A237">
        <f>IF(ISBLANK('ENGAGEMENTS 2026'!B237),"",IF('ENGAGEMENTS 2026'!B237="DTSI","DCT",'ENGAGEMENTS 2026'!B237))</f>
        <v/>
      </c>
      <c r="B237">
        <f>IF(ISBLANK('ENGAGEMENTS 2026'!B237),"",'ENGAGEMENTS 2026'!C237)</f>
        <v/>
      </c>
      <c r="C237">
        <f>IF(ISBLANK('ENGAGEMENTS 2026'!B237),"",'ENGAGEMENTS 2026'!D237)</f>
        <v/>
      </c>
      <c r="D237">
        <f>IF(ISBLANK('ENGAGEMENTS 2026'!B237),"",'ENGAGEMENTS 2026'!F237)</f>
        <v/>
      </c>
      <c r="E237">
        <f>IF(ISBLANK('ENGAGEMENTS 2026'!B237),"",'ENGAGEMENTS 2026'!H237)</f>
        <v/>
      </c>
      <c r="F237">
        <f>IF(ISBLANK('ENGAGEMENTS 2026'!B237),"",'ENGAGEMENTS 2026'!I237)</f>
        <v/>
      </c>
      <c r="G237">
        <f>IF(ISBLANK('ENGAGEMENTS 2026'!B237),"",'ENGAGEMENTS 2026'!L237)</f>
        <v/>
      </c>
      <c r="H237">
        <f>IF(ISBLANK('ENGAGEMENTS 2026'!B237),"",'ENGAGEMENTS 2026'!AE237)</f>
        <v/>
      </c>
      <c r="I237">
        <f>IF(ISBLANK('ENGAGEMENTS 2026'!B237),"",'ENGAGEMENTS 2026'!G237)</f>
        <v/>
      </c>
      <c r="J237" s="275">
        <f>IF(ISBLANK('ENGAGEMENTS 2026'!B237),"",IF(AND(OR($E237="INFRUCTUEUX",$E237="ANNULE"),$C237="AOO-M"),'ENGAGEMENTS 2026'!O237,IF($H237="EN COURS DE PREENGAGEMENT",'ENGAGEMENTS 2026'!N237,IF($H237="PREENGAGE",IF($E237="ATTRIBUE",'ENGAGEMENTS 2026'!AD237,'ENGAGEMENTS 2026'!N237),'ENGAGEMENTS 2026'!AD237))))</f>
        <v/>
      </c>
      <c r="K237" s="604">
        <f>IF(ISBLANK('ENGAGEMENTS 2026'!V237),"",'ENGAGEMENTS 2026'!V237)</f>
        <v/>
      </c>
      <c r="L237" s="276">
        <f>IF($K237="","",TODAY()-$K237)</f>
        <v/>
      </c>
      <c r="M237">
        <f>IF($A237="","",IF($H237="ENGAGE","Engagé",IF(AND($H237="NON ENGAGE",OR($I237="INFRUCTUEUX",$I237="ANNULE")),"Clôturé sans suite","En cours")))</f>
        <v/>
      </c>
      <c r="N237">
        <f>IF(ISBLANK('ENGAGEMENTS 2026'!B237),"",'ENGAGEMENTS 2026'!K237)</f>
        <v/>
      </c>
      <c r="O237">
        <f>IF(ISBLANK('ENGAGEMENTS 2026'!B237),"",'ENGAGEMENTS 2026'!L237)</f>
        <v/>
      </c>
      <c r="P237">
        <f>IF(ISBLANK('ENGAGEMENTS 2026'!B237),"",'ENGAGEMENTS 2026'!J237)</f>
        <v/>
      </c>
      <c r="Q237">
        <f>IF($A237="","",IF(OR($E237="INFRUCTUEUX",$E237="ANNULE"),$A237&amp;"|"&amp;(COUNTIFS($A$2:$A237,$A237,$E$2:$E237,"INFRUCTUEUX")+COUNTIFS($A$2:$A237,$A237,$E$2:$E237,"ANNULE")),""))</f>
        <v/>
      </c>
    </row>
    <row r="238">
      <c r="A238">
        <f>IF(ISBLANK('ENGAGEMENTS 2026'!B238),"",IF('ENGAGEMENTS 2026'!B238="DTSI","DCT",'ENGAGEMENTS 2026'!B238))</f>
        <v/>
      </c>
      <c r="B238">
        <f>IF(ISBLANK('ENGAGEMENTS 2026'!B238),"",'ENGAGEMENTS 2026'!C238)</f>
        <v/>
      </c>
      <c r="C238">
        <f>IF(ISBLANK('ENGAGEMENTS 2026'!B238),"",'ENGAGEMENTS 2026'!D238)</f>
        <v/>
      </c>
      <c r="D238">
        <f>IF(ISBLANK('ENGAGEMENTS 2026'!B238),"",'ENGAGEMENTS 2026'!F238)</f>
        <v/>
      </c>
      <c r="E238">
        <f>IF(ISBLANK('ENGAGEMENTS 2026'!B238),"",'ENGAGEMENTS 2026'!H238)</f>
        <v/>
      </c>
      <c r="F238">
        <f>IF(ISBLANK('ENGAGEMENTS 2026'!B238),"",'ENGAGEMENTS 2026'!I238)</f>
        <v/>
      </c>
      <c r="G238">
        <f>IF(ISBLANK('ENGAGEMENTS 2026'!B238),"",'ENGAGEMENTS 2026'!L238)</f>
        <v/>
      </c>
      <c r="H238">
        <f>IF(ISBLANK('ENGAGEMENTS 2026'!B238),"",'ENGAGEMENTS 2026'!AE238)</f>
        <v/>
      </c>
      <c r="I238">
        <f>IF(ISBLANK('ENGAGEMENTS 2026'!B238),"",'ENGAGEMENTS 2026'!G238)</f>
        <v/>
      </c>
      <c r="J238" s="275">
        <f>IF(ISBLANK('ENGAGEMENTS 2026'!B238),"",IF(AND(OR($E238="INFRUCTUEUX",$E238="ANNULE"),$C238="AOO-M"),'ENGAGEMENTS 2026'!O238,IF($H238="EN COURS DE PREENGAGEMENT",'ENGAGEMENTS 2026'!N238,IF($H238="PREENGAGE",IF($E238="ATTRIBUE",'ENGAGEMENTS 2026'!AD238,'ENGAGEMENTS 2026'!N238),'ENGAGEMENTS 2026'!AD238))))</f>
        <v/>
      </c>
      <c r="K238" s="604">
        <f>IF(ISBLANK('ENGAGEMENTS 2026'!V238),"",'ENGAGEMENTS 2026'!V238)</f>
        <v/>
      </c>
      <c r="L238" s="276">
        <f>IF($K238="","",TODAY()-$K238)</f>
        <v/>
      </c>
      <c r="M238">
        <f>IF($A238="","",IF($H238="ENGAGE","Engagé",IF(AND($H238="NON ENGAGE",OR($I238="INFRUCTUEUX",$I238="ANNULE")),"Clôturé sans suite","En cours")))</f>
        <v/>
      </c>
      <c r="N238">
        <f>IF(ISBLANK('ENGAGEMENTS 2026'!B238),"",'ENGAGEMENTS 2026'!K238)</f>
        <v/>
      </c>
      <c r="O238">
        <f>IF(ISBLANK('ENGAGEMENTS 2026'!B238),"",'ENGAGEMENTS 2026'!L238)</f>
        <v/>
      </c>
      <c r="P238">
        <f>IF(ISBLANK('ENGAGEMENTS 2026'!B238),"",'ENGAGEMENTS 2026'!J238)</f>
        <v/>
      </c>
      <c r="Q238">
        <f>IF($A238="","",IF(OR($E238="INFRUCTUEUX",$E238="ANNULE"),$A238&amp;"|"&amp;(COUNTIFS($A$2:$A238,$A238,$E$2:$E238,"INFRUCTUEUX")+COUNTIFS($A$2:$A238,$A238,$E$2:$E238,"ANNULE")),""))</f>
        <v/>
      </c>
    </row>
    <row r="239">
      <c r="A239">
        <f>IF(ISBLANK('ENGAGEMENTS 2026'!B239),"",IF('ENGAGEMENTS 2026'!B239="DTSI","DCT",'ENGAGEMENTS 2026'!B239))</f>
        <v/>
      </c>
      <c r="B239">
        <f>IF(ISBLANK('ENGAGEMENTS 2026'!B239),"",'ENGAGEMENTS 2026'!C239)</f>
        <v/>
      </c>
      <c r="C239">
        <f>IF(ISBLANK('ENGAGEMENTS 2026'!B239),"",'ENGAGEMENTS 2026'!D239)</f>
        <v/>
      </c>
      <c r="D239">
        <f>IF(ISBLANK('ENGAGEMENTS 2026'!B239),"",'ENGAGEMENTS 2026'!F239)</f>
        <v/>
      </c>
      <c r="E239">
        <f>IF(ISBLANK('ENGAGEMENTS 2026'!B239),"",'ENGAGEMENTS 2026'!H239)</f>
        <v/>
      </c>
      <c r="F239">
        <f>IF(ISBLANK('ENGAGEMENTS 2026'!B239),"",'ENGAGEMENTS 2026'!I239)</f>
        <v/>
      </c>
      <c r="G239">
        <f>IF(ISBLANK('ENGAGEMENTS 2026'!B239),"",'ENGAGEMENTS 2026'!L239)</f>
        <v/>
      </c>
      <c r="H239">
        <f>IF(ISBLANK('ENGAGEMENTS 2026'!B239),"",'ENGAGEMENTS 2026'!AE239)</f>
        <v/>
      </c>
      <c r="I239">
        <f>IF(ISBLANK('ENGAGEMENTS 2026'!B239),"",'ENGAGEMENTS 2026'!G239)</f>
        <v/>
      </c>
      <c r="J239" s="275">
        <f>IF(ISBLANK('ENGAGEMENTS 2026'!B239),"",IF(AND(OR($E239="INFRUCTUEUX",$E239="ANNULE"),$C239="AOO-M"),'ENGAGEMENTS 2026'!O239,IF($H239="EN COURS DE PREENGAGEMENT",'ENGAGEMENTS 2026'!N239,IF($H239="PREENGAGE",IF($E239="ATTRIBUE",'ENGAGEMENTS 2026'!AD239,'ENGAGEMENTS 2026'!N239),'ENGAGEMENTS 2026'!AD239))))</f>
        <v/>
      </c>
      <c r="K239" s="604">
        <f>IF(ISBLANK('ENGAGEMENTS 2026'!V239),"",'ENGAGEMENTS 2026'!V239)</f>
        <v/>
      </c>
      <c r="L239" s="276">
        <f>IF($K239="","",TODAY()-$K239)</f>
        <v/>
      </c>
      <c r="M239">
        <f>IF($A239="","",IF($H239="ENGAGE","Engagé",IF(AND($H239="NON ENGAGE",OR($I239="INFRUCTUEUX",$I239="ANNULE")),"Clôturé sans suite","En cours")))</f>
        <v/>
      </c>
      <c r="N239">
        <f>IF(ISBLANK('ENGAGEMENTS 2026'!B239),"",'ENGAGEMENTS 2026'!K239)</f>
        <v/>
      </c>
      <c r="O239">
        <f>IF(ISBLANK('ENGAGEMENTS 2026'!B239),"",'ENGAGEMENTS 2026'!L239)</f>
        <v/>
      </c>
      <c r="P239">
        <f>IF(ISBLANK('ENGAGEMENTS 2026'!B239),"",'ENGAGEMENTS 2026'!J239)</f>
        <v/>
      </c>
      <c r="Q239">
        <f>IF($A239="","",IF(OR($E239="INFRUCTUEUX",$E239="ANNULE"),$A239&amp;"|"&amp;(COUNTIFS($A$2:$A239,$A239,$E$2:$E239,"INFRUCTUEUX")+COUNTIFS($A$2:$A239,$A239,$E$2:$E239,"ANNULE")),""))</f>
        <v/>
      </c>
    </row>
    <row r="240">
      <c r="A240">
        <f>IF(ISBLANK('ENGAGEMENTS 2026'!B240),"",IF('ENGAGEMENTS 2026'!B240="DTSI","DCT",'ENGAGEMENTS 2026'!B240))</f>
        <v/>
      </c>
      <c r="B240">
        <f>IF(ISBLANK('ENGAGEMENTS 2026'!B240),"",'ENGAGEMENTS 2026'!C240)</f>
        <v/>
      </c>
      <c r="C240">
        <f>IF(ISBLANK('ENGAGEMENTS 2026'!B240),"",'ENGAGEMENTS 2026'!D240)</f>
        <v/>
      </c>
      <c r="D240">
        <f>IF(ISBLANK('ENGAGEMENTS 2026'!B240),"",'ENGAGEMENTS 2026'!F240)</f>
        <v/>
      </c>
      <c r="E240">
        <f>IF(ISBLANK('ENGAGEMENTS 2026'!B240),"",'ENGAGEMENTS 2026'!H240)</f>
        <v/>
      </c>
      <c r="F240">
        <f>IF(ISBLANK('ENGAGEMENTS 2026'!B240),"",'ENGAGEMENTS 2026'!I240)</f>
        <v/>
      </c>
      <c r="G240">
        <f>IF(ISBLANK('ENGAGEMENTS 2026'!B240),"",'ENGAGEMENTS 2026'!L240)</f>
        <v/>
      </c>
      <c r="H240">
        <f>IF(ISBLANK('ENGAGEMENTS 2026'!B240),"",'ENGAGEMENTS 2026'!AE240)</f>
        <v/>
      </c>
      <c r="I240">
        <f>IF(ISBLANK('ENGAGEMENTS 2026'!B240),"",'ENGAGEMENTS 2026'!G240)</f>
        <v/>
      </c>
      <c r="J240" s="275">
        <f>IF(ISBLANK('ENGAGEMENTS 2026'!B240),"",IF(AND(OR($E240="INFRUCTUEUX",$E240="ANNULE"),$C240="AOO-M"),'ENGAGEMENTS 2026'!O240,IF($H240="EN COURS DE PREENGAGEMENT",'ENGAGEMENTS 2026'!N240,IF($H240="PREENGAGE",IF($E240="ATTRIBUE",'ENGAGEMENTS 2026'!AD240,'ENGAGEMENTS 2026'!N240),'ENGAGEMENTS 2026'!AD240))))</f>
        <v/>
      </c>
      <c r="K240" s="604">
        <f>IF(ISBLANK('ENGAGEMENTS 2026'!V240),"",'ENGAGEMENTS 2026'!V240)</f>
        <v/>
      </c>
      <c r="L240" s="276">
        <f>IF($K240="","",TODAY()-$K240)</f>
        <v/>
      </c>
      <c r="M240">
        <f>IF($A240="","",IF($H240="ENGAGE","Engagé",IF(AND($H240="NON ENGAGE",OR($I240="INFRUCTUEUX",$I240="ANNULE")),"Clôturé sans suite","En cours")))</f>
        <v/>
      </c>
      <c r="N240">
        <f>IF(ISBLANK('ENGAGEMENTS 2026'!B240),"",'ENGAGEMENTS 2026'!K240)</f>
        <v/>
      </c>
      <c r="O240">
        <f>IF(ISBLANK('ENGAGEMENTS 2026'!B240),"",'ENGAGEMENTS 2026'!L240)</f>
        <v/>
      </c>
      <c r="P240">
        <f>IF(ISBLANK('ENGAGEMENTS 2026'!B240),"",'ENGAGEMENTS 2026'!J240)</f>
        <v/>
      </c>
      <c r="Q240">
        <f>IF($A240="","",IF(OR($E240="INFRUCTUEUX",$E240="ANNULE"),$A240&amp;"|"&amp;(COUNTIFS($A$2:$A240,$A240,$E$2:$E240,"INFRUCTUEUX")+COUNTIFS($A$2:$A240,$A240,$E$2:$E240,"ANNULE")),""))</f>
        <v/>
      </c>
    </row>
    <row r="241">
      <c r="A241">
        <f>IF(ISBLANK('ENGAGEMENTS 2026'!B241),"",IF('ENGAGEMENTS 2026'!B241="DTSI","DCT",'ENGAGEMENTS 2026'!B241))</f>
        <v/>
      </c>
      <c r="B241">
        <f>IF(ISBLANK('ENGAGEMENTS 2026'!B241),"",'ENGAGEMENTS 2026'!C241)</f>
        <v/>
      </c>
      <c r="C241">
        <f>IF(ISBLANK('ENGAGEMENTS 2026'!B241),"",'ENGAGEMENTS 2026'!D241)</f>
        <v/>
      </c>
      <c r="D241">
        <f>IF(ISBLANK('ENGAGEMENTS 2026'!B241),"",'ENGAGEMENTS 2026'!F241)</f>
        <v/>
      </c>
      <c r="E241">
        <f>IF(ISBLANK('ENGAGEMENTS 2026'!B241),"",'ENGAGEMENTS 2026'!H241)</f>
        <v/>
      </c>
      <c r="F241">
        <f>IF(ISBLANK('ENGAGEMENTS 2026'!B241),"",'ENGAGEMENTS 2026'!I241)</f>
        <v/>
      </c>
      <c r="G241">
        <f>IF(ISBLANK('ENGAGEMENTS 2026'!B241),"",'ENGAGEMENTS 2026'!L241)</f>
        <v/>
      </c>
      <c r="H241">
        <f>IF(ISBLANK('ENGAGEMENTS 2026'!B241),"",'ENGAGEMENTS 2026'!AE241)</f>
        <v/>
      </c>
      <c r="I241">
        <f>IF(ISBLANK('ENGAGEMENTS 2026'!B241),"",'ENGAGEMENTS 2026'!G241)</f>
        <v/>
      </c>
      <c r="J241" s="275">
        <f>IF(ISBLANK('ENGAGEMENTS 2026'!B241),"",IF(AND(OR($E241="INFRUCTUEUX",$E241="ANNULE"),$C241="AOO-M"),'ENGAGEMENTS 2026'!O241,IF($H241="EN COURS DE PREENGAGEMENT",'ENGAGEMENTS 2026'!N241,IF($H241="PREENGAGE",IF($E241="ATTRIBUE",'ENGAGEMENTS 2026'!AD241,'ENGAGEMENTS 2026'!N241),'ENGAGEMENTS 2026'!AD241))))</f>
        <v/>
      </c>
      <c r="K241" s="604">
        <f>IF(ISBLANK('ENGAGEMENTS 2026'!V241),"",'ENGAGEMENTS 2026'!V241)</f>
        <v/>
      </c>
      <c r="L241" s="276">
        <f>IF($K241="","",TODAY()-$K241)</f>
        <v/>
      </c>
      <c r="M241">
        <f>IF($A241="","",IF($H241="ENGAGE","Engagé",IF(AND($H241="NON ENGAGE",OR($I241="INFRUCTUEUX",$I241="ANNULE")),"Clôturé sans suite","En cours")))</f>
        <v/>
      </c>
      <c r="N241">
        <f>IF(ISBLANK('ENGAGEMENTS 2026'!B241),"",'ENGAGEMENTS 2026'!K241)</f>
        <v/>
      </c>
      <c r="O241">
        <f>IF(ISBLANK('ENGAGEMENTS 2026'!B241),"",'ENGAGEMENTS 2026'!L241)</f>
        <v/>
      </c>
      <c r="P241">
        <f>IF(ISBLANK('ENGAGEMENTS 2026'!B241),"",'ENGAGEMENTS 2026'!J241)</f>
        <v/>
      </c>
      <c r="Q241">
        <f>IF($A241="","",IF(OR($E241="INFRUCTUEUX",$E241="ANNULE"),$A241&amp;"|"&amp;(COUNTIFS($A$2:$A241,$A241,$E$2:$E241,"INFRUCTUEUX")+COUNTIFS($A$2:$A241,$A241,$E$2:$E241,"ANNULE")),""))</f>
        <v/>
      </c>
    </row>
    <row r="242">
      <c r="A242">
        <f>IF(ISBLANK('ENGAGEMENTS 2026'!B242),"",IF('ENGAGEMENTS 2026'!B242="DTSI","DCT",'ENGAGEMENTS 2026'!B242))</f>
        <v/>
      </c>
      <c r="B242">
        <f>IF(ISBLANK('ENGAGEMENTS 2026'!B242),"",'ENGAGEMENTS 2026'!C242)</f>
        <v/>
      </c>
      <c r="C242">
        <f>IF(ISBLANK('ENGAGEMENTS 2026'!B242),"",'ENGAGEMENTS 2026'!D242)</f>
        <v/>
      </c>
      <c r="D242">
        <f>IF(ISBLANK('ENGAGEMENTS 2026'!B242),"",'ENGAGEMENTS 2026'!F242)</f>
        <v/>
      </c>
      <c r="E242">
        <f>IF(ISBLANK('ENGAGEMENTS 2026'!B242),"",'ENGAGEMENTS 2026'!H242)</f>
        <v/>
      </c>
      <c r="F242">
        <f>IF(ISBLANK('ENGAGEMENTS 2026'!B242),"",'ENGAGEMENTS 2026'!I242)</f>
        <v/>
      </c>
      <c r="G242">
        <f>IF(ISBLANK('ENGAGEMENTS 2026'!B242),"",'ENGAGEMENTS 2026'!L242)</f>
        <v/>
      </c>
      <c r="H242">
        <f>IF(ISBLANK('ENGAGEMENTS 2026'!B242),"",'ENGAGEMENTS 2026'!AE242)</f>
        <v/>
      </c>
      <c r="I242">
        <f>IF(ISBLANK('ENGAGEMENTS 2026'!B242),"",'ENGAGEMENTS 2026'!G242)</f>
        <v/>
      </c>
      <c r="J242" s="275">
        <f>IF(ISBLANK('ENGAGEMENTS 2026'!B242),"",IF(AND(OR($E242="INFRUCTUEUX",$E242="ANNULE"),$C242="AOO-M"),'ENGAGEMENTS 2026'!O242,IF($H242="EN COURS DE PREENGAGEMENT",'ENGAGEMENTS 2026'!N242,IF($H242="PREENGAGE",IF($E242="ATTRIBUE",'ENGAGEMENTS 2026'!AD242,'ENGAGEMENTS 2026'!N242),'ENGAGEMENTS 2026'!AD242))))</f>
        <v/>
      </c>
      <c r="K242" s="604">
        <f>IF(ISBLANK('ENGAGEMENTS 2026'!V242),"",'ENGAGEMENTS 2026'!V242)</f>
        <v/>
      </c>
      <c r="L242" s="276">
        <f>IF($K242="","",TODAY()-$K242)</f>
        <v/>
      </c>
      <c r="M242">
        <f>IF($A242="","",IF($H242="ENGAGE","Engagé",IF(AND($H242="NON ENGAGE",OR($I242="INFRUCTUEUX",$I242="ANNULE")),"Clôturé sans suite","En cours")))</f>
        <v/>
      </c>
      <c r="N242">
        <f>IF(ISBLANK('ENGAGEMENTS 2026'!B242),"",'ENGAGEMENTS 2026'!K242)</f>
        <v/>
      </c>
      <c r="O242">
        <f>IF(ISBLANK('ENGAGEMENTS 2026'!B242),"",'ENGAGEMENTS 2026'!L242)</f>
        <v/>
      </c>
      <c r="P242">
        <f>IF(ISBLANK('ENGAGEMENTS 2026'!B242),"",'ENGAGEMENTS 2026'!J242)</f>
        <v/>
      </c>
      <c r="Q242">
        <f>IF($A242="","",IF(OR($E242="INFRUCTUEUX",$E242="ANNULE"),$A242&amp;"|"&amp;(COUNTIFS($A$2:$A242,$A242,$E$2:$E242,"INFRUCTUEUX")+COUNTIFS($A$2:$A242,$A242,$E$2:$E242,"ANNULE")),""))</f>
        <v/>
      </c>
    </row>
    <row r="243">
      <c r="A243">
        <f>IF(ISBLANK('ENGAGEMENTS 2026'!B243),"",IF('ENGAGEMENTS 2026'!B243="DTSI","DCT",'ENGAGEMENTS 2026'!B243))</f>
        <v/>
      </c>
      <c r="B243">
        <f>IF(ISBLANK('ENGAGEMENTS 2026'!B243),"",'ENGAGEMENTS 2026'!C243)</f>
        <v/>
      </c>
      <c r="C243">
        <f>IF(ISBLANK('ENGAGEMENTS 2026'!B243),"",'ENGAGEMENTS 2026'!D243)</f>
        <v/>
      </c>
      <c r="D243">
        <f>IF(ISBLANK('ENGAGEMENTS 2026'!B243),"",'ENGAGEMENTS 2026'!F243)</f>
        <v/>
      </c>
      <c r="E243">
        <f>IF(ISBLANK('ENGAGEMENTS 2026'!B243),"",'ENGAGEMENTS 2026'!H243)</f>
        <v/>
      </c>
      <c r="F243">
        <f>IF(ISBLANK('ENGAGEMENTS 2026'!B243),"",'ENGAGEMENTS 2026'!I243)</f>
        <v/>
      </c>
      <c r="G243">
        <f>IF(ISBLANK('ENGAGEMENTS 2026'!B243),"",'ENGAGEMENTS 2026'!L243)</f>
        <v/>
      </c>
      <c r="H243">
        <f>IF(ISBLANK('ENGAGEMENTS 2026'!B243),"",'ENGAGEMENTS 2026'!AE243)</f>
        <v/>
      </c>
      <c r="I243">
        <f>IF(ISBLANK('ENGAGEMENTS 2026'!B243),"",'ENGAGEMENTS 2026'!G243)</f>
        <v/>
      </c>
      <c r="J243" s="275">
        <f>IF(ISBLANK('ENGAGEMENTS 2026'!B243),"",IF(AND(OR($E243="INFRUCTUEUX",$E243="ANNULE"),$C243="AOO-M"),'ENGAGEMENTS 2026'!O243,IF($H243="EN COURS DE PREENGAGEMENT",'ENGAGEMENTS 2026'!N243,IF($H243="PREENGAGE",IF($E243="ATTRIBUE",'ENGAGEMENTS 2026'!AD243,'ENGAGEMENTS 2026'!N243),'ENGAGEMENTS 2026'!AD243))))</f>
        <v/>
      </c>
      <c r="K243" s="604">
        <f>IF(ISBLANK('ENGAGEMENTS 2026'!V243),"",'ENGAGEMENTS 2026'!V243)</f>
        <v/>
      </c>
      <c r="L243" s="276">
        <f>IF($K243="","",TODAY()-$K243)</f>
        <v/>
      </c>
      <c r="M243">
        <f>IF($A243="","",IF($H243="ENGAGE","Engagé",IF(AND($H243="NON ENGAGE",OR($I243="INFRUCTUEUX",$I243="ANNULE")),"Clôturé sans suite","En cours")))</f>
        <v/>
      </c>
      <c r="N243">
        <f>IF(ISBLANK('ENGAGEMENTS 2026'!B243),"",'ENGAGEMENTS 2026'!K243)</f>
        <v/>
      </c>
      <c r="O243">
        <f>IF(ISBLANK('ENGAGEMENTS 2026'!B243),"",'ENGAGEMENTS 2026'!L243)</f>
        <v/>
      </c>
      <c r="P243">
        <f>IF(ISBLANK('ENGAGEMENTS 2026'!B243),"",'ENGAGEMENTS 2026'!J243)</f>
        <v/>
      </c>
      <c r="Q243">
        <f>IF($A243="","",IF(OR($E243="INFRUCTUEUX",$E243="ANNULE"),$A243&amp;"|"&amp;(COUNTIFS($A$2:$A243,$A243,$E$2:$E243,"INFRUCTUEUX")+COUNTIFS($A$2:$A243,$A243,$E$2:$E243,"ANNULE")),""))</f>
        <v/>
      </c>
    </row>
    <row r="244">
      <c r="A244">
        <f>IF(ISBLANK('ENGAGEMENTS 2026'!B244),"",IF('ENGAGEMENTS 2026'!B244="DTSI","DCT",'ENGAGEMENTS 2026'!B244))</f>
        <v/>
      </c>
      <c r="B244">
        <f>IF(ISBLANK('ENGAGEMENTS 2026'!B244),"",'ENGAGEMENTS 2026'!C244)</f>
        <v/>
      </c>
      <c r="C244">
        <f>IF(ISBLANK('ENGAGEMENTS 2026'!B244),"",'ENGAGEMENTS 2026'!D244)</f>
        <v/>
      </c>
      <c r="D244">
        <f>IF(ISBLANK('ENGAGEMENTS 2026'!B244),"",'ENGAGEMENTS 2026'!F244)</f>
        <v/>
      </c>
      <c r="E244">
        <f>IF(ISBLANK('ENGAGEMENTS 2026'!B244),"",'ENGAGEMENTS 2026'!H244)</f>
        <v/>
      </c>
      <c r="F244">
        <f>IF(ISBLANK('ENGAGEMENTS 2026'!B244),"",'ENGAGEMENTS 2026'!I244)</f>
        <v/>
      </c>
      <c r="G244">
        <f>IF(ISBLANK('ENGAGEMENTS 2026'!B244),"",'ENGAGEMENTS 2026'!L244)</f>
        <v/>
      </c>
      <c r="H244">
        <f>IF(ISBLANK('ENGAGEMENTS 2026'!B244),"",'ENGAGEMENTS 2026'!AE244)</f>
        <v/>
      </c>
      <c r="I244">
        <f>IF(ISBLANK('ENGAGEMENTS 2026'!B244),"",'ENGAGEMENTS 2026'!G244)</f>
        <v/>
      </c>
      <c r="J244" s="275">
        <f>IF(ISBLANK('ENGAGEMENTS 2026'!B244),"",IF(AND(OR($E244="INFRUCTUEUX",$E244="ANNULE"),$C244="AOO-M"),'ENGAGEMENTS 2026'!O244,IF($H244="EN COURS DE PREENGAGEMENT",'ENGAGEMENTS 2026'!N244,IF($H244="PREENGAGE",IF($E244="ATTRIBUE",'ENGAGEMENTS 2026'!AD244,'ENGAGEMENTS 2026'!N244),'ENGAGEMENTS 2026'!AD244))))</f>
        <v/>
      </c>
      <c r="K244" s="604">
        <f>IF(ISBLANK('ENGAGEMENTS 2026'!V244),"",'ENGAGEMENTS 2026'!V244)</f>
        <v/>
      </c>
      <c r="L244" s="276">
        <f>IF($K244="","",TODAY()-$K244)</f>
        <v/>
      </c>
      <c r="M244">
        <f>IF($A244="","",IF($H244="ENGAGE","Engagé",IF(AND($H244="NON ENGAGE",OR($I244="INFRUCTUEUX",$I244="ANNULE")),"Clôturé sans suite","En cours")))</f>
        <v/>
      </c>
      <c r="N244">
        <f>IF(ISBLANK('ENGAGEMENTS 2026'!B244),"",'ENGAGEMENTS 2026'!K244)</f>
        <v/>
      </c>
      <c r="O244">
        <f>IF(ISBLANK('ENGAGEMENTS 2026'!B244),"",'ENGAGEMENTS 2026'!L244)</f>
        <v/>
      </c>
      <c r="P244">
        <f>IF(ISBLANK('ENGAGEMENTS 2026'!B244),"",'ENGAGEMENTS 2026'!J244)</f>
        <v/>
      </c>
      <c r="Q244">
        <f>IF($A244="","",IF(OR($E244="INFRUCTUEUX",$E244="ANNULE"),$A244&amp;"|"&amp;(COUNTIFS($A$2:$A244,$A244,$E$2:$E244,"INFRUCTUEUX")+COUNTIFS($A$2:$A244,$A244,$E$2:$E244,"ANNULE")),""))</f>
        <v/>
      </c>
    </row>
    <row r="245">
      <c r="A245">
        <f>IF(ISBLANK('ENGAGEMENTS 2026'!B245),"",IF('ENGAGEMENTS 2026'!B245="DTSI","DCT",'ENGAGEMENTS 2026'!B245))</f>
        <v/>
      </c>
      <c r="B245">
        <f>IF(ISBLANK('ENGAGEMENTS 2026'!B245),"",'ENGAGEMENTS 2026'!C245)</f>
        <v/>
      </c>
      <c r="C245">
        <f>IF(ISBLANK('ENGAGEMENTS 2026'!B245),"",'ENGAGEMENTS 2026'!D245)</f>
        <v/>
      </c>
      <c r="D245">
        <f>IF(ISBLANK('ENGAGEMENTS 2026'!B245),"",'ENGAGEMENTS 2026'!F245)</f>
        <v/>
      </c>
      <c r="E245">
        <f>IF(ISBLANK('ENGAGEMENTS 2026'!B245),"",'ENGAGEMENTS 2026'!H245)</f>
        <v/>
      </c>
      <c r="F245">
        <f>IF(ISBLANK('ENGAGEMENTS 2026'!B245),"",'ENGAGEMENTS 2026'!I245)</f>
        <v/>
      </c>
      <c r="G245">
        <f>IF(ISBLANK('ENGAGEMENTS 2026'!B245),"",'ENGAGEMENTS 2026'!L245)</f>
        <v/>
      </c>
      <c r="H245">
        <f>IF(ISBLANK('ENGAGEMENTS 2026'!B245),"",'ENGAGEMENTS 2026'!AE245)</f>
        <v/>
      </c>
      <c r="I245">
        <f>IF(ISBLANK('ENGAGEMENTS 2026'!B245),"",'ENGAGEMENTS 2026'!G245)</f>
        <v/>
      </c>
      <c r="J245" s="275">
        <f>IF(ISBLANK('ENGAGEMENTS 2026'!B245),"",IF(AND(OR($E245="INFRUCTUEUX",$E245="ANNULE"),$C245="AOO-M"),'ENGAGEMENTS 2026'!O245,IF($H245="EN COURS DE PREENGAGEMENT",'ENGAGEMENTS 2026'!N245,IF($H245="PREENGAGE",IF($E245="ATTRIBUE",'ENGAGEMENTS 2026'!AD245,'ENGAGEMENTS 2026'!N245),'ENGAGEMENTS 2026'!AD245))))</f>
        <v/>
      </c>
      <c r="K245" s="604">
        <f>IF(ISBLANK('ENGAGEMENTS 2026'!V245),"",'ENGAGEMENTS 2026'!V245)</f>
        <v/>
      </c>
      <c r="L245" s="276">
        <f>IF($K245="","",TODAY()-$K245)</f>
        <v/>
      </c>
      <c r="M245">
        <f>IF($A245="","",IF($H245="ENGAGE","Engagé",IF(AND($H245="NON ENGAGE",OR($I245="INFRUCTUEUX",$I245="ANNULE")),"Clôturé sans suite","En cours")))</f>
        <v/>
      </c>
      <c r="N245">
        <f>IF(ISBLANK('ENGAGEMENTS 2026'!B245),"",'ENGAGEMENTS 2026'!K245)</f>
        <v/>
      </c>
      <c r="O245">
        <f>IF(ISBLANK('ENGAGEMENTS 2026'!B245),"",'ENGAGEMENTS 2026'!L245)</f>
        <v/>
      </c>
      <c r="P245">
        <f>IF(ISBLANK('ENGAGEMENTS 2026'!B245),"",'ENGAGEMENTS 2026'!J245)</f>
        <v/>
      </c>
      <c r="Q245">
        <f>IF($A245="","",IF(OR($E245="INFRUCTUEUX",$E245="ANNULE"),$A245&amp;"|"&amp;(COUNTIFS($A$2:$A245,$A245,$E$2:$E245,"INFRUCTUEUX")+COUNTIFS($A$2:$A245,$A245,$E$2:$E245,"ANNULE")),""))</f>
        <v/>
      </c>
    </row>
    <row r="246">
      <c r="A246">
        <f>IF(ISBLANK('ENGAGEMENTS 2026'!B246),"",IF('ENGAGEMENTS 2026'!B246="DTSI","DCT",'ENGAGEMENTS 2026'!B246))</f>
        <v/>
      </c>
      <c r="B246">
        <f>IF(ISBLANK('ENGAGEMENTS 2026'!B246),"",'ENGAGEMENTS 2026'!C246)</f>
        <v/>
      </c>
      <c r="C246">
        <f>IF(ISBLANK('ENGAGEMENTS 2026'!B246),"",'ENGAGEMENTS 2026'!D246)</f>
        <v/>
      </c>
      <c r="D246">
        <f>IF(ISBLANK('ENGAGEMENTS 2026'!B246),"",'ENGAGEMENTS 2026'!F246)</f>
        <v/>
      </c>
      <c r="E246">
        <f>IF(ISBLANK('ENGAGEMENTS 2026'!B246),"",'ENGAGEMENTS 2026'!H246)</f>
        <v/>
      </c>
      <c r="F246">
        <f>IF(ISBLANK('ENGAGEMENTS 2026'!B246),"",'ENGAGEMENTS 2026'!I246)</f>
        <v/>
      </c>
      <c r="G246">
        <f>IF(ISBLANK('ENGAGEMENTS 2026'!B246),"",'ENGAGEMENTS 2026'!L246)</f>
        <v/>
      </c>
      <c r="H246">
        <f>IF(ISBLANK('ENGAGEMENTS 2026'!B246),"",'ENGAGEMENTS 2026'!AE246)</f>
        <v/>
      </c>
      <c r="I246">
        <f>IF(ISBLANK('ENGAGEMENTS 2026'!B246),"",'ENGAGEMENTS 2026'!G246)</f>
        <v/>
      </c>
      <c r="J246" s="275">
        <f>IF(ISBLANK('ENGAGEMENTS 2026'!B246),"",IF(AND(OR($E246="INFRUCTUEUX",$E246="ANNULE"),$C246="AOO-M"),'ENGAGEMENTS 2026'!O246,IF($H246="EN COURS DE PREENGAGEMENT",'ENGAGEMENTS 2026'!N246,IF($H246="PREENGAGE",IF($E246="ATTRIBUE",'ENGAGEMENTS 2026'!AD246,'ENGAGEMENTS 2026'!N246),'ENGAGEMENTS 2026'!AD246))))</f>
        <v/>
      </c>
      <c r="K246" s="604">
        <f>IF(ISBLANK('ENGAGEMENTS 2026'!V246),"",'ENGAGEMENTS 2026'!V246)</f>
        <v/>
      </c>
      <c r="L246" s="276">
        <f>IF($K246="","",TODAY()-$K246)</f>
        <v/>
      </c>
      <c r="M246">
        <f>IF($A246="","",IF($H246="ENGAGE","Engagé",IF(AND($H246="NON ENGAGE",OR($I246="INFRUCTUEUX",$I246="ANNULE")),"Clôturé sans suite","En cours")))</f>
        <v/>
      </c>
      <c r="N246">
        <f>IF(ISBLANK('ENGAGEMENTS 2026'!B246),"",'ENGAGEMENTS 2026'!K246)</f>
        <v/>
      </c>
      <c r="O246">
        <f>IF(ISBLANK('ENGAGEMENTS 2026'!B246),"",'ENGAGEMENTS 2026'!L246)</f>
        <v/>
      </c>
      <c r="P246">
        <f>IF(ISBLANK('ENGAGEMENTS 2026'!B246),"",'ENGAGEMENTS 2026'!J246)</f>
        <v/>
      </c>
      <c r="Q246">
        <f>IF($A246="","",IF(OR($E246="INFRUCTUEUX",$E246="ANNULE"),$A246&amp;"|"&amp;(COUNTIFS($A$2:$A246,$A246,$E$2:$E246,"INFRUCTUEUX")+COUNTIFS($A$2:$A246,$A246,$E$2:$E246,"ANNULE")),""))</f>
        <v/>
      </c>
    </row>
    <row r="247">
      <c r="A247">
        <f>IF(ISBLANK('ENGAGEMENTS 2026'!B247),"",IF('ENGAGEMENTS 2026'!B247="DTSI","DCT",'ENGAGEMENTS 2026'!B247))</f>
        <v/>
      </c>
      <c r="B247">
        <f>IF(ISBLANK('ENGAGEMENTS 2026'!B247),"",'ENGAGEMENTS 2026'!C247)</f>
        <v/>
      </c>
      <c r="C247">
        <f>IF(ISBLANK('ENGAGEMENTS 2026'!B247),"",'ENGAGEMENTS 2026'!D247)</f>
        <v/>
      </c>
      <c r="D247">
        <f>IF(ISBLANK('ENGAGEMENTS 2026'!B247),"",'ENGAGEMENTS 2026'!F247)</f>
        <v/>
      </c>
      <c r="E247">
        <f>IF(ISBLANK('ENGAGEMENTS 2026'!B247),"",'ENGAGEMENTS 2026'!H247)</f>
        <v/>
      </c>
      <c r="F247">
        <f>IF(ISBLANK('ENGAGEMENTS 2026'!B247),"",'ENGAGEMENTS 2026'!I247)</f>
        <v/>
      </c>
      <c r="G247">
        <f>IF(ISBLANK('ENGAGEMENTS 2026'!B247),"",'ENGAGEMENTS 2026'!L247)</f>
        <v/>
      </c>
      <c r="H247">
        <f>IF(ISBLANK('ENGAGEMENTS 2026'!B247),"",'ENGAGEMENTS 2026'!AE247)</f>
        <v/>
      </c>
      <c r="I247">
        <f>IF(ISBLANK('ENGAGEMENTS 2026'!B247),"",'ENGAGEMENTS 2026'!G247)</f>
        <v/>
      </c>
      <c r="J247" s="275">
        <f>IF(ISBLANK('ENGAGEMENTS 2026'!B247),"",IF(AND(OR($E247="INFRUCTUEUX",$E247="ANNULE"),$C247="AOO-M"),'ENGAGEMENTS 2026'!O247,IF($H247="EN COURS DE PREENGAGEMENT",'ENGAGEMENTS 2026'!N247,IF($H247="PREENGAGE",IF($E247="ATTRIBUE",'ENGAGEMENTS 2026'!AD247,'ENGAGEMENTS 2026'!N247),'ENGAGEMENTS 2026'!AD247))))</f>
        <v/>
      </c>
      <c r="K247" s="604">
        <f>IF(ISBLANK('ENGAGEMENTS 2026'!V247),"",'ENGAGEMENTS 2026'!V247)</f>
        <v/>
      </c>
      <c r="L247" s="276">
        <f>IF($K247="","",TODAY()-$K247)</f>
        <v/>
      </c>
      <c r="M247">
        <f>IF($A247="","",IF($H247="ENGAGE","Engagé",IF(AND($H247="NON ENGAGE",OR($I247="INFRUCTUEUX",$I247="ANNULE")),"Clôturé sans suite","En cours")))</f>
        <v/>
      </c>
      <c r="N247">
        <f>IF(ISBLANK('ENGAGEMENTS 2026'!B247),"",'ENGAGEMENTS 2026'!K247)</f>
        <v/>
      </c>
      <c r="O247">
        <f>IF(ISBLANK('ENGAGEMENTS 2026'!B247),"",'ENGAGEMENTS 2026'!L247)</f>
        <v/>
      </c>
      <c r="P247">
        <f>IF(ISBLANK('ENGAGEMENTS 2026'!B247),"",'ENGAGEMENTS 2026'!J247)</f>
        <v/>
      </c>
      <c r="Q247">
        <f>IF($A247="","",IF(OR($E247="INFRUCTUEUX",$E247="ANNULE"),$A247&amp;"|"&amp;(COUNTIFS($A$2:$A247,$A247,$E$2:$E247,"INFRUCTUEUX")+COUNTIFS($A$2:$A247,$A247,$E$2:$E247,"ANNULE")),""))</f>
        <v/>
      </c>
    </row>
    <row r="248">
      <c r="A248">
        <f>IF(ISBLANK('ENGAGEMENTS 2026'!B248),"",IF('ENGAGEMENTS 2026'!B248="DTSI","DCT",'ENGAGEMENTS 2026'!B248))</f>
        <v/>
      </c>
      <c r="B248">
        <f>IF(ISBLANK('ENGAGEMENTS 2026'!B248),"",'ENGAGEMENTS 2026'!C248)</f>
        <v/>
      </c>
      <c r="C248">
        <f>IF(ISBLANK('ENGAGEMENTS 2026'!B248),"",'ENGAGEMENTS 2026'!D248)</f>
        <v/>
      </c>
      <c r="D248">
        <f>IF(ISBLANK('ENGAGEMENTS 2026'!B248),"",'ENGAGEMENTS 2026'!F248)</f>
        <v/>
      </c>
      <c r="E248">
        <f>IF(ISBLANK('ENGAGEMENTS 2026'!B248),"",'ENGAGEMENTS 2026'!H248)</f>
        <v/>
      </c>
      <c r="F248">
        <f>IF(ISBLANK('ENGAGEMENTS 2026'!B248),"",'ENGAGEMENTS 2026'!I248)</f>
        <v/>
      </c>
      <c r="G248">
        <f>IF(ISBLANK('ENGAGEMENTS 2026'!B248),"",'ENGAGEMENTS 2026'!L248)</f>
        <v/>
      </c>
      <c r="H248">
        <f>IF(ISBLANK('ENGAGEMENTS 2026'!B248),"",'ENGAGEMENTS 2026'!AE248)</f>
        <v/>
      </c>
      <c r="I248">
        <f>IF(ISBLANK('ENGAGEMENTS 2026'!B248),"",'ENGAGEMENTS 2026'!G248)</f>
        <v/>
      </c>
      <c r="J248" s="275">
        <f>IF(ISBLANK('ENGAGEMENTS 2026'!B248),"",IF(AND(OR($E248="INFRUCTUEUX",$E248="ANNULE"),$C248="AOO-M"),'ENGAGEMENTS 2026'!O248,IF($H248="EN COURS DE PREENGAGEMENT",'ENGAGEMENTS 2026'!N248,IF($H248="PREENGAGE",IF($E248="ATTRIBUE",'ENGAGEMENTS 2026'!AD248,'ENGAGEMENTS 2026'!N248),'ENGAGEMENTS 2026'!AD248))))</f>
        <v/>
      </c>
      <c r="K248" s="604">
        <f>IF(ISBLANK('ENGAGEMENTS 2026'!V248),"",'ENGAGEMENTS 2026'!V248)</f>
        <v/>
      </c>
      <c r="L248" s="276">
        <f>IF($K248="","",TODAY()-$K248)</f>
        <v/>
      </c>
      <c r="M248">
        <f>IF($A248="","",IF($H248="ENGAGE","Engagé",IF(AND($H248="NON ENGAGE",OR($I248="INFRUCTUEUX",$I248="ANNULE")),"Clôturé sans suite","En cours")))</f>
        <v/>
      </c>
      <c r="N248">
        <f>IF(ISBLANK('ENGAGEMENTS 2026'!B248),"",'ENGAGEMENTS 2026'!K248)</f>
        <v/>
      </c>
      <c r="O248">
        <f>IF(ISBLANK('ENGAGEMENTS 2026'!B248),"",'ENGAGEMENTS 2026'!L248)</f>
        <v/>
      </c>
      <c r="P248">
        <f>IF(ISBLANK('ENGAGEMENTS 2026'!B248),"",'ENGAGEMENTS 2026'!J248)</f>
        <v/>
      </c>
      <c r="Q248">
        <f>IF($A248="","",IF(OR($E248="INFRUCTUEUX",$E248="ANNULE"),$A248&amp;"|"&amp;(COUNTIFS($A$2:$A248,$A248,$E$2:$E248,"INFRUCTUEUX")+COUNTIFS($A$2:$A248,$A248,$E$2:$E248,"ANNULE")),""))</f>
        <v/>
      </c>
    </row>
    <row r="249">
      <c r="A249">
        <f>IF(ISBLANK('ENGAGEMENTS 2026'!B249),"",IF('ENGAGEMENTS 2026'!B249="DTSI","DCT",'ENGAGEMENTS 2026'!B249))</f>
        <v/>
      </c>
      <c r="B249">
        <f>IF(ISBLANK('ENGAGEMENTS 2026'!B249),"",'ENGAGEMENTS 2026'!C249)</f>
        <v/>
      </c>
      <c r="C249">
        <f>IF(ISBLANK('ENGAGEMENTS 2026'!B249),"",'ENGAGEMENTS 2026'!D249)</f>
        <v/>
      </c>
      <c r="D249">
        <f>IF(ISBLANK('ENGAGEMENTS 2026'!B249),"",'ENGAGEMENTS 2026'!F249)</f>
        <v/>
      </c>
      <c r="E249">
        <f>IF(ISBLANK('ENGAGEMENTS 2026'!B249),"",'ENGAGEMENTS 2026'!H249)</f>
        <v/>
      </c>
      <c r="F249">
        <f>IF(ISBLANK('ENGAGEMENTS 2026'!B249),"",'ENGAGEMENTS 2026'!I249)</f>
        <v/>
      </c>
      <c r="G249">
        <f>IF(ISBLANK('ENGAGEMENTS 2026'!B249),"",'ENGAGEMENTS 2026'!L249)</f>
        <v/>
      </c>
      <c r="H249">
        <f>IF(ISBLANK('ENGAGEMENTS 2026'!B249),"",'ENGAGEMENTS 2026'!AE249)</f>
        <v/>
      </c>
      <c r="I249">
        <f>IF(ISBLANK('ENGAGEMENTS 2026'!B249),"",'ENGAGEMENTS 2026'!G249)</f>
        <v/>
      </c>
      <c r="J249" s="275">
        <f>IF(ISBLANK('ENGAGEMENTS 2026'!B249),"",IF(AND(OR($E249="INFRUCTUEUX",$E249="ANNULE"),$C249="AOO-M"),'ENGAGEMENTS 2026'!O249,IF($H249="EN COURS DE PREENGAGEMENT",'ENGAGEMENTS 2026'!N249,IF($H249="PREENGAGE",IF($E249="ATTRIBUE",'ENGAGEMENTS 2026'!AD249,'ENGAGEMENTS 2026'!N249),'ENGAGEMENTS 2026'!AD249))))</f>
        <v/>
      </c>
      <c r="K249" s="604">
        <f>IF(ISBLANK('ENGAGEMENTS 2026'!V249),"",'ENGAGEMENTS 2026'!V249)</f>
        <v/>
      </c>
      <c r="L249" s="276">
        <f>IF($K249="","",TODAY()-$K249)</f>
        <v/>
      </c>
      <c r="M249">
        <f>IF($A249="","",IF($H249="ENGAGE","Engagé",IF(AND($H249="NON ENGAGE",OR($I249="INFRUCTUEUX",$I249="ANNULE")),"Clôturé sans suite","En cours")))</f>
        <v/>
      </c>
      <c r="N249">
        <f>IF(ISBLANK('ENGAGEMENTS 2026'!B249),"",'ENGAGEMENTS 2026'!K249)</f>
        <v/>
      </c>
      <c r="O249">
        <f>IF(ISBLANK('ENGAGEMENTS 2026'!B249),"",'ENGAGEMENTS 2026'!L249)</f>
        <v/>
      </c>
      <c r="P249">
        <f>IF(ISBLANK('ENGAGEMENTS 2026'!B249),"",'ENGAGEMENTS 2026'!J249)</f>
        <v/>
      </c>
      <c r="Q249">
        <f>IF($A249="","",IF(OR($E249="INFRUCTUEUX",$E249="ANNULE"),$A249&amp;"|"&amp;(COUNTIFS($A$2:$A249,$A249,$E$2:$E249,"INFRUCTUEUX")+COUNTIFS($A$2:$A249,$A249,$E$2:$E249,"ANNULE")),""))</f>
        <v/>
      </c>
    </row>
    <row r="250">
      <c r="A250">
        <f>IF(ISBLANK('ENGAGEMENTS 2026'!B250),"",IF('ENGAGEMENTS 2026'!B250="DTSI","DCT",'ENGAGEMENTS 2026'!B250))</f>
        <v/>
      </c>
      <c r="B250">
        <f>IF(ISBLANK('ENGAGEMENTS 2026'!B250),"",'ENGAGEMENTS 2026'!C250)</f>
        <v/>
      </c>
      <c r="C250">
        <f>IF(ISBLANK('ENGAGEMENTS 2026'!B250),"",'ENGAGEMENTS 2026'!D250)</f>
        <v/>
      </c>
      <c r="D250">
        <f>IF(ISBLANK('ENGAGEMENTS 2026'!B250),"",'ENGAGEMENTS 2026'!F250)</f>
        <v/>
      </c>
      <c r="E250">
        <f>IF(ISBLANK('ENGAGEMENTS 2026'!B250),"",'ENGAGEMENTS 2026'!H250)</f>
        <v/>
      </c>
      <c r="F250">
        <f>IF(ISBLANK('ENGAGEMENTS 2026'!B250),"",'ENGAGEMENTS 2026'!I250)</f>
        <v/>
      </c>
      <c r="G250">
        <f>IF(ISBLANK('ENGAGEMENTS 2026'!B250),"",'ENGAGEMENTS 2026'!L250)</f>
        <v/>
      </c>
      <c r="H250">
        <f>IF(ISBLANK('ENGAGEMENTS 2026'!B250),"",'ENGAGEMENTS 2026'!AE250)</f>
        <v/>
      </c>
      <c r="I250">
        <f>IF(ISBLANK('ENGAGEMENTS 2026'!B250),"",'ENGAGEMENTS 2026'!G250)</f>
        <v/>
      </c>
      <c r="J250" s="275">
        <f>IF(ISBLANK('ENGAGEMENTS 2026'!B250),"",IF(AND(OR($E250="INFRUCTUEUX",$E250="ANNULE"),$C250="AOO-M"),'ENGAGEMENTS 2026'!O250,IF($H250="EN COURS DE PREENGAGEMENT",'ENGAGEMENTS 2026'!N250,IF($H250="PREENGAGE",IF($E250="ATTRIBUE",'ENGAGEMENTS 2026'!AD250,'ENGAGEMENTS 2026'!N250),'ENGAGEMENTS 2026'!AD250))))</f>
        <v/>
      </c>
      <c r="K250" s="604">
        <f>IF(ISBLANK('ENGAGEMENTS 2026'!V250),"",'ENGAGEMENTS 2026'!V250)</f>
        <v/>
      </c>
      <c r="L250" s="276">
        <f>IF($K250="","",TODAY()-$K250)</f>
        <v/>
      </c>
      <c r="M250">
        <f>IF($A250="","",IF($H250="ENGAGE","Engagé",IF(AND($H250="NON ENGAGE",OR($I250="INFRUCTUEUX",$I250="ANNULE")),"Clôturé sans suite","En cours")))</f>
        <v/>
      </c>
      <c r="N250">
        <f>IF(ISBLANK('ENGAGEMENTS 2026'!B250),"",'ENGAGEMENTS 2026'!K250)</f>
        <v/>
      </c>
      <c r="O250">
        <f>IF(ISBLANK('ENGAGEMENTS 2026'!B250),"",'ENGAGEMENTS 2026'!L250)</f>
        <v/>
      </c>
      <c r="P250">
        <f>IF(ISBLANK('ENGAGEMENTS 2026'!B250),"",'ENGAGEMENTS 2026'!J250)</f>
        <v/>
      </c>
      <c r="Q250">
        <f>IF($A250="","",IF(OR($E250="INFRUCTUEUX",$E250="ANNULE"),$A250&amp;"|"&amp;(COUNTIFS($A$2:$A250,$A250,$E$2:$E250,"INFRUCTUEUX")+COUNTIFS($A$2:$A250,$A250,$E$2:$E250,"ANNULE")),""))</f>
        <v/>
      </c>
    </row>
    <row r="251">
      <c r="A251">
        <f>IF(ISBLANK('ENGAGEMENTS 2026'!B251),"",IF('ENGAGEMENTS 2026'!B251="DTSI","DCT",'ENGAGEMENTS 2026'!B251))</f>
        <v/>
      </c>
      <c r="B251">
        <f>IF(ISBLANK('ENGAGEMENTS 2026'!B251),"",'ENGAGEMENTS 2026'!C251)</f>
        <v/>
      </c>
      <c r="C251">
        <f>IF(ISBLANK('ENGAGEMENTS 2026'!B251),"",'ENGAGEMENTS 2026'!D251)</f>
        <v/>
      </c>
      <c r="D251">
        <f>IF(ISBLANK('ENGAGEMENTS 2026'!B251),"",'ENGAGEMENTS 2026'!F251)</f>
        <v/>
      </c>
      <c r="E251">
        <f>IF(ISBLANK('ENGAGEMENTS 2026'!B251),"",'ENGAGEMENTS 2026'!H251)</f>
        <v/>
      </c>
      <c r="F251">
        <f>IF(ISBLANK('ENGAGEMENTS 2026'!B251),"",'ENGAGEMENTS 2026'!I251)</f>
        <v/>
      </c>
      <c r="G251">
        <f>IF(ISBLANK('ENGAGEMENTS 2026'!B251),"",'ENGAGEMENTS 2026'!L251)</f>
        <v/>
      </c>
      <c r="H251">
        <f>IF(ISBLANK('ENGAGEMENTS 2026'!B251),"",'ENGAGEMENTS 2026'!AE251)</f>
        <v/>
      </c>
      <c r="I251">
        <f>IF(ISBLANK('ENGAGEMENTS 2026'!B251),"",'ENGAGEMENTS 2026'!G251)</f>
        <v/>
      </c>
      <c r="J251" s="275">
        <f>IF(ISBLANK('ENGAGEMENTS 2026'!B251),"",IF(AND(OR($E251="INFRUCTUEUX",$E251="ANNULE"),$C251="AOO-M"),'ENGAGEMENTS 2026'!O251,IF($H251="EN COURS DE PREENGAGEMENT",'ENGAGEMENTS 2026'!N251,IF($H251="PREENGAGE",IF($E251="ATTRIBUE",'ENGAGEMENTS 2026'!AD251,'ENGAGEMENTS 2026'!N251),'ENGAGEMENTS 2026'!AD251))))</f>
        <v/>
      </c>
      <c r="K251" s="604">
        <f>IF(ISBLANK('ENGAGEMENTS 2026'!V251),"",'ENGAGEMENTS 2026'!V251)</f>
        <v/>
      </c>
      <c r="L251" s="276">
        <f>IF($K251="","",TODAY()-$K251)</f>
        <v/>
      </c>
      <c r="M251">
        <f>IF($A251="","",IF($H251="ENGAGE","Engagé",IF(AND($H251="NON ENGAGE",OR($I251="INFRUCTUEUX",$I251="ANNULE")),"Clôturé sans suite","En cours")))</f>
        <v/>
      </c>
      <c r="N251">
        <f>IF(ISBLANK('ENGAGEMENTS 2026'!B251),"",'ENGAGEMENTS 2026'!K251)</f>
        <v/>
      </c>
      <c r="O251">
        <f>IF(ISBLANK('ENGAGEMENTS 2026'!B251),"",'ENGAGEMENTS 2026'!L251)</f>
        <v/>
      </c>
      <c r="P251">
        <f>IF(ISBLANK('ENGAGEMENTS 2026'!B251),"",'ENGAGEMENTS 2026'!J251)</f>
        <v/>
      </c>
      <c r="Q251">
        <f>IF($A251="","",IF(OR($E251="INFRUCTUEUX",$E251="ANNULE"),$A251&amp;"|"&amp;(COUNTIFS($A$2:$A251,$A251,$E$2:$E251,"INFRUCTUEUX")+COUNTIFS($A$2:$A251,$A251,$E$2:$E251,"ANNULE")),""))</f>
        <v/>
      </c>
    </row>
    <row r="252">
      <c r="A252">
        <f>IF(ISBLANK('ENGAGEMENTS 2026'!B252),"",IF('ENGAGEMENTS 2026'!B252="DTSI","DCT",'ENGAGEMENTS 2026'!B252))</f>
        <v/>
      </c>
      <c r="B252">
        <f>IF(ISBLANK('ENGAGEMENTS 2026'!B252),"",'ENGAGEMENTS 2026'!C252)</f>
        <v/>
      </c>
      <c r="C252">
        <f>IF(ISBLANK('ENGAGEMENTS 2026'!B252),"",'ENGAGEMENTS 2026'!D252)</f>
        <v/>
      </c>
      <c r="D252">
        <f>IF(ISBLANK('ENGAGEMENTS 2026'!B252),"",'ENGAGEMENTS 2026'!F252)</f>
        <v/>
      </c>
      <c r="E252">
        <f>IF(ISBLANK('ENGAGEMENTS 2026'!B252),"",'ENGAGEMENTS 2026'!H252)</f>
        <v/>
      </c>
      <c r="F252">
        <f>IF(ISBLANK('ENGAGEMENTS 2026'!B252),"",'ENGAGEMENTS 2026'!I252)</f>
        <v/>
      </c>
      <c r="G252">
        <f>IF(ISBLANK('ENGAGEMENTS 2026'!B252),"",'ENGAGEMENTS 2026'!L252)</f>
        <v/>
      </c>
      <c r="H252">
        <f>IF(ISBLANK('ENGAGEMENTS 2026'!B252),"",'ENGAGEMENTS 2026'!AE252)</f>
        <v/>
      </c>
      <c r="I252">
        <f>IF(ISBLANK('ENGAGEMENTS 2026'!B252),"",'ENGAGEMENTS 2026'!G252)</f>
        <v/>
      </c>
      <c r="J252" s="275">
        <f>IF(ISBLANK('ENGAGEMENTS 2026'!B252),"",IF(AND(OR($E252="INFRUCTUEUX",$E252="ANNULE"),$C252="AOO-M"),'ENGAGEMENTS 2026'!O252,IF($H252="EN COURS DE PREENGAGEMENT",'ENGAGEMENTS 2026'!N252,IF($H252="PREENGAGE",IF($E252="ATTRIBUE",'ENGAGEMENTS 2026'!AD252,'ENGAGEMENTS 2026'!N252),'ENGAGEMENTS 2026'!AD252))))</f>
        <v/>
      </c>
      <c r="K252" s="604">
        <f>IF(ISBLANK('ENGAGEMENTS 2026'!V252),"",'ENGAGEMENTS 2026'!V252)</f>
        <v/>
      </c>
      <c r="L252" s="276">
        <f>IF($K252="","",TODAY()-$K252)</f>
        <v/>
      </c>
      <c r="M252">
        <f>IF($A252="","",IF($H252="ENGAGE","Engagé",IF(AND($H252="NON ENGAGE",OR($I252="INFRUCTUEUX",$I252="ANNULE")),"Clôturé sans suite","En cours")))</f>
        <v/>
      </c>
      <c r="N252">
        <f>IF(ISBLANK('ENGAGEMENTS 2026'!B252),"",'ENGAGEMENTS 2026'!K252)</f>
        <v/>
      </c>
      <c r="O252">
        <f>IF(ISBLANK('ENGAGEMENTS 2026'!B252),"",'ENGAGEMENTS 2026'!L252)</f>
        <v/>
      </c>
      <c r="P252">
        <f>IF(ISBLANK('ENGAGEMENTS 2026'!B252),"",'ENGAGEMENTS 2026'!J252)</f>
        <v/>
      </c>
      <c r="Q252">
        <f>IF($A252="","",IF(OR($E252="INFRUCTUEUX",$E252="ANNULE"),$A252&amp;"|"&amp;(COUNTIFS($A$2:$A252,$A252,$E$2:$E252,"INFRUCTUEUX")+COUNTIFS($A$2:$A252,$A252,$E$2:$E252,"ANNULE")),""))</f>
        <v/>
      </c>
    </row>
    <row r="253">
      <c r="A253">
        <f>IF(ISBLANK('ENGAGEMENTS 2026'!B253),"",IF('ENGAGEMENTS 2026'!B253="DTSI","DCT",'ENGAGEMENTS 2026'!B253))</f>
        <v/>
      </c>
      <c r="B253">
        <f>IF(ISBLANK('ENGAGEMENTS 2026'!B253),"",'ENGAGEMENTS 2026'!C253)</f>
        <v/>
      </c>
      <c r="C253">
        <f>IF(ISBLANK('ENGAGEMENTS 2026'!B253),"",'ENGAGEMENTS 2026'!D253)</f>
        <v/>
      </c>
      <c r="D253">
        <f>IF(ISBLANK('ENGAGEMENTS 2026'!B253),"",'ENGAGEMENTS 2026'!F253)</f>
        <v/>
      </c>
      <c r="E253">
        <f>IF(ISBLANK('ENGAGEMENTS 2026'!B253),"",'ENGAGEMENTS 2026'!H253)</f>
        <v/>
      </c>
      <c r="F253">
        <f>IF(ISBLANK('ENGAGEMENTS 2026'!B253),"",'ENGAGEMENTS 2026'!I253)</f>
        <v/>
      </c>
      <c r="G253">
        <f>IF(ISBLANK('ENGAGEMENTS 2026'!B253),"",'ENGAGEMENTS 2026'!L253)</f>
        <v/>
      </c>
      <c r="H253">
        <f>IF(ISBLANK('ENGAGEMENTS 2026'!B253),"",'ENGAGEMENTS 2026'!AE253)</f>
        <v/>
      </c>
      <c r="I253">
        <f>IF(ISBLANK('ENGAGEMENTS 2026'!B253),"",'ENGAGEMENTS 2026'!G253)</f>
        <v/>
      </c>
      <c r="J253" s="275">
        <f>IF(ISBLANK('ENGAGEMENTS 2026'!B253),"",IF(AND(OR($E253="INFRUCTUEUX",$E253="ANNULE"),$C253="AOO-M"),'ENGAGEMENTS 2026'!O253,IF($H253="EN COURS DE PREENGAGEMENT",'ENGAGEMENTS 2026'!N253,IF($H253="PREENGAGE",IF($E253="ATTRIBUE",'ENGAGEMENTS 2026'!AD253,'ENGAGEMENTS 2026'!N253),'ENGAGEMENTS 2026'!AD253))))</f>
        <v/>
      </c>
      <c r="K253" s="604">
        <f>IF(ISBLANK('ENGAGEMENTS 2026'!V253),"",'ENGAGEMENTS 2026'!V253)</f>
        <v/>
      </c>
      <c r="L253" s="276">
        <f>IF($K253="","",TODAY()-$K253)</f>
        <v/>
      </c>
      <c r="M253">
        <f>IF($A253="","",IF($H253="ENGAGE","Engagé",IF(AND($H253="NON ENGAGE",OR($I253="INFRUCTUEUX",$I253="ANNULE")),"Clôturé sans suite","En cours")))</f>
        <v/>
      </c>
      <c r="N253">
        <f>IF(ISBLANK('ENGAGEMENTS 2026'!B253),"",'ENGAGEMENTS 2026'!K253)</f>
        <v/>
      </c>
      <c r="O253">
        <f>IF(ISBLANK('ENGAGEMENTS 2026'!B253),"",'ENGAGEMENTS 2026'!L253)</f>
        <v/>
      </c>
      <c r="P253">
        <f>IF(ISBLANK('ENGAGEMENTS 2026'!B253),"",'ENGAGEMENTS 2026'!J253)</f>
        <v/>
      </c>
      <c r="Q253">
        <f>IF($A253="","",IF(OR($E253="INFRUCTUEUX",$E253="ANNULE"),$A253&amp;"|"&amp;(COUNTIFS($A$2:$A253,$A253,$E$2:$E253,"INFRUCTUEUX")+COUNTIFS($A$2:$A253,$A253,$E$2:$E253,"ANNULE")),""))</f>
        <v/>
      </c>
    </row>
    <row r="254">
      <c r="A254">
        <f>IF(ISBLANK('ENGAGEMENTS 2026'!B254),"",IF('ENGAGEMENTS 2026'!B254="DTSI","DCT",'ENGAGEMENTS 2026'!B254))</f>
        <v/>
      </c>
      <c r="B254">
        <f>IF(ISBLANK('ENGAGEMENTS 2026'!B254),"",'ENGAGEMENTS 2026'!C254)</f>
        <v/>
      </c>
      <c r="C254">
        <f>IF(ISBLANK('ENGAGEMENTS 2026'!B254),"",'ENGAGEMENTS 2026'!D254)</f>
        <v/>
      </c>
      <c r="D254">
        <f>IF(ISBLANK('ENGAGEMENTS 2026'!B254),"",'ENGAGEMENTS 2026'!F254)</f>
        <v/>
      </c>
      <c r="E254">
        <f>IF(ISBLANK('ENGAGEMENTS 2026'!B254),"",'ENGAGEMENTS 2026'!H254)</f>
        <v/>
      </c>
      <c r="F254">
        <f>IF(ISBLANK('ENGAGEMENTS 2026'!B254),"",'ENGAGEMENTS 2026'!I254)</f>
        <v/>
      </c>
      <c r="G254">
        <f>IF(ISBLANK('ENGAGEMENTS 2026'!B254),"",'ENGAGEMENTS 2026'!L254)</f>
        <v/>
      </c>
      <c r="H254">
        <f>IF(ISBLANK('ENGAGEMENTS 2026'!B254),"",'ENGAGEMENTS 2026'!AE254)</f>
        <v/>
      </c>
      <c r="I254">
        <f>IF(ISBLANK('ENGAGEMENTS 2026'!B254),"",'ENGAGEMENTS 2026'!G254)</f>
        <v/>
      </c>
      <c r="J254" s="275">
        <f>IF(ISBLANK('ENGAGEMENTS 2026'!B254),"",IF(AND(OR($E254="INFRUCTUEUX",$E254="ANNULE"),$C254="AOO-M"),'ENGAGEMENTS 2026'!O254,IF($H254="EN COURS DE PREENGAGEMENT",'ENGAGEMENTS 2026'!N254,IF($H254="PREENGAGE",IF($E254="ATTRIBUE",'ENGAGEMENTS 2026'!AD254,'ENGAGEMENTS 2026'!N254),'ENGAGEMENTS 2026'!AD254))))</f>
        <v/>
      </c>
      <c r="K254" s="604">
        <f>IF(ISBLANK('ENGAGEMENTS 2026'!V254),"",'ENGAGEMENTS 2026'!V254)</f>
        <v/>
      </c>
      <c r="L254" s="276">
        <f>IF($K254="","",TODAY()-$K254)</f>
        <v/>
      </c>
      <c r="M254">
        <f>IF($A254="","",IF($H254="ENGAGE","Engagé",IF(AND($H254="NON ENGAGE",OR($I254="INFRUCTUEUX",$I254="ANNULE")),"Clôturé sans suite","En cours")))</f>
        <v/>
      </c>
      <c r="N254">
        <f>IF(ISBLANK('ENGAGEMENTS 2026'!B254),"",'ENGAGEMENTS 2026'!K254)</f>
        <v/>
      </c>
      <c r="O254">
        <f>IF(ISBLANK('ENGAGEMENTS 2026'!B254),"",'ENGAGEMENTS 2026'!L254)</f>
        <v/>
      </c>
      <c r="P254">
        <f>IF(ISBLANK('ENGAGEMENTS 2026'!B254),"",'ENGAGEMENTS 2026'!J254)</f>
        <v/>
      </c>
      <c r="Q254">
        <f>IF($A254="","",IF(OR($E254="INFRUCTUEUX",$E254="ANNULE"),$A254&amp;"|"&amp;(COUNTIFS($A$2:$A254,$A254,$E$2:$E254,"INFRUCTUEUX")+COUNTIFS($A$2:$A254,$A254,$E$2:$E254,"ANNULE")),""))</f>
        <v/>
      </c>
    </row>
    <row r="255">
      <c r="A255">
        <f>IF(ISBLANK('ENGAGEMENTS 2026'!B255),"",IF('ENGAGEMENTS 2026'!B255="DTSI","DCT",'ENGAGEMENTS 2026'!B255))</f>
        <v/>
      </c>
      <c r="B255">
        <f>IF(ISBLANK('ENGAGEMENTS 2026'!B255),"",'ENGAGEMENTS 2026'!C255)</f>
        <v/>
      </c>
      <c r="C255">
        <f>IF(ISBLANK('ENGAGEMENTS 2026'!B255),"",'ENGAGEMENTS 2026'!D255)</f>
        <v/>
      </c>
      <c r="D255">
        <f>IF(ISBLANK('ENGAGEMENTS 2026'!B255),"",'ENGAGEMENTS 2026'!F255)</f>
        <v/>
      </c>
      <c r="E255">
        <f>IF(ISBLANK('ENGAGEMENTS 2026'!B255),"",'ENGAGEMENTS 2026'!H255)</f>
        <v/>
      </c>
      <c r="F255">
        <f>IF(ISBLANK('ENGAGEMENTS 2026'!B255),"",'ENGAGEMENTS 2026'!I255)</f>
        <v/>
      </c>
      <c r="G255">
        <f>IF(ISBLANK('ENGAGEMENTS 2026'!B255),"",'ENGAGEMENTS 2026'!L255)</f>
        <v/>
      </c>
      <c r="H255">
        <f>IF(ISBLANK('ENGAGEMENTS 2026'!B255),"",'ENGAGEMENTS 2026'!AE255)</f>
        <v/>
      </c>
      <c r="I255">
        <f>IF(ISBLANK('ENGAGEMENTS 2026'!B255),"",'ENGAGEMENTS 2026'!G255)</f>
        <v/>
      </c>
      <c r="J255" s="275">
        <f>IF(ISBLANK('ENGAGEMENTS 2026'!B255),"",IF(AND(OR($E255="INFRUCTUEUX",$E255="ANNULE"),$C255="AOO-M"),'ENGAGEMENTS 2026'!O255,IF($H255="EN COURS DE PREENGAGEMENT",'ENGAGEMENTS 2026'!N255,IF($H255="PREENGAGE",IF($E255="ATTRIBUE",'ENGAGEMENTS 2026'!AD255,'ENGAGEMENTS 2026'!N255),'ENGAGEMENTS 2026'!AD255))))</f>
        <v/>
      </c>
      <c r="K255" s="604">
        <f>IF(ISBLANK('ENGAGEMENTS 2026'!V255),"",'ENGAGEMENTS 2026'!V255)</f>
        <v/>
      </c>
      <c r="L255" s="276">
        <f>IF($K255="","",TODAY()-$K255)</f>
        <v/>
      </c>
      <c r="M255">
        <f>IF($A255="","",IF($H255="ENGAGE","Engagé",IF(AND($H255="NON ENGAGE",OR($I255="INFRUCTUEUX",$I255="ANNULE")),"Clôturé sans suite","En cours")))</f>
        <v/>
      </c>
      <c r="N255">
        <f>IF(ISBLANK('ENGAGEMENTS 2026'!B255),"",'ENGAGEMENTS 2026'!K255)</f>
        <v/>
      </c>
      <c r="O255">
        <f>IF(ISBLANK('ENGAGEMENTS 2026'!B255),"",'ENGAGEMENTS 2026'!L255)</f>
        <v/>
      </c>
      <c r="P255">
        <f>IF(ISBLANK('ENGAGEMENTS 2026'!B255),"",'ENGAGEMENTS 2026'!J255)</f>
        <v/>
      </c>
      <c r="Q255">
        <f>IF($A255="","",IF(OR($E255="INFRUCTUEUX",$E255="ANNULE"),$A255&amp;"|"&amp;(COUNTIFS($A$2:$A255,$A255,$E$2:$E255,"INFRUCTUEUX")+COUNTIFS($A$2:$A255,$A255,$E$2:$E255,"ANNULE")),""))</f>
        <v/>
      </c>
    </row>
    <row r="256">
      <c r="A256">
        <f>IF(ISBLANK('ENGAGEMENTS 2026'!B256),"",IF('ENGAGEMENTS 2026'!B256="DTSI","DCT",'ENGAGEMENTS 2026'!B256))</f>
        <v/>
      </c>
      <c r="B256">
        <f>IF(ISBLANK('ENGAGEMENTS 2026'!B256),"",'ENGAGEMENTS 2026'!C256)</f>
        <v/>
      </c>
      <c r="C256">
        <f>IF(ISBLANK('ENGAGEMENTS 2026'!B256),"",'ENGAGEMENTS 2026'!D256)</f>
        <v/>
      </c>
      <c r="D256">
        <f>IF(ISBLANK('ENGAGEMENTS 2026'!B256),"",'ENGAGEMENTS 2026'!F256)</f>
        <v/>
      </c>
      <c r="E256">
        <f>IF(ISBLANK('ENGAGEMENTS 2026'!B256),"",'ENGAGEMENTS 2026'!H256)</f>
        <v/>
      </c>
      <c r="F256">
        <f>IF(ISBLANK('ENGAGEMENTS 2026'!B256),"",'ENGAGEMENTS 2026'!I256)</f>
        <v/>
      </c>
      <c r="G256">
        <f>IF(ISBLANK('ENGAGEMENTS 2026'!B256),"",'ENGAGEMENTS 2026'!L256)</f>
        <v/>
      </c>
      <c r="H256">
        <f>IF(ISBLANK('ENGAGEMENTS 2026'!B256),"",'ENGAGEMENTS 2026'!AE256)</f>
        <v/>
      </c>
      <c r="I256">
        <f>IF(ISBLANK('ENGAGEMENTS 2026'!B256),"",'ENGAGEMENTS 2026'!G256)</f>
        <v/>
      </c>
      <c r="J256" s="275">
        <f>IF(ISBLANK('ENGAGEMENTS 2026'!B256),"",IF(AND(OR($E256="INFRUCTUEUX",$E256="ANNULE"),$C256="AOO-M"),'ENGAGEMENTS 2026'!O256,IF($H256="EN COURS DE PREENGAGEMENT",'ENGAGEMENTS 2026'!N256,IF($H256="PREENGAGE",IF($E256="ATTRIBUE",'ENGAGEMENTS 2026'!AD256,'ENGAGEMENTS 2026'!N256),'ENGAGEMENTS 2026'!AD256))))</f>
        <v/>
      </c>
      <c r="K256" s="604">
        <f>IF(ISBLANK('ENGAGEMENTS 2026'!V256),"",'ENGAGEMENTS 2026'!V256)</f>
        <v/>
      </c>
      <c r="L256" s="276">
        <f>IF($K256="","",TODAY()-$K256)</f>
        <v/>
      </c>
      <c r="M256">
        <f>IF($A256="","",IF($H256="ENGAGE","Engagé",IF(AND($H256="NON ENGAGE",OR($I256="INFRUCTUEUX",$I256="ANNULE")),"Clôturé sans suite","En cours")))</f>
        <v/>
      </c>
      <c r="N256">
        <f>IF(ISBLANK('ENGAGEMENTS 2026'!B256),"",'ENGAGEMENTS 2026'!K256)</f>
        <v/>
      </c>
      <c r="O256">
        <f>IF(ISBLANK('ENGAGEMENTS 2026'!B256),"",'ENGAGEMENTS 2026'!L256)</f>
        <v/>
      </c>
      <c r="P256">
        <f>IF(ISBLANK('ENGAGEMENTS 2026'!B256),"",'ENGAGEMENTS 2026'!J256)</f>
        <v/>
      </c>
      <c r="Q256">
        <f>IF($A256="","",IF(OR($E256="INFRUCTUEUX",$E256="ANNULE"),$A256&amp;"|"&amp;(COUNTIFS($A$2:$A256,$A256,$E$2:$E256,"INFRUCTUEUX")+COUNTIFS($A$2:$A256,$A256,$E$2:$E256,"ANNULE")),""))</f>
        <v/>
      </c>
    </row>
    <row r="257">
      <c r="A257">
        <f>IF(ISBLANK('ENGAGEMENTS 2026'!B257),"",IF('ENGAGEMENTS 2026'!B257="DTSI","DCT",'ENGAGEMENTS 2026'!B257))</f>
        <v/>
      </c>
      <c r="B257">
        <f>IF(ISBLANK('ENGAGEMENTS 2026'!B257),"",'ENGAGEMENTS 2026'!C257)</f>
        <v/>
      </c>
      <c r="C257">
        <f>IF(ISBLANK('ENGAGEMENTS 2026'!B257),"",'ENGAGEMENTS 2026'!D257)</f>
        <v/>
      </c>
      <c r="D257">
        <f>IF(ISBLANK('ENGAGEMENTS 2026'!B257),"",'ENGAGEMENTS 2026'!F257)</f>
        <v/>
      </c>
      <c r="E257">
        <f>IF(ISBLANK('ENGAGEMENTS 2026'!B257),"",'ENGAGEMENTS 2026'!H257)</f>
        <v/>
      </c>
      <c r="F257">
        <f>IF(ISBLANK('ENGAGEMENTS 2026'!B257),"",'ENGAGEMENTS 2026'!I257)</f>
        <v/>
      </c>
      <c r="G257">
        <f>IF(ISBLANK('ENGAGEMENTS 2026'!B257),"",'ENGAGEMENTS 2026'!L257)</f>
        <v/>
      </c>
      <c r="H257">
        <f>IF(ISBLANK('ENGAGEMENTS 2026'!B257),"",'ENGAGEMENTS 2026'!AE257)</f>
        <v/>
      </c>
      <c r="I257">
        <f>IF(ISBLANK('ENGAGEMENTS 2026'!B257),"",'ENGAGEMENTS 2026'!G257)</f>
        <v/>
      </c>
      <c r="J257" s="275">
        <f>IF(ISBLANK('ENGAGEMENTS 2026'!B257),"",IF(AND(OR($E257="INFRUCTUEUX",$E257="ANNULE"),$C257="AOO-M"),'ENGAGEMENTS 2026'!O257,IF($H257="EN COURS DE PREENGAGEMENT",'ENGAGEMENTS 2026'!N257,IF($H257="PREENGAGE",IF($E257="ATTRIBUE",'ENGAGEMENTS 2026'!AD257,'ENGAGEMENTS 2026'!N257),'ENGAGEMENTS 2026'!AD257))))</f>
        <v/>
      </c>
      <c r="K257" s="604">
        <f>IF(ISBLANK('ENGAGEMENTS 2026'!V257),"",'ENGAGEMENTS 2026'!V257)</f>
        <v/>
      </c>
      <c r="L257" s="276">
        <f>IF($K257="","",TODAY()-$K257)</f>
        <v/>
      </c>
      <c r="M257">
        <f>IF($A257="","",IF($H257="ENGAGE","Engagé",IF(AND($H257="NON ENGAGE",OR($I257="INFRUCTUEUX",$I257="ANNULE")),"Clôturé sans suite","En cours")))</f>
        <v/>
      </c>
      <c r="N257">
        <f>IF(ISBLANK('ENGAGEMENTS 2026'!B257),"",'ENGAGEMENTS 2026'!K257)</f>
        <v/>
      </c>
      <c r="O257">
        <f>IF(ISBLANK('ENGAGEMENTS 2026'!B257),"",'ENGAGEMENTS 2026'!L257)</f>
        <v/>
      </c>
      <c r="P257">
        <f>IF(ISBLANK('ENGAGEMENTS 2026'!B257),"",'ENGAGEMENTS 2026'!J257)</f>
        <v/>
      </c>
      <c r="Q257">
        <f>IF($A257="","",IF(OR($E257="INFRUCTUEUX",$E257="ANNULE"),$A257&amp;"|"&amp;(COUNTIFS($A$2:$A257,$A257,$E$2:$E257,"INFRUCTUEUX")+COUNTIFS($A$2:$A257,$A257,$E$2:$E257,"ANNULE")),""))</f>
        <v/>
      </c>
    </row>
    <row r="258">
      <c r="A258">
        <f>IF(ISBLANK('ENGAGEMENTS 2026'!B258),"",IF('ENGAGEMENTS 2026'!B258="DTSI","DCT",'ENGAGEMENTS 2026'!B258))</f>
        <v/>
      </c>
      <c r="B258">
        <f>IF(ISBLANK('ENGAGEMENTS 2026'!B258),"",'ENGAGEMENTS 2026'!C258)</f>
        <v/>
      </c>
      <c r="C258">
        <f>IF(ISBLANK('ENGAGEMENTS 2026'!B258),"",'ENGAGEMENTS 2026'!D258)</f>
        <v/>
      </c>
      <c r="D258">
        <f>IF(ISBLANK('ENGAGEMENTS 2026'!B258),"",'ENGAGEMENTS 2026'!F258)</f>
        <v/>
      </c>
      <c r="E258">
        <f>IF(ISBLANK('ENGAGEMENTS 2026'!B258),"",'ENGAGEMENTS 2026'!H258)</f>
        <v/>
      </c>
      <c r="F258">
        <f>IF(ISBLANK('ENGAGEMENTS 2026'!B258),"",'ENGAGEMENTS 2026'!I258)</f>
        <v/>
      </c>
      <c r="G258">
        <f>IF(ISBLANK('ENGAGEMENTS 2026'!B258),"",'ENGAGEMENTS 2026'!L258)</f>
        <v/>
      </c>
      <c r="H258">
        <f>IF(ISBLANK('ENGAGEMENTS 2026'!B258),"",'ENGAGEMENTS 2026'!AE258)</f>
        <v/>
      </c>
      <c r="I258">
        <f>IF(ISBLANK('ENGAGEMENTS 2026'!B258),"",'ENGAGEMENTS 2026'!G258)</f>
        <v/>
      </c>
      <c r="J258" s="275">
        <f>IF(ISBLANK('ENGAGEMENTS 2026'!B258),"",IF(AND(OR($E258="INFRUCTUEUX",$E258="ANNULE"),$C258="AOO-M"),'ENGAGEMENTS 2026'!O258,IF($H258="EN COURS DE PREENGAGEMENT",'ENGAGEMENTS 2026'!N258,IF($H258="PREENGAGE",IF($E258="ATTRIBUE",'ENGAGEMENTS 2026'!AD258,'ENGAGEMENTS 2026'!N258),'ENGAGEMENTS 2026'!AD258))))</f>
        <v/>
      </c>
      <c r="K258" s="604">
        <f>IF(ISBLANK('ENGAGEMENTS 2026'!V258),"",'ENGAGEMENTS 2026'!V258)</f>
        <v/>
      </c>
      <c r="L258" s="276">
        <f>IF($K258="","",TODAY()-$K258)</f>
        <v/>
      </c>
      <c r="M258">
        <f>IF($A258="","",IF($H258="ENGAGE","Engagé",IF(AND($H258="NON ENGAGE",OR($I258="INFRUCTUEUX",$I258="ANNULE")),"Clôturé sans suite","En cours")))</f>
        <v/>
      </c>
      <c r="N258">
        <f>IF(ISBLANK('ENGAGEMENTS 2026'!B258),"",'ENGAGEMENTS 2026'!K258)</f>
        <v/>
      </c>
      <c r="O258">
        <f>IF(ISBLANK('ENGAGEMENTS 2026'!B258),"",'ENGAGEMENTS 2026'!L258)</f>
        <v/>
      </c>
      <c r="P258">
        <f>IF(ISBLANK('ENGAGEMENTS 2026'!B258),"",'ENGAGEMENTS 2026'!J258)</f>
        <v/>
      </c>
      <c r="Q258">
        <f>IF($A258="","",IF(OR($E258="INFRUCTUEUX",$E258="ANNULE"),$A258&amp;"|"&amp;(COUNTIFS($A$2:$A258,$A258,$E$2:$E258,"INFRUCTUEUX")+COUNTIFS($A$2:$A258,$A258,$E$2:$E258,"ANNULE")),""))</f>
        <v/>
      </c>
    </row>
    <row r="259">
      <c r="A259">
        <f>IF(ISBLANK('ENGAGEMENTS 2026'!B259),"",IF('ENGAGEMENTS 2026'!B259="DTSI","DCT",'ENGAGEMENTS 2026'!B259))</f>
        <v/>
      </c>
      <c r="B259">
        <f>IF(ISBLANK('ENGAGEMENTS 2026'!B259),"",'ENGAGEMENTS 2026'!C259)</f>
        <v/>
      </c>
      <c r="C259">
        <f>IF(ISBLANK('ENGAGEMENTS 2026'!B259),"",'ENGAGEMENTS 2026'!D259)</f>
        <v/>
      </c>
      <c r="D259">
        <f>IF(ISBLANK('ENGAGEMENTS 2026'!B259),"",'ENGAGEMENTS 2026'!F259)</f>
        <v/>
      </c>
      <c r="E259">
        <f>IF(ISBLANK('ENGAGEMENTS 2026'!B259),"",'ENGAGEMENTS 2026'!H259)</f>
        <v/>
      </c>
      <c r="F259">
        <f>IF(ISBLANK('ENGAGEMENTS 2026'!B259),"",'ENGAGEMENTS 2026'!I259)</f>
        <v/>
      </c>
      <c r="G259">
        <f>IF(ISBLANK('ENGAGEMENTS 2026'!B259),"",'ENGAGEMENTS 2026'!L259)</f>
        <v/>
      </c>
      <c r="H259">
        <f>IF(ISBLANK('ENGAGEMENTS 2026'!B259),"",'ENGAGEMENTS 2026'!AE259)</f>
        <v/>
      </c>
      <c r="I259">
        <f>IF(ISBLANK('ENGAGEMENTS 2026'!B259),"",'ENGAGEMENTS 2026'!G259)</f>
        <v/>
      </c>
      <c r="J259" s="275">
        <f>IF(ISBLANK('ENGAGEMENTS 2026'!B259),"",IF(AND(OR($E259="INFRUCTUEUX",$E259="ANNULE"),$C259="AOO-M"),'ENGAGEMENTS 2026'!O259,IF($H259="EN COURS DE PREENGAGEMENT",'ENGAGEMENTS 2026'!N259,IF($H259="PREENGAGE",IF($E259="ATTRIBUE",'ENGAGEMENTS 2026'!AD259,'ENGAGEMENTS 2026'!N259),'ENGAGEMENTS 2026'!AD259))))</f>
        <v/>
      </c>
      <c r="K259" s="604">
        <f>IF(ISBLANK('ENGAGEMENTS 2026'!V259),"",'ENGAGEMENTS 2026'!V259)</f>
        <v/>
      </c>
      <c r="L259" s="276">
        <f>IF($K259="","",TODAY()-$K259)</f>
        <v/>
      </c>
      <c r="M259">
        <f>IF($A259="","",IF($H259="ENGAGE","Engagé",IF(AND($H259="NON ENGAGE",OR($I259="INFRUCTUEUX",$I259="ANNULE")),"Clôturé sans suite","En cours")))</f>
        <v/>
      </c>
      <c r="N259">
        <f>IF(ISBLANK('ENGAGEMENTS 2026'!B259),"",'ENGAGEMENTS 2026'!K259)</f>
        <v/>
      </c>
      <c r="O259">
        <f>IF(ISBLANK('ENGAGEMENTS 2026'!B259),"",'ENGAGEMENTS 2026'!L259)</f>
        <v/>
      </c>
      <c r="P259">
        <f>IF(ISBLANK('ENGAGEMENTS 2026'!B259),"",'ENGAGEMENTS 2026'!J259)</f>
        <v/>
      </c>
      <c r="Q259">
        <f>IF($A259="","",IF(OR($E259="INFRUCTUEUX",$E259="ANNULE"),$A259&amp;"|"&amp;(COUNTIFS($A$2:$A259,$A259,$E$2:$E259,"INFRUCTUEUX")+COUNTIFS($A$2:$A259,$A259,$E$2:$E259,"ANNULE")),""))</f>
        <v/>
      </c>
    </row>
    <row r="260">
      <c r="A260">
        <f>IF(ISBLANK('ENGAGEMENTS 2026'!B260),"",IF('ENGAGEMENTS 2026'!B260="DTSI","DCT",'ENGAGEMENTS 2026'!B260))</f>
        <v/>
      </c>
      <c r="B260">
        <f>IF(ISBLANK('ENGAGEMENTS 2026'!B260),"",'ENGAGEMENTS 2026'!C260)</f>
        <v/>
      </c>
      <c r="C260">
        <f>IF(ISBLANK('ENGAGEMENTS 2026'!B260),"",'ENGAGEMENTS 2026'!D260)</f>
        <v/>
      </c>
      <c r="D260">
        <f>IF(ISBLANK('ENGAGEMENTS 2026'!B260),"",'ENGAGEMENTS 2026'!F260)</f>
        <v/>
      </c>
      <c r="E260">
        <f>IF(ISBLANK('ENGAGEMENTS 2026'!B260),"",'ENGAGEMENTS 2026'!H260)</f>
        <v/>
      </c>
      <c r="F260">
        <f>IF(ISBLANK('ENGAGEMENTS 2026'!B260),"",'ENGAGEMENTS 2026'!I260)</f>
        <v/>
      </c>
      <c r="G260">
        <f>IF(ISBLANK('ENGAGEMENTS 2026'!B260),"",'ENGAGEMENTS 2026'!L260)</f>
        <v/>
      </c>
      <c r="H260">
        <f>IF(ISBLANK('ENGAGEMENTS 2026'!B260),"",'ENGAGEMENTS 2026'!AE260)</f>
        <v/>
      </c>
      <c r="I260">
        <f>IF(ISBLANK('ENGAGEMENTS 2026'!B260),"",'ENGAGEMENTS 2026'!G260)</f>
        <v/>
      </c>
      <c r="J260" s="275">
        <f>IF(ISBLANK('ENGAGEMENTS 2026'!B260),"",IF(AND(OR($E260="INFRUCTUEUX",$E260="ANNULE"),$C260="AOO-M"),'ENGAGEMENTS 2026'!O260,IF($H260="EN COURS DE PREENGAGEMENT",'ENGAGEMENTS 2026'!N260,IF($H260="PREENGAGE",IF($E260="ATTRIBUE",'ENGAGEMENTS 2026'!AD260,'ENGAGEMENTS 2026'!N260),'ENGAGEMENTS 2026'!AD260))))</f>
        <v/>
      </c>
      <c r="K260" s="604">
        <f>IF(ISBLANK('ENGAGEMENTS 2026'!V260),"",'ENGAGEMENTS 2026'!V260)</f>
        <v/>
      </c>
      <c r="L260" s="276">
        <f>IF($K260="","",TODAY()-$K260)</f>
        <v/>
      </c>
      <c r="M260">
        <f>IF($A260="","",IF($H260="ENGAGE","Engagé",IF(AND($H260="NON ENGAGE",OR($I260="INFRUCTUEUX",$I260="ANNULE")),"Clôturé sans suite","En cours")))</f>
        <v/>
      </c>
      <c r="N260">
        <f>IF(ISBLANK('ENGAGEMENTS 2026'!B260),"",'ENGAGEMENTS 2026'!K260)</f>
        <v/>
      </c>
      <c r="O260">
        <f>IF(ISBLANK('ENGAGEMENTS 2026'!B260),"",'ENGAGEMENTS 2026'!L260)</f>
        <v/>
      </c>
      <c r="P260">
        <f>IF(ISBLANK('ENGAGEMENTS 2026'!B260),"",'ENGAGEMENTS 2026'!J260)</f>
        <v/>
      </c>
      <c r="Q260">
        <f>IF($A260="","",IF(OR($E260="INFRUCTUEUX",$E260="ANNULE"),$A260&amp;"|"&amp;(COUNTIFS($A$2:$A260,$A260,$E$2:$E260,"INFRUCTUEUX")+COUNTIFS($A$2:$A260,$A260,$E$2:$E260,"ANNULE")),""))</f>
        <v/>
      </c>
    </row>
    <row r="261">
      <c r="A261">
        <f>IF(ISBLANK('ENGAGEMENTS 2026'!B261),"",IF('ENGAGEMENTS 2026'!B261="DTSI","DCT",'ENGAGEMENTS 2026'!B261))</f>
        <v/>
      </c>
      <c r="B261">
        <f>IF(ISBLANK('ENGAGEMENTS 2026'!B261),"",'ENGAGEMENTS 2026'!C261)</f>
        <v/>
      </c>
      <c r="C261">
        <f>IF(ISBLANK('ENGAGEMENTS 2026'!B261),"",'ENGAGEMENTS 2026'!D261)</f>
        <v/>
      </c>
      <c r="D261">
        <f>IF(ISBLANK('ENGAGEMENTS 2026'!B261),"",'ENGAGEMENTS 2026'!F261)</f>
        <v/>
      </c>
      <c r="E261">
        <f>IF(ISBLANK('ENGAGEMENTS 2026'!B261),"",'ENGAGEMENTS 2026'!H261)</f>
        <v/>
      </c>
      <c r="F261">
        <f>IF(ISBLANK('ENGAGEMENTS 2026'!B261),"",'ENGAGEMENTS 2026'!I261)</f>
        <v/>
      </c>
      <c r="G261">
        <f>IF(ISBLANK('ENGAGEMENTS 2026'!B261),"",'ENGAGEMENTS 2026'!L261)</f>
        <v/>
      </c>
      <c r="H261">
        <f>IF(ISBLANK('ENGAGEMENTS 2026'!B261),"",'ENGAGEMENTS 2026'!AE261)</f>
        <v/>
      </c>
      <c r="I261">
        <f>IF(ISBLANK('ENGAGEMENTS 2026'!B261),"",'ENGAGEMENTS 2026'!G261)</f>
        <v/>
      </c>
      <c r="J261" s="275">
        <f>IF(ISBLANK('ENGAGEMENTS 2026'!B261),"",IF(AND(OR($E261="INFRUCTUEUX",$E261="ANNULE"),$C261="AOO-M"),'ENGAGEMENTS 2026'!O261,IF($H261="EN COURS DE PREENGAGEMENT",'ENGAGEMENTS 2026'!N261,IF($H261="PREENGAGE",IF($E261="ATTRIBUE",'ENGAGEMENTS 2026'!AD261,'ENGAGEMENTS 2026'!N261),'ENGAGEMENTS 2026'!AD261))))</f>
        <v/>
      </c>
      <c r="K261" s="604">
        <f>IF(ISBLANK('ENGAGEMENTS 2026'!V261),"",'ENGAGEMENTS 2026'!V261)</f>
        <v/>
      </c>
      <c r="L261" s="276">
        <f>IF($K261="","",TODAY()-$K261)</f>
        <v/>
      </c>
      <c r="M261">
        <f>IF($A261="","",IF($H261="ENGAGE","Engagé",IF(AND($H261="NON ENGAGE",OR($I261="INFRUCTUEUX",$I261="ANNULE")),"Clôturé sans suite","En cours")))</f>
        <v/>
      </c>
      <c r="N261">
        <f>IF(ISBLANK('ENGAGEMENTS 2026'!B261),"",'ENGAGEMENTS 2026'!K261)</f>
        <v/>
      </c>
      <c r="O261">
        <f>IF(ISBLANK('ENGAGEMENTS 2026'!B261),"",'ENGAGEMENTS 2026'!L261)</f>
        <v/>
      </c>
      <c r="P261">
        <f>IF(ISBLANK('ENGAGEMENTS 2026'!B261),"",'ENGAGEMENTS 2026'!J261)</f>
        <v/>
      </c>
      <c r="Q261">
        <f>IF($A261="","",IF(OR($E261="INFRUCTUEUX",$E261="ANNULE"),$A261&amp;"|"&amp;(COUNTIFS($A$2:$A261,$A261,$E$2:$E261,"INFRUCTUEUX")+COUNTIFS($A$2:$A261,$A261,$E$2:$E261,"ANNULE")),""))</f>
        <v/>
      </c>
    </row>
    <row r="262">
      <c r="A262">
        <f>IF(ISBLANK('ENGAGEMENTS 2026'!B262),"",IF('ENGAGEMENTS 2026'!B262="DTSI","DCT",'ENGAGEMENTS 2026'!B262))</f>
        <v/>
      </c>
      <c r="B262">
        <f>IF(ISBLANK('ENGAGEMENTS 2026'!B262),"",'ENGAGEMENTS 2026'!C262)</f>
        <v/>
      </c>
      <c r="C262">
        <f>IF(ISBLANK('ENGAGEMENTS 2026'!B262),"",'ENGAGEMENTS 2026'!D262)</f>
        <v/>
      </c>
      <c r="D262">
        <f>IF(ISBLANK('ENGAGEMENTS 2026'!B262),"",'ENGAGEMENTS 2026'!F262)</f>
        <v/>
      </c>
      <c r="E262">
        <f>IF(ISBLANK('ENGAGEMENTS 2026'!B262),"",'ENGAGEMENTS 2026'!H262)</f>
        <v/>
      </c>
      <c r="F262">
        <f>IF(ISBLANK('ENGAGEMENTS 2026'!B262),"",'ENGAGEMENTS 2026'!I262)</f>
        <v/>
      </c>
      <c r="G262">
        <f>IF(ISBLANK('ENGAGEMENTS 2026'!B262),"",'ENGAGEMENTS 2026'!L262)</f>
        <v/>
      </c>
      <c r="H262">
        <f>IF(ISBLANK('ENGAGEMENTS 2026'!B262),"",'ENGAGEMENTS 2026'!AE262)</f>
        <v/>
      </c>
      <c r="I262">
        <f>IF(ISBLANK('ENGAGEMENTS 2026'!B262),"",'ENGAGEMENTS 2026'!G262)</f>
        <v/>
      </c>
      <c r="J262" s="275">
        <f>IF(ISBLANK('ENGAGEMENTS 2026'!B262),"",IF(AND(OR($E262="INFRUCTUEUX",$E262="ANNULE"),$C262="AOO-M"),'ENGAGEMENTS 2026'!O262,IF($H262="EN COURS DE PREENGAGEMENT",'ENGAGEMENTS 2026'!N262,IF($H262="PREENGAGE",IF($E262="ATTRIBUE",'ENGAGEMENTS 2026'!AD262,'ENGAGEMENTS 2026'!N262),'ENGAGEMENTS 2026'!AD262))))</f>
        <v/>
      </c>
      <c r="K262" s="604">
        <f>IF(ISBLANK('ENGAGEMENTS 2026'!V262),"",'ENGAGEMENTS 2026'!V262)</f>
        <v/>
      </c>
      <c r="L262" s="276">
        <f>IF($K262="","",TODAY()-$K262)</f>
        <v/>
      </c>
      <c r="M262">
        <f>IF($A262="","",IF($H262="ENGAGE","Engagé",IF(AND($H262="NON ENGAGE",OR($I262="INFRUCTUEUX",$I262="ANNULE")),"Clôturé sans suite","En cours")))</f>
        <v/>
      </c>
      <c r="N262">
        <f>IF(ISBLANK('ENGAGEMENTS 2026'!B262),"",'ENGAGEMENTS 2026'!K262)</f>
        <v/>
      </c>
      <c r="O262">
        <f>IF(ISBLANK('ENGAGEMENTS 2026'!B262),"",'ENGAGEMENTS 2026'!L262)</f>
        <v/>
      </c>
      <c r="P262">
        <f>IF(ISBLANK('ENGAGEMENTS 2026'!B262),"",'ENGAGEMENTS 2026'!J262)</f>
        <v/>
      </c>
      <c r="Q262">
        <f>IF($A262="","",IF(OR($E262="INFRUCTUEUX",$E262="ANNULE"),$A262&amp;"|"&amp;(COUNTIFS($A$2:$A262,$A262,$E$2:$E262,"INFRUCTUEUX")+COUNTIFS($A$2:$A262,$A262,$E$2:$E262,"ANNULE")),""))</f>
        <v/>
      </c>
    </row>
    <row r="263">
      <c r="A263">
        <f>IF(ISBLANK('ENGAGEMENTS 2026'!B263),"",IF('ENGAGEMENTS 2026'!B263="DTSI","DCT",'ENGAGEMENTS 2026'!B263))</f>
        <v/>
      </c>
      <c r="B263">
        <f>IF(ISBLANK('ENGAGEMENTS 2026'!B263),"",'ENGAGEMENTS 2026'!C263)</f>
        <v/>
      </c>
      <c r="C263">
        <f>IF(ISBLANK('ENGAGEMENTS 2026'!B263),"",'ENGAGEMENTS 2026'!D263)</f>
        <v/>
      </c>
      <c r="D263">
        <f>IF(ISBLANK('ENGAGEMENTS 2026'!B263),"",'ENGAGEMENTS 2026'!F263)</f>
        <v/>
      </c>
      <c r="E263">
        <f>IF(ISBLANK('ENGAGEMENTS 2026'!B263),"",'ENGAGEMENTS 2026'!H263)</f>
        <v/>
      </c>
      <c r="F263">
        <f>IF(ISBLANK('ENGAGEMENTS 2026'!B263),"",'ENGAGEMENTS 2026'!I263)</f>
        <v/>
      </c>
      <c r="G263">
        <f>IF(ISBLANK('ENGAGEMENTS 2026'!B263),"",'ENGAGEMENTS 2026'!L263)</f>
        <v/>
      </c>
      <c r="H263">
        <f>IF(ISBLANK('ENGAGEMENTS 2026'!B263),"",'ENGAGEMENTS 2026'!AE263)</f>
        <v/>
      </c>
      <c r="I263">
        <f>IF(ISBLANK('ENGAGEMENTS 2026'!B263),"",'ENGAGEMENTS 2026'!G263)</f>
        <v/>
      </c>
      <c r="J263" s="275">
        <f>IF(ISBLANK('ENGAGEMENTS 2026'!B263),"",IF(AND(OR($E263="INFRUCTUEUX",$E263="ANNULE"),$C263="AOO-M"),'ENGAGEMENTS 2026'!O263,IF($H263="EN COURS DE PREENGAGEMENT",'ENGAGEMENTS 2026'!N263,IF($H263="PREENGAGE",IF($E263="ATTRIBUE",'ENGAGEMENTS 2026'!AD263,'ENGAGEMENTS 2026'!N263),'ENGAGEMENTS 2026'!AD263))))</f>
        <v/>
      </c>
      <c r="K263" s="604">
        <f>IF(ISBLANK('ENGAGEMENTS 2026'!V263),"",'ENGAGEMENTS 2026'!V263)</f>
        <v/>
      </c>
      <c r="L263" s="276">
        <f>IF($K263="","",TODAY()-$K263)</f>
        <v/>
      </c>
      <c r="M263">
        <f>IF($A263="","",IF($H263="ENGAGE","Engagé",IF(AND($H263="NON ENGAGE",OR($I263="INFRUCTUEUX",$I263="ANNULE")),"Clôturé sans suite","En cours")))</f>
        <v/>
      </c>
      <c r="N263">
        <f>IF(ISBLANK('ENGAGEMENTS 2026'!B263),"",'ENGAGEMENTS 2026'!K263)</f>
        <v/>
      </c>
      <c r="O263">
        <f>IF(ISBLANK('ENGAGEMENTS 2026'!B263),"",'ENGAGEMENTS 2026'!L263)</f>
        <v/>
      </c>
      <c r="P263">
        <f>IF(ISBLANK('ENGAGEMENTS 2026'!B263),"",'ENGAGEMENTS 2026'!J263)</f>
        <v/>
      </c>
      <c r="Q263">
        <f>IF($A263="","",IF(OR($E263="INFRUCTUEUX",$E263="ANNULE"),$A263&amp;"|"&amp;(COUNTIFS($A$2:$A263,$A263,$E$2:$E263,"INFRUCTUEUX")+COUNTIFS($A$2:$A263,$A263,$E$2:$E263,"ANNULE")),""))</f>
        <v/>
      </c>
    </row>
    <row r="264">
      <c r="A264">
        <f>IF(ISBLANK('ENGAGEMENTS 2026'!B264),"",IF('ENGAGEMENTS 2026'!B264="DTSI","DCT",'ENGAGEMENTS 2026'!B264))</f>
        <v/>
      </c>
      <c r="B264">
        <f>IF(ISBLANK('ENGAGEMENTS 2026'!B264),"",'ENGAGEMENTS 2026'!C264)</f>
        <v/>
      </c>
      <c r="C264">
        <f>IF(ISBLANK('ENGAGEMENTS 2026'!B264),"",'ENGAGEMENTS 2026'!D264)</f>
        <v/>
      </c>
      <c r="D264">
        <f>IF(ISBLANK('ENGAGEMENTS 2026'!B264),"",'ENGAGEMENTS 2026'!F264)</f>
        <v/>
      </c>
      <c r="E264">
        <f>IF(ISBLANK('ENGAGEMENTS 2026'!B264),"",'ENGAGEMENTS 2026'!H264)</f>
        <v/>
      </c>
      <c r="F264">
        <f>IF(ISBLANK('ENGAGEMENTS 2026'!B264),"",'ENGAGEMENTS 2026'!I264)</f>
        <v/>
      </c>
      <c r="G264">
        <f>IF(ISBLANK('ENGAGEMENTS 2026'!B264),"",'ENGAGEMENTS 2026'!L264)</f>
        <v/>
      </c>
      <c r="H264">
        <f>IF(ISBLANK('ENGAGEMENTS 2026'!B264),"",'ENGAGEMENTS 2026'!AE264)</f>
        <v/>
      </c>
      <c r="I264">
        <f>IF(ISBLANK('ENGAGEMENTS 2026'!B264),"",'ENGAGEMENTS 2026'!G264)</f>
        <v/>
      </c>
      <c r="J264" s="275">
        <f>IF(ISBLANK('ENGAGEMENTS 2026'!B264),"",IF(AND(OR($E264="INFRUCTUEUX",$E264="ANNULE"),$C264="AOO-M"),'ENGAGEMENTS 2026'!O264,IF($H264="EN COURS DE PREENGAGEMENT",'ENGAGEMENTS 2026'!N264,IF($H264="PREENGAGE",IF($E264="ATTRIBUE",'ENGAGEMENTS 2026'!AD264,'ENGAGEMENTS 2026'!N264),'ENGAGEMENTS 2026'!AD264))))</f>
        <v/>
      </c>
      <c r="K264" s="604">
        <f>IF(ISBLANK('ENGAGEMENTS 2026'!V264),"",'ENGAGEMENTS 2026'!V264)</f>
        <v/>
      </c>
      <c r="L264" s="276">
        <f>IF($K264="","",TODAY()-$K264)</f>
        <v/>
      </c>
      <c r="M264">
        <f>IF($A264="","",IF($H264="ENGAGE","Engagé",IF(AND($H264="NON ENGAGE",OR($I264="INFRUCTUEUX",$I264="ANNULE")),"Clôturé sans suite","En cours")))</f>
        <v/>
      </c>
      <c r="N264">
        <f>IF(ISBLANK('ENGAGEMENTS 2026'!B264),"",'ENGAGEMENTS 2026'!K264)</f>
        <v/>
      </c>
      <c r="O264">
        <f>IF(ISBLANK('ENGAGEMENTS 2026'!B264),"",'ENGAGEMENTS 2026'!L264)</f>
        <v/>
      </c>
      <c r="P264">
        <f>IF(ISBLANK('ENGAGEMENTS 2026'!B264),"",'ENGAGEMENTS 2026'!J264)</f>
        <v/>
      </c>
      <c r="Q264">
        <f>IF($A264="","",IF(OR($E264="INFRUCTUEUX",$E264="ANNULE"),$A264&amp;"|"&amp;(COUNTIFS($A$2:$A264,$A264,$E$2:$E264,"INFRUCTUEUX")+COUNTIFS($A$2:$A264,$A264,$E$2:$E264,"ANNULE")),""))</f>
        <v/>
      </c>
    </row>
    <row r="265">
      <c r="A265">
        <f>IF(ISBLANK('ENGAGEMENTS 2026'!B265),"",IF('ENGAGEMENTS 2026'!B265="DTSI","DCT",'ENGAGEMENTS 2026'!B265))</f>
        <v/>
      </c>
      <c r="B265">
        <f>IF(ISBLANK('ENGAGEMENTS 2026'!B265),"",'ENGAGEMENTS 2026'!C265)</f>
        <v/>
      </c>
      <c r="C265">
        <f>IF(ISBLANK('ENGAGEMENTS 2026'!B265),"",'ENGAGEMENTS 2026'!D265)</f>
        <v/>
      </c>
      <c r="D265">
        <f>IF(ISBLANK('ENGAGEMENTS 2026'!B265),"",'ENGAGEMENTS 2026'!F265)</f>
        <v/>
      </c>
      <c r="E265">
        <f>IF(ISBLANK('ENGAGEMENTS 2026'!B265),"",'ENGAGEMENTS 2026'!H265)</f>
        <v/>
      </c>
      <c r="F265">
        <f>IF(ISBLANK('ENGAGEMENTS 2026'!B265),"",'ENGAGEMENTS 2026'!I265)</f>
        <v/>
      </c>
      <c r="G265">
        <f>IF(ISBLANK('ENGAGEMENTS 2026'!B265),"",'ENGAGEMENTS 2026'!L265)</f>
        <v/>
      </c>
      <c r="H265">
        <f>IF(ISBLANK('ENGAGEMENTS 2026'!B265),"",'ENGAGEMENTS 2026'!AE265)</f>
        <v/>
      </c>
      <c r="I265">
        <f>IF(ISBLANK('ENGAGEMENTS 2026'!B265),"",'ENGAGEMENTS 2026'!G265)</f>
        <v/>
      </c>
      <c r="J265" s="275">
        <f>IF(ISBLANK('ENGAGEMENTS 2026'!B265),"",IF(AND(OR($E265="INFRUCTUEUX",$E265="ANNULE"),$C265="AOO-M"),'ENGAGEMENTS 2026'!O265,IF($H265="EN COURS DE PREENGAGEMENT",'ENGAGEMENTS 2026'!N265,IF($H265="PREENGAGE",IF($E265="ATTRIBUE",'ENGAGEMENTS 2026'!AD265,'ENGAGEMENTS 2026'!N265),'ENGAGEMENTS 2026'!AD265))))</f>
        <v/>
      </c>
      <c r="K265" s="604">
        <f>IF(ISBLANK('ENGAGEMENTS 2026'!V265),"",'ENGAGEMENTS 2026'!V265)</f>
        <v/>
      </c>
      <c r="L265" s="276">
        <f>IF($K265="","",TODAY()-$K265)</f>
        <v/>
      </c>
      <c r="M265">
        <f>IF($A265="","",IF($H265="ENGAGE","Engagé",IF(AND($H265="NON ENGAGE",OR($I265="INFRUCTUEUX",$I265="ANNULE")),"Clôturé sans suite","En cours")))</f>
        <v/>
      </c>
      <c r="N265">
        <f>IF(ISBLANK('ENGAGEMENTS 2026'!B265),"",'ENGAGEMENTS 2026'!K265)</f>
        <v/>
      </c>
      <c r="O265">
        <f>IF(ISBLANK('ENGAGEMENTS 2026'!B265),"",'ENGAGEMENTS 2026'!L265)</f>
        <v/>
      </c>
      <c r="P265">
        <f>IF(ISBLANK('ENGAGEMENTS 2026'!B265),"",'ENGAGEMENTS 2026'!J265)</f>
        <v/>
      </c>
      <c r="Q265">
        <f>IF($A265="","",IF(OR($E265="INFRUCTUEUX",$E265="ANNULE"),$A265&amp;"|"&amp;(COUNTIFS($A$2:$A265,$A265,$E$2:$E265,"INFRUCTUEUX")+COUNTIFS($A$2:$A265,$A265,$E$2:$E265,"ANNULE")),""))</f>
        <v/>
      </c>
    </row>
    <row r="266">
      <c r="A266">
        <f>IF(ISBLANK('ENGAGEMENTS 2026'!B266),"",IF('ENGAGEMENTS 2026'!B266="DTSI","DCT",'ENGAGEMENTS 2026'!B266))</f>
        <v/>
      </c>
      <c r="B266">
        <f>IF(ISBLANK('ENGAGEMENTS 2026'!B266),"",'ENGAGEMENTS 2026'!C266)</f>
        <v/>
      </c>
      <c r="C266">
        <f>IF(ISBLANK('ENGAGEMENTS 2026'!B266),"",'ENGAGEMENTS 2026'!D266)</f>
        <v/>
      </c>
      <c r="D266">
        <f>IF(ISBLANK('ENGAGEMENTS 2026'!B266),"",'ENGAGEMENTS 2026'!F266)</f>
        <v/>
      </c>
      <c r="E266">
        <f>IF(ISBLANK('ENGAGEMENTS 2026'!B266),"",'ENGAGEMENTS 2026'!H266)</f>
        <v/>
      </c>
      <c r="F266">
        <f>IF(ISBLANK('ENGAGEMENTS 2026'!B266),"",'ENGAGEMENTS 2026'!I266)</f>
        <v/>
      </c>
      <c r="G266">
        <f>IF(ISBLANK('ENGAGEMENTS 2026'!B266),"",'ENGAGEMENTS 2026'!L266)</f>
        <v/>
      </c>
      <c r="H266">
        <f>IF(ISBLANK('ENGAGEMENTS 2026'!B266),"",'ENGAGEMENTS 2026'!AE266)</f>
        <v/>
      </c>
      <c r="I266">
        <f>IF(ISBLANK('ENGAGEMENTS 2026'!B266),"",'ENGAGEMENTS 2026'!G266)</f>
        <v/>
      </c>
      <c r="J266" s="275">
        <f>IF(ISBLANK('ENGAGEMENTS 2026'!B266),"",IF(AND(OR($E266="INFRUCTUEUX",$E266="ANNULE"),$C266="AOO-M"),'ENGAGEMENTS 2026'!O266,IF($H266="EN COURS DE PREENGAGEMENT",'ENGAGEMENTS 2026'!N266,IF($H266="PREENGAGE",IF($E266="ATTRIBUE",'ENGAGEMENTS 2026'!AD266,'ENGAGEMENTS 2026'!N266),'ENGAGEMENTS 2026'!AD266))))</f>
        <v/>
      </c>
      <c r="K266" s="604">
        <f>IF(ISBLANK('ENGAGEMENTS 2026'!V266),"",'ENGAGEMENTS 2026'!V266)</f>
        <v/>
      </c>
      <c r="L266" s="276">
        <f>IF($K266="","",TODAY()-$K266)</f>
        <v/>
      </c>
      <c r="M266">
        <f>IF($A266="","",IF($H266="ENGAGE","Engagé",IF(AND($H266="NON ENGAGE",OR($I266="INFRUCTUEUX",$I266="ANNULE")),"Clôturé sans suite","En cours")))</f>
        <v/>
      </c>
      <c r="N266">
        <f>IF(ISBLANK('ENGAGEMENTS 2026'!B266),"",'ENGAGEMENTS 2026'!K266)</f>
        <v/>
      </c>
      <c r="O266">
        <f>IF(ISBLANK('ENGAGEMENTS 2026'!B266),"",'ENGAGEMENTS 2026'!L266)</f>
        <v/>
      </c>
      <c r="P266">
        <f>IF(ISBLANK('ENGAGEMENTS 2026'!B266),"",'ENGAGEMENTS 2026'!J266)</f>
        <v/>
      </c>
      <c r="Q266">
        <f>IF($A266="","",IF(OR($E266="INFRUCTUEUX",$E266="ANNULE"),$A266&amp;"|"&amp;(COUNTIFS($A$2:$A266,$A266,$E$2:$E266,"INFRUCTUEUX")+COUNTIFS($A$2:$A266,$A266,$E$2:$E266,"ANNULE")),""))</f>
        <v/>
      </c>
    </row>
    <row r="267">
      <c r="A267">
        <f>IF(ISBLANK('ENGAGEMENTS 2026'!B267),"",IF('ENGAGEMENTS 2026'!B267="DTSI","DCT",'ENGAGEMENTS 2026'!B267))</f>
        <v/>
      </c>
      <c r="B267">
        <f>IF(ISBLANK('ENGAGEMENTS 2026'!B267),"",'ENGAGEMENTS 2026'!C267)</f>
        <v/>
      </c>
      <c r="C267">
        <f>IF(ISBLANK('ENGAGEMENTS 2026'!B267),"",'ENGAGEMENTS 2026'!D267)</f>
        <v/>
      </c>
      <c r="D267">
        <f>IF(ISBLANK('ENGAGEMENTS 2026'!B267),"",'ENGAGEMENTS 2026'!F267)</f>
        <v/>
      </c>
      <c r="E267">
        <f>IF(ISBLANK('ENGAGEMENTS 2026'!B267),"",'ENGAGEMENTS 2026'!H267)</f>
        <v/>
      </c>
      <c r="F267">
        <f>IF(ISBLANK('ENGAGEMENTS 2026'!B267),"",'ENGAGEMENTS 2026'!I267)</f>
        <v/>
      </c>
      <c r="G267">
        <f>IF(ISBLANK('ENGAGEMENTS 2026'!B267),"",'ENGAGEMENTS 2026'!L267)</f>
        <v/>
      </c>
      <c r="H267">
        <f>IF(ISBLANK('ENGAGEMENTS 2026'!B267),"",'ENGAGEMENTS 2026'!AE267)</f>
        <v/>
      </c>
      <c r="I267">
        <f>IF(ISBLANK('ENGAGEMENTS 2026'!B267),"",'ENGAGEMENTS 2026'!G267)</f>
        <v/>
      </c>
      <c r="J267" s="275">
        <f>IF(ISBLANK('ENGAGEMENTS 2026'!B267),"",IF(AND(OR($E267="INFRUCTUEUX",$E267="ANNULE"),$C267="AOO-M"),'ENGAGEMENTS 2026'!O267,IF($H267="EN COURS DE PREENGAGEMENT",'ENGAGEMENTS 2026'!N267,IF($H267="PREENGAGE",IF($E267="ATTRIBUE",'ENGAGEMENTS 2026'!AD267,'ENGAGEMENTS 2026'!N267),'ENGAGEMENTS 2026'!AD267))))</f>
        <v/>
      </c>
      <c r="K267" s="604">
        <f>IF(ISBLANK('ENGAGEMENTS 2026'!V267),"",'ENGAGEMENTS 2026'!V267)</f>
        <v/>
      </c>
      <c r="L267" s="276">
        <f>IF($K267="","",TODAY()-$K267)</f>
        <v/>
      </c>
      <c r="M267">
        <f>IF($A267="","",IF($H267="ENGAGE","Engagé",IF(AND($H267="NON ENGAGE",OR($I267="INFRUCTUEUX",$I267="ANNULE")),"Clôturé sans suite","En cours")))</f>
        <v/>
      </c>
      <c r="N267">
        <f>IF(ISBLANK('ENGAGEMENTS 2026'!B267),"",'ENGAGEMENTS 2026'!K267)</f>
        <v/>
      </c>
      <c r="O267">
        <f>IF(ISBLANK('ENGAGEMENTS 2026'!B267),"",'ENGAGEMENTS 2026'!L267)</f>
        <v/>
      </c>
      <c r="P267">
        <f>IF(ISBLANK('ENGAGEMENTS 2026'!B267),"",'ENGAGEMENTS 2026'!J267)</f>
        <v/>
      </c>
      <c r="Q267">
        <f>IF($A267="","",IF(OR($E267="INFRUCTUEUX",$E267="ANNULE"),$A267&amp;"|"&amp;(COUNTIFS($A$2:$A267,$A267,$E$2:$E267,"INFRUCTUEUX")+COUNTIFS($A$2:$A267,$A267,$E$2:$E267,"ANNULE")),""))</f>
        <v/>
      </c>
    </row>
    <row r="268">
      <c r="A268">
        <f>IF(ISBLANK('ENGAGEMENTS 2026'!B268),"",IF('ENGAGEMENTS 2026'!B268="DTSI","DCT",'ENGAGEMENTS 2026'!B268))</f>
        <v/>
      </c>
      <c r="B268">
        <f>IF(ISBLANK('ENGAGEMENTS 2026'!B268),"",'ENGAGEMENTS 2026'!C268)</f>
        <v/>
      </c>
      <c r="C268">
        <f>IF(ISBLANK('ENGAGEMENTS 2026'!B268),"",'ENGAGEMENTS 2026'!D268)</f>
        <v/>
      </c>
      <c r="D268">
        <f>IF(ISBLANK('ENGAGEMENTS 2026'!B268),"",'ENGAGEMENTS 2026'!F268)</f>
        <v/>
      </c>
      <c r="E268">
        <f>IF(ISBLANK('ENGAGEMENTS 2026'!B268),"",'ENGAGEMENTS 2026'!H268)</f>
        <v/>
      </c>
      <c r="F268">
        <f>IF(ISBLANK('ENGAGEMENTS 2026'!B268),"",'ENGAGEMENTS 2026'!I268)</f>
        <v/>
      </c>
      <c r="G268">
        <f>IF(ISBLANK('ENGAGEMENTS 2026'!B268),"",'ENGAGEMENTS 2026'!L268)</f>
        <v/>
      </c>
      <c r="H268">
        <f>IF(ISBLANK('ENGAGEMENTS 2026'!B268),"",'ENGAGEMENTS 2026'!AE268)</f>
        <v/>
      </c>
      <c r="I268">
        <f>IF(ISBLANK('ENGAGEMENTS 2026'!B268),"",'ENGAGEMENTS 2026'!G268)</f>
        <v/>
      </c>
      <c r="J268" s="275">
        <f>IF(ISBLANK('ENGAGEMENTS 2026'!B268),"",IF(AND(OR($E268="INFRUCTUEUX",$E268="ANNULE"),$C268="AOO-M"),'ENGAGEMENTS 2026'!O268,IF($H268="EN COURS DE PREENGAGEMENT",'ENGAGEMENTS 2026'!N268,IF($H268="PREENGAGE",IF($E268="ATTRIBUE",'ENGAGEMENTS 2026'!AD268,'ENGAGEMENTS 2026'!N268),'ENGAGEMENTS 2026'!AD268))))</f>
        <v/>
      </c>
      <c r="K268" s="604">
        <f>IF(ISBLANK('ENGAGEMENTS 2026'!V268),"",'ENGAGEMENTS 2026'!V268)</f>
        <v/>
      </c>
      <c r="L268" s="276">
        <f>IF($K268="","",TODAY()-$K268)</f>
        <v/>
      </c>
      <c r="M268">
        <f>IF($A268="","",IF($H268="ENGAGE","Engagé",IF(AND($H268="NON ENGAGE",OR($I268="INFRUCTUEUX",$I268="ANNULE")),"Clôturé sans suite","En cours")))</f>
        <v/>
      </c>
      <c r="N268">
        <f>IF(ISBLANK('ENGAGEMENTS 2026'!B268),"",'ENGAGEMENTS 2026'!K268)</f>
        <v/>
      </c>
      <c r="O268">
        <f>IF(ISBLANK('ENGAGEMENTS 2026'!B268),"",'ENGAGEMENTS 2026'!L268)</f>
        <v/>
      </c>
      <c r="P268">
        <f>IF(ISBLANK('ENGAGEMENTS 2026'!B268),"",'ENGAGEMENTS 2026'!J268)</f>
        <v/>
      </c>
      <c r="Q268">
        <f>IF($A268="","",IF(OR($E268="INFRUCTUEUX",$E268="ANNULE"),$A268&amp;"|"&amp;(COUNTIFS($A$2:$A268,$A268,$E$2:$E268,"INFRUCTUEUX")+COUNTIFS($A$2:$A268,$A268,$E$2:$E268,"ANNULE")),""))</f>
        <v/>
      </c>
    </row>
    <row r="269">
      <c r="A269">
        <f>IF(ISBLANK('ENGAGEMENTS 2026'!B269),"",IF('ENGAGEMENTS 2026'!B269="DTSI","DCT",'ENGAGEMENTS 2026'!B269))</f>
        <v/>
      </c>
      <c r="B269">
        <f>IF(ISBLANK('ENGAGEMENTS 2026'!B269),"",'ENGAGEMENTS 2026'!C269)</f>
        <v/>
      </c>
      <c r="C269">
        <f>IF(ISBLANK('ENGAGEMENTS 2026'!B269),"",'ENGAGEMENTS 2026'!D269)</f>
        <v/>
      </c>
      <c r="D269">
        <f>IF(ISBLANK('ENGAGEMENTS 2026'!B269),"",'ENGAGEMENTS 2026'!F269)</f>
        <v/>
      </c>
      <c r="E269">
        <f>IF(ISBLANK('ENGAGEMENTS 2026'!B269),"",'ENGAGEMENTS 2026'!H269)</f>
        <v/>
      </c>
      <c r="F269">
        <f>IF(ISBLANK('ENGAGEMENTS 2026'!B269),"",'ENGAGEMENTS 2026'!I269)</f>
        <v/>
      </c>
      <c r="G269">
        <f>IF(ISBLANK('ENGAGEMENTS 2026'!B269),"",'ENGAGEMENTS 2026'!L269)</f>
        <v/>
      </c>
      <c r="H269">
        <f>IF(ISBLANK('ENGAGEMENTS 2026'!B269),"",'ENGAGEMENTS 2026'!AE269)</f>
        <v/>
      </c>
      <c r="I269">
        <f>IF(ISBLANK('ENGAGEMENTS 2026'!B269),"",'ENGAGEMENTS 2026'!G269)</f>
        <v/>
      </c>
      <c r="J269" s="275">
        <f>IF(ISBLANK('ENGAGEMENTS 2026'!B269),"",IF(AND(OR($E269="INFRUCTUEUX",$E269="ANNULE"),$C269="AOO-M"),'ENGAGEMENTS 2026'!O269,IF($H269="EN COURS DE PREENGAGEMENT",'ENGAGEMENTS 2026'!N269,IF($H269="PREENGAGE",IF($E269="ATTRIBUE",'ENGAGEMENTS 2026'!AD269,'ENGAGEMENTS 2026'!N269),'ENGAGEMENTS 2026'!AD269))))</f>
        <v/>
      </c>
      <c r="K269" s="604">
        <f>IF(ISBLANK('ENGAGEMENTS 2026'!V269),"",'ENGAGEMENTS 2026'!V269)</f>
        <v/>
      </c>
      <c r="L269" s="276">
        <f>IF($K269="","",TODAY()-$K269)</f>
        <v/>
      </c>
      <c r="M269">
        <f>IF($A269="","",IF($H269="ENGAGE","Engagé",IF(AND($H269="NON ENGAGE",OR($I269="INFRUCTUEUX",$I269="ANNULE")),"Clôturé sans suite","En cours")))</f>
        <v/>
      </c>
      <c r="N269">
        <f>IF(ISBLANK('ENGAGEMENTS 2026'!B269),"",'ENGAGEMENTS 2026'!K269)</f>
        <v/>
      </c>
      <c r="O269">
        <f>IF(ISBLANK('ENGAGEMENTS 2026'!B269),"",'ENGAGEMENTS 2026'!L269)</f>
        <v/>
      </c>
      <c r="P269">
        <f>IF(ISBLANK('ENGAGEMENTS 2026'!B269),"",'ENGAGEMENTS 2026'!J269)</f>
        <v/>
      </c>
      <c r="Q269">
        <f>IF($A269="","",IF(OR($E269="INFRUCTUEUX",$E269="ANNULE"),$A269&amp;"|"&amp;(COUNTIFS($A$2:$A269,$A269,$E$2:$E269,"INFRUCTUEUX")+COUNTIFS($A$2:$A269,$A269,$E$2:$E269,"ANNULE")),""))</f>
        <v/>
      </c>
    </row>
    <row r="270">
      <c r="A270">
        <f>IF(ISBLANK('ENGAGEMENTS 2026'!B270),"",IF('ENGAGEMENTS 2026'!B270="DTSI","DCT",'ENGAGEMENTS 2026'!B270))</f>
        <v/>
      </c>
      <c r="B270">
        <f>IF(ISBLANK('ENGAGEMENTS 2026'!B270),"",'ENGAGEMENTS 2026'!C270)</f>
        <v/>
      </c>
      <c r="C270">
        <f>IF(ISBLANK('ENGAGEMENTS 2026'!B270),"",'ENGAGEMENTS 2026'!D270)</f>
        <v/>
      </c>
      <c r="D270">
        <f>IF(ISBLANK('ENGAGEMENTS 2026'!B270),"",'ENGAGEMENTS 2026'!F270)</f>
        <v/>
      </c>
      <c r="E270">
        <f>IF(ISBLANK('ENGAGEMENTS 2026'!B270),"",'ENGAGEMENTS 2026'!H270)</f>
        <v/>
      </c>
      <c r="F270">
        <f>IF(ISBLANK('ENGAGEMENTS 2026'!B270),"",'ENGAGEMENTS 2026'!I270)</f>
        <v/>
      </c>
      <c r="G270">
        <f>IF(ISBLANK('ENGAGEMENTS 2026'!B270),"",'ENGAGEMENTS 2026'!L270)</f>
        <v/>
      </c>
      <c r="H270">
        <f>IF(ISBLANK('ENGAGEMENTS 2026'!B270),"",'ENGAGEMENTS 2026'!AE270)</f>
        <v/>
      </c>
      <c r="I270">
        <f>IF(ISBLANK('ENGAGEMENTS 2026'!B270),"",'ENGAGEMENTS 2026'!G270)</f>
        <v/>
      </c>
      <c r="J270" s="275">
        <f>IF(ISBLANK('ENGAGEMENTS 2026'!B270),"",IF(AND(OR($E270="INFRUCTUEUX",$E270="ANNULE"),$C270="AOO-M"),'ENGAGEMENTS 2026'!O270,IF($H270="EN COURS DE PREENGAGEMENT",'ENGAGEMENTS 2026'!N270,IF($H270="PREENGAGE",IF($E270="ATTRIBUE",'ENGAGEMENTS 2026'!AD270,'ENGAGEMENTS 2026'!N270),'ENGAGEMENTS 2026'!AD270))))</f>
        <v/>
      </c>
      <c r="K270" s="604">
        <f>IF(ISBLANK('ENGAGEMENTS 2026'!V270),"",'ENGAGEMENTS 2026'!V270)</f>
        <v/>
      </c>
      <c r="L270" s="276">
        <f>IF($K270="","",TODAY()-$K270)</f>
        <v/>
      </c>
      <c r="M270">
        <f>IF($A270="","",IF($H270="ENGAGE","Engagé",IF(AND($H270="NON ENGAGE",OR($I270="INFRUCTUEUX",$I270="ANNULE")),"Clôturé sans suite","En cours")))</f>
        <v/>
      </c>
      <c r="N270">
        <f>IF(ISBLANK('ENGAGEMENTS 2026'!B270),"",'ENGAGEMENTS 2026'!K270)</f>
        <v/>
      </c>
      <c r="O270">
        <f>IF(ISBLANK('ENGAGEMENTS 2026'!B270),"",'ENGAGEMENTS 2026'!L270)</f>
        <v/>
      </c>
      <c r="P270">
        <f>IF(ISBLANK('ENGAGEMENTS 2026'!B270),"",'ENGAGEMENTS 2026'!J270)</f>
        <v/>
      </c>
      <c r="Q270">
        <f>IF($A270="","",IF(OR($E270="INFRUCTUEUX",$E270="ANNULE"),$A270&amp;"|"&amp;(COUNTIFS($A$2:$A270,$A270,$E$2:$E270,"INFRUCTUEUX")+COUNTIFS($A$2:$A270,$A270,$E$2:$E270,"ANNULE")),""))</f>
        <v/>
      </c>
    </row>
    <row r="271">
      <c r="A271">
        <f>IF(ISBLANK('ENGAGEMENTS 2026'!B271),"",IF('ENGAGEMENTS 2026'!B271="DTSI","DCT",'ENGAGEMENTS 2026'!B271))</f>
        <v/>
      </c>
      <c r="B271">
        <f>IF(ISBLANK('ENGAGEMENTS 2026'!B271),"",'ENGAGEMENTS 2026'!C271)</f>
        <v/>
      </c>
      <c r="C271">
        <f>IF(ISBLANK('ENGAGEMENTS 2026'!B271),"",'ENGAGEMENTS 2026'!D271)</f>
        <v/>
      </c>
      <c r="D271">
        <f>IF(ISBLANK('ENGAGEMENTS 2026'!B271),"",'ENGAGEMENTS 2026'!F271)</f>
        <v/>
      </c>
      <c r="E271">
        <f>IF(ISBLANK('ENGAGEMENTS 2026'!B271),"",'ENGAGEMENTS 2026'!H271)</f>
        <v/>
      </c>
      <c r="F271">
        <f>IF(ISBLANK('ENGAGEMENTS 2026'!B271),"",'ENGAGEMENTS 2026'!I271)</f>
        <v/>
      </c>
      <c r="G271">
        <f>IF(ISBLANK('ENGAGEMENTS 2026'!B271),"",'ENGAGEMENTS 2026'!L271)</f>
        <v/>
      </c>
      <c r="H271">
        <f>IF(ISBLANK('ENGAGEMENTS 2026'!B271),"",'ENGAGEMENTS 2026'!AE271)</f>
        <v/>
      </c>
      <c r="I271">
        <f>IF(ISBLANK('ENGAGEMENTS 2026'!B271),"",'ENGAGEMENTS 2026'!G271)</f>
        <v/>
      </c>
      <c r="J271" s="275">
        <f>IF(ISBLANK('ENGAGEMENTS 2026'!B271),"",IF(AND(OR($E271="INFRUCTUEUX",$E271="ANNULE"),$C271="AOO-M"),'ENGAGEMENTS 2026'!O271,IF($H271="EN COURS DE PREENGAGEMENT",'ENGAGEMENTS 2026'!N271,IF($H271="PREENGAGE",IF($E271="ATTRIBUE",'ENGAGEMENTS 2026'!AD271,'ENGAGEMENTS 2026'!N271),'ENGAGEMENTS 2026'!AD271))))</f>
        <v/>
      </c>
      <c r="K271" s="604">
        <f>IF(ISBLANK('ENGAGEMENTS 2026'!V271),"",'ENGAGEMENTS 2026'!V271)</f>
        <v/>
      </c>
      <c r="L271" s="276">
        <f>IF($K271="","",TODAY()-$K271)</f>
        <v/>
      </c>
      <c r="M271">
        <f>IF($A271="","",IF($H271="ENGAGE","Engagé",IF(AND($H271="NON ENGAGE",OR($I271="INFRUCTUEUX",$I271="ANNULE")),"Clôturé sans suite","En cours")))</f>
        <v/>
      </c>
      <c r="N271">
        <f>IF(ISBLANK('ENGAGEMENTS 2026'!B271),"",'ENGAGEMENTS 2026'!K271)</f>
        <v/>
      </c>
      <c r="O271">
        <f>IF(ISBLANK('ENGAGEMENTS 2026'!B271),"",'ENGAGEMENTS 2026'!L271)</f>
        <v/>
      </c>
      <c r="P271">
        <f>IF(ISBLANK('ENGAGEMENTS 2026'!B271),"",'ENGAGEMENTS 2026'!J271)</f>
        <v/>
      </c>
      <c r="Q271">
        <f>IF($A271="","",IF(OR($E271="INFRUCTUEUX",$E271="ANNULE"),$A271&amp;"|"&amp;(COUNTIFS($A$2:$A271,$A271,$E$2:$E271,"INFRUCTUEUX")+COUNTIFS($A$2:$A271,$A271,$E$2:$E271,"ANNULE")),""))</f>
        <v/>
      </c>
    </row>
    <row r="272">
      <c r="A272">
        <f>IF(ISBLANK('ENGAGEMENTS 2026'!B272),"",IF('ENGAGEMENTS 2026'!B272="DTSI","DCT",'ENGAGEMENTS 2026'!B272))</f>
        <v/>
      </c>
      <c r="B272">
        <f>IF(ISBLANK('ENGAGEMENTS 2026'!B272),"",'ENGAGEMENTS 2026'!C272)</f>
        <v/>
      </c>
      <c r="C272">
        <f>IF(ISBLANK('ENGAGEMENTS 2026'!B272),"",'ENGAGEMENTS 2026'!D272)</f>
        <v/>
      </c>
      <c r="D272">
        <f>IF(ISBLANK('ENGAGEMENTS 2026'!B272),"",'ENGAGEMENTS 2026'!F272)</f>
        <v/>
      </c>
      <c r="E272">
        <f>IF(ISBLANK('ENGAGEMENTS 2026'!B272),"",'ENGAGEMENTS 2026'!H272)</f>
        <v/>
      </c>
      <c r="F272">
        <f>IF(ISBLANK('ENGAGEMENTS 2026'!B272),"",'ENGAGEMENTS 2026'!I272)</f>
        <v/>
      </c>
      <c r="G272">
        <f>IF(ISBLANK('ENGAGEMENTS 2026'!B272),"",'ENGAGEMENTS 2026'!L272)</f>
        <v/>
      </c>
      <c r="H272">
        <f>IF(ISBLANK('ENGAGEMENTS 2026'!B272),"",'ENGAGEMENTS 2026'!AE272)</f>
        <v/>
      </c>
      <c r="I272">
        <f>IF(ISBLANK('ENGAGEMENTS 2026'!B272),"",'ENGAGEMENTS 2026'!G272)</f>
        <v/>
      </c>
      <c r="J272" s="275">
        <f>IF(ISBLANK('ENGAGEMENTS 2026'!B272),"",IF(AND(OR($E272="INFRUCTUEUX",$E272="ANNULE"),$C272="AOO-M"),'ENGAGEMENTS 2026'!O272,IF($H272="EN COURS DE PREENGAGEMENT",'ENGAGEMENTS 2026'!N272,IF($H272="PREENGAGE",IF($E272="ATTRIBUE",'ENGAGEMENTS 2026'!AD272,'ENGAGEMENTS 2026'!N272),'ENGAGEMENTS 2026'!AD272))))</f>
        <v/>
      </c>
      <c r="K272" s="604">
        <f>IF(ISBLANK('ENGAGEMENTS 2026'!V272),"",'ENGAGEMENTS 2026'!V272)</f>
        <v/>
      </c>
      <c r="L272" s="276">
        <f>IF($K272="","",TODAY()-$K272)</f>
        <v/>
      </c>
      <c r="M272">
        <f>IF($A272="","",IF($H272="ENGAGE","Engagé",IF(AND($H272="NON ENGAGE",OR($I272="INFRUCTUEUX",$I272="ANNULE")),"Clôturé sans suite","En cours")))</f>
        <v/>
      </c>
      <c r="N272">
        <f>IF(ISBLANK('ENGAGEMENTS 2026'!B272),"",'ENGAGEMENTS 2026'!K272)</f>
        <v/>
      </c>
      <c r="O272">
        <f>IF(ISBLANK('ENGAGEMENTS 2026'!B272),"",'ENGAGEMENTS 2026'!L272)</f>
        <v/>
      </c>
      <c r="P272">
        <f>IF(ISBLANK('ENGAGEMENTS 2026'!B272),"",'ENGAGEMENTS 2026'!J272)</f>
        <v/>
      </c>
      <c r="Q272">
        <f>IF($A272="","",IF(OR($E272="INFRUCTUEUX",$E272="ANNULE"),$A272&amp;"|"&amp;(COUNTIFS($A$2:$A272,$A272,$E$2:$E272,"INFRUCTUEUX")+COUNTIFS($A$2:$A272,$A272,$E$2:$E272,"ANNULE")),""))</f>
        <v/>
      </c>
    </row>
    <row r="273">
      <c r="A273">
        <f>IF(ISBLANK('ENGAGEMENTS 2026'!B273),"",IF('ENGAGEMENTS 2026'!B273="DTSI","DCT",'ENGAGEMENTS 2026'!B273))</f>
        <v/>
      </c>
      <c r="B273">
        <f>IF(ISBLANK('ENGAGEMENTS 2026'!B273),"",'ENGAGEMENTS 2026'!C273)</f>
        <v/>
      </c>
      <c r="C273">
        <f>IF(ISBLANK('ENGAGEMENTS 2026'!B273),"",'ENGAGEMENTS 2026'!D273)</f>
        <v/>
      </c>
      <c r="D273">
        <f>IF(ISBLANK('ENGAGEMENTS 2026'!B273),"",'ENGAGEMENTS 2026'!F273)</f>
        <v/>
      </c>
      <c r="E273">
        <f>IF(ISBLANK('ENGAGEMENTS 2026'!B273),"",'ENGAGEMENTS 2026'!H273)</f>
        <v/>
      </c>
      <c r="F273">
        <f>IF(ISBLANK('ENGAGEMENTS 2026'!B273),"",'ENGAGEMENTS 2026'!I273)</f>
        <v/>
      </c>
      <c r="G273">
        <f>IF(ISBLANK('ENGAGEMENTS 2026'!B273),"",'ENGAGEMENTS 2026'!L273)</f>
        <v/>
      </c>
      <c r="H273">
        <f>IF(ISBLANK('ENGAGEMENTS 2026'!B273),"",'ENGAGEMENTS 2026'!AE273)</f>
        <v/>
      </c>
      <c r="I273">
        <f>IF(ISBLANK('ENGAGEMENTS 2026'!B273),"",'ENGAGEMENTS 2026'!G273)</f>
        <v/>
      </c>
      <c r="J273" s="275">
        <f>IF(ISBLANK('ENGAGEMENTS 2026'!B273),"",IF(AND(OR($E273="INFRUCTUEUX",$E273="ANNULE"),$C273="AOO-M"),'ENGAGEMENTS 2026'!O273,IF($H273="EN COURS DE PREENGAGEMENT",'ENGAGEMENTS 2026'!N273,IF($H273="PREENGAGE",IF($E273="ATTRIBUE",'ENGAGEMENTS 2026'!AD273,'ENGAGEMENTS 2026'!N273),'ENGAGEMENTS 2026'!AD273))))</f>
        <v/>
      </c>
      <c r="K273" s="604">
        <f>IF(ISBLANK('ENGAGEMENTS 2026'!V273),"",'ENGAGEMENTS 2026'!V273)</f>
        <v/>
      </c>
      <c r="L273" s="276">
        <f>IF($K273="","",TODAY()-$K273)</f>
        <v/>
      </c>
      <c r="M273">
        <f>IF($A273="","",IF($H273="ENGAGE","Engagé",IF(AND($H273="NON ENGAGE",OR($I273="INFRUCTUEUX",$I273="ANNULE")),"Clôturé sans suite","En cours")))</f>
        <v/>
      </c>
      <c r="N273">
        <f>IF(ISBLANK('ENGAGEMENTS 2026'!B273),"",'ENGAGEMENTS 2026'!K273)</f>
        <v/>
      </c>
      <c r="O273">
        <f>IF(ISBLANK('ENGAGEMENTS 2026'!B273),"",'ENGAGEMENTS 2026'!L273)</f>
        <v/>
      </c>
      <c r="P273">
        <f>IF(ISBLANK('ENGAGEMENTS 2026'!B273),"",'ENGAGEMENTS 2026'!J273)</f>
        <v/>
      </c>
      <c r="Q273">
        <f>IF($A273="","",IF(OR($E273="INFRUCTUEUX",$E273="ANNULE"),$A273&amp;"|"&amp;(COUNTIFS($A$2:$A273,$A273,$E$2:$E273,"INFRUCTUEUX")+COUNTIFS($A$2:$A273,$A273,$E$2:$E273,"ANNULE")),""))</f>
        <v/>
      </c>
    </row>
    <row r="274">
      <c r="A274">
        <f>IF(ISBLANK('ENGAGEMENTS 2026'!B274),"",IF('ENGAGEMENTS 2026'!B274="DTSI","DCT",'ENGAGEMENTS 2026'!B274))</f>
        <v/>
      </c>
      <c r="B274">
        <f>IF(ISBLANK('ENGAGEMENTS 2026'!B274),"",'ENGAGEMENTS 2026'!C274)</f>
        <v/>
      </c>
      <c r="C274">
        <f>IF(ISBLANK('ENGAGEMENTS 2026'!B274),"",'ENGAGEMENTS 2026'!D274)</f>
        <v/>
      </c>
      <c r="D274">
        <f>IF(ISBLANK('ENGAGEMENTS 2026'!B274),"",'ENGAGEMENTS 2026'!F274)</f>
        <v/>
      </c>
      <c r="E274">
        <f>IF(ISBLANK('ENGAGEMENTS 2026'!B274),"",'ENGAGEMENTS 2026'!H274)</f>
        <v/>
      </c>
      <c r="F274">
        <f>IF(ISBLANK('ENGAGEMENTS 2026'!B274),"",'ENGAGEMENTS 2026'!I274)</f>
        <v/>
      </c>
      <c r="G274">
        <f>IF(ISBLANK('ENGAGEMENTS 2026'!B274),"",'ENGAGEMENTS 2026'!L274)</f>
        <v/>
      </c>
      <c r="H274">
        <f>IF(ISBLANK('ENGAGEMENTS 2026'!B274),"",'ENGAGEMENTS 2026'!AE274)</f>
        <v/>
      </c>
      <c r="I274">
        <f>IF(ISBLANK('ENGAGEMENTS 2026'!B274),"",'ENGAGEMENTS 2026'!G274)</f>
        <v/>
      </c>
      <c r="J274" s="275">
        <f>IF(ISBLANK('ENGAGEMENTS 2026'!B274),"",IF(AND(OR($E274="INFRUCTUEUX",$E274="ANNULE"),$C274="AOO-M"),'ENGAGEMENTS 2026'!O274,IF($H274="EN COURS DE PREENGAGEMENT",'ENGAGEMENTS 2026'!N274,IF($H274="PREENGAGE",IF($E274="ATTRIBUE",'ENGAGEMENTS 2026'!AD274,'ENGAGEMENTS 2026'!N274),'ENGAGEMENTS 2026'!AD274))))</f>
        <v/>
      </c>
      <c r="K274" s="604">
        <f>IF(ISBLANK('ENGAGEMENTS 2026'!V274),"",'ENGAGEMENTS 2026'!V274)</f>
        <v/>
      </c>
      <c r="L274" s="276">
        <f>IF($K274="","",TODAY()-$K274)</f>
        <v/>
      </c>
      <c r="M274">
        <f>IF($A274="","",IF($H274="ENGAGE","Engagé",IF(AND($H274="NON ENGAGE",OR($I274="INFRUCTUEUX",$I274="ANNULE")),"Clôturé sans suite","En cours")))</f>
        <v/>
      </c>
      <c r="N274">
        <f>IF(ISBLANK('ENGAGEMENTS 2026'!B274),"",'ENGAGEMENTS 2026'!K274)</f>
        <v/>
      </c>
      <c r="O274">
        <f>IF(ISBLANK('ENGAGEMENTS 2026'!B274),"",'ENGAGEMENTS 2026'!L274)</f>
        <v/>
      </c>
      <c r="P274">
        <f>IF(ISBLANK('ENGAGEMENTS 2026'!B274),"",'ENGAGEMENTS 2026'!J274)</f>
        <v/>
      </c>
      <c r="Q274">
        <f>IF($A274="","",IF(OR($E274="INFRUCTUEUX",$E274="ANNULE"),$A274&amp;"|"&amp;(COUNTIFS($A$2:$A274,$A274,$E$2:$E274,"INFRUCTUEUX")+COUNTIFS($A$2:$A274,$A274,$E$2:$E274,"ANNULE")),""))</f>
        <v/>
      </c>
    </row>
    <row r="275">
      <c r="A275">
        <f>IF(ISBLANK('ENGAGEMENTS 2026'!B275),"",IF('ENGAGEMENTS 2026'!B275="DTSI","DCT",'ENGAGEMENTS 2026'!B275))</f>
        <v/>
      </c>
      <c r="B275">
        <f>IF(ISBLANK('ENGAGEMENTS 2026'!B275),"",'ENGAGEMENTS 2026'!C275)</f>
        <v/>
      </c>
      <c r="C275">
        <f>IF(ISBLANK('ENGAGEMENTS 2026'!B275),"",'ENGAGEMENTS 2026'!D275)</f>
        <v/>
      </c>
      <c r="D275">
        <f>IF(ISBLANK('ENGAGEMENTS 2026'!B275),"",'ENGAGEMENTS 2026'!F275)</f>
        <v/>
      </c>
      <c r="E275">
        <f>IF(ISBLANK('ENGAGEMENTS 2026'!B275),"",'ENGAGEMENTS 2026'!H275)</f>
        <v/>
      </c>
      <c r="F275">
        <f>IF(ISBLANK('ENGAGEMENTS 2026'!B275),"",'ENGAGEMENTS 2026'!I275)</f>
        <v/>
      </c>
      <c r="G275">
        <f>IF(ISBLANK('ENGAGEMENTS 2026'!B275),"",'ENGAGEMENTS 2026'!L275)</f>
        <v/>
      </c>
      <c r="H275">
        <f>IF(ISBLANK('ENGAGEMENTS 2026'!B275),"",'ENGAGEMENTS 2026'!AE275)</f>
        <v/>
      </c>
      <c r="I275">
        <f>IF(ISBLANK('ENGAGEMENTS 2026'!B275),"",'ENGAGEMENTS 2026'!G275)</f>
        <v/>
      </c>
      <c r="J275" s="275">
        <f>IF(ISBLANK('ENGAGEMENTS 2026'!B275),"",IF(AND(OR($E275="INFRUCTUEUX",$E275="ANNULE"),$C275="AOO-M"),'ENGAGEMENTS 2026'!O275,IF($H275="EN COURS DE PREENGAGEMENT",'ENGAGEMENTS 2026'!N275,IF($H275="PREENGAGE",IF($E275="ATTRIBUE",'ENGAGEMENTS 2026'!AD275,'ENGAGEMENTS 2026'!N275),'ENGAGEMENTS 2026'!AD275))))</f>
        <v/>
      </c>
      <c r="K275" s="604">
        <f>IF(ISBLANK('ENGAGEMENTS 2026'!V275),"",'ENGAGEMENTS 2026'!V275)</f>
        <v/>
      </c>
      <c r="L275" s="276">
        <f>IF($K275="","",TODAY()-$K275)</f>
        <v/>
      </c>
      <c r="M275">
        <f>IF($A275="","",IF($H275="ENGAGE","Engagé",IF(AND($H275="NON ENGAGE",OR($I275="INFRUCTUEUX",$I275="ANNULE")),"Clôturé sans suite","En cours")))</f>
        <v/>
      </c>
      <c r="N275">
        <f>IF(ISBLANK('ENGAGEMENTS 2026'!B275),"",'ENGAGEMENTS 2026'!K275)</f>
        <v/>
      </c>
      <c r="O275">
        <f>IF(ISBLANK('ENGAGEMENTS 2026'!B275),"",'ENGAGEMENTS 2026'!L275)</f>
        <v/>
      </c>
      <c r="P275">
        <f>IF(ISBLANK('ENGAGEMENTS 2026'!B275),"",'ENGAGEMENTS 2026'!J275)</f>
        <v/>
      </c>
      <c r="Q275">
        <f>IF($A275="","",IF(OR($E275="INFRUCTUEUX",$E275="ANNULE"),$A275&amp;"|"&amp;(COUNTIFS($A$2:$A275,$A275,$E$2:$E275,"INFRUCTUEUX")+COUNTIFS($A$2:$A275,$A275,$E$2:$E275,"ANNULE")),""))</f>
        <v/>
      </c>
    </row>
    <row r="276">
      <c r="A276">
        <f>IF(ISBLANK('ENGAGEMENTS 2026'!B276),"",IF('ENGAGEMENTS 2026'!B276="DTSI","DCT",'ENGAGEMENTS 2026'!B276))</f>
        <v/>
      </c>
      <c r="B276">
        <f>IF(ISBLANK('ENGAGEMENTS 2026'!B276),"",'ENGAGEMENTS 2026'!C276)</f>
        <v/>
      </c>
      <c r="C276">
        <f>IF(ISBLANK('ENGAGEMENTS 2026'!B276),"",'ENGAGEMENTS 2026'!D276)</f>
        <v/>
      </c>
      <c r="D276">
        <f>IF(ISBLANK('ENGAGEMENTS 2026'!B276),"",'ENGAGEMENTS 2026'!F276)</f>
        <v/>
      </c>
      <c r="E276">
        <f>IF(ISBLANK('ENGAGEMENTS 2026'!B276),"",'ENGAGEMENTS 2026'!H276)</f>
        <v/>
      </c>
      <c r="F276">
        <f>IF(ISBLANK('ENGAGEMENTS 2026'!B276),"",'ENGAGEMENTS 2026'!I276)</f>
        <v/>
      </c>
      <c r="G276">
        <f>IF(ISBLANK('ENGAGEMENTS 2026'!B276),"",'ENGAGEMENTS 2026'!L276)</f>
        <v/>
      </c>
      <c r="H276">
        <f>IF(ISBLANK('ENGAGEMENTS 2026'!B276),"",'ENGAGEMENTS 2026'!AE276)</f>
        <v/>
      </c>
      <c r="I276">
        <f>IF(ISBLANK('ENGAGEMENTS 2026'!B276),"",'ENGAGEMENTS 2026'!G276)</f>
        <v/>
      </c>
      <c r="J276" s="275">
        <f>IF(ISBLANK('ENGAGEMENTS 2026'!B276),"",IF(AND(OR($E276="INFRUCTUEUX",$E276="ANNULE"),$C276="AOO-M"),'ENGAGEMENTS 2026'!O276,IF($H276="EN COURS DE PREENGAGEMENT",'ENGAGEMENTS 2026'!N276,IF($H276="PREENGAGE",IF($E276="ATTRIBUE",'ENGAGEMENTS 2026'!AD276,'ENGAGEMENTS 2026'!N276),'ENGAGEMENTS 2026'!AD276))))</f>
        <v/>
      </c>
      <c r="K276" s="604">
        <f>IF(ISBLANK('ENGAGEMENTS 2026'!V276),"",'ENGAGEMENTS 2026'!V276)</f>
        <v/>
      </c>
      <c r="L276" s="276">
        <f>IF($K276="","",TODAY()-$K276)</f>
        <v/>
      </c>
      <c r="M276">
        <f>IF($A276="","",IF($H276="ENGAGE","Engagé",IF(AND($H276="NON ENGAGE",OR($I276="INFRUCTUEUX",$I276="ANNULE")),"Clôturé sans suite","En cours")))</f>
        <v/>
      </c>
      <c r="N276">
        <f>IF(ISBLANK('ENGAGEMENTS 2026'!B276),"",'ENGAGEMENTS 2026'!K276)</f>
        <v/>
      </c>
      <c r="O276">
        <f>IF(ISBLANK('ENGAGEMENTS 2026'!B276),"",'ENGAGEMENTS 2026'!L276)</f>
        <v/>
      </c>
      <c r="P276">
        <f>IF(ISBLANK('ENGAGEMENTS 2026'!B276),"",'ENGAGEMENTS 2026'!J276)</f>
        <v/>
      </c>
      <c r="Q276">
        <f>IF($A276="","",IF(OR($E276="INFRUCTUEUX",$E276="ANNULE"),$A276&amp;"|"&amp;(COUNTIFS($A$2:$A276,$A276,$E$2:$E276,"INFRUCTUEUX")+COUNTIFS($A$2:$A276,$A276,$E$2:$E276,"ANNULE")),""))</f>
        <v/>
      </c>
    </row>
    <row r="277">
      <c r="A277">
        <f>IF(ISBLANK('ENGAGEMENTS 2026'!B277),"",IF('ENGAGEMENTS 2026'!B277="DTSI","DCT",'ENGAGEMENTS 2026'!B277))</f>
        <v/>
      </c>
      <c r="B277">
        <f>IF(ISBLANK('ENGAGEMENTS 2026'!B277),"",'ENGAGEMENTS 2026'!C277)</f>
        <v/>
      </c>
      <c r="C277">
        <f>IF(ISBLANK('ENGAGEMENTS 2026'!B277),"",'ENGAGEMENTS 2026'!D277)</f>
        <v/>
      </c>
      <c r="D277">
        <f>IF(ISBLANK('ENGAGEMENTS 2026'!B277),"",'ENGAGEMENTS 2026'!F277)</f>
        <v/>
      </c>
      <c r="E277">
        <f>IF(ISBLANK('ENGAGEMENTS 2026'!B277),"",'ENGAGEMENTS 2026'!H277)</f>
        <v/>
      </c>
      <c r="F277">
        <f>IF(ISBLANK('ENGAGEMENTS 2026'!B277),"",'ENGAGEMENTS 2026'!I277)</f>
        <v/>
      </c>
      <c r="G277">
        <f>IF(ISBLANK('ENGAGEMENTS 2026'!B277),"",'ENGAGEMENTS 2026'!L277)</f>
        <v/>
      </c>
      <c r="H277">
        <f>IF(ISBLANK('ENGAGEMENTS 2026'!B277),"",'ENGAGEMENTS 2026'!AE277)</f>
        <v/>
      </c>
      <c r="I277">
        <f>IF(ISBLANK('ENGAGEMENTS 2026'!B277),"",'ENGAGEMENTS 2026'!G277)</f>
        <v/>
      </c>
      <c r="J277" s="275">
        <f>IF(ISBLANK('ENGAGEMENTS 2026'!B277),"",IF(AND(OR($E277="INFRUCTUEUX",$E277="ANNULE"),$C277="AOO-M"),'ENGAGEMENTS 2026'!O277,IF($H277="EN COURS DE PREENGAGEMENT",'ENGAGEMENTS 2026'!N277,IF($H277="PREENGAGE",IF($E277="ATTRIBUE",'ENGAGEMENTS 2026'!AD277,'ENGAGEMENTS 2026'!N277),'ENGAGEMENTS 2026'!AD277))))</f>
        <v/>
      </c>
      <c r="K277" s="604">
        <f>IF(ISBLANK('ENGAGEMENTS 2026'!V277),"",'ENGAGEMENTS 2026'!V277)</f>
        <v/>
      </c>
      <c r="L277" s="276">
        <f>IF($K277="","",TODAY()-$K277)</f>
        <v/>
      </c>
      <c r="M277">
        <f>IF($A277="","",IF($H277="ENGAGE","Engagé",IF(AND($H277="NON ENGAGE",OR($I277="INFRUCTUEUX",$I277="ANNULE")),"Clôturé sans suite","En cours")))</f>
        <v/>
      </c>
      <c r="N277">
        <f>IF(ISBLANK('ENGAGEMENTS 2026'!B277),"",'ENGAGEMENTS 2026'!K277)</f>
        <v/>
      </c>
      <c r="O277">
        <f>IF(ISBLANK('ENGAGEMENTS 2026'!B277),"",'ENGAGEMENTS 2026'!L277)</f>
        <v/>
      </c>
      <c r="P277">
        <f>IF(ISBLANK('ENGAGEMENTS 2026'!B277),"",'ENGAGEMENTS 2026'!J277)</f>
        <v/>
      </c>
      <c r="Q277">
        <f>IF($A277="","",IF(OR($E277="INFRUCTUEUX",$E277="ANNULE"),$A277&amp;"|"&amp;(COUNTIFS($A$2:$A277,$A277,$E$2:$E277,"INFRUCTUEUX")+COUNTIFS($A$2:$A277,$A277,$E$2:$E277,"ANNULE")),""))</f>
        <v/>
      </c>
    </row>
    <row r="278">
      <c r="A278">
        <f>IF(ISBLANK('ENGAGEMENTS 2026'!B278),"",IF('ENGAGEMENTS 2026'!B278="DTSI","DCT",'ENGAGEMENTS 2026'!B278))</f>
        <v/>
      </c>
      <c r="B278">
        <f>IF(ISBLANK('ENGAGEMENTS 2026'!B278),"",'ENGAGEMENTS 2026'!C278)</f>
        <v/>
      </c>
      <c r="C278">
        <f>IF(ISBLANK('ENGAGEMENTS 2026'!B278),"",'ENGAGEMENTS 2026'!D278)</f>
        <v/>
      </c>
      <c r="D278">
        <f>IF(ISBLANK('ENGAGEMENTS 2026'!B278),"",'ENGAGEMENTS 2026'!F278)</f>
        <v/>
      </c>
      <c r="E278">
        <f>IF(ISBLANK('ENGAGEMENTS 2026'!B278),"",'ENGAGEMENTS 2026'!H278)</f>
        <v/>
      </c>
      <c r="F278">
        <f>IF(ISBLANK('ENGAGEMENTS 2026'!B278),"",'ENGAGEMENTS 2026'!I278)</f>
        <v/>
      </c>
      <c r="G278">
        <f>IF(ISBLANK('ENGAGEMENTS 2026'!B278),"",'ENGAGEMENTS 2026'!L278)</f>
        <v/>
      </c>
      <c r="H278">
        <f>IF(ISBLANK('ENGAGEMENTS 2026'!B278),"",'ENGAGEMENTS 2026'!AE278)</f>
        <v/>
      </c>
      <c r="I278">
        <f>IF(ISBLANK('ENGAGEMENTS 2026'!B278),"",'ENGAGEMENTS 2026'!G278)</f>
        <v/>
      </c>
      <c r="J278" s="275">
        <f>IF(ISBLANK('ENGAGEMENTS 2026'!B278),"",IF(AND(OR($E278="INFRUCTUEUX",$E278="ANNULE"),$C278="AOO-M"),'ENGAGEMENTS 2026'!O278,IF($H278="EN COURS DE PREENGAGEMENT",'ENGAGEMENTS 2026'!N278,IF($H278="PREENGAGE",IF($E278="ATTRIBUE",'ENGAGEMENTS 2026'!AD278,'ENGAGEMENTS 2026'!N278),'ENGAGEMENTS 2026'!AD278))))</f>
        <v/>
      </c>
      <c r="K278" s="604">
        <f>IF(ISBLANK('ENGAGEMENTS 2026'!V278),"",'ENGAGEMENTS 2026'!V278)</f>
        <v/>
      </c>
      <c r="L278" s="276">
        <f>IF($K278="","",TODAY()-$K278)</f>
        <v/>
      </c>
      <c r="M278">
        <f>IF($A278="","",IF($H278="ENGAGE","Engagé",IF(AND($H278="NON ENGAGE",OR($I278="INFRUCTUEUX",$I278="ANNULE")),"Clôturé sans suite","En cours")))</f>
        <v/>
      </c>
      <c r="N278">
        <f>IF(ISBLANK('ENGAGEMENTS 2026'!B278),"",'ENGAGEMENTS 2026'!K278)</f>
        <v/>
      </c>
      <c r="O278">
        <f>IF(ISBLANK('ENGAGEMENTS 2026'!B278),"",'ENGAGEMENTS 2026'!L278)</f>
        <v/>
      </c>
      <c r="P278">
        <f>IF(ISBLANK('ENGAGEMENTS 2026'!B278),"",'ENGAGEMENTS 2026'!J278)</f>
        <v/>
      </c>
      <c r="Q278">
        <f>IF($A278="","",IF(OR($E278="INFRUCTUEUX",$E278="ANNULE"),$A278&amp;"|"&amp;(COUNTIFS($A$2:$A278,$A278,$E$2:$E278,"INFRUCTUEUX")+COUNTIFS($A$2:$A278,$A278,$E$2:$E278,"ANNULE")),""))</f>
        <v/>
      </c>
    </row>
    <row r="279">
      <c r="A279">
        <f>IF(ISBLANK('ENGAGEMENTS 2026'!B279),"",IF('ENGAGEMENTS 2026'!B279="DTSI","DCT",'ENGAGEMENTS 2026'!B279))</f>
        <v/>
      </c>
      <c r="B279">
        <f>IF(ISBLANK('ENGAGEMENTS 2026'!B279),"",'ENGAGEMENTS 2026'!C279)</f>
        <v/>
      </c>
      <c r="C279">
        <f>IF(ISBLANK('ENGAGEMENTS 2026'!B279),"",'ENGAGEMENTS 2026'!D279)</f>
        <v/>
      </c>
      <c r="D279">
        <f>IF(ISBLANK('ENGAGEMENTS 2026'!B279),"",'ENGAGEMENTS 2026'!F279)</f>
        <v/>
      </c>
      <c r="E279">
        <f>IF(ISBLANK('ENGAGEMENTS 2026'!B279),"",'ENGAGEMENTS 2026'!H279)</f>
        <v/>
      </c>
      <c r="F279">
        <f>IF(ISBLANK('ENGAGEMENTS 2026'!B279),"",'ENGAGEMENTS 2026'!I279)</f>
        <v/>
      </c>
      <c r="G279">
        <f>IF(ISBLANK('ENGAGEMENTS 2026'!B279),"",'ENGAGEMENTS 2026'!L279)</f>
        <v/>
      </c>
      <c r="H279">
        <f>IF(ISBLANK('ENGAGEMENTS 2026'!B279),"",'ENGAGEMENTS 2026'!AE279)</f>
        <v/>
      </c>
      <c r="I279">
        <f>IF(ISBLANK('ENGAGEMENTS 2026'!B279),"",'ENGAGEMENTS 2026'!G279)</f>
        <v/>
      </c>
      <c r="J279" s="275">
        <f>IF(ISBLANK('ENGAGEMENTS 2026'!B279),"",IF(AND(OR($E279="INFRUCTUEUX",$E279="ANNULE"),$C279="AOO-M"),'ENGAGEMENTS 2026'!O279,IF($H279="EN COURS DE PREENGAGEMENT",'ENGAGEMENTS 2026'!N279,IF($H279="PREENGAGE",IF($E279="ATTRIBUE",'ENGAGEMENTS 2026'!AD279,'ENGAGEMENTS 2026'!N279),'ENGAGEMENTS 2026'!AD279))))</f>
        <v/>
      </c>
      <c r="K279" s="604">
        <f>IF(ISBLANK('ENGAGEMENTS 2026'!V279),"",'ENGAGEMENTS 2026'!V279)</f>
        <v/>
      </c>
      <c r="L279" s="276">
        <f>IF($K279="","",TODAY()-$K279)</f>
        <v/>
      </c>
      <c r="M279">
        <f>IF($A279="","",IF($H279="ENGAGE","Engagé",IF(AND($H279="NON ENGAGE",OR($I279="INFRUCTUEUX",$I279="ANNULE")),"Clôturé sans suite","En cours")))</f>
        <v/>
      </c>
      <c r="N279">
        <f>IF(ISBLANK('ENGAGEMENTS 2026'!B279),"",'ENGAGEMENTS 2026'!K279)</f>
        <v/>
      </c>
      <c r="O279">
        <f>IF(ISBLANK('ENGAGEMENTS 2026'!B279),"",'ENGAGEMENTS 2026'!L279)</f>
        <v/>
      </c>
      <c r="P279">
        <f>IF(ISBLANK('ENGAGEMENTS 2026'!B279),"",'ENGAGEMENTS 2026'!J279)</f>
        <v/>
      </c>
      <c r="Q279">
        <f>IF($A279="","",IF(OR($E279="INFRUCTUEUX",$E279="ANNULE"),$A279&amp;"|"&amp;(COUNTIFS($A$2:$A279,$A279,$E$2:$E279,"INFRUCTUEUX")+COUNTIFS($A$2:$A279,$A279,$E$2:$E279,"ANNULE")),""))</f>
        <v/>
      </c>
    </row>
    <row r="280">
      <c r="A280">
        <f>IF(ISBLANK('ENGAGEMENTS 2026'!B280),"",IF('ENGAGEMENTS 2026'!B280="DTSI","DCT",'ENGAGEMENTS 2026'!B280))</f>
        <v/>
      </c>
      <c r="B280">
        <f>IF(ISBLANK('ENGAGEMENTS 2026'!B280),"",'ENGAGEMENTS 2026'!C280)</f>
        <v/>
      </c>
      <c r="C280">
        <f>IF(ISBLANK('ENGAGEMENTS 2026'!B280),"",'ENGAGEMENTS 2026'!D280)</f>
        <v/>
      </c>
      <c r="D280">
        <f>IF(ISBLANK('ENGAGEMENTS 2026'!B280),"",'ENGAGEMENTS 2026'!F280)</f>
        <v/>
      </c>
      <c r="E280">
        <f>IF(ISBLANK('ENGAGEMENTS 2026'!B280),"",'ENGAGEMENTS 2026'!H280)</f>
        <v/>
      </c>
      <c r="F280">
        <f>IF(ISBLANK('ENGAGEMENTS 2026'!B280),"",'ENGAGEMENTS 2026'!I280)</f>
        <v/>
      </c>
      <c r="G280">
        <f>IF(ISBLANK('ENGAGEMENTS 2026'!B280),"",'ENGAGEMENTS 2026'!L280)</f>
        <v/>
      </c>
      <c r="H280">
        <f>IF(ISBLANK('ENGAGEMENTS 2026'!B280),"",'ENGAGEMENTS 2026'!AE280)</f>
        <v/>
      </c>
      <c r="I280">
        <f>IF(ISBLANK('ENGAGEMENTS 2026'!B280),"",'ENGAGEMENTS 2026'!G280)</f>
        <v/>
      </c>
      <c r="J280" s="275">
        <f>IF(ISBLANK('ENGAGEMENTS 2026'!B280),"",IF(AND(OR($E280="INFRUCTUEUX",$E280="ANNULE"),$C280="AOO-M"),'ENGAGEMENTS 2026'!O280,IF($H280="EN COURS DE PREENGAGEMENT",'ENGAGEMENTS 2026'!N280,IF($H280="PREENGAGE",IF($E280="ATTRIBUE",'ENGAGEMENTS 2026'!AD280,'ENGAGEMENTS 2026'!N280),'ENGAGEMENTS 2026'!AD280))))</f>
        <v/>
      </c>
      <c r="K280" s="604">
        <f>IF(ISBLANK('ENGAGEMENTS 2026'!V280),"",'ENGAGEMENTS 2026'!V280)</f>
        <v/>
      </c>
      <c r="L280" s="276">
        <f>IF($K280="","",TODAY()-$K280)</f>
        <v/>
      </c>
      <c r="M280">
        <f>IF($A280="","",IF($H280="ENGAGE","Engagé",IF(AND($H280="NON ENGAGE",OR($I280="INFRUCTUEUX",$I280="ANNULE")),"Clôturé sans suite","En cours")))</f>
        <v/>
      </c>
      <c r="N280">
        <f>IF(ISBLANK('ENGAGEMENTS 2026'!B280),"",'ENGAGEMENTS 2026'!K280)</f>
        <v/>
      </c>
      <c r="O280">
        <f>IF(ISBLANK('ENGAGEMENTS 2026'!B280),"",'ENGAGEMENTS 2026'!L280)</f>
        <v/>
      </c>
      <c r="P280">
        <f>IF(ISBLANK('ENGAGEMENTS 2026'!B280),"",'ENGAGEMENTS 2026'!J280)</f>
        <v/>
      </c>
      <c r="Q280">
        <f>IF($A280="","",IF(OR($E280="INFRUCTUEUX",$E280="ANNULE"),$A280&amp;"|"&amp;(COUNTIFS($A$2:$A280,$A280,$E$2:$E280,"INFRUCTUEUX")+COUNTIFS($A$2:$A280,$A280,$E$2:$E280,"ANNULE")),""))</f>
        <v/>
      </c>
    </row>
    <row r="281">
      <c r="A281">
        <f>IF(ISBLANK('ENGAGEMENTS 2026'!B281),"",IF('ENGAGEMENTS 2026'!B281="DTSI","DCT",'ENGAGEMENTS 2026'!B281))</f>
        <v/>
      </c>
      <c r="B281">
        <f>IF(ISBLANK('ENGAGEMENTS 2026'!B281),"",'ENGAGEMENTS 2026'!C281)</f>
        <v/>
      </c>
      <c r="C281">
        <f>IF(ISBLANK('ENGAGEMENTS 2026'!B281),"",'ENGAGEMENTS 2026'!D281)</f>
        <v/>
      </c>
      <c r="D281">
        <f>IF(ISBLANK('ENGAGEMENTS 2026'!B281),"",'ENGAGEMENTS 2026'!F281)</f>
        <v/>
      </c>
      <c r="E281">
        <f>IF(ISBLANK('ENGAGEMENTS 2026'!B281),"",'ENGAGEMENTS 2026'!H281)</f>
        <v/>
      </c>
      <c r="F281">
        <f>IF(ISBLANK('ENGAGEMENTS 2026'!B281),"",'ENGAGEMENTS 2026'!I281)</f>
        <v/>
      </c>
      <c r="G281">
        <f>IF(ISBLANK('ENGAGEMENTS 2026'!B281),"",'ENGAGEMENTS 2026'!L281)</f>
        <v/>
      </c>
      <c r="H281">
        <f>IF(ISBLANK('ENGAGEMENTS 2026'!B281),"",'ENGAGEMENTS 2026'!AE281)</f>
        <v/>
      </c>
      <c r="I281">
        <f>IF(ISBLANK('ENGAGEMENTS 2026'!B281),"",'ENGAGEMENTS 2026'!G281)</f>
        <v/>
      </c>
      <c r="J281" s="275">
        <f>IF(ISBLANK('ENGAGEMENTS 2026'!B281),"",IF(AND(OR($E281="INFRUCTUEUX",$E281="ANNULE"),$C281="AOO-M"),'ENGAGEMENTS 2026'!O281,IF($H281="EN COURS DE PREENGAGEMENT",'ENGAGEMENTS 2026'!N281,IF($H281="PREENGAGE",IF($E281="ATTRIBUE",'ENGAGEMENTS 2026'!AD281,'ENGAGEMENTS 2026'!N281),'ENGAGEMENTS 2026'!AD281))))</f>
        <v/>
      </c>
      <c r="K281" s="604">
        <f>IF(ISBLANK('ENGAGEMENTS 2026'!V281),"",'ENGAGEMENTS 2026'!V281)</f>
        <v/>
      </c>
      <c r="L281" s="276">
        <f>IF($K281="","",TODAY()-$K281)</f>
        <v/>
      </c>
      <c r="M281">
        <f>IF($A281="","",IF($H281="ENGAGE","Engagé",IF(AND($H281="NON ENGAGE",OR($I281="INFRUCTUEUX",$I281="ANNULE")),"Clôturé sans suite","En cours")))</f>
        <v/>
      </c>
      <c r="N281">
        <f>IF(ISBLANK('ENGAGEMENTS 2026'!B281),"",'ENGAGEMENTS 2026'!K281)</f>
        <v/>
      </c>
      <c r="O281">
        <f>IF(ISBLANK('ENGAGEMENTS 2026'!B281),"",'ENGAGEMENTS 2026'!L281)</f>
        <v/>
      </c>
      <c r="P281">
        <f>IF(ISBLANK('ENGAGEMENTS 2026'!B281),"",'ENGAGEMENTS 2026'!J281)</f>
        <v/>
      </c>
      <c r="Q281">
        <f>IF($A281="","",IF(OR($E281="INFRUCTUEUX",$E281="ANNULE"),$A281&amp;"|"&amp;(COUNTIFS($A$2:$A281,$A281,$E$2:$E281,"INFRUCTUEUX")+COUNTIFS($A$2:$A281,$A281,$E$2:$E281,"ANNULE")),""))</f>
        <v/>
      </c>
    </row>
    <row r="282">
      <c r="A282">
        <f>IF(ISBLANK('ENGAGEMENTS 2026'!B282),"",IF('ENGAGEMENTS 2026'!B282="DTSI","DCT",'ENGAGEMENTS 2026'!B282))</f>
        <v/>
      </c>
      <c r="B282">
        <f>IF(ISBLANK('ENGAGEMENTS 2026'!B282),"",'ENGAGEMENTS 2026'!C282)</f>
        <v/>
      </c>
      <c r="C282">
        <f>IF(ISBLANK('ENGAGEMENTS 2026'!B282),"",'ENGAGEMENTS 2026'!D282)</f>
        <v/>
      </c>
      <c r="D282">
        <f>IF(ISBLANK('ENGAGEMENTS 2026'!B282),"",'ENGAGEMENTS 2026'!F282)</f>
        <v/>
      </c>
      <c r="E282">
        <f>IF(ISBLANK('ENGAGEMENTS 2026'!B282),"",'ENGAGEMENTS 2026'!H282)</f>
        <v/>
      </c>
      <c r="F282">
        <f>IF(ISBLANK('ENGAGEMENTS 2026'!B282),"",'ENGAGEMENTS 2026'!I282)</f>
        <v/>
      </c>
      <c r="G282">
        <f>IF(ISBLANK('ENGAGEMENTS 2026'!B282),"",'ENGAGEMENTS 2026'!L282)</f>
        <v/>
      </c>
      <c r="H282">
        <f>IF(ISBLANK('ENGAGEMENTS 2026'!B282),"",'ENGAGEMENTS 2026'!AE282)</f>
        <v/>
      </c>
      <c r="I282">
        <f>IF(ISBLANK('ENGAGEMENTS 2026'!B282),"",'ENGAGEMENTS 2026'!G282)</f>
        <v/>
      </c>
      <c r="J282" s="275">
        <f>IF(ISBLANK('ENGAGEMENTS 2026'!B282),"",IF(AND(OR($E282="INFRUCTUEUX",$E282="ANNULE"),$C282="AOO-M"),'ENGAGEMENTS 2026'!O282,IF($H282="EN COURS DE PREENGAGEMENT",'ENGAGEMENTS 2026'!N282,IF($H282="PREENGAGE",IF($E282="ATTRIBUE",'ENGAGEMENTS 2026'!AD282,'ENGAGEMENTS 2026'!N282),'ENGAGEMENTS 2026'!AD282))))</f>
        <v/>
      </c>
      <c r="K282" s="604">
        <f>IF(ISBLANK('ENGAGEMENTS 2026'!V282),"",'ENGAGEMENTS 2026'!V282)</f>
        <v/>
      </c>
      <c r="L282" s="276">
        <f>IF($K282="","",TODAY()-$K282)</f>
        <v/>
      </c>
      <c r="M282">
        <f>IF($A282="","",IF($H282="ENGAGE","Engagé",IF(AND($H282="NON ENGAGE",OR($I282="INFRUCTUEUX",$I282="ANNULE")),"Clôturé sans suite","En cours")))</f>
        <v/>
      </c>
      <c r="N282">
        <f>IF(ISBLANK('ENGAGEMENTS 2026'!B282),"",'ENGAGEMENTS 2026'!K282)</f>
        <v/>
      </c>
      <c r="O282">
        <f>IF(ISBLANK('ENGAGEMENTS 2026'!B282),"",'ENGAGEMENTS 2026'!L282)</f>
        <v/>
      </c>
      <c r="P282">
        <f>IF(ISBLANK('ENGAGEMENTS 2026'!B282),"",'ENGAGEMENTS 2026'!J282)</f>
        <v/>
      </c>
      <c r="Q282">
        <f>IF($A282="","",IF(OR($E282="INFRUCTUEUX",$E282="ANNULE"),$A282&amp;"|"&amp;(COUNTIFS($A$2:$A282,$A282,$E$2:$E282,"INFRUCTUEUX")+COUNTIFS($A$2:$A282,$A282,$E$2:$E282,"ANNULE")),""))</f>
        <v/>
      </c>
    </row>
    <row r="283">
      <c r="A283">
        <f>IF(ISBLANK('ENGAGEMENTS 2026'!B283),"",IF('ENGAGEMENTS 2026'!B283="DTSI","DCT",'ENGAGEMENTS 2026'!B283))</f>
        <v/>
      </c>
      <c r="B283">
        <f>IF(ISBLANK('ENGAGEMENTS 2026'!B283),"",'ENGAGEMENTS 2026'!C283)</f>
        <v/>
      </c>
      <c r="C283">
        <f>IF(ISBLANK('ENGAGEMENTS 2026'!B283),"",'ENGAGEMENTS 2026'!D283)</f>
        <v/>
      </c>
      <c r="D283">
        <f>IF(ISBLANK('ENGAGEMENTS 2026'!B283),"",'ENGAGEMENTS 2026'!F283)</f>
        <v/>
      </c>
      <c r="E283">
        <f>IF(ISBLANK('ENGAGEMENTS 2026'!B283),"",'ENGAGEMENTS 2026'!H283)</f>
        <v/>
      </c>
      <c r="F283">
        <f>IF(ISBLANK('ENGAGEMENTS 2026'!B283),"",'ENGAGEMENTS 2026'!I283)</f>
        <v/>
      </c>
      <c r="G283">
        <f>IF(ISBLANK('ENGAGEMENTS 2026'!B283),"",'ENGAGEMENTS 2026'!L283)</f>
        <v/>
      </c>
      <c r="H283">
        <f>IF(ISBLANK('ENGAGEMENTS 2026'!B283),"",'ENGAGEMENTS 2026'!AE283)</f>
        <v/>
      </c>
      <c r="I283">
        <f>IF(ISBLANK('ENGAGEMENTS 2026'!B283),"",'ENGAGEMENTS 2026'!G283)</f>
        <v/>
      </c>
      <c r="J283" s="275">
        <f>IF(ISBLANK('ENGAGEMENTS 2026'!B283),"",IF(AND(OR($E283="INFRUCTUEUX",$E283="ANNULE"),$C283="AOO-M"),'ENGAGEMENTS 2026'!O283,IF($H283="EN COURS DE PREENGAGEMENT",'ENGAGEMENTS 2026'!N283,IF($H283="PREENGAGE",IF($E283="ATTRIBUE",'ENGAGEMENTS 2026'!AD283,'ENGAGEMENTS 2026'!N283),'ENGAGEMENTS 2026'!AD283))))</f>
        <v/>
      </c>
      <c r="K283" s="604">
        <f>IF(ISBLANK('ENGAGEMENTS 2026'!V283),"",'ENGAGEMENTS 2026'!V283)</f>
        <v/>
      </c>
      <c r="L283" s="276">
        <f>IF($K283="","",TODAY()-$K283)</f>
        <v/>
      </c>
      <c r="M283">
        <f>IF($A283="","",IF($H283="ENGAGE","Engagé",IF(AND($H283="NON ENGAGE",OR($I283="INFRUCTUEUX",$I283="ANNULE")),"Clôturé sans suite","En cours")))</f>
        <v/>
      </c>
      <c r="N283">
        <f>IF(ISBLANK('ENGAGEMENTS 2026'!B283),"",'ENGAGEMENTS 2026'!K283)</f>
        <v/>
      </c>
      <c r="O283">
        <f>IF(ISBLANK('ENGAGEMENTS 2026'!B283),"",'ENGAGEMENTS 2026'!L283)</f>
        <v/>
      </c>
      <c r="P283">
        <f>IF(ISBLANK('ENGAGEMENTS 2026'!B283),"",'ENGAGEMENTS 2026'!J283)</f>
        <v/>
      </c>
      <c r="Q283">
        <f>IF($A283="","",IF(OR($E283="INFRUCTUEUX",$E283="ANNULE"),$A283&amp;"|"&amp;(COUNTIFS($A$2:$A283,$A283,$E$2:$E283,"INFRUCTUEUX")+COUNTIFS($A$2:$A283,$A283,$E$2:$E283,"ANNULE")),""))</f>
        <v/>
      </c>
    </row>
    <row r="284">
      <c r="A284">
        <f>IF(ISBLANK('ENGAGEMENTS 2026'!B284),"",IF('ENGAGEMENTS 2026'!B284="DTSI","DCT",'ENGAGEMENTS 2026'!B284))</f>
        <v/>
      </c>
      <c r="B284">
        <f>IF(ISBLANK('ENGAGEMENTS 2026'!B284),"",'ENGAGEMENTS 2026'!C284)</f>
        <v/>
      </c>
      <c r="C284">
        <f>IF(ISBLANK('ENGAGEMENTS 2026'!B284),"",'ENGAGEMENTS 2026'!D284)</f>
        <v/>
      </c>
      <c r="D284">
        <f>IF(ISBLANK('ENGAGEMENTS 2026'!B284),"",'ENGAGEMENTS 2026'!F284)</f>
        <v/>
      </c>
      <c r="E284">
        <f>IF(ISBLANK('ENGAGEMENTS 2026'!B284),"",'ENGAGEMENTS 2026'!H284)</f>
        <v/>
      </c>
      <c r="F284">
        <f>IF(ISBLANK('ENGAGEMENTS 2026'!B284),"",'ENGAGEMENTS 2026'!I284)</f>
        <v/>
      </c>
      <c r="G284">
        <f>IF(ISBLANK('ENGAGEMENTS 2026'!B284),"",'ENGAGEMENTS 2026'!L284)</f>
        <v/>
      </c>
      <c r="H284">
        <f>IF(ISBLANK('ENGAGEMENTS 2026'!B284),"",'ENGAGEMENTS 2026'!AE284)</f>
        <v/>
      </c>
      <c r="I284">
        <f>IF(ISBLANK('ENGAGEMENTS 2026'!B284),"",'ENGAGEMENTS 2026'!G284)</f>
        <v/>
      </c>
      <c r="J284" s="275">
        <f>IF(ISBLANK('ENGAGEMENTS 2026'!B284),"",IF(AND(OR($E284="INFRUCTUEUX",$E284="ANNULE"),$C284="AOO-M"),'ENGAGEMENTS 2026'!O284,IF($H284="EN COURS DE PREENGAGEMENT",'ENGAGEMENTS 2026'!N284,IF($H284="PREENGAGE",IF($E284="ATTRIBUE",'ENGAGEMENTS 2026'!AD284,'ENGAGEMENTS 2026'!N284),'ENGAGEMENTS 2026'!AD284))))</f>
        <v/>
      </c>
      <c r="K284" s="604">
        <f>IF(ISBLANK('ENGAGEMENTS 2026'!V284),"",'ENGAGEMENTS 2026'!V284)</f>
        <v/>
      </c>
      <c r="L284" s="276">
        <f>IF($K284="","",TODAY()-$K284)</f>
        <v/>
      </c>
      <c r="M284">
        <f>IF($A284="","",IF($H284="ENGAGE","Engagé",IF(AND($H284="NON ENGAGE",OR($I284="INFRUCTUEUX",$I284="ANNULE")),"Clôturé sans suite","En cours")))</f>
        <v/>
      </c>
      <c r="N284">
        <f>IF(ISBLANK('ENGAGEMENTS 2026'!B284),"",'ENGAGEMENTS 2026'!K284)</f>
        <v/>
      </c>
      <c r="O284">
        <f>IF(ISBLANK('ENGAGEMENTS 2026'!B284),"",'ENGAGEMENTS 2026'!L284)</f>
        <v/>
      </c>
      <c r="P284">
        <f>IF(ISBLANK('ENGAGEMENTS 2026'!B284),"",'ENGAGEMENTS 2026'!J284)</f>
        <v/>
      </c>
      <c r="Q284">
        <f>IF($A284="","",IF(OR($E284="INFRUCTUEUX",$E284="ANNULE"),$A284&amp;"|"&amp;(COUNTIFS($A$2:$A284,$A284,$E$2:$E284,"INFRUCTUEUX")+COUNTIFS($A$2:$A284,$A284,$E$2:$E284,"ANNULE")),""))</f>
        <v/>
      </c>
    </row>
    <row r="285">
      <c r="A285">
        <f>IF(ISBLANK('ENGAGEMENTS 2026'!B285),"",IF('ENGAGEMENTS 2026'!B285="DTSI","DCT",'ENGAGEMENTS 2026'!B285))</f>
        <v/>
      </c>
      <c r="B285">
        <f>IF(ISBLANK('ENGAGEMENTS 2026'!B285),"",'ENGAGEMENTS 2026'!C285)</f>
        <v/>
      </c>
      <c r="C285">
        <f>IF(ISBLANK('ENGAGEMENTS 2026'!B285),"",'ENGAGEMENTS 2026'!D285)</f>
        <v/>
      </c>
      <c r="D285">
        <f>IF(ISBLANK('ENGAGEMENTS 2026'!B285),"",'ENGAGEMENTS 2026'!F285)</f>
        <v/>
      </c>
      <c r="E285">
        <f>IF(ISBLANK('ENGAGEMENTS 2026'!B285),"",'ENGAGEMENTS 2026'!H285)</f>
        <v/>
      </c>
      <c r="F285">
        <f>IF(ISBLANK('ENGAGEMENTS 2026'!B285),"",'ENGAGEMENTS 2026'!I285)</f>
        <v/>
      </c>
      <c r="G285">
        <f>IF(ISBLANK('ENGAGEMENTS 2026'!B285),"",'ENGAGEMENTS 2026'!L285)</f>
        <v/>
      </c>
      <c r="H285">
        <f>IF(ISBLANK('ENGAGEMENTS 2026'!B285),"",'ENGAGEMENTS 2026'!AE285)</f>
        <v/>
      </c>
      <c r="I285">
        <f>IF(ISBLANK('ENGAGEMENTS 2026'!B285),"",'ENGAGEMENTS 2026'!G285)</f>
        <v/>
      </c>
      <c r="J285" s="275">
        <f>IF(ISBLANK('ENGAGEMENTS 2026'!B285),"",IF(AND(OR($E285="INFRUCTUEUX",$E285="ANNULE"),$C285="AOO-M"),'ENGAGEMENTS 2026'!O285,IF($H285="EN COURS DE PREENGAGEMENT",'ENGAGEMENTS 2026'!N285,IF($H285="PREENGAGE",IF($E285="ATTRIBUE",'ENGAGEMENTS 2026'!AD285,'ENGAGEMENTS 2026'!N285),'ENGAGEMENTS 2026'!AD285))))</f>
        <v/>
      </c>
      <c r="K285" s="604">
        <f>IF(ISBLANK('ENGAGEMENTS 2026'!V285),"",'ENGAGEMENTS 2026'!V285)</f>
        <v/>
      </c>
      <c r="L285" s="276">
        <f>IF($K285="","",TODAY()-$K285)</f>
        <v/>
      </c>
      <c r="M285">
        <f>IF($A285="","",IF($H285="ENGAGE","Engagé",IF(AND($H285="NON ENGAGE",OR($I285="INFRUCTUEUX",$I285="ANNULE")),"Clôturé sans suite","En cours")))</f>
        <v/>
      </c>
      <c r="N285">
        <f>IF(ISBLANK('ENGAGEMENTS 2026'!B285),"",'ENGAGEMENTS 2026'!K285)</f>
        <v/>
      </c>
      <c r="O285">
        <f>IF(ISBLANK('ENGAGEMENTS 2026'!B285),"",'ENGAGEMENTS 2026'!L285)</f>
        <v/>
      </c>
      <c r="P285">
        <f>IF(ISBLANK('ENGAGEMENTS 2026'!B285),"",'ENGAGEMENTS 2026'!J285)</f>
        <v/>
      </c>
      <c r="Q285">
        <f>IF($A285="","",IF(OR($E285="INFRUCTUEUX",$E285="ANNULE"),$A285&amp;"|"&amp;(COUNTIFS($A$2:$A285,$A285,$E$2:$E285,"INFRUCTUEUX")+COUNTIFS($A$2:$A285,$A285,$E$2:$E285,"ANNULE")),""))</f>
        <v/>
      </c>
    </row>
    <row r="286">
      <c r="A286">
        <f>IF(ISBLANK('ENGAGEMENTS 2026'!B286),"",IF('ENGAGEMENTS 2026'!B286="DTSI","DCT",'ENGAGEMENTS 2026'!B286))</f>
        <v/>
      </c>
      <c r="B286">
        <f>IF(ISBLANK('ENGAGEMENTS 2026'!B286),"",'ENGAGEMENTS 2026'!C286)</f>
        <v/>
      </c>
      <c r="C286">
        <f>IF(ISBLANK('ENGAGEMENTS 2026'!B286),"",'ENGAGEMENTS 2026'!D286)</f>
        <v/>
      </c>
      <c r="D286">
        <f>IF(ISBLANK('ENGAGEMENTS 2026'!B286),"",'ENGAGEMENTS 2026'!F286)</f>
        <v/>
      </c>
      <c r="E286">
        <f>IF(ISBLANK('ENGAGEMENTS 2026'!B286),"",'ENGAGEMENTS 2026'!H286)</f>
        <v/>
      </c>
      <c r="F286">
        <f>IF(ISBLANK('ENGAGEMENTS 2026'!B286),"",'ENGAGEMENTS 2026'!I286)</f>
        <v/>
      </c>
      <c r="G286">
        <f>IF(ISBLANK('ENGAGEMENTS 2026'!B286),"",'ENGAGEMENTS 2026'!L286)</f>
        <v/>
      </c>
      <c r="H286">
        <f>IF(ISBLANK('ENGAGEMENTS 2026'!B286),"",'ENGAGEMENTS 2026'!AE286)</f>
        <v/>
      </c>
      <c r="I286">
        <f>IF(ISBLANK('ENGAGEMENTS 2026'!B286),"",'ENGAGEMENTS 2026'!G286)</f>
        <v/>
      </c>
      <c r="J286" s="275">
        <f>IF(ISBLANK('ENGAGEMENTS 2026'!B286),"",IF(AND(OR($E286="INFRUCTUEUX",$E286="ANNULE"),$C286="AOO-M"),'ENGAGEMENTS 2026'!O286,IF($H286="EN COURS DE PREENGAGEMENT",'ENGAGEMENTS 2026'!N286,IF($H286="PREENGAGE",IF($E286="ATTRIBUE",'ENGAGEMENTS 2026'!AD286,'ENGAGEMENTS 2026'!N286),'ENGAGEMENTS 2026'!AD286))))</f>
        <v/>
      </c>
      <c r="K286" s="604">
        <f>IF(ISBLANK('ENGAGEMENTS 2026'!V286),"",'ENGAGEMENTS 2026'!V286)</f>
        <v/>
      </c>
      <c r="L286" s="276">
        <f>IF($K286="","",TODAY()-$K286)</f>
        <v/>
      </c>
      <c r="M286">
        <f>IF($A286="","",IF($H286="ENGAGE","Engagé",IF(AND($H286="NON ENGAGE",OR($I286="INFRUCTUEUX",$I286="ANNULE")),"Clôturé sans suite","En cours")))</f>
        <v/>
      </c>
      <c r="N286">
        <f>IF(ISBLANK('ENGAGEMENTS 2026'!B286),"",'ENGAGEMENTS 2026'!K286)</f>
        <v/>
      </c>
      <c r="O286">
        <f>IF(ISBLANK('ENGAGEMENTS 2026'!B286),"",'ENGAGEMENTS 2026'!L286)</f>
        <v/>
      </c>
      <c r="P286">
        <f>IF(ISBLANK('ENGAGEMENTS 2026'!B286),"",'ENGAGEMENTS 2026'!J286)</f>
        <v/>
      </c>
      <c r="Q286">
        <f>IF($A286="","",IF(OR($E286="INFRUCTUEUX",$E286="ANNULE"),$A286&amp;"|"&amp;(COUNTIFS($A$2:$A286,$A286,$E$2:$E286,"INFRUCTUEUX")+COUNTIFS($A$2:$A286,$A286,$E$2:$E286,"ANNULE")),""))</f>
        <v/>
      </c>
    </row>
    <row r="287">
      <c r="A287">
        <f>IF(ISBLANK('ENGAGEMENTS 2026'!B287),"",IF('ENGAGEMENTS 2026'!B287="DTSI","DCT",'ENGAGEMENTS 2026'!B287))</f>
        <v/>
      </c>
      <c r="B287">
        <f>IF(ISBLANK('ENGAGEMENTS 2026'!B287),"",'ENGAGEMENTS 2026'!C287)</f>
        <v/>
      </c>
      <c r="C287">
        <f>IF(ISBLANK('ENGAGEMENTS 2026'!B287),"",'ENGAGEMENTS 2026'!D287)</f>
        <v/>
      </c>
      <c r="D287">
        <f>IF(ISBLANK('ENGAGEMENTS 2026'!B287),"",'ENGAGEMENTS 2026'!F287)</f>
        <v/>
      </c>
      <c r="E287">
        <f>IF(ISBLANK('ENGAGEMENTS 2026'!B287),"",'ENGAGEMENTS 2026'!H287)</f>
        <v/>
      </c>
      <c r="F287">
        <f>IF(ISBLANK('ENGAGEMENTS 2026'!B287),"",'ENGAGEMENTS 2026'!I287)</f>
        <v/>
      </c>
      <c r="G287">
        <f>IF(ISBLANK('ENGAGEMENTS 2026'!B287),"",'ENGAGEMENTS 2026'!L287)</f>
        <v/>
      </c>
      <c r="H287">
        <f>IF(ISBLANK('ENGAGEMENTS 2026'!B287),"",'ENGAGEMENTS 2026'!AE287)</f>
        <v/>
      </c>
      <c r="I287">
        <f>IF(ISBLANK('ENGAGEMENTS 2026'!B287),"",'ENGAGEMENTS 2026'!G287)</f>
        <v/>
      </c>
      <c r="J287" s="275">
        <f>IF(ISBLANK('ENGAGEMENTS 2026'!B287),"",IF(AND(OR($E287="INFRUCTUEUX",$E287="ANNULE"),$C287="AOO-M"),'ENGAGEMENTS 2026'!O287,IF($H287="EN COURS DE PREENGAGEMENT",'ENGAGEMENTS 2026'!N287,IF($H287="PREENGAGE",IF($E287="ATTRIBUE",'ENGAGEMENTS 2026'!AD287,'ENGAGEMENTS 2026'!N287),'ENGAGEMENTS 2026'!AD287))))</f>
        <v/>
      </c>
      <c r="K287" s="604">
        <f>IF(ISBLANK('ENGAGEMENTS 2026'!V287),"",'ENGAGEMENTS 2026'!V287)</f>
        <v/>
      </c>
      <c r="L287" s="276">
        <f>IF($K287="","",TODAY()-$K287)</f>
        <v/>
      </c>
      <c r="M287">
        <f>IF($A287="","",IF($H287="ENGAGE","Engagé",IF(AND($H287="NON ENGAGE",OR($I287="INFRUCTUEUX",$I287="ANNULE")),"Clôturé sans suite","En cours")))</f>
        <v/>
      </c>
      <c r="N287">
        <f>IF(ISBLANK('ENGAGEMENTS 2026'!B287),"",'ENGAGEMENTS 2026'!K287)</f>
        <v/>
      </c>
      <c r="O287">
        <f>IF(ISBLANK('ENGAGEMENTS 2026'!B287),"",'ENGAGEMENTS 2026'!L287)</f>
        <v/>
      </c>
      <c r="P287">
        <f>IF(ISBLANK('ENGAGEMENTS 2026'!B287),"",'ENGAGEMENTS 2026'!J287)</f>
        <v/>
      </c>
      <c r="Q287">
        <f>IF($A287="","",IF(OR($E287="INFRUCTUEUX",$E287="ANNULE"),$A287&amp;"|"&amp;(COUNTIFS($A$2:$A287,$A287,$E$2:$E287,"INFRUCTUEUX")+COUNTIFS($A$2:$A287,$A287,$E$2:$E287,"ANNULE")),""))</f>
        <v/>
      </c>
    </row>
    <row r="288">
      <c r="A288">
        <f>IF(ISBLANK('ENGAGEMENTS 2026'!B288),"",IF('ENGAGEMENTS 2026'!B288="DTSI","DCT",'ENGAGEMENTS 2026'!B288))</f>
        <v/>
      </c>
      <c r="B288">
        <f>IF(ISBLANK('ENGAGEMENTS 2026'!B288),"",'ENGAGEMENTS 2026'!C288)</f>
        <v/>
      </c>
      <c r="C288">
        <f>IF(ISBLANK('ENGAGEMENTS 2026'!B288),"",'ENGAGEMENTS 2026'!D288)</f>
        <v/>
      </c>
      <c r="D288">
        <f>IF(ISBLANK('ENGAGEMENTS 2026'!B288),"",'ENGAGEMENTS 2026'!F288)</f>
        <v/>
      </c>
      <c r="E288">
        <f>IF(ISBLANK('ENGAGEMENTS 2026'!B288),"",'ENGAGEMENTS 2026'!H288)</f>
        <v/>
      </c>
      <c r="F288">
        <f>IF(ISBLANK('ENGAGEMENTS 2026'!B288),"",'ENGAGEMENTS 2026'!I288)</f>
        <v/>
      </c>
      <c r="G288">
        <f>IF(ISBLANK('ENGAGEMENTS 2026'!B288),"",'ENGAGEMENTS 2026'!L288)</f>
        <v/>
      </c>
      <c r="H288">
        <f>IF(ISBLANK('ENGAGEMENTS 2026'!B288),"",'ENGAGEMENTS 2026'!AE288)</f>
        <v/>
      </c>
      <c r="I288">
        <f>IF(ISBLANK('ENGAGEMENTS 2026'!B288),"",'ENGAGEMENTS 2026'!G288)</f>
        <v/>
      </c>
      <c r="J288" s="275">
        <f>IF(ISBLANK('ENGAGEMENTS 2026'!B288),"",IF(AND(OR($E288="INFRUCTUEUX",$E288="ANNULE"),$C288="AOO-M"),'ENGAGEMENTS 2026'!O288,IF($H288="EN COURS DE PREENGAGEMENT",'ENGAGEMENTS 2026'!N288,IF($H288="PREENGAGE",IF($E288="ATTRIBUE",'ENGAGEMENTS 2026'!AD288,'ENGAGEMENTS 2026'!N288),'ENGAGEMENTS 2026'!AD288))))</f>
        <v/>
      </c>
      <c r="K288" s="604">
        <f>IF(ISBLANK('ENGAGEMENTS 2026'!V288),"",'ENGAGEMENTS 2026'!V288)</f>
        <v/>
      </c>
      <c r="L288" s="276">
        <f>IF($K288="","",TODAY()-$K288)</f>
        <v/>
      </c>
      <c r="M288">
        <f>IF($A288="","",IF($H288="ENGAGE","Engagé",IF(AND($H288="NON ENGAGE",OR($I288="INFRUCTUEUX",$I288="ANNULE")),"Clôturé sans suite","En cours")))</f>
        <v/>
      </c>
      <c r="N288">
        <f>IF(ISBLANK('ENGAGEMENTS 2026'!B288),"",'ENGAGEMENTS 2026'!K288)</f>
        <v/>
      </c>
      <c r="O288">
        <f>IF(ISBLANK('ENGAGEMENTS 2026'!B288),"",'ENGAGEMENTS 2026'!L288)</f>
        <v/>
      </c>
      <c r="P288">
        <f>IF(ISBLANK('ENGAGEMENTS 2026'!B288),"",'ENGAGEMENTS 2026'!J288)</f>
        <v/>
      </c>
      <c r="Q288">
        <f>IF($A288="","",IF(OR($E288="INFRUCTUEUX",$E288="ANNULE"),$A288&amp;"|"&amp;(COUNTIFS($A$2:$A288,$A288,$E$2:$E288,"INFRUCTUEUX")+COUNTIFS($A$2:$A288,$A288,$E$2:$E288,"ANNULE")),""))</f>
        <v/>
      </c>
    </row>
    <row r="289">
      <c r="A289">
        <f>IF(ISBLANK('ENGAGEMENTS 2026'!B289),"",IF('ENGAGEMENTS 2026'!B289="DTSI","DCT",'ENGAGEMENTS 2026'!B289))</f>
        <v/>
      </c>
      <c r="B289">
        <f>IF(ISBLANK('ENGAGEMENTS 2026'!B289),"",'ENGAGEMENTS 2026'!C289)</f>
        <v/>
      </c>
      <c r="C289">
        <f>IF(ISBLANK('ENGAGEMENTS 2026'!B289),"",'ENGAGEMENTS 2026'!D289)</f>
        <v/>
      </c>
      <c r="D289">
        <f>IF(ISBLANK('ENGAGEMENTS 2026'!B289),"",'ENGAGEMENTS 2026'!F289)</f>
        <v/>
      </c>
      <c r="E289">
        <f>IF(ISBLANK('ENGAGEMENTS 2026'!B289),"",'ENGAGEMENTS 2026'!H289)</f>
        <v/>
      </c>
      <c r="F289">
        <f>IF(ISBLANK('ENGAGEMENTS 2026'!B289),"",'ENGAGEMENTS 2026'!I289)</f>
        <v/>
      </c>
      <c r="G289">
        <f>IF(ISBLANK('ENGAGEMENTS 2026'!B289),"",'ENGAGEMENTS 2026'!L289)</f>
        <v/>
      </c>
      <c r="H289">
        <f>IF(ISBLANK('ENGAGEMENTS 2026'!B289),"",'ENGAGEMENTS 2026'!AE289)</f>
        <v/>
      </c>
      <c r="I289">
        <f>IF(ISBLANK('ENGAGEMENTS 2026'!B289),"",'ENGAGEMENTS 2026'!G289)</f>
        <v/>
      </c>
      <c r="J289" s="275">
        <f>IF(ISBLANK('ENGAGEMENTS 2026'!B289),"",IF(AND(OR($E289="INFRUCTUEUX",$E289="ANNULE"),$C289="AOO-M"),'ENGAGEMENTS 2026'!O289,IF($H289="EN COURS DE PREENGAGEMENT",'ENGAGEMENTS 2026'!N289,IF($H289="PREENGAGE",IF($E289="ATTRIBUE",'ENGAGEMENTS 2026'!AD289,'ENGAGEMENTS 2026'!N289),'ENGAGEMENTS 2026'!AD289))))</f>
        <v/>
      </c>
      <c r="K289" s="604">
        <f>IF(ISBLANK('ENGAGEMENTS 2026'!V289),"",'ENGAGEMENTS 2026'!V289)</f>
        <v/>
      </c>
      <c r="L289" s="276">
        <f>IF($K289="","",TODAY()-$K289)</f>
        <v/>
      </c>
      <c r="M289">
        <f>IF($A289="","",IF($H289="ENGAGE","Engagé",IF(AND($H289="NON ENGAGE",OR($I289="INFRUCTUEUX",$I289="ANNULE")),"Clôturé sans suite","En cours")))</f>
        <v/>
      </c>
      <c r="N289">
        <f>IF(ISBLANK('ENGAGEMENTS 2026'!B289),"",'ENGAGEMENTS 2026'!K289)</f>
        <v/>
      </c>
      <c r="O289">
        <f>IF(ISBLANK('ENGAGEMENTS 2026'!B289),"",'ENGAGEMENTS 2026'!L289)</f>
        <v/>
      </c>
      <c r="P289">
        <f>IF(ISBLANK('ENGAGEMENTS 2026'!B289),"",'ENGAGEMENTS 2026'!J289)</f>
        <v/>
      </c>
      <c r="Q289">
        <f>IF($A289="","",IF(OR($E289="INFRUCTUEUX",$E289="ANNULE"),$A289&amp;"|"&amp;(COUNTIFS($A$2:$A289,$A289,$E$2:$E289,"INFRUCTUEUX")+COUNTIFS($A$2:$A289,$A289,$E$2:$E289,"ANNULE")),""))</f>
        <v/>
      </c>
    </row>
    <row r="290">
      <c r="A290">
        <f>IF(ISBLANK('ENGAGEMENTS 2026'!B290),"",IF('ENGAGEMENTS 2026'!B290="DTSI","DCT",'ENGAGEMENTS 2026'!B290))</f>
        <v/>
      </c>
      <c r="B290">
        <f>IF(ISBLANK('ENGAGEMENTS 2026'!B290),"",'ENGAGEMENTS 2026'!C290)</f>
        <v/>
      </c>
      <c r="C290">
        <f>IF(ISBLANK('ENGAGEMENTS 2026'!B290),"",'ENGAGEMENTS 2026'!D290)</f>
        <v/>
      </c>
      <c r="D290">
        <f>IF(ISBLANK('ENGAGEMENTS 2026'!B290),"",'ENGAGEMENTS 2026'!F290)</f>
        <v/>
      </c>
      <c r="E290">
        <f>IF(ISBLANK('ENGAGEMENTS 2026'!B290),"",'ENGAGEMENTS 2026'!H290)</f>
        <v/>
      </c>
      <c r="F290">
        <f>IF(ISBLANK('ENGAGEMENTS 2026'!B290),"",'ENGAGEMENTS 2026'!I290)</f>
        <v/>
      </c>
      <c r="G290">
        <f>IF(ISBLANK('ENGAGEMENTS 2026'!B290),"",'ENGAGEMENTS 2026'!L290)</f>
        <v/>
      </c>
      <c r="H290">
        <f>IF(ISBLANK('ENGAGEMENTS 2026'!B290),"",'ENGAGEMENTS 2026'!AE290)</f>
        <v/>
      </c>
      <c r="I290">
        <f>IF(ISBLANK('ENGAGEMENTS 2026'!B290),"",'ENGAGEMENTS 2026'!G290)</f>
        <v/>
      </c>
      <c r="J290" s="275">
        <f>IF(ISBLANK('ENGAGEMENTS 2026'!B290),"",IF(AND(OR($E290="INFRUCTUEUX",$E290="ANNULE"),$C290="AOO-M"),'ENGAGEMENTS 2026'!O290,IF($H290="EN COURS DE PREENGAGEMENT",'ENGAGEMENTS 2026'!N290,IF($H290="PREENGAGE",IF($E290="ATTRIBUE",'ENGAGEMENTS 2026'!AD290,'ENGAGEMENTS 2026'!N290),'ENGAGEMENTS 2026'!AD290))))</f>
        <v/>
      </c>
      <c r="K290" s="604">
        <f>IF(ISBLANK('ENGAGEMENTS 2026'!V290),"",'ENGAGEMENTS 2026'!V290)</f>
        <v/>
      </c>
      <c r="L290" s="276">
        <f>IF($K290="","",TODAY()-$K290)</f>
        <v/>
      </c>
      <c r="M290">
        <f>IF($A290="","",IF($H290="ENGAGE","Engagé",IF(AND($H290="NON ENGAGE",OR($I290="INFRUCTUEUX",$I290="ANNULE")),"Clôturé sans suite","En cours")))</f>
        <v/>
      </c>
      <c r="N290">
        <f>IF(ISBLANK('ENGAGEMENTS 2026'!B290),"",'ENGAGEMENTS 2026'!K290)</f>
        <v/>
      </c>
      <c r="O290">
        <f>IF(ISBLANK('ENGAGEMENTS 2026'!B290),"",'ENGAGEMENTS 2026'!L290)</f>
        <v/>
      </c>
      <c r="P290">
        <f>IF(ISBLANK('ENGAGEMENTS 2026'!B290),"",'ENGAGEMENTS 2026'!J290)</f>
        <v/>
      </c>
      <c r="Q290">
        <f>IF($A290="","",IF(OR($E290="INFRUCTUEUX",$E290="ANNULE"),$A290&amp;"|"&amp;(COUNTIFS($A$2:$A290,$A290,$E$2:$E290,"INFRUCTUEUX")+COUNTIFS($A$2:$A290,$A290,$E$2:$E290,"ANNULE")),""))</f>
        <v/>
      </c>
    </row>
    <row r="291">
      <c r="A291">
        <f>IF(ISBLANK('ENGAGEMENTS 2026'!B291),"",IF('ENGAGEMENTS 2026'!B291="DTSI","DCT",'ENGAGEMENTS 2026'!B291))</f>
        <v/>
      </c>
      <c r="B291">
        <f>IF(ISBLANK('ENGAGEMENTS 2026'!B291),"",'ENGAGEMENTS 2026'!C291)</f>
        <v/>
      </c>
      <c r="C291">
        <f>IF(ISBLANK('ENGAGEMENTS 2026'!B291),"",'ENGAGEMENTS 2026'!D291)</f>
        <v/>
      </c>
      <c r="D291">
        <f>IF(ISBLANK('ENGAGEMENTS 2026'!B291),"",'ENGAGEMENTS 2026'!F291)</f>
        <v/>
      </c>
      <c r="E291">
        <f>IF(ISBLANK('ENGAGEMENTS 2026'!B291),"",'ENGAGEMENTS 2026'!H291)</f>
        <v/>
      </c>
      <c r="F291">
        <f>IF(ISBLANK('ENGAGEMENTS 2026'!B291),"",'ENGAGEMENTS 2026'!I291)</f>
        <v/>
      </c>
      <c r="G291">
        <f>IF(ISBLANK('ENGAGEMENTS 2026'!B291),"",'ENGAGEMENTS 2026'!L291)</f>
        <v/>
      </c>
      <c r="H291">
        <f>IF(ISBLANK('ENGAGEMENTS 2026'!B291),"",'ENGAGEMENTS 2026'!AE291)</f>
        <v/>
      </c>
      <c r="I291">
        <f>IF(ISBLANK('ENGAGEMENTS 2026'!B291),"",'ENGAGEMENTS 2026'!G291)</f>
        <v/>
      </c>
      <c r="J291" s="275">
        <f>IF(ISBLANK('ENGAGEMENTS 2026'!B291),"",IF(AND(OR($E291="INFRUCTUEUX",$E291="ANNULE"),$C291="AOO-M"),'ENGAGEMENTS 2026'!O291,IF($H291="EN COURS DE PREENGAGEMENT",'ENGAGEMENTS 2026'!N291,IF($H291="PREENGAGE",IF($E291="ATTRIBUE",'ENGAGEMENTS 2026'!AD291,'ENGAGEMENTS 2026'!N291),'ENGAGEMENTS 2026'!AD291))))</f>
        <v/>
      </c>
      <c r="K291" s="604">
        <f>IF(ISBLANK('ENGAGEMENTS 2026'!V291),"",'ENGAGEMENTS 2026'!V291)</f>
        <v/>
      </c>
      <c r="L291" s="276">
        <f>IF($K291="","",TODAY()-$K291)</f>
        <v/>
      </c>
      <c r="M291">
        <f>IF($A291="","",IF($H291="ENGAGE","Engagé",IF(AND($H291="NON ENGAGE",OR($I291="INFRUCTUEUX",$I291="ANNULE")),"Clôturé sans suite","En cours")))</f>
        <v/>
      </c>
      <c r="N291">
        <f>IF(ISBLANK('ENGAGEMENTS 2026'!B291),"",'ENGAGEMENTS 2026'!K291)</f>
        <v/>
      </c>
      <c r="O291">
        <f>IF(ISBLANK('ENGAGEMENTS 2026'!B291),"",'ENGAGEMENTS 2026'!L291)</f>
        <v/>
      </c>
      <c r="P291">
        <f>IF(ISBLANK('ENGAGEMENTS 2026'!B291),"",'ENGAGEMENTS 2026'!J291)</f>
        <v/>
      </c>
      <c r="Q291">
        <f>IF($A291="","",IF(OR($E291="INFRUCTUEUX",$E291="ANNULE"),$A291&amp;"|"&amp;(COUNTIFS($A$2:$A291,$A291,$E$2:$E291,"INFRUCTUEUX")+COUNTIFS($A$2:$A291,$A291,$E$2:$E291,"ANNULE")),""))</f>
        <v/>
      </c>
    </row>
    <row r="292">
      <c r="A292">
        <f>IF(ISBLANK('ENGAGEMENTS 2026'!B292),"",IF('ENGAGEMENTS 2026'!B292="DTSI","DCT",'ENGAGEMENTS 2026'!B292))</f>
        <v/>
      </c>
      <c r="B292">
        <f>IF(ISBLANK('ENGAGEMENTS 2026'!B292),"",'ENGAGEMENTS 2026'!C292)</f>
        <v/>
      </c>
      <c r="C292">
        <f>IF(ISBLANK('ENGAGEMENTS 2026'!B292),"",'ENGAGEMENTS 2026'!D292)</f>
        <v/>
      </c>
      <c r="D292">
        <f>IF(ISBLANK('ENGAGEMENTS 2026'!B292),"",'ENGAGEMENTS 2026'!F292)</f>
        <v/>
      </c>
      <c r="E292">
        <f>IF(ISBLANK('ENGAGEMENTS 2026'!B292),"",'ENGAGEMENTS 2026'!H292)</f>
        <v/>
      </c>
      <c r="F292">
        <f>IF(ISBLANK('ENGAGEMENTS 2026'!B292),"",'ENGAGEMENTS 2026'!I292)</f>
        <v/>
      </c>
      <c r="G292">
        <f>IF(ISBLANK('ENGAGEMENTS 2026'!B292),"",'ENGAGEMENTS 2026'!L292)</f>
        <v/>
      </c>
      <c r="H292">
        <f>IF(ISBLANK('ENGAGEMENTS 2026'!B292),"",'ENGAGEMENTS 2026'!AE292)</f>
        <v/>
      </c>
      <c r="I292">
        <f>IF(ISBLANK('ENGAGEMENTS 2026'!B292),"",'ENGAGEMENTS 2026'!G292)</f>
        <v/>
      </c>
      <c r="J292" s="275">
        <f>IF(ISBLANK('ENGAGEMENTS 2026'!B292),"",IF(AND(OR($E292="INFRUCTUEUX",$E292="ANNULE"),$C292="AOO-M"),'ENGAGEMENTS 2026'!O292,IF($H292="EN COURS DE PREENGAGEMENT",'ENGAGEMENTS 2026'!N292,IF($H292="PREENGAGE",IF($E292="ATTRIBUE",'ENGAGEMENTS 2026'!AD292,'ENGAGEMENTS 2026'!N292),'ENGAGEMENTS 2026'!AD292))))</f>
        <v/>
      </c>
      <c r="K292" s="604">
        <f>IF(ISBLANK('ENGAGEMENTS 2026'!V292),"",'ENGAGEMENTS 2026'!V292)</f>
        <v/>
      </c>
      <c r="L292" s="276">
        <f>IF($K292="","",TODAY()-$K292)</f>
        <v/>
      </c>
      <c r="M292">
        <f>IF($A292="","",IF($H292="ENGAGE","Engagé",IF(AND($H292="NON ENGAGE",OR($I292="INFRUCTUEUX",$I292="ANNULE")),"Clôturé sans suite","En cours")))</f>
        <v/>
      </c>
      <c r="N292">
        <f>IF(ISBLANK('ENGAGEMENTS 2026'!B292),"",'ENGAGEMENTS 2026'!K292)</f>
        <v/>
      </c>
      <c r="O292">
        <f>IF(ISBLANK('ENGAGEMENTS 2026'!B292),"",'ENGAGEMENTS 2026'!L292)</f>
        <v/>
      </c>
      <c r="P292">
        <f>IF(ISBLANK('ENGAGEMENTS 2026'!B292),"",'ENGAGEMENTS 2026'!J292)</f>
        <v/>
      </c>
      <c r="Q292">
        <f>IF($A292="","",IF(OR($E292="INFRUCTUEUX",$E292="ANNULE"),$A292&amp;"|"&amp;(COUNTIFS($A$2:$A292,$A292,$E$2:$E292,"INFRUCTUEUX")+COUNTIFS($A$2:$A292,$A292,$E$2:$E292,"ANNULE")),""))</f>
        <v/>
      </c>
    </row>
    <row r="293">
      <c r="A293">
        <f>IF(ISBLANK('ENGAGEMENTS 2026'!B293),"",IF('ENGAGEMENTS 2026'!B293="DTSI","DCT",'ENGAGEMENTS 2026'!B293))</f>
        <v/>
      </c>
      <c r="B293">
        <f>IF(ISBLANK('ENGAGEMENTS 2026'!B293),"",'ENGAGEMENTS 2026'!C293)</f>
        <v/>
      </c>
      <c r="C293">
        <f>IF(ISBLANK('ENGAGEMENTS 2026'!B293),"",'ENGAGEMENTS 2026'!D293)</f>
        <v/>
      </c>
      <c r="D293">
        <f>IF(ISBLANK('ENGAGEMENTS 2026'!B293),"",'ENGAGEMENTS 2026'!F293)</f>
        <v/>
      </c>
      <c r="E293">
        <f>IF(ISBLANK('ENGAGEMENTS 2026'!B293),"",'ENGAGEMENTS 2026'!H293)</f>
        <v/>
      </c>
      <c r="F293">
        <f>IF(ISBLANK('ENGAGEMENTS 2026'!B293),"",'ENGAGEMENTS 2026'!I293)</f>
        <v/>
      </c>
      <c r="G293">
        <f>IF(ISBLANK('ENGAGEMENTS 2026'!B293),"",'ENGAGEMENTS 2026'!L293)</f>
        <v/>
      </c>
      <c r="H293">
        <f>IF(ISBLANK('ENGAGEMENTS 2026'!B293),"",'ENGAGEMENTS 2026'!AE293)</f>
        <v/>
      </c>
      <c r="I293">
        <f>IF(ISBLANK('ENGAGEMENTS 2026'!B293),"",'ENGAGEMENTS 2026'!G293)</f>
        <v/>
      </c>
      <c r="J293" s="275">
        <f>IF(ISBLANK('ENGAGEMENTS 2026'!B293),"",IF(AND(OR($E293="INFRUCTUEUX",$E293="ANNULE"),$C293="AOO-M"),'ENGAGEMENTS 2026'!O293,IF($H293="EN COURS DE PREENGAGEMENT",'ENGAGEMENTS 2026'!N293,IF($H293="PREENGAGE",IF($E293="ATTRIBUE",'ENGAGEMENTS 2026'!AD293,'ENGAGEMENTS 2026'!N293),'ENGAGEMENTS 2026'!AD293))))</f>
        <v/>
      </c>
      <c r="K293" s="604">
        <f>IF(ISBLANK('ENGAGEMENTS 2026'!V293),"",'ENGAGEMENTS 2026'!V293)</f>
        <v/>
      </c>
      <c r="L293" s="276">
        <f>IF($K293="","",TODAY()-$K293)</f>
        <v/>
      </c>
      <c r="M293">
        <f>IF($A293="","",IF($H293="ENGAGE","Engagé",IF(AND($H293="NON ENGAGE",OR($I293="INFRUCTUEUX",$I293="ANNULE")),"Clôturé sans suite","En cours")))</f>
        <v/>
      </c>
      <c r="N293">
        <f>IF(ISBLANK('ENGAGEMENTS 2026'!B293),"",'ENGAGEMENTS 2026'!K293)</f>
        <v/>
      </c>
      <c r="O293">
        <f>IF(ISBLANK('ENGAGEMENTS 2026'!B293),"",'ENGAGEMENTS 2026'!L293)</f>
        <v/>
      </c>
      <c r="P293">
        <f>IF(ISBLANK('ENGAGEMENTS 2026'!B293),"",'ENGAGEMENTS 2026'!J293)</f>
        <v/>
      </c>
      <c r="Q293">
        <f>IF($A293="","",IF(OR($E293="INFRUCTUEUX",$E293="ANNULE"),$A293&amp;"|"&amp;(COUNTIFS($A$2:$A293,$A293,$E$2:$E293,"INFRUCTUEUX")+COUNTIFS($A$2:$A293,$A293,$E$2:$E293,"ANNULE")),""))</f>
        <v/>
      </c>
    </row>
    <row r="294">
      <c r="A294">
        <f>IF(ISBLANK('ENGAGEMENTS 2026'!B294),"",IF('ENGAGEMENTS 2026'!B294="DTSI","DCT",'ENGAGEMENTS 2026'!B294))</f>
        <v/>
      </c>
      <c r="B294">
        <f>IF(ISBLANK('ENGAGEMENTS 2026'!B294),"",'ENGAGEMENTS 2026'!C294)</f>
        <v/>
      </c>
      <c r="C294">
        <f>IF(ISBLANK('ENGAGEMENTS 2026'!B294),"",'ENGAGEMENTS 2026'!D294)</f>
        <v/>
      </c>
      <c r="D294">
        <f>IF(ISBLANK('ENGAGEMENTS 2026'!B294),"",'ENGAGEMENTS 2026'!F294)</f>
        <v/>
      </c>
      <c r="E294">
        <f>IF(ISBLANK('ENGAGEMENTS 2026'!B294),"",'ENGAGEMENTS 2026'!H294)</f>
        <v/>
      </c>
      <c r="F294">
        <f>IF(ISBLANK('ENGAGEMENTS 2026'!B294),"",'ENGAGEMENTS 2026'!I294)</f>
        <v/>
      </c>
      <c r="G294">
        <f>IF(ISBLANK('ENGAGEMENTS 2026'!B294),"",'ENGAGEMENTS 2026'!L294)</f>
        <v/>
      </c>
      <c r="H294">
        <f>IF(ISBLANK('ENGAGEMENTS 2026'!B294),"",'ENGAGEMENTS 2026'!AE294)</f>
        <v/>
      </c>
      <c r="I294">
        <f>IF(ISBLANK('ENGAGEMENTS 2026'!B294),"",'ENGAGEMENTS 2026'!G294)</f>
        <v/>
      </c>
      <c r="J294" s="275">
        <f>IF(ISBLANK('ENGAGEMENTS 2026'!B294),"",IF(AND(OR($E294="INFRUCTUEUX",$E294="ANNULE"),$C294="AOO-M"),'ENGAGEMENTS 2026'!O294,IF($H294="EN COURS DE PREENGAGEMENT",'ENGAGEMENTS 2026'!N294,IF($H294="PREENGAGE",IF($E294="ATTRIBUE",'ENGAGEMENTS 2026'!AD294,'ENGAGEMENTS 2026'!N294),'ENGAGEMENTS 2026'!AD294))))</f>
        <v/>
      </c>
      <c r="K294" s="604">
        <f>IF(ISBLANK('ENGAGEMENTS 2026'!V294),"",'ENGAGEMENTS 2026'!V294)</f>
        <v/>
      </c>
      <c r="L294" s="276">
        <f>IF($K294="","",TODAY()-$K294)</f>
        <v/>
      </c>
      <c r="M294">
        <f>IF($A294="","",IF($H294="ENGAGE","Engagé",IF(AND($H294="NON ENGAGE",OR($I294="INFRUCTUEUX",$I294="ANNULE")),"Clôturé sans suite","En cours")))</f>
        <v/>
      </c>
      <c r="N294">
        <f>IF(ISBLANK('ENGAGEMENTS 2026'!B294),"",'ENGAGEMENTS 2026'!K294)</f>
        <v/>
      </c>
      <c r="O294">
        <f>IF(ISBLANK('ENGAGEMENTS 2026'!B294),"",'ENGAGEMENTS 2026'!L294)</f>
        <v/>
      </c>
      <c r="P294">
        <f>IF(ISBLANK('ENGAGEMENTS 2026'!B294),"",'ENGAGEMENTS 2026'!J294)</f>
        <v/>
      </c>
      <c r="Q294">
        <f>IF($A294="","",IF(OR($E294="INFRUCTUEUX",$E294="ANNULE"),$A294&amp;"|"&amp;(COUNTIFS($A$2:$A294,$A294,$E$2:$E294,"INFRUCTUEUX")+COUNTIFS($A$2:$A294,$A294,$E$2:$E294,"ANNULE")),""))</f>
        <v/>
      </c>
    </row>
    <row r="295">
      <c r="A295">
        <f>IF(ISBLANK('ENGAGEMENTS 2026'!B295),"",IF('ENGAGEMENTS 2026'!B295="DTSI","DCT",'ENGAGEMENTS 2026'!B295))</f>
        <v/>
      </c>
      <c r="B295">
        <f>IF(ISBLANK('ENGAGEMENTS 2026'!B295),"",'ENGAGEMENTS 2026'!C295)</f>
        <v/>
      </c>
      <c r="C295">
        <f>IF(ISBLANK('ENGAGEMENTS 2026'!B295),"",'ENGAGEMENTS 2026'!D295)</f>
        <v/>
      </c>
      <c r="D295">
        <f>IF(ISBLANK('ENGAGEMENTS 2026'!B295),"",'ENGAGEMENTS 2026'!F295)</f>
        <v/>
      </c>
      <c r="E295">
        <f>IF(ISBLANK('ENGAGEMENTS 2026'!B295),"",'ENGAGEMENTS 2026'!H295)</f>
        <v/>
      </c>
      <c r="F295">
        <f>IF(ISBLANK('ENGAGEMENTS 2026'!B295),"",'ENGAGEMENTS 2026'!I295)</f>
        <v/>
      </c>
      <c r="G295">
        <f>IF(ISBLANK('ENGAGEMENTS 2026'!B295),"",'ENGAGEMENTS 2026'!L295)</f>
        <v/>
      </c>
      <c r="H295">
        <f>IF(ISBLANK('ENGAGEMENTS 2026'!B295),"",'ENGAGEMENTS 2026'!AE295)</f>
        <v/>
      </c>
      <c r="I295">
        <f>IF(ISBLANK('ENGAGEMENTS 2026'!B295),"",'ENGAGEMENTS 2026'!G295)</f>
        <v/>
      </c>
      <c r="J295" s="275">
        <f>IF(ISBLANK('ENGAGEMENTS 2026'!B295),"",IF(AND(OR($E295="INFRUCTUEUX",$E295="ANNULE"),$C295="AOO-M"),'ENGAGEMENTS 2026'!O295,IF($H295="EN COURS DE PREENGAGEMENT",'ENGAGEMENTS 2026'!N295,IF($H295="PREENGAGE",IF($E295="ATTRIBUE",'ENGAGEMENTS 2026'!AD295,'ENGAGEMENTS 2026'!N295),'ENGAGEMENTS 2026'!AD295))))</f>
        <v/>
      </c>
      <c r="K295" s="604">
        <f>IF(ISBLANK('ENGAGEMENTS 2026'!V295),"",'ENGAGEMENTS 2026'!V295)</f>
        <v/>
      </c>
      <c r="L295" s="276">
        <f>IF($K295="","",TODAY()-$K295)</f>
        <v/>
      </c>
      <c r="M295">
        <f>IF($A295="","",IF($H295="ENGAGE","Engagé",IF(AND($H295="NON ENGAGE",OR($I295="INFRUCTUEUX",$I295="ANNULE")),"Clôturé sans suite","En cours")))</f>
        <v/>
      </c>
      <c r="N295">
        <f>IF(ISBLANK('ENGAGEMENTS 2026'!B295),"",'ENGAGEMENTS 2026'!K295)</f>
        <v/>
      </c>
      <c r="O295">
        <f>IF(ISBLANK('ENGAGEMENTS 2026'!B295),"",'ENGAGEMENTS 2026'!L295)</f>
        <v/>
      </c>
      <c r="P295">
        <f>IF(ISBLANK('ENGAGEMENTS 2026'!B295),"",'ENGAGEMENTS 2026'!J295)</f>
        <v/>
      </c>
      <c r="Q295">
        <f>IF($A295="","",IF(OR($E295="INFRUCTUEUX",$E295="ANNULE"),$A295&amp;"|"&amp;(COUNTIFS($A$2:$A295,$A295,$E$2:$E295,"INFRUCTUEUX")+COUNTIFS($A$2:$A295,$A295,$E$2:$E295,"ANNULE")),""))</f>
        <v/>
      </c>
    </row>
    <row r="296">
      <c r="A296">
        <f>IF(ISBLANK('ENGAGEMENTS 2026'!B296),"",IF('ENGAGEMENTS 2026'!B296="DTSI","DCT",'ENGAGEMENTS 2026'!B296))</f>
        <v/>
      </c>
      <c r="B296">
        <f>IF(ISBLANK('ENGAGEMENTS 2026'!B296),"",'ENGAGEMENTS 2026'!C296)</f>
        <v/>
      </c>
      <c r="C296">
        <f>IF(ISBLANK('ENGAGEMENTS 2026'!B296),"",'ENGAGEMENTS 2026'!D296)</f>
        <v/>
      </c>
      <c r="D296">
        <f>IF(ISBLANK('ENGAGEMENTS 2026'!B296),"",'ENGAGEMENTS 2026'!F296)</f>
        <v/>
      </c>
      <c r="E296">
        <f>IF(ISBLANK('ENGAGEMENTS 2026'!B296),"",'ENGAGEMENTS 2026'!H296)</f>
        <v/>
      </c>
      <c r="F296">
        <f>IF(ISBLANK('ENGAGEMENTS 2026'!B296),"",'ENGAGEMENTS 2026'!I296)</f>
        <v/>
      </c>
      <c r="G296">
        <f>IF(ISBLANK('ENGAGEMENTS 2026'!B296),"",'ENGAGEMENTS 2026'!L296)</f>
        <v/>
      </c>
      <c r="H296">
        <f>IF(ISBLANK('ENGAGEMENTS 2026'!B296),"",'ENGAGEMENTS 2026'!AE296)</f>
        <v/>
      </c>
      <c r="I296">
        <f>IF(ISBLANK('ENGAGEMENTS 2026'!B296),"",'ENGAGEMENTS 2026'!G296)</f>
        <v/>
      </c>
      <c r="J296" s="275">
        <f>IF(ISBLANK('ENGAGEMENTS 2026'!B296),"",IF(AND(OR($E296="INFRUCTUEUX",$E296="ANNULE"),$C296="AOO-M"),'ENGAGEMENTS 2026'!O296,IF($H296="EN COURS DE PREENGAGEMENT",'ENGAGEMENTS 2026'!N296,IF($H296="PREENGAGE",IF($E296="ATTRIBUE",'ENGAGEMENTS 2026'!AD296,'ENGAGEMENTS 2026'!N296),'ENGAGEMENTS 2026'!AD296))))</f>
        <v/>
      </c>
      <c r="K296" s="604">
        <f>IF(ISBLANK('ENGAGEMENTS 2026'!V296),"",'ENGAGEMENTS 2026'!V296)</f>
        <v/>
      </c>
      <c r="L296" s="276">
        <f>IF($K296="","",TODAY()-$K296)</f>
        <v/>
      </c>
      <c r="M296">
        <f>IF($A296="","",IF($H296="ENGAGE","Engagé",IF(AND($H296="NON ENGAGE",OR($I296="INFRUCTUEUX",$I296="ANNULE")),"Clôturé sans suite","En cours")))</f>
        <v/>
      </c>
      <c r="N296">
        <f>IF(ISBLANK('ENGAGEMENTS 2026'!B296),"",'ENGAGEMENTS 2026'!K296)</f>
        <v/>
      </c>
      <c r="O296">
        <f>IF(ISBLANK('ENGAGEMENTS 2026'!B296),"",'ENGAGEMENTS 2026'!L296)</f>
        <v/>
      </c>
      <c r="P296">
        <f>IF(ISBLANK('ENGAGEMENTS 2026'!B296),"",'ENGAGEMENTS 2026'!J296)</f>
        <v/>
      </c>
      <c r="Q296">
        <f>IF($A296="","",IF(OR($E296="INFRUCTUEUX",$E296="ANNULE"),$A296&amp;"|"&amp;(COUNTIFS($A$2:$A296,$A296,$E$2:$E296,"INFRUCTUEUX")+COUNTIFS($A$2:$A296,$A296,$E$2:$E296,"ANNULE")),""))</f>
        <v/>
      </c>
    </row>
    <row r="297">
      <c r="A297">
        <f>IF(ISBLANK('ENGAGEMENTS 2026'!B297),"",IF('ENGAGEMENTS 2026'!B297="DTSI","DCT",'ENGAGEMENTS 2026'!B297))</f>
        <v/>
      </c>
      <c r="B297">
        <f>IF(ISBLANK('ENGAGEMENTS 2026'!B297),"",'ENGAGEMENTS 2026'!C297)</f>
        <v/>
      </c>
      <c r="C297">
        <f>IF(ISBLANK('ENGAGEMENTS 2026'!B297),"",'ENGAGEMENTS 2026'!D297)</f>
        <v/>
      </c>
      <c r="D297">
        <f>IF(ISBLANK('ENGAGEMENTS 2026'!B297),"",'ENGAGEMENTS 2026'!F297)</f>
        <v/>
      </c>
      <c r="E297">
        <f>IF(ISBLANK('ENGAGEMENTS 2026'!B297),"",'ENGAGEMENTS 2026'!H297)</f>
        <v/>
      </c>
      <c r="F297">
        <f>IF(ISBLANK('ENGAGEMENTS 2026'!B297),"",'ENGAGEMENTS 2026'!I297)</f>
        <v/>
      </c>
      <c r="G297">
        <f>IF(ISBLANK('ENGAGEMENTS 2026'!B297),"",'ENGAGEMENTS 2026'!L297)</f>
        <v/>
      </c>
      <c r="H297">
        <f>IF(ISBLANK('ENGAGEMENTS 2026'!B297),"",'ENGAGEMENTS 2026'!AE297)</f>
        <v/>
      </c>
      <c r="I297">
        <f>IF(ISBLANK('ENGAGEMENTS 2026'!B297),"",'ENGAGEMENTS 2026'!G297)</f>
        <v/>
      </c>
      <c r="J297" s="275">
        <f>IF(ISBLANK('ENGAGEMENTS 2026'!B297),"",IF(AND(OR($E297="INFRUCTUEUX",$E297="ANNULE"),$C297="AOO-M"),'ENGAGEMENTS 2026'!O297,IF($H297="EN COURS DE PREENGAGEMENT",'ENGAGEMENTS 2026'!N297,IF($H297="PREENGAGE",IF($E297="ATTRIBUE",'ENGAGEMENTS 2026'!AD297,'ENGAGEMENTS 2026'!N297),'ENGAGEMENTS 2026'!AD297))))</f>
        <v/>
      </c>
      <c r="K297" s="604">
        <f>IF(ISBLANK('ENGAGEMENTS 2026'!V297),"",'ENGAGEMENTS 2026'!V297)</f>
        <v/>
      </c>
      <c r="L297" s="276">
        <f>IF($K297="","",TODAY()-$K297)</f>
        <v/>
      </c>
      <c r="M297">
        <f>IF($A297="","",IF($H297="ENGAGE","Engagé",IF(AND($H297="NON ENGAGE",OR($I297="INFRUCTUEUX",$I297="ANNULE")),"Clôturé sans suite","En cours")))</f>
        <v/>
      </c>
      <c r="N297">
        <f>IF(ISBLANK('ENGAGEMENTS 2026'!B297),"",'ENGAGEMENTS 2026'!K297)</f>
        <v/>
      </c>
      <c r="O297">
        <f>IF(ISBLANK('ENGAGEMENTS 2026'!B297),"",'ENGAGEMENTS 2026'!L297)</f>
        <v/>
      </c>
      <c r="P297">
        <f>IF(ISBLANK('ENGAGEMENTS 2026'!B297),"",'ENGAGEMENTS 2026'!J297)</f>
        <v/>
      </c>
      <c r="Q297">
        <f>IF($A297="","",IF(OR($E297="INFRUCTUEUX",$E297="ANNULE"),$A297&amp;"|"&amp;(COUNTIFS($A$2:$A297,$A297,$E$2:$E297,"INFRUCTUEUX")+COUNTIFS($A$2:$A297,$A297,$E$2:$E297,"ANNULE")),""))</f>
        <v/>
      </c>
    </row>
    <row r="298">
      <c r="A298">
        <f>IF(ISBLANK('ENGAGEMENTS 2026'!B298),"",IF('ENGAGEMENTS 2026'!B298="DTSI","DCT",'ENGAGEMENTS 2026'!B298))</f>
        <v/>
      </c>
      <c r="B298">
        <f>IF(ISBLANK('ENGAGEMENTS 2026'!B298),"",'ENGAGEMENTS 2026'!C298)</f>
        <v/>
      </c>
      <c r="C298">
        <f>IF(ISBLANK('ENGAGEMENTS 2026'!B298),"",'ENGAGEMENTS 2026'!D298)</f>
        <v/>
      </c>
      <c r="D298">
        <f>IF(ISBLANK('ENGAGEMENTS 2026'!B298),"",'ENGAGEMENTS 2026'!F298)</f>
        <v/>
      </c>
      <c r="E298">
        <f>IF(ISBLANK('ENGAGEMENTS 2026'!B298),"",'ENGAGEMENTS 2026'!H298)</f>
        <v/>
      </c>
      <c r="F298">
        <f>IF(ISBLANK('ENGAGEMENTS 2026'!B298),"",'ENGAGEMENTS 2026'!I298)</f>
        <v/>
      </c>
      <c r="G298">
        <f>IF(ISBLANK('ENGAGEMENTS 2026'!B298),"",'ENGAGEMENTS 2026'!L298)</f>
        <v/>
      </c>
      <c r="H298">
        <f>IF(ISBLANK('ENGAGEMENTS 2026'!B298),"",'ENGAGEMENTS 2026'!AE298)</f>
        <v/>
      </c>
      <c r="I298">
        <f>IF(ISBLANK('ENGAGEMENTS 2026'!B298),"",'ENGAGEMENTS 2026'!G298)</f>
        <v/>
      </c>
      <c r="J298" s="275">
        <f>IF(ISBLANK('ENGAGEMENTS 2026'!B298),"",IF(AND(OR($E298="INFRUCTUEUX",$E298="ANNULE"),$C298="AOO-M"),'ENGAGEMENTS 2026'!O298,IF($H298="EN COURS DE PREENGAGEMENT",'ENGAGEMENTS 2026'!N298,IF($H298="PREENGAGE",IF($E298="ATTRIBUE",'ENGAGEMENTS 2026'!AD298,'ENGAGEMENTS 2026'!N298),'ENGAGEMENTS 2026'!AD298))))</f>
        <v/>
      </c>
      <c r="K298" s="604">
        <f>IF(ISBLANK('ENGAGEMENTS 2026'!V298),"",'ENGAGEMENTS 2026'!V298)</f>
        <v/>
      </c>
      <c r="L298" s="276">
        <f>IF($K298="","",TODAY()-$K298)</f>
        <v/>
      </c>
      <c r="M298">
        <f>IF($A298="","",IF($H298="ENGAGE","Engagé",IF(AND($H298="NON ENGAGE",OR($I298="INFRUCTUEUX",$I298="ANNULE")),"Clôturé sans suite","En cours")))</f>
        <v/>
      </c>
      <c r="N298">
        <f>IF(ISBLANK('ENGAGEMENTS 2026'!B298),"",'ENGAGEMENTS 2026'!K298)</f>
        <v/>
      </c>
      <c r="O298">
        <f>IF(ISBLANK('ENGAGEMENTS 2026'!B298),"",'ENGAGEMENTS 2026'!L298)</f>
        <v/>
      </c>
      <c r="P298">
        <f>IF(ISBLANK('ENGAGEMENTS 2026'!B298),"",'ENGAGEMENTS 2026'!J298)</f>
        <v/>
      </c>
      <c r="Q298">
        <f>IF($A298="","",IF(OR($E298="INFRUCTUEUX",$E298="ANNULE"),$A298&amp;"|"&amp;(COUNTIFS($A$2:$A298,$A298,$E$2:$E298,"INFRUCTUEUX")+COUNTIFS($A$2:$A298,$A298,$E$2:$E298,"ANNULE")),""))</f>
        <v/>
      </c>
    </row>
    <row r="299">
      <c r="A299">
        <f>IF(ISBLANK('ENGAGEMENTS 2026'!B299),"",IF('ENGAGEMENTS 2026'!B299="DTSI","DCT",'ENGAGEMENTS 2026'!B299))</f>
        <v/>
      </c>
      <c r="B299">
        <f>IF(ISBLANK('ENGAGEMENTS 2026'!B299),"",'ENGAGEMENTS 2026'!C299)</f>
        <v/>
      </c>
      <c r="C299">
        <f>IF(ISBLANK('ENGAGEMENTS 2026'!B299),"",'ENGAGEMENTS 2026'!D299)</f>
        <v/>
      </c>
      <c r="D299">
        <f>IF(ISBLANK('ENGAGEMENTS 2026'!B299),"",'ENGAGEMENTS 2026'!F299)</f>
        <v/>
      </c>
      <c r="E299">
        <f>IF(ISBLANK('ENGAGEMENTS 2026'!B299),"",'ENGAGEMENTS 2026'!H299)</f>
        <v/>
      </c>
      <c r="F299">
        <f>IF(ISBLANK('ENGAGEMENTS 2026'!B299),"",'ENGAGEMENTS 2026'!I299)</f>
        <v/>
      </c>
      <c r="G299">
        <f>IF(ISBLANK('ENGAGEMENTS 2026'!B299),"",'ENGAGEMENTS 2026'!L299)</f>
        <v/>
      </c>
      <c r="H299">
        <f>IF(ISBLANK('ENGAGEMENTS 2026'!B299),"",'ENGAGEMENTS 2026'!AE299)</f>
        <v/>
      </c>
      <c r="I299">
        <f>IF(ISBLANK('ENGAGEMENTS 2026'!B299),"",'ENGAGEMENTS 2026'!G299)</f>
        <v/>
      </c>
      <c r="J299" s="275">
        <f>IF(ISBLANK('ENGAGEMENTS 2026'!B299),"",IF(AND(OR($E299="INFRUCTUEUX",$E299="ANNULE"),$C299="AOO-M"),'ENGAGEMENTS 2026'!O299,IF($H299="EN COURS DE PREENGAGEMENT",'ENGAGEMENTS 2026'!N299,IF($H299="PREENGAGE",IF($E299="ATTRIBUE",'ENGAGEMENTS 2026'!AD299,'ENGAGEMENTS 2026'!N299),'ENGAGEMENTS 2026'!AD299))))</f>
        <v/>
      </c>
      <c r="K299" s="604">
        <f>IF(ISBLANK('ENGAGEMENTS 2026'!V299),"",'ENGAGEMENTS 2026'!V299)</f>
        <v/>
      </c>
      <c r="L299" s="276">
        <f>IF($K299="","",TODAY()-$K299)</f>
        <v/>
      </c>
      <c r="M299">
        <f>IF($A299="","",IF($H299="ENGAGE","Engagé",IF(AND($H299="NON ENGAGE",OR($I299="INFRUCTUEUX",$I299="ANNULE")),"Clôturé sans suite","En cours")))</f>
        <v/>
      </c>
      <c r="N299">
        <f>IF(ISBLANK('ENGAGEMENTS 2026'!B299),"",'ENGAGEMENTS 2026'!K299)</f>
        <v/>
      </c>
      <c r="O299">
        <f>IF(ISBLANK('ENGAGEMENTS 2026'!B299),"",'ENGAGEMENTS 2026'!L299)</f>
        <v/>
      </c>
      <c r="P299">
        <f>IF(ISBLANK('ENGAGEMENTS 2026'!B299),"",'ENGAGEMENTS 2026'!J299)</f>
        <v/>
      </c>
      <c r="Q299">
        <f>IF($A299="","",IF(OR($E299="INFRUCTUEUX",$E299="ANNULE"),$A299&amp;"|"&amp;(COUNTIFS($A$2:$A299,$A299,$E$2:$E299,"INFRUCTUEUX")+COUNTIFS($A$2:$A299,$A299,$E$2:$E299,"ANNULE")),""))</f>
        <v/>
      </c>
    </row>
    <row r="300">
      <c r="A300">
        <f>IF(ISBLANK('ENGAGEMENTS 2026'!B300),"",IF('ENGAGEMENTS 2026'!B300="DTSI","DCT",'ENGAGEMENTS 2026'!B300))</f>
        <v/>
      </c>
      <c r="B300">
        <f>IF(ISBLANK('ENGAGEMENTS 2026'!B300),"",'ENGAGEMENTS 2026'!C300)</f>
        <v/>
      </c>
      <c r="C300">
        <f>IF(ISBLANK('ENGAGEMENTS 2026'!B300),"",'ENGAGEMENTS 2026'!D300)</f>
        <v/>
      </c>
      <c r="D300">
        <f>IF(ISBLANK('ENGAGEMENTS 2026'!B300),"",'ENGAGEMENTS 2026'!F300)</f>
        <v/>
      </c>
      <c r="E300">
        <f>IF(ISBLANK('ENGAGEMENTS 2026'!B300),"",'ENGAGEMENTS 2026'!H300)</f>
        <v/>
      </c>
      <c r="F300">
        <f>IF(ISBLANK('ENGAGEMENTS 2026'!B300),"",'ENGAGEMENTS 2026'!I300)</f>
        <v/>
      </c>
      <c r="G300">
        <f>IF(ISBLANK('ENGAGEMENTS 2026'!B300),"",'ENGAGEMENTS 2026'!L300)</f>
        <v/>
      </c>
      <c r="H300">
        <f>IF(ISBLANK('ENGAGEMENTS 2026'!B300),"",'ENGAGEMENTS 2026'!AE300)</f>
        <v/>
      </c>
      <c r="I300">
        <f>IF(ISBLANK('ENGAGEMENTS 2026'!B300),"",'ENGAGEMENTS 2026'!G300)</f>
        <v/>
      </c>
      <c r="J300" s="275">
        <f>IF(ISBLANK('ENGAGEMENTS 2026'!B300),"",IF(AND(OR($E300="INFRUCTUEUX",$E300="ANNULE"),$C300="AOO-M"),'ENGAGEMENTS 2026'!O300,IF($H300="EN COURS DE PREENGAGEMENT",'ENGAGEMENTS 2026'!N300,IF($H300="PREENGAGE",IF($E300="ATTRIBUE",'ENGAGEMENTS 2026'!AD300,'ENGAGEMENTS 2026'!N300),'ENGAGEMENTS 2026'!AD300))))</f>
        <v/>
      </c>
      <c r="K300" s="604">
        <f>IF(ISBLANK('ENGAGEMENTS 2026'!V300),"",'ENGAGEMENTS 2026'!V300)</f>
        <v/>
      </c>
      <c r="L300" s="276">
        <f>IF($K300="","",TODAY()-$K300)</f>
        <v/>
      </c>
      <c r="M300">
        <f>IF($A300="","",IF($H300="ENGAGE","Engagé",IF(AND($H300="NON ENGAGE",OR($I300="INFRUCTUEUX",$I300="ANNULE")),"Clôturé sans suite","En cours")))</f>
        <v/>
      </c>
      <c r="N300">
        <f>IF(ISBLANK('ENGAGEMENTS 2026'!B300),"",'ENGAGEMENTS 2026'!K300)</f>
        <v/>
      </c>
      <c r="O300">
        <f>IF(ISBLANK('ENGAGEMENTS 2026'!B300),"",'ENGAGEMENTS 2026'!L300)</f>
        <v/>
      </c>
      <c r="P300">
        <f>IF(ISBLANK('ENGAGEMENTS 2026'!B300),"",'ENGAGEMENTS 2026'!J300)</f>
        <v/>
      </c>
      <c r="Q300">
        <f>IF($A300="","",IF(OR($E300="INFRUCTUEUX",$E300="ANNULE"),$A300&amp;"|"&amp;(COUNTIFS($A$2:$A300,$A300,$E$2:$E300,"INFRUCTUEUX")+COUNTIFS($A$2:$A300,$A300,$E$2:$E300,"ANNULE")),""))</f>
        <v/>
      </c>
    </row>
    <row r="301">
      <c r="A301">
        <f>IF(ISBLANK('ENGAGEMENTS 2026'!B301),"",IF('ENGAGEMENTS 2026'!B301="DTSI","DCT",'ENGAGEMENTS 2026'!B301))</f>
        <v/>
      </c>
      <c r="B301">
        <f>IF(ISBLANK('ENGAGEMENTS 2026'!B301),"",'ENGAGEMENTS 2026'!C301)</f>
        <v/>
      </c>
      <c r="C301">
        <f>IF(ISBLANK('ENGAGEMENTS 2026'!B301),"",'ENGAGEMENTS 2026'!D301)</f>
        <v/>
      </c>
      <c r="D301">
        <f>IF(ISBLANK('ENGAGEMENTS 2026'!B301),"",'ENGAGEMENTS 2026'!F301)</f>
        <v/>
      </c>
      <c r="E301">
        <f>IF(ISBLANK('ENGAGEMENTS 2026'!B301),"",'ENGAGEMENTS 2026'!H301)</f>
        <v/>
      </c>
      <c r="F301">
        <f>IF(ISBLANK('ENGAGEMENTS 2026'!B301),"",'ENGAGEMENTS 2026'!I301)</f>
        <v/>
      </c>
      <c r="G301">
        <f>IF(ISBLANK('ENGAGEMENTS 2026'!B301),"",'ENGAGEMENTS 2026'!L301)</f>
        <v/>
      </c>
      <c r="H301">
        <f>IF(ISBLANK('ENGAGEMENTS 2026'!B301),"",'ENGAGEMENTS 2026'!AE301)</f>
        <v/>
      </c>
      <c r="I301">
        <f>IF(ISBLANK('ENGAGEMENTS 2026'!B301),"",'ENGAGEMENTS 2026'!G301)</f>
        <v/>
      </c>
      <c r="J301" s="275">
        <f>IF(ISBLANK('ENGAGEMENTS 2026'!B301),"",IF(AND(OR($E301="INFRUCTUEUX",$E301="ANNULE"),$C301="AOO-M"),'ENGAGEMENTS 2026'!O301,IF($H301="EN COURS DE PREENGAGEMENT",'ENGAGEMENTS 2026'!N301,IF($H301="PREENGAGE",IF($E301="ATTRIBUE",'ENGAGEMENTS 2026'!AD301,'ENGAGEMENTS 2026'!N301),'ENGAGEMENTS 2026'!AD301))))</f>
        <v/>
      </c>
      <c r="K301" s="604">
        <f>IF(ISBLANK('ENGAGEMENTS 2026'!V301),"",'ENGAGEMENTS 2026'!V301)</f>
        <v/>
      </c>
      <c r="L301" s="276">
        <f>IF($K301="","",TODAY()-$K301)</f>
        <v/>
      </c>
      <c r="M301">
        <f>IF($A301="","",IF($H301="ENGAGE","Engagé",IF(AND($H301="NON ENGAGE",OR($I301="INFRUCTUEUX",$I301="ANNULE")),"Clôturé sans suite","En cours")))</f>
        <v/>
      </c>
      <c r="N301">
        <f>IF(ISBLANK('ENGAGEMENTS 2026'!B301),"",'ENGAGEMENTS 2026'!K301)</f>
        <v/>
      </c>
      <c r="O301">
        <f>IF(ISBLANK('ENGAGEMENTS 2026'!B301),"",'ENGAGEMENTS 2026'!L301)</f>
        <v/>
      </c>
      <c r="P301">
        <f>IF(ISBLANK('ENGAGEMENTS 2026'!B301),"",'ENGAGEMENTS 2026'!J301)</f>
        <v/>
      </c>
      <c r="Q301">
        <f>IF($A301="","",IF(OR($E301="INFRUCTUEUX",$E301="ANNULE"),$A301&amp;"|"&amp;(COUNTIFS($A$2:$A301,$A301,$E$2:$E301,"INFRUCTUEUX")+COUNTIFS($A$2:$A301,$A301,$E$2:$E301,"ANNULE")),""))</f>
        <v/>
      </c>
    </row>
    <row r="302">
      <c r="A302">
        <f>IF(ISBLANK('ENGAGEMENTS 2026'!B302),"",IF('ENGAGEMENTS 2026'!B302="DTSI","DCT",'ENGAGEMENTS 2026'!B302))</f>
        <v/>
      </c>
      <c r="B302">
        <f>IF(ISBLANK('ENGAGEMENTS 2026'!B302),"",'ENGAGEMENTS 2026'!C302)</f>
        <v/>
      </c>
      <c r="C302">
        <f>IF(ISBLANK('ENGAGEMENTS 2026'!B302),"",'ENGAGEMENTS 2026'!D302)</f>
        <v/>
      </c>
      <c r="D302">
        <f>IF(ISBLANK('ENGAGEMENTS 2026'!B302),"",'ENGAGEMENTS 2026'!F302)</f>
        <v/>
      </c>
      <c r="E302">
        <f>IF(ISBLANK('ENGAGEMENTS 2026'!B302),"",'ENGAGEMENTS 2026'!H302)</f>
        <v/>
      </c>
      <c r="F302">
        <f>IF(ISBLANK('ENGAGEMENTS 2026'!B302),"",'ENGAGEMENTS 2026'!I302)</f>
        <v/>
      </c>
      <c r="G302">
        <f>IF(ISBLANK('ENGAGEMENTS 2026'!B302),"",'ENGAGEMENTS 2026'!L302)</f>
        <v/>
      </c>
      <c r="H302">
        <f>IF(ISBLANK('ENGAGEMENTS 2026'!B302),"",'ENGAGEMENTS 2026'!AE302)</f>
        <v/>
      </c>
      <c r="I302">
        <f>IF(ISBLANK('ENGAGEMENTS 2026'!B302),"",'ENGAGEMENTS 2026'!G302)</f>
        <v/>
      </c>
      <c r="J302" s="275">
        <f>IF(ISBLANK('ENGAGEMENTS 2026'!B302),"",IF(AND(OR($E302="INFRUCTUEUX",$E302="ANNULE"),$C302="AOO-M"),'ENGAGEMENTS 2026'!O302,IF($H302="EN COURS DE PREENGAGEMENT",'ENGAGEMENTS 2026'!N302,IF($H302="PREENGAGE",IF($E302="ATTRIBUE",'ENGAGEMENTS 2026'!AD302,'ENGAGEMENTS 2026'!N302),'ENGAGEMENTS 2026'!AD302))))</f>
        <v/>
      </c>
      <c r="K302" s="604">
        <f>IF(ISBLANK('ENGAGEMENTS 2026'!V302),"",'ENGAGEMENTS 2026'!V302)</f>
        <v/>
      </c>
      <c r="L302" s="276">
        <f>IF($K302="","",TODAY()-$K302)</f>
        <v/>
      </c>
      <c r="M302">
        <f>IF($A302="","",IF($H302="ENGAGE","Engagé",IF(AND($H302="NON ENGAGE",OR($I302="INFRUCTUEUX",$I302="ANNULE")),"Clôturé sans suite","En cours")))</f>
        <v/>
      </c>
      <c r="N302">
        <f>IF(ISBLANK('ENGAGEMENTS 2026'!B302),"",'ENGAGEMENTS 2026'!K302)</f>
        <v/>
      </c>
      <c r="O302">
        <f>IF(ISBLANK('ENGAGEMENTS 2026'!B302),"",'ENGAGEMENTS 2026'!L302)</f>
        <v/>
      </c>
      <c r="P302">
        <f>IF(ISBLANK('ENGAGEMENTS 2026'!B302),"",'ENGAGEMENTS 2026'!J302)</f>
        <v/>
      </c>
      <c r="Q302">
        <f>IF($A302="","",IF(OR($E302="INFRUCTUEUX",$E302="ANNULE"),$A302&amp;"|"&amp;(COUNTIFS($A$2:$A302,$A302,$E$2:$E302,"INFRUCTUEUX")+COUNTIFS($A$2:$A302,$A302,$E$2:$E302,"ANNULE")),""))</f>
        <v/>
      </c>
    </row>
    <row r="303">
      <c r="A303">
        <f>IF(ISBLANK('ENGAGEMENTS 2026'!B303),"",IF('ENGAGEMENTS 2026'!B303="DTSI","DCT",'ENGAGEMENTS 2026'!B303))</f>
        <v/>
      </c>
      <c r="B303">
        <f>IF(ISBLANK('ENGAGEMENTS 2026'!B303),"",'ENGAGEMENTS 2026'!C303)</f>
        <v/>
      </c>
      <c r="C303">
        <f>IF(ISBLANK('ENGAGEMENTS 2026'!B303),"",'ENGAGEMENTS 2026'!D303)</f>
        <v/>
      </c>
      <c r="D303">
        <f>IF(ISBLANK('ENGAGEMENTS 2026'!B303),"",'ENGAGEMENTS 2026'!F303)</f>
        <v/>
      </c>
      <c r="E303">
        <f>IF(ISBLANK('ENGAGEMENTS 2026'!B303),"",'ENGAGEMENTS 2026'!H303)</f>
        <v/>
      </c>
      <c r="F303">
        <f>IF(ISBLANK('ENGAGEMENTS 2026'!B303),"",'ENGAGEMENTS 2026'!I303)</f>
        <v/>
      </c>
      <c r="G303">
        <f>IF(ISBLANK('ENGAGEMENTS 2026'!B303),"",'ENGAGEMENTS 2026'!L303)</f>
        <v/>
      </c>
      <c r="H303">
        <f>IF(ISBLANK('ENGAGEMENTS 2026'!B303),"",'ENGAGEMENTS 2026'!AE303)</f>
        <v/>
      </c>
      <c r="I303">
        <f>IF(ISBLANK('ENGAGEMENTS 2026'!B303),"",'ENGAGEMENTS 2026'!G303)</f>
        <v/>
      </c>
      <c r="J303" s="275">
        <f>IF(ISBLANK('ENGAGEMENTS 2026'!B303),"",IF(AND(OR($E303="INFRUCTUEUX",$E303="ANNULE"),$C303="AOO-M"),'ENGAGEMENTS 2026'!O303,IF($H303="EN COURS DE PREENGAGEMENT",'ENGAGEMENTS 2026'!N303,IF($H303="PREENGAGE",IF($E303="ATTRIBUE",'ENGAGEMENTS 2026'!AD303,'ENGAGEMENTS 2026'!N303),'ENGAGEMENTS 2026'!AD303))))</f>
        <v/>
      </c>
      <c r="K303" s="604">
        <f>IF(ISBLANK('ENGAGEMENTS 2026'!V303),"",'ENGAGEMENTS 2026'!V303)</f>
        <v/>
      </c>
      <c r="L303" s="276">
        <f>IF($K303="","",TODAY()-$K303)</f>
        <v/>
      </c>
      <c r="M303">
        <f>IF($A303="","",IF($H303="ENGAGE","Engagé",IF(AND($H303="NON ENGAGE",OR($I303="INFRUCTUEUX",$I303="ANNULE")),"Clôturé sans suite","En cours")))</f>
        <v/>
      </c>
      <c r="N303">
        <f>IF(ISBLANK('ENGAGEMENTS 2026'!B303),"",'ENGAGEMENTS 2026'!K303)</f>
        <v/>
      </c>
      <c r="O303">
        <f>IF(ISBLANK('ENGAGEMENTS 2026'!B303),"",'ENGAGEMENTS 2026'!L303)</f>
        <v/>
      </c>
      <c r="P303">
        <f>IF(ISBLANK('ENGAGEMENTS 2026'!B303),"",'ENGAGEMENTS 2026'!J303)</f>
        <v/>
      </c>
      <c r="Q303">
        <f>IF($A303="","",IF(OR($E303="INFRUCTUEUX",$E303="ANNULE"),$A303&amp;"|"&amp;(COUNTIFS($A$2:$A303,$A303,$E$2:$E303,"INFRUCTUEUX")+COUNTIFS($A$2:$A303,$A303,$E$2:$E303,"ANNULE")),""))</f>
        <v/>
      </c>
    </row>
    <row r="304">
      <c r="A304">
        <f>IF(ISBLANK('ENGAGEMENTS 2026'!B304),"",IF('ENGAGEMENTS 2026'!B304="DTSI","DCT",'ENGAGEMENTS 2026'!B304))</f>
        <v/>
      </c>
      <c r="B304">
        <f>IF(ISBLANK('ENGAGEMENTS 2026'!B304),"",'ENGAGEMENTS 2026'!C304)</f>
        <v/>
      </c>
      <c r="C304">
        <f>IF(ISBLANK('ENGAGEMENTS 2026'!B304),"",'ENGAGEMENTS 2026'!D304)</f>
        <v/>
      </c>
      <c r="D304">
        <f>IF(ISBLANK('ENGAGEMENTS 2026'!B304),"",'ENGAGEMENTS 2026'!F304)</f>
        <v/>
      </c>
      <c r="E304">
        <f>IF(ISBLANK('ENGAGEMENTS 2026'!B304),"",'ENGAGEMENTS 2026'!H304)</f>
        <v/>
      </c>
      <c r="F304">
        <f>IF(ISBLANK('ENGAGEMENTS 2026'!B304),"",'ENGAGEMENTS 2026'!I304)</f>
        <v/>
      </c>
      <c r="G304">
        <f>IF(ISBLANK('ENGAGEMENTS 2026'!B304),"",'ENGAGEMENTS 2026'!L304)</f>
        <v/>
      </c>
      <c r="H304">
        <f>IF(ISBLANK('ENGAGEMENTS 2026'!B304),"",'ENGAGEMENTS 2026'!AE304)</f>
        <v/>
      </c>
      <c r="I304">
        <f>IF(ISBLANK('ENGAGEMENTS 2026'!B304),"",'ENGAGEMENTS 2026'!G304)</f>
        <v/>
      </c>
      <c r="J304" s="275">
        <f>IF(ISBLANK('ENGAGEMENTS 2026'!B304),"",IF(AND(OR($E304="INFRUCTUEUX",$E304="ANNULE"),$C304="AOO-M"),'ENGAGEMENTS 2026'!O304,IF($H304="EN COURS DE PREENGAGEMENT",'ENGAGEMENTS 2026'!N304,IF($H304="PREENGAGE",IF($E304="ATTRIBUE",'ENGAGEMENTS 2026'!AD304,'ENGAGEMENTS 2026'!N304),'ENGAGEMENTS 2026'!AD304))))</f>
        <v/>
      </c>
      <c r="K304" s="604">
        <f>IF(ISBLANK('ENGAGEMENTS 2026'!V304),"",'ENGAGEMENTS 2026'!V304)</f>
        <v/>
      </c>
      <c r="L304" s="276">
        <f>IF($K304="","",TODAY()-$K304)</f>
        <v/>
      </c>
      <c r="M304">
        <f>IF($A304="","",IF($H304="ENGAGE","Engagé",IF(AND($H304="NON ENGAGE",OR($I304="INFRUCTUEUX",$I304="ANNULE")),"Clôturé sans suite","En cours")))</f>
        <v/>
      </c>
      <c r="N304">
        <f>IF(ISBLANK('ENGAGEMENTS 2026'!B304),"",'ENGAGEMENTS 2026'!K304)</f>
        <v/>
      </c>
      <c r="O304">
        <f>IF(ISBLANK('ENGAGEMENTS 2026'!B304),"",'ENGAGEMENTS 2026'!L304)</f>
        <v/>
      </c>
      <c r="P304">
        <f>IF(ISBLANK('ENGAGEMENTS 2026'!B304),"",'ENGAGEMENTS 2026'!J304)</f>
        <v/>
      </c>
      <c r="Q304">
        <f>IF($A304="","",IF(OR($E304="INFRUCTUEUX",$E304="ANNULE"),$A304&amp;"|"&amp;(COUNTIFS($A$2:$A304,$A304,$E$2:$E304,"INFRUCTUEUX")+COUNTIFS($A$2:$A304,$A304,$E$2:$E304,"ANNULE")),""))</f>
        <v/>
      </c>
    </row>
    <row r="305">
      <c r="A305">
        <f>IF(ISBLANK('ENGAGEMENTS 2026'!B305),"",IF('ENGAGEMENTS 2026'!B305="DTSI","DCT",'ENGAGEMENTS 2026'!B305))</f>
        <v/>
      </c>
      <c r="B305">
        <f>IF(ISBLANK('ENGAGEMENTS 2026'!B305),"",'ENGAGEMENTS 2026'!C305)</f>
        <v/>
      </c>
      <c r="C305">
        <f>IF(ISBLANK('ENGAGEMENTS 2026'!B305),"",'ENGAGEMENTS 2026'!D305)</f>
        <v/>
      </c>
      <c r="D305">
        <f>IF(ISBLANK('ENGAGEMENTS 2026'!B305),"",'ENGAGEMENTS 2026'!F305)</f>
        <v/>
      </c>
      <c r="E305">
        <f>IF(ISBLANK('ENGAGEMENTS 2026'!B305),"",'ENGAGEMENTS 2026'!H305)</f>
        <v/>
      </c>
      <c r="F305">
        <f>IF(ISBLANK('ENGAGEMENTS 2026'!B305),"",'ENGAGEMENTS 2026'!I305)</f>
        <v/>
      </c>
      <c r="G305">
        <f>IF(ISBLANK('ENGAGEMENTS 2026'!B305),"",'ENGAGEMENTS 2026'!L305)</f>
        <v/>
      </c>
      <c r="H305">
        <f>IF(ISBLANK('ENGAGEMENTS 2026'!B305),"",'ENGAGEMENTS 2026'!AE305)</f>
        <v/>
      </c>
      <c r="I305">
        <f>IF(ISBLANK('ENGAGEMENTS 2026'!B305),"",'ENGAGEMENTS 2026'!G305)</f>
        <v/>
      </c>
      <c r="J305" s="275">
        <f>IF(ISBLANK('ENGAGEMENTS 2026'!B305),"",IF(AND(OR($E305="INFRUCTUEUX",$E305="ANNULE"),$C305="AOO-M"),'ENGAGEMENTS 2026'!O305,IF($H305="EN COURS DE PREENGAGEMENT",'ENGAGEMENTS 2026'!N305,IF($H305="PREENGAGE",IF($E305="ATTRIBUE",'ENGAGEMENTS 2026'!AD305,'ENGAGEMENTS 2026'!N305),'ENGAGEMENTS 2026'!AD305))))</f>
        <v/>
      </c>
      <c r="K305" s="604">
        <f>IF(ISBLANK('ENGAGEMENTS 2026'!V305),"",'ENGAGEMENTS 2026'!V305)</f>
        <v/>
      </c>
      <c r="L305" s="276">
        <f>IF($K305="","",TODAY()-$K305)</f>
        <v/>
      </c>
      <c r="M305">
        <f>IF($A305="","",IF($H305="ENGAGE","Engagé",IF(AND($H305="NON ENGAGE",OR($I305="INFRUCTUEUX",$I305="ANNULE")),"Clôturé sans suite","En cours")))</f>
        <v/>
      </c>
      <c r="N305">
        <f>IF(ISBLANK('ENGAGEMENTS 2026'!B305),"",'ENGAGEMENTS 2026'!K305)</f>
        <v/>
      </c>
      <c r="O305">
        <f>IF(ISBLANK('ENGAGEMENTS 2026'!B305),"",'ENGAGEMENTS 2026'!L305)</f>
        <v/>
      </c>
      <c r="P305">
        <f>IF(ISBLANK('ENGAGEMENTS 2026'!B305),"",'ENGAGEMENTS 2026'!J305)</f>
        <v/>
      </c>
      <c r="Q305">
        <f>IF($A305="","",IF(OR($E305="INFRUCTUEUX",$E305="ANNULE"),$A305&amp;"|"&amp;(COUNTIFS($A$2:$A305,$A305,$E$2:$E305,"INFRUCTUEUX")+COUNTIFS($A$2:$A305,$A305,$E$2:$E305,"ANNULE")),""))</f>
        <v/>
      </c>
    </row>
    <row r="306">
      <c r="A306">
        <f>IF(ISBLANK('ENGAGEMENTS 2026'!B306),"",IF('ENGAGEMENTS 2026'!B306="DTSI","DCT",'ENGAGEMENTS 2026'!B306))</f>
        <v/>
      </c>
      <c r="B306">
        <f>IF(ISBLANK('ENGAGEMENTS 2026'!B306),"",'ENGAGEMENTS 2026'!C306)</f>
        <v/>
      </c>
      <c r="C306">
        <f>IF(ISBLANK('ENGAGEMENTS 2026'!B306),"",'ENGAGEMENTS 2026'!D306)</f>
        <v/>
      </c>
      <c r="D306">
        <f>IF(ISBLANK('ENGAGEMENTS 2026'!B306),"",'ENGAGEMENTS 2026'!F306)</f>
        <v/>
      </c>
      <c r="E306">
        <f>IF(ISBLANK('ENGAGEMENTS 2026'!B306),"",'ENGAGEMENTS 2026'!H306)</f>
        <v/>
      </c>
      <c r="F306">
        <f>IF(ISBLANK('ENGAGEMENTS 2026'!B306),"",'ENGAGEMENTS 2026'!I306)</f>
        <v/>
      </c>
      <c r="G306">
        <f>IF(ISBLANK('ENGAGEMENTS 2026'!B306),"",'ENGAGEMENTS 2026'!L306)</f>
        <v/>
      </c>
      <c r="H306">
        <f>IF(ISBLANK('ENGAGEMENTS 2026'!B306),"",'ENGAGEMENTS 2026'!AE306)</f>
        <v/>
      </c>
      <c r="I306">
        <f>IF(ISBLANK('ENGAGEMENTS 2026'!B306),"",'ENGAGEMENTS 2026'!G306)</f>
        <v/>
      </c>
      <c r="J306" s="275">
        <f>IF(ISBLANK('ENGAGEMENTS 2026'!B306),"",IF(AND(OR($E306="INFRUCTUEUX",$E306="ANNULE"),$C306="AOO-M"),'ENGAGEMENTS 2026'!O306,IF($H306="EN COURS DE PREENGAGEMENT",'ENGAGEMENTS 2026'!N306,IF($H306="PREENGAGE",IF($E306="ATTRIBUE",'ENGAGEMENTS 2026'!AD306,'ENGAGEMENTS 2026'!N306),'ENGAGEMENTS 2026'!AD306))))</f>
        <v/>
      </c>
      <c r="K306" s="604">
        <f>IF(ISBLANK('ENGAGEMENTS 2026'!V306),"",'ENGAGEMENTS 2026'!V306)</f>
        <v/>
      </c>
      <c r="L306" s="276">
        <f>IF($K306="","",TODAY()-$K306)</f>
        <v/>
      </c>
      <c r="M306">
        <f>IF($A306="","",IF($H306="ENGAGE","Engagé",IF(AND($H306="NON ENGAGE",OR($I306="INFRUCTUEUX",$I306="ANNULE")),"Clôturé sans suite","En cours")))</f>
        <v/>
      </c>
      <c r="N306">
        <f>IF(ISBLANK('ENGAGEMENTS 2026'!B306),"",'ENGAGEMENTS 2026'!K306)</f>
        <v/>
      </c>
      <c r="O306">
        <f>IF(ISBLANK('ENGAGEMENTS 2026'!B306),"",'ENGAGEMENTS 2026'!L306)</f>
        <v/>
      </c>
      <c r="P306">
        <f>IF(ISBLANK('ENGAGEMENTS 2026'!B306),"",'ENGAGEMENTS 2026'!J306)</f>
        <v/>
      </c>
      <c r="Q306">
        <f>IF($A306="","",IF(OR($E306="INFRUCTUEUX",$E306="ANNULE"),$A306&amp;"|"&amp;(COUNTIFS($A$2:$A306,$A306,$E$2:$E306,"INFRUCTUEUX")+COUNTIFS($A$2:$A306,$A306,$E$2:$E306,"ANNULE")),""))</f>
        <v/>
      </c>
    </row>
    <row r="307">
      <c r="A307">
        <f>IF(ISBLANK('ENGAGEMENTS 2026'!B307),"",IF('ENGAGEMENTS 2026'!B307="DTSI","DCT",'ENGAGEMENTS 2026'!B307))</f>
        <v/>
      </c>
      <c r="B307">
        <f>IF(ISBLANK('ENGAGEMENTS 2026'!B307),"",'ENGAGEMENTS 2026'!C307)</f>
        <v/>
      </c>
      <c r="C307">
        <f>IF(ISBLANK('ENGAGEMENTS 2026'!B307),"",'ENGAGEMENTS 2026'!D307)</f>
        <v/>
      </c>
      <c r="D307">
        <f>IF(ISBLANK('ENGAGEMENTS 2026'!B307),"",'ENGAGEMENTS 2026'!F307)</f>
        <v/>
      </c>
      <c r="E307">
        <f>IF(ISBLANK('ENGAGEMENTS 2026'!B307),"",'ENGAGEMENTS 2026'!H307)</f>
        <v/>
      </c>
      <c r="F307">
        <f>IF(ISBLANK('ENGAGEMENTS 2026'!B307),"",'ENGAGEMENTS 2026'!I307)</f>
        <v/>
      </c>
      <c r="G307">
        <f>IF(ISBLANK('ENGAGEMENTS 2026'!B307),"",'ENGAGEMENTS 2026'!L307)</f>
        <v/>
      </c>
      <c r="H307">
        <f>IF(ISBLANK('ENGAGEMENTS 2026'!B307),"",'ENGAGEMENTS 2026'!AE307)</f>
        <v/>
      </c>
      <c r="I307">
        <f>IF(ISBLANK('ENGAGEMENTS 2026'!B307),"",'ENGAGEMENTS 2026'!G307)</f>
        <v/>
      </c>
      <c r="J307" s="275">
        <f>IF(ISBLANK('ENGAGEMENTS 2026'!B307),"",IF(AND(OR($E307="INFRUCTUEUX",$E307="ANNULE"),$C307="AOO-M"),'ENGAGEMENTS 2026'!O307,IF($H307="EN COURS DE PREENGAGEMENT",'ENGAGEMENTS 2026'!N307,IF($H307="PREENGAGE",IF($E307="ATTRIBUE",'ENGAGEMENTS 2026'!AD307,'ENGAGEMENTS 2026'!N307),'ENGAGEMENTS 2026'!AD307))))</f>
        <v/>
      </c>
      <c r="K307" s="604">
        <f>IF(ISBLANK('ENGAGEMENTS 2026'!V307),"",'ENGAGEMENTS 2026'!V307)</f>
        <v/>
      </c>
      <c r="L307" s="276">
        <f>IF($K307="","",TODAY()-$K307)</f>
        <v/>
      </c>
      <c r="M307">
        <f>IF($A307="","",IF($H307="ENGAGE","Engagé",IF(AND($H307="NON ENGAGE",OR($I307="INFRUCTUEUX",$I307="ANNULE")),"Clôturé sans suite","En cours")))</f>
        <v/>
      </c>
      <c r="N307">
        <f>IF(ISBLANK('ENGAGEMENTS 2026'!B307),"",'ENGAGEMENTS 2026'!K307)</f>
        <v/>
      </c>
      <c r="O307">
        <f>IF(ISBLANK('ENGAGEMENTS 2026'!B307),"",'ENGAGEMENTS 2026'!L307)</f>
        <v/>
      </c>
      <c r="P307">
        <f>IF(ISBLANK('ENGAGEMENTS 2026'!B307),"",'ENGAGEMENTS 2026'!J307)</f>
        <v/>
      </c>
      <c r="Q307">
        <f>IF($A307="","",IF(OR($E307="INFRUCTUEUX",$E307="ANNULE"),$A307&amp;"|"&amp;(COUNTIFS($A$2:$A307,$A307,$E$2:$E307,"INFRUCTUEUX")+COUNTIFS($A$2:$A307,$A307,$E$2:$E307,"ANNULE")),""))</f>
        <v/>
      </c>
    </row>
    <row r="308">
      <c r="A308">
        <f>IF(ISBLANK('ENGAGEMENTS 2026'!B308),"",IF('ENGAGEMENTS 2026'!B308="DTSI","DCT",'ENGAGEMENTS 2026'!B308))</f>
        <v/>
      </c>
      <c r="B308">
        <f>IF(ISBLANK('ENGAGEMENTS 2026'!B308),"",'ENGAGEMENTS 2026'!C308)</f>
        <v/>
      </c>
      <c r="C308">
        <f>IF(ISBLANK('ENGAGEMENTS 2026'!B308),"",'ENGAGEMENTS 2026'!D308)</f>
        <v/>
      </c>
      <c r="D308">
        <f>IF(ISBLANK('ENGAGEMENTS 2026'!B308),"",'ENGAGEMENTS 2026'!F308)</f>
        <v/>
      </c>
      <c r="E308">
        <f>IF(ISBLANK('ENGAGEMENTS 2026'!B308),"",'ENGAGEMENTS 2026'!H308)</f>
        <v/>
      </c>
      <c r="F308">
        <f>IF(ISBLANK('ENGAGEMENTS 2026'!B308),"",'ENGAGEMENTS 2026'!I308)</f>
        <v/>
      </c>
      <c r="G308">
        <f>IF(ISBLANK('ENGAGEMENTS 2026'!B308),"",'ENGAGEMENTS 2026'!L308)</f>
        <v/>
      </c>
      <c r="H308">
        <f>IF(ISBLANK('ENGAGEMENTS 2026'!B308),"",'ENGAGEMENTS 2026'!AE308)</f>
        <v/>
      </c>
      <c r="I308">
        <f>IF(ISBLANK('ENGAGEMENTS 2026'!B308),"",'ENGAGEMENTS 2026'!G308)</f>
        <v/>
      </c>
      <c r="J308" s="275">
        <f>IF(ISBLANK('ENGAGEMENTS 2026'!B308),"",IF(AND(OR($E308="INFRUCTUEUX",$E308="ANNULE"),$C308="AOO-M"),'ENGAGEMENTS 2026'!O308,IF($H308="EN COURS DE PREENGAGEMENT",'ENGAGEMENTS 2026'!N308,IF($H308="PREENGAGE",IF($E308="ATTRIBUE",'ENGAGEMENTS 2026'!AD308,'ENGAGEMENTS 2026'!N308),'ENGAGEMENTS 2026'!AD308))))</f>
        <v/>
      </c>
      <c r="K308" s="604">
        <f>IF(ISBLANK('ENGAGEMENTS 2026'!V308),"",'ENGAGEMENTS 2026'!V308)</f>
        <v/>
      </c>
      <c r="L308" s="276">
        <f>IF($K308="","",TODAY()-$K308)</f>
        <v/>
      </c>
      <c r="M308">
        <f>IF($A308="","",IF($H308="ENGAGE","Engagé",IF(AND($H308="NON ENGAGE",OR($I308="INFRUCTUEUX",$I308="ANNULE")),"Clôturé sans suite","En cours")))</f>
        <v/>
      </c>
      <c r="N308">
        <f>IF(ISBLANK('ENGAGEMENTS 2026'!B308),"",'ENGAGEMENTS 2026'!K308)</f>
        <v/>
      </c>
      <c r="O308">
        <f>IF(ISBLANK('ENGAGEMENTS 2026'!B308),"",'ENGAGEMENTS 2026'!L308)</f>
        <v/>
      </c>
      <c r="P308">
        <f>IF(ISBLANK('ENGAGEMENTS 2026'!B308),"",'ENGAGEMENTS 2026'!J308)</f>
        <v/>
      </c>
      <c r="Q308">
        <f>IF($A308="","",IF(OR($E308="INFRUCTUEUX",$E308="ANNULE"),$A308&amp;"|"&amp;(COUNTIFS($A$2:$A308,$A308,$E$2:$E308,"INFRUCTUEUX")+COUNTIFS($A$2:$A308,$A308,$E$2:$E308,"ANNULE")),""))</f>
        <v/>
      </c>
    </row>
    <row r="309">
      <c r="A309">
        <f>IF(ISBLANK('ENGAGEMENTS 2026'!B309),"",IF('ENGAGEMENTS 2026'!B309="DTSI","DCT",'ENGAGEMENTS 2026'!B309))</f>
        <v/>
      </c>
      <c r="B309">
        <f>IF(ISBLANK('ENGAGEMENTS 2026'!B309),"",'ENGAGEMENTS 2026'!C309)</f>
        <v/>
      </c>
      <c r="C309">
        <f>IF(ISBLANK('ENGAGEMENTS 2026'!B309),"",'ENGAGEMENTS 2026'!D309)</f>
        <v/>
      </c>
      <c r="D309">
        <f>IF(ISBLANK('ENGAGEMENTS 2026'!B309),"",'ENGAGEMENTS 2026'!F309)</f>
        <v/>
      </c>
      <c r="E309">
        <f>IF(ISBLANK('ENGAGEMENTS 2026'!B309),"",'ENGAGEMENTS 2026'!H309)</f>
        <v/>
      </c>
      <c r="F309">
        <f>IF(ISBLANK('ENGAGEMENTS 2026'!B309),"",'ENGAGEMENTS 2026'!I309)</f>
        <v/>
      </c>
      <c r="G309">
        <f>IF(ISBLANK('ENGAGEMENTS 2026'!B309),"",'ENGAGEMENTS 2026'!L309)</f>
        <v/>
      </c>
      <c r="H309">
        <f>IF(ISBLANK('ENGAGEMENTS 2026'!B309),"",'ENGAGEMENTS 2026'!AE309)</f>
        <v/>
      </c>
      <c r="I309">
        <f>IF(ISBLANK('ENGAGEMENTS 2026'!B309),"",'ENGAGEMENTS 2026'!G309)</f>
        <v/>
      </c>
      <c r="J309" s="275">
        <f>IF(ISBLANK('ENGAGEMENTS 2026'!B309),"",IF(AND(OR($E309="INFRUCTUEUX",$E309="ANNULE"),$C309="AOO-M"),'ENGAGEMENTS 2026'!O309,IF($H309="EN COURS DE PREENGAGEMENT",'ENGAGEMENTS 2026'!N309,IF($H309="PREENGAGE",IF($E309="ATTRIBUE",'ENGAGEMENTS 2026'!AD309,'ENGAGEMENTS 2026'!N309),'ENGAGEMENTS 2026'!AD309))))</f>
        <v/>
      </c>
      <c r="K309" s="604">
        <f>IF(ISBLANK('ENGAGEMENTS 2026'!V309),"",'ENGAGEMENTS 2026'!V309)</f>
        <v/>
      </c>
      <c r="L309" s="276">
        <f>IF($K309="","",TODAY()-$K309)</f>
        <v/>
      </c>
      <c r="M309">
        <f>IF($A309="","",IF($H309="ENGAGE","Engagé",IF(AND($H309="NON ENGAGE",OR($I309="INFRUCTUEUX",$I309="ANNULE")),"Clôturé sans suite","En cours")))</f>
        <v/>
      </c>
      <c r="N309">
        <f>IF(ISBLANK('ENGAGEMENTS 2026'!B309),"",'ENGAGEMENTS 2026'!K309)</f>
        <v/>
      </c>
      <c r="O309">
        <f>IF(ISBLANK('ENGAGEMENTS 2026'!B309),"",'ENGAGEMENTS 2026'!L309)</f>
        <v/>
      </c>
      <c r="P309">
        <f>IF(ISBLANK('ENGAGEMENTS 2026'!B309),"",'ENGAGEMENTS 2026'!J309)</f>
        <v/>
      </c>
      <c r="Q309">
        <f>IF($A309="","",IF(OR($E309="INFRUCTUEUX",$E309="ANNULE"),$A309&amp;"|"&amp;(COUNTIFS($A$2:$A309,$A309,$E$2:$E309,"INFRUCTUEUX")+COUNTIFS($A$2:$A309,$A309,$E$2:$E309,"ANNULE")),""))</f>
        <v/>
      </c>
    </row>
    <row r="310">
      <c r="A310">
        <f>IF(ISBLANK('ENGAGEMENTS 2026'!B310),"",IF('ENGAGEMENTS 2026'!B310="DTSI","DCT",'ENGAGEMENTS 2026'!B310))</f>
        <v/>
      </c>
      <c r="B310">
        <f>IF(ISBLANK('ENGAGEMENTS 2026'!B310),"",'ENGAGEMENTS 2026'!C310)</f>
        <v/>
      </c>
      <c r="C310">
        <f>IF(ISBLANK('ENGAGEMENTS 2026'!B310),"",'ENGAGEMENTS 2026'!D310)</f>
        <v/>
      </c>
      <c r="D310">
        <f>IF(ISBLANK('ENGAGEMENTS 2026'!B310),"",'ENGAGEMENTS 2026'!F310)</f>
        <v/>
      </c>
      <c r="E310">
        <f>IF(ISBLANK('ENGAGEMENTS 2026'!B310),"",'ENGAGEMENTS 2026'!H310)</f>
        <v/>
      </c>
      <c r="F310">
        <f>IF(ISBLANK('ENGAGEMENTS 2026'!B310),"",'ENGAGEMENTS 2026'!I310)</f>
        <v/>
      </c>
      <c r="G310">
        <f>IF(ISBLANK('ENGAGEMENTS 2026'!B310),"",'ENGAGEMENTS 2026'!L310)</f>
        <v/>
      </c>
      <c r="H310">
        <f>IF(ISBLANK('ENGAGEMENTS 2026'!B310),"",'ENGAGEMENTS 2026'!AE310)</f>
        <v/>
      </c>
      <c r="I310">
        <f>IF(ISBLANK('ENGAGEMENTS 2026'!B310),"",'ENGAGEMENTS 2026'!G310)</f>
        <v/>
      </c>
      <c r="J310" s="275">
        <f>IF(ISBLANK('ENGAGEMENTS 2026'!B310),"",IF(AND(OR($E310="INFRUCTUEUX",$E310="ANNULE"),$C310="AOO-M"),'ENGAGEMENTS 2026'!O310,IF($H310="EN COURS DE PREENGAGEMENT",'ENGAGEMENTS 2026'!N310,IF($H310="PREENGAGE",IF($E310="ATTRIBUE",'ENGAGEMENTS 2026'!AD310,'ENGAGEMENTS 2026'!N310),'ENGAGEMENTS 2026'!AD310))))</f>
        <v/>
      </c>
      <c r="K310" s="604">
        <f>IF(ISBLANK('ENGAGEMENTS 2026'!V310),"",'ENGAGEMENTS 2026'!V310)</f>
        <v/>
      </c>
      <c r="L310" s="276">
        <f>IF($K310="","",TODAY()-$K310)</f>
        <v/>
      </c>
      <c r="M310">
        <f>IF($A310="","",IF($H310="ENGAGE","Engagé",IF(AND($H310="NON ENGAGE",OR($I310="INFRUCTUEUX",$I310="ANNULE")),"Clôturé sans suite","En cours")))</f>
        <v/>
      </c>
      <c r="N310">
        <f>IF(ISBLANK('ENGAGEMENTS 2026'!B310),"",'ENGAGEMENTS 2026'!K310)</f>
        <v/>
      </c>
      <c r="O310">
        <f>IF(ISBLANK('ENGAGEMENTS 2026'!B310),"",'ENGAGEMENTS 2026'!L310)</f>
        <v/>
      </c>
      <c r="P310">
        <f>IF(ISBLANK('ENGAGEMENTS 2026'!B310),"",'ENGAGEMENTS 2026'!J310)</f>
        <v/>
      </c>
      <c r="Q310">
        <f>IF($A310="","",IF(OR($E310="INFRUCTUEUX",$E310="ANNULE"),$A310&amp;"|"&amp;(COUNTIFS($A$2:$A310,$A310,$E$2:$E310,"INFRUCTUEUX")+COUNTIFS($A$2:$A310,$A310,$E$2:$E310,"ANNULE")),""))</f>
        <v/>
      </c>
    </row>
    <row r="311">
      <c r="A311">
        <f>IF(ISBLANK('ENGAGEMENTS 2026'!B311),"",IF('ENGAGEMENTS 2026'!B311="DTSI","DCT",'ENGAGEMENTS 2026'!B311))</f>
        <v/>
      </c>
      <c r="B311">
        <f>IF(ISBLANK('ENGAGEMENTS 2026'!B311),"",'ENGAGEMENTS 2026'!C311)</f>
        <v/>
      </c>
      <c r="C311">
        <f>IF(ISBLANK('ENGAGEMENTS 2026'!B311),"",'ENGAGEMENTS 2026'!D311)</f>
        <v/>
      </c>
      <c r="D311">
        <f>IF(ISBLANK('ENGAGEMENTS 2026'!B311),"",'ENGAGEMENTS 2026'!F311)</f>
        <v/>
      </c>
      <c r="E311">
        <f>IF(ISBLANK('ENGAGEMENTS 2026'!B311),"",'ENGAGEMENTS 2026'!H311)</f>
        <v/>
      </c>
      <c r="F311">
        <f>IF(ISBLANK('ENGAGEMENTS 2026'!B311),"",'ENGAGEMENTS 2026'!I311)</f>
        <v/>
      </c>
      <c r="G311">
        <f>IF(ISBLANK('ENGAGEMENTS 2026'!B311),"",'ENGAGEMENTS 2026'!L311)</f>
        <v/>
      </c>
      <c r="H311">
        <f>IF(ISBLANK('ENGAGEMENTS 2026'!B311),"",'ENGAGEMENTS 2026'!AE311)</f>
        <v/>
      </c>
      <c r="I311">
        <f>IF(ISBLANK('ENGAGEMENTS 2026'!B311),"",'ENGAGEMENTS 2026'!G311)</f>
        <v/>
      </c>
      <c r="J311" s="275">
        <f>IF(ISBLANK('ENGAGEMENTS 2026'!B311),"",IF(AND(OR($E311="INFRUCTUEUX",$E311="ANNULE"),$C311="AOO-M"),'ENGAGEMENTS 2026'!O311,IF($H311="EN COURS DE PREENGAGEMENT",'ENGAGEMENTS 2026'!N311,IF($H311="PREENGAGE",IF($E311="ATTRIBUE",'ENGAGEMENTS 2026'!AD311,'ENGAGEMENTS 2026'!N311),'ENGAGEMENTS 2026'!AD311))))</f>
        <v/>
      </c>
      <c r="K311" s="604">
        <f>IF(ISBLANK('ENGAGEMENTS 2026'!V311),"",'ENGAGEMENTS 2026'!V311)</f>
        <v/>
      </c>
      <c r="L311" s="276">
        <f>IF($K311="","",TODAY()-$K311)</f>
        <v/>
      </c>
      <c r="M311">
        <f>IF($A311="","",IF($H311="ENGAGE","Engagé",IF(AND($H311="NON ENGAGE",OR($I311="INFRUCTUEUX",$I311="ANNULE")),"Clôturé sans suite","En cours")))</f>
        <v/>
      </c>
      <c r="N311">
        <f>IF(ISBLANK('ENGAGEMENTS 2026'!B311),"",'ENGAGEMENTS 2026'!K311)</f>
        <v/>
      </c>
      <c r="O311">
        <f>IF(ISBLANK('ENGAGEMENTS 2026'!B311),"",'ENGAGEMENTS 2026'!L311)</f>
        <v/>
      </c>
      <c r="P311">
        <f>IF(ISBLANK('ENGAGEMENTS 2026'!B311),"",'ENGAGEMENTS 2026'!J311)</f>
        <v/>
      </c>
      <c r="Q311">
        <f>IF($A311="","",IF(OR($E311="INFRUCTUEUX",$E311="ANNULE"),$A311&amp;"|"&amp;(COUNTIFS($A$2:$A311,$A311,$E$2:$E311,"INFRUCTUEUX")+COUNTIFS($A$2:$A311,$A311,$E$2:$E311,"ANNULE")),""))</f>
        <v/>
      </c>
    </row>
    <row r="312">
      <c r="A312">
        <f>IF(ISBLANK('ENGAGEMENTS 2026'!B312),"",IF('ENGAGEMENTS 2026'!B312="DTSI","DCT",'ENGAGEMENTS 2026'!B312))</f>
        <v/>
      </c>
      <c r="B312">
        <f>IF(ISBLANK('ENGAGEMENTS 2026'!B312),"",'ENGAGEMENTS 2026'!C312)</f>
        <v/>
      </c>
      <c r="C312">
        <f>IF(ISBLANK('ENGAGEMENTS 2026'!B312),"",'ENGAGEMENTS 2026'!D312)</f>
        <v/>
      </c>
      <c r="D312">
        <f>IF(ISBLANK('ENGAGEMENTS 2026'!B312),"",'ENGAGEMENTS 2026'!F312)</f>
        <v/>
      </c>
      <c r="E312">
        <f>IF(ISBLANK('ENGAGEMENTS 2026'!B312),"",'ENGAGEMENTS 2026'!H312)</f>
        <v/>
      </c>
      <c r="F312">
        <f>IF(ISBLANK('ENGAGEMENTS 2026'!B312),"",'ENGAGEMENTS 2026'!I312)</f>
        <v/>
      </c>
      <c r="G312">
        <f>IF(ISBLANK('ENGAGEMENTS 2026'!B312),"",'ENGAGEMENTS 2026'!L312)</f>
        <v/>
      </c>
      <c r="H312">
        <f>IF(ISBLANK('ENGAGEMENTS 2026'!B312),"",'ENGAGEMENTS 2026'!AE312)</f>
        <v/>
      </c>
      <c r="I312">
        <f>IF(ISBLANK('ENGAGEMENTS 2026'!B312),"",'ENGAGEMENTS 2026'!G312)</f>
        <v/>
      </c>
      <c r="J312" s="275">
        <f>IF(ISBLANK('ENGAGEMENTS 2026'!B312),"",IF(AND(OR($E312="INFRUCTUEUX",$E312="ANNULE"),$C312="AOO-M"),'ENGAGEMENTS 2026'!O312,IF($H312="EN COURS DE PREENGAGEMENT",'ENGAGEMENTS 2026'!N312,IF($H312="PREENGAGE",IF($E312="ATTRIBUE",'ENGAGEMENTS 2026'!AD312,'ENGAGEMENTS 2026'!N312),'ENGAGEMENTS 2026'!AD312))))</f>
        <v/>
      </c>
      <c r="K312" s="604">
        <f>IF(ISBLANK('ENGAGEMENTS 2026'!V312),"",'ENGAGEMENTS 2026'!V312)</f>
        <v/>
      </c>
      <c r="L312" s="276">
        <f>IF($K312="","",TODAY()-$K312)</f>
        <v/>
      </c>
      <c r="M312">
        <f>IF($A312="","",IF($H312="ENGAGE","Engagé",IF(AND($H312="NON ENGAGE",OR($I312="INFRUCTUEUX",$I312="ANNULE")),"Clôturé sans suite","En cours")))</f>
        <v/>
      </c>
      <c r="N312">
        <f>IF(ISBLANK('ENGAGEMENTS 2026'!B312),"",'ENGAGEMENTS 2026'!K312)</f>
        <v/>
      </c>
      <c r="O312">
        <f>IF(ISBLANK('ENGAGEMENTS 2026'!B312),"",'ENGAGEMENTS 2026'!L312)</f>
        <v/>
      </c>
      <c r="P312">
        <f>IF(ISBLANK('ENGAGEMENTS 2026'!B312),"",'ENGAGEMENTS 2026'!J312)</f>
        <v/>
      </c>
      <c r="Q312">
        <f>IF($A312="","",IF(OR($E312="INFRUCTUEUX",$E312="ANNULE"),$A312&amp;"|"&amp;(COUNTIFS($A$2:$A312,$A312,$E$2:$E312,"INFRUCTUEUX")+COUNTIFS($A$2:$A312,$A312,$E$2:$E312,"ANNULE")),""))</f>
        <v/>
      </c>
    </row>
    <row r="313">
      <c r="A313">
        <f>IF(ISBLANK('ENGAGEMENTS 2026'!B313),"",IF('ENGAGEMENTS 2026'!B313="DTSI","DCT",'ENGAGEMENTS 2026'!B313))</f>
        <v/>
      </c>
      <c r="B313">
        <f>IF(ISBLANK('ENGAGEMENTS 2026'!B313),"",'ENGAGEMENTS 2026'!C313)</f>
        <v/>
      </c>
      <c r="C313">
        <f>IF(ISBLANK('ENGAGEMENTS 2026'!B313),"",'ENGAGEMENTS 2026'!D313)</f>
        <v/>
      </c>
      <c r="D313">
        <f>IF(ISBLANK('ENGAGEMENTS 2026'!B313),"",'ENGAGEMENTS 2026'!F313)</f>
        <v/>
      </c>
      <c r="E313">
        <f>IF(ISBLANK('ENGAGEMENTS 2026'!B313),"",'ENGAGEMENTS 2026'!H313)</f>
        <v/>
      </c>
      <c r="F313">
        <f>IF(ISBLANK('ENGAGEMENTS 2026'!B313),"",'ENGAGEMENTS 2026'!I313)</f>
        <v/>
      </c>
      <c r="G313">
        <f>IF(ISBLANK('ENGAGEMENTS 2026'!B313),"",'ENGAGEMENTS 2026'!L313)</f>
        <v/>
      </c>
      <c r="H313">
        <f>IF(ISBLANK('ENGAGEMENTS 2026'!B313),"",'ENGAGEMENTS 2026'!AE313)</f>
        <v/>
      </c>
      <c r="I313">
        <f>IF(ISBLANK('ENGAGEMENTS 2026'!B313),"",'ENGAGEMENTS 2026'!G313)</f>
        <v/>
      </c>
      <c r="J313" s="275">
        <f>IF(ISBLANK('ENGAGEMENTS 2026'!B313),"",IF(AND(OR($E313="INFRUCTUEUX",$E313="ANNULE"),$C313="AOO-M"),'ENGAGEMENTS 2026'!O313,IF($H313="EN COURS DE PREENGAGEMENT",'ENGAGEMENTS 2026'!N313,IF($H313="PREENGAGE",IF($E313="ATTRIBUE",'ENGAGEMENTS 2026'!AD313,'ENGAGEMENTS 2026'!N313),'ENGAGEMENTS 2026'!AD313))))</f>
        <v/>
      </c>
      <c r="K313" s="604">
        <f>IF(ISBLANK('ENGAGEMENTS 2026'!V313),"",'ENGAGEMENTS 2026'!V313)</f>
        <v/>
      </c>
      <c r="L313" s="276">
        <f>IF($K313="","",TODAY()-$K313)</f>
        <v/>
      </c>
      <c r="M313">
        <f>IF($A313="","",IF($H313="ENGAGE","Engagé",IF(AND($H313="NON ENGAGE",OR($I313="INFRUCTUEUX",$I313="ANNULE")),"Clôturé sans suite","En cours")))</f>
        <v/>
      </c>
      <c r="N313">
        <f>IF(ISBLANK('ENGAGEMENTS 2026'!B313),"",'ENGAGEMENTS 2026'!K313)</f>
        <v/>
      </c>
      <c r="O313">
        <f>IF(ISBLANK('ENGAGEMENTS 2026'!B313),"",'ENGAGEMENTS 2026'!L313)</f>
        <v/>
      </c>
      <c r="P313">
        <f>IF(ISBLANK('ENGAGEMENTS 2026'!B313),"",'ENGAGEMENTS 2026'!J313)</f>
        <v/>
      </c>
      <c r="Q313">
        <f>IF($A313="","",IF(OR($E313="INFRUCTUEUX",$E313="ANNULE"),$A313&amp;"|"&amp;(COUNTIFS($A$2:$A313,$A313,$E$2:$E313,"INFRUCTUEUX")+COUNTIFS($A$2:$A313,$A313,$E$2:$E313,"ANNULE")),""))</f>
        <v/>
      </c>
    </row>
    <row r="314">
      <c r="A314">
        <f>IF(ISBLANK('ENGAGEMENTS 2026'!B314),"",IF('ENGAGEMENTS 2026'!B314="DTSI","DCT",'ENGAGEMENTS 2026'!B314))</f>
        <v/>
      </c>
      <c r="B314">
        <f>IF(ISBLANK('ENGAGEMENTS 2026'!B314),"",'ENGAGEMENTS 2026'!C314)</f>
        <v/>
      </c>
      <c r="C314">
        <f>IF(ISBLANK('ENGAGEMENTS 2026'!B314),"",'ENGAGEMENTS 2026'!D314)</f>
        <v/>
      </c>
      <c r="D314">
        <f>IF(ISBLANK('ENGAGEMENTS 2026'!B314),"",'ENGAGEMENTS 2026'!F314)</f>
        <v/>
      </c>
      <c r="E314">
        <f>IF(ISBLANK('ENGAGEMENTS 2026'!B314),"",'ENGAGEMENTS 2026'!H314)</f>
        <v/>
      </c>
      <c r="F314">
        <f>IF(ISBLANK('ENGAGEMENTS 2026'!B314),"",'ENGAGEMENTS 2026'!I314)</f>
        <v/>
      </c>
      <c r="G314">
        <f>IF(ISBLANK('ENGAGEMENTS 2026'!B314),"",'ENGAGEMENTS 2026'!L314)</f>
        <v/>
      </c>
      <c r="H314">
        <f>IF(ISBLANK('ENGAGEMENTS 2026'!B314),"",'ENGAGEMENTS 2026'!AE314)</f>
        <v/>
      </c>
      <c r="I314">
        <f>IF(ISBLANK('ENGAGEMENTS 2026'!B314),"",'ENGAGEMENTS 2026'!G314)</f>
        <v/>
      </c>
      <c r="J314" s="275">
        <f>IF(ISBLANK('ENGAGEMENTS 2026'!B314),"",IF(AND(OR($E314="INFRUCTUEUX",$E314="ANNULE"),$C314="AOO-M"),'ENGAGEMENTS 2026'!O314,IF($H314="EN COURS DE PREENGAGEMENT",'ENGAGEMENTS 2026'!N314,IF($H314="PREENGAGE",IF($E314="ATTRIBUE",'ENGAGEMENTS 2026'!AD314,'ENGAGEMENTS 2026'!N314),'ENGAGEMENTS 2026'!AD314))))</f>
        <v/>
      </c>
      <c r="K314" s="604">
        <f>IF(ISBLANK('ENGAGEMENTS 2026'!V314),"",'ENGAGEMENTS 2026'!V314)</f>
        <v/>
      </c>
      <c r="L314" s="276">
        <f>IF($K314="","",TODAY()-$K314)</f>
        <v/>
      </c>
      <c r="M314">
        <f>IF($A314="","",IF($H314="ENGAGE","Engagé",IF(AND($H314="NON ENGAGE",OR($I314="INFRUCTUEUX",$I314="ANNULE")),"Clôturé sans suite","En cours")))</f>
        <v/>
      </c>
      <c r="N314">
        <f>IF(ISBLANK('ENGAGEMENTS 2026'!B314),"",'ENGAGEMENTS 2026'!K314)</f>
        <v/>
      </c>
      <c r="O314">
        <f>IF(ISBLANK('ENGAGEMENTS 2026'!B314),"",'ENGAGEMENTS 2026'!L314)</f>
        <v/>
      </c>
      <c r="P314">
        <f>IF(ISBLANK('ENGAGEMENTS 2026'!B314),"",'ENGAGEMENTS 2026'!J314)</f>
        <v/>
      </c>
      <c r="Q314">
        <f>IF($A314="","",IF(OR($E314="INFRUCTUEUX",$E314="ANNULE"),$A314&amp;"|"&amp;(COUNTIFS($A$2:$A314,$A314,$E$2:$E314,"INFRUCTUEUX")+COUNTIFS($A$2:$A314,$A314,$E$2:$E314,"ANNULE")),""))</f>
        <v/>
      </c>
    </row>
    <row r="315">
      <c r="A315">
        <f>IF(ISBLANK('ENGAGEMENTS 2026'!B315),"",IF('ENGAGEMENTS 2026'!B315="DTSI","DCT",'ENGAGEMENTS 2026'!B315))</f>
        <v/>
      </c>
      <c r="B315">
        <f>IF(ISBLANK('ENGAGEMENTS 2026'!B315),"",'ENGAGEMENTS 2026'!C315)</f>
        <v/>
      </c>
      <c r="C315">
        <f>IF(ISBLANK('ENGAGEMENTS 2026'!B315),"",'ENGAGEMENTS 2026'!D315)</f>
        <v/>
      </c>
      <c r="D315">
        <f>IF(ISBLANK('ENGAGEMENTS 2026'!B315),"",'ENGAGEMENTS 2026'!F315)</f>
        <v/>
      </c>
      <c r="E315">
        <f>IF(ISBLANK('ENGAGEMENTS 2026'!B315),"",'ENGAGEMENTS 2026'!H315)</f>
        <v/>
      </c>
      <c r="F315">
        <f>IF(ISBLANK('ENGAGEMENTS 2026'!B315),"",'ENGAGEMENTS 2026'!I315)</f>
        <v/>
      </c>
      <c r="G315">
        <f>IF(ISBLANK('ENGAGEMENTS 2026'!B315),"",'ENGAGEMENTS 2026'!L315)</f>
        <v/>
      </c>
      <c r="H315">
        <f>IF(ISBLANK('ENGAGEMENTS 2026'!B315),"",'ENGAGEMENTS 2026'!AE315)</f>
        <v/>
      </c>
      <c r="I315">
        <f>IF(ISBLANK('ENGAGEMENTS 2026'!B315),"",'ENGAGEMENTS 2026'!G315)</f>
        <v/>
      </c>
      <c r="J315" s="275">
        <f>IF(ISBLANK('ENGAGEMENTS 2026'!B315),"",IF(AND(OR($E315="INFRUCTUEUX",$E315="ANNULE"),$C315="AOO-M"),'ENGAGEMENTS 2026'!O315,IF($H315="EN COURS DE PREENGAGEMENT",'ENGAGEMENTS 2026'!N315,IF($H315="PREENGAGE",IF($E315="ATTRIBUE",'ENGAGEMENTS 2026'!AD315,'ENGAGEMENTS 2026'!N315),'ENGAGEMENTS 2026'!AD315))))</f>
        <v/>
      </c>
      <c r="K315" s="604">
        <f>IF(ISBLANK('ENGAGEMENTS 2026'!V315),"",'ENGAGEMENTS 2026'!V315)</f>
        <v/>
      </c>
      <c r="L315" s="276">
        <f>IF($K315="","",TODAY()-$K315)</f>
        <v/>
      </c>
      <c r="M315">
        <f>IF($A315="","",IF($H315="ENGAGE","Engagé",IF(AND($H315="NON ENGAGE",OR($I315="INFRUCTUEUX",$I315="ANNULE")),"Clôturé sans suite","En cours")))</f>
        <v/>
      </c>
      <c r="N315">
        <f>IF(ISBLANK('ENGAGEMENTS 2026'!B315),"",'ENGAGEMENTS 2026'!K315)</f>
        <v/>
      </c>
      <c r="O315">
        <f>IF(ISBLANK('ENGAGEMENTS 2026'!B315),"",'ENGAGEMENTS 2026'!L315)</f>
        <v/>
      </c>
      <c r="P315">
        <f>IF(ISBLANK('ENGAGEMENTS 2026'!B315),"",'ENGAGEMENTS 2026'!J315)</f>
        <v/>
      </c>
      <c r="Q315">
        <f>IF($A315="","",IF(OR($E315="INFRUCTUEUX",$E315="ANNULE"),$A315&amp;"|"&amp;(COUNTIFS($A$2:$A315,$A315,$E$2:$E315,"INFRUCTUEUX")+COUNTIFS($A$2:$A315,$A315,$E$2:$E315,"ANNULE")),""))</f>
        <v/>
      </c>
    </row>
    <row r="316">
      <c r="A316">
        <f>IF(ISBLANK('ENGAGEMENTS 2026'!B316),"",IF('ENGAGEMENTS 2026'!B316="DTSI","DCT",'ENGAGEMENTS 2026'!B316))</f>
        <v/>
      </c>
      <c r="B316">
        <f>IF(ISBLANK('ENGAGEMENTS 2026'!B316),"",'ENGAGEMENTS 2026'!C316)</f>
        <v/>
      </c>
      <c r="C316">
        <f>IF(ISBLANK('ENGAGEMENTS 2026'!B316),"",'ENGAGEMENTS 2026'!D316)</f>
        <v/>
      </c>
      <c r="D316">
        <f>IF(ISBLANK('ENGAGEMENTS 2026'!B316),"",'ENGAGEMENTS 2026'!F316)</f>
        <v/>
      </c>
      <c r="E316">
        <f>IF(ISBLANK('ENGAGEMENTS 2026'!B316),"",'ENGAGEMENTS 2026'!H316)</f>
        <v/>
      </c>
      <c r="F316">
        <f>IF(ISBLANK('ENGAGEMENTS 2026'!B316),"",'ENGAGEMENTS 2026'!I316)</f>
        <v/>
      </c>
      <c r="G316">
        <f>IF(ISBLANK('ENGAGEMENTS 2026'!B316),"",'ENGAGEMENTS 2026'!L316)</f>
        <v/>
      </c>
      <c r="H316">
        <f>IF(ISBLANK('ENGAGEMENTS 2026'!B316),"",'ENGAGEMENTS 2026'!AE316)</f>
        <v/>
      </c>
      <c r="I316">
        <f>IF(ISBLANK('ENGAGEMENTS 2026'!B316),"",'ENGAGEMENTS 2026'!G316)</f>
        <v/>
      </c>
      <c r="J316" s="275">
        <f>IF(ISBLANK('ENGAGEMENTS 2026'!B316),"",IF(AND(OR($E316="INFRUCTUEUX",$E316="ANNULE"),$C316="AOO-M"),'ENGAGEMENTS 2026'!O316,IF($H316="EN COURS DE PREENGAGEMENT",'ENGAGEMENTS 2026'!N316,IF($H316="PREENGAGE",IF($E316="ATTRIBUE",'ENGAGEMENTS 2026'!AD316,'ENGAGEMENTS 2026'!N316),'ENGAGEMENTS 2026'!AD316))))</f>
        <v/>
      </c>
      <c r="K316" s="604">
        <f>IF(ISBLANK('ENGAGEMENTS 2026'!V316),"",'ENGAGEMENTS 2026'!V316)</f>
        <v/>
      </c>
      <c r="L316" s="276">
        <f>IF($K316="","",TODAY()-$K316)</f>
        <v/>
      </c>
      <c r="M316">
        <f>IF($A316="","",IF($H316="ENGAGE","Engagé",IF(AND($H316="NON ENGAGE",OR($I316="INFRUCTUEUX",$I316="ANNULE")),"Clôturé sans suite","En cours")))</f>
        <v/>
      </c>
      <c r="N316">
        <f>IF(ISBLANK('ENGAGEMENTS 2026'!B316),"",'ENGAGEMENTS 2026'!K316)</f>
        <v/>
      </c>
      <c r="O316">
        <f>IF(ISBLANK('ENGAGEMENTS 2026'!B316),"",'ENGAGEMENTS 2026'!L316)</f>
        <v/>
      </c>
      <c r="P316">
        <f>IF(ISBLANK('ENGAGEMENTS 2026'!B316),"",'ENGAGEMENTS 2026'!J316)</f>
        <v/>
      </c>
      <c r="Q316">
        <f>IF($A316="","",IF(OR($E316="INFRUCTUEUX",$E316="ANNULE"),$A316&amp;"|"&amp;(COUNTIFS($A$2:$A316,$A316,$E$2:$E316,"INFRUCTUEUX")+COUNTIFS($A$2:$A316,$A316,$E$2:$E316,"ANNULE")),""))</f>
        <v/>
      </c>
    </row>
    <row r="317">
      <c r="A317">
        <f>IF(ISBLANK('ENGAGEMENTS 2026'!B317),"",IF('ENGAGEMENTS 2026'!B317="DTSI","DCT",'ENGAGEMENTS 2026'!B317))</f>
        <v/>
      </c>
      <c r="B317">
        <f>IF(ISBLANK('ENGAGEMENTS 2026'!B317),"",'ENGAGEMENTS 2026'!C317)</f>
        <v/>
      </c>
      <c r="C317">
        <f>IF(ISBLANK('ENGAGEMENTS 2026'!B317),"",'ENGAGEMENTS 2026'!D317)</f>
        <v/>
      </c>
      <c r="D317">
        <f>IF(ISBLANK('ENGAGEMENTS 2026'!B317),"",'ENGAGEMENTS 2026'!F317)</f>
        <v/>
      </c>
      <c r="E317">
        <f>IF(ISBLANK('ENGAGEMENTS 2026'!B317),"",'ENGAGEMENTS 2026'!H317)</f>
        <v/>
      </c>
      <c r="F317">
        <f>IF(ISBLANK('ENGAGEMENTS 2026'!B317),"",'ENGAGEMENTS 2026'!I317)</f>
        <v/>
      </c>
      <c r="G317">
        <f>IF(ISBLANK('ENGAGEMENTS 2026'!B317),"",'ENGAGEMENTS 2026'!L317)</f>
        <v/>
      </c>
      <c r="H317">
        <f>IF(ISBLANK('ENGAGEMENTS 2026'!B317),"",'ENGAGEMENTS 2026'!AE317)</f>
        <v/>
      </c>
      <c r="I317">
        <f>IF(ISBLANK('ENGAGEMENTS 2026'!B317),"",'ENGAGEMENTS 2026'!G317)</f>
        <v/>
      </c>
      <c r="J317" s="275">
        <f>IF(ISBLANK('ENGAGEMENTS 2026'!B317),"",IF(AND(OR($E317="INFRUCTUEUX",$E317="ANNULE"),$C317="AOO-M"),'ENGAGEMENTS 2026'!O317,IF($H317="EN COURS DE PREENGAGEMENT",'ENGAGEMENTS 2026'!N317,IF($H317="PREENGAGE",IF($E317="ATTRIBUE",'ENGAGEMENTS 2026'!AD317,'ENGAGEMENTS 2026'!N317),'ENGAGEMENTS 2026'!AD317))))</f>
        <v/>
      </c>
      <c r="K317" s="604">
        <f>IF(ISBLANK('ENGAGEMENTS 2026'!V317),"",'ENGAGEMENTS 2026'!V317)</f>
        <v/>
      </c>
      <c r="L317" s="276">
        <f>IF($K317="","",TODAY()-$K317)</f>
        <v/>
      </c>
      <c r="M317">
        <f>IF($A317="","",IF($H317="ENGAGE","Engagé",IF(AND($H317="NON ENGAGE",OR($I317="INFRUCTUEUX",$I317="ANNULE")),"Clôturé sans suite","En cours")))</f>
        <v/>
      </c>
      <c r="N317">
        <f>IF(ISBLANK('ENGAGEMENTS 2026'!B317),"",'ENGAGEMENTS 2026'!K317)</f>
        <v/>
      </c>
      <c r="O317">
        <f>IF(ISBLANK('ENGAGEMENTS 2026'!B317),"",'ENGAGEMENTS 2026'!L317)</f>
        <v/>
      </c>
      <c r="P317">
        <f>IF(ISBLANK('ENGAGEMENTS 2026'!B317),"",'ENGAGEMENTS 2026'!J317)</f>
        <v/>
      </c>
      <c r="Q317">
        <f>IF($A317="","",IF(OR($E317="INFRUCTUEUX",$E317="ANNULE"),$A317&amp;"|"&amp;(COUNTIFS($A$2:$A317,$A317,$E$2:$E317,"INFRUCTUEUX")+COUNTIFS($A$2:$A317,$A317,$E$2:$E317,"ANNULE")),""))</f>
        <v/>
      </c>
    </row>
    <row r="318">
      <c r="A318">
        <f>IF(ISBLANK('ENGAGEMENTS 2026'!B318),"",IF('ENGAGEMENTS 2026'!B318="DTSI","DCT",'ENGAGEMENTS 2026'!B318))</f>
        <v/>
      </c>
      <c r="B318">
        <f>IF(ISBLANK('ENGAGEMENTS 2026'!B318),"",'ENGAGEMENTS 2026'!C318)</f>
        <v/>
      </c>
      <c r="C318">
        <f>IF(ISBLANK('ENGAGEMENTS 2026'!B318),"",'ENGAGEMENTS 2026'!D318)</f>
        <v/>
      </c>
      <c r="D318">
        <f>IF(ISBLANK('ENGAGEMENTS 2026'!B318),"",'ENGAGEMENTS 2026'!F318)</f>
        <v/>
      </c>
      <c r="E318">
        <f>IF(ISBLANK('ENGAGEMENTS 2026'!B318),"",'ENGAGEMENTS 2026'!H318)</f>
        <v/>
      </c>
      <c r="F318">
        <f>IF(ISBLANK('ENGAGEMENTS 2026'!B318),"",'ENGAGEMENTS 2026'!I318)</f>
        <v/>
      </c>
      <c r="G318">
        <f>IF(ISBLANK('ENGAGEMENTS 2026'!B318),"",'ENGAGEMENTS 2026'!L318)</f>
        <v/>
      </c>
      <c r="H318">
        <f>IF(ISBLANK('ENGAGEMENTS 2026'!B318),"",'ENGAGEMENTS 2026'!AE318)</f>
        <v/>
      </c>
      <c r="I318">
        <f>IF(ISBLANK('ENGAGEMENTS 2026'!B318),"",'ENGAGEMENTS 2026'!G318)</f>
        <v/>
      </c>
      <c r="J318" s="275">
        <f>IF(ISBLANK('ENGAGEMENTS 2026'!B318),"",IF(AND(OR($E318="INFRUCTUEUX",$E318="ANNULE"),$C318="AOO-M"),'ENGAGEMENTS 2026'!O318,IF($H318="EN COURS DE PREENGAGEMENT",'ENGAGEMENTS 2026'!N318,IF($H318="PREENGAGE",IF($E318="ATTRIBUE",'ENGAGEMENTS 2026'!AD318,'ENGAGEMENTS 2026'!N318),'ENGAGEMENTS 2026'!AD318))))</f>
        <v/>
      </c>
      <c r="K318" s="604">
        <f>IF(ISBLANK('ENGAGEMENTS 2026'!V318),"",'ENGAGEMENTS 2026'!V318)</f>
        <v/>
      </c>
      <c r="L318" s="276">
        <f>IF($K318="","",TODAY()-$K318)</f>
        <v/>
      </c>
      <c r="M318">
        <f>IF($A318="","",IF($H318="ENGAGE","Engagé",IF(AND($H318="NON ENGAGE",OR($I318="INFRUCTUEUX",$I318="ANNULE")),"Clôturé sans suite","En cours")))</f>
        <v/>
      </c>
      <c r="N318">
        <f>IF(ISBLANK('ENGAGEMENTS 2026'!B318),"",'ENGAGEMENTS 2026'!K318)</f>
        <v/>
      </c>
      <c r="O318">
        <f>IF(ISBLANK('ENGAGEMENTS 2026'!B318),"",'ENGAGEMENTS 2026'!L318)</f>
        <v/>
      </c>
      <c r="P318">
        <f>IF(ISBLANK('ENGAGEMENTS 2026'!B318),"",'ENGAGEMENTS 2026'!J318)</f>
        <v/>
      </c>
      <c r="Q318">
        <f>IF($A318="","",IF(OR($E318="INFRUCTUEUX",$E318="ANNULE"),$A318&amp;"|"&amp;(COUNTIFS($A$2:$A318,$A318,$E$2:$E318,"INFRUCTUEUX")+COUNTIFS($A$2:$A318,$A318,$E$2:$E318,"ANNULE")),""))</f>
        <v/>
      </c>
    </row>
    <row r="319">
      <c r="A319">
        <f>IF(ISBLANK('ENGAGEMENTS 2026'!B319),"",IF('ENGAGEMENTS 2026'!B319="DTSI","DCT",'ENGAGEMENTS 2026'!B319))</f>
        <v/>
      </c>
      <c r="B319">
        <f>IF(ISBLANK('ENGAGEMENTS 2026'!B319),"",'ENGAGEMENTS 2026'!C319)</f>
        <v/>
      </c>
      <c r="C319">
        <f>IF(ISBLANK('ENGAGEMENTS 2026'!B319),"",'ENGAGEMENTS 2026'!D319)</f>
        <v/>
      </c>
      <c r="D319">
        <f>IF(ISBLANK('ENGAGEMENTS 2026'!B319),"",'ENGAGEMENTS 2026'!F319)</f>
        <v/>
      </c>
      <c r="E319">
        <f>IF(ISBLANK('ENGAGEMENTS 2026'!B319),"",'ENGAGEMENTS 2026'!H319)</f>
        <v/>
      </c>
      <c r="F319">
        <f>IF(ISBLANK('ENGAGEMENTS 2026'!B319),"",'ENGAGEMENTS 2026'!I319)</f>
        <v/>
      </c>
      <c r="G319">
        <f>IF(ISBLANK('ENGAGEMENTS 2026'!B319),"",'ENGAGEMENTS 2026'!L319)</f>
        <v/>
      </c>
      <c r="H319">
        <f>IF(ISBLANK('ENGAGEMENTS 2026'!B319),"",'ENGAGEMENTS 2026'!AE319)</f>
        <v/>
      </c>
      <c r="I319">
        <f>IF(ISBLANK('ENGAGEMENTS 2026'!B319),"",'ENGAGEMENTS 2026'!G319)</f>
        <v/>
      </c>
      <c r="J319" s="275">
        <f>IF(ISBLANK('ENGAGEMENTS 2026'!B319),"",IF(AND(OR($E319="INFRUCTUEUX",$E319="ANNULE"),$C319="AOO-M"),'ENGAGEMENTS 2026'!O319,IF($H319="EN COURS DE PREENGAGEMENT",'ENGAGEMENTS 2026'!N319,IF($H319="PREENGAGE",IF($E319="ATTRIBUE",'ENGAGEMENTS 2026'!AD319,'ENGAGEMENTS 2026'!N319),'ENGAGEMENTS 2026'!AD319))))</f>
        <v/>
      </c>
      <c r="K319" s="604">
        <f>IF(ISBLANK('ENGAGEMENTS 2026'!V319),"",'ENGAGEMENTS 2026'!V319)</f>
        <v/>
      </c>
      <c r="L319" s="276">
        <f>IF($K319="","",TODAY()-$K319)</f>
        <v/>
      </c>
      <c r="M319">
        <f>IF($A319="","",IF($H319="ENGAGE","Engagé",IF(AND($H319="NON ENGAGE",OR($I319="INFRUCTUEUX",$I319="ANNULE")),"Clôturé sans suite","En cours")))</f>
        <v/>
      </c>
      <c r="N319">
        <f>IF(ISBLANK('ENGAGEMENTS 2026'!B319),"",'ENGAGEMENTS 2026'!K319)</f>
        <v/>
      </c>
      <c r="O319">
        <f>IF(ISBLANK('ENGAGEMENTS 2026'!B319),"",'ENGAGEMENTS 2026'!L319)</f>
        <v/>
      </c>
      <c r="P319">
        <f>IF(ISBLANK('ENGAGEMENTS 2026'!B319),"",'ENGAGEMENTS 2026'!J319)</f>
        <v/>
      </c>
      <c r="Q319">
        <f>IF($A319="","",IF(OR($E319="INFRUCTUEUX",$E319="ANNULE"),$A319&amp;"|"&amp;(COUNTIFS($A$2:$A319,$A319,$E$2:$E319,"INFRUCTUEUX")+COUNTIFS($A$2:$A319,$A319,$E$2:$E319,"ANNULE")),""))</f>
        <v/>
      </c>
    </row>
    <row r="320">
      <c r="A320">
        <f>IF(ISBLANK('ENGAGEMENTS 2026'!B320),"",IF('ENGAGEMENTS 2026'!B320="DTSI","DCT",'ENGAGEMENTS 2026'!B320))</f>
        <v/>
      </c>
      <c r="B320">
        <f>IF(ISBLANK('ENGAGEMENTS 2026'!B320),"",'ENGAGEMENTS 2026'!C320)</f>
        <v/>
      </c>
      <c r="C320">
        <f>IF(ISBLANK('ENGAGEMENTS 2026'!B320),"",'ENGAGEMENTS 2026'!D320)</f>
        <v/>
      </c>
      <c r="D320">
        <f>IF(ISBLANK('ENGAGEMENTS 2026'!B320),"",'ENGAGEMENTS 2026'!F320)</f>
        <v/>
      </c>
      <c r="E320">
        <f>IF(ISBLANK('ENGAGEMENTS 2026'!B320),"",'ENGAGEMENTS 2026'!H320)</f>
        <v/>
      </c>
      <c r="F320">
        <f>IF(ISBLANK('ENGAGEMENTS 2026'!B320),"",'ENGAGEMENTS 2026'!I320)</f>
        <v/>
      </c>
      <c r="G320">
        <f>IF(ISBLANK('ENGAGEMENTS 2026'!B320),"",'ENGAGEMENTS 2026'!L320)</f>
        <v/>
      </c>
      <c r="H320">
        <f>IF(ISBLANK('ENGAGEMENTS 2026'!B320),"",'ENGAGEMENTS 2026'!AE320)</f>
        <v/>
      </c>
      <c r="I320">
        <f>IF(ISBLANK('ENGAGEMENTS 2026'!B320),"",'ENGAGEMENTS 2026'!G320)</f>
        <v/>
      </c>
      <c r="J320" s="275">
        <f>IF(ISBLANK('ENGAGEMENTS 2026'!B320),"",IF(AND(OR($E320="INFRUCTUEUX",$E320="ANNULE"),$C320="AOO-M"),'ENGAGEMENTS 2026'!O320,IF($H320="EN COURS DE PREENGAGEMENT",'ENGAGEMENTS 2026'!N320,IF($H320="PREENGAGE",IF($E320="ATTRIBUE",'ENGAGEMENTS 2026'!AD320,'ENGAGEMENTS 2026'!N320),'ENGAGEMENTS 2026'!AD320))))</f>
        <v/>
      </c>
      <c r="K320" s="604">
        <f>IF(ISBLANK('ENGAGEMENTS 2026'!V320),"",'ENGAGEMENTS 2026'!V320)</f>
        <v/>
      </c>
      <c r="L320" s="276">
        <f>IF($K320="","",TODAY()-$K320)</f>
        <v/>
      </c>
      <c r="M320">
        <f>IF($A320="","",IF($H320="ENGAGE","Engagé",IF(AND($H320="NON ENGAGE",OR($I320="INFRUCTUEUX",$I320="ANNULE")),"Clôturé sans suite","En cours")))</f>
        <v/>
      </c>
      <c r="N320">
        <f>IF(ISBLANK('ENGAGEMENTS 2026'!B320),"",'ENGAGEMENTS 2026'!K320)</f>
        <v/>
      </c>
      <c r="O320">
        <f>IF(ISBLANK('ENGAGEMENTS 2026'!B320),"",'ENGAGEMENTS 2026'!L320)</f>
        <v/>
      </c>
      <c r="P320">
        <f>IF(ISBLANK('ENGAGEMENTS 2026'!B320),"",'ENGAGEMENTS 2026'!J320)</f>
        <v/>
      </c>
      <c r="Q320">
        <f>IF($A320="","",IF(OR($E320="INFRUCTUEUX",$E320="ANNULE"),$A320&amp;"|"&amp;(COUNTIFS($A$2:$A320,$A320,$E$2:$E320,"INFRUCTUEUX")+COUNTIFS($A$2:$A320,$A320,$E$2:$E320,"ANNULE")),""))</f>
        <v/>
      </c>
    </row>
    <row r="321">
      <c r="A321">
        <f>IF(ISBLANK('ENGAGEMENTS 2026'!B321),"",IF('ENGAGEMENTS 2026'!B321="DTSI","DCT",'ENGAGEMENTS 2026'!B321))</f>
        <v/>
      </c>
      <c r="B321">
        <f>IF(ISBLANK('ENGAGEMENTS 2026'!B321),"",'ENGAGEMENTS 2026'!C321)</f>
        <v/>
      </c>
      <c r="C321">
        <f>IF(ISBLANK('ENGAGEMENTS 2026'!B321),"",'ENGAGEMENTS 2026'!D321)</f>
        <v/>
      </c>
      <c r="D321">
        <f>IF(ISBLANK('ENGAGEMENTS 2026'!B321),"",'ENGAGEMENTS 2026'!F321)</f>
        <v/>
      </c>
      <c r="E321">
        <f>IF(ISBLANK('ENGAGEMENTS 2026'!B321),"",'ENGAGEMENTS 2026'!H321)</f>
        <v/>
      </c>
      <c r="F321">
        <f>IF(ISBLANK('ENGAGEMENTS 2026'!B321),"",'ENGAGEMENTS 2026'!I321)</f>
        <v/>
      </c>
      <c r="G321">
        <f>IF(ISBLANK('ENGAGEMENTS 2026'!B321),"",'ENGAGEMENTS 2026'!L321)</f>
        <v/>
      </c>
      <c r="H321">
        <f>IF(ISBLANK('ENGAGEMENTS 2026'!B321),"",'ENGAGEMENTS 2026'!AE321)</f>
        <v/>
      </c>
      <c r="I321">
        <f>IF(ISBLANK('ENGAGEMENTS 2026'!B321),"",'ENGAGEMENTS 2026'!G321)</f>
        <v/>
      </c>
      <c r="J321" s="275">
        <f>IF(ISBLANK('ENGAGEMENTS 2026'!B321),"",IF(AND(OR($E321="INFRUCTUEUX",$E321="ANNULE"),$C321="AOO-M"),'ENGAGEMENTS 2026'!O321,IF($H321="EN COURS DE PREENGAGEMENT",'ENGAGEMENTS 2026'!N321,IF($H321="PREENGAGE",IF($E321="ATTRIBUE",'ENGAGEMENTS 2026'!AD321,'ENGAGEMENTS 2026'!N321),'ENGAGEMENTS 2026'!AD321))))</f>
        <v/>
      </c>
      <c r="K321" s="604">
        <f>IF(ISBLANK('ENGAGEMENTS 2026'!V321),"",'ENGAGEMENTS 2026'!V321)</f>
        <v/>
      </c>
      <c r="L321" s="276">
        <f>IF($K321="","",TODAY()-$K321)</f>
        <v/>
      </c>
      <c r="M321">
        <f>IF($A321="","",IF($H321="ENGAGE","Engagé",IF(AND($H321="NON ENGAGE",OR($I321="INFRUCTUEUX",$I321="ANNULE")),"Clôturé sans suite","En cours")))</f>
        <v/>
      </c>
      <c r="N321">
        <f>IF(ISBLANK('ENGAGEMENTS 2026'!B321),"",'ENGAGEMENTS 2026'!K321)</f>
        <v/>
      </c>
      <c r="O321">
        <f>IF(ISBLANK('ENGAGEMENTS 2026'!B321),"",'ENGAGEMENTS 2026'!L321)</f>
        <v/>
      </c>
      <c r="P321">
        <f>IF(ISBLANK('ENGAGEMENTS 2026'!B321),"",'ENGAGEMENTS 2026'!J321)</f>
        <v/>
      </c>
      <c r="Q321">
        <f>IF($A321="","",IF(OR($E321="INFRUCTUEUX",$E321="ANNULE"),$A321&amp;"|"&amp;(COUNTIFS($A$2:$A321,$A321,$E$2:$E321,"INFRUCTUEUX")+COUNTIFS($A$2:$A321,$A321,$E$2:$E321,"ANNULE")),""))</f>
        <v/>
      </c>
    </row>
    <row r="322">
      <c r="A322">
        <f>IF(ISBLANK('ENGAGEMENTS 2026'!B322),"",IF('ENGAGEMENTS 2026'!B322="DTSI","DCT",'ENGAGEMENTS 2026'!B322))</f>
        <v/>
      </c>
      <c r="B322">
        <f>IF(ISBLANK('ENGAGEMENTS 2026'!B322),"",'ENGAGEMENTS 2026'!C322)</f>
        <v/>
      </c>
      <c r="C322">
        <f>IF(ISBLANK('ENGAGEMENTS 2026'!B322),"",'ENGAGEMENTS 2026'!D322)</f>
        <v/>
      </c>
      <c r="D322">
        <f>IF(ISBLANK('ENGAGEMENTS 2026'!B322),"",'ENGAGEMENTS 2026'!F322)</f>
        <v/>
      </c>
      <c r="E322">
        <f>IF(ISBLANK('ENGAGEMENTS 2026'!B322),"",'ENGAGEMENTS 2026'!H322)</f>
        <v/>
      </c>
      <c r="F322">
        <f>IF(ISBLANK('ENGAGEMENTS 2026'!B322),"",'ENGAGEMENTS 2026'!I322)</f>
        <v/>
      </c>
      <c r="G322">
        <f>IF(ISBLANK('ENGAGEMENTS 2026'!B322),"",'ENGAGEMENTS 2026'!L322)</f>
        <v/>
      </c>
      <c r="H322">
        <f>IF(ISBLANK('ENGAGEMENTS 2026'!B322),"",'ENGAGEMENTS 2026'!AE322)</f>
        <v/>
      </c>
      <c r="I322">
        <f>IF(ISBLANK('ENGAGEMENTS 2026'!B322),"",'ENGAGEMENTS 2026'!G322)</f>
        <v/>
      </c>
      <c r="J322" s="275">
        <f>IF(ISBLANK('ENGAGEMENTS 2026'!B322),"",IF(AND(OR($E322="INFRUCTUEUX",$E322="ANNULE"),$C322="AOO-M"),'ENGAGEMENTS 2026'!O322,IF($H322="EN COURS DE PREENGAGEMENT",'ENGAGEMENTS 2026'!N322,IF($H322="PREENGAGE",IF($E322="ATTRIBUE",'ENGAGEMENTS 2026'!AD322,'ENGAGEMENTS 2026'!N322),'ENGAGEMENTS 2026'!AD322))))</f>
        <v/>
      </c>
      <c r="K322" s="604">
        <f>IF(ISBLANK('ENGAGEMENTS 2026'!V322),"",'ENGAGEMENTS 2026'!V322)</f>
        <v/>
      </c>
      <c r="L322" s="276">
        <f>IF($K322="","",TODAY()-$K322)</f>
        <v/>
      </c>
      <c r="M322">
        <f>IF($A322="","",IF($H322="ENGAGE","Engagé",IF(AND($H322="NON ENGAGE",OR($I322="INFRUCTUEUX",$I322="ANNULE")),"Clôturé sans suite","En cours")))</f>
        <v/>
      </c>
      <c r="N322">
        <f>IF(ISBLANK('ENGAGEMENTS 2026'!B322),"",'ENGAGEMENTS 2026'!K322)</f>
        <v/>
      </c>
      <c r="O322">
        <f>IF(ISBLANK('ENGAGEMENTS 2026'!B322),"",'ENGAGEMENTS 2026'!L322)</f>
        <v/>
      </c>
      <c r="P322">
        <f>IF(ISBLANK('ENGAGEMENTS 2026'!B322),"",'ENGAGEMENTS 2026'!J322)</f>
        <v/>
      </c>
      <c r="Q322">
        <f>IF($A322="","",IF(OR($E322="INFRUCTUEUX",$E322="ANNULE"),$A322&amp;"|"&amp;(COUNTIFS($A$2:$A322,$A322,$E$2:$E322,"INFRUCTUEUX")+COUNTIFS($A$2:$A322,$A322,$E$2:$E322,"ANNULE")),""))</f>
        <v/>
      </c>
    </row>
    <row r="323">
      <c r="A323">
        <f>IF(ISBLANK('ENGAGEMENTS 2026'!B323),"",IF('ENGAGEMENTS 2026'!B323="DTSI","DCT",'ENGAGEMENTS 2026'!B323))</f>
        <v/>
      </c>
      <c r="B323">
        <f>IF(ISBLANK('ENGAGEMENTS 2026'!B323),"",'ENGAGEMENTS 2026'!C323)</f>
        <v/>
      </c>
      <c r="C323">
        <f>IF(ISBLANK('ENGAGEMENTS 2026'!B323),"",'ENGAGEMENTS 2026'!D323)</f>
        <v/>
      </c>
      <c r="D323">
        <f>IF(ISBLANK('ENGAGEMENTS 2026'!B323),"",'ENGAGEMENTS 2026'!F323)</f>
        <v/>
      </c>
      <c r="E323">
        <f>IF(ISBLANK('ENGAGEMENTS 2026'!B323),"",'ENGAGEMENTS 2026'!H323)</f>
        <v/>
      </c>
      <c r="F323">
        <f>IF(ISBLANK('ENGAGEMENTS 2026'!B323),"",'ENGAGEMENTS 2026'!I323)</f>
        <v/>
      </c>
      <c r="G323">
        <f>IF(ISBLANK('ENGAGEMENTS 2026'!B323),"",'ENGAGEMENTS 2026'!L323)</f>
        <v/>
      </c>
      <c r="H323">
        <f>IF(ISBLANK('ENGAGEMENTS 2026'!B323),"",'ENGAGEMENTS 2026'!AE323)</f>
        <v/>
      </c>
      <c r="I323">
        <f>IF(ISBLANK('ENGAGEMENTS 2026'!B323),"",'ENGAGEMENTS 2026'!G323)</f>
        <v/>
      </c>
      <c r="J323" s="275">
        <f>IF(ISBLANK('ENGAGEMENTS 2026'!B323),"",IF(AND(OR($E323="INFRUCTUEUX",$E323="ANNULE"),$C323="AOO-M"),'ENGAGEMENTS 2026'!O323,IF($H323="EN COURS DE PREENGAGEMENT",'ENGAGEMENTS 2026'!N323,IF($H323="PREENGAGE",IF($E323="ATTRIBUE",'ENGAGEMENTS 2026'!AD323,'ENGAGEMENTS 2026'!N323),'ENGAGEMENTS 2026'!AD323))))</f>
        <v/>
      </c>
      <c r="K323" s="604">
        <f>IF(ISBLANK('ENGAGEMENTS 2026'!V323),"",'ENGAGEMENTS 2026'!V323)</f>
        <v/>
      </c>
      <c r="L323" s="276">
        <f>IF($K323="","",TODAY()-$K323)</f>
        <v/>
      </c>
      <c r="M323">
        <f>IF($A323="","",IF($H323="ENGAGE","Engagé",IF(AND($H323="NON ENGAGE",OR($I323="INFRUCTUEUX",$I323="ANNULE")),"Clôturé sans suite","En cours")))</f>
        <v/>
      </c>
      <c r="N323">
        <f>IF(ISBLANK('ENGAGEMENTS 2026'!B323),"",'ENGAGEMENTS 2026'!K323)</f>
        <v/>
      </c>
      <c r="O323">
        <f>IF(ISBLANK('ENGAGEMENTS 2026'!B323),"",'ENGAGEMENTS 2026'!L323)</f>
        <v/>
      </c>
      <c r="P323">
        <f>IF(ISBLANK('ENGAGEMENTS 2026'!B323),"",'ENGAGEMENTS 2026'!J323)</f>
        <v/>
      </c>
      <c r="Q323">
        <f>IF($A323="","",IF(OR($E323="INFRUCTUEUX",$E323="ANNULE"),$A323&amp;"|"&amp;(COUNTIFS($A$2:$A323,$A323,$E$2:$E323,"INFRUCTUEUX")+COUNTIFS($A$2:$A323,$A323,$E$2:$E323,"ANNULE")),""))</f>
        <v/>
      </c>
    </row>
    <row r="324">
      <c r="A324">
        <f>IF(ISBLANK('ENGAGEMENTS 2026'!B324),"",IF('ENGAGEMENTS 2026'!B324="DTSI","DCT",'ENGAGEMENTS 2026'!B324))</f>
        <v/>
      </c>
      <c r="B324">
        <f>IF(ISBLANK('ENGAGEMENTS 2026'!B324),"",'ENGAGEMENTS 2026'!C324)</f>
        <v/>
      </c>
      <c r="C324">
        <f>IF(ISBLANK('ENGAGEMENTS 2026'!B324),"",'ENGAGEMENTS 2026'!D324)</f>
        <v/>
      </c>
      <c r="D324">
        <f>IF(ISBLANK('ENGAGEMENTS 2026'!B324),"",'ENGAGEMENTS 2026'!F324)</f>
        <v/>
      </c>
      <c r="E324">
        <f>IF(ISBLANK('ENGAGEMENTS 2026'!B324),"",'ENGAGEMENTS 2026'!H324)</f>
        <v/>
      </c>
      <c r="F324">
        <f>IF(ISBLANK('ENGAGEMENTS 2026'!B324),"",'ENGAGEMENTS 2026'!I324)</f>
        <v/>
      </c>
      <c r="G324">
        <f>IF(ISBLANK('ENGAGEMENTS 2026'!B324),"",'ENGAGEMENTS 2026'!L324)</f>
        <v/>
      </c>
      <c r="H324">
        <f>IF(ISBLANK('ENGAGEMENTS 2026'!B324),"",'ENGAGEMENTS 2026'!AE324)</f>
        <v/>
      </c>
      <c r="I324">
        <f>IF(ISBLANK('ENGAGEMENTS 2026'!B324),"",'ENGAGEMENTS 2026'!G324)</f>
        <v/>
      </c>
      <c r="J324" s="275">
        <f>IF(ISBLANK('ENGAGEMENTS 2026'!B324),"",IF(AND(OR($E324="INFRUCTUEUX",$E324="ANNULE"),$C324="AOO-M"),'ENGAGEMENTS 2026'!O324,IF($H324="EN COURS DE PREENGAGEMENT",'ENGAGEMENTS 2026'!N324,IF($H324="PREENGAGE",IF($E324="ATTRIBUE",'ENGAGEMENTS 2026'!AD324,'ENGAGEMENTS 2026'!N324),'ENGAGEMENTS 2026'!AD324))))</f>
        <v/>
      </c>
      <c r="K324" s="604">
        <f>IF(ISBLANK('ENGAGEMENTS 2026'!V324),"",'ENGAGEMENTS 2026'!V324)</f>
        <v/>
      </c>
      <c r="L324" s="276">
        <f>IF($K324="","",TODAY()-$K324)</f>
        <v/>
      </c>
      <c r="M324">
        <f>IF($A324="","",IF($H324="ENGAGE","Engagé",IF(AND($H324="NON ENGAGE",OR($I324="INFRUCTUEUX",$I324="ANNULE")),"Clôturé sans suite","En cours")))</f>
        <v/>
      </c>
      <c r="N324">
        <f>IF(ISBLANK('ENGAGEMENTS 2026'!B324),"",'ENGAGEMENTS 2026'!K324)</f>
        <v/>
      </c>
      <c r="O324">
        <f>IF(ISBLANK('ENGAGEMENTS 2026'!B324),"",'ENGAGEMENTS 2026'!L324)</f>
        <v/>
      </c>
      <c r="P324">
        <f>IF(ISBLANK('ENGAGEMENTS 2026'!B324),"",'ENGAGEMENTS 2026'!J324)</f>
        <v/>
      </c>
      <c r="Q324">
        <f>IF($A324="","",IF(OR($E324="INFRUCTUEUX",$E324="ANNULE"),$A324&amp;"|"&amp;(COUNTIFS($A$2:$A324,$A324,$E$2:$E324,"INFRUCTUEUX")+COUNTIFS($A$2:$A324,$A324,$E$2:$E324,"ANNULE")),""))</f>
        <v/>
      </c>
    </row>
    <row r="325">
      <c r="A325">
        <f>IF(ISBLANK('ENGAGEMENTS 2026'!B325),"",IF('ENGAGEMENTS 2026'!B325="DTSI","DCT",'ENGAGEMENTS 2026'!B325))</f>
        <v/>
      </c>
      <c r="B325">
        <f>IF(ISBLANK('ENGAGEMENTS 2026'!B325),"",'ENGAGEMENTS 2026'!C325)</f>
        <v/>
      </c>
      <c r="C325">
        <f>IF(ISBLANK('ENGAGEMENTS 2026'!B325),"",'ENGAGEMENTS 2026'!D325)</f>
        <v/>
      </c>
      <c r="D325">
        <f>IF(ISBLANK('ENGAGEMENTS 2026'!B325),"",'ENGAGEMENTS 2026'!F325)</f>
        <v/>
      </c>
      <c r="E325">
        <f>IF(ISBLANK('ENGAGEMENTS 2026'!B325),"",'ENGAGEMENTS 2026'!H325)</f>
        <v/>
      </c>
      <c r="F325">
        <f>IF(ISBLANK('ENGAGEMENTS 2026'!B325),"",'ENGAGEMENTS 2026'!I325)</f>
        <v/>
      </c>
      <c r="G325">
        <f>IF(ISBLANK('ENGAGEMENTS 2026'!B325),"",'ENGAGEMENTS 2026'!L325)</f>
        <v/>
      </c>
      <c r="H325">
        <f>IF(ISBLANK('ENGAGEMENTS 2026'!B325),"",'ENGAGEMENTS 2026'!AE325)</f>
        <v/>
      </c>
      <c r="I325">
        <f>IF(ISBLANK('ENGAGEMENTS 2026'!B325),"",'ENGAGEMENTS 2026'!G325)</f>
        <v/>
      </c>
      <c r="J325" s="275">
        <f>IF(ISBLANK('ENGAGEMENTS 2026'!B325),"",IF(AND(OR($E325="INFRUCTUEUX",$E325="ANNULE"),$C325="AOO-M"),'ENGAGEMENTS 2026'!O325,IF($H325="EN COURS DE PREENGAGEMENT",'ENGAGEMENTS 2026'!N325,IF($H325="PREENGAGE",IF($E325="ATTRIBUE",'ENGAGEMENTS 2026'!AD325,'ENGAGEMENTS 2026'!N325),'ENGAGEMENTS 2026'!AD325))))</f>
        <v/>
      </c>
      <c r="K325" s="604">
        <f>IF(ISBLANK('ENGAGEMENTS 2026'!V325),"",'ENGAGEMENTS 2026'!V325)</f>
        <v/>
      </c>
      <c r="L325" s="276">
        <f>IF($K325="","",TODAY()-$K325)</f>
        <v/>
      </c>
      <c r="M325">
        <f>IF($A325="","",IF($H325="ENGAGE","Engagé",IF(AND($H325="NON ENGAGE",OR($I325="INFRUCTUEUX",$I325="ANNULE")),"Clôturé sans suite","En cours")))</f>
        <v/>
      </c>
      <c r="N325">
        <f>IF(ISBLANK('ENGAGEMENTS 2026'!B325),"",'ENGAGEMENTS 2026'!K325)</f>
        <v/>
      </c>
      <c r="O325">
        <f>IF(ISBLANK('ENGAGEMENTS 2026'!B325),"",'ENGAGEMENTS 2026'!L325)</f>
        <v/>
      </c>
      <c r="P325">
        <f>IF(ISBLANK('ENGAGEMENTS 2026'!B325),"",'ENGAGEMENTS 2026'!J325)</f>
        <v/>
      </c>
      <c r="Q325">
        <f>IF($A325="","",IF(OR($E325="INFRUCTUEUX",$E325="ANNULE"),$A325&amp;"|"&amp;(COUNTIFS($A$2:$A325,$A325,$E$2:$E325,"INFRUCTUEUX")+COUNTIFS($A$2:$A325,$A325,$E$2:$E325,"ANNULE")),""))</f>
        <v/>
      </c>
    </row>
    <row r="326">
      <c r="A326">
        <f>IF(ISBLANK('ENGAGEMENTS 2026'!B326),"",IF('ENGAGEMENTS 2026'!B326="DTSI","DCT",'ENGAGEMENTS 2026'!B326))</f>
        <v/>
      </c>
      <c r="B326">
        <f>IF(ISBLANK('ENGAGEMENTS 2026'!B326),"",'ENGAGEMENTS 2026'!C326)</f>
        <v/>
      </c>
      <c r="C326">
        <f>IF(ISBLANK('ENGAGEMENTS 2026'!B326),"",'ENGAGEMENTS 2026'!D326)</f>
        <v/>
      </c>
      <c r="D326">
        <f>IF(ISBLANK('ENGAGEMENTS 2026'!B326),"",'ENGAGEMENTS 2026'!F326)</f>
        <v/>
      </c>
      <c r="E326">
        <f>IF(ISBLANK('ENGAGEMENTS 2026'!B326),"",'ENGAGEMENTS 2026'!H326)</f>
        <v/>
      </c>
      <c r="F326">
        <f>IF(ISBLANK('ENGAGEMENTS 2026'!B326),"",'ENGAGEMENTS 2026'!I326)</f>
        <v/>
      </c>
      <c r="G326">
        <f>IF(ISBLANK('ENGAGEMENTS 2026'!B326),"",'ENGAGEMENTS 2026'!L326)</f>
        <v/>
      </c>
      <c r="H326">
        <f>IF(ISBLANK('ENGAGEMENTS 2026'!B326),"",'ENGAGEMENTS 2026'!AE326)</f>
        <v/>
      </c>
      <c r="I326">
        <f>IF(ISBLANK('ENGAGEMENTS 2026'!B326),"",'ENGAGEMENTS 2026'!G326)</f>
        <v/>
      </c>
      <c r="J326" s="275">
        <f>IF(ISBLANK('ENGAGEMENTS 2026'!B326),"",IF(AND(OR($E326="INFRUCTUEUX",$E326="ANNULE"),$C326="AOO-M"),'ENGAGEMENTS 2026'!O326,IF($H326="EN COURS DE PREENGAGEMENT",'ENGAGEMENTS 2026'!N326,IF($H326="PREENGAGE",IF($E326="ATTRIBUE",'ENGAGEMENTS 2026'!AD326,'ENGAGEMENTS 2026'!N326),'ENGAGEMENTS 2026'!AD326))))</f>
        <v/>
      </c>
      <c r="K326" s="604">
        <f>IF(ISBLANK('ENGAGEMENTS 2026'!V326),"",'ENGAGEMENTS 2026'!V326)</f>
        <v/>
      </c>
      <c r="L326" s="276">
        <f>IF($K326="","",TODAY()-$K326)</f>
        <v/>
      </c>
      <c r="M326">
        <f>IF($A326="","",IF($H326="ENGAGE","Engagé",IF(AND($H326="NON ENGAGE",OR($I326="INFRUCTUEUX",$I326="ANNULE")),"Clôturé sans suite","En cours")))</f>
        <v/>
      </c>
      <c r="N326">
        <f>IF(ISBLANK('ENGAGEMENTS 2026'!B326),"",'ENGAGEMENTS 2026'!K326)</f>
        <v/>
      </c>
      <c r="O326">
        <f>IF(ISBLANK('ENGAGEMENTS 2026'!B326),"",'ENGAGEMENTS 2026'!L326)</f>
        <v/>
      </c>
      <c r="P326">
        <f>IF(ISBLANK('ENGAGEMENTS 2026'!B326),"",'ENGAGEMENTS 2026'!J326)</f>
        <v/>
      </c>
      <c r="Q326">
        <f>IF($A326="","",IF(OR($E326="INFRUCTUEUX",$E326="ANNULE"),$A326&amp;"|"&amp;(COUNTIFS($A$2:$A326,$A326,$E$2:$E326,"INFRUCTUEUX")+COUNTIFS($A$2:$A326,$A326,$E$2:$E326,"ANNULE")),""))</f>
        <v/>
      </c>
    </row>
    <row r="327">
      <c r="A327">
        <f>IF(ISBLANK('ENGAGEMENTS 2026'!B327),"",IF('ENGAGEMENTS 2026'!B327="DTSI","DCT",'ENGAGEMENTS 2026'!B327))</f>
        <v/>
      </c>
      <c r="B327">
        <f>IF(ISBLANK('ENGAGEMENTS 2026'!B327),"",'ENGAGEMENTS 2026'!C327)</f>
        <v/>
      </c>
      <c r="C327">
        <f>IF(ISBLANK('ENGAGEMENTS 2026'!B327),"",'ENGAGEMENTS 2026'!D327)</f>
        <v/>
      </c>
      <c r="D327">
        <f>IF(ISBLANK('ENGAGEMENTS 2026'!B327),"",'ENGAGEMENTS 2026'!F327)</f>
        <v/>
      </c>
      <c r="E327">
        <f>IF(ISBLANK('ENGAGEMENTS 2026'!B327),"",'ENGAGEMENTS 2026'!H327)</f>
        <v/>
      </c>
      <c r="F327">
        <f>IF(ISBLANK('ENGAGEMENTS 2026'!B327),"",'ENGAGEMENTS 2026'!I327)</f>
        <v/>
      </c>
      <c r="G327">
        <f>IF(ISBLANK('ENGAGEMENTS 2026'!B327),"",'ENGAGEMENTS 2026'!L327)</f>
        <v/>
      </c>
      <c r="H327">
        <f>IF(ISBLANK('ENGAGEMENTS 2026'!B327),"",'ENGAGEMENTS 2026'!AE327)</f>
        <v/>
      </c>
      <c r="I327">
        <f>IF(ISBLANK('ENGAGEMENTS 2026'!B327),"",'ENGAGEMENTS 2026'!G327)</f>
        <v/>
      </c>
      <c r="J327" s="275">
        <f>IF(ISBLANK('ENGAGEMENTS 2026'!B327),"",IF(AND(OR($E327="INFRUCTUEUX",$E327="ANNULE"),$C327="AOO-M"),'ENGAGEMENTS 2026'!O327,IF($H327="EN COURS DE PREENGAGEMENT",'ENGAGEMENTS 2026'!N327,IF($H327="PREENGAGE",IF($E327="ATTRIBUE",'ENGAGEMENTS 2026'!AD327,'ENGAGEMENTS 2026'!N327),'ENGAGEMENTS 2026'!AD327))))</f>
        <v/>
      </c>
      <c r="K327" s="604">
        <f>IF(ISBLANK('ENGAGEMENTS 2026'!V327),"",'ENGAGEMENTS 2026'!V327)</f>
        <v/>
      </c>
      <c r="L327" s="276">
        <f>IF($K327="","",TODAY()-$K327)</f>
        <v/>
      </c>
      <c r="M327">
        <f>IF($A327="","",IF($H327="ENGAGE","Engagé",IF(AND($H327="NON ENGAGE",OR($I327="INFRUCTUEUX",$I327="ANNULE")),"Clôturé sans suite","En cours")))</f>
        <v/>
      </c>
      <c r="N327">
        <f>IF(ISBLANK('ENGAGEMENTS 2026'!B327),"",'ENGAGEMENTS 2026'!K327)</f>
        <v/>
      </c>
      <c r="O327">
        <f>IF(ISBLANK('ENGAGEMENTS 2026'!B327),"",'ENGAGEMENTS 2026'!L327)</f>
        <v/>
      </c>
      <c r="P327">
        <f>IF(ISBLANK('ENGAGEMENTS 2026'!B327),"",'ENGAGEMENTS 2026'!J327)</f>
        <v/>
      </c>
      <c r="Q327">
        <f>IF($A327="","",IF(OR($E327="INFRUCTUEUX",$E327="ANNULE"),$A327&amp;"|"&amp;(COUNTIFS($A$2:$A327,$A327,$E$2:$E327,"INFRUCTUEUX")+COUNTIFS($A$2:$A327,$A327,$E$2:$E327,"ANNULE")),""))</f>
        <v/>
      </c>
    </row>
    <row r="328">
      <c r="A328">
        <f>IF(ISBLANK('ENGAGEMENTS 2026'!B328),"",IF('ENGAGEMENTS 2026'!B328="DTSI","DCT",'ENGAGEMENTS 2026'!B328))</f>
        <v/>
      </c>
      <c r="B328">
        <f>IF(ISBLANK('ENGAGEMENTS 2026'!B328),"",'ENGAGEMENTS 2026'!C328)</f>
        <v/>
      </c>
      <c r="C328">
        <f>IF(ISBLANK('ENGAGEMENTS 2026'!B328),"",'ENGAGEMENTS 2026'!D328)</f>
        <v/>
      </c>
      <c r="D328">
        <f>IF(ISBLANK('ENGAGEMENTS 2026'!B328),"",'ENGAGEMENTS 2026'!F328)</f>
        <v/>
      </c>
      <c r="E328">
        <f>IF(ISBLANK('ENGAGEMENTS 2026'!B328),"",'ENGAGEMENTS 2026'!H328)</f>
        <v/>
      </c>
      <c r="F328">
        <f>IF(ISBLANK('ENGAGEMENTS 2026'!B328),"",'ENGAGEMENTS 2026'!I328)</f>
        <v/>
      </c>
      <c r="G328">
        <f>IF(ISBLANK('ENGAGEMENTS 2026'!B328),"",'ENGAGEMENTS 2026'!L328)</f>
        <v/>
      </c>
      <c r="H328">
        <f>IF(ISBLANK('ENGAGEMENTS 2026'!B328),"",'ENGAGEMENTS 2026'!AE328)</f>
        <v/>
      </c>
      <c r="I328">
        <f>IF(ISBLANK('ENGAGEMENTS 2026'!B328),"",'ENGAGEMENTS 2026'!G328)</f>
        <v/>
      </c>
      <c r="J328" s="275">
        <f>IF(ISBLANK('ENGAGEMENTS 2026'!B328),"",IF(AND(OR($E328="INFRUCTUEUX",$E328="ANNULE"),$C328="AOO-M"),'ENGAGEMENTS 2026'!O328,IF($H328="EN COURS DE PREENGAGEMENT",'ENGAGEMENTS 2026'!N328,IF($H328="PREENGAGE",IF($E328="ATTRIBUE",'ENGAGEMENTS 2026'!AD328,'ENGAGEMENTS 2026'!N328),'ENGAGEMENTS 2026'!AD328))))</f>
        <v/>
      </c>
      <c r="K328" s="604">
        <f>IF(ISBLANK('ENGAGEMENTS 2026'!V328),"",'ENGAGEMENTS 2026'!V328)</f>
        <v/>
      </c>
      <c r="L328" s="276">
        <f>IF($K328="","",TODAY()-$K328)</f>
        <v/>
      </c>
      <c r="M328">
        <f>IF($A328="","",IF($H328="ENGAGE","Engagé",IF(AND($H328="NON ENGAGE",OR($I328="INFRUCTUEUX",$I328="ANNULE")),"Clôturé sans suite","En cours")))</f>
        <v/>
      </c>
      <c r="N328">
        <f>IF(ISBLANK('ENGAGEMENTS 2026'!B328),"",'ENGAGEMENTS 2026'!K328)</f>
        <v/>
      </c>
      <c r="O328">
        <f>IF(ISBLANK('ENGAGEMENTS 2026'!B328),"",'ENGAGEMENTS 2026'!L328)</f>
        <v/>
      </c>
      <c r="P328">
        <f>IF(ISBLANK('ENGAGEMENTS 2026'!B328),"",'ENGAGEMENTS 2026'!J328)</f>
        <v/>
      </c>
      <c r="Q328">
        <f>IF($A328="","",IF(OR($E328="INFRUCTUEUX",$E328="ANNULE"),$A328&amp;"|"&amp;(COUNTIFS($A$2:$A328,$A328,$E$2:$E328,"INFRUCTUEUX")+COUNTIFS($A$2:$A328,$A328,$E$2:$E328,"ANNULE")),""))</f>
        <v/>
      </c>
    </row>
    <row r="329">
      <c r="A329">
        <f>IF(ISBLANK('ENGAGEMENTS 2026'!B329),"",IF('ENGAGEMENTS 2026'!B329="DTSI","DCT",'ENGAGEMENTS 2026'!B329))</f>
        <v/>
      </c>
      <c r="B329">
        <f>IF(ISBLANK('ENGAGEMENTS 2026'!B329),"",'ENGAGEMENTS 2026'!C329)</f>
        <v/>
      </c>
      <c r="C329">
        <f>IF(ISBLANK('ENGAGEMENTS 2026'!B329),"",'ENGAGEMENTS 2026'!D329)</f>
        <v/>
      </c>
      <c r="D329">
        <f>IF(ISBLANK('ENGAGEMENTS 2026'!B329),"",'ENGAGEMENTS 2026'!F329)</f>
        <v/>
      </c>
      <c r="E329">
        <f>IF(ISBLANK('ENGAGEMENTS 2026'!B329),"",'ENGAGEMENTS 2026'!H329)</f>
        <v/>
      </c>
      <c r="F329">
        <f>IF(ISBLANK('ENGAGEMENTS 2026'!B329),"",'ENGAGEMENTS 2026'!I329)</f>
        <v/>
      </c>
      <c r="G329">
        <f>IF(ISBLANK('ENGAGEMENTS 2026'!B329),"",'ENGAGEMENTS 2026'!L329)</f>
        <v/>
      </c>
      <c r="H329">
        <f>IF(ISBLANK('ENGAGEMENTS 2026'!B329),"",'ENGAGEMENTS 2026'!AE329)</f>
        <v/>
      </c>
      <c r="I329">
        <f>IF(ISBLANK('ENGAGEMENTS 2026'!B329),"",'ENGAGEMENTS 2026'!G329)</f>
        <v/>
      </c>
      <c r="J329" s="275">
        <f>IF(ISBLANK('ENGAGEMENTS 2026'!B329),"",IF(AND(OR($E329="INFRUCTUEUX",$E329="ANNULE"),$C329="AOO-M"),'ENGAGEMENTS 2026'!O329,IF($H329="EN COURS DE PREENGAGEMENT",'ENGAGEMENTS 2026'!N329,IF($H329="PREENGAGE",IF($E329="ATTRIBUE",'ENGAGEMENTS 2026'!AD329,'ENGAGEMENTS 2026'!N329),'ENGAGEMENTS 2026'!AD329))))</f>
        <v/>
      </c>
      <c r="K329" s="604">
        <f>IF(ISBLANK('ENGAGEMENTS 2026'!V329),"",'ENGAGEMENTS 2026'!V329)</f>
        <v/>
      </c>
      <c r="L329" s="276">
        <f>IF($K329="","",TODAY()-$K329)</f>
        <v/>
      </c>
      <c r="M329">
        <f>IF($A329="","",IF($H329="ENGAGE","Engagé",IF(AND($H329="NON ENGAGE",OR($I329="INFRUCTUEUX",$I329="ANNULE")),"Clôturé sans suite","En cours")))</f>
        <v/>
      </c>
      <c r="N329">
        <f>IF(ISBLANK('ENGAGEMENTS 2026'!B329),"",'ENGAGEMENTS 2026'!K329)</f>
        <v/>
      </c>
      <c r="O329">
        <f>IF(ISBLANK('ENGAGEMENTS 2026'!B329),"",'ENGAGEMENTS 2026'!L329)</f>
        <v/>
      </c>
      <c r="P329">
        <f>IF(ISBLANK('ENGAGEMENTS 2026'!B329),"",'ENGAGEMENTS 2026'!J329)</f>
        <v/>
      </c>
      <c r="Q329">
        <f>IF($A329="","",IF(OR($E329="INFRUCTUEUX",$E329="ANNULE"),$A329&amp;"|"&amp;(COUNTIFS($A$2:$A329,$A329,$E$2:$E329,"INFRUCTUEUX")+COUNTIFS($A$2:$A329,$A329,$E$2:$E329,"ANNULE")),""))</f>
        <v/>
      </c>
    </row>
    <row r="330">
      <c r="A330">
        <f>IF(ISBLANK('ENGAGEMENTS 2026'!B330),"",IF('ENGAGEMENTS 2026'!B330="DTSI","DCT",'ENGAGEMENTS 2026'!B330))</f>
        <v/>
      </c>
      <c r="B330">
        <f>IF(ISBLANK('ENGAGEMENTS 2026'!B330),"",'ENGAGEMENTS 2026'!C330)</f>
        <v/>
      </c>
      <c r="C330">
        <f>IF(ISBLANK('ENGAGEMENTS 2026'!B330),"",'ENGAGEMENTS 2026'!D330)</f>
        <v/>
      </c>
      <c r="D330">
        <f>IF(ISBLANK('ENGAGEMENTS 2026'!B330),"",'ENGAGEMENTS 2026'!F330)</f>
        <v/>
      </c>
      <c r="E330">
        <f>IF(ISBLANK('ENGAGEMENTS 2026'!B330),"",'ENGAGEMENTS 2026'!H330)</f>
        <v/>
      </c>
      <c r="F330">
        <f>IF(ISBLANK('ENGAGEMENTS 2026'!B330),"",'ENGAGEMENTS 2026'!I330)</f>
        <v/>
      </c>
      <c r="G330">
        <f>IF(ISBLANK('ENGAGEMENTS 2026'!B330),"",'ENGAGEMENTS 2026'!L330)</f>
        <v/>
      </c>
      <c r="H330">
        <f>IF(ISBLANK('ENGAGEMENTS 2026'!B330),"",'ENGAGEMENTS 2026'!AE330)</f>
        <v/>
      </c>
      <c r="I330">
        <f>IF(ISBLANK('ENGAGEMENTS 2026'!B330),"",'ENGAGEMENTS 2026'!G330)</f>
        <v/>
      </c>
      <c r="J330" s="275">
        <f>IF(ISBLANK('ENGAGEMENTS 2026'!B330),"",IF(AND(OR($E330="INFRUCTUEUX",$E330="ANNULE"),$C330="AOO-M"),'ENGAGEMENTS 2026'!O330,IF($H330="EN COURS DE PREENGAGEMENT",'ENGAGEMENTS 2026'!N330,IF($H330="PREENGAGE",IF($E330="ATTRIBUE",'ENGAGEMENTS 2026'!AD330,'ENGAGEMENTS 2026'!N330),'ENGAGEMENTS 2026'!AD330))))</f>
        <v/>
      </c>
      <c r="K330" s="604">
        <f>IF(ISBLANK('ENGAGEMENTS 2026'!V330),"",'ENGAGEMENTS 2026'!V330)</f>
        <v/>
      </c>
      <c r="L330" s="276">
        <f>IF($K330="","",TODAY()-$K330)</f>
        <v/>
      </c>
      <c r="M330">
        <f>IF($A330="","",IF($H330="ENGAGE","Engagé",IF(AND($H330="NON ENGAGE",OR($I330="INFRUCTUEUX",$I330="ANNULE")),"Clôturé sans suite","En cours")))</f>
        <v/>
      </c>
      <c r="N330">
        <f>IF(ISBLANK('ENGAGEMENTS 2026'!B330),"",'ENGAGEMENTS 2026'!K330)</f>
        <v/>
      </c>
      <c r="O330">
        <f>IF(ISBLANK('ENGAGEMENTS 2026'!B330),"",'ENGAGEMENTS 2026'!L330)</f>
        <v/>
      </c>
      <c r="P330">
        <f>IF(ISBLANK('ENGAGEMENTS 2026'!B330),"",'ENGAGEMENTS 2026'!J330)</f>
        <v/>
      </c>
      <c r="Q330">
        <f>IF($A330="","",IF(OR($E330="INFRUCTUEUX",$E330="ANNULE"),$A330&amp;"|"&amp;(COUNTIFS($A$2:$A330,$A330,$E$2:$E330,"INFRUCTUEUX")+COUNTIFS($A$2:$A330,$A330,$E$2:$E330,"ANNULE")),""))</f>
        <v/>
      </c>
    </row>
    <row r="331">
      <c r="A331">
        <f>IF(ISBLANK('ENGAGEMENTS 2026'!B331),"",IF('ENGAGEMENTS 2026'!B331="DTSI","DCT",'ENGAGEMENTS 2026'!B331))</f>
        <v/>
      </c>
      <c r="B331">
        <f>IF(ISBLANK('ENGAGEMENTS 2026'!B331),"",'ENGAGEMENTS 2026'!C331)</f>
        <v/>
      </c>
      <c r="C331">
        <f>IF(ISBLANK('ENGAGEMENTS 2026'!B331),"",'ENGAGEMENTS 2026'!D331)</f>
        <v/>
      </c>
      <c r="D331">
        <f>IF(ISBLANK('ENGAGEMENTS 2026'!B331),"",'ENGAGEMENTS 2026'!F331)</f>
        <v/>
      </c>
      <c r="E331">
        <f>IF(ISBLANK('ENGAGEMENTS 2026'!B331),"",'ENGAGEMENTS 2026'!H331)</f>
        <v/>
      </c>
      <c r="F331">
        <f>IF(ISBLANK('ENGAGEMENTS 2026'!B331),"",'ENGAGEMENTS 2026'!I331)</f>
        <v/>
      </c>
      <c r="G331">
        <f>IF(ISBLANK('ENGAGEMENTS 2026'!B331),"",'ENGAGEMENTS 2026'!L331)</f>
        <v/>
      </c>
      <c r="H331">
        <f>IF(ISBLANK('ENGAGEMENTS 2026'!B331),"",'ENGAGEMENTS 2026'!AE331)</f>
        <v/>
      </c>
      <c r="I331">
        <f>IF(ISBLANK('ENGAGEMENTS 2026'!B331),"",'ENGAGEMENTS 2026'!G331)</f>
        <v/>
      </c>
      <c r="J331" s="275">
        <f>IF(ISBLANK('ENGAGEMENTS 2026'!B331),"",IF(AND(OR($E331="INFRUCTUEUX",$E331="ANNULE"),$C331="AOO-M"),'ENGAGEMENTS 2026'!O331,IF($H331="EN COURS DE PREENGAGEMENT",'ENGAGEMENTS 2026'!N331,IF($H331="PREENGAGE",IF($E331="ATTRIBUE",'ENGAGEMENTS 2026'!AD331,'ENGAGEMENTS 2026'!N331),'ENGAGEMENTS 2026'!AD331))))</f>
        <v/>
      </c>
      <c r="K331" s="604">
        <f>IF(ISBLANK('ENGAGEMENTS 2026'!V331),"",'ENGAGEMENTS 2026'!V331)</f>
        <v/>
      </c>
      <c r="L331" s="276">
        <f>IF($K331="","",TODAY()-$K331)</f>
        <v/>
      </c>
      <c r="M331">
        <f>IF($A331="","",IF($H331="ENGAGE","Engagé",IF(AND($H331="NON ENGAGE",OR($I331="INFRUCTUEUX",$I331="ANNULE")),"Clôturé sans suite","En cours")))</f>
        <v/>
      </c>
      <c r="N331">
        <f>IF(ISBLANK('ENGAGEMENTS 2026'!B331),"",'ENGAGEMENTS 2026'!K331)</f>
        <v/>
      </c>
      <c r="O331">
        <f>IF(ISBLANK('ENGAGEMENTS 2026'!B331),"",'ENGAGEMENTS 2026'!L331)</f>
        <v/>
      </c>
      <c r="P331">
        <f>IF(ISBLANK('ENGAGEMENTS 2026'!B331),"",'ENGAGEMENTS 2026'!J331)</f>
        <v/>
      </c>
      <c r="Q331">
        <f>IF($A331="","",IF(OR($E331="INFRUCTUEUX",$E331="ANNULE"),$A331&amp;"|"&amp;(COUNTIFS($A$2:$A331,$A331,$E$2:$E331,"INFRUCTUEUX")+COUNTIFS($A$2:$A331,$A331,$E$2:$E331,"ANNULE")),""))</f>
        <v/>
      </c>
    </row>
    <row r="332">
      <c r="A332">
        <f>IF(ISBLANK('ENGAGEMENTS 2026'!B332),"",IF('ENGAGEMENTS 2026'!B332="DTSI","DCT",'ENGAGEMENTS 2026'!B332))</f>
        <v/>
      </c>
      <c r="B332">
        <f>IF(ISBLANK('ENGAGEMENTS 2026'!B332),"",'ENGAGEMENTS 2026'!C332)</f>
        <v/>
      </c>
      <c r="C332">
        <f>IF(ISBLANK('ENGAGEMENTS 2026'!B332),"",'ENGAGEMENTS 2026'!D332)</f>
        <v/>
      </c>
      <c r="D332">
        <f>IF(ISBLANK('ENGAGEMENTS 2026'!B332),"",'ENGAGEMENTS 2026'!F332)</f>
        <v/>
      </c>
      <c r="E332">
        <f>IF(ISBLANK('ENGAGEMENTS 2026'!B332),"",'ENGAGEMENTS 2026'!H332)</f>
        <v/>
      </c>
      <c r="F332">
        <f>IF(ISBLANK('ENGAGEMENTS 2026'!B332),"",'ENGAGEMENTS 2026'!I332)</f>
        <v/>
      </c>
      <c r="G332">
        <f>IF(ISBLANK('ENGAGEMENTS 2026'!B332),"",'ENGAGEMENTS 2026'!L332)</f>
        <v/>
      </c>
      <c r="H332">
        <f>IF(ISBLANK('ENGAGEMENTS 2026'!B332),"",'ENGAGEMENTS 2026'!AE332)</f>
        <v/>
      </c>
      <c r="I332">
        <f>IF(ISBLANK('ENGAGEMENTS 2026'!B332),"",'ENGAGEMENTS 2026'!G332)</f>
        <v/>
      </c>
      <c r="J332" s="275">
        <f>IF(ISBLANK('ENGAGEMENTS 2026'!B332),"",IF(AND(OR($E332="INFRUCTUEUX",$E332="ANNULE"),$C332="AOO-M"),'ENGAGEMENTS 2026'!O332,IF($H332="EN COURS DE PREENGAGEMENT",'ENGAGEMENTS 2026'!N332,IF($H332="PREENGAGE",IF($E332="ATTRIBUE",'ENGAGEMENTS 2026'!AD332,'ENGAGEMENTS 2026'!N332),'ENGAGEMENTS 2026'!AD332))))</f>
        <v/>
      </c>
      <c r="K332" s="604">
        <f>IF(ISBLANK('ENGAGEMENTS 2026'!V332),"",'ENGAGEMENTS 2026'!V332)</f>
        <v/>
      </c>
      <c r="L332" s="276">
        <f>IF($K332="","",TODAY()-$K332)</f>
        <v/>
      </c>
      <c r="M332">
        <f>IF($A332="","",IF($H332="ENGAGE","Engagé",IF(AND($H332="NON ENGAGE",OR($I332="INFRUCTUEUX",$I332="ANNULE")),"Clôturé sans suite","En cours")))</f>
        <v/>
      </c>
      <c r="N332">
        <f>IF(ISBLANK('ENGAGEMENTS 2026'!B332),"",'ENGAGEMENTS 2026'!K332)</f>
        <v/>
      </c>
      <c r="O332">
        <f>IF(ISBLANK('ENGAGEMENTS 2026'!B332),"",'ENGAGEMENTS 2026'!L332)</f>
        <v/>
      </c>
      <c r="P332">
        <f>IF(ISBLANK('ENGAGEMENTS 2026'!B332),"",'ENGAGEMENTS 2026'!J332)</f>
        <v/>
      </c>
      <c r="Q332">
        <f>IF($A332="","",IF(OR($E332="INFRUCTUEUX",$E332="ANNULE"),$A332&amp;"|"&amp;(COUNTIFS($A$2:$A332,$A332,$E$2:$E332,"INFRUCTUEUX")+COUNTIFS($A$2:$A332,$A332,$E$2:$E332,"ANNULE")),""))</f>
        <v/>
      </c>
    </row>
    <row r="333">
      <c r="A333">
        <f>IF(ISBLANK('ENGAGEMENTS 2026'!B333),"",IF('ENGAGEMENTS 2026'!B333="DTSI","DCT",'ENGAGEMENTS 2026'!B333))</f>
        <v/>
      </c>
      <c r="B333">
        <f>IF(ISBLANK('ENGAGEMENTS 2026'!B333),"",'ENGAGEMENTS 2026'!C333)</f>
        <v/>
      </c>
      <c r="C333">
        <f>IF(ISBLANK('ENGAGEMENTS 2026'!B333),"",'ENGAGEMENTS 2026'!D333)</f>
        <v/>
      </c>
      <c r="D333">
        <f>IF(ISBLANK('ENGAGEMENTS 2026'!B333),"",'ENGAGEMENTS 2026'!F333)</f>
        <v/>
      </c>
      <c r="E333">
        <f>IF(ISBLANK('ENGAGEMENTS 2026'!B333),"",'ENGAGEMENTS 2026'!H333)</f>
        <v/>
      </c>
      <c r="F333">
        <f>IF(ISBLANK('ENGAGEMENTS 2026'!B333),"",'ENGAGEMENTS 2026'!I333)</f>
        <v/>
      </c>
      <c r="G333">
        <f>IF(ISBLANK('ENGAGEMENTS 2026'!B333),"",'ENGAGEMENTS 2026'!L333)</f>
        <v/>
      </c>
      <c r="H333">
        <f>IF(ISBLANK('ENGAGEMENTS 2026'!B333),"",'ENGAGEMENTS 2026'!AE333)</f>
        <v/>
      </c>
      <c r="I333">
        <f>IF(ISBLANK('ENGAGEMENTS 2026'!B333),"",'ENGAGEMENTS 2026'!G333)</f>
        <v/>
      </c>
      <c r="J333" s="275">
        <f>IF(ISBLANK('ENGAGEMENTS 2026'!B333),"",IF(AND(OR($E333="INFRUCTUEUX",$E333="ANNULE"),$C333="AOO-M"),'ENGAGEMENTS 2026'!O333,IF($H333="EN COURS DE PREENGAGEMENT",'ENGAGEMENTS 2026'!N333,IF($H333="PREENGAGE",IF($E333="ATTRIBUE",'ENGAGEMENTS 2026'!AD333,'ENGAGEMENTS 2026'!N333),'ENGAGEMENTS 2026'!AD333))))</f>
        <v/>
      </c>
      <c r="K333" s="604">
        <f>IF(ISBLANK('ENGAGEMENTS 2026'!V333),"",'ENGAGEMENTS 2026'!V333)</f>
        <v/>
      </c>
      <c r="L333" s="276">
        <f>IF($K333="","",TODAY()-$K333)</f>
        <v/>
      </c>
      <c r="M333">
        <f>IF($A333="","",IF($H333="ENGAGE","Engagé",IF(AND($H333="NON ENGAGE",OR($I333="INFRUCTUEUX",$I333="ANNULE")),"Clôturé sans suite","En cours")))</f>
        <v/>
      </c>
      <c r="N333">
        <f>IF(ISBLANK('ENGAGEMENTS 2026'!B333),"",'ENGAGEMENTS 2026'!K333)</f>
        <v/>
      </c>
      <c r="O333">
        <f>IF(ISBLANK('ENGAGEMENTS 2026'!B333),"",'ENGAGEMENTS 2026'!L333)</f>
        <v/>
      </c>
      <c r="P333">
        <f>IF(ISBLANK('ENGAGEMENTS 2026'!B333),"",'ENGAGEMENTS 2026'!J333)</f>
        <v/>
      </c>
      <c r="Q333">
        <f>IF($A333="","",IF(OR($E333="INFRUCTUEUX",$E333="ANNULE"),$A333&amp;"|"&amp;(COUNTIFS($A$2:$A333,$A333,$E$2:$E333,"INFRUCTUEUX")+COUNTIFS($A$2:$A333,$A333,$E$2:$E333,"ANNULE")),""))</f>
        <v/>
      </c>
    </row>
    <row r="334">
      <c r="A334">
        <f>IF(ISBLANK('ENGAGEMENTS 2026'!B334),"",IF('ENGAGEMENTS 2026'!B334="DTSI","DCT",'ENGAGEMENTS 2026'!B334))</f>
        <v/>
      </c>
      <c r="B334">
        <f>IF(ISBLANK('ENGAGEMENTS 2026'!B334),"",'ENGAGEMENTS 2026'!C334)</f>
        <v/>
      </c>
      <c r="C334">
        <f>IF(ISBLANK('ENGAGEMENTS 2026'!B334),"",'ENGAGEMENTS 2026'!D334)</f>
        <v/>
      </c>
      <c r="D334">
        <f>IF(ISBLANK('ENGAGEMENTS 2026'!B334),"",'ENGAGEMENTS 2026'!F334)</f>
        <v/>
      </c>
      <c r="E334">
        <f>IF(ISBLANK('ENGAGEMENTS 2026'!B334),"",'ENGAGEMENTS 2026'!H334)</f>
        <v/>
      </c>
      <c r="F334">
        <f>IF(ISBLANK('ENGAGEMENTS 2026'!B334),"",'ENGAGEMENTS 2026'!I334)</f>
        <v/>
      </c>
      <c r="G334">
        <f>IF(ISBLANK('ENGAGEMENTS 2026'!B334),"",'ENGAGEMENTS 2026'!L334)</f>
        <v/>
      </c>
      <c r="H334">
        <f>IF(ISBLANK('ENGAGEMENTS 2026'!B334),"",'ENGAGEMENTS 2026'!AE334)</f>
        <v/>
      </c>
      <c r="I334">
        <f>IF(ISBLANK('ENGAGEMENTS 2026'!B334),"",'ENGAGEMENTS 2026'!G334)</f>
        <v/>
      </c>
      <c r="J334" s="275">
        <f>IF(ISBLANK('ENGAGEMENTS 2026'!B334),"",IF(AND(OR($E334="INFRUCTUEUX",$E334="ANNULE"),$C334="AOO-M"),'ENGAGEMENTS 2026'!O334,IF($H334="EN COURS DE PREENGAGEMENT",'ENGAGEMENTS 2026'!N334,IF($H334="PREENGAGE",IF($E334="ATTRIBUE",'ENGAGEMENTS 2026'!AD334,'ENGAGEMENTS 2026'!N334),'ENGAGEMENTS 2026'!AD334))))</f>
        <v/>
      </c>
      <c r="K334" s="604">
        <f>IF(ISBLANK('ENGAGEMENTS 2026'!V334),"",'ENGAGEMENTS 2026'!V334)</f>
        <v/>
      </c>
      <c r="L334" s="276">
        <f>IF($K334="","",TODAY()-$K334)</f>
        <v/>
      </c>
      <c r="M334">
        <f>IF($A334="","",IF($H334="ENGAGE","Engagé",IF(AND($H334="NON ENGAGE",OR($I334="INFRUCTUEUX",$I334="ANNULE")),"Clôturé sans suite","En cours")))</f>
        <v/>
      </c>
      <c r="N334">
        <f>IF(ISBLANK('ENGAGEMENTS 2026'!B334),"",'ENGAGEMENTS 2026'!K334)</f>
        <v/>
      </c>
      <c r="O334">
        <f>IF(ISBLANK('ENGAGEMENTS 2026'!B334),"",'ENGAGEMENTS 2026'!L334)</f>
        <v/>
      </c>
      <c r="P334">
        <f>IF(ISBLANK('ENGAGEMENTS 2026'!B334),"",'ENGAGEMENTS 2026'!J334)</f>
        <v/>
      </c>
      <c r="Q334">
        <f>IF($A334="","",IF(OR($E334="INFRUCTUEUX",$E334="ANNULE"),$A334&amp;"|"&amp;(COUNTIFS($A$2:$A334,$A334,$E$2:$E334,"INFRUCTUEUX")+COUNTIFS($A$2:$A334,$A334,$E$2:$E334,"ANNULE")),""))</f>
        <v/>
      </c>
    </row>
    <row r="335">
      <c r="A335">
        <f>IF(ISBLANK('ENGAGEMENTS 2026'!B335),"",IF('ENGAGEMENTS 2026'!B335="DTSI","DCT",'ENGAGEMENTS 2026'!B335))</f>
        <v/>
      </c>
      <c r="B335">
        <f>IF(ISBLANK('ENGAGEMENTS 2026'!B335),"",'ENGAGEMENTS 2026'!C335)</f>
        <v/>
      </c>
      <c r="C335">
        <f>IF(ISBLANK('ENGAGEMENTS 2026'!B335),"",'ENGAGEMENTS 2026'!D335)</f>
        <v/>
      </c>
      <c r="D335">
        <f>IF(ISBLANK('ENGAGEMENTS 2026'!B335),"",'ENGAGEMENTS 2026'!F335)</f>
        <v/>
      </c>
      <c r="E335">
        <f>IF(ISBLANK('ENGAGEMENTS 2026'!B335),"",'ENGAGEMENTS 2026'!H335)</f>
        <v/>
      </c>
      <c r="F335">
        <f>IF(ISBLANK('ENGAGEMENTS 2026'!B335),"",'ENGAGEMENTS 2026'!I335)</f>
        <v/>
      </c>
      <c r="G335">
        <f>IF(ISBLANK('ENGAGEMENTS 2026'!B335),"",'ENGAGEMENTS 2026'!L335)</f>
        <v/>
      </c>
      <c r="H335">
        <f>IF(ISBLANK('ENGAGEMENTS 2026'!B335),"",'ENGAGEMENTS 2026'!AE335)</f>
        <v/>
      </c>
      <c r="I335">
        <f>IF(ISBLANK('ENGAGEMENTS 2026'!B335),"",'ENGAGEMENTS 2026'!G335)</f>
        <v/>
      </c>
      <c r="J335" s="275">
        <f>IF(ISBLANK('ENGAGEMENTS 2026'!B335),"",IF(AND(OR($E335="INFRUCTUEUX",$E335="ANNULE"),$C335="AOO-M"),'ENGAGEMENTS 2026'!O335,IF($H335="EN COURS DE PREENGAGEMENT",'ENGAGEMENTS 2026'!N335,IF($H335="PREENGAGE",IF($E335="ATTRIBUE",'ENGAGEMENTS 2026'!AD335,'ENGAGEMENTS 2026'!N335),'ENGAGEMENTS 2026'!AD335))))</f>
        <v/>
      </c>
      <c r="K335" s="604">
        <f>IF(ISBLANK('ENGAGEMENTS 2026'!V335),"",'ENGAGEMENTS 2026'!V335)</f>
        <v/>
      </c>
      <c r="L335" s="276">
        <f>IF($K335="","",TODAY()-$K335)</f>
        <v/>
      </c>
      <c r="M335">
        <f>IF($A335="","",IF($H335="ENGAGE","Engagé",IF(AND($H335="NON ENGAGE",OR($I335="INFRUCTUEUX",$I335="ANNULE")),"Clôturé sans suite","En cours")))</f>
        <v/>
      </c>
      <c r="N335">
        <f>IF(ISBLANK('ENGAGEMENTS 2026'!B335),"",'ENGAGEMENTS 2026'!K335)</f>
        <v/>
      </c>
      <c r="O335">
        <f>IF(ISBLANK('ENGAGEMENTS 2026'!B335),"",'ENGAGEMENTS 2026'!L335)</f>
        <v/>
      </c>
      <c r="P335">
        <f>IF(ISBLANK('ENGAGEMENTS 2026'!B335),"",'ENGAGEMENTS 2026'!J335)</f>
        <v/>
      </c>
      <c r="Q335">
        <f>IF($A335="","",IF(OR($E335="INFRUCTUEUX",$E335="ANNULE"),$A335&amp;"|"&amp;(COUNTIFS($A$2:$A335,$A335,$E$2:$E335,"INFRUCTUEUX")+COUNTIFS($A$2:$A335,$A335,$E$2:$E335,"ANNULE")),""))</f>
        <v/>
      </c>
    </row>
    <row r="336">
      <c r="A336">
        <f>IF(ISBLANK('ENGAGEMENTS 2026'!B336),"",IF('ENGAGEMENTS 2026'!B336="DTSI","DCT",'ENGAGEMENTS 2026'!B336))</f>
        <v/>
      </c>
      <c r="B336">
        <f>IF(ISBLANK('ENGAGEMENTS 2026'!B336),"",'ENGAGEMENTS 2026'!C336)</f>
        <v/>
      </c>
      <c r="C336">
        <f>IF(ISBLANK('ENGAGEMENTS 2026'!B336),"",'ENGAGEMENTS 2026'!D336)</f>
        <v/>
      </c>
      <c r="D336">
        <f>IF(ISBLANK('ENGAGEMENTS 2026'!B336),"",'ENGAGEMENTS 2026'!F336)</f>
        <v/>
      </c>
      <c r="E336">
        <f>IF(ISBLANK('ENGAGEMENTS 2026'!B336),"",'ENGAGEMENTS 2026'!H336)</f>
        <v/>
      </c>
      <c r="F336">
        <f>IF(ISBLANK('ENGAGEMENTS 2026'!B336),"",'ENGAGEMENTS 2026'!I336)</f>
        <v/>
      </c>
      <c r="G336">
        <f>IF(ISBLANK('ENGAGEMENTS 2026'!B336),"",'ENGAGEMENTS 2026'!L336)</f>
        <v/>
      </c>
      <c r="H336">
        <f>IF(ISBLANK('ENGAGEMENTS 2026'!B336),"",'ENGAGEMENTS 2026'!AE336)</f>
        <v/>
      </c>
      <c r="I336">
        <f>IF(ISBLANK('ENGAGEMENTS 2026'!B336),"",'ENGAGEMENTS 2026'!G336)</f>
        <v/>
      </c>
      <c r="J336" s="275">
        <f>IF(ISBLANK('ENGAGEMENTS 2026'!B336),"",IF(AND(OR($E336="INFRUCTUEUX",$E336="ANNULE"),$C336="AOO-M"),'ENGAGEMENTS 2026'!O336,IF($H336="EN COURS DE PREENGAGEMENT",'ENGAGEMENTS 2026'!N336,IF($H336="PREENGAGE",IF($E336="ATTRIBUE",'ENGAGEMENTS 2026'!AD336,'ENGAGEMENTS 2026'!N336),'ENGAGEMENTS 2026'!AD336))))</f>
        <v/>
      </c>
      <c r="K336" s="604">
        <f>IF(ISBLANK('ENGAGEMENTS 2026'!V336),"",'ENGAGEMENTS 2026'!V336)</f>
        <v/>
      </c>
      <c r="L336" s="276">
        <f>IF($K336="","",TODAY()-$K336)</f>
        <v/>
      </c>
      <c r="M336">
        <f>IF($A336="","",IF($H336="ENGAGE","Engagé",IF(AND($H336="NON ENGAGE",OR($I336="INFRUCTUEUX",$I336="ANNULE")),"Clôturé sans suite","En cours")))</f>
        <v/>
      </c>
      <c r="N336">
        <f>IF(ISBLANK('ENGAGEMENTS 2026'!B336),"",'ENGAGEMENTS 2026'!K336)</f>
        <v/>
      </c>
      <c r="O336">
        <f>IF(ISBLANK('ENGAGEMENTS 2026'!B336),"",'ENGAGEMENTS 2026'!L336)</f>
        <v/>
      </c>
      <c r="P336">
        <f>IF(ISBLANK('ENGAGEMENTS 2026'!B336),"",'ENGAGEMENTS 2026'!J336)</f>
        <v/>
      </c>
      <c r="Q336">
        <f>IF($A336="","",IF(OR($E336="INFRUCTUEUX",$E336="ANNULE"),$A336&amp;"|"&amp;(COUNTIFS($A$2:$A336,$A336,$E$2:$E336,"INFRUCTUEUX")+COUNTIFS($A$2:$A336,$A336,$E$2:$E336,"ANNULE")),""))</f>
        <v/>
      </c>
    </row>
    <row r="337">
      <c r="A337">
        <f>IF(ISBLANK('ENGAGEMENTS 2026'!B337),"",IF('ENGAGEMENTS 2026'!B337="DTSI","DCT",'ENGAGEMENTS 2026'!B337))</f>
        <v/>
      </c>
      <c r="B337">
        <f>IF(ISBLANK('ENGAGEMENTS 2026'!B337),"",'ENGAGEMENTS 2026'!C337)</f>
        <v/>
      </c>
      <c r="C337">
        <f>IF(ISBLANK('ENGAGEMENTS 2026'!B337),"",'ENGAGEMENTS 2026'!D337)</f>
        <v/>
      </c>
      <c r="D337">
        <f>IF(ISBLANK('ENGAGEMENTS 2026'!B337),"",'ENGAGEMENTS 2026'!F337)</f>
        <v/>
      </c>
      <c r="E337">
        <f>IF(ISBLANK('ENGAGEMENTS 2026'!B337),"",'ENGAGEMENTS 2026'!H337)</f>
        <v/>
      </c>
      <c r="F337">
        <f>IF(ISBLANK('ENGAGEMENTS 2026'!B337),"",'ENGAGEMENTS 2026'!I337)</f>
        <v/>
      </c>
      <c r="G337">
        <f>IF(ISBLANK('ENGAGEMENTS 2026'!B337),"",'ENGAGEMENTS 2026'!L337)</f>
        <v/>
      </c>
      <c r="H337">
        <f>IF(ISBLANK('ENGAGEMENTS 2026'!B337),"",'ENGAGEMENTS 2026'!AE337)</f>
        <v/>
      </c>
      <c r="I337">
        <f>IF(ISBLANK('ENGAGEMENTS 2026'!B337),"",'ENGAGEMENTS 2026'!G337)</f>
        <v/>
      </c>
      <c r="J337" s="275">
        <f>IF(ISBLANK('ENGAGEMENTS 2026'!B337),"",IF(AND(OR($E337="INFRUCTUEUX",$E337="ANNULE"),$C337="AOO-M"),'ENGAGEMENTS 2026'!O337,IF($H337="EN COURS DE PREENGAGEMENT",'ENGAGEMENTS 2026'!N337,IF($H337="PREENGAGE",IF($E337="ATTRIBUE",'ENGAGEMENTS 2026'!AD337,'ENGAGEMENTS 2026'!N337),'ENGAGEMENTS 2026'!AD337))))</f>
        <v/>
      </c>
      <c r="K337" s="604">
        <f>IF(ISBLANK('ENGAGEMENTS 2026'!V337),"",'ENGAGEMENTS 2026'!V337)</f>
        <v/>
      </c>
      <c r="L337" s="276">
        <f>IF($K337="","",TODAY()-$K337)</f>
        <v/>
      </c>
      <c r="M337">
        <f>IF($A337="","",IF($H337="ENGAGE","Engagé",IF(AND($H337="NON ENGAGE",OR($I337="INFRUCTUEUX",$I337="ANNULE")),"Clôturé sans suite","En cours")))</f>
        <v/>
      </c>
      <c r="N337">
        <f>IF(ISBLANK('ENGAGEMENTS 2026'!B337),"",'ENGAGEMENTS 2026'!K337)</f>
        <v/>
      </c>
      <c r="O337">
        <f>IF(ISBLANK('ENGAGEMENTS 2026'!B337),"",'ENGAGEMENTS 2026'!L337)</f>
        <v/>
      </c>
      <c r="P337">
        <f>IF(ISBLANK('ENGAGEMENTS 2026'!B337),"",'ENGAGEMENTS 2026'!J337)</f>
        <v/>
      </c>
      <c r="Q337">
        <f>IF($A337="","",IF(OR($E337="INFRUCTUEUX",$E337="ANNULE"),$A337&amp;"|"&amp;(COUNTIFS($A$2:$A337,$A337,$E$2:$E337,"INFRUCTUEUX")+COUNTIFS($A$2:$A337,$A337,$E$2:$E337,"ANNULE")),""))</f>
        <v/>
      </c>
    </row>
    <row r="338">
      <c r="A338">
        <f>IF(ISBLANK('ENGAGEMENTS 2026'!B338),"",IF('ENGAGEMENTS 2026'!B338="DTSI","DCT",'ENGAGEMENTS 2026'!B338))</f>
        <v/>
      </c>
      <c r="B338">
        <f>IF(ISBLANK('ENGAGEMENTS 2026'!B338),"",'ENGAGEMENTS 2026'!C338)</f>
        <v/>
      </c>
      <c r="C338">
        <f>IF(ISBLANK('ENGAGEMENTS 2026'!B338),"",'ENGAGEMENTS 2026'!D338)</f>
        <v/>
      </c>
      <c r="D338">
        <f>IF(ISBLANK('ENGAGEMENTS 2026'!B338),"",'ENGAGEMENTS 2026'!F338)</f>
        <v/>
      </c>
      <c r="E338">
        <f>IF(ISBLANK('ENGAGEMENTS 2026'!B338),"",'ENGAGEMENTS 2026'!H338)</f>
        <v/>
      </c>
      <c r="F338">
        <f>IF(ISBLANK('ENGAGEMENTS 2026'!B338),"",'ENGAGEMENTS 2026'!I338)</f>
        <v/>
      </c>
      <c r="G338">
        <f>IF(ISBLANK('ENGAGEMENTS 2026'!B338),"",'ENGAGEMENTS 2026'!L338)</f>
        <v/>
      </c>
      <c r="H338">
        <f>IF(ISBLANK('ENGAGEMENTS 2026'!B338),"",'ENGAGEMENTS 2026'!AE338)</f>
        <v/>
      </c>
      <c r="I338">
        <f>IF(ISBLANK('ENGAGEMENTS 2026'!B338),"",'ENGAGEMENTS 2026'!G338)</f>
        <v/>
      </c>
      <c r="J338" s="275">
        <f>IF(ISBLANK('ENGAGEMENTS 2026'!B338),"",IF(AND(OR($E338="INFRUCTUEUX",$E338="ANNULE"),$C338="AOO-M"),'ENGAGEMENTS 2026'!O338,IF($H338="EN COURS DE PREENGAGEMENT",'ENGAGEMENTS 2026'!N338,IF($H338="PREENGAGE",IF($E338="ATTRIBUE",'ENGAGEMENTS 2026'!AD338,'ENGAGEMENTS 2026'!N338),'ENGAGEMENTS 2026'!AD338))))</f>
        <v/>
      </c>
      <c r="K338" s="604">
        <f>IF(ISBLANK('ENGAGEMENTS 2026'!V338),"",'ENGAGEMENTS 2026'!V338)</f>
        <v/>
      </c>
      <c r="L338" s="276">
        <f>IF($K338="","",TODAY()-$K338)</f>
        <v/>
      </c>
      <c r="M338">
        <f>IF($A338="","",IF($H338="ENGAGE","Engagé",IF(AND($H338="NON ENGAGE",OR($I338="INFRUCTUEUX",$I338="ANNULE")),"Clôturé sans suite","En cours")))</f>
        <v/>
      </c>
      <c r="N338">
        <f>IF(ISBLANK('ENGAGEMENTS 2026'!B338),"",'ENGAGEMENTS 2026'!K338)</f>
        <v/>
      </c>
      <c r="O338">
        <f>IF(ISBLANK('ENGAGEMENTS 2026'!B338),"",'ENGAGEMENTS 2026'!L338)</f>
        <v/>
      </c>
      <c r="P338">
        <f>IF(ISBLANK('ENGAGEMENTS 2026'!B338),"",'ENGAGEMENTS 2026'!J338)</f>
        <v/>
      </c>
      <c r="Q338">
        <f>IF($A338="","",IF(OR($E338="INFRUCTUEUX",$E338="ANNULE"),$A338&amp;"|"&amp;(COUNTIFS($A$2:$A338,$A338,$E$2:$E338,"INFRUCTUEUX")+COUNTIFS($A$2:$A338,$A338,$E$2:$E338,"ANNULE")),""))</f>
        <v/>
      </c>
    </row>
    <row r="339">
      <c r="A339">
        <f>IF(ISBLANK('ENGAGEMENTS 2026'!B339),"",IF('ENGAGEMENTS 2026'!B339="DTSI","DCT",'ENGAGEMENTS 2026'!B339))</f>
        <v/>
      </c>
      <c r="B339">
        <f>IF(ISBLANK('ENGAGEMENTS 2026'!B339),"",'ENGAGEMENTS 2026'!C339)</f>
        <v/>
      </c>
      <c r="C339">
        <f>IF(ISBLANK('ENGAGEMENTS 2026'!B339),"",'ENGAGEMENTS 2026'!D339)</f>
        <v/>
      </c>
      <c r="D339">
        <f>IF(ISBLANK('ENGAGEMENTS 2026'!B339),"",'ENGAGEMENTS 2026'!F339)</f>
        <v/>
      </c>
      <c r="E339">
        <f>IF(ISBLANK('ENGAGEMENTS 2026'!B339),"",'ENGAGEMENTS 2026'!H339)</f>
        <v/>
      </c>
      <c r="F339">
        <f>IF(ISBLANK('ENGAGEMENTS 2026'!B339),"",'ENGAGEMENTS 2026'!I339)</f>
        <v/>
      </c>
      <c r="G339">
        <f>IF(ISBLANK('ENGAGEMENTS 2026'!B339),"",'ENGAGEMENTS 2026'!L339)</f>
        <v/>
      </c>
      <c r="H339">
        <f>IF(ISBLANK('ENGAGEMENTS 2026'!B339),"",'ENGAGEMENTS 2026'!AE339)</f>
        <v/>
      </c>
      <c r="I339">
        <f>IF(ISBLANK('ENGAGEMENTS 2026'!B339),"",'ENGAGEMENTS 2026'!G339)</f>
        <v/>
      </c>
      <c r="J339" s="275">
        <f>IF(ISBLANK('ENGAGEMENTS 2026'!B339),"",IF(AND(OR($E339="INFRUCTUEUX",$E339="ANNULE"),$C339="AOO-M"),'ENGAGEMENTS 2026'!O339,IF($H339="EN COURS DE PREENGAGEMENT",'ENGAGEMENTS 2026'!N339,IF($H339="PREENGAGE",IF($E339="ATTRIBUE",'ENGAGEMENTS 2026'!AD339,'ENGAGEMENTS 2026'!N339),'ENGAGEMENTS 2026'!AD339))))</f>
        <v/>
      </c>
      <c r="K339" s="604">
        <f>IF(ISBLANK('ENGAGEMENTS 2026'!V339),"",'ENGAGEMENTS 2026'!V339)</f>
        <v/>
      </c>
      <c r="L339" s="276">
        <f>IF($K339="","",TODAY()-$K339)</f>
        <v/>
      </c>
      <c r="M339">
        <f>IF($A339="","",IF($H339="ENGAGE","Engagé",IF(AND($H339="NON ENGAGE",OR($I339="INFRUCTUEUX",$I339="ANNULE")),"Clôturé sans suite","En cours")))</f>
        <v/>
      </c>
      <c r="N339">
        <f>IF(ISBLANK('ENGAGEMENTS 2026'!B339),"",'ENGAGEMENTS 2026'!K339)</f>
        <v/>
      </c>
      <c r="O339">
        <f>IF(ISBLANK('ENGAGEMENTS 2026'!B339),"",'ENGAGEMENTS 2026'!L339)</f>
        <v/>
      </c>
      <c r="P339">
        <f>IF(ISBLANK('ENGAGEMENTS 2026'!B339),"",'ENGAGEMENTS 2026'!J339)</f>
        <v/>
      </c>
      <c r="Q339">
        <f>IF($A339="","",IF(OR($E339="INFRUCTUEUX",$E339="ANNULE"),$A339&amp;"|"&amp;(COUNTIFS($A$2:$A339,$A339,$E$2:$E339,"INFRUCTUEUX")+COUNTIFS($A$2:$A339,$A339,$E$2:$E339,"ANNULE")),""))</f>
        <v/>
      </c>
    </row>
    <row r="340">
      <c r="A340">
        <f>IF(ISBLANK('ENGAGEMENTS 2026'!B340),"",IF('ENGAGEMENTS 2026'!B340="DTSI","DCT",'ENGAGEMENTS 2026'!B340))</f>
        <v/>
      </c>
      <c r="B340">
        <f>IF(ISBLANK('ENGAGEMENTS 2026'!B340),"",'ENGAGEMENTS 2026'!C340)</f>
        <v/>
      </c>
      <c r="C340">
        <f>IF(ISBLANK('ENGAGEMENTS 2026'!B340),"",'ENGAGEMENTS 2026'!D340)</f>
        <v/>
      </c>
      <c r="D340">
        <f>IF(ISBLANK('ENGAGEMENTS 2026'!B340),"",'ENGAGEMENTS 2026'!F340)</f>
        <v/>
      </c>
      <c r="E340">
        <f>IF(ISBLANK('ENGAGEMENTS 2026'!B340),"",'ENGAGEMENTS 2026'!H340)</f>
        <v/>
      </c>
      <c r="F340">
        <f>IF(ISBLANK('ENGAGEMENTS 2026'!B340),"",'ENGAGEMENTS 2026'!I340)</f>
        <v/>
      </c>
      <c r="G340">
        <f>IF(ISBLANK('ENGAGEMENTS 2026'!B340),"",'ENGAGEMENTS 2026'!L340)</f>
        <v/>
      </c>
      <c r="H340">
        <f>IF(ISBLANK('ENGAGEMENTS 2026'!B340),"",'ENGAGEMENTS 2026'!AE340)</f>
        <v/>
      </c>
      <c r="I340">
        <f>IF(ISBLANK('ENGAGEMENTS 2026'!B340),"",'ENGAGEMENTS 2026'!G340)</f>
        <v/>
      </c>
      <c r="J340" s="275">
        <f>IF(ISBLANK('ENGAGEMENTS 2026'!B340),"",IF(AND(OR($E340="INFRUCTUEUX",$E340="ANNULE"),$C340="AOO-M"),'ENGAGEMENTS 2026'!O340,IF($H340="EN COURS DE PREENGAGEMENT",'ENGAGEMENTS 2026'!N340,IF($H340="PREENGAGE",IF($E340="ATTRIBUE",'ENGAGEMENTS 2026'!AD340,'ENGAGEMENTS 2026'!N340),'ENGAGEMENTS 2026'!AD340))))</f>
        <v/>
      </c>
      <c r="K340" s="604">
        <f>IF(ISBLANK('ENGAGEMENTS 2026'!V340),"",'ENGAGEMENTS 2026'!V340)</f>
        <v/>
      </c>
      <c r="L340" s="276">
        <f>IF($K340="","",TODAY()-$K340)</f>
        <v/>
      </c>
      <c r="M340">
        <f>IF($A340="","",IF($H340="ENGAGE","Engagé",IF(AND($H340="NON ENGAGE",OR($I340="INFRUCTUEUX",$I340="ANNULE")),"Clôturé sans suite","En cours")))</f>
        <v/>
      </c>
      <c r="N340">
        <f>IF(ISBLANK('ENGAGEMENTS 2026'!B340),"",'ENGAGEMENTS 2026'!K340)</f>
        <v/>
      </c>
      <c r="O340">
        <f>IF(ISBLANK('ENGAGEMENTS 2026'!B340),"",'ENGAGEMENTS 2026'!L340)</f>
        <v/>
      </c>
      <c r="P340">
        <f>IF(ISBLANK('ENGAGEMENTS 2026'!B340),"",'ENGAGEMENTS 2026'!J340)</f>
        <v/>
      </c>
      <c r="Q340">
        <f>IF($A340="","",IF(OR($E340="INFRUCTUEUX",$E340="ANNULE"),$A340&amp;"|"&amp;(COUNTIFS($A$2:$A340,$A340,$E$2:$E340,"INFRUCTUEUX")+COUNTIFS($A$2:$A340,$A340,$E$2:$E340,"ANNULE")),""))</f>
        <v/>
      </c>
    </row>
    <row r="341">
      <c r="A341">
        <f>IF(ISBLANK('ENGAGEMENTS 2026'!B341),"",IF('ENGAGEMENTS 2026'!B341="DTSI","DCT",'ENGAGEMENTS 2026'!B341))</f>
        <v/>
      </c>
      <c r="B341">
        <f>IF(ISBLANK('ENGAGEMENTS 2026'!B341),"",'ENGAGEMENTS 2026'!C341)</f>
        <v/>
      </c>
      <c r="C341">
        <f>IF(ISBLANK('ENGAGEMENTS 2026'!B341),"",'ENGAGEMENTS 2026'!D341)</f>
        <v/>
      </c>
      <c r="D341">
        <f>IF(ISBLANK('ENGAGEMENTS 2026'!B341),"",'ENGAGEMENTS 2026'!F341)</f>
        <v/>
      </c>
      <c r="E341">
        <f>IF(ISBLANK('ENGAGEMENTS 2026'!B341),"",'ENGAGEMENTS 2026'!H341)</f>
        <v/>
      </c>
      <c r="F341">
        <f>IF(ISBLANK('ENGAGEMENTS 2026'!B341),"",'ENGAGEMENTS 2026'!I341)</f>
        <v/>
      </c>
      <c r="G341">
        <f>IF(ISBLANK('ENGAGEMENTS 2026'!B341),"",'ENGAGEMENTS 2026'!L341)</f>
        <v/>
      </c>
      <c r="H341">
        <f>IF(ISBLANK('ENGAGEMENTS 2026'!B341),"",'ENGAGEMENTS 2026'!AE341)</f>
        <v/>
      </c>
      <c r="I341">
        <f>IF(ISBLANK('ENGAGEMENTS 2026'!B341),"",'ENGAGEMENTS 2026'!G341)</f>
        <v/>
      </c>
      <c r="J341" s="275">
        <f>IF(ISBLANK('ENGAGEMENTS 2026'!B341),"",IF(AND(OR($E341="INFRUCTUEUX",$E341="ANNULE"),$C341="AOO-M"),'ENGAGEMENTS 2026'!O341,IF($H341="EN COURS DE PREENGAGEMENT",'ENGAGEMENTS 2026'!N341,IF($H341="PREENGAGE",IF($E341="ATTRIBUE",'ENGAGEMENTS 2026'!AD341,'ENGAGEMENTS 2026'!N341),'ENGAGEMENTS 2026'!AD341))))</f>
        <v/>
      </c>
      <c r="K341" s="604">
        <f>IF(ISBLANK('ENGAGEMENTS 2026'!V341),"",'ENGAGEMENTS 2026'!V341)</f>
        <v/>
      </c>
      <c r="L341" s="276">
        <f>IF($K341="","",TODAY()-$K341)</f>
        <v/>
      </c>
      <c r="M341">
        <f>IF($A341="","",IF($H341="ENGAGE","Engagé",IF(AND($H341="NON ENGAGE",OR($I341="INFRUCTUEUX",$I341="ANNULE")),"Clôturé sans suite","En cours")))</f>
        <v/>
      </c>
      <c r="N341">
        <f>IF(ISBLANK('ENGAGEMENTS 2026'!B341),"",'ENGAGEMENTS 2026'!K341)</f>
        <v/>
      </c>
      <c r="O341">
        <f>IF(ISBLANK('ENGAGEMENTS 2026'!B341),"",'ENGAGEMENTS 2026'!L341)</f>
        <v/>
      </c>
      <c r="P341">
        <f>IF(ISBLANK('ENGAGEMENTS 2026'!B341),"",'ENGAGEMENTS 2026'!J341)</f>
        <v/>
      </c>
      <c r="Q341">
        <f>IF($A341="","",IF(OR($E341="INFRUCTUEUX",$E341="ANNULE"),$A341&amp;"|"&amp;(COUNTIFS($A$2:$A341,$A341,$E$2:$E341,"INFRUCTUEUX")+COUNTIFS($A$2:$A341,$A341,$E$2:$E341,"ANNULE")),""))</f>
        <v/>
      </c>
    </row>
    <row r="342">
      <c r="A342">
        <f>IF(ISBLANK('ENGAGEMENTS 2026'!B342),"",IF('ENGAGEMENTS 2026'!B342="DTSI","DCT",'ENGAGEMENTS 2026'!B342))</f>
        <v/>
      </c>
      <c r="B342">
        <f>IF(ISBLANK('ENGAGEMENTS 2026'!B342),"",'ENGAGEMENTS 2026'!C342)</f>
        <v/>
      </c>
      <c r="C342">
        <f>IF(ISBLANK('ENGAGEMENTS 2026'!B342),"",'ENGAGEMENTS 2026'!D342)</f>
        <v/>
      </c>
      <c r="D342">
        <f>IF(ISBLANK('ENGAGEMENTS 2026'!B342),"",'ENGAGEMENTS 2026'!F342)</f>
        <v/>
      </c>
      <c r="E342">
        <f>IF(ISBLANK('ENGAGEMENTS 2026'!B342),"",'ENGAGEMENTS 2026'!H342)</f>
        <v/>
      </c>
      <c r="F342">
        <f>IF(ISBLANK('ENGAGEMENTS 2026'!B342),"",'ENGAGEMENTS 2026'!I342)</f>
        <v/>
      </c>
      <c r="G342">
        <f>IF(ISBLANK('ENGAGEMENTS 2026'!B342),"",'ENGAGEMENTS 2026'!L342)</f>
        <v/>
      </c>
      <c r="H342">
        <f>IF(ISBLANK('ENGAGEMENTS 2026'!B342),"",'ENGAGEMENTS 2026'!AE342)</f>
        <v/>
      </c>
      <c r="I342">
        <f>IF(ISBLANK('ENGAGEMENTS 2026'!B342),"",'ENGAGEMENTS 2026'!G342)</f>
        <v/>
      </c>
      <c r="J342" s="275">
        <f>IF(ISBLANK('ENGAGEMENTS 2026'!B342),"",IF(AND(OR($E342="INFRUCTUEUX",$E342="ANNULE"),$C342="AOO-M"),'ENGAGEMENTS 2026'!O342,IF($H342="EN COURS DE PREENGAGEMENT",'ENGAGEMENTS 2026'!N342,IF($H342="PREENGAGE",IF($E342="ATTRIBUE",'ENGAGEMENTS 2026'!AD342,'ENGAGEMENTS 2026'!N342),'ENGAGEMENTS 2026'!AD342))))</f>
        <v/>
      </c>
      <c r="K342" s="604">
        <f>IF(ISBLANK('ENGAGEMENTS 2026'!V342),"",'ENGAGEMENTS 2026'!V342)</f>
        <v/>
      </c>
      <c r="L342" s="276">
        <f>IF($K342="","",TODAY()-$K342)</f>
        <v/>
      </c>
      <c r="M342">
        <f>IF($A342="","",IF($H342="ENGAGE","Engagé",IF(AND($H342="NON ENGAGE",OR($I342="INFRUCTUEUX",$I342="ANNULE")),"Clôturé sans suite","En cours")))</f>
        <v/>
      </c>
      <c r="N342">
        <f>IF(ISBLANK('ENGAGEMENTS 2026'!B342),"",'ENGAGEMENTS 2026'!K342)</f>
        <v/>
      </c>
      <c r="O342">
        <f>IF(ISBLANK('ENGAGEMENTS 2026'!B342),"",'ENGAGEMENTS 2026'!L342)</f>
        <v/>
      </c>
      <c r="P342">
        <f>IF(ISBLANK('ENGAGEMENTS 2026'!B342),"",'ENGAGEMENTS 2026'!J342)</f>
        <v/>
      </c>
      <c r="Q342">
        <f>IF($A342="","",IF(OR($E342="INFRUCTUEUX",$E342="ANNULE"),$A342&amp;"|"&amp;(COUNTIFS($A$2:$A342,$A342,$E$2:$E342,"INFRUCTUEUX")+COUNTIFS($A$2:$A342,$A342,$E$2:$E342,"ANNULE")),""))</f>
        <v/>
      </c>
    </row>
    <row r="343">
      <c r="A343">
        <f>IF(ISBLANK('ENGAGEMENTS 2026'!B343),"",IF('ENGAGEMENTS 2026'!B343="DTSI","DCT",'ENGAGEMENTS 2026'!B343))</f>
        <v/>
      </c>
      <c r="B343">
        <f>IF(ISBLANK('ENGAGEMENTS 2026'!B343),"",'ENGAGEMENTS 2026'!C343)</f>
        <v/>
      </c>
      <c r="C343">
        <f>IF(ISBLANK('ENGAGEMENTS 2026'!B343),"",'ENGAGEMENTS 2026'!D343)</f>
        <v/>
      </c>
      <c r="D343">
        <f>IF(ISBLANK('ENGAGEMENTS 2026'!B343),"",'ENGAGEMENTS 2026'!F343)</f>
        <v/>
      </c>
      <c r="E343">
        <f>IF(ISBLANK('ENGAGEMENTS 2026'!B343),"",'ENGAGEMENTS 2026'!H343)</f>
        <v/>
      </c>
      <c r="F343">
        <f>IF(ISBLANK('ENGAGEMENTS 2026'!B343),"",'ENGAGEMENTS 2026'!I343)</f>
        <v/>
      </c>
      <c r="G343">
        <f>IF(ISBLANK('ENGAGEMENTS 2026'!B343),"",'ENGAGEMENTS 2026'!L343)</f>
        <v/>
      </c>
      <c r="H343">
        <f>IF(ISBLANK('ENGAGEMENTS 2026'!B343),"",'ENGAGEMENTS 2026'!AE343)</f>
        <v/>
      </c>
      <c r="I343">
        <f>IF(ISBLANK('ENGAGEMENTS 2026'!B343),"",'ENGAGEMENTS 2026'!G343)</f>
        <v/>
      </c>
      <c r="J343" s="275">
        <f>IF(ISBLANK('ENGAGEMENTS 2026'!B343),"",IF(AND(OR($E343="INFRUCTUEUX",$E343="ANNULE"),$C343="AOO-M"),'ENGAGEMENTS 2026'!O343,IF($H343="EN COURS DE PREENGAGEMENT",'ENGAGEMENTS 2026'!N343,IF($H343="PREENGAGE",IF($E343="ATTRIBUE",'ENGAGEMENTS 2026'!AD343,'ENGAGEMENTS 2026'!N343),'ENGAGEMENTS 2026'!AD343))))</f>
        <v/>
      </c>
      <c r="K343" s="604">
        <f>IF(ISBLANK('ENGAGEMENTS 2026'!V343),"",'ENGAGEMENTS 2026'!V343)</f>
        <v/>
      </c>
      <c r="L343" s="276">
        <f>IF($K343="","",TODAY()-$K343)</f>
        <v/>
      </c>
      <c r="M343">
        <f>IF($A343="","",IF($H343="ENGAGE","Engagé",IF(AND($H343="NON ENGAGE",OR($I343="INFRUCTUEUX",$I343="ANNULE")),"Clôturé sans suite","En cours")))</f>
        <v/>
      </c>
      <c r="N343">
        <f>IF(ISBLANK('ENGAGEMENTS 2026'!B343),"",'ENGAGEMENTS 2026'!K343)</f>
        <v/>
      </c>
      <c r="O343">
        <f>IF(ISBLANK('ENGAGEMENTS 2026'!B343),"",'ENGAGEMENTS 2026'!L343)</f>
        <v/>
      </c>
      <c r="P343">
        <f>IF(ISBLANK('ENGAGEMENTS 2026'!B343),"",'ENGAGEMENTS 2026'!J343)</f>
        <v/>
      </c>
      <c r="Q343">
        <f>IF($A343="","",IF(OR($E343="INFRUCTUEUX",$E343="ANNULE"),$A343&amp;"|"&amp;(COUNTIFS($A$2:$A343,$A343,$E$2:$E343,"INFRUCTUEUX")+COUNTIFS($A$2:$A343,$A343,$E$2:$E343,"ANNULE")),""))</f>
        <v/>
      </c>
    </row>
    <row r="344">
      <c r="A344">
        <f>IF(ISBLANK('ENGAGEMENTS 2026'!B344),"",IF('ENGAGEMENTS 2026'!B344="DTSI","DCT",'ENGAGEMENTS 2026'!B344))</f>
        <v/>
      </c>
      <c r="B344">
        <f>IF(ISBLANK('ENGAGEMENTS 2026'!B344),"",'ENGAGEMENTS 2026'!C344)</f>
        <v/>
      </c>
      <c r="C344">
        <f>IF(ISBLANK('ENGAGEMENTS 2026'!B344),"",'ENGAGEMENTS 2026'!D344)</f>
        <v/>
      </c>
      <c r="D344">
        <f>IF(ISBLANK('ENGAGEMENTS 2026'!B344),"",'ENGAGEMENTS 2026'!F344)</f>
        <v/>
      </c>
      <c r="E344">
        <f>IF(ISBLANK('ENGAGEMENTS 2026'!B344),"",'ENGAGEMENTS 2026'!H344)</f>
        <v/>
      </c>
      <c r="F344">
        <f>IF(ISBLANK('ENGAGEMENTS 2026'!B344),"",'ENGAGEMENTS 2026'!I344)</f>
        <v/>
      </c>
      <c r="G344">
        <f>IF(ISBLANK('ENGAGEMENTS 2026'!B344),"",'ENGAGEMENTS 2026'!L344)</f>
        <v/>
      </c>
      <c r="H344">
        <f>IF(ISBLANK('ENGAGEMENTS 2026'!B344),"",'ENGAGEMENTS 2026'!AE344)</f>
        <v/>
      </c>
      <c r="I344">
        <f>IF(ISBLANK('ENGAGEMENTS 2026'!B344),"",'ENGAGEMENTS 2026'!G344)</f>
        <v/>
      </c>
      <c r="J344" s="275">
        <f>IF(ISBLANK('ENGAGEMENTS 2026'!B344),"",IF(AND(OR($E344="INFRUCTUEUX",$E344="ANNULE"),$C344="AOO-M"),'ENGAGEMENTS 2026'!O344,IF($H344="EN COURS DE PREENGAGEMENT",'ENGAGEMENTS 2026'!N344,IF($H344="PREENGAGE",IF($E344="ATTRIBUE",'ENGAGEMENTS 2026'!AD344,'ENGAGEMENTS 2026'!N344),'ENGAGEMENTS 2026'!AD344))))</f>
        <v/>
      </c>
      <c r="K344" s="604">
        <f>IF(ISBLANK('ENGAGEMENTS 2026'!V344),"",'ENGAGEMENTS 2026'!V344)</f>
        <v/>
      </c>
      <c r="L344" s="276">
        <f>IF($K344="","",TODAY()-$K344)</f>
        <v/>
      </c>
      <c r="M344">
        <f>IF($A344="","",IF($H344="ENGAGE","Engagé",IF(AND($H344="NON ENGAGE",OR($I344="INFRUCTUEUX",$I344="ANNULE")),"Clôturé sans suite","En cours")))</f>
        <v/>
      </c>
      <c r="N344">
        <f>IF(ISBLANK('ENGAGEMENTS 2026'!B344),"",'ENGAGEMENTS 2026'!K344)</f>
        <v/>
      </c>
      <c r="O344">
        <f>IF(ISBLANK('ENGAGEMENTS 2026'!B344),"",'ENGAGEMENTS 2026'!L344)</f>
        <v/>
      </c>
      <c r="P344">
        <f>IF(ISBLANK('ENGAGEMENTS 2026'!B344),"",'ENGAGEMENTS 2026'!J344)</f>
        <v/>
      </c>
      <c r="Q344">
        <f>IF($A344="","",IF(OR($E344="INFRUCTUEUX",$E344="ANNULE"),$A344&amp;"|"&amp;(COUNTIFS($A$2:$A344,$A344,$E$2:$E344,"INFRUCTUEUX")+COUNTIFS($A$2:$A344,$A344,$E$2:$E344,"ANNULE")),""))</f>
        <v/>
      </c>
    </row>
    <row r="345">
      <c r="A345">
        <f>IF(ISBLANK('ENGAGEMENTS 2026'!B345),"",IF('ENGAGEMENTS 2026'!B345="DTSI","DCT",'ENGAGEMENTS 2026'!B345))</f>
        <v/>
      </c>
      <c r="B345">
        <f>IF(ISBLANK('ENGAGEMENTS 2026'!B345),"",'ENGAGEMENTS 2026'!C345)</f>
        <v/>
      </c>
      <c r="C345">
        <f>IF(ISBLANK('ENGAGEMENTS 2026'!B345),"",'ENGAGEMENTS 2026'!D345)</f>
        <v/>
      </c>
      <c r="D345">
        <f>IF(ISBLANK('ENGAGEMENTS 2026'!B345),"",'ENGAGEMENTS 2026'!F345)</f>
        <v/>
      </c>
      <c r="E345">
        <f>IF(ISBLANK('ENGAGEMENTS 2026'!B345),"",'ENGAGEMENTS 2026'!H345)</f>
        <v/>
      </c>
      <c r="F345">
        <f>IF(ISBLANK('ENGAGEMENTS 2026'!B345),"",'ENGAGEMENTS 2026'!I345)</f>
        <v/>
      </c>
      <c r="G345">
        <f>IF(ISBLANK('ENGAGEMENTS 2026'!B345),"",'ENGAGEMENTS 2026'!L345)</f>
        <v/>
      </c>
      <c r="H345">
        <f>IF(ISBLANK('ENGAGEMENTS 2026'!B345),"",'ENGAGEMENTS 2026'!AE345)</f>
        <v/>
      </c>
      <c r="I345">
        <f>IF(ISBLANK('ENGAGEMENTS 2026'!B345),"",'ENGAGEMENTS 2026'!G345)</f>
        <v/>
      </c>
      <c r="J345" s="275">
        <f>IF(ISBLANK('ENGAGEMENTS 2026'!B345),"",IF(AND(OR($E345="INFRUCTUEUX",$E345="ANNULE"),$C345="AOO-M"),'ENGAGEMENTS 2026'!O345,IF($H345="EN COURS DE PREENGAGEMENT",'ENGAGEMENTS 2026'!N345,IF($H345="PREENGAGE",IF($E345="ATTRIBUE",'ENGAGEMENTS 2026'!AD345,'ENGAGEMENTS 2026'!N345),'ENGAGEMENTS 2026'!AD345))))</f>
        <v/>
      </c>
      <c r="K345" s="604">
        <f>IF(ISBLANK('ENGAGEMENTS 2026'!V345),"",'ENGAGEMENTS 2026'!V345)</f>
        <v/>
      </c>
      <c r="L345" s="276">
        <f>IF($K345="","",TODAY()-$K345)</f>
        <v/>
      </c>
      <c r="M345">
        <f>IF($A345="","",IF($H345="ENGAGE","Engagé",IF(AND($H345="NON ENGAGE",OR($I345="INFRUCTUEUX",$I345="ANNULE")),"Clôturé sans suite","En cours")))</f>
        <v/>
      </c>
      <c r="N345">
        <f>IF(ISBLANK('ENGAGEMENTS 2026'!B345),"",'ENGAGEMENTS 2026'!K345)</f>
        <v/>
      </c>
      <c r="O345">
        <f>IF(ISBLANK('ENGAGEMENTS 2026'!B345),"",'ENGAGEMENTS 2026'!L345)</f>
        <v/>
      </c>
      <c r="P345">
        <f>IF(ISBLANK('ENGAGEMENTS 2026'!B345),"",'ENGAGEMENTS 2026'!J345)</f>
        <v/>
      </c>
      <c r="Q345">
        <f>IF($A345="","",IF(OR($E345="INFRUCTUEUX",$E345="ANNULE"),$A345&amp;"|"&amp;(COUNTIFS($A$2:$A345,$A345,$E$2:$E345,"INFRUCTUEUX")+COUNTIFS($A$2:$A345,$A345,$E$2:$E345,"ANNULE")),""))</f>
        <v/>
      </c>
    </row>
    <row r="346">
      <c r="A346">
        <f>IF(ISBLANK('ENGAGEMENTS 2026'!B346),"",IF('ENGAGEMENTS 2026'!B346="DTSI","DCT",'ENGAGEMENTS 2026'!B346))</f>
        <v/>
      </c>
      <c r="B346">
        <f>IF(ISBLANK('ENGAGEMENTS 2026'!B346),"",'ENGAGEMENTS 2026'!C346)</f>
        <v/>
      </c>
      <c r="C346">
        <f>IF(ISBLANK('ENGAGEMENTS 2026'!B346),"",'ENGAGEMENTS 2026'!D346)</f>
        <v/>
      </c>
      <c r="D346">
        <f>IF(ISBLANK('ENGAGEMENTS 2026'!B346),"",'ENGAGEMENTS 2026'!F346)</f>
        <v/>
      </c>
      <c r="E346">
        <f>IF(ISBLANK('ENGAGEMENTS 2026'!B346),"",'ENGAGEMENTS 2026'!H346)</f>
        <v/>
      </c>
      <c r="F346">
        <f>IF(ISBLANK('ENGAGEMENTS 2026'!B346),"",'ENGAGEMENTS 2026'!I346)</f>
        <v/>
      </c>
      <c r="G346">
        <f>IF(ISBLANK('ENGAGEMENTS 2026'!B346),"",'ENGAGEMENTS 2026'!L346)</f>
        <v/>
      </c>
      <c r="H346">
        <f>IF(ISBLANK('ENGAGEMENTS 2026'!B346),"",'ENGAGEMENTS 2026'!AE346)</f>
        <v/>
      </c>
      <c r="I346">
        <f>IF(ISBLANK('ENGAGEMENTS 2026'!B346),"",'ENGAGEMENTS 2026'!G346)</f>
        <v/>
      </c>
      <c r="J346" s="275">
        <f>IF(ISBLANK('ENGAGEMENTS 2026'!B346),"",IF(AND(OR($E346="INFRUCTUEUX",$E346="ANNULE"),$C346="AOO-M"),'ENGAGEMENTS 2026'!O346,IF($H346="EN COURS DE PREENGAGEMENT",'ENGAGEMENTS 2026'!N346,IF($H346="PREENGAGE",IF($E346="ATTRIBUE",'ENGAGEMENTS 2026'!AD346,'ENGAGEMENTS 2026'!N346),'ENGAGEMENTS 2026'!AD346))))</f>
        <v/>
      </c>
      <c r="K346" s="604">
        <f>IF(ISBLANK('ENGAGEMENTS 2026'!V346),"",'ENGAGEMENTS 2026'!V346)</f>
        <v/>
      </c>
      <c r="L346" s="276">
        <f>IF($K346="","",TODAY()-$K346)</f>
        <v/>
      </c>
      <c r="M346">
        <f>IF($A346="","",IF($H346="ENGAGE","Engagé",IF(AND($H346="NON ENGAGE",OR($I346="INFRUCTUEUX",$I346="ANNULE")),"Clôturé sans suite","En cours")))</f>
        <v/>
      </c>
      <c r="N346">
        <f>IF(ISBLANK('ENGAGEMENTS 2026'!B346),"",'ENGAGEMENTS 2026'!K346)</f>
        <v/>
      </c>
      <c r="O346">
        <f>IF(ISBLANK('ENGAGEMENTS 2026'!B346),"",'ENGAGEMENTS 2026'!L346)</f>
        <v/>
      </c>
      <c r="P346">
        <f>IF(ISBLANK('ENGAGEMENTS 2026'!B346),"",'ENGAGEMENTS 2026'!J346)</f>
        <v/>
      </c>
      <c r="Q346">
        <f>IF($A346="","",IF(OR($E346="INFRUCTUEUX",$E346="ANNULE"),$A346&amp;"|"&amp;(COUNTIFS($A$2:$A346,$A346,$E$2:$E346,"INFRUCTUEUX")+COUNTIFS($A$2:$A346,$A346,$E$2:$E346,"ANNULE")),""))</f>
        <v/>
      </c>
    </row>
    <row r="347">
      <c r="A347">
        <f>IF(ISBLANK('ENGAGEMENTS 2026'!B347),"",IF('ENGAGEMENTS 2026'!B347="DTSI","DCT",'ENGAGEMENTS 2026'!B347))</f>
        <v/>
      </c>
      <c r="B347">
        <f>IF(ISBLANK('ENGAGEMENTS 2026'!B347),"",'ENGAGEMENTS 2026'!C347)</f>
        <v/>
      </c>
      <c r="C347">
        <f>IF(ISBLANK('ENGAGEMENTS 2026'!B347),"",'ENGAGEMENTS 2026'!D347)</f>
        <v/>
      </c>
      <c r="D347">
        <f>IF(ISBLANK('ENGAGEMENTS 2026'!B347),"",'ENGAGEMENTS 2026'!F347)</f>
        <v/>
      </c>
      <c r="E347">
        <f>IF(ISBLANK('ENGAGEMENTS 2026'!B347),"",'ENGAGEMENTS 2026'!H347)</f>
        <v/>
      </c>
      <c r="F347">
        <f>IF(ISBLANK('ENGAGEMENTS 2026'!B347),"",'ENGAGEMENTS 2026'!I347)</f>
        <v/>
      </c>
      <c r="G347">
        <f>IF(ISBLANK('ENGAGEMENTS 2026'!B347),"",'ENGAGEMENTS 2026'!L347)</f>
        <v/>
      </c>
      <c r="H347">
        <f>IF(ISBLANK('ENGAGEMENTS 2026'!B347),"",'ENGAGEMENTS 2026'!AE347)</f>
        <v/>
      </c>
      <c r="I347">
        <f>IF(ISBLANK('ENGAGEMENTS 2026'!B347),"",'ENGAGEMENTS 2026'!G347)</f>
        <v/>
      </c>
      <c r="J347" s="275">
        <f>IF(ISBLANK('ENGAGEMENTS 2026'!B347),"",IF(AND(OR($E347="INFRUCTUEUX",$E347="ANNULE"),$C347="AOO-M"),'ENGAGEMENTS 2026'!O347,IF($H347="EN COURS DE PREENGAGEMENT",'ENGAGEMENTS 2026'!N347,IF($H347="PREENGAGE",IF($E347="ATTRIBUE",'ENGAGEMENTS 2026'!AD347,'ENGAGEMENTS 2026'!N347),'ENGAGEMENTS 2026'!AD347))))</f>
        <v/>
      </c>
      <c r="K347" s="604">
        <f>IF(ISBLANK('ENGAGEMENTS 2026'!V347),"",'ENGAGEMENTS 2026'!V347)</f>
        <v/>
      </c>
      <c r="L347" s="276">
        <f>IF($K347="","",TODAY()-$K347)</f>
        <v/>
      </c>
      <c r="M347">
        <f>IF($A347="","",IF($H347="ENGAGE","Engagé",IF(AND($H347="NON ENGAGE",OR($I347="INFRUCTUEUX",$I347="ANNULE")),"Clôturé sans suite","En cours")))</f>
        <v/>
      </c>
      <c r="N347">
        <f>IF(ISBLANK('ENGAGEMENTS 2026'!B347),"",'ENGAGEMENTS 2026'!K347)</f>
        <v/>
      </c>
      <c r="O347">
        <f>IF(ISBLANK('ENGAGEMENTS 2026'!B347),"",'ENGAGEMENTS 2026'!L347)</f>
        <v/>
      </c>
      <c r="P347">
        <f>IF(ISBLANK('ENGAGEMENTS 2026'!B347),"",'ENGAGEMENTS 2026'!J347)</f>
        <v/>
      </c>
      <c r="Q347">
        <f>IF($A347="","",IF(OR($E347="INFRUCTUEUX",$E347="ANNULE"),$A347&amp;"|"&amp;(COUNTIFS($A$2:$A347,$A347,$E$2:$E347,"INFRUCTUEUX")+COUNTIFS($A$2:$A347,$A347,$E$2:$E347,"ANNULE")),""))</f>
        <v/>
      </c>
    </row>
    <row r="348">
      <c r="A348">
        <f>IF(ISBLANK('ENGAGEMENTS 2026'!B348),"",IF('ENGAGEMENTS 2026'!B348="DTSI","DCT",'ENGAGEMENTS 2026'!B348))</f>
        <v/>
      </c>
      <c r="B348">
        <f>IF(ISBLANK('ENGAGEMENTS 2026'!B348),"",'ENGAGEMENTS 2026'!C348)</f>
        <v/>
      </c>
      <c r="C348">
        <f>IF(ISBLANK('ENGAGEMENTS 2026'!B348),"",'ENGAGEMENTS 2026'!D348)</f>
        <v/>
      </c>
      <c r="D348">
        <f>IF(ISBLANK('ENGAGEMENTS 2026'!B348),"",'ENGAGEMENTS 2026'!F348)</f>
        <v/>
      </c>
      <c r="E348">
        <f>IF(ISBLANK('ENGAGEMENTS 2026'!B348),"",'ENGAGEMENTS 2026'!H348)</f>
        <v/>
      </c>
      <c r="F348">
        <f>IF(ISBLANK('ENGAGEMENTS 2026'!B348),"",'ENGAGEMENTS 2026'!I348)</f>
        <v/>
      </c>
      <c r="G348">
        <f>IF(ISBLANK('ENGAGEMENTS 2026'!B348),"",'ENGAGEMENTS 2026'!L348)</f>
        <v/>
      </c>
      <c r="H348">
        <f>IF(ISBLANK('ENGAGEMENTS 2026'!B348),"",'ENGAGEMENTS 2026'!AE348)</f>
        <v/>
      </c>
      <c r="I348">
        <f>IF(ISBLANK('ENGAGEMENTS 2026'!B348),"",'ENGAGEMENTS 2026'!G348)</f>
        <v/>
      </c>
      <c r="J348" s="275">
        <f>IF(ISBLANK('ENGAGEMENTS 2026'!B348),"",IF(AND(OR($E348="INFRUCTUEUX",$E348="ANNULE"),$C348="AOO-M"),'ENGAGEMENTS 2026'!O348,IF($H348="EN COURS DE PREENGAGEMENT",'ENGAGEMENTS 2026'!N348,IF($H348="PREENGAGE",IF($E348="ATTRIBUE",'ENGAGEMENTS 2026'!AD348,'ENGAGEMENTS 2026'!N348),'ENGAGEMENTS 2026'!AD348))))</f>
        <v/>
      </c>
      <c r="K348" s="604">
        <f>IF(ISBLANK('ENGAGEMENTS 2026'!V348),"",'ENGAGEMENTS 2026'!V348)</f>
        <v/>
      </c>
      <c r="L348" s="276">
        <f>IF($K348="","",TODAY()-$K348)</f>
        <v/>
      </c>
      <c r="M348">
        <f>IF($A348="","",IF($H348="ENGAGE","Engagé",IF(AND($H348="NON ENGAGE",OR($I348="INFRUCTUEUX",$I348="ANNULE")),"Clôturé sans suite","En cours")))</f>
        <v/>
      </c>
      <c r="N348">
        <f>IF(ISBLANK('ENGAGEMENTS 2026'!B348),"",'ENGAGEMENTS 2026'!K348)</f>
        <v/>
      </c>
      <c r="O348">
        <f>IF(ISBLANK('ENGAGEMENTS 2026'!B348),"",'ENGAGEMENTS 2026'!L348)</f>
        <v/>
      </c>
      <c r="P348">
        <f>IF(ISBLANK('ENGAGEMENTS 2026'!B348),"",'ENGAGEMENTS 2026'!J348)</f>
        <v/>
      </c>
      <c r="Q348">
        <f>IF($A348="","",IF(OR($E348="INFRUCTUEUX",$E348="ANNULE"),$A348&amp;"|"&amp;(COUNTIFS($A$2:$A348,$A348,$E$2:$E348,"INFRUCTUEUX")+COUNTIFS($A$2:$A348,$A348,$E$2:$E348,"ANNULE")),""))</f>
        <v/>
      </c>
    </row>
    <row r="349">
      <c r="A349">
        <f>IF(ISBLANK('ENGAGEMENTS 2026'!B349),"",IF('ENGAGEMENTS 2026'!B349="DTSI","DCT",'ENGAGEMENTS 2026'!B349))</f>
        <v/>
      </c>
      <c r="B349">
        <f>IF(ISBLANK('ENGAGEMENTS 2026'!B349),"",'ENGAGEMENTS 2026'!C349)</f>
        <v/>
      </c>
      <c r="C349">
        <f>IF(ISBLANK('ENGAGEMENTS 2026'!B349),"",'ENGAGEMENTS 2026'!D349)</f>
        <v/>
      </c>
      <c r="D349">
        <f>IF(ISBLANK('ENGAGEMENTS 2026'!B349),"",'ENGAGEMENTS 2026'!F349)</f>
        <v/>
      </c>
      <c r="E349">
        <f>IF(ISBLANK('ENGAGEMENTS 2026'!B349),"",'ENGAGEMENTS 2026'!H349)</f>
        <v/>
      </c>
      <c r="F349">
        <f>IF(ISBLANK('ENGAGEMENTS 2026'!B349),"",'ENGAGEMENTS 2026'!I349)</f>
        <v/>
      </c>
      <c r="G349">
        <f>IF(ISBLANK('ENGAGEMENTS 2026'!B349),"",'ENGAGEMENTS 2026'!L349)</f>
        <v/>
      </c>
      <c r="H349">
        <f>IF(ISBLANK('ENGAGEMENTS 2026'!B349),"",'ENGAGEMENTS 2026'!AE349)</f>
        <v/>
      </c>
      <c r="I349">
        <f>IF(ISBLANK('ENGAGEMENTS 2026'!B349),"",'ENGAGEMENTS 2026'!G349)</f>
        <v/>
      </c>
      <c r="J349" s="275">
        <f>IF(ISBLANK('ENGAGEMENTS 2026'!B349),"",IF(AND(OR($E349="INFRUCTUEUX",$E349="ANNULE"),$C349="AOO-M"),'ENGAGEMENTS 2026'!O349,IF($H349="EN COURS DE PREENGAGEMENT",'ENGAGEMENTS 2026'!N349,IF($H349="PREENGAGE",IF($E349="ATTRIBUE",'ENGAGEMENTS 2026'!AD349,'ENGAGEMENTS 2026'!N349),'ENGAGEMENTS 2026'!AD349))))</f>
        <v/>
      </c>
      <c r="K349" s="604">
        <f>IF(ISBLANK('ENGAGEMENTS 2026'!V349),"",'ENGAGEMENTS 2026'!V349)</f>
        <v/>
      </c>
      <c r="L349" s="276">
        <f>IF($K349="","",TODAY()-$K349)</f>
        <v/>
      </c>
      <c r="M349">
        <f>IF($A349="","",IF($H349="ENGAGE","Engagé",IF(AND($H349="NON ENGAGE",OR($I349="INFRUCTUEUX",$I349="ANNULE")),"Clôturé sans suite","En cours")))</f>
        <v/>
      </c>
      <c r="N349">
        <f>IF(ISBLANK('ENGAGEMENTS 2026'!B349),"",'ENGAGEMENTS 2026'!K349)</f>
        <v/>
      </c>
      <c r="O349">
        <f>IF(ISBLANK('ENGAGEMENTS 2026'!B349),"",'ENGAGEMENTS 2026'!L349)</f>
        <v/>
      </c>
      <c r="P349">
        <f>IF(ISBLANK('ENGAGEMENTS 2026'!B349),"",'ENGAGEMENTS 2026'!J349)</f>
        <v/>
      </c>
      <c r="Q349">
        <f>IF($A349="","",IF(OR($E349="INFRUCTUEUX",$E349="ANNULE"),$A349&amp;"|"&amp;(COUNTIFS($A$2:$A349,$A349,$E$2:$E349,"INFRUCTUEUX")+COUNTIFS($A$2:$A349,$A349,$E$2:$E349,"ANNULE")),""))</f>
        <v/>
      </c>
    </row>
    <row r="350">
      <c r="A350">
        <f>IF(ISBLANK('ENGAGEMENTS 2026'!B350),"",IF('ENGAGEMENTS 2026'!B350="DTSI","DCT",'ENGAGEMENTS 2026'!B350))</f>
        <v/>
      </c>
      <c r="B350">
        <f>IF(ISBLANK('ENGAGEMENTS 2026'!B350),"",'ENGAGEMENTS 2026'!C350)</f>
        <v/>
      </c>
      <c r="C350">
        <f>IF(ISBLANK('ENGAGEMENTS 2026'!B350),"",'ENGAGEMENTS 2026'!D350)</f>
        <v/>
      </c>
      <c r="D350">
        <f>IF(ISBLANK('ENGAGEMENTS 2026'!B350),"",'ENGAGEMENTS 2026'!F350)</f>
        <v/>
      </c>
      <c r="E350">
        <f>IF(ISBLANK('ENGAGEMENTS 2026'!B350),"",'ENGAGEMENTS 2026'!H350)</f>
        <v/>
      </c>
      <c r="F350">
        <f>IF(ISBLANK('ENGAGEMENTS 2026'!B350),"",'ENGAGEMENTS 2026'!I350)</f>
        <v/>
      </c>
      <c r="G350">
        <f>IF(ISBLANK('ENGAGEMENTS 2026'!B350),"",'ENGAGEMENTS 2026'!L350)</f>
        <v/>
      </c>
      <c r="H350">
        <f>IF(ISBLANK('ENGAGEMENTS 2026'!B350),"",'ENGAGEMENTS 2026'!AE350)</f>
        <v/>
      </c>
      <c r="I350">
        <f>IF(ISBLANK('ENGAGEMENTS 2026'!B350),"",'ENGAGEMENTS 2026'!G350)</f>
        <v/>
      </c>
      <c r="J350" s="275">
        <f>IF(ISBLANK('ENGAGEMENTS 2026'!B350),"",IF(AND(OR($E350="INFRUCTUEUX",$E350="ANNULE"),$C350="AOO-M"),'ENGAGEMENTS 2026'!O350,IF($H350="EN COURS DE PREENGAGEMENT",'ENGAGEMENTS 2026'!N350,IF($H350="PREENGAGE",IF($E350="ATTRIBUE",'ENGAGEMENTS 2026'!AD350,'ENGAGEMENTS 2026'!N350),'ENGAGEMENTS 2026'!AD350))))</f>
        <v/>
      </c>
      <c r="K350" s="604">
        <f>IF(ISBLANK('ENGAGEMENTS 2026'!V350),"",'ENGAGEMENTS 2026'!V350)</f>
        <v/>
      </c>
      <c r="L350" s="276">
        <f>IF($K350="","",TODAY()-$K350)</f>
        <v/>
      </c>
      <c r="M350">
        <f>IF($A350="","",IF($H350="ENGAGE","Engagé",IF(AND($H350="NON ENGAGE",OR($I350="INFRUCTUEUX",$I350="ANNULE")),"Clôturé sans suite","En cours")))</f>
        <v/>
      </c>
      <c r="N350">
        <f>IF(ISBLANK('ENGAGEMENTS 2026'!B350),"",'ENGAGEMENTS 2026'!K350)</f>
        <v/>
      </c>
      <c r="O350">
        <f>IF(ISBLANK('ENGAGEMENTS 2026'!B350),"",'ENGAGEMENTS 2026'!L350)</f>
        <v/>
      </c>
      <c r="P350">
        <f>IF(ISBLANK('ENGAGEMENTS 2026'!B350),"",'ENGAGEMENTS 2026'!J350)</f>
        <v/>
      </c>
      <c r="Q350">
        <f>IF($A350="","",IF(OR($E350="INFRUCTUEUX",$E350="ANNULE"),$A350&amp;"|"&amp;(COUNTIFS($A$2:$A350,$A350,$E$2:$E350,"INFRUCTUEUX")+COUNTIFS($A$2:$A350,$A350,$E$2:$E350,"ANNULE")),""))</f>
        <v/>
      </c>
    </row>
    <row r="351">
      <c r="A351">
        <f>IF(ISBLANK('ENGAGEMENTS 2026'!B351),"",IF('ENGAGEMENTS 2026'!B351="DTSI","DCT",'ENGAGEMENTS 2026'!B351))</f>
        <v/>
      </c>
      <c r="B351">
        <f>IF(ISBLANK('ENGAGEMENTS 2026'!B351),"",'ENGAGEMENTS 2026'!C351)</f>
        <v/>
      </c>
      <c r="C351">
        <f>IF(ISBLANK('ENGAGEMENTS 2026'!B351),"",'ENGAGEMENTS 2026'!D351)</f>
        <v/>
      </c>
      <c r="D351">
        <f>IF(ISBLANK('ENGAGEMENTS 2026'!B351),"",'ENGAGEMENTS 2026'!F351)</f>
        <v/>
      </c>
      <c r="E351">
        <f>IF(ISBLANK('ENGAGEMENTS 2026'!B351),"",'ENGAGEMENTS 2026'!H351)</f>
        <v/>
      </c>
      <c r="F351">
        <f>IF(ISBLANK('ENGAGEMENTS 2026'!B351),"",'ENGAGEMENTS 2026'!I351)</f>
        <v/>
      </c>
      <c r="G351">
        <f>IF(ISBLANK('ENGAGEMENTS 2026'!B351),"",'ENGAGEMENTS 2026'!L351)</f>
        <v/>
      </c>
      <c r="H351">
        <f>IF(ISBLANK('ENGAGEMENTS 2026'!B351),"",'ENGAGEMENTS 2026'!AE351)</f>
        <v/>
      </c>
      <c r="I351">
        <f>IF(ISBLANK('ENGAGEMENTS 2026'!B351),"",'ENGAGEMENTS 2026'!G351)</f>
        <v/>
      </c>
      <c r="J351" s="275">
        <f>IF(ISBLANK('ENGAGEMENTS 2026'!B351),"",IF(AND(OR($E351="INFRUCTUEUX",$E351="ANNULE"),$C351="AOO-M"),'ENGAGEMENTS 2026'!O351,IF($H351="EN COURS DE PREENGAGEMENT",'ENGAGEMENTS 2026'!N351,IF($H351="PREENGAGE",IF($E351="ATTRIBUE",'ENGAGEMENTS 2026'!AD351,'ENGAGEMENTS 2026'!N351),'ENGAGEMENTS 2026'!AD351))))</f>
        <v/>
      </c>
      <c r="K351" s="604">
        <f>IF(ISBLANK('ENGAGEMENTS 2026'!V351),"",'ENGAGEMENTS 2026'!V351)</f>
        <v/>
      </c>
      <c r="L351" s="276">
        <f>IF($K351="","",TODAY()-$K351)</f>
        <v/>
      </c>
      <c r="M351">
        <f>IF($A351="","",IF($H351="ENGAGE","Engagé",IF(AND($H351="NON ENGAGE",OR($I351="INFRUCTUEUX",$I351="ANNULE")),"Clôturé sans suite","En cours")))</f>
        <v/>
      </c>
      <c r="N351">
        <f>IF(ISBLANK('ENGAGEMENTS 2026'!B351),"",'ENGAGEMENTS 2026'!K351)</f>
        <v/>
      </c>
      <c r="O351">
        <f>IF(ISBLANK('ENGAGEMENTS 2026'!B351),"",'ENGAGEMENTS 2026'!L351)</f>
        <v/>
      </c>
      <c r="P351">
        <f>IF(ISBLANK('ENGAGEMENTS 2026'!B351),"",'ENGAGEMENTS 2026'!J351)</f>
        <v/>
      </c>
      <c r="Q351">
        <f>IF($A351="","",IF(OR($E351="INFRUCTUEUX",$E351="ANNULE"),$A351&amp;"|"&amp;(COUNTIFS($A$2:$A351,$A351,$E$2:$E351,"INFRUCTUEUX")+COUNTIFS($A$2:$A351,$A351,$E$2:$E351,"ANNULE")),""))</f>
        <v/>
      </c>
    </row>
    <row r="352">
      <c r="A352">
        <f>IF(ISBLANK('ENGAGEMENTS 2026'!B352),"",IF('ENGAGEMENTS 2026'!B352="DTSI","DCT",'ENGAGEMENTS 2026'!B352))</f>
        <v/>
      </c>
      <c r="B352">
        <f>IF(ISBLANK('ENGAGEMENTS 2026'!B352),"",'ENGAGEMENTS 2026'!C352)</f>
        <v/>
      </c>
      <c r="C352">
        <f>IF(ISBLANK('ENGAGEMENTS 2026'!B352),"",'ENGAGEMENTS 2026'!D352)</f>
        <v/>
      </c>
      <c r="D352">
        <f>IF(ISBLANK('ENGAGEMENTS 2026'!B352),"",'ENGAGEMENTS 2026'!F352)</f>
        <v/>
      </c>
      <c r="E352">
        <f>IF(ISBLANK('ENGAGEMENTS 2026'!B352),"",'ENGAGEMENTS 2026'!H352)</f>
        <v/>
      </c>
      <c r="F352">
        <f>IF(ISBLANK('ENGAGEMENTS 2026'!B352),"",'ENGAGEMENTS 2026'!I352)</f>
        <v/>
      </c>
      <c r="G352">
        <f>IF(ISBLANK('ENGAGEMENTS 2026'!B352),"",'ENGAGEMENTS 2026'!L352)</f>
        <v/>
      </c>
      <c r="H352">
        <f>IF(ISBLANK('ENGAGEMENTS 2026'!B352),"",'ENGAGEMENTS 2026'!AE352)</f>
        <v/>
      </c>
      <c r="I352">
        <f>IF(ISBLANK('ENGAGEMENTS 2026'!B352),"",'ENGAGEMENTS 2026'!G352)</f>
        <v/>
      </c>
      <c r="J352" s="275">
        <f>IF(ISBLANK('ENGAGEMENTS 2026'!B352),"",IF(AND(OR($E352="INFRUCTUEUX",$E352="ANNULE"),$C352="AOO-M"),'ENGAGEMENTS 2026'!O352,IF($H352="EN COURS DE PREENGAGEMENT",'ENGAGEMENTS 2026'!N352,IF($H352="PREENGAGE",IF($E352="ATTRIBUE",'ENGAGEMENTS 2026'!AD352,'ENGAGEMENTS 2026'!N352),'ENGAGEMENTS 2026'!AD352))))</f>
        <v/>
      </c>
      <c r="K352" s="604">
        <f>IF(ISBLANK('ENGAGEMENTS 2026'!V352),"",'ENGAGEMENTS 2026'!V352)</f>
        <v/>
      </c>
      <c r="L352" s="276">
        <f>IF($K352="","",TODAY()-$K352)</f>
        <v/>
      </c>
      <c r="M352">
        <f>IF($A352="","",IF($H352="ENGAGE","Engagé",IF(AND($H352="NON ENGAGE",OR($I352="INFRUCTUEUX",$I352="ANNULE")),"Clôturé sans suite","En cours")))</f>
        <v/>
      </c>
      <c r="N352">
        <f>IF(ISBLANK('ENGAGEMENTS 2026'!B352),"",'ENGAGEMENTS 2026'!K352)</f>
        <v/>
      </c>
      <c r="O352">
        <f>IF(ISBLANK('ENGAGEMENTS 2026'!B352),"",'ENGAGEMENTS 2026'!L352)</f>
        <v/>
      </c>
      <c r="P352">
        <f>IF(ISBLANK('ENGAGEMENTS 2026'!B352),"",'ENGAGEMENTS 2026'!J352)</f>
        <v/>
      </c>
      <c r="Q352">
        <f>IF($A352="","",IF(OR($E352="INFRUCTUEUX",$E352="ANNULE"),$A352&amp;"|"&amp;(COUNTIFS($A$2:$A352,$A352,$E$2:$E352,"INFRUCTUEUX")+COUNTIFS($A$2:$A352,$A352,$E$2:$E352,"ANNULE")),""))</f>
        <v/>
      </c>
    </row>
    <row r="353">
      <c r="A353">
        <f>IF(ISBLANK('ENGAGEMENTS 2026'!B353),"",IF('ENGAGEMENTS 2026'!B353="DTSI","DCT",'ENGAGEMENTS 2026'!B353))</f>
        <v/>
      </c>
      <c r="B353">
        <f>IF(ISBLANK('ENGAGEMENTS 2026'!B353),"",'ENGAGEMENTS 2026'!C353)</f>
        <v/>
      </c>
      <c r="C353">
        <f>IF(ISBLANK('ENGAGEMENTS 2026'!B353),"",'ENGAGEMENTS 2026'!D353)</f>
        <v/>
      </c>
      <c r="D353">
        <f>IF(ISBLANK('ENGAGEMENTS 2026'!B353),"",'ENGAGEMENTS 2026'!F353)</f>
        <v/>
      </c>
      <c r="E353">
        <f>IF(ISBLANK('ENGAGEMENTS 2026'!B353),"",'ENGAGEMENTS 2026'!H353)</f>
        <v/>
      </c>
      <c r="F353">
        <f>IF(ISBLANK('ENGAGEMENTS 2026'!B353),"",'ENGAGEMENTS 2026'!I353)</f>
        <v/>
      </c>
      <c r="G353">
        <f>IF(ISBLANK('ENGAGEMENTS 2026'!B353),"",'ENGAGEMENTS 2026'!L353)</f>
        <v/>
      </c>
      <c r="H353">
        <f>IF(ISBLANK('ENGAGEMENTS 2026'!B353),"",'ENGAGEMENTS 2026'!AE353)</f>
        <v/>
      </c>
      <c r="I353">
        <f>IF(ISBLANK('ENGAGEMENTS 2026'!B353),"",'ENGAGEMENTS 2026'!G353)</f>
        <v/>
      </c>
      <c r="J353" s="275">
        <f>IF(ISBLANK('ENGAGEMENTS 2026'!B353),"",IF(AND(OR($E353="INFRUCTUEUX",$E353="ANNULE"),$C353="AOO-M"),'ENGAGEMENTS 2026'!O353,IF($H353="EN COURS DE PREENGAGEMENT",'ENGAGEMENTS 2026'!N353,IF($H353="PREENGAGE",IF($E353="ATTRIBUE",'ENGAGEMENTS 2026'!AD353,'ENGAGEMENTS 2026'!N353),'ENGAGEMENTS 2026'!AD353))))</f>
        <v/>
      </c>
      <c r="K353" s="604">
        <f>IF(ISBLANK('ENGAGEMENTS 2026'!V353),"",'ENGAGEMENTS 2026'!V353)</f>
        <v/>
      </c>
      <c r="L353" s="276">
        <f>IF($K353="","",TODAY()-$K353)</f>
        <v/>
      </c>
      <c r="M353">
        <f>IF($A353="","",IF($H353="ENGAGE","Engagé",IF(AND($H353="NON ENGAGE",OR($I353="INFRUCTUEUX",$I353="ANNULE")),"Clôturé sans suite","En cours")))</f>
        <v/>
      </c>
      <c r="N353">
        <f>IF(ISBLANK('ENGAGEMENTS 2026'!B353),"",'ENGAGEMENTS 2026'!K353)</f>
        <v/>
      </c>
      <c r="O353">
        <f>IF(ISBLANK('ENGAGEMENTS 2026'!B353),"",'ENGAGEMENTS 2026'!L353)</f>
        <v/>
      </c>
      <c r="P353">
        <f>IF(ISBLANK('ENGAGEMENTS 2026'!B353),"",'ENGAGEMENTS 2026'!J353)</f>
        <v/>
      </c>
      <c r="Q353">
        <f>IF($A353="","",IF(OR($E353="INFRUCTUEUX",$E353="ANNULE"),$A353&amp;"|"&amp;(COUNTIFS($A$2:$A353,$A353,$E$2:$E353,"INFRUCTUEUX")+COUNTIFS($A$2:$A353,$A353,$E$2:$E353,"ANNULE")),""))</f>
        <v/>
      </c>
    </row>
    <row r="354">
      <c r="A354">
        <f>IF(ISBLANK('ENGAGEMENTS 2026'!B354),"",IF('ENGAGEMENTS 2026'!B354="DTSI","DCT",'ENGAGEMENTS 2026'!B354))</f>
        <v/>
      </c>
      <c r="B354">
        <f>IF(ISBLANK('ENGAGEMENTS 2026'!B354),"",'ENGAGEMENTS 2026'!C354)</f>
        <v/>
      </c>
      <c r="C354">
        <f>IF(ISBLANK('ENGAGEMENTS 2026'!B354),"",'ENGAGEMENTS 2026'!D354)</f>
        <v/>
      </c>
      <c r="D354">
        <f>IF(ISBLANK('ENGAGEMENTS 2026'!B354),"",'ENGAGEMENTS 2026'!F354)</f>
        <v/>
      </c>
      <c r="E354">
        <f>IF(ISBLANK('ENGAGEMENTS 2026'!B354),"",'ENGAGEMENTS 2026'!H354)</f>
        <v/>
      </c>
      <c r="F354">
        <f>IF(ISBLANK('ENGAGEMENTS 2026'!B354),"",'ENGAGEMENTS 2026'!I354)</f>
        <v/>
      </c>
      <c r="G354">
        <f>IF(ISBLANK('ENGAGEMENTS 2026'!B354),"",'ENGAGEMENTS 2026'!L354)</f>
        <v/>
      </c>
      <c r="H354">
        <f>IF(ISBLANK('ENGAGEMENTS 2026'!B354),"",'ENGAGEMENTS 2026'!AE354)</f>
        <v/>
      </c>
      <c r="I354">
        <f>IF(ISBLANK('ENGAGEMENTS 2026'!B354),"",'ENGAGEMENTS 2026'!G354)</f>
        <v/>
      </c>
      <c r="J354" s="275">
        <f>IF(ISBLANK('ENGAGEMENTS 2026'!B354),"",IF(AND(OR($E354="INFRUCTUEUX",$E354="ANNULE"),$C354="AOO-M"),'ENGAGEMENTS 2026'!O354,IF($H354="EN COURS DE PREENGAGEMENT",'ENGAGEMENTS 2026'!N354,IF($H354="PREENGAGE",IF($E354="ATTRIBUE",'ENGAGEMENTS 2026'!AD354,'ENGAGEMENTS 2026'!N354),'ENGAGEMENTS 2026'!AD354))))</f>
        <v/>
      </c>
      <c r="K354" s="604">
        <f>IF(ISBLANK('ENGAGEMENTS 2026'!V354),"",'ENGAGEMENTS 2026'!V354)</f>
        <v/>
      </c>
      <c r="L354" s="276">
        <f>IF($K354="","",TODAY()-$K354)</f>
        <v/>
      </c>
      <c r="M354">
        <f>IF($A354="","",IF($H354="ENGAGE","Engagé",IF(AND($H354="NON ENGAGE",OR($I354="INFRUCTUEUX",$I354="ANNULE")),"Clôturé sans suite","En cours")))</f>
        <v/>
      </c>
      <c r="N354">
        <f>IF(ISBLANK('ENGAGEMENTS 2026'!B354),"",'ENGAGEMENTS 2026'!K354)</f>
        <v/>
      </c>
      <c r="O354">
        <f>IF(ISBLANK('ENGAGEMENTS 2026'!B354),"",'ENGAGEMENTS 2026'!L354)</f>
        <v/>
      </c>
      <c r="P354">
        <f>IF(ISBLANK('ENGAGEMENTS 2026'!B354),"",'ENGAGEMENTS 2026'!J354)</f>
        <v/>
      </c>
      <c r="Q354">
        <f>IF($A354="","",IF(OR($E354="INFRUCTUEUX",$E354="ANNULE"),$A354&amp;"|"&amp;(COUNTIFS($A$2:$A354,$A354,$E$2:$E354,"INFRUCTUEUX")+COUNTIFS($A$2:$A354,$A354,$E$2:$E354,"ANNULE")),""))</f>
        <v/>
      </c>
    </row>
    <row r="355">
      <c r="A355">
        <f>IF(ISBLANK('ENGAGEMENTS 2026'!B355),"",IF('ENGAGEMENTS 2026'!B355="DTSI","DCT",'ENGAGEMENTS 2026'!B355))</f>
        <v/>
      </c>
      <c r="B355">
        <f>IF(ISBLANK('ENGAGEMENTS 2026'!B355),"",'ENGAGEMENTS 2026'!C355)</f>
        <v/>
      </c>
      <c r="C355">
        <f>IF(ISBLANK('ENGAGEMENTS 2026'!B355),"",'ENGAGEMENTS 2026'!D355)</f>
        <v/>
      </c>
      <c r="D355">
        <f>IF(ISBLANK('ENGAGEMENTS 2026'!B355),"",'ENGAGEMENTS 2026'!F355)</f>
        <v/>
      </c>
      <c r="E355">
        <f>IF(ISBLANK('ENGAGEMENTS 2026'!B355),"",'ENGAGEMENTS 2026'!H355)</f>
        <v/>
      </c>
      <c r="F355">
        <f>IF(ISBLANK('ENGAGEMENTS 2026'!B355),"",'ENGAGEMENTS 2026'!I355)</f>
        <v/>
      </c>
      <c r="G355">
        <f>IF(ISBLANK('ENGAGEMENTS 2026'!B355),"",'ENGAGEMENTS 2026'!L355)</f>
        <v/>
      </c>
      <c r="H355">
        <f>IF(ISBLANK('ENGAGEMENTS 2026'!B355),"",'ENGAGEMENTS 2026'!AE355)</f>
        <v/>
      </c>
      <c r="I355">
        <f>IF(ISBLANK('ENGAGEMENTS 2026'!B355),"",'ENGAGEMENTS 2026'!G355)</f>
        <v/>
      </c>
      <c r="J355" s="275">
        <f>IF(ISBLANK('ENGAGEMENTS 2026'!B355),"",IF(AND(OR($E355="INFRUCTUEUX",$E355="ANNULE"),$C355="AOO-M"),'ENGAGEMENTS 2026'!O355,IF($H355="EN COURS DE PREENGAGEMENT",'ENGAGEMENTS 2026'!N355,IF($H355="PREENGAGE",IF($E355="ATTRIBUE",'ENGAGEMENTS 2026'!AD355,'ENGAGEMENTS 2026'!N355),'ENGAGEMENTS 2026'!AD355))))</f>
        <v/>
      </c>
      <c r="K355" s="604">
        <f>IF(ISBLANK('ENGAGEMENTS 2026'!V355),"",'ENGAGEMENTS 2026'!V355)</f>
        <v/>
      </c>
      <c r="L355" s="276">
        <f>IF($K355="","",TODAY()-$K355)</f>
        <v/>
      </c>
      <c r="M355">
        <f>IF($A355="","",IF($H355="ENGAGE","Engagé",IF(AND($H355="NON ENGAGE",OR($I355="INFRUCTUEUX",$I355="ANNULE")),"Clôturé sans suite","En cours")))</f>
        <v/>
      </c>
      <c r="N355">
        <f>IF(ISBLANK('ENGAGEMENTS 2026'!B355),"",'ENGAGEMENTS 2026'!K355)</f>
        <v/>
      </c>
      <c r="O355">
        <f>IF(ISBLANK('ENGAGEMENTS 2026'!B355),"",'ENGAGEMENTS 2026'!L355)</f>
        <v/>
      </c>
      <c r="P355">
        <f>IF(ISBLANK('ENGAGEMENTS 2026'!B355),"",'ENGAGEMENTS 2026'!J355)</f>
        <v/>
      </c>
      <c r="Q355">
        <f>IF($A355="","",IF(OR($E355="INFRUCTUEUX",$E355="ANNULE"),$A355&amp;"|"&amp;(COUNTIFS($A$2:$A355,$A355,$E$2:$E355,"INFRUCTUEUX")+COUNTIFS($A$2:$A355,$A355,$E$2:$E355,"ANNULE")),""))</f>
        <v/>
      </c>
    </row>
    <row r="356">
      <c r="A356">
        <f>IF(ISBLANK('ENGAGEMENTS 2026'!B356),"",IF('ENGAGEMENTS 2026'!B356="DTSI","DCT",'ENGAGEMENTS 2026'!B356))</f>
        <v/>
      </c>
      <c r="B356">
        <f>IF(ISBLANK('ENGAGEMENTS 2026'!B356),"",'ENGAGEMENTS 2026'!C356)</f>
        <v/>
      </c>
      <c r="C356">
        <f>IF(ISBLANK('ENGAGEMENTS 2026'!B356),"",'ENGAGEMENTS 2026'!D356)</f>
        <v/>
      </c>
      <c r="D356">
        <f>IF(ISBLANK('ENGAGEMENTS 2026'!B356),"",'ENGAGEMENTS 2026'!F356)</f>
        <v/>
      </c>
      <c r="E356">
        <f>IF(ISBLANK('ENGAGEMENTS 2026'!B356),"",'ENGAGEMENTS 2026'!H356)</f>
        <v/>
      </c>
      <c r="F356">
        <f>IF(ISBLANK('ENGAGEMENTS 2026'!B356),"",'ENGAGEMENTS 2026'!I356)</f>
        <v/>
      </c>
      <c r="G356">
        <f>IF(ISBLANK('ENGAGEMENTS 2026'!B356),"",'ENGAGEMENTS 2026'!L356)</f>
        <v/>
      </c>
      <c r="H356">
        <f>IF(ISBLANK('ENGAGEMENTS 2026'!B356),"",'ENGAGEMENTS 2026'!AE356)</f>
        <v/>
      </c>
      <c r="I356">
        <f>IF(ISBLANK('ENGAGEMENTS 2026'!B356),"",'ENGAGEMENTS 2026'!G356)</f>
        <v/>
      </c>
      <c r="J356" s="275">
        <f>IF(ISBLANK('ENGAGEMENTS 2026'!B356),"",IF(AND(OR($E356="INFRUCTUEUX",$E356="ANNULE"),$C356="AOO-M"),'ENGAGEMENTS 2026'!O356,IF($H356="EN COURS DE PREENGAGEMENT",'ENGAGEMENTS 2026'!N356,IF($H356="PREENGAGE",IF($E356="ATTRIBUE",'ENGAGEMENTS 2026'!AD356,'ENGAGEMENTS 2026'!N356),'ENGAGEMENTS 2026'!AD356))))</f>
        <v/>
      </c>
      <c r="K356" s="604">
        <f>IF(ISBLANK('ENGAGEMENTS 2026'!V356),"",'ENGAGEMENTS 2026'!V356)</f>
        <v/>
      </c>
      <c r="L356" s="276">
        <f>IF($K356="","",TODAY()-$K356)</f>
        <v/>
      </c>
      <c r="M356">
        <f>IF($A356="","",IF($H356="ENGAGE","Engagé",IF(AND($H356="NON ENGAGE",OR($I356="INFRUCTUEUX",$I356="ANNULE")),"Clôturé sans suite","En cours")))</f>
        <v/>
      </c>
      <c r="N356">
        <f>IF(ISBLANK('ENGAGEMENTS 2026'!B356),"",'ENGAGEMENTS 2026'!K356)</f>
        <v/>
      </c>
      <c r="O356">
        <f>IF(ISBLANK('ENGAGEMENTS 2026'!B356),"",'ENGAGEMENTS 2026'!L356)</f>
        <v/>
      </c>
      <c r="P356">
        <f>IF(ISBLANK('ENGAGEMENTS 2026'!B356),"",'ENGAGEMENTS 2026'!J356)</f>
        <v/>
      </c>
      <c r="Q356">
        <f>IF($A356="","",IF(OR($E356="INFRUCTUEUX",$E356="ANNULE"),$A356&amp;"|"&amp;(COUNTIFS($A$2:$A356,$A356,$E$2:$E356,"INFRUCTUEUX")+COUNTIFS($A$2:$A356,$A356,$E$2:$E356,"ANNULE")),""))</f>
        <v/>
      </c>
    </row>
    <row r="357">
      <c r="A357">
        <f>IF(ISBLANK('ENGAGEMENTS 2026'!B357),"",IF('ENGAGEMENTS 2026'!B357="DTSI","DCT",'ENGAGEMENTS 2026'!B357))</f>
        <v/>
      </c>
      <c r="B357">
        <f>IF(ISBLANK('ENGAGEMENTS 2026'!B357),"",'ENGAGEMENTS 2026'!C357)</f>
        <v/>
      </c>
      <c r="C357">
        <f>IF(ISBLANK('ENGAGEMENTS 2026'!B357),"",'ENGAGEMENTS 2026'!D357)</f>
        <v/>
      </c>
      <c r="D357">
        <f>IF(ISBLANK('ENGAGEMENTS 2026'!B357),"",'ENGAGEMENTS 2026'!F357)</f>
        <v/>
      </c>
      <c r="E357">
        <f>IF(ISBLANK('ENGAGEMENTS 2026'!B357),"",'ENGAGEMENTS 2026'!H357)</f>
        <v/>
      </c>
      <c r="F357">
        <f>IF(ISBLANK('ENGAGEMENTS 2026'!B357),"",'ENGAGEMENTS 2026'!I357)</f>
        <v/>
      </c>
      <c r="G357">
        <f>IF(ISBLANK('ENGAGEMENTS 2026'!B357),"",'ENGAGEMENTS 2026'!L357)</f>
        <v/>
      </c>
      <c r="H357">
        <f>IF(ISBLANK('ENGAGEMENTS 2026'!B357),"",'ENGAGEMENTS 2026'!AE357)</f>
        <v/>
      </c>
      <c r="I357">
        <f>IF(ISBLANK('ENGAGEMENTS 2026'!B357),"",'ENGAGEMENTS 2026'!G357)</f>
        <v/>
      </c>
      <c r="J357" s="275">
        <f>IF(ISBLANK('ENGAGEMENTS 2026'!B357),"",IF(AND(OR($E357="INFRUCTUEUX",$E357="ANNULE"),$C357="AOO-M"),'ENGAGEMENTS 2026'!O357,IF($H357="EN COURS DE PREENGAGEMENT",'ENGAGEMENTS 2026'!N357,IF($H357="PREENGAGE",IF($E357="ATTRIBUE",'ENGAGEMENTS 2026'!AD357,'ENGAGEMENTS 2026'!N357),'ENGAGEMENTS 2026'!AD357))))</f>
        <v/>
      </c>
      <c r="K357" s="604">
        <f>IF(ISBLANK('ENGAGEMENTS 2026'!V357),"",'ENGAGEMENTS 2026'!V357)</f>
        <v/>
      </c>
      <c r="L357" s="276">
        <f>IF($K357="","",TODAY()-$K357)</f>
        <v/>
      </c>
      <c r="M357">
        <f>IF($A357="","",IF($H357="ENGAGE","Engagé",IF(AND($H357="NON ENGAGE",OR($I357="INFRUCTUEUX",$I357="ANNULE")),"Clôturé sans suite","En cours")))</f>
        <v/>
      </c>
      <c r="N357">
        <f>IF(ISBLANK('ENGAGEMENTS 2026'!B357),"",'ENGAGEMENTS 2026'!K357)</f>
        <v/>
      </c>
      <c r="O357">
        <f>IF(ISBLANK('ENGAGEMENTS 2026'!B357),"",'ENGAGEMENTS 2026'!L357)</f>
        <v/>
      </c>
      <c r="P357">
        <f>IF(ISBLANK('ENGAGEMENTS 2026'!B357),"",'ENGAGEMENTS 2026'!J357)</f>
        <v/>
      </c>
      <c r="Q357">
        <f>IF($A357="","",IF(OR($E357="INFRUCTUEUX",$E357="ANNULE"),$A357&amp;"|"&amp;(COUNTIFS($A$2:$A357,$A357,$E$2:$E357,"INFRUCTUEUX")+COUNTIFS($A$2:$A357,$A357,$E$2:$E357,"ANNULE")),""))</f>
        <v/>
      </c>
    </row>
    <row r="358">
      <c r="A358">
        <f>IF(ISBLANK('ENGAGEMENTS 2026'!B358),"",IF('ENGAGEMENTS 2026'!B358="DTSI","DCT",'ENGAGEMENTS 2026'!B358))</f>
        <v/>
      </c>
      <c r="B358">
        <f>IF(ISBLANK('ENGAGEMENTS 2026'!B358),"",'ENGAGEMENTS 2026'!C358)</f>
        <v/>
      </c>
      <c r="C358">
        <f>IF(ISBLANK('ENGAGEMENTS 2026'!B358),"",'ENGAGEMENTS 2026'!D358)</f>
        <v/>
      </c>
      <c r="D358">
        <f>IF(ISBLANK('ENGAGEMENTS 2026'!B358),"",'ENGAGEMENTS 2026'!F358)</f>
        <v/>
      </c>
      <c r="E358">
        <f>IF(ISBLANK('ENGAGEMENTS 2026'!B358),"",'ENGAGEMENTS 2026'!H358)</f>
        <v/>
      </c>
      <c r="F358">
        <f>IF(ISBLANK('ENGAGEMENTS 2026'!B358),"",'ENGAGEMENTS 2026'!I358)</f>
        <v/>
      </c>
      <c r="G358">
        <f>IF(ISBLANK('ENGAGEMENTS 2026'!B358),"",'ENGAGEMENTS 2026'!L358)</f>
        <v/>
      </c>
      <c r="H358">
        <f>IF(ISBLANK('ENGAGEMENTS 2026'!B358),"",'ENGAGEMENTS 2026'!AE358)</f>
        <v/>
      </c>
      <c r="I358">
        <f>IF(ISBLANK('ENGAGEMENTS 2026'!B358),"",'ENGAGEMENTS 2026'!G358)</f>
        <v/>
      </c>
      <c r="J358" s="275">
        <f>IF(ISBLANK('ENGAGEMENTS 2026'!B358),"",IF(AND(OR($E358="INFRUCTUEUX",$E358="ANNULE"),$C358="AOO-M"),'ENGAGEMENTS 2026'!O358,IF($H358="EN COURS DE PREENGAGEMENT",'ENGAGEMENTS 2026'!N358,IF($H358="PREENGAGE",IF($E358="ATTRIBUE",'ENGAGEMENTS 2026'!AD358,'ENGAGEMENTS 2026'!N358),'ENGAGEMENTS 2026'!AD358))))</f>
        <v/>
      </c>
      <c r="K358" s="604">
        <f>IF(ISBLANK('ENGAGEMENTS 2026'!V358),"",'ENGAGEMENTS 2026'!V358)</f>
        <v/>
      </c>
      <c r="L358" s="276">
        <f>IF($K358="","",TODAY()-$K358)</f>
        <v/>
      </c>
      <c r="M358">
        <f>IF($A358="","",IF($H358="ENGAGE","Engagé",IF(AND($H358="NON ENGAGE",OR($I358="INFRUCTUEUX",$I358="ANNULE")),"Clôturé sans suite","En cours")))</f>
        <v/>
      </c>
      <c r="N358">
        <f>IF(ISBLANK('ENGAGEMENTS 2026'!B358),"",'ENGAGEMENTS 2026'!K358)</f>
        <v/>
      </c>
      <c r="O358">
        <f>IF(ISBLANK('ENGAGEMENTS 2026'!B358),"",'ENGAGEMENTS 2026'!L358)</f>
        <v/>
      </c>
      <c r="P358">
        <f>IF(ISBLANK('ENGAGEMENTS 2026'!B358),"",'ENGAGEMENTS 2026'!J358)</f>
        <v/>
      </c>
      <c r="Q358">
        <f>IF($A358="","",IF(OR($E358="INFRUCTUEUX",$E358="ANNULE"),$A358&amp;"|"&amp;(COUNTIFS($A$2:$A358,$A358,$E$2:$E358,"INFRUCTUEUX")+COUNTIFS($A$2:$A358,$A358,$E$2:$E358,"ANNULE")),""))</f>
        <v/>
      </c>
    </row>
    <row r="359">
      <c r="A359">
        <f>IF(ISBLANK('ENGAGEMENTS 2026'!B359),"",IF('ENGAGEMENTS 2026'!B359="DTSI","DCT",'ENGAGEMENTS 2026'!B359))</f>
        <v/>
      </c>
      <c r="B359">
        <f>IF(ISBLANK('ENGAGEMENTS 2026'!B359),"",'ENGAGEMENTS 2026'!C359)</f>
        <v/>
      </c>
      <c r="C359">
        <f>IF(ISBLANK('ENGAGEMENTS 2026'!B359),"",'ENGAGEMENTS 2026'!D359)</f>
        <v/>
      </c>
      <c r="D359">
        <f>IF(ISBLANK('ENGAGEMENTS 2026'!B359),"",'ENGAGEMENTS 2026'!F359)</f>
        <v/>
      </c>
      <c r="E359">
        <f>IF(ISBLANK('ENGAGEMENTS 2026'!B359),"",'ENGAGEMENTS 2026'!H359)</f>
        <v/>
      </c>
      <c r="F359">
        <f>IF(ISBLANK('ENGAGEMENTS 2026'!B359),"",'ENGAGEMENTS 2026'!I359)</f>
        <v/>
      </c>
      <c r="G359">
        <f>IF(ISBLANK('ENGAGEMENTS 2026'!B359),"",'ENGAGEMENTS 2026'!L359)</f>
        <v/>
      </c>
      <c r="H359">
        <f>IF(ISBLANK('ENGAGEMENTS 2026'!B359),"",'ENGAGEMENTS 2026'!AE359)</f>
        <v/>
      </c>
      <c r="I359">
        <f>IF(ISBLANK('ENGAGEMENTS 2026'!B359),"",'ENGAGEMENTS 2026'!G359)</f>
        <v/>
      </c>
      <c r="J359" s="275">
        <f>IF(ISBLANK('ENGAGEMENTS 2026'!B359),"",IF(AND(OR($E359="INFRUCTUEUX",$E359="ANNULE"),$C359="AOO-M"),'ENGAGEMENTS 2026'!O359,IF($H359="EN COURS DE PREENGAGEMENT",'ENGAGEMENTS 2026'!N359,IF($H359="PREENGAGE",IF($E359="ATTRIBUE",'ENGAGEMENTS 2026'!AD359,'ENGAGEMENTS 2026'!N359),'ENGAGEMENTS 2026'!AD359))))</f>
        <v/>
      </c>
      <c r="K359" s="604">
        <f>IF(ISBLANK('ENGAGEMENTS 2026'!V359),"",'ENGAGEMENTS 2026'!V359)</f>
        <v/>
      </c>
      <c r="L359" s="276">
        <f>IF($K359="","",TODAY()-$K359)</f>
        <v/>
      </c>
      <c r="M359">
        <f>IF($A359="","",IF($H359="ENGAGE","Engagé",IF(AND($H359="NON ENGAGE",OR($I359="INFRUCTUEUX",$I359="ANNULE")),"Clôturé sans suite","En cours")))</f>
        <v/>
      </c>
      <c r="N359">
        <f>IF(ISBLANK('ENGAGEMENTS 2026'!B359),"",'ENGAGEMENTS 2026'!K359)</f>
        <v/>
      </c>
      <c r="O359">
        <f>IF(ISBLANK('ENGAGEMENTS 2026'!B359),"",'ENGAGEMENTS 2026'!L359)</f>
        <v/>
      </c>
      <c r="P359">
        <f>IF(ISBLANK('ENGAGEMENTS 2026'!B359),"",'ENGAGEMENTS 2026'!J359)</f>
        <v/>
      </c>
      <c r="Q359">
        <f>IF($A359="","",IF(OR($E359="INFRUCTUEUX",$E359="ANNULE"),$A359&amp;"|"&amp;(COUNTIFS($A$2:$A359,$A359,$E$2:$E359,"INFRUCTUEUX")+COUNTIFS($A$2:$A359,$A359,$E$2:$E359,"ANNULE")),""))</f>
        <v/>
      </c>
    </row>
    <row r="360">
      <c r="A360">
        <f>IF(ISBLANK('ENGAGEMENTS 2026'!B360),"",IF('ENGAGEMENTS 2026'!B360="DTSI","DCT",'ENGAGEMENTS 2026'!B360))</f>
        <v/>
      </c>
      <c r="B360">
        <f>IF(ISBLANK('ENGAGEMENTS 2026'!B360),"",'ENGAGEMENTS 2026'!C360)</f>
        <v/>
      </c>
      <c r="C360">
        <f>IF(ISBLANK('ENGAGEMENTS 2026'!B360),"",'ENGAGEMENTS 2026'!D360)</f>
        <v/>
      </c>
      <c r="D360">
        <f>IF(ISBLANK('ENGAGEMENTS 2026'!B360),"",'ENGAGEMENTS 2026'!F360)</f>
        <v/>
      </c>
      <c r="E360">
        <f>IF(ISBLANK('ENGAGEMENTS 2026'!B360),"",'ENGAGEMENTS 2026'!H360)</f>
        <v/>
      </c>
      <c r="F360">
        <f>IF(ISBLANK('ENGAGEMENTS 2026'!B360),"",'ENGAGEMENTS 2026'!I360)</f>
        <v/>
      </c>
      <c r="G360">
        <f>IF(ISBLANK('ENGAGEMENTS 2026'!B360),"",'ENGAGEMENTS 2026'!L360)</f>
        <v/>
      </c>
      <c r="H360">
        <f>IF(ISBLANK('ENGAGEMENTS 2026'!B360),"",'ENGAGEMENTS 2026'!AE360)</f>
        <v/>
      </c>
      <c r="I360">
        <f>IF(ISBLANK('ENGAGEMENTS 2026'!B360),"",'ENGAGEMENTS 2026'!G360)</f>
        <v/>
      </c>
      <c r="J360" s="275">
        <f>IF(ISBLANK('ENGAGEMENTS 2026'!B360),"",IF(AND(OR($E360="INFRUCTUEUX",$E360="ANNULE"),$C360="AOO-M"),'ENGAGEMENTS 2026'!O360,IF($H360="EN COURS DE PREENGAGEMENT",'ENGAGEMENTS 2026'!N360,IF($H360="PREENGAGE",IF($E360="ATTRIBUE",'ENGAGEMENTS 2026'!AD360,'ENGAGEMENTS 2026'!N360),'ENGAGEMENTS 2026'!AD360))))</f>
        <v/>
      </c>
      <c r="K360" s="604">
        <f>IF(ISBLANK('ENGAGEMENTS 2026'!V360),"",'ENGAGEMENTS 2026'!V360)</f>
        <v/>
      </c>
      <c r="L360" s="276">
        <f>IF($K360="","",TODAY()-$K360)</f>
        <v/>
      </c>
      <c r="M360">
        <f>IF($A360="","",IF($H360="ENGAGE","Engagé",IF(AND($H360="NON ENGAGE",OR($I360="INFRUCTUEUX",$I360="ANNULE")),"Clôturé sans suite","En cours")))</f>
        <v/>
      </c>
      <c r="N360">
        <f>IF(ISBLANK('ENGAGEMENTS 2026'!B360),"",'ENGAGEMENTS 2026'!K360)</f>
        <v/>
      </c>
      <c r="O360">
        <f>IF(ISBLANK('ENGAGEMENTS 2026'!B360),"",'ENGAGEMENTS 2026'!L360)</f>
        <v/>
      </c>
      <c r="P360">
        <f>IF(ISBLANK('ENGAGEMENTS 2026'!B360),"",'ENGAGEMENTS 2026'!J360)</f>
        <v/>
      </c>
      <c r="Q360">
        <f>IF($A360="","",IF(OR($E360="INFRUCTUEUX",$E360="ANNULE"),$A360&amp;"|"&amp;(COUNTIFS($A$2:$A360,$A360,$E$2:$E360,"INFRUCTUEUX")+COUNTIFS($A$2:$A360,$A360,$E$2:$E360,"ANNULE")),""))</f>
        <v/>
      </c>
    </row>
    <row r="361">
      <c r="A361">
        <f>IF(ISBLANK('ENGAGEMENTS 2026'!B361),"",IF('ENGAGEMENTS 2026'!B361="DTSI","DCT",'ENGAGEMENTS 2026'!B361))</f>
        <v/>
      </c>
      <c r="B361">
        <f>IF(ISBLANK('ENGAGEMENTS 2026'!B361),"",'ENGAGEMENTS 2026'!C361)</f>
        <v/>
      </c>
      <c r="C361">
        <f>IF(ISBLANK('ENGAGEMENTS 2026'!B361),"",'ENGAGEMENTS 2026'!D361)</f>
        <v/>
      </c>
      <c r="D361">
        <f>IF(ISBLANK('ENGAGEMENTS 2026'!B361),"",'ENGAGEMENTS 2026'!F361)</f>
        <v/>
      </c>
      <c r="E361">
        <f>IF(ISBLANK('ENGAGEMENTS 2026'!B361),"",'ENGAGEMENTS 2026'!H361)</f>
        <v/>
      </c>
      <c r="F361">
        <f>IF(ISBLANK('ENGAGEMENTS 2026'!B361),"",'ENGAGEMENTS 2026'!I361)</f>
        <v/>
      </c>
      <c r="G361">
        <f>IF(ISBLANK('ENGAGEMENTS 2026'!B361),"",'ENGAGEMENTS 2026'!L361)</f>
        <v/>
      </c>
      <c r="H361">
        <f>IF(ISBLANK('ENGAGEMENTS 2026'!B361),"",'ENGAGEMENTS 2026'!AE361)</f>
        <v/>
      </c>
      <c r="I361">
        <f>IF(ISBLANK('ENGAGEMENTS 2026'!B361),"",'ENGAGEMENTS 2026'!G361)</f>
        <v/>
      </c>
      <c r="J361" s="275">
        <f>IF(ISBLANK('ENGAGEMENTS 2026'!B361),"",IF(AND(OR($E361="INFRUCTUEUX",$E361="ANNULE"),$C361="AOO-M"),'ENGAGEMENTS 2026'!O361,IF($H361="EN COURS DE PREENGAGEMENT",'ENGAGEMENTS 2026'!N361,IF($H361="PREENGAGE",IF($E361="ATTRIBUE",'ENGAGEMENTS 2026'!AD361,'ENGAGEMENTS 2026'!N361),'ENGAGEMENTS 2026'!AD361))))</f>
        <v/>
      </c>
      <c r="K361" s="604">
        <f>IF(ISBLANK('ENGAGEMENTS 2026'!V361),"",'ENGAGEMENTS 2026'!V361)</f>
        <v/>
      </c>
      <c r="L361" s="276">
        <f>IF($K361="","",TODAY()-$K361)</f>
        <v/>
      </c>
      <c r="M361">
        <f>IF($A361="","",IF($H361="ENGAGE","Engagé",IF(AND($H361="NON ENGAGE",OR($I361="INFRUCTUEUX",$I361="ANNULE")),"Clôturé sans suite","En cours")))</f>
        <v/>
      </c>
      <c r="N361">
        <f>IF(ISBLANK('ENGAGEMENTS 2026'!B361),"",'ENGAGEMENTS 2026'!K361)</f>
        <v/>
      </c>
      <c r="O361">
        <f>IF(ISBLANK('ENGAGEMENTS 2026'!B361),"",'ENGAGEMENTS 2026'!L361)</f>
        <v/>
      </c>
      <c r="P361">
        <f>IF(ISBLANK('ENGAGEMENTS 2026'!B361),"",'ENGAGEMENTS 2026'!J361)</f>
        <v/>
      </c>
      <c r="Q361">
        <f>IF($A361="","",IF(OR($E361="INFRUCTUEUX",$E361="ANNULE"),$A361&amp;"|"&amp;(COUNTIFS($A$2:$A361,$A361,$E$2:$E361,"INFRUCTUEUX")+COUNTIFS($A$2:$A361,$A361,$E$2:$E361,"ANNULE")),""))</f>
        <v/>
      </c>
    </row>
    <row r="362">
      <c r="A362">
        <f>IF(ISBLANK('ENGAGEMENTS 2026'!B362),"",IF('ENGAGEMENTS 2026'!B362="DTSI","DCT",'ENGAGEMENTS 2026'!B362))</f>
        <v/>
      </c>
      <c r="B362">
        <f>IF(ISBLANK('ENGAGEMENTS 2026'!B362),"",'ENGAGEMENTS 2026'!C362)</f>
        <v/>
      </c>
      <c r="C362">
        <f>IF(ISBLANK('ENGAGEMENTS 2026'!B362),"",'ENGAGEMENTS 2026'!D362)</f>
        <v/>
      </c>
      <c r="D362">
        <f>IF(ISBLANK('ENGAGEMENTS 2026'!B362),"",'ENGAGEMENTS 2026'!F362)</f>
        <v/>
      </c>
      <c r="E362">
        <f>IF(ISBLANK('ENGAGEMENTS 2026'!B362),"",'ENGAGEMENTS 2026'!H362)</f>
        <v/>
      </c>
      <c r="F362">
        <f>IF(ISBLANK('ENGAGEMENTS 2026'!B362),"",'ENGAGEMENTS 2026'!I362)</f>
        <v/>
      </c>
      <c r="G362">
        <f>IF(ISBLANK('ENGAGEMENTS 2026'!B362),"",'ENGAGEMENTS 2026'!L362)</f>
        <v/>
      </c>
      <c r="H362">
        <f>IF(ISBLANK('ENGAGEMENTS 2026'!B362),"",'ENGAGEMENTS 2026'!AE362)</f>
        <v/>
      </c>
      <c r="I362">
        <f>IF(ISBLANK('ENGAGEMENTS 2026'!B362),"",'ENGAGEMENTS 2026'!G362)</f>
        <v/>
      </c>
      <c r="J362" s="275">
        <f>IF(ISBLANK('ENGAGEMENTS 2026'!B362),"",IF(AND(OR($E362="INFRUCTUEUX",$E362="ANNULE"),$C362="AOO-M"),'ENGAGEMENTS 2026'!O362,IF($H362="EN COURS DE PREENGAGEMENT",'ENGAGEMENTS 2026'!N362,IF($H362="PREENGAGE",IF($E362="ATTRIBUE",'ENGAGEMENTS 2026'!AD362,'ENGAGEMENTS 2026'!N362),'ENGAGEMENTS 2026'!AD362))))</f>
        <v/>
      </c>
      <c r="K362" s="604">
        <f>IF(ISBLANK('ENGAGEMENTS 2026'!V362),"",'ENGAGEMENTS 2026'!V362)</f>
        <v/>
      </c>
      <c r="L362" s="276">
        <f>IF($K362="","",TODAY()-$K362)</f>
        <v/>
      </c>
      <c r="M362">
        <f>IF($A362="","",IF($H362="ENGAGE","Engagé",IF(AND($H362="NON ENGAGE",OR($I362="INFRUCTUEUX",$I362="ANNULE")),"Clôturé sans suite","En cours")))</f>
        <v/>
      </c>
      <c r="N362">
        <f>IF(ISBLANK('ENGAGEMENTS 2026'!B362),"",'ENGAGEMENTS 2026'!K362)</f>
        <v/>
      </c>
      <c r="O362">
        <f>IF(ISBLANK('ENGAGEMENTS 2026'!B362),"",'ENGAGEMENTS 2026'!L362)</f>
        <v/>
      </c>
      <c r="P362">
        <f>IF(ISBLANK('ENGAGEMENTS 2026'!B362),"",'ENGAGEMENTS 2026'!J362)</f>
        <v/>
      </c>
      <c r="Q362">
        <f>IF($A362="","",IF(OR($E362="INFRUCTUEUX",$E362="ANNULE"),$A362&amp;"|"&amp;(COUNTIFS($A$2:$A362,$A362,$E$2:$E362,"INFRUCTUEUX")+COUNTIFS($A$2:$A362,$A362,$E$2:$E362,"ANNULE")),""))</f>
        <v/>
      </c>
    </row>
    <row r="363">
      <c r="A363">
        <f>IF(ISBLANK('ENGAGEMENTS 2026'!B363),"",IF('ENGAGEMENTS 2026'!B363="DTSI","DCT",'ENGAGEMENTS 2026'!B363))</f>
        <v/>
      </c>
      <c r="B363">
        <f>IF(ISBLANK('ENGAGEMENTS 2026'!B363),"",'ENGAGEMENTS 2026'!C363)</f>
        <v/>
      </c>
      <c r="C363">
        <f>IF(ISBLANK('ENGAGEMENTS 2026'!B363),"",'ENGAGEMENTS 2026'!D363)</f>
        <v/>
      </c>
      <c r="D363">
        <f>IF(ISBLANK('ENGAGEMENTS 2026'!B363),"",'ENGAGEMENTS 2026'!F363)</f>
        <v/>
      </c>
      <c r="E363">
        <f>IF(ISBLANK('ENGAGEMENTS 2026'!B363),"",'ENGAGEMENTS 2026'!H363)</f>
        <v/>
      </c>
      <c r="F363">
        <f>IF(ISBLANK('ENGAGEMENTS 2026'!B363),"",'ENGAGEMENTS 2026'!I363)</f>
        <v/>
      </c>
      <c r="G363">
        <f>IF(ISBLANK('ENGAGEMENTS 2026'!B363),"",'ENGAGEMENTS 2026'!L363)</f>
        <v/>
      </c>
      <c r="H363">
        <f>IF(ISBLANK('ENGAGEMENTS 2026'!B363),"",'ENGAGEMENTS 2026'!AE363)</f>
        <v/>
      </c>
      <c r="I363">
        <f>IF(ISBLANK('ENGAGEMENTS 2026'!B363),"",'ENGAGEMENTS 2026'!G363)</f>
        <v/>
      </c>
      <c r="J363" s="275">
        <f>IF(ISBLANK('ENGAGEMENTS 2026'!B363),"",IF(AND(OR($E363="INFRUCTUEUX",$E363="ANNULE"),$C363="AOO-M"),'ENGAGEMENTS 2026'!O363,IF($H363="EN COURS DE PREENGAGEMENT",'ENGAGEMENTS 2026'!N363,IF($H363="PREENGAGE",IF($E363="ATTRIBUE",'ENGAGEMENTS 2026'!AD363,'ENGAGEMENTS 2026'!N363),'ENGAGEMENTS 2026'!AD363))))</f>
        <v/>
      </c>
      <c r="K363" s="604">
        <f>IF(ISBLANK('ENGAGEMENTS 2026'!V363),"",'ENGAGEMENTS 2026'!V363)</f>
        <v/>
      </c>
      <c r="L363" s="276">
        <f>IF($K363="","",TODAY()-$K363)</f>
        <v/>
      </c>
      <c r="M363">
        <f>IF($A363="","",IF($H363="ENGAGE","Engagé",IF(AND($H363="NON ENGAGE",OR($I363="INFRUCTUEUX",$I363="ANNULE")),"Clôturé sans suite","En cours")))</f>
        <v/>
      </c>
      <c r="N363">
        <f>IF(ISBLANK('ENGAGEMENTS 2026'!B363),"",'ENGAGEMENTS 2026'!K363)</f>
        <v/>
      </c>
      <c r="O363">
        <f>IF(ISBLANK('ENGAGEMENTS 2026'!B363),"",'ENGAGEMENTS 2026'!L363)</f>
        <v/>
      </c>
      <c r="P363">
        <f>IF(ISBLANK('ENGAGEMENTS 2026'!B363),"",'ENGAGEMENTS 2026'!J363)</f>
        <v/>
      </c>
      <c r="Q363">
        <f>IF($A363="","",IF(OR($E363="INFRUCTUEUX",$E363="ANNULE"),$A363&amp;"|"&amp;(COUNTIFS($A$2:$A363,$A363,$E$2:$E363,"INFRUCTUEUX")+COUNTIFS($A$2:$A363,$A363,$E$2:$E363,"ANNULE")),""))</f>
        <v/>
      </c>
    </row>
    <row r="364">
      <c r="A364">
        <f>IF(ISBLANK('ENGAGEMENTS 2026'!B364),"",IF('ENGAGEMENTS 2026'!B364="DTSI","DCT",'ENGAGEMENTS 2026'!B364))</f>
        <v/>
      </c>
      <c r="B364">
        <f>IF(ISBLANK('ENGAGEMENTS 2026'!B364),"",'ENGAGEMENTS 2026'!C364)</f>
        <v/>
      </c>
      <c r="C364">
        <f>IF(ISBLANK('ENGAGEMENTS 2026'!B364),"",'ENGAGEMENTS 2026'!D364)</f>
        <v/>
      </c>
      <c r="D364">
        <f>IF(ISBLANK('ENGAGEMENTS 2026'!B364),"",'ENGAGEMENTS 2026'!F364)</f>
        <v/>
      </c>
      <c r="E364">
        <f>IF(ISBLANK('ENGAGEMENTS 2026'!B364),"",'ENGAGEMENTS 2026'!H364)</f>
        <v/>
      </c>
      <c r="F364">
        <f>IF(ISBLANK('ENGAGEMENTS 2026'!B364),"",'ENGAGEMENTS 2026'!I364)</f>
        <v/>
      </c>
      <c r="G364">
        <f>IF(ISBLANK('ENGAGEMENTS 2026'!B364),"",'ENGAGEMENTS 2026'!L364)</f>
        <v/>
      </c>
      <c r="H364">
        <f>IF(ISBLANK('ENGAGEMENTS 2026'!B364),"",'ENGAGEMENTS 2026'!AE364)</f>
        <v/>
      </c>
      <c r="I364">
        <f>IF(ISBLANK('ENGAGEMENTS 2026'!B364),"",'ENGAGEMENTS 2026'!G364)</f>
        <v/>
      </c>
      <c r="J364" s="275">
        <f>IF(ISBLANK('ENGAGEMENTS 2026'!B364),"",IF(AND(OR($E364="INFRUCTUEUX",$E364="ANNULE"),$C364="AOO-M"),'ENGAGEMENTS 2026'!O364,IF($H364="EN COURS DE PREENGAGEMENT",'ENGAGEMENTS 2026'!N364,IF($H364="PREENGAGE",IF($E364="ATTRIBUE",'ENGAGEMENTS 2026'!AD364,'ENGAGEMENTS 2026'!N364),'ENGAGEMENTS 2026'!AD364))))</f>
        <v/>
      </c>
      <c r="K364" s="604">
        <f>IF(ISBLANK('ENGAGEMENTS 2026'!V364),"",'ENGAGEMENTS 2026'!V364)</f>
        <v/>
      </c>
      <c r="L364" s="276">
        <f>IF($K364="","",TODAY()-$K364)</f>
        <v/>
      </c>
      <c r="M364">
        <f>IF($A364="","",IF($H364="ENGAGE","Engagé",IF(AND($H364="NON ENGAGE",OR($I364="INFRUCTUEUX",$I364="ANNULE")),"Clôturé sans suite","En cours")))</f>
        <v/>
      </c>
      <c r="N364">
        <f>IF(ISBLANK('ENGAGEMENTS 2026'!B364),"",'ENGAGEMENTS 2026'!K364)</f>
        <v/>
      </c>
      <c r="O364">
        <f>IF(ISBLANK('ENGAGEMENTS 2026'!B364),"",'ENGAGEMENTS 2026'!L364)</f>
        <v/>
      </c>
      <c r="P364">
        <f>IF(ISBLANK('ENGAGEMENTS 2026'!B364),"",'ENGAGEMENTS 2026'!J364)</f>
        <v/>
      </c>
      <c r="Q364">
        <f>IF($A364="","",IF(OR($E364="INFRUCTUEUX",$E364="ANNULE"),$A364&amp;"|"&amp;(COUNTIFS($A$2:$A364,$A364,$E$2:$E364,"INFRUCTUEUX")+COUNTIFS($A$2:$A364,$A364,$E$2:$E364,"ANNULE")),""))</f>
        <v/>
      </c>
    </row>
    <row r="365">
      <c r="A365">
        <f>IF(ISBLANK('ENGAGEMENTS 2026'!B365),"",IF('ENGAGEMENTS 2026'!B365="DTSI","DCT",'ENGAGEMENTS 2026'!B365))</f>
        <v/>
      </c>
      <c r="B365">
        <f>IF(ISBLANK('ENGAGEMENTS 2026'!B365),"",'ENGAGEMENTS 2026'!C365)</f>
        <v/>
      </c>
      <c r="C365">
        <f>IF(ISBLANK('ENGAGEMENTS 2026'!B365),"",'ENGAGEMENTS 2026'!D365)</f>
        <v/>
      </c>
      <c r="D365">
        <f>IF(ISBLANK('ENGAGEMENTS 2026'!B365),"",'ENGAGEMENTS 2026'!F365)</f>
        <v/>
      </c>
      <c r="E365">
        <f>IF(ISBLANK('ENGAGEMENTS 2026'!B365),"",'ENGAGEMENTS 2026'!H365)</f>
        <v/>
      </c>
      <c r="F365">
        <f>IF(ISBLANK('ENGAGEMENTS 2026'!B365),"",'ENGAGEMENTS 2026'!I365)</f>
        <v/>
      </c>
      <c r="G365">
        <f>IF(ISBLANK('ENGAGEMENTS 2026'!B365),"",'ENGAGEMENTS 2026'!L365)</f>
        <v/>
      </c>
      <c r="H365">
        <f>IF(ISBLANK('ENGAGEMENTS 2026'!B365),"",'ENGAGEMENTS 2026'!AE365)</f>
        <v/>
      </c>
      <c r="I365">
        <f>IF(ISBLANK('ENGAGEMENTS 2026'!B365),"",'ENGAGEMENTS 2026'!G365)</f>
        <v/>
      </c>
      <c r="J365" s="275">
        <f>IF(ISBLANK('ENGAGEMENTS 2026'!B365),"",IF(AND(OR($E365="INFRUCTUEUX",$E365="ANNULE"),$C365="AOO-M"),'ENGAGEMENTS 2026'!O365,IF($H365="EN COURS DE PREENGAGEMENT",'ENGAGEMENTS 2026'!N365,IF($H365="PREENGAGE",IF($E365="ATTRIBUE",'ENGAGEMENTS 2026'!AD365,'ENGAGEMENTS 2026'!N365),'ENGAGEMENTS 2026'!AD365))))</f>
        <v/>
      </c>
      <c r="K365" s="604">
        <f>IF(ISBLANK('ENGAGEMENTS 2026'!V365),"",'ENGAGEMENTS 2026'!V365)</f>
        <v/>
      </c>
      <c r="L365" s="276">
        <f>IF($K365="","",TODAY()-$K365)</f>
        <v/>
      </c>
      <c r="M365">
        <f>IF($A365="","",IF($H365="ENGAGE","Engagé",IF(AND($H365="NON ENGAGE",OR($I365="INFRUCTUEUX",$I365="ANNULE")),"Clôturé sans suite","En cours")))</f>
        <v/>
      </c>
      <c r="N365">
        <f>IF(ISBLANK('ENGAGEMENTS 2026'!B365),"",'ENGAGEMENTS 2026'!K365)</f>
        <v/>
      </c>
      <c r="O365">
        <f>IF(ISBLANK('ENGAGEMENTS 2026'!B365),"",'ENGAGEMENTS 2026'!L365)</f>
        <v/>
      </c>
      <c r="P365">
        <f>IF(ISBLANK('ENGAGEMENTS 2026'!B365),"",'ENGAGEMENTS 2026'!J365)</f>
        <v/>
      </c>
      <c r="Q365">
        <f>IF($A365="","",IF(OR($E365="INFRUCTUEUX",$E365="ANNULE"),$A365&amp;"|"&amp;(COUNTIFS($A$2:$A365,$A365,$E$2:$E365,"INFRUCTUEUX")+COUNTIFS($A$2:$A365,$A365,$E$2:$E365,"ANNULE")),""))</f>
        <v/>
      </c>
    </row>
    <row r="366">
      <c r="A366">
        <f>IF(ISBLANK('ENGAGEMENTS 2026'!B366),"",IF('ENGAGEMENTS 2026'!B366="DTSI","DCT",'ENGAGEMENTS 2026'!B366))</f>
        <v/>
      </c>
      <c r="B366">
        <f>IF(ISBLANK('ENGAGEMENTS 2026'!B366),"",'ENGAGEMENTS 2026'!C366)</f>
        <v/>
      </c>
      <c r="C366">
        <f>IF(ISBLANK('ENGAGEMENTS 2026'!B366),"",'ENGAGEMENTS 2026'!D366)</f>
        <v/>
      </c>
      <c r="D366">
        <f>IF(ISBLANK('ENGAGEMENTS 2026'!B366),"",'ENGAGEMENTS 2026'!F366)</f>
        <v/>
      </c>
      <c r="E366">
        <f>IF(ISBLANK('ENGAGEMENTS 2026'!B366),"",'ENGAGEMENTS 2026'!H366)</f>
        <v/>
      </c>
      <c r="F366">
        <f>IF(ISBLANK('ENGAGEMENTS 2026'!B366),"",'ENGAGEMENTS 2026'!I366)</f>
        <v/>
      </c>
      <c r="G366">
        <f>IF(ISBLANK('ENGAGEMENTS 2026'!B366),"",'ENGAGEMENTS 2026'!L366)</f>
        <v/>
      </c>
      <c r="H366">
        <f>IF(ISBLANK('ENGAGEMENTS 2026'!B366),"",'ENGAGEMENTS 2026'!AE366)</f>
        <v/>
      </c>
      <c r="I366">
        <f>IF(ISBLANK('ENGAGEMENTS 2026'!B366),"",'ENGAGEMENTS 2026'!G366)</f>
        <v/>
      </c>
      <c r="J366" s="275">
        <f>IF(ISBLANK('ENGAGEMENTS 2026'!B366),"",IF(AND(OR($E366="INFRUCTUEUX",$E366="ANNULE"),$C366="AOO-M"),'ENGAGEMENTS 2026'!O366,IF($H366="EN COURS DE PREENGAGEMENT",'ENGAGEMENTS 2026'!N366,IF($H366="PREENGAGE",IF($E366="ATTRIBUE",'ENGAGEMENTS 2026'!AD366,'ENGAGEMENTS 2026'!N366),'ENGAGEMENTS 2026'!AD366))))</f>
        <v/>
      </c>
      <c r="K366" s="604">
        <f>IF(ISBLANK('ENGAGEMENTS 2026'!V366),"",'ENGAGEMENTS 2026'!V366)</f>
        <v/>
      </c>
      <c r="L366" s="276">
        <f>IF($K366="","",TODAY()-$K366)</f>
        <v/>
      </c>
      <c r="M366">
        <f>IF($A366="","",IF($H366="ENGAGE","Engagé",IF(AND($H366="NON ENGAGE",OR($I366="INFRUCTUEUX",$I366="ANNULE")),"Clôturé sans suite","En cours")))</f>
        <v/>
      </c>
      <c r="N366">
        <f>IF(ISBLANK('ENGAGEMENTS 2026'!B366),"",'ENGAGEMENTS 2026'!K366)</f>
        <v/>
      </c>
      <c r="O366">
        <f>IF(ISBLANK('ENGAGEMENTS 2026'!B366),"",'ENGAGEMENTS 2026'!L366)</f>
        <v/>
      </c>
      <c r="P366">
        <f>IF(ISBLANK('ENGAGEMENTS 2026'!B366),"",'ENGAGEMENTS 2026'!J366)</f>
        <v/>
      </c>
      <c r="Q366">
        <f>IF($A366="","",IF(OR($E366="INFRUCTUEUX",$E366="ANNULE"),$A366&amp;"|"&amp;(COUNTIFS($A$2:$A366,$A366,$E$2:$E366,"INFRUCTUEUX")+COUNTIFS($A$2:$A366,$A366,$E$2:$E366,"ANNULE")),""))</f>
        <v/>
      </c>
    </row>
    <row r="367">
      <c r="A367">
        <f>IF(ISBLANK('ENGAGEMENTS 2026'!B367),"",IF('ENGAGEMENTS 2026'!B367="DTSI","DCT",'ENGAGEMENTS 2026'!B367))</f>
        <v/>
      </c>
      <c r="B367">
        <f>IF(ISBLANK('ENGAGEMENTS 2026'!B367),"",'ENGAGEMENTS 2026'!C367)</f>
        <v/>
      </c>
      <c r="C367">
        <f>IF(ISBLANK('ENGAGEMENTS 2026'!B367),"",'ENGAGEMENTS 2026'!D367)</f>
        <v/>
      </c>
      <c r="D367">
        <f>IF(ISBLANK('ENGAGEMENTS 2026'!B367),"",'ENGAGEMENTS 2026'!F367)</f>
        <v/>
      </c>
      <c r="E367">
        <f>IF(ISBLANK('ENGAGEMENTS 2026'!B367),"",'ENGAGEMENTS 2026'!H367)</f>
        <v/>
      </c>
      <c r="F367">
        <f>IF(ISBLANK('ENGAGEMENTS 2026'!B367),"",'ENGAGEMENTS 2026'!I367)</f>
        <v/>
      </c>
      <c r="G367">
        <f>IF(ISBLANK('ENGAGEMENTS 2026'!B367),"",'ENGAGEMENTS 2026'!L367)</f>
        <v/>
      </c>
      <c r="H367">
        <f>IF(ISBLANK('ENGAGEMENTS 2026'!B367),"",'ENGAGEMENTS 2026'!AE367)</f>
        <v/>
      </c>
      <c r="I367">
        <f>IF(ISBLANK('ENGAGEMENTS 2026'!B367),"",'ENGAGEMENTS 2026'!G367)</f>
        <v/>
      </c>
      <c r="J367" s="275">
        <f>IF(ISBLANK('ENGAGEMENTS 2026'!B367),"",IF(AND(OR($E367="INFRUCTUEUX",$E367="ANNULE"),$C367="AOO-M"),'ENGAGEMENTS 2026'!O367,IF($H367="EN COURS DE PREENGAGEMENT",'ENGAGEMENTS 2026'!N367,IF($H367="PREENGAGE",IF($E367="ATTRIBUE",'ENGAGEMENTS 2026'!AD367,'ENGAGEMENTS 2026'!N367),'ENGAGEMENTS 2026'!AD367))))</f>
        <v/>
      </c>
      <c r="K367" s="604">
        <f>IF(ISBLANK('ENGAGEMENTS 2026'!V367),"",'ENGAGEMENTS 2026'!V367)</f>
        <v/>
      </c>
      <c r="L367" s="276">
        <f>IF($K367="","",TODAY()-$K367)</f>
        <v/>
      </c>
      <c r="M367">
        <f>IF($A367="","",IF($H367="ENGAGE","Engagé",IF(AND($H367="NON ENGAGE",OR($I367="INFRUCTUEUX",$I367="ANNULE")),"Clôturé sans suite","En cours")))</f>
        <v/>
      </c>
      <c r="N367">
        <f>IF(ISBLANK('ENGAGEMENTS 2026'!B367),"",'ENGAGEMENTS 2026'!K367)</f>
        <v/>
      </c>
      <c r="O367">
        <f>IF(ISBLANK('ENGAGEMENTS 2026'!B367),"",'ENGAGEMENTS 2026'!L367)</f>
        <v/>
      </c>
      <c r="P367">
        <f>IF(ISBLANK('ENGAGEMENTS 2026'!B367),"",'ENGAGEMENTS 2026'!J367)</f>
        <v/>
      </c>
      <c r="Q367">
        <f>IF($A367="","",IF(OR($E367="INFRUCTUEUX",$E367="ANNULE"),$A367&amp;"|"&amp;(COUNTIFS($A$2:$A367,$A367,$E$2:$E367,"INFRUCTUEUX")+COUNTIFS($A$2:$A367,$A367,$E$2:$E367,"ANNULE")),""))</f>
        <v/>
      </c>
    </row>
    <row r="368">
      <c r="A368">
        <f>IF(ISBLANK('ENGAGEMENTS 2026'!B368),"",IF('ENGAGEMENTS 2026'!B368="DTSI","DCT",'ENGAGEMENTS 2026'!B368))</f>
        <v/>
      </c>
      <c r="B368">
        <f>IF(ISBLANK('ENGAGEMENTS 2026'!B368),"",'ENGAGEMENTS 2026'!C368)</f>
        <v/>
      </c>
      <c r="C368">
        <f>IF(ISBLANK('ENGAGEMENTS 2026'!B368),"",'ENGAGEMENTS 2026'!D368)</f>
        <v/>
      </c>
      <c r="D368">
        <f>IF(ISBLANK('ENGAGEMENTS 2026'!B368),"",'ENGAGEMENTS 2026'!F368)</f>
        <v/>
      </c>
      <c r="E368">
        <f>IF(ISBLANK('ENGAGEMENTS 2026'!B368),"",'ENGAGEMENTS 2026'!H368)</f>
        <v/>
      </c>
      <c r="F368">
        <f>IF(ISBLANK('ENGAGEMENTS 2026'!B368),"",'ENGAGEMENTS 2026'!I368)</f>
        <v/>
      </c>
      <c r="G368">
        <f>IF(ISBLANK('ENGAGEMENTS 2026'!B368),"",'ENGAGEMENTS 2026'!L368)</f>
        <v/>
      </c>
      <c r="H368">
        <f>IF(ISBLANK('ENGAGEMENTS 2026'!B368),"",'ENGAGEMENTS 2026'!AE368)</f>
        <v/>
      </c>
      <c r="I368">
        <f>IF(ISBLANK('ENGAGEMENTS 2026'!B368),"",'ENGAGEMENTS 2026'!G368)</f>
        <v/>
      </c>
      <c r="J368" s="275">
        <f>IF(ISBLANK('ENGAGEMENTS 2026'!B368),"",IF(AND(OR($E368="INFRUCTUEUX",$E368="ANNULE"),$C368="AOO-M"),'ENGAGEMENTS 2026'!O368,IF($H368="EN COURS DE PREENGAGEMENT",'ENGAGEMENTS 2026'!N368,IF($H368="PREENGAGE",IF($E368="ATTRIBUE",'ENGAGEMENTS 2026'!AD368,'ENGAGEMENTS 2026'!N368),'ENGAGEMENTS 2026'!AD368))))</f>
        <v/>
      </c>
      <c r="K368" s="604">
        <f>IF(ISBLANK('ENGAGEMENTS 2026'!V368),"",'ENGAGEMENTS 2026'!V368)</f>
        <v/>
      </c>
      <c r="L368" s="276">
        <f>IF($K368="","",TODAY()-$K368)</f>
        <v/>
      </c>
      <c r="M368">
        <f>IF($A368="","",IF($H368="ENGAGE","Engagé",IF(AND($H368="NON ENGAGE",OR($I368="INFRUCTUEUX",$I368="ANNULE")),"Clôturé sans suite","En cours")))</f>
        <v/>
      </c>
      <c r="N368">
        <f>IF(ISBLANK('ENGAGEMENTS 2026'!B368),"",'ENGAGEMENTS 2026'!K368)</f>
        <v/>
      </c>
      <c r="O368">
        <f>IF(ISBLANK('ENGAGEMENTS 2026'!B368),"",'ENGAGEMENTS 2026'!L368)</f>
        <v/>
      </c>
      <c r="P368">
        <f>IF(ISBLANK('ENGAGEMENTS 2026'!B368),"",'ENGAGEMENTS 2026'!J368)</f>
        <v/>
      </c>
      <c r="Q368">
        <f>IF($A368="","",IF(OR($E368="INFRUCTUEUX",$E368="ANNULE"),$A368&amp;"|"&amp;(COUNTIFS($A$2:$A368,$A368,$E$2:$E368,"INFRUCTUEUX")+COUNTIFS($A$2:$A368,$A368,$E$2:$E368,"ANNULE")),""))</f>
        <v/>
      </c>
    </row>
    <row r="369">
      <c r="A369">
        <f>IF(ISBLANK('ENGAGEMENTS 2026'!B369),"",IF('ENGAGEMENTS 2026'!B369="DTSI","DCT",'ENGAGEMENTS 2026'!B369))</f>
        <v/>
      </c>
      <c r="B369">
        <f>IF(ISBLANK('ENGAGEMENTS 2026'!B369),"",'ENGAGEMENTS 2026'!C369)</f>
        <v/>
      </c>
      <c r="C369">
        <f>IF(ISBLANK('ENGAGEMENTS 2026'!B369),"",'ENGAGEMENTS 2026'!D369)</f>
        <v/>
      </c>
      <c r="D369">
        <f>IF(ISBLANK('ENGAGEMENTS 2026'!B369),"",'ENGAGEMENTS 2026'!F369)</f>
        <v/>
      </c>
      <c r="E369">
        <f>IF(ISBLANK('ENGAGEMENTS 2026'!B369),"",'ENGAGEMENTS 2026'!H369)</f>
        <v/>
      </c>
      <c r="F369">
        <f>IF(ISBLANK('ENGAGEMENTS 2026'!B369),"",'ENGAGEMENTS 2026'!I369)</f>
        <v/>
      </c>
      <c r="G369">
        <f>IF(ISBLANK('ENGAGEMENTS 2026'!B369),"",'ENGAGEMENTS 2026'!L369)</f>
        <v/>
      </c>
      <c r="H369">
        <f>IF(ISBLANK('ENGAGEMENTS 2026'!B369),"",'ENGAGEMENTS 2026'!AE369)</f>
        <v/>
      </c>
      <c r="I369">
        <f>IF(ISBLANK('ENGAGEMENTS 2026'!B369),"",'ENGAGEMENTS 2026'!G369)</f>
        <v/>
      </c>
      <c r="J369" s="275">
        <f>IF(ISBLANK('ENGAGEMENTS 2026'!B369),"",IF(AND(OR($E369="INFRUCTUEUX",$E369="ANNULE"),$C369="AOO-M"),'ENGAGEMENTS 2026'!O369,IF($H369="EN COURS DE PREENGAGEMENT",'ENGAGEMENTS 2026'!N369,IF($H369="PREENGAGE",IF($E369="ATTRIBUE",'ENGAGEMENTS 2026'!AD369,'ENGAGEMENTS 2026'!N369),'ENGAGEMENTS 2026'!AD369))))</f>
        <v/>
      </c>
      <c r="K369" s="604">
        <f>IF(ISBLANK('ENGAGEMENTS 2026'!V369),"",'ENGAGEMENTS 2026'!V369)</f>
        <v/>
      </c>
      <c r="L369" s="276">
        <f>IF($K369="","",TODAY()-$K369)</f>
        <v/>
      </c>
      <c r="M369">
        <f>IF($A369="","",IF($H369="ENGAGE","Engagé",IF(AND($H369="NON ENGAGE",OR($I369="INFRUCTUEUX",$I369="ANNULE")),"Clôturé sans suite","En cours")))</f>
        <v/>
      </c>
      <c r="N369">
        <f>IF(ISBLANK('ENGAGEMENTS 2026'!B369),"",'ENGAGEMENTS 2026'!K369)</f>
        <v/>
      </c>
      <c r="O369">
        <f>IF(ISBLANK('ENGAGEMENTS 2026'!B369),"",'ENGAGEMENTS 2026'!L369)</f>
        <v/>
      </c>
      <c r="P369">
        <f>IF(ISBLANK('ENGAGEMENTS 2026'!B369),"",'ENGAGEMENTS 2026'!J369)</f>
        <v/>
      </c>
      <c r="Q369">
        <f>IF($A369="","",IF(OR($E369="INFRUCTUEUX",$E369="ANNULE"),$A369&amp;"|"&amp;(COUNTIFS($A$2:$A369,$A369,$E$2:$E369,"INFRUCTUEUX")+COUNTIFS($A$2:$A369,$A369,$E$2:$E369,"ANNULE")),""))</f>
        <v/>
      </c>
    </row>
    <row r="370">
      <c r="A370">
        <f>IF(ISBLANK('ENGAGEMENTS 2026'!B370),"",IF('ENGAGEMENTS 2026'!B370="DTSI","DCT",'ENGAGEMENTS 2026'!B370))</f>
        <v/>
      </c>
      <c r="B370">
        <f>IF(ISBLANK('ENGAGEMENTS 2026'!B370),"",'ENGAGEMENTS 2026'!C370)</f>
        <v/>
      </c>
      <c r="C370">
        <f>IF(ISBLANK('ENGAGEMENTS 2026'!B370),"",'ENGAGEMENTS 2026'!D370)</f>
        <v/>
      </c>
      <c r="D370">
        <f>IF(ISBLANK('ENGAGEMENTS 2026'!B370),"",'ENGAGEMENTS 2026'!F370)</f>
        <v/>
      </c>
      <c r="E370">
        <f>IF(ISBLANK('ENGAGEMENTS 2026'!B370),"",'ENGAGEMENTS 2026'!H370)</f>
        <v/>
      </c>
      <c r="F370">
        <f>IF(ISBLANK('ENGAGEMENTS 2026'!B370),"",'ENGAGEMENTS 2026'!I370)</f>
        <v/>
      </c>
      <c r="G370">
        <f>IF(ISBLANK('ENGAGEMENTS 2026'!B370),"",'ENGAGEMENTS 2026'!L370)</f>
        <v/>
      </c>
      <c r="H370">
        <f>IF(ISBLANK('ENGAGEMENTS 2026'!B370),"",'ENGAGEMENTS 2026'!AE370)</f>
        <v/>
      </c>
      <c r="I370">
        <f>IF(ISBLANK('ENGAGEMENTS 2026'!B370),"",'ENGAGEMENTS 2026'!G370)</f>
        <v/>
      </c>
      <c r="J370" s="275">
        <f>IF(ISBLANK('ENGAGEMENTS 2026'!B370),"",IF(AND(OR($E370="INFRUCTUEUX",$E370="ANNULE"),$C370="AOO-M"),'ENGAGEMENTS 2026'!O370,IF($H370="EN COURS DE PREENGAGEMENT",'ENGAGEMENTS 2026'!N370,IF($H370="PREENGAGE",IF($E370="ATTRIBUE",'ENGAGEMENTS 2026'!AD370,'ENGAGEMENTS 2026'!N370),'ENGAGEMENTS 2026'!AD370))))</f>
        <v/>
      </c>
      <c r="K370" s="604">
        <f>IF(ISBLANK('ENGAGEMENTS 2026'!V370),"",'ENGAGEMENTS 2026'!V370)</f>
        <v/>
      </c>
      <c r="L370" s="276">
        <f>IF($K370="","",TODAY()-$K370)</f>
        <v/>
      </c>
      <c r="M370">
        <f>IF($A370="","",IF($H370="ENGAGE","Engagé",IF(AND($H370="NON ENGAGE",OR($I370="INFRUCTUEUX",$I370="ANNULE")),"Clôturé sans suite","En cours")))</f>
        <v/>
      </c>
      <c r="N370">
        <f>IF(ISBLANK('ENGAGEMENTS 2026'!B370),"",'ENGAGEMENTS 2026'!K370)</f>
        <v/>
      </c>
      <c r="O370">
        <f>IF(ISBLANK('ENGAGEMENTS 2026'!B370),"",'ENGAGEMENTS 2026'!L370)</f>
        <v/>
      </c>
      <c r="P370">
        <f>IF(ISBLANK('ENGAGEMENTS 2026'!B370),"",'ENGAGEMENTS 2026'!J370)</f>
        <v/>
      </c>
      <c r="Q370">
        <f>IF($A370="","",IF(OR($E370="INFRUCTUEUX",$E370="ANNULE"),$A370&amp;"|"&amp;(COUNTIFS($A$2:$A370,$A370,$E$2:$E370,"INFRUCTUEUX")+COUNTIFS($A$2:$A370,$A370,$E$2:$E370,"ANNULE")),""))</f>
        <v/>
      </c>
    </row>
    <row r="371">
      <c r="A371">
        <f>IF(ISBLANK('ENGAGEMENTS 2026'!B371),"",IF('ENGAGEMENTS 2026'!B371="DTSI","DCT",'ENGAGEMENTS 2026'!B371))</f>
        <v/>
      </c>
      <c r="B371">
        <f>IF(ISBLANK('ENGAGEMENTS 2026'!B371),"",'ENGAGEMENTS 2026'!C371)</f>
        <v/>
      </c>
      <c r="C371">
        <f>IF(ISBLANK('ENGAGEMENTS 2026'!B371),"",'ENGAGEMENTS 2026'!D371)</f>
        <v/>
      </c>
      <c r="D371">
        <f>IF(ISBLANK('ENGAGEMENTS 2026'!B371),"",'ENGAGEMENTS 2026'!F371)</f>
        <v/>
      </c>
      <c r="E371">
        <f>IF(ISBLANK('ENGAGEMENTS 2026'!B371),"",'ENGAGEMENTS 2026'!H371)</f>
        <v/>
      </c>
      <c r="F371">
        <f>IF(ISBLANK('ENGAGEMENTS 2026'!B371),"",'ENGAGEMENTS 2026'!I371)</f>
        <v/>
      </c>
      <c r="G371">
        <f>IF(ISBLANK('ENGAGEMENTS 2026'!B371),"",'ENGAGEMENTS 2026'!L371)</f>
        <v/>
      </c>
      <c r="H371">
        <f>IF(ISBLANK('ENGAGEMENTS 2026'!B371),"",'ENGAGEMENTS 2026'!AE371)</f>
        <v/>
      </c>
      <c r="I371">
        <f>IF(ISBLANK('ENGAGEMENTS 2026'!B371),"",'ENGAGEMENTS 2026'!G371)</f>
        <v/>
      </c>
      <c r="J371" s="275">
        <f>IF(ISBLANK('ENGAGEMENTS 2026'!B371),"",IF(AND(OR($E371="INFRUCTUEUX",$E371="ANNULE"),$C371="AOO-M"),'ENGAGEMENTS 2026'!O371,IF($H371="EN COURS DE PREENGAGEMENT",'ENGAGEMENTS 2026'!N371,IF($H371="PREENGAGE",IF($E371="ATTRIBUE",'ENGAGEMENTS 2026'!AD371,'ENGAGEMENTS 2026'!N371),'ENGAGEMENTS 2026'!AD371))))</f>
        <v/>
      </c>
      <c r="K371" s="604">
        <f>IF(ISBLANK('ENGAGEMENTS 2026'!V371),"",'ENGAGEMENTS 2026'!V371)</f>
        <v/>
      </c>
      <c r="L371" s="276">
        <f>IF($K371="","",TODAY()-$K371)</f>
        <v/>
      </c>
      <c r="M371">
        <f>IF($A371="","",IF($H371="ENGAGE","Engagé",IF(AND($H371="NON ENGAGE",OR($I371="INFRUCTUEUX",$I371="ANNULE")),"Clôturé sans suite","En cours")))</f>
        <v/>
      </c>
      <c r="N371">
        <f>IF(ISBLANK('ENGAGEMENTS 2026'!B371),"",'ENGAGEMENTS 2026'!K371)</f>
        <v/>
      </c>
      <c r="O371">
        <f>IF(ISBLANK('ENGAGEMENTS 2026'!B371),"",'ENGAGEMENTS 2026'!L371)</f>
        <v/>
      </c>
      <c r="P371">
        <f>IF(ISBLANK('ENGAGEMENTS 2026'!B371),"",'ENGAGEMENTS 2026'!J371)</f>
        <v/>
      </c>
      <c r="Q371">
        <f>IF($A371="","",IF(OR($E371="INFRUCTUEUX",$E371="ANNULE"),$A371&amp;"|"&amp;(COUNTIFS($A$2:$A371,$A371,$E$2:$E371,"INFRUCTUEUX")+COUNTIFS($A$2:$A371,$A371,$E$2:$E371,"ANNULE")),""))</f>
        <v/>
      </c>
    </row>
    <row r="372">
      <c r="A372">
        <f>IF(ISBLANK('ENGAGEMENTS 2026'!B372),"",IF('ENGAGEMENTS 2026'!B372="DTSI","DCT",'ENGAGEMENTS 2026'!B372))</f>
        <v/>
      </c>
      <c r="B372">
        <f>IF(ISBLANK('ENGAGEMENTS 2026'!B372),"",'ENGAGEMENTS 2026'!C372)</f>
        <v/>
      </c>
      <c r="C372">
        <f>IF(ISBLANK('ENGAGEMENTS 2026'!B372),"",'ENGAGEMENTS 2026'!D372)</f>
        <v/>
      </c>
      <c r="D372">
        <f>IF(ISBLANK('ENGAGEMENTS 2026'!B372),"",'ENGAGEMENTS 2026'!F372)</f>
        <v/>
      </c>
      <c r="E372">
        <f>IF(ISBLANK('ENGAGEMENTS 2026'!B372),"",'ENGAGEMENTS 2026'!H372)</f>
        <v/>
      </c>
      <c r="F372">
        <f>IF(ISBLANK('ENGAGEMENTS 2026'!B372),"",'ENGAGEMENTS 2026'!I372)</f>
        <v/>
      </c>
      <c r="G372">
        <f>IF(ISBLANK('ENGAGEMENTS 2026'!B372),"",'ENGAGEMENTS 2026'!L372)</f>
        <v/>
      </c>
      <c r="H372">
        <f>IF(ISBLANK('ENGAGEMENTS 2026'!B372),"",'ENGAGEMENTS 2026'!AE372)</f>
        <v/>
      </c>
      <c r="I372">
        <f>IF(ISBLANK('ENGAGEMENTS 2026'!B372),"",'ENGAGEMENTS 2026'!G372)</f>
        <v/>
      </c>
      <c r="J372" s="275">
        <f>IF(ISBLANK('ENGAGEMENTS 2026'!B372),"",IF(AND(OR($E372="INFRUCTUEUX",$E372="ANNULE"),$C372="AOO-M"),'ENGAGEMENTS 2026'!O372,IF($H372="EN COURS DE PREENGAGEMENT",'ENGAGEMENTS 2026'!N372,IF($H372="PREENGAGE",IF($E372="ATTRIBUE",'ENGAGEMENTS 2026'!AD372,'ENGAGEMENTS 2026'!N372),'ENGAGEMENTS 2026'!AD372))))</f>
        <v/>
      </c>
      <c r="K372" s="604">
        <f>IF(ISBLANK('ENGAGEMENTS 2026'!V372),"",'ENGAGEMENTS 2026'!V372)</f>
        <v/>
      </c>
      <c r="L372" s="276">
        <f>IF($K372="","",TODAY()-$K372)</f>
        <v/>
      </c>
      <c r="M372">
        <f>IF($A372="","",IF($H372="ENGAGE","Engagé",IF(AND($H372="NON ENGAGE",OR($I372="INFRUCTUEUX",$I372="ANNULE")),"Clôturé sans suite","En cours")))</f>
        <v/>
      </c>
      <c r="N372">
        <f>IF(ISBLANK('ENGAGEMENTS 2026'!B372),"",'ENGAGEMENTS 2026'!K372)</f>
        <v/>
      </c>
      <c r="O372">
        <f>IF(ISBLANK('ENGAGEMENTS 2026'!B372),"",'ENGAGEMENTS 2026'!L372)</f>
        <v/>
      </c>
      <c r="P372">
        <f>IF(ISBLANK('ENGAGEMENTS 2026'!B372),"",'ENGAGEMENTS 2026'!J372)</f>
        <v/>
      </c>
      <c r="Q372">
        <f>IF($A372="","",IF(OR($E372="INFRUCTUEUX",$E372="ANNULE"),$A372&amp;"|"&amp;(COUNTIFS($A$2:$A372,$A372,$E$2:$E372,"INFRUCTUEUX")+COUNTIFS($A$2:$A372,$A372,$E$2:$E372,"ANNULE")),""))</f>
        <v/>
      </c>
    </row>
    <row r="373">
      <c r="A373">
        <f>IF(ISBLANK('ENGAGEMENTS 2026'!B373),"",IF('ENGAGEMENTS 2026'!B373="DTSI","DCT",'ENGAGEMENTS 2026'!B373))</f>
        <v/>
      </c>
      <c r="B373">
        <f>IF(ISBLANK('ENGAGEMENTS 2026'!B373),"",'ENGAGEMENTS 2026'!C373)</f>
        <v/>
      </c>
      <c r="C373">
        <f>IF(ISBLANK('ENGAGEMENTS 2026'!B373),"",'ENGAGEMENTS 2026'!D373)</f>
        <v/>
      </c>
      <c r="D373">
        <f>IF(ISBLANK('ENGAGEMENTS 2026'!B373),"",'ENGAGEMENTS 2026'!F373)</f>
        <v/>
      </c>
      <c r="E373">
        <f>IF(ISBLANK('ENGAGEMENTS 2026'!B373),"",'ENGAGEMENTS 2026'!H373)</f>
        <v/>
      </c>
      <c r="F373">
        <f>IF(ISBLANK('ENGAGEMENTS 2026'!B373),"",'ENGAGEMENTS 2026'!I373)</f>
        <v/>
      </c>
      <c r="G373">
        <f>IF(ISBLANK('ENGAGEMENTS 2026'!B373),"",'ENGAGEMENTS 2026'!L373)</f>
        <v/>
      </c>
      <c r="H373">
        <f>IF(ISBLANK('ENGAGEMENTS 2026'!B373),"",'ENGAGEMENTS 2026'!AE373)</f>
        <v/>
      </c>
      <c r="I373">
        <f>IF(ISBLANK('ENGAGEMENTS 2026'!B373),"",'ENGAGEMENTS 2026'!G373)</f>
        <v/>
      </c>
      <c r="J373" s="275">
        <f>IF(ISBLANK('ENGAGEMENTS 2026'!B373),"",IF(AND(OR($E373="INFRUCTUEUX",$E373="ANNULE"),$C373="AOO-M"),'ENGAGEMENTS 2026'!O373,IF($H373="EN COURS DE PREENGAGEMENT",'ENGAGEMENTS 2026'!N373,IF($H373="PREENGAGE",IF($E373="ATTRIBUE",'ENGAGEMENTS 2026'!AD373,'ENGAGEMENTS 2026'!N373),'ENGAGEMENTS 2026'!AD373))))</f>
        <v/>
      </c>
      <c r="K373" s="604">
        <f>IF(ISBLANK('ENGAGEMENTS 2026'!V373),"",'ENGAGEMENTS 2026'!V373)</f>
        <v/>
      </c>
      <c r="L373" s="276">
        <f>IF($K373="","",TODAY()-$K373)</f>
        <v/>
      </c>
      <c r="M373">
        <f>IF($A373="","",IF($H373="ENGAGE","Engagé",IF(AND($H373="NON ENGAGE",OR($I373="INFRUCTUEUX",$I373="ANNULE")),"Clôturé sans suite","En cours")))</f>
        <v/>
      </c>
      <c r="N373">
        <f>IF(ISBLANK('ENGAGEMENTS 2026'!B373),"",'ENGAGEMENTS 2026'!K373)</f>
        <v/>
      </c>
      <c r="O373">
        <f>IF(ISBLANK('ENGAGEMENTS 2026'!B373),"",'ENGAGEMENTS 2026'!L373)</f>
        <v/>
      </c>
      <c r="P373">
        <f>IF(ISBLANK('ENGAGEMENTS 2026'!B373),"",'ENGAGEMENTS 2026'!J373)</f>
        <v/>
      </c>
      <c r="Q373">
        <f>IF($A373="","",IF(OR($E373="INFRUCTUEUX",$E373="ANNULE"),$A373&amp;"|"&amp;(COUNTIFS($A$2:$A373,$A373,$E$2:$E373,"INFRUCTUEUX")+COUNTIFS($A$2:$A373,$A373,$E$2:$E373,"ANNULE")),""))</f>
        <v/>
      </c>
    </row>
    <row r="374">
      <c r="A374">
        <f>IF(ISBLANK('ENGAGEMENTS 2026'!B374),"",IF('ENGAGEMENTS 2026'!B374="DTSI","DCT",'ENGAGEMENTS 2026'!B374))</f>
        <v/>
      </c>
      <c r="B374">
        <f>IF(ISBLANK('ENGAGEMENTS 2026'!B374),"",'ENGAGEMENTS 2026'!C374)</f>
        <v/>
      </c>
      <c r="C374">
        <f>IF(ISBLANK('ENGAGEMENTS 2026'!B374),"",'ENGAGEMENTS 2026'!D374)</f>
        <v/>
      </c>
      <c r="D374">
        <f>IF(ISBLANK('ENGAGEMENTS 2026'!B374),"",'ENGAGEMENTS 2026'!F374)</f>
        <v/>
      </c>
      <c r="E374">
        <f>IF(ISBLANK('ENGAGEMENTS 2026'!B374),"",'ENGAGEMENTS 2026'!H374)</f>
        <v/>
      </c>
      <c r="F374">
        <f>IF(ISBLANK('ENGAGEMENTS 2026'!B374),"",'ENGAGEMENTS 2026'!I374)</f>
        <v/>
      </c>
      <c r="G374">
        <f>IF(ISBLANK('ENGAGEMENTS 2026'!B374),"",'ENGAGEMENTS 2026'!L374)</f>
        <v/>
      </c>
      <c r="H374">
        <f>IF(ISBLANK('ENGAGEMENTS 2026'!B374),"",'ENGAGEMENTS 2026'!AE374)</f>
        <v/>
      </c>
      <c r="I374">
        <f>IF(ISBLANK('ENGAGEMENTS 2026'!B374),"",'ENGAGEMENTS 2026'!G374)</f>
        <v/>
      </c>
      <c r="J374" s="275">
        <f>IF(ISBLANK('ENGAGEMENTS 2026'!B374),"",IF(AND(OR($E374="INFRUCTUEUX",$E374="ANNULE"),$C374="AOO-M"),'ENGAGEMENTS 2026'!O374,IF($H374="EN COURS DE PREENGAGEMENT",'ENGAGEMENTS 2026'!N374,IF($H374="PREENGAGE",IF($E374="ATTRIBUE",'ENGAGEMENTS 2026'!AD374,'ENGAGEMENTS 2026'!N374),'ENGAGEMENTS 2026'!AD374))))</f>
        <v/>
      </c>
      <c r="K374" s="604">
        <f>IF(ISBLANK('ENGAGEMENTS 2026'!V374),"",'ENGAGEMENTS 2026'!V374)</f>
        <v/>
      </c>
      <c r="L374" s="276">
        <f>IF($K374="","",TODAY()-$K374)</f>
        <v/>
      </c>
      <c r="M374">
        <f>IF($A374="","",IF($H374="ENGAGE","Engagé",IF(AND($H374="NON ENGAGE",OR($I374="INFRUCTUEUX",$I374="ANNULE")),"Clôturé sans suite","En cours")))</f>
        <v/>
      </c>
      <c r="N374">
        <f>IF(ISBLANK('ENGAGEMENTS 2026'!B374),"",'ENGAGEMENTS 2026'!K374)</f>
        <v/>
      </c>
      <c r="O374">
        <f>IF(ISBLANK('ENGAGEMENTS 2026'!B374),"",'ENGAGEMENTS 2026'!L374)</f>
        <v/>
      </c>
      <c r="P374">
        <f>IF(ISBLANK('ENGAGEMENTS 2026'!B374),"",'ENGAGEMENTS 2026'!J374)</f>
        <v/>
      </c>
      <c r="Q374">
        <f>IF($A374="","",IF(OR($E374="INFRUCTUEUX",$E374="ANNULE"),$A374&amp;"|"&amp;(COUNTIFS($A$2:$A374,$A374,$E$2:$E374,"INFRUCTUEUX")+COUNTIFS($A$2:$A374,$A374,$E$2:$E374,"ANNULE")),""))</f>
        <v/>
      </c>
    </row>
    <row r="375">
      <c r="A375">
        <f>IF(ISBLANK('ENGAGEMENTS 2026'!B375),"",IF('ENGAGEMENTS 2026'!B375="DTSI","DCT",'ENGAGEMENTS 2026'!B375))</f>
        <v/>
      </c>
      <c r="B375">
        <f>IF(ISBLANK('ENGAGEMENTS 2026'!B375),"",'ENGAGEMENTS 2026'!C375)</f>
        <v/>
      </c>
      <c r="C375">
        <f>IF(ISBLANK('ENGAGEMENTS 2026'!B375),"",'ENGAGEMENTS 2026'!D375)</f>
        <v/>
      </c>
      <c r="D375">
        <f>IF(ISBLANK('ENGAGEMENTS 2026'!B375),"",'ENGAGEMENTS 2026'!F375)</f>
        <v/>
      </c>
      <c r="E375">
        <f>IF(ISBLANK('ENGAGEMENTS 2026'!B375),"",'ENGAGEMENTS 2026'!H375)</f>
        <v/>
      </c>
      <c r="F375">
        <f>IF(ISBLANK('ENGAGEMENTS 2026'!B375),"",'ENGAGEMENTS 2026'!I375)</f>
        <v/>
      </c>
      <c r="G375">
        <f>IF(ISBLANK('ENGAGEMENTS 2026'!B375),"",'ENGAGEMENTS 2026'!L375)</f>
        <v/>
      </c>
      <c r="H375">
        <f>IF(ISBLANK('ENGAGEMENTS 2026'!B375),"",'ENGAGEMENTS 2026'!AE375)</f>
        <v/>
      </c>
      <c r="I375">
        <f>IF(ISBLANK('ENGAGEMENTS 2026'!B375),"",'ENGAGEMENTS 2026'!G375)</f>
        <v/>
      </c>
      <c r="J375" s="275">
        <f>IF(ISBLANK('ENGAGEMENTS 2026'!B375),"",IF(AND(OR($E375="INFRUCTUEUX",$E375="ANNULE"),$C375="AOO-M"),'ENGAGEMENTS 2026'!O375,IF($H375="EN COURS DE PREENGAGEMENT",'ENGAGEMENTS 2026'!N375,IF($H375="PREENGAGE",IF($E375="ATTRIBUE",'ENGAGEMENTS 2026'!AD375,'ENGAGEMENTS 2026'!N375),'ENGAGEMENTS 2026'!AD375))))</f>
        <v/>
      </c>
      <c r="K375" s="604">
        <f>IF(ISBLANK('ENGAGEMENTS 2026'!V375),"",'ENGAGEMENTS 2026'!V375)</f>
        <v/>
      </c>
      <c r="L375" s="276">
        <f>IF($K375="","",TODAY()-$K375)</f>
        <v/>
      </c>
      <c r="M375">
        <f>IF($A375="","",IF($H375="ENGAGE","Engagé",IF(AND($H375="NON ENGAGE",OR($I375="INFRUCTUEUX",$I375="ANNULE")),"Clôturé sans suite","En cours")))</f>
        <v/>
      </c>
      <c r="N375">
        <f>IF(ISBLANK('ENGAGEMENTS 2026'!B375),"",'ENGAGEMENTS 2026'!K375)</f>
        <v/>
      </c>
      <c r="O375">
        <f>IF(ISBLANK('ENGAGEMENTS 2026'!B375),"",'ENGAGEMENTS 2026'!L375)</f>
        <v/>
      </c>
      <c r="P375">
        <f>IF(ISBLANK('ENGAGEMENTS 2026'!B375),"",'ENGAGEMENTS 2026'!J375)</f>
        <v/>
      </c>
      <c r="Q375">
        <f>IF($A375="","",IF(OR($E375="INFRUCTUEUX",$E375="ANNULE"),$A375&amp;"|"&amp;(COUNTIFS($A$2:$A375,$A375,$E$2:$E375,"INFRUCTUEUX")+COUNTIFS($A$2:$A375,$A375,$E$2:$E375,"ANNULE")),""))</f>
        <v/>
      </c>
    </row>
    <row r="376">
      <c r="A376">
        <f>IF(ISBLANK('ENGAGEMENTS 2026'!B376),"",IF('ENGAGEMENTS 2026'!B376="DTSI","DCT",'ENGAGEMENTS 2026'!B376))</f>
        <v/>
      </c>
      <c r="B376">
        <f>IF(ISBLANK('ENGAGEMENTS 2026'!B376),"",'ENGAGEMENTS 2026'!C376)</f>
        <v/>
      </c>
      <c r="C376">
        <f>IF(ISBLANK('ENGAGEMENTS 2026'!B376),"",'ENGAGEMENTS 2026'!D376)</f>
        <v/>
      </c>
      <c r="D376">
        <f>IF(ISBLANK('ENGAGEMENTS 2026'!B376),"",'ENGAGEMENTS 2026'!F376)</f>
        <v/>
      </c>
      <c r="E376">
        <f>IF(ISBLANK('ENGAGEMENTS 2026'!B376),"",'ENGAGEMENTS 2026'!H376)</f>
        <v/>
      </c>
      <c r="F376">
        <f>IF(ISBLANK('ENGAGEMENTS 2026'!B376),"",'ENGAGEMENTS 2026'!I376)</f>
        <v/>
      </c>
      <c r="G376">
        <f>IF(ISBLANK('ENGAGEMENTS 2026'!B376),"",'ENGAGEMENTS 2026'!L376)</f>
        <v/>
      </c>
      <c r="H376">
        <f>IF(ISBLANK('ENGAGEMENTS 2026'!B376),"",'ENGAGEMENTS 2026'!AE376)</f>
        <v/>
      </c>
      <c r="I376">
        <f>IF(ISBLANK('ENGAGEMENTS 2026'!B376),"",'ENGAGEMENTS 2026'!G376)</f>
        <v/>
      </c>
      <c r="J376" s="275">
        <f>IF(ISBLANK('ENGAGEMENTS 2026'!B376),"",IF(AND(OR($E376="INFRUCTUEUX",$E376="ANNULE"),$C376="AOO-M"),'ENGAGEMENTS 2026'!O376,IF($H376="EN COURS DE PREENGAGEMENT",'ENGAGEMENTS 2026'!N376,IF($H376="PREENGAGE",IF($E376="ATTRIBUE",'ENGAGEMENTS 2026'!AD376,'ENGAGEMENTS 2026'!N376),'ENGAGEMENTS 2026'!AD376))))</f>
        <v/>
      </c>
      <c r="K376" s="604">
        <f>IF(ISBLANK('ENGAGEMENTS 2026'!V376),"",'ENGAGEMENTS 2026'!V376)</f>
        <v/>
      </c>
      <c r="L376" s="276">
        <f>IF($K376="","",TODAY()-$K376)</f>
        <v/>
      </c>
      <c r="M376">
        <f>IF($A376="","",IF($H376="ENGAGE","Engagé",IF(AND($H376="NON ENGAGE",OR($I376="INFRUCTUEUX",$I376="ANNULE")),"Clôturé sans suite","En cours")))</f>
        <v/>
      </c>
      <c r="N376">
        <f>IF(ISBLANK('ENGAGEMENTS 2026'!B376),"",'ENGAGEMENTS 2026'!K376)</f>
        <v/>
      </c>
      <c r="O376">
        <f>IF(ISBLANK('ENGAGEMENTS 2026'!B376),"",'ENGAGEMENTS 2026'!L376)</f>
        <v/>
      </c>
      <c r="P376">
        <f>IF(ISBLANK('ENGAGEMENTS 2026'!B376),"",'ENGAGEMENTS 2026'!J376)</f>
        <v/>
      </c>
      <c r="Q376">
        <f>IF($A376="","",IF(OR($E376="INFRUCTUEUX",$E376="ANNULE"),$A376&amp;"|"&amp;(COUNTIFS($A$2:$A376,$A376,$E$2:$E376,"INFRUCTUEUX")+COUNTIFS($A$2:$A376,$A376,$E$2:$E376,"ANNULE")),""))</f>
        <v/>
      </c>
    </row>
    <row r="377">
      <c r="A377">
        <f>IF(ISBLANK('ENGAGEMENTS 2026'!B377),"",IF('ENGAGEMENTS 2026'!B377="DTSI","DCT",'ENGAGEMENTS 2026'!B377))</f>
        <v/>
      </c>
      <c r="B377">
        <f>IF(ISBLANK('ENGAGEMENTS 2026'!B377),"",'ENGAGEMENTS 2026'!C377)</f>
        <v/>
      </c>
      <c r="C377">
        <f>IF(ISBLANK('ENGAGEMENTS 2026'!B377),"",'ENGAGEMENTS 2026'!D377)</f>
        <v/>
      </c>
      <c r="D377">
        <f>IF(ISBLANK('ENGAGEMENTS 2026'!B377),"",'ENGAGEMENTS 2026'!F377)</f>
        <v/>
      </c>
      <c r="E377">
        <f>IF(ISBLANK('ENGAGEMENTS 2026'!B377),"",'ENGAGEMENTS 2026'!H377)</f>
        <v/>
      </c>
      <c r="F377">
        <f>IF(ISBLANK('ENGAGEMENTS 2026'!B377),"",'ENGAGEMENTS 2026'!I377)</f>
        <v/>
      </c>
      <c r="G377">
        <f>IF(ISBLANK('ENGAGEMENTS 2026'!B377),"",'ENGAGEMENTS 2026'!L377)</f>
        <v/>
      </c>
      <c r="H377">
        <f>IF(ISBLANK('ENGAGEMENTS 2026'!B377),"",'ENGAGEMENTS 2026'!AE377)</f>
        <v/>
      </c>
      <c r="I377">
        <f>IF(ISBLANK('ENGAGEMENTS 2026'!B377),"",'ENGAGEMENTS 2026'!G377)</f>
        <v/>
      </c>
      <c r="J377" s="275">
        <f>IF(ISBLANK('ENGAGEMENTS 2026'!B377),"",IF(AND(OR($E377="INFRUCTUEUX",$E377="ANNULE"),$C377="AOO-M"),'ENGAGEMENTS 2026'!O377,IF($H377="EN COURS DE PREENGAGEMENT",'ENGAGEMENTS 2026'!N377,IF($H377="PREENGAGE",IF($E377="ATTRIBUE",'ENGAGEMENTS 2026'!AD377,'ENGAGEMENTS 2026'!N377),'ENGAGEMENTS 2026'!AD377))))</f>
        <v/>
      </c>
      <c r="K377" s="604">
        <f>IF(ISBLANK('ENGAGEMENTS 2026'!V377),"",'ENGAGEMENTS 2026'!V377)</f>
        <v/>
      </c>
      <c r="L377" s="276">
        <f>IF($K377="","",TODAY()-$K377)</f>
        <v/>
      </c>
      <c r="M377">
        <f>IF($A377="","",IF($H377="ENGAGE","Engagé",IF(AND($H377="NON ENGAGE",OR($I377="INFRUCTUEUX",$I377="ANNULE")),"Clôturé sans suite","En cours")))</f>
        <v/>
      </c>
      <c r="N377">
        <f>IF(ISBLANK('ENGAGEMENTS 2026'!B377),"",'ENGAGEMENTS 2026'!K377)</f>
        <v/>
      </c>
      <c r="O377">
        <f>IF(ISBLANK('ENGAGEMENTS 2026'!B377),"",'ENGAGEMENTS 2026'!L377)</f>
        <v/>
      </c>
      <c r="P377">
        <f>IF(ISBLANK('ENGAGEMENTS 2026'!B377),"",'ENGAGEMENTS 2026'!J377)</f>
        <v/>
      </c>
      <c r="Q377">
        <f>IF($A377="","",IF(OR($E377="INFRUCTUEUX",$E377="ANNULE"),$A377&amp;"|"&amp;(COUNTIFS($A$2:$A377,$A377,$E$2:$E377,"INFRUCTUEUX")+COUNTIFS($A$2:$A377,$A377,$E$2:$E377,"ANNULE")),""))</f>
        <v/>
      </c>
    </row>
    <row r="378">
      <c r="A378">
        <f>IF(ISBLANK('ENGAGEMENTS 2026'!B378),"",IF('ENGAGEMENTS 2026'!B378="DTSI","DCT",'ENGAGEMENTS 2026'!B378))</f>
        <v/>
      </c>
      <c r="B378">
        <f>IF(ISBLANK('ENGAGEMENTS 2026'!B378),"",'ENGAGEMENTS 2026'!C378)</f>
        <v/>
      </c>
      <c r="C378">
        <f>IF(ISBLANK('ENGAGEMENTS 2026'!B378),"",'ENGAGEMENTS 2026'!D378)</f>
        <v/>
      </c>
      <c r="D378">
        <f>IF(ISBLANK('ENGAGEMENTS 2026'!B378),"",'ENGAGEMENTS 2026'!F378)</f>
        <v/>
      </c>
      <c r="E378">
        <f>IF(ISBLANK('ENGAGEMENTS 2026'!B378),"",'ENGAGEMENTS 2026'!H378)</f>
        <v/>
      </c>
      <c r="F378">
        <f>IF(ISBLANK('ENGAGEMENTS 2026'!B378),"",'ENGAGEMENTS 2026'!I378)</f>
        <v/>
      </c>
      <c r="G378">
        <f>IF(ISBLANK('ENGAGEMENTS 2026'!B378),"",'ENGAGEMENTS 2026'!L378)</f>
        <v/>
      </c>
      <c r="H378">
        <f>IF(ISBLANK('ENGAGEMENTS 2026'!B378),"",'ENGAGEMENTS 2026'!AE378)</f>
        <v/>
      </c>
      <c r="I378">
        <f>IF(ISBLANK('ENGAGEMENTS 2026'!B378),"",'ENGAGEMENTS 2026'!G378)</f>
        <v/>
      </c>
      <c r="J378" s="275">
        <f>IF(ISBLANK('ENGAGEMENTS 2026'!B378),"",IF(AND(OR($E378="INFRUCTUEUX",$E378="ANNULE"),$C378="AOO-M"),'ENGAGEMENTS 2026'!O378,IF($H378="EN COURS DE PREENGAGEMENT",'ENGAGEMENTS 2026'!N378,IF($H378="PREENGAGE",IF($E378="ATTRIBUE",'ENGAGEMENTS 2026'!AD378,'ENGAGEMENTS 2026'!N378),'ENGAGEMENTS 2026'!AD378))))</f>
        <v/>
      </c>
      <c r="K378" s="604">
        <f>IF(ISBLANK('ENGAGEMENTS 2026'!V378),"",'ENGAGEMENTS 2026'!V378)</f>
        <v/>
      </c>
      <c r="L378" s="276">
        <f>IF($K378="","",TODAY()-$K378)</f>
        <v/>
      </c>
      <c r="M378">
        <f>IF($A378="","",IF($H378="ENGAGE","Engagé",IF(AND($H378="NON ENGAGE",OR($I378="INFRUCTUEUX",$I378="ANNULE")),"Clôturé sans suite","En cours")))</f>
        <v/>
      </c>
      <c r="N378">
        <f>IF(ISBLANK('ENGAGEMENTS 2026'!B378),"",'ENGAGEMENTS 2026'!K378)</f>
        <v/>
      </c>
      <c r="O378">
        <f>IF(ISBLANK('ENGAGEMENTS 2026'!B378),"",'ENGAGEMENTS 2026'!L378)</f>
        <v/>
      </c>
      <c r="P378">
        <f>IF(ISBLANK('ENGAGEMENTS 2026'!B378),"",'ENGAGEMENTS 2026'!J378)</f>
        <v/>
      </c>
      <c r="Q378">
        <f>IF($A378="","",IF(OR($E378="INFRUCTUEUX",$E378="ANNULE"),$A378&amp;"|"&amp;(COUNTIFS($A$2:$A378,$A378,$E$2:$E378,"INFRUCTUEUX")+COUNTIFS($A$2:$A378,$A378,$E$2:$E378,"ANNULE")),""))</f>
        <v/>
      </c>
    </row>
    <row r="379">
      <c r="A379">
        <f>IF(ISBLANK('ENGAGEMENTS 2026'!B379),"",IF('ENGAGEMENTS 2026'!B379="DTSI","DCT",'ENGAGEMENTS 2026'!B379))</f>
        <v/>
      </c>
      <c r="B379">
        <f>IF(ISBLANK('ENGAGEMENTS 2026'!B379),"",'ENGAGEMENTS 2026'!C379)</f>
        <v/>
      </c>
      <c r="C379">
        <f>IF(ISBLANK('ENGAGEMENTS 2026'!B379),"",'ENGAGEMENTS 2026'!D379)</f>
        <v/>
      </c>
      <c r="D379">
        <f>IF(ISBLANK('ENGAGEMENTS 2026'!B379),"",'ENGAGEMENTS 2026'!F379)</f>
        <v/>
      </c>
      <c r="E379">
        <f>IF(ISBLANK('ENGAGEMENTS 2026'!B379),"",'ENGAGEMENTS 2026'!H379)</f>
        <v/>
      </c>
      <c r="F379">
        <f>IF(ISBLANK('ENGAGEMENTS 2026'!B379),"",'ENGAGEMENTS 2026'!I379)</f>
        <v/>
      </c>
      <c r="G379">
        <f>IF(ISBLANK('ENGAGEMENTS 2026'!B379),"",'ENGAGEMENTS 2026'!L379)</f>
        <v/>
      </c>
      <c r="H379">
        <f>IF(ISBLANK('ENGAGEMENTS 2026'!B379),"",'ENGAGEMENTS 2026'!AE379)</f>
        <v/>
      </c>
      <c r="I379">
        <f>IF(ISBLANK('ENGAGEMENTS 2026'!B379),"",'ENGAGEMENTS 2026'!G379)</f>
        <v/>
      </c>
      <c r="J379" s="275">
        <f>IF(ISBLANK('ENGAGEMENTS 2026'!B379),"",IF(AND(OR($E379="INFRUCTUEUX",$E379="ANNULE"),$C379="AOO-M"),'ENGAGEMENTS 2026'!O379,IF($H379="EN COURS DE PREENGAGEMENT",'ENGAGEMENTS 2026'!N379,IF($H379="PREENGAGE",IF($E379="ATTRIBUE",'ENGAGEMENTS 2026'!AD379,'ENGAGEMENTS 2026'!N379),'ENGAGEMENTS 2026'!AD379))))</f>
        <v/>
      </c>
      <c r="K379" s="604">
        <f>IF(ISBLANK('ENGAGEMENTS 2026'!V379),"",'ENGAGEMENTS 2026'!V379)</f>
        <v/>
      </c>
      <c r="L379" s="276">
        <f>IF($K379="","",TODAY()-$K379)</f>
        <v/>
      </c>
      <c r="M379">
        <f>IF($A379="","",IF($H379="ENGAGE","Engagé",IF(AND($H379="NON ENGAGE",OR($I379="INFRUCTUEUX",$I379="ANNULE")),"Clôturé sans suite","En cours")))</f>
        <v/>
      </c>
      <c r="N379">
        <f>IF(ISBLANK('ENGAGEMENTS 2026'!B379),"",'ENGAGEMENTS 2026'!K379)</f>
        <v/>
      </c>
      <c r="O379">
        <f>IF(ISBLANK('ENGAGEMENTS 2026'!B379),"",'ENGAGEMENTS 2026'!L379)</f>
        <v/>
      </c>
      <c r="P379">
        <f>IF(ISBLANK('ENGAGEMENTS 2026'!B379),"",'ENGAGEMENTS 2026'!J379)</f>
        <v/>
      </c>
      <c r="Q379">
        <f>IF($A379="","",IF(OR($E379="INFRUCTUEUX",$E379="ANNULE"),$A379&amp;"|"&amp;(COUNTIFS($A$2:$A379,$A379,$E$2:$E379,"INFRUCTUEUX")+COUNTIFS($A$2:$A379,$A379,$E$2:$E379,"ANNULE")),""))</f>
        <v/>
      </c>
    </row>
    <row r="380">
      <c r="A380">
        <f>IF(ISBLANK('ENGAGEMENTS 2026'!B380),"",IF('ENGAGEMENTS 2026'!B380="DTSI","DCT",'ENGAGEMENTS 2026'!B380))</f>
        <v/>
      </c>
      <c r="B380">
        <f>IF(ISBLANK('ENGAGEMENTS 2026'!B380),"",'ENGAGEMENTS 2026'!C380)</f>
        <v/>
      </c>
      <c r="C380">
        <f>IF(ISBLANK('ENGAGEMENTS 2026'!B380),"",'ENGAGEMENTS 2026'!D380)</f>
        <v/>
      </c>
      <c r="D380">
        <f>IF(ISBLANK('ENGAGEMENTS 2026'!B380),"",'ENGAGEMENTS 2026'!F380)</f>
        <v/>
      </c>
      <c r="E380">
        <f>IF(ISBLANK('ENGAGEMENTS 2026'!B380),"",'ENGAGEMENTS 2026'!H380)</f>
        <v/>
      </c>
      <c r="F380">
        <f>IF(ISBLANK('ENGAGEMENTS 2026'!B380),"",'ENGAGEMENTS 2026'!I380)</f>
        <v/>
      </c>
      <c r="G380">
        <f>IF(ISBLANK('ENGAGEMENTS 2026'!B380),"",'ENGAGEMENTS 2026'!L380)</f>
        <v/>
      </c>
      <c r="H380">
        <f>IF(ISBLANK('ENGAGEMENTS 2026'!B380),"",'ENGAGEMENTS 2026'!AE380)</f>
        <v/>
      </c>
      <c r="I380">
        <f>IF(ISBLANK('ENGAGEMENTS 2026'!B380),"",'ENGAGEMENTS 2026'!G380)</f>
        <v/>
      </c>
      <c r="J380" s="275">
        <f>IF(ISBLANK('ENGAGEMENTS 2026'!B380),"",IF(AND(OR($E380="INFRUCTUEUX",$E380="ANNULE"),$C380="AOO-M"),'ENGAGEMENTS 2026'!O380,IF($H380="EN COURS DE PREENGAGEMENT",'ENGAGEMENTS 2026'!N380,IF($H380="PREENGAGE",IF($E380="ATTRIBUE",'ENGAGEMENTS 2026'!AD380,'ENGAGEMENTS 2026'!N380),'ENGAGEMENTS 2026'!AD380))))</f>
        <v/>
      </c>
      <c r="K380" s="604">
        <f>IF(ISBLANK('ENGAGEMENTS 2026'!V380),"",'ENGAGEMENTS 2026'!V380)</f>
        <v/>
      </c>
      <c r="L380" s="276">
        <f>IF($K380="","",TODAY()-$K380)</f>
        <v/>
      </c>
      <c r="M380">
        <f>IF($A380="","",IF($H380="ENGAGE","Engagé",IF(AND($H380="NON ENGAGE",OR($I380="INFRUCTUEUX",$I380="ANNULE")),"Clôturé sans suite","En cours")))</f>
        <v/>
      </c>
      <c r="N380">
        <f>IF(ISBLANK('ENGAGEMENTS 2026'!B380),"",'ENGAGEMENTS 2026'!K380)</f>
        <v/>
      </c>
      <c r="O380">
        <f>IF(ISBLANK('ENGAGEMENTS 2026'!B380),"",'ENGAGEMENTS 2026'!L380)</f>
        <v/>
      </c>
      <c r="P380">
        <f>IF(ISBLANK('ENGAGEMENTS 2026'!B380),"",'ENGAGEMENTS 2026'!J380)</f>
        <v/>
      </c>
      <c r="Q380">
        <f>IF($A380="","",IF(OR($E380="INFRUCTUEUX",$E380="ANNULE"),$A380&amp;"|"&amp;(COUNTIFS($A$2:$A380,$A380,$E$2:$E380,"INFRUCTUEUX")+COUNTIFS($A$2:$A380,$A380,$E$2:$E380,"ANNULE")),""))</f>
        <v/>
      </c>
    </row>
    <row r="381">
      <c r="A381">
        <f>IF(ISBLANK('ENGAGEMENTS 2026'!B381),"",IF('ENGAGEMENTS 2026'!B381="DTSI","DCT",'ENGAGEMENTS 2026'!B381))</f>
        <v/>
      </c>
      <c r="B381">
        <f>IF(ISBLANK('ENGAGEMENTS 2026'!B381),"",'ENGAGEMENTS 2026'!C381)</f>
        <v/>
      </c>
      <c r="C381">
        <f>IF(ISBLANK('ENGAGEMENTS 2026'!B381),"",'ENGAGEMENTS 2026'!D381)</f>
        <v/>
      </c>
      <c r="D381">
        <f>IF(ISBLANK('ENGAGEMENTS 2026'!B381),"",'ENGAGEMENTS 2026'!F381)</f>
        <v/>
      </c>
      <c r="E381">
        <f>IF(ISBLANK('ENGAGEMENTS 2026'!B381),"",'ENGAGEMENTS 2026'!H381)</f>
        <v/>
      </c>
      <c r="F381">
        <f>IF(ISBLANK('ENGAGEMENTS 2026'!B381),"",'ENGAGEMENTS 2026'!I381)</f>
        <v/>
      </c>
      <c r="G381">
        <f>IF(ISBLANK('ENGAGEMENTS 2026'!B381),"",'ENGAGEMENTS 2026'!L381)</f>
        <v/>
      </c>
      <c r="H381">
        <f>IF(ISBLANK('ENGAGEMENTS 2026'!B381),"",'ENGAGEMENTS 2026'!AE381)</f>
        <v/>
      </c>
      <c r="I381">
        <f>IF(ISBLANK('ENGAGEMENTS 2026'!B381),"",'ENGAGEMENTS 2026'!G381)</f>
        <v/>
      </c>
      <c r="J381" s="275">
        <f>IF(ISBLANK('ENGAGEMENTS 2026'!B381),"",IF(AND(OR($E381="INFRUCTUEUX",$E381="ANNULE"),$C381="AOO-M"),'ENGAGEMENTS 2026'!O381,IF($H381="EN COURS DE PREENGAGEMENT",'ENGAGEMENTS 2026'!N381,IF($H381="PREENGAGE",IF($E381="ATTRIBUE",'ENGAGEMENTS 2026'!AD381,'ENGAGEMENTS 2026'!N381),'ENGAGEMENTS 2026'!AD381))))</f>
        <v/>
      </c>
      <c r="K381" s="604">
        <f>IF(ISBLANK('ENGAGEMENTS 2026'!V381),"",'ENGAGEMENTS 2026'!V381)</f>
        <v/>
      </c>
      <c r="L381" s="276">
        <f>IF($K381="","",TODAY()-$K381)</f>
        <v/>
      </c>
      <c r="M381">
        <f>IF($A381="","",IF($H381="ENGAGE","Engagé",IF(AND($H381="NON ENGAGE",OR($I381="INFRUCTUEUX",$I381="ANNULE")),"Clôturé sans suite","En cours")))</f>
        <v/>
      </c>
      <c r="N381">
        <f>IF(ISBLANK('ENGAGEMENTS 2026'!B381),"",'ENGAGEMENTS 2026'!K381)</f>
        <v/>
      </c>
      <c r="O381">
        <f>IF(ISBLANK('ENGAGEMENTS 2026'!B381),"",'ENGAGEMENTS 2026'!L381)</f>
        <v/>
      </c>
      <c r="P381">
        <f>IF(ISBLANK('ENGAGEMENTS 2026'!B381),"",'ENGAGEMENTS 2026'!J381)</f>
        <v/>
      </c>
      <c r="Q381">
        <f>IF($A381="","",IF(OR($E381="INFRUCTUEUX",$E381="ANNULE"),$A381&amp;"|"&amp;(COUNTIFS($A$2:$A381,$A381,$E$2:$E381,"INFRUCTUEUX")+COUNTIFS($A$2:$A381,$A381,$E$2:$E381,"ANNULE")),""))</f>
        <v/>
      </c>
    </row>
    <row r="382">
      <c r="A382">
        <f>IF(ISBLANK('ENGAGEMENTS 2026'!B382),"",IF('ENGAGEMENTS 2026'!B382="DTSI","DCT",'ENGAGEMENTS 2026'!B382))</f>
        <v/>
      </c>
      <c r="B382">
        <f>IF(ISBLANK('ENGAGEMENTS 2026'!B382),"",'ENGAGEMENTS 2026'!C382)</f>
        <v/>
      </c>
      <c r="C382">
        <f>IF(ISBLANK('ENGAGEMENTS 2026'!B382),"",'ENGAGEMENTS 2026'!D382)</f>
        <v/>
      </c>
      <c r="D382">
        <f>IF(ISBLANK('ENGAGEMENTS 2026'!B382),"",'ENGAGEMENTS 2026'!F382)</f>
        <v/>
      </c>
      <c r="E382">
        <f>IF(ISBLANK('ENGAGEMENTS 2026'!B382),"",'ENGAGEMENTS 2026'!H382)</f>
        <v/>
      </c>
      <c r="F382">
        <f>IF(ISBLANK('ENGAGEMENTS 2026'!B382),"",'ENGAGEMENTS 2026'!I382)</f>
        <v/>
      </c>
      <c r="G382">
        <f>IF(ISBLANK('ENGAGEMENTS 2026'!B382),"",'ENGAGEMENTS 2026'!L382)</f>
        <v/>
      </c>
      <c r="H382">
        <f>IF(ISBLANK('ENGAGEMENTS 2026'!B382),"",'ENGAGEMENTS 2026'!AE382)</f>
        <v/>
      </c>
      <c r="I382">
        <f>IF(ISBLANK('ENGAGEMENTS 2026'!B382),"",'ENGAGEMENTS 2026'!G382)</f>
        <v/>
      </c>
      <c r="J382" s="275">
        <f>IF(ISBLANK('ENGAGEMENTS 2026'!B382),"",IF(AND(OR($E382="INFRUCTUEUX",$E382="ANNULE"),$C382="AOO-M"),'ENGAGEMENTS 2026'!O382,IF($H382="EN COURS DE PREENGAGEMENT",'ENGAGEMENTS 2026'!N382,IF($H382="PREENGAGE",IF($E382="ATTRIBUE",'ENGAGEMENTS 2026'!AD382,'ENGAGEMENTS 2026'!N382),'ENGAGEMENTS 2026'!AD382))))</f>
        <v/>
      </c>
      <c r="K382" s="604">
        <f>IF(ISBLANK('ENGAGEMENTS 2026'!V382),"",'ENGAGEMENTS 2026'!V382)</f>
        <v/>
      </c>
      <c r="L382" s="276">
        <f>IF($K382="","",TODAY()-$K382)</f>
        <v/>
      </c>
      <c r="M382">
        <f>IF($A382="","",IF($H382="ENGAGE","Engagé",IF(AND($H382="NON ENGAGE",OR($I382="INFRUCTUEUX",$I382="ANNULE")),"Clôturé sans suite","En cours")))</f>
        <v/>
      </c>
      <c r="N382">
        <f>IF(ISBLANK('ENGAGEMENTS 2026'!B382),"",'ENGAGEMENTS 2026'!K382)</f>
        <v/>
      </c>
      <c r="O382">
        <f>IF(ISBLANK('ENGAGEMENTS 2026'!B382),"",'ENGAGEMENTS 2026'!L382)</f>
        <v/>
      </c>
      <c r="P382">
        <f>IF(ISBLANK('ENGAGEMENTS 2026'!B382),"",'ENGAGEMENTS 2026'!J382)</f>
        <v/>
      </c>
      <c r="Q382">
        <f>IF($A382="","",IF(OR($E382="INFRUCTUEUX",$E382="ANNULE"),$A382&amp;"|"&amp;(COUNTIFS($A$2:$A382,$A382,$E$2:$E382,"INFRUCTUEUX")+COUNTIFS($A$2:$A382,$A382,$E$2:$E382,"ANNULE")),""))</f>
        <v/>
      </c>
    </row>
    <row r="383">
      <c r="A383">
        <f>IF(ISBLANK('ENGAGEMENTS 2026'!B383),"",IF('ENGAGEMENTS 2026'!B383="DTSI","DCT",'ENGAGEMENTS 2026'!B383))</f>
        <v/>
      </c>
      <c r="B383">
        <f>IF(ISBLANK('ENGAGEMENTS 2026'!B383),"",'ENGAGEMENTS 2026'!C383)</f>
        <v/>
      </c>
      <c r="C383">
        <f>IF(ISBLANK('ENGAGEMENTS 2026'!B383),"",'ENGAGEMENTS 2026'!D383)</f>
        <v/>
      </c>
      <c r="D383">
        <f>IF(ISBLANK('ENGAGEMENTS 2026'!B383),"",'ENGAGEMENTS 2026'!F383)</f>
        <v/>
      </c>
      <c r="E383">
        <f>IF(ISBLANK('ENGAGEMENTS 2026'!B383),"",'ENGAGEMENTS 2026'!H383)</f>
        <v/>
      </c>
      <c r="F383">
        <f>IF(ISBLANK('ENGAGEMENTS 2026'!B383),"",'ENGAGEMENTS 2026'!I383)</f>
        <v/>
      </c>
      <c r="G383">
        <f>IF(ISBLANK('ENGAGEMENTS 2026'!B383),"",'ENGAGEMENTS 2026'!L383)</f>
        <v/>
      </c>
      <c r="H383">
        <f>IF(ISBLANK('ENGAGEMENTS 2026'!B383),"",'ENGAGEMENTS 2026'!AE383)</f>
        <v/>
      </c>
      <c r="I383">
        <f>IF(ISBLANK('ENGAGEMENTS 2026'!B383),"",'ENGAGEMENTS 2026'!G383)</f>
        <v/>
      </c>
      <c r="J383" s="275">
        <f>IF(ISBLANK('ENGAGEMENTS 2026'!B383),"",IF(AND(OR($E383="INFRUCTUEUX",$E383="ANNULE"),$C383="AOO-M"),'ENGAGEMENTS 2026'!O383,IF($H383="EN COURS DE PREENGAGEMENT",'ENGAGEMENTS 2026'!N383,IF($H383="PREENGAGE",IF($E383="ATTRIBUE",'ENGAGEMENTS 2026'!AD383,'ENGAGEMENTS 2026'!N383),'ENGAGEMENTS 2026'!AD383))))</f>
        <v/>
      </c>
      <c r="K383" s="604">
        <f>IF(ISBLANK('ENGAGEMENTS 2026'!V383),"",'ENGAGEMENTS 2026'!V383)</f>
        <v/>
      </c>
      <c r="L383" s="276">
        <f>IF($K383="","",TODAY()-$K383)</f>
        <v/>
      </c>
      <c r="M383">
        <f>IF($A383="","",IF($H383="ENGAGE","Engagé",IF(AND($H383="NON ENGAGE",OR($I383="INFRUCTUEUX",$I383="ANNULE")),"Clôturé sans suite","En cours")))</f>
        <v/>
      </c>
      <c r="N383">
        <f>IF(ISBLANK('ENGAGEMENTS 2026'!B383),"",'ENGAGEMENTS 2026'!K383)</f>
        <v/>
      </c>
      <c r="O383">
        <f>IF(ISBLANK('ENGAGEMENTS 2026'!B383),"",'ENGAGEMENTS 2026'!L383)</f>
        <v/>
      </c>
      <c r="P383">
        <f>IF(ISBLANK('ENGAGEMENTS 2026'!B383),"",'ENGAGEMENTS 2026'!J383)</f>
        <v/>
      </c>
      <c r="Q383">
        <f>IF($A383="","",IF(OR($E383="INFRUCTUEUX",$E383="ANNULE"),$A383&amp;"|"&amp;(COUNTIFS($A$2:$A383,$A383,$E$2:$E383,"INFRUCTUEUX")+COUNTIFS($A$2:$A383,$A383,$E$2:$E383,"ANNULE")),""))</f>
        <v/>
      </c>
    </row>
    <row r="384">
      <c r="A384">
        <f>IF(ISBLANK('ENGAGEMENTS 2026'!B384),"",IF('ENGAGEMENTS 2026'!B384="DTSI","DCT",'ENGAGEMENTS 2026'!B384))</f>
        <v/>
      </c>
      <c r="B384">
        <f>IF(ISBLANK('ENGAGEMENTS 2026'!B384),"",'ENGAGEMENTS 2026'!C384)</f>
        <v/>
      </c>
      <c r="C384">
        <f>IF(ISBLANK('ENGAGEMENTS 2026'!B384),"",'ENGAGEMENTS 2026'!D384)</f>
        <v/>
      </c>
      <c r="D384">
        <f>IF(ISBLANK('ENGAGEMENTS 2026'!B384),"",'ENGAGEMENTS 2026'!F384)</f>
        <v/>
      </c>
      <c r="E384">
        <f>IF(ISBLANK('ENGAGEMENTS 2026'!B384),"",'ENGAGEMENTS 2026'!H384)</f>
        <v/>
      </c>
      <c r="F384">
        <f>IF(ISBLANK('ENGAGEMENTS 2026'!B384),"",'ENGAGEMENTS 2026'!I384)</f>
        <v/>
      </c>
      <c r="G384">
        <f>IF(ISBLANK('ENGAGEMENTS 2026'!B384),"",'ENGAGEMENTS 2026'!L384)</f>
        <v/>
      </c>
      <c r="H384">
        <f>IF(ISBLANK('ENGAGEMENTS 2026'!B384),"",'ENGAGEMENTS 2026'!AE384)</f>
        <v/>
      </c>
      <c r="I384">
        <f>IF(ISBLANK('ENGAGEMENTS 2026'!B384),"",'ENGAGEMENTS 2026'!G384)</f>
        <v/>
      </c>
      <c r="J384" s="275">
        <f>IF(ISBLANK('ENGAGEMENTS 2026'!B384),"",IF(AND(OR($E384="INFRUCTUEUX",$E384="ANNULE"),$C384="AOO-M"),'ENGAGEMENTS 2026'!O384,IF($H384="EN COURS DE PREENGAGEMENT",'ENGAGEMENTS 2026'!N384,IF($H384="PREENGAGE",IF($E384="ATTRIBUE",'ENGAGEMENTS 2026'!AD384,'ENGAGEMENTS 2026'!N384),'ENGAGEMENTS 2026'!AD384))))</f>
        <v/>
      </c>
      <c r="K384" s="604">
        <f>IF(ISBLANK('ENGAGEMENTS 2026'!V384),"",'ENGAGEMENTS 2026'!V384)</f>
        <v/>
      </c>
      <c r="L384" s="276">
        <f>IF($K384="","",TODAY()-$K384)</f>
        <v/>
      </c>
      <c r="M384">
        <f>IF($A384="","",IF($H384="ENGAGE","Engagé",IF(AND($H384="NON ENGAGE",OR($I384="INFRUCTUEUX",$I384="ANNULE")),"Clôturé sans suite","En cours")))</f>
        <v/>
      </c>
      <c r="N384">
        <f>IF(ISBLANK('ENGAGEMENTS 2026'!B384),"",'ENGAGEMENTS 2026'!K384)</f>
        <v/>
      </c>
      <c r="O384">
        <f>IF(ISBLANK('ENGAGEMENTS 2026'!B384),"",'ENGAGEMENTS 2026'!L384)</f>
        <v/>
      </c>
      <c r="P384">
        <f>IF(ISBLANK('ENGAGEMENTS 2026'!B384),"",'ENGAGEMENTS 2026'!J384)</f>
        <v/>
      </c>
      <c r="Q384">
        <f>IF($A384="","",IF(OR($E384="INFRUCTUEUX",$E384="ANNULE"),$A384&amp;"|"&amp;(COUNTIFS($A$2:$A384,$A384,$E$2:$E384,"INFRUCTUEUX")+COUNTIFS($A$2:$A384,$A384,$E$2:$E384,"ANNULE")),""))</f>
        <v/>
      </c>
    </row>
    <row r="385">
      <c r="A385">
        <f>IF(ISBLANK('ENGAGEMENTS 2026'!B385),"",IF('ENGAGEMENTS 2026'!B385="DTSI","DCT",'ENGAGEMENTS 2026'!B385))</f>
        <v/>
      </c>
      <c r="B385">
        <f>IF(ISBLANK('ENGAGEMENTS 2026'!B385),"",'ENGAGEMENTS 2026'!C385)</f>
        <v/>
      </c>
      <c r="C385">
        <f>IF(ISBLANK('ENGAGEMENTS 2026'!B385),"",'ENGAGEMENTS 2026'!D385)</f>
        <v/>
      </c>
      <c r="D385">
        <f>IF(ISBLANK('ENGAGEMENTS 2026'!B385),"",'ENGAGEMENTS 2026'!F385)</f>
        <v/>
      </c>
      <c r="E385">
        <f>IF(ISBLANK('ENGAGEMENTS 2026'!B385),"",'ENGAGEMENTS 2026'!H385)</f>
        <v/>
      </c>
      <c r="F385">
        <f>IF(ISBLANK('ENGAGEMENTS 2026'!B385),"",'ENGAGEMENTS 2026'!I385)</f>
        <v/>
      </c>
      <c r="G385">
        <f>IF(ISBLANK('ENGAGEMENTS 2026'!B385),"",'ENGAGEMENTS 2026'!L385)</f>
        <v/>
      </c>
      <c r="H385">
        <f>IF(ISBLANK('ENGAGEMENTS 2026'!B385),"",'ENGAGEMENTS 2026'!AE385)</f>
        <v/>
      </c>
      <c r="I385">
        <f>IF(ISBLANK('ENGAGEMENTS 2026'!B385),"",'ENGAGEMENTS 2026'!G385)</f>
        <v/>
      </c>
      <c r="J385" s="275">
        <f>IF(ISBLANK('ENGAGEMENTS 2026'!B385),"",IF(AND(OR($E385="INFRUCTUEUX",$E385="ANNULE"),$C385="AOO-M"),'ENGAGEMENTS 2026'!O385,IF($H385="EN COURS DE PREENGAGEMENT",'ENGAGEMENTS 2026'!N385,IF($H385="PREENGAGE",IF($E385="ATTRIBUE",'ENGAGEMENTS 2026'!AD385,'ENGAGEMENTS 2026'!N385),'ENGAGEMENTS 2026'!AD385))))</f>
        <v/>
      </c>
      <c r="K385" s="604">
        <f>IF(ISBLANK('ENGAGEMENTS 2026'!V385),"",'ENGAGEMENTS 2026'!V385)</f>
        <v/>
      </c>
      <c r="L385" s="276">
        <f>IF($K385="","",TODAY()-$K385)</f>
        <v/>
      </c>
      <c r="M385">
        <f>IF($A385="","",IF($H385="ENGAGE","Engagé",IF(AND($H385="NON ENGAGE",OR($I385="INFRUCTUEUX",$I385="ANNULE")),"Clôturé sans suite","En cours")))</f>
        <v/>
      </c>
      <c r="N385">
        <f>IF(ISBLANK('ENGAGEMENTS 2026'!B385),"",'ENGAGEMENTS 2026'!K385)</f>
        <v/>
      </c>
      <c r="O385">
        <f>IF(ISBLANK('ENGAGEMENTS 2026'!B385),"",'ENGAGEMENTS 2026'!L385)</f>
        <v/>
      </c>
      <c r="P385">
        <f>IF(ISBLANK('ENGAGEMENTS 2026'!B385),"",'ENGAGEMENTS 2026'!J385)</f>
        <v/>
      </c>
      <c r="Q385">
        <f>IF($A385="","",IF(OR($E385="INFRUCTUEUX",$E385="ANNULE"),$A385&amp;"|"&amp;(COUNTIFS($A$2:$A385,$A385,$E$2:$E385,"INFRUCTUEUX")+COUNTIFS($A$2:$A385,$A385,$E$2:$E385,"ANNULE")),""))</f>
        <v/>
      </c>
    </row>
    <row r="386">
      <c r="A386">
        <f>IF(ISBLANK('ENGAGEMENTS 2026'!B386),"",IF('ENGAGEMENTS 2026'!B386="DTSI","DCT",'ENGAGEMENTS 2026'!B386))</f>
        <v/>
      </c>
      <c r="B386">
        <f>IF(ISBLANK('ENGAGEMENTS 2026'!B386),"",'ENGAGEMENTS 2026'!C386)</f>
        <v/>
      </c>
      <c r="C386">
        <f>IF(ISBLANK('ENGAGEMENTS 2026'!B386),"",'ENGAGEMENTS 2026'!D386)</f>
        <v/>
      </c>
      <c r="D386">
        <f>IF(ISBLANK('ENGAGEMENTS 2026'!B386),"",'ENGAGEMENTS 2026'!F386)</f>
        <v/>
      </c>
      <c r="E386">
        <f>IF(ISBLANK('ENGAGEMENTS 2026'!B386),"",'ENGAGEMENTS 2026'!H386)</f>
        <v/>
      </c>
      <c r="F386">
        <f>IF(ISBLANK('ENGAGEMENTS 2026'!B386),"",'ENGAGEMENTS 2026'!I386)</f>
        <v/>
      </c>
      <c r="G386">
        <f>IF(ISBLANK('ENGAGEMENTS 2026'!B386),"",'ENGAGEMENTS 2026'!L386)</f>
        <v/>
      </c>
      <c r="H386">
        <f>IF(ISBLANK('ENGAGEMENTS 2026'!B386),"",'ENGAGEMENTS 2026'!AE386)</f>
        <v/>
      </c>
      <c r="I386">
        <f>IF(ISBLANK('ENGAGEMENTS 2026'!B386),"",'ENGAGEMENTS 2026'!G386)</f>
        <v/>
      </c>
      <c r="J386" s="275">
        <f>IF(ISBLANK('ENGAGEMENTS 2026'!B386),"",IF(AND(OR($E386="INFRUCTUEUX",$E386="ANNULE"),$C386="AOO-M"),'ENGAGEMENTS 2026'!O386,IF($H386="EN COURS DE PREENGAGEMENT",'ENGAGEMENTS 2026'!N386,IF($H386="PREENGAGE",IF($E386="ATTRIBUE",'ENGAGEMENTS 2026'!AD386,'ENGAGEMENTS 2026'!N386),'ENGAGEMENTS 2026'!AD386))))</f>
        <v/>
      </c>
      <c r="K386" s="604">
        <f>IF(ISBLANK('ENGAGEMENTS 2026'!V386),"",'ENGAGEMENTS 2026'!V386)</f>
        <v/>
      </c>
      <c r="L386" s="276">
        <f>IF($K386="","",TODAY()-$K386)</f>
        <v/>
      </c>
      <c r="M386">
        <f>IF($A386="","",IF($H386="ENGAGE","Engagé",IF(AND($H386="NON ENGAGE",OR($I386="INFRUCTUEUX",$I386="ANNULE")),"Clôturé sans suite","En cours")))</f>
        <v/>
      </c>
      <c r="N386">
        <f>IF(ISBLANK('ENGAGEMENTS 2026'!B386),"",'ENGAGEMENTS 2026'!K386)</f>
        <v/>
      </c>
      <c r="O386">
        <f>IF(ISBLANK('ENGAGEMENTS 2026'!B386),"",'ENGAGEMENTS 2026'!L386)</f>
        <v/>
      </c>
      <c r="P386">
        <f>IF(ISBLANK('ENGAGEMENTS 2026'!B386),"",'ENGAGEMENTS 2026'!J386)</f>
        <v/>
      </c>
      <c r="Q386">
        <f>IF($A386="","",IF(OR($E386="INFRUCTUEUX",$E386="ANNULE"),$A386&amp;"|"&amp;(COUNTIFS($A$2:$A386,$A386,$E$2:$E386,"INFRUCTUEUX")+COUNTIFS($A$2:$A386,$A386,$E$2:$E386,"ANNULE")),""))</f>
        <v/>
      </c>
    </row>
    <row r="387">
      <c r="A387">
        <f>IF(ISBLANK('ENGAGEMENTS 2026'!B387),"",IF('ENGAGEMENTS 2026'!B387="DTSI","DCT",'ENGAGEMENTS 2026'!B387))</f>
        <v/>
      </c>
      <c r="B387">
        <f>IF(ISBLANK('ENGAGEMENTS 2026'!B387),"",'ENGAGEMENTS 2026'!C387)</f>
        <v/>
      </c>
      <c r="C387">
        <f>IF(ISBLANK('ENGAGEMENTS 2026'!B387),"",'ENGAGEMENTS 2026'!D387)</f>
        <v/>
      </c>
      <c r="D387">
        <f>IF(ISBLANK('ENGAGEMENTS 2026'!B387),"",'ENGAGEMENTS 2026'!F387)</f>
        <v/>
      </c>
      <c r="E387">
        <f>IF(ISBLANK('ENGAGEMENTS 2026'!B387),"",'ENGAGEMENTS 2026'!H387)</f>
        <v/>
      </c>
      <c r="F387">
        <f>IF(ISBLANK('ENGAGEMENTS 2026'!B387),"",'ENGAGEMENTS 2026'!I387)</f>
        <v/>
      </c>
      <c r="G387">
        <f>IF(ISBLANK('ENGAGEMENTS 2026'!B387),"",'ENGAGEMENTS 2026'!L387)</f>
        <v/>
      </c>
      <c r="H387">
        <f>IF(ISBLANK('ENGAGEMENTS 2026'!B387),"",'ENGAGEMENTS 2026'!AE387)</f>
        <v/>
      </c>
      <c r="I387">
        <f>IF(ISBLANK('ENGAGEMENTS 2026'!B387),"",'ENGAGEMENTS 2026'!G387)</f>
        <v/>
      </c>
      <c r="J387" s="275">
        <f>IF(ISBLANK('ENGAGEMENTS 2026'!B387),"",IF(AND(OR($E387="INFRUCTUEUX",$E387="ANNULE"),$C387="AOO-M"),'ENGAGEMENTS 2026'!O387,IF($H387="EN COURS DE PREENGAGEMENT",'ENGAGEMENTS 2026'!N387,IF($H387="PREENGAGE",IF($E387="ATTRIBUE",'ENGAGEMENTS 2026'!AD387,'ENGAGEMENTS 2026'!N387),'ENGAGEMENTS 2026'!AD387))))</f>
        <v/>
      </c>
      <c r="K387" s="604">
        <f>IF(ISBLANK('ENGAGEMENTS 2026'!V387),"",'ENGAGEMENTS 2026'!V387)</f>
        <v/>
      </c>
      <c r="L387" s="276">
        <f>IF($K387="","",TODAY()-$K387)</f>
        <v/>
      </c>
      <c r="M387">
        <f>IF($A387="","",IF($H387="ENGAGE","Engagé",IF(AND($H387="NON ENGAGE",OR($I387="INFRUCTUEUX",$I387="ANNULE")),"Clôturé sans suite","En cours")))</f>
        <v/>
      </c>
      <c r="N387">
        <f>IF(ISBLANK('ENGAGEMENTS 2026'!B387),"",'ENGAGEMENTS 2026'!K387)</f>
        <v/>
      </c>
      <c r="O387">
        <f>IF(ISBLANK('ENGAGEMENTS 2026'!B387),"",'ENGAGEMENTS 2026'!L387)</f>
        <v/>
      </c>
      <c r="P387">
        <f>IF(ISBLANK('ENGAGEMENTS 2026'!B387),"",'ENGAGEMENTS 2026'!J387)</f>
        <v/>
      </c>
      <c r="Q387">
        <f>IF($A387="","",IF(OR($E387="INFRUCTUEUX",$E387="ANNULE"),$A387&amp;"|"&amp;(COUNTIFS($A$2:$A387,$A387,$E$2:$E387,"INFRUCTUEUX")+COUNTIFS($A$2:$A387,$A387,$E$2:$E387,"ANNULE")),""))</f>
        <v/>
      </c>
    </row>
    <row r="388">
      <c r="A388">
        <f>IF(ISBLANK('ENGAGEMENTS 2026'!B388),"",IF('ENGAGEMENTS 2026'!B388="DTSI","DCT",'ENGAGEMENTS 2026'!B388))</f>
        <v/>
      </c>
      <c r="B388">
        <f>IF(ISBLANK('ENGAGEMENTS 2026'!B388),"",'ENGAGEMENTS 2026'!C388)</f>
        <v/>
      </c>
      <c r="C388">
        <f>IF(ISBLANK('ENGAGEMENTS 2026'!B388),"",'ENGAGEMENTS 2026'!D388)</f>
        <v/>
      </c>
      <c r="D388">
        <f>IF(ISBLANK('ENGAGEMENTS 2026'!B388),"",'ENGAGEMENTS 2026'!F388)</f>
        <v/>
      </c>
      <c r="E388">
        <f>IF(ISBLANK('ENGAGEMENTS 2026'!B388),"",'ENGAGEMENTS 2026'!H388)</f>
        <v/>
      </c>
      <c r="F388">
        <f>IF(ISBLANK('ENGAGEMENTS 2026'!B388),"",'ENGAGEMENTS 2026'!I388)</f>
        <v/>
      </c>
      <c r="G388">
        <f>IF(ISBLANK('ENGAGEMENTS 2026'!B388),"",'ENGAGEMENTS 2026'!L388)</f>
        <v/>
      </c>
      <c r="H388">
        <f>IF(ISBLANK('ENGAGEMENTS 2026'!B388),"",'ENGAGEMENTS 2026'!AE388)</f>
        <v/>
      </c>
      <c r="I388">
        <f>IF(ISBLANK('ENGAGEMENTS 2026'!B388),"",'ENGAGEMENTS 2026'!G388)</f>
        <v/>
      </c>
      <c r="J388" s="275">
        <f>IF(ISBLANK('ENGAGEMENTS 2026'!B388),"",IF(AND(OR($E388="INFRUCTUEUX",$E388="ANNULE"),$C388="AOO-M"),'ENGAGEMENTS 2026'!O388,IF($H388="EN COURS DE PREENGAGEMENT",'ENGAGEMENTS 2026'!N388,IF($H388="PREENGAGE",IF($E388="ATTRIBUE",'ENGAGEMENTS 2026'!AD388,'ENGAGEMENTS 2026'!N388),'ENGAGEMENTS 2026'!AD388))))</f>
        <v/>
      </c>
      <c r="K388" s="604">
        <f>IF(ISBLANK('ENGAGEMENTS 2026'!V388),"",'ENGAGEMENTS 2026'!V388)</f>
        <v/>
      </c>
      <c r="L388" s="276">
        <f>IF($K388="","",TODAY()-$K388)</f>
        <v/>
      </c>
      <c r="M388">
        <f>IF($A388="","",IF($H388="ENGAGE","Engagé",IF(AND($H388="NON ENGAGE",OR($I388="INFRUCTUEUX",$I388="ANNULE")),"Clôturé sans suite","En cours")))</f>
        <v/>
      </c>
      <c r="N388">
        <f>IF(ISBLANK('ENGAGEMENTS 2026'!B388),"",'ENGAGEMENTS 2026'!K388)</f>
        <v/>
      </c>
      <c r="O388">
        <f>IF(ISBLANK('ENGAGEMENTS 2026'!B388),"",'ENGAGEMENTS 2026'!L388)</f>
        <v/>
      </c>
      <c r="P388">
        <f>IF(ISBLANK('ENGAGEMENTS 2026'!B388),"",'ENGAGEMENTS 2026'!J388)</f>
        <v/>
      </c>
      <c r="Q388">
        <f>IF($A388="","",IF(OR($E388="INFRUCTUEUX",$E388="ANNULE"),$A388&amp;"|"&amp;(COUNTIFS($A$2:$A388,$A388,$E$2:$E388,"INFRUCTUEUX")+COUNTIFS($A$2:$A388,$A388,$E$2:$E388,"ANNULE")),""))</f>
        <v/>
      </c>
    </row>
    <row r="389">
      <c r="A389">
        <f>IF(ISBLANK('ENGAGEMENTS 2026'!B389),"",IF('ENGAGEMENTS 2026'!B389="DTSI","DCT",'ENGAGEMENTS 2026'!B389))</f>
        <v/>
      </c>
      <c r="B389">
        <f>IF(ISBLANK('ENGAGEMENTS 2026'!B389),"",'ENGAGEMENTS 2026'!C389)</f>
        <v/>
      </c>
      <c r="C389">
        <f>IF(ISBLANK('ENGAGEMENTS 2026'!B389),"",'ENGAGEMENTS 2026'!D389)</f>
        <v/>
      </c>
      <c r="D389">
        <f>IF(ISBLANK('ENGAGEMENTS 2026'!B389),"",'ENGAGEMENTS 2026'!F389)</f>
        <v/>
      </c>
      <c r="E389">
        <f>IF(ISBLANK('ENGAGEMENTS 2026'!B389),"",'ENGAGEMENTS 2026'!H389)</f>
        <v/>
      </c>
      <c r="F389">
        <f>IF(ISBLANK('ENGAGEMENTS 2026'!B389),"",'ENGAGEMENTS 2026'!I389)</f>
        <v/>
      </c>
      <c r="G389">
        <f>IF(ISBLANK('ENGAGEMENTS 2026'!B389),"",'ENGAGEMENTS 2026'!L389)</f>
        <v/>
      </c>
      <c r="H389">
        <f>IF(ISBLANK('ENGAGEMENTS 2026'!B389),"",'ENGAGEMENTS 2026'!AE389)</f>
        <v/>
      </c>
      <c r="I389">
        <f>IF(ISBLANK('ENGAGEMENTS 2026'!B389),"",'ENGAGEMENTS 2026'!G389)</f>
        <v/>
      </c>
      <c r="J389" s="275">
        <f>IF(ISBLANK('ENGAGEMENTS 2026'!B389),"",IF(AND(OR($E389="INFRUCTUEUX",$E389="ANNULE"),$C389="AOO-M"),'ENGAGEMENTS 2026'!O389,IF($H389="EN COURS DE PREENGAGEMENT",'ENGAGEMENTS 2026'!N389,IF($H389="PREENGAGE",IF($E389="ATTRIBUE",'ENGAGEMENTS 2026'!AD389,'ENGAGEMENTS 2026'!N389),'ENGAGEMENTS 2026'!AD389))))</f>
        <v/>
      </c>
      <c r="K389" s="604">
        <f>IF(ISBLANK('ENGAGEMENTS 2026'!V389),"",'ENGAGEMENTS 2026'!V389)</f>
        <v/>
      </c>
      <c r="L389" s="276">
        <f>IF($K389="","",TODAY()-$K389)</f>
        <v/>
      </c>
      <c r="M389">
        <f>IF($A389="","",IF($H389="ENGAGE","Engagé",IF(AND($H389="NON ENGAGE",OR($I389="INFRUCTUEUX",$I389="ANNULE")),"Clôturé sans suite","En cours")))</f>
        <v/>
      </c>
      <c r="N389">
        <f>IF(ISBLANK('ENGAGEMENTS 2026'!B389),"",'ENGAGEMENTS 2026'!K389)</f>
        <v/>
      </c>
      <c r="O389">
        <f>IF(ISBLANK('ENGAGEMENTS 2026'!B389),"",'ENGAGEMENTS 2026'!L389)</f>
        <v/>
      </c>
      <c r="P389">
        <f>IF(ISBLANK('ENGAGEMENTS 2026'!B389),"",'ENGAGEMENTS 2026'!J389)</f>
        <v/>
      </c>
      <c r="Q389">
        <f>IF($A389="","",IF(OR($E389="INFRUCTUEUX",$E389="ANNULE"),$A389&amp;"|"&amp;(COUNTIFS($A$2:$A389,$A389,$E$2:$E389,"INFRUCTUEUX")+COUNTIFS($A$2:$A389,$A389,$E$2:$E389,"ANNULE")),""))</f>
        <v/>
      </c>
    </row>
    <row r="390">
      <c r="A390">
        <f>IF(ISBLANK('ENGAGEMENTS 2026'!B390),"",IF('ENGAGEMENTS 2026'!B390="DTSI","DCT",'ENGAGEMENTS 2026'!B390))</f>
        <v/>
      </c>
      <c r="B390">
        <f>IF(ISBLANK('ENGAGEMENTS 2026'!B390),"",'ENGAGEMENTS 2026'!C390)</f>
        <v/>
      </c>
      <c r="C390">
        <f>IF(ISBLANK('ENGAGEMENTS 2026'!B390),"",'ENGAGEMENTS 2026'!D390)</f>
        <v/>
      </c>
      <c r="D390">
        <f>IF(ISBLANK('ENGAGEMENTS 2026'!B390),"",'ENGAGEMENTS 2026'!F390)</f>
        <v/>
      </c>
      <c r="E390">
        <f>IF(ISBLANK('ENGAGEMENTS 2026'!B390),"",'ENGAGEMENTS 2026'!H390)</f>
        <v/>
      </c>
      <c r="F390">
        <f>IF(ISBLANK('ENGAGEMENTS 2026'!B390),"",'ENGAGEMENTS 2026'!I390)</f>
        <v/>
      </c>
      <c r="G390">
        <f>IF(ISBLANK('ENGAGEMENTS 2026'!B390),"",'ENGAGEMENTS 2026'!L390)</f>
        <v/>
      </c>
      <c r="H390">
        <f>IF(ISBLANK('ENGAGEMENTS 2026'!B390),"",'ENGAGEMENTS 2026'!AE390)</f>
        <v/>
      </c>
      <c r="I390">
        <f>IF(ISBLANK('ENGAGEMENTS 2026'!B390),"",'ENGAGEMENTS 2026'!G390)</f>
        <v/>
      </c>
      <c r="J390" s="275">
        <f>IF(ISBLANK('ENGAGEMENTS 2026'!B390),"",IF(AND(OR($E390="INFRUCTUEUX",$E390="ANNULE"),$C390="AOO-M"),'ENGAGEMENTS 2026'!O390,IF($H390="EN COURS DE PREENGAGEMENT",'ENGAGEMENTS 2026'!N390,IF($H390="PREENGAGE",IF($E390="ATTRIBUE",'ENGAGEMENTS 2026'!AD390,'ENGAGEMENTS 2026'!N390),'ENGAGEMENTS 2026'!AD390))))</f>
        <v/>
      </c>
      <c r="K390" s="604">
        <f>IF(ISBLANK('ENGAGEMENTS 2026'!V390),"",'ENGAGEMENTS 2026'!V390)</f>
        <v/>
      </c>
      <c r="L390" s="276">
        <f>IF($K390="","",TODAY()-$K390)</f>
        <v/>
      </c>
      <c r="M390">
        <f>IF($A390="","",IF($H390="ENGAGE","Engagé",IF(AND($H390="NON ENGAGE",OR($I390="INFRUCTUEUX",$I390="ANNULE")),"Clôturé sans suite","En cours")))</f>
        <v/>
      </c>
      <c r="N390">
        <f>IF(ISBLANK('ENGAGEMENTS 2026'!B390),"",'ENGAGEMENTS 2026'!K390)</f>
        <v/>
      </c>
      <c r="O390">
        <f>IF(ISBLANK('ENGAGEMENTS 2026'!B390),"",'ENGAGEMENTS 2026'!L390)</f>
        <v/>
      </c>
      <c r="P390">
        <f>IF(ISBLANK('ENGAGEMENTS 2026'!B390),"",'ENGAGEMENTS 2026'!J390)</f>
        <v/>
      </c>
      <c r="Q390">
        <f>IF($A390="","",IF(OR($E390="INFRUCTUEUX",$E390="ANNULE"),$A390&amp;"|"&amp;(COUNTIFS($A$2:$A390,$A390,$E$2:$E390,"INFRUCTUEUX")+COUNTIFS($A$2:$A390,$A390,$E$2:$E390,"ANNULE")),""))</f>
        <v/>
      </c>
    </row>
    <row r="391">
      <c r="A391">
        <f>IF(ISBLANK('ENGAGEMENTS 2026'!B391),"",IF('ENGAGEMENTS 2026'!B391="DTSI","DCT",'ENGAGEMENTS 2026'!B391))</f>
        <v/>
      </c>
      <c r="B391">
        <f>IF(ISBLANK('ENGAGEMENTS 2026'!B391),"",'ENGAGEMENTS 2026'!C391)</f>
        <v/>
      </c>
      <c r="C391">
        <f>IF(ISBLANK('ENGAGEMENTS 2026'!B391),"",'ENGAGEMENTS 2026'!D391)</f>
        <v/>
      </c>
      <c r="D391">
        <f>IF(ISBLANK('ENGAGEMENTS 2026'!B391),"",'ENGAGEMENTS 2026'!F391)</f>
        <v/>
      </c>
      <c r="E391">
        <f>IF(ISBLANK('ENGAGEMENTS 2026'!B391),"",'ENGAGEMENTS 2026'!H391)</f>
        <v/>
      </c>
      <c r="F391">
        <f>IF(ISBLANK('ENGAGEMENTS 2026'!B391),"",'ENGAGEMENTS 2026'!I391)</f>
        <v/>
      </c>
      <c r="G391">
        <f>IF(ISBLANK('ENGAGEMENTS 2026'!B391),"",'ENGAGEMENTS 2026'!L391)</f>
        <v/>
      </c>
      <c r="H391">
        <f>IF(ISBLANK('ENGAGEMENTS 2026'!B391),"",'ENGAGEMENTS 2026'!AE391)</f>
        <v/>
      </c>
      <c r="I391">
        <f>IF(ISBLANK('ENGAGEMENTS 2026'!B391),"",'ENGAGEMENTS 2026'!G391)</f>
        <v/>
      </c>
      <c r="J391" s="275">
        <f>IF(ISBLANK('ENGAGEMENTS 2026'!B391),"",IF(AND(OR($E391="INFRUCTUEUX",$E391="ANNULE"),$C391="AOO-M"),'ENGAGEMENTS 2026'!O391,IF($H391="EN COURS DE PREENGAGEMENT",'ENGAGEMENTS 2026'!N391,IF($H391="PREENGAGE",IF($E391="ATTRIBUE",'ENGAGEMENTS 2026'!AD391,'ENGAGEMENTS 2026'!N391),'ENGAGEMENTS 2026'!AD391))))</f>
        <v/>
      </c>
      <c r="K391" s="604">
        <f>IF(ISBLANK('ENGAGEMENTS 2026'!V391),"",'ENGAGEMENTS 2026'!V391)</f>
        <v/>
      </c>
      <c r="L391" s="276">
        <f>IF($K391="","",TODAY()-$K391)</f>
        <v/>
      </c>
      <c r="M391">
        <f>IF($A391="","",IF($H391="ENGAGE","Engagé",IF(AND($H391="NON ENGAGE",OR($I391="INFRUCTUEUX",$I391="ANNULE")),"Clôturé sans suite","En cours")))</f>
        <v/>
      </c>
      <c r="N391">
        <f>IF(ISBLANK('ENGAGEMENTS 2026'!B391),"",'ENGAGEMENTS 2026'!K391)</f>
        <v/>
      </c>
      <c r="O391">
        <f>IF(ISBLANK('ENGAGEMENTS 2026'!B391),"",'ENGAGEMENTS 2026'!L391)</f>
        <v/>
      </c>
      <c r="P391">
        <f>IF(ISBLANK('ENGAGEMENTS 2026'!B391),"",'ENGAGEMENTS 2026'!J391)</f>
        <v/>
      </c>
      <c r="Q391">
        <f>IF($A391="","",IF(OR($E391="INFRUCTUEUX",$E391="ANNULE"),$A391&amp;"|"&amp;(COUNTIFS($A$2:$A391,$A391,$E$2:$E391,"INFRUCTUEUX")+COUNTIFS($A$2:$A391,$A391,$E$2:$E391,"ANNULE")),""))</f>
        <v/>
      </c>
    </row>
    <row r="392">
      <c r="A392">
        <f>IF(ISBLANK('ENGAGEMENTS 2026'!B392),"",IF('ENGAGEMENTS 2026'!B392="DTSI","DCT",'ENGAGEMENTS 2026'!B392))</f>
        <v/>
      </c>
      <c r="B392">
        <f>IF(ISBLANK('ENGAGEMENTS 2026'!B392),"",'ENGAGEMENTS 2026'!C392)</f>
        <v/>
      </c>
      <c r="C392">
        <f>IF(ISBLANK('ENGAGEMENTS 2026'!B392),"",'ENGAGEMENTS 2026'!D392)</f>
        <v/>
      </c>
      <c r="D392">
        <f>IF(ISBLANK('ENGAGEMENTS 2026'!B392),"",'ENGAGEMENTS 2026'!F392)</f>
        <v/>
      </c>
      <c r="E392">
        <f>IF(ISBLANK('ENGAGEMENTS 2026'!B392),"",'ENGAGEMENTS 2026'!H392)</f>
        <v/>
      </c>
      <c r="F392">
        <f>IF(ISBLANK('ENGAGEMENTS 2026'!B392),"",'ENGAGEMENTS 2026'!I392)</f>
        <v/>
      </c>
      <c r="G392">
        <f>IF(ISBLANK('ENGAGEMENTS 2026'!B392),"",'ENGAGEMENTS 2026'!L392)</f>
        <v/>
      </c>
      <c r="H392">
        <f>IF(ISBLANK('ENGAGEMENTS 2026'!B392),"",'ENGAGEMENTS 2026'!AE392)</f>
        <v/>
      </c>
      <c r="I392">
        <f>IF(ISBLANK('ENGAGEMENTS 2026'!B392),"",'ENGAGEMENTS 2026'!G392)</f>
        <v/>
      </c>
      <c r="J392" s="275">
        <f>IF(ISBLANK('ENGAGEMENTS 2026'!B392),"",IF(AND(OR($E392="INFRUCTUEUX",$E392="ANNULE"),$C392="AOO-M"),'ENGAGEMENTS 2026'!O392,IF($H392="EN COURS DE PREENGAGEMENT",'ENGAGEMENTS 2026'!N392,IF($H392="PREENGAGE",IF($E392="ATTRIBUE",'ENGAGEMENTS 2026'!AD392,'ENGAGEMENTS 2026'!N392),'ENGAGEMENTS 2026'!AD392))))</f>
        <v/>
      </c>
      <c r="K392" s="604">
        <f>IF(ISBLANK('ENGAGEMENTS 2026'!V392),"",'ENGAGEMENTS 2026'!V392)</f>
        <v/>
      </c>
      <c r="L392" s="276">
        <f>IF($K392="","",TODAY()-$K392)</f>
        <v/>
      </c>
      <c r="M392">
        <f>IF($A392="","",IF($H392="ENGAGE","Engagé",IF(AND($H392="NON ENGAGE",OR($I392="INFRUCTUEUX",$I392="ANNULE")),"Clôturé sans suite","En cours")))</f>
        <v/>
      </c>
      <c r="N392">
        <f>IF(ISBLANK('ENGAGEMENTS 2026'!B392),"",'ENGAGEMENTS 2026'!K392)</f>
        <v/>
      </c>
      <c r="O392">
        <f>IF(ISBLANK('ENGAGEMENTS 2026'!B392),"",'ENGAGEMENTS 2026'!L392)</f>
        <v/>
      </c>
      <c r="P392">
        <f>IF(ISBLANK('ENGAGEMENTS 2026'!B392),"",'ENGAGEMENTS 2026'!J392)</f>
        <v/>
      </c>
      <c r="Q392">
        <f>IF($A392="","",IF(OR($E392="INFRUCTUEUX",$E392="ANNULE"),$A392&amp;"|"&amp;(COUNTIFS($A$2:$A392,$A392,$E$2:$E392,"INFRUCTUEUX")+COUNTIFS($A$2:$A392,$A392,$E$2:$E392,"ANNULE")),""))</f>
        <v/>
      </c>
    </row>
    <row r="393">
      <c r="A393">
        <f>IF(ISBLANK('ENGAGEMENTS 2026'!B393),"",IF('ENGAGEMENTS 2026'!B393="DTSI","DCT",'ENGAGEMENTS 2026'!B393))</f>
        <v/>
      </c>
      <c r="B393">
        <f>IF(ISBLANK('ENGAGEMENTS 2026'!B393),"",'ENGAGEMENTS 2026'!C393)</f>
        <v/>
      </c>
      <c r="C393">
        <f>IF(ISBLANK('ENGAGEMENTS 2026'!B393),"",'ENGAGEMENTS 2026'!D393)</f>
        <v/>
      </c>
      <c r="D393">
        <f>IF(ISBLANK('ENGAGEMENTS 2026'!B393),"",'ENGAGEMENTS 2026'!F393)</f>
        <v/>
      </c>
      <c r="E393">
        <f>IF(ISBLANK('ENGAGEMENTS 2026'!B393),"",'ENGAGEMENTS 2026'!H393)</f>
        <v/>
      </c>
      <c r="F393">
        <f>IF(ISBLANK('ENGAGEMENTS 2026'!B393),"",'ENGAGEMENTS 2026'!I393)</f>
        <v/>
      </c>
      <c r="G393">
        <f>IF(ISBLANK('ENGAGEMENTS 2026'!B393),"",'ENGAGEMENTS 2026'!L393)</f>
        <v/>
      </c>
      <c r="H393">
        <f>IF(ISBLANK('ENGAGEMENTS 2026'!B393),"",'ENGAGEMENTS 2026'!AE393)</f>
        <v/>
      </c>
      <c r="I393">
        <f>IF(ISBLANK('ENGAGEMENTS 2026'!B393),"",'ENGAGEMENTS 2026'!G393)</f>
        <v/>
      </c>
      <c r="J393" s="275">
        <f>IF(ISBLANK('ENGAGEMENTS 2026'!B393),"",IF(AND(OR($E393="INFRUCTUEUX",$E393="ANNULE"),$C393="AOO-M"),'ENGAGEMENTS 2026'!O393,IF($H393="EN COURS DE PREENGAGEMENT",'ENGAGEMENTS 2026'!N393,IF($H393="PREENGAGE",IF($E393="ATTRIBUE",'ENGAGEMENTS 2026'!AD393,'ENGAGEMENTS 2026'!N393),'ENGAGEMENTS 2026'!AD393))))</f>
        <v/>
      </c>
      <c r="K393" s="604">
        <f>IF(ISBLANK('ENGAGEMENTS 2026'!V393),"",'ENGAGEMENTS 2026'!V393)</f>
        <v/>
      </c>
      <c r="L393" s="276">
        <f>IF($K393="","",TODAY()-$K393)</f>
        <v/>
      </c>
      <c r="M393">
        <f>IF($A393="","",IF($H393="ENGAGE","Engagé",IF(AND($H393="NON ENGAGE",OR($I393="INFRUCTUEUX",$I393="ANNULE")),"Clôturé sans suite","En cours")))</f>
        <v/>
      </c>
      <c r="N393">
        <f>IF(ISBLANK('ENGAGEMENTS 2026'!B393),"",'ENGAGEMENTS 2026'!K393)</f>
        <v/>
      </c>
      <c r="O393">
        <f>IF(ISBLANK('ENGAGEMENTS 2026'!B393),"",'ENGAGEMENTS 2026'!L393)</f>
        <v/>
      </c>
      <c r="P393">
        <f>IF(ISBLANK('ENGAGEMENTS 2026'!B393),"",'ENGAGEMENTS 2026'!J393)</f>
        <v/>
      </c>
      <c r="Q393">
        <f>IF($A393="","",IF(OR($E393="INFRUCTUEUX",$E393="ANNULE"),$A393&amp;"|"&amp;(COUNTIFS($A$2:$A393,$A393,$E$2:$E393,"INFRUCTUEUX")+COUNTIFS($A$2:$A393,$A393,$E$2:$E393,"ANNULE")),""))</f>
        <v/>
      </c>
    </row>
    <row r="394">
      <c r="A394">
        <f>IF(ISBLANK('ENGAGEMENTS 2026'!B394),"",IF('ENGAGEMENTS 2026'!B394="DTSI","DCT",'ENGAGEMENTS 2026'!B394))</f>
        <v/>
      </c>
      <c r="B394">
        <f>IF(ISBLANK('ENGAGEMENTS 2026'!B394),"",'ENGAGEMENTS 2026'!C394)</f>
        <v/>
      </c>
      <c r="C394">
        <f>IF(ISBLANK('ENGAGEMENTS 2026'!B394),"",'ENGAGEMENTS 2026'!D394)</f>
        <v/>
      </c>
      <c r="D394">
        <f>IF(ISBLANK('ENGAGEMENTS 2026'!B394),"",'ENGAGEMENTS 2026'!F394)</f>
        <v/>
      </c>
      <c r="E394">
        <f>IF(ISBLANK('ENGAGEMENTS 2026'!B394),"",'ENGAGEMENTS 2026'!H394)</f>
        <v/>
      </c>
      <c r="F394">
        <f>IF(ISBLANK('ENGAGEMENTS 2026'!B394),"",'ENGAGEMENTS 2026'!I394)</f>
        <v/>
      </c>
      <c r="G394">
        <f>IF(ISBLANK('ENGAGEMENTS 2026'!B394),"",'ENGAGEMENTS 2026'!L394)</f>
        <v/>
      </c>
      <c r="H394">
        <f>IF(ISBLANK('ENGAGEMENTS 2026'!B394),"",'ENGAGEMENTS 2026'!AE394)</f>
        <v/>
      </c>
      <c r="I394">
        <f>IF(ISBLANK('ENGAGEMENTS 2026'!B394),"",'ENGAGEMENTS 2026'!G394)</f>
        <v/>
      </c>
      <c r="J394" s="275">
        <f>IF(ISBLANK('ENGAGEMENTS 2026'!B394),"",IF(AND(OR($E394="INFRUCTUEUX",$E394="ANNULE"),$C394="AOO-M"),'ENGAGEMENTS 2026'!O394,IF($H394="EN COURS DE PREENGAGEMENT",'ENGAGEMENTS 2026'!N394,IF($H394="PREENGAGE",IF($E394="ATTRIBUE",'ENGAGEMENTS 2026'!AD394,'ENGAGEMENTS 2026'!N394),'ENGAGEMENTS 2026'!AD394))))</f>
        <v/>
      </c>
      <c r="K394" s="604">
        <f>IF(ISBLANK('ENGAGEMENTS 2026'!V394),"",'ENGAGEMENTS 2026'!V394)</f>
        <v/>
      </c>
      <c r="L394" s="276">
        <f>IF($K394="","",TODAY()-$K394)</f>
        <v/>
      </c>
      <c r="M394">
        <f>IF($A394="","",IF($H394="ENGAGE","Engagé",IF(AND($H394="NON ENGAGE",OR($I394="INFRUCTUEUX",$I394="ANNULE")),"Clôturé sans suite","En cours")))</f>
        <v/>
      </c>
      <c r="N394">
        <f>IF(ISBLANK('ENGAGEMENTS 2026'!B394),"",'ENGAGEMENTS 2026'!K394)</f>
        <v/>
      </c>
      <c r="O394">
        <f>IF(ISBLANK('ENGAGEMENTS 2026'!B394),"",'ENGAGEMENTS 2026'!L394)</f>
        <v/>
      </c>
      <c r="P394">
        <f>IF(ISBLANK('ENGAGEMENTS 2026'!B394),"",'ENGAGEMENTS 2026'!J394)</f>
        <v/>
      </c>
      <c r="Q394">
        <f>IF($A394="","",IF(OR($E394="INFRUCTUEUX",$E394="ANNULE"),$A394&amp;"|"&amp;(COUNTIFS($A$2:$A394,$A394,$E$2:$E394,"INFRUCTUEUX")+COUNTIFS($A$2:$A394,$A394,$E$2:$E394,"ANNULE")),""))</f>
        <v/>
      </c>
    </row>
    <row r="395">
      <c r="A395">
        <f>IF(ISBLANK('ENGAGEMENTS 2026'!B395),"",IF('ENGAGEMENTS 2026'!B395="DTSI","DCT",'ENGAGEMENTS 2026'!B395))</f>
        <v/>
      </c>
      <c r="B395">
        <f>IF(ISBLANK('ENGAGEMENTS 2026'!B395),"",'ENGAGEMENTS 2026'!C395)</f>
        <v/>
      </c>
      <c r="C395">
        <f>IF(ISBLANK('ENGAGEMENTS 2026'!B395),"",'ENGAGEMENTS 2026'!D395)</f>
        <v/>
      </c>
      <c r="D395">
        <f>IF(ISBLANK('ENGAGEMENTS 2026'!B395),"",'ENGAGEMENTS 2026'!F395)</f>
        <v/>
      </c>
      <c r="E395">
        <f>IF(ISBLANK('ENGAGEMENTS 2026'!B395),"",'ENGAGEMENTS 2026'!H395)</f>
        <v/>
      </c>
      <c r="F395">
        <f>IF(ISBLANK('ENGAGEMENTS 2026'!B395),"",'ENGAGEMENTS 2026'!I395)</f>
        <v/>
      </c>
      <c r="G395">
        <f>IF(ISBLANK('ENGAGEMENTS 2026'!B395),"",'ENGAGEMENTS 2026'!L395)</f>
        <v/>
      </c>
      <c r="H395">
        <f>IF(ISBLANK('ENGAGEMENTS 2026'!B395),"",'ENGAGEMENTS 2026'!AE395)</f>
        <v/>
      </c>
      <c r="I395">
        <f>IF(ISBLANK('ENGAGEMENTS 2026'!B395),"",'ENGAGEMENTS 2026'!G395)</f>
        <v/>
      </c>
      <c r="J395" s="275">
        <f>IF(ISBLANK('ENGAGEMENTS 2026'!B395),"",IF(AND(OR($E395="INFRUCTUEUX",$E395="ANNULE"),$C395="AOO-M"),'ENGAGEMENTS 2026'!O395,IF($H395="EN COURS DE PREENGAGEMENT",'ENGAGEMENTS 2026'!N395,IF($H395="PREENGAGE",IF($E395="ATTRIBUE",'ENGAGEMENTS 2026'!AD395,'ENGAGEMENTS 2026'!N395),'ENGAGEMENTS 2026'!AD395))))</f>
        <v/>
      </c>
      <c r="K395" s="604">
        <f>IF(ISBLANK('ENGAGEMENTS 2026'!V395),"",'ENGAGEMENTS 2026'!V395)</f>
        <v/>
      </c>
      <c r="L395" s="276">
        <f>IF($K395="","",TODAY()-$K395)</f>
        <v/>
      </c>
      <c r="M395">
        <f>IF($A395="","",IF($H395="ENGAGE","Engagé",IF(AND($H395="NON ENGAGE",OR($I395="INFRUCTUEUX",$I395="ANNULE")),"Clôturé sans suite","En cours")))</f>
        <v/>
      </c>
      <c r="N395">
        <f>IF(ISBLANK('ENGAGEMENTS 2026'!B395),"",'ENGAGEMENTS 2026'!K395)</f>
        <v/>
      </c>
      <c r="O395">
        <f>IF(ISBLANK('ENGAGEMENTS 2026'!B395),"",'ENGAGEMENTS 2026'!L395)</f>
        <v/>
      </c>
      <c r="P395">
        <f>IF(ISBLANK('ENGAGEMENTS 2026'!B395),"",'ENGAGEMENTS 2026'!J395)</f>
        <v/>
      </c>
      <c r="Q395">
        <f>IF($A395="","",IF(OR($E395="INFRUCTUEUX",$E395="ANNULE"),$A395&amp;"|"&amp;(COUNTIFS($A$2:$A395,$A395,$E$2:$E395,"INFRUCTUEUX")+COUNTIFS($A$2:$A395,$A395,$E$2:$E395,"ANNULE")),""))</f>
        <v/>
      </c>
    </row>
    <row r="396">
      <c r="A396">
        <f>IF(ISBLANK('ENGAGEMENTS 2026'!B396),"",IF('ENGAGEMENTS 2026'!B396="DTSI","DCT",'ENGAGEMENTS 2026'!B396))</f>
        <v/>
      </c>
      <c r="B396">
        <f>IF(ISBLANK('ENGAGEMENTS 2026'!B396),"",'ENGAGEMENTS 2026'!C396)</f>
        <v/>
      </c>
      <c r="C396">
        <f>IF(ISBLANK('ENGAGEMENTS 2026'!B396),"",'ENGAGEMENTS 2026'!D396)</f>
        <v/>
      </c>
      <c r="D396">
        <f>IF(ISBLANK('ENGAGEMENTS 2026'!B396),"",'ENGAGEMENTS 2026'!F396)</f>
        <v/>
      </c>
      <c r="E396">
        <f>IF(ISBLANK('ENGAGEMENTS 2026'!B396),"",'ENGAGEMENTS 2026'!H396)</f>
        <v/>
      </c>
      <c r="F396">
        <f>IF(ISBLANK('ENGAGEMENTS 2026'!B396),"",'ENGAGEMENTS 2026'!I396)</f>
        <v/>
      </c>
      <c r="G396">
        <f>IF(ISBLANK('ENGAGEMENTS 2026'!B396),"",'ENGAGEMENTS 2026'!L396)</f>
        <v/>
      </c>
      <c r="H396">
        <f>IF(ISBLANK('ENGAGEMENTS 2026'!B396),"",'ENGAGEMENTS 2026'!AE396)</f>
        <v/>
      </c>
      <c r="I396">
        <f>IF(ISBLANK('ENGAGEMENTS 2026'!B396),"",'ENGAGEMENTS 2026'!G396)</f>
        <v/>
      </c>
      <c r="J396" s="275">
        <f>IF(ISBLANK('ENGAGEMENTS 2026'!B396),"",IF(AND(OR($E396="INFRUCTUEUX",$E396="ANNULE"),$C396="AOO-M"),'ENGAGEMENTS 2026'!O396,IF($H396="EN COURS DE PREENGAGEMENT",'ENGAGEMENTS 2026'!N396,IF($H396="PREENGAGE",IF($E396="ATTRIBUE",'ENGAGEMENTS 2026'!AD396,'ENGAGEMENTS 2026'!N396),'ENGAGEMENTS 2026'!AD396))))</f>
        <v/>
      </c>
      <c r="K396" s="604">
        <f>IF(ISBLANK('ENGAGEMENTS 2026'!V396),"",'ENGAGEMENTS 2026'!V396)</f>
        <v/>
      </c>
      <c r="L396" s="276">
        <f>IF($K396="","",TODAY()-$K396)</f>
        <v/>
      </c>
      <c r="M396">
        <f>IF($A396="","",IF($H396="ENGAGE","Engagé",IF(AND($H396="NON ENGAGE",OR($I396="INFRUCTUEUX",$I396="ANNULE")),"Clôturé sans suite","En cours")))</f>
        <v/>
      </c>
      <c r="N396">
        <f>IF(ISBLANK('ENGAGEMENTS 2026'!B396),"",'ENGAGEMENTS 2026'!K396)</f>
        <v/>
      </c>
      <c r="O396">
        <f>IF(ISBLANK('ENGAGEMENTS 2026'!B396),"",'ENGAGEMENTS 2026'!L396)</f>
        <v/>
      </c>
      <c r="P396">
        <f>IF(ISBLANK('ENGAGEMENTS 2026'!B396),"",'ENGAGEMENTS 2026'!J396)</f>
        <v/>
      </c>
      <c r="Q396">
        <f>IF($A396="","",IF(OR($E396="INFRUCTUEUX",$E396="ANNULE"),$A396&amp;"|"&amp;(COUNTIFS($A$2:$A396,$A396,$E$2:$E396,"INFRUCTUEUX")+COUNTIFS($A$2:$A396,$A396,$E$2:$E396,"ANNULE")),""))</f>
        <v/>
      </c>
    </row>
    <row r="397">
      <c r="A397">
        <f>IF(ISBLANK('ENGAGEMENTS 2026'!B397),"",IF('ENGAGEMENTS 2026'!B397="DTSI","DCT",'ENGAGEMENTS 2026'!B397))</f>
        <v/>
      </c>
      <c r="B397">
        <f>IF(ISBLANK('ENGAGEMENTS 2026'!B397),"",'ENGAGEMENTS 2026'!C397)</f>
        <v/>
      </c>
      <c r="C397">
        <f>IF(ISBLANK('ENGAGEMENTS 2026'!B397),"",'ENGAGEMENTS 2026'!D397)</f>
        <v/>
      </c>
      <c r="D397">
        <f>IF(ISBLANK('ENGAGEMENTS 2026'!B397),"",'ENGAGEMENTS 2026'!F397)</f>
        <v/>
      </c>
      <c r="E397">
        <f>IF(ISBLANK('ENGAGEMENTS 2026'!B397),"",'ENGAGEMENTS 2026'!H397)</f>
        <v/>
      </c>
      <c r="F397">
        <f>IF(ISBLANK('ENGAGEMENTS 2026'!B397),"",'ENGAGEMENTS 2026'!I397)</f>
        <v/>
      </c>
      <c r="G397">
        <f>IF(ISBLANK('ENGAGEMENTS 2026'!B397),"",'ENGAGEMENTS 2026'!L397)</f>
        <v/>
      </c>
      <c r="H397">
        <f>IF(ISBLANK('ENGAGEMENTS 2026'!B397),"",'ENGAGEMENTS 2026'!AE397)</f>
        <v/>
      </c>
      <c r="I397">
        <f>IF(ISBLANK('ENGAGEMENTS 2026'!B397),"",'ENGAGEMENTS 2026'!G397)</f>
        <v/>
      </c>
      <c r="J397" s="275">
        <f>IF(ISBLANK('ENGAGEMENTS 2026'!B397),"",IF(AND(OR($E397="INFRUCTUEUX",$E397="ANNULE"),$C397="AOO-M"),'ENGAGEMENTS 2026'!O397,IF($H397="EN COURS DE PREENGAGEMENT",'ENGAGEMENTS 2026'!N397,IF($H397="PREENGAGE",IF($E397="ATTRIBUE",'ENGAGEMENTS 2026'!AD397,'ENGAGEMENTS 2026'!N397),'ENGAGEMENTS 2026'!AD397))))</f>
        <v/>
      </c>
      <c r="K397" s="604">
        <f>IF(ISBLANK('ENGAGEMENTS 2026'!V397),"",'ENGAGEMENTS 2026'!V397)</f>
        <v/>
      </c>
      <c r="L397" s="276">
        <f>IF($K397="","",TODAY()-$K397)</f>
        <v/>
      </c>
      <c r="M397">
        <f>IF($A397="","",IF($H397="ENGAGE","Engagé",IF(AND($H397="NON ENGAGE",OR($I397="INFRUCTUEUX",$I397="ANNULE")),"Clôturé sans suite","En cours")))</f>
        <v/>
      </c>
      <c r="N397">
        <f>IF(ISBLANK('ENGAGEMENTS 2026'!B397),"",'ENGAGEMENTS 2026'!K397)</f>
        <v/>
      </c>
      <c r="O397">
        <f>IF(ISBLANK('ENGAGEMENTS 2026'!B397),"",'ENGAGEMENTS 2026'!L397)</f>
        <v/>
      </c>
      <c r="P397">
        <f>IF(ISBLANK('ENGAGEMENTS 2026'!B397),"",'ENGAGEMENTS 2026'!J397)</f>
        <v/>
      </c>
      <c r="Q397">
        <f>IF($A397="","",IF(OR($E397="INFRUCTUEUX",$E397="ANNULE"),$A397&amp;"|"&amp;(COUNTIFS($A$2:$A397,$A397,$E$2:$E397,"INFRUCTUEUX")+COUNTIFS($A$2:$A397,$A397,$E$2:$E397,"ANNULE")),""))</f>
        <v/>
      </c>
    </row>
    <row r="398">
      <c r="A398">
        <f>IF(ISBLANK('ENGAGEMENTS 2026'!B398),"",IF('ENGAGEMENTS 2026'!B398="DTSI","DCT",'ENGAGEMENTS 2026'!B398))</f>
        <v/>
      </c>
      <c r="B398">
        <f>IF(ISBLANK('ENGAGEMENTS 2026'!B398),"",'ENGAGEMENTS 2026'!C398)</f>
        <v/>
      </c>
      <c r="C398">
        <f>IF(ISBLANK('ENGAGEMENTS 2026'!B398),"",'ENGAGEMENTS 2026'!D398)</f>
        <v/>
      </c>
      <c r="D398">
        <f>IF(ISBLANK('ENGAGEMENTS 2026'!B398),"",'ENGAGEMENTS 2026'!F398)</f>
        <v/>
      </c>
      <c r="E398">
        <f>IF(ISBLANK('ENGAGEMENTS 2026'!B398),"",'ENGAGEMENTS 2026'!H398)</f>
        <v/>
      </c>
      <c r="F398">
        <f>IF(ISBLANK('ENGAGEMENTS 2026'!B398),"",'ENGAGEMENTS 2026'!I398)</f>
        <v/>
      </c>
      <c r="G398">
        <f>IF(ISBLANK('ENGAGEMENTS 2026'!B398),"",'ENGAGEMENTS 2026'!L398)</f>
        <v/>
      </c>
      <c r="H398">
        <f>IF(ISBLANK('ENGAGEMENTS 2026'!B398),"",'ENGAGEMENTS 2026'!AE398)</f>
        <v/>
      </c>
      <c r="I398">
        <f>IF(ISBLANK('ENGAGEMENTS 2026'!B398),"",'ENGAGEMENTS 2026'!G398)</f>
        <v/>
      </c>
      <c r="J398" s="275">
        <f>IF(ISBLANK('ENGAGEMENTS 2026'!B398),"",IF(AND(OR($E398="INFRUCTUEUX",$E398="ANNULE"),$C398="AOO-M"),'ENGAGEMENTS 2026'!O398,IF($H398="EN COURS DE PREENGAGEMENT",'ENGAGEMENTS 2026'!N398,IF($H398="PREENGAGE",IF($E398="ATTRIBUE",'ENGAGEMENTS 2026'!AD398,'ENGAGEMENTS 2026'!N398),'ENGAGEMENTS 2026'!AD398))))</f>
        <v/>
      </c>
      <c r="K398" s="604">
        <f>IF(ISBLANK('ENGAGEMENTS 2026'!V398),"",'ENGAGEMENTS 2026'!V398)</f>
        <v/>
      </c>
      <c r="L398" s="276">
        <f>IF($K398="","",TODAY()-$K398)</f>
        <v/>
      </c>
      <c r="M398">
        <f>IF($A398="","",IF($H398="ENGAGE","Engagé",IF(AND($H398="NON ENGAGE",OR($I398="INFRUCTUEUX",$I398="ANNULE")),"Clôturé sans suite","En cours")))</f>
        <v/>
      </c>
      <c r="N398">
        <f>IF(ISBLANK('ENGAGEMENTS 2026'!B398),"",'ENGAGEMENTS 2026'!K398)</f>
        <v/>
      </c>
      <c r="O398">
        <f>IF(ISBLANK('ENGAGEMENTS 2026'!B398),"",'ENGAGEMENTS 2026'!L398)</f>
        <v/>
      </c>
      <c r="P398">
        <f>IF(ISBLANK('ENGAGEMENTS 2026'!B398),"",'ENGAGEMENTS 2026'!J398)</f>
        <v/>
      </c>
      <c r="Q398">
        <f>IF($A398="","",IF(OR($E398="INFRUCTUEUX",$E398="ANNULE"),$A398&amp;"|"&amp;(COUNTIFS($A$2:$A398,$A398,$E$2:$E398,"INFRUCTUEUX")+COUNTIFS($A$2:$A398,$A398,$E$2:$E398,"ANNULE")),""))</f>
        <v/>
      </c>
    </row>
    <row r="399">
      <c r="A399">
        <f>IF(ISBLANK('ENGAGEMENTS 2026'!B399),"",IF('ENGAGEMENTS 2026'!B399="DTSI","DCT",'ENGAGEMENTS 2026'!B399))</f>
        <v/>
      </c>
      <c r="B399">
        <f>IF(ISBLANK('ENGAGEMENTS 2026'!B399),"",'ENGAGEMENTS 2026'!C399)</f>
        <v/>
      </c>
      <c r="C399">
        <f>IF(ISBLANK('ENGAGEMENTS 2026'!B399),"",'ENGAGEMENTS 2026'!D399)</f>
        <v/>
      </c>
      <c r="D399">
        <f>IF(ISBLANK('ENGAGEMENTS 2026'!B399),"",'ENGAGEMENTS 2026'!F399)</f>
        <v/>
      </c>
      <c r="E399">
        <f>IF(ISBLANK('ENGAGEMENTS 2026'!B399),"",'ENGAGEMENTS 2026'!H399)</f>
        <v/>
      </c>
      <c r="F399">
        <f>IF(ISBLANK('ENGAGEMENTS 2026'!B399),"",'ENGAGEMENTS 2026'!I399)</f>
        <v/>
      </c>
      <c r="G399">
        <f>IF(ISBLANK('ENGAGEMENTS 2026'!B399),"",'ENGAGEMENTS 2026'!L399)</f>
        <v/>
      </c>
      <c r="H399">
        <f>IF(ISBLANK('ENGAGEMENTS 2026'!B399),"",'ENGAGEMENTS 2026'!AE399)</f>
        <v/>
      </c>
      <c r="I399">
        <f>IF(ISBLANK('ENGAGEMENTS 2026'!B399),"",'ENGAGEMENTS 2026'!G399)</f>
        <v/>
      </c>
      <c r="J399" s="275">
        <f>IF(ISBLANK('ENGAGEMENTS 2026'!B399),"",IF(AND(OR($E399="INFRUCTUEUX",$E399="ANNULE"),$C399="AOO-M"),'ENGAGEMENTS 2026'!O399,IF($H399="EN COURS DE PREENGAGEMENT",'ENGAGEMENTS 2026'!N399,IF($H399="PREENGAGE",IF($E399="ATTRIBUE",'ENGAGEMENTS 2026'!AD399,'ENGAGEMENTS 2026'!N399),'ENGAGEMENTS 2026'!AD399))))</f>
        <v/>
      </c>
      <c r="K399" s="604">
        <f>IF(ISBLANK('ENGAGEMENTS 2026'!V399),"",'ENGAGEMENTS 2026'!V399)</f>
        <v/>
      </c>
      <c r="L399" s="276">
        <f>IF($K399="","",TODAY()-$K399)</f>
        <v/>
      </c>
      <c r="M399">
        <f>IF($A399="","",IF($H399="ENGAGE","Engagé",IF(AND($H399="NON ENGAGE",OR($I399="INFRUCTUEUX",$I399="ANNULE")),"Clôturé sans suite","En cours")))</f>
        <v/>
      </c>
      <c r="N399">
        <f>IF(ISBLANK('ENGAGEMENTS 2026'!B399),"",'ENGAGEMENTS 2026'!K399)</f>
        <v/>
      </c>
      <c r="O399">
        <f>IF(ISBLANK('ENGAGEMENTS 2026'!B399),"",'ENGAGEMENTS 2026'!L399)</f>
        <v/>
      </c>
      <c r="P399">
        <f>IF(ISBLANK('ENGAGEMENTS 2026'!B399),"",'ENGAGEMENTS 2026'!J399)</f>
        <v/>
      </c>
      <c r="Q399">
        <f>IF($A399="","",IF(OR($E399="INFRUCTUEUX",$E399="ANNULE"),$A399&amp;"|"&amp;(COUNTIFS($A$2:$A399,$A399,$E$2:$E399,"INFRUCTUEUX")+COUNTIFS($A$2:$A399,$A399,$E$2:$E399,"ANNULE")),""))</f>
        <v/>
      </c>
    </row>
    <row r="400">
      <c r="A400">
        <f>IF(ISBLANK('ENGAGEMENTS 2026'!B400),"",IF('ENGAGEMENTS 2026'!B400="DTSI","DCT",'ENGAGEMENTS 2026'!B400))</f>
        <v/>
      </c>
      <c r="B400">
        <f>IF(ISBLANK('ENGAGEMENTS 2026'!B400),"",'ENGAGEMENTS 2026'!C400)</f>
        <v/>
      </c>
      <c r="C400">
        <f>IF(ISBLANK('ENGAGEMENTS 2026'!B400),"",'ENGAGEMENTS 2026'!D400)</f>
        <v/>
      </c>
      <c r="D400">
        <f>IF(ISBLANK('ENGAGEMENTS 2026'!B400),"",'ENGAGEMENTS 2026'!F400)</f>
        <v/>
      </c>
      <c r="E400">
        <f>IF(ISBLANK('ENGAGEMENTS 2026'!B400),"",'ENGAGEMENTS 2026'!H400)</f>
        <v/>
      </c>
      <c r="F400">
        <f>IF(ISBLANK('ENGAGEMENTS 2026'!B400),"",'ENGAGEMENTS 2026'!I400)</f>
        <v/>
      </c>
      <c r="G400">
        <f>IF(ISBLANK('ENGAGEMENTS 2026'!B400),"",'ENGAGEMENTS 2026'!L400)</f>
        <v/>
      </c>
      <c r="H400">
        <f>IF(ISBLANK('ENGAGEMENTS 2026'!B400),"",'ENGAGEMENTS 2026'!AE400)</f>
        <v/>
      </c>
      <c r="I400">
        <f>IF(ISBLANK('ENGAGEMENTS 2026'!B400),"",'ENGAGEMENTS 2026'!G400)</f>
        <v/>
      </c>
      <c r="J400" s="275">
        <f>IF(ISBLANK('ENGAGEMENTS 2026'!B400),"",IF(AND(OR($E400="INFRUCTUEUX",$E400="ANNULE"),$C400="AOO-M"),'ENGAGEMENTS 2026'!O400,IF($H400="EN COURS DE PREENGAGEMENT",'ENGAGEMENTS 2026'!N400,IF($H400="PREENGAGE",IF($E400="ATTRIBUE",'ENGAGEMENTS 2026'!AD400,'ENGAGEMENTS 2026'!N400),'ENGAGEMENTS 2026'!AD400))))</f>
        <v/>
      </c>
      <c r="K400" s="604">
        <f>IF(ISBLANK('ENGAGEMENTS 2026'!V400),"",'ENGAGEMENTS 2026'!V400)</f>
        <v/>
      </c>
      <c r="L400" s="276">
        <f>IF($K400="","",TODAY()-$K400)</f>
        <v/>
      </c>
      <c r="M400">
        <f>IF($A400="","",IF($H400="ENGAGE","Engagé",IF(AND($H400="NON ENGAGE",OR($I400="INFRUCTUEUX",$I400="ANNULE")),"Clôturé sans suite","En cours")))</f>
        <v/>
      </c>
      <c r="N400">
        <f>IF(ISBLANK('ENGAGEMENTS 2026'!B400),"",'ENGAGEMENTS 2026'!K400)</f>
        <v/>
      </c>
      <c r="O400">
        <f>IF(ISBLANK('ENGAGEMENTS 2026'!B400),"",'ENGAGEMENTS 2026'!L400)</f>
        <v/>
      </c>
      <c r="P400">
        <f>IF(ISBLANK('ENGAGEMENTS 2026'!B400),"",'ENGAGEMENTS 2026'!J400)</f>
        <v/>
      </c>
      <c r="Q400">
        <f>IF($A400="","",IF(OR($E400="INFRUCTUEUX",$E400="ANNULE"),$A400&amp;"|"&amp;(COUNTIFS($A$2:$A400,$A400,$E$2:$E400,"INFRUCTUEUX")+COUNTIFS($A$2:$A400,$A400,$E$2:$E400,"ANNULE")),""))</f>
        <v/>
      </c>
    </row>
    <row r="401">
      <c r="A401">
        <f>IF(ISBLANK('ENGAGEMENTS 2026'!B401),"",IF('ENGAGEMENTS 2026'!B401="DTSI","DCT",'ENGAGEMENTS 2026'!B401))</f>
        <v/>
      </c>
      <c r="B401">
        <f>IF(ISBLANK('ENGAGEMENTS 2026'!B401),"",'ENGAGEMENTS 2026'!C401)</f>
        <v/>
      </c>
      <c r="C401">
        <f>IF(ISBLANK('ENGAGEMENTS 2026'!B401),"",'ENGAGEMENTS 2026'!D401)</f>
        <v/>
      </c>
      <c r="D401">
        <f>IF(ISBLANK('ENGAGEMENTS 2026'!B401),"",'ENGAGEMENTS 2026'!F401)</f>
        <v/>
      </c>
      <c r="E401">
        <f>IF(ISBLANK('ENGAGEMENTS 2026'!B401),"",'ENGAGEMENTS 2026'!H401)</f>
        <v/>
      </c>
      <c r="F401">
        <f>IF(ISBLANK('ENGAGEMENTS 2026'!B401),"",'ENGAGEMENTS 2026'!I401)</f>
        <v/>
      </c>
      <c r="G401">
        <f>IF(ISBLANK('ENGAGEMENTS 2026'!B401),"",'ENGAGEMENTS 2026'!L401)</f>
        <v/>
      </c>
      <c r="H401">
        <f>IF(ISBLANK('ENGAGEMENTS 2026'!B401),"",'ENGAGEMENTS 2026'!AE401)</f>
        <v/>
      </c>
      <c r="I401">
        <f>IF(ISBLANK('ENGAGEMENTS 2026'!B401),"",'ENGAGEMENTS 2026'!G401)</f>
        <v/>
      </c>
      <c r="J401" s="275">
        <f>IF(ISBLANK('ENGAGEMENTS 2026'!B401),"",IF(AND(OR($E401="INFRUCTUEUX",$E401="ANNULE"),$C401="AOO-M"),'ENGAGEMENTS 2026'!O401,IF($H401="EN COURS DE PREENGAGEMENT",'ENGAGEMENTS 2026'!N401,IF($H401="PREENGAGE",IF($E401="ATTRIBUE",'ENGAGEMENTS 2026'!AD401,'ENGAGEMENTS 2026'!N401),'ENGAGEMENTS 2026'!AD401))))</f>
        <v/>
      </c>
      <c r="K401" s="604">
        <f>IF(ISBLANK('ENGAGEMENTS 2026'!V401),"",'ENGAGEMENTS 2026'!V401)</f>
        <v/>
      </c>
      <c r="L401" s="276">
        <f>IF($K401="","",TODAY()-$K401)</f>
        <v/>
      </c>
      <c r="M401">
        <f>IF($A401="","",IF($H401="ENGAGE","Engagé",IF(AND($H401="NON ENGAGE",OR($I401="INFRUCTUEUX",$I401="ANNULE")),"Clôturé sans suite","En cours")))</f>
        <v/>
      </c>
      <c r="N401">
        <f>IF(ISBLANK('ENGAGEMENTS 2026'!B401),"",'ENGAGEMENTS 2026'!K401)</f>
        <v/>
      </c>
      <c r="O401">
        <f>IF(ISBLANK('ENGAGEMENTS 2026'!B401),"",'ENGAGEMENTS 2026'!L401)</f>
        <v/>
      </c>
      <c r="P401">
        <f>IF(ISBLANK('ENGAGEMENTS 2026'!B401),"",'ENGAGEMENTS 2026'!J401)</f>
        <v/>
      </c>
      <c r="Q401">
        <f>IF($A401="","",IF(OR($E401="INFRUCTUEUX",$E401="ANNULE"),$A401&amp;"|"&amp;(COUNTIFS($A$2:$A401,$A401,$E$2:$E401,"INFRUCTUEUX")+COUNTIFS($A$2:$A401,$A401,$E$2:$E401,"ANNULE")),""))</f>
        <v/>
      </c>
    </row>
    <row r="402">
      <c r="A402">
        <f>IF(ISBLANK('ENGAGEMENTS 2026'!B402),"",IF('ENGAGEMENTS 2026'!B402="DTSI","DCT",'ENGAGEMENTS 2026'!B402))</f>
        <v/>
      </c>
      <c r="B402">
        <f>IF(ISBLANK('ENGAGEMENTS 2026'!B402),"",'ENGAGEMENTS 2026'!C402)</f>
        <v/>
      </c>
      <c r="C402">
        <f>IF(ISBLANK('ENGAGEMENTS 2026'!B402),"",'ENGAGEMENTS 2026'!D402)</f>
        <v/>
      </c>
      <c r="D402">
        <f>IF(ISBLANK('ENGAGEMENTS 2026'!B402),"",'ENGAGEMENTS 2026'!F402)</f>
        <v/>
      </c>
      <c r="E402">
        <f>IF(ISBLANK('ENGAGEMENTS 2026'!B402),"",'ENGAGEMENTS 2026'!H402)</f>
        <v/>
      </c>
      <c r="F402">
        <f>IF(ISBLANK('ENGAGEMENTS 2026'!B402),"",'ENGAGEMENTS 2026'!I402)</f>
        <v/>
      </c>
      <c r="G402">
        <f>IF(ISBLANK('ENGAGEMENTS 2026'!B402),"",'ENGAGEMENTS 2026'!L402)</f>
        <v/>
      </c>
      <c r="H402">
        <f>IF(ISBLANK('ENGAGEMENTS 2026'!B402),"",'ENGAGEMENTS 2026'!AE402)</f>
        <v/>
      </c>
      <c r="I402">
        <f>IF(ISBLANK('ENGAGEMENTS 2026'!B402),"",'ENGAGEMENTS 2026'!G402)</f>
        <v/>
      </c>
      <c r="J402" s="275">
        <f>IF(ISBLANK('ENGAGEMENTS 2026'!B402),"",IF(AND(OR($E402="INFRUCTUEUX",$E402="ANNULE"),$C402="AOO-M"),'ENGAGEMENTS 2026'!O402,IF($H402="EN COURS DE PREENGAGEMENT",'ENGAGEMENTS 2026'!N402,IF($H402="PREENGAGE",IF($E402="ATTRIBUE",'ENGAGEMENTS 2026'!AD402,'ENGAGEMENTS 2026'!N402),'ENGAGEMENTS 2026'!AD402))))</f>
        <v/>
      </c>
      <c r="K402" s="604">
        <f>IF(ISBLANK('ENGAGEMENTS 2026'!V402),"",'ENGAGEMENTS 2026'!V402)</f>
        <v/>
      </c>
      <c r="L402" s="276">
        <f>IF($K402="","",TODAY()-$K402)</f>
        <v/>
      </c>
      <c r="M402">
        <f>IF($A402="","",IF($H402="ENGAGE","Engagé",IF(AND($H402="NON ENGAGE",OR($I402="INFRUCTUEUX",$I402="ANNULE")),"Clôturé sans suite","En cours")))</f>
        <v/>
      </c>
      <c r="N402">
        <f>IF(ISBLANK('ENGAGEMENTS 2026'!B402),"",'ENGAGEMENTS 2026'!K402)</f>
        <v/>
      </c>
      <c r="O402">
        <f>IF(ISBLANK('ENGAGEMENTS 2026'!B402),"",'ENGAGEMENTS 2026'!L402)</f>
        <v/>
      </c>
      <c r="P402">
        <f>IF(ISBLANK('ENGAGEMENTS 2026'!B402),"",'ENGAGEMENTS 2026'!J402)</f>
        <v/>
      </c>
      <c r="Q402">
        <f>IF($A402="","",IF(OR($E402="INFRUCTUEUX",$E402="ANNULE"),$A402&amp;"|"&amp;(COUNTIFS($A$2:$A402,$A402,$E$2:$E402,"INFRUCTUEUX")+COUNTIFS($A$2:$A402,$A402,$E$2:$E402,"ANNULE")),""))</f>
        <v/>
      </c>
    </row>
    <row r="403">
      <c r="A403">
        <f>IF(ISBLANK('ENGAGEMENTS 2026'!B403),"",IF('ENGAGEMENTS 2026'!B403="DTSI","DCT",'ENGAGEMENTS 2026'!B403))</f>
        <v/>
      </c>
      <c r="B403">
        <f>IF(ISBLANK('ENGAGEMENTS 2026'!B403),"",'ENGAGEMENTS 2026'!C403)</f>
        <v/>
      </c>
      <c r="C403">
        <f>IF(ISBLANK('ENGAGEMENTS 2026'!B403),"",'ENGAGEMENTS 2026'!D403)</f>
        <v/>
      </c>
      <c r="D403">
        <f>IF(ISBLANK('ENGAGEMENTS 2026'!B403),"",'ENGAGEMENTS 2026'!F403)</f>
        <v/>
      </c>
      <c r="E403">
        <f>IF(ISBLANK('ENGAGEMENTS 2026'!B403),"",'ENGAGEMENTS 2026'!H403)</f>
        <v/>
      </c>
      <c r="F403">
        <f>IF(ISBLANK('ENGAGEMENTS 2026'!B403),"",'ENGAGEMENTS 2026'!I403)</f>
        <v/>
      </c>
      <c r="G403">
        <f>IF(ISBLANK('ENGAGEMENTS 2026'!B403),"",'ENGAGEMENTS 2026'!L403)</f>
        <v/>
      </c>
      <c r="H403">
        <f>IF(ISBLANK('ENGAGEMENTS 2026'!B403),"",'ENGAGEMENTS 2026'!AE403)</f>
        <v/>
      </c>
      <c r="I403">
        <f>IF(ISBLANK('ENGAGEMENTS 2026'!B403),"",'ENGAGEMENTS 2026'!G403)</f>
        <v/>
      </c>
      <c r="J403" s="275">
        <f>IF(ISBLANK('ENGAGEMENTS 2026'!B403),"",IF(AND(OR($E403="INFRUCTUEUX",$E403="ANNULE"),$C403="AOO-M"),'ENGAGEMENTS 2026'!O403,IF($H403="EN COURS DE PREENGAGEMENT",'ENGAGEMENTS 2026'!N403,IF($H403="PREENGAGE",IF($E403="ATTRIBUE",'ENGAGEMENTS 2026'!AD403,'ENGAGEMENTS 2026'!N403),'ENGAGEMENTS 2026'!AD403))))</f>
        <v/>
      </c>
      <c r="K403" s="604">
        <f>IF(ISBLANK('ENGAGEMENTS 2026'!V403),"",'ENGAGEMENTS 2026'!V403)</f>
        <v/>
      </c>
      <c r="L403" s="276">
        <f>IF($K403="","",TODAY()-$K403)</f>
        <v/>
      </c>
      <c r="M403">
        <f>IF($A403="","",IF($H403="ENGAGE","Engagé",IF(AND($H403="NON ENGAGE",OR($I403="INFRUCTUEUX",$I403="ANNULE")),"Clôturé sans suite","En cours")))</f>
        <v/>
      </c>
      <c r="N403">
        <f>IF(ISBLANK('ENGAGEMENTS 2026'!B403),"",'ENGAGEMENTS 2026'!K403)</f>
        <v/>
      </c>
      <c r="O403">
        <f>IF(ISBLANK('ENGAGEMENTS 2026'!B403),"",'ENGAGEMENTS 2026'!L403)</f>
        <v/>
      </c>
      <c r="P403">
        <f>IF(ISBLANK('ENGAGEMENTS 2026'!B403),"",'ENGAGEMENTS 2026'!J403)</f>
        <v/>
      </c>
      <c r="Q403">
        <f>IF($A403="","",IF(OR($E403="INFRUCTUEUX",$E403="ANNULE"),$A403&amp;"|"&amp;(COUNTIFS($A$2:$A403,$A403,$E$2:$E403,"INFRUCTUEUX")+COUNTIFS($A$2:$A403,$A403,$E$2:$E403,"ANNULE")),""))</f>
        <v/>
      </c>
    </row>
    <row r="404">
      <c r="A404">
        <f>IF(ISBLANK('ENGAGEMENTS 2026'!B404),"",IF('ENGAGEMENTS 2026'!B404="DTSI","DCT",'ENGAGEMENTS 2026'!B404))</f>
        <v/>
      </c>
      <c r="B404">
        <f>IF(ISBLANK('ENGAGEMENTS 2026'!B404),"",'ENGAGEMENTS 2026'!C404)</f>
        <v/>
      </c>
      <c r="C404">
        <f>IF(ISBLANK('ENGAGEMENTS 2026'!B404),"",'ENGAGEMENTS 2026'!D404)</f>
        <v/>
      </c>
      <c r="D404">
        <f>IF(ISBLANK('ENGAGEMENTS 2026'!B404),"",'ENGAGEMENTS 2026'!F404)</f>
        <v/>
      </c>
      <c r="E404">
        <f>IF(ISBLANK('ENGAGEMENTS 2026'!B404),"",'ENGAGEMENTS 2026'!H404)</f>
        <v/>
      </c>
      <c r="F404">
        <f>IF(ISBLANK('ENGAGEMENTS 2026'!B404),"",'ENGAGEMENTS 2026'!I404)</f>
        <v/>
      </c>
      <c r="G404">
        <f>IF(ISBLANK('ENGAGEMENTS 2026'!B404),"",'ENGAGEMENTS 2026'!L404)</f>
        <v/>
      </c>
      <c r="H404">
        <f>IF(ISBLANK('ENGAGEMENTS 2026'!B404),"",'ENGAGEMENTS 2026'!AE404)</f>
        <v/>
      </c>
      <c r="I404">
        <f>IF(ISBLANK('ENGAGEMENTS 2026'!B404),"",'ENGAGEMENTS 2026'!G404)</f>
        <v/>
      </c>
      <c r="J404" s="275">
        <f>IF(ISBLANK('ENGAGEMENTS 2026'!B404),"",IF(AND(OR($E404="INFRUCTUEUX",$E404="ANNULE"),$C404="AOO-M"),'ENGAGEMENTS 2026'!O404,IF($H404="EN COURS DE PREENGAGEMENT",'ENGAGEMENTS 2026'!N404,IF($H404="PREENGAGE",IF($E404="ATTRIBUE",'ENGAGEMENTS 2026'!AD404,'ENGAGEMENTS 2026'!N404),'ENGAGEMENTS 2026'!AD404))))</f>
        <v/>
      </c>
      <c r="K404" s="604">
        <f>IF(ISBLANK('ENGAGEMENTS 2026'!V404),"",'ENGAGEMENTS 2026'!V404)</f>
        <v/>
      </c>
      <c r="L404" s="276">
        <f>IF($K404="","",TODAY()-$K404)</f>
        <v/>
      </c>
      <c r="M404">
        <f>IF($A404="","",IF($H404="ENGAGE","Engagé",IF(AND($H404="NON ENGAGE",OR($I404="INFRUCTUEUX",$I404="ANNULE")),"Clôturé sans suite","En cours")))</f>
        <v/>
      </c>
      <c r="N404">
        <f>IF(ISBLANK('ENGAGEMENTS 2026'!B404),"",'ENGAGEMENTS 2026'!K404)</f>
        <v/>
      </c>
      <c r="O404">
        <f>IF(ISBLANK('ENGAGEMENTS 2026'!B404),"",'ENGAGEMENTS 2026'!L404)</f>
        <v/>
      </c>
      <c r="P404">
        <f>IF(ISBLANK('ENGAGEMENTS 2026'!B404),"",'ENGAGEMENTS 2026'!J404)</f>
        <v/>
      </c>
      <c r="Q404">
        <f>IF($A404="","",IF(OR($E404="INFRUCTUEUX",$E404="ANNULE"),$A404&amp;"|"&amp;(COUNTIFS($A$2:$A404,$A404,$E$2:$E404,"INFRUCTUEUX")+COUNTIFS($A$2:$A404,$A404,$E$2:$E404,"ANNULE")),""))</f>
        <v/>
      </c>
    </row>
    <row r="405">
      <c r="A405">
        <f>IF(ISBLANK('ENGAGEMENTS 2026'!B405),"",IF('ENGAGEMENTS 2026'!B405="DTSI","DCT",'ENGAGEMENTS 2026'!B405))</f>
        <v/>
      </c>
      <c r="B405">
        <f>IF(ISBLANK('ENGAGEMENTS 2026'!B405),"",'ENGAGEMENTS 2026'!C405)</f>
        <v/>
      </c>
      <c r="C405">
        <f>IF(ISBLANK('ENGAGEMENTS 2026'!B405),"",'ENGAGEMENTS 2026'!D405)</f>
        <v/>
      </c>
      <c r="D405">
        <f>IF(ISBLANK('ENGAGEMENTS 2026'!B405),"",'ENGAGEMENTS 2026'!F405)</f>
        <v/>
      </c>
      <c r="E405">
        <f>IF(ISBLANK('ENGAGEMENTS 2026'!B405),"",'ENGAGEMENTS 2026'!H405)</f>
        <v/>
      </c>
      <c r="F405">
        <f>IF(ISBLANK('ENGAGEMENTS 2026'!B405),"",'ENGAGEMENTS 2026'!I405)</f>
        <v/>
      </c>
      <c r="G405">
        <f>IF(ISBLANK('ENGAGEMENTS 2026'!B405),"",'ENGAGEMENTS 2026'!L405)</f>
        <v/>
      </c>
      <c r="H405">
        <f>IF(ISBLANK('ENGAGEMENTS 2026'!B405),"",'ENGAGEMENTS 2026'!AE405)</f>
        <v/>
      </c>
      <c r="I405">
        <f>IF(ISBLANK('ENGAGEMENTS 2026'!B405),"",'ENGAGEMENTS 2026'!G405)</f>
        <v/>
      </c>
      <c r="J405" s="275">
        <f>IF(ISBLANK('ENGAGEMENTS 2026'!B405),"",IF(AND(OR($E405="INFRUCTUEUX",$E405="ANNULE"),$C405="AOO-M"),'ENGAGEMENTS 2026'!O405,IF($H405="EN COURS DE PREENGAGEMENT",'ENGAGEMENTS 2026'!N405,IF($H405="PREENGAGE",IF($E405="ATTRIBUE",'ENGAGEMENTS 2026'!AD405,'ENGAGEMENTS 2026'!N405),'ENGAGEMENTS 2026'!AD405))))</f>
        <v/>
      </c>
      <c r="K405" s="604">
        <f>IF(ISBLANK('ENGAGEMENTS 2026'!V405),"",'ENGAGEMENTS 2026'!V405)</f>
        <v/>
      </c>
      <c r="L405" s="276">
        <f>IF($K405="","",TODAY()-$K405)</f>
        <v/>
      </c>
      <c r="M405">
        <f>IF($A405="","",IF($H405="ENGAGE","Engagé",IF(AND($H405="NON ENGAGE",OR($I405="INFRUCTUEUX",$I405="ANNULE")),"Clôturé sans suite","En cours")))</f>
        <v/>
      </c>
      <c r="N405">
        <f>IF(ISBLANK('ENGAGEMENTS 2026'!B405),"",'ENGAGEMENTS 2026'!K405)</f>
        <v/>
      </c>
      <c r="O405">
        <f>IF(ISBLANK('ENGAGEMENTS 2026'!B405),"",'ENGAGEMENTS 2026'!L405)</f>
        <v/>
      </c>
      <c r="P405">
        <f>IF(ISBLANK('ENGAGEMENTS 2026'!B405),"",'ENGAGEMENTS 2026'!J405)</f>
        <v/>
      </c>
      <c r="Q405">
        <f>IF($A405="","",IF(OR($E405="INFRUCTUEUX",$E405="ANNULE"),$A405&amp;"|"&amp;(COUNTIFS($A$2:$A405,$A405,$E$2:$E405,"INFRUCTUEUX")+COUNTIFS($A$2:$A405,$A405,$E$2:$E405,"ANNULE")),""))</f>
        <v/>
      </c>
    </row>
    <row r="406">
      <c r="A406">
        <f>IF(ISBLANK('ENGAGEMENTS 2026'!B406),"",IF('ENGAGEMENTS 2026'!B406="DTSI","DCT",'ENGAGEMENTS 2026'!B406))</f>
        <v/>
      </c>
      <c r="B406">
        <f>IF(ISBLANK('ENGAGEMENTS 2026'!B406),"",'ENGAGEMENTS 2026'!C406)</f>
        <v/>
      </c>
      <c r="C406">
        <f>IF(ISBLANK('ENGAGEMENTS 2026'!B406),"",'ENGAGEMENTS 2026'!D406)</f>
        <v/>
      </c>
      <c r="D406">
        <f>IF(ISBLANK('ENGAGEMENTS 2026'!B406),"",'ENGAGEMENTS 2026'!F406)</f>
        <v/>
      </c>
      <c r="E406">
        <f>IF(ISBLANK('ENGAGEMENTS 2026'!B406),"",'ENGAGEMENTS 2026'!H406)</f>
        <v/>
      </c>
      <c r="F406">
        <f>IF(ISBLANK('ENGAGEMENTS 2026'!B406),"",'ENGAGEMENTS 2026'!I406)</f>
        <v/>
      </c>
      <c r="G406">
        <f>IF(ISBLANK('ENGAGEMENTS 2026'!B406),"",'ENGAGEMENTS 2026'!L406)</f>
        <v/>
      </c>
      <c r="H406">
        <f>IF(ISBLANK('ENGAGEMENTS 2026'!B406),"",'ENGAGEMENTS 2026'!AE406)</f>
        <v/>
      </c>
      <c r="I406">
        <f>IF(ISBLANK('ENGAGEMENTS 2026'!B406),"",'ENGAGEMENTS 2026'!G406)</f>
        <v/>
      </c>
      <c r="J406" s="275">
        <f>IF(ISBLANK('ENGAGEMENTS 2026'!B406),"",IF(AND(OR($E406="INFRUCTUEUX",$E406="ANNULE"),$C406="AOO-M"),'ENGAGEMENTS 2026'!O406,IF($H406="EN COURS DE PREENGAGEMENT",'ENGAGEMENTS 2026'!N406,IF($H406="PREENGAGE",IF($E406="ATTRIBUE",'ENGAGEMENTS 2026'!AD406,'ENGAGEMENTS 2026'!N406),'ENGAGEMENTS 2026'!AD406))))</f>
        <v/>
      </c>
      <c r="K406" s="604">
        <f>IF(ISBLANK('ENGAGEMENTS 2026'!V406),"",'ENGAGEMENTS 2026'!V406)</f>
        <v/>
      </c>
      <c r="L406" s="276">
        <f>IF($K406="","",TODAY()-$K406)</f>
        <v/>
      </c>
      <c r="M406">
        <f>IF($A406="","",IF($H406="ENGAGE","Engagé",IF(AND($H406="NON ENGAGE",OR($I406="INFRUCTUEUX",$I406="ANNULE")),"Clôturé sans suite","En cours")))</f>
        <v/>
      </c>
      <c r="N406">
        <f>IF(ISBLANK('ENGAGEMENTS 2026'!B406),"",'ENGAGEMENTS 2026'!K406)</f>
        <v/>
      </c>
      <c r="O406">
        <f>IF(ISBLANK('ENGAGEMENTS 2026'!B406),"",'ENGAGEMENTS 2026'!L406)</f>
        <v/>
      </c>
      <c r="P406">
        <f>IF(ISBLANK('ENGAGEMENTS 2026'!B406),"",'ENGAGEMENTS 2026'!J406)</f>
        <v/>
      </c>
      <c r="Q406">
        <f>IF($A406="","",IF(OR($E406="INFRUCTUEUX",$E406="ANNULE"),$A406&amp;"|"&amp;(COUNTIFS($A$2:$A406,$A406,$E$2:$E406,"INFRUCTUEUX")+COUNTIFS($A$2:$A406,$A406,$E$2:$E406,"ANNULE")),""))</f>
        <v/>
      </c>
    </row>
    <row r="407">
      <c r="A407">
        <f>IF(ISBLANK('ENGAGEMENTS 2026'!B407),"",IF('ENGAGEMENTS 2026'!B407="DTSI","DCT",'ENGAGEMENTS 2026'!B407))</f>
        <v/>
      </c>
      <c r="B407">
        <f>IF(ISBLANK('ENGAGEMENTS 2026'!B407),"",'ENGAGEMENTS 2026'!C407)</f>
        <v/>
      </c>
      <c r="C407">
        <f>IF(ISBLANK('ENGAGEMENTS 2026'!B407),"",'ENGAGEMENTS 2026'!D407)</f>
        <v/>
      </c>
      <c r="D407">
        <f>IF(ISBLANK('ENGAGEMENTS 2026'!B407),"",'ENGAGEMENTS 2026'!F407)</f>
        <v/>
      </c>
      <c r="E407">
        <f>IF(ISBLANK('ENGAGEMENTS 2026'!B407),"",'ENGAGEMENTS 2026'!H407)</f>
        <v/>
      </c>
      <c r="F407">
        <f>IF(ISBLANK('ENGAGEMENTS 2026'!B407),"",'ENGAGEMENTS 2026'!I407)</f>
        <v/>
      </c>
      <c r="G407">
        <f>IF(ISBLANK('ENGAGEMENTS 2026'!B407),"",'ENGAGEMENTS 2026'!L407)</f>
        <v/>
      </c>
      <c r="H407">
        <f>IF(ISBLANK('ENGAGEMENTS 2026'!B407),"",'ENGAGEMENTS 2026'!AE407)</f>
        <v/>
      </c>
      <c r="I407">
        <f>IF(ISBLANK('ENGAGEMENTS 2026'!B407),"",'ENGAGEMENTS 2026'!G407)</f>
        <v/>
      </c>
      <c r="J407" s="275">
        <f>IF(ISBLANK('ENGAGEMENTS 2026'!B407),"",IF(AND(OR($E407="INFRUCTUEUX",$E407="ANNULE"),$C407="AOO-M"),'ENGAGEMENTS 2026'!O407,IF($H407="EN COURS DE PREENGAGEMENT",'ENGAGEMENTS 2026'!N407,IF($H407="PREENGAGE",IF($E407="ATTRIBUE",'ENGAGEMENTS 2026'!AD407,'ENGAGEMENTS 2026'!N407),'ENGAGEMENTS 2026'!AD407))))</f>
        <v/>
      </c>
      <c r="K407" s="604">
        <f>IF(ISBLANK('ENGAGEMENTS 2026'!V407),"",'ENGAGEMENTS 2026'!V407)</f>
        <v/>
      </c>
      <c r="L407" s="276">
        <f>IF($K407="","",TODAY()-$K407)</f>
        <v/>
      </c>
      <c r="M407">
        <f>IF($A407="","",IF($H407="ENGAGE","Engagé",IF(AND($H407="NON ENGAGE",OR($I407="INFRUCTUEUX",$I407="ANNULE")),"Clôturé sans suite","En cours")))</f>
        <v/>
      </c>
      <c r="N407">
        <f>IF(ISBLANK('ENGAGEMENTS 2026'!B407),"",'ENGAGEMENTS 2026'!K407)</f>
        <v/>
      </c>
      <c r="O407">
        <f>IF(ISBLANK('ENGAGEMENTS 2026'!B407),"",'ENGAGEMENTS 2026'!L407)</f>
        <v/>
      </c>
      <c r="P407">
        <f>IF(ISBLANK('ENGAGEMENTS 2026'!B407),"",'ENGAGEMENTS 2026'!J407)</f>
        <v/>
      </c>
      <c r="Q407">
        <f>IF($A407="","",IF(OR($E407="INFRUCTUEUX",$E407="ANNULE"),$A407&amp;"|"&amp;(COUNTIFS($A$2:$A407,$A407,$E$2:$E407,"INFRUCTUEUX")+COUNTIFS($A$2:$A407,$A407,$E$2:$E407,"ANNULE")),""))</f>
        <v/>
      </c>
    </row>
    <row r="408">
      <c r="A408">
        <f>IF(ISBLANK('ENGAGEMENTS 2026'!B408),"",IF('ENGAGEMENTS 2026'!B408="DTSI","DCT",'ENGAGEMENTS 2026'!B408))</f>
        <v/>
      </c>
      <c r="B408">
        <f>IF(ISBLANK('ENGAGEMENTS 2026'!B408),"",'ENGAGEMENTS 2026'!C408)</f>
        <v/>
      </c>
      <c r="C408">
        <f>IF(ISBLANK('ENGAGEMENTS 2026'!B408),"",'ENGAGEMENTS 2026'!D408)</f>
        <v/>
      </c>
      <c r="D408">
        <f>IF(ISBLANK('ENGAGEMENTS 2026'!B408),"",'ENGAGEMENTS 2026'!F408)</f>
        <v/>
      </c>
      <c r="E408">
        <f>IF(ISBLANK('ENGAGEMENTS 2026'!B408),"",'ENGAGEMENTS 2026'!H408)</f>
        <v/>
      </c>
      <c r="F408">
        <f>IF(ISBLANK('ENGAGEMENTS 2026'!B408),"",'ENGAGEMENTS 2026'!I408)</f>
        <v/>
      </c>
      <c r="G408">
        <f>IF(ISBLANK('ENGAGEMENTS 2026'!B408),"",'ENGAGEMENTS 2026'!L408)</f>
        <v/>
      </c>
      <c r="H408">
        <f>IF(ISBLANK('ENGAGEMENTS 2026'!B408),"",'ENGAGEMENTS 2026'!AE408)</f>
        <v/>
      </c>
      <c r="I408">
        <f>IF(ISBLANK('ENGAGEMENTS 2026'!B408),"",'ENGAGEMENTS 2026'!G408)</f>
        <v/>
      </c>
      <c r="J408" s="275">
        <f>IF(ISBLANK('ENGAGEMENTS 2026'!B408),"",IF(AND(OR($E408="INFRUCTUEUX",$E408="ANNULE"),$C408="AOO-M"),'ENGAGEMENTS 2026'!O408,IF($H408="EN COURS DE PREENGAGEMENT",'ENGAGEMENTS 2026'!N408,IF($H408="PREENGAGE",IF($E408="ATTRIBUE",'ENGAGEMENTS 2026'!AD408,'ENGAGEMENTS 2026'!N408),'ENGAGEMENTS 2026'!AD408))))</f>
        <v/>
      </c>
      <c r="K408" s="604">
        <f>IF(ISBLANK('ENGAGEMENTS 2026'!V408),"",'ENGAGEMENTS 2026'!V408)</f>
        <v/>
      </c>
      <c r="L408" s="276">
        <f>IF($K408="","",TODAY()-$K408)</f>
        <v/>
      </c>
      <c r="M408">
        <f>IF($A408="","",IF($H408="ENGAGE","Engagé",IF(AND($H408="NON ENGAGE",OR($I408="INFRUCTUEUX",$I408="ANNULE")),"Clôturé sans suite","En cours")))</f>
        <v/>
      </c>
      <c r="N408">
        <f>IF(ISBLANK('ENGAGEMENTS 2026'!B408),"",'ENGAGEMENTS 2026'!K408)</f>
        <v/>
      </c>
      <c r="O408">
        <f>IF(ISBLANK('ENGAGEMENTS 2026'!B408),"",'ENGAGEMENTS 2026'!L408)</f>
        <v/>
      </c>
      <c r="P408">
        <f>IF(ISBLANK('ENGAGEMENTS 2026'!B408),"",'ENGAGEMENTS 2026'!J408)</f>
        <v/>
      </c>
      <c r="Q408">
        <f>IF($A408="","",IF(OR($E408="INFRUCTUEUX",$E408="ANNULE"),$A408&amp;"|"&amp;(COUNTIFS($A$2:$A408,$A408,$E$2:$E408,"INFRUCTUEUX")+COUNTIFS($A$2:$A408,$A408,$E$2:$E408,"ANNULE")),""))</f>
        <v/>
      </c>
    </row>
    <row r="409">
      <c r="A409">
        <f>IF(ISBLANK('ENGAGEMENTS 2026'!B409),"",IF('ENGAGEMENTS 2026'!B409="DTSI","DCT",'ENGAGEMENTS 2026'!B409))</f>
        <v/>
      </c>
      <c r="B409">
        <f>IF(ISBLANK('ENGAGEMENTS 2026'!B409),"",'ENGAGEMENTS 2026'!C409)</f>
        <v/>
      </c>
      <c r="C409">
        <f>IF(ISBLANK('ENGAGEMENTS 2026'!B409),"",'ENGAGEMENTS 2026'!D409)</f>
        <v/>
      </c>
      <c r="D409">
        <f>IF(ISBLANK('ENGAGEMENTS 2026'!B409),"",'ENGAGEMENTS 2026'!F409)</f>
        <v/>
      </c>
      <c r="E409">
        <f>IF(ISBLANK('ENGAGEMENTS 2026'!B409),"",'ENGAGEMENTS 2026'!H409)</f>
        <v/>
      </c>
      <c r="F409">
        <f>IF(ISBLANK('ENGAGEMENTS 2026'!B409),"",'ENGAGEMENTS 2026'!I409)</f>
        <v/>
      </c>
      <c r="G409">
        <f>IF(ISBLANK('ENGAGEMENTS 2026'!B409),"",'ENGAGEMENTS 2026'!L409)</f>
        <v/>
      </c>
      <c r="H409">
        <f>IF(ISBLANK('ENGAGEMENTS 2026'!B409),"",'ENGAGEMENTS 2026'!AE409)</f>
        <v/>
      </c>
      <c r="I409">
        <f>IF(ISBLANK('ENGAGEMENTS 2026'!B409),"",'ENGAGEMENTS 2026'!G409)</f>
        <v/>
      </c>
      <c r="J409" s="275">
        <f>IF(ISBLANK('ENGAGEMENTS 2026'!B409),"",IF(AND(OR($E409="INFRUCTUEUX",$E409="ANNULE"),$C409="AOO-M"),'ENGAGEMENTS 2026'!O409,IF($H409="EN COURS DE PREENGAGEMENT",'ENGAGEMENTS 2026'!N409,IF($H409="PREENGAGE",IF($E409="ATTRIBUE",'ENGAGEMENTS 2026'!AD409,'ENGAGEMENTS 2026'!N409),'ENGAGEMENTS 2026'!AD409))))</f>
        <v/>
      </c>
      <c r="K409" s="604">
        <f>IF(ISBLANK('ENGAGEMENTS 2026'!V409),"",'ENGAGEMENTS 2026'!V409)</f>
        <v/>
      </c>
      <c r="L409" s="276">
        <f>IF($K409="","",TODAY()-$K409)</f>
        <v/>
      </c>
      <c r="M409">
        <f>IF($A409="","",IF($H409="ENGAGE","Engagé",IF(AND($H409="NON ENGAGE",OR($I409="INFRUCTUEUX",$I409="ANNULE")),"Clôturé sans suite","En cours")))</f>
        <v/>
      </c>
      <c r="N409">
        <f>IF(ISBLANK('ENGAGEMENTS 2026'!B409),"",'ENGAGEMENTS 2026'!K409)</f>
        <v/>
      </c>
      <c r="O409">
        <f>IF(ISBLANK('ENGAGEMENTS 2026'!B409),"",'ENGAGEMENTS 2026'!L409)</f>
        <v/>
      </c>
      <c r="P409">
        <f>IF(ISBLANK('ENGAGEMENTS 2026'!B409),"",'ENGAGEMENTS 2026'!J409)</f>
        <v/>
      </c>
      <c r="Q409">
        <f>IF($A409="","",IF(OR($E409="INFRUCTUEUX",$E409="ANNULE"),$A409&amp;"|"&amp;(COUNTIFS($A$2:$A409,$A409,$E$2:$E409,"INFRUCTUEUX")+COUNTIFS($A$2:$A409,$A409,$E$2:$E409,"ANNULE")),""))</f>
        <v/>
      </c>
    </row>
    <row r="410">
      <c r="A410">
        <f>IF(ISBLANK('ENGAGEMENTS 2026'!B410),"",IF('ENGAGEMENTS 2026'!B410="DTSI","DCT",'ENGAGEMENTS 2026'!B410))</f>
        <v/>
      </c>
      <c r="B410">
        <f>IF(ISBLANK('ENGAGEMENTS 2026'!B410),"",'ENGAGEMENTS 2026'!C410)</f>
        <v/>
      </c>
      <c r="C410">
        <f>IF(ISBLANK('ENGAGEMENTS 2026'!B410),"",'ENGAGEMENTS 2026'!D410)</f>
        <v/>
      </c>
      <c r="D410">
        <f>IF(ISBLANK('ENGAGEMENTS 2026'!B410),"",'ENGAGEMENTS 2026'!F410)</f>
        <v/>
      </c>
      <c r="E410">
        <f>IF(ISBLANK('ENGAGEMENTS 2026'!B410),"",'ENGAGEMENTS 2026'!H410)</f>
        <v/>
      </c>
      <c r="F410">
        <f>IF(ISBLANK('ENGAGEMENTS 2026'!B410),"",'ENGAGEMENTS 2026'!I410)</f>
        <v/>
      </c>
      <c r="G410">
        <f>IF(ISBLANK('ENGAGEMENTS 2026'!B410),"",'ENGAGEMENTS 2026'!L410)</f>
        <v/>
      </c>
      <c r="H410">
        <f>IF(ISBLANK('ENGAGEMENTS 2026'!B410),"",'ENGAGEMENTS 2026'!AE410)</f>
        <v/>
      </c>
      <c r="I410">
        <f>IF(ISBLANK('ENGAGEMENTS 2026'!B410),"",'ENGAGEMENTS 2026'!G410)</f>
        <v/>
      </c>
      <c r="J410" s="275">
        <f>IF(ISBLANK('ENGAGEMENTS 2026'!B410),"",IF(AND(OR($E410="INFRUCTUEUX",$E410="ANNULE"),$C410="AOO-M"),'ENGAGEMENTS 2026'!O410,IF($H410="EN COURS DE PREENGAGEMENT",'ENGAGEMENTS 2026'!N410,IF($H410="PREENGAGE",IF($E410="ATTRIBUE",'ENGAGEMENTS 2026'!AD410,'ENGAGEMENTS 2026'!N410),'ENGAGEMENTS 2026'!AD410))))</f>
        <v/>
      </c>
      <c r="K410" s="604">
        <f>IF(ISBLANK('ENGAGEMENTS 2026'!V410),"",'ENGAGEMENTS 2026'!V410)</f>
        <v/>
      </c>
      <c r="L410" s="276">
        <f>IF($K410="","",TODAY()-$K410)</f>
        <v/>
      </c>
      <c r="M410">
        <f>IF($A410="","",IF($H410="ENGAGE","Engagé",IF(AND($H410="NON ENGAGE",OR($I410="INFRUCTUEUX",$I410="ANNULE")),"Clôturé sans suite","En cours")))</f>
        <v/>
      </c>
      <c r="N410">
        <f>IF(ISBLANK('ENGAGEMENTS 2026'!B410),"",'ENGAGEMENTS 2026'!K410)</f>
        <v/>
      </c>
      <c r="O410">
        <f>IF(ISBLANK('ENGAGEMENTS 2026'!B410),"",'ENGAGEMENTS 2026'!L410)</f>
        <v/>
      </c>
      <c r="P410">
        <f>IF(ISBLANK('ENGAGEMENTS 2026'!B410),"",'ENGAGEMENTS 2026'!J410)</f>
        <v/>
      </c>
      <c r="Q410">
        <f>IF($A410="","",IF(OR($E410="INFRUCTUEUX",$E410="ANNULE"),$A410&amp;"|"&amp;(COUNTIFS($A$2:$A410,$A410,$E$2:$E410,"INFRUCTUEUX")+COUNTIFS($A$2:$A410,$A410,$E$2:$E410,"ANNULE")),""))</f>
        <v/>
      </c>
    </row>
    <row r="411">
      <c r="A411">
        <f>IF(ISBLANK('ENGAGEMENTS 2026'!B411),"",IF('ENGAGEMENTS 2026'!B411="DTSI","DCT",'ENGAGEMENTS 2026'!B411))</f>
        <v/>
      </c>
      <c r="B411">
        <f>IF(ISBLANK('ENGAGEMENTS 2026'!B411),"",'ENGAGEMENTS 2026'!C411)</f>
        <v/>
      </c>
      <c r="C411">
        <f>IF(ISBLANK('ENGAGEMENTS 2026'!B411),"",'ENGAGEMENTS 2026'!D411)</f>
        <v/>
      </c>
      <c r="D411">
        <f>IF(ISBLANK('ENGAGEMENTS 2026'!B411),"",'ENGAGEMENTS 2026'!F411)</f>
        <v/>
      </c>
      <c r="E411">
        <f>IF(ISBLANK('ENGAGEMENTS 2026'!B411),"",'ENGAGEMENTS 2026'!H411)</f>
        <v/>
      </c>
      <c r="F411">
        <f>IF(ISBLANK('ENGAGEMENTS 2026'!B411),"",'ENGAGEMENTS 2026'!I411)</f>
        <v/>
      </c>
      <c r="G411">
        <f>IF(ISBLANK('ENGAGEMENTS 2026'!B411),"",'ENGAGEMENTS 2026'!L411)</f>
        <v/>
      </c>
      <c r="H411">
        <f>IF(ISBLANK('ENGAGEMENTS 2026'!B411),"",'ENGAGEMENTS 2026'!AE411)</f>
        <v/>
      </c>
      <c r="I411">
        <f>IF(ISBLANK('ENGAGEMENTS 2026'!B411),"",'ENGAGEMENTS 2026'!G411)</f>
        <v/>
      </c>
      <c r="J411" s="275">
        <f>IF(ISBLANK('ENGAGEMENTS 2026'!B411),"",IF(AND(OR($E411="INFRUCTUEUX",$E411="ANNULE"),$C411="AOO-M"),'ENGAGEMENTS 2026'!O411,IF($H411="EN COURS DE PREENGAGEMENT",'ENGAGEMENTS 2026'!N411,IF($H411="PREENGAGE",IF($E411="ATTRIBUE",'ENGAGEMENTS 2026'!AD411,'ENGAGEMENTS 2026'!N411),'ENGAGEMENTS 2026'!AD411))))</f>
        <v/>
      </c>
      <c r="K411" s="604">
        <f>IF(ISBLANK('ENGAGEMENTS 2026'!V411),"",'ENGAGEMENTS 2026'!V411)</f>
        <v/>
      </c>
      <c r="L411" s="276">
        <f>IF($K411="","",TODAY()-$K411)</f>
        <v/>
      </c>
      <c r="M411">
        <f>IF($A411="","",IF($H411="ENGAGE","Engagé",IF(AND($H411="NON ENGAGE",OR($I411="INFRUCTUEUX",$I411="ANNULE")),"Clôturé sans suite","En cours")))</f>
        <v/>
      </c>
      <c r="N411">
        <f>IF(ISBLANK('ENGAGEMENTS 2026'!B411),"",'ENGAGEMENTS 2026'!K411)</f>
        <v/>
      </c>
      <c r="O411">
        <f>IF(ISBLANK('ENGAGEMENTS 2026'!B411),"",'ENGAGEMENTS 2026'!L411)</f>
        <v/>
      </c>
      <c r="P411">
        <f>IF(ISBLANK('ENGAGEMENTS 2026'!B411),"",'ENGAGEMENTS 2026'!J411)</f>
        <v/>
      </c>
      <c r="Q411">
        <f>IF($A411="","",IF(OR($E411="INFRUCTUEUX",$E411="ANNULE"),$A411&amp;"|"&amp;(COUNTIFS($A$2:$A411,$A411,$E$2:$E411,"INFRUCTUEUX")+COUNTIFS($A$2:$A411,$A411,$E$2:$E411,"ANNULE")),""))</f>
        <v/>
      </c>
    </row>
    <row r="412">
      <c r="A412">
        <f>IF(ISBLANK('ENGAGEMENTS 2026'!B412),"",IF('ENGAGEMENTS 2026'!B412="DTSI","DCT",'ENGAGEMENTS 2026'!B412))</f>
        <v/>
      </c>
      <c r="B412">
        <f>IF(ISBLANK('ENGAGEMENTS 2026'!B412),"",'ENGAGEMENTS 2026'!C412)</f>
        <v/>
      </c>
      <c r="C412">
        <f>IF(ISBLANK('ENGAGEMENTS 2026'!B412),"",'ENGAGEMENTS 2026'!D412)</f>
        <v/>
      </c>
      <c r="D412">
        <f>IF(ISBLANK('ENGAGEMENTS 2026'!B412),"",'ENGAGEMENTS 2026'!F412)</f>
        <v/>
      </c>
      <c r="E412">
        <f>IF(ISBLANK('ENGAGEMENTS 2026'!B412),"",'ENGAGEMENTS 2026'!H412)</f>
        <v/>
      </c>
      <c r="F412">
        <f>IF(ISBLANK('ENGAGEMENTS 2026'!B412),"",'ENGAGEMENTS 2026'!I412)</f>
        <v/>
      </c>
      <c r="G412">
        <f>IF(ISBLANK('ENGAGEMENTS 2026'!B412),"",'ENGAGEMENTS 2026'!L412)</f>
        <v/>
      </c>
      <c r="H412">
        <f>IF(ISBLANK('ENGAGEMENTS 2026'!B412),"",'ENGAGEMENTS 2026'!AE412)</f>
        <v/>
      </c>
      <c r="I412">
        <f>IF(ISBLANK('ENGAGEMENTS 2026'!B412),"",'ENGAGEMENTS 2026'!G412)</f>
        <v/>
      </c>
      <c r="J412" s="275">
        <f>IF(ISBLANK('ENGAGEMENTS 2026'!B412),"",IF(AND(OR($E412="INFRUCTUEUX",$E412="ANNULE"),$C412="AOO-M"),'ENGAGEMENTS 2026'!O412,IF($H412="EN COURS DE PREENGAGEMENT",'ENGAGEMENTS 2026'!N412,IF($H412="PREENGAGE",IF($E412="ATTRIBUE",'ENGAGEMENTS 2026'!AD412,'ENGAGEMENTS 2026'!N412),'ENGAGEMENTS 2026'!AD412))))</f>
        <v/>
      </c>
      <c r="K412" s="604">
        <f>IF(ISBLANK('ENGAGEMENTS 2026'!V412),"",'ENGAGEMENTS 2026'!V412)</f>
        <v/>
      </c>
      <c r="L412" s="276">
        <f>IF($K412="","",TODAY()-$K412)</f>
        <v/>
      </c>
      <c r="M412">
        <f>IF($A412="","",IF($H412="ENGAGE","Engagé",IF(AND($H412="NON ENGAGE",OR($I412="INFRUCTUEUX",$I412="ANNULE")),"Clôturé sans suite","En cours")))</f>
        <v/>
      </c>
      <c r="N412">
        <f>IF(ISBLANK('ENGAGEMENTS 2026'!B412),"",'ENGAGEMENTS 2026'!K412)</f>
        <v/>
      </c>
      <c r="O412">
        <f>IF(ISBLANK('ENGAGEMENTS 2026'!B412),"",'ENGAGEMENTS 2026'!L412)</f>
        <v/>
      </c>
      <c r="P412">
        <f>IF(ISBLANK('ENGAGEMENTS 2026'!B412),"",'ENGAGEMENTS 2026'!J412)</f>
        <v/>
      </c>
      <c r="Q412">
        <f>IF($A412="","",IF(OR($E412="INFRUCTUEUX",$E412="ANNULE"),$A412&amp;"|"&amp;(COUNTIFS($A$2:$A412,$A412,$E$2:$E412,"INFRUCTUEUX")+COUNTIFS($A$2:$A412,$A412,$E$2:$E412,"ANNULE")),""))</f>
        <v/>
      </c>
    </row>
    <row r="413">
      <c r="A413">
        <f>IF(ISBLANK('ENGAGEMENTS 2026'!B413),"",IF('ENGAGEMENTS 2026'!B413="DTSI","DCT",'ENGAGEMENTS 2026'!B413))</f>
        <v/>
      </c>
      <c r="B413">
        <f>IF(ISBLANK('ENGAGEMENTS 2026'!B413),"",'ENGAGEMENTS 2026'!C413)</f>
        <v/>
      </c>
      <c r="C413">
        <f>IF(ISBLANK('ENGAGEMENTS 2026'!B413),"",'ENGAGEMENTS 2026'!D413)</f>
        <v/>
      </c>
      <c r="D413">
        <f>IF(ISBLANK('ENGAGEMENTS 2026'!B413),"",'ENGAGEMENTS 2026'!F413)</f>
        <v/>
      </c>
      <c r="E413">
        <f>IF(ISBLANK('ENGAGEMENTS 2026'!B413),"",'ENGAGEMENTS 2026'!H413)</f>
        <v/>
      </c>
      <c r="F413">
        <f>IF(ISBLANK('ENGAGEMENTS 2026'!B413),"",'ENGAGEMENTS 2026'!I413)</f>
        <v/>
      </c>
      <c r="G413">
        <f>IF(ISBLANK('ENGAGEMENTS 2026'!B413),"",'ENGAGEMENTS 2026'!L413)</f>
        <v/>
      </c>
      <c r="H413">
        <f>IF(ISBLANK('ENGAGEMENTS 2026'!B413),"",'ENGAGEMENTS 2026'!AE413)</f>
        <v/>
      </c>
      <c r="I413">
        <f>IF(ISBLANK('ENGAGEMENTS 2026'!B413),"",'ENGAGEMENTS 2026'!G413)</f>
        <v/>
      </c>
      <c r="J413" s="275">
        <f>IF(ISBLANK('ENGAGEMENTS 2026'!B413),"",IF(AND(OR($E413="INFRUCTUEUX",$E413="ANNULE"),$C413="AOO-M"),'ENGAGEMENTS 2026'!O413,IF($H413="EN COURS DE PREENGAGEMENT",'ENGAGEMENTS 2026'!N413,IF($H413="PREENGAGE",IF($E413="ATTRIBUE",'ENGAGEMENTS 2026'!AD413,'ENGAGEMENTS 2026'!N413),'ENGAGEMENTS 2026'!AD413))))</f>
        <v/>
      </c>
      <c r="K413" s="604">
        <f>IF(ISBLANK('ENGAGEMENTS 2026'!V413),"",'ENGAGEMENTS 2026'!V413)</f>
        <v/>
      </c>
      <c r="L413" s="276">
        <f>IF($K413="","",TODAY()-$K413)</f>
        <v/>
      </c>
      <c r="M413">
        <f>IF($A413="","",IF($H413="ENGAGE","Engagé",IF(AND($H413="NON ENGAGE",OR($I413="INFRUCTUEUX",$I413="ANNULE")),"Clôturé sans suite","En cours")))</f>
        <v/>
      </c>
      <c r="N413">
        <f>IF(ISBLANK('ENGAGEMENTS 2026'!B413),"",'ENGAGEMENTS 2026'!K413)</f>
        <v/>
      </c>
      <c r="O413">
        <f>IF(ISBLANK('ENGAGEMENTS 2026'!B413),"",'ENGAGEMENTS 2026'!L413)</f>
        <v/>
      </c>
      <c r="P413">
        <f>IF(ISBLANK('ENGAGEMENTS 2026'!B413),"",'ENGAGEMENTS 2026'!J413)</f>
        <v/>
      </c>
      <c r="Q413">
        <f>IF($A413="","",IF(OR($E413="INFRUCTUEUX",$E413="ANNULE"),$A413&amp;"|"&amp;(COUNTIFS($A$2:$A413,$A413,$E$2:$E413,"INFRUCTUEUX")+COUNTIFS($A$2:$A413,$A413,$E$2:$E413,"ANNULE")),""))</f>
        <v/>
      </c>
    </row>
    <row r="414">
      <c r="A414">
        <f>IF(ISBLANK('ENGAGEMENTS 2026'!B414),"",IF('ENGAGEMENTS 2026'!B414="DTSI","DCT",'ENGAGEMENTS 2026'!B414))</f>
        <v/>
      </c>
      <c r="B414">
        <f>IF(ISBLANK('ENGAGEMENTS 2026'!B414),"",'ENGAGEMENTS 2026'!C414)</f>
        <v/>
      </c>
      <c r="C414">
        <f>IF(ISBLANK('ENGAGEMENTS 2026'!B414),"",'ENGAGEMENTS 2026'!D414)</f>
        <v/>
      </c>
      <c r="D414">
        <f>IF(ISBLANK('ENGAGEMENTS 2026'!B414),"",'ENGAGEMENTS 2026'!F414)</f>
        <v/>
      </c>
      <c r="E414">
        <f>IF(ISBLANK('ENGAGEMENTS 2026'!B414),"",'ENGAGEMENTS 2026'!H414)</f>
        <v/>
      </c>
      <c r="F414">
        <f>IF(ISBLANK('ENGAGEMENTS 2026'!B414),"",'ENGAGEMENTS 2026'!I414)</f>
        <v/>
      </c>
      <c r="G414">
        <f>IF(ISBLANK('ENGAGEMENTS 2026'!B414),"",'ENGAGEMENTS 2026'!L414)</f>
        <v/>
      </c>
      <c r="H414">
        <f>IF(ISBLANK('ENGAGEMENTS 2026'!B414),"",'ENGAGEMENTS 2026'!AE414)</f>
        <v/>
      </c>
      <c r="I414">
        <f>IF(ISBLANK('ENGAGEMENTS 2026'!B414),"",'ENGAGEMENTS 2026'!G414)</f>
        <v/>
      </c>
      <c r="J414" s="275">
        <f>IF(ISBLANK('ENGAGEMENTS 2026'!B414),"",IF(AND(OR($E414="INFRUCTUEUX",$E414="ANNULE"),$C414="AOO-M"),'ENGAGEMENTS 2026'!O414,IF($H414="EN COURS DE PREENGAGEMENT",'ENGAGEMENTS 2026'!N414,IF($H414="PREENGAGE",IF($E414="ATTRIBUE",'ENGAGEMENTS 2026'!AD414,'ENGAGEMENTS 2026'!N414),'ENGAGEMENTS 2026'!AD414))))</f>
        <v/>
      </c>
      <c r="K414" s="604">
        <f>IF(ISBLANK('ENGAGEMENTS 2026'!V414),"",'ENGAGEMENTS 2026'!V414)</f>
        <v/>
      </c>
      <c r="L414" s="276">
        <f>IF($K414="","",TODAY()-$K414)</f>
        <v/>
      </c>
      <c r="M414">
        <f>IF($A414="","",IF($H414="ENGAGE","Engagé",IF(AND($H414="NON ENGAGE",OR($I414="INFRUCTUEUX",$I414="ANNULE")),"Clôturé sans suite","En cours")))</f>
        <v/>
      </c>
      <c r="N414">
        <f>IF(ISBLANK('ENGAGEMENTS 2026'!B414),"",'ENGAGEMENTS 2026'!K414)</f>
        <v/>
      </c>
      <c r="O414">
        <f>IF(ISBLANK('ENGAGEMENTS 2026'!B414),"",'ENGAGEMENTS 2026'!L414)</f>
        <v/>
      </c>
      <c r="P414">
        <f>IF(ISBLANK('ENGAGEMENTS 2026'!B414),"",'ENGAGEMENTS 2026'!J414)</f>
        <v/>
      </c>
      <c r="Q414">
        <f>IF($A414="","",IF(OR($E414="INFRUCTUEUX",$E414="ANNULE"),$A414&amp;"|"&amp;(COUNTIFS($A$2:$A414,$A414,$E$2:$E414,"INFRUCTUEUX")+COUNTIFS($A$2:$A414,$A414,$E$2:$E414,"ANNULE")),""))</f>
        <v/>
      </c>
    </row>
    <row r="415">
      <c r="A415">
        <f>IF(ISBLANK('ENGAGEMENTS 2026'!B415),"",IF('ENGAGEMENTS 2026'!B415="DTSI","DCT",'ENGAGEMENTS 2026'!B415))</f>
        <v/>
      </c>
      <c r="B415">
        <f>IF(ISBLANK('ENGAGEMENTS 2026'!B415),"",'ENGAGEMENTS 2026'!C415)</f>
        <v/>
      </c>
      <c r="C415">
        <f>IF(ISBLANK('ENGAGEMENTS 2026'!B415),"",'ENGAGEMENTS 2026'!D415)</f>
        <v/>
      </c>
      <c r="D415">
        <f>IF(ISBLANK('ENGAGEMENTS 2026'!B415),"",'ENGAGEMENTS 2026'!F415)</f>
        <v/>
      </c>
      <c r="E415">
        <f>IF(ISBLANK('ENGAGEMENTS 2026'!B415),"",'ENGAGEMENTS 2026'!H415)</f>
        <v/>
      </c>
      <c r="F415">
        <f>IF(ISBLANK('ENGAGEMENTS 2026'!B415),"",'ENGAGEMENTS 2026'!I415)</f>
        <v/>
      </c>
      <c r="G415">
        <f>IF(ISBLANK('ENGAGEMENTS 2026'!B415),"",'ENGAGEMENTS 2026'!L415)</f>
        <v/>
      </c>
      <c r="H415">
        <f>IF(ISBLANK('ENGAGEMENTS 2026'!B415),"",'ENGAGEMENTS 2026'!AE415)</f>
        <v/>
      </c>
      <c r="I415">
        <f>IF(ISBLANK('ENGAGEMENTS 2026'!B415),"",'ENGAGEMENTS 2026'!G415)</f>
        <v/>
      </c>
      <c r="J415" s="275">
        <f>IF(ISBLANK('ENGAGEMENTS 2026'!B415),"",IF(AND(OR($E415="INFRUCTUEUX",$E415="ANNULE"),$C415="AOO-M"),'ENGAGEMENTS 2026'!O415,IF($H415="EN COURS DE PREENGAGEMENT",'ENGAGEMENTS 2026'!N415,IF($H415="PREENGAGE",IF($E415="ATTRIBUE",'ENGAGEMENTS 2026'!AD415,'ENGAGEMENTS 2026'!N415),'ENGAGEMENTS 2026'!AD415))))</f>
        <v/>
      </c>
      <c r="K415" s="604">
        <f>IF(ISBLANK('ENGAGEMENTS 2026'!V415),"",'ENGAGEMENTS 2026'!V415)</f>
        <v/>
      </c>
      <c r="L415" s="276">
        <f>IF($K415="","",TODAY()-$K415)</f>
        <v/>
      </c>
      <c r="M415">
        <f>IF($A415="","",IF($H415="ENGAGE","Engagé",IF(AND($H415="NON ENGAGE",OR($I415="INFRUCTUEUX",$I415="ANNULE")),"Clôturé sans suite","En cours")))</f>
        <v/>
      </c>
      <c r="N415">
        <f>IF(ISBLANK('ENGAGEMENTS 2026'!B415),"",'ENGAGEMENTS 2026'!K415)</f>
        <v/>
      </c>
      <c r="O415">
        <f>IF(ISBLANK('ENGAGEMENTS 2026'!B415),"",'ENGAGEMENTS 2026'!L415)</f>
        <v/>
      </c>
      <c r="P415">
        <f>IF(ISBLANK('ENGAGEMENTS 2026'!B415),"",'ENGAGEMENTS 2026'!J415)</f>
        <v/>
      </c>
      <c r="Q415">
        <f>IF($A415="","",IF(OR($E415="INFRUCTUEUX",$E415="ANNULE"),$A415&amp;"|"&amp;(COUNTIFS($A$2:$A415,$A415,$E$2:$E415,"INFRUCTUEUX")+COUNTIFS($A$2:$A415,$A415,$E$2:$E415,"ANNULE")),""))</f>
        <v/>
      </c>
    </row>
    <row r="416">
      <c r="A416">
        <f>IF(ISBLANK('ENGAGEMENTS 2026'!B416),"",IF('ENGAGEMENTS 2026'!B416="DTSI","DCT",'ENGAGEMENTS 2026'!B416))</f>
        <v/>
      </c>
      <c r="B416">
        <f>IF(ISBLANK('ENGAGEMENTS 2026'!B416),"",'ENGAGEMENTS 2026'!C416)</f>
        <v/>
      </c>
      <c r="C416">
        <f>IF(ISBLANK('ENGAGEMENTS 2026'!B416),"",'ENGAGEMENTS 2026'!D416)</f>
        <v/>
      </c>
      <c r="D416">
        <f>IF(ISBLANK('ENGAGEMENTS 2026'!B416),"",'ENGAGEMENTS 2026'!F416)</f>
        <v/>
      </c>
      <c r="E416">
        <f>IF(ISBLANK('ENGAGEMENTS 2026'!B416),"",'ENGAGEMENTS 2026'!H416)</f>
        <v/>
      </c>
      <c r="F416">
        <f>IF(ISBLANK('ENGAGEMENTS 2026'!B416),"",'ENGAGEMENTS 2026'!I416)</f>
        <v/>
      </c>
      <c r="G416">
        <f>IF(ISBLANK('ENGAGEMENTS 2026'!B416),"",'ENGAGEMENTS 2026'!L416)</f>
        <v/>
      </c>
      <c r="H416">
        <f>IF(ISBLANK('ENGAGEMENTS 2026'!B416),"",'ENGAGEMENTS 2026'!AE416)</f>
        <v/>
      </c>
      <c r="I416">
        <f>IF(ISBLANK('ENGAGEMENTS 2026'!B416),"",'ENGAGEMENTS 2026'!G416)</f>
        <v/>
      </c>
      <c r="J416" s="275">
        <f>IF(ISBLANK('ENGAGEMENTS 2026'!B416),"",IF(AND(OR($E416="INFRUCTUEUX",$E416="ANNULE"),$C416="AOO-M"),'ENGAGEMENTS 2026'!O416,IF($H416="EN COURS DE PREENGAGEMENT",'ENGAGEMENTS 2026'!N416,IF($H416="PREENGAGE",IF($E416="ATTRIBUE",'ENGAGEMENTS 2026'!AD416,'ENGAGEMENTS 2026'!N416),'ENGAGEMENTS 2026'!AD416))))</f>
        <v/>
      </c>
      <c r="K416" s="604">
        <f>IF(ISBLANK('ENGAGEMENTS 2026'!V416),"",'ENGAGEMENTS 2026'!V416)</f>
        <v/>
      </c>
      <c r="L416" s="276">
        <f>IF($K416="","",TODAY()-$K416)</f>
        <v/>
      </c>
      <c r="M416">
        <f>IF($A416="","",IF($H416="ENGAGE","Engagé",IF(AND($H416="NON ENGAGE",OR($I416="INFRUCTUEUX",$I416="ANNULE")),"Clôturé sans suite","En cours")))</f>
        <v/>
      </c>
      <c r="N416">
        <f>IF(ISBLANK('ENGAGEMENTS 2026'!B416),"",'ENGAGEMENTS 2026'!K416)</f>
        <v/>
      </c>
      <c r="O416">
        <f>IF(ISBLANK('ENGAGEMENTS 2026'!B416),"",'ENGAGEMENTS 2026'!L416)</f>
        <v/>
      </c>
      <c r="P416">
        <f>IF(ISBLANK('ENGAGEMENTS 2026'!B416),"",'ENGAGEMENTS 2026'!J416)</f>
        <v/>
      </c>
      <c r="Q416">
        <f>IF($A416="","",IF(OR($E416="INFRUCTUEUX",$E416="ANNULE"),$A416&amp;"|"&amp;(COUNTIFS($A$2:$A416,$A416,$E$2:$E416,"INFRUCTUEUX")+COUNTIFS($A$2:$A416,$A416,$E$2:$E416,"ANNULE")),""))</f>
        <v/>
      </c>
    </row>
    <row r="417">
      <c r="A417">
        <f>IF(ISBLANK('ENGAGEMENTS 2026'!B417),"",IF('ENGAGEMENTS 2026'!B417="DTSI","DCT",'ENGAGEMENTS 2026'!B417))</f>
        <v/>
      </c>
      <c r="B417">
        <f>IF(ISBLANK('ENGAGEMENTS 2026'!B417),"",'ENGAGEMENTS 2026'!C417)</f>
        <v/>
      </c>
      <c r="C417">
        <f>IF(ISBLANK('ENGAGEMENTS 2026'!B417),"",'ENGAGEMENTS 2026'!D417)</f>
        <v/>
      </c>
      <c r="D417">
        <f>IF(ISBLANK('ENGAGEMENTS 2026'!B417),"",'ENGAGEMENTS 2026'!F417)</f>
        <v/>
      </c>
      <c r="E417">
        <f>IF(ISBLANK('ENGAGEMENTS 2026'!B417),"",'ENGAGEMENTS 2026'!H417)</f>
        <v/>
      </c>
      <c r="F417">
        <f>IF(ISBLANK('ENGAGEMENTS 2026'!B417),"",'ENGAGEMENTS 2026'!I417)</f>
        <v/>
      </c>
      <c r="G417">
        <f>IF(ISBLANK('ENGAGEMENTS 2026'!B417),"",'ENGAGEMENTS 2026'!L417)</f>
        <v/>
      </c>
      <c r="H417">
        <f>IF(ISBLANK('ENGAGEMENTS 2026'!B417),"",'ENGAGEMENTS 2026'!AE417)</f>
        <v/>
      </c>
      <c r="I417">
        <f>IF(ISBLANK('ENGAGEMENTS 2026'!B417),"",'ENGAGEMENTS 2026'!G417)</f>
        <v/>
      </c>
      <c r="J417" s="275">
        <f>IF(ISBLANK('ENGAGEMENTS 2026'!B417),"",IF(AND(OR($E417="INFRUCTUEUX",$E417="ANNULE"),$C417="AOO-M"),'ENGAGEMENTS 2026'!O417,IF($H417="EN COURS DE PREENGAGEMENT",'ENGAGEMENTS 2026'!N417,IF($H417="PREENGAGE",IF($E417="ATTRIBUE",'ENGAGEMENTS 2026'!AD417,'ENGAGEMENTS 2026'!N417),'ENGAGEMENTS 2026'!AD417))))</f>
        <v/>
      </c>
      <c r="K417" s="604">
        <f>IF(ISBLANK('ENGAGEMENTS 2026'!V417),"",'ENGAGEMENTS 2026'!V417)</f>
        <v/>
      </c>
      <c r="L417" s="276">
        <f>IF($K417="","",TODAY()-$K417)</f>
        <v/>
      </c>
      <c r="M417">
        <f>IF($A417="","",IF($H417="ENGAGE","Engagé",IF(AND($H417="NON ENGAGE",OR($I417="INFRUCTUEUX",$I417="ANNULE")),"Clôturé sans suite","En cours")))</f>
        <v/>
      </c>
      <c r="N417">
        <f>IF(ISBLANK('ENGAGEMENTS 2026'!B417),"",'ENGAGEMENTS 2026'!K417)</f>
        <v/>
      </c>
      <c r="O417">
        <f>IF(ISBLANK('ENGAGEMENTS 2026'!B417),"",'ENGAGEMENTS 2026'!L417)</f>
        <v/>
      </c>
      <c r="P417">
        <f>IF(ISBLANK('ENGAGEMENTS 2026'!B417),"",'ENGAGEMENTS 2026'!J417)</f>
        <v/>
      </c>
      <c r="Q417">
        <f>IF($A417="","",IF(OR($E417="INFRUCTUEUX",$E417="ANNULE"),$A417&amp;"|"&amp;(COUNTIFS($A$2:$A417,$A417,$E$2:$E417,"INFRUCTUEUX")+COUNTIFS($A$2:$A417,$A417,$E$2:$E417,"ANNULE")),""))</f>
        <v/>
      </c>
    </row>
    <row r="418">
      <c r="A418">
        <f>IF(ISBLANK('ENGAGEMENTS 2026'!B418),"",IF('ENGAGEMENTS 2026'!B418="DTSI","DCT",'ENGAGEMENTS 2026'!B418))</f>
        <v/>
      </c>
      <c r="B418">
        <f>IF(ISBLANK('ENGAGEMENTS 2026'!B418),"",'ENGAGEMENTS 2026'!C418)</f>
        <v/>
      </c>
      <c r="C418">
        <f>IF(ISBLANK('ENGAGEMENTS 2026'!B418),"",'ENGAGEMENTS 2026'!D418)</f>
        <v/>
      </c>
      <c r="D418">
        <f>IF(ISBLANK('ENGAGEMENTS 2026'!B418),"",'ENGAGEMENTS 2026'!F418)</f>
        <v/>
      </c>
      <c r="E418">
        <f>IF(ISBLANK('ENGAGEMENTS 2026'!B418),"",'ENGAGEMENTS 2026'!H418)</f>
        <v/>
      </c>
      <c r="F418">
        <f>IF(ISBLANK('ENGAGEMENTS 2026'!B418),"",'ENGAGEMENTS 2026'!I418)</f>
        <v/>
      </c>
      <c r="G418">
        <f>IF(ISBLANK('ENGAGEMENTS 2026'!B418),"",'ENGAGEMENTS 2026'!L418)</f>
        <v/>
      </c>
      <c r="H418">
        <f>IF(ISBLANK('ENGAGEMENTS 2026'!B418),"",'ENGAGEMENTS 2026'!AE418)</f>
        <v/>
      </c>
      <c r="I418">
        <f>IF(ISBLANK('ENGAGEMENTS 2026'!B418),"",'ENGAGEMENTS 2026'!G418)</f>
        <v/>
      </c>
      <c r="J418" s="275">
        <f>IF(ISBLANK('ENGAGEMENTS 2026'!B418),"",IF(AND(OR($E418="INFRUCTUEUX",$E418="ANNULE"),$C418="AOO-M"),'ENGAGEMENTS 2026'!O418,IF($H418="EN COURS DE PREENGAGEMENT",'ENGAGEMENTS 2026'!N418,IF($H418="PREENGAGE",IF($E418="ATTRIBUE",'ENGAGEMENTS 2026'!AD418,'ENGAGEMENTS 2026'!N418),'ENGAGEMENTS 2026'!AD418))))</f>
        <v/>
      </c>
      <c r="K418" s="604">
        <f>IF(ISBLANK('ENGAGEMENTS 2026'!V418),"",'ENGAGEMENTS 2026'!V418)</f>
        <v/>
      </c>
      <c r="L418" s="276">
        <f>IF($K418="","",TODAY()-$K418)</f>
        <v/>
      </c>
      <c r="M418">
        <f>IF($A418="","",IF($H418="ENGAGE","Engagé",IF(AND($H418="NON ENGAGE",OR($I418="INFRUCTUEUX",$I418="ANNULE")),"Clôturé sans suite","En cours")))</f>
        <v/>
      </c>
      <c r="N418">
        <f>IF(ISBLANK('ENGAGEMENTS 2026'!B418),"",'ENGAGEMENTS 2026'!K418)</f>
        <v/>
      </c>
      <c r="O418">
        <f>IF(ISBLANK('ENGAGEMENTS 2026'!B418),"",'ENGAGEMENTS 2026'!L418)</f>
        <v/>
      </c>
      <c r="P418">
        <f>IF(ISBLANK('ENGAGEMENTS 2026'!B418),"",'ENGAGEMENTS 2026'!J418)</f>
        <v/>
      </c>
      <c r="Q418">
        <f>IF($A418="","",IF(OR($E418="INFRUCTUEUX",$E418="ANNULE"),$A418&amp;"|"&amp;(COUNTIFS($A$2:$A418,$A418,$E$2:$E418,"INFRUCTUEUX")+COUNTIFS($A$2:$A418,$A418,$E$2:$E418,"ANNULE")),""))</f>
        <v/>
      </c>
    </row>
    <row r="419">
      <c r="A419">
        <f>IF(ISBLANK('ENGAGEMENTS 2026'!B419),"",IF('ENGAGEMENTS 2026'!B419="DTSI","DCT",'ENGAGEMENTS 2026'!B419))</f>
        <v/>
      </c>
      <c r="B419">
        <f>IF(ISBLANK('ENGAGEMENTS 2026'!B419),"",'ENGAGEMENTS 2026'!C419)</f>
        <v/>
      </c>
      <c r="C419">
        <f>IF(ISBLANK('ENGAGEMENTS 2026'!B419),"",'ENGAGEMENTS 2026'!D419)</f>
        <v/>
      </c>
      <c r="D419">
        <f>IF(ISBLANK('ENGAGEMENTS 2026'!B419),"",'ENGAGEMENTS 2026'!F419)</f>
        <v/>
      </c>
      <c r="E419">
        <f>IF(ISBLANK('ENGAGEMENTS 2026'!B419),"",'ENGAGEMENTS 2026'!H419)</f>
        <v/>
      </c>
      <c r="F419">
        <f>IF(ISBLANK('ENGAGEMENTS 2026'!B419),"",'ENGAGEMENTS 2026'!I419)</f>
        <v/>
      </c>
      <c r="G419">
        <f>IF(ISBLANK('ENGAGEMENTS 2026'!B419),"",'ENGAGEMENTS 2026'!L419)</f>
        <v/>
      </c>
      <c r="H419">
        <f>IF(ISBLANK('ENGAGEMENTS 2026'!B419),"",'ENGAGEMENTS 2026'!AE419)</f>
        <v/>
      </c>
      <c r="I419">
        <f>IF(ISBLANK('ENGAGEMENTS 2026'!B419),"",'ENGAGEMENTS 2026'!G419)</f>
        <v/>
      </c>
      <c r="J419" s="275">
        <f>IF(ISBLANK('ENGAGEMENTS 2026'!B419),"",IF(AND(OR($E419="INFRUCTUEUX",$E419="ANNULE"),$C419="AOO-M"),'ENGAGEMENTS 2026'!O419,IF($H419="EN COURS DE PREENGAGEMENT",'ENGAGEMENTS 2026'!N419,IF($H419="PREENGAGE",IF($E419="ATTRIBUE",'ENGAGEMENTS 2026'!AD419,'ENGAGEMENTS 2026'!N419),'ENGAGEMENTS 2026'!AD419))))</f>
        <v/>
      </c>
      <c r="K419" s="604">
        <f>IF(ISBLANK('ENGAGEMENTS 2026'!V419),"",'ENGAGEMENTS 2026'!V419)</f>
        <v/>
      </c>
      <c r="L419" s="276">
        <f>IF($K419="","",TODAY()-$K419)</f>
        <v/>
      </c>
      <c r="M419">
        <f>IF($A419="","",IF($H419="ENGAGE","Engagé",IF(AND($H419="NON ENGAGE",OR($I419="INFRUCTUEUX",$I419="ANNULE")),"Clôturé sans suite","En cours")))</f>
        <v/>
      </c>
      <c r="N419">
        <f>IF(ISBLANK('ENGAGEMENTS 2026'!B419),"",'ENGAGEMENTS 2026'!K419)</f>
        <v/>
      </c>
      <c r="O419">
        <f>IF(ISBLANK('ENGAGEMENTS 2026'!B419),"",'ENGAGEMENTS 2026'!L419)</f>
        <v/>
      </c>
      <c r="P419">
        <f>IF(ISBLANK('ENGAGEMENTS 2026'!B419),"",'ENGAGEMENTS 2026'!J419)</f>
        <v/>
      </c>
      <c r="Q419">
        <f>IF($A419="","",IF(OR($E419="INFRUCTUEUX",$E419="ANNULE"),$A419&amp;"|"&amp;(COUNTIFS($A$2:$A419,$A419,$E$2:$E419,"INFRUCTUEUX")+COUNTIFS($A$2:$A419,$A419,$E$2:$E419,"ANNULE")),""))</f>
        <v/>
      </c>
    </row>
    <row r="420">
      <c r="A420">
        <f>IF(ISBLANK('ENGAGEMENTS 2026'!B420),"",IF('ENGAGEMENTS 2026'!B420="DTSI","DCT",'ENGAGEMENTS 2026'!B420))</f>
        <v/>
      </c>
      <c r="B420">
        <f>IF(ISBLANK('ENGAGEMENTS 2026'!B420),"",'ENGAGEMENTS 2026'!C420)</f>
        <v/>
      </c>
      <c r="C420">
        <f>IF(ISBLANK('ENGAGEMENTS 2026'!B420),"",'ENGAGEMENTS 2026'!D420)</f>
        <v/>
      </c>
      <c r="D420">
        <f>IF(ISBLANK('ENGAGEMENTS 2026'!B420),"",'ENGAGEMENTS 2026'!F420)</f>
        <v/>
      </c>
      <c r="E420">
        <f>IF(ISBLANK('ENGAGEMENTS 2026'!B420),"",'ENGAGEMENTS 2026'!H420)</f>
        <v/>
      </c>
      <c r="F420">
        <f>IF(ISBLANK('ENGAGEMENTS 2026'!B420),"",'ENGAGEMENTS 2026'!I420)</f>
        <v/>
      </c>
      <c r="G420">
        <f>IF(ISBLANK('ENGAGEMENTS 2026'!B420),"",'ENGAGEMENTS 2026'!L420)</f>
        <v/>
      </c>
      <c r="H420">
        <f>IF(ISBLANK('ENGAGEMENTS 2026'!B420),"",'ENGAGEMENTS 2026'!AE420)</f>
        <v/>
      </c>
      <c r="I420">
        <f>IF(ISBLANK('ENGAGEMENTS 2026'!B420),"",'ENGAGEMENTS 2026'!G420)</f>
        <v/>
      </c>
      <c r="J420" s="275">
        <f>IF(ISBLANK('ENGAGEMENTS 2026'!B420),"",IF(AND(OR($E420="INFRUCTUEUX",$E420="ANNULE"),$C420="AOO-M"),'ENGAGEMENTS 2026'!O420,IF($H420="EN COURS DE PREENGAGEMENT",'ENGAGEMENTS 2026'!N420,IF($H420="PREENGAGE",IF($E420="ATTRIBUE",'ENGAGEMENTS 2026'!AD420,'ENGAGEMENTS 2026'!N420),'ENGAGEMENTS 2026'!AD420))))</f>
        <v/>
      </c>
      <c r="K420" s="604">
        <f>IF(ISBLANK('ENGAGEMENTS 2026'!V420),"",'ENGAGEMENTS 2026'!V420)</f>
        <v/>
      </c>
      <c r="L420" s="276">
        <f>IF($K420="","",TODAY()-$K420)</f>
        <v/>
      </c>
      <c r="M420">
        <f>IF($A420="","",IF($H420="ENGAGE","Engagé",IF(AND($H420="NON ENGAGE",OR($I420="INFRUCTUEUX",$I420="ANNULE")),"Clôturé sans suite","En cours")))</f>
        <v/>
      </c>
      <c r="N420">
        <f>IF(ISBLANK('ENGAGEMENTS 2026'!B420),"",'ENGAGEMENTS 2026'!K420)</f>
        <v/>
      </c>
      <c r="O420">
        <f>IF(ISBLANK('ENGAGEMENTS 2026'!B420),"",'ENGAGEMENTS 2026'!L420)</f>
        <v/>
      </c>
      <c r="P420">
        <f>IF(ISBLANK('ENGAGEMENTS 2026'!B420),"",'ENGAGEMENTS 2026'!J420)</f>
        <v/>
      </c>
      <c r="Q420">
        <f>IF($A420="","",IF(OR($E420="INFRUCTUEUX",$E420="ANNULE"),$A420&amp;"|"&amp;(COUNTIFS($A$2:$A420,$A420,$E$2:$E420,"INFRUCTUEUX")+COUNTIFS($A$2:$A420,$A420,$E$2:$E420,"ANNULE")),""))</f>
        <v/>
      </c>
    </row>
    <row r="421">
      <c r="A421">
        <f>IF(ISBLANK('ENGAGEMENTS 2026'!B421),"",IF('ENGAGEMENTS 2026'!B421="DTSI","DCT",'ENGAGEMENTS 2026'!B421))</f>
        <v/>
      </c>
      <c r="B421">
        <f>IF(ISBLANK('ENGAGEMENTS 2026'!B421),"",'ENGAGEMENTS 2026'!C421)</f>
        <v/>
      </c>
      <c r="C421">
        <f>IF(ISBLANK('ENGAGEMENTS 2026'!B421),"",'ENGAGEMENTS 2026'!D421)</f>
        <v/>
      </c>
      <c r="D421">
        <f>IF(ISBLANK('ENGAGEMENTS 2026'!B421),"",'ENGAGEMENTS 2026'!F421)</f>
        <v/>
      </c>
      <c r="E421">
        <f>IF(ISBLANK('ENGAGEMENTS 2026'!B421),"",'ENGAGEMENTS 2026'!H421)</f>
        <v/>
      </c>
      <c r="F421">
        <f>IF(ISBLANK('ENGAGEMENTS 2026'!B421),"",'ENGAGEMENTS 2026'!I421)</f>
        <v/>
      </c>
      <c r="G421">
        <f>IF(ISBLANK('ENGAGEMENTS 2026'!B421),"",'ENGAGEMENTS 2026'!L421)</f>
        <v/>
      </c>
      <c r="H421">
        <f>IF(ISBLANK('ENGAGEMENTS 2026'!B421),"",'ENGAGEMENTS 2026'!AE421)</f>
        <v/>
      </c>
      <c r="I421">
        <f>IF(ISBLANK('ENGAGEMENTS 2026'!B421),"",'ENGAGEMENTS 2026'!G421)</f>
        <v/>
      </c>
      <c r="J421" s="275">
        <f>IF(ISBLANK('ENGAGEMENTS 2026'!B421),"",IF(AND(OR($E421="INFRUCTUEUX",$E421="ANNULE"),$C421="AOO-M"),'ENGAGEMENTS 2026'!O421,IF($H421="EN COURS DE PREENGAGEMENT",'ENGAGEMENTS 2026'!N421,IF($H421="PREENGAGE",IF($E421="ATTRIBUE",'ENGAGEMENTS 2026'!AD421,'ENGAGEMENTS 2026'!N421),'ENGAGEMENTS 2026'!AD421))))</f>
        <v/>
      </c>
      <c r="K421" s="604">
        <f>IF(ISBLANK('ENGAGEMENTS 2026'!V421),"",'ENGAGEMENTS 2026'!V421)</f>
        <v/>
      </c>
      <c r="L421" s="276">
        <f>IF($K421="","",TODAY()-$K421)</f>
        <v/>
      </c>
      <c r="M421">
        <f>IF($A421="","",IF($H421="ENGAGE","Engagé",IF(AND($H421="NON ENGAGE",OR($I421="INFRUCTUEUX",$I421="ANNULE")),"Clôturé sans suite","En cours")))</f>
        <v/>
      </c>
      <c r="N421">
        <f>IF(ISBLANK('ENGAGEMENTS 2026'!B421),"",'ENGAGEMENTS 2026'!K421)</f>
        <v/>
      </c>
      <c r="O421">
        <f>IF(ISBLANK('ENGAGEMENTS 2026'!B421),"",'ENGAGEMENTS 2026'!L421)</f>
        <v/>
      </c>
      <c r="P421">
        <f>IF(ISBLANK('ENGAGEMENTS 2026'!B421),"",'ENGAGEMENTS 2026'!J421)</f>
        <v/>
      </c>
      <c r="Q421">
        <f>IF($A421="","",IF(OR($E421="INFRUCTUEUX",$E421="ANNULE"),$A421&amp;"|"&amp;(COUNTIFS($A$2:$A421,$A421,$E$2:$E421,"INFRUCTUEUX")+COUNTIFS($A$2:$A421,$A421,$E$2:$E421,"ANNULE")),""))</f>
        <v/>
      </c>
    </row>
    <row r="422">
      <c r="A422">
        <f>IF(ISBLANK('ENGAGEMENTS 2026'!B422),"",IF('ENGAGEMENTS 2026'!B422="DTSI","DCT",'ENGAGEMENTS 2026'!B422))</f>
        <v/>
      </c>
      <c r="B422">
        <f>IF(ISBLANK('ENGAGEMENTS 2026'!B422),"",'ENGAGEMENTS 2026'!C422)</f>
        <v/>
      </c>
      <c r="C422">
        <f>IF(ISBLANK('ENGAGEMENTS 2026'!B422),"",'ENGAGEMENTS 2026'!D422)</f>
        <v/>
      </c>
      <c r="D422">
        <f>IF(ISBLANK('ENGAGEMENTS 2026'!B422),"",'ENGAGEMENTS 2026'!F422)</f>
        <v/>
      </c>
      <c r="E422">
        <f>IF(ISBLANK('ENGAGEMENTS 2026'!B422),"",'ENGAGEMENTS 2026'!H422)</f>
        <v/>
      </c>
      <c r="F422">
        <f>IF(ISBLANK('ENGAGEMENTS 2026'!B422),"",'ENGAGEMENTS 2026'!I422)</f>
        <v/>
      </c>
      <c r="G422">
        <f>IF(ISBLANK('ENGAGEMENTS 2026'!B422),"",'ENGAGEMENTS 2026'!L422)</f>
        <v/>
      </c>
      <c r="H422">
        <f>IF(ISBLANK('ENGAGEMENTS 2026'!B422),"",'ENGAGEMENTS 2026'!AE422)</f>
        <v/>
      </c>
      <c r="I422">
        <f>IF(ISBLANK('ENGAGEMENTS 2026'!B422),"",'ENGAGEMENTS 2026'!G422)</f>
        <v/>
      </c>
      <c r="J422" s="275">
        <f>IF(ISBLANK('ENGAGEMENTS 2026'!B422),"",IF(AND(OR($E422="INFRUCTUEUX",$E422="ANNULE"),$C422="AOO-M"),'ENGAGEMENTS 2026'!O422,IF($H422="EN COURS DE PREENGAGEMENT",'ENGAGEMENTS 2026'!N422,IF($H422="PREENGAGE",IF($E422="ATTRIBUE",'ENGAGEMENTS 2026'!AD422,'ENGAGEMENTS 2026'!N422),'ENGAGEMENTS 2026'!AD422))))</f>
        <v/>
      </c>
      <c r="K422" s="604">
        <f>IF(ISBLANK('ENGAGEMENTS 2026'!V422),"",'ENGAGEMENTS 2026'!V422)</f>
        <v/>
      </c>
      <c r="L422" s="276">
        <f>IF($K422="","",TODAY()-$K422)</f>
        <v/>
      </c>
      <c r="M422">
        <f>IF($A422="","",IF($H422="ENGAGE","Engagé",IF(AND($H422="NON ENGAGE",OR($I422="INFRUCTUEUX",$I422="ANNULE")),"Clôturé sans suite","En cours")))</f>
        <v/>
      </c>
      <c r="N422">
        <f>IF(ISBLANK('ENGAGEMENTS 2026'!B422),"",'ENGAGEMENTS 2026'!K422)</f>
        <v/>
      </c>
      <c r="O422">
        <f>IF(ISBLANK('ENGAGEMENTS 2026'!B422),"",'ENGAGEMENTS 2026'!L422)</f>
        <v/>
      </c>
      <c r="P422">
        <f>IF(ISBLANK('ENGAGEMENTS 2026'!B422),"",'ENGAGEMENTS 2026'!J422)</f>
        <v/>
      </c>
      <c r="Q422">
        <f>IF($A422="","",IF(OR($E422="INFRUCTUEUX",$E422="ANNULE"),$A422&amp;"|"&amp;(COUNTIFS($A$2:$A422,$A422,$E$2:$E422,"INFRUCTUEUX")+COUNTIFS($A$2:$A422,$A422,$E$2:$E422,"ANNULE")),""))</f>
        <v/>
      </c>
    </row>
    <row r="423">
      <c r="A423">
        <f>IF(ISBLANK('ENGAGEMENTS 2026'!B423),"",IF('ENGAGEMENTS 2026'!B423="DTSI","DCT",'ENGAGEMENTS 2026'!B423))</f>
        <v/>
      </c>
      <c r="B423">
        <f>IF(ISBLANK('ENGAGEMENTS 2026'!B423),"",'ENGAGEMENTS 2026'!C423)</f>
        <v/>
      </c>
      <c r="C423">
        <f>IF(ISBLANK('ENGAGEMENTS 2026'!B423),"",'ENGAGEMENTS 2026'!D423)</f>
        <v/>
      </c>
      <c r="D423">
        <f>IF(ISBLANK('ENGAGEMENTS 2026'!B423),"",'ENGAGEMENTS 2026'!F423)</f>
        <v/>
      </c>
      <c r="E423">
        <f>IF(ISBLANK('ENGAGEMENTS 2026'!B423),"",'ENGAGEMENTS 2026'!H423)</f>
        <v/>
      </c>
      <c r="F423">
        <f>IF(ISBLANK('ENGAGEMENTS 2026'!B423),"",'ENGAGEMENTS 2026'!I423)</f>
        <v/>
      </c>
      <c r="G423">
        <f>IF(ISBLANK('ENGAGEMENTS 2026'!B423),"",'ENGAGEMENTS 2026'!L423)</f>
        <v/>
      </c>
      <c r="H423">
        <f>IF(ISBLANK('ENGAGEMENTS 2026'!B423),"",'ENGAGEMENTS 2026'!AE423)</f>
        <v/>
      </c>
      <c r="I423">
        <f>IF(ISBLANK('ENGAGEMENTS 2026'!B423),"",'ENGAGEMENTS 2026'!G423)</f>
        <v/>
      </c>
      <c r="J423" s="275">
        <f>IF(ISBLANK('ENGAGEMENTS 2026'!B423),"",IF(AND(OR($E423="INFRUCTUEUX",$E423="ANNULE"),$C423="AOO-M"),'ENGAGEMENTS 2026'!O423,IF($H423="EN COURS DE PREENGAGEMENT",'ENGAGEMENTS 2026'!N423,IF($H423="PREENGAGE",IF($E423="ATTRIBUE",'ENGAGEMENTS 2026'!AD423,'ENGAGEMENTS 2026'!N423),'ENGAGEMENTS 2026'!AD423))))</f>
        <v/>
      </c>
      <c r="K423" s="604">
        <f>IF(ISBLANK('ENGAGEMENTS 2026'!V423),"",'ENGAGEMENTS 2026'!V423)</f>
        <v/>
      </c>
      <c r="L423" s="276">
        <f>IF($K423="","",TODAY()-$K423)</f>
        <v/>
      </c>
      <c r="M423">
        <f>IF($A423="","",IF($H423="ENGAGE","Engagé",IF(AND($H423="NON ENGAGE",OR($I423="INFRUCTUEUX",$I423="ANNULE")),"Clôturé sans suite","En cours")))</f>
        <v/>
      </c>
      <c r="N423">
        <f>IF(ISBLANK('ENGAGEMENTS 2026'!B423),"",'ENGAGEMENTS 2026'!K423)</f>
        <v/>
      </c>
      <c r="O423">
        <f>IF(ISBLANK('ENGAGEMENTS 2026'!B423),"",'ENGAGEMENTS 2026'!L423)</f>
        <v/>
      </c>
      <c r="P423">
        <f>IF(ISBLANK('ENGAGEMENTS 2026'!B423),"",'ENGAGEMENTS 2026'!J423)</f>
        <v/>
      </c>
      <c r="Q423">
        <f>IF($A423="","",IF(OR($E423="INFRUCTUEUX",$E423="ANNULE"),$A423&amp;"|"&amp;(COUNTIFS($A$2:$A423,$A423,$E$2:$E423,"INFRUCTUEUX")+COUNTIFS($A$2:$A423,$A423,$E$2:$E423,"ANNULE")),""))</f>
        <v/>
      </c>
    </row>
    <row r="424">
      <c r="A424">
        <f>IF(ISBLANK('ENGAGEMENTS 2026'!B424),"",IF('ENGAGEMENTS 2026'!B424="DTSI","DCT",'ENGAGEMENTS 2026'!B424))</f>
        <v/>
      </c>
      <c r="B424">
        <f>IF(ISBLANK('ENGAGEMENTS 2026'!B424),"",'ENGAGEMENTS 2026'!C424)</f>
        <v/>
      </c>
      <c r="C424">
        <f>IF(ISBLANK('ENGAGEMENTS 2026'!B424),"",'ENGAGEMENTS 2026'!D424)</f>
        <v/>
      </c>
      <c r="D424">
        <f>IF(ISBLANK('ENGAGEMENTS 2026'!B424),"",'ENGAGEMENTS 2026'!F424)</f>
        <v/>
      </c>
      <c r="E424">
        <f>IF(ISBLANK('ENGAGEMENTS 2026'!B424),"",'ENGAGEMENTS 2026'!H424)</f>
        <v/>
      </c>
      <c r="F424">
        <f>IF(ISBLANK('ENGAGEMENTS 2026'!B424),"",'ENGAGEMENTS 2026'!I424)</f>
        <v/>
      </c>
      <c r="G424">
        <f>IF(ISBLANK('ENGAGEMENTS 2026'!B424),"",'ENGAGEMENTS 2026'!L424)</f>
        <v/>
      </c>
      <c r="H424">
        <f>IF(ISBLANK('ENGAGEMENTS 2026'!B424),"",'ENGAGEMENTS 2026'!AE424)</f>
        <v/>
      </c>
      <c r="I424">
        <f>IF(ISBLANK('ENGAGEMENTS 2026'!B424),"",'ENGAGEMENTS 2026'!G424)</f>
        <v/>
      </c>
      <c r="J424" s="275">
        <f>IF(ISBLANK('ENGAGEMENTS 2026'!B424),"",IF(AND(OR($E424="INFRUCTUEUX",$E424="ANNULE"),$C424="AOO-M"),'ENGAGEMENTS 2026'!O424,IF($H424="EN COURS DE PREENGAGEMENT",'ENGAGEMENTS 2026'!N424,IF($H424="PREENGAGE",IF($E424="ATTRIBUE",'ENGAGEMENTS 2026'!AD424,'ENGAGEMENTS 2026'!N424),'ENGAGEMENTS 2026'!AD424))))</f>
        <v/>
      </c>
      <c r="K424" s="604">
        <f>IF(ISBLANK('ENGAGEMENTS 2026'!V424),"",'ENGAGEMENTS 2026'!V424)</f>
        <v/>
      </c>
      <c r="L424" s="276">
        <f>IF($K424="","",TODAY()-$K424)</f>
        <v/>
      </c>
      <c r="M424">
        <f>IF($A424="","",IF($H424="ENGAGE","Engagé",IF(AND($H424="NON ENGAGE",OR($I424="INFRUCTUEUX",$I424="ANNULE")),"Clôturé sans suite","En cours")))</f>
        <v/>
      </c>
      <c r="N424">
        <f>IF(ISBLANK('ENGAGEMENTS 2026'!B424),"",'ENGAGEMENTS 2026'!K424)</f>
        <v/>
      </c>
      <c r="O424">
        <f>IF(ISBLANK('ENGAGEMENTS 2026'!B424),"",'ENGAGEMENTS 2026'!L424)</f>
        <v/>
      </c>
      <c r="P424">
        <f>IF(ISBLANK('ENGAGEMENTS 2026'!B424),"",'ENGAGEMENTS 2026'!J424)</f>
        <v/>
      </c>
      <c r="Q424">
        <f>IF($A424="","",IF(OR($E424="INFRUCTUEUX",$E424="ANNULE"),$A424&amp;"|"&amp;(COUNTIFS($A$2:$A424,$A424,$E$2:$E424,"INFRUCTUEUX")+COUNTIFS($A$2:$A424,$A424,$E$2:$E424,"ANNULE")),""))</f>
        <v/>
      </c>
    </row>
    <row r="425">
      <c r="A425">
        <f>IF(ISBLANK('ENGAGEMENTS 2026'!B425),"",IF('ENGAGEMENTS 2026'!B425="DTSI","DCT",'ENGAGEMENTS 2026'!B425))</f>
        <v/>
      </c>
      <c r="B425">
        <f>IF(ISBLANK('ENGAGEMENTS 2026'!B425),"",'ENGAGEMENTS 2026'!C425)</f>
        <v/>
      </c>
      <c r="C425">
        <f>IF(ISBLANK('ENGAGEMENTS 2026'!B425),"",'ENGAGEMENTS 2026'!D425)</f>
        <v/>
      </c>
      <c r="D425">
        <f>IF(ISBLANK('ENGAGEMENTS 2026'!B425),"",'ENGAGEMENTS 2026'!F425)</f>
        <v/>
      </c>
      <c r="E425">
        <f>IF(ISBLANK('ENGAGEMENTS 2026'!B425),"",'ENGAGEMENTS 2026'!H425)</f>
        <v/>
      </c>
      <c r="F425">
        <f>IF(ISBLANK('ENGAGEMENTS 2026'!B425),"",'ENGAGEMENTS 2026'!I425)</f>
        <v/>
      </c>
      <c r="G425">
        <f>IF(ISBLANK('ENGAGEMENTS 2026'!B425),"",'ENGAGEMENTS 2026'!L425)</f>
        <v/>
      </c>
      <c r="H425">
        <f>IF(ISBLANK('ENGAGEMENTS 2026'!B425),"",'ENGAGEMENTS 2026'!AE425)</f>
        <v/>
      </c>
      <c r="I425">
        <f>IF(ISBLANK('ENGAGEMENTS 2026'!B425),"",'ENGAGEMENTS 2026'!G425)</f>
        <v/>
      </c>
      <c r="J425" s="275">
        <f>IF(ISBLANK('ENGAGEMENTS 2026'!B425),"",IF(AND(OR($E425="INFRUCTUEUX",$E425="ANNULE"),$C425="AOO-M"),'ENGAGEMENTS 2026'!O425,IF($H425="EN COURS DE PREENGAGEMENT",'ENGAGEMENTS 2026'!N425,IF($H425="PREENGAGE",IF($E425="ATTRIBUE",'ENGAGEMENTS 2026'!AD425,'ENGAGEMENTS 2026'!N425),'ENGAGEMENTS 2026'!AD425))))</f>
        <v/>
      </c>
      <c r="K425" s="604">
        <f>IF(ISBLANK('ENGAGEMENTS 2026'!V425),"",'ENGAGEMENTS 2026'!V425)</f>
        <v/>
      </c>
      <c r="L425" s="276">
        <f>IF($K425="","",TODAY()-$K425)</f>
        <v/>
      </c>
      <c r="M425">
        <f>IF($A425="","",IF($H425="ENGAGE","Engagé",IF(AND($H425="NON ENGAGE",OR($I425="INFRUCTUEUX",$I425="ANNULE")),"Clôturé sans suite","En cours")))</f>
        <v/>
      </c>
      <c r="N425">
        <f>IF(ISBLANK('ENGAGEMENTS 2026'!B425),"",'ENGAGEMENTS 2026'!K425)</f>
        <v/>
      </c>
      <c r="O425">
        <f>IF(ISBLANK('ENGAGEMENTS 2026'!B425),"",'ENGAGEMENTS 2026'!L425)</f>
        <v/>
      </c>
      <c r="P425">
        <f>IF(ISBLANK('ENGAGEMENTS 2026'!B425),"",'ENGAGEMENTS 2026'!J425)</f>
        <v/>
      </c>
      <c r="Q425">
        <f>IF($A425="","",IF(OR($E425="INFRUCTUEUX",$E425="ANNULE"),$A425&amp;"|"&amp;(COUNTIFS($A$2:$A425,$A425,$E$2:$E425,"INFRUCTUEUX")+COUNTIFS($A$2:$A425,$A425,$E$2:$E425,"ANNULE")),""))</f>
        <v/>
      </c>
    </row>
    <row r="426">
      <c r="A426">
        <f>IF(ISBLANK('ENGAGEMENTS 2026'!B426),"",IF('ENGAGEMENTS 2026'!B426="DTSI","DCT",'ENGAGEMENTS 2026'!B426))</f>
        <v/>
      </c>
      <c r="B426">
        <f>IF(ISBLANK('ENGAGEMENTS 2026'!B426),"",'ENGAGEMENTS 2026'!C426)</f>
        <v/>
      </c>
      <c r="C426">
        <f>IF(ISBLANK('ENGAGEMENTS 2026'!B426),"",'ENGAGEMENTS 2026'!D426)</f>
        <v/>
      </c>
      <c r="D426">
        <f>IF(ISBLANK('ENGAGEMENTS 2026'!B426),"",'ENGAGEMENTS 2026'!F426)</f>
        <v/>
      </c>
      <c r="E426">
        <f>IF(ISBLANK('ENGAGEMENTS 2026'!B426),"",'ENGAGEMENTS 2026'!H426)</f>
        <v/>
      </c>
      <c r="F426">
        <f>IF(ISBLANK('ENGAGEMENTS 2026'!B426),"",'ENGAGEMENTS 2026'!I426)</f>
        <v/>
      </c>
      <c r="G426">
        <f>IF(ISBLANK('ENGAGEMENTS 2026'!B426),"",'ENGAGEMENTS 2026'!L426)</f>
        <v/>
      </c>
      <c r="H426">
        <f>IF(ISBLANK('ENGAGEMENTS 2026'!B426),"",'ENGAGEMENTS 2026'!AE426)</f>
        <v/>
      </c>
      <c r="I426">
        <f>IF(ISBLANK('ENGAGEMENTS 2026'!B426),"",'ENGAGEMENTS 2026'!G426)</f>
        <v/>
      </c>
      <c r="J426" s="275">
        <f>IF(ISBLANK('ENGAGEMENTS 2026'!B426),"",IF(AND(OR($E426="INFRUCTUEUX",$E426="ANNULE"),$C426="AOO-M"),'ENGAGEMENTS 2026'!O426,IF($H426="EN COURS DE PREENGAGEMENT",'ENGAGEMENTS 2026'!N426,IF($H426="PREENGAGE",IF($E426="ATTRIBUE",'ENGAGEMENTS 2026'!AD426,'ENGAGEMENTS 2026'!N426),'ENGAGEMENTS 2026'!AD426))))</f>
        <v/>
      </c>
      <c r="K426" s="604">
        <f>IF(ISBLANK('ENGAGEMENTS 2026'!V426),"",'ENGAGEMENTS 2026'!V426)</f>
        <v/>
      </c>
      <c r="L426" s="276">
        <f>IF($K426="","",TODAY()-$K426)</f>
        <v/>
      </c>
      <c r="M426">
        <f>IF($A426="","",IF($H426="ENGAGE","Engagé",IF(AND($H426="NON ENGAGE",OR($I426="INFRUCTUEUX",$I426="ANNULE")),"Clôturé sans suite","En cours")))</f>
        <v/>
      </c>
      <c r="N426">
        <f>IF(ISBLANK('ENGAGEMENTS 2026'!B426),"",'ENGAGEMENTS 2026'!K426)</f>
        <v/>
      </c>
      <c r="O426">
        <f>IF(ISBLANK('ENGAGEMENTS 2026'!B426),"",'ENGAGEMENTS 2026'!L426)</f>
        <v/>
      </c>
      <c r="P426">
        <f>IF(ISBLANK('ENGAGEMENTS 2026'!B426),"",'ENGAGEMENTS 2026'!J426)</f>
        <v/>
      </c>
      <c r="Q426">
        <f>IF($A426="","",IF(OR($E426="INFRUCTUEUX",$E426="ANNULE"),$A426&amp;"|"&amp;(COUNTIFS($A$2:$A426,$A426,$E$2:$E426,"INFRUCTUEUX")+COUNTIFS($A$2:$A426,$A426,$E$2:$E426,"ANNULE")),""))</f>
        <v/>
      </c>
    </row>
    <row r="427">
      <c r="A427">
        <f>IF(ISBLANK('ENGAGEMENTS 2026'!B427),"",IF('ENGAGEMENTS 2026'!B427="DTSI","DCT",'ENGAGEMENTS 2026'!B427))</f>
        <v/>
      </c>
      <c r="B427">
        <f>IF(ISBLANK('ENGAGEMENTS 2026'!B427),"",'ENGAGEMENTS 2026'!C427)</f>
        <v/>
      </c>
      <c r="C427">
        <f>IF(ISBLANK('ENGAGEMENTS 2026'!B427),"",'ENGAGEMENTS 2026'!D427)</f>
        <v/>
      </c>
      <c r="D427">
        <f>IF(ISBLANK('ENGAGEMENTS 2026'!B427),"",'ENGAGEMENTS 2026'!F427)</f>
        <v/>
      </c>
      <c r="E427">
        <f>IF(ISBLANK('ENGAGEMENTS 2026'!B427),"",'ENGAGEMENTS 2026'!H427)</f>
        <v/>
      </c>
      <c r="F427">
        <f>IF(ISBLANK('ENGAGEMENTS 2026'!B427),"",'ENGAGEMENTS 2026'!I427)</f>
        <v/>
      </c>
      <c r="G427">
        <f>IF(ISBLANK('ENGAGEMENTS 2026'!B427),"",'ENGAGEMENTS 2026'!L427)</f>
        <v/>
      </c>
      <c r="H427">
        <f>IF(ISBLANK('ENGAGEMENTS 2026'!B427),"",'ENGAGEMENTS 2026'!AE427)</f>
        <v/>
      </c>
      <c r="I427">
        <f>IF(ISBLANK('ENGAGEMENTS 2026'!B427),"",'ENGAGEMENTS 2026'!G427)</f>
        <v/>
      </c>
      <c r="J427" s="275">
        <f>IF(ISBLANK('ENGAGEMENTS 2026'!B427),"",IF(AND(OR($E427="INFRUCTUEUX",$E427="ANNULE"),$C427="AOO-M"),'ENGAGEMENTS 2026'!O427,IF($H427="EN COURS DE PREENGAGEMENT",'ENGAGEMENTS 2026'!N427,IF($H427="PREENGAGE",IF($E427="ATTRIBUE",'ENGAGEMENTS 2026'!AD427,'ENGAGEMENTS 2026'!N427),'ENGAGEMENTS 2026'!AD427))))</f>
        <v/>
      </c>
      <c r="K427" s="604">
        <f>IF(ISBLANK('ENGAGEMENTS 2026'!V427),"",'ENGAGEMENTS 2026'!V427)</f>
        <v/>
      </c>
      <c r="L427" s="276">
        <f>IF($K427="","",TODAY()-$K427)</f>
        <v/>
      </c>
      <c r="M427">
        <f>IF($A427="","",IF($H427="ENGAGE","Engagé",IF(AND($H427="NON ENGAGE",OR($I427="INFRUCTUEUX",$I427="ANNULE")),"Clôturé sans suite","En cours")))</f>
        <v/>
      </c>
      <c r="N427">
        <f>IF(ISBLANK('ENGAGEMENTS 2026'!B427),"",'ENGAGEMENTS 2026'!K427)</f>
        <v/>
      </c>
      <c r="O427">
        <f>IF(ISBLANK('ENGAGEMENTS 2026'!B427),"",'ENGAGEMENTS 2026'!L427)</f>
        <v/>
      </c>
      <c r="P427">
        <f>IF(ISBLANK('ENGAGEMENTS 2026'!B427),"",'ENGAGEMENTS 2026'!J427)</f>
        <v/>
      </c>
      <c r="Q427">
        <f>IF($A427="","",IF(OR($E427="INFRUCTUEUX",$E427="ANNULE"),$A427&amp;"|"&amp;(COUNTIFS($A$2:$A427,$A427,$E$2:$E427,"INFRUCTUEUX")+COUNTIFS($A$2:$A427,$A427,$E$2:$E427,"ANNULE")),""))</f>
        <v/>
      </c>
    </row>
    <row r="428">
      <c r="A428">
        <f>IF(ISBLANK('ENGAGEMENTS 2026'!B428),"",IF('ENGAGEMENTS 2026'!B428="DTSI","DCT",'ENGAGEMENTS 2026'!B428))</f>
        <v/>
      </c>
      <c r="B428">
        <f>IF(ISBLANK('ENGAGEMENTS 2026'!B428),"",'ENGAGEMENTS 2026'!C428)</f>
        <v/>
      </c>
      <c r="C428">
        <f>IF(ISBLANK('ENGAGEMENTS 2026'!B428),"",'ENGAGEMENTS 2026'!D428)</f>
        <v/>
      </c>
      <c r="D428">
        <f>IF(ISBLANK('ENGAGEMENTS 2026'!B428),"",'ENGAGEMENTS 2026'!F428)</f>
        <v/>
      </c>
      <c r="E428">
        <f>IF(ISBLANK('ENGAGEMENTS 2026'!B428),"",'ENGAGEMENTS 2026'!H428)</f>
        <v/>
      </c>
      <c r="F428">
        <f>IF(ISBLANK('ENGAGEMENTS 2026'!B428),"",'ENGAGEMENTS 2026'!I428)</f>
        <v/>
      </c>
      <c r="G428">
        <f>IF(ISBLANK('ENGAGEMENTS 2026'!B428),"",'ENGAGEMENTS 2026'!L428)</f>
        <v/>
      </c>
      <c r="H428">
        <f>IF(ISBLANK('ENGAGEMENTS 2026'!B428),"",'ENGAGEMENTS 2026'!AE428)</f>
        <v/>
      </c>
      <c r="I428">
        <f>IF(ISBLANK('ENGAGEMENTS 2026'!B428),"",'ENGAGEMENTS 2026'!G428)</f>
        <v/>
      </c>
      <c r="J428" s="275">
        <f>IF(ISBLANK('ENGAGEMENTS 2026'!B428),"",IF(AND(OR($E428="INFRUCTUEUX",$E428="ANNULE"),$C428="AOO-M"),'ENGAGEMENTS 2026'!O428,IF($H428="EN COURS DE PREENGAGEMENT",'ENGAGEMENTS 2026'!N428,IF($H428="PREENGAGE",IF($E428="ATTRIBUE",'ENGAGEMENTS 2026'!AD428,'ENGAGEMENTS 2026'!N428),'ENGAGEMENTS 2026'!AD428))))</f>
        <v/>
      </c>
      <c r="K428" s="604">
        <f>IF(ISBLANK('ENGAGEMENTS 2026'!V428),"",'ENGAGEMENTS 2026'!V428)</f>
        <v/>
      </c>
      <c r="L428" s="276">
        <f>IF($K428="","",TODAY()-$K428)</f>
        <v/>
      </c>
      <c r="M428">
        <f>IF($A428="","",IF($H428="ENGAGE","Engagé",IF(AND($H428="NON ENGAGE",OR($I428="INFRUCTUEUX",$I428="ANNULE")),"Clôturé sans suite","En cours")))</f>
        <v/>
      </c>
      <c r="N428">
        <f>IF(ISBLANK('ENGAGEMENTS 2026'!B428),"",'ENGAGEMENTS 2026'!K428)</f>
        <v/>
      </c>
      <c r="O428">
        <f>IF(ISBLANK('ENGAGEMENTS 2026'!B428),"",'ENGAGEMENTS 2026'!L428)</f>
        <v/>
      </c>
      <c r="P428">
        <f>IF(ISBLANK('ENGAGEMENTS 2026'!B428),"",'ENGAGEMENTS 2026'!J428)</f>
        <v/>
      </c>
      <c r="Q428">
        <f>IF($A428="","",IF(OR($E428="INFRUCTUEUX",$E428="ANNULE"),$A428&amp;"|"&amp;(COUNTIFS($A$2:$A428,$A428,$E$2:$E428,"INFRUCTUEUX")+COUNTIFS($A$2:$A428,$A428,$E$2:$E428,"ANNULE")),""))</f>
        <v/>
      </c>
    </row>
    <row r="429">
      <c r="A429">
        <f>IF(ISBLANK('ENGAGEMENTS 2026'!B429),"",IF('ENGAGEMENTS 2026'!B429="DTSI","DCT",'ENGAGEMENTS 2026'!B429))</f>
        <v/>
      </c>
      <c r="B429">
        <f>IF(ISBLANK('ENGAGEMENTS 2026'!B429),"",'ENGAGEMENTS 2026'!C429)</f>
        <v/>
      </c>
      <c r="C429">
        <f>IF(ISBLANK('ENGAGEMENTS 2026'!B429),"",'ENGAGEMENTS 2026'!D429)</f>
        <v/>
      </c>
      <c r="D429">
        <f>IF(ISBLANK('ENGAGEMENTS 2026'!B429),"",'ENGAGEMENTS 2026'!F429)</f>
        <v/>
      </c>
      <c r="E429">
        <f>IF(ISBLANK('ENGAGEMENTS 2026'!B429),"",'ENGAGEMENTS 2026'!H429)</f>
        <v/>
      </c>
      <c r="F429">
        <f>IF(ISBLANK('ENGAGEMENTS 2026'!B429),"",'ENGAGEMENTS 2026'!I429)</f>
        <v/>
      </c>
      <c r="G429">
        <f>IF(ISBLANK('ENGAGEMENTS 2026'!B429),"",'ENGAGEMENTS 2026'!L429)</f>
        <v/>
      </c>
      <c r="H429">
        <f>IF(ISBLANK('ENGAGEMENTS 2026'!B429),"",'ENGAGEMENTS 2026'!AE429)</f>
        <v/>
      </c>
      <c r="I429">
        <f>IF(ISBLANK('ENGAGEMENTS 2026'!B429),"",'ENGAGEMENTS 2026'!G429)</f>
        <v/>
      </c>
      <c r="J429" s="275">
        <f>IF(ISBLANK('ENGAGEMENTS 2026'!B429),"",IF(AND(OR($E429="INFRUCTUEUX",$E429="ANNULE"),$C429="AOO-M"),'ENGAGEMENTS 2026'!O429,IF($H429="EN COURS DE PREENGAGEMENT",'ENGAGEMENTS 2026'!N429,IF($H429="PREENGAGE",IF($E429="ATTRIBUE",'ENGAGEMENTS 2026'!AD429,'ENGAGEMENTS 2026'!N429),'ENGAGEMENTS 2026'!AD429))))</f>
        <v/>
      </c>
      <c r="K429" s="604">
        <f>IF(ISBLANK('ENGAGEMENTS 2026'!V429),"",'ENGAGEMENTS 2026'!V429)</f>
        <v/>
      </c>
      <c r="L429" s="276">
        <f>IF($K429="","",TODAY()-$K429)</f>
        <v/>
      </c>
      <c r="M429">
        <f>IF($A429="","",IF($H429="ENGAGE","Engagé",IF(AND($H429="NON ENGAGE",OR($I429="INFRUCTUEUX",$I429="ANNULE")),"Clôturé sans suite","En cours")))</f>
        <v/>
      </c>
      <c r="N429">
        <f>IF(ISBLANK('ENGAGEMENTS 2026'!B429),"",'ENGAGEMENTS 2026'!K429)</f>
        <v/>
      </c>
      <c r="O429">
        <f>IF(ISBLANK('ENGAGEMENTS 2026'!B429),"",'ENGAGEMENTS 2026'!L429)</f>
        <v/>
      </c>
      <c r="P429">
        <f>IF(ISBLANK('ENGAGEMENTS 2026'!B429),"",'ENGAGEMENTS 2026'!J429)</f>
        <v/>
      </c>
      <c r="Q429">
        <f>IF($A429="","",IF(OR($E429="INFRUCTUEUX",$E429="ANNULE"),$A429&amp;"|"&amp;(COUNTIFS($A$2:$A429,$A429,$E$2:$E429,"INFRUCTUEUX")+COUNTIFS($A$2:$A429,$A429,$E$2:$E429,"ANNULE")),""))</f>
        <v/>
      </c>
    </row>
    <row r="430">
      <c r="A430">
        <f>IF(ISBLANK('ENGAGEMENTS 2026'!B430),"",IF('ENGAGEMENTS 2026'!B430="DTSI","DCT",'ENGAGEMENTS 2026'!B430))</f>
        <v/>
      </c>
      <c r="B430">
        <f>IF(ISBLANK('ENGAGEMENTS 2026'!B430),"",'ENGAGEMENTS 2026'!C430)</f>
        <v/>
      </c>
      <c r="C430">
        <f>IF(ISBLANK('ENGAGEMENTS 2026'!B430),"",'ENGAGEMENTS 2026'!D430)</f>
        <v/>
      </c>
      <c r="D430">
        <f>IF(ISBLANK('ENGAGEMENTS 2026'!B430),"",'ENGAGEMENTS 2026'!F430)</f>
        <v/>
      </c>
      <c r="E430">
        <f>IF(ISBLANK('ENGAGEMENTS 2026'!B430),"",'ENGAGEMENTS 2026'!H430)</f>
        <v/>
      </c>
      <c r="F430">
        <f>IF(ISBLANK('ENGAGEMENTS 2026'!B430),"",'ENGAGEMENTS 2026'!I430)</f>
        <v/>
      </c>
      <c r="G430">
        <f>IF(ISBLANK('ENGAGEMENTS 2026'!B430),"",'ENGAGEMENTS 2026'!L430)</f>
        <v/>
      </c>
      <c r="H430">
        <f>IF(ISBLANK('ENGAGEMENTS 2026'!B430),"",'ENGAGEMENTS 2026'!AE430)</f>
        <v/>
      </c>
      <c r="I430">
        <f>IF(ISBLANK('ENGAGEMENTS 2026'!B430),"",'ENGAGEMENTS 2026'!G430)</f>
        <v/>
      </c>
      <c r="J430" s="275">
        <f>IF(ISBLANK('ENGAGEMENTS 2026'!B430),"",IF(AND(OR($E430="INFRUCTUEUX",$E430="ANNULE"),$C430="AOO-M"),'ENGAGEMENTS 2026'!O430,IF($H430="EN COURS DE PREENGAGEMENT",'ENGAGEMENTS 2026'!N430,IF($H430="PREENGAGE",IF($E430="ATTRIBUE",'ENGAGEMENTS 2026'!AD430,'ENGAGEMENTS 2026'!N430),'ENGAGEMENTS 2026'!AD430))))</f>
        <v/>
      </c>
      <c r="K430" s="604">
        <f>IF(ISBLANK('ENGAGEMENTS 2026'!V430),"",'ENGAGEMENTS 2026'!V430)</f>
        <v/>
      </c>
      <c r="L430" s="276">
        <f>IF($K430="","",TODAY()-$K430)</f>
        <v/>
      </c>
      <c r="M430">
        <f>IF($A430="","",IF($H430="ENGAGE","Engagé",IF(AND($H430="NON ENGAGE",OR($I430="INFRUCTUEUX",$I430="ANNULE")),"Clôturé sans suite","En cours")))</f>
        <v/>
      </c>
      <c r="N430">
        <f>IF(ISBLANK('ENGAGEMENTS 2026'!B430),"",'ENGAGEMENTS 2026'!K430)</f>
        <v/>
      </c>
      <c r="O430">
        <f>IF(ISBLANK('ENGAGEMENTS 2026'!B430),"",'ENGAGEMENTS 2026'!L430)</f>
        <v/>
      </c>
      <c r="P430">
        <f>IF(ISBLANK('ENGAGEMENTS 2026'!B430),"",'ENGAGEMENTS 2026'!J430)</f>
        <v/>
      </c>
      <c r="Q430">
        <f>IF($A430="","",IF(OR($E430="INFRUCTUEUX",$E430="ANNULE"),$A430&amp;"|"&amp;(COUNTIFS($A$2:$A430,$A430,$E$2:$E430,"INFRUCTUEUX")+COUNTIFS($A$2:$A430,$A430,$E$2:$E430,"ANNULE")),""))</f>
        <v/>
      </c>
    </row>
    <row r="431">
      <c r="A431">
        <f>IF(ISBLANK('ENGAGEMENTS 2026'!B431),"",IF('ENGAGEMENTS 2026'!B431="DTSI","DCT",'ENGAGEMENTS 2026'!B431))</f>
        <v/>
      </c>
      <c r="B431">
        <f>IF(ISBLANK('ENGAGEMENTS 2026'!B431),"",'ENGAGEMENTS 2026'!C431)</f>
        <v/>
      </c>
      <c r="C431">
        <f>IF(ISBLANK('ENGAGEMENTS 2026'!B431),"",'ENGAGEMENTS 2026'!D431)</f>
        <v/>
      </c>
      <c r="D431">
        <f>IF(ISBLANK('ENGAGEMENTS 2026'!B431),"",'ENGAGEMENTS 2026'!F431)</f>
        <v/>
      </c>
      <c r="E431">
        <f>IF(ISBLANK('ENGAGEMENTS 2026'!B431),"",'ENGAGEMENTS 2026'!H431)</f>
        <v/>
      </c>
      <c r="F431">
        <f>IF(ISBLANK('ENGAGEMENTS 2026'!B431),"",'ENGAGEMENTS 2026'!I431)</f>
        <v/>
      </c>
      <c r="G431">
        <f>IF(ISBLANK('ENGAGEMENTS 2026'!B431),"",'ENGAGEMENTS 2026'!L431)</f>
        <v/>
      </c>
      <c r="H431">
        <f>IF(ISBLANK('ENGAGEMENTS 2026'!B431),"",'ENGAGEMENTS 2026'!AE431)</f>
        <v/>
      </c>
      <c r="I431">
        <f>IF(ISBLANK('ENGAGEMENTS 2026'!B431),"",'ENGAGEMENTS 2026'!G431)</f>
        <v/>
      </c>
      <c r="J431" s="275">
        <f>IF(ISBLANK('ENGAGEMENTS 2026'!B431),"",IF(AND(OR($E431="INFRUCTUEUX",$E431="ANNULE"),$C431="AOO-M"),'ENGAGEMENTS 2026'!O431,IF($H431="EN COURS DE PREENGAGEMENT",'ENGAGEMENTS 2026'!N431,IF($H431="PREENGAGE",IF($E431="ATTRIBUE",'ENGAGEMENTS 2026'!AD431,'ENGAGEMENTS 2026'!N431),'ENGAGEMENTS 2026'!AD431))))</f>
        <v/>
      </c>
      <c r="K431" s="604">
        <f>IF(ISBLANK('ENGAGEMENTS 2026'!V431),"",'ENGAGEMENTS 2026'!V431)</f>
        <v/>
      </c>
      <c r="L431" s="276">
        <f>IF($K431="","",TODAY()-$K431)</f>
        <v/>
      </c>
      <c r="M431">
        <f>IF($A431="","",IF($H431="ENGAGE","Engagé",IF(AND($H431="NON ENGAGE",OR($I431="INFRUCTUEUX",$I431="ANNULE")),"Clôturé sans suite","En cours")))</f>
        <v/>
      </c>
      <c r="N431">
        <f>IF(ISBLANK('ENGAGEMENTS 2026'!B431),"",'ENGAGEMENTS 2026'!K431)</f>
        <v/>
      </c>
      <c r="O431">
        <f>IF(ISBLANK('ENGAGEMENTS 2026'!B431),"",'ENGAGEMENTS 2026'!L431)</f>
        <v/>
      </c>
      <c r="P431">
        <f>IF(ISBLANK('ENGAGEMENTS 2026'!B431),"",'ENGAGEMENTS 2026'!J431)</f>
        <v/>
      </c>
      <c r="Q431">
        <f>IF($A431="","",IF(OR($E431="INFRUCTUEUX",$E431="ANNULE"),$A431&amp;"|"&amp;(COUNTIFS($A$2:$A431,$A431,$E$2:$E431,"INFRUCTUEUX")+COUNTIFS($A$2:$A431,$A431,$E$2:$E431,"ANNULE")),""))</f>
        <v/>
      </c>
    </row>
    <row r="432">
      <c r="A432">
        <f>IF(ISBLANK('ENGAGEMENTS 2026'!B432),"",IF('ENGAGEMENTS 2026'!B432="DTSI","DCT",'ENGAGEMENTS 2026'!B432))</f>
        <v/>
      </c>
      <c r="B432">
        <f>IF(ISBLANK('ENGAGEMENTS 2026'!B432),"",'ENGAGEMENTS 2026'!C432)</f>
        <v/>
      </c>
      <c r="C432">
        <f>IF(ISBLANK('ENGAGEMENTS 2026'!B432),"",'ENGAGEMENTS 2026'!D432)</f>
        <v/>
      </c>
      <c r="D432">
        <f>IF(ISBLANK('ENGAGEMENTS 2026'!B432),"",'ENGAGEMENTS 2026'!F432)</f>
        <v/>
      </c>
      <c r="E432">
        <f>IF(ISBLANK('ENGAGEMENTS 2026'!B432),"",'ENGAGEMENTS 2026'!H432)</f>
        <v/>
      </c>
      <c r="F432">
        <f>IF(ISBLANK('ENGAGEMENTS 2026'!B432),"",'ENGAGEMENTS 2026'!I432)</f>
        <v/>
      </c>
      <c r="G432">
        <f>IF(ISBLANK('ENGAGEMENTS 2026'!B432),"",'ENGAGEMENTS 2026'!L432)</f>
        <v/>
      </c>
      <c r="H432">
        <f>IF(ISBLANK('ENGAGEMENTS 2026'!B432),"",'ENGAGEMENTS 2026'!AE432)</f>
        <v/>
      </c>
      <c r="I432">
        <f>IF(ISBLANK('ENGAGEMENTS 2026'!B432),"",'ENGAGEMENTS 2026'!G432)</f>
        <v/>
      </c>
      <c r="J432" s="275">
        <f>IF(ISBLANK('ENGAGEMENTS 2026'!B432),"",IF(AND(OR($E432="INFRUCTUEUX",$E432="ANNULE"),$C432="AOO-M"),'ENGAGEMENTS 2026'!O432,IF($H432="EN COURS DE PREENGAGEMENT",'ENGAGEMENTS 2026'!N432,IF($H432="PREENGAGE",IF($E432="ATTRIBUE",'ENGAGEMENTS 2026'!AD432,'ENGAGEMENTS 2026'!N432),'ENGAGEMENTS 2026'!AD432))))</f>
        <v/>
      </c>
      <c r="K432" s="604">
        <f>IF(ISBLANK('ENGAGEMENTS 2026'!V432),"",'ENGAGEMENTS 2026'!V432)</f>
        <v/>
      </c>
      <c r="L432" s="276">
        <f>IF($K432="","",TODAY()-$K432)</f>
        <v/>
      </c>
      <c r="M432">
        <f>IF($A432="","",IF($H432="ENGAGE","Engagé",IF(AND($H432="NON ENGAGE",OR($I432="INFRUCTUEUX",$I432="ANNULE")),"Clôturé sans suite","En cours")))</f>
        <v/>
      </c>
      <c r="N432">
        <f>IF(ISBLANK('ENGAGEMENTS 2026'!B432),"",'ENGAGEMENTS 2026'!K432)</f>
        <v/>
      </c>
      <c r="O432">
        <f>IF(ISBLANK('ENGAGEMENTS 2026'!B432),"",'ENGAGEMENTS 2026'!L432)</f>
        <v/>
      </c>
      <c r="P432">
        <f>IF(ISBLANK('ENGAGEMENTS 2026'!B432),"",'ENGAGEMENTS 2026'!J432)</f>
        <v/>
      </c>
      <c r="Q432">
        <f>IF($A432="","",IF(OR($E432="INFRUCTUEUX",$E432="ANNULE"),$A432&amp;"|"&amp;(COUNTIFS($A$2:$A432,$A432,$E$2:$E432,"INFRUCTUEUX")+COUNTIFS($A$2:$A432,$A432,$E$2:$E432,"ANNULE")),""))</f>
        <v/>
      </c>
    </row>
    <row r="433">
      <c r="A433">
        <f>IF(ISBLANK('ENGAGEMENTS 2026'!B433),"",IF('ENGAGEMENTS 2026'!B433="DTSI","DCT",'ENGAGEMENTS 2026'!B433))</f>
        <v/>
      </c>
      <c r="B433">
        <f>IF(ISBLANK('ENGAGEMENTS 2026'!B433),"",'ENGAGEMENTS 2026'!C433)</f>
        <v/>
      </c>
      <c r="C433">
        <f>IF(ISBLANK('ENGAGEMENTS 2026'!B433),"",'ENGAGEMENTS 2026'!D433)</f>
        <v/>
      </c>
      <c r="D433">
        <f>IF(ISBLANK('ENGAGEMENTS 2026'!B433),"",'ENGAGEMENTS 2026'!F433)</f>
        <v/>
      </c>
      <c r="E433">
        <f>IF(ISBLANK('ENGAGEMENTS 2026'!B433),"",'ENGAGEMENTS 2026'!H433)</f>
        <v/>
      </c>
      <c r="F433">
        <f>IF(ISBLANK('ENGAGEMENTS 2026'!B433),"",'ENGAGEMENTS 2026'!I433)</f>
        <v/>
      </c>
      <c r="G433">
        <f>IF(ISBLANK('ENGAGEMENTS 2026'!B433),"",'ENGAGEMENTS 2026'!L433)</f>
        <v/>
      </c>
      <c r="H433">
        <f>IF(ISBLANK('ENGAGEMENTS 2026'!B433),"",'ENGAGEMENTS 2026'!AE433)</f>
        <v/>
      </c>
      <c r="I433">
        <f>IF(ISBLANK('ENGAGEMENTS 2026'!B433),"",'ENGAGEMENTS 2026'!G433)</f>
        <v/>
      </c>
      <c r="J433" s="275">
        <f>IF(ISBLANK('ENGAGEMENTS 2026'!B433),"",IF(AND(OR($E433="INFRUCTUEUX",$E433="ANNULE"),$C433="AOO-M"),'ENGAGEMENTS 2026'!O433,IF($H433="EN COURS DE PREENGAGEMENT",'ENGAGEMENTS 2026'!N433,IF($H433="PREENGAGE",IF($E433="ATTRIBUE",'ENGAGEMENTS 2026'!AD433,'ENGAGEMENTS 2026'!N433),'ENGAGEMENTS 2026'!AD433))))</f>
        <v/>
      </c>
      <c r="K433" s="604">
        <f>IF(ISBLANK('ENGAGEMENTS 2026'!V433),"",'ENGAGEMENTS 2026'!V433)</f>
        <v/>
      </c>
      <c r="L433" s="276">
        <f>IF($K433="","",TODAY()-$K433)</f>
        <v/>
      </c>
      <c r="M433">
        <f>IF($A433="","",IF($H433="ENGAGE","Engagé",IF(AND($H433="NON ENGAGE",OR($I433="INFRUCTUEUX",$I433="ANNULE")),"Clôturé sans suite","En cours")))</f>
        <v/>
      </c>
      <c r="N433">
        <f>IF(ISBLANK('ENGAGEMENTS 2026'!B433),"",'ENGAGEMENTS 2026'!K433)</f>
        <v/>
      </c>
      <c r="O433">
        <f>IF(ISBLANK('ENGAGEMENTS 2026'!B433),"",'ENGAGEMENTS 2026'!L433)</f>
        <v/>
      </c>
      <c r="P433">
        <f>IF(ISBLANK('ENGAGEMENTS 2026'!B433),"",'ENGAGEMENTS 2026'!J433)</f>
        <v/>
      </c>
      <c r="Q433">
        <f>IF($A433="","",IF(OR($E433="INFRUCTUEUX",$E433="ANNULE"),$A433&amp;"|"&amp;(COUNTIFS($A$2:$A433,$A433,$E$2:$E433,"INFRUCTUEUX")+COUNTIFS($A$2:$A433,$A433,$E$2:$E433,"ANNULE")),""))</f>
        <v/>
      </c>
    </row>
    <row r="434">
      <c r="A434">
        <f>IF(ISBLANK('ENGAGEMENTS 2026'!B434),"",IF('ENGAGEMENTS 2026'!B434="DTSI","DCT",'ENGAGEMENTS 2026'!B434))</f>
        <v/>
      </c>
      <c r="B434">
        <f>IF(ISBLANK('ENGAGEMENTS 2026'!B434),"",'ENGAGEMENTS 2026'!C434)</f>
        <v/>
      </c>
      <c r="C434">
        <f>IF(ISBLANK('ENGAGEMENTS 2026'!B434),"",'ENGAGEMENTS 2026'!D434)</f>
        <v/>
      </c>
      <c r="D434">
        <f>IF(ISBLANK('ENGAGEMENTS 2026'!B434),"",'ENGAGEMENTS 2026'!F434)</f>
        <v/>
      </c>
      <c r="E434">
        <f>IF(ISBLANK('ENGAGEMENTS 2026'!B434),"",'ENGAGEMENTS 2026'!H434)</f>
        <v/>
      </c>
      <c r="F434">
        <f>IF(ISBLANK('ENGAGEMENTS 2026'!B434),"",'ENGAGEMENTS 2026'!I434)</f>
        <v/>
      </c>
      <c r="G434">
        <f>IF(ISBLANK('ENGAGEMENTS 2026'!B434),"",'ENGAGEMENTS 2026'!L434)</f>
        <v/>
      </c>
      <c r="H434">
        <f>IF(ISBLANK('ENGAGEMENTS 2026'!B434),"",'ENGAGEMENTS 2026'!AE434)</f>
        <v/>
      </c>
      <c r="I434">
        <f>IF(ISBLANK('ENGAGEMENTS 2026'!B434),"",'ENGAGEMENTS 2026'!G434)</f>
        <v/>
      </c>
      <c r="J434" s="275">
        <f>IF(ISBLANK('ENGAGEMENTS 2026'!B434),"",IF(AND(OR($E434="INFRUCTUEUX",$E434="ANNULE"),$C434="AOO-M"),'ENGAGEMENTS 2026'!O434,IF($H434="EN COURS DE PREENGAGEMENT",'ENGAGEMENTS 2026'!N434,IF($H434="PREENGAGE",IF($E434="ATTRIBUE",'ENGAGEMENTS 2026'!AD434,'ENGAGEMENTS 2026'!N434),'ENGAGEMENTS 2026'!AD434))))</f>
        <v/>
      </c>
      <c r="K434" s="604">
        <f>IF(ISBLANK('ENGAGEMENTS 2026'!V434),"",'ENGAGEMENTS 2026'!V434)</f>
        <v/>
      </c>
      <c r="L434" s="276">
        <f>IF($K434="","",TODAY()-$K434)</f>
        <v/>
      </c>
      <c r="M434">
        <f>IF($A434="","",IF($H434="ENGAGE","Engagé",IF(AND($H434="NON ENGAGE",OR($I434="INFRUCTUEUX",$I434="ANNULE")),"Clôturé sans suite","En cours")))</f>
        <v/>
      </c>
      <c r="N434">
        <f>IF(ISBLANK('ENGAGEMENTS 2026'!B434),"",'ENGAGEMENTS 2026'!K434)</f>
        <v/>
      </c>
      <c r="O434">
        <f>IF(ISBLANK('ENGAGEMENTS 2026'!B434),"",'ENGAGEMENTS 2026'!L434)</f>
        <v/>
      </c>
      <c r="P434">
        <f>IF(ISBLANK('ENGAGEMENTS 2026'!B434),"",'ENGAGEMENTS 2026'!J434)</f>
        <v/>
      </c>
      <c r="Q434">
        <f>IF($A434="","",IF(OR($E434="INFRUCTUEUX",$E434="ANNULE"),$A434&amp;"|"&amp;(COUNTIFS($A$2:$A434,$A434,$E$2:$E434,"INFRUCTUEUX")+COUNTIFS($A$2:$A434,$A434,$E$2:$E434,"ANNULE")),""))</f>
        <v/>
      </c>
    </row>
    <row r="435">
      <c r="A435">
        <f>IF(ISBLANK('ENGAGEMENTS 2026'!B435),"",IF('ENGAGEMENTS 2026'!B435="DTSI","DCT",'ENGAGEMENTS 2026'!B435))</f>
        <v/>
      </c>
      <c r="B435">
        <f>IF(ISBLANK('ENGAGEMENTS 2026'!B435),"",'ENGAGEMENTS 2026'!C435)</f>
        <v/>
      </c>
      <c r="C435">
        <f>IF(ISBLANK('ENGAGEMENTS 2026'!B435),"",'ENGAGEMENTS 2026'!D435)</f>
        <v/>
      </c>
      <c r="D435">
        <f>IF(ISBLANK('ENGAGEMENTS 2026'!B435),"",'ENGAGEMENTS 2026'!F435)</f>
        <v/>
      </c>
      <c r="E435">
        <f>IF(ISBLANK('ENGAGEMENTS 2026'!B435),"",'ENGAGEMENTS 2026'!H435)</f>
        <v/>
      </c>
      <c r="F435">
        <f>IF(ISBLANK('ENGAGEMENTS 2026'!B435),"",'ENGAGEMENTS 2026'!I435)</f>
        <v/>
      </c>
      <c r="G435">
        <f>IF(ISBLANK('ENGAGEMENTS 2026'!B435),"",'ENGAGEMENTS 2026'!L435)</f>
        <v/>
      </c>
      <c r="H435">
        <f>IF(ISBLANK('ENGAGEMENTS 2026'!B435),"",'ENGAGEMENTS 2026'!AE435)</f>
        <v/>
      </c>
      <c r="I435">
        <f>IF(ISBLANK('ENGAGEMENTS 2026'!B435),"",'ENGAGEMENTS 2026'!G435)</f>
        <v/>
      </c>
      <c r="J435" s="275">
        <f>IF(ISBLANK('ENGAGEMENTS 2026'!B435),"",IF(AND(OR($E435="INFRUCTUEUX",$E435="ANNULE"),$C435="AOO-M"),'ENGAGEMENTS 2026'!O435,IF($H435="EN COURS DE PREENGAGEMENT",'ENGAGEMENTS 2026'!N435,IF($H435="PREENGAGE",IF($E435="ATTRIBUE",'ENGAGEMENTS 2026'!AD435,'ENGAGEMENTS 2026'!N435),'ENGAGEMENTS 2026'!AD435))))</f>
        <v/>
      </c>
      <c r="K435" s="604">
        <f>IF(ISBLANK('ENGAGEMENTS 2026'!V435),"",'ENGAGEMENTS 2026'!V435)</f>
        <v/>
      </c>
      <c r="L435" s="276">
        <f>IF($K435="","",TODAY()-$K435)</f>
        <v/>
      </c>
      <c r="M435">
        <f>IF($A435="","",IF($H435="ENGAGE","Engagé",IF(AND($H435="NON ENGAGE",OR($I435="INFRUCTUEUX",$I435="ANNULE")),"Clôturé sans suite","En cours")))</f>
        <v/>
      </c>
      <c r="N435">
        <f>IF(ISBLANK('ENGAGEMENTS 2026'!B435),"",'ENGAGEMENTS 2026'!K435)</f>
        <v/>
      </c>
      <c r="O435">
        <f>IF(ISBLANK('ENGAGEMENTS 2026'!B435),"",'ENGAGEMENTS 2026'!L435)</f>
        <v/>
      </c>
      <c r="P435">
        <f>IF(ISBLANK('ENGAGEMENTS 2026'!B435),"",'ENGAGEMENTS 2026'!J435)</f>
        <v/>
      </c>
      <c r="Q435">
        <f>IF($A435="","",IF(OR($E435="INFRUCTUEUX",$E435="ANNULE"),$A435&amp;"|"&amp;(COUNTIFS($A$2:$A435,$A435,$E$2:$E435,"INFRUCTUEUX")+COUNTIFS($A$2:$A435,$A435,$E$2:$E435,"ANNULE")),""))</f>
        <v/>
      </c>
    </row>
    <row r="436">
      <c r="A436">
        <f>IF(ISBLANK('ENGAGEMENTS 2026'!B436),"",IF('ENGAGEMENTS 2026'!B436="DTSI","DCT",'ENGAGEMENTS 2026'!B436))</f>
        <v/>
      </c>
      <c r="B436">
        <f>IF(ISBLANK('ENGAGEMENTS 2026'!B436),"",'ENGAGEMENTS 2026'!C436)</f>
        <v/>
      </c>
      <c r="C436">
        <f>IF(ISBLANK('ENGAGEMENTS 2026'!B436),"",'ENGAGEMENTS 2026'!D436)</f>
        <v/>
      </c>
      <c r="D436">
        <f>IF(ISBLANK('ENGAGEMENTS 2026'!B436),"",'ENGAGEMENTS 2026'!F436)</f>
        <v/>
      </c>
      <c r="E436">
        <f>IF(ISBLANK('ENGAGEMENTS 2026'!B436),"",'ENGAGEMENTS 2026'!H436)</f>
        <v/>
      </c>
      <c r="F436">
        <f>IF(ISBLANK('ENGAGEMENTS 2026'!B436),"",'ENGAGEMENTS 2026'!I436)</f>
        <v/>
      </c>
      <c r="G436">
        <f>IF(ISBLANK('ENGAGEMENTS 2026'!B436),"",'ENGAGEMENTS 2026'!L436)</f>
        <v/>
      </c>
      <c r="H436">
        <f>IF(ISBLANK('ENGAGEMENTS 2026'!B436),"",'ENGAGEMENTS 2026'!AE436)</f>
        <v/>
      </c>
      <c r="I436">
        <f>IF(ISBLANK('ENGAGEMENTS 2026'!B436),"",'ENGAGEMENTS 2026'!G436)</f>
        <v/>
      </c>
      <c r="J436" s="275">
        <f>IF(ISBLANK('ENGAGEMENTS 2026'!B436),"",IF(AND(OR($E436="INFRUCTUEUX",$E436="ANNULE"),$C436="AOO-M"),'ENGAGEMENTS 2026'!O436,IF($H436="EN COURS DE PREENGAGEMENT",'ENGAGEMENTS 2026'!N436,IF($H436="PREENGAGE",IF($E436="ATTRIBUE",'ENGAGEMENTS 2026'!AD436,'ENGAGEMENTS 2026'!N436),'ENGAGEMENTS 2026'!AD436))))</f>
        <v/>
      </c>
      <c r="K436" s="604">
        <f>IF(ISBLANK('ENGAGEMENTS 2026'!V436),"",'ENGAGEMENTS 2026'!V436)</f>
        <v/>
      </c>
      <c r="L436" s="276">
        <f>IF($K436="","",TODAY()-$K436)</f>
        <v/>
      </c>
      <c r="M436">
        <f>IF($A436="","",IF($H436="ENGAGE","Engagé",IF(AND($H436="NON ENGAGE",OR($I436="INFRUCTUEUX",$I436="ANNULE")),"Clôturé sans suite","En cours")))</f>
        <v/>
      </c>
      <c r="N436">
        <f>IF(ISBLANK('ENGAGEMENTS 2026'!B436),"",'ENGAGEMENTS 2026'!K436)</f>
        <v/>
      </c>
      <c r="O436">
        <f>IF(ISBLANK('ENGAGEMENTS 2026'!B436),"",'ENGAGEMENTS 2026'!L436)</f>
        <v/>
      </c>
      <c r="P436">
        <f>IF(ISBLANK('ENGAGEMENTS 2026'!B436),"",'ENGAGEMENTS 2026'!J436)</f>
        <v/>
      </c>
      <c r="Q436">
        <f>IF($A436="","",IF(OR($E436="INFRUCTUEUX",$E436="ANNULE"),$A436&amp;"|"&amp;(COUNTIFS($A$2:$A436,$A436,$E$2:$E436,"INFRUCTUEUX")+COUNTIFS($A$2:$A436,$A436,$E$2:$E436,"ANNULE")),""))</f>
        <v/>
      </c>
    </row>
    <row r="437">
      <c r="A437">
        <f>IF(ISBLANK('ENGAGEMENTS 2026'!B437),"",IF('ENGAGEMENTS 2026'!B437="DTSI","DCT",'ENGAGEMENTS 2026'!B437))</f>
        <v/>
      </c>
      <c r="B437">
        <f>IF(ISBLANK('ENGAGEMENTS 2026'!B437),"",'ENGAGEMENTS 2026'!C437)</f>
        <v/>
      </c>
      <c r="C437">
        <f>IF(ISBLANK('ENGAGEMENTS 2026'!B437),"",'ENGAGEMENTS 2026'!D437)</f>
        <v/>
      </c>
      <c r="D437">
        <f>IF(ISBLANK('ENGAGEMENTS 2026'!B437),"",'ENGAGEMENTS 2026'!F437)</f>
        <v/>
      </c>
      <c r="E437">
        <f>IF(ISBLANK('ENGAGEMENTS 2026'!B437),"",'ENGAGEMENTS 2026'!H437)</f>
        <v/>
      </c>
      <c r="F437">
        <f>IF(ISBLANK('ENGAGEMENTS 2026'!B437),"",'ENGAGEMENTS 2026'!I437)</f>
        <v/>
      </c>
      <c r="G437">
        <f>IF(ISBLANK('ENGAGEMENTS 2026'!B437),"",'ENGAGEMENTS 2026'!L437)</f>
        <v/>
      </c>
      <c r="H437">
        <f>IF(ISBLANK('ENGAGEMENTS 2026'!B437),"",'ENGAGEMENTS 2026'!AE437)</f>
        <v/>
      </c>
      <c r="I437">
        <f>IF(ISBLANK('ENGAGEMENTS 2026'!B437),"",'ENGAGEMENTS 2026'!G437)</f>
        <v/>
      </c>
      <c r="J437" s="275">
        <f>IF(ISBLANK('ENGAGEMENTS 2026'!B437),"",IF(AND(OR($E437="INFRUCTUEUX",$E437="ANNULE"),$C437="AOO-M"),'ENGAGEMENTS 2026'!O437,IF($H437="EN COURS DE PREENGAGEMENT",'ENGAGEMENTS 2026'!N437,IF($H437="PREENGAGE",IF($E437="ATTRIBUE",'ENGAGEMENTS 2026'!AD437,'ENGAGEMENTS 2026'!N437),'ENGAGEMENTS 2026'!AD437))))</f>
        <v/>
      </c>
      <c r="K437" s="604">
        <f>IF(ISBLANK('ENGAGEMENTS 2026'!V437),"",'ENGAGEMENTS 2026'!V437)</f>
        <v/>
      </c>
      <c r="L437" s="276">
        <f>IF($K437="","",TODAY()-$K437)</f>
        <v/>
      </c>
      <c r="M437">
        <f>IF($A437="","",IF($H437="ENGAGE","Engagé",IF(AND($H437="NON ENGAGE",OR($I437="INFRUCTUEUX",$I437="ANNULE")),"Clôturé sans suite","En cours")))</f>
        <v/>
      </c>
      <c r="N437">
        <f>IF(ISBLANK('ENGAGEMENTS 2026'!B437),"",'ENGAGEMENTS 2026'!K437)</f>
        <v/>
      </c>
      <c r="O437">
        <f>IF(ISBLANK('ENGAGEMENTS 2026'!B437),"",'ENGAGEMENTS 2026'!L437)</f>
        <v/>
      </c>
      <c r="P437">
        <f>IF(ISBLANK('ENGAGEMENTS 2026'!B437),"",'ENGAGEMENTS 2026'!J437)</f>
        <v/>
      </c>
      <c r="Q437">
        <f>IF($A437="","",IF(OR($E437="INFRUCTUEUX",$E437="ANNULE"),$A437&amp;"|"&amp;(COUNTIFS($A$2:$A437,$A437,$E$2:$E437,"INFRUCTUEUX")+COUNTIFS($A$2:$A437,$A437,$E$2:$E437,"ANNULE")),""))</f>
        <v/>
      </c>
    </row>
    <row r="438">
      <c r="A438">
        <f>IF(ISBLANK('ENGAGEMENTS 2026'!B438),"",IF('ENGAGEMENTS 2026'!B438="DTSI","DCT",'ENGAGEMENTS 2026'!B438))</f>
        <v/>
      </c>
      <c r="B438">
        <f>IF(ISBLANK('ENGAGEMENTS 2026'!B438),"",'ENGAGEMENTS 2026'!C438)</f>
        <v/>
      </c>
      <c r="C438">
        <f>IF(ISBLANK('ENGAGEMENTS 2026'!B438),"",'ENGAGEMENTS 2026'!D438)</f>
        <v/>
      </c>
      <c r="D438">
        <f>IF(ISBLANK('ENGAGEMENTS 2026'!B438),"",'ENGAGEMENTS 2026'!F438)</f>
        <v/>
      </c>
      <c r="E438">
        <f>IF(ISBLANK('ENGAGEMENTS 2026'!B438),"",'ENGAGEMENTS 2026'!H438)</f>
        <v/>
      </c>
      <c r="F438">
        <f>IF(ISBLANK('ENGAGEMENTS 2026'!B438),"",'ENGAGEMENTS 2026'!I438)</f>
        <v/>
      </c>
      <c r="G438">
        <f>IF(ISBLANK('ENGAGEMENTS 2026'!B438),"",'ENGAGEMENTS 2026'!L438)</f>
        <v/>
      </c>
      <c r="H438">
        <f>IF(ISBLANK('ENGAGEMENTS 2026'!B438),"",'ENGAGEMENTS 2026'!AE438)</f>
        <v/>
      </c>
      <c r="I438">
        <f>IF(ISBLANK('ENGAGEMENTS 2026'!B438),"",'ENGAGEMENTS 2026'!G438)</f>
        <v/>
      </c>
      <c r="J438" s="275">
        <f>IF(ISBLANK('ENGAGEMENTS 2026'!B438),"",IF(AND(OR($E438="INFRUCTUEUX",$E438="ANNULE"),$C438="AOO-M"),'ENGAGEMENTS 2026'!O438,IF($H438="EN COURS DE PREENGAGEMENT",'ENGAGEMENTS 2026'!N438,IF($H438="PREENGAGE",IF($E438="ATTRIBUE",'ENGAGEMENTS 2026'!AD438,'ENGAGEMENTS 2026'!N438),'ENGAGEMENTS 2026'!AD438))))</f>
        <v/>
      </c>
      <c r="K438" s="604">
        <f>IF(ISBLANK('ENGAGEMENTS 2026'!V438),"",'ENGAGEMENTS 2026'!V438)</f>
        <v/>
      </c>
      <c r="L438" s="276">
        <f>IF($K438="","",TODAY()-$K438)</f>
        <v/>
      </c>
      <c r="M438">
        <f>IF($A438="","",IF($H438="ENGAGE","Engagé",IF(AND($H438="NON ENGAGE",OR($I438="INFRUCTUEUX",$I438="ANNULE")),"Clôturé sans suite","En cours")))</f>
        <v/>
      </c>
      <c r="N438">
        <f>IF(ISBLANK('ENGAGEMENTS 2026'!B438),"",'ENGAGEMENTS 2026'!K438)</f>
        <v/>
      </c>
      <c r="O438">
        <f>IF(ISBLANK('ENGAGEMENTS 2026'!B438),"",'ENGAGEMENTS 2026'!L438)</f>
        <v/>
      </c>
      <c r="P438">
        <f>IF(ISBLANK('ENGAGEMENTS 2026'!B438),"",'ENGAGEMENTS 2026'!J438)</f>
        <v/>
      </c>
      <c r="Q438">
        <f>IF($A438="","",IF(OR($E438="INFRUCTUEUX",$E438="ANNULE"),$A438&amp;"|"&amp;(COUNTIFS($A$2:$A438,$A438,$E$2:$E438,"INFRUCTUEUX")+COUNTIFS($A$2:$A438,$A438,$E$2:$E438,"ANNULE")),""))</f>
        <v/>
      </c>
    </row>
    <row r="439">
      <c r="A439">
        <f>IF(ISBLANK('ENGAGEMENTS 2026'!B439),"",IF('ENGAGEMENTS 2026'!B439="DTSI","DCT",'ENGAGEMENTS 2026'!B439))</f>
        <v/>
      </c>
      <c r="B439">
        <f>IF(ISBLANK('ENGAGEMENTS 2026'!B439),"",'ENGAGEMENTS 2026'!C439)</f>
        <v/>
      </c>
      <c r="C439">
        <f>IF(ISBLANK('ENGAGEMENTS 2026'!B439),"",'ENGAGEMENTS 2026'!D439)</f>
        <v/>
      </c>
      <c r="D439">
        <f>IF(ISBLANK('ENGAGEMENTS 2026'!B439),"",'ENGAGEMENTS 2026'!F439)</f>
        <v/>
      </c>
      <c r="E439">
        <f>IF(ISBLANK('ENGAGEMENTS 2026'!B439),"",'ENGAGEMENTS 2026'!H439)</f>
        <v/>
      </c>
      <c r="F439">
        <f>IF(ISBLANK('ENGAGEMENTS 2026'!B439),"",'ENGAGEMENTS 2026'!I439)</f>
        <v/>
      </c>
      <c r="G439">
        <f>IF(ISBLANK('ENGAGEMENTS 2026'!B439),"",'ENGAGEMENTS 2026'!L439)</f>
        <v/>
      </c>
      <c r="H439">
        <f>IF(ISBLANK('ENGAGEMENTS 2026'!B439),"",'ENGAGEMENTS 2026'!AE439)</f>
        <v/>
      </c>
      <c r="I439">
        <f>IF(ISBLANK('ENGAGEMENTS 2026'!B439),"",'ENGAGEMENTS 2026'!G439)</f>
        <v/>
      </c>
      <c r="J439" s="275">
        <f>IF(ISBLANK('ENGAGEMENTS 2026'!B439),"",IF(AND(OR($E439="INFRUCTUEUX",$E439="ANNULE"),$C439="AOO-M"),'ENGAGEMENTS 2026'!O439,IF($H439="EN COURS DE PREENGAGEMENT",'ENGAGEMENTS 2026'!N439,IF($H439="PREENGAGE",IF($E439="ATTRIBUE",'ENGAGEMENTS 2026'!AD439,'ENGAGEMENTS 2026'!N439),'ENGAGEMENTS 2026'!AD439))))</f>
        <v/>
      </c>
      <c r="K439" s="604">
        <f>IF(ISBLANK('ENGAGEMENTS 2026'!V439),"",'ENGAGEMENTS 2026'!V439)</f>
        <v/>
      </c>
      <c r="L439" s="276">
        <f>IF($K439="","",TODAY()-$K439)</f>
        <v/>
      </c>
      <c r="M439">
        <f>IF($A439="","",IF($H439="ENGAGE","Engagé",IF(AND($H439="NON ENGAGE",OR($I439="INFRUCTUEUX",$I439="ANNULE")),"Clôturé sans suite","En cours")))</f>
        <v/>
      </c>
      <c r="N439">
        <f>IF(ISBLANK('ENGAGEMENTS 2026'!B439),"",'ENGAGEMENTS 2026'!K439)</f>
        <v/>
      </c>
      <c r="O439">
        <f>IF(ISBLANK('ENGAGEMENTS 2026'!B439),"",'ENGAGEMENTS 2026'!L439)</f>
        <v/>
      </c>
      <c r="P439">
        <f>IF(ISBLANK('ENGAGEMENTS 2026'!B439),"",'ENGAGEMENTS 2026'!J439)</f>
        <v/>
      </c>
      <c r="Q439">
        <f>IF($A439="","",IF(OR($E439="INFRUCTUEUX",$E439="ANNULE"),$A439&amp;"|"&amp;(COUNTIFS($A$2:$A439,$A439,$E$2:$E439,"INFRUCTUEUX")+COUNTIFS($A$2:$A439,$A439,$E$2:$E439,"ANNULE")),""))</f>
        <v/>
      </c>
    </row>
    <row r="440">
      <c r="A440">
        <f>IF(ISBLANK('ENGAGEMENTS 2026'!B440),"",IF('ENGAGEMENTS 2026'!B440="DTSI","DCT",'ENGAGEMENTS 2026'!B440))</f>
        <v/>
      </c>
      <c r="B440">
        <f>IF(ISBLANK('ENGAGEMENTS 2026'!B440),"",'ENGAGEMENTS 2026'!C440)</f>
        <v/>
      </c>
      <c r="C440">
        <f>IF(ISBLANK('ENGAGEMENTS 2026'!B440),"",'ENGAGEMENTS 2026'!D440)</f>
        <v/>
      </c>
      <c r="D440">
        <f>IF(ISBLANK('ENGAGEMENTS 2026'!B440),"",'ENGAGEMENTS 2026'!F440)</f>
        <v/>
      </c>
      <c r="E440">
        <f>IF(ISBLANK('ENGAGEMENTS 2026'!B440),"",'ENGAGEMENTS 2026'!H440)</f>
        <v/>
      </c>
      <c r="F440">
        <f>IF(ISBLANK('ENGAGEMENTS 2026'!B440),"",'ENGAGEMENTS 2026'!I440)</f>
        <v/>
      </c>
      <c r="G440">
        <f>IF(ISBLANK('ENGAGEMENTS 2026'!B440),"",'ENGAGEMENTS 2026'!L440)</f>
        <v/>
      </c>
      <c r="H440">
        <f>IF(ISBLANK('ENGAGEMENTS 2026'!B440),"",'ENGAGEMENTS 2026'!AE440)</f>
        <v/>
      </c>
      <c r="I440">
        <f>IF(ISBLANK('ENGAGEMENTS 2026'!B440),"",'ENGAGEMENTS 2026'!G440)</f>
        <v/>
      </c>
      <c r="J440" s="275">
        <f>IF(ISBLANK('ENGAGEMENTS 2026'!B440),"",IF(AND(OR($E440="INFRUCTUEUX",$E440="ANNULE"),$C440="AOO-M"),'ENGAGEMENTS 2026'!O440,IF($H440="EN COURS DE PREENGAGEMENT",'ENGAGEMENTS 2026'!N440,IF($H440="PREENGAGE",IF($E440="ATTRIBUE",'ENGAGEMENTS 2026'!AD440,'ENGAGEMENTS 2026'!N440),'ENGAGEMENTS 2026'!AD440))))</f>
        <v/>
      </c>
      <c r="K440" s="604">
        <f>IF(ISBLANK('ENGAGEMENTS 2026'!V440),"",'ENGAGEMENTS 2026'!V440)</f>
        <v/>
      </c>
      <c r="L440" s="276">
        <f>IF($K440="","",TODAY()-$K440)</f>
        <v/>
      </c>
      <c r="M440">
        <f>IF($A440="","",IF($H440="ENGAGE","Engagé",IF(AND($H440="NON ENGAGE",OR($I440="INFRUCTUEUX",$I440="ANNULE")),"Clôturé sans suite","En cours")))</f>
        <v/>
      </c>
      <c r="N440">
        <f>IF(ISBLANK('ENGAGEMENTS 2026'!B440),"",'ENGAGEMENTS 2026'!K440)</f>
        <v/>
      </c>
      <c r="O440">
        <f>IF(ISBLANK('ENGAGEMENTS 2026'!B440),"",'ENGAGEMENTS 2026'!L440)</f>
        <v/>
      </c>
      <c r="P440">
        <f>IF(ISBLANK('ENGAGEMENTS 2026'!B440),"",'ENGAGEMENTS 2026'!J440)</f>
        <v/>
      </c>
      <c r="Q440">
        <f>IF($A440="","",IF(OR($E440="INFRUCTUEUX",$E440="ANNULE"),$A440&amp;"|"&amp;(COUNTIFS($A$2:$A440,$A440,$E$2:$E440,"INFRUCTUEUX")+COUNTIFS($A$2:$A440,$A440,$E$2:$E440,"ANNULE")),""))</f>
        <v/>
      </c>
    </row>
    <row r="441">
      <c r="A441">
        <f>IF(ISBLANK('ENGAGEMENTS 2026'!B441),"",IF('ENGAGEMENTS 2026'!B441="DTSI","DCT",'ENGAGEMENTS 2026'!B441))</f>
        <v/>
      </c>
      <c r="B441">
        <f>IF(ISBLANK('ENGAGEMENTS 2026'!B441),"",'ENGAGEMENTS 2026'!C441)</f>
        <v/>
      </c>
      <c r="C441">
        <f>IF(ISBLANK('ENGAGEMENTS 2026'!B441),"",'ENGAGEMENTS 2026'!D441)</f>
        <v/>
      </c>
      <c r="D441">
        <f>IF(ISBLANK('ENGAGEMENTS 2026'!B441),"",'ENGAGEMENTS 2026'!F441)</f>
        <v/>
      </c>
      <c r="E441">
        <f>IF(ISBLANK('ENGAGEMENTS 2026'!B441),"",'ENGAGEMENTS 2026'!H441)</f>
        <v/>
      </c>
      <c r="F441">
        <f>IF(ISBLANK('ENGAGEMENTS 2026'!B441),"",'ENGAGEMENTS 2026'!I441)</f>
        <v/>
      </c>
      <c r="G441">
        <f>IF(ISBLANK('ENGAGEMENTS 2026'!B441),"",'ENGAGEMENTS 2026'!L441)</f>
        <v/>
      </c>
      <c r="H441">
        <f>IF(ISBLANK('ENGAGEMENTS 2026'!B441),"",'ENGAGEMENTS 2026'!AE441)</f>
        <v/>
      </c>
      <c r="I441">
        <f>IF(ISBLANK('ENGAGEMENTS 2026'!B441),"",'ENGAGEMENTS 2026'!G441)</f>
        <v/>
      </c>
      <c r="J441" s="275">
        <f>IF(ISBLANK('ENGAGEMENTS 2026'!B441),"",IF(AND(OR($E441="INFRUCTUEUX",$E441="ANNULE"),$C441="AOO-M"),'ENGAGEMENTS 2026'!O441,IF($H441="EN COURS DE PREENGAGEMENT",'ENGAGEMENTS 2026'!N441,IF($H441="PREENGAGE",IF($E441="ATTRIBUE",'ENGAGEMENTS 2026'!AD441,'ENGAGEMENTS 2026'!N441),'ENGAGEMENTS 2026'!AD441))))</f>
        <v/>
      </c>
      <c r="K441" s="604">
        <f>IF(ISBLANK('ENGAGEMENTS 2026'!V441),"",'ENGAGEMENTS 2026'!V441)</f>
        <v/>
      </c>
      <c r="L441" s="276">
        <f>IF($K441="","",TODAY()-$K441)</f>
        <v/>
      </c>
      <c r="M441">
        <f>IF($A441="","",IF($H441="ENGAGE","Engagé",IF(AND($H441="NON ENGAGE",OR($I441="INFRUCTUEUX",$I441="ANNULE")),"Clôturé sans suite","En cours")))</f>
        <v/>
      </c>
      <c r="N441">
        <f>IF(ISBLANK('ENGAGEMENTS 2026'!B441),"",'ENGAGEMENTS 2026'!K441)</f>
        <v/>
      </c>
      <c r="O441">
        <f>IF(ISBLANK('ENGAGEMENTS 2026'!B441),"",'ENGAGEMENTS 2026'!L441)</f>
        <v/>
      </c>
      <c r="P441">
        <f>IF(ISBLANK('ENGAGEMENTS 2026'!B441),"",'ENGAGEMENTS 2026'!J441)</f>
        <v/>
      </c>
      <c r="Q441">
        <f>IF($A441="","",IF(OR($E441="INFRUCTUEUX",$E441="ANNULE"),$A441&amp;"|"&amp;(COUNTIFS($A$2:$A441,$A441,$E$2:$E441,"INFRUCTUEUX")+COUNTIFS($A$2:$A441,$A441,$E$2:$E441,"ANNULE")),""))</f>
        <v/>
      </c>
    </row>
    <row r="442">
      <c r="A442">
        <f>IF(ISBLANK('ENGAGEMENTS 2026'!B442),"",IF('ENGAGEMENTS 2026'!B442="DTSI","DCT",'ENGAGEMENTS 2026'!B442))</f>
        <v/>
      </c>
      <c r="B442">
        <f>IF(ISBLANK('ENGAGEMENTS 2026'!B442),"",'ENGAGEMENTS 2026'!C442)</f>
        <v/>
      </c>
      <c r="C442">
        <f>IF(ISBLANK('ENGAGEMENTS 2026'!B442),"",'ENGAGEMENTS 2026'!D442)</f>
        <v/>
      </c>
      <c r="D442">
        <f>IF(ISBLANK('ENGAGEMENTS 2026'!B442),"",'ENGAGEMENTS 2026'!F442)</f>
        <v/>
      </c>
      <c r="E442">
        <f>IF(ISBLANK('ENGAGEMENTS 2026'!B442),"",'ENGAGEMENTS 2026'!H442)</f>
        <v/>
      </c>
      <c r="F442">
        <f>IF(ISBLANK('ENGAGEMENTS 2026'!B442),"",'ENGAGEMENTS 2026'!I442)</f>
        <v/>
      </c>
      <c r="G442">
        <f>IF(ISBLANK('ENGAGEMENTS 2026'!B442),"",'ENGAGEMENTS 2026'!L442)</f>
        <v/>
      </c>
      <c r="H442">
        <f>IF(ISBLANK('ENGAGEMENTS 2026'!B442),"",'ENGAGEMENTS 2026'!AE442)</f>
        <v/>
      </c>
      <c r="I442">
        <f>IF(ISBLANK('ENGAGEMENTS 2026'!B442),"",'ENGAGEMENTS 2026'!G442)</f>
        <v/>
      </c>
      <c r="J442" s="275">
        <f>IF(ISBLANK('ENGAGEMENTS 2026'!B442),"",IF(AND(OR($E442="INFRUCTUEUX",$E442="ANNULE"),$C442="AOO-M"),'ENGAGEMENTS 2026'!O442,IF($H442="EN COURS DE PREENGAGEMENT",'ENGAGEMENTS 2026'!N442,IF($H442="PREENGAGE",IF($E442="ATTRIBUE",'ENGAGEMENTS 2026'!AD442,'ENGAGEMENTS 2026'!N442),'ENGAGEMENTS 2026'!AD442))))</f>
        <v/>
      </c>
      <c r="K442" s="604">
        <f>IF(ISBLANK('ENGAGEMENTS 2026'!V442),"",'ENGAGEMENTS 2026'!V442)</f>
        <v/>
      </c>
      <c r="L442" s="276">
        <f>IF($K442="","",TODAY()-$K442)</f>
        <v/>
      </c>
      <c r="M442">
        <f>IF($A442="","",IF($H442="ENGAGE","Engagé",IF(AND($H442="NON ENGAGE",OR($I442="INFRUCTUEUX",$I442="ANNULE")),"Clôturé sans suite","En cours")))</f>
        <v/>
      </c>
      <c r="N442">
        <f>IF(ISBLANK('ENGAGEMENTS 2026'!B442),"",'ENGAGEMENTS 2026'!K442)</f>
        <v/>
      </c>
      <c r="O442">
        <f>IF(ISBLANK('ENGAGEMENTS 2026'!B442),"",'ENGAGEMENTS 2026'!L442)</f>
        <v/>
      </c>
      <c r="P442">
        <f>IF(ISBLANK('ENGAGEMENTS 2026'!B442),"",'ENGAGEMENTS 2026'!J442)</f>
        <v/>
      </c>
      <c r="Q442">
        <f>IF($A442="","",IF(OR($E442="INFRUCTUEUX",$E442="ANNULE"),$A442&amp;"|"&amp;(COUNTIFS($A$2:$A442,$A442,$E$2:$E442,"INFRUCTUEUX")+COUNTIFS($A$2:$A442,$A442,$E$2:$E442,"ANNULE")),""))</f>
        <v/>
      </c>
    </row>
    <row r="443">
      <c r="A443">
        <f>IF(ISBLANK('ENGAGEMENTS 2026'!B443),"",IF('ENGAGEMENTS 2026'!B443="DTSI","DCT",'ENGAGEMENTS 2026'!B443))</f>
        <v/>
      </c>
      <c r="B443">
        <f>IF(ISBLANK('ENGAGEMENTS 2026'!B443),"",'ENGAGEMENTS 2026'!C443)</f>
        <v/>
      </c>
      <c r="C443">
        <f>IF(ISBLANK('ENGAGEMENTS 2026'!B443),"",'ENGAGEMENTS 2026'!D443)</f>
        <v/>
      </c>
      <c r="D443">
        <f>IF(ISBLANK('ENGAGEMENTS 2026'!B443),"",'ENGAGEMENTS 2026'!F443)</f>
        <v/>
      </c>
      <c r="E443">
        <f>IF(ISBLANK('ENGAGEMENTS 2026'!B443),"",'ENGAGEMENTS 2026'!H443)</f>
        <v/>
      </c>
      <c r="F443">
        <f>IF(ISBLANK('ENGAGEMENTS 2026'!B443),"",'ENGAGEMENTS 2026'!I443)</f>
        <v/>
      </c>
      <c r="G443">
        <f>IF(ISBLANK('ENGAGEMENTS 2026'!B443),"",'ENGAGEMENTS 2026'!L443)</f>
        <v/>
      </c>
      <c r="H443">
        <f>IF(ISBLANK('ENGAGEMENTS 2026'!B443),"",'ENGAGEMENTS 2026'!AE443)</f>
        <v/>
      </c>
      <c r="I443">
        <f>IF(ISBLANK('ENGAGEMENTS 2026'!B443),"",'ENGAGEMENTS 2026'!G443)</f>
        <v/>
      </c>
      <c r="J443" s="275">
        <f>IF(ISBLANK('ENGAGEMENTS 2026'!B443),"",IF(AND(OR($E443="INFRUCTUEUX",$E443="ANNULE"),$C443="AOO-M"),'ENGAGEMENTS 2026'!O443,IF($H443="EN COURS DE PREENGAGEMENT",'ENGAGEMENTS 2026'!N443,IF($H443="PREENGAGE",IF($E443="ATTRIBUE",'ENGAGEMENTS 2026'!AD443,'ENGAGEMENTS 2026'!N443),'ENGAGEMENTS 2026'!AD443))))</f>
        <v/>
      </c>
      <c r="K443" s="604">
        <f>IF(ISBLANK('ENGAGEMENTS 2026'!V443),"",'ENGAGEMENTS 2026'!V443)</f>
        <v/>
      </c>
      <c r="L443" s="276">
        <f>IF($K443="","",TODAY()-$K443)</f>
        <v/>
      </c>
      <c r="M443">
        <f>IF($A443="","",IF($H443="ENGAGE","Engagé",IF(AND($H443="NON ENGAGE",OR($I443="INFRUCTUEUX",$I443="ANNULE")),"Clôturé sans suite","En cours")))</f>
        <v/>
      </c>
      <c r="N443">
        <f>IF(ISBLANK('ENGAGEMENTS 2026'!B443),"",'ENGAGEMENTS 2026'!K443)</f>
        <v/>
      </c>
      <c r="O443">
        <f>IF(ISBLANK('ENGAGEMENTS 2026'!B443),"",'ENGAGEMENTS 2026'!L443)</f>
        <v/>
      </c>
      <c r="P443">
        <f>IF(ISBLANK('ENGAGEMENTS 2026'!B443),"",'ENGAGEMENTS 2026'!J443)</f>
        <v/>
      </c>
      <c r="Q443">
        <f>IF($A443="","",IF(OR($E443="INFRUCTUEUX",$E443="ANNULE"),$A443&amp;"|"&amp;(COUNTIFS($A$2:$A443,$A443,$E$2:$E443,"INFRUCTUEUX")+COUNTIFS($A$2:$A443,$A443,$E$2:$E443,"ANNULE")),""))</f>
        <v/>
      </c>
    </row>
    <row r="444">
      <c r="A444">
        <f>IF(ISBLANK('ENGAGEMENTS 2026'!B444),"",IF('ENGAGEMENTS 2026'!B444="DTSI","DCT",'ENGAGEMENTS 2026'!B444))</f>
        <v/>
      </c>
      <c r="B444">
        <f>IF(ISBLANK('ENGAGEMENTS 2026'!B444),"",'ENGAGEMENTS 2026'!C444)</f>
        <v/>
      </c>
      <c r="C444">
        <f>IF(ISBLANK('ENGAGEMENTS 2026'!B444),"",'ENGAGEMENTS 2026'!D444)</f>
        <v/>
      </c>
      <c r="D444">
        <f>IF(ISBLANK('ENGAGEMENTS 2026'!B444),"",'ENGAGEMENTS 2026'!F444)</f>
        <v/>
      </c>
      <c r="E444">
        <f>IF(ISBLANK('ENGAGEMENTS 2026'!B444),"",'ENGAGEMENTS 2026'!H444)</f>
        <v/>
      </c>
      <c r="F444">
        <f>IF(ISBLANK('ENGAGEMENTS 2026'!B444),"",'ENGAGEMENTS 2026'!I444)</f>
        <v/>
      </c>
      <c r="G444">
        <f>IF(ISBLANK('ENGAGEMENTS 2026'!B444),"",'ENGAGEMENTS 2026'!L444)</f>
        <v/>
      </c>
      <c r="H444">
        <f>IF(ISBLANK('ENGAGEMENTS 2026'!B444),"",'ENGAGEMENTS 2026'!AE444)</f>
        <v/>
      </c>
      <c r="I444">
        <f>IF(ISBLANK('ENGAGEMENTS 2026'!B444),"",'ENGAGEMENTS 2026'!G444)</f>
        <v/>
      </c>
      <c r="J444" s="275">
        <f>IF(ISBLANK('ENGAGEMENTS 2026'!B444),"",IF(AND(OR($E444="INFRUCTUEUX",$E444="ANNULE"),$C444="AOO-M"),'ENGAGEMENTS 2026'!O444,IF($H444="EN COURS DE PREENGAGEMENT",'ENGAGEMENTS 2026'!N444,IF($H444="PREENGAGE",IF($E444="ATTRIBUE",'ENGAGEMENTS 2026'!AD444,'ENGAGEMENTS 2026'!N444),'ENGAGEMENTS 2026'!AD444))))</f>
        <v/>
      </c>
      <c r="K444" s="604">
        <f>IF(ISBLANK('ENGAGEMENTS 2026'!V444),"",'ENGAGEMENTS 2026'!V444)</f>
        <v/>
      </c>
      <c r="L444" s="276">
        <f>IF($K444="","",TODAY()-$K444)</f>
        <v/>
      </c>
      <c r="M444">
        <f>IF($A444="","",IF($H444="ENGAGE","Engagé",IF(AND($H444="NON ENGAGE",OR($I444="INFRUCTUEUX",$I444="ANNULE")),"Clôturé sans suite","En cours")))</f>
        <v/>
      </c>
      <c r="N444">
        <f>IF(ISBLANK('ENGAGEMENTS 2026'!B444),"",'ENGAGEMENTS 2026'!K444)</f>
        <v/>
      </c>
      <c r="O444">
        <f>IF(ISBLANK('ENGAGEMENTS 2026'!B444),"",'ENGAGEMENTS 2026'!L444)</f>
        <v/>
      </c>
      <c r="P444">
        <f>IF(ISBLANK('ENGAGEMENTS 2026'!B444),"",'ENGAGEMENTS 2026'!J444)</f>
        <v/>
      </c>
      <c r="Q444">
        <f>IF($A444="","",IF(OR($E444="INFRUCTUEUX",$E444="ANNULE"),$A444&amp;"|"&amp;(COUNTIFS($A$2:$A444,$A444,$E$2:$E444,"INFRUCTUEUX")+COUNTIFS($A$2:$A444,$A444,$E$2:$E444,"ANNULE")),""))</f>
        <v/>
      </c>
    </row>
    <row r="445">
      <c r="A445">
        <f>IF(ISBLANK('ENGAGEMENTS 2026'!B445),"",IF('ENGAGEMENTS 2026'!B445="DTSI","DCT",'ENGAGEMENTS 2026'!B445))</f>
        <v/>
      </c>
      <c r="B445">
        <f>IF(ISBLANK('ENGAGEMENTS 2026'!B445),"",'ENGAGEMENTS 2026'!C445)</f>
        <v/>
      </c>
      <c r="C445">
        <f>IF(ISBLANK('ENGAGEMENTS 2026'!B445),"",'ENGAGEMENTS 2026'!D445)</f>
        <v/>
      </c>
      <c r="D445">
        <f>IF(ISBLANK('ENGAGEMENTS 2026'!B445),"",'ENGAGEMENTS 2026'!F445)</f>
        <v/>
      </c>
      <c r="E445">
        <f>IF(ISBLANK('ENGAGEMENTS 2026'!B445),"",'ENGAGEMENTS 2026'!H445)</f>
        <v/>
      </c>
      <c r="F445">
        <f>IF(ISBLANK('ENGAGEMENTS 2026'!B445),"",'ENGAGEMENTS 2026'!I445)</f>
        <v/>
      </c>
      <c r="G445">
        <f>IF(ISBLANK('ENGAGEMENTS 2026'!B445),"",'ENGAGEMENTS 2026'!L445)</f>
        <v/>
      </c>
      <c r="H445">
        <f>IF(ISBLANK('ENGAGEMENTS 2026'!B445),"",'ENGAGEMENTS 2026'!AE445)</f>
        <v/>
      </c>
      <c r="I445">
        <f>IF(ISBLANK('ENGAGEMENTS 2026'!B445),"",'ENGAGEMENTS 2026'!G445)</f>
        <v/>
      </c>
      <c r="J445" s="275">
        <f>IF(ISBLANK('ENGAGEMENTS 2026'!B445),"",IF(AND(OR($E445="INFRUCTUEUX",$E445="ANNULE"),$C445="AOO-M"),'ENGAGEMENTS 2026'!O445,IF($H445="EN COURS DE PREENGAGEMENT",'ENGAGEMENTS 2026'!N445,IF($H445="PREENGAGE",IF($E445="ATTRIBUE",'ENGAGEMENTS 2026'!AD445,'ENGAGEMENTS 2026'!N445),'ENGAGEMENTS 2026'!AD445))))</f>
        <v/>
      </c>
      <c r="K445" s="604">
        <f>IF(ISBLANK('ENGAGEMENTS 2026'!V445),"",'ENGAGEMENTS 2026'!V445)</f>
        <v/>
      </c>
      <c r="L445" s="276">
        <f>IF($K445="","",TODAY()-$K445)</f>
        <v/>
      </c>
      <c r="M445">
        <f>IF($A445="","",IF($H445="ENGAGE","Engagé",IF(AND($H445="NON ENGAGE",OR($I445="INFRUCTUEUX",$I445="ANNULE")),"Clôturé sans suite","En cours")))</f>
        <v/>
      </c>
      <c r="N445">
        <f>IF(ISBLANK('ENGAGEMENTS 2026'!B445),"",'ENGAGEMENTS 2026'!K445)</f>
        <v/>
      </c>
      <c r="O445">
        <f>IF(ISBLANK('ENGAGEMENTS 2026'!B445),"",'ENGAGEMENTS 2026'!L445)</f>
        <v/>
      </c>
      <c r="P445">
        <f>IF(ISBLANK('ENGAGEMENTS 2026'!B445),"",'ENGAGEMENTS 2026'!J445)</f>
        <v/>
      </c>
      <c r="Q445">
        <f>IF($A445="","",IF(OR($E445="INFRUCTUEUX",$E445="ANNULE"),$A445&amp;"|"&amp;(COUNTIFS($A$2:$A445,$A445,$E$2:$E445,"INFRUCTUEUX")+COUNTIFS($A$2:$A445,$A445,$E$2:$E445,"ANNULE")),""))</f>
        <v/>
      </c>
    </row>
    <row r="446">
      <c r="A446">
        <f>IF(ISBLANK('ENGAGEMENTS 2026'!B446),"",IF('ENGAGEMENTS 2026'!B446="DTSI","DCT",'ENGAGEMENTS 2026'!B446))</f>
        <v/>
      </c>
      <c r="B446">
        <f>IF(ISBLANK('ENGAGEMENTS 2026'!B446),"",'ENGAGEMENTS 2026'!C446)</f>
        <v/>
      </c>
      <c r="C446">
        <f>IF(ISBLANK('ENGAGEMENTS 2026'!B446),"",'ENGAGEMENTS 2026'!D446)</f>
        <v/>
      </c>
      <c r="D446">
        <f>IF(ISBLANK('ENGAGEMENTS 2026'!B446),"",'ENGAGEMENTS 2026'!F446)</f>
        <v/>
      </c>
      <c r="E446">
        <f>IF(ISBLANK('ENGAGEMENTS 2026'!B446),"",'ENGAGEMENTS 2026'!H446)</f>
        <v/>
      </c>
      <c r="F446">
        <f>IF(ISBLANK('ENGAGEMENTS 2026'!B446),"",'ENGAGEMENTS 2026'!I446)</f>
        <v/>
      </c>
      <c r="G446">
        <f>IF(ISBLANK('ENGAGEMENTS 2026'!B446),"",'ENGAGEMENTS 2026'!L446)</f>
        <v/>
      </c>
      <c r="H446">
        <f>IF(ISBLANK('ENGAGEMENTS 2026'!B446),"",'ENGAGEMENTS 2026'!AE446)</f>
        <v/>
      </c>
      <c r="I446">
        <f>IF(ISBLANK('ENGAGEMENTS 2026'!B446),"",'ENGAGEMENTS 2026'!G446)</f>
        <v/>
      </c>
      <c r="J446" s="275">
        <f>IF(ISBLANK('ENGAGEMENTS 2026'!B446),"",IF(AND(OR($E446="INFRUCTUEUX",$E446="ANNULE"),$C446="AOO-M"),'ENGAGEMENTS 2026'!O446,IF($H446="EN COURS DE PREENGAGEMENT",'ENGAGEMENTS 2026'!N446,IF($H446="PREENGAGE",IF($E446="ATTRIBUE",'ENGAGEMENTS 2026'!AD446,'ENGAGEMENTS 2026'!N446),'ENGAGEMENTS 2026'!AD446))))</f>
        <v/>
      </c>
      <c r="K446" s="604">
        <f>IF(ISBLANK('ENGAGEMENTS 2026'!V446),"",'ENGAGEMENTS 2026'!V446)</f>
        <v/>
      </c>
      <c r="L446" s="276">
        <f>IF($K446="","",TODAY()-$K446)</f>
        <v/>
      </c>
      <c r="M446">
        <f>IF($A446="","",IF($H446="ENGAGE","Engagé",IF(AND($H446="NON ENGAGE",OR($I446="INFRUCTUEUX",$I446="ANNULE")),"Clôturé sans suite","En cours")))</f>
        <v/>
      </c>
      <c r="N446">
        <f>IF(ISBLANK('ENGAGEMENTS 2026'!B446),"",'ENGAGEMENTS 2026'!K446)</f>
        <v/>
      </c>
      <c r="O446">
        <f>IF(ISBLANK('ENGAGEMENTS 2026'!B446),"",'ENGAGEMENTS 2026'!L446)</f>
        <v/>
      </c>
      <c r="P446">
        <f>IF(ISBLANK('ENGAGEMENTS 2026'!B446),"",'ENGAGEMENTS 2026'!J446)</f>
        <v/>
      </c>
      <c r="Q446">
        <f>IF($A446="","",IF(OR($E446="INFRUCTUEUX",$E446="ANNULE"),$A446&amp;"|"&amp;(COUNTIFS($A$2:$A446,$A446,$E$2:$E446,"INFRUCTUEUX")+COUNTIFS($A$2:$A446,$A446,$E$2:$E446,"ANNULE")),""))</f>
        <v/>
      </c>
    </row>
    <row r="447">
      <c r="A447">
        <f>IF(ISBLANK('ENGAGEMENTS 2026'!B447),"",IF('ENGAGEMENTS 2026'!B447="DTSI","DCT",'ENGAGEMENTS 2026'!B447))</f>
        <v/>
      </c>
      <c r="B447">
        <f>IF(ISBLANK('ENGAGEMENTS 2026'!B447),"",'ENGAGEMENTS 2026'!C447)</f>
        <v/>
      </c>
      <c r="C447">
        <f>IF(ISBLANK('ENGAGEMENTS 2026'!B447),"",'ENGAGEMENTS 2026'!D447)</f>
        <v/>
      </c>
      <c r="D447">
        <f>IF(ISBLANK('ENGAGEMENTS 2026'!B447),"",'ENGAGEMENTS 2026'!F447)</f>
        <v/>
      </c>
      <c r="E447">
        <f>IF(ISBLANK('ENGAGEMENTS 2026'!B447),"",'ENGAGEMENTS 2026'!H447)</f>
        <v/>
      </c>
      <c r="F447">
        <f>IF(ISBLANK('ENGAGEMENTS 2026'!B447),"",'ENGAGEMENTS 2026'!I447)</f>
        <v/>
      </c>
      <c r="G447">
        <f>IF(ISBLANK('ENGAGEMENTS 2026'!B447),"",'ENGAGEMENTS 2026'!L447)</f>
        <v/>
      </c>
      <c r="H447">
        <f>IF(ISBLANK('ENGAGEMENTS 2026'!B447),"",'ENGAGEMENTS 2026'!AE447)</f>
        <v/>
      </c>
      <c r="I447">
        <f>IF(ISBLANK('ENGAGEMENTS 2026'!B447),"",'ENGAGEMENTS 2026'!G447)</f>
        <v/>
      </c>
      <c r="J447" s="275">
        <f>IF(ISBLANK('ENGAGEMENTS 2026'!B447),"",IF(AND(OR($E447="INFRUCTUEUX",$E447="ANNULE"),$C447="AOO-M"),'ENGAGEMENTS 2026'!O447,IF($H447="EN COURS DE PREENGAGEMENT",'ENGAGEMENTS 2026'!N447,IF($H447="PREENGAGE",IF($E447="ATTRIBUE",'ENGAGEMENTS 2026'!AD447,'ENGAGEMENTS 2026'!N447),'ENGAGEMENTS 2026'!AD447))))</f>
        <v/>
      </c>
      <c r="K447" s="604">
        <f>IF(ISBLANK('ENGAGEMENTS 2026'!V447),"",'ENGAGEMENTS 2026'!V447)</f>
        <v/>
      </c>
      <c r="L447" s="276">
        <f>IF($K447="","",TODAY()-$K447)</f>
        <v/>
      </c>
      <c r="M447">
        <f>IF($A447="","",IF($H447="ENGAGE","Engagé",IF(AND($H447="NON ENGAGE",OR($I447="INFRUCTUEUX",$I447="ANNULE")),"Clôturé sans suite","En cours")))</f>
        <v/>
      </c>
      <c r="N447">
        <f>IF(ISBLANK('ENGAGEMENTS 2026'!B447),"",'ENGAGEMENTS 2026'!K447)</f>
        <v/>
      </c>
      <c r="O447">
        <f>IF(ISBLANK('ENGAGEMENTS 2026'!B447),"",'ENGAGEMENTS 2026'!L447)</f>
        <v/>
      </c>
      <c r="P447">
        <f>IF(ISBLANK('ENGAGEMENTS 2026'!B447),"",'ENGAGEMENTS 2026'!J447)</f>
        <v/>
      </c>
      <c r="Q447">
        <f>IF($A447="","",IF(OR($E447="INFRUCTUEUX",$E447="ANNULE"),$A447&amp;"|"&amp;(COUNTIFS($A$2:$A447,$A447,$E$2:$E447,"INFRUCTUEUX")+COUNTIFS($A$2:$A447,$A447,$E$2:$E447,"ANNULE")),""))</f>
        <v/>
      </c>
    </row>
    <row r="448">
      <c r="A448">
        <f>IF(ISBLANK('ENGAGEMENTS 2026'!B448),"",IF('ENGAGEMENTS 2026'!B448="DTSI","DCT",'ENGAGEMENTS 2026'!B448))</f>
        <v/>
      </c>
      <c r="B448">
        <f>IF(ISBLANK('ENGAGEMENTS 2026'!B448),"",'ENGAGEMENTS 2026'!C448)</f>
        <v/>
      </c>
      <c r="C448">
        <f>IF(ISBLANK('ENGAGEMENTS 2026'!B448),"",'ENGAGEMENTS 2026'!D448)</f>
        <v/>
      </c>
      <c r="D448">
        <f>IF(ISBLANK('ENGAGEMENTS 2026'!B448),"",'ENGAGEMENTS 2026'!F448)</f>
        <v/>
      </c>
      <c r="E448">
        <f>IF(ISBLANK('ENGAGEMENTS 2026'!B448),"",'ENGAGEMENTS 2026'!H448)</f>
        <v/>
      </c>
      <c r="F448">
        <f>IF(ISBLANK('ENGAGEMENTS 2026'!B448),"",'ENGAGEMENTS 2026'!I448)</f>
        <v/>
      </c>
      <c r="G448">
        <f>IF(ISBLANK('ENGAGEMENTS 2026'!B448),"",'ENGAGEMENTS 2026'!L448)</f>
        <v/>
      </c>
      <c r="H448">
        <f>IF(ISBLANK('ENGAGEMENTS 2026'!B448),"",'ENGAGEMENTS 2026'!AE448)</f>
        <v/>
      </c>
      <c r="I448">
        <f>IF(ISBLANK('ENGAGEMENTS 2026'!B448),"",'ENGAGEMENTS 2026'!G448)</f>
        <v/>
      </c>
      <c r="J448" s="275">
        <f>IF(ISBLANK('ENGAGEMENTS 2026'!B448),"",IF(AND(OR($E448="INFRUCTUEUX",$E448="ANNULE"),$C448="AOO-M"),'ENGAGEMENTS 2026'!O448,IF($H448="EN COURS DE PREENGAGEMENT",'ENGAGEMENTS 2026'!N448,IF($H448="PREENGAGE",IF($E448="ATTRIBUE",'ENGAGEMENTS 2026'!AD448,'ENGAGEMENTS 2026'!N448),'ENGAGEMENTS 2026'!AD448))))</f>
        <v/>
      </c>
      <c r="K448" s="604">
        <f>IF(ISBLANK('ENGAGEMENTS 2026'!V448),"",'ENGAGEMENTS 2026'!V448)</f>
        <v/>
      </c>
      <c r="L448" s="276">
        <f>IF($K448="","",TODAY()-$K448)</f>
        <v/>
      </c>
      <c r="M448">
        <f>IF($A448="","",IF($H448="ENGAGE","Engagé",IF(AND($H448="NON ENGAGE",OR($I448="INFRUCTUEUX",$I448="ANNULE")),"Clôturé sans suite","En cours")))</f>
        <v/>
      </c>
      <c r="N448">
        <f>IF(ISBLANK('ENGAGEMENTS 2026'!B448),"",'ENGAGEMENTS 2026'!K448)</f>
        <v/>
      </c>
      <c r="O448">
        <f>IF(ISBLANK('ENGAGEMENTS 2026'!B448),"",'ENGAGEMENTS 2026'!L448)</f>
        <v/>
      </c>
      <c r="P448">
        <f>IF(ISBLANK('ENGAGEMENTS 2026'!B448),"",'ENGAGEMENTS 2026'!J448)</f>
        <v/>
      </c>
      <c r="Q448">
        <f>IF($A448="","",IF(OR($E448="INFRUCTUEUX",$E448="ANNULE"),$A448&amp;"|"&amp;(COUNTIFS($A$2:$A448,$A448,$E$2:$E448,"INFRUCTUEUX")+COUNTIFS($A$2:$A448,$A448,$E$2:$E448,"ANNULE")),""))</f>
        <v/>
      </c>
    </row>
    <row r="449">
      <c r="A449">
        <f>IF(ISBLANK('ENGAGEMENTS 2026'!B449),"",IF('ENGAGEMENTS 2026'!B449="DTSI","DCT",'ENGAGEMENTS 2026'!B449))</f>
        <v/>
      </c>
      <c r="B449">
        <f>IF(ISBLANK('ENGAGEMENTS 2026'!B449),"",'ENGAGEMENTS 2026'!C449)</f>
        <v/>
      </c>
      <c r="C449">
        <f>IF(ISBLANK('ENGAGEMENTS 2026'!B449),"",'ENGAGEMENTS 2026'!D449)</f>
        <v/>
      </c>
      <c r="D449">
        <f>IF(ISBLANK('ENGAGEMENTS 2026'!B449),"",'ENGAGEMENTS 2026'!F449)</f>
        <v/>
      </c>
      <c r="E449">
        <f>IF(ISBLANK('ENGAGEMENTS 2026'!B449),"",'ENGAGEMENTS 2026'!H449)</f>
        <v/>
      </c>
      <c r="F449">
        <f>IF(ISBLANK('ENGAGEMENTS 2026'!B449),"",'ENGAGEMENTS 2026'!I449)</f>
        <v/>
      </c>
      <c r="G449">
        <f>IF(ISBLANK('ENGAGEMENTS 2026'!B449),"",'ENGAGEMENTS 2026'!L449)</f>
        <v/>
      </c>
      <c r="H449">
        <f>IF(ISBLANK('ENGAGEMENTS 2026'!B449),"",'ENGAGEMENTS 2026'!AE449)</f>
        <v/>
      </c>
      <c r="I449">
        <f>IF(ISBLANK('ENGAGEMENTS 2026'!B449),"",'ENGAGEMENTS 2026'!G449)</f>
        <v/>
      </c>
      <c r="J449" s="275">
        <f>IF(ISBLANK('ENGAGEMENTS 2026'!B449),"",IF(AND(OR($E449="INFRUCTUEUX",$E449="ANNULE"),$C449="AOO-M"),'ENGAGEMENTS 2026'!O449,IF($H449="EN COURS DE PREENGAGEMENT",'ENGAGEMENTS 2026'!N449,IF($H449="PREENGAGE",IF($E449="ATTRIBUE",'ENGAGEMENTS 2026'!AD449,'ENGAGEMENTS 2026'!N449),'ENGAGEMENTS 2026'!AD449))))</f>
        <v/>
      </c>
      <c r="K449" s="604">
        <f>IF(ISBLANK('ENGAGEMENTS 2026'!V449),"",'ENGAGEMENTS 2026'!V449)</f>
        <v/>
      </c>
      <c r="L449" s="276">
        <f>IF($K449="","",TODAY()-$K449)</f>
        <v/>
      </c>
      <c r="M449">
        <f>IF($A449="","",IF($H449="ENGAGE","Engagé",IF(AND($H449="NON ENGAGE",OR($I449="INFRUCTUEUX",$I449="ANNULE")),"Clôturé sans suite","En cours")))</f>
        <v/>
      </c>
      <c r="N449">
        <f>IF(ISBLANK('ENGAGEMENTS 2026'!B449),"",'ENGAGEMENTS 2026'!K449)</f>
        <v/>
      </c>
      <c r="O449">
        <f>IF(ISBLANK('ENGAGEMENTS 2026'!B449),"",'ENGAGEMENTS 2026'!L449)</f>
        <v/>
      </c>
      <c r="P449">
        <f>IF(ISBLANK('ENGAGEMENTS 2026'!B449),"",'ENGAGEMENTS 2026'!J449)</f>
        <v/>
      </c>
      <c r="Q449">
        <f>IF($A449="","",IF(OR($E449="INFRUCTUEUX",$E449="ANNULE"),$A449&amp;"|"&amp;(COUNTIFS($A$2:$A449,$A449,$E$2:$E449,"INFRUCTUEUX")+COUNTIFS($A$2:$A449,$A449,$E$2:$E449,"ANNULE")),""))</f>
        <v/>
      </c>
    </row>
    <row r="450">
      <c r="A450">
        <f>IF(ISBLANK('ENGAGEMENTS 2026'!B450),"",IF('ENGAGEMENTS 2026'!B450="DTSI","DCT",'ENGAGEMENTS 2026'!B450))</f>
        <v/>
      </c>
      <c r="B450">
        <f>IF(ISBLANK('ENGAGEMENTS 2026'!B450),"",'ENGAGEMENTS 2026'!C450)</f>
        <v/>
      </c>
      <c r="C450">
        <f>IF(ISBLANK('ENGAGEMENTS 2026'!B450),"",'ENGAGEMENTS 2026'!D450)</f>
        <v/>
      </c>
      <c r="D450">
        <f>IF(ISBLANK('ENGAGEMENTS 2026'!B450),"",'ENGAGEMENTS 2026'!F450)</f>
        <v/>
      </c>
      <c r="E450">
        <f>IF(ISBLANK('ENGAGEMENTS 2026'!B450),"",'ENGAGEMENTS 2026'!H450)</f>
        <v/>
      </c>
      <c r="F450">
        <f>IF(ISBLANK('ENGAGEMENTS 2026'!B450),"",'ENGAGEMENTS 2026'!I450)</f>
        <v/>
      </c>
      <c r="G450">
        <f>IF(ISBLANK('ENGAGEMENTS 2026'!B450),"",'ENGAGEMENTS 2026'!L450)</f>
        <v/>
      </c>
      <c r="H450">
        <f>IF(ISBLANK('ENGAGEMENTS 2026'!B450),"",'ENGAGEMENTS 2026'!AE450)</f>
        <v/>
      </c>
      <c r="I450">
        <f>IF(ISBLANK('ENGAGEMENTS 2026'!B450),"",'ENGAGEMENTS 2026'!G450)</f>
        <v/>
      </c>
      <c r="J450" s="275">
        <f>IF(ISBLANK('ENGAGEMENTS 2026'!B450),"",IF(AND(OR($E450="INFRUCTUEUX",$E450="ANNULE"),$C450="AOO-M"),'ENGAGEMENTS 2026'!O450,IF($H450="EN COURS DE PREENGAGEMENT",'ENGAGEMENTS 2026'!N450,IF($H450="PREENGAGE",IF($E450="ATTRIBUE",'ENGAGEMENTS 2026'!AD450,'ENGAGEMENTS 2026'!N450),'ENGAGEMENTS 2026'!AD450))))</f>
        <v/>
      </c>
      <c r="K450" s="604">
        <f>IF(ISBLANK('ENGAGEMENTS 2026'!V450),"",'ENGAGEMENTS 2026'!V450)</f>
        <v/>
      </c>
      <c r="L450" s="276">
        <f>IF($K450="","",TODAY()-$K450)</f>
        <v/>
      </c>
      <c r="M450">
        <f>IF($A450="","",IF($H450="ENGAGE","Engagé",IF(AND($H450="NON ENGAGE",OR($I450="INFRUCTUEUX",$I450="ANNULE")),"Clôturé sans suite","En cours")))</f>
        <v/>
      </c>
      <c r="N450">
        <f>IF(ISBLANK('ENGAGEMENTS 2026'!B450),"",'ENGAGEMENTS 2026'!K450)</f>
        <v/>
      </c>
      <c r="O450">
        <f>IF(ISBLANK('ENGAGEMENTS 2026'!B450),"",'ENGAGEMENTS 2026'!L450)</f>
        <v/>
      </c>
      <c r="P450">
        <f>IF(ISBLANK('ENGAGEMENTS 2026'!B450),"",'ENGAGEMENTS 2026'!J450)</f>
        <v/>
      </c>
      <c r="Q450">
        <f>IF($A450="","",IF(OR($E450="INFRUCTUEUX",$E450="ANNULE"),$A450&amp;"|"&amp;(COUNTIFS($A$2:$A450,$A450,$E$2:$E450,"INFRUCTUEUX")+COUNTIFS($A$2:$A450,$A450,$E$2:$E450,"ANNULE")),""))</f>
        <v/>
      </c>
    </row>
    <row r="451">
      <c r="A451">
        <f>IF(ISBLANK('ENGAGEMENTS 2026'!B451),"",IF('ENGAGEMENTS 2026'!B451="DTSI","DCT",'ENGAGEMENTS 2026'!B451))</f>
        <v/>
      </c>
      <c r="B451">
        <f>IF(ISBLANK('ENGAGEMENTS 2026'!B451),"",'ENGAGEMENTS 2026'!C451)</f>
        <v/>
      </c>
      <c r="C451">
        <f>IF(ISBLANK('ENGAGEMENTS 2026'!B451),"",'ENGAGEMENTS 2026'!D451)</f>
        <v/>
      </c>
      <c r="D451">
        <f>IF(ISBLANK('ENGAGEMENTS 2026'!B451),"",'ENGAGEMENTS 2026'!F451)</f>
        <v/>
      </c>
      <c r="E451">
        <f>IF(ISBLANK('ENGAGEMENTS 2026'!B451),"",'ENGAGEMENTS 2026'!H451)</f>
        <v/>
      </c>
      <c r="F451">
        <f>IF(ISBLANK('ENGAGEMENTS 2026'!B451),"",'ENGAGEMENTS 2026'!I451)</f>
        <v/>
      </c>
      <c r="G451">
        <f>IF(ISBLANK('ENGAGEMENTS 2026'!B451),"",'ENGAGEMENTS 2026'!L451)</f>
        <v/>
      </c>
      <c r="H451">
        <f>IF(ISBLANK('ENGAGEMENTS 2026'!B451),"",'ENGAGEMENTS 2026'!AE451)</f>
        <v/>
      </c>
      <c r="I451">
        <f>IF(ISBLANK('ENGAGEMENTS 2026'!B451),"",'ENGAGEMENTS 2026'!G451)</f>
        <v/>
      </c>
      <c r="J451" s="275">
        <f>IF(ISBLANK('ENGAGEMENTS 2026'!B451),"",IF(AND(OR($E451="INFRUCTUEUX",$E451="ANNULE"),$C451="AOO-M"),'ENGAGEMENTS 2026'!O451,IF($H451="EN COURS DE PREENGAGEMENT",'ENGAGEMENTS 2026'!N451,IF($H451="PREENGAGE",IF($E451="ATTRIBUE",'ENGAGEMENTS 2026'!AD451,'ENGAGEMENTS 2026'!N451),'ENGAGEMENTS 2026'!AD451))))</f>
        <v/>
      </c>
      <c r="K451" s="604">
        <f>IF(ISBLANK('ENGAGEMENTS 2026'!V451),"",'ENGAGEMENTS 2026'!V451)</f>
        <v/>
      </c>
      <c r="L451" s="276">
        <f>IF($K451="","",TODAY()-$K451)</f>
        <v/>
      </c>
      <c r="M451">
        <f>IF($A451="","",IF($H451="ENGAGE","Engagé",IF(AND($H451="NON ENGAGE",OR($I451="INFRUCTUEUX",$I451="ANNULE")),"Clôturé sans suite","En cours")))</f>
        <v/>
      </c>
      <c r="N451">
        <f>IF(ISBLANK('ENGAGEMENTS 2026'!B451),"",'ENGAGEMENTS 2026'!K451)</f>
        <v/>
      </c>
      <c r="O451">
        <f>IF(ISBLANK('ENGAGEMENTS 2026'!B451),"",'ENGAGEMENTS 2026'!L451)</f>
        <v/>
      </c>
      <c r="P451">
        <f>IF(ISBLANK('ENGAGEMENTS 2026'!B451),"",'ENGAGEMENTS 2026'!J451)</f>
        <v/>
      </c>
      <c r="Q451">
        <f>IF($A451="","",IF(OR($E451="INFRUCTUEUX",$E451="ANNULE"),$A451&amp;"|"&amp;(COUNTIFS($A$2:$A451,$A451,$E$2:$E451,"INFRUCTUEUX")+COUNTIFS($A$2:$A451,$A451,$E$2:$E451,"ANNULE")),""))</f>
        <v/>
      </c>
    </row>
    <row r="452">
      <c r="A452">
        <f>IF(ISBLANK('ENGAGEMENTS 2026'!B452),"",IF('ENGAGEMENTS 2026'!B452="DTSI","DCT",'ENGAGEMENTS 2026'!B452))</f>
        <v/>
      </c>
      <c r="B452">
        <f>IF(ISBLANK('ENGAGEMENTS 2026'!B452),"",'ENGAGEMENTS 2026'!C452)</f>
        <v/>
      </c>
      <c r="C452">
        <f>IF(ISBLANK('ENGAGEMENTS 2026'!B452),"",'ENGAGEMENTS 2026'!D452)</f>
        <v/>
      </c>
      <c r="D452">
        <f>IF(ISBLANK('ENGAGEMENTS 2026'!B452),"",'ENGAGEMENTS 2026'!F452)</f>
        <v/>
      </c>
      <c r="E452">
        <f>IF(ISBLANK('ENGAGEMENTS 2026'!B452),"",'ENGAGEMENTS 2026'!H452)</f>
        <v/>
      </c>
      <c r="F452">
        <f>IF(ISBLANK('ENGAGEMENTS 2026'!B452),"",'ENGAGEMENTS 2026'!I452)</f>
        <v/>
      </c>
      <c r="G452">
        <f>IF(ISBLANK('ENGAGEMENTS 2026'!B452),"",'ENGAGEMENTS 2026'!L452)</f>
        <v/>
      </c>
      <c r="H452">
        <f>IF(ISBLANK('ENGAGEMENTS 2026'!B452),"",'ENGAGEMENTS 2026'!AE452)</f>
        <v/>
      </c>
      <c r="I452">
        <f>IF(ISBLANK('ENGAGEMENTS 2026'!B452),"",'ENGAGEMENTS 2026'!G452)</f>
        <v/>
      </c>
      <c r="J452" s="275">
        <f>IF(ISBLANK('ENGAGEMENTS 2026'!B452),"",IF(AND(OR($E452="INFRUCTUEUX",$E452="ANNULE"),$C452="AOO-M"),'ENGAGEMENTS 2026'!O452,IF($H452="EN COURS DE PREENGAGEMENT",'ENGAGEMENTS 2026'!N452,IF($H452="PREENGAGE",IF($E452="ATTRIBUE",'ENGAGEMENTS 2026'!AD452,'ENGAGEMENTS 2026'!N452),'ENGAGEMENTS 2026'!AD452))))</f>
        <v/>
      </c>
      <c r="K452" s="604">
        <f>IF(ISBLANK('ENGAGEMENTS 2026'!V452),"",'ENGAGEMENTS 2026'!V452)</f>
        <v/>
      </c>
      <c r="L452" s="276">
        <f>IF($K452="","",TODAY()-$K452)</f>
        <v/>
      </c>
      <c r="M452">
        <f>IF($A452="","",IF($H452="ENGAGE","Engagé",IF(AND($H452="NON ENGAGE",OR($I452="INFRUCTUEUX",$I452="ANNULE")),"Clôturé sans suite","En cours")))</f>
        <v/>
      </c>
      <c r="N452">
        <f>IF(ISBLANK('ENGAGEMENTS 2026'!B452),"",'ENGAGEMENTS 2026'!K452)</f>
        <v/>
      </c>
      <c r="O452">
        <f>IF(ISBLANK('ENGAGEMENTS 2026'!B452),"",'ENGAGEMENTS 2026'!L452)</f>
        <v/>
      </c>
      <c r="P452">
        <f>IF(ISBLANK('ENGAGEMENTS 2026'!B452),"",'ENGAGEMENTS 2026'!J452)</f>
        <v/>
      </c>
      <c r="Q452">
        <f>IF($A452="","",IF(OR($E452="INFRUCTUEUX",$E452="ANNULE"),$A452&amp;"|"&amp;(COUNTIFS($A$2:$A452,$A452,$E$2:$E452,"INFRUCTUEUX")+COUNTIFS($A$2:$A452,$A452,$E$2:$E452,"ANNULE")),""))</f>
        <v/>
      </c>
    </row>
    <row r="453">
      <c r="A453">
        <f>IF(ISBLANK('ENGAGEMENTS 2026'!B453),"",IF('ENGAGEMENTS 2026'!B453="DTSI","DCT",'ENGAGEMENTS 2026'!B453))</f>
        <v/>
      </c>
      <c r="B453">
        <f>IF(ISBLANK('ENGAGEMENTS 2026'!B453),"",'ENGAGEMENTS 2026'!C453)</f>
        <v/>
      </c>
      <c r="C453">
        <f>IF(ISBLANK('ENGAGEMENTS 2026'!B453),"",'ENGAGEMENTS 2026'!D453)</f>
        <v/>
      </c>
      <c r="D453">
        <f>IF(ISBLANK('ENGAGEMENTS 2026'!B453),"",'ENGAGEMENTS 2026'!F453)</f>
        <v/>
      </c>
      <c r="E453">
        <f>IF(ISBLANK('ENGAGEMENTS 2026'!B453),"",'ENGAGEMENTS 2026'!H453)</f>
        <v/>
      </c>
      <c r="F453">
        <f>IF(ISBLANK('ENGAGEMENTS 2026'!B453),"",'ENGAGEMENTS 2026'!I453)</f>
        <v/>
      </c>
      <c r="G453">
        <f>IF(ISBLANK('ENGAGEMENTS 2026'!B453),"",'ENGAGEMENTS 2026'!L453)</f>
        <v/>
      </c>
      <c r="H453">
        <f>IF(ISBLANK('ENGAGEMENTS 2026'!B453),"",'ENGAGEMENTS 2026'!AE453)</f>
        <v/>
      </c>
      <c r="I453">
        <f>IF(ISBLANK('ENGAGEMENTS 2026'!B453),"",'ENGAGEMENTS 2026'!G453)</f>
        <v/>
      </c>
      <c r="J453" s="275">
        <f>IF(ISBLANK('ENGAGEMENTS 2026'!B453),"",IF(AND(OR($E453="INFRUCTUEUX",$E453="ANNULE"),$C453="AOO-M"),'ENGAGEMENTS 2026'!O453,IF($H453="EN COURS DE PREENGAGEMENT",'ENGAGEMENTS 2026'!N453,IF($H453="PREENGAGE",IF($E453="ATTRIBUE",'ENGAGEMENTS 2026'!AD453,'ENGAGEMENTS 2026'!N453),'ENGAGEMENTS 2026'!AD453))))</f>
        <v/>
      </c>
      <c r="K453" s="604">
        <f>IF(ISBLANK('ENGAGEMENTS 2026'!V453),"",'ENGAGEMENTS 2026'!V453)</f>
        <v/>
      </c>
      <c r="L453" s="276">
        <f>IF($K453="","",TODAY()-$K453)</f>
        <v/>
      </c>
      <c r="M453">
        <f>IF($A453="","",IF($H453="ENGAGE","Engagé",IF(AND($H453="NON ENGAGE",OR($I453="INFRUCTUEUX",$I453="ANNULE")),"Clôturé sans suite","En cours")))</f>
        <v/>
      </c>
      <c r="N453">
        <f>IF(ISBLANK('ENGAGEMENTS 2026'!B453),"",'ENGAGEMENTS 2026'!K453)</f>
        <v/>
      </c>
      <c r="O453">
        <f>IF(ISBLANK('ENGAGEMENTS 2026'!B453),"",'ENGAGEMENTS 2026'!L453)</f>
        <v/>
      </c>
      <c r="P453">
        <f>IF(ISBLANK('ENGAGEMENTS 2026'!B453),"",'ENGAGEMENTS 2026'!J453)</f>
        <v/>
      </c>
      <c r="Q453">
        <f>IF($A453="","",IF(OR($E453="INFRUCTUEUX",$E453="ANNULE"),$A453&amp;"|"&amp;(COUNTIFS($A$2:$A453,$A453,$E$2:$E453,"INFRUCTUEUX")+COUNTIFS($A$2:$A453,$A453,$E$2:$E453,"ANNULE")),""))</f>
        <v/>
      </c>
    </row>
    <row r="454">
      <c r="A454">
        <f>IF(ISBLANK('ENGAGEMENTS 2026'!B454),"",IF('ENGAGEMENTS 2026'!B454="DTSI","DCT",'ENGAGEMENTS 2026'!B454))</f>
        <v/>
      </c>
      <c r="B454">
        <f>IF(ISBLANK('ENGAGEMENTS 2026'!B454),"",'ENGAGEMENTS 2026'!C454)</f>
        <v/>
      </c>
      <c r="C454">
        <f>IF(ISBLANK('ENGAGEMENTS 2026'!B454),"",'ENGAGEMENTS 2026'!D454)</f>
        <v/>
      </c>
      <c r="D454">
        <f>IF(ISBLANK('ENGAGEMENTS 2026'!B454),"",'ENGAGEMENTS 2026'!F454)</f>
        <v/>
      </c>
      <c r="E454">
        <f>IF(ISBLANK('ENGAGEMENTS 2026'!B454),"",'ENGAGEMENTS 2026'!H454)</f>
        <v/>
      </c>
      <c r="F454">
        <f>IF(ISBLANK('ENGAGEMENTS 2026'!B454),"",'ENGAGEMENTS 2026'!I454)</f>
        <v/>
      </c>
      <c r="G454">
        <f>IF(ISBLANK('ENGAGEMENTS 2026'!B454),"",'ENGAGEMENTS 2026'!L454)</f>
        <v/>
      </c>
      <c r="H454">
        <f>IF(ISBLANK('ENGAGEMENTS 2026'!B454),"",'ENGAGEMENTS 2026'!AE454)</f>
        <v/>
      </c>
      <c r="I454">
        <f>IF(ISBLANK('ENGAGEMENTS 2026'!B454),"",'ENGAGEMENTS 2026'!G454)</f>
        <v/>
      </c>
      <c r="J454" s="275">
        <f>IF(ISBLANK('ENGAGEMENTS 2026'!B454),"",IF(AND(OR($E454="INFRUCTUEUX",$E454="ANNULE"),$C454="AOO-M"),'ENGAGEMENTS 2026'!O454,IF($H454="EN COURS DE PREENGAGEMENT",'ENGAGEMENTS 2026'!N454,IF($H454="PREENGAGE",IF($E454="ATTRIBUE",'ENGAGEMENTS 2026'!AD454,'ENGAGEMENTS 2026'!N454),'ENGAGEMENTS 2026'!AD454))))</f>
        <v/>
      </c>
      <c r="K454" s="604">
        <f>IF(ISBLANK('ENGAGEMENTS 2026'!V454),"",'ENGAGEMENTS 2026'!V454)</f>
        <v/>
      </c>
      <c r="L454" s="276">
        <f>IF($K454="","",TODAY()-$K454)</f>
        <v/>
      </c>
      <c r="M454">
        <f>IF($A454="","",IF($H454="ENGAGE","Engagé",IF(AND($H454="NON ENGAGE",OR($I454="INFRUCTUEUX",$I454="ANNULE")),"Clôturé sans suite","En cours")))</f>
        <v/>
      </c>
      <c r="N454">
        <f>IF(ISBLANK('ENGAGEMENTS 2026'!B454),"",'ENGAGEMENTS 2026'!K454)</f>
        <v/>
      </c>
      <c r="O454">
        <f>IF(ISBLANK('ENGAGEMENTS 2026'!B454),"",'ENGAGEMENTS 2026'!L454)</f>
        <v/>
      </c>
      <c r="P454">
        <f>IF(ISBLANK('ENGAGEMENTS 2026'!B454),"",'ENGAGEMENTS 2026'!J454)</f>
        <v/>
      </c>
      <c r="Q454">
        <f>IF($A454="","",IF(OR($E454="INFRUCTUEUX",$E454="ANNULE"),$A454&amp;"|"&amp;(COUNTIFS($A$2:$A454,$A454,$E$2:$E454,"INFRUCTUEUX")+COUNTIFS($A$2:$A454,$A454,$E$2:$E454,"ANNULE")),""))</f>
        <v/>
      </c>
    </row>
    <row r="455">
      <c r="A455">
        <f>IF(ISBLANK('ENGAGEMENTS 2026'!B455),"",IF('ENGAGEMENTS 2026'!B455="DTSI","DCT",'ENGAGEMENTS 2026'!B455))</f>
        <v/>
      </c>
      <c r="B455">
        <f>IF(ISBLANK('ENGAGEMENTS 2026'!B455),"",'ENGAGEMENTS 2026'!C455)</f>
        <v/>
      </c>
      <c r="C455">
        <f>IF(ISBLANK('ENGAGEMENTS 2026'!B455),"",'ENGAGEMENTS 2026'!D455)</f>
        <v/>
      </c>
      <c r="D455">
        <f>IF(ISBLANK('ENGAGEMENTS 2026'!B455),"",'ENGAGEMENTS 2026'!F455)</f>
        <v/>
      </c>
      <c r="E455">
        <f>IF(ISBLANK('ENGAGEMENTS 2026'!B455),"",'ENGAGEMENTS 2026'!H455)</f>
        <v/>
      </c>
      <c r="F455">
        <f>IF(ISBLANK('ENGAGEMENTS 2026'!B455),"",'ENGAGEMENTS 2026'!I455)</f>
        <v/>
      </c>
      <c r="G455">
        <f>IF(ISBLANK('ENGAGEMENTS 2026'!B455),"",'ENGAGEMENTS 2026'!L455)</f>
        <v/>
      </c>
      <c r="H455">
        <f>IF(ISBLANK('ENGAGEMENTS 2026'!B455),"",'ENGAGEMENTS 2026'!AE455)</f>
        <v/>
      </c>
      <c r="I455">
        <f>IF(ISBLANK('ENGAGEMENTS 2026'!B455),"",'ENGAGEMENTS 2026'!G455)</f>
        <v/>
      </c>
      <c r="J455" s="275">
        <f>IF(ISBLANK('ENGAGEMENTS 2026'!B455),"",IF(AND(OR($E455="INFRUCTUEUX",$E455="ANNULE"),$C455="AOO-M"),'ENGAGEMENTS 2026'!O455,IF($H455="EN COURS DE PREENGAGEMENT",'ENGAGEMENTS 2026'!N455,IF($H455="PREENGAGE",IF($E455="ATTRIBUE",'ENGAGEMENTS 2026'!AD455,'ENGAGEMENTS 2026'!N455),'ENGAGEMENTS 2026'!AD455))))</f>
        <v/>
      </c>
      <c r="K455" s="604">
        <f>IF(ISBLANK('ENGAGEMENTS 2026'!V455),"",'ENGAGEMENTS 2026'!V455)</f>
        <v/>
      </c>
      <c r="L455" s="276">
        <f>IF($K455="","",TODAY()-$K455)</f>
        <v/>
      </c>
      <c r="M455">
        <f>IF($A455="","",IF($H455="ENGAGE","Engagé",IF(AND($H455="NON ENGAGE",OR($I455="INFRUCTUEUX",$I455="ANNULE")),"Clôturé sans suite","En cours")))</f>
        <v/>
      </c>
      <c r="N455">
        <f>IF(ISBLANK('ENGAGEMENTS 2026'!B455),"",'ENGAGEMENTS 2026'!K455)</f>
        <v/>
      </c>
      <c r="O455">
        <f>IF(ISBLANK('ENGAGEMENTS 2026'!B455),"",'ENGAGEMENTS 2026'!L455)</f>
        <v/>
      </c>
      <c r="P455">
        <f>IF(ISBLANK('ENGAGEMENTS 2026'!B455),"",'ENGAGEMENTS 2026'!J455)</f>
        <v/>
      </c>
      <c r="Q455">
        <f>IF($A455="","",IF(OR($E455="INFRUCTUEUX",$E455="ANNULE"),$A455&amp;"|"&amp;(COUNTIFS($A$2:$A455,$A455,$E$2:$E455,"INFRUCTUEUX")+COUNTIFS($A$2:$A455,$A455,$E$2:$E455,"ANNULE")),""))</f>
        <v/>
      </c>
    </row>
    <row r="456">
      <c r="A456">
        <f>IF(ISBLANK('ENGAGEMENTS 2026'!B456),"",IF('ENGAGEMENTS 2026'!B456="DTSI","DCT",'ENGAGEMENTS 2026'!B456))</f>
        <v/>
      </c>
      <c r="B456">
        <f>IF(ISBLANK('ENGAGEMENTS 2026'!B456),"",'ENGAGEMENTS 2026'!C456)</f>
        <v/>
      </c>
      <c r="C456">
        <f>IF(ISBLANK('ENGAGEMENTS 2026'!B456),"",'ENGAGEMENTS 2026'!D456)</f>
        <v/>
      </c>
      <c r="D456">
        <f>IF(ISBLANK('ENGAGEMENTS 2026'!B456),"",'ENGAGEMENTS 2026'!F456)</f>
        <v/>
      </c>
      <c r="E456">
        <f>IF(ISBLANK('ENGAGEMENTS 2026'!B456),"",'ENGAGEMENTS 2026'!H456)</f>
        <v/>
      </c>
      <c r="F456">
        <f>IF(ISBLANK('ENGAGEMENTS 2026'!B456),"",'ENGAGEMENTS 2026'!I456)</f>
        <v/>
      </c>
      <c r="G456">
        <f>IF(ISBLANK('ENGAGEMENTS 2026'!B456),"",'ENGAGEMENTS 2026'!L456)</f>
        <v/>
      </c>
      <c r="H456">
        <f>IF(ISBLANK('ENGAGEMENTS 2026'!B456),"",'ENGAGEMENTS 2026'!AE456)</f>
        <v/>
      </c>
      <c r="I456">
        <f>IF(ISBLANK('ENGAGEMENTS 2026'!B456),"",'ENGAGEMENTS 2026'!G456)</f>
        <v/>
      </c>
      <c r="J456" s="275">
        <f>IF(ISBLANK('ENGAGEMENTS 2026'!B456),"",IF(AND(OR($E456="INFRUCTUEUX",$E456="ANNULE"),$C456="AOO-M"),'ENGAGEMENTS 2026'!O456,IF($H456="EN COURS DE PREENGAGEMENT",'ENGAGEMENTS 2026'!N456,IF($H456="PREENGAGE",IF($E456="ATTRIBUE",'ENGAGEMENTS 2026'!AD456,'ENGAGEMENTS 2026'!N456),'ENGAGEMENTS 2026'!AD456))))</f>
        <v/>
      </c>
      <c r="K456" s="604">
        <f>IF(ISBLANK('ENGAGEMENTS 2026'!V456),"",'ENGAGEMENTS 2026'!V456)</f>
        <v/>
      </c>
      <c r="L456" s="276">
        <f>IF($K456="","",TODAY()-$K456)</f>
        <v/>
      </c>
      <c r="M456">
        <f>IF($A456="","",IF($H456="ENGAGE","Engagé",IF(AND($H456="NON ENGAGE",OR($I456="INFRUCTUEUX",$I456="ANNULE")),"Clôturé sans suite","En cours")))</f>
        <v/>
      </c>
      <c r="N456">
        <f>IF(ISBLANK('ENGAGEMENTS 2026'!B456),"",'ENGAGEMENTS 2026'!K456)</f>
        <v/>
      </c>
      <c r="O456">
        <f>IF(ISBLANK('ENGAGEMENTS 2026'!B456),"",'ENGAGEMENTS 2026'!L456)</f>
        <v/>
      </c>
      <c r="P456">
        <f>IF(ISBLANK('ENGAGEMENTS 2026'!B456),"",'ENGAGEMENTS 2026'!J456)</f>
        <v/>
      </c>
      <c r="Q456">
        <f>IF($A456="","",IF(OR($E456="INFRUCTUEUX",$E456="ANNULE"),$A456&amp;"|"&amp;(COUNTIFS($A$2:$A456,$A456,$E$2:$E456,"INFRUCTUEUX")+COUNTIFS($A$2:$A456,$A456,$E$2:$E456,"ANNULE")),""))</f>
        <v/>
      </c>
    </row>
    <row r="457">
      <c r="A457">
        <f>IF(ISBLANK('ENGAGEMENTS 2026'!B457),"",IF('ENGAGEMENTS 2026'!B457="DTSI","DCT",'ENGAGEMENTS 2026'!B457))</f>
        <v/>
      </c>
      <c r="B457">
        <f>IF(ISBLANK('ENGAGEMENTS 2026'!B457),"",'ENGAGEMENTS 2026'!C457)</f>
        <v/>
      </c>
      <c r="C457">
        <f>IF(ISBLANK('ENGAGEMENTS 2026'!B457),"",'ENGAGEMENTS 2026'!D457)</f>
        <v/>
      </c>
      <c r="D457">
        <f>IF(ISBLANK('ENGAGEMENTS 2026'!B457),"",'ENGAGEMENTS 2026'!F457)</f>
        <v/>
      </c>
      <c r="E457">
        <f>IF(ISBLANK('ENGAGEMENTS 2026'!B457),"",'ENGAGEMENTS 2026'!H457)</f>
        <v/>
      </c>
      <c r="F457">
        <f>IF(ISBLANK('ENGAGEMENTS 2026'!B457),"",'ENGAGEMENTS 2026'!I457)</f>
        <v/>
      </c>
      <c r="G457">
        <f>IF(ISBLANK('ENGAGEMENTS 2026'!B457),"",'ENGAGEMENTS 2026'!L457)</f>
        <v/>
      </c>
      <c r="H457">
        <f>IF(ISBLANK('ENGAGEMENTS 2026'!B457),"",'ENGAGEMENTS 2026'!AE457)</f>
        <v/>
      </c>
      <c r="I457">
        <f>IF(ISBLANK('ENGAGEMENTS 2026'!B457),"",'ENGAGEMENTS 2026'!G457)</f>
        <v/>
      </c>
      <c r="J457" s="275">
        <f>IF(ISBLANK('ENGAGEMENTS 2026'!B457),"",IF(AND(OR($E457="INFRUCTUEUX",$E457="ANNULE"),$C457="AOO-M"),'ENGAGEMENTS 2026'!O457,IF($H457="EN COURS DE PREENGAGEMENT",'ENGAGEMENTS 2026'!N457,IF($H457="PREENGAGE",IF($E457="ATTRIBUE",'ENGAGEMENTS 2026'!AD457,'ENGAGEMENTS 2026'!N457),'ENGAGEMENTS 2026'!AD457))))</f>
        <v/>
      </c>
      <c r="K457" s="604">
        <f>IF(ISBLANK('ENGAGEMENTS 2026'!V457),"",'ENGAGEMENTS 2026'!V457)</f>
        <v/>
      </c>
      <c r="L457" s="276">
        <f>IF($K457="","",TODAY()-$K457)</f>
        <v/>
      </c>
      <c r="M457">
        <f>IF($A457="","",IF($H457="ENGAGE","Engagé",IF(AND($H457="NON ENGAGE",OR($I457="INFRUCTUEUX",$I457="ANNULE")),"Clôturé sans suite","En cours")))</f>
        <v/>
      </c>
      <c r="N457">
        <f>IF(ISBLANK('ENGAGEMENTS 2026'!B457),"",'ENGAGEMENTS 2026'!K457)</f>
        <v/>
      </c>
      <c r="O457">
        <f>IF(ISBLANK('ENGAGEMENTS 2026'!B457),"",'ENGAGEMENTS 2026'!L457)</f>
        <v/>
      </c>
      <c r="P457">
        <f>IF(ISBLANK('ENGAGEMENTS 2026'!B457),"",'ENGAGEMENTS 2026'!J457)</f>
        <v/>
      </c>
      <c r="Q457">
        <f>IF($A457="","",IF(OR($E457="INFRUCTUEUX",$E457="ANNULE"),$A457&amp;"|"&amp;(COUNTIFS($A$2:$A457,$A457,$E$2:$E457,"INFRUCTUEUX")+COUNTIFS($A$2:$A457,$A457,$E$2:$E457,"ANNULE")),""))</f>
        <v/>
      </c>
    </row>
    <row r="458">
      <c r="A458">
        <f>IF(ISBLANK('ENGAGEMENTS 2026'!B458),"",IF('ENGAGEMENTS 2026'!B458="DTSI","DCT",'ENGAGEMENTS 2026'!B458))</f>
        <v/>
      </c>
      <c r="B458">
        <f>IF(ISBLANK('ENGAGEMENTS 2026'!B458),"",'ENGAGEMENTS 2026'!C458)</f>
        <v/>
      </c>
      <c r="C458">
        <f>IF(ISBLANK('ENGAGEMENTS 2026'!B458),"",'ENGAGEMENTS 2026'!D458)</f>
        <v/>
      </c>
      <c r="D458">
        <f>IF(ISBLANK('ENGAGEMENTS 2026'!B458),"",'ENGAGEMENTS 2026'!F458)</f>
        <v/>
      </c>
      <c r="E458">
        <f>IF(ISBLANK('ENGAGEMENTS 2026'!B458),"",'ENGAGEMENTS 2026'!H458)</f>
        <v/>
      </c>
      <c r="F458">
        <f>IF(ISBLANK('ENGAGEMENTS 2026'!B458),"",'ENGAGEMENTS 2026'!I458)</f>
        <v/>
      </c>
      <c r="G458">
        <f>IF(ISBLANK('ENGAGEMENTS 2026'!B458),"",'ENGAGEMENTS 2026'!L458)</f>
        <v/>
      </c>
      <c r="H458">
        <f>IF(ISBLANK('ENGAGEMENTS 2026'!B458),"",'ENGAGEMENTS 2026'!AE458)</f>
        <v/>
      </c>
      <c r="I458">
        <f>IF(ISBLANK('ENGAGEMENTS 2026'!B458),"",'ENGAGEMENTS 2026'!G458)</f>
        <v/>
      </c>
      <c r="J458" s="275">
        <f>IF(ISBLANK('ENGAGEMENTS 2026'!B458),"",IF(AND(OR($E458="INFRUCTUEUX",$E458="ANNULE"),$C458="AOO-M"),'ENGAGEMENTS 2026'!O458,IF($H458="EN COURS DE PREENGAGEMENT",'ENGAGEMENTS 2026'!N458,IF($H458="PREENGAGE",IF($E458="ATTRIBUE",'ENGAGEMENTS 2026'!AD458,'ENGAGEMENTS 2026'!N458),'ENGAGEMENTS 2026'!AD458))))</f>
        <v/>
      </c>
      <c r="K458" s="604">
        <f>IF(ISBLANK('ENGAGEMENTS 2026'!V458),"",'ENGAGEMENTS 2026'!V458)</f>
        <v/>
      </c>
      <c r="L458" s="276">
        <f>IF($K458="","",TODAY()-$K458)</f>
        <v/>
      </c>
      <c r="M458">
        <f>IF($A458="","",IF($H458="ENGAGE","Engagé",IF(AND($H458="NON ENGAGE",OR($I458="INFRUCTUEUX",$I458="ANNULE")),"Clôturé sans suite","En cours")))</f>
        <v/>
      </c>
      <c r="N458">
        <f>IF(ISBLANK('ENGAGEMENTS 2026'!B458),"",'ENGAGEMENTS 2026'!K458)</f>
        <v/>
      </c>
      <c r="O458">
        <f>IF(ISBLANK('ENGAGEMENTS 2026'!B458),"",'ENGAGEMENTS 2026'!L458)</f>
        <v/>
      </c>
      <c r="P458">
        <f>IF(ISBLANK('ENGAGEMENTS 2026'!B458),"",'ENGAGEMENTS 2026'!J458)</f>
        <v/>
      </c>
      <c r="Q458">
        <f>IF($A458="","",IF(OR($E458="INFRUCTUEUX",$E458="ANNULE"),$A458&amp;"|"&amp;(COUNTIFS($A$2:$A458,$A458,$E$2:$E458,"INFRUCTUEUX")+COUNTIFS($A$2:$A458,$A458,$E$2:$E458,"ANNULE")),""))</f>
        <v/>
      </c>
    </row>
    <row r="459">
      <c r="A459">
        <f>IF(ISBLANK('ENGAGEMENTS 2026'!B459),"",IF('ENGAGEMENTS 2026'!B459="DTSI","DCT",'ENGAGEMENTS 2026'!B459))</f>
        <v/>
      </c>
      <c r="B459">
        <f>IF(ISBLANK('ENGAGEMENTS 2026'!B459),"",'ENGAGEMENTS 2026'!C459)</f>
        <v/>
      </c>
      <c r="C459">
        <f>IF(ISBLANK('ENGAGEMENTS 2026'!B459),"",'ENGAGEMENTS 2026'!D459)</f>
        <v/>
      </c>
      <c r="D459">
        <f>IF(ISBLANK('ENGAGEMENTS 2026'!B459),"",'ENGAGEMENTS 2026'!F459)</f>
        <v/>
      </c>
      <c r="E459">
        <f>IF(ISBLANK('ENGAGEMENTS 2026'!B459),"",'ENGAGEMENTS 2026'!H459)</f>
        <v/>
      </c>
      <c r="F459">
        <f>IF(ISBLANK('ENGAGEMENTS 2026'!B459),"",'ENGAGEMENTS 2026'!I459)</f>
        <v/>
      </c>
      <c r="G459">
        <f>IF(ISBLANK('ENGAGEMENTS 2026'!B459),"",'ENGAGEMENTS 2026'!L459)</f>
        <v/>
      </c>
      <c r="H459">
        <f>IF(ISBLANK('ENGAGEMENTS 2026'!B459),"",'ENGAGEMENTS 2026'!AE459)</f>
        <v/>
      </c>
      <c r="I459">
        <f>IF(ISBLANK('ENGAGEMENTS 2026'!B459),"",'ENGAGEMENTS 2026'!G459)</f>
        <v/>
      </c>
      <c r="J459" s="275">
        <f>IF(ISBLANK('ENGAGEMENTS 2026'!B459),"",IF(AND(OR($E459="INFRUCTUEUX",$E459="ANNULE"),$C459="AOO-M"),'ENGAGEMENTS 2026'!O459,IF($H459="EN COURS DE PREENGAGEMENT",'ENGAGEMENTS 2026'!N459,IF($H459="PREENGAGE",IF($E459="ATTRIBUE",'ENGAGEMENTS 2026'!AD459,'ENGAGEMENTS 2026'!N459),'ENGAGEMENTS 2026'!AD459))))</f>
        <v/>
      </c>
      <c r="K459" s="604">
        <f>IF(ISBLANK('ENGAGEMENTS 2026'!V459),"",'ENGAGEMENTS 2026'!V459)</f>
        <v/>
      </c>
      <c r="L459" s="276">
        <f>IF($K459="","",TODAY()-$K459)</f>
        <v/>
      </c>
      <c r="M459">
        <f>IF($A459="","",IF($H459="ENGAGE","Engagé",IF(AND($H459="NON ENGAGE",OR($I459="INFRUCTUEUX",$I459="ANNULE")),"Clôturé sans suite","En cours")))</f>
        <v/>
      </c>
      <c r="N459">
        <f>IF(ISBLANK('ENGAGEMENTS 2026'!B459),"",'ENGAGEMENTS 2026'!K459)</f>
        <v/>
      </c>
      <c r="O459">
        <f>IF(ISBLANK('ENGAGEMENTS 2026'!B459),"",'ENGAGEMENTS 2026'!L459)</f>
        <v/>
      </c>
      <c r="P459">
        <f>IF(ISBLANK('ENGAGEMENTS 2026'!B459),"",'ENGAGEMENTS 2026'!J459)</f>
        <v/>
      </c>
      <c r="Q459">
        <f>IF($A459="","",IF(OR($E459="INFRUCTUEUX",$E459="ANNULE"),$A459&amp;"|"&amp;(COUNTIFS($A$2:$A459,$A459,$E$2:$E459,"INFRUCTUEUX")+COUNTIFS($A$2:$A459,$A459,$E$2:$E459,"ANNULE")),""))</f>
        <v/>
      </c>
    </row>
    <row r="460">
      <c r="A460">
        <f>IF(ISBLANK('ENGAGEMENTS 2026'!B460),"",IF('ENGAGEMENTS 2026'!B460="DTSI","DCT",'ENGAGEMENTS 2026'!B460))</f>
        <v/>
      </c>
      <c r="B460">
        <f>IF(ISBLANK('ENGAGEMENTS 2026'!B460),"",'ENGAGEMENTS 2026'!C460)</f>
        <v/>
      </c>
      <c r="C460">
        <f>IF(ISBLANK('ENGAGEMENTS 2026'!B460),"",'ENGAGEMENTS 2026'!D460)</f>
        <v/>
      </c>
      <c r="D460">
        <f>IF(ISBLANK('ENGAGEMENTS 2026'!B460),"",'ENGAGEMENTS 2026'!F460)</f>
        <v/>
      </c>
      <c r="E460">
        <f>IF(ISBLANK('ENGAGEMENTS 2026'!B460),"",'ENGAGEMENTS 2026'!H460)</f>
        <v/>
      </c>
      <c r="F460">
        <f>IF(ISBLANK('ENGAGEMENTS 2026'!B460),"",'ENGAGEMENTS 2026'!I460)</f>
        <v/>
      </c>
      <c r="G460">
        <f>IF(ISBLANK('ENGAGEMENTS 2026'!B460),"",'ENGAGEMENTS 2026'!L460)</f>
        <v/>
      </c>
      <c r="H460">
        <f>IF(ISBLANK('ENGAGEMENTS 2026'!B460),"",'ENGAGEMENTS 2026'!AE460)</f>
        <v/>
      </c>
      <c r="I460">
        <f>IF(ISBLANK('ENGAGEMENTS 2026'!B460),"",'ENGAGEMENTS 2026'!G460)</f>
        <v/>
      </c>
      <c r="J460" s="275">
        <f>IF(ISBLANK('ENGAGEMENTS 2026'!B460),"",IF(AND(OR($E460="INFRUCTUEUX",$E460="ANNULE"),$C460="AOO-M"),'ENGAGEMENTS 2026'!O460,IF($H460="EN COURS DE PREENGAGEMENT",'ENGAGEMENTS 2026'!N460,IF($H460="PREENGAGE",IF($E460="ATTRIBUE",'ENGAGEMENTS 2026'!AD460,'ENGAGEMENTS 2026'!N460),'ENGAGEMENTS 2026'!AD460))))</f>
        <v/>
      </c>
      <c r="K460" s="604">
        <f>IF(ISBLANK('ENGAGEMENTS 2026'!V460),"",'ENGAGEMENTS 2026'!V460)</f>
        <v/>
      </c>
      <c r="L460" s="276">
        <f>IF($K460="","",TODAY()-$K460)</f>
        <v/>
      </c>
      <c r="M460">
        <f>IF($A460="","",IF($H460="ENGAGE","Engagé",IF(AND($H460="NON ENGAGE",OR($I460="INFRUCTUEUX",$I460="ANNULE")),"Clôturé sans suite","En cours")))</f>
        <v/>
      </c>
      <c r="N460">
        <f>IF(ISBLANK('ENGAGEMENTS 2026'!B460),"",'ENGAGEMENTS 2026'!K460)</f>
        <v/>
      </c>
      <c r="O460">
        <f>IF(ISBLANK('ENGAGEMENTS 2026'!B460),"",'ENGAGEMENTS 2026'!L460)</f>
        <v/>
      </c>
      <c r="P460">
        <f>IF(ISBLANK('ENGAGEMENTS 2026'!B460),"",'ENGAGEMENTS 2026'!J460)</f>
        <v/>
      </c>
      <c r="Q460">
        <f>IF($A460="","",IF(OR($E460="INFRUCTUEUX",$E460="ANNULE"),$A460&amp;"|"&amp;(COUNTIFS($A$2:$A460,$A460,$E$2:$E460,"INFRUCTUEUX")+COUNTIFS($A$2:$A460,$A460,$E$2:$E460,"ANNULE")),""))</f>
        <v/>
      </c>
    </row>
    <row r="461">
      <c r="A461">
        <f>IF(ISBLANK('ENGAGEMENTS 2026'!B461),"",IF('ENGAGEMENTS 2026'!B461="DTSI","DCT",'ENGAGEMENTS 2026'!B461))</f>
        <v/>
      </c>
      <c r="B461">
        <f>IF(ISBLANK('ENGAGEMENTS 2026'!B461),"",'ENGAGEMENTS 2026'!C461)</f>
        <v/>
      </c>
      <c r="C461">
        <f>IF(ISBLANK('ENGAGEMENTS 2026'!B461),"",'ENGAGEMENTS 2026'!D461)</f>
        <v/>
      </c>
      <c r="D461">
        <f>IF(ISBLANK('ENGAGEMENTS 2026'!B461),"",'ENGAGEMENTS 2026'!F461)</f>
        <v/>
      </c>
      <c r="E461">
        <f>IF(ISBLANK('ENGAGEMENTS 2026'!B461),"",'ENGAGEMENTS 2026'!H461)</f>
        <v/>
      </c>
      <c r="F461">
        <f>IF(ISBLANK('ENGAGEMENTS 2026'!B461),"",'ENGAGEMENTS 2026'!I461)</f>
        <v/>
      </c>
      <c r="G461">
        <f>IF(ISBLANK('ENGAGEMENTS 2026'!B461),"",'ENGAGEMENTS 2026'!L461)</f>
        <v/>
      </c>
      <c r="H461">
        <f>IF(ISBLANK('ENGAGEMENTS 2026'!B461),"",'ENGAGEMENTS 2026'!AE461)</f>
        <v/>
      </c>
      <c r="I461">
        <f>IF(ISBLANK('ENGAGEMENTS 2026'!B461),"",'ENGAGEMENTS 2026'!G461)</f>
        <v/>
      </c>
      <c r="J461" s="275">
        <f>IF(ISBLANK('ENGAGEMENTS 2026'!B461),"",IF(AND(OR($E461="INFRUCTUEUX",$E461="ANNULE"),$C461="AOO-M"),'ENGAGEMENTS 2026'!O461,IF($H461="EN COURS DE PREENGAGEMENT",'ENGAGEMENTS 2026'!N461,IF($H461="PREENGAGE",IF($E461="ATTRIBUE",'ENGAGEMENTS 2026'!AD461,'ENGAGEMENTS 2026'!N461),'ENGAGEMENTS 2026'!AD461))))</f>
        <v/>
      </c>
      <c r="K461" s="604">
        <f>IF(ISBLANK('ENGAGEMENTS 2026'!V461),"",'ENGAGEMENTS 2026'!V461)</f>
        <v/>
      </c>
      <c r="L461" s="276">
        <f>IF($K461="","",TODAY()-$K461)</f>
        <v/>
      </c>
      <c r="M461">
        <f>IF($A461="","",IF($H461="ENGAGE","Engagé",IF(AND($H461="NON ENGAGE",OR($I461="INFRUCTUEUX",$I461="ANNULE")),"Clôturé sans suite","En cours")))</f>
        <v/>
      </c>
      <c r="N461">
        <f>IF(ISBLANK('ENGAGEMENTS 2026'!B461),"",'ENGAGEMENTS 2026'!K461)</f>
        <v/>
      </c>
      <c r="O461">
        <f>IF(ISBLANK('ENGAGEMENTS 2026'!B461),"",'ENGAGEMENTS 2026'!L461)</f>
        <v/>
      </c>
      <c r="P461">
        <f>IF(ISBLANK('ENGAGEMENTS 2026'!B461),"",'ENGAGEMENTS 2026'!J461)</f>
        <v/>
      </c>
      <c r="Q461">
        <f>IF($A461="","",IF(OR($E461="INFRUCTUEUX",$E461="ANNULE"),$A461&amp;"|"&amp;(COUNTIFS($A$2:$A461,$A461,$E$2:$E461,"INFRUCTUEUX")+COUNTIFS($A$2:$A461,$A461,$E$2:$E461,"ANNULE")),""))</f>
        <v/>
      </c>
    </row>
    <row r="462">
      <c r="A462">
        <f>IF(ISBLANK('ENGAGEMENTS 2026'!B462),"",IF('ENGAGEMENTS 2026'!B462="DTSI","DCT",'ENGAGEMENTS 2026'!B462))</f>
        <v/>
      </c>
      <c r="B462">
        <f>IF(ISBLANK('ENGAGEMENTS 2026'!B462),"",'ENGAGEMENTS 2026'!C462)</f>
        <v/>
      </c>
      <c r="C462">
        <f>IF(ISBLANK('ENGAGEMENTS 2026'!B462),"",'ENGAGEMENTS 2026'!D462)</f>
        <v/>
      </c>
      <c r="D462">
        <f>IF(ISBLANK('ENGAGEMENTS 2026'!B462),"",'ENGAGEMENTS 2026'!F462)</f>
        <v/>
      </c>
      <c r="E462">
        <f>IF(ISBLANK('ENGAGEMENTS 2026'!B462),"",'ENGAGEMENTS 2026'!H462)</f>
        <v/>
      </c>
      <c r="F462">
        <f>IF(ISBLANK('ENGAGEMENTS 2026'!B462),"",'ENGAGEMENTS 2026'!I462)</f>
        <v/>
      </c>
      <c r="G462">
        <f>IF(ISBLANK('ENGAGEMENTS 2026'!B462),"",'ENGAGEMENTS 2026'!L462)</f>
        <v/>
      </c>
      <c r="H462">
        <f>IF(ISBLANK('ENGAGEMENTS 2026'!B462),"",'ENGAGEMENTS 2026'!AE462)</f>
        <v/>
      </c>
      <c r="I462">
        <f>IF(ISBLANK('ENGAGEMENTS 2026'!B462),"",'ENGAGEMENTS 2026'!G462)</f>
        <v/>
      </c>
      <c r="J462" s="275">
        <f>IF(ISBLANK('ENGAGEMENTS 2026'!B462),"",IF(AND(OR($E462="INFRUCTUEUX",$E462="ANNULE"),$C462="AOO-M"),'ENGAGEMENTS 2026'!O462,IF($H462="EN COURS DE PREENGAGEMENT",'ENGAGEMENTS 2026'!N462,IF($H462="PREENGAGE",IF($E462="ATTRIBUE",'ENGAGEMENTS 2026'!AD462,'ENGAGEMENTS 2026'!N462),'ENGAGEMENTS 2026'!AD462))))</f>
        <v/>
      </c>
      <c r="K462" s="604">
        <f>IF(ISBLANK('ENGAGEMENTS 2026'!V462),"",'ENGAGEMENTS 2026'!V462)</f>
        <v/>
      </c>
      <c r="L462" s="276">
        <f>IF($K462="","",TODAY()-$K462)</f>
        <v/>
      </c>
      <c r="M462">
        <f>IF($A462="","",IF($H462="ENGAGE","Engagé",IF(AND($H462="NON ENGAGE",OR($I462="INFRUCTUEUX",$I462="ANNULE")),"Clôturé sans suite","En cours")))</f>
        <v/>
      </c>
      <c r="N462">
        <f>IF(ISBLANK('ENGAGEMENTS 2026'!B462),"",'ENGAGEMENTS 2026'!K462)</f>
        <v/>
      </c>
      <c r="O462">
        <f>IF(ISBLANK('ENGAGEMENTS 2026'!B462),"",'ENGAGEMENTS 2026'!L462)</f>
        <v/>
      </c>
      <c r="P462">
        <f>IF(ISBLANK('ENGAGEMENTS 2026'!B462),"",'ENGAGEMENTS 2026'!J462)</f>
        <v/>
      </c>
      <c r="Q462">
        <f>IF($A462="","",IF(OR($E462="INFRUCTUEUX",$E462="ANNULE"),$A462&amp;"|"&amp;(COUNTIFS($A$2:$A462,$A462,$E$2:$E462,"INFRUCTUEUX")+COUNTIFS($A$2:$A462,$A462,$E$2:$E462,"ANNULE")),""))</f>
        <v/>
      </c>
    </row>
    <row r="463">
      <c r="A463">
        <f>IF(ISBLANK('ENGAGEMENTS 2026'!B463),"",IF('ENGAGEMENTS 2026'!B463="DTSI","DCT",'ENGAGEMENTS 2026'!B463))</f>
        <v/>
      </c>
      <c r="B463">
        <f>IF(ISBLANK('ENGAGEMENTS 2026'!B463),"",'ENGAGEMENTS 2026'!C463)</f>
        <v/>
      </c>
      <c r="C463">
        <f>IF(ISBLANK('ENGAGEMENTS 2026'!B463),"",'ENGAGEMENTS 2026'!D463)</f>
        <v/>
      </c>
      <c r="D463">
        <f>IF(ISBLANK('ENGAGEMENTS 2026'!B463),"",'ENGAGEMENTS 2026'!F463)</f>
        <v/>
      </c>
      <c r="E463">
        <f>IF(ISBLANK('ENGAGEMENTS 2026'!B463),"",'ENGAGEMENTS 2026'!H463)</f>
        <v/>
      </c>
      <c r="F463">
        <f>IF(ISBLANK('ENGAGEMENTS 2026'!B463),"",'ENGAGEMENTS 2026'!I463)</f>
        <v/>
      </c>
      <c r="G463">
        <f>IF(ISBLANK('ENGAGEMENTS 2026'!B463),"",'ENGAGEMENTS 2026'!L463)</f>
        <v/>
      </c>
      <c r="H463">
        <f>IF(ISBLANK('ENGAGEMENTS 2026'!B463),"",'ENGAGEMENTS 2026'!AE463)</f>
        <v/>
      </c>
      <c r="I463">
        <f>IF(ISBLANK('ENGAGEMENTS 2026'!B463),"",'ENGAGEMENTS 2026'!G463)</f>
        <v/>
      </c>
      <c r="J463" s="275">
        <f>IF(ISBLANK('ENGAGEMENTS 2026'!B463),"",IF(AND(OR($E463="INFRUCTUEUX",$E463="ANNULE"),$C463="AOO-M"),'ENGAGEMENTS 2026'!O463,IF($H463="EN COURS DE PREENGAGEMENT",'ENGAGEMENTS 2026'!N463,IF($H463="PREENGAGE",IF($E463="ATTRIBUE",'ENGAGEMENTS 2026'!AD463,'ENGAGEMENTS 2026'!N463),'ENGAGEMENTS 2026'!AD463))))</f>
        <v/>
      </c>
      <c r="K463" s="604">
        <f>IF(ISBLANK('ENGAGEMENTS 2026'!V463),"",'ENGAGEMENTS 2026'!V463)</f>
        <v/>
      </c>
      <c r="L463" s="276">
        <f>IF($K463="","",TODAY()-$K463)</f>
        <v/>
      </c>
      <c r="M463">
        <f>IF($A463="","",IF($H463="ENGAGE","Engagé",IF(AND($H463="NON ENGAGE",OR($I463="INFRUCTUEUX",$I463="ANNULE")),"Clôturé sans suite","En cours")))</f>
        <v/>
      </c>
      <c r="N463">
        <f>IF(ISBLANK('ENGAGEMENTS 2026'!B463),"",'ENGAGEMENTS 2026'!K463)</f>
        <v/>
      </c>
      <c r="O463">
        <f>IF(ISBLANK('ENGAGEMENTS 2026'!B463),"",'ENGAGEMENTS 2026'!L463)</f>
        <v/>
      </c>
      <c r="P463">
        <f>IF(ISBLANK('ENGAGEMENTS 2026'!B463),"",'ENGAGEMENTS 2026'!J463)</f>
        <v/>
      </c>
      <c r="Q463">
        <f>IF($A463="","",IF(OR($E463="INFRUCTUEUX",$E463="ANNULE"),$A463&amp;"|"&amp;(COUNTIFS($A$2:$A463,$A463,$E$2:$E463,"INFRUCTUEUX")+COUNTIFS($A$2:$A463,$A463,$E$2:$E463,"ANNULE")),""))</f>
        <v/>
      </c>
    </row>
    <row r="464">
      <c r="A464">
        <f>IF(ISBLANK('ENGAGEMENTS 2026'!B464),"",IF('ENGAGEMENTS 2026'!B464="DTSI","DCT",'ENGAGEMENTS 2026'!B464))</f>
        <v/>
      </c>
      <c r="B464">
        <f>IF(ISBLANK('ENGAGEMENTS 2026'!B464),"",'ENGAGEMENTS 2026'!C464)</f>
        <v/>
      </c>
      <c r="C464">
        <f>IF(ISBLANK('ENGAGEMENTS 2026'!B464),"",'ENGAGEMENTS 2026'!D464)</f>
        <v/>
      </c>
      <c r="D464">
        <f>IF(ISBLANK('ENGAGEMENTS 2026'!B464),"",'ENGAGEMENTS 2026'!F464)</f>
        <v/>
      </c>
      <c r="E464">
        <f>IF(ISBLANK('ENGAGEMENTS 2026'!B464),"",'ENGAGEMENTS 2026'!H464)</f>
        <v/>
      </c>
      <c r="F464">
        <f>IF(ISBLANK('ENGAGEMENTS 2026'!B464),"",'ENGAGEMENTS 2026'!I464)</f>
        <v/>
      </c>
      <c r="G464">
        <f>IF(ISBLANK('ENGAGEMENTS 2026'!B464),"",'ENGAGEMENTS 2026'!L464)</f>
        <v/>
      </c>
      <c r="H464">
        <f>IF(ISBLANK('ENGAGEMENTS 2026'!B464),"",'ENGAGEMENTS 2026'!AE464)</f>
        <v/>
      </c>
      <c r="I464">
        <f>IF(ISBLANK('ENGAGEMENTS 2026'!B464),"",'ENGAGEMENTS 2026'!G464)</f>
        <v/>
      </c>
      <c r="J464" s="275">
        <f>IF(ISBLANK('ENGAGEMENTS 2026'!B464),"",IF(AND(OR($E464="INFRUCTUEUX",$E464="ANNULE"),$C464="AOO-M"),'ENGAGEMENTS 2026'!O464,IF($H464="EN COURS DE PREENGAGEMENT",'ENGAGEMENTS 2026'!N464,IF($H464="PREENGAGE",IF($E464="ATTRIBUE",'ENGAGEMENTS 2026'!AD464,'ENGAGEMENTS 2026'!N464),'ENGAGEMENTS 2026'!AD464))))</f>
        <v/>
      </c>
      <c r="K464" s="604">
        <f>IF(ISBLANK('ENGAGEMENTS 2026'!V464),"",'ENGAGEMENTS 2026'!V464)</f>
        <v/>
      </c>
      <c r="L464" s="276">
        <f>IF($K464="","",TODAY()-$K464)</f>
        <v/>
      </c>
      <c r="M464">
        <f>IF($A464="","",IF($H464="ENGAGE","Engagé",IF(AND($H464="NON ENGAGE",OR($I464="INFRUCTUEUX",$I464="ANNULE")),"Clôturé sans suite","En cours")))</f>
        <v/>
      </c>
      <c r="N464">
        <f>IF(ISBLANK('ENGAGEMENTS 2026'!B464),"",'ENGAGEMENTS 2026'!K464)</f>
        <v/>
      </c>
      <c r="O464">
        <f>IF(ISBLANK('ENGAGEMENTS 2026'!B464),"",'ENGAGEMENTS 2026'!L464)</f>
        <v/>
      </c>
      <c r="P464">
        <f>IF(ISBLANK('ENGAGEMENTS 2026'!B464),"",'ENGAGEMENTS 2026'!J464)</f>
        <v/>
      </c>
      <c r="Q464">
        <f>IF($A464="","",IF(OR($E464="INFRUCTUEUX",$E464="ANNULE"),$A464&amp;"|"&amp;(COUNTIFS($A$2:$A464,$A464,$E$2:$E464,"INFRUCTUEUX")+COUNTIFS($A$2:$A464,$A464,$E$2:$E464,"ANNULE")),""))</f>
        <v/>
      </c>
    </row>
    <row r="465">
      <c r="A465">
        <f>IF(ISBLANK('ENGAGEMENTS 2026'!B465),"",IF('ENGAGEMENTS 2026'!B465="DTSI","DCT",'ENGAGEMENTS 2026'!B465))</f>
        <v/>
      </c>
      <c r="B465">
        <f>IF(ISBLANK('ENGAGEMENTS 2026'!B465),"",'ENGAGEMENTS 2026'!C465)</f>
        <v/>
      </c>
      <c r="C465">
        <f>IF(ISBLANK('ENGAGEMENTS 2026'!B465),"",'ENGAGEMENTS 2026'!D465)</f>
        <v/>
      </c>
      <c r="D465">
        <f>IF(ISBLANK('ENGAGEMENTS 2026'!B465),"",'ENGAGEMENTS 2026'!F465)</f>
        <v/>
      </c>
      <c r="E465">
        <f>IF(ISBLANK('ENGAGEMENTS 2026'!B465),"",'ENGAGEMENTS 2026'!H465)</f>
        <v/>
      </c>
      <c r="F465">
        <f>IF(ISBLANK('ENGAGEMENTS 2026'!B465),"",'ENGAGEMENTS 2026'!I465)</f>
        <v/>
      </c>
      <c r="G465">
        <f>IF(ISBLANK('ENGAGEMENTS 2026'!B465),"",'ENGAGEMENTS 2026'!L465)</f>
        <v/>
      </c>
      <c r="H465">
        <f>IF(ISBLANK('ENGAGEMENTS 2026'!B465),"",'ENGAGEMENTS 2026'!AE465)</f>
        <v/>
      </c>
      <c r="I465">
        <f>IF(ISBLANK('ENGAGEMENTS 2026'!B465),"",'ENGAGEMENTS 2026'!G465)</f>
        <v/>
      </c>
      <c r="J465" s="275">
        <f>IF(ISBLANK('ENGAGEMENTS 2026'!B465),"",IF(AND(OR($E465="INFRUCTUEUX",$E465="ANNULE"),$C465="AOO-M"),'ENGAGEMENTS 2026'!O465,IF($H465="EN COURS DE PREENGAGEMENT",'ENGAGEMENTS 2026'!N465,IF($H465="PREENGAGE",IF($E465="ATTRIBUE",'ENGAGEMENTS 2026'!AD465,'ENGAGEMENTS 2026'!N465),'ENGAGEMENTS 2026'!AD465))))</f>
        <v/>
      </c>
      <c r="K465" s="604">
        <f>IF(ISBLANK('ENGAGEMENTS 2026'!V465),"",'ENGAGEMENTS 2026'!V465)</f>
        <v/>
      </c>
      <c r="L465" s="276">
        <f>IF($K465="","",TODAY()-$K465)</f>
        <v/>
      </c>
      <c r="M465">
        <f>IF($A465="","",IF($H465="ENGAGE","Engagé",IF(AND($H465="NON ENGAGE",OR($I465="INFRUCTUEUX",$I465="ANNULE")),"Clôturé sans suite","En cours")))</f>
        <v/>
      </c>
      <c r="N465">
        <f>IF(ISBLANK('ENGAGEMENTS 2026'!B465),"",'ENGAGEMENTS 2026'!K465)</f>
        <v/>
      </c>
      <c r="O465">
        <f>IF(ISBLANK('ENGAGEMENTS 2026'!B465),"",'ENGAGEMENTS 2026'!L465)</f>
        <v/>
      </c>
      <c r="P465">
        <f>IF(ISBLANK('ENGAGEMENTS 2026'!B465),"",'ENGAGEMENTS 2026'!J465)</f>
        <v/>
      </c>
      <c r="Q465">
        <f>IF($A465="","",IF(OR($E465="INFRUCTUEUX",$E465="ANNULE"),$A465&amp;"|"&amp;(COUNTIFS($A$2:$A465,$A465,$E$2:$E465,"INFRUCTUEUX")+COUNTIFS($A$2:$A465,$A465,$E$2:$E465,"ANNULE")),""))</f>
        <v/>
      </c>
    </row>
    <row r="466">
      <c r="A466">
        <f>IF(ISBLANK('ENGAGEMENTS 2026'!B466),"",IF('ENGAGEMENTS 2026'!B466="DTSI","DCT",'ENGAGEMENTS 2026'!B466))</f>
        <v/>
      </c>
      <c r="B466">
        <f>IF(ISBLANK('ENGAGEMENTS 2026'!B466),"",'ENGAGEMENTS 2026'!C466)</f>
        <v/>
      </c>
      <c r="C466">
        <f>IF(ISBLANK('ENGAGEMENTS 2026'!B466),"",'ENGAGEMENTS 2026'!D466)</f>
        <v/>
      </c>
      <c r="D466">
        <f>IF(ISBLANK('ENGAGEMENTS 2026'!B466),"",'ENGAGEMENTS 2026'!F466)</f>
        <v/>
      </c>
      <c r="E466">
        <f>IF(ISBLANK('ENGAGEMENTS 2026'!B466),"",'ENGAGEMENTS 2026'!H466)</f>
        <v/>
      </c>
      <c r="F466">
        <f>IF(ISBLANK('ENGAGEMENTS 2026'!B466),"",'ENGAGEMENTS 2026'!I466)</f>
        <v/>
      </c>
      <c r="G466">
        <f>IF(ISBLANK('ENGAGEMENTS 2026'!B466),"",'ENGAGEMENTS 2026'!L466)</f>
        <v/>
      </c>
      <c r="H466">
        <f>IF(ISBLANK('ENGAGEMENTS 2026'!B466),"",'ENGAGEMENTS 2026'!AE466)</f>
        <v/>
      </c>
      <c r="I466">
        <f>IF(ISBLANK('ENGAGEMENTS 2026'!B466),"",'ENGAGEMENTS 2026'!G466)</f>
        <v/>
      </c>
      <c r="J466" s="275">
        <f>IF(ISBLANK('ENGAGEMENTS 2026'!B466),"",IF(AND(OR($E466="INFRUCTUEUX",$E466="ANNULE"),$C466="AOO-M"),'ENGAGEMENTS 2026'!O466,IF($H466="EN COURS DE PREENGAGEMENT",'ENGAGEMENTS 2026'!N466,IF($H466="PREENGAGE",IF($E466="ATTRIBUE",'ENGAGEMENTS 2026'!AD466,'ENGAGEMENTS 2026'!N466),'ENGAGEMENTS 2026'!AD466))))</f>
        <v/>
      </c>
      <c r="K466" s="604">
        <f>IF(ISBLANK('ENGAGEMENTS 2026'!V466),"",'ENGAGEMENTS 2026'!V466)</f>
        <v/>
      </c>
      <c r="L466" s="276">
        <f>IF($K466="","",TODAY()-$K466)</f>
        <v/>
      </c>
      <c r="M466">
        <f>IF($A466="","",IF($H466="ENGAGE","Engagé",IF(AND($H466="NON ENGAGE",OR($I466="INFRUCTUEUX",$I466="ANNULE")),"Clôturé sans suite","En cours")))</f>
        <v/>
      </c>
      <c r="N466">
        <f>IF(ISBLANK('ENGAGEMENTS 2026'!B466),"",'ENGAGEMENTS 2026'!K466)</f>
        <v/>
      </c>
      <c r="O466">
        <f>IF(ISBLANK('ENGAGEMENTS 2026'!B466),"",'ENGAGEMENTS 2026'!L466)</f>
        <v/>
      </c>
      <c r="P466">
        <f>IF(ISBLANK('ENGAGEMENTS 2026'!B466),"",'ENGAGEMENTS 2026'!J466)</f>
        <v/>
      </c>
      <c r="Q466">
        <f>IF($A466="","",IF(OR($E466="INFRUCTUEUX",$E466="ANNULE"),$A466&amp;"|"&amp;(COUNTIFS($A$2:$A466,$A466,$E$2:$E466,"INFRUCTUEUX")+COUNTIFS($A$2:$A466,$A466,$E$2:$E466,"ANNULE")),""))</f>
        <v/>
      </c>
    </row>
    <row r="467">
      <c r="A467">
        <f>IF(ISBLANK('ENGAGEMENTS 2026'!B467),"",IF('ENGAGEMENTS 2026'!B467="DTSI","DCT",'ENGAGEMENTS 2026'!B467))</f>
        <v/>
      </c>
      <c r="B467">
        <f>IF(ISBLANK('ENGAGEMENTS 2026'!B467),"",'ENGAGEMENTS 2026'!C467)</f>
        <v/>
      </c>
      <c r="C467">
        <f>IF(ISBLANK('ENGAGEMENTS 2026'!B467),"",'ENGAGEMENTS 2026'!D467)</f>
        <v/>
      </c>
      <c r="D467">
        <f>IF(ISBLANK('ENGAGEMENTS 2026'!B467),"",'ENGAGEMENTS 2026'!F467)</f>
        <v/>
      </c>
      <c r="E467">
        <f>IF(ISBLANK('ENGAGEMENTS 2026'!B467),"",'ENGAGEMENTS 2026'!H467)</f>
        <v/>
      </c>
      <c r="F467">
        <f>IF(ISBLANK('ENGAGEMENTS 2026'!B467),"",'ENGAGEMENTS 2026'!I467)</f>
        <v/>
      </c>
      <c r="G467">
        <f>IF(ISBLANK('ENGAGEMENTS 2026'!B467),"",'ENGAGEMENTS 2026'!L467)</f>
        <v/>
      </c>
      <c r="H467">
        <f>IF(ISBLANK('ENGAGEMENTS 2026'!B467),"",'ENGAGEMENTS 2026'!AE467)</f>
        <v/>
      </c>
      <c r="I467">
        <f>IF(ISBLANK('ENGAGEMENTS 2026'!B467),"",'ENGAGEMENTS 2026'!G467)</f>
        <v/>
      </c>
      <c r="J467" s="275">
        <f>IF(ISBLANK('ENGAGEMENTS 2026'!B467),"",IF(AND(OR($E467="INFRUCTUEUX",$E467="ANNULE"),$C467="AOO-M"),'ENGAGEMENTS 2026'!O467,IF($H467="EN COURS DE PREENGAGEMENT",'ENGAGEMENTS 2026'!N467,IF($H467="PREENGAGE",IF($E467="ATTRIBUE",'ENGAGEMENTS 2026'!AD467,'ENGAGEMENTS 2026'!N467),'ENGAGEMENTS 2026'!AD467))))</f>
        <v/>
      </c>
      <c r="K467" s="604">
        <f>IF(ISBLANK('ENGAGEMENTS 2026'!V467),"",'ENGAGEMENTS 2026'!V467)</f>
        <v/>
      </c>
      <c r="L467" s="276">
        <f>IF($K467="","",TODAY()-$K467)</f>
        <v/>
      </c>
      <c r="M467">
        <f>IF($A467="","",IF($H467="ENGAGE","Engagé",IF(AND($H467="NON ENGAGE",OR($I467="INFRUCTUEUX",$I467="ANNULE")),"Clôturé sans suite","En cours")))</f>
        <v/>
      </c>
      <c r="N467">
        <f>IF(ISBLANK('ENGAGEMENTS 2026'!B467),"",'ENGAGEMENTS 2026'!K467)</f>
        <v/>
      </c>
      <c r="O467">
        <f>IF(ISBLANK('ENGAGEMENTS 2026'!B467),"",'ENGAGEMENTS 2026'!L467)</f>
        <v/>
      </c>
      <c r="P467">
        <f>IF(ISBLANK('ENGAGEMENTS 2026'!B467),"",'ENGAGEMENTS 2026'!J467)</f>
        <v/>
      </c>
      <c r="Q467">
        <f>IF($A467="","",IF(OR($E467="INFRUCTUEUX",$E467="ANNULE"),$A467&amp;"|"&amp;(COUNTIFS($A$2:$A467,$A467,$E$2:$E467,"INFRUCTUEUX")+COUNTIFS($A$2:$A467,$A467,$E$2:$E467,"ANNULE")),""))</f>
        <v/>
      </c>
    </row>
    <row r="468">
      <c r="A468">
        <f>IF(ISBLANK('ENGAGEMENTS 2026'!B468),"",IF('ENGAGEMENTS 2026'!B468="DTSI","DCT",'ENGAGEMENTS 2026'!B468))</f>
        <v/>
      </c>
      <c r="B468">
        <f>IF(ISBLANK('ENGAGEMENTS 2026'!B468),"",'ENGAGEMENTS 2026'!C468)</f>
        <v/>
      </c>
      <c r="C468">
        <f>IF(ISBLANK('ENGAGEMENTS 2026'!B468),"",'ENGAGEMENTS 2026'!D468)</f>
        <v/>
      </c>
      <c r="D468">
        <f>IF(ISBLANK('ENGAGEMENTS 2026'!B468),"",'ENGAGEMENTS 2026'!F468)</f>
        <v/>
      </c>
      <c r="E468">
        <f>IF(ISBLANK('ENGAGEMENTS 2026'!B468),"",'ENGAGEMENTS 2026'!H468)</f>
        <v/>
      </c>
      <c r="F468">
        <f>IF(ISBLANK('ENGAGEMENTS 2026'!B468),"",'ENGAGEMENTS 2026'!I468)</f>
        <v/>
      </c>
      <c r="G468">
        <f>IF(ISBLANK('ENGAGEMENTS 2026'!B468),"",'ENGAGEMENTS 2026'!L468)</f>
        <v/>
      </c>
      <c r="H468">
        <f>IF(ISBLANK('ENGAGEMENTS 2026'!B468),"",'ENGAGEMENTS 2026'!AE468)</f>
        <v/>
      </c>
      <c r="I468">
        <f>IF(ISBLANK('ENGAGEMENTS 2026'!B468),"",'ENGAGEMENTS 2026'!G468)</f>
        <v/>
      </c>
      <c r="J468" s="275">
        <f>IF(ISBLANK('ENGAGEMENTS 2026'!B468),"",IF(AND(OR($E468="INFRUCTUEUX",$E468="ANNULE"),$C468="AOO-M"),'ENGAGEMENTS 2026'!O468,IF($H468="EN COURS DE PREENGAGEMENT",'ENGAGEMENTS 2026'!N468,IF($H468="PREENGAGE",IF($E468="ATTRIBUE",'ENGAGEMENTS 2026'!AD468,'ENGAGEMENTS 2026'!N468),'ENGAGEMENTS 2026'!AD468))))</f>
        <v/>
      </c>
      <c r="K468" s="604">
        <f>IF(ISBLANK('ENGAGEMENTS 2026'!V468),"",'ENGAGEMENTS 2026'!V468)</f>
        <v/>
      </c>
      <c r="L468" s="276">
        <f>IF($K468="","",TODAY()-$K468)</f>
        <v/>
      </c>
      <c r="M468">
        <f>IF($A468="","",IF($H468="ENGAGE","Engagé",IF(AND($H468="NON ENGAGE",OR($I468="INFRUCTUEUX",$I468="ANNULE")),"Clôturé sans suite","En cours")))</f>
        <v/>
      </c>
      <c r="N468">
        <f>IF(ISBLANK('ENGAGEMENTS 2026'!B468),"",'ENGAGEMENTS 2026'!K468)</f>
        <v/>
      </c>
      <c r="O468">
        <f>IF(ISBLANK('ENGAGEMENTS 2026'!B468),"",'ENGAGEMENTS 2026'!L468)</f>
        <v/>
      </c>
      <c r="P468">
        <f>IF(ISBLANK('ENGAGEMENTS 2026'!B468),"",'ENGAGEMENTS 2026'!J468)</f>
        <v/>
      </c>
      <c r="Q468">
        <f>IF($A468="","",IF(OR($E468="INFRUCTUEUX",$E468="ANNULE"),$A468&amp;"|"&amp;(COUNTIFS($A$2:$A468,$A468,$E$2:$E468,"INFRUCTUEUX")+COUNTIFS($A$2:$A468,$A468,$E$2:$E468,"ANNULE")),""))</f>
        <v/>
      </c>
    </row>
    <row r="469">
      <c r="A469">
        <f>IF(ISBLANK('ENGAGEMENTS 2026'!B469),"",IF('ENGAGEMENTS 2026'!B469="DTSI","DCT",'ENGAGEMENTS 2026'!B469))</f>
        <v/>
      </c>
      <c r="B469">
        <f>IF(ISBLANK('ENGAGEMENTS 2026'!B469),"",'ENGAGEMENTS 2026'!C469)</f>
        <v/>
      </c>
      <c r="C469">
        <f>IF(ISBLANK('ENGAGEMENTS 2026'!B469),"",'ENGAGEMENTS 2026'!D469)</f>
        <v/>
      </c>
      <c r="D469">
        <f>IF(ISBLANK('ENGAGEMENTS 2026'!B469),"",'ENGAGEMENTS 2026'!F469)</f>
        <v/>
      </c>
      <c r="E469">
        <f>IF(ISBLANK('ENGAGEMENTS 2026'!B469),"",'ENGAGEMENTS 2026'!H469)</f>
        <v/>
      </c>
      <c r="F469">
        <f>IF(ISBLANK('ENGAGEMENTS 2026'!B469),"",'ENGAGEMENTS 2026'!I469)</f>
        <v/>
      </c>
      <c r="G469">
        <f>IF(ISBLANK('ENGAGEMENTS 2026'!B469),"",'ENGAGEMENTS 2026'!L469)</f>
        <v/>
      </c>
      <c r="H469">
        <f>IF(ISBLANK('ENGAGEMENTS 2026'!B469),"",'ENGAGEMENTS 2026'!AE469)</f>
        <v/>
      </c>
      <c r="I469">
        <f>IF(ISBLANK('ENGAGEMENTS 2026'!B469),"",'ENGAGEMENTS 2026'!G469)</f>
        <v/>
      </c>
      <c r="J469" s="275">
        <f>IF(ISBLANK('ENGAGEMENTS 2026'!B469),"",IF(AND(OR($E469="INFRUCTUEUX",$E469="ANNULE"),$C469="AOO-M"),'ENGAGEMENTS 2026'!O469,IF($H469="EN COURS DE PREENGAGEMENT",'ENGAGEMENTS 2026'!N469,IF($H469="PREENGAGE",IF($E469="ATTRIBUE",'ENGAGEMENTS 2026'!AD469,'ENGAGEMENTS 2026'!N469),'ENGAGEMENTS 2026'!AD469))))</f>
        <v/>
      </c>
      <c r="K469" s="604">
        <f>IF(ISBLANK('ENGAGEMENTS 2026'!V469),"",'ENGAGEMENTS 2026'!V469)</f>
        <v/>
      </c>
      <c r="L469" s="276">
        <f>IF($K469="","",TODAY()-$K469)</f>
        <v/>
      </c>
      <c r="M469">
        <f>IF($A469="","",IF($H469="ENGAGE","Engagé",IF(AND($H469="NON ENGAGE",OR($I469="INFRUCTUEUX",$I469="ANNULE")),"Clôturé sans suite","En cours")))</f>
        <v/>
      </c>
      <c r="N469">
        <f>IF(ISBLANK('ENGAGEMENTS 2026'!B469),"",'ENGAGEMENTS 2026'!K469)</f>
        <v/>
      </c>
      <c r="O469">
        <f>IF(ISBLANK('ENGAGEMENTS 2026'!B469),"",'ENGAGEMENTS 2026'!L469)</f>
        <v/>
      </c>
      <c r="P469">
        <f>IF(ISBLANK('ENGAGEMENTS 2026'!B469),"",'ENGAGEMENTS 2026'!J469)</f>
        <v/>
      </c>
      <c r="Q469">
        <f>IF($A469="","",IF(OR($E469="INFRUCTUEUX",$E469="ANNULE"),$A469&amp;"|"&amp;(COUNTIFS($A$2:$A469,$A469,$E$2:$E469,"INFRUCTUEUX")+COUNTIFS($A$2:$A469,$A469,$E$2:$E469,"ANNULE")),""))</f>
        <v/>
      </c>
    </row>
    <row r="470">
      <c r="A470">
        <f>IF(ISBLANK('ENGAGEMENTS 2026'!B470),"",IF('ENGAGEMENTS 2026'!B470="DTSI","DCT",'ENGAGEMENTS 2026'!B470))</f>
        <v/>
      </c>
      <c r="B470">
        <f>IF(ISBLANK('ENGAGEMENTS 2026'!B470),"",'ENGAGEMENTS 2026'!C470)</f>
        <v/>
      </c>
      <c r="C470">
        <f>IF(ISBLANK('ENGAGEMENTS 2026'!B470),"",'ENGAGEMENTS 2026'!D470)</f>
        <v/>
      </c>
      <c r="D470">
        <f>IF(ISBLANK('ENGAGEMENTS 2026'!B470),"",'ENGAGEMENTS 2026'!F470)</f>
        <v/>
      </c>
      <c r="E470">
        <f>IF(ISBLANK('ENGAGEMENTS 2026'!B470),"",'ENGAGEMENTS 2026'!H470)</f>
        <v/>
      </c>
      <c r="F470">
        <f>IF(ISBLANK('ENGAGEMENTS 2026'!B470),"",'ENGAGEMENTS 2026'!I470)</f>
        <v/>
      </c>
      <c r="G470">
        <f>IF(ISBLANK('ENGAGEMENTS 2026'!B470),"",'ENGAGEMENTS 2026'!L470)</f>
        <v/>
      </c>
      <c r="H470">
        <f>IF(ISBLANK('ENGAGEMENTS 2026'!B470),"",'ENGAGEMENTS 2026'!AE470)</f>
        <v/>
      </c>
      <c r="I470">
        <f>IF(ISBLANK('ENGAGEMENTS 2026'!B470),"",'ENGAGEMENTS 2026'!G470)</f>
        <v/>
      </c>
      <c r="J470" s="275">
        <f>IF(ISBLANK('ENGAGEMENTS 2026'!B470),"",IF(AND(OR($E470="INFRUCTUEUX",$E470="ANNULE"),$C470="AOO-M"),'ENGAGEMENTS 2026'!O470,IF($H470="EN COURS DE PREENGAGEMENT",'ENGAGEMENTS 2026'!N470,IF($H470="PREENGAGE",IF($E470="ATTRIBUE",'ENGAGEMENTS 2026'!AD470,'ENGAGEMENTS 2026'!N470),'ENGAGEMENTS 2026'!AD470))))</f>
        <v/>
      </c>
      <c r="K470" s="604">
        <f>IF(ISBLANK('ENGAGEMENTS 2026'!V470),"",'ENGAGEMENTS 2026'!V470)</f>
        <v/>
      </c>
      <c r="L470" s="276">
        <f>IF($K470="","",TODAY()-$K470)</f>
        <v/>
      </c>
      <c r="M470">
        <f>IF($A470="","",IF($H470="ENGAGE","Engagé",IF(AND($H470="NON ENGAGE",OR($I470="INFRUCTUEUX",$I470="ANNULE")),"Clôturé sans suite","En cours")))</f>
        <v/>
      </c>
      <c r="N470">
        <f>IF(ISBLANK('ENGAGEMENTS 2026'!B470),"",'ENGAGEMENTS 2026'!K470)</f>
        <v/>
      </c>
      <c r="O470">
        <f>IF(ISBLANK('ENGAGEMENTS 2026'!B470),"",'ENGAGEMENTS 2026'!L470)</f>
        <v/>
      </c>
      <c r="P470">
        <f>IF(ISBLANK('ENGAGEMENTS 2026'!B470),"",'ENGAGEMENTS 2026'!J470)</f>
        <v/>
      </c>
      <c r="Q470">
        <f>IF($A470="","",IF(OR($E470="INFRUCTUEUX",$E470="ANNULE"),$A470&amp;"|"&amp;(COUNTIFS($A$2:$A470,$A470,$E$2:$E470,"INFRUCTUEUX")+COUNTIFS($A$2:$A470,$A470,$E$2:$E470,"ANNULE")),""))</f>
        <v/>
      </c>
    </row>
    <row r="471">
      <c r="A471">
        <f>IF(ISBLANK('ENGAGEMENTS 2026'!B471),"",IF('ENGAGEMENTS 2026'!B471="DTSI","DCT",'ENGAGEMENTS 2026'!B471))</f>
        <v/>
      </c>
      <c r="B471">
        <f>IF(ISBLANK('ENGAGEMENTS 2026'!B471),"",'ENGAGEMENTS 2026'!C471)</f>
        <v/>
      </c>
      <c r="C471">
        <f>IF(ISBLANK('ENGAGEMENTS 2026'!B471),"",'ENGAGEMENTS 2026'!D471)</f>
        <v/>
      </c>
      <c r="D471">
        <f>IF(ISBLANK('ENGAGEMENTS 2026'!B471),"",'ENGAGEMENTS 2026'!F471)</f>
        <v/>
      </c>
      <c r="E471">
        <f>IF(ISBLANK('ENGAGEMENTS 2026'!B471),"",'ENGAGEMENTS 2026'!H471)</f>
        <v/>
      </c>
      <c r="F471">
        <f>IF(ISBLANK('ENGAGEMENTS 2026'!B471),"",'ENGAGEMENTS 2026'!I471)</f>
        <v/>
      </c>
      <c r="G471">
        <f>IF(ISBLANK('ENGAGEMENTS 2026'!B471),"",'ENGAGEMENTS 2026'!L471)</f>
        <v/>
      </c>
      <c r="H471">
        <f>IF(ISBLANK('ENGAGEMENTS 2026'!B471),"",'ENGAGEMENTS 2026'!AE471)</f>
        <v/>
      </c>
      <c r="I471">
        <f>IF(ISBLANK('ENGAGEMENTS 2026'!B471),"",'ENGAGEMENTS 2026'!G471)</f>
        <v/>
      </c>
      <c r="J471" s="275">
        <f>IF(ISBLANK('ENGAGEMENTS 2026'!B471),"",IF(AND(OR($E471="INFRUCTUEUX",$E471="ANNULE"),$C471="AOO-M"),'ENGAGEMENTS 2026'!O471,IF($H471="EN COURS DE PREENGAGEMENT",'ENGAGEMENTS 2026'!N471,IF($H471="PREENGAGE",IF($E471="ATTRIBUE",'ENGAGEMENTS 2026'!AD471,'ENGAGEMENTS 2026'!N471),'ENGAGEMENTS 2026'!AD471))))</f>
        <v/>
      </c>
      <c r="K471" s="604">
        <f>IF(ISBLANK('ENGAGEMENTS 2026'!V471),"",'ENGAGEMENTS 2026'!V471)</f>
        <v/>
      </c>
      <c r="L471" s="276">
        <f>IF($K471="","",TODAY()-$K471)</f>
        <v/>
      </c>
      <c r="M471">
        <f>IF($A471="","",IF($H471="ENGAGE","Engagé",IF(AND($H471="NON ENGAGE",OR($I471="INFRUCTUEUX",$I471="ANNULE")),"Clôturé sans suite","En cours")))</f>
        <v/>
      </c>
      <c r="N471">
        <f>IF(ISBLANK('ENGAGEMENTS 2026'!B471),"",'ENGAGEMENTS 2026'!K471)</f>
        <v/>
      </c>
      <c r="O471">
        <f>IF(ISBLANK('ENGAGEMENTS 2026'!B471),"",'ENGAGEMENTS 2026'!L471)</f>
        <v/>
      </c>
      <c r="P471">
        <f>IF(ISBLANK('ENGAGEMENTS 2026'!B471),"",'ENGAGEMENTS 2026'!J471)</f>
        <v/>
      </c>
      <c r="Q471">
        <f>IF($A471="","",IF(OR($E471="INFRUCTUEUX",$E471="ANNULE"),$A471&amp;"|"&amp;(COUNTIFS($A$2:$A471,$A471,$E$2:$E471,"INFRUCTUEUX")+COUNTIFS($A$2:$A471,$A471,$E$2:$E471,"ANNULE")),""))</f>
        <v/>
      </c>
    </row>
    <row r="472">
      <c r="A472">
        <f>IF(ISBLANK('ENGAGEMENTS 2026'!B472),"",IF('ENGAGEMENTS 2026'!B472="DTSI","DCT",'ENGAGEMENTS 2026'!B472))</f>
        <v/>
      </c>
      <c r="B472">
        <f>IF(ISBLANK('ENGAGEMENTS 2026'!B472),"",'ENGAGEMENTS 2026'!C472)</f>
        <v/>
      </c>
      <c r="C472">
        <f>IF(ISBLANK('ENGAGEMENTS 2026'!B472),"",'ENGAGEMENTS 2026'!D472)</f>
        <v/>
      </c>
      <c r="D472">
        <f>IF(ISBLANK('ENGAGEMENTS 2026'!B472),"",'ENGAGEMENTS 2026'!F472)</f>
        <v/>
      </c>
      <c r="E472">
        <f>IF(ISBLANK('ENGAGEMENTS 2026'!B472),"",'ENGAGEMENTS 2026'!H472)</f>
        <v/>
      </c>
      <c r="F472">
        <f>IF(ISBLANK('ENGAGEMENTS 2026'!B472),"",'ENGAGEMENTS 2026'!I472)</f>
        <v/>
      </c>
      <c r="G472">
        <f>IF(ISBLANK('ENGAGEMENTS 2026'!B472),"",'ENGAGEMENTS 2026'!L472)</f>
        <v/>
      </c>
      <c r="H472">
        <f>IF(ISBLANK('ENGAGEMENTS 2026'!B472),"",'ENGAGEMENTS 2026'!AE472)</f>
        <v/>
      </c>
      <c r="I472">
        <f>IF(ISBLANK('ENGAGEMENTS 2026'!B472),"",'ENGAGEMENTS 2026'!G472)</f>
        <v/>
      </c>
      <c r="J472" s="275">
        <f>IF(ISBLANK('ENGAGEMENTS 2026'!B472),"",IF(AND(OR($E472="INFRUCTUEUX",$E472="ANNULE"),$C472="AOO-M"),'ENGAGEMENTS 2026'!O472,IF($H472="EN COURS DE PREENGAGEMENT",'ENGAGEMENTS 2026'!N472,IF($H472="PREENGAGE",IF($E472="ATTRIBUE",'ENGAGEMENTS 2026'!AD472,'ENGAGEMENTS 2026'!N472),'ENGAGEMENTS 2026'!AD472))))</f>
        <v/>
      </c>
      <c r="K472" s="604">
        <f>IF(ISBLANK('ENGAGEMENTS 2026'!V472),"",'ENGAGEMENTS 2026'!V472)</f>
        <v/>
      </c>
      <c r="L472" s="276">
        <f>IF($K472="","",TODAY()-$K472)</f>
        <v/>
      </c>
      <c r="M472">
        <f>IF($A472="","",IF($H472="ENGAGE","Engagé",IF(AND($H472="NON ENGAGE",OR($I472="INFRUCTUEUX",$I472="ANNULE")),"Clôturé sans suite","En cours")))</f>
        <v/>
      </c>
      <c r="N472">
        <f>IF(ISBLANK('ENGAGEMENTS 2026'!B472),"",'ENGAGEMENTS 2026'!K472)</f>
        <v/>
      </c>
      <c r="O472">
        <f>IF(ISBLANK('ENGAGEMENTS 2026'!B472),"",'ENGAGEMENTS 2026'!L472)</f>
        <v/>
      </c>
      <c r="P472">
        <f>IF(ISBLANK('ENGAGEMENTS 2026'!B472),"",'ENGAGEMENTS 2026'!J472)</f>
        <v/>
      </c>
      <c r="Q472">
        <f>IF($A472="","",IF(OR($E472="INFRUCTUEUX",$E472="ANNULE"),$A472&amp;"|"&amp;(COUNTIFS($A$2:$A472,$A472,$E$2:$E472,"INFRUCTUEUX")+COUNTIFS($A$2:$A472,$A472,$E$2:$E472,"ANNULE")),""))</f>
        <v/>
      </c>
    </row>
    <row r="473">
      <c r="A473">
        <f>IF(ISBLANK('ENGAGEMENTS 2026'!B473),"",IF('ENGAGEMENTS 2026'!B473="DTSI","DCT",'ENGAGEMENTS 2026'!B473))</f>
        <v/>
      </c>
      <c r="B473">
        <f>IF(ISBLANK('ENGAGEMENTS 2026'!B473),"",'ENGAGEMENTS 2026'!C473)</f>
        <v/>
      </c>
      <c r="C473">
        <f>IF(ISBLANK('ENGAGEMENTS 2026'!B473),"",'ENGAGEMENTS 2026'!D473)</f>
        <v/>
      </c>
      <c r="D473">
        <f>IF(ISBLANK('ENGAGEMENTS 2026'!B473),"",'ENGAGEMENTS 2026'!F473)</f>
        <v/>
      </c>
      <c r="E473">
        <f>IF(ISBLANK('ENGAGEMENTS 2026'!B473),"",'ENGAGEMENTS 2026'!H473)</f>
        <v/>
      </c>
      <c r="F473">
        <f>IF(ISBLANK('ENGAGEMENTS 2026'!B473),"",'ENGAGEMENTS 2026'!I473)</f>
        <v/>
      </c>
      <c r="G473">
        <f>IF(ISBLANK('ENGAGEMENTS 2026'!B473),"",'ENGAGEMENTS 2026'!L473)</f>
        <v/>
      </c>
      <c r="H473">
        <f>IF(ISBLANK('ENGAGEMENTS 2026'!B473),"",'ENGAGEMENTS 2026'!AE473)</f>
        <v/>
      </c>
      <c r="I473">
        <f>IF(ISBLANK('ENGAGEMENTS 2026'!B473),"",'ENGAGEMENTS 2026'!G473)</f>
        <v/>
      </c>
      <c r="J473" s="275">
        <f>IF(ISBLANK('ENGAGEMENTS 2026'!B473),"",IF(AND(OR($E473="INFRUCTUEUX",$E473="ANNULE"),$C473="AOO-M"),'ENGAGEMENTS 2026'!O473,IF($H473="EN COURS DE PREENGAGEMENT",'ENGAGEMENTS 2026'!N473,IF($H473="PREENGAGE",IF($E473="ATTRIBUE",'ENGAGEMENTS 2026'!AD473,'ENGAGEMENTS 2026'!N473),'ENGAGEMENTS 2026'!AD473))))</f>
        <v/>
      </c>
      <c r="K473" s="604">
        <f>IF(ISBLANK('ENGAGEMENTS 2026'!V473),"",'ENGAGEMENTS 2026'!V473)</f>
        <v/>
      </c>
      <c r="L473" s="276">
        <f>IF($K473="","",TODAY()-$K473)</f>
        <v/>
      </c>
      <c r="M473">
        <f>IF($A473="","",IF($H473="ENGAGE","Engagé",IF(AND($H473="NON ENGAGE",OR($I473="INFRUCTUEUX",$I473="ANNULE")),"Clôturé sans suite","En cours")))</f>
        <v/>
      </c>
      <c r="N473">
        <f>IF(ISBLANK('ENGAGEMENTS 2026'!B473),"",'ENGAGEMENTS 2026'!K473)</f>
        <v/>
      </c>
      <c r="O473">
        <f>IF(ISBLANK('ENGAGEMENTS 2026'!B473),"",'ENGAGEMENTS 2026'!L473)</f>
        <v/>
      </c>
      <c r="P473">
        <f>IF(ISBLANK('ENGAGEMENTS 2026'!B473),"",'ENGAGEMENTS 2026'!J473)</f>
        <v/>
      </c>
      <c r="Q473">
        <f>IF($A473="","",IF(OR($E473="INFRUCTUEUX",$E473="ANNULE"),$A473&amp;"|"&amp;(COUNTIFS($A$2:$A473,$A473,$E$2:$E473,"INFRUCTUEUX")+COUNTIFS($A$2:$A473,$A473,$E$2:$E473,"ANNULE")),""))</f>
        <v/>
      </c>
    </row>
    <row r="474">
      <c r="A474">
        <f>IF(ISBLANK('ENGAGEMENTS 2026'!B474),"",IF('ENGAGEMENTS 2026'!B474="DTSI","DCT",'ENGAGEMENTS 2026'!B474))</f>
        <v/>
      </c>
      <c r="B474">
        <f>IF(ISBLANK('ENGAGEMENTS 2026'!B474),"",'ENGAGEMENTS 2026'!C474)</f>
        <v/>
      </c>
      <c r="C474">
        <f>IF(ISBLANK('ENGAGEMENTS 2026'!B474),"",'ENGAGEMENTS 2026'!D474)</f>
        <v/>
      </c>
      <c r="D474">
        <f>IF(ISBLANK('ENGAGEMENTS 2026'!B474),"",'ENGAGEMENTS 2026'!F474)</f>
        <v/>
      </c>
      <c r="E474">
        <f>IF(ISBLANK('ENGAGEMENTS 2026'!B474),"",'ENGAGEMENTS 2026'!H474)</f>
        <v/>
      </c>
      <c r="F474">
        <f>IF(ISBLANK('ENGAGEMENTS 2026'!B474),"",'ENGAGEMENTS 2026'!I474)</f>
        <v/>
      </c>
      <c r="G474">
        <f>IF(ISBLANK('ENGAGEMENTS 2026'!B474),"",'ENGAGEMENTS 2026'!L474)</f>
        <v/>
      </c>
      <c r="H474">
        <f>IF(ISBLANK('ENGAGEMENTS 2026'!B474),"",'ENGAGEMENTS 2026'!AE474)</f>
        <v/>
      </c>
      <c r="I474">
        <f>IF(ISBLANK('ENGAGEMENTS 2026'!B474),"",'ENGAGEMENTS 2026'!G474)</f>
        <v/>
      </c>
      <c r="J474" s="275">
        <f>IF(ISBLANK('ENGAGEMENTS 2026'!B474),"",IF(AND(OR($E474="INFRUCTUEUX",$E474="ANNULE"),$C474="AOO-M"),'ENGAGEMENTS 2026'!O474,IF($H474="EN COURS DE PREENGAGEMENT",'ENGAGEMENTS 2026'!N474,IF($H474="PREENGAGE",IF($E474="ATTRIBUE",'ENGAGEMENTS 2026'!AD474,'ENGAGEMENTS 2026'!N474),'ENGAGEMENTS 2026'!AD474))))</f>
        <v/>
      </c>
      <c r="K474" s="604">
        <f>IF(ISBLANK('ENGAGEMENTS 2026'!V474),"",'ENGAGEMENTS 2026'!V474)</f>
        <v/>
      </c>
      <c r="L474" s="276">
        <f>IF($K474="","",TODAY()-$K474)</f>
        <v/>
      </c>
      <c r="M474">
        <f>IF($A474="","",IF($H474="ENGAGE","Engagé",IF(AND($H474="NON ENGAGE",OR($I474="INFRUCTUEUX",$I474="ANNULE")),"Clôturé sans suite","En cours")))</f>
        <v/>
      </c>
      <c r="N474">
        <f>IF(ISBLANK('ENGAGEMENTS 2026'!B474),"",'ENGAGEMENTS 2026'!K474)</f>
        <v/>
      </c>
      <c r="O474">
        <f>IF(ISBLANK('ENGAGEMENTS 2026'!B474),"",'ENGAGEMENTS 2026'!L474)</f>
        <v/>
      </c>
      <c r="P474">
        <f>IF(ISBLANK('ENGAGEMENTS 2026'!B474),"",'ENGAGEMENTS 2026'!J474)</f>
        <v/>
      </c>
      <c r="Q474">
        <f>IF($A474="","",IF(OR($E474="INFRUCTUEUX",$E474="ANNULE"),$A474&amp;"|"&amp;(COUNTIFS($A$2:$A474,$A474,$E$2:$E474,"INFRUCTUEUX")+COUNTIFS($A$2:$A474,$A474,$E$2:$E474,"ANNULE")),""))</f>
        <v/>
      </c>
    </row>
    <row r="475">
      <c r="A475">
        <f>IF(ISBLANK('ENGAGEMENTS 2026'!B475),"",IF('ENGAGEMENTS 2026'!B475="DTSI","DCT",'ENGAGEMENTS 2026'!B475))</f>
        <v/>
      </c>
      <c r="B475">
        <f>IF(ISBLANK('ENGAGEMENTS 2026'!B475),"",'ENGAGEMENTS 2026'!C475)</f>
        <v/>
      </c>
      <c r="C475">
        <f>IF(ISBLANK('ENGAGEMENTS 2026'!B475),"",'ENGAGEMENTS 2026'!D475)</f>
        <v/>
      </c>
      <c r="D475">
        <f>IF(ISBLANK('ENGAGEMENTS 2026'!B475),"",'ENGAGEMENTS 2026'!F475)</f>
        <v/>
      </c>
      <c r="E475">
        <f>IF(ISBLANK('ENGAGEMENTS 2026'!B475),"",'ENGAGEMENTS 2026'!H475)</f>
        <v/>
      </c>
      <c r="F475">
        <f>IF(ISBLANK('ENGAGEMENTS 2026'!B475),"",'ENGAGEMENTS 2026'!I475)</f>
        <v/>
      </c>
      <c r="G475">
        <f>IF(ISBLANK('ENGAGEMENTS 2026'!B475),"",'ENGAGEMENTS 2026'!L475)</f>
        <v/>
      </c>
      <c r="H475">
        <f>IF(ISBLANK('ENGAGEMENTS 2026'!B475),"",'ENGAGEMENTS 2026'!AE475)</f>
        <v/>
      </c>
      <c r="I475">
        <f>IF(ISBLANK('ENGAGEMENTS 2026'!B475),"",'ENGAGEMENTS 2026'!G475)</f>
        <v/>
      </c>
      <c r="J475" s="275">
        <f>IF(ISBLANK('ENGAGEMENTS 2026'!B475),"",IF(AND(OR($E475="INFRUCTUEUX",$E475="ANNULE"),$C475="AOO-M"),'ENGAGEMENTS 2026'!O475,IF($H475="EN COURS DE PREENGAGEMENT",'ENGAGEMENTS 2026'!N475,IF($H475="PREENGAGE",IF($E475="ATTRIBUE",'ENGAGEMENTS 2026'!AD475,'ENGAGEMENTS 2026'!N475),'ENGAGEMENTS 2026'!AD475))))</f>
        <v/>
      </c>
      <c r="K475" s="604">
        <f>IF(ISBLANK('ENGAGEMENTS 2026'!V475),"",'ENGAGEMENTS 2026'!V475)</f>
        <v/>
      </c>
      <c r="L475" s="276">
        <f>IF($K475="","",TODAY()-$K475)</f>
        <v/>
      </c>
      <c r="M475">
        <f>IF($A475="","",IF($H475="ENGAGE","Engagé",IF(AND($H475="NON ENGAGE",OR($I475="INFRUCTUEUX",$I475="ANNULE")),"Clôturé sans suite","En cours")))</f>
        <v/>
      </c>
      <c r="N475">
        <f>IF(ISBLANK('ENGAGEMENTS 2026'!B475),"",'ENGAGEMENTS 2026'!K475)</f>
        <v/>
      </c>
      <c r="O475">
        <f>IF(ISBLANK('ENGAGEMENTS 2026'!B475),"",'ENGAGEMENTS 2026'!L475)</f>
        <v/>
      </c>
      <c r="P475">
        <f>IF(ISBLANK('ENGAGEMENTS 2026'!B475),"",'ENGAGEMENTS 2026'!J475)</f>
        <v/>
      </c>
      <c r="Q475">
        <f>IF($A475="","",IF(OR($E475="INFRUCTUEUX",$E475="ANNULE"),$A475&amp;"|"&amp;(COUNTIFS($A$2:$A475,$A475,$E$2:$E475,"INFRUCTUEUX")+COUNTIFS($A$2:$A475,$A475,$E$2:$E475,"ANNULE")),""))</f>
        <v/>
      </c>
    </row>
    <row r="476">
      <c r="A476">
        <f>IF(ISBLANK('ENGAGEMENTS 2026'!B476),"",IF('ENGAGEMENTS 2026'!B476="DTSI","DCT",'ENGAGEMENTS 2026'!B476))</f>
        <v/>
      </c>
      <c r="B476">
        <f>IF(ISBLANK('ENGAGEMENTS 2026'!B476),"",'ENGAGEMENTS 2026'!C476)</f>
        <v/>
      </c>
      <c r="C476">
        <f>IF(ISBLANK('ENGAGEMENTS 2026'!B476),"",'ENGAGEMENTS 2026'!D476)</f>
        <v/>
      </c>
      <c r="D476">
        <f>IF(ISBLANK('ENGAGEMENTS 2026'!B476),"",'ENGAGEMENTS 2026'!F476)</f>
        <v/>
      </c>
      <c r="E476">
        <f>IF(ISBLANK('ENGAGEMENTS 2026'!B476),"",'ENGAGEMENTS 2026'!H476)</f>
        <v/>
      </c>
      <c r="F476">
        <f>IF(ISBLANK('ENGAGEMENTS 2026'!B476),"",'ENGAGEMENTS 2026'!I476)</f>
        <v/>
      </c>
      <c r="G476">
        <f>IF(ISBLANK('ENGAGEMENTS 2026'!B476),"",'ENGAGEMENTS 2026'!L476)</f>
        <v/>
      </c>
      <c r="H476">
        <f>IF(ISBLANK('ENGAGEMENTS 2026'!B476),"",'ENGAGEMENTS 2026'!AE476)</f>
        <v/>
      </c>
      <c r="I476">
        <f>IF(ISBLANK('ENGAGEMENTS 2026'!B476),"",'ENGAGEMENTS 2026'!G476)</f>
        <v/>
      </c>
      <c r="J476" s="275">
        <f>IF(ISBLANK('ENGAGEMENTS 2026'!B476),"",IF(AND(OR($E476="INFRUCTUEUX",$E476="ANNULE"),$C476="AOO-M"),'ENGAGEMENTS 2026'!O476,IF($H476="EN COURS DE PREENGAGEMENT",'ENGAGEMENTS 2026'!N476,IF($H476="PREENGAGE",IF($E476="ATTRIBUE",'ENGAGEMENTS 2026'!AD476,'ENGAGEMENTS 2026'!N476),'ENGAGEMENTS 2026'!AD476))))</f>
        <v/>
      </c>
      <c r="K476" s="604">
        <f>IF(ISBLANK('ENGAGEMENTS 2026'!V476),"",'ENGAGEMENTS 2026'!V476)</f>
        <v/>
      </c>
      <c r="L476" s="276">
        <f>IF($K476="","",TODAY()-$K476)</f>
        <v/>
      </c>
      <c r="M476">
        <f>IF($A476="","",IF($H476="ENGAGE","Engagé",IF(AND($H476="NON ENGAGE",OR($I476="INFRUCTUEUX",$I476="ANNULE")),"Clôturé sans suite","En cours")))</f>
        <v/>
      </c>
      <c r="N476">
        <f>IF(ISBLANK('ENGAGEMENTS 2026'!B476),"",'ENGAGEMENTS 2026'!K476)</f>
        <v/>
      </c>
      <c r="O476">
        <f>IF(ISBLANK('ENGAGEMENTS 2026'!B476),"",'ENGAGEMENTS 2026'!L476)</f>
        <v/>
      </c>
      <c r="P476">
        <f>IF(ISBLANK('ENGAGEMENTS 2026'!B476),"",'ENGAGEMENTS 2026'!J476)</f>
        <v/>
      </c>
      <c r="Q476">
        <f>IF($A476="","",IF(OR($E476="INFRUCTUEUX",$E476="ANNULE"),$A476&amp;"|"&amp;(COUNTIFS($A$2:$A476,$A476,$E$2:$E476,"INFRUCTUEUX")+COUNTIFS($A$2:$A476,$A476,$E$2:$E476,"ANNULE")),""))</f>
        <v/>
      </c>
    </row>
    <row r="477">
      <c r="A477">
        <f>IF(ISBLANK('ENGAGEMENTS 2026'!B477),"",IF('ENGAGEMENTS 2026'!B477="DTSI","DCT",'ENGAGEMENTS 2026'!B477))</f>
        <v/>
      </c>
      <c r="B477">
        <f>IF(ISBLANK('ENGAGEMENTS 2026'!B477),"",'ENGAGEMENTS 2026'!C477)</f>
        <v/>
      </c>
      <c r="C477">
        <f>IF(ISBLANK('ENGAGEMENTS 2026'!B477),"",'ENGAGEMENTS 2026'!D477)</f>
        <v/>
      </c>
      <c r="D477">
        <f>IF(ISBLANK('ENGAGEMENTS 2026'!B477),"",'ENGAGEMENTS 2026'!F477)</f>
        <v/>
      </c>
      <c r="E477">
        <f>IF(ISBLANK('ENGAGEMENTS 2026'!B477),"",'ENGAGEMENTS 2026'!H477)</f>
        <v/>
      </c>
      <c r="F477">
        <f>IF(ISBLANK('ENGAGEMENTS 2026'!B477),"",'ENGAGEMENTS 2026'!I477)</f>
        <v/>
      </c>
      <c r="G477">
        <f>IF(ISBLANK('ENGAGEMENTS 2026'!B477),"",'ENGAGEMENTS 2026'!L477)</f>
        <v/>
      </c>
      <c r="H477">
        <f>IF(ISBLANK('ENGAGEMENTS 2026'!B477),"",'ENGAGEMENTS 2026'!AE477)</f>
        <v/>
      </c>
      <c r="I477">
        <f>IF(ISBLANK('ENGAGEMENTS 2026'!B477),"",'ENGAGEMENTS 2026'!G477)</f>
        <v/>
      </c>
      <c r="J477" s="275">
        <f>IF(ISBLANK('ENGAGEMENTS 2026'!B477),"",IF(AND(OR($E477="INFRUCTUEUX",$E477="ANNULE"),$C477="AOO-M"),'ENGAGEMENTS 2026'!O477,IF($H477="EN COURS DE PREENGAGEMENT",'ENGAGEMENTS 2026'!N477,IF($H477="PREENGAGE",IF($E477="ATTRIBUE",'ENGAGEMENTS 2026'!AD477,'ENGAGEMENTS 2026'!N477),'ENGAGEMENTS 2026'!AD477))))</f>
        <v/>
      </c>
      <c r="K477" s="604">
        <f>IF(ISBLANK('ENGAGEMENTS 2026'!V477),"",'ENGAGEMENTS 2026'!V477)</f>
        <v/>
      </c>
      <c r="L477" s="276">
        <f>IF($K477="","",TODAY()-$K477)</f>
        <v/>
      </c>
      <c r="M477">
        <f>IF($A477="","",IF($H477="ENGAGE","Engagé",IF(AND($H477="NON ENGAGE",OR($I477="INFRUCTUEUX",$I477="ANNULE")),"Clôturé sans suite","En cours")))</f>
        <v/>
      </c>
      <c r="N477">
        <f>IF(ISBLANK('ENGAGEMENTS 2026'!B477),"",'ENGAGEMENTS 2026'!K477)</f>
        <v/>
      </c>
      <c r="O477">
        <f>IF(ISBLANK('ENGAGEMENTS 2026'!B477),"",'ENGAGEMENTS 2026'!L477)</f>
        <v/>
      </c>
      <c r="P477">
        <f>IF(ISBLANK('ENGAGEMENTS 2026'!B477),"",'ENGAGEMENTS 2026'!J477)</f>
        <v/>
      </c>
      <c r="Q477">
        <f>IF($A477="","",IF(OR($E477="INFRUCTUEUX",$E477="ANNULE"),$A477&amp;"|"&amp;(COUNTIFS($A$2:$A477,$A477,$E$2:$E477,"INFRUCTUEUX")+COUNTIFS($A$2:$A477,$A477,$E$2:$E477,"ANNULE")),""))</f>
        <v/>
      </c>
    </row>
    <row r="478">
      <c r="A478">
        <f>IF(ISBLANK('ENGAGEMENTS 2026'!B478),"",IF('ENGAGEMENTS 2026'!B478="DTSI","DCT",'ENGAGEMENTS 2026'!B478))</f>
        <v/>
      </c>
      <c r="B478">
        <f>IF(ISBLANK('ENGAGEMENTS 2026'!B478),"",'ENGAGEMENTS 2026'!C478)</f>
        <v/>
      </c>
      <c r="C478">
        <f>IF(ISBLANK('ENGAGEMENTS 2026'!B478),"",'ENGAGEMENTS 2026'!D478)</f>
        <v/>
      </c>
      <c r="D478">
        <f>IF(ISBLANK('ENGAGEMENTS 2026'!B478),"",'ENGAGEMENTS 2026'!F478)</f>
        <v/>
      </c>
      <c r="E478">
        <f>IF(ISBLANK('ENGAGEMENTS 2026'!B478),"",'ENGAGEMENTS 2026'!H478)</f>
        <v/>
      </c>
      <c r="F478">
        <f>IF(ISBLANK('ENGAGEMENTS 2026'!B478),"",'ENGAGEMENTS 2026'!I478)</f>
        <v/>
      </c>
      <c r="G478">
        <f>IF(ISBLANK('ENGAGEMENTS 2026'!B478),"",'ENGAGEMENTS 2026'!L478)</f>
        <v/>
      </c>
      <c r="H478">
        <f>IF(ISBLANK('ENGAGEMENTS 2026'!B478),"",'ENGAGEMENTS 2026'!AE478)</f>
        <v/>
      </c>
      <c r="I478">
        <f>IF(ISBLANK('ENGAGEMENTS 2026'!B478),"",'ENGAGEMENTS 2026'!G478)</f>
        <v/>
      </c>
      <c r="J478" s="275">
        <f>IF(ISBLANK('ENGAGEMENTS 2026'!B478),"",IF(AND(OR($E478="INFRUCTUEUX",$E478="ANNULE"),$C478="AOO-M"),'ENGAGEMENTS 2026'!O478,IF($H478="EN COURS DE PREENGAGEMENT",'ENGAGEMENTS 2026'!N478,IF($H478="PREENGAGE",IF($E478="ATTRIBUE",'ENGAGEMENTS 2026'!AD478,'ENGAGEMENTS 2026'!N478),'ENGAGEMENTS 2026'!AD478))))</f>
        <v/>
      </c>
      <c r="K478" s="604">
        <f>IF(ISBLANK('ENGAGEMENTS 2026'!V478),"",'ENGAGEMENTS 2026'!V478)</f>
        <v/>
      </c>
      <c r="L478" s="276">
        <f>IF($K478="","",TODAY()-$K478)</f>
        <v/>
      </c>
      <c r="M478">
        <f>IF($A478="","",IF($H478="ENGAGE","Engagé",IF(AND($H478="NON ENGAGE",OR($I478="INFRUCTUEUX",$I478="ANNULE")),"Clôturé sans suite","En cours")))</f>
        <v/>
      </c>
      <c r="N478">
        <f>IF(ISBLANK('ENGAGEMENTS 2026'!B478),"",'ENGAGEMENTS 2026'!K478)</f>
        <v/>
      </c>
      <c r="O478">
        <f>IF(ISBLANK('ENGAGEMENTS 2026'!B478),"",'ENGAGEMENTS 2026'!L478)</f>
        <v/>
      </c>
      <c r="P478">
        <f>IF(ISBLANK('ENGAGEMENTS 2026'!B478),"",'ENGAGEMENTS 2026'!J478)</f>
        <v/>
      </c>
      <c r="Q478">
        <f>IF($A478="","",IF(OR($E478="INFRUCTUEUX",$E478="ANNULE"),$A478&amp;"|"&amp;(COUNTIFS($A$2:$A478,$A478,$E$2:$E478,"INFRUCTUEUX")+COUNTIFS($A$2:$A478,$A478,$E$2:$E478,"ANNULE")),""))</f>
        <v/>
      </c>
    </row>
    <row r="479">
      <c r="A479">
        <f>IF(ISBLANK('ENGAGEMENTS 2026'!B479),"",IF('ENGAGEMENTS 2026'!B479="DTSI","DCT",'ENGAGEMENTS 2026'!B479))</f>
        <v/>
      </c>
      <c r="B479">
        <f>IF(ISBLANK('ENGAGEMENTS 2026'!B479),"",'ENGAGEMENTS 2026'!C479)</f>
        <v/>
      </c>
      <c r="C479">
        <f>IF(ISBLANK('ENGAGEMENTS 2026'!B479),"",'ENGAGEMENTS 2026'!D479)</f>
        <v/>
      </c>
      <c r="D479">
        <f>IF(ISBLANK('ENGAGEMENTS 2026'!B479),"",'ENGAGEMENTS 2026'!F479)</f>
        <v/>
      </c>
      <c r="E479">
        <f>IF(ISBLANK('ENGAGEMENTS 2026'!B479),"",'ENGAGEMENTS 2026'!H479)</f>
        <v/>
      </c>
      <c r="F479">
        <f>IF(ISBLANK('ENGAGEMENTS 2026'!B479),"",'ENGAGEMENTS 2026'!I479)</f>
        <v/>
      </c>
      <c r="G479">
        <f>IF(ISBLANK('ENGAGEMENTS 2026'!B479),"",'ENGAGEMENTS 2026'!L479)</f>
        <v/>
      </c>
      <c r="H479">
        <f>IF(ISBLANK('ENGAGEMENTS 2026'!B479),"",'ENGAGEMENTS 2026'!AE479)</f>
        <v/>
      </c>
      <c r="I479">
        <f>IF(ISBLANK('ENGAGEMENTS 2026'!B479),"",'ENGAGEMENTS 2026'!G479)</f>
        <v/>
      </c>
      <c r="J479" s="275">
        <f>IF(ISBLANK('ENGAGEMENTS 2026'!B479),"",IF(AND(OR($E479="INFRUCTUEUX",$E479="ANNULE"),$C479="AOO-M"),'ENGAGEMENTS 2026'!O479,IF($H479="EN COURS DE PREENGAGEMENT",'ENGAGEMENTS 2026'!N479,IF($H479="PREENGAGE",IF($E479="ATTRIBUE",'ENGAGEMENTS 2026'!AD479,'ENGAGEMENTS 2026'!N479),'ENGAGEMENTS 2026'!AD479))))</f>
        <v/>
      </c>
      <c r="K479" s="604">
        <f>IF(ISBLANK('ENGAGEMENTS 2026'!V479),"",'ENGAGEMENTS 2026'!V479)</f>
        <v/>
      </c>
      <c r="L479" s="276">
        <f>IF($K479="","",TODAY()-$K479)</f>
        <v/>
      </c>
      <c r="M479">
        <f>IF($A479="","",IF($H479="ENGAGE","Engagé",IF(AND($H479="NON ENGAGE",OR($I479="INFRUCTUEUX",$I479="ANNULE")),"Clôturé sans suite","En cours")))</f>
        <v/>
      </c>
      <c r="N479">
        <f>IF(ISBLANK('ENGAGEMENTS 2026'!B479),"",'ENGAGEMENTS 2026'!K479)</f>
        <v/>
      </c>
      <c r="O479">
        <f>IF(ISBLANK('ENGAGEMENTS 2026'!B479),"",'ENGAGEMENTS 2026'!L479)</f>
        <v/>
      </c>
      <c r="P479">
        <f>IF(ISBLANK('ENGAGEMENTS 2026'!B479),"",'ENGAGEMENTS 2026'!J479)</f>
        <v/>
      </c>
      <c r="Q479">
        <f>IF($A479="","",IF(OR($E479="INFRUCTUEUX",$E479="ANNULE"),$A479&amp;"|"&amp;(COUNTIFS($A$2:$A479,$A479,$E$2:$E479,"INFRUCTUEUX")+COUNTIFS($A$2:$A479,$A479,$E$2:$E479,"ANNULE")),""))</f>
        <v/>
      </c>
    </row>
    <row r="480">
      <c r="A480">
        <f>IF(ISBLANK('ENGAGEMENTS 2026'!B480),"",IF('ENGAGEMENTS 2026'!B480="DTSI","DCT",'ENGAGEMENTS 2026'!B480))</f>
        <v/>
      </c>
      <c r="B480">
        <f>IF(ISBLANK('ENGAGEMENTS 2026'!B480),"",'ENGAGEMENTS 2026'!C480)</f>
        <v/>
      </c>
      <c r="C480">
        <f>IF(ISBLANK('ENGAGEMENTS 2026'!B480),"",'ENGAGEMENTS 2026'!D480)</f>
        <v/>
      </c>
      <c r="D480">
        <f>IF(ISBLANK('ENGAGEMENTS 2026'!B480),"",'ENGAGEMENTS 2026'!F480)</f>
        <v/>
      </c>
      <c r="E480">
        <f>IF(ISBLANK('ENGAGEMENTS 2026'!B480),"",'ENGAGEMENTS 2026'!H480)</f>
        <v/>
      </c>
      <c r="F480">
        <f>IF(ISBLANK('ENGAGEMENTS 2026'!B480),"",'ENGAGEMENTS 2026'!I480)</f>
        <v/>
      </c>
      <c r="G480">
        <f>IF(ISBLANK('ENGAGEMENTS 2026'!B480),"",'ENGAGEMENTS 2026'!L480)</f>
        <v/>
      </c>
      <c r="H480">
        <f>IF(ISBLANK('ENGAGEMENTS 2026'!B480),"",'ENGAGEMENTS 2026'!AE480)</f>
        <v/>
      </c>
      <c r="I480">
        <f>IF(ISBLANK('ENGAGEMENTS 2026'!B480),"",'ENGAGEMENTS 2026'!G480)</f>
        <v/>
      </c>
      <c r="J480" s="275">
        <f>IF(ISBLANK('ENGAGEMENTS 2026'!B480),"",IF(AND(OR($E480="INFRUCTUEUX",$E480="ANNULE"),$C480="AOO-M"),'ENGAGEMENTS 2026'!O480,IF($H480="EN COURS DE PREENGAGEMENT",'ENGAGEMENTS 2026'!N480,IF($H480="PREENGAGE",IF($E480="ATTRIBUE",'ENGAGEMENTS 2026'!AD480,'ENGAGEMENTS 2026'!N480),'ENGAGEMENTS 2026'!AD480))))</f>
        <v/>
      </c>
      <c r="K480" s="604">
        <f>IF(ISBLANK('ENGAGEMENTS 2026'!V480),"",'ENGAGEMENTS 2026'!V480)</f>
        <v/>
      </c>
      <c r="L480" s="276">
        <f>IF($K480="","",TODAY()-$K480)</f>
        <v/>
      </c>
      <c r="M480">
        <f>IF($A480="","",IF($H480="ENGAGE","Engagé",IF(AND($H480="NON ENGAGE",OR($I480="INFRUCTUEUX",$I480="ANNULE")),"Clôturé sans suite","En cours")))</f>
        <v/>
      </c>
      <c r="N480">
        <f>IF(ISBLANK('ENGAGEMENTS 2026'!B480),"",'ENGAGEMENTS 2026'!K480)</f>
        <v/>
      </c>
      <c r="O480">
        <f>IF(ISBLANK('ENGAGEMENTS 2026'!B480),"",'ENGAGEMENTS 2026'!L480)</f>
        <v/>
      </c>
      <c r="P480">
        <f>IF(ISBLANK('ENGAGEMENTS 2026'!B480),"",'ENGAGEMENTS 2026'!J480)</f>
        <v/>
      </c>
      <c r="Q480">
        <f>IF($A480="","",IF(OR($E480="INFRUCTUEUX",$E480="ANNULE"),$A480&amp;"|"&amp;(COUNTIFS($A$2:$A480,$A480,$E$2:$E480,"INFRUCTUEUX")+COUNTIFS($A$2:$A480,$A480,$E$2:$E480,"ANNULE")),""))</f>
        <v/>
      </c>
    </row>
    <row r="481">
      <c r="A481">
        <f>IF(ISBLANK('ENGAGEMENTS 2026'!B481),"",IF('ENGAGEMENTS 2026'!B481="DTSI","DCT",'ENGAGEMENTS 2026'!B481))</f>
        <v/>
      </c>
      <c r="B481">
        <f>IF(ISBLANK('ENGAGEMENTS 2026'!B481),"",'ENGAGEMENTS 2026'!C481)</f>
        <v/>
      </c>
      <c r="C481">
        <f>IF(ISBLANK('ENGAGEMENTS 2026'!B481),"",'ENGAGEMENTS 2026'!D481)</f>
        <v/>
      </c>
      <c r="D481">
        <f>IF(ISBLANK('ENGAGEMENTS 2026'!B481),"",'ENGAGEMENTS 2026'!F481)</f>
        <v/>
      </c>
      <c r="E481">
        <f>IF(ISBLANK('ENGAGEMENTS 2026'!B481),"",'ENGAGEMENTS 2026'!H481)</f>
        <v/>
      </c>
      <c r="F481">
        <f>IF(ISBLANK('ENGAGEMENTS 2026'!B481),"",'ENGAGEMENTS 2026'!I481)</f>
        <v/>
      </c>
      <c r="G481">
        <f>IF(ISBLANK('ENGAGEMENTS 2026'!B481),"",'ENGAGEMENTS 2026'!L481)</f>
        <v/>
      </c>
      <c r="H481">
        <f>IF(ISBLANK('ENGAGEMENTS 2026'!B481),"",'ENGAGEMENTS 2026'!AE481)</f>
        <v/>
      </c>
      <c r="I481">
        <f>IF(ISBLANK('ENGAGEMENTS 2026'!B481),"",'ENGAGEMENTS 2026'!G481)</f>
        <v/>
      </c>
      <c r="J481" s="275">
        <f>IF(ISBLANK('ENGAGEMENTS 2026'!B481),"",IF(AND(OR($E481="INFRUCTUEUX",$E481="ANNULE"),$C481="AOO-M"),'ENGAGEMENTS 2026'!O481,IF($H481="EN COURS DE PREENGAGEMENT",'ENGAGEMENTS 2026'!N481,IF($H481="PREENGAGE",IF($E481="ATTRIBUE",'ENGAGEMENTS 2026'!AD481,'ENGAGEMENTS 2026'!N481),'ENGAGEMENTS 2026'!AD481))))</f>
        <v/>
      </c>
      <c r="K481" s="604">
        <f>IF(ISBLANK('ENGAGEMENTS 2026'!V481),"",'ENGAGEMENTS 2026'!V481)</f>
        <v/>
      </c>
      <c r="L481" s="276">
        <f>IF($K481="","",TODAY()-$K481)</f>
        <v/>
      </c>
      <c r="M481">
        <f>IF($A481="","",IF($H481="ENGAGE","Engagé",IF(AND($H481="NON ENGAGE",OR($I481="INFRUCTUEUX",$I481="ANNULE")),"Clôturé sans suite","En cours")))</f>
        <v/>
      </c>
      <c r="N481">
        <f>IF(ISBLANK('ENGAGEMENTS 2026'!B481),"",'ENGAGEMENTS 2026'!K481)</f>
        <v/>
      </c>
      <c r="O481">
        <f>IF(ISBLANK('ENGAGEMENTS 2026'!B481),"",'ENGAGEMENTS 2026'!L481)</f>
        <v/>
      </c>
      <c r="P481">
        <f>IF(ISBLANK('ENGAGEMENTS 2026'!B481),"",'ENGAGEMENTS 2026'!J481)</f>
        <v/>
      </c>
      <c r="Q481">
        <f>IF($A481="","",IF(OR($E481="INFRUCTUEUX",$E481="ANNULE"),$A481&amp;"|"&amp;(COUNTIFS($A$2:$A481,$A481,$E$2:$E481,"INFRUCTUEUX")+COUNTIFS($A$2:$A481,$A481,$E$2:$E481,"ANNULE")),""))</f>
        <v/>
      </c>
    </row>
    <row r="482">
      <c r="A482">
        <f>IF(ISBLANK('ENGAGEMENTS 2026'!B482),"",IF('ENGAGEMENTS 2026'!B482="DTSI","DCT",'ENGAGEMENTS 2026'!B482))</f>
        <v/>
      </c>
      <c r="B482">
        <f>IF(ISBLANK('ENGAGEMENTS 2026'!B482),"",'ENGAGEMENTS 2026'!C482)</f>
        <v/>
      </c>
      <c r="C482">
        <f>IF(ISBLANK('ENGAGEMENTS 2026'!B482),"",'ENGAGEMENTS 2026'!D482)</f>
        <v/>
      </c>
      <c r="D482">
        <f>IF(ISBLANK('ENGAGEMENTS 2026'!B482),"",'ENGAGEMENTS 2026'!F482)</f>
        <v/>
      </c>
      <c r="E482">
        <f>IF(ISBLANK('ENGAGEMENTS 2026'!B482),"",'ENGAGEMENTS 2026'!H482)</f>
        <v/>
      </c>
      <c r="F482">
        <f>IF(ISBLANK('ENGAGEMENTS 2026'!B482),"",'ENGAGEMENTS 2026'!I482)</f>
        <v/>
      </c>
      <c r="G482">
        <f>IF(ISBLANK('ENGAGEMENTS 2026'!B482),"",'ENGAGEMENTS 2026'!L482)</f>
        <v/>
      </c>
      <c r="H482">
        <f>IF(ISBLANK('ENGAGEMENTS 2026'!B482),"",'ENGAGEMENTS 2026'!AE482)</f>
        <v/>
      </c>
      <c r="I482">
        <f>IF(ISBLANK('ENGAGEMENTS 2026'!B482),"",'ENGAGEMENTS 2026'!G482)</f>
        <v/>
      </c>
      <c r="J482" s="275">
        <f>IF(ISBLANK('ENGAGEMENTS 2026'!B482),"",IF(AND(OR($E482="INFRUCTUEUX",$E482="ANNULE"),$C482="AOO-M"),'ENGAGEMENTS 2026'!O482,IF($H482="EN COURS DE PREENGAGEMENT",'ENGAGEMENTS 2026'!N482,IF($H482="PREENGAGE",IF($E482="ATTRIBUE",'ENGAGEMENTS 2026'!AD482,'ENGAGEMENTS 2026'!N482),'ENGAGEMENTS 2026'!AD482))))</f>
        <v/>
      </c>
      <c r="K482" s="604">
        <f>IF(ISBLANK('ENGAGEMENTS 2026'!V482),"",'ENGAGEMENTS 2026'!V482)</f>
        <v/>
      </c>
      <c r="L482" s="276">
        <f>IF($K482="","",TODAY()-$K482)</f>
        <v/>
      </c>
      <c r="M482">
        <f>IF($A482="","",IF($H482="ENGAGE","Engagé",IF(AND($H482="NON ENGAGE",OR($I482="INFRUCTUEUX",$I482="ANNULE")),"Clôturé sans suite","En cours")))</f>
        <v/>
      </c>
      <c r="N482">
        <f>IF(ISBLANK('ENGAGEMENTS 2026'!B482),"",'ENGAGEMENTS 2026'!K482)</f>
        <v/>
      </c>
      <c r="O482">
        <f>IF(ISBLANK('ENGAGEMENTS 2026'!B482),"",'ENGAGEMENTS 2026'!L482)</f>
        <v/>
      </c>
      <c r="P482">
        <f>IF(ISBLANK('ENGAGEMENTS 2026'!B482),"",'ENGAGEMENTS 2026'!J482)</f>
        <v/>
      </c>
      <c r="Q482">
        <f>IF($A482="","",IF(OR($E482="INFRUCTUEUX",$E482="ANNULE"),$A482&amp;"|"&amp;(COUNTIFS($A$2:$A482,$A482,$E$2:$E482,"INFRUCTUEUX")+COUNTIFS($A$2:$A482,$A482,$E$2:$E482,"ANNULE")),""))</f>
        <v/>
      </c>
    </row>
    <row r="483">
      <c r="A483">
        <f>IF(ISBLANK('ENGAGEMENTS 2026'!B483),"",IF('ENGAGEMENTS 2026'!B483="DTSI","DCT",'ENGAGEMENTS 2026'!B483))</f>
        <v/>
      </c>
      <c r="B483">
        <f>IF(ISBLANK('ENGAGEMENTS 2026'!B483),"",'ENGAGEMENTS 2026'!C483)</f>
        <v/>
      </c>
      <c r="C483">
        <f>IF(ISBLANK('ENGAGEMENTS 2026'!B483),"",'ENGAGEMENTS 2026'!D483)</f>
        <v/>
      </c>
      <c r="D483">
        <f>IF(ISBLANK('ENGAGEMENTS 2026'!B483),"",'ENGAGEMENTS 2026'!F483)</f>
        <v/>
      </c>
      <c r="E483">
        <f>IF(ISBLANK('ENGAGEMENTS 2026'!B483),"",'ENGAGEMENTS 2026'!H483)</f>
        <v/>
      </c>
      <c r="F483">
        <f>IF(ISBLANK('ENGAGEMENTS 2026'!B483),"",'ENGAGEMENTS 2026'!I483)</f>
        <v/>
      </c>
      <c r="G483">
        <f>IF(ISBLANK('ENGAGEMENTS 2026'!B483),"",'ENGAGEMENTS 2026'!L483)</f>
        <v/>
      </c>
      <c r="H483">
        <f>IF(ISBLANK('ENGAGEMENTS 2026'!B483),"",'ENGAGEMENTS 2026'!AE483)</f>
        <v/>
      </c>
      <c r="I483">
        <f>IF(ISBLANK('ENGAGEMENTS 2026'!B483),"",'ENGAGEMENTS 2026'!G483)</f>
        <v/>
      </c>
      <c r="J483" s="275">
        <f>IF(ISBLANK('ENGAGEMENTS 2026'!B483),"",IF(AND(OR($E483="INFRUCTUEUX",$E483="ANNULE"),$C483="AOO-M"),'ENGAGEMENTS 2026'!O483,IF($H483="EN COURS DE PREENGAGEMENT",'ENGAGEMENTS 2026'!N483,IF($H483="PREENGAGE",IF($E483="ATTRIBUE",'ENGAGEMENTS 2026'!AD483,'ENGAGEMENTS 2026'!N483),'ENGAGEMENTS 2026'!AD483))))</f>
        <v/>
      </c>
      <c r="K483" s="604">
        <f>IF(ISBLANK('ENGAGEMENTS 2026'!V483),"",'ENGAGEMENTS 2026'!V483)</f>
        <v/>
      </c>
      <c r="L483" s="276">
        <f>IF($K483="","",TODAY()-$K483)</f>
        <v/>
      </c>
      <c r="M483">
        <f>IF($A483="","",IF($H483="ENGAGE","Engagé",IF(AND($H483="NON ENGAGE",OR($I483="INFRUCTUEUX",$I483="ANNULE")),"Clôturé sans suite","En cours")))</f>
        <v/>
      </c>
      <c r="N483">
        <f>IF(ISBLANK('ENGAGEMENTS 2026'!B483),"",'ENGAGEMENTS 2026'!K483)</f>
        <v/>
      </c>
      <c r="O483">
        <f>IF(ISBLANK('ENGAGEMENTS 2026'!B483),"",'ENGAGEMENTS 2026'!L483)</f>
        <v/>
      </c>
      <c r="P483">
        <f>IF(ISBLANK('ENGAGEMENTS 2026'!B483),"",'ENGAGEMENTS 2026'!J483)</f>
        <v/>
      </c>
      <c r="Q483">
        <f>IF($A483="","",IF(OR($E483="INFRUCTUEUX",$E483="ANNULE"),$A483&amp;"|"&amp;(COUNTIFS($A$2:$A483,$A483,$E$2:$E483,"INFRUCTUEUX")+COUNTIFS($A$2:$A483,$A483,$E$2:$E483,"ANNULE")),""))</f>
        <v/>
      </c>
    </row>
    <row r="484">
      <c r="A484">
        <f>IF(ISBLANK('ENGAGEMENTS 2026'!B484),"",IF('ENGAGEMENTS 2026'!B484="DTSI","DCT",'ENGAGEMENTS 2026'!B484))</f>
        <v/>
      </c>
      <c r="B484">
        <f>IF(ISBLANK('ENGAGEMENTS 2026'!B484),"",'ENGAGEMENTS 2026'!C484)</f>
        <v/>
      </c>
      <c r="C484">
        <f>IF(ISBLANK('ENGAGEMENTS 2026'!B484),"",'ENGAGEMENTS 2026'!D484)</f>
        <v/>
      </c>
      <c r="D484">
        <f>IF(ISBLANK('ENGAGEMENTS 2026'!B484),"",'ENGAGEMENTS 2026'!F484)</f>
        <v/>
      </c>
      <c r="E484">
        <f>IF(ISBLANK('ENGAGEMENTS 2026'!B484),"",'ENGAGEMENTS 2026'!H484)</f>
        <v/>
      </c>
      <c r="F484">
        <f>IF(ISBLANK('ENGAGEMENTS 2026'!B484),"",'ENGAGEMENTS 2026'!I484)</f>
        <v/>
      </c>
      <c r="G484">
        <f>IF(ISBLANK('ENGAGEMENTS 2026'!B484),"",'ENGAGEMENTS 2026'!L484)</f>
        <v/>
      </c>
      <c r="H484">
        <f>IF(ISBLANK('ENGAGEMENTS 2026'!B484),"",'ENGAGEMENTS 2026'!AE484)</f>
        <v/>
      </c>
      <c r="I484">
        <f>IF(ISBLANK('ENGAGEMENTS 2026'!B484),"",'ENGAGEMENTS 2026'!G484)</f>
        <v/>
      </c>
      <c r="J484" s="275">
        <f>IF(ISBLANK('ENGAGEMENTS 2026'!B484),"",IF(AND(OR($E484="INFRUCTUEUX",$E484="ANNULE"),$C484="AOO-M"),'ENGAGEMENTS 2026'!O484,IF($H484="EN COURS DE PREENGAGEMENT",'ENGAGEMENTS 2026'!N484,IF($H484="PREENGAGE",IF($E484="ATTRIBUE",'ENGAGEMENTS 2026'!AD484,'ENGAGEMENTS 2026'!N484),'ENGAGEMENTS 2026'!AD484))))</f>
        <v/>
      </c>
      <c r="K484" s="604">
        <f>IF(ISBLANK('ENGAGEMENTS 2026'!V484),"",'ENGAGEMENTS 2026'!V484)</f>
        <v/>
      </c>
      <c r="L484" s="276">
        <f>IF($K484="","",TODAY()-$K484)</f>
        <v/>
      </c>
      <c r="M484">
        <f>IF($A484="","",IF($H484="ENGAGE","Engagé",IF(AND($H484="NON ENGAGE",OR($I484="INFRUCTUEUX",$I484="ANNULE")),"Clôturé sans suite","En cours")))</f>
        <v/>
      </c>
      <c r="N484">
        <f>IF(ISBLANK('ENGAGEMENTS 2026'!B484),"",'ENGAGEMENTS 2026'!K484)</f>
        <v/>
      </c>
      <c r="O484">
        <f>IF(ISBLANK('ENGAGEMENTS 2026'!B484),"",'ENGAGEMENTS 2026'!L484)</f>
        <v/>
      </c>
      <c r="P484">
        <f>IF(ISBLANK('ENGAGEMENTS 2026'!B484),"",'ENGAGEMENTS 2026'!J484)</f>
        <v/>
      </c>
      <c r="Q484">
        <f>IF($A484="","",IF(OR($E484="INFRUCTUEUX",$E484="ANNULE"),$A484&amp;"|"&amp;(COUNTIFS($A$2:$A484,$A484,$E$2:$E484,"INFRUCTUEUX")+COUNTIFS($A$2:$A484,$A484,$E$2:$E484,"ANNULE")),""))</f>
        <v/>
      </c>
    </row>
    <row r="485">
      <c r="A485">
        <f>IF(ISBLANK('ENGAGEMENTS 2026'!B485),"",IF('ENGAGEMENTS 2026'!B485="DTSI","DCT",'ENGAGEMENTS 2026'!B485))</f>
        <v/>
      </c>
      <c r="B485">
        <f>IF(ISBLANK('ENGAGEMENTS 2026'!B485),"",'ENGAGEMENTS 2026'!C485)</f>
        <v/>
      </c>
      <c r="C485">
        <f>IF(ISBLANK('ENGAGEMENTS 2026'!B485),"",'ENGAGEMENTS 2026'!D485)</f>
        <v/>
      </c>
      <c r="D485">
        <f>IF(ISBLANK('ENGAGEMENTS 2026'!B485),"",'ENGAGEMENTS 2026'!F485)</f>
        <v/>
      </c>
      <c r="E485">
        <f>IF(ISBLANK('ENGAGEMENTS 2026'!B485),"",'ENGAGEMENTS 2026'!H485)</f>
        <v/>
      </c>
      <c r="F485">
        <f>IF(ISBLANK('ENGAGEMENTS 2026'!B485),"",'ENGAGEMENTS 2026'!I485)</f>
        <v/>
      </c>
      <c r="G485">
        <f>IF(ISBLANK('ENGAGEMENTS 2026'!B485),"",'ENGAGEMENTS 2026'!L485)</f>
        <v/>
      </c>
      <c r="H485">
        <f>IF(ISBLANK('ENGAGEMENTS 2026'!B485),"",'ENGAGEMENTS 2026'!AE485)</f>
        <v/>
      </c>
      <c r="I485">
        <f>IF(ISBLANK('ENGAGEMENTS 2026'!B485),"",'ENGAGEMENTS 2026'!G485)</f>
        <v/>
      </c>
      <c r="J485" s="275">
        <f>IF(ISBLANK('ENGAGEMENTS 2026'!B485),"",IF(AND(OR($E485="INFRUCTUEUX",$E485="ANNULE"),$C485="AOO-M"),'ENGAGEMENTS 2026'!O485,IF($H485="EN COURS DE PREENGAGEMENT",'ENGAGEMENTS 2026'!N485,IF($H485="PREENGAGE",IF($E485="ATTRIBUE",'ENGAGEMENTS 2026'!AD485,'ENGAGEMENTS 2026'!N485),'ENGAGEMENTS 2026'!AD485))))</f>
        <v/>
      </c>
      <c r="K485" s="604">
        <f>IF(ISBLANK('ENGAGEMENTS 2026'!V485),"",'ENGAGEMENTS 2026'!V485)</f>
        <v/>
      </c>
      <c r="L485" s="276">
        <f>IF($K485="","",TODAY()-$K485)</f>
        <v/>
      </c>
      <c r="M485">
        <f>IF($A485="","",IF($H485="ENGAGE","Engagé",IF(AND($H485="NON ENGAGE",OR($I485="INFRUCTUEUX",$I485="ANNULE")),"Clôturé sans suite","En cours")))</f>
        <v/>
      </c>
      <c r="N485">
        <f>IF(ISBLANK('ENGAGEMENTS 2026'!B485),"",'ENGAGEMENTS 2026'!K485)</f>
        <v/>
      </c>
      <c r="O485">
        <f>IF(ISBLANK('ENGAGEMENTS 2026'!B485),"",'ENGAGEMENTS 2026'!L485)</f>
        <v/>
      </c>
      <c r="P485">
        <f>IF(ISBLANK('ENGAGEMENTS 2026'!B485),"",'ENGAGEMENTS 2026'!J485)</f>
        <v/>
      </c>
      <c r="Q485">
        <f>IF($A485="","",IF(OR($E485="INFRUCTUEUX",$E485="ANNULE"),$A485&amp;"|"&amp;(COUNTIFS($A$2:$A485,$A485,$E$2:$E485,"INFRUCTUEUX")+COUNTIFS($A$2:$A485,$A485,$E$2:$E485,"ANNULE")),""))</f>
        <v/>
      </c>
    </row>
    <row r="486">
      <c r="A486">
        <f>IF(ISBLANK('ENGAGEMENTS 2026'!B486),"",IF('ENGAGEMENTS 2026'!B486="DTSI","DCT",'ENGAGEMENTS 2026'!B486))</f>
        <v/>
      </c>
      <c r="B486">
        <f>IF(ISBLANK('ENGAGEMENTS 2026'!B486),"",'ENGAGEMENTS 2026'!C486)</f>
        <v/>
      </c>
      <c r="C486">
        <f>IF(ISBLANK('ENGAGEMENTS 2026'!B486),"",'ENGAGEMENTS 2026'!D486)</f>
        <v/>
      </c>
      <c r="D486">
        <f>IF(ISBLANK('ENGAGEMENTS 2026'!B486),"",'ENGAGEMENTS 2026'!F486)</f>
        <v/>
      </c>
      <c r="E486">
        <f>IF(ISBLANK('ENGAGEMENTS 2026'!B486),"",'ENGAGEMENTS 2026'!H486)</f>
        <v/>
      </c>
      <c r="F486">
        <f>IF(ISBLANK('ENGAGEMENTS 2026'!B486),"",'ENGAGEMENTS 2026'!I486)</f>
        <v/>
      </c>
      <c r="G486">
        <f>IF(ISBLANK('ENGAGEMENTS 2026'!B486),"",'ENGAGEMENTS 2026'!L486)</f>
        <v/>
      </c>
      <c r="H486">
        <f>IF(ISBLANK('ENGAGEMENTS 2026'!B486),"",'ENGAGEMENTS 2026'!AE486)</f>
        <v/>
      </c>
      <c r="I486">
        <f>IF(ISBLANK('ENGAGEMENTS 2026'!B486),"",'ENGAGEMENTS 2026'!G486)</f>
        <v/>
      </c>
      <c r="J486" s="275">
        <f>IF(ISBLANK('ENGAGEMENTS 2026'!B486),"",IF(AND(OR($E486="INFRUCTUEUX",$E486="ANNULE"),$C486="AOO-M"),'ENGAGEMENTS 2026'!O486,IF($H486="EN COURS DE PREENGAGEMENT",'ENGAGEMENTS 2026'!N486,IF($H486="PREENGAGE",IF($E486="ATTRIBUE",'ENGAGEMENTS 2026'!AD486,'ENGAGEMENTS 2026'!N486),'ENGAGEMENTS 2026'!AD486))))</f>
        <v/>
      </c>
      <c r="K486" s="604">
        <f>IF(ISBLANK('ENGAGEMENTS 2026'!V486),"",'ENGAGEMENTS 2026'!V486)</f>
        <v/>
      </c>
      <c r="L486" s="276">
        <f>IF($K486="","",TODAY()-$K486)</f>
        <v/>
      </c>
      <c r="M486">
        <f>IF($A486="","",IF($H486="ENGAGE","Engagé",IF(AND($H486="NON ENGAGE",OR($I486="INFRUCTUEUX",$I486="ANNULE")),"Clôturé sans suite","En cours")))</f>
        <v/>
      </c>
      <c r="N486">
        <f>IF(ISBLANK('ENGAGEMENTS 2026'!B486),"",'ENGAGEMENTS 2026'!K486)</f>
        <v/>
      </c>
      <c r="O486">
        <f>IF(ISBLANK('ENGAGEMENTS 2026'!B486),"",'ENGAGEMENTS 2026'!L486)</f>
        <v/>
      </c>
      <c r="P486">
        <f>IF(ISBLANK('ENGAGEMENTS 2026'!B486),"",'ENGAGEMENTS 2026'!J486)</f>
        <v/>
      </c>
      <c r="Q486">
        <f>IF($A486="","",IF(OR($E486="INFRUCTUEUX",$E486="ANNULE"),$A486&amp;"|"&amp;(COUNTIFS($A$2:$A486,$A486,$E$2:$E486,"INFRUCTUEUX")+COUNTIFS($A$2:$A486,$A486,$E$2:$E486,"ANNULE")),""))</f>
        <v/>
      </c>
    </row>
    <row r="487">
      <c r="A487">
        <f>IF(ISBLANK('ENGAGEMENTS 2026'!B487),"",IF('ENGAGEMENTS 2026'!B487="DTSI","DCT",'ENGAGEMENTS 2026'!B487))</f>
        <v/>
      </c>
      <c r="B487">
        <f>IF(ISBLANK('ENGAGEMENTS 2026'!B487),"",'ENGAGEMENTS 2026'!C487)</f>
        <v/>
      </c>
      <c r="C487">
        <f>IF(ISBLANK('ENGAGEMENTS 2026'!B487),"",'ENGAGEMENTS 2026'!D487)</f>
        <v/>
      </c>
      <c r="D487">
        <f>IF(ISBLANK('ENGAGEMENTS 2026'!B487),"",'ENGAGEMENTS 2026'!F487)</f>
        <v/>
      </c>
      <c r="E487">
        <f>IF(ISBLANK('ENGAGEMENTS 2026'!B487),"",'ENGAGEMENTS 2026'!H487)</f>
        <v/>
      </c>
      <c r="F487">
        <f>IF(ISBLANK('ENGAGEMENTS 2026'!B487),"",'ENGAGEMENTS 2026'!I487)</f>
        <v/>
      </c>
      <c r="G487">
        <f>IF(ISBLANK('ENGAGEMENTS 2026'!B487),"",'ENGAGEMENTS 2026'!L487)</f>
        <v/>
      </c>
      <c r="H487">
        <f>IF(ISBLANK('ENGAGEMENTS 2026'!B487),"",'ENGAGEMENTS 2026'!AE487)</f>
        <v/>
      </c>
      <c r="I487">
        <f>IF(ISBLANK('ENGAGEMENTS 2026'!B487),"",'ENGAGEMENTS 2026'!G487)</f>
        <v/>
      </c>
      <c r="J487" s="275">
        <f>IF(ISBLANK('ENGAGEMENTS 2026'!B487),"",IF(AND(OR($E487="INFRUCTUEUX",$E487="ANNULE"),$C487="AOO-M"),'ENGAGEMENTS 2026'!O487,IF($H487="EN COURS DE PREENGAGEMENT",'ENGAGEMENTS 2026'!N487,IF($H487="PREENGAGE",IF($E487="ATTRIBUE",'ENGAGEMENTS 2026'!AD487,'ENGAGEMENTS 2026'!N487),'ENGAGEMENTS 2026'!AD487))))</f>
        <v/>
      </c>
      <c r="K487" s="604">
        <f>IF(ISBLANK('ENGAGEMENTS 2026'!V487),"",'ENGAGEMENTS 2026'!V487)</f>
        <v/>
      </c>
      <c r="L487" s="276">
        <f>IF($K487="","",TODAY()-$K487)</f>
        <v/>
      </c>
      <c r="M487">
        <f>IF($A487="","",IF($H487="ENGAGE","Engagé",IF(AND($H487="NON ENGAGE",OR($I487="INFRUCTUEUX",$I487="ANNULE")),"Clôturé sans suite","En cours")))</f>
        <v/>
      </c>
      <c r="N487">
        <f>IF(ISBLANK('ENGAGEMENTS 2026'!B487),"",'ENGAGEMENTS 2026'!K487)</f>
        <v/>
      </c>
      <c r="O487">
        <f>IF(ISBLANK('ENGAGEMENTS 2026'!B487),"",'ENGAGEMENTS 2026'!L487)</f>
        <v/>
      </c>
      <c r="P487">
        <f>IF(ISBLANK('ENGAGEMENTS 2026'!B487),"",'ENGAGEMENTS 2026'!J487)</f>
        <v/>
      </c>
      <c r="Q487">
        <f>IF($A487="","",IF(OR($E487="INFRUCTUEUX",$E487="ANNULE"),$A487&amp;"|"&amp;(COUNTIFS($A$2:$A487,$A487,$E$2:$E487,"INFRUCTUEUX")+COUNTIFS($A$2:$A487,$A487,$E$2:$E487,"ANNULE")),""))</f>
        <v/>
      </c>
    </row>
    <row r="488">
      <c r="A488">
        <f>IF(ISBLANK('ENGAGEMENTS 2026'!B488),"",IF('ENGAGEMENTS 2026'!B488="DTSI","DCT",'ENGAGEMENTS 2026'!B488))</f>
        <v/>
      </c>
      <c r="B488">
        <f>IF(ISBLANK('ENGAGEMENTS 2026'!B488),"",'ENGAGEMENTS 2026'!C488)</f>
        <v/>
      </c>
      <c r="C488">
        <f>IF(ISBLANK('ENGAGEMENTS 2026'!B488),"",'ENGAGEMENTS 2026'!D488)</f>
        <v/>
      </c>
      <c r="D488">
        <f>IF(ISBLANK('ENGAGEMENTS 2026'!B488),"",'ENGAGEMENTS 2026'!F488)</f>
        <v/>
      </c>
      <c r="E488">
        <f>IF(ISBLANK('ENGAGEMENTS 2026'!B488),"",'ENGAGEMENTS 2026'!H488)</f>
        <v/>
      </c>
      <c r="F488">
        <f>IF(ISBLANK('ENGAGEMENTS 2026'!B488),"",'ENGAGEMENTS 2026'!I488)</f>
        <v/>
      </c>
      <c r="G488">
        <f>IF(ISBLANK('ENGAGEMENTS 2026'!B488),"",'ENGAGEMENTS 2026'!L488)</f>
        <v/>
      </c>
      <c r="H488">
        <f>IF(ISBLANK('ENGAGEMENTS 2026'!B488),"",'ENGAGEMENTS 2026'!AE488)</f>
        <v/>
      </c>
      <c r="I488">
        <f>IF(ISBLANK('ENGAGEMENTS 2026'!B488),"",'ENGAGEMENTS 2026'!G488)</f>
        <v/>
      </c>
      <c r="J488" s="275">
        <f>IF(ISBLANK('ENGAGEMENTS 2026'!B488),"",IF(AND(OR($E488="INFRUCTUEUX",$E488="ANNULE"),$C488="AOO-M"),'ENGAGEMENTS 2026'!O488,IF($H488="EN COURS DE PREENGAGEMENT",'ENGAGEMENTS 2026'!N488,IF($H488="PREENGAGE",IF($E488="ATTRIBUE",'ENGAGEMENTS 2026'!AD488,'ENGAGEMENTS 2026'!N488),'ENGAGEMENTS 2026'!AD488))))</f>
        <v/>
      </c>
      <c r="K488" s="604">
        <f>IF(ISBLANK('ENGAGEMENTS 2026'!V488),"",'ENGAGEMENTS 2026'!V488)</f>
        <v/>
      </c>
      <c r="L488" s="276">
        <f>IF($K488="","",TODAY()-$K488)</f>
        <v/>
      </c>
      <c r="M488">
        <f>IF($A488="","",IF($H488="ENGAGE","Engagé",IF(AND($H488="NON ENGAGE",OR($I488="INFRUCTUEUX",$I488="ANNULE")),"Clôturé sans suite","En cours")))</f>
        <v/>
      </c>
      <c r="N488">
        <f>IF(ISBLANK('ENGAGEMENTS 2026'!B488),"",'ENGAGEMENTS 2026'!K488)</f>
        <v/>
      </c>
      <c r="O488">
        <f>IF(ISBLANK('ENGAGEMENTS 2026'!B488),"",'ENGAGEMENTS 2026'!L488)</f>
        <v/>
      </c>
      <c r="P488">
        <f>IF(ISBLANK('ENGAGEMENTS 2026'!B488),"",'ENGAGEMENTS 2026'!J488)</f>
        <v/>
      </c>
      <c r="Q488">
        <f>IF($A488="","",IF(OR($E488="INFRUCTUEUX",$E488="ANNULE"),$A488&amp;"|"&amp;(COUNTIFS($A$2:$A488,$A488,$E$2:$E488,"INFRUCTUEUX")+COUNTIFS($A$2:$A488,$A488,$E$2:$E488,"ANNULE")),""))</f>
        <v/>
      </c>
    </row>
    <row r="489">
      <c r="A489">
        <f>IF(ISBLANK('ENGAGEMENTS 2026'!B489),"",IF('ENGAGEMENTS 2026'!B489="DTSI","DCT",'ENGAGEMENTS 2026'!B489))</f>
        <v/>
      </c>
      <c r="B489">
        <f>IF(ISBLANK('ENGAGEMENTS 2026'!B489),"",'ENGAGEMENTS 2026'!C489)</f>
        <v/>
      </c>
      <c r="C489">
        <f>IF(ISBLANK('ENGAGEMENTS 2026'!B489),"",'ENGAGEMENTS 2026'!D489)</f>
        <v/>
      </c>
      <c r="D489">
        <f>IF(ISBLANK('ENGAGEMENTS 2026'!B489),"",'ENGAGEMENTS 2026'!F489)</f>
        <v/>
      </c>
      <c r="E489">
        <f>IF(ISBLANK('ENGAGEMENTS 2026'!B489),"",'ENGAGEMENTS 2026'!H489)</f>
        <v/>
      </c>
      <c r="F489">
        <f>IF(ISBLANK('ENGAGEMENTS 2026'!B489),"",'ENGAGEMENTS 2026'!I489)</f>
        <v/>
      </c>
      <c r="G489">
        <f>IF(ISBLANK('ENGAGEMENTS 2026'!B489),"",'ENGAGEMENTS 2026'!L489)</f>
        <v/>
      </c>
      <c r="H489">
        <f>IF(ISBLANK('ENGAGEMENTS 2026'!B489),"",'ENGAGEMENTS 2026'!AE489)</f>
        <v/>
      </c>
      <c r="I489">
        <f>IF(ISBLANK('ENGAGEMENTS 2026'!B489),"",'ENGAGEMENTS 2026'!G489)</f>
        <v/>
      </c>
      <c r="J489" s="275">
        <f>IF(ISBLANK('ENGAGEMENTS 2026'!B489),"",IF(AND(OR($E489="INFRUCTUEUX",$E489="ANNULE"),$C489="AOO-M"),'ENGAGEMENTS 2026'!O489,IF($H489="EN COURS DE PREENGAGEMENT",'ENGAGEMENTS 2026'!N489,IF($H489="PREENGAGE",IF($E489="ATTRIBUE",'ENGAGEMENTS 2026'!AD489,'ENGAGEMENTS 2026'!N489),'ENGAGEMENTS 2026'!AD489))))</f>
        <v/>
      </c>
      <c r="K489" s="604">
        <f>IF(ISBLANK('ENGAGEMENTS 2026'!V489),"",'ENGAGEMENTS 2026'!V489)</f>
        <v/>
      </c>
      <c r="L489" s="276">
        <f>IF($K489="","",TODAY()-$K489)</f>
        <v/>
      </c>
      <c r="M489">
        <f>IF($A489="","",IF($H489="ENGAGE","Engagé",IF(AND($H489="NON ENGAGE",OR($I489="INFRUCTUEUX",$I489="ANNULE")),"Clôturé sans suite","En cours")))</f>
        <v/>
      </c>
      <c r="N489">
        <f>IF(ISBLANK('ENGAGEMENTS 2026'!B489),"",'ENGAGEMENTS 2026'!K489)</f>
        <v/>
      </c>
      <c r="O489">
        <f>IF(ISBLANK('ENGAGEMENTS 2026'!B489),"",'ENGAGEMENTS 2026'!L489)</f>
        <v/>
      </c>
      <c r="P489">
        <f>IF(ISBLANK('ENGAGEMENTS 2026'!B489),"",'ENGAGEMENTS 2026'!J489)</f>
        <v/>
      </c>
      <c r="Q489">
        <f>IF($A489="","",IF(OR($E489="INFRUCTUEUX",$E489="ANNULE"),$A489&amp;"|"&amp;(COUNTIFS($A$2:$A489,$A489,$E$2:$E489,"INFRUCTUEUX")+COUNTIFS($A$2:$A489,$A489,$E$2:$E489,"ANNULE")),""))</f>
        <v/>
      </c>
    </row>
    <row r="490">
      <c r="A490">
        <f>IF(ISBLANK('ENGAGEMENTS 2026'!B490),"",IF('ENGAGEMENTS 2026'!B490="DTSI","DCT",'ENGAGEMENTS 2026'!B490))</f>
        <v/>
      </c>
      <c r="B490">
        <f>IF(ISBLANK('ENGAGEMENTS 2026'!B490),"",'ENGAGEMENTS 2026'!C490)</f>
        <v/>
      </c>
      <c r="C490">
        <f>IF(ISBLANK('ENGAGEMENTS 2026'!B490),"",'ENGAGEMENTS 2026'!D490)</f>
        <v/>
      </c>
      <c r="D490">
        <f>IF(ISBLANK('ENGAGEMENTS 2026'!B490),"",'ENGAGEMENTS 2026'!F490)</f>
        <v/>
      </c>
      <c r="E490">
        <f>IF(ISBLANK('ENGAGEMENTS 2026'!B490),"",'ENGAGEMENTS 2026'!H490)</f>
        <v/>
      </c>
      <c r="F490">
        <f>IF(ISBLANK('ENGAGEMENTS 2026'!B490),"",'ENGAGEMENTS 2026'!I490)</f>
        <v/>
      </c>
      <c r="G490">
        <f>IF(ISBLANK('ENGAGEMENTS 2026'!B490),"",'ENGAGEMENTS 2026'!L490)</f>
        <v/>
      </c>
      <c r="H490">
        <f>IF(ISBLANK('ENGAGEMENTS 2026'!B490),"",'ENGAGEMENTS 2026'!AE490)</f>
        <v/>
      </c>
      <c r="I490">
        <f>IF(ISBLANK('ENGAGEMENTS 2026'!B490),"",'ENGAGEMENTS 2026'!G490)</f>
        <v/>
      </c>
      <c r="J490" s="275">
        <f>IF(ISBLANK('ENGAGEMENTS 2026'!B490),"",IF(AND(OR($E490="INFRUCTUEUX",$E490="ANNULE"),$C490="AOO-M"),'ENGAGEMENTS 2026'!O490,IF($H490="EN COURS DE PREENGAGEMENT",'ENGAGEMENTS 2026'!N490,IF($H490="PREENGAGE",IF($E490="ATTRIBUE",'ENGAGEMENTS 2026'!AD490,'ENGAGEMENTS 2026'!N490),'ENGAGEMENTS 2026'!AD490))))</f>
        <v/>
      </c>
      <c r="K490" s="604">
        <f>IF(ISBLANK('ENGAGEMENTS 2026'!V490),"",'ENGAGEMENTS 2026'!V490)</f>
        <v/>
      </c>
      <c r="L490" s="276">
        <f>IF($K490="","",TODAY()-$K490)</f>
        <v/>
      </c>
      <c r="M490">
        <f>IF($A490="","",IF($H490="ENGAGE","Engagé",IF(AND($H490="NON ENGAGE",OR($I490="INFRUCTUEUX",$I490="ANNULE")),"Clôturé sans suite","En cours")))</f>
        <v/>
      </c>
      <c r="N490">
        <f>IF(ISBLANK('ENGAGEMENTS 2026'!B490),"",'ENGAGEMENTS 2026'!K490)</f>
        <v/>
      </c>
      <c r="O490">
        <f>IF(ISBLANK('ENGAGEMENTS 2026'!B490),"",'ENGAGEMENTS 2026'!L490)</f>
        <v/>
      </c>
      <c r="P490">
        <f>IF(ISBLANK('ENGAGEMENTS 2026'!B490),"",'ENGAGEMENTS 2026'!J490)</f>
        <v/>
      </c>
      <c r="Q490">
        <f>IF($A490="","",IF(OR($E490="INFRUCTUEUX",$E490="ANNULE"),$A490&amp;"|"&amp;(COUNTIFS($A$2:$A490,$A490,$E$2:$E490,"INFRUCTUEUX")+COUNTIFS($A$2:$A490,$A490,$E$2:$E490,"ANNULE")),""))</f>
        <v/>
      </c>
    </row>
    <row r="491">
      <c r="A491">
        <f>IF(ISBLANK('ENGAGEMENTS 2026'!B491),"",IF('ENGAGEMENTS 2026'!B491="DTSI","DCT",'ENGAGEMENTS 2026'!B491))</f>
        <v/>
      </c>
      <c r="B491">
        <f>IF(ISBLANK('ENGAGEMENTS 2026'!B491),"",'ENGAGEMENTS 2026'!C491)</f>
        <v/>
      </c>
      <c r="C491">
        <f>IF(ISBLANK('ENGAGEMENTS 2026'!B491),"",'ENGAGEMENTS 2026'!D491)</f>
        <v/>
      </c>
      <c r="D491">
        <f>IF(ISBLANK('ENGAGEMENTS 2026'!B491),"",'ENGAGEMENTS 2026'!F491)</f>
        <v/>
      </c>
      <c r="E491">
        <f>IF(ISBLANK('ENGAGEMENTS 2026'!B491),"",'ENGAGEMENTS 2026'!H491)</f>
        <v/>
      </c>
      <c r="F491">
        <f>IF(ISBLANK('ENGAGEMENTS 2026'!B491),"",'ENGAGEMENTS 2026'!I491)</f>
        <v/>
      </c>
      <c r="G491">
        <f>IF(ISBLANK('ENGAGEMENTS 2026'!B491),"",'ENGAGEMENTS 2026'!L491)</f>
        <v/>
      </c>
      <c r="H491">
        <f>IF(ISBLANK('ENGAGEMENTS 2026'!B491),"",'ENGAGEMENTS 2026'!AE491)</f>
        <v/>
      </c>
      <c r="I491">
        <f>IF(ISBLANK('ENGAGEMENTS 2026'!B491),"",'ENGAGEMENTS 2026'!G491)</f>
        <v/>
      </c>
      <c r="J491" s="275">
        <f>IF(ISBLANK('ENGAGEMENTS 2026'!B491),"",IF(AND(OR($E491="INFRUCTUEUX",$E491="ANNULE"),$C491="AOO-M"),'ENGAGEMENTS 2026'!O491,IF($H491="EN COURS DE PREENGAGEMENT",'ENGAGEMENTS 2026'!N491,IF($H491="PREENGAGE",IF($E491="ATTRIBUE",'ENGAGEMENTS 2026'!AD491,'ENGAGEMENTS 2026'!N491),'ENGAGEMENTS 2026'!AD491))))</f>
        <v/>
      </c>
      <c r="K491" s="604">
        <f>IF(ISBLANK('ENGAGEMENTS 2026'!V491),"",'ENGAGEMENTS 2026'!V491)</f>
        <v/>
      </c>
      <c r="L491" s="276">
        <f>IF($K491="","",TODAY()-$K491)</f>
        <v/>
      </c>
      <c r="M491">
        <f>IF($A491="","",IF($H491="ENGAGE","Engagé",IF(AND($H491="NON ENGAGE",OR($I491="INFRUCTUEUX",$I491="ANNULE")),"Clôturé sans suite","En cours")))</f>
        <v/>
      </c>
      <c r="N491">
        <f>IF(ISBLANK('ENGAGEMENTS 2026'!B491),"",'ENGAGEMENTS 2026'!K491)</f>
        <v/>
      </c>
      <c r="O491">
        <f>IF(ISBLANK('ENGAGEMENTS 2026'!B491),"",'ENGAGEMENTS 2026'!L491)</f>
        <v/>
      </c>
      <c r="P491">
        <f>IF(ISBLANK('ENGAGEMENTS 2026'!B491),"",'ENGAGEMENTS 2026'!J491)</f>
        <v/>
      </c>
      <c r="Q491">
        <f>IF($A491="","",IF(OR($E491="INFRUCTUEUX",$E491="ANNULE"),$A491&amp;"|"&amp;(COUNTIFS($A$2:$A491,$A491,$E$2:$E491,"INFRUCTUEUX")+COUNTIFS($A$2:$A491,$A491,$E$2:$E491,"ANNULE")),""))</f>
        <v/>
      </c>
    </row>
    <row r="492">
      <c r="A492">
        <f>IF(ISBLANK('ENGAGEMENTS 2026'!B492),"",IF('ENGAGEMENTS 2026'!B492="DTSI","DCT",'ENGAGEMENTS 2026'!B492))</f>
        <v/>
      </c>
      <c r="B492">
        <f>IF(ISBLANK('ENGAGEMENTS 2026'!B492),"",'ENGAGEMENTS 2026'!C492)</f>
        <v/>
      </c>
      <c r="C492">
        <f>IF(ISBLANK('ENGAGEMENTS 2026'!B492),"",'ENGAGEMENTS 2026'!D492)</f>
        <v/>
      </c>
      <c r="D492">
        <f>IF(ISBLANK('ENGAGEMENTS 2026'!B492),"",'ENGAGEMENTS 2026'!F492)</f>
        <v/>
      </c>
      <c r="E492">
        <f>IF(ISBLANK('ENGAGEMENTS 2026'!B492),"",'ENGAGEMENTS 2026'!H492)</f>
        <v/>
      </c>
      <c r="F492">
        <f>IF(ISBLANK('ENGAGEMENTS 2026'!B492),"",'ENGAGEMENTS 2026'!I492)</f>
        <v/>
      </c>
      <c r="G492">
        <f>IF(ISBLANK('ENGAGEMENTS 2026'!B492),"",'ENGAGEMENTS 2026'!L492)</f>
        <v/>
      </c>
      <c r="H492">
        <f>IF(ISBLANK('ENGAGEMENTS 2026'!B492),"",'ENGAGEMENTS 2026'!AE492)</f>
        <v/>
      </c>
      <c r="I492">
        <f>IF(ISBLANK('ENGAGEMENTS 2026'!B492),"",'ENGAGEMENTS 2026'!G492)</f>
        <v/>
      </c>
      <c r="J492" s="275">
        <f>IF(ISBLANK('ENGAGEMENTS 2026'!B492),"",IF(AND(OR($E492="INFRUCTUEUX",$E492="ANNULE"),$C492="AOO-M"),'ENGAGEMENTS 2026'!O492,IF($H492="EN COURS DE PREENGAGEMENT",'ENGAGEMENTS 2026'!N492,IF($H492="PREENGAGE",IF($E492="ATTRIBUE",'ENGAGEMENTS 2026'!AD492,'ENGAGEMENTS 2026'!N492),'ENGAGEMENTS 2026'!AD492))))</f>
        <v/>
      </c>
      <c r="K492" s="604">
        <f>IF(ISBLANK('ENGAGEMENTS 2026'!V492),"",'ENGAGEMENTS 2026'!V492)</f>
        <v/>
      </c>
      <c r="L492" s="276">
        <f>IF($K492="","",TODAY()-$K492)</f>
        <v/>
      </c>
      <c r="M492">
        <f>IF($A492="","",IF($H492="ENGAGE","Engagé",IF(AND($H492="NON ENGAGE",OR($I492="INFRUCTUEUX",$I492="ANNULE")),"Clôturé sans suite","En cours")))</f>
        <v/>
      </c>
      <c r="N492">
        <f>IF(ISBLANK('ENGAGEMENTS 2026'!B492),"",'ENGAGEMENTS 2026'!K492)</f>
        <v/>
      </c>
      <c r="O492">
        <f>IF(ISBLANK('ENGAGEMENTS 2026'!B492),"",'ENGAGEMENTS 2026'!L492)</f>
        <v/>
      </c>
      <c r="P492">
        <f>IF(ISBLANK('ENGAGEMENTS 2026'!B492),"",'ENGAGEMENTS 2026'!J492)</f>
        <v/>
      </c>
      <c r="Q492">
        <f>IF($A492="","",IF(OR($E492="INFRUCTUEUX",$E492="ANNULE"),$A492&amp;"|"&amp;(COUNTIFS($A$2:$A492,$A492,$E$2:$E492,"INFRUCTUEUX")+COUNTIFS($A$2:$A492,$A492,$E$2:$E492,"ANNULE")),""))</f>
        <v/>
      </c>
    </row>
    <row r="493">
      <c r="A493">
        <f>IF(ISBLANK('ENGAGEMENTS 2026'!B493),"",IF('ENGAGEMENTS 2026'!B493="DTSI","DCT",'ENGAGEMENTS 2026'!B493))</f>
        <v/>
      </c>
      <c r="B493">
        <f>IF(ISBLANK('ENGAGEMENTS 2026'!B493),"",'ENGAGEMENTS 2026'!C493)</f>
        <v/>
      </c>
      <c r="C493">
        <f>IF(ISBLANK('ENGAGEMENTS 2026'!B493),"",'ENGAGEMENTS 2026'!D493)</f>
        <v/>
      </c>
      <c r="D493">
        <f>IF(ISBLANK('ENGAGEMENTS 2026'!B493),"",'ENGAGEMENTS 2026'!F493)</f>
        <v/>
      </c>
      <c r="E493">
        <f>IF(ISBLANK('ENGAGEMENTS 2026'!B493),"",'ENGAGEMENTS 2026'!H493)</f>
        <v/>
      </c>
      <c r="F493">
        <f>IF(ISBLANK('ENGAGEMENTS 2026'!B493),"",'ENGAGEMENTS 2026'!I493)</f>
        <v/>
      </c>
      <c r="G493">
        <f>IF(ISBLANK('ENGAGEMENTS 2026'!B493),"",'ENGAGEMENTS 2026'!L493)</f>
        <v/>
      </c>
      <c r="H493">
        <f>IF(ISBLANK('ENGAGEMENTS 2026'!B493),"",'ENGAGEMENTS 2026'!AE493)</f>
        <v/>
      </c>
      <c r="I493">
        <f>IF(ISBLANK('ENGAGEMENTS 2026'!B493),"",'ENGAGEMENTS 2026'!G493)</f>
        <v/>
      </c>
      <c r="J493" s="275">
        <f>IF(ISBLANK('ENGAGEMENTS 2026'!B493),"",IF(AND(OR($E493="INFRUCTUEUX",$E493="ANNULE"),$C493="AOO-M"),'ENGAGEMENTS 2026'!O493,IF($H493="EN COURS DE PREENGAGEMENT",'ENGAGEMENTS 2026'!N493,IF($H493="PREENGAGE",IF($E493="ATTRIBUE",'ENGAGEMENTS 2026'!AD493,'ENGAGEMENTS 2026'!N493),'ENGAGEMENTS 2026'!AD493))))</f>
        <v/>
      </c>
      <c r="K493" s="604">
        <f>IF(ISBLANK('ENGAGEMENTS 2026'!V493),"",'ENGAGEMENTS 2026'!V493)</f>
        <v/>
      </c>
      <c r="L493" s="276">
        <f>IF($K493="","",TODAY()-$K493)</f>
        <v/>
      </c>
      <c r="M493">
        <f>IF($A493="","",IF($H493="ENGAGE","Engagé",IF(AND($H493="NON ENGAGE",OR($I493="INFRUCTUEUX",$I493="ANNULE")),"Clôturé sans suite","En cours")))</f>
        <v/>
      </c>
      <c r="N493">
        <f>IF(ISBLANK('ENGAGEMENTS 2026'!B493),"",'ENGAGEMENTS 2026'!K493)</f>
        <v/>
      </c>
      <c r="O493">
        <f>IF(ISBLANK('ENGAGEMENTS 2026'!B493),"",'ENGAGEMENTS 2026'!L493)</f>
        <v/>
      </c>
      <c r="P493">
        <f>IF(ISBLANK('ENGAGEMENTS 2026'!B493),"",'ENGAGEMENTS 2026'!J493)</f>
        <v/>
      </c>
      <c r="Q493">
        <f>IF($A493="","",IF(OR($E493="INFRUCTUEUX",$E493="ANNULE"),$A493&amp;"|"&amp;(COUNTIFS($A$2:$A493,$A493,$E$2:$E493,"INFRUCTUEUX")+COUNTIFS($A$2:$A493,$A493,$E$2:$E493,"ANNULE")),""))</f>
        <v/>
      </c>
    </row>
    <row r="494">
      <c r="A494">
        <f>IF(ISBLANK('ENGAGEMENTS 2026'!B494),"",IF('ENGAGEMENTS 2026'!B494="DTSI","DCT",'ENGAGEMENTS 2026'!B494))</f>
        <v/>
      </c>
      <c r="B494">
        <f>IF(ISBLANK('ENGAGEMENTS 2026'!B494),"",'ENGAGEMENTS 2026'!C494)</f>
        <v/>
      </c>
      <c r="C494">
        <f>IF(ISBLANK('ENGAGEMENTS 2026'!B494),"",'ENGAGEMENTS 2026'!D494)</f>
        <v/>
      </c>
      <c r="D494">
        <f>IF(ISBLANK('ENGAGEMENTS 2026'!B494),"",'ENGAGEMENTS 2026'!F494)</f>
        <v/>
      </c>
      <c r="E494">
        <f>IF(ISBLANK('ENGAGEMENTS 2026'!B494),"",'ENGAGEMENTS 2026'!H494)</f>
        <v/>
      </c>
      <c r="F494">
        <f>IF(ISBLANK('ENGAGEMENTS 2026'!B494),"",'ENGAGEMENTS 2026'!I494)</f>
        <v/>
      </c>
      <c r="G494">
        <f>IF(ISBLANK('ENGAGEMENTS 2026'!B494),"",'ENGAGEMENTS 2026'!L494)</f>
        <v/>
      </c>
      <c r="H494">
        <f>IF(ISBLANK('ENGAGEMENTS 2026'!B494),"",'ENGAGEMENTS 2026'!AE494)</f>
        <v/>
      </c>
      <c r="I494">
        <f>IF(ISBLANK('ENGAGEMENTS 2026'!B494),"",'ENGAGEMENTS 2026'!G494)</f>
        <v/>
      </c>
      <c r="J494" s="275">
        <f>IF(ISBLANK('ENGAGEMENTS 2026'!B494),"",IF(AND(OR($E494="INFRUCTUEUX",$E494="ANNULE"),$C494="AOO-M"),'ENGAGEMENTS 2026'!O494,IF($H494="EN COURS DE PREENGAGEMENT",'ENGAGEMENTS 2026'!N494,IF($H494="PREENGAGE",IF($E494="ATTRIBUE",'ENGAGEMENTS 2026'!AD494,'ENGAGEMENTS 2026'!N494),'ENGAGEMENTS 2026'!AD494))))</f>
        <v/>
      </c>
      <c r="K494" s="604">
        <f>IF(ISBLANK('ENGAGEMENTS 2026'!V494),"",'ENGAGEMENTS 2026'!V494)</f>
        <v/>
      </c>
      <c r="L494" s="276">
        <f>IF($K494="","",TODAY()-$K494)</f>
        <v/>
      </c>
      <c r="M494">
        <f>IF($A494="","",IF($H494="ENGAGE","Engagé",IF(AND($H494="NON ENGAGE",OR($I494="INFRUCTUEUX",$I494="ANNULE")),"Clôturé sans suite","En cours")))</f>
        <v/>
      </c>
      <c r="N494">
        <f>IF(ISBLANK('ENGAGEMENTS 2026'!B494),"",'ENGAGEMENTS 2026'!K494)</f>
        <v/>
      </c>
      <c r="O494">
        <f>IF(ISBLANK('ENGAGEMENTS 2026'!B494),"",'ENGAGEMENTS 2026'!L494)</f>
        <v/>
      </c>
      <c r="P494">
        <f>IF(ISBLANK('ENGAGEMENTS 2026'!B494),"",'ENGAGEMENTS 2026'!J494)</f>
        <v/>
      </c>
      <c r="Q494">
        <f>IF($A494="","",IF(OR($E494="INFRUCTUEUX",$E494="ANNULE"),$A494&amp;"|"&amp;(COUNTIFS($A$2:$A494,$A494,$E$2:$E494,"INFRUCTUEUX")+COUNTIFS($A$2:$A494,$A494,$E$2:$E494,"ANNULE")),""))</f>
        <v/>
      </c>
    </row>
    <row r="495">
      <c r="A495">
        <f>IF(ISBLANK('ENGAGEMENTS 2026'!B495),"",IF('ENGAGEMENTS 2026'!B495="DTSI","DCT",'ENGAGEMENTS 2026'!B495))</f>
        <v/>
      </c>
      <c r="B495">
        <f>IF(ISBLANK('ENGAGEMENTS 2026'!B495),"",'ENGAGEMENTS 2026'!C495)</f>
        <v/>
      </c>
      <c r="C495">
        <f>IF(ISBLANK('ENGAGEMENTS 2026'!B495),"",'ENGAGEMENTS 2026'!D495)</f>
        <v/>
      </c>
      <c r="D495">
        <f>IF(ISBLANK('ENGAGEMENTS 2026'!B495),"",'ENGAGEMENTS 2026'!F495)</f>
        <v/>
      </c>
      <c r="E495">
        <f>IF(ISBLANK('ENGAGEMENTS 2026'!B495),"",'ENGAGEMENTS 2026'!H495)</f>
        <v/>
      </c>
      <c r="F495">
        <f>IF(ISBLANK('ENGAGEMENTS 2026'!B495),"",'ENGAGEMENTS 2026'!I495)</f>
        <v/>
      </c>
      <c r="G495">
        <f>IF(ISBLANK('ENGAGEMENTS 2026'!B495),"",'ENGAGEMENTS 2026'!L495)</f>
        <v/>
      </c>
      <c r="H495">
        <f>IF(ISBLANK('ENGAGEMENTS 2026'!B495),"",'ENGAGEMENTS 2026'!AE495)</f>
        <v/>
      </c>
      <c r="I495">
        <f>IF(ISBLANK('ENGAGEMENTS 2026'!B495),"",'ENGAGEMENTS 2026'!G495)</f>
        <v/>
      </c>
      <c r="J495" s="275">
        <f>IF(ISBLANK('ENGAGEMENTS 2026'!B495),"",IF(AND(OR($E495="INFRUCTUEUX",$E495="ANNULE"),$C495="AOO-M"),'ENGAGEMENTS 2026'!O495,IF($H495="EN COURS DE PREENGAGEMENT",'ENGAGEMENTS 2026'!N495,IF($H495="PREENGAGE",IF($E495="ATTRIBUE",'ENGAGEMENTS 2026'!AD495,'ENGAGEMENTS 2026'!N495),'ENGAGEMENTS 2026'!AD495))))</f>
        <v/>
      </c>
      <c r="K495" s="604">
        <f>IF(ISBLANK('ENGAGEMENTS 2026'!V495),"",'ENGAGEMENTS 2026'!V495)</f>
        <v/>
      </c>
      <c r="L495" s="276">
        <f>IF($K495="","",TODAY()-$K495)</f>
        <v/>
      </c>
      <c r="M495">
        <f>IF($A495="","",IF($H495="ENGAGE","Engagé",IF(AND($H495="NON ENGAGE",OR($I495="INFRUCTUEUX",$I495="ANNULE")),"Clôturé sans suite","En cours")))</f>
        <v/>
      </c>
      <c r="N495">
        <f>IF(ISBLANK('ENGAGEMENTS 2026'!B495),"",'ENGAGEMENTS 2026'!K495)</f>
        <v/>
      </c>
      <c r="O495">
        <f>IF(ISBLANK('ENGAGEMENTS 2026'!B495),"",'ENGAGEMENTS 2026'!L495)</f>
        <v/>
      </c>
      <c r="P495">
        <f>IF(ISBLANK('ENGAGEMENTS 2026'!B495),"",'ENGAGEMENTS 2026'!J495)</f>
        <v/>
      </c>
      <c r="Q495">
        <f>IF($A495="","",IF(OR($E495="INFRUCTUEUX",$E495="ANNULE"),$A495&amp;"|"&amp;(COUNTIFS($A$2:$A495,$A495,$E$2:$E495,"INFRUCTUEUX")+COUNTIFS($A$2:$A495,$A495,$E$2:$E495,"ANNULE")),""))</f>
        <v/>
      </c>
    </row>
    <row r="496">
      <c r="A496">
        <f>IF(ISBLANK('ENGAGEMENTS 2026'!B496),"",IF('ENGAGEMENTS 2026'!B496="DTSI","DCT",'ENGAGEMENTS 2026'!B496))</f>
        <v/>
      </c>
      <c r="B496">
        <f>IF(ISBLANK('ENGAGEMENTS 2026'!B496),"",'ENGAGEMENTS 2026'!C496)</f>
        <v/>
      </c>
      <c r="C496">
        <f>IF(ISBLANK('ENGAGEMENTS 2026'!B496),"",'ENGAGEMENTS 2026'!D496)</f>
        <v/>
      </c>
      <c r="D496">
        <f>IF(ISBLANK('ENGAGEMENTS 2026'!B496),"",'ENGAGEMENTS 2026'!F496)</f>
        <v/>
      </c>
      <c r="E496">
        <f>IF(ISBLANK('ENGAGEMENTS 2026'!B496),"",'ENGAGEMENTS 2026'!H496)</f>
        <v/>
      </c>
      <c r="F496">
        <f>IF(ISBLANK('ENGAGEMENTS 2026'!B496),"",'ENGAGEMENTS 2026'!I496)</f>
        <v/>
      </c>
      <c r="G496">
        <f>IF(ISBLANK('ENGAGEMENTS 2026'!B496),"",'ENGAGEMENTS 2026'!L496)</f>
        <v/>
      </c>
      <c r="H496">
        <f>IF(ISBLANK('ENGAGEMENTS 2026'!B496),"",'ENGAGEMENTS 2026'!AE496)</f>
        <v/>
      </c>
      <c r="I496">
        <f>IF(ISBLANK('ENGAGEMENTS 2026'!B496),"",'ENGAGEMENTS 2026'!G496)</f>
        <v/>
      </c>
      <c r="J496" s="275">
        <f>IF(ISBLANK('ENGAGEMENTS 2026'!B496),"",IF(AND(OR($E496="INFRUCTUEUX",$E496="ANNULE"),$C496="AOO-M"),'ENGAGEMENTS 2026'!O496,IF($H496="EN COURS DE PREENGAGEMENT",'ENGAGEMENTS 2026'!N496,IF($H496="PREENGAGE",IF($E496="ATTRIBUE",'ENGAGEMENTS 2026'!AD496,'ENGAGEMENTS 2026'!N496),'ENGAGEMENTS 2026'!AD496))))</f>
        <v/>
      </c>
      <c r="K496" s="604">
        <f>IF(ISBLANK('ENGAGEMENTS 2026'!V496),"",'ENGAGEMENTS 2026'!V496)</f>
        <v/>
      </c>
      <c r="L496" s="276">
        <f>IF($K496="","",TODAY()-$K496)</f>
        <v/>
      </c>
      <c r="M496">
        <f>IF($A496="","",IF($H496="ENGAGE","Engagé",IF(AND($H496="NON ENGAGE",OR($I496="INFRUCTUEUX",$I496="ANNULE")),"Clôturé sans suite","En cours")))</f>
        <v/>
      </c>
      <c r="N496">
        <f>IF(ISBLANK('ENGAGEMENTS 2026'!B496),"",'ENGAGEMENTS 2026'!K496)</f>
        <v/>
      </c>
      <c r="O496">
        <f>IF(ISBLANK('ENGAGEMENTS 2026'!B496),"",'ENGAGEMENTS 2026'!L496)</f>
        <v/>
      </c>
      <c r="P496">
        <f>IF(ISBLANK('ENGAGEMENTS 2026'!B496),"",'ENGAGEMENTS 2026'!J496)</f>
        <v/>
      </c>
      <c r="Q496">
        <f>IF($A496="","",IF(OR($E496="INFRUCTUEUX",$E496="ANNULE"),$A496&amp;"|"&amp;(COUNTIFS($A$2:$A496,$A496,$E$2:$E496,"INFRUCTUEUX")+COUNTIFS($A$2:$A496,$A496,$E$2:$E496,"ANNULE")),""))</f>
        <v/>
      </c>
    </row>
    <row r="497">
      <c r="A497">
        <f>IF(ISBLANK('ENGAGEMENTS 2026'!B497),"",IF('ENGAGEMENTS 2026'!B497="DTSI","DCT",'ENGAGEMENTS 2026'!B497))</f>
        <v/>
      </c>
      <c r="B497">
        <f>IF(ISBLANK('ENGAGEMENTS 2026'!B497),"",'ENGAGEMENTS 2026'!C497)</f>
        <v/>
      </c>
      <c r="C497">
        <f>IF(ISBLANK('ENGAGEMENTS 2026'!B497),"",'ENGAGEMENTS 2026'!D497)</f>
        <v/>
      </c>
      <c r="D497">
        <f>IF(ISBLANK('ENGAGEMENTS 2026'!B497),"",'ENGAGEMENTS 2026'!F497)</f>
        <v/>
      </c>
      <c r="E497">
        <f>IF(ISBLANK('ENGAGEMENTS 2026'!B497),"",'ENGAGEMENTS 2026'!H497)</f>
        <v/>
      </c>
      <c r="F497">
        <f>IF(ISBLANK('ENGAGEMENTS 2026'!B497),"",'ENGAGEMENTS 2026'!I497)</f>
        <v/>
      </c>
      <c r="G497">
        <f>IF(ISBLANK('ENGAGEMENTS 2026'!B497),"",'ENGAGEMENTS 2026'!L497)</f>
        <v/>
      </c>
      <c r="H497">
        <f>IF(ISBLANK('ENGAGEMENTS 2026'!B497),"",'ENGAGEMENTS 2026'!AE497)</f>
        <v/>
      </c>
      <c r="I497">
        <f>IF(ISBLANK('ENGAGEMENTS 2026'!B497),"",'ENGAGEMENTS 2026'!G497)</f>
        <v/>
      </c>
      <c r="J497" s="275">
        <f>IF(ISBLANK('ENGAGEMENTS 2026'!B497),"",IF(AND(OR($E497="INFRUCTUEUX",$E497="ANNULE"),$C497="AOO-M"),'ENGAGEMENTS 2026'!O497,IF($H497="EN COURS DE PREENGAGEMENT",'ENGAGEMENTS 2026'!N497,IF($H497="PREENGAGE",IF($E497="ATTRIBUE",'ENGAGEMENTS 2026'!AD497,'ENGAGEMENTS 2026'!N497),'ENGAGEMENTS 2026'!AD497))))</f>
        <v/>
      </c>
      <c r="K497" s="604">
        <f>IF(ISBLANK('ENGAGEMENTS 2026'!V497),"",'ENGAGEMENTS 2026'!V497)</f>
        <v/>
      </c>
      <c r="L497" s="276">
        <f>IF($K497="","",TODAY()-$K497)</f>
        <v/>
      </c>
      <c r="M497">
        <f>IF($A497="","",IF($H497="ENGAGE","Engagé",IF(AND($H497="NON ENGAGE",OR($I497="INFRUCTUEUX",$I497="ANNULE")),"Clôturé sans suite","En cours")))</f>
        <v/>
      </c>
      <c r="N497">
        <f>IF(ISBLANK('ENGAGEMENTS 2026'!B497),"",'ENGAGEMENTS 2026'!K497)</f>
        <v/>
      </c>
      <c r="O497">
        <f>IF(ISBLANK('ENGAGEMENTS 2026'!B497),"",'ENGAGEMENTS 2026'!L497)</f>
        <v/>
      </c>
      <c r="P497">
        <f>IF(ISBLANK('ENGAGEMENTS 2026'!B497),"",'ENGAGEMENTS 2026'!J497)</f>
        <v/>
      </c>
      <c r="Q497">
        <f>IF($A497="","",IF(OR($E497="INFRUCTUEUX",$E497="ANNULE"),$A497&amp;"|"&amp;(COUNTIFS($A$2:$A497,$A497,$E$2:$E497,"INFRUCTUEUX")+COUNTIFS($A$2:$A497,$A497,$E$2:$E497,"ANNULE")),""))</f>
        <v/>
      </c>
    </row>
    <row r="498">
      <c r="A498">
        <f>IF(ISBLANK('ENGAGEMENTS 2026'!B498),"",IF('ENGAGEMENTS 2026'!B498="DTSI","DCT",'ENGAGEMENTS 2026'!B498))</f>
        <v/>
      </c>
      <c r="B498">
        <f>IF(ISBLANK('ENGAGEMENTS 2026'!B498),"",'ENGAGEMENTS 2026'!C498)</f>
        <v/>
      </c>
      <c r="C498">
        <f>IF(ISBLANK('ENGAGEMENTS 2026'!B498),"",'ENGAGEMENTS 2026'!D498)</f>
        <v/>
      </c>
      <c r="D498">
        <f>IF(ISBLANK('ENGAGEMENTS 2026'!B498),"",'ENGAGEMENTS 2026'!F498)</f>
        <v/>
      </c>
      <c r="E498">
        <f>IF(ISBLANK('ENGAGEMENTS 2026'!B498),"",'ENGAGEMENTS 2026'!H498)</f>
        <v/>
      </c>
      <c r="F498">
        <f>IF(ISBLANK('ENGAGEMENTS 2026'!B498),"",'ENGAGEMENTS 2026'!I498)</f>
        <v/>
      </c>
      <c r="G498">
        <f>IF(ISBLANK('ENGAGEMENTS 2026'!B498),"",'ENGAGEMENTS 2026'!L498)</f>
        <v/>
      </c>
      <c r="H498">
        <f>IF(ISBLANK('ENGAGEMENTS 2026'!B498),"",'ENGAGEMENTS 2026'!AE498)</f>
        <v/>
      </c>
      <c r="I498">
        <f>IF(ISBLANK('ENGAGEMENTS 2026'!B498),"",'ENGAGEMENTS 2026'!G498)</f>
        <v/>
      </c>
      <c r="J498" s="275">
        <f>IF(ISBLANK('ENGAGEMENTS 2026'!B498),"",IF(AND(OR($E498="INFRUCTUEUX",$E498="ANNULE"),$C498="AOO-M"),'ENGAGEMENTS 2026'!O498,IF($H498="EN COURS DE PREENGAGEMENT",'ENGAGEMENTS 2026'!N498,IF($H498="PREENGAGE",IF($E498="ATTRIBUE",'ENGAGEMENTS 2026'!AD498,'ENGAGEMENTS 2026'!N498),'ENGAGEMENTS 2026'!AD498))))</f>
        <v/>
      </c>
      <c r="K498" s="604">
        <f>IF(ISBLANK('ENGAGEMENTS 2026'!V498),"",'ENGAGEMENTS 2026'!V498)</f>
        <v/>
      </c>
      <c r="L498" s="276">
        <f>IF($K498="","",TODAY()-$K498)</f>
        <v/>
      </c>
      <c r="M498">
        <f>IF($A498="","",IF($H498="ENGAGE","Engagé",IF(AND($H498="NON ENGAGE",OR($I498="INFRUCTUEUX",$I498="ANNULE")),"Clôturé sans suite","En cours")))</f>
        <v/>
      </c>
      <c r="N498">
        <f>IF(ISBLANK('ENGAGEMENTS 2026'!B498),"",'ENGAGEMENTS 2026'!K498)</f>
        <v/>
      </c>
      <c r="O498">
        <f>IF(ISBLANK('ENGAGEMENTS 2026'!B498),"",'ENGAGEMENTS 2026'!L498)</f>
        <v/>
      </c>
      <c r="P498">
        <f>IF(ISBLANK('ENGAGEMENTS 2026'!B498),"",'ENGAGEMENTS 2026'!J498)</f>
        <v/>
      </c>
      <c r="Q498">
        <f>IF($A498="","",IF(OR($E498="INFRUCTUEUX",$E498="ANNULE"),$A498&amp;"|"&amp;(COUNTIFS($A$2:$A498,$A498,$E$2:$E498,"INFRUCTUEUX")+COUNTIFS($A$2:$A498,$A498,$E$2:$E498,"ANNULE")),""))</f>
        <v/>
      </c>
    </row>
    <row r="499">
      <c r="A499">
        <f>IF(ISBLANK('ENGAGEMENTS 2026'!B499),"",IF('ENGAGEMENTS 2026'!B499="DTSI","DCT",'ENGAGEMENTS 2026'!B499))</f>
        <v/>
      </c>
      <c r="B499">
        <f>IF(ISBLANK('ENGAGEMENTS 2026'!B499),"",'ENGAGEMENTS 2026'!C499)</f>
        <v/>
      </c>
      <c r="C499">
        <f>IF(ISBLANK('ENGAGEMENTS 2026'!B499),"",'ENGAGEMENTS 2026'!D499)</f>
        <v/>
      </c>
      <c r="D499">
        <f>IF(ISBLANK('ENGAGEMENTS 2026'!B499),"",'ENGAGEMENTS 2026'!F499)</f>
        <v/>
      </c>
      <c r="E499">
        <f>IF(ISBLANK('ENGAGEMENTS 2026'!B499),"",'ENGAGEMENTS 2026'!H499)</f>
        <v/>
      </c>
      <c r="F499">
        <f>IF(ISBLANK('ENGAGEMENTS 2026'!B499),"",'ENGAGEMENTS 2026'!I499)</f>
        <v/>
      </c>
      <c r="G499">
        <f>IF(ISBLANK('ENGAGEMENTS 2026'!B499),"",'ENGAGEMENTS 2026'!L499)</f>
        <v/>
      </c>
      <c r="H499">
        <f>IF(ISBLANK('ENGAGEMENTS 2026'!B499),"",'ENGAGEMENTS 2026'!AE499)</f>
        <v/>
      </c>
      <c r="I499">
        <f>IF(ISBLANK('ENGAGEMENTS 2026'!B499),"",'ENGAGEMENTS 2026'!G499)</f>
        <v/>
      </c>
      <c r="J499" s="275">
        <f>IF(ISBLANK('ENGAGEMENTS 2026'!B499),"",IF(AND(OR($E499="INFRUCTUEUX",$E499="ANNULE"),$C499="AOO-M"),'ENGAGEMENTS 2026'!O499,IF($H499="EN COURS DE PREENGAGEMENT",'ENGAGEMENTS 2026'!N499,IF($H499="PREENGAGE",IF($E499="ATTRIBUE",'ENGAGEMENTS 2026'!AD499,'ENGAGEMENTS 2026'!N499),'ENGAGEMENTS 2026'!AD499))))</f>
        <v/>
      </c>
      <c r="K499" s="604">
        <f>IF(ISBLANK('ENGAGEMENTS 2026'!V499),"",'ENGAGEMENTS 2026'!V499)</f>
        <v/>
      </c>
      <c r="L499" s="276">
        <f>IF($K499="","",TODAY()-$K499)</f>
        <v/>
      </c>
      <c r="M499">
        <f>IF($A499="","",IF($H499="ENGAGE","Engagé",IF(AND($H499="NON ENGAGE",OR($I499="INFRUCTUEUX",$I499="ANNULE")),"Clôturé sans suite","En cours")))</f>
        <v/>
      </c>
      <c r="N499">
        <f>IF(ISBLANK('ENGAGEMENTS 2026'!B499),"",'ENGAGEMENTS 2026'!K499)</f>
        <v/>
      </c>
      <c r="O499">
        <f>IF(ISBLANK('ENGAGEMENTS 2026'!B499),"",'ENGAGEMENTS 2026'!L499)</f>
        <v/>
      </c>
      <c r="P499">
        <f>IF(ISBLANK('ENGAGEMENTS 2026'!B499),"",'ENGAGEMENTS 2026'!J499)</f>
        <v/>
      </c>
      <c r="Q499">
        <f>IF($A499="","",IF(OR($E499="INFRUCTUEUX",$E499="ANNULE"),$A499&amp;"|"&amp;(COUNTIFS($A$2:$A499,$A499,$E$2:$E499,"INFRUCTUEUX")+COUNTIFS($A$2:$A499,$A499,$E$2:$E499,"ANNULE")),""))</f>
        <v/>
      </c>
    </row>
    <row r="500">
      <c r="A500">
        <f>IF(ISBLANK('ENGAGEMENTS 2026'!B500),"",IF('ENGAGEMENTS 2026'!B500="DTSI","DCT",'ENGAGEMENTS 2026'!B500))</f>
        <v/>
      </c>
      <c r="B500">
        <f>IF(ISBLANK('ENGAGEMENTS 2026'!B500),"",'ENGAGEMENTS 2026'!C500)</f>
        <v/>
      </c>
      <c r="C500">
        <f>IF(ISBLANK('ENGAGEMENTS 2026'!B500),"",'ENGAGEMENTS 2026'!D500)</f>
        <v/>
      </c>
      <c r="D500">
        <f>IF(ISBLANK('ENGAGEMENTS 2026'!B500),"",'ENGAGEMENTS 2026'!F500)</f>
        <v/>
      </c>
      <c r="E500">
        <f>IF(ISBLANK('ENGAGEMENTS 2026'!B500),"",'ENGAGEMENTS 2026'!H500)</f>
        <v/>
      </c>
      <c r="F500">
        <f>IF(ISBLANK('ENGAGEMENTS 2026'!B500),"",'ENGAGEMENTS 2026'!I500)</f>
        <v/>
      </c>
      <c r="G500">
        <f>IF(ISBLANK('ENGAGEMENTS 2026'!B500),"",'ENGAGEMENTS 2026'!L500)</f>
        <v/>
      </c>
      <c r="H500">
        <f>IF(ISBLANK('ENGAGEMENTS 2026'!B500),"",'ENGAGEMENTS 2026'!AE500)</f>
        <v/>
      </c>
      <c r="I500">
        <f>IF(ISBLANK('ENGAGEMENTS 2026'!B500),"",'ENGAGEMENTS 2026'!G500)</f>
        <v/>
      </c>
      <c r="J500" s="275">
        <f>IF(ISBLANK('ENGAGEMENTS 2026'!B500),"",IF(AND(OR($E500="INFRUCTUEUX",$E500="ANNULE"),$C500="AOO-M"),'ENGAGEMENTS 2026'!O500,IF($H500="EN COURS DE PREENGAGEMENT",'ENGAGEMENTS 2026'!N500,IF($H500="PREENGAGE",IF($E500="ATTRIBUE",'ENGAGEMENTS 2026'!AD500,'ENGAGEMENTS 2026'!N500),'ENGAGEMENTS 2026'!AD500))))</f>
        <v/>
      </c>
      <c r="K500" s="604">
        <f>IF(ISBLANK('ENGAGEMENTS 2026'!V500),"",'ENGAGEMENTS 2026'!V500)</f>
        <v/>
      </c>
      <c r="L500" s="276">
        <f>IF($K500="","",TODAY()-$K500)</f>
        <v/>
      </c>
      <c r="M500">
        <f>IF($A500="","",IF($H500="ENGAGE","Engagé",IF(AND($H500="NON ENGAGE",OR($I500="INFRUCTUEUX",$I500="ANNULE")),"Clôturé sans suite","En cours")))</f>
        <v/>
      </c>
      <c r="N500">
        <f>IF(ISBLANK('ENGAGEMENTS 2026'!B500),"",'ENGAGEMENTS 2026'!K500)</f>
        <v/>
      </c>
      <c r="O500">
        <f>IF(ISBLANK('ENGAGEMENTS 2026'!B500),"",'ENGAGEMENTS 2026'!L500)</f>
        <v/>
      </c>
      <c r="P500">
        <f>IF(ISBLANK('ENGAGEMENTS 2026'!B500),"",'ENGAGEMENTS 2026'!J500)</f>
        <v/>
      </c>
      <c r="Q500">
        <f>IF($A500="","",IF(OR($E500="INFRUCTUEUX",$E500="ANNULE"),$A500&amp;"|"&amp;(COUNTIFS($A$2:$A500,$A500,$E$2:$E500,"INFRUCTUEUX")+COUNTIFS($A$2:$A500,$A500,$E$2:$E500,"ANNULE")),""))</f>
        <v/>
      </c>
    </row>
    <row r="501">
      <c r="A501">
        <f>IF(ISBLANK('ENGAGEMENTS 2026'!B501),"",IF('ENGAGEMENTS 2026'!B501="DTSI","DCT",'ENGAGEMENTS 2026'!B501))</f>
        <v/>
      </c>
      <c r="B501">
        <f>IF(ISBLANK('ENGAGEMENTS 2026'!B501),"",'ENGAGEMENTS 2026'!C501)</f>
        <v/>
      </c>
      <c r="C501">
        <f>IF(ISBLANK('ENGAGEMENTS 2026'!B501),"",'ENGAGEMENTS 2026'!D501)</f>
        <v/>
      </c>
      <c r="D501">
        <f>IF(ISBLANK('ENGAGEMENTS 2026'!B501),"",'ENGAGEMENTS 2026'!F501)</f>
        <v/>
      </c>
      <c r="E501">
        <f>IF(ISBLANK('ENGAGEMENTS 2026'!B501),"",'ENGAGEMENTS 2026'!H501)</f>
        <v/>
      </c>
      <c r="F501">
        <f>IF(ISBLANK('ENGAGEMENTS 2026'!B501),"",'ENGAGEMENTS 2026'!I501)</f>
        <v/>
      </c>
      <c r="G501">
        <f>IF(ISBLANK('ENGAGEMENTS 2026'!B501),"",'ENGAGEMENTS 2026'!L501)</f>
        <v/>
      </c>
      <c r="H501">
        <f>IF(ISBLANK('ENGAGEMENTS 2026'!B501),"",'ENGAGEMENTS 2026'!AE501)</f>
        <v/>
      </c>
      <c r="I501">
        <f>IF(ISBLANK('ENGAGEMENTS 2026'!B501),"",'ENGAGEMENTS 2026'!G501)</f>
        <v/>
      </c>
      <c r="J501" s="275">
        <f>IF(ISBLANK('ENGAGEMENTS 2026'!B501),"",IF(AND(OR($E501="INFRUCTUEUX",$E501="ANNULE"),$C501="AOO-M"),'ENGAGEMENTS 2026'!O501,IF($H501="EN COURS DE PREENGAGEMENT",'ENGAGEMENTS 2026'!N501,IF($H501="PREENGAGE",IF($E501="ATTRIBUE",'ENGAGEMENTS 2026'!AD501,'ENGAGEMENTS 2026'!N501),'ENGAGEMENTS 2026'!AD501))))</f>
        <v/>
      </c>
      <c r="K501" s="604">
        <f>IF(ISBLANK('ENGAGEMENTS 2026'!V501),"",'ENGAGEMENTS 2026'!V501)</f>
        <v/>
      </c>
      <c r="L501" s="276">
        <f>IF($K501="","",TODAY()-$K501)</f>
        <v/>
      </c>
      <c r="M501">
        <f>IF($A501="","",IF($H501="ENGAGE","Engagé",IF(AND($H501="NON ENGAGE",OR($I501="INFRUCTUEUX",$I501="ANNULE")),"Clôturé sans suite","En cours")))</f>
        <v/>
      </c>
      <c r="N501">
        <f>IF(ISBLANK('ENGAGEMENTS 2026'!B501),"",'ENGAGEMENTS 2026'!K501)</f>
        <v/>
      </c>
      <c r="O501">
        <f>IF(ISBLANK('ENGAGEMENTS 2026'!B501),"",'ENGAGEMENTS 2026'!L501)</f>
        <v/>
      </c>
      <c r="P501">
        <f>IF(ISBLANK('ENGAGEMENTS 2026'!B501),"",'ENGAGEMENTS 2026'!J501)</f>
        <v/>
      </c>
      <c r="Q501">
        <f>IF($A501="","",IF(OR($E501="INFRUCTUEUX",$E501="ANNULE"),$A501&amp;"|"&amp;(COUNTIFS($A$2:$A501,$A501,$E$2:$E501,"INFRUCTUEUX")+COUNTIFS($A$2:$A501,$A501,$E$2:$E501,"ANNULE")),""))</f>
        <v/>
      </c>
    </row>
    <row r="502">
      <c r="A502">
        <f>IF(ISBLANK('ENGAGEMENTS 2026'!B502),"",IF('ENGAGEMENTS 2026'!B502="DTSI","DCT",'ENGAGEMENTS 2026'!B502))</f>
        <v/>
      </c>
      <c r="B502">
        <f>IF(ISBLANK('ENGAGEMENTS 2026'!B502),"",'ENGAGEMENTS 2026'!C502)</f>
        <v/>
      </c>
      <c r="C502">
        <f>IF(ISBLANK('ENGAGEMENTS 2026'!B502),"",'ENGAGEMENTS 2026'!D502)</f>
        <v/>
      </c>
      <c r="D502">
        <f>IF(ISBLANK('ENGAGEMENTS 2026'!B502),"",'ENGAGEMENTS 2026'!F502)</f>
        <v/>
      </c>
      <c r="E502">
        <f>IF(ISBLANK('ENGAGEMENTS 2026'!B502),"",'ENGAGEMENTS 2026'!H502)</f>
        <v/>
      </c>
      <c r="F502">
        <f>IF(ISBLANK('ENGAGEMENTS 2026'!B502),"",'ENGAGEMENTS 2026'!I502)</f>
        <v/>
      </c>
      <c r="G502">
        <f>IF(ISBLANK('ENGAGEMENTS 2026'!B502),"",'ENGAGEMENTS 2026'!L502)</f>
        <v/>
      </c>
      <c r="H502">
        <f>IF(ISBLANK('ENGAGEMENTS 2026'!B502),"",'ENGAGEMENTS 2026'!AE502)</f>
        <v/>
      </c>
      <c r="I502">
        <f>IF(ISBLANK('ENGAGEMENTS 2026'!B502),"",'ENGAGEMENTS 2026'!G502)</f>
        <v/>
      </c>
      <c r="J502" s="275">
        <f>IF(ISBLANK('ENGAGEMENTS 2026'!B502),"",IF(AND(OR($E502="INFRUCTUEUX",$E502="ANNULE"),$C502="AOO-M"),'ENGAGEMENTS 2026'!O502,IF($H502="EN COURS DE PREENGAGEMENT",'ENGAGEMENTS 2026'!N502,IF($H502="PREENGAGE",IF($E502="ATTRIBUE",'ENGAGEMENTS 2026'!AD502,'ENGAGEMENTS 2026'!N502),'ENGAGEMENTS 2026'!AD502))))</f>
        <v/>
      </c>
      <c r="K502" s="604">
        <f>IF(ISBLANK('ENGAGEMENTS 2026'!V502),"",'ENGAGEMENTS 2026'!V502)</f>
        <v/>
      </c>
      <c r="L502" s="276">
        <f>IF($K502="","",TODAY()-$K502)</f>
        <v/>
      </c>
      <c r="M502">
        <f>IF($A502="","",IF($H502="ENGAGE","Engagé",IF(AND($H502="NON ENGAGE",OR($I502="INFRUCTUEUX",$I502="ANNULE")),"Clôturé sans suite","En cours")))</f>
        <v/>
      </c>
      <c r="N502">
        <f>IF(ISBLANK('ENGAGEMENTS 2026'!B502),"",'ENGAGEMENTS 2026'!K502)</f>
        <v/>
      </c>
      <c r="O502">
        <f>IF(ISBLANK('ENGAGEMENTS 2026'!B502),"",'ENGAGEMENTS 2026'!L502)</f>
        <v/>
      </c>
      <c r="P502">
        <f>IF(ISBLANK('ENGAGEMENTS 2026'!B502),"",'ENGAGEMENTS 2026'!J502)</f>
        <v/>
      </c>
      <c r="Q502">
        <f>IF($A502="","",IF(OR($E502="INFRUCTUEUX",$E502="ANNULE"),$A502&amp;"|"&amp;(COUNTIFS($A$2:$A502,$A502,$E$2:$E502,"INFRUCTUEUX")+COUNTIFS($A$2:$A502,$A502,$E$2:$E502,"ANNULE")),""))</f>
        <v/>
      </c>
    </row>
    <row r="503">
      <c r="A503">
        <f>IF(ISBLANK('ENGAGEMENTS 2026'!B503),"",IF('ENGAGEMENTS 2026'!B503="DTSI","DCT",'ENGAGEMENTS 2026'!B503))</f>
        <v/>
      </c>
      <c r="B503">
        <f>IF(ISBLANK('ENGAGEMENTS 2026'!B503),"",'ENGAGEMENTS 2026'!C503)</f>
        <v/>
      </c>
      <c r="C503">
        <f>IF(ISBLANK('ENGAGEMENTS 2026'!B503),"",'ENGAGEMENTS 2026'!D503)</f>
        <v/>
      </c>
      <c r="D503">
        <f>IF(ISBLANK('ENGAGEMENTS 2026'!B503),"",'ENGAGEMENTS 2026'!F503)</f>
        <v/>
      </c>
      <c r="E503">
        <f>IF(ISBLANK('ENGAGEMENTS 2026'!B503),"",'ENGAGEMENTS 2026'!H503)</f>
        <v/>
      </c>
      <c r="F503">
        <f>IF(ISBLANK('ENGAGEMENTS 2026'!B503),"",'ENGAGEMENTS 2026'!I503)</f>
        <v/>
      </c>
      <c r="G503">
        <f>IF(ISBLANK('ENGAGEMENTS 2026'!B503),"",'ENGAGEMENTS 2026'!L503)</f>
        <v/>
      </c>
      <c r="H503">
        <f>IF(ISBLANK('ENGAGEMENTS 2026'!B503),"",'ENGAGEMENTS 2026'!AE503)</f>
        <v/>
      </c>
      <c r="I503">
        <f>IF(ISBLANK('ENGAGEMENTS 2026'!B503),"",'ENGAGEMENTS 2026'!G503)</f>
        <v/>
      </c>
      <c r="J503" s="275">
        <f>IF(ISBLANK('ENGAGEMENTS 2026'!B503),"",IF(AND(OR($E503="INFRUCTUEUX",$E503="ANNULE"),$C503="AOO-M"),'ENGAGEMENTS 2026'!O503,IF($H503="EN COURS DE PREENGAGEMENT",'ENGAGEMENTS 2026'!N503,IF($H503="PREENGAGE",IF($E503="ATTRIBUE",'ENGAGEMENTS 2026'!AD503,'ENGAGEMENTS 2026'!N503),'ENGAGEMENTS 2026'!AD503))))</f>
        <v/>
      </c>
      <c r="K503" s="604">
        <f>IF(ISBLANK('ENGAGEMENTS 2026'!V503),"",'ENGAGEMENTS 2026'!V503)</f>
        <v/>
      </c>
      <c r="L503" s="276">
        <f>IF($K503="","",TODAY()-$K503)</f>
        <v/>
      </c>
      <c r="M503">
        <f>IF($A503="","",IF($H503="ENGAGE","Engagé",IF(AND($H503="NON ENGAGE",OR($I503="INFRUCTUEUX",$I503="ANNULE")),"Clôturé sans suite","En cours")))</f>
        <v/>
      </c>
      <c r="N503">
        <f>IF(ISBLANK('ENGAGEMENTS 2026'!B503),"",'ENGAGEMENTS 2026'!K503)</f>
        <v/>
      </c>
      <c r="O503">
        <f>IF(ISBLANK('ENGAGEMENTS 2026'!B503),"",'ENGAGEMENTS 2026'!L503)</f>
        <v/>
      </c>
      <c r="P503">
        <f>IF(ISBLANK('ENGAGEMENTS 2026'!B503),"",'ENGAGEMENTS 2026'!J503)</f>
        <v/>
      </c>
      <c r="Q503">
        <f>IF($A503="","",IF(OR($E503="INFRUCTUEUX",$E503="ANNULE"),$A503&amp;"|"&amp;(COUNTIFS($A$2:$A503,$A503,$E$2:$E503,"INFRUCTUEUX")+COUNTIFS($A$2:$A503,$A503,$E$2:$E503,"ANNULE")),""))</f>
        <v/>
      </c>
    </row>
    <row r="504">
      <c r="A504">
        <f>IF(ISBLANK('ENGAGEMENTS 2026'!B504),"",IF('ENGAGEMENTS 2026'!B504="DTSI","DCT",'ENGAGEMENTS 2026'!B504))</f>
        <v/>
      </c>
      <c r="B504">
        <f>IF(ISBLANK('ENGAGEMENTS 2026'!B504),"",'ENGAGEMENTS 2026'!C504)</f>
        <v/>
      </c>
      <c r="C504">
        <f>IF(ISBLANK('ENGAGEMENTS 2026'!B504),"",'ENGAGEMENTS 2026'!D504)</f>
        <v/>
      </c>
      <c r="D504">
        <f>IF(ISBLANK('ENGAGEMENTS 2026'!B504),"",'ENGAGEMENTS 2026'!F504)</f>
        <v/>
      </c>
      <c r="E504">
        <f>IF(ISBLANK('ENGAGEMENTS 2026'!B504),"",'ENGAGEMENTS 2026'!H504)</f>
        <v/>
      </c>
      <c r="F504">
        <f>IF(ISBLANK('ENGAGEMENTS 2026'!B504),"",'ENGAGEMENTS 2026'!I504)</f>
        <v/>
      </c>
      <c r="G504">
        <f>IF(ISBLANK('ENGAGEMENTS 2026'!B504),"",'ENGAGEMENTS 2026'!L504)</f>
        <v/>
      </c>
      <c r="H504">
        <f>IF(ISBLANK('ENGAGEMENTS 2026'!B504),"",'ENGAGEMENTS 2026'!AE504)</f>
        <v/>
      </c>
      <c r="I504">
        <f>IF(ISBLANK('ENGAGEMENTS 2026'!B504),"",'ENGAGEMENTS 2026'!G504)</f>
        <v/>
      </c>
      <c r="J504" s="275">
        <f>IF(ISBLANK('ENGAGEMENTS 2026'!B504),"",IF(AND(OR($E504="INFRUCTUEUX",$E504="ANNULE"),$C504="AOO-M"),'ENGAGEMENTS 2026'!O504,IF($H504="EN COURS DE PREENGAGEMENT",'ENGAGEMENTS 2026'!N504,IF($H504="PREENGAGE",IF($E504="ATTRIBUE",'ENGAGEMENTS 2026'!AD504,'ENGAGEMENTS 2026'!N504),'ENGAGEMENTS 2026'!AD504))))</f>
        <v/>
      </c>
      <c r="K504" s="604">
        <f>IF(ISBLANK('ENGAGEMENTS 2026'!V504),"",'ENGAGEMENTS 2026'!V504)</f>
        <v/>
      </c>
      <c r="L504" s="276">
        <f>IF($K504="","",TODAY()-$K504)</f>
        <v/>
      </c>
      <c r="M504">
        <f>IF($A504="","",IF($H504="ENGAGE","Engagé",IF(AND($H504="NON ENGAGE",OR($I504="INFRUCTUEUX",$I504="ANNULE")),"Clôturé sans suite","En cours")))</f>
        <v/>
      </c>
      <c r="N504">
        <f>IF(ISBLANK('ENGAGEMENTS 2026'!B504),"",'ENGAGEMENTS 2026'!K504)</f>
        <v/>
      </c>
      <c r="O504">
        <f>IF(ISBLANK('ENGAGEMENTS 2026'!B504),"",'ENGAGEMENTS 2026'!L504)</f>
        <v/>
      </c>
      <c r="P504">
        <f>IF(ISBLANK('ENGAGEMENTS 2026'!B504),"",'ENGAGEMENTS 2026'!J504)</f>
        <v/>
      </c>
      <c r="Q504">
        <f>IF($A504="","",IF(OR($E504="INFRUCTUEUX",$E504="ANNULE"),$A504&amp;"|"&amp;(COUNTIFS($A$2:$A504,$A504,$E$2:$E504,"INFRUCTUEUX")+COUNTIFS($A$2:$A504,$A504,$E$2:$E504,"ANNULE")),""))</f>
        <v/>
      </c>
    </row>
    <row r="505">
      <c r="A505">
        <f>IF(ISBLANK('ENGAGEMENTS 2026'!B505),"",IF('ENGAGEMENTS 2026'!B505="DTSI","DCT",'ENGAGEMENTS 2026'!B505))</f>
        <v/>
      </c>
      <c r="B505">
        <f>IF(ISBLANK('ENGAGEMENTS 2026'!B505),"",'ENGAGEMENTS 2026'!C505)</f>
        <v/>
      </c>
      <c r="C505">
        <f>IF(ISBLANK('ENGAGEMENTS 2026'!B505),"",'ENGAGEMENTS 2026'!D505)</f>
        <v/>
      </c>
      <c r="D505">
        <f>IF(ISBLANK('ENGAGEMENTS 2026'!B505),"",'ENGAGEMENTS 2026'!F505)</f>
        <v/>
      </c>
      <c r="E505">
        <f>IF(ISBLANK('ENGAGEMENTS 2026'!B505),"",'ENGAGEMENTS 2026'!H505)</f>
        <v/>
      </c>
      <c r="F505">
        <f>IF(ISBLANK('ENGAGEMENTS 2026'!B505),"",'ENGAGEMENTS 2026'!I505)</f>
        <v/>
      </c>
      <c r="G505">
        <f>IF(ISBLANK('ENGAGEMENTS 2026'!B505),"",'ENGAGEMENTS 2026'!L505)</f>
        <v/>
      </c>
      <c r="H505">
        <f>IF(ISBLANK('ENGAGEMENTS 2026'!B505),"",'ENGAGEMENTS 2026'!AE505)</f>
        <v/>
      </c>
      <c r="I505">
        <f>IF(ISBLANK('ENGAGEMENTS 2026'!B505),"",'ENGAGEMENTS 2026'!G505)</f>
        <v/>
      </c>
      <c r="J505" s="275">
        <f>IF(ISBLANK('ENGAGEMENTS 2026'!B505),"",IF(AND(OR($E505="INFRUCTUEUX",$E505="ANNULE"),$C505="AOO-M"),'ENGAGEMENTS 2026'!O505,IF($H505="EN COURS DE PREENGAGEMENT",'ENGAGEMENTS 2026'!N505,IF($H505="PREENGAGE",IF($E505="ATTRIBUE",'ENGAGEMENTS 2026'!AD505,'ENGAGEMENTS 2026'!N505),'ENGAGEMENTS 2026'!AD505))))</f>
        <v/>
      </c>
      <c r="K505" s="604">
        <f>IF(ISBLANK('ENGAGEMENTS 2026'!V505),"",'ENGAGEMENTS 2026'!V505)</f>
        <v/>
      </c>
      <c r="L505" s="276">
        <f>IF($K505="","",TODAY()-$K505)</f>
        <v/>
      </c>
      <c r="M505">
        <f>IF($A505="","",IF($H505="ENGAGE","Engagé",IF(AND($H505="NON ENGAGE",OR($I505="INFRUCTUEUX",$I505="ANNULE")),"Clôturé sans suite","En cours")))</f>
        <v/>
      </c>
      <c r="N505">
        <f>IF(ISBLANK('ENGAGEMENTS 2026'!B505),"",'ENGAGEMENTS 2026'!K505)</f>
        <v/>
      </c>
      <c r="O505">
        <f>IF(ISBLANK('ENGAGEMENTS 2026'!B505),"",'ENGAGEMENTS 2026'!L505)</f>
        <v/>
      </c>
      <c r="P505">
        <f>IF(ISBLANK('ENGAGEMENTS 2026'!B505),"",'ENGAGEMENTS 2026'!J505)</f>
        <v/>
      </c>
      <c r="Q505">
        <f>IF($A505="","",IF(OR($E505="INFRUCTUEUX",$E505="ANNULE"),$A505&amp;"|"&amp;(COUNTIFS($A$2:$A505,$A505,$E$2:$E505,"INFRUCTUEUX")+COUNTIFS($A$2:$A505,$A505,$E$2:$E505,"ANNULE")),""))</f>
        <v/>
      </c>
    </row>
    <row r="506">
      <c r="A506">
        <f>IF(ISBLANK('ENGAGEMENTS 2026'!B506),"",IF('ENGAGEMENTS 2026'!B506="DTSI","DCT",'ENGAGEMENTS 2026'!B506))</f>
        <v/>
      </c>
      <c r="B506">
        <f>IF(ISBLANK('ENGAGEMENTS 2026'!B506),"",'ENGAGEMENTS 2026'!C506)</f>
        <v/>
      </c>
      <c r="C506">
        <f>IF(ISBLANK('ENGAGEMENTS 2026'!B506),"",'ENGAGEMENTS 2026'!D506)</f>
        <v/>
      </c>
      <c r="D506">
        <f>IF(ISBLANK('ENGAGEMENTS 2026'!B506),"",'ENGAGEMENTS 2026'!F506)</f>
        <v/>
      </c>
      <c r="E506">
        <f>IF(ISBLANK('ENGAGEMENTS 2026'!B506),"",'ENGAGEMENTS 2026'!H506)</f>
        <v/>
      </c>
      <c r="F506">
        <f>IF(ISBLANK('ENGAGEMENTS 2026'!B506),"",'ENGAGEMENTS 2026'!I506)</f>
        <v/>
      </c>
      <c r="G506">
        <f>IF(ISBLANK('ENGAGEMENTS 2026'!B506),"",'ENGAGEMENTS 2026'!L506)</f>
        <v/>
      </c>
      <c r="H506">
        <f>IF(ISBLANK('ENGAGEMENTS 2026'!B506),"",'ENGAGEMENTS 2026'!AE506)</f>
        <v/>
      </c>
      <c r="I506">
        <f>IF(ISBLANK('ENGAGEMENTS 2026'!B506),"",'ENGAGEMENTS 2026'!G506)</f>
        <v/>
      </c>
      <c r="J506" s="275">
        <f>IF(ISBLANK('ENGAGEMENTS 2026'!B506),"",IF(AND(OR($E506="INFRUCTUEUX",$E506="ANNULE"),$C506="AOO-M"),'ENGAGEMENTS 2026'!O506,IF($H506="EN COURS DE PREENGAGEMENT",'ENGAGEMENTS 2026'!N506,IF($H506="PREENGAGE",IF($E506="ATTRIBUE",'ENGAGEMENTS 2026'!AD506,'ENGAGEMENTS 2026'!N506),'ENGAGEMENTS 2026'!AD506))))</f>
        <v/>
      </c>
      <c r="K506" s="604">
        <f>IF(ISBLANK('ENGAGEMENTS 2026'!V506),"",'ENGAGEMENTS 2026'!V506)</f>
        <v/>
      </c>
      <c r="L506" s="276">
        <f>IF($K506="","",TODAY()-$K506)</f>
        <v/>
      </c>
      <c r="M506">
        <f>IF($A506="","",IF($H506="ENGAGE","Engagé",IF(AND($H506="NON ENGAGE",OR($I506="INFRUCTUEUX",$I506="ANNULE")),"Clôturé sans suite","En cours")))</f>
        <v/>
      </c>
      <c r="N506">
        <f>IF(ISBLANK('ENGAGEMENTS 2026'!B506),"",'ENGAGEMENTS 2026'!K506)</f>
        <v/>
      </c>
      <c r="O506">
        <f>IF(ISBLANK('ENGAGEMENTS 2026'!B506),"",'ENGAGEMENTS 2026'!L506)</f>
        <v/>
      </c>
      <c r="P506">
        <f>IF(ISBLANK('ENGAGEMENTS 2026'!B506),"",'ENGAGEMENTS 2026'!J506)</f>
        <v/>
      </c>
      <c r="Q506">
        <f>IF($A506="","",IF(OR($E506="INFRUCTUEUX",$E506="ANNULE"),$A506&amp;"|"&amp;(COUNTIFS($A$2:$A506,$A506,$E$2:$E506,"INFRUCTUEUX")+COUNTIFS($A$2:$A506,$A506,$E$2:$E506,"ANNULE")),""))</f>
        <v/>
      </c>
    </row>
    <row r="507">
      <c r="A507">
        <f>IF(ISBLANK('ENGAGEMENTS 2026'!B507),"",IF('ENGAGEMENTS 2026'!B507="DTSI","DCT",'ENGAGEMENTS 2026'!B507))</f>
        <v/>
      </c>
      <c r="B507">
        <f>IF(ISBLANK('ENGAGEMENTS 2026'!B507),"",'ENGAGEMENTS 2026'!C507)</f>
        <v/>
      </c>
      <c r="C507">
        <f>IF(ISBLANK('ENGAGEMENTS 2026'!B507),"",'ENGAGEMENTS 2026'!D507)</f>
        <v/>
      </c>
      <c r="D507">
        <f>IF(ISBLANK('ENGAGEMENTS 2026'!B507),"",'ENGAGEMENTS 2026'!F507)</f>
        <v/>
      </c>
      <c r="E507">
        <f>IF(ISBLANK('ENGAGEMENTS 2026'!B507),"",'ENGAGEMENTS 2026'!H507)</f>
        <v/>
      </c>
      <c r="F507">
        <f>IF(ISBLANK('ENGAGEMENTS 2026'!B507),"",'ENGAGEMENTS 2026'!I507)</f>
        <v/>
      </c>
      <c r="G507">
        <f>IF(ISBLANK('ENGAGEMENTS 2026'!B507),"",'ENGAGEMENTS 2026'!L507)</f>
        <v/>
      </c>
      <c r="H507">
        <f>IF(ISBLANK('ENGAGEMENTS 2026'!B507),"",'ENGAGEMENTS 2026'!AE507)</f>
        <v/>
      </c>
      <c r="I507">
        <f>IF(ISBLANK('ENGAGEMENTS 2026'!B507),"",'ENGAGEMENTS 2026'!G507)</f>
        <v/>
      </c>
      <c r="J507" s="275">
        <f>IF(ISBLANK('ENGAGEMENTS 2026'!B507),"",IF(AND(OR($E507="INFRUCTUEUX",$E507="ANNULE"),$C507="AOO-M"),'ENGAGEMENTS 2026'!O507,IF($H507="EN COURS DE PREENGAGEMENT",'ENGAGEMENTS 2026'!N507,IF($H507="PREENGAGE",IF($E507="ATTRIBUE",'ENGAGEMENTS 2026'!AD507,'ENGAGEMENTS 2026'!N507),'ENGAGEMENTS 2026'!AD507))))</f>
        <v/>
      </c>
      <c r="K507" s="604">
        <f>IF(ISBLANK('ENGAGEMENTS 2026'!V507),"",'ENGAGEMENTS 2026'!V507)</f>
        <v/>
      </c>
      <c r="L507" s="276">
        <f>IF($K507="","",TODAY()-$K507)</f>
        <v/>
      </c>
      <c r="M507">
        <f>IF($A507="","",IF($H507="ENGAGE","Engagé",IF(AND($H507="NON ENGAGE",OR($I507="INFRUCTUEUX",$I507="ANNULE")),"Clôturé sans suite","En cours")))</f>
        <v/>
      </c>
      <c r="N507">
        <f>IF(ISBLANK('ENGAGEMENTS 2026'!B507),"",'ENGAGEMENTS 2026'!K507)</f>
        <v/>
      </c>
      <c r="O507">
        <f>IF(ISBLANK('ENGAGEMENTS 2026'!B507),"",'ENGAGEMENTS 2026'!L507)</f>
        <v/>
      </c>
      <c r="P507">
        <f>IF(ISBLANK('ENGAGEMENTS 2026'!B507),"",'ENGAGEMENTS 2026'!J507)</f>
        <v/>
      </c>
      <c r="Q507">
        <f>IF($A507="","",IF(OR($E507="INFRUCTUEUX",$E507="ANNULE"),$A507&amp;"|"&amp;(COUNTIFS($A$2:$A507,$A507,$E$2:$E507,"INFRUCTUEUX")+COUNTIFS($A$2:$A507,$A507,$E$2:$E507,"ANNULE")),""))</f>
        <v/>
      </c>
    </row>
    <row r="508">
      <c r="A508">
        <f>IF(ISBLANK('ENGAGEMENTS 2026'!B508),"",IF('ENGAGEMENTS 2026'!B508="DTSI","DCT",'ENGAGEMENTS 2026'!B508))</f>
        <v/>
      </c>
      <c r="B508">
        <f>IF(ISBLANK('ENGAGEMENTS 2026'!B508),"",'ENGAGEMENTS 2026'!C508)</f>
        <v/>
      </c>
      <c r="C508">
        <f>IF(ISBLANK('ENGAGEMENTS 2026'!B508),"",'ENGAGEMENTS 2026'!D508)</f>
        <v/>
      </c>
      <c r="D508">
        <f>IF(ISBLANK('ENGAGEMENTS 2026'!B508),"",'ENGAGEMENTS 2026'!F508)</f>
        <v/>
      </c>
      <c r="E508">
        <f>IF(ISBLANK('ENGAGEMENTS 2026'!B508),"",'ENGAGEMENTS 2026'!H508)</f>
        <v/>
      </c>
      <c r="F508">
        <f>IF(ISBLANK('ENGAGEMENTS 2026'!B508),"",'ENGAGEMENTS 2026'!I508)</f>
        <v/>
      </c>
      <c r="G508">
        <f>IF(ISBLANK('ENGAGEMENTS 2026'!B508),"",'ENGAGEMENTS 2026'!L508)</f>
        <v/>
      </c>
      <c r="H508">
        <f>IF(ISBLANK('ENGAGEMENTS 2026'!B508),"",'ENGAGEMENTS 2026'!AE508)</f>
        <v/>
      </c>
      <c r="I508">
        <f>IF(ISBLANK('ENGAGEMENTS 2026'!B508),"",'ENGAGEMENTS 2026'!G508)</f>
        <v/>
      </c>
      <c r="J508" s="275">
        <f>IF(ISBLANK('ENGAGEMENTS 2026'!B508),"",IF(AND(OR($E508="INFRUCTUEUX",$E508="ANNULE"),$C508="AOO-M"),'ENGAGEMENTS 2026'!O508,IF($H508="EN COURS DE PREENGAGEMENT",'ENGAGEMENTS 2026'!N508,IF($H508="PREENGAGE",IF($E508="ATTRIBUE",'ENGAGEMENTS 2026'!AD508,'ENGAGEMENTS 2026'!N508),'ENGAGEMENTS 2026'!AD508))))</f>
        <v/>
      </c>
      <c r="K508" s="604">
        <f>IF(ISBLANK('ENGAGEMENTS 2026'!V508),"",'ENGAGEMENTS 2026'!V508)</f>
        <v/>
      </c>
      <c r="L508" s="276">
        <f>IF($K508="","",TODAY()-$K508)</f>
        <v/>
      </c>
      <c r="M508">
        <f>IF($A508="","",IF($H508="ENGAGE","Engagé",IF(AND($H508="NON ENGAGE",OR($I508="INFRUCTUEUX",$I508="ANNULE")),"Clôturé sans suite","En cours")))</f>
        <v/>
      </c>
      <c r="N508">
        <f>IF(ISBLANK('ENGAGEMENTS 2026'!B508),"",'ENGAGEMENTS 2026'!K508)</f>
        <v/>
      </c>
      <c r="O508">
        <f>IF(ISBLANK('ENGAGEMENTS 2026'!B508),"",'ENGAGEMENTS 2026'!L508)</f>
        <v/>
      </c>
      <c r="P508">
        <f>IF(ISBLANK('ENGAGEMENTS 2026'!B508),"",'ENGAGEMENTS 2026'!J508)</f>
        <v/>
      </c>
      <c r="Q508">
        <f>IF($A508="","",IF(OR($E508="INFRUCTUEUX",$E508="ANNULE"),$A508&amp;"|"&amp;(COUNTIFS($A$2:$A508,$A508,$E$2:$E508,"INFRUCTUEUX")+COUNTIFS($A$2:$A508,$A508,$E$2:$E508,"ANNULE")),""))</f>
        <v/>
      </c>
    </row>
    <row r="509">
      <c r="A509">
        <f>IF(ISBLANK('ENGAGEMENTS 2026'!B509),"",IF('ENGAGEMENTS 2026'!B509="DTSI","DCT",'ENGAGEMENTS 2026'!B509))</f>
        <v/>
      </c>
      <c r="B509">
        <f>IF(ISBLANK('ENGAGEMENTS 2026'!B509),"",'ENGAGEMENTS 2026'!C509)</f>
        <v/>
      </c>
      <c r="C509">
        <f>IF(ISBLANK('ENGAGEMENTS 2026'!B509),"",'ENGAGEMENTS 2026'!D509)</f>
        <v/>
      </c>
      <c r="D509">
        <f>IF(ISBLANK('ENGAGEMENTS 2026'!B509),"",'ENGAGEMENTS 2026'!F509)</f>
        <v/>
      </c>
      <c r="E509">
        <f>IF(ISBLANK('ENGAGEMENTS 2026'!B509),"",'ENGAGEMENTS 2026'!H509)</f>
        <v/>
      </c>
      <c r="F509">
        <f>IF(ISBLANK('ENGAGEMENTS 2026'!B509),"",'ENGAGEMENTS 2026'!I509)</f>
        <v/>
      </c>
      <c r="G509">
        <f>IF(ISBLANK('ENGAGEMENTS 2026'!B509),"",'ENGAGEMENTS 2026'!L509)</f>
        <v/>
      </c>
      <c r="H509">
        <f>IF(ISBLANK('ENGAGEMENTS 2026'!B509),"",'ENGAGEMENTS 2026'!AE509)</f>
        <v/>
      </c>
      <c r="I509">
        <f>IF(ISBLANK('ENGAGEMENTS 2026'!B509),"",'ENGAGEMENTS 2026'!G509)</f>
        <v/>
      </c>
      <c r="J509" s="275">
        <f>IF(ISBLANK('ENGAGEMENTS 2026'!B509),"",IF(AND(OR($E509="INFRUCTUEUX",$E509="ANNULE"),$C509="AOO-M"),'ENGAGEMENTS 2026'!O509,IF($H509="EN COURS DE PREENGAGEMENT",'ENGAGEMENTS 2026'!N509,IF($H509="PREENGAGE",IF($E509="ATTRIBUE",'ENGAGEMENTS 2026'!AD509,'ENGAGEMENTS 2026'!N509),'ENGAGEMENTS 2026'!AD509))))</f>
        <v/>
      </c>
      <c r="K509" s="604">
        <f>IF(ISBLANK('ENGAGEMENTS 2026'!V509),"",'ENGAGEMENTS 2026'!V509)</f>
        <v/>
      </c>
      <c r="L509" s="276">
        <f>IF($K509="","",TODAY()-$K509)</f>
        <v/>
      </c>
      <c r="M509">
        <f>IF($A509="","",IF($H509="ENGAGE","Engagé",IF(AND($H509="NON ENGAGE",OR($I509="INFRUCTUEUX",$I509="ANNULE")),"Clôturé sans suite","En cours")))</f>
        <v/>
      </c>
      <c r="N509">
        <f>IF(ISBLANK('ENGAGEMENTS 2026'!B509),"",'ENGAGEMENTS 2026'!K509)</f>
        <v/>
      </c>
      <c r="O509">
        <f>IF(ISBLANK('ENGAGEMENTS 2026'!B509),"",'ENGAGEMENTS 2026'!L509)</f>
        <v/>
      </c>
      <c r="P509">
        <f>IF(ISBLANK('ENGAGEMENTS 2026'!B509),"",'ENGAGEMENTS 2026'!J509)</f>
        <v/>
      </c>
      <c r="Q509">
        <f>IF($A509="","",IF(OR($E509="INFRUCTUEUX",$E509="ANNULE"),$A509&amp;"|"&amp;(COUNTIFS($A$2:$A509,$A509,$E$2:$E509,"INFRUCTUEUX")+COUNTIFS($A$2:$A509,$A509,$E$2:$E509,"ANNULE")),""))</f>
        <v/>
      </c>
    </row>
    <row r="510">
      <c r="A510">
        <f>IF(ISBLANK('ENGAGEMENTS 2026'!B510),"",IF('ENGAGEMENTS 2026'!B510="DTSI","DCT",'ENGAGEMENTS 2026'!B510))</f>
        <v/>
      </c>
      <c r="B510">
        <f>IF(ISBLANK('ENGAGEMENTS 2026'!B510),"",'ENGAGEMENTS 2026'!C510)</f>
        <v/>
      </c>
      <c r="C510">
        <f>IF(ISBLANK('ENGAGEMENTS 2026'!B510),"",'ENGAGEMENTS 2026'!D510)</f>
        <v/>
      </c>
      <c r="D510">
        <f>IF(ISBLANK('ENGAGEMENTS 2026'!B510),"",'ENGAGEMENTS 2026'!F510)</f>
        <v/>
      </c>
      <c r="E510">
        <f>IF(ISBLANK('ENGAGEMENTS 2026'!B510),"",'ENGAGEMENTS 2026'!H510)</f>
        <v/>
      </c>
      <c r="F510">
        <f>IF(ISBLANK('ENGAGEMENTS 2026'!B510),"",'ENGAGEMENTS 2026'!I510)</f>
        <v/>
      </c>
      <c r="G510">
        <f>IF(ISBLANK('ENGAGEMENTS 2026'!B510),"",'ENGAGEMENTS 2026'!L510)</f>
        <v/>
      </c>
      <c r="H510">
        <f>IF(ISBLANK('ENGAGEMENTS 2026'!B510),"",'ENGAGEMENTS 2026'!AE510)</f>
        <v/>
      </c>
      <c r="I510">
        <f>IF(ISBLANK('ENGAGEMENTS 2026'!B510),"",'ENGAGEMENTS 2026'!G510)</f>
        <v/>
      </c>
      <c r="J510" s="275">
        <f>IF(ISBLANK('ENGAGEMENTS 2026'!B510),"",IF(AND(OR($E510="INFRUCTUEUX",$E510="ANNULE"),$C510="AOO-M"),'ENGAGEMENTS 2026'!O510,IF($H510="EN COURS DE PREENGAGEMENT",'ENGAGEMENTS 2026'!N510,IF($H510="PREENGAGE",IF($E510="ATTRIBUE",'ENGAGEMENTS 2026'!AD510,'ENGAGEMENTS 2026'!N510),'ENGAGEMENTS 2026'!AD510))))</f>
        <v/>
      </c>
      <c r="K510" s="604">
        <f>IF(ISBLANK('ENGAGEMENTS 2026'!V510),"",'ENGAGEMENTS 2026'!V510)</f>
        <v/>
      </c>
      <c r="L510" s="276">
        <f>IF($K510="","",TODAY()-$K510)</f>
        <v/>
      </c>
      <c r="M510">
        <f>IF($A510="","",IF($H510="ENGAGE","Engagé",IF(AND($H510="NON ENGAGE",OR($I510="INFRUCTUEUX",$I510="ANNULE")),"Clôturé sans suite","En cours")))</f>
        <v/>
      </c>
      <c r="N510">
        <f>IF(ISBLANK('ENGAGEMENTS 2026'!B510),"",'ENGAGEMENTS 2026'!K510)</f>
        <v/>
      </c>
      <c r="O510">
        <f>IF(ISBLANK('ENGAGEMENTS 2026'!B510),"",'ENGAGEMENTS 2026'!L510)</f>
        <v/>
      </c>
      <c r="P510">
        <f>IF(ISBLANK('ENGAGEMENTS 2026'!B510),"",'ENGAGEMENTS 2026'!J510)</f>
        <v/>
      </c>
      <c r="Q510">
        <f>IF($A510="","",IF(OR($E510="INFRUCTUEUX",$E510="ANNULE"),$A510&amp;"|"&amp;(COUNTIFS($A$2:$A510,$A510,$E$2:$E510,"INFRUCTUEUX")+COUNTIFS($A$2:$A510,$A510,$E$2:$E510,"ANNULE")),""))</f>
        <v/>
      </c>
    </row>
    <row r="511">
      <c r="A511">
        <f>IF(ISBLANK('ENGAGEMENTS 2026'!B511),"",IF('ENGAGEMENTS 2026'!B511="DTSI","DCT",'ENGAGEMENTS 2026'!B511))</f>
        <v/>
      </c>
      <c r="B511">
        <f>IF(ISBLANK('ENGAGEMENTS 2026'!B511),"",'ENGAGEMENTS 2026'!C511)</f>
        <v/>
      </c>
      <c r="C511">
        <f>IF(ISBLANK('ENGAGEMENTS 2026'!B511),"",'ENGAGEMENTS 2026'!D511)</f>
        <v/>
      </c>
      <c r="D511">
        <f>IF(ISBLANK('ENGAGEMENTS 2026'!B511),"",'ENGAGEMENTS 2026'!F511)</f>
        <v/>
      </c>
      <c r="E511">
        <f>IF(ISBLANK('ENGAGEMENTS 2026'!B511),"",'ENGAGEMENTS 2026'!H511)</f>
        <v/>
      </c>
      <c r="F511">
        <f>IF(ISBLANK('ENGAGEMENTS 2026'!B511),"",'ENGAGEMENTS 2026'!I511)</f>
        <v/>
      </c>
      <c r="G511">
        <f>IF(ISBLANK('ENGAGEMENTS 2026'!B511),"",'ENGAGEMENTS 2026'!L511)</f>
        <v/>
      </c>
      <c r="H511">
        <f>IF(ISBLANK('ENGAGEMENTS 2026'!B511),"",'ENGAGEMENTS 2026'!AE511)</f>
        <v/>
      </c>
      <c r="I511">
        <f>IF(ISBLANK('ENGAGEMENTS 2026'!B511),"",'ENGAGEMENTS 2026'!G511)</f>
        <v/>
      </c>
      <c r="J511" s="275">
        <f>IF(ISBLANK('ENGAGEMENTS 2026'!B511),"",IF(AND(OR($E511="INFRUCTUEUX",$E511="ANNULE"),$C511="AOO-M"),'ENGAGEMENTS 2026'!O511,IF($H511="EN COURS DE PREENGAGEMENT",'ENGAGEMENTS 2026'!N511,IF($H511="PREENGAGE",IF($E511="ATTRIBUE",'ENGAGEMENTS 2026'!AD511,'ENGAGEMENTS 2026'!N511),'ENGAGEMENTS 2026'!AD511))))</f>
        <v/>
      </c>
      <c r="K511" s="604">
        <f>IF(ISBLANK('ENGAGEMENTS 2026'!V511),"",'ENGAGEMENTS 2026'!V511)</f>
        <v/>
      </c>
      <c r="L511" s="276">
        <f>IF($K511="","",TODAY()-$K511)</f>
        <v/>
      </c>
      <c r="M511">
        <f>IF($A511="","",IF($H511="ENGAGE","Engagé",IF(AND($H511="NON ENGAGE",OR($I511="INFRUCTUEUX",$I511="ANNULE")),"Clôturé sans suite","En cours")))</f>
        <v/>
      </c>
      <c r="N511">
        <f>IF(ISBLANK('ENGAGEMENTS 2026'!B511),"",'ENGAGEMENTS 2026'!K511)</f>
        <v/>
      </c>
      <c r="O511">
        <f>IF(ISBLANK('ENGAGEMENTS 2026'!B511),"",'ENGAGEMENTS 2026'!L511)</f>
        <v/>
      </c>
      <c r="P511">
        <f>IF(ISBLANK('ENGAGEMENTS 2026'!B511),"",'ENGAGEMENTS 2026'!J511)</f>
        <v/>
      </c>
      <c r="Q511">
        <f>IF($A511="","",IF(OR($E511="INFRUCTUEUX",$E511="ANNULE"),$A511&amp;"|"&amp;(COUNTIFS($A$2:$A511,$A511,$E$2:$E511,"INFRUCTUEUX")+COUNTIFS($A$2:$A511,$A511,$E$2:$E511,"ANNULE")),""))</f>
        <v/>
      </c>
    </row>
    <row r="512">
      <c r="A512">
        <f>IF(ISBLANK('ENGAGEMENTS 2026'!B512),"",IF('ENGAGEMENTS 2026'!B512="DTSI","DCT",'ENGAGEMENTS 2026'!B512))</f>
        <v/>
      </c>
      <c r="B512">
        <f>IF(ISBLANK('ENGAGEMENTS 2026'!B512),"",'ENGAGEMENTS 2026'!C512)</f>
        <v/>
      </c>
      <c r="C512">
        <f>IF(ISBLANK('ENGAGEMENTS 2026'!B512),"",'ENGAGEMENTS 2026'!D512)</f>
        <v/>
      </c>
      <c r="D512">
        <f>IF(ISBLANK('ENGAGEMENTS 2026'!B512),"",'ENGAGEMENTS 2026'!F512)</f>
        <v/>
      </c>
      <c r="E512">
        <f>IF(ISBLANK('ENGAGEMENTS 2026'!B512),"",'ENGAGEMENTS 2026'!H512)</f>
        <v/>
      </c>
      <c r="F512">
        <f>IF(ISBLANK('ENGAGEMENTS 2026'!B512),"",'ENGAGEMENTS 2026'!I512)</f>
        <v/>
      </c>
      <c r="G512">
        <f>IF(ISBLANK('ENGAGEMENTS 2026'!B512),"",'ENGAGEMENTS 2026'!L512)</f>
        <v/>
      </c>
      <c r="H512">
        <f>IF(ISBLANK('ENGAGEMENTS 2026'!B512),"",'ENGAGEMENTS 2026'!AE512)</f>
        <v/>
      </c>
      <c r="I512">
        <f>IF(ISBLANK('ENGAGEMENTS 2026'!B512),"",'ENGAGEMENTS 2026'!G512)</f>
        <v/>
      </c>
      <c r="J512" s="275">
        <f>IF(ISBLANK('ENGAGEMENTS 2026'!B512),"",IF(AND(OR($E512="INFRUCTUEUX",$E512="ANNULE"),$C512="AOO-M"),'ENGAGEMENTS 2026'!O512,IF($H512="EN COURS DE PREENGAGEMENT",'ENGAGEMENTS 2026'!N512,IF($H512="PREENGAGE",IF($E512="ATTRIBUE",'ENGAGEMENTS 2026'!AD512,'ENGAGEMENTS 2026'!N512),'ENGAGEMENTS 2026'!AD512))))</f>
        <v/>
      </c>
      <c r="K512" s="604">
        <f>IF(ISBLANK('ENGAGEMENTS 2026'!V512),"",'ENGAGEMENTS 2026'!V512)</f>
        <v/>
      </c>
      <c r="L512" s="276">
        <f>IF($K512="","",TODAY()-$K512)</f>
        <v/>
      </c>
      <c r="M512">
        <f>IF($A512="","",IF($H512="ENGAGE","Engagé",IF(AND($H512="NON ENGAGE",OR($I512="INFRUCTUEUX",$I512="ANNULE")),"Clôturé sans suite","En cours")))</f>
        <v/>
      </c>
      <c r="N512">
        <f>IF(ISBLANK('ENGAGEMENTS 2026'!B512),"",'ENGAGEMENTS 2026'!K512)</f>
        <v/>
      </c>
      <c r="O512">
        <f>IF(ISBLANK('ENGAGEMENTS 2026'!B512),"",'ENGAGEMENTS 2026'!L512)</f>
        <v/>
      </c>
      <c r="P512">
        <f>IF(ISBLANK('ENGAGEMENTS 2026'!B512),"",'ENGAGEMENTS 2026'!J512)</f>
        <v/>
      </c>
      <c r="Q512">
        <f>IF($A512="","",IF(OR($E512="INFRUCTUEUX",$E512="ANNULE"),$A512&amp;"|"&amp;(COUNTIFS($A$2:$A512,$A512,$E$2:$E512,"INFRUCTUEUX")+COUNTIFS($A$2:$A512,$A512,$E$2:$E512,"ANNULE")),""))</f>
        <v/>
      </c>
    </row>
    <row r="513">
      <c r="A513">
        <f>IF(ISBLANK('ENGAGEMENTS 2026'!B513),"",IF('ENGAGEMENTS 2026'!B513="DTSI","DCT",'ENGAGEMENTS 2026'!B513))</f>
        <v/>
      </c>
      <c r="B513">
        <f>IF(ISBLANK('ENGAGEMENTS 2026'!B513),"",'ENGAGEMENTS 2026'!C513)</f>
        <v/>
      </c>
      <c r="C513">
        <f>IF(ISBLANK('ENGAGEMENTS 2026'!B513),"",'ENGAGEMENTS 2026'!D513)</f>
        <v/>
      </c>
      <c r="D513">
        <f>IF(ISBLANK('ENGAGEMENTS 2026'!B513),"",'ENGAGEMENTS 2026'!F513)</f>
        <v/>
      </c>
      <c r="E513">
        <f>IF(ISBLANK('ENGAGEMENTS 2026'!B513),"",'ENGAGEMENTS 2026'!H513)</f>
        <v/>
      </c>
      <c r="F513">
        <f>IF(ISBLANK('ENGAGEMENTS 2026'!B513),"",'ENGAGEMENTS 2026'!I513)</f>
        <v/>
      </c>
      <c r="G513">
        <f>IF(ISBLANK('ENGAGEMENTS 2026'!B513),"",'ENGAGEMENTS 2026'!L513)</f>
        <v/>
      </c>
      <c r="H513">
        <f>IF(ISBLANK('ENGAGEMENTS 2026'!B513),"",'ENGAGEMENTS 2026'!AE513)</f>
        <v/>
      </c>
      <c r="I513">
        <f>IF(ISBLANK('ENGAGEMENTS 2026'!B513),"",'ENGAGEMENTS 2026'!G513)</f>
        <v/>
      </c>
      <c r="J513" s="275">
        <f>IF(ISBLANK('ENGAGEMENTS 2026'!B513),"",IF(AND(OR($E513="INFRUCTUEUX",$E513="ANNULE"),$C513="AOO-M"),'ENGAGEMENTS 2026'!O513,IF($H513="EN COURS DE PREENGAGEMENT",'ENGAGEMENTS 2026'!N513,IF($H513="PREENGAGE",IF($E513="ATTRIBUE",'ENGAGEMENTS 2026'!AD513,'ENGAGEMENTS 2026'!N513),'ENGAGEMENTS 2026'!AD513))))</f>
        <v/>
      </c>
      <c r="K513" s="604">
        <f>IF(ISBLANK('ENGAGEMENTS 2026'!V513),"",'ENGAGEMENTS 2026'!V513)</f>
        <v/>
      </c>
      <c r="L513" s="276">
        <f>IF($K513="","",TODAY()-$K513)</f>
        <v/>
      </c>
      <c r="M513">
        <f>IF($A513="","",IF($H513="ENGAGE","Engagé",IF(AND($H513="NON ENGAGE",OR($I513="INFRUCTUEUX",$I513="ANNULE")),"Clôturé sans suite","En cours")))</f>
        <v/>
      </c>
      <c r="N513">
        <f>IF(ISBLANK('ENGAGEMENTS 2026'!B513),"",'ENGAGEMENTS 2026'!K513)</f>
        <v/>
      </c>
      <c r="O513">
        <f>IF(ISBLANK('ENGAGEMENTS 2026'!B513),"",'ENGAGEMENTS 2026'!L513)</f>
        <v/>
      </c>
      <c r="P513">
        <f>IF(ISBLANK('ENGAGEMENTS 2026'!B513),"",'ENGAGEMENTS 2026'!J513)</f>
        <v/>
      </c>
      <c r="Q513">
        <f>IF($A513="","",IF(OR($E513="INFRUCTUEUX",$E513="ANNULE"),$A513&amp;"|"&amp;(COUNTIFS($A$2:$A513,$A513,$E$2:$E513,"INFRUCTUEUX")+COUNTIFS($A$2:$A513,$A513,$E$2:$E513,"ANNULE")),""))</f>
        <v/>
      </c>
    </row>
    <row r="514">
      <c r="A514">
        <f>IF(ISBLANK('ENGAGEMENTS 2026'!B514),"",IF('ENGAGEMENTS 2026'!B514="DTSI","DCT",'ENGAGEMENTS 2026'!B514))</f>
        <v/>
      </c>
      <c r="B514">
        <f>IF(ISBLANK('ENGAGEMENTS 2026'!B514),"",'ENGAGEMENTS 2026'!C514)</f>
        <v/>
      </c>
      <c r="C514">
        <f>IF(ISBLANK('ENGAGEMENTS 2026'!B514),"",'ENGAGEMENTS 2026'!D514)</f>
        <v/>
      </c>
      <c r="D514">
        <f>IF(ISBLANK('ENGAGEMENTS 2026'!B514),"",'ENGAGEMENTS 2026'!F514)</f>
        <v/>
      </c>
      <c r="E514">
        <f>IF(ISBLANK('ENGAGEMENTS 2026'!B514),"",'ENGAGEMENTS 2026'!H514)</f>
        <v/>
      </c>
      <c r="F514">
        <f>IF(ISBLANK('ENGAGEMENTS 2026'!B514),"",'ENGAGEMENTS 2026'!I514)</f>
        <v/>
      </c>
      <c r="G514">
        <f>IF(ISBLANK('ENGAGEMENTS 2026'!B514),"",'ENGAGEMENTS 2026'!L514)</f>
        <v/>
      </c>
      <c r="H514">
        <f>IF(ISBLANK('ENGAGEMENTS 2026'!B514),"",'ENGAGEMENTS 2026'!AE514)</f>
        <v/>
      </c>
      <c r="I514">
        <f>IF(ISBLANK('ENGAGEMENTS 2026'!B514),"",'ENGAGEMENTS 2026'!G514)</f>
        <v/>
      </c>
      <c r="J514" s="275">
        <f>IF(ISBLANK('ENGAGEMENTS 2026'!B514),"",IF(AND(OR($E514="INFRUCTUEUX",$E514="ANNULE"),$C514="AOO-M"),'ENGAGEMENTS 2026'!O514,IF($H514="EN COURS DE PREENGAGEMENT",'ENGAGEMENTS 2026'!N514,IF($H514="PREENGAGE",IF($E514="ATTRIBUE",'ENGAGEMENTS 2026'!AD514,'ENGAGEMENTS 2026'!N514),'ENGAGEMENTS 2026'!AD514))))</f>
        <v/>
      </c>
      <c r="K514" s="604">
        <f>IF(ISBLANK('ENGAGEMENTS 2026'!V514),"",'ENGAGEMENTS 2026'!V514)</f>
        <v/>
      </c>
      <c r="L514" s="276">
        <f>IF($K514="","",TODAY()-$K514)</f>
        <v/>
      </c>
      <c r="M514">
        <f>IF($A514="","",IF($H514="ENGAGE","Engagé",IF(AND($H514="NON ENGAGE",OR($I514="INFRUCTUEUX",$I514="ANNULE")),"Clôturé sans suite","En cours")))</f>
        <v/>
      </c>
      <c r="N514">
        <f>IF(ISBLANK('ENGAGEMENTS 2026'!B514),"",'ENGAGEMENTS 2026'!K514)</f>
        <v/>
      </c>
      <c r="O514">
        <f>IF(ISBLANK('ENGAGEMENTS 2026'!B514),"",'ENGAGEMENTS 2026'!L514)</f>
        <v/>
      </c>
      <c r="P514">
        <f>IF(ISBLANK('ENGAGEMENTS 2026'!B514),"",'ENGAGEMENTS 2026'!J514)</f>
        <v/>
      </c>
      <c r="Q514">
        <f>IF($A514="","",IF(OR($E514="INFRUCTUEUX",$E514="ANNULE"),$A514&amp;"|"&amp;(COUNTIFS($A$2:$A514,$A514,$E$2:$E514,"INFRUCTUEUX")+COUNTIFS($A$2:$A514,$A514,$E$2:$E514,"ANNULE")),""))</f>
        <v/>
      </c>
    </row>
    <row r="515">
      <c r="A515">
        <f>IF(ISBLANK('ENGAGEMENTS 2026'!B515),"",IF('ENGAGEMENTS 2026'!B515="DTSI","DCT",'ENGAGEMENTS 2026'!B515))</f>
        <v/>
      </c>
      <c r="B515">
        <f>IF(ISBLANK('ENGAGEMENTS 2026'!B515),"",'ENGAGEMENTS 2026'!C515)</f>
        <v/>
      </c>
      <c r="C515">
        <f>IF(ISBLANK('ENGAGEMENTS 2026'!B515),"",'ENGAGEMENTS 2026'!D515)</f>
        <v/>
      </c>
      <c r="D515">
        <f>IF(ISBLANK('ENGAGEMENTS 2026'!B515),"",'ENGAGEMENTS 2026'!F515)</f>
        <v/>
      </c>
      <c r="E515">
        <f>IF(ISBLANK('ENGAGEMENTS 2026'!B515),"",'ENGAGEMENTS 2026'!H515)</f>
        <v/>
      </c>
      <c r="F515">
        <f>IF(ISBLANK('ENGAGEMENTS 2026'!B515),"",'ENGAGEMENTS 2026'!I515)</f>
        <v/>
      </c>
      <c r="G515">
        <f>IF(ISBLANK('ENGAGEMENTS 2026'!B515),"",'ENGAGEMENTS 2026'!L515)</f>
        <v/>
      </c>
      <c r="H515">
        <f>IF(ISBLANK('ENGAGEMENTS 2026'!B515),"",'ENGAGEMENTS 2026'!AE515)</f>
        <v/>
      </c>
      <c r="I515">
        <f>IF(ISBLANK('ENGAGEMENTS 2026'!B515),"",'ENGAGEMENTS 2026'!G515)</f>
        <v/>
      </c>
      <c r="J515" s="275">
        <f>IF(ISBLANK('ENGAGEMENTS 2026'!B515),"",IF(AND(OR($E515="INFRUCTUEUX",$E515="ANNULE"),$C515="AOO-M"),'ENGAGEMENTS 2026'!O515,IF($H515="EN COURS DE PREENGAGEMENT",'ENGAGEMENTS 2026'!N515,IF($H515="PREENGAGE",IF($E515="ATTRIBUE",'ENGAGEMENTS 2026'!AD515,'ENGAGEMENTS 2026'!N515),'ENGAGEMENTS 2026'!AD515))))</f>
        <v/>
      </c>
      <c r="K515" s="604">
        <f>IF(ISBLANK('ENGAGEMENTS 2026'!V515),"",'ENGAGEMENTS 2026'!V515)</f>
        <v/>
      </c>
      <c r="L515" s="276">
        <f>IF($K515="","",TODAY()-$K515)</f>
        <v/>
      </c>
      <c r="M515">
        <f>IF($A515="","",IF($H515="ENGAGE","Engagé",IF(AND($H515="NON ENGAGE",OR($I515="INFRUCTUEUX",$I515="ANNULE")),"Clôturé sans suite","En cours")))</f>
        <v/>
      </c>
      <c r="N515">
        <f>IF(ISBLANK('ENGAGEMENTS 2026'!B515),"",'ENGAGEMENTS 2026'!K515)</f>
        <v/>
      </c>
      <c r="O515">
        <f>IF(ISBLANK('ENGAGEMENTS 2026'!B515),"",'ENGAGEMENTS 2026'!L515)</f>
        <v/>
      </c>
      <c r="P515">
        <f>IF(ISBLANK('ENGAGEMENTS 2026'!B515),"",'ENGAGEMENTS 2026'!J515)</f>
        <v/>
      </c>
      <c r="Q515">
        <f>IF($A515="","",IF(OR($E515="INFRUCTUEUX",$E515="ANNULE"),$A515&amp;"|"&amp;(COUNTIFS($A$2:$A515,$A515,$E$2:$E515,"INFRUCTUEUX")+COUNTIFS($A$2:$A515,$A515,$E$2:$E515,"ANNULE")),""))</f>
        <v/>
      </c>
    </row>
    <row r="516">
      <c r="A516">
        <f>IF(ISBLANK('ENGAGEMENTS 2026'!B516),"",IF('ENGAGEMENTS 2026'!B516="DTSI","DCT",'ENGAGEMENTS 2026'!B516))</f>
        <v/>
      </c>
      <c r="B516">
        <f>IF(ISBLANK('ENGAGEMENTS 2026'!B516),"",'ENGAGEMENTS 2026'!C516)</f>
        <v/>
      </c>
      <c r="C516">
        <f>IF(ISBLANK('ENGAGEMENTS 2026'!B516),"",'ENGAGEMENTS 2026'!D516)</f>
        <v/>
      </c>
      <c r="D516">
        <f>IF(ISBLANK('ENGAGEMENTS 2026'!B516),"",'ENGAGEMENTS 2026'!F516)</f>
        <v/>
      </c>
      <c r="E516">
        <f>IF(ISBLANK('ENGAGEMENTS 2026'!B516),"",'ENGAGEMENTS 2026'!H516)</f>
        <v/>
      </c>
      <c r="F516">
        <f>IF(ISBLANK('ENGAGEMENTS 2026'!B516),"",'ENGAGEMENTS 2026'!I516)</f>
        <v/>
      </c>
      <c r="G516">
        <f>IF(ISBLANK('ENGAGEMENTS 2026'!B516),"",'ENGAGEMENTS 2026'!L516)</f>
        <v/>
      </c>
      <c r="H516">
        <f>IF(ISBLANK('ENGAGEMENTS 2026'!B516),"",'ENGAGEMENTS 2026'!AE516)</f>
        <v/>
      </c>
      <c r="I516">
        <f>IF(ISBLANK('ENGAGEMENTS 2026'!B516),"",'ENGAGEMENTS 2026'!G516)</f>
        <v/>
      </c>
      <c r="J516" s="275">
        <f>IF(ISBLANK('ENGAGEMENTS 2026'!B516),"",IF(AND(OR($E516="INFRUCTUEUX",$E516="ANNULE"),$C516="AOO-M"),'ENGAGEMENTS 2026'!O516,IF($H516="EN COURS DE PREENGAGEMENT",'ENGAGEMENTS 2026'!N516,IF($H516="PREENGAGE",IF($E516="ATTRIBUE",'ENGAGEMENTS 2026'!AD516,'ENGAGEMENTS 2026'!N516),'ENGAGEMENTS 2026'!AD516))))</f>
        <v/>
      </c>
      <c r="K516" s="604">
        <f>IF(ISBLANK('ENGAGEMENTS 2026'!V516),"",'ENGAGEMENTS 2026'!V516)</f>
        <v/>
      </c>
      <c r="L516" s="276">
        <f>IF($K516="","",TODAY()-$K516)</f>
        <v/>
      </c>
      <c r="M516">
        <f>IF($A516="","",IF($H516="ENGAGE","Engagé",IF(AND($H516="NON ENGAGE",OR($I516="INFRUCTUEUX",$I516="ANNULE")),"Clôturé sans suite","En cours")))</f>
        <v/>
      </c>
      <c r="N516">
        <f>IF(ISBLANK('ENGAGEMENTS 2026'!B516),"",'ENGAGEMENTS 2026'!K516)</f>
        <v/>
      </c>
      <c r="O516">
        <f>IF(ISBLANK('ENGAGEMENTS 2026'!B516),"",'ENGAGEMENTS 2026'!L516)</f>
        <v/>
      </c>
      <c r="P516">
        <f>IF(ISBLANK('ENGAGEMENTS 2026'!B516),"",'ENGAGEMENTS 2026'!J516)</f>
        <v/>
      </c>
      <c r="Q516">
        <f>IF($A516="","",IF(OR($E516="INFRUCTUEUX",$E516="ANNULE"),$A516&amp;"|"&amp;(COUNTIFS($A$2:$A516,$A516,$E$2:$E516,"INFRUCTUEUX")+COUNTIFS($A$2:$A516,$A516,$E$2:$E516,"ANNULE")),""))</f>
        <v/>
      </c>
    </row>
    <row r="517">
      <c r="A517">
        <f>IF(ISBLANK('ENGAGEMENTS 2026'!B517),"",IF('ENGAGEMENTS 2026'!B517="DTSI","DCT",'ENGAGEMENTS 2026'!B517))</f>
        <v/>
      </c>
      <c r="B517">
        <f>IF(ISBLANK('ENGAGEMENTS 2026'!B517),"",'ENGAGEMENTS 2026'!C517)</f>
        <v/>
      </c>
      <c r="C517">
        <f>IF(ISBLANK('ENGAGEMENTS 2026'!B517),"",'ENGAGEMENTS 2026'!D517)</f>
        <v/>
      </c>
      <c r="D517">
        <f>IF(ISBLANK('ENGAGEMENTS 2026'!B517),"",'ENGAGEMENTS 2026'!F517)</f>
        <v/>
      </c>
      <c r="E517">
        <f>IF(ISBLANK('ENGAGEMENTS 2026'!B517),"",'ENGAGEMENTS 2026'!H517)</f>
        <v/>
      </c>
      <c r="F517">
        <f>IF(ISBLANK('ENGAGEMENTS 2026'!B517),"",'ENGAGEMENTS 2026'!I517)</f>
        <v/>
      </c>
      <c r="G517">
        <f>IF(ISBLANK('ENGAGEMENTS 2026'!B517),"",'ENGAGEMENTS 2026'!L517)</f>
        <v/>
      </c>
      <c r="H517">
        <f>IF(ISBLANK('ENGAGEMENTS 2026'!B517),"",'ENGAGEMENTS 2026'!AE517)</f>
        <v/>
      </c>
      <c r="I517">
        <f>IF(ISBLANK('ENGAGEMENTS 2026'!B517),"",'ENGAGEMENTS 2026'!G517)</f>
        <v/>
      </c>
      <c r="J517" s="275">
        <f>IF(ISBLANK('ENGAGEMENTS 2026'!B517),"",IF(AND(OR($E517="INFRUCTUEUX",$E517="ANNULE"),$C517="AOO-M"),'ENGAGEMENTS 2026'!O517,IF($H517="EN COURS DE PREENGAGEMENT",'ENGAGEMENTS 2026'!N517,IF($H517="PREENGAGE",IF($E517="ATTRIBUE",'ENGAGEMENTS 2026'!AD517,'ENGAGEMENTS 2026'!N517),'ENGAGEMENTS 2026'!AD517))))</f>
        <v/>
      </c>
      <c r="K517" s="604">
        <f>IF(ISBLANK('ENGAGEMENTS 2026'!V517),"",'ENGAGEMENTS 2026'!V517)</f>
        <v/>
      </c>
      <c r="L517" s="276">
        <f>IF($K517="","",TODAY()-$K517)</f>
        <v/>
      </c>
      <c r="M517">
        <f>IF($A517="","",IF($H517="ENGAGE","Engagé",IF(AND($H517="NON ENGAGE",OR($I517="INFRUCTUEUX",$I517="ANNULE")),"Clôturé sans suite","En cours")))</f>
        <v/>
      </c>
      <c r="N517">
        <f>IF(ISBLANK('ENGAGEMENTS 2026'!B517),"",'ENGAGEMENTS 2026'!K517)</f>
        <v/>
      </c>
      <c r="O517">
        <f>IF(ISBLANK('ENGAGEMENTS 2026'!B517),"",'ENGAGEMENTS 2026'!L517)</f>
        <v/>
      </c>
      <c r="P517">
        <f>IF(ISBLANK('ENGAGEMENTS 2026'!B517),"",'ENGAGEMENTS 2026'!J517)</f>
        <v/>
      </c>
      <c r="Q517">
        <f>IF($A517="","",IF(OR($E517="INFRUCTUEUX",$E517="ANNULE"),$A517&amp;"|"&amp;(COUNTIFS($A$2:$A517,$A517,$E$2:$E517,"INFRUCTUEUX")+COUNTIFS($A$2:$A517,$A517,$E$2:$E517,"ANNULE")),""))</f>
        <v/>
      </c>
    </row>
    <row r="518">
      <c r="A518">
        <f>IF(ISBLANK('ENGAGEMENTS 2026'!B518),"",IF('ENGAGEMENTS 2026'!B518="DTSI","DCT",'ENGAGEMENTS 2026'!B518))</f>
        <v/>
      </c>
      <c r="B518">
        <f>IF(ISBLANK('ENGAGEMENTS 2026'!B518),"",'ENGAGEMENTS 2026'!C518)</f>
        <v/>
      </c>
      <c r="C518">
        <f>IF(ISBLANK('ENGAGEMENTS 2026'!B518),"",'ENGAGEMENTS 2026'!D518)</f>
        <v/>
      </c>
      <c r="D518">
        <f>IF(ISBLANK('ENGAGEMENTS 2026'!B518),"",'ENGAGEMENTS 2026'!F518)</f>
        <v/>
      </c>
      <c r="E518">
        <f>IF(ISBLANK('ENGAGEMENTS 2026'!B518),"",'ENGAGEMENTS 2026'!H518)</f>
        <v/>
      </c>
      <c r="F518">
        <f>IF(ISBLANK('ENGAGEMENTS 2026'!B518),"",'ENGAGEMENTS 2026'!I518)</f>
        <v/>
      </c>
      <c r="G518">
        <f>IF(ISBLANK('ENGAGEMENTS 2026'!B518),"",'ENGAGEMENTS 2026'!L518)</f>
        <v/>
      </c>
      <c r="H518">
        <f>IF(ISBLANK('ENGAGEMENTS 2026'!B518),"",'ENGAGEMENTS 2026'!AE518)</f>
        <v/>
      </c>
      <c r="I518">
        <f>IF(ISBLANK('ENGAGEMENTS 2026'!B518),"",'ENGAGEMENTS 2026'!G518)</f>
        <v/>
      </c>
      <c r="J518" s="275">
        <f>IF(ISBLANK('ENGAGEMENTS 2026'!B518),"",IF(AND(OR($E518="INFRUCTUEUX",$E518="ANNULE"),$C518="AOO-M"),'ENGAGEMENTS 2026'!O518,IF($H518="EN COURS DE PREENGAGEMENT",'ENGAGEMENTS 2026'!N518,IF($H518="PREENGAGE",IF($E518="ATTRIBUE",'ENGAGEMENTS 2026'!AD518,'ENGAGEMENTS 2026'!N518),'ENGAGEMENTS 2026'!AD518))))</f>
        <v/>
      </c>
      <c r="K518" s="604">
        <f>IF(ISBLANK('ENGAGEMENTS 2026'!V518),"",'ENGAGEMENTS 2026'!V518)</f>
        <v/>
      </c>
      <c r="L518" s="276">
        <f>IF($K518="","",TODAY()-$K518)</f>
        <v/>
      </c>
      <c r="M518">
        <f>IF($A518="","",IF($H518="ENGAGE","Engagé",IF(AND($H518="NON ENGAGE",OR($I518="INFRUCTUEUX",$I518="ANNULE")),"Clôturé sans suite","En cours")))</f>
        <v/>
      </c>
      <c r="N518">
        <f>IF(ISBLANK('ENGAGEMENTS 2026'!B518),"",'ENGAGEMENTS 2026'!K518)</f>
        <v/>
      </c>
      <c r="O518">
        <f>IF(ISBLANK('ENGAGEMENTS 2026'!B518),"",'ENGAGEMENTS 2026'!L518)</f>
        <v/>
      </c>
      <c r="P518">
        <f>IF(ISBLANK('ENGAGEMENTS 2026'!B518),"",'ENGAGEMENTS 2026'!J518)</f>
        <v/>
      </c>
      <c r="Q518">
        <f>IF($A518="","",IF(OR($E518="INFRUCTUEUX",$E518="ANNULE"),$A518&amp;"|"&amp;(COUNTIFS($A$2:$A518,$A518,$E$2:$E518,"INFRUCTUEUX")+COUNTIFS($A$2:$A518,$A518,$E$2:$E518,"ANNULE")),""))</f>
        <v/>
      </c>
    </row>
    <row r="519">
      <c r="A519">
        <f>IF(ISBLANK('ENGAGEMENTS 2026'!B519),"",IF('ENGAGEMENTS 2026'!B519="DTSI","DCT",'ENGAGEMENTS 2026'!B519))</f>
        <v/>
      </c>
      <c r="B519">
        <f>IF(ISBLANK('ENGAGEMENTS 2026'!B519),"",'ENGAGEMENTS 2026'!C519)</f>
        <v/>
      </c>
      <c r="C519">
        <f>IF(ISBLANK('ENGAGEMENTS 2026'!B519),"",'ENGAGEMENTS 2026'!D519)</f>
        <v/>
      </c>
      <c r="D519">
        <f>IF(ISBLANK('ENGAGEMENTS 2026'!B519),"",'ENGAGEMENTS 2026'!F519)</f>
        <v/>
      </c>
      <c r="E519">
        <f>IF(ISBLANK('ENGAGEMENTS 2026'!B519),"",'ENGAGEMENTS 2026'!H519)</f>
        <v/>
      </c>
      <c r="F519">
        <f>IF(ISBLANK('ENGAGEMENTS 2026'!B519),"",'ENGAGEMENTS 2026'!I519)</f>
        <v/>
      </c>
      <c r="G519">
        <f>IF(ISBLANK('ENGAGEMENTS 2026'!B519),"",'ENGAGEMENTS 2026'!L519)</f>
        <v/>
      </c>
      <c r="H519">
        <f>IF(ISBLANK('ENGAGEMENTS 2026'!B519),"",'ENGAGEMENTS 2026'!AE519)</f>
        <v/>
      </c>
      <c r="I519">
        <f>IF(ISBLANK('ENGAGEMENTS 2026'!B519),"",'ENGAGEMENTS 2026'!G519)</f>
        <v/>
      </c>
      <c r="J519" s="275">
        <f>IF(ISBLANK('ENGAGEMENTS 2026'!B519),"",IF(AND(OR($E519="INFRUCTUEUX",$E519="ANNULE"),$C519="AOO-M"),'ENGAGEMENTS 2026'!O519,IF($H519="EN COURS DE PREENGAGEMENT",'ENGAGEMENTS 2026'!N519,IF($H519="PREENGAGE",IF($E519="ATTRIBUE",'ENGAGEMENTS 2026'!AD519,'ENGAGEMENTS 2026'!N519),'ENGAGEMENTS 2026'!AD519))))</f>
        <v/>
      </c>
      <c r="K519" s="604">
        <f>IF(ISBLANK('ENGAGEMENTS 2026'!V519),"",'ENGAGEMENTS 2026'!V519)</f>
        <v/>
      </c>
      <c r="L519" s="276">
        <f>IF($K519="","",TODAY()-$K519)</f>
        <v/>
      </c>
      <c r="M519">
        <f>IF($A519="","",IF($H519="ENGAGE","Engagé",IF(AND($H519="NON ENGAGE",OR($I519="INFRUCTUEUX",$I519="ANNULE")),"Clôturé sans suite","En cours")))</f>
        <v/>
      </c>
      <c r="N519">
        <f>IF(ISBLANK('ENGAGEMENTS 2026'!B519),"",'ENGAGEMENTS 2026'!K519)</f>
        <v/>
      </c>
      <c r="O519">
        <f>IF(ISBLANK('ENGAGEMENTS 2026'!B519),"",'ENGAGEMENTS 2026'!L519)</f>
        <v/>
      </c>
      <c r="P519">
        <f>IF(ISBLANK('ENGAGEMENTS 2026'!B519),"",'ENGAGEMENTS 2026'!J519)</f>
        <v/>
      </c>
      <c r="Q519">
        <f>IF($A519="","",IF(OR($E519="INFRUCTUEUX",$E519="ANNULE"),$A519&amp;"|"&amp;(COUNTIFS($A$2:$A519,$A519,$E$2:$E519,"INFRUCTUEUX")+COUNTIFS($A$2:$A519,$A519,$E$2:$E519,"ANNULE")),""))</f>
        <v/>
      </c>
    </row>
    <row r="520">
      <c r="A520">
        <f>IF(ISBLANK('ENGAGEMENTS 2026'!B520),"",IF('ENGAGEMENTS 2026'!B520="DTSI","DCT",'ENGAGEMENTS 2026'!B520))</f>
        <v/>
      </c>
      <c r="B520">
        <f>IF(ISBLANK('ENGAGEMENTS 2026'!B520),"",'ENGAGEMENTS 2026'!C520)</f>
        <v/>
      </c>
      <c r="C520">
        <f>IF(ISBLANK('ENGAGEMENTS 2026'!B520),"",'ENGAGEMENTS 2026'!D520)</f>
        <v/>
      </c>
      <c r="D520">
        <f>IF(ISBLANK('ENGAGEMENTS 2026'!B520),"",'ENGAGEMENTS 2026'!F520)</f>
        <v/>
      </c>
      <c r="E520">
        <f>IF(ISBLANK('ENGAGEMENTS 2026'!B520),"",'ENGAGEMENTS 2026'!H520)</f>
        <v/>
      </c>
      <c r="F520">
        <f>IF(ISBLANK('ENGAGEMENTS 2026'!B520),"",'ENGAGEMENTS 2026'!I520)</f>
        <v/>
      </c>
      <c r="G520">
        <f>IF(ISBLANK('ENGAGEMENTS 2026'!B520),"",'ENGAGEMENTS 2026'!L520)</f>
        <v/>
      </c>
      <c r="H520">
        <f>IF(ISBLANK('ENGAGEMENTS 2026'!B520),"",'ENGAGEMENTS 2026'!AE520)</f>
        <v/>
      </c>
      <c r="I520">
        <f>IF(ISBLANK('ENGAGEMENTS 2026'!B520),"",'ENGAGEMENTS 2026'!G520)</f>
        <v/>
      </c>
      <c r="J520" s="275">
        <f>IF(ISBLANK('ENGAGEMENTS 2026'!B520),"",IF(AND(OR($E520="INFRUCTUEUX",$E520="ANNULE"),$C520="AOO-M"),'ENGAGEMENTS 2026'!O520,IF($H520="EN COURS DE PREENGAGEMENT",'ENGAGEMENTS 2026'!N520,IF($H520="PREENGAGE",IF($E520="ATTRIBUE",'ENGAGEMENTS 2026'!AD520,'ENGAGEMENTS 2026'!N520),'ENGAGEMENTS 2026'!AD520))))</f>
        <v/>
      </c>
      <c r="K520" s="604">
        <f>IF(ISBLANK('ENGAGEMENTS 2026'!V520),"",'ENGAGEMENTS 2026'!V520)</f>
        <v/>
      </c>
      <c r="L520" s="276">
        <f>IF($K520="","",TODAY()-$K520)</f>
        <v/>
      </c>
      <c r="M520">
        <f>IF($A520="","",IF($H520="ENGAGE","Engagé",IF(AND($H520="NON ENGAGE",OR($I520="INFRUCTUEUX",$I520="ANNULE")),"Clôturé sans suite","En cours")))</f>
        <v/>
      </c>
      <c r="N520">
        <f>IF(ISBLANK('ENGAGEMENTS 2026'!B520),"",'ENGAGEMENTS 2026'!K520)</f>
        <v/>
      </c>
      <c r="O520">
        <f>IF(ISBLANK('ENGAGEMENTS 2026'!B520),"",'ENGAGEMENTS 2026'!L520)</f>
        <v/>
      </c>
      <c r="P520">
        <f>IF(ISBLANK('ENGAGEMENTS 2026'!B520),"",'ENGAGEMENTS 2026'!J520)</f>
        <v/>
      </c>
      <c r="Q520">
        <f>IF($A520="","",IF(OR($E520="INFRUCTUEUX",$E520="ANNULE"),$A520&amp;"|"&amp;(COUNTIFS($A$2:$A520,$A520,$E$2:$E520,"INFRUCTUEUX")+COUNTIFS($A$2:$A520,$A520,$E$2:$E520,"ANNULE")),""))</f>
        <v/>
      </c>
    </row>
    <row r="521">
      <c r="A521">
        <f>IF(ISBLANK('ENGAGEMENTS 2026'!B521),"",IF('ENGAGEMENTS 2026'!B521="DTSI","DCT",'ENGAGEMENTS 2026'!B521))</f>
        <v/>
      </c>
      <c r="B521">
        <f>IF(ISBLANK('ENGAGEMENTS 2026'!B521),"",'ENGAGEMENTS 2026'!C521)</f>
        <v/>
      </c>
      <c r="C521">
        <f>IF(ISBLANK('ENGAGEMENTS 2026'!B521),"",'ENGAGEMENTS 2026'!D521)</f>
        <v/>
      </c>
      <c r="D521">
        <f>IF(ISBLANK('ENGAGEMENTS 2026'!B521),"",'ENGAGEMENTS 2026'!F521)</f>
        <v/>
      </c>
      <c r="E521">
        <f>IF(ISBLANK('ENGAGEMENTS 2026'!B521),"",'ENGAGEMENTS 2026'!H521)</f>
        <v/>
      </c>
      <c r="F521">
        <f>IF(ISBLANK('ENGAGEMENTS 2026'!B521),"",'ENGAGEMENTS 2026'!I521)</f>
        <v/>
      </c>
      <c r="G521">
        <f>IF(ISBLANK('ENGAGEMENTS 2026'!B521),"",'ENGAGEMENTS 2026'!L521)</f>
        <v/>
      </c>
      <c r="H521">
        <f>IF(ISBLANK('ENGAGEMENTS 2026'!B521),"",'ENGAGEMENTS 2026'!AE521)</f>
        <v/>
      </c>
      <c r="I521">
        <f>IF(ISBLANK('ENGAGEMENTS 2026'!B521),"",'ENGAGEMENTS 2026'!G521)</f>
        <v/>
      </c>
      <c r="J521" s="275">
        <f>IF(ISBLANK('ENGAGEMENTS 2026'!B521),"",IF(AND(OR($E521="INFRUCTUEUX",$E521="ANNULE"),$C521="AOO-M"),'ENGAGEMENTS 2026'!O521,IF($H521="EN COURS DE PREENGAGEMENT",'ENGAGEMENTS 2026'!N521,IF($H521="PREENGAGE",IF($E521="ATTRIBUE",'ENGAGEMENTS 2026'!AD521,'ENGAGEMENTS 2026'!N521),'ENGAGEMENTS 2026'!AD521))))</f>
        <v/>
      </c>
      <c r="K521" s="604">
        <f>IF(ISBLANK('ENGAGEMENTS 2026'!V521),"",'ENGAGEMENTS 2026'!V521)</f>
        <v/>
      </c>
      <c r="L521" s="276">
        <f>IF($K521="","",TODAY()-$K521)</f>
        <v/>
      </c>
      <c r="M521">
        <f>IF($A521="","",IF($H521="ENGAGE","Engagé",IF(AND($H521="NON ENGAGE",OR($I521="INFRUCTUEUX",$I521="ANNULE")),"Clôturé sans suite","En cours")))</f>
        <v/>
      </c>
      <c r="N521">
        <f>IF(ISBLANK('ENGAGEMENTS 2026'!B521),"",'ENGAGEMENTS 2026'!K521)</f>
        <v/>
      </c>
      <c r="O521">
        <f>IF(ISBLANK('ENGAGEMENTS 2026'!B521),"",'ENGAGEMENTS 2026'!L521)</f>
        <v/>
      </c>
      <c r="P521">
        <f>IF(ISBLANK('ENGAGEMENTS 2026'!B521),"",'ENGAGEMENTS 2026'!J521)</f>
        <v/>
      </c>
      <c r="Q521">
        <f>IF($A521="","",IF(OR($E521="INFRUCTUEUX",$E521="ANNULE"),$A521&amp;"|"&amp;(COUNTIFS($A$2:$A521,$A521,$E$2:$E521,"INFRUCTUEUX")+COUNTIFS($A$2:$A521,$A521,$E$2:$E521,"ANNULE")),""))</f>
        <v/>
      </c>
    </row>
    <row r="522">
      <c r="A522">
        <f>IF(ISBLANK('ENGAGEMENTS 2026'!B522),"",IF('ENGAGEMENTS 2026'!B522="DTSI","DCT",'ENGAGEMENTS 2026'!B522))</f>
        <v/>
      </c>
      <c r="B522">
        <f>IF(ISBLANK('ENGAGEMENTS 2026'!B522),"",'ENGAGEMENTS 2026'!C522)</f>
        <v/>
      </c>
      <c r="C522">
        <f>IF(ISBLANK('ENGAGEMENTS 2026'!B522),"",'ENGAGEMENTS 2026'!D522)</f>
        <v/>
      </c>
      <c r="D522">
        <f>IF(ISBLANK('ENGAGEMENTS 2026'!B522),"",'ENGAGEMENTS 2026'!F522)</f>
        <v/>
      </c>
      <c r="E522">
        <f>IF(ISBLANK('ENGAGEMENTS 2026'!B522),"",'ENGAGEMENTS 2026'!H522)</f>
        <v/>
      </c>
      <c r="F522">
        <f>IF(ISBLANK('ENGAGEMENTS 2026'!B522),"",'ENGAGEMENTS 2026'!I522)</f>
        <v/>
      </c>
      <c r="G522">
        <f>IF(ISBLANK('ENGAGEMENTS 2026'!B522),"",'ENGAGEMENTS 2026'!L522)</f>
        <v/>
      </c>
      <c r="H522">
        <f>IF(ISBLANK('ENGAGEMENTS 2026'!B522),"",'ENGAGEMENTS 2026'!AE522)</f>
        <v/>
      </c>
      <c r="I522">
        <f>IF(ISBLANK('ENGAGEMENTS 2026'!B522),"",'ENGAGEMENTS 2026'!G522)</f>
        <v/>
      </c>
      <c r="J522" s="275">
        <f>IF(ISBLANK('ENGAGEMENTS 2026'!B522),"",IF(AND(OR($E522="INFRUCTUEUX",$E522="ANNULE"),$C522="AOO-M"),'ENGAGEMENTS 2026'!O522,IF($H522="EN COURS DE PREENGAGEMENT",'ENGAGEMENTS 2026'!N522,IF($H522="PREENGAGE",IF($E522="ATTRIBUE",'ENGAGEMENTS 2026'!AD522,'ENGAGEMENTS 2026'!N522),'ENGAGEMENTS 2026'!AD522))))</f>
        <v/>
      </c>
      <c r="K522" s="604">
        <f>IF(ISBLANK('ENGAGEMENTS 2026'!V522),"",'ENGAGEMENTS 2026'!V522)</f>
        <v/>
      </c>
      <c r="L522" s="276">
        <f>IF($K522="","",TODAY()-$K522)</f>
        <v/>
      </c>
      <c r="M522">
        <f>IF($A522="","",IF($H522="ENGAGE","Engagé",IF(AND($H522="NON ENGAGE",OR($I522="INFRUCTUEUX",$I522="ANNULE")),"Clôturé sans suite","En cours")))</f>
        <v/>
      </c>
      <c r="N522">
        <f>IF(ISBLANK('ENGAGEMENTS 2026'!B522),"",'ENGAGEMENTS 2026'!K522)</f>
        <v/>
      </c>
      <c r="O522">
        <f>IF(ISBLANK('ENGAGEMENTS 2026'!B522),"",'ENGAGEMENTS 2026'!L522)</f>
        <v/>
      </c>
      <c r="P522">
        <f>IF(ISBLANK('ENGAGEMENTS 2026'!B522),"",'ENGAGEMENTS 2026'!J522)</f>
        <v/>
      </c>
      <c r="Q522">
        <f>IF($A522="","",IF(OR($E522="INFRUCTUEUX",$E522="ANNULE"),$A522&amp;"|"&amp;(COUNTIFS($A$2:$A522,$A522,$E$2:$E522,"INFRUCTUEUX")+COUNTIFS($A$2:$A522,$A522,$E$2:$E522,"ANNULE")),""))</f>
        <v/>
      </c>
    </row>
    <row r="523">
      <c r="A523">
        <f>IF(ISBLANK('ENGAGEMENTS 2026'!B523),"",IF('ENGAGEMENTS 2026'!B523="DTSI","DCT",'ENGAGEMENTS 2026'!B523))</f>
        <v/>
      </c>
      <c r="B523">
        <f>IF(ISBLANK('ENGAGEMENTS 2026'!B523),"",'ENGAGEMENTS 2026'!C523)</f>
        <v/>
      </c>
      <c r="C523">
        <f>IF(ISBLANK('ENGAGEMENTS 2026'!B523),"",'ENGAGEMENTS 2026'!D523)</f>
        <v/>
      </c>
      <c r="D523">
        <f>IF(ISBLANK('ENGAGEMENTS 2026'!B523),"",'ENGAGEMENTS 2026'!F523)</f>
        <v/>
      </c>
      <c r="E523">
        <f>IF(ISBLANK('ENGAGEMENTS 2026'!B523),"",'ENGAGEMENTS 2026'!H523)</f>
        <v/>
      </c>
      <c r="F523">
        <f>IF(ISBLANK('ENGAGEMENTS 2026'!B523),"",'ENGAGEMENTS 2026'!I523)</f>
        <v/>
      </c>
      <c r="G523">
        <f>IF(ISBLANK('ENGAGEMENTS 2026'!B523),"",'ENGAGEMENTS 2026'!L523)</f>
        <v/>
      </c>
      <c r="H523">
        <f>IF(ISBLANK('ENGAGEMENTS 2026'!B523),"",'ENGAGEMENTS 2026'!AE523)</f>
        <v/>
      </c>
      <c r="I523">
        <f>IF(ISBLANK('ENGAGEMENTS 2026'!B523),"",'ENGAGEMENTS 2026'!G523)</f>
        <v/>
      </c>
      <c r="J523" s="275">
        <f>IF(ISBLANK('ENGAGEMENTS 2026'!B523),"",IF(AND(OR($E523="INFRUCTUEUX",$E523="ANNULE"),$C523="AOO-M"),'ENGAGEMENTS 2026'!O523,IF($H523="EN COURS DE PREENGAGEMENT",'ENGAGEMENTS 2026'!N523,IF($H523="PREENGAGE",IF($E523="ATTRIBUE",'ENGAGEMENTS 2026'!AD523,'ENGAGEMENTS 2026'!N523),'ENGAGEMENTS 2026'!AD523))))</f>
        <v/>
      </c>
      <c r="K523" s="604">
        <f>IF(ISBLANK('ENGAGEMENTS 2026'!V523),"",'ENGAGEMENTS 2026'!V523)</f>
        <v/>
      </c>
      <c r="L523" s="276">
        <f>IF($K523="","",TODAY()-$K523)</f>
        <v/>
      </c>
      <c r="M523">
        <f>IF($A523="","",IF($H523="ENGAGE","Engagé",IF(AND($H523="NON ENGAGE",OR($I523="INFRUCTUEUX",$I523="ANNULE")),"Clôturé sans suite","En cours")))</f>
        <v/>
      </c>
      <c r="N523">
        <f>IF(ISBLANK('ENGAGEMENTS 2026'!B523),"",'ENGAGEMENTS 2026'!K523)</f>
        <v/>
      </c>
      <c r="O523">
        <f>IF(ISBLANK('ENGAGEMENTS 2026'!B523),"",'ENGAGEMENTS 2026'!L523)</f>
        <v/>
      </c>
      <c r="P523">
        <f>IF(ISBLANK('ENGAGEMENTS 2026'!B523),"",'ENGAGEMENTS 2026'!J523)</f>
        <v/>
      </c>
      <c r="Q523">
        <f>IF($A523="","",IF(OR($E523="INFRUCTUEUX",$E523="ANNULE"),$A523&amp;"|"&amp;(COUNTIFS($A$2:$A523,$A523,$E$2:$E523,"INFRUCTUEUX")+COUNTIFS($A$2:$A523,$A523,$E$2:$E523,"ANNULE")),""))</f>
        <v/>
      </c>
    </row>
    <row r="524">
      <c r="A524">
        <f>IF(ISBLANK('ENGAGEMENTS 2026'!B524),"",IF('ENGAGEMENTS 2026'!B524="DTSI","DCT",'ENGAGEMENTS 2026'!B524))</f>
        <v/>
      </c>
      <c r="B524">
        <f>IF(ISBLANK('ENGAGEMENTS 2026'!B524),"",'ENGAGEMENTS 2026'!C524)</f>
        <v/>
      </c>
      <c r="C524">
        <f>IF(ISBLANK('ENGAGEMENTS 2026'!B524),"",'ENGAGEMENTS 2026'!D524)</f>
        <v/>
      </c>
      <c r="D524">
        <f>IF(ISBLANK('ENGAGEMENTS 2026'!B524),"",'ENGAGEMENTS 2026'!F524)</f>
        <v/>
      </c>
      <c r="E524">
        <f>IF(ISBLANK('ENGAGEMENTS 2026'!B524),"",'ENGAGEMENTS 2026'!H524)</f>
        <v/>
      </c>
      <c r="F524">
        <f>IF(ISBLANK('ENGAGEMENTS 2026'!B524),"",'ENGAGEMENTS 2026'!I524)</f>
        <v/>
      </c>
      <c r="G524">
        <f>IF(ISBLANK('ENGAGEMENTS 2026'!B524),"",'ENGAGEMENTS 2026'!L524)</f>
        <v/>
      </c>
      <c r="H524">
        <f>IF(ISBLANK('ENGAGEMENTS 2026'!B524),"",'ENGAGEMENTS 2026'!AE524)</f>
        <v/>
      </c>
      <c r="I524">
        <f>IF(ISBLANK('ENGAGEMENTS 2026'!B524),"",'ENGAGEMENTS 2026'!G524)</f>
        <v/>
      </c>
      <c r="J524" s="275">
        <f>IF(ISBLANK('ENGAGEMENTS 2026'!B524),"",IF(AND(OR($E524="INFRUCTUEUX",$E524="ANNULE"),$C524="AOO-M"),'ENGAGEMENTS 2026'!O524,IF($H524="EN COURS DE PREENGAGEMENT",'ENGAGEMENTS 2026'!N524,IF($H524="PREENGAGE",IF($E524="ATTRIBUE",'ENGAGEMENTS 2026'!AD524,'ENGAGEMENTS 2026'!N524),'ENGAGEMENTS 2026'!AD524))))</f>
        <v/>
      </c>
      <c r="K524" s="604">
        <f>IF(ISBLANK('ENGAGEMENTS 2026'!V524),"",'ENGAGEMENTS 2026'!V524)</f>
        <v/>
      </c>
      <c r="L524" s="276">
        <f>IF($K524="","",TODAY()-$K524)</f>
        <v/>
      </c>
      <c r="M524">
        <f>IF($A524="","",IF($H524="ENGAGE","Engagé",IF(AND($H524="NON ENGAGE",OR($I524="INFRUCTUEUX",$I524="ANNULE")),"Clôturé sans suite","En cours")))</f>
        <v/>
      </c>
      <c r="N524">
        <f>IF(ISBLANK('ENGAGEMENTS 2026'!B524),"",'ENGAGEMENTS 2026'!K524)</f>
        <v/>
      </c>
      <c r="O524">
        <f>IF(ISBLANK('ENGAGEMENTS 2026'!B524),"",'ENGAGEMENTS 2026'!L524)</f>
        <v/>
      </c>
      <c r="P524">
        <f>IF(ISBLANK('ENGAGEMENTS 2026'!B524),"",'ENGAGEMENTS 2026'!J524)</f>
        <v/>
      </c>
      <c r="Q524">
        <f>IF($A524="","",IF(OR($E524="INFRUCTUEUX",$E524="ANNULE"),$A524&amp;"|"&amp;(COUNTIFS($A$2:$A524,$A524,$E$2:$E524,"INFRUCTUEUX")+COUNTIFS($A$2:$A524,$A524,$E$2:$E524,"ANNULE")),""))</f>
        <v/>
      </c>
    </row>
    <row r="525">
      <c r="A525">
        <f>IF(ISBLANK('ENGAGEMENTS 2026'!B525),"",IF('ENGAGEMENTS 2026'!B525="DTSI","DCT",'ENGAGEMENTS 2026'!B525))</f>
        <v/>
      </c>
      <c r="B525">
        <f>IF(ISBLANK('ENGAGEMENTS 2026'!B525),"",'ENGAGEMENTS 2026'!C525)</f>
        <v/>
      </c>
      <c r="C525">
        <f>IF(ISBLANK('ENGAGEMENTS 2026'!B525),"",'ENGAGEMENTS 2026'!D525)</f>
        <v/>
      </c>
      <c r="D525">
        <f>IF(ISBLANK('ENGAGEMENTS 2026'!B525),"",'ENGAGEMENTS 2026'!F525)</f>
        <v/>
      </c>
      <c r="E525">
        <f>IF(ISBLANK('ENGAGEMENTS 2026'!B525),"",'ENGAGEMENTS 2026'!H525)</f>
        <v/>
      </c>
      <c r="F525">
        <f>IF(ISBLANK('ENGAGEMENTS 2026'!B525),"",'ENGAGEMENTS 2026'!I525)</f>
        <v/>
      </c>
      <c r="G525">
        <f>IF(ISBLANK('ENGAGEMENTS 2026'!B525),"",'ENGAGEMENTS 2026'!L525)</f>
        <v/>
      </c>
      <c r="H525">
        <f>IF(ISBLANK('ENGAGEMENTS 2026'!B525),"",'ENGAGEMENTS 2026'!AE525)</f>
        <v/>
      </c>
      <c r="I525">
        <f>IF(ISBLANK('ENGAGEMENTS 2026'!B525),"",'ENGAGEMENTS 2026'!G525)</f>
        <v/>
      </c>
      <c r="J525" s="275">
        <f>IF(ISBLANK('ENGAGEMENTS 2026'!B525),"",IF(AND(OR($E525="INFRUCTUEUX",$E525="ANNULE"),$C525="AOO-M"),'ENGAGEMENTS 2026'!O525,IF($H525="EN COURS DE PREENGAGEMENT",'ENGAGEMENTS 2026'!N525,IF($H525="PREENGAGE",IF($E525="ATTRIBUE",'ENGAGEMENTS 2026'!AD525,'ENGAGEMENTS 2026'!N525),'ENGAGEMENTS 2026'!AD525))))</f>
        <v/>
      </c>
      <c r="K525" s="604">
        <f>IF(ISBLANK('ENGAGEMENTS 2026'!V525),"",'ENGAGEMENTS 2026'!V525)</f>
        <v/>
      </c>
      <c r="L525" s="276">
        <f>IF($K525="","",TODAY()-$K525)</f>
        <v/>
      </c>
      <c r="M525">
        <f>IF($A525="","",IF($H525="ENGAGE","Engagé",IF(AND($H525="NON ENGAGE",OR($I525="INFRUCTUEUX",$I525="ANNULE")),"Clôturé sans suite","En cours")))</f>
        <v/>
      </c>
      <c r="N525">
        <f>IF(ISBLANK('ENGAGEMENTS 2026'!B525),"",'ENGAGEMENTS 2026'!K525)</f>
        <v/>
      </c>
      <c r="O525">
        <f>IF(ISBLANK('ENGAGEMENTS 2026'!B525),"",'ENGAGEMENTS 2026'!L525)</f>
        <v/>
      </c>
      <c r="P525">
        <f>IF(ISBLANK('ENGAGEMENTS 2026'!B525),"",'ENGAGEMENTS 2026'!J525)</f>
        <v/>
      </c>
      <c r="Q525">
        <f>IF($A525="","",IF(OR($E525="INFRUCTUEUX",$E525="ANNULE"),$A525&amp;"|"&amp;(COUNTIFS($A$2:$A525,$A525,$E$2:$E525,"INFRUCTUEUX")+COUNTIFS($A$2:$A525,$A525,$E$2:$E525,"ANNULE")),""))</f>
        <v/>
      </c>
    </row>
    <row r="526">
      <c r="A526">
        <f>IF(ISBLANK('ENGAGEMENTS 2026'!B526),"",IF('ENGAGEMENTS 2026'!B526="DTSI","DCT",'ENGAGEMENTS 2026'!B526))</f>
        <v/>
      </c>
      <c r="B526">
        <f>IF(ISBLANK('ENGAGEMENTS 2026'!B526),"",'ENGAGEMENTS 2026'!C526)</f>
        <v/>
      </c>
      <c r="C526">
        <f>IF(ISBLANK('ENGAGEMENTS 2026'!B526),"",'ENGAGEMENTS 2026'!D526)</f>
        <v/>
      </c>
      <c r="D526">
        <f>IF(ISBLANK('ENGAGEMENTS 2026'!B526),"",'ENGAGEMENTS 2026'!F526)</f>
        <v/>
      </c>
      <c r="E526">
        <f>IF(ISBLANK('ENGAGEMENTS 2026'!B526),"",'ENGAGEMENTS 2026'!H526)</f>
        <v/>
      </c>
      <c r="F526">
        <f>IF(ISBLANK('ENGAGEMENTS 2026'!B526),"",'ENGAGEMENTS 2026'!I526)</f>
        <v/>
      </c>
      <c r="G526">
        <f>IF(ISBLANK('ENGAGEMENTS 2026'!B526),"",'ENGAGEMENTS 2026'!L526)</f>
        <v/>
      </c>
      <c r="H526">
        <f>IF(ISBLANK('ENGAGEMENTS 2026'!B526),"",'ENGAGEMENTS 2026'!AE526)</f>
        <v/>
      </c>
      <c r="I526">
        <f>IF(ISBLANK('ENGAGEMENTS 2026'!B526),"",'ENGAGEMENTS 2026'!G526)</f>
        <v/>
      </c>
      <c r="J526" s="275">
        <f>IF(ISBLANK('ENGAGEMENTS 2026'!B526),"",IF(AND(OR($E526="INFRUCTUEUX",$E526="ANNULE"),$C526="AOO-M"),'ENGAGEMENTS 2026'!O526,IF($H526="EN COURS DE PREENGAGEMENT",'ENGAGEMENTS 2026'!N526,IF($H526="PREENGAGE",IF($E526="ATTRIBUE",'ENGAGEMENTS 2026'!AD526,'ENGAGEMENTS 2026'!N526),'ENGAGEMENTS 2026'!AD526))))</f>
        <v/>
      </c>
      <c r="K526" s="604">
        <f>IF(ISBLANK('ENGAGEMENTS 2026'!V526),"",'ENGAGEMENTS 2026'!V526)</f>
        <v/>
      </c>
      <c r="L526" s="276">
        <f>IF($K526="","",TODAY()-$K526)</f>
        <v/>
      </c>
      <c r="M526">
        <f>IF($A526="","",IF($H526="ENGAGE","Engagé",IF(AND($H526="NON ENGAGE",OR($I526="INFRUCTUEUX",$I526="ANNULE")),"Clôturé sans suite","En cours")))</f>
        <v/>
      </c>
      <c r="N526">
        <f>IF(ISBLANK('ENGAGEMENTS 2026'!B526),"",'ENGAGEMENTS 2026'!K526)</f>
        <v/>
      </c>
      <c r="O526">
        <f>IF(ISBLANK('ENGAGEMENTS 2026'!B526),"",'ENGAGEMENTS 2026'!L526)</f>
        <v/>
      </c>
      <c r="P526">
        <f>IF(ISBLANK('ENGAGEMENTS 2026'!B526),"",'ENGAGEMENTS 2026'!J526)</f>
        <v/>
      </c>
      <c r="Q526">
        <f>IF($A526="","",IF(OR($E526="INFRUCTUEUX",$E526="ANNULE"),$A526&amp;"|"&amp;(COUNTIFS($A$2:$A526,$A526,$E$2:$E526,"INFRUCTUEUX")+COUNTIFS($A$2:$A526,$A526,$E$2:$E526,"ANNULE")),""))</f>
        <v/>
      </c>
    </row>
    <row r="527">
      <c r="A527">
        <f>IF(ISBLANK('ENGAGEMENTS 2026'!B527),"",IF('ENGAGEMENTS 2026'!B527="DTSI","DCT",'ENGAGEMENTS 2026'!B527))</f>
        <v/>
      </c>
      <c r="B527">
        <f>IF(ISBLANK('ENGAGEMENTS 2026'!B527),"",'ENGAGEMENTS 2026'!C527)</f>
        <v/>
      </c>
      <c r="C527">
        <f>IF(ISBLANK('ENGAGEMENTS 2026'!B527),"",'ENGAGEMENTS 2026'!D527)</f>
        <v/>
      </c>
      <c r="D527">
        <f>IF(ISBLANK('ENGAGEMENTS 2026'!B527),"",'ENGAGEMENTS 2026'!F527)</f>
        <v/>
      </c>
      <c r="E527">
        <f>IF(ISBLANK('ENGAGEMENTS 2026'!B527),"",'ENGAGEMENTS 2026'!H527)</f>
        <v/>
      </c>
      <c r="F527">
        <f>IF(ISBLANK('ENGAGEMENTS 2026'!B527),"",'ENGAGEMENTS 2026'!I527)</f>
        <v/>
      </c>
      <c r="G527">
        <f>IF(ISBLANK('ENGAGEMENTS 2026'!B527),"",'ENGAGEMENTS 2026'!L527)</f>
        <v/>
      </c>
      <c r="H527">
        <f>IF(ISBLANK('ENGAGEMENTS 2026'!B527),"",'ENGAGEMENTS 2026'!AE527)</f>
        <v/>
      </c>
      <c r="I527">
        <f>IF(ISBLANK('ENGAGEMENTS 2026'!B527),"",'ENGAGEMENTS 2026'!G527)</f>
        <v/>
      </c>
      <c r="J527" s="275">
        <f>IF(ISBLANK('ENGAGEMENTS 2026'!B527),"",IF(AND(OR($E527="INFRUCTUEUX",$E527="ANNULE"),$C527="AOO-M"),'ENGAGEMENTS 2026'!O527,IF($H527="EN COURS DE PREENGAGEMENT",'ENGAGEMENTS 2026'!N527,IF($H527="PREENGAGE",IF($E527="ATTRIBUE",'ENGAGEMENTS 2026'!AD527,'ENGAGEMENTS 2026'!N527),'ENGAGEMENTS 2026'!AD527))))</f>
        <v/>
      </c>
      <c r="K527" s="604">
        <f>IF(ISBLANK('ENGAGEMENTS 2026'!V527),"",'ENGAGEMENTS 2026'!V527)</f>
        <v/>
      </c>
      <c r="L527" s="276">
        <f>IF($K527="","",TODAY()-$K527)</f>
        <v/>
      </c>
      <c r="M527">
        <f>IF($A527="","",IF($H527="ENGAGE","Engagé",IF(AND($H527="NON ENGAGE",OR($I527="INFRUCTUEUX",$I527="ANNULE")),"Clôturé sans suite","En cours")))</f>
        <v/>
      </c>
      <c r="N527">
        <f>IF(ISBLANK('ENGAGEMENTS 2026'!B527),"",'ENGAGEMENTS 2026'!K527)</f>
        <v/>
      </c>
      <c r="O527">
        <f>IF(ISBLANK('ENGAGEMENTS 2026'!B527),"",'ENGAGEMENTS 2026'!L527)</f>
        <v/>
      </c>
      <c r="P527">
        <f>IF(ISBLANK('ENGAGEMENTS 2026'!B527),"",'ENGAGEMENTS 2026'!J527)</f>
        <v/>
      </c>
      <c r="Q527">
        <f>IF($A527="","",IF(OR($E527="INFRUCTUEUX",$E527="ANNULE"),$A527&amp;"|"&amp;(COUNTIFS($A$2:$A527,$A527,$E$2:$E527,"INFRUCTUEUX")+COUNTIFS($A$2:$A527,$A527,$E$2:$E527,"ANNULE")),""))</f>
        <v/>
      </c>
    </row>
    <row r="528">
      <c r="A528">
        <f>IF(ISBLANK('ENGAGEMENTS 2026'!B528),"",IF('ENGAGEMENTS 2026'!B528="DTSI","DCT",'ENGAGEMENTS 2026'!B528))</f>
        <v/>
      </c>
      <c r="B528">
        <f>IF(ISBLANK('ENGAGEMENTS 2026'!B528),"",'ENGAGEMENTS 2026'!C528)</f>
        <v/>
      </c>
      <c r="C528">
        <f>IF(ISBLANK('ENGAGEMENTS 2026'!B528),"",'ENGAGEMENTS 2026'!D528)</f>
        <v/>
      </c>
      <c r="D528">
        <f>IF(ISBLANK('ENGAGEMENTS 2026'!B528),"",'ENGAGEMENTS 2026'!F528)</f>
        <v/>
      </c>
      <c r="E528">
        <f>IF(ISBLANK('ENGAGEMENTS 2026'!B528),"",'ENGAGEMENTS 2026'!H528)</f>
        <v/>
      </c>
      <c r="F528">
        <f>IF(ISBLANK('ENGAGEMENTS 2026'!B528),"",'ENGAGEMENTS 2026'!I528)</f>
        <v/>
      </c>
      <c r="G528">
        <f>IF(ISBLANK('ENGAGEMENTS 2026'!B528),"",'ENGAGEMENTS 2026'!L528)</f>
        <v/>
      </c>
      <c r="H528">
        <f>IF(ISBLANK('ENGAGEMENTS 2026'!B528),"",'ENGAGEMENTS 2026'!AE528)</f>
        <v/>
      </c>
      <c r="I528">
        <f>IF(ISBLANK('ENGAGEMENTS 2026'!B528),"",'ENGAGEMENTS 2026'!G528)</f>
        <v/>
      </c>
      <c r="J528" s="275">
        <f>IF(ISBLANK('ENGAGEMENTS 2026'!B528),"",IF(AND(OR($E528="INFRUCTUEUX",$E528="ANNULE"),$C528="AOO-M"),'ENGAGEMENTS 2026'!O528,IF($H528="EN COURS DE PREENGAGEMENT",'ENGAGEMENTS 2026'!N528,IF($H528="PREENGAGE",IF($E528="ATTRIBUE",'ENGAGEMENTS 2026'!AD528,'ENGAGEMENTS 2026'!N528),'ENGAGEMENTS 2026'!AD528))))</f>
        <v/>
      </c>
      <c r="K528" s="604">
        <f>IF(ISBLANK('ENGAGEMENTS 2026'!V528),"",'ENGAGEMENTS 2026'!V528)</f>
        <v/>
      </c>
      <c r="L528" s="276">
        <f>IF($K528="","",TODAY()-$K528)</f>
        <v/>
      </c>
      <c r="M528">
        <f>IF($A528="","",IF($H528="ENGAGE","Engagé",IF(AND($H528="NON ENGAGE",OR($I528="INFRUCTUEUX",$I528="ANNULE")),"Clôturé sans suite","En cours")))</f>
        <v/>
      </c>
      <c r="N528">
        <f>IF(ISBLANK('ENGAGEMENTS 2026'!B528),"",'ENGAGEMENTS 2026'!K528)</f>
        <v/>
      </c>
      <c r="O528">
        <f>IF(ISBLANK('ENGAGEMENTS 2026'!B528),"",'ENGAGEMENTS 2026'!L528)</f>
        <v/>
      </c>
      <c r="P528">
        <f>IF(ISBLANK('ENGAGEMENTS 2026'!B528),"",'ENGAGEMENTS 2026'!J528)</f>
        <v/>
      </c>
      <c r="Q528">
        <f>IF($A528="","",IF(OR($E528="INFRUCTUEUX",$E528="ANNULE"),$A528&amp;"|"&amp;(COUNTIFS($A$2:$A528,$A528,$E$2:$E528,"INFRUCTUEUX")+COUNTIFS($A$2:$A528,$A528,$E$2:$E528,"ANNULE")),""))</f>
        <v/>
      </c>
    </row>
    <row r="529">
      <c r="A529">
        <f>IF(ISBLANK('ENGAGEMENTS 2026'!B529),"",IF('ENGAGEMENTS 2026'!B529="DTSI","DCT",'ENGAGEMENTS 2026'!B529))</f>
        <v/>
      </c>
      <c r="B529">
        <f>IF(ISBLANK('ENGAGEMENTS 2026'!B529),"",'ENGAGEMENTS 2026'!C529)</f>
        <v/>
      </c>
      <c r="C529">
        <f>IF(ISBLANK('ENGAGEMENTS 2026'!B529),"",'ENGAGEMENTS 2026'!D529)</f>
        <v/>
      </c>
      <c r="D529">
        <f>IF(ISBLANK('ENGAGEMENTS 2026'!B529),"",'ENGAGEMENTS 2026'!F529)</f>
        <v/>
      </c>
      <c r="E529">
        <f>IF(ISBLANK('ENGAGEMENTS 2026'!B529),"",'ENGAGEMENTS 2026'!H529)</f>
        <v/>
      </c>
      <c r="F529">
        <f>IF(ISBLANK('ENGAGEMENTS 2026'!B529),"",'ENGAGEMENTS 2026'!I529)</f>
        <v/>
      </c>
      <c r="G529">
        <f>IF(ISBLANK('ENGAGEMENTS 2026'!B529),"",'ENGAGEMENTS 2026'!L529)</f>
        <v/>
      </c>
      <c r="H529">
        <f>IF(ISBLANK('ENGAGEMENTS 2026'!B529),"",'ENGAGEMENTS 2026'!AE529)</f>
        <v/>
      </c>
      <c r="I529">
        <f>IF(ISBLANK('ENGAGEMENTS 2026'!B529),"",'ENGAGEMENTS 2026'!G529)</f>
        <v/>
      </c>
      <c r="J529" s="275">
        <f>IF(ISBLANK('ENGAGEMENTS 2026'!B529),"",IF(AND(OR($E529="INFRUCTUEUX",$E529="ANNULE"),$C529="AOO-M"),'ENGAGEMENTS 2026'!O529,IF($H529="EN COURS DE PREENGAGEMENT",'ENGAGEMENTS 2026'!N529,IF($H529="PREENGAGE",IF($E529="ATTRIBUE",'ENGAGEMENTS 2026'!AD529,'ENGAGEMENTS 2026'!N529),'ENGAGEMENTS 2026'!AD529))))</f>
        <v/>
      </c>
      <c r="K529" s="604">
        <f>IF(ISBLANK('ENGAGEMENTS 2026'!V529),"",'ENGAGEMENTS 2026'!V529)</f>
        <v/>
      </c>
      <c r="L529" s="276">
        <f>IF($K529="","",TODAY()-$K529)</f>
        <v/>
      </c>
      <c r="M529">
        <f>IF($A529="","",IF($H529="ENGAGE","Engagé",IF(AND($H529="NON ENGAGE",OR($I529="INFRUCTUEUX",$I529="ANNULE")),"Clôturé sans suite","En cours")))</f>
        <v/>
      </c>
      <c r="N529">
        <f>IF(ISBLANK('ENGAGEMENTS 2026'!B529),"",'ENGAGEMENTS 2026'!K529)</f>
        <v/>
      </c>
      <c r="O529">
        <f>IF(ISBLANK('ENGAGEMENTS 2026'!B529),"",'ENGAGEMENTS 2026'!L529)</f>
        <v/>
      </c>
      <c r="P529">
        <f>IF(ISBLANK('ENGAGEMENTS 2026'!B529),"",'ENGAGEMENTS 2026'!J529)</f>
        <v/>
      </c>
      <c r="Q529">
        <f>IF($A529="","",IF(OR($E529="INFRUCTUEUX",$E529="ANNULE"),$A529&amp;"|"&amp;(COUNTIFS($A$2:$A529,$A529,$E$2:$E529,"INFRUCTUEUX")+COUNTIFS($A$2:$A529,$A529,$E$2:$E529,"ANNULE")),""))</f>
        <v/>
      </c>
    </row>
    <row r="530">
      <c r="A530">
        <f>IF(ISBLANK('ENGAGEMENTS 2026'!B530),"",IF('ENGAGEMENTS 2026'!B530="DTSI","DCT",'ENGAGEMENTS 2026'!B530))</f>
        <v/>
      </c>
      <c r="B530">
        <f>IF(ISBLANK('ENGAGEMENTS 2026'!B530),"",'ENGAGEMENTS 2026'!C530)</f>
        <v/>
      </c>
      <c r="C530">
        <f>IF(ISBLANK('ENGAGEMENTS 2026'!B530),"",'ENGAGEMENTS 2026'!D530)</f>
        <v/>
      </c>
      <c r="D530">
        <f>IF(ISBLANK('ENGAGEMENTS 2026'!B530),"",'ENGAGEMENTS 2026'!F530)</f>
        <v/>
      </c>
      <c r="E530">
        <f>IF(ISBLANK('ENGAGEMENTS 2026'!B530),"",'ENGAGEMENTS 2026'!H530)</f>
        <v/>
      </c>
      <c r="F530">
        <f>IF(ISBLANK('ENGAGEMENTS 2026'!B530),"",'ENGAGEMENTS 2026'!I530)</f>
        <v/>
      </c>
      <c r="G530">
        <f>IF(ISBLANK('ENGAGEMENTS 2026'!B530),"",'ENGAGEMENTS 2026'!L530)</f>
        <v/>
      </c>
      <c r="H530">
        <f>IF(ISBLANK('ENGAGEMENTS 2026'!B530),"",'ENGAGEMENTS 2026'!AE530)</f>
        <v/>
      </c>
      <c r="I530">
        <f>IF(ISBLANK('ENGAGEMENTS 2026'!B530),"",'ENGAGEMENTS 2026'!G530)</f>
        <v/>
      </c>
      <c r="J530" s="275">
        <f>IF(ISBLANK('ENGAGEMENTS 2026'!B530),"",IF(AND(OR($E530="INFRUCTUEUX",$E530="ANNULE"),$C530="AOO-M"),'ENGAGEMENTS 2026'!O530,IF($H530="EN COURS DE PREENGAGEMENT",'ENGAGEMENTS 2026'!N530,IF($H530="PREENGAGE",IF($E530="ATTRIBUE",'ENGAGEMENTS 2026'!AD530,'ENGAGEMENTS 2026'!N530),'ENGAGEMENTS 2026'!AD530))))</f>
        <v/>
      </c>
      <c r="K530" s="604">
        <f>IF(ISBLANK('ENGAGEMENTS 2026'!V530),"",'ENGAGEMENTS 2026'!V530)</f>
        <v/>
      </c>
      <c r="L530" s="276">
        <f>IF($K530="","",TODAY()-$K530)</f>
        <v/>
      </c>
      <c r="M530">
        <f>IF($A530="","",IF($H530="ENGAGE","Engagé",IF(AND($H530="NON ENGAGE",OR($I530="INFRUCTUEUX",$I530="ANNULE")),"Clôturé sans suite","En cours")))</f>
        <v/>
      </c>
      <c r="N530">
        <f>IF(ISBLANK('ENGAGEMENTS 2026'!B530),"",'ENGAGEMENTS 2026'!K530)</f>
        <v/>
      </c>
      <c r="O530">
        <f>IF(ISBLANK('ENGAGEMENTS 2026'!B530),"",'ENGAGEMENTS 2026'!L530)</f>
        <v/>
      </c>
      <c r="P530">
        <f>IF(ISBLANK('ENGAGEMENTS 2026'!B530),"",'ENGAGEMENTS 2026'!J530)</f>
        <v/>
      </c>
      <c r="Q530">
        <f>IF($A530="","",IF(OR($E530="INFRUCTUEUX",$E530="ANNULE"),$A530&amp;"|"&amp;(COUNTIFS($A$2:$A530,$A530,$E$2:$E530,"INFRUCTUEUX")+COUNTIFS($A$2:$A530,$A530,$E$2:$E530,"ANNULE")),""))</f>
        <v/>
      </c>
    </row>
    <row r="531">
      <c r="A531">
        <f>IF(ISBLANK('ENGAGEMENTS 2026'!B531),"",IF('ENGAGEMENTS 2026'!B531="DTSI","DCT",'ENGAGEMENTS 2026'!B531))</f>
        <v/>
      </c>
      <c r="B531">
        <f>IF(ISBLANK('ENGAGEMENTS 2026'!B531),"",'ENGAGEMENTS 2026'!C531)</f>
        <v/>
      </c>
      <c r="C531">
        <f>IF(ISBLANK('ENGAGEMENTS 2026'!B531),"",'ENGAGEMENTS 2026'!D531)</f>
        <v/>
      </c>
      <c r="D531">
        <f>IF(ISBLANK('ENGAGEMENTS 2026'!B531),"",'ENGAGEMENTS 2026'!F531)</f>
        <v/>
      </c>
      <c r="E531">
        <f>IF(ISBLANK('ENGAGEMENTS 2026'!B531),"",'ENGAGEMENTS 2026'!H531)</f>
        <v/>
      </c>
      <c r="F531">
        <f>IF(ISBLANK('ENGAGEMENTS 2026'!B531),"",'ENGAGEMENTS 2026'!I531)</f>
        <v/>
      </c>
      <c r="G531">
        <f>IF(ISBLANK('ENGAGEMENTS 2026'!B531),"",'ENGAGEMENTS 2026'!L531)</f>
        <v/>
      </c>
      <c r="H531">
        <f>IF(ISBLANK('ENGAGEMENTS 2026'!B531),"",'ENGAGEMENTS 2026'!AE531)</f>
        <v/>
      </c>
      <c r="I531">
        <f>IF(ISBLANK('ENGAGEMENTS 2026'!B531),"",'ENGAGEMENTS 2026'!G531)</f>
        <v/>
      </c>
      <c r="J531" s="275">
        <f>IF(ISBLANK('ENGAGEMENTS 2026'!B531),"",IF(AND(OR($E531="INFRUCTUEUX",$E531="ANNULE"),$C531="AOO-M"),'ENGAGEMENTS 2026'!O531,IF($H531="EN COURS DE PREENGAGEMENT",'ENGAGEMENTS 2026'!N531,IF($H531="PREENGAGE",IF($E531="ATTRIBUE",'ENGAGEMENTS 2026'!AD531,'ENGAGEMENTS 2026'!N531),'ENGAGEMENTS 2026'!AD531))))</f>
        <v/>
      </c>
      <c r="K531" s="604">
        <f>IF(ISBLANK('ENGAGEMENTS 2026'!V531),"",'ENGAGEMENTS 2026'!V531)</f>
        <v/>
      </c>
      <c r="L531" s="276">
        <f>IF($K531="","",TODAY()-$K531)</f>
        <v/>
      </c>
      <c r="M531">
        <f>IF($A531="","",IF($H531="ENGAGE","Engagé",IF(AND($H531="NON ENGAGE",OR($I531="INFRUCTUEUX",$I531="ANNULE")),"Clôturé sans suite","En cours")))</f>
        <v/>
      </c>
      <c r="N531">
        <f>IF(ISBLANK('ENGAGEMENTS 2026'!B531),"",'ENGAGEMENTS 2026'!K531)</f>
        <v/>
      </c>
      <c r="O531">
        <f>IF(ISBLANK('ENGAGEMENTS 2026'!B531),"",'ENGAGEMENTS 2026'!L531)</f>
        <v/>
      </c>
      <c r="P531">
        <f>IF(ISBLANK('ENGAGEMENTS 2026'!B531),"",'ENGAGEMENTS 2026'!J531)</f>
        <v/>
      </c>
      <c r="Q531">
        <f>IF($A531="","",IF(OR($E531="INFRUCTUEUX",$E531="ANNULE"),$A531&amp;"|"&amp;(COUNTIFS($A$2:$A531,$A531,$E$2:$E531,"INFRUCTUEUX")+COUNTIFS($A$2:$A531,$A531,$E$2:$E531,"ANNULE")),""))</f>
        <v/>
      </c>
    </row>
    <row r="532">
      <c r="A532">
        <f>IF(ISBLANK('ENGAGEMENTS 2026'!B532),"",IF('ENGAGEMENTS 2026'!B532="DTSI","DCT",'ENGAGEMENTS 2026'!B532))</f>
        <v/>
      </c>
      <c r="B532">
        <f>IF(ISBLANK('ENGAGEMENTS 2026'!B532),"",'ENGAGEMENTS 2026'!C532)</f>
        <v/>
      </c>
      <c r="C532">
        <f>IF(ISBLANK('ENGAGEMENTS 2026'!B532),"",'ENGAGEMENTS 2026'!D532)</f>
        <v/>
      </c>
      <c r="D532">
        <f>IF(ISBLANK('ENGAGEMENTS 2026'!B532),"",'ENGAGEMENTS 2026'!F532)</f>
        <v/>
      </c>
      <c r="E532">
        <f>IF(ISBLANK('ENGAGEMENTS 2026'!B532),"",'ENGAGEMENTS 2026'!H532)</f>
        <v/>
      </c>
      <c r="F532">
        <f>IF(ISBLANK('ENGAGEMENTS 2026'!B532),"",'ENGAGEMENTS 2026'!I532)</f>
        <v/>
      </c>
      <c r="G532">
        <f>IF(ISBLANK('ENGAGEMENTS 2026'!B532),"",'ENGAGEMENTS 2026'!L532)</f>
        <v/>
      </c>
      <c r="H532">
        <f>IF(ISBLANK('ENGAGEMENTS 2026'!B532),"",'ENGAGEMENTS 2026'!AE532)</f>
        <v/>
      </c>
      <c r="I532">
        <f>IF(ISBLANK('ENGAGEMENTS 2026'!B532),"",'ENGAGEMENTS 2026'!G532)</f>
        <v/>
      </c>
      <c r="J532" s="275">
        <f>IF(ISBLANK('ENGAGEMENTS 2026'!B532),"",IF(AND(OR($E532="INFRUCTUEUX",$E532="ANNULE"),$C532="AOO-M"),'ENGAGEMENTS 2026'!O532,IF($H532="EN COURS DE PREENGAGEMENT",'ENGAGEMENTS 2026'!N532,IF($H532="PREENGAGE",IF($E532="ATTRIBUE",'ENGAGEMENTS 2026'!AD532,'ENGAGEMENTS 2026'!N532),'ENGAGEMENTS 2026'!AD532))))</f>
        <v/>
      </c>
      <c r="K532" s="604">
        <f>IF(ISBLANK('ENGAGEMENTS 2026'!V532),"",'ENGAGEMENTS 2026'!V532)</f>
        <v/>
      </c>
      <c r="L532" s="276">
        <f>IF($K532="","",TODAY()-$K532)</f>
        <v/>
      </c>
      <c r="M532">
        <f>IF($A532="","",IF($H532="ENGAGE","Engagé",IF(AND($H532="NON ENGAGE",OR($I532="INFRUCTUEUX",$I532="ANNULE")),"Clôturé sans suite","En cours")))</f>
        <v/>
      </c>
      <c r="N532">
        <f>IF(ISBLANK('ENGAGEMENTS 2026'!B532),"",'ENGAGEMENTS 2026'!K532)</f>
        <v/>
      </c>
      <c r="O532">
        <f>IF(ISBLANK('ENGAGEMENTS 2026'!B532),"",'ENGAGEMENTS 2026'!L532)</f>
        <v/>
      </c>
      <c r="P532">
        <f>IF(ISBLANK('ENGAGEMENTS 2026'!B532),"",'ENGAGEMENTS 2026'!J532)</f>
        <v/>
      </c>
      <c r="Q532">
        <f>IF($A532="","",IF(OR($E532="INFRUCTUEUX",$E532="ANNULE"),$A532&amp;"|"&amp;(COUNTIFS($A$2:$A532,$A532,$E$2:$E532,"INFRUCTUEUX")+COUNTIFS($A$2:$A532,$A532,$E$2:$E532,"ANNULE")),""))</f>
        <v/>
      </c>
    </row>
    <row r="533">
      <c r="A533">
        <f>IF(ISBLANK('ENGAGEMENTS 2026'!B533),"",IF('ENGAGEMENTS 2026'!B533="DTSI","DCT",'ENGAGEMENTS 2026'!B533))</f>
        <v/>
      </c>
      <c r="B533">
        <f>IF(ISBLANK('ENGAGEMENTS 2026'!B533),"",'ENGAGEMENTS 2026'!C533)</f>
        <v/>
      </c>
      <c r="C533">
        <f>IF(ISBLANK('ENGAGEMENTS 2026'!B533),"",'ENGAGEMENTS 2026'!D533)</f>
        <v/>
      </c>
      <c r="D533">
        <f>IF(ISBLANK('ENGAGEMENTS 2026'!B533),"",'ENGAGEMENTS 2026'!F533)</f>
        <v/>
      </c>
      <c r="E533">
        <f>IF(ISBLANK('ENGAGEMENTS 2026'!B533),"",'ENGAGEMENTS 2026'!H533)</f>
        <v/>
      </c>
      <c r="F533">
        <f>IF(ISBLANK('ENGAGEMENTS 2026'!B533),"",'ENGAGEMENTS 2026'!I533)</f>
        <v/>
      </c>
      <c r="G533">
        <f>IF(ISBLANK('ENGAGEMENTS 2026'!B533),"",'ENGAGEMENTS 2026'!L533)</f>
        <v/>
      </c>
      <c r="H533">
        <f>IF(ISBLANK('ENGAGEMENTS 2026'!B533),"",'ENGAGEMENTS 2026'!AE533)</f>
        <v/>
      </c>
      <c r="I533">
        <f>IF(ISBLANK('ENGAGEMENTS 2026'!B533),"",'ENGAGEMENTS 2026'!G533)</f>
        <v/>
      </c>
      <c r="J533" s="275">
        <f>IF(ISBLANK('ENGAGEMENTS 2026'!B533),"",IF(AND(OR($E533="INFRUCTUEUX",$E533="ANNULE"),$C533="AOO-M"),'ENGAGEMENTS 2026'!O533,IF($H533="EN COURS DE PREENGAGEMENT",'ENGAGEMENTS 2026'!N533,IF($H533="PREENGAGE",IF($E533="ATTRIBUE",'ENGAGEMENTS 2026'!AD533,'ENGAGEMENTS 2026'!N533),'ENGAGEMENTS 2026'!AD533))))</f>
        <v/>
      </c>
      <c r="K533" s="604">
        <f>IF(ISBLANK('ENGAGEMENTS 2026'!V533),"",'ENGAGEMENTS 2026'!V533)</f>
        <v/>
      </c>
      <c r="L533" s="276">
        <f>IF($K533="","",TODAY()-$K533)</f>
        <v/>
      </c>
      <c r="M533">
        <f>IF($A533="","",IF($H533="ENGAGE","Engagé",IF(AND($H533="NON ENGAGE",OR($I533="INFRUCTUEUX",$I533="ANNULE")),"Clôturé sans suite","En cours")))</f>
        <v/>
      </c>
      <c r="N533">
        <f>IF(ISBLANK('ENGAGEMENTS 2026'!B533),"",'ENGAGEMENTS 2026'!K533)</f>
        <v/>
      </c>
      <c r="O533">
        <f>IF(ISBLANK('ENGAGEMENTS 2026'!B533),"",'ENGAGEMENTS 2026'!L533)</f>
        <v/>
      </c>
      <c r="P533">
        <f>IF(ISBLANK('ENGAGEMENTS 2026'!B533),"",'ENGAGEMENTS 2026'!J533)</f>
        <v/>
      </c>
      <c r="Q533">
        <f>IF($A533="","",IF(OR($E533="INFRUCTUEUX",$E533="ANNULE"),$A533&amp;"|"&amp;(COUNTIFS($A$2:$A533,$A533,$E$2:$E533,"INFRUCTUEUX")+COUNTIFS($A$2:$A533,$A533,$E$2:$E533,"ANNULE")),""))</f>
        <v/>
      </c>
    </row>
    <row r="534">
      <c r="A534">
        <f>IF(ISBLANK('ENGAGEMENTS 2026'!B534),"",IF('ENGAGEMENTS 2026'!B534="DTSI","DCT",'ENGAGEMENTS 2026'!B534))</f>
        <v/>
      </c>
      <c r="B534">
        <f>IF(ISBLANK('ENGAGEMENTS 2026'!B534),"",'ENGAGEMENTS 2026'!C534)</f>
        <v/>
      </c>
      <c r="C534">
        <f>IF(ISBLANK('ENGAGEMENTS 2026'!B534),"",'ENGAGEMENTS 2026'!D534)</f>
        <v/>
      </c>
      <c r="D534">
        <f>IF(ISBLANK('ENGAGEMENTS 2026'!B534),"",'ENGAGEMENTS 2026'!F534)</f>
        <v/>
      </c>
      <c r="E534">
        <f>IF(ISBLANK('ENGAGEMENTS 2026'!B534),"",'ENGAGEMENTS 2026'!H534)</f>
        <v/>
      </c>
      <c r="F534">
        <f>IF(ISBLANK('ENGAGEMENTS 2026'!B534),"",'ENGAGEMENTS 2026'!I534)</f>
        <v/>
      </c>
      <c r="G534">
        <f>IF(ISBLANK('ENGAGEMENTS 2026'!B534),"",'ENGAGEMENTS 2026'!L534)</f>
        <v/>
      </c>
      <c r="H534">
        <f>IF(ISBLANK('ENGAGEMENTS 2026'!B534),"",'ENGAGEMENTS 2026'!AE534)</f>
        <v/>
      </c>
      <c r="I534">
        <f>IF(ISBLANK('ENGAGEMENTS 2026'!B534),"",'ENGAGEMENTS 2026'!G534)</f>
        <v/>
      </c>
      <c r="J534" s="275">
        <f>IF(ISBLANK('ENGAGEMENTS 2026'!B534),"",IF(AND(OR($E534="INFRUCTUEUX",$E534="ANNULE"),$C534="AOO-M"),'ENGAGEMENTS 2026'!O534,IF($H534="EN COURS DE PREENGAGEMENT",'ENGAGEMENTS 2026'!N534,IF($H534="PREENGAGE",IF($E534="ATTRIBUE",'ENGAGEMENTS 2026'!AD534,'ENGAGEMENTS 2026'!N534),'ENGAGEMENTS 2026'!AD534))))</f>
        <v/>
      </c>
      <c r="K534" s="604">
        <f>IF(ISBLANK('ENGAGEMENTS 2026'!V534),"",'ENGAGEMENTS 2026'!V534)</f>
        <v/>
      </c>
      <c r="L534" s="276">
        <f>IF($K534="","",TODAY()-$K534)</f>
        <v/>
      </c>
      <c r="M534">
        <f>IF($A534="","",IF($H534="ENGAGE","Engagé",IF(AND($H534="NON ENGAGE",OR($I534="INFRUCTUEUX",$I534="ANNULE")),"Clôturé sans suite","En cours")))</f>
        <v/>
      </c>
      <c r="N534">
        <f>IF(ISBLANK('ENGAGEMENTS 2026'!B534),"",'ENGAGEMENTS 2026'!K534)</f>
        <v/>
      </c>
      <c r="O534">
        <f>IF(ISBLANK('ENGAGEMENTS 2026'!B534),"",'ENGAGEMENTS 2026'!L534)</f>
        <v/>
      </c>
      <c r="P534">
        <f>IF(ISBLANK('ENGAGEMENTS 2026'!B534),"",'ENGAGEMENTS 2026'!J534)</f>
        <v/>
      </c>
      <c r="Q534">
        <f>IF($A534="","",IF(OR($E534="INFRUCTUEUX",$E534="ANNULE"),$A534&amp;"|"&amp;(COUNTIFS($A$2:$A534,$A534,$E$2:$E534,"INFRUCTUEUX")+COUNTIFS($A$2:$A534,$A534,$E$2:$E534,"ANNULE")),""))</f>
        <v/>
      </c>
    </row>
    <row r="535">
      <c r="A535">
        <f>IF(ISBLANK('ENGAGEMENTS 2026'!B535),"",IF('ENGAGEMENTS 2026'!B535="DTSI","DCT",'ENGAGEMENTS 2026'!B535))</f>
        <v/>
      </c>
      <c r="B535">
        <f>IF(ISBLANK('ENGAGEMENTS 2026'!B535),"",'ENGAGEMENTS 2026'!C535)</f>
        <v/>
      </c>
      <c r="C535">
        <f>IF(ISBLANK('ENGAGEMENTS 2026'!B535),"",'ENGAGEMENTS 2026'!D535)</f>
        <v/>
      </c>
      <c r="D535">
        <f>IF(ISBLANK('ENGAGEMENTS 2026'!B535),"",'ENGAGEMENTS 2026'!F535)</f>
        <v/>
      </c>
      <c r="E535">
        <f>IF(ISBLANK('ENGAGEMENTS 2026'!B535),"",'ENGAGEMENTS 2026'!H535)</f>
        <v/>
      </c>
      <c r="F535">
        <f>IF(ISBLANK('ENGAGEMENTS 2026'!B535),"",'ENGAGEMENTS 2026'!I535)</f>
        <v/>
      </c>
      <c r="G535">
        <f>IF(ISBLANK('ENGAGEMENTS 2026'!B535),"",'ENGAGEMENTS 2026'!L535)</f>
        <v/>
      </c>
      <c r="H535">
        <f>IF(ISBLANK('ENGAGEMENTS 2026'!B535),"",'ENGAGEMENTS 2026'!AE535)</f>
        <v/>
      </c>
      <c r="I535">
        <f>IF(ISBLANK('ENGAGEMENTS 2026'!B535),"",'ENGAGEMENTS 2026'!G535)</f>
        <v/>
      </c>
      <c r="J535" s="275">
        <f>IF(ISBLANK('ENGAGEMENTS 2026'!B535),"",IF(AND(OR($E535="INFRUCTUEUX",$E535="ANNULE"),$C535="AOO-M"),'ENGAGEMENTS 2026'!O535,IF($H535="EN COURS DE PREENGAGEMENT",'ENGAGEMENTS 2026'!N535,IF($H535="PREENGAGE",IF($E535="ATTRIBUE",'ENGAGEMENTS 2026'!AD535,'ENGAGEMENTS 2026'!N535),'ENGAGEMENTS 2026'!AD535))))</f>
        <v/>
      </c>
      <c r="K535" s="604">
        <f>IF(ISBLANK('ENGAGEMENTS 2026'!V535),"",'ENGAGEMENTS 2026'!V535)</f>
        <v/>
      </c>
      <c r="L535" s="276">
        <f>IF($K535="","",TODAY()-$K535)</f>
        <v/>
      </c>
      <c r="M535">
        <f>IF($A535="","",IF($H535="ENGAGE","Engagé",IF(AND($H535="NON ENGAGE",OR($I535="INFRUCTUEUX",$I535="ANNULE")),"Clôturé sans suite","En cours")))</f>
        <v/>
      </c>
      <c r="N535">
        <f>IF(ISBLANK('ENGAGEMENTS 2026'!B535),"",'ENGAGEMENTS 2026'!K535)</f>
        <v/>
      </c>
      <c r="O535">
        <f>IF(ISBLANK('ENGAGEMENTS 2026'!B535),"",'ENGAGEMENTS 2026'!L535)</f>
        <v/>
      </c>
      <c r="P535">
        <f>IF(ISBLANK('ENGAGEMENTS 2026'!B535),"",'ENGAGEMENTS 2026'!J535)</f>
        <v/>
      </c>
      <c r="Q535">
        <f>IF($A535="","",IF(OR($E535="INFRUCTUEUX",$E535="ANNULE"),$A535&amp;"|"&amp;(COUNTIFS($A$2:$A535,$A535,$E$2:$E535,"INFRUCTUEUX")+COUNTIFS($A$2:$A535,$A535,$E$2:$E535,"ANNULE")),""))</f>
        <v/>
      </c>
    </row>
    <row r="536">
      <c r="A536">
        <f>IF(ISBLANK('ENGAGEMENTS 2026'!B536),"",IF('ENGAGEMENTS 2026'!B536="DTSI","DCT",'ENGAGEMENTS 2026'!B536))</f>
        <v/>
      </c>
      <c r="B536">
        <f>IF(ISBLANK('ENGAGEMENTS 2026'!B536),"",'ENGAGEMENTS 2026'!C536)</f>
        <v/>
      </c>
      <c r="C536">
        <f>IF(ISBLANK('ENGAGEMENTS 2026'!B536),"",'ENGAGEMENTS 2026'!D536)</f>
        <v/>
      </c>
      <c r="D536">
        <f>IF(ISBLANK('ENGAGEMENTS 2026'!B536),"",'ENGAGEMENTS 2026'!F536)</f>
        <v/>
      </c>
      <c r="E536">
        <f>IF(ISBLANK('ENGAGEMENTS 2026'!B536),"",'ENGAGEMENTS 2026'!H536)</f>
        <v/>
      </c>
      <c r="F536">
        <f>IF(ISBLANK('ENGAGEMENTS 2026'!B536),"",'ENGAGEMENTS 2026'!I536)</f>
        <v/>
      </c>
      <c r="G536">
        <f>IF(ISBLANK('ENGAGEMENTS 2026'!B536),"",'ENGAGEMENTS 2026'!L536)</f>
        <v/>
      </c>
      <c r="H536">
        <f>IF(ISBLANK('ENGAGEMENTS 2026'!B536),"",'ENGAGEMENTS 2026'!AE536)</f>
        <v/>
      </c>
      <c r="I536">
        <f>IF(ISBLANK('ENGAGEMENTS 2026'!B536),"",'ENGAGEMENTS 2026'!G536)</f>
        <v/>
      </c>
      <c r="J536" s="275">
        <f>IF(ISBLANK('ENGAGEMENTS 2026'!B536),"",IF(AND(OR($E536="INFRUCTUEUX",$E536="ANNULE"),$C536="AOO-M"),'ENGAGEMENTS 2026'!O536,IF($H536="EN COURS DE PREENGAGEMENT",'ENGAGEMENTS 2026'!N536,IF($H536="PREENGAGE",IF($E536="ATTRIBUE",'ENGAGEMENTS 2026'!AD536,'ENGAGEMENTS 2026'!N536),'ENGAGEMENTS 2026'!AD536))))</f>
        <v/>
      </c>
      <c r="K536" s="604">
        <f>IF(ISBLANK('ENGAGEMENTS 2026'!V536),"",'ENGAGEMENTS 2026'!V536)</f>
        <v/>
      </c>
      <c r="L536" s="276">
        <f>IF($K536="","",TODAY()-$K536)</f>
        <v/>
      </c>
      <c r="M536">
        <f>IF($A536="","",IF($H536="ENGAGE","Engagé",IF(AND($H536="NON ENGAGE",OR($I536="INFRUCTUEUX",$I536="ANNULE")),"Clôturé sans suite","En cours")))</f>
        <v/>
      </c>
      <c r="N536">
        <f>IF(ISBLANK('ENGAGEMENTS 2026'!B536),"",'ENGAGEMENTS 2026'!K536)</f>
        <v/>
      </c>
      <c r="O536">
        <f>IF(ISBLANK('ENGAGEMENTS 2026'!B536),"",'ENGAGEMENTS 2026'!L536)</f>
        <v/>
      </c>
      <c r="P536">
        <f>IF(ISBLANK('ENGAGEMENTS 2026'!B536),"",'ENGAGEMENTS 2026'!J536)</f>
        <v/>
      </c>
      <c r="Q536">
        <f>IF($A536="","",IF(OR($E536="INFRUCTUEUX",$E536="ANNULE"),$A536&amp;"|"&amp;(COUNTIFS($A$2:$A536,$A536,$E$2:$E536,"INFRUCTUEUX")+COUNTIFS($A$2:$A536,$A536,$E$2:$E536,"ANNULE")),""))</f>
        <v/>
      </c>
    </row>
    <row r="537">
      <c r="A537">
        <f>IF(ISBLANK('ENGAGEMENTS 2026'!B537),"",IF('ENGAGEMENTS 2026'!B537="DTSI","DCT",'ENGAGEMENTS 2026'!B537))</f>
        <v/>
      </c>
      <c r="B537">
        <f>IF(ISBLANK('ENGAGEMENTS 2026'!B537),"",'ENGAGEMENTS 2026'!C537)</f>
        <v/>
      </c>
      <c r="C537">
        <f>IF(ISBLANK('ENGAGEMENTS 2026'!B537),"",'ENGAGEMENTS 2026'!D537)</f>
        <v/>
      </c>
      <c r="D537">
        <f>IF(ISBLANK('ENGAGEMENTS 2026'!B537),"",'ENGAGEMENTS 2026'!F537)</f>
        <v/>
      </c>
      <c r="E537">
        <f>IF(ISBLANK('ENGAGEMENTS 2026'!B537),"",'ENGAGEMENTS 2026'!H537)</f>
        <v/>
      </c>
      <c r="F537">
        <f>IF(ISBLANK('ENGAGEMENTS 2026'!B537),"",'ENGAGEMENTS 2026'!I537)</f>
        <v/>
      </c>
      <c r="G537">
        <f>IF(ISBLANK('ENGAGEMENTS 2026'!B537),"",'ENGAGEMENTS 2026'!L537)</f>
        <v/>
      </c>
      <c r="H537">
        <f>IF(ISBLANK('ENGAGEMENTS 2026'!B537),"",'ENGAGEMENTS 2026'!AE537)</f>
        <v/>
      </c>
      <c r="I537">
        <f>IF(ISBLANK('ENGAGEMENTS 2026'!B537),"",'ENGAGEMENTS 2026'!G537)</f>
        <v/>
      </c>
      <c r="J537" s="275">
        <f>IF(ISBLANK('ENGAGEMENTS 2026'!B537),"",IF(AND(OR($E537="INFRUCTUEUX",$E537="ANNULE"),$C537="AOO-M"),'ENGAGEMENTS 2026'!O537,IF($H537="EN COURS DE PREENGAGEMENT",'ENGAGEMENTS 2026'!N537,IF($H537="PREENGAGE",IF($E537="ATTRIBUE",'ENGAGEMENTS 2026'!AD537,'ENGAGEMENTS 2026'!N537),'ENGAGEMENTS 2026'!AD537))))</f>
        <v/>
      </c>
      <c r="K537" s="604">
        <f>IF(ISBLANK('ENGAGEMENTS 2026'!V537),"",'ENGAGEMENTS 2026'!V537)</f>
        <v/>
      </c>
      <c r="L537" s="276">
        <f>IF($K537="","",TODAY()-$K537)</f>
        <v/>
      </c>
      <c r="M537">
        <f>IF($A537="","",IF($H537="ENGAGE","Engagé",IF(AND($H537="NON ENGAGE",OR($I537="INFRUCTUEUX",$I537="ANNULE")),"Clôturé sans suite","En cours")))</f>
        <v/>
      </c>
      <c r="N537">
        <f>IF(ISBLANK('ENGAGEMENTS 2026'!B537),"",'ENGAGEMENTS 2026'!K537)</f>
        <v/>
      </c>
      <c r="O537">
        <f>IF(ISBLANK('ENGAGEMENTS 2026'!B537),"",'ENGAGEMENTS 2026'!L537)</f>
        <v/>
      </c>
      <c r="P537">
        <f>IF(ISBLANK('ENGAGEMENTS 2026'!B537),"",'ENGAGEMENTS 2026'!J537)</f>
        <v/>
      </c>
      <c r="Q537">
        <f>IF($A537="","",IF(OR($E537="INFRUCTUEUX",$E537="ANNULE"),$A537&amp;"|"&amp;(COUNTIFS($A$2:$A537,$A537,$E$2:$E537,"INFRUCTUEUX")+COUNTIFS($A$2:$A537,$A537,$E$2:$E537,"ANNULE")),""))</f>
        <v/>
      </c>
    </row>
    <row r="538">
      <c r="A538">
        <f>IF(ISBLANK('ENGAGEMENTS 2026'!B538),"",IF('ENGAGEMENTS 2026'!B538="DTSI","DCT",'ENGAGEMENTS 2026'!B538))</f>
        <v/>
      </c>
      <c r="B538">
        <f>IF(ISBLANK('ENGAGEMENTS 2026'!B538),"",'ENGAGEMENTS 2026'!C538)</f>
        <v/>
      </c>
      <c r="C538">
        <f>IF(ISBLANK('ENGAGEMENTS 2026'!B538),"",'ENGAGEMENTS 2026'!D538)</f>
        <v/>
      </c>
      <c r="D538">
        <f>IF(ISBLANK('ENGAGEMENTS 2026'!B538),"",'ENGAGEMENTS 2026'!F538)</f>
        <v/>
      </c>
      <c r="E538">
        <f>IF(ISBLANK('ENGAGEMENTS 2026'!B538),"",'ENGAGEMENTS 2026'!H538)</f>
        <v/>
      </c>
      <c r="F538">
        <f>IF(ISBLANK('ENGAGEMENTS 2026'!B538),"",'ENGAGEMENTS 2026'!I538)</f>
        <v/>
      </c>
      <c r="G538">
        <f>IF(ISBLANK('ENGAGEMENTS 2026'!B538),"",'ENGAGEMENTS 2026'!L538)</f>
        <v/>
      </c>
      <c r="H538">
        <f>IF(ISBLANK('ENGAGEMENTS 2026'!B538),"",'ENGAGEMENTS 2026'!AE538)</f>
        <v/>
      </c>
      <c r="I538">
        <f>IF(ISBLANK('ENGAGEMENTS 2026'!B538),"",'ENGAGEMENTS 2026'!G538)</f>
        <v/>
      </c>
      <c r="J538" s="275">
        <f>IF(ISBLANK('ENGAGEMENTS 2026'!B538),"",IF(AND(OR($E538="INFRUCTUEUX",$E538="ANNULE"),$C538="AOO-M"),'ENGAGEMENTS 2026'!O538,IF($H538="EN COURS DE PREENGAGEMENT",'ENGAGEMENTS 2026'!N538,IF($H538="PREENGAGE",IF($E538="ATTRIBUE",'ENGAGEMENTS 2026'!AD538,'ENGAGEMENTS 2026'!N538),'ENGAGEMENTS 2026'!AD538))))</f>
        <v/>
      </c>
      <c r="K538" s="604">
        <f>IF(ISBLANK('ENGAGEMENTS 2026'!V538),"",'ENGAGEMENTS 2026'!V538)</f>
        <v/>
      </c>
      <c r="L538" s="276">
        <f>IF($K538="","",TODAY()-$K538)</f>
        <v/>
      </c>
      <c r="M538">
        <f>IF($A538="","",IF($H538="ENGAGE","Engagé",IF(AND($H538="NON ENGAGE",OR($I538="INFRUCTUEUX",$I538="ANNULE")),"Clôturé sans suite","En cours")))</f>
        <v/>
      </c>
      <c r="N538">
        <f>IF(ISBLANK('ENGAGEMENTS 2026'!B538),"",'ENGAGEMENTS 2026'!K538)</f>
        <v/>
      </c>
      <c r="O538">
        <f>IF(ISBLANK('ENGAGEMENTS 2026'!B538),"",'ENGAGEMENTS 2026'!L538)</f>
        <v/>
      </c>
      <c r="P538">
        <f>IF(ISBLANK('ENGAGEMENTS 2026'!B538),"",'ENGAGEMENTS 2026'!J538)</f>
        <v/>
      </c>
      <c r="Q538">
        <f>IF($A538="","",IF(OR($E538="INFRUCTUEUX",$E538="ANNULE"),$A538&amp;"|"&amp;(COUNTIFS($A$2:$A538,$A538,$E$2:$E538,"INFRUCTUEUX")+COUNTIFS($A$2:$A538,$A538,$E$2:$E538,"ANNULE")),""))</f>
        <v/>
      </c>
    </row>
    <row r="539">
      <c r="A539">
        <f>IF(ISBLANK('ENGAGEMENTS 2026'!B539),"",IF('ENGAGEMENTS 2026'!B539="DTSI","DCT",'ENGAGEMENTS 2026'!B539))</f>
        <v/>
      </c>
      <c r="B539">
        <f>IF(ISBLANK('ENGAGEMENTS 2026'!B539),"",'ENGAGEMENTS 2026'!C539)</f>
        <v/>
      </c>
      <c r="C539">
        <f>IF(ISBLANK('ENGAGEMENTS 2026'!B539),"",'ENGAGEMENTS 2026'!D539)</f>
        <v/>
      </c>
      <c r="D539">
        <f>IF(ISBLANK('ENGAGEMENTS 2026'!B539),"",'ENGAGEMENTS 2026'!F539)</f>
        <v/>
      </c>
      <c r="E539">
        <f>IF(ISBLANK('ENGAGEMENTS 2026'!B539),"",'ENGAGEMENTS 2026'!H539)</f>
        <v/>
      </c>
      <c r="F539">
        <f>IF(ISBLANK('ENGAGEMENTS 2026'!B539),"",'ENGAGEMENTS 2026'!I539)</f>
        <v/>
      </c>
      <c r="G539">
        <f>IF(ISBLANK('ENGAGEMENTS 2026'!B539),"",'ENGAGEMENTS 2026'!L539)</f>
        <v/>
      </c>
      <c r="H539">
        <f>IF(ISBLANK('ENGAGEMENTS 2026'!B539),"",'ENGAGEMENTS 2026'!AE539)</f>
        <v/>
      </c>
      <c r="I539">
        <f>IF(ISBLANK('ENGAGEMENTS 2026'!B539),"",'ENGAGEMENTS 2026'!G539)</f>
        <v/>
      </c>
      <c r="J539" s="275">
        <f>IF(ISBLANK('ENGAGEMENTS 2026'!B539),"",IF(AND(OR($E539="INFRUCTUEUX",$E539="ANNULE"),$C539="AOO-M"),'ENGAGEMENTS 2026'!O539,IF($H539="EN COURS DE PREENGAGEMENT",'ENGAGEMENTS 2026'!N539,IF($H539="PREENGAGE",IF($E539="ATTRIBUE",'ENGAGEMENTS 2026'!AD539,'ENGAGEMENTS 2026'!N539),'ENGAGEMENTS 2026'!AD539))))</f>
        <v/>
      </c>
      <c r="K539" s="604">
        <f>IF(ISBLANK('ENGAGEMENTS 2026'!V539),"",'ENGAGEMENTS 2026'!V539)</f>
        <v/>
      </c>
      <c r="L539" s="276">
        <f>IF($K539="","",TODAY()-$K539)</f>
        <v/>
      </c>
      <c r="M539">
        <f>IF($A539="","",IF($H539="ENGAGE","Engagé",IF(AND($H539="NON ENGAGE",OR($I539="INFRUCTUEUX",$I539="ANNULE")),"Clôturé sans suite","En cours")))</f>
        <v/>
      </c>
      <c r="N539">
        <f>IF(ISBLANK('ENGAGEMENTS 2026'!B539),"",'ENGAGEMENTS 2026'!K539)</f>
        <v/>
      </c>
      <c r="O539">
        <f>IF(ISBLANK('ENGAGEMENTS 2026'!B539),"",'ENGAGEMENTS 2026'!L539)</f>
        <v/>
      </c>
      <c r="P539">
        <f>IF(ISBLANK('ENGAGEMENTS 2026'!B539),"",'ENGAGEMENTS 2026'!J539)</f>
        <v/>
      </c>
      <c r="Q539">
        <f>IF($A539="","",IF(OR($E539="INFRUCTUEUX",$E539="ANNULE"),$A539&amp;"|"&amp;(COUNTIFS($A$2:$A539,$A539,$E$2:$E539,"INFRUCTUEUX")+COUNTIFS($A$2:$A539,$A539,$E$2:$E539,"ANNULE")),""))</f>
        <v/>
      </c>
    </row>
    <row r="540">
      <c r="A540">
        <f>IF(ISBLANK('ENGAGEMENTS 2026'!B540),"",IF('ENGAGEMENTS 2026'!B540="DTSI","DCT",'ENGAGEMENTS 2026'!B540))</f>
        <v/>
      </c>
      <c r="B540">
        <f>IF(ISBLANK('ENGAGEMENTS 2026'!B540),"",'ENGAGEMENTS 2026'!C540)</f>
        <v/>
      </c>
      <c r="C540">
        <f>IF(ISBLANK('ENGAGEMENTS 2026'!B540),"",'ENGAGEMENTS 2026'!D540)</f>
        <v/>
      </c>
      <c r="D540">
        <f>IF(ISBLANK('ENGAGEMENTS 2026'!B540),"",'ENGAGEMENTS 2026'!F540)</f>
        <v/>
      </c>
      <c r="E540">
        <f>IF(ISBLANK('ENGAGEMENTS 2026'!B540),"",'ENGAGEMENTS 2026'!H540)</f>
        <v/>
      </c>
      <c r="F540">
        <f>IF(ISBLANK('ENGAGEMENTS 2026'!B540),"",'ENGAGEMENTS 2026'!I540)</f>
        <v/>
      </c>
      <c r="G540">
        <f>IF(ISBLANK('ENGAGEMENTS 2026'!B540),"",'ENGAGEMENTS 2026'!L540)</f>
        <v/>
      </c>
      <c r="H540">
        <f>IF(ISBLANK('ENGAGEMENTS 2026'!B540),"",'ENGAGEMENTS 2026'!AE540)</f>
        <v/>
      </c>
      <c r="I540">
        <f>IF(ISBLANK('ENGAGEMENTS 2026'!B540),"",'ENGAGEMENTS 2026'!G540)</f>
        <v/>
      </c>
      <c r="J540" s="275">
        <f>IF(ISBLANK('ENGAGEMENTS 2026'!B540),"",IF(AND(OR($E540="INFRUCTUEUX",$E540="ANNULE"),$C540="AOO-M"),'ENGAGEMENTS 2026'!O540,IF($H540="EN COURS DE PREENGAGEMENT",'ENGAGEMENTS 2026'!N540,IF($H540="PREENGAGE",IF($E540="ATTRIBUE",'ENGAGEMENTS 2026'!AD540,'ENGAGEMENTS 2026'!N540),'ENGAGEMENTS 2026'!AD540))))</f>
        <v/>
      </c>
      <c r="K540" s="604">
        <f>IF(ISBLANK('ENGAGEMENTS 2026'!V540),"",'ENGAGEMENTS 2026'!V540)</f>
        <v/>
      </c>
      <c r="L540" s="276">
        <f>IF($K540="","",TODAY()-$K540)</f>
        <v/>
      </c>
      <c r="M540">
        <f>IF($A540="","",IF($H540="ENGAGE","Engagé",IF(AND($H540="NON ENGAGE",OR($I540="INFRUCTUEUX",$I540="ANNULE")),"Clôturé sans suite","En cours")))</f>
        <v/>
      </c>
      <c r="N540">
        <f>IF(ISBLANK('ENGAGEMENTS 2026'!B540),"",'ENGAGEMENTS 2026'!K540)</f>
        <v/>
      </c>
      <c r="O540">
        <f>IF(ISBLANK('ENGAGEMENTS 2026'!B540),"",'ENGAGEMENTS 2026'!L540)</f>
        <v/>
      </c>
      <c r="P540">
        <f>IF(ISBLANK('ENGAGEMENTS 2026'!B540),"",'ENGAGEMENTS 2026'!J540)</f>
        <v/>
      </c>
      <c r="Q540">
        <f>IF($A540="","",IF(OR($E540="INFRUCTUEUX",$E540="ANNULE"),$A540&amp;"|"&amp;(COUNTIFS($A$2:$A540,$A540,$E$2:$E540,"INFRUCTUEUX")+COUNTIFS($A$2:$A540,$A540,$E$2:$E540,"ANNULE")),""))</f>
        <v/>
      </c>
    </row>
    <row r="541">
      <c r="A541">
        <f>IF(ISBLANK('ENGAGEMENTS 2026'!B541),"",IF('ENGAGEMENTS 2026'!B541="DTSI","DCT",'ENGAGEMENTS 2026'!B541))</f>
        <v/>
      </c>
      <c r="B541">
        <f>IF(ISBLANK('ENGAGEMENTS 2026'!B541),"",'ENGAGEMENTS 2026'!C541)</f>
        <v/>
      </c>
      <c r="C541">
        <f>IF(ISBLANK('ENGAGEMENTS 2026'!B541),"",'ENGAGEMENTS 2026'!D541)</f>
        <v/>
      </c>
      <c r="D541">
        <f>IF(ISBLANK('ENGAGEMENTS 2026'!B541),"",'ENGAGEMENTS 2026'!F541)</f>
        <v/>
      </c>
      <c r="E541">
        <f>IF(ISBLANK('ENGAGEMENTS 2026'!B541),"",'ENGAGEMENTS 2026'!H541)</f>
        <v/>
      </c>
      <c r="F541">
        <f>IF(ISBLANK('ENGAGEMENTS 2026'!B541),"",'ENGAGEMENTS 2026'!I541)</f>
        <v/>
      </c>
      <c r="G541">
        <f>IF(ISBLANK('ENGAGEMENTS 2026'!B541),"",'ENGAGEMENTS 2026'!L541)</f>
        <v/>
      </c>
      <c r="H541">
        <f>IF(ISBLANK('ENGAGEMENTS 2026'!B541),"",'ENGAGEMENTS 2026'!AE541)</f>
        <v/>
      </c>
      <c r="I541">
        <f>IF(ISBLANK('ENGAGEMENTS 2026'!B541),"",'ENGAGEMENTS 2026'!G541)</f>
        <v/>
      </c>
      <c r="J541" s="275">
        <f>IF(ISBLANK('ENGAGEMENTS 2026'!B541),"",IF(AND(OR($E541="INFRUCTUEUX",$E541="ANNULE"),$C541="AOO-M"),'ENGAGEMENTS 2026'!O541,IF($H541="EN COURS DE PREENGAGEMENT",'ENGAGEMENTS 2026'!N541,IF($H541="PREENGAGE",IF($E541="ATTRIBUE",'ENGAGEMENTS 2026'!AD541,'ENGAGEMENTS 2026'!N541),'ENGAGEMENTS 2026'!AD541))))</f>
        <v/>
      </c>
      <c r="K541" s="604">
        <f>IF(ISBLANK('ENGAGEMENTS 2026'!V541),"",'ENGAGEMENTS 2026'!V541)</f>
        <v/>
      </c>
      <c r="L541" s="276">
        <f>IF($K541="","",TODAY()-$K541)</f>
        <v/>
      </c>
      <c r="M541">
        <f>IF($A541="","",IF($H541="ENGAGE","Engagé",IF(AND($H541="NON ENGAGE",OR($I541="INFRUCTUEUX",$I541="ANNULE")),"Clôturé sans suite","En cours")))</f>
        <v/>
      </c>
      <c r="N541">
        <f>IF(ISBLANK('ENGAGEMENTS 2026'!B541),"",'ENGAGEMENTS 2026'!K541)</f>
        <v/>
      </c>
      <c r="O541">
        <f>IF(ISBLANK('ENGAGEMENTS 2026'!B541),"",'ENGAGEMENTS 2026'!L541)</f>
        <v/>
      </c>
      <c r="P541">
        <f>IF(ISBLANK('ENGAGEMENTS 2026'!B541),"",'ENGAGEMENTS 2026'!J541)</f>
        <v/>
      </c>
      <c r="Q541">
        <f>IF($A541="","",IF(OR($E541="INFRUCTUEUX",$E541="ANNULE"),$A541&amp;"|"&amp;(COUNTIFS($A$2:$A541,$A541,$E$2:$E541,"INFRUCTUEUX")+COUNTIFS($A$2:$A541,$A541,$E$2:$E541,"ANNULE")),""))</f>
        <v/>
      </c>
    </row>
    <row r="542">
      <c r="A542">
        <f>IF(ISBLANK('ENGAGEMENTS 2026'!B542),"",IF('ENGAGEMENTS 2026'!B542="DTSI","DCT",'ENGAGEMENTS 2026'!B542))</f>
        <v/>
      </c>
      <c r="B542">
        <f>IF(ISBLANK('ENGAGEMENTS 2026'!B542),"",'ENGAGEMENTS 2026'!C542)</f>
        <v/>
      </c>
      <c r="C542">
        <f>IF(ISBLANK('ENGAGEMENTS 2026'!B542),"",'ENGAGEMENTS 2026'!D542)</f>
        <v/>
      </c>
      <c r="D542">
        <f>IF(ISBLANK('ENGAGEMENTS 2026'!B542),"",'ENGAGEMENTS 2026'!F542)</f>
        <v/>
      </c>
      <c r="E542">
        <f>IF(ISBLANK('ENGAGEMENTS 2026'!B542),"",'ENGAGEMENTS 2026'!H542)</f>
        <v/>
      </c>
      <c r="F542">
        <f>IF(ISBLANK('ENGAGEMENTS 2026'!B542),"",'ENGAGEMENTS 2026'!I542)</f>
        <v/>
      </c>
      <c r="G542">
        <f>IF(ISBLANK('ENGAGEMENTS 2026'!B542),"",'ENGAGEMENTS 2026'!L542)</f>
        <v/>
      </c>
      <c r="H542">
        <f>IF(ISBLANK('ENGAGEMENTS 2026'!B542),"",'ENGAGEMENTS 2026'!AE542)</f>
        <v/>
      </c>
      <c r="I542">
        <f>IF(ISBLANK('ENGAGEMENTS 2026'!B542),"",'ENGAGEMENTS 2026'!G542)</f>
        <v/>
      </c>
      <c r="J542" s="275">
        <f>IF(ISBLANK('ENGAGEMENTS 2026'!B542),"",IF(AND(OR($E542="INFRUCTUEUX",$E542="ANNULE"),$C542="AOO-M"),'ENGAGEMENTS 2026'!O542,IF($H542="EN COURS DE PREENGAGEMENT",'ENGAGEMENTS 2026'!N542,IF($H542="PREENGAGE",IF($E542="ATTRIBUE",'ENGAGEMENTS 2026'!AD542,'ENGAGEMENTS 2026'!N542),'ENGAGEMENTS 2026'!AD542))))</f>
        <v/>
      </c>
      <c r="K542" s="604">
        <f>IF(ISBLANK('ENGAGEMENTS 2026'!V542),"",'ENGAGEMENTS 2026'!V542)</f>
        <v/>
      </c>
      <c r="L542" s="276">
        <f>IF($K542="","",TODAY()-$K542)</f>
        <v/>
      </c>
      <c r="M542">
        <f>IF($A542="","",IF($H542="ENGAGE","Engagé",IF(AND($H542="NON ENGAGE",OR($I542="INFRUCTUEUX",$I542="ANNULE")),"Clôturé sans suite","En cours")))</f>
        <v/>
      </c>
      <c r="N542">
        <f>IF(ISBLANK('ENGAGEMENTS 2026'!B542),"",'ENGAGEMENTS 2026'!K542)</f>
        <v/>
      </c>
      <c r="O542">
        <f>IF(ISBLANK('ENGAGEMENTS 2026'!B542),"",'ENGAGEMENTS 2026'!L542)</f>
        <v/>
      </c>
      <c r="P542">
        <f>IF(ISBLANK('ENGAGEMENTS 2026'!B542),"",'ENGAGEMENTS 2026'!J542)</f>
        <v/>
      </c>
      <c r="Q542">
        <f>IF($A542="","",IF(OR($E542="INFRUCTUEUX",$E542="ANNULE"),$A542&amp;"|"&amp;(COUNTIFS($A$2:$A542,$A542,$E$2:$E542,"INFRUCTUEUX")+COUNTIFS($A$2:$A542,$A542,$E$2:$E542,"ANNULE")),""))</f>
        <v/>
      </c>
    </row>
    <row r="543">
      <c r="A543">
        <f>IF(ISBLANK('ENGAGEMENTS 2026'!B543),"",IF('ENGAGEMENTS 2026'!B543="DTSI","DCT",'ENGAGEMENTS 2026'!B543))</f>
        <v/>
      </c>
      <c r="B543">
        <f>IF(ISBLANK('ENGAGEMENTS 2026'!B543),"",'ENGAGEMENTS 2026'!C543)</f>
        <v/>
      </c>
      <c r="C543">
        <f>IF(ISBLANK('ENGAGEMENTS 2026'!B543),"",'ENGAGEMENTS 2026'!D543)</f>
        <v/>
      </c>
      <c r="D543">
        <f>IF(ISBLANK('ENGAGEMENTS 2026'!B543),"",'ENGAGEMENTS 2026'!F543)</f>
        <v/>
      </c>
      <c r="E543">
        <f>IF(ISBLANK('ENGAGEMENTS 2026'!B543),"",'ENGAGEMENTS 2026'!H543)</f>
        <v/>
      </c>
      <c r="F543">
        <f>IF(ISBLANK('ENGAGEMENTS 2026'!B543),"",'ENGAGEMENTS 2026'!I543)</f>
        <v/>
      </c>
      <c r="G543">
        <f>IF(ISBLANK('ENGAGEMENTS 2026'!B543),"",'ENGAGEMENTS 2026'!L543)</f>
        <v/>
      </c>
      <c r="H543">
        <f>IF(ISBLANK('ENGAGEMENTS 2026'!B543),"",'ENGAGEMENTS 2026'!AE543)</f>
        <v/>
      </c>
      <c r="I543">
        <f>IF(ISBLANK('ENGAGEMENTS 2026'!B543),"",'ENGAGEMENTS 2026'!G543)</f>
        <v/>
      </c>
      <c r="J543" s="275">
        <f>IF(ISBLANK('ENGAGEMENTS 2026'!B543),"",IF(AND(OR($E543="INFRUCTUEUX",$E543="ANNULE"),$C543="AOO-M"),'ENGAGEMENTS 2026'!O543,IF($H543="EN COURS DE PREENGAGEMENT",'ENGAGEMENTS 2026'!N543,IF($H543="PREENGAGE",IF($E543="ATTRIBUE",'ENGAGEMENTS 2026'!AD543,'ENGAGEMENTS 2026'!N543),'ENGAGEMENTS 2026'!AD543))))</f>
        <v/>
      </c>
      <c r="K543" s="604">
        <f>IF(ISBLANK('ENGAGEMENTS 2026'!V543),"",'ENGAGEMENTS 2026'!V543)</f>
        <v/>
      </c>
      <c r="L543" s="276">
        <f>IF($K543="","",TODAY()-$K543)</f>
        <v/>
      </c>
      <c r="M543">
        <f>IF($A543="","",IF($H543="ENGAGE","Engagé",IF(AND($H543="NON ENGAGE",OR($I543="INFRUCTUEUX",$I543="ANNULE")),"Clôturé sans suite","En cours")))</f>
        <v/>
      </c>
      <c r="N543">
        <f>IF(ISBLANK('ENGAGEMENTS 2026'!B543),"",'ENGAGEMENTS 2026'!K543)</f>
        <v/>
      </c>
      <c r="O543">
        <f>IF(ISBLANK('ENGAGEMENTS 2026'!B543),"",'ENGAGEMENTS 2026'!L543)</f>
        <v/>
      </c>
      <c r="P543">
        <f>IF(ISBLANK('ENGAGEMENTS 2026'!B543),"",'ENGAGEMENTS 2026'!J543)</f>
        <v/>
      </c>
      <c r="Q543">
        <f>IF($A543="","",IF(OR($E543="INFRUCTUEUX",$E543="ANNULE"),$A543&amp;"|"&amp;(COUNTIFS($A$2:$A543,$A543,$E$2:$E543,"INFRUCTUEUX")+COUNTIFS($A$2:$A543,$A543,$E$2:$E543,"ANNULE")),""))</f>
        <v/>
      </c>
    </row>
    <row r="544">
      <c r="A544">
        <f>IF(ISBLANK('ENGAGEMENTS 2026'!B544),"",IF('ENGAGEMENTS 2026'!B544="DTSI","DCT",'ENGAGEMENTS 2026'!B544))</f>
        <v/>
      </c>
      <c r="B544">
        <f>IF(ISBLANK('ENGAGEMENTS 2026'!B544),"",'ENGAGEMENTS 2026'!C544)</f>
        <v/>
      </c>
      <c r="C544">
        <f>IF(ISBLANK('ENGAGEMENTS 2026'!B544),"",'ENGAGEMENTS 2026'!D544)</f>
        <v/>
      </c>
      <c r="D544">
        <f>IF(ISBLANK('ENGAGEMENTS 2026'!B544),"",'ENGAGEMENTS 2026'!F544)</f>
        <v/>
      </c>
      <c r="E544">
        <f>IF(ISBLANK('ENGAGEMENTS 2026'!B544),"",'ENGAGEMENTS 2026'!H544)</f>
        <v/>
      </c>
      <c r="F544">
        <f>IF(ISBLANK('ENGAGEMENTS 2026'!B544),"",'ENGAGEMENTS 2026'!I544)</f>
        <v/>
      </c>
      <c r="G544">
        <f>IF(ISBLANK('ENGAGEMENTS 2026'!B544),"",'ENGAGEMENTS 2026'!L544)</f>
        <v/>
      </c>
      <c r="H544">
        <f>IF(ISBLANK('ENGAGEMENTS 2026'!B544),"",'ENGAGEMENTS 2026'!AE544)</f>
        <v/>
      </c>
      <c r="I544">
        <f>IF(ISBLANK('ENGAGEMENTS 2026'!B544),"",'ENGAGEMENTS 2026'!G544)</f>
        <v/>
      </c>
      <c r="J544" s="275">
        <f>IF(ISBLANK('ENGAGEMENTS 2026'!B544),"",IF(AND(OR($E544="INFRUCTUEUX",$E544="ANNULE"),$C544="AOO-M"),'ENGAGEMENTS 2026'!O544,IF($H544="EN COURS DE PREENGAGEMENT",'ENGAGEMENTS 2026'!N544,IF($H544="PREENGAGE",IF($E544="ATTRIBUE",'ENGAGEMENTS 2026'!AD544,'ENGAGEMENTS 2026'!N544),'ENGAGEMENTS 2026'!AD544))))</f>
        <v/>
      </c>
      <c r="K544" s="604">
        <f>IF(ISBLANK('ENGAGEMENTS 2026'!V544),"",'ENGAGEMENTS 2026'!V544)</f>
        <v/>
      </c>
      <c r="L544" s="276">
        <f>IF($K544="","",TODAY()-$K544)</f>
        <v/>
      </c>
      <c r="M544">
        <f>IF($A544="","",IF($H544="ENGAGE","Engagé",IF(AND($H544="NON ENGAGE",OR($I544="INFRUCTUEUX",$I544="ANNULE")),"Clôturé sans suite","En cours")))</f>
        <v/>
      </c>
      <c r="N544">
        <f>IF(ISBLANK('ENGAGEMENTS 2026'!B544),"",'ENGAGEMENTS 2026'!K544)</f>
        <v/>
      </c>
      <c r="O544">
        <f>IF(ISBLANK('ENGAGEMENTS 2026'!B544),"",'ENGAGEMENTS 2026'!L544)</f>
        <v/>
      </c>
      <c r="P544">
        <f>IF(ISBLANK('ENGAGEMENTS 2026'!B544),"",'ENGAGEMENTS 2026'!J544)</f>
        <v/>
      </c>
      <c r="Q544">
        <f>IF($A544="","",IF(OR($E544="INFRUCTUEUX",$E544="ANNULE"),$A544&amp;"|"&amp;(COUNTIFS($A$2:$A544,$A544,$E$2:$E544,"INFRUCTUEUX")+COUNTIFS($A$2:$A544,$A544,$E$2:$E544,"ANNULE")),""))</f>
        <v/>
      </c>
    </row>
    <row r="545">
      <c r="A545">
        <f>IF(ISBLANK('ENGAGEMENTS 2026'!B545),"",IF('ENGAGEMENTS 2026'!B545="DTSI","DCT",'ENGAGEMENTS 2026'!B545))</f>
        <v/>
      </c>
      <c r="B545">
        <f>IF(ISBLANK('ENGAGEMENTS 2026'!B545),"",'ENGAGEMENTS 2026'!C545)</f>
        <v/>
      </c>
      <c r="C545">
        <f>IF(ISBLANK('ENGAGEMENTS 2026'!B545),"",'ENGAGEMENTS 2026'!D545)</f>
        <v/>
      </c>
      <c r="D545">
        <f>IF(ISBLANK('ENGAGEMENTS 2026'!B545),"",'ENGAGEMENTS 2026'!F545)</f>
        <v/>
      </c>
      <c r="E545">
        <f>IF(ISBLANK('ENGAGEMENTS 2026'!B545),"",'ENGAGEMENTS 2026'!H545)</f>
        <v/>
      </c>
      <c r="F545">
        <f>IF(ISBLANK('ENGAGEMENTS 2026'!B545),"",'ENGAGEMENTS 2026'!I545)</f>
        <v/>
      </c>
      <c r="G545">
        <f>IF(ISBLANK('ENGAGEMENTS 2026'!B545),"",'ENGAGEMENTS 2026'!L545)</f>
        <v/>
      </c>
      <c r="H545">
        <f>IF(ISBLANK('ENGAGEMENTS 2026'!B545),"",'ENGAGEMENTS 2026'!AE545)</f>
        <v/>
      </c>
      <c r="I545">
        <f>IF(ISBLANK('ENGAGEMENTS 2026'!B545),"",'ENGAGEMENTS 2026'!G545)</f>
        <v/>
      </c>
      <c r="J545" s="275">
        <f>IF(ISBLANK('ENGAGEMENTS 2026'!B545),"",IF(AND(OR($E545="INFRUCTUEUX",$E545="ANNULE"),$C545="AOO-M"),'ENGAGEMENTS 2026'!O545,IF($H545="EN COURS DE PREENGAGEMENT",'ENGAGEMENTS 2026'!N545,IF($H545="PREENGAGE",IF($E545="ATTRIBUE",'ENGAGEMENTS 2026'!AD545,'ENGAGEMENTS 2026'!N545),'ENGAGEMENTS 2026'!AD545))))</f>
        <v/>
      </c>
      <c r="K545" s="604">
        <f>IF(ISBLANK('ENGAGEMENTS 2026'!V545),"",'ENGAGEMENTS 2026'!V545)</f>
        <v/>
      </c>
      <c r="L545" s="276">
        <f>IF($K545="","",TODAY()-$K545)</f>
        <v/>
      </c>
      <c r="M545">
        <f>IF($A545="","",IF($H545="ENGAGE","Engagé",IF(AND($H545="NON ENGAGE",OR($I545="INFRUCTUEUX",$I545="ANNULE")),"Clôturé sans suite","En cours")))</f>
        <v/>
      </c>
      <c r="N545">
        <f>IF(ISBLANK('ENGAGEMENTS 2026'!B545),"",'ENGAGEMENTS 2026'!K545)</f>
        <v/>
      </c>
      <c r="O545">
        <f>IF(ISBLANK('ENGAGEMENTS 2026'!B545),"",'ENGAGEMENTS 2026'!L545)</f>
        <v/>
      </c>
      <c r="P545">
        <f>IF(ISBLANK('ENGAGEMENTS 2026'!B545),"",'ENGAGEMENTS 2026'!J545)</f>
        <v/>
      </c>
      <c r="Q545">
        <f>IF($A545="","",IF(OR($E545="INFRUCTUEUX",$E545="ANNULE"),$A545&amp;"|"&amp;(COUNTIFS($A$2:$A545,$A545,$E$2:$E545,"INFRUCTUEUX")+COUNTIFS($A$2:$A545,$A545,$E$2:$E545,"ANNULE")),""))</f>
        <v/>
      </c>
    </row>
    <row r="546">
      <c r="A546">
        <f>IF(ISBLANK('ENGAGEMENTS 2026'!B546),"",IF('ENGAGEMENTS 2026'!B546="DTSI","DCT",'ENGAGEMENTS 2026'!B546))</f>
        <v/>
      </c>
      <c r="B546">
        <f>IF(ISBLANK('ENGAGEMENTS 2026'!B546),"",'ENGAGEMENTS 2026'!C546)</f>
        <v/>
      </c>
      <c r="C546">
        <f>IF(ISBLANK('ENGAGEMENTS 2026'!B546),"",'ENGAGEMENTS 2026'!D546)</f>
        <v/>
      </c>
      <c r="D546">
        <f>IF(ISBLANK('ENGAGEMENTS 2026'!B546),"",'ENGAGEMENTS 2026'!F546)</f>
        <v/>
      </c>
      <c r="E546">
        <f>IF(ISBLANK('ENGAGEMENTS 2026'!B546),"",'ENGAGEMENTS 2026'!H546)</f>
        <v/>
      </c>
      <c r="F546">
        <f>IF(ISBLANK('ENGAGEMENTS 2026'!B546),"",'ENGAGEMENTS 2026'!I546)</f>
        <v/>
      </c>
      <c r="G546">
        <f>IF(ISBLANK('ENGAGEMENTS 2026'!B546),"",'ENGAGEMENTS 2026'!L546)</f>
        <v/>
      </c>
      <c r="H546">
        <f>IF(ISBLANK('ENGAGEMENTS 2026'!B546),"",'ENGAGEMENTS 2026'!AE546)</f>
        <v/>
      </c>
      <c r="I546">
        <f>IF(ISBLANK('ENGAGEMENTS 2026'!B546),"",'ENGAGEMENTS 2026'!G546)</f>
        <v/>
      </c>
      <c r="J546" s="275">
        <f>IF(ISBLANK('ENGAGEMENTS 2026'!B546),"",IF(AND(OR($E546="INFRUCTUEUX",$E546="ANNULE"),$C546="AOO-M"),'ENGAGEMENTS 2026'!O546,IF($H546="EN COURS DE PREENGAGEMENT",'ENGAGEMENTS 2026'!N546,IF($H546="PREENGAGE",IF($E546="ATTRIBUE",'ENGAGEMENTS 2026'!AD546,'ENGAGEMENTS 2026'!N546),'ENGAGEMENTS 2026'!AD546))))</f>
        <v/>
      </c>
      <c r="K546" s="604">
        <f>IF(ISBLANK('ENGAGEMENTS 2026'!V546),"",'ENGAGEMENTS 2026'!V546)</f>
        <v/>
      </c>
      <c r="L546" s="276">
        <f>IF($K546="","",TODAY()-$K546)</f>
        <v/>
      </c>
      <c r="M546">
        <f>IF($A546="","",IF($H546="ENGAGE","Engagé",IF(AND($H546="NON ENGAGE",OR($I546="INFRUCTUEUX",$I546="ANNULE")),"Clôturé sans suite","En cours")))</f>
        <v/>
      </c>
      <c r="N546">
        <f>IF(ISBLANK('ENGAGEMENTS 2026'!B546),"",'ENGAGEMENTS 2026'!K546)</f>
        <v/>
      </c>
      <c r="O546">
        <f>IF(ISBLANK('ENGAGEMENTS 2026'!B546),"",'ENGAGEMENTS 2026'!L546)</f>
        <v/>
      </c>
      <c r="P546">
        <f>IF(ISBLANK('ENGAGEMENTS 2026'!B546),"",'ENGAGEMENTS 2026'!J546)</f>
        <v/>
      </c>
      <c r="Q546">
        <f>IF($A546="","",IF(OR($E546="INFRUCTUEUX",$E546="ANNULE"),$A546&amp;"|"&amp;(COUNTIFS($A$2:$A546,$A546,$E$2:$E546,"INFRUCTUEUX")+COUNTIFS($A$2:$A546,$A546,$E$2:$E546,"ANNULE")),""))</f>
        <v/>
      </c>
    </row>
    <row r="547">
      <c r="A547">
        <f>IF(ISBLANK('ENGAGEMENTS 2026'!B547),"",IF('ENGAGEMENTS 2026'!B547="DTSI","DCT",'ENGAGEMENTS 2026'!B547))</f>
        <v/>
      </c>
      <c r="B547">
        <f>IF(ISBLANK('ENGAGEMENTS 2026'!B547),"",'ENGAGEMENTS 2026'!C547)</f>
        <v/>
      </c>
      <c r="C547">
        <f>IF(ISBLANK('ENGAGEMENTS 2026'!B547),"",'ENGAGEMENTS 2026'!D547)</f>
        <v/>
      </c>
      <c r="D547">
        <f>IF(ISBLANK('ENGAGEMENTS 2026'!B547),"",'ENGAGEMENTS 2026'!F547)</f>
        <v/>
      </c>
      <c r="E547">
        <f>IF(ISBLANK('ENGAGEMENTS 2026'!B547),"",'ENGAGEMENTS 2026'!H547)</f>
        <v/>
      </c>
      <c r="F547">
        <f>IF(ISBLANK('ENGAGEMENTS 2026'!B547),"",'ENGAGEMENTS 2026'!I547)</f>
        <v/>
      </c>
      <c r="G547">
        <f>IF(ISBLANK('ENGAGEMENTS 2026'!B547),"",'ENGAGEMENTS 2026'!L547)</f>
        <v/>
      </c>
      <c r="H547">
        <f>IF(ISBLANK('ENGAGEMENTS 2026'!B547),"",'ENGAGEMENTS 2026'!AE547)</f>
        <v/>
      </c>
      <c r="I547">
        <f>IF(ISBLANK('ENGAGEMENTS 2026'!B547),"",'ENGAGEMENTS 2026'!G547)</f>
        <v/>
      </c>
      <c r="J547" s="275">
        <f>IF(ISBLANK('ENGAGEMENTS 2026'!B547),"",IF(AND(OR($E547="INFRUCTUEUX",$E547="ANNULE"),$C547="AOO-M"),'ENGAGEMENTS 2026'!O547,IF($H547="EN COURS DE PREENGAGEMENT",'ENGAGEMENTS 2026'!N547,IF($H547="PREENGAGE",IF($E547="ATTRIBUE",'ENGAGEMENTS 2026'!AD547,'ENGAGEMENTS 2026'!N547),'ENGAGEMENTS 2026'!AD547))))</f>
        <v/>
      </c>
      <c r="K547" s="604">
        <f>IF(ISBLANK('ENGAGEMENTS 2026'!V547),"",'ENGAGEMENTS 2026'!V547)</f>
        <v/>
      </c>
      <c r="L547" s="276">
        <f>IF($K547="","",TODAY()-$K547)</f>
        <v/>
      </c>
      <c r="M547">
        <f>IF($A547="","",IF($H547="ENGAGE","Engagé",IF(AND($H547="NON ENGAGE",OR($I547="INFRUCTUEUX",$I547="ANNULE")),"Clôturé sans suite","En cours")))</f>
        <v/>
      </c>
      <c r="N547">
        <f>IF(ISBLANK('ENGAGEMENTS 2026'!B547),"",'ENGAGEMENTS 2026'!K547)</f>
        <v/>
      </c>
      <c r="O547">
        <f>IF(ISBLANK('ENGAGEMENTS 2026'!B547),"",'ENGAGEMENTS 2026'!L547)</f>
        <v/>
      </c>
      <c r="P547">
        <f>IF(ISBLANK('ENGAGEMENTS 2026'!B547),"",'ENGAGEMENTS 2026'!J547)</f>
        <v/>
      </c>
      <c r="Q547">
        <f>IF($A547="","",IF(OR($E547="INFRUCTUEUX",$E547="ANNULE"),$A547&amp;"|"&amp;(COUNTIFS($A$2:$A547,$A547,$E$2:$E547,"INFRUCTUEUX")+COUNTIFS($A$2:$A547,$A547,$E$2:$E547,"ANNULE")),""))</f>
        <v/>
      </c>
    </row>
    <row r="548">
      <c r="A548">
        <f>IF(ISBLANK('ENGAGEMENTS 2026'!B548),"",IF('ENGAGEMENTS 2026'!B548="DTSI","DCT",'ENGAGEMENTS 2026'!B548))</f>
        <v/>
      </c>
      <c r="B548">
        <f>IF(ISBLANK('ENGAGEMENTS 2026'!B548),"",'ENGAGEMENTS 2026'!C548)</f>
        <v/>
      </c>
      <c r="C548">
        <f>IF(ISBLANK('ENGAGEMENTS 2026'!B548),"",'ENGAGEMENTS 2026'!D548)</f>
        <v/>
      </c>
      <c r="D548">
        <f>IF(ISBLANK('ENGAGEMENTS 2026'!B548),"",'ENGAGEMENTS 2026'!F548)</f>
        <v/>
      </c>
      <c r="E548">
        <f>IF(ISBLANK('ENGAGEMENTS 2026'!B548),"",'ENGAGEMENTS 2026'!H548)</f>
        <v/>
      </c>
      <c r="F548">
        <f>IF(ISBLANK('ENGAGEMENTS 2026'!B548),"",'ENGAGEMENTS 2026'!I548)</f>
        <v/>
      </c>
      <c r="G548">
        <f>IF(ISBLANK('ENGAGEMENTS 2026'!B548),"",'ENGAGEMENTS 2026'!L548)</f>
        <v/>
      </c>
      <c r="H548">
        <f>IF(ISBLANK('ENGAGEMENTS 2026'!B548),"",'ENGAGEMENTS 2026'!AE548)</f>
        <v/>
      </c>
      <c r="I548">
        <f>IF(ISBLANK('ENGAGEMENTS 2026'!B548),"",'ENGAGEMENTS 2026'!G548)</f>
        <v/>
      </c>
      <c r="J548" s="275">
        <f>IF(ISBLANK('ENGAGEMENTS 2026'!B548),"",IF(AND(OR($E548="INFRUCTUEUX",$E548="ANNULE"),$C548="AOO-M"),'ENGAGEMENTS 2026'!O548,IF($H548="EN COURS DE PREENGAGEMENT",'ENGAGEMENTS 2026'!N548,IF($H548="PREENGAGE",IF($E548="ATTRIBUE",'ENGAGEMENTS 2026'!AD548,'ENGAGEMENTS 2026'!N548),'ENGAGEMENTS 2026'!AD548))))</f>
        <v/>
      </c>
      <c r="K548" s="604">
        <f>IF(ISBLANK('ENGAGEMENTS 2026'!V548),"",'ENGAGEMENTS 2026'!V548)</f>
        <v/>
      </c>
      <c r="L548" s="276">
        <f>IF($K548="","",TODAY()-$K548)</f>
        <v/>
      </c>
      <c r="M548">
        <f>IF($A548="","",IF($H548="ENGAGE","Engagé",IF(AND($H548="NON ENGAGE",OR($I548="INFRUCTUEUX",$I548="ANNULE")),"Clôturé sans suite","En cours")))</f>
        <v/>
      </c>
      <c r="N548">
        <f>IF(ISBLANK('ENGAGEMENTS 2026'!B548),"",'ENGAGEMENTS 2026'!K548)</f>
        <v/>
      </c>
      <c r="O548">
        <f>IF(ISBLANK('ENGAGEMENTS 2026'!B548),"",'ENGAGEMENTS 2026'!L548)</f>
        <v/>
      </c>
      <c r="P548">
        <f>IF(ISBLANK('ENGAGEMENTS 2026'!B548),"",'ENGAGEMENTS 2026'!J548)</f>
        <v/>
      </c>
      <c r="Q548">
        <f>IF($A548="","",IF(OR($E548="INFRUCTUEUX",$E548="ANNULE"),$A548&amp;"|"&amp;(COUNTIFS($A$2:$A548,$A548,$E$2:$E548,"INFRUCTUEUX")+COUNTIFS($A$2:$A548,$A548,$E$2:$E548,"ANNULE")),""))</f>
        <v/>
      </c>
    </row>
    <row r="549">
      <c r="A549">
        <f>IF(ISBLANK('ENGAGEMENTS 2026'!B549),"",IF('ENGAGEMENTS 2026'!B549="DTSI","DCT",'ENGAGEMENTS 2026'!B549))</f>
        <v/>
      </c>
      <c r="B549">
        <f>IF(ISBLANK('ENGAGEMENTS 2026'!B549),"",'ENGAGEMENTS 2026'!C549)</f>
        <v/>
      </c>
      <c r="C549">
        <f>IF(ISBLANK('ENGAGEMENTS 2026'!B549),"",'ENGAGEMENTS 2026'!D549)</f>
        <v/>
      </c>
      <c r="D549">
        <f>IF(ISBLANK('ENGAGEMENTS 2026'!B549),"",'ENGAGEMENTS 2026'!F549)</f>
        <v/>
      </c>
      <c r="E549">
        <f>IF(ISBLANK('ENGAGEMENTS 2026'!B549),"",'ENGAGEMENTS 2026'!H549)</f>
        <v/>
      </c>
      <c r="F549">
        <f>IF(ISBLANK('ENGAGEMENTS 2026'!B549),"",'ENGAGEMENTS 2026'!I549)</f>
        <v/>
      </c>
      <c r="G549">
        <f>IF(ISBLANK('ENGAGEMENTS 2026'!B549),"",'ENGAGEMENTS 2026'!L549)</f>
        <v/>
      </c>
      <c r="H549">
        <f>IF(ISBLANK('ENGAGEMENTS 2026'!B549),"",'ENGAGEMENTS 2026'!AE549)</f>
        <v/>
      </c>
      <c r="I549">
        <f>IF(ISBLANK('ENGAGEMENTS 2026'!B549),"",'ENGAGEMENTS 2026'!G549)</f>
        <v/>
      </c>
      <c r="J549" s="275">
        <f>IF(ISBLANK('ENGAGEMENTS 2026'!B549),"",IF(AND(OR($E549="INFRUCTUEUX",$E549="ANNULE"),$C549="AOO-M"),'ENGAGEMENTS 2026'!O549,IF($H549="EN COURS DE PREENGAGEMENT",'ENGAGEMENTS 2026'!N549,IF($H549="PREENGAGE",IF($E549="ATTRIBUE",'ENGAGEMENTS 2026'!AD549,'ENGAGEMENTS 2026'!N549),'ENGAGEMENTS 2026'!AD549))))</f>
        <v/>
      </c>
      <c r="K549" s="604">
        <f>IF(ISBLANK('ENGAGEMENTS 2026'!V549),"",'ENGAGEMENTS 2026'!V549)</f>
        <v/>
      </c>
      <c r="L549" s="276">
        <f>IF($K549="","",TODAY()-$K549)</f>
        <v/>
      </c>
      <c r="M549">
        <f>IF($A549="","",IF($H549="ENGAGE","Engagé",IF(AND($H549="NON ENGAGE",OR($I549="INFRUCTUEUX",$I549="ANNULE")),"Clôturé sans suite","En cours")))</f>
        <v/>
      </c>
      <c r="N549">
        <f>IF(ISBLANK('ENGAGEMENTS 2026'!B549),"",'ENGAGEMENTS 2026'!K549)</f>
        <v/>
      </c>
      <c r="O549">
        <f>IF(ISBLANK('ENGAGEMENTS 2026'!B549),"",'ENGAGEMENTS 2026'!L549)</f>
        <v/>
      </c>
      <c r="P549">
        <f>IF(ISBLANK('ENGAGEMENTS 2026'!B549),"",'ENGAGEMENTS 2026'!J549)</f>
        <v/>
      </c>
      <c r="Q549">
        <f>IF($A549="","",IF(OR($E549="INFRUCTUEUX",$E549="ANNULE"),$A549&amp;"|"&amp;(COUNTIFS($A$2:$A549,$A549,$E$2:$E549,"INFRUCTUEUX")+COUNTIFS($A$2:$A549,$A549,$E$2:$E549,"ANNULE")),""))</f>
        <v/>
      </c>
    </row>
    <row r="550">
      <c r="A550">
        <f>IF(ISBLANK('ENGAGEMENTS 2026'!B550),"",IF('ENGAGEMENTS 2026'!B550="DTSI","DCT",'ENGAGEMENTS 2026'!B550))</f>
        <v/>
      </c>
      <c r="B550">
        <f>IF(ISBLANK('ENGAGEMENTS 2026'!B550),"",'ENGAGEMENTS 2026'!C550)</f>
        <v/>
      </c>
      <c r="C550">
        <f>IF(ISBLANK('ENGAGEMENTS 2026'!B550),"",'ENGAGEMENTS 2026'!D550)</f>
        <v/>
      </c>
      <c r="D550">
        <f>IF(ISBLANK('ENGAGEMENTS 2026'!B550),"",'ENGAGEMENTS 2026'!F550)</f>
        <v/>
      </c>
      <c r="E550">
        <f>IF(ISBLANK('ENGAGEMENTS 2026'!B550),"",'ENGAGEMENTS 2026'!H550)</f>
        <v/>
      </c>
      <c r="F550">
        <f>IF(ISBLANK('ENGAGEMENTS 2026'!B550),"",'ENGAGEMENTS 2026'!I550)</f>
        <v/>
      </c>
      <c r="G550">
        <f>IF(ISBLANK('ENGAGEMENTS 2026'!B550),"",'ENGAGEMENTS 2026'!L550)</f>
        <v/>
      </c>
      <c r="H550">
        <f>IF(ISBLANK('ENGAGEMENTS 2026'!B550),"",'ENGAGEMENTS 2026'!AE550)</f>
        <v/>
      </c>
      <c r="I550">
        <f>IF(ISBLANK('ENGAGEMENTS 2026'!B550),"",'ENGAGEMENTS 2026'!G550)</f>
        <v/>
      </c>
      <c r="J550" s="275">
        <f>IF(ISBLANK('ENGAGEMENTS 2026'!B550),"",IF(AND(OR($E550="INFRUCTUEUX",$E550="ANNULE"),$C550="AOO-M"),'ENGAGEMENTS 2026'!O550,IF($H550="EN COURS DE PREENGAGEMENT",'ENGAGEMENTS 2026'!N550,IF($H550="PREENGAGE",IF($E550="ATTRIBUE",'ENGAGEMENTS 2026'!AD550,'ENGAGEMENTS 2026'!N550),'ENGAGEMENTS 2026'!AD550))))</f>
        <v/>
      </c>
      <c r="K550" s="604">
        <f>IF(ISBLANK('ENGAGEMENTS 2026'!V550),"",'ENGAGEMENTS 2026'!V550)</f>
        <v/>
      </c>
      <c r="L550" s="276">
        <f>IF($K550="","",TODAY()-$K550)</f>
        <v/>
      </c>
      <c r="M550">
        <f>IF($A550="","",IF($H550="ENGAGE","Engagé",IF(AND($H550="NON ENGAGE",OR($I550="INFRUCTUEUX",$I550="ANNULE")),"Clôturé sans suite","En cours")))</f>
        <v/>
      </c>
      <c r="N550">
        <f>IF(ISBLANK('ENGAGEMENTS 2026'!B550),"",'ENGAGEMENTS 2026'!K550)</f>
        <v/>
      </c>
      <c r="O550">
        <f>IF(ISBLANK('ENGAGEMENTS 2026'!B550),"",'ENGAGEMENTS 2026'!L550)</f>
        <v/>
      </c>
      <c r="P550">
        <f>IF(ISBLANK('ENGAGEMENTS 2026'!B550),"",'ENGAGEMENTS 2026'!J550)</f>
        <v/>
      </c>
      <c r="Q550">
        <f>IF($A550="","",IF(OR($E550="INFRUCTUEUX",$E550="ANNULE"),$A550&amp;"|"&amp;(COUNTIFS($A$2:$A550,$A550,$E$2:$E550,"INFRUCTUEUX")+COUNTIFS($A$2:$A550,$A550,$E$2:$E550,"ANNULE")),""))</f>
        <v/>
      </c>
    </row>
    <row r="551">
      <c r="A551">
        <f>IF(ISBLANK('ENGAGEMENTS 2026'!B551),"",IF('ENGAGEMENTS 2026'!B551="DTSI","DCT",'ENGAGEMENTS 2026'!B551))</f>
        <v/>
      </c>
      <c r="B551">
        <f>IF(ISBLANK('ENGAGEMENTS 2026'!B551),"",'ENGAGEMENTS 2026'!C551)</f>
        <v/>
      </c>
      <c r="C551">
        <f>IF(ISBLANK('ENGAGEMENTS 2026'!B551),"",'ENGAGEMENTS 2026'!D551)</f>
        <v/>
      </c>
      <c r="D551">
        <f>IF(ISBLANK('ENGAGEMENTS 2026'!B551),"",'ENGAGEMENTS 2026'!F551)</f>
        <v/>
      </c>
      <c r="E551">
        <f>IF(ISBLANK('ENGAGEMENTS 2026'!B551),"",'ENGAGEMENTS 2026'!H551)</f>
        <v/>
      </c>
      <c r="F551">
        <f>IF(ISBLANK('ENGAGEMENTS 2026'!B551),"",'ENGAGEMENTS 2026'!I551)</f>
        <v/>
      </c>
      <c r="G551">
        <f>IF(ISBLANK('ENGAGEMENTS 2026'!B551),"",'ENGAGEMENTS 2026'!L551)</f>
        <v/>
      </c>
      <c r="H551">
        <f>IF(ISBLANK('ENGAGEMENTS 2026'!B551),"",'ENGAGEMENTS 2026'!AE551)</f>
        <v/>
      </c>
      <c r="I551">
        <f>IF(ISBLANK('ENGAGEMENTS 2026'!B551),"",'ENGAGEMENTS 2026'!G551)</f>
        <v/>
      </c>
      <c r="J551" s="275">
        <f>IF(ISBLANK('ENGAGEMENTS 2026'!B551),"",IF(AND(OR($E551="INFRUCTUEUX",$E551="ANNULE"),$C551="AOO-M"),'ENGAGEMENTS 2026'!O551,IF($H551="EN COURS DE PREENGAGEMENT",'ENGAGEMENTS 2026'!N551,IF($H551="PREENGAGE",IF($E551="ATTRIBUE",'ENGAGEMENTS 2026'!AD551,'ENGAGEMENTS 2026'!N551),'ENGAGEMENTS 2026'!AD551))))</f>
        <v/>
      </c>
      <c r="K551" s="604">
        <f>IF(ISBLANK('ENGAGEMENTS 2026'!V551),"",'ENGAGEMENTS 2026'!V551)</f>
        <v/>
      </c>
      <c r="L551" s="276">
        <f>IF($K551="","",TODAY()-$K551)</f>
        <v/>
      </c>
      <c r="M551">
        <f>IF($A551="","",IF($H551="ENGAGE","Engagé",IF(AND($H551="NON ENGAGE",OR($I551="INFRUCTUEUX",$I551="ANNULE")),"Clôturé sans suite","En cours")))</f>
        <v/>
      </c>
      <c r="N551">
        <f>IF(ISBLANK('ENGAGEMENTS 2026'!B551),"",'ENGAGEMENTS 2026'!K551)</f>
        <v/>
      </c>
      <c r="O551">
        <f>IF(ISBLANK('ENGAGEMENTS 2026'!B551),"",'ENGAGEMENTS 2026'!L551)</f>
        <v/>
      </c>
      <c r="P551">
        <f>IF(ISBLANK('ENGAGEMENTS 2026'!B551),"",'ENGAGEMENTS 2026'!J551)</f>
        <v/>
      </c>
      <c r="Q551">
        <f>IF($A551="","",IF(OR($E551="INFRUCTUEUX",$E551="ANNULE"),$A551&amp;"|"&amp;(COUNTIFS($A$2:$A551,$A551,$E$2:$E551,"INFRUCTUEUX")+COUNTIFS($A$2:$A551,$A551,$E$2:$E551,"ANNULE")),""))</f>
        <v/>
      </c>
    </row>
    <row r="552">
      <c r="A552">
        <f>IF(ISBLANK('ENGAGEMENTS 2026'!B552),"",IF('ENGAGEMENTS 2026'!B552="DTSI","DCT",'ENGAGEMENTS 2026'!B552))</f>
        <v/>
      </c>
      <c r="B552">
        <f>IF(ISBLANK('ENGAGEMENTS 2026'!B552),"",'ENGAGEMENTS 2026'!C552)</f>
        <v/>
      </c>
      <c r="C552">
        <f>IF(ISBLANK('ENGAGEMENTS 2026'!B552),"",'ENGAGEMENTS 2026'!D552)</f>
        <v/>
      </c>
      <c r="D552">
        <f>IF(ISBLANK('ENGAGEMENTS 2026'!B552),"",'ENGAGEMENTS 2026'!F552)</f>
        <v/>
      </c>
      <c r="E552">
        <f>IF(ISBLANK('ENGAGEMENTS 2026'!B552),"",'ENGAGEMENTS 2026'!H552)</f>
        <v/>
      </c>
      <c r="F552">
        <f>IF(ISBLANK('ENGAGEMENTS 2026'!B552),"",'ENGAGEMENTS 2026'!I552)</f>
        <v/>
      </c>
      <c r="G552">
        <f>IF(ISBLANK('ENGAGEMENTS 2026'!B552),"",'ENGAGEMENTS 2026'!L552)</f>
        <v/>
      </c>
      <c r="H552">
        <f>IF(ISBLANK('ENGAGEMENTS 2026'!B552),"",'ENGAGEMENTS 2026'!AE552)</f>
        <v/>
      </c>
      <c r="I552">
        <f>IF(ISBLANK('ENGAGEMENTS 2026'!B552),"",'ENGAGEMENTS 2026'!G552)</f>
        <v/>
      </c>
      <c r="J552" s="275">
        <f>IF(ISBLANK('ENGAGEMENTS 2026'!B552),"",IF(AND(OR($E552="INFRUCTUEUX",$E552="ANNULE"),$C552="AOO-M"),'ENGAGEMENTS 2026'!O552,IF($H552="EN COURS DE PREENGAGEMENT",'ENGAGEMENTS 2026'!N552,IF($H552="PREENGAGE",IF($E552="ATTRIBUE",'ENGAGEMENTS 2026'!AD552,'ENGAGEMENTS 2026'!N552),'ENGAGEMENTS 2026'!AD552))))</f>
        <v/>
      </c>
      <c r="K552" s="604">
        <f>IF(ISBLANK('ENGAGEMENTS 2026'!V552),"",'ENGAGEMENTS 2026'!V552)</f>
        <v/>
      </c>
      <c r="L552" s="276">
        <f>IF($K552="","",TODAY()-$K552)</f>
        <v/>
      </c>
      <c r="M552">
        <f>IF($A552="","",IF($H552="ENGAGE","Engagé",IF(AND($H552="NON ENGAGE",OR($I552="INFRUCTUEUX",$I552="ANNULE")),"Clôturé sans suite","En cours")))</f>
        <v/>
      </c>
      <c r="N552">
        <f>IF(ISBLANK('ENGAGEMENTS 2026'!B552),"",'ENGAGEMENTS 2026'!K552)</f>
        <v/>
      </c>
      <c r="O552">
        <f>IF(ISBLANK('ENGAGEMENTS 2026'!B552),"",'ENGAGEMENTS 2026'!L552)</f>
        <v/>
      </c>
      <c r="P552">
        <f>IF(ISBLANK('ENGAGEMENTS 2026'!B552),"",'ENGAGEMENTS 2026'!J552)</f>
        <v/>
      </c>
      <c r="Q552">
        <f>IF($A552="","",IF(OR($E552="INFRUCTUEUX",$E552="ANNULE"),$A552&amp;"|"&amp;(COUNTIFS($A$2:$A552,$A552,$E$2:$E552,"INFRUCTUEUX")+COUNTIFS($A$2:$A552,$A552,$E$2:$E552,"ANNULE")),""))</f>
        <v/>
      </c>
    </row>
    <row r="553">
      <c r="A553">
        <f>IF(ISBLANK('ENGAGEMENTS 2026'!B553),"",IF('ENGAGEMENTS 2026'!B553="DTSI","DCT",'ENGAGEMENTS 2026'!B553))</f>
        <v/>
      </c>
      <c r="B553">
        <f>IF(ISBLANK('ENGAGEMENTS 2026'!B553),"",'ENGAGEMENTS 2026'!C553)</f>
        <v/>
      </c>
      <c r="C553">
        <f>IF(ISBLANK('ENGAGEMENTS 2026'!B553),"",'ENGAGEMENTS 2026'!D553)</f>
        <v/>
      </c>
      <c r="D553">
        <f>IF(ISBLANK('ENGAGEMENTS 2026'!B553),"",'ENGAGEMENTS 2026'!F553)</f>
        <v/>
      </c>
      <c r="E553">
        <f>IF(ISBLANK('ENGAGEMENTS 2026'!B553),"",'ENGAGEMENTS 2026'!H553)</f>
        <v/>
      </c>
      <c r="F553">
        <f>IF(ISBLANK('ENGAGEMENTS 2026'!B553),"",'ENGAGEMENTS 2026'!I553)</f>
        <v/>
      </c>
      <c r="G553">
        <f>IF(ISBLANK('ENGAGEMENTS 2026'!B553),"",'ENGAGEMENTS 2026'!L553)</f>
        <v/>
      </c>
      <c r="H553">
        <f>IF(ISBLANK('ENGAGEMENTS 2026'!B553),"",'ENGAGEMENTS 2026'!AE553)</f>
        <v/>
      </c>
      <c r="I553">
        <f>IF(ISBLANK('ENGAGEMENTS 2026'!B553),"",'ENGAGEMENTS 2026'!G553)</f>
        <v/>
      </c>
      <c r="J553" s="275">
        <f>IF(ISBLANK('ENGAGEMENTS 2026'!B553),"",IF(AND(OR($E553="INFRUCTUEUX",$E553="ANNULE"),$C553="AOO-M"),'ENGAGEMENTS 2026'!O553,IF($H553="EN COURS DE PREENGAGEMENT",'ENGAGEMENTS 2026'!N553,IF($H553="PREENGAGE",IF($E553="ATTRIBUE",'ENGAGEMENTS 2026'!AD553,'ENGAGEMENTS 2026'!N553),'ENGAGEMENTS 2026'!AD553))))</f>
        <v/>
      </c>
      <c r="K553" s="604">
        <f>IF(ISBLANK('ENGAGEMENTS 2026'!V553),"",'ENGAGEMENTS 2026'!V553)</f>
        <v/>
      </c>
      <c r="L553" s="276">
        <f>IF($K553="","",TODAY()-$K553)</f>
        <v/>
      </c>
      <c r="M553">
        <f>IF($A553="","",IF($H553="ENGAGE","Engagé",IF(AND($H553="NON ENGAGE",OR($I553="INFRUCTUEUX",$I553="ANNULE")),"Clôturé sans suite","En cours")))</f>
        <v/>
      </c>
      <c r="N553">
        <f>IF(ISBLANK('ENGAGEMENTS 2026'!B553),"",'ENGAGEMENTS 2026'!K553)</f>
        <v/>
      </c>
      <c r="O553">
        <f>IF(ISBLANK('ENGAGEMENTS 2026'!B553),"",'ENGAGEMENTS 2026'!L553)</f>
        <v/>
      </c>
      <c r="P553">
        <f>IF(ISBLANK('ENGAGEMENTS 2026'!B553),"",'ENGAGEMENTS 2026'!J553)</f>
        <v/>
      </c>
      <c r="Q553">
        <f>IF($A553="","",IF(OR($E553="INFRUCTUEUX",$E553="ANNULE"),$A553&amp;"|"&amp;(COUNTIFS($A$2:$A553,$A553,$E$2:$E553,"INFRUCTUEUX")+COUNTIFS($A$2:$A553,$A553,$E$2:$E553,"ANNULE")),""))</f>
        <v/>
      </c>
    </row>
    <row r="554">
      <c r="A554">
        <f>IF(ISBLANK('ENGAGEMENTS 2026'!B554),"",IF('ENGAGEMENTS 2026'!B554="DTSI","DCT",'ENGAGEMENTS 2026'!B554))</f>
        <v/>
      </c>
      <c r="B554">
        <f>IF(ISBLANK('ENGAGEMENTS 2026'!B554),"",'ENGAGEMENTS 2026'!C554)</f>
        <v/>
      </c>
      <c r="C554">
        <f>IF(ISBLANK('ENGAGEMENTS 2026'!B554),"",'ENGAGEMENTS 2026'!D554)</f>
        <v/>
      </c>
      <c r="D554">
        <f>IF(ISBLANK('ENGAGEMENTS 2026'!B554),"",'ENGAGEMENTS 2026'!F554)</f>
        <v/>
      </c>
      <c r="E554">
        <f>IF(ISBLANK('ENGAGEMENTS 2026'!B554),"",'ENGAGEMENTS 2026'!H554)</f>
        <v/>
      </c>
      <c r="F554">
        <f>IF(ISBLANK('ENGAGEMENTS 2026'!B554),"",'ENGAGEMENTS 2026'!I554)</f>
        <v/>
      </c>
      <c r="G554">
        <f>IF(ISBLANK('ENGAGEMENTS 2026'!B554),"",'ENGAGEMENTS 2026'!L554)</f>
        <v/>
      </c>
      <c r="H554">
        <f>IF(ISBLANK('ENGAGEMENTS 2026'!B554),"",'ENGAGEMENTS 2026'!AE554)</f>
        <v/>
      </c>
      <c r="I554">
        <f>IF(ISBLANK('ENGAGEMENTS 2026'!B554),"",'ENGAGEMENTS 2026'!G554)</f>
        <v/>
      </c>
      <c r="J554" s="275">
        <f>IF(ISBLANK('ENGAGEMENTS 2026'!B554),"",IF(AND(OR($E554="INFRUCTUEUX",$E554="ANNULE"),$C554="AOO-M"),'ENGAGEMENTS 2026'!O554,IF($H554="EN COURS DE PREENGAGEMENT",'ENGAGEMENTS 2026'!N554,IF($H554="PREENGAGE",IF($E554="ATTRIBUE",'ENGAGEMENTS 2026'!AD554,'ENGAGEMENTS 2026'!N554),'ENGAGEMENTS 2026'!AD554))))</f>
        <v/>
      </c>
      <c r="K554" s="604">
        <f>IF(ISBLANK('ENGAGEMENTS 2026'!V554),"",'ENGAGEMENTS 2026'!V554)</f>
        <v/>
      </c>
      <c r="L554" s="276">
        <f>IF($K554="","",TODAY()-$K554)</f>
        <v/>
      </c>
      <c r="M554">
        <f>IF($A554="","",IF($H554="ENGAGE","Engagé",IF(AND($H554="NON ENGAGE",OR($I554="INFRUCTUEUX",$I554="ANNULE")),"Clôturé sans suite","En cours")))</f>
        <v/>
      </c>
      <c r="N554">
        <f>IF(ISBLANK('ENGAGEMENTS 2026'!B554),"",'ENGAGEMENTS 2026'!K554)</f>
        <v/>
      </c>
      <c r="O554">
        <f>IF(ISBLANK('ENGAGEMENTS 2026'!B554),"",'ENGAGEMENTS 2026'!L554)</f>
        <v/>
      </c>
      <c r="P554">
        <f>IF(ISBLANK('ENGAGEMENTS 2026'!B554),"",'ENGAGEMENTS 2026'!J554)</f>
        <v/>
      </c>
      <c r="Q554">
        <f>IF($A554="","",IF(OR($E554="INFRUCTUEUX",$E554="ANNULE"),$A554&amp;"|"&amp;(COUNTIFS($A$2:$A554,$A554,$E$2:$E554,"INFRUCTUEUX")+COUNTIFS($A$2:$A554,$A554,$E$2:$E554,"ANNULE")),""))</f>
        <v/>
      </c>
    </row>
    <row r="555">
      <c r="A555">
        <f>IF(ISBLANK('ENGAGEMENTS 2026'!B555),"",IF('ENGAGEMENTS 2026'!B555="DTSI","DCT",'ENGAGEMENTS 2026'!B555))</f>
        <v/>
      </c>
      <c r="B555">
        <f>IF(ISBLANK('ENGAGEMENTS 2026'!B555),"",'ENGAGEMENTS 2026'!C555)</f>
        <v/>
      </c>
      <c r="C555">
        <f>IF(ISBLANK('ENGAGEMENTS 2026'!B555),"",'ENGAGEMENTS 2026'!D555)</f>
        <v/>
      </c>
      <c r="D555">
        <f>IF(ISBLANK('ENGAGEMENTS 2026'!B555),"",'ENGAGEMENTS 2026'!F555)</f>
        <v/>
      </c>
      <c r="E555">
        <f>IF(ISBLANK('ENGAGEMENTS 2026'!B555),"",'ENGAGEMENTS 2026'!H555)</f>
        <v/>
      </c>
      <c r="F555">
        <f>IF(ISBLANK('ENGAGEMENTS 2026'!B555),"",'ENGAGEMENTS 2026'!I555)</f>
        <v/>
      </c>
      <c r="G555">
        <f>IF(ISBLANK('ENGAGEMENTS 2026'!B555),"",'ENGAGEMENTS 2026'!L555)</f>
        <v/>
      </c>
      <c r="H555">
        <f>IF(ISBLANK('ENGAGEMENTS 2026'!B555),"",'ENGAGEMENTS 2026'!AE555)</f>
        <v/>
      </c>
      <c r="I555">
        <f>IF(ISBLANK('ENGAGEMENTS 2026'!B555),"",'ENGAGEMENTS 2026'!G555)</f>
        <v/>
      </c>
      <c r="J555" s="275">
        <f>IF(ISBLANK('ENGAGEMENTS 2026'!B555),"",IF(AND(OR($E555="INFRUCTUEUX",$E555="ANNULE"),$C555="AOO-M"),'ENGAGEMENTS 2026'!O555,IF($H555="EN COURS DE PREENGAGEMENT",'ENGAGEMENTS 2026'!N555,IF($H555="PREENGAGE",IF($E555="ATTRIBUE",'ENGAGEMENTS 2026'!AD555,'ENGAGEMENTS 2026'!N555),'ENGAGEMENTS 2026'!AD555))))</f>
        <v/>
      </c>
      <c r="K555" s="604">
        <f>IF(ISBLANK('ENGAGEMENTS 2026'!V555),"",'ENGAGEMENTS 2026'!V555)</f>
        <v/>
      </c>
      <c r="L555" s="276">
        <f>IF($K555="","",TODAY()-$K555)</f>
        <v/>
      </c>
      <c r="M555">
        <f>IF($A555="","",IF($H555="ENGAGE","Engagé",IF(AND($H555="NON ENGAGE",OR($I555="INFRUCTUEUX",$I555="ANNULE")),"Clôturé sans suite","En cours")))</f>
        <v/>
      </c>
      <c r="N555">
        <f>IF(ISBLANK('ENGAGEMENTS 2026'!B555),"",'ENGAGEMENTS 2026'!K555)</f>
        <v/>
      </c>
      <c r="O555">
        <f>IF(ISBLANK('ENGAGEMENTS 2026'!B555),"",'ENGAGEMENTS 2026'!L555)</f>
        <v/>
      </c>
      <c r="P555">
        <f>IF(ISBLANK('ENGAGEMENTS 2026'!B555),"",'ENGAGEMENTS 2026'!J555)</f>
        <v/>
      </c>
      <c r="Q555">
        <f>IF($A555="","",IF(OR($E555="INFRUCTUEUX",$E555="ANNULE"),$A555&amp;"|"&amp;(COUNTIFS($A$2:$A555,$A555,$E$2:$E555,"INFRUCTUEUX")+COUNTIFS($A$2:$A555,$A555,$E$2:$E555,"ANNULE")),""))</f>
        <v/>
      </c>
    </row>
    <row r="556">
      <c r="A556">
        <f>IF(ISBLANK('ENGAGEMENTS 2026'!B556),"",IF('ENGAGEMENTS 2026'!B556="DTSI","DCT",'ENGAGEMENTS 2026'!B556))</f>
        <v/>
      </c>
      <c r="B556">
        <f>IF(ISBLANK('ENGAGEMENTS 2026'!B556),"",'ENGAGEMENTS 2026'!C556)</f>
        <v/>
      </c>
      <c r="C556">
        <f>IF(ISBLANK('ENGAGEMENTS 2026'!B556),"",'ENGAGEMENTS 2026'!D556)</f>
        <v/>
      </c>
      <c r="D556">
        <f>IF(ISBLANK('ENGAGEMENTS 2026'!B556),"",'ENGAGEMENTS 2026'!F556)</f>
        <v/>
      </c>
      <c r="E556">
        <f>IF(ISBLANK('ENGAGEMENTS 2026'!B556),"",'ENGAGEMENTS 2026'!H556)</f>
        <v/>
      </c>
      <c r="F556">
        <f>IF(ISBLANK('ENGAGEMENTS 2026'!B556),"",'ENGAGEMENTS 2026'!I556)</f>
        <v/>
      </c>
      <c r="G556">
        <f>IF(ISBLANK('ENGAGEMENTS 2026'!B556),"",'ENGAGEMENTS 2026'!L556)</f>
        <v/>
      </c>
      <c r="H556">
        <f>IF(ISBLANK('ENGAGEMENTS 2026'!B556),"",'ENGAGEMENTS 2026'!AE556)</f>
        <v/>
      </c>
      <c r="I556">
        <f>IF(ISBLANK('ENGAGEMENTS 2026'!B556),"",'ENGAGEMENTS 2026'!G556)</f>
        <v/>
      </c>
      <c r="J556" s="275">
        <f>IF(ISBLANK('ENGAGEMENTS 2026'!B556),"",IF(AND(OR($E556="INFRUCTUEUX",$E556="ANNULE"),$C556="AOO-M"),'ENGAGEMENTS 2026'!O556,IF($H556="EN COURS DE PREENGAGEMENT",'ENGAGEMENTS 2026'!N556,IF($H556="PREENGAGE",IF($E556="ATTRIBUE",'ENGAGEMENTS 2026'!AD556,'ENGAGEMENTS 2026'!N556),'ENGAGEMENTS 2026'!AD556))))</f>
        <v/>
      </c>
      <c r="K556" s="604">
        <f>IF(ISBLANK('ENGAGEMENTS 2026'!V556),"",'ENGAGEMENTS 2026'!V556)</f>
        <v/>
      </c>
      <c r="L556" s="276">
        <f>IF($K556="","",TODAY()-$K556)</f>
        <v/>
      </c>
      <c r="M556">
        <f>IF($A556="","",IF($H556="ENGAGE","Engagé",IF(AND($H556="NON ENGAGE",OR($I556="INFRUCTUEUX",$I556="ANNULE")),"Clôturé sans suite","En cours")))</f>
        <v/>
      </c>
      <c r="N556">
        <f>IF(ISBLANK('ENGAGEMENTS 2026'!B556),"",'ENGAGEMENTS 2026'!K556)</f>
        <v/>
      </c>
      <c r="O556">
        <f>IF(ISBLANK('ENGAGEMENTS 2026'!B556),"",'ENGAGEMENTS 2026'!L556)</f>
        <v/>
      </c>
      <c r="P556">
        <f>IF(ISBLANK('ENGAGEMENTS 2026'!B556),"",'ENGAGEMENTS 2026'!J556)</f>
        <v/>
      </c>
      <c r="Q556">
        <f>IF($A556="","",IF(OR($E556="INFRUCTUEUX",$E556="ANNULE"),$A556&amp;"|"&amp;(COUNTIFS($A$2:$A556,$A556,$E$2:$E556,"INFRUCTUEUX")+COUNTIFS($A$2:$A556,$A556,$E$2:$E556,"ANNULE")),""))</f>
        <v/>
      </c>
    </row>
    <row r="557">
      <c r="A557">
        <f>IF(ISBLANK('ENGAGEMENTS 2026'!B557),"",IF('ENGAGEMENTS 2026'!B557="DTSI","DCT",'ENGAGEMENTS 2026'!B557))</f>
        <v/>
      </c>
      <c r="B557">
        <f>IF(ISBLANK('ENGAGEMENTS 2026'!B557),"",'ENGAGEMENTS 2026'!C557)</f>
        <v/>
      </c>
      <c r="C557">
        <f>IF(ISBLANK('ENGAGEMENTS 2026'!B557),"",'ENGAGEMENTS 2026'!D557)</f>
        <v/>
      </c>
      <c r="D557">
        <f>IF(ISBLANK('ENGAGEMENTS 2026'!B557),"",'ENGAGEMENTS 2026'!F557)</f>
        <v/>
      </c>
      <c r="E557">
        <f>IF(ISBLANK('ENGAGEMENTS 2026'!B557),"",'ENGAGEMENTS 2026'!H557)</f>
        <v/>
      </c>
      <c r="F557">
        <f>IF(ISBLANK('ENGAGEMENTS 2026'!B557),"",'ENGAGEMENTS 2026'!I557)</f>
        <v/>
      </c>
      <c r="G557">
        <f>IF(ISBLANK('ENGAGEMENTS 2026'!B557),"",'ENGAGEMENTS 2026'!L557)</f>
        <v/>
      </c>
      <c r="H557">
        <f>IF(ISBLANK('ENGAGEMENTS 2026'!B557),"",'ENGAGEMENTS 2026'!AE557)</f>
        <v/>
      </c>
      <c r="I557">
        <f>IF(ISBLANK('ENGAGEMENTS 2026'!B557),"",'ENGAGEMENTS 2026'!G557)</f>
        <v/>
      </c>
      <c r="J557" s="275">
        <f>IF(ISBLANK('ENGAGEMENTS 2026'!B557),"",IF(AND(OR($E557="INFRUCTUEUX",$E557="ANNULE"),$C557="AOO-M"),'ENGAGEMENTS 2026'!O557,IF($H557="EN COURS DE PREENGAGEMENT",'ENGAGEMENTS 2026'!N557,IF($H557="PREENGAGE",IF($E557="ATTRIBUE",'ENGAGEMENTS 2026'!AD557,'ENGAGEMENTS 2026'!N557),'ENGAGEMENTS 2026'!AD557))))</f>
        <v/>
      </c>
      <c r="K557" s="604">
        <f>IF(ISBLANK('ENGAGEMENTS 2026'!V557),"",'ENGAGEMENTS 2026'!V557)</f>
        <v/>
      </c>
      <c r="L557" s="276">
        <f>IF($K557="","",TODAY()-$K557)</f>
        <v/>
      </c>
      <c r="M557">
        <f>IF($A557="","",IF($H557="ENGAGE","Engagé",IF(AND($H557="NON ENGAGE",OR($I557="INFRUCTUEUX",$I557="ANNULE")),"Clôturé sans suite","En cours")))</f>
        <v/>
      </c>
      <c r="N557">
        <f>IF(ISBLANK('ENGAGEMENTS 2026'!B557),"",'ENGAGEMENTS 2026'!K557)</f>
        <v/>
      </c>
      <c r="O557">
        <f>IF(ISBLANK('ENGAGEMENTS 2026'!B557),"",'ENGAGEMENTS 2026'!L557)</f>
        <v/>
      </c>
      <c r="P557">
        <f>IF(ISBLANK('ENGAGEMENTS 2026'!B557),"",'ENGAGEMENTS 2026'!J557)</f>
        <v/>
      </c>
      <c r="Q557">
        <f>IF($A557="","",IF(OR($E557="INFRUCTUEUX",$E557="ANNULE"),$A557&amp;"|"&amp;(COUNTIFS($A$2:$A557,$A557,$E$2:$E557,"INFRUCTUEUX")+COUNTIFS($A$2:$A557,$A557,$E$2:$E557,"ANNULE")),""))</f>
        <v/>
      </c>
    </row>
    <row r="558">
      <c r="A558">
        <f>IF(ISBLANK('ENGAGEMENTS 2026'!B558),"",IF('ENGAGEMENTS 2026'!B558="DTSI","DCT",'ENGAGEMENTS 2026'!B558))</f>
        <v/>
      </c>
      <c r="B558">
        <f>IF(ISBLANK('ENGAGEMENTS 2026'!B558),"",'ENGAGEMENTS 2026'!C558)</f>
        <v/>
      </c>
      <c r="C558">
        <f>IF(ISBLANK('ENGAGEMENTS 2026'!B558),"",'ENGAGEMENTS 2026'!D558)</f>
        <v/>
      </c>
      <c r="D558">
        <f>IF(ISBLANK('ENGAGEMENTS 2026'!B558),"",'ENGAGEMENTS 2026'!F558)</f>
        <v/>
      </c>
      <c r="E558">
        <f>IF(ISBLANK('ENGAGEMENTS 2026'!B558),"",'ENGAGEMENTS 2026'!H558)</f>
        <v/>
      </c>
      <c r="F558">
        <f>IF(ISBLANK('ENGAGEMENTS 2026'!B558),"",'ENGAGEMENTS 2026'!I558)</f>
        <v/>
      </c>
      <c r="G558">
        <f>IF(ISBLANK('ENGAGEMENTS 2026'!B558),"",'ENGAGEMENTS 2026'!L558)</f>
        <v/>
      </c>
      <c r="H558">
        <f>IF(ISBLANK('ENGAGEMENTS 2026'!B558),"",'ENGAGEMENTS 2026'!AE558)</f>
        <v/>
      </c>
      <c r="I558">
        <f>IF(ISBLANK('ENGAGEMENTS 2026'!B558),"",'ENGAGEMENTS 2026'!G558)</f>
        <v/>
      </c>
      <c r="J558" s="275">
        <f>IF(ISBLANK('ENGAGEMENTS 2026'!B558),"",IF(AND(OR($E558="INFRUCTUEUX",$E558="ANNULE"),$C558="AOO-M"),'ENGAGEMENTS 2026'!O558,IF($H558="EN COURS DE PREENGAGEMENT",'ENGAGEMENTS 2026'!N558,IF($H558="PREENGAGE",IF($E558="ATTRIBUE",'ENGAGEMENTS 2026'!AD558,'ENGAGEMENTS 2026'!N558),'ENGAGEMENTS 2026'!AD558))))</f>
        <v/>
      </c>
      <c r="K558" s="604">
        <f>IF(ISBLANK('ENGAGEMENTS 2026'!V558),"",'ENGAGEMENTS 2026'!V558)</f>
        <v/>
      </c>
      <c r="L558" s="276">
        <f>IF($K558="","",TODAY()-$K558)</f>
        <v/>
      </c>
      <c r="M558">
        <f>IF($A558="","",IF($H558="ENGAGE","Engagé",IF(AND($H558="NON ENGAGE",OR($I558="INFRUCTUEUX",$I558="ANNULE")),"Clôturé sans suite","En cours")))</f>
        <v/>
      </c>
      <c r="N558">
        <f>IF(ISBLANK('ENGAGEMENTS 2026'!B558),"",'ENGAGEMENTS 2026'!K558)</f>
        <v/>
      </c>
      <c r="O558">
        <f>IF(ISBLANK('ENGAGEMENTS 2026'!B558),"",'ENGAGEMENTS 2026'!L558)</f>
        <v/>
      </c>
      <c r="P558">
        <f>IF(ISBLANK('ENGAGEMENTS 2026'!B558),"",'ENGAGEMENTS 2026'!J558)</f>
        <v/>
      </c>
      <c r="Q558">
        <f>IF($A558="","",IF(OR($E558="INFRUCTUEUX",$E558="ANNULE"),$A558&amp;"|"&amp;(COUNTIFS($A$2:$A558,$A558,$E$2:$E558,"INFRUCTUEUX")+COUNTIFS($A$2:$A558,$A558,$E$2:$E558,"ANNULE")),""))</f>
        <v/>
      </c>
    </row>
    <row r="559">
      <c r="A559">
        <f>IF(ISBLANK('ENGAGEMENTS 2026'!B559),"",IF('ENGAGEMENTS 2026'!B559="DTSI","DCT",'ENGAGEMENTS 2026'!B559))</f>
        <v/>
      </c>
      <c r="B559">
        <f>IF(ISBLANK('ENGAGEMENTS 2026'!B559),"",'ENGAGEMENTS 2026'!C559)</f>
        <v/>
      </c>
      <c r="C559">
        <f>IF(ISBLANK('ENGAGEMENTS 2026'!B559),"",'ENGAGEMENTS 2026'!D559)</f>
        <v/>
      </c>
      <c r="D559">
        <f>IF(ISBLANK('ENGAGEMENTS 2026'!B559),"",'ENGAGEMENTS 2026'!F559)</f>
        <v/>
      </c>
      <c r="E559">
        <f>IF(ISBLANK('ENGAGEMENTS 2026'!B559),"",'ENGAGEMENTS 2026'!H559)</f>
        <v/>
      </c>
      <c r="F559">
        <f>IF(ISBLANK('ENGAGEMENTS 2026'!B559),"",'ENGAGEMENTS 2026'!I559)</f>
        <v/>
      </c>
      <c r="G559">
        <f>IF(ISBLANK('ENGAGEMENTS 2026'!B559),"",'ENGAGEMENTS 2026'!L559)</f>
        <v/>
      </c>
      <c r="H559">
        <f>IF(ISBLANK('ENGAGEMENTS 2026'!B559),"",'ENGAGEMENTS 2026'!AE559)</f>
        <v/>
      </c>
      <c r="I559">
        <f>IF(ISBLANK('ENGAGEMENTS 2026'!B559),"",'ENGAGEMENTS 2026'!G559)</f>
        <v/>
      </c>
      <c r="J559" s="275">
        <f>IF(ISBLANK('ENGAGEMENTS 2026'!B559),"",IF(AND(OR($E559="INFRUCTUEUX",$E559="ANNULE"),$C559="AOO-M"),'ENGAGEMENTS 2026'!O559,IF($H559="EN COURS DE PREENGAGEMENT",'ENGAGEMENTS 2026'!N559,IF($H559="PREENGAGE",IF($E559="ATTRIBUE",'ENGAGEMENTS 2026'!AD559,'ENGAGEMENTS 2026'!N559),'ENGAGEMENTS 2026'!AD559))))</f>
        <v/>
      </c>
      <c r="K559" s="604">
        <f>IF(ISBLANK('ENGAGEMENTS 2026'!V559),"",'ENGAGEMENTS 2026'!V559)</f>
        <v/>
      </c>
      <c r="L559" s="276">
        <f>IF($K559="","",TODAY()-$K559)</f>
        <v/>
      </c>
      <c r="M559">
        <f>IF($A559="","",IF($H559="ENGAGE","Engagé",IF(AND($H559="NON ENGAGE",OR($I559="INFRUCTUEUX",$I559="ANNULE")),"Clôturé sans suite","En cours")))</f>
        <v/>
      </c>
      <c r="N559">
        <f>IF(ISBLANK('ENGAGEMENTS 2026'!B559),"",'ENGAGEMENTS 2026'!K559)</f>
        <v/>
      </c>
      <c r="O559">
        <f>IF(ISBLANK('ENGAGEMENTS 2026'!B559),"",'ENGAGEMENTS 2026'!L559)</f>
        <v/>
      </c>
      <c r="P559">
        <f>IF(ISBLANK('ENGAGEMENTS 2026'!B559),"",'ENGAGEMENTS 2026'!J559)</f>
        <v/>
      </c>
      <c r="Q559">
        <f>IF($A559="","",IF(OR($E559="INFRUCTUEUX",$E559="ANNULE"),$A559&amp;"|"&amp;(COUNTIFS($A$2:$A559,$A559,$E$2:$E559,"INFRUCTUEUX")+COUNTIFS($A$2:$A559,$A559,$E$2:$E559,"ANNULE")),""))</f>
        <v/>
      </c>
    </row>
    <row r="560">
      <c r="A560">
        <f>IF(ISBLANK('ENGAGEMENTS 2026'!B560),"",IF('ENGAGEMENTS 2026'!B560="DTSI","DCT",'ENGAGEMENTS 2026'!B560))</f>
        <v/>
      </c>
      <c r="B560">
        <f>IF(ISBLANK('ENGAGEMENTS 2026'!B560),"",'ENGAGEMENTS 2026'!C560)</f>
        <v/>
      </c>
      <c r="C560">
        <f>IF(ISBLANK('ENGAGEMENTS 2026'!B560),"",'ENGAGEMENTS 2026'!D560)</f>
        <v/>
      </c>
      <c r="D560">
        <f>IF(ISBLANK('ENGAGEMENTS 2026'!B560),"",'ENGAGEMENTS 2026'!F560)</f>
        <v/>
      </c>
      <c r="E560">
        <f>IF(ISBLANK('ENGAGEMENTS 2026'!B560),"",'ENGAGEMENTS 2026'!H560)</f>
        <v/>
      </c>
      <c r="F560">
        <f>IF(ISBLANK('ENGAGEMENTS 2026'!B560),"",'ENGAGEMENTS 2026'!I560)</f>
        <v/>
      </c>
      <c r="G560">
        <f>IF(ISBLANK('ENGAGEMENTS 2026'!B560),"",'ENGAGEMENTS 2026'!L560)</f>
        <v/>
      </c>
      <c r="H560">
        <f>IF(ISBLANK('ENGAGEMENTS 2026'!B560),"",'ENGAGEMENTS 2026'!AE560)</f>
        <v/>
      </c>
      <c r="I560">
        <f>IF(ISBLANK('ENGAGEMENTS 2026'!B560),"",'ENGAGEMENTS 2026'!G560)</f>
        <v/>
      </c>
      <c r="J560" s="275">
        <f>IF(ISBLANK('ENGAGEMENTS 2026'!B560),"",IF(AND(OR($E560="INFRUCTUEUX",$E560="ANNULE"),$C560="AOO-M"),'ENGAGEMENTS 2026'!O560,IF($H560="EN COURS DE PREENGAGEMENT",'ENGAGEMENTS 2026'!N560,IF($H560="PREENGAGE",IF($E560="ATTRIBUE",'ENGAGEMENTS 2026'!AD560,'ENGAGEMENTS 2026'!N560),'ENGAGEMENTS 2026'!AD560))))</f>
        <v/>
      </c>
      <c r="K560" s="604">
        <f>IF(ISBLANK('ENGAGEMENTS 2026'!V560),"",'ENGAGEMENTS 2026'!V560)</f>
        <v/>
      </c>
      <c r="L560" s="276">
        <f>IF($K560="","",TODAY()-$K560)</f>
        <v/>
      </c>
      <c r="M560">
        <f>IF($A560="","",IF($H560="ENGAGE","Engagé",IF(AND($H560="NON ENGAGE",OR($I560="INFRUCTUEUX",$I560="ANNULE")),"Clôturé sans suite","En cours")))</f>
        <v/>
      </c>
      <c r="N560">
        <f>IF(ISBLANK('ENGAGEMENTS 2026'!B560),"",'ENGAGEMENTS 2026'!K560)</f>
        <v/>
      </c>
      <c r="O560">
        <f>IF(ISBLANK('ENGAGEMENTS 2026'!B560),"",'ENGAGEMENTS 2026'!L560)</f>
        <v/>
      </c>
      <c r="P560">
        <f>IF(ISBLANK('ENGAGEMENTS 2026'!B560),"",'ENGAGEMENTS 2026'!J560)</f>
        <v/>
      </c>
      <c r="Q560">
        <f>IF($A560="","",IF(OR($E560="INFRUCTUEUX",$E560="ANNULE"),$A560&amp;"|"&amp;(COUNTIFS($A$2:$A560,$A560,$E$2:$E560,"INFRUCTUEUX")+COUNTIFS($A$2:$A560,$A560,$E$2:$E560,"ANNULE")),""))</f>
        <v/>
      </c>
    </row>
    <row r="561">
      <c r="A561">
        <f>IF(ISBLANK('ENGAGEMENTS 2026'!B561),"",IF('ENGAGEMENTS 2026'!B561="DTSI","DCT",'ENGAGEMENTS 2026'!B561))</f>
        <v/>
      </c>
      <c r="B561">
        <f>IF(ISBLANK('ENGAGEMENTS 2026'!B561),"",'ENGAGEMENTS 2026'!C561)</f>
        <v/>
      </c>
      <c r="C561">
        <f>IF(ISBLANK('ENGAGEMENTS 2026'!B561),"",'ENGAGEMENTS 2026'!D561)</f>
        <v/>
      </c>
      <c r="D561">
        <f>IF(ISBLANK('ENGAGEMENTS 2026'!B561),"",'ENGAGEMENTS 2026'!F561)</f>
        <v/>
      </c>
      <c r="E561">
        <f>IF(ISBLANK('ENGAGEMENTS 2026'!B561),"",'ENGAGEMENTS 2026'!H561)</f>
        <v/>
      </c>
      <c r="F561">
        <f>IF(ISBLANK('ENGAGEMENTS 2026'!B561),"",'ENGAGEMENTS 2026'!I561)</f>
        <v/>
      </c>
      <c r="G561">
        <f>IF(ISBLANK('ENGAGEMENTS 2026'!B561),"",'ENGAGEMENTS 2026'!L561)</f>
        <v/>
      </c>
      <c r="H561">
        <f>IF(ISBLANK('ENGAGEMENTS 2026'!B561),"",'ENGAGEMENTS 2026'!AE561)</f>
        <v/>
      </c>
      <c r="I561">
        <f>IF(ISBLANK('ENGAGEMENTS 2026'!B561),"",'ENGAGEMENTS 2026'!G561)</f>
        <v/>
      </c>
      <c r="J561" s="275">
        <f>IF(ISBLANK('ENGAGEMENTS 2026'!B561),"",IF(AND(OR($E561="INFRUCTUEUX",$E561="ANNULE"),$C561="AOO-M"),'ENGAGEMENTS 2026'!O561,IF($H561="EN COURS DE PREENGAGEMENT",'ENGAGEMENTS 2026'!N561,IF($H561="PREENGAGE",IF($E561="ATTRIBUE",'ENGAGEMENTS 2026'!AD561,'ENGAGEMENTS 2026'!N561),'ENGAGEMENTS 2026'!AD561))))</f>
        <v/>
      </c>
      <c r="K561" s="604">
        <f>IF(ISBLANK('ENGAGEMENTS 2026'!V561),"",'ENGAGEMENTS 2026'!V561)</f>
        <v/>
      </c>
      <c r="L561" s="276">
        <f>IF($K561="","",TODAY()-$K561)</f>
        <v/>
      </c>
      <c r="M561">
        <f>IF($A561="","",IF($H561="ENGAGE","Engagé",IF(AND($H561="NON ENGAGE",OR($I561="INFRUCTUEUX",$I561="ANNULE")),"Clôturé sans suite","En cours")))</f>
        <v/>
      </c>
      <c r="N561">
        <f>IF(ISBLANK('ENGAGEMENTS 2026'!B561),"",'ENGAGEMENTS 2026'!K561)</f>
        <v/>
      </c>
      <c r="O561">
        <f>IF(ISBLANK('ENGAGEMENTS 2026'!B561),"",'ENGAGEMENTS 2026'!L561)</f>
        <v/>
      </c>
      <c r="P561">
        <f>IF(ISBLANK('ENGAGEMENTS 2026'!B561),"",'ENGAGEMENTS 2026'!J561)</f>
        <v/>
      </c>
      <c r="Q561">
        <f>IF($A561="","",IF(OR($E561="INFRUCTUEUX",$E561="ANNULE"),$A561&amp;"|"&amp;(COUNTIFS($A$2:$A561,$A561,$E$2:$E561,"INFRUCTUEUX")+COUNTIFS($A$2:$A561,$A561,$E$2:$E561,"ANNULE")),""))</f>
        <v/>
      </c>
    </row>
    <row r="562">
      <c r="A562">
        <f>IF(ISBLANK('ENGAGEMENTS 2026'!B562),"",IF('ENGAGEMENTS 2026'!B562="DTSI","DCT",'ENGAGEMENTS 2026'!B562))</f>
        <v/>
      </c>
      <c r="B562">
        <f>IF(ISBLANK('ENGAGEMENTS 2026'!B562),"",'ENGAGEMENTS 2026'!C562)</f>
        <v/>
      </c>
      <c r="C562">
        <f>IF(ISBLANK('ENGAGEMENTS 2026'!B562),"",'ENGAGEMENTS 2026'!D562)</f>
        <v/>
      </c>
      <c r="D562">
        <f>IF(ISBLANK('ENGAGEMENTS 2026'!B562),"",'ENGAGEMENTS 2026'!F562)</f>
        <v/>
      </c>
      <c r="E562">
        <f>IF(ISBLANK('ENGAGEMENTS 2026'!B562),"",'ENGAGEMENTS 2026'!H562)</f>
        <v/>
      </c>
      <c r="F562">
        <f>IF(ISBLANK('ENGAGEMENTS 2026'!B562),"",'ENGAGEMENTS 2026'!I562)</f>
        <v/>
      </c>
      <c r="G562">
        <f>IF(ISBLANK('ENGAGEMENTS 2026'!B562),"",'ENGAGEMENTS 2026'!L562)</f>
        <v/>
      </c>
      <c r="H562">
        <f>IF(ISBLANK('ENGAGEMENTS 2026'!B562),"",'ENGAGEMENTS 2026'!AE562)</f>
        <v/>
      </c>
      <c r="I562">
        <f>IF(ISBLANK('ENGAGEMENTS 2026'!B562),"",'ENGAGEMENTS 2026'!G562)</f>
        <v/>
      </c>
      <c r="J562" s="275">
        <f>IF(ISBLANK('ENGAGEMENTS 2026'!B562),"",IF(AND(OR($E562="INFRUCTUEUX",$E562="ANNULE"),$C562="AOO-M"),'ENGAGEMENTS 2026'!O562,IF($H562="EN COURS DE PREENGAGEMENT",'ENGAGEMENTS 2026'!N562,IF($H562="PREENGAGE",IF($E562="ATTRIBUE",'ENGAGEMENTS 2026'!AD562,'ENGAGEMENTS 2026'!N562),'ENGAGEMENTS 2026'!AD562))))</f>
        <v/>
      </c>
      <c r="K562" s="604">
        <f>IF(ISBLANK('ENGAGEMENTS 2026'!V562),"",'ENGAGEMENTS 2026'!V562)</f>
        <v/>
      </c>
      <c r="L562" s="276">
        <f>IF($K562="","",TODAY()-$K562)</f>
        <v/>
      </c>
      <c r="M562">
        <f>IF($A562="","",IF($H562="ENGAGE","Engagé",IF(AND($H562="NON ENGAGE",OR($I562="INFRUCTUEUX",$I562="ANNULE")),"Clôturé sans suite","En cours")))</f>
        <v/>
      </c>
      <c r="N562">
        <f>IF(ISBLANK('ENGAGEMENTS 2026'!B562),"",'ENGAGEMENTS 2026'!K562)</f>
        <v/>
      </c>
      <c r="O562">
        <f>IF(ISBLANK('ENGAGEMENTS 2026'!B562),"",'ENGAGEMENTS 2026'!L562)</f>
        <v/>
      </c>
      <c r="P562">
        <f>IF(ISBLANK('ENGAGEMENTS 2026'!B562),"",'ENGAGEMENTS 2026'!J562)</f>
        <v/>
      </c>
      <c r="Q562">
        <f>IF($A562="","",IF(OR($E562="INFRUCTUEUX",$E562="ANNULE"),$A562&amp;"|"&amp;(COUNTIFS($A$2:$A562,$A562,$E$2:$E562,"INFRUCTUEUX")+COUNTIFS($A$2:$A562,$A562,$E$2:$E562,"ANNULE")),""))</f>
        <v/>
      </c>
    </row>
    <row r="563">
      <c r="A563">
        <f>IF(ISBLANK('ENGAGEMENTS 2026'!B563),"",IF('ENGAGEMENTS 2026'!B563="DTSI","DCT",'ENGAGEMENTS 2026'!B563))</f>
        <v/>
      </c>
      <c r="B563">
        <f>IF(ISBLANK('ENGAGEMENTS 2026'!B563),"",'ENGAGEMENTS 2026'!C563)</f>
        <v/>
      </c>
      <c r="C563">
        <f>IF(ISBLANK('ENGAGEMENTS 2026'!B563),"",'ENGAGEMENTS 2026'!D563)</f>
        <v/>
      </c>
      <c r="D563">
        <f>IF(ISBLANK('ENGAGEMENTS 2026'!B563),"",'ENGAGEMENTS 2026'!F563)</f>
        <v/>
      </c>
      <c r="E563">
        <f>IF(ISBLANK('ENGAGEMENTS 2026'!B563),"",'ENGAGEMENTS 2026'!H563)</f>
        <v/>
      </c>
      <c r="F563">
        <f>IF(ISBLANK('ENGAGEMENTS 2026'!B563),"",'ENGAGEMENTS 2026'!I563)</f>
        <v/>
      </c>
      <c r="G563">
        <f>IF(ISBLANK('ENGAGEMENTS 2026'!B563),"",'ENGAGEMENTS 2026'!L563)</f>
        <v/>
      </c>
      <c r="H563">
        <f>IF(ISBLANK('ENGAGEMENTS 2026'!B563),"",'ENGAGEMENTS 2026'!AE563)</f>
        <v/>
      </c>
      <c r="I563">
        <f>IF(ISBLANK('ENGAGEMENTS 2026'!B563),"",'ENGAGEMENTS 2026'!G563)</f>
        <v/>
      </c>
      <c r="J563" s="275">
        <f>IF(ISBLANK('ENGAGEMENTS 2026'!B563),"",IF(AND(OR($E563="INFRUCTUEUX",$E563="ANNULE"),$C563="AOO-M"),'ENGAGEMENTS 2026'!O563,IF($H563="EN COURS DE PREENGAGEMENT",'ENGAGEMENTS 2026'!N563,IF($H563="PREENGAGE",IF($E563="ATTRIBUE",'ENGAGEMENTS 2026'!AD563,'ENGAGEMENTS 2026'!N563),'ENGAGEMENTS 2026'!AD563))))</f>
        <v/>
      </c>
      <c r="K563" s="604">
        <f>IF(ISBLANK('ENGAGEMENTS 2026'!V563),"",'ENGAGEMENTS 2026'!V563)</f>
        <v/>
      </c>
      <c r="L563" s="276">
        <f>IF($K563="","",TODAY()-$K563)</f>
        <v/>
      </c>
      <c r="M563">
        <f>IF($A563="","",IF($H563="ENGAGE","Engagé",IF(AND($H563="NON ENGAGE",OR($I563="INFRUCTUEUX",$I563="ANNULE")),"Clôturé sans suite","En cours")))</f>
        <v/>
      </c>
      <c r="N563">
        <f>IF(ISBLANK('ENGAGEMENTS 2026'!B563),"",'ENGAGEMENTS 2026'!K563)</f>
        <v/>
      </c>
      <c r="O563">
        <f>IF(ISBLANK('ENGAGEMENTS 2026'!B563),"",'ENGAGEMENTS 2026'!L563)</f>
        <v/>
      </c>
      <c r="P563">
        <f>IF(ISBLANK('ENGAGEMENTS 2026'!B563),"",'ENGAGEMENTS 2026'!J563)</f>
        <v/>
      </c>
      <c r="Q563">
        <f>IF($A563="","",IF(OR($E563="INFRUCTUEUX",$E563="ANNULE"),$A563&amp;"|"&amp;(COUNTIFS($A$2:$A563,$A563,$E$2:$E563,"INFRUCTUEUX")+COUNTIFS($A$2:$A563,$A563,$E$2:$E563,"ANNULE")),""))</f>
        <v/>
      </c>
    </row>
    <row r="564">
      <c r="A564">
        <f>IF(ISBLANK('ENGAGEMENTS 2026'!B564),"",IF('ENGAGEMENTS 2026'!B564="DTSI","DCT",'ENGAGEMENTS 2026'!B564))</f>
        <v/>
      </c>
      <c r="B564">
        <f>IF(ISBLANK('ENGAGEMENTS 2026'!B564),"",'ENGAGEMENTS 2026'!C564)</f>
        <v/>
      </c>
      <c r="C564">
        <f>IF(ISBLANK('ENGAGEMENTS 2026'!B564),"",'ENGAGEMENTS 2026'!D564)</f>
        <v/>
      </c>
      <c r="D564">
        <f>IF(ISBLANK('ENGAGEMENTS 2026'!B564),"",'ENGAGEMENTS 2026'!F564)</f>
        <v/>
      </c>
      <c r="E564">
        <f>IF(ISBLANK('ENGAGEMENTS 2026'!B564),"",'ENGAGEMENTS 2026'!H564)</f>
        <v/>
      </c>
      <c r="F564">
        <f>IF(ISBLANK('ENGAGEMENTS 2026'!B564),"",'ENGAGEMENTS 2026'!I564)</f>
        <v/>
      </c>
      <c r="G564">
        <f>IF(ISBLANK('ENGAGEMENTS 2026'!B564),"",'ENGAGEMENTS 2026'!L564)</f>
        <v/>
      </c>
      <c r="H564">
        <f>IF(ISBLANK('ENGAGEMENTS 2026'!B564),"",'ENGAGEMENTS 2026'!AE564)</f>
        <v/>
      </c>
      <c r="I564">
        <f>IF(ISBLANK('ENGAGEMENTS 2026'!B564),"",'ENGAGEMENTS 2026'!G564)</f>
        <v/>
      </c>
      <c r="J564" s="275">
        <f>IF(ISBLANK('ENGAGEMENTS 2026'!B564),"",IF(AND(OR($E564="INFRUCTUEUX",$E564="ANNULE"),$C564="AOO-M"),'ENGAGEMENTS 2026'!O564,IF($H564="EN COURS DE PREENGAGEMENT",'ENGAGEMENTS 2026'!N564,IF($H564="PREENGAGE",IF($E564="ATTRIBUE",'ENGAGEMENTS 2026'!AD564,'ENGAGEMENTS 2026'!N564),'ENGAGEMENTS 2026'!AD564))))</f>
        <v/>
      </c>
      <c r="K564" s="604">
        <f>IF(ISBLANK('ENGAGEMENTS 2026'!V564),"",'ENGAGEMENTS 2026'!V564)</f>
        <v/>
      </c>
      <c r="L564" s="276">
        <f>IF($K564="","",TODAY()-$K564)</f>
        <v/>
      </c>
      <c r="M564">
        <f>IF($A564="","",IF($H564="ENGAGE","Engagé",IF(AND($H564="NON ENGAGE",OR($I564="INFRUCTUEUX",$I564="ANNULE")),"Clôturé sans suite","En cours")))</f>
        <v/>
      </c>
      <c r="N564">
        <f>IF(ISBLANK('ENGAGEMENTS 2026'!B564),"",'ENGAGEMENTS 2026'!K564)</f>
        <v/>
      </c>
      <c r="O564">
        <f>IF(ISBLANK('ENGAGEMENTS 2026'!B564),"",'ENGAGEMENTS 2026'!L564)</f>
        <v/>
      </c>
      <c r="P564">
        <f>IF(ISBLANK('ENGAGEMENTS 2026'!B564),"",'ENGAGEMENTS 2026'!J564)</f>
        <v/>
      </c>
      <c r="Q564">
        <f>IF($A564="","",IF(OR($E564="INFRUCTUEUX",$E564="ANNULE"),$A564&amp;"|"&amp;(COUNTIFS($A$2:$A564,$A564,$E$2:$E564,"INFRUCTUEUX")+COUNTIFS($A$2:$A564,$A564,$E$2:$E564,"ANNULE")),""))</f>
        <v/>
      </c>
    </row>
    <row r="565">
      <c r="A565">
        <f>IF(ISBLANK('ENGAGEMENTS 2026'!B565),"",IF('ENGAGEMENTS 2026'!B565="DTSI","DCT",'ENGAGEMENTS 2026'!B565))</f>
        <v/>
      </c>
      <c r="B565">
        <f>IF(ISBLANK('ENGAGEMENTS 2026'!B565),"",'ENGAGEMENTS 2026'!C565)</f>
        <v/>
      </c>
      <c r="C565">
        <f>IF(ISBLANK('ENGAGEMENTS 2026'!B565),"",'ENGAGEMENTS 2026'!D565)</f>
        <v/>
      </c>
      <c r="D565">
        <f>IF(ISBLANK('ENGAGEMENTS 2026'!B565),"",'ENGAGEMENTS 2026'!F565)</f>
        <v/>
      </c>
      <c r="E565">
        <f>IF(ISBLANK('ENGAGEMENTS 2026'!B565),"",'ENGAGEMENTS 2026'!H565)</f>
        <v/>
      </c>
      <c r="F565">
        <f>IF(ISBLANK('ENGAGEMENTS 2026'!B565),"",'ENGAGEMENTS 2026'!I565)</f>
        <v/>
      </c>
      <c r="G565">
        <f>IF(ISBLANK('ENGAGEMENTS 2026'!B565),"",'ENGAGEMENTS 2026'!L565)</f>
        <v/>
      </c>
      <c r="H565">
        <f>IF(ISBLANK('ENGAGEMENTS 2026'!B565),"",'ENGAGEMENTS 2026'!AE565)</f>
        <v/>
      </c>
      <c r="I565">
        <f>IF(ISBLANK('ENGAGEMENTS 2026'!B565),"",'ENGAGEMENTS 2026'!G565)</f>
        <v/>
      </c>
      <c r="J565" s="275">
        <f>IF(ISBLANK('ENGAGEMENTS 2026'!B565),"",IF(AND(OR($E565="INFRUCTUEUX",$E565="ANNULE"),$C565="AOO-M"),'ENGAGEMENTS 2026'!O565,IF($H565="EN COURS DE PREENGAGEMENT",'ENGAGEMENTS 2026'!N565,IF($H565="PREENGAGE",IF($E565="ATTRIBUE",'ENGAGEMENTS 2026'!AD565,'ENGAGEMENTS 2026'!N565),'ENGAGEMENTS 2026'!AD565))))</f>
        <v/>
      </c>
      <c r="K565" s="604">
        <f>IF(ISBLANK('ENGAGEMENTS 2026'!V565),"",'ENGAGEMENTS 2026'!V565)</f>
        <v/>
      </c>
      <c r="L565" s="276">
        <f>IF($K565="","",TODAY()-$K565)</f>
        <v/>
      </c>
      <c r="M565">
        <f>IF($A565="","",IF($H565="ENGAGE","Engagé",IF(AND($H565="NON ENGAGE",OR($I565="INFRUCTUEUX",$I565="ANNULE")),"Clôturé sans suite","En cours")))</f>
        <v/>
      </c>
      <c r="N565">
        <f>IF(ISBLANK('ENGAGEMENTS 2026'!B565),"",'ENGAGEMENTS 2026'!K565)</f>
        <v/>
      </c>
      <c r="O565">
        <f>IF(ISBLANK('ENGAGEMENTS 2026'!B565),"",'ENGAGEMENTS 2026'!L565)</f>
        <v/>
      </c>
      <c r="P565">
        <f>IF(ISBLANK('ENGAGEMENTS 2026'!B565),"",'ENGAGEMENTS 2026'!J565)</f>
        <v/>
      </c>
      <c r="Q565">
        <f>IF($A565="","",IF(OR($E565="INFRUCTUEUX",$E565="ANNULE"),$A565&amp;"|"&amp;(COUNTIFS($A$2:$A565,$A565,$E$2:$E565,"INFRUCTUEUX")+COUNTIFS($A$2:$A565,$A565,$E$2:$E565,"ANNULE")),""))</f>
        <v/>
      </c>
    </row>
    <row r="566">
      <c r="A566">
        <f>IF(ISBLANK('ENGAGEMENTS 2026'!B566),"",IF('ENGAGEMENTS 2026'!B566="DTSI","DCT",'ENGAGEMENTS 2026'!B566))</f>
        <v/>
      </c>
      <c r="B566">
        <f>IF(ISBLANK('ENGAGEMENTS 2026'!B566),"",'ENGAGEMENTS 2026'!C566)</f>
        <v/>
      </c>
      <c r="C566">
        <f>IF(ISBLANK('ENGAGEMENTS 2026'!B566),"",'ENGAGEMENTS 2026'!D566)</f>
        <v/>
      </c>
      <c r="D566">
        <f>IF(ISBLANK('ENGAGEMENTS 2026'!B566),"",'ENGAGEMENTS 2026'!F566)</f>
        <v/>
      </c>
      <c r="E566">
        <f>IF(ISBLANK('ENGAGEMENTS 2026'!B566),"",'ENGAGEMENTS 2026'!H566)</f>
        <v/>
      </c>
      <c r="F566">
        <f>IF(ISBLANK('ENGAGEMENTS 2026'!B566),"",'ENGAGEMENTS 2026'!I566)</f>
        <v/>
      </c>
      <c r="G566">
        <f>IF(ISBLANK('ENGAGEMENTS 2026'!B566),"",'ENGAGEMENTS 2026'!L566)</f>
        <v/>
      </c>
      <c r="H566">
        <f>IF(ISBLANK('ENGAGEMENTS 2026'!B566),"",'ENGAGEMENTS 2026'!AE566)</f>
        <v/>
      </c>
      <c r="I566">
        <f>IF(ISBLANK('ENGAGEMENTS 2026'!B566),"",'ENGAGEMENTS 2026'!G566)</f>
        <v/>
      </c>
      <c r="J566" s="275">
        <f>IF(ISBLANK('ENGAGEMENTS 2026'!B566),"",IF(AND(OR($E566="INFRUCTUEUX",$E566="ANNULE"),$C566="AOO-M"),'ENGAGEMENTS 2026'!O566,IF($H566="EN COURS DE PREENGAGEMENT",'ENGAGEMENTS 2026'!N566,IF($H566="PREENGAGE",IF($E566="ATTRIBUE",'ENGAGEMENTS 2026'!AD566,'ENGAGEMENTS 2026'!N566),'ENGAGEMENTS 2026'!AD566))))</f>
        <v/>
      </c>
      <c r="K566" s="604">
        <f>IF(ISBLANK('ENGAGEMENTS 2026'!V566),"",'ENGAGEMENTS 2026'!V566)</f>
        <v/>
      </c>
      <c r="L566" s="276">
        <f>IF($K566="","",TODAY()-$K566)</f>
        <v/>
      </c>
      <c r="M566">
        <f>IF($A566="","",IF($H566="ENGAGE","Engagé",IF(AND($H566="NON ENGAGE",OR($I566="INFRUCTUEUX",$I566="ANNULE")),"Clôturé sans suite","En cours")))</f>
        <v/>
      </c>
      <c r="N566">
        <f>IF(ISBLANK('ENGAGEMENTS 2026'!B566),"",'ENGAGEMENTS 2026'!K566)</f>
        <v/>
      </c>
      <c r="O566">
        <f>IF(ISBLANK('ENGAGEMENTS 2026'!B566),"",'ENGAGEMENTS 2026'!L566)</f>
        <v/>
      </c>
      <c r="P566">
        <f>IF(ISBLANK('ENGAGEMENTS 2026'!B566),"",'ENGAGEMENTS 2026'!J566)</f>
        <v/>
      </c>
      <c r="Q566">
        <f>IF($A566="","",IF(OR($E566="INFRUCTUEUX",$E566="ANNULE"),$A566&amp;"|"&amp;(COUNTIFS($A$2:$A566,$A566,$E$2:$E566,"INFRUCTUEUX")+COUNTIFS($A$2:$A566,$A566,$E$2:$E566,"ANNULE")),""))</f>
        <v/>
      </c>
    </row>
    <row r="567">
      <c r="A567">
        <f>IF(ISBLANK('ENGAGEMENTS 2026'!B567),"",IF('ENGAGEMENTS 2026'!B567="DTSI","DCT",'ENGAGEMENTS 2026'!B567))</f>
        <v/>
      </c>
      <c r="B567">
        <f>IF(ISBLANK('ENGAGEMENTS 2026'!B567),"",'ENGAGEMENTS 2026'!C567)</f>
        <v/>
      </c>
      <c r="C567">
        <f>IF(ISBLANK('ENGAGEMENTS 2026'!B567),"",'ENGAGEMENTS 2026'!D567)</f>
        <v/>
      </c>
      <c r="D567">
        <f>IF(ISBLANK('ENGAGEMENTS 2026'!B567),"",'ENGAGEMENTS 2026'!F567)</f>
        <v/>
      </c>
      <c r="E567">
        <f>IF(ISBLANK('ENGAGEMENTS 2026'!B567),"",'ENGAGEMENTS 2026'!H567)</f>
        <v/>
      </c>
      <c r="F567">
        <f>IF(ISBLANK('ENGAGEMENTS 2026'!B567),"",'ENGAGEMENTS 2026'!I567)</f>
        <v/>
      </c>
      <c r="G567">
        <f>IF(ISBLANK('ENGAGEMENTS 2026'!B567),"",'ENGAGEMENTS 2026'!L567)</f>
        <v/>
      </c>
      <c r="H567">
        <f>IF(ISBLANK('ENGAGEMENTS 2026'!B567),"",'ENGAGEMENTS 2026'!AE567)</f>
        <v/>
      </c>
      <c r="I567">
        <f>IF(ISBLANK('ENGAGEMENTS 2026'!B567),"",'ENGAGEMENTS 2026'!G567)</f>
        <v/>
      </c>
      <c r="J567" s="275">
        <f>IF(ISBLANK('ENGAGEMENTS 2026'!B567),"",IF(AND(OR($E567="INFRUCTUEUX",$E567="ANNULE"),$C567="AOO-M"),'ENGAGEMENTS 2026'!O567,IF($H567="EN COURS DE PREENGAGEMENT",'ENGAGEMENTS 2026'!N567,IF($H567="PREENGAGE",IF($E567="ATTRIBUE",'ENGAGEMENTS 2026'!AD567,'ENGAGEMENTS 2026'!N567),'ENGAGEMENTS 2026'!AD567))))</f>
        <v/>
      </c>
      <c r="K567" s="604">
        <f>IF(ISBLANK('ENGAGEMENTS 2026'!V567),"",'ENGAGEMENTS 2026'!V567)</f>
        <v/>
      </c>
      <c r="L567" s="276">
        <f>IF($K567="","",TODAY()-$K567)</f>
        <v/>
      </c>
      <c r="M567">
        <f>IF($A567="","",IF($H567="ENGAGE","Engagé",IF(AND($H567="NON ENGAGE",OR($I567="INFRUCTUEUX",$I567="ANNULE")),"Clôturé sans suite","En cours")))</f>
        <v/>
      </c>
      <c r="N567">
        <f>IF(ISBLANK('ENGAGEMENTS 2026'!B567),"",'ENGAGEMENTS 2026'!K567)</f>
        <v/>
      </c>
      <c r="O567">
        <f>IF(ISBLANK('ENGAGEMENTS 2026'!B567),"",'ENGAGEMENTS 2026'!L567)</f>
        <v/>
      </c>
      <c r="P567">
        <f>IF(ISBLANK('ENGAGEMENTS 2026'!B567),"",'ENGAGEMENTS 2026'!J567)</f>
        <v/>
      </c>
      <c r="Q567">
        <f>IF($A567="","",IF(OR($E567="INFRUCTUEUX",$E567="ANNULE"),$A567&amp;"|"&amp;(COUNTIFS($A$2:$A567,$A567,$E$2:$E567,"INFRUCTUEUX")+COUNTIFS($A$2:$A567,$A567,$E$2:$E567,"ANNULE")),""))</f>
        <v/>
      </c>
    </row>
    <row r="568">
      <c r="A568">
        <f>IF(ISBLANK('ENGAGEMENTS 2026'!B568),"",IF('ENGAGEMENTS 2026'!B568="DTSI","DCT",'ENGAGEMENTS 2026'!B568))</f>
        <v/>
      </c>
      <c r="B568">
        <f>IF(ISBLANK('ENGAGEMENTS 2026'!B568),"",'ENGAGEMENTS 2026'!C568)</f>
        <v/>
      </c>
      <c r="C568">
        <f>IF(ISBLANK('ENGAGEMENTS 2026'!B568),"",'ENGAGEMENTS 2026'!D568)</f>
        <v/>
      </c>
      <c r="D568">
        <f>IF(ISBLANK('ENGAGEMENTS 2026'!B568),"",'ENGAGEMENTS 2026'!F568)</f>
        <v/>
      </c>
      <c r="E568">
        <f>IF(ISBLANK('ENGAGEMENTS 2026'!B568),"",'ENGAGEMENTS 2026'!H568)</f>
        <v/>
      </c>
      <c r="F568">
        <f>IF(ISBLANK('ENGAGEMENTS 2026'!B568),"",'ENGAGEMENTS 2026'!I568)</f>
        <v/>
      </c>
      <c r="G568">
        <f>IF(ISBLANK('ENGAGEMENTS 2026'!B568),"",'ENGAGEMENTS 2026'!L568)</f>
        <v/>
      </c>
      <c r="H568">
        <f>IF(ISBLANK('ENGAGEMENTS 2026'!B568),"",'ENGAGEMENTS 2026'!AE568)</f>
        <v/>
      </c>
      <c r="I568">
        <f>IF(ISBLANK('ENGAGEMENTS 2026'!B568),"",'ENGAGEMENTS 2026'!G568)</f>
        <v/>
      </c>
      <c r="J568" s="275">
        <f>IF(ISBLANK('ENGAGEMENTS 2026'!B568),"",IF(AND(OR($E568="INFRUCTUEUX",$E568="ANNULE"),$C568="AOO-M"),'ENGAGEMENTS 2026'!O568,IF($H568="EN COURS DE PREENGAGEMENT",'ENGAGEMENTS 2026'!N568,IF($H568="PREENGAGE",IF($E568="ATTRIBUE",'ENGAGEMENTS 2026'!AD568,'ENGAGEMENTS 2026'!N568),'ENGAGEMENTS 2026'!AD568))))</f>
        <v/>
      </c>
      <c r="K568" s="604">
        <f>IF(ISBLANK('ENGAGEMENTS 2026'!V568),"",'ENGAGEMENTS 2026'!V568)</f>
        <v/>
      </c>
      <c r="L568" s="276">
        <f>IF($K568="","",TODAY()-$K568)</f>
        <v/>
      </c>
      <c r="M568">
        <f>IF($A568="","",IF($H568="ENGAGE","Engagé",IF(AND($H568="NON ENGAGE",OR($I568="INFRUCTUEUX",$I568="ANNULE")),"Clôturé sans suite","En cours")))</f>
        <v/>
      </c>
      <c r="N568">
        <f>IF(ISBLANK('ENGAGEMENTS 2026'!B568),"",'ENGAGEMENTS 2026'!K568)</f>
        <v/>
      </c>
      <c r="O568">
        <f>IF(ISBLANK('ENGAGEMENTS 2026'!B568),"",'ENGAGEMENTS 2026'!L568)</f>
        <v/>
      </c>
      <c r="P568">
        <f>IF(ISBLANK('ENGAGEMENTS 2026'!B568),"",'ENGAGEMENTS 2026'!J568)</f>
        <v/>
      </c>
      <c r="Q568">
        <f>IF($A568="","",IF(OR($E568="INFRUCTUEUX",$E568="ANNULE"),$A568&amp;"|"&amp;(COUNTIFS($A$2:$A568,$A568,$E$2:$E568,"INFRUCTUEUX")+COUNTIFS($A$2:$A568,$A568,$E$2:$E568,"ANNULE")),""))</f>
        <v/>
      </c>
    </row>
    <row r="569">
      <c r="A569">
        <f>IF(ISBLANK('ENGAGEMENTS 2026'!B569),"",IF('ENGAGEMENTS 2026'!B569="DTSI","DCT",'ENGAGEMENTS 2026'!B569))</f>
        <v/>
      </c>
      <c r="B569">
        <f>IF(ISBLANK('ENGAGEMENTS 2026'!B569),"",'ENGAGEMENTS 2026'!C569)</f>
        <v/>
      </c>
      <c r="C569">
        <f>IF(ISBLANK('ENGAGEMENTS 2026'!B569),"",'ENGAGEMENTS 2026'!D569)</f>
        <v/>
      </c>
      <c r="D569">
        <f>IF(ISBLANK('ENGAGEMENTS 2026'!B569),"",'ENGAGEMENTS 2026'!F569)</f>
        <v/>
      </c>
      <c r="E569">
        <f>IF(ISBLANK('ENGAGEMENTS 2026'!B569),"",'ENGAGEMENTS 2026'!H569)</f>
        <v/>
      </c>
      <c r="F569">
        <f>IF(ISBLANK('ENGAGEMENTS 2026'!B569),"",'ENGAGEMENTS 2026'!I569)</f>
        <v/>
      </c>
      <c r="G569">
        <f>IF(ISBLANK('ENGAGEMENTS 2026'!B569),"",'ENGAGEMENTS 2026'!L569)</f>
        <v/>
      </c>
      <c r="H569">
        <f>IF(ISBLANK('ENGAGEMENTS 2026'!B569),"",'ENGAGEMENTS 2026'!AE569)</f>
        <v/>
      </c>
      <c r="I569">
        <f>IF(ISBLANK('ENGAGEMENTS 2026'!B569),"",'ENGAGEMENTS 2026'!G569)</f>
        <v/>
      </c>
      <c r="J569" s="275">
        <f>IF(ISBLANK('ENGAGEMENTS 2026'!B569),"",IF(AND(OR($E569="INFRUCTUEUX",$E569="ANNULE"),$C569="AOO-M"),'ENGAGEMENTS 2026'!O569,IF($H569="EN COURS DE PREENGAGEMENT",'ENGAGEMENTS 2026'!N569,IF($H569="PREENGAGE",IF($E569="ATTRIBUE",'ENGAGEMENTS 2026'!AD569,'ENGAGEMENTS 2026'!N569),'ENGAGEMENTS 2026'!AD569))))</f>
        <v/>
      </c>
      <c r="K569" s="604">
        <f>IF(ISBLANK('ENGAGEMENTS 2026'!V569),"",'ENGAGEMENTS 2026'!V569)</f>
        <v/>
      </c>
      <c r="L569" s="276">
        <f>IF($K569="","",TODAY()-$K569)</f>
        <v/>
      </c>
      <c r="M569">
        <f>IF($A569="","",IF($H569="ENGAGE","Engagé",IF(AND($H569="NON ENGAGE",OR($I569="INFRUCTUEUX",$I569="ANNULE")),"Clôturé sans suite","En cours")))</f>
        <v/>
      </c>
      <c r="N569">
        <f>IF(ISBLANK('ENGAGEMENTS 2026'!B569),"",'ENGAGEMENTS 2026'!K569)</f>
        <v/>
      </c>
      <c r="O569">
        <f>IF(ISBLANK('ENGAGEMENTS 2026'!B569),"",'ENGAGEMENTS 2026'!L569)</f>
        <v/>
      </c>
      <c r="P569">
        <f>IF(ISBLANK('ENGAGEMENTS 2026'!B569),"",'ENGAGEMENTS 2026'!J569)</f>
        <v/>
      </c>
      <c r="Q569">
        <f>IF($A569="","",IF(OR($E569="INFRUCTUEUX",$E569="ANNULE"),$A569&amp;"|"&amp;(COUNTIFS($A$2:$A569,$A569,$E$2:$E569,"INFRUCTUEUX")+COUNTIFS($A$2:$A569,$A569,$E$2:$E569,"ANNULE")),""))</f>
        <v/>
      </c>
    </row>
    <row r="570">
      <c r="A570">
        <f>IF(ISBLANK('ENGAGEMENTS 2026'!B570),"",IF('ENGAGEMENTS 2026'!B570="DTSI","DCT",'ENGAGEMENTS 2026'!B570))</f>
        <v/>
      </c>
      <c r="B570">
        <f>IF(ISBLANK('ENGAGEMENTS 2026'!B570),"",'ENGAGEMENTS 2026'!C570)</f>
        <v/>
      </c>
      <c r="C570">
        <f>IF(ISBLANK('ENGAGEMENTS 2026'!B570),"",'ENGAGEMENTS 2026'!D570)</f>
        <v/>
      </c>
      <c r="D570">
        <f>IF(ISBLANK('ENGAGEMENTS 2026'!B570),"",'ENGAGEMENTS 2026'!F570)</f>
        <v/>
      </c>
      <c r="E570">
        <f>IF(ISBLANK('ENGAGEMENTS 2026'!B570),"",'ENGAGEMENTS 2026'!H570)</f>
        <v/>
      </c>
      <c r="F570">
        <f>IF(ISBLANK('ENGAGEMENTS 2026'!B570),"",'ENGAGEMENTS 2026'!I570)</f>
        <v/>
      </c>
      <c r="G570">
        <f>IF(ISBLANK('ENGAGEMENTS 2026'!B570),"",'ENGAGEMENTS 2026'!L570)</f>
        <v/>
      </c>
      <c r="H570">
        <f>IF(ISBLANK('ENGAGEMENTS 2026'!B570),"",'ENGAGEMENTS 2026'!AE570)</f>
        <v/>
      </c>
      <c r="I570">
        <f>IF(ISBLANK('ENGAGEMENTS 2026'!B570),"",'ENGAGEMENTS 2026'!G570)</f>
        <v/>
      </c>
      <c r="J570" s="275">
        <f>IF(ISBLANK('ENGAGEMENTS 2026'!B570),"",IF(AND(OR($E570="INFRUCTUEUX",$E570="ANNULE"),$C570="AOO-M"),'ENGAGEMENTS 2026'!O570,IF($H570="EN COURS DE PREENGAGEMENT",'ENGAGEMENTS 2026'!N570,IF($H570="PREENGAGE",IF($E570="ATTRIBUE",'ENGAGEMENTS 2026'!AD570,'ENGAGEMENTS 2026'!N570),'ENGAGEMENTS 2026'!AD570))))</f>
        <v/>
      </c>
      <c r="K570" s="604">
        <f>IF(ISBLANK('ENGAGEMENTS 2026'!V570),"",'ENGAGEMENTS 2026'!V570)</f>
        <v/>
      </c>
      <c r="L570" s="276">
        <f>IF($K570="","",TODAY()-$K570)</f>
        <v/>
      </c>
      <c r="M570">
        <f>IF($A570="","",IF($H570="ENGAGE","Engagé",IF(AND($H570="NON ENGAGE",OR($I570="INFRUCTUEUX",$I570="ANNULE")),"Clôturé sans suite","En cours")))</f>
        <v/>
      </c>
      <c r="N570">
        <f>IF(ISBLANK('ENGAGEMENTS 2026'!B570),"",'ENGAGEMENTS 2026'!K570)</f>
        <v/>
      </c>
      <c r="O570">
        <f>IF(ISBLANK('ENGAGEMENTS 2026'!B570),"",'ENGAGEMENTS 2026'!L570)</f>
        <v/>
      </c>
      <c r="P570">
        <f>IF(ISBLANK('ENGAGEMENTS 2026'!B570),"",'ENGAGEMENTS 2026'!J570)</f>
        <v/>
      </c>
      <c r="Q570">
        <f>IF($A570="","",IF(OR($E570="INFRUCTUEUX",$E570="ANNULE"),$A570&amp;"|"&amp;(COUNTIFS($A$2:$A570,$A570,$E$2:$E570,"INFRUCTUEUX")+COUNTIFS($A$2:$A570,$A570,$E$2:$E570,"ANNULE")),""))</f>
        <v/>
      </c>
    </row>
    <row r="571">
      <c r="A571">
        <f>IF(ISBLANK('ENGAGEMENTS 2026'!B571),"",IF('ENGAGEMENTS 2026'!B571="DTSI","DCT",'ENGAGEMENTS 2026'!B571))</f>
        <v/>
      </c>
      <c r="B571">
        <f>IF(ISBLANK('ENGAGEMENTS 2026'!B571),"",'ENGAGEMENTS 2026'!C571)</f>
        <v/>
      </c>
      <c r="C571">
        <f>IF(ISBLANK('ENGAGEMENTS 2026'!B571),"",'ENGAGEMENTS 2026'!D571)</f>
        <v/>
      </c>
      <c r="D571">
        <f>IF(ISBLANK('ENGAGEMENTS 2026'!B571),"",'ENGAGEMENTS 2026'!F571)</f>
        <v/>
      </c>
      <c r="E571">
        <f>IF(ISBLANK('ENGAGEMENTS 2026'!B571),"",'ENGAGEMENTS 2026'!H571)</f>
        <v/>
      </c>
      <c r="F571">
        <f>IF(ISBLANK('ENGAGEMENTS 2026'!B571),"",'ENGAGEMENTS 2026'!I571)</f>
        <v/>
      </c>
      <c r="G571">
        <f>IF(ISBLANK('ENGAGEMENTS 2026'!B571),"",'ENGAGEMENTS 2026'!L571)</f>
        <v/>
      </c>
      <c r="H571">
        <f>IF(ISBLANK('ENGAGEMENTS 2026'!B571),"",'ENGAGEMENTS 2026'!AE571)</f>
        <v/>
      </c>
      <c r="I571">
        <f>IF(ISBLANK('ENGAGEMENTS 2026'!B571),"",'ENGAGEMENTS 2026'!G571)</f>
        <v/>
      </c>
      <c r="J571" s="275">
        <f>IF(ISBLANK('ENGAGEMENTS 2026'!B571),"",IF(AND(OR($E571="INFRUCTUEUX",$E571="ANNULE"),$C571="AOO-M"),'ENGAGEMENTS 2026'!O571,IF($H571="EN COURS DE PREENGAGEMENT",'ENGAGEMENTS 2026'!N571,IF($H571="PREENGAGE",IF($E571="ATTRIBUE",'ENGAGEMENTS 2026'!AD571,'ENGAGEMENTS 2026'!N571),'ENGAGEMENTS 2026'!AD571))))</f>
        <v/>
      </c>
      <c r="K571" s="604">
        <f>IF(ISBLANK('ENGAGEMENTS 2026'!V571),"",'ENGAGEMENTS 2026'!V571)</f>
        <v/>
      </c>
      <c r="L571" s="276">
        <f>IF($K571="","",TODAY()-$K571)</f>
        <v/>
      </c>
      <c r="M571">
        <f>IF($A571="","",IF($H571="ENGAGE","Engagé",IF(AND($H571="NON ENGAGE",OR($I571="INFRUCTUEUX",$I571="ANNULE")),"Clôturé sans suite","En cours")))</f>
        <v/>
      </c>
      <c r="N571">
        <f>IF(ISBLANK('ENGAGEMENTS 2026'!B571),"",'ENGAGEMENTS 2026'!K571)</f>
        <v/>
      </c>
      <c r="O571">
        <f>IF(ISBLANK('ENGAGEMENTS 2026'!B571),"",'ENGAGEMENTS 2026'!L571)</f>
        <v/>
      </c>
      <c r="P571">
        <f>IF(ISBLANK('ENGAGEMENTS 2026'!B571),"",'ENGAGEMENTS 2026'!J571)</f>
        <v/>
      </c>
      <c r="Q571">
        <f>IF($A571="","",IF(OR($E571="INFRUCTUEUX",$E571="ANNULE"),$A571&amp;"|"&amp;(COUNTIFS($A$2:$A571,$A571,$E$2:$E571,"INFRUCTUEUX")+COUNTIFS($A$2:$A571,$A571,$E$2:$E571,"ANNULE")),""))</f>
        <v/>
      </c>
    </row>
    <row r="572">
      <c r="A572">
        <f>IF(ISBLANK('ENGAGEMENTS 2026'!B572),"",IF('ENGAGEMENTS 2026'!B572="DTSI","DCT",'ENGAGEMENTS 2026'!B572))</f>
        <v/>
      </c>
      <c r="B572">
        <f>IF(ISBLANK('ENGAGEMENTS 2026'!B572),"",'ENGAGEMENTS 2026'!C572)</f>
        <v/>
      </c>
      <c r="C572">
        <f>IF(ISBLANK('ENGAGEMENTS 2026'!B572),"",'ENGAGEMENTS 2026'!D572)</f>
        <v/>
      </c>
      <c r="D572">
        <f>IF(ISBLANK('ENGAGEMENTS 2026'!B572),"",'ENGAGEMENTS 2026'!F572)</f>
        <v/>
      </c>
      <c r="E572">
        <f>IF(ISBLANK('ENGAGEMENTS 2026'!B572),"",'ENGAGEMENTS 2026'!H572)</f>
        <v/>
      </c>
      <c r="F572">
        <f>IF(ISBLANK('ENGAGEMENTS 2026'!B572),"",'ENGAGEMENTS 2026'!I572)</f>
        <v/>
      </c>
      <c r="G572">
        <f>IF(ISBLANK('ENGAGEMENTS 2026'!B572),"",'ENGAGEMENTS 2026'!L572)</f>
        <v/>
      </c>
      <c r="H572">
        <f>IF(ISBLANK('ENGAGEMENTS 2026'!B572),"",'ENGAGEMENTS 2026'!AE572)</f>
        <v/>
      </c>
      <c r="I572">
        <f>IF(ISBLANK('ENGAGEMENTS 2026'!B572),"",'ENGAGEMENTS 2026'!G572)</f>
        <v/>
      </c>
      <c r="J572" s="275">
        <f>IF(ISBLANK('ENGAGEMENTS 2026'!B572),"",IF(AND(OR($E572="INFRUCTUEUX",$E572="ANNULE"),$C572="AOO-M"),'ENGAGEMENTS 2026'!O572,IF($H572="EN COURS DE PREENGAGEMENT",'ENGAGEMENTS 2026'!N572,IF($H572="PREENGAGE",IF($E572="ATTRIBUE",'ENGAGEMENTS 2026'!AD572,'ENGAGEMENTS 2026'!N572),'ENGAGEMENTS 2026'!AD572))))</f>
        <v/>
      </c>
      <c r="K572" s="604">
        <f>IF(ISBLANK('ENGAGEMENTS 2026'!V572),"",'ENGAGEMENTS 2026'!V572)</f>
        <v/>
      </c>
      <c r="L572" s="276">
        <f>IF($K572="","",TODAY()-$K572)</f>
        <v/>
      </c>
      <c r="M572">
        <f>IF($A572="","",IF($H572="ENGAGE","Engagé",IF(AND($H572="NON ENGAGE",OR($I572="INFRUCTUEUX",$I572="ANNULE")),"Clôturé sans suite","En cours")))</f>
        <v/>
      </c>
      <c r="N572">
        <f>IF(ISBLANK('ENGAGEMENTS 2026'!B572),"",'ENGAGEMENTS 2026'!K572)</f>
        <v/>
      </c>
      <c r="O572">
        <f>IF(ISBLANK('ENGAGEMENTS 2026'!B572),"",'ENGAGEMENTS 2026'!L572)</f>
        <v/>
      </c>
      <c r="P572">
        <f>IF(ISBLANK('ENGAGEMENTS 2026'!B572),"",'ENGAGEMENTS 2026'!J572)</f>
        <v/>
      </c>
      <c r="Q572">
        <f>IF($A572="","",IF(OR($E572="INFRUCTUEUX",$E572="ANNULE"),$A572&amp;"|"&amp;(COUNTIFS($A$2:$A572,$A572,$E$2:$E572,"INFRUCTUEUX")+COUNTIFS($A$2:$A572,$A572,$E$2:$E572,"ANNULE")),""))</f>
        <v/>
      </c>
    </row>
    <row r="573">
      <c r="A573">
        <f>IF(ISBLANK('ENGAGEMENTS 2026'!B573),"",IF('ENGAGEMENTS 2026'!B573="DTSI","DCT",'ENGAGEMENTS 2026'!B573))</f>
        <v/>
      </c>
      <c r="B573">
        <f>IF(ISBLANK('ENGAGEMENTS 2026'!B573),"",'ENGAGEMENTS 2026'!C573)</f>
        <v/>
      </c>
      <c r="C573">
        <f>IF(ISBLANK('ENGAGEMENTS 2026'!B573),"",'ENGAGEMENTS 2026'!D573)</f>
        <v/>
      </c>
      <c r="D573">
        <f>IF(ISBLANK('ENGAGEMENTS 2026'!B573),"",'ENGAGEMENTS 2026'!F573)</f>
        <v/>
      </c>
      <c r="E573">
        <f>IF(ISBLANK('ENGAGEMENTS 2026'!B573),"",'ENGAGEMENTS 2026'!H573)</f>
        <v/>
      </c>
      <c r="F573">
        <f>IF(ISBLANK('ENGAGEMENTS 2026'!B573),"",'ENGAGEMENTS 2026'!I573)</f>
        <v/>
      </c>
      <c r="G573">
        <f>IF(ISBLANK('ENGAGEMENTS 2026'!B573),"",'ENGAGEMENTS 2026'!L573)</f>
        <v/>
      </c>
      <c r="H573">
        <f>IF(ISBLANK('ENGAGEMENTS 2026'!B573),"",'ENGAGEMENTS 2026'!AE573)</f>
        <v/>
      </c>
      <c r="I573">
        <f>IF(ISBLANK('ENGAGEMENTS 2026'!B573),"",'ENGAGEMENTS 2026'!G573)</f>
        <v/>
      </c>
      <c r="J573" s="275">
        <f>IF(ISBLANK('ENGAGEMENTS 2026'!B573),"",IF(AND(OR($E573="INFRUCTUEUX",$E573="ANNULE"),$C573="AOO-M"),'ENGAGEMENTS 2026'!O573,IF($H573="EN COURS DE PREENGAGEMENT",'ENGAGEMENTS 2026'!N573,IF($H573="PREENGAGE",IF($E573="ATTRIBUE",'ENGAGEMENTS 2026'!AD573,'ENGAGEMENTS 2026'!N573),'ENGAGEMENTS 2026'!AD573))))</f>
        <v/>
      </c>
      <c r="K573" s="604">
        <f>IF(ISBLANK('ENGAGEMENTS 2026'!V573),"",'ENGAGEMENTS 2026'!V573)</f>
        <v/>
      </c>
      <c r="L573" s="276">
        <f>IF($K573="","",TODAY()-$K573)</f>
        <v/>
      </c>
      <c r="M573">
        <f>IF($A573="","",IF($H573="ENGAGE","Engagé",IF(AND($H573="NON ENGAGE",OR($I573="INFRUCTUEUX",$I573="ANNULE")),"Clôturé sans suite","En cours")))</f>
        <v/>
      </c>
      <c r="N573">
        <f>IF(ISBLANK('ENGAGEMENTS 2026'!B573),"",'ENGAGEMENTS 2026'!K573)</f>
        <v/>
      </c>
      <c r="O573">
        <f>IF(ISBLANK('ENGAGEMENTS 2026'!B573),"",'ENGAGEMENTS 2026'!L573)</f>
        <v/>
      </c>
      <c r="P573">
        <f>IF(ISBLANK('ENGAGEMENTS 2026'!B573),"",'ENGAGEMENTS 2026'!J573)</f>
        <v/>
      </c>
      <c r="Q573">
        <f>IF($A573="","",IF(OR($E573="INFRUCTUEUX",$E573="ANNULE"),$A573&amp;"|"&amp;(COUNTIFS($A$2:$A573,$A573,$E$2:$E573,"INFRUCTUEUX")+COUNTIFS($A$2:$A573,$A573,$E$2:$E573,"ANNULE")),""))</f>
        <v/>
      </c>
    </row>
    <row r="574">
      <c r="A574">
        <f>IF(ISBLANK('ENGAGEMENTS 2026'!B574),"",IF('ENGAGEMENTS 2026'!B574="DTSI","DCT",'ENGAGEMENTS 2026'!B574))</f>
        <v/>
      </c>
      <c r="B574">
        <f>IF(ISBLANK('ENGAGEMENTS 2026'!B574),"",'ENGAGEMENTS 2026'!C574)</f>
        <v/>
      </c>
      <c r="C574">
        <f>IF(ISBLANK('ENGAGEMENTS 2026'!B574),"",'ENGAGEMENTS 2026'!D574)</f>
        <v/>
      </c>
      <c r="D574">
        <f>IF(ISBLANK('ENGAGEMENTS 2026'!B574),"",'ENGAGEMENTS 2026'!F574)</f>
        <v/>
      </c>
      <c r="E574">
        <f>IF(ISBLANK('ENGAGEMENTS 2026'!B574),"",'ENGAGEMENTS 2026'!H574)</f>
        <v/>
      </c>
      <c r="F574">
        <f>IF(ISBLANK('ENGAGEMENTS 2026'!B574),"",'ENGAGEMENTS 2026'!I574)</f>
        <v/>
      </c>
      <c r="G574">
        <f>IF(ISBLANK('ENGAGEMENTS 2026'!B574),"",'ENGAGEMENTS 2026'!L574)</f>
        <v/>
      </c>
      <c r="H574">
        <f>IF(ISBLANK('ENGAGEMENTS 2026'!B574),"",'ENGAGEMENTS 2026'!AE574)</f>
        <v/>
      </c>
      <c r="I574">
        <f>IF(ISBLANK('ENGAGEMENTS 2026'!B574),"",'ENGAGEMENTS 2026'!G574)</f>
        <v/>
      </c>
      <c r="J574" s="275">
        <f>IF(ISBLANK('ENGAGEMENTS 2026'!B574),"",IF(AND(OR($E574="INFRUCTUEUX",$E574="ANNULE"),$C574="AOO-M"),'ENGAGEMENTS 2026'!O574,IF($H574="EN COURS DE PREENGAGEMENT",'ENGAGEMENTS 2026'!N574,IF($H574="PREENGAGE",IF($E574="ATTRIBUE",'ENGAGEMENTS 2026'!AD574,'ENGAGEMENTS 2026'!N574),'ENGAGEMENTS 2026'!AD574))))</f>
        <v/>
      </c>
      <c r="K574" s="604">
        <f>IF(ISBLANK('ENGAGEMENTS 2026'!V574),"",'ENGAGEMENTS 2026'!V574)</f>
        <v/>
      </c>
      <c r="L574" s="276">
        <f>IF($K574="","",TODAY()-$K574)</f>
        <v/>
      </c>
      <c r="M574">
        <f>IF($A574="","",IF($H574="ENGAGE","Engagé",IF(AND($H574="NON ENGAGE",OR($I574="INFRUCTUEUX",$I574="ANNULE")),"Clôturé sans suite","En cours")))</f>
        <v/>
      </c>
      <c r="N574">
        <f>IF(ISBLANK('ENGAGEMENTS 2026'!B574),"",'ENGAGEMENTS 2026'!K574)</f>
        <v/>
      </c>
      <c r="O574">
        <f>IF(ISBLANK('ENGAGEMENTS 2026'!B574),"",'ENGAGEMENTS 2026'!L574)</f>
        <v/>
      </c>
      <c r="P574">
        <f>IF(ISBLANK('ENGAGEMENTS 2026'!B574),"",'ENGAGEMENTS 2026'!J574)</f>
        <v/>
      </c>
      <c r="Q574">
        <f>IF($A574="","",IF(OR($E574="INFRUCTUEUX",$E574="ANNULE"),$A574&amp;"|"&amp;(COUNTIFS($A$2:$A574,$A574,$E$2:$E574,"INFRUCTUEUX")+COUNTIFS($A$2:$A574,$A574,$E$2:$E574,"ANNULE")),""))</f>
        <v/>
      </c>
    </row>
    <row r="575">
      <c r="A575">
        <f>IF(ISBLANK('ENGAGEMENTS 2026'!B575),"",IF('ENGAGEMENTS 2026'!B575="DTSI","DCT",'ENGAGEMENTS 2026'!B575))</f>
        <v/>
      </c>
      <c r="B575">
        <f>IF(ISBLANK('ENGAGEMENTS 2026'!B575),"",'ENGAGEMENTS 2026'!C575)</f>
        <v/>
      </c>
      <c r="C575">
        <f>IF(ISBLANK('ENGAGEMENTS 2026'!B575),"",'ENGAGEMENTS 2026'!D575)</f>
        <v/>
      </c>
      <c r="D575">
        <f>IF(ISBLANK('ENGAGEMENTS 2026'!B575),"",'ENGAGEMENTS 2026'!F575)</f>
        <v/>
      </c>
      <c r="E575">
        <f>IF(ISBLANK('ENGAGEMENTS 2026'!B575),"",'ENGAGEMENTS 2026'!H575)</f>
        <v/>
      </c>
      <c r="F575">
        <f>IF(ISBLANK('ENGAGEMENTS 2026'!B575),"",'ENGAGEMENTS 2026'!I575)</f>
        <v/>
      </c>
      <c r="G575">
        <f>IF(ISBLANK('ENGAGEMENTS 2026'!B575),"",'ENGAGEMENTS 2026'!L575)</f>
        <v/>
      </c>
      <c r="H575">
        <f>IF(ISBLANK('ENGAGEMENTS 2026'!B575),"",'ENGAGEMENTS 2026'!AE575)</f>
        <v/>
      </c>
      <c r="I575">
        <f>IF(ISBLANK('ENGAGEMENTS 2026'!B575),"",'ENGAGEMENTS 2026'!G575)</f>
        <v/>
      </c>
      <c r="J575" s="275">
        <f>IF(ISBLANK('ENGAGEMENTS 2026'!B575),"",IF(AND(OR($E575="INFRUCTUEUX",$E575="ANNULE"),$C575="AOO-M"),'ENGAGEMENTS 2026'!O575,IF($H575="EN COURS DE PREENGAGEMENT",'ENGAGEMENTS 2026'!N575,IF($H575="PREENGAGE",IF($E575="ATTRIBUE",'ENGAGEMENTS 2026'!AD575,'ENGAGEMENTS 2026'!N575),'ENGAGEMENTS 2026'!AD575))))</f>
        <v/>
      </c>
      <c r="K575" s="604">
        <f>IF(ISBLANK('ENGAGEMENTS 2026'!V575),"",'ENGAGEMENTS 2026'!V575)</f>
        <v/>
      </c>
      <c r="L575" s="276">
        <f>IF($K575="","",TODAY()-$K575)</f>
        <v/>
      </c>
      <c r="M575">
        <f>IF($A575="","",IF($H575="ENGAGE","Engagé",IF(AND($H575="NON ENGAGE",OR($I575="INFRUCTUEUX",$I575="ANNULE")),"Clôturé sans suite","En cours")))</f>
        <v/>
      </c>
      <c r="N575">
        <f>IF(ISBLANK('ENGAGEMENTS 2026'!B575),"",'ENGAGEMENTS 2026'!K575)</f>
        <v/>
      </c>
      <c r="O575">
        <f>IF(ISBLANK('ENGAGEMENTS 2026'!B575),"",'ENGAGEMENTS 2026'!L575)</f>
        <v/>
      </c>
      <c r="P575">
        <f>IF(ISBLANK('ENGAGEMENTS 2026'!B575),"",'ENGAGEMENTS 2026'!J575)</f>
        <v/>
      </c>
      <c r="Q575">
        <f>IF($A575="","",IF(OR($E575="INFRUCTUEUX",$E575="ANNULE"),$A575&amp;"|"&amp;(COUNTIFS($A$2:$A575,$A575,$E$2:$E575,"INFRUCTUEUX")+COUNTIFS($A$2:$A575,$A575,$E$2:$E575,"ANNULE")),""))</f>
        <v/>
      </c>
    </row>
    <row r="576">
      <c r="A576">
        <f>IF(ISBLANK('ENGAGEMENTS 2026'!B576),"",IF('ENGAGEMENTS 2026'!B576="DTSI","DCT",'ENGAGEMENTS 2026'!B576))</f>
        <v/>
      </c>
      <c r="B576">
        <f>IF(ISBLANK('ENGAGEMENTS 2026'!B576),"",'ENGAGEMENTS 2026'!C576)</f>
        <v/>
      </c>
      <c r="C576">
        <f>IF(ISBLANK('ENGAGEMENTS 2026'!B576),"",'ENGAGEMENTS 2026'!D576)</f>
        <v/>
      </c>
      <c r="D576">
        <f>IF(ISBLANK('ENGAGEMENTS 2026'!B576),"",'ENGAGEMENTS 2026'!F576)</f>
        <v/>
      </c>
      <c r="E576">
        <f>IF(ISBLANK('ENGAGEMENTS 2026'!B576),"",'ENGAGEMENTS 2026'!H576)</f>
        <v/>
      </c>
      <c r="F576">
        <f>IF(ISBLANK('ENGAGEMENTS 2026'!B576),"",'ENGAGEMENTS 2026'!I576)</f>
        <v/>
      </c>
      <c r="G576">
        <f>IF(ISBLANK('ENGAGEMENTS 2026'!B576),"",'ENGAGEMENTS 2026'!L576)</f>
        <v/>
      </c>
      <c r="H576">
        <f>IF(ISBLANK('ENGAGEMENTS 2026'!B576),"",'ENGAGEMENTS 2026'!AE576)</f>
        <v/>
      </c>
      <c r="I576">
        <f>IF(ISBLANK('ENGAGEMENTS 2026'!B576),"",'ENGAGEMENTS 2026'!G576)</f>
        <v/>
      </c>
      <c r="J576" s="275">
        <f>IF(ISBLANK('ENGAGEMENTS 2026'!B576),"",IF(AND(OR($E576="INFRUCTUEUX",$E576="ANNULE"),$C576="AOO-M"),'ENGAGEMENTS 2026'!O576,IF($H576="EN COURS DE PREENGAGEMENT",'ENGAGEMENTS 2026'!N576,IF($H576="PREENGAGE",IF($E576="ATTRIBUE",'ENGAGEMENTS 2026'!AD576,'ENGAGEMENTS 2026'!N576),'ENGAGEMENTS 2026'!AD576))))</f>
        <v/>
      </c>
      <c r="K576" s="604">
        <f>IF(ISBLANK('ENGAGEMENTS 2026'!V576),"",'ENGAGEMENTS 2026'!V576)</f>
        <v/>
      </c>
      <c r="L576" s="276">
        <f>IF($K576="","",TODAY()-$K576)</f>
        <v/>
      </c>
      <c r="M576">
        <f>IF($A576="","",IF($H576="ENGAGE","Engagé",IF(AND($H576="NON ENGAGE",OR($I576="INFRUCTUEUX",$I576="ANNULE")),"Clôturé sans suite","En cours")))</f>
        <v/>
      </c>
      <c r="N576">
        <f>IF(ISBLANK('ENGAGEMENTS 2026'!B576),"",'ENGAGEMENTS 2026'!K576)</f>
        <v/>
      </c>
      <c r="O576">
        <f>IF(ISBLANK('ENGAGEMENTS 2026'!B576),"",'ENGAGEMENTS 2026'!L576)</f>
        <v/>
      </c>
      <c r="P576">
        <f>IF(ISBLANK('ENGAGEMENTS 2026'!B576),"",'ENGAGEMENTS 2026'!J576)</f>
        <v/>
      </c>
      <c r="Q576">
        <f>IF($A576="","",IF(OR($E576="INFRUCTUEUX",$E576="ANNULE"),$A576&amp;"|"&amp;(COUNTIFS($A$2:$A576,$A576,$E$2:$E576,"INFRUCTUEUX")+COUNTIFS($A$2:$A576,$A576,$E$2:$E576,"ANNULE")),""))</f>
        <v/>
      </c>
    </row>
    <row r="577">
      <c r="A577">
        <f>IF(ISBLANK('ENGAGEMENTS 2026'!B577),"",IF('ENGAGEMENTS 2026'!B577="DTSI","DCT",'ENGAGEMENTS 2026'!B577))</f>
        <v/>
      </c>
      <c r="B577">
        <f>IF(ISBLANK('ENGAGEMENTS 2026'!B577),"",'ENGAGEMENTS 2026'!C577)</f>
        <v/>
      </c>
      <c r="C577">
        <f>IF(ISBLANK('ENGAGEMENTS 2026'!B577),"",'ENGAGEMENTS 2026'!D577)</f>
        <v/>
      </c>
      <c r="D577">
        <f>IF(ISBLANK('ENGAGEMENTS 2026'!B577),"",'ENGAGEMENTS 2026'!F577)</f>
        <v/>
      </c>
      <c r="E577">
        <f>IF(ISBLANK('ENGAGEMENTS 2026'!B577),"",'ENGAGEMENTS 2026'!H577)</f>
        <v/>
      </c>
      <c r="F577">
        <f>IF(ISBLANK('ENGAGEMENTS 2026'!B577),"",'ENGAGEMENTS 2026'!I577)</f>
        <v/>
      </c>
      <c r="G577">
        <f>IF(ISBLANK('ENGAGEMENTS 2026'!B577),"",'ENGAGEMENTS 2026'!L577)</f>
        <v/>
      </c>
      <c r="H577">
        <f>IF(ISBLANK('ENGAGEMENTS 2026'!B577),"",'ENGAGEMENTS 2026'!AE577)</f>
        <v/>
      </c>
      <c r="I577">
        <f>IF(ISBLANK('ENGAGEMENTS 2026'!B577),"",'ENGAGEMENTS 2026'!G577)</f>
        <v/>
      </c>
      <c r="J577" s="275">
        <f>IF(ISBLANK('ENGAGEMENTS 2026'!B577),"",IF(AND(OR($E577="INFRUCTUEUX",$E577="ANNULE"),$C577="AOO-M"),'ENGAGEMENTS 2026'!O577,IF($H577="EN COURS DE PREENGAGEMENT",'ENGAGEMENTS 2026'!N577,IF($H577="PREENGAGE",IF($E577="ATTRIBUE",'ENGAGEMENTS 2026'!AD577,'ENGAGEMENTS 2026'!N577),'ENGAGEMENTS 2026'!AD577))))</f>
        <v/>
      </c>
      <c r="K577" s="604">
        <f>IF(ISBLANK('ENGAGEMENTS 2026'!V577),"",'ENGAGEMENTS 2026'!V577)</f>
        <v/>
      </c>
      <c r="L577" s="276">
        <f>IF($K577="","",TODAY()-$K577)</f>
        <v/>
      </c>
      <c r="M577">
        <f>IF($A577="","",IF($H577="ENGAGE","Engagé",IF(AND($H577="NON ENGAGE",OR($I577="INFRUCTUEUX",$I577="ANNULE")),"Clôturé sans suite","En cours")))</f>
        <v/>
      </c>
      <c r="N577">
        <f>IF(ISBLANK('ENGAGEMENTS 2026'!B577),"",'ENGAGEMENTS 2026'!K577)</f>
        <v/>
      </c>
      <c r="O577">
        <f>IF(ISBLANK('ENGAGEMENTS 2026'!B577),"",'ENGAGEMENTS 2026'!L577)</f>
        <v/>
      </c>
      <c r="P577">
        <f>IF(ISBLANK('ENGAGEMENTS 2026'!B577),"",'ENGAGEMENTS 2026'!J577)</f>
        <v/>
      </c>
      <c r="Q577">
        <f>IF($A577="","",IF(OR($E577="INFRUCTUEUX",$E577="ANNULE"),$A577&amp;"|"&amp;(COUNTIFS($A$2:$A577,$A577,$E$2:$E577,"INFRUCTUEUX")+COUNTIFS($A$2:$A577,$A577,$E$2:$E577,"ANNULE")),""))</f>
        <v/>
      </c>
    </row>
    <row r="578">
      <c r="A578">
        <f>IF(ISBLANK('ENGAGEMENTS 2026'!B578),"",IF('ENGAGEMENTS 2026'!B578="DTSI","DCT",'ENGAGEMENTS 2026'!B578))</f>
        <v/>
      </c>
      <c r="B578">
        <f>IF(ISBLANK('ENGAGEMENTS 2026'!B578),"",'ENGAGEMENTS 2026'!C578)</f>
        <v/>
      </c>
      <c r="C578">
        <f>IF(ISBLANK('ENGAGEMENTS 2026'!B578),"",'ENGAGEMENTS 2026'!D578)</f>
        <v/>
      </c>
      <c r="D578">
        <f>IF(ISBLANK('ENGAGEMENTS 2026'!B578),"",'ENGAGEMENTS 2026'!F578)</f>
        <v/>
      </c>
      <c r="E578">
        <f>IF(ISBLANK('ENGAGEMENTS 2026'!B578),"",'ENGAGEMENTS 2026'!H578)</f>
        <v/>
      </c>
      <c r="F578">
        <f>IF(ISBLANK('ENGAGEMENTS 2026'!B578),"",'ENGAGEMENTS 2026'!I578)</f>
        <v/>
      </c>
      <c r="G578">
        <f>IF(ISBLANK('ENGAGEMENTS 2026'!B578),"",'ENGAGEMENTS 2026'!L578)</f>
        <v/>
      </c>
      <c r="H578">
        <f>IF(ISBLANK('ENGAGEMENTS 2026'!B578),"",'ENGAGEMENTS 2026'!AE578)</f>
        <v/>
      </c>
      <c r="I578">
        <f>IF(ISBLANK('ENGAGEMENTS 2026'!B578),"",'ENGAGEMENTS 2026'!G578)</f>
        <v/>
      </c>
      <c r="J578" s="275">
        <f>IF(ISBLANK('ENGAGEMENTS 2026'!B578),"",IF(AND(OR($E578="INFRUCTUEUX",$E578="ANNULE"),$C578="AOO-M"),'ENGAGEMENTS 2026'!O578,IF($H578="EN COURS DE PREENGAGEMENT",'ENGAGEMENTS 2026'!N578,IF($H578="PREENGAGE",IF($E578="ATTRIBUE",'ENGAGEMENTS 2026'!AD578,'ENGAGEMENTS 2026'!N578),'ENGAGEMENTS 2026'!AD578))))</f>
        <v/>
      </c>
      <c r="K578" s="604">
        <f>IF(ISBLANK('ENGAGEMENTS 2026'!V578),"",'ENGAGEMENTS 2026'!V578)</f>
        <v/>
      </c>
      <c r="L578" s="276">
        <f>IF($K578="","",TODAY()-$K578)</f>
        <v/>
      </c>
      <c r="M578">
        <f>IF($A578="","",IF($H578="ENGAGE","Engagé",IF(AND($H578="NON ENGAGE",OR($I578="INFRUCTUEUX",$I578="ANNULE")),"Clôturé sans suite","En cours")))</f>
        <v/>
      </c>
      <c r="N578">
        <f>IF(ISBLANK('ENGAGEMENTS 2026'!B578),"",'ENGAGEMENTS 2026'!K578)</f>
        <v/>
      </c>
      <c r="O578">
        <f>IF(ISBLANK('ENGAGEMENTS 2026'!B578),"",'ENGAGEMENTS 2026'!L578)</f>
        <v/>
      </c>
      <c r="P578">
        <f>IF(ISBLANK('ENGAGEMENTS 2026'!B578),"",'ENGAGEMENTS 2026'!J578)</f>
        <v/>
      </c>
      <c r="Q578">
        <f>IF($A578="","",IF(OR($E578="INFRUCTUEUX",$E578="ANNULE"),$A578&amp;"|"&amp;(COUNTIFS($A$2:$A578,$A578,$E$2:$E578,"INFRUCTUEUX")+COUNTIFS($A$2:$A578,$A578,$E$2:$E578,"ANNULE")),""))</f>
        <v/>
      </c>
    </row>
    <row r="579">
      <c r="A579">
        <f>IF(ISBLANK('ENGAGEMENTS 2026'!B579),"",IF('ENGAGEMENTS 2026'!B579="DTSI","DCT",'ENGAGEMENTS 2026'!B579))</f>
        <v/>
      </c>
      <c r="B579">
        <f>IF(ISBLANK('ENGAGEMENTS 2026'!B579),"",'ENGAGEMENTS 2026'!C579)</f>
        <v/>
      </c>
      <c r="C579">
        <f>IF(ISBLANK('ENGAGEMENTS 2026'!B579),"",'ENGAGEMENTS 2026'!D579)</f>
        <v/>
      </c>
      <c r="D579">
        <f>IF(ISBLANK('ENGAGEMENTS 2026'!B579),"",'ENGAGEMENTS 2026'!F579)</f>
        <v/>
      </c>
      <c r="E579">
        <f>IF(ISBLANK('ENGAGEMENTS 2026'!B579),"",'ENGAGEMENTS 2026'!H579)</f>
        <v/>
      </c>
      <c r="F579">
        <f>IF(ISBLANK('ENGAGEMENTS 2026'!B579),"",'ENGAGEMENTS 2026'!I579)</f>
        <v/>
      </c>
      <c r="G579">
        <f>IF(ISBLANK('ENGAGEMENTS 2026'!B579),"",'ENGAGEMENTS 2026'!L579)</f>
        <v/>
      </c>
      <c r="H579">
        <f>IF(ISBLANK('ENGAGEMENTS 2026'!B579),"",'ENGAGEMENTS 2026'!AE579)</f>
        <v/>
      </c>
      <c r="I579">
        <f>IF(ISBLANK('ENGAGEMENTS 2026'!B579),"",'ENGAGEMENTS 2026'!G579)</f>
        <v/>
      </c>
      <c r="J579" s="275">
        <f>IF(ISBLANK('ENGAGEMENTS 2026'!B579),"",IF(AND(OR($E579="INFRUCTUEUX",$E579="ANNULE"),$C579="AOO-M"),'ENGAGEMENTS 2026'!O579,IF($H579="EN COURS DE PREENGAGEMENT",'ENGAGEMENTS 2026'!N579,IF($H579="PREENGAGE",IF($E579="ATTRIBUE",'ENGAGEMENTS 2026'!AD579,'ENGAGEMENTS 2026'!N579),'ENGAGEMENTS 2026'!AD579))))</f>
        <v/>
      </c>
      <c r="K579" s="604">
        <f>IF(ISBLANK('ENGAGEMENTS 2026'!V579),"",'ENGAGEMENTS 2026'!V579)</f>
        <v/>
      </c>
      <c r="L579" s="276">
        <f>IF($K579="","",TODAY()-$K579)</f>
        <v/>
      </c>
      <c r="M579">
        <f>IF($A579="","",IF($H579="ENGAGE","Engagé",IF(AND($H579="NON ENGAGE",OR($I579="INFRUCTUEUX",$I579="ANNULE")),"Clôturé sans suite","En cours")))</f>
        <v/>
      </c>
      <c r="N579">
        <f>IF(ISBLANK('ENGAGEMENTS 2026'!B579),"",'ENGAGEMENTS 2026'!K579)</f>
        <v/>
      </c>
      <c r="O579">
        <f>IF(ISBLANK('ENGAGEMENTS 2026'!B579),"",'ENGAGEMENTS 2026'!L579)</f>
        <v/>
      </c>
      <c r="P579">
        <f>IF(ISBLANK('ENGAGEMENTS 2026'!B579),"",'ENGAGEMENTS 2026'!J579)</f>
        <v/>
      </c>
      <c r="Q579">
        <f>IF($A579="","",IF(OR($E579="INFRUCTUEUX",$E579="ANNULE"),$A579&amp;"|"&amp;(COUNTIFS($A$2:$A579,$A579,$E$2:$E579,"INFRUCTUEUX")+COUNTIFS($A$2:$A579,$A579,$E$2:$E579,"ANNULE")),""))</f>
        <v/>
      </c>
    </row>
    <row r="580">
      <c r="A580">
        <f>IF(ISBLANK('ENGAGEMENTS 2026'!B580),"",IF('ENGAGEMENTS 2026'!B580="DTSI","DCT",'ENGAGEMENTS 2026'!B580))</f>
        <v/>
      </c>
      <c r="B580">
        <f>IF(ISBLANK('ENGAGEMENTS 2026'!B580),"",'ENGAGEMENTS 2026'!C580)</f>
        <v/>
      </c>
      <c r="C580">
        <f>IF(ISBLANK('ENGAGEMENTS 2026'!B580),"",'ENGAGEMENTS 2026'!D580)</f>
        <v/>
      </c>
      <c r="D580">
        <f>IF(ISBLANK('ENGAGEMENTS 2026'!B580),"",'ENGAGEMENTS 2026'!F580)</f>
        <v/>
      </c>
      <c r="E580">
        <f>IF(ISBLANK('ENGAGEMENTS 2026'!B580),"",'ENGAGEMENTS 2026'!H580)</f>
        <v/>
      </c>
      <c r="F580">
        <f>IF(ISBLANK('ENGAGEMENTS 2026'!B580),"",'ENGAGEMENTS 2026'!I580)</f>
        <v/>
      </c>
      <c r="G580">
        <f>IF(ISBLANK('ENGAGEMENTS 2026'!B580),"",'ENGAGEMENTS 2026'!L580)</f>
        <v/>
      </c>
      <c r="H580">
        <f>IF(ISBLANK('ENGAGEMENTS 2026'!B580),"",'ENGAGEMENTS 2026'!AE580)</f>
        <v/>
      </c>
      <c r="I580">
        <f>IF(ISBLANK('ENGAGEMENTS 2026'!B580),"",'ENGAGEMENTS 2026'!G580)</f>
        <v/>
      </c>
      <c r="J580" s="275">
        <f>IF(ISBLANK('ENGAGEMENTS 2026'!B580),"",IF(AND(OR($E580="INFRUCTUEUX",$E580="ANNULE"),$C580="AOO-M"),'ENGAGEMENTS 2026'!O580,IF($H580="EN COURS DE PREENGAGEMENT",'ENGAGEMENTS 2026'!N580,IF($H580="PREENGAGE",IF($E580="ATTRIBUE",'ENGAGEMENTS 2026'!AD580,'ENGAGEMENTS 2026'!N580),'ENGAGEMENTS 2026'!AD580))))</f>
        <v/>
      </c>
      <c r="K580" s="604">
        <f>IF(ISBLANK('ENGAGEMENTS 2026'!V580),"",'ENGAGEMENTS 2026'!V580)</f>
        <v/>
      </c>
      <c r="L580" s="276">
        <f>IF($K580="","",TODAY()-$K580)</f>
        <v/>
      </c>
      <c r="M580">
        <f>IF($A580="","",IF($H580="ENGAGE","Engagé",IF(AND($H580="NON ENGAGE",OR($I580="INFRUCTUEUX",$I580="ANNULE")),"Clôturé sans suite","En cours")))</f>
        <v/>
      </c>
      <c r="N580">
        <f>IF(ISBLANK('ENGAGEMENTS 2026'!B580),"",'ENGAGEMENTS 2026'!K580)</f>
        <v/>
      </c>
      <c r="O580">
        <f>IF(ISBLANK('ENGAGEMENTS 2026'!B580),"",'ENGAGEMENTS 2026'!L580)</f>
        <v/>
      </c>
      <c r="P580">
        <f>IF(ISBLANK('ENGAGEMENTS 2026'!B580),"",'ENGAGEMENTS 2026'!J580)</f>
        <v/>
      </c>
      <c r="Q580">
        <f>IF($A580="","",IF(OR($E580="INFRUCTUEUX",$E580="ANNULE"),$A580&amp;"|"&amp;(COUNTIFS($A$2:$A580,$A580,$E$2:$E580,"INFRUCTUEUX")+COUNTIFS($A$2:$A580,$A580,$E$2:$E580,"ANNULE")),""))</f>
        <v/>
      </c>
    </row>
    <row r="581">
      <c r="A581">
        <f>IF(ISBLANK('ENGAGEMENTS 2026'!B581),"",IF('ENGAGEMENTS 2026'!B581="DTSI","DCT",'ENGAGEMENTS 2026'!B581))</f>
        <v/>
      </c>
      <c r="B581">
        <f>IF(ISBLANK('ENGAGEMENTS 2026'!B581),"",'ENGAGEMENTS 2026'!C581)</f>
        <v/>
      </c>
      <c r="C581">
        <f>IF(ISBLANK('ENGAGEMENTS 2026'!B581),"",'ENGAGEMENTS 2026'!D581)</f>
        <v/>
      </c>
      <c r="D581">
        <f>IF(ISBLANK('ENGAGEMENTS 2026'!B581),"",'ENGAGEMENTS 2026'!F581)</f>
        <v/>
      </c>
      <c r="E581">
        <f>IF(ISBLANK('ENGAGEMENTS 2026'!B581),"",'ENGAGEMENTS 2026'!H581)</f>
        <v/>
      </c>
      <c r="F581">
        <f>IF(ISBLANK('ENGAGEMENTS 2026'!B581),"",'ENGAGEMENTS 2026'!I581)</f>
        <v/>
      </c>
      <c r="G581">
        <f>IF(ISBLANK('ENGAGEMENTS 2026'!B581),"",'ENGAGEMENTS 2026'!L581)</f>
        <v/>
      </c>
      <c r="H581">
        <f>IF(ISBLANK('ENGAGEMENTS 2026'!B581),"",'ENGAGEMENTS 2026'!AE581)</f>
        <v/>
      </c>
      <c r="I581">
        <f>IF(ISBLANK('ENGAGEMENTS 2026'!B581),"",'ENGAGEMENTS 2026'!G581)</f>
        <v/>
      </c>
      <c r="J581" s="275">
        <f>IF(ISBLANK('ENGAGEMENTS 2026'!B581),"",IF(AND(OR($E581="INFRUCTUEUX",$E581="ANNULE"),$C581="AOO-M"),'ENGAGEMENTS 2026'!O581,IF($H581="EN COURS DE PREENGAGEMENT",'ENGAGEMENTS 2026'!N581,IF($H581="PREENGAGE",IF($E581="ATTRIBUE",'ENGAGEMENTS 2026'!AD581,'ENGAGEMENTS 2026'!N581),'ENGAGEMENTS 2026'!AD581))))</f>
        <v/>
      </c>
      <c r="K581" s="604">
        <f>IF(ISBLANK('ENGAGEMENTS 2026'!V581),"",'ENGAGEMENTS 2026'!V581)</f>
        <v/>
      </c>
      <c r="L581" s="276">
        <f>IF($K581="","",TODAY()-$K581)</f>
        <v/>
      </c>
      <c r="M581">
        <f>IF($A581="","",IF($H581="ENGAGE","Engagé",IF(AND($H581="NON ENGAGE",OR($I581="INFRUCTUEUX",$I581="ANNULE")),"Clôturé sans suite","En cours")))</f>
        <v/>
      </c>
      <c r="N581">
        <f>IF(ISBLANK('ENGAGEMENTS 2026'!B581),"",'ENGAGEMENTS 2026'!K581)</f>
        <v/>
      </c>
      <c r="O581">
        <f>IF(ISBLANK('ENGAGEMENTS 2026'!B581),"",'ENGAGEMENTS 2026'!L581)</f>
        <v/>
      </c>
      <c r="P581">
        <f>IF(ISBLANK('ENGAGEMENTS 2026'!B581),"",'ENGAGEMENTS 2026'!J581)</f>
        <v/>
      </c>
      <c r="Q581">
        <f>IF($A581="","",IF(OR($E581="INFRUCTUEUX",$E581="ANNULE"),$A581&amp;"|"&amp;(COUNTIFS($A$2:$A581,$A581,$E$2:$E581,"INFRUCTUEUX")+COUNTIFS($A$2:$A581,$A581,$E$2:$E581,"ANNULE")),""))</f>
        <v/>
      </c>
    </row>
    <row r="582">
      <c r="A582">
        <f>IF(ISBLANK('ENGAGEMENTS 2026'!B582),"",IF('ENGAGEMENTS 2026'!B582="DTSI","DCT",'ENGAGEMENTS 2026'!B582))</f>
        <v/>
      </c>
      <c r="B582">
        <f>IF(ISBLANK('ENGAGEMENTS 2026'!B582),"",'ENGAGEMENTS 2026'!C582)</f>
        <v/>
      </c>
      <c r="C582">
        <f>IF(ISBLANK('ENGAGEMENTS 2026'!B582),"",'ENGAGEMENTS 2026'!D582)</f>
        <v/>
      </c>
      <c r="D582">
        <f>IF(ISBLANK('ENGAGEMENTS 2026'!B582),"",'ENGAGEMENTS 2026'!F582)</f>
        <v/>
      </c>
      <c r="E582">
        <f>IF(ISBLANK('ENGAGEMENTS 2026'!B582),"",'ENGAGEMENTS 2026'!H582)</f>
        <v/>
      </c>
      <c r="F582">
        <f>IF(ISBLANK('ENGAGEMENTS 2026'!B582),"",'ENGAGEMENTS 2026'!I582)</f>
        <v/>
      </c>
      <c r="G582">
        <f>IF(ISBLANK('ENGAGEMENTS 2026'!B582),"",'ENGAGEMENTS 2026'!L582)</f>
        <v/>
      </c>
      <c r="H582">
        <f>IF(ISBLANK('ENGAGEMENTS 2026'!B582),"",'ENGAGEMENTS 2026'!AE582)</f>
        <v/>
      </c>
      <c r="I582">
        <f>IF(ISBLANK('ENGAGEMENTS 2026'!B582),"",'ENGAGEMENTS 2026'!G582)</f>
        <v/>
      </c>
      <c r="J582" s="275">
        <f>IF(ISBLANK('ENGAGEMENTS 2026'!B582),"",IF(AND(OR($E582="INFRUCTUEUX",$E582="ANNULE"),$C582="AOO-M"),'ENGAGEMENTS 2026'!O582,IF($H582="EN COURS DE PREENGAGEMENT",'ENGAGEMENTS 2026'!N582,IF($H582="PREENGAGE",IF($E582="ATTRIBUE",'ENGAGEMENTS 2026'!AD582,'ENGAGEMENTS 2026'!N582),'ENGAGEMENTS 2026'!AD582))))</f>
        <v/>
      </c>
      <c r="K582" s="604">
        <f>IF(ISBLANK('ENGAGEMENTS 2026'!V582),"",'ENGAGEMENTS 2026'!V582)</f>
        <v/>
      </c>
      <c r="L582" s="276">
        <f>IF($K582="","",TODAY()-$K582)</f>
        <v/>
      </c>
      <c r="M582">
        <f>IF($A582="","",IF($H582="ENGAGE","Engagé",IF(AND($H582="NON ENGAGE",OR($I582="INFRUCTUEUX",$I582="ANNULE")),"Clôturé sans suite","En cours")))</f>
        <v/>
      </c>
      <c r="N582">
        <f>IF(ISBLANK('ENGAGEMENTS 2026'!B582),"",'ENGAGEMENTS 2026'!K582)</f>
        <v/>
      </c>
      <c r="O582">
        <f>IF(ISBLANK('ENGAGEMENTS 2026'!B582),"",'ENGAGEMENTS 2026'!L582)</f>
        <v/>
      </c>
      <c r="P582">
        <f>IF(ISBLANK('ENGAGEMENTS 2026'!B582),"",'ENGAGEMENTS 2026'!J582)</f>
        <v/>
      </c>
      <c r="Q582">
        <f>IF($A582="","",IF(OR($E582="INFRUCTUEUX",$E582="ANNULE"),$A582&amp;"|"&amp;(COUNTIFS($A$2:$A582,$A582,$E$2:$E582,"INFRUCTUEUX")+COUNTIFS($A$2:$A582,$A582,$E$2:$E582,"ANNULE")),""))</f>
        <v/>
      </c>
    </row>
    <row r="583">
      <c r="A583">
        <f>IF(ISBLANK('ENGAGEMENTS 2026'!B583),"",IF('ENGAGEMENTS 2026'!B583="DTSI","DCT",'ENGAGEMENTS 2026'!B583))</f>
        <v/>
      </c>
      <c r="B583">
        <f>IF(ISBLANK('ENGAGEMENTS 2026'!B583),"",'ENGAGEMENTS 2026'!C583)</f>
        <v/>
      </c>
      <c r="C583">
        <f>IF(ISBLANK('ENGAGEMENTS 2026'!B583),"",'ENGAGEMENTS 2026'!D583)</f>
        <v/>
      </c>
      <c r="D583">
        <f>IF(ISBLANK('ENGAGEMENTS 2026'!B583),"",'ENGAGEMENTS 2026'!F583)</f>
        <v/>
      </c>
      <c r="E583">
        <f>IF(ISBLANK('ENGAGEMENTS 2026'!B583),"",'ENGAGEMENTS 2026'!H583)</f>
        <v/>
      </c>
      <c r="F583">
        <f>IF(ISBLANK('ENGAGEMENTS 2026'!B583),"",'ENGAGEMENTS 2026'!I583)</f>
        <v/>
      </c>
      <c r="G583">
        <f>IF(ISBLANK('ENGAGEMENTS 2026'!B583),"",'ENGAGEMENTS 2026'!L583)</f>
        <v/>
      </c>
      <c r="H583">
        <f>IF(ISBLANK('ENGAGEMENTS 2026'!B583),"",'ENGAGEMENTS 2026'!AE583)</f>
        <v/>
      </c>
      <c r="I583">
        <f>IF(ISBLANK('ENGAGEMENTS 2026'!B583),"",'ENGAGEMENTS 2026'!G583)</f>
        <v/>
      </c>
      <c r="J583" s="275">
        <f>IF(ISBLANK('ENGAGEMENTS 2026'!B583),"",IF(AND(OR($E583="INFRUCTUEUX",$E583="ANNULE"),$C583="AOO-M"),'ENGAGEMENTS 2026'!O583,IF($H583="EN COURS DE PREENGAGEMENT",'ENGAGEMENTS 2026'!N583,IF($H583="PREENGAGE",IF($E583="ATTRIBUE",'ENGAGEMENTS 2026'!AD583,'ENGAGEMENTS 2026'!N583),'ENGAGEMENTS 2026'!AD583))))</f>
        <v/>
      </c>
      <c r="K583" s="604">
        <f>IF(ISBLANK('ENGAGEMENTS 2026'!V583),"",'ENGAGEMENTS 2026'!V583)</f>
        <v/>
      </c>
      <c r="L583" s="276">
        <f>IF($K583="","",TODAY()-$K583)</f>
        <v/>
      </c>
      <c r="M583">
        <f>IF($A583="","",IF($H583="ENGAGE","Engagé",IF(AND($H583="NON ENGAGE",OR($I583="INFRUCTUEUX",$I583="ANNULE")),"Clôturé sans suite","En cours")))</f>
        <v/>
      </c>
      <c r="N583">
        <f>IF(ISBLANK('ENGAGEMENTS 2026'!B583),"",'ENGAGEMENTS 2026'!K583)</f>
        <v/>
      </c>
      <c r="O583">
        <f>IF(ISBLANK('ENGAGEMENTS 2026'!B583),"",'ENGAGEMENTS 2026'!L583)</f>
        <v/>
      </c>
      <c r="P583">
        <f>IF(ISBLANK('ENGAGEMENTS 2026'!B583),"",'ENGAGEMENTS 2026'!J583)</f>
        <v/>
      </c>
      <c r="Q583">
        <f>IF($A583="","",IF(OR($E583="INFRUCTUEUX",$E583="ANNULE"),$A583&amp;"|"&amp;(COUNTIFS($A$2:$A583,$A583,$E$2:$E583,"INFRUCTUEUX")+COUNTIFS($A$2:$A583,$A583,$E$2:$E583,"ANNULE")),""))</f>
        <v/>
      </c>
    </row>
    <row r="584">
      <c r="A584">
        <f>IF(ISBLANK('ENGAGEMENTS 2026'!B584),"",IF('ENGAGEMENTS 2026'!B584="DTSI","DCT",'ENGAGEMENTS 2026'!B584))</f>
        <v/>
      </c>
      <c r="B584">
        <f>IF(ISBLANK('ENGAGEMENTS 2026'!B584),"",'ENGAGEMENTS 2026'!C584)</f>
        <v/>
      </c>
      <c r="C584">
        <f>IF(ISBLANK('ENGAGEMENTS 2026'!B584),"",'ENGAGEMENTS 2026'!D584)</f>
        <v/>
      </c>
      <c r="D584">
        <f>IF(ISBLANK('ENGAGEMENTS 2026'!B584),"",'ENGAGEMENTS 2026'!F584)</f>
        <v/>
      </c>
      <c r="E584">
        <f>IF(ISBLANK('ENGAGEMENTS 2026'!B584),"",'ENGAGEMENTS 2026'!H584)</f>
        <v/>
      </c>
      <c r="F584">
        <f>IF(ISBLANK('ENGAGEMENTS 2026'!B584),"",'ENGAGEMENTS 2026'!I584)</f>
        <v/>
      </c>
      <c r="G584">
        <f>IF(ISBLANK('ENGAGEMENTS 2026'!B584),"",'ENGAGEMENTS 2026'!L584)</f>
        <v/>
      </c>
      <c r="H584">
        <f>IF(ISBLANK('ENGAGEMENTS 2026'!B584),"",'ENGAGEMENTS 2026'!AE584)</f>
        <v/>
      </c>
      <c r="I584">
        <f>IF(ISBLANK('ENGAGEMENTS 2026'!B584),"",'ENGAGEMENTS 2026'!G584)</f>
        <v/>
      </c>
      <c r="J584" s="275">
        <f>IF(ISBLANK('ENGAGEMENTS 2026'!B584),"",IF(AND(OR($E584="INFRUCTUEUX",$E584="ANNULE"),$C584="AOO-M"),'ENGAGEMENTS 2026'!O584,IF($H584="EN COURS DE PREENGAGEMENT",'ENGAGEMENTS 2026'!N584,IF($H584="PREENGAGE",IF($E584="ATTRIBUE",'ENGAGEMENTS 2026'!AD584,'ENGAGEMENTS 2026'!N584),'ENGAGEMENTS 2026'!AD584))))</f>
        <v/>
      </c>
      <c r="K584" s="604">
        <f>IF(ISBLANK('ENGAGEMENTS 2026'!V584),"",'ENGAGEMENTS 2026'!V584)</f>
        <v/>
      </c>
      <c r="L584" s="276">
        <f>IF($K584="","",TODAY()-$K584)</f>
        <v/>
      </c>
      <c r="M584">
        <f>IF($A584="","",IF($H584="ENGAGE","Engagé",IF(AND($H584="NON ENGAGE",OR($I584="INFRUCTUEUX",$I584="ANNULE")),"Clôturé sans suite","En cours")))</f>
        <v/>
      </c>
      <c r="N584">
        <f>IF(ISBLANK('ENGAGEMENTS 2026'!B584),"",'ENGAGEMENTS 2026'!K584)</f>
        <v/>
      </c>
      <c r="O584">
        <f>IF(ISBLANK('ENGAGEMENTS 2026'!B584),"",'ENGAGEMENTS 2026'!L584)</f>
        <v/>
      </c>
      <c r="P584">
        <f>IF(ISBLANK('ENGAGEMENTS 2026'!B584),"",'ENGAGEMENTS 2026'!J584)</f>
        <v/>
      </c>
      <c r="Q584">
        <f>IF($A584="","",IF(OR($E584="INFRUCTUEUX",$E584="ANNULE"),$A584&amp;"|"&amp;(COUNTIFS($A$2:$A584,$A584,$E$2:$E584,"INFRUCTUEUX")+COUNTIFS($A$2:$A584,$A584,$E$2:$E584,"ANNULE")),""))</f>
        <v/>
      </c>
    </row>
    <row r="585">
      <c r="A585">
        <f>IF(ISBLANK('ENGAGEMENTS 2026'!B585),"",IF('ENGAGEMENTS 2026'!B585="DTSI","DCT",'ENGAGEMENTS 2026'!B585))</f>
        <v/>
      </c>
      <c r="B585">
        <f>IF(ISBLANK('ENGAGEMENTS 2026'!B585),"",'ENGAGEMENTS 2026'!C585)</f>
        <v/>
      </c>
      <c r="C585">
        <f>IF(ISBLANK('ENGAGEMENTS 2026'!B585),"",'ENGAGEMENTS 2026'!D585)</f>
        <v/>
      </c>
      <c r="D585">
        <f>IF(ISBLANK('ENGAGEMENTS 2026'!B585),"",'ENGAGEMENTS 2026'!F585)</f>
        <v/>
      </c>
      <c r="E585">
        <f>IF(ISBLANK('ENGAGEMENTS 2026'!B585),"",'ENGAGEMENTS 2026'!H585)</f>
        <v/>
      </c>
      <c r="F585">
        <f>IF(ISBLANK('ENGAGEMENTS 2026'!B585),"",'ENGAGEMENTS 2026'!I585)</f>
        <v/>
      </c>
      <c r="G585">
        <f>IF(ISBLANK('ENGAGEMENTS 2026'!B585),"",'ENGAGEMENTS 2026'!L585)</f>
        <v/>
      </c>
      <c r="H585">
        <f>IF(ISBLANK('ENGAGEMENTS 2026'!B585),"",'ENGAGEMENTS 2026'!AE585)</f>
        <v/>
      </c>
      <c r="I585">
        <f>IF(ISBLANK('ENGAGEMENTS 2026'!B585),"",'ENGAGEMENTS 2026'!G585)</f>
        <v/>
      </c>
      <c r="J585" s="275">
        <f>IF(ISBLANK('ENGAGEMENTS 2026'!B585),"",IF(AND(OR($E585="INFRUCTUEUX",$E585="ANNULE"),$C585="AOO-M"),'ENGAGEMENTS 2026'!O585,IF($H585="EN COURS DE PREENGAGEMENT",'ENGAGEMENTS 2026'!N585,IF($H585="PREENGAGE",IF($E585="ATTRIBUE",'ENGAGEMENTS 2026'!AD585,'ENGAGEMENTS 2026'!N585),'ENGAGEMENTS 2026'!AD585))))</f>
        <v/>
      </c>
      <c r="K585" s="604">
        <f>IF(ISBLANK('ENGAGEMENTS 2026'!V585),"",'ENGAGEMENTS 2026'!V585)</f>
        <v/>
      </c>
      <c r="L585" s="276">
        <f>IF($K585="","",TODAY()-$K585)</f>
        <v/>
      </c>
      <c r="M585">
        <f>IF($A585="","",IF($H585="ENGAGE","Engagé",IF(AND($H585="NON ENGAGE",OR($I585="INFRUCTUEUX",$I585="ANNULE")),"Clôturé sans suite","En cours")))</f>
        <v/>
      </c>
      <c r="N585">
        <f>IF(ISBLANK('ENGAGEMENTS 2026'!B585),"",'ENGAGEMENTS 2026'!K585)</f>
        <v/>
      </c>
      <c r="O585">
        <f>IF(ISBLANK('ENGAGEMENTS 2026'!B585),"",'ENGAGEMENTS 2026'!L585)</f>
        <v/>
      </c>
      <c r="P585">
        <f>IF(ISBLANK('ENGAGEMENTS 2026'!B585),"",'ENGAGEMENTS 2026'!J585)</f>
        <v/>
      </c>
      <c r="Q585">
        <f>IF($A585="","",IF(OR($E585="INFRUCTUEUX",$E585="ANNULE"),$A585&amp;"|"&amp;(COUNTIFS($A$2:$A585,$A585,$E$2:$E585,"INFRUCTUEUX")+COUNTIFS($A$2:$A585,$A585,$E$2:$E585,"ANNULE")),""))</f>
        <v/>
      </c>
    </row>
    <row r="586">
      <c r="A586">
        <f>IF(ISBLANK('ENGAGEMENTS 2026'!B586),"",IF('ENGAGEMENTS 2026'!B586="DTSI","DCT",'ENGAGEMENTS 2026'!B586))</f>
        <v/>
      </c>
      <c r="B586">
        <f>IF(ISBLANK('ENGAGEMENTS 2026'!B586),"",'ENGAGEMENTS 2026'!C586)</f>
        <v/>
      </c>
      <c r="C586">
        <f>IF(ISBLANK('ENGAGEMENTS 2026'!B586),"",'ENGAGEMENTS 2026'!D586)</f>
        <v/>
      </c>
      <c r="D586">
        <f>IF(ISBLANK('ENGAGEMENTS 2026'!B586),"",'ENGAGEMENTS 2026'!F586)</f>
        <v/>
      </c>
      <c r="E586">
        <f>IF(ISBLANK('ENGAGEMENTS 2026'!B586),"",'ENGAGEMENTS 2026'!H586)</f>
        <v/>
      </c>
      <c r="F586">
        <f>IF(ISBLANK('ENGAGEMENTS 2026'!B586),"",'ENGAGEMENTS 2026'!I586)</f>
        <v/>
      </c>
      <c r="G586">
        <f>IF(ISBLANK('ENGAGEMENTS 2026'!B586),"",'ENGAGEMENTS 2026'!L586)</f>
        <v/>
      </c>
      <c r="H586">
        <f>IF(ISBLANK('ENGAGEMENTS 2026'!B586),"",'ENGAGEMENTS 2026'!AE586)</f>
        <v/>
      </c>
      <c r="I586">
        <f>IF(ISBLANK('ENGAGEMENTS 2026'!B586),"",'ENGAGEMENTS 2026'!G586)</f>
        <v/>
      </c>
      <c r="J586" s="275">
        <f>IF(ISBLANK('ENGAGEMENTS 2026'!B586),"",IF(AND(OR($E586="INFRUCTUEUX",$E586="ANNULE"),$C586="AOO-M"),'ENGAGEMENTS 2026'!O586,IF($H586="EN COURS DE PREENGAGEMENT",'ENGAGEMENTS 2026'!N586,IF($H586="PREENGAGE",IF($E586="ATTRIBUE",'ENGAGEMENTS 2026'!AD586,'ENGAGEMENTS 2026'!N586),'ENGAGEMENTS 2026'!AD586))))</f>
        <v/>
      </c>
      <c r="K586" s="604">
        <f>IF(ISBLANK('ENGAGEMENTS 2026'!V586),"",'ENGAGEMENTS 2026'!V586)</f>
        <v/>
      </c>
      <c r="L586" s="276">
        <f>IF($K586="","",TODAY()-$K586)</f>
        <v/>
      </c>
      <c r="M586">
        <f>IF($A586="","",IF($H586="ENGAGE","Engagé",IF(AND($H586="NON ENGAGE",OR($I586="INFRUCTUEUX",$I586="ANNULE")),"Clôturé sans suite","En cours")))</f>
        <v/>
      </c>
      <c r="N586">
        <f>IF(ISBLANK('ENGAGEMENTS 2026'!B586),"",'ENGAGEMENTS 2026'!K586)</f>
        <v/>
      </c>
      <c r="O586">
        <f>IF(ISBLANK('ENGAGEMENTS 2026'!B586),"",'ENGAGEMENTS 2026'!L586)</f>
        <v/>
      </c>
      <c r="P586">
        <f>IF(ISBLANK('ENGAGEMENTS 2026'!B586),"",'ENGAGEMENTS 2026'!J586)</f>
        <v/>
      </c>
      <c r="Q586">
        <f>IF($A586="","",IF(OR($E586="INFRUCTUEUX",$E586="ANNULE"),$A586&amp;"|"&amp;(COUNTIFS($A$2:$A586,$A586,$E$2:$E586,"INFRUCTUEUX")+COUNTIFS($A$2:$A586,$A586,$E$2:$E586,"ANNULE")),""))</f>
        <v/>
      </c>
    </row>
    <row r="587">
      <c r="A587">
        <f>IF(ISBLANK('ENGAGEMENTS 2026'!B587),"",IF('ENGAGEMENTS 2026'!B587="DTSI","DCT",'ENGAGEMENTS 2026'!B587))</f>
        <v/>
      </c>
      <c r="B587">
        <f>IF(ISBLANK('ENGAGEMENTS 2026'!B587),"",'ENGAGEMENTS 2026'!C587)</f>
        <v/>
      </c>
      <c r="C587">
        <f>IF(ISBLANK('ENGAGEMENTS 2026'!B587),"",'ENGAGEMENTS 2026'!D587)</f>
        <v/>
      </c>
      <c r="D587">
        <f>IF(ISBLANK('ENGAGEMENTS 2026'!B587),"",'ENGAGEMENTS 2026'!F587)</f>
        <v/>
      </c>
      <c r="E587">
        <f>IF(ISBLANK('ENGAGEMENTS 2026'!B587),"",'ENGAGEMENTS 2026'!H587)</f>
        <v/>
      </c>
      <c r="F587">
        <f>IF(ISBLANK('ENGAGEMENTS 2026'!B587),"",'ENGAGEMENTS 2026'!I587)</f>
        <v/>
      </c>
      <c r="G587">
        <f>IF(ISBLANK('ENGAGEMENTS 2026'!B587),"",'ENGAGEMENTS 2026'!L587)</f>
        <v/>
      </c>
      <c r="H587">
        <f>IF(ISBLANK('ENGAGEMENTS 2026'!B587),"",'ENGAGEMENTS 2026'!AE587)</f>
        <v/>
      </c>
      <c r="I587">
        <f>IF(ISBLANK('ENGAGEMENTS 2026'!B587),"",'ENGAGEMENTS 2026'!G587)</f>
        <v/>
      </c>
      <c r="J587" s="275">
        <f>IF(ISBLANK('ENGAGEMENTS 2026'!B587),"",IF(AND(OR($E587="INFRUCTUEUX",$E587="ANNULE"),$C587="AOO-M"),'ENGAGEMENTS 2026'!O587,IF($H587="EN COURS DE PREENGAGEMENT",'ENGAGEMENTS 2026'!N587,IF($H587="PREENGAGE",IF($E587="ATTRIBUE",'ENGAGEMENTS 2026'!AD587,'ENGAGEMENTS 2026'!N587),'ENGAGEMENTS 2026'!AD587))))</f>
        <v/>
      </c>
      <c r="K587" s="604">
        <f>IF(ISBLANK('ENGAGEMENTS 2026'!V587),"",'ENGAGEMENTS 2026'!V587)</f>
        <v/>
      </c>
      <c r="L587" s="276">
        <f>IF($K587="","",TODAY()-$K587)</f>
        <v/>
      </c>
      <c r="M587">
        <f>IF($A587="","",IF($H587="ENGAGE","Engagé",IF(AND($H587="NON ENGAGE",OR($I587="INFRUCTUEUX",$I587="ANNULE")),"Clôturé sans suite","En cours")))</f>
        <v/>
      </c>
      <c r="N587">
        <f>IF(ISBLANK('ENGAGEMENTS 2026'!B587),"",'ENGAGEMENTS 2026'!K587)</f>
        <v/>
      </c>
      <c r="O587">
        <f>IF(ISBLANK('ENGAGEMENTS 2026'!B587),"",'ENGAGEMENTS 2026'!L587)</f>
        <v/>
      </c>
      <c r="P587">
        <f>IF(ISBLANK('ENGAGEMENTS 2026'!B587),"",'ENGAGEMENTS 2026'!J587)</f>
        <v/>
      </c>
      <c r="Q587">
        <f>IF($A587="","",IF(OR($E587="INFRUCTUEUX",$E587="ANNULE"),$A587&amp;"|"&amp;(COUNTIFS($A$2:$A587,$A587,$E$2:$E587,"INFRUCTUEUX")+COUNTIFS($A$2:$A587,$A587,$E$2:$E587,"ANNULE")),""))</f>
        <v/>
      </c>
    </row>
    <row r="588">
      <c r="A588">
        <f>IF(ISBLANK('ENGAGEMENTS 2026'!B588),"",IF('ENGAGEMENTS 2026'!B588="DTSI","DCT",'ENGAGEMENTS 2026'!B588))</f>
        <v/>
      </c>
      <c r="B588">
        <f>IF(ISBLANK('ENGAGEMENTS 2026'!B588),"",'ENGAGEMENTS 2026'!C588)</f>
        <v/>
      </c>
      <c r="C588">
        <f>IF(ISBLANK('ENGAGEMENTS 2026'!B588),"",'ENGAGEMENTS 2026'!D588)</f>
        <v/>
      </c>
      <c r="D588">
        <f>IF(ISBLANK('ENGAGEMENTS 2026'!B588),"",'ENGAGEMENTS 2026'!F588)</f>
        <v/>
      </c>
      <c r="E588">
        <f>IF(ISBLANK('ENGAGEMENTS 2026'!B588),"",'ENGAGEMENTS 2026'!H588)</f>
        <v/>
      </c>
      <c r="F588">
        <f>IF(ISBLANK('ENGAGEMENTS 2026'!B588),"",'ENGAGEMENTS 2026'!I588)</f>
        <v/>
      </c>
      <c r="G588">
        <f>IF(ISBLANK('ENGAGEMENTS 2026'!B588),"",'ENGAGEMENTS 2026'!L588)</f>
        <v/>
      </c>
      <c r="H588">
        <f>IF(ISBLANK('ENGAGEMENTS 2026'!B588),"",'ENGAGEMENTS 2026'!AE588)</f>
        <v/>
      </c>
      <c r="I588">
        <f>IF(ISBLANK('ENGAGEMENTS 2026'!B588),"",'ENGAGEMENTS 2026'!G588)</f>
        <v/>
      </c>
      <c r="J588" s="275">
        <f>IF(ISBLANK('ENGAGEMENTS 2026'!B588),"",IF(AND(OR($E588="INFRUCTUEUX",$E588="ANNULE"),$C588="AOO-M"),'ENGAGEMENTS 2026'!O588,IF($H588="EN COURS DE PREENGAGEMENT",'ENGAGEMENTS 2026'!N588,IF($H588="PREENGAGE",IF($E588="ATTRIBUE",'ENGAGEMENTS 2026'!AD588,'ENGAGEMENTS 2026'!N588),'ENGAGEMENTS 2026'!AD588))))</f>
        <v/>
      </c>
      <c r="K588" s="604">
        <f>IF(ISBLANK('ENGAGEMENTS 2026'!V588),"",'ENGAGEMENTS 2026'!V588)</f>
        <v/>
      </c>
      <c r="L588" s="276">
        <f>IF($K588="","",TODAY()-$K588)</f>
        <v/>
      </c>
      <c r="M588">
        <f>IF($A588="","",IF($H588="ENGAGE","Engagé",IF(AND($H588="NON ENGAGE",OR($I588="INFRUCTUEUX",$I588="ANNULE")),"Clôturé sans suite","En cours")))</f>
        <v/>
      </c>
      <c r="N588">
        <f>IF(ISBLANK('ENGAGEMENTS 2026'!B588),"",'ENGAGEMENTS 2026'!K588)</f>
        <v/>
      </c>
      <c r="O588">
        <f>IF(ISBLANK('ENGAGEMENTS 2026'!B588),"",'ENGAGEMENTS 2026'!L588)</f>
        <v/>
      </c>
      <c r="P588">
        <f>IF(ISBLANK('ENGAGEMENTS 2026'!B588),"",'ENGAGEMENTS 2026'!J588)</f>
        <v/>
      </c>
      <c r="Q588">
        <f>IF($A588="","",IF(OR($E588="INFRUCTUEUX",$E588="ANNULE"),$A588&amp;"|"&amp;(COUNTIFS($A$2:$A588,$A588,$E$2:$E588,"INFRUCTUEUX")+COUNTIFS($A$2:$A588,$A588,$E$2:$E588,"ANNULE")),""))</f>
        <v/>
      </c>
    </row>
    <row r="589">
      <c r="A589">
        <f>IF(ISBLANK('ENGAGEMENTS 2026'!B589),"",IF('ENGAGEMENTS 2026'!B589="DTSI","DCT",'ENGAGEMENTS 2026'!B589))</f>
        <v/>
      </c>
      <c r="B589">
        <f>IF(ISBLANK('ENGAGEMENTS 2026'!B589),"",'ENGAGEMENTS 2026'!C589)</f>
        <v/>
      </c>
      <c r="C589">
        <f>IF(ISBLANK('ENGAGEMENTS 2026'!B589),"",'ENGAGEMENTS 2026'!D589)</f>
        <v/>
      </c>
      <c r="D589">
        <f>IF(ISBLANK('ENGAGEMENTS 2026'!B589),"",'ENGAGEMENTS 2026'!F589)</f>
        <v/>
      </c>
      <c r="E589">
        <f>IF(ISBLANK('ENGAGEMENTS 2026'!B589),"",'ENGAGEMENTS 2026'!H589)</f>
        <v/>
      </c>
      <c r="F589">
        <f>IF(ISBLANK('ENGAGEMENTS 2026'!B589),"",'ENGAGEMENTS 2026'!I589)</f>
        <v/>
      </c>
      <c r="G589">
        <f>IF(ISBLANK('ENGAGEMENTS 2026'!B589),"",'ENGAGEMENTS 2026'!L589)</f>
        <v/>
      </c>
      <c r="H589">
        <f>IF(ISBLANK('ENGAGEMENTS 2026'!B589),"",'ENGAGEMENTS 2026'!AE589)</f>
        <v/>
      </c>
      <c r="I589">
        <f>IF(ISBLANK('ENGAGEMENTS 2026'!B589),"",'ENGAGEMENTS 2026'!G589)</f>
        <v/>
      </c>
      <c r="J589" s="275">
        <f>IF(ISBLANK('ENGAGEMENTS 2026'!B589),"",IF(AND(OR($E589="INFRUCTUEUX",$E589="ANNULE"),$C589="AOO-M"),'ENGAGEMENTS 2026'!O589,IF($H589="EN COURS DE PREENGAGEMENT",'ENGAGEMENTS 2026'!N589,IF($H589="PREENGAGE",IF($E589="ATTRIBUE",'ENGAGEMENTS 2026'!AD589,'ENGAGEMENTS 2026'!N589),'ENGAGEMENTS 2026'!AD589))))</f>
        <v/>
      </c>
      <c r="K589" s="604">
        <f>IF(ISBLANK('ENGAGEMENTS 2026'!V589),"",'ENGAGEMENTS 2026'!V589)</f>
        <v/>
      </c>
      <c r="L589" s="276">
        <f>IF($K589="","",TODAY()-$K589)</f>
        <v/>
      </c>
      <c r="M589">
        <f>IF($A589="","",IF($H589="ENGAGE","Engagé",IF(AND($H589="NON ENGAGE",OR($I589="INFRUCTUEUX",$I589="ANNULE")),"Clôturé sans suite","En cours")))</f>
        <v/>
      </c>
      <c r="N589">
        <f>IF(ISBLANK('ENGAGEMENTS 2026'!B589),"",'ENGAGEMENTS 2026'!K589)</f>
        <v/>
      </c>
      <c r="O589">
        <f>IF(ISBLANK('ENGAGEMENTS 2026'!B589),"",'ENGAGEMENTS 2026'!L589)</f>
        <v/>
      </c>
      <c r="P589">
        <f>IF(ISBLANK('ENGAGEMENTS 2026'!B589),"",'ENGAGEMENTS 2026'!J589)</f>
        <v/>
      </c>
      <c r="Q589">
        <f>IF($A589="","",IF(OR($E589="INFRUCTUEUX",$E589="ANNULE"),$A589&amp;"|"&amp;(COUNTIFS($A$2:$A589,$A589,$E$2:$E589,"INFRUCTUEUX")+COUNTIFS($A$2:$A589,$A589,$E$2:$E589,"ANNULE")),""))</f>
        <v/>
      </c>
    </row>
    <row r="590">
      <c r="A590">
        <f>IF(ISBLANK('ENGAGEMENTS 2026'!B590),"",IF('ENGAGEMENTS 2026'!B590="DTSI","DCT",'ENGAGEMENTS 2026'!B590))</f>
        <v/>
      </c>
      <c r="B590">
        <f>IF(ISBLANK('ENGAGEMENTS 2026'!B590),"",'ENGAGEMENTS 2026'!C590)</f>
        <v/>
      </c>
      <c r="C590">
        <f>IF(ISBLANK('ENGAGEMENTS 2026'!B590),"",'ENGAGEMENTS 2026'!D590)</f>
        <v/>
      </c>
      <c r="D590">
        <f>IF(ISBLANK('ENGAGEMENTS 2026'!B590),"",'ENGAGEMENTS 2026'!F590)</f>
        <v/>
      </c>
      <c r="E590">
        <f>IF(ISBLANK('ENGAGEMENTS 2026'!B590),"",'ENGAGEMENTS 2026'!H590)</f>
        <v/>
      </c>
      <c r="F590">
        <f>IF(ISBLANK('ENGAGEMENTS 2026'!B590),"",'ENGAGEMENTS 2026'!I590)</f>
        <v/>
      </c>
      <c r="G590">
        <f>IF(ISBLANK('ENGAGEMENTS 2026'!B590),"",'ENGAGEMENTS 2026'!L590)</f>
        <v/>
      </c>
      <c r="H590">
        <f>IF(ISBLANK('ENGAGEMENTS 2026'!B590),"",'ENGAGEMENTS 2026'!AE590)</f>
        <v/>
      </c>
      <c r="I590">
        <f>IF(ISBLANK('ENGAGEMENTS 2026'!B590),"",'ENGAGEMENTS 2026'!G590)</f>
        <v/>
      </c>
      <c r="J590" s="275">
        <f>IF(ISBLANK('ENGAGEMENTS 2026'!B590),"",IF(AND(OR($E590="INFRUCTUEUX",$E590="ANNULE"),$C590="AOO-M"),'ENGAGEMENTS 2026'!O590,IF($H590="EN COURS DE PREENGAGEMENT",'ENGAGEMENTS 2026'!N590,IF($H590="PREENGAGE",IF($E590="ATTRIBUE",'ENGAGEMENTS 2026'!AD590,'ENGAGEMENTS 2026'!N590),'ENGAGEMENTS 2026'!AD590))))</f>
        <v/>
      </c>
      <c r="K590" s="604">
        <f>IF(ISBLANK('ENGAGEMENTS 2026'!V590),"",'ENGAGEMENTS 2026'!V590)</f>
        <v/>
      </c>
      <c r="L590" s="276">
        <f>IF($K590="","",TODAY()-$K590)</f>
        <v/>
      </c>
      <c r="M590">
        <f>IF($A590="","",IF($H590="ENGAGE","Engagé",IF(AND($H590="NON ENGAGE",OR($I590="INFRUCTUEUX",$I590="ANNULE")),"Clôturé sans suite","En cours")))</f>
        <v/>
      </c>
      <c r="N590">
        <f>IF(ISBLANK('ENGAGEMENTS 2026'!B590),"",'ENGAGEMENTS 2026'!K590)</f>
        <v/>
      </c>
      <c r="O590">
        <f>IF(ISBLANK('ENGAGEMENTS 2026'!B590),"",'ENGAGEMENTS 2026'!L590)</f>
        <v/>
      </c>
      <c r="P590">
        <f>IF(ISBLANK('ENGAGEMENTS 2026'!B590),"",'ENGAGEMENTS 2026'!J590)</f>
        <v/>
      </c>
      <c r="Q590">
        <f>IF($A590="","",IF(OR($E590="INFRUCTUEUX",$E590="ANNULE"),$A590&amp;"|"&amp;(COUNTIFS($A$2:$A590,$A590,$E$2:$E590,"INFRUCTUEUX")+COUNTIFS($A$2:$A590,$A590,$E$2:$E590,"ANNULE")),""))</f>
        <v/>
      </c>
    </row>
    <row r="591">
      <c r="A591">
        <f>IF(ISBLANK('ENGAGEMENTS 2026'!B591),"",IF('ENGAGEMENTS 2026'!B591="DTSI","DCT",'ENGAGEMENTS 2026'!B591))</f>
        <v/>
      </c>
      <c r="B591">
        <f>IF(ISBLANK('ENGAGEMENTS 2026'!B591),"",'ENGAGEMENTS 2026'!C591)</f>
        <v/>
      </c>
      <c r="C591">
        <f>IF(ISBLANK('ENGAGEMENTS 2026'!B591),"",'ENGAGEMENTS 2026'!D591)</f>
        <v/>
      </c>
      <c r="D591">
        <f>IF(ISBLANK('ENGAGEMENTS 2026'!B591),"",'ENGAGEMENTS 2026'!F591)</f>
        <v/>
      </c>
      <c r="E591">
        <f>IF(ISBLANK('ENGAGEMENTS 2026'!B591),"",'ENGAGEMENTS 2026'!H591)</f>
        <v/>
      </c>
      <c r="F591">
        <f>IF(ISBLANK('ENGAGEMENTS 2026'!B591),"",'ENGAGEMENTS 2026'!I591)</f>
        <v/>
      </c>
      <c r="G591">
        <f>IF(ISBLANK('ENGAGEMENTS 2026'!B591),"",'ENGAGEMENTS 2026'!L591)</f>
        <v/>
      </c>
      <c r="H591">
        <f>IF(ISBLANK('ENGAGEMENTS 2026'!B591),"",'ENGAGEMENTS 2026'!AE591)</f>
        <v/>
      </c>
      <c r="I591">
        <f>IF(ISBLANK('ENGAGEMENTS 2026'!B591),"",'ENGAGEMENTS 2026'!G591)</f>
        <v/>
      </c>
      <c r="J591" s="275">
        <f>IF(ISBLANK('ENGAGEMENTS 2026'!B591),"",IF(AND(OR($E591="INFRUCTUEUX",$E591="ANNULE"),$C591="AOO-M"),'ENGAGEMENTS 2026'!O591,IF($H591="EN COURS DE PREENGAGEMENT",'ENGAGEMENTS 2026'!N591,IF($H591="PREENGAGE",IF($E591="ATTRIBUE",'ENGAGEMENTS 2026'!AD591,'ENGAGEMENTS 2026'!N591),'ENGAGEMENTS 2026'!AD591))))</f>
        <v/>
      </c>
      <c r="K591" s="604">
        <f>IF(ISBLANK('ENGAGEMENTS 2026'!V591),"",'ENGAGEMENTS 2026'!V591)</f>
        <v/>
      </c>
      <c r="L591" s="276">
        <f>IF($K591="","",TODAY()-$K591)</f>
        <v/>
      </c>
      <c r="M591">
        <f>IF($A591="","",IF($H591="ENGAGE","Engagé",IF(AND($H591="NON ENGAGE",OR($I591="INFRUCTUEUX",$I591="ANNULE")),"Clôturé sans suite","En cours")))</f>
        <v/>
      </c>
      <c r="N591">
        <f>IF(ISBLANK('ENGAGEMENTS 2026'!B591),"",'ENGAGEMENTS 2026'!K591)</f>
        <v/>
      </c>
      <c r="O591">
        <f>IF(ISBLANK('ENGAGEMENTS 2026'!B591),"",'ENGAGEMENTS 2026'!L591)</f>
        <v/>
      </c>
      <c r="P591">
        <f>IF(ISBLANK('ENGAGEMENTS 2026'!B591),"",'ENGAGEMENTS 2026'!J591)</f>
        <v/>
      </c>
      <c r="Q591">
        <f>IF($A591="","",IF(OR($E591="INFRUCTUEUX",$E591="ANNULE"),$A591&amp;"|"&amp;(COUNTIFS($A$2:$A591,$A591,$E$2:$E591,"INFRUCTUEUX")+COUNTIFS($A$2:$A591,$A591,$E$2:$E591,"ANNULE")),""))</f>
        <v/>
      </c>
    </row>
    <row r="592">
      <c r="A592">
        <f>IF(ISBLANK('ENGAGEMENTS 2026'!B592),"",IF('ENGAGEMENTS 2026'!B592="DTSI","DCT",'ENGAGEMENTS 2026'!B592))</f>
        <v/>
      </c>
      <c r="B592">
        <f>IF(ISBLANK('ENGAGEMENTS 2026'!B592),"",'ENGAGEMENTS 2026'!C592)</f>
        <v/>
      </c>
      <c r="C592">
        <f>IF(ISBLANK('ENGAGEMENTS 2026'!B592),"",'ENGAGEMENTS 2026'!D592)</f>
        <v/>
      </c>
      <c r="D592">
        <f>IF(ISBLANK('ENGAGEMENTS 2026'!B592),"",'ENGAGEMENTS 2026'!F592)</f>
        <v/>
      </c>
      <c r="E592">
        <f>IF(ISBLANK('ENGAGEMENTS 2026'!B592),"",'ENGAGEMENTS 2026'!H592)</f>
        <v/>
      </c>
      <c r="F592">
        <f>IF(ISBLANK('ENGAGEMENTS 2026'!B592),"",'ENGAGEMENTS 2026'!I592)</f>
        <v/>
      </c>
      <c r="G592">
        <f>IF(ISBLANK('ENGAGEMENTS 2026'!B592),"",'ENGAGEMENTS 2026'!L592)</f>
        <v/>
      </c>
      <c r="H592">
        <f>IF(ISBLANK('ENGAGEMENTS 2026'!B592),"",'ENGAGEMENTS 2026'!AE592)</f>
        <v/>
      </c>
      <c r="I592">
        <f>IF(ISBLANK('ENGAGEMENTS 2026'!B592),"",'ENGAGEMENTS 2026'!G592)</f>
        <v/>
      </c>
      <c r="J592" s="275">
        <f>IF(ISBLANK('ENGAGEMENTS 2026'!B592),"",IF(AND(OR($E592="INFRUCTUEUX",$E592="ANNULE"),$C592="AOO-M"),'ENGAGEMENTS 2026'!O592,IF($H592="EN COURS DE PREENGAGEMENT",'ENGAGEMENTS 2026'!N592,IF($H592="PREENGAGE",IF($E592="ATTRIBUE",'ENGAGEMENTS 2026'!AD592,'ENGAGEMENTS 2026'!N592),'ENGAGEMENTS 2026'!AD592))))</f>
        <v/>
      </c>
      <c r="K592" s="604">
        <f>IF(ISBLANK('ENGAGEMENTS 2026'!V592),"",'ENGAGEMENTS 2026'!V592)</f>
        <v/>
      </c>
      <c r="L592" s="276">
        <f>IF($K592="","",TODAY()-$K592)</f>
        <v/>
      </c>
      <c r="M592">
        <f>IF($A592="","",IF($H592="ENGAGE","Engagé",IF(AND($H592="NON ENGAGE",OR($I592="INFRUCTUEUX",$I592="ANNULE")),"Clôturé sans suite","En cours")))</f>
        <v/>
      </c>
      <c r="N592">
        <f>IF(ISBLANK('ENGAGEMENTS 2026'!B592),"",'ENGAGEMENTS 2026'!K592)</f>
        <v/>
      </c>
      <c r="O592">
        <f>IF(ISBLANK('ENGAGEMENTS 2026'!B592),"",'ENGAGEMENTS 2026'!L592)</f>
        <v/>
      </c>
      <c r="P592">
        <f>IF(ISBLANK('ENGAGEMENTS 2026'!B592),"",'ENGAGEMENTS 2026'!J592)</f>
        <v/>
      </c>
      <c r="Q592">
        <f>IF($A592="","",IF(OR($E592="INFRUCTUEUX",$E592="ANNULE"),$A592&amp;"|"&amp;(COUNTIFS($A$2:$A592,$A592,$E$2:$E592,"INFRUCTUEUX")+COUNTIFS($A$2:$A592,$A592,$E$2:$E592,"ANNULE")),""))</f>
        <v/>
      </c>
    </row>
    <row r="593">
      <c r="A593">
        <f>IF(ISBLANK('ENGAGEMENTS 2026'!B593),"",IF('ENGAGEMENTS 2026'!B593="DTSI","DCT",'ENGAGEMENTS 2026'!B593))</f>
        <v/>
      </c>
      <c r="B593">
        <f>IF(ISBLANK('ENGAGEMENTS 2026'!B593),"",'ENGAGEMENTS 2026'!C593)</f>
        <v/>
      </c>
      <c r="C593">
        <f>IF(ISBLANK('ENGAGEMENTS 2026'!B593),"",'ENGAGEMENTS 2026'!D593)</f>
        <v/>
      </c>
      <c r="D593">
        <f>IF(ISBLANK('ENGAGEMENTS 2026'!B593),"",'ENGAGEMENTS 2026'!F593)</f>
        <v/>
      </c>
      <c r="E593">
        <f>IF(ISBLANK('ENGAGEMENTS 2026'!B593),"",'ENGAGEMENTS 2026'!H593)</f>
        <v/>
      </c>
      <c r="F593">
        <f>IF(ISBLANK('ENGAGEMENTS 2026'!B593),"",'ENGAGEMENTS 2026'!I593)</f>
        <v/>
      </c>
      <c r="G593">
        <f>IF(ISBLANK('ENGAGEMENTS 2026'!B593),"",'ENGAGEMENTS 2026'!L593)</f>
        <v/>
      </c>
      <c r="H593">
        <f>IF(ISBLANK('ENGAGEMENTS 2026'!B593),"",'ENGAGEMENTS 2026'!AE593)</f>
        <v/>
      </c>
      <c r="I593">
        <f>IF(ISBLANK('ENGAGEMENTS 2026'!B593),"",'ENGAGEMENTS 2026'!G593)</f>
        <v/>
      </c>
      <c r="J593" s="275">
        <f>IF(ISBLANK('ENGAGEMENTS 2026'!B593),"",IF(AND(OR($E593="INFRUCTUEUX",$E593="ANNULE"),$C593="AOO-M"),'ENGAGEMENTS 2026'!O593,IF($H593="EN COURS DE PREENGAGEMENT",'ENGAGEMENTS 2026'!N593,IF($H593="PREENGAGE",IF($E593="ATTRIBUE",'ENGAGEMENTS 2026'!AD593,'ENGAGEMENTS 2026'!N593),'ENGAGEMENTS 2026'!AD593))))</f>
        <v/>
      </c>
      <c r="K593" s="604">
        <f>IF(ISBLANK('ENGAGEMENTS 2026'!V593),"",'ENGAGEMENTS 2026'!V593)</f>
        <v/>
      </c>
      <c r="L593" s="276">
        <f>IF($K593="","",TODAY()-$K593)</f>
        <v/>
      </c>
      <c r="M593">
        <f>IF($A593="","",IF($H593="ENGAGE","Engagé",IF(AND($H593="NON ENGAGE",OR($I593="INFRUCTUEUX",$I593="ANNULE")),"Clôturé sans suite","En cours")))</f>
        <v/>
      </c>
      <c r="N593">
        <f>IF(ISBLANK('ENGAGEMENTS 2026'!B593),"",'ENGAGEMENTS 2026'!K593)</f>
        <v/>
      </c>
      <c r="O593">
        <f>IF(ISBLANK('ENGAGEMENTS 2026'!B593),"",'ENGAGEMENTS 2026'!L593)</f>
        <v/>
      </c>
      <c r="P593">
        <f>IF(ISBLANK('ENGAGEMENTS 2026'!B593),"",'ENGAGEMENTS 2026'!J593)</f>
        <v/>
      </c>
      <c r="Q593">
        <f>IF($A593="","",IF(OR($E593="INFRUCTUEUX",$E593="ANNULE"),$A593&amp;"|"&amp;(COUNTIFS($A$2:$A593,$A593,$E$2:$E593,"INFRUCTUEUX")+COUNTIFS($A$2:$A593,$A593,$E$2:$E593,"ANNULE")),""))</f>
        <v/>
      </c>
    </row>
    <row r="594">
      <c r="A594">
        <f>IF(ISBLANK('ENGAGEMENTS 2026'!B594),"",IF('ENGAGEMENTS 2026'!B594="DTSI","DCT",'ENGAGEMENTS 2026'!B594))</f>
        <v/>
      </c>
      <c r="B594">
        <f>IF(ISBLANK('ENGAGEMENTS 2026'!B594),"",'ENGAGEMENTS 2026'!C594)</f>
        <v/>
      </c>
      <c r="C594">
        <f>IF(ISBLANK('ENGAGEMENTS 2026'!B594),"",'ENGAGEMENTS 2026'!D594)</f>
        <v/>
      </c>
      <c r="D594">
        <f>IF(ISBLANK('ENGAGEMENTS 2026'!B594),"",'ENGAGEMENTS 2026'!F594)</f>
        <v/>
      </c>
      <c r="E594">
        <f>IF(ISBLANK('ENGAGEMENTS 2026'!B594),"",'ENGAGEMENTS 2026'!H594)</f>
        <v/>
      </c>
      <c r="F594">
        <f>IF(ISBLANK('ENGAGEMENTS 2026'!B594),"",'ENGAGEMENTS 2026'!I594)</f>
        <v/>
      </c>
      <c r="G594">
        <f>IF(ISBLANK('ENGAGEMENTS 2026'!B594),"",'ENGAGEMENTS 2026'!L594)</f>
        <v/>
      </c>
      <c r="H594">
        <f>IF(ISBLANK('ENGAGEMENTS 2026'!B594),"",'ENGAGEMENTS 2026'!AE594)</f>
        <v/>
      </c>
      <c r="I594">
        <f>IF(ISBLANK('ENGAGEMENTS 2026'!B594),"",'ENGAGEMENTS 2026'!G594)</f>
        <v/>
      </c>
      <c r="J594" s="275">
        <f>IF(ISBLANK('ENGAGEMENTS 2026'!B594),"",IF(AND(OR($E594="INFRUCTUEUX",$E594="ANNULE"),$C594="AOO-M"),'ENGAGEMENTS 2026'!O594,IF($H594="EN COURS DE PREENGAGEMENT",'ENGAGEMENTS 2026'!N594,IF($H594="PREENGAGE",IF($E594="ATTRIBUE",'ENGAGEMENTS 2026'!AD594,'ENGAGEMENTS 2026'!N594),'ENGAGEMENTS 2026'!AD594))))</f>
        <v/>
      </c>
      <c r="K594" s="604">
        <f>IF(ISBLANK('ENGAGEMENTS 2026'!V594),"",'ENGAGEMENTS 2026'!V594)</f>
        <v/>
      </c>
      <c r="L594" s="276">
        <f>IF($K594="","",TODAY()-$K594)</f>
        <v/>
      </c>
      <c r="M594">
        <f>IF($A594="","",IF($H594="ENGAGE","Engagé",IF(AND($H594="NON ENGAGE",OR($I594="INFRUCTUEUX",$I594="ANNULE")),"Clôturé sans suite","En cours")))</f>
        <v/>
      </c>
      <c r="N594">
        <f>IF(ISBLANK('ENGAGEMENTS 2026'!B594),"",'ENGAGEMENTS 2026'!K594)</f>
        <v/>
      </c>
      <c r="O594">
        <f>IF(ISBLANK('ENGAGEMENTS 2026'!B594),"",'ENGAGEMENTS 2026'!L594)</f>
        <v/>
      </c>
      <c r="P594">
        <f>IF(ISBLANK('ENGAGEMENTS 2026'!B594),"",'ENGAGEMENTS 2026'!J594)</f>
        <v/>
      </c>
      <c r="Q594">
        <f>IF($A594="","",IF(OR($E594="INFRUCTUEUX",$E594="ANNULE"),$A594&amp;"|"&amp;(COUNTIFS($A$2:$A594,$A594,$E$2:$E594,"INFRUCTUEUX")+COUNTIFS($A$2:$A594,$A594,$E$2:$E594,"ANNULE")),""))</f>
        <v/>
      </c>
    </row>
    <row r="595">
      <c r="A595">
        <f>IF(ISBLANK('ENGAGEMENTS 2026'!B595),"",IF('ENGAGEMENTS 2026'!B595="DTSI","DCT",'ENGAGEMENTS 2026'!B595))</f>
        <v/>
      </c>
      <c r="B595">
        <f>IF(ISBLANK('ENGAGEMENTS 2026'!B595),"",'ENGAGEMENTS 2026'!C595)</f>
        <v/>
      </c>
      <c r="C595">
        <f>IF(ISBLANK('ENGAGEMENTS 2026'!B595),"",'ENGAGEMENTS 2026'!D595)</f>
        <v/>
      </c>
      <c r="D595">
        <f>IF(ISBLANK('ENGAGEMENTS 2026'!B595),"",'ENGAGEMENTS 2026'!F595)</f>
        <v/>
      </c>
      <c r="E595">
        <f>IF(ISBLANK('ENGAGEMENTS 2026'!B595),"",'ENGAGEMENTS 2026'!H595)</f>
        <v/>
      </c>
      <c r="F595">
        <f>IF(ISBLANK('ENGAGEMENTS 2026'!B595),"",'ENGAGEMENTS 2026'!I595)</f>
        <v/>
      </c>
      <c r="G595">
        <f>IF(ISBLANK('ENGAGEMENTS 2026'!B595),"",'ENGAGEMENTS 2026'!L595)</f>
        <v/>
      </c>
      <c r="H595">
        <f>IF(ISBLANK('ENGAGEMENTS 2026'!B595),"",'ENGAGEMENTS 2026'!AE595)</f>
        <v/>
      </c>
      <c r="I595">
        <f>IF(ISBLANK('ENGAGEMENTS 2026'!B595),"",'ENGAGEMENTS 2026'!G595)</f>
        <v/>
      </c>
      <c r="J595" s="275">
        <f>IF(ISBLANK('ENGAGEMENTS 2026'!B595),"",IF(AND(OR($E595="INFRUCTUEUX",$E595="ANNULE"),$C595="AOO-M"),'ENGAGEMENTS 2026'!O595,IF($H595="EN COURS DE PREENGAGEMENT",'ENGAGEMENTS 2026'!N595,IF($H595="PREENGAGE",IF($E595="ATTRIBUE",'ENGAGEMENTS 2026'!AD595,'ENGAGEMENTS 2026'!N595),'ENGAGEMENTS 2026'!AD595))))</f>
        <v/>
      </c>
      <c r="K595" s="604">
        <f>IF(ISBLANK('ENGAGEMENTS 2026'!V595),"",'ENGAGEMENTS 2026'!V595)</f>
        <v/>
      </c>
      <c r="L595" s="276">
        <f>IF($K595="","",TODAY()-$K595)</f>
        <v/>
      </c>
      <c r="M595">
        <f>IF($A595="","",IF($H595="ENGAGE","Engagé",IF(AND($H595="NON ENGAGE",OR($I595="INFRUCTUEUX",$I595="ANNULE")),"Clôturé sans suite","En cours")))</f>
        <v/>
      </c>
      <c r="N595">
        <f>IF(ISBLANK('ENGAGEMENTS 2026'!B595),"",'ENGAGEMENTS 2026'!K595)</f>
        <v/>
      </c>
      <c r="O595">
        <f>IF(ISBLANK('ENGAGEMENTS 2026'!B595),"",'ENGAGEMENTS 2026'!L595)</f>
        <v/>
      </c>
      <c r="P595">
        <f>IF(ISBLANK('ENGAGEMENTS 2026'!B595),"",'ENGAGEMENTS 2026'!J595)</f>
        <v/>
      </c>
      <c r="Q595">
        <f>IF($A595="","",IF(OR($E595="INFRUCTUEUX",$E595="ANNULE"),$A595&amp;"|"&amp;(COUNTIFS($A$2:$A595,$A595,$E$2:$E595,"INFRUCTUEUX")+COUNTIFS($A$2:$A595,$A595,$E$2:$E595,"ANNULE")),""))</f>
        <v/>
      </c>
    </row>
    <row r="596">
      <c r="A596">
        <f>IF(ISBLANK('ENGAGEMENTS 2026'!B596),"",IF('ENGAGEMENTS 2026'!B596="DTSI","DCT",'ENGAGEMENTS 2026'!B596))</f>
        <v/>
      </c>
      <c r="B596">
        <f>IF(ISBLANK('ENGAGEMENTS 2026'!B596),"",'ENGAGEMENTS 2026'!C596)</f>
        <v/>
      </c>
      <c r="C596">
        <f>IF(ISBLANK('ENGAGEMENTS 2026'!B596),"",'ENGAGEMENTS 2026'!D596)</f>
        <v/>
      </c>
      <c r="D596">
        <f>IF(ISBLANK('ENGAGEMENTS 2026'!B596),"",'ENGAGEMENTS 2026'!F596)</f>
        <v/>
      </c>
      <c r="E596">
        <f>IF(ISBLANK('ENGAGEMENTS 2026'!B596),"",'ENGAGEMENTS 2026'!H596)</f>
        <v/>
      </c>
      <c r="F596">
        <f>IF(ISBLANK('ENGAGEMENTS 2026'!B596),"",'ENGAGEMENTS 2026'!I596)</f>
        <v/>
      </c>
      <c r="G596">
        <f>IF(ISBLANK('ENGAGEMENTS 2026'!B596),"",'ENGAGEMENTS 2026'!L596)</f>
        <v/>
      </c>
      <c r="H596">
        <f>IF(ISBLANK('ENGAGEMENTS 2026'!B596),"",'ENGAGEMENTS 2026'!AE596)</f>
        <v/>
      </c>
      <c r="I596">
        <f>IF(ISBLANK('ENGAGEMENTS 2026'!B596),"",'ENGAGEMENTS 2026'!G596)</f>
        <v/>
      </c>
      <c r="J596" s="275">
        <f>IF(ISBLANK('ENGAGEMENTS 2026'!B596),"",IF(AND(OR($E596="INFRUCTUEUX",$E596="ANNULE"),$C596="AOO-M"),'ENGAGEMENTS 2026'!O596,IF($H596="EN COURS DE PREENGAGEMENT",'ENGAGEMENTS 2026'!N596,IF($H596="PREENGAGE",IF($E596="ATTRIBUE",'ENGAGEMENTS 2026'!AD596,'ENGAGEMENTS 2026'!N596),'ENGAGEMENTS 2026'!AD596))))</f>
        <v/>
      </c>
      <c r="K596" s="604">
        <f>IF(ISBLANK('ENGAGEMENTS 2026'!V596),"",'ENGAGEMENTS 2026'!V596)</f>
        <v/>
      </c>
      <c r="L596" s="276">
        <f>IF($K596="","",TODAY()-$K596)</f>
        <v/>
      </c>
      <c r="M596">
        <f>IF($A596="","",IF($H596="ENGAGE","Engagé",IF(AND($H596="NON ENGAGE",OR($I596="INFRUCTUEUX",$I596="ANNULE")),"Clôturé sans suite","En cours")))</f>
        <v/>
      </c>
      <c r="N596">
        <f>IF(ISBLANK('ENGAGEMENTS 2026'!B596),"",'ENGAGEMENTS 2026'!K596)</f>
        <v/>
      </c>
      <c r="O596">
        <f>IF(ISBLANK('ENGAGEMENTS 2026'!B596),"",'ENGAGEMENTS 2026'!L596)</f>
        <v/>
      </c>
      <c r="P596">
        <f>IF(ISBLANK('ENGAGEMENTS 2026'!B596),"",'ENGAGEMENTS 2026'!J596)</f>
        <v/>
      </c>
      <c r="Q596">
        <f>IF($A596="","",IF(OR($E596="INFRUCTUEUX",$E596="ANNULE"),$A596&amp;"|"&amp;(COUNTIFS($A$2:$A596,$A596,$E$2:$E596,"INFRUCTUEUX")+COUNTIFS($A$2:$A596,$A596,$E$2:$E596,"ANNULE")),""))</f>
        <v/>
      </c>
    </row>
    <row r="597">
      <c r="A597">
        <f>IF(ISBLANK('ENGAGEMENTS 2026'!B597),"",IF('ENGAGEMENTS 2026'!B597="DTSI","DCT",'ENGAGEMENTS 2026'!B597))</f>
        <v/>
      </c>
      <c r="B597">
        <f>IF(ISBLANK('ENGAGEMENTS 2026'!B597),"",'ENGAGEMENTS 2026'!C597)</f>
        <v/>
      </c>
      <c r="C597">
        <f>IF(ISBLANK('ENGAGEMENTS 2026'!B597),"",'ENGAGEMENTS 2026'!D597)</f>
        <v/>
      </c>
      <c r="D597">
        <f>IF(ISBLANK('ENGAGEMENTS 2026'!B597),"",'ENGAGEMENTS 2026'!F597)</f>
        <v/>
      </c>
      <c r="E597">
        <f>IF(ISBLANK('ENGAGEMENTS 2026'!B597),"",'ENGAGEMENTS 2026'!H597)</f>
        <v/>
      </c>
      <c r="F597">
        <f>IF(ISBLANK('ENGAGEMENTS 2026'!B597),"",'ENGAGEMENTS 2026'!I597)</f>
        <v/>
      </c>
      <c r="G597">
        <f>IF(ISBLANK('ENGAGEMENTS 2026'!B597),"",'ENGAGEMENTS 2026'!L597)</f>
        <v/>
      </c>
      <c r="H597">
        <f>IF(ISBLANK('ENGAGEMENTS 2026'!B597),"",'ENGAGEMENTS 2026'!AE597)</f>
        <v/>
      </c>
      <c r="I597">
        <f>IF(ISBLANK('ENGAGEMENTS 2026'!B597),"",'ENGAGEMENTS 2026'!G597)</f>
        <v/>
      </c>
      <c r="J597" s="275">
        <f>IF(ISBLANK('ENGAGEMENTS 2026'!B597),"",IF(AND(OR($E597="INFRUCTUEUX",$E597="ANNULE"),$C597="AOO-M"),'ENGAGEMENTS 2026'!O597,IF($H597="EN COURS DE PREENGAGEMENT",'ENGAGEMENTS 2026'!N597,IF($H597="PREENGAGE",IF($E597="ATTRIBUE",'ENGAGEMENTS 2026'!AD597,'ENGAGEMENTS 2026'!N597),'ENGAGEMENTS 2026'!AD597))))</f>
        <v/>
      </c>
      <c r="K597" s="604">
        <f>IF(ISBLANK('ENGAGEMENTS 2026'!V597),"",'ENGAGEMENTS 2026'!V597)</f>
        <v/>
      </c>
      <c r="L597" s="276">
        <f>IF($K597="","",TODAY()-$K597)</f>
        <v/>
      </c>
      <c r="M597">
        <f>IF($A597="","",IF($H597="ENGAGE","Engagé",IF(AND($H597="NON ENGAGE",OR($I597="INFRUCTUEUX",$I597="ANNULE")),"Clôturé sans suite","En cours")))</f>
        <v/>
      </c>
      <c r="N597">
        <f>IF(ISBLANK('ENGAGEMENTS 2026'!B597),"",'ENGAGEMENTS 2026'!K597)</f>
        <v/>
      </c>
      <c r="O597">
        <f>IF(ISBLANK('ENGAGEMENTS 2026'!B597),"",'ENGAGEMENTS 2026'!L597)</f>
        <v/>
      </c>
      <c r="P597">
        <f>IF(ISBLANK('ENGAGEMENTS 2026'!B597),"",'ENGAGEMENTS 2026'!J597)</f>
        <v/>
      </c>
      <c r="Q597">
        <f>IF($A597="","",IF(OR($E597="INFRUCTUEUX",$E597="ANNULE"),$A597&amp;"|"&amp;(COUNTIFS($A$2:$A597,$A597,$E$2:$E597,"INFRUCTUEUX")+COUNTIFS($A$2:$A597,$A597,$E$2:$E597,"ANNULE")),""))</f>
        <v/>
      </c>
    </row>
    <row r="598">
      <c r="A598">
        <f>IF(ISBLANK('ENGAGEMENTS 2026'!B598),"",IF('ENGAGEMENTS 2026'!B598="DTSI","DCT",'ENGAGEMENTS 2026'!B598))</f>
        <v/>
      </c>
      <c r="B598">
        <f>IF(ISBLANK('ENGAGEMENTS 2026'!B598),"",'ENGAGEMENTS 2026'!C598)</f>
        <v/>
      </c>
      <c r="C598">
        <f>IF(ISBLANK('ENGAGEMENTS 2026'!B598),"",'ENGAGEMENTS 2026'!D598)</f>
        <v/>
      </c>
      <c r="D598">
        <f>IF(ISBLANK('ENGAGEMENTS 2026'!B598),"",'ENGAGEMENTS 2026'!F598)</f>
        <v/>
      </c>
      <c r="E598">
        <f>IF(ISBLANK('ENGAGEMENTS 2026'!B598),"",'ENGAGEMENTS 2026'!H598)</f>
        <v/>
      </c>
      <c r="F598">
        <f>IF(ISBLANK('ENGAGEMENTS 2026'!B598),"",'ENGAGEMENTS 2026'!I598)</f>
        <v/>
      </c>
      <c r="G598">
        <f>IF(ISBLANK('ENGAGEMENTS 2026'!B598),"",'ENGAGEMENTS 2026'!L598)</f>
        <v/>
      </c>
      <c r="H598">
        <f>IF(ISBLANK('ENGAGEMENTS 2026'!B598),"",'ENGAGEMENTS 2026'!AE598)</f>
        <v/>
      </c>
      <c r="I598">
        <f>IF(ISBLANK('ENGAGEMENTS 2026'!B598),"",'ENGAGEMENTS 2026'!G598)</f>
        <v/>
      </c>
      <c r="J598" s="275">
        <f>IF(ISBLANK('ENGAGEMENTS 2026'!B598),"",IF(AND(OR($E598="INFRUCTUEUX",$E598="ANNULE"),$C598="AOO-M"),'ENGAGEMENTS 2026'!O598,IF($H598="EN COURS DE PREENGAGEMENT",'ENGAGEMENTS 2026'!N598,IF($H598="PREENGAGE",IF($E598="ATTRIBUE",'ENGAGEMENTS 2026'!AD598,'ENGAGEMENTS 2026'!N598),'ENGAGEMENTS 2026'!AD598))))</f>
        <v/>
      </c>
      <c r="K598" s="604">
        <f>IF(ISBLANK('ENGAGEMENTS 2026'!V598),"",'ENGAGEMENTS 2026'!V598)</f>
        <v/>
      </c>
      <c r="L598" s="276">
        <f>IF($K598="","",TODAY()-$K598)</f>
        <v/>
      </c>
      <c r="M598">
        <f>IF($A598="","",IF($H598="ENGAGE","Engagé",IF(AND($H598="NON ENGAGE",OR($I598="INFRUCTUEUX",$I598="ANNULE")),"Clôturé sans suite","En cours")))</f>
        <v/>
      </c>
      <c r="N598">
        <f>IF(ISBLANK('ENGAGEMENTS 2026'!B598),"",'ENGAGEMENTS 2026'!K598)</f>
        <v/>
      </c>
      <c r="O598">
        <f>IF(ISBLANK('ENGAGEMENTS 2026'!B598),"",'ENGAGEMENTS 2026'!L598)</f>
        <v/>
      </c>
      <c r="P598">
        <f>IF(ISBLANK('ENGAGEMENTS 2026'!B598),"",'ENGAGEMENTS 2026'!J598)</f>
        <v/>
      </c>
      <c r="Q598">
        <f>IF($A598="","",IF(OR($E598="INFRUCTUEUX",$E598="ANNULE"),$A598&amp;"|"&amp;(COUNTIFS($A$2:$A598,$A598,$E$2:$E598,"INFRUCTUEUX")+COUNTIFS($A$2:$A598,$A598,$E$2:$E598,"ANNULE")),""))</f>
        <v/>
      </c>
    </row>
    <row r="599">
      <c r="A599">
        <f>IF(ISBLANK('ENGAGEMENTS 2026'!B599),"",IF('ENGAGEMENTS 2026'!B599="DTSI","DCT",'ENGAGEMENTS 2026'!B599))</f>
        <v/>
      </c>
      <c r="B599">
        <f>IF(ISBLANK('ENGAGEMENTS 2026'!B599),"",'ENGAGEMENTS 2026'!C599)</f>
        <v/>
      </c>
      <c r="C599">
        <f>IF(ISBLANK('ENGAGEMENTS 2026'!B599),"",'ENGAGEMENTS 2026'!D599)</f>
        <v/>
      </c>
      <c r="D599">
        <f>IF(ISBLANK('ENGAGEMENTS 2026'!B599),"",'ENGAGEMENTS 2026'!F599)</f>
        <v/>
      </c>
      <c r="E599">
        <f>IF(ISBLANK('ENGAGEMENTS 2026'!B599),"",'ENGAGEMENTS 2026'!H599)</f>
        <v/>
      </c>
      <c r="F599">
        <f>IF(ISBLANK('ENGAGEMENTS 2026'!B599),"",'ENGAGEMENTS 2026'!I599)</f>
        <v/>
      </c>
      <c r="G599">
        <f>IF(ISBLANK('ENGAGEMENTS 2026'!B599),"",'ENGAGEMENTS 2026'!L599)</f>
        <v/>
      </c>
      <c r="H599">
        <f>IF(ISBLANK('ENGAGEMENTS 2026'!B599),"",'ENGAGEMENTS 2026'!AE599)</f>
        <v/>
      </c>
      <c r="I599">
        <f>IF(ISBLANK('ENGAGEMENTS 2026'!B599),"",'ENGAGEMENTS 2026'!G599)</f>
        <v/>
      </c>
      <c r="J599" s="275">
        <f>IF(ISBLANK('ENGAGEMENTS 2026'!B599),"",IF(AND(OR($E599="INFRUCTUEUX",$E599="ANNULE"),$C599="AOO-M"),'ENGAGEMENTS 2026'!O599,IF($H599="EN COURS DE PREENGAGEMENT",'ENGAGEMENTS 2026'!N599,IF($H599="PREENGAGE",IF($E599="ATTRIBUE",'ENGAGEMENTS 2026'!AD599,'ENGAGEMENTS 2026'!N599),'ENGAGEMENTS 2026'!AD599))))</f>
        <v/>
      </c>
      <c r="K599" s="604">
        <f>IF(ISBLANK('ENGAGEMENTS 2026'!V599),"",'ENGAGEMENTS 2026'!V599)</f>
        <v/>
      </c>
      <c r="L599" s="276">
        <f>IF($K599="","",TODAY()-$K599)</f>
        <v/>
      </c>
      <c r="M599">
        <f>IF($A599="","",IF($H599="ENGAGE","Engagé",IF(AND($H599="NON ENGAGE",OR($I599="INFRUCTUEUX",$I599="ANNULE")),"Clôturé sans suite","En cours")))</f>
        <v/>
      </c>
      <c r="N599">
        <f>IF(ISBLANK('ENGAGEMENTS 2026'!B599),"",'ENGAGEMENTS 2026'!K599)</f>
        <v/>
      </c>
      <c r="O599">
        <f>IF(ISBLANK('ENGAGEMENTS 2026'!B599),"",'ENGAGEMENTS 2026'!L599)</f>
        <v/>
      </c>
      <c r="P599">
        <f>IF(ISBLANK('ENGAGEMENTS 2026'!B599),"",'ENGAGEMENTS 2026'!J599)</f>
        <v/>
      </c>
      <c r="Q599">
        <f>IF($A599="","",IF(OR($E599="INFRUCTUEUX",$E599="ANNULE"),$A599&amp;"|"&amp;(COUNTIFS($A$2:$A599,$A599,$E$2:$E599,"INFRUCTUEUX")+COUNTIFS($A$2:$A599,$A599,$E$2:$E599,"ANNULE")),""))</f>
        <v/>
      </c>
    </row>
    <row r="600">
      <c r="A600">
        <f>IF(ISBLANK('ENGAGEMENTS 2026'!B600),"",IF('ENGAGEMENTS 2026'!B600="DTSI","DCT",'ENGAGEMENTS 2026'!B600))</f>
        <v/>
      </c>
      <c r="B600">
        <f>IF(ISBLANK('ENGAGEMENTS 2026'!B600),"",'ENGAGEMENTS 2026'!C600)</f>
        <v/>
      </c>
      <c r="C600">
        <f>IF(ISBLANK('ENGAGEMENTS 2026'!B600),"",'ENGAGEMENTS 2026'!D600)</f>
        <v/>
      </c>
      <c r="D600">
        <f>IF(ISBLANK('ENGAGEMENTS 2026'!B600),"",'ENGAGEMENTS 2026'!F600)</f>
        <v/>
      </c>
      <c r="E600">
        <f>IF(ISBLANK('ENGAGEMENTS 2026'!B600),"",'ENGAGEMENTS 2026'!H600)</f>
        <v/>
      </c>
      <c r="F600">
        <f>IF(ISBLANK('ENGAGEMENTS 2026'!B600),"",'ENGAGEMENTS 2026'!I600)</f>
        <v/>
      </c>
      <c r="G600">
        <f>IF(ISBLANK('ENGAGEMENTS 2026'!B600),"",'ENGAGEMENTS 2026'!L600)</f>
        <v/>
      </c>
      <c r="H600">
        <f>IF(ISBLANK('ENGAGEMENTS 2026'!B600),"",'ENGAGEMENTS 2026'!AE600)</f>
        <v/>
      </c>
      <c r="I600">
        <f>IF(ISBLANK('ENGAGEMENTS 2026'!B600),"",'ENGAGEMENTS 2026'!G600)</f>
        <v/>
      </c>
      <c r="J600" s="275">
        <f>IF(ISBLANK('ENGAGEMENTS 2026'!B600),"",IF(AND(OR($E600="INFRUCTUEUX",$E600="ANNULE"),$C600="AOO-M"),'ENGAGEMENTS 2026'!O600,IF($H600="EN COURS DE PREENGAGEMENT",'ENGAGEMENTS 2026'!N600,IF($H600="PREENGAGE",IF($E600="ATTRIBUE",'ENGAGEMENTS 2026'!AD600,'ENGAGEMENTS 2026'!N600),'ENGAGEMENTS 2026'!AD600))))</f>
        <v/>
      </c>
      <c r="K600" s="604">
        <f>IF(ISBLANK('ENGAGEMENTS 2026'!V600),"",'ENGAGEMENTS 2026'!V600)</f>
        <v/>
      </c>
      <c r="L600" s="276">
        <f>IF($K600="","",TODAY()-$K600)</f>
        <v/>
      </c>
      <c r="M600">
        <f>IF($A600="","",IF($H600="ENGAGE","Engagé",IF(AND($H600="NON ENGAGE",OR($I600="INFRUCTUEUX",$I600="ANNULE")),"Clôturé sans suite","En cours")))</f>
        <v/>
      </c>
      <c r="N600">
        <f>IF(ISBLANK('ENGAGEMENTS 2026'!B600),"",'ENGAGEMENTS 2026'!K600)</f>
        <v/>
      </c>
      <c r="O600">
        <f>IF(ISBLANK('ENGAGEMENTS 2026'!B600),"",'ENGAGEMENTS 2026'!L600)</f>
        <v/>
      </c>
      <c r="P600">
        <f>IF(ISBLANK('ENGAGEMENTS 2026'!B600),"",'ENGAGEMENTS 2026'!J600)</f>
        <v/>
      </c>
      <c r="Q600">
        <f>IF($A600="","",IF(OR($E600="INFRUCTUEUX",$E600="ANNULE"),$A600&amp;"|"&amp;(COUNTIFS($A$2:$A600,$A600,$E$2:$E600,"INFRUCTUEUX")+COUNTIFS($A$2:$A600,$A600,$E$2:$E600,"ANNULE")),""))</f>
        <v/>
      </c>
    </row>
    <row r="601">
      <c r="A601">
        <f>IF(ISBLANK('ENGAGEMENTS 2026'!B601),"",IF('ENGAGEMENTS 2026'!B601="DTSI","DCT",'ENGAGEMENTS 2026'!B601))</f>
        <v/>
      </c>
      <c r="B601">
        <f>IF(ISBLANK('ENGAGEMENTS 2026'!B601),"",'ENGAGEMENTS 2026'!C601)</f>
        <v/>
      </c>
      <c r="C601">
        <f>IF(ISBLANK('ENGAGEMENTS 2026'!B601),"",'ENGAGEMENTS 2026'!D601)</f>
        <v/>
      </c>
      <c r="D601">
        <f>IF(ISBLANK('ENGAGEMENTS 2026'!B601),"",'ENGAGEMENTS 2026'!F601)</f>
        <v/>
      </c>
      <c r="E601">
        <f>IF(ISBLANK('ENGAGEMENTS 2026'!B601),"",'ENGAGEMENTS 2026'!H601)</f>
        <v/>
      </c>
      <c r="F601">
        <f>IF(ISBLANK('ENGAGEMENTS 2026'!B601),"",'ENGAGEMENTS 2026'!I601)</f>
        <v/>
      </c>
      <c r="G601">
        <f>IF(ISBLANK('ENGAGEMENTS 2026'!B601),"",'ENGAGEMENTS 2026'!L601)</f>
        <v/>
      </c>
      <c r="H601">
        <f>IF(ISBLANK('ENGAGEMENTS 2026'!B601),"",'ENGAGEMENTS 2026'!AE601)</f>
        <v/>
      </c>
      <c r="I601">
        <f>IF(ISBLANK('ENGAGEMENTS 2026'!B601),"",'ENGAGEMENTS 2026'!G601)</f>
        <v/>
      </c>
      <c r="J601" s="275">
        <f>IF(ISBLANK('ENGAGEMENTS 2026'!B601),"",IF(AND(OR($E601="INFRUCTUEUX",$E601="ANNULE"),$C601="AOO-M"),'ENGAGEMENTS 2026'!O601,IF($H601="EN COURS DE PREENGAGEMENT",'ENGAGEMENTS 2026'!N601,IF($H601="PREENGAGE",IF($E601="ATTRIBUE",'ENGAGEMENTS 2026'!AD601,'ENGAGEMENTS 2026'!N601),'ENGAGEMENTS 2026'!AD601))))</f>
        <v/>
      </c>
      <c r="K601" s="604">
        <f>IF(ISBLANK('ENGAGEMENTS 2026'!V601),"",'ENGAGEMENTS 2026'!V601)</f>
        <v/>
      </c>
      <c r="L601" s="276">
        <f>IF($K601="","",TODAY()-$K601)</f>
        <v/>
      </c>
      <c r="M601">
        <f>IF($A601="","",IF($H601="ENGAGE","Engagé",IF(AND($H601="NON ENGAGE",OR($I601="INFRUCTUEUX",$I601="ANNULE")),"Clôturé sans suite","En cours")))</f>
        <v/>
      </c>
      <c r="N601">
        <f>IF(ISBLANK('ENGAGEMENTS 2026'!B601),"",'ENGAGEMENTS 2026'!K601)</f>
        <v/>
      </c>
      <c r="O601">
        <f>IF(ISBLANK('ENGAGEMENTS 2026'!B601),"",'ENGAGEMENTS 2026'!L601)</f>
        <v/>
      </c>
      <c r="P601">
        <f>IF(ISBLANK('ENGAGEMENTS 2026'!B601),"",'ENGAGEMENTS 2026'!J601)</f>
        <v/>
      </c>
      <c r="Q601">
        <f>IF($A601="","",IF(OR($E601="INFRUCTUEUX",$E601="ANNULE"),$A601&amp;"|"&amp;(COUNTIFS($A$2:$A601,$A601,$E$2:$E601,"INFRUCTUEUX")+COUNTIFS($A$2:$A601,$A601,$E$2:$E601,"ANNULE")),""))</f>
        <v/>
      </c>
    </row>
    <row r="602">
      <c r="A602">
        <f>IF(ISBLANK('ENGAGEMENTS 2026'!B602),"",IF('ENGAGEMENTS 2026'!B602="DTSI","DCT",'ENGAGEMENTS 2026'!B602))</f>
        <v/>
      </c>
      <c r="B602">
        <f>IF(ISBLANK('ENGAGEMENTS 2026'!B602),"",'ENGAGEMENTS 2026'!C602)</f>
        <v/>
      </c>
      <c r="C602">
        <f>IF(ISBLANK('ENGAGEMENTS 2026'!B602),"",'ENGAGEMENTS 2026'!D602)</f>
        <v/>
      </c>
      <c r="D602">
        <f>IF(ISBLANK('ENGAGEMENTS 2026'!B602),"",'ENGAGEMENTS 2026'!F602)</f>
        <v/>
      </c>
      <c r="E602">
        <f>IF(ISBLANK('ENGAGEMENTS 2026'!B602),"",'ENGAGEMENTS 2026'!H602)</f>
        <v/>
      </c>
      <c r="F602">
        <f>IF(ISBLANK('ENGAGEMENTS 2026'!B602),"",'ENGAGEMENTS 2026'!I602)</f>
        <v/>
      </c>
      <c r="G602">
        <f>IF(ISBLANK('ENGAGEMENTS 2026'!B602),"",'ENGAGEMENTS 2026'!L602)</f>
        <v/>
      </c>
      <c r="H602">
        <f>IF(ISBLANK('ENGAGEMENTS 2026'!B602),"",'ENGAGEMENTS 2026'!AE602)</f>
        <v/>
      </c>
      <c r="I602">
        <f>IF(ISBLANK('ENGAGEMENTS 2026'!B602),"",'ENGAGEMENTS 2026'!G602)</f>
        <v/>
      </c>
      <c r="J602" s="275">
        <f>IF(ISBLANK('ENGAGEMENTS 2026'!B602),"",IF(AND(OR($E602="INFRUCTUEUX",$E602="ANNULE"),$C602="AOO-M"),'ENGAGEMENTS 2026'!O602,IF($H602="EN COURS DE PREENGAGEMENT",'ENGAGEMENTS 2026'!N602,IF($H602="PREENGAGE",IF($E602="ATTRIBUE",'ENGAGEMENTS 2026'!AD602,'ENGAGEMENTS 2026'!N602),'ENGAGEMENTS 2026'!AD602))))</f>
        <v/>
      </c>
      <c r="K602" s="604">
        <f>IF(ISBLANK('ENGAGEMENTS 2026'!V602),"",'ENGAGEMENTS 2026'!V602)</f>
        <v/>
      </c>
      <c r="L602" s="276">
        <f>IF($K602="","",TODAY()-$K602)</f>
        <v/>
      </c>
      <c r="M602">
        <f>IF($A602="","",IF($H602="ENGAGE","Engagé",IF(AND($H602="NON ENGAGE",OR($I602="INFRUCTUEUX",$I602="ANNULE")),"Clôturé sans suite","En cours")))</f>
        <v/>
      </c>
      <c r="N602">
        <f>IF(ISBLANK('ENGAGEMENTS 2026'!B602),"",'ENGAGEMENTS 2026'!K602)</f>
        <v/>
      </c>
      <c r="O602">
        <f>IF(ISBLANK('ENGAGEMENTS 2026'!B602),"",'ENGAGEMENTS 2026'!L602)</f>
        <v/>
      </c>
      <c r="P602">
        <f>IF(ISBLANK('ENGAGEMENTS 2026'!B602),"",'ENGAGEMENTS 2026'!J602)</f>
        <v/>
      </c>
      <c r="Q602">
        <f>IF($A602="","",IF(OR($E602="INFRUCTUEUX",$E602="ANNULE"),$A602&amp;"|"&amp;(COUNTIFS($A$2:$A602,$A602,$E$2:$E602,"INFRUCTUEUX")+COUNTIFS($A$2:$A602,$A602,$E$2:$E602,"ANNULE")),""))</f>
        <v/>
      </c>
    </row>
    <row r="603">
      <c r="A603">
        <f>IF(ISBLANK('ENGAGEMENTS 2026'!B603),"",IF('ENGAGEMENTS 2026'!B603="DTSI","DCT",'ENGAGEMENTS 2026'!B603))</f>
        <v/>
      </c>
      <c r="B603">
        <f>IF(ISBLANK('ENGAGEMENTS 2026'!B603),"",'ENGAGEMENTS 2026'!C603)</f>
        <v/>
      </c>
      <c r="C603">
        <f>IF(ISBLANK('ENGAGEMENTS 2026'!B603),"",'ENGAGEMENTS 2026'!D603)</f>
        <v/>
      </c>
      <c r="D603">
        <f>IF(ISBLANK('ENGAGEMENTS 2026'!B603),"",'ENGAGEMENTS 2026'!F603)</f>
        <v/>
      </c>
      <c r="E603">
        <f>IF(ISBLANK('ENGAGEMENTS 2026'!B603),"",'ENGAGEMENTS 2026'!H603)</f>
        <v/>
      </c>
      <c r="F603">
        <f>IF(ISBLANK('ENGAGEMENTS 2026'!B603),"",'ENGAGEMENTS 2026'!I603)</f>
        <v/>
      </c>
      <c r="G603">
        <f>IF(ISBLANK('ENGAGEMENTS 2026'!B603),"",'ENGAGEMENTS 2026'!L603)</f>
        <v/>
      </c>
      <c r="H603">
        <f>IF(ISBLANK('ENGAGEMENTS 2026'!B603),"",'ENGAGEMENTS 2026'!AE603)</f>
        <v/>
      </c>
      <c r="I603">
        <f>IF(ISBLANK('ENGAGEMENTS 2026'!B603),"",'ENGAGEMENTS 2026'!G603)</f>
        <v/>
      </c>
      <c r="J603" s="275">
        <f>IF(ISBLANK('ENGAGEMENTS 2026'!B603),"",IF(AND(OR($E603="INFRUCTUEUX",$E603="ANNULE"),$C603="AOO-M"),'ENGAGEMENTS 2026'!O603,IF($H603="EN COURS DE PREENGAGEMENT",'ENGAGEMENTS 2026'!N603,IF($H603="PREENGAGE",IF($E603="ATTRIBUE",'ENGAGEMENTS 2026'!AD603,'ENGAGEMENTS 2026'!N603),'ENGAGEMENTS 2026'!AD603))))</f>
        <v/>
      </c>
      <c r="K603" s="604">
        <f>IF(ISBLANK('ENGAGEMENTS 2026'!V603),"",'ENGAGEMENTS 2026'!V603)</f>
        <v/>
      </c>
      <c r="L603" s="276">
        <f>IF($K603="","",TODAY()-$K603)</f>
        <v/>
      </c>
      <c r="M603">
        <f>IF($A603="","",IF($H603="ENGAGE","Engagé",IF(AND($H603="NON ENGAGE",OR($I603="INFRUCTUEUX",$I603="ANNULE")),"Clôturé sans suite","En cours")))</f>
        <v/>
      </c>
      <c r="N603">
        <f>IF(ISBLANK('ENGAGEMENTS 2026'!B603),"",'ENGAGEMENTS 2026'!K603)</f>
        <v/>
      </c>
      <c r="O603">
        <f>IF(ISBLANK('ENGAGEMENTS 2026'!B603),"",'ENGAGEMENTS 2026'!L603)</f>
        <v/>
      </c>
      <c r="P603">
        <f>IF(ISBLANK('ENGAGEMENTS 2026'!B603),"",'ENGAGEMENTS 2026'!J603)</f>
        <v/>
      </c>
      <c r="Q603">
        <f>IF($A603="","",IF(OR($E603="INFRUCTUEUX",$E603="ANNULE"),$A603&amp;"|"&amp;(COUNTIFS($A$2:$A603,$A603,$E$2:$E603,"INFRUCTUEUX")+COUNTIFS($A$2:$A603,$A603,$E$2:$E603,"ANNULE")),""))</f>
        <v/>
      </c>
    </row>
    <row r="604">
      <c r="A604">
        <f>IF(ISBLANK('ENGAGEMENTS 2026'!B604),"",IF('ENGAGEMENTS 2026'!B604="DTSI","DCT",'ENGAGEMENTS 2026'!B604))</f>
        <v/>
      </c>
      <c r="B604">
        <f>IF(ISBLANK('ENGAGEMENTS 2026'!B604),"",'ENGAGEMENTS 2026'!C604)</f>
        <v/>
      </c>
      <c r="C604">
        <f>IF(ISBLANK('ENGAGEMENTS 2026'!B604),"",'ENGAGEMENTS 2026'!D604)</f>
        <v/>
      </c>
      <c r="D604">
        <f>IF(ISBLANK('ENGAGEMENTS 2026'!B604),"",'ENGAGEMENTS 2026'!F604)</f>
        <v/>
      </c>
      <c r="E604">
        <f>IF(ISBLANK('ENGAGEMENTS 2026'!B604),"",'ENGAGEMENTS 2026'!H604)</f>
        <v/>
      </c>
      <c r="F604">
        <f>IF(ISBLANK('ENGAGEMENTS 2026'!B604),"",'ENGAGEMENTS 2026'!I604)</f>
        <v/>
      </c>
      <c r="G604">
        <f>IF(ISBLANK('ENGAGEMENTS 2026'!B604),"",'ENGAGEMENTS 2026'!L604)</f>
        <v/>
      </c>
      <c r="H604">
        <f>IF(ISBLANK('ENGAGEMENTS 2026'!B604),"",'ENGAGEMENTS 2026'!AE604)</f>
        <v/>
      </c>
      <c r="I604">
        <f>IF(ISBLANK('ENGAGEMENTS 2026'!B604),"",'ENGAGEMENTS 2026'!G604)</f>
        <v/>
      </c>
      <c r="J604" s="275">
        <f>IF(ISBLANK('ENGAGEMENTS 2026'!B604),"",IF(AND(OR($E604="INFRUCTUEUX",$E604="ANNULE"),$C604="AOO-M"),'ENGAGEMENTS 2026'!O604,IF($H604="EN COURS DE PREENGAGEMENT",'ENGAGEMENTS 2026'!N604,IF($H604="PREENGAGE",IF($E604="ATTRIBUE",'ENGAGEMENTS 2026'!AD604,'ENGAGEMENTS 2026'!N604),'ENGAGEMENTS 2026'!AD604))))</f>
        <v/>
      </c>
      <c r="K604" s="604">
        <f>IF(ISBLANK('ENGAGEMENTS 2026'!V604),"",'ENGAGEMENTS 2026'!V604)</f>
        <v/>
      </c>
      <c r="L604" s="276">
        <f>IF($K604="","",TODAY()-$K604)</f>
        <v/>
      </c>
      <c r="M604">
        <f>IF($A604="","",IF($H604="ENGAGE","Engagé",IF(AND($H604="NON ENGAGE",OR($I604="INFRUCTUEUX",$I604="ANNULE")),"Clôturé sans suite","En cours")))</f>
        <v/>
      </c>
      <c r="N604">
        <f>IF(ISBLANK('ENGAGEMENTS 2026'!B604),"",'ENGAGEMENTS 2026'!K604)</f>
        <v/>
      </c>
      <c r="O604">
        <f>IF(ISBLANK('ENGAGEMENTS 2026'!B604),"",'ENGAGEMENTS 2026'!L604)</f>
        <v/>
      </c>
      <c r="P604">
        <f>IF(ISBLANK('ENGAGEMENTS 2026'!B604),"",'ENGAGEMENTS 2026'!J604)</f>
        <v/>
      </c>
      <c r="Q604">
        <f>IF($A604="","",IF(OR($E604="INFRUCTUEUX",$E604="ANNULE"),$A604&amp;"|"&amp;(COUNTIFS($A$2:$A604,$A604,$E$2:$E604,"INFRUCTUEUX")+COUNTIFS($A$2:$A604,$A604,$E$2:$E604,"ANNULE")),""))</f>
        <v/>
      </c>
    </row>
    <row r="605">
      <c r="A605">
        <f>IF(ISBLANK('ENGAGEMENTS 2026'!B605),"",IF('ENGAGEMENTS 2026'!B605="DTSI","DCT",'ENGAGEMENTS 2026'!B605))</f>
        <v/>
      </c>
      <c r="B605">
        <f>IF(ISBLANK('ENGAGEMENTS 2026'!B605),"",'ENGAGEMENTS 2026'!C605)</f>
        <v/>
      </c>
      <c r="C605">
        <f>IF(ISBLANK('ENGAGEMENTS 2026'!B605),"",'ENGAGEMENTS 2026'!D605)</f>
        <v/>
      </c>
      <c r="D605">
        <f>IF(ISBLANK('ENGAGEMENTS 2026'!B605),"",'ENGAGEMENTS 2026'!F605)</f>
        <v/>
      </c>
      <c r="E605">
        <f>IF(ISBLANK('ENGAGEMENTS 2026'!B605),"",'ENGAGEMENTS 2026'!H605)</f>
        <v/>
      </c>
      <c r="F605">
        <f>IF(ISBLANK('ENGAGEMENTS 2026'!B605),"",'ENGAGEMENTS 2026'!I605)</f>
        <v/>
      </c>
      <c r="G605">
        <f>IF(ISBLANK('ENGAGEMENTS 2026'!B605),"",'ENGAGEMENTS 2026'!L605)</f>
        <v/>
      </c>
      <c r="H605">
        <f>IF(ISBLANK('ENGAGEMENTS 2026'!B605),"",'ENGAGEMENTS 2026'!AE605)</f>
        <v/>
      </c>
      <c r="I605">
        <f>IF(ISBLANK('ENGAGEMENTS 2026'!B605),"",'ENGAGEMENTS 2026'!G605)</f>
        <v/>
      </c>
      <c r="J605" s="275">
        <f>IF(ISBLANK('ENGAGEMENTS 2026'!B605),"",IF(AND(OR($E605="INFRUCTUEUX",$E605="ANNULE"),$C605="AOO-M"),'ENGAGEMENTS 2026'!O605,IF($H605="EN COURS DE PREENGAGEMENT",'ENGAGEMENTS 2026'!N605,IF($H605="PREENGAGE",IF($E605="ATTRIBUE",'ENGAGEMENTS 2026'!AD605,'ENGAGEMENTS 2026'!N605),'ENGAGEMENTS 2026'!AD605))))</f>
        <v/>
      </c>
      <c r="K605" s="604">
        <f>IF(ISBLANK('ENGAGEMENTS 2026'!V605),"",'ENGAGEMENTS 2026'!V605)</f>
        <v/>
      </c>
      <c r="L605" s="276">
        <f>IF($K605="","",TODAY()-$K605)</f>
        <v/>
      </c>
      <c r="M605">
        <f>IF($A605="","",IF($H605="ENGAGE","Engagé",IF(AND($H605="NON ENGAGE",OR($I605="INFRUCTUEUX",$I605="ANNULE")),"Clôturé sans suite","En cours")))</f>
        <v/>
      </c>
      <c r="N605">
        <f>IF(ISBLANK('ENGAGEMENTS 2026'!B605),"",'ENGAGEMENTS 2026'!K605)</f>
        <v/>
      </c>
      <c r="O605">
        <f>IF(ISBLANK('ENGAGEMENTS 2026'!B605),"",'ENGAGEMENTS 2026'!L605)</f>
        <v/>
      </c>
      <c r="P605">
        <f>IF(ISBLANK('ENGAGEMENTS 2026'!B605),"",'ENGAGEMENTS 2026'!J605)</f>
        <v/>
      </c>
      <c r="Q605">
        <f>IF($A605="","",IF(OR($E605="INFRUCTUEUX",$E605="ANNULE"),$A605&amp;"|"&amp;(COUNTIFS($A$2:$A605,$A605,$E$2:$E605,"INFRUCTUEUX")+COUNTIFS($A$2:$A605,$A605,$E$2:$E605,"ANNULE")),""))</f>
        <v/>
      </c>
    </row>
    <row r="606">
      <c r="A606">
        <f>IF(ISBLANK('ENGAGEMENTS 2026'!B606),"",IF('ENGAGEMENTS 2026'!B606="DTSI","DCT",'ENGAGEMENTS 2026'!B606))</f>
        <v/>
      </c>
      <c r="B606">
        <f>IF(ISBLANK('ENGAGEMENTS 2026'!B606),"",'ENGAGEMENTS 2026'!C606)</f>
        <v/>
      </c>
      <c r="C606">
        <f>IF(ISBLANK('ENGAGEMENTS 2026'!B606),"",'ENGAGEMENTS 2026'!D606)</f>
        <v/>
      </c>
      <c r="D606">
        <f>IF(ISBLANK('ENGAGEMENTS 2026'!B606),"",'ENGAGEMENTS 2026'!F606)</f>
        <v/>
      </c>
      <c r="E606">
        <f>IF(ISBLANK('ENGAGEMENTS 2026'!B606),"",'ENGAGEMENTS 2026'!H606)</f>
        <v/>
      </c>
      <c r="F606">
        <f>IF(ISBLANK('ENGAGEMENTS 2026'!B606),"",'ENGAGEMENTS 2026'!I606)</f>
        <v/>
      </c>
      <c r="G606">
        <f>IF(ISBLANK('ENGAGEMENTS 2026'!B606),"",'ENGAGEMENTS 2026'!L606)</f>
        <v/>
      </c>
      <c r="H606">
        <f>IF(ISBLANK('ENGAGEMENTS 2026'!B606),"",'ENGAGEMENTS 2026'!AE606)</f>
        <v/>
      </c>
      <c r="I606">
        <f>IF(ISBLANK('ENGAGEMENTS 2026'!B606),"",'ENGAGEMENTS 2026'!G606)</f>
        <v/>
      </c>
      <c r="J606" s="275">
        <f>IF(ISBLANK('ENGAGEMENTS 2026'!B606),"",IF(AND(OR($E606="INFRUCTUEUX",$E606="ANNULE"),$C606="AOO-M"),'ENGAGEMENTS 2026'!O606,IF($H606="EN COURS DE PREENGAGEMENT",'ENGAGEMENTS 2026'!N606,IF($H606="PREENGAGE",IF($E606="ATTRIBUE",'ENGAGEMENTS 2026'!AD606,'ENGAGEMENTS 2026'!N606),'ENGAGEMENTS 2026'!AD606))))</f>
        <v/>
      </c>
      <c r="K606" s="604">
        <f>IF(ISBLANK('ENGAGEMENTS 2026'!V606),"",'ENGAGEMENTS 2026'!V606)</f>
        <v/>
      </c>
      <c r="L606" s="276">
        <f>IF($K606="","",TODAY()-$K606)</f>
        <v/>
      </c>
      <c r="M606">
        <f>IF($A606="","",IF($H606="ENGAGE","Engagé",IF(AND($H606="NON ENGAGE",OR($I606="INFRUCTUEUX",$I606="ANNULE")),"Clôturé sans suite","En cours")))</f>
        <v/>
      </c>
      <c r="N606">
        <f>IF(ISBLANK('ENGAGEMENTS 2026'!B606),"",'ENGAGEMENTS 2026'!K606)</f>
        <v/>
      </c>
      <c r="O606">
        <f>IF(ISBLANK('ENGAGEMENTS 2026'!B606),"",'ENGAGEMENTS 2026'!L606)</f>
        <v/>
      </c>
      <c r="P606">
        <f>IF(ISBLANK('ENGAGEMENTS 2026'!B606),"",'ENGAGEMENTS 2026'!J606)</f>
        <v/>
      </c>
      <c r="Q606">
        <f>IF($A606="","",IF(OR($E606="INFRUCTUEUX",$E606="ANNULE"),$A606&amp;"|"&amp;(COUNTIFS($A$2:$A606,$A606,$E$2:$E606,"INFRUCTUEUX")+COUNTIFS($A$2:$A606,$A606,$E$2:$E606,"ANNULE")),""))</f>
        <v/>
      </c>
    </row>
    <row r="607">
      <c r="A607">
        <f>IF(ISBLANK('ENGAGEMENTS 2026'!B607),"",IF('ENGAGEMENTS 2026'!B607="DTSI","DCT",'ENGAGEMENTS 2026'!B607))</f>
        <v/>
      </c>
      <c r="B607">
        <f>IF(ISBLANK('ENGAGEMENTS 2026'!B607),"",'ENGAGEMENTS 2026'!C607)</f>
        <v/>
      </c>
      <c r="C607">
        <f>IF(ISBLANK('ENGAGEMENTS 2026'!B607),"",'ENGAGEMENTS 2026'!D607)</f>
        <v/>
      </c>
      <c r="D607">
        <f>IF(ISBLANK('ENGAGEMENTS 2026'!B607),"",'ENGAGEMENTS 2026'!F607)</f>
        <v/>
      </c>
      <c r="E607">
        <f>IF(ISBLANK('ENGAGEMENTS 2026'!B607),"",'ENGAGEMENTS 2026'!H607)</f>
        <v/>
      </c>
      <c r="F607">
        <f>IF(ISBLANK('ENGAGEMENTS 2026'!B607),"",'ENGAGEMENTS 2026'!I607)</f>
        <v/>
      </c>
      <c r="G607">
        <f>IF(ISBLANK('ENGAGEMENTS 2026'!B607),"",'ENGAGEMENTS 2026'!L607)</f>
        <v/>
      </c>
      <c r="H607">
        <f>IF(ISBLANK('ENGAGEMENTS 2026'!B607),"",'ENGAGEMENTS 2026'!AE607)</f>
        <v/>
      </c>
      <c r="I607">
        <f>IF(ISBLANK('ENGAGEMENTS 2026'!B607),"",'ENGAGEMENTS 2026'!G607)</f>
        <v/>
      </c>
      <c r="J607" s="275">
        <f>IF(ISBLANK('ENGAGEMENTS 2026'!B607),"",IF(AND(OR($E607="INFRUCTUEUX",$E607="ANNULE"),$C607="AOO-M"),'ENGAGEMENTS 2026'!O607,IF($H607="EN COURS DE PREENGAGEMENT",'ENGAGEMENTS 2026'!N607,IF($H607="PREENGAGE",IF($E607="ATTRIBUE",'ENGAGEMENTS 2026'!AD607,'ENGAGEMENTS 2026'!N607),'ENGAGEMENTS 2026'!AD607))))</f>
        <v/>
      </c>
      <c r="K607" s="604">
        <f>IF(ISBLANK('ENGAGEMENTS 2026'!V607),"",'ENGAGEMENTS 2026'!V607)</f>
        <v/>
      </c>
      <c r="L607" s="276">
        <f>IF($K607="","",TODAY()-$K607)</f>
        <v/>
      </c>
      <c r="M607">
        <f>IF($A607="","",IF($H607="ENGAGE","Engagé",IF(AND($H607="NON ENGAGE",OR($I607="INFRUCTUEUX",$I607="ANNULE")),"Clôturé sans suite","En cours")))</f>
        <v/>
      </c>
      <c r="N607">
        <f>IF(ISBLANK('ENGAGEMENTS 2026'!B607),"",'ENGAGEMENTS 2026'!K607)</f>
        <v/>
      </c>
      <c r="O607">
        <f>IF(ISBLANK('ENGAGEMENTS 2026'!B607),"",'ENGAGEMENTS 2026'!L607)</f>
        <v/>
      </c>
      <c r="P607">
        <f>IF(ISBLANK('ENGAGEMENTS 2026'!B607),"",'ENGAGEMENTS 2026'!J607)</f>
        <v/>
      </c>
      <c r="Q607">
        <f>IF($A607="","",IF(OR($E607="INFRUCTUEUX",$E607="ANNULE"),$A607&amp;"|"&amp;(COUNTIFS($A$2:$A607,$A607,$E$2:$E607,"INFRUCTUEUX")+COUNTIFS($A$2:$A607,$A607,$E$2:$E607,"ANNULE")),""))</f>
        <v/>
      </c>
    </row>
    <row r="608">
      <c r="A608">
        <f>IF(ISBLANK('ENGAGEMENTS 2026'!B608),"",IF('ENGAGEMENTS 2026'!B608="DTSI","DCT",'ENGAGEMENTS 2026'!B608))</f>
        <v/>
      </c>
      <c r="B608">
        <f>IF(ISBLANK('ENGAGEMENTS 2026'!B608),"",'ENGAGEMENTS 2026'!C608)</f>
        <v/>
      </c>
      <c r="C608">
        <f>IF(ISBLANK('ENGAGEMENTS 2026'!B608),"",'ENGAGEMENTS 2026'!D608)</f>
        <v/>
      </c>
      <c r="D608">
        <f>IF(ISBLANK('ENGAGEMENTS 2026'!B608),"",'ENGAGEMENTS 2026'!F608)</f>
        <v/>
      </c>
      <c r="E608">
        <f>IF(ISBLANK('ENGAGEMENTS 2026'!B608),"",'ENGAGEMENTS 2026'!H608)</f>
        <v/>
      </c>
      <c r="F608">
        <f>IF(ISBLANK('ENGAGEMENTS 2026'!B608),"",'ENGAGEMENTS 2026'!I608)</f>
        <v/>
      </c>
      <c r="G608">
        <f>IF(ISBLANK('ENGAGEMENTS 2026'!B608),"",'ENGAGEMENTS 2026'!L608)</f>
        <v/>
      </c>
      <c r="H608">
        <f>IF(ISBLANK('ENGAGEMENTS 2026'!B608),"",'ENGAGEMENTS 2026'!AE608)</f>
        <v/>
      </c>
      <c r="I608">
        <f>IF(ISBLANK('ENGAGEMENTS 2026'!B608),"",'ENGAGEMENTS 2026'!G608)</f>
        <v/>
      </c>
      <c r="J608" s="275">
        <f>IF(ISBLANK('ENGAGEMENTS 2026'!B608),"",IF(AND(OR($E608="INFRUCTUEUX",$E608="ANNULE"),$C608="AOO-M"),'ENGAGEMENTS 2026'!O608,IF($H608="EN COURS DE PREENGAGEMENT",'ENGAGEMENTS 2026'!N608,IF($H608="PREENGAGE",IF($E608="ATTRIBUE",'ENGAGEMENTS 2026'!AD608,'ENGAGEMENTS 2026'!N608),'ENGAGEMENTS 2026'!AD608))))</f>
        <v/>
      </c>
      <c r="K608" s="604">
        <f>IF(ISBLANK('ENGAGEMENTS 2026'!V608),"",'ENGAGEMENTS 2026'!V608)</f>
        <v/>
      </c>
      <c r="L608" s="276">
        <f>IF($K608="","",TODAY()-$K608)</f>
        <v/>
      </c>
      <c r="M608">
        <f>IF($A608="","",IF($H608="ENGAGE","Engagé",IF(AND($H608="NON ENGAGE",OR($I608="INFRUCTUEUX",$I608="ANNULE")),"Clôturé sans suite","En cours")))</f>
        <v/>
      </c>
      <c r="N608">
        <f>IF(ISBLANK('ENGAGEMENTS 2026'!B608),"",'ENGAGEMENTS 2026'!K608)</f>
        <v/>
      </c>
      <c r="O608">
        <f>IF(ISBLANK('ENGAGEMENTS 2026'!B608),"",'ENGAGEMENTS 2026'!L608)</f>
        <v/>
      </c>
      <c r="P608">
        <f>IF(ISBLANK('ENGAGEMENTS 2026'!B608),"",'ENGAGEMENTS 2026'!J608)</f>
        <v/>
      </c>
      <c r="Q608">
        <f>IF($A608="","",IF(OR($E608="INFRUCTUEUX",$E608="ANNULE"),$A608&amp;"|"&amp;(COUNTIFS($A$2:$A608,$A608,$E$2:$E608,"INFRUCTUEUX")+COUNTIFS($A$2:$A608,$A608,$E$2:$E608,"ANNULE")),""))</f>
        <v/>
      </c>
    </row>
    <row r="609">
      <c r="A609">
        <f>IF(ISBLANK('ENGAGEMENTS 2026'!B609),"",IF('ENGAGEMENTS 2026'!B609="DTSI","DCT",'ENGAGEMENTS 2026'!B609))</f>
        <v/>
      </c>
      <c r="B609">
        <f>IF(ISBLANK('ENGAGEMENTS 2026'!B609),"",'ENGAGEMENTS 2026'!C609)</f>
        <v/>
      </c>
      <c r="C609">
        <f>IF(ISBLANK('ENGAGEMENTS 2026'!B609),"",'ENGAGEMENTS 2026'!D609)</f>
        <v/>
      </c>
      <c r="D609">
        <f>IF(ISBLANK('ENGAGEMENTS 2026'!B609),"",'ENGAGEMENTS 2026'!F609)</f>
        <v/>
      </c>
      <c r="E609">
        <f>IF(ISBLANK('ENGAGEMENTS 2026'!B609),"",'ENGAGEMENTS 2026'!H609)</f>
        <v/>
      </c>
      <c r="F609">
        <f>IF(ISBLANK('ENGAGEMENTS 2026'!B609),"",'ENGAGEMENTS 2026'!I609)</f>
        <v/>
      </c>
      <c r="G609">
        <f>IF(ISBLANK('ENGAGEMENTS 2026'!B609),"",'ENGAGEMENTS 2026'!L609)</f>
        <v/>
      </c>
      <c r="H609">
        <f>IF(ISBLANK('ENGAGEMENTS 2026'!B609),"",'ENGAGEMENTS 2026'!AE609)</f>
        <v/>
      </c>
      <c r="I609">
        <f>IF(ISBLANK('ENGAGEMENTS 2026'!B609),"",'ENGAGEMENTS 2026'!G609)</f>
        <v/>
      </c>
      <c r="J609" s="275">
        <f>IF(ISBLANK('ENGAGEMENTS 2026'!B609),"",IF(AND(OR($E609="INFRUCTUEUX",$E609="ANNULE"),$C609="AOO-M"),'ENGAGEMENTS 2026'!O609,IF($H609="EN COURS DE PREENGAGEMENT",'ENGAGEMENTS 2026'!N609,IF($H609="PREENGAGE",IF($E609="ATTRIBUE",'ENGAGEMENTS 2026'!AD609,'ENGAGEMENTS 2026'!N609),'ENGAGEMENTS 2026'!AD609))))</f>
        <v/>
      </c>
      <c r="K609" s="604">
        <f>IF(ISBLANK('ENGAGEMENTS 2026'!V609),"",'ENGAGEMENTS 2026'!V609)</f>
        <v/>
      </c>
      <c r="L609" s="276">
        <f>IF($K609="","",TODAY()-$K609)</f>
        <v/>
      </c>
      <c r="M609">
        <f>IF($A609="","",IF($H609="ENGAGE","Engagé",IF(AND($H609="NON ENGAGE",OR($I609="INFRUCTUEUX",$I609="ANNULE")),"Clôturé sans suite","En cours")))</f>
        <v/>
      </c>
      <c r="N609">
        <f>IF(ISBLANK('ENGAGEMENTS 2026'!B609),"",'ENGAGEMENTS 2026'!K609)</f>
        <v/>
      </c>
      <c r="O609">
        <f>IF(ISBLANK('ENGAGEMENTS 2026'!B609),"",'ENGAGEMENTS 2026'!L609)</f>
        <v/>
      </c>
      <c r="P609">
        <f>IF(ISBLANK('ENGAGEMENTS 2026'!B609),"",'ENGAGEMENTS 2026'!J609)</f>
        <v/>
      </c>
      <c r="Q609">
        <f>IF($A609="","",IF(OR($E609="INFRUCTUEUX",$E609="ANNULE"),$A609&amp;"|"&amp;(COUNTIFS($A$2:$A609,$A609,$E$2:$E609,"INFRUCTUEUX")+COUNTIFS($A$2:$A609,$A609,$E$2:$E609,"ANNULE")),""))</f>
        <v/>
      </c>
    </row>
    <row r="610">
      <c r="A610">
        <f>IF(ISBLANK('ENGAGEMENTS 2026'!B610),"",IF('ENGAGEMENTS 2026'!B610="DTSI","DCT",'ENGAGEMENTS 2026'!B610))</f>
        <v/>
      </c>
      <c r="B610">
        <f>IF(ISBLANK('ENGAGEMENTS 2026'!B610),"",'ENGAGEMENTS 2026'!C610)</f>
        <v/>
      </c>
      <c r="C610">
        <f>IF(ISBLANK('ENGAGEMENTS 2026'!B610),"",'ENGAGEMENTS 2026'!D610)</f>
        <v/>
      </c>
      <c r="D610">
        <f>IF(ISBLANK('ENGAGEMENTS 2026'!B610),"",'ENGAGEMENTS 2026'!F610)</f>
        <v/>
      </c>
      <c r="E610">
        <f>IF(ISBLANK('ENGAGEMENTS 2026'!B610),"",'ENGAGEMENTS 2026'!H610)</f>
        <v/>
      </c>
      <c r="F610">
        <f>IF(ISBLANK('ENGAGEMENTS 2026'!B610),"",'ENGAGEMENTS 2026'!I610)</f>
        <v/>
      </c>
      <c r="G610">
        <f>IF(ISBLANK('ENGAGEMENTS 2026'!B610),"",'ENGAGEMENTS 2026'!L610)</f>
        <v/>
      </c>
      <c r="H610">
        <f>IF(ISBLANK('ENGAGEMENTS 2026'!B610),"",'ENGAGEMENTS 2026'!AE610)</f>
        <v/>
      </c>
      <c r="I610">
        <f>IF(ISBLANK('ENGAGEMENTS 2026'!B610),"",'ENGAGEMENTS 2026'!G610)</f>
        <v/>
      </c>
      <c r="J610" s="275">
        <f>IF(ISBLANK('ENGAGEMENTS 2026'!B610),"",IF(AND(OR($E610="INFRUCTUEUX",$E610="ANNULE"),$C610="AOO-M"),'ENGAGEMENTS 2026'!O610,IF($H610="EN COURS DE PREENGAGEMENT",'ENGAGEMENTS 2026'!N610,IF($H610="PREENGAGE",IF($E610="ATTRIBUE",'ENGAGEMENTS 2026'!AD610,'ENGAGEMENTS 2026'!N610),'ENGAGEMENTS 2026'!AD610))))</f>
        <v/>
      </c>
      <c r="K610" s="604">
        <f>IF(ISBLANK('ENGAGEMENTS 2026'!V610),"",'ENGAGEMENTS 2026'!V610)</f>
        <v/>
      </c>
      <c r="L610" s="276">
        <f>IF($K610="","",TODAY()-$K610)</f>
        <v/>
      </c>
      <c r="M610">
        <f>IF($A610="","",IF($H610="ENGAGE","Engagé",IF(AND($H610="NON ENGAGE",OR($I610="INFRUCTUEUX",$I610="ANNULE")),"Clôturé sans suite","En cours")))</f>
        <v/>
      </c>
      <c r="N610">
        <f>IF(ISBLANK('ENGAGEMENTS 2026'!B610),"",'ENGAGEMENTS 2026'!K610)</f>
        <v/>
      </c>
      <c r="O610">
        <f>IF(ISBLANK('ENGAGEMENTS 2026'!B610),"",'ENGAGEMENTS 2026'!L610)</f>
        <v/>
      </c>
      <c r="P610">
        <f>IF(ISBLANK('ENGAGEMENTS 2026'!B610),"",'ENGAGEMENTS 2026'!J610)</f>
        <v/>
      </c>
      <c r="Q610">
        <f>IF($A610="","",IF(OR($E610="INFRUCTUEUX",$E610="ANNULE"),$A610&amp;"|"&amp;(COUNTIFS($A$2:$A610,$A610,$E$2:$E610,"INFRUCTUEUX")+COUNTIFS($A$2:$A610,$A610,$E$2:$E610,"ANNULE")),""))</f>
        <v/>
      </c>
    </row>
    <row r="611">
      <c r="A611">
        <f>IF(ISBLANK('ENGAGEMENTS 2026'!B611),"",IF('ENGAGEMENTS 2026'!B611="DTSI","DCT",'ENGAGEMENTS 2026'!B611))</f>
        <v/>
      </c>
      <c r="B611">
        <f>IF(ISBLANK('ENGAGEMENTS 2026'!B611),"",'ENGAGEMENTS 2026'!C611)</f>
        <v/>
      </c>
      <c r="C611">
        <f>IF(ISBLANK('ENGAGEMENTS 2026'!B611),"",'ENGAGEMENTS 2026'!D611)</f>
        <v/>
      </c>
      <c r="D611">
        <f>IF(ISBLANK('ENGAGEMENTS 2026'!B611),"",'ENGAGEMENTS 2026'!F611)</f>
        <v/>
      </c>
      <c r="E611">
        <f>IF(ISBLANK('ENGAGEMENTS 2026'!B611),"",'ENGAGEMENTS 2026'!H611)</f>
        <v/>
      </c>
      <c r="F611">
        <f>IF(ISBLANK('ENGAGEMENTS 2026'!B611),"",'ENGAGEMENTS 2026'!I611)</f>
        <v/>
      </c>
      <c r="G611">
        <f>IF(ISBLANK('ENGAGEMENTS 2026'!B611),"",'ENGAGEMENTS 2026'!L611)</f>
        <v/>
      </c>
      <c r="H611">
        <f>IF(ISBLANK('ENGAGEMENTS 2026'!B611),"",'ENGAGEMENTS 2026'!AE611)</f>
        <v/>
      </c>
      <c r="I611">
        <f>IF(ISBLANK('ENGAGEMENTS 2026'!B611),"",'ENGAGEMENTS 2026'!G611)</f>
        <v/>
      </c>
      <c r="J611" s="275">
        <f>IF(ISBLANK('ENGAGEMENTS 2026'!B611),"",IF(AND(OR($E611="INFRUCTUEUX",$E611="ANNULE"),$C611="AOO-M"),'ENGAGEMENTS 2026'!O611,IF($H611="EN COURS DE PREENGAGEMENT",'ENGAGEMENTS 2026'!N611,IF($H611="PREENGAGE",IF($E611="ATTRIBUE",'ENGAGEMENTS 2026'!AD611,'ENGAGEMENTS 2026'!N611),'ENGAGEMENTS 2026'!AD611))))</f>
        <v/>
      </c>
      <c r="K611" s="604">
        <f>IF(ISBLANK('ENGAGEMENTS 2026'!V611),"",'ENGAGEMENTS 2026'!V611)</f>
        <v/>
      </c>
      <c r="L611" s="276">
        <f>IF($K611="","",TODAY()-$K611)</f>
        <v/>
      </c>
      <c r="M611">
        <f>IF($A611="","",IF($H611="ENGAGE","Engagé",IF(AND($H611="NON ENGAGE",OR($I611="INFRUCTUEUX",$I611="ANNULE")),"Clôturé sans suite","En cours")))</f>
        <v/>
      </c>
      <c r="N611">
        <f>IF(ISBLANK('ENGAGEMENTS 2026'!B611),"",'ENGAGEMENTS 2026'!K611)</f>
        <v/>
      </c>
      <c r="O611">
        <f>IF(ISBLANK('ENGAGEMENTS 2026'!B611),"",'ENGAGEMENTS 2026'!L611)</f>
        <v/>
      </c>
      <c r="P611">
        <f>IF(ISBLANK('ENGAGEMENTS 2026'!B611),"",'ENGAGEMENTS 2026'!J611)</f>
        <v/>
      </c>
      <c r="Q611">
        <f>IF($A611="","",IF(OR($E611="INFRUCTUEUX",$E611="ANNULE"),$A611&amp;"|"&amp;(COUNTIFS($A$2:$A611,$A611,$E$2:$E611,"INFRUCTUEUX")+COUNTIFS($A$2:$A611,$A611,$E$2:$E611,"ANNULE")),""))</f>
        <v/>
      </c>
    </row>
    <row r="612">
      <c r="A612">
        <f>IF(ISBLANK('ENGAGEMENTS 2026'!B612),"",IF('ENGAGEMENTS 2026'!B612="DTSI","DCT",'ENGAGEMENTS 2026'!B612))</f>
        <v/>
      </c>
      <c r="B612">
        <f>IF(ISBLANK('ENGAGEMENTS 2026'!B612),"",'ENGAGEMENTS 2026'!C612)</f>
        <v/>
      </c>
      <c r="C612">
        <f>IF(ISBLANK('ENGAGEMENTS 2026'!B612),"",'ENGAGEMENTS 2026'!D612)</f>
        <v/>
      </c>
      <c r="D612">
        <f>IF(ISBLANK('ENGAGEMENTS 2026'!B612),"",'ENGAGEMENTS 2026'!F612)</f>
        <v/>
      </c>
      <c r="E612">
        <f>IF(ISBLANK('ENGAGEMENTS 2026'!B612),"",'ENGAGEMENTS 2026'!H612)</f>
        <v/>
      </c>
      <c r="F612">
        <f>IF(ISBLANK('ENGAGEMENTS 2026'!B612),"",'ENGAGEMENTS 2026'!I612)</f>
        <v/>
      </c>
      <c r="G612">
        <f>IF(ISBLANK('ENGAGEMENTS 2026'!B612),"",'ENGAGEMENTS 2026'!L612)</f>
        <v/>
      </c>
      <c r="H612">
        <f>IF(ISBLANK('ENGAGEMENTS 2026'!B612),"",'ENGAGEMENTS 2026'!AE612)</f>
        <v/>
      </c>
      <c r="I612">
        <f>IF(ISBLANK('ENGAGEMENTS 2026'!B612),"",'ENGAGEMENTS 2026'!G612)</f>
        <v/>
      </c>
      <c r="J612" s="275">
        <f>IF(ISBLANK('ENGAGEMENTS 2026'!B612),"",IF(AND(OR($E612="INFRUCTUEUX",$E612="ANNULE"),$C612="AOO-M"),'ENGAGEMENTS 2026'!O612,IF($H612="EN COURS DE PREENGAGEMENT",'ENGAGEMENTS 2026'!N612,IF($H612="PREENGAGE",IF($E612="ATTRIBUE",'ENGAGEMENTS 2026'!AD612,'ENGAGEMENTS 2026'!N612),'ENGAGEMENTS 2026'!AD612))))</f>
        <v/>
      </c>
      <c r="K612" s="604">
        <f>IF(ISBLANK('ENGAGEMENTS 2026'!V612),"",'ENGAGEMENTS 2026'!V612)</f>
        <v/>
      </c>
      <c r="L612" s="276">
        <f>IF($K612="","",TODAY()-$K612)</f>
        <v/>
      </c>
      <c r="M612">
        <f>IF($A612="","",IF($H612="ENGAGE","Engagé",IF(AND($H612="NON ENGAGE",OR($I612="INFRUCTUEUX",$I612="ANNULE")),"Clôturé sans suite","En cours")))</f>
        <v/>
      </c>
      <c r="N612">
        <f>IF(ISBLANK('ENGAGEMENTS 2026'!B612),"",'ENGAGEMENTS 2026'!K612)</f>
        <v/>
      </c>
      <c r="O612">
        <f>IF(ISBLANK('ENGAGEMENTS 2026'!B612),"",'ENGAGEMENTS 2026'!L612)</f>
        <v/>
      </c>
      <c r="P612">
        <f>IF(ISBLANK('ENGAGEMENTS 2026'!B612),"",'ENGAGEMENTS 2026'!J612)</f>
        <v/>
      </c>
      <c r="Q612">
        <f>IF($A612="","",IF(OR($E612="INFRUCTUEUX",$E612="ANNULE"),$A612&amp;"|"&amp;(COUNTIFS($A$2:$A612,$A612,$E$2:$E612,"INFRUCTUEUX")+COUNTIFS($A$2:$A612,$A612,$E$2:$E612,"ANNULE")),""))</f>
        <v/>
      </c>
    </row>
    <row r="613">
      <c r="A613">
        <f>IF(ISBLANK('ENGAGEMENTS 2026'!B613),"",IF('ENGAGEMENTS 2026'!B613="DTSI","DCT",'ENGAGEMENTS 2026'!B613))</f>
        <v/>
      </c>
      <c r="B613">
        <f>IF(ISBLANK('ENGAGEMENTS 2026'!B613),"",'ENGAGEMENTS 2026'!C613)</f>
        <v/>
      </c>
      <c r="C613">
        <f>IF(ISBLANK('ENGAGEMENTS 2026'!B613),"",'ENGAGEMENTS 2026'!D613)</f>
        <v/>
      </c>
      <c r="D613">
        <f>IF(ISBLANK('ENGAGEMENTS 2026'!B613),"",'ENGAGEMENTS 2026'!F613)</f>
        <v/>
      </c>
      <c r="E613">
        <f>IF(ISBLANK('ENGAGEMENTS 2026'!B613),"",'ENGAGEMENTS 2026'!H613)</f>
        <v/>
      </c>
      <c r="F613">
        <f>IF(ISBLANK('ENGAGEMENTS 2026'!B613),"",'ENGAGEMENTS 2026'!I613)</f>
        <v/>
      </c>
      <c r="G613">
        <f>IF(ISBLANK('ENGAGEMENTS 2026'!B613),"",'ENGAGEMENTS 2026'!L613)</f>
        <v/>
      </c>
      <c r="H613">
        <f>IF(ISBLANK('ENGAGEMENTS 2026'!B613),"",'ENGAGEMENTS 2026'!AE613)</f>
        <v/>
      </c>
      <c r="I613">
        <f>IF(ISBLANK('ENGAGEMENTS 2026'!B613),"",'ENGAGEMENTS 2026'!G613)</f>
        <v/>
      </c>
      <c r="J613" s="275">
        <f>IF(ISBLANK('ENGAGEMENTS 2026'!B613),"",IF(AND(OR($E613="INFRUCTUEUX",$E613="ANNULE"),$C613="AOO-M"),'ENGAGEMENTS 2026'!O613,IF($H613="EN COURS DE PREENGAGEMENT",'ENGAGEMENTS 2026'!N613,IF($H613="PREENGAGE",IF($E613="ATTRIBUE",'ENGAGEMENTS 2026'!AD613,'ENGAGEMENTS 2026'!N613),'ENGAGEMENTS 2026'!AD613))))</f>
        <v/>
      </c>
      <c r="K613" s="604">
        <f>IF(ISBLANK('ENGAGEMENTS 2026'!V613),"",'ENGAGEMENTS 2026'!V613)</f>
        <v/>
      </c>
      <c r="L613" s="276">
        <f>IF($K613="","",TODAY()-$K613)</f>
        <v/>
      </c>
      <c r="M613">
        <f>IF($A613="","",IF($H613="ENGAGE","Engagé",IF(AND($H613="NON ENGAGE",OR($I613="INFRUCTUEUX",$I613="ANNULE")),"Clôturé sans suite","En cours")))</f>
        <v/>
      </c>
      <c r="N613">
        <f>IF(ISBLANK('ENGAGEMENTS 2026'!B613),"",'ENGAGEMENTS 2026'!K613)</f>
        <v/>
      </c>
      <c r="O613">
        <f>IF(ISBLANK('ENGAGEMENTS 2026'!B613),"",'ENGAGEMENTS 2026'!L613)</f>
        <v/>
      </c>
      <c r="P613">
        <f>IF(ISBLANK('ENGAGEMENTS 2026'!B613),"",'ENGAGEMENTS 2026'!J613)</f>
        <v/>
      </c>
      <c r="Q613">
        <f>IF($A613="","",IF(OR($E613="INFRUCTUEUX",$E613="ANNULE"),$A613&amp;"|"&amp;(COUNTIFS($A$2:$A613,$A613,$E$2:$E613,"INFRUCTUEUX")+COUNTIFS($A$2:$A613,$A613,$E$2:$E613,"ANNULE")),""))</f>
        <v/>
      </c>
    </row>
    <row r="614">
      <c r="A614">
        <f>IF(ISBLANK('ENGAGEMENTS 2026'!B614),"",IF('ENGAGEMENTS 2026'!B614="DTSI","DCT",'ENGAGEMENTS 2026'!B614))</f>
        <v/>
      </c>
      <c r="B614">
        <f>IF(ISBLANK('ENGAGEMENTS 2026'!B614),"",'ENGAGEMENTS 2026'!C614)</f>
        <v/>
      </c>
      <c r="C614">
        <f>IF(ISBLANK('ENGAGEMENTS 2026'!B614),"",'ENGAGEMENTS 2026'!D614)</f>
        <v/>
      </c>
      <c r="D614">
        <f>IF(ISBLANK('ENGAGEMENTS 2026'!B614),"",'ENGAGEMENTS 2026'!F614)</f>
        <v/>
      </c>
      <c r="E614">
        <f>IF(ISBLANK('ENGAGEMENTS 2026'!B614),"",'ENGAGEMENTS 2026'!H614)</f>
        <v/>
      </c>
      <c r="F614">
        <f>IF(ISBLANK('ENGAGEMENTS 2026'!B614),"",'ENGAGEMENTS 2026'!I614)</f>
        <v/>
      </c>
      <c r="G614">
        <f>IF(ISBLANK('ENGAGEMENTS 2026'!B614),"",'ENGAGEMENTS 2026'!L614)</f>
        <v/>
      </c>
      <c r="H614">
        <f>IF(ISBLANK('ENGAGEMENTS 2026'!B614),"",'ENGAGEMENTS 2026'!AE614)</f>
        <v/>
      </c>
      <c r="I614">
        <f>IF(ISBLANK('ENGAGEMENTS 2026'!B614),"",'ENGAGEMENTS 2026'!G614)</f>
        <v/>
      </c>
      <c r="J614" s="275">
        <f>IF(ISBLANK('ENGAGEMENTS 2026'!B614),"",IF(AND(OR($E614="INFRUCTUEUX",$E614="ANNULE"),$C614="AOO-M"),'ENGAGEMENTS 2026'!O614,IF($H614="EN COURS DE PREENGAGEMENT",'ENGAGEMENTS 2026'!N614,IF($H614="PREENGAGE",IF($E614="ATTRIBUE",'ENGAGEMENTS 2026'!AD614,'ENGAGEMENTS 2026'!N614),'ENGAGEMENTS 2026'!AD614))))</f>
        <v/>
      </c>
      <c r="K614" s="604">
        <f>IF(ISBLANK('ENGAGEMENTS 2026'!V614),"",'ENGAGEMENTS 2026'!V614)</f>
        <v/>
      </c>
      <c r="L614" s="276">
        <f>IF($K614="","",TODAY()-$K614)</f>
        <v/>
      </c>
      <c r="M614">
        <f>IF($A614="","",IF($H614="ENGAGE","Engagé",IF(AND($H614="NON ENGAGE",OR($I614="INFRUCTUEUX",$I614="ANNULE")),"Clôturé sans suite","En cours")))</f>
        <v/>
      </c>
      <c r="N614">
        <f>IF(ISBLANK('ENGAGEMENTS 2026'!B614),"",'ENGAGEMENTS 2026'!K614)</f>
        <v/>
      </c>
      <c r="O614">
        <f>IF(ISBLANK('ENGAGEMENTS 2026'!B614),"",'ENGAGEMENTS 2026'!L614)</f>
        <v/>
      </c>
      <c r="P614">
        <f>IF(ISBLANK('ENGAGEMENTS 2026'!B614),"",'ENGAGEMENTS 2026'!J614)</f>
        <v/>
      </c>
      <c r="Q614">
        <f>IF($A614="","",IF(OR($E614="INFRUCTUEUX",$E614="ANNULE"),$A614&amp;"|"&amp;(COUNTIFS($A$2:$A614,$A614,$E$2:$E614,"INFRUCTUEUX")+COUNTIFS($A$2:$A614,$A614,$E$2:$E614,"ANNULE")),""))</f>
        <v/>
      </c>
    </row>
    <row r="615">
      <c r="A615">
        <f>IF(ISBLANK('ENGAGEMENTS 2026'!B615),"",IF('ENGAGEMENTS 2026'!B615="DTSI","DCT",'ENGAGEMENTS 2026'!B615))</f>
        <v/>
      </c>
      <c r="B615">
        <f>IF(ISBLANK('ENGAGEMENTS 2026'!B615),"",'ENGAGEMENTS 2026'!C615)</f>
        <v/>
      </c>
      <c r="C615">
        <f>IF(ISBLANK('ENGAGEMENTS 2026'!B615),"",'ENGAGEMENTS 2026'!D615)</f>
        <v/>
      </c>
      <c r="D615">
        <f>IF(ISBLANK('ENGAGEMENTS 2026'!B615),"",'ENGAGEMENTS 2026'!F615)</f>
        <v/>
      </c>
      <c r="E615">
        <f>IF(ISBLANK('ENGAGEMENTS 2026'!B615),"",'ENGAGEMENTS 2026'!H615)</f>
        <v/>
      </c>
      <c r="F615">
        <f>IF(ISBLANK('ENGAGEMENTS 2026'!B615),"",'ENGAGEMENTS 2026'!I615)</f>
        <v/>
      </c>
      <c r="G615">
        <f>IF(ISBLANK('ENGAGEMENTS 2026'!B615),"",'ENGAGEMENTS 2026'!L615)</f>
        <v/>
      </c>
      <c r="H615">
        <f>IF(ISBLANK('ENGAGEMENTS 2026'!B615),"",'ENGAGEMENTS 2026'!AE615)</f>
        <v/>
      </c>
      <c r="I615">
        <f>IF(ISBLANK('ENGAGEMENTS 2026'!B615),"",'ENGAGEMENTS 2026'!G615)</f>
        <v/>
      </c>
      <c r="J615" s="275">
        <f>IF(ISBLANK('ENGAGEMENTS 2026'!B615),"",IF(AND(OR($E615="INFRUCTUEUX",$E615="ANNULE"),$C615="AOO-M"),'ENGAGEMENTS 2026'!O615,IF($H615="EN COURS DE PREENGAGEMENT",'ENGAGEMENTS 2026'!N615,IF($H615="PREENGAGE",IF($E615="ATTRIBUE",'ENGAGEMENTS 2026'!AD615,'ENGAGEMENTS 2026'!N615),'ENGAGEMENTS 2026'!AD615))))</f>
        <v/>
      </c>
      <c r="K615" s="604">
        <f>IF(ISBLANK('ENGAGEMENTS 2026'!V615),"",'ENGAGEMENTS 2026'!V615)</f>
        <v/>
      </c>
      <c r="L615" s="276">
        <f>IF($K615="","",TODAY()-$K615)</f>
        <v/>
      </c>
      <c r="M615">
        <f>IF($A615="","",IF($H615="ENGAGE","Engagé",IF(AND($H615="NON ENGAGE",OR($I615="INFRUCTUEUX",$I615="ANNULE")),"Clôturé sans suite","En cours")))</f>
        <v/>
      </c>
      <c r="N615">
        <f>IF(ISBLANK('ENGAGEMENTS 2026'!B615),"",'ENGAGEMENTS 2026'!K615)</f>
        <v/>
      </c>
      <c r="O615">
        <f>IF(ISBLANK('ENGAGEMENTS 2026'!B615),"",'ENGAGEMENTS 2026'!L615)</f>
        <v/>
      </c>
      <c r="P615">
        <f>IF(ISBLANK('ENGAGEMENTS 2026'!B615),"",'ENGAGEMENTS 2026'!J615)</f>
        <v/>
      </c>
      <c r="Q615">
        <f>IF($A615="","",IF(OR($E615="INFRUCTUEUX",$E615="ANNULE"),$A615&amp;"|"&amp;(COUNTIFS($A$2:$A615,$A615,$E$2:$E615,"INFRUCTUEUX")+COUNTIFS($A$2:$A615,$A615,$E$2:$E615,"ANNULE")),""))</f>
        <v/>
      </c>
    </row>
    <row r="616">
      <c r="A616">
        <f>IF(ISBLANK('ENGAGEMENTS 2026'!B616),"",IF('ENGAGEMENTS 2026'!B616="DTSI","DCT",'ENGAGEMENTS 2026'!B616))</f>
        <v/>
      </c>
      <c r="B616">
        <f>IF(ISBLANK('ENGAGEMENTS 2026'!B616),"",'ENGAGEMENTS 2026'!C616)</f>
        <v/>
      </c>
      <c r="C616">
        <f>IF(ISBLANK('ENGAGEMENTS 2026'!B616),"",'ENGAGEMENTS 2026'!D616)</f>
        <v/>
      </c>
      <c r="D616">
        <f>IF(ISBLANK('ENGAGEMENTS 2026'!B616),"",'ENGAGEMENTS 2026'!F616)</f>
        <v/>
      </c>
      <c r="E616">
        <f>IF(ISBLANK('ENGAGEMENTS 2026'!B616),"",'ENGAGEMENTS 2026'!H616)</f>
        <v/>
      </c>
      <c r="F616">
        <f>IF(ISBLANK('ENGAGEMENTS 2026'!B616),"",'ENGAGEMENTS 2026'!I616)</f>
        <v/>
      </c>
      <c r="G616">
        <f>IF(ISBLANK('ENGAGEMENTS 2026'!B616),"",'ENGAGEMENTS 2026'!L616)</f>
        <v/>
      </c>
      <c r="H616">
        <f>IF(ISBLANK('ENGAGEMENTS 2026'!B616),"",'ENGAGEMENTS 2026'!AE616)</f>
        <v/>
      </c>
      <c r="I616">
        <f>IF(ISBLANK('ENGAGEMENTS 2026'!B616),"",'ENGAGEMENTS 2026'!G616)</f>
        <v/>
      </c>
      <c r="J616" s="275">
        <f>IF(ISBLANK('ENGAGEMENTS 2026'!B616),"",IF(AND(OR($E616="INFRUCTUEUX",$E616="ANNULE"),$C616="AOO-M"),'ENGAGEMENTS 2026'!O616,IF($H616="EN COURS DE PREENGAGEMENT",'ENGAGEMENTS 2026'!N616,IF($H616="PREENGAGE",IF($E616="ATTRIBUE",'ENGAGEMENTS 2026'!AD616,'ENGAGEMENTS 2026'!N616),'ENGAGEMENTS 2026'!AD616))))</f>
        <v/>
      </c>
      <c r="K616" s="604">
        <f>IF(ISBLANK('ENGAGEMENTS 2026'!V616),"",'ENGAGEMENTS 2026'!V616)</f>
        <v/>
      </c>
      <c r="L616" s="276">
        <f>IF($K616="","",TODAY()-$K616)</f>
        <v/>
      </c>
      <c r="M616">
        <f>IF($A616="","",IF($H616="ENGAGE","Engagé",IF(AND($H616="NON ENGAGE",OR($I616="INFRUCTUEUX",$I616="ANNULE")),"Clôturé sans suite","En cours")))</f>
        <v/>
      </c>
      <c r="N616">
        <f>IF(ISBLANK('ENGAGEMENTS 2026'!B616),"",'ENGAGEMENTS 2026'!K616)</f>
        <v/>
      </c>
      <c r="O616">
        <f>IF(ISBLANK('ENGAGEMENTS 2026'!B616),"",'ENGAGEMENTS 2026'!L616)</f>
        <v/>
      </c>
      <c r="P616">
        <f>IF(ISBLANK('ENGAGEMENTS 2026'!B616),"",'ENGAGEMENTS 2026'!J616)</f>
        <v/>
      </c>
      <c r="Q616">
        <f>IF($A616="","",IF(OR($E616="INFRUCTUEUX",$E616="ANNULE"),$A616&amp;"|"&amp;(COUNTIFS($A$2:$A616,$A616,$E$2:$E616,"INFRUCTUEUX")+COUNTIFS($A$2:$A616,$A616,$E$2:$E616,"ANNULE")),""))</f>
        <v/>
      </c>
    </row>
    <row r="617">
      <c r="A617">
        <f>IF(ISBLANK('ENGAGEMENTS 2026'!B617),"",IF('ENGAGEMENTS 2026'!B617="DTSI","DCT",'ENGAGEMENTS 2026'!B617))</f>
        <v/>
      </c>
      <c r="B617">
        <f>IF(ISBLANK('ENGAGEMENTS 2026'!B617),"",'ENGAGEMENTS 2026'!C617)</f>
        <v/>
      </c>
      <c r="C617">
        <f>IF(ISBLANK('ENGAGEMENTS 2026'!B617),"",'ENGAGEMENTS 2026'!D617)</f>
        <v/>
      </c>
      <c r="D617">
        <f>IF(ISBLANK('ENGAGEMENTS 2026'!B617),"",'ENGAGEMENTS 2026'!F617)</f>
        <v/>
      </c>
      <c r="E617">
        <f>IF(ISBLANK('ENGAGEMENTS 2026'!B617),"",'ENGAGEMENTS 2026'!H617)</f>
        <v/>
      </c>
      <c r="F617">
        <f>IF(ISBLANK('ENGAGEMENTS 2026'!B617),"",'ENGAGEMENTS 2026'!I617)</f>
        <v/>
      </c>
      <c r="G617">
        <f>IF(ISBLANK('ENGAGEMENTS 2026'!B617),"",'ENGAGEMENTS 2026'!L617)</f>
        <v/>
      </c>
      <c r="H617">
        <f>IF(ISBLANK('ENGAGEMENTS 2026'!B617),"",'ENGAGEMENTS 2026'!AE617)</f>
        <v/>
      </c>
      <c r="I617">
        <f>IF(ISBLANK('ENGAGEMENTS 2026'!B617),"",'ENGAGEMENTS 2026'!G617)</f>
        <v/>
      </c>
      <c r="J617" s="275">
        <f>IF(ISBLANK('ENGAGEMENTS 2026'!B617),"",IF(AND(OR($E617="INFRUCTUEUX",$E617="ANNULE"),$C617="AOO-M"),'ENGAGEMENTS 2026'!O617,IF($H617="EN COURS DE PREENGAGEMENT",'ENGAGEMENTS 2026'!N617,IF($H617="PREENGAGE",IF($E617="ATTRIBUE",'ENGAGEMENTS 2026'!AD617,'ENGAGEMENTS 2026'!N617),'ENGAGEMENTS 2026'!AD617))))</f>
        <v/>
      </c>
      <c r="K617" s="604">
        <f>IF(ISBLANK('ENGAGEMENTS 2026'!V617),"",'ENGAGEMENTS 2026'!V617)</f>
        <v/>
      </c>
      <c r="L617" s="276">
        <f>IF($K617="","",TODAY()-$K617)</f>
        <v/>
      </c>
      <c r="M617">
        <f>IF($A617="","",IF($H617="ENGAGE","Engagé",IF(AND($H617="NON ENGAGE",OR($I617="INFRUCTUEUX",$I617="ANNULE")),"Clôturé sans suite","En cours")))</f>
        <v/>
      </c>
      <c r="N617">
        <f>IF(ISBLANK('ENGAGEMENTS 2026'!B617),"",'ENGAGEMENTS 2026'!K617)</f>
        <v/>
      </c>
      <c r="O617">
        <f>IF(ISBLANK('ENGAGEMENTS 2026'!B617),"",'ENGAGEMENTS 2026'!L617)</f>
        <v/>
      </c>
      <c r="P617">
        <f>IF(ISBLANK('ENGAGEMENTS 2026'!B617),"",'ENGAGEMENTS 2026'!J617)</f>
        <v/>
      </c>
      <c r="Q617">
        <f>IF($A617="","",IF(OR($E617="INFRUCTUEUX",$E617="ANNULE"),$A617&amp;"|"&amp;(COUNTIFS($A$2:$A617,$A617,$E$2:$E617,"INFRUCTUEUX")+COUNTIFS($A$2:$A617,$A617,$E$2:$E617,"ANNULE")),""))</f>
        <v/>
      </c>
    </row>
    <row r="618">
      <c r="A618">
        <f>IF(ISBLANK('ENGAGEMENTS 2026'!B618),"",IF('ENGAGEMENTS 2026'!B618="DTSI","DCT",'ENGAGEMENTS 2026'!B618))</f>
        <v/>
      </c>
      <c r="B618">
        <f>IF(ISBLANK('ENGAGEMENTS 2026'!B618),"",'ENGAGEMENTS 2026'!C618)</f>
        <v/>
      </c>
      <c r="C618">
        <f>IF(ISBLANK('ENGAGEMENTS 2026'!B618),"",'ENGAGEMENTS 2026'!D618)</f>
        <v/>
      </c>
      <c r="D618">
        <f>IF(ISBLANK('ENGAGEMENTS 2026'!B618),"",'ENGAGEMENTS 2026'!F618)</f>
        <v/>
      </c>
      <c r="E618">
        <f>IF(ISBLANK('ENGAGEMENTS 2026'!B618),"",'ENGAGEMENTS 2026'!H618)</f>
        <v/>
      </c>
      <c r="F618">
        <f>IF(ISBLANK('ENGAGEMENTS 2026'!B618),"",'ENGAGEMENTS 2026'!I618)</f>
        <v/>
      </c>
      <c r="G618">
        <f>IF(ISBLANK('ENGAGEMENTS 2026'!B618),"",'ENGAGEMENTS 2026'!L618)</f>
        <v/>
      </c>
      <c r="H618">
        <f>IF(ISBLANK('ENGAGEMENTS 2026'!B618),"",'ENGAGEMENTS 2026'!AE618)</f>
        <v/>
      </c>
      <c r="I618">
        <f>IF(ISBLANK('ENGAGEMENTS 2026'!B618),"",'ENGAGEMENTS 2026'!G618)</f>
        <v/>
      </c>
      <c r="J618" s="275">
        <f>IF(ISBLANK('ENGAGEMENTS 2026'!B618),"",IF(AND(OR($E618="INFRUCTUEUX",$E618="ANNULE"),$C618="AOO-M"),'ENGAGEMENTS 2026'!O618,IF($H618="EN COURS DE PREENGAGEMENT",'ENGAGEMENTS 2026'!N618,IF($H618="PREENGAGE",IF($E618="ATTRIBUE",'ENGAGEMENTS 2026'!AD618,'ENGAGEMENTS 2026'!N618),'ENGAGEMENTS 2026'!AD618))))</f>
        <v/>
      </c>
      <c r="K618" s="604">
        <f>IF(ISBLANK('ENGAGEMENTS 2026'!V618),"",'ENGAGEMENTS 2026'!V618)</f>
        <v/>
      </c>
      <c r="L618" s="276">
        <f>IF($K618="","",TODAY()-$K618)</f>
        <v/>
      </c>
      <c r="M618">
        <f>IF($A618="","",IF($H618="ENGAGE","Engagé",IF(AND($H618="NON ENGAGE",OR($I618="INFRUCTUEUX",$I618="ANNULE")),"Clôturé sans suite","En cours")))</f>
        <v/>
      </c>
      <c r="N618">
        <f>IF(ISBLANK('ENGAGEMENTS 2026'!B618),"",'ENGAGEMENTS 2026'!K618)</f>
        <v/>
      </c>
      <c r="O618">
        <f>IF(ISBLANK('ENGAGEMENTS 2026'!B618),"",'ENGAGEMENTS 2026'!L618)</f>
        <v/>
      </c>
      <c r="P618">
        <f>IF(ISBLANK('ENGAGEMENTS 2026'!B618),"",'ENGAGEMENTS 2026'!J618)</f>
        <v/>
      </c>
      <c r="Q618">
        <f>IF($A618="","",IF(OR($E618="INFRUCTUEUX",$E618="ANNULE"),$A618&amp;"|"&amp;(COUNTIFS($A$2:$A618,$A618,$E$2:$E618,"INFRUCTUEUX")+COUNTIFS($A$2:$A618,$A618,$E$2:$E618,"ANNULE")),""))</f>
        <v/>
      </c>
    </row>
    <row r="619">
      <c r="A619">
        <f>IF(ISBLANK('ENGAGEMENTS 2026'!B619),"",IF('ENGAGEMENTS 2026'!B619="DTSI","DCT",'ENGAGEMENTS 2026'!B619))</f>
        <v/>
      </c>
      <c r="B619">
        <f>IF(ISBLANK('ENGAGEMENTS 2026'!B619),"",'ENGAGEMENTS 2026'!C619)</f>
        <v/>
      </c>
      <c r="C619">
        <f>IF(ISBLANK('ENGAGEMENTS 2026'!B619),"",'ENGAGEMENTS 2026'!D619)</f>
        <v/>
      </c>
      <c r="D619">
        <f>IF(ISBLANK('ENGAGEMENTS 2026'!B619),"",'ENGAGEMENTS 2026'!F619)</f>
        <v/>
      </c>
      <c r="E619">
        <f>IF(ISBLANK('ENGAGEMENTS 2026'!B619),"",'ENGAGEMENTS 2026'!H619)</f>
        <v/>
      </c>
      <c r="F619">
        <f>IF(ISBLANK('ENGAGEMENTS 2026'!B619),"",'ENGAGEMENTS 2026'!I619)</f>
        <v/>
      </c>
      <c r="G619">
        <f>IF(ISBLANK('ENGAGEMENTS 2026'!B619),"",'ENGAGEMENTS 2026'!L619)</f>
        <v/>
      </c>
      <c r="H619">
        <f>IF(ISBLANK('ENGAGEMENTS 2026'!B619),"",'ENGAGEMENTS 2026'!AE619)</f>
        <v/>
      </c>
      <c r="I619">
        <f>IF(ISBLANK('ENGAGEMENTS 2026'!B619),"",'ENGAGEMENTS 2026'!G619)</f>
        <v/>
      </c>
      <c r="J619" s="275">
        <f>IF(ISBLANK('ENGAGEMENTS 2026'!B619),"",IF(AND(OR($E619="INFRUCTUEUX",$E619="ANNULE"),$C619="AOO-M"),'ENGAGEMENTS 2026'!O619,IF($H619="EN COURS DE PREENGAGEMENT",'ENGAGEMENTS 2026'!N619,IF($H619="PREENGAGE",IF($E619="ATTRIBUE",'ENGAGEMENTS 2026'!AD619,'ENGAGEMENTS 2026'!N619),'ENGAGEMENTS 2026'!AD619))))</f>
        <v/>
      </c>
      <c r="K619" s="604">
        <f>IF(ISBLANK('ENGAGEMENTS 2026'!V619),"",'ENGAGEMENTS 2026'!V619)</f>
        <v/>
      </c>
      <c r="L619" s="276">
        <f>IF($K619="","",TODAY()-$K619)</f>
        <v/>
      </c>
      <c r="M619">
        <f>IF($A619="","",IF($H619="ENGAGE","Engagé",IF(AND($H619="NON ENGAGE",OR($I619="INFRUCTUEUX",$I619="ANNULE")),"Clôturé sans suite","En cours")))</f>
        <v/>
      </c>
      <c r="N619">
        <f>IF(ISBLANK('ENGAGEMENTS 2026'!B619),"",'ENGAGEMENTS 2026'!K619)</f>
        <v/>
      </c>
      <c r="O619">
        <f>IF(ISBLANK('ENGAGEMENTS 2026'!B619),"",'ENGAGEMENTS 2026'!L619)</f>
        <v/>
      </c>
      <c r="P619">
        <f>IF(ISBLANK('ENGAGEMENTS 2026'!B619),"",'ENGAGEMENTS 2026'!J619)</f>
        <v/>
      </c>
      <c r="Q619">
        <f>IF($A619="","",IF(OR($E619="INFRUCTUEUX",$E619="ANNULE"),$A619&amp;"|"&amp;(COUNTIFS($A$2:$A619,$A619,$E$2:$E619,"INFRUCTUEUX")+COUNTIFS($A$2:$A619,$A619,$E$2:$E619,"ANNULE")),""))</f>
        <v/>
      </c>
    </row>
    <row r="620">
      <c r="A620">
        <f>IF(ISBLANK('ENGAGEMENTS 2026'!B620),"",IF('ENGAGEMENTS 2026'!B620="DTSI","DCT",'ENGAGEMENTS 2026'!B620))</f>
        <v/>
      </c>
      <c r="B620">
        <f>IF(ISBLANK('ENGAGEMENTS 2026'!B620),"",'ENGAGEMENTS 2026'!C620)</f>
        <v/>
      </c>
      <c r="C620">
        <f>IF(ISBLANK('ENGAGEMENTS 2026'!B620),"",'ENGAGEMENTS 2026'!D620)</f>
        <v/>
      </c>
      <c r="D620">
        <f>IF(ISBLANK('ENGAGEMENTS 2026'!B620),"",'ENGAGEMENTS 2026'!F620)</f>
        <v/>
      </c>
      <c r="E620">
        <f>IF(ISBLANK('ENGAGEMENTS 2026'!B620),"",'ENGAGEMENTS 2026'!H620)</f>
        <v/>
      </c>
      <c r="F620">
        <f>IF(ISBLANK('ENGAGEMENTS 2026'!B620),"",'ENGAGEMENTS 2026'!I620)</f>
        <v/>
      </c>
      <c r="G620">
        <f>IF(ISBLANK('ENGAGEMENTS 2026'!B620),"",'ENGAGEMENTS 2026'!L620)</f>
        <v/>
      </c>
      <c r="H620">
        <f>IF(ISBLANK('ENGAGEMENTS 2026'!B620),"",'ENGAGEMENTS 2026'!AE620)</f>
        <v/>
      </c>
      <c r="I620">
        <f>IF(ISBLANK('ENGAGEMENTS 2026'!B620),"",'ENGAGEMENTS 2026'!G620)</f>
        <v/>
      </c>
      <c r="J620" s="275">
        <f>IF(ISBLANK('ENGAGEMENTS 2026'!B620),"",IF(AND(OR($E620="INFRUCTUEUX",$E620="ANNULE"),$C620="AOO-M"),'ENGAGEMENTS 2026'!O620,IF($H620="EN COURS DE PREENGAGEMENT",'ENGAGEMENTS 2026'!N620,IF($H620="PREENGAGE",IF($E620="ATTRIBUE",'ENGAGEMENTS 2026'!AD620,'ENGAGEMENTS 2026'!N620),'ENGAGEMENTS 2026'!AD620))))</f>
        <v/>
      </c>
      <c r="K620" s="604">
        <f>IF(ISBLANK('ENGAGEMENTS 2026'!V620),"",'ENGAGEMENTS 2026'!V620)</f>
        <v/>
      </c>
      <c r="L620" s="276">
        <f>IF($K620="","",TODAY()-$K620)</f>
        <v/>
      </c>
      <c r="M620">
        <f>IF($A620="","",IF($H620="ENGAGE","Engagé",IF(AND($H620="NON ENGAGE",OR($I620="INFRUCTUEUX",$I620="ANNULE")),"Clôturé sans suite","En cours")))</f>
        <v/>
      </c>
      <c r="N620">
        <f>IF(ISBLANK('ENGAGEMENTS 2026'!B620),"",'ENGAGEMENTS 2026'!K620)</f>
        <v/>
      </c>
      <c r="O620">
        <f>IF(ISBLANK('ENGAGEMENTS 2026'!B620),"",'ENGAGEMENTS 2026'!L620)</f>
        <v/>
      </c>
      <c r="P620">
        <f>IF(ISBLANK('ENGAGEMENTS 2026'!B620),"",'ENGAGEMENTS 2026'!J620)</f>
        <v/>
      </c>
      <c r="Q620">
        <f>IF($A620="","",IF(OR($E620="INFRUCTUEUX",$E620="ANNULE"),$A620&amp;"|"&amp;(COUNTIFS($A$2:$A620,$A620,$E$2:$E620,"INFRUCTUEUX")+COUNTIFS($A$2:$A620,$A620,$E$2:$E620,"ANNULE")),""))</f>
        <v/>
      </c>
    </row>
    <row r="621">
      <c r="A621">
        <f>IF(ISBLANK('ENGAGEMENTS 2026'!B621),"",IF('ENGAGEMENTS 2026'!B621="DTSI","DCT",'ENGAGEMENTS 2026'!B621))</f>
        <v/>
      </c>
      <c r="B621">
        <f>IF(ISBLANK('ENGAGEMENTS 2026'!B621),"",'ENGAGEMENTS 2026'!C621)</f>
        <v/>
      </c>
      <c r="C621">
        <f>IF(ISBLANK('ENGAGEMENTS 2026'!B621),"",'ENGAGEMENTS 2026'!D621)</f>
        <v/>
      </c>
      <c r="D621">
        <f>IF(ISBLANK('ENGAGEMENTS 2026'!B621),"",'ENGAGEMENTS 2026'!F621)</f>
        <v/>
      </c>
      <c r="E621">
        <f>IF(ISBLANK('ENGAGEMENTS 2026'!B621),"",'ENGAGEMENTS 2026'!H621)</f>
        <v/>
      </c>
      <c r="F621">
        <f>IF(ISBLANK('ENGAGEMENTS 2026'!B621),"",'ENGAGEMENTS 2026'!I621)</f>
        <v/>
      </c>
      <c r="G621">
        <f>IF(ISBLANK('ENGAGEMENTS 2026'!B621),"",'ENGAGEMENTS 2026'!L621)</f>
        <v/>
      </c>
      <c r="H621">
        <f>IF(ISBLANK('ENGAGEMENTS 2026'!B621),"",'ENGAGEMENTS 2026'!AE621)</f>
        <v/>
      </c>
      <c r="I621">
        <f>IF(ISBLANK('ENGAGEMENTS 2026'!B621),"",'ENGAGEMENTS 2026'!G621)</f>
        <v/>
      </c>
      <c r="J621" s="275">
        <f>IF(ISBLANK('ENGAGEMENTS 2026'!B621),"",IF(AND(OR($E621="INFRUCTUEUX",$E621="ANNULE"),$C621="AOO-M"),'ENGAGEMENTS 2026'!O621,IF($H621="EN COURS DE PREENGAGEMENT",'ENGAGEMENTS 2026'!N621,IF($H621="PREENGAGE",IF($E621="ATTRIBUE",'ENGAGEMENTS 2026'!AD621,'ENGAGEMENTS 2026'!N621),'ENGAGEMENTS 2026'!AD621))))</f>
        <v/>
      </c>
      <c r="K621" s="604">
        <f>IF(ISBLANK('ENGAGEMENTS 2026'!V621),"",'ENGAGEMENTS 2026'!V621)</f>
        <v/>
      </c>
      <c r="L621" s="276">
        <f>IF($K621="","",TODAY()-$K621)</f>
        <v/>
      </c>
      <c r="M621">
        <f>IF($A621="","",IF($H621="ENGAGE","Engagé",IF(AND($H621="NON ENGAGE",OR($I621="INFRUCTUEUX",$I621="ANNULE")),"Clôturé sans suite","En cours")))</f>
        <v/>
      </c>
      <c r="N621">
        <f>IF(ISBLANK('ENGAGEMENTS 2026'!B621),"",'ENGAGEMENTS 2026'!K621)</f>
        <v/>
      </c>
      <c r="O621">
        <f>IF(ISBLANK('ENGAGEMENTS 2026'!B621),"",'ENGAGEMENTS 2026'!L621)</f>
        <v/>
      </c>
      <c r="P621">
        <f>IF(ISBLANK('ENGAGEMENTS 2026'!B621),"",'ENGAGEMENTS 2026'!J621)</f>
        <v/>
      </c>
      <c r="Q621">
        <f>IF($A621="","",IF(OR($E621="INFRUCTUEUX",$E621="ANNULE"),$A621&amp;"|"&amp;(COUNTIFS($A$2:$A621,$A621,$E$2:$E621,"INFRUCTUEUX")+COUNTIFS($A$2:$A621,$A621,$E$2:$E621,"ANNULE")),""))</f>
        <v/>
      </c>
    </row>
    <row r="622">
      <c r="A622">
        <f>IF(ISBLANK('ENGAGEMENTS 2026'!B622),"",IF('ENGAGEMENTS 2026'!B622="DTSI","DCT",'ENGAGEMENTS 2026'!B622))</f>
        <v/>
      </c>
      <c r="B622">
        <f>IF(ISBLANK('ENGAGEMENTS 2026'!B622),"",'ENGAGEMENTS 2026'!C622)</f>
        <v/>
      </c>
      <c r="C622">
        <f>IF(ISBLANK('ENGAGEMENTS 2026'!B622),"",'ENGAGEMENTS 2026'!D622)</f>
        <v/>
      </c>
      <c r="D622">
        <f>IF(ISBLANK('ENGAGEMENTS 2026'!B622),"",'ENGAGEMENTS 2026'!F622)</f>
        <v/>
      </c>
      <c r="E622">
        <f>IF(ISBLANK('ENGAGEMENTS 2026'!B622),"",'ENGAGEMENTS 2026'!H622)</f>
        <v/>
      </c>
      <c r="F622">
        <f>IF(ISBLANK('ENGAGEMENTS 2026'!B622),"",'ENGAGEMENTS 2026'!I622)</f>
        <v/>
      </c>
      <c r="G622">
        <f>IF(ISBLANK('ENGAGEMENTS 2026'!B622),"",'ENGAGEMENTS 2026'!L622)</f>
        <v/>
      </c>
      <c r="H622">
        <f>IF(ISBLANK('ENGAGEMENTS 2026'!B622),"",'ENGAGEMENTS 2026'!AE622)</f>
        <v/>
      </c>
      <c r="I622">
        <f>IF(ISBLANK('ENGAGEMENTS 2026'!B622),"",'ENGAGEMENTS 2026'!G622)</f>
        <v/>
      </c>
      <c r="J622" s="275">
        <f>IF(ISBLANK('ENGAGEMENTS 2026'!B622),"",IF(AND(OR($E622="INFRUCTUEUX",$E622="ANNULE"),$C622="AOO-M"),'ENGAGEMENTS 2026'!O622,IF($H622="EN COURS DE PREENGAGEMENT",'ENGAGEMENTS 2026'!N622,IF($H622="PREENGAGE",IF($E622="ATTRIBUE",'ENGAGEMENTS 2026'!AD622,'ENGAGEMENTS 2026'!N622),'ENGAGEMENTS 2026'!AD622))))</f>
        <v/>
      </c>
      <c r="K622" s="604">
        <f>IF(ISBLANK('ENGAGEMENTS 2026'!V622),"",'ENGAGEMENTS 2026'!V622)</f>
        <v/>
      </c>
      <c r="L622" s="276">
        <f>IF($K622="","",TODAY()-$K622)</f>
        <v/>
      </c>
      <c r="M622">
        <f>IF($A622="","",IF($H622="ENGAGE","Engagé",IF(AND($H622="NON ENGAGE",OR($I622="INFRUCTUEUX",$I622="ANNULE")),"Clôturé sans suite","En cours")))</f>
        <v/>
      </c>
      <c r="N622">
        <f>IF(ISBLANK('ENGAGEMENTS 2026'!B622),"",'ENGAGEMENTS 2026'!K622)</f>
        <v/>
      </c>
      <c r="O622">
        <f>IF(ISBLANK('ENGAGEMENTS 2026'!B622),"",'ENGAGEMENTS 2026'!L622)</f>
        <v/>
      </c>
      <c r="P622">
        <f>IF(ISBLANK('ENGAGEMENTS 2026'!B622),"",'ENGAGEMENTS 2026'!J622)</f>
        <v/>
      </c>
      <c r="Q622">
        <f>IF($A622="","",IF(OR($E622="INFRUCTUEUX",$E622="ANNULE"),$A622&amp;"|"&amp;(COUNTIFS($A$2:$A622,$A622,$E$2:$E622,"INFRUCTUEUX")+COUNTIFS($A$2:$A622,$A622,$E$2:$E622,"ANNULE")),""))</f>
        <v/>
      </c>
    </row>
    <row r="623">
      <c r="A623">
        <f>IF(ISBLANK('ENGAGEMENTS 2026'!B623),"",IF('ENGAGEMENTS 2026'!B623="DTSI","DCT",'ENGAGEMENTS 2026'!B623))</f>
        <v/>
      </c>
      <c r="B623">
        <f>IF(ISBLANK('ENGAGEMENTS 2026'!B623),"",'ENGAGEMENTS 2026'!C623)</f>
        <v/>
      </c>
      <c r="C623">
        <f>IF(ISBLANK('ENGAGEMENTS 2026'!B623),"",'ENGAGEMENTS 2026'!D623)</f>
        <v/>
      </c>
      <c r="D623">
        <f>IF(ISBLANK('ENGAGEMENTS 2026'!B623),"",'ENGAGEMENTS 2026'!F623)</f>
        <v/>
      </c>
      <c r="E623">
        <f>IF(ISBLANK('ENGAGEMENTS 2026'!B623),"",'ENGAGEMENTS 2026'!H623)</f>
        <v/>
      </c>
      <c r="F623">
        <f>IF(ISBLANK('ENGAGEMENTS 2026'!B623),"",'ENGAGEMENTS 2026'!I623)</f>
        <v/>
      </c>
      <c r="G623">
        <f>IF(ISBLANK('ENGAGEMENTS 2026'!B623),"",'ENGAGEMENTS 2026'!L623)</f>
        <v/>
      </c>
      <c r="H623">
        <f>IF(ISBLANK('ENGAGEMENTS 2026'!B623),"",'ENGAGEMENTS 2026'!AE623)</f>
        <v/>
      </c>
      <c r="I623">
        <f>IF(ISBLANK('ENGAGEMENTS 2026'!B623),"",'ENGAGEMENTS 2026'!G623)</f>
        <v/>
      </c>
      <c r="J623" s="275">
        <f>IF(ISBLANK('ENGAGEMENTS 2026'!B623),"",IF(AND(OR($E623="INFRUCTUEUX",$E623="ANNULE"),$C623="AOO-M"),'ENGAGEMENTS 2026'!O623,IF($H623="EN COURS DE PREENGAGEMENT",'ENGAGEMENTS 2026'!N623,IF($H623="PREENGAGE",IF($E623="ATTRIBUE",'ENGAGEMENTS 2026'!AD623,'ENGAGEMENTS 2026'!N623),'ENGAGEMENTS 2026'!AD623))))</f>
        <v/>
      </c>
      <c r="K623" s="604">
        <f>IF(ISBLANK('ENGAGEMENTS 2026'!V623),"",'ENGAGEMENTS 2026'!V623)</f>
        <v/>
      </c>
      <c r="L623" s="276">
        <f>IF($K623="","",TODAY()-$K623)</f>
        <v/>
      </c>
      <c r="M623">
        <f>IF($A623="","",IF($H623="ENGAGE","Engagé",IF(AND($H623="NON ENGAGE",OR($I623="INFRUCTUEUX",$I623="ANNULE")),"Clôturé sans suite","En cours")))</f>
        <v/>
      </c>
      <c r="N623">
        <f>IF(ISBLANK('ENGAGEMENTS 2026'!B623),"",'ENGAGEMENTS 2026'!K623)</f>
        <v/>
      </c>
      <c r="O623">
        <f>IF(ISBLANK('ENGAGEMENTS 2026'!B623),"",'ENGAGEMENTS 2026'!L623)</f>
        <v/>
      </c>
      <c r="P623">
        <f>IF(ISBLANK('ENGAGEMENTS 2026'!B623),"",'ENGAGEMENTS 2026'!J623)</f>
        <v/>
      </c>
      <c r="Q623">
        <f>IF($A623="","",IF(OR($E623="INFRUCTUEUX",$E623="ANNULE"),$A623&amp;"|"&amp;(COUNTIFS($A$2:$A623,$A623,$E$2:$E623,"INFRUCTUEUX")+COUNTIFS($A$2:$A623,$A623,$E$2:$E623,"ANNULE")),""))</f>
        <v/>
      </c>
    </row>
    <row r="624">
      <c r="A624">
        <f>IF(ISBLANK('ENGAGEMENTS 2026'!B624),"",IF('ENGAGEMENTS 2026'!B624="DTSI","DCT",'ENGAGEMENTS 2026'!B624))</f>
        <v/>
      </c>
      <c r="B624">
        <f>IF(ISBLANK('ENGAGEMENTS 2026'!B624),"",'ENGAGEMENTS 2026'!C624)</f>
        <v/>
      </c>
      <c r="C624">
        <f>IF(ISBLANK('ENGAGEMENTS 2026'!B624),"",'ENGAGEMENTS 2026'!D624)</f>
        <v/>
      </c>
      <c r="D624">
        <f>IF(ISBLANK('ENGAGEMENTS 2026'!B624),"",'ENGAGEMENTS 2026'!F624)</f>
        <v/>
      </c>
      <c r="E624">
        <f>IF(ISBLANK('ENGAGEMENTS 2026'!B624),"",'ENGAGEMENTS 2026'!H624)</f>
        <v/>
      </c>
      <c r="F624">
        <f>IF(ISBLANK('ENGAGEMENTS 2026'!B624),"",'ENGAGEMENTS 2026'!I624)</f>
        <v/>
      </c>
      <c r="G624">
        <f>IF(ISBLANK('ENGAGEMENTS 2026'!B624),"",'ENGAGEMENTS 2026'!L624)</f>
        <v/>
      </c>
      <c r="H624">
        <f>IF(ISBLANK('ENGAGEMENTS 2026'!B624),"",'ENGAGEMENTS 2026'!AE624)</f>
        <v/>
      </c>
      <c r="I624">
        <f>IF(ISBLANK('ENGAGEMENTS 2026'!B624),"",'ENGAGEMENTS 2026'!G624)</f>
        <v/>
      </c>
      <c r="J624" s="275">
        <f>IF(ISBLANK('ENGAGEMENTS 2026'!B624),"",IF(AND(OR($E624="INFRUCTUEUX",$E624="ANNULE"),$C624="AOO-M"),'ENGAGEMENTS 2026'!O624,IF($H624="EN COURS DE PREENGAGEMENT",'ENGAGEMENTS 2026'!N624,IF($H624="PREENGAGE",IF($E624="ATTRIBUE",'ENGAGEMENTS 2026'!AD624,'ENGAGEMENTS 2026'!N624),'ENGAGEMENTS 2026'!AD624))))</f>
        <v/>
      </c>
      <c r="K624" s="604">
        <f>IF(ISBLANK('ENGAGEMENTS 2026'!V624),"",'ENGAGEMENTS 2026'!V624)</f>
        <v/>
      </c>
      <c r="L624" s="276">
        <f>IF($K624="","",TODAY()-$K624)</f>
        <v/>
      </c>
      <c r="M624">
        <f>IF($A624="","",IF($H624="ENGAGE","Engagé",IF(AND($H624="NON ENGAGE",OR($I624="INFRUCTUEUX",$I624="ANNULE")),"Clôturé sans suite","En cours")))</f>
        <v/>
      </c>
      <c r="N624">
        <f>IF(ISBLANK('ENGAGEMENTS 2026'!B624),"",'ENGAGEMENTS 2026'!K624)</f>
        <v/>
      </c>
      <c r="O624">
        <f>IF(ISBLANK('ENGAGEMENTS 2026'!B624),"",'ENGAGEMENTS 2026'!L624)</f>
        <v/>
      </c>
      <c r="P624">
        <f>IF(ISBLANK('ENGAGEMENTS 2026'!B624),"",'ENGAGEMENTS 2026'!J624)</f>
        <v/>
      </c>
      <c r="Q624">
        <f>IF($A624="","",IF(OR($E624="INFRUCTUEUX",$E624="ANNULE"),$A624&amp;"|"&amp;(COUNTIFS($A$2:$A624,$A624,$E$2:$E624,"INFRUCTUEUX")+COUNTIFS($A$2:$A624,$A624,$E$2:$E624,"ANNULE")),""))</f>
        <v/>
      </c>
    </row>
    <row r="625">
      <c r="A625">
        <f>IF(ISBLANK('ENGAGEMENTS 2026'!B625),"",IF('ENGAGEMENTS 2026'!B625="DTSI","DCT",'ENGAGEMENTS 2026'!B625))</f>
        <v/>
      </c>
      <c r="B625">
        <f>IF(ISBLANK('ENGAGEMENTS 2026'!B625),"",'ENGAGEMENTS 2026'!C625)</f>
        <v/>
      </c>
      <c r="C625">
        <f>IF(ISBLANK('ENGAGEMENTS 2026'!B625),"",'ENGAGEMENTS 2026'!D625)</f>
        <v/>
      </c>
      <c r="D625">
        <f>IF(ISBLANK('ENGAGEMENTS 2026'!B625),"",'ENGAGEMENTS 2026'!F625)</f>
        <v/>
      </c>
      <c r="E625">
        <f>IF(ISBLANK('ENGAGEMENTS 2026'!B625),"",'ENGAGEMENTS 2026'!H625)</f>
        <v/>
      </c>
      <c r="F625">
        <f>IF(ISBLANK('ENGAGEMENTS 2026'!B625),"",'ENGAGEMENTS 2026'!I625)</f>
        <v/>
      </c>
      <c r="G625">
        <f>IF(ISBLANK('ENGAGEMENTS 2026'!B625),"",'ENGAGEMENTS 2026'!L625)</f>
        <v/>
      </c>
      <c r="H625">
        <f>IF(ISBLANK('ENGAGEMENTS 2026'!B625),"",'ENGAGEMENTS 2026'!AE625)</f>
        <v/>
      </c>
      <c r="I625">
        <f>IF(ISBLANK('ENGAGEMENTS 2026'!B625),"",'ENGAGEMENTS 2026'!G625)</f>
        <v/>
      </c>
      <c r="J625" s="275">
        <f>IF(ISBLANK('ENGAGEMENTS 2026'!B625),"",IF(AND(OR($E625="INFRUCTUEUX",$E625="ANNULE"),$C625="AOO-M"),'ENGAGEMENTS 2026'!O625,IF($H625="EN COURS DE PREENGAGEMENT",'ENGAGEMENTS 2026'!N625,IF($H625="PREENGAGE",IF($E625="ATTRIBUE",'ENGAGEMENTS 2026'!AD625,'ENGAGEMENTS 2026'!N625),'ENGAGEMENTS 2026'!AD625))))</f>
        <v/>
      </c>
      <c r="K625" s="604">
        <f>IF(ISBLANK('ENGAGEMENTS 2026'!V625),"",'ENGAGEMENTS 2026'!V625)</f>
        <v/>
      </c>
      <c r="L625" s="276">
        <f>IF($K625="","",TODAY()-$K625)</f>
        <v/>
      </c>
      <c r="M625">
        <f>IF($A625="","",IF($H625="ENGAGE","Engagé",IF(AND($H625="NON ENGAGE",OR($I625="INFRUCTUEUX",$I625="ANNULE")),"Clôturé sans suite","En cours")))</f>
        <v/>
      </c>
      <c r="N625">
        <f>IF(ISBLANK('ENGAGEMENTS 2026'!B625),"",'ENGAGEMENTS 2026'!K625)</f>
        <v/>
      </c>
      <c r="O625">
        <f>IF(ISBLANK('ENGAGEMENTS 2026'!B625),"",'ENGAGEMENTS 2026'!L625)</f>
        <v/>
      </c>
      <c r="P625">
        <f>IF(ISBLANK('ENGAGEMENTS 2026'!B625),"",'ENGAGEMENTS 2026'!J625)</f>
        <v/>
      </c>
      <c r="Q625">
        <f>IF($A625="","",IF(OR($E625="INFRUCTUEUX",$E625="ANNULE"),$A625&amp;"|"&amp;(COUNTIFS($A$2:$A625,$A625,$E$2:$E625,"INFRUCTUEUX")+COUNTIFS($A$2:$A625,$A625,$E$2:$E625,"ANNULE")),""))</f>
        <v/>
      </c>
    </row>
    <row r="626">
      <c r="A626">
        <f>IF(ISBLANK('ENGAGEMENTS 2026'!B626),"",IF('ENGAGEMENTS 2026'!B626="DTSI","DCT",'ENGAGEMENTS 2026'!B626))</f>
        <v/>
      </c>
      <c r="B626">
        <f>IF(ISBLANK('ENGAGEMENTS 2026'!B626),"",'ENGAGEMENTS 2026'!C626)</f>
        <v/>
      </c>
      <c r="C626">
        <f>IF(ISBLANK('ENGAGEMENTS 2026'!B626),"",'ENGAGEMENTS 2026'!D626)</f>
        <v/>
      </c>
      <c r="D626">
        <f>IF(ISBLANK('ENGAGEMENTS 2026'!B626),"",'ENGAGEMENTS 2026'!F626)</f>
        <v/>
      </c>
      <c r="E626">
        <f>IF(ISBLANK('ENGAGEMENTS 2026'!B626),"",'ENGAGEMENTS 2026'!H626)</f>
        <v/>
      </c>
      <c r="F626">
        <f>IF(ISBLANK('ENGAGEMENTS 2026'!B626),"",'ENGAGEMENTS 2026'!I626)</f>
        <v/>
      </c>
      <c r="G626">
        <f>IF(ISBLANK('ENGAGEMENTS 2026'!B626),"",'ENGAGEMENTS 2026'!L626)</f>
        <v/>
      </c>
      <c r="H626">
        <f>IF(ISBLANK('ENGAGEMENTS 2026'!B626),"",'ENGAGEMENTS 2026'!AE626)</f>
        <v/>
      </c>
      <c r="I626">
        <f>IF(ISBLANK('ENGAGEMENTS 2026'!B626),"",'ENGAGEMENTS 2026'!G626)</f>
        <v/>
      </c>
      <c r="J626" s="275">
        <f>IF(ISBLANK('ENGAGEMENTS 2026'!B626),"",IF(AND(OR($E626="INFRUCTUEUX",$E626="ANNULE"),$C626="AOO-M"),'ENGAGEMENTS 2026'!O626,IF($H626="EN COURS DE PREENGAGEMENT",'ENGAGEMENTS 2026'!N626,IF($H626="PREENGAGE",IF($E626="ATTRIBUE",'ENGAGEMENTS 2026'!AD626,'ENGAGEMENTS 2026'!N626),'ENGAGEMENTS 2026'!AD626))))</f>
        <v/>
      </c>
      <c r="K626" s="604">
        <f>IF(ISBLANK('ENGAGEMENTS 2026'!V626),"",'ENGAGEMENTS 2026'!V626)</f>
        <v/>
      </c>
      <c r="L626" s="276">
        <f>IF($K626="","",TODAY()-$K626)</f>
        <v/>
      </c>
      <c r="M626">
        <f>IF($A626="","",IF($H626="ENGAGE","Engagé",IF(AND($H626="NON ENGAGE",OR($I626="INFRUCTUEUX",$I626="ANNULE")),"Clôturé sans suite","En cours")))</f>
        <v/>
      </c>
      <c r="N626">
        <f>IF(ISBLANK('ENGAGEMENTS 2026'!B626),"",'ENGAGEMENTS 2026'!K626)</f>
        <v/>
      </c>
      <c r="O626">
        <f>IF(ISBLANK('ENGAGEMENTS 2026'!B626),"",'ENGAGEMENTS 2026'!L626)</f>
        <v/>
      </c>
      <c r="P626">
        <f>IF(ISBLANK('ENGAGEMENTS 2026'!B626),"",'ENGAGEMENTS 2026'!J626)</f>
        <v/>
      </c>
      <c r="Q626">
        <f>IF($A626="","",IF(OR($E626="INFRUCTUEUX",$E626="ANNULE"),$A626&amp;"|"&amp;(COUNTIFS($A$2:$A626,$A626,$E$2:$E626,"INFRUCTUEUX")+COUNTIFS($A$2:$A626,$A626,$E$2:$E626,"ANNULE")),""))</f>
        <v/>
      </c>
    </row>
    <row r="627">
      <c r="A627">
        <f>IF(ISBLANK('ENGAGEMENTS 2026'!B627),"",IF('ENGAGEMENTS 2026'!B627="DTSI","DCT",'ENGAGEMENTS 2026'!B627))</f>
        <v/>
      </c>
      <c r="B627">
        <f>IF(ISBLANK('ENGAGEMENTS 2026'!B627),"",'ENGAGEMENTS 2026'!C627)</f>
        <v/>
      </c>
      <c r="C627">
        <f>IF(ISBLANK('ENGAGEMENTS 2026'!B627),"",'ENGAGEMENTS 2026'!D627)</f>
        <v/>
      </c>
      <c r="D627">
        <f>IF(ISBLANK('ENGAGEMENTS 2026'!B627),"",'ENGAGEMENTS 2026'!F627)</f>
        <v/>
      </c>
      <c r="E627">
        <f>IF(ISBLANK('ENGAGEMENTS 2026'!B627),"",'ENGAGEMENTS 2026'!H627)</f>
        <v/>
      </c>
      <c r="F627">
        <f>IF(ISBLANK('ENGAGEMENTS 2026'!B627),"",'ENGAGEMENTS 2026'!I627)</f>
        <v/>
      </c>
      <c r="G627">
        <f>IF(ISBLANK('ENGAGEMENTS 2026'!B627),"",'ENGAGEMENTS 2026'!L627)</f>
        <v/>
      </c>
      <c r="H627">
        <f>IF(ISBLANK('ENGAGEMENTS 2026'!B627),"",'ENGAGEMENTS 2026'!AE627)</f>
        <v/>
      </c>
      <c r="I627">
        <f>IF(ISBLANK('ENGAGEMENTS 2026'!B627),"",'ENGAGEMENTS 2026'!G627)</f>
        <v/>
      </c>
      <c r="J627" s="275">
        <f>IF(ISBLANK('ENGAGEMENTS 2026'!B627),"",IF(AND(OR($E627="INFRUCTUEUX",$E627="ANNULE"),$C627="AOO-M"),'ENGAGEMENTS 2026'!O627,IF($H627="EN COURS DE PREENGAGEMENT",'ENGAGEMENTS 2026'!N627,IF($H627="PREENGAGE",IF($E627="ATTRIBUE",'ENGAGEMENTS 2026'!AD627,'ENGAGEMENTS 2026'!N627),'ENGAGEMENTS 2026'!AD627))))</f>
        <v/>
      </c>
      <c r="K627" s="604">
        <f>IF(ISBLANK('ENGAGEMENTS 2026'!V627),"",'ENGAGEMENTS 2026'!V627)</f>
        <v/>
      </c>
      <c r="L627" s="276">
        <f>IF($K627="","",TODAY()-$K627)</f>
        <v/>
      </c>
      <c r="M627">
        <f>IF($A627="","",IF($H627="ENGAGE","Engagé",IF(AND($H627="NON ENGAGE",OR($I627="INFRUCTUEUX",$I627="ANNULE")),"Clôturé sans suite","En cours")))</f>
        <v/>
      </c>
      <c r="N627">
        <f>IF(ISBLANK('ENGAGEMENTS 2026'!B627),"",'ENGAGEMENTS 2026'!K627)</f>
        <v/>
      </c>
      <c r="O627">
        <f>IF(ISBLANK('ENGAGEMENTS 2026'!B627),"",'ENGAGEMENTS 2026'!L627)</f>
        <v/>
      </c>
      <c r="P627">
        <f>IF(ISBLANK('ENGAGEMENTS 2026'!B627),"",'ENGAGEMENTS 2026'!J627)</f>
        <v/>
      </c>
      <c r="Q627">
        <f>IF($A627="","",IF(OR($E627="INFRUCTUEUX",$E627="ANNULE"),$A627&amp;"|"&amp;(COUNTIFS($A$2:$A627,$A627,$E$2:$E627,"INFRUCTUEUX")+COUNTIFS($A$2:$A627,$A627,$E$2:$E627,"ANNULE")),""))</f>
        <v/>
      </c>
    </row>
    <row r="628">
      <c r="A628">
        <f>IF(ISBLANK('ENGAGEMENTS 2026'!B628),"",IF('ENGAGEMENTS 2026'!B628="DTSI","DCT",'ENGAGEMENTS 2026'!B628))</f>
        <v/>
      </c>
      <c r="B628">
        <f>IF(ISBLANK('ENGAGEMENTS 2026'!B628),"",'ENGAGEMENTS 2026'!C628)</f>
        <v/>
      </c>
      <c r="C628">
        <f>IF(ISBLANK('ENGAGEMENTS 2026'!B628),"",'ENGAGEMENTS 2026'!D628)</f>
        <v/>
      </c>
      <c r="D628">
        <f>IF(ISBLANK('ENGAGEMENTS 2026'!B628),"",'ENGAGEMENTS 2026'!F628)</f>
        <v/>
      </c>
      <c r="E628">
        <f>IF(ISBLANK('ENGAGEMENTS 2026'!B628),"",'ENGAGEMENTS 2026'!H628)</f>
        <v/>
      </c>
      <c r="F628">
        <f>IF(ISBLANK('ENGAGEMENTS 2026'!B628),"",'ENGAGEMENTS 2026'!I628)</f>
        <v/>
      </c>
      <c r="G628">
        <f>IF(ISBLANK('ENGAGEMENTS 2026'!B628),"",'ENGAGEMENTS 2026'!L628)</f>
        <v/>
      </c>
      <c r="H628">
        <f>IF(ISBLANK('ENGAGEMENTS 2026'!B628),"",'ENGAGEMENTS 2026'!AE628)</f>
        <v/>
      </c>
      <c r="I628">
        <f>IF(ISBLANK('ENGAGEMENTS 2026'!B628),"",'ENGAGEMENTS 2026'!G628)</f>
        <v/>
      </c>
      <c r="J628" s="275">
        <f>IF(ISBLANK('ENGAGEMENTS 2026'!B628),"",IF(AND(OR($E628="INFRUCTUEUX",$E628="ANNULE"),$C628="AOO-M"),'ENGAGEMENTS 2026'!O628,IF($H628="EN COURS DE PREENGAGEMENT",'ENGAGEMENTS 2026'!N628,IF($H628="PREENGAGE",IF($E628="ATTRIBUE",'ENGAGEMENTS 2026'!AD628,'ENGAGEMENTS 2026'!N628),'ENGAGEMENTS 2026'!AD628))))</f>
        <v/>
      </c>
      <c r="K628" s="604">
        <f>IF(ISBLANK('ENGAGEMENTS 2026'!V628),"",'ENGAGEMENTS 2026'!V628)</f>
        <v/>
      </c>
      <c r="L628" s="276">
        <f>IF($K628="","",TODAY()-$K628)</f>
        <v/>
      </c>
      <c r="M628">
        <f>IF($A628="","",IF($H628="ENGAGE","Engagé",IF(AND($H628="NON ENGAGE",OR($I628="INFRUCTUEUX",$I628="ANNULE")),"Clôturé sans suite","En cours")))</f>
        <v/>
      </c>
      <c r="N628">
        <f>IF(ISBLANK('ENGAGEMENTS 2026'!B628),"",'ENGAGEMENTS 2026'!K628)</f>
        <v/>
      </c>
      <c r="O628">
        <f>IF(ISBLANK('ENGAGEMENTS 2026'!B628),"",'ENGAGEMENTS 2026'!L628)</f>
        <v/>
      </c>
      <c r="P628">
        <f>IF(ISBLANK('ENGAGEMENTS 2026'!B628),"",'ENGAGEMENTS 2026'!J628)</f>
        <v/>
      </c>
      <c r="Q628">
        <f>IF($A628="","",IF(OR($E628="INFRUCTUEUX",$E628="ANNULE"),$A628&amp;"|"&amp;(COUNTIFS($A$2:$A628,$A628,$E$2:$E628,"INFRUCTUEUX")+COUNTIFS($A$2:$A628,$A628,$E$2:$E628,"ANNULE")),""))</f>
        <v/>
      </c>
    </row>
    <row r="629">
      <c r="A629">
        <f>IF(ISBLANK('ENGAGEMENTS 2026'!B629),"",IF('ENGAGEMENTS 2026'!B629="DTSI","DCT",'ENGAGEMENTS 2026'!B629))</f>
        <v/>
      </c>
      <c r="B629">
        <f>IF(ISBLANK('ENGAGEMENTS 2026'!B629),"",'ENGAGEMENTS 2026'!C629)</f>
        <v/>
      </c>
      <c r="C629">
        <f>IF(ISBLANK('ENGAGEMENTS 2026'!B629),"",'ENGAGEMENTS 2026'!D629)</f>
        <v/>
      </c>
      <c r="D629">
        <f>IF(ISBLANK('ENGAGEMENTS 2026'!B629),"",'ENGAGEMENTS 2026'!F629)</f>
        <v/>
      </c>
      <c r="E629">
        <f>IF(ISBLANK('ENGAGEMENTS 2026'!B629),"",'ENGAGEMENTS 2026'!H629)</f>
        <v/>
      </c>
      <c r="F629">
        <f>IF(ISBLANK('ENGAGEMENTS 2026'!B629),"",'ENGAGEMENTS 2026'!I629)</f>
        <v/>
      </c>
      <c r="G629">
        <f>IF(ISBLANK('ENGAGEMENTS 2026'!B629),"",'ENGAGEMENTS 2026'!L629)</f>
        <v/>
      </c>
      <c r="H629">
        <f>IF(ISBLANK('ENGAGEMENTS 2026'!B629),"",'ENGAGEMENTS 2026'!AE629)</f>
        <v/>
      </c>
      <c r="I629">
        <f>IF(ISBLANK('ENGAGEMENTS 2026'!B629),"",'ENGAGEMENTS 2026'!G629)</f>
        <v/>
      </c>
      <c r="J629" s="275">
        <f>IF(ISBLANK('ENGAGEMENTS 2026'!B629),"",IF(AND(OR($E629="INFRUCTUEUX",$E629="ANNULE"),$C629="AOO-M"),'ENGAGEMENTS 2026'!O629,IF($H629="EN COURS DE PREENGAGEMENT",'ENGAGEMENTS 2026'!N629,IF($H629="PREENGAGE",IF($E629="ATTRIBUE",'ENGAGEMENTS 2026'!AD629,'ENGAGEMENTS 2026'!N629),'ENGAGEMENTS 2026'!AD629))))</f>
        <v/>
      </c>
      <c r="K629" s="604">
        <f>IF(ISBLANK('ENGAGEMENTS 2026'!V629),"",'ENGAGEMENTS 2026'!V629)</f>
        <v/>
      </c>
      <c r="L629" s="276">
        <f>IF($K629="","",TODAY()-$K629)</f>
        <v/>
      </c>
      <c r="M629">
        <f>IF($A629="","",IF($H629="ENGAGE","Engagé",IF(AND($H629="NON ENGAGE",OR($I629="INFRUCTUEUX",$I629="ANNULE")),"Clôturé sans suite","En cours")))</f>
        <v/>
      </c>
      <c r="N629">
        <f>IF(ISBLANK('ENGAGEMENTS 2026'!B629),"",'ENGAGEMENTS 2026'!K629)</f>
        <v/>
      </c>
      <c r="O629">
        <f>IF(ISBLANK('ENGAGEMENTS 2026'!B629),"",'ENGAGEMENTS 2026'!L629)</f>
        <v/>
      </c>
      <c r="P629">
        <f>IF(ISBLANK('ENGAGEMENTS 2026'!B629),"",'ENGAGEMENTS 2026'!J629)</f>
        <v/>
      </c>
      <c r="Q629">
        <f>IF($A629="","",IF(OR($E629="INFRUCTUEUX",$E629="ANNULE"),$A629&amp;"|"&amp;(COUNTIFS($A$2:$A629,$A629,$E$2:$E629,"INFRUCTUEUX")+COUNTIFS($A$2:$A629,$A629,$E$2:$E629,"ANNULE")),""))</f>
        <v/>
      </c>
    </row>
    <row r="630">
      <c r="A630">
        <f>IF(ISBLANK('ENGAGEMENTS 2026'!B630),"",IF('ENGAGEMENTS 2026'!B630="DTSI","DCT",'ENGAGEMENTS 2026'!B630))</f>
        <v/>
      </c>
      <c r="B630">
        <f>IF(ISBLANK('ENGAGEMENTS 2026'!B630),"",'ENGAGEMENTS 2026'!C630)</f>
        <v/>
      </c>
      <c r="C630">
        <f>IF(ISBLANK('ENGAGEMENTS 2026'!B630),"",'ENGAGEMENTS 2026'!D630)</f>
        <v/>
      </c>
      <c r="D630">
        <f>IF(ISBLANK('ENGAGEMENTS 2026'!B630),"",'ENGAGEMENTS 2026'!F630)</f>
        <v/>
      </c>
      <c r="E630">
        <f>IF(ISBLANK('ENGAGEMENTS 2026'!B630),"",'ENGAGEMENTS 2026'!H630)</f>
        <v/>
      </c>
      <c r="F630">
        <f>IF(ISBLANK('ENGAGEMENTS 2026'!B630),"",'ENGAGEMENTS 2026'!I630)</f>
        <v/>
      </c>
      <c r="G630">
        <f>IF(ISBLANK('ENGAGEMENTS 2026'!B630),"",'ENGAGEMENTS 2026'!L630)</f>
        <v/>
      </c>
      <c r="H630">
        <f>IF(ISBLANK('ENGAGEMENTS 2026'!B630),"",'ENGAGEMENTS 2026'!AE630)</f>
        <v/>
      </c>
      <c r="I630">
        <f>IF(ISBLANK('ENGAGEMENTS 2026'!B630),"",'ENGAGEMENTS 2026'!G630)</f>
        <v/>
      </c>
      <c r="J630" s="275">
        <f>IF(ISBLANK('ENGAGEMENTS 2026'!B630),"",IF(AND(OR($E630="INFRUCTUEUX",$E630="ANNULE"),$C630="AOO-M"),'ENGAGEMENTS 2026'!O630,IF($H630="EN COURS DE PREENGAGEMENT",'ENGAGEMENTS 2026'!N630,IF($H630="PREENGAGE",IF($E630="ATTRIBUE",'ENGAGEMENTS 2026'!AD630,'ENGAGEMENTS 2026'!N630),'ENGAGEMENTS 2026'!AD630))))</f>
        <v/>
      </c>
      <c r="K630" s="604">
        <f>IF(ISBLANK('ENGAGEMENTS 2026'!V630),"",'ENGAGEMENTS 2026'!V630)</f>
        <v/>
      </c>
      <c r="L630" s="276">
        <f>IF($K630="","",TODAY()-$K630)</f>
        <v/>
      </c>
      <c r="M630">
        <f>IF($A630="","",IF($H630="ENGAGE","Engagé",IF(AND($H630="NON ENGAGE",OR($I630="INFRUCTUEUX",$I630="ANNULE")),"Clôturé sans suite","En cours")))</f>
        <v/>
      </c>
      <c r="N630">
        <f>IF(ISBLANK('ENGAGEMENTS 2026'!B630),"",'ENGAGEMENTS 2026'!K630)</f>
        <v/>
      </c>
      <c r="O630">
        <f>IF(ISBLANK('ENGAGEMENTS 2026'!B630),"",'ENGAGEMENTS 2026'!L630)</f>
        <v/>
      </c>
      <c r="P630">
        <f>IF(ISBLANK('ENGAGEMENTS 2026'!B630),"",'ENGAGEMENTS 2026'!J630)</f>
        <v/>
      </c>
      <c r="Q630">
        <f>IF($A630="","",IF(OR($E630="INFRUCTUEUX",$E630="ANNULE"),$A630&amp;"|"&amp;(COUNTIFS($A$2:$A630,$A630,$E$2:$E630,"INFRUCTUEUX")+COUNTIFS($A$2:$A630,$A630,$E$2:$E630,"ANNULE")),""))</f>
        <v/>
      </c>
    </row>
    <row r="631">
      <c r="A631">
        <f>IF(ISBLANK('ENGAGEMENTS 2026'!B631),"",IF('ENGAGEMENTS 2026'!B631="DTSI","DCT",'ENGAGEMENTS 2026'!B631))</f>
        <v/>
      </c>
      <c r="B631">
        <f>IF(ISBLANK('ENGAGEMENTS 2026'!B631),"",'ENGAGEMENTS 2026'!C631)</f>
        <v/>
      </c>
      <c r="C631">
        <f>IF(ISBLANK('ENGAGEMENTS 2026'!B631),"",'ENGAGEMENTS 2026'!D631)</f>
        <v/>
      </c>
      <c r="D631">
        <f>IF(ISBLANK('ENGAGEMENTS 2026'!B631),"",'ENGAGEMENTS 2026'!F631)</f>
        <v/>
      </c>
      <c r="E631">
        <f>IF(ISBLANK('ENGAGEMENTS 2026'!B631),"",'ENGAGEMENTS 2026'!H631)</f>
        <v/>
      </c>
      <c r="F631">
        <f>IF(ISBLANK('ENGAGEMENTS 2026'!B631),"",'ENGAGEMENTS 2026'!I631)</f>
        <v/>
      </c>
      <c r="G631">
        <f>IF(ISBLANK('ENGAGEMENTS 2026'!B631),"",'ENGAGEMENTS 2026'!L631)</f>
        <v/>
      </c>
      <c r="H631">
        <f>IF(ISBLANK('ENGAGEMENTS 2026'!B631),"",'ENGAGEMENTS 2026'!AE631)</f>
        <v/>
      </c>
      <c r="I631">
        <f>IF(ISBLANK('ENGAGEMENTS 2026'!B631),"",'ENGAGEMENTS 2026'!G631)</f>
        <v/>
      </c>
      <c r="J631" s="275">
        <f>IF(ISBLANK('ENGAGEMENTS 2026'!B631),"",IF(AND(OR($E631="INFRUCTUEUX",$E631="ANNULE"),$C631="AOO-M"),'ENGAGEMENTS 2026'!O631,IF($H631="EN COURS DE PREENGAGEMENT",'ENGAGEMENTS 2026'!N631,IF($H631="PREENGAGE",IF($E631="ATTRIBUE",'ENGAGEMENTS 2026'!AD631,'ENGAGEMENTS 2026'!N631),'ENGAGEMENTS 2026'!AD631))))</f>
        <v/>
      </c>
      <c r="K631" s="604">
        <f>IF(ISBLANK('ENGAGEMENTS 2026'!V631),"",'ENGAGEMENTS 2026'!V631)</f>
        <v/>
      </c>
      <c r="L631" s="276">
        <f>IF($K631="","",TODAY()-$K631)</f>
        <v/>
      </c>
      <c r="M631">
        <f>IF($A631="","",IF($H631="ENGAGE","Engagé",IF(AND($H631="NON ENGAGE",OR($I631="INFRUCTUEUX",$I631="ANNULE")),"Clôturé sans suite","En cours")))</f>
        <v/>
      </c>
      <c r="N631">
        <f>IF(ISBLANK('ENGAGEMENTS 2026'!B631),"",'ENGAGEMENTS 2026'!K631)</f>
        <v/>
      </c>
      <c r="O631">
        <f>IF(ISBLANK('ENGAGEMENTS 2026'!B631),"",'ENGAGEMENTS 2026'!L631)</f>
        <v/>
      </c>
      <c r="P631">
        <f>IF(ISBLANK('ENGAGEMENTS 2026'!B631),"",'ENGAGEMENTS 2026'!J631)</f>
        <v/>
      </c>
      <c r="Q631">
        <f>IF($A631="","",IF(OR($E631="INFRUCTUEUX",$E631="ANNULE"),$A631&amp;"|"&amp;(COUNTIFS($A$2:$A631,$A631,$E$2:$E631,"INFRUCTUEUX")+COUNTIFS($A$2:$A631,$A631,$E$2:$E631,"ANNULE")),""))</f>
        <v/>
      </c>
    </row>
    <row r="632">
      <c r="A632">
        <f>IF(ISBLANK('ENGAGEMENTS 2026'!B632),"",IF('ENGAGEMENTS 2026'!B632="DTSI","DCT",'ENGAGEMENTS 2026'!B632))</f>
        <v/>
      </c>
      <c r="B632">
        <f>IF(ISBLANK('ENGAGEMENTS 2026'!B632),"",'ENGAGEMENTS 2026'!C632)</f>
        <v/>
      </c>
      <c r="C632">
        <f>IF(ISBLANK('ENGAGEMENTS 2026'!B632),"",'ENGAGEMENTS 2026'!D632)</f>
        <v/>
      </c>
      <c r="D632">
        <f>IF(ISBLANK('ENGAGEMENTS 2026'!B632),"",'ENGAGEMENTS 2026'!F632)</f>
        <v/>
      </c>
      <c r="E632">
        <f>IF(ISBLANK('ENGAGEMENTS 2026'!B632),"",'ENGAGEMENTS 2026'!H632)</f>
        <v/>
      </c>
      <c r="F632">
        <f>IF(ISBLANK('ENGAGEMENTS 2026'!B632),"",'ENGAGEMENTS 2026'!I632)</f>
        <v/>
      </c>
      <c r="G632">
        <f>IF(ISBLANK('ENGAGEMENTS 2026'!B632),"",'ENGAGEMENTS 2026'!L632)</f>
        <v/>
      </c>
      <c r="H632">
        <f>IF(ISBLANK('ENGAGEMENTS 2026'!B632),"",'ENGAGEMENTS 2026'!AE632)</f>
        <v/>
      </c>
      <c r="I632">
        <f>IF(ISBLANK('ENGAGEMENTS 2026'!B632),"",'ENGAGEMENTS 2026'!G632)</f>
        <v/>
      </c>
      <c r="J632" s="275">
        <f>IF(ISBLANK('ENGAGEMENTS 2026'!B632),"",IF(AND(OR($E632="INFRUCTUEUX",$E632="ANNULE"),$C632="AOO-M"),'ENGAGEMENTS 2026'!O632,IF($H632="EN COURS DE PREENGAGEMENT",'ENGAGEMENTS 2026'!N632,IF($H632="PREENGAGE",IF($E632="ATTRIBUE",'ENGAGEMENTS 2026'!AD632,'ENGAGEMENTS 2026'!N632),'ENGAGEMENTS 2026'!AD632))))</f>
        <v/>
      </c>
      <c r="K632" s="604">
        <f>IF(ISBLANK('ENGAGEMENTS 2026'!V632),"",'ENGAGEMENTS 2026'!V632)</f>
        <v/>
      </c>
      <c r="L632" s="276">
        <f>IF($K632="","",TODAY()-$K632)</f>
        <v/>
      </c>
      <c r="M632">
        <f>IF($A632="","",IF($H632="ENGAGE","Engagé",IF(AND($H632="NON ENGAGE",OR($I632="INFRUCTUEUX",$I632="ANNULE")),"Clôturé sans suite","En cours")))</f>
        <v/>
      </c>
      <c r="N632">
        <f>IF(ISBLANK('ENGAGEMENTS 2026'!B632),"",'ENGAGEMENTS 2026'!K632)</f>
        <v/>
      </c>
      <c r="O632">
        <f>IF(ISBLANK('ENGAGEMENTS 2026'!B632),"",'ENGAGEMENTS 2026'!L632)</f>
        <v/>
      </c>
      <c r="P632">
        <f>IF(ISBLANK('ENGAGEMENTS 2026'!B632),"",'ENGAGEMENTS 2026'!J632)</f>
        <v/>
      </c>
      <c r="Q632">
        <f>IF($A632="","",IF(OR($E632="INFRUCTUEUX",$E632="ANNULE"),$A632&amp;"|"&amp;(COUNTIFS($A$2:$A632,$A632,$E$2:$E632,"INFRUCTUEUX")+COUNTIFS($A$2:$A632,$A632,$E$2:$E632,"ANNULE")),""))</f>
        <v/>
      </c>
    </row>
    <row r="633">
      <c r="A633">
        <f>IF(ISBLANK('ENGAGEMENTS 2026'!B633),"",IF('ENGAGEMENTS 2026'!B633="DTSI","DCT",'ENGAGEMENTS 2026'!B633))</f>
        <v/>
      </c>
      <c r="B633">
        <f>IF(ISBLANK('ENGAGEMENTS 2026'!B633),"",'ENGAGEMENTS 2026'!C633)</f>
        <v/>
      </c>
      <c r="C633">
        <f>IF(ISBLANK('ENGAGEMENTS 2026'!B633),"",'ENGAGEMENTS 2026'!D633)</f>
        <v/>
      </c>
      <c r="D633">
        <f>IF(ISBLANK('ENGAGEMENTS 2026'!B633),"",'ENGAGEMENTS 2026'!F633)</f>
        <v/>
      </c>
      <c r="E633">
        <f>IF(ISBLANK('ENGAGEMENTS 2026'!B633),"",'ENGAGEMENTS 2026'!H633)</f>
        <v/>
      </c>
      <c r="F633">
        <f>IF(ISBLANK('ENGAGEMENTS 2026'!B633),"",'ENGAGEMENTS 2026'!I633)</f>
        <v/>
      </c>
      <c r="G633">
        <f>IF(ISBLANK('ENGAGEMENTS 2026'!B633),"",'ENGAGEMENTS 2026'!L633)</f>
        <v/>
      </c>
      <c r="H633">
        <f>IF(ISBLANK('ENGAGEMENTS 2026'!B633),"",'ENGAGEMENTS 2026'!AE633)</f>
        <v/>
      </c>
      <c r="I633">
        <f>IF(ISBLANK('ENGAGEMENTS 2026'!B633),"",'ENGAGEMENTS 2026'!G633)</f>
        <v/>
      </c>
      <c r="J633" s="275">
        <f>IF(ISBLANK('ENGAGEMENTS 2026'!B633),"",IF(AND(OR($E633="INFRUCTUEUX",$E633="ANNULE"),$C633="AOO-M"),'ENGAGEMENTS 2026'!O633,IF($H633="EN COURS DE PREENGAGEMENT",'ENGAGEMENTS 2026'!N633,IF($H633="PREENGAGE",IF($E633="ATTRIBUE",'ENGAGEMENTS 2026'!AD633,'ENGAGEMENTS 2026'!N633),'ENGAGEMENTS 2026'!AD633))))</f>
        <v/>
      </c>
      <c r="K633" s="604">
        <f>IF(ISBLANK('ENGAGEMENTS 2026'!V633),"",'ENGAGEMENTS 2026'!V633)</f>
        <v/>
      </c>
      <c r="L633" s="276">
        <f>IF($K633="","",TODAY()-$K633)</f>
        <v/>
      </c>
      <c r="M633">
        <f>IF($A633="","",IF($H633="ENGAGE","Engagé",IF(AND($H633="NON ENGAGE",OR($I633="INFRUCTUEUX",$I633="ANNULE")),"Clôturé sans suite","En cours")))</f>
        <v/>
      </c>
      <c r="N633">
        <f>IF(ISBLANK('ENGAGEMENTS 2026'!B633),"",'ENGAGEMENTS 2026'!K633)</f>
        <v/>
      </c>
      <c r="O633">
        <f>IF(ISBLANK('ENGAGEMENTS 2026'!B633),"",'ENGAGEMENTS 2026'!L633)</f>
        <v/>
      </c>
      <c r="P633">
        <f>IF(ISBLANK('ENGAGEMENTS 2026'!B633),"",'ENGAGEMENTS 2026'!J633)</f>
        <v/>
      </c>
      <c r="Q633">
        <f>IF($A633="","",IF(OR($E633="INFRUCTUEUX",$E633="ANNULE"),$A633&amp;"|"&amp;(COUNTIFS($A$2:$A633,$A633,$E$2:$E633,"INFRUCTUEUX")+COUNTIFS($A$2:$A633,$A633,$E$2:$E633,"ANNULE")),""))</f>
        <v/>
      </c>
    </row>
    <row r="634">
      <c r="A634">
        <f>IF(ISBLANK('ENGAGEMENTS 2026'!B634),"",IF('ENGAGEMENTS 2026'!B634="DTSI","DCT",'ENGAGEMENTS 2026'!B634))</f>
        <v/>
      </c>
      <c r="B634">
        <f>IF(ISBLANK('ENGAGEMENTS 2026'!B634),"",'ENGAGEMENTS 2026'!C634)</f>
        <v/>
      </c>
      <c r="C634">
        <f>IF(ISBLANK('ENGAGEMENTS 2026'!B634),"",'ENGAGEMENTS 2026'!D634)</f>
        <v/>
      </c>
      <c r="D634">
        <f>IF(ISBLANK('ENGAGEMENTS 2026'!B634),"",'ENGAGEMENTS 2026'!F634)</f>
        <v/>
      </c>
      <c r="E634">
        <f>IF(ISBLANK('ENGAGEMENTS 2026'!B634),"",'ENGAGEMENTS 2026'!H634)</f>
        <v/>
      </c>
      <c r="F634">
        <f>IF(ISBLANK('ENGAGEMENTS 2026'!B634),"",'ENGAGEMENTS 2026'!I634)</f>
        <v/>
      </c>
      <c r="G634">
        <f>IF(ISBLANK('ENGAGEMENTS 2026'!B634),"",'ENGAGEMENTS 2026'!L634)</f>
        <v/>
      </c>
      <c r="H634">
        <f>IF(ISBLANK('ENGAGEMENTS 2026'!B634),"",'ENGAGEMENTS 2026'!AE634)</f>
        <v/>
      </c>
      <c r="I634">
        <f>IF(ISBLANK('ENGAGEMENTS 2026'!B634),"",'ENGAGEMENTS 2026'!G634)</f>
        <v/>
      </c>
      <c r="J634" s="275">
        <f>IF(ISBLANK('ENGAGEMENTS 2026'!B634),"",IF(AND(OR($E634="INFRUCTUEUX",$E634="ANNULE"),$C634="AOO-M"),'ENGAGEMENTS 2026'!O634,IF($H634="EN COURS DE PREENGAGEMENT",'ENGAGEMENTS 2026'!N634,IF($H634="PREENGAGE",IF($E634="ATTRIBUE",'ENGAGEMENTS 2026'!AD634,'ENGAGEMENTS 2026'!N634),'ENGAGEMENTS 2026'!AD634))))</f>
        <v/>
      </c>
      <c r="K634" s="604">
        <f>IF(ISBLANK('ENGAGEMENTS 2026'!V634),"",'ENGAGEMENTS 2026'!V634)</f>
        <v/>
      </c>
      <c r="L634" s="276">
        <f>IF($K634="","",TODAY()-$K634)</f>
        <v/>
      </c>
      <c r="M634">
        <f>IF($A634="","",IF($H634="ENGAGE","Engagé",IF(AND($H634="NON ENGAGE",OR($I634="INFRUCTUEUX",$I634="ANNULE")),"Clôturé sans suite","En cours")))</f>
        <v/>
      </c>
      <c r="N634">
        <f>IF(ISBLANK('ENGAGEMENTS 2026'!B634),"",'ENGAGEMENTS 2026'!K634)</f>
        <v/>
      </c>
      <c r="O634">
        <f>IF(ISBLANK('ENGAGEMENTS 2026'!B634),"",'ENGAGEMENTS 2026'!L634)</f>
        <v/>
      </c>
      <c r="P634">
        <f>IF(ISBLANK('ENGAGEMENTS 2026'!B634),"",'ENGAGEMENTS 2026'!J634)</f>
        <v/>
      </c>
      <c r="Q634">
        <f>IF($A634="","",IF(OR($E634="INFRUCTUEUX",$E634="ANNULE"),$A634&amp;"|"&amp;(COUNTIFS($A$2:$A634,$A634,$E$2:$E634,"INFRUCTUEUX")+COUNTIFS($A$2:$A634,$A634,$E$2:$E634,"ANNULE")),""))</f>
        <v/>
      </c>
    </row>
    <row r="635">
      <c r="A635">
        <f>IF(ISBLANK('ENGAGEMENTS 2026'!B635),"",IF('ENGAGEMENTS 2026'!B635="DTSI","DCT",'ENGAGEMENTS 2026'!B635))</f>
        <v/>
      </c>
      <c r="B635">
        <f>IF(ISBLANK('ENGAGEMENTS 2026'!B635),"",'ENGAGEMENTS 2026'!C635)</f>
        <v/>
      </c>
      <c r="C635">
        <f>IF(ISBLANK('ENGAGEMENTS 2026'!B635),"",'ENGAGEMENTS 2026'!D635)</f>
        <v/>
      </c>
      <c r="D635">
        <f>IF(ISBLANK('ENGAGEMENTS 2026'!B635),"",'ENGAGEMENTS 2026'!F635)</f>
        <v/>
      </c>
      <c r="E635">
        <f>IF(ISBLANK('ENGAGEMENTS 2026'!B635),"",'ENGAGEMENTS 2026'!H635)</f>
        <v/>
      </c>
      <c r="F635">
        <f>IF(ISBLANK('ENGAGEMENTS 2026'!B635),"",'ENGAGEMENTS 2026'!I635)</f>
        <v/>
      </c>
      <c r="G635">
        <f>IF(ISBLANK('ENGAGEMENTS 2026'!B635),"",'ENGAGEMENTS 2026'!L635)</f>
        <v/>
      </c>
      <c r="H635">
        <f>IF(ISBLANK('ENGAGEMENTS 2026'!B635),"",'ENGAGEMENTS 2026'!AE635)</f>
        <v/>
      </c>
      <c r="I635">
        <f>IF(ISBLANK('ENGAGEMENTS 2026'!B635),"",'ENGAGEMENTS 2026'!G635)</f>
        <v/>
      </c>
      <c r="J635" s="275">
        <f>IF(ISBLANK('ENGAGEMENTS 2026'!B635),"",IF(AND(OR($E635="INFRUCTUEUX",$E635="ANNULE"),$C635="AOO-M"),'ENGAGEMENTS 2026'!O635,IF($H635="EN COURS DE PREENGAGEMENT",'ENGAGEMENTS 2026'!N635,IF($H635="PREENGAGE",IF($E635="ATTRIBUE",'ENGAGEMENTS 2026'!AD635,'ENGAGEMENTS 2026'!N635),'ENGAGEMENTS 2026'!AD635))))</f>
        <v/>
      </c>
      <c r="K635" s="604">
        <f>IF(ISBLANK('ENGAGEMENTS 2026'!V635),"",'ENGAGEMENTS 2026'!V635)</f>
        <v/>
      </c>
      <c r="L635" s="276">
        <f>IF($K635="","",TODAY()-$K635)</f>
        <v/>
      </c>
      <c r="M635">
        <f>IF($A635="","",IF($H635="ENGAGE","Engagé",IF(AND($H635="NON ENGAGE",OR($I635="INFRUCTUEUX",$I635="ANNULE")),"Clôturé sans suite","En cours")))</f>
        <v/>
      </c>
      <c r="N635">
        <f>IF(ISBLANK('ENGAGEMENTS 2026'!B635),"",'ENGAGEMENTS 2026'!K635)</f>
        <v/>
      </c>
      <c r="O635">
        <f>IF(ISBLANK('ENGAGEMENTS 2026'!B635),"",'ENGAGEMENTS 2026'!L635)</f>
        <v/>
      </c>
      <c r="P635">
        <f>IF(ISBLANK('ENGAGEMENTS 2026'!B635),"",'ENGAGEMENTS 2026'!J635)</f>
        <v/>
      </c>
      <c r="Q635">
        <f>IF($A635="","",IF(OR($E635="INFRUCTUEUX",$E635="ANNULE"),$A635&amp;"|"&amp;(COUNTIFS($A$2:$A635,$A635,$E$2:$E635,"INFRUCTUEUX")+COUNTIFS($A$2:$A635,$A635,$E$2:$E635,"ANNULE")),""))</f>
        <v/>
      </c>
    </row>
    <row r="636">
      <c r="A636">
        <f>IF(ISBLANK('ENGAGEMENTS 2026'!B636),"",IF('ENGAGEMENTS 2026'!B636="DTSI","DCT",'ENGAGEMENTS 2026'!B636))</f>
        <v/>
      </c>
      <c r="B636">
        <f>IF(ISBLANK('ENGAGEMENTS 2026'!B636),"",'ENGAGEMENTS 2026'!C636)</f>
        <v/>
      </c>
      <c r="C636">
        <f>IF(ISBLANK('ENGAGEMENTS 2026'!B636),"",'ENGAGEMENTS 2026'!D636)</f>
        <v/>
      </c>
      <c r="D636">
        <f>IF(ISBLANK('ENGAGEMENTS 2026'!B636),"",'ENGAGEMENTS 2026'!F636)</f>
        <v/>
      </c>
      <c r="E636">
        <f>IF(ISBLANK('ENGAGEMENTS 2026'!B636),"",'ENGAGEMENTS 2026'!H636)</f>
        <v/>
      </c>
      <c r="F636">
        <f>IF(ISBLANK('ENGAGEMENTS 2026'!B636),"",'ENGAGEMENTS 2026'!I636)</f>
        <v/>
      </c>
      <c r="G636">
        <f>IF(ISBLANK('ENGAGEMENTS 2026'!B636),"",'ENGAGEMENTS 2026'!L636)</f>
        <v/>
      </c>
      <c r="H636">
        <f>IF(ISBLANK('ENGAGEMENTS 2026'!B636),"",'ENGAGEMENTS 2026'!AE636)</f>
        <v/>
      </c>
      <c r="I636">
        <f>IF(ISBLANK('ENGAGEMENTS 2026'!B636),"",'ENGAGEMENTS 2026'!G636)</f>
        <v/>
      </c>
      <c r="J636" s="275">
        <f>IF(ISBLANK('ENGAGEMENTS 2026'!B636),"",IF(AND(OR($E636="INFRUCTUEUX",$E636="ANNULE"),$C636="AOO-M"),'ENGAGEMENTS 2026'!O636,IF($H636="EN COURS DE PREENGAGEMENT",'ENGAGEMENTS 2026'!N636,IF($H636="PREENGAGE",IF($E636="ATTRIBUE",'ENGAGEMENTS 2026'!AD636,'ENGAGEMENTS 2026'!N636),'ENGAGEMENTS 2026'!AD636))))</f>
        <v/>
      </c>
      <c r="K636" s="604">
        <f>IF(ISBLANK('ENGAGEMENTS 2026'!V636),"",'ENGAGEMENTS 2026'!V636)</f>
        <v/>
      </c>
      <c r="L636" s="276">
        <f>IF($K636="","",TODAY()-$K636)</f>
        <v/>
      </c>
      <c r="M636">
        <f>IF($A636="","",IF($H636="ENGAGE","Engagé",IF(AND($H636="NON ENGAGE",OR($I636="INFRUCTUEUX",$I636="ANNULE")),"Clôturé sans suite","En cours")))</f>
        <v/>
      </c>
      <c r="N636">
        <f>IF(ISBLANK('ENGAGEMENTS 2026'!B636),"",'ENGAGEMENTS 2026'!K636)</f>
        <v/>
      </c>
      <c r="O636">
        <f>IF(ISBLANK('ENGAGEMENTS 2026'!B636),"",'ENGAGEMENTS 2026'!L636)</f>
        <v/>
      </c>
      <c r="P636">
        <f>IF(ISBLANK('ENGAGEMENTS 2026'!B636),"",'ENGAGEMENTS 2026'!J636)</f>
        <v/>
      </c>
      <c r="Q636">
        <f>IF($A636="","",IF(OR($E636="INFRUCTUEUX",$E636="ANNULE"),$A636&amp;"|"&amp;(COUNTIFS($A$2:$A636,$A636,$E$2:$E636,"INFRUCTUEUX")+COUNTIFS($A$2:$A636,$A636,$E$2:$E636,"ANNULE")),""))</f>
        <v/>
      </c>
    </row>
    <row r="637">
      <c r="A637">
        <f>IF(ISBLANK('ENGAGEMENTS 2026'!B637),"",IF('ENGAGEMENTS 2026'!B637="DTSI","DCT",'ENGAGEMENTS 2026'!B637))</f>
        <v/>
      </c>
      <c r="B637">
        <f>IF(ISBLANK('ENGAGEMENTS 2026'!B637),"",'ENGAGEMENTS 2026'!C637)</f>
        <v/>
      </c>
      <c r="C637">
        <f>IF(ISBLANK('ENGAGEMENTS 2026'!B637),"",'ENGAGEMENTS 2026'!D637)</f>
        <v/>
      </c>
      <c r="D637">
        <f>IF(ISBLANK('ENGAGEMENTS 2026'!B637),"",'ENGAGEMENTS 2026'!F637)</f>
        <v/>
      </c>
      <c r="E637">
        <f>IF(ISBLANK('ENGAGEMENTS 2026'!B637),"",'ENGAGEMENTS 2026'!H637)</f>
        <v/>
      </c>
      <c r="F637">
        <f>IF(ISBLANK('ENGAGEMENTS 2026'!B637),"",'ENGAGEMENTS 2026'!I637)</f>
        <v/>
      </c>
      <c r="G637">
        <f>IF(ISBLANK('ENGAGEMENTS 2026'!B637),"",'ENGAGEMENTS 2026'!L637)</f>
        <v/>
      </c>
      <c r="H637">
        <f>IF(ISBLANK('ENGAGEMENTS 2026'!B637),"",'ENGAGEMENTS 2026'!AE637)</f>
        <v/>
      </c>
      <c r="I637">
        <f>IF(ISBLANK('ENGAGEMENTS 2026'!B637),"",'ENGAGEMENTS 2026'!G637)</f>
        <v/>
      </c>
      <c r="J637" s="275">
        <f>IF(ISBLANK('ENGAGEMENTS 2026'!B637),"",IF(AND(OR($E637="INFRUCTUEUX",$E637="ANNULE"),$C637="AOO-M"),'ENGAGEMENTS 2026'!O637,IF($H637="EN COURS DE PREENGAGEMENT",'ENGAGEMENTS 2026'!N637,IF($H637="PREENGAGE",IF($E637="ATTRIBUE",'ENGAGEMENTS 2026'!AD637,'ENGAGEMENTS 2026'!N637),'ENGAGEMENTS 2026'!AD637))))</f>
        <v/>
      </c>
      <c r="K637" s="604">
        <f>IF(ISBLANK('ENGAGEMENTS 2026'!V637),"",'ENGAGEMENTS 2026'!V637)</f>
        <v/>
      </c>
      <c r="L637" s="276">
        <f>IF($K637="","",TODAY()-$K637)</f>
        <v/>
      </c>
      <c r="M637">
        <f>IF($A637="","",IF($H637="ENGAGE","Engagé",IF(AND($H637="NON ENGAGE",OR($I637="INFRUCTUEUX",$I637="ANNULE")),"Clôturé sans suite","En cours")))</f>
        <v/>
      </c>
      <c r="N637">
        <f>IF(ISBLANK('ENGAGEMENTS 2026'!B637),"",'ENGAGEMENTS 2026'!K637)</f>
        <v/>
      </c>
      <c r="O637">
        <f>IF(ISBLANK('ENGAGEMENTS 2026'!B637),"",'ENGAGEMENTS 2026'!L637)</f>
        <v/>
      </c>
      <c r="P637">
        <f>IF(ISBLANK('ENGAGEMENTS 2026'!B637),"",'ENGAGEMENTS 2026'!J637)</f>
        <v/>
      </c>
      <c r="Q637">
        <f>IF($A637="","",IF(OR($E637="INFRUCTUEUX",$E637="ANNULE"),$A637&amp;"|"&amp;(COUNTIFS($A$2:$A637,$A637,$E$2:$E637,"INFRUCTUEUX")+COUNTIFS($A$2:$A637,$A637,$E$2:$E637,"ANNULE")),""))</f>
        <v/>
      </c>
    </row>
    <row r="638">
      <c r="A638">
        <f>IF(ISBLANK('ENGAGEMENTS 2026'!B638),"",IF('ENGAGEMENTS 2026'!B638="DTSI","DCT",'ENGAGEMENTS 2026'!B638))</f>
        <v/>
      </c>
      <c r="B638">
        <f>IF(ISBLANK('ENGAGEMENTS 2026'!B638),"",'ENGAGEMENTS 2026'!C638)</f>
        <v/>
      </c>
      <c r="C638">
        <f>IF(ISBLANK('ENGAGEMENTS 2026'!B638),"",'ENGAGEMENTS 2026'!D638)</f>
        <v/>
      </c>
      <c r="D638">
        <f>IF(ISBLANK('ENGAGEMENTS 2026'!B638),"",'ENGAGEMENTS 2026'!F638)</f>
        <v/>
      </c>
      <c r="E638">
        <f>IF(ISBLANK('ENGAGEMENTS 2026'!B638),"",'ENGAGEMENTS 2026'!H638)</f>
        <v/>
      </c>
      <c r="F638">
        <f>IF(ISBLANK('ENGAGEMENTS 2026'!B638),"",'ENGAGEMENTS 2026'!I638)</f>
        <v/>
      </c>
      <c r="G638">
        <f>IF(ISBLANK('ENGAGEMENTS 2026'!B638),"",'ENGAGEMENTS 2026'!L638)</f>
        <v/>
      </c>
      <c r="H638">
        <f>IF(ISBLANK('ENGAGEMENTS 2026'!B638),"",'ENGAGEMENTS 2026'!AE638)</f>
        <v/>
      </c>
      <c r="I638">
        <f>IF(ISBLANK('ENGAGEMENTS 2026'!B638),"",'ENGAGEMENTS 2026'!G638)</f>
        <v/>
      </c>
      <c r="J638" s="275">
        <f>IF(ISBLANK('ENGAGEMENTS 2026'!B638),"",IF(AND(OR($E638="INFRUCTUEUX",$E638="ANNULE"),$C638="AOO-M"),'ENGAGEMENTS 2026'!O638,IF($H638="EN COURS DE PREENGAGEMENT",'ENGAGEMENTS 2026'!N638,IF($H638="PREENGAGE",IF($E638="ATTRIBUE",'ENGAGEMENTS 2026'!AD638,'ENGAGEMENTS 2026'!N638),'ENGAGEMENTS 2026'!AD638))))</f>
        <v/>
      </c>
      <c r="K638" s="604">
        <f>IF(ISBLANK('ENGAGEMENTS 2026'!V638),"",'ENGAGEMENTS 2026'!V638)</f>
        <v/>
      </c>
      <c r="L638" s="276">
        <f>IF($K638="","",TODAY()-$K638)</f>
        <v/>
      </c>
      <c r="M638">
        <f>IF($A638="","",IF($H638="ENGAGE","Engagé",IF(AND($H638="NON ENGAGE",OR($I638="INFRUCTUEUX",$I638="ANNULE")),"Clôturé sans suite","En cours")))</f>
        <v/>
      </c>
      <c r="N638">
        <f>IF(ISBLANK('ENGAGEMENTS 2026'!B638),"",'ENGAGEMENTS 2026'!K638)</f>
        <v/>
      </c>
      <c r="O638">
        <f>IF(ISBLANK('ENGAGEMENTS 2026'!B638),"",'ENGAGEMENTS 2026'!L638)</f>
        <v/>
      </c>
      <c r="P638">
        <f>IF(ISBLANK('ENGAGEMENTS 2026'!B638),"",'ENGAGEMENTS 2026'!J638)</f>
        <v/>
      </c>
      <c r="Q638">
        <f>IF($A638="","",IF(OR($E638="INFRUCTUEUX",$E638="ANNULE"),$A638&amp;"|"&amp;(COUNTIFS($A$2:$A638,$A638,$E$2:$E638,"INFRUCTUEUX")+COUNTIFS($A$2:$A638,$A638,$E$2:$E638,"ANNULE")),""))</f>
        <v/>
      </c>
    </row>
    <row r="639">
      <c r="A639">
        <f>IF(ISBLANK('ENGAGEMENTS 2026'!B639),"",IF('ENGAGEMENTS 2026'!B639="DTSI","DCT",'ENGAGEMENTS 2026'!B639))</f>
        <v/>
      </c>
      <c r="B639">
        <f>IF(ISBLANK('ENGAGEMENTS 2026'!B639),"",'ENGAGEMENTS 2026'!C639)</f>
        <v/>
      </c>
      <c r="C639">
        <f>IF(ISBLANK('ENGAGEMENTS 2026'!B639),"",'ENGAGEMENTS 2026'!D639)</f>
        <v/>
      </c>
      <c r="D639">
        <f>IF(ISBLANK('ENGAGEMENTS 2026'!B639),"",'ENGAGEMENTS 2026'!F639)</f>
        <v/>
      </c>
      <c r="E639">
        <f>IF(ISBLANK('ENGAGEMENTS 2026'!B639),"",'ENGAGEMENTS 2026'!H639)</f>
        <v/>
      </c>
      <c r="F639">
        <f>IF(ISBLANK('ENGAGEMENTS 2026'!B639),"",'ENGAGEMENTS 2026'!I639)</f>
        <v/>
      </c>
      <c r="G639">
        <f>IF(ISBLANK('ENGAGEMENTS 2026'!B639),"",'ENGAGEMENTS 2026'!L639)</f>
        <v/>
      </c>
      <c r="H639">
        <f>IF(ISBLANK('ENGAGEMENTS 2026'!B639),"",'ENGAGEMENTS 2026'!AE639)</f>
        <v/>
      </c>
      <c r="I639">
        <f>IF(ISBLANK('ENGAGEMENTS 2026'!B639),"",'ENGAGEMENTS 2026'!G639)</f>
        <v/>
      </c>
      <c r="J639" s="275">
        <f>IF(ISBLANK('ENGAGEMENTS 2026'!B639),"",IF(AND(OR($E639="INFRUCTUEUX",$E639="ANNULE"),$C639="AOO-M"),'ENGAGEMENTS 2026'!O639,IF($H639="EN COURS DE PREENGAGEMENT",'ENGAGEMENTS 2026'!N639,IF($H639="PREENGAGE",IF($E639="ATTRIBUE",'ENGAGEMENTS 2026'!AD639,'ENGAGEMENTS 2026'!N639),'ENGAGEMENTS 2026'!AD639))))</f>
        <v/>
      </c>
      <c r="K639" s="604">
        <f>IF(ISBLANK('ENGAGEMENTS 2026'!V639),"",'ENGAGEMENTS 2026'!V639)</f>
        <v/>
      </c>
      <c r="L639" s="276">
        <f>IF($K639="","",TODAY()-$K639)</f>
        <v/>
      </c>
      <c r="M639">
        <f>IF($A639="","",IF($H639="ENGAGE","Engagé",IF(AND($H639="NON ENGAGE",OR($I639="INFRUCTUEUX",$I639="ANNULE")),"Clôturé sans suite","En cours")))</f>
        <v/>
      </c>
      <c r="N639">
        <f>IF(ISBLANK('ENGAGEMENTS 2026'!B639),"",'ENGAGEMENTS 2026'!K639)</f>
        <v/>
      </c>
      <c r="O639">
        <f>IF(ISBLANK('ENGAGEMENTS 2026'!B639),"",'ENGAGEMENTS 2026'!L639)</f>
        <v/>
      </c>
      <c r="P639">
        <f>IF(ISBLANK('ENGAGEMENTS 2026'!B639),"",'ENGAGEMENTS 2026'!J639)</f>
        <v/>
      </c>
      <c r="Q639">
        <f>IF($A639="","",IF(OR($E639="INFRUCTUEUX",$E639="ANNULE"),$A639&amp;"|"&amp;(COUNTIFS($A$2:$A639,$A639,$E$2:$E639,"INFRUCTUEUX")+COUNTIFS($A$2:$A639,$A639,$E$2:$E639,"ANNULE")),""))</f>
        <v/>
      </c>
    </row>
    <row r="640">
      <c r="A640">
        <f>IF(ISBLANK('ENGAGEMENTS 2026'!B640),"",IF('ENGAGEMENTS 2026'!B640="DTSI","DCT",'ENGAGEMENTS 2026'!B640))</f>
        <v/>
      </c>
      <c r="B640">
        <f>IF(ISBLANK('ENGAGEMENTS 2026'!B640),"",'ENGAGEMENTS 2026'!C640)</f>
        <v/>
      </c>
      <c r="C640">
        <f>IF(ISBLANK('ENGAGEMENTS 2026'!B640),"",'ENGAGEMENTS 2026'!D640)</f>
        <v/>
      </c>
      <c r="D640">
        <f>IF(ISBLANK('ENGAGEMENTS 2026'!B640),"",'ENGAGEMENTS 2026'!F640)</f>
        <v/>
      </c>
      <c r="E640">
        <f>IF(ISBLANK('ENGAGEMENTS 2026'!B640),"",'ENGAGEMENTS 2026'!H640)</f>
        <v/>
      </c>
      <c r="F640">
        <f>IF(ISBLANK('ENGAGEMENTS 2026'!B640),"",'ENGAGEMENTS 2026'!I640)</f>
        <v/>
      </c>
      <c r="G640">
        <f>IF(ISBLANK('ENGAGEMENTS 2026'!B640),"",'ENGAGEMENTS 2026'!L640)</f>
        <v/>
      </c>
      <c r="H640">
        <f>IF(ISBLANK('ENGAGEMENTS 2026'!B640),"",'ENGAGEMENTS 2026'!AE640)</f>
        <v/>
      </c>
      <c r="I640">
        <f>IF(ISBLANK('ENGAGEMENTS 2026'!B640),"",'ENGAGEMENTS 2026'!G640)</f>
        <v/>
      </c>
      <c r="J640" s="275">
        <f>IF(ISBLANK('ENGAGEMENTS 2026'!B640),"",IF(AND(OR($E640="INFRUCTUEUX",$E640="ANNULE"),$C640="AOO-M"),'ENGAGEMENTS 2026'!O640,IF($H640="EN COURS DE PREENGAGEMENT",'ENGAGEMENTS 2026'!N640,IF($H640="PREENGAGE",IF($E640="ATTRIBUE",'ENGAGEMENTS 2026'!AD640,'ENGAGEMENTS 2026'!N640),'ENGAGEMENTS 2026'!AD640))))</f>
        <v/>
      </c>
      <c r="K640" s="604">
        <f>IF(ISBLANK('ENGAGEMENTS 2026'!V640),"",'ENGAGEMENTS 2026'!V640)</f>
        <v/>
      </c>
      <c r="L640" s="276">
        <f>IF($K640="","",TODAY()-$K640)</f>
        <v/>
      </c>
      <c r="M640">
        <f>IF($A640="","",IF($H640="ENGAGE","Engagé",IF(AND($H640="NON ENGAGE",OR($I640="INFRUCTUEUX",$I640="ANNULE")),"Clôturé sans suite","En cours")))</f>
        <v/>
      </c>
      <c r="N640">
        <f>IF(ISBLANK('ENGAGEMENTS 2026'!B640),"",'ENGAGEMENTS 2026'!K640)</f>
        <v/>
      </c>
      <c r="O640">
        <f>IF(ISBLANK('ENGAGEMENTS 2026'!B640),"",'ENGAGEMENTS 2026'!L640)</f>
        <v/>
      </c>
      <c r="P640">
        <f>IF(ISBLANK('ENGAGEMENTS 2026'!B640),"",'ENGAGEMENTS 2026'!J640)</f>
        <v/>
      </c>
      <c r="Q640">
        <f>IF($A640="","",IF(OR($E640="INFRUCTUEUX",$E640="ANNULE"),$A640&amp;"|"&amp;(COUNTIFS($A$2:$A640,$A640,$E$2:$E640,"INFRUCTUEUX")+COUNTIFS($A$2:$A640,$A640,$E$2:$E640,"ANNULE")),""))</f>
        <v/>
      </c>
    </row>
    <row r="641">
      <c r="A641">
        <f>IF(ISBLANK('ENGAGEMENTS 2026'!B641),"",IF('ENGAGEMENTS 2026'!B641="DTSI","DCT",'ENGAGEMENTS 2026'!B641))</f>
        <v/>
      </c>
      <c r="B641">
        <f>IF(ISBLANK('ENGAGEMENTS 2026'!B641),"",'ENGAGEMENTS 2026'!C641)</f>
        <v/>
      </c>
      <c r="C641">
        <f>IF(ISBLANK('ENGAGEMENTS 2026'!B641),"",'ENGAGEMENTS 2026'!D641)</f>
        <v/>
      </c>
      <c r="D641">
        <f>IF(ISBLANK('ENGAGEMENTS 2026'!B641),"",'ENGAGEMENTS 2026'!F641)</f>
        <v/>
      </c>
      <c r="E641">
        <f>IF(ISBLANK('ENGAGEMENTS 2026'!B641),"",'ENGAGEMENTS 2026'!H641)</f>
        <v/>
      </c>
      <c r="F641">
        <f>IF(ISBLANK('ENGAGEMENTS 2026'!B641),"",'ENGAGEMENTS 2026'!I641)</f>
        <v/>
      </c>
      <c r="G641">
        <f>IF(ISBLANK('ENGAGEMENTS 2026'!B641),"",'ENGAGEMENTS 2026'!L641)</f>
        <v/>
      </c>
      <c r="H641">
        <f>IF(ISBLANK('ENGAGEMENTS 2026'!B641),"",'ENGAGEMENTS 2026'!AE641)</f>
        <v/>
      </c>
      <c r="I641">
        <f>IF(ISBLANK('ENGAGEMENTS 2026'!B641),"",'ENGAGEMENTS 2026'!G641)</f>
        <v/>
      </c>
      <c r="J641" s="275">
        <f>IF(ISBLANK('ENGAGEMENTS 2026'!B641),"",IF(AND(OR($E641="INFRUCTUEUX",$E641="ANNULE"),$C641="AOO-M"),'ENGAGEMENTS 2026'!O641,IF($H641="EN COURS DE PREENGAGEMENT",'ENGAGEMENTS 2026'!N641,IF($H641="PREENGAGE",IF($E641="ATTRIBUE",'ENGAGEMENTS 2026'!AD641,'ENGAGEMENTS 2026'!N641),'ENGAGEMENTS 2026'!AD641))))</f>
        <v/>
      </c>
      <c r="K641" s="604">
        <f>IF(ISBLANK('ENGAGEMENTS 2026'!V641),"",'ENGAGEMENTS 2026'!V641)</f>
        <v/>
      </c>
      <c r="L641" s="276">
        <f>IF($K641="","",TODAY()-$K641)</f>
        <v/>
      </c>
      <c r="M641">
        <f>IF($A641="","",IF($H641="ENGAGE","Engagé",IF(AND($H641="NON ENGAGE",OR($I641="INFRUCTUEUX",$I641="ANNULE")),"Clôturé sans suite","En cours")))</f>
        <v/>
      </c>
      <c r="N641">
        <f>IF(ISBLANK('ENGAGEMENTS 2026'!B641),"",'ENGAGEMENTS 2026'!K641)</f>
        <v/>
      </c>
      <c r="O641">
        <f>IF(ISBLANK('ENGAGEMENTS 2026'!B641),"",'ENGAGEMENTS 2026'!L641)</f>
        <v/>
      </c>
      <c r="P641">
        <f>IF(ISBLANK('ENGAGEMENTS 2026'!B641),"",'ENGAGEMENTS 2026'!J641)</f>
        <v/>
      </c>
      <c r="Q641">
        <f>IF($A641="","",IF(OR($E641="INFRUCTUEUX",$E641="ANNULE"),$A641&amp;"|"&amp;(COUNTIFS($A$2:$A641,$A641,$E$2:$E641,"INFRUCTUEUX")+COUNTIFS($A$2:$A641,$A641,$E$2:$E641,"ANNULE")),""))</f>
        <v/>
      </c>
    </row>
    <row r="642">
      <c r="A642">
        <f>IF(ISBLANK('ENGAGEMENTS 2026'!B642),"",IF('ENGAGEMENTS 2026'!B642="DTSI","DCT",'ENGAGEMENTS 2026'!B642))</f>
        <v/>
      </c>
      <c r="B642">
        <f>IF(ISBLANK('ENGAGEMENTS 2026'!B642),"",'ENGAGEMENTS 2026'!C642)</f>
        <v/>
      </c>
      <c r="C642">
        <f>IF(ISBLANK('ENGAGEMENTS 2026'!B642),"",'ENGAGEMENTS 2026'!D642)</f>
        <v/>
      </c>
      <c r="D642">
        <f>IF(ISBLANK('ENGAGEMENTS 2026'!B642),"",'ENGAGEMENTS 2026'!F642)</f>
        <v/>
      </c>
      <c r="E642">
        <f>IF(ISBLANK('ENGAGEMENTS 2026'!B642),"",'ENGAGEMENTS 2026'!H642)</f>
        <v/>
      </c>
      <c r="F642">
        <f>IF(ISBLANK('ENGAGEMENTS 2026'!B642),"",'ENGAGEMENTS 2026'!I642)</f>
        <v/>
      </c>
      <c r="G642">
        <f>IF(ISBLANK('ENGAGEMENTS 2026'!B642),"",'ENGAGEMENTS 2026'!L642)</f>
        <v/>
      </c>
      <c r="H642">
        <f>IF(ISBLANK('ENGAGEMENTS 2026'!B642),"",'ENGAGEMENTS 2026'!AE642)</f>
        <v/>
      </c>
      <c r="I642">
        <f>IF(ISBLANK('ENGAGEMENTS 2026'!B642),"",'ENGAGEMENTS 2026'!G642)</f>
        <v/>
      </c>
      <c r="J642" s="275">
        <f>IF(ISBLANK('ENGAGEMENTS 2026'!B642),"",IF(AND(OR($E642="INFRUCTUEUX",$E642="ANNULE"),$C642="AOO-M"),'ENGAGEMENTS 2026'!O642,IF($H642="EN COURS DE PREENGAGEMENT",'ENGAGEMENTS 2026'!N642,IF($H642="PREENGAGE",IF($E642="ATTRIBUE",'ENGAGEMENTS 2026'!AD642,'ENGAGEMENTS 2026'!N642),'ENGAGEMENTS 2026'!AD642))))</f>
        <v/>
      </c>
      <c r="K642" s="604">
        <f>IF(ISBLANK('ENGAGEMENTS 2026'!V642),"",'ENGAGEMENTS 2026'!V642)</f>
        <v/>
      </c>
      <c r="L642" s="276">
        <f>IF($K642="","",TODAY()-$K642)</f>
        <v/>
      </c>
      <c r="M642">
        <f>IF($A642="","",IF($H642="ENGAGE","Engagé",IF(AND($H642="NON ENGAGE",OR($I642="INFRUCTUEUX",$I642="ANNULE")),"Clôturé sans suite","En cours")))</f>
        <v/>
      </c>
      <c r="N642">
        <f>IF(ISBLANK('ENGAGEMENTS 2026'!B642),"",'ENGAGEMENTS 2026'!K642)</f>
        <v/>
      </c>
      <c r="O642">
        <f>IF(ISBLANK('ENGAGEMENTS 2026'!B642),"",'ENGAGEMENTS 2026'!L642)</f>
        <v/>
      </c>
      <c r="P642">
        <f>IF(ISBLANK('ENGAGEMENTS 2026'!B642),"",'ENGAGEMENTS 2026'!J642)</f>
        <v/>
      </c>
      <c r="Q642">
        <f>IF($A642="","",IF(OR($E642="INFRUCTUEUX",$E642="ANNULE"),$A642&amp;"|"&amp;(COUNTIFS($A$2:$A642,$A642,$E$2:$E642,"INFRUCTUEUX")+COUNTIFS($A$2:$A642,$A642,$E$2:$E642,"ANNULE")),""))</f>
        <v/>
      </c>
    </row>
    <row r="643">
      <c r="A643">
        <f>IF(ISBLANK('ENGAGEMENTS 2026'!B643),"",IF('ENGAGEMENTS 2026'!B643="DTSI","DCT",'ENGAGEMENTS 2026'!B643))</f>
        <v/>
      </c>
      <c r="B643">
        <f>IF(ISBLANK('ENGAGEMENTS 2026'!B643),"",'ENGAGEMENTS 2026'!C643)</f>
        <v/>
      </c>
      <c r="C643">
        <f>IF(ISBLANK('ENGAGEMENTS 2026'!B643),"",'ENGAGEMENTS 2026'!D643)</f>
        <v/>
      </c>
      <c r="D643">
        <f>IF(ISBLANK('ENGAGEMENTS 2026'!B643),"",'ENGAGEMENTS 2026'!F643)</f>
        <v/>
      </c>
      <c r="E643">
        <f>IF(ISBLANK('ENGAGEMENTS 2026'!B643),"",'ENGAGEMENTS 2026'!H643)</f>
        <v/>
      </c>
      <c r="F643">
        <f>IF(ISBLANK('ENGAGEMENTS 2026'!B643),"",'ENGAGEMENTS 2026'!I643)</f>
        <v/>
      </c>
      <c r="G643">
        <f>IF(ISBLANK('ENGAGEMENTS 2026'!B643),"",'ENGAGEMENTS 2026'!L643)</f>
        <v/>
      </c>
      <c r="H643">
        <f>IF(ISBLANK('ENGAGEMENTS 2026'!B643),"",'ENGAGEMENTS 2026'!AE643)</f>
        <v/>
      </c>
      <c r="I643">
        <f>IF(ISBLANK('ENGAGEMENTS 2026'!B643),"",'ENGAGEMENTS 2026'!G643)</f>
        <v/>
      </c>
      <c r="J643" s="275">
        <f>IF(ISBLANK('ENGAGEMENTS 2026'!B643),"",IF(AND(OR($E643="INFRUCTUEUX",$E643="ANNULE"),$C643="AOO-M"),'ENGAGEMENTS 2026'!O643,IF($H643="EN COURS DE PREENGAGEMENT",'ENGAGEMENTS 2026'!N643,IF($H643="PREENGAGE",IF($E643="ATTRIBUE",'ENGAGEMENTS 2026'!AD643,'ENGAGEMENTS 2026'!N643),'ENGAGEMENTS 2026'!AD643))))</f>
        <v/>
      </c>
      <c r="K643" s="604">
        <f>IF(ISBLANK('ENGAGEMENTS 2026'!V643),"",'ENGAGEMENTS 2026'!V643)</f>
        <v/>
      </c>
      <c r="L643" s="276">
        <f>IF($K643="","",TODAY()-$K643)</f>
        <v/>
      </c>
      <c r="M643">
        <f>IF($A643="","",IF($H643="ENGAGE","Engagé",IF(AND($H643="NON ENGAGE",OR($I643="INFRUCTUEUX",$I643="ANNULE")),"Clôturé sans suite","En cours")))</f>
        <v/>
      </c>
      <c r="N643">
        <f>IF(ISBLANK('ENGAGEMENTS 2026'!B643),"",'ENGAGEMENTS 2026'!K643)</f>
        <v/>
      </c>
      <c r="O643">
        <f>IF(ISBLANK('ENGAGEMENTS 2026'!B643),"",'ENGAGEMENTS 2026'!L643)</f>
        <v/>
      </c>
      <c r="P643">
        <f>IF(ISBLANK('ENGAGEMENTS 2026'!B643),"",'ENGAGEMENTS 2026'!J643)</f>
        <v/>
      </c>
      <c r="Q643">
        <f>IF($A643="","",IF(OR($E643="INFRUCTUEUX",$E643="ANNULE"),$A643&amp;"|"&amp;(COUNTIFS($A$2:$A643,$A643,$E$2:$E643,"INFRUCTUEUX")+COUNTIFS($A$2:$A643,$A643,$E$2:$E643,"ANNULE")),""))</f>
        <v/>
      </c>
    </row>
    <row r="644">
      <c r="A644">
        <f>IF(ISBLANK('ENGAGEMENTS 2026'!B644),"",IF('ENGAGEMENTS 2026'!B644="DTSI","DCT",'ENGAGEMENTS 2026'!B644))</f>
        <v/>
      </c>
      <c r="B644">
        <f>IF(ISBLANK('ENGAGEMENTS 2026'!B644),"",'ENGAGEMENTS 2026'!C644)</f>
        <v/>
      </c>
      <c r="C644">
        <f>IF(ISBLANK('ENGAGEMENTS 2026'!B644),"",'ENGAGEMENTS 2026'!D644)</f>
        <v/>
      </c>
      <c r="D644">
        <f>IF(ISBLANK('ENGAGEMENTS 2026'!B644),"",'ENGAGEMENTS 2026'!F644)</f>
        <v/>
      </c>
      <c r="E644">
        <f>IF(ISBLANK('ENGAGEMENTS 2026'!B644),"",'ENGAGEMENTS 2026'!H644)</f>
        <v/>
      </c>
      <c r="F644">
        <f>IF(ISBLANK('ENGAGEMENTS 2026'!B644),"",'ENGAGEMENTS 2026'!I644)</f>
        <v/>
      </c>
      <c r="G644">
        <f>IF(ISBLANK('ENGAGEMENTS 2026'!B644),"",'ENGAGEMENTS 2026'!L644)</f>
        <v/>
      </c>
      <c r="H644">
        <f>IF(ISBLANK('ENGAGEMENTS 2026'!B644),"",'ENGAGEMENTS 2026'!AE644)</f>
        <v/>
      </c>
      <c r="I644">
        <f>IF(ISBLANK('ENGAGEMENTS 2026'!B644),"",'ENGAGEMENTS 2026'!G644)</f>
        <v/>
      </c>
      <c r="J644" s="275">
        <f>IF(ISBLANK('ENGAGEMENTS 2026'!B644),"",IF(AND(OR($E644="INFRUCTUEUX",$E644="ANNULE"),$C644="AOO-M"),'ENGAGEMENTS 2026'!O644,IF($H644="EN COURS DE PREENGAGEMENT",'ENGAGEMENTS 2026'!N644,IF($H644="PREENGAGE",IF($E644="ATTRIBUE",'ENGAGEMENTS 2026'!AD644,'ENGAGEMENTS 2026'!N644),'ENGAGEMENTS 2026'!AD644))))</f>
        <v/>
      </c>
      <c r="K644" s="604">
        <f>IF(ISBLANK('ENGAGEMENTS 2026'!V644),"",'ENGAGEMENTS 2026'!V644)</f>
        <v/>
      </c>
      <c r="L644" s="276">
        <f>IF($K644="","",TODAY()-$K644)</f>
        <v/>
      </c>
      <c r="M644">
        <f>IF($A644="","",IF($H644="ENGAGE","Engagé",IF(AND($H644="NON ENGAGE",OR($I644="INFRUCTUEUX",$I644="ANNULE")),"Clôturé sans suite","En cours")))</f>
        <v/>
      </c>
      <c r="N644">
        <f>IF(ISBLANK('ENGAGEMENTS 2026'!B644),"",'ENGAGEMENTS 2026'!K644)</f>
        <v/>
      </c>
      <c r="O644">
        <f>IF(ISBLANK('ENGAGEMENTS 2026'!B644),"",'ENGAGEMENTS 2026'!L644)</f>
        <v/>
      </c>
      <c r="P644">
        <f>IF(ISBLANK('ENGAGEMENTS 2026'!B644),"",'ENGAGEMENTS 2026'!J644)</f>
        <v/>
      </c>
      <c r="Q644">
        <f>IF($A644="","",IF(OR($E644="INFRUCTUEUX",$E644="ANNULE"),$A644&amp;"|"&amp;(COUNTIFS($A$2:$A644,$A644,$E$2:$E644,"INFRUCTUEUX")+COUNTIFS($A$2:$A644,$A644,$E$2:$E644,"ANNULE")),""))</f>
        <v/>
      </c>
    </row>
    <row r="645">
      <c r="A645">
        <f>IF(ISBLANK('ENGAGEMENTS 2026'!B645),"",IF('ENGAGEMENTS 2026'!B645="DTSI","DCT",'ENGAGEMENTS 2026'!B645))</f>
        <v/>
      </c>
      <c r="B645">
        <f>IF(ISBLANK('ENGAGEMENTS 2026'!B645),"",'ENGAGEMENTS 2026'!C645)</f>
        <v/>
      </c>
      <c r="C645">
        <f>IF(ISBLANK('ENGAGEMENTS 2026'!B645),"",'ENGAGEMENTS 2026'!D645)</f>
        <v/>
      </c>
      <c r="D645">
        <f>IF(ISBLANK('ENGAGEMENTS 2026'!B645),"",'ENGAGEMENTS 2026'!F645)</f>
        <v/>
      </c>
      <c r="E645">
        <f>IF(ISBLANK('ENGAGEMENTS 2026'!B645),"",'ENGAGEMENTS 2026'!H645)</f>
        <v/>
      </c>
      <c r="F645">
        <f>IF(ISBLANK('ENGAGEMENTS 2026'!B645),"",'ENGAGEMENTS 2026'!I645)</f>
        <v/>
      </c>
      <c r="G645">
        <f>IF(ISBLANK('ENGAGEMENTS 2026'!B645),"",'ENGAGEMENTS 2026'!L645)</f>
        <v/>
      </c>
      <c r="H645">
        <f>IF(ISBLANK('ENGAGEMENTS 2026'!B645),"",'ENGAGEMENTS 2026'!AE645)</f>
        <v/>
      </c>
      <c r="I645">
        <f>IF(ISBLANK('ENGAGEMENTS 2026'!B645),"",'ENGAGEMENTS 2026'!G645)</f>
        <v/>
      </c>
      <c r="J645" s="275">
        <f>IF(ISBLANK('ENGAGEMENTS 2026'!B645),"",IF(AND(OR($E645="INFRUCTUEUX",$E645="ANNULE"),$C645="AOO-M"),'ENGAGEMENTS 2026'!O645,IF($H645="EN COURS DE PREENGAGEMENT",'ENGAGEMENTS 2026'!N645,IF($H645="PREENGAGE",IF($E645="ATTRIBUE",'ENGAGEMENTS 2026'!AD645,'ENGAGEMENTS 2026'!N645),'ENGAGEMENTS 2026'!AD645))))</f>
        <v/>
      </c>
      <c r="K645" s="604">
        <f>IF(ISBLANK('ENGAGEMENTS 2026'!V645),"",'ENGAGEMENTS 2026'!V645)</f>
        <v/>
      </c>
      <c r="L645" s="276">
        <f>IF($K645="","",TODAY()-$K645)</f>
        <v/>
      </c>
      <c r="M645">
        <f>IF($A645="","",IF($H645="ENGAGE","Engagé",IF(AND($H645="NON ENGAGE",OR($I645="INFRUCTUEUX",$I645="ANNULE")),"Clôturé sans suite","En cours")))</f>
        <v/>
      </c>
      <c r="N645">
        <f>IF(ISBLANK('ENGAGEMENTS 2026'!B645),"",'ENGAGEMENTS 2026'!K645)</f>
        <v/>
      </c>
      <c r="O645">
        <f>IF(ISBLANK('ENGAGEMENTS 2026'!B645),"",'ENGAGEMENTS 2026'!L645)</f>
        <v/>
      </c>
      <c r="P645">
        <f>IF(ISBLANK('ENGAGEMENTS 2026'!B645),"",'ENGAGEMENTS 2026'!J645)</f>
        <v/>
      </c>
      <c r="Q645">
        <f>IF($A645="","",IF(OR($E645="INFRUCTUEUX",$E645="ANNULE"),$A645&amp;"|"&amp;(COUNTIFS($A$2:$A645,$A645,$E$2:$E645,"INFRUCTUEUX")+COUNTIFS($A$2:$A645,$A645,$E$2:$E645,"ANNULE")),""))</f>
        <v/>
      </c>
    </row>
    <row r="646">
      <c r="A646">
        <f>IF(ISBLANK('ENGAGEMENTS 2026'!B646),"",IF('ENGAGEMENTS 2026'!B646="DTSI","DCT",'ENGAGEMENTS 2026'!B646))</f>
        <v/>
      </c>
      <c r="B646">
        <f>IF(ISBLANK('ENGAGEMENTS 2026'!B646),"",'ENGAGEMENTS 2026'!C646)</f>
        <v/>
      </c>
      <c r="C646">
        <f>IF(ISBLANK('ENGAGEMENTS 2026'!B646),"",'ENGAGEMENTS 2026'!D646)</f>
        <v/>
      </c>
      <c r="D646">
        <f>IF(ISBLANK('ENGAGEMENTS 2026'!B646),"",'ENGAGEMENTS 2026'!F646)</f>
        <v/>
      </c>
      <c r="E646">
        <f>IF(ISBLANK('ENGAGEMENTS 2026'!B646),"",'ENGAGEMENTS 2026'!H646)</f>
        <v/>
      </c>
      <c r="F646">
        <f>IF(ISBLANK('ENGAGEMENTS 2026'!B646),"",'ENGAGEMENTS 2026'!I646)</f>
        <v/>
      </c>
      <c r="G646">
        <f>IF(ISBLANK('ENGAGEMENTS 2026'!B646),"",'ENGAGEMENTS 2026'!L646)</f>
        <v/>
      </c>
      <c r="H646">
        <f>IF(ISBLANK('ENGAGEMENTS 2026'!B646),"",'ENGAGEMENTS 2026'!AE646)</f>
        <v/>
      </c>
      <c r="I646">
        <f>IF(ISBLANK('ENGAGEMENTS 2026'!B646),"",'ENGAGEMENTS 2026'!G646)</f>
        <v/>
      </c>
      <c r="J646" s="275">
        <f>IF(ISBLANK('ENGAGEMENTS 2026'!B646),"",IF(AND(OR($E646="INFRUCTUEUX",$E646="ANNULE"),$C646="AOO-M"),'ENGAGEMENTS 2026'!O646,IF($H646="EN COURS DE PREENGAGEMENT",'ENGAGEMENTS 2026'!N646,IF($H646="PREENGAGE",IF($E646="ATTRIBUE",'ENGAGEMENTS 2026'!AD646,'ENGAGEMENTS 2026'!N646),'ENGAGEMENTS 2026'!AD646))))</f>
        <v/>
      </c>
      <c r="K646" s="604">
        <f>IF(ISBLANK('ENGAGEMENTS 2026'!V646),"",'ENGAGEMENTS 2026'!V646)</f>
        <v/>
      </c>
      <c r="L646" s="276">
        <f>IF($K646="","",TODAY()-$K646)</f>
        <v/>
      </c>
      <c r="M646">
        <f>IF($A646="","",IF($H646="ENGAGE","Engagé",IF(AND($H646="NON ENGAGE",OR($I646="INFRUCTUEUX",$I646="ANNULE")),"Clôturé sans suite","En cours")))</f>
        <v/>
      </c>
      <c r="N646">
        <f>IF(ISBLANK('ENGAGEMENTS 2026'!B646),"",'ENGAGEMENTS 2026'!K646)</f>
        <v/>
      </c>
      <c r="O646">
        <f>IF(ISBLANK('ENGAGEMENTS 2026'!B646),"",'ENGAGEMENTS 2026'!L646)</f>
        <v/>
      </c>
      <c r="P646">
        <f>IF(ISBLANK('ENGAGEMENTS 2026'!B646),"",'ENGAGEMENTS 2026'!J646)</f>
        <v/>
      </c>
      <c r="Q646">
        <f>IF($A646="","",IF(OR($E646="INFRUCTUEUX",$E646="ANNULE"),$A646&amp;"|"&amp;(COUNTIFS($A$2:$A646,$A646,$E$2:$E646,"INFRUCTUEUX")+COUNTIFS($A$2:$A646,$A646,$E$2:$E646,"ANNULE")),""))</f>
        <v/>
      </c>
    </row>
    <row r="647">
      <c r="A647">
        <f>IF(ISBLANK('ENGAGEMENTS 2026'!B647),"",IF('ENGAGEMENTS 2026'!B647="DTSI","DCT",'ENGAGEMENTS 2026'!B647))</f>
        <v/>
      </c>
      <c r="B647">
        <f>IF(ISBLANK('ENGAGEMENTS 2026'!B647),"",'ENGAGEMENTS 2026'!C647)</f>
        <v/>
      </c>
      <c r="C647">
        <f>IF(ISBLANK('ENGAGEMENTS 2026'!B647),"",'ENGAGEMENTS 2026'!D647)</f>
        <v/>
      </c>
      <c r="D647">
        <f>IF(ISBLANK('ENGAGEMENTS 2026'!B647),"",'ENGAGEMENTS 2026'!F647)</f>
        <v/>
      </c>
      <c r="E647">
        <f>IF(ISBLANK('ENGAGEMENTS 2026'!B647),"",'ENGAGEMENTS 2026'!H647)</f>
        <v/>
      </c>
      <c r="F647">
        <f>IF(ISBLANK('ENGAGEMENTS 2026'!B647),"",'ENGAGEMENTS 2026'!I647)</f>
        <v/>
      </c>
      <c r="G647">
        <f>IF(ISBLANK('ENGAGEMENTS 2026'!B647),"",'ENGAGEMENTS 2026'!L647)</f>
        <v/>
      </c>
      <c r="H647">
        <f>IF(ISBLANK('ENGAGEMENTS 2026'!B647),"",'ENGAGEMENTS 2026'!AE647)</f>
        <v/>
      </c>
      <c r="I647">
        <f>IF(ISBLANK('ENGAGEMENTS 2026'!B647),"",'ENGAGEMENTS 2026'!G647)</f>
        <v/>
      </c>
      <c r="J647" s="275">
        <f>IF(ISBLANK('ENGAGEMENTS 2026'!B647),"",IF(AND(OR($E647="INFRUCTUEUX",$E647="ANNULE"),$C647="AOO-M"),'ENGAGEMENTS 2026'!O647,IF($H647="EN COURS DE PREENGAGEMENT",'ENGAGEMENTS 2026'!N647,IF($H647="PREENGAGE",IF($E647="ATTRIBUE",'ENGAGEMENTS 2026'!AD647,'ENGAGEMENTS 2026'!N647),'ENGAGEMENTS 2026'!AD647))))</f>
        <v/>
      </c>
      <c r="K647" s="604">
        <f>IF(ISBLANK('ENGAGEMENTS 2026'!V647),"",'ENGAGEMENTS 2026'!V647)</f>
        <v/>
      </c>
      <c r="L647" s="276">
        <f>IF($K647="","",TODAY()-$K647)</f>
        <v/>
      </c>
      <c r="M647">
        <f>IF($A647="","",IF($H647="ENGAGE","Engagé",IF(AND($H647="NON ENGAGE",OR($I647="INFRUCTUEUX",$I647="ANNULE")),"Clôturé sans suite","En cours")))</f>
        <v/>
      </c>
      <c r="N647">
        <f>IF(ISBLANK('ENGAGEMENTS 2026'!B647),"",'ENGAGEMENTS 2026'!K647)</f>
        <v/>
      </c>
      <c r="O647">
        <f>IF(ISBLANK('ENGAGEMENTS 2026'!B647),"",'ENGAGEMENTS 2026'!L647)</f>
        <v/>
      </c>
      <c r="P647">
        <f>IF(ISBLANK('ENGAGEMENTS 2026'!B647),"",'ENGAGEMENTS 2026'!J647)</f>
        <v/>
      </c>
      <c r="Q647">
        <f>IF($A647="","",IF(OR($E647="INFRUCTUEUX",$E647="ANNULE"),$A647&amp;"|"&amp;(COUNTIFS($A$2:$A647,$A647,$E$2:$E647,"INFRUCTUEUX")+COUNTIFS($A$2:$A647,$A647,$E$2:$E647,"ANNULE")),""))</f>
        <v/>
      </c>
    </row>
    <row r="648">
      <c r="A648">
        <f>IF(ISBLANK('ENGAGEMENTS 2026'!B648),"",IF('ENGAGEMENTS 2026'!B648="DTSI","DCT",'ENGAGEMENTS 2026'!B648))</f>
        <v/>
      </c>
      <c r="B648">
        <f>IF(ISBLANK('ENGAGEMENTS 2026'!B648),"",'ENGAGEMENTS 2026'!C648)</f>
        <v/>
      </c>
      <c r="C648">
        <f>IF(ISBLANK('ENGAGEMENTS 2026'!B648),"",'ENGAGEMENTS 2026'!D648)</f>
        <v/>
      </c>
      <c r="D648">
        <f>IF(ISBLANK('ENGAGEMENTS 2026'!B648),"",'ENGAGEMENTS 2026'!F648)</f>
        <v/>
      </c>
      <c r="E648">
        <f>IF(ISBLANK('ENGAGEMENTS 2026'!B648),"",'ENGAGEMENTS 2026'!H648)</f>
        <v/>
      </c>
      <c r="F648">
        <f>IF(ISBLANK('ENGAGEMENTS 2026'!B648),"",'ENGAGEMENTS 2026'!I648)</f>
        <v/>
      </c>
      <c r="G648">
        <f>IF(ISBLANK('ENGAGEMENTS 2026'!B648),"",'ENGAGEMENTS 2026'!L648)</f>
        <v/>
      </c>
      <c r="H648">
        <f>IF(ISBLANK('ENGAGEMENTS 2026'!B648),"",'ENGAGEMENTS 2026'!AE648)</f>
        <v/>
      </c>
      <c r="I648">
        <f>IF(ISBLANK('ENGAGEMENTS 2026'!B648),"",'ENGAGEMENTS 2026'!G648)</f>
        <v/>
      </c>
      <c r="J648" s="275">
        <f>IF(ISBLANK('ENGAGEMENTS 2026'!B648),"",IF(AND(OR($E648="INFRUCTUEUX",$E648="ANNULE"),$C648="AOO-M"),'ENGAGEMENTS 2026'!O648,IF($H648="EN COURS DE PREENGAGEMENT",'ENGAGEMENTS 2026'!N648,IF($H648="PREENGAGE",IF($E648="ATTRIBUE",'ENGAGEMENTS 2026'!AD648,'ENGAGEMENTS 2026'!N648),'ENGAGEMENTS 2026'!AD648))))</f>
        <v/>
      </c>
      <c r="K648" s="604">
        <f>IF(ISBLANK('ENGAGEMENTS 2026'!V648),"",'ENGAGEMENTS 2026'!V648)</f>
        <v/>
      </c>
      <c r="L648" s="276">
        <f>IF($K648="","",TODAY()-$K648)</f>
        <v/>
      </c>
      <c r="M648">
        <f>IF($A648="","",IF($H648="ENGAGE","Engagé",IF(AND($H648="NON ENGAGE",OR($I648="INFRUCTUEUX",$I648="ANNULE")),"Clôturé sans suite","En cours")))</f>
        <v/>
      </c>
      <c r="N648">
        <f>IF(ISBLANK('ENGAGEMENTS 2026'!B648),"",'ENGAGEMENTS 2026'!K648)</f>
        <v/>
      </c>
      <c r="O648">
        <f>IF(ISBLANK('ENGAGEMENTS 2026'!B648),"",'ENGAGEMENTS 2026'!L648)</f>
        <v/>
      </c>
      <c r="P648">
        <f>IF(ISBLANK('ENGAGEMENTS 2026'!B648),"",'ENGAGEMENTS 2026'!J648)</f>
        <v/>
      </c>
      <c r="Q648">
        <f>IF($A648="","",IF(OR($E648="INFRUCTUEUX",$E648="ANNULE"),$A648&amp;"|"&amp;(COUNTIFS($A$2:$A648,$A648,$E$2:$E648,"INFRUCTUEUX")+COUNTIFS($A$2:$A648,$A648,$E$2:$E648,"ANNULE")),""))</f>
        <v/>
      </c>
    </row>
    <row r="649">
      <c r="A649">
        <f>IF(ISBLANK('ENGAGEMENTS 2026'!B649),"",IF('ENGAGEMENTS 2026'!B649="DTSI","DCT",'ENGAGEMENTS 2026'!B649))</f>
        <v/>
      </c>
      <c r="B649">
        <f>IF(ISBLANK('ENGAGEMENTS 2026'!B649),"",'ENGAGEMENTS 2026'!C649)</f>
        <v/>
      </c>
      <c r="C649">
        <f>IF(ISBLANK('ENGAGEMENTS 2026'!B649),"",'ENGAGEMENTS 2026'!D649)</f>
        <v/>
      </c>
      <c r="D649">
        <f>IF(ISBLANK('ENGAGEMENTS 2026'!B649),"",'ENGAGEMENTS 2026'!F649)</f>
        <v/>
      </c>
      <c r="E649">
        <f>IF(ISBLANK('ENGAGEMENTS 2026'!B649),"",'ENGAGEMENTS 2026'!H649)</f>
        <v/>
      </c>
      <c r="F649">
        <f>IF(ISBLANK('ENGAGEMENTS 2026'!B649),"",'ENGAGEMENTS 2026'!I649)</f>
        <v/>
      </c>
      <c r="G649">
        <f>IF(ISBLANK('ENGAGEMENTS 2026'!B649),"",'ENGAGEMENTS 2026'!L649)</f>
        <v/>
      </c>
      <c r="H649">
        <f>IF(ISBLANK('ENGAGEMENTS 2026'!B649),"",'ENGAGEMENTS 2026'!AE649)</f>
        <v/>
      </c>
      <c r="I649">
        <f>IF(ISBLANK('ENGAGEMENTS 2026'!B649),"",'ENGAGEMENTS 2026'!G649)</f>
        <v/>
      </c>
      <c r="J649" s="275">
        <f>IF(ISBLANK('ENGAGEMENTS 2026'!B649),"",IF(AND(OR($E649="INFRUCTUEUX",$E649="ANNULE"),$C649="AOO-M"),'ENGAGEMENTS 2026'!O649,IF($H649="EN COURS DE PREENGAGEMENT",'ENGAGEMENTS 2026'!N649,IF($H649="PREENGAGE",IF($E649="ATTRIBUE",'ENGAGEMENTS 2026'!AD649,'ENGAGEMENTS 2026'!N649),'ENGAGEMENTS 2026'!AD649))))</f>
        <v/>
      </c>
      <c r="K649" s="604">
        <f>IF(ISBLANK('ENGAGEMENTS 2026'!V649),"",'ENGAGEMENTS 2026'!V649)</f>
        <v/>
      </c>
      <c r="L649" s="276">
        <f>IF($K649="","",TODAY()-$K649)</f>
        <v/>
      </c>
      <c r="M649">
        <f>IF($A649="","",IF($H649="ENGAGE","Engagé",IF(AND($H649="NON ENGAGE",OR($I649="INFRUCTUEUX",$I649="ANNULE")),"Clôturé sans suite","En cours")))</f>
        <v/>
      </c>
      <c r="N649">
        <f>IF(ISBLANK('ENGAGEMENTS 2026'!B649),"",'ENGAGEMENTS 2026'!K649)</f>
        <v/>
      </c>
      <c r="O649">
        <f>IF(ISBLANK('ENGAGEMENTS 2026'!B649),"",'ENGAGEMENTS 2026'!L649)</f>
        <v/>
      </c>
      <c r="P649">
        <f>IF(ISBLANK('ENGAGEMENTS 2026'!B649),"",'ENGAGEMENTS 2026'!J649)</f>
        <v/>
      </c>
      <c r="Q649">
        <f>IF($A649="","",IF(OR($E649="INFRUCTUEUX",$E649="ANNULE"),$A649&amp;"|"&amp;(COUNTIFS($A$2:$A649,$A649,$E$2:$E649,"INFRUCTUEUX")+COUNTIFS($A$2:$A649,$A649,$E$2:$E649,"ANNULE")),""))</f>
        <v/>
      </c>
    </row>
    <row r="650">
      <c r="A650">
        <f>IF(ISBLANK('ENGAGEMENTS 2026'!B650),"",IF('ENGAGEMENTS 2026'!B650="DTSI","DCT",'ENGAGEMENTS 2026'!B650))</f>
        <v/>
      </c>
      <c r="B650">
        <f>IF(ISBLANK('ENGAGEMENTS 2026'!B650),"",'ENGAGEMENTS 2026'!C650)</f>
        <v/>
      </c>
      <c r="C650">
        <f>IF(ISBLANK('ENGAGEMENTS 2026'!B650),"",'ENGAGEMENTS 2026'!D650)</f>
        <v/>
      </c>
      <c r="D650">
        <f>IF(ISBLANK('ENGAGEMENTS 2026'!B650),"",'ENGAGEMENTS 2026'!F650)</f>
        <v/>
      </c>
      <c r="E650">
        <f>IF(ISBLANK('ENGAGEMENTS 2026'!B650),"",'ENGAGEMENTS 2026'!H650)</f>
        <v/>
      </c>
      <c r="F650">
        <f>IF(ISBLANK('ENGAGEMENTS 2026'!B650),"",'ENGAGEMENTS 2026'!I650)</f>
        <v/>
      </c>
      <c r="G650">
        <f>IF(ISBLANK('ENGAGEMENTS 2026'!B650),"",'ENGAGEMENTS 2026'!L650)</f>
        <v/>
      </c>
      <c r="H650">
        <f>IF(ISBLANK('ENGAGEMENTS 2026'!B650),"",'ENGAGEMENTS 2026'!AE650)</f>
        <v/>
      </c>
      <c r="I650">
        <f>IF(ISBLANK('ENGAGEMENTS 2026'!B650),"",'ENGAGEMENTS 2026'!G650)</f>
        <v/>
      </c>
      <c r="J650" s="275">
        <f>IF(ISBLANK('ENGAGEMENTS 2026'!B650),"",IF(AND(OR($E650="INFRUCTUEUX",$E650="ANNULE"),$C650="AOO-M"),'ENGAGEMENTS 2026'!O650,IF($H650="EN COURS DE PREENGAGEMENT",'ENGAGEMENTS 2026'!N650,IF($H650="PREENGAGE",IF($E650="ATTRIBUE",'ENGAGEMENTS 2026'!AD650,'ENGAGEMENTS 2026'!N650),'ENGAGEMENTS 2026'!AD650))))</f>
        <v/>
      </c>
      <c r="K650" s="604">
        <f>IF(ISBLANK('ENGAGEMENTS 2026'!V650),"",'ENGAGEMENTS 2026'!V650)</f>
        <v/>
      </c>
      <c r="L650" s="276">
        <f>IF($K650="","",TODAY()-$K650)</f>
        <v/>
      </c>
      <c r="M650">
        <f>IF($A650="","",IF($H650="ENGAGE","Engagé",IF(AND($H650="NON ENGAGE",OR($I650="INFRUCTUEUX",$I650="ANNULE")),"Clôturé sans suite","En cours")))</f>
        <v/>
      </c>
      <c r="N650">
        <f>IF(ISBLANK('ENGAGEMENTS 2026'!B650),"",'ENGAGEMENTS 2026'!K650)</f>
        <v/>
      </c>
      <c r="O650">
        <f>IF(ISBLANK('ENGAGEMENTS 2026'!B650),"",'ENGAGEMENTS 2026'!L650)</f>
        <v/>
      </c>
      <c r="P650">
        <f>IF(ISBLANK('ENGAGEMENTS 2026'!B650),"",'ENGAGEMENTS 2026'!J650)</f>
        <v/>
      </c>
      <c r="Q650">
        <f>IF($A650="","",IF(OR($E650="INFRUCTUEUX",$E650="ANNULE"),$A650&amp;"|"&amp;(COUNTIFS($A$2:$A650,$A650,$E$2:$E650,"INFRUCTUEUX")+COUNTIFS($A$2:$A650,$A650,$E$2:$E650,"ANNULE")),""))</f>
        <v/>
      </c>
    </row>
    <row r="651">
      <c r="A651">
        <f>IF(ISBLANK('ENGAGEMENTS 2026'!B651),"",IF('ENGAGEMENTS 2026'!B651="DTSI","DCT",'ENGAGEMENTS 2026'!B651))</f>
        <v/>
      </c>
      <c r="B651">
        <f>IF(ISBLANK('ENGAGEMENTS 2026'!B651),"",'ENGAGEMENTS 2026'!C651)</f>
        <v/>
      </c>
      <c r="C651">
        <f>IF(ISBLANK('ENGAGEMENTS 2026'!B651),"",'ENGAGEMENTS 2026'!D651)</f>
        <v/>
      </c>
      <c r="D651">
        <f>IF(ISBLANK('ENGAGEMENTS 2026'!B651),"",'ENGAGEMENTS 2026'!F651)</f>
        <v/>
      </c>
      <c r="E651">
        <f>IF(ISBLANK('ENGAGEMENTS 2026'!B651),"",'ENGAGEMENTS 2026'!H651)</f>
        <v/>
      </c>
      <c r="F651">
        <f>IF(ISBLANK('ENGAGEMENTS 2026'!B651),"",'ENGAGEMENTS 2026'!I651)</f>
        <v/>
      </c>
      <c r="G651">
        <f>IF(ISBLANK('ENGAGEMENTS 2026'!B651),"",'ENGAGEMENTS 2026'!L651)</f>
        <v/>
      </c>
      <c r="H651">
        <f>IF(ISBLANK('ENGAGEMENTS 2026'!B651),"",'ENGAGEMENTS 2026'!AE651)</f>
        <v/>
      </c>
      <c r="I651">
        <f>IF(ISBLANK('ENGAGEMENTS 2026'!B651),"",'ENGAGEMENTS 2026'!G651)</f>
        <v/>
      </c>
      <c r="J651" s="275">
        <f>IF(ISBLANK('ENGAGEMENTS 2026'!B651),"",IF(AND(OR($E651="INFRUCTUEUX",$E651="ANNULE"),$C651="AOO-M"),'ENGAGEMENTS 2026'!O651,IF($H651="EN COURS DE PREENGAGEMENT",'ENGAGEMENTS 2026'!N651,IF($H651="PREENGAGE",IF($E651="ATTRIBUE",'ENGAGEMENTS 2026'!AD651,'ENGAGEMENTS 2026'!N651),'ENGAGEMENTS 2026'!AD651))))</f>
        <v/>
      </c>
      <c r="K651" s="604">
        <f>IF(ISBLANK('ENGAGEMENTS 2026'!V651),"",'ENGAGEMENTS 2026'!V651)</f>
        <v/>
      </c>
      <c r="L651" s="276">
        <f>IF($K651="","",TODAY()-$K651)</f>
        <v/>
      </c>
      <c r="M651">
        <f>IF($A651="","",IF($H651="ENGAGE","Engagé",IF(AND($H651="NON ENGAGE",OR($I651="INFRUCTUEUX",$I651="ANNULE")),"Clôturé sans suite","En cours")))</f>
        <v/>
      </c>
      <c r="N651">
        <f>IF(ISBLANK('ENGAGEMENTS 2026'!B651),"",'ENGAGEMENTS 2026'!K651)</f>
        <v/>
      </c>
      <c r="O651">
        <f>IF(ISBLANK('ENGAGEMENTS 2026'!B651),"",'ENGAGEMENTS 2026'!L651)</f>
        <v/>
      </c>
      <c r="P651">
        <f>IF(ISBLANK('ENGAGEMENTS 2026'!B651),"",'ENGAGEMENTS 2026'!J651)</f>
        <v/>
      </c>
      <c r="Q651">
        <f>IF($A651="","",IF(OR($E651="INFRUCTUEUX",$E651="ANNULE"),$A651&amp;"|"&amp;(COUNTIFS($A$2:$A651,$A651,$E$2:$E651,"INFRUCTUEUX")+COUNTIFS($A$2:$A651,$A651,$E$2:$E651,"ANNULE")),""))</f>
        <v/>
      </c>
    </row>
    <row r="652">
      <c r="A652">
        <f>IF(ISBLANK('ENGAGEMENTS 2026'!B652),"",IF('ENGAGEMENTS 2026'!B652="DTSI","DCT",'ENGAGEMENTS 2026'!B652))</f>
        <v/>
      </c>
      <c r="B652">
        <f>IF(ISBLANK('ENGAGEMENTS 2026'!B652),"",'ENGAGEMENTS 2026'!C652)</f>
        <v/>
      </c>
      <c r="C652">
        <f>IF(ISBLANK('ENGAGEMENTS 2026'!B652),"",'ENGAGEMENTS 2026'!D652)</f>
        <v/>
      </c>
      <c r="D652">
        <f>IF(ISBLANK('ENGAGEMENTS 2026'!B652),"",'ENGAGEMENTS 2026'!F652)</f>
        <v/>
      </c>
      <c r="E652">
        <f>IF(ISBLANK('ENGAGEMENTS 2026'!B652),"",'ENGAGEMENTS 2026'!H652)</f>
        <v/>
      </c>
      <c r="F652">
        <f>IF(ISBLANK('ENGAGEMENTS 2026'!B652),"",'ENGAGEMENTS 2026'!I652)</f>
        <v/>
      </c>
      <c r="G652">
        <f>IF(ISBLANK('ENGAGEMENTS 2026'!B652),"",'ENGAGEMENTS 2026'!L652)</f>
        <v/>
      </c>
      <c r="H652">
        <f>IF(ISBLANK('ENGAGEMENTS 2026'!B652),"",'ENGAGEMENTS 2026'!AE652)</f>
        <v/>
      </c>
      <c r="I652">
        <f>IF(ISBLANK('ENGAGEMENTS 2026'!B652),"",'ENGAGEMENTS 2026'!G652)</f>
        <v/>
      </c>
      <c r="J652" s="275">
        <f>IF(ISBLANK('ENGAGEMENTS 2026'!B652),"",IF(AND(OR($E652="INFRUCTUEUX",$E652="ANNULE"),$C652="AOO-M"),'ENGAGEMENTS 2026'!O652,IF($H652="EN COURS DE PREENGAGEMENT",'ENGAGEMENTS 2026'!N652,IF($H652="PREENGAGE",IF($E652="ATTRIBUE",'ENGAGEMENTS 2026'!AD652,'ENGAGEMENTS 2026'!N652),'ENGAGEMENTS 2026'!AD652))))</f>
        <v/>
      </c>
      <c r="K652" s="604">
        <f>IF(ISBLANK('ENGAGEMENTS 2026'!V652),"",'ENGAGEMENTS 2026'!V652)</f>
        <v/>
      </c>
      <c r="L652" s="276">
        <f>IF($K652="","",TODAY()-$K652)</f>
        <v/>
      </c>
      <c r="M652">
        <f>IF($A652="","",IF($H652="ENGAGE","Engagé",IF(AND($H652="NON ENGAGE",OR($I652="INFRUCTUEUX",$I652="ANNULE")),"Clôturé sans suite","En cours")))</f>
        <v/>
      </c>
      <c r="N652">
        <f>IF(ISBLANK('ENGAGEMENTS 2026'!B652),"",'ENGAGEMENTS 2026'!K652)</f>
        <v/>
      </c>
      <c r="O652">
        <f>IF(ISBLANK('ENGAGEMENTS 2026'!B652),"",'ENGAGEMENTS 2026'!L652)</f>
        <v/>
      </c>
      <c r="P652">
        <f>IF(ISBLANK('ENGAGEMENTS 2026'!B652),"",'ENGAGEMENTS 2026'!J652)</f>
        <v/>
      </c>
      <c r="Q652">
        <f>IF($A652="","",IF(OR($E652="INFRUCTUEUX",$E652="ANNULE"),$A652&amp;"|"&amp;(COUNTIFS($A$2:$A652,$A652,$E$2:$E652,"INFRUCTUEUX")+COUNTIFS($A$2:$A652,$A652,$E$2:$E652,"ANNULE")),""))</f>
        <v/>
      </c>
    </row>
    <row r="653">
      <c r="A653">
        <f>IF(ISBLANK('ENGAGEMENTS 2026'!B653),"",IF('ENGAGEMENTS 2026'!B653="DTSI","DCT",'ENGAGEMENTS 2026'!B653))</f>
        <v/>
      </c>
      <c r="B653">
        <f>IF(ISBLANK('ENGAGEMENTS 2026'!B653),"",'ENGAGEMENTS 2026'!C653)</f>
        <v/>
      </c>
      <c r="C653">
        <f>IF(ISBLANK('ENGAGEMENTS 2026'!B653),"",'ENGAGEMENTS 2026'!D653)</f>
        <v/>
      </c>
      <c r="D653">
        <f>IF(ISBLANK('ENGAGEMENTS 2026'!B653),"",'ENGAGEMENTS 2026'!F653)</f>
        <v/>
      </c>
      <c r="E653">
        <f>IF(ISBLANK('ENGAGEMENTS 2026'!B653),"",'ENGAGEMENTS 2026'!H653)</f>
        <v/>
      </c>
      <c r="F653">
        <f>IF(ISBLANK('ENGAGEMENTS 2026'!B653),"",'ENGAGEMENTS 2026'!I653)</f>
        <v/>
      </c>
      <c r="G653">
        <f>IF(ISBLANK('ENGAGEMENTS 2026'!B653),"",'ENGAGEMENTS 2026'!L653)</f>
        <v/>
      </c>
      <c r="H653">
        <f>IF(ISBLANK('ENGAGEMENTS 2026'!B653),"",'ENGAGEMENTS 2026'!AE653)</f>
        <v/>
      </c>
      <c r="I653">
        <f>IF(ISBLANK('ENGAGEMENTS 2026'!B653),"",'ENGAGEMENTS 2026'!G653)</f>
        <v/>
      </c>
      <c r="J653" s="275">
        <f>IF(ISBLANK('ENGAGEMENTS 2026'!B653),"",IF(AND(OR($E653="INFRUCTUEUX",$E653="ANNULE"),$C653="AOO-M"),'ENGAGEMENTS 2026'!O653,IF($H653="EN COURS DE PREENGAGEMENT",'ENGAGEMENTS 2026'!N653,IF($H653="PREENGAGE",IF($E653="ATTRIBUE",'ENGAGEMENTS 2026'!AD653,'ENGAGEMENTS 2026'!N653),'ENGAGEMENTS 2026'!AD653))))</f>
        <v/>
      </c>
      <c r="K653" s="604">
        <f>IF(ISBLANK('ENGAGEMENTS 2026'!V653),"",'ENGAGEMENTS 2026'!V653)</f>
        <v/>
      </c>
      <c r="L653" s="276">
        <f>IF($K653="","",TODAY()-$K653)</f>
        <v/>
      </c>
      <c r="M653">
        <f>IF($A653="","",IF($H653="ENGAGE","Engagé",IF(AND($H653="NON ENGAGE",OR($I653="INFRUCTUEUX",$I653="ANNULE")),"Clôturé sans suite","En cours")))</f>
        <v/>
      </c>
      <c r="N653">
        <f>IF(ISBLANK('ENGAGEMENTS 2026'!B653),"",'ENGAGEMENTS 2026'!K653)</f>
        <v/>
      </c>
      <c r="O653">
        <f>IF(ISBLANK('ENGAGEMENTS 2026'!B653),"",'ENGAGEMENTS 2026'!L653)</f>
        <v/>
      </c>
      <c r="P653">
        <f>IF(ISBLANK('ENGAGEMENTS 2026'!B653),"",'ENGAGEMENTS 2026'!J653)</f>
        <v/>
      </c>
      <c r="Q653">
        <f>IF($A653="","",IF(OR($E653="INFRUCTUEUX",$E653="ANNULE"),$A653&amp;"|"&amp;(COUNTIFS($A$2:$A653,$A653,$E$2:$E653,"INFRUCTUEUX")+COUNTIFS($A$2:$A653,$A653,$E$2:$E653,"ANNULE")),""))</f>
        <v/>
      </c>
    </row>
    <row r="654">
      <c r="A654">
        <f>IF(ISBLANK('ENGAGEMENTS 2026'!B654),"",IF('ENGAGEMENTS 2026'!B654="DTSI","DCT",'ENGAGEMENTS 2026'!B654))</f>
        <v/>
      </c>
      <c r="B654">
        <f>IF(ISBLANK('ENGAGEMENTS 2026'!B654),"",'ENGAGEMENTS 2026'!C654)</f>
        <v/>
      </c>
      <c r="C654">
        <f>IF(ISBLANK('ENGAGEMENTS 2026'!B654),"",'ENGAGEMENTS 2026'!D654)</f>
        <v/>
      </c>
      <c r="D654">
        <f>IF(ISBLANK('ENGAGEMENTS 2026'!B654),"",'ENGAGEMENTS 2026'!F654)</f>
        <v/>
      </c>
      <c r="E654">
        <f>IF(ISBLANK('ENGAGEMENTS 2026'!B654),"",'ENGAGEMENTS 2026'!H654)</f>
        <v/>
      </c>
      <c r="F654">
        <f>IF(ISBLANK('ENGAGEMENTS 2026'!B654),"",'ENGAGEMENTS 2026'!I654)</f>
        <v/>
      </c>
      <c r="G654">
        <f>IF(ISBLANK('ENGAGEMENTS 2026'!B654),"",'ENGAGEMENTS 2026'!L654)</f>
        <v/>
      </c>
      <c r="H654">
        <f>IF(ISBLANK('ENGAGEMENTS 2026'!B654),"",'ENGAGEMENTS 2026'!AE654)</f>
        <v/>
      </c>
      <c r="I654">
        <f>IF(ISBLANK('ENGAGEMENTS 2026'!B654),"",'ENGAGEMENTS 2026'!G654)</f>
        <v/>
      </c>
      <c r="J654" s="275">
        <f>IF(ISBLANK('ENGAGEMENTS 2026'!B654),"",IF(AND(OR($E654="INFRUCTUEUX",$E654="ANNULE"),$C654="AOO-M"),'ENGAGEMENTS 2026'!O654,IF($H654="EN COURS DE PREENGAGEMENT",'ENGAGEMENTS 2026'!N654,IF($H654="PREENGAGE",IF($E654="ATTRIBUE",'ENGAGEMENTS 2026'!AD654,'ENGAGEMENTS 2026'!N654),'ENGAGEMENTS 2026'!AD654))))</f>
        <v/>
      </c>
      <c r="K654" s="604">
        <f>IF(ISBLANK('ENGAGEMENTS 2026'!V654),"",'ENGAGEMENTS 2026'!V654)</f>
        <v/>
      </c>
      <c r="L654" s="276">
        <f>IF($K654="","",TODAY()-$K654)</f>
        <v/>
      </c>
      <c r="M654">
        <f>IF($A654="","",IF($H654="ENGAGE","Engagé",IF(AND($H654="NON ENGAGE",OR($I654="INFRUCTUEUX",$I654="ANNULE")),"Clôturé sans suite","En cours")))</f>
        <v/>
      </c>
      <c r="N654">
        <f>IF(ISBLANK('ENGAGEMENTS 2026'!B654),"",'ENGAGEMENTS 2026'!K654)</f>
        <v/>
      </c>
      <c r="O654">
        <f>IF(ISBLANK('ENGAGEMENTS 2026'!B654),"",'ENGAGEMENTS 2026'!L654)</f>
        <v/>
      </c>
      <c r="P654">
        <f>IF(ISBLANK('ENGAGEMENTS 2026'!B654),"",'ENGAGEMENTS 2026'!J654)</f>
        <v/>
      </c>
      <c r="Q654">
        <f>IF($A654="","",IF(OR($E654="INFRUCTUEUX",$E654="ANNULE"),$A654&amp;"|"&amp;(COUNTIFS($A$2:$A654,$A654,$E$2:$E654,"INFRUCTUEUX")+COUNTIFS($A$2:$A654,$A654,$E$2:$E654,"ANNULE")),""))</f>
        <v/>
      </c>
    </row>
    <row r="655">
      <c r="A655">
        <f>IF(ISBLANK('ENGAGEMENTS 2026'!B655),"",IF('ENGAGEMENTS 2026'!B655="DTSI","DCT",'ENGAGEMENTS 2026'!B655))</f>
        <v/>
      </c>
      <c r="B655">
        <f>IF(ISBLANK('ENGAGEMENTS 2026'!B655),"",'ENGAGEMENTS 2026'!C655)</f>
        <v/>
      </c>
      <c r="C655">
        <f>IF(ISBLANK('ENGAGEMENTS 2026'!B655),"",'ENGAGEMENTS 2026'!D655)</f>
        <v/>
      </c>
      <c r="D655">
        <f>IF(ISBLANK('ENGAGEMENTS 2026'!B655),"",'ENGAGEMENTS 2026'!F655)</f>
        <v/>
      </c>
      <c r="E655">
        <f>IF(ISBLANK('ENGAGEMENTS 2026'!B655),"",'ENGAGEMENTS 2026'!H655)</f>
        <v/>
      </c>
      <c r="F655">
        <f>IF(ISBLANK('ENGAGEMENTS 2026'!B655),"",'ENGAGEMENTS 2026'!I655)</f>
        <v/>
      </c>
      <c r="G655">
        <f>IF(ISBLANK('ENGAGEMENTS 2026'!B655),"",'ENGAGEMENTS 2026'!L655)</f>
        <v/>
      </c>
      <c r="H655">
        <f>IF(ISBLANK('ENGAGEMENTS 2026'!B655),"",'ENGAGEMENTS 2026'!AE655)</f>
        <v/>
      </c>
      <c r="I655">
        <f>IF(ISBLANK('ENGAGEMENTS 2026'!B655),"",'ENGAGEMENTS 2026'!G655)</f>
        <v/>
      </c>
      <c r="J655" s="275">
        <f>IF(ISBLANK('ENGAGEMENTS 2026'!B655),"",IF(AND(OR($E655="INFRUCTUEUX",$E655="ANNULE"),$C655="AOO-M"),'ENGAGEMENTS 2026'!O655,IF($H655="EN COURS DE PREENGAGEMENT",'ENGAGEMENTS 2026'!N655,IF($H655="PREENGAGE",IF($E655="ATTRIBUE",'ENGAGEMENTS 2026'!AD655,'ENGAGEMENTS 2026'!N655),'ENGAGEMENTS 2026'!AD655))))</f>
        <v/>
      </c>
      <c r="K655" s="604">
        <f>IF(ISBLANK('ENGAGEMENTS 2026'!V655),"",'ENGAGEMENTS 2026'!V655)</f>
        <v/>
      </c>
      <c r="L655" s="276">
        <f>IF($K655="","",TODAY()-$K655)</f>
        <v/>
      </c>
      <c r="M655">
        <f>IF($A655="","",IF($H655="ENGAGE","Engagé",IF(AND($H655="NON ENGAGE",OR($I655="INFRUCTUEUX",$I655="ANNULE")),"Clôturé sans suite","En cours")))</f>
        <v/>
      </c>
      <c r="N655">
        <f>IF(ISBLANK('ENGAGEMENTS 2026'!B655),"",'ENGAGEMENTS 2026'!K655)</f>
        <v/>
      </c>
      <c r="O655">
        <f>IF(ISBLANK('ENGAGEMENTS 2026'!B655),"",'ENGAGEMENTS 2026'!L655)</f>
        <v/>
      </c>
      <c r="P655">
        <f>IF(ISBLANK('ENGAGEMENTS 2026'!B655),"",'ENGAGEMENTS 2026'!J655)</f>
        <v/>
      </c>
      <c r="Q655">
        <f>IF($A655="","",IF(OR($E655="INFRUCTUEUX",$E655="ANNULE"),$A655&amp;"|"&amp;(COUNTIFS($A$2:$A655,$A655,$E$2:$E655,"INFRUCTUEUX")+COUNTIFS($A$2:$A655,$A655,$E$2:$E655,"ANNULE")),""))</f>
        <v/>
      </c>
    </row>
    <row r="656">
      <c r="A656">
        <f>IF(ISBLANK('ENGAGEMENTS 2026'!B656),"",IF('ENGAGEMENTS 2026'!B656="DTSI","DCT",'ENGAGEMENTS 2026'!B656))</f>
        <v/>
      </c>
      <c r="B656">
        <f>IF(ISBLANK('ENGAGEMENTS 2026'!B656),"",'ENGAGEMENTS 2026'!C656)</f>
        <v/>
      </c>
      <c r="C656">
        <f>IF(ISBLANK('ENGAGEMENTS 2026'!B656),"",'ENGAGEMENTS 2026'!D656)</f>
        <v/>
      </c>
      <c r="D656">
        <f>IF(ISBLANK('ENGAGEMENTS 2026'!B656),"",'ENGAGEMENTS 2026'!F656)</f>
        <v/>
      </c>
      <c r="E656">
        <f>IF(ISBLANK('ENGAGEMENTS 2026'!B656),"",'ENGAGEMENTS 2026'!H656)</f>
        <v/>
      </c>
      <c r="F656">
        <f>IF(ISBLANK('ENGAGEMENTS 2026'!B656),"",'ENGAGEMENTS 2026'!I656)</f>
        <v/>
      </c>
      <c r="G656">
        <f>IF(ISBLANK('ENGAGEMENTS 2026'!B656),"",'ENGAGEMENTS 2026'!L656)</f>
        <v/>
      </c>
      <c r="H656">
        <f>IF(ISBLANK('ENGAGEMENTS 2026'!B656),"",'ENGAGEMENTS 2026'!AE656)</f>
        <v/>
      </c>
      <c r="I656">
        <f>IF(ISBLANK('ENGAGEMENTS 2026'!B656),"",'ENGAGEMENTS 2026'!G656)</f>
        <v/>
      </c>
      <c r="J656" s="275">
        <f>IF(ISBLANK('ENGAGEMENTS 2026'!B656),"",IF(AND(OR($E656="INFRUCTUEUX",$E656="ANNULE"),$C656="AOO-M"),'ENGAGEMENTS 2026'!O656,IF($H656="EN COURS DE PREENGAGEMENT",'ENGAGEMENTS 2026'!N656,IF($H656="PREENGAGE",IF($E656="ATTRIBUE",'ENGAGEMENTS 2026'!AD656,'ENGAGEMENTS 2026'!N656),'ENGAGEMENTS 2026'!AD656))))</f>
        <v/>
      </c>
      <c r="K656" s="604">
        <f>IF(ISBLANK('ENGAGEMENTS 2026'!V656),"",'ENGAGEMENTS 2026'!V656)</f>
        <v/>
      </c>
      <c r="L656" s="276">
        <f>IF($K656="","",TODAY()-$K656)</f>
        <v/>
      </c>
      <c r="M656">
        <f>IF($A656="","",IF($H656="ENGAGE","Engagé",IF(AND($H656="NON ENGAGE",OR($I656="INFRUCTUEUX",$I656="ANNULE")),"Clôturé sans suite","En cours")))</f>
        <v/>
      </c>
      <c r="N656">
        <f>IF(ISBLANK('ENGAGEMENTS 2026'!B656),"",'ENGAGEMENTS 2026'!K656)</f>
        <v/>
      </c>
      <c r="O656">
        <f>IF(ISBLANK('ENGAGEMENTS 2026'!B656),"",'ENGAGEMENTS 2026'!L656)</f>
        <v/>
      </c>
      <c r="P656">
        <f>IF(ISBLANK('ENGAGEMENTS 2026'!B656),"",'ENGAGEMENTS 2026'!J656)</f>
        <v/>
      </c>
      <c r="Q656">
        <f>IF($A656="","",IF(OR($E656="INFRUCTUEUX",$E656="ANNULE"),$A656&amp;"|"&amp;(COUNTIFS($A$2:$A656,$A656,$E$2:$E656,"INFRUCTUEUX")+COUNTIFS($A$2:$A656,$A656,$E$2:$E656,"ANNULE")),""))</f>
        <v/>
      </c>
    </row>
    <row r="657">
      <c r="A657">
        <f>IF(ISBLANK('ENGAGEMENTS 2026'!B657),"",IF('ENGAGEMENTS 2026'!B657="DTSI","DCT",'ENGAGEMENTS 2026'!B657))</f>
        <v/>
      </c>
      <c r="B657">
        <f>IF(ISBLANK('ENGAGEMENTS 2026'!B657),"",'ENGAGEMENTS 2026'!C657)</f>
        <v/>
      </c>
      <c r="C657">
        <f>IF(ISBLANK('ENGAGEMENTS 2026'!B657),"",'ENGAGEMENTS 2026'!D657)</f>
        <v/>
      </c>
      <c r="D657">
        <f>IF(ISBLANK('ENGAGEMENTS 2026'!B657),"",'ENGAGEMENTS 2026'!F657)</f>
        <v/>
      </c>
      <c r="E657">
        <f>IF(ISBLANK('ENGAGEMENTS 2026'!B657),"",'ENGAGEMENTS 2026'!H657)</f>
        <v/>
      </c>
      <c r="F657">
        <f>IF(ISBLANK('ENGAGEMENTS 2026'!B657),"",'ENGAGEMENTS 2026'!I657)</f>
        <v/>
      </c>
      <c r="G657">
        <f>IF(ISBLANK('ENGAGEMENTS 2026'!B657),"",'ENGAGEMENTS 2026'!L657)</f>
        <v/>
      </c>
      <c r="H657">
        <f>IF(ISBLANK('ENGAGEMENTS 2026'!B657),"",'ENGAGEMENTS 2026'!AE657)</f>
        <v/>
      </c>
      <c r="I657">
        <f>IF(ISBLANK('ENGAGEMENTS 2026'!B657),"",'ENGAGEMENTS 2026'!G657)</f>
        <v/>
      </c>
      <c r="J657" s="275">
        <f>IF(ISBLANK('ENGAGEMENTS 2026'!B657),"",IF(AND(OR($E657="INFRUCTUEUX",$E657="ANNULE"),$C657="AOO-M"),'ENGAGEMENTS 2026'!O657,IF($H657="EN COURS DE PREENGAGEMENT",'ENGAGEMENTS 2026'!N657,IF($H657="PREENGAGE",IF($E657="ATTRIBUE",'ENGAGEMENTS 2026'!AD657,'ENGAGEMENTS 2026'!N657),'ENGAGEMENTS 2026'!AD657))))</f>
        <v/>
      </c>
      <c r="K657" s="604">
        <f>IF(ISBLANK('ENGAGEMENTS 2026'!V657),"",'ENGAGEMENTS 2026'!V657)</f>
        <v/>
      </c>
      <c r="L657" s="276">
        <f>IF($K657="","",TODAY()-$K657)</f>
        <v/>
      </c>
      <c r="M657">
        <f>IF($A657="","",IF($H657="ENGAGE","Engagé",IF(AND($H657="NON ENGAGE",OR($I657="INFRUCTUEUX",$I657="ANNULE")),"Clôturé sans suite","En cours")))</f>
        <v/>
      </c>
      <c r="N657">
        <f>IF(ISBLANK('ENGAGEMENTS 2026'!B657),"",'ENGAGEMENTS 2026'!K657)</f>
        <v/>
      </c>
      <c r="O657">
        <f>IF(ISBLANK('ENGAGEMENTS 2026'!B657),"",'ENGAGEMENTS 2026'!L657)</f>
        <v/>
      </c>
      <c r="P657">
        <f>IF(ISBLANK('ENGAGEMENTS 2026'!B657),"",'ENGAGEMENTS 2026'!J657)</f>
        <v/>
      </c>
      <c r="Q657">
        <f>IF($A657="","",IF(OR($E657="INFRUCTUEUX",$E657="ANNULE"),$A657&amp;"|"&amp;(COUNTIFS($A$2:$A657,$A657,$E$2:$E657,"INFRUCTUEUX")+COUNTIFS($A$2:$A657,$A657,$E$2:$E657,"ANNULE")),""))</f>
        <v/>
      </c>
    </row>
    <row r="658">
      <c r="A658">
        <f>IF(ISBLANK('ENGAGEMENTS 2026'!B658),"",IF('ENGAGEMENTS 2026'!B658="DTSI","DCT",'ENGAGEMENTS 2026'!B658))</f>
        <v/>
      </c>
      <c r="B658">
        <f>IF(ISBLANK('ENGAGEMENTS 2026'!B658),"",'ENGAGEMENTS 2026'!C658)</f>
        <v/>
      </c>
      <c r="C658">
        <f>IF(ISBLANK('ENGAGEMENTS 2026'!B658),"",'ENGAGEMENTS 2026'!D658)</f>
        <v/>
      </c>
      <c r="D658">
        <f>IF(ISBLANK('ENGAGEMENTS 2026'!B658),"",'ENGAGEMENTS 2026'!F658)</f>
        <v/>
      </c>
      <c r="E658">
        <f>IF(ISBLANK('ENGAGEMENTS 2026'!B658),"",'ENGAGEMENTS 2026'!H658)</f>
        <v/>
      </c>
      <c r="F658">
        <f>IF(ISBLANK('ENGAGEMENTS 2026'!B658),"",'ENGAGEMENTS 2026'!I658)</f>
        <v/>
      </c>
      <c r="G658">
        <f>IF(ISBLANK('ENGAGEMENTS 2026'!B658),"",'ENGAGEMENTS 2026'!L658)</f>
        <v/>
      </c>
      <c r="H658">
        <f>IF(ISBLANK('ENGAGEMENTS 2026'!B658),"",'ENGAGEMENTS 2026'!AE658)</f>
        <v/>
      </c>
      <c r="I658">
        <f>IF(ISBLANK('ENGAGEMENTS 2026'!B658),"",'ENGAGEMENTS 2026'!G658)</f>
        <v/>
      </c>
      <c r="J658" s="275">
        <f>IF(ISBLANK('ENGAGEMENTS 2026'!B658),"",IF(AND(OR($E658="INFRUCTUEUX",$E658="ANNULE"),$C658="AOO-M"),'ENGAGEMENTS 2026'!O658,IF($H658="EN COURS DE PREENGAGEMENT",'ENGAGEMENTS 2026'!N658,IF($H658="PREENGAGE",IF($E658="ATTRIBUE",'ENGAGEMENTS 2026'!AD658,'ENGAGEMENTS 2026'!N658),'ENGAGEMENTS 2026'!AD658))))</f>
        <v/>
      </c>
      <c r="K658" s="604">
        <f>IF(ISBLANK('ENGAGEMENTS 2026'!V658),"",'ENGAGEMENTS 2026'!V658)</f>
        <v/>
      </c>
      <c r="L658" s="276">
        <f>IF($K658="","",TODAY()-$K658)</f>
        <v/>
      </c>
      <c r="M658">
        <f>IF($A658="","",IF($H658="ENGAGE","Engagé",IF(AND($H658="NON ENGAGE",OR($I658="INFRUCTUEUX",$I658="ANNULE")),"Clôturé sans suite","En cours")))</f>
        <v/>
      </c>
      <c r="N658">
        <f>IF(ISBLANK('ENGAGEMENTS 2026'!B658),"",'ENGAGEMENTS 2026'!K658)</f>
        <v/>
      </c>
      <c r="O658">
        <f>IF(ISBLANK('ENGAGEMENTS 2026'!B658),"",'ENGAGEMENTS 2026'!L658)</f>
        <v/>
      </c>
      <c r="P658">
        <f>IF(ISBLANK('ENGAGEMENTS 2026'!B658),"",'ENGAGEMENTS 2026'!J658)</f>
        <v/>
      </c>
      <c r="Q658">
        <f>IF($A658="","",IF(OR($E658="INFRUCTUEUX",$E658="ANNULE"),$A658&amp;"|"&amp;(COUNTIFS($A$2:$A658,$A658,$E$2:$E658,"INFRUCTUEUX")+COUNTIFS($A$2:$A658,$A658,$E$2:$E658,"ANNULE")),""))</f>
        <v/>
      </c>
    </row>
    <row r="659">
      <c r="A659">
        <f>IF(ISBLANK('ENGAGEMENTS 2026'!B659),"",IF('ENGAGEMENTS 2026'!B659="DTSI","DCT",'ENGAGEMENTS 2026'!B659))</f>
        <v/>
      </c>
      <c r="B659">
        <f>IF(ISBLANK('ENGAGEMENTS 2026'!B659),"",'ENGAGEMENTS 2026'!C659)</f>
        <v/>
      </c>
      <c r="C659">
        <f>IF(ISBLANK('ENGAGEMENTS 2026'!B659),"",'ENGAGEMENTS 2026'!D659)</f>
        <v/>
      </c>
      <c r="D659">
        <f>IF(ISBLANK('ENGAGEMENTS 2026'!B659),"",'ENGAGEMENTS 2026'!F659)</f>
        <v/>
      </c>
      <c r="E659">
        <f>IF(ISBLANK('ENGAGEMENTS 2026'!B659),"",'ENGAGEMENTS 2026'!H659)</f>
        <v/>
      </c>
      <c r="F659">
        <f>IF(ISBLANK('ENGAGEMENTS 2026'!B659),"",'ENGAGEMENTS 2026'!I659)</f>
        <v/>
      </c>
      <c r="G659">
        <f>IF(ISBLANK('ENGAGEMENTS 2026'!B659),"",'ENGAGEMENTS 2026'!L659)</f>
        <v/>
      </c>
      <c r="H659">
        <f>IF(ISBLANK('ENGAGEMENTS 2026'!B659),"",'ENGAGEMENTS 2026'!AE659)</f>
        <v/>
      </c>
      <c r="I659">
        <f>IF(ISBLANK('ENGAGEMENTS 2026'!B659),"",'ENGAGEMENTS 2026'!G659)</f>
        <v/>
      </c>
      <c r="J659" s="275">
        <f>IF(ISBLANK('ENGAGEMENTS 2026'!B659),"",IF(AND(OR($E659="INFRUCTUEUX",$E659="ANNULE"),$C659="AOO-M"),'ENGAGEMENTS 2026'!O659,IF($H659="EN COURS DE PREENGAGEMENT",'ENGAGEMENTS 2026'!N659,IF($H659="PREENGAGE",IF($E659="ATTRIBUE",'ENGAGEMENTS 2026'!AD659,'ENGAGEMENTS 2026'!N659),'ENGAGEMENTS 2026'!AD659))))</f>
        <v/>
      </c>
      <c r="K659" s="604">
        <f>IF(ISBLANK('ENGAGEMENTS 2026'!V659),"",'ENGAGEMENTS 2026'!V659)</f>
        <v/>
      </c>
      <c r="L659" s="276">
        <f>IF($K659="","",TODAY()-$K659)</f>
        <v/>
      </c>
      <c r="M659">
        <f>IF($A659="","",IF($H659="ENGAGE","Engagé",IF(AND($H659="NON ENGAGE",OR($I659="INFRUCTUEUX",$I659="ANNULE")),"Clôturé sans suite","En cours")))</f>
        <v/>
      </c>
      <c r="N659">
        <f>IF(ISBLANK('ENGAGEMENTS 2026'!B659),"",'ENGAGEMENTS 2026'!K659)</f>
        <v/>
      </c>
      <c r="O659">
        <f>IF(ISBLANK('ENGAGEMENTS 2026'!B659),"",'ENGAGEMENTS 2026'!L659)</f>
        <v/>
      </c>
      <c r="P659">
        <f>IF(ISBLANK('ENGAGEMENTS 2026'!B659),"",'ENGAGEMENTS 2026'!J659)</f>
        <v/>
      </c>
      <c r="Q659">
        <f>IF($A659="","",IF(OR($E659="INFRUCTUEUX",$E659="ANNULE"),$A659&amp;"|"&amp;(COUNTIFS($A$2:$A659,$A659,$E$2:$E659,"INFRUCTUEUX")+COUNTIFS($A$2:$A659,$A659,$E$2:$E659,"ANNULE")),""))</f>
        <v/>
      </c>
    </row>
    <row r="660">
      <c r="A660">
        <f>IF(ISBLANK('ENGAGEMENTS 2026'!B660),"",IF('ENGAGEMENTS 2026'!B660="DTSI","DCT",'ENGAGEMENTS 2026'!B660))</f>
        <v/>
      </c>
      <c r="B660">
        <f>IF(ISBLANK('ENGAGEMENTS 2026'!B660),"",'ENGAGEMENTS 2026'!C660)</f>
        <v/>
      </c>
      <c r="C660">
        <f>IF(ISBLANK('ENGAGEMENTS 2026'!B660),"",'ENGAGEMENTS 2026'!D660)</f>
        <v/>
      </c>
      <c r="D660">
        <f>IF(ISBLANK('ENGAGEMENTS 2026'!B660),"",'ENGAGEMENTS 2026'!F660)</f>
        <v/>
      </c>
      <c r="E660">
        <f>IF(ISBLANK('ENGAGEMENTS 2026'!B660),"",'ENGAGEMENTS 2026'!H660)</f>
        <v/>
      </c>
      <c r="F660">
        <f>IF(ISBLANK('ENGAGEMENTS 2026'!B660),"",'ENGAGEMENTS 2026'!I660)</f>
        <v/>
      </c>
      <c r="G660">
        <f>IF(ISBLANK('ENGAGEMENTS 2026'!B660),"",'ENGAGEMENTS 2026'!L660)</f>
        <v/>
      </c>
      <c r="H660">
        <f>IF(ISBLANK('ENGAGEMENTS 2026'!B660),"",'ENGAGEMENTS 2026'!AE660)</f>
        <v/>
      </c>
      <c r="I660">
        <f>IF(ISBLANK('ENGAGEMENTS 2026'!B660),"",'ENGAGEMENTS 2026'!G660)</f>
        <v/>
      </c>
      <c r="J660" s="275">
        <f>IF(ISBLANK('ENGAGEMENTS 2026'!B660),"",IF(AND(OR($E660="INFRUCTUEUX",$E660="ANNULE"),$C660="AOO-M"),'ENGAGEMENTS 2026'!O660,IF($H660="EN COURS DE PREENGAGEMENT",'ENGAGEMENTS 2026'!N660,IF($H660="PREENGAGE",IF($E660="ATTRIBUE",'ENGAGEMENTS 2026'!AD660,'ENGAGEMENTS 2026'!N660),'ENGAGEMENTS 2026'!AD660))))</f>
        <v/>
      </c>
      <c r="K660" s="604">
        <f>IF(ISBLANK('ENGAGEMENTS 2026'!V660),"",'ENGAGEMENTS 2026'!V660)</f>
        <v/>
      </c>
      <c r="L660" s="276">
        <f>IF($K660="","",TODAY()-$K660)</f>
        <v/>
      </c>
      <c r="M660">
        <f>IF($A660="","",IF($H660="ENGAGE","Engagé",IF(AND($H660="NON ENGAGE",OR($I660="INFRUCTUEUX",$I660="ANNULE")),"Clôturé sans suite","En cours")))</f>
        <v/>
      </c>
      <c r="N660">
        <f>IF(ISBLANK('ENGAGEMENTS 2026'!B660),"",'ENGAGEMENTS 2026'!K660)</f>
        <v/>
      </c>
      <c r="O660">
        <f>IF(ISBLANK('ENGAGEMENTS 2026'!B660),"",'ENGAGEMENTS 2026'!L660)</f>
        <v/>
      </c>
      <c r="P660">
        <f>IF(ISBLANK('ENGAGEMENTS 2026'!B660),"",'ENGAGEMENTS 2026'!J660)</f>
        <v/>
      </c>
      <c r="Q660">
        <f>IF($A660="","",IF(OR($E660="INFRUCTUEUX",$E660="ANNULE"),$A660&amp;"|"&amp;(COUNTIFS($A$2:$A660,$A660,$E$2:$E660,"INFRUCTUEUX")+COUNTIFS($A$2:$A660,$A660,$E$2:$E660,"ANNULE")),""))</f>
        <v/>
      </c>
    </row>
    <row r="661">
      <c r="A661">
        <f>IF(ISBLANK('ENGAGEMENTS 2026'!B661),"",IF('ENGAGEMENTS 2026'!B661="DTSI","DCT",'ENGAGEMENTS 2026'!B661))</f>
        <v/>
      </c>
      <c r="B661">
        <f>IF(ISBLANK('ENGAGEMENTS 2026'!B661),"",'ENGAGEMENTS 2026'!C661)</f>
        <v/>
      </c>
      <c r="C661">
        <f>IF(ISBLANK('ENGAGEMENTS 2026'!B661),"",'ENGAGEMENTS 2026'!D661)</f>
        <v/>
      </c>
      <c r="D661">
        <f>IF(ISBLANK('ENGAGEMENTS 2026'!B661),"",'ENGAGEMENTS 2026'!F661)</f>
        <v/>
      </c>
      <c r="E661">
        <f>IF(ISBLANK('ENGAGEMENTS 2026'!B661),"",'ENGAGEMENTS 2026'!H661)</f>
        <v/>
      </c>
      <c r="F661">
        <f>IF(ISBLANK('ENGAGEMENTS 2026'!B661),"",'ENGAGEMENTS 2026'!I661)</f>
        <v/>
      </c>
      <c r="G661">
        <f>IF(ISBLANK('ENGAGEMENTS 2026'!B661),"",'ENGAGEMENTS 2026'!L661)</f>
        <v/>
      </c>
      <c r="H661">
        <f>IF(ISBLANK('ENGAGEMENTS 2026'!B661),"",'ENGAGEMENTS 2026'!AE661)</f>
        <v/>
      </c>
      <c r="I661">
        <f>IF(ISBLANK('ENGAGEMENTS 2026'!B661),"",'ENGAGEMENTS 2026'!G661)</f>
        <v/>
      </c>
      <c r="J661" s="275">
        <f>IF(ISBLANK('ENGAGEMENTS 2026'!B661),"",IF(AND(OR($E661="INFRUCTUEUX",$E661="ANNULE"),$C661="AOO-M"),'ENGAGEMENTS 2026'!O661,IF($H661="EN COURS DE PREENGAGEMENT",'ENGAGEMENTS 2026'!N661,IF($H661="PREENGAGE",IF($E661="ATTRIBUE",'ENGAGEMENTS 2026'!AD661,'ENGAGEMENTS 2026'!N661),'ENGAGEMENTS 2026'!AD661))))</f>
        <v/>
      </c>
      <c r="K661" s="604">
        <f>IF(ISBLANK('ENGAGEMENTS 2026'!V661),"",'ENGAGEMENTS 2026'!V661)</f>
        <v/>
      </c>
      <c r="L661" s="276">
        <f>IF($K661="","",TODAY()-$K661)</f>
        <v/>
      </c>
      <c r="M661">
        <f>IF($A661="","",IF($H661="ENGAGE","Engagé",IF(AND($H661="NON ENGAGE",OR($I661="INFRUCTUEUX",$I661="ANNULE")),"Clôturé sans suite","En cours")))</f>
        <v/>
      </c>
      <c r="N661">
        <f>IF(ISBLANK('ENGAGEMENTS 2026'!B661),"",'ENGAGEMENTS 2026'!K661)</f>
        <v/>
      </c>
      <c r="O661">
        <f>IF(ISBLANK('ENGAGEMENTS 2026'!B661),"",'ENGAGEMENTS 2026'!L661)</f>
        <v/>
      </c>
      <c r="P661">
        <f>IF(ISBLANK('ENGAGEMENTS 2026'!B661),"",'ENGAGEMENTS 2026'!J661)</f>
        <v/>
      </c>
      <c r="Q661">
        <f>IF($A661="","",IF(OR($E661="INFRUCTUEUX",$E661="ANNULE"),$A661&amp;"|"&amp;(COUNTIFS($A$2:$A661,$A661,$E$2:$E661,"INFRUCTUEUX")+COUNTIFS($A$2:$A661,$A661,$E$2:$E661,"ANNULE")),""))</f>
        <v/>
      </c>
    </row>
    <row r="662">
      <c r="A662">
        <f>IF(ISBLANK('ENGAGEMENTS 2026'!B662),"",IF('ENGAGEMENTS 2026'!B662="DTSI","DCT",'ENGAGEMENTS 2026'!B662))</f>
        <v/>
      </c>
      <c r="B662">
        <f>IF(ISBLANK('ENGAGEMENTS 2026'!B662),"",'ENGAGEMENTS 2026'!C662)</f>
        <v/>
      </c>
      <c r="C662">
        <f>IF(ISBLANK('ENGAGEMENTS 2026'!B662),"",'ENGAGEMENTS 2026'!D662)</f>
        <v/>
      </c>
      <c r="D662">
        <f>IF(ISBLANK('ENGAGEMENTS 2026'!B662),"",'ENGAGEMENTS 2026'!F662)</f>
        <v/>
      </c>
      <c r="E662">
        <f>IF(ISBLANK('ENGAGEMENTS 2026'!B662),"",'ENGAGEMENTS 2026'!H662)</f>
        <v/>
      </c>
      <c r="F662">
        <f>IF(ISBLANK('ENGAGEMENTS 2026'!B662),"",'ENGAGEMENTS 2026'!I662)</f>
        <v/>
      </c>
      <c r="G662">
        <f>IF(ISBLANK('ENGAGEMENTS 2026'!B662),"",'ENGAGEMENTS 2026'!L662)</f>
        <v/>
      </c>
      <c r="H662">
        <f>IF(ISBLANK('ENGAGEMENTS 2026'!B662),"",'ENGAGEMENTS 2026'!AE662)</f>
        <v/>
      </c>
      <c r="I662">
        <f>IF(ISBLANK('ENGAGEMENTS 2026'!B662),"",'ENGAGEMENTS 2026'!G662)</f>
        <v/>
      </c>
      <c r="J662" s="275">
        <f>IF(ISBLANK('ENGAGEMENTS 2026'!B662),"",IF(AND(OR($E662="INFRUCTUEUX",$E662="ANNULE"),$C662="AOO-M"),'ENGAGEMENTS 2026'!O662,IF($H662="EN COURS DE PREENGAGEMENT",'ENGAGEMENTS 2026'!N662,IF($H662="PREENGAGE",IF($E662="ATTRIBUE",'ENGAGEMENTS 2026'!AD662,'ENGAGEMENTS 2026'!N662),'ENGAGEMENTS 2026'!AD662))))</f>
        <v/>
      </c>
      <c r="K662" s="604">
        <f>IF(ISBLANK('ENGAGEMENTS 2026'!V662),"",'ENGAGEMENTS 2026'!V662)</f>
        <v/>
      </c>
      <c r="L662" s="276">
        <f>IF($K662="","",TODAY()-$K662)</f>
        <v/>
      </c>
      <c r="M662">
        <f>IF($A662="","",IF($H662="ENGAGE","Engagé",IF(AND($H662="NON ENGAGE",OR($I662="INFRUCTUEUX",$I662="ANNULE")),"Clôturé sans suite","En cours")))</f>
        <v/>
      </c>
      <c r="N662">
        <f>IF(ISBLANK('ENGAGEMENTS 2026'!B662),"",'ENGAGEMENTS 2026'!K662)</f>
        <v/>
      </c>
      <c r="O662">
        <f>IF(ISBLANK('ENGAGEMENTS 2026'!B662),"",'ENGAGEMENTS 2026'!L662)</f>
        <v/>
      </c>
      <c r="P662">
        <f>IF(ISBLANK('ENGAGEMENTS 2026'!B662),"",'ENGAGEMENTS 2026'!J662)</f>
        <v/>
      </c>
      <c r="Q662">
        <f>IF($A662="","",IF(OR($E662="INFRUCTUEUX",$E662="ANNULE"),$A662&amp;"|"&amp;(COUNTIFS($A$2:$A662,$A662,$E$2:$E662,"INFRUCTUEUX")+COUNTIFS($A$2:$A662,$A662,$E$2:$E662,"ANNULE")),""))</f>
        <v/>
      </c>
    </row>
    <row r="663">
      <c r="A663">
        <f>IF(ISBLANK('ENGAGEMENTS 2026'!B663),"",IF('ENGAGEMENTS 2026'!B663="DTSI","DCT",'ENGAGEMENTS 2026'!B663))</f>
        <v/>
      </c>
      <c r="B663">
        <f>IF(ISBLANK('ENGAGEMENTS 2026'!B663),"",'ENGAGEMENTS 2026'!C663)</f>
        <v/>
      </c>
      <c r="C663">
        <f>IF(ISBLANK('ENGAGEMENTS 2026'!B663),"",'ENGAGEMENTS 2026'!D663)</f>
        <v/>
      </c>
      <c r="D663">
        <f>IF(ISBLANK('ENGAGEMENTS 2026'!B663),"",'ENGAGEMENTS 2026'!F663)</f>
        <v/>
      </c>
      <c r="E663">
        <f>IF(ISBLANK('ENGAGEMENTS 2026'!B663),"",'ENGAGEMENTS 2026'!H663)</f>
        <v/>
      </c>
      <c r="F663">
        <f>IF(ISBLANK('ENGAGEMENTS 2026'!B663),"",'ENGAGEMENTS 2026'!I663)</f>
        <v/>
      </c>
      <c r="G663">
        <f>IF(ISBLANK('ENGAGEMENTS 2026'!B663),"",'ENGAGEMENTS 2026'!L663)</f>
        <v/>
      </c>
      <c r="H663">
        <f>IF(ISBLANK('ENGAGEMENTS 2026'!B663),"",'ENGAGEMENTS 2026'!AE663)</f>
        <v/>
      </c>
      <c r="I663">
        <f>IF(ISBLANK('ENGAGEMENTS 2026'!B663),"",'ENGAGEMENTS 2026'!G663)</f>
        <v/>
      </c>
      <c r="J663" s="275">
        <f>IF(ISBLANK('ENGAGEMENTS 2026'!B663),"",IF(AND(OR($E663="INFRUCTUEUX",$E663="ANNULE"),$C663="AOO-M"),'ENGAGEMENTS 2026'!O663,IF($H663="EN COURS DE PREENGAGEMENT",'ENGAGEMENTS 2026'!N663,IF($H663="PREENGAGE",IF($E663="ATTRIBUE",'ENGAGEMENTS 2026'!AD663,'ENGAGEMENTS 2026'!N663),'ENGAGEMENTS 2026'!AD663))))</f>
        <v/>
      </c>
      <c r="K663" s="604">
        <f>IF(ISBLANK('ENGAGEMENTS 2026'!V663),"",'ENGAGEMENTS 2026'!V663)</f>
        <v/>
      </c>
      <c r="L663" s="276">
        <f>IF($K663="","",TODAY()-$K663)</f>
        <v/>
      </c>
      <c r="M663">
        <f>IF($A663="","",IF($H663="ENGAGE","Engagé",IF(AND($H663="NON ENGAGE",OR($I663="INFRUCTUEUX",$I663="ANNULE")),"Clôturé sans suite","En cours")))</f>
        <v/>
      </c>
      <c r="N663">
        <f>IF(ISBLANK('ENGAGEMENTS 2026'!B663),"",'ENGAGEMENTS 2026'!K663)</f>
        <v/>
      </c>
      <c r="O663">
        <f>IF(ISBLANK('ENGAGEMENTS 2026'!B663),"",'ENGAGEMENTS 2026'!L663)</f>
        <v/>
      </c>
      <c r="P663">
        <f>IF(ISBLANK('ENGAGEMENTS 2026'!B663),"",'ENGAGEMENTS 2026'!J663)</f>
        <v/>
      </c>
      <c r="Q663">
        <f>IF($A663="","",IF(OR($E663="INFRUCTUEUX",$E663="ANNULE"),$A663&amp;"|"&amp;(COUNTIFS($A$2:$A663,$A663,$E$2:$E663,"INFRUCTUEUX")+COUNTIFS($A$2:$A663,$A663,$E$2:$E663,"ANNULE")),""))</f>
        <v/>
      </c>
    </row>
    <row r="664">
      <c r="A664">
        <f>IF(ISBLANK('ENGAGEMENTS 2026'!B664),"",IF('ENGAGEMENTS 2026'!B664="DTSI","DCT",'ENGAGEMENTS 2026'!B664))</f>
        <v/>
      </c>
      <c r="B664">
        <f>IF(ISBLANK('ENGAGEMENTS 2026'!B664),"",'ENGAGEMENTS 2026'!C664)</f>
        <v/>
      </c>
      <c r="C664">
        <f>IF(ISBLANK('ENGAGEMENTS 2026'!B664),"",'ENGAGEMENTS 2026'!D664)</f>
        <v/>
      </c>
      <c r="D664">
        <f>IF(ISBLANK('ENGAGEMENTS 2026'!B664),"",'ENGAGEMENTS 2026'!F664)</f>
        <v/>
      </c>
      <c r="E664">
        <f>IF(ISBLANK('ENGAGEMENTS 2026'!B664),"",'ENGAGEMENTS 2026'!H664)</f>
        <v/>
      </c>
      <c r="F664">
        <f>IF(ISBLANK('ENGAGEMENTS 2026'!B664),"",'ENGAGEMENTS 2026'!I664)</f>
        <v/>
      </c>
      <c r="G664">
        <f>IF(ISBLANK('ENGAGEMENTS 2026'!B664),"",'ENGAGEMENTS 2026'!L664)</f>
        <v/>
      </c>
      <c r="H664">
        <f>IF(ISBLANK('ENGAGEMENTS 2026'!B664),"",'ENGAGEMENTS 2026'!AE664)</f>
        <v/>
      </c>
      <c r="I664">
        <f>IF(ISBLANK('ENGAGEMENTS 2026'!B664),"",'ENGAGEMENTS 2026'!G664)</f>
        <v/>
      </c>
      <c r="J664" s="275">
        <f>IF(ISBLANK('ENGAGEMENTS 2026'!B664),"",IF(AND(OR($E664="INFRUCTUEUX",$E664="ANNULE"),$C664="AOO-M"),'ENGAGEMENTS 2026'!O664,IF($H664="EN COURS DE PREENGAGEMENT",'ENGAGEMENTS 2026'!N664,IF($H664="PREENGAGE",IF($E664="ATTRIBUE",'ENGAGEMENTS 2026'!AD664,'ENGAGEMENTS 2026'!N664),'ENGAGEMENTS 2026'!AD664))))</f>
        <v/>
      </c>
      <c r="K664" s="604">
        <f>IF(ISBLANK('ENGAGEMENTS 2026'!V664),"",'ENGAGEMENTS 2026'!V664)</f>
        <v/>
      </c>
      <c r="L664" s="276">
        <f>IF($K664="","",TODAY()-$K664)</f>
        <v/>
      </c>
      <c r="M664">
        <f>IF($A664="","",IF($H664="ENGAGE","Engagé",IF(AND($H664="NON ENGAGE",OR($I664="INFRUCTUEUX",$I664="ANNULE")),"Clôturé sans suite","En cours")))</f>
        <v/>
      </c>
      <c r="N664">
        <f>IF(ISBLANK('ENGAGEMENTS 2026'!B664),"",'ENGAGEMENTS 2026'!K664)</f>
        <v/>
      </c>
      <c r="O664">
        <f>IF(ISBLANK('ENGAGEMENTS 2026'!B664),"",'ENGAGEMENTS 2026'!L664)</f>
        <v/>
      </c>
      <c r="P664">
        <f>IF(ISBLANK('ENGAGEMENTS 2026'!B664),"",'ENGAGEMENTS 2026'!J664)</f>
        <v/>
      </c>
      <c r="Q664">
        <f>IF($A664="","",IF(OR($E664="INFRUCTUEUX",$E664="ANNULE"),$A664&amp;"|"&amp;(COUNTIFS($A$2:$A664,$A664,$E$2:$E664,"INFRUCTUEUX")+COUNTIFS($A$2:$A664,$A664,$E$2:$E664,"ANNULE")),""))</f>
        <v/>
      </c>
    </row>
    <row r="665">
      <c r="A665">
        <f>IF(ISBLANK('ENGAGEMENTS 2026'!B665),"",IF('ENGAGEMENTS 2026'!B665="DTSI","DCT",'ENGAGEMENTS 2026'!B665))</f>
        <v/>
      </c>
      <c r="B665">
        <f>IF(ISBLANK('ENGAGEMENTS 2026'!B665),"",'ENGAGEMENTS 2026'!C665)</f>
        <v/>
      </c>
      <c r="C665">
        <f>IF(ISBLANK('ENGAGEMENTS 2026'!B665),"",'ENGAGEMENTS 2026'!D665)</f>
        <v/>
      </c>
      <c r="D665">
        <f>IF(ISBLANK('ENGAGEMENTS 2026'!B665),"",'ENGAGEMENTS 2026'!F665)</f>
        <v/>
      </c>
      <c r="E665">
        <f>IF(ISBLANK('ENGAGEMENTS 2026'!B665),"",'ENGAGEMENTS 2026'!H665)</f>
        <v/>
      </c>
      <c r="F665">
        <f>IF(ISBLANK('ENGAGEMENTS 2026'!B665),"",'ENGAGEMENTS 2026'!I665)</f>
        <v/>
      </c>
      <c r="G665">
        <f>IF(ISBLANK('ENGAGEMENTS 2026'!B665),"",'ENGAGEMENTS 2026'!L665)</f>
        <v/>
      </c>
      <c r="H665">
        <f>IF(ISBLANK('ENGAGEMENTS 2026'!B665),"",'ENGAGEMENTS 2026'!AE665)</f>
        <v/>
      </c>
      <c r="I665">
        <f>IF(ISBLANK('ENGAGEMENTS 2026'!B665),"",'ENGAGEMENTS 2026'!G665)</f>
        <v/>
      </c>
      <c r="J665" s="275">
        <f>IF(ISBLANK('ENGAGEMENTS 2026'!B665),"",IF(AND(OR($E665="INFRUCTUEUX",$E665="ANNULE"),$C665="AOO-M"),'ENGAGEMENTS 2026'!O665,IF($H665="EN COURS DE PREENGAGEMENT",'ENGAGEMENTS 2026'!N665,IF($H665="PREENGAGE",IF($E665="ATTRIBUE",'ENGAGEMENTS 2026'!AD665,'ENGAGEMENTS 2026'!N665),'ENGAGEMENTS 2026'!AD665))))</f>
        <v/>
      </c>
      <c r="K665" s="604">
        <f>IF(ISBLANK('ENGAGEMENTS 2026'!V665),"",'ENGAGEMENTS 2026'!V665)</f>
        <v/>
      </c>
      <c r="L665" s="276">
        <f>IF($K665="","",TODAY()-$K665)</f>
        <v/>
      </c>
      <c r="M665">
        <f>IF($A665="","",IF($H665="ENGAGE","Engagé",IF(AND($H665="NON ENGAGE",OR($I665="INFRUCTUEUX",$I665="ANNULE")),"Clôturé sans suite","En cours")))</f>
        <v/>
      </c>
      <c r="N665">
        <f>IF(ISBLANK('ENGAGEMENTS 2026'!B665),"",'ENGAGEMENTS 2026'!K665)</f>
        <v/>
      </c>
      <c r="O665">
        <f>IF(ISBLANK('ENGAGEMENTS 2026'!B665),"",'ENGAGEMENTS 2026'!L665)</f>
        <v/>
      </c>
      <c r="P665">
        <f>IF(ISBLANK('ENGAGEMENTS 2026'!B665),"",'ENGAGEMENTS 2026'!J665)</f>
        <v/>
      </c>
      <c r="Q665">
        <f>IF($A665="","",IF(OR($E665="INFRUCTUEUX",$E665="ANNULE"),$A665&amp;"|"&amp;(COUNTIFS($A$2:$A665,$A665,$E$2:$E665,"INFRUCTUEUX")+COUNTIFS($A$2:$A665,$A665,$E$2:$E665,"ANNULE")),""))</f>
        <v/>
      </c>
    </row>
    <row r="666">
      <c r="A666">
        <f>IF(ISBLANK('ENGAGEMENTS 2026'!B666),"",IF('ENGAGEMENTS 2026'!B666="DTSI","DCT",'ENGAGEMENTS 2026'!B666))</f>
        <v/>
      </c>
      <c r="B666">
        <f>IF(ISBLANK('ENGAGEMENTS 2026'!B666),"",'ENGAGEMENTS 2026'!C666)</f>
        <v/>
      </c>
      <c r="C666">
        <f>IF(ISBLANK('ENGAGEMENTS 2026'!B666),"",'ENGAGEMENTS 2026'!D666)</f>
        <v/>
      </c>
      <c r="D666">
        <f>IF(ISBLANK('ENGAGEMENTS 2026'!B666),"",'ENGAGEMENTS 2026'!F666)</f>
        <v/>
      </c>
      <c r="E666">
        <f>IF(ISBLANK('ENGAGEMENTS 2026'!B666),"",'ENGAGEMENTS 2026'!H666)</f>
        <v/>
      </c>
      <c r="F666">
        <f>IF(ISBLANK('ENGAGEMENTS 2026'!B666),"",'ENGAGEMENTS 2026'!I666)</f>
        <v/>
      </c>
      <c r="G666">
        <f>IF(ISBLANK('ENGAGEMENTS 2026'!B666),"",'ENGAGEMENTS 2026'!L666)</f>
        <v/>
      </c>
      <c r="H666">
        <f>IF(ISBLANK('ENGAGEMENTS 2026'!B666),"",'ENGAGEMENTS 2026'!AE666)</f>
        <v/>
      </c>
      <c r="I666">
        <f>IF(ISBLANK('ENGAGEMENTS 2026'!B666),"",'ENGAGEMENTS 2026'!G666)</f>
        <v/>
      </c>
      <c r="J666" s="275">
        <f>IF(ISBLANK('ENGAGEMENTS 2026'!B666),"",IF(AND(OR($E666="INFRUCTUEUX",$E666="ANNULE"),$C666="AOO-M"),'ENGAGEMENTS 2026'!O666,IF($H666="EN COURS DE PREENGAGEMENT",'ENGAGEMENTS 2026'!N666,IF($H666="PREENGAGE",IF($E666="ATTRIBUE",'ENGAGEMENTS 2026'!AD666,'ENGAGEMENTS 2026'!N666),'ENGAGEMENTS 2026'!AD666))))</f>
        <v/>
      </c>
      <c r="K666" s="604">
        <f>IF(ISBLANK('ENGAGEMENTS 2026'!V666),"",'ENGAGEMENTS 2026'!V666)</f>
        <v/>
      </c>
      <c r="L666" s="276">
        <f>IF($K666="","",TODAY()-$K666)</f>
        <v/>
      </c>
      <c r="M666">
        <f>IF($A666="","",IF($H666="ENGAGE","Engagé",IF(AND($H666="NON ENGAGE",OR($I666="INFRUCTUEUX",$I666="ANNULE")),"Clôturé sans suite","En cours")))</f>
        <v/>
      </c>
      <c r="N666">
        <f>IF(ISBLANK('ENGAGEMENTS 2026'!B666),"",'ENGAGEMENTS 2026'!K666)</f>
        <v/>
      </c>
      <c r="O666">
        <f>IF(ISBLANK('ENGAGEMENTS 2026'!B666),"",'ENGAGEMENTS 2026'!L666)</f>
        <v/>
      </c>
      <c r="P666">
        <f>IF(ISBLANK('ENGAGEMENTS 2026'!B666),"",'ENGAGEMENTS 2026'!J666)</f>
        <v/>
      </c>
      <c r="Q666">
        <f>IF($A666="","",IF(OR($E666="INFRUCTUEUX",$E666="ANNULE"),$A666&amp;"|"&amp;(COUNTIFS($A$2:$A666,$A666,$E$2:$E666,"INFRUCTUEUX")+COUNTIFS($A$2:$A666,$A666,$E$2:$E666,"ANNULE")),""))</f>
        <v/>
      </c>
    </row>
    <row r="667">
      <c r="A667">
        <f>IF(ISBLANK('ENGAGEMENTS 2026'!B667),"",IF('ENGAGEMENTS 2026'!B667="DTSI","DCT",'ENGAGEMENTS 2026'!B667))</f>
        <v/>
      </c>
      <c r="B667">
        <f>IF(ISBLANK('ENGAGEMENTS 2026'!B667),"",'ENGAGEMENTS 2026'!C667)</f>
        <v/>
      </c>
      <c r="C667">
        <f>IF(ISBLANK('ENGAGEMENTS 2026'!B667),"",'ENGAGEMENTS 2026'!D667)</f>
        <v/>
      </c>
      <c r="D667">
        <f>IF(ISBLANK('ENGAGEMENTS 2026'!B667),"",'ENGAGEMENTS 2026'!F667)</f>
        <v/>
      </c>
      <c r="E667">
        <f>IF(ISBLANK('ENGAGEMENTS 2026'!B667),"",'ENGAGEMENTS 2026'!H667)</f>
        <v/>
      </c>
      <c r="F667">
        <f>IF(ISBLANK('ENGAGEMENTS 2026'!B667),"",'ENGAGEMENTS 2026'!I667)</f>
        <v/>
      </c>
      <c r="G667">
        <f>IF(ISBLANK('ENGAGEMENTS 2026'!B667),"",'ENGAGEMENTS 2026'!L667)</f>
        <v/>
      </c>
      <c r="H667">
        <f>IF(ISBLANK('ENGAGEMENTS 2026'!B667),"",'ENGAGEMENTS 2026'!AE667)</f>
        <v/>
      </c>
      <c r="I667">
        <f>IF(ISBLANK('ENGAGEMENTS 2026'!B667),"",'ENGAGEMENTS 2026'!G667)</f>
        <v/>
      </c>
      <c r="J667" s="275">
        <f>IF(ISBLANK('ENGAGEMENTS 2026'!B667),"",IF(AND(OR($E667="INFRUCTUEUX",$E667="ANNULE"),$C667="AOO-M"),'ENGAGEMENTS 2026'!O667,IF($H667="EN COURS DE PREENGAGEMENT",'ENGAGEMENTS 2026'!N667,IF($H667="PREENGAGE",IF($E667="ATTRIBUE",'ENGAGEMENTS 2026'!AD667,'ENGAGEMENTS 2026'!N667),'ENGAGEMENTS 2026'!AD667))))</f>
        <v/>
      </c>
      <c r="K667" s="604">
        <f>IF(ISBLANK('ENGAGEMENTS 2026'!V667),"",'ENGAGEMENTS 2026'!V667)</f>
        <v/>
      </c>
      <c r="L667" s="276">
        <f>IF($K667="","",TODAY()-$K667)</f>
        <v/>
      </c>
      <c r="M667">
        <f>IF($A667="","",IF($H667="ENGAGE","Engagé",IF(AND($H667="NON ENGAGE",OR($I667="INFRUCTUEUX",$I667="ANNULE")),"Clôturé sans suite","En cours")))</f>
        <v/>
      </c>
      <c r="N667">
        <f>IF(ISBLANK('ENGAGEMENTS 2026'!B667),"",'ENGAGEMENTS 2026'!K667)</f>
        <v/>
      </c>
      <c r="O667">
        <f>IF(ISBLANK('ENGAGEMENTS 2026'!B667),"",'ENGAGEMENTS 2026'!L667)</f>
        <v/>
      </c>
      <c r="P667">
        <f>IF(ISBLANK('ENGAGEMENTS 2026'!B667),"",'ENGAGEMENTS 2026'!J667)</f>
        <v/>
      </c>
      <c r="Q667">
        <f>IF($A667="","",IF(OR($E667="INFRUCTUEUX",$E667="ANNULE"),$A667&amp;"|"&amp;(COUNTIFS($A$2:$A667,$A667,$E$2:$E667,"INFRUCTUEUX")+COUNTIFS($A$2:$A667,$A667,$E$2:$E667,"ANNULE")),""))</f>
        <v/>
      </c>
    </row>
    <row r="668">
      <c r="A668">
        <f>IF(ISBLANK('ENGAGEMENTS 2026'!B668),"",IF('ENGAGEMENTS 2026'!B668="DTSI","DCT",'ENGAGEMENTS 2026'!B668))</f>
        <v/>
      </c>
      <c r="B668">
        <f>IF(ISBLANK('ENGAGEMENTS 2026'!B668),"",'ENGAGEMENTS 2026'!C668)</f>
        <v/>
      </c>
      <c r="C668">
        <f>IF(ISBLANK('ENGAGEMENTS 2026'!B668),"",'ENGAGEMENTS 2026'!D668)</f>
        <v/>
      </c>
      <c r="D668">
        <f>IF(ISBLANK('ENGAGEMENTS 2026'!B668),"",'ENGAGEMENTS 2026'!F668)</f>
        <v/>
      </c>
      <c r="E668">
        <f>IF(ISBLANK('ENGAGEMENTS 2026'!B668),"",'ENGAGEMENTS 2026'!H668)</f>
        <v/>
      </c>
      <c r="F668">
        <f>IF(ISBLANK('ENGAGEMENTS 2026'!B668),"",'ENGAGEMENTS 2026'!I668)</f>
        <v/>
      </c>
      <c r="G668">
        <f>IF(ISBLANK('ENGAGEMENTS 2026'!B668),"",'ENGAGEMENTS 2026'!L668)</f>
        <v/>
      </c>
      <c r="H668">
        <f>IF(ISBLANK('ENGAGEMENTS 2026'!B668),"",'ENGAGEMENTS 2026'!AE668)</f>
        <v/>
      </c>
      <c r="I668">
        <f>IF(ISBLANK('ENGAGEMENTS 2026'!B668),"",'ENGAGEMENTS 2026'!G668)</f>
        <v/>
      </c>
      <c r="J668" s="275">
        <f>IF(ISBLANK('ENGAGEMENTS 2026'!B668),"",IF(AND(OR($E668="INFRUCTUEUX",$E668="ANNULE"),$C668="AOO-M"),'ENGAGEMENTS 2026'!O668,IF($H668="EN COURS DE PREENGAGEMENT",'ENGAGEMENTS 2026'!N668,IF($H668="PREENGAGE",IF($E668="ATTRIBUE",'ENGAGEMENTS 2026'!AD668,'ENGAGEMENTS 2026'!N668),'ENGAGEMENTS 2026'!AD668))))</f>
        <v/>
      </c>
      <c r="K668" s="604">
        <f>IF(ISBLANK('ENGAGEMENTS 2026'!V668),"",'ENGAGEMENTS 2026'!V668)</f>
        <v/>
      </c>
      <c r="L668" s="276">
        <f>IF($K668="","",TODAY()-$K668)</f>
        <v/>
      </c>
      <c r="M668">
        <f>IF($A668="","",IF($H668="ENGAGE","Engagé",IF(AND($H668="NON ENGAGE",OR($I668="INFRUCTUEUX",$I668="ANNULE")),"Clôturé sans suite","En cours")))</f>
        <v/>
      </c>
      <c r="N668">
        <f>IF(ISBLANK('ENGAGEMENTS 2026'!B668),"",'ENGAGEMENTS 2026'!K668)</f>
        <v/>
      </c>
      <c r="O668">
        <f>IF(ISBLANK('ENGAGEMENTS 2026'!B668),"",'ENGAGEMENTS 2026'!L668)</f>
        <v/>
      </c>
      <c r="P668">
        <f>IF(ISBLANK('ENGAGEMENTS 2026'!B668),"",'ENGAGEMENTS 2026'!J668)</f>
        <v/>
      </c>
      <c r="Q668">
        <f>IF($A668="","",IF(OR($E668="INFRUCTUEUX",$E668="ANNULE"),$A668&amp;"|"&amp;(COUNTIFS($A$2:$A668,$A668,$E$2:$E668,"INFRUCTUEUX")+COUNTIFS($A$2:$A668,$A668,$E$2:$E668,"ANNULE")),""))</f>
        <v/>
      </c>
    </row>
    <row r="669">
      <c r="A669">
        <f>IF(ISBLANK('ENGAGEMENTS 2026'!B669),"",IF('ENGAGEMENTS 2026'!B669="DTSI","DCT",'ENGAGEMENTS 2026'!B669))</f>
        <v/>
      </c>
      <c r="B669">
        <f>IF(ISBLANK('ENGAGEMENTS 2026'!B669),"",'ENGAGEMENTS 2026'!C669)</f>
        <v/>
      </c>
      <c r="C669">
        <f>IF(ISBLANK('ENGAGEMENTS 2026'!B669),"",'ENGAGEMENTS 2026'!D669)</f>
        <v/>
      </c>
      <c r="D669">
        <f>IF(ISBLANK('ENGAGEMENTS 2026'!B669),"",'ENGAGEMENTS 2026'!F669)</f>
        <v/>
      </c>
      <c r="E669">
        <f>IF(ISBLANK('ENGAGEMENTS 2026'!B669),"",'ENGAGEMENTS 2026'!H669)</f>
        <v/>
      </c>
      <c r="F669">
        <f>IF(ISBLANK('ENGAGEMENTS 2026'!B669),"",'ENGAGEMENTS 2026'!I669)</f>
        <v/>
      </c>
      <c r="G669">
        <f>IF(ISBLANK('ENGAGEMENTS 2026'!B669),"",'ENGAGEMENTS 2026'!L669)</f>
        <v/>
      </c>
      <c r="H669">
        <f>IF(ISBLANK('ENGAGEMENTS 2026'!B669),"",'ENGAGEMENTS 2026'!AE669)</f>
        <v/>
      </c>
      <c r="I669">
        <f>IF(ISBLANK('ENGAGEMENTS 2026'!B669),"",'ENGAGEMENTS 2026'!G669)</f>
        <v/>
      </c>
      <c r="J669" s="275">
        <f>IF(ISBLANK('ENGAGEMENTS 2026'!B669),"",IF(AND(OR($E669="INFRUCTUEUX",$E669="ANNULE"),$C669="AOO-M"),'ENGAGEMENTS 2026'!O669,IF($H669="EN COURS DE PREENGAGEMENT",'ENGAGEMENTS 2026'!N669,IF($H669="PREENGAGE",IF($E669="ATTRIBUE",'ENGAGEMENTS 2026'!AD669,'ENGAGEMENTS 2026'!N669),'ENGAGEMENTS 2026'!AD669))))</f>
        <v/>
      </c>
      <c r="K669" s="604">
        <f>IF(ISBLANK('ENGAGEMENTS 2026'!V669),"",'ENGAGEMENTS 2026'!V669)</f>
        <v/>
      </c>
      <c r="L669" s="276">
        <f>IF($K669="","",TODAY()-$K669)</f>
        <v/>
      </c>
      <c r="M669">
        <f>IF($A669="","",IF($H669="ENGAGE","Engagé",IF(AND($H669="NON ENGAGE",OR($I669="INFRUCTUEUX",$I669="ANNULE")),"Clôturé sans suite","En cours")))</f>
        <v/>
      </c>
      <c r="N669">
        <f>IF(ISBLANK('ENGAGEMENTS 2026'!B669),"",'ENGAGEMENTS 2026'!K669)</f>
        <v/>
      </c>
      <c r="O669">
        <f>IF(ISBLANK('ENGAGEMENTS 2026'!B669),"",'ENGAGEMENTS 2026'!L669)</f>
        <v/>
      </c>
      <c r="P669">
        <f>IF(ISBLANK('ENGAGEMENTS 2026'!B669),"",'ENGAGEMENTS 2026'!J669)</f>
        <v/>
      </c>
      <c r="Q669">
        <f>IF($A669="","",IF(OR($E669="INFRUCTUEUX",$E669="ANNULE"),$A669&amp;"|"&amp;(COUNTIFS($A$2:$A669,$A669,$E$2:$E669,"INFRUCTUEUX")+COUNTIFS($A$2:$A669,$A669,$E$2:$E669,"ANNULE")),""))</f>
        <v/>
      </c>
    </row>
    <row r="670">
      <c r="A670">
        <f>IF(ISBLANK('ENGAGEMENTS 2026'!B670),"",IF('ENGAGEMENTS 2026'!B670="DTSI","DCT",'ENGAGEMENTS 2026'!B670))</f>
        <v/>
      </c>
      <c r="B670">
        <f>IF(ISBLANK('ENGAGEMENTS 2026'!B670),"",'ENGAGEMENTS 2026'!C670)</f>
        <v/>
      </c>
      <c r="C670">
        <f>IF(ISBLANK('ENGAGEMENTS 2026'!B670),"",'ENGAGEMENTS 2026'!D670)</f>
        <v/>
      </c>
      <c r="D670">
        <f>IF(ISBLANK('ENGAGEMENTS 2026'!B670),"",'ENGAGEMENTS 2026'!F670)</f>
        <v/>
      </c>
      <c r="E670">
        <f>IF(ISBLANK('ENGAGEMENTS 2026'!B670),"",'ENGAGEMENTS 2026'!H670)</f>
        <v/>
      </c>
      <c r="F670">
        <f>IF(ISBLANK('ENGAGEMENTS 2026'!B670),"",'ENGAGEMENTS 2026'!I670)</f>
        <v/>
      </c>
      <c r="G670">
        <f>IF(ISBLANK('ENGAGEMENTS 2026'!B670),"",'ENGAGEMENTS 2026'!L670)</f>
        <v/>
      </c>
      <c r="H670">
        <f>IF(ISBLANK('ENGAGEMENTS 2026'!B670),"",'ENGAGEMENTS 2026'!AE670)</f>
        <v/>
      </c>
      <c r="I670">
        <f>IF(ISBLANK('ENGAGEMENTS 2026'!B670),"",'ENGAGEMENTS 2026'!G670)</f>
        <v/>
      </c>
      <c r="J670" s="275">
        <f>IF(ISBLANK('ENGAGEMENTS 2026'!B670),"",IF(AND(OR($E670="INFRUCTUEUX",$E670="ANNULE"),$C670="AOO-M"),'ENGAGEMENTS 2026'!O670,IF($H670="EN COURS DE PREENGAGEMENT",'ENGAGEMENTS 2026'!N670,IF($H670="PREENGAGE",IF($E670="ATTRIBUE",'ENGAGEMENTS 2026'!AD670,'ENGAGEMENTS 2026'!N670),'ENGAGEMENTS 2026'!AD670))))</f>
        <v/>
      </c>
      <c r="K670" s="604">
        <f>IF(ISBLANK('ENGAGEMENTS 2026'!V670),"",'ENGAGEMENTS 2026'!V670)</f>
        <v/>
      </c>
      <c r="L670" s="276">
        <f>IF($K670="","",TODAY()-$K670)</f>
        <v/>
      </c>
      <c r="M670">
        <f>IF($A670="","",IF($H670="ENGAGE","Engagé",IF(AND($H670="NON ENGAGE",OR($I670="INFRUCTUEUX",$I670="ANNULE")),"Clôturé sans suite","En cours")))</f>
        <v/>
      </c>
      <c r="N670">
        <f>IF(ISBLANK('ENGAGEMENTS 2026'!B670),"",'ENGAGEMENTS 2026'!K670)</f>
        <v/>
      </c>
      <c r="O670">
        <f>IF(ISBLANK('ENGAGEMENTS 2026'!B670),"",'ENGAGEMENTS 2026'!L670)</f>
        <v/>
      </c>
      <c r="P670">
        <f>IF(ISBLANK('ENGAGEMENTS 2026'!B670),"",'ENGAGEMENTS 2026'!J670)</f>
        <v/>
      </c>
      <c r="Q670">
        <f>IF($A670="","",IF(OR($E670="INFRUCTUEUX",$E670="ANNULE"),$A670&amp;"|"&amp;(COUNTIFS($A$2:$A670,$A670,$E$2:$E670,"INFRUCTUEUX")+COUNTIFS($A$2:$A670,$A670,$E$2:$E670,"ANNULE")),""))</f>
        <v/>
      </c>
    </row>
    <row r="671">
      <c r="A671">
        <f>IF(ISBLANK('ENGAGEMENTS 2026'!B671),"",IF('ENGAGEMENTS 2026'!B671="DTSI","DCT",'ENGAGEMENTS 2026'!B671))</f>
        <v/>
      </c>
      <c r="B671">
        <f>IF(ISBLANK('ENGAGEMENTS 2026'!B671),"",'ENGAGEMENTS 2026'!C671)</f>
        <v/>
      </c>
      <c r="C671">
        <f>IF(ISBLANK('ENGAGEMENTS 2026'!B671),"",'ENGAGEMENTS 2026'!D671)</f>
        <v/>
      </c>
      <c r="D671">
        <f>IF(ISBLANK('ENGAGEMENTS 2026'!B671),"",'ENGAGEMENTS 2026'!F671)</f>
        <v/>
      </c>
      <c r="E671">
        <f>IF(ISBLANK('ENGAGEMENTS 2026'!B671),"",'ENGAGEMENTS 2026'!H671)</f>
        <v/>
      </c>
      <c r="F671">
        <f>IF(ISBLANK('ENGAGEMENTS 2026'!B671),"",'ENGAGEMENTS 2026'!I671)</f>
        <v/>
      </c>
      <c r="G671">
        <f>IF(ISBLANK('ENGAGEMENTS 2026'!B671),"",'ENGAGEMENTS 2026'!L671)</f>
        <v/>
      </c>
      <c r="H671">
        <f>IF(ISBLANK('ENGAGEMENTS 2026'!B671),"",'ENGAGEMENTS 2026'!AE671)</f>
        <v/>
      </c>
      <c r="I671">
        <f>IF(ISBLANK('ENGAGEMENTS 2026'!B671),"",'ENGAGEMENTS 2026'!G671)</f>
        <v/>
      </c>
      <c r="J671" s="275">
        <f>IF(ISBLANK('ENGAGEMENTS 2026'!B671),"",IF(AND(OR($E671="INFRUCTUEUX",$E671="ANNULE"),$C671="AOO-M"),'ENGAGEMENTS 2026'!O671,IF($H671="EN COURS DE PREENGAGEMENT",'ENGAGEMENTS 2026'!N671,IF($H671="PREENGAGE",IF($E671="ATTRIBUE",'ENGAGEMENTS 2026'!AD671,'ENGAGEMENTS 2026'!N671),'ENGAGEMENTS 2026'!AD671))))</f>
        <v/>
      </c>
      <c r="K671" s="604">
        <f>IF(ISBLANK('ENGAGEMENTS 2026'!V671),"",'ENGAGEMENTS 2026'!V671)</f>
        <v/>
      </c>
      <c r="L671" s="276">
        <f>IF($K671="","",TODAY()-$K671)</f>
        <v/>
      </c>
      <c r="M671">
        <f>IF($A671="","",IF($H671="ENGAGE","Engagé",IF(AND($H671="NON ENGAGE",OR($I671="INFRUCTUEUX",$I671="ANNULE")),"Clôturé sans suite","En cours")))</f>
        <v/>
      </c>
      <c r="N671">
        <f>IF(ISBLANK('ENGAGEMENTS 2026'!B671),"",'ENGAGEMENTS 2026'!K671)</f>
        <v/>
      </c>
      <c r="O671">
        <f>IF(ISBLANK('ENGAGEMENTS 2026'!B671),"",'ENGAGEMENTS 2026'!L671)</f>
        <v/>
      </c>
      <c r="P671">
        <f>IF(ISBLANK('ENGAGEMENTS 2026'!B671),"",'ENGAGEMENTS 2026'!J671)</f>
        <v/>
      </c>
      <c r="Q671">
        <f>IF($A671="","",IF(OR($E671="INFRUCTUEUX",$E671="ANNULE"),$A671&amp;"|"&amp;(COUNTIFS($A$2:$A671,$A671,$E$2:$E671,"INFRUCTUEUX")+COUNTIFS($A$2:$A671,$A671,$E$2:$E671,"ANNULE")),""))</f>
        <v/>
      </c>
    </row>
    <row r="672">
      <c r="A672">
        <f>IF(ISBLANK('ENGAGEMENTS 2026'!B672),"",IF('ENGAGEMENTS 2026'!B672="DTSI","DCT",'ENGAGEMENTS 2026'!B672))</f>
        <v/>
      </c>
      <c r="B672">
        <f>IF(ISBLANK('ENGAGEMENTS 2026'!B672),"",'ENGAGEMENTS 2026'!C672)</f>
        <v/>
      </c>
      <c r="C672">
        <f>IF(ISBLANK('ENGAGEMENTS 2026'!B672),"",'ENGAGEMENTS 2026'!D672)</f>
        <v/>
      </c>
      <c r="D672">
        <f>IF(ISBLANK('ENGAGEMENTS 2026'!B672),"",'ENGAGEMENTS 2026'!F672)</f>
        <v/>
      </c>
      <c r="E672">
        <f>IF(ISBLANK('ENGAGEMENTS 2026'!B672),"",'ENGAGEMENTS 2026'!H672)</f>
        <v/>
      </c>
      <c r="F672">
        <f>IF(ISBLANK('ENGAGEMENTS 2026'!B672),"",'ENGAGEMENTS 2026'!I672)</f>
        <v/>
      </c>
      <c r="G672">
        <f>IF(ISBLANK('ENGAGEMENTS 2026'!B672),"",'ENGAGEMENTS 2026'!L672)</f>
        <v/>
      </c>
      <c r="H672">
        <f>IF(ISBLANK('ENGAGEMENTS 2026'!B672),"",'ENGAGEMENTS 2026'!AE672)</f>
        <v/>
      </c>
      <c r="I672">
        <f>IF(ISBLANK('ENGAGEMENTS 2026'!B672),"",'ENGAGEMENTS 2026'!G672)</f>
        <v/>
      </c>
      <c r="J672" s="275">
        <f>IF(ISBLANK('ENGAGEMENTS 2026'!B672),"",IF(AND(OR($E672="INFRUCTUEUX",$E672="ANNULE"),$C672="AOO-M"),'ENGAGEMENTS 2026'!O672,IF($H672="EN COURS DE PREENGAGEMENT",'ENGAGEMENTS 2026'!N672,IF($H672="PREENGAGE",IF($E672="ATTRIBUE",'ENGAGEMENTS 2026'!AD672,'ENGAGEMENTS 2026'!N672),'ENGAGEMENTS 2026'!AD672))))</f>
        <v/>
      </c>
      <c r="K672" s="604">
        <f>IF(ISBLANK('ENGAGEMENTS 2026'!V672),"",'ENGAGEMENTS 2026'!V672)</f>
        <v/>
      </c>
      <c r="L672" s="276">
        <f>IF($K672="","",TODAY()-$K672)</f>
        <v/>
      </c>
      <c r="M672">
        <f>IF($A672="","",IF($H672="ENGAGE","Engagé",IF(AND($H672="NON ENGAGE",OR($I672="INFRUCTUEUX",$I672="ANNULE")),"Clôturé sans suite","En cours")))</f>
        <v/>
      </c>
      <c r="N672">
        <f>IF(ISBLANK('ENGAGEMENTS 2026'!B672),"",'ENGAGEMENTS 2026'!K672)</f>
        <v/>
      </c>
      <c r="O672">
        <f>IF(ISBLANK('ENGAGEMENTS 2026'!B672),"",'ENGAGEMENTS 2026'!L672)</f>
        <v/>
      </c>
      <c r="P672">
        <f>IF(ISBLANK('ENGAGEMENTS 2026'!B672),"",'ENGAGEMENTS 2026'!J672)</f>
        <v/>
      </c>
      <c r="Q672">
        <f>IF($A672="","",IF(OR($E672="INFRUCTUEUX",$E672="ANNULE"),$A672&amp;"|"&amp;(COUNTIFS($A$2:$A672,$A672,$E$2:$E672,"INFRUCTUEUX")+COUNTIFS($A$2:$A672,$A672,$E$2:$E672,"ANNULE")),""))</f>
        <v/>
      </c>
    </row>
    <row r="673">
      <c r="A673">
        <f>IF(ISBLANK('ENGAGEMENTS 2026'!B673),"",IF('ENGAGEMENTS 2026'!B673="DTSI","DCT",'ENGAGEMENTS 2026'!B673))</f>
        <v/>
      </c>
      <c r="B673">
        <f>IF(ISBLANK('ENGAGEMENTS 2026'!B673),"",'ENGAGEMENTS 2026'!C673)</f>
        <v/>
      </c>
      <c r="C673">
        <f>IF(ISBLANK('ENGAGEMENTS 2026'!B673),"",'ENGAGEMENTS 2026'!D673)</f>
        <v/>
      </c>
      <c r="D673">
        <f>IF(ISBLANK('ENGAGEMENTS 2026'!B673),"",'ENGAGEMENTS 2026'!F673)</f>
        <v/>
      </c>
      <c r="E673">
        <f>IF(ISBLANK('ENGAGEMENTS 2026'!B673),"",'ENGAGEMENTS 2026'!H673)</f>
        <v/>
      </c>
      <c r="F673">
        <f>IF(ISBLANK('ENGAGEMENTS 2026'!B673),"",'ENGAGEMENTS 2026'!I673)</f>
        <v/>
      </c>
      <c r="G673">
        <f>IF(ISBLANK('ENGAGEMENTS 2026'!B673),"",'ENGAGEMENTS 2026'!L673)</f>
        <v/>
      </c>
      <c r="H673">
        <f>IF(ISBLANK('ENGAGEMENTS 2026'!B673),"",'ENGAGEMENTS 2026'!AE673)</f>
        <v/>
      </c>
      <c r="I673">
        <f>IF(ISBLANK('ENGAGEMENTS 2026'!B673),"",'ENGAGEMENTS 2026'!G673)</f>
        <v/>
      </c>
      <c r="J673" s="275">
        <f>IF(ISBLANK('ENGAGEMENTS 2026'!B673),"",IF(AND(OR($E673="INFRUCTUEUX",$E673="ANNULE"),$C673="AOO-M"),'ENGAGEMENTS 2026'!O673,IF($H673="EN COURS DE PREENGAGEMENT",'ENGAGEMENTS 2026'!N673,IF($H673="PREENGAGE",IF($E673="ATTRIBUE",'ENGAGEMENTS 2026'!AD673,'ENGAGEMENTS 2026'!N673),'ENGAGEMENTS 2026'!AD673))))</f>
        <v/>
      </c>
      <c r="K673" s="604">
        <f>IF(ISBLANK('ENGAGEMENTS 2026'!V673),"",'ENGAGEMENTS 2026'!V673)</f>
        <v/>
      </c>
      <c r="L673" s="276">
        <f>IF($K673="","",TODAY()-$K673)</f>
        <v/>
      </c>
      <c r="M673">
        <f>IF($A673="","",IF($H673="ENGAGE","Engagé",IF(AND($H673="NON ENGAGE",OR($I673="INFRUCTUEUX",$I673="ANNULE")),"Clôturé sans suite","En cours")))</f>
        <v/>
      </c>
      <c r="N673">
        <f>IF(ISBLANK('ENGAGEMENTS 2026'!B673),"",'ENGAGEMENTS 2026'!K673)</f>
        <v/>
      </c>
      <c r="O673">
        <f>IF(ISBLANK('ENGAGEMENTS 2026'!B673),"",'ENGAGEMENTS 2026'!L673)</f>
        <v/>
      </c>
      <c r="P673">
        <f>IF(ISBLANK('ENGAGEMENTS 2026'!B673),"",'ENGAGEMENTS 2026'!J673)</f>
        <v/>
      </c>
      <c r="Q673">
        <f>IF($A673="","",IF(OR($E673="INFRUCTUEUX",$E673="ANNULE"),$A673&amp;"|"&amp;(COUNTIFS($A$2:$A673,$A673,$E$2:$E673,"INFRUCTUEUX")+COUNTIFS($A$2:$A673,$A673,$E$2:$E673,"ANNULE")),""))</f>
        <v/>
      </c>
    </row>
    <row r="674">
      <c r="A674">
        <f>IF(ISBLANK('ENGAGEMENTS 2026'!B674),"",IF('ENGAGEMENTS 2026'!B674="DTSI","DCT",'ENGAGEMENTS 2026'!B674))</f>
        <v/>
      </c>
      <c r="B674">
        <f>IF(ISBLANK('ENGAGEMENTS 2026'!B674),"",'ENGAGEMENTS 2026'!C674)</f>
        <v/>
      </c>
      <c r="C674">
        <f>IF(ISBLANK('ENGAGEMENTS 2026'!B674),"",'ENGAGEMENTS 2026'!D674)</f>
        <v/>
      </c>
      <c r="D674">
        <f>IF(ISBLANK('ENGAGEMENTS 2026'!B674),"",'ENGAGEMENTS 2026'!F674)</f>
        <v/>
      </c>
      <c r="E674">
        <f>IF(ISBLANK('ENGAGEMENTS 2026'!B674),"",'ENGAGEMENTS 2026'!H674)</f>
        <v/>
      </c>
      <c r="F674">
        <f>IF(ISBLANK('ENGAGEMENTS 2026'!B674),"",'ENGAGEMENTS 2026'!I674)</f>
        <v/>
      </c>
      <c r="G674">
        <f>IF(ISBLANK('ENGAGEMENTS 2026'!B674),"",'ENGAGEMENTS 2026'!L674)</f>
        <v/>
      </c>
      <c r="H674">
        <f>IF(ISBLANK('ENGAGEMENTS 2026'!B674),"",'ENGAGEMENTS 2026'!AE674)</f>
        <v/>
      </c>
      <c r="I674">
        <f>IF(ISBLANK('ENGAGEMENTS 2026'!B674),"",'ENGAGEMENTS 2026'!G674)</f>
        <v/>
      </c>
      <c r="J674" s="275">
        <f>IF(ISBLANK('ENGAGEMENTS 2026'!B674),"",IF(AND(OR($E674="INFRUCTUEUX",$E674="ANNULE"),$C674="AOO-M"),'ENGAGEMENTS 2026'!O674,IF($H674="EN COURS DE PREENGAGEMENT",'ENGAGEMENTS 2026'!N674,IF($H674="PREENGAGE",IF($E674="ATTRIBUE",'ENGAGEMENTS 2026'!AD674,'ENGAGEMENTS 2026'!N674),'ENGAGEMENTS 2026'!AD674))))</f>
        <v/>
      </c>
      <c r="K674" s="604">
        <f>IF(ISBLANK('ENGAGEMENTS 2026'!V674),"",'ENGAGEMENTS 2026'!V674)</f>
        <v/>
      </c>
      <c r="L674" s="276">
        <f>IF($K674="","",TODAY()-$K674)</f>
        <v/>
      </c>
      <c r="M674">
        <f>IF($A674="","",IF($H674="ENGAGE","Engagé",IF(AND($H674="NON ENGAGE",OR($I674="INFRUCTUEUX",$I674="ANNULE")),"Clôturé sans suite","En cours")))</f>
        <v/>
      </c>
      <c r="N674">
        <f>IF(ISBLANK('ENGAGEMENTS 2026'!B674),"",'ENGAGEMENTS 2026'!K674)</f>
        <v/>
      </c>
      <c r="O674">
        <f>IF(ISBLANK('ENGAGEMENTS 2026'!B674),"",'ENGAGEMENTS 2026'!L674)</f>
        <v/>
      </c>
      <c r="P674">
        <f>IF(ISBLANK('ENGAGEMENTS 2026'!B674),"",'ENGAGEMENTS 2026'!J674)</f>
        <v/>
      </c>
      <c r="Q674">
        <f>IF($A674="","",IF(OR($E674="INFRUCTUEUX",$E674="ANNULE"),$A674&amp;"|"&amp;(COUNTIFS($A$2:$A674,$A674,$E$2:$E674,"INFRUCTUEUX")+COUNTIFS($A$2:$A674,$A674,$E$2:$E674,"ANNULE")),""))</f>
        <v/>
      </c>
    </row>
    <row r="675">
      <c r="A675">
        <f>IF(ISBLANK('ENGAGEMENTS 2026'!B675),"",IF('ENGAGEMENTS 2026'!B675="DTSI","DCT",'ENGAGEMENTS 2026'!B675))</f>
        <v/>
      </c>
      <c r="B675">
        <f>IF(ISBLANK('ENGAGEMENTS 2026'!B675),"",'ENGAGEMENTS 2026'!C675)</f>
        <v/>
      </c>
      <c r="C675">
        <f>IF(ISBLANK('ENGAGEMENTS 2026'!B675),"",'ENGAGEMENTS 2026'!D675)</f>
        <v/>
      </c>
      <c r="D675">
        <f>IF(ISBLANK('ENGAGEMENTS 2026'!B675),"",'ENGAGEMENTS 2026'!F675)</f>
        <v/>
      </c>
      <c r="E675">
        <f>IF(ISBLANK('ENGAGEMENTS 2026'!B675),"",'ENGAGEMENTS 2026'!H675)</f>
        <v/>
      </c>
      <c r="F675">
        <f>IF(ISBLANK('ENGAGEMENTS 2026'!B675),"",'ENGAGEMENTS 2026'!I675)</f>
        <v/>
      </c>
      <c r="G675">
        <f>IF(ISBLANK('ENGAGEMENTS 2026'!B675),"",'ENGAGEMENTS 2026'!L675)</f>
        <v/>
      </c>
      <c r="H675">
        <f>IF(ISBLANK('ENGAGEMENTS 2026'!B675),"",'ENGAGEMENTS 2026'!AE675)</f>
        <v/>
      </c>
      <c r="I675">
        <f>IF(ISBLANK('ENGAGEMENTS 2026'!B675),"",'ENGAGEMENTS 2026'!G675)</f>
        <v/>
      </c>
      <c r="J675" s="275">
        <f>IF(ISBLANK('ENGAGEMENTS 2026'!B675),"",IF(AND(OR($E675="INFRUCTUEUX",$E675="ANNULE"),$C675="AOO-M"),'ENGAGEMENTS 2026'!O675,IF($H675="EN COURS DE PREENGAGEMENT",'ENGAGEMENTS 2026'!N675,IF($H675="PREENGAGE",IF($E675="ATTRIBUE",'ENGAGEMENTS 2026'!AD675,'ENGAGEMENTS 2026'!N675),'ENGAGEMENTS 2026'!AD675))))</f>
        <v/>
      </c>
      <c r="K675" s="604">
        <f>IF(ISBLANK('ENGAGEMENTS 2026'!V675),"",'ENGAGEMENTS 2026'!V675)</f>
        <v/>
      </c>
      <c r="L675" s="276">
        <f>IF($K675="","",TODAY()-$K675)</f>
        <v/>
      </c>
      <c r="M675">
        <f>IF($A675="","",IF($H675="ENGAGE","Engagé",IF(AND($H675="NON ENGAGE",OR($I675="INFRUCTUEUX",$I675="ANNULE")),"Clôturé sans suite","En cours")))</f>
        <v/>
      </c>
      <c r="N675">
        <f>IF(ISBLANK('ENGAGEMENTS 2026'!B675),"",'ENGAGEMENTS 2026'!K675)</f>
        <v/>
      </c>
      <c r="O675">
        <f>IF(ISBLANK('ENGAGEMENTS 2026'!B675),"",'ENGAGEMENTS 2026'!L675)</f>
        <v/>
      </c>
      <c r="P675">
        <f>IF(ISBLANK('ENGAGEMENTS 2026'!B675),"",'ENGAGEMENTS 2026'!J675)</f>
        <v/>
      </c>
      <c r="Q675">
        <f>IF($A675="","",IF(OR($E675="INFRUCTUEUX",$E675="ANNULE"),$A675&amp;"|"&amp;(COUNTIFS($A$2:$A675,$A675,$E$2:$E675,"INFRUCTUEUX")+COUNTIFS($A$2:$A675,$A675,$E$2:$E675,"ANNULE")),""))</f>
        <v/>
      </c>
    </row>
    <row r="676">
      <c r="A676">
        <f>IF(ISBLANK('ENGAGEMENTS 2026'!B676),"",IF('ENGAGEMENTS 2026'!B676="DTSI","DCT",'ENGAGEMENTS 2026'!B676))</f>
        <v/>
      </c>
      <c r="B676">
        <f>IF(ISBLANK('ENGAGEMENTS 2026'!B676),"",'ENGAGEMENTS 2026'!C676)</f>
        <v/>
      </c>
      <c r="C676">
        <f>IF(ISBLANK('ENGAGEMENTS 2026'!B676),"",'ENGAGEMENTS 2026'!D676)</f>
        <v/>
      </c>
      <c r="D676">
        <f>IF(ISBLANK('ENGAGEMENTS 2026'!B676),"",'ENGAGEMENTS 2026'!F676)</f>
        <v/>
      </c>
      <c r="E676">
        <f>IF(ISBLANK('ENGAGEMENTS 2026'!B676),"",'ENGAGEMENTS 2026'!H676)</f>
        <v/>
      </c>
      <c r="F676">
        <f>IF(ISBLANK('ENGAGEMENTS 2026'!B676),"",'ENGAGEMENTS 2026'!I676)</f>
        <v/>
      </c>
      <c r="G676">
        <f>IF(ISBLANK('ENGAGEMENTS 2026'!B676),"",'ENGAGEMENTS 2026'!L676)</f>
        <v/>
      </c>
      <c r="H676">
        <f>IF(ISBLANK('ENGAGEMENTS 2026'!B676),"",'ENGAGEMENTS 2026'!AE676)</f>
        <v/>
      </c>
      <c r="I676">
        <f>IF(ISBLANK('ENGAGEMENTS 2026'!B676),"",'ENGAGEMENTS 2026'!G676)</f>
        <v/>
      </c>
      <c r="J676" s="275">
        <f>IF(ISBLANK('ENGAGEMENTS 2026'!B676),"",IF(AND(OR($E676="INFRUCTUEUX",$E676="ANNULE"),$C676="AOO-M"),'ENGAGEMENTS 2026'!O676,IF($H676="EN COURS DE PREENGAGEMENT",'ENGAGEMENTS 2026'!N676,IF($H676="PREENGAGE",IF($E676="ATTRIBUE",'ENGAGEMENTS 2026'!AD676,'ENGAGEMENTS 2026'!N676),'ENGAGEMENTS 2026'!AD676))))</f>
        <v/>
      </c>
      <c r="K676" s="604">
        <f>IF(ISBLANK('ENGAGEMENTS 2026'!V676),"",'ENGAGEMENTS 2026'!V676)</f>
        <v/>
      </c>
      <c r="L676" s="276">
        <f>IF($K676="","",TODAY()-$K676)</f>
        <v/>
      </c>
      <c r="M676">
        <f>IF($A676="","",IF($H676="ENGAGE","Engagé",IF(AND($H676="NON ENGAGE",OR($I676="INFRUCTUEUX",$I676="ANNULE")),"Clôturé sans suite","En cours")))</f>
        <v/>
      </c>
      <c r="N676">
        <f>IF(ISBLANK('ENGAGEMENTS 2026'!B676),"",'ENGAGEMENTS 2026'!K676)</f>
        <v/>
      </c>
      <c r="O676">
        <f>IF(ISBLANK('ENGAGEMENTS 2026'!B676),"",'ENGAGEMENTS 2026'!L676)</f>
        <v/>
      </c>
      <c r="P676">
        <f>IF(ISBLANK('ENGAGEMENTS 2026'!B676),"",'ENGAGEMENTS 2026'!J676)</f>
        <v/>
      </c>
      <c r="Q676">
        <f>IF($A676="","",IF(OR($E676="INFRUCTUEUX",$E676="ANNULE"),$A676&amp;"|"&amp;(COUNTIFS($A$2:$A676,$A676,$E$2:$E676,"INFRUCTUEUX")+COUNTIFS($A$2:$A676,$A676,$E$2:$E676,"ANNULE")),""))</f>
        <v/>
      </c>
    </row>
    <row r="677">
      <c r="A677">
        <f>IF(ISBLANK('ENGAGEMENTS 2026'!B677),"",IF('ENGAGEMENTS 2026'!B677="DTSI","DCT",'ENGAGEMENTS 2026'!B677))</f>
        <v/>
      </c>
      <c r="B677">
        <f>IF(ISBLANK('ENGAGEMENTS 2026'!B677),"",'ENGAGEMENTS 2026'!C677)</f>
        <v/>
      </c>
      <c r="C677">
        <f>IF(ISBLANK('ENGAGEMENTS 2026'!B677),"",'ENGAGEMENTS 2026'!D677)</f>
        <v/>
      </c>
      <c r="D677">
        <f>IF(ISBLANK('ENGAGEMENTS 2026'!B677),"",'ENGAGEMENTS 2026'!F677)</f>
        <v/>
      </c>
      <c r="E677">
        <f>IF(ISBLANK('ENGAGEMENTS 2026'!B677),"",'ENGAGEMENTS 2026'!H677)</f>
        <v/>
      </c>
      <c r="F677">
        <f>IF(ISBLANK('ENGAGEMENTS 2026'!B677),"",'ENGAGEMENTS 2026'!I677)</f>
        <v/>
      </c>
      <c r="G677">
        <f>IF(ISBLANK('ENGAGEMENTS 2026'!B677),"",'ENGAGEMENTS 2026'!L677)</f>
        <v/>
      </c>
      <c r="H677">
        <f>IF(ISBLANK('ENGAGEMENTS 2026'!B677),"",'ENGAGEMENTS 2026'!AE677)</f>
        <v/>
      </c>
      <c r="I677">
        <f>IF(ISBLANK('ENGAGEMENTS 2026'!B677),"",'ENGAGEMENTS 2026'!G677)</f>
        <v/>
      </c>
      <c r="J677" s="275">
        <f>IF(ISBLANK('ENGAGEMENTS 2026'!B677),"",IF(AND(OR($E677="INFRUCTUEUX",$E677="ANNULE"),$C677="AOO-M"),'ENGAGEMENTS 2026'!O677,IF($H677="EN COURS DE PREENGAGEMENT",'ENGAGEMENTS 2026'!N677,IF($H677="PREENGAGE",IF($E677="ATTRIBUE",'ENGAGEMENTS 2026'!AD677,'ENGAGEMENTS 2026'!N677),'ENGAGEMENTS 2026'!AD677))))</f>
        <v/>
      </c>
      <c r="K677" s="604">
        <f>IF(ISBLANK('ENGAGEMENTS 2026'!V677),"",'ENGAGEMENTS 2026'!V677)</f>
        <v/>
      </c>
      <c r="L677" s="276">
        <f>IF($K677="","",TODAY()-$K677)</f>
        <v/>
      </c>
      <c r="M677">
        <f>IF($A677="","",IF($H677="ENGAGE","Engagé",IF(AND($H677="NON ENGAGE",OR($I677="INFRUCTUEUX",$I677="ANNULE")),"Clôturé sans suite","En cours")))</f>
        <v/>
      </c>
      <c r="N677">
        <f>IF(ISBLANK('ENGAGEMENTS 2026'!B677),"",'ENGAGEMENTS 2026'!K677)</f>
        <v/>
      </c>
      <c r="O677">
        <f>IF(ISBLANK('ENGAGEMENTS 2026'!B677),"",'ENGAGEMENTS 2026'!L677)</f>
        <v/>
      </c>
      <c r="P677">
        <f>IF(ISBLANK('ENGAGEMENTS 2026'!B677),"",'ENGAGEMENTS 2026'!J677)</f>
        <v/>
      </c>
      <c r="Q677">
        <f>IF($A677="","",IF(OR($E677="INFRUCTUEUX",$E677="ANNULE"),$A677&amp;"|"&amp;(COUNTIFS($A$2:$A677,$A677,$E$2:$E677,"INFRUCTUEUX")+COUNTIFS($A$2:$A677,$A677,$E$2:$E677,"ANNULE")),""))</f>
        <v/>
      </c>
    </row>
    <row r="678">
      <c r="A678">
        <f>IF(ISBLANK('ENGAGEMENTS 2026'!B678),"",IF('ENGAGEMENTS 2026'!B678="DTSI","DCT",'ENGAGEMENTS 2026'!B678))</f>
        <v/>
      </c>
      <c r="B678">
        <f>IF(ISBLANK('ENGAGEMENTS 2026'!B678),"",'ENGAGEMENTS 2026'!C678)</f>
        <v/>
      </c>
      <c r="C678">
        <f>IF(ISBLANK('ENGAGEMENTS 2026'!B678),"",'ENGAGEMENTS 2026'!D678)</f>
        <v/>
      </c>
      <c r="D678">
        <f>IF(ISBLANK('ENGAGEMENTS 2026'!B678),"",'ENGAGEMENTS 2026'!F678)</f>
        <v/>
      </c>
      <c r="E678">
        <f>IF(ISBLANK('ENGAGEMENTS 2026'!B678),"",'ENGAGEMENTS 2026'!H678)</f>
        <v/>
      </c>
      <c r="F678">
        <f>IF(ISBLANK('ENGAGEMENTS 2026'!B678),"",'ENGAGEMENTS 2026'!I678)</f>
        <v/>
      </c>
      <c r="G678">
        <f>IF(ISBLANK('ENGAGEMENTS 2026'!B678),"",'ENGAGEMENTS 2026'!L678)</f>
        <v/>
      </c>
      <c r="H678">
        <f>IF(ISBLANK('ENGAGEMENTS 2026'!B678),"",'ENGAGEMENTS 2026'!AE678)</f>
        <v/>
      </c>
      <c r="I678">
        <f>IF(ISBLANK('ENGAGEMENTS 2026'!B678),"",'ENGAGEMENTS 2026'!G678)</f>
        <v/>
      </c>
      <c r="J678" s="275">
        <f>IF(ISBLANK('ENGAGEMENTS 2026'!B678),"",IF(AND(OR($E678="INFRUCTUEUX",$E678="ANNULE"),$C678="AOO-M"),'ENGAGEMENTS 2026'!O678,IF($H678="EN COURS DE PREENGAGEMENT",'ENGAGEMENTS 2026'!N678,IF($H678="PREENGAGE",IF($E678="ATTRIBUE",'ENGAGEMENTS 2026'!AD678,'ENGAGEMENTS 2026'!N678),'ENGAGEMENTS 2026'!AD678))))</f>
        <v/>
      </c>
      <c r="K678" s="604">
        <f>IF(ISBLANK('ENGAGEMENTS 2026'!V678),"",'ENGAGEMENTS 2026'!V678)</f>
        <v/>
      </c>
      <c r="L678" s="276">
        <f>IF($K678="","",TODAY()-$K678)</f>
        <v/>
      </c>
      <c r="M678">
        <f>IF($A678="","",IF($H678="ENGAGE","Engagé",IF(AND($H678="NON ENGAGE",OR($I678="INFRUCTUEUX",$I678="ANNULE")),"Clôturé sans suite","En cours")))</f>
        <v/>
      </c>
      <c r="N678">
        <f>IF(ISBLANK('ENGAGEMENTS 2026'!B678),"",'ENGAGEMENTS 2026'!K678)</f>
        <v/>
      </c>
      <c r="O678">
        <f>IF(ISBLANK('ENGAGEMENTS 2026'!B678),"",'ENGAGEMENTS 2026'!L678)</f>
        <v/>
      </c>
      <c r="P678">
        <f>IF(ISBLANK('ENGAGEMENTS 2026'!B678),"",'ENGAGEMENTS 2026'!J678)</f>
        <v/>
      </c>
      <c r="Q678">
        <f>IF($A678="","",IF(OR($E678="INFRUCTUEUX",$E678="ANNULE"),$A678&amp;"|"&amp;(COUNTIFS($A$2:$A678,$A678,$E$2:$E678,"INFRUCTUEUX")+COUNTIFS($A$2:$A678,$A678,$E$2:$E678,"ANNULE")),""))</f>
        <v/>
      </c>
    </row>
    <row r="679">
      <c r="A679">
        <f>IF(ISBLANK('ENGAGEMENTS 2026'!B679),"",IF('ENGAGEMENTS 2026'!B679="DTSI","DCT",'ENGAGEMENTS 2026'!B679))</f>
        <v/>
      </c>
      <c r="B679">
        <f>IF(ISBLANK('ENGAGEMENTS 2026'!B679),"",'ENGAGEMENTS 2026'!C679)</f>
        <v/>
      </c>
      <c r="C679">
        <f>IF(ISBLANK('ENGAGEMENTS 2026'!B679),"",'ENGAGEMENTS 2026'!D679)</f>
        <v/>
      </c>
      <c r="D679">
        <f>IF(ISBLANK('ENGAGEMENTS 2026'!B679),"",'ENGAGEMENTS 2026'!F679)</f>
        <v/>
      </c>
      <c r="E679">
        <f>IF(ISBLANK('ENGAGEMENTS 2026'!B679),"",'ENGAGEMENTS 2026'!H679)</f>
        <v/>
      </c>
      <c r="F679">
        <f>IF(ISBLANK('ENGAGEMENTS 2026'!B679),"",'ENGAGEMENTS 2026'!I679)</f>
        <v/>
      </c>
      <c r="G679">
        <f>IF(ISBLANK('ENGAGEMENTS 2026'!B679),"",'ENGAGEMENTS 2026'!L679)</f>
        <v/>
      </c>
      <c r="H679">
        <f>IF(ISBLANK('ENGAGEMENTS 2026'!B679),"",'ENGAGEMENTS 2026'!AE679)</f>
        <v/>
      </c>
      <c r="I679">
        <f>IF(ISBLANK('ENGAGEMENTS 2026'!B679),"",'ENGAGEMENTS 2026'!G679)</f>
        <v/>
      </c>
      <c r="J679" s="275">
        <f>IF(ISBLANK('ENGAGEMENTS 2026'!B679),"",IF(AND(OR($E679="INFRUCTUEUX",$E679="ANNULE"),$C679="AOO-M"),'ENGAGEMENTS 2026'!O679,IF($H679="EN COURS DE PREENGAGEMENT",'ENGAGEMENTS 2026'!N679,IF($H679="PREENGAGE",IF($E679="ATTRIBUE",'ENGAGEMENTS 2026'!AD679,'ENGAGEMENTS 2026'!N679),'ENGAGEMENTS 2026'!AD679))))</f>
        <v/>
      </c>
      <c r="K679" s="604">
        <f>IF(ISBLANK('ENGAGEMENTS 2026'!V679),"",'ENGAGEMENTS 2026'!V679)</f>
        <v/>
      </c>
      <c r="L679" s="276">
        <f>IF($K679="","",TODAY()-$K679)</f>
        <v/>
      </c>
      <c r="M679">
        <f>IF($A679="","",IF($H679="ENGAGE","Engagé",IF(AND($H679="NON ENGAGE",OR($I679="INFRUCTUEUX",$I679="ANNULE")),"Clôturé sans suite","En cours")))</f>
        <v/>
      </c>
      <c r="N679">
        <f>IF(ISBLANK('ENGAGEMENTS 2026'!B679),"",'ENGAGEMENTS 2026'!K679)</f>
        <v/>
      </c>
      <c r="O679">
        <f>IF(ISBLANK('ENGAGEMENTS 2026'!B679),"",'ENGAGEMENTS 2026'!L679)</f>
        <v/>
      </c>
      <c r="P679">
        <f>IF(ISBLANK('ENGAGEMENTS 2026'!B679),"",'ENGAGEMENTS 2026'!J679)</f>
        <v/>
      </c>
      <c r="Q679">
        <f>IF($A679="","",IF(OR($E679="INFRUCTUEUX",$E679="ANNULE"),$A679&amp;"|"&amp;(COUNTIFS($A$2:$A679,$A679,$E$2:$E679,"INFRUCTUEUX")+COUNTIFS($A$2:$A679,$A679,$E$2:$E679,"ANNULE")),""))</f>
        <v/>
      </c>
    </row>
    <row r="680">
      <c r="A680">
        <f>IF(ISBLANK('ENGAGEMENTS 2026'!B680),"",IF('ENGAGEMENTS 2026'!B680="DTSI","DCT",'ENGAGEMENTS 2026'!B680))</f>
        <v/>
      </c>
      <c r="B680">
        <f>IF(ISBLANK('ENGAGEMENTS 2026'!B680),"",'ENGAGEMENTS 2026'!C680)</f>
        <v/>
      </c>
      <c r="C680">
        <f>IF(ISBLANK('ENGAGEMENTS 2026'!B680),"",'ENGAGEMENTS 2026'!D680)</f>
        <v/>
      </c>
      <c r="D680">
        <f>IF(ISBLANK('ENGAGEMENTS 2026'!B680),"",'ENGAGEMENTS 2026'!F680)</f>
        <v/>
      </c>
      <c r="E680">
        <f>IF(ISBLANK('ENGAGEMENTS 2026'!B680),"",'ENGAGEMENTS 2026'!H680)</f>
        <v/>
      </c>
      <c r="F680">
        <f>IF(ISBLANK('ENGAGEMENTS 2026'!B680),"",'ENGAGEMENTS 2026'!I680)</f>
        <v/>
      </c>
      <c r="G680">
        <f>IF(ISBLANK('ENGAGEMENTS 2026'!B680),"",'ENGAGEMENTS 2026'!L680)</f>
        <v/>
      </c>
      <c r="H680">
        <f>IF(ISBLANK('ENGAGEMENTS 2026'!B680),"",'ENGAGEMENTS 2026'!AE680)</f>
        <v/>
      </c>
      <c r="I680">
        <f>IF(ISBLANK('ENGAGEMENTS 2026'!B680),"",'ENGAGEMENTS 2026'!G680)</f>
        <v/>
      </c>
      <c r="J680" s="275">
        <f>IF(ISBLANK('ENGAGEMENTS 2026'!B680),"",IF(AND(OR($E680="INFRUCTUEUX",$E680="ANNULE"),$C680="AOO-M"),'ENGAGEMENTS 2026'!O680,IF($H680="EN COURS DE PREENGAGEMENT",'ENGAGEMENTS 2026'!N680,IF($H680="PREENGAGE",IF($E680="ATTRIBUE",'ENGAGEMENTS 2026'!AD680,'ENGAGEMENTS 2026'!N680),'ENGAGEMENTS 2026'!AD680))))</f>
        <v/>
      </c>
      <c r="K680" s="604">
        <f>IF(ISBLANK('ENGAGEMENTS 2026'!V680),"",'ENGAGEMENTS 2026'!V680)</f>
        <v/>
      </c>
      <c r="L680" s="276">
        <f>IF($K680="","",TODAY()-$K680)</f>
        <v/>
      </c>
      <c r="M680">
        <f>IF($A680="","",IF($H680="ENGAGE","Engagé",IF(AND($H680="NON ENGAGE",OR($I680="INFRUCTUEUX",$I680="ANNULE")),"Clôturé sans suite","En cours")))</f>
        <v/>
      </c>
      <c r="N680">
        <f>IF(ISBLANK('ENGAGEMENTS 2026'!B680),"",'ENGAGEMENTS 2026'!K680)</f>
        <v/>
      </c>
      <c r="O680">
        <f>IF(ISBLANK('ENGAGEMENTS 2026'!B680),"",'ENGAGEMENTS 2026'!L680)</f>
        <v/>
      </c>
      <c r="P680">
        <f>IF(ISBLANK('ENGAGEMENTS 2026'!B680),"",'ENGAGEMENTS 2026'!J680)</f>
        <v/>
      </c>
      <c r="Q680">
        <f>IF($A680="","",IF(OR($E680="INFRUCTUEUX",$E680="ANNULE"),$A680&amp;"|"&amp;(COUNTIFS($A$2:$A680,$A680,$E$2:$E680,"INFRUCTUEUX")+COUNTIFS($A$2:$A680,$A680,$E$2:$E680,"ANNULE")),""))</f>
        <v/>
      </c>
    </row>
    <row r="681">
      <c r="A681">
        <f>IF(ISBLANK('ENGAGEMENTS 2026'!B681),"",IF('ENGAGEMENTS 2026'!B681="DTSI","DCT",'ENGAGEMENTS 2026'!B681))</f>
        <v/>
      </c>
      <c r="B681">
        <f>IF(ISBLANK('ENGAGEMENTS 2026'!B681),"",'ENGAGEMENTS 2026'!C681)</f>
        <v/>
      </c>
      <c r="C681">
        <f>IF(ISBLANK('ENGAGEMENTS 2026'!B681),"",'ENGAGEMENTS 2026'!D681)</f>
        <v/>
      </c>
      <c r="D681">
        <f>IF(ISBLANK('ENGAGEMENTS 2026'!B681),"",'ENGAGEMENTS 2026'!F681)</f>
        <v/>
      </c>
      <c r="E681">
        <f>IF(ISBLANK('ENGAGEMENTS 2026'!B681),"",'ENGAGEMENTS 2026'!H681)</f>
        <v/>
      </c>
      <c r="F681">
        <f>IF(ISBLANK('ENGAGEMENTS 2026'!B681),"",'ENGAGEMENTS 2026'!I681)</f>
        <v/>
      </c>
      <c r="G681">
        <f>IF(ISBLANK('ENGAGEMENTS 2026'!B681),"",'ENGAGEMENTS 2026'!L681)</f>
        <v/>
      </c>
      <c r="H681">
        <f>IF(ISBLANK('ENGAGEMENTS 2026'!B681),"",'ENGAGEMENTS 2026'!AE681)</f>
        <v/>
      </c>
      <c r="I681">
        <f>IF(ISBLANK('ENGAGEMENTS 2026'!B681),"",'ENGAGEMENTS 2026'!G681)</f>
        <v/>
      </c>
      <c r="J681" s="275">
        <f>IF(ISBLANK('ENGAGEMENTS 2026'!B681),"",IF(AND(OR($E681="INFRUCTUEUX",$E681="ANNULE"),$C681="AOO-M"),'ENGAGEMENTS 2026'!O681,IF($H681="EN COURS DE PREENGAGEMENT",'ENGAGEMENTS 2026'!N681,IF($H681="PREENGAGE",IF($E681="ATTRIBUE",'ENGAGEMENTS 2026'!AD681,'ENGAGEMENTS 2026'!N681),'ENGAGEMENTS 2026'!AD681))))</f>
        <v/>
      </c>
      <c r="K681" s="604">
        <f>IF(ISBLANK('ENGAGEMENTS 2026'!V681),"",'ENGAGEMENTS 2026'!V681)</f>
        <v/>
      </c>
      <c r="L681" s="276">
        <f>IF($K681="","",TODAY()-$K681)</f>
        <v/>
      </c>
      <c r="M681">
        <f>IF($A681="","",IF($H681="ENGAGE","Engagé",IF(AND($H681="NON ENGAGE",OR($I681="INFRUCTUEUX",$I681="ANNULE")),"Clôturé sans suite","En cours")))</f>
        <v/>
      </c>
      <c r="N681">
        <f>IF(ISBLANK('ENGAGEMENTS 2026'!B681),"",'ENGAGEMENTS 2026'!K681)</f>
        <v/>
      </c>
      <c r="O681">
        <f>IF(ISBLANK('ENGAGEMENTS 2026'!B681),"",'ENGAGEMENTS 2026'!L681)</f>
        <v/>
      </c>
      <c r="P681">
        <f>IF(ISBLANK('ENGAGEMENTS 2026'!B681),"",'ENGAGEMENTS 2026'!J681)</f>
        <v/>
      </c>
      <c r="Q681">
        <f>IF($A681="","",IF(OR($E681="INFRUCTUEUX",$E681="ANNULE"),$A681&amp;"|"&amp;(COUNTIFS($A$2:$A681,$A681,$E$2:$E681,"INFRUCTUEUX")+COUNTIFS($A$2:$A681,$A681,$E$2:$E681,"ANNULE")),""))</f>
        <v/>
      </c>
    </row>
    <row r="682">
      <c r="A682">
        <f>IF(ISBLANK('ENGAGEMENTS 2026'!B682),"",IF('ENGAGEMENTS 2026'!B682="DTSI","DCT",'ENGAGEMENTS 2026'!B682))</f>
        <v/>
      </c>
      <c r="B682">
        <f>IF(ISBLANK('ENGAGEMENTS 2026'!B682),"",'ENGAGEMENTS 2026'!C682)</f>
        <v/>
      </c>
      <c r="C682">
        <f>IF(ISBLANK('ENGAGEMENTS 2026'!B682),"",'ENGAGEMENTS 2026'!D682)</f>
        <v/>
      </c>
      <c r="D682">
        <f>IF(ISBLANK('ENGAGEMENTS 2026'!B682),"",'ENGAGEMENTS 2026'!F682)</f>
        <v/>
      </c>
      <c r="E682">
        <f>IF(ISBLANK('ENGAGEMENTS 2026'!B682),"",'ENGAGEMENTS 2026'!H682)</f>
        <v/>
      </c>
      <c r="F682">
        <f>IF(ISBLANK('ENGAGEMENTS 2026'!B682),"",'ENGAGEMENTS 2026'!I682)</f>
        <v/>
      </c>
      <c r="G682">
        <f>IF(ISBLANK('ENGAGEMENTS 2026'!B682),"",'ENGAGEMENTS 2026'!L682)</f>
        <v/>
      </c>
      <c r="H682">
        <f>IF(ISBLANK('ENGAGEMENTS 2026'!B682),"",'ENGAGEMENTS 2026'!AE682)</f>
        <v/>
      </c>
      <c r="I682">
        <f>IF(ISBLANK('ENGAGEMENTS 2026'!B682),"",'ENGAGEMENTS 2026'!G682)</f>
        <v/>
      </c>
      <c r="J682" s="275">
        <f>IF(ISBLANK('ENGAGEMENTS 2026'!B682),"",IF(AND(OR($E682="INFRUCTUEUX",$E682="ANNULE"),$C682="AOO-M"),'ENGAGEMENTS 2026'!O682,IF($H682="EN COURS DE PREENGAGEMENT",'ENGAGEMENTS 2026'!N682,IF($H682="PREENGAGE",IF($E682="ATTRIBUE",'ENGAGEMENTS 2026'!AD682,'ENGAGEMENTS 2026'!N682),'ENGAGEMENTS 2026'!AD682))))</f>
        <v/>
      </c>
      <c r="K682" s="604">
        <f>IF(ISBLANK('ENGAGEMENTS 2026'!V682),"",'ENGAGEMENTS 2026'!V682)</f>
        <v/>
      </c>
      <c r="L682" s="276">
        <f>IF($K682="","",TODAY()-$K682)</f>
        <v/>
      </c>
      <c r="M682">
        <f>IF($A682="","",IF($H682="ENGAGE","Engagé",IF(AND($H682="NON ENGAGE",OR($I682="INFRUCTUEUX",$I682="ANNULE")),"Clôturé sans suite","En cours")))</f>
        <v/>
      </c>
      <c r="N682">
        <f>IF(ISBLANK('ENGAGEMENTS 2026'!B682),"",'ENGAGEMENTS 2026'!K682)</f>
        <v/>
      </c>
      <c r="O682">
        <f>IF(ISBLANK('ENGAGEMENTS 2026'!B682),"",'ENGAGEMENTS 2026'!L682)</f>
        <v/>
      </c>
      <c r="P682">
        <f>IF(ISBLANK('ENGAGEMENTS 2026'!B682),"",'ENGAGEMENTS 2026'!J682)</f>
        <v/>
      </c>
      <c r="Q682">
        <f>IF($A682="","",IF(OR($E682="INFRUCTUEUX",$E682="ANNULE"),$A682&amp;"|"&amp;(COUNTIFS($A$2:$A682,$A682,$E$2:$E682,"INFRUCTUEUX")+COUNTIFS($A$2:$A682,$A682,$E$2:$E682,"ANNULE")),""))</f>
        <v/>
      </c>
    </row>
    <row r="683">
      <c r="A683">
        <f>IF(ISBLANK('ENGAGEMENTS 2026'!B683),"",IF('ENGAGEMENTS 2026'!B683="DTSI","DCT",'ENGAGEMENTS 2026'!B683))</f>
        <v/>
      </c>
      <c r="B683">
        <f>IF(ISBLANK('ENGAGEMENTS 2026'!B683),"",'ENGAGEMENTS 2026'!C683)</f>
        <v/>
      </c>
      <c r="C683">
        <f>IF(ISBLANK('ENGAGEMENTS 2026'!B683),"",'ENGAGEMENTS 2026'!D683)</f>
        <v/>
      </c>
      <c r="D683">
        <f>IF(ISBLANK('ENGAGEMENTS 2026'!B683),"",'ENGAGEMENTS 2026'!F683)</f>
        <v/>
      </c>
      <c r="E683">
        <f>IF(ISBLANK('ENGAGEMENTS 2026'!B683),"",'ENGAGEMENTS 2026'!H683)</f>
        <v/>
      </c>
      <c r="F683">
        <f>IF(ISBLANK('ENGAGEMENTS 2026'!B683),"",'ENGAGEMENTS 2026'!I683)</f>
        <v/>
      </c>
      <c r="G683">
        <f>IF(ISBLANK('ENGAGEMENTS 2026'!B683),"",'ENGAGEMENTS 2026'!L683)</f>
        <v/>
      </c>
      <c r="H683">
        <f>IF(ISBLANK('ENGAGEMENTS 2026'!B683),"",'ENGAGEMENTS 2026'!AE683)</f>
        <v/>
      </c>
      <c r="I683">
        <f>IF(ISBLANK('ENGAGEMENTS 2026'!B683),"",'ENGAGEMENTS 2026'!G683)</f>
        <v/>
      </c>
      <c r="J683" s="275">
        <f>IF(ISBLANK('ENGAGEMENTS 2026'!B683),"",IF(AND(OR($E683="INFRUCTUEUX",$E683="ANNULE"),$C683="AOO-M"),'ENGAGEMENTS 2026'!O683,IF($H683="EN COURS DE PREENGAGEMENT",'ENGAGEMENTS 2026'!N683,IF($H683="PREENGAGE",IF($E683="ATTRIBUE",'ENGAGEMENTS 2026'!AD683,'ENGAGEMENTS 2026'!N683),'ENGAGEMENTS 2026'!AD683))))</f>
        <v/>
      </c>
      <c r="K683" s="604">
        <f>IF(ISBLANK('ENGAGEMENTS 2026'!V683),"",'ENGAGEMENTS 2026'!V683)</f>
        <v/>
      </c>
      <c r="L683" s="276">
        <f>IF($K683="","",TODAY()-$K683)</f>
        <v/>
      </c>
      <c r="M683">
        <f>IF($A683="","",IF($H683="ENGAGE","Engagé",IF(AND($H683="NON ENGAGE",OR($I683="INFRUCTUEUX",$I683="ANNULE")),"Clôturé sans suite","En cours")))</f>
        <v/>
      </c>
      <c r="N683">
        <f>IF(ISBLANK('ENGAGEMENTS 2026'!B683),"",'ENGAGEMENTS 2026'!K683)</f>
        <v/>
      </c>
      <c r="O683">
        <f>IF(ISBLANK('ENGAGEMENTS 2026'!B683),"",'ENGAGEMENTS 2026'!L683)</f>
        <v/>
      </c>
      <c r="P683">
        <f>IF(ISBLANK('ENGAGEMENTS 2026'!B683),"",'ENGAGEMENTS 2026'!J683)</f>
        <v/>
      </c>
      <c r="Q683">
        <f>IF($A683="","",IF(OR($E683="INFRUCTUEUX",$E683="ANNULE"),$A683&amp;"|"&amp;(COUNTIFS($A$2:$A683,$A683,$E$2:$E683,"INFRUCTUEUX")+COUNTIFS($A$2:$A683,$A683,$E$2:$E683,"ANNULE")),""))</f>
        <v/>
      </c>
    </row>
    <row r="684">
      <c r="A684">
        <f>IF(ISBLANK('ENGAGEMENTS 2026'!B684),"",IF('ENGAGEMENTS 2026'!B684="DTSI","DCT",'ENGAGEMENTS 2026'!B684))</f>
        <v/>
      </c>
      <c r="B684">
        <f>IF(ISBLANK('ENGAGEMENTS 2026'!B684),"",'ENGAGEMENTS 2026'!C684)</f>
        <v/>
      </c>
      <c r="C684">
        <f>IF(ISBLANK('ENGAGEMENTS 2026'!B684),"",'ENGAGEMENTS 2026'!D684)</f>
        <v/>
      </c>
      <c r="D684">
        <f>IF(ISBLANK('ENGAGEMENTS 2026'!B684),"",'ENGAGEMENTS 2026'!F684)</f>
        <v/>
      </c>
      <c r="E684">
        <f>IF(ISBLANK('ENGAGEMENTS 2026'!B684),"",'ENGAGEMENTS 2026'!H684)</f>
        <v/>
      </c>
      <c r="F684">
        <f>IF(ISBLANK('ENGAGEMENTS 2026'!B684),"",'ENGAGEMENTS 2026'!I684)</f>
        <v/>
      </c>
      <c r="G684">
        <f>IF(ISBLANK('ENGAGEMENTS 2026'!B684),"",'ENGAGEMENTS 2026'!L684)</f>
        <v/>
      </c>
      <c r="H684">
        <f>IF(ISBLANK('ENGAGEMENTS 2026'!B684),"",'ENGAGEMENTS 2026'!AE684)</f>
        <v/>
      </c>
      <c r="I684">
        <f>IF(ISBLANK('ENGAGEMENTS 2026'!B684),"",'ENGAGEMENTS 2026'!G684)</f>
        <v/>
      </c>
      <c r="J684" s="275">
        <f>IF(ISBLANK('ENGAGEMENTS 2026'!B684),"",IF(AND(OR($E684="INFRUCTUEUX",$E684="ANNULE"),$C684="AOO-M"),'ENGAGEMENTS 2026'!O684,IF($H684="EN COURS DE PREENGAGEMENT",'ENGAGEMENTS 2026'!N684,IF($H684="PREENGAGE",IF($E684="ATTRIBUE",'ENGAGEMENTS 2026'!AD684,'ENGAGEMENTS 2026'!N684),'ENGAGEMENTS 2026'!AD684))))</f>
        <v/>
      </c>
      <c r="K684" s="604">
        <f>IF(ISBLANK('ENGAGEMENTS 2026'!V684),"",'ENGAGEMENTS 2026'!V684)</f>
        <v/>
      </c>
      <c r="L684" s="276">
        <f>IF($K684="","",TODAY()-$K684)</f>
        <v/>
      </c>
      <c r="M684">
        <f>IF($A684="","",IF($H684="ENGAGE","Engagé",IF(AND($H684="NON ENGAGE",OR($I684="INFRUCTUEUX",$I684="ANNULE")),"Clôturé sans suite","En cours")))</f>
        <v/>
      </c>
      <c r="N684">
        <f>IF(ISBLANK('ENGAGEMENTS 2026'!B684),"",'ENGAGEMENTS 2026'!K684)</f>
        <v/>
      </c>
      <c r="O684">
        <f>IF(ISBLANK('ENGAGEMENTS 2026'!B684),"",'ENGAGEMENTS 2026'!L684)</f>
        <v/>
      </c>
      <c r="P684">
        <f>IF(ISBLANK('ENGAGEMENTS 2026'!B684),"",'ENGAGEMENTS 2026'!J684)</f>
        <v/>
      </c>
      <c r="Q684">
        <f>IF($A684="","",IF(OR($E684="INFRUCTUEUX",$E684="ANNULE"),$A684&amp;"|"&amp;(COUNTIFS($A$2:$A684,$A684,$E$2:$E684,"INFRUCTUEUX")+COUNTIFS($A$2:$A684,$A684,$E$2:$E684,"ANNULE")),""))</f>
        <v/>
      </c>
    </row>
    <row r="685">
      <c r="A685">
        <f>IF(ISBLANK('ENGAGEMENTS 2026'!B685),"",IF('ENGAGEMENTS 2026'!B685="DTSI","DCT",'ENGAGEMENTS 2026'!B685))</f>
        <v/>
      </c>
      <c r="B685">
        <f>IF(ISBLANK('ENGAGEMENTS 2026'!B685),"",'ENGAGEMENTS 2026'!C685)</f>
        <v/>
      </c>
      <c r="C685">
        <f>IF(ISBLANK('ENGAGEMENTS 2026'!B685),"",'ENGAGEMENTS 2026'!D685)</f>
        <v/>
      </c>
      <c r="D685">
        <f>IF(ISBLANK('ENGAGEMENTS 2026'!B685),"",'ENGAGEMENTS 2026'!F685)</f>
        <v/>
      </c>
      <c r="E685">
        <f>IF(ISBLANK('ENGAGEMENTS 2026'!B685),"",'ENGAGEMENTS 2026'!H685)</f>
        <v/>
      </c>
      <c r="F685">
        <f>IF(ISBLANK('ENGAGEMENTS 2026'!B685),"",'ENGAGEMENTS 2026'!I685)</f>
        <v/>
      </c>
      <c r="G685">
        <f>IF(ISBLANK('ENGAGEMENTS 2026'!B685),"",'ENGAGEMENTS 2026'!L685)</f>
        <v/>
      </c>
      <c r="H685">
        <f>IF(ISBLANK('ENGAGEMENTS 2026'!B685),"",'ENGAGEMENTS 2026'!AE685)</f>
        <v/>
      </c>
      <c r="I685">
        <f>IF(ISBLANK('ENGAGEMENTS 2026'!B685),"",'ENGAGEMENTS 2026'!G685)</f>
        <v/>
      </c>
      <c r="J685" s="275">
        <f>IF(ISBLANK('ENGAGEMENTS 2026'!B685),"",IF(AND(OR($E685="INFRUCTUEUX",$E685="ANNULE"),$C685="AOO-M"),'ENGAGEMENTS 2026'!O685,IF($H685="EN COURS DE PREENGAGEMENT",'ENGAGEMENTS 2026'!N685,IF($H685="PREENGAGE",IF($E685="ATTRIBUE",'ENGAGEMENTS 2026'!AD685,'ENGAGEMENTS 2026'!N685),'ENGAGEMENTS 2026'!AD685))))</f>
        <v/>
      </c>
      <c r="K685" s="604">
        <f>IF(ISBLANK('ENGAGEMENTS 2026'!V685),"",'ENGAGEMENTS 2026'!V685)</f>
        <v/>
      </c>
      <c r="L685" s="276">
        <f>IF($K685="","",TODAY()-$K685)</f>
        <v/>
      </c>
      <c r="M685">
        <f>IF($A685="","",IF($H685="ENGAGE","Engagé",IF(AND($H685="NON ENGAGE",OR($I685="INFRUCTUEUX",$I685="ANNULE")),"Clôturé sans suite","En cours")))</f>
        <v/>
      </c>
      <c r="N685">
        <f>IF(ISBLANK('ENGAGEMENTS 2026'!B685),"",'ENGAGEMENTS 2026'!K685)</f>
        <v/>
      </c>
      <c r="O685">
        <f>IF(ISBLANK('ENGAGEMENTS 2026'!B685),"",'ENGAGEMENTS 2026'!L685)</f>
        <v/>
      </c>
      <c r="P685">
        <f>IF(ISBLANK('ENGAGEMENTS 2026'!B685),"",'ENGAGEMENTS 2026'!J685)</f>
        <v/>
      </c>
      <c r="Q685">
        <f>IF($A685="","",IF(OR($E685="INFRUCTUEUX",$E685="ANNULE"),$A685&amp;"|"&amp;(COUNTIFS($A$2:$A685,$A685,$E$2:$E685,"INFRUCTUEUX")+COUNTIFS($A$2:$A685,$A685,$E$2:$E685,"ANNULE")),""))</f>
        <v/>
      </c>
    </row>
    <row r="686">
      <c r="A686">
        <f>IF(ISBLANK('ENGAGEMENTS 2026'!B686),"",IF('ENGAGEMENTS 2026'!B686="DTSI","DCT",'ENGAGEMENTS 2026'!B686))</f>
        <v/>
      </c>
      <c r="B686">
        <f>IF(ISBLANK('ENGAGEMENTS 2026'!B686),"",'ENGAGEMENTS 2026'!C686)</f>
        <v/>
      </c>
      <c r="C686">
        <f>IF(ISBLANK('ENGAGEMENTS 2026'!B686),"",'ENGAGEMENTS 2026'!D686)</f>
        <v/>
      </c>
      <c r="D686">
        <f>IF(ISBLANK('ENGAGEMENTS 2026'!B686),"",'ENGAGEMENTS 2026'!F686)</f>
        <v/>
      </c>
      <c r="E686">
        <f>IF(ISBLANK('ENGAGEMENTS 2026'!B686),"",'ENGAGEMENTS 2026'!H686)</f>
        <v/>
      </c>
      <c r="F686">
        <f>IF(ISBLANK('ENGAGEMENTS 2026'!B686),"",'ENGAGEMENTS 2026'!I686)</f>
        <v/>
      </c>
      <c r="G686">
        <f>IF(ISBLANK('ENGAGEMENTS 2026'!B686),"",'ENGAGEMENTS 2026'!L686)</f>
        <v/>
      </c>
      <c r="H686">
        <f>IF(ISBLANK('ENGAGEMENTS 2026'!B686),"",'ENGAGEMENTS 2026'!AE686)</f>
        <v/>
      </c>
      <c r="I686">
        <f>IF(ISBLANK('ENGAGEMENTS 2026'!B686),"",'ENGAGEMENTS 2026'!G686)</f>
        <v/>
      </c>
      <c r="J686" s="275">
        <f>IF(ISBLANK('ENGAGEMENTS 2026'!B686),"",IF(AND(OR($E686="INFRUCTUEUX",$E686="ANNULE"),$C686="AOO-M"),'ENGAGEMENTS 2026'!O686,IF($H686="EN COURS DE PREENGAGEMENT",'ENGAGEMENTS 2026'!N686,IF($H686="PREENGAGE",IF($E686="ATTRIBUE",'ENGAGEMENTS 2026'!AD686,'ENGAGEMENTS 2026'!N686),'ENGAGEMENTS 2026'!AD686))))</f>
        <v/>
      </c>
      <c r="K686" s="604">
        <f>IF(ISBLANK('ENGAGEMENTS 2026'!V686),"",'ENGAGEMENTS 2026'!V686)</f>
        <v/>
      </c>
      <c r="L686" s="276">
        <f>IF($K686="","",TODAY()-$K686)</f>
        <v/>
      </c>
      <c r="M686">
        <f>IF($A686="","",IF($H686="ENGAGE","Engagé",IF(AND($H686="NON ENGAGE",OR($I686="INFRUCTUEUX",$I686="ANNULE")),"Clôturé sans suite","En cours")))</f>
        <v/>
      </c>
      <c r="N686">
        <f>IF(ISBLANK('ENGAGEMENTS 2026'!B686),"",'ENGAGEMENTS 2026'!K686)</f>
        <v/>
      </c>
      <c r="O686">
        <f>IF(ISBLANK('ENGAGEMENTS 2026'!B686),"",'ENGAGEMENTS 2026'!L686)</f>
        <v/>
      </c>
      <c r="P686">
        <f>IF(ISBLANK('ENGAGEMENTS 2026'!B686),"",'ENGAGEMENTS 2026'!J686)</f>
        <v/>
      </c>
      <c r="Q686">
        <f>IF($A686="","",IF(OR($E686="INFRUCTUEUX",$E686="ANNULE"),$A686&amp;"|"&amp;(COUNTIFS($A$2:$A686,$A686,$E$2:$E686,"INFRUCTUEUX")+COUNTIFS($A$2:$A686,$A686,$E$2:$E686,"ANNULE")),""))</f>
        <v/>
      </c>
    </row>
    <row r="687">
      <c r="A687">
        <f>IF(ISBLANK('ENGAGEMENTS 2026'!B687),"",IF('ENGAGEMENTS 2026'!B687="DTSI","DCT",'ENGAGEMENTS 2026'!B687))</f>
        <v/>
      </c>
      <c r="B687">
        <f>IF(ISBLANK('ENGAGEMENTS 2026'!B687),"",'ENGAGEMENTS 2026'!C687)</f>
        <v/>
      </c>
      <c r="C687">
        <f>IF(ISBLANK('ENGAGEMENTS 2026'!B687),"",'ENGAGEMENTS 2026'!D687)</f>
        <v/>
      </c>
      <c r="D687">
        <f>IF(ISBLANK('ENGAGEMENTS 2026'!B687),"",'ENGAGEMENTS 2026'!F687)</f>
        <v/>
      </c>
      <c r="E687">
        <f>IF(ISBLANK('ENGAGEMENTS 2026'!B687),"",'ENGAGEMENTS 2026'!H687)</f>
        <v/>
      </c>
      <c r="F687">
        <f>IF(ISBLANK('ENGAGEMENTS 2026'!B687),"",'ENGAGEMENTS 2026'!I687)</f>
        <v/>
      </c>
      <c r="G687">
        <f>IF(ISBLANK('ENGAGEMENTS 2026'!B687),"",'ENGAGEMENTS 2026'!L687)</f>
        <v/>
      </c>
      <c r="H687">
        <f>IF(ISBLANK('ENGAGEMENTS 2026'!B687),"",'ENGAGEMENTS 2026'!AE687)</f>
        <v/>
      </c>
      <c r="I687">
        <f>IF(ISBLANK('ENGAGEMENTS 2026'!B687),"",'ENGAGEMENTS 2026'!G687)</f>
        <v/>
      </c>
      <c r="J687" s="275">
        <f>IF(ISBLANK('ENGAGEMENTS 2026'!B687),"",IF(AND(OR($E687="INFRUCTUEUX",$E687="ANNULE"),$C687="AOO-M"),'ENGAGEMENTS 2026'!O687,IF($H687="EN COURS DE PREENGAGEMENT",'ENGAGEMENTS 2026'!N687,IF($H687="PREENGAGE",IF($E687="ATTRIBUE",'ENGAGEMENTS 2026'!AD687,'ENGAGEMENTS 2026'!N687),'ENGAGEMENTS 2026'!AD687))))</f>
        <v/>
      </c>
      <c r="K687" s="604">
        <f>IF(ISBLANK('ENGAGEMENTS 2026'!V687),"",'ENGAGEMENTS 2026'!V687)</f>
        <v/>
      </c>
      <c r="L687" s="276">
        <f>IF($K687="","",TODAY()-$K687)</f>
        <v/>
      </c>
      <c r="M687">
        <f>IF($A687="","",IF($H687="ENGAGE","Engagé",IF(AND($H687="NON ENGAGE",OR($I687="INFRUCTUEUX",$I687="ANNULE")),"Clôturé sans suite","En cours")))</f>
        <v/>
      </c>
      <c r="N687">
        <f>IF(ISBLANK('ENGAGEMENTS 2026'!B687),"",'ENGAGEMENTS 2026'!K687)</f>
        <v/>
      </c>
      <c r="O687">
        <f>IF(ISBLANK('ENGAGEMENTS 2026'!B687),"",'ENGAGEMENTS 2026'!L687)</f>
        <v/>
      </c>
      <c r="P687">
        <f>IF(ISBLANK('ENGAGEMENTS 2026'!B687),"",'ENGAGEMENTS 2026'!J687)</f>
        <v/>
      </c>
      <c r="Q687">
        <f>IF($A687="","",IF(OR($E687="INFRUCTUEUX",$E687="ANNULE"),$A687&amp;"|"&amp;(COUNTIFS($A$2:$A687,$A687,$E$2:$E687,"INFRUCTUEUX")+COUNTIFS($A$2:$A687,$A687,$E$2:$E687,"ANNULE")),""))</f>
        <v/>
      </c>
    </row>
    <row r="688">
      <c r="A688">
        <f>IF(ISBLANK('ENGAGEMENTS 2026'!B688),"",IF('ENGAGEMENTS 2026'!B688="DTSI","DCT",'ENGAGEMENTS 2026'!B688))</f>
        <v/>
      </c>
      <c r="B688">
        <f>IF(ISBLANK('ENGAGEMENTS 2026'!B688),"",'ENGAGEMENTS 2026'!C688)</f>
        <v/>
      </c>
      <c r="C688">
        <f>IF(ISBLANK('ENGAGEMENTS 2026'!B688),"",'ENGAGEMENTS 2026'!D688)</f>
        <v/>
      </c>
      <c r="D688">
        <f>IF(ISBLANK('ENGAGEMENTS 2026'!B688),"",'ENGAGEMENTS 2026'!F688)</f>
        <v/>
      </c>
      <c r="E688">
        <f>IF(ISBLANK('ENGAGEMENTS 2026'!B688),"",'ENGAGEMENTS 2026'!H688)</f>
        <v/>
      </c>
      <c r="F688">
        <f>IF(ISBLANK('ENGAGEMENTS 2026'!B688),"",'ENGAGEMENTS 2026'!I688)</f>
        <v/>
      </c>
      <c r="G688">
        <f>IF(ISBLANK('ENGAGEMENTS 2026'!B688),"",'ENGAGEMENTS 2026'!L688)</f>
        <v/>
      </c>
      <c r="H688">
        <f>IF(ISBLANK('ENGAGEMENTS 2026'!B688),"",'ENGAGEMENTS 2026'!AE688)</f>
        <v/>
      </c>
      <c r="I688">
        <f>IF(ISBLANK('ENGAGEMENTS 2026'!B688),"",'ENGAGEMENTS 2026'!G688)</f>
        <v/>
      </c>
      <c r="J688" s="275">
        <f>IF(ISBLANK('ENGAGEMENTS 2026'!B688),"",IF(AND(OR($E688="INFRUCTUEUX",$E688="ANNULE"),$C688="AOO-M"),'ENGAGEMENTS 2026'!O688,IF($H688="EN COURS DE PREENGAGEMENT",'ENGAGEMENTS 2026'!N688,IF($H688="PREENGAGE",IF($E688="ATTRIBUE",'ENGAGEMENTS 2026'!AD688,'ENGAGEMENTS 2026'!N688),'ENGAGEMENTS 2026'!AD688))))</f>
        <v/>
      </c>
      <c r="K688" s="604">
        <f>IF(ISBLANK('ENGAGEMENTS 2026'!V688),"",'ENGAGEMENTS 2026'!V688)</f>
        <v/>
      </c>
      <c r="L688" s="276">
        <f>IF($K688="","",TODAY()-$K688)</f>
        <v/>
      </c>
      <c r="M688">
        <f>IF($A688="","",IF($H688="ENGAGE","Engagé",IF(AND($H688="NON ENGAGE",OR($I688="INFRUCTUEUX",$I688="ANNULE")),"Clôturé sans suite","En cours")))</f>
        <v/>
      </c>
      <c r="N688">
        <f>IF(ISBLANK('ENGAGEMENTS 2026'!B688),"",'ENGAGEMENTS 2026'!K688)</f>
        <v/>
      </c>
      <c r="O688">
        <f>IF(ISBLANK('ENGAGEMENTS 2026'!B688),"",'ENGAGEMENTS 2026'!L688)</f>
        <v/>
      </c>
      <c r="P688">
        <f>IF(ISBLANK('ENGAGEMENTS 2026'!B688),"",'ENGAGEMENTS 2026'!J688)</f>
        <v/>
      </c>
      <c r="Q688">
        <f>IF($A688="","",IF(OR($E688="INFRUCTUEUX",$E688="ANNULE"),$A688&amp;"|"&amp;(COUNTIFS($A$2:$A688,$A688,$E$2:$E688,"INFRUCTUEUX")+COUNTIFS($A$2:$A688,$A688,$E$2:$E688,"ANNULE")),""))</f>
        <v/>
      </c>
    </row>
    <row r="689">
      <c r="A689">
        <f>IF(ISBLANK('ENGAGEMENTS 2026'!B689),"",IF('ENGAGEMENTS 2026'!B689="DTSI","DCT",'ENGAGEMENTS 2026'!B689))</f>
        <v/>
      </c>
      <c r="B689">
        <f>IF(ISBLANK('ENGAGEMENTS 2026'!B689),"",'ENGAGEMENTS 2026'!C689)</f>
        <v/>
      </c>
      <c r="C689">
        <f>IF(ISBLANK('ENGAGEMENTS 2026'!B689),"",'ENGAGEMENTS 2026'!D689)</f>
        <v/>
      </c>
      <c r="D689">
        <f>IF(ISBLANK('ENGAGEMENTS 2026'!B689),"",'ENGAGEMENTS 2026'!F689)</f>
        <v/>
      </c>
      <c r="E689">
        <f>IF(ISBLANK('ENGAGEMENTS 2026'!B689),"",'ENGAGEMENTS 2026'!H689)</f>
        <v/>
      </c>
      <c r="F689">
        <f>IF(ISBLANK('ENGAGEMENTS 2026'!B689),"",'ENGAGEMENTS 2026'!I689)</f>
        <v/>
      </c>
      <c r="G689">
        <f>IF(ISBLANK('ENGAGEMENTS 2026'!B689),"",'ENGAGEMENTS 2026'!L689)</f>
        <v/>
      </c>
      <c r="H689">
        <f>IF(ISBLANK('ENGAGEMENTS 2026'!B689),"",'ENGAGEMENTS 2026'!AE689)</f>
        <v/>
      </c>
      <c r="I689">
        <f>IF(ISBLANK('ENGAGEMENTS 2026'!B689),"",'ENGAGEMENTS 2026'!G689)</f>
        <v/>
      </c>
      <c r="J689" s="275">
        <f>IF(ISBLANK('ENGAGEMENTS 2026'!B689),"",IF(AND(OR($E689="INFRUCTUEUX",$E689="ANNULE"),$C689="AOO-M"),'ENGAGEMENTS 2026'!O689,IF($H689="EN COURS DE PREENGAGEMENT",'ENGAGEMENTS 2026'!N689,IF($H689="PREENGAGE",IF($E689="ATTRIBUE",'ENGAGEMENTS 2026'!AD689,'ENGAGEMENTS 2026'!N689),'ENGAGEMENTS 2026'!AD689))))</f>
        <v/>
      </c>
      <c r="K689" s="604">
        <f>IF(ISBLANK('ENGAGEMENTS 2026'!V689),"",'ENGAGEMENTS 2026'!V689)</f>
        <v/>
      </c>
      <c r="L689" s="276">
        <f>IF($K689="","",TODAY()-$K689)</f>
        <v/>
      </c>
      <c r="M689">
        <f>IF($A689="","",IF($H689="ENGAGE","Engagé",IF(AND($H689="NON ENGAGE",OR($I689="INFRUCTUEUX",$I689="ANNULE")),"Clôturé sans suite","En cours")))</f>
        <v/>
      </c>
      <c r="N689">
        <f>IF(ISBLANK('ENGAGEMENTS 2026'!B689),"",'ENGAGEMENTS 2026'!K689)</f>
        <v/>
      </c>
      <c r="O689">
        <f>IF(ISBLANK('ENGAGEMENTS 2026'!B689),"",'ENGAGEMENTS 2026'!L689)</f>
        <v/>
      </c>
      <c r="P689">
        <f>IF(ISBLANK('ENGAGEMENTS 2026'!B689),"",'ENGAGEMENTS 2026'!J689)</f>
        <v/>
      </c>
      <c r="Q689">
        <f>IF($A689="","",IF(OR($E689="INFRUCTUEUX",$E689="ANNULE"),$A689&amp;"|"&amp;(COUNTIFS($A$2:$A689,$A689,$E$2:$E689,"INFRUCTUEUX")+COUNTIFS($A$2:$A689,$A689,$E$2:$E689,"ANNULE")),""))</f>
        <v/>
      </c>
    </row>
    <row r="690">
      <c r="A690">
        <f>IF(ISBLANK('ENGAGEMENTS 2026'!B690),"",IF('ENGAGEMENTS 2026'!B690="DTSI","DCT",'ENGAGEMENTS 2026'!B690))</f>
        <v/>
      </c>
      <c r="B690">
        <f>IF(ISBLANK('ENGAGEMENTS 2026'!B690),"",'ENGAGEMENTS 2026'!C690)</f>
        <v/>
      </c>
      <c r="C690">
        <f>IF(ISBLANK('ENGAGEMENTS 2026'!B690),"",'ENGAGEMENTS 2026'!D690)</f>
        <v/>
      </c>
      <c r="D690">
        <f>IF(ISBLANK('ENGAGEMENTS 2026'!B690),"",'ENGAGEMENTS 2026'!F690)</f>
        <v/>
      </c>
      <c r="E690">
        <f>IF(ISBLANK('ENGAGEMENTS 2026'!B690),"",'ENGAGEMENTS 2026'!H690)</f>
        <v/>
      </c>
      <c r="F690">
        <f>IF(ISBLANK('ENGAGEMENTS 2026'!B690),"",'ENGAGEMENTS 2026'!I690)</f>
        <v/>
      </c>
      <c r="G690">
        <f>IF(ISBLANK('ENGAGEMENTS 2026'!B690),"",'ENGAGEMENTS 2026'!L690)</f>
        <v/>
      </c>
      <c r="H690">
        <f>IF(ISBLANK('ENGAGEMENTS 2026'!B690),"",'ENGAGEMENTS 2026'!AE690)</f>
        <v/>
      </c>
      <c r="I690">
        <f>IF(ISBLANK('ENGAGEMENTS 2026'!B690),"",'ENGAGEMENTS 2026'!G690)</f>
        <v/>
      </c>
      <c r="J690" s="275">
        <f>IF(ISBLANK('ENGAGEMENTS 2026'!B690),"",IF(AND(OR($E690="INFRUCTUEUX",$E690="ANNULE"),$C690="AOO-M"),'ENGAGEMENTS 2026'!O690,IF($H690="EN COURS DE PREENGAGEMENT",'ENGAGEMENTS 2026'!N690,IF($H690="PREENGAGE",IF($E690="ATTRIBUE",'ENGAGEMENTS 2026'!AD690,'ENGAGEMENTS 2026'!N690),'ENGAGEMENTS 2026'!AD690))))</f>
        <v/>
      </c>
      <c r="K690" s="604">
        <f>IF(ISBLANK('ENGAGEMENTS 2026'!V690),"",'ENGAGEMENTS 2026'!V690)</f>
        <v/>
      </c>
      <c r="L690" s="276">
        <f>IF($K690="","",TODAY()-$K690)</f>
        <v/>
      </c>
      <c r="M690">
        <f>IF($A690="","",IF($H690="ENGAGE","Engagé",IF(AND($H690="NON ENGAGE",OR($I690="INFRUCTUEUX",$I690="ANNULE")),"Clôturé sans suite","En cours")))</f>
        <v/>
      </c>
      <c r="N690">
        <f>IF(ISBLANK('ENGAGEMENTS 2026'!B690),"",'ENGAGEMENTS 2026'!K690)</f>
        <v/>
      </c>
      <c r="O690">
        <f>IF(ISBLANK('ENGAGEMENTS 2026'!B690),"",'ENGAGEMENTS 2026'!L690)</f>
        <v/>
      </c>
      <c r="P690">
        <f>IF(ISBLANK('ENGAGEMENTS 2026'!B690),"",'ENGAGEMENTS 2026'!J690)</f>
        <v/>
      </c>
      <c r="Q690">
        <f>IF($A690="","",IF(OR($E690="INFRUCTUEUX",$E690="ANNULE"),$A690&amp;"|"&amp;(COUNTIFS($A$2:$A690,$A690,$E$2:$E690,"INFRUCTUEUX")+COUNTIFS($A$2:$A690,$A690,$E$2:$E690,"ANNULE")),""))</f>
        <v/>
      </c>
    </row>
    <row r="691">
      <c r="A691">
        <f>IF(ISBLANK('ENGAGEMENTS 2026'!B691),"",IF('ENGAGEMENTS 2026'!B691="DTSI","DCT",'ENGAGEMENTS 2026'!B691))</f>
        <v/>
      </c>
      <c r="B691">
        <f>IF(ISBLANK('ENGAGEMENTS 2026'!B691),"",'ENGAGEMENTS 2026'!C691)</f>
        <v/>
      </c>
      <c r="C691">
        <f>IF(ISBLANK('ENGAGEMENTS 2026'!B691),"",'ENGAGEMENTS 2026'!D691)</f>
        <v/>
      </c>
      <c r="D691">
        <f>IF(ISBLANK('ENGAGEMENTS 2026'!B691),"",'ENGAGEMENTS 2026'!F691)</f>
        <v/>
      </c>
      <c r="E691">
        <f>IF(ISBLANK('ENGAGEMENTS 2026'!B691),"",'ENGAGEMENTS 2026'!H691)</f>
        <v/>
      </c>
      <c r="F691">
        <f>IF(ISBLANK('ENGAGEMENTS 2026'!B691),"",'ENGAGEMENTS 2026'!I691)</f>
        <v/>
      </c>
      <c r="G691">
        <f>IF(ISBLANK('ENGAGEMENTS 2026'!B691),"",'ENGAGEMENTS 2026'!L691)</f>
        <v/>
      </c>
      <c r="H691">
        <f>IF(ISBLANK('ENGAGEMENTS 2026'!B691),"",'ENGAGEMENTS 2026'!AE691)</f>
        <v/>
      </c>
      <c r="I691">
        <f>IF(ISBLANK('ENGAGEMENTS 2026'!B691),"",'ENGAGEMENTS 2026'!G691)</f>
        <v/>
      </c>
      <c r="J691" s="275">
        <f>IF(ISBLANK('ENGAGEMENTS 2026'!B691),"",IF(AND(OR($E691="INFRUCTUEUX",$E691="ANNULE"),$C691="AOO-M"),'ENGAGEMENTS 2026'!O691,IF($H691="EN COURS DE PREENGAGEMENT",'ENGAGEMENTS 2026'!N691,IF($H691="PREENGAGE",IF($E691="ATTRIBUE",'ENGAGEMENTS 2026'!AD691,'ENGAGEMENTS 2026'!N691),'ENGAGEMENTS 2026'!AD691))))</f>
        <v/>
      </c>
      <c r="K691" s="604">
        <f>IF(ISBLANK('ENGAGEMENTS 2026'!V691),"",'ENGAGEMENTS 2026'!V691)</f>
        <v/>
      </c>
      <c r="L691" s="276">
        <f>IF($K691="","",TODAY()-$K691)</f>
        <v/>
      </c>
      <c r="M691">
        <f>IF($A691="","",IF($H691="ENGAGE","Engagé",IF(AND($H691="NON ENGAGE",OR($I691="INFRUCTUEUX",$I691="ANNULE")),"Clôturé sans suite","En cours")))</f>
        <v/>
      </c>
      <c r="N691">
        <f>IF(ISBLANK('ENGAGEMENTS 2026'!B691),"",'ENGAGEMENTS 2026'!K691)</f>
        <v/>
      </c>
      <c r="O691">
        <f>IF(ISBLANK('ENGAGEMENTS 2026'!B691),"",'ENGAGEMENTS 2026'!L691)</f>
        <v/>
      </c>
      <c r="P691">
        <f>IF(ISBLANK('ENGAGEMENTS 2026'!B691),"",'ENGAGEMENTS 2026'!J691)</f>
        <v/>
      </c>
      <c r="Q691">
        <f>IF($A691="","",IF(OR($E691="INFRUCTUEUX",$E691="ANNULE"),$A691&amp;"|"&amp;(COUNTIFS($A$2:$A691,$A691,$E$2:$E691,"INFRUCTUEUX")+COUNTIFS($A$2:$A691,$A691,$E$2:$E691,"ANNULE")),""))</f>
        <v/>
      </c>
    </row>
    <row r="692">
      <c r="A692">
        <f>IF(ISBLANK('ENGAGEMENTS 2026'!B692),"",IF('ENGAGEMENTS 2026'!B692="DTSI","DCT",'ENGAGEMENTS 2026'!B692))</f>
        <v/>
      </c>
      <c r="B692">
        <f>IF(ISBLANK('ENGAGEMENTS 2026'!B692),"",'ENGAGEMENTS 2026'!C692)</f>
        <v/>
      </c>
      <c r="C692">
        <f>IF(ISBLANK('ENGAGEMENTS 2026'!B692),"",'ENGAGEMENTS 2026'!D692)</f>
        <v/>
      </c>
      <c r="D692">
        <f>IF(ISBLANK('ENGAGEMENTS 2026'!B692),"",'ENGAGEMENTS 2026'!F692)</f>
        <v/>
      </c>
      <c r="E692">
        <f>IF(ISBLANK('ENGAGEMENTS 2026'!B692),"",'ENGAGEMENTS 2026'!H692)</f>
        <v/>
      </c>
      <c r="F692">
        <f>IF(ISBLANK('ENGAGEMENTS 2026'!B692),"",'ENGAGEMENTS 2026'!I692)</f>
        <v/>
      </c>
      <c r="G692">
        <f>IF(ISBLANK('ENGAGEMENTS 2026'!B692),"",'ENGAGEMENTS 2026'!L692)</f>
        <v/>
      </c>
      <c r="H692">
        <f>IF(ISBLANK('ENGAGEMENTS 2026'!B692),"",'ENGAGEMENTS 2026'!AE692)</f>
        <v/>
      </c>
      <c r="I692">
        <f>IF(ISBLANK('ENGAGEMENTS 2026'!B692),"",'ENGAGEMENTS 2026'!G692)</f>
        <v/>
      </c>
      <c r="J692" s="275">
        <f>IF(ISBLANK('ENGAGEMENTS 2026'!B692),"",IF(AND(OR($E692="INFRUCTUEUX",$E692="ANNULE"),$C692="AOO-M"),'ENGAGEMENTS 2026'!O692,IF($H692="EN COURS DE PREENGAGEMENT",'ENGAGEMENTS 2026'!N692,IF($H692="PREENGAGE",IF($E692="ATTRIBUE",'ENGAGEMENTS 2026'!AD692,'ENGAGEMENTS 2026'!N692),'ENGAGEMENTS 2026'!AD692))))</f>
        <v/>
      </c>
      <c r="K692" s="604">
        <f>IF(ISBLANK('ENGAGEMENTS 2026'!V692),"",'ENGAGEMENTS 2026'!V692)</f>
        <v/>
      </c>
      <c r="L692" s="276">
        <f>IF($K692="","",TODAY()-$K692)</f>
        <v/>
      </c>
      <c r="M692">
        <f>IF($A692="","",IF($H692="ENGAGE","Engagé",IF(AND($H692="NON ENGAGE",OR($I692="INFRUCTUEUX",$I692="ANNULE")),"Clôturé sans suite","En cours")))</f>
        <v/>
      </c>
      <c r="N692">
        <f>IF(ISBLANK('ENGAGEMENTS 2026'!B692),"",'ENGAGEMENTS 2026'!K692)</f>
        <v/>
      </c>
      <c r="O692">
        <f>IF(ISBLANK('ENGAGEMENTS 2026'!B692),"",'ENGAGEMENTS 2026'!L692)</f>
        <v/>
      </c>
      <c r="P692">
        <f>IF(ISBLANK('ENGAGEMENTS 2026'!B692),"",'ENGAGEMENTS 2026'!J692)</f>
        <v/>
      </c>
      <c r="Q692">
        <f>IF($A692="","",IF(OR($E692="INFRUCTUEUX",$E692="ANNULE"),$A692&amp;"|"&amp;(COUNTIFS($A$2:$A692,$A692,$E$2:$E692,"INFRUCTUEUX")+COUNTIFS($A$2:$A692,$A692,$E$2:$E692,"ANNULE")),""))</f>
        <v/>
      </c>
    </row>
    <row r="693">
      <c r="A693">
        <f>IF(ISBLANK('ENGAGEMENTS 2026'!B693),"",IF('ENGAGEMENTS 2026'!B693="DTSI","DCT",'ENGAGEMENTS 2026'!B693))</f>
        <v/>
      </c>
      <c r="B693">
        <f>IF(ISBLANK('ENGAGEMENTS 2026'!B693),"",'ENGAGEMENTS 2026'!C693)</f>
        <v/>
      </c>
      <c r="C693">
        <f>IF(ISBLANK('ENGAGEMENTS 2026'!B693),"",'ENGAGEMENTS 2026'!D693)</f>
        <v/>
      </c>
      <c r="D693">
        <f>IF(ISBLANK('ENGAGEMENTS 2026'!B693),"",'ENGAGEMENTS 2026'!F693)</f>
        <v/>
      </c>
      <c r="E693">
        <f>IF(ISBLANK('ENGAGEMENTS 2026'!B693),"",'ENGAGEMENTS 2026'!H693)</f>
        <v/>
      </c>
      <c r="F693">
        <f>IF(ISBLANK('ENGAGEMENTS 2026'!B693),"",'ENGAGEMENTS 2026'!I693)</f>
        <v/>
      </c>
      <c r="G693">
        <f>IF(ISBLANK('ENGAGEMENTS 2026'!B693),"",'ENGAGEMENTS 2026'!L693)</f>
        <v/>
      </c>
      <c r="H693">
        <f>IF(ISBLANK('ENGAGEMENTS 2026'!B693),"",'ENGAGEMENTS 2026'!AE693)</f>
        <v/>
      </c>
      <c r="I693">
        <f>IF(ISBLANK('ENGAGEMENTS 2026'!B693),"",'ENGAGEMENTS 2026'!G693)</f>
        <v/>
      </c>
      <c r="J693" s="275">
        <f>IF(ISBLANK('ENGAGEMENTS 2026'!B693),"",IF(AND(OR($E693="INFRUCTUEUX",$E693="ANNULE"),$C693="AOO-M"),'ENGAGEMENTS 2026'!O693,IF($H693="EN COURS DE PREENGAGEMENT",'ENGAGEMENTS 2026'!N693,IF($H693="PREENGAGE",IF($E693="ATTRIBUE",'ENGAGEMENTS 2026'!AD693,'ENGAGEMENTS 2026'!N693),'ENGAGEMENTS 2026'!AD693))))</f>
        <v/>
      </c>
      <c r="K693" s="604">
        <f>IF(ISBLANK('ENGAGEMENTS 2026'!V693),"",'ENGAGEMENTS 2026'!V693)</f>
        <v/>
      </c>
      <c r="L693" s="276">
        <f>IF($K693="","",TODAY()-$K693)</f>
        <v/>
      </c>
      <c r="M693">
        <f>IF($A693="","",IF($H693="ENGAGE","Engagé",IF(AND($H693="NON ENGAGE",OR($I693="INFRUCTUEUX",$I693="ANNULE")),"Clôturé sans suite","En cours")))</f>
        <v/>
      </c>
      <c r="N693">
        <f>IF(ISBLANK('ENGAGEMENTS 2026'!B693),"",'ENGAGEMENTS 2026'!K693)</f>
        <v/>
      </c>
      <c r="O693">
        <f>IF(ISBLANK('ENGAGEMENTS 2026'!B693),"",'ENGAGEMENTS 2026'!L693)</f>
        <v/>
      </c>
      <c r="P693">
        <f>IF(ISBLANK('ENGAGEMENTS 2026'!B693),"",'ENGAGEMENTS 2026'!J693)</f>
        <v/>
      </c>
      <c r="Q693">
        <f>IF($A693="","",IF(OR($E693="INFRUCTUEUX",$E693="ANNULE"),$A693&amp;"|"&amp;(COUNTIFS($A$2:$A693,$A693,$E$2:$E693,"INFRUCTUEUX")+COUNTIFS($A$2:$A693,$A693,$E$2:$E693,"ANNULE")),""))</f>
        <v/>
      </c>
    </row>
    <row r="694">
      <c r="A694">
        <f>IF(ISBLANK('ENGAGEMENTS 2026'!B694),"",IF('ENGAGEMENTS 2026'!B694="DTSI","DCT",'ENGAGEMENTS 2026'!B694))</f>
        <v/>
      </c>
      <c r="B694">
        <f>IF(ISBLANK('ENGAGEMENTS 2026'!B694),"",'ENGAGEMENTS 2026'!C694)</f>
        <v/>
      </c>
      <c r="C694">
        <f>IF(ISBLANK('ENGAGEMENTS 2026'!B694),"",'ENGAGEMENTS 2026'!D694)</f>
        <v/>
      </c>
      <c r="D694">
        <f>IF(ISBLANK('ENGAGEMENTS 2026'!B694),"",'ENGAGEMENTS 2026'!F694)</f>
        <v/>
      </c>
      <c r="E694">
        <f>IF(ISBLANK('ENGAGEMENTS 2026'!B694),"",'ENGAGEMENTS 2026'!H694)</f>
        <v/>
      </c>
      <c r="F694">
        <f>IF(ISBLANK('ENGAGEMENTS 2026'!B694),"",'ENGAGEMENTS 2026'!I694)</f>
        <v/>
      </c>
      <c r="G694">
        <f>IF(ISBLANK('ENGAGEMENTS 2026'!B694),"",'ENGAGEMENTS 2026'!L694)</f>
        <v/>
      </c>
      <c r="H694">
        <f>IF(ISBLANK('ENGAGEMENTS 2026'!B694),"",'ENGAGEMENTS 2026'!AE694)</f>
        <v/>
      </c>
      <c r="I694">
        <f>IF(ISBLANK('ENGAGEMENTS 2026'!B694),"",'ENGAGEMENTS 2026'!G694)</f>
        <v/>
      </c>
      <c r="J694" s="275">
        <f>IF(ISBLANK('ENGAGEMENTS 2026'!B694),"",IF(AND(OR($E694="INFRUCTUEUX",$E694="ANNULE"),$C694="AOO-M"),'ENGAGEMENTS 2026'!O694,IF($H694="EN COURS DE PREENGAGEMENT",'ENGAGEMENTS 2026'!N694,IF($H694="PREENGAGE",IF($E694="ATTRIBUE",'ENGAGEMENTS 2026'!AD694,'ENGAGEMENTS 2026'!N694),'ENGAGEMENTS 2026'!AD694))))</f>
        <v/>
      </c>
      <c r="K694" s="604">
        <f>IF(ISBLANK('ENGAGEMENTS 2026'!V694),"",'ENGAGEMENTS 2026'!V694)</f>
        <v/>
      </c>
      <c r="L694" s="276">
        <f>IF($K694="","",TODAY()-$K694)</f>
        <v/>
      </c>
      <c r="M694">
        <f>IF($A694="","",IF($H694="ENGAGE","Engagé",IF(AND($H694="NON ENGAGE",OR($I694="INFRUCTUEUX",$I694="ANNULE")),"Clôturé sans suite","En cours")))</f>
        <v/>
      </c>
      <c r="N694">
        <f>IF(ISBLANK('ENGAGEMENTS 2026'!B694),"",'ENGAGEMENTS 2026'!K694)</f>
        <v/>
      </c>
      <c r="O694">
        <f>IF(ISBLANK('ENGAGEMENTS 2026'!B694),"",'ENGAGEMENTS 2026'!L694)</f>
        <v/>
      </c>
      <c r="P694">
        <f>IF(ISBLANK('ENGAGEMENTS 2026'!B694),"",'ENGAGEMENTS 2026'!J694)</f>
        <v/>
      </c>
      <c r="Q694">
        <f>IF($A694="","",IF(OR($E694="INFRUCTUEUX",$E694="ANNULE"),$A694&amp;"|"&amp;(COUNTIFS($A$2:$A694,$A694,$E$2:$E694,"INFRUCTUEUX")+COUNTIFS($A$2:$A694,$A694,$E$2:$E694,"ANNULE")),""))</f>
        <v/>
      </c>
    </row>
    <row r="695">
      <c r="A695">
        <f>IF(ISBLANK('ENGAGEMENTS 2026'!B695),"",IF('ENGAGEMENTS 2026'!B695="DTSI","DCT",'ENGAGEMENTS 2026'!B695))</f>
        <v/>
      </c>
      <c r="B695">
        <f>IF(ISBLANK('ENGAGEMENTS 2026'!B695),"",'ENGAGEMENTS 2026'!C695)</f>
        <v/>
      </c>
      <c r="C695">
        <f>IF(ISBLANK('ENGAGEMENTS 2026'!B695),"",'ENGAGEMENTS 2026'!D695)</f>
        <v/>
      </c>
      <c r="D695">
        <f>IF(ISBLANK('ENGAGEMENTS 2026'!B695),"",'ENGAGEMENTS 2026'!F695)</f>
        <v/>
      </c>
      <c r="E695">
        <f>IF(ISBLANK('ENGAGEMENTS 2026'!B695),"",'ENGAGEMENTS 2026'!H695)</f>
        <v/>
      </c>
      <c r="F695">
        <f>IF(ISBLANK('ENGAGEMENTS 2026'!B695),"",'ENGAGEMENTS 2026'!I695)</f>
        <v/>
      </c>
      <c r="G695">
        <f>IF(ISBLANK('ENGAGEMENTS 2026'!B695),"",'ENGAGEMENTS 2026'!L695)</f>
        <v/>
      </c>
      <c r="H695">
        <f>IF(ISBLANK('ENGAGEMENTS 2026'!B695),"",'ENGAGEMENTS 2026'!AE695)</f>
        <v/>
      </c>
      <c r="I695">
        <f>IF(ISBLANK('ENGAGEMENTS 2026'!B695),"",'ENGAGEMENTS 2026'!G695)</f>
        <v/>
      </c>
      <c r="J695" s="275">
        <f>IF(ISBLANK('ENGAGEMENTS 2026'!B695),"",IF(AND(OR($E695="INFRUCTUEUX",$E695="ANNULE"),$C695="AOO-M"),'ENGAGEMENTS 2026'!O695,IF($H695="EN COURS DE PREENGAGEMENT",'ENGAGEMENTS 2026'!N695,IF($H695="PREENGAGE",IF($E695="ATTRIBUE",'ENGAGEMENTS 2026'!AD695,'ENGAGEMENTS 2026'!N695),'ENGAGEMENTS 2026'!AD695))))</f>
        <v/>
      </c>
      <c r="K695" s="604">
        <f>IF(ISBLANK('ENGAGEMENTS 2026'!V695),"",'ENGAGEMENTS 2026'!V695)</f>
        <v/>
      </c>
      <c r="L695" s="276">
        <f>IF($K695="","",TODAY()-$K695)</f>
        <v/>
      </c>
      <c r="M695">
        <f>IF($A695="","",IF($H695="ENGAGE","Engagé",IF(AND($H695="NON ENGAGE",OR($I695="INFRUCTUEUX",$I695="ANNULE")),"Clôturé sans suite","En cours")))</f>
        <v/>
      </c>
      <c r="N695">
        <f>IF(ISBLANK('ENGAGEMENTS 2026'!B695),"",'ENGAGEMENTS 2026'!K695)</f>
        <v/>
      </c>
      <c r="O695">
        <f>IF(ISBLANK('ENGAGEMENTS 2026'!B695),"",'ENGAGEMENTS 2026'!L695)</f>
        <v/>
      </c>
      <c r="P695">
        <f>IF(ISBLANK('ENGAGEMENTS 2026'!B695),"",'ENGAGEMENTS 2026'!J695)</f>
        <v/>
      </c>
      <c r="Q695">
        <f>IF($A695="","",IF(OR($E695="INFRUCTUEUX",$E695="ANNULE"),$A695&amp;"|"&amp;(COUNTIFS($A$2:$A695,$A695,$E$2:$E695,"INFRUCTUEUX")+COUNTIFS($A$2:$A695,$A695,$E$2:$E695,"ANNULE")),""))</f>
        <v/>
      </c>
    </row>
    <row r="696">
      <c r="A696">
        <f>IF(ISBLANK('ENGAGEMENTS 2026'!B696),"",IF('ENGAGEMENTS 2026'!B696="DTSI","DCT",'ENGAGEMENTS 2026'!B696))</f>
        <v/>
      </c>
      <c r="B696">
        <f>IF(ISBLANK('ENGAGEMENTS 2026'!B696),"",'ENGAGEMENTS 2026'!C696)</f>
        <v/>
      </c>
      <c r="C696">
        <f>IF(ISBLANK('ENGAGEMENTS 2026'!B696),"",'ENGAGEMENTS 2026'!D696)</f>
        <v/>
      </c>
      <c r="D696">
        <f>IF(ISBLANK('ENGAGEMENTS 2026'!B696),"",'ENGAGEMENTS 2026'!F696)</f>
        <v/>
      </c>
      <c r="E696">
        <f>IF(ISBLANK('ENGAGEMENTS 2026'!B696),"",'ENGAGEMENTS 2026'!H696)</f>
        <v/>
      </c>
      <c r="F696">
        <f>IF(ISBLANK('ENGAGEMENTS 2026'!B696),"",'ENGAGEMENTS 2026'!I696)</f>
        <v/>
      </c>
      <c r="G696">
        <f>IF(ISBLANK('ENGAGEMENTS 2026'!B696),"",'ENGAGEMENTS 2026'!L696)</f>
        <v/>
      </c>
      <c r="H696">
        <f>IF(ISBLANK('ENGAGEMENTS 2026'!B696),"",'ENGAGEMENTS 2026'!AE696)</f>
        <v/>
      </c>
      <c r="I696">
        <f>IF(ISBLANK('ENGAGEMENTS 2026'!B696),"",'ENGAGEMENTS 2026'!G696)</f>
        <v/>
      </c>
      <c r="J696" s="275">
        <f>IF(ISBLANK('ENGAGEMENTS 2026'!B696),"",IF(AND(OR($E696="INFRUCTUEUX",$E696="ANNULE"),$C696="AOO-M"),'ENGAGEMENTS 2026'!O696,IF($H696="EN COURS DE PREENGAGEMENT",'ENGAGEMENTS 2026'!N696,IF($H696="PREENGAGE",IF($E696="ATTRIBUE",'ENGAGEMENTS 2026'!AD696,'ENGAGEMENTS 2026'!N696),'ENGAGEMENTS 2026'!AD696))))</f>
        <v/>
      </c>
      <c r="K696" s="604">
        <f>IF(ISBLANK('ENGAGEMENTS 2026'!V696),"",'ENGAGEMENTS 2026'!V696)</f>
        <v/>
      </c>
      <c r="L696" s="276">
        <f>IF($K696="","",TODAY()-$K696)</f>
        <v/>
      </c>
      <c r="M696">
        <f>IF($A696="","",IF($H696="ENGAGE","Engagé",IF(AND($H696="NON ENGAGE",OR($I696="INFRUCTUEUX",$I696="ANNULE")),"Clôturé sans suite","En cours")))</f>
        <v/>
      </c>
      <c r="N696">
        <f>IF(ISBLANK('ENGAGEMENTS 2026'!B696),"",'ENGAGEMENTS 2026'!K696)</f>
        <v/>
      </c>
      <c r="O696">
        <f>IF(ISBLANK('ENGAGEMENTS 2026'!B696),"",'ENGAGEMENTS 2026'!L696)</f>
        <v/>
      </c>
      <c r="P696">
        <f>IF(ISBLANK('ENGAGEMENTS 2026'!B696),"",'ENGAGEMENTS 2026'!J696)</f>
        <v/>
      </c>
      <c r="Q696">
        <f>IF($A696="","",IF(OR($E696="INFRUCTUEUX",$E696="ANNULE"),$A696&amp;"|"&amp;(COUNTIFS($A$2:$A696,$A696,$E$2:$E696,"INFRUCTUEUX")+COUNTIFS($A$2:$A696,$A696,$E$2:$E696,"ANNULE")),""))</f>
        <v/>
      </c>
    </row>
    <row r="697">
      <c r="A697">
        <f>IF(ISBLANK('ENGAGEMENTS 2026'!B697),"",IF('ENGAGEMENTS 2026'!B697="DTSI","DCT",'ENGAGEMENTS 2026'!B697))</f>
        <v/>
      </c>
      <c r="B697">
        <f>IF(ISBLANK('ENGAGEMENTS 2026'!B697),"",'ENGAGEMENTS 2026'!C697)</f>
        <v/>
      </c>
      <c r="C697">
        <f>IF(ISBLANK('ENGAGEMENTS 2026'!B697),"",'ENGAGEMENTS 2026'!D697)</f>
        <v/>
      </c>
      <c r="D697">
        <f>IF(ISBLANK('ENGAGEMENTS 2026'!B697),"",'ENGAGEMENTS 2026'!F697)</f>
        <v/>
      </c>
      <c r="E697">
        <f>IF(ISBLANK('ENGAGEMENTS 2026'!B697),"",'ENGAGEMENTS 2026'!H697)</f>
        <v/>
      </c>
      <c r="F697">
        <f>IF(ISBLANK('ENGAGEMENTS 2026'!B697),"",'ENGAGEMENTS 2026'!I697)</f>
        <v/>
      </c>
      <c r="G697">
        <f>IF(ISBLANK('ENGAGEMENTS 2026'!B697),"",'ENGAGEMENTS 2026'!L697)</f>
        <v/>
      </c>
      <c r="H697">
        <f>IF(ISBLANK('ENGAGEMENTS 2026'!B697),"",'ENGAGEMENTS 2026'!AE697)</f>
        <v/>
      </c>
      <c r="I697">
        <f>IF(ISBLANK('ENGAGEMENTS 2026'!B697),"",'ENGAGEMENTS 2026'!G697)</f>
        <v/>
      </c>
      <c r="J697" s="275">
        <f>IF(ISBLANK('ENGAGEMENTS 2026'!B697),"",IF(AND(OR($E697="INFRUCTUEUX",$E697="ANNULE"),$C697="AOO-M"),'ENGAGEMENTS 2026'!O697,IF($H697="EN COURS DE PREENGAGEMENT",'ENGAGEMENTS 2026'!N697,IF($H697="PREENGAGE",IF($E697="ATTRIBUE",'ENGAGEMENTS 2026'!AD697,'ENGAGEMENTS 2026'!N697),'ENGAGEMENTS 2026'!AD697))))</f>
        <v/>
      </c>
      <c r="K697" s="604">
        <f>IF(ISBLANK('ENGAGEMENTS 2026'!V697),"",'ENGAGEMENTS 2026'!V697)</f>
        <v/>
      </c>
      <c r="L697" s="276">
        <f>IF($K697="","",TODAY()-$K697)</f>
        <v/>
      </c>
      <c r="M697">
        <f>IF($A697="","",IF($H697="ENGAGE","Engagé",IF(AND($H697="NON ENGAGE",OR($I697="INFRUCTUEUX",$I697="ANNULE")),"Clôturé sans suite","En cours")))</f>
        <v/>
      </c>
      <c r="N697">
        <f>IF(ISBLANK('ENGAGEMENTS 2026'!B697),"",'ENGAGEMENTS 2026'!K697)</f>
        <v/>
      </c>
      <c r="O697">
        <f>IF(ISBLANK('ENGAGEMENTS 2026'!B697),"",'ENGAGEMENTS 2026'!L697)</f>
        <v/>
      </c>
      <c r="P697">
        <f>IF(ISBLANK('ENGAGEMENTS 2026'!B697),"",'ENGAGEMENTS 2026'!J697)</f>
        <v/>
      </c>
      <c r="Q697">
        <f>IF($A697="","",IF(OR($E697="INFRUCTUEUX",$E697="ANNULE"),$A697&amp;"|"&amp;(COUNTIFS($A$2:$A697,$A697,$E$2:$E697,"INFRUCTUEUX")+COUNTIFS($A$2:$A697,$A697,$E$2:$E697,"ANNULE")),""))</f>
        <v/>
      </c>
    </row>
    <row r="698">
      <c r="A698">
        <f>IF(ISBLANK('ENGAGEMENTS 2026'!B698),"",IF('ENGAGEMENTS 2026'!B698="DTSI","DCT",'ENGAGEMENTS 2026'!B698))</f>
        <v/>
      </c>
      <c r="B698">
        <f>IF(ISBLANK('ENGAGEMENTS 2026'!B698),"",'ENGAGEMENTS 2026'!C698)</f>
        <v/>
      </c>
      <c r="C698">
        <f>IF(ISBLANK('ENGAGEMENTS 2026'!B698),"",'ENGAGEMENTS 2026'!D698)</f>
        <v/>
      </c>
      <c r="D698">
        <f>IF(ISBLANK('ENGAGEMENTS 2026'!B698),"",'ENGAGEMENTS 2026'!F698)</f>
        <v/>
      </c>
      <c r="E698">
        <f>IF(ISBLANK('ENGAGEMENTS 2026'!B698),"",'ENGAGEMENTS 2026'!H698)</f>
        <v/>
      </c>
      <c r="F698">
        <f>IF(ISBLANK('ENGAGEMENTS 2026'!B698),"",'ENGAGEMENTS 2026'!I698)</f>
        <v/>
      </c>
      <c r="G698">
        <f>IF(ISBLANK('ENGAGEMENTS 2026'!B698),"",'ENGAGEMENTS 2026'!L698)</f>
        <v/>
      </c>
      <c r="H698">
        <f>IF(ISBLANK('ENGAGEMENTS 2026'!B698),"",'ENGAGEMENTS 2026'!AE698)</f>
        <v/>
      </c>
      <c r="I698">
        <f>IF(ISBLANK('ENGAGEMENTS 2026'!B698),"",'ENGAGEMENTS 2026'!G698)</f>
        <v/>
      </c>
      <c r="J698" s="275">
        <f>IF(ISBLANK('ENGAGEMENTS 2026'!B698),"",IF(AND(OR($E698="INFRUCTUEUX",$E698="ANNULE"),$C698="AOO-M"),'ENGAGEMENTS 2026'!O698,IF($H698="EN COURS DE PREENGAGEMENT",'ENGAGEMENTS 2026'!N698,IF($H698="PREENGAGE",IF($E698="ATTRIBUE",'ENGAGEMENTS 2026'!AD698,'ENGAGEMENTS 2026'!N698),'ENGAGEMENTS 2026'!AD698))))</f>
        <v/>
      </c>
      <c r="K698" s="604">
        <f>IF(ISBLANK('ENGAGEMENTS 2026'!V698),"",'ENGAGEMENTS 2026'!V698)</f>
        <v/>
      </c>
      <c r="L698" s="276">
        <f>IF($K698="","",TODAY()-$K698)</f>
        <v/>
      </c>
      <c r="M698">
        <f>IF($A698="","",IF($H698="ENGAGE","Engagé",IF(AND($H698="NON ENGAGE",OR($I698="INFRUCTUEUX",$I698="ANNULE")),"Clôturé sans suite","En cours")))</f>
        <v/>
      </c>
      <c r="N698">
        <f>IF(ISBLANK('ENGAGEMENTS 2026'!B698),"",'ENGAGEMENTS 2026'!K698)</f>
        <v/>
      </c>
      <c r="O698">
        <f>IF(ISBLANK('ENGAGEMENTS 2026'!B698),"",'ENGAGEMENTS 2026'!L698)</f>
        <v/>
      </c>
      <c r="P698">
        <f>IF(ISBLANK('ENGAGEMENTS 2026'!B698),"",'ENGAGEMENTS 2026'!J698)</f>
        <v/>
      </c>
      <c r="Q698">
        <f>IF($A698="","",IF(OR($E698="INFRUCTUEUX",$E698="ANNULE"),$A698&amp;"|"&amp;(COUNTIFS($A$2:$A698,$A698,$E$2:$E698,"INFRUCTUEUX")+COUNTIFS($A$2:$A698,$A698,$E$2:$E698,"ANNULE")),""))</f>
        <v/>
      </c>
    </row>
    <row r="699">
      <c r="A699">
        <f>IF(ISBLANK('ENGAGEMENTS 2026'!B699),"",IF('ENGAGEMENTS 2026'!B699="DTSI","DCT",'ENGAGEMENTS 2026'!B699))</f>
        <v/>
      </c>
      <c r="B699">
        <f>IF(ISBLANK('ENGAGEMENTS 2026'!B699),"",'ENGAGEMENTS 2026'!C699)</f>
        <v/>
      </c>
      <c r="C699">
        <f>IF(ISBLANK('ENGAGEMENTS 2026'!B699),"",'ENGAGEMENTS 2026'!D699)</f>
        <v/>
      </c>
      <c r="D699">
        <f>IF(ISBLANK('ENGAGEMENTS 2026'!B699),"",'ENGAGEMENTS 2026'!F699)</f>
        <v/>
      </c>
      <c r="E699">
        <f>IF(ISBLANK('ENGAGEMENTS 2026'!B699),"",'ENGAGEMENTS 2026'!H699)</f>
        <v/>
      </c>
      <c r="F699">
        <f>IF(ISBLANK('ENGAGEMENTS 2026'!B699),"",'ENGAGEMENTS 2026'!I699)</f>
        <v/>
      </c>
      <c r="G699">
        <f>IF(ISBLANK('ENGAGEMENTS 2026'!B699),"",'ENGAGEMENTS 2026'!L699)</f>
        <v/>
      </c>
      <c r="H699">
        <f>IF(ISBLANK('ENGAGEMENTS 2026'!B699),"",'ENGAGEMENTS 2026'!AE699)</f>
        <v/>
      </c>
      <c r="I699">
        <f>IF(ISBLANK('ENGAGEMENTS 2026'!B699),"",'ENGAGEMENTS 2026'!G699)</f>
        <v/>
      </c>
      <c r="J699" s="275">
        <f>IF(ISBLANK('ENGAGEMENTS 2026'!B699),"",IF(AND(OR($E699="INFRUCTUEUX",$E699="ANNULE"),$C699="AOO-M"),'ENGAGEMENTS 2026'!O699,IF($H699="EN COURS DE PREENGAGEMENT",'ENGAGEMENTS 2026'!N699,IF($H699="PREENGAGE",IF($E699="ATTRIBUE",'ENGAGEMENTS 2026'!AD699,'ENGAGEMENTS 2026'!N699),'ENGAGEMENTS 2026'!AD699))))</f>
        <v/>
      </c>
      <c r="K699" s="604">
        <f>IF(ISBLANK('ENGAGEMENTS 2026'!V699),"",'ENGAGEMENTS 2026'!V699)</f>
        <v/>
      </c>
      <c r="L699" s="276">
        <f>IF($K699="","",TODAY()-$K699)</f>
        <v/>
      </c>
      <c r="M699">
        <f>IF($A699="","",IF($H699="ENGAGE","Engagé",IF(AND($H699="NON ENGAGE",OR($I699="INFRUCTUEUX",$I699="ANNULE")),"Clôturé sans suite","En cours")))</f>
        <v/>
      </c>
      <c r="N699">
        <f>IF(ISBLANK('ENGAGEMENTS 2026'!B699),"",'ENGAGEMENTS 2026'!K699)</f>
        <v/>
      </c>
      <c r="O699">
        <f>IF(ISBLANK('ENGAGEMENTS 2026'!B699),"",'ENGAGEMENTS 2026'!L699)</f>
        <v/>
      </c>
      <c r="P699">
        <f>IF(ISBLANK('ENGAGEMENTS 2026'!B699),"",'ENGAGEMENTS 2026'!J699)</f>
        <v/>
      </c>
      <c r="Q699">
        <f>IF($A699="","",IF(OR($E699="INFRUCTUEUX",$E699="ANNULE"),$A699&amp;"|"&amp;(COUNTIFS($A$2:$A699,$A699,$E$2:$E699,"INFRUCTUEUX")+COUNTIFS($A$2:$A699,$A699,$E$2:$E699,"ANNULE")),""))</f>
        <v/>
      </c>
    </row>
    <row r="700">
      <c r="A700">
        <f>IF(ISBLANK('ENGAGEMENTS 2026'!B700),"",IF('ENGAGEMENTS 2026'!B700="DTSI","DCT",'ENGAGEMENTS 2026'!B700))</f>
        <v/>
      </c>
      <c r="B700">
        <f>IF(ISBLANK('ENGAGEMENTS 2026'!B700),"",'ENGAGEMENTS 2026'!C700)</f>
        <v/>
      </c>
      <c r="C700">
        <f>IF(ISBLANK('ENGAGEMENTS 2026'!B700),"",'ENGAGEMENTS 2026'!D700)</f>
        <v/>
      </c>
      <c r="D700">
        <f>IF(ISBLANK('ENGAGEMENTS 2026'!B700),"",'ENGAGEMENTS 2026'!F700)</f>
        <v/>
      </c>
      <c r="E700">
        <f>IF(ISBLANK('ENGAGEMENTS 2026'!B700),"",'ENGAGEMENTS 2026'!H700)</f>
        <v/>
      </c>
      <c r="F700">
        <f>IF(ISBLANK('ENGAGEMENTS 2026'!B700),"",'ENGAGEMENTS 2026'!I700)</f>
        <v/>
      </c>
      <c r="G700">
        <f>IF(ISBLANK('ENGAGEMENTS 2026'!B700),"",'ENGAGEMENTS 2026'!L700)</f>
        <v/>
      </c>
      <c r="H700">
        <f>IF(ISBLANK('ENGAGEMENTS 2026'!B700),"",'ENGAGEMENTS 2026'!AE700)</f>
        <v/>
      </c>
      <c r="I700">
        <f>IF(ISBLANK('ENGAGEMENTS 2026'!B700),"",'ENGAGEMENTS 2026'!G700)</f>
        <v/>
      </c>
      <c r="J700" s="275">
        <f>IF(ISBLANK('ENGAGEMENTS 2026'!B700),"",IF(AND(OR($E700="INFRUCTUEUX",$E700="ANNULE"),$C700="AOO-M"),'ENGAGEMENTS 2026'!O700,IF($H700="EN COURS DE PREENGAGEMENT",'ENGAGEMENTS 2026'!N700,IF($H700="PREENGAGE",IF($E700="ATTRIBUE",'ENGAGEMENTS 2026'!AD700,'ENGAGEMENTS 2026'!N700),'ENGAGEMENTS 2026'!AD700))))</f>
        <v/>
      </c>
      <c r="K700" s="604">
        <f>IF(ISBLANK('ENGAGEMENTS 2026'!V700),"",'ENGAGEMENTS 2026'!V700)</f>
        <v/>
      </c>
      <c r="L700" s="276">
        <f>IF($K700="","",TODAY()-$K700)</f>
        <v/>
      </c>
      <c r="M700">
        <f>IF($A700="","",IF($H700="ENGAGE","Engagé",IF(AND($H700="NON ENGAGE",OR($I700="INFRUCTUEUX",$I700="ANNULE")),"Clôturé sans suite","En cours")))</f>
        <v/>
      </c>
      <c r="N700">
        <f>IF(ISBLANK('ENGAGEMENTS 2026'!B700),"",'ENGAGEMENTS 2026'!K700)</f>
        <v/>
      </c>
      <c r="O700">
        <f>IF(ISBLANK('ENGAGEMENTS 2026'!B700),"",'ENGAGEMENTS 2026'!L700)</f>
        <v/>
      </c>
      <c r="P700">
        <f>IF(ISBLANK('ENGAGEMENTS 2026'!B700),"",'ENGAGEMENTS 2026'!J700)</f>
        <v/>
      </c>
      <c r="Q700">
        <f>IF($A700="","",IF(OR($E700="INFRUCTUEUX",$E700="ANNULE"),$A700&amp;"|"&amp;(COUNTIFS($A$2:$A700,$A700,$E$2:$E700,"INFRUCTUEUX")+COUNTIFS($A$2:$A700,$A700,$E$2:$E700,"ANNULE")),""))</f>
        <v/>
      </c>
    </row>
    <row r="701">
      <c r="A701">
        <f>IF(ISBLANK('ENGAGEMENTS 2026'!B701),"",IF('ENGAGEMENTS 2026'!B701="DTSI","DCT",'ENGAGEMENTS 2026'!B701))</f>
        <v/>
      </c>
      <c r="B701">
        <f>IF(ISBLANK('ENGAGEMENTS 2026'!B701),"",'ENGAGEMENTS 2026'!C701)</f>
        <v/>
      </c>
      <c r="C701">
        <f>IF(ISBLANK('ENGAGEMENTS 2026'!B701),"",'ENGAGEMENTS 2026'!D701)</f>
        <v/>
      </c>
      <c r="D701">
        <f>IF(ISBLANK('ENGAGEMENTS 2026'!B701),"",'ENGAGEMENTS 2026'!F701)</f>
        <v/>
      </c>
      <c r="E701">
        <f>IF(ISBLANK('ENGAGEMENTS 2026'!B701),"",'ENGAGEMENTS 2026'!H701)</f>
        <v/>
      </c>
      <c r="F701">
        <f>IF(ISBLANK('ENGAGEMENTS 2026'!B701),"",'ENGAGEMENTS 2026'!I701)</f>
        <v/>
      </c>
      <c r="G701">
        <f>IF(ISBLANK('ENGAGEMENTS 2026'!B701),"",'ENGAGEMENTS 2026'!L701)</f>
        <v/>
      </c>
      <c r="H701">
        <f>IF(ISBLANK('ENGAGEMENTS 2026'!B701),"",'ENGAGEMENTS 2026'!AE701)</f>
        <v/>
      </c>
      <c r="I701">
        <f>IF(ISBLANK('ENGAGEMENTS 2026'!B701),"",'ENGAGEMENTS 2026'!G701)</f>
        <v/>
      </c>
      <c r="J701" s="275">
        <f>IF(ISBLANK('ENGAGEMENTS 2026'!B701),"",IF(AND(OR($E701="INFRUCTUEUX",$E701="ANNULE"),$C701="AOO-M"),'ENGAGEMENTS 2026'!O701,IF($H701="EN COURS DE PREENGAGEMENT",'ENGAGEMENTS 2026'!N701,IF($H701="PREENGAGE",IF($E701="ATTRIBUE",'ENGAGEMENTS 2026'!AD701,'ENGAGEMENTS 2026'!N701),'ENGAGEMENTS 2026'!AD701))))</f>
        <v/>
      </c>
      <c r="K701" s="604">
        <f>IF(ISBLANK('ENGAGEMENTS 2026'!V701),"",'ENGAGEMENTS 2026'!V701)</f>
        <v/>
      </c>
      <c r="L701" s="276">
        <f>IF($K701="","",TODAY()-$K701)</f>
        <v/>
      </c>
      <c r="M701">
        <f>IF($A701="","",IF($H701="ENGAGE","Engagé",IF(AND($H701="NON ENGAGE",OR($I701="INFRUCTUEUX",$I701="ANNULE")),"Clôturé sans suite","En cours")))</f>
        <v/>
      </c>
      <c r="N701">
        <f>IF(ISBLANK('ENGAGEMENTS 2026'!B701),"",'ENGAGEMENTS 2026'!K701)</f>
        <v/>
      </c>
      <c r="O701">
        <f>IF(ISBLANK('ENGAGEMENTS 2026'!B701),"",'ENGAGEMENTS 2026'!L701)</f>
        <v/>
      </c>
      <c r="P701">
        <f>IF(ISBLANK('ENGAGEMENTS 2026'!B701),"",'ENGAGEMENTS 2026'!J701)</f>
        <v/>
      </c>
      <c r="Q701">
        <f>IF($A701="","",IF(OR($E701="INFRUCTUEUX",$E701="ANNULE"),$A701&amp;"|"&amp;(COUNTIFS($A$2:$A701,$A701,$E$2:$E701,"INFRUCTUEUX")+COUNTIFS($A$2:$A701,$A701,$E$2:$E701,"ANNULE")),""))</f>
        <v/>
      </c>
    </row>
    <row r="702">
      <c r="A702">
        <f>IF(ISBLANK('ENGAGEMENTS 2026'!B702),"",IF('ENGAGEMENTS 2026'!B702="DTSI","DCT",'ENGAGEMENTS 2026'!B702))</f>
        <v/>
      </c>
      <c r="B702">
        <f>IF(ISBLANK('ENGAGEMENTS 2026'!B702),"",'ENGAGEMENTS 2026'!C702)</f>
        <v/>
      </c>
      <c r="C702">
        <f>IF(ISBLANK('ENGAGEMENTS 2026'!B702),"",'ENGAGEMENTS 2026'!D702)</f>
        <v/>
      </c>
      <c r="D702">
        <f>IF(ISBLANK('ENGAGEMENTS 2026'!B702),"",'ENGAGEMENTS 2026'!F702)</f>
        <v/>
      </c>
      <c r="E702">
        <f>IF(ISBLANK('ENGAGEMENTS 2026'!B702),"",'ENGAGEMENTS 2026'!H702)</f>
        <v/>
      </c>
      <c r="F702">
        <f>IF(ISBLANK('ENGAGEMENTS 2026'!B702),"",'ENGAGEMENTS 2026'!I702)</f>
        <v/>
      </c>
      <c r="G702">
        <f>IF(ISBLANK('ENGAGEMENTS 2026'!B702),"",'ENGAGEMENTS 2026'!L702)</f>
        <v/>
      </c>
      <c r="H702">
        <f>IF(ISBLANK('ENGAGEMENTS 2026'!B702),"",'ENGAGEMENTS 2026'!AE702)</f>
        <v/>
      </c>
      <c r="I702">
        <f>IF(ISBLANK('ENGAGEMENTS 2026'!B702),"",'ENGAGEMENTS 2026'!G702)</f>
        <v/>
      </c>
      <c r="J702" s="275">
        <f>IF(ISBLANK('ENGAGEMENTS 2026'!B702),"",IF(AND(OR($E702="INFRUCTUEUX",$E702="ANNULE"),$C702="AOO-M"),'ENGAGEMENTS 2026'!O702,IF($H702="EN COURS DE PREENGAGEMENT",'ENGAGEMENTS 2026'!N702,IF($H702="PREENGAGE",IF($E702="ATTRIBUE",'ENGAGEMENTS 2026'!AD702,'ENGAGEMENTS 2026'!N702),'ENGAGEMENTS 2026'!AD702))))</f>
        <v/>
      </c>
      <c r="K702" s="604">
        <f>IF(ISBLANK('ENGAGEMENTS 2026'!V702),"",'ENGAGEMENTS 2026'!V702)</f>
        <v/>
      </c>
      <c r="L702" s="276">
        <f>IF($K702="","",TODAY()-$K702)</f>
        <v/>
      </c>
      <c r="M702">
        <f>IF($A702="","",IF($H702="ENGAGE","Engagé",IF(AND($H702="NON ENGAGE",OR($I702="INFRUCTUEUX",$I702="ANNULE")),"Clôturé sans suite","En cours")))</f>
        <v/>
      </c>
      <c r="N702">
        <f>IF(ISBLANK('ENGAGEMENTS 2026'!B702),"",'ENGAGEMENTS 2026'!K702)</f>
        <v/>
      </c>
      <c r="O702">
        <f>IF(ISBLANK('ENGAGEMENTS 2026'!B702),"",'ENGAGEMENTS 2026'!L702)</f>
        <v/>
      </c>
      <c r="P702">
        <f>IF(ISBLANK('ENGAGEMENTS 2026'!B702),"",'ENGAGEMENTS 2026'!J702)</f>
        <v/>
      </c>
      <c r="Q702">
        <f>IF($A702="","",IF(OR($E702="INFRUCTUEUX",$E702="ANNULE"),$A702&amp;"|"&amp;(COUNTIFS($A$2:$A702,$A702,$E$2:$E702,"INFRUCTUEUX")+COUNTIFS($A$2:$A702,$A702,$E$2:$E702,"ANNULE")),""))</f>
        <v/>
      </c>
    </row>
    <row r="703">
      <c r="A703">
        <f>IF(ISBLANK('ENGAGEMENTS 2026'!B703),"",IF('ENGAGEMENTS 2026'!B703="DTSI","DCT",'ENGAGEMENTS 2026'!B703))</f>
        <v/>
      </c>
      <c r="B703">
        <f>IF(ISBLANK('ENGAGEMENTS 2026'!B703),"",'ENGAGEMENTS 2026'!C703)</f>
        <v/>
      </c>
      <c r="C703">
        <f>IF(ISBLANK('ENGAGEMENTS 2026'!B703),"",'ENGAGEMENTS 2026'!D703)</f>
        <v/>
      </c>
      <c r="D703">
        <f>IF(ISBLANK('ENGAGEMENTS 2026'!B703),"",'ENGAGEMENTS 2026'!F703)</f>
        <v/>
      </c>
      <c r="E703">
        <f>IF(ISBLANK('ENGAGEMENTS 2026'!B703),"",'ENGAGEMENTS 2026'!H703)</f>
        <v/>
      </c>
      <c r="F703">
        <f>IF(ISBLANK('ENGAGEMENTS 2026'!B703),"",'ENGAGEMENTS 2026'!I703)</f>
        <v/>
      </c>
      <c r="G703">
        <f>IF(ISBLANK('ENGAGEMENTS 2026'!B703),"",'ENGAGEMENTS 2026'!L703)</f>
        <v/>
      </c>
      <c r="H703">
        <f>IF(ISBLANK('ENGAGEMENTS 2026'!B703),"",'ENGAGEMENTS 2026'!AE703)</f>
        <v/>
      </c>
      <c r="I703">
        <f>IF(ISBLANK('ENGAGEMENTS 2026'!B703),"",'ENGAGEMENTS 2026'!G703)</f>
        <v/>
      </c>
      <c r="J703" s="275">
        <f>IF(ISBLANK('ENGAGEMENTS 2026'!B703),"",IF(AND(OR($E703="INFRUCTUEUX",$E703="ANNULE"),$C703="AOO-M"),'ENGAGEMENTS 2026'!O703,IF($H703="EN COURS DE PREENGAGEMENT",'ENGAGEMENTS 2026'!N703,IF($H703="PREENGAGE",IF($E703="ATTRIBUE",'ENGAGEMENTS 2026'!AD703,'ENGAGEMENTS 2026'!N703),'ENGAGEMENTS 2026'!AD703))))</f>
        <v/>
      </c>
      <c r="K703" s="604">
        <f>IF(ISBLANK('ENGAGEMENTS 2026'!V703),"",'ENGAGEMENTS 2026'!V703)</f>
        <v/>
      </c>
      <c r="L703" s="276">
        <f>IF($K703="","",TODAY()-$K703)</f>
        <v/>
      </c>
      <c r="M703">
        <f>IF($A703="","",IF($H703="ENGAGE","Engagé",IF(AND($H703="NON ENGAGE",OR($I703="INFRUCTUEUX",$I703="ANNULE")),"Clôturé sans suite","En cours")))</f>
        <v/>
      </c>
      <c r="N703">
        <f>IF(ISBLANK('ENGAGEMENTS 2026'!B703),"",'ENGAGEMENTS 2026'!K703)</f>
        <v/>
      </c>
      <c r="O703">
        <f>IF(ISBLANK('ENGAGEMENTS 2026'!B703),"",'ENGAGEMENTS 2026'!L703)</f>
        <v/>
      </c>
      <c r="P703">
        <f>IF(ISBLANK('ENGAGEMENTS 2026'!B703),"",'ENGAGEMENTS 2026'!J703)</f>
        <v/>
      </c>
      <c r="Q703">
        <f>IF($A703="","",IF(OR($E703="INFRUCTUEUX",$E703="ANNULE"),$A703&amp;"|"&amp;(COUNTIFS($A$2:$A703,$A703,$E$2:$E703,"INFRUCTUEUX")+COUNTIFS($A$2:$A703,$A703,$E$2:$E703,"ANNULE")),""))</f>
        <v/>
      </c>
    </row>
    <row r="704">
      <c r="A704">
        <f>IF(ISBLANK('ENGAGEMENTS 2026'!B704),"",IF('ENGAGEMENTS 2026'!B704="DTSI","DCT",'ENGAGEMENTS 2026'!B704))</f>
        <v/>
      </c>
      <c r="B704">
        <f>IF(ISBLANK('ENGAGEMENTS 2026'!B704),"",'ENGAGEMENTS 2026'!C704)</f>
        <v/>
      </c>
      <c r="C704">
        <f>IF(ISBLANK('ENGAGEMENTS 2026'!B704),"",'ENGAGEMENTS 2026'!D704)</f>
        <v/>
      </c>
      <c r="D704">
        <f>IF(ISBLANK('ENGAGEMENTS 2026'!B704),"",'ENGAGEMENTS 2026'!F704)</f>
        <v/>
      </c>
      <c r="E704">
        <f>IF(ISBLANK('ENGAGEMENTS 2026'!B704),"",'ENGAGEMENTS 2026'!H704)</f>
        <v/>
      </c>
      <c r="F704">
        <f>IF(ISBLANK('ENGAGEMENTS 2026'!B704),"",'ENGAGEMENTS 2026'!I704)</f>
        <v/>
      </c>
      <c r="G704">
        <f>IF(ISBLANK('ENGAGEMENTS 2026'!B704),"",'ENGAGEMENTS 2026'!L704)</f>
        <v/>
      </c>
      <c r="H704">
        <f>IF(ISBLANK('ENGAGEMENTS 2026'!B704),"",'ENGAGEMENTS 2026'!AE704)</f>
        <v/>
      </c>
      <c r="I704">
        <f>IF(ISBLANK('ENGAGEMENTS 2026'!B704),"",'ENGAGEMENTS 2026'!G704)</f>
        <v/>
      </c>
      <c r="J704" s="275">
        <f>IF(ISBLANK('ENGAGEMENTS 2026'!B704),"",IF(AND(OR($E704="INFRUCTUEUX",$E704="ANNULE"),$C704="AOO-M"),'ENGAGEMENTS 2026'!O704,IF($H704="EN COURS DE PREENGAGEMENT",'ENGAGEMENTS 2026'!N704,IF($H704="PREENGAGE",IF($E704="ATTRIBUE",'ENGAGEMENTS 2026'!AD704,'ENGAGEMENTS 2026'!N704),'ENGAGEMENTS 2026'!AD704))))</f>
        <v/>
      </c>
      <c r="K704" s="604">
        <f>IF(ISBLANK('ENGAGEMENTS 2026'!V704),"",'ENGAGEMENTS 2026'!V704)</f>
        <v/>
      </c>
      <c r="L704" s="276">
        <f>IF($K704="","",TODAY()-$K704)</f>
        <v/>
      </c>
      <c r="M704">
        <f>IF($A704="","",IF($H704="ENGAGE","Engagé",IF(AND($H704="NON ENGAGE",OR($I704="INFRUCTUEUX",$I704="ANNULE")),"Clôturé sans suite","En cours")))</f>
        <v/>
      </c>
      <c r="N704">
        <f>IF(ISBLANK('ENGAGEMENTS 2026'!B704),"",'ENGAGEMENTS 2026'!K704)</f>
        <v/>
      </c>
      <c r="O704">
        <f>IF(ISBLANK('ENGAGEMENTS 2026'!B704),"",'ENGAGEMENTS 2026'!L704)</f>
        <v/>
      </c>
      <c r="P704">
        <f>IF(ISBLANK('ENGAGEMENTS 2026'!B704),"",'ENGAGEMENTS 2026'!J704)</f>
        <v/>
      </c>
      <c r="Q704">
        <f>IF($A704="","",IF(OR($E704="INFRUCTUEUX",$E704="ANNULE"),$A704&amp;"|"&amp;(COUNTIFS($A$2:$A704,$A704,$E$2:$E704,"INFRUCTUEUX")+COUNTIFS($A$2:$A704,$A704,$E$2:$E704,"ANNULE")),""))</f>
        <v/>
      </c>
    </row>
    <row r="705">
      <c r="A705">
        <f>IF(ISBLANK('ENGAGEMENTS 2026'!B705),"",IF('ENGAGEMENTS 2026'!B705="DTSI","DCT",'ENGAGEMENTS 2026'!B705))</f>
        <v/>
      </c>
      <c r="B705">
        <f>IF(ISBLANK('ENGAGEMENTS 2026'!B705),"",'ENGAGEMENTS 2026'!C705)</f>
        <v/>
      </c>
      <c r="C705">
        <f>IF(ISBLANK('ENGAGEMENTS 2026'!B705),"",'ENGAGEMENTS 2026'!D705)</f>
        <v/>
      </c>
      <c r="D705">
        <f>IF(ISBLANK('ENGAGEMENTS 2026'!B705),"",'ENGAGEMENTS 2026'!F705)</f>
        <v/>
      </c>
      <c r="E705">
        <f>IF(ISBLANK('ENGAGEMENTS 2026'!B705),"",'ENGAGEMENTS 2026'!H705)</f>
        <v/>
      </c>
      <c r="F705">
        <f>IF(ISBLANK('ENGAGEMENTS 2026'!B705),"",'ENGAGEMENTS 2026'!I705)</f>
        <v/>
      </c>
      <c r="G705">
        <f>IF(ISBLANK('ENGAGEMENTS 2026'!B705),"",'ENGAGEMENTS 2026'!L705)</f>
        <v/>
      </c>
      <c r="H705">
        <f>IF(ISBLANK('ENGAGEMENTS 2026'!B705),"",'ENGAGEMENTS 2026'!AE705)</f>
        <v/>
      </c>
      <c r="I705">
        <f>IF(ISBLANK('ENGAGEMENTS 2026'!B705),"",'ENGAGEMENTS 2026'!G705)</f>
        <v/>
      </c>
      <c r="J705" s="275">
        <f>IF(ISBLANK('ENGAGEMENTS 2026'!B705),"",IF(AND(OR($E705="INFRUCTUEUX",$E705="ANNULE"),$C705="AOO-M"),'ENGAGEMENTS 2026'!O705,IF($H705="EN COURS DE PREENGAGEMENT",'ENGAGEMENTS 2026'!N705,IF($H705="PREENGAGE",IF($E705="ATTRIBUE",'ENGAGEMENTS 2026'!AD705,'ENGAGEMENTS 2026'!N705),'ENGAGEMENTS 2026'!AD705))))</f>
        <v/>
      </c>
      <c r="K705" s="604">
        <f>IF(ISBLANK('ENGAGEMENTS 2026'!V705),"",'ENGAGEMENTS 2026'!V705)</f>
        <v/>
      </c>
      <c r="L705" s="276">
        <f>IF($K705="","",TODAY()-$K705)</f>
        <v/>
      </c>
      <c r="M705">
        <f>IF($A705="","",IF($H705="ENGAGE","Engagé",IF(AND($H705="NON ENGAGE",OR($I705="INFRUCTUEUX",$I705="ANNULE")),"Clôturé sans suite","En cours")))</f>
        <v/>
      </c>
      <c r="N705">
        <f>IF(ISBLANK('ENGAGEMENTS 2026'!B705),"",'ENGAGEMENTS 2026'!K705)</f>
        <v/>
      </c>
      <c r="O705">
        <f>IF(ISBLANK('ENGAGEMENTS 2026'!B705),"",'ENGAGEMENTS 2026'!L705)</f>
        <v/>
      </c>
      <c r="P705">
        <f>IF(ISBLANK('ENGAGEMENTS 2026'!B705),"",'ENGAGEMENTS 2026'!J705)</f>
        <v/>
      </c>
      <c r="Q705">
        <f>IF($A705="","",IF(OR($E705="INFRUCTUEUX",$E705="ANNULE"),$A705&amp;"|"&amp;(COUNTIFS($A$2:$A705,$A705,$E$2:$E705,"INFRUCTUEUX")+COUNTIFS($A$2:$A705,$A705,$E$2:$E705,"ANNULE")),""))</f>
        <v/>
      </c>
    </row>
    <row r="706">
      <c r="A706">
        <f>IF(ISBLANK('ENGAGEMENTS 2026'!B706),"",IF('ENGAGEMENTS 2026'!B706="DTSI","DCT",'ENGAGEMENTS 2026'!B706))</f>
        <v/>
      </c>
      <c r="B706">
        <f>IF(ISBLANK('ENGAGEMENTS 2026'!B706),"",'ENGAGEMENTS 2026'!C706)</f>
        <v/>
      </c>
      <c r="C706">
        <f>IF(ISBLANK('ENGAGEMENTS 2026'!B706),"",'ENGAGEMENTS 2026'!D706)</f>
        <v/>
      </c>
      <c r="D706">
        <f>IF(ISBLANK('ENGAGEMENTS 2026'!B706),"",'ENGAGEMENTS 2026'!F706)</f>
        <v/>
      </c>
      <c r="E706">
        <f>IF(ISBLANK('ENGAGEMENTS 2026'!B706),"",'ENGAGEMENTS 2026'!H706)</f>
        <v/>
      </c>
      <c r="F706">
        <f>IF(ISBLANK('ENGAGEMENTS 2026'!B706),"",'ENGAGEMENTS 2026'!I706)</f>
        <v/>
      </c>
      <c r="G706">
        <f>IF(ISBLANK('ENGAGEMENTS 2026'!B706),"",'ENGAGEMENTS 2026'!L706)</f>
        <v/>
      </c>
      <c r="H706">
        <f>IF(ISBLANK('ENGAGEMENTS 2026'!B706),"",'ENGAGEMENTS 2026'!AE706)</f>
        <v/>
      </c>
      <c r="I706">
        <f>IF(ISBLANK('ENGAGEMENTS 2026'!B706),"",'ENGAGEMENTS 2026'!G706)</f>
        <v/>
      </c>
      <c r="J706" s="275">
        <f>IF(ISBLANK('ENGAGEMENTS 2026'!B706),"",IF(AND(OR($E706="INFRUCTUEUX",$E706="ANNULE"),$C706="AOO-M"),'ENGAGEMENTS 2026'!O706,IF($H706="EN COURS DE PREENGAGEMENT",'ENGAGEMENTS 2026'!N706,IF($H706="PREENGAGE",IF($E706="ATTRIBUE",'ENGAGEMENTS 2026'!AD706,'ENGAGEMENTS 2026'!N706),'ENGAGEMENTS 2026'!AD706))))</f>
        <v/>
      </c>
      <c r="K706" s="604">
        <f>IF(ISBLANK('ENGAGEMENTS 2026'!V706),"",'ENGAGEMENTS 2026'!V706)</f>
        <v/>
      </c>
      <c r="L706" s="276">
        <f>IF($K706="","",TODAY()-$K706)</f>
        <v/>
      </c>
      <c r="M706">
        <f>IF($A706="","",IF($H706="ENGAGE","Engagé",IF(AND($H706="NON ENGAGE",OR($I706="INFRUCTUEUX",$I706="ANNULE")),"Clôturé sans suite","En cours")))</f>
        <v/>
      </c>
      <c r="N706">
        <f>IF(ISBLANK('ENGAGEMENTS 2026'!B706),"",'ENGAGEMENTS 2026'!K706)</f>
        <v/>
      </c>
      <c r="O706">
        <f>IF(ISBLANK('ENGAGEMENTS 2026'!B706),"",'ENGAGEMENTS 2026'!L706)</f>
        <v/>
      </c>
      <c r="P706">
        <f>IF(ISBLANK('ENGAGEMENTS 2026'!B706),"",'ENGAGEMENTS 2026'!J706)</f>
        <v/>
      </c>
      <c r="Q706">
        <f>IF($A706="","",IF(OR($E706="INFRUCTUEUX",$E706="ANNULE"),$A706&amp;"|"&amp;(COUNTIFS($A$2:$A706,$A706,$E$2:$E706,"INFRUCTUEUX")+COUNTIFS($A$2:$A706,$A706,$E$2:$E706,"ANNULE")),""))</f>
        <v/>
      </c>
    </row>
    <row r="707">
      <c r="A707">
        <f>IF(ISBLANK('ENGAGEMENTS 2026'!B707),"",IF('ENGAGEMENTS 2026'!B707="DTSI","DCT",'ENGAGEMENTS 2026'!B707))</f>
        <v/>
      </c>
      <c r="B707">
        <f>IF(ISBLANK('ENGAGEMENTS 2026'!B707),"",'ENGAGEMENTS 2026'!C707)</f>
        <v/>
      </c>
      <c r="C707">
        <f>IF(ISBLANK('ENGAGEMENTS 2026'!B707),"",'ENGAGEMENTS 2026'!D707)</f>
        <v/>
      </c>
      <c r="D707">
        <f>IF(ISBLANK('ENGAGEMENTS 2026'!B707),"",'ENGAGEMENTS 2026'!F707)</f>
        <v/>
      </c>
      <c r="E707">
        <f>IF(ISBLANK('ENGAGEMENTS 2026'!B707),"",'ENGAGEMENTS 2026'!H707)</f>
        <v/>
      </c>
      <c r="F707">
        <f>IF(ISBLANK('ENGAGEMENTS 2026'!B707),"",'ENGAGEMENTS 2026'!I707)</f>
        <v/>
      </c>
      <c r="G707">
        <f>IF(ISBLANK('ENGAGEMENTS 2026'!B707),"",'ENGAGEMENTS 2026'!L707)</f>
        <v/>
      </c>
      <c r="H707">
        <f>IF(ISBLANK('ENGAGEMENTS 2026'!B707),"",'ENGAGEMENTS 2026'!AE707)</f>
        <v/>
      </c>
      <c r="I707">
        <f>IF(ISBLANK('ENGAGEMENTS 2026'!B707),"",'ENGAGEMENTS 2026'!G707)</f>
        <v/>
      </c>
      <c r="J707" s="275">
        <f>IF(ISBLANK('ENGAGEMENTS 2026'!B707),"",IF(AND(OR($E707="INFRUCTUEUX",$E707="ANNULE"),$C707="AOO-M"),'ENGAGEMENTS 2026'!O707,IF($H707="EN COURS DE PREENGAGEMENT",'ENGAGEMENTS 2026'!N707,IF($H707="PREENGAGE",IF($E707="ATTRIBUE",'ENGAGEMENTS 2026'!AD707,'ENGAGEMENTS 2026'!N707),'ENGAGEMENTS 2026'!AD707))))</f>
        <v/>
      </c>
      <c r="K707" s="604">
        <f>IF(ISBLANK('ENGAGEMENTS 2026'!V707),"",'ENGAGEMENTS 2026'!V707)</f>
        <v/>
      </c>
      <c r="L707" s="276">
        <f>IF($K707="","",TODAY()-$K707)</f>
        <v/>
      </c>
      <c r="M707">
        <f>IF($A707="","",IF($H707="ENGAGE","Engagé",IF(AND($H707="NON ENGAGE",OR($I707="INFRUCTUEUX",$I707="ANNULE")),"Clôturé sans suite","En cours")))</f>
        <v/>
      </c>
      <c r="N707">
        <f>IF(ISBLANK('ENGAGEMENTS 2026'!B707),"",'ENGAGEMENTS 2026'!K707)</f>
        <v/>
      </c>
      <c r="O707">
        <f>IF(ISBLANK('ENGAGEMENTS 2026'!B707),"",'ENGAGEMENTS 2026'!L707)</f>
        <v/>
      </c>
      <c r="P707">
        <f>IF(ISBLANK('ENGAGEMENTS 2026'!B707),"",'ENGAGEMENTS 2026'!J707)</f>
        <v/>
      </c>
      <c r="Q707">
        <f>IF($A707="","",IF(OR($E707="INFRUCTUEUX",$E707="ANNULE"),$A707&amp;"|"&amp;(COUNTIFS($A$2:$A707,$A707,$E$2:$E707,"INFRUCTUEUX")+COUNTIFS($A$2:$A707,$A707,$E$2:$E707,"ANNULE")),""))</f>
        <v/>
      </c>
    </row>
    <row r="708">
      <c r="A708">
        <f>IF(ISBLANK('ENGAGEMENTS 2026'!B708),"",IF('ENGAGEMENTS 2026'!B708="DTSI","DCT",'ENGAGEMENTS 2026'!B708))</f>
        <v/>
      </c>
      <c r="B708">
        <f>IF(ISBLANK('ENGAGEMENTS 2026'!B708),"",'ENGAGEMENTS 2026'!C708)</f>
        <v/>
      </c>
      <c r="C708">
        <f>IF(ISBLANK('ENGAGEMENTS 2026'!B708),"",'ENGAGEMENTS 2026'!D708)</f>
        <v/>
      </c>
      <c r="D708">
        <f>IF(ISBLANK('ENGAGEMENTS 2026'!B708),"",'ENGAGEMENTS 2026'!F708)</f>
        <v/>
      </c>
      <c r="E708">
        <f>IF(ISBLANK('ENGAGEMENTS 2026'!B708),"",'ENGAGEMENTS 2026'!H708)</f>
        <v/>
      </c>
      <c r="F708">
        <f>IF(ISBLANK('ENGAGEMENTS 2026'!B708),"",'ENGAGEMENTS 2026'!I708)</f>
        <v/>
      </c>
      <c r="G708">
        <f>IF(ISBLANK('ENGAGEMENTS 2026'!B708),"",'ENGAGEMENTS 2026'!L708)</f>
        <v/>
      </c>
      <c r="H708">
        <f>IF(ISBLANK('ENGAGEMENTS 2026'!B708),"",'ENGAGEMENTS 2026'!AE708)</f>
        <v/>
      </c>
      <c r="I708">
        <f>IF(ISBLANK('ENGAGEMENTS 2026'!B708),"",'ENGAGEMENTS 2026'!G708)</f>
        <v/>
      </c>
      <c r="J708" s="275">
        <f>IF(ISBLANK('ENGAGEMENTS 2026'!B708),"",IF(AND(OR($E708="INFRUCTUEUX",$E708="ANNULE"),$C708="AOO-M"),'ENGAGEMENTS 2026'!O708,IF($H708="EN COURS DE PREENGAGEMENT",'ENGAGEMENTS 2026'!N708,IF($H708="PREENGAGE",IF($E708="ATTRIBUE",'ENGAGEMENTS 2026'!AD708,'ENGAGEMENTS 2026'!N708),'ENGAGEMENTS 2026'!AD708))))</f>
        <v/>
      </c>
      <c r="K708" s="604">
        <f>IF(ISBLANK('ENGAGEMENTS 2026'!V708),"",'ENGAGEMENTS 2026'!V708)</f>
        <v/>
      </c>
      <c r="L708" s="276">
        <f>IF($K708="","",TODAY()-$K708)</f>
        <v/>
      </c>
      <c r="M708">
        <f>IF($A708="","",IF($H708="ENGAGE","Engagé",IF(AND($H708="NON ENGAGE",OR($I708="INFRUCTUEUX",$I708="ANNULE")),"Clôturé sans suite","En cours")))</f>
        <v/>
      </c>
      <c r="N708">
        <f>IF(ISBLANK('ENGAGEMENTS 2026'!B708),"",'ENGAGEMENTS 2026'!K708)</f>
        <v/>
      </c>
      <c r="O708">
        <f>IF(ISBLANK('ENGAGEMENTS 2026'!B708),"",'ENGAGEMENTS 2026'!L708)</f>
        <v/>
      </c>
      <c r="P708">
        <f>IF(ISBLANK('ENGAGEMENTS 2026'!B708),"",'ENGAGEMENTS 2026'!J708)</f>
        <v/>
      </c>
      <c r="Q708">
        <f>IF($A708="","",IF(OR($E708="INFRUCTUEUX",$E708="ANNULE"),$A708&amp;"|"&amp;(COUNTIFS($A$2:$A708,$A708,$E$2:$E708,"INFRUCTUEUX")+COUNTIFS($A$2:$A708,$A708,$E$2:$E708,"ANNULE")),""))</f>
        <v/>
      </c>
    </row>
    <row r="709">
      <c r="A709">
        <f>IF(ISBLANK('ENGAGEMENTS 2026'!B709),"",IF('ENGAGEMENTS 2026'!B709="DTSI","DCT",'ENGAGEMENTS 2026'!B709))</f>
        <v/>
      </c>
      <c r="B709">
        <f>IF(ISBLANK('ENGAGEMENTS 2026'!B709),"",'ENGAGEMENTS 2026'!C709)</f>
        <v/>
      </c>
      <c r="C709">
        <f>IF(ISBLANK('ENGAGEMENTS 2026'!B709),"",'ENGAGEMENTS 2026'!D709)</f>
        <v/>
      </c>
      <c r="D709">
        <f>IF(ISBLANK('ENGAGEMENTS 2026'!B709),"",'ENGAGEMENTS 2026'!F709)</f>
        <v/>
      </c>
      <c r="E709">
        <f>IF(ISBLANK('ENGAGEMENTS 2026'!B709),"",'ENGAGEMENTS 2026'!H709)</f>
        <v/>
      </c>
      <c r="F709">
        <f>IF(ISBLANK('ENGAGEMENTS 2026'!B709),"",'ENGAGEMENTS 2026'!I709)</f>
        <v/>
      </c>
      <c r="G709">
        <f>IF(ISBLANK('ENGAGEMENTS 2026'!B709),"",'ENGAGEMENTS 2026'!L709)</f>
        <v/>
      </c>
      <c r="H709">
        <f>IF(ISBLANK('ENGAGEMENTS 2026'!B709),"",'ENGAGEMENTS 2026'!AE709)</f>
        <v/>
      </c>
      <c r="I709">
        <f>IF(ISBLANK('ENGAGEMENTS 2026'!B709),"",'ENGAGEMENTS 2026'!G709)</f>
        <v/>
      </c>
      <c r="J709" s="275">
        <f>IF(ISBLANK('ENGAGEMENTS 2026'!B709),"",IF(AND(OR($E709="INFRUCTUEUX",$E709="ANNULE"),$C709="AOO-M"),'ENGAGEMENTS 2026'!O709,IF($H709="EN COURS DE PREENGAGEMENT",'ENGAGEMENTS 2026'!N709,IF($H709="PREENGAGE",IF($E709="ATTRIBUE",'ENGAGEMENTS 2026'!AD709,'ENGAGEMENTS 2026'!N709),'ENGAGEMENTS 2026'!AD709))))</f>
        <v/>
      </c>
      <c r="K709" s="604">
        <f>IF(ISBLANK('ENGAGEMENTS 2026'!V709),"",'ENGAGEMENTS 2026'!V709)</f>
        <v/>
      </c>
      <c r="L709" s="276">
        <f>IF($K709="","",TODAY()-$K709)</f>
        <v/>
      </c>
      <c r="M709">
        <f>IF($A709="","",IF($H709="ENGAGE","Engagé",IF(AND($H709="NON ENGAGE",OR($I709="INFRUCTUEUX",$I709="ANNULE")),"Clôturé sans suite","En cours")))</f>
        <v/>
      </c>
      <c r="N709">
        <f>IF(ISBLANK('ENGAGEMENTS 2026'!B709),"",'ENGAGEMENTS 2026'!K709)</f>
        <v/>
      </c>
      <c r="O709">
        <f>IF(ISBLANK('ENGAGEMENTS 2026'!B709),"",'ENGAGEMENTS 2026'!L709)</f>
        <v/>
      </c>
      <c r="P709">
        <f>IF(ISBLANK('ENGAGEMENTS 2026'!B709),"",'ENGAGEMENTS 2026'!J709)</f>
        <v/>
      </c>
      <c r="Q709">
        <f>IF($A709="","",IF(OR($E709="INFRUCTUEUX",$E709="ANNULE"),$A709&amp;"|"&amp;(COUNTIFS($A$2:$A709,$A709,$E$2:$E709,"INFRUCTUEUX")+COUNTIFS($A$2:$A709,$A709,$E$2:$E709,"ANNULE")),""))</f>
        <v/>
      </c>
    </row>
    <row r="710">
      <c r="A710">
        <f>IF(ISBLANK('ENGAGEMENTS 2026'!B710),"",IF('ENGAGEMENTS 2026'!B710="DTSI","DCT",'ENGAGEMENTS 2026'!B710))</f>
        <v/>
      </c>
      <c r="B710">
        <f>IF(ISBLANK('ENGAGEMENTS 2026'!B710),"",'ENGAGEMENTS 2026'!C710)</f>
        <v/>
      </c>
      <c r="C710">
        <f>IF(ISBLANK('ENGAGEMENTS 2026'!B710),"",'ENGAGEMENTS 2026'!D710)</f>
        <v/>
      </c>
      <c r="D710">
        <f>IF(ISBLANK('ENGAGEMENTS 2026'!B710),"",'ENGAGEMENTS 2026'!F710)</f>
        <v/>
      </c>
      <c r="E710">
        <f>IF(ISBLANK('ENGAGEMENTS 2026'!B710),"",'ENGAGEMENTS 2026'!H710)</f>
        <v/>
      </c>
      <c r="F710">
        <f>IF(ISBLANK('ENGAGEMENTS 2026'!B710),"",'ENGAGEMENTS 2026'!I710)</f>
        <v/>
      </c>
      <c r="G710">
        <f>IF(ISBLANK('ENGAGEMENTS 2026'!B710),"",'ENGAGEMENTS 2026'!L710)</f>
        <v/>
      </c>
      <c r="H710">
        <f>IF(ISBLANK('ENGAGEMENTS 2026'!B710),"",'ENGAGEMENTS 2026'!AE710)</f>
        <v/>
      </c>
      <c r="I710">
        <f>IF(ISBLANK('ENGAGEMENTS 2026'!B710),"",'ENGAGEMENTS 2026'!G710)</f>
        <v/>
      </c>
      <c r="J710" s="275">
        <f>IF(ISBLANK('ENGAGEMENTS 2026'!B710),"",IF(AND(OR($E710="INFRUCTUEUX",$E710="ANNULE"),$C710="AOO-M"),'ENGAGEMENTS 2026'!O710,IF($H710="EN COURS DE PREENGAGEMENT",'ENGAGEMENTS 2026'!N710,IF($H710="PREENGAGE",IF($E710="ATTRIBUE",'ENGAGEMENTS 2026'!AD710,'ENGAGEMENTS 2026'!N710),'ENGAGEMENTS 2026'!AD710))))</f>
        <v/>
      </c>
      <c r="K710" s="604">
        <f>IF(ISBLANK('ENGAGEMENTS 2026'!V710),"",'ENGAGEMENTS 2026'!V710)</f>
        <v/>
      </c>
      <c r="L710" s="276">
        <f>IF($K710="","",TODAY()-$K710)</f>
        <v/>
      </c>
      <c r="M710">
        <f>IF($A710="","",IF($H710="ENGAGE","Engagé",IF(AND($H710="NON ENGAGE",OR($I710="INFRUCTUEUX",$I710="ANNULE")),"Clôturé sans suite","En cours")))</f>
        <v/>
      </c>
      <c r="N710">
        <f>IF(ISBLANK('ENGAGEMENTS 2026'!B710),"",'ENGAGEMENTS 2026'!K710)</f>
        <v/>
      </c>
      <c r="O710">
        <f>IF(ISBLANK('ENGAGEMENTS 2026'!B710),"",'ENGAGEMENTS 2026'!L710)</f>
        <v/>
      </c>
      <c r="P710">
        <f>IF(ISBLANK('ENGAGEMENTS 2026'!B710),"",'ENGAGEMENTS 2026'!J710)</f>
        <v/>
      </c>
      <c r="Q710">
        <f>IF($A710="","",IF(OR($E710="INFRUCTUEUX",$E710="ANNULE"),$A710&amp;"|"&amp;(COUNTIFS($A$2:$A710,$A710,$E$2:$E710,"INFRUCTUEUX")+COUNTIFS($A$2:$A710,$A710,$E$2:$E710,"ANNULE")),""))</f>
        <v/>
      </c>
    </row>
    <row r="711">
      <c r="A711">
        <f>IF(ISBLANK('ENGAGEMENTS 2026'!B711),"",IF('ENGAGEMENTS 2026'!B711="DTSI","DCT",'ENGAGEMENTS 2026'!B711))</f>
        <v/>
      </c>
      <c r="B711">
        <f>IF(ISBLANK('ENGAGEMENTS 2026'!B711),"",'ENGAGEMENTS 2026'!C711)</f>
        <v/>
      </c>
      <c r="C711">
        <f>IF(ISBLANK('ENGAGEMENTS 2026'!B711),"",'ENGAGEMENTS 2026'!D711)</f>
        <v/>
      </c>
      <c r="D711">
        <f>IF(ISBLANK('ENGAGEMENTS 2026'!B711),"",'ENGAGEMENTS 2026'!F711)</f>
        <v/>
      </c>
      <c r="E711">
        <f>IF(ISBLANK('ENGAGEMENTS 2026'!B711),"",'ENGAGEMENTS 2026'!H711)</f>
        <v/>
      </c>
      <c r="F711">
        <f>IF(ISBLANK('ENGAGEMENTS 2026'!B711),"",'ENGAGEMENTS 2026'!I711)</f>
        <v/>
      </c>
      <c r="G711">
        <f>IF(ISBLANK('ENGAGEMENTS 2026'!B711),"",'ENGAGEMENTS 2026'!L711)</f>
        <v/>
      </c>
      <c r="H711">
        <f>IF(ISBLANK('ENGAGEMENTS 2026'!B711),"",'ENGAGEMENTS 2026'!AE711)</f>
        <v/>
      </c>
      <c r="I711">
        <f>IF(ISBLANK('ENGAGEMENTS 2026'!B711),"",'ENGAGEMENTS 2026'!G711)</f>
        <v/>
      </c>
      <c r="J711" s="275">
        <f>IF(ISBLANK('ENGAGEMENTS 2026'!B711),"",IF(AND(OR($E711="INFRUCTUEUX",$E711="ANNULE"),$C711="AOO-M"),'ENGAGEMENTS 2026'!O711,IF($H711="EN COURS DE PREENGAGEMENT",'ENGAGEMENTS 2026'!N711,IF($H711="PREENGAGE",IF($E711="ATTRIBUE",'ENGAGEMENTS 2026'!AD711,'ENGAGEMENTS 2026'!N711),'ENGAGEMENTS 2026'!AD711))))</f>
        <v/>
      </c>
      <c r="K711" s="604">
        <f>IF(ISBLANK('ENGAGEMENTS 2026'!V711),"",'ENGAGEMENTS 2026'!V711)</f>
        <v/>
      </c>
      <c r="L711" s="276">
        <f>IF($K711="","",TODAY()-$K711)</f>
        <v/>
      </c>
      <c r="M711">
        <f>IF($A711="","",IF($H711="ENGAGE","Engagé",IF(AND($H711="NON ENGAGE",OR($I711="INFRUCTUEUX",$I711="ANNULE")),"Clôturé sans suite","En cours")))</f>
        <v/>
      </c>
      <c r="N711">
        <f>IF(ISBLANK('ENGAGEMENTS 2026'!B711),"",'ENGAGEMENTS 2026'!K711)</f>
        <v/>
      </c>
      <c r="O711">
        <f>IF(ISBLANK('ENGAGEMENTS 2026'!B711),"",'ENGAGEMENTS 2026'!L711)</f>
        <v/>
      </c>
      <c r="P711">
        <f>IF(ISBLANK('ENGAGEMENTS 2026'!B711),"",'ENGAGEMENTS 2026'!J711)</f>
        <v/>
      </c>
      <c r="Q711">
        <f>IF($A711="","",IF(OR($E711="INFRUCTUEUX",$E711="ANNULE"),$A711&amp;"|"&amp;(COUNTIFS($A$2:$A711,$A711,$E$2:$E711,"INFRUCTUEUX")+COUNTIFS($A$2:$A711,$A711,$E$2:$E711,"ANNULE")),""))</f>
        <v/>
      </c>
    </row>
    <row r="712">
      <c r="A712">
        <f>IF(ISBLANK('ENGAGEMENTS 2026'!B712),"",IF('ENGAGEMENTS 2026'!B712="DTSI","DCT",'ENGAGEMENTS 2026'!B712))</f>
        <v/>
      </c>
      <c r="B712">
        <f>IF(ISBLANK('ENGAGEMENTS 2026'!B712),"",'ENGAGEMENTS 2026'!C712)</f>
        <v/>
      </c>
      <c r="C712">
        <f>IF(ISBLANK('ENGAGEMENTS 2026'!B712),"",'ENGAGEMENTS 2026'!D712)</f>
        <v/>
      </c>
      <c r="D712">
        <f>IF(ISBLANK('ENGAGEMENTS 2026'!B712),"",'ENGAGEMENTS 2026'!F712)</f>
        <v/>
      </c>
      <c r="E712">
        <f>IF(ISBLANK('ENGAGEMENTS 2026'!B712),"",'ENGAGEMENTS 2026'!H712)</f>
        <v/>
      </c>
      <c r="F712">
        <f>IF(ISBLANK('ENGAGEMENTS 2026'!B712),"",'ENGAGEMENTS 2026'!I712)</f>
        <v/>
      </c>
      <c r="G712">
        <f>IF(ISBLANK('ENGAGEMENTS 2026'!B712),"",'ENGAGEMENTS 2026'!L712)</f>
        <v/>
      </c>
      <c r="H712">
        <f>IF(ISBLANK('ENGAGEMENTS 2026'!B712),"",'ENGAGEMENTS 2026'!AE712)</f>
        <v/>
      </c>
      <c r="I712">
        <f>IF(ISBLANK('ENGAGEMENTS 2026'!B712),"",'ENGAGEMENTS 2026'!G712)</f>
        <v/>
      </c>
      <c r="J712" s="275">
        <f>IF(ISBLANK('ENGAGEMENTS 2026'!B712),"",IF(AND(OR($E712="INFRUCTUEUX",$E712="ANNULE"),$C712="AOO-M"),'ENGAGEMENTS 2026'!O712,IF($H712="EN COURS DE PREENGAGEMENT",'ENGAGEMENTS 2026'!N712,IF($H712="PREENGAGE",IF($E712="ATTRIBUE",'ENGAGEMENTS 2026'!AD712,'ENGAGEMENTS 2026'!N712),'ENGAGEMENTS 2026'!AD712))))</f>
        <v/>
      </c>
      <c r="K712" s="604">
        <f>IF(ISBLANK('ENGAGEMENTS 2026'!V712),"",'ENGAGEMENTS 2026'!V712)</f>
        <v/>
      </c>
      <c r="L712" s="276">
        <f>IF($K712="","",TODAY()-$K712)</f>
        <v/>
      </c>
      <c r="M712">
        <f>IF($A712="","",IF($H712="ENGAGE","Engagé",IF(AND($H712="NON ENGAGE",OR($I712="INFRUCTUEUX",$I712="ANNULE")),"Clôturé sans suite","En cours")))</f>
        <v/>
      </c>
      <c r="N712">
        <f>IF(ISBLANK('ENGAGEMENTS 2026'!B712),"",'ENGAGEMENTS 2026'!K712)</f>
        <v/>
      </c>
      <c r="O712">
        <f>IF(ISBLANK('ENGAGEMENTS 2026'!B712),"",'ENGAGEMENTS 2026'!L712)</f>
        <v/>
      </c>
      <c r="P712">
        <f>IF(ISBLANK('ENGAGEMENTS 2026'!B712),"",'ENGAGEMENTS 2026'!J712)</f>
        <v/>
      </c>
      <c r="Q712">
        <f>IF($A712="","",IF(OR($E712="INFRUCTUEUX",$E712="ANNULE"),$A712&amp;"|"&amp;(COUNTIFS($A$2:$A712,$A712,$E$2:$E712,"INFRUCTUEUX")+COUNTIFS($A$2:$A712,$A712,$E$2:$E712,"ANNULE")),""))</f>
        <v/>
      </c>
    </row>
    <row r="713">
      <c r="A713">
        <f>IF(ISBLANK('ENGAGEMENTS 2026'!B713),"",IF('ENGAGEMENTS 2026'!B713="DTSI","DCT",'ENGAGEMENTS 2026'!B713))</f>
        <v/>
      </c>
      <c r="B713">
        <f>IF(ISBLANK('ENGAGEMENTS 2026'!B713),"",'ENGAGEMENTS 2026'!C713)</f>
        <v/>
      </c>
      <c r="C713">
        <f>IF(ISBLANK('ENGAGEMENTS 2026'!B713),"",'ENGAGEMENTS 2026'!D713)</f>
        <v/>
      </c>
      <c r="D713">
        <f>IF(ISBLANK('ENGAGEMENTS 2026'!B713),"",'ENGAGEMENTS 2026'!F713)</f>
        <v/>
      </c>
      <c r="E713">
        <f>IF(ISBLANK('ENGAGEMENTS 2026'!B713),"",'ENGAGEMENTS 2026'!H713)</f>
        <v/>
      </c>
      <c r="F713">
        <f>IF(ISBLANK('ENGAGEMENTS 2026'!B713),"",'ENGAGEMENTS 2026'!I713)</f>
        <v/>
      </c>
      <c r="G713">
        <f>IF(ISBLANK('ENGAGEMENTS 2026'!B713),"",'ENGAGEMENTS 2026'!L713)</f>
        <v/>
      </c>
      <c r="H713">
        <f>IF(ISBLANK('ENGAGEMENTS 2026'!B713),"",'ENGAGEMENTS 2026'!AE713)</f>
        <v/>
      </c>
      <c r="I713">
        <f>IF(ISBLANK('ENGAGEMENTS 2026'!B713),"",'ENGAGEMENTS 2026'!G713)</f>
        <v/>
      </c>
      <c r="J713" s="275">
        <f>IF(ISBLANK('ENGAGEMENTS 2026'!B713),"",IF(AND(OR($E713="INFRUCTUEUX",$E713="ANNULE"),$C713="AOO-M"),'ENGAGEMENTS 2026'!O713,IF($H713="EN COURS DE PREENGAGEMENT",'ENGAGEMENTS 2026'!N713,IF($H713="PREENGAGE",IF($E713="ATTRIBUE",'ENGAGEMENTS 2026'!AD713,'ENGAGEMENTS 2026'!N713),'ENGAGEMENTS 2026'!AD713))))</f>
        <v/>
      </c>
      <c r="K713" s="604">
        <f>IF(ISBLANK('ENGAGEMENTS 2026'!V713),"",'ENGAGEMENTS 2026'!V713)</f>
        <v/>
      </c>
      <c r="L713" s="276">
        <f>IF($K713="","",TODAY()-$K713)</f>
        <v/>
      </c>
      <c r="M713">
        <f>IF($A713="","",IF($H713="ENGAGE","Engagé",IF(AND($H713="NON ENGAGE",OR($I713="INFRUCTUEUX",$I713="ANNULE")),"Clôturé sans suite","En cours")))</f>
        <v/>
      </c>
      <c r="N713">
        <f>IF(ISBLANK('ENGAGEMENTS 2026'!B713),"",'ENGAGEMENTS 2026'!K713)</f>
        <v/>
      </c>
      <c r="O713">
        <f>IF(ISBLANK('ENGAGEMENTS 2026'!B713),"",'ENGAGEMENTS 2026'!L713)</f>
        <v/>
      </c>
      <c r="P713">
        <f>IF(ISBLANK('ENGAGEMENTS 2026'!B713),"",'ENGAGEMENTS 2026'!J713)</f>
        <v/>
      </c>
      <c r="Q713">
        <f>IF($A713="","",IF(OR($E713="INFRUCTUEUX",$E713="ANNULE"),$A713&amp;"|"&amp;(COUNTIFS($A$2:$A713,$A713,$E$2:$E713,"INFRUCTUEUX")+COUNTIFS($A$2:$A713,$A713,$E$2:$E713,"ANNULE")),""))</f>
        <v/>
      </c>
    </row>
    <row r="714">
      <c r="A714">
        <f>IF(ISBLANK('ENGAGEMENTS 2026'!B714),"",IF('ENGAGEMENTS 2026'!B714="DTSI","DCT",'ENGAGEMENTS 2026'!B714))</f>
        <v/>
      </c>
      <c r="B714">
        <f>IF(ISBLANK('ENGAGEMENTS 2026'!B714),"",'ENGAGEMENTS 2026'!C714)</f>
        <v/>
      </c>
      <c r="C714">
        <f>IF(ISBLANK('ENGAGEMENTS 2026'!B714),"",'ENGAGEMENTS 2026'!D714)</f>
        <v/>
      </c>
      <c r="D714">
        <f>IF(ISBLANK('ENGAGEMENTS 2026'!B714),"",'ENGAGEMENTS 2026'!F714)</f>
        <v/>
      </c>
      <c r="E714">
        <f>IF(ISBLANK('ENGAGEMENTS 2026'!B714),"",'ENGAGEMENTS 2026'!H714)</f>
        <v/>
      </c>
      <c r="F714">
        <f>IF(ISBLANK('ENGAGEMENTS 2026'!B714),"",'ENGAGEMENTS 2026'!I714)</f>
        <v/>
      </c>
      <c r="G714">
        <f>IF(ISBLANK('ENGAGEMENTS 2026'!B714),"",'ENGAGEMENTS 2026'!L714)</f>
        <v/>
      </c>
      <c r="H714">
        <f>IF(ISBLANK('ENGAGEMENTS 2026'!B714),"",'ENGAGEMENTS 2026'!AE714)</f>
        <v/>
      </c>
      <c r="I714">
        <f>IF(ISBLANK('ENGAGEMENTS 2026'!B714),"",'ENGAGEMENTS 2026'!G714)</f>
        <v/>
      </c>
      <c r="J714" s="275">
        <f>IF(ISBLANK('ENGAGEMENTS 2026'!B714),"",IF(AND(OR($E714="INFRUCTUEUX",$E714="ANNULE"),$C714="AOO-M"),'ENGAGEMENTS 2026'!O714,IF($H714="EN COURS DE PREENGAGEMENT",'ENGAGEMENTS 2026'!N714,IF($H714="PREENGAGE",IF($E714="ATTRIBUE",'ENGAGEMENTS 2026'!AD714,'ENGAGEMENTS 2026'!N714),'ENGAGEMENTS 2026'!AD714))))</f>
        <v/>
      </c>
      <c r="K714" s="604">
        <f>IF(ISBLANK('ENGAGEMENTS 2026'!V714),"",'ENGAGEMENTS 2026'!V714)</f>
        <v/>
      </c>
      <c r="L714" s="276">
        <f>IF($K714="","",TODAY()-$K714)</f>
        <v/>
      </c>
      <c r="M714">
        <f>IF($A714="","",IF($H714="ENGAGE","Engagé",IF(AND($H714="NON ENGAGE",OR($I714="INFRUCTUEUX",$I714="ANNULE")),"Clôturé sans suite","En cours")))</f>
        <v/>
      </c>
      <c r="N714">
        <f>IF(ISBLANK('ENGAGEMENTS 2026'!B714),"",'ENGAGEMENTS 2026'!K714)</f>
        <v/>
      </c>
      <c r="O714">
        <f>IF(ISBLANK('ENGAGEMENTS 2026'!B714),"",'ENGAGEMENTS 2026'!L714)</f>
        <v/>
      </c>
      <c r="P714">
        <f>IF(ISBLANK('ENGAGEMENTS 2026'!B714),"",'ENGAGEMENTS 2026'!J714)</f>
        <v/>
      </c>
      <c r="Q714">
        <f>IF($A714="","",IF(OR($E714="INFRUCTUEUX",$E714="ANNULE"),$A714&amp;"|"&amp;(COUNTIFS($A$2:$A714,$A714,$E$2:$E714,"INFRUCTUEUX")+COUNTIFS($A$2:$A714,$A714,$E$2:$E714,"ANNULE")),""))</f>
        <v/>
      </c>
    </row>
    <row r="715">
      <c r="A715">
        <f>IF(ISBLANK('ENGAGEMENTS 2026'!B715),"",IF('ENGAGEMENTS 2026'!B715="DTSI","DCT",'ENGAGEMENTS 2026'!B715))</f>
        <v/>
      </c>
      <c r="B715">
        <f>IF(ISBLANK('ENGAGEMENTS 2026'!B715),"",'ENGAGEMENTS 2026'!C715)</f>
        <v/>
      </c>
      <c r="C715">
        <f>IF(ISBLANK('ENGAGEMENTS 2026'!B715),"",'ENGAGEMENTS 2026'!D715)</f>
        <v/>
      </c>
      <c r="D715">
        <f>IF(ISBLANK('ENGAGEMENTS 2026'!B715),"",'ENGAGEMENTS 2026'!F715)</f>
        <v/>
      </c>
      <c r="E715">
        <f>IF(ISBLANK('ENGAGEMENTS 2026'!B715),"",'ENGAGEMENTS 2026'!H715)</f>
        <v/>
      </c>
      <c r="F715">
        <f>IF(ISBLANK('ENGAGEMENTS 2026'!B715),"",'ENGAGEMENTS 2026'!I715)</f>
        <v/>
      </c>
      <c r="G715">
        <f>IF(ISBLANK('ENGAGEMENTS 2026'!B715),"",'ENGAGEMENTS 2026'!L715)</f>
        <v/>
      </c>
      <c r="H715">
        <f>IF(ISBLANK('ENGAGEMENTS 2026'!B715),"",'ENGAGEMENTS 2026'!AE715)</f>
        <v/>
      </c>
      <c r="I715">
        <f>IF(ISBLANK('ENGAGEMENTS 2026'!B715),"",'ENGAGEMENTS 2026'!G715)</f>
        <v/>
      </c>
      <c r="J715" s="275">
        <f>IF(ISBLANK('ENGAGEMENTS 2026'!B715),"",IF(AND(OR($E715="INFRUCTUEUX",$E715="ANNULE"),$C715="AOO-M"),'ENGAGEMENTS 2026'!O715,IF($H715="EN COURS DE PREENGAGEMENT",'ENGAGEMENTS 2026'!N715,IF($H715="PREENGAGE",IF($E715="ATTRIBUE",'ENGAGEMENTS 2026'!AD715,'ENGAGEMENTS 2026'!N715),'ENGAGEMENTS 2026'!AD715))))</f>
        <v/>
      </c>
      <c r="K715" s="604">
        <f>IF(ISBLANK('ENGAGEMENTS 2026'!V715),"",'ENGAGEMENTS 2026'!V715)</f>
        <v/>
      </c>
      <c r="L715" s="276">
        <f>IF($K715="","",TODAY()-$K715)</f>
        <v/>
      </c>
      <c r="M715">
        <f>IF($A715="","",IF($H715="ENGAGE","Engagé",IF(AND($H715="NON ENGAGE",OR($I715="INFRUCTUEUX",$I715="ANNULE")),"Clôturé sans suite","En cours")))</f>
        <v/>
      </c>
      <c r="N715">
        <f>IF(ISBLANK('ENGAGEMENTS 2026'!B715),"",'ENGAGEMENTS 2026'!K715)</f>
        <v/>
      </c>
      <c r="O715">
        <f>IF(ISBLANK('ENGAGEMENTS 2026'!B715),"",'ENGAGEMENTS 2026'!L715)</f>
        <v/>
      </c>
      <c r="P715">
        <f>IF(ISBLANK('ENGAGEMENTS 2026'!B715),"",'ENGAGEMENTS 2026'!J715)</f>
        <v/>
      </c>
      <c r="Q715">
        <f>IF($A715="","",IF(OR($E715="INFRUCTUEUX",$E715="ANNULE"),$A715&amp;"|"&amp;(COUNTIFS($A$2:$A715,$A715,$E$2:$E715,"INFRUCTUEUX")+COUNTIFS($A$2:$A715,$A715,$E$2:$E715,"ANNULE")),""))</f>
        <v/>
      </c>
    </row>
    <row r="716">
      <c r="A716">
        <f>IF(ISBLANK('ENGAGEMENTS 2026'!B716),"",IF('ENGAGEMENTS 2026'!B716="DTSI","DCT",'ENGAGEMENTS 2026'!B716))</f>
        <v/>
      </c>
      <c r="B716">
        <f>IF(ISBLANK('ENGAGEMENTS 2026'!B716),"",'ENGAGEMENTS 2026'!C716)</f>
        <v/>
      </c>
      <c r="C716">
        <f>IF(ISBLANK('ENGAGEMENTS 2026'!B716),"",'ENGAGEMENTS 2026'!D716)</f>
        <v/>
      </c>
      <c r="D716">
        <f>IF(ISBLANK('ENGAGEMENTS 2026'!B716),"",'ENGAGEMENTS 2026'!F716)</f>
        <v/>
      </c>
      <c r="E716">
        <f>IF(ISBLANK('ENGAGEMENTS 2026'!B716),"",'ENGAGEMENTS 2026'!H716)</f>
        <v/>
      </c>
      <c r="F716">
        <f>IF(ISBLANK('ENGAGEMENTS 2026'!B716),"",'ENGAGEMENTS 2026'!I716)</f>
        <v/>
      </c>
      <c r="G716">
        <f>IF(ISBLANK('ENGAGEMENTS 2026'!B716),"",'ENGAGEMENTS 2026'!L716)</f>
        <v/>
      </c>
      <c r="H716">
        <f>IF(ISBLANK('ENGAGEMENTS 2026'!B716),"",'ENGAGEMENTS 2026'!AE716)</f>
        <v/>
      </c>
      <c r="I716">
        <f>IF(ISBLANK('ENGAGEMENTS 2026'!B716),"",'ENGAGEMENTS 2026'!G716)</f>
        <v/>
      </c>
      <c r="J716" s="275">
        <f>IF(ISBLANK('ENGAGEMENTS 2026'!B716),"",IF(AND(OR($E716="INFRUCTUEUX",$E716="ANNULE"),$C716="AOO-M"),'ENGAGEMENTS 2026'!O716,IF($H716="EN COURS DE PREENGAGEMENT",'ENGAGEMENTS 2026'!N716,IF($H716="PREENGAGE",IF($E716="ATTRIBUE",'ENGAGEMENTS 2026'!AD716,'ENGAGEMENTS 2026'!N716),'ENGAGEMENTS 2026'!AD716))))</f>
        <v/>
      </c>
      <c r="K716" s="604">
        <f>IF(ISBLANK('ENGAGEMENTS 2026'!V716),"",'ENGAGEMENTS 2026'!V716)</f>
        <v/>
      </c>
      <c r="L716" s="276">
        <f>IF($K716="","",TODAY()-$K716)</f>
        <v/>
      </c>
      <c r="M716">
        <f>IF($A716="","",IF($H716="ENGAGE","Engagé",IF(AND($H716="NON ENGAGE",OR($I716="INFRUCTUEUX",$I716="ANNULE")),"Clôturé sans suite","En cours")))</f>
        <v/>
      </c>
      <c r="N716">
        <f>IF(ISBLANK('ENGAGEMENTS 2026'!B716),"",'ENGAGEMENTS 2026'!K716)</f>
        <v/>
      </c>
      <c r="O716">
        <f>IF(ISBLANK('ENGAGEMENTS 2026'!B716),"",'ENGAGEMENTS 2026'!L716)</f>
        <v/>
      </c>
      <c r="P716">
        <f>IF(ISBLANK('ENGAGEMENTS 2026'!B716),"",'ENGAGEMENTS 2026'!J716)</f>
        <v/>
      </c>
      <c r="Q716">
        <f>IF($A716="","",IF(OR($E716="INFRUCTUEUX",$E716="ANNULE"),$A716&amp;"|"&amp;(COUNTIFS($A$2:$A716,$A716,$E$2:$E716,"INFRUCTUEUX")+COUNTIFS($A$2:$A716,$A716,$E$2:$E716,"ANNULE")),""))</f>
        <v/>
      </c>
    </row>
    <row r="717">
      <c r="A717">
        <f>IF(ISBLANK('ENGAGEMENTS 2026'!B717),"",IF('ENGAGEMENTS 2026'!B717="DTSI","DCT",'ENGAGEMENTS 2026'!B717))</f>
        <v/>
      </c>
      <c r="B717">
        <f>IF(ISBLANK('ENGAGEMENTS 2026'!B717),"",'ENGAGEMENTS 2026'!C717)</f>
        <v/>
      </c>
      <c r="C717">
        <f>IF(ISBLANK('ENGAGEMENTS 2026'!B717),"",'ENGAGEMENTS 2026'!D717)</f>
        <v/>
      </c>
      <c r="D717">
        <f>IF(ISBLANK('ENGAGEMENTS 2026'!B717),"",'ENGAGEMENTS 2026'!F717)</f>
        <v/>
      </c>
      <c r="E717">
        <f>IF(ISBLANK('ENGAGEMENTS 2026'!B717),"",'ENGAGEMENTS 2026'!H717)</f>
        <v/>
      </c>
      <c r="F717">
        <f>IF(ISBLANK('ENGAGEMENTS 2026'!B717),"",'ENGAGEMENTS 2026'!I717)</f>
        <v/>
      </c>
      <c r="G717">
        <f>IF(ISBLANK('ENGAGEMENTS 2026'!B717),"",'ENGAGEMENTS 2026'!L717)</f>
        <v/>
      </c>
      <c r="H717">
        <f>IF(ISBLANK('ENGAGEMENTS 2026'!B717),"",'ENGAGEMENTS 2026'!AE717)</f>
        <v/>
      </c>
      <c r="I717">
        <f>IF(ISBLANK('ENGAGEMENTS 2026'!B717),"",'ENGAGEMENTS 2026'!G717)</f>
        <v/>
      </c>
      <c r="J717" s="275">
        <f>IF(ISBLANK('ENGAGEMENTS 2026'!B717),"",IF(AND(OR($E717="INFRUCTUEUX",$E717="ANNULE"),$C717="AOO-M"),'ENGAGEMENTS 2026'!O717,IF($H717="EN COURS DE PREENGAGEMENT",'ENGAGEMENTS 2026'!N717,IF($H717="PREENGAGE",IF($E717="ATTRIBUE",'ENGAGEMENTS 2026'!AD717,'ENGAGEMENTS 2026'!N717),'ENGAGEMENTS 2026'!AD717))))</f>
        <v/>
      </c>
      <c r="K717" s="604">
        <f>IF(ISBLANK('ENGAGEMENTS 2026'!V717),"",'ENGAGEMENTS 2026'!V717)</f>
        <v/>
      </c>
      <c r="L717" s="276">
        <f>IF($K717="","",TODAY()-$K717)</f>
        <v/>
      </c>
      <c r="M717">
        <f>IF($A717="","",IF($H717="ENGAGE","Engagé",IF(AND($H717="NON ENGAGE",OR($I717="INFRUCTUEUX",$I717="ANNULE")),"Clôturé sans suite","En cours")))</f>
        <v/>
      </c>
      <c r="N717">
        <f>IF(ISBLANK('ENGAGEMENTS 2026'!B717),"",'ENGAGEMENTS 2026'!K717)</f>
        <v/>
      </c>
      <c r="O717">
        <f>IF(ISBLANK('ENGAGEMENTS 2026'!B717),"",'ENGAGEMENTS 2026'!L717)</f>
        <v/>
      </c>
      <c r="P717">
        <f>IF(ISBLANK('ENGAGEMENTS 2026'!B717),"",'ENGAGEMENTS 2026'!J717)</f>
        <v/>
      </c>
      <c r="Q717">
        <f>IF($A717="","",IF(OR($E717="INFRUCTUEUX",$E717="ANNULE"),$A717&amp;"|"&amp;(COUNTIFS($A$2:$A717,$A717,$E$2:$E717,"INFRUCTUEUX")+COUNTIFS($A$2:$A717,$A717,$E$2:$E717,"ANNULE")),""))</f>
        <v/>
      </c>
    </row>
    <row r="718">
      <c r="A718">
        <f>IF(ISBLANK('ENGAGEMENTS 2026'!B718),"",IF('ENGAGEMENTS 2026'!B718="DTSI","DCT",'ENGAGEMENTS 2026'!B718))</f>
        <v/>
      </c>
      <c r="B718">
        <f>IF(ISBLANK('ENGAGEMENTS 2026'!B718),"",'ENGAGEMENTS 2026'!C718)</f>
        <v/>
      </c>
      <c r="C718">
        <f>IF(ISBLANK('ENGAGEMENTS 2026'!B718),"",'ENGAGEMENTS 2026'!D718)</f>
        <v/>
      </c>
      <c r="D718">
        <f>IF(ISBLANK('ENGAGEMENTS 2026'!B718),"",'ENGAGEMENTS 2026'!F718)</f>
        <v/>
      </c>
      <c r="E718">
        <f>IF(ISBLANK('ENGAGEMENTS 2026'!B718),"",'ENGAGEMENTS 2026'!H718)</f>
        <v/>
      </c>
      <c r="F718">
        <f>IF(ISBLANK('ENGAGEMENTS 2026'!B718),"",'ENGAGEMENTS 2026'!I718)</f>
        <v/>
      </c>
      <c r="G718">
        <f>IF(ISBLANK('ENGAGEMENTS 2026'!B718),"",'ENGAGEMENTS 2026'!L718)</f>
        <v/>
      </c>
      <c r="H718">
        <f>IF(ISBLANK('ENGAGEMENTS 2026'!B718),"",'ENGAGEMENTS 2026'!AE718)</f>
        <v/>
      </c>
      <c r="I718">
        <f>IF(ISBLANK('ENGAGEMENTS 2026'!B718),"",'ENGAGEMENTS 2026'!G718)</f>
        <v/>
      </c>
      <c r="J718" s="275">
        <f>IF(ISBLANK('ENGAGEMENTS 2026'!B718),"",IF(AND(OR($E718="INFRUCTUEUX",$E718="ANNULE"),$C718="AOO-M"),'ENGAGEMENTS 2026'!O718,IF($H718="EN COURS DE PREENGAGEMENT",'ENGAGEMENTS 2026'!N718,IF($H718="PREENGAGE",IF($E718="ATTRIBUE",'ENGAGEMENTS 2026'!AD718,'ENGAGEMENTS 2026'!N718),'ENGAGEMENTS 2026'!AD718))))</f>
        <v/>
      </c>
      <c r="K718" s="604">
        <f>IF(ISBLANK('ENGAGEMENTS 2026'!V718),"",'ENGAGEMENTS 2026'!V718)</f>
        <v/>
      </c>
      <c r="L718" s="276">
        <f>IF($K718="","",TODAY()-$K718)</f>
        <v/>
      </c>
      <c r="M718">
        <f>IF($A718="","",IF($H718="ENGAGE","Engagé",IF(AND($H718="NON ENGAGE",OR($I718="INFRUCTUEUX",$I718="ANNULE")),"Clôturé sans suite","En cours")))</f>
        <v/>
      </c>
      <c r="N718">
        <f>IF(ISBLANK('ENGAGEMENTS 2026'!B718),"",'ENGAGEMENTS 2026'!K718)</f>
        <v/>
      </c>
      <c r="O718">
        <f>IF(ISBLANK('ENGAGEMENTS 2026'!B718),"",'ENGAGEMENTS 2026'!L718)</f>
        <v/>
      </c>
      <c r="P718">
        <f>IF(ISBLANK('ENGAGEMENTS 2026'!B718),"",'ENGAGEMENTS 2026'!J718)</f>
        <v/>
      </c>
      <c r="Q718">
        <f>IF($A718="","",IF(OR($E718="INFRUCTUEUX",$E718="ANNULE"),$A718&amp;"|"&amp;(COUNTIFS($A$2:$A718,$A718,$E$2:$E718,"INFRUCTUEUX")+COUNTIFS($A$2:$A718,$A718,$E$2:$E718,"ANNULE")),""))</f>
        <v/>
      </c>
    </row>
    <row r="719">
      <c r="A719">
        <f>IF(ISBLANK('ENGAGEMENTS 2026'!B719),"",IF('ENGAGEMENTS 2026'!B719="DTSI","DCT",'ENGAGEMENTS 2026'!B719))</f>
        <v/>
      </c>
      <c r="B719">
        <f>IF(ISBLANK('ENGAGEMENTS 2026'!B719),"",'ENGAGEMENTS 2026'!C719)</f>
        <v/>
      </c>
      <c r="C719">
        <f>IF(ISBLANK('ENGAGEMENTS 2026'!B719),"",'ENGAGEMENTS 2026'!D719)</f>
        <v/>
      </c>
      <c r="D719">
        <f>IF(ISBLANK('ENGAGEMENTS 2026'!B719),"",'ENGAGEMENTS 2026'!F719)</f>
        <v/>
      </c>
      <c r="E719">
        <f>IF(ISBLANK('ENGAGEMENTS 2026'!B719),"",'ENGAGEMENTS 2026'!H719)</f>
        <v/>
      </c>
      <c r="F719">
        <f>IF(ISBLANK('ENGAGEMENTS 2026'!B719),"",'ENGAGEMENTS 2026'!I719)</f>
        <v/>
      </c>
      <c r="G719">
        <f>IF(ISBLANK('ENGAGEMENTS 2026'!B719),"",'ENGAGEMENTS 2026'!L719)</f>
        <v/>
      </c>
      <c r="H719">
        <f>IF(ISBLANK('ENGAGEMENTS 2026'!B719),"",'ENGAGEMENTS 2026'!AE719)</f>
        <v/>
      </c>
      <c r="I719">
        <f>IF(ISBLANK('ENGAGEMENTS 2026'!B719),"",'ENGAGEMENTS 2026'!G719)</f>
        <v/>
      </c>
      <c r="J719" s="275">
        <f>IF(ISBLANK('ENGAGEMENTS 2026'!B719),"",IF(AND(OR($E719="INFRUCTUEUX",$E719="ANNULE"),$C719="AOO-M"),'ENGAGEMENTS 2026'!O719,IF($H719="EN COURS DE PREENGAGEMENT",'ENGAGEMENTS 2026'!N719,IF($H719="PREENGAGE",IF($E719="ATTRIBUE",'ENGAGEMENTS 2026'!AD719,'ENGAGEMENTS 2026'!N719),'ENGAGEMENTS 2026'!AD719))))</f>
        <v/>
      </c>
      <c r="K719" s="604">
        <f>IF(ISBLANK('ENGAGEMENTS 2026'!V719),"",'ENGAGEMENTS 2026'!V719)</f>
        <v/>
      </c>
      <c r="L719" s="276">
        <f>IF($K719="","",TODAY()-$K719)</f>
        <v/>
      </c>
      <c r="M719">
        <f>IF($A719="","",IF($H719="ENGAGE","Engagé",IF(AND($H719="NON ENGAGE",OR($I719="INFRUCTUEUX",$I719="ANNULE")),"Clôturé sans suite","En cours")))</f>
        <v/>
      </c>
      <c r="N719">
        <f>IF(ISBLANK('ENGAGEMENTS 2026'!B719),"",'ENGAGEMENTS 2026'!K719)</f>
        <v/>
      </c>
      <c r="O719">
        <f>IF(ISBLANK('ENGAGEMENTS 2026'!B719),"",'ENGAGEMENTS 2026'!L719)</f>
        <v/>
      </c>
      <c r="P719">
        <f>IF(ISBLANK('ENGAGEMENTS 2026'!B719),"",'ENGAGEMENTS 2026'!J719)</f>
        <v/>
      </c>
      <c r="Q719">
        <f>IF($A719="","",IF(OR($E719="INFRUCTUEUX",$E719="ANNULE"),$A719&amp;"|"&amp;(COUNTIFS($A$2:$A719,$A719,$E$2:$E719,"INFRUCTUEUX")+COUNTIFS($A$2:$A719,$A719,$E$2:$E719,"ANNULE")),""))</f>
        <v/>
      </c>
    </row>
    <row r="720">
      <c r="A720">
        <f>IF(ISBLANK('ENGAGEMENTS 2026'!B720),"",IF('ENGAGEMENTS 2026'!B720="DTSI","DCT",'ENGAGEMENTS 2026'!B720))</f>
        <v/>
      </c>
      <c r="B720">
        <f>IF(ISBLANK('ENGAGEMENTS 2026'!B720),"",'ENGAGEMENTS 2026'!C720)</f>
        <v/>
      </c>
      <c r="C720">
        <f>IF(ISBLANK('ENGAGEMENTS 2026'!B720),"",'ENGAGEMENTS 2026'!D720)</f>
        <v/>
      </c>
      <c r="D720">
        <f>IF(ISBLANK('ENGAGEMENTS 2026'!B720),"",'ENGAGEMENTS 2026'!F720)</f>
        <v/>
      </c>
      <c r="E720">
        <f>IF(ISBLANK('ENGAGEMENTS 2026'!B720),"",'ENGAGEMENTS 2026'!H720)</f>
        <v/>
      </c>
      <c r="F720">
        <f>IF(ISBLANK('ENGAGEMENTS 2026'!B720),"",'ENGAGEMENTS 2026'!I720)</f>
        <v/>
      </c>
      <c r="G720">
        <f>IF(ISBLANK('ENGAGEMENTS 2026'!B720),"",'ENGAGEMENTS 2026'!L720)</f>
        <v/>
      </c>
      <c r="H720">
        <f>IF(ISBLANK('ENGAGEMENTS 2026'!B720),"",'ENGAGEMENTS 2026'!AE720)</f>
        <v/>
      </c>
      <c r="I720">
        <f>IF(ISBLANK('ENGAGEMENTS 2026'!B720),"",'ENGAGEMENTS 2026'!G720)</f>
        <v/>
      </c>
      <c r="J720" s="275">
        <f>IF(ISBLANK('ENGAGEMENTS 2026'!B720),"",IF(AND(OR($E720="INFRUCTUEUX",$E720="ANNULE"),$C720="AOO-M"),'ENGAGEMENTS 2026'!O720,IF($H720="EN COURS DE PREENGAGEMENT",'ENGAGEMENTS 2026'!N720,IF($H720="PREENGAGE",IF($E720="ATTRIBUE",'ENGAGEMENTS 2026'!AD720,'ENGAGEMENTS 2026'!N720),'ENGAGEMENTS 2026'!AD720))))</f>
        <v/>
      </c>
      <c r="K720" s="604">
        <f>IF(ISBLANK('ENGAGEMENTS 2026'!V720),"",'ENGAGEMENTS 2026'!V720)</f>
        <v/>
      </c>
      <c r="L720" s="276">
        <f>IF($K720="","",TODAY()-$K720)</f>
        <v/>
      </c>
      <c r="M720">
        <f>IF($A720="","",IF($H720="ENGAGE","Engagé",IF(AND($H720="NON ENGAGE",OR($I720="INFRUCTUEUX",$I720="ANNULE")),"Clôturé sans suite","En cours")))</f>
        <v/>
      </c>
      <c r="N720">
        <f>IF(ISBLANK('ENGAGEMENTS 2026'!B720),"",'ENGAGEMENTS 2026'!K720)</f>
        <v/>
      </c>
      <c r="O720">
        <f>IF(ISBLANK('ENGAGEMENTS 2026'!B720),"",'ENGAGEMENTS 2026'!L720)</f>
        <v/>
      </c>
      <c r="P720">
        <f>IF(ISBLANK('ENGAGEMENTS 2026'!B720),"",'ENGAGEMENTS 2026'!J720)</f>
        <v/>
      </c>
      <c r="Q720">
        <f>IF($A720="","",IF(OR($E720="INFRUCTUEUX",$E720="ANNULE"),$A720&amp;"|"&amp;(COUNTIFS($A$2:$A720,$A720,$E$2:$E720,"INFRUCTUEUX")+COUNTIFS($A$2:$A720,$A720,$E$2:$E720,"ANNULE")),""))</f>
        <v/>
      </c>
    </row>
    <row r="721">
      <c r="A721">
        <f>IF(ISBLANK('ENGAGEMENTS 2026'!B721),"",IF('ENGAGEMENTS 2026'!B721="DTSI","DCT",'ENGAGEMENTS 2026'!B721))</f>
        <v/>
      </c>
      <c r="B721">
        <f>IF(ISBLANK('ENGAGEMENTS 2026'!B721),"",'ENGAGEMENTS 2026'!C721)</f>
        <v/>
      </c>
      <c r="C721">
        <f>IF(ISBLANK('ENGAGEMENTS 2026'!B721),"",'ENGAGEMENTS 2026'!D721)</f>
        <v/>
      </c>
      <c r="D721">
        <f>IF(ISBLANK('ENGAGEMENTS 2026'!B721),"",'ENGAGEMENTS 2026'!F721)</f>
        <v/>
      </c>
      <c r="E721">
        <f>IF(ISBLANK('ENGAGEMENTS 2026'!B721),"",'ENGAGEMENTS 2026'!H721)</f>
        <v/>
      </c>
      <c r="F721">
        <f>IF(ISBLANK('ENGAGEMENTS 2026'!B721),"",'ENGAGEMENTS 2026'!I721)</f>
        <v/>
      </c>
      <c r="G721">
        <f>IF(ISBLANK('ENGAGEMENTS 2026'!B721),"",'ENGAGEMENTS 2026'!L721)</f>
        <v/>
      </c>
      <c r="H721">
        <f>IF(ISBLANK('ENGAGEMENTS 2026'!B721),"",'ENGAGEMENTS 2026'!AE721)</f>
        <v/>
      </c>
      <c r="I721">
        <f>IF(ISBLANK('ENGAGEMENTS 2026'!B721),"",'ENGAGEMENTS 2026'!G721)</f>
        <v/>
      </c>
      <c r="J721" s="275">
        <f>IF(ISBLANK('ENGAGEMENTS 2026'!B721),"",IF(AND(OR($E721="INFRUCTUEUX",$E721="ANNULE"),$C721="AOO-M"),'ENGAGEMENTS 2026'!O721,IF($H721="EN COURS DE PREENGAGEMENT",'ENGAGEMENTS 2026'!N721,IF($H721="PREENGAGE",IF($E721="ATTRIBUE",'ENGAGEMENTS 2026'!AD721,'ENGAGEMENTS 2026'!N721),'ENGAGEMENTS 2026'!AD721))))</f>
        <v/>
      </c>
      <c r="K721" s="604">
        <f>IF(ISBLANK('ENGAGEMENTS 2026'!V721),"",'ENGAGEMENTS 2026'!V721)</f>
        <v/>
      </c>
      <c r="L721" s="276">
        <f>IF($K721="","",TODAY()-$K721)</f>
        <v/>
      </c>
      <c r="M721">
        <f>IF($A721="","",IF($H721="ENGAGE","Engagé",IF(AND($H721="NON ENGAGE",OR($I721="INFRUCTUEUX",$I721="ANNULE")),"Clôturé sans suite","En cours")))</f>
        <v/>
      </c>
      <c r="N721">
        <f>IF(ISBLANK('ENGAGEMENTS 2026'!B721),"",'ENGAGEMENTS 2026'!K721)</f>
        <v/>
      </c>
      <c r="O721">
        <f>IF(ISBLANK('ENGAGEMENTS 2026'!B721),"",'ENGAGEMENTS 2026'!L721)</f>
        <v/>
      </c>
      <c r="P721">
        <f>IF(ISBLANK('ENGAGEMENTS 2026'!B721),"",'ENGAGEMENTS 2026'!J721)</f>
        <v/>
      </c>
      <c r="Q721">
        <f>IF($A721="","",IF(OR($E721="INFRUCTUEUX",$E721="ANNULE"),$A721&amp;"|"&amp;(COUNTIFS($A$2:$A721,$A721,$E$2:$E721,"INFRUCTUEUX")+COUNTIFS($A$2:$A721,$A721,$E$2:$E721,"ANNULE")),""))</f>
        <v/>
      </c>
    </row>
    <row r="722">
      <c r="A722">
        <f>IF(ISBLANK('ENGAGEMENTS 2026'!B722),"",IF('ENGAGEMENTS 2026'!B722="DTSI","DCT",'ENGAGEMENTS 2026'!B722))</f>
        <v/>
      </c>
      <c r="B722">
        <f>IF(ISBLANK('ENGAGEMENTS 2026'!B722),"",'ENGAGEMENTS 2026'!C722)</f>
        <v/>
      </c>
      <c r="C722">
        <f>IF(ISBLANK('ENGAGEMENTS 2026'!B722),"",'ENGAGEMENTS 2026'!D722)</f>
        <v/>
      </c>
      <c r="D722">
        <f>IF(ISBLANK('ENGAGEMENTS 2026'!B722),"",'ENGAGEMENTS 2026'!F722)</f>
        <v/>
      </c>
      <c r="E722">
        <f>IF(ISBLANK('ENGAGEMENTS 2026'!B722),"",'ENGAGEMENTS 2026'!H722)</f>
        <v/>
      </c>
      <c r="F722">
        <f>IF(ISBLANK('ENGAGEMENTS 2026'!B722),"",'ENGAGEMENTS 2026'!I722)</f>
        <v/>
      </c>
      <c r="G722">
        <f>IF(ISBLANK('ENGAGEMENTS 2026'!B722),"",'ENGAGEMENTS 2026'!L722)</f>
        <v/>
      </c>
      <c r="H722">
        <f>IF(ISBLANK('ENGAGEMENTS 2026'!B722),"",'ENGAGEMENTS 2026'!AE722)</f>
        <v/>
      </c>
      <c r="I722">
        <f>IF(ISBLANK('ENGAGEMENTS 2026'!B722),"",'ENGAGEMENTS 2026'!G722)</f>
        <v/>
      </c>
      <c r="J722" s="275">
        <f>IF(ISBLANK('ENGAGEMENTS 2026'!B722),"",IF(AND(OR($E722="INFRUCTUEUX",$E722="ANNULE"),$C722="AOO-M"),'ENGAGEMENTS 2026'!O722,IF($H722="EN COURS DE PREENGAGEMENT",'ENGAGEMENTS 2026'!N722,IF($H722="PREENGAGE",IF($E722="ATTRIBUE",'ENGAGEMENTS 2026'!AD722,'ENGAGEMENTS 2026'!N722),'ENGAGEMENTS 2026'!AD722))))</f>
        <v/>
      </c>
      <c r="K722" s="604">
        <f>IF(ISBLANK('ENGAGEMENTS 2026'!V722),"",'ENGAGEMENTS 2026'!V722)</f>
        <v/>
      </c>
      <c r="L722" s="276">
        <f>IF($K722="","",TODAY()-$K722)</f>
        <v/>
      </c>
      <c r="M722">
        <f>IF($A722="","",IF($H722="ENGAGE","Engagé",IF(AND($H722="NON ENGAGE",OR($I722="INFRUCTUEUX",$I722="ANNULE")),"Clôturé sans suite","En cours")))</f>
        <v/>
      </c>
      <c r="N722">
        <f>IF(ISBLANK('ENGAGEMENTS 2026'!B722),"",'ENGAGEMENTS 2026'!K722)</f>
        <v/>
      </c>
      <c r="O722">
        <f>IF(ISBLANK('ENGAGEMENTS 2026'!B722),"",'ENGAGEMENTS 2026'!L722)</f>
        <v/>
      </c>
      <c r="P722">
        <f>IF(ISBLANK('ENGAGEMENTS 2026'!B722),"",'ENGAGEMENTS 2026'!J722)</f>
        <v/>
      </c>
      <c r="Q722">
        <f>IF($A722="","",IF(OR($E722="INFRUCTUEUX",$E722="ANNULE"),$A722&amp;"|"&amp;(COUNTIFS($A$2:$A722,$A722,$E$2:$E722,"INFRUCTUEUX")+COUNTIFS($A$2:$A722,$A722,$E$2:$E722,"ANNULE")),""))</f>
        <v/>
      </c>
    </row>
    <row r="723">
      <c r="A723">
        <f>IF(ISBLANK('ENGAGEMENTS 2026'!B723),"",IF('ENGAGEMENTS 2026'!B723="DTSI","DCT",'ENGAGEMENTS 2026'!B723))</f>
        <v/>
      </c>
      <c r="B723">
        <f>IF(ISBLANK('ENGAGEMENTS 2026'!B723),"",'ENGAGEMENTS 2026'!C723)</f>
        <v/>
      </c>
      <c r="C723">
        <f>IF(ISBLANK('ENGAGEMENTS 2026'!B723),"",'ENGAGEMENTS 2026'!D723)</f>
        <v/>
      </c>
      <c r="D723">
        <f>IF(ISBLANK('ENGAGEMENTS 2026'!B723),"",'ENGAGEMENTS 2026'!F723)</f>
        <v/>
      </c>
      <c r="E723">
        <f>IF(ISBLANK('ENGAGEMENTS 2026'!B723),"",'ENGAGEMENTS 2026'!H723)</f>
        <v/>
      </c>
      <c r="F723">
        <f>IF(ISBLANK('ENGAGEMENTS 2026'!B723),"",'ENGAGEMENTS 2026'!I723)</f>
        <v/>
      </c>
      <c r="G723">
        <f>IF(ISBLANK('ENGAGEMENTS 2026'!B723),"",'ENGAGEMENTS 2026'!L723)</f>
        <v/>
      </c>
      <c r="H723">
        <f>IF(ISBLANK('ENGAGEMENTS 2026'!B723),"",'ENGAGEMENTS 2026'!AE723)</f>
        <v/>
      </c>
      <c r="I723">
        <f>IF(ISBLANK('ENGAGEMENTS 2026'!B723),"",'ENGAGEMENTS 2026'!G723)</f>
        <v/>
      </c>
      <c r="J723" s="275">
        <f>IF(ISBLANK('ENGAGEMENTS 2026'!B723),"",IF(AND(OR($E723="INFRUCTUEUX",$E723="ANNULE"),$C723="AOO-M"),'ENGAGEMENTS 2026'!O723,IF($H723="EN COURS DE PREENGAGEMENT",'ENGAGEMENTS 2026'!N723,IF($H723="PREENGAGE",IF($E723="ATTRIBUE",'ENGAGEMENTS 2026'!AD723,'ENGAGEMENTS 2026'!N723),'ENGAGEMENTS 2026'!AD723))))</f>
        <v/>
      </c>
      <c r="K723" s="604">
        <f>IF(ISBLANK('ENGAGEMENTS 2026'!V723),"",'ENGAGEMENTS 2026'!V723)</f>
        <v/>
      </c>
      <c r="L723" s="276">
        <f>IF($K723="","",TODAY()-$K723)</f>
        <v/>
      </c>
      <c r="M723">
        <f>IF($A723="","",IF($H723="ENGAGE","Engagé",IF(AND($H723="NON ENGAGE",OR($I723="INFRUCTUEUX",$I723="ANNULE")),"Clôturé sans suite","En cours")))</f>
        <v/>
      </c>
      <c r="N723">
        <f>IF(ISBLANK('ENGAGEMENTS 2026'!B723),"",'ENGAGEMENTS 2026'!K723)</f>
        <v/>
      </c>
      <c r="O723">
        <f>IF(ISBLANK('ENGAGEMENTS 2026'!B723),"",'ENGAGEMENTS 2026'!L723)</f>
        <v/>
      </c>
      <c r="P723">
        <f>IF(ISBLANK('ENGAGEMENTS 2026'!B723),"",'ENGAGEMENTS 2026'!J723)</f>
        <v/>
      </c>
      <c r="Q723">
        <f>IF($A723="","",IF(OR($E723="INFRUCTUEUX",$E723="ANNULE"),$A723&amp;"|"&amp;(COUNTIFS($A$2:$A723,$A723,$E$2:$E723,"INFRUCTUEUX")+COUNTIFS($A$2:$A723,$A723,$E$2:$E723,"ANNULE")),""))</f>
        <v/>
      </c>
    </row>
    <row r="724">
      <c r="A724">
        <f>IF(ISBLANK('ENGAGEMENTS 2026'!B724),"",IF('ENGAGEMENTS 2026'!B724="DTSI","DCT",'ENGAGEMENTS 2026'!B724))</f>
        <v/>
      </c>
      <c r="B724">
        <f>IF(ISBLANK('ENGAGEMENTS 2026'!B724),"",'ENGAGEMENTS 2026'!C724)</f>
        <v/>
      </c>
      <c r="C724">
        <f>IF(ISBLANK('ENGAGEMENTS 2026'!B724),"",'ENGAGEMENTS 2026'!D724)</f>
        <v/>
      </c>
      <c r="D724">
        <f>IF(ISBLANK('ENGAGEMENTS 2026'!B724),"",'ENGAGEMENTS 2026'!F724)</f>
        <v/>
      </c>
      <c r="E724">
        <f>IF(ISBLANK('ENGAGEMENTS 2026'!B724),"",'ENGAGEMENTS 2026'!H724)</f>
        <v/>
      </c>
      <c r="F724">
        <f>IF(ISBLANK('ENGAGEMENTS 2026'!B724),"",'ENGAGEMENTS 2026'!I724)</f>
        <v/>
      </c>
      <c r="G724">
        <f>IF(ISBLANK('ENGAGEMENTS 2026'!B724),"",'ENGAGEMENTS 2026'!L724)</f>
        <v/>
      </c>
      <c r="H724">
        <f>IF(ISBLANK('ENGAGEMENTS 2026'!B724),"",'ENGAGEMENTS 2026'!AE724)</f>
        <v/>
      </c>
      <c r="I724">
        <f>IF(ISBLANK('ENGAGEMENTS 2026'!B724),"",'ENGAGEMENTS 2026'!G724)</f>
        <v/>
      </c>
      <c r="J724" s="275">
        <f>IF(ISBLANK('ENGAGEMENTS 2026'!B724),"",IF(AND(OR($E724="INFRUCTUEUX",$E724="ANNULE"),$C724="AOO-M"),'ENGAGEMENTS 2026'!O724,IF($H724="EN COURS DE PREENGAGEMENT",'ENGAGEMENTS 2026'!N724,IF($H724="PREENGAGE",IF($E724="ATTRIBUE",'ENGAGEMENTS 2026'!AD724,'ENGAGEMENTS 2026'!N724),'ENGAGEMENTS 2026'!AD724))))</f>
        <v/>
      </c>
      <c r="K724" s="604">
        <f>IF(ISBLANK('ENGAGEMENTS 2026'!V724),"",'ENGAGEMENTS 2026'!V724)</f>
        <v/>
      </c>
      <c r="L724" s="276">
        <f>IF($K724="","",TODAY()-$K724)</f>
        <v/>
      </c>
      <c r="M724">
        <f>IF($A724="","",IF($H724="ENGAGE","Engagé",IF(AND($H724="NON ENGAGE",OR($I724="INFRUCTUEUX",$I724="ANNULE")),"Clôturé sans suite","En cours")))</f>
        <v/>
      </c>
      <c r="N724">
        <f>IF(ISBLANK('ENGAGEMENTS 2026'!B724),"",'ENGAGEMENTS 2026'!K724)</f>
        <v/>
      </c>
      <c r="O724">
        <f>IF(ISBLANK('ENGAGEMENTS 2026'!B724),"",'ENGAGEMENTS 2026'!L724)</f>
        <v/>
      </c>
      <c r="P724">
        <f>IF(ISBLANK('ENGAGEMENTS 2026'!B724),"",'ENGAGEMENTS 2026'!J724)</f>
        <v/>
      </c>
      <c r="Q724">
        <f>IF($A724="","",IF(OR($E724="INFRUCTUEUX",$E724="ANNULE"),$A724&amp;"|"&amp;(COUNTIFS($A$2:$A724,$A724,$E$2:$E724,"INFRUCTUEUX")+COUNTIFS($A$2:$A724,$A724,$E$2:$E724,"ANNULE")),""))</f>
        <v/>
      </c>
    </row>
    <row r="725">
      <c r="A725">
        <f>IF(ISBLANK('ENGAGEMENTS 2026'!B725),"",IF('ENGAGEMENTS 2026'!B725="DTSI","DCT",'ENGAGEMENTS 2026'!B725))</f>
        <v/>
      </c>
      <c r="B725">
        <f>IF(ISBLANK('ENGAGEMENTS 2026'!B725),"",'ENGAGEMENTS 2026'!C725)</f>
        <v/>
      </c>
      <c r="C725">
        <f>IF(ISBLANK('ENGAGEMENTS 2026'!B725),"",'ENGAGEMENTS 2026'!D725)</f>
        <v/>
      </c>
      <c r="D725">
        <f>IF(ISBLANK('ENGAGEMENTS 2026'!B725),"",'ENGAGEMENTS 2026'!F725)</f>
        <v/>
      </c>
      <c r="E725">
        <f>IF(ISBLANK('ENGAGEMENTS 2026'!B725),"",'ENGAGEMENTS 2026'!H725)</f>
        <v/>
      </c>
      <c r="F725">
        <f>IF(ISBLANK('ENGAGEMENTS 2026'!B725),"",'ENGAGEMENTS 2026'!I725)</f>
        <v/>
      </c>
      <c r="G725">
        <f>IF(ISBLANK('ENGAGEMENTS 2026'!B725),"",'ENGAGEMENTS 2026'!L725)</f>
        <v/>
      </c>
      <c r="H725">
        <f>IF(ISBLANK('ENGAGEMENTS 2026'!B725),"",'ENGAGEMENTS 2026'!AE725)</f>
        <v/>
      </c>
      <c r="I725">
        <f>IF(ISBLANK('ENGAGEMENTS 2026'!B725),"",'ENGAGEMENTS 2026'!G725)</f>
        <v/>
      </c>
      <c r="J725" s="275">
        <f>IF(ISBLANK('ENGAGEMENTS 2026'!B725),"",IF(AND(OR($E725="INFRUCTUEUX",$E725="ANNULE"),$C725="AOO-M"),'ENGAGEMENTS 2026'!O725,IF($H725="EN COURS DE PREENGAGEMENT",'ENGAGEMENTS 2026'!N725,IF($H725="PREENGAGE",IF($E725="ATTRIBUE",'ENGAGEMENTS 2026'!AD725,'ENGAGEMENTS 2026'!N725),'ENGAGEMENTS 2026'!AD725))))</f>
        <v/>
      </c>
      <c r="K725" s="604">
        <f>IF(ISBLANK('ENGAGEMENTS 2026'!V725),"",'ENGAGEMENTS 2026'!V725)</f>
        <v/>
      </c>
      <c r="L725" s="276">
        <f>IF($K725="","",TODAY()-$K725)</f>
        <v/>
      </c>
      <c r="M725">
        <f>IF($A725="","",IF($H725="ENGAGE","Engagé",IF(AND($H725="NON ENGAGE",OR($I725="INFRUCTUEUX",$I725="ANNULE")),"Clôturé sans suite","En cours")))</f>
        <v/>
      </c>
      <c r="N725">
        <f>IF(ISBLANK('ENGAGEMENTS 2026'!B725),"",'ENGAGEMENTS 2026'!K725)</f>
        <v/>
      </c>
      <c r="O725">
        <f>IF(ISBLANK('ENGAGEMENTS 2026'!B725),"",'ENGAGEMENTS 2026'!L725)</f>
        <v/>
      </c>
      <c r="P725">
        <f>IF(ISBLANK('ENGAGEMENTS 2026'!B725),"",'ENGAGEMENTS 2026'!J725)</f>
        <v/>
      </c>
      <c r="Q725">
        <f>IF($A725="","",IF(OR($E725="INFRUCTUEUX",$E725="ANNULE"),$A725&amp;"|"&amp;(COUNTIFS($A$2:$A725,$A725,$E$2:$E725,"INFRUCTUEUX")+COUNTIFS($A$2:$A725,$A725,$E$2:$E725,"ANNULE")),""))</f>
        <v/>
      </c>
    </row>
    <row r="726">
      <c r="A726">
        <f>IF(ISBLANK('ENGAGEMENTS 2026'!B726),"",IF('ENGAGEMENTS 2026'!B726="DTSI","DCT",'ENGAGEMENTS 2026'!B726))</f>
        <v/>
      </c>
      <c r="B726">
        <f>IF(ISBLANK('ENGAGEMENTS 2026'!B726),"",'ENGAGEMENTS 2026'!C726)</f>
        <v/>
      </c>
      <c r="C726">
        <f>IF(ISBLANK('ENGAGEMENTS 2026'!B726),"",'ENGAGEMENTS 2026'!D726)</f>
        <v/>
      </c>
      <c r="D726">
        <f>IF(ISBLANK('ENGAGEMENTS 2026'!B726),"",'ENGAGEMENTS 2026'!F726)</f>
        <v/>
      </c>
      <c r="E726">
        <f>IF(ISBLANK('ENGAGEMENTS 2026'!B726),"",'ENGAGEMENTS 2026'!H726)</f>
        <v/>
      </c>
      <c r="F726">
        <f>IF(ISBLANK('ENGAGEMENTS 2026'!B726),"",'ENGAGEMENTS 2026'!I726)</f>
        <v/>
      </c>
      <c r="G726">
        <f>IF(ISBLANK('ENGAGEMENTS 2026'!B726),"",'ENGAGEMENTS 2026'!L726)</f>
        <v/>
      </c>
      <c r="H726">
        <f>IF(ISBLANK('ENGAGEMENTS 2026'!B726),"",'ENGAGEMENTS 2026'!AE726)</f>
        <v/>
      </c>
      <c r="I726">
        <f>IF(ISBLANK('ENGAGEMENTS 2026'!B726),"",'ENGAGEMENTS 2026'!G726)</f>
        <v/>
      </c>
      <c r="J726" s="275">
        <f>IF(ISBLANK('ENGAGEMENTS 2026'!B726),"",IF(AND(OR($E726="INFRUCTUEUX",$E726="ANNULE"),$C726="AOO-M"),'ENGAGEMENTS 2026'!O726,IF($H726="EN COURS DE PREENGAGEMENT",'ENGAGEMENTS 2026'!N726,IF($H726="PREENGAGE",IF($E726="ATTRIBUE",'ENGAGEMENTS 2026'!AD726,'ENGAGEMENTS 2026'!N726),'ENGAGEMENTS 2026'!AD726))))</f>
        <v/>
      </c>
      <c r="K726" s="604">
        <f>IF(ISBLANK('ENGAGEMENTS 2026'!V726),"",'ENGAGEMENTS 2026'!V726)</f>
        <v/>
      </c>
      <c r="L726" s="276">
        <f>IF($K726="","",TODAY()-$K726)</f>
        <v/>
      </c>
      <c r="M726">
        <f>IF($A726="","",IF($H726="ENGAGE","Engagé",IF(AND($H726="NON ENGAGE",OR($I726="INFRUCTUEUX",$I726="ANNULE")),"Clôturé sans suite","En cours")))</f>
        <v/>
      </c>
      <c r="N726">
        <f>IF(ISBLANK('ENGAGEMENTS 2026'!B726),"",'ENGAGEMENTS 2026'!K726)</f>
        <v/>
      </c>
      <c r="O726">
        <f>IF(ISBLANK('ENGAGEMENTS 2026'!B726),"",'ENGAGEMENTS 2026'!L726)</f>
        <v/>
      </c>
      <c r="P726">
        <f>IF(ISBLANK('ENGAGEMENTS 2026'!B726),"",'ENGAGEMENTS 2026'!J726)</f>
        <v/>
      </c>
      <c r="Q726">
        <f>IF($A726="","",IF(OR($E726="INFRUCTUEUX",$E726="ANNULE"),$A726&amp;"|"&amp;(COUNTIFS($A$2:$A726,$A726,$E$2:$E726,"INFRUCTUEUX")+COUNTIFS($A$2:$A726,$A726,$E$2:$E726,"ANNULE")),""))</f>
        <v/>
      </c>
    </row>
    <row r="727">
      <c r="A727">
        <f>IF(ISBLANK('ENGAGEMENTS 2026'!B727),"",IF('ENGAGEMENTS 2026'!B727="DTSI","DCT",'ENGAGEMENTS 2026'!B727))</f>
        <v/>
      </c>
      <c r="B727">
        <f>IF(ISBLANK('ENGAGEMENTS 2026'!B727),"",'ENGAGEMENTS 2026'!C727)</f>
        <v/>
      </c>
      <c r="C727">
        <f>IF(ISBLANK('ENGAGEMENTS 2026'!B727),"",'ENGAGEMENTS 2026'!D727)</f>
        <v/>
      </c>
      <c r="D727">
        <f>IF(ISBLANK('ENGAGEMENTS 2026'!B727),"",'ENGAGEMENTS 2026'!F727)</f>
        <v/>
      </c>
      <c r="E727">
        <f>IF(ISBLANK('ENGAGEMENTS 2026'!B727),"",'ENGAGEMENTS 2026'!H727)</f>
        <v/>
      </c>
      <c r="F727">
        <f>IF(ISBLANK('ENGAGEMENTS 2026'!B727),"",'ENGAGEMENTS 2026'!I727)</f>
        <v/>
      </c>
      <c r="G727">
        <f>IF(ISBLANK('ENGAGEMENTS 2026'!B727),"",'ENGAGEMENTS 2026'!L727)</f>
        <v/>
      </c>
      <c r="H727">
        <f>IF(ISBLANK('ENGAGEMENTS 2026'!B727),"",'ENGAGEMENTS 2026'!AE727)</f>
        <v/>
      </c>
      <c r="I727">
        <f>IF(ISBLANK('ENGAGEMENTS 2026'!B727),"",'ENGAGEMENTS 2026'!G727)</f>
        <v/>
      </c>
      <c r="J727" s="275">
        <f>IF(ISBLANK('ENGAGEMENTS 2026'!B727),"",IF(AND(OR($E727="INFRUCTUEUX",$E727="ANNULE"),$C727="AOO-M"),'ENGAGEMENTS 2026'!O727,IF($H727="EN COURS DE PREENGAGEMENT",'ENGAGEMENTS 2026'!N727,IF($H727="PREENGAGE",IF($E727="ATTRIBUE",'ENGAGEMENTS 2026'!AD727,'ENGAGEMENTS 2026'!N727),'ENGAGEMENTS 2026'!AD727))))</f>
        <v/>
      </c>
      <c r="K727" s="604">
        <f>IF(ISBLANK('ENGAGEMENTS 2026'!V727),"",'ENGAGEMENTS 2026'!V727)</f>
        <v/>
      </c>
      <c r="L727" s="276">
        <f>IF($K727="","",TODAY()-$K727)</f>
        <v/>
      </c>
      <c r="M727">
        <f>IF($A727="","",IF($H727="ENGAGE","Engagé",IF(AND($H727="NON ENGAGE",OR($I727="INFRUCTUEUX",$I727="ANNULE")),"Clôturé sans suite","En cours")))</f>
        <v/>
      </c>
      <c r="N727">
        <f>IF(ISBLANK('ENGAGEMENTS 2026'!B727),"",'ENGAGEMENTS 2026'!K727)</f>
        <v/>
      </c>
      <c r="O727">
        <f>IF(ISBLANK('ENGAGEMENTS 2026'!B727),"",'ENGAGEMENTS 2026'!L727)</f>
        <v/>
      </c>
      <c r="P727">
        <f>IF(ISBLANK('ENGAGEMENTS 2026'!B727),"",'ENGAGEMENTS 2026'!J727)</f>
        <v/>
      </c>
      <c r="Q727">
        <f>IF($A727="","",IF(OR($E727="INFRUCTUEUX",$E727="ANNULE"),$A727&amp;"|"&amp;(COUNTIFS($A$2:$A727,$A727,$E$2:$E727,"INFRUCTUEUX")+COUNTIFS($A$2:$A727,$A727,$E$2:$E727,"ANNULE")),""))</f>
        <v/>
      </c>
    </row>
    <row r="728">
      <c r="A728">
        <f>IF(ISBLANK('ENGAGEMENTS 2026'!B728),"",IF('ENGAGEMENTS 2026'!B728="DTSI","DCT",'ENGAGEMENTS 2026'!B728))</f>
        <v/>
      </c>
      <c r="B728">
        <f>IF(ISBLANK('ENGAGEMENTS 2026'!B728),"",'ENGAGEMENTS 2026'!C728)</f>
        <v/>
      </c>
      <c r="C728">
        <f>IF(ISBLANK('ENGAGEMENTS 2026'!B728),"",'ENGAGEMENTS 2026'!D728)</f>
        <v/>
      </c>
      <c r="D728">
        <f>IF(ISBLANK('ENGAGEMENTS 2026'!B728),"",'ENGAGEMENTS 2026'!F728)</f>
        <v/>
      </c>
      <c r="E728">
        <f>IF(ISBLANK('ENGAGEMENTS 2026'!B728),"",'ENGAGEMENTS 2026'!H728)</f>
        <v/>
      </c>
      <c r="F728">
        <f>IF(ISBLANK('ENGAGEMENTS 2026'!B728),"",'ENGAGEMENTS 2026'!I728)</f>
        <v/>
      </c>
      <c r="G728">
        <f>IF(ISBLANK('ENGAGEMENTS 2026'!B728),"",'ENGAGEMENTS 2026'!L728)</f>
        <v/>
      </c>
      <c r="H728">
        <f>IF(ISBLANK('ENGAGEMENTS 2026'!B728),"",'ENGAGEMENTS 2026'!AE728)</f>
        <v/>
      </c>
      <c r="I728">
        <f>IF(ISBLANK('ENGAGEMENTS 2026'!B728),"",'ENGAGEMENTS 2026'!G728)</f>
        <v/>
      </c>
      <c r="J728" s="275">
        <f>IF(ISBLANK('ENGAGEMENTS 2026'!B728),"",IF(AND(OR($E728="INFRUCTUEUX",$E728="ANNULE"),$C728="AOO-M"),'ENGAGEMENTS 2026'!O728,IF($H728="EN COURS DE PREENGAGEMENT",'ENGAGEMENTS 2026'!N728,IF($H728="PREENGAGE",IF($E728="ATTRIBUE",'ENGAGEMENTS 2026'!AD728,'ENGAGEMENTS 2026'!N728),'ENGAGEMENTS 2026'!AD728))))</f>
        <v/>
      </c>
      <c r="K728" s="604">
        <f>IF(ISBLANK('ENGAGEMENTS 2026'!V728),"",'ENGAGEMENTS 2026'!V728)</f>
        <v/>
      </c>
      <c r="L728" s="276">
        <f>IF($K728="","",TODAY()-$K728)</f>
        <v/>
      </c>
      <c r="M728">
        <f>IF($A728="","",IF($H728="ENGAGE","Engagé",IF(AND($H728="NON ENGAGE",OR($I728="INFRUCTUEUX",$I728="ANNULE")),"Clôturé sans suite","En cours")))</f>
        <v/>
      </c>
      <c r="N728">
        <f>IF(ISBLANK('ENGAGEMENTS 2026'!B728),"",'ENGAGEMENTS 2026'!K728)</f>
        <v/>
      </c>
      <c r="O728">
        <f>IF(ISBLANK('ENGAGEMENTS 2026'!B728),"",'ENGAGEMENTS 2026'!L728)</f>
        <v/>
      </c>
      <c r="P728">
        <f>IF(ISBLANK('ENGAGEMENTS 2026'!B728),"",'ENGAGEMENTS 2026'!J728)</f>
        <v/>
      </c>
      <c r="Q728">
        <f>IF($A728="","",IF(OR($E728="INFRUCTUEUX",$E728="ANNULE"),$A728&amp;"|"&amp;(COUNTIFS($A$2:$A728,$A728,$E$2:$E728,"INFRUCTUEUX")+COUNTIFS($A$2:$A728,$A728,$E$2:$E728,"ANNULE")),""))</f>
        <v/>
      </c>
    </row>
    <row r="729">
      <c r="A729">
        <f>IF(ISBLANK('ENGAGEMENTS 2026'!B729),"",IF('ENGAGEMENTS 2026'!B729="DTSI","DCT",'ENGAGEMENTS 2026'!B729))</f>
        <v/>
      </c>
      <c r="B729">
        <f>IF(ISBLANK('ENGAGEMENTS 2026'!B729),"",'ENGAGEMENTS 2026'!C729)</f>
        <v/>
      </c>
      <c r="C729">
        <f>IF(ISBLANK('ENGAGEMENTS 2026'!B729),"",'ENGAGEMENTS 2026'!D729)</f>
        <v/>
      </c>
      <c r="D729">
        <f>IF(ISBLANK('ENGAGEMENTS 2026'!B729),"",'ENGAGEMENTS 2026'!F729)</f>
        <v/>
      </c>
      <c r="E729">
        <f>IF(ISBLANK('ENGAGEMENTS 2026'!B729),"",'ENGAGEMENTS 2026'!H729)</f>
        <v/>
      </c>
      <c r="F729">
        <f>IF(ISBLANK('ENGAGEMENTS 2026'!B729),"",'ENGAGEMENTS 2026'!I729)</f>
        <v/>
      </c>
      <c r="G729">
        <f>IF(ISBLANK('ENGAGEMENTS 2026'!B729),"",'ENGAGEMENTS 2026'!L729)</f>
        <v/>
      </c>
      <c r="H729">
        <f>IF(ISBLANK('ENGAGEMENTS 2026'!B729),"",'ENGAGEMENTS 2026'!AE729)</f>
        <v/>
      </c>
      <c r="I729">
        <f>IF(ISBLANK('ENGAGEMENTS 2026'!B729),"",'ENGAGEMENTS 2026'!G729)</f>
        <v/>
      </c>
      <c r="J729" s="275">
        <f>IF(ISBLANK('ENGAGEMENTS 2026'!B729),"",IF(AND(OR($E729="INFRUCTUEUX",$E729="ANNULE"),$C729="AOO-M"),'ENGAGEMENTS 2026'!O729,IF($H729="EN COURS DE PREENGAGEMENT",'ENGAGEMENTS 2026'!N729,IF($H729="PREENGAGE",IF($E729="ATTRIBUE",'ENGAGEMENTS 2026'!AD729,'ENGAGEMENTS 2026'!N729),'ENGAGEMENTS 2026'!AD729))))</f>
        <v/>
      </c>
      <c r="K729" s="604">
        <f>IF(ISBLANK('ENGAGEMENTS 2026'!V729),"",'ENGAGEMENTS 2026'!V729)</f>
        <v/>
      </c>
      <c r="L729" s="276">
        <f>IF($K729="","",TODAY()-$K729)</f>
        <v/>
      </c>
      <c r="M729">
        <f>IF($A729="","",IF($H729="ENGAGE","Engagé",IF(AND($H729="NON ENGAGE",OR($I729="INFRUCTUEUX",$I729="ANNULE")),"Clôturé sans suite","En cours")))</f>
        <v/>
      </c>
      <c r="N729">
        <f>IF(ISBLANK('ENGAGEMENTS 2026'!B729),"",'ENGAGEMENTS 2026'!K729)</f>
        <v/>
      </c>
      <c r="O729">
        <f>IF(ISBLANK('ENGAGEMENTS 2026'!B729),"",'ENGAGEMENTS 2026'!L729)</f>
        <v/>
      </c>
      <c r="P729">
        <f>IF(ISBLANK('ENGAGEMENTS 2026'!B729),"",'ENGAGEMENTS 2026'!J729)</f>
        <v/>
      </c>
      <c r="Q729">
        <f>IF($A729="","",IF(OR($E729="INFRUCTUEUX",$E729="ANNULE"),$A729&amp;"|"&amp;(COUNTIFS($A$2:$A729,$A729,$E$2:$E729,"INFRUCTUEUX")+COUNTIFS($A$2:$A729,$A729,$E$2:$E729,"ANNULE")),""))</f>
        <v/>
      </c>
    </row>
    <row r="730">
      <c r="A730">
        <f>IF(ISBLANK('ENGAGEMENTS 2026'!B730),"",IF('ENGAGEMENTS 2026'!B730="DTSI","DCT",'ENGAGEMENTS 2026'!B730))</f>
        <v/>
      </c>
      <c r="B730">
        <f>IF(ISBLANK('ENGAGEMENTS 2026'!B730),"",'ENGAGEMENTS 2026'!C730)</f>
        <v/>
      </c>
      <c r="C730">
        <f>IF(ISBLANK('ENGAGEMENTS 2026'!B730),"",'ENGAGEMENTS 2026'!D730)</f>
        <v/>
      </c>
      <c r="D730">
        <f>IF(ISBLANK('ENGAGEMENTS 2026'!B730),"",'ENGAGEMENTS 2026'!F730)</f>
        <v/>
      </c>
      <c r="E730">
        <f>IF(ISBLANK('ENGAGEMENTS 2026'!B730),"",'ENGAGEMENTS 2026'!H730)</f>
        <v/>
      </c>
      <c r="F730">
        <f>IF(ISBLANK('ENGAGEMENTS 2026'!B730),"",'ENGAGEMENTS 2026'!I730)</f>
        <v/>
      </c>
      <c r="G730">
        <f>IF(ISBLANK('ENGAGEMENTS 2026'!B730),"",'ENGAGEMENTS 2026'!L730)</f>
        <v/>
      </c>
      <c r="H730">
        <f>IF(ISBLANK('ENGAGEMENTS 2026'!B730),"",'ENGAGEMENTS 2026'!AE730)</f>
        <v/>
      </c>
      <c r="I730">
        <f>IF(ISBLANK('ENGAGEMENTS 2026'!B730),"",'ENGAGEMENTS 2026'!G730)</f>
        <v/>
      </c>
      <c r="J730" s="275">
        <f>IF(ISBLANK('ENGAGEMENTS 2026'!B730),"",IF(AND(OR($E730="INFRUCTUEUX",$E730="ANNULE"),$C730="AOO-M"),'ENGAGEMENTS 2026'!O730,IF($H730="EN COURS DE PREENGAGEMENT",'ENGAGEMENTS 2026'!N730,IF($H730="PREENGAGE",IF($E730="ATTRIBUE",'ENGAGEMENTS 2026'!AD730,'ENGAGEMENTS 2026'!N730),'ENGAGEMENTS 2026'!AD730))))</f>
        <v/>
      </c>
      <c r="K730" s="604">
        <f>IF(ISBLANK('ENGAGEMENTS 2026'!V730),"",'ENGAGEMENTS 2026'!V730)</f>
        <v/>
      </c>
      <c r="L730" s="276">
        <f>IF($K730="","",TODAY()-$K730)</f>
        <v/>
      </c>
      <c r="M730">
        <f>IF($A730="","",IF($H730="ENGAGE","Engagé",IF(AND($H730="NON ENGAGE",OR($I730="INFRUCTUEUX",$I730="ANNULE")),"Clôturé sans suite","En cours")))</f>
        <v/>
      </c>
      <c r="N730">
        <f>IF(ISBLANK('ENGAGEMENTS 2026'!B730),"",'ENGAGEMENTS 2026'!K730)</f>
        <v/>
      </c>
      <c r="O730">
        <f>IF(ISBLANK('ENGAGEMENTS 2026'!B730),"",'ENGAGEMENTS 2026'!L730)</f>
        <v/>
      </c>
      <c r="P730">
        <f>IF(ISBLANK('ENGAGEMENTS 2026'!B730),"",'ENGAGEMENTS 2026'!J730)</f>
        <v/>
      </c>
      <c r="Q730">
        <f>IF($A730="","",IF(OR($E730="INFRUCTUEUX",$E730="ANNULE"),$A730&amp;"|"&amp;(COUNTIFS($A$2:$A730,$A730,$E$2:$E730,"INFRUCTUEUX")+COUNTIFS($A$2:$A730,$A730,$E$2:$E730,"ANNULE")),""))</f>
        <v/>
      </c>
    </row>
    <row r="731">
      <c r="A731">
        <f>IF(ISBLANK('ENGAGEMENTS 2026'!B731),"",IF('ENGAGEMENTS 2026'!B731="DTSI","DCT",'ENGAGEMENTS 2026'!B731))</f>
        <v/>
      </c>
      <c r="B731">
        <f>IF(ISBLANK('ENGAGEMENTS 2026'!B731),"",'ENGAGEMENTS 2026'!C731)</f>
        <v/>
      </c>
      <c r="C731">
        <f>IF(ISBLANK('ENGAGEMENTS 2026'!B731),"",'ENGAGEMENTS 2026'!D731)</f>
        <v/>
      </c>
      <c r="D731">
        <f>IF(ISBLANK('ENGAGEMENTS 2026'!B731),"",'ENGAGEMENTS 2026'!F731)</f>
        <v/>
      </c>
      <c r="E731">
        <f>IF(ISBLANK('ENGAGEMENTS 2026'!B731),"",'ENGAGEMENTS 2026'!H731)</f>
        <v/>
      </c>
      <c r="F731">
        <f>IF(ISBLANK('ENGAGEMENTS 2026'!B731),"",'ENGAGEMENTS 2026'!I731)</f>
        <v/>
      </c>
      <c r="G731">
        <f>IF(ISBLANK('ENGAGEMENTS 2026'!B731),"",'ENGAGEMENTS 2026'!L731)</f>
        <v/>
      </c>
      <c r="H731">
        <f>IF(ISBLANK('ENGAGEMENTS 2026'!B731),"",'ENGAGEMENTS 2026'!AE731)</f>
        <v/>
      </c>
      <c r="I731">
        <f>IF(ISBLANK('ENGAGEMENTS 2026'!B731),"",'ENGAGEMENTS 2026'!G731)</f>
        <v/>
      </c>
      <c r="J731" s="275">
        <f>IF(ISBLANK('ENGAGEMENTS 2026'!B731),"",IF(AND(OR($E731="INFRUCTUEUX",$E731="ANNULE"),$C731="AOO-M"),'ENGAGEMENTS 2026'!O731,IF($H731="EN COURS DE PREENGAGEMENT",'ENGAGEMENTS 2026'!N731,IF($H731="PREENGAGE",IF($E731="ATTRIBUE",'ENGAGEMENTS 2026'!AD731,'ENGAGEMENTS 2026'!N731),'ENGAGEMENTS 2026'!AD731))))</f>
        <v/>
      </c>
      <c r="K731" s="604">
        <f>IF(ISBLANK('ENGAGEMENTS 2026'!V731),"",'ENGAGEMENTS 2026'!V731)</f>
        <v/>
      </c>
      <c r="L731" s="276">
        <f>IF($K731="","",TODAY()-$K731)</f>
        <v/>
      </c>
      <c r="M731">
        <f>IF($A731="","",IF($H731="ENGAGE","Engagé",IF(AND($H731="NON ENGAGE",OR($I731="INFRUCTUEUX",$I731="ANNULE")),"Clôturé sans suite","En cours")))</f>
        <v/>
      </c>
      <c r="N731">
        <f>IF(ISBLANK('ENGAGEMENTS 2026'!B731),"",'ENGAGEMENTS 2026'!K731)</f>
        <v/>
      </c>
      <c r="O731">
        <f>IF(ISBLANK('ENGAGEMENTS 2026'!B731),"",'ENGAGEMENTS 2026'!L731)</f>
        <v/>
      </c>
      <c r="P731">
        <f>IF(ISBLANK('ENGAGEMENTS 2026'!B731),"",'ENGAGEMENTS 2026'!J731)</f>
        <v/>
      </c>
      <c r="Q731">
        <f>IF($A731="","",IF(OR($E731="INFRUCTUEUX",$E731="ANNULE"),$A731&amp;"|"&amp;(COUNTIFS($A$2:$A731,$A731,$E$2:$E731,"INFRUCTUEUX")+COUNTIFS($A$2:$A731,$A731,$E$2:$E731,"ANNULE")),""))</f>
        <v/>
      </c>
    </row>
    <row r="732">
      <c r="A732">
        <f>IF(ISBLANK('ENGAGEMENTS 2026'!B732),"",IF('ENGAGEMENTS 2026'!B732="DTSI","DCT",'ENGAGEMENTS 2026'!B732))</f>
        <v/>
      </c>
      <c r="B732">
        <f>IF(ISBLANK('ENGAGEMENTS 2026'!B732),"",'ENGAGEMENTS 2026'!C732)</f>
        <v/>
      </c>
      <c r="C732">
        <f>IF(ISBLANK('ENGAGEMENTS 2026'!B732),"",'ENGAGEMENTS 2026'!D732)</f>
        <v/>
      </c>
      <c r="D732">
        <f>IF(ISBLANK('ENGAGEMENTS 2026'!B732),"",'ENGAGEMENTS 2026'!F732)</f>
        <v/>
      </c>
      <c r="E732">
        <f>IF(ISBLANK('ENGAGEMENTS 2026'!B732),"",'ENGAGEMENTS 2026'!H732)</f>
        <v/>
      </c>
      <c r="F732">
        <f>IF(ISBLANK('ENGAGEMENTS 2026'!B732),"",'ENGAGEMENTS 2026'!I732)</f>
        <v/>
      </c>
      <c r="G732">
        <f>IF(ISBLANK('ENGAGEMENTS 2026'!B732),"",'ENGAGEMENTS 2026'!L732)</f>
        <v/>
      </c>
      <c r="H732">
        <f>IF(ISBLANK('ENGAGEMENTS 2026'!B732),"",'ENGAGEMENTS 2026'!AE732)</f>
        <v/>
      </c>
      <c r="I732">
        <f>IF(ISBLANK('ENGAGEMENTS 2026'!B732),"",'ENGAGEMENTS 2026'!G732)</f>
        <v/>
      </c>
      <c r="J732" s="275">
        <f>IF(ISBLANK('ENGAGEMENTS 2026'!B732),"",IF(AND(OR($E732="INFRUCTUEUX",$E732="ANNULE"),$C732="AOO-M"),'ENGAGEMENTS 2026'!O732,IF($H732="EN COURS DE PREENGAGEMENT",'ENGAGEMENTS 2026'!N732,IF($H732="PREENGAGE",IF($E732="ATTRIBUE",'ENGAGEMENTS 2026'!AD732,'ENGAGEMENTS 2026'!N732),'ENGAGEMENTS 2026'!AD732))))</f>
        <v/>
      </c>
      <c r="K732" s="604">
        <f>IF(ISBLANK('ENGAGEMENTS 2026'!V732),"",'ENGAGEMENTS 2026'!V732)</f>
        <v/>
      </c>
      <c r="L732" s="276">
        <f>IF($K732="","",TODAY()-$K732)</f>
        <v/>
      </c>
      <c r="M732">
        <f>IF($A732="","",IF($H732="ENGAGE","Engagé",IF(AND($H732="NON ENGAGE",OR($I732="INFRUCTUEUX",$I732="ANNULE")),"Clôturé sans suite","En cours")))</f>
        <v/>
      </c>
      <c r="N732">
        <f>IF(ISBLANK('ENGAGEMENTS 2026'!B732),"",'ENGAGEMENTS 2026'!K732)</f>
        <v/>
      </c>
      <c r="O732">
        <f>IF(ISBLANK('ENGAGEMENTS 2026'!B732),"",'ENGAGEMENTS 2026'!L732)</f>
        <v/>
      </c>
      <c r="P732">
        <f>IF(ISBLANK('ENGAGEMENTS 2026'!B732),"",'ENGAGEMENTS 2026'!J732)</f>
        <v/>
      </c>
      <c r="Q732">
        <f>IF($A732="","",IF(OR($E732="INFRUCTUEUX",$E732="ANNULE"),$A732&amp;"|"&amp;(COUNTIFS($A$2:$A732,$A732,$E$2:$E732,"INFRUCTUEUX")+COUNTIFS($A$2:$A732,$A732,$E$2:$E732,"ANNULE")),""))</f>
        <v/>
      </c>
    </row>
    <row r="733">
      <c r="A733">
        <f>IF(ISBLANK('ENGAGEMENTS 2026'!B733),"",IF('ENGAGEMENTS 2026'!B733="DTSI","DCT",'ENGAGEMENTS 2026'!B733))</f>
        <v/>
      </c>
      <c r="B733">
        <f>IF(ISBLANK('ENGAGEMENTS 2026'!B733),"",'ENGAGEMENTS 2026'!C733)</f>
        <v/>
      </c>
      <c r="C733">
        <f>IF(ISBLANK('ENGAGEMENTS 2026'!B733),"",'ENGAGEMENTS 2026'!D733)</f>
        <v/>
      </c>
      <c r="D733">
        <f>IF(ISBLANK('ENGAGEMENTS 2026'!B733),"",'ENGAGEMENTS 2026'!F733)</f>
        <v/>
      </c>
      <c r="E733">
        <f>IF(ISBLANK('ENGAGEMENTS 2026'!B733),"",'ENGAGEMENTS 2026'!H733)</f>
        <v/>
      </c>
      <c r="F733">
        <f>IF(ISBLANK('ENGAGEMENTS 2026'!B733),"",'ENGAGEMENTS 2026'!I733)</f>
        <v/>
      </c>
      <c r="G733">
        <f>IF(ISBLANK('ENGAGEMENTS 2026'!B733),"",'ENGAGEMENTS 2026'!L733)</f>
        <v/>
      </c>
      <c r="H733">
        <f>IF(ISBLANK('ENGAGEMENTS 2026'!B733),"",'ENGAGEMENTS 2026'!AE733)</f>
        <v/>
      </c>
      <c r="I733">
        <f>IF(ISBLANK('ENGAGEMENTS 2026'!B733),"",'ENGAGEMENTS 2026'!G733)</f>
        <v/>
      </c>
      <c r="J733" s="275">
        <f>IF(ISBLANK('ENGAGEMENTS 2026'!B733),"",IF(AND(OR($E733="INFRUCTUEUX",$E733="ANNULE"),$C733="AOO-M"),'ENGAGEMENTS 2026'!O733,IF($H733="EN COURS DE PREENGAGEMENT",'ENGAGEMENTS 2026'!N733,IF($H733="PREENGAGE",IF($E733="ATTRIBUE",'ENGAGEMENTS 2026'!AD733,'ENGAGEMENTS 2026'!N733),'ENGAGEMENTS 2026'!AD733))))</f>
        <v/>
      </c>
      <c r="K733" s="604">
        <f>IF(ISBLANK('ENGAGEMENTS 2026'!V733),"",'ENGAGEMENTS 2026'!V733)</f>
        <v/>
      </c>
      <c r="L733" s="276">
        <f>IF($K733="","",TODAY()-$K733)</f>
        <v/>
      </c>
      <c r="M733">
        <f>IF($A733="","",IF($H733="ENGAGE","Engagé",IF(AND($H733="NON ENGAGE",OR($I733="INFRUCTUEUX",$I733="ANNULE")),"Clôturé sans suite","En cours")))</f>
        <v/>
      </c>
      <c r="N733">
        <f>IF(ISBLANK('ENGAGEMENTS 2026'!B733),"",'ENGAGEMENTS 2026'!K733)</f>
        <v/>
      </c>
      <c r="O733">
        <f>IF(ISBLANK('ENGAGEMENTS 2026'!B733),"",'ENGAGEMENTS 2026'!L733)</f>
        <v/>
      </c>
      <c r="P733">
        <f>IF(ISBLANK('ENGAGEMENTS 2026'!B733),"",'ENGAGEMENTS 2026'!J733)</f>
        <v/>
      </c>
      <c r="Q733">
        <f>IF($A733="","",IF(OR($E733="INFRUCTUEUX",$E733="ANNULE"),$A733&amp;"|"&amp;(COUNTIFS($A$2:$A733,$A733,$E$2:$E733,"INFRUCTUEUX")+COUNTIFS($A$2:$A733,$A733,$E$2:$E733,"ANNULE")),""))</f>
        <v/>
      </c>
    </row>
    <row r="734">
      <c r="A734">
        <f>IF(ISBLANK('ENGAGEMENTS 2026'!B734),"",IF('ENGAGEMENTS 2026'!B734="DTSI","DCT",'ENGAGEMENTS 2026'!B734))</f>
        <v/>
      </c>
      <c r="B734">
        <f>IF(ISBLANK('ENGAGEMENTS 2026'!B734),"",'ENGAGEMENTS 2026'!C734)</f>
        <v/>
      </c>
      <c r="C734">
        <f>IF(ISBLANK('ENGAGEMENTS 2026'!B734),"",'ENGAGEMENTS 2026'!D734)</f>
        <v/>
      </c>
      <c r="D734">
        <f>IF(ISBLANK('ENGAGEMENTS 2026'!B734),"",'ENGAGEMENTS 2026'!F734)</f>
        <v/>
      </c>
      <c r="E734">
        <f>IF(ISBLANK('ENGAGEMENTS 2026'!B734),"",'ENGAGEMENTS 2026'!H734)</f>
        <v/>
      </c>
      <c r="F734">
        <f>IF(ISBLANK('ENGAGEMENTS 2026'!B734),"",'ENGAGEMENTS 2026'!I734)</f>
        <v/>
      </c>
      <c r="G734">
        <f>IF(ISBLANK('ENGAGEMENTS 2026'!B734),"",'ENGAGEMENTS 2026'!L734)</f>
        <v/>
      </c>
      <c r="H734">
        <f>IF(ISBLANK('ENGAGEMENTS 2026'!B734),"",'ENGAGEMENTS 2026'!AE734)</f>
        <v/>
      </c>
      <c r="I734">
        <f>IF(ISBLANK('ENGAGEMENTS 2026'!B734),"",'ENGAGEMENTS 2026'!G734)</f>
        <v/>
      </c>
      <c r="J734" s="275">
        <f>IF(ISBLANK('ENGAGEMENTS 2026'!B734),"",IF(AND(OR($E734="INFRUCTUEUX",$E734="ANNULE"),$C734="AOO-M"),'ENGAGEMENTS 2026'!O734,IF($H734="EN COURS DE PREENGAGEMENT",'ENGAGEMENTS 2026'!N734,IF($H734="PREENGAGE",IF($E734="ATTRIBUE",'ENGAGEMENTS 2026'!AD734,'ENGAGEMENTS 2026'!N734),'ENGAGEMENTS 2026'!AD734))))</f>
        <v/>
      </c>
      <c r="K734" s="604">
        <f>IF(ISBLANK('ENGAGEMENTS 2026'!V734),"",'ENGAGEMENTS 2026'!V734)</f>
        <v/>
      </c>
      <c r="L734" s="276">
        <f>IF($K734="","",TODAY()-$K734)</f>
        <v/>
      </c>
      <c r="M734">
        <f>IF($A734="","",IF($H734="ENGAGE","Engagé",IF(AND($H734="NON ENGAGE",OR($I734="INFRUCTUEUX",$I734="ANNULE")),"Clôturé sans suite","En cours")))</f>
        <v/>
      </c>
      <c r="N734">
        <f>IF(ISBLANK('ENGAGEMENTS 2026'!B734),"",'ENGAGEMENTS 2026'!K734)</f>
        <v/>
      </c>
      <c r="O734">
        <f>IF(ISBLANK('ENGAGEMENTS 2026'!B734),"",'ENGAGEMENTS 2026'!L734)</f>
        <v/>
      </c>
      <c r="P734">
        <f>IF(ISBLANK('ENGAGEMENTS 2026'!B734),"",'ENGAGEMENTS 2026'!J734)</f>
        <v/>
      </c>
      <c r="Q734">
        <f>IF($A734="","",IF(OR($E734="INFRUCTUEUX",$E734="ANNULE"),$A734&amp;"|"&amp;(COUNTIFS($A$2:$A734,$A734,$E$2:$E734,"INFRUCTUEUX")+COUNTIFS($A$2:$A734,$A734,$E$2:$E734,"ANNULE")),""))</f>
        <v/>
      </c>
    </row>
    <row r="735">
      <c r="A735">
        <f>IF(ISBLANK('ENGAGEMENTS 2026'!B735),"",IF('ENGAGEMENTS 2026'!B735="DTSI","DCT",'ENGAGEMENTS 2026'!B735))</f>
        <v/>
      </c>
      <c r="B735">
        <f>IF(ISBLANK('ENGAGEMENTS 2026'!B735),"",'ENGAGEMENTS 2026'!C735)</f>
        <v/>
      </c>
      <c r="C735">
        <f>IF(ISBLANK('ENGAGEMENTS 2026'!B735),"",'ENGAGEMENTS 2026'!D735)</f>
        <v/>
      </c>
      <c r="D735">
        <f>IF(ISBLANK('ENGAGEMENTS 2026'!B735),"",'ENGAGEMENTS 2026'!F735)</f>
        <v/>
      </c>
      <c r="E735">
        <f>IF(ISBLANK('ENGAGEMENTS 2026'!B735),"",'ENGAGEMENTS 2026'!H735)</f>
        <v/>
      </c>
      <c r="F735">
        <f>IF(ISBLANK('ENGAGEMENTS 2026'!B735),"",'ENGAGEMENTS 2026'!I735)</f>
        <v/>
      </c>
      <c r="G735">
        <f>IF(ISBLANK('ENGAGEMENTS 2026'!B735),"",'ENGAGEMENTS 2026'!L735)</f>
        <v/>
      </c>
      <c r="H735">
        <f>IF(ISBLANK('ENGAGEMENTS 2026'!B735),"",'ENGAGEMENTS 2026'!AE735)</f>
        <v/>
      </c>
      <c r="I735">
        <f>IF(ISBLANK('ENGAGEMENTS 2026'!B735),"",'ENGAGEMENTS 2026'!G735)</f>
        <v/>
      </c>
      <c r="J735" s="275">
        <f>IF(ISBLANK('ENGAGEMENTS 2026'!B735),"",IF(AND(OR($E735="INFRUCTUEUX",$E735="ANNULE"),$C735="AOO-M"),'ENGAGEMENTS 2026'!O735,IF($H735="EN COURS DE PREENGAGEMENT",'ENGAGEMENTS 2026'!N735,IF($H735="PREENGAGE",IF($E735="ATTRIBUE",'ENGAGEMENTS 2026'!AD735,'ENGAGEMENTS 2026'!N735),'ENGAGEMENTS 2026'!AD735))))</f>
        <v/>
      </c>
      <c r="K735" s="604">
        <f>IF(ISBLANK('ENGAGEMENTS 2026'!V735),"",'ENGAGEMENTS 2026'!V735)</f>
        <v/>
      </c>
      <c r="L735" s="276">
        <f>IF($K735="","",TODAY()-$K735)</f>
        <v/>
      </c>
      <c r="M735">
        <f>IF($A735="","",IF($H735="ENGAGE","Engagé",IF(AND($H735="NON ENGAGE",OR($I735="INFRUCTUEUX",$I735="ANNULE")),"Clôturé sans suite","En cours")))</f>
        <v/>
      </c>
      <c r="N735">
        <f>IF(ISBLANK('ENGAGEMENTS 2026'!B735),"",'ENGAGEMENTS 2026'!K735)</f>
        <v/>
      </c>
      <c r="O735">
        <f>IF(ISBLANK('ENGAGEMENTS 2026'!B735),"",'ENGAGEMENTS 2026'!L735)</f>
        <v/>
      </c>
      <c r="P735">
        <f>IF(ISBLANK('ENGAGEMENTS 2026'!B735),"",'ENGAGEMENTS 2026'!J735)</f>
        <v/>
      </c>
      <c r="Q735">
        <f>IF($A735="","",IF(OR($E735="INFRUCTUEUX",$E735="ANNULE"),$A735&amp;"|"&amp;(COUNTIFS($A$2:$A735,$A735,$E$2:$E735,"INFRUCTUEUX")+COUNTIFS($A$2:$A735,$A735,$E$2:$E735,"ANNULE")),""))</f>
        <v/>
      </c>
    </row>
    <row r="736">
      <c r="A736">
        <f>IF(ISBLANK('ENGAGEMENTS 2026'!B736),"",IF('ENGAGEMENTS 2026'!B736="DTSI","DCT",'ENGAGEMENTS 2026'!B736))</f>
        <v/>
      </c>
      <c r="B736">
        <f>IF(ISBLANK('ENGAGEMENTS 2026'!B736),"",'ENGAGEMENTS 2026'!C736)</f>
        <v/>
      </c>
      <c r="C736">
        <f>IF(ISBLANK('ENGAGEMENTS 2026'!B736),"",'ENGAGEMENTS 2026'!D736)</f>
        <v/>
      </c>
      <c r="D736">
        <f>IF(ISBLANK('ENGAGEMENTS 2026'!B736),"",'ENGAGEMENTS 2026'!F736)</f>
        <v/>
      </c>
      <c r="E736">
        <f>IF(ISBLANK('ENGAGEMENTS 2026'!B736),"",'ENGAGEMENTS 2026'!H736)</f>
        <v/>
      </c>
      <c r="F736">
        <f>IF(ISBLANK('ENGAGEMENTS 2026'!B736),"",'ENGAGEMENTS 2026'!I736)</f>
        <v/>
      </c>
      <c r="G736">
        <f>IF(ISBLANK('ENGAGEMENTS 2026'!B736),"",'ENGAGEMENTS 2026'!L736)</f>
        <v/>
      </c>
      <c r="H736">
        <f>IF(ISBLANK('ENGAGEMENTS 2026'!B736),"",'ENGAGEMENTS 2026'!AE736)</f>
        <v/>
      </c>
      <c r="I736">
        <f>IF(ISBLANK('ENGAGEMENTS 2026'!B736),"",'ENGAGEMENTS 2026'!G736)</f>
        <v/>
      </c>
      <c r="J736" s="275">
        <f>IF(ISBLANK('ENGAGEMENTS 2026'!B736),"",IF(AND(OR($E736="INFRUCTUEUX",$E736="ANNULE"),$C736="AOO-M"),'ENGAGEMENTS 2026'!O736,IF($H736="EN COURS DE PREENGAGEMENT",'ENGAGEMENTS 2026'!N736,IF($H736="PREENGAGE",IF($E736="ATTRIBUE",'ENGAGEMENTS 2026'!AD736,'ENGAGEMENTS 2026'!N736),'ENGAGEMENTS 2026'!AD736))))</f>
        <v/>
      </c>
      <c r="K736" s="604">
        <f>IF(ISBLANK('ENGAGEMENTS 2026'!V736),"",'ENGAGEMENTS 2026'!V736)</f>
        <v/>
      </c>
      <c r="L736" s="276">
        <f>IF($K736="","",TODAY()-$K736)</f>
        <v/>
      </c>
      <c r="M736">
        <f>IF($A736="","",IF($H736="ENGAGE","Engagé",IF(AND($H736="NON ENGAGE",OR($I736="INFRUCTUEUX",$I736="ANNULE")),"Clôturé sans suite","En cours")))</f>
        <v/>
      </c>
      <c r="N736">
        <f>IF(ISBLANK('ENGAGEMENTS 2026'!B736),"",'ENGAGEMENTS 2026'!K736)</f>
        <v/>
      </c>
      <c r="O736">
        <f>IF(ISBLANK('ENGAGEMENTS 2026'!B736),"",'ENGAGEMENTS 2026'!L736)</f>
        <v/>
      </c>
      <c r="P736">
        <f>IF(ISBLANK('ENGAGEMENTS 2026'!B736),"",'ENGAGEMENTS 2026'!J736)</f>
        <v/>
      </c>
      <c r="Q736">
        <f>IF($A736="","",IF(OR($E736="INFRUCTUEUX",$E736="ANNULE"),$A736&amp;"|"&amp;(COUNTIFS($A$2:$A736,$A736,$E$2:$E736,"INFRUCTUEUX")+COUNTIFS($A$2:$A736,$A736,$E$2:$E736,"ANNULE")),""))</f>
        <v/>
      </c>
    </row>
    <row r="737">
      <c r="A737">
        <f>IF(ISBLANK('ENGAGEMENTS 2026'!B737),"",IF('ENGAGEMENTS 2026'!B737="DTSI","DCT",'ENGAGEMENTS 2026'!B737))</f>
        <v/>
      </c>
      <c r="B737">
        <f>IF(ISBLANK('ENGAGEMENTS 2026'!B737),"",'ENGAGEMENTS 2026'!C737)</f>
        <v/>
      </c>
      <c r="C737">
        <f>IF(ISBLANK('ENGAGEMENTS 2026'!B737),"",'ENGAGEMENTS 2026'!D737)</f>
        <v/>
      </c>
      <c r="D737">
        <f>IF(ISBLANK('ENGAGEMENTS 2026'!B737),"",'ENGAGEMENTS 2026'!F737)</f>
        <v/>
      </c>
      <c r="E737">
        <f>IF(ISBLANK('ENGAGEMENTS 2026'!B737),"",'ENGAGEMENTS 2026'!H737)</f>
        <v/>
      </c>
      <c r="F737">
        <f>IF(ISBLANK('ENGAGEMENTS 2026'!B737),"",'ENGAGEMENTS 2026'!I737)</f>
        <v/>
      </c>
      <c r="G737">
        <f>IF(ISBLANK('ENGAGEMENTS 2026'!B737),"",'ENGAGEMENTS 2026'!L737)</f>
        <v/>
      </c>
      <c r="H737">
        <f>IF(ISBLANK('ENGAGEMENTS 2026'!B737),"",'ENGAGEMENTS 2026'!AE737)</f>
        <v/>
      </c>
      <c r="I737">
        <f>IF(ISBLANK('ENGAGEMENTS 2026'!B737),"",'ENGAGEMENTS 2026'!G737)</f>
        <v/>
      </c>
      <c r="J737" s="275">
        <f>IF(ISBLANK('ENGAGEMENTS 2026'!B737),"",IF(AND(OR($E737="INFRUCTUEUX",$E737="ANNULE"),$C737="AOO-M"),'ENGAGEMENTS 2026'!O737,IF($H737="EN COURS DE PREENGAGEMENT",'ENGAGEMENTS 2026'!N737,IF($H737="PREENGAGE",IF($E737="ATTRIBUE",'ENGAGEMENTS 2026'!AD737,'ENGAGEMENTS 2026'!N737),'ENGAGEMENTS 2026'!AD737))))</f>
        <v/>
      </c>
      <c r="K737" s="604">
        <f>IF(ISBLANK('ENGAGEMENTS 2026'!V737),"",'ENGAGEMENTS 2026'!V737)</f>
        <v/>
      </c>
      <c r="L737" s="276">
        <f>IF($K737="","",TODAY()-$K737)</f>
        <v/>
      </c>
      <c r="M737">
        <f>IF($A737="","",IF($H737="ENGAGE","Engagé",IF(AND($H737="NON ENGAGE",OR($I737="INFRUCTUEUX",$I737="ANNULE")),"Clôturé sans suite","En cours")))</f>
        <v/>
      </c>
      <c r="N737">
        <f>IF(ISBLANK('ENGAGEMENTS 2026'!B737),"",'ENGAGEMENTS 2026'!K737)</f>
        <v/>
      </c>
      <c r="O737">
        <f>IF(ISBLANK('ENGAGEMENTS 2026'!B737),"",'ENGAGEMENTS 2026'!L737)</f>
        <v/>
      </c>
      <c r="P737">
        <f>IF(ISBLANK('ENGAGEMENTS 2026'!B737),"",'ENGAGEMENTS 2026'!J737)</f>
        <v/>
      </c>
      <c r="Q737">
        <f>IF($A737="","",IF(OR($E737="INFRUCTUEUX",$E737="ANNULE"),$A737&amp;"|"&amp;(COUNTIFS($A$2:$A737,$A737,$E$2:$E737,"INFRUCTUEUX")+COUNTIFS($A$2:$A737,$A737,$E$2:$E737,"ANNULE")),""))</f>
        <v/>
      </c>
    </row>
    <row r="738">
      <c r="A738">
        <f>IF(ISBLANK('ENGAGEMENTS 2026'!B738),"",IF('ENGAGEMENTS 2026'!B738="DTSI","DCT",'ENGAGEMENTS 2026'!B738))</f>
        <v/>
      </c>
      <c r="B738">
        <f>IF(ISBLANK('ENGAGEMENTS 2026'!B738),"",'ENGAGEMENTS 2026'!C738)</f>
        <v/>
      </c>
      <c r="C738">
        <f>IF(ISBLANK('ENGAGEMENTS 2026'!B738),"",'ENGAGEMENTS 2026'!D738)</f>
        <v/>
      </c>
      <c r="D738">
        <f>IF(ISBLANK('ENGAGEMENTS 2026'!B738),"",'ENGAGEMENTS 2026'!F738)</f>
        <v/>
      </c>
      <c r="E738">
        <f>IF(ISBLANK('ENGAGEMENTS 2026'!B738),"",'ENGAGEMENTS 2026'!H738)</f>
        <v/>
      </c>
      <c r="F738">
        <f>IF(ISBLANK('ENGAGEMENTS 2026'!B738),"",'ENGAGEMENTS 2026'!I738)</f>
        <v/>
      </c>
      <c r="G738">
        <f>IF(ISBLANK('ENGAGEMENTS 2026'!B738),"",'ENGAGEMENTS 2026'!L738)</f>
        <v/>
      </c>
      <c r="H738">
        <f>IF(ISBLANK('ENGAGEMENTS 2026'!B738),"",'ENGAGEMENTS 2026'!AE738)</f>
        <v/>
      </c>
      <c r="I738">
        <f>IF(ISBLANK('ENGAGEMENTS 2026'!B738),"",'ENGAGEMENTS 2026'!G738)</f>
        <v/>
      </c>
      <c r="J738" s="275">
        <f>IF(ISBLANK('ENGAGEMENTS 2026'!B738),"",IF(AND(OR($E738="INFRUCTUEUX",$E738="ANNULE"),$C738="AOO-M"),'ENGAGEMENTS 2026'!O738,IF($H738="EN COURS DE PREENGAGEMENT",'ENGAGEMENTS 2026'!N738,IF($H738="PREENGAGE",IF($E738="ATTRIBUE",'ENGAGEMENTS 2026'!AD738,'ENGAGEMENTS 2026'!N738),'ENGAGEMENTS 2026'!AD738))))</f>
        <v/>
      </c>
      <c r="K738" s="604">
        <f>IF(ISBLANK('ENGAGEMENTS 2026'!V738),"",'ENGAGEMENTS 2026'!V738)</f>
        <v/>
      </c>
      <c r="L738" s="276">
        <f>IF($K738="","",TODAY()-$K738)</f>
        <v/>
      </c>
      <c r="M738">
        <f>IF($A738="","",IF($H738="ENGAGE","Engagé",IF(AND($H738="NON ENGAGE",OR($I738="INFRUCTUEUX",$I738="ANNULE")),"Clôturé sans suite","En cours")))</f>
        <v/>
      </c>
      <c r="N738">
        <f>IF(ISBLANK('ENGAGEMENTS 2026'!B738),"",'ENGAGEMENTS 2026'!K738)</f>
        <v/>
      </c>
      <c r="O738">
        <f>IF(ISBLANK('ENGAGEMENTS 2026'!B738),"",'ENGAGEMENTS 2026'!L738)</f>
        <v/>
      </c>
      <c r="P738">
        <f>IF(ISBLANK('ENGAGEMENTS 2026'!B738),"",'ENGAGEMENTS 2026'!J738)</f>
        <v/>
      </c>
      <c r="Q738">
        <f>IF($A738="","",IF(OR($E738="INFRUCTUEUX",$E738="ANNULE"),$A738&amp;"|"&amp;(COUNTIFS($A$2:$A738,$A738,$E$2:$E738,"INFRUCTUEUX")+COUNTIFS($A$2:$A738,$A738,$E$2:$E738,"ANNULE")),""))</f>
        <v/>
      </c>
    </row>
    <row r="739">
      <c r="A739">
        <f>IF(ISBLANK('ENGAGEMENTS 2026'!B739),"",IF('ENGAGEMENTS 2026'!B739="DTSI","DCT",'ENGAGEMENTS 2026'!B739))</f>
        <v/>
      </c>
      <c r="B739">
        <f>IF(ISBLANK('ENGAGEMENTS 2026'!B739),"",'ENGAGEMENTS 2026'!C739)</f>
        <v/>
      </c>
      <c r="C739">
        <f>IF(ISBLANK('ENGAGEMENTS 2026'!B739),"",'ENGAGEMENTS 2026'!D739)</f>
        <v/>
      </c>
      <c r="D739">
        <f>IF(ISBLANK('ENGAGEMENTS 2026'!B739),"",'ENGAGEMENTS 2026'!F739)</f>
        <v/>
      </c>
      <c r="E739">
        <f>IF(ISBLANK('ENGAGEMENTS 2026'!B739),"",'ENGAGEMENTS 2026'!H739)</f>
        <v/>
      </c>
      <c r="F739">
        <f>IF(ISBLANK('ENGAGEMENTS 2026'!B739),"",'ENGAGEMENTS 2026'!I739)</f>
        <v/>
      </c>
      <c r="G739">
        <f>IF(ISBLANK('ENGAGEMENTS 2026'!B739),"",'ENGAGEMENTS 2026'!L739)</f>
        <v/>
      </c>
      <c r="H739">
        <f>IF(ISBLANK('ENGAGEMENTS 2026'!B739),"",'ENGAGEMENTS 2026'!AE739)</f>
        <v/>
      </c>
      <c r="I739">
        <f>IF(ISBLANK('ENGAGEMENTS 2026'!B739),"",'ENGAGEMENTS 2026'!G739)</f>
        <v/>
      </c>
      <c r="J739" s="275">
        <f>IF(ISBLANK('ENGAGEMENTS 2026'!B739),"",IF(AND(OR($E739="INFRUCTUEUX",$E739="ANNULE"),$C739="AOO-M"),'ENGAGEMENTS 2026'!O739,IF($H739="EN COURS DE PREENGAGEMENT",'ENGAGEMENTS 2026'!N739,IF($H739="PREENGAGE",IF($E739="ATTRIBUE",'ENGAGEMENTS 2026'!AD739,'ENGAGEMENTS 2026'!N739),'ENGAGEMENTS 2026'!AD739))))</f>
        <v/>
      </c>
      <c r="K739" s="604">
        <f>IF(ISBLANK('ENGAGEMENTS 2026'!V739),"",'ENGAGEMENTS 2026'!V739)</f>
        <v/>
      </c>
      <c r="L739" s="276">
        <f>IF($K739="","",TODAY()-$K739)</f>
        <v/>
      </c>
      <c r="M739">
        <f>IF($A739="","",IF($H739="ENGAGE","Engagé",IF(AND($H739="NON ENGAGE",OR($I739="INFRUCTUEUX",$I739="ANNULE")),"Clôturé sans suite","En cours")))</f>
        <v/>
      </c>
      <c r="N739">
        <f>IF(ISBLANK('ENGAGEMENTS 2026'!B739),"",'ENGAGEMENTS 2026'!K739)</f>
        <v/>
      </c>
      <c r="O739">
        <f>IF(ISBLANK('ENGAGEMENTS 2026'!B739),"",'ENGAGEMENTS 2026'!L739)</f>
        <v/>
      </c>
      <c r="P739">
        <f>IF(ISBLANK('ENGAGEMENTS 2026'!B739),"",'ENGAGEMENTS 2026'!J739)</f>
        <v/>
      </c>
      <c r="Q739">
        <f>IF($A739="","",IF(OR($E739="INFRUCTUEUX",$E739="ANNULE"),$A739&amp;"|"&amp;(COUNTIFS($A$2:$A739,$A739,$E$2:$E739,"INFRUCTUEUX")+COUNTIFS($A$2:$A739,$A739,$E$2:$E739,"ANNULE")),""))</f>
        <v/>
      </c>
    </row>
    <row r="740">
      <c r="A740">
        <f>IF(ISBLANK('ENGAGEMENTS 2026'!B740),"",IF('ENGAGEMENTS 2026'!B740="DTSI","DCT",'ENGAGEMENTS 2026'!B740))</f>
        <v/>
      </c>
      <c r="B740">
        <f>IF(ISBLANK('ENGAGEMENTS 2026'!B740),"",'ENGAGEMENTS 2026'!C740)</f>
        <v/>
      </c>
      <c r="C740">
        <f>IF(ISBLANK('ENGAGEMENTS 2026'!B740),"",'ENGAGEMENTS 2026'!D740)</f>
        <v/>
      </c>
      <c r="D740">
        <f>IF(ISBLANK('ENGAGEMENTS 2026'!B740),"",'ENGAGEMENTS 2026'!F740)</f>
        <v/>
      </c>
      <c r="E740">
        <f>IF(ISBLANK('ENGAGEMENTS 2026'!B740),"",'ENGAGEMENTS 2026'!H740)</f>
        <v/>
      </c>
      <c r="F740">
        <f>IF(ISBLANK('ENGAGEMENTS 2026'!B740),"",'ENGAGEMENTS 2026'!I740)</f>
        <v/>
      </c>
      <c r="G740">
        <f>IF(ISBLANK('ENGAGEMENTS 2026'!B740),"",'ENGAGEMENTS 2026'!L740)</f>
        <v/>
      </c>
      <c r="H740">
        <f>IF(ISBLANK('ENGAGEMENTS 2026'!B740),"",'ENGAGEMENTS 2026'!AE740)</f>
        <v/>
      </c>
      <c r="I740">
        <f>IF(ISBLANK('ENGAGEMENTS 2026'!B740),"",'ENGAGEMENTS 2026'!G740)</f>
        <v/>
      </c>
      <c r="J740" s="275">
        <f>IF(ISBLANK('ENGAGEMENTS 2026'!B740),"",IF(AND(OR($E740="INFRUCTUEUX",$E740="ANNULE"),$C740="AOO-M"),'ENGAGEMENTS 2026'!O740,IF($H740="EN COURS DE PREENGAGEMENT",'ENGAGEMENTS 2026'!N740,IF($H740="PREENGAGE",IF($E740="ATTRIBUE",'ENGAGEMENTS 2026'!AD740,'ENGAGEMENTS 2026'!N740),'ENGAGEMENTS 2026'!AD740))))</f>
        <v/>
      </c>
      <c r="K740" s="604">
        <f>IF(ISBLANK('ENGAGEMENTS 2026'!V740),"",'ENGAGEMENTS 2026'!V740)</f>
        <v/>
      </c>
      <c r="L740" s="276">
        <f>IF($K740="","",TODAY()-$K740)</f>
        <v/>
      </c>
      <c r="M740">
        <f>IF($A740="","",IF($H740="ENGAGE","Engagé",IF(AND($H740="NON ENGAGE",OR($I740="INFRUCTUEUX",$I740="ANNULE")),"Clôturé sans suite","En cours")))</f>
        <v/>
      </c>
      <c r="N740">
        <f>IF(ISBLANK('ENGAGEMENTS 2026'!B740),"",'ENGAGEMENTS 2026'!K740)</f>
        <v/>
      </c>
      <c r="O740">
        <f>IF(ISBLANK('ENGAGEMENTS 2026'!B740),"",'ENGAGEMENTS 2026'!L740)</f>
        <v/>
      </c>
      <c r="P740">
        <f>IF(ISBLANK('ENGAGEMENTS 2026'!B740),"",'ENGAGEMENTS 2026'!J740)</f>
        <v/>
      </c>
      <c r="Q740">
        <f>IF($A740="","",IF(OR($E740="INFRUCTUEUX",$E740="ANNULE"),$A740&amp;"|"&amp;(COUNTIFS($A$2:$A740,$A740,$E$2:$E740,"INFRUCTUEUX")+COUNTIFS($A$2:$A740,$A740,$E$2:$E740,"ANNULE")),""))</f>
        <v/>
      </c>
    </row>
    <row r="741">
      <c r="A741">
        <f>IF(ISBLANK('ENGAGEMENTS 2026'!B741),"",IF('ENGAGEMENTS 2026'!B741="DTSI","DCT",'ENGAGEMENTS 2026'!B741))</f>
        <v/>
      </c>
      <c r="B741">
        <f>IF(ISBLANK('ENGAGEMENTS 2026'!B741),"",'ENGAGEMENTS 2026'!C741)</f>
        <v/>
      </c>
      <c r="C741">
        <f>IF(ISBLANK('ENGAGEMENTS 2026'!B741),"",'ENGAGEMENTS 2026'!D741)</f>
        <v/>
      </c>
      <c r="D741">
        <f>IF(ISBLANK('ENGAGEMENTS 2026'!B741),"",'ENGAGEMENTS 2026'!F741)</f>
        <v/>
      </c>
      <c r="E741">
        <f>IF(ISBLANK('ENGAGEMENTS 2026'!B741),"",'ENGAGEMENTS 2026'!H741)</f>
        <v/>
      </c>
      <c r="F741">
        <f>IF(ISBLANK('ENGAGEMENTS 2026'!B741),"",'ENGAGEMENTS 2026'!I741)</f>
        <v/>
      </c>
      <c r="G741">
        <f>IF(ISBLANK('ENGAGEMENTS 2026'!B741),"",'ENGAGEMENTS 2026'!L741)</f>
        <v/>
      </c>
      <c r="H741">
        <f>IF(ISBLANK('ENGAGEMENTS 2026'!B741),"",'ENGAGEMENTS 2026'!AE741)</f>
        <v/>
      </c>
      <c r="I741">
        <f>IF(ISBLANK('ENGAGEMENTS 2026'!B741),"",'ENGAGEMENTS 2026'!G741)</f>
        <v/>
      </c>
      <c r="J741" s="275">
        <f>IF(ISBLANK('ENGAGEMENTS 2026'!B741),"",IF(AND(OR($E741="INFRUCTUEUX",$E741="ANNULE"),$C741="AOO-M"),'ENGAGEMENTS 2026'!O741,IF($H741="EN COURS DE PREENGAGEMENT",'ENGAGEMENTS 2026'!N741,IF($H741="PREENGAGE",IF($E741="ATTRIBUE",'ENGAGEMENTS 2026'!AD741,'ENGAGEMENTS 2026'!N741),'ENGAGEMENTS 2026'!AD741))))</f>
        <v/>
      </c>
      <c r="K741" s="604">
        <f>IF(ISBLANK('ENGAGEMENTS 2026'!V741),"",'ENGAGEMENTS 2026'!V741)</f>
        <v/>
      </c>
      <c r="L741" s="276">
        <f>IF($K741="","",TODAY()-$K741)</f>
        <v/>
      </c>
      <c r="M741">
        <f>IF($A741="","",IF($H741="ENGAGE","Engagé",IF(AND($H741="NON ENGAGE",OR($I741="INFRUCTUEUX",$I741="ANNULE")),"Clôturé sans suite","En cours")))</f>
        <v/>
      </c>
      <c r="N741">
        <f>IF(ISBLANK('ENGAGEMENTS 2026'!B741),"",'ENGAGEMENTS 2026'!K741)</f>
        <v/>
      </c>
      <c r="O741">
        <f>IF(ISBLANK('ENGAGEMENTS 2026'!B741),"",'ENGAGEMENTS 2026'!L741)</f>
        <v/>
      </c>
      <c r="P741">
        <f>IF(ISBLANK('ENGAGEMENTS 2026'!B741),"",'ENGAGEMENTS 2026'!J741)</f>
        <v/>
      </c>
      <c r="Q741">
        <f>IF($A741="","",IF(OR($E741="INFRUCTUEUX",$E741="ANNULE"),$A741&amp;"|"&amp;(COUNTIFS($A$2:$A741,$A741,$E$2:$E741,"INFRUCTUEUX")+COUNTIFS($A$2:$A741,$A741,$E$2:$E741,"ANNULE")),""))</f>
        <v/>
      </c>
    </row>
    <row r="742">
      <c r="A742">
        <f>IF(ISBLANK('ENGAGEMENTS 2026'!B742),"",IF('ENGAGEMENTS 2026'!B742="DTSI","DCT",'ENGAGEMENTS 2026'!B742))</f>
        <v/>
      </c>
      <c r="B742">
        <f>IF(ISBLANK('ENGAGEMENTS 2026'!B742),"",'ENGAGEMENTS 2026'!C742)</f>
        <v/>
      </c>
      <c r="C742">
        <f>IF(ISBLANK('ENGAGEMENTS 2026'!B742),"",'ENGAGEMENTS 2026'!D742)</f>
        <v/>
      </c>
      <c r="D742">
        <f>IF(ISBLANK('ENGAGEMENTS 2026'!B742),"",'ENGAGEMENTS 2026'!F742)</f>
        <v/>
      </c>
      <c r="E742">
        <f>IF(ISBLANK('ENGAGEMENTS 2026'!B742),"",'ENGAGEMENTS 2026'!H742)</f>
        <v/>
      </c>
      <c r="F742">
        <f>IF(ISBLANK('ENGAGEMENTS 2026'!B742),"",'ENGAGEMENTS 2026'!I742)</f>
        <v/>
      </c>
      <c r="G742">
        <f>IF(ISBLANK('ENGAGEMENTS 2026'!B742),"",'ENGAGEMENTS 2026'!L742)</f>
        <v/>
      </c>
      <c r="H742">
        <f>IF(ISBLANK('ENGAGEMENTS 2026'!B742),"",'ENGAGEMENTS 2026'!AE742)</f>
        <v/>
      </c>
      <c r="I742">
        <f>IF(ISBLANK('ENGAGEMENTS 2026'!B742),"",'ENGAGEMENTS 2026'!G742)</f>
        <v/>
      </c>
      <c r="J742" s="275">
        <f>IF(ISBLANK('ENGAGEMENTS 2026'!B742),"",IF(AND(OR($E742="INFRUCTUEUX",$E742="ANNULE"),$C742="AOO-M"),'ENGAGEMENTS 2026'!O742,IF($H742="EN COURS DE PREENGAGEMENT",'ENGAGEMENTS 2026'!N742,IF($H742="PREENGAGE",IF($E742="ATTRIBUE",'ENGAGEMENTS 2026'!AD742,'ENGAGEMENTS 2026'!N742),'ENGAGEMENTS 2026'!AD742))))</f>
        <v/>
      </c>
      <c r="K742" s="604">
        <f>IF(ISBLANK('ENGAGEMENTS 2026'!V742),"",'ENGAGEMENTS 2026'!V742)</f>
        <v/>
      </c>
      <c r="L742" s="276">
        <f>IF($K742="","",TODAY()-$K742)</f>
        <v/>
      </c>
      <c r="M742">
        <f>IF($A742="","",IF($H742="ENGAGE","Engagé",IF(AND($H742="NON ENGAGE",OR($I742="INFRUCTUEUX",$I742="ANNULE")),"Clôturé sans suite","En cours")))</f>
        <v/>
      </c>
      <c r="N742">
        <f>IF(ISBLANK('ENGAGEMENTS 2026'!B742),"",'ENGAGEMENTS 2026'!K742)</f>
        <v/>
      </c>
      <c r="O742">
        <f>IF(ISBLANK('ENGAGEMENTS 2026'!B742),"",'ENGAGEMENTS 2026'!L742)</f>
        <v/>
      </c>
      <c r="P742">
        <f>IF(ISBLANK('ENGAGEMENTS 2026'!B742),"",'ENGAGEMENTS 2026'!J742)</f>
        <v/>
      </c>
      <c r="Q742">
        <f>IF($A742="","",IF(OR($E742="INFRUCTUEUX",$E742="ANNULE"),$A742&amp;"|"&amp;(COUNTIFS($A$2:$A742,$A742,$E$2:$E742,"INFRUCTUEUX")+COUNTIFS($A$2:$A742,$A742,$E$2:$E742,"ANNULE")),""))</f>
        <v/>
      </c>
    </row>
    <row r="743">
      <c r="A743">
        <f>IF(ISBLANK('ENGAGEMENTS 2026'!B743),"",IF('ENGAGEMENTS 2026'!B743="DTSI","DCT",'ENGAGEMENTS 2026'!B743))</f>
        <v/>
      </c>
      <c r="B743">
        <f>IF(ISBLANK('ENGAGEMENTS 2026'!B743),"",'ENGAGEMENTS 2026'!C743)</f>
        <v/>
      </c>
      <c r="C743">
        <f>IF(ISBLANK('ENGAGEMENTS 2026'!B743),"",'ENGAGEMENTS 2026'!D743)</f>
        <v/>
      </c>
      <c r="D743">
        <f>IF(ISBLANK('ENGAGEMENTS 2026'!B743),"",'ENGAGEMENTS 2026'!F743)</f>
        <v/>
      </c>
      <c r="E743">
        <f>IF(ISBLANK('ENGAGEMENTS 2026'!B743),"",'ENGAGEMENTS 2026'!H743)</f>
        <v/>
      </c>
      <c r="F743">
        <f>IF(ISBLANK('ENGAGEMENTS 2026'!B743),"",'ENGAGEMENTS 2026'!I743)</f>
        <v/>
      </c>
      <c r="G743">
        <f>IF(ISBLANK('ENGAGEMENTS 2026'!B743),"",'ENGAGEMENTS 2026'!L743)</f>
        <v/>
      </c>
      <c r="H743">
        <f>IF(ISBLANK('ENGAGEMENTS 2026'!B743),"",'ENGAGEMENTS 2026'!AE743)</f>
        <v/>
      </c>
      <c r="I743">
        <f>IF(ISBLANK('ENGAGEMENTS 2026'!B743),"",'ENGAGEMENTS 2026'!G743)</f>
        <v/>
      </c>
      <c r="J743" s="275">
        <f>IF(ISBLANK('ENGAGEMENTS 2026'!B743),"",IF(AND(OR($E743="INFRUCTUEUX",$E743="ANNULE"),$C743="AOO-M"),'ENGAGEMENTS 2026'!O743,IF($H743="EN COURS DE PREENGAGEMENT",'ENGAGEMENTS 2026'!N743,IF($H743="PREENGAGE",IF($E743="ATTRIBUE",'ENGAGEMENTS 2026'!AD743,'ENGAGEMENTS 2026'!N743),'ENGAGEMENTS 2026'!AD743))))</f>
        <v/>
      </c>
      <c r="K743" s="604">
        <f>IF(ISBLANK('ENGAGEMENTS 2026'!V743),"",'ENGAGEMENTS 2026'!V743)</f>
        <v/>
      </c>
      <c r="L743" s="276">
        <f>IF($K743="","",TODAY()-$K743)</f>
        <v/>
      </c>
      <c r="M743">
        <f>IF($A743="","",IF($H743="ENGAGE","Engagé",IF(AND($H743="NON ENGAGE",OR($I743="INFRUCTUEUX",$I743="ANNULE")),"Clôturé sans suite","En cours")))</f>
        <v/>
      </c>
      <c r="N743">
        <f>IF(ISBLANK('ENGAGEMENTS 2026'!B743),"",'ENGAGEMENTS 2026'!K743)</f>
        <v/>
      </c>
      <c r="O743">
        <f>IF(ISBLANK('ENGAGEMENTS 2026'!B743),"",'ENGAGEMENTS 2026'!L743)</f>
        <v/>
      </c>
      <c r="P743">
        <f>IF(ISBLANK('ENGAGEMENTS 2026'!B743),"",'ENGAGEMENTS 2026'!J743)</f>
        <v/>
      </c>
      <c r="Q743">
        <f>IF($A743="","",IF(OR($E743="INFRUCTUEUX",$E743="ANNULE"),$A743&amp;"|"&amp;(COUNTIFS($A$2:$A743,$A743,$E$2:$E743,"INFRUCTUEUX")+COUNTIFS($A$2:$A743,$A743,$E$2:$E743,"ANNULE")),""))</f>
        <v/>
      </c>
    </row>
    <row r="744">
      <c r="A744">
        <f>IF(ISBLANK('ENGAGEMENTS 2026'!B744),"",IF('ENGAGEMENTS 2026'!B744="DTSI","DCT",'ENGAGEMENTS 2026'!B744))</f>
        <v/>
      </c>
      <c r="B744">
        <f>IF(ISBLANK('ENGAGEMENTS 2026'!B744),"",'ENGAGEMENTS 2026'!C744)</f>
        <v/>
      </c>
      <c r="C744">
        <f>IF(ISBLANK('ENGAGEMENTS 2026'!B744),"",'ENGAGEMENTS 2026'!D744)</f>
        <v/>
      </c>
      <c r="D744">
        <f>IF(ISBLANK('ENGAGEMENTS 2026'!B744),"",'ENGAGEMENTS 2026'!F744)</f>
        <v/>
      </c>
      <c r="E744">
        <f>IF(ISBLANK('ENGAGEMENTS 2026'!B744),"",'ENGAGEMENTS 2026'!H744)</f>
        <v/>
      </c>
      <c r="F744">
        <f>IF(ISBLANK('ENGAGEMENTS 2026'!B744),"",'ENGAGEMENTS 2026'!I744)</f>
        <v/>
      </c>
      <c r="G744">
        <f>IF(ISBLANK('ENGAGEMENTS 2026'!B744),"",'ENGAGEMENTS 2026'!L744)</f>
        <v/>
      </c>
      <c r="H744">
        <f>IF(ISBLANK('ENGAGEMENTS 2026'!B744),"",'ENGAGEMENTS 2026'!AE744)</f>
        <v/>
      </c>
      <c r="I744">
        <f>IF(ISBLANK('ENGAGEMENTS 2026'!B744),"",'ENGAGEMENTS 2026'!G744)</f>
        <v/>
      </c>
      <c r="J744" s="275">
        <f>IF(ISBLANK('ENGAGEMENTS 2026'!B744),"",IF(AND(OR($E744="INFRUCTUEUX",$E744="ANNULE"),$C744="AOO-M"),'ENGAGEMENTS 2026'!O744,IF($H744="EN COURS DE PREENGAGEMENT",'ENGAGEMENTS 2026'!N744,IF($H744="PREENGAGE",IF($E744="ATTRIBUE",'ENGAGEMENTS 2026'!AD744,'ENGAGEMENTS 2026'!N744),'ENGAGEMENTS 2026'!AD744))))</f>
        <v/>
      </c>
      <c r="K744" s="604">
        <f>IF(ISBLANK('ENGAGEMENTS 2026'!V744),"",'ENGAGEMENTS 2026'!V744)</f>
        <v/>
      </c>
      <c r="L744" s="276">
        <f>IF($K744="","",TODAY()-$K744)</f>
        <v/>
      </c>
      <c r="M744">
        <f>IF($A744="","",IF($H744="ENGAGE","Engagé",IF(AND($H744="NON ENGAGE",OR($I744="INFRUCTUEUX",$I744="ANNULE")),"Clôturé sans suite","En cours")))</f>
        <v/>
      </c>
      <c r="N744">
        <f>IF(ISBLANK('ENGAGEMENTS 2026'!B744),"",'ENGAGEMENTS 2026'!K744)</f>
        <v/>
      </c>
      <c r="O744">
        <f>IF(ISBLANK('ENGAGEMENTS 2026'!B744),"",'ENGAGEMENTS 2026'!L744)</f>
        <v/>
      </c>
      <c r="P744">
        <f>IF(ISBLANK('ENGAGEMENTS 2026'!B744),"",'ENGAGEMENTS 2026'!J744)</f>
        <v/>
      </c>
      <c r="Q744">
        <f>IF($A744="","",IF(OR($E744="INFRUCTUEUX",$E744="ANNULE"),$A744&amp;"|"&amp;(COUNTIFS($A$2:$A744,$A744,$E$2:$E744,"INFRUCTUEUX")+COUNTIFS($A$2:$A744,$A744,$E$2:$E744,"ANNULE")),""))</f>
        <v/>
      </c>
    </row>
    <row r="745">
      <c r="A745">
        <f>IF(ISBLANK('ENGAGEMENTS 2026'!B745),"",IF('ENGAGEMENTS 2026'!B745="DTSI","DCT",'ENGAGEMENTS 2026'!B745))</f>
        <v/>
      </c>
      <c r="B745">
        <f>IF(ISBLANK('ENGAGEMENTS 2026'!B745),"",'ENGAGEMENTS 2026'!C745)</f>
        <v/>
      </c>
      <c r="C745">
        <f>IF(ISBLANK('ENGAGEMENTS 2026'!B745),"",'ENGAGEMENTS 2026'!D745)</f>
        <v/>
      </c>
      <c r="D745">
        <f>IF(ISBLANK('ENGAGEMENTS 2026'!B745),"",'ENGAGEMENTS 2026'!F745)</f>
        <v/>
      </c>
      <c r="E745">
        <f>IF(ISBLANK('ENGAGEMENTS 2026'!B745),"",'ENGAGEMENTS 2026'!H745)</f>
        <v/>
      </c>
      <c r="F745">
        <f>IF(ISBLANK('ENGAGEMENTS 2026'!B745),"",'ENGAGEMENTS 2026'!I745)</f>
        <v/>
      </c>
      <c r="G745">
        <f>IF(ISBLANK('ENGAGEMENTS 2026'!B745),"",'ENGAGEMENTS 2026'!L745)</f>
        <v/>
      </c>
      <c r="H745">
        <f>IF(ISBLANK('ENGAGEMENTS 2026'!B745),"",'ENGAGEMENTS 2026'!AE745)</f>
        <v/>
      </c>
      <c r="I745">
        <f>IF(ISBLANK('ENGAGEMENTS 2026'!B745),"",'ENGAGEMENTS 2026'!G745)</f>
        <v/>
      </c>
      <c r="J745" s="275">
        <f>IF(ISBLANK('ENGAGEMENTS 2026'!B745),"",IF(AND(OR($E745="INFRUCTUEUX",$E745="ANNULE"),$C745="AOO-M"),'ENGAGEMENTS 2026'!O745,IF($H745="EN COURS DE PREENGAGEMENT",'ENGAGEMENTS 2026'!N745,IF($H745="PREENGAGE",IF($E745="ATTRIBUE",'ENGAGEMENTS 2026'!AD745,'ENGAGEMENTS 2026'!N745),'ENGAGEMENTS 2026'!AD745))))</f>
        <v/>
      </c>
      <c r="K745" s="604">
        <f>IF(ISBLANK('ENGAGEMENTS 2026'!V745),"",'ENGAGEMENTS 2026'!V745)</f>
        <v/>
      </c>
      <c r="L745" s="276">
        <f>IF($K745="","",TODAY()-$K745)</f>
        <v/>
      </c>
      <c r="M745">
        <f>IF($A745="","",IF($H745="ENGAGE","Engagé",IF(AND($H745="NON ENGAGE",OR($I745="INFRUCTUEUX",$I745="ANNULE")),"Clôturé sans suite","En cours")))</f>
        <v/>
      </c>
      <c r="N745">
        <f>IF(ISBLANK('ENGAGEMENTS 2026'!B745),"",'ENGAGEMENTS 2026'!K745)</f>
        <v/>
      </c>
      <c r="O745">
        <f>IF(ISBLANK('ENGAGEMENTS 2026'!B745),"",'ENGAGEMENTS 2026'!L745)</f>
        <v/>
      </c>
      <c r="P745">
        <f>IF(ISBLANK('ENGAGEMENTS 2026'!B745),"",'ENGAGEMENTS 2026'!J745)</f>
        <v/>
      </c>
      <c r="Q745">
        <f>IF($A745="","",IF(OR($E745="INFRUCTUEUX",$E745="ANNULE"),$A745&amp;"|"&amp;(COUNTIFS($A$2:$A745,$A745,$E$2:$E745,"INFRUCTUEUX")+COUNTIFS($A$2:$A745,$A745,$E$2:$E745,"ANNULE")),""))</f>
        <v/>
      </c>
    </row>
    <row r="746">
      <c r="A746">
        <f>IF(ISBLANK('ENGAGEMENTS 2026'!B746),"",IF('ENGAGEMENTS 2026'!B746="DTSI","DCT",'ENGAGEMENTS 2026'!B746))</f>
        <v/>
      </c>
      <c r="B746">
        <f>IF(ISBLANK('ENGAGEMENTS 2026'!B746),"",'ENGAGEMENTS 2026'!C746)</f>
        <v/>
      </c>
      <c r="C746">
        <f>IF(ISBLANK('ENGAGEMENTS 2026'!B746),"",'ENGAGEMENTS 2026'!D746)</f>
        <v/>
      </c>
      <c r="D746">
        <f>IF(ISBLANK('ENGAGEMENTS 2026'!B746),"",'ENGAGEMENTS 2026'!F746)</f>
        <v/>
      </c>
      <c r="E746">
        <f>IF(ISBLANK('ENGAGEMENTS 2026'!B746),"",'ENGAGEMENTS 2026'!H746)</f>
        <v/>
      </c>
      <c r="F746">
        <f>IF(ISBLANK('ENGAGEMENTS 2026'!B746),"",'ENGAGEMENTS 2026'!I746)</f>
        <v/>
      </c>
      <c r="G746">
        <f>IF(ISBLANK('ENGAGEMENTS 2026'!B746),"",'ENGAGEMENTS 2026'!L746)</f>
        <v/>
      </c>
      <c r="H746">
        <f>IF(ISBLANK('ENGAGEMENTS 2026'!B746),"",'ENGAGEMENTS 2026'!AE746)</f>
        <v/>
      </c>
      <c r="I746">
        <f>IF(ISBLANK('ENGAGEMENTS 2026'!B746),"",'ENGAGEMENTS 2026'!G746)</f>
        <v/>
      </c>
      <c r="J746" s="275">
        <f>IF(ISBLANK('ENGAGEMENTS 2026'!B746),"",IF(AND(OR($E746="INFRUCTUEUX",$E746="ANNULE"),$C746="AOO-M"),'ENGAGEMENTS 2026'!O746,IF($H746="EN COURS DE PREENGAGEMENT",'ENGAGEMENTS 2026'!N746,IF($H746="PREENGAGE",IF($E746="ATTRIBUE",'ENGAGEMENTS 2026'!AD746,'ENGAGEMENTS 2026'!N746),'ENGAGEMENTS 2026'!AD746))))</f>
        <v/>
      </c>
      <c r="K746" s="604">
        <f>IF(ISBLANK('ENGAGEMENTS 2026'!V746),"",'ENGAGEMENTS 2026'!V746)</f>
        <v/>
      </c>
      <c r="L746" s="276">
        <f>IF($K746="","",TODAY()-$K746)</f>
        <v/>
      </c>
      <c r="M746">
        <f>IF($A746="","",IF($H746="ENGAGE","Engagé",IF(AND($H746="NON ENGAGE",OR($I746="INFRUCTUEUX",$I746="ANNULE")),"Clôturé sans suite","En cours")))</f>
        <v/>
      </c>
      <c r="N746">
        <f>IF(ISBLANK('ENGAGEMENTS 2026'!B746),"",'ENGAGEMENTS 2026'!K746)</f>
        <v/>
      </c>
      <c r="O746">
        <f>IF(ISBLANK('ENGAGEMENTS 2026'!B746),"",'ENGAGEMENTS 2026'!L746)</f>
        <v/>
      </c>
      <c r="P746">
        <f>IF(ISBLANK('ENGAGEMENTS 2026'!B746),"",'ENGAGEMENTS 2026'!J746)</f>
        <v/>
      </c>
      <c r="Q746">
        <f>IF($A746="","",IF(OR($E746="INFRUCTUEUX",$E746="ANNULE"),$A746&amp;"|"&amp;(COUNTIFS($A$2:$A746,$A746,$E$2:$E746,"INFRUCTUEUX")+COUNTIFS($A$2:$A746,$A746,$E$2:$E746,"ANNULE")),""))</f>
        <v/>
      </c>
    </row>
    <row r="747">
      <c r="A747">
        <f>IF(ISBLANK('ENGAGEMENTS 2026'!B747),"",IF('ENGAGEMENTS 2026'!B747="DTSI","DCT",'ENGAGEMENTS 2026'!B747))</f>
        <v/>
      </c>
      <c r="B747">
        <f>IF(ISBLANK('ENGAGEMENTS 2026'!B747),"",'ENGAGEMENTS 2026'!C747)</f>
        <v/>
      </c>
      <c r="C747">
        <f>IF(ISBLANK('ENGAGEMENTS 2026'!B747),"",'ENGAGEMENTS 2026'!D747)</f>
        <v/>
      </c>
      <c r="D747">
        <f>IF(ISBLANK('ENGAGEMENTS 2026'!B747),"",'ENGAGEMENTS 2026'!F747)</f>
        <v/>
      </c>
      <c r="E747">
        <f>IF(ISBLANK('ENGAGEMENTS 2026'!B747),"",'ENGAGEMENTS 2026'!H747)</f>
        <v/>
      </c>
      <c r="F747">
        <f>IF(ISBLANK('ENGAGEMENTS 2026'!B747),"",'ENGAGEMENTS 2026'!I747)</f>
        <v/>
      </c>
      <c r="G747">
        <f>IF(ISBLANK('ENGAGEMENTS 2026'!B747),"",'ENGAGEMENTS 2026'!L747)</f>
        <v/>
      </c>
      <c r="H747">
        <f>IF(ISBLANK('ENGAGEMENTS 2026'!B747),"",'ENGAGEMENTS 2026'!AE747)</f>
        <v/>
      </c>
      <c r="I747">
        <f>IF(ISBLANK('ENGAGEMENTS 2026'!B747),"",'ENGAGEMENTS 2026'!G747)</f>
        <v/>
      </c>
      <c r="J747" s="275">
        <f>IF(ISBLANK('ENGAGEMENTS 2026'!B747),"",IF(AND(OR($E747="INFRUCTUEUX",$E747="ANNULE"),$C747="AOO-M"),'ENGAGEMENTS 2026'!O747,IF($H747="EN COURS DE PREENGAGEMENT",'ENGAGEMENTS 2026'!N747,IF($H747="PREENGAGE",IF($E747="ATTRIBUE",'ENGAGEMENTS 2026'!AD747,'ENGAGEMENTS 2026'!N747),'ENGAGEMENTS 2026'!AD747))))</f>
        <v/>
      </c>
      <c r="K747" s="604">
        <f>IF(ISBLANK('ENGAGEMENTS 2026'!V747),"",'ENGAGEMENTS 2026'!V747)</f>
        <v/>
      </c>
      <c r="L747" s="276">
        <f>IF($K747="","",TODAY()-$K747)</f>
        <v/>
      </c>
      <c r="M747">
        <f>IF($A747="","",IF($H747="ENGAGE","Engagé",IF(AND($H747="NON ENGAGE",OR($I747="INFRUCTUEUX",$I747="ANNULE")),"Clôturé sans suite","En cours")))</f>
        <v/>
      </c>
      <c r="N747">
        <f>IF(ISBLANK('ENGAGEMENTS 2026'!B747),"",'ENGAGEMENTS 2026'!K747)</f>
        <v/>
      </c>
      <c r="O747">
        <f>IF(ISBLANK('ENGAGEMENTS 2026'!B747),"",'ENGAGEMENTS 2026'!L747)</f>
        <v/>
      </c>
      <c r="P747">
        <f>IF(ISBLANK('ENGAGEMENTS 2026'!B747),"",'ENGAGEMENTS 2026'!J747)</f>
        <v/>
      </c>
      <c r="Q747">
        <f>IF($A747="","",IF(OR($E747="INFRUCTUEUX",$E747="ANNULE"),$A747&amp;"|"&amp;(COUNTIFS($A$2:$A747,$A747,$E$2:$E747,"INFRUCTUEUX")+COUNTIFS($A$2:$A747,$A747,$E$2:$E747,"ANNULE")),""))</f>
        <v/>
      </c>
    </row>
    <row r="748">
      <c r="A748">
        <f>IF(ISBLANK('ENGAGEMENTS 2026'!B748),"",IF('ENGAGEMENTS 2026'!B748="DTSI","DCT",'ENGAGEMENTS 2026'!B748))</f>
        <v/>
      </c>
      <c r="B748">
        <f>IF(ISBLANK('ENGAGEMENTS 2026'!B748),"",'ENGAGEMENTS 2026'!C748)</f>
        <v/>
      </c>
      <c r="C748">
        <f>IF(ISBLANK('ENGAGEMENTS 2026'!B748),"",'ENGAGEMENTS 2026'!D748)</f>
        <v/>
      </c>
      <c r="D748">
        <f>IF(ISBLANK('ENGAGEMENTS 2026'!B748),"",'ENGAGEMENTS 2026'!F748)</f>
        <v/>
      </c>
      <c r="E748">
        <f>IF(ISBLANK('ENGAGEMENTS 2026'!B748),"",'ENGAGEMENTS 2026'!H748)</f>
        <v/>
      </c>
      <c r="F748">
        <f>IF(ISBLANK('ENGAGEMENTS 2026'!B748),"",'ENGAGEMENTS 2026'!I748)</f>
        <v/>
      </c>
      <c r="G748">
        <f>IF(ISBLANK('ENGAGEMENTS 2026'!B748),"",'ENGAGEMENTS 2026'!L748)</f>
        <v/>
      </c>
      <c r="H748">
        <f>IF(ISBLANK('ENGAGEMENTS 2026'!B748),"",'ENGAGEMENTS 2026'!AE748)</f>
        <v/>
      </c>
      <c r="I748">
        <f>IF(ISBLANK('ENGAGEMENTS 2026'!B748),"",'ENGAGEMENTS 2026'!G748)</f>
        <v/>
      </c>
      <c r="J748" s="275">
        <f>IF(ISBLANK('ENGAGEMENTS 2026'!B748),"",IF(AND(OR($E748="INFRUCTUEUX",$E748="ANNULE"),$C748="AOO-M"),'ENGAGEMENTS 2026'!O748,IF($H748="EN COURS DE PREENGAGEMENT",'ENGAGEMENTS 2026'!N748,IF($H748="PREENGAGE",IF($E748="ATTRIBUE",'ENGAGEMENTS 2026'!AD748,'ENGAGEMENTS 2026'!N748),'ENGAGEMENTS 2026'!AD748))))</f>
        <v/>
      </c>
      <c r="K748" s="604">
        <f>IF(ISBLANK('ENGAGEMENTS 2026'!V748),"",'ENGAGEMENTS 2026'!V748)</f>
        <v/>
      </c>
      <c r="L748" s="276">
        <f>IF($K748="","",TODAY()-$K748)</f>
        <v/>
      </c>
      <c r="M748">
        <f>IF($A748="","",IF($H748="ENGAGE","Engagé",IF(AND($H748="NON ENGAGE",OR($I748="INFRUCTUEUX",$I748="ANNULE")),"Clôturé sans suite","En cours")))</f>
        <v/>
      </c>
      <c r="N748">
        <f>IF(ISBLANK('ENGAGEMENTS 2026'!B748),"",'ENGAGEMENTS 2026'!K748)</f>
        <v/>
      </c>
      <c r="O748">
        <f>IF(ISBLANK('ENGAGEMENTS 2026'!B748),"",'ENGAGEMENTS 2026'!L748)</f>
        <v/>
      </c>
      <c r="P748">
        <f>IF(ISBLANK('ENGAGEMENTS 2026'!B748),"",'ENGAGEMENTS 2026'!J748)</f>
        <v/>
      </c>
      <c r="Q748">
        <f>IF($A748="","",IF(OR($E748="INFRUCTUEUX",$E748="ANNULE"),$A748&amp;"|"&amp;(COUNTIFS($A$2:$A748,$A748,$E$2:$E748,"INFRUCTUEUX")+COUNTIFS($A$2:$A748,$A748,$E$2:$E748,"ANNULE")),""))</f>
        <v/>
      </c>
    </row>
    <row r="749">
      <c r="A749">
        <f>IF(ISBLANK('ENGAGEMENTS 2026'!B749),"",IF('ENGAGEMENTS 2026'!B749="DTSI","DCT",'ENGAGEMENTS 2026'!B749))</f>
        <v/>
      </c>
      <c r="B749">
        <f>IF(ISBLANK('ENGAGEMENTS 2026'!B749),"",'ENGAGEMENTS 2026'!C749)</f>
        <v/>
      </c>
      <c r="C749">
        <f>IF(ISBLANK('ENGAGEMENTS 2026'!B749),"",'ENGAGEMENTS 2026'!D749)</f>
        <v/>
      </c>
      <c r="D749">
        <f>IF(ISBLANK('ENGAGEMENTS 2026'!B749),"",'ENGAGEMENTS 2026'!F749)</f>
        <v/>
      </c>
      <c r="E749">
        <f>IF(ISBLANK('ENGAGEMENTS 2026'!B749),"",'ENGAGEMENTS 2026'!H749)</f>
        <v/>
      </c>
      <c r="F749">
        <f>IF(ISBLANK('ENGAGEMENTS 2026'!B749),"",'ENGAGEMENTS 2026'!I749)</f>
        <v/>
      </c>
      <c r="G749">
        <f>IF(ISBLANK('ENGAGEMENTS 2026'!B749),"",'ENGAGEMENTS 2026'!L749)</f>
        <v/>
      </c>
      <c r="H749">
        <f>IF(ISBLANK('ENGAGEMENTS 2026'!B749),"",'ENGAGEMENTS 2026'!AE749)</f>
        <v/>
      </c>
      <c r="I749">
        <f>IF(ISBLANK('ENGAGEMENTS 2026'!B749),"",'ENGAGEMENTS 2026'!G749)</f>
        <v/>
      </c>
      <c r="J749" s="275">
        <f>IF(ISBLANK('ENGAGEMENTS 2026'!B749),"",IF(AND(OR($E749="INFRUCTUEUX",$E749="ANNULE"),$C749="AOO-M"),'ENGAGEMENTS 2026'!O749,IF($H749="EN COURS DE PREENGAGEMENT",'ENGAGEMENTS 2026'!N749,IF($H749="PREENGAGE",IF($E749="ATTRIBUE",'ENGAGEMENTS 2026'!AD749,'ENGAGEMENTS 2026'!N749),'ENGAGEMENTS 2026'!AD749))))</f>
        <v/>
      </c>
      <c r="K749" s="604">
        <f>IF(ISBLANK('ENGAGEMENTS 2026'!V749),"",'ENGAGEMENTS 2026'!V749)</f>
        <v/>
      </c>
      <c r="L749" s="276">
        <f>IF($K749="","",TODAY()-$K749)</f>
        <v/>
      </c>
      <c r="M749">
        <f>IF($A749="","",IF($H749="ENGAGE","Engagé",IF(AND($H749="NON ENGAGE",OR($I749="INFRUCTUEUX",$I749="ANNULE")),"Clôturé sans suite","En cours")))</f>
        <v/>
      </c>
      <c r="N749">
        <f>IF(ISBLANK('ENGAGEMENTS 2026'!B749),"",'ENGAGEMENTS 2026'!K749)</f>
        <v/>
      </c>
      <c r="O749">
        <f>IF(ISBLANK('ENGAGEMENTS 2026'!B749),"",'ENGAGEMENTS 2026'!L749)</f>
        <v/>
      </c>
      <c r="P749">
        <f>IF(ISBLANK('ENGAGEMENTS 2026'!B749),"",'ENGAGEMENTS 2026'!J749)</f>
        <v/>
      </c>
      <c r="Q749">
        <f>IF($A749="","",IF(OR($E749="INFRUCTUEUX",$E749="ANNULE"),$A749&amp;"|"&amp;(COUNTIFS($A$2:$A749,$A749,$E$2:$E749,"INFRUCTUEUX")+COUNTIFS($A$2:$A749,$A749,$E$2:$E749,"ANNULE")),""))</f>
        <v/>
      </c>
    </row>
    <row r="750">
      <c r="A750">
        <f>IF(ISBLANK('ENGAGEMENTS 2026'!B750),"",IF('ENGAGEMENTS 2026'!B750="DTSI","DCT",'ENGAGEMENTS 2026'!B750))</f>
        <v/>
      </c>
      <c r="B750">
        <f>IF(ISBLANK('ENGAGEMENTS 2026'!B750),"",'ENGAGEMENTS 2026'!C750)</f>
        <v/>
      </c>
      <c r="C750">
        <f>IF(ISBLANK('ENGAGEMENTS 2026'!B750),"",'ENGAGEMENTS 2026'!D750)</f>
        <v/>
      </c>
      <c r="D750">
        <f>IF(ISBLANK('ENGAGEMENTS 2026'!B750),"",'ENGAGEMENTS 2026'!F750)</f>
        <v/>
      </c>
      <c r="E750">
        <f>IF(ISBLANK('ENGAGEMENTS 2026'!B750),"",'ENGAGEMENTS 2026'!H750)</f>
        <v/>
      </c>
      <c r="F750">
        <f>IF(ISBLANK('ENGAGEMENTS 2026'!B750),"",'ENGAGEMENTS 2026'!I750)</f>
        <v/>
      </c>
      <c r="G750">
        <f>IF(ISBLANK('ENGAGEMENTS 2026'!B750),"",'ENGAGEMENTS 2026'!L750)</f>
        <v/>
      </c>
      <c r="H750">
        <f>IF(ISBLANK('ENGAGEMENTS 2026'!B750),"",'ENGAGEMENTS 2026'!AE750)</f>
        <v/>
      </c>
      <c r="I750">
        <f>IF(ISBLANK('ENGAGEMENTS 2026'!B750),"",'ENGAGEMENTS 2026'!G750)</f>
        <v/>
      </c>
      <c r="J750" s="275">
        <f>IF(ISBLANK('ENGAGEMENTS 2026'!B750),"",IF(AND(OR($E750="INFRUCTUEUX",$E750="ANNULE"),$C750="AOO-M"),'ENGAGEMENTS 2026'!O750,IF($H750="EN COURS DE PREENGAGEMENT",'ENGAGEMENTS 2026'!N750,IF($H750="PREENGAGE",IF($E750="ATTRIBUE",'ENGAGEMENTS 2026'!AD750,'ENGAGEMENTS 2026'!N750),'ENGAGEMENTS 2026'!AD750))))</f>
        <v/>
      </c>
      <c r="K750" s="604">
        <f>IF(ISBLANK('ENGAGEMENTS 2026'!V750),"",'ENGAGEMENTS 2026'!V750)</f>
        <v/>
      </c>
      <c r="L750" s="276">
        <f>IF($K750="","",TODAY()-$K750)</f>
        <v/>
      </c>
      <c r="M750">
        <f>IF($A750="","",IF($H750="ENGAGE","Engagé",IF(AND($H750="NON ENGAGE",OR($I750="INFRUCTUEUX",$I750="ANNULE")),"Clôturé sans suite","En cours")))</f>
        <v/>
      </c>
      <c r="N750">
        <f>IF(ISBLANK('ENGAGEMENTS 2026'!B750),"",'ENGAGEMENTS 2026'!K750)</f>
        <v/>
      </c>
      <c r="O750">
        <f>IF(ISBLANK('ENGAGEMENTS 2026'!B750),"",'ENGAGEMENTS 2026'!L750)</f>
        <v/>
      </c>
      <c r="P750">
        <f>IF(ISBLANK('ENGAGEMENTS 2026'!B750),"",'ENGAGEMENTS 2026'!J750)</f>
        <v/>
      </c>
      <c r="Q750">
        <f>IF($A750="","",IF(OR($E750="INFRUCTUEUX",$E750="ANNULE"),$A750&amp;"|"&amp;(COUNTIFS($A$2:$A750,$A750,$E$2:$E750,"INFRUCTUEUX")+COUNTIFS($A$2:$A750,$A750,$E$2:$E750,"ANNULE")),""))</f>
        <v/>
      </c>
    </row>
    <row r="751">
      <c r="A751">
        <f>IF(ISBLANK('ENGAGEMENTS 2026'!B751),"",IF('ENGAGEMENTS 2026'!B751="DTSI","DCT",'ENGAGEMENTS 2026'!B751))</f>
        <v/>
      </c>
      <c r="B751">
        <f>IF(ISBLANK('ENGAGEMENTS 2026'!B751),"",'ENGAGEMENTS 2026'!C751)</f>
        <v/>
      </c>
      <c r="C751">
        <f>IF(ISBLANK('ENGAGEMENTS 2026'!B751),"",'ENGAGEMENTS 2026'!D751)</f>
        <v/>
      </c>
      <c r="D751">
        <f>IF(ISBLANK('ENGAGEMENTS 2026'!B751),"",'ENGAGEMENTS 2026'!F751)</f>
        <v/>
      </c>
      <c r="E751">
        <f>IF(ISBLANK('ENGAGEMENTS 2026'!B751),"",'ENGAGEMENTS 2026'!H751)</f>
        <v/>
      </c>
      <c r="F751">
        <f>IF(ISBLANK('ENGAGEMENTS 2026'!B751),"",'ENGAGEMENTS 2026'!I751)</f>
        <v/>
      </c>
      <c r="G751">
        <f>IF(ISBLANK('ENGAGEMENTS 2026'!B751),"",'ENGAGEMENTS 2026'!L751)</f>
        <v/>
      </c>
      <c r="H751">
        <f>IF(ISBLANK('ENGAGEMENTS 2026'!B751),"",'ENGAGEMENTS 2026'!AE751)</f>
        <v/>
      </c>
      <c r="I751">
        <f>IF(ISBLANK('ENGAGEMENTS 2026'!B751),"",'ENGAGEMENTS 2026'!G751)</f>
        <v/>
      </c>
      <c r="J751" s="275">
        <f>IF(ISBLANK('ENGAGEMENTS 2026'!B751),"",IF(AND(OR($E751="INFRUCTUEUX",$E751="ANNULE"),$C751="AOO-M"),'ENGAGEMENTS 2026'!O751,IF($H751="EN COURS DE PREENGAGEMENT",'ENGAGEMENTS 2026'!N751,IF($H751="PREENGAGE",IF($E751="ATTRIBUE",'ENGAGEMENTS 2026'!AD751,'ENGAGEMENTS 2026'!N751),'ENGAGEMENTS 2026'!AD751))))</f>
        <v/>
      </c>
      <c r="K751" s="604">
        <f>IF(ISBLANK('ENGAGEMENTS 2026'!V751),"",'ENGAGEMENTS 2026'!V751)</f>
        <v/>
      </c>
      <c r="L751" s="276">
        <f>IF($K751="","",TODAY()-$K751)</f>
        <v/>
      </c>
      <c r="M751">
        <f>IF($A751="","",IF($H751="ENGAGE","Engagé",IF(AND($H751="NON ENGAGE",OR($I751="INFRUCTUEUX",$I751="ANNULE")),"Clôturé sans suite","En cours")))</f>
        <v/>
      </c>
      <c r="N751">
        <f>IF(ISBLANK('ENGAGEMENTS 2026'!B751),"",'ENGAGEMENTS 2026'!K751)</f>
        <v/>
      </c>
      <c r="O751">
        <f>IF(ISBLANK('ENGAGEMENTS 2026'!B751),"",'ENGAGEMENTS 2026'!L751)</f>
        <v/>
      </c>
      <c r="P751">
        <f>IF(ISBLANK('ENGAGEMENTS 2026'!B751),"",'ENGAGEMENTS 2026'!J751)</f>
        <v/>
      </c>
      <c r="Q751">
        <f>IF($A751="","",IF(OR($E751="INFRUCTUEUX",$E751="ANNULE"),$A751&amp;"|"&amp;(COUNTIFS($A$2:$A751,$A751,$E$2:$E751,"INFRUCTUEUX")+COUNTIFS($A$2:$A751,$A751,$E$2:$E751,"ANNULE")),""))</f>
        <v/>
      </c>
    </row>
    <row r="752">
      <c r="A752">
        <f>IF(ISBLANK('ENGAGEMENTS 2026'!B752),"",IF('ENGAGEMENTS 2026'!B752="DTSI","DCT",'ENGAGEMENTS 2026'!B752))</f>
        <v/>
      </c>
      <c r="B752">
        <f>IF(ISBLANK('ENGAGEMENTS 2026'!B752),"",'ENGAGEMENTS 2026'!C752)</f>
        <v/>
      </c>
      <c r="C752">
        <f>IF(ISBLANK('ENGAGEMENTS 2026'!B752),"",'ENGAGEMENTS 2026'!D752)</f>
        <v/>
      </c>
      <c r="D752">
        <f>IF(ISBLANK('ENGAGEMENTS 2026'!B752),"",'ENGAGEMENTS 2026'!F752)</f>
        <v/>
      </c>
      <c r="E752">
        <f>IF(ISBLANK('ENGAGEMENTS 2026'!B752),"",'ENGAGEMENTS 2026'!H752)</f>
        <v/>
      </c>
      <c r="F752">
        <f>IF(ISBLANK('ENGAGEMENTS 2026'!B752),"",'ENGAGEMENTS 2026'!I752)</f>
        <v/>
      </c>
      <c r="G752">
        <f>IF(ISBLANK('ENGAGEMENTS 2026'!B752),"",'ENGAGEMENTS 2026'!L752)</f>
        <v/>
      </c>
      <c r="H752">
        <f>IF(ISBLANK('ENGAGEMENTS 2026'!B752),"",'ENGAGEMENTS 2026'!AE752)</f>
        <v/>
      </c>
      <c r="I752">
        <f>IF(ISBLANK('ENGAGEMENTS 2026'!B752),"",'ENGAGEMENTS 2026'!G752)</f>
        <v/>
      </c>
      <c r="J752" s="275">
        <f>IF(ISBLANK('ENGAGEMENTS 2026'!B752),"",IF(AND(OR($E752="INFRUCTUEUX",$E752="ANNULE"),$C752="AOO-M"),'ENGAGEMENTS 2026'!O752,IF($H752="EN COURS DE PREENGAGEMENT",'ENGAGEMENTS 2026'!N752,IF($H752="PREENGAGE",IF($E752="ATTRIBUE",'ENGAGEMENTS 2026'!AD752,'ENGAGEMENTS 2026'!N752),'ENGAGEMENTS 2026'!AD752))))</f>
        <v/>
      </c>
      <c r="K752" s="604">
        <f>IF(ISBLANK('ENGAGEMENTS 2026'!V752),"",'ENGAGEMENTS 2026'!V752)</f>
        <v/>
      </c>
      <c r="L752" s="276">
        <f>IF($K752="","",TODAY()-$K752)</f>
        <v/>
      </c>
      <c r="M752">
        <f>IF($A752="","",IF($H752="ENGAGE","Engagé",IF(AND($H752="NON ENGAGE",OR($I752="INFRUCTUEUX",$I752="ANNULE")),"Clôturé sans suite","En cours")))</f>
        <v/>
      </c>
      <c r="N752">
        <f>IF(ISBLANK('ENGAGEMENTS 2026'!B752),"",'ENGAGEMENTS 2026'!K752)</f>
        <v/>
      </c>
      <c r="O752">
        <f>IF(ISBLANK('ENGAGEMENTS 2026'!B752),"",'ENGAGEMENTS 2026'!L752)</f>
        <v/>
      </c>
      <c r="P752">
        <f>IF(ISBLANK('ENGAGEMENTS 2026'!B752),"",'ENGAGEMENTS 2026'!J752)</f>
        <v/>
      </c>
      <c r="Q752">
        <f>IF($A752="","",IF(OR($E752="INFRUCTUEUX",$E752="ANNULE"),$A752&amp;"|"&amp;(COUNTIFS($A$2:$A752,$A752,$E$2:$E752,"INFRUCTUEUX")+COUNTIFS($A$2:$A752,$A752,$E$2:$E752,"ANNULE")),""))</f>
        <v/>
      </c>
    </row>
    <row r="753">
      <c r="A753">
        <f>IF(ISBLANK('ENGAGEMENTS 2026'!B753),"",IF('ENGAGEMENTS 2026'!B753="DTSI","DCT",'ENGAGEMENTS 2026'!B753))</f>
        <v/>
      </c>
      <c r="B753">
        <f>IF(ISBLANK('ENGAGEMENTS 2026'!B753),"",'ENGAGEMENTS 2026'!C753)</f>
        <v/>
      </c>
      <c r="C753">
        <f>IF(ISBLANK('ENGAGEMENTS 2026'!B753),"",'ENGAGEMENTS 2026'!D753)</f>
        <v/>
      </c>
      <c r="D753">
        <f>IF(ISBLANK('ENGAGEMENTS 2026'!B753),"",'ENGAGEMENTS 2026'!F753)</f>
        <v/>
      </c>
      <c r="E753">
        <f>IF(ISBLANK('ENGAGEMENTS 2026'!B753),"",'ENGAGEMENTS 2026'!H753)</f>
        <v/>
      </c>
      <c r="F753">
        <f>IF(ISBLANK('ENGAGEMENTS 2026'!B753),"",'ENGAGEMENTS 2026'!I753)</f>
        <v/>
      </c>
      <c r="G753">
        <f>IF(ISBLANK('ENGAGEMENTS 2026'!B753),"",'ENGAGEMENTS 2026'!L753)</f>
        <v/>
      </c>
      <c r="H753">
        <f>IF(ISBLANK('ENGAGEMENTS 2026'!B753),"",'ENGAGEMENTS 2026'!AE753)</f>
        <v/>
      </c>
      <c r="I753">
        <f>IF(ISBLANK('ENGAGEMENTS 2026'!B753),"",'ENGAGEMENTS 2026'!G753)</f>
        <v/>
      </c>
      <c r="J753" s="275">
        <f>IF(ISBLANK('ENGAGEMENTS 2026'!B753),"",IF(AND(OR($E753="INFRUCTUEUX",$E753="ANNULE"),$C753="AOO-M"),'ENGAGEMENTS 2026'!O753,IF($H753="EN COURS DE PREENGAGEMENT",'ENGAGEMENTS 2026'!N753,IF($H753="PREENGAGE",IF($E753="ATTRIBUE",'ENGAGEMENTS 2026'!AD753,'ENGAGEMENTS 2026'!N753),'ENGAGEMENTS 2026'!AD753))))</f>
        <v/>
      </c>
      <c r="K753" s="604">
        <f>IF(ISBLANK('ENGAGEMENTS 2026'!V753),"",'ENGAGEMENTS 2026'!V753)</f>
        <v/>
      </c>
      <c r="L753" s="276">
        <f>IF($K753="","",TODAY()-$K753)</f>
        <v/>
      </c>
      <c r="M753">
        <f>IF($A753="","",IF($H753="ENGAGE","Engagé",IF(AND($H753="NON ENGAGE",OR($I753="INFRUCTUEUX",$I753="ANNULE")),"Clôturé sans suite","En cours")))</f>
        <v/>
      </c>
      <c r="N753">
        <f>IF(ISBLANK('ENGAGEMENTS 2026'!B753),"",'ENGAGEMENTS 2026'!K753)</f>
        <v/>
      </c>
      <c r="O753">
        <f>IF(ISBLANK('ENGAGEMENTS 2026'!B753),"",'ENGAGEMENTS 2026'!L753)</f>
        <v/>
      </c>
      <c r="P753">
        <f>IF(ISBLANK('ENGAGEMENTS 2026'!B753),"",'ENGAGEMENTS 2026'!J753)</f>
        <v/>
      </c>
      <c r="Q753">
        <f>IF($A753="","",IF(OR($E753="INFRUCTUEUX",$E753="ANNULE"),$A753&amp;"|"&amp;(COUNTIFS($A$2:$A753,$A753,$E$2:$E753,"INFRUCTUEUX")+COUNTIFS($A$2:$A753,$A753,$E$2:$E753,"ANNULE")),""))</f>
        <v/>
      </c>
    </row>
    <row r="754">
      <c r="A754">
        <f>IF(ISBLANK('ENGAGEMENTS 2026'!B754),"",IF('ENGAGEMENTS 2026'!B754="DTSI","DCT",'ENGAGEMENTS 2026'!B754))</f>
        <v/>
      </c>
      <c r="B754">
        <f>IF(ISBLANK('ENGAGEMENTS 2026'!B754),"",'ENGAGEMENTS 2026'!C754)</f>
        <v/>
      </c>
      <c r="C754">
        <f>IF(ISBLANK('ENGAGEMENTS 2026'!B754),"",'ENGAGEMENTS 2026'!D754)</f>
        <v/>
      </c>
      <c r="D754">
        <f>IF(ISBLANK('ENGAGEMENTS 2026'!B754),"",'ENGAGEMENTS 2026'!F754)</f>
        <v/>
      </c>
      <c r="E754">
        <f>IF(ISBLANK('ENGAGEMENTS 2026'!B754),"",'ENGAGEMENTS 2026'!H754)</f>
        <v/>
      </c>
      <c r="F754">
        <f>IF(ISBLANK('ENGAGEMENTS 2026'!B754),"",'ENGAGEMENTS 2026'!I754)</f>
        <v/>
      </c>
      <c r="G754">
        <f>IF(ISBLANK('ENGAGEMENTS 2026'!B754),"",'ENGAGEMENTS 2026'!L754)</f>
        <v/>
      </c>
      <c r="H754">
        <f>IF(ISBLANK('ENGAGEMENTS 2026'!B754),"",'ENGAGEMENTS 2026'!AE754)</f>
        <v/>
      </c>
      <c r="I754">
        <f>IF(ISBLANK('ENGAGEMENTS 2026'!B754),"",'ENGAGEMENTS 2026'!G754)</f>
        <v/>
      </c>
      <c r="J754" s="275">
        <f>IF(ISBLANK('ENGAGEMENTS 2026'!B754),"",IF(AND(OR($E754="INFRUCTUEUX",$E754="ANNULE"),$C754="AOO-M"),'ENGAGEMENTS 2026'!O754,IF($H754="EN COURS DE PREENGAGEMENT",'ENGAGEMENTS 2026'!N754,IF($H754="PREENGAGE",IF($E754="ATTRIBUE",'ENGAGEMENTS 2026'!AD754,'ENGAGEMENTS 2026'!N754),'ENGAGEMENTS 2026'!AD754))))</f>
        <v/>
      </c>
      <c r="K754" s="604">
        <f>IF(ISBLANK('ENGAGEMENTS 2026'!V754),"",'ENGAGEMENTS 2026'!V754)</f>
        <v/>
      </c>
      <c r="L754" s="276">
        <f>IF($K754="","",TODAY()-$K754)</f>
        <v/>
      </c>
      <c r="M754">
        <f>IF($A754="","",IF($H754="ENGAGE","Engagé",IF(AND($H754="NON ENGAGE",OR($I754="INFRUCTUEUX",$I754="ANNULE")),"Clôturé sans suite","En cours")))</f>
        <v/>
      </c>
      <c r="N754">
        <f>IF(ISBLANK('ENGAGEMENTS 2026'!B754),"",'ENGAGEMENTS 2026'!K754)</f>
        <v/>
      </c>
      <c r="O754">
        <f>IF(ISBLANK('ENGAGEMENTS 2026'!B754),"",'ENGAGEMENTS 2026'!L754)</f>
        <v/>
      </c>
      <c r="P754">
        <f>IF(ISBLANK('ENGAGEMENTS 2026'!B754),"",'ENGAGEMENTS 2026'!J754)</f>
        <v/>
      </c>
      <c r="Q754">
        <f>IF($A754="","",IF(OR($E754="INFRUCTUEUX",$E754="ANNULE"),$A754&amp;"|"&amp;(COUNTIFS($A$2:$A754,$A754,$E$2:$E754,"INFRUCTUEUX")+COUNTIFS($A$2:$A754,$A754,$E$2:$E754,"ANNULE")),""))</f>
        <v/>
      </c>
    </row>
    <row r="755">
      <c r="A755">
        <f>IF(ISBLANK('ENGAGEMENTS 2026'!B755),"",IF('ENGAGEMENTS 2026'!B755="DTSI","DCT",'ENGAGEMENTS 2026'!B755))</f>
        <v/>
      </c>
      <c r="B755">
        <f>IF(ISBLANK('ENGAGEMENTS 2026'!B755),"",'ENGAGEMENTS 2026'!C755)</f>
        <v/>
      </c>
      <c r="C755">
        <f>IF(ISBLANK('ENGAGEMENTS 2026'!B755),"",'ENGAGEMENTS 2026'!D755)</f>
        <v/>
      </c>
      <c r="D755">
        <f>IF(ISBLANK('ENGAGEMENTS 2026'!B755),"",'ENGAGEMENTS 2026'!F755)</f>
        <v/>
      </c>
      <c r="E755">
        <f>IF(ISBLANK('ENGAGEMENTS 2026'!B755),"",'ENGAGEMENTS 2026'!H755)</f>
        <v/>
      </c>
      <c r="F755">
        <f>IF(ISBLANK('ENGAGEMENTS 2026'!B755),"",'ENGAGEMENTS 2026'!I755)</f>
        <v/>
      </c>
      <c r="G755">
        <f>IF(ISBLANK('ENGAGEMENTS 2026'!B755),"",'ENGAGEMENTS 2026'!L755)</f>
        <v/>
      </c>
      <c r="H755">
        <f>IF(ISBLANK('ENGAGEMENTS 2026'!B755),"",'ENGAGEMENTS 2026'!AE755)</f>
        <v/>
      </c>
      <c r="I755">
        <f>IF(ISBLANK('ENGAGEMENTS 2026'!B755),"",'ENGAGEMENTS 2026'!G755)</f>
        <v/>
      </c>
      <c r="J755" s="275">
        <f>IF(ISBLANK('ENGAGEMENTS 2026'!B755),"",IF(AND(OR($E755="INFRUCTUEUX",$E755="ANNULE"),$C755="AOO-M"),'ENGAGEMENTS 2026'!O755,IF($H755="EN COURS DE PREENGAGEMENT",'ENGAGEMENTS 2026'!N755,IF($H755="PREENGAGE",IF($E755="ATTRIBUE",'ENGAGEMENTS 2026'!AD755,'ENGAGEMENTS 2026'!N755),'ENGAGEMENTS 2026'!AD755))))</f>
        <v/>
      </c>
      <c r="K755" s="604">
        <f>IF(ISBLANK('ENGAGEMENTS 2026'!V755),"",'ENGAGEMENTS 2026'!V755)</f>
        <v/>
      </c>
      <c r="L755" s="276">
        <f>IF($K755="","",TODAY()-$K755)</f>
        <v/>
      </c>
      <c r="M755">
        <f>IF($A755="","",IF($H755="ENGAGE","Engagé",IF(AND($H755="NON ENGAGE",OR($I755="INFRUCTUEUX",$I755="ANNULE")),"Clôturé sans suite","En cours")))</f>
        <v/>
      </c>
      <c r="N755">
        <f>IF(ISBLANK('ENGAGEMENTS 2026'!B755),"",'ENGAGEMENTS 2026'!K755)</f>
        <v/>
      </c>
      <c r="O755">
        <f>IF(ISBLANK('ENGAGEMENTS 2026'!B755),"",'ENGAGEMENTS 2026'!L755)</f>
        <v/>
      </c>
      <c r="P755">
        <f>IF(ISBLANK('ENGAGEMENTS 2026'!B755),"",'ENGAGEMENTS 2026'!J755)</f>
        <v/>
      </c>
      <c r="Q755">
        <f>IF($A755="","",IF(OR($E755="INFRUCTUEUX",$E755="ANNULE"),$A755&amp;"|"&amp;(COUNTIFS($A$2:$A755,$A755,$E$2:$E755,"INFRUCTUEUX")+COUNTIFS($A$2:$A755,$A755,$E$2:$E755,"ANNULE")),""))</f>
        <v/>
      </c>
    </row>
    <row r="756">
      <c r="A756">
        <f>IF(ISBLANK('ENGAGEMENTS 2026'!B756),"",IF('ENGAGEMENTS 2026'!B756="DTSI","DCT",'ENGAGEMENTS 2026'!B756))</f>
        <v/>
      </c>
      <c r="B756">
        <f>IF(ISBLANK('ENGAGEMENTS 2026'!B756),"",'ENGAGEMENTS 2026'!C756)</f>
        <v/>
      </c>
      <c r="C756">
        <f>IF(ISBLANK('ENGAGEMENTS 2026'!B756),"",'ENGAGEMENTS 2026'!D756)</f>
        <v/>
      </c>
      <c r="D756">
        <f>IF(ISBLANK('ENGAGEMENTS 2026'!B756),"",'ENGAGEMENTS 2026'!F756)</f>
        <v/>
      </c>
      <c r="E756">
        <f>IF(ISBLANK('ENGAGEMENTS 2026'!B756),"",'ENGAGEMENTS 2026'!H756)</f>
        <v/>
      </c>
      <c r="F756">
        <f>IF(ISBLANK('ENGAGEMENTS 2026'!B756),"",'ENGAGEMENTS 2026'!I756)</f>
        <v/>
      </c>
      <c r="G756">
        <f>IF(ISBLANK('ENGAGEMENTS 2026'!B756),"",'ENGAGEMENTS 2026'!L756)</f>
        <v/>
      </c>
      <c r="H756">
        <f>IF(ISBLANK('ENGAGEMENTS 2026'!B756),"",'ENGAGEMENTS 2026'!AE756)</f>
        <v/>
      </c>
      <c r="I756">
        <f>IF(ISBLANK('ENGAGEMENTS 2026'!B756),"",'ENGAGEMENTS 2026'!G756)</f>
        <v/>
      </c>
      <c r="J756" s="275">
        <f>IF(ISBLANK('ENGAGEMENTS 2026'!B756),"",IF(AND(OR($E756="INFRUCTUEUX",$E756="ANNULE"),$C756="AOO-M"),'ENGAGEMENTS 2026'!O756,IF($H756="EN COURS DE PREENGAGEMENT",'ENGAGEMENTS 2026'!N756,IF($H756="PREENGAGE",IF($E756="ATTRIBUE",'ENGAGEMENTS 2026'!AD756,'ENGAGEMENTS 2026'!N756),'ENGAGEMENTS 2026'!AD756))))</f>
        <v/>
      </c>
      <c r="K756" s="604">
        <f>IF(ISBLANK('ENGAGEMENTS 2026'!V756),"",'ENGAGEMENTS 2026'!V756)</f>
        <v/>
      </c>
      <c r="L756" s="276">
        <f>IF($K756="","",TODAY()-$K756)</f>
        <v/>
      </c>
      <c r="M756">
        <f>IF($A756="","",IF($H756="ENGAGE","Engagé",IF(AND($H756="NON ENGAGE",OR($I756="INFRUCTUEUX",$I756="ANNULE")),"Clôturé sans suite","En cours")))</f>
        <v/>
      </c>
      <c r="N756">
        <f>IF(ISBLANK('ENGAGEMENTS 2026'!B756),"",'ENGAGEMENTS 2026'!K756)</f>
        <v/>
      </c>
      <c r="O756">
        <f>IF(ISBLANK('ENGAGEMENTS 2026'!B756),"",'ENGAGEMENTS 2026'!L756)</f>
        <v/>
      </c>
      <c r="P756">
        <f>IF(ISBLANK('ENGAGEMENTS 2026'!B756),"",'ENGAGEMENTS 2026'!J756)</f>
        <v/>
      </c>
      <c r="Q756">
        <f>IF($A756="","",IF(OR($E756="INFRUCTUEUX",$E756="ANNULE"),$A756&amp;"|"&amp;(COUNTIFS($A$2:$A756,$A756,$E$2:$E756,"INFRUCTUEUX")+COUNTIFS($A$2:$A756,$A756,$E$2:$E756,"ANNULE")),""))</f>
        <v/>
      </c>
    </row>
    <row r="757">
      <c r="A757">
        <f>IF(ISBLANK('ENGAGEMENTS 2026'!B757),"",IF('ENGAGEMENTS 2026'!B757="DTSI","DCT",'ENGAGEMENTS 2026'!B757))</f>
        <v/>
      </c>
      <c r="B757">
        <f>IF(ISBLANK('ENGAGEMENTS 2026'!B757),"",'ENGAGEMENTS 2026'!C757)</f>
        <v/>
      </c>
      <c r="C757">
        <f>IF(ISBLANK('ENGAGEMENTS 2026'!B757),"",'ENGAGEMENTS 2026'!D757)</f>
        <v/>
      </c>
      <c r="D757">
        <f>IF(ISBLANK('ENGAGEMENTS 2026'!B757),"",'ENGAGEMENTS 2026'!F757)</f>
        <v/>
      </c>
      <c r="E757">
        <f>IF(ISBLANK('ENGAGEMENTS 2026'!B757),"",'ENGAGEMENTS 2026'!H757)</f>
        <v/>
      </c>
      <c r="F757">
        <f>IF(ISBLANK('ENGAGEMENTS 2026'!B757),"",'ENGAGEMENTS 2026'!I757)</f>
        <v/>
      </c>
      <c r="G757">
        <f>IF(ISBLANK('ENGAGEMENTS 2026'!B757),"",'ENGAGEMENTS 2026'!L757)</f>
        <v/>
      </c>
      <c r="H757">
        <f>IF(ISBLANK('ENGAGEMENTS 2026'!B757),"",'ENGAGEMENTS 2026'!AE757)</f>
        <v/>
      </c>
      <c r="I757">
        <f>IF(ISBLANK('ENGAGEMENTS 2026'!B757),"",'ENGAGEMENTS 2026'!G757)</f>
        <v/>
      </c>
      <c r="J757" s="275">
        <f>IF(ISBLANK('ENGAGEMENTS 2026'!B757),"",IF(AND(OR($E757="INFRUCTUEUX",$E757="ANNULE"),$C757="AOO-M"),'ENGAGEMENTS 2026'!O757,IF($H757="EN COURS DE PREENGAGEMENT",'ENGAGEMENTS 2026'!N757,IF($H757="PREENGAGE",IF($E757="ATTRIBUE",'ENGAGEMENTS 2026'!AD757,'ENGAGEMENTS 2026'!N757),'ENGAGEMENTS 2026'!AD757))))</f>
        <v/>
      </c>
      <c r="K757" s="604">
        <f>IF(ISBLANK('ENGAGEMENTS 2026'!V757),"",'ENGAGEMENTS 2026'!V757)</f>
        <v/>
      </c>
      <c r="L757" s="276">
        <f>IF($K757="","",TODAY()-$K757)</f>
        <v/>
      </c>
      <c r="M757">
        <f>IF($A757="","",IF($H757="ENGAGE","Engagé",IF(AND($H757="NON ENGAGE",OR($I757="INFRUCTUEUX",$I757="ANNULE")),"Clôturé sans suite","En cours")))</f>
        <v/>
      </c>
      <c r="N757">
        <f>IF(ISBLANK('ENGAGEMENTS 2026'!B757),"",'ENGAGEMENTS 2026'!K757)</f>
        <v/>
      </c>
      <c r="O757">
        <f>IF(ISBLANK('ENGAGEMENTS 2026'!B757),"",'ENGAGEMENTS 2026'!L757)</f>
        <v/>
      </c>
      <c r="P757">
        <f>IF(ISBLANK('ENGAGEMENTS 2026'!B757),"",'ENGAGEMENTS 2026'!J757)</f>
        <v/>
      </c>
      <c r="Q757">
        <f>IF($A757="","",IF(OR($E757="INFRUCTUEUX",$E757="ANNULE"),$A757&amp;"|"&amp;(COUNTIFS($A$2:$A757,$A757,$E$2:$E757,"INFRUCTUEUX")+COUNTIFS($A$2:$A757,$A757,$E$2:$E757,"ANNULE")),""))</f>
        <v/>
      </c>
    </row>
    <row r="758">
      <c r="A758">
        <f>IF(ISBLANK('ENGAGEMENTS 2026'!B758),"",IF('ENGAGEMENTS 2026'!B758="DTSI","DCT",'ENGAGEMENTS 2026'!B758))</f>
        <v/>
      </c>
      <c r="B758">
        <f>IF(ISBLANK('ENGAGEMENTS 2026'!B758),"",'ENGAGEMENTS 2026'!C758)</f>
        <v/>
      </c>
      <c r="C758">
        <f>IF(ISBLANK('ENGAGEMENTS 2026'!B758),"",'ENGAGEMENTS 2026'!D758)</f>
        <v/>
      </c>
      <c r="D758">
        <f>IF(ISBLANK('ENGAGEMENTS 2026'!B758),"",'ENGAGEMENTS 2026'!F758)</f>
        <v/>
      </c>
      <c r="E758">
        <f>IF(ISBLANK('ENGAGEMENTS 2026'!B758),"",'ENGAGEMENTS 2026'!H758)</f>
        <v/>
      </c>
      <c r="F758">
        <f>IF(ISBLANK('ENGAGEMENTS 2026'!B758),"",'ENGAGEMENTS 2026'!I758)</f>
        <v/>
      </c>
      <c r="G758">
        <f>IF(ISBLANK('ENGAGEMENTS 2026'!B758),"",'ENGAGEMENTS 2026'!L758)</f>
        <v/>
      </c>
      <c r="H758">
        <f>IF(ISBLANK('ENGAGEMENTS 2026'!B758),"",'ENGAGEMENTS 2026'!AE758)</f>
        <v/>
      </c>
      <c r="I758">
        <f>IF(ISBLANK('ENGAGEMENTS 2026'!B758),"",'ENGAGEMENTS 2026'!G758)</f>
        <v/>
      </c>
      <c r="J758" s="275">
        <f>IF(ISBLANK('ENGAGEMENTS 2026'!B758),"",IF(AND(OR($E758="INFRUCTUEUX",$E758="ANNULE"),$C758="AOO-M"),'ENGAGEMENTS 2026'!O758,IF($H758="EN COURS DE PREENGAGEMENT",'ENGAGEMENTS 2026'!N758,IF($H758="PREENGAGE",IF($E758="ATTRIBUE",'ENGAGEMENTS 2026'!AD758,'ENGAGEMENTS 2026'!N758),'ENGAGEMENTS 2026'!AD758))))</f>
        <v/>
      </c>
      <c r="K758" s="604">
        <f>IF(ISBLANK('ENGAGEMENTS 2026'!V758),"",'ENGAGEMENTS 2026'!V758)</f>
        <v/>
      </c>
      <c r="L758" s="276">
        <f>IF($K758="","",TODAY()-$K758)</f>
        <v/>
      </c>
      <c r="M758">
        <f>IF($A758="","",IF($H758="ENGAGE","Engagé",IF(AND($H758="NON ENGAGE",OR($I758="INFRUCTUEUX",$I758="ANNULE")),"Clôturé sans suite","En cours")))</f>
        <v/>
      </c>
      <c r="N758">
        <f>IF(ISBLANK('ENGAGEMENTS 2026'!B758),"",'ENGAGEMENTS 2026'!K758)</f>
        <v/>
      </c>
      <c r="O758">
        <f>IF(ISBLANK('ENGAGEMENTS 2026'!B758),"",'ENGAGEMENTS 2026'!L758)</f>
        <v/>
      </c>
      <c r="P758">
        <f>IF(ISBLANK('ENGAGEMENTS 2026'!B758),"",'ENGAGEMENTS 2026'!J758)</f>
        <v/>
      </c>
      <c r="Q758">
        <f>IF($A758="","",IF(OR($E758="INFRUCTUEUX",$E758="ANNULE"),$A758&amp;"|"&amp;(COUNTIFS($A$2:$A758,$A758,$E$2:$E758,"INFRUCTUEUX")+COUNTIFS($A$2:$A758,$A758,$E$2:$E758,"ANNULE")),""))</f>
        <v/>
      </c>
    </row>
    <row r="759">
      <c r="A759">
        <f>IF(ISBLANK('ENGAGEMENTS 2026'!B759),"",IF('ENGAGEMENTS 2026'!B759="DTSI","DCT",'ENGAGEMENTS 2026'!B759))</f>
        <v/>
      </c>
      <c r="B759">
        <f>IF(ISBLANK('ENGAGEMENTS 2026'!B759),"",'ENGAGEMENTS 2026'!C759)</f>
        <v/>
      </c>
      <c r="C759">
        <f>IF(ISBLANK('ENGAGEMENTS 2026'!B759),"",'ENGAGEMENTS 2026'!D759)</f>
        <v/>
      </c>
      <c r="D759">
        <f>IF(ISBLANK('ENGAGEMENTS 2026'!B759),"",'ENGAGEMENTS 2026'!F759)</f>
        <v/>
      </c>
      <c r="E759">
        <f>IF(ISBLANK('ENGAGEMENTS 2026'!B759),"",'ENGAGEMENTS 2026'!H759)</f>
        <v/>
      </c>
      <c r="F759">
        <f>IF(ISBLANK('ENGAGEMENTS 2026'!B759),"",'ENGAGEMENTS 2026'!I759)</f>
        <v/>
      </c>
      <c r="G759">
        <f>IF(ISBLANK('ENGAGEMENTS 2026'!B759),"",'ENGAGEMENTS 2026'!L759)</f>
        <v/>
      </c>
      <c r="H759">
        <f>IF(ISBLANK('ENGAGEMENTS 2026'!B759),"",'ENGAGEMENTS 2026'!AE759)</f>
        <v/>
      </c>
      <c r="I759">
        <f>IF(ISBLANK('ENGAGEMENTS 2026'!B759),"",'ENGAGEMENTS 2026'!G759)</f>
        <v/>
      </c>
      <c r="J759" s="275">
        <f>IF(ISBLANK('ENGAGEMENTS 2026'!B759),"",IF(AND(OR($E759="INFRUCTUEUX",$E759="ANNULE"),$C759="AOO-M"),'ENGAGEMENTS 2026'!O759,IF($H759="EN COURS DE PREENGAGEMENT",'ENGAGEMENTS 2026'!N759,IF($H759="PREENGAGE",IF($E759="ATTRIBUE",'ENGAGEMENTS 2026'!AD759,'ENGAGEMENTS 2026'!N759),'ENGAGEMENTS 2026'!AD759))))</f>
        <v/>
      </c>
      <c r="K759" s="604">
        <f>IF(ISBLANK('ENGAGEMENTS 2026'!V759),"",'ENGAGEMENTS 2026'!V759)</f>
        <v/>
      </c>
      <c r="L759" s="276">
        <f>IF($K759="","",TODAY()-$K759)</f>
        <v/>
      </c>
      <c r="M759">
        <f>IF($A759="","",IF($H759="ENGAGE","Engagé",IF(AND($H759="NON ENGAGE",OR($I759="INFRUCTUEUX",$I759="ANNULE")),"Clôturé sans suite","En cours")))</f>
        <v/>
      </c>
      <c r="N759">
        <f>IF(ISBLANK('ENGAGEMENTS 2026'!B759),"",'ENGAGEMENTS 2026'!K759)</f>
        <v/>
      </c>
      <c r="O759">
        <f>IF(ISBLANK('ENGAGEMENTS 2026'!B759),"",'ENGAGEMENTS 2026'!L759)</f>
        <v/>
      </c>
      <c r="P759">
        <f>IF(ISBLANK('ENGAGEMENTS 2026'!B759),"",'ENGAGEMENTS 2026'!J759)</f>
        <v/>
      </c>
      <c r="Q759">
        <f>IF($A759="","",IF(OR($E759="INFRUCTUEUX",$E759="ANNULE"),$A759&amp;"|"&amp;(COUNTIFS($A$2:$A759,$A759,$E$2:$E759,"INFRUCTUEUX")+COUNTIFS($A$2:$A759,$A759,$E$2:$E759,"ANNULE")),""))</f>
        <v/>
      </c>
    </row>
    <row r="760">
      <c r="A760">
        <f>IF(ISBLANK('ENGAGEMENTS 2026'!B760),"",IF('ENGAGEMENTS 2026'!B760="DTSI","DCT",'ENGAGEMENTS 2026'!B760))</f>
        <v/>
      </c>
      <c r="B760">
        <f>IF(ISBLANK('ENGAGEMENTS 2026'!B760),"",'ENGAGEMENTS 2026'!C760)</f>
        <v/>
      </c>
      <c r="C760">
        <f>IF(ISBLANK('ENGAGEMENTS 2026'!B760),"",'ENGAGEMENTS 2026'!D760)</f>
        <v/>
      </c>
      <c r="D760">
        <f>IF(ISBLANK('ENGAGEMENTS 2026'!B760),"",'ENGAGEMENTS 2026'!F760)</f>
        <v/>
      </c>
      <c r="E760">
        <f>IF(ISBLANK('ENGAGEMENTS 2026'!B760),"",'ENGAGEMENTS 2026'!H760)</f>
        <v/>
      </c>
      <c r="F760">
        <f>IF(ISBLANK('ENGAGEMENTS 2026'!B760),"",'ENGAGEMENTS 2026'!I760)</f>
        <v/>
      </c>
      <c r="G760">
        <f>IF(ISBLANK('ENGAGEMENTS 2026'!B760),"",'ENGAGEMENTS 2026'!L760)</f>
        <v/>
      </c>
      <c r="H760">
        <f>IF(ISBLANK('ENGAGEMENTS 2026'!B760),"",'ENGAGEMENTS 2026'!AE760)</f>
        <v/>
      </c>
      <c r="I760">
        <f>IF(ISBLANK('ENGAGEMENTS 2026'!B760),"",'ENGAGEMENTS 2026'!G760)</f>
        <v/>
      </c>
      <c r="J760" s="275">
        <f>IF(ISBLANK('ENGAGEMENTS 2026'!B760),"",IF(AND(OR($E760="INFRUCTUEUX",$E760="ANNULE"),$C760="AOO-M"),'ENGAGEMENTS 2026'!O760,IF($H760="EN COURS DE PREENGAGEMENT",'ENGAGEMENTS 2026'!N760,IF($H760="PREENGAGE",IF($E760="ATTRIBUE",'ENGAGEMENTS 2026'!AD760,'ENGAGEMENTS 2026'!N760),'ENGAGEMENTS 2026'!AD760))))</f>
        <v/>
      </c>
      <c r="K760" s="604">
        <f>IF(ISBLANK('ENGAGEMENTS 2026'!V760),"",'ENGAGEMENTS 2026'!V760)</f>
        <v/>
      </c>
      <c r="L760" s="276">
        <f>IF($K760="","",TODAY()-$K760)</f>
        <v/>
      </c>
      <c r="M760">
        <f>IF($A760="","",IF($H760="ENGAGE","Engagé",IF(AND($H760="NON ENGAGE",OR($I760="INFRUCTUEUX",$I760="ANNULE")),"Clôturé sans suite","En cours")))</f>
        <v/>
      </c>
      <c r="N760">
        <f>IF(ISBLANK('ENGAGEMENTS 2026'!B760),"",'ENGAGEMENTS 2026'!K760)</f>
        <v/>
      </c>
      <c r="O760">
        <f>IF(ISBLANK('ENGAGEMENTS 2026'!B760),"",'ENGAGEMENTS 2026'!L760)</f>
        <v/>
      </c>
      <c r="P760">
        <f>IF(ISBLANK('ENGAGEMENTS 2026'!B760),"",'ENGAGEMENTS 2026'!J760)</f>
        <v/>
      </c>
      <c r="Q760">
        <f>IF($A760="","",IF(OR($E760="INFRUCTUEUX",$E760="ANNULE"),$A760&amp;"|"&amp;(COUNTIFS($A$2:$A760,$A760,$E$2:$E760,"INFRUCTUEUX")+COUNTIFS($A$2:$A760,$A760,$E$2:$E760,"ANNULE")),""))</f>
        <v/>
      </c>
    </row>
    <row r="761">
      <c r="A761">
        <f>IF(ISBLANK('ENGAGEMENTS 2026'!B761),"",IF('ENGAGEMENTS 2026'!B761="DTSI","DCT",'ENGAGEMENTS 2026'!B761))</f>
        <v/>
      </c>
      <c r="B761">
        <f>IF(ISBLANK('ENGAGEMENTS 2026'!B761),"",'ENGAGEMENTS 2026'!C761)</f>
        <v/>
      </c>
      <c r="C761">
        <f>IF(ISBLANK('ENGAGEMENTS 2026'!B761),"",'ENGAGEMENTS 2026'!D761)</f>
        <v/>
      </c>
      <c r="D761">
        <f>IF(ISBLANK('ENGAGEMENTS 2026'!B761),"",'ENGAGEMENTS 2026'!F761)</f>
        <v/>
      </c>
      <c r="E761">
        <f>IF(ISBLANK('ENGAGEMENTS 2026'!B761),"",'ENGAGEMENTS 2026'!H761)</f>
        <v/>
      </c>
      <c r="F761">
        <f>IF(ISBLANK('ENGAGEMENTS 2026'!B761),"",'ENGAGEMENTS 2026'!I761)</f>
        <v/>
      </c>
      <c r="G761">
        <f>IF(ISBLANK('ENGAGEMENTS 2026'!B761),"",'ENGAGEMENTS 2026'!L761)</f>
        <v/>
      </c>
      <c r="H761">
        <f>IF(ISBLANK('ENGAGEMENTS 2026'!B761),"",'ENGAGEMENTS 2026'!AE761)</f>
        <v/>
      </c>
      <c r="I761">
        <f>IF(ISBLANK('ENGAGEMENTS 2026'!B761),"",'ENGAGEMENTS 2026'!G761)</f>
        <v/>
      </c>
      <c r="J761" s="275">
        <f>IF(ISBLANK('ENGAGEMENTS 2026'!B761),"",IF(AND(OR($E761="INFRUCTUEUX",$E761="ANNULE"),$C761="AOO-M"),'ENGAGEMENTS 2026'!O761,IF($H761="EN COURS DE PREENGAGEMENT",'ENGAGEMENTS 2026'!N761,IF($H761="PREENGAGE",IF($E761="ATTRIBUE",'ENGAGEMENTS 2026'!AD761,'ENGAGEMENTS 2026'!N761),'ENGAGEMENTS 2026'!AD761))))</f>
        <v/>
      </c>
      <c r="K761" s="604">
        <f>IF(ISBLANK('ENGAGEMENTS 2026'!V761),"",'ENGAGEMENTS 2026'!V761)</f>
        <v/>
      </c>
      <c r="L761" s="276">
        <f>IF($K761="","",TODAY()-$K761)</f>
        <v/>
      </c>
      <c r="M761">
        <f>IF($A761="","",IF($H761="ENGAGE","Engagé",IF(AND($H761="NON ENGAGE",OR($I761="INFRUCTUEUX",$I761="ANNULE")),"Clôturé sans suite","En cours")))</f>
        <v/>
      </c>
      <c r="N761">
        <f>IF(ISBLANK('ENGAGEMENTS 2026'!B761),"",'ENGAGEMENTS 2026'!K761)</f>
        <v/>
      </c>
      <c r="O761">
        <f>IF(ISBLANK('ENGAGEMENTS 2026'!B761),"",'ENGAGEMENTS 2026'!L761)</f>
        <v/>
      </c>
      <c r="P761">
        <f>IF(ISBLANK('ENGAGEMENTS 2026'!B761),"",'ENGAGEMENTS 2026'!J761)</f>
        <v/>
      </c>
      <c r="Q761">
        <f>IF($A761="","",IF(OR($E761="INFRUCTUEUX",$E761="ANNULE"),$A761&amp;"|"&amp;(COUNTIFS($A$2:$A761,$A761,$E$2:$E761,"INFRUCTUEUX")+COUNTIFS($A$2:$A761,$A761,$E$2:$E761,"ANNULE")),""))</f>
        <v/>
      </c>
    </row>
    <row r="762">
      <c r="A762">
        <f>IF(ISBLANK('ENGAGEMENTS 2026'!B762),"",IF('ENGAGEMENTS 2026'!B762="DTSI","DCT",'ENGAGEMENTS 2026'!B762))</f>
        <v/>
      </c>
      <c r="B762">
        <f>IF(ISBLANK('ENGAGEMENTS 2026'!B762),"",'ENGAGEMENTS 2026'!C762)</f>
        <v/>
      </c>
      <c r="C762">
        <f>IF(ISBLANK('ENGAGEMENTS 2026'!B762),"",'ENGAGEMENTS 2026'!D762)</f>
        <v/>
      </c>
      <c r="D762">
        <f>IF(ISBLANK('ENGAGEMENTS 2026'!B762),"",'ENGAGEMENTS 2026'!F762)</f>
        <v/>
      </c>
      <c r="E762">
        <f>IF(ISBLANK('ENGAGEMENTS 2026'!B762),"",'ENGAGEMENTS 2026'!H762)</f>
        <v/>
      </c>
      <c r="F762">
        <f>IF(ISBLANK('ENGAGEMENTS 2026'!B762),"",'ENGAGEMENTS 2026'!I762)</f>
        <v/>
      </c>
      <c r="G762">
        <f>IF(ISBLANK('ENGAGEMENTS 2026'!B762),"",'ENGAGEMENTS 2026'!L762)</f>
        <v/>
      </c>
      <c r="H762">
        <f>IF(ISBLANK('ENGAGEMENTS 2026'!B762),"",'ENGAGEMENTS 2026'!AE762)</f>
        <v/>
      </c>
      <c r="I762">
        <f>IF(ISBLANK('ENGAGEMENTS 2026'!B762),"",'ENGAGEMENTS 2026'!G762)</f>
        <v/>
      </c>
      <c r="J762" s="275">
        <f>IF(ISBLANK('ENGAGEMENTS 2026'!B762),"",IF(AND(OR($E762="INFRUCTUEUX",$E762="ANNULE"),$C762="AOO-M"),'ENGAGEMENTS 2026'!O762,IF($H762="EN COURS DE PREENGAGEMENT",'ENGAGEMENTS 2026'!N762,IF($H762="PREENGAGE",IF($E762="ATTRIBUE",'ENGAGEMENTS 2026'!AD762,'ENGAGEMENTS 2026'!N762),'ENGAGEMENTS 2026'!AD762))))</f>
        <v/>
      </c>
      <c r="K762" s="604">
        <f>IF(ISBLANK('ENGAGEMENTS 2026'!V762),"",'ENGAGEMENTS 2026'!V762)</f>
        <v/>
      </c>
      <c r="L762" s="276">
        <f>IF($K762="","",TODAY()-$K762)</f>
        <v/>
      </c>
      <c r="M762">
        <f>IF($A762="","",IF($H762="ENGAGE","Engagé",IF(AND($H762="NON ENGAGE",OR($I762="INFRUCTUEUX",$I762="ANNULE")),"Clôturé sans suite","En cours")))</f>
        <v/>
      </c>
      <c r="N762">
        <f>IF(ISBLANK('ENGAGEMENTS 2026'!B762),"",'ENGAGEMENTS 2026'!K762)</f>
        <v/>
      </c>
      <c r="O762">
        <f>IF(ISBLANK('ENGAGEMENTS 2026'!B762),"",'ENGAGEMENTS 2026'!L762)</f>
        <v/>
      </c>
      <c r="P762">
        <f>IF(ISBLANK('ENGAGEMENTS 2026'!B762),"",'ENGAGEMENTS 2026'!J762)</f>
        <v/>
      </c>
      <c r="Q762">
        <f>IF($A762="","",IF(OR($E762="INFRUCTUEUX",$E762="ANNULE"),$A762&amp;"|"&amp;(COUNTIFS($A$2:$A762,$A762,$E$2:$E762,"INFRUCTUEUX")+COUNTIFS($A$2:$A762,$A762,$E$2:$E762,"ANNULE")),""))</f>
        <v/>
      </c>
    </row>
    <row r="763">
      <c r="A763">
        <f>IF(ISBLANK('ENGAGEMENTS 2026'!B763),"",IF('ENGAGEMENTS 2026'!B763="DTSI","DCT",'ENGAGEMENTS 2026'!B763))</f>
        <v/>
      </c>
      <c r="B763">
        <f>IF(ISBLANK('ENGAGEMENTS 2026'!B763),"",'ENGAGEMENTS 2026'!C763)</f>
        <v/>
      </c>
      <c r="C763">
        <f>IF(ISBLANK('ENGAGEMENTS 2026'!B763),"",'ENGAGEMENTS 2026'!D763)</f>
        <v/>
      </c>
      <c r="D763">
        <f>IF(ISBLANK('ENGAGEMENTS 2026'!B763),"",'ENGAGEMENTS 2026'!F763)</f>
        <v/>
      </c>
      <c r="E763">
        <f>IF(ISBLANK('ENGAGEMENTS 2026'!B763),"",'ENGAGEMENTS 2026'!H763)</f>
        <v/>
      </c>
      <c r="F763">
        <f>IF(ISBLANK('ENGAGEMENTS 2026'!B763),"",'ENGAGEMENTS 2026'!I763)</f>
        <v/>
      </c>
      <c r="G763">
        <f>IF(ISBLANK('ENGAGEMENTS 2026'!B763),"",'ENGAGEMENTS 2026'!L763)</f>
        <v/>
      </c>
      <c r="H763">
        <f>IF(ISBLANK('ENGAGEMENTS 2026'!B763),"",'ENGAGEMENTS 2026'!AE763)</f>
        <v/>
      </c>
      <c r="I763">
        <f>IF(ISBLANK('ENGAGEMENTS 2026'!B763),"",'ENGAGEMENTS 2026'!G763)</f>
        <v/>
      </c>
      <c r="J763" s="275">
        <f>IF(ISBLANK('ENGAGEMENTS 2026'!B763),"",IF(AND(OR($E763="INFRUCTUEUX",$E763="ANNULE"),$C763="AOO-M"),'ENGAGEMENTS 2026'!O763,IF($H763="EN COURS DE PREENGAGEMENT",'ENGAGEMENTS 2026'!N763,IF($H763="PREENGAGE",IF($E763="ATTRIBUE",'ENGAGEMENTS 2026'!AD763,'ENGAGEMENTS 2026'!N763),'ENGAGEMENTS 2026'!AD763))))</f>
        <v/>
      </c>
      <c r="K763" s="604">
        <f>IF(ISBLANK('ENGAGEMENTS 2026'!V763),"",'ENGAGEMENTS 2026'!V763)</f>
        <v/>
      </c>
      <c r="L763" s="276">
        <f>IF($K763="","",TODAY()-$K763)</f>
        <v/>
      </c>
      <c r="M763">
        <f>IF($A763="","",IF($H763="ENGAGE","Engagé",IF(AND($H763="NON ENGAGE",OR($I763="INFRUCTUEUX",$I763="ANNULE")),"Clôturé sans suite","En cours")))</f>
        <v/>
      </c>
      <c r="N763">
        <f>IF(ISBLANK('ENGAGEMENTS 2026'!B763),"",'ENGAGEMENTS 2026'!K763)</f>
        <v/>
      </c>
      <c r="O763">
        <f>IF(ISBLANK('ENGAGEMENTS 2026'!B763),"",'ENGAGEMENTS 2026'!L763)</f>
        <v/>
      </c>
      <c r="P763">
        <f>IF(ISBLANK('ENGAGEMENTS 2026'!B763),"",'ENGAGEMENTS 2026'!J763)</f>
        <v/>
      </c>
      <c r="Q763">
        <f>IF($A763="","",IF(OR($E763="INFRUCTUEUX",$E763="ANNULE"),$A763&amp;"|"&amp;(COUNTIFS($A$2:$A763,$A763,$E$2:$E763,"INFRUCTUEUX")+COUNTIFS($A$2:$A763,$A763,$E$2:$E763,"ANNULE")),""))</f>
        <v/>
      </c>
    </row>
    <row r="764">
      <c r="A764">
        <f>IF(ISBLANK('ENGAGEMENTS 2026'!B764),"",IF('ENGAGEMENTS 2026'!B764="DTSI","DCT",'ENGAGEMENTS 2026'!B764))</f>
        <v/>
      </c>
      <c r="B764">
        <f>IF(ISBLANK('ENGAGEMENTS 2026'!B764),"",'ENGAGEMENTS 2026'!C764)</f>
        <v/>
      </c>
      <c r="C764">
        <f>IF(ISBLANK('ENGAGEMENTS 2026'!B764),"",'ENGAGEMENTS 2026'!D764)</f>
        <v/>
      </c>
      <c r="D764">
        <f>IF(ISBLANK('ENGAGEMENTS 2026'!B764),"",'ENGAGEMENTS 2026'!F764)</f>
        <v/>
      </c>
      <c r="E764">
        <f>IF(ISBLANK('ENGAGEMENTS 2026'!B764),"",'ENGAGEMENTS 2026'!H764)</f>
        <v/>
      </c>
      <c r="F764">
        <f>IF(ISBLANK('ENGAGEMENTS 2026'!B764),"",'ENGAGEMENTS 2026'!I764)</f>
        <v/>
      </c>
      <c r="G764">
        <f>IF(ISBLANK('ENGAGEMENTS 2026'!B764),"",'ENGAGEMENTS 2026'!L764)</f>
        <v/>
      </c>
      <c r="H764">
        <f>IF(ISBLANK('ENGAGEMENTS 2026'!B764),"",'ENGAGEMENTS 2026'!AE764)</f>
        <v/>
      </c>
      <c r="I764">
        <f>IF(ISBLANK('ENGAGEMENTS 2026'!B764),"",'ENGAGEMENTS 2026'!G764)</f>
        <v/>
      </c>
      <c r="J764" s="275">
        <f>IF(ISBLANK('ENGAGEMENTS 2026'!B764),"",IF(AND(OR($E764="INFRUCTUEUX",$E764="ANNULE"),$C764="AOO-M"),'ENGAGEMENTS 2026'!O764,IF($H764="EN COURS DE PREENGAGEMENT",'ENGAGEMENTS 2026'!N764,IF($H764="PREENGAGE",IF($E764="ATTRIBUE",'ENGAGEMENTS 2026'!AD764,'ENGAGEMENTS 2026'!N764),'ENGAGEMENTS 2026'!AD764))))</f>
        <v/>
      </c>
      <c r="K764" s="604">
        <f>IF(ISBLANK('ENGAGEMENTS 2026'!V764),"",'ENGAGEMENTS 2026'!V764)</f>
        <v/>
      </c>
      <c r="L764" s="276">
        <f>IF($K764="","",TODAY()-$K764)</f>
        <v/>
      </c>
      <c r="M764">
        <f>IF($A764="","",IF($H764="ENGAGE","Engagé",IF(AND($H764="NON ENGAGE",OR($I764="INFRUCTUEUX",$I764="ANNULE")),"Clôturé sans suite","En cours")))</f>
        <v/>
      </c>
      <c r="N764">
        <f>IF(ISBLANK('ENGAGEMENTS 2026'!B764),"",'ENGAGEMENTS 2026'!K764)</f>
        <v/>
      </c>
      <c r="O764">
        <f>IF(ISBLANK('ENGAGEMENTS 2026'!B764),"",'ENGAGEMENTS 2026'!L764)</f>
        <v/>
      </c>
      <c r="P764">
        <f>IF(ISBLANK('ENGAGEMENTS 2026'!B764),"",'ENGAGEMENTS 2026'!J764)</f>
        <v/>
      </c>
      <c r="Q764">
        <f>IF($A764="","",IF(OR($E764="INFRUCTUEUX",$E764="ANNULE"),$A764&amp;"|"&amp;(COUNTIFS($A$2:$A764,$A764,$E$2:$E764,"INFRUCTUEUX")+COUNTIFS($A$2:$A764,$A764,$E$2:$E764,"ANNULE")),""))</f>
        <v/>
      </c>
    </row>
    <row r="765">
      <c r="A765">
        <f>IF(ISBLANK('ENGAGEMENTS 2026'!B765),"",IF('ENGAGEMENTS 2026'!B765="DTSI","DCT",'ENGAGEMENTS 2026'!B765))</f>
        <v/>
      </c>
      <c r="B765">
        <f>IF(ISBLANK('ENGAGEMENTS 2026'!B765),"",'ENGAGEMENTS 2026'!C765)</f>
        <v/>
      </c>
      <c r="C765">
        <f>IF(ISBLANK('ENGAGEMENTS 2026'!B765),"",'ENGAGEMENTS 2026'!D765)</f>
        <v/>
      </c>
      <c r="D765">
        <f>IF(ISBLANK('ENGAGEMENTS 2026'!B765),"",'ENGAGEMENTS 2026'!F765)</f>
        <v/>
      </c>
      <c r="E765">
        <f>IF(ISBLANK('ENGAGEMENTS 2026'!B765),"",'ENGAGEMENTS 2026'!H765)</f>
        <v/>
      </c>
      <c r="F765">
        <f>IF(ISBLANK('ENGAGEMENTS 2026'!B765),"",'ENGAGEMENTS 2026'!I765)</f>
        <v/>
      </c>
      <c r="G765">
        <f>IF(ISBLANK('ENGAGEMENTS 2026'!B765),"",'ENGAGEMENTS 2026'!L765)</f>
        <v/>
      </c>
      <c r="H765">
        <f>IF(ISBLANK('ENGAGEMENTS 2026'!B765),"",'ENGAGEMENTS 2026'!AE765)</f>
        <v/>
      </c>
      <c r="I765">
        <f>IF(ISBLANK('ENGAGEMENTS 2026'!B765),"",'ENGAGEMENTS 2026'!G765)</f>
        <v/>
      </c>
      <c r="J765" s="275">
        <f>IF(ISBLANK('ENGAGEMENTS 2026'!B765),"",IF(AND(OR($E765="INFRUCTUEUX",$E765="ANNULE"),$C765="AOO-M"),'ENGAGEMENTS 2026'!O765,IF($H765="EN COURS DE PREENGAGEMENT",'ENGAGEMENTS 2026'!N765,IF($H765="PREENGAGE",IF($E765="ATTRIBUE",'ENGAGEMENTS 2026'!AD765,'ENGAGEMENTS 2026'!N765),'ENGAGEMENTS 2026'!AD765))))</f>
        <v/>
      </c>
      <c r="K765" s="604">
        <f>IF(ISBLANK('ENGAGEMENTS 2026'!V765),"",'ENGAGEMENTS 2026'!V765)</f>
        <v/>
      </c>
      <c r="L765" s="276">
        <f>IF($K765="","",TODAY()-$K765)</f>
        <v/>
      </c>
      <c r="M765">
        <f>IF($A765="","",IF($H765="ENGAGE","Engagé",IF(AND($H765="NON ENGAGE",OR($I765="INFRUCTUEUX",$I765="ANNULE")),"Clôturé sans suite","En cours")))</f>
        <v/>
      </c>
      <c r="N765">
        <f>IF(ISBLANK('ENGAGEMENTS 2026'!B765),"",'ENGAGEMENTS 2026'!K765)</f>
        <v/>
      </c>
      <c r="O765">
        <f>IF(ISBLANK('ENGAGEMENTS 2026'!B765),"",'ENGAGEMENTS 2026'!L765)</f>
        <v/>
      </c>
      <c r="P765">
        <f>IF(ISBLANK('ENGAGEMENTS 2026'!B765),"",'ENGAGEMENTS 2026'!J765)</f>
        <v/>
      </c>
      <c r="Q765">
        <f>IF($A765="","",IF(OR($E765="INFRUCTUEUX",$E765="ANNULE"),$A765&amp;"|"&amp;(COUNTIFS($A$2:$A765,$A765,$E$2:$E765,"INFRUCTUEUX")+COUNTIFS($A$2:$A765,$A765,$E$2:$E765,"ANNULE")),""))</f>
        <v/>
      </c>
    </row>
    <row r="766">
      <c r="A766">
        <f>IF(ISBLANK('ENGAGEMENTS 2026'!B766),"",IF('ENGAGEMENTS 2026'!B766="DTSI","DCT",'ENGAGEMENTS 2026'!B766))</f>
        <v/>
      </c>
      <c r="B766">
        <f>IF(ISBLANK('ENGAGEMENTS 2026'!B766),"",'ENGAGEMENTS 2026'!C766)</f>
        <v/>
      </c>
      <c r="C766">
        <f>IF(ISBLANK('ENGAGEMENTS 2026'!B766),"",'ENGAGEMENTS 2026'!D766)</f>
        <v/>
      </c>
      <c r="D766">
        <f>IF(ISBLANK('ENGAGEMENTS 2026'!B766),"",'ENGAGEMENTS 2026'!F766)</f>
        <v/>
      </c>
      <c r="E766">
        <f>IF(ISBLANK('ENGAGEMENTS 2026'!B766),"",'ENGAGEMENTS 2026'!H766)</f>
        <v/>
      </c>
      <c r="F766">
        <f>IF(ISBLANK('ENGAGEMENTS 2026'!B766),"",'ENGAGEMENTS 2026'!I766)</f>
        <v/>
      </c>
      <c r="G766">
        <f>IF(ISBLANK('ENGAGEMENTS 2026'!B766),"",'ENGAGEMENTS 2026'!L766)</f>
        <v/>
      </c>
      <c r="H766">
        <f>IF(ISBLANK('ENGAGEMENTS 2026'!B766),"",'ENGAGEMENTS 2026'!AE766)</f>
        <v/>
      </c>
      <c r="I766">
        <f>IF(ISBLANK('ENGAGEMENTS 2026'!B766),"",'ENGAGEMENTS 2026'!G766)</f>
        <v/>
      </c>
      <c r="J766" s="275">
        <f>IF(ISBLANK('ENGAGEMENTS 2026'!B766),"",IF(AND(OR($E766="INFRUCTUEUX",$E766="ANNULE"),$C766="AOO-M"),'ENGAGEMENTS 2026'!O766,IF($H766="EN COURS DE PREENGAGEMENT",'ENGAGEMENTS 2026'!N766,IF($H766="PREENGAGE",IF($E766="ATTRIBUE",'ENGAGEMENTS 2026'!AD766,'ENGAGEMENTS 2026'!N766),'ENGAGEMENTS 2026'!AD766))))</f>
        <v/>
      </c>
      <c r="K766" s="604">
        <f>IF(ISBLANK('ENGAGEMENTS 2026'!V766),"",'ENGAGEMENTS 2026'!V766)</f>
        <v/>
      </c>
      <c r="L766" s="276">
        <f>IF($K766="","",TODAY()-$K766)</f>
        <v/>
      </c>
      <c r="M766">
        <f>IF($A766="","",IF($H766="ENGAGE","Engagé",IF(AND($H766="NON ENGAGE",OR($I766="INFRUCTUEUX",$I766="ANNULE")),"Clôturé sans suite","En cours")))</f>
        <v/>
      </c>
      <c r="N766">
        <f>IF(ISBLANK('ENGAGEMENTS 2026'!B766),"",'ENGAGEMENTS 2026'!K766)</f>
        <v/>
      </c>
      <c r="O766">
        <f>IF(ISBLANK('ENGAGEMENTS 2026'!B766),"",'ENGAGEMENTS 2026'!L766)</f>
        <v/>
      </c>
      <c r="P766">
        <f>IF(ISBLANK('ENGAGEMENTS 2026'!B766),"",'ENGAGEMENTS 2026'!J766)</f>
        <v/>
      </c>
      <c r="Q766">
        <f>IF($A766="","",IF(OR($E766="INFRUCTUEUX",$E766="ANNULE"),$A766&amp;"|"&amp;(COUNTIFS($A$2:$A766,$A766,$E$2:$E766,"INFRUCTUEUX")+COUNTIFS($A$2:$A766,$A766,$E$2:$E766,"ANNULE")),""))</f>
        <v/>
      </c>
    </row>
    <row r="767">
      <c r="A767">
        <f>IF(ISBLANK('ENGAGEMENTS 2026'!B767),"",IF('ENGAGEMENTS 2026'!B767="DTSI","DCT",'ENGAGEMENTS 2026'!B767))</f>
        <v/>
      </c>
      <c r="B767">
        <f>IF(ISBLANK('ENGAGEMENTS 2026'!B767),"",'ENGAGEMENTS 2026'!C767)</f>
        <v/>
      </c>
      <c r="C767">
        <f>IF(ISBLANK('ENGAGEMENTS 2026'!B767),"",'ENGAGEMENTS 2026'!D767)</f>
        <v/>
      </c>
      <c r="D767">
        <f>IF(ISBLANK('ENGAGEMENTS 2026'!B767),"",'ENGAGEMENTS 2026'!F767)</f>
        <v/>
      </c>
      <c r="E767">
        <f>IF(ISBLANK('ENGAGEMENTS 2026'!B767),"",'ENGAGEMENTS 2026'!H767)</f>
        <v/>
      </c>
      <c r="F767">
        <f>IF(ISBLANK('ENGAGEMENTS 2026'!B767),"",'ENGAGEMENTS 2026'!I767)</f>
        <v/>
      </c>
      <c r="G767">
        <f>IF(ISBLANK('ENGAGEMENTS 2026'!B767),"",'ENGAGEMENTS 2026'!L767)</f>
        <v/>
      </c>
      <c r="H767">
        <f>IF(ISBLANK('ENGAGEMENTS 2026'!B767),"",'ENGAGEMENTS 2026'!AE767)</f>
        <v/>
      </c>
      <c r="I767">
        <f>IF(ISBLANK('ENGAGEMENTS 2026'!B767),"",'ENGAGEMENTS 2026'!G767)</f>
        <v/>
      </c>
      <c r="J767" s="275">
        <f>IF(ISBLANK('ENGAGEMENTS 2026'!B767),"",IF(AND(OR($E767="INFRUCTUEUX",$E767="ANNULE"),$C767="AOO-M"),'ENGAGEMENTS 2026'!O767,IF($H767="EN COURS DE PREENGAGEMENT",'ENGAGEMENTS 2026'!N767,IF($H767="PREENGAGE",IF($E767="ATTRIBUE",'ENGAGEMENTS 2026'!AD767,'ENGAGEMENTS 2026'!N767),'ENGAGEMENTS 2026'!AD767))))</f>
        <v/>
      </c>
      <c r="K767" s="604">
        <f>IF(ISBLANK('ENGAGEMENTS 2026'!V767),"",'ENGAGEMENTS 2026'!V767)</f>
        <v/>
      </c>
      <c r="L767" s="276">
        <f>IF($K767="","",TODAY()-$K767)</f>
        <v/>
      </c>
      <c r="M767">
        <f>IF($A767="","",IF($H767="ENGAGE","Engagé",IF(AND($H767="NON ENGAGE",OR($I767="INFRUCTUEUX",$I767="ANNULE")),"Clôturé sans suite","En cours")))</f>
        <v/>
      </c>
      <c r="N767">
        <f>IF(ISBLANK('ENGAGEMENTS 2026'!B767),"",'ENGAGEMENTS 2026'!K767)</f>
        <v/>
      </c>
      <c r="O767">
        <f>IF(ISBLANK('ENGAGEMENTS 2026'!B767),"",'ENGAGEMENTS 2026'!L767)</f>
        <v/>
      </c>
      <c r="P767">
        <f>IF(ISBLANK('ENGAGEMENTS 2026'!B767),"",'ENGAGEMENTS 2026'!J767)</f>
        <v/>
      </c>
      <c r="Q767">
        <f>IF($A767="","",IF(OR($E767="INFRUCTUEUX",$E767="ANNULE"),$A767&amp;"|"&amp;(COUNTIFS($A$2:$A767,$A767,$E$2:$E767,"INFRUCTUEUX")+COUNTIFS($A$2:$A767,$A767,$E$2:$E767,"ANNULE")),""))</f>
        <v/>
      </c>
    </row>
    <row r="768">
      <c r="A768">
        <f>IF(ISBLANK('ENGAGEMENTS 2026'!B768),"",IF('ENGAGEMENTS 2026'!B768="DTSI","DCT",'ENGAGEMENTS 2026'!B768))</f>
        <v/>
      </c>
      <c r="B768">
        <f>IF(ISBLANK('ENGAGEMENTS 2026'!B768),"",'ENGAGEMENTS 2026'!C768)</f>
        <v/>
      </c>
      <c r="C768">
        <f>IF(ISBLANK('ENGAGEMENTS 2026'!B768),"",'ENGAGEMENTS 2026'!D768)</f>
        <v/>
      </c>
      <c r="D768">
        <f>IF(ISBLANK('ENGAGEMENTS 2026'!B768),"",'ENGAGEMENTS 2026'!F768)</f>
        <v/>
      </c>
      <c r="E768">
        <f>IF(ISBLANK('ENGAGEMENTS 2026'!B768),"",'ENGAGEMENTS 2026'!H768)</f>
        <v/>
      </c>
      <c r="F768">
        <f>IF(ISBLANK('ENGAGEMENTS 2026'!B768),"",'ENGAGEMENTS 2026'!I768)</f>
        <v/>
      </c>
      <c r="G768">
        <f>IF(ISBLANK('ENGAGEMENTS 2026'!B768),"",'ENGAGEMENTS 2026'!L768)</f>
        <v/>
      </c>
      <c r="H768">
        <f>IF(ISBLANK('ENGAGEMENTS 2026'!B768),"",'ENGAGEMENTS 2026'!AE768)</f>
        <v/>
      </c>
      <c r="I768">
        <f>IF(ISBLANK('ENGAGEMENTS 2026'!B768),"",'ENGAGEMENTS 2026'!G768)</f>
        <v/>
      </c>
      <c r="J768" s="275">
        <f>IF(ISBLANK('ENGAGEMENTS 2026'!B768),"",IF(AND(OR($E768="INFRUCTUEUX",$E768="ANNULE"),$C768="AOO-M"),'ENGAGEMENTS 2026'!O768,IF($H768="EN COURS DE PREENGAGEMENT",'ENGAGEMENTS 2026'!N768,IF($H768="PREENGAGE",IF($E768="ATTRIBUE",'ENGAGEMENTS 2026'!AD768,'ENGAGEMENTS 2026'!N768),'ENGAGEMENTS 2026'!AD768))))</f>
        <v/>
      </c>
      <c r="K768" s="604">
        <f>IF(ISBLANK('ENGAGEMENTS 2026'!V768),"",'ENGAGEMENTS 2026'!V768)</f>
        <v/>
      </c>
      <c r="L768" s="276">
        <f>IF($K768="","",TODAY()-$K768)</f>
        <v/>
      </c>
      <c r="M768">
        <f>IF($A768="","",IF($H768="ENGAGE","Engagé",IF(AND($H768="NON ENGAGE",OR($I768="INFRUCTUEUX",$I768="ANNULE")),"Clôturé sans suite","En cours")))</f>
        <v/>
      </c>
      <c r="N768">
        <f>IF(ISBLANK('ENGAGEMENTS 2026'!B768),"",'ENGAGEMENTS 2026'!K768)</f>
        <v/>
      </c>
      <c r="O768">
        <f>IF(ISBLANK('ENGAGEMENTS 2026'!B768),"",'ENGAGEMENTS 2026'!L768)</f>
        <v/>
      </c>
      <c r="P768">
        <f>IF(ISBLANK('ENGAGEMENTS 2026'!B768),"",'ENGAGEMENTS 2026'!J768)</f>
        <v/>
      </c>
      <c r="Q768">
        <f>IF($A768="","",IF(OR($E768="INFRUCTUEUX",$E768="ANNULE"),$A768&amp;"|"&amp;(COUNTIFS($A$2:$A768,$A768,$E$2:$E768,"INFRUCTUEUX")+COUNTIFS($A$2:$A768,$A768,$E$2:$E768,"ANNULE")),""))</f>
        <v/>
      </c>
    </row>
    <row r="769">
      <c r="A769">
        <f>IF(ISBLANK('ENGAGEMENTS 2026'!B769),"",IF('ENGAGEMENTS 2026'!B769="DTSI","DCT",'ENGAGEMENTS 2026'!B769))</f>
        <v/>
      </c>
      <c r="B769">
        <f>IF(ISBLANK('ENGAGEMENTS 2026'!B769),"",'ENGAGEMENTS 2026'!C769)</f>
        <v/>
      </c>
      <c r="C769">
        <f>IF(ISBLANK('ENGAGEMENTS 2026'!B769),"",'ENGAGEMENTS 2026'!D769)</f>
        <v/>
      </c>
      <c r="D769">
        <f>IF(ISBLANK('ENGAGEMENTS 2026'!B769),"",'ENGAGEMENTS 2026'!F769)</f>
        <v/>
      </c>
      <c r="E769">
        <f>IF(ISBLANK('ENGAGEMENTS 2026'!B769),"",'ENGAGEMENTS 2026'!H769)</f>
        <v/>
      </c>
      <c r="F769">
        <f>IF(ISBLANK('ENGAGEMENTS 2026'!B769),"",'ENGAGEMENTS 2026'!I769)</f>
        <v/>
      </c>
      <c r="G769">
        <f>IF(ISBLANK('ENGAGEMENTS 2026'!B769),"",'ENGAGEMENTS 2026'!L769)</f>
        <v/>
      </c>
      <c r="H769">
        <f>IF(ISBLANK('ENGAGEMENTS 2026'!B769),"",'ENGAGEMENTS 2026'!AE769)</f>
        <v/>
      </c>
      <c r="I769">
        <f>IF(ISBLANK('ENGAGEMENTS 2026'!B769),"",'ENGAGEMENTS 2026'!G769)</f>
        <v/>
      </c>
      <c r="J769" s="275">
        <f>IF(ISBLANK('ENGAGEMENTS 2026'!B769),"",IF(AND(OR($E769="INFRUCTUEUX",$E769="ANNULE"),$C769="AOO-M"),'ENGAGEMENTS 2026'!O769,IF($H769="EN COURS DE PREENGAGEMENT",'ENGAGEMENTS 2026'!N769,IF($H769="PREENGAGE",IF($E769="ATTRIBUE",'ENGAGEMENTS 2026'!AD769,'ENGAGEMENTS 2026'!N769),'ENGAGEMENTS 2026'!AD769))))</f>
        <v/>
      </c>
      <c r="K769" s="604">
        <f>IF(ISBLANK('ENGAGEMENTS 2026'!V769),"",'ENGAGEMENTS 2026'!V769)</f>
        <v/>
      </c>
      <c r="L769" s="276">
        <f>IF($K769="","",TODAY()-$K769)</f>
        <v/>
      </c>
      <c r="M769">
        <f>IF($A769="","",IF($H769="ENGAGE","Engagé",IF(AND($H769="NON ENGAGE",OR($I769="INFRUCTUEUX",$I769="ANNULE")),"Clôturé sans suite","En cours")))</f>
        <v/>
      </c>
      <c r="N769">
        <f>IF(ISBLANK('ENGAGEMENTS 2026'!B769),"",'ENGAGEMENTS 2026'!K769)</f>
        <v/>
      </c>
      <c r="O769">
        <f>IF(ISBLANK('ENGAGEMENTS 2026'!B769),"",'ENGAGEMENTS 2026'!L769)</f>
        <v/>
      </c>
      <c r="P769">
        <f>IF(ISBLANK('ENGAGEMENTS 2026'!B769),"",'ENGAGEMENTS 2026'!J769)</f>
        <v/>
      </c>
      <c r="Q769">
        <f>IF($A769="","",IF(OR($E769="INFRUCTUEUX",$E769="ANNULE"),$A769&amp;"|"&amp;(COUNTIFS($A$2:$A769,$A769,$E$2:$E769,"INFRUCTUEUX")+COUNTIFS($A$2:$A769,$A769,$E$2:$E769,"ANNULE")),""))</f>
        <v/>
      </c>
    </row>
    <row r="770">
      <c r="A770">
        <f>IF(ISBLANK('ENGAGEMENTS 2026'!B770),"",IF('ENGAGEMENTS 2026'!B770="DTSI","DCT",'ENGAGEMENTS 2026'!B770))</f>
        <v/>
      </c>
      <c r="B770">
        <f>IF(ISBLANK('ENGAGEMENTS 2026'!B770),"",'ENGAGEMENTS 2026'!C770)</f>
        <v/>
      </c>
      <c r="C770">
        <f>IF(ISBLANK('ENGAGEMENTS 2026'!B770),"",'ENGAGEMENTS 2026'!D770)</f>
        <v/>
      </c>
      <c r="D770">
        <f>IF(ISBLANK('ENGAGEMENTS 2026'!B770),"",'ENGAGEMENTS 2026'!F770)</f>
        <v/>
      </c>
      <c r="E770">
        <f>IF(ISBLANK('ENGAGEMENTS 2026'!B770),"",'ENGAGEMENTS 2026'!H770)</f>
        <v/>
      </c>
      <c r="F770">
        <f>IF(ISBLANK('ENGAGEMENTS 2026'!B770),"",'ENGAGEMENTS 2026'!I770)</f>
        <v/>
      </c>
      <c r="G770">
        <f>IF(ISBLANK('ENGAGEMENTS 2026'!B770),"",'ENGAGEMENTS 2026'!L770)</f>
        <v/>
      </c>
      <c r="H770">
        <f>IF(ISBLANK('ENGAGEMENTS 2026'!B770),"",'ENGAGEMENTS 2026'!AE770)</f>
        <v/>
      </c>
      <c r="I770">
        <f>IF(ISBLANK('ENGAGEMENTS 2026'!B770),"",'ENGAGEMENTS 2026'!G770)</f>
        <v/>
      </c>
      <c r="J770" s="275">
        <f>IF(ISBLANK('ENGAGEMENTS 2026'!B770),"",IF(AND(OR($E770="INFRUCTUEUX",$E770="ANNULE"),$C770="AOO-M"),'ENGAGEMENTS 2026'!O770,IF($H770="EN COURS DE PREENGAGEMENT",'ENGAGEMENTS 2026'!N770,IF($H770="PREENGAGE",IF($E770="ATTRIBUE",'ENGAGEMENTS 2026'!AD770,'ENGAGEMENTS 2026'!N770),'ENGAGEMENTS 2026'!AD770))))</f>
        <v/>
      </c>
      <c r="K770" s="604">
        <f>IF(ISBLANK('ENGAGEMENTS 2026'!V770),"",'ENGAGEMENTS 2026'!V770)</f>
        <v/>
      </c>
      <c r="L770" s="276">
        <f>IF($K770="","",TODAY()-$K770)</f>
        <v/>
      </c>
      <c r="M770">
        <f>IF($A770="","",IF($H770="ENGAGE","Engagé",IF(AND($H770="NON ENGAGE",OR($I770="INFRUCTUEUX",$I770="ANNULE")),"Clôturé sans suite","En cours")))</f>
        <v/>
      </c>
      <c r="N770">
        <f>IF(ISBLANK('ENGAGEMENTS 2026'!B770),"",'ENGAGEMENTS 2026'!K770)</f>
        <v/>
      </c>
      <c r="O770">
        <f>IF(ISBLANK('ENGAGEMENTS 2026'!B770),"",'ENGAGEMENTS 2026'!L770)</f>
        <v/>
      </c>
      <c r="P770">
        <f>IF(ISBLANK('ENGAGEMENTS 2026'!B770),"",'ENGAGEMENTS 2026'!J770)</f>
        <v/>
      </c>
      <c r="Q770">
        <f>IF($A770="","",IF(OR($E770="INFRUCTUEUX",$E770="ANNULE"),$A770&amp;"|"&amp;(COUNTIFS($A$2:$A770,$A770,$E$2:$E770,"INFRUCTUEUX")+COUNTIFS($A$2:$A770,$A770,$E$2:$E770,"ANNULE")),""))</f>
        <v/>
      </c>
    </row>
    <row r="771">
      <c r="A771">
        <f>IF(ISBLANK('ENGAGEMENTS 2026'!B771),"",IF('ENGAGEMENTS 2026'!B771="DTSI","DCT",'ENGAGEMENTS 2026'!B771))</f>
        <v/>
      </c>
      <c r="B771">
        <f>IF(ISBLANK('ENGAGEMENTS 2026'!B771),"",'ENGAGEMENTS 2026'!C771)</f>
        <v/>
      </c>
      <c r="C771">
        <f>IF(ISBLANK('ENGAGEMENTS 2026'!B771),"",'ENGAGEMENTS 2026'!D771)</f>
        <v/>
      </c>
      <c r="D771">
        <f>IF(ISBLANK('ENGAGEMENTS 2026'!B771),"",'ENGAGEMENTS 2026'!F771)</f>
        <v/>
      </c>
      <c r="E771">
        <f>IF(ISBLANK('ENGAGEMENTS 2026'!B771),"",'ENGAGEMENTS 2026'!H771)</f>
        <v/>
      </c>
      <c r="F771">
        <f>IF(ISBLANK('ENGAGEMENTS 2026'!B771),"",'ENGAGEMENTS 2026'!I771)</f>
        <v/>
      </c>
      <c r="G771">
        <f>IF(ISBLANK('ENGAGEMENTS 2026'!B771),"",'ENGAGEMENTS 2026'!L771)</f>
        <v/>
      </c>
      <c r="H771">
        <f>IF(ISBLANK('ENGAGEMENTS 2026'!B771),"",'ENGAGEMENTS 2026'!AE771)</f>
        <v/>
      </c>
      <c r="I771">
        <f>IF(ISBLANK('ENGAGEMENTS 2026'!B771),"",'ENGAGEMENTS 2026'!G771)</f>
        <v/>
      </c>
      <c r="J771" s="275">
        <f>IF(ISBLANK('ENGAGEMENTS 2026'!B771),"",IF(AND(OR($E771="INFRUCTUEUX",$E771="ANNULE"),$C771="AOO-M"),'ENGAGEMENTS 2026'!O771,IF($H771="EN COURS DE PREENGAGEMENT",'ENGAGEMENTS 2026'!N771,IF($H771="PREENGAGE",IF($E771="ATTRIBUE",'ENGAGEMENTS 2026'!AD771,'ENGAGEMENTS 2026'!N771),'ENGAGEMENTS 2026'!AD771))))</f>
        <v/>
      </c>
      <c r="K771" s="604">
        <f>IF(ISBLANK('ENGAGEMENTS 2026'!V771),"",'ENGAGEMENTS 2026'!V771)</f>
        <v/>
      </c>
      <c r="L771" s="276">
        <f>IF($K771="","",TODAY()-$K771)</f>
        <v/>
      </c>
      <c r="M771">
        <f>IF($A771="","",IF($H771="ENGAGE","Engagé",IF(AND($H771="NON ENGAGE",OR($I771="INFRUCTUEUX",$I771="ANNULE")),"Clôturé sans suite","En cours")))</f>
        <v/>
      </c>
      <c r="N771">
        <f>IF(ISBLANK('ENGAGEMENTS 2026'!B771),"",'ENGAGEMENTS 2026'!K771)</f>
        <v/>
      </c>
      <c r="O771">
        <f>IF(ISBLANK('ENGAGEMENTS 2026'!B771),"",'ENGAGEMENTS 2026'!L771)</f>
        <v/>
      </c>
      <c r="P771">
        <f>IF(ISBLANK('ENGAGEMENTS 2026'!B771),"",'ENGAGEMENTS 2026'!J771)</f>
        <v/>
      </c>
      <c r="Q771">
        <f>IF($A771="","",IF(OR($E771="INFRUCTUEUX",$E771="ANNULE"),$A771&amp;"|"&amp;(COUNTIFS($A$2:$A771,$A771,$E$2:$E771,"INFRUCTUEUX")+COUNTIFS($A$2:$A771,$A771,$E$2:$E771,"ANNULE")),""))</f>
        <v/>
      </c>
    </row>
    <row r="772">
      <c r="A772">
        <f>IF(ISBLANK('ENGAGEMENTS 2026'!B772),"",IF('ENGAGEMENTS 2026'!B772="DTSI","DCT",'ENGAGEMENTS 2026'!B772))</f>
        <v/>
      </c>
      <c r="B772">
        <f>IF(ISBLANK('ENGAGEMENTS 2026'!B772),"",'ENGAGEMENTS 2026'!C772)</f>
        <v/>
      </c>
      <c r="C772">
        <f>IF(ISBLANK('ENGAGEMENTS 2026'!B772),"",'ENGAGEMENTS 2026'!D772)</f>
        <v/>
      </c>
      <c r="D772">
        <f>IF(ISBLANK('ENGAGEMENTS 2026'!B772),"",'ENGAGEMENTS 2026'!F772)</f>
        <v/>
      </c>
      <c r="E772">
        <f>IF(ISBLANK('ENGAGEMENTS 2026'!B772),"",'ENGAGEMENTS 2026'!H772)</f>
        <v/>
      </c>
      <c r="F772">
        <f>IF(ISBLANK('ENGAGEMENTS 2026'!B772),"",'ENGAGEMENTS 2026'!I772)</f>
        <v/>
      </c>
      <c r="G772">
        <f>IF(ISBLANK('ENGAGEMENTS 2026'!B772),"",'ENGAGEMENTS 2026'!L772)</f>
        <v/>
      </c>
      <c r="H772">
        <f>IF(ISBLANK('ENGAGEMENTS 2026'!B772),"",'ENGAGEMENTS 2026'!AE772)</f>
        <v/>
      </c>
      <c r="I772">
        <f>IF(ISBLANK('ENGAGEMENTS 2026'!B772),"",'ENGAGEMENTS 2026'!G772)</f>
        <v/>
      </c>
      <c r="J772" s="275">
        <f>IF(ISBLANK('ENGAGEMENTS 2026'!B772),"",IF(AND(OR($E772="INFRUCTUEUX",$E772="ANNULE"),$C772="AOO-M"),'ENGAGEMENTS 2026'!O772,IF($H772="EN COURS DE PREENGAGEMENT",'ENGAGEMENTS 2026'!N772,IF($H772="PREENGAGE",IF($E772="ATTRIBUE",'ENGAGEMENTS 2026'!AD772,'ENGAGEMENTS 2026'!N772),'ENGAGEMENTS 2026'!AD772))))</f>
        <v/>
      </c>
      <c r="K772" s="604">
        <f>IF(ISBLANK('ENGAGEMENTS 2026'!V772),"",'ENGAGEMENTS 2026'!V772)</f>
        <v/>
      </c>
      <c r="L772" s="276">
        <f>IF($K772="","",TODAY()-$K772)</f>
        <v/>
      </c>
      <c r="M772">
        <f>IF($A772="","",IF($H772="ENGAGE","Engagé",IF(AND($H772="NON ENGAGE",OR($I772="INFRUCTUEUX",$I772="ANNULE")),"Clôturé sans suite","En cours")))</f>
        <v/>
      </c>
      <c r="N772">
        <f>IF(ISBLANK('ENGAGEMENTS 2026'!B772),"",'ENGAGEMENTS 2026'!K772)</f>
        <v/>
      </c>
      <c r="O772">
        <f>IF(ISBLANK('ENGAGEMENTS 2026'!B772),"",'ENGAGEMENTS 2026'!L772)</f>
        <v/>
      </c>
      <c r="P772">
        <f>IF(ISBLANK('ENGAGEMENTS 2026'!B772),"",'ENGAGEMENTS 2026'!J772)</f>
        <v/>
      </c>
      <c r="Q772">
        <f>IF($A772="","",IF(OR($E772="INFRUCTUEUX",$E772="ANNULE"),$A772&amp;"|"&amp;(COUNTIFS($A$2:$A772,$A772,$E$2:$E772,"INFRUCTUEUX")+COUNTIFS($A$2:$A772,$A772,$E$2:$E772,"ANNULE")),""))</f>
        <v/>
      </c>
    </row>
    <row r="773">
      <c r="A773">
        <f>IF(ISBLANK('ENGAGEMENTS 2026'!B773),"",IF('ENGAGEMENTS 2026'!B773="DTSI","DCT",'ENGAGEMENTS 2026'!B773))</f>
        <v/>
      </c>
      <c r="B773">
        <f>IF(ISBLANK('ENGAGEMENTS 2026'!B773),"",'ENGAGEMENTS 2026'!C773)</f>
        <v/>
      </c>
      <c r="C773">
        <f>IF(ISBLANK('ENGAGEMENTS 2026'!B773),"",'ENGAGEMENTS 2026'!D773)</f>
        <v/>
      </c>
      <c r="D773">
        <f>IF(ISBLANK('ENGAGEMENTS 2026'!B773),"",'ENGAGEMENTS 2026'!F773)</f>
        <v/>
      </c>
      <c r="E773">
        <f>IF(ISBLANK('ENGAGEMENTS 2026'!B773),"",'ENGAGEMENTS 2026'!H773)</f>
        <v/>
      </c>
      <c r="F773">
        <f>IF(ISBLANK('ENGAGEMENTS 2026'!B773),"",'ENGAGEMENTS 2026'!I773)</f>
        <v/>
      </c>
      <c r="G773">
        <f>IF(ISBLANK('ENGAGEMENTS 2026'!B773),"",'ENGAGEMENTS 2026'!L773)</f>
        <v/>
      </c>
      <c r="H773">
        <f>IF(ISBLANK('ENGAGEMENTS 2026'!B773),"",'ENGAGEMENTS 2026'!AE773)</f>
        <v/>
      </c>
      <c r="I773">
        <f>IF(ISBLANK('ENGAGEMENTS 2026'!B773),"",'ENGAGEMENTS 2026'!G773)</f>
        <v/>
      </c>
      <c r="J773" s="275">
        <f>IF(ISBLANK('ENGAGEMENTS 2026'!B773),"",IF(AND(OR($E773="INFRUCTUEUX",$E773="ANNULE"),$C773="AOO-M"),'ENGAGEMENTS 2026'!O773,IF($H773="EN COURS DE PREENGAGEMENT",'ENGAGEMENTS 2026'!N773,IF($H773="PREENGAGE",IF($E773="ATTRIBUE",'ENGAGEMENTS 2026'!AD773,'ENGAGEMENTS 2026'!N773),'ENGAGEMENTS 2026'!AD773))))</f>
        <v/>
      </c>
      <c r="K773" s="604">
        <f>IF(ISBLANK('ENGAGEMENTS 2026'!V773),"",'ENGAGEMENTS 2026'!V773)</f>
        <v/>
      </c>
      <c r="L773" s="276">
        <f>IF($K773="","",TODAY()-$K773)</f>
        <v/>
      </c>
      <c r="M773">
        <f>IF($A773="","",IF($H773="ENGAGE","Engagé",IF(AND($H773="NON ENGAGE",OR($I773="INFRUCTUEUX",$I773="ANNULE")),"Clôturé sans suite","En cours")))</f>
        <v/>
      </c>
      <c r="N773">
        <f>IF(ISBLANK('ENGAGEMENTS 2026'!B773),"",'ENGAGEMENTS 2026'!K773)</f>
        <v/>
      </c>
      <c r="O773">
        <f>IF(ISBLANK('ENGAGEMENTS 2026'!B773),"",'ENGAGEMENTS 2026'!L773)</f>
        <v/>
      </c>
      <c r="P773">
        <f>IF(ISBLANK('ENGAGEMENTS 2026'!B773),"",'ENGAGEMENTS 2026'!J773)</f>
        <v/>
      </c>
      <c r="Q773">
        <f>IF($A773="","",IF(OR($E773="INFRUCTUEUX",$E773="ANNULE"),$A773&amp;"|"&amp;(COUNTIFS($A$2:$A773,$A773,$E$2:$E773,"INFRUCTUEUX")+COUNTIFS($A$2:$A773,$A773,$E$2:$E773,"ANNULE")),""))</f>
        <v/>
      </c>
    </row>
    <row r="774">
      <c r="A774">
        <f>IF(ISBLANK('ENGAGEMENTS 2026'!B774),"",IF('ENGAGEMENTS 2026'!B774="DTSI","DCT",'ENGAGEMENTS 2026'!B774))</f>
        <v/>
      </c>
      <c r="B774">
        <f>IF(ISBLANK('ENGAGEMENTS 2026'!B774),"",'ENGAGEMENTS 2026'!C774)</f>
        <v/>
      </c>
      <c r="C774">
        <f>IF(ISBLANK('ENGAGEMENTS 2026'!B774),"",'ENGAGEMENTS 2026'!D774)</f>
        <v/>
      </c>
      <c r="D774">
        <f>IF(ISBLANK('ENGAGEMENTS 2026'!B774),"",'ENGAGEMENTS 2026'!F774)</f>
        <v/>
      </c>
      <c r="E774">
        <f>IF(ISBLANK('ENGAGEMENTS 2026'!B774),"",'ENGAGEMENTS 2026'!H774)</f>
        <v/>
      </c>
      <c r="F774">
        <f>IF(ISBLANK('ENGAGEMENTS 2026'!B774),"",'ENGAGEMENTS 2026'!I774)</f>
        <v/>
      </c>
      <c r="G774">
        <f>IF(ISBLANK('ENGAGEMENTS 2026'!B774),"",'ENGAGEMENTS 2026'!L774)</f>
        <v/>
      </c>
      <c r="H774">
        <f>IF(ISBLANK('ENGAGEMENTS 2026'!B774),"",'ENGAGEMENTS 2026'!AE774)</f>
        <v/>
      </c>
      <c r="I774">
        <f>IF(ISBLANK('ENGAGEMENTS 2026'!B774),"",'ENGAGEMENTS 2026'!G774)</f>
        <v/>
      </c>
      <c r="J774" s="275">
        <f>IF(ISBLANK('ENGAGEMENTS 2026'!B774),"",IF(AND(OR($E774="INFRUCTUEUX",$E774="ANNULE"),$C774="AOO-M"),'ENGAGEMENTS 2026'!O774,IF($H774="EN COURS DE PREENGAGEMENT",'ENGAGEMENTS 2026'!N774,IF($H774="PREENGAGE",IF($E774="ATTRIBUE",'ENGAGEMENTS 2026'!AD774,'ENGAGEMENTS 2026'!N774),'ENGAGEMENTS 2026'!AD774))))</f>
        <v/>
      </c>
      <c r="K774" s="604">
        <f>IF(ISBLANK('ENGAGEMENTS 2026'!V774),"",'ENGAGEMENTS 2026'!V774)</f>
        <v/>
      </c>
      <c r="L774" s="276">
        <f>IF($K774="","",TODAY()-$K774)</f>
        <v/>
      </c>
      <c r="M774">
        <f>IF($A774="","",IF($H774="ENGAGE","Engagé",IF(AND($H774="NON ENGAGE",OR($I774="INFRUCTUEUX",$I774="ANNULE")),"Clôturé sans suite","En cours")))</f>
        <v/>
      </c>
      <c r="N774">
        <f>IF(ISBLANK('ENGAGEMENTS 2026'!B774),"",'ENGAGEMENTS 2026'!K774)</f>
        <v/>
      </c>
      <c r="O774">
        <f>IF(ISBLANK('ENGAGEMENTS 2026'!B774),"",'ENGAGEMENTS 2026'!L774)</f>
        <v/>
      </c>
      <c r="P774">
        <f>IF(ISBLANK('ENGAGEMENTS 2026'!B774),"",'ENGAGEMENTS 2026'!J774)</f>
        <v/>
      </c>
      <c r="Q774">
        <f>IF($A774="","",IF(OR($E774="INFRUCTUEUX",$E774="ANNULE"),$A774&amp;"|"&amp;(COUNTIFS($A$2:$A774,$A774,$E$2:$E774,"INFRUCTUEUX")+COUNTIFS($A$2:$A774,$A774,$E$2:$E774,"ANNULE")),""))</f>
        <v/>
      </c>
    </row>
    <row r="775">
      <c r="A775">
        <f>IF(ISBLANK('ENGAGEMENTS 2026'!B775),"",IF('ENGAGEMENTS 2026'!B775="DTSI","DCT",'ENGAGEMENTS 2026'!B775))</f>
        <v/>
      </c>
      <c r="B775">
        <f>IF(ISBLANK('ENGAGEMENTS 2026'!B775),"",'ENGAGEMENTS 2026'!C775)</f>
        <v/>
      </c>
      <c r="C775">
        <f>IF(ISBLANK('ENGAGEMENTS 2026'!B775),"",'ENGAGEMENTS 2026'!D775)</f>
        <v/>
      </c>
      <c r="D775">
        <f>IF(ISBLANK('ENGAGEMENTS 2026'!B775),"",'ENGAGEMENTS 2026'!F775)</f>
        <v/>
      </c>
      <c r="E775">
        <f>IF(ISBLANK('ENGAGEMENTS 2026'!B775),"",'ENGAGEMENTS 2026'!H775)</f>
        <v/>
      </c>
      <c r="F775">
        <f>IF(ISBLANK('ENGAGEMENTS 2026'!B775),"",'ENGAGEMENTS 2026'!I775)</f>
        <v/>
      </c>
      <c r="G775">
        <f>IF(ISBLANK('ENGAGEMENTS 2026'!B775),"",'ENGAGEMENTS 2026'!L775)</f>
        <v/>
      </c>
      <c r="H775">
        <f>IF(ISBLANK('ENGAGEMENTS 2026'!B775),"",'ENGAGEMENTS 2026'!AE775)</f>
        <v/>
      </c>
      <c r="I775">
        <f>IF(ISBLANK('ENGAGEMENTS 2026'!B775),"",'ENGAGEMENTS 2026'!G775)</f>
        <v/>
      </c>
      <c r="J775" s="275">
        <f>IF(ISBLANK('ENGAGEMENTS 2026'!B775),"",IF(AND(OR($E775="INFRUCTUEUX",$E775="ANNULE"),$C775="AOO-M"),'ENGAGEMENTS 2026'!O775,IF($H775="EN COURS DE PREENGAGEMENT",'ENGAGEMENTS 2026'!N775,IF($H775="PREENGAGE",IF($E775="ATTRIBUE",'ENGAGEMENTS 2026'!AD775,'ENGAGEMENTS 2026'!N775),'ENGAGEMENTS 2026'!AD775))))</f>
        <v/>
      </c>
      <c r="K775" s="604">
        <f>IF(ISBLANK('ENGAGEMENTS 2026'!V775),"",'ENGAGEMENTS 2026'!V775)</f>
        <v/>
      </c>
      <c r="L775" s="276">
        <f>IF($K775="","",TODAY()-$K775)</f>
        <v/>
      </c>
      <c r="M775">
        <f>IF($A775="","",IF($H775="ENGAGE","Engagé",IF(AND($H775="NON ENGAGE",OR($I775="INFRUCTUEUX",$I775="ANNULE")),"Clôturé sans suite","En cours")))</f>
        <v/>
      </c>
      <c r="N775">
        <f>IF(ISBLANK('ENGAGEMENTS 2026'!B775),"",'ENGAGEMENTS 2026'!K775)</f>
        <v/>
      </c>
      <c r="O775">
        <f>IF(ISBLANK('ENGAGEMENTS 2026'!B775),"",'ENGAGEMENTS 2026'!L775)</f>
        <v/>
      </c>
      <c r="P775">
        <f>IF(ISBLANK('ENGAGEMENTS 2026'!B775),"",'ENGAGEMENTS 2026'!J775)</f>
        <v/>
      </c>
      <c r="Q775">
        <f>IF($A775="","",IF(OR($E775="INFRUCTUEUX",$E775="ANNULE"),$A775&amp;"|"&amp;(COUNTIFS($A$2:$A775,$A775,$E$2:$E775,"INFRUCTUEUX")+COUNTIFS($A$2:$A775,$A775,$E$2:$E775,"ANNULE")),""))</f>
        <v/>
      </c>
    </row>
    <row r="776">
      <c r="A776">
        <f>IF(ISBLANK('ENGAGEMENTS 2026'!B776),"",IF('ENGAGEMENTS 2026'!B776="DTSI","DCT",'ENGAGEMENTS 2026'!B776))</f>
        <v/>
      </c>
      <c r="B776">
        <f>IF(ISBLANK('ENGAGEMENTS 2026'!B776),"",'ENGAGEMENTS 2026'!C776)</f>
        <v/>
      </c>
      <c r="C776">
        <f>IF(ISBLANK('ENGAGEMENTS 2026'!B776),"",'ENGAGEMENTS 2026'!D776)</f>
        <v/>
      </c>
      <c r="D776">
        <f>IF(ISBLANK('ENGAGEMENTS 2026'!B776),"",'ENGAGEMENTS 2026'!F776)</f>
        <v/>
      </c>
      <c r="E776">
        <f>IF(ISBLANK('ENGAGEMENTS 2026'!B776),"",'ENGAGEMENTS 2026'!H776)</f>
        <v/>
      </c>
      <c r="F776">
        <f>IF(ISBLANK('ENGAGEMENTS 2026'!B776),"",'ENGAGEMENTS 2026'!I776)</f>
        <v/>
      </c>
      <c r="G776">
        <f>IF(ISBLANK('ENGAGEMENTS 2026'!B776),"",'ENGAGEMENTS 2026'!L776)</f>
        <v/>
      </c>
      <c r="H776">
        <f>IF(ISBLANK('ENGAGEMENTS 2026'!B776),"",'ENGAGEMENTS 2026'!AE776)</f>
        <v/>
      </c>
      <c r="I776">
        <f>IF(ISBLANK('ENGAGEMENTS 2026'!B776),"",'ENGAGEMENTS 2026'!G776)</f>
        <v/>
      </c>
      <c r="J776" s="275">
        <f>IF(ISBLANK('ENGAGEMENTS 2026'!B776),"",IF(AND(OR($E776="INFRUCTUEUX",$E776="ANNULE"),$C776="AOO-M"),'ENGAGEMENTS 2026'!O776,IF($H776="EN COURS DE PREENGAGEMENT",'ENGAGEMENTS 2026'!N776,IF($H776="PREENGAGE",IF($E776="ATTRIBUE",'ENGAGEMENTS 2026'!AD776,'ENGAGEMENTS 2026'!N776),'ENGAGEMENTS 2026'!AD776))))</f>
        <v/>
      </c>
      <c r="K776" s="604">
        <f>IF(ISBLANK('ENGAGEMENTS 2026'!V776),"",'ENGAGEMENTS 2026'!V776)</f>
        <v/>
      </c>
      <c r="L776" s="276">
        <f>IF($K776="","",TODAY()-$K776)</f>
        <v/>
      </c>
      <c r="M776">
        <f>IF($A776="","",IF($H776="ENGAGE","Engagé",IF(AND($H776="NON ENGAGE",OR($I776="INFRUCTUEUX",$I776="ANNULE")),"Clôturé sans suite","En cours")))</f>
        <v/>
      </c>
      <c r="N776">
        <f>IF(ISBLANK('ENGAGEMENTS 2026'!B776),"",'ENGAGEMENTS 2026'!K776)</f>
        <v/>
      </c>
      <c r="O776">
        <f>IF(ISBLANK('ENGAGEMENTS 2026'!B776),"",'ENGAGEMENTS 2026'!L776)</f>
        <v/>
      </c>
      <c r="P776">
        <f>IF(ISBLANK('ENGAGEMENTS 2026'!B776),"",'ENGAGEMENTS 2026'!J776)</f>
        <v/>
      </c>
      <c r="Q776">
        <f>IF($A776="","",IF(OR($E776="INFRUCTUEUX",$E776="ANNULE"),$A776&amp;"|"&amp;(COUNTIFS($A$2:$A776,$A776,$E$2:$E776,"INFRUCTUEUX")+COUNTIFS($A$2:$A776,$A776,$E$2:$E776,"ANNULE")),""))</f>
        <v/>
      </c>
    </row>
    <row r="777">
      <c r="A777">
        <f>IF(ISBLANK('ENGAGEMENTS 2026'!B777),"",IF('ENGAGEMENTS 2026'!B777="DTSI","DCT",'ENGAGEMENTS 2026'!B777))</f>
        <v/>
      </c>
      <c r="B777">
        <f>IF(ISBLANK('ENGAGEMENTS 2026'!B777),"",'ENGAGEMENTS 2026'!C777)</f>
        <v/>
      </c>
      <c r="C777">
        <f>IF(ISBLANK('ENGAGEMENTS 2026'!B777),"",'ENGAGEMENTS 2026'!D777)</f>
        <v/>
      </c>
      <c r="D777">
        <f>IF(ISBLANK('ENGAGEMENTS 2026'!B777),"",'ENGAGEMENTS 2026'!F777)</f>
        <v/>
      </c>
      <c r="E777">
        <f>IF(ISBLANK('ENGAGEMENTS 2026'!B777),"",'ENGAGEMENTS 2026'!H777)</f>
        <v/>
      </c>
      <c r="F777">
        <f>IF(ISBLANK('ENGAGEMENTS 2026'!B777),"",'ENGAGEMENTS 2026'!I777)</f>
        <v/>
      </c>
      <c r="G777">
        <f>IF(ISBLANK('ENGAGEMENTS 2026'!B777),"",'ENGAGEMENTS 2026'!L777)</f>
        <v/>
      </c>
      <c r="H777">
        <f>IF(ISBLANK('ENGAGEMENTS 2026'!B777),"",'ENGAGEMENTS 2026'!AE777)</f>
        <v/>
      </c>
      <c r="I777">
        <f>IF(ISBLANK('ENGAGEMENTS 2026'!B777),"",'ENGAGEMENTS 2026'!G777)</f>
        <v/>
      </c>
      <c r="J777" s="275">
        <f>IF(ISBLANK('ENGAGEMENTS 2026'!B777),"",IF(AND(OR($E777="INFRUCTUEUX",$E777="ANNULE"),$C777="AOO-M"),'ENGAGEMENTS 2026'!O777,IF($H777="EN COURS DE PREENGAGEMENT",'ENGAGEMENTS 2026'!N777,IF($H777="PREENGAGE",IF($E777="ATTRIBUE",'ENGAGEMENTS 2026'!AD777,'ENGAGEMENTS 2026'!N777),'ENGAGEMENTS 2026'!AD777))))</f>
        <v/>
      </c>
      <c r="K777" s="604">
        <f>IF(ISBLANK('ENGAGEMENTS 2026'!V777),"",'ENGAGEMENTS 2026'!V777)</f>
        <v/>
      </c>
      <c r="L777" s="276">
        <f>IF($K777="","",TODAY()-$K777)</f>
        <v/>
      </c>
      <c r="M777">
        <f>IF($A777="","",IF($H777="ENGAGE","Engagé",IF(AND($H777="NON ENGAGE",OR($I777="INFRUCTUEUX",$I777="ANNULE")),"Clôturé sans suite","En cours")))</f>
        <v/>
      </c>
      <c r="N777">
        <f>IF(ISBLANK('ENGAGEMENTS 2026'!B777),"",'ENGAGEMENTS 2026'!K777)</f>
        <v/>
      </c>
      <c r="O777">
        <f>IF(ISBLANK('ENGAGEMENTS 2026'!B777),"",'ENGAGEMENTS 2026'!L777)</f>
        <v/>
      </c>
      <c r="P777">
        <f>IF(ISBLANK('ENGAGEMENTS 2026'!B777),"",'ENGAGEMENTS 2026'!J777)</f>
        <v/>
      </c>
      <c r="Q777">
        <f>IF($A777="","",IF(OR($E777="INFRUCTUEUX",$E777="ANNULE"),$A777&amp;"|"&amp;(COUNTIFS($A$2:$A777,$A777,$E$2:$E777,"INFRUCTUEUX")+COUNTIFS($A$2:$A777,$A777,$E$2:$E777,"ANNULE")),""))</f>
        <v/>
      </c>
    </row>
    <row r="778">
      <c r="A778">
        <f>IF(ISBLANK('ENGAGEMENTS 2026'!B778),"",IF('ENGAGEMENTS 2026'!B778="DTSI","DCT",'ENGAGEMENTS 2026'!B778))</f>
        <v/>
      </c>
      <c r="B778">
        <f>IF(ISBLANK('ENGAGEMENTS 2026'!B778),"",'ENGAGEMENTS 2026'!C778)</f>
        <v/>
      </c>
      <c r="C778">
        <f>IF(ISBLANK('ENGAGEMENTS 2026'!B778),"",'ENGAGEMENTS 2026'!D778)</f>
        <v/>
      </c>
      <c r="D778">
        <f>IF(ISBLANK('ENGAGEMENTS 2026'!B778),"",'ENGAGEMENTS 2026'!F778)</f>
        <v/>
      </c>
      <c r="E778">
        <f>IF(ISBLANK('ENGAGEMENTS 2026'!B778),"",'ENGAGEMENTS 2026'!H778)</f>
        <v/>
      </c>
      <c r="F778">
        <f>IF(ISBLANK('ENGAGEMENTS 2026'!B778),"",'ENGAGEMENTS 2026'!I778)</f>
        <v/>
      </c>
      <c r="G778">
        <f>IF(ISBLANK('ENGAGEMENTS 2026'!B778),"",'ENGAGEMENTS 2026'!L778)</f>
        <v/>
      </c>
      <c r="H778">
        <f>IF(ISBLANK('ENGAGEMENTS 2026'!B778),"",'ENGAGEMENTS 2026'!AE778)</f>
        <v/>
      </c>
      <c r="I778">
        <f>IF(ISBLANK('ENGAGEMENTS 2026'!B778),"",'ENGAGEMENTS 2026'!G778)</f>
        <v/>
      </c>
      <c r="J778" s="275">
        <f>IF(ISBLANK('ENGAGEMENTS 2026'!B778),"",IF(AND(OR($E778="INFRUCTUEUX",$E778="ANNULE"),$C778="AOO-M"),'ENGAGEMENTS 2026'!O778,IF($H778="EN COURS DE PREENGAGEMENT",'ENGAGEMENTS 2026'!N778,IF($H778="PREENGAGE",IF($E778="ATTRIBUE",'ENGAGEMENTS 2026'!AD778,'ENGAGEMENTS 2026'!N778),'ENGAGEMENTS 2026'!AD778))))</f>
        <v/>
      </c>
      <c r="K778" s="604">
        <f>IF(ISBLANK('ENGAGEMENTS 2026'!V778),"",'ENGAGEMENTS 2026'!V778)</f>
        <v/>
      </c>
      <c r="L778" s="276">
        <f>IF($K778="","",TODAY()-$K778)</f>
        <v/>
      </c>
      <c r="M778">
        <f>IF($A778="","",IF($H778="ENGAGE","Engagé",IF(AND($H778="NON ENGAGE",OR($I778="INFRUCTUEUX",$I778="ANNULE")),"Clôturé sans suite","En cours")))</f>
        <v/>
      </c>
      <c r="N778">
        <f>IF(ISBLANK('ENGAGEMENTS 2026'!B778),"",'ENGAGEMENTS 2026'!K778)</f>
        <v/>
      </c>
      <c r="O778">
        <f>IF(ISBLANK('ENGAGEMENTS 2026'!B778),"",'ENGAGEMENTS 2026'!L778)</f>
        <v/>
      </c>
      <c r="P778">
        <f>IF(ISBLANK('ENGAGEMENTS 2026'!B778),"",'ENGAGEMENTS 2026'!J778)</f>
        <v/>
      </c>
      <c r="Q778">
        <f>IF($A778="","",IF(OR($E778="INFRUCTUEUX",$E778="ANNULE"),$A778&amp;"|"&amp;(COUNTIFS($A$2:$A778,$A778,$E$2:$E778,"INFRUCTUEUX")+COUNTIFS($A$2:$A778,$A778,$E$2:$E778,"ANNULE")),""))</f>
        <v/>
      </c>
    </row>
    <row r="779">
      <c r="A779">
        <f>IF(ISBLANK('ENGAGEMENTS 2026'!B779),"",IF('ENGAGEMENTS 2026'!B779="DTSI","DCT",'ENGAGEMENTS 2026'!B779))</f>
        <v/>
      </c>
      <c r="B779">
        <f>IF(ISBLANK('ENGAGEMENTS 2026'!B779),"",'ENGAGEMENTS 2026'!C779)</f>
        <v/>
      </c>
      <c r="C779">
        <f>IF(ISBLANK('ENGAGEMENTS 2026'!B779),"",'ENGAGEMENTS 2026'!D779)</f>
        <v/>
      </c>
      <c r="D779">
        <f>IF(ISBLANK('ENGAGEMENTS 2026'!B779),"",'ENGAGEMENTS 2026'!F779)</f>
        <v/>
      </c>
      <c r="E779">
        <f>IF(ISBLANK('ENGAGEMENTS 2026'!B779),"",'ENGAGEMENTS 2026'!H779)</f>
        <v/>
      </c>
      <c r="F779">
        <f>IF(ISBLANK('ENGAGEMENTS 2026'!B779),"",'ENGAGEMENTS 2026'!I779)</f>
        <v/>
      </c>
      <c r="G779">
        <f>IF(ISBLANK('ENGAGEMENTS 2026'!B779),"",'ENGAGEMENTS 2026'!L779)</f>
        <v/>
      </c>
      <c r="H779">
        <f>IF(ISBLANK('ENGAGEMENTS 2026'!B779),"",'ENGAGEMENTS 2026'!AE779)</f>
        <v/>
      </c>
      <c r="I779">
        <f>IF(ISBLANK('ENGAGEMENTS 2026'!B779),"",'ENGAGEMENTS 2026'!G779)</f>
        <v/>
      </c>
      <c r="J779" s="275">
        <f>IF(ISBLANK('ENGAGEMENTS 2026'!B779),"",IF(AND(OR($E779="INFRUCTUEUX",$E779="ANNULE"),$C779="AOO-M"),'ENGAGEMENTS 2026'!O779,IF($H779="EN COURS DE PREENGAGEMENT",'ENGAGEMENTS 2026'!N779,IF($H779="PREENGAGE",IF($E779="ATTRIBUE",'ENGAGEMENTS 2026'!AD779,'ENGAGEMENTS 2026'!N779),'ENGAGEMENTS 2026'!AD779))))</f>
        <v/>
      </c>
      <c r="K779" s="604">
        <f>IF(ISBLANK('ENGAGEMENTS 2026'!V779),"",'ENGAGEMENTS 2026'!V779)</f>
        <v/>
      </c>
      <c r="L779" s="276">
        <f>IF($K779="","",TODAY()-$K779)</f>
        <v/>
      </c>
      <c r="M779">
        <f>IF($A779="","",IF($H779="ENGAGE","Engagé",IF(AND($H779="NON ENGAGE",OR($I779="INFRUCTUEUX",$I779="ANNULE")),"Clôturé sans suite","En cours")))</f>
        <v/>
      </c>
      <c r="N779">
        <f>IF(ISBLANK('ENGAGEMENTS 2026'!B779),"",'ENGAGEMENTS 2026'!K779)</f>
        <v/>
      </c>
      <c r="O779">
        <f>IF(ISBLANK('ENGAGEMENTS 2026'!B779),"",'ENGAGEMENTS 2026'!L779)</f>
        <v/>
      </c>
      <c r="P779">
        <f>IF(ISBLANK('ENGAGEMENTS 2026'!B779),"",'ENGAGEMENTS 2026'!J779)</f>
        <v/>
      </c>
      <c r="Q779">
        <f>IF($A779="","",IF(OR($E779="INFRUCTUEUX",$E779="ANNULE"),$A779&amp;"|"&amp;(COUNTIFS($A$2:$A779,$A779,$E$2:$E779,"INFRUCTUEUX")+COUNTIFS($A$2:$A779,$A779,$E$2:$E779,"ANNULE")),""))</f>
        <v/>
      </c>
    </row>
    <row r="780">
      <c r="A780">
        <f>IF(ISBLANK('ENGAGEMENTS 2026'!B780),"",IF('ENGAGEMENTS 2026'!B780="DTSI","DCT",'ENGAGEMENTS 2026'!B780))</f>
        <v/>
      </c>
      <c r="B780">
        <f>IF(ISBLANK('ENGAGEMENTS 2026'!B780),"",'ENGAGEMENTS 2026'!C780)</f>
        <v/>
      </c>
      <c r="C780">
        <f>IF(ISBLANK('ENGAGEMENTS 2026'!B780),"",'ENGAGEMENTS 2026'!D780)</f>
        <v/>
      </c>
      <c r="D780">
        <f>IF(ISBLANK('ENGAGEMENTS 2026'!B780),"",'ENGAGEMENTS 2026'!F780)</f>
        <v/>
      </c>
      <c r="E780">
        <f>IF(ISBLANK('ENGAGEMENTS 2026'!B780),"",'ENGAGEMENTS 2026'!H780)</f>
        <v/>
      </c>
      <c r="F780">
        <f>IF(ISBLANK('ENGAGEMENTS 2026'!B780),"",'ENGAGEMENTS 2026'!I780)</f>
        <v/>
      </c>
      <c r="G780">
        <f>IF(ISBLANK('ENGAGEMENTS 2026'!B780),"",'ENGAGEMENTS 2026'!L780)</f>
        <v/>
      </c>
      <c r="H780">
        <f>IF(ISBLANK('ENGAGEMENTS 2026'!B780),"",'ENGAGEMENTS 2026'!AE780)</f>
        <v/>
      </c>
      <c r="I780">
        <f>IF(ISBLANK('ENGAGEMENTS 2026'!B780),"",'ENGAGEMENTS 2026'!G780)</f>
        <v/>
      </c>
      <c r="J780" s="275">
        <f>IF(ISBLANK('ENGAGEMENTS 2026'!B780),"",IF(AND(OR($E780="INFRUCTUEUX",$E780="ANNULE"),$C780="AOO-M"),'ENGAGEMENTS 2026'!O780,IF($H780="EN COURS DE PREENGAGEMENT",'ENGAGEMENTS 2026'!N780,IF($H780="PREENGAGE",IF($E780="ATTRIBUE",'ENGAGEMENTS 2026'!AD780,'ENGAGEMENTS 2026'!N780),'ENGAGEMENTS 2026'!AD780))))</f>
        <v/>
      </c>
      <c r="K780" s="604">
        <f>IF(ISBLANK('ENGAGEMENTS 2026'!V780),"",'ENGAGEMENTS 2026'!V780)</f>
        <v/>
      </c>
      <c r="L780" s="276">
        <f>IF($K780="","",TODAY()-$K780)</f>
        <v/>
      </c>
      <c r="M780">
        <f>IF($A780="","",IF($H780="ENGAGE","Engagé",IF(AND($H780="NON ENGAGE",OR($I780="INFRUCTUEUX",$I780="ANNULE")),"Clôturé sans suite","En cours")))</f>
        <v/>
      </c>
      <c r="N780">
        <f>IF(ISBLANK('ENGAGEMENTS 2026'!B780),"",'ENGAGEMENTS 2026'!K780)</f>
        <v/>
      </c>
      <c r="O780">
        <f>IF(ISBLANK('ENGAGEMENTS 2026'!B780),"",'ENGAGEMENTS 2026'!L780)</f>
        <v/>
      </c>
      <c r="P780">
        <f>IF(ISBLANK('ENGAGEMENTS 2026'!B780),"",'ENGAGEMENTS 2026'!J780)</f>
        <v/>
      </c>
      <c r="Q780">
        <f>IF($A780="","",IF(OR($E780="INFRUCTUEUX",$E780="ANNULE"),$A780&amp;"|"&amp;(COUNTIFS($A$2:$A780,$A780,$E$2:$E780,"INFRUCTUEUX")+COUNTIFS($A$2:$A780,$A780,$E$2:$E780,"ANNULE")),""))</f>
        <v/>
      </c>
    </row>
    <row r="781">
      <c r="A781">
        <f>IF(ISBLANK('ENGAGEMENTS 2026'!B781),"",IF('ENGAGEMENTS 2026'!B781="DTSI","DCT",'ENGAGEMENTS 2026'!B781))</f>
        <v/>
      </c>
      <c r="B781">
        <f>IF(ISBLANK('ENGAGEMENTS 2026'!B781),"",'ENGAGEMENTS 2026'!C781)</f>
        <v/>
      </c>
      <c r="C781">
        <f>IF(ISBLANK('ENGAGEMENTS 2026'!B781),"",'ENGAGEMENTS 2026'!D781)</f>
        <v/>
      </c>
      <c r="D781">
        <f>IF(ISBLANK('ENGAGEMENTS 2026'!B781),"",'ENGAGEMENTS 2026'!F781)</f>
        <v/>
      </c>
      <c r="E781">
        <f>IF(ISBLANK('ENGAGEMENTS 2026'!B781),"",'ENGAGEMENTS 2026'!H781)</f>
        <v/>
      </c>
      <c r="F781">
        <f>IF(ISBLANK('ENGAGEMENTS 2026'!B781),"",'ENGAGEMENTS 2026'!I781)</f>
        <v/>
      </c>
      <c r="G781">
        <f>IF(ISBLANK('ENGAGEMENTS 2026'!B781),"",'ENGAGEMENTS 2026'!L781)</f>
        <v/>
      </c>
      <c r="H781">
        <f>IF(ISBLANK('ENGAGEMENTS 2026'!B781),"",'ENGAGEMENTS 2026'!AE781)</f>
        <v/>
      </c>
      <c r="I781">
        <f>IF(ISBLANK('ENGAGEMENTS 2026'!B781),"",'ENGAGEMENTS 2026'!G781)</f>
        <v/>
      </c>
      <c r="J781" s="275">
        <f>IF(ISBLANK('ENGAGEMENTS 2026'!B781),"",IF(AND(OR($E781="INFRUCTUEUX",$E781="ANNULE"),$C781="AOO-M"),'ENGAGEMENTS 2026'!O781,IF($H781="EN COURS DE PREENGAGEMENT",'ENGAGEMENTS 2026'!N781,IF($H781="PREENGAGE",IF($E781="ATTRIBUE",'ENGAGEMENTS 2026'!AD781,'ENGAGEMENTS 2026'!N781),'ENGAGEMENTS 2026'!AD781))))</f>
        <v/>
      </c>
      <c r="K781" s="604">
        <f>IF(ISBLANK('ENGAGEMENTS 2026'!V781),"",'ENGAGEMENTS 2026'!V781)</f>
        <v/>
      </c>
      <c r="L781" s="276">
        <f>IF($K781="","",TODAY()-$K781)</f>
        <v/>
      </c>
      <c r="M781">
        <f>IF($A781="","",IF($H781="ENGAGE","Engagé",IF(AND($H781="NON ENGAGE",OR($I781="INFRUCTUEUX",$I781="ANNULE")),"Clôturé sans suite","En cours")))</f>
        <v/>
      </c>
      <c r="N781">
        <f>IF(ISBLANK('ENGAGEMENTS 2026'!B781),"",'ENGAGEMENTS 2026'!K781)</f>
        <v/>
      </c>
      <c r="O781">
        <f>IF(ISBLANK('ENGAGEMENTS 2026'!B781),"",'ENGAGEMENTS 2026'!L781)</f>
        <v/>
      </c>
      <c r="P781">
        <f>IF(ISBLANK('ENGAGEMENTS 2026'!B781),"",'ENGAGEMENTS 2026'!J781)</f>
        <v/>
      </c>
      <c r="Q781">
        <f>IF($A781="","",IF(OR($E781="INFRUCTUEUX",$E781="ANNULE"),$A781&amp;"|"&amp;(COUNTIFS($A$2:$A781,$A781,$E$2:$E781,"INFRUCTUEUX")+COUNTIFS($A$2:$A781,$A781,$E$2:$E781,"ANNULE")),""))</f>
        <v/>
      </c>
    </row>
    <row r="782">
      <c r="A782">
        <f>IF(ISBLANK('ENGAGEMENTS 2026'!B782),"",IF('ENGAGEMENTS 2026'!B782="DTSI","DCT",'ENGAGEMENTS 2026'!B782))</f>
        <v/>
      </c>
      <c r="B782">
        <f>IF(ISBLANK('ENGAGEMENTS 2026'!B782),"",'ENGAGEMENTS 2026'!C782)</f>
        <v/>
      </c>
      <c r="C782">
        <f>IF(ISBLANK('ENGAGEMENTS 2026'!B782),"",'ENGAGEMENTS 2026'!D782)</f>
        <v/>
      </c>
      <c r="D782">
        <f>IF(ISBLANK('ENGAGEMENTS 2026'!B782),"",'ENGAGEMENTS 2026'!F782)</f>
        <v/>
      </c>
      <c r="E782">
        <f>IF(ISBLANK('ENGAGEMENTS 2026'!B782),"",'ENGAGEMENTS 2026'!H782)</f>
        <v/>
      </c>
      <c r="F782">
        <f>IF(ISBLANK('ENGAGEMENTS 2026'!B782),"",'ENGAGEMENTS 2026'!I782)</f>
        <v/>
      </c>
      <c r="G782">
        <f>IF(ISBLANK('ENGAGEMENTS 2026'!B782),"",'ENGAGEMENTS 2026'!L782)</f>
        <v/>
      </c>
      <c r="H782">
        <f>IF(ISBLANK('ENGAGEMENTS 2026'!B782),"",'ENGAGEMENTS 2026'!AE782)</f>
        <v/>
      </c>
      <c r="I782">
        <f>IF(ISBLANK('ENGAGEMENTS 2026'!B782),"",'ENGAGEMENTS 2026'!G782)</f>
        <v/>
      </c>
      <c r="J782" s="275">
        <f>IF(ISBLANK('ENGAGEMENTS 2026'!B782),"",IF(AND(OR($E782="INFRUCTUEUX",$E782="ANNULE"),$C782="AOO-M"),'ENGAGEMENTS 2026'!O782,IF($H782="EN COURS DE PREENGAGEMENT",'ENGAGEMENTS 2026'!N782,IF($H782="PREENGAGE",IF($E782="ATTRIBUE",'ENGAGEMENTS 2026'!AD782,'ENGAGEMENTS 2026'!N782),'ENGAGEMENTS 2026'!AD782))))</f>
        <v/>
      </c>
      <c r="K782" s="604">
        <f>IF(ISBLANK('ENGAGEMENTS 2026'!V782),"",'ENGAGEMENTS 2026'!V782)</f>
        <v/>
      </c>
      <c r="L782" s="276">
        <f>IF($K782="","",TODAY()-$K782)</f>
        <v/>
      </c>
      <c r="M782">
        <f>IF($A782="","",IF($H782="ENGAGE","Engagé",IF(AND($H782="NON ENGAGE",OR($I782="INFRUCTUEUX",$I782="ANNULE")),"Clôturé sans suite","En cours")))</f>
        <v/>
      </c>
      <c r="N782">
        <f>IF(ISBLANK('ENGAGEMENTS 2026'!B782),"",'ENGAGEMENTS 2026'!K782)</f>
        <v/>
      </c>
      <c r="O782">
        <f>IF(ISBLANK('ENGAGEMENTS 2026'!B782),"",'ENGAGEMENTS 2026'!L782)</f>
        <v/>
      </c>
      <c r="P782">
        <f>IF(ISBLANK('ENGAGEMENTS 2026'!B782),"",'ENGAGEMENTS 2026'!J782)</f>
        <v/>
      </c>
      <c r="Q782">
        <f>IF($A782="","",IF(OR($E782="INFRUCTUEUX",$E782="ANNULE"),$A782&amp;"|"&amp;(COUNTIFS($A$2:$A782,$A782,$E$2:$E782,"INFRUCTUEUX")+COUNTIFS($A$2:$A782,$A782,$E$2:$E782,"ANNULE")),""))</f>
        <v/>
      </c>
    </row>
    <row r="783">
      <c r="A783">
        <f>IF(ISBLANK('ENGAGEMENTS 2026'!B783),"",IF('ENGAGEMENTS 2026'!B783="DTSI","DCT",'ENGAGEMENTS 2026'!B783))</f>
        <v/>
      </c>
      <c r="B783">
        <f>IF(ISBLANK('ENGAGEMENTS 2026'!B783),"",'ENGAGEMENTS 2026'!C783)</f>
        <v/>
      </c>
      <c r="C783">
        <f>IF(ISBLANK('ENGAGEMENTS 2026'!B783),"",'ENGAGEMENTS 2026'!D783)</f>
        <v/>
      </c>
      <c r="D783">
        <f>IF(ISBLANK('ENGAGEMENTS 2026'!B783),"",'ENGAGEMENTS 2026'!F783)</f>
        <v/>
      </c>
      <c r="E783">
        <f>IF(ISBLANK('ENGAGEMENTS 2026'!B783),"",'ENGAGEMENTS 2026'!H783)</f>
        <v/>
      </c>
      <c r="F783">
        <f>IF(ISBLANK('ENGAGEMENTS 2026'!B783),"",'ENGAGEMENTS 2026'!I783)</f>
        <v/>
      </c>
      <c r="G783">
        <f>IF(ISBLANK('ENGAGEMENTS 2026'!B783),"",'ENGAGEMENTS 2026'!L783)</f>
        <v/>
      </c>
      <c r="H783">
        <f>IF(ISBLANK('ENGAGEMENTS 2026'!B783),"",'ENGAGEMENTS 2026'!AE783)</f>
        <v/>
      </c>
      <c r="I783">
        <f>IF(ISBLANK('ENGAGEMENTS 2026'!B783),"",'ENGAGEMENTS 2026'!G783)</f>
        <v/>
      </c>
      <c r="J783" s="275">
        <f>IF(ISBLANK('ENGAGEMENTS 2026'!B783),"",IF(AND(OR($E783="INFRUCTUEUX",$E783="ANNULE"),$C783="AOO-M"),'ENGAGEMENTS 2026'!O783,IF($H783="EN COURS DE PREENGAGEMENT",'ENGAGEMENTS 2026'!N783,IF($H783="PREENGAGE",IF($E783="ATTRIBUE",'ENGAGEMENTS 2026'!AD783,'ENGAGEMENTS 2026'!N783),'ENGAGEMENTS 2026'!AD783))))</f>
        <v/>
      </c>
      <c r="K783" s="604">
        <f>IF(ISBLANK('ENGAGEMENTS 2026'!V783),"",'ENGAGEMENTS 2026'!V783)</f>
        <v/>
      </c>
      <c r="L783" s="276">
        <f>IF($K783="","",TODAY()-$K783)</f>
        <v/>
      </c>
      <c r="M783">
        <f>IF($A783="","",IF($H783="ENGAGE","Engagé",IF(AND($H783="NON ENGAGE",OR($I783="INFRUCTUEUX",$I783="ANNULE")),"Clôturé sans suite","En cours")))</f>
        <v/>
      </c>
      <c r="N783">
        <f>IF(ISBLANK('ENGAGEMENTS 2026'!B783),"",'ENGAGEMENTS 2026'!K783)</f>
        <v/>
      </c>
      <c r="O783">
        <f>IF(ISBLANK('ENGAGEMENTS 2026'!B783),"",'ENGAGEMENTS 2026'!L783)</f>
        <v/>
      </c>
      <c r="P783">
        <f>IF(ISBLANK('ENGAGEMENTS 2026'!B783),"",'ENGAGEMENTS 2026'!J783)</f>
        <v/>
      </c>
      <c r="Q783">
        <f>IF($A783="","",IF(OR($E783="INFRUCTUEUX",$E783="ANNULE"),$A783&amp;"|"&amp;(COUNTIFS($A$2:$A783,$A783,$E$2:$E783,"INFRUCTUEUX")+COUNTIFS($A$2:$A783,$A783,$E$2:$E783,"ANNULE")),""))</f>
        <v/>
      </c>
    </row>
    <row r="784">
      <c r="A784">
        <f>IF(ISBLANK('ENGAGEMENTS 2026'!B784),"",IF('ENGAGEMENTS 2026'!B784="DTSI","DCT",'ENGAGEMENTS 2026'!B784))</f>
        <v/>
      </c>
      <c r="B784">
        <f>IF(ISBLANK('ENGAGEMENTS 2026'!B784),"",'ENGAGEMENTS 2026'!C784)</f>
        <v/>
      </c>
      <c r="C784">
        <f>IF(ISBLANK('ENGAGEMENTS 2026'!B784),"",'ENGAGEMENTS 2026'!D784)</f>
        <v/>
      </c>
      <c r="D784">
        <f>IF(ISBLANK('ENGAGEMENTS 2026'!B784),"",'ENGAGEMENTS 2026'!F784)</f>
        <v/>
      </c>
      <c r="E784">
        <f>IF(ISBLANK('ENGAGEMENTS 2026'!B784),"",'ENGAGEMENTS 2026'!H784)</f>
        <v/>
      </c>
      <c r="F784">
        <f>IF(ISBLANK('ENGAGEMENTS 2026'!B784),"",'ENGAGEMENTS 2026'!I784)</f>
        <v/>
      </c>
      <c r="G784">
        <f>IF(ISBLANK('ENGAGEMENTS 2026'!B784),"",'ENGAGEMENTS 2026'!L784)</f>
        <v/>
      </c>
      <c r="H784">
        <f>IF(ISBLANK('ENGAGEMENTS 2026'!B784),"",'ENGAGEMENTS 2026'!AE784)</f>
        <v/>
      </c>
      <c r="I784">
        <f>IF(ISBLANK('ENGAGEMENTS 2026'!B784),"",'ENGAGEMENTS 2026'!G784)</f>
        <v/>
      </c>
      <c r="J784" s="275">
        <f>IF(ISBLANK('ENGAGEMENTS 2026'!B784),"",IF(AND(OR($E784="INFRUCTUEUX",$E784="ANNULE"),$C784="AOO-M"),'ENGAGEMENTS 2026'!O784,IF($H784="EN COURS DE PREENGAGEMENT",'ENGAGEMENTS 2026'!N784,IF($H784="PREENGAGE",IF($E784="ATTRIBUE",'ENGAGEMENTS 2026'!AD784,'ENGAGEMENTS 2026'!N784),'ENGAGEMENTS 2026'!AD784))))</f>
        <v/>
      </c>
      <c r="K784" s="604">
        <f>IF(ISBLANK('ENGAGEMENTS 2026'!V784),"",'ENGAGEMENTS 2026'!V784)</f>
        <v/>
      </c>
      <c r="L784" s="276">
        <f>IF($K784="","",TODAY()-$K784)</f>
        <v/>
      </c>
      <c r="M784">
        <f>IF($A784="","",IF($H784="ENGAGE","Engagé",IF(AND($H784="NON ENGAGE",OR($I784="INFRUCTUEUX",$I784="ANNULE")),"Clôturé sans suite","En cours")))</f>
        <v/>
      </c>
      <c r="N784">
        <f>IF(ISBLANK('ENGAGEMENTS 2026'!B784),"",'ENGAGEMENTS 2026'!K784)</f>
        <v/>
      </c>
      <c r="O784">
        <f>IF(ISBLANK('ENGAGEMENTS 2026'!B784),"",'ENGAGEMENTS 2026'!L784)</f>
        <v/>
      </c>
      <c r="P784">
        <f>IF(ISBLANK('ENGAGEMENTS 2026'!B784),"",'ENGAGEMENTS 2026'!J784)</f>
        <v/>
      </c>
      <c r="Q784">
        <f>IF($A784="","",IF(OR($E784="INFRUCTUEUX",$E784="ANNULE"),$A784&amp;"|"&amp;(COUNTIFS($A$2:$A784,$A784,$E$2:$E784,"INFRUCTUEUX")+COUNTIFS($A$2:$A784,$A784,$E$2:$E784,"ANNULE")),""))</f>
        <v/>
      </c>
    </row>
    <row r="785">
      <c r="A785">
        <f>IF(ISBLANK('ENGAGEMENTS 2026'!B785),"",IF('ENGAGEMENTS 2026'!B785="DTSI","DCT",'ENGAGEMENTS 2026'!B785))</f>
        <v/>
      </c>
      <c r="B785">
        <f>IF(ISBLANK('ENGAGEMENTS 2026'!B785),"",'ENGAGEMENTS 2026'!C785)</f>
        <v/>
      </c>
      <c r="C785">
        <f>IF(ISBLANK('ENGAGEMENTS 2026'!B785),"",'ENGAGEMENTS 2026'!D785)</f>
        <v/>
      </c>
      <c r="D785">
        <f>IF(ISBLANK('ENGAGEMENTS 2026'!B785),"",'ENGAGEMENTS 2026'!F785)</f>
        <v/>
      </c>
      <c r="E785">
        <f>IF(ISBLANK('ENGAGEMENTS 2026'!B785),"",'ENGAGEMENTS 2026'!H785)</f>
        <v/>
      </c>
      <c r="F785">
        <f>IF(ISBLANK('ENGAGEMENTS 2026'!B785),"",'ENGAGEMENTS 2026'!I785)</f>
        <v/>
      </c>
      <c r="G785">
        <f>IF(ISBLANK('ENGAGEMENTS 2026'!B785),"",'ENGAGEMENTS 2026'!L785)</f>
        <v/>
      </c>
      <c r="H785">
        <f>IF(ISBLANK('ENGAGEMENTS 2026'!B785),"",'ENGAGEMENTS 2026'!AE785)</f>
        <v/>
      </c>
      <c r="I785">
        <f>IF(ISBLANK('ENGAGEMENTS 2026'!B785),"",'ENGAGEMENTS 2026'!G785)</f>
        <v/>
      </c>
      <c r="J785" s="275">
        <f>IF(ISBLANK('ENGAGEMENTS 2026'!B785),"",IF(AND(OR($E785="INFRUCTUEUX",$E785="ANNULE"),$C785="AOO-M"),'ENGAGEMENTS 2026'!O785,IF($H785="EN COURS DE PREENGAGEMENT",'ENGAGEMENTS 2026'!N785,IF($H785="PREENGAGE",IF($E785="ATTRIBUE",'ENGAGEMENTS 2026'!AD785,'ENGAGEMENTS 2026'!N785),'ENGAGEMENTS 2026'!AD785))))</f>
        <v/>
      </c>
      <c r="K785" s="604">
        <f>IF(ISBLANK('ENGAGEMENTS 2026'!V785),"",'ENGAGEMENTS 2026'!V785)</f>
        <v/>
      </c>
      <c r="L785" s="276">
        <f>IF($K785="","",TODAY()-$K785)</f>
        <v/>
      </c>
      <c r="M785">
        <f>IF($A785="","",IF($H785="ENGAGE","Engagé",IF(AND($H785="NON ENGAGE",OR($I785="INFRUCTUEUX",$I785="ANNULE")),"Clôturé sans suite","En cours")))</f>
        <v/>
      </c>
      <c r="N785">
        <f>IF(ISBLANK('ENGAGEMENTS 2026'!B785),"",'ENGAGEMENTS 2026'!K785)</f>
        <v/>
      </c>
      <c r="O785">
        <f>IF(ISBLANK('ENGAGEMENTS 2026'!B785),"",'ENGAGEMENTS 2026'!L785)</f>
        <v/>
      </c>
      <c r="P785">
        <f>IF(ISBLANK('ENGAGEMENTS 2026'!B785),"",'ENGAGEMENTS 2026'!J785)</f>
        <v/>
      </c>
      <c r="Q785">
        <f>IF($A785="","",IF(OR($E785="INFRUCTUEUX",$E785="ANNULE"),$A785&amp;"|"&amp;(COUNTIFS($A$2:$A785,$A785,$E$2:$E785,"INFRUCTUEUX")+COUNTIFS($A$2:$A785,$A785,$E$2:$E785,"ANNULE")),""))</f>
        <v/>
      </c>
    </row>
    <row r="786">
      <c r="A786">
        <f>IF(ISBLANK('ENGAGEMENTS 2026'!B786),"",IF('ENGAGEMENTS 2026'!B786="DTSI","DCT",'ENGAGEMENTS 2026'!B786))</f>
        <v/>
      </c>
      <c r="B786">
        <f>IF(ISBLANK('ENGAGEMENTS 2026'!B786),"",'ENGAGEMENTS 2026'!C786)</f>
        <v/>
      </c>
      <c r="C786">
        <f>IF(ISBLANK('ENGAGEMENTS 2026'!B786),"",'ENGAGEMENTS 2026'!D786)</f>
        <v/>
      </c>
      <c r="D786">
        <f>IF(ISBLANK('ENGAGEMENTS 2026'!B786),"",'ENGAGEMENTS 2026'!F786)</f>
        <v/>
      </c>
      <c r="E786">
        <f>IF(ISBLANK('ENGAGEMENTS 2026'!B786),"",'ENGAGEMENTS 2026'!H786)</f>
        <v/>
      </c>
      <c r="F786">
        <f>IF(ISBLANK('ENGAGEMENTS 2026'!B786),"",'ENGAGEMENTS 2026'!I786)</f>
        <v/>
      </c>
      <c r="G786">
        <f>IF(ISBLANK('ENGAGEMENTS 2026'!B786),"",'ENGAGEMENTS 2026'!L786)</f>
        <v/>
      </c>
      <c r="H786">
        <f>IF(ISBLANK('ENGAGEMENTS 2026'!B786),"",'ENGAGEMENTS 2026'!AE786)</f>
        <v/>
      </c>
      <c r="I786">
        <f>IF(ISBLANK('ENGAGEMENTS 2026'!B786),"",'ENGAGEMENTS 2026'!G786)</f>
        <v/>
      </c>
      <c r="J786" s="275">
        <f>IF(ISBLANK('ENGAGEMENTS 2026'!B786),"",IF(AND(OR($E786="INFRUCTUEUX",$E786="ANNULE"),$C786="AOO-M"),'ENGAGEMENTS 2026'!O786,IF($H786="EN COURS DE PREENGAGEMENT",'ENGAGEMENTS 2026'!N786,IF($H786="PREENGAGE",IF($E786="ATTRIBUE",'ENGAGEMENTS 2026'!AD786,'ENGAGEMENTS 2026'!N786),'ENGAGEMENTS 2026'!AD786))))</f>
        <v/>
      </c>
      <c r="K786" s="604">
        <f>IF(ISBLANK('ENGAGEMENTS 2026'!V786),"",'ENGAGEMENTS 2026'!V786)</f>
        <v/>
      </c>
      <c r="L786" s="276">
        <f>IF($K786="","",TODAY()-$K786)</f>
        <v/>
      </c>
      <c r="M786">
        <f>IF($A786="","",IF($H786="ENGAGE","Engagé",IF(AND($H786="NON ENGAGE",OR($I786="INFRUCTUEUX",$I786="ANNULE")),"Clôturé sans suite","En cours")))</f>
        <v/>
      </c>
      <c r="N786">
        <f>IF(ISBLANK('ENGAGEMENTS 2026'!B786),"",'ENGAGEMENTS 2026'!K786)</f>
        <v/>
      </c>
      <c r="O786">
        <f>IF(ISBLANK('ENGAGEMENTS 2026'!B786),"",'ENGAGEMENTS 2026'!L786)</f>
        <v/>
      </c>
      <c r="P786">
        <f>IF(ISBLANK('ENGAGEMENTS 2026'!B786),"",'ENGAGEMENTS 2026'!J786)</f>
        <v/>
      </c>
      <c r="Q786">
        <f>IF($A786="","",IF(OR($E786="INFRUCTUEUX",$E786="ANNULE"),$A786&amp;"|"&amp;(COUNTIFS($A$2:$A786,$A786,$E$2:$E786,"INFRUCTUEUX")+COUNTIFS($A$2:$A786,$A786,$E$2:$E786,"ANNULE")),""))</f>
        <v/>
      </c>
    </row>
    <row r="787">
      <c r="A787">
        <f>IF(ISBLANK('ENGAGEMENTS 2026'!B787),"",IF('ENGAGEMENTS 2026'!B787="DTSI","DCT",'ENGAGEMENTS 2026'!B787))</f>
        <v/>
      </c>
      <c r="B787">
        <f>IF(ISBLANK('ENGAGEMENTS 2026'!B787),"",'ENGAGEMENTS 2026'!C787)</f>
        <v/>
      </c>
      <c r="C787">
        <f>IF(ISBLANK('ENGAGEMENTS 2026'!B787),"",'ENGAGEMENTS 2026'!D787)</f>
        <v/>
      </c>
      <c r="D787">
        <f>IF(ISBLANK('ENGAGEMENTS 2026'!B787),"",'ENGAGEMENTS 2026'!F787)</f>
        <v/>
      </c>
      <c r="E787">
        <f>IF(ISBLANK('ENGAGEMENTS 2026'!B787),"",'ENGAGEMENTS 2026'!H787)</f>
        <v/>
      </c>
      <c r="F787">
        <f>IF(ISBLANK('ENGAGEMENTS 2026'!B787),"",'ENGAGEMENTS 2026'!I787)</f>
        <v/>
      </c>
      <c r="G787">
        <f>IF(ISBLANK('ENGAGEMENTS 2026'!B787),"",'ENGAGEMENTS 2026'!L787)</f>
        <v/>
      </c>
      <c r="H787">
        <f>IF(ISBLANK('ENGAGEMENTS 2026'!B787),"",'ENGAGEMENTS 2026'!AE787)</f>
        <v/>
      </c>
      <c r="I787">
        <f>IF(ISBLANK('ENGAGEMENTS 2026'!B787),"",'ENGAGEMENTS 2026'!G787)</f>
        <v/>
      </c>
      <c r="J787" s="275">
        <f>IF(ISBLANK('ENGAGEMENTS 2026'!B787),"",IF(AND(OR($E787="INFRUCTUEUX",$E787="ANNULE"),$C787="AOO-M"),'ENGAGEMENTS 2026'!O787,IF($H787="EN COURS DE PREENGAGEMENT",'ENGAGEMENTS 2026'!N787,IF($H787="PREENGAGE",IF($E787="ATTRIBUE",'ENGAGEMENTS 2026'!AD787,'ENGAGEMENTS 2026'!N787),'ENGAGEMENTS 2026'!AD787))))</f>
        <v/>
      </c>
      <c r="K787" s="604">
        <f>IF(ISBLANK('ENGAGEMENTS 2026'!V787),"",'ENGAGEMENTS 2026'!V787)</f>
        <v/>
      </c>
      <c r="L787" s="276">
        <f>IF($K787="","",TODAY()-$K787)</f>
        <v/>
      </c>
      <c r="M787">
        <f>IF($A787="","",IF($H787="ENGAGE","Engagé",IF(AND($H787="NON ENGAGE",OR($I787="INFRUCTUEUX",$I787="ANNULE")),"Clôturé sans suite","En cours")))</f>
        <v/>
      </c>
      <c r="N787">
        <f>IF(ISBLANK('ENGAGEMENTS 2026'!B787),"",'ENGAGEMENTS 2026'!K787)</f>
        <v/>
      </c>
      <c r="O787">
        <f>IF(ISBLANK('ENGAGEMENTS 2026'!B787),"",'ENGAGEMENTS 2026'!L787)</f>
        <v/>
      </c>
      <c r="P787">
        <f>IF(ISBLANK('ENGAGEMENTS 2026'!B787),"",'ENGAGEMENTS 2026'!J787)</f>
        <v/>
      </c>
      <c r="Q787">
        <f>IF($A787="","",IF(OR($E787="INFRUCTUEUX",$E787="ANNULE"),$A787&amp;"|"&amp;(COUNTIFS($A$2:$A787,$A787,$E$2:$E787,"INFRUCTUEUX")+COUNTIFS($A$2:$A787,$A787,$E$2:$E787,"ANNULE")),""))</f>
        <v/>
      </c>
    </row>
    <row r="788">
      <c r="A788">
        <f>IF(ISBLANK('ENGAGEMENTS 2026'!B788),"",IF('ENGAGEMENTS 2026'!B788="DTSI","DCT",'ENGAGEMENTS 2026'!B788))</f>
        <v/>
      </c>
      <c r="B788">
        <f>IF(ISBLANK('ENGAGEMENTS 2026'!B788),"",'ENGAGEMENTS 2026'!C788)</f>
        <v/>
      </c>
      <c r="C788">
        <f>IF(ISBLANK('ENGAGEMENTS 2026'!B788),"",'ENGAGEMENTS 2026'!D788)</f>
        <v/>
      </c>
      <c r="D788">
        <f>IF(ISBLANK('ENGAGEMENTS 2026'!B788),"",'ENGAGEMENTS 2026'!F788)</f>
        <v/>
      </c>
      <c r="E788">
        <f>IF(ISBLANK('ENGAGEMENTS 2026'!B788),"",'ENGAGEMENTS 2026'!H788)</f>
        <v/>
      </c>
      <c r="F788">
        <f>IF(ISBLANK('ENGAGEMENTS 2026'!B788),"",'ENGAGEMENTS 2026'!I788)</f>
        <v/>
      </c>
      <c r="G788">
        <f>IF(ISBLANK('ENGAGEMENTS 2026'!B788),"",'ENGAGEMENTS 2026'!L788)</f>
        <v/>
      </c>
      <c r="H788">
        <f>IF(ISBLANK('ENGAGEMENTS 2026'!B788),"",'ENGAGEMENTS 2026'!AE788)</f>
        <v/>
      </c>
      <c r="I788">
        <f>IF(ISBLANK('ENGAGEMENTS 2026'!B788),"",'ENGAGEMENTS 2026'!G788)</f>
        <v/>
      </c>
      <c r="J788" s="275">
        <f>IF(ISBLANK('ENGAGEMENTS 2026'!B788),"",IF(AND(OR($E788="INFRUCTUEUX",$E788="ANNULE"),$C788="AOO-M"),'ENGAGEMENTS 2026'!O788,IF($H788="EN COURS DE PREENGAGEMENT",'ENGAGEMENTS 2026'!N788,IF($H788="PREENGAGE",IF($E788="ATTRIBUE",'ENGAGEMENTS 2026'!AD788,'ENGAGEMENTS 2026'!N788),'ENGAGEMENTS 2026'!AD788))))</f>
        <v/>
      </c>
      <c r="K788" s="604">
        <f>IF(ISBLANK('ENGAGEMENTS 2026'!V788),"",'ENGAGEMENTS 2026'!V788)</f>
        <v/>
      </c>
      <c r="L788" s="276">
        <f>IF($K788="","",TODAY()-$K788)</f>
        <v/>
      </c>
      <c r="M788">
        <f>IF($A788="","",IF($H788="ENGAGE","Engagé",IF(AND($H788="NON ENGAGE",OR($I788="INFRUCTUEUX",$I788="ANNULE")),"Clôturé sans suite","En cours")))</f>
        <v/>
      </c>
      <c r="N788">
        <f>IF(ISBLANK('ENGAGEMENTS 2026'!B788),"",'ENGAGEMENTS 2026'!K788)</f>
        <v/>
      </c>
      <c r="O788">
        <f>IF(ISBLANK('ENGAGEMENTS 2026'!B788),"",'ENGAGEMENTS 2026'!L788)</f>
        <v/>
      </c>
      <c r="P788">
        <f>IF(ISBLANK('ENGAGEMENTS 2026'!B788),"",'ENGAGEMENTS 2026'!J788)</f>
        <v/>
      </c>
      <c r="Q788">
        <f>IF($A788="","",IF(OR($E788="INFRUCTUEUX",$E788="ANNULE"),$A788&amp;"|"&amp;(COUNTIFS($A$2:$A788,$A788,$E$2:$E788,"INFRUCTUEUX")+COUNTIFS($A$2:$A788,$A788,$E$2:$E788,"ANNULE")),""))</f>
        <v/>
      </c>
    </row>
    <row r="789">
      <c r="A789">
        <f>IF(ISBLANK('ENGAGEMENTS 2026'!B789),"",IF('ENGAGEMENTS 2026'!B789="DTSI","DCT",'ENGAGEMENTS 2026'!B789))</f>
        <v/>
      </c>
      <c r="B789">
        <f>IF(ISBLANK('ENGAGEMENTS 2026'!B789),"",'ENGAGEMENTS 2026'!C789)</f>
        <v/>
      </c>
      <c r="C789">
        <f>IF(ISBLANK('ENGAGEMENTS 2026'!B789),"",'ENGAGEMENTS 2026'!D789)</f>
        <v/>
      </c>
      <c r="D789">
        <f>IF(ISBLANK('ENGAGEMENTS 2026'!B789),"",'ENGAGEMENTS 2026'!F789)</f>
        <v/>
      </c>
      <c r="E789">
        <f>IF(ISBLANK('ENGAGEMENTS 2026'!B789),"",'ENGAGEMENTS 2026'!H789)</f>
        <v/>
      </c>
      <c r="F789">
        <f>IF(ISBLANK('ENGAGEMENTS 2026'!B789),"",'ENGAGEMENTS 2026'!I789)</f>
        <v/>
      </c>
      <c r="G789">
        <f>IF(ISBLANK('ENGAGEMENTS 2026'!B789),"",'ENGAGEMENTS 2026'!L789)</f>
        <v/>
      </c>
      <c r="H789">
        <f>IF(ISBLANK('ENGAGEMENTS 2026'!B789),"",'ENGAGEMENTS 2026'!AE789)</f>
        <v/>
      </c>
      <c r="I789">
        <f>IF(ISBLANK('ENGAGEMENTS 2026'!B789),"",'ENGAGEMENTS 2026'!G789)</f>
        <v/>
      </c>
      <c r="J789" s="275">
        <f>IF(ISBLANK('ENGAGEMENTS 2026'!B789),"",IF(AND(OR($E789="INFRUCTUEUX",$E789="ANNULE"),$C789="AOO-M"),'ENGAGEMENTS 2026'!O789,IF($H789="EN COURS DE PREENGAGEMENT",'ENGAGEMENTS 2026'!N789,IF($H789="PREENGAGE",IF($E789="ATTRIBUE",'ENGAGEMENTS 2026'!AD789,'ENGAGEMENTS 2026'!N789),'ENGAGEMENTS 2026'!AD789))))</f>
        <v/>
      </c>
      <c r="K789" s="604">
        <f>IF(ISBLANK('ENGAGEMENTS 2026'!V789),"",'ENGAGEMENTS 2026'!V789)</f>
        <v/>
      </c>
      <c r="L789" s="276">
        <f>IF($K789="","",TODAY()-$K789)</f>
        <v/>
      </c>
      <c r="M789">
        <f>IF($A789="","",IF($H789="ENGAGE","Engagé",IF(AND($H789="NON ENGAGE",OR($I789="INFRUCTUEUX",$I789="ANNULE")),"Clôturé sans suite","En cours")))</f>
        <v/>
      </c>
      <c r="N789">
        <f>IF(ISBLANK('ENGAGEMENTS 2026'!B789),"",'ENGAGEMENTS 2026'!K789)</f>
        <v/>
      </c>
      <c r="O789">
        <f>IF(ISBLANK('ENGAGEMENTS 2026'!B789),"",'ENGAGEMENTS 2026'!L789)</f>
        <v/>
      </c>
      <c r="P789">
        <f>IF(ISBLANK('ENGAGEMENTS 2026'!B789),"",'ENGAGEMENTS 2026'!J789)</f>
        <v/>
      </c>
      <c r="Q789">
        <f>IF($A789="","",IF(OR($E789="INFRUCTUEUX",$E789="ANNULE"),$A789&amp;"|"&amp;(COUNTIFS($A$2:$A789,$A789,$E$2:$E789,"INFRUCTUEUX")+COUNTIFS($A$2:$A789,$A789,$E$2:$E789,"ANNULE")),""))</f>
        <v/>
      </c>
    </row>
    <row r="790">
      <c r="A790">
        <f>IF(ISBLANK('ENGAGEMENTS 2026'!B790),"",IF('ENGAGEMENTS 2026'!B790="DTSI","DCT",'ENGAGEMENTS 2026'!B790))</f>
        <v/>
      </c>
      <c r="B790">
        <f>IF(ISBLANK('ENGAGEMENTS 2026'!B790),"",'ENGAGEMENTS 2026'!C790)</f>
        <v/>
      </c>
      <c r="C790">
        <f>IF(ISBLANK('ENGAGEMENTS 2026'!B790),"",'ENGAGEMENTS 2026'!D790)</f>
        <v/>
      </c>
      <c r="D790">
        <f>IF(ISBLANK('ENGAGEMENTS 2026'!B790),"",'ENGAGEMENTS 2026'!F790)</f>
        <v/>
      </c>
      <c r="E790">
        <f>IF(ISBLANK('ENGAGEMENTS 2026'!B790),"",'ENGAGEMENTS 2026'!H790)</f>
        <v/>
      </c>
      <c r="F790">
        <f>IF(ISBLANK('ENGAGEMENTS 2026'!B790),"",'ENGAGEMENTS 2026'!I790)</f>
        <v/>
      </c>
      <c r="G790">
        <f>IF(ISBLANK('ENGAGEMENTS 2026'!B790),"",'ENGAGEMENTS 2026'!L790)</f>
        <v/>
      </c>
      <c r="H790">
        <f>IF(ISBLANK('ENGAGEMENTS 2026'!B790),"",'ENGAGEMENTS 2026'!AE790)</f>
        <v/>
      </c>
      <c r="I790">
        <f>IF(ISBLANK('ENGAGEMENTS 2026'!B790),"",'ENGAGEMENTS 2026'!G790)</f>
        <v/>
      </c>
      <c r="J790" s="275">
        <f>IF(ISBLANK('ENGAGEMENTS 2026'!B790),"",IF(AND(OR($E790="INFRUCTUEUX",$E790="ANNULE"),$C790="AOO-M"),'ENGAGEMENTS 2026'!O790,IF($H790="EN COURS DE PREENGAGEMENT",'ENGAGEMENTS 2026'!N790,IF($H790="PREENGAGE",IF($E790="ATTRIBUE",'ENGAGEMENTS 2026'!AD790,'ENGAGEMENTS 2026'!N790),'ENGAGEMENTS 2026'!AD790))))</f>
        <v/>
      </c>
      <c r="K790" s="604">
        <f>IF(ISBLANK('ENGAGEMENTS 2026'!V790),"",'ENGAGEMENTS 2026'!V790)</f>
        <v/>
      </c>
      <c r="L790" s="276">
        <f>IF($K790="","",TODAY()-$K790)</f>
        <v/>
      </c>
      <c r="M790">
        <f>IF($A790="","",IF($H790="ENGAGE","Engagé",IF(AND($H790="NON ENGAGE",OR($I790="INFRUCTUEUX",$I790="ANNULE")),"Clôturé sans suite","En cours")))</f>
        <v/>
      </c>
      <c r="N790">
        <f>IF(ISBLANK('ENGAGEMENTS 2026'!B790),"",'ENGAGEMENTS 2026'!K790)</f>
        <v/>
      </c>
      <c r="O790">
        <f>IF(ISBLANK('ENGAGEMENTS 2026'!B790),"",'ENGAGEMENTS 2026'!L790)</f>
        <v/>
      </c>
      <c r="P790">
        <f>IF(ISBLANK('ENGAGEMENTS 2026'!B790),"",'ENGAGEMENTS 2026'!J790)</f>
        <v/>
      </c>
      <c r="Q790">
        <f>IF($A790="","",IF(OR($E790="INFRUCTUEUX",$E790="ANNULE"),$A790&amp;"|"&amp;(COUNTIFS($A$2:$A790,$A790,$E$2:$E790,"INFRUCTUEUX")+COUNTIFS($A$2:$A790,$A790,$E$2:$E790,"ANNULE")),""))</f>
        <v/>
      </c>
    </row>
    <row r="791">
      <c r="A791">
        <f>IF(ISBLANK('ENGAGEMENTS 2026'!B791),"",IF('ENGAGEMENTS 2026'!B791="DTSI","DCT",'ENGAGEMENTS 2026'!B791))</f>
        <v/>
      </c>
      <c r="B791">
        <f>IF(ISBLANK('ENGAGEMENTS 2026'!B791),"",'ENGAGEMENTS 2026'!C791)</f>
        <v/>
      </c>
      <c r="C791">
        <f>IF(ISBLANK('ENGAGEMENTS 2026'!B791),"",'ENGAGEMENTS 2026'!D791)</f>
        <v/>
      </c>
      <c r="D791">
        <f>IF(ISBLANK('ENGAGEMENTS 2026'!B791),"",'ENGAGEMENTS 2026'!F791)</f>
        <v/>
      </c>
      <c r="E791">
        <f>IF(ISBLANK('ENGAGEMENTS 2026'!B791),"",'ENGAGEMENTS 2026'!H791)</f>
        <v/>
      </c>
      <c r="F791">
        <f>IF(ISBLANK('ENGAGEMENTS 2026'!B791),"",'ENGAGEMENTS 2026'!I791)</f>
        <v/>
      </c>
      <c r="G791">
        <f>IF(ISBLANK('ENGAGEMENTS 2026'!B791),"",'ENGAGEMENTS 2026'!L791)</f>
        <v/>
      </c>
      <c r="H791">
        <f>IF(ISBLANK('ENGAGEMENTS 2026'!B791),"",'ENGAGEMENTS 2026'!AE791)</f>
        <v/>
      </c>
      <c r="I791">
        <f>IF(ISBLANK('ENGAGEMENTS 2026'!B791),"",'ENGAGEMENTS 2026'!G791)</f>
        <v/>
      </c>
      <c r="J791" s="275">
        <f>IF(ISBLANK('ENGAGEMENTS 2026'!B791),"",IF(AND(OR($E791="INFRUCTUEUX",$E791="ANNULE"),$C791="AOO-M"),'ENGAGEMENTS 2026'!O791,IF($H791="EN COURS DE PREENGAGEMENT",'ENGAGEMENTS 2026'!N791,IF($H791="PREENGAGE",IF($E791="ATTRIBUE",'ENGAGEMENTS 2026'!AD791,'ENGAGEMENTS 2026'!N791),'ENGAGEMENTS 2026'!AD791))))</f>
        <v/>
      </c>
      <c r="K791" s="604">
        <f>IF(ISBLANK('ENGAGEMENTS 2026'!V791),"",'ENGAGEMENTS 2026'!V791)</f>
        <v/>
      </c>
      <c r="L791" s="276">
        <f>IF($K791="","",TODAY()-$K791)</f>
        <v/>
      </c>
      <c r="M791">
        <f>IF($A791="","",IF($H791="ENGAGE","Engagé",IF(AND($H791="NON ENGAGE",OR($I791="INFRUCTUEUX",$I791="ANNULE")),"Clôturé sans suite","En cours")))</f>
        <v/>
      </c>
      <c r="N791">
        <f>IF(ISBLANK('ENGAGEMENTS 2026'!B791),"",'ENGAGEMENTS 2026'!K791)</f>
        <v/>
      </c>
      <c r="O791">
        <f>IF(ISBLANK('ENGAGEMENTS 2026'!B791),"",'ENGAGEMENTS 2026'!L791)</f>
        <v/>
      </c>
      <c r="P791">
        <f>IF(ISBLANK('ENGAGEMENTS 2026'!B791),"",'ENGAGEMENTS 2026'!J791)</f>
        <v/>
      </c>
      <c r="Q791">
        <f>IF($A791="","",IF(OR($E791="INFRUCTUEUX",$E791="ANNULE"),$A791&amp;"|"&amp;(COUNTIFS($A$2:$A791,$A791,$E$2:$E791,"INFRUCTUEUX")+COUNTIFS($A$2:$A791,$A791,$E$2:$E791,"ANNULE")),""))</f>
        <v/>
      </c>
    </row>
    <row r="792">
      <c r="A792">
        <f>IF(ISBLANK('ENGAGEMENTS 2026'!B792),"",IF('ENGAGEMENTS 2026'!B792="DTSI","DCT",'ENGAGEMENTS 2026'!B792))</f>
        <v/>
      </c>
      <c r="B792">
        <f>IF(ISBLANK('ENGAGEMENTS 2026'!B792),"",'ENGAGEMENTS 2026'!C792)</f>
        <v/>
      </c>
      <c r="C792">
        <f>IF(ISBLANK('ENGAGEMENTS 2026'!B792),"",'ENGAGEMENTS 2026'!D792)</f>
        <v/>
      </c>
      <c r="D792">
        <f>IF(ISBLANK('ENGAGEMENTS 2026'!B792),"",'ENGAGEMENTS 2026'!F792)</f>
        <v/>
      </c>
      <c r="E792">
        <f>IF(ISBLANK('ENGAGEMENTS 2026'!B792),"",'ENGAGEMENTS 2026'!H792)</f>
        <v/>
      </c>
      <c r="F792">
        <f>IF(ISBLANK('ENGAGEMENTS 2026'!B792),"",'ENGAGEMENTS 2026'!I792)</f>
        <v/>
      </c>
      <c r="G792">
        <f>IF(ISBLANK('ENGAGEMENTS 2026'!B792),"",'ENGAGEMENTS 2026'!L792)</f>
        <v/>
      </c>
      <c r="H792">
        <f>IF(ISBLANK('ENGAGEMENTS 2026'!B792),"",'ENGAGEMENTS 2026'!AE792)</f>
        <v/>
      </c>
      <c r="I792">
        <f>IF(ISBLANK('ENGAGEMENTS 2026'!B792),"",'ENGAGEMENTS 2026'!G792)</f>
        <v/>
      </c>
      <c r="J792" s="275">
        <f>IF(ISBLANK('ENGAGEMENTS 2026'!B792),"",IF(AND(OR($E792="INFRUCTUEUX",$E792="ANNULE"),$C792="AOO-M"),'ENGAGEMENTS 2026'!O792,IF($H792="EN COURS DE PREENGAGEMENT",'ENGAGEMENTS 2026'!N792,IF($H792="PREENGAGE",IF($E792="ATTRIBUE",'ENGAGEMENTS 2026'!AD792,'ENGAGEMENTS 2026'!N792),'ENGAGEMENTS 2026'!AD792))))</f>
        <v/>
      </c>
      <c r="K792" s="604">
        <f>IF(ISBLANK('ENGAGEMENTS 2026'!V792),"",'ENGAGEMENTS 2026'!V792)</f>
        <v/>
      </c>
      <c r="L792" s="276">
        <f>IF($K792="","",TODAY()-$K792)</f>
        <v/>
      </c>
      <c r="M792">
        <f>IF($A792="","",IF($H792="ENGAGE","Engagé",IF(AND($H792="NON ENGAGE",OR($I792="INFRUCTUEUX",$I792="ANNULE")),"Clôturé sans suite","En cours")))</f>
        <v/>
      </c>
      <c r="N792">
        <f>IF(ISBLANK('ENGAGEMENTS 2026'!B792),"",'ENGAGEMENTS 2026'!K792)</f>
        <v/>
      </c>
      <c r="O792">
        <f>IF(ISBLANK('ENGAGEMENTS 2026'!B792),"",'ENGAGEMENTS 2026'!L792)</f>
        <v/>
      </c>
      <c r="P792">
        <f>IF(ISBLANK('ENGAGEMENTS 2026'!B792),"",'ENGAGEMENTS 2026'!J792)</f>
        <v/>
      </c>
      <c r="Q792">
        <f>IF($A792="","",IF(OR($E792="INFRUCTUEUX",$E792="ANNULE"),$A792&amp;"|"&amp;(COUNTIFS($A$2:$A792,$A792,$E$2:$E792,"INFRUCTUEUX")+COUNTIFS($A$2:$A792,$A792,$E$2:$E792,"ANNULE")),""))</f>
        <v/>
      </c>
    </row>
    <row r="793">
      <c r="A793">
        <f>IF(ISBLANK('ENGAGEMENTS 2026'!B793),"",IF('ENGAGEMENTS 2026'!B793="DTSI","DCT",'ENGAGEMENTS 2026'!B793))</f>
        <v/>
      </c>
      <c r="B793">
        <f>IF(ISBLANK('ENGAGEMENTS 2026'!B793),"",'ENGAGEMENTS 2026'!C793)</f>
        <v/>
      </c>
      <c r="C793">
        <f>IF(ISBLANK('ENGAGEMENTS 2026'!B793),"",'ENGAGEMENTS 2026'!D793)</f>
        <v/>
      </c>
      <c r="D793">
        <f>IF(ISBLANK('ENGAGEMENTS 2026'!B793),"",'ENGAGEMENTS 2026'!F793)</f>
        <v/>
      </c>
      <c r="E793">
        <f>IF(ISBLANK('ENGAGEMENTS 2026'!B793),"",'ENGAGEMENTS 2026'!H793)</f>
        <v/>
      </c>
      <c r="F793">
        <f>IF(ISBLANK('ENGAGEMENTS 2026'!B793),"",'ENGAGEMENTS 2026'!I793)</f>
        <v/>
      </c>
      <c r="G793">
        <f>IF(ISBLANK('ENGAGEMENTS 2026'!B793),"",'ENGAGEMENTS 2026'!L793)</f>
        <v/>
      </c>
      <c r="H793">
        <f>IF(ISBLANK('ENGAGEMENTS 2026'!B793),"",'ENGAGEMENTS 2026'!AE793)</f>
        <v/>
      </c>
      <c r="I793">
        <f>IF(ISBLANK('ENGAGEMENTS 2026'!B793),"",'ENGAGEMENTS 2026'!G793)</f>
        <v/>
      </c>
      <c r="J793" s="275">
        <f>IF(ISBLANK('ENGAGEMENTS 2026'!B793),"",IF(AND(OR($E793="INFRUCTUEUX",$E793="ANNULE"),$C793="AOO-M"),'ENGAGEMENTS 2026'!O793,IF($H793="EN COURS DE PREENGAGEMENT",'ENGAGEMENTS 2026'!N793,IF($H793="PREENGAGE",IF($E793="ATTRIBUE",'ENGAGEMENTS 2026'!AD793,'ENGAGEMENTS 2026'!N793),'ENGAGEMENTS 2026'!AD793))))</f>
        <v/>
      </c>
      <c r="K793" s="604">
        <f>IF(ISBLANK('ENGAGEMENTS 2026'!V793),"",'ENGAGEMENTS 2026'!V793)</f>
        <v/>
      </c>
      <c r="L793" s="276">
        <f>IF($K793="","",TODAY()-$K793)</f>
        <v/>
      </c>
      <c r="M793">
        <f>IF($A793="","",IF($H793="ENGAGE","Engagé",IF(AND($H793="NON ENGAGE",OR($I793="INFRUCTUEUX",$I793="ANNULE")),"Clôturé sans suite","En cours")))</f>
        <v/>
      </c>
      <c r="N793">
        <f>IF(ISBLANK('ENGAGEMENTS 2026'!B793),"",'ENGAGEMENTS 2026'!K793)</f>
        <v/>
      </c>
      <c r="O793">
        <f>IF(ISBLANK('ENGAGEMENTS 2026'!B793),"",'ENGAGEMENTS 2026'!L793)</f>
        <v/>
      </c>
      <c r="P793">
        <f>IF(ISBLANK('ENGAGEMENTS 2026'!B793),"",'ENGAGEMENTS 2026'!J793)</f>
        <v/>
      </c>
      <c r="Q793">
        <f>IF($A793="","",IF(OR($E793="INFRUCTUEUX",$E793="ANNULE"),$A793&amp;"|"&amp;(COUNTIFS($A$2:$A793,$A793,$E$2:$E793,"INFRUCTUEUX")+COUNTIFS($A$2:$A793,$A793,$E$2:$E793,"ANNULE")),""))</f>
        <v/>
      </c>
    </row>
    <row r="794">
      <c r="A794">
        <f>IF(ISBLANK('ENGAGEMENTS 2026'!B794),"",IF('ENGAGEMENTS 2026'!B794="DTSI","DCT",'ENGAGEMENTS 2026'!B794))</f>
        <v/>
      </c>
      <c r="B794">
        <f>IF(ISBLANK('ENGAGEMENTS 2026'!B794),"",'ENGAGEMENTS 2026'!C794)</f>
        <v/>
      </c>
      <c r="C794">
        <f>IF(ISBLANK('ENGAGEMENTS 2026'!B794),"",'ENGAGEMENTS 2026'!D794)</f>
        <v/>
      </c>
      <c r="D794">
        <f>IF(ISBLANK('ENGAGEMENTS 2026'!B794),"",'ENGAGEMENTS 2026'!F794)</f>
        <v/>
      </c>
      <c r="E794">
        <f>IF(ISBLANK('ENGAGEMENTS 2026'!B794),"",'ENGAGEMENTS 2026'!H794)</f>
        <v/>
      </c>
      <c r="F794">
        <f>IF(ISBLANK('ENGAGEMENTS 2026'!B794),"",'ENGAGEMENTS 2026'!I794)</f>
        <v/>
      </c>
      <c r="G794">
        <f>IF(ISBLANK('ENGAGEMENTS 2026'!B794),"",'ENGAGEMENTS 2026'!L794)</f>
        <v/>
      </c>
      <c r="H794">
        <f>IF(ISBLANK('ENGAGEMENTS 2026'!B794),"",'ENGAGEMENTS 2026'!AE794)</f>
        <v/>
      </c>
      <c r="I794">
        <f>IF(ISBLANK('ENGAGEMENTS 2026'!B794),"",'ENGAGEMENTS 2026'!G794)</f>
        <v/>
      </c>
      <c r="J794" s="275">
        <f>IF(ISBLANK('ENGAGEMENTS 2026'!B794),"",IF(AND(OR($E794="INFRUCTUEUX",$E794="ANNULE"),$C794="AOO-M"),'ENGAGEMENTS 2026'!O794,IF($H794="EN COURS DE PREENGAGEMENT",'ENGAGEMENTS 2026'!N794,IF($H794="PREENGAGE",IF($E794="ATTRIBUE",'ENGAGEMENTS 2026'!AD794,'ENGAGEMENTS 2026'!N794),'ENGAGEMENTS 2026'!AD794))))</f>
        <v/>
      </c>
      <c r="K794" s="604">
        <f>IF(ISBLANK('ENGAGEMENTS 2026'!V794),"",'ENGAGEMENTS 2026'!V794)</f>
        <v/>
      </c>
      <c r="L794" s="276">
        <f>IF($K794="","",TODAY()-$K794)</f>
        <v/>
      </c>
      <c r="M794">
        <f>IF($A794="","",IF($H794="ENGAGE","Engagé",IF(AND($H794="NON ENGAGE",OR($I794="INFRUCTUEUX",$I794="ANNULE")),"Clôturé sans suite","En cours")))</f>
        <v/>
      </c>
      <c r="N794">
        <f>IF(ISBLANK('ENGAGEMENTS 2026'!B794),"",'ENGAGEMENTS 2026'!K794)</f>
        <v/>
      </c>
      <c r="O794">
        <f>IF(ISBLANK('ENGAGEMENTS 2026'!B794),"",'ENGAGEMENTS 2026'!L794)</f>
        <v/>
      </c>
      <c r="P794">
        <f>IF(ISBLANK('ENGAGEMENTS 2026'!B794),"",'ENGAGEMENTS 2026'!J794)</f>
        <v/>
      </c>
      <c r="Q794">
        <f>IF($A794="","",IF(OR($E794="INFRUCTUEUX",$E794="ANNULE"),$A794&amp;"|"&amp;(COUNTIFS($A$2:$A794,$A794,$E$2:$E794,"INFRUCTUEUX")+COUNTIFS($A$2:$A794,$A794,$E$2:$E794,"ANNULE")),""))</f>
        <v/>
      </c>
    </row>
    <row r="795">
      <c r="A795">
        <f>IF(ISBLANK('ENGAGEMENTS 2026'!B795),"",IF('ENGAGEMENTS 2026'!B795="DTSI","DCT",'ENGAGEMENTS 2026'!B795))</f>
        <v/>
      </c>
      <c r="B795">
        <f>IF(ISBLANK('ENGAGEMENTS 2026'!B795),"",'ENGAGEMENTS 2026'!C795)</f>
        <v/>
      </c>
      <c r="C795">
        <f>IF(ISBLANK('ENGAGEMENTS 2026'!B795),"",'ENGAGEMENTS 2026'!D795)</f>
        <v/>
      </c>
      <c r="D795">
        <f>IF(ISBLANK('ENGAGEMENTS 2026'!B795),"",'ENGAGEMENTS 2026'!F795)</f>
        <v/>
      </c>
      <c r="E795">
        <f>IF(ISBLANK('ENGAGEMENTS 2026'!B795),"",'ENGAGEMENTS 2026'!H795)</f>
        <v/>
      </c>
      <c r="F795">
        <f>IF(ISBLANK('ENGAGEMENTS 2026'!B795),"",'ENGAGEMENTS 2026'!I795)</f>
        <v/>
      </c>
      <c r="G795">
        <f>IF(ISBLANK('ENGAGEMENTS 2026'!B795),"",'ENGAGEMENTS 2026'!L795)</f>
        <v/>
      </c>
      <c r="H795">
        <f>IF(ISBLANK('ENGAGEMENTS 2026'!B795),"",'ENGAGEMENTS 2026'!AE795)</f>
        <v/>
      </c>
      <c r="I795">
        <f>IF(ISBLANK('ENGAGEMENTS 2026'!B795),"",'ENGAGEMENTS 2026'!G795)</f>
        <v/>
      </c>
      <c r="J795" s="275">
        <f>IF(ISBLANK('ENGAGEMENTS 2026'!B795),"",IF(AND(OR($E795="INFRUCTUEUX",$E795="ANNULE"),$C795="AOO-M"),'ENGAGEMENTS 2026'!O795,IF($H795="EN COURS DE PREENGAGEMENT",'ENGAGEMENTS 2026'!N795,IF($H795="PREENGAGE",IF($E795="ATTRIBUE",'ENGAGEMENTS 2026'!AD795,'ENGAGEMENTS 2026'!N795),'ENGAGEMENTS 2026'!AD795))))</f>
        <v/>
      </c>
      <c r="K795" s="604">
        <f>IF(ISBLANK('ENGAGEMENTS 2026'!V795),"",'ENGAGEMENTS 2026'!V795)</f>
        <v/>
      </c>
      <c r="L795" s="276">
        <f>IF($K795="","",TODAY()-$K795)</f>
        <v/>
      </c>
      <c r="M795">
        <f>IF($A795="","",IF($H795="ENGAGE","Engagé",IF(AND($H795="NON ENGAGE",OR($I795="INFRUCTUEUX",$I795="ANNULE")),"Clôturé sans suite","En cours")))</f>
        <v/>
      </c>
      <c r="N795">
        <f>IF(ISBLANK('ENGAGEMENTS 2026'!B795),"",'ENGAGEMENTS 2026'!K795)</f>
        <v/>
      </c>
      <c r="O795">
        <f>IF(ISBLANK('ENGAGEMENTS 2026'!B795),"",'ENGAGEMENTS 2026'!L795)</f>
        <v/>
      </c>
      <c r="P795">
        <f>IF(ISBLANK('ENGAGEMENTS 2026'!B795),"",'ENGAGEMENTS 2026'!J795)</f>
        <v/>
      </c>
      <c r="Q795">
        <f>IF($A795="","",IF(OR($E795="INFRUCTUEUX",$E795="ANNULE"),$A795&amp;"|"&amp;(COUNTIFS($A$2:$A795,$A795,$E$2:$E795,"INFRUCTUEUX")+COUNTIFS($A$2:$A795,$A795,$E$2:$E795,"ANNULE")),""))</f>
        <v/>
      </c>
    </row>
    <row r="796">
      <c r="A796">
        <f>IF(ISBLANK('ENGAGEMENTS 2026'!B796),"",IF('ENGAGEMENTS 2026'!B796="DTSI","DCT",'ENGAGEMENTS 2026'!B796))</f>
        <v/>
      </c>
      <c r="B796">
        <f>IF(ISBLANK('ENGAGEMENTS 2026'!B796),"",'ENGAGEMENTS 2026'!C796)</f>
        <v/>
      </c>
      <c r="C796">
        <f>IF(ISBLANK('ENGAGEMENTS 2026'!B796),"",'ENGAGEMENTS 2026'!D796)</f>
        <v/>
      </c>
      <c r="D796">
        <f>IF(ISBLANK('ENGAGEMENTS 2026'!B796),"",'ENGAGEMENTS 2026'!F796)</f>
        <v/>
      </c>
      <c r="E796">
        <f>IF(ISBLANK('ENGAGEMENTS 2026'!B796),"",'ENGAGEMENTS 2026'!H796)</f>
        <v/>
      </c>
      <c r="F796">
        <f>IF(ISBLANK('ENGAGEMENTS 2026'!B796),"",'ENGAGEMENTS 2026'!I796)</f>
        <v/>
      </c>
      <c r="G796">
        <f>IF(ISBLANK('ENGAGEMENTS 2026'!B796),"",'ENGAGEMENTS 2026'!L796)</f>
        <v/>
      </c>
      <c r="H796">
        <f>IF(ISBLANK('ENGAGEMENTS 2026'!B796),"",'ENGAGEMENTS 2026'!AE796)</f>
        <v/>
      </c>
      <c r="I796">
        <f>IF(ISBLANK('ENGAGEMENTS 2026'!B796),"",'ENGAGEMENTS 2026'!G796)</f>
        <v/>
      </c>
      <c r="J796" s="275">
        <f>IF(ISBLANK('ENGAGEMENTS 2026'!B796),"",IF(AND(OR($E796="INFRUCTUEUX",$E796="ANNULE"),$C796="AOO-M"),'ENGAGEMENTS 2026'!O796,IF($H796="EN COURS DE PREENGAGEMENT",'ENGAGEMENTS 2026'!N796,IF($H796="PREENGAGE",IF($E796="ATTRIBUE",'ENGAGEMENTS 2026'!AD796,'ENGAGEMENTS 2026'!N796),'ENGAGEMENTS 2026'!AD796))))</f>
        <v/>
      </c>
      <c r="K796" s="604">
        <f>IF(ISBLANK('ENGAGEMENTS 2026'!V796),"",'ENGAGEMENTS 2026'!V796)</f>
        <v/>
      </c>
      <c r="L796" s="276">
        <f>IF($K796="","",TODAY()-$K796)</f>
        <v/>
      </c>
      <c r="M796">
        <f>IF($A796="","",IF($H796="ENGAGE","Engagé",IF(AND($H796="NON ENGAGE",OR($I796="INFRUCTUEUX",$I796="ANNULE")),"Clôturé sans suite","En cours")))</f>
        <v/>
      </c>
      <c r="N796">
        <f>IF(ISBLANK('ENGAGEMENTS 2026'!B796),"",'ENGAGEMENTS 2026'!K796)</f>
        <v/>
      </c>
      <c r="O796">
        <f>IF(ISBLANK('ENGAGEMENTS 2026'!B796),"",'ENGAGEMENTS 2026'!L796)</f>
        <v/>
      </c>
      <c r="P796">
        <f>IF(ISBLANK('ENGAGEMENTS 2026'!B796),"",'ENGAGEMENTS 2026'!J796)</f>
        <v/>
      </c>
      <c r="Q796">
        <f>IF($A796="","",IF(OR($E796="INFRUCTUEUX",$E796="ANNULE"),$A796&amp;"|"&amp;(COUNTIFS($A$2:$A796,$A796,$E$2:$E796,"INFRUCTUEUX")+COUNTIFS($A$2:$A796,$A796,$E$2:$E796,"ANNULE")),""))</f>
        <v/>
      </c>
    </row>
    <row r="797">
      <c r="A797">
        <f>IF(ISBLANK('ENGAGEMENTS 2026'!B797),"",IF('ENGAGEMENTS 2026'!B797="DTSI","DCT",'ENGAGEMENTS 2026'!B797))</f>
        <v/>
      </c>
      <c r="B797">
        <f>IF(ISBLANK('ENGAGEMENTS 2026'!B797),"",'ENGAGEMENTS 2026'!C797)</f>
        <v/>
      </c>
      <c r="C797">
        <f>IF(ISBLANK('ENGAGEMENTS 2026'!B797),"",'ENGAGEMENTS 2026'!D797)</f>
        <v/>
      </c>
      <c r="D797">
        <f>IF(ISBLANK('ENGAGEMENTS 2026'!B797),"",'ENGAGEMENTS 2026'!F797)</f>
        <v/>
      </c>
      <c r="E797">
        <f>IF(ISBLANK('ENGAGEMENTS 2026'!B797),"",'ENGAGEMENTS 2026'!H797)</f>
        <v/>
      </c>
      <c r="F797">
        <f>IF(ISBLANK('ENGAGEMENTS 2026'!B797),"",'ENGAGEMENTS 2026'!I797)</f>
        <v/>
      </c>
      <c r="G797">
        <f>IF(ISBLANK('ENGAGEMENTS 2026'!B797),"",'ENGAGEMENTS 2026'!L797)</f>
        <v/>
      </c>
      <c r="H797">
        <f>IF(ISBLANK('ENGAGEMENTS 2026'!B797),"",'ENGAGEMENTS 2026'!AE797)</f>
        <v/>
      </c>
      <c r="I797">
        <f>IF(ISBLANK('ENGAGEMENTS 2026'!B797),"",'ENGAGEMENTS 2026'!G797)</f>
        <v/>
      </c>
      <c r="J797" s="275">
        <f>IF(ISBLANK('ENGAGEMENTS 2026'!B797),"",IF(AND(OR($E797="INFRUCTUEUX",$E797="ANNULE"),$C797="AOO-M"),'ENGAGEMENTS 2026'!O797,IF($H797="EN COURS DE PREENGAGEMENT",'ENGAGEMENTS 2026'!N797,IF($H797="PREENGAGE",IF($E797="ATTRIBUE",'ENGAGEMENTS 2026'!AD797,'ENGAGEMENTS 2026'!N797),'ENGAGEMENTS 2026'!AD797))))</f>
        <v/>
      </c>
      <c r="K797" s="604">
        <f>IF(ISBLANK('ENGAGEMENTS 2026'!V797),"",'ENGAGEMENTS 2026'!V797)</f>
        <v/>
      </c>
      <c r="L797" s="276">
        <f>IF($K797="","",TODAY()-$K797)</f>
        <v/>
      </c>
      <c r="M797">
        <f>IF($A797="","",IF($H797="ENGAGE","Engagé",IF(AND($H797="NON ENGAGE",OR($I797="INFRUCTUEUX",$I797="ANNULE")),"Clôturé sans suite","En cours")))</f>
        <v/>
      </c>
      <c r="N797">
        <f>IF(ISBLANK('ENGAGEMENTS 2026'!B797),"",'ENGAGEMENTS 2026'!K797)</f>
        <v/>
      </c>
      <c r="O797">
        <f>IF(ISBLANK('ENGAGEMENTS 2026'!B797),"",'ENGAGEMENTS 2026'!L797)</f>
        <v/>
      </c>
      <c r="P797">
        <f>IF(ISBLANK('ENGAGEMENTS 2026'!B797),"",'ENGAGEMENTS 2026'!J797)</f>
        <v/>
      </c>
      <c r="Q797">
        <f>IF($A797="","",IF(OR($E797="INFRUCTUEUX",$E797="ANNULE"),$A797&amp;"|"&amp;(COUNTIFS($A$2:$A797,$A797,$E$2:$E797,"INFRUCTUEUX")+COUNTIFS($A$2:$A797,$A797,$E$2:$E797,"ANNULE")),""))</f>
        <v/>
      </c>
    </row>
    <row r="798">
      <c r="A798">
        <f>IF(ISBLANK('ENGAGEMENTS 2026'!B798),"",IF('ENGAGEMENTS 2026'!B798="DTSI","DCT",'ENGAGEMENTS 2026'!B798))</f>
        <v/>
      </c>
      <c r="B798">
        <f>IF(ISBLANK('ENGAGEMENTS 2026'!B798),"",'ENGAGEMENTS 2026'!C798)</f>
        <v/>
      </c>
      <c r="C798">
        <f>IF(ISBLANK('ENGAGEMENTS 2026'!B798),"",'ENGAGEMENTS 2026'!D798)</f>
        <v/>
      </c>
      <c r="D798">
        <f>IF(ISBLANK('ENGAGEMENTS 2026'!B798),"",'ENGAGEMENTS 2026'!F798)</f>
        <v/>
      </c>
      <c r="E798">
        <f>IF(ISBLANK('ENGAGEMENTS 2026'!B798),"",'ENGAGEMENTS 2026'!H798)</f>
        <v/>
      </c>
      <c r="F798">
        <f>IF(ISBLANK('ENGAGEMENTS 2026'!B798),"",'ENGAGEMENTS 2026'!I798)</f>
        <v/>
      </c>
      <c r="G798">
        <f>IF(ISBLANK('ENGAGEMENTS 2026'!B798),"",'ENGAGEMENTS 2026'!L798)</f>
        <v/>
      </c>
      <c r="H798">
        <f>IF(ISBLANK('ENGAGEMENTS 2026'!B798),"",'ENGAGEMENTS 2026'!AE798)</f>
        <v/>
      </c>
      <c r="I798">
        <f>IF(ISBLANK('ENGAGEMENTS 2026'!B798),"",'ENGAGEMENTS 2026'!G798)</f>
        <v/>
      </c>
      <c r="J798" s="275">
        <f>IF(ISBLANK('ENGAGEMENTS 2026'!B798),"",IF(AND(OR($E798="INFRUCTUEUX",$E798="ANNULE"),$C798="AOO-M"),'ENGAGEMENTS 2026'!O798,IF($H798="EN COURS DE PREENGAGEMENT",'ENGAGEMENTS 2026'!N798,IF($H798="PREENGAGE",IF($E798="ATTRIBUE",'ENGAGEMENTS 2026'!AD798,'ENGAGEMENTS 2026'!N798),'ENGAGEMENTS 2026'!AD798))))</f>
        <v/>
      </c>
      <c r="K798" s="604">
        <f>IF(ISBLANK('ENGAGEMENTS 2026'!V798),"",'ENGAGEMENTS 2026'!V798)</f>
        <v/>
      </c>
      <c r="L798" s="276">
        <f>IF($K798="","",TODAY()-$K798)</f>
        <v/>
      </c>
      <c r="M798">
        <f>IF($A798="","",IF($H798="ENGAGE","Engagé",IF(AND($H798="NON ENGAGE",OR($I798="INFRUCTUEUX",$I798="ANNULE")),"Clôturé sans suite","En cours")))</f>
        <v/>
      </c>
      <c r="N798">
        <f>IF(ISBLANK('ENGAGEMENTS 2026'!B798),"",'ENGAGEMENTS 2026'!K798)</f>
        <v/>
      </c>
      <c r="O798">
        <f>IF(ISBLANK('ENGAGEMENTS 2026'!B798),"",'ENGAGEMENTS 2026'!L798)</f>
        <v/>
      </c>
      <c r="P798">
        <f>IF(ISBLANK('ENGAGEMENTS 2026'!B798),"",'ENGAGEMENTS 2026'!J798)</f>
        <v/>
      </c>
      <c r="Q798">
        <f>IF($A798="","",IF(OR($E798="INFRUCTUEUX",$E798="ANNULE"),$A798&amp;"|"&amp;(COUNTIFS($A$2:$A798,$A798,$E$2:$E798,"INFRUCTUEUX")+COUNTIFS($A$2:$A798,$A798,$E$2:$E798,"ANNULE")),""))</f>
        <v/>
      </c>
    </row>
    <row r="799">
      <c r="A799">
        <f>IF(ISBLANK('ENGAGEMENTS 2026'!B799),"",IF('ENGAGEMENTS 2026'!B799="DTSI","DCT",'ENGAGEMENTS 2026'!B799))</f>
        <v/>
      </c>
      <c r="B799">
        <f>IF(ISBLANK('ENGAGEMENTS 2026'!B799),"",'ENGAGEMENTS 2026'!C799)</f>
        <v/>
      </c>
      <c r="C799">
        <f>IF(ISBLANK('ENGAGEMENTS 2026'!B799),"",'ENGAGEMENTS 2026'!D799)</f>
        <v/>
      </c>
      <c r="D799">
        <f>IF(ISBLANK('ENGAGEMENTS 2026'!B799),"",'ENGAGEMENTS 2026'!F799)</f>
        <v/>
      </c>
      <c r="E799">
        <f>IF(ISBLANK('ENGAGEMENTS 2026'!B799),"",'ENGAGEMENTS 2026'!H799)</f>
        <v/>
      </c>
      <c r="F799">
        <f>IF(ISBLANK('ENGAGEMENTS 2026'!B799),"",'ENGAGEMENTS 2026'!I799)</f>
        <v/>
      </c>
      <c r="G799">
        <f>IF(ISBLANK('ENGAGEMENTS 2026'!B799),"",'ENGAGEMENTS 2026'!L799)</f>
        <v/>
      </c>
      <c r="H799">
        <f>IF(ISBLANK('ENGAGEMENTS 2026'!B799),"",'ENGAGEMENTS 2026'!AE799)</f>
        <v/>
      </c>
      <c r="I799">
        <f>IF(ISBLANK('ENGAGEMENTS 2026'!B799),"",'ENGAGEMENTS 2026'!G799)</f>
        <v/>
      </c>
      <c r="J799" s="275">
        <f>IF(ISBLANK('ENGAGEMENTS 2026'!B799),"",IF(AND(OR($E799="INFRUCTUEUX",$E799="ANNULE"),$C799="AOO-M"),'ENGAGEMENTS 2026'!O799,IF($H799="EN COURS DE PREENGAGEMENT",'ENGAGEMENTS 2026'!N799,IF($H799="PREENGAGE",IF($E799="ATTRIBUE",'ENGAGEMENTS 2026'!AD799,'ENGAGEMENTS 2026'!N799),'ENGAGEMENTS 2026'!AD799))))</f>
        <v/>
      </c>
      <c r="K799" s="604">
        <f>IF(ISBLANK('ENGAGEMENTS 2026'!V799),"",'ENGAGEMENTS 2026'!V799)</f>
        <v/>
      </c>
      <c r="L799" s="276">
        <f>IF($K799="","",TODAY()-$K799)</f>
        <v/>
      </c>
      <c r="M799">
        <f>IF($A799="","",IF($H799="ENGAGE","Engagé",IF(AND($H799="NON ENGAGE",OR($I799="INFRUCTUEUX",$I799="ANNULE")),"Clôturé sans suite","En cours")))</f>
        <v/>
      </c>
      <c r="N799">
        <f>IF(ISBLANK('ENGAGEMENTS 2026'!B799),"",'ENGAGEMENTS 2026'!K799)</f>
        <v/>
      </c>
      <c r="O799">
        <f>IF(ISBLANK('ENGAGEMENTS 2026'!B799),"",'ENGAGEMENTS 2026'!L799)</f>
        <v/>
      </c>
      <c r="P799">
        <f>IF(ISBLANK('ENGAGEMENTS 2026'!B799),"",'ENGAGEMENTS 2026'!J799)</f>
        <v/>
      </c>
      <c r="Q799">
        <f>IF($A799="","",IF(OR($E799="INFRUCTUEUX",$E799="ANNULE"),$A799&amp;"|"&amp;(COUNTIFS($A$2:$A799,$A799,$E$2:$E799,"INFRUCTUEUX")+COUNTIFS($A$2:$A799,$A799,$E$2:$E799,"ANNULE")),""))</f>
        <v/>
      </c>
    </row>
    <row r="800">
      <c r="A800">
        <f>IF(ISBLANK('ENGAGEMENTS 2026'!B800),"",IF('ENGAGEMENTS 2026'!B800="DTSI","DCT",'ENGAGEMENTS 2026'!B800))</f>
        <v/>
      </c>
      <c r="B800">
        <f>IF(ISBLANK('ENGAGEMENTS 2026'!B800),"",'ENGAGEMENTS 2026'!C800)</f>
        <v/>
      </c>
      <c r="C800">
        <f>IF(ISBLANK('ENGAGEMENTS 2026'!B800),"",'ENGAGEMENTS 2026'!D800)</f>
        <v/>
      </c>
      <c r="D800">
        <f>IF(ISBLANK('ENGAGEMENTS 2026'!B800),"",'ENGAGEMENTS 2026'!F800)</f>
        <v/>
      </c>
      <c r="E800">
        <f>IF(ISBLANK('ENGAGEMENTS 2026'!B800),"",'ENGAGEMENTS 2026'!H800)</f>
        <v/>
      </c>
      <c r="F800">
        <f>IF(ISBLANK('ENGAGEMENTS 2026'!B800),"",'ENGAGEMENTS 2026'!I800)</f>
        <v/>
      </c>
      <c r="G800">
        <f>IF(ISBLANK('ENGAGEMENTS 2026'!B800),"",'ENGAGEMENTS 2026'!L800)</f>
        <v/>
      </c>
      <c r="H800">
        <f>IF(ISBLANK('ENGAGEMENTS 2026'!B800),"",'ENGAGEMENTS 2026'!AE800)</f>
        <v/>
      </c>
      <c r="I800">
        <f>IF(ISBLANK('ENGAGEMENTS 2026'!B800),"",'ENGAGEMENTS 2026'!G800)</f>
        <v/>
      </c>
      <c r="J800" s="275">
        <f>IF(ISBLANK('ENGAGEMENTS 2026'!B800),"",IF(AND(OR($E800="INFRUCTUEUX",$E800="ANNULE"),$C800="AOO-M"),'ENGAGEMENTS 2026'!O800,IF($H800="EN COURS DE PREENGAGEMENT",'ENGAGEMENTS 2026'!N800,IF($H800="PREENGAGE",IF($E800="ATTRIBUE",'ENGAGEMENTS 2026'!AD800,'ENGAGEMENTS 2026'!N800),'ENGAGEMENTS 2026'!AD800))))</f>
        <v/>
      </c>
      <c r="K800" s="604">
        <f>IF(ISBLANK('ENGAGEMENTS 2026'!V800),"",'ENGAGEMENTS 2026'!V800)</f>
        <v/>
      </c>
      <c r="L800" s="276">
        <f>IF($K800="","",TODAY()-$K800)</f>
        <v/>
      </c>
      <c r="M800">
        <f>IF($A800="","",IF($H800="ENGAGE","Engagé",IF(AND($H800="NON ENGAGE",OR($I800="INFRUCTUEUX",$I800="ANNULE")),"Clôturé sans suite","En cours")))</f>
        <v/>
      </c>
      <c r="N800">
        <f>IF(ISBLANK('ENGAGEMENTS 2026'!B800),"",'ENGAGEMENTS 2026'!K800)</f>
        <v/>
      </c>
      <c r="O800">
        <f>IF(ISBLANK('ENGAGEMENTS 2026'!B800),"",'ENGAGEMENTS 2026'!L800)</f>
        <v/>
      </c>
      <c r="P800">
        <f>IF(ISBLANK('ENGAGEMENTS 2026'!B800),"",'ENGAGEMENTS 2026'!J800)</f>
        <v/>
      </c>
      <c r="Q800">
        <f>IF($A800="","",IF(OR($E800="INFRUCTUEUX",$E800="ANNULE"),$A800&amp;"|"&amp;(COUNTIFS($A$2:$A800,$A800,$E$2:$E800,"INFRUCTUEUX")+COUNTIFS($A$2:$A800,$A800,$E$2:$E800,"ANNULE")),""))</f>
        <v/>
      </c>
    </row>
    <row r="801">
      <c r="A801">
        <f>IF(ISBLANK('ENGAGEMENTS 2026'!B801),"",IF('ENGAGEMENTS 2026'!B801="DTSI","DCT",'ENGAGEMENTS 2026'!B801))</f>
        <v/>
      </c>
      <c r="B801">
        <f>IF(ISBLANK('ENGAGEMENTS 2026'!B801),"",'ENGAGEMENTS 2026'!C801)</f>
        <v/>
      </c>
      <c r="C801">
        <f>IF(ISBLANK('ENGAGEMENTS 2026'!B801),"",'ENGAGEMENTS 2026'!D801)</f>
        <v/>
      </c>
      <c r="D801">
        <f>IF(ISBLANK('ENGAGEMENTS 2026'!B801),"",'ENGAGEMENTS 2026'!F801)</f>
        <v/>
      </c>
      <c r="E801">
        <f>IF(ISBLANK('ENGAGEMENTS 2026'!B801),"",'ENGAGEMENTS 2026'!H801)</f>
        <v/>
      </c>
      <c r="F801">
        <f>IF(ISBLANK('ENGAGEMENTS 2026'!B801),"",'ENGAGEMENTS 2026'!I801)</f>
        <v/>
      </c>
      <c r="G801">
        <f>IF(ISBLANK('ENGAGEMENTS 2026'!B801),"",'ENGAGEMENTS 2026'!L801)</f>
        <v/>
      </c>
      <c r="H801">
        <f>IF(ISBLANK('ENGAGEMENTS 2026'!B801),"",'ENGAGEMENTS 2026'!AE801)</f>
        <v/>
      </c>
      <c r="I801">
        <f>IF(ISBLANK('ENGAGEMENTS 2026'!B801),"",'ENGAGEMENTS 2026'!G801)</f>
        <v/>
      </c>
      <c r="J801" s="275">
        <f>IF(ISBLANK('ENGAGEMENTS 2026'!B801),"",IF(AND(OR($E801="INFRUCTUEUX",$E801="ANNULE"),$C801="AOO-M"),'ENGAGEMENTS 2026'!O801,IF($H801="EN COURS DE PREENGAGEMENT",'ENGAGEMENTS 2026'!N801,IF($H801="PREENGAGE",IF($E801="ATTRIBUE",'ENGAGEMENTS 2026'!AD801,'ENGAGEMENTS 2026'!N801),'ENGAGEMENTS 2026'!AD801))))</f>
        <v/>
      </c>
      <c r="K801" s="604">
        <f>IF(ISBLANK('ENGAGEMENTS 2026'!V801),"",'ENGAGEMENTS 2026'!V801)</f>
        <v/>
      </c>
      <c r="L801" s="276">
        <f>IF($K801="","",TODAY()-$K801)</f>
        <v/>
      </c>
      <c r="M801">
        <f>IF($A801="","",IF($H801="ENGAGE","Engagé",IF(AND($H801="NON ENGAGE",OR($I801="INFRUCTUEUX",$I801="ANNULE")),"Clôturé sans suite","En cours")))</f>
        <v/>
      </c>
      <c r="N801">
        <f>IF(ISBLANK('ENGAGEMENTS 2026'!B801),"",'ENGAGEMENTS 2026'!K801)</f>
        <v/>
      </c>
      <c r="O801">
        <f>IF(ISBLANK('ENGAGEMENTS 2026'!B801),"",'ENGAGEMENTS 2026'!L801)</f>
        <v/>
      </c>
      <c r="P801">
        <f>IF(ISBLANK('ENGAGEMENTS 2026'!B801),"",'ENGAGEMENTS 2026'!J801)</f>
        <v/>
      </c>
      <c r="Q801">
        <f>IF($A801="","",IF(OR($E801="INFRUCTUEUX",$E801="ANNULE"),$A801&amp;"|"&amp;(COUNTIFS($A$2:$A801,$A801,$E$2:$E801,"INFRUCTUEUX")+COUNTIFS($A$2:$A801,$A801,$E$2:$E801,"ANNULE")),""))</f>
        <v/>
      </c>
    </row>
    <row r="802">
      <c r="A802">
        <f>IF(ISBLANK('ENGAGEMENTS 2026'!B802),"",IF('ENGAGEMENTS 2026'!B802="DTSI","DCT",'ENGAGEMENTS 2026'!B802))</f>
        <v/>
      </c>
      <c r="B802">
        <f>IF(ISBLANK('ENGAGEMENTS 2026'!B802),"",'ENGAGEMENTS 2026'!C802)</f>
        <v/>
      </c>
      <c r="C802">
        <f>IF(ISBLANK('ENGAGEMENTS 2026'!B802),"",'ENGAGEMENTS 2026'!D802)</f>
        <v/>
      </c>
      <c r="D802">
        <f>IF(ISBLANK('ENGAGEMENTS 2026'!B802),"",'ENGAGEMENTS 2026'!F802)</f>
        <v/>
      </c>
      <c r="E802">
        <f>IF(ISBLANK('ENGAGEMENTS 2026'!B802),"",'ENGAGEMENTS 2026'!H802)</f>
        <v/>
      </c>
      <c r="F802">
        <f>IF(ISBLANK('ENGAGEMENTS 2026'!B802),"",'ENGAGEMENTS 2026'!I802)</f>
        <v/>
      </c>
      <c r="G802">
        <f>IF(ISBLANK('ENGAGEMENTS 2026'!B802),"",'ENGAGEMENTS 2026'!L802)</f>
        <v/>
      </c>
      <c r="H802">
        <f>IF(ISBLANK('ENGAGEMENTS 2026'!B802),"",'ENGAGEMENTS 2026'!AE802)</f>
        <v/>
      </c>
      <c r="I802">
        <f>IF(ISBLANK('ENGAGEMENTS 2026'!B802),"",'ENGAGEMENTS 2026'!G802)</f>
        <v/>
      </c>
      <c r="J802" s="275">
        <f>IF(ISBLANK('ENGAGEMENTS 2026'!B802),"",IF(AND(OR($E802="INFRUCTUEUX",$E802="ANNULE"),$C802="AOO-M"),'ENGAGEMENTS 2026'!O802,IF($H802="EN COURS DE PREENGAGEMENT",'ENGAGEMENTS 2026'!N802,IF($H802="PREENGAGE",IF($E802="ATTRIBUE",'ENGAGEMENTS 2026'!AD802,'ENGAGEMENTS 2026'!N802),'ENGAGEMENTS 2026'!AD802))))</f>
        <v/>
      </c>
      <c r="K802" s="604">
        <f>IF(ISBLANK('ENGAGEMENTS 2026'!V802),"",'ENGAGEMENTS 2026'!V802)</f>
        <v/>
      </c>
      <c r="L802" s="276">
        <f>IF($K802="","",TODAY()-$K802)</f>
        <v/>
      </c>
      <c r="M802">
        <f>IF($A802="","",IF($H802="ENGAGE","Engagé",IF(AND($H802="NON ENGAGE",OR($I802="INFRUCTUEUX",$I802="ANNULE")),"Clôturé sans suite","En cours")))</f>
        <v/>
      </c>
      <c r="N802">
        <f>IF(ISBLANK('ENGAGEMENTS 2026'!B802),"",'ENGAGEMENTS 2026'!K802)</f>
        <v/>
      </c>
      <c r="O802">
        <f>IF(ISBLANK('ENGAGEMENTS 2026'!B802),"",'ENGAGEMENTS 2026'!L802)</f>
        <v/>
      </c>
      <c r="P802">
        <f>IF(ISBLANK('ENGAGEMENTS 2026'!B802),"",'ENGAGEMENTS 2026'!J802)</f>
        <v/>
      </c>
      <c r="Q802">
        <f>IF($A802="","",IF(OR($E802="INFRUCTUEUX",$E802="ANNULE"),$A802&amp;"|"&amp;(COUNTIFS($A$2:$A802,$A802,$E$2:$E802,"INFRUCTUEUX")+COUNTIFS($A$2:$A802,$A802,$E$2:$E802,"ANNULE")),""))</f>
        <v/>
      </c>
    </row>
    <row r="803">
      <c r="A803">
        <f>IF(ISBLANK('ENGAGEMENTS 2026'!B803),"",IF('ENGAGEMENTS 2026'!B803="DTSI","DCT",'ENGAGEMENTS 2026'!B803))</f>
        <v/>
      </c>
      <c r="B803">
        <f>IF(ISBLANK('ENGAGEMENTS 2026'!B803),"",'ENGAGEMENTS 2026'!C803)</f>
        <v/>
      </c>
      <c r="C803">
        <f>IF(ISBLANK('ENGAGEMENTS 2026'!B803),"",'ENGAGEMENTS 2026'!D803)</f>
        <v/>
      </c>
      <c r="D803">
        <f>IF(ISBLANK('ENGAGEMENTS 2026'!B803),"",'ENGAGEMENTS 2026'!F803)</f>
        <v/>
      </c>
      <c r="E803">
        <f>IF(ISBLANK('ENGAGEMENTS 2026'!B803),"",'ENGAGEMENTS 2026'!H803)</f>
        <v/>
      </c>
      <c r="F803">
        <f>IF(ISBLANK('ENGAGEMENTS 2026'!B803),"",'ENGAGEMENTS 2026'!I803)</f>
        <v/>
      </c>
      <c r="G803">
        <f>IF(ISBLANK('ENGAGEMENTS 2026'!B803),"",'ENGAGEMENTS 2026'!L803)</f>
        <v/>
      </c>
      <c r="H803">
        <f>IF(ISBLANK('ENGAGEMENTS 2026'!B803),"",'ENGAGEMENTS 2026'!AE803)</f>
        <v/>
      </c>
      <c r="I803">
        <f>IF(ISBLANK('ENGAGEMENTS 2026'!B803),"",'ENGAGEMENTS 2026'!G803)</f>
        <v/>
      </c>
      <c r="J803" s="275">
        <f>IF(ISBLANK('ENGAGEMENTS 2026'!B803),"",IF(AND(OR($E803="INFRUCTUEUX",$E803="ANNULE"),$C803="AOO-M"),'ENGAGEMENTS 2026'!O803,IF($H803="EN COURS DE PREENGAGEMENT",'ENGAGEMENTS 2026'!N803,IF($H803="PREENGAGE",IF($E803="ATTRIBUE",'ENGAGEMENTS 2026'!AD803,'ENGAGEMENTS 2026'!N803),'ENGAGEMENTS 2026'!AD803))))</f>
        <v/>
      </c>
      <c r="K803" s="604">
        <f>IF(ISBLANK('ENGAGEMENTS 2026'!V803),"",'ENGAGEMENTS 2026'!V803)</f>
        <v/>
      </c>
      <c r="L803" s="276">
        <f>IF($K803="","",TODAY()-$K803)</f>
        <v/>
      </c>
      <c r="M803">
        <f>IF($A803="","",IF($H803="ENGAGE","Engagé",IF(AND($H803="NON ENGAGE",OR($I803="INFRUCTUEUX",$I803="ANNULE")),"Clôturé sans suite","En cours")))</f>
        <v/>
      </c>
      <c r="N803">
        <f>IF(ISBLANK('ENGAGEMENTS 2026'!B803),"",'ENGAGEMENTS 2026'!K803)</f>
        <v/>
      </c>
      <c r="O803">
        <f>IF(ISBLANK('ENGAGEMENTS 2026'!B803),"",'ENGAGEMENTS 2026'!L803)</f>
        <v/>
      </c>
      <c r="P803">
        <f>IF(ISBLANK('ENGAGEMENTS 2026'!B803),"",'ENGAGEMENTS 2026'!J803)</f>
        <v/>
      </c>
      <c r="Q803">
        <f>IF($A803="","",IF(OR($E803="INFRUCTUEUX",$E803="ANNULE"),$A803&amp;"|"&amp;(COUNTIFS($A$2:$A803,$A803,$E$2:$E803,"INFRUCTUEUX")+COUNTIFS($A$2:$A803,$A803,$E$2:$E803,"ANNULE")),""))</f>
        <v/>
      </c>
    </row>
    <row r="804">
      <c r="A804">
        <f>IF(ISBLANK('ENGAGEMENTS 2026'!B804),"",IF('ENGAGEMENTS 2026'!B804="DTSI","DCT",'ENGAGEMENTS 2026'!B804))</f>
        <v/>
      </c>
      <c r="B804">
        <f>IF(ISBLANK('ENGAGEMENTS 2026'!B804),"",'ENGAGEMENTS 2026'!C804)</f>
        <v/>
      </c>
      <c r="C804">
        <f>IF(ISBLANK('ENGAGEMENTS 2026'!B804),"",'ENGAGEMENTS 2026'!D804)</f>
        <v/>
      </c>
      <c r="D804">
        <f>IF(ISBLANK('ENGAGEMENTS 2026'!B804),"",'ENGAGEMENTS 2026'!F804)</f>
        <v/>
      </c>
      <c r="E804">
        <f>IF(ISBLANK('ENGAGEMENTS 2026'!B804),"",'ENGAGEMENTS 2026'!H804)</f>
        <v/>
      </c>
      <c r="F804">
        <f>IF(ISBLANK('ENGAGEMENTS 2026'!B804),"",'ENGAGEMENTS 2026'!I804)</f>
        <v/>
      </c>
      <c r="G804">
        <f>IF(ISBLANK('ENGAGEMENTS 2026'!B804),"",'ENGAGEMENTS 2026'!L804)</f>
        <v/>
      </c>
      <c r="H804">
        <f>IF(ISBLANK('ENGAGEMENTS 2026'!B804),"",'ENGAGEMENTS 2026'!AE804)</f>
        <v/>
      </c>
      <c r="I804">
        <f>IF(ISBLANK('ENGAGEMENTS 2026'!B804),"",'ENGAGEMENTS 2026'!G804)</f>
        <v/>
      </c>
      <c r="J804" s="275">
        <f>IF(ISBLANK('ENGAGEMENTS 2026'!B804),"",IF(AND(OR($E804="INFRUCTUEUX",$E804="ANNULE"),$C804="AOO-M"),'ENGAGEMENTS 2026'!O804,IF($H804="EN COURS DE PREENGAGEMENT",'ENGAGEMENTS 2026'!N804,IF($H804="PREENGAGE",IF($E804="ATTRIBUE",'ENGAGEMENTS 2026'!AD804,'ENGAGEMENTS 2026'!N804),'ENGAGEMENTS 2026'!AD804))))</f>
        <v/>
      </c>
      <c r="K804" s="604">
        <f>IF(ISBLANK('ENGAGEMENTS 2026'!V804),"",'ENGAGEMENTS 2026'!V804)</f>
        <v/>
      </c>
      <c r="L804" s="276">
        <f>IF($K804="","",TODAY()-$K804)</f>
        <v/>
      </c>
      <c r="M804">
        <f>IF($A804="","",IF($H804="ENGAGE","Engagé",IF(AND($H804="NON ENGAGE",OR($I804="INFRUCTUEUX",$I804="ANNULE")),"Clôturé sans suite","En cours")))</f>
        <v/>
      </c>
      <c r="N804">
        <f>IF(ISBLANK('ENGAGEMENTS 2026'!B804),"",'ENGAGEMENTS 2026'!K804)</f>
        <v/>
      </c>
      <c r="O804">
        <f>IF(ISBLANK('ENGAGEMENTS 2026'!B804),"",'ENGAGEMENTS 2026'!L804)</f>
        <v/>
      </c>
      <c r="P804">
        <f>IF(ISBLANK('ENGAGEMENTS 2026'!B804),"",'ENGAGEMENTS 2026'!J804)</f>
        <v/>
      </c>
      <c r="Q804">
        <f>IF($A804="","",IF(OR($E804="INFRUCTUEUX",$E804="ANNULE"),$A804&amp;"|"&amp;(COUNTIFS($A$2:$A804,$A804,$E$2:$E804,"INFRUCTUEUX")+COUNTIFS($A$2:$A804,$A804,$E$2:$E804,"ANNULE")),""))</f>
        <v/>
      </c>
    </row>
    <row r="805">
      <c r="A805">
        <f>IF(ISBLANK('ENGAGEMENTS 2026'!B805),"",IF('ENGAGEMENTS 2026'!B805="DTSI","DCT",'ENGAGEMENTS 2026'!B805))</f>
        <v/>
      </c>
      <c r="B805">
        <f>IF(ISBLANK('ENGAGEMENTS 2026'!B805),"",'ENGAGEMENTS 2026'!C805)</f>
        <v/>
      </c>
      <c r="C805">
        <f>IF(ISBLANK('ENGAGEMENTS 2026'!B805),"",'ENGAGEMENTS 2026'!D805)</f>
        <v/>
      </c>
      <c r="D805">
        <f>IF(ISBLANK('ENGAGEMENTS 2026'!B805),"",'ENGAGEMENTS 2026'!F805)</f>
        <v/>
      </c>
      <c r="E805">
        <f>IF(ISBLANK('ENGAGEMENTS 2026'!B805),"",'ENGAGEMENTS 2026'!H805)</f>
        <v/>
      </c>
      <c r="F805">
        <f>IF(ISBLANK('ENGAGEMENTS 2026'!B805),"",'ENGAGEMENTS 2026'!I805)</f>
        <v/>
      </c>
      <c r="G805">
        <f>IF(ISBLANK('ENGAGEMENTS 2026'!B805),"",'ENGAGEMENTS 2026'!L805)</f>
        <v/>
      </c>
      <c r="H805">
        <f>IF(ISBLANK('ENGAGEMENTS 2026'!B805),"",'ENGAGEMENTS 2026'!AE805)</f>
        <v/>
      </c>
      <c r="I805">
        <f>IF(ISBLANK('ENGAGEMENTS 2026'!B805),"",'ENGAGEMENTS 2026'!G805)</f>
        <v/>
      </c>
      <c r="J805" s="275">
        <f>IF(ISBLANK('ENGAGEMENTS 2026'!B805),"",IF(AND(OR($E805="INFRUCTUEUX",$E805="ANNULE"),$C805="AOO-M"),'ENGAGEMENTS 2026'!O805,IF($H805="EN COURS DE PREENGAGEMENT",'ENGAGEMENTS 2026'!N805,IF($H805="PREENGAGE",IF($E805="ATTRIBUE",'ENGAGEMENTS 2026'!AD805,'ENGAGEMENTS 2026'!N805),'ENGAGEMENTS 2026'!AD805))))</f>
        <v/>
      </c>
      <c r="K805" s="604">
        <f>IF(ISBLANK('ENGAGEMENTS 2026'!V805),"",'ENGAGEMENTS 2026'!V805)</f>
        <v/>
      </c>
      <c r="L805" s="276">
        <f>IF($K805="","",TODAY()-$K805)</f>
        <v/>
      </c>
      <c r="M805">
        <f>IF($A805="","",IF($H805="ENGAGE","Engagé",IF(AND($H805="NON ENGAGE",OR($I805="INFRUCTUEUX",$I805="ANNULE")),"Clôturé sans suite","En cours")))</f>
        <v/>
      </c>
      <c r="N805">
        <f>IF(ISBLANK('ENGAGEMENTS 2026'!B805),"",'ENGAGEMENTS 2026'!K805)</f>
        <v/>
      </c>
      <c r="O805">
        <f>IF(ISBLANK('ENGAGEMENTS 2026'!B805),"",'ENGAGEMENTS 2026'!L805)</f>
        <v/>
      </c>
      <c r="P805">
        <f>IF(ISBLANK('ENGAGEMENTS 2026'!B805),"",'ENGAGEMENTS 2026'!J805)</f>
        <v/>
      </c>
      <c r="Q805">
        <f>IF($A805="","",IF(OR($E805="INFRUCTUEUX",$E805="ANNULE"),$A805&amp;"|"&amp;(COUNTIFS($A$2:$A805,$A805,$E$2:$E805,"INFRUCTUEUX")+COUNTIFS($A$2:$A805,$A805,$E$2:$E805,"ANNULE")),""))</f>
        <v/>
      </c>
    </row>
    <row r="806">
      <c r="A806">
        <f>IF(ISBLANK('ENGAGEMENTS 2026'!B806),"",IF('ENGAGEMENTS 2026'!B806="DTSI","DCT",'ENGAGEMENTS 2026'!B806))</f>
        <v/>
      </c>
      <c r="B806">
        <f>IF(ISBLANK('ENGAGEMENTS 2026'!B806),"",'ENGAGEMENTS 2026'!C806)</f>
        <v/>
      </c>
      <c r="C806">
        <f>IF(ISBLANK('ENGAGEMENTS 2026'!B806),"",'ENGAGEMENTS 2026'!D806)</f>
        <v/>
      </c>
      <c r="D806">
        <f>IF(ISBLANK('ENGAGEMENTS 2026'!B806),"",'ENGAGEMENTS 2026'!F806)</f>
        <v/>
      </c>
      <c r="E806">
        <f>IF(ISBLANK('ENGAGEMENTS 2026'!B806),"",'ENGAGEMENTS 2026'!H806)</f>
        <v/>
      </c>
      <c r="F806">
        <f>IF(ISBLANK('ENGAGEMENTS 2026'!B806),"",'ENGAGEMENTS 2026'!I806)</f>
        <v/>
      </c>
      <c r="G806">
        <f>IF(ISBLANK('ENGAGEMENTS 2026'!B806),"",'ENGAGEMENTS 2026'!L806)</f>
        <v/>
      </c>
      <c r="H806">
        <f>IF(ISBLANK('ENGAGEMENTS 2026'!B806),"",'ENGAGEMENTS 2026'!AE806)</f>
        <v/>
      </c>
      <c r="I806">
        <f>IF(ISBLANK('ENGAGEMENTS 2026'!B806),"",'ENGAGEMENTS 2026'!G806)</f>
        <v/>
      </c>
      <c r="J806" s="275">
        <f>IF(ISBLANK('ENGAGEMENTS 2026'!B806),"",IF(AND(OR($E806="INFRUCTUEUX",$E806="ANNULE"),$C806="AOO-M"),'ENGAGEMENTS 2026'!O806,IF($H806="EN COURS DE PREENGAGEMENT",'ENGAGEMENTS 2026'!N806,IF($H806="PREENGAGE",IF($E806="ATTRIBUE",'ENGAGEMENTS 2026'!AD806,'ENGAGEMENTS 2026'!N806),'ENGAGEMENTS 2026'!AD806))))</f>
        <v/>
      </c>
      <c r="K806" s="604">
        <f>IF(ISBLANK('ENGAGEMENTS 2026'!V806),"",'ENGAGEMENTS 2026'!V806)</f>
        <v/>
      </c>
      <c r="L806" s="276">
        <f>IF($K806="","",TODAY()-$K806)</f>
        <v/>
      </c>
      <c r="M806">
        <f>IF($A806="","",IF($H806="ENGAGE","Engagé",IF(AND($H806="NON ENGAGE",OR($I806="INFRUCTUEUX",$I806="ANNULE")),"Clôturé sans suite","En cours")))</f>
        <v/>
      </c>
      <c r="N806">
        <f>IF(ISBLANK('ENGAGEMENTS 2026'!B806),"",'ENGAGEMENTS 2026'!K806)</f>
        <v/>
      </c>
      <c r="O806">
        <f>IF(ISBLANK('ENGAGEMENTS 2026'!B806),"",'ENGAGEMENTS 2026'!L806)</f>
        <v/>
      </c>
      <c r="P806">
        <f>IF(ISBLANK('ENGAGEMENTS 2026'!B806),"",'ENGAGEMENTS 2026'!J806)</f>
        <v/>
      </c>
      <c r="Q806">
        <f>IF($A806="","",IF(OR($E806="INFRUCTUEUX",$E806="ANNULE"),$A806&amp;"|"&amp;(COUNTIFS($A$2:$A806,$A806,$E$2:$E806,"INFRUCTUEUX")+COUNTIFS($A$2:$A806,$A806,$E$2:$E806,"ANNULE")),""))</f>
        <v/>
      </c>
    </row>
    <row r="807">
      <c r="A807">
        <f>IF(ISBLANK('ENGAGEMENTS 2026'!B807),"",IF('ENGAGEMENTS 2026'!B807="DTSI","DCT",'ENGAGEMENTS 2026'!B807))</f>
        <v/>
      </c>
      <c r="B807">
        <f>IF(ISBLANK('ENGAGEMENTS 2026'!B807),"",'ENGAGEMENTS 2026'!C807)</f>
        <v/>
      </c>
      <c r="C807">
        <f>IF(ISBLANK('ENGAGEMENTS 2026'!B807),"",'ENGAGEMENTS 2026'!D807)</f>
        <v/>
      </c>
      <c r="D807">
        <f>IF(ISBLANK('ENGAGEMENTS 2026'!B807),"",'ENGAGEMENTS 2026'!F807)</f>
        <v/>
      </c>
      <c r="E807">
        <f>IF(ISBLANK('ENGAGEMENTS 2026'!B807),"",'ENGAGEMENTS 2026'!H807)</f>
        <v/>
      </c>
      <c r="F807">
        <f>IF(ISBLANK('ENGAGEMENTS 2026'!B807),"",'ENGAGEMENTS 2026'!I807)</f>
        <v/>
      </c>
      <c r="G807">
        <f>IF(ISBLANK('ENGAGEMENTS 2026'!B807),"",'ENGAGEMENTS 2026'!L807)</f>
        <v/>
      </c>
      <c r="H807">
        <f>IF(ISBLANK('ENGAGEMENTS 2026'!B807),"",'ENGAGEMENTS 2026'!AE807)</f>
        <v/>
      </c>
      <c r="I807">
        <f>IF(ISBLANK('ENGAGEMENTS 2026'!B807),"",'ENGAGEMENTS 2026'!G807)</f>
        <v/>
      </c>
      <c r="J807" s="275">
        <f>IF(ISBLANK('ENGAGEMENTS 2026'!B807),"",IF(AND(OR($E807="INFRUCTUEUX",$E807="ANNULE"),$C807="AOO-M"),'ENGAGEMENTS 2026'!O807,IF($H807="EN COURS DE PREENGAGEMENT",'ENGAGEMENTS 2026'!N807,IF($H807="PREENGAGE",IF($E807="ATTRIBUE",'ENGAGEMENTS 2026'!AD807,'ENGAGEMENTS 2026'!N807),'ENGAGEMENTS 2026'!AD807))))</f>
        <v/>
      </c>
      <c r="K807" s="604">
        <f>IF(ISBLANK('ENGAGEMENTS 2026'!V807),"",'ENGAGEMENTS 2026'!V807)</f>
        <v/>
      </c>
      <c r="L807" s="276">
        <f>IF($K807="","",TODAY()-$K807)</f>
        <v/>
      </c>
      <c r="M807">
        <f>IF($A807="","",IF($H807="ENGAGE","Engagé",IF(AND($H807="NON ENGAGE",OR($I807="INFRUCTUEUX",$I807="ANNULE")),"Clôturé sans suite","En cours")))</f>
        <v/>
      </c>
      <c r="N807">
        <f>IF(ISBLANK('ENGAGEMENTS 2026'!B807),"",'ENGAGEMENTS 2026'!K807)</f>
        <v/>
      </c>
      <c r="O807">
        <f>IF(ISBLANK('ENGAGEMENTS 2026'!B807),"",'ENGAGEMENTS 2026'!L807)</f>
        <v/>
      </c>
      <c r="P807">
        <f>IF(ISBLANK('ENGAGEMENTS 2026'!B807),"",'ENGAGEMENTS 2026'!J807)</f>
        <v/>
      </c>
      <c r="Q807">
        <f>IF($A807="","",IF(OR($E807="INFRUCTUEUX",$E807="ANNULE"),$A807&amp;"|"&amp;(COUNTIFS($A$2:$A807,$A807,$E$2:$E807,"INFRUCTUEUX")+COUNTIFS($A$2:$A807,$A807,$E$2:$E807,"ANNULE")),""))</f>
        <v/>
      </c>
    </row>
    <row r="808">
      <c r="A808">
        <f>IF(ISBLANK('ENGAGEMENTS 2026'!B808),"",IF('ENGAGEMENTS 2026'!B808="DTSI","DCT",'ENGAGEMENTS 2026'!B808))</f>
        <v/>
      </c>
      <c r="B808">
        <f>IF(ISBLANK('ENGAGEMENTS 2026'!B808),"",'ENGAGEMENTS 2026'!C808)</f>
        <v/>
      </c>
      <c r="C808">
        <f>IF(ISBLANK('ENGAGEMENTS 2026'!B808),"",'ENGAGEMENTS 2026'!D808)</f>
        <v/>
      </c>
      <c r="D808">
        <f>IF(ISBLANK('ENGAGEMENTS 2026'!B808),"",'ENGAGEMENTS 2026'!F808)</f>
        <v/>
      </c>
      <c r="E808">
        <f>IF(ISBLANK('ENGAGEMENTS 2026'!B808),"",'ENGAGEMENTS 2026'!H808)</f>
        <v/>
      </c>
      <c r="F808">
        <f>IF(ISBLANK('ENGAGEMENTS 2026'!B808),"",'ENGAGEMENTS 2026'!I808)</f>
        <v/>
      </c>
      <c r="G808">
        <f>IF(ISBLANK('ENGAGEMENTS 2026'!B808),"",'ENGAGEMENTS 2026'!L808)</f>
        <v/>
      </c>
      <c r="H808">
        <f>IF(ISBLANK('ENGAGEMENTS 2026'!B808),"",'ENGAGEMENTS 2026'!AE808)</f>
        <v/>
      </c>
      <c r="I808">
        <f>IF(ISBLANK('ENGAGEMENTS 2026'!B808),"",'ENGAGEMENTS 2026'!G808)</f>
        <v/>
      </c>
      <c r="J808" s="275">
        <f>IF(ISBLANK('ENGAGEMENTS 2026'!B808),"",IF(AND(OR($E808="INFRUCTUEUX",$E808="ANNULE"),$C808="AOO-M"),'ENGAGEMENTS 2026'!O808,IF($H808="EN COURS DE PREENGAGEMENT",'ENGAGEMENTS 2026'!N808,IF($H808="PREENGAGE",IF($E808="ATTRIBUE",'ENGAGEMENTS 2026'!AD808,'ENGAGEMENTS 2026'!N808),'ENGAGEMENTS 2026'!AD808))))</f>
        <v/>
      </c>
      <c r="K808" s="604">
        <f>IF(ISBLANK('ENGAGEMENTS 2026'!V808),"",'ENGAGEMENTS 2026'!V808)</f>
        <v/>
      </c>
      <c r="L808" s="276">
        <f>IF($K808="","",TODAY()-$K808)</f>
        <v/>
      </c>
      <c r="M808">
        <f>IF($A808="","",IF($H808="ENGAGE","Engagé",IF(AND($H808="NON ENGAGE",OR($I808="INFRUCTUEUX",$I808="ANNULE")),"Clôturé sans suite","En cours")))</f>
        <v/>
      </c>
      <c r="N808">
        <f>IF(ISBLANK('ENGAGEMENTS 2026'!B808),"",'ENGAGEMENTS 2026'!K808)</f>
        <v/>
      </c>
      <c r="O808">
        <f>IF(ISBLANK('ENGAGEMENTS 2026'!B808),"",'ENGAGEMENTS 2026'!L808)</f>
        <v/>
      </c>
      <c r="P808">
        <f>IF(ISBLANK('ENGAGEMENTS 2026'!B808),"",'ENGAGEMENTS 2026'!J808)</f>
        <v/>
      </c>
      <c r="Q808">
        <f>IF($A808="","",IF(OR($E808="INFRUCTUEUX",$E808="ANNULE"),$A808&amp;"|"&amp;(COUNTIFS($A$2:$A808,$A808,$E$2:$E808,"INFRUCTUEUX")+COUNTIFS($A$2:$A808,$A808,$E$2:$E808,"ANNULE")),""))</f>
        <v/>
      </c>
    </row>
    <row r="809">
      <c r="A809">
        <f>IF(ISBLANK('ENGAGEMENTS 2026'!B809),"",IF('ENGAGEMENTS 2026'!B809="DTSI","DCT",'ENGAGEMENTS 2026'!B809))</f>
        <v/>
      </c>
      <c r="B809">
        <f>IF(ISBLANK('ENGAGEMENTS 2026'!B809),"",'ENGAGEMENTS 2026'!C809)</f>
        <v/>
      </c>
      <c r="C809">
        <f>IF(ISBLANK('ENGAGEMENTS 2026'!B809),"",'ENGAGEMENTS 2026'!D809)</f>
        <v/>
      </c>
      <c r="D809">
        <f>IF(ISBLANK('ENGAGEMENTS 2026'!B809),"",'ENGAGEMENTS 2026'!F809)</f>
        <v/>
      </c>
      <c r="E809">
        <f>IF(ISBLANK('ENGAGEMENTS 2026'!B809),"",'ENGAGEMENTS 2026'!H809)</f>
        <v/>
      </c>
      <c r="F809">
        <f>IF(ISBLANK('ENGAGEMENTS 2026'!B809),"",'ENGAGEMENTS 2026'!I809)</f>
        <v/>
      </c>
      <c r="G809">
        <f>IF(ISBLANK('ENGAGEMENTS 2026'!B809),"",'ENGAGEMENTS 2026'!L809)</f>
        <v/>
      </c>
      <c r="H809">
        <f>IF(ISBLANK('ENGAGEMENTS 2026'!B809),"",'ENGAGEMENTS 2026'!AE809)</f>
        <v/>
      </c>
      <c r="I809">
        <f>IF(ISBLANK('ENGAGEMENTS 2026'!B809),"",'ENGAGEMENTS 2026'!G809)</f>
        <v/>
      </c>
      <c r="J809" s="275">
        <f>IF(ISBLANK('ENGAGEMENTS 2026'!B809),"",IF(AND(OR($E809="INFRUCTUEUX",$E809="ANNULE"),$C809="AOO-M"),'ENGAGEMENTS 2026'!O809,IF($H809="EN COURS DE PREENGAGEMENT",'ENGAGEMENTS 2026'!N809,IF($H809="PREENGAGE",IF($E809="ATTRIBUE",'ENGAGEMENTS 2026'!AD809,'ENGAGEMENTS 2026'!N809),'ENGAGEMENTS 2026'!AD809))))</f>
        <v/>
      </c>
      <c r="K809" s="604">
        <f>IF(ISBLANK('ENGAGEMENTS 2026'!V809),"",'ENGAGEMENTS 2026'!V809)</f>
        <v/>
      </c>
      <c r="L809" s="276">
        <f>IF($K809="","",TODAY()-$K809)</f>
        <v/>
      </c>
      <c r="M809">
        <f>IF($A809="","",IF($H809="ENGAGE","Engagé",IF(AND($H809="NON ENGAGE",OR($I809="INFRUCTUEUX",$I809="ANNULE")),"Clôturé sans suite","En cours")))</f>
        <v/>
      </c>
      <c r="N809">
        <f>IF(ISBLANK('ENGAGEMENTS 2026'!B809),"",'ENGAGEMENTS 2026'!K809)</f>
        <v/>
      </c>
      <c r="O809">
        <f>IF(ISBLANK('ENGAGEMENTS 2026'!B809),"",'ENGAGEMENTS 2026'!L809)</f>
        <v/>
      </c>
      <c r="P809">
        <f>IF(ISBLANK('ENGAGEMENTS 2026'!B809),"",'ENGAGEMENTS 2026'!J809)</f>
        <v/>
      </c>
      <c r="Q809">
        <f>IF($A809="","",IF(OR($E809="INFRUCTUEUX",$E809="ANNULE"),$A809&amp;"|"&amp;(COUNTIFS($A$2:$A809,$A809,$E$2:$E809,"INFRUCTUEUX")+COUNTIFS($A$2:$A809,$A809,$E$2:$E809,"ANNULE")),""))</f>
        <v/>
      </c>
    </row>
    <row r="810">
      <c r="A810">
        <f>IF(ISBLANK('ENGAGEMENTS 2026'!B810),"",IF('ENGAGEMENTS 2026'!B810="DTSI","DCT",'ENGAGEMENTS 2026'!B810))</f>
        <v/>
      </c>
      <c r="B810">
        <f>IF(ISBLANK('ENGAGEMENTS 2026'!B810),"",'ENGAGEMENTS 2026'!C810)</f>
        <v/>
      </c>
      <c r="C810">
        <f>IF(ISBLANK('ENGAGEMENTS 2026'!B810),"",'ENGAGEMENTS 2026'!D810)</f>
        <v/>
      </c>
      <c r="D810">
        <f>IF(ISBLANK('ENGAGEMENTS 2026'!B810),"",'ENGAGEMENTS 2026'!F810)</f>
        <v/>
      </c>
      <c r="E810">
        <f>IF(ISBLANK('ENGAGEMENTS 2026'!B810),"",'ENGAGEMENTS 2026'!H810)</f>
        <v/>
      </c>
      <c r="F810">
        <f>IF(ISBLANK('ENGAGEMENTS 2026'!B810),"",'ENGAGEMENTS 2026'!I810)</f>
        <v/>
      </c>
      <c r="G810">
        <f>IF(ISBLANK('ENGAGEMENTS 2026'!B810),"",'ENGAGEMENTS 2026'!L810)</f>
        <v/>
      </c>
      <c r="H810">
        <f>IF(ISBLANK('ENGAGEMENTS 2026'!B810),"",'ENGAGEMENTS 2026'!AE810)</f>
        <v/>
      </c>
      <c r="I810">
        <f>IF(ISBLANK('ENGAGEMENTS 2026'!B810),"",'ENGAGEMENTS 2026'!G810)</f>
        <v/>
      </c>
      <c r="J810" s="275">
        <f>IF(ISBLANK('ENGAGEMENTS 2026'!B810),"",IF(AND(OR($E810="INFRUCTUEUX",$E810="ANNULE"),$C810="AOO-M"),'ENGAGEMENTS 2026'!O810,IF($H810="EN COURS DE PREENGAGEMENT",'ENGAGEMENTS 2026'!N810,IF($H810="PREENGAGE",IF($E810="ATTRIBUE",'ENGAGEMENTS 2026'!AD810,'ENGAGEMENTS 2026'!N810),'ENGAGEMENTS 2026'!AD810))))</f>
        <v/>
      </c>
      <c r="K810" s="604">
        <f>IF(ISBLANK('ENGAGEMENTS 2026'!V810),"",'ENGAGEMENTS 2026'!V810)</f>
        <v/>
      </c>
      <c r="L810" s="276">
        <f>IF($K810="","",TODAY()-$K810)</f>
        <v/>
      </c>
      <c r="M810">
        <f>IF($A810="","",IF($H810="ENGAGE","Engagé",IF(AND($H810="NON ENGAGE",OR($I810="INFRUCTUEUX",$I810="ANNULE")),"Clôturé sans suite","En cours")))</f>
        <v/>
      </c>
      <c r="N810">
        <f>IF(ISBLANK('ENGAGEMENTS 2026'!B810),"",'ENGAGEMENTS 2026'!K810)</f>
        <v/>
      </c>
      <c r="O810">
        <f>IF(ISBLANK('ENGAGEMENTS 2026'!B810),"",'ENGAGEMENTS 2026'!L810)</f>
        <v/>
      </c>
      <c r="P810">
        <f>IF(ISBLANK('ENGAGEMENTS 2026'!B810),"",'ENGAGEMENTS 2026'!J810)</f>
        <v/>
      </c>
      <c r="Q810">
        <f>IF($A810="","",IF(OR($E810="INFRUCTUEUX",$E810="ANNULE"),$A810&amp;"|"&amp;(COUNTIFS($A$2:$A810,$A810,$E$2:$E810,"INFRUCTUEUX")+COUNTIFS($A$2:$A810,$A810,$E$2:$E810,"ANNULE")),""))</f>
        <v/>
      </c>
    </row>
    <row r="811">
      <c r="A811">
        <f>IF(ISBLANK('ENGAGEMENTS 2026'!B811),"",IF('ENGAGEMENTS 2026'!B811="DTSI","DCT",'ENGAGEMENTS 2026'!B811))</f>
        <v/>
      </c>
      <c r="B811">
        <f>IF(ISBLANK('ENGAGEMENTS 2026'!B811),"",'ENGAGEMENTS 2026'!C811)</f>
        <v/>
      </c>
      <c r="C811">
        <f>IF(ISBLANK('ENGAGEMENTS 2026'!B811),"",'ENGAGEMENTS 2026'!D811)</f>
        <v/>
      </c>
      <c r="D811">
        <f>IF(ISBLANK('ENGAGEMENTS 2026'!B811),"",'ENGAGEMENTS 2026'!F811)</f>
        <v/>
      </c>
      <c r="E811">
        <f>IF(ISBLANK('ENGAGEMENTS 2026'!B811),"",'ENGAGEMENTS 2026'!H811)</f>
        <v/>
      </c>
      <c r="F811">
        <f>IF(ISBLANK('ENGAGEMENTS 2026'!B811),"",'ENGAGEMENTS 2026'!I811)</f>
        <v/>
      </c>
      <c r="G811">
        <f>IF(ISBLANK('ENGAGEMENTS 2026'!B811),"",'ENGAGEMENTS 2026'!L811)</f>
        <v/>
      </c>
      <c r="H811">
        <f>IF(ISBLANK('ENGAGEMENTS 2026'!B811),"",'ENGAGEMENTS 2026'!AE811)</f>
        <v/>
      </c>
      <c r="I811">
        <f>IF(ISBLANK('ENGAGEMENTS 2026'!B811),"",'ENGAGEMENTS 2026'!G811)</f>
        <v/>
      </c>
      <c r="J811" s="275">
        <f>IF(ISBLANK('ENGAGEMENTS 2026'!B811),"",IF(AND(OR($E811="INFRUCTUEUX",$E811="ANNULE"),$C811="AOO-M"),'ENGAGEMENTS 2026'!O811,IF($H811="EN COURS DE PREENGAGEMENT",'ENGAGEMENTS 2026'!N811,IF($H811="PREENGAGE",IF($E811="ATTRIBUE",'ENGAGEMENTS 2026'!AD811,'ENGAGEMENTS 2026'!N811),'ENGAGEMENTS 2026'!AD811))))</f>
        <v/>
      </c>
      <c r="K811" s="604">
        <f>IF(ISBLANK('ENGAGEMENTS 2026'!V811),"",'ENGAGEMENTS 2026'!V811)</f>
        <v/>
      </c>
      <c r="L811" s="276">
        <f>IF($K811="","",TODAY()-$K811)</f>
        <v/>
      </c>
      <c r="M811">
        <f>IF($A811="","",IF($H811="ENGAGE","Engagé",IF(AND($H811="NON ENGAGE",OR($I811="INFRUCTUEUX",$I811="ANNULE")),"Clôturé sans suite","En cours")))</f>
        <v/>
      </c>
      <c r="N811">
        <f>IF(ISBLANK('ENGAGEMENTS 2026'!B811),"",'ENGAGEMENTS 2026'!K811)</f>
        <v/>
      </c>
      <c r="O811">
        <f>IF(ISBLANK('ENGAGEMENTS 2026'!B811),"",'ENGAGEMENTS 2026'!L811)</f>
        <v/>
      </c>
      <c r="P811">
        <f>IF(ISBLANK('ENGAGEMENTS 2026'!B811),"",'ENGAGEMENTS 2026'!J811)</f>
        <v/>
      </c>
      <c r="Q811">
        <f>IF($A811="","",IF(OR($E811="INFRUCTUEUX",$E811="ANNULE"),$A811&amp;"|"&amp;(COUNTIFS($A$2:$A811,$A811,$E$2:$E811,"INFRUCTUEUX")+COUNTIFS($A$2:$A811,$A811,$E$2:$E811,"ANNULE")),""))</f>
        <v/>
      </c>
    </row>
    <row r="812">
      <c r="A812">
        <f>IF(ISBLANK('ENGAGEMENTS 2026'!B812),"",IF('ENGAGEMENTS 2026'!B812="DTSI","DCT",'ENGAGEMENTS 2026'!B812))</f>
        <v/>
      </c>
      <c r="B812">
        <f>IF(ISBLANK('ENGAGEMENTS 2026'!B812),"",'ENGAGEMENTS 2026'!C812)</f>
        <v/>
      </c>
      <c r="C812">
        <f>IF(ISBLANK('ENGAGEMENTS 2026'!B812),"",'ENGAGEMENTS 2026'!D812)</f>
        <v/>
      </c>
      <c r="D812">
        <f>IF(ISBLANK('ENGAGEMENTS 2026'!B812),"",'ENGAGEMENTS 2026'!F812)</f>
        <v/>
      </c>
      <c r="E812">
        <f>IF(ISBLANK('ENGAGEMENTS 2026'!B812),"",'ENGAGEMENTS 2026'!H812)</f>
        <v/>
      </c>
      <c r="F812">
        <f>IF(ISBLANK('ENGAGEMENTS 2026'!B812),"",'ENGAGEMENTS 2026'!I812)</f>
        <v/>
      </c>
      <c r="G812">
        <f>IF(ISBLANK('ENGAGEMENTS 2026'!B812),"",'ENGAGEMENTS 2026'!L812)</f>
        <v/>
      </c>
      <c r="H812">
        <f>IF(ISBLANK('ENGAGEMENTS 2026'!B812),"",'ENGAGEMENTS 2026'!AE812)</f>
        <v/>
      </c>
      <c r="I812">
        <f>IF(ISBLANK('ENGAGEMENTS 2026'!B812),"",'ENGAGEMENTS 2026'!G812)</f>
        <v/>
      </c>
      <c r="J812" s="275">
        <f>IF(ISBLANK('ENGAGEMENTS 2026'!B812),"",IF(AND(OR($E812="INFRUCTUEUX",$E812="ANNULE"),$C812="AOO-M"),'ENGAGEMENTS 2026'!O812,IF($H812="EN COURS DE PREENGAGEMENT",'ENGAGEMENTS 2026'!N812,IF($H812="PREENGAGE",IF($E812="ATTRIBUE",'ENGAGEMENTS 2026'!AD812,'ENGAGEMENTS 2026'!N812),'ENGAGEMENTS 2026'!AD812))))</f>
        <v/>
      </c>
      <c r="K812" s="604">
        <f>IF(ISBLANK('ENGAGEMENTS 2026'!V812),"",'ENGAGEMENTS 2026'!V812)</f>
        <v/>
      </c>
      <c r="L812" s="276">
        <f>IF($K812="","",TODAY()-$K812)</f>
        <v/>
      </c>
      <c r="M812">
        <f>IF($A812="","",IF($H812="ENGAGE","Engagé",IF(AND($H812="NON ENGAGE",OR($I812="INFRUCTUEUX",$I812="ANNULE")),"Clôturé sans suite","En cours")))</f>
        <v/>
      </c>
      <c r="N812">
        <f>IF(ISBLANK('ENGAGEMENTS 2026'!B812),"",'ENGAGEMENTS 2026'!K812)</f>
        <v/>
      </c>
      <c r="O812">
        <f>IF(ISBLANK('ENGAGEMENTS 2026'!B812),"",'ENGAGEMENTS 2026'!L812)</f>
        <v/>
      </c>
      <c r="P812">
        <f>IF(ISBLANK('ENGAGEMENTS 2026'!B812),"",'ENGAGEMENTS 2026'!J812)</f>
        <v/>
      </c>
      <c r="Q812">
        <f>IF($A812="","",IF(OR($E812="INFRUCTUEUX",$E812="ANNULE"),$A812&amp;"|"&amp;(COUNTIFS($A$2:$A812,$A812,$E$2:$E812,"INFRUCTUEUX")+COUNTIFS($A$2:$A812,$A812,$E$2:$E812,"ANNULE")),""))</f>
        <v/>
      </c>
    </row>
    <row r="813">
      <c r="A813">
        <f>IF(ISBLANK('ENGAGEMENTS 2026'!B813),"",IF('ENGAGEMENTS 2026'!B813="DTSI","DCT",'ENGAGEMENTS 2026'!B813))</f>
        <v/>
      </c>
      <c r="B813">
        <f>IF(ISBLANK('ENGAGEMENTS 2026'!B813),"",'ENGAGEMENTS 2026'!C813)</f>
        <v/>
      </c>
      <c r="C813">
        <f>IF(ISBLANK('ENGAGEMENTS 2026'!B813),"",'ENGAGEMENTS 2026'!D813)</f>
        <v/>
      </c>
      <c r="D813">
        <f>IF(ISBLANK('ENGAGEMENTS 2026'!B813),"",'ENGAGEMENTS 2026'!F813)</f>
        <v/>
      </c>
      <c r="E813">
        <f>IF(ISBLANK('ENGAGEMENTS 2026'!B813),"",'ENGAGEMENTS 2026'!H813)</f>
        <v/>
      </c>
      <c r="F813">
        <f>IF(ISBLANK('ENGAGEMENTS 2026'!B813),"",'ENGAGEMENTS 2026'!I813)</f>
        <v/>
      </c>
      <c r="G813">
        <f>IF(ISBLANK('ENGAGEMENTS 2026'!B813),"",'ENGAGEMENTS 2026'!L813)</f>
        <v/>
      </c>
      <c r="H813">
        <f>IF(ISBLANK('ENGAGEMENTS 2026'!B813),"",'ENGAGEMENTS 2026'!AE813)</f>
        <v/>
      </c>
      <c r="I813">
        <f>IF(ISBLANK('ENGAGEMENTS 2026'!B813),"",'ENGAGEMENTS 2026'!G813)</f>
        <v/>
      </c>
      <c r="J813" s="275">
        <f>IF(ISBLANK('ENGAGEMENTS 2026'!B813),"",IF(AND(OR($E813="INFRUCTUEUX",$E813="ANNULE"),$C813="AOO-M"),'ENGAGEMENTS 2026'!O813,IF($H813="EN COURS DE PREENGAGEMENT",'ENGAGEMENTS 2026'!N813,IF($H813="PREENGAGE",IF($E813="ATTRIBUE",'ENGAGEMENTS 2026'!AD813,'ENGAGEMENTS 2026'!N813),'ENGAGEMENTS 2026'!AD813))))</f>
        <v/>
      </c>
      <c r="K813" s="604">
        <f>IF(ISBLANK('ENGAGEMENTS 2026'!V813),"",'ENGAGEMENTS 2026'!V813)</f>
        <v/>
      </c>
      <c r="L813" s="276">
        <f>IF($K813="","",TODAY()-$K813)</f>
        <v/>
      </c>
      <c r="M813">
        <f>IF($A813="","",IF($H813="ENGAGE","Engagé",IF(AND($H813="NON ENGAGE",OR($I813="INFRUCTUEUX",$I813="ANNULE")),"Clôturé sans suite","En cours")))</f>
        <v/>
      </c>
      <c r="N813">
        <f>IF(ISBLANK('ENGAGEMENTS 2026'!B813),"",'ENGAGEMENTS 2026'!K813)</f>
        <v/>
      </c>
      <c r="O813">
        <f>IF(ISBLANK('ENGAGEMENTS 2026'!B813),"",'ENGAGEMENTS 2026'!L813)</f>
        <v/>
      </c>
      <c r="P813">
        <f>IF(ISBLANK('ENGAGEMENTS 2026'!B813),"",'ENGAGEMENTS 2026'!J813)</f>
        <v/>
      </c>
      <c r="Q813">
        <f>IF($A813="","",IF(OR($E813="INFRUCTUEUX",$E813="ANNULE"),$A813&amp;"|"&amp;(COUNTIFS($A$2:$A813,$A813,$E$2:$E813,"INFRUCTUEUX")+COUNTIFS($A$2:$A813,$A813,$E$2:$E813,"ANNULE")),""))</f>
        <v/>
      </c>
    </row>
    <row r="814">
      <c r="A814">
        <f>IF(ISBLANK('ENGAGEMENTS 2026'!B814),"",IF('ENGAGEMENTS 2026'!B814="DTSI","DCT",'ENGAGEMENTS 2026'!B814))</f>
        <v/>
      </c>
      <c r="B814">
        <f>IF(ISBLANK('ENGAGEMENTS 2026'!B814),"",'ENGAGEMENTS 2026'!C814)</f>
        <v/>
      </c>
      <c r="C814">
        <f>IF(ISBLANK('ENGAGEMENTS 2026'!B814),"",'ENGAGEMENTS 2026'!D814)</f>
        <v/>
      </c>
      <c r="D814">
        <f>IF(ISBLANK('ENGAGEMENTS 2026'!B814),"",'ENGAGEMENTS 2026'!F814)</f>
        <v/>
      </c>
      <c r="E814">
        <f>IF(ISBLANK('ENGAGEMENTS 2026'!B814),"",'ENGAGEMENTS 2026'!H814)</f>
        <v/>
      </c>
      <c r="F814">
        <f>IF(ISBLANK('ENGAGEMENTS 2026'!B814),"",'ENGAGEMENTS 2026'!I814)</f>
        <v/>
      </c>
      <c r="G814">
        <f>IF(ISBLANK('ENGAGEMENTS 2026'!B814),"",'ENGAGEMENTS 2026'!L814)</f>
        <v/>
      </c>
      <c r="H814">
        <f>IF(ISBLANK('ENGAGEMENTS 2026'!B814),"",'ENGAGEMENTS 2026'!AE814)</f>
        <v/>
      </c>
      <c r="I814">
        <f>IF(ISBLANK('ENGAGEMENTS 2026'!B814),"",'ENGAGEMENTS 2026'!G814)</f>
        <v/>
      </c>
      <c r="J814" s="275">
        <f>IF(ISBLANK('ENGAGEMENTS 2026'!B814),"",IF(AND(OR($E814="INFRUCTUEUX",$E814="ANNULE"),$C814="AOO-M"),'ENGAGEMENTS 2026'!O814,IF($H814="EN COURS DE PREENGAGEMENT",'ENGAGEMENTS 2026'!N814,IF($H814="PREENGAGE",IF($E814="ATTRIBUE",'ENGAGEMENTS 2026'!AD814,'ENGAGEMENTS 2026'!N814),'ENGAGEMENTS 2026'!AD814))))</f>
        <v/>
      </c>
      <c r="K814" s="604">
        <f>IF(ISBLANK('ENGAGEMENTS 2026'!V814),"",'ENGAGEMENTS 2026'!V814)</f>
        <v/>
      </c>
      <c r="L814" s="276">
        <f>IF($K814="","",TODAY()-$K814)</f>
        <v/>
      </c>
      <c r="M814">
        <f>IF($A814="","",IF($H814="ENGAGE","Engagé",IF(AND($H814="NON ENGAGE",OR($I814="INFRUCTUEUX",$I814="ANNULE")),"Clôturé sans suite","En cours")))</f>
        <v/>
      </c>
      <c r="N814">
        <f>IF(ISBLANK('ENGAGEMENTS 2026'!B814),"",'ENGAGEMENTS 2026'!K814)</f>
        <v/>
      </c>
      <c r="O814">
        <f>IF(ISBLANK('ENGAGEMENTS 2026'!B814),"",'ENGAGEMENTS 2026'!L814)</f>
        <v/>
      </c>
      <c r="P814">
        <f>IF(ISBLANK('ENGAGEMENTS 2026'!B814),"",'ENGAGEMENTS 2026'!J814)</f>
        <v/>
      </c>
      <c r="Q814">
        <f>IF($A814="","",IF(OR($E814="INFRUCTUEUX",$E814="ANNULE"),$A814&amp;"|"&amp;(COUNTIFS($A$2:$A814,$A814,$E$2:$E814,"INFRUCTUEUX")+COUNTIFS($A$2:$A814,$A814,$E$2:$E814,"ANNULE")),""))</f>
        <v/>
      </c>
    </row>
    <row r="815">
      <c r="A815">
        <f>IF(ISBLANK('ENGAGEMENTS 2026'!B815),"",IF('ENGAGEMENTS 2026'!B815="DTSI","DCT",'ENGAGEMENTS 2026'!B815))</f>
        <v/>
      </c>
      <c r="B815">
        <f>IF(ISBLANK('ENGAGEMENTS 2026'!B815),"",'ENGAGEMENTS 2026'!C815)</f>
        <v/>
      </c>
      <c r="C815">
        <f>IF(ISBLANK('ENGAGEMENTS 2026'!B815),"",'ENGAGEMENTS 2026'!D815)</f>
        <v/>
      </c>
      <c r="D815">
        <f>IF(ISBLANK('ENGAGEMENTS 2026'!B815),"",'ENGAGEMENTS 2026'!F815)</f>
        <v/>
      </c>
      <c r="E815">
        <f>IF(ISBLANK('ENGAGEMENTS 2026'!B815),"",'ENGAGEMENTS 2026'!H815)</f>
        <v/>
      </c>
      <c r="F815">
        <f>IF(ISBLANK('ENGAGEMENTS 2026'!B815),"",'ENGAGEMENTS 2026'!I815)</f>
        <v/>
      </c>
      <c r="G815">
        <f>IF(ISBLANK('ENGAGEMENTS 2026'!B815),"",'ENGAGEMENTS 2026'!L815)</f>
        <v/>
      </c>
      <c r="H815">
        <f>IF(ISBLANK('ENGAGEMENTS 2026'!B815),"",'ENGAGEMENTS 2026'!AE815)</f>
        <v/>
      </c>
      <c r="I815">
        <f>IF(ISBLANK('ENGAGEMENTS 2026'!B815),"",'ENGAGEMENTS 2026'!G815)</f>
        <v/>
      </c>
      <c r="J815" s="275">
        <f>IF(ISBLANK('ENGAGEMENTS 2026'!B815),"",IF(AND(OR($E815="INFRUCTUEUX",$E815="ANNULE"),$C815="AOO-M"),'ENGAGEMENTS 2026'!O815,IF($H815="EN COURS DE PREENGAGEMENT",'ENGAGEMENTS 2026'!N815,IF($H815="PREENGAGE",IF($E815="ATTRIBUE",'ENGAGEMENTS 2026'!AD815,'ENGAGEMENTS 2026'!N815),'ENGAGEMENTS 2026'!AD815))))</f>
        <v/>
      </c>
      <c r="K815" s="604">
        <f>IF(ISBLANK('ENGAGEMENTS 2026'!V815),"",'ENGAGEMENTS 2026'!V815)</f>
        <v/>
      </c>
      <c r="L815" s="276">
        <f>IF($K815="","",TODAY()-$K815)</f>
        <v/>
      </c>
      <c r="M815">
        <f>IF($A815="","",IF($H815="ENGAGE","Engagé",IF(AND($H815="NON ENGAGE",OR($I815="INFRUCTUEUX",$I815="ANNULE")),"Clôturé sans suite","En cours")))</f>
        <v/>
      </c>
      <c r="N815">
        <f>IF(ISBLANK('ENGAGEMENTS 2026'!B815),"",'ENGAGEMENTS 2026'!K815)</f>
        <v/>
      </c>
      <c r="O815">
        <f>IF(ISBLANK('ENGAGEMENTS 2026'!B815),"",'ENGAGEMENTS 2026'!L815)</f>
        <v/>
      </c>
      <c r="P815">
        <f>IF(ISBLANK('ENGAGEMENTS 2026'!B815),"",'ENGAGEMENTS 2026'!J815)</f>
        <v/>
      </c>
      <c r="Q815">
        <f>IF($A815="","",IF(OR($E815="INFRUCTUEUX",$E815="ANNULE"),$A815&amp;"|"&amp;(COUNTIFS($A$2:$A815,$A815,$E$2:$E815,"INFRUCTUEUX")+COUNTIFS($A$2:$A815,$A815,$E$2:$E815,"ANNULE")),""))</f>
        <v/>
      </c>
    </row>
    <row r="816">
      <c r="A816">
        <f>IF(ISBLANK('ENGAGEMENTS 2026'!B816),"",IF('ENGAGEMENTS 2026'!B816="DTSI","DCT",'ENGAGEMENTS 2026'!B816))</f>
        <v/>
      </c>
      <c r="B816">
        <f>IF(ISBLANK('ENGAGEMENTS 2026'!B816),"",'ENGAGEMENTS 2026'!C816)</f>
        <v/>
      </c>
      <c r="C816">
        <f>IF(ISBLANK('ENGAGEMENTS 2026'!B816),"",'ENGAGEMENTS 2026'!D816)</f>
        <v/>
      </c>
      <c r="D816">
        <f>IF(ISBLANK('ENGAGEMENTS 2026'!B816),"",'ENGAGEMENTS 2026'!F816)</f>
        <v/>
      </c>
      <c r="E816">
        <f>IF(ISBLANK('ENGAGEMENTS 2026'!B816),"",'ENGAGEMENTS 2026'!H816)</f>
        <v/>
      </c>
      <c r="F816">
        <f>IF(ISBLANK('ENGAGEMENTS 2026'!B816),"",'ENGAGEMENTS 2026'!I816)</f>
        <v/>
      </c>
      <c r="G816">
        <f>IF(ISBLANK('ENGAGEMENTS 2026'!B816),"",'ENGAGEMENTS 2026'!L816)</f>
        <v/>
      </c>
      <c r="H816">
        <f>IF(ISBLANK('ENGAGEMENTS 2026'!B816),"",'ENGAGEMENTS 2026'!AE816)</f>
        <v/>
      </c>
      <c r="I816">
        <f>IF(ISBLANK('ENGAGEMENTS 2026'!B816),"",'ENGAGEMENTS 2026'!G816)</f>
        <v/>
      </c>
      <c r="J816" s="275">
        <f>IF(ISBLANK('ENGAGEMENTS 2026'!B816),"",IF(AND(OR($E816="INFRUCTUEUX",$E816="ANNULE"),$C816="AOO-M"),'ENGAGEMENTS 2026'!O816,IF($H816="EN COURS DE PREENGAGEMENT",'ENGAGEMENTS 2026'!N816,IF($H816="PREENGAGE",IF($E816="ATTRIBUE",'ENGAGEMENTS 2026'!AD816,'ENGAGEMENTS 2026'!N816),'ENGAGEMENTS 2026'!AD816))))</f>
        <v/>
      </c>
      <c r="K816" s="604">
        <f>IF(ISBLANK('ENGAGEMENTS 2026'!V816),"",'ENGAGEMENTS 2026'!V816)</f>
        <v/>
      </c>
      <c r="L816" s="276">
        <f>IF($K816="","",TODAY()-$K816)</f>
        <v/>
      </c>
      <c r="M816">
        <f>IF($A816="","",IF($H816="ENGAGE","Engagé",IF(AND($H816="NON ENGAGE",OR($I816="INFRUCTUEUX",$I816="ANNULE")),"Clôturé sans suite","En cours")))</f>
        <v/>
      </c>
      <c r="N816">
        <f>IF(ISBLANK('ENGAGEMENTS 2026'!B816),"",'ENGAGEMENTS 2026'!K816)</f>
        <v/>
      </c>
      <c r="O816">
        <f>IF(ISBLANK('ENGAGEMENTS 2026'!B816),"",'ENGAGEMENTS 2026'!L816)</f>
        <v/>
      </c>
      <c r="P816">
        <f>IF(ISBLANK('ENGAGEMENTS 2026'!B816),"",'ENGAGEMENTS 2026'!J816)</f>
        <v/>
      </c>
      <c r="Q816">
        <f>IF($A816="","",IF(OR($E816="INFRUCTUEUX",$E816="ANNULE"),$A816&amp;"|"&amp;(COUNTIFS($A$2:$A816,$A816,$E$2:$E816,"INFRUCTUEUX")+COUNTIFS($A$2:$A816,$A816,$E$2:$E816,"ANNULE")),""))</f>
        <v/>
      </c>
    </row>
    <row r="817">
      <c r="A817">
        <f>IF(ISBLANK('ENGAGEMENTS 2026'!B817),"",IF('ENGAGEMENTS 2026'!B817="DTSI","DCT",'ENGAGEMENTS 2026'!B817))</f>
        <v/>
      </c>
      <c r="B817">
        <f>IF(ISBLANK('ENGAGEMENTS 2026'!B817),"",'ENGAGEMENTS 2026'!C817)</f>
        <v/>
      </c>
      <c r="C817">
        <f>IF(ISBLANK('ENGAGEMENTS 2026'!B817),"",'ENGAGEMENTS 2026'!D817)</f>
        <v/>
      </c>
      <c r="D817">
        <f>IF(ISBLANK('ENGAGEMENTS 2026'!B817),"",'ENGAGEMENTS 2026'!F817)</f>
        <v/>
      </c>
      <c r="E817">
        <f>IF(ISBLANK('ENGAGEMENTS 2026'!B817),"",'ENGAGEMENTS 2026'!H817)</f>
        <v/>
      </c>
      <c r="F817">
        <f>IF(ISBLANK('ENGAGEMENTS 2026'!B817),"",'ENGAGEMENTS 2026'!I817)</f>
        <v/>
      </c>
      <c r="G817">
        <f>IF(ISBLANK('ENGAGEMENTS 2026'!B817),"",'ENGAGEMENTS 2026'!L817)</f>
        <v/>
      </c>
      <c r="H817">
        <f>IF(ISBLANK('ENGAGEMENTS 2026'!B817),"",'ENGAGEMENTS 2026'!AE817)</f>
        <v/>
      </c>
      <c r="I817">
        <f>IF(ISBLANK('ENGAGEMENTS 2026'!B817),"",'ENGAGEMENTS 2026'!G817)</f>
        <v/>
      </c>
      <c r="J817" s="275">
        <f>IF(ISBLANK('ENGAGEMENTS 2026'!B817),"",IF(AND(OR($E817="INFRUCTUEUX",$E817="ANNULE"),$C817="AOO-M"),'ENGAGEMENTS 2026'!O817,IF($H817="EN COURS DE PREENGAGEMENT",'ENGAGEMENTS 2026'!N817,IF($H817="PREENGAGE",IF($E817="ATTRIBUE",'ENGAGEMENTS 2026'!AD817,'ENGAGEMENTS 2026'!N817),'ENGAGEMENTS 2026'!AD817))))</f>
        <v/>
      </c>
      <c r="K817" s="604">
        <f>IF(ISBLANK('ENGAGEMENTS 2026'!V817),"",'ENGAGEMENTS 2026'!V817)</f>
        <v/>
      </c>
      <c r="L817" s="276">
        <f>IF($K817="","",TODAY()-$K817)</f>
        <v/>
      </c>
      <c r="M817">
        <f>IF($A817="","",IF($H817="ENGAGE","Engagé",IF(AND($H817="NON ENGAGE",OR($I817="INFRUCTUEUX",$I817="ANNULE")),"Clôturé sans suite","En cours")))</f>
        <v/>
      </c>
      <c r="N817">
        <f>IF(ISBLANK('ENGAGEMENTS 2026'!B817),"",'ENGAGEMENTS 2026'!K817)</f>
        <v/>
      </c>
      <c r="O817">
        <f>IF(ISBLANK('ENGAGEMENTS 2026'!B817),"",'ENGAGEMENTS 2026'!L817)</f>
        <v/>
      </c>
      <c r="P817">
        <f>IF(ISBLANK('ENGAGEMENTS 2026'!B817),"",'ENGAGEMENTS 2026'!J817)</f>
        <v/>
      </c>
      <c r="Q817">
        <f>IF($A817="","",IF(OR($E817="INFRUCTUEUX",$E817="ANNULE"),$A817&amp;"|"&amp;(COUNTIFS($A$2:$A817,$A817,$E$2:$E817,"INFRUCTUEUX")+COUNTIFS($A$2:$A817,$A817,$E$2:$E817,"ANNULE")),""))</f>
        <v/>
      </c>
    </row>
    <row r="818">
      <c r="A818">
        <f>IF(ISBLANK('ENGAGEMENTS 2026'!B818),"",IF('ENGAGEMENTS 2026'!B818="DTSI","DCT",'ENGAGEMENTS 2026'!B818))</f>
        <v/>
      </c>
      <c r="B818">
        <f>IF(ISBLANK('ENGAGEMENTS 2026'!B818),"",'ENGAGEMENTS 2026'!C818)</f>
        <v/>
      </c>
      <c r="C818">
        <f>IF(ISBLANK('ENGAGEMENTS 2026'!B818),"",'ENGAGEMENTS 2026'!D818)</f>
        <v/>
      </c>
      <c r="D818">
        <f>IF(ISBLANK('ENGAGEMENTS 2026'!B818),"",'ENGAGEMENTS 2026'!F818)</f>
        <v/>
      </c>
      <c r="E818">
        <f>IF(ISBLANK('ENGAGEMENTS 2026'!B818),"",'ENGAGEMENTS 2026'!H818)</f>
        <v/>
      </c>
      <c r="F818">
        <f>IF(ISBLANK('ENGAGEMENTS 2026'!B818),"",'ENGAGEMENTS 2026'!I818)</f>
        <v/>
      </c>
      <c r="G818">
        <f>IF(ISBLANK('ENGAGEMENTS 2026'!B818),"",'ENGAGEMENTS 2026'!L818)</f>
        <v/>
      </c>
      <c r="H818">
        <f>IF(ISBLANK('ENGAGEMENTS 2026'!B818),"",'ENGAGEMENTS 2026'!AE818)</f>
        <v/>
      </c>
      <c r="I818">
        <f>IF(ISBLANK('ENGAGEMENTS 2026'!B818),"",'ENGAGEMENTS 2026'!G818)</f>
        <v/>
      </c>
      <c r="J818" s="275">
        <f>IF(ISBLANK('ENGAGEMENTS 2026'!B818),"",IF(AND(OR($E818="INFRUCTUEUX",$E818="ANNULE"),$C818="AOO-M"),'ENGAGEMENTS 2026'!O818,IF($H818="EN COURS DE PREENGAGEMENT",'ENGAGEMENTS 2026'!N818,IF($H818="PREENGAGE",IF($E818="ATTRIBUE",'ENGAGEMENTS 2026'!AD818,'ENGAGEMENTS 2026'!N818),'ENGAGEMENTS 2026'!AD818))))</f>
        <v/>
      </c>
      <c r="K818" s="604">
        <f>IF(ISBLANK('ENGAGEMENTS 2026'!V818),"",'ENGAGEMENTS 2026'!V818)</f>
        <v/>
      </c>
      <c r="L818" s="276">
        <f>IF($K818="","",TODAY()-$K818)</f>
        <v/>
      </c>
      <c r="M818">
        <f>IF($A818="","",IF($H818="ENGAGE","Engagé",IF(AND($H818="NON ENGAGE",OR($I818="INFRUCTUEUX",$I818="ANNULE")),"Clôturé sans suite","En cours")))</f>
        <v/>
      </c>
      <c r="N818">
        <f>IF(ISBLANK('ENGAGEMENTS 2026'!B818),"",'ENGAGEMENTS 2026'!K818)</f>
        <v/>
      </c>
      <c r="O818">
        <f>IF(ISBLANK('ENGAGEMENTS 2026'!B818),"",'ENGAGEMENTS 2026'!L818)</f>
        <v/>
      </c>
      <c r="P818">
        <f>IF(ISBLANK('ENGAGEMENTS 2026'!B818),"",'ENGAGEMENTS 2026'!J818)</f>
        <v/>
      </c>
      <c r="Q818">
        <f>IF($A818="","",IF(OR($E818="INFRUCTUEUX",$E818="ANNULE"),$A818&amp;"|"&amp;(COUNTIFS($A$2:$A818,$A818,$E$2:$E818,"INFRUCTUEUX")+COUNTIFS($A$2:$A818,$A818,$E$2:$E818,"ANNULE")),""))</f>
        <v/>
      </c>
    </row>
    <row r="819">
      <c r="A819">
        <f>IF(ISBLANK('ENGAGEMENTS 2026'!B819),"",IF('ENGAGEMENTS 2026'!B819="DTSI","DCT",'ENGAGEMENTS 2026'!B819))</f>
        <v/>
      </c>
      <c r="B819">
        <f>IF(ISBLANK('ENGAGEMENTS 2026'!B819),"",'ENGAGEMENTS 2026'!C819)</f>
        <v/>
      </c>
      <c r="C819">
        <f>IF(ISBLANK('ENGAGEMENTS 2026'!B819),"",'ENGAGEMENTS 2026'!D819)</f>
        <v/>
      </c>
      <c r="D819">
        <f>IF(ISBLANK('ENGAGEMENTS 2026'!B819),"",'ENGAGEMENTS 2026'!F819)</f>
        <v/>
      </c>
      <c r="E819">
        <f>IF(ISBLANK('ENGAGEMENTS 2026'!B819),"",'ENGAGEMENTS 2026'!H819)</f>
        <v/>
      </c>
      <c r="F819">
        <f>IF(ISBLANK('ENGAGEMENTS 2026'!B819),"",'ENGAGEMENTS 2026'!I819)</f>
        <v/>
      </c>
      <c r="G819">
        <f>IF(ISBLANK('ENGAGEMENTS 2026'!B819),"",'ENGAGEMENTS 2026'!L819)</f>
        <v/>
      </c>
      <c r="H819">
        <f>IF(ISBLANK('ENGAGEMENTS 2026'!B819),"",'ENGAGEMENTS 2026'!AE819)</f>
        <v/>
      </c>
      <c r="I819">
        <f>IF(ISBLANK('ENGAGEMENTS 2026'!B819),"",'ENGAGEMENTS 2026'!G819)</f>
        <v/>
      </c>
      <c r="J819" s="275">
        <f>IF(ISBLANK('ENGAGEMENTS 2026'!B819),"",IF(AND(OR($E819="INFRUCTUEUX",$E819="ANNULE"),$C819="AOO-M"),'ENGAGEMENTS 2026'!O819,IF($H819="EN COURS DE PREENGAGEMENT",'ENGAGEMENTS 2026'!N819,IF($H819="PREENGAGE",IF($E819="ATTRIBUE",'ENGAGEMENTS 2026'!AD819,'ENGAGEMENTS 2026'!N819),'ENGAGEMENTS 2026'!AD819))))</f>
        <v/>
      </c>
      <c r="K819" s="604">
        <f>IF(ISBLANK('ENGAGEMENTS 2026'!V819),"",'ENGAGEMENTS 2026'!V819)</f>
        <v/>
      </c>
      <c r="L819" s="276">
        <f>IF($K819="","",TODAY()-$K819)</f>
        <v/>
      </c>
      <c r="M819">
        <f>IF($A819="","",IF($H819="ENGAGE","Engagé",IF(AND($H819="NON ENGAGE",OR($I819="INFRUCTUEUX",$I819="ANNULE")),"Clôturé sans suite","En cours")))</f>
        <v/>
      </c>
      <c r="N819">
        <f>IF(ISBLANK('ENGAGEMENTS 2026'!B819),"",'ENGAGEMENTS 2026'!K819)</f>
        <v/>
      </c>
      <c r="O819">
        <f>IF(ISBLANK('ENGAGEMENTS 2026'!B819),"",'ENGAGEMENTS 2026'!L819)</f>
        <v/>
      </c>
      <c r="P819">
        <f>IF(ISBLANK('ENGAGEMENTS 2026'!B819),"",'ENGAGEMENTS 2026'!J819)</f>
        <v/>
      </c>
      <c r="Q819">
        <f>IF($A819="","",IF(OR($E819="INFRUCTUEUX",$E819="ANNULE"),$A819&amp;"|"&amp;(COUNTIFS($A$2:$A819,$A819,$E$2:$E819,"INFRUCTUEUX")+COUNTIFS($A$2:$A819,$A819,$E$2:$E819,"ANNULE")),""))</f>
        <v/>
      </c>
    </row>
    <row r="820">
      <c r="A820">
        <f>IF(ISBLANK('ENGAGEMENTS 2026'!B820),"",IF('ENGAGEMENTS 2026'!B820="DTSI","DCT",'ENGAGEMENTS 2026'!B820))</f>
        <v/>
      </c>
      <c r="B820">
        <f>IF(ISBLANK('ENGAGEMENTS 2026'!B820),"",'ENGAGEMENTS 2026'!C820)</f>
        <v/>
      </c>
      <c r="C820">
        <f>IF(ISBLANK('ENGAGEMENTS 2026'!B820),"",'ENGAGEMENTS 2026'!D820)</f>
        <v/>
      </c>
      <c r="D820">
        <f>IF(ISBLANK('ENGAGEMENTS 2026'!B820),"",'ENGAGEMENTS 2026'!F820)</f>
        <v/>
      </c>
      <c r="E820">
        <f>IF(ISBLANK('ENGAGEMENTS 2026'!B820),"",'ENGAGEMENTS 2026'!H820)</f>
        <v/>
      </c>
      <c r="F820">
        <f>IF(ISBLANK('ENGAGEMENTS 2026'!B820),"",'ENGAGEMENTS 2026'!I820)</f>
        <v/>
      </c>
      <c r="G820">
        <f>IF(ISBLANK('ENGAGEMENTS 2026'!B820),"",'ENGAGEMENTS 2026'!L820)</f>
        <v/>
      </c>
      <c r="H820">
        <f>IF(ISBLANK('ENGAGEMENTS 2026'!B820),"",'ENGAGEMENTS 2026'!AE820)</f>
        <v/>
      </c>
      <c r="I820">
        <f>IF(ISBLANK('ENGAGEMENTS 2026'!B820),"",'ENGAGEMENTS 2026'!G820)</f>
        <v/>
      </c>
      <c r="J820" s="275">
        <f>IF(ISBLANK('ENGAGEMENTS 2026'!B820),"",IF(AND(OR($E820="INFRUCTUEUX",$E820="ANNULE"),$C820="AOO-M"),'ENGAGEMENTS 2026'!O820,IF($H820="EN COURS DE PREENGAGEMENT",'ENGAGEMENTS 2026'!N820,IF($H820="PREENGAGE",IF($E820="ATTRIBUE",'ENGAGEMENTS 2026'!AD820,'ENGAGEMENTS 2026'!N820),'ENGAGEMENTS 2026'!AD820))))</f>
        <v/>
      </c>
      <c r="K820" s="604">
        <f>IF(ISBLANK('ENGAGEMENTS 2026'!V820),"",'ENGAGEMENTS 2026'!V820)</f>
        <v/>
      </c>
      <c r="L820" s="276">
        <f>IF($K820="","",TODAY()-$K820)</f>
        <v/>
      </c>
      <c r="M820">
        <f>IF($A820="","",IF($H820="ENGAGE","Engagé",IF(AND($H820="NON ENGAGE",OR($I820="INFRUCTUEUX",$I820="ANNULE")),"Clôturé sans suite","En cours")))</f>
        <v/>
      </c>
      <c r="N820">
        <f>IF(ISBLANK('ENGAGEMENTS 2026'!B820),"",'ENGAGEMENTS 2026'!K820)</f>
        <v/>
      </c>
      <c r="O820">
        <f>IF(ISBLANK('ENGAGEMENTS 2026'!B820),"",'ENGAGEMENTS 2026'!L820)</f>
        <v/>
      </c>
      <c r="P820">
        <f>IF(ISBLANK('ENGAGEMENTS 2026'!B820),"",'ENGAGEMENTS 2026'!J820)</f>
        <v/>
      </c>
      <c r="Q820">
        <f>IF($A820="","",IF(OR($E820="INFRUCTUEUX",$E820="ANNULE"),$A820&amp;"|"&amp;(COUNTIFS($A$2:$A820,$A820,$E$2:$E820,"INFRUCTUEUX")+COUNTIFS($A$2:$A820,$A820,$E$2:$E820,"ANNULE")),""))</f>
        <v/>
      </c>
    </row>
    <row r="821">
      <c r="A821">
        <f>IF(ISBLANK('ENGAGEMENTS 2026'!B821),"",IF('ENGAGEMENTS 2026'!B821="DTSI","DCT",'ENGAGEMENTS 2026'!B821))</f>
        <v/>
      </c>
      <c r="B821">
        <f>IF(ISBLANK('ENGAGEMENTS 2026'!B821),"",'ENGAGEMENTS 2026'!C821)</f>
        <v/>
      </c>
      <c r="C821">
        <f>IF(ISBLANK('ENGAGEMENTS 2026'!B821),"",'ENGAGEMENTS 2026'!D821)</f>
        <v/>
      </c>
      <c r="D821">
        <f>IF(ISBLANK('ENGAGEMENTS 2026'!B821),"",'ENGAGEMENTS 2026'!F821)</f>
        <v/>
      </c>
      <c r="E821">
        <f>IF(ISBLANK('ENGAGEMENTS 2026'!B821),"",'ENGAGEMENTS 2026'!H821)</f>
        <v/>
      </c>
      <c r="F821">
        <f>IF(ISBLANK('ENGAGEMENTS 2026'!B821),"",'ENGAGEMENTS 2026'!I821)</f>
        <v/>
      </c>
      <c r="G821">
        <f>IF(ISBLANK('ENGAGEMENTS 2026'!B821),"",'ENGAGEMENTS 2026'!L821)</f>
        <v/>
      </c>
      <c r="H821">
        <f>IF(ISBLANK('ENGAGEMENTS 2026'!B821),"",'ENGAGEMENTS 2026'!AE821)</f>
        <v/>
      </c>
      <c r="I821">
        <f>IF(ISBLANK('ENGAGEMENTS 2026'!B821),"",'ENGAGEMENTS 2026'!G821)</f>
        <v/>
      </c>
      <c r="J821" s="275">
        <f>IF(ISBLANK('ENGAGEMENTS 2026'!B821),"",IF(AND(OR($E821="INFRUCTUEUX",$E821="ANNULE"),$C821="AOO-M"),'ENGAGEMENTS 2026'!O821,IF($H821="EN COURS DE PREENGAGEMENT",'ENGAGEMENTS 2026'!N821,IF($H821="PREENGAGE",IF($E821="ATTRIBUE",'ENGAGEMENTS 2026'!AD821,'ENGAGEMENTS 2026'!N821),'ENGAGEMENTS 2026'!AD821))))</f>
        <v/>
      </c>
      <c r="K821" s="604">
        <f>IF(ISBLANK('ENGAGEMENTS 2026'!V821),"",'ENGAGEMENTS 2026'!V821)</f>
        <v/>
      </c>
      <c r="L821" s="276">
        <f>IF($K821="","",TODAY()-$K821)</f>
        <v/>
      </c>
      <c r="M821">
        <f>IF($A821="","",IF($H821="ENGAGE","Engagé",IF(AND($H821="NON ENGAGE",OR($I821="INFRUCTUEUX",$I821="ANNULE")),"Clôturé sans suite","En cours")))</f>
        <v/>
      </c>
      <c r="N821">
        <f>IF(ISBLANK('ENGAGEMENTS 2026'!B821),"",'ENGAGEMENTS 2026'!K821)</f>
        <v/>
      </c>
      <c r="O821">
        <f>IF(ISBLANK('ENGAGEMENTS 2026'!B821),"",'ENGAGEMENTS 2026'!L821)</f>
        <v/>
      </c>
      <c r="P821">
        <f>IF(ISBLANK('ENGAGEMENTS 2026'!B821),"",'ENGAGEMENTS 2026'!J821)</f>
        <v/>
      </c>
      <c r="Q821">
        <f>IF($A821="","",IF(OR($E821="INFRUCTUEUX",$E821="ANNULE"),$A821&amp;"|"&amp;(COUNTIFS($A$2:$A821,$A821,$E$2:$E821,"INFRUCTUEUX")+COUNTIFS($A$2:$A821,$A821,$E$2:$E821,"ANNULE")),""))</f>
        <v/>
      </c>
    </row>
    <row r="822">
      <c r="A822">
        <f>IF(ISBLANK('ENGAGEMENTS 2026'!B822),"",IF('ENGAGEMENTS 2026'!B822="DTSI","DCT",'ENGAGEMENTS 2026'!B822))</f>
        <v/>
      </c>
      <c r="B822">
        <f>IF(ISBLANK('ENGAGEMENTS 2026'!B822),"",'ENGAGEMENTS 2026'!C822)</f>
        <v/>
      </c>
      <c r="C822">
        <f>IF(ISBLANK('ENGAGEMENTS 2026'!B822),"",'ENGAGEMENTS 2026'!D822)</f>
        <v/>
      </c>
      <c r="D822">
        <f>IF(ISBLANK('ENGAGEMENTS 2026'!B822),"",'ENGAGEMENTS 2026'!F822)</f>
        <v/>
      </c>
      <c r="E822">
        <f>IF(ISBLANK('ENGAGEMENTS 2026'!B822),"",'ENGAGEMENTS 2026'!H822)</f>
        <v/>
      </c>
      <c r="F822">
        <f>IF(ISBLANK('ENGAGEMENTS 2026'!B822),"",'ENGAGEMENTS 2026'!I822)</f>
        <v/>
      </c>
      <c r="G822">
        <f>IF(ISBLANK('ENGAGEMENTS 2026'!B822),"",'ENGAGEMENTS 2026'!L822)</f>
        <v/>
      </c>
      <c r="H822">
        <f>IF(ISBLANK('ENGAGEMENTS 2026'!B822),"",'ENGAGEMENTS 2026'!AE822)</f>
        <v/>
      </c>
      <c r="I822">
        <f>IF(ISBLANK('ENGAGEMENTS 2026'!B822),"",'ENGAGEMENTS 2026'!G822)</f>
        <v/>
      </c>
      <c r="J822" s="275">
        <f>IF(ISBLANK('ENGAGEMENTS 2026'!B822),"",IF(AND(OR($E822="INFRUCTUEUX",$E822="ANNULE"),$C822="AOO-M"),'ENGAGEMENTS 2026'!O822,IF($H822="EN COURS DE PREENGAGEMENT",'ENGAGEMENTS 2026'!N822,IF($H822="PREENGAGE",IF($E822="ATTRIBUE",'ENGAGEMENTS 2026'!AD822,'ENGAGEMENTS 2026'!N822),'ENGAGEMENTS 2026'!AD822))))</f>
        <v/>
      </c>
      <c r="K822" s="604">
        <f>IF(ISBLANK('ENGAGEMENTS 2026'!V822),"",'ENGAGEMENTS 2026'!V822)</f>
        <v/>
      </c>
      <c r="L822" s="276">
        <f>IF($K822="","",TODAY()-$K822)</f>
        <v/>
      </c>
      <c r="M822">
        <f>IF($A822="","",IF($H822="ENGAGE","Engagé",IF(AND($H822="NON ENGAGE",OR($I822="INFRUCTUEUX",$I822="ANNULE")),"Clôturé sans suite","En cours")))</f>
        <v/>
      </c>
      <c r="N822">
        <f>IF(ISBLANK('ENGAGEMENTS 2026'!B822),"",'ENGAGEMENTS 2026'!K822)</f>
        <v/>
      </c>
      <c r="O822">
        <f>IF(ISBLANK('ENGAGEMENTS 2026'!B822),"",'ENGAGEMENTS 2026'!L822)</f>
        <v/>
      </c>
      <c r="P822">
        <f>IF(ISBLANK('ENGAGEMENTS 2026'!B822),"",'ENGAGEMENTS 2026'!J822)</f>
        <v/>
      </c>
      <c r="Q822">
        <f>IF($A822="","",IF(OR($E822="INFRUCTUEUX",$E822="ANNULE"),$A822&amp;"|"&amp;(COUNTIFS($A$2:$A822,$A822,$E$2:$E822,"INFRUCTUEUX")+COUNTIFS($A$2:$A822,$A822,$E$2:$E822,"ANNULE")),""))</f>
        <v/>
      </c>
    </row>
    <row r="823">
      <c r="A823">
        <f>IF(ISBLANK('ENGAGEMENTS 2026'!B823),"",IF('ENGAGEMENTS 2026'!B823="DTSI","DCT",'ENGAGEMENTS 2026'!B823))</f>
        <v/>
      </c>
      <c r="B823">
        <f>IF(ISBLANK('ENGAGEMENTS 2026'!B823),"",'ENGAGEMENTS 2026'!C823)</f>
        <v/>
      </c>
      <c r="C823">
        <f>IF(ISBLANK('ENGAGEMENTS 2026'!B823),"",'ENGAGEMENTS 2026'!D823)</f>
        <v/>
      </c>
      <c r="D823">
        <f>IF(ISBLANK('ENGAGEMENTS 2026'!B823),"",'ENGAGEMENTS 2026'!F823)</f>
        <v/>
      </c>
      <c r="E823">
        <f>IF(ISBLANK('ENGAGEMENTS 2026'!B823),"",'ENGAGEMENTS 2026'!H823)</f>
        <v/>
      </c>
      <c r="F823">
        <f>IF(ISBLANK('ENGAGEMENTS 2026'!B823),"",'ENGAGEMENTS 2026'!I823)</f>
        <v/>
      </c>
      <c r="G823">
        <f>IF(ISBLANK('ENGAGEMENTS 2026'!B823),"",'ENGAGEMENTS 2026'!L823)</f>
        <v/>
      </c>
      <c r="H823">
        <f>IF(ISBLANK('ENGAGEMENTS 2026'!B823),"",'ENGAGEMENTS 2026'!AE823)</f>
        <v/>
      </c>
      <c r="I823">
        <f>IF(ISBLANK('ENGAGEMENTS 2026'!B823),"",'ENGAGEMENTS 2026'!G823)</f>
        <v/>
      </c>
      <c r="J823" s="275">
        <f>IF(ISBLANK('ENGAGEMENTS 2026'!B823),"",IF(AND(OR($E823="INFRUCTUEUX",$E823="ANNULE"),$C823="AOO-M"),'ENGAGEMENTS 2026'!O823,IF($H823="EN COURS DE PREENGAGEMENT",'ENGAGEMENTS 2026'!N823,IF($H823="PREENGAGE",IF($E823="ATTRIBUE",'ENGAGEMENTS 2026'!AD823,'ENGAGEMENTS 2026'!N823),'ENGAGEMENTS 2026'!AD823))))</f>
        <v/>
      </c>
      <c r="K823" s="604">
        <f>IF(ISBLANK('ENGAGEMENTS 2026'!V823),"",'ENGAGEMENTS 2026'!V823)</f>
        <v/>
      </c>
      <c r="L823" s="276">
        <f>IF($K823="","",TODAY()-$K823)</f>
        <v/>
      </c>
      <c r="M823">
        <f>IF($A823="","",IF($H823="ENGAGE","Engagé",IF(AND($H823="NON ENGAGE",OR($I823="INFRUCTUEUX",$I823="ANNULE")),"Clôturé sans suite","En cours")))</f>
        <v/>
      </c>
      <c r="N823">
        <f>IF(ISBLANK('ENGAGEMENTS 2026'!B823),"",'ENGAGEMENTS 2026'!K823)</f>
        <v/>
      </c>
      <c r="O823">
        <f>IF(ISBLANK('ENGAGEMENTS 2026'!B823),"",'ENGAGEMENTS 2026'!L823)</f>
        <v/>
      </c>
      <c r="P823">
        <f>IF(ISBLANK('ENGAGEMENTS 2026'!B823),"",'ENGAGEMENTS 2026'!J823)</f>
        <v/>
      </c>
      <c r="Q823">
        <f>IF($A823="","",IF(OR($E823="INFRUCTUEUX",$E823="ANNULE"),$A823&amp;"|"&amp;(COUNTIFS($A$2:$A823,$A823,$E$2:$E823,"INFRUCTUEUX")+COUNTIFS($A$2:$A823,$A823,$E$2:$E823,"ANNULE")),""))</f>
        <v/>
      </c>
    </row>
    <row r="824">
      <c r="A824">
        <f>IF(ISBLANK('ENGAGEMENTS 2026'!B824),"",IF('ENGAGEMENTS 2026'!B824="DTSI","DCT",'ENGAGEMENTS 2026'!B824))</f>
        <v/>
      </c>
      <c r="B824">
        <f>IF(ISBLANK('ENGAGEMENTS 2026'!B824),"",'ENGAGEMENTS 2026'!C824)</f>
        <v/>
      </c>
      <c r="C824">
        <f>IF(ISBLANK('ENGAGEMENTS 2026'!B824),"",'ENGAGEMENTS 2026'!D824)</f>
        <v/>
      </c>
      <c r="D824">
        <f>IF(ISBLANK('ENGAGEMENTS 2026'!B824),"",'ENGAGEMENTS 2026'!F824)</f>
        <v/>
      </c>
      <c r="E824">
        <f>IF(ISBLANK('ENGAGEMENTS 2026'!B824),"",'ENGAGEMENTS 2026'!H824)</f>
        <v/>
      </c>
      <c r="F824">
        <f>IF(ISBLANK('ENGAGEMENTS 2026'!B824),"",'ENGAGEMENTS 2026'!I824)</f>
        <v/>
      </c>
      <c r="G824">
        <f>IF(ISBLANK('ENGAGEMENTS 2026'!B824),"",'ENGAGEMENTS 2026'!L824)</f>
        <v/>
      </c>
      <c r="H824">
        <f>IF(ISBLANK('ENGAGEMENTS 2026'!B824),"",'ENGAGEMENTS 2026'!AE824)</f>
        <v/>
      </c>
      <c r="I824">
        <f>IF(ISBLANK('ENGAGEMENTS 2026'!B824),"",'ENGAGEMENTS 2026'!G824)</f>
        <v/>
      </c>
      <c r="J824" s="275">
        <f>IF(ISBLANK('ENGAGEMENTS 2026'!B824),"",IF(AND(OR($E824="INFRUCTUEUX",$E824="ANNULE"),$C824="AOO-M"),'ENGAGEMENTS 2026'!O824,IF($H824="EN COURS DE PREENGAGEMENT",'ENGAGEMENTS 2026'!N824,IF($H824="PREENGAGE",IF($E824="ATTRIBUE",'ENGAGEMENTS 2026'!AD824,'ENGAGEMENTS 2026'!N824),'ENGAGEMENTS 2026'!AD824))))</f>
        <v/>
      </c>
      <c r="K824" s="604">
        <f>IF(ISBLANK('ENGAGEMENTS 2026'!V824),"",'ENGAGEMENTS 2026'!V824)</f>
        <v/>
      </c>
      <c r="L824" s="276">
        <f>IF($K824="","",TODAY()-$K824)</f>
        <v/>
      </c>
      <c r="M824">
        <f>IF($A824="","",IF($H824="ENGAGE","Engagé",IF(AND($H824="NON ENGAGE",OR($I824="INFRUCTUEUX",$I824="ANNULE")),"Clôturé sans suite","En cours")))</f>
        <v/>
      </c>
      <c r="N824">
        <f>IF(ISBLANK('ENGAGEMENTS 2026'!B824),"",'ENGAGEMENTS 2026'!K824)</f>
        <v/>
      </c>
      <c r="O824">
        <f>IF(ISBLANK('ENGAGEMENTS 2026'!B824),"",'ENGAGEMENTS 2026'!L824)</f>
        <v/>
      </c>
      <c r="P824">
        <f>IF(ISBLANK('ENGAGEMENTS 2026'!B824),"",'ENGAGEMENTS 2026'!J824)</f>
        <v/>
      </c>
      <c r="Q824">
        <f>IF($A824="","",IF(OR($E824="INFRUCTUEUX",$E824="ANNULE"),$A824&amp;"|"&amp;(COUNTIFS($A$2:$A824,$A824,$E$2:$E824,"INFRUCTUEUX")+COUNTIFS($A$2:$A824,$A824,$E$2:$E824,"ANNULE")),""))</f>
        <v/>
      </c>
    </row>
    <row r="825">
      <c r="A825">
        <f>IF(ISBLANK('ENGAGEMENTS 2026'!B825),"",IF('ENGAGEMENTS 2026'!B825="DTSI","DCT",'ENGAGEMENTS 2026'!B825))</f>
        <v/>
      </c>
      <c r="B825">
        <f>IF(ISBLANK('ENGAGEMENTS 2026'!B825),"",'ENGAGEMENTS 2026'!C825)</f>
        <v/>
      </c>
      <c r="C825">
        <f>IF(ISBLANK('ENGAGEMENTS 2026'!B825),"",'ENGAGEMENTS 2026'!D825)</f>
        <v/>
      </c>
      <c r="D825">
        <f>IF(ISBLANK('ENGAGEMENTS 2026'!B825),"",'ENGAGEMENTS 2026'!F825)</f>
        <v/>
      </c>
      <c r="E825">
        <f>IF(ISBLANK('ENGAGEMENTS 2026'!B825),"",'ENGAGEMENTS 2026'!H825)</f>
        <v/>
      </c>
      <c r="F825">
        <f>IF(ISBLANK('ENGAGEMENTS 2026'!B825),"",'ENGAGEMENTS 2026'!I825)</f>
        <v/>
      </c>
      <c r="G825">
        <f>IF(ISBLANK('ENGAGEMENTS 2026'!B825),"",'ENGAGEMENTS 2026'!L825)</f>
        <v/>
      </c>
      <c r="H825">
        <f>IF(ISBLANK('ENGAGEMENTS 2026'!B825),"",'ENGAGEMENTS 2026'!AE825)</f>
        <v/>
      </c>
      <c r="I825">
        <f>IF(ISBLANK('ENGAGEMENTS 2026'!B825),"",'ENGAGEMENTS 2026'!G825)</f>
        <v/>
      </c>
      <c r="J825" s="275">
        <f>IF(ISBLANK('ENGAGEMENTS 2026'!B825),"",IF(AND(OR($E825="INFRUCTUEUX",$E825="ANNULE"),$C825="AOO-M"),'ENGAGEMENTS 2026'!O825,IF($H825="EN COURS DE PREENGAGEMENT",'ENGAGEMENTS 2026'!N825,IF($H825="PREENGAGE",IF($E825="ATTRIBUE",'ENGAGEMENTS 2026'!AD825,'ENGAGEMENTS 2026'!N825),'ENGAGEMENTS 2026'!AD825))))</f>
        <v/>
      </c>
      <c r="K825" s="604">
        <f>IF(ISBLANK('ENGAGEMENTS 2026'!V825),"",'ENGAGEMENTS 2026'!V825)</f>
        <v/>
      </c>
      <c r="L825" s="276">
        <f>IF($K825="","",TODAY()-$K825)</f>
        <v/>
      </c>
      <c r="M825">
        <f>IF($A825="","",IF($H825="ENGAGE","Engagé",IF(AND($H825="NON ENGAGE",OR($I825="INFRUCTUEUX",$I825="ANNULE")),"Clôturé sans suite","En cours")))</f>
        <v/>
      </c>
      <c r="N825">
        <f>IF(ISBLANK('ENGAGEMENTS 2026'!B825),"",'ENGAGEMENTS 2026'!K825)</f>
        <v/>
      </c>
      <c r="O825">
        <f>IF(ISBLANK('ENGAGEMENTS 2026'!B825),"",'ENGAGEMENTS 2026'!L825)</f>
        <v/>
      </c>
      <c r="P825">
        <f>IF(ISBLANK('ENGAGEMENTS 2026'!B825),"",'ENGAGEMENTS 2026'!J825)</f>
        <v/>
      </c>
      <c r="Q825">
        <f>IF($A825="","",IF(OR($E825="INFRUCTUEUX",$E825="ANNULE"),$A825&amp;"|"&amp;(COUNTIFS($A$2:$A825,$A825,$E$2:$E825,"INFRUCTUEUX")+COUNTIFS($A$2:$A825,$A825,$E$2:$E825,"ANNULE")),""))</f>
        <v/>
      </c>
    </row>
    <row r="826">
      <c r="A826">
        <f>IF(ISBLANK('ENGAGEMENTS 2026'!B826),"",IF('ENGAGEMENTS 2026'!B826="DTSI","DCT",'ENGAGEMENTS 2026'!B826))</f>
        <v/>
      </c>
      <c r="B826">
        <f>IF(ISBLANK('ENGAGEMENTS 2026'!B826),"",'ENGAGEMENTS 2026'!C826)</f>
        <v/>
      </c>
      <c r="C826">
        <f>IF(ISBLANK('ENGAGEMENTS 2026'!B826),"",'ENGAGEMENTS 2026'!D826)</f>
        <v/>
      </c>
      <c r="D826">
        <f>IF(ISBLANK('ENGAGEMENTS 2026'!B826),"",'ENGAGEMENTS 2026'!F826)</f>
        <v/>
      </c>
      <c r="E826">
        <f>IF(ISBLANK('ENGAGEMENTS 2026'!B826),"",'ENGAGEMENTS 2026'!H826)</f>
        <v/>
      </c>
      <c r="F826">
        <f>IF(ISBLANK('ENGAGEMENTS 2026'!B826),"",'ENGAGEMENTS 2026'!I826)</f>
        <v/>
      </c>
      <c r="G826">
        <f>IF(ISBLANK('ENGAGEMENTS 2026'!B826),"",'ENGAGEMENTS 2026'!L826)</f>
        <v/>
      </c>
      <c r="H826">
        <f>IF(ISBLANK('ENGAGEMENTS 2026'!B826),"",'ENGAGEMENTS 2026'!AE826)</f>
        <v/>
      </c>
      <c r="I826">
        <f>IF(ISBLANK('ENGAGEMENTS 2026'!B826),"",'ENGAGEMENTS 2026'!G826)</f>
        <v/>
      </c>
      <c r="J826" s="275">
        <f>IF(ISBLANK('ENGAGEMENTS 2026'!B826),"",IF(AND(OR($E826="INFRUCTUEUX",$E826="ANNULE"),$C826="AOO-M"),'ENGAGEMENTS 2026'!O826,IF($H826="EN COURS DE PREENGAGEMENT",'ENGAGEMENTS 2026'!N826,IF($H826="PREENGAGE",IF($E826="ATTRIBUE",'ENGAGEMENTS 2026'!AD826,'ENGAGEMENTS 2026'!N826),'ENGAGEMENTS 2026'!AD826))))</f>
        <v/>
      </c>
      <c r="K826" s="604">
        <f>IF(ISBLANK('ENGAGEMENTS 2026'!V826),"",'ENGAGEMENTS 2026'!V826)</f>
        <v/>
      </c>
      <c r="L826" s="276">
        <f>IF($K826="","",TODAY()-$K826)</f>
        <v/>
      </c>
      <c r="M826">
        <f>IF($A826="","",IF($H826="ENGAGE","Engagé",IF(AND($H826="NON ENGAGE",OR($I826="INFRUCTUEUX",$I826="ANNULE")),"Clôturé sans suite","En cours")))</f>
        <v/>
      </c>
      <c r="N826">
        <f>IF(ISBLANK('ENGAGEMENTS 2026'!B826),"",'ENGAGEMENTS 2026'!K826)</f>
        <v/>
      </c>
      <c r="O826">
        <f>IF(ISBLANK('ENGAGEMENTS 2026'!B826),"",'ENGAGEMENTS 2026'!L826)</f>
        <v/>
      </c>
      <c r="P826">
        <f>IF(ISBLANK('ENGAGEMENTS 2026'!B826),"",'ENGAGEMENTS 2026'!J826)</f>
        <v/>
      </c>
      <c r="Q826">
        <f>IF($A826="","",IF(OR($E826="INFRUCTUEUX",$E826="ANNULE"),$A826&amp;"|"&amp;(COUNTIFS($A$2:$A826,$A826,$E$2:$E826,"INFRUCTUEUX")+COUNTIFS($A$2:$A826,$A826,$E$2:$E826,"ANNULE")),""))</f>
        <v/>
      </c>
    </row>
    <row r="827">
      <c r="A827">
        <f>IF(ISBLANK('ENGAGEMENTS 2026'!B827),"",IF('ENGAGEMENTS 2026'!B827="DTSI","DCT",'ENGAGEMENTS 2026'!B827))</f>
        <v/>
      </c>
      <c r="B827">
        <f>IF(ISBLANK('ENGAGEMENTS 2026'!B827),"",'ENGAGEMENTS 2026'!C827)</f>
        <v/>
      </c>
      <c r="C827">
        <f>IF(ISBLANK('ENGAGEMENTS 2026'!B827),"",'ENGAGEMENTS 2026'!D827)</f>
        <v/>
      </c>
      <c r="D827">
        <f>IF(ISBLANK('ENGAGEMENTS 2026'!B827),"",'ENGAGEMENTS 2026'!F827)</f>
        <v/>
      </c>
      <c r="E827">
        <f>IF(ISBLANK('ENGAGEMENTS 2026'!B827),"",'ENGAGEMENTS 2026'!H827)</f>
        <v/>
      </c>
      <c r="F827">
        <f>IF(ISBLANK('ENGAGEMENTS 2026'!B827),"",'ENGAGEMENTS 2026'!I827)</f>
        <v/>
      </c>
      <c r="G827">
        <f>IF(ISBLANK('ENGAGEMENTS 2026'!B827),"",'ENGAGEMENTS 2026'!L827)</f>
        <v/>
      </c>
      <c r="H827">
        <f>IF(ISBLANK('ENGAGEMENTS 2026'!B827),"",'ENGAGEMENTS 2026'!AE827)</f>
        <v/>
      </c>
      <c r="I827">
        <f>IF(ISBLANK('ENGAGEMENTS 2026'!B827),"",'ENGAGEMENTS 2026'!G827)</f>
        <v/>
      </c>
      <c r="J827" s="275">
        <f>IF(ISBLANK('ENGAGEMENTS 2026'!B827),"",IF(AND(OR($E827="INFRUCTUEUX",$E827="ANNULE"),$C827="AOO-M"),'ENGAGEMENTS 2026'!O827,IF($H827="EN COURS DE PREENGAGEMENT",'ENGAGEMENTS 2026'!N827,IF($H827="PREENGAGE",IF($E827="ATTRIBUE",'ENGAGEMENTS 2026'!AD827,'ENGAGEMENTS 2026'!N827),'ENGAGEMENTS 2026'!AD827))))</f>
        <v/>
      </c>
      <c r="K827" s="604">
        <f>IF(ISBLANK('ENGAGEMENTS 2026'!V827),"",'ENGAGEMENTS 2026'!V827)</f>
        <v/>
      </c>
      <c r="L827" s="276">
        <f>IF($K827="","",TODAY()-$K827)</f>
        <v/>
      </c>
      <c r="M827">
        <f>IF($A827="","",IF($H827="ENGAGE","Engagé",IF(AND($H827="NON ENGAGE",OR($I827="INFRUCTUEUX",$I827="ANNULE")),"Clôturé sans suite","En cours")))</f>
        <v/>
      </c>
      <c r="N827">
        <f>IF(ISBLANK('ENGAGEMENTS 2026'!B827),"",'ENGAGEMENTS 2026'!K827)</f>
        <v/>
      </c>
      <c r="O827">
        <f>IF(ISBLANK('ENGAGEMENTS 2026'!B827),"",'ENGAGEMENTS 2026'!L827)</f>
        <v/>
      </c>
      <c r="P827">
        <f>IF(ISBLANK('ENGAGEMENTS 2026'!B827),"",'ENGAGEMENTS 2026'!J827)</f>
        <v/>
      </c>
      <c r="Q827">
        <f>IF($A827="","",IF(OR($E827="INFRUCTUEUX",$E827="ANNULE"),$A827&amp;"|"&amp;(COUNTIFS($A$2:$A827,$A827,$E$2:$E827,"INFRUCTUEUX")+COUNTIFS($A$2:$A827,$A827,$E$2:$E827,"ANNULE")),""))</f>
        <v/>
      </c>
    </row>
    <row r="828">
      <c r="A828">
        <f>IF(ISBLANK('ENGAGEMENTS 2026'!B828),"",IF('ENGAGEMENTS 2026'!B828="DTSI","DCT",'ENGAGEMENTS 2026'!B828))</f>
        <v/>
      </c>
      <c r="B828">
        <f>IF(ISBLANK('ENGAGEMENTS 2026'!B828),"",'ENGAGEMENTS 2026'!C828)</f>
        <v/>
      </c>
      <c r="C828">
        <f>IF(ISBLANK('ENGAGEMENTS 2026'!B828),"",'ENGAGEMENTS 2026'!D828)</f>
        <v/>
      </c>
      <c r="D828">
        <f>IF(ISBLANK('ENGAGEMENTS 2026'!B828),"",'ENGAGEMENTS 2026'!F828)</f>
        <v/>
      </c>
      <c r="E828">
        <f>IF(ISBLANK('ENGAGEMENTS 2026'!B828),"",'ENGAGEMENTS 2026'!H828)</f>
        <v/>
      </c>
      <c r="F828">
        <f>IF(ISBLANK('ENGAGEMENTS 2026'!B828),"",'ENGAGEMENTS 2026'!I828)</f>
        <v/>
      </c>
      <c r="G828">
        <f>IF(ISBLANK('ENGAGEMENTS 2026'!B828),"",'ENGAGEMENTS 2026'!L828)</f>
        <v/>
      </c>
      <c r="H828">
        <f>IF(ISBLANK('ENGAGEMENTS 2026'!B828),"",'ENGAGEMENTS 2026'!AE828)</f>
        <v/>
      </c>
      <c r="I828">
        <f>IF(ISBLANK('ENGAGEMENTS 2026'!B828),"",'ENGAGEMENTS 2026'!G828)</f>
        <v/>
      </c>
      <c r="J828" s="275">
        <f>IF(ISBLANK('ENGAGEMENTS 2026'!B828),"",IF(AND(OR($E828="INFRUCTUEUX",$E828="ANNULE"),$C828="AOO-M"),'ENGAGEMENTS 2026'!O828,IF($H828="EN COURS DE PREENGAGEMENT",'ENGAGEMENTS 2026'!N828,IF($H828="PREENGAGE",IF($E828="ATTRIBUE",'ENGAGEMENTS 2026'!AD828,'ENGAGEMENTS 2026'!N828),'ENGAGEMENTS 2026'!AD828))))</f>
        <v/>
      </c>
      <c r="K828" s="604">
        <f>IF(ISBLANK('ENGAGEMENTS 2026'!V828),"",'ENGAGEMENTS 2026'!V828)</f>
        <v/>
      </c>
      <c r="L828" s="276">
        <f>IF($K828="","",TODAY()-$K828)</f>
        <v/>
      </c>
      <c r="M828">
        <f>IF($A828="","",IF($H828="ENGAGE","Engagé",IF(AND($H828="NON ENGAGE",OR($I828="INFRUCTUEUX",$I828="ANNULE")),"Clôturé sans suite","En cours")))</f>
        <v/>
      </c>
      <c r="N828">
        <f>IF(ISBLANK('ENGAGEMENTS 2026'!B828),"",'ENGAGEMENTS 2026'!K828)</f>
        <v/>
      </c>
      <c r="O828">
        <f>IF(ISBLANK('ENGAGEMENTS 2026'!B828),"",'ENGAGEMENTS 2026'!L828)</f>
        <v/>
      </c>
      <c r="P828">
        <f>IF(ISBLANK('ENGAGEMENTS 2026'!B828),"",'ENGAGEMENTS 2026'!J828)</f>
        <v/>
      </c>
      <c r="Q828">
        <f>IF($A828="","",IF(OR($E828="INFRUCTUEUX",$E828="ANNULE"),$A828&amp;"|"&amp;(COUNTIFS($A$2:$A828,$A828,$E$2:$E828,"INFRUCTUEUX")+COUNTIFS($A$2:$A828,$A828,$E$2:$E828,"ANNULE")),""))</f>
        <v/>
      </c>
    </row>
    <row r="829">
      <c r="A829">
        <f>IF(ISBLANK('ENGAGEMENTS 2026'!B829),"",IF('ENGAGEMENTS 2026'!B829="DTSI","DCT",'ENGAGEMENTS 2026'!B829))</f>
        <v/>
      </c>
      <c r="B829">
        <f>IF(ISBLANK('ENGAGEMENTS 2026'!B829),"",'ENGAGEMENTS 2026'!C829)</f>
        <v/>
      </c>
      <c r="C829">
        <f>IF(ISBLANK('ENGAGEMENTS 2026'!B829),"",'ENGAGEMENTS 2026'!D829)</f>
        <v/>
      </c>
      <c r="D829">
        <f>IF(ISBLANK('ENGAGEMENTS 2026'!B829),"",'ENGAGEMENTS 2026'!F829)</f>
        <v/>
      </c>
      <c r="E829">
        <f>IF(ISBLANK('ENGAGEMENTS 2026'!B829),"",'ENGAGEMENTS 2026'!H829)</f>
        <v/>
      </c>
      <c r="F829">
        <f>IF(ISBLANK('ENGAGEMENTS 2026'!B829),"",'ENGAGEMENTS 2026'!I829)</f>
        <v/>
      </c>
      <c r="G829">
        <f>IF(ISBLANK('ENGAGEMENTS 2026'!B829),"",'ENGAGEMENTS 2026'!L829)</f>
        <v/>
      </c>
      <c r="H829">
        <f>IF(ISBLANK('ENGAGEMENTS 2026'!B829),"",'ENGAGEMENTS 2026'!AE829)</f>
        <v/>
      </c>
      <c r="I829">
        <f>IF(ISBLANK('ENGAGEMENTS 2026'!B829),"",'ENGAGEMENTS 2026'!G829)</f>
        <v/>
      </c>
      <c r="J829" s="275">
        <f>IF(ISBLANK('ENGAGEMENTS 2026'!B829),"",IF(AND(OR($E829="INFRUCTUEUX",$E829="ANNULE"),$C829="AOO-M"),'ENGAGEMENTS 2026'!O829,IF($H829="EN COURS DE PREENGAGEMENT",'ENGAGEMENTS 2026'!N829,IF($H829="PREENGAGE",IF($E829="ATTRIBUE",'ENGAGEMENTS 2026'!AD829,'ENGAGEMENTS 2026'!N829),'ENGAGEMENTS 2026'!AD829))))</f>
        <v/>
      </c>
      <c r="K829" s="604">
        <f>IF(ISBLANK('ENGAGEMENTS 2026'!V829),"",'ENGAGEMENTS 2026'!V829)</f>
        <v/>
      </c>
      <c r="L829" s="276">
        <f>IF($K829="","",TODAY()-$K829)</f>
        <v/>
      </c>
      <c r="M829">
        <f>IF($A829="","",IF($H829="ENGAGE","Engagé",IF(AND($H829="NON ENGAGE",OR($I829="INFRUCTUEUX",$I829="ANNULE")),"Clôturé sans suite","En cours")))</f>
        <v/>
      </c>
      <c r="N829">
        <f>IF(ISBLANK('ENGAGEMENTS 2026'!B829),"",'ENGAGEMENTS 2026'!K829)</f>
        <v/>
      </c>
      <c r="O829">
        <f>IF(ISBLANK('ENGAGEMENTS 2026'!B829),"",'ENGAGEMENTS 2026'!L829)</f>
        <v/>
      </c>
      <c r="P829">
        <f>IF(ISBLANK('ENGAGEMENTS 2026'!B829),"",'ENGAGEMENTS 2026'!J829)</f>
        <v/>
      </c>
      <c r="Q829">
        <f>IF($A829="","",IF(OR($E829="INFRUCTUEUX",$E829="ANNULE"),$A829&amp;"|"&amp;(COUNTIFS($A$2:$A829,$A829,$E$2:$E829,"INFRUCTUEUX")+COUNTIFS($A$2:$A829,$A829,$E$2:$E829,"ANNULE")),""))</f>
        <v/>
      </c>
    </row>
    <row r="830">
      <c r="A830">
        <f>IF(ISBLANK('ENGAGEMENTS 2026'!B830),"",IF('ENGAGEMENTS 2026'!B830="DTSI","DCT",'ENGAGEMENTS 2026'!B830))</f>
        <v/>
      </c>
      <c r="B830">
        <f>IF(ISBLANK('ENGAGEMENTS 2026'!B830),"",'ENGAGEMENTS 2026'!C830)</f>
        <v/>
      </c>
      <c r="C830">
        <f>IF(ISBLANK('ENGAGEMENTS 2026'!B830),"",'ENGAGEMENTS 2026'!D830)</f>
        <v/>
      </c>
      <c r="D830">
        <f>IF(ISBLANK('ENGAGEMENTS 2026'!B830),"",'ENGAGEMENTS 2026'!F830)</f>
        <v/>
      </c>
      <c r="E830">
        <f>IF(ISBLANK('ENGAGEMENTS 2026'!B830),"",'ENGAGEMENTS 2026'!H830)</f>
        <v/>
      </c>
      <c r="F830">
        <f>IF(ISBLANK('ENGAGEMENTS 2026'!B830),"",'ENGAGEMENTS 2026'!I830)</f>
        <v/>
      </c>
      <c r="G830">
        <f>IF(ISBLANK('ENGAGEMENTS 2026'!B830),"",'ENGAGEMENTS 2026'!L830)</f>
        <v/>
      </c>
      <c r="H830">
        <f>IF(ISBLANK('ENGAGEMENTS 2026'!B830),"",'ENGAGEMENTS 2026'!AE830)</f>
        <v/>
      </c>
      <c r="I830">
        <f>IF(ISBLANK('ENGAGEMENTS 2026'!B830),"",'ENGAGEMENTS 2026'!G830)</f>
        <v/>
      </c>
      <c r="J830" s="275">
        <f>IF(ISBLANK('ENGAGEMENTS 2026'!B830),"",IF(AND(OR($E830="INFRUCTUEUX",$E830="ANNULE"),$C830="AOO-M"),'ENGAGEMENTS 2026'!O830,IF($H830="EN COURS DE PREENGAGEMENT",'ENGAGEMENTS 2026'!N830,IF($H830="PREENGAGE",IF($E830="ATTRIBUE",'ENGAGEMENTS 2026'!AD830,'ENGAGEMENTS 2026'!N830),'ENGAGEMENTS 2026'!AD830))))</f>
        <v/>
      </c>
      <c r="K830" s="604">
        <f>IF(ISBLANK('ENGAGEMENTS 2026'!V830),"",'ENGAGEMENTS 2026'!V830)</f>
        <v/>
      </c>
      <c r="L830" s="276">
        <f>IF($K830="","",TODAY()-$K830)</f>
        <v/>
      </c>
      <c r="M830">
        <f>IF($A830="","",IF($H830="ENGAGE","Engagé",IF(AND($H830="NON ENGAGE",OR($I830="INFRUCTUEUX",$I830="ANNULE")),"Clôturé sans suite","En cours")))</f>
        <v/>
      </c>
      <c r="N830">
        <f>IF(ISBLANK('ENGAGEMENTS 2026'!B830),"",'ENGAGEMENTS 2026'!K830)</f>
        <v/>
      </c>
      <c r="O830">
        <f>IF(ISBLANK('ENGAGEMENTS 2026'!B830),"",'ENGAGEMENTS 2026'!L830)</f>
        <v/>
      </c>
      <c r="P830">
        <f>IF(ISBLANK('ENGAGEMENTS 2026'!B830),"",'ENGAGEMENTS 2026'!J830)</f>
        <v/>
      </c>
      <c r="Q830">
        <f>IF($A830="","",IF(OR($E830="INFRUCTUEUX",$E830="ANNULE"),$A830&amp;"|"&amp;(COUNTIFS($A$2:$A830,$A830,$E$2:$E830,"INFRUCTUEUX")+COUNTIFS($A$2:$A830,$A830,$E$2:$E830,"ANNULE")),""))</f>
        <v/>
      </c>
    </row>
    <row r="831">
      <c r="A831">
        <f>IF(ISBLANK('ENGAGEMENTS 2026'!B831),"",IF('ENGAGEMENTS 2026'!B831="DTSI","DCT",'ENGAGEMENTS 2026'!B831))</f>
        <v/>
      </c>
      <c r="B831">
        <f>IF(ISBLANK('ENGAGEMENTS 2026'!B831),"",'ENGAGEMENTS 2026'!C831)</f>
        <v/>
      </c>
      <c r="C831">
        <f>IF(ISBLANK('ENGAGEMENTS 2026'!B831),"",'ENGAGEMENTS 2026'!D831)</f>
        <v/>
      </c>
      <c r="D831">
        <f>IF(ISBLANK('ENGAGEMENTS 2026'!B831),"",'ENGAGEMENTS 2026'!F831)</f>
        <v/>
      </c>
      <c r="E831">
        <f>IF(ISBLANK('ENGAGEMENTS 2026'!B831),"",'ENGAGEMENTS 2026'!H831)</f>
        <v/>
      </c>
      <c r="F831">
        <f>IF(ISBLANK('ENGAGEMENTS 2026'!B831),"",'ENGAGEMENTS 2026'!I831)</f>
        <v/>
      </c>
      <c r="G831">
        <f>IF(ISBLANK('ENGAGEMENTS 2026'!B831),"",'ENGAGEMENTS 2026'!L831)</f>
        <v/>
      </c>
      <c r="H831">
        <f>IF(ISBLANK('ENGAGEMENTS 2026'!B831),"",'ENGAGEMENTS 2026'!AE831)</f>
        <v/>
      </c>
      <c r="I831">
        <f>IF(ISBLANK('ENGAGEMENTS 2026'!B831),"",'ENGAGEMENTS 2026'!G831)</f>
        <v/>
      </c>
      <c r="J831" s="275">
        <f>IF(ISBLANK('ENGAGEMENTS 2026'!B831),"",IF(AND(OR($E831="INFRUCTUEUX",$E831="ANNULE"),$C831="AOO-M"),'ENGAGEMENTS 2026'!O831,IF($H831="EN COURS DE PREENGAGEMENT",'ENGAGEMENTS 2026'!N831,IF($H831="PREENGAGE",IF($E831="ATTRIBUE",'ENGAGEMENTS 2026'!AD831,'ENGAGEMENTS 2026'!N831),'ENGAGEMENTS 2026'!AD831))))</f>
        <v/>
      </c>
      <c r="K831" s="604">
        <f>IF(ISBLANK('ENGAGEMENTS 2026'!V831),"",'ENGAGEMENTS 2026'!V831)</f>
        <v/>
      </c>
      <c r="L831" s="276">
        <f>IF($K831="","",TODAY()-$K831)</f>
        <v/>
      </c>
      <c r="M831">
        <f>IF($A831="","",IF($H831="ENGAGE","Engagé",IF(AND($H831="NON ENGAGE",OR($I831="INFRUCTUEUX",$I831="ANNULE")),"Clôturé sans suite","En cours")))</f>
        <v/>
      </c>
      <c r="N831">
        <f>IF(ISBLANK('ENGAGEMENTS 2026'!B831),"",'ENGAGEMENTS 2026'!K831)</f>
        <v/>
      </c>
      <c r="O831">
        <f>IF(ISBLANK('ENGAGEMENTS 2026'!B831),"",'ENGAGEMENTS 2026'!L831)</f>
        <v/>
      </c>
      <c r="P831">
        <f>IF(ISBLANK('ENGAGEMENTS 2026'!B831),"",'ENGAGEMENTS 2026'!J831)</f>
        <v/>
      </c>
      <c r="Q831">
        <f>IF($A831="","",IF(OR($E831="INFRUCTUEUX",$E831="ANNULE"),$A831&amp;"|"&amp;(COUNTIFS($A$2:$A831,$A831,$E$2:$E831,"INFRUCTUEUX")+COUNTIFS($A$2:$A831,$A831,$E$2:$E831,"ANNULE")),""))</f>
        <v/>
      </c>
    </row>
    <row r="832">
      <c r="A832">
        <f>IF(ISBLANK('ENGAGEMENTS 2026'!B832),"",IF('ENGAGEMENTS 2026'!B832="DTSI","DCT",'ENGAGEMENTS 2026'!B832))</f>
        <v/>
      </c>
      <c r="B832">
        <f>IF(ISBLANK('ENGAGEMENTS 2026'!B832),"",'ENGAGEMENTS 2026'!C832)</f>
        <v/>
      </c>
      <c r="C832">
        <f>IF(ISBLANK('ENGAGEMENTS 2026'!B832),"",'ENGAGEMENTS 2026'!D832)</f>
        <v/>
      </c>
      <c r="D832">
        <f>IF(ISBLANK('ENGAGEMENTS 2026'!B832),"",'ENGAGEMENTS 2026'!F832)</f>
        <v/>
      </c>
      <c r="E832">
        <f>IF(ISBLANK('ENGAGEMENTS 2026'!B832),"",'ENGAGEMENTS 2026'!H832)</f>
        <v/>
      </c>
      <c r="F832">
        <f>IF(ISBLANK('ENGAGEMENTS 2026'!B832),"",'ENGAGEMENTS 2026'!I832)</f>
        <v/>
      </c>
      <c r="G832">
        <f>IF(ISBLANK('ENGAGEMENTS 2026'!B832),"",'ENGAGEMENTS 2026'!L832)</f>
        <v/>
      </c>
      <c r="H832">
        <f>IF(ISBLANK('ENGAGEMENTS 2026'!B832),"",'ENGAGEMENTS 2026'!AE832)</f>
        <v/>
      </c>
      <c r="I832">
        <f>IF(ISBLANK('ENGAGEMENTS 2026'!B832),"",'ENGAGEMENTS 2026'!G832)</f>
        <v/>
      </c>
      <c r="J832" s="275">
        <f>IF(ISBLANK('ENGAGEMENTS 2026'!B832),"",IF(AND(OR($E832="INFRUCTUEUX",$E832="ANNULE"),$C832="AOO-M"),'ENGAGEMENTS 2026'!O832,IF($H832="EN COURS DE PREENGAGEMENT",'ENGAGEMENTS 2026'!N832,IF($H832="PREENGAGE",IF($E832="ATTRIBUE",'ENGAGEMENTS 2026'!AD832,'ENGAGEMENTS 2026'!N832),'ENGAGEMENTS 2026'!AD832))))</f>
        <v/>
      </c>
      <c r="K832" s="604">
        <f>IF(ISBLANK('ENGAGEMENTS 2026'!V832),"",'ENGAGEMENTS 2026'!V832)</f>
        <v/>
      </c>
      <c r="L832" s="276">
        <f>IF($K832="","",TODAY()-$K832)</f>
        <v/>
      </c>
      <c r="M832">
        <f>IF($A832="","",IF($H832="ENGAGE","Engagé",IF(AND($H832="NON ENGAGE",OR($I832="INFRUCTUEUX",$I832="ANNULE")),"Clôturé sans suite","En cours")))</f>
        <v/>
      </c>
      <c r="N832">
        <f>IF(ISBLANK('ENGAGEMENTS 2026'!B832),"",'ENGAGEMENTS 2026'!K832)</f>
        <v/>
      </c>
      <c r="O832">
        <f>IF(ISBLANK('ENGAGEMENTS 2026'!B832),"",'ENGAGEMENTS 2026'!L832)</f>
        <v/>
      </c>
      <c r="P832">
        <f>IF(ISBLANK('ENGAGEMENTS 2026'!B832),"",'ENGAGEMENTS 2026'!J832)</f>
        <v/>
      </c>
      <c r="Q832">
        <f>IF($A832="","",IF(OR($E832="INFRUCTUEUX",$E832="ANNULE"),$A832&amp;"|"&amp;(COUNTIFS($A$2:$A832,$A832,$E$2:$E832,"INFRUCTUEUX")+COUNTIFS($A$2:$A832,$A832,$E$2:$E832,"ANNULE")),""))</f>
        <v/>
      </c>
    </row>
    <row r="833">
      <c r="A833">
        <f>IF(ISBLANK('ENGAGEMENTS 2026'!B833),"",IF('ENGAGEMENTS 2026'!B833="DTSI","DCT",'ENGAGEMENTS 2026'!B833))</f>
        <v/>
      </c>
      <c r="B833">
        <f>IF(ISBLANK('ENGAGEMENTS 2026'!B833),"",'ENGAGEMENTS 2026'!C833)</f>
        <v/>
      </c>
      <c r="C833">
        <f>IF(ISBLANK('ENGAGEMENTS 2026'!B833),"",'ENGAGEMENTS 2026'!D833)</f>
        <v/>
      </c>
      <c r="D833">
        <f>IF(ISBLANK('ENGAGEMENTS 2026'!B833),"",'ENGAGEMENTS 2026'!F833)</f>
        <v/>
      </c>
      <c r="E833">
        <f>IF(ISBLANK('ENGAGEMENTS 2026'!B833),"",'ENGAGEMENTS 2026'!H833)</f>
        <v/>
      </c>
      <c r="F833">
        <f>IF(ISBLANK('ENGAGEMENTS 2026'!B833),"",'ENGAGEMENTS 2026'!I833)</f>
        <v/>
      </c>
      <c r="G833">
        <f>IF(ISBLANK('ENGAGEMENTS 2026'!B833),"",'ENGAGEMENTS 2026'!L833)</f>
        <v/>
      </c>
      <c r="H833">
        <f>IF(ISBLANK('ENGAGEMENTS 2026'!B833),"",'ENGAGEMENTS 2026'!AE833)</f>
        <v/>
      </c>
      <c r="I833">
        <f>IF(ISBLANK('ENGAGEMENTS 2026'!B833),"",'ENGAGEMENTS 2026'!G833)</f>
        <v/>
      </c>
      <c r="J833" s="275">
        <f>IF(ISBLANK('ENGAGEMENTS 2026'!B833),"",IF(AND(OR($E833="INFRUCTUEUX",$E833="ANNULE"),$C833="AOO-M"),'ENGAGEMENTS 2026'!O833,IF($H833="EN COURS DE PREENGAGEMENT",'ENGAGEMENTS 2026'!N833,IF($H833="PREENGAGE",IF($E833="ATTRIBUE",'ENGAGEMENTS 2026'!AD833,'ENGAGEMENTS 2026'!N833),'ENGAGEMENTS 2026'!AD833))))</f>
        <v/>
      </c>
      <c r="K833" s="604">
        <f>IF(ISBLANK('ENGAGEMENTS 2026'!V833),"",'ENGAGEMENTS 2026'!V833)</f>
        <v/>
      </c>
      <c r="L833" s="276">
        <f>IF($K833="","",TODAY()-$K833)</f>
        <v/>
      </c>
      <c r="M833">
        <f>IF($A833="","",IF($H833="ENGAGE","Engagé",IF(AND($H833="NON ENGAGE",OR($I833="INFRUCTUEUX",$I833="ANNULE")),"Clôturé sans suite","En cours")))</f>
        <v/>
      </c>
      <c r="N833">
        <f>IF(ISBLANK('ENGAGEMENTS 2026'!B833),"",'ENGAGEMENTS 2026'!K833)</f>
        <v/>
      </c>
      <c r="O833">
        <f>IF(ISBLANK('ENGAGEMENTS 2026'!B833),"",'ENGAGEMENTS 2026'!L833)</f>
        <v/>
      </c>
      <c r="P833">
        <f>IF(ISBLANK('ENGAGEMENTS 2026'!B833),"",'ENGAGEMENTS 2026'!J833)</f>
        <v/>
      </c>
      <c r="Q833">
        <f>IF($A833="","",IF(OR($E833="INFRUCTUEUX",$E833="ANNULE"),$A833&amp;"|"&amp;(COUNTIFS($A$2:$A833,$A833,$E$2:$E833,"INFRUCTUEUX")+COUNTIFS($A$2:$A833,$A833,$E$2:$E833,"ANNULE")),""))</f>
        <v/>
      </c>
    </row>
    <row r="834">
      <c r="A834">
        <f>IF(ISBLANK('ENGAGEMENTS 2026'!B834),"",IF('ENGAGEMENTS 2026'!B834="DTSI","DCT",'ENGAGEMENTS 2026'!B834))</f>
        <v/>
      </c>
      <c r="B834">
        <f>IF(ISBLANK('ENGAGEMENTS 2026'!B834),"",'ENGAGEMENTS 2026'!C834)</f>
        <v/>
      </c>
      <c r="C834">
        <f>IF(ISBLANK('ENGAGEMENTS 2026'!B834),"",'ENGAGEMENTS 2026'!D834)</f>
        <v/>
      </c>
      <c r="D834">
        <f>IF(ISBLANK('ENGAGEMENTS 2026'!B834),"",'ENGAGEMENTS 2026'!F834)</f>
        <v/>
      </c>
      <c r="E834">
        <f>IF(ISBLANK('ENGAGEMENTS 2026'!B834),"",'ENGAGEMENTS 2026'!H834)</f>
        <v/>
      </c>
      <c r="F834">
        <f>IF(ISBLANK('ENGAGEMENTS 2026'!B834),"",'ENGAGEMENTS 2026'!I834)</f>
        <v/>
      </c>
      <c r="G834">
        <f>IF(ISBLANK('ENGAGEMENTS 2026'!B834),"",'ENGAGEMENTS 2026'!L834)</f>
        <v/>
      </c>
      <c r="H834">
        <f>IF(ISBLANK('ENGAGEMENTS 2026'!B834),"",'ENGAGEMENTS 2026'!AE834)</f>
        <v/>
      </c>
      <c r="I834">
        <f>IF(ISBLANK('ENGAGEMENTS 2026'!B834),"",'ENGAGEMENTS 2026'!G834)</f>
        <v/>
      </c>
      <c r="J834" s="275">
        <f>IF(ISBLANK('ENGAGEMENTS 2026'!B834),"",IF(AND(OR($E834="INFRUCTUEUX",$E834="ANNULE"),$C834="AOO-M"),'ENGAGEMENTS 2026'!O834,IF($H834="EN COURS DE PREENGAGEMENT",'ENGAGEMENTS 2026'!N834,IF($H834="PREENGAGE",IF($E834="ATTRIBUE",'ENGAGEMENTS 2026'!AD834,'ENGAGEMENTS 2026'!N834),'ENGAGEMENTS 2026'!AD834))))</f>
        <v/>
      </c>
      <c r="K834" s="604">
        <f>IF(ISBLANK('ENGAGEMENTS 2026'!V834),"",'ENGAGEMENTS 2026'!V834)</f>
        <v/>
      </c>
      <c r="L834" s="276">
        <f>IF($K834="","",TODAY()-$K834)</f>
        <v/>
      </c>
      <c r="M834">
        <f>IF($A834="","",IF($H834="ENGAGE","Engagé",IF(AND($H834="NON ENGAGE",OR($I834="INFRUCTUEUX",$I834="ANNULE")),"Clôturé sans suite","En cours")))</f>
        <v/>
      </c>
      <c r="N834">
        <f>IF(ISBLANK('ENGAGEMENTS 2026'!B834),"",'ENGAGEMENTS 2026'!K834)</f>
        <v/>
      </c>
      <c r="O834">
        <f>IF(ISBLANK('ENGAGEMENTS 2026'!B834),"",'ENGAGEMENTS 2026'!L834)</f>
        <v/>
      </c>
      <c r="P834">
        <f>IF(ISBLANK('ENGAGEMENTS 2026'!B834),"",'ENGAGEMENTS 2026'!J834)</f>
        <v/>
      </c>
      <c r="Q834">
        <f>IF($A834="","",IF(OR($E834="INFRUCTUEUX",$E834="ANNULE"),$A834&amp;"|"&amp;(COUNTIFS($A$2:$A834,$A834,$E$2:$E834,"INFRUCTUEUX")+COUNTIFS($A$2:$A834,$A834,$E$2:$E834,"ANNULE")),""))</f>
        <v/>
      </c>
    </row>
    <row r="835">
      <c r="A835">
        <f>IF(ISBLANK('ENGAGEMENTS 2026'!B835),"",IF('ENGAGEMENTS 2026'!B835="DTSI","DCT",'ENGAGEMENTS 2026'!B835))</f>
        <v/>
      </c>
      <c r="B835">
        <f>IF(ISBLANK('ENGAGEMENTS 2026'!B835),"",'ENGAGEMENTS 2026'!C835)</f>
        <v/>
      </c>
      <c r="C835">
        <f>IF(ISBLANK('ENGAGEMENTS 2026'!B835),"",'ENGAGEMENTS 2026'!D835)</f>
        <v/>
      </c>
      <c r="D835">
        <f>IF(ISBLANK('ENGAGEMENTS 2026'!B835),"",'ENGAGEMENTS 2026'!F835)</f>
        <v/>
      </c>
      <c r="E835">
        <f>IF(ISBLANK('ENGAGEMENTS 2026'!B835),"",'ENGAGEMENTS 2026'!H835)</f>
        <v/>
      </c>
      <c r="F835">
        <f>IF(ISBLANK('ENGAGEMENTS 2026'!B835),"",'ENGAGEMENTS 2026'!I835)</f>
        <v/>
      </c>
      <c r="G835">
        <f>IF(ISBLANK('ENGAGEMENTS 2026'!B835),"",'ENGAGEMENTS 2026'!L835)</f>
        <v/>
      </c>
      <c r="H835">
        <f>IF(ISBLANK('ENGAGEMENTS 2026'!B835),"",'ENGAGEMENTS 2026'!AE835)</f>
        <v/>
      </c>
      <c r="I835">
        <f>IF(ISBLANK('ENGAGEMENTS 2026'!B835),"",'ENGAGEMENTS 2026'!G835)</f>
        <v/>
      </c>
      <c r="J835" s="275">
        <f>IF(ISBLANK('ENGAGEMENTS 2026'!B835),"",IF(AND(OR($E835="INFRUCTUEUX",$E835="ANNULE"),$C835="AOO-M"),'ENGAGEMENTS 2026'!O835,IF($H835="EN COURS DE PREENGAGEMENT",'ENGAGEMENTS 2026'!N835,IF($H835="PREENGAGE",IF($E835="ATTRIBUE",'ENGAGEMENTS 2026'!AD835,'ENGAGEMENTS 2026'!N835),'ENGAGEMENTS 2026'!AD835))))</f>
        <v/>
      </c>
      <c r="K835" s="604">
        <f>IF(ISBLANK('ENGAGEMENTS 2026'!V835),"",'ENGAGEMENTS 2026'!V835)</f>
        <v/>
      </c>
      <c r="L835" s="276">
        <f>IF($K835="","",TODAY()-$K835)</f>
        <v/>
      </c>
      <c r="M835">
        <f>IF($A835="","",IF($H835="ENGAGE","Engagé",IF(AND($H835="NON ENGAGE",OR($I835="INFRUCTUEUX",$I835="ANNULE")),"Clôturé sans suite","En cours")))</f>
        <v/>
      </c>
      <c r="N835">
        <f>IF(ISBLANK('ENGAGEMENTS 2026'!B835),"",'ENGAGEMENTS 2026'!K835)</f>
        <v/>
      </c>
      <c r="O835">
        <f>IF(ISBLANK('ENGAGEMENTS 2026'!B835),"",'ENGAGEMENTS 2026'!L835)</f>
        <v/>
      </c>
      <c r="P835">
        <f>IF(ISBLANK('ENGAGEMENTS 2026'!B835),"",'ENGAGEMENTS 2026'!J835)</f>
        <v/>
      </c>
      <c r="Q835">
        <f>IF($A835="","",IF(OR($E835="INFRUCTUEUX",$E835="ANNULE"),$A835&amp;"|"&amp;(COUNTIFS($A$2:$A835,$A835,$E$2:$E835,"INFRUCTUEUX")+COUNTIFS($A$2:$A835,$A835,$E$2:$E835,"ANNULE")),""))</f>
        <v/>
      </c>
    </row>
    <row r="836">
      <c r="A836">
        <f>IF(ISBLANK('ENGAGEMENTS 2026'!B836),"",IF('ENGAGEMENTS 2026'!B836="DTSI","DCT",'ENGAGEMENTS 2026'!B836))</f>
        <v/>
      </c>
      <c r="B836">
        <f>IF(ISBLANK('ENGAGEMENTS 2026'!B836),"",'ENGAGEMENTS 2026'!C836)</f>
        <v/>
      </c>
      <c r="C836">
        <f>IF(ISBLANK('ENGAGEMENTS 2026'!B836),"",'ENGAGEMENTS 2026'!D836)</f>
        <v/>
      </c>
      <c r="D836">
        <f>IF(ISBLANK('ENGAGEMENTS 2026'!B836),"",'ENGAGEMENTS 2026'!F836)</f>
        <v/>
      </c>
      <c r="E836">
        <f>IF(ISBLANK('ENGAGEMENTS 2026'!B836),"",'ENGAGEMENTS 2026'!H836)</f>
        <v/>
      </c>
      <c r="F836">
        <f>IF(ISBLANK('ENGAGEMENTS 2026'!B836),"",'ENGAGEMENTS 2026'!I836)</f>
        <v/>
      </c>
      <c r="G836">
        <f>IF(ISBLANK('ENGAGEMENTS 2026'!B836),"",'ENGAGEMENTS 2026'!L836)</f>
        <v/>
      </c>
      <c r="H836">
        <f>IF(ISBLANK('ENGAGEMENTS 2026'!B836),"",'ENGAGEMENTS 2026'!AE836)</f>
        <v/>
      </c>
      <c r="I836">
        <f>IF(ISBLANK('ENGAGEMENTS 2026'!B836),"",'ENGAGEMENTS 2026'!G836)</f>
        <v/>
      </c>
      <c r="J836" s="275">
        <f>IF(ISBLANK('ENGAGEMENTS 2026'!B836),"",IF(AND(OR($E836="INFRUCTUEUX",$E836="ANNULE"),$C836="AOO-M"),'ENGAGEMENTS 2026'!O836,IF($H836="EN COURS DE PREENGAGEMENT",'ENGAGEMENTS 2026'!N836,IF($H836="PREENGAGE",IF($E836="ATTRIBUE",'ENGAGEMENTS 2026'!AD836,'ENGAGEMENTS 2026'!N836),'ENGAGEMENTS 2026'!AD836))))</f>
        <v/>
      </c>
      <c r="K836" s="604">
        <f>IF(ISBLANK('ENGAGEMENTS 2026'!V836),"",'ENGAGEMENTS 2026'!V836)</f>
        <v/>
      </c>
      <c r="L836" s="276">
        <f>IF($K836="","",TODAY()-$K836)</f>
        <v/>
      </c>
      <c r="M836">
        <f>IF($A836="","",IF($H836="ENGAGE","Engagé",IF(AND($H836="NON ENGAGE",OR($I836="INFRUCTUEUX",$I836="ANNULE")),"Clôturé sans suite","En cours")))</f>
        <v/>
      </c>
      <c r="N836">
        <f>IF(ISBLANK('ENGAGEMENTS 2026'!B836),"",'ENGAGEMENTS 2026'!K836)</f>
        <v/>
      </c>
      <c r="O836">
        <f>IF(ISBLANK('ENGAGEMENTS 2026'!B836),"",'ENGAGEMENTS 2026'!L836)</f>
        <v/>
      </c>
      <c r="P836">
        <f>IF(ISBLANK('ENGAGEMENTS 2026'!B836),"",'ENGAGEMENTS 2026'!J836)</f>
        <v/>
      </c>
      <c r="Q836">
        <f>IF($A836="","",IF(OR($E836="INFRUCTUEUX",$E836="ANNULE"),$A836&amp;"|"&amp;(COUNTIFS($A$2:$A836,$A836,$E$2:$E836,"INFRUCTUEUX")+COUNTIFS($A$2:$A836,$A836,$E$2:$E836,"ANNULE")),""))</f>
        <v/>
      </c>
    </row>
    <row r="837">
      <c r="A837">
        <f>IF(ISBLANK('ENGAGEMENTS 2026'!B837),"",IF('ENGAGEMENTS 2026'!B837="DTSI","DCT",'ENGAGEMENTS 2026'!B837))</f>
        <v/>
      </c>
      <c r="B837">
        <f>IF(ISBLANK('ENGAGEMENTS 2026'!B837),"",'ENGAGEMENTS 2026'!C837)</f>
        <v/>
      </c>
      <c r="C837">
        <f>IF(ISBLANK('ENGAGEMENTS 2026'!B837),"",'ENGAGEMENTS 2026'!D837)</f>
        <v/>
      </c>
      <c r="D837">
        <f>IF(ISBLANK('ENGAGEMENTS 2026'!B837),"",'ENGAGEMENTS 2026'!F837)</f>
        <v/>
      </c>
      <c r="E837">
        <f>IF(ISBLANK('ENGAGEMENTS 2026'!B837),"",'ENGAGEMENTS 2026'!H837)</f>
        <v/>
      </c>
      <c r="F837">
        <f>IF(ISBLANK('ENGAGEMENTS 2026'!B837),"",'ENGAGEMENTS 2026'!I837)</f>
        <v/>
      </c>
      <c r="G837">
        <f>IF(ISBLANK('ENGAGEMENTS 2026'!B837),"",'ENGAGEMENTS 2026'!L837)</f>
        <v/>
      </c>
      <c r="H837">
        <f>IF(ISBLANK('ENGAGEMENTS 2026'!B837),"",'ENGAGEMENTS 2026'!AE837)</f>
        <v/>
      </c>
      <c r="I837">
        <f>IF(ISBLANK('ENGAGEMENTS 2026'!B837),"",'ENGAGEMENTS 2026'!G837)</f>
        <v/>
      </c>
      <c r="J837" s="275">
        <f>IF(ISBLANK('ENGAGEMENTS 2026'!B837),"",IF(AND(OR($E837="INFRUCTUEUX",$E837="ANNULE"),$C837="AOO-M"),'ENGAGEMENTS 2026'!O837,IF($H837="EN COURS DE PREENGAGEMENT",'ENGAGEMENTS 2026'!N837,IF($H837="PREENGAGE",IF($E837="ATTRIBUE",'ENGAGEMENTS 2026'!AD837,'ENGAGEMENTS 2026'!N837),'ENGAGEMENTS 2026'!AD837))))</f>
        <v/>
      </c>
      <c r="K837" s="604">
        <f>IF(ISBLANK('ENGAGEMENTS 2026'!V837),"",'ENGAGEMENTS 2026'!V837)</f>
        <v/>
      </c>
      <c r="L837" s="276">
        <f>IF($K837="","",TODAY()-$K837)</f>
        <v/>
      </c>
      <c r="M837">
        <f>IF($A837="","",IF($H837="ENGAGE","Engagé",IF(AND($H837="NON ENGAGE",OR($I837="INFRUCTUEUX",$I837="ANNULE")),"Clôturé sans suite","En cours")))</f>
        <v/>
      </c>
      <c r="N837">
        <f>IF(ISBLANK('ENGAGEMENTS 2026'!B837),"",'ENGAGEMENTS 2026'!K837)</f>
        <v/>
      </c>
      <c r="O837">
        <f>IF(ISBLANK('ENGAGEMENTS 2026'!B837),"",'ENGAGEMENTS 2026'!L837)</f>
        <v/>
      </c>
      <c r="P837">
        <f>IF(ISBLANK('ENGAGEMENTS 2026'!B837),"",'ENGAGEMENTS 2026'!J837)</f>
        <v/>
      </c>
      <c r="Q837">
        <f>IF($A837="","",IF(OR($E837="INFRUCTUEUX",$E837="ANNULE"),$A837&amp;"|"&amp;(COUNTIFS($A$2:$A837,$A837,$E$2:$E837,"INFRUCTUEUX")+COUNTIFS($A$2:$A837,$A837,$E$2:$E837,"ANNULE")),""))</f>
        <v/>
      </c>
    </row>
    <row r="838">
      <c r="A838">
        <f>IF(ISBLANK('ENGAGEMENTS 2026'!B838),"",IF('ENGAGEMENTS 2026'!B838="DTSI","DCT",'ENGAGEMENTS 2026'!B838))</f>
        <v/>
      </c>
      <c r="B838">
        <f>IF(ISBLANK('ENGAGEMENTS 2026'!B838),"",'ENGAGEMENTS 2026'!C838)</f>
        <v/>
      </c>
      <c r="C838">
        <f>IF(ISBLANK('ENGAGEMENTS 2026'!B838),"",'ENGAGEMENTS 2026'!D838)</f>
        <v/>
      </c>
      <c r="D838">
        <f>IF(ISBLANK('ENGAGEMENTS 2026'!B838),"",'ENGAGEMENTS 2026'!F838)</f>
        <v/>
      </c>
      <c r="E838">
        <f>IF(ISBLANK('ENGAGEMENTS 2026'!B838),"",'ENGAGEMENTS 2026'!H838)</f>
        <v/>
      </c>
      <c r="F838">
        <f>IF(ISBLANK('ENGAGEMENTS 2026'!B838),"",'ENGAGEMENTS 2026'!I838)</f>
        <v/>
      </c>
      <c r="G838">
        <f>IF(ISBLANK('ENGAGEMENTS 2026'!B838),"",'ENGAGEMENTS 2026'!L838)</f>
        <v/>
      </c>
      <c r="H838">
        <f>IF(ISBLANK('ENGAGEMENTS 2026'!B838),"",'ENGAGEMENTS 2026'!AE838)</f>
        <v/>
      </c>
      <c r="I838">
        <f>IF(ISBLANK('ENGAGEMENTS 2026'!B838),"",'ENGAGEMENTS 2026'!G838)</f>
        <v/>
      </c>
      <c r="J838" s="275">
        <f>IF(ISBLANK('ENGAGEMENTS 2026'!B838),"",IF(AND(OR($E838="INFRUCTUEUX",$E838="ANNULE"),$C838="AOO-M"),'ENGAGEMENTS 2026'!O838,IF($H838="EN COURS DE PREENGAGEMENT",'ENGAGEMENTS 2026'!N838,IF($H838="PREENGAGE",IF($E838="ATTRIBUE",'ENGAGEMENTS 2026'!AD838,'ENGAGEMENTS 2026'!N838),'ENGAGEMENTS 2026'!AD838))))</f>
        <v/>
      </c>
      <c r="K838" s="604">
        <f>IF(ISBLANK('ENGAGEMENTS 2026'!V838),"",'ENGAGEMENTS 2026'!V838)</f>
        <v/>
      </c>
      <c r="L838" s="276">
        <f>IF($K838="","",TODAY()-$K838)</f>
        <v/>
      </c>
      <c r="M838">
        <f>IF($A838="","",IF($H838="ENGAGE","Engagé",IF(AND($H838="NON ENGAGE",OR($I838="INFRUCTUEUX",$I838="ANNULE")),"Clôturé sans suite","En cours")))</f>
        <v/>
      </c>
      <c r="N838">
        <f>IF(ISBLANK('ENGAGEMENTS 2026'!B838),"",'ENGAGEMENTS 2026'!K838)</f>
        <v/>
      </c>
      <c r="O838">
        <f>IF(ISBLANK('ENGAGEMENTS 2026'!B838),"",'ENGAGEMENTS 2026'!L838)</f>
        <v/>
      </c>
      <c r="P838">
        <f>IF(ISBLANK('ENGAGEMENTS 2026'!B838),"",'ENGAGEMENTS 2026'!J838)</f>
        <v/>
      </c>
      <c r="Q838">
        <f>IF($A838="","",IF(OR($E838="INFRUCTUEUX",$E838="ANNULE"),$A838&amp;"|"&amp;(COUNTIFS($A$2:$A838,$A838,$E$2:$E838,"INFRUCTUEUX")+COUNTIFS($A$2:$A838,$A838,$E$2:$E838,"ANNULE")),""))</f>
        <v/>
      </c>
    </row>
    <row r="839">
      <c r="A839">
        <f>IF(ISBLANK('ENGAGEMENTS 2026'!B839),"",IF('ENGAGEMENTS 2026'!B839="DTSI","DCT",'ENGAGEMENTS 2026'!B839))</f>
        <v/>
      </c>
      <c r="B839">
        <f>IF(ISBLANK('ENGAGEMENTS 2026'!B839),"",'ENGAGEMENTS 2026'!C839)</f>
        <v/>
      </c>
      <c r="C839">
        <f>IF(ISBLANK('ENGAGEMENTS 2026'!B839),"",'ENGAGEMENTS 2026'!D839)</f>
        <v/>
      </c>
      <c r="D839">
        <f>IF(ISBLANK('ENGAGEMENTS 2026'!B839),"",'ENGAGEMENTS 2026'!F839)</f>
        <v/>
      </c>
      <c r="E839">
        <f>IF(ISBLANK('ENGAGEMENTS 2026'!B839),"",'ENGAGEMENTS 2026'!H839)</f>
        <v/>
      </c>
      <c r="F839">
        <f>IF(ISBLANK('ENGAGEMENTS 2026'!B839),"",'ENGAGEMENTS 2026'!I839)</f>
        <v/>
      </c>
      <c r="G839">
        <f>IF(ISBLANK('ENGAGEMENTS 2026'!B839),"",'ENGAGEMENTS 2026'!L839)</f>
        <v/>
      </c>
      <c r="H839">
        <f>IF(ISBLANK('ENGAGEMENTS 2026'!B839),"",'ENGAGEMENTS 2026'!AE839)</f>
        <v/>
      </c>
      <c r="I839">
        <f>IF(ISBLANK('ENGAGEMENTS 2026'!B839),"",'ENGAGEMENTS 2026'!G839)</f>
        <v/>
      </c>
      <c r="J839" s="275">
        <f>IF(ISBLANK('ENGAGEMENTS 2026'!B839),"",IF(AND(OR($E839="INFRUCTUEUX",$E839="ANNULE"),$C839="AOO-M"),'ENGAGEMENTS 2026'!O839,IF($H839="EN COURS DE PREENGAGEMENT",'ENGAGEMENTS 2026'!N839,IF($H839="PREENGAGE",IF($E839="ATTRIBUE",'ENGAGEMENTS 2026'!AD839,'ENGAGEMENTS 2026'!N839),'ENGAGEMENTS 2026'!AD839))))</f>
        <v/>
      </c>
      <c r="K839" s="604">
        <f>IF(ISBLANK('ENGAGEMENTS 2026'!V839),"",'ENGAGEMENTS 2026'!V839)</f>
        <v/>
      </c>
      <c r="L839" s="276">
        <f>IF($K839="","",TODAY()-$K839)</f>
        <v/>
      </c>
      <c r="M839">
        <f>IF($A839="","",IF($H839="ENGAGE","Engagé",IF(AND($H839="NON ENGAGE",OR($I839="INFRUCTUEUX",$I839="ANNULE")),"Clôturé sans suite","En cours")))</f>
        <v/>
      </c>
      <c r="N839">
        <f>IF(ISBLANK('ENGAGEMENTS 2026'!B839),"",'ENGAGEMENTS 2026'!K839)</f>
        <v/>
      </c>
      <c r="O839">
        <f>IF(ISBLANK('ENGAGEMENTS 2026'!B839),"",'ENGAGEMENTS 2026'!L839)</f>
        <v/>
      </c>
      <c r="P839">
        <f>IF(ISBLANK('ENGAGEMENTS 2026'!B839),"",'ENGAGEMENTS 2026'!J839)</f>
        <v/>
      </c>
      <c r="Q839">
        <f>IF($A839="","",IF(OR($E839="INFRUCTUEUX",$E839="ANNULE"),$A839&amp;"|"&amp;(COUNTIFS($A$2:$A839,$A839,$E$2:$E839,"INFRUCTUEUX")+COUNTIFS($A$2:$A839,$A839,$E$2:$E839,"ANNULE")),""))</f>
        <v/>
      </c>
    </row>
    <row r="840">
      <c r="A840">
        <f>IF(ISBLANK('ENGAGEMENTS 2026'!B840),"",IF('ENGAGEMENTS 2026'!B840="DTSI","DCT",'ENGAGEMENTS 2026'!B840))</f>
        <v/>
      </c>
      <c r="B840">
        <f>IF(ISBLANK('ENGAGEMENTS 2026'!B840),"",'ENGAGEMENTS 2026'!C840)</f>
        <v/>
      </c>
      <c r="C840">
        <f>IF(ISBLANK('ENGAGEMENTS 2026'!B840),"",'ENGAGEMENTS 2026'!D840)</f>
        <v/>
      </c>
      <c r="D840">
        <f>IF(ISBLANK('ENGAGEMENTS 2026'!B840),"",'ENGAGEMENTS 2026'!F840)</f>
        <v/>
      </c>
      <c r="E840">
        <f>IF(ISBLANK('ENGAGEMENTS 2026'!B840),"",'ENGAGEMENTS 2026'!H840)</f>
        <v/>
      </c>
      <c r="F840">
        <f>IF(ISBLANK('ENGAGEMENTS 2026'!B840),"",'ENGAGEMENTS 2026'!I840)</f>
        <v/>
      </c>
      <c r="G840">
        <f>IF(ISBLANK('ENGAGEMENTS 2026'!B840),"",'ENGAGEMENTS 2026'!L840)</f>
        <v/>
      </c>
      <c r="H840">
        <f>IF(ISBLANK('ENGAGEMENTS 2026'!B840),"",'ENGAGEMENTS 2026'!AE840)</f>
        <v/>
      </c>
      <c r="I840">
        <f>IF(ISBLANK('ENGAGEMENTS 2026'!B840),"",'ENGAGEMENTS 2026'!G840)</f>
        <v/>
      </c>
      <c r="J840" s="275">
        <f>IF(ISBLANK('ENGAGEMENTS 2026'!B840),"",IF(AND(OR($E840="INFRUCTUEUX",$E840="ANNULE"),$C840="AOO-M"),'ENGAGEMENTS 2026'!O840,IF($H840="EN COURS DE PREENGAGEMENT",'ENGAGEMENTS 2026'!N840,IF($H840="PREENGAGE",IF($E840="ATTRIBUE",'ENGAGEMENTS 2026'!AD840,'ENGAGEMENTS 2026'!N840),'ENGAGEMENTS 2026'!AD840))))</f>
        <v/>
      </c>
      <c r="K840" s="604">
        <f>IF(ISBLANK('ENGAGEMENTS 2026'!V840),"",'ENGAGEMENTS 2026'!V840)</f>
        <v/>
      </c>
      <c r="L840" s="276">
        <f>IF($K840="","",TODAY()-$K840)</f>
        <v/>
      </c>
      <c r="M840">
        <f>IF($A840="","",IF($H840="ENGAGE","Engagé",IF(AND($H840="NON ENGAGE",OR($I840="INFRUCTUEUX",$I840="ANNULE")),"Clôturé sans suite","En cours")))</f>
        <v/>
      </c>
      <c r="N840">
        <f>IF(ISBLANK('ENGAGEMENTS 2026'!B840),"",'ENGAGEMENTS 2026'!K840)</f>
        <v/>
      </c>
      <c r="O840">
        <f>IF(ISBLANK('ENGAGEMENTS 2026'!B840),"",'ENGAGEMENTS 2026'!L840)</f>
        <v/>
      </c>
      <c r="P840">
        <f>IF(ISBLANK('ENGAGEMENTS 2026'!B840),"",'ENGAGEMENTS 2026'!J840)</f>
        <v/>
      </c>
      <c r="Q840">
        <f>IF($A840="","",IF(OR($E840="INFRUCTUEUX",$E840="ANNULE"),$A840&amp;"|"&amp;(COUNTIFS($A$2:$A840,$A840,$E$2:$E840,"INFRUCTUEUX")+COUNTIFS($A$2:$A840,$A840,$E$2:$E840,"ANNULE")),""))</f>
        <v/>
      </c>
    </row>
    <row r="841">
      <c r="A841">
        <f>IF(ISBLANK('ENGAGEMENTS 2026'!B841),"",IF('ENGAGEMENTS 2026'!B841="DTSI","DCT",'ENGAGEMENTS 2026'!B841))</f>
        <v/>
      </c>
      <c r="B841">
        <f>IF(ISBLANK('ENGAGEMENTS 2026'!B841),"",'ENGAGEMENTS 2026'!C841)</f>
        <v/>
      </c>
      <c r="C841">
        <f>IF(ISBLANK('ENGAGEMENTS 2026'!B841),"",'ENGAGEMENTS 2026'!D841)</f>
        <v/>
      </c>
      <c r="D841">
        <f>IF(ISBLANK('ENGAGEMENTS 2026'!B841),"",'ENGAGEMENTS 2026'!F841)</f>
        <v/>
      </c>
      <c r="E841">
        <f>IF(ISBLANK('ENGAGEMENTS 2026'!B841),"",'ENGAGEMENTS 2026'!H841)</f>
        <v/>
      </c>
      <c r="F841">
        <f>IF(ISBLANK('ENGAGEMENTS 2026'!B841),"",'ENGAGEMENTS 2026'!I841)</f>
        <v/>
      </c>
      <c r="G841">
        <f>IF(ISBLANK('ENGAGEMENTS 2026'!B841),"",'ENGAGEMENTS 2026'!L841)</f>
        <v/>
      </c>
      <c r="H841">
        <f>IF(ISBLANK('ENGAGEMENTS 2026'!B841),"",'ENGAGEMENTS 2026'!AE841)</f>
        <v/>
      </c>
      <c r="I841">
        <f>IF(ISBLANK('ENGAGEMENTS 2026'!B841),"",'ENGAGEMENTS 2026'!G841)</f>
        <v/>
      </c>
      <c r="J841" s="275">
        <f>IF(ISBLANK('ENGAGEMENTS 2026'!B841),"",IF(AND(OR($E841="INFRUCTUEUX",$E841="ANNULE"),$C841="AOO-M"),'ENGAGEMENTS 2026'!O841,IF($H841="EN COURS DE PREENGAGEMENT",'ENGAGEMENTS 2026'!N841,IF($H841="PREENGAGE",IF($E841="ATTRIBUE",'ENGAGEMENTS 2026'!AD841,'ENGAGEMENTS 2026'!N841),'ENGAGEMENTS 2026'!AD841))))</f>
        <v/>
      </c>
      <c r="K841" s="604">
        <f>IF(ISBLANK('ENGAGEMENTS 2026'!V841),"",'ENGAGEMENTS 2026'!V841)</f>
        <v/>
      </c>
      <c r="L841" s="276">
        <f>IF($K841="","",TODAY()-$K841)</f>
        <v/>
      </c>
      <c r="M841">
        <f>IF($A841="","",IF($H841="ENGAGE","Engagé",IF(AND($H841="NON ENGAGE",OR($I841="INFRUCTUEUX",$I841="ANNULE")),"Clôturé sans suite","En cours")))</f>
        <v/>
      </c>
      <c r="N841">
        <f>IF(ISBLANK('ENGAGEMENTS 2026'!B841),"",'ENGAGEMENTS 2026'!K841)</f>
        <v/>
      </c>
      <c r="O841">
        <f>IF(ISBLANK('ENGAGEMENTS 2026'!B841),"",'ENGAGEMENTS 2026'!L841)</f>
        <v/>
      </c>
      <c r="P841">
        <f>IF(ISBLANK('ENGAGEMENTS 2026'!B841),"",'ENGAGEMENTS 2026'!J841)</f>
        <v/>
      </c>
      <c r="Q841">
        <f>IF($A841="","",IF(OR($E841="INFRUCTUEUX",$E841="ANNULE"),$A841&amp;"|"&amp;(COUNTIFS($A$2:$A841,$A841,$E$2:$E841,"INFRUCTUEUX")+COUNTIFS($A$2:$A841,$A841,$E$2:$E841,"ANNULE")),""))</f>
        <v/>
      </c>
    </row>
    <row r="842">
      <c r="A842">
        <f>IF(ISBLANK('ENGAGEMENTS 2026'!B842),"",IF('ENGAGEMENTS 2026'!B842="DTSI","DCT",'ENGAGEMENTS 2026'!B842))</f>
        <v/>
      </c>
      <c r="B842">
        <f>IF(ISBLANK('ENGAGEMENTS 2026'!B842),"",'ENGAGEMENTS 2026'!C842)</f>
        <v/>
      </c>
      <c r="C842">
        <f>IF(ISBLANK('ENGAGEMENTS 2026'!B842),"",'ENGAGEMENTS 2026'!D842)</f>
        <v/>
      </c>
      <c r="D842">
        <f>IF(ISBLANK('ENGAGEMENTS 2026'!B842),"",'ENGAGEMENTS 2026'!F842)</f>
        <v/>
      </c>
      <c r="E842">
        <f>IF(ISBLANK('ENGAGEMENTS 2026'!B842),"",'ENGAGEMENTS 2026'!H842)</f>
        <v/>
      </c>
      <c r="F842">
        <f>IF(ISBLANK('ENGAGEMENTS 2026'!B842),"",'ENGAGEMENTS 2026'!I842)</f>
        <v/>
      </c>
      <c r="G842">
        <f>IF(ISBLANK('ENGAGEMENTS 2026'!B842),"",'ENGAGEMENTS 2026'!L842)</f>
        <v/>
      </c>
      <c r="H842">
        <f>IF(ISBLANK('ENGAGEMENTS 2026'!B842),"",'ENGAGEMENTS 2026'!AE842)</f>
        <v/>
      </c>
      <c r="I842">
        <f>IF(ISBLANK('ENGAGEMENTS 2026'!B842),"",'ENGAGEMENTS 2026'!G842)</f>
        <v/>
      </c>
      <c r="J842" s="275">
        <f>IF(ISBLANK('ENGAGEMENTS 2026'!B842),"",IF(AND(OR($E842="INFRUCTUEUX",$E842="ANNULE"),$C842="AOO-M"),'ENGAGEMENTS 2026'!O842,IF($H842="EN COURS DE PREENGAGEMENT",'ENGAGEMENTS 2026'!N842,IF($H842="PREENGAGE",IF($E842="ATTRIBUE",'ENGAGEMENTS 2026'!AD842,'ENGAGEMENTS 2026'!N842),'ENGAGEMENTS 2026'!AD842))))</f>
        <v/>
      </c>
      <c r="K842" s="604">
        <f>IF(ISBLANK('ENGAGEMENTS 2026'!V842),"",'ENGAGEMENTS 2026'!V842)</f>
        <v/>
      </c>
      <c r="L842" s="276">
        <f>IF($K842="","",TODAY()-$K842)</f>
        <v/>
      </c>
      <c r="M842">
        <f>IF($A842="","",IF($H842="ENGAGE","Engagé",IF(AND($H842="NON ENGAGE",OR($I842="INFRUCTUEUX",$I842="ANNULE")),"Clôturé sans suite","En cours")))</f>
        <v/>
      </c>
      <c r="N842">
        <f>IF(ISBLANK('ENGAGEMENTS 2026'!B842),"",'ENGAGEMENTS 2026'!K842)</f>
        <v/>
      </c>
      <c r="O842">
        <f>IF(ISBLANK('ENGAGEMENTS 2026'!B842),"",'ENGAGEMENTS 2026'!L842)</f>
        <v/>
      </c>
      <c r="P842">
        <f>IF(ISBLANK('ENGAGEMENTS 2026'!B842),"",'ENGAGEMENTS 2026'!J842)</f>
        <v/>
      </c>
      <c r="Q842">
        <f>IF($A842="","",IF(OR($E842="INFRUCTUEUX",$E842="ANNULE"),$A842&amp;"|"&amp;(COUNTIFS($A$2:$A842,$A842,$E$2:$E842,"INFRUCTUEUX")+COUNTIFS($A$2:$A842,$A842,$E$2:$E842,"ANNULE")),""))</f>
        <v/>
      </c>
    </row>
    <row r="843">
      <c r="A843">
        <f>IF(ISBLANK('ENGAGEMENTS 2026'!B843),"",IF('ENGAGEMENTS 2026'!B843="DTSI","DCT",'ENGAGEMENTS 2026'!B843))</f>
        <v/>
      </c>
      <c r="B843">
        <f>IF(ISBLANK('ENGAGEMENTS 2026'!B843),"",'ENGAGEMENTS 2026'!C843)</f>
        <v/>
      </c>
      <c r="C843">
        <f>IF(ISBLANK('ENGAGEMENTS 2026'!B843),"",'ENGAGEMENTS 2026'!D843)</f>
        <v/>
      </c>
      <c r="D843">
        <f>IF(ISBLANK('ENGAGEMENTS 2026'!B843),"",'ENGAGEMENTS 2026'!F843)</f>
        <v/>
      </c>
      <c r="E843">
        <f>IF(ISBLANK('ENGAGEMENTS 2026'!B843),"",'ENGAGEMENTS 2026'!H843)</f>
        <v/>
      </c>
      <c r="F843">
        <f>IF(ISBLANK('ENGAGEMENTS 2026'!B843),"",'ENGAGEMENTS 2026'!I843)</f>
        <v/>
      </c>
      <c r="G843">
        <f>IF(ISBLANK('ENGAGEMENTS 2026'!B843),"",'ENGAGEMENTS 2026'!L843)</f>
        <v/>
      </c>
      <c r="H843">
        <f>IF(ISBLANK('ENGAGEMENTS 2026'!B843),"",'ENGAGEMENTS 2026'!AE843)</f>
        <v/>
      </c>
      <c r="I843">
        <f>IF(ISBLANK('ENGAGEMENTS 2026'!B843),"",'ENGAGEMENTS 2026'!G843)</f>
        <v/>
      </c>
      <c r="J843" s="275">
        <f>IF(ISBLANK('ENGAGEMENTS 2026'!B843),"",IF(AND(OR($E843="INFRUCTUEUX",$E843="ANNULE"),$C843="AOO-M"),'ENGAGEMENTS 2026'!O843,IF($H843="EN COURS DE PREENGAGEMENT",'ENGAGEMENTS 2026'!N843,IF($H843="PREENGAGE",IF($E843="ATTRIBUE",'ENGAGEMENTS 2026'!AD843,'ENGAGEMENTS 2026'!N843),'ENGAGEMENTS 2026'!AD843))))</f>
        <v/>
      </c>
      <c r="K843" s="604">
        <f>IF(ISBLANK('ENGAGEMENTS 2026'!V843),"",'ENGAGEMENTS 2026'!V843)</f>
        <v/>
      </c>
      <c r="L843" s="276">
        <f>IF($K843="","",TODAY()-$K843)</f>
        <v/>
      </c>
      <c r="M843">
        <f>IF($A843="","",IF($H843="ENGAGE","Engagé",IF(AND($H843="NON ENGAGE",OR($I843="INFRUCTUEUX",$I843="ANNULE")),"Clôturé sans suite","En cours")))</f>
        <v/>
      </c>
      <c r="N843">
        <f>IF(ISBLANK('ENGAGEMENTS 2026'!B843),"",'ENGAGEMENTS 2026'!K843)</f>
        <v/>
      </c>
      <c r="O843">
        <f>IF(ISBLANK('ENGAGEMENTS 2026'!B843),"",'ENGAGEMENTS 2026'!L843)</f>
        <v/>
      </c>
      <c r="P843">
        <f>IF(ISBLANK('ENGAGEMENTS 2026'!B843),"",'ENGAGEMENTS 2026'!J843)</f>
        <v/>
      </c>
      <c r="Q843">
        <f>IF($A843="","",IF(OR($E843="INFRUCTUEUX",$E843="ANNULE"),$A843&amp;"|"&amp;(COUNTIFS($A$2:$A843,$A843,$E$2:$E843,"INFRUCTUEUX")+COUNTIFS($A$2:$A843,$A843,$E$2:$E843,"ANNULE")),""))</f>
        <v/>
      </c>
    </row>
    <row r="844">
      <c r="A844">
        <f>IF(ISBLANK('ENGAGEMENTS 2026'!B844),"",IF('ENGAGEMENTS 2026'!B844="DTSI","DCT",'ENGAGEMENTS 2026'!B844))</f>
        <v/>
      </c>
      <c r="B844">
        <f>IF(ISBLANK('ENGAGEMENTS 2026'!B844),"",'ENGAGEMENTS 2026'!C844)</f>
        <v/>
      </c>
      <c r="C844">
        <f>IF(ISBLANK('ENGAGEMENTS 2026'!B844),"",'ENGAGEMENTS 2026'!D844)</f>
        <v/>
      </c>
      <c r="D844">
        <f>IF(ISBLANK('ENGAGEMENTS 2026'!B844),"",'ENGAGEMENTS 2026'!F844)</f>
        <v/>
      </c>
      <c r="E844">
        <f>IF(ISBLANK('ENGAGEMENTS 2026'!B844),"",'ENGAGEMENTS 2026'!H844)</f>
        <v/>
      </c>
      <c r="F844">
        <f>IF(ISBLANK('ENGAGEMENTS 2026'!B844),"",'ENGAGEMENTS 2026'!I844)</f>
        <v/>
      </c>
      <c r="G844">
        <f>IF(ISBLANK('ENGAGEMENTS 2026'!B844),"",'ENGAGEMENTS 2026'!L844)</f>
        <v/>
      </c>
      <c r="H844">
        <f>IF(ISBLANK('ENGAGEMENTS 2026'!B844),"",'ENGAGEMENTS 2026'!AE844)</f>
        <v/>
      </c>
      <c r="I844">
        <f>IF(ISBLANK('ENGAGEMENTS 2026'!B844),"",'ENGAGEMENTS 2026'!G844)</f>
        <v/>
      </c>
      <c r="J844" s="275">
        <f>IF(ISBLANK('ENGAGEMENTS 2026'!B844),"",IF(AND(OR($E844="INFRUCTUEUX",$E844="ANNULE"),$C844="AOO-M"),'ENGAGEMENTS 2026'!O844,IF($H844="EN COURS DE PREENGAGEMENT",'ENGAGEMENTS 2026'!N844,IF($H844="PREENGAGE",IF($E844="ATTRIBUE",'ENGAGEMENTS 2026'!AD844,'ENGAGEMENTS 2026'!N844),'ENGAGEMENTS 2026'!AD844))))</f>
        <v/>
      </c>
      <c r="K844" s="604">
        <f>IF(ISBLANK('ENGAGEMENTS 2026'!V844),"",'ENGAGEMENTS 2026'!V844)</f>
        <v/>
      </c>
      <c r="L844" s="276">
        <f>IF($K844="","",TODAY()-$K844)</f>
        <v/>
      </c>
      <c r="M844">
        <f>IF($A844="","",IF($H844="ENGAGE","Engagé",IF(AND($H844="NON ENGAGE",OR($I844="INFRUCTUEUX",$I844="ANNULE")),"Clôturé sans suite","En cours")))</f>
        <v/>
      </c>
      <c r="N844">
        <f>IF(ISBLANK('ENGAGEMENTS 2026'!B844),"",'ENGAGEMENTS 2026'!K844)</f>
        <v/>
      </c>
      <c r="O844">
        <f>IF(ISBLANK('ENGAGEMENTS 2026'!B844),"",'ENGAGEMENTS 2026'!L844)</f>
        <v/>
      </c>
      <c r="P844">
        <f>IF(ISBLANK('ENGAGEMENTS 2026'!B844),"",'ENGAGEMENTS 2026'!J844)</f>
        <v/>
      </c>
      <c r="Q844">
        <f>IF($A844="","",IF(OR($E844="INFRUCTUEUX",$E844="ANNULE"),$A844&amp;"|"&amp;(COUNTIFS($A$2:$A844,$A844,$E$2:$E844,"INFRUCTUEUX")+COUNTIFS($A$2:$A844,$A844,$E$2:$E844,"ANNULE")),""))</f>
        <v/>
      </c>
    </row>
    <row r="845">
      <c r="A845">
        <f>IF(ISBLANK('ENGAGEMENTS 2026'!B845),"",IF('ENGAGEMENTS 2026'!B845="DTSI","DCT",'ENGAGEMENTS 2026'!B845))</f>
        <v/>
      </c>
      <c r="B845">
        <f>IF(ISBLANK('ENGAGEMENTS 2026'!B845),"",'ENGAGEMENTS 2026'!C845)</f>
        <v/>
      </c>
      <c r="C845">
        <f>IF(ISBLANK('ENGAGEMENTS 2026'!B845),"",'ENGAGEMENTS 2026'!D845)</f>
        <v/>
      </c>
      <c r="D845">
        <f>IF(ISBLANK('ENGAGEMENTS 2026'!B845),"",'ENGAGEMENTS 2026'!F845)</f>
        <v/>
      </c>
      <c r="E845">
        <f>IF(ISBLANK('ENGAGEMENTS 2026'!B845),"",'ENGAGEMENTS 2026'!H845)</f>
        <v/>
      </c>
      <c r="F845">
        <f>IF(ISBLANK('ENGAGEMENTS 2026'!B845),"",'ENGAGEMENTS 2026'!I845)</f>
        <v/>
      </c>
      <c r="G845">
        <f>IF(ISBLANK('ENGAGEMENTS 2026'!B845),"",'ENGAGEMENTS 2026'!L845)</f>
        <v/>
      </c>
      <c r="H845">
        <f>IF(ISBLANK('ENGAGEMENTS 2026'!B845),"",'ENGAGEMENTS 2026'!AE845)</f>
        <v/>
      </c>
      <c r="I845">
        <f>IF(ISBLANK('ENGAGEMENTS 2026'!B845),"",'ENGAGEMENTS 2026'!G845)</f>
        <v/>
      </c>
      <c r="J845" s="275">
        <f>IF(ISBLANK('ENGAGEMENTS 2026'!B845),"",IF(AND(OR($E845="INFRUCTUEUX",$E845="ANNULE"),$C845="AOO-M"),'ENGAGEMENTS 2026'!O845,IF($H845="EN COURS DE PREENGAGEMENT",'ENGAGEMENTS 2026'!N845,IF($H845="PREENGAGE",IF($E845="ATTRIBUE",'ENGAGEMENTS 2026'!AD845,'ENGAGEMENTS 2026'!N845),'ENGAGEMENTS 2026'!AD845))))</f>
        <v/>
      </c>
      <c r="K845" s="604">
        <f>IF(ISBLANK('ENGAGEMENTS 2026'!V845),"",'ENGAGEMENTS 2026'!V845)</f>
        <v/>
      </c>
      <c r="L845" s="276">
        <f>IF($K845="","",TODAY()-$K845)</f>
        <v/>
      </c>
      <c r="M845">
        <f>IF($A845="","",IF($H845="ENGAGE","Engagé",IF(AND($H845="NON ENGAGE",OR($I845="INFRUCTUEUX",$I845="ANNULE")),"Clôturé sans suite","En cours")))</f>
        <v/>
      </c>
      <c r="N845">
        <f>IF(ISBLANK('ENGAGEMENTS 2026'!B845),"",'ENGAGEMENTS 2026'!K845)</f>
        <v/>
      </c>
      <c r="O845">
        <f>IF(ISBLANK('ENGAGEMENTS 2026'!B845),"",'ENGAGEMENTS 2026'!L845)</f>
        <v/>
      </c>
      <c r="P845">
        <f>IF(ISBLANK('ENGAGEMENTS 2026'!B845),"",'ENGAGEMENTS 2026'!J845)</f>
        <v/>
      </c>
      <c r="Q845">
        <f>IF($A845="","",IF(OR($E845="INFRUCTUEUX",$E845="ANNULE"),$A845&amp;"|"&amp;(COUNTIFS($A$2:$A845,$A845,$E$2:$E845,"INFRUCTUEUX")+COUNTIFS($A$2:$A845,$A845,$E$2:$E845,"ANNULE")),""))</f>
        <v/>
      </c>
    </row>
    <row r="846">
      <c r="A846">
        <f>IF(ISBLANK('ENGAGEMENTS 2026'!B846),"",IF('ENGAGEMENTS 2026'!B846="DTSI","DCT",'ENGAGEMENTS 2026'!B846))</f>
        <v/>
      </c>
      <c r="B846">
        <f>IF(ISBLANK('ENGAGEMENTS 2026'!B846),"",'ENGAGEMENTS 2026'!C846)</f>
        <v/>
      </c>
      <c r="C846">
        <f>IF(ISBLANK('ENGAGEMENTS 2026'!B846),"",'ENGAGEMENTS 2026'!D846)</f>
        <v/>
      </c>
      <c r="D846">
        <f>IF(ISBLANK('ENGAGEMENTS 2026'!B846),"",'ENGAGEMENTS 2026'!F846)</f>
        <v/>
      </c>
      <c r="E846">
        <f>IF(ISBLANK('ENGAGEMENTS 2026'!B846),"",'ENGAGEMENTS 2026'!H846)</f>
        <v/>
      </c>
      <c r="F846">
        <f>IF(ISBLANK('ENGAGEMENTS 2026'!B846),"",'ENGAGEMENTS 2026'!I846)</f>
        <v/>
      </c>
      <c r="G846">
        <f>IF(ISBLANK('ENGAGEMENTS 2026'!B846),"",'ENGAGEMENTS 2026'!L846)</f>
        <v/>
      </c>
      <c r="H846">
        <f>IF(ISBLANK('ENGAGEMENTS 2026'!B846),"",'ENGAGEMENTS 2026'!AE846)</f>
        <v/>
      </c>
      <c r="I846">
        <f>IF(ISBLANK('ENGAGEMENTS 2026'!B846),"",'ENGAGEMENTS 2026'!G846)</f>
        <v/>
      </c>
      <c r="J846" s="275">
        <f>IF(ISBLANK('ENGAGEMENTS 2026'!B846),"",IF(AND(OR($E846="INFRUCTUEUX",$E846="ANNULE"),$C846="AOO-M"),'ENGAGEMENTS 2026'!O846,IF($H846="EN COURS DE PREENGAGEMENT",'ENGAGEMENTS 2026'!N846,IF($H846="PREENGAGE",IF($E846="ATTRIBUE",'ENGAGEMENTS 2026'!AD846,'ENGAGEMENTS 2026'!N846),'ENGAGEMENTS 2026'!AD846))))</f>
        <v/>
      </c>
      <c r="K846" s="604">
        <f>IF(ISBLANK('ENGAGEMENTS 2026'!V846),"",'ENGAGEMENTS 2026'!V846)</f>
        <v/>
      </c>
      <c r="L846" s="276">
        <f>IF($K846="","",TODAY()-$K846)</f>
        <v/>
      </c>
      <c r="M846">
        <f>IF($A846="","",IF($H846="ENGAGE","Engagé",IF(AND($H846="NON ENGAGE",OR($I846="INFRUCTUEUX",$I846="ANNULE")),"Clôturé sans suite","En cours")))</f>
        <v/>
      </c>
      <c r="N846">
        <f>IF(ISBLANK('ENGAGEMENTS 2026'!B846),"",'ENGAGEMENTS 2026'!K846)</f>
        <v/>
      </c>
      <c r="O846">
        <f>IF(ISBLANK('ENGAGEMENTS 2026'!B846),"",'ENGAGEMENTS 2026'!L846)</f>
        <v/>
      </c>
      <c r="P846">
        <f>IF(ISBLANK('ENGAGEMENTS 2026'!B846),"",'ENGAGEMENTS 2026'!J846)</f>
        <v/>
      </c>
      <c r="Q846">
        <f>IF($A846="","",IF(OR($E846="INFRUCTUEUX",$E846="ANNULE"),$A846&amp;"|"&amp;(COUNTIFS($A$2:$A846,$A846,$E$2:$E846,"INFRUCTUEUX")+COUNTIFS($A$2:$A846,$A846,$E$2:$E846,"ANNULE")),""))</f>
        <v/>
      </c>
    </row>
    <row r="847">
      <c r="A847">
        <f>IF(ISBLANK('ENGAGEMENTS 2026'!B847),"",IF('ENGAGEMENTS 2026'!B847="DTSI","DCT",'ENGAGEMENTS 2026'!B847))</f>
        <v/>
      </c>
      <c r="B847">
        <f>IF(ISBLANK('ENGAGEMENTS 2026'!B847),"",'ENGAGEMENTS 2026'!C847)</f>
        <v/>
      </c>
      <c r="C847">
        <f>IF(ISBLANK('ENGAGEMENTS 2026'!B847),"",'ENGAGEMENTS 2026'!D847)</f>
        <v/>
      </c>
      <c r="D847">
        <f>IF(ISBLANK('ENGAGEMENTS 2026'!B847),"",'ENGAGEMENTS 2026'!F847)</f>
        <v/>
      </c>
      <c r="E847">
        <f>IF(ISBLANK('ENGAGEMENTS 2026'!B847),"",'ENGAGEMENTS 2026'!H847)</f>
        <v/>
      </c>
      <c r="F847">
        <f>IF(ISBLANK('ENGAGEMENTS 2026'!B847),"",'ENGAGEMENTS 2026'!I847)</f>
        <v/>
      </c>
      <c r="G847">
        <f>IF(ISBLANK('ENGAGEMENTS 2026'!B847),"",'ENGAGEMENTS 2026'!L847)</f>
        <v/>
      </c>
      <c r="H847">
        <f>IF(ISBLANK('ENGAGEMENTS 2026'!B847),"",'ENGAGEMENTS 2026'!AE847)</f>
        <v/>
      </c>
      <c r="I847">
        <f>IF(ISBLANK('ENGAGEMENTS 2026'!B847),"",'ENGAGEMENTS 2026'!G847)</f>
        <v/>
      </c>
      <c r="J847" s="275">
        <f>IF(ISBLANK('ENGAGEMENTS 2026'!B847),"",IF(AND(OR($E847="INFRUCTUEUX",$E847="ANNULE"),$C847="AOO-M"),'ENGAGEMENTS 2026'!O847,IF($H847="EN COURS DE PREENGAGEMENT",'ENGAGEMENTS 2026'!N847,IF($H847="PREENGAGE",IF($E847="ATTRIBUE",'ENGAGEMENTS 2026'!AD847,'ENGAGEMENTS 2026'!N847),'ENGAGEMENTS 2026'!AD847))))</f>
        <v/>
      </c>
      <c r="K847" s="604">
        <f>IF(ISBLANK('ENGAGEMENTS 2026'!V847),"",'ENGAGEMENTS 2026'!V847)</f>
        <v/>
      </c>
      <c r="L847" s="276">
        <f>IF($K847="","",TODAY()-$K847)</f>
        <v/>
      </c>
      <c r="M847">
        <f>IF($A847="","",IF($H847="ENGAGE","Engagé",IF(AND($H847="NON ENGAGE",OR($I847="INFRUCTUEUX",$I847="ANNULE")),"Clôturé sans suite","En cours")))</f>
        <v/>
      </c>
      <c r="N847">
        <f>IF(ISBLANK('ENGAGEMENTS 2026'!B847),"",'ENGAGEMENTS 2026'!K847)</f>
        <v/>
      </c>
      <c r="O847">
        <f>IF(ISBLANK('ENGAGEMENTS 2026'!B847),"",'ENGAGEMENTS 2026'!L847)</f>
        <v/>
      </c>
      <c r="P847">
        <f>IF(ISBLANK('ENGAGEMENTS 2026'!B847),"",'ENGAGEMENTS 2026'!J847)</f>
        <v/>
      </c>
      <c r="Q847">
        <f>IF($A847="","",IF(OR($E847="INFRUCTUEUX",$E847="ANNULE"),$A847&amp;"|"&amp;(COUNTIFS($A$2:$A847,$A847,$E$2:$E847,"INFRUCTUEUX")+COUNTIFS($A$2:$A847,$A847,$E$2:$E847,"ANNULE")),""))</f>
        <v/>
      </c>
    </row>
    <row r="848">
      <c r="A848">
        <f>IF(ISBLANK('ENGAGEMENTS 2026'!B848),"",IF('ENGAGEMENTS 2026'!B848="DTSI","DCT",'ENGAGEMENTS 2026'!B848))</f>
        <v/>
      </c>
      <c r="B848">
        <f>IF(ISBLANK('ENGAGEMENTS 2026'!B848),"",'ENGAGEMENTS 2026'!C848)</f>
        <v/>
      </c>
      <c r="C848">
        <f>IF(ISBLANK('ENGAGEMENTS 2026'!B848),"",'ENGAGEMENTS 2026'!D848)</f>
        <v/>
      </c>
      <c r="D848">
        <f>IF(ISBLANK('ENGAGEMENTS 2026'!B848),"",'ENGAGEMENTS 2026'!F848)</f>
        <v/>
      </c>
      <c r="E848">
        <f>IF(ISBLANK('ENGAGEMENTS 2026'!B848),"",'ENGAGEMENTS 2026'!H848)</f>
        <v/>
      </c>
      <c r="F848">
        <f>IF(ISBLANK('ENGAGEMENTS 2026'!B848),"",'ENGAGEMENTS 2026'!I848)</f>
        <v/>
      </c>
      <c r="G848">
        <f>IF(ISBLANK('ENGAGEMENTS 2026'!B848),"",'ENGAGEMENTS 2026'!L848)</f>
        <v/>
      </c>
      <c r="H848">
        <f>IF(ISBLANK('ENGAGEMENTS 2026'!B848),"",'ENGAGEMENTS 2026'!AE848)</f>
        <v/>
      </c>
      <c r="I848">
        <f>IF(ISBLANK('ENGAGEMENTS 2026'!B848),"",'ENGAGEMENTS 2026'!G848)</f>
        <v/>
      </c>
      <c r="J848" s="275">
        <f>IF(ISBLANK('ENGAGEMENTS 2026'!B848),"",IF(AND(OR($E848="INFRUCTUEUX",$E848="ANNULE"),$C848="AOO-M"),'ENGAGEMENTS 2026'!O848,IF($H848="EN COURS DE PREENGAGEMENT",'ENGAGEMENTS 2026'!N848,IF($H848="PREENGAGE",IF($E848="ATTRIBUE",'ENGAGEMENTS 2026'!AD848,'ENGAGEMENTS 2026'!N848),'ENGAGEMENTS 2026'!AD848))))</f>
        <v/>
      </c>
      <c r="K848" s="604">
        <f>IF(ISBLANK('ENGAGEMENTS 2026'!V848),"",'ENGAGEMENTS 2026'!V848)</f>
        <v/>
      </c>
      <c r="L848" s="276">
        <f>IF($K848="","",TODAY()-$K848)</f>
        <v/>
      </c>
      <c r="M848">
        <f>IF($A848="","",IF($H848="ENGAGE","Engagé",IF(AND($H848="NON ENGAGE",OR($I848="INFRUCTUEUX",$I848="ANNULE")),"Clôturé sans suite","En cours")))</f>
        <v/>
      </c>
      <c r="N848">
        <f>IF(ISBLANK('ENGAGEMENTS 2026'!B848),"",'ENGAGEMENTS 2026'!K848)</f>
        <v/>
      </c>
      <c r="O848">
        <f>IF(ISBLANK('ENGAGEMENTS 2026'!B848),"",'ENGAGEMENTS 2026'!L848)</f>
        <v/>
      </c>
      <c r="P848">
        <f>IF(ISBLANK('ENGAGEMENTS 2026'!B848),"",'ENGAGEMENTS 2026'!J848)</f>
        <v/>
      </c>
      <c r="Q848">
        <f>IF($A848="","",IF(OR($E848="INFRUCTUEUX",$E848="ANNULE"),$A848&amp;"|"&amp;(COUNTIFS($A$2:$A848,$A848,$E$2:$E848,"INFRUCTUEUX")+COUNTIFS($A$2:$A848,$A848,$E$2:$E848,"ANNULE")),""))</f>
        <v/>
      </c>
    </row>
    <row r="849">
      <c r="A849">
        <f>IF(ISBLANK('ENGAGEMENTS 2026'!B849),"",IF('ENGAGEMENTS 2026'!B849="DTSI","DCT",'ENGAGEMENTS 2026'!B849))</f>
        <v/>
      </c>
      <c r="B849">
        <f>IF(ISBLANK('ENGAGEMENTS 2026'!B849),"",'ENGAGEMENTS 2026'!C849)</f>
        <v/>
      </c>
      <c r="C849">
        <f>IF(ISBLANK('ENGAGEMENTS 2026'!B849),"",'ENGAGEMENTS 2026'!D849)</f>
        <v/>
      </c>
      <c r="D849">
        <f>IF(ISBLANK('ENGAGEMENTS 2026'!B849),"",'ENGAGEMENTS 2026'!F849)</f>
        <v/>
      </c>
      <c r="E849">
        <f>IF(ISBLANK('ENGAGEMENTS 2026'!B849),"",'ENGAGEMENTS 2026'!H849)</f>
        <v/>
      </c>
      <c r="F849">
        <f>IF(ISBLANK('ENGAGEMENTS 2026'!B849),"",'ENGAGEMENTS 2026'!I849)</f>
        <v/>
      </c>
      <c r="G849">
        <f>IF(ISBLANK('ENGAGEMENTS 2026'!B849),"",'ENGAGEMENTS 2026'!L849)</f>
        <v/>
      </c>
      <c r="H849">
        <f>IF(ISBLANK('ENGAGEMENTS 2026'!B849),"",'ENGAGEMENTS 2026'!AE849)</f>
        <v/>
      </c>
      <c r="I849">
        <f>IF(ISBLANK('ENGAGEMENTS 2026'!B849),"",'ENGAGEMENTS 2026'!G849)</f>
        <v/>
      </c>
      <c r="J849" s="275">
        <f>IF(ISBLANK('ENGAGEMENTS 2026'!B849),"",IF(AND(OR($E849="INFRUCTUEUX",$E849="ANNULE"),$C849="AOO-M"),'ENGAGEMENTS 2026'!O849,IF($H849="EN COURS DE PREENGAGEMENT",'ENGAGEMENTS 2026'!N849,IF($H849="PREENGAGE",IF($E849="ATTRIBUE",'ENGAGEMENTS 2026'!AD849,'ENGAGEMENTS 2026'!N849),'ENGAGEMENTS 2026'!AD849))))</f>
        <v/>
      </c>
      <c r="K849" s="604">
        <f>IF(ISBLANK('ENGAGEMENTS 2026'!V849),"",'ENGAGEMENTS 2026'!V849)</f>
        <v/>
      </c>
      <c r="L849" s="276">
        <f>IF($K849="","",TODAY()-$K849)</f>
        <v/>
      </c>
      <c r="M849">
        <f>IF($A849="","",IF($H849="ENGAGE","Engagé",IF(AND($H849="NON ENGAGE",OR($I849="INFRUCTUEUX",$I849="ANNULE")),"Clôturé sans suite","En cours")))</f>
        <v/>
      </c>
      <c r="N849">
        <f>IF(ISBLANK('ENGAGEMENTS 2026'!B849),"",'ENGAGEMENTS 2026'!K849)</f>
        <v/>
      </c>
      <c r="O849">
        <f>IF(ISBLANK('ENGAGEMENTS 2026'!B849),"",'ENGAGEMENTS 2026'!L849)</f>
        <v/>
      </c>
      <c r="P849">
        <f>IF(ISBLANK('ENGAGEMENTS 2026'!B849),"",'ENGAGEMENTS 2026'!J849)</f>
        <v/>
      </c>
      <c r="Q849">
        <f>IF($A849="","",IF(OR($E849="INFRUCTUEUX",$E849="ANNULE"),$A849&amp;"|"&amp;(COUNTIFS($A$2:$A849,$A849,$E$2:$E849,"INFRUCTUEUX")+COUNTIFS($A$2:$A849,$A849,$E$2:$E849,"ANNULE")),""))</f>
        <v/>
      </c>
    </row>
    <row r="850">
      <c r="A850">
        <f>IF(ISBLANK('ENGAGEMENTS 2026'!B850),"",IF('ENGAGEMENTS 2026'!B850="DTSI","DCT",'ENGAGEMENTS 2026'!B850))</f>
        <v/>
      </c>
      <c r="B850">
        <f>IF(ISBLANK('ENGAGEMENTS 2026'!B850),"",'ENGAGEMENTS 2026'!C850)</f>
        <v/>
      </c>
      <c r="C850">
        <f>IF(ISBLANK('ENGAGEMENTS 2026'!B850),"",'ENGAGEMENTS 2026'!D850)</f>
        <v/>
      </c>
      <c r="D850">
        <f>IF(ISBLANK('ENGAGEMENTS 2026'!B850),"",'ENGAGEMENTS 2026'!F850)</f>
        <v/>
      </c>
      <c r="E850">
        <f>IF(ISBLANK('ENGAGEMENTS 2026'!B850),"",'ENGAGEMENTS 2026'!H850)</f>
        <v/>
      </c>
      <c r="F850">
        <f>IF(ISBLANK('ENGAGEMENTS 2026'!B850),"",'ENGAGEMENTS 2026'!I850)</f>
        <v/>
      </c>
      <c r="G850">
        <f>IF(ISBLANK('ENGAGEMENTS 2026'!B850),"",'ENGAGEMENTS 2026'!L850)</f>
        <v/>
      </c>
      <c r="H850">
        <f>IF(ISBLANK('ENGAGEMENTS 2026'!B850),"",'ENGAGEMENTS 2026'!AE850)</f>
        <v/>
      </c>
      <c r="I850">
        <f>IF(ISBLANK('ENGAGEMENTS 2026'!B850),"",'ENGAGEMENTS 2026'!G850)</f>
        <v/>
      </c>
      <c r="J850" s="275">
        <f>IF(ISBLANK('ENGAGEMENTS 2026'!B850),"",IF(AND(OR($E850="INFRUCTUEUX",$E850="ANNULE"),$C850="AOO-M"),'ENGAGEMENTS 2026'!O850,IF($H850="EN COURS DE PREENGAGEMENT",'ENGAGEMENTS 2026'!N850,IF($H850="PREENGAGE",IF($E850="ATTRIBUE",'ENGAGEMENTS 2026'!AD850,'ENGAGEMENTS 2026'!N850),'ENGAGEMENTS 2026'!AD850))))</f>
        <v/>
      </c>
      <c r="K850" s="604">
        <f>IF(ISBLANK('ENGAGEMENTS 2026'!V850),"",'ENGAGEMENTS 2026'!V850)</f>
        <v/>
      </c>
      <c r="L850" s="276">
        <f>IF($K850="","",TODAY()-$K850)</f>
        <v/>
      </c>
      <c r="M850">
        <f>IF($A850="","",IF($H850="ENGAGE","Engagé",IF(AND($H850="NON ENGAGE",OR($I850="INFRUCTUEUX",$I850="ANNULE")),"Clôturé sans suite","En cours")))</f>
        <v/>
      </c>
      <c r="N850">
        <f>IF(ISBLANK('ENGAGEMENTS 2026'!B850),"",'ENGAGEMENTS 2026'!K850)</f>
        <v/>
      </c>
      <c r="O850">
        <f>IF(ISBLANK('ENGAGEMENTS 2026'!B850),"",'ENGAGEMENTS 2026'!L850)</f>
        <v/>
      </c>
      <c r="P850">
        <f>IF(ISBLANK('ENGAGEMENTS 2026'!B850),"",'ENGAGEMENTS 2026'!J850)</f>
        <v/>
      </c>
      <c r="Q850">
        <f>IF($A850="","",IF(OR($E850="INFRUCTUEUX",$E850="ANNULE"),$A850&amp;"|"&amp;(COUNTIFS($A$2:$A850,$A850,$E$2:$E850,"INFRUCTUEUX")+COUNTIFS($A$2:$A850,$A850,$E$2:$E850,"ANNULE")),""))</f>
        <v/>
      </c>
    </row>
    <row r="851">
      <c r="A851">
        <f>IF(ISBLANK('ENGAGEMENTS 2026'!B851),"",IF('ENGAGEMENTS 2026'!B851="DTSI","DCT",'ENGAGEMENTS 2026'!B851))</f>
        <v/>
      </c>
      <c r="B851">
        <f>IF(ISBLANK('ENGAGEMENTS 2026'!B851),"",'ENGAGEMENTS 2026'!C851)</f>
        <v/>
      </c>
      <c r="C851">
        <f>IF(ISBLANK('ENGAGEMENTS 2026'!B851),"",'ENGAGEMENTS 2026'!D851)</f>
        <v/>
      </c>
      <c r="D851">
        <f>IF(ISBLANK('ENGAGEMENTS 2026'!B851),"",'ENGAGEMENTS 2026'!F851)</f>
        <v/>
      </c>
      <c r="E851">
        <f>IF(ISBLANK('ENGAGEMENTS 2026'!B851),"",'ENGAGEMENTS 2026'!H851)</f>
        <v/>
      </c>
      <c r="F851">
        <f>IF(ISBLANK('ENGAGEMENTS 2026'!B851),"",'ENGAGEMENTS 2026'!I851)</f>
        <v/>
      </c>
      <c r="G851">
        <f>IF(ISBLANK('ENGAGEMENTS 2026'!B851),"",'ENGAGEMENTS 2026'!L851)</f>
        <v/>
      </c>
      <c r="H851">
        <f>IF(ISBLANK('ENGAGEMENTS 2026'!B851),"",'ENGAGEMENTS 2026'!AE851)</f>
        <v/>
      </c>
      <c r="I851">
        <f>IF(ISBLANK('ENGAGEMENTS 2026'!B851),"",'ENGAGEMENTS 2026'!G851)</f>
        <v/>
      </c>
      <c r="J851" s="275">
        <f>IF(ISBLANK('ENGAGEMENTS 2026'!B851),"",IF(AND(OR($E851="INFRUCTUEUX",$E851="ANNULE"),$C851="AOO-M"),'ENGAGEMENTS 2026'!O851,IF($H851="EN COURS DE PREENGAGEMENT",'ENGAGEMENTS 2026'!N851,IF($H851="PREENGAGE",IF($E851="ATTRIBUE",'ENGAGEMENTS 2026'!AD851,'ENGAGEMENTS 2026'!N851),'ENGAGEMENTS 2026'!AD851))))</f>
        <v/>
      </c>
      <c r="K851" s="604">
        <f>IF(ISBLANK('ENGAGEMENTS 2026'!V851),"",'ENGAGEMENTS 2026'!V851)</f>
        <v/>
      </c>
      <c r="L851" s="276">
        <f>IF($K851="","",TODAY()-$K851)</f>
        <v/>
      </c>
      <c r="M851">
        <f>IF($A851="","",IF($H851="ENGAGE","Engagé",IF(AND($H851="NON ENGAGE",OR($I851="INFRUCTUEUX",$I851="ANNULE")),"Clôturé sans suite","En cours")))</f>
        <v/>
      </c>
      <c r="N851">
        <f>IF(ISBLANK('ENGAGEMENTS 2026'!B851),"",'ENGAGEMENTS 2026'!K851)</f>
        <v/>
      </c>
      <c r="O851">
        <f>IF(ISBLANK('ENGAGEMENTS 2026'!B851),"",'ENGAGEMENTS 2026'!L851)</f>
        <v/>
      </c>
      <c r="P851">
        <f>IF(ISBLANK('ENGAGEMENTS 2026'!B851),"",'ENGAGEMENTS 2026'!J851)</f>
        <v/>
      </c>
      <c r="Q851">
        <f>IF($A851="","",IF(OR($E851="INFRUCTUEUX",$E851="ANNULE"),$A851&amp;"|"&amp;(COUNTIFS($A$2:$A851,$A851,$E$2:$E851,"INFRUCTUEUX")+COUNTIFS($A$2:$A851,$A851,$E$2:$E851,"ANNULE")),""))</f>
        <v/>
      </c>
    </row>
    <row r="852">
      <c r="A852">
        <f>IF(ISBLANK('ENGAGEMENTS 2026'!B852),"",IF('ENGAGEMENTS 2026'!B852="DTSI","DCT",'ENGAGEMENTS 2026'!B852))</f>
        <v/>
      </c>
      <c r="B852">
        <f>IF(ISBLANK('ENGAGEMENTS 2026'!B852),"",'ENGAGEMENTS 2026'!C852)</f>
        <v/>
      </c>
      <c r="C852">
        <f>IF(ISBLANK('ENGAGEMENTS 2026'!B852),"",'ENGAGEMENTS 2026'!D852)</f>
        <v/>
      </c>
      <c r="D852">
        <f>IF(ISBLANK('ENGAGEMENTS 2026'!B852),"",'ENGAGEMENTS 2026'!F852)</f>
        <v/>
      </c>
      <c r="E852">
        <f>IF(ISBLANK('ENGAGEMENTS 2026'!B852),"",'ENGAGEMENTS 2026'!H852)</f>
        <v/>
      </c>
      <c r="F852">
        <f>IF(ISBLANK('ENGAGEMENTS 2026'!B852),"",'ENGAGEMENTS 2026'!I852)</f>
        <v/>
      </c>
      <c r="G852">
        <f>IF(ISBLANK('ENGAGEMENTS 2026'!B852),"",'ENGAGEMENTS 2026'!L852)</f>
        <v/>
      </c>
      <c r="H852">
        <f>IF(ISBLANK('ENGAGEMENTS 2026'!B852),"",'ENGAGEMENTS 2026'!AE852)</f>
        <v/>
      </c>
      <c r="I852">
        <f>IF(ISBLANK('ENGAGEMENTS 2026'!B852),"",'ENGAGEMENTS 2026'!G852)</f>
        <v/>
      </c>
      <c r="J852" s="275">
        <f>IF(ISBLANK('ENGAGEMENTS 2026'!B852),"",IF(AND(OR($E852="INFRUCTUEUX",$E852="ANNULE"),$C852="AOO-M"),'ENGAGEMENTS 2026'!O852,IF($H852="EN COURS DE PREENGAGEMENT",'ENGAGEMENTS 2026'!N852,IF($H852="PREENGAGE",IF($E852="ATTRIBUE",'ENGAGEMENTS 2026'!AD852,'ENGAGEMENTS 2026'!N852),'ENGAGEMENTS 2026'!AD852))))</f>
        <v/>
      </c>
      <c r="K852" s="604">
        <f>IF(ISBLANK('ENGAGEMENTS 2026'!V852),"",'ENGAGEMENTS 2026'!V852)</f>
        <v/>
      </c>
      <c r="L852" s="276">
        <f>IF($K852="","",TODAY()-$K852)</f>
        <v/>
      </c>
      <c r="M852">
        <f>IF($A852="","",IF($H852="ENGAGE","Engagé",IF(AND($H852="NON ENGAGE",OR($I852="INFRUCTUEUX",$I852="ANNULE")),"Clôturé sans suite","En cours")))</f>
        <v/>
      </c>
      <c r="N852">
        <f>IF(ISBLANK('ENGAGEMENTS 2026'!B852),"",'ENGAGEMENTS 2026'!K852)</f>
        <v/>
      </c>
      <c r="O852">
        <f>IF(ISBLANK('ENGAGEMENTS 2026'!B852),"",'ENGAGEMENTS 2026'!L852)</f>
        <v/>
      </c>
      <c r="P852">
        <f>IF(ISBLANK('ENGAGEMENTS 2026'!B852),"",'ENGAGEMENTS 2026'!J852)</f>
        <v/>
      </c>
      <c r="Q852">
        <f>IF($A852="","",IF(OR($E852="INFRUCTUEUX",$E852="ANNULE"),$A852&amp;"|"&amp;(COUNTIFS($A$2:$A852,$A852,$E$2:$E852,"INFRUCTUEUX")+COUNTIFS($A$2:$A852,$A852,$E$2:$E852,"ANNULE")),""))</f>
        <v/>
      </c>
    </row>
    <row r="853">
      <c r="A853">
        <f>IF(ISBLANK('ENGAGEMENTS 2026'!B853),"",IF('ENGAGEMENTS 2026'!B853="DTSI","DCT",'ENGAGEMENTS 2026'!B853))</f>
        <v/>
      </c>
      <c r="B853">
        <f>IF(ISBLANK('ENGAGEMENTS 2026'!B853),"",'ENGAGEMENTS 2026'!C853)</f>
        <v/>
      </c>
      <c r="C853">
        <f>IF(ISBLANK('ENGAGEMENTS 2026'!B853),"",'ENGAGEMENTS 2026'!D853)</f>
        <v/>
      </c>
      <c r="D853">
        <f>IF(ISBLANK('ENGAGEMENTS 2026'!B853),"",'ENGAGEMENTS 2026'!F853)</f>
        <v/>
      </c>
      <c r="E853">
        <f>IF(ISBLANK('ENGAGEMENTS 2026'!B853),"",'ENGAGEMENTS 2026'!H853)</f>
        <v/>
      </c>
      <c r="F853">
        <f>IF(ISBLANK('ENGAGEMENTS 2026'!B853),"",'ENGAGEMENTS 2026'!I853)</f>
        <v/>
      </c>
      <c r="G853">
        <f>IF(ISBLANK('ENGAGEMENTS 2026'!B853),"",'ENGAGEMENTS 2026'!L853)</f>
        <v/>
      </c>
      <c r="H853">
        <f>IF(ISBLANK('ENGAGEMENTS 2026'!B853),"",'ENGAGEMENTS 2026'!AE853)</f>
        <v/>
      </c>
      <c r="I853">
        <f>IF(ISBLANK('ENGAGEMENTS 2026'!B853),"",'ENGAGEMENTS 2026'!G853)</f>
        <v/>
      </c>
      <c r="J853" s="275">
        <f>IF(ISBLANK('ENGAGEMENTS 2026'!B853),"",IF(AND(OR($E853="INFRUCTUEUX",$E853="ANNULE"),$C853="AOO-M"),'ENGAGEMENTS 2026'!O853,IF($H853="EN COURS DE PREENGAGEMENT",'ENGAGEMENTS 2026'!N853,IF($H853="PREENGAGE",IF($E853="ATTRIBUE",'ENGAGEMENTS 2026'!AD853,'ENGAGEMENTS 2026'!N853),'ENGAGEMENTS 2026'!AD853))))</f>
        <v/>
      </c>
      <c r="K853" s="604">
        <f>IF(ISBLANK('ENGAGEMENTS 2026'!V853),"",'ENGAGEMENTS 2026'!V853)</f>
        <v/>
      </c>
      <c r="L853" s="276">
        <f>IF($K853="","",TODAY()-$K853)</f>
        <v/>
      </c>
      <c r="M853">
        <f>IF($A853="","",IF($H853="ENGAGE","Engagé",IF(AND($H853="NON ENGAGE",OR($I853="INFRUCTUEUX",$I853="ANNULE")),"Clôturé sans suite","En cours")))</f>
        <v/>
      </c>
      <c r="N853">
        <f>IF(ISBLANK('ENGAGEMENTS 2026'!B853),"",'ENGAGEMENTS 2026'!K853)</f>
        <v/>
      </c>
      <c r="O853">
        <f>IF(ISBLANK('ENGAGEMENTS 2026'!B853),"",'ENGAGEMENTS 2026'!L853)</f>
        <v/>
      </c>
      <c r="P853">
        <f>IF(ISBLANK('ENGAGEMENTS 2026'!B853),"",'ENGAGEMENTS 2026'!J853)</f>
        <v/>
      </c>
      <c r="Q853">
        <f>IF($A853="","",IF(OR($E853="INFRUCTUEUX",$E853="ANNULE"),$A853&amp;"|"&amp;(COUNTIFS($A$2:$A853,$A853,$E$2:$E853,"INFRUCTUEUX")+COUNTIFS($A$2:$A853,$A853,$E$2:$E853,"ANNULE")),""))</f>
        <v/>
      </c>
    </row>
    <row r="854">
      <c r="A854">
        <f>IF(ISBLANK('ENGAGEMENTS 2026'!B854),"",IF('ENGAGEMENTS 2026'!B854="DTSI","DCT",'ENGAGEMENTS 2026'!B854))</f>
        <v/>
      </c>
      <c r="B854">
        <f>IF(ISBLANK('ENGAGEMENTS 2026'!B854),"",'ENGAGEMENTS 2026'!C854)</f>
        <v/>
      </c>
      <c r="C854">
        <f>IF(ISBLANK('ENGAGEMENTS 2026'!B854),"",'ENGAGEMENTS 2026'!D854)</f>
        <v/>
      </c>
      <c r="D854">
        <f>IF(ISBLANK('ENGAGEMENTS 2026'!B854),"",'ENGAGEMENTS 2026'!F854)</f>
        <v/>
      </c>
      <c r="E854">
        <f>IF(ISBLANK('ENGAGEMENTS 2026'!B854),"",'ENGAGEMENTS 2026'!H854)</f>
        <v/>
      </c>
      <c r="F854">
        <f>IF(ISBLANK('ENGAGEMENTS 2026'!B854),"",'ENGAGEMENTS 2026'!I854)</f>
        <v/>
      </c>
      <c r="G854">
        <f>IF(ISBLANK('ENGAGEMENTS 2026'!B854),"",'ENGAGEMENTS 2026'!L854)</f>
        <v/>
      </c>
      <c r="H854">
        <f>IF(ISBLANK('ENGAGEMENTS 2026'!B854),"",'ENGAGEMENTS 2026'!AE854)</f>
        <v/>
      </c>
      <c r="I854">
        <f>IF(ISBLANK('ENGAGEMENTS 2026'!B854),"",'ENGAGEMENTS 2026'!G854)</f>
        <v/>
      </c>
      <c r="J854" s="275">
        <f>IF(ISBLANK('ENGAGEMENTS 2026'!B854),"",IF(AND(OR($E854="INFRUCTUEUX",$E854="ANNULE"),$C854="AOO-M"),'ENGAGEMENTS 2026'!O854,IF($H854="EN COURS DE PREENGAGEMENT",'ENGAGEMENTS 2026'!N854,IF($H854="PREENGAGE",IF($E854="ATTRIBUE",'ENGAGEMENTS 2026'!AD854,'ENGAGEMENTS 2026'!N854),'ENGAGEMENTS 2026'!AD854))))</f>
        <v/>
      </c>
      <c r="K854" s="604">
        <f>IF(ISBLANK('ENGAGEMENTS 2026'!V854),"",'ENGAGEMENTS 2026'!V854)</f>
        <v/>
      </c>
      <c r="L854" s="276">
        <f>IF($K854="","",TODAY()-$K854)</f>
        <v/>
      </c>
      <c r="M854">
        <f>IF($A854="","",IF($H854="ENGAGE","Engagé",IF(AND($H854="NON ENGAGE",OR($I854="INFRUCTUEUX",$I854="ANNULE")),"Clôturé sans suite","En cours")))</f>
        <v/>
      </c>
      <c r="N854">
        <f>IF(ISBLANK('ENGAGEMENTS 2026'!B854),"",'ENGAGEMENTS 2026'!K854)</f>
        <v/>
      </c>
      <c r="O854">
        <f>IF(ISBLANK('ENGAGEMENTS 2026'!B854),"",'ENGAGEMENTS 2026'!L854)</f>
        <v/>
      </c>
      <c r="P854">
        <f>IF(ISBLANK('ENGAGEMENTS 2026'!B854),"",'ENGAGEMENTS 2026'!J854)</f>
        <v/>
      </c>
      <c r="Q854">
        <f>IF($A854="","",IF(OR($E854="INFRUCTUEUX",$E854="ANNULE"),$A854&amp;"|"&amp;(COUNTIFS($A$2:$A854,$A854,$E$2:$E854,"INFRUCTUEUX")+COUNTIFS($A$2:$A854,$A854,$E$2:$E854,"ANNULE")),""))</f>
        <v/>
      </c>
    </row>
    <row r="855">
      <c r="A855">
        <f>IF(ISBLANK('ENGAGEMENTS 2026'!B855),"",IF('ENGAGEMENTS 2026'!B855="DTSI","DCT",'ENGAGEMENTS 2026'!B855))</f>
        <v/>
      </c>
      <c r="B855">
        <f>IF(ISBLANK('ENGAGEMENTS 2026'!B855),"",'ENGAGEMENTS 2026'!C855)</f>
        <v/>
      </c>
      <c r="C855">
        <f>IF(ISBLANK('ENGAGEMENTS 2026'!B855),"",'ENGAGEMENTS 2026'!D855)</f>
        <v/>
      </c>
      <c r="D855">
        <f>IF(ISBLANK('ENGAGEMENTS 2026'!B855),"",'ENGAGEMENTS 2026'!F855)</f>
        <v/>
      </c>
      <c r="E855">
        <f>IF(ISBLANK('ENGAGEMENTS 2026'!B855),"",'ENGAGEMENTS 2026'!H855)</f>
        <v/>
      </c>
      <c r="F855">
        <f>IF(ISBLANK('ENGAGEMENTS 2026'!B855),"",'ENGAGEMENTS 2026'!I855)</f>
        <v/>
      </c>
      <c r="G855">
        <f>IF(ISBLANK('ENGAGEMENTS 2026'!B855),"",'ENGAGEMENTS 2026'!L855)</f>
        <v/>
      </c>
      <c r="H855">
        <f>IF(ISBLANK('ENGAGEMENTS 2026'!B855),"",'ENGAGEMENTS 2026'!AE855)</f>
        <v/>
      </c>
      <c r="I855">
        <f>IF(ISBLANK('ENGAGEMENTS 2026'!B855),"",'ENGAGEMENTS 2026'!G855)</f>
        <v/>
      </c>
      <c r="J855" s="275">
        <f>IF(ISBLANK('ENGAGEMENTS 2026'!B855),"",IF(AND(OR($E855="INFRUCTUEUX",$E855="ANNULE"),$C855="AOO-M"),'ENGAGEMENTS 2026'!O855,IF($H855="EN COURS DE PREENGAGEMENT",'ENGAGEMENTS 2026'!N855,IF($H855="PREENGAGE",IF($E855="ATTRIBUE",'ENGAGEMENTS 2026'!AD855,'ENGAGEMENTS 2026'!N855),'ENGAGEMENTS 2026'!AD855))))</f>
        <v/>
      </c>
      <c r="K855" s="604">
        <f>IF(ISBLANK('ENGAGEMENTS 2026'!V855),"",'ENGAGEMENTS 2026'!V855)</f>
        <v/>
      </c>
      <c r="L855" s="276">
        <f>IF($K855="","",TODAY()-$K855)</f>
        <v/>
      </c>
      <c r="M855">
        <f>IF($A855="","",IF($H855="ENGAGE","Engagé",IF(AND($H855="NON ENGAGE",OR($I855="INFRUCTUEUX",$I855="ANNULE")),"Clôturé sans suite","En cours")))</f>
        <v/>
      </c>
      <c r="N855">
        <f>IF(ISBLANK('ENGAGEMENTS 2026'!B855),"",'ENGAGEMENTS 2026'!K855)</f>
        <v/>
      </c>
      <c r="O855">
        <f>IF(ISBLANK('ENGAGEMENTS 2026'!B855),"",'ENGAGEMENTS 2026'!L855)</f>
        <v/>
      </c>
      <c r="P855">
        <f>IF(ISBLANK('ENGAGEMENTS 2026'!B855),"",'ENGAGEMENTS 2026'!J855)</f>
        <v/>
      </c>
      <c r="Q855">
        <f>IF($A855="","",IF(OR($E855="INFRUCTUEUX",$E855="ANNULE"),$A855&amp;"|"&amp;(COUNTIFS($A$2:$A855,$A855,$E$2:$E855,"INFRUCTUEUX")+COUNTIFS($A$2:$A855,$A855,$E$2:$E855,"ANNULE")),""))</f>
        <v/>
      </c>
    </row>
    <row r="856">
      <c r="A856">
        <f>IF(ISBLANK('ENGAGEMENTS 2026'!B856),"",IF('ENGAGEMENTS 2026'!B856="DTSI","DCT",'ENGAGEMENTS 2026'!B856))</f>
        <v/>
      </c>
      <c r="B856">
        <f>IF(ISBLANK('ENGAGEMENTS 2026'!B856),"",'ENGAGEMENTS 2026'!C856)</f>
        <v/>
      </c>
      <c r="C856">
        <f>IF(ISBLANK('ENGAGEMENTS 2026'!B856),"",'ENGAGEMENTS 2026'!D856)</f>
        <v/>
      </c>
      <c r="D856">
        <f>IF(ISBLANK('ENGAGEMENTS 2026'!B856),"",'ENGAGEMENTS 2026'!F856)</f>
        <v/>
      </c>
      <c r="E856">
        <f>IF(ISBLANK('ENGAGEMENTS 2026'!B856),"",'ENGAGEMENTS 2026'!H856)</f>
        <v/>
      </c>
      <c r="F856">
        <f>IF(ISBLANK('ENGAGEMENTS 2026'!B856),"",'ENGAGEMENTS 2026'!I856)</f>
        <v/>
      </c>
      <c r="G856">
        <f>IF(ISBLANK('ENGAGEMENTS 2026'!B856),"",'ENGAGEMENTS 2026'!L856)</f>
        <v/>
      </c>
      <c r="H856">
        <f>IF(ISBLANK('ENGAGEMENTS 2026'!B856),"",'ENGAGEMENTS 2026'!AE856)</f>
        <v/>
      </c>
      <c r="I856">
        <f>IF(ISBLANK('ENGAGEMENTS 2026'!B856),"",'ENGAGEMENTS 2026'!G856)</f>
        <v/>
      </c>
      <c r="J856" s="275">
        <f>IF(ISBLANK('ENGAGEMENTS 2026'!B856),"",IF(AND(OR($E856="INFRUCTUEUX",$E856="ANNULE"),$C856="AOO-M"),'ENGAGEMENTS 2026'!O856,IF($H856="EN COURS DE PREENGAGEMENT",'ENGAGEMENTS 2026'!N856,IF($H856="PREENGAGE",IF($E856="ATTRIBUE",'ENGAGEMENTS 2026'!AD856,'ENGAGEMENTS 2026'!N856),'ENGAGEMENTS 2026'!AD856))))</f>
        <v/>
      </c>
      <c r="K856" s="604">
        <f>IF(ISBLANK('ENGAGEMENTS 2026'!V856),"",'ENGAGEMENTS 2026'!V856)</f>
        <v/>
      </c>
      <c r="L856" s="276">
        <f>IF($K856="","",TODAY()-$K856)</f>
        <v/>
      </c>
      <c r="M856">
        <f>IF($A856="","",IF($H856="ENGAGE","Engagé",IF(AND($H856="NON ENGAGE",OR($I856="INFRUCTUEUX",$I856="ANNULE")),"Clôturé sans suite","En cours")))</f>
        <v/>
      </c>
      <c r="N856">
        <f>IF(ISBLANK('ENGAGEMENTS 2026'!B856),"",'ENGAGEMENTS 2026'!K856)</f>
        <v/>
      </c>
      <c r="O856">
        <f>IF(ISBLANK('ENGAGEMENTS 2026'!B856),"",'ENGAGEMENTS 2026'!L856)</f>
        <v/>
      </c>
      <c r="P856">
        <f>IF(ISBLANK('ENGAGEMENTS 2026'!B856),"",'ENGAGEMENTS 2026'!J856)</f>
        <v/>
      </c>
      <c r="Q856">
        <f>IF($A856="","",IF(OR($E856="INFRUCTUEUX",$E856="ANNULE"),$A856&amp;"|"&amp;(COUNTIFS($A$2:$A856,$A856,$E$2:$E856,"INFRUCTUEUX")+COUNTIFS($A$2:$A856,$A856,$E$2:$E856,"ANNULE")),""))</f>
        <v/>
      </c>
    </row>
    <row r="857">
      <c r="A857">
        <f>IF(ISBLANK('ENGAGEMENTS 2026'!B857),"",IF('ENGAGEMENTS 2026'!B857="DTSI","DCT",'ENGAGEMENTS 2026'!B857))</f>
        <v/>
      </c>
      <c r="B857">
        <f>IF(ISBLANK('ENGAGEMENTS 2026'!B857),"",'ENGAGEMENTS 2026'!C857)</f>
        <v/>
      </c>
      <c r="C857">
        <f>IF(ISBLANK('ENGAGEMENTS 2026'!B857),"",'ENGAGEMENTS 2026'!D857)</f>
        <v/>
      </c>
      <c r="D857">
        <f>IF(ISBLANK('ENGAGEMENTS 2026'!B857),"",'ENGAGEMENTS 2026'!F857)</f>
        <v/>
      </c>
      <c r="E857">
        <f>IF(ISBLANK('ENGAGEMENTS 2026'!B857),"",'ENGAGEMENTS 2026'!H857)</f>
        <v/>
      </c>
      <c r="F857">
        <f>IF(ISBLANK('ENGAGEMENTS 2026'!B857),"",'ENGAGEMENTS 2026'!I857)</f>
        <v/>
      </c>
      <c r="G857">
        <f>IF(ISBLANK('ENGAGEMENTS 2026'!B857),"",'ENGAGEMENTS 2026'!L857)</f>
        <v/>
      </c>
      <c r="H857">
        <f>IF(ISBLANK('ENGAGEMENTS 2026'!B857),"",'ENGAGEMENTS 2026'!AE857)</f>
        <v/>
      </c>
      <c r="I857">
        <f>IF(ISBLANK('ENGAGEMENTS 2026'!B857),"",'ENGAGEMENTS 2026'!G857)</f>
        <v/>
      </c>
      <c r="J857" s="275">
        <f>IF(ISBLANK('ENGAGEMENTS 2026'!B857),"",IF(AND(OR($E857="INFRUCTUEUX",$E857="ANNULE"),$C857="AOO-M"),'ENGAGEMENTS 2026'!O857,IF($H857="EN COURS DE PREENGAGEMENT",'ENGAGEMENTS 2026'!N857,IF($H857="PREENGAGE",IF($E857="ATTRIBUE",'ENGAGEMENTS 2026'!AD857,'ENGAGEMENTS 2026'!N857),'ENGAGEMENTS 2026'!AD857))))</f>
        <v/>
      </c>
      <c r="K857" s="604">
        <f>IF(ISBLANK('ENGAGEMENTS 2026'!V857),"",'ENGAGEMENTS 2026'!V857)</f>
        <v/>
      </c>
      <c r="L857" s="276">
        <f>IF($K857="","",TODAY()-$K857)</f>
        <v/>
      </c>
      <c r="M857">
        <f>IF($A857="","",IF($H857="ENGAGE","Engagé",IF(AND($H857="NON ENGAGE",OR($I857="INFRUCTUEUX",$I857="ANNULE")),"Clôturé sans suite","En cours")))</f>
        <v/>
      </c>
      <c r="N857">
        <f>IF(ISBLANK('ENGAGEMENTS 2026'!B857),"",'ENGAGEMENTS 2026'!K857)</f>
        <v/>
      </c>
      <c r="O857">
        <f>IF(ISBLANK('ENGAGEMENTS 2026'!B857),"",'ENGAGEMENTS 2026'!L857)</f>
        <v/>
      </c>
      <c r="P857">
        <f>IF(ISBLANK('ENGAGEMENTS 2026'!B857),"",'ENGAGEMENTS 2026'!J857)</f>
        <v/>
      </c>
      <c r="Q857">
        <f>IF($A857="","",IF(OR($E857="INFRUCTUEUX",$E857="ANNULE"),$A857&amp;"|"&amp;(COUNTIFS($A$2:$A857,$A857,$E$2:$E857,"INFRUCTUEUX")+COUNTIFS($A$2:$A857,$A857,$E$2:$E857,"ANNULE")),""))</f>
        <v/>
      </c>
    </row>
    <row r="858">
      <c r="A858">
        <f>IF(ISBLANK('ENGAGEMENTS 2026'!B858),"",IF('ENGAGEMENTS 2026'!B858="DTSI","DCT",'ENGAGEMENTS 2026'!B858))</f>
        <v/>
      </c>
      <c r="B858">
        <f>IF(ISBLANK('ENGAGEMENTS 2026'!B858),"",'ENGAGEMENTS 2026'!C858)</f>
        <v/>
      </c>
      <c r="C858">
        <f>IF(ISBLANK('ENGAGEMENTS 2026'!B858),"",'ENGAGEMENTS 2026'!D858)</f>
        <v/>
      </c>
      <c r="D858">
        <f>IF(ISBLANK('ENGAGEMENTS 2026'!B858),"",'ENGAGEMENTS 2026'!F858)</f>
        <v/>
      </c>
      <c r="E858">
        <f>IF(ISBLANK('ENGAGEMENTS 2026'!B858),"",'ENGAGEMENTS 2026'!H858)</f>
        <v/>
      </c>
      <c r="F858">
        <f>IF(ISBLANK('ENGAGEMENTS 2026'!B858),"",'ENGAGEMENTS 2026'!I858)</f>
        <v/>
      </c>
      <c r="G858">
        <f>IF(ISBLANK('ENGAGEMENTS 2026'!B858),"",'ENGAGEMENTS 2026'!L858)</f>
        <v/>
      </c>
      <c r="H858">
        <f>IF(ISBLANK('ENGAGEMENTS 2026'!B858),"",'ENGAGEMENTS 2026'!AE858)</f>
        <v/>
      </c>
      <c r="I858">
        <f>IF(ISBLANK('ENGAGEMENTS 2026'!B858),"",'ENGAGEMENTS 2026'!G858)</f>
        <v/>
      </c>
      <c r="J858" s="275">
        <f>IF(ISBLANK('ENGAGEMENTS 2026'!B858),"",IF(AND(OR($E858="INFRUCTUEUX",$E858="ANNULE"),$C858="AOO-M"),'ENGAGEMENTS 2026'!O858,IF($H858="EN COURS DE PREENGAGEMENT",'ENGAGEMENTS 2026'!N858,IF($H858="PREENGAGE",IF($E858="ATTRIBUE",'ENGAGEMENTS 2026'!AD858,'ENGAGEMENTS 2026'!N858),'ENGAGEMENTS 2026'!AD858))))</f>
        <v/>
      </c>
      <c r="K858" s="604">
        <f>IF(ISBLANK('ENGAGEMENTS 2026'!V858),"",'ENGAGEMENTS 2026'!V858)</f>
        <v/>
      </c>
      <c r="L858" s="276">
        <f>IF($K858="","",TODAY()-$K858)</f>
        <v/>
      </c>
      <c r="M858">
        <f>IF($A858="","",IF($H858="ENGAGE","Engagé",IF(AND($H858="NON ENGAGE",OR($I858="INFRUCTUEUX",$I858="ANNULE")),"Clôturé sans suite","En cours")))</f>
        <v/>
      </c>
      <c r="N858">
        <f>IF(ISBLANK('ENGAGEMENTS 2026'!B858),"",'ENGAGEMENTS 2026'!K858)</f>
        <v/>
      </c>
      <c r="O858">
        <f>IF(ISBLANK('ENGAGEMENTS 2026'!B858),"",'ENGAGEMENTS 2026'!L858)</f>
        <v/>
      </c>
      <c r="P858">
        <f>IF(ISBLANK('ENGAGEMENTS 2026'!B858),"",'ENGAGEMENTS 2026'!J858)</f>
        <v/>
      </c>
      <c r="Q858">
        <f>IF($A858="","",IF(OR($E858="INFRUCTUEUX",$E858="ANNULE"),$A858&amp;"|"&amp;(COUNTIFS($A$2:$A858,$A858,$E$2:$E858,"INFRUCTUEUX")+COUNTIFS($A$2:$A858,$A858,$E$2:$E858,"ANNULE")),""))</f>
        <v/>
      </c>
    </row>
    <row r="859">
      <c r="A859">
        <f>IF(ISBLANK('ENGAGEMENTS 2026'!B859),"",IF('ENGAGEMENTS 2026'!B859="DTSI","DCT",'ENGAGEMENTS 2026'!B859))</f>
        <v/>
      </c>
      <c r="B859">
        <f>IF(ISBLANK('ENGAGEMENTS 2026'!B859),"",'ENGAGEMENTS 2026'!C859)</f>
        <v/>
      </c>
      <c r="C859">
        <f>IF(ISBLANK('ENGAGEMENTS 2026'!B859),"",'ENGAGEMENTS 2026'!D859)</f>
        <v/>
      </c>
      <c r="D859">
        <f>IF(ISBLANK('ENGAGEMENTS 2026'!B859),"",'ENGAGEMENTS 2026'!F859)</f>
        <v/>
      </c>
      <c r="E859">
        <f>IF(ISBLANK('ENGAGEMENTS 2026'!B859),"",'ENGAGEMENTS 2026'!H859)</f>
        <v/>
      </c>
      <c r="F859">
        <f>IF(ISBLANK('ENGAGEMENTS 2026'!B859),"",'ENGAGEMENTS 2026'!I859)</f>
        <v/>
      </c>
      <c r="G859">
        <f>IF(ISBLANK('ENGAGEMENTS 2026'!B859),"",'ENGAGEMENTS 2026'!L859)</f>
        <v/>
      </c>
      <c r="H859">
        <f>IF(ISBLANK('ENGAGEMENTS 2026'!B859),"",'ENGAGEMENTS 2026'!AE859)</f>
        <v/>
      </c>
      <c r="I859">
        <f>IF(ISBLANK('ENGAGEMENTS 2026'!B859),"",'ENGAGEMENTS 2026'!G859)</f>
        <v/>
      </c>
      <c r="J859" s="275">
        <f>IF(ISBLANK('ENGAGEMENTS 2026'!B859),"",IF(AND(OR($E859="INFRUCTUEUX",$E859="ANNULE"),$C859="AOO-M"),'ENGAGEMENTS 2026'!O859,IF($H859="EN COURS DE PREENGAGEMENT",'ENGAGEMENTS 2026'!N859,IF($H859="PREENGAGE",IF($E859="ATTRIBUE",'ENGAGEMENTS 2026'!AD859,'ENGAGEMENTS 2026'!N859),'ENGAGEMENTS 2026'!AD859))))</f>
        <v/>
      </c>
      <c r="K859" s="604">
        <f>IF(ISBLANK('ENGAGEMENTS 2026'!V859),"",'ENGAGEMENTS 2026'!V859)</f>
        <v/>
      </c>
      <c r="L859" s="276">
        <f>IF($K859="","",TODAY()-$K859)</f>
        <v/>
      </c>
      <c r="M859">
        <f>IF($A859="","",IF($H859="ENGAGE","Engagé",IF(AND($H859="NON ENGAGE",OR($I859="INFRUCTUEUX",$I859="ANNULE")),"Clôturé sans suite","En cours")))</f>
        <v/>
      </c>
      <c r="N859">
        <f>IF(ISBLANK('ENGAGEMENTS 2026'!B859),"",'ENGAGEMENTS 2026'!K859)</f>
        <v/>
      </c>
      <c r="O859">
        <f>IF(ISBLANK('ENGAGEMENTS 2026'!B859),"",'ENGAGEMENTS 2026'!L859)</f>
        <v/>
      </c>
      <c r="P859">
        <f>IF(ISBLANK('ENGAGEMENTS 2026'!B859),"",'ENGAGEMENTS 2026'!J859)</f>
        <v/>
      </c>
      <c r="Q859">
        <f>IF($A859="","",IF(OR($E859="INFRUCTUEUX",$E859="ANNULE"),$A859&amp;"|"&amp;(COUNTIFS($A$2:$A859,$A859,$E$2:$E859,"INFRUCTUEUX")+COUNTIFS($A$2:$A859,$A859,$E$2:$E859,"ANNULE")),""))</f>
        <v/>
      </c>
    </row>
    <row r="860">
      <c r="A860">
        <f>IF(ISBLANK('ENGAGEMENTS 2026'!B860),"",IF('ENGAGEMENTS 2026'!B860="DTSI","DCT",'ENGAGEMENTS 2026'!B860))</f>
        <v/>
      </c>
      <c r="B860">
        <f>IF(ISBLANK('ENGAGEMENTS 2026'!B860),"",'ENGAGEMENTS 2026'!C860)</f>
        <v/>
      </c>
      <c r="C860">
        <f>IF(ISBLANK('ENGAGEMENTS 2026'!B860),"",'ENGAGEMENTS 2026'!D860)</f>
        <v/>
      </c>
      <c r="D860">
        <f>IF(ISBLANK('ENGAGEMENTS 2026'!B860),"",'ENGAGEMENTS 2026'!F860)</f>
        <v/>
      </c>
      <c r="E860">
        <f>IF(ISBLANK('ENGAGEMENTS 2026'!B860),"",'ENGAGEMENTS 2026'!H860)</f>
        <v/>
      </c>
      <c r="F860">
        <f>IF(ISBLANK('ENGAGEMENTS 2026'!B860),"",'ENGAGEMENTS 2026'!I860)</f>
        <v/>
      </c>
      <c r="G860">
        <f>IF(ISBLANK('ENGAGEMENTS 2026'!B860),"",'ENGAGEMENTS 2026'!L860)</f>
        <v/>
      </c>
      <c r="H860">
        <f>IF(ISBLANK('ENGAGEMENTS 2026'!B860),"",'ENGAGEMENTS 2026'!AE860)</f>
        <v/>
      </c>
      <c r="I860">
        <f>IF(ISBLANK('ENGAGEMENTS 2026'!B860),"",'ENGAGEMENTS 2026'!G860)</f>
        <v/>
      </c>
      <c r="J860" s="275">
        <f>IF(ISBLANK('ENGAGEMENTS 2026'!B860),"",IF(AND(OR($E860="INFRUCTUEUX",$E860="ANNULE"),$C860="AOO-M"),'ENGAGEMENTS 2026'!O860,IF($H860="EN COURS DE PREENGAGEMENT",'ENGAGEMENTS 2026'!N860,IF($H860="PREENGAGE",IF($E860="ATTRIBUE",'ENGAGEMENTS 2026'!AD860,'ENGAGEMENTS 2026'!N860),'ENGAGEMENTS 2026'!AD860))))</f>
        <v/>
      </c>
      <c r="K860" s="604">
        <f>IF(ISBLANK('ENGAGEMENTS 2026'!V860),"",'ENGAGEMENTS 2026'!V860)</f>
        <v/>
      </c>
      <c r="L860" s="276">
        <f>IF($K860="","",TODAY()-$K860)</f>
        <v/>
      </c>
      <c r="M860">
        <f>IF($A860="","",IF($H860="ENGAGE","Engagé",IF(AND($H860="NON ENGAGE",OR($I860="INFRUCTUEUX",$I860="ANNULE")),"Clôturé sans suite","En cours")))</f>
        <v/>
      </c>
      <c r="N860">
        <f>IF(ISBLANK('ENGAGEMENTS 2026'!B860),"",'ENGAGEMENTS 2026'!K860)</f>
        <v/>
      </c>
      <c r="O860">
        <f>IF(ISBLANK('ENGAGEMENTS 2026'!B860),"",'ENGAGEMENTS 2026'!L860)</f>
        <v/>
      </c>
      <c r="P860">
        <f>IF(ISBLANK('ENGAGEMENTS 2026'!B860),"",'ENGAGEMENTS 2026'!J860)</f>
        <v/>
      </c>
      <c r="Q860">
        <f>IF($A860="","",IF(OR($E860="INFRUCTUEUX",$E860="ANNULE"),$A860&amp;"|"&amp;(COUNTIFS($A$2:$A860,$A860,$E$2:$E860,"INFRUCTUEUX")+COUNTIFS($A$2:$A860,$A860,$E$2:$E860,"ANNULE")),""))</f>
        <v/>
      </c>
    </row>
    <row r="861">
      <c r="A861">
        <f>IF(ISBLANK('ENGAGEMENTS 2026'!B861),"",IF('ENGAGEMENTS 2026'!B861="DTSI","DCT",'ENGAGEMENTS 2026'!B861))</f>
        <v/>
      </c>
      <c r="B861">
        <f>IF(ISBLANK('ENGAGEMENTS 2026'!B861),"",'ENGAGEMENTS 2026'!C861)</f>
        <v/>
      </c>
      <c r="C861">
        <f>IF(ISBLANK('ENGAGEMENTS 2026'!B861),"",'ENGAGEMENTS 2026'!D861)</f>
        <v/>
      </c>
      <c r="D861">
        <f>IF(ISBLANK('ENGAGEMENTS 2026'!B861),"",'ENGAGEMENTS 2026'!F861)</f>
        <v/>
      </c>
      <c r="E861">
        <f>IF(ISBLANK('ENGAGEMENTS 2026'!B861),"",'ENGAGEMENTS 2026'!H861)</f>
        <v/>
      </c>
      <c r="F861">
        <f>IF(ISBLANK('ENGAGEMENTS 2026'!B861),"",'ENGAGEMENTS 2026'!I861)</f>
        <v/>
      </c>
      <c r="G861">
        <f>IF(ISBLANK('ENGAGEMENTS 2026'!B861),"",'ENGAGEMENTS 2026'!L861)</f>
        <v/>
      </c>
      <c r="H861">
        <f>IF(ISBLANK('ENGAGEMENTS 2026'!B861),"",'ENGAGEMENTS 2026'!AE861)</f>
        <v/>
      </c>
      <c r="I861">
        <f>IF(ISBLANK('ENGAGEMENTS 2026'!B861),"",'ENGAGEMENTS 2026'!G861)</f>
        <v/>
      </c>
      <c r="J861" s="275">
        <f>IF(ISBLANK('ENGAGEMENTS 2026'!B861),"",IF(AND(OR($E861="INFRUCTUEUX",$E861="ANNULE"),$C861="AOO-M"),'ENGAGEMENTS 2026'!O861,IF($H861="EN COURS DE PREENGAGEMENT",'ENGAGEMENTS 2026'!N861,IF($H861="PREENGAGE",IF($E861="ATTRIBUE",'ENGAGEMENTS 2026'!AD861,'ENGAGEMENTS 2026'!N861),'ENGAGEMENTS 2026'!AD861))))</f>
        <v/>
      </c>
      <c r="K861" s="604">
        <f>IF(ISBLANK('ENGAGEMENTS 2026'!V861),"",'ENGAGEMENTS 2026'!V861)</f>
        <v/>
      </c>
      <c r="L861" s="276">
        <f>IF($K861="","",TODAY()-$K861)</f>
        <v/>
      </c>
      <c r="M861">
        <f>IF($A861="","",IF($H861="ENGAGE","Engagé",IF(AND($H861="NON ENGAGE",OR($I861="INFRUCTUEUX",$I861="ANNULE")),"Clôturé sans suite","En cours")))</f>
        <v/>
      </c>
      <c r="N861">
        <f>IF(ISBLANK('ENGAGEMENTS 2026'!B861),"",'ENGAGEMENTS 2026'!K861)</f>
        <v/>
      </c>
      <c r="O861">
        <f>IF(ISBLANK('ENGAGEMENTS 2026'!B861),"",'ENGAGEMENTS 2026'!L861)</f>
        <v/>
      </c>
      <c r="P861">
        <f>IF(ISBLANK('ENGAGEMENTS 2026'!B861),"",'ENGAGEMENTS 2026'!J861)</f>
        <v/>
      </c>
      <c r="Q861">
        <f>IF($A861="","",IF(OR($E861="INFRUCTUEUX",$E861="ANNULE"),$A861&amp;"|"&amp;(COUNTIFS($A$2:$A861,$A861,$E$2:$E861,"INFRUCTUEUX")+COUNTIFS($A$2:$A861,$A861,$E$2:$E861,"ANNULE")),""))</f>
        <v/>
      </c>
    </row>
    <row r="862">
      <c r="A862">
        <f>IF(ISBLANK('ENGAGEMENTS 2026'!B862),"",IF('ENGAGEMENTS 2026'!B862="DTSI","DCT",'ENGAGEMENTS 2026'!B862))</f>
        <v/>
      </c>
      <c r="B862">
        <f>IF(ISBLANK('ENGAGEMENTS 2026'!B862),"",'ENGAGEMENTS 2026'!C862)</f>
        <v/>
      </c>
      <c r="C862">
        <f>IF(ISBLANK('ENGAGEMENTS 2026'!B862),"",'ENGAGEMENTS 2026'!D862)</f>
        <v/>
      </c>
      <c r="D862">
        <f>IF(ISBLANK('ENGAGEMENTS 2026'!B862),"",'ENGAGEMENTS 2026'!F862)</f>
        <v/>
      </c>
      <c r="E862">
        <f>IF(ISBLANK('ENGAGEMENTS 2026'!B862),"",'ENGAGEMENTS 2026'!H862)</f>
        <v/>
      </c>
      <c r="F862">
        <f>IF(ISBLANK('ENGAGEMENTS 2026'!B862),"",'ENGAGEMENTS 2026'!I862)</f>
        <v/>
      </c>
      <c r="G862">
        <f>IF(ISBLANK('ENGAGEMENTS 2026'!B862),"",'ENGAGEMENTS 2026'!L862)</f>
        <v/>
      </c>
      <c r="H862">
        <f>IF(ISBLANK('ENGAGEMENTS 2026'!B862),"",'ENGAGEMENTS 2026'!AE862)</f>
        <v/>
      </c>
      <c r="I862">
        <f>IF(ISBLANK('ENGAGEMENTS 2026'!B862),"",'ENGAGEMENTS 2026'!G862)</f>
        <v/>
      </c>
      <c r="J862" s="275">
        <f>IF(ISBLANK('ENGAGEMENTS 2026'!B862),"",IF(AND(OR($E862="INFRUCTUEUX",$E862="ANNULE"),$C862="AOO-M"),'ENGAGEMENTS 2026'!O862,IF($H862="EN COURS DE PREENGAGEMENT",'ENGAGEMENTS 2026'!N862,IF($H862="PREENGAGE",IF($E862="ATTRIBUE",'ENGAGEMENTS 2026'!AD862,'ENGAGEMENTS 2026'!N862),'ENGAGEMENTS 2026'!AD862))))</f>
        <v/>
      </c>
      <c r="K862" s="604">
        <f>IF(ISBLANK('ENGAGEMENTS 2026'!V862),"",'ENGAGEMENTS 2026'!V862)</f>
        <v/>
      </c>
      <c r="L862" s="276">
        <f>IF($K862="","",TODAY()-$K862)</f>
        <v/>
      </c>
      <c r="M862">
        <f>IF($A862="","",IF($H862="ENGAGE","Engagé",IF(AND($H862="NON ENGAGE",OR($I862="INFRUCTUEUX",$I862="ANNULE")),"Clôturé sans suite","En cours")))</f>
        <v/>
      </c>
      <c r="N862">
        <f>IF(ISBLANK('ENGAGEMENTS 2026'!B862),"",'ENGAGEMENTS 2026'!K862)</f>
        <v/>
      </c>
      <c r="O862">
        <f>IF(ISBLANK('ENGAGEMENTS 2026'!B862),"",'ENGAGEMENTS 2026'!L862)</f>
        <v/>
      </c>
      <c r="P862">
        <f>IF(ISBLANK('ENGAGEMENTS 2026'!B862),"",'ENGAGEMENTS 2026'!J862)</f>
        <v/>
      </c>
      <c r="Q862">
        <f>IF($A862="","",IF(OR($E862="INFRUCTUEUX",$E862="ANNULE"),$A862&amp;"|"&amp;(COUNTIFS($A$2:$A862,$A862,$E$2:$E862,"INFRUCTUEUX")+COUNTIFS($A$2:$A862,$A862,$E$2:$E862,"ANNULE")),""))</f>
        <v/>
      </c>
    </row>
    <row r="863">
      <c r="A863">
        <f>IF(ISBLANK('ENGAGEMENTS 2026'!B863),"",IF('ENGAGEMENTS 2026'!B863="DTSI","DCT",'ENGAGEMENTS 2026'!B863))</f>
        <v/>
      </c>
      <c r="B863">
        <f>IF(ISBLANK('ENGAGEMENTS 2026'!B863),"",'ENGAGEMENTS 2026'!C863)</f>
        <v/>
      </c>
      <c r="C863">
        <f>IF(ISBLANK('ENGAGEMENTS 2026'!B863),"",'ENGAGEMENTS 2026'!D863)</f>
        <v/>
      </c>
      <c r="D863">
        <f>IF(ISBLANK('ENGAGEMENTS 2026'!B863),"",'ENGAGEMENTS 2026'!F863)</f>
        <v/>
      </c>
      <c r="E863">
        <f>IF(ISBLANK('ENGAGEMENTS 2026'!B863),"",'ENGAGEMENTS 2026'!H863)</f>
        <v/>
      </c>
      <c r="F863">
        <f>IF(ISBLANK('ENGAGEMENTS 2026'!B863),"",'ENGAGEMENTS 2026'!I863)</f>
        <v/>
      </c>
      <c r="G863">
        <f>IF(ISBLANK('ENGAGEMENTS 2026'!B863),"",'ENGAGEMENTS 2026'!L863)</f>
        <v/>
      </c>
      <c r="H863">
        <f>IF(ISBLANK('ENGAGEMENTS 2026'!B863),"",'ENGAGEMENTS 2026'!AE863)</f>
        <v/>
      </c>
      <c r="I863">
        <f>IF(ISBLANK('ENGAGEMENTS 2026'!B863),"",'ENGAGEMENTS 2026'!G863)</f>
        <v/>
      </c>
      <c r="J863" s="275">
        <f>IF(ISBLANK('ENGAGEMENTS 2026'!B863),"",IF(AND(OR($E863="INFRUCTUEUX",$E863="ANNULE"),$C863="AOO-M"),'ENGAGEMENTS 2026'!O863,IF($H863="EN COURS DE PREENGAGEMENT",'ENGAGEMENTS 2026'!N863,IF($H863="PREENGAGE",IF($E863="ATTRIBUE",'ENGAGEMENTS 2026'!AD863,'ENGAGEMENTS 2026'!N863),'ENGAGEMENTS 2026'!AD863))))</f>
        <v/>
      </c>
      <c r="K863" s="604">
        <f>IF(ISBLANK('ENGAGEMENTS 2026'!V863),"",'ENGAGEMENTS 2026'!V863)</f>
        <v/>
      </c>
      <c r="L863" s="276">
        <f>IF($K863="","",TODAY()-$K863)</f>
        <v/>
      </c>
      <c r="M863">
        <f>IF($A863="","",IF($H863="ENGAGE","Engagé",IF(AND($H863="NON ENGAGE",OR($I863="INFRUCTUEUX",$I863="ANNULE")),"Clôturé sans suite","En cours")))</f>
        <v/>
      </c>
      <c r="N863">
        <f>IF(ISBLANK('ENGAGEMENTS 2026'!B863),"",'ENGAGEMENTS 2026'!K863)</f>
        <v/>
      </c>
      <c r="O863">
        <f>IF(ISBLANK('ENGAGEMENTS 2026'!B863),"",'ENGAGEMENTS 2026'!L863)</f>
        <v/>
      </c>
      <c r="P863">
        <f>IF(ISBLANK('ENGAGEMENTS 2026'!B863),"",'ENGAGEMENTS 2026'!J863)</f>
        <v/>
      </c>
      <c r="Q863">
        <f>IF($A863="","",IF(OR($E863="INFRUCTUEUX",$E863="ANNULE"),$A863&amp;"|"&amp;(COUNTIFS($A$2:$A863,$A863,$E$2:$E863,"INFRUCTUEUX")+COUNTIFS($A$2:$A863,$A863,$E$2:$E863,"ANNULE")),""))</f>
        <v/>
      </c>
    </row>
    <row r="864">
      <c r="A864">
        <f>IF(ISBLANK('ENGAGEMENTS 2026'!B864),"",IF('ENGAGEMENTS 2026'!B864="DTSI","DCT",'ENGAGEMENTS 2026'!B864))</f>
        <v/>
      </c>
      <c r="B864">
        <f>IF(ISBLANK('ENGAGEMENTS 2026'!B864),"",'ENGAGEMENTS 2026'!C864)</f>
        <v/>
      </c>
      <c r="C864">
        <f>IF(ISBLANK('ENGAGEMENTS 2026'!B864),"",'ENGAGEMENTS 2026'!D864)</f>
        <v/>
      </c>
      <c r="D864">
        <f>IF(ISBLANK('ENGAGEMENTS 2026'!B864),"",'ENGAGEMENTS 2026'!F864)</f>
        <v/>
      </c>
      <c r="E864">
        <f>IF(ISBLANK('ENGAGEMENTS 2026'!B864),"",'ENGAGEMENTS 2026'!H864)</f>
        <v/>
      </c>
      <c r="F864">
        <f>IF(ISBLANK('ENGAGEMENTS 2026'!B864),"",'ENGAGEMENTS 2026'!I864)</f>
        <v/>
      </c>
      <c r="G864">
        <f>IF(ISBLANK('ENGAGEMENTS 2026'!B864),"",'ENGAGEMENTS 2026'!L864)</f>
        <v/>
      </c>
      <c r="H864">
        <f>IF(ISBLANK('ENGAGEMENTS 2026'!B864),"",'ENGAGEMENTS 2026'!AE864)</f>
        <v/>
      </c>
      <c r="I864">
        <f>IF(ISBLANK('ENGAGEMENTS 2026'!B864),"",'ENGAGEMENTS 2026'!G864)</f>
        <v/>
      </c>
      <c r="J864" s="275">
        <f>IF(ISBLANK('ENGAGEMENTS 2026'!B864),"",IF(AND(OR($E864="INFRUCTUEUX",$E864="ANNULE"),$C864="AOO-M"),'ENGAGEMENTS 2026'!O864,IF($H864="EN COURS DE PREENGAGEMENT",'ENGAGEMENTS 2026'!N864,IF($H864="PREENGAGE",IF($E864="ATTRIBUE",'ENGAGEMENTS 2026'!AD864,'ENGAGEMENTS 2026'!N864),'ENGAGEMENTS 2026'!AD864))))</f>
        <v/>
      </c>
      <c r="K864" s="604">
        <f>IF(ISBLANK('ENGAGEMENTS 2026'!V864),"",'ENGAGEMENTS 2026'!V864)</f>
        <v/>
      </c>
      <c r="L864" s="276">
        <f>IF($K864="","",TODAY()-$K864)</f>
        <v/>
      </c>
      <c r="M864">
        <f>IF($A864="","",IF($H864="ENGAGE","Engagé",IF(AND($H864="NON ENGAGE",OR($I864="INFRUCTUEUX",$I864="ANNULE")),"Clôturé sans suite","En cours")))</f>
        <v/>
      </c>
      <c r="N864">
        <f>IF(ISBLANK('ENGAGEMENTS 2026'!B864),"",'ENGAGEMENTS 2026'!K864)</f>
        <v/>
      </c>
      <c r="O864">
        <f>IF(ISBLANK('ENGAGEMENTS 2026'!B864),"",'ENGAGEMENTS 2026'!L864)</f>
        <v/>
      </c>
      <c r="P864">
        <f>IF(ISBLANK('ENGAGEMENTS 2026'!B864),"",'ENGAGEMENTS 2026'!J864)</f>
        <v/>
      </c>
      <c r="Q864">
        <f>IF($A864="","",IF(OR($E864="INFRUCTUEUX",$E864="ANNULE"),$A864&amp;"|"&amp;(COUNTIFS($A$2:$A864,$A864,$E$2:$E864,"INFRUCTUEUX")+COUNTIFS($A$2:$A864,$A864,$E$2:$E864,"ANNULE")),""))</f>
        <v/>
      </c>
    </row>
    <row r="865">
      <c r="A865">
        <f>IF(ISBLANK('ENGAGEMENTS 2026'!B865),"",IF('ENGAGEMENTS 2026'!B865="DTSI","DCT",'ENGAGEMENTS 2026'!B865))</f>
        <v/>
      </c>
      <c r="B865">
        <f>IF(ISBLANK('ENGAGEMENTS 2026'!B865),"",'ENGAGEMENTS 2026'!C865)</f>
        <v/>
      </c>
      <c r="C865">
        <f>IF(ISBLANK('ENGAGEMENTS 2026'!B865),"",'ENGAGEMENTS 2026'!D865)</f>
        <v/>
      </c>
      <c r="D865">
        <f>IF(ISBLANK('ENGAGEMENTS 2026'!B865),"",'ENGAGEMENTS 2026'!F865)</f>
        <v/>
      </c>
      <c r="E865">
        <f>IF(ISBLANK('ENGAGEMENTS 2026'!B865),"",'ENGAGEMENTS 2026'!H865)</f>
        <v/>
      </c>
      <c r="F865">
        <f>IF(ISBLANK('ENGAGEMENTS 2026'!B865),"",'ENGAGEMENTS 2026'!I865)</f>
        <v/>
      </c>
      <c r="G865">
        <f>IF(ISBLANK('ENGAGEMENTS 2026'!B865),"",'ENGAGEMENTS 2026'!L865)</f>
        <v/>
      </c>
      <c r="H865">
        <f>IF(ISBLANK('ENGAGEMENTS 2026'!B865),"",'ENGAGEMENTS 2026'!AE865)</f>
        <v/>
      </c>
      <c r="I865">
        <f>IF(ISBLANK('ENGAGEMENTS 2026'!B865),"",'ENGAGEMENTS 2026'!G865)</f>
        <v/>
      </c>
      <c r="J865" s="275">
        <f>IF(ISBLANK('ENGAGEMENTS 2026'!B865),"",IF(AND(OR($E865="INFRUCTUEUX",$E865="ANNULE"),$C865="AOO-M"),'ENGAGEMENTS 2026'!O865,IF($H865="EN COURS DE PREENGAGEMENT",'ENGAGEMENTS 2026'!N865,IF($H865="PREENGAGE",IF($E865="ATTRIBUE",'ENGAGEMENTS 2026'!AD865,'ENGAGEMENTS 2026'!N865),'ENGAGEMENTS 2026'!AD865))))</f>
        <v/>
      </c>
      <c r="K865" s="604">
        <f>IF(ISBLANK('ENGAGEMENTS 2026'!V865),"",'ENGAGEMENTS 2026'!V865)</f>
        <v/>
      </c>
      <c r="L865" s="276">
        <f>IF($K865="","",TODAY()-$K865)</f>
        <v/>
      </c>
      <c r="M865">
        <f>IF($A865="","",IF($H865="ENGAGE","Engagé",IF(AND($H865="NON ENGAGE",OR($I865="INFRUCTUEUX",$I865="ANNULE")),"Clôturé sans suite","En cours")))</f>
        <v/>
      </c>
      <c r="N865">
        <f>IF(ISBLANK('ENGAGEMENTS 2026'!B865),"",'ENGAGEMENTS 2026'!K865)</f>
        <v/>
      </c>
      <c r="O865">
        <f>IF(ISBLANK('ENGAGEMENTS 2026'!B865),"",'ENGAGEMENTS 2026'!L865)</f>
        <v/>
      </c>
      <c r="P865">
        <f>IF(ISBLANK('ENGAGEMENTS 2026'!B865),"",'ENGAGEMENTS 2026'!J865)</f>
        <v/>
      </c>
      <c r="Q865">
        <f>IF($A865="","",IF(OR($E865="INFRUCTUEUX",$E865="ANNULE"),$A865&amp;"|"&amp;(COUNTIFS($A$2:$A865,$A865,$E$2:$E865,"INFRUCTUEUX")+COUNTIFS($A$2:$A865,$A865,$E$2:$E865,"ANNULE")),""))</f>
        <v/>
      </c>
    </row>
    <row r="866">
      <c r="A866">
        <f>IF(ISBLANK('ENGAGEMENTS 2026'!B866),"",IF('ENGAGEMENTS 2026'!B866="DTSI","DCT",'ENGAGEMENTS 2026'!B866))</f>
        <v/>
      </c>
      <c r="B866">
        <f>IF(ISBLANK('ENGAGEMENTS 2026'!B866),"",'ENGAGEMENTS 2026'!C866)</f>
        <v/>
      </c>
      <c r="C866">
        <f>IF(ISBLANK('ENGAGEMENTS 2026'!B866),"",'ENGAGEMENTS 2026'!D866)</f>
        <v/>
      </c>
      <c r="D866">
        <f>IF(ISBLANK('ENGAGEMENTS 2026'!B866),"",'ENGAGEMENTS 2026'!F866)</f>
        <v/>
      </c>
      <c r="E866">
        <f>IF(ISBLANK('ENGAGEMENTS 2026'!B866),"",'ENGAGEMENTS 2026'!H866)</f>
        <v/>
      </c>
      <c r="F866">
        <f>IF(ISBLANK('ENGAGEMENTS 2026'!B866),"",'ENGAGEMENTS 2026'!I866)</f>
        <v/>
      </c>
      <c r="G866">
        <f>IF(ISBLANK('ENGAGEMENTS 2026'!B866),"",'ENGAGEMENTS 2026'!L866)</f>
        <v/>
      </c>
      <c r="H866">
        <f>IF(ISBLANK('ENGAGEMENTS 2026'!B866),"",'ENGAGEMENTS 2026'!AE866)</f>
        <v/>
      </c>
      <c r="I866">
        <f>IF(ISBLANK('ENGAGEMENTS 2026'!B866),"",'ENGAGEMENTS 2026'!G866)</f>
        <v/>
      </c>
      <c r="J866" s="275">
        <f>IF(ISBLANK('ENGAGEMENTS 2026'!B866),"",IF(AND(OR($E866="INFRUCTUEUX",$E866="ANNULE"),$C866="AOO-M"),'ENGAGEMENTS 2026'!O866,IF($H866="EN COURS DE PREENGAGEMENT",'ENGAGEMENTS 2026'!N866,IF($H866="PREENGAGE",IF($E866="ATTRIBUE",'ENGAGEMENTS 2026'!AD866,'ENGAGEMENTS 2026'!N866),'ENGAGEMENTS 2026'!AD866))))</f>
        <v/>
      </c>
      <c r="K866" s="604">
        <f>IF(ISBLANK('ENGAGEMENTS 2026'!V866),"",'ENGAGEMENTS 2026'!V866)</f>
        <v/>
      </c>
      <c r="L866" s="276">
        <f>IF($K866="","",TODAY()-$K866)</f>
        <v/>
      </c>
      <c r="M866">
        <f>IF($A866="","",IF($H866="ENGAGE","Engagé",IF(AND($H866="NON ENGAGE",OR($I866="INFRUCTUEUX",$I866="ANNULE")),"Clôturé sans suite","En cours")))</f>
        <v/>
      </c>
      <c r="N866">
        <f>IF(ISBLANK('ENGAGEMENTS 2026'!B866),"",'ENGAGEMENTS 2026'!K866)</f>
        <v/>
      </c>
      <c r="O866">
        <f>IF(ISBLANK('ENGAGEMENTS 2026'!B866),"",'ENGAGEMENTS 2026'!L866)</f>
        <v/>
      </c>
      <c r="P866">
        <f>IF(ISBLANK('ENGAGEMENTS 2026'!B866),"",'ENGAGEMENTS 2026'!J866)</f>
        <v/>
      </c>
      <c r="Q866">
        <f>IF($A866="","",IF(OR($E866="INFRUCTUEUX",$E866="ANNULE"),$A866&amp;"|"&amp;(COUNTIFS($A$2:$A866,$A866,$E$2:$E866,"INFRUCTUEUX")+COUNTIFS($A$2:$A866,$A866,$E$2:$E866,"ANNULE")),""))</f>
        <v/>
      </c>
    </row>
    <row r="867">
      <c r="A867">
        <f>IF(ISBLANK('ENGAGEMENTS 2026'!B867),"",IF('ENGAGEMENTS 2026'!B867="DTSI","DCT",'ENGAGEMENTS 2026'!B867))</f>
        <v/>
      </c>
      <c r="B867">
        <f>IF(ISBLANK('ENGAGEMENTS 2026'!B867),"",'ENGAGEMENTS 2026'!C867)</f>
        <v/>
      </c>
      <c r="C867">
        <f>IF(ISBLANK('ENGAGEMENTS 2026'!B867),"",'ENGAGEMENTS 2026'!D867)</f>
        <v/>
      </c>
      <c r="D867">
        <f>IF(ISBLANK('ENGAGEMENTS 2026'!B867),"",'ENGAGEMENTS 2026'!F867)</f>
        <v/>
      </c>
      <c r="E867">
        <f>IF(ISBLANK('ENGAGEMENTS 2026'!B867),"",'ENGAGEMENTS 2026'!H867)</f>
        <v/>
      </c>
      <c r="F867">
        <f>IF(ISBLANK('ENGAGEMENTS 2026'!B867),"",'ENGAGEMENTS 2026'!I867)</f>
        <v/>
      </c>
      <c r="G867">
        <f>IF(ISBLANK('ENGAGEMENTS 2026'!B867),"",'ENGAGEMENTS 2026'!L867)</f>
        <v/>
      </c>
      <c r="H867">
        <f>IF(ISBLANK('ENGAGEMENTS 2026'!B867),"",'ENGAGEMENTS 2026'!AE867)</f>
        <v/>
      </c>
      <c r="I867">
        <f>IF(ISBLANK('ENGAGEMENTS 2026'!B867),"",'ENGAGEMENTS 2026'!G867)</f>
        <v/>
      </c>
      <c r="J867" s="275">
        <f>IF(ISBLANK('ENGAGEMENTS 2026'!B867),"",IF(AND(OR($E867="INFRUCTUEUX",$E867="ANNULE"),$C867="AOO-M"),'ENGAGEMENTS 2026'!O867,IF($H867="EN COURS DE PREENGAGEMENT",'ENGAGEMENTS 2026'!N867,IF($H867="PREENGAGE",IF($E867="ATTRIBUE",'ENGAGEMENTS 2026'!AD867,'ENGAGEMENTS 2026'!N867),'ENGAGEMENTS 2026'!AD867))))</f>
        <v/>
      </c>
      <c r="K867" s="604">
        <f>IF(ISBLANK('ENGAGEMENTS 2026'!V867),"",'ENGAGEMENTS 2026'!V867)</f>
        <v/>
      </c>
      <c r="L867" s="276">
        <f>IF($K867="","",TODAY()-$K867)</f>
        <v/>
      </c>
      <c r="M867">
        <f>IF($A867="","",IF($H867="ENGAGE","Engagé",IF(AND($H867="NON ENGAGE",OR($I867="INFRUCTUEUX",$I867="ANNULE")),"Clôturé sans suite","En cours")))</f>
        <v/>
      </c>
      <c r="N867">
        <f>IF(ISBLANK('ENGAGEMENTS 2026'!B867),"",'ENGAGEMENTS 2026'!K867)</f>
        <v/>
      </c>
      <c r="O867">
        <f>IF(ISBLANK('ENGAGEMENTS 2026'!B867),"",'ENGAGEMENTS 2026'!L867)</f>
        <v/>
      </c>
      <c r="P867">
        <f>IF(ISBLANK('ENGAGEMENTS 2026'!B867),"",'ENGAGEMENTS 2026'!J867)</f>
        <v/>
      </c>
      <c r="Q867">
        <f>IF($A867="","",IF(OR($E867="INFRUCTUEUX",$E867="ANNULE"),$A867&amp;"|"&amp;(COUNTIFS($A$2:$A867,$A867,$E$2:$E867,"INFRUCTUEUX")+COUNTIFS($A$2:$A867,$A867,$E$2:$E867,"ANNULE")),""))</f>
        <v/>
      </c>
    </row>
    <row r="868">
      <c r="A868">
        <f>IF(ISBLANK('ENGAGEMENTS 2026'!B868),"",IF('ENGAGEMENTS 2026'!B868="DTSI","DCT",'ENGAGEMENTS 2026'!B868))</f>
        <v/>
      </c>
      <c r="B868">
        <f>IF(ISBLANK('ENGAGEMENTS 2026'!B868),"",'ENGAGEMENTS 2026'!C868)</f>
        <v/>
      </c>
      <c r="C868">
        <f>IF(ISBLANK('ENGAGEMENTS 2026'!B868),"",'ENGAGEMENTS 2026'!D868)</f>
        <v/>
      </c>
      <c r="D868">
        <f>IF(ISBLANK('ENGAGEMENTS 2026'!B868),"",'ENGAGEMENTS 2026'!F868)</f>
        <v/>
      </c>
      <c r="E868">
        <f>IF(ISBLANK('ENGAGEMENTS 2026'!B868),"",'ENGAGEMENTS 2026'!H868)</f>
        <v/>
      </c>
      <c r="F868">
        <f>IF(ISBLANK('ENGAGEMENTS 2026'!B868),"",'ENGAGEMENTS 2026'!I868)</f>
        <v/>
      </c>
      <c r="G868">
        <f>IF(ISBLANK('ENGAGEMENTS 2026'!B868),"",'ENGAGEMENTS 2026'!L868)</f>
        <v/>
      </c>
      <c r="H868">
        <f>IF(ISBLANK('ENGAGEMENTS 2026'!B868),"",'ENGAGEMENTS 2026'!AE868)</f>
        <v/>
      </c>
      <c r="I868">
        <f>IF(ISBLANK('ENGAGEMENTS 2026'!B868),"",'ENGAGEMENTS 2026'!G868)</f>
        <v/>
      </c>
      <c r="J868" s="275">
        <f>IF(ISBLANK('ENGAGEMENTS 2026'!B868),"",IF(AND(OR($E868="INFRUCTUEUX",$E868="ANNULE"),$C868="AOO-M"),'ENGAGEMENTS 2026'!O868,IF($H868="EN COURS DE PREENGAGEMENT",'ENGAGEMENTS 2026'!N868,IF($H868="PREENGAGE",IF($E868="ATTRIBUE",'ENGAGEMENTS 2026'!AD868,'ENGAGEMENTS 2026'!N868),'ENGAGEMENTS 2026'!AD868))))</f>
        <v/>
      </c>
      <c r="K868" s="604">
        <f>IF(ISBLANK('ENGAGEMENTS 2026'!V868),"",'ENGAGEMENTS 2026'!V868)</f>
        <v/>
      </c>
      <c r="L868" s="276">
        <f>IF($K868="","",TODAY()-$K868)</f>
        <v/>
      </c>
      <c r="M868">
        <f>IF($A868="","",IF($H868="ENGAGE","Engagé",IF(AND($H868="NON ENGAGE",OR($I868="INFRUCTUEUX",$I868="ANNULE")),"Clôturé sans suite","En cours")))</f>
        <v/>
      </c>
      <c r="N868">
        <f>IF(ISBLANK('ENGAGEMENTS 2026'!B868),"",'ENGAGEMENTS 2026'!K868)</f>
        <v/>
      </c>
      <c r="O868">
        <f>IF(ISBLANK('ENGAGEMENTS 2026'!B868),"",'ENGAGEMENTS 2026'!L868)</f>
        <v/>
      </c>
      <c r="P868">
        <f>IF(ISBLANK('ENGAGEMENTS 2026'!B868),"",'ENGAGEMENTS 2026'!J868)</f>
        <v/>
      </c>
      <c r="Q868">
        <f>IF($A868="","",IF(OR($E868="INFRUCTUEUX",$E868="ANNULE"),$A868&amp;"|"&amp;(COUNTIFS($A$2:$A868,$A868,$E$2:$E868,"INFRUCTUEUX")+COUNTIFS($A$2:$A868,$A868,$E$2:$E868,"ANNULE")),""))</f>
        <v/>
      </c>
    </row>
    <row r="869">
      <c r="A869">
        <f>IF(ISBLANK('ENGAGEMENTS 2026'!B869),"",IF('ENGAGEMENTS 2026'!B869="DTSI","DCT",'ENGAGEMENTS 2026'!B869))</f>
        <v/>
      </c>
      <c r="B869">
        <f>IF(ISBLANK('ENGAGEMENTS 2026'!B869),"",'ENGAGEMENTS 2026'!C869)</f>
        <v/>
      </c>
      <c r="C869">
        <f>IF(ISBLANK('ENGAGEMENTS 2026'!B869),"",'ENGAGEMENTS 2026'!D869)</f>
        <v/>
      </c>
      <c r="D869">
        <f>IF(ISBLANK('ENGAGEMENTS 2026'!B869),"",'ENGAGEMENTS 2026'!F869)</f>
        <v/>
      </c>
      <c r="E869">
        <f>IF(ISBLANK('ENGAGEMENTS 2026'!B869),"",'ENGAGEMENTS 2026'!H869)</f>
        <v/>
      </c>
      <c r="F869">
        <f>IF(ISBLANK('ENGAGEMENTS 2026'!B869),"",'ENGAGEMENTS 2026'!I869)</f>
        <v/>
      </c>
      <c r="G869">
        <f>IF(ISBLANK('ENGAGEMENTS 2026'!B869),"",'ENGAGEMENTS 2026'!L869)</f>
        <v/>
      </c>
      <c r="H869">
        <f>IF(ISBLANK('ENGAGEMENTS 2026'!B869),"",'ENGAGEMENTS 2026'!AE869)</f>
        <v/>
      </c>
      <c r="I869">
        <f>IF(ISBLANK('ENGAGEMENTS 2026'!B869),"",'ENGAGEMENTS 2026'!G869)</f>
        <v/>
      </c>
      <c r="J869" s="275">
        <f>IF(ISBLANK('ENGAGEMENTS 2026'!B869),"",IF(AND(OR($E869="INFRUCTUEUX",$E869="ANNULE"),$C869="AOO-M"),'ENGAGEMENTS 2026'!O869,IF($H869="EN COURS DE PREENGAGEMENT",'ENGAGEMENTS 2026'!N869,IF($H869="PREENGAGE",IF($E869="ATTRIBUE",'ENGAGEMENTS 2026'!AD869,'ENGAGEMENTS 2026'!N869),'ENGAGEMENTS 2026'!AD869))))</f>
        <v/>
      </c>
      <c r="K869" s="604">
        <f>IF(ISBLANK('ENGAGEMENTS 2026'!V869),"",'ENGAGEMENTS 2026'!V869)</f>
        <v/>
      </c>
      <c r="L869" s="276">
        <f>IF($K869="","",TODAY()-$K869)</f>
        <v/>
      </c>
      <c r="M869">
        <f>IF($A869="","",IF($H869="ENGAGE","Engagé",IF(AND($H869="NON ENGAGE",OR($I869="INFRUCTUEUX",$I869="ANNULE")),"Clôturé sans suite","En cours")))</f>
        <v/>
      </c>
      <c r="N869">
        <f>IF(ISBLANK('ENGAGEMENTS 2026'!B869),"",'ENGAGEMENTS 2026'!K869)</f>
        <v/>
      </c>
      <c r="O869">
        <f>IF(ISBLANK('ENGAGEMENTS 2026'!B869),"",'ENGAGEMENTS 2026'!L869)</f>
        <v/>
      </c>
      <c r="P869">
        <f>IF(ISBLANK('ENGAGEMENTS 2026'!B869),"",'ENGAGEMENTS 2026'!J869)</f>
        <v/>
      </c>
      <c r="Q869">
        <f>IF($A869="","",IF(OR($E869="INFRUCTUEUX",$E869="ANNULE"),$A869&amp;"|"&amp;(COUNTIFS($A$2:$A869,$A869,$E$2:$E869,"INFRUCTUEUX")+COUNTIFS($A$2:$A869,$A869,$E$2:$E869,"ANNULE")),""))</f>
        <v/>
      </c>
    </row>
    <row r="870">
      <c r="A870">
        <f>IF(ISBLANK('ENGAGEMENTS 2026'!B870),"",IF('ENGAGEMENTS 2026'!B870="DTSI","DCT",'ENGAGEMENTS 2026'!B870))</f>
        <v/>
      </c>
      <c r="B870">
        <f>IF(ISBLANK('ENGAGEMENTS 2026'!B870),"",'ENGAGEMENTS 2026'!C870)</f>
        <v/>
      </c>
      <c r="C870">
        <f>IF(ISBLANK('ENGAGEMENTS 2026'!B870),"",'ENGAGEMENTS 2026'!D870)</f>
        <v/>
      </c>
      <c r="D870">
        <f>IF(ISBLANK('ENGAGEMENTS 2026'!B870),"",'ENGAGEMENTS 2026'!F870)</f>
        <v/>
      </c>
      <c r="E870">
        <f>IF(ISBLANK('ENGAGEMENTS 2026'!B870),"",'ENGAGEMENTS 2026'!H870)</f>
        <v/>
      </c>
      <c r="F870">
        <f>IF(ISBLANK('ENGAGEMENTS 2026'!B870),"",'ENGAGEMENTS 2026'!I870)</f>
        <v/>
      </c>
      <c r="G870">
        <f>IF(ISBLANK('ENGAGEMENTS 2026'!B870),"",'ENGAGEMENTS 2026'!L870)</f>
        <v/>
      </c>
      <c r="H870">
        <f>IF(ISBLANK('ENGAGEMENTS 2026'!B870),"",'ENGAGEMENTS 2026'!AE870)</f>
        <v/>
      </c>
      <c r="I870">
        <f>IF(ISBLANK('ENGAGEMENTS 2026'!B870),"",'ENGAGEMENTS 2026'!G870)</f>
        <v/>
      </c>
      <c r="J870" s="275">
        <f>IF(ISBLANK('ENGAGEMENTS 2026'!B870),"",IF(AND(OR($E870="INFRUCTUEUX",$E870="ANNULE"),$C870="AOO-M"),'ENGAGEMENTS 2026'!O870,IF($H870="EN COURS DE PREENGAGEMENT",'ENGAGEMENTS 2026'!N870,IF($H870="PREENGAGE",IF($E870="ATTRIBUE",'ENGAGEMENTS 2026'!AD870,'ENGAGEMENTS 2026'!N870),'ENGAGEMENTS 2026'!AD870))))</f>
        <v/>
      </c>
      <c r="K870" s="604">
        <f>IF(ISBLANK('ENGAGEMENTS 2026'!V870),"",'ENGAGEMENTS 2026'!V870)</f>
        <v/>
      </c>
      <c r="L870" s="276">
        <f>IF($K870="","",TODAY()-$K870)</f>
        <v/>
      </c>
      <c r="M870">
        <f>IF($A870="","",IF($H870="ENGAGE","Engagé",IF(AND($H870="NON ENGAGE",OR($I870="INFRUCTUEUX",$I870="ANNULE")),"Clôturé sans suite","En cours")))</f>
        <v/>
      </c>
      <c r="N870">
        <f>IF(ISBLANK('ENGAGEMENTS 2026'!B870),"",'ENGAGEMENTS 2026'!K870)</f>
        <v/>
      </c>
      <c r="O870">
        <f>IF(ISBLANK('ENGAGEMENTS 2026'!B870),"",'ENGAGEMENTS 2026'!L870)</f>
        <v/>
      </c>
      <c r="P870">
        <f>IF(ISBLANK('ENGAGEMENTS 2026'!B870),"",'ENGAGEMENTS 2026'!J870)</f>
        <v/>
      </c>
      <c r="Q870">
        <f>IF($A870="","",IF(OR($E870="INFRUCTUEUX",$E870="ANNULE"),$A870&amp;"|"&amp;(COUNTIFS($A$2:$A870,$A870,$E$2:$E870,"INFRUCTUEUX")+COUNTIFS($A$2:$A870,$A870,$E$2:$E870,"ANNULE")),""))</f>
        <v/>
      </c>
    </row>
    <row r="871">
      <c r="A871">
        <f>IF(ISBLANK('ENGAGEMENTS 2026'!B871),"",IF('ENGAGEMENTS 2026'!B871="DTSI","DCT",'ENGAGEMENTS 2026'!B871))</f>
        <v/>
      </c>
      <c r="B871">
        <f>IF(ISBLANK('ENGAGEMENTS 2026'!B871),"",'ENGAGEMENTS 2026'!C871)</f>
        <v/>
      </c>
      <c r="C871">
        <f>IF(ISBLANK('ENGAGEMENTS 2026'!B871),"",'ENGAGEMENTS 2026'!D871)</f>
        <v/>
      </c>
      <c r="D871">
        <f>IF(ISBLANK('ENGAGEMENTS 2026'!B871),"",'ENGAGEMENTS 2026'!F871)</f>
        <v/>
      </c>
      <c r="E871">
        <f>IF(ISBLANK('ENGAGEMENTS 2026'!B871),"",'ENGAGEMENTS 2026'!H871)</f>
        <v/>
      </c>
      <c r="F871">
        <f>IF(ISBLANK('ENGAGEMENTS 2026'!B871),"",'ENGAGEMENTS 2026'!I871)</f>
        <v/>
      </c>
      <c r="G871">
        <f>IF(ISBLANK('ENGAGEMENTS 2026'!B871),"",'ENGAGEMENTS 2026'!L871)</f>
        <v/>
      </c>
      <c r="H871">
        <f>IF(ISBLANK('ENGAGEMENTS 2026'!B871),"",'ENGAGEMENTS 2026'!AE871)</f>
        <v/>
      </c>
      <c r="I871">
        <f>IF(ISBLANK('ENGAGEMENTS 2026'!B871),"",'ENGAGEMENTS 2026'!G871)</f>
        <v/>
      </c>
      <c r="J871" s="275">
        <f>IF(ISBLANK('ENGAGEMENTS 2026'!B871),"",IF(AND(OR($E871="INFRUCTUEUX",$E871="ANNULE"),$C871="AOO-M"),'ENGAGEMENTS 2026'!O871,IF($H871="EN COURS DE PREENGAGEMENT",'ENGAGEMENTS 2026'!N871,IF($H871="PREENGAGE",IF($E871="ATTRIBUE",'ENGAGEMENTS 2026'!AD871,'ENGAGEMENTS 2026'!N871),'ENGAGEMENTS 2026'!AD871))))</f>
        <v/>
      </c>
      <c r="K871" s="604">
        <f>IF(ISBLANK('ENGAGEMENTS 2026'!V871),"",'ENGAGEMENTS 2026'!V871)</f>
        <v/>
      </c>
      <c r="L871" s="276">
        <f>IF($K871="","",TODAY()-$K871)</f>
        <v/>
      </c>
      <c r="M871">
        <f>IF($A871="","",IF($H871="ENGAGE","Engagé",IF(AND($H871="NON ENGAGE",OR($I871="INFRUCTUEUX",$I871="ANNULE")),"Clôturé sans suite","En cours")))</f>
        <v/>
      </c>
      <c r="N871">
        <f>IF(ISBLANK('ENGAGEMENTS 2026'!B871),"",'ENGAGEMENTS 2026'!K871)</f>
        <v/>
      </c>
      <c r="O871">
        <f>IF(ISBLANK('ENGAGEMENTS 2026'!B871),"",'ENGAGEMENTS 2026'!L871)</f>
        <v/>
      </c>
      <c r="P871">
        <f>IF(ISBLANK('ENGAGEMENTS 2026'!B871),"",'ENGAGEMENTS 2026'!J871)</f>
        <v/>
      </c>
      <c r="Q871">
        <f>IF($A871="","",IF(OR($E871="INFRUCTUEUX",$E871="ANNULE"),$A871&amp;"|"&amp;(COUNTIFS($A$2:$A871,$A871,$E$2:$E871,"INFRUCTUEUX")+COUNTIFS($A$2:$A871,$A871,$E$2:$E871,"ANNULE")),""))</f>
        <v/>
      </c>
    </row>
    <row r="872">
      <c r="A872">
        <f>IF(ISBLANK('ENGAGEMENTS 2026'!B872),"",IF('ENGAGEMENTS 2026'!B872="DTSI","DCT",'ENGAGEMENTS 2026'!B872))</f>
        <v/>
      </c>
      <c r="B872">
        <f>IF(ISBLANK('ENGAGEMENTS 2026'!B872),"",'ENGAGEMENTS 2026'!C872)</f>
        <v/>
      </c>
      <c r="C872">
        <f>IF(ISBLANK('ENGAGEMENTS 2026'!B872),"",'ENGAGEMENTS 2026'!D872)</f>
        <v/>
      </c>
      <c r="D872">
        <f>IF(ISBLANK('ENGAGEMENTS 2026'!B872),"",'ENGAGEMENTS 2026'!F872)</f>
        <v/>
      </c>
      <c r="E872">
        <f>IF(ISBLANK('ENGAGEMENTS 2026'!B872),"",'ENGAGEMENTS 2026'!H872)</f>
        <v/>
      </c>
      <c r="F872">
        <f>IF(ISBLANK('ENGAGEMENTS 2026'!B872),"",'ENGAGEMENTS 2026'!I872)</f>
        <v/>
      </c>
      <c r="G872">
        <f>IF(ISBLANK('ENGAGEMENTS 2026'!B872),"",'ENGAGEMENTS 2026'!L872)</f>
        <v/>
      </c>
      <c r="H872">
        <f>IF(ISBLANK('ENGAGEMENTS 2026'!B872),"",'ENGAGEMENTS 2026'!AE872)</f>
        <v/>
      </c>
      <c r="I872">
        <f>IF(ISBLANK('ENGAGEMENTS 2026'!B872),"",'ENGAGEMENTS 2026'!G872)</f>
        <v/>
      </c>
      <c r="J872" s="275">
        <f>IF(ISBLANK('ENGAGEMENTS 2026'!B872),"",IF(AND(OR($E872="INFRUCTUEUX",$E872="ANNULE"),$C872="AOO-M"),'ENGAGEMENTS 2026'!O872,IF($H872="EN COURS DE PREENGAGEMENT",'ENGAGEMENTS 2026'!N872,IF($H872="PREENGAGE",IF($E872="ATTRIBUE",'ENGAGEMENTS 2026'!AD872,'ENGAGEMENTS 2026'!N872),'ENGAGEMENTS 2026'!AD872))))</f>
        <v/>
      </c>
      <c r="K872" s="604">
        <f>IF(ISBLANK('ENGAGEMENTS 2026'!V872),"",'ENGAGEMENTS 2026'!V872)</f>
        <v/>
      </c>
      <c r="L872" s="276">
        <f>IF($K872="","",TODAY()-$K872)</f>
        <v/>
      </c>
      <c r="M872">
        <f>IF($A872="","",IF($H872="ENGAGE","Engagé",IF(AND($H872="NON ENGAGE",OR($I872="INFRUCTUEUX",$I872="ANNULE")),"Clôturé sans suite","En cours")))</f>
        <v/>
      </c>
      <c r="N872">
        <f>IF(ISBLANK('ENGAGEMENTS 2026'!B872),"",'ENGAGEMENTS 2026'!K872)</f>
        <v/>
      </c>
      <c r="O872">
        <f>IF(ISBLANK('ENGAGEMENTS 2026'!B872),"",'ENGAGEMENTS 2026'!L872)</f>
        <v/>
      </c>
      <c r="P872">
        <f>IF(ISBLANK('ENGAGEMENTS 2026'!B872),"",'ENGAGEMENTS 2026'!J872)</f>
        <v/>
      </c>
      <c r="Q872">
        <f>IF($A872="","",IF(OR($E872="INFRUCTUEUX",$E872="ANNULE"),$A872&amp;"|"&amp;(COUNTIFS($A$2:$A872,$A872,$E$2:$E872,"INFRUCTUEUX")+COUNTIFS($A$2:$A872,$A872,$E$2:$E872,"ANNULE")),""))</f>
        <v/>
      </c>
    </row>
    <row r="873">
      <c r="A873">
        <f>IF(ISBLANK('ENGAGEMENTS 2026'!B873),"",IF('ENGAGEMENTS 2026'!B873="DTSI","DCT",'ENGAGEMENTS 2026'!B873))</f>
        <v/>
      </c>
      <c r="B873">
        <f>IF(ISBLANK('ENGAGEMENTS 2026'!B873),"",'ENGAGEMENTS 2026'!C873)</f>
        <v/>
      </c>
      <c r="C873">
        <f>IF(ISBLANK('ENGAGEMENTS 2026'!B873),"",'ENGAGEMENTS 2026'!D873)</f>
        <v/>
      </c>
      <c r="D873">
        <f>IF(ISBLANK('ENGAGEMENTS 2026'!B873),"",'ENGAGEMENTS 2026'!F873)</f>
        <v/>
      </c>
      <c r="E873">
        <f>IF(ISBLANK('ENGAGEMENTS 2026'!B873),"",'ENGAGEMENTS 2026'!H873)</f>
        <v/>
      </c>
      <c r="F873">
        <f>IF(ISBLANK('ENGAGEMENTS 2026'!B873),"",'ENGAGEMENTS 2026'!I873)</f>
        <v/>
      </c>
      <c r="G873">
        <f>IF(ISBLANK('ENGAGEMENTS 2026'!B873),"",'ENGAGEMENTS 2026'!L873)</f>
        <v/>
      </c>
      <c r="H873">
        <f>IF(ISBLANK('ENGAGEMENTS 2026'!B873),"",'ENGAGEMENTS 2026'!AE873)</f>
        <v/>
      </c>
      <c r="I873">
        <f>IF(ISBLANK('ENGAGEMENTS 2026'!B873),"",'ENGAGEMENTS 2026'!G873)</f>
        <v/>
      </c>
      <c r="J873" s="275">
        <f>IF(ISBLANK('ENGAGEMENTS 2026'!B873),"",IF(AND(OR($E873="INFRUCTUEUX",$E873="ANNULE"),$C873="AOO-M"),'ENGAGEMENTS 2026'!O873,IF($H873="EN COURS DE PREENGAGEMENT",'ENGAGEMENTS 2026'!N873,IF($H873="PREENGAGE",IF($E873="ATTRIBUE",'ENGAGEMENTS 2026'!AD873,'ENGAGEMENTS 2026'!N873),'ENGAGEMENTS 2026'!AD873))))</f>
        <v/>
      </c>
      <c r="K873" s="604">
        <f>IF(ISBLANK('ENGAGEMENTS 2026'!V873),"",'ENGAGEMENTS 2026'!V873)</f>
        <v/>
      </c>
      <c r="L873" s="276">
        <f>IF($K873="","",TODAY()-$K873)</f>
        <v/>
      </c>
      <c r="M873">
        <f>IF($A873="","",IF($H873="ENGAGE","Engagé",IF(AND($H873="NON ENGAGE",OR($I873="INFRUCTUEUX",$I873="ANNULE")),"Clôturé sans suite","En cours")))</f>
        <v/>
      </c>
      <c r="N873">
        <f>IF(ISBLANK('ENGAGEMENTS 2026'!B873),"",'ENGAGEMENTS 2026'!K873)</f>
        <v/>
      </c>
      <c r="O873">
        <f>IF(ISBLANK('ENGAGEMENTS 2026'!B873),"",'ENGAGEMENTS 2026'!L873)</f>
        <v/>
      </c>
      <c r="P873">
        <f>IF(ISBLANK('ENGAGEMENTS 2026'!B873),"",'ENGAGEMENTS 2026'!J873)</f>
        <v/>
      </c>
      <c r="Q873">
        <f>IF($A873="","",IF(OR($E873="INFRUCTUEUX",$E873="ANNULE"),$A873&amp;"|"&amp;(COUNTIFS($A$2:$A873,$A873,$E$2:$E873,"INFRUCTUEUX")+COUNTIFS($A$2:$A873,$A873,$E$2:$E873,"ANNULE")),""))</f>
        <v/>
      </c>
    </row>
    <row r="874">
      <c r="A874">
        <f>IF(ISBLANK('ENGAGEMENTS 2026'!B874),"",IF('ENGAGEMENTS 2026'!B874="DTSI","DCT",'ENGAGEMENTS 2026'!B874))</f>
        <v/>
      </c>
      <c r="B874">
        <f>IF(ISBLANK('ENGAGEMENTS 2026'!B874),"",'ENGAGEMENTS 2026'!C874)</f>
        <v/>
      </c>
      <c r="C874">
        <f>IF(ISBLANK('ENGAGEMENTS 2026'!B874),"",'ENGAGEMENTS 2026'!D874)</f>
        <v/>
      </c>
      <c r="D874">
        <f>IF(ISBLANK('ENGAGEMENTS 2026'!B874),"",'ENGAGEMENTS 2026'!F874)</f>
        <v/>
      </c>
      <c r="E874">
        <f>IF(ISBLANK('ENGAGEMENTS 2026'!B874),"",'ENGAGEMENTS 2026'!H874)</f>
        <v/>
      </c>
      <c r="F874">
        <f>IF(ISBLANK('ENGAGEMENTS 2026'!B874),"",'ENGAGEMENTS 2026'!I874)</f>
        <v/>
      </c>
      <c r="G874">
        <f>IF(ISBLANK('ENGAGEMENTS 2026'!B874),"",'ENGAGEMENTS 2026'!L874)</f>
        <v/>
      </c>
      <c r="H874">
        <f>IF(ISBLANK('ENGAGEMENTS 2026'!B874),"",'ENGAGEMENTS 2026'!AE874)</f>
        <v/>
      </c>
      <c r="I874">
        <f>IF(ISBLANK('ENGAGEMENTS 2026'!B874),"",'ENGAGEMENTS 2026'!G874)</f>
        <v/>
      </c>
      <c r="J874" s="275">
        <f>IF(ISBLANK('ENGAGEMENTS 2026'!B874),"",IF(AND(OR($E874="INFRUCTUEUX",$E874="ANNULE"),$C874="AOO-M"),'ENGAGEMENTS 2026'!O874,IF($H874="EN COURS DE PREENGAGEMENT",'ENGAGEMENTS 2026'!N874,IF($H874="PREENGAGE",IF($E874="ATTRIBUE",'ENGAGEMENTS 2026'!AD874,'ENGAGEMENTS 2026'!N874),'ENGAGEMENTS 2026'!AD874))))</f>
        <v/>
      </c>
      <c r="K874" s="604">
        <f>IF(ISBLANK('ENGAGEMENTS 2026'!V874),"",'ENGAGEMENTS 2026'!V874)</f>
        <v/>
      </c>
      <c r="L874" s="276">
        <f>IF($K874="","",TODAY()-$K874)</f>
        <v/>
      </c>
      <c r="M874">
        <f>IF($A874="","",IF($H874="ENGAGE","Engagé",IF(AND($H874="NON ENGAGE",OR($I874="INFRUCTUEUX",$I874="ANNULE")),"Clôturé sans suite","En cours")))</f>
        <v/>
      </c>
      <c r="N874">
        <f>IF(ISBLANK('ENGAGEMENTS 2026'!B874),"",'ENGAGEMENTS 2026'!K874)</f>
        <v/>
      </c>
      <c r="O874">
        <f>IF(ISBLANK('ENGAGEMENTS 2026'!B874),"",'ENGAGEMENTS 2026'!L874)</f>
        <v/>
      </c>
      <c r="P874">
        <f>IF(ISBLANK('ENGAGEMENTS 2026'!B874),"",'ENGAGEMENTS 2026'!J874)</f>
        <v/>
      </c>
      <c r="Q874">
        <f>IF($A874="","",IF(OR($E874="INFRUCTUEUX",$E874="ANNULE"),$A874&amp;"|"&amp;(COUNTIFS($A$2:$A874,$A874,$E$2:$E874,"INFRUCTUEUX")+COUNTIFS($A$2:$A874,$A874,$E$2:$E874,"ANNULE")),""))</f>
        <v/>
      </c>
    </row>
    <row r="875">
      <c r="A875">
        <f>IF(ISBLANK('ENGAGEMENTS 2026'!B875),"",IF('ENGAGEMENTS 2026'!B875="DTSI","DCT",'ENGAGEMENTS 2026'!B875))</f>
        <v/>
      </c>
      <c r="B875">
        <f>IF(ISBLANK('ENGAGEMENTS 2026'!B875),"",'ENGAGEMENTS 2026'!C875)</f>
        <v/>
      </c>
      <c r="C875">
        <f>IF(ISBLANK('ENGAGEMENTS 2026'!B875),"",'ENGAGEMENTS 2026'!D875)</f>
        <v/>
      </c>
      <c r="D875">
        <f>IF(ISBLANK('ENGAGEMENTS 2026'!B875),"",'ENGAGEMENTS 2026'!F875)</f>
        <v/>
      </c>
      <c r="E875">
        <f>IF(ISBLANK('ENGAGEMENTS 2026'!B875),"",'ENGAGEMENTS 2026'!H875)</f>
        <v/>
      </c>
      <c r="F875">
        <f>IF(ISBLANK('ENGAGEMENTS 2026'!B875),"",'ENGAGEMENTS 2026'!I875)</f>
        <v/>
      </c>
      <c r="G875">
        <f>IF(ISBLANK('ENGAGEMENTS 2026'!B875),"",'ENGAGEMENTS 2026'!L875)</f>
        <v/>
      </c>
      <c r="H875">
        <f>IF(ISBLANK('ENGAGEMENTS 2026'!B875),"",'ENGAGEMENTS 2026'!AE875)</f>
        <v/>
      </c>
      <c r="I875">
        <f>IF(ISBLANK('ENGAGEMENTS 2026'!B875),"",'ENGAGEMENTS 2026'!G875)</f>
        <v/>
      </c>
      <c r="J875" s="275">
        <f>IF(ISBLANK('ENGAGEMENTS 2026'!B875),"",IF(AND(OR($E875="INFRUCTUEUX",$E875="ANNULE"),$C875="AOO-M"),'ENGAGEMENTS 2026'!O875,IF($H875="EN COURS DE PREENGAGEMENT",'ENGAGEMENTS 2026'!N875,IF($H875="PREENGAGE",IF($E875="ATTRIBUE",'ENGAGEMENTS 2026'!AD875,'ENGAGEMENTS 2026'!N875),'ENGAGEMENTS 2026'!AD875))))</f>
        <v/>
      </c>
      <c r="K875" s="604">
        <f>IF(ISBLANK('ENGAGEMENTS 2026'!V875),"",'ENGAGEMENTS 2026'!V875)</f>
        <v/>
      </c>
      <c r="L875" s="276">
        <f>IF($K875="","",TODAY()-$K875)</f>
        <v/>
      </c>
      <c r="M875">
        <f>IF($A875="","",IF($H875="ENGAGE","Engagé",IF(AND($H875="NON ENGAGE",OR($I875="INFRUCTUEUX",$I875="ANNULE")),"Clôturé sans suite","En cours")))</f>
        <v/>
      </c>
      <c r="N875">
        <f>IF(ISBLANK('ENGAGEMENTS 2026'!B875),"",'ENGAGEMENTS 2026'!K875)</f>
        <v/>
      </c>
      <c r="O875">
        <f>IF(ISBLANK('ENGAGEMENTS 2026'!B875),"",'ENGAGEMENTS 2026'!L875)</f>
        <v/>
      </c>
      <c r="P875">
        <f>IF(ISBLANK('ENGAGEMENTS 2026'!B875),"",'ENGAGEMENTS 2026'!J875)</f>
        <v/>
      </c>
      <c r="Q875">
        <f>IF($A875="","",IF(OR($E875="INFRUCTUEUX",$E875="ANNULE"),$A875&amp;"|"&amp;(COUNTIFS($A$2:$A875,$A875,$E$2:$E875,"INFRUCTUEUX")+COUNTIFS($A$2:$A875,$A875,$E$2:$E875,"ANNULE")),""))</f>
        <v/>
      </c>
    </row>
    <row r="876">
      <c r="A876">
        <f>IF(ISBLANK('ENGAGEMENTS 2026'!B876),"",IF('ENGAGEMENTS 2026'!B876="DTSI","DCT",'ENGAGEMENTS 2026'!B876))</f>
        <v/>
      </c>
      <c r="B876">
        <f>IF(ISBLANK('ENGAGEMENTS 2026'!B876),"",'ENGAGEMENTS 2026'!C876)</f>
        <v/>
      </c>
      <c r="C876">
        <f>IF(ISBLANK('ENGAGEMENTS 2026'!B876),"",'ENGAGEMENTS 2026'!D876)</f>
        <v/>
      </c>
      <c r="D876">
        <f>IF(ISBLANK('ENGAGEMENTS 2026'!B876),"",'ENGAGEMENTS 2026'!F876)</f>
        <v/>
      </c>
      <c r="E876">
        <f>IF(ISBLANK('ENGAGEMENTS 2026'!B876),"",'ENGAGEMENTS 2026'!H876)</f>
        <v/>
      </c>
      <c r="F876">
        <f>IF(ISBLANK('ENGAGEMENTS 2026'!B876),"",'ENGAGEMENTS 2026'!I876)</f>
        <v/>
      </c>
      <c r="G876">
        <f>IF(ISBLANK('ENGAGEMENTS 2026'!B876),"",'ENGAGEMENTS 2026'!L876)</f>
        <v/>
      </c>
      <c r="H876">
        <f>IF(ISBLANK('ENGAGEMENTS 2026'!B876),"",'ENGAGEMENTS 2026'!AE876)</f>
        <v/>
      </c>
      <c r="I876">
        <f>IF(ISBLANK('ENGAGEMENTS 2026'!B876),"",'ENGAGEMENTS 2026'!G876)</f>
        <v/>
      </c>
      <c r="J876" s="275">
        <f>IF(ISBLANK('ENGAGEMENTS 2026'!B876),"",IF(AND(OR($E876="INFRUCTUEUX",$E876="ANNULE"),$C876="AOO-M"),'ENGAGEMENTS 2026'!O876,IF($H876="EN COURS DE PREENGAGEMENT",'ENGAGEMENTS 2026'!N876,IF($H876="PREENGAGE",IF($E876="ATTRIBUE",'ENGAGEMENTS 2026'!AD876,'ENGAGEMENTS 2026'!N876),'ENGAGEMENTS 2026'!AD876))))</f>
        <v/>
      </c>
      <c r="K876" s="604">
        <f>IF(ISBLANK('ENGAGEMENTS 2026'!V876),"",'ENGAGEMENTS 2026'!V876)</f>
        <v/>
      </c>
      <c r="L876" s="276">
        <f>IF($K876="","",TODAY()-$K876)</f>
        <v/>
      </c>
      <c r="M876">
        <f>IF($A876="","",IF($H876="ENGAGE","Engagé",IF(AND($H876="NON ENGAGE",OR($I876="INFRUCTUEUX",$I876="ANNULE")),"Clôturé sans suite","En cours")))</f>
        <v/>
      </c>
      <c r="N876">
        <f>IF(ISBLANK('ENGAGEMENTS 2026'!B876),"",'ENGAGEMENTS 2026'!K876)</f>
        <v/>
      </c>
      <c r="O876">
        <f>IF(ISBLANK('ENGAGEMENTS 2026'!B876),"",'ENGAGEMENTS 2026'!L876)</f>
        <v/>
      </c>
      <c r="P876">
        <f>IF(ISBLANK('ENGAGEMENTS 2026'!B876),"",'ENGAGEMENTS 2026'!J876)</f>
        <v/>
      </c>
      <c r="Q876">
        <f>IF($A876="","",IF(OR($E876="INFRUCTUEUX",$E876="ANNULE"),$A876&amp;"|"&amp;(COUNTIFS($A$2:$A876,$A876,$E$2:$E876,"INFRUCTUEUX")+COUNTIFS($A$2:$A876,$A876,$E$2:$E876,"ANNULE")),""))</f>
        <v/>
      </c>
    </row>
    <row r="877">
      <c r="A877">
        <f>IF(ISBLANK('ENGAGEMENTS 2026'!B877),"",IF('ENGAGEMENTS 2026'!B877="DTSI","DCT",'ENGAGEMENTS 2026'!B877))</f>
        <v/>
      </c>
      <c r="B877">
        <f>IF(ISBLANK('ENGAGEMENTS 2026'!B877),"",'ENGAGEMENTS 2026'!C877)</f>
        <v/>
      </c>
      <c r="C877">
        <f>IF(ISBLANK('ENGAGEMENTS 2026'!B877),"",'ENGAGEMENTS 2026'!D877)</f>
        <v/>
      </c>
      <c r="D877">
        <f>IF(ISBLANK('ENGAGEMENTS 2026'!B877),"",'ENGAGEMENTS 2026'!F877)</f>
        <v/>
      </c>
      <c r="E877">
        <f>IF(ISBLANK('ENGAGEMENTS 2026'!B877),"",'ENGAGEMENTS 2026'!H877)</f>
        <v/>
      </c>
      <c r="F877">
        <f>IF(ISBLANK('ENGAGEMENTS 2026'!B877),"",'ENGAGEMENTS 2026'!I877)</f>
        <v/>
      </c>
      <c r="G877">
        <f>IF(ISBLANK('ENGAGEMENTS 2026'!B877),"",'ENGAGEMENTS 2026'!L877)</f>
        <v/>
      </c>
      <c r="H877">
        <f>IF(ISBLANK('ENGAGEMENTS 2026'!B877),"",'ENGAGEMENTS 2026'!AE877)</f>
        <v/>
      </c>
      <c r="I877">
        <f>IF(ISBLANK('ENGAGEMENTS 2026'!B877),"",'ENGAGEMENTS 2026'!G877)</f>
        <v/>
      </c>
      <c r="J877" s="275">
        <f>IF(ISBLANK('ENGAGEMENTS 2026'!B877),"",IF(AND(OR($E877="INFRUCTUEUX",$E877="ANNULE"),$C877="AOO-M"),'ENGAGEMENTS 2026'!O877,IF($H877="EN COURS DE PREENGAGEMENT",'ENGAGEMENTS 2026'!N877,IF($H877="PREENGAGE",IF($E877="ATTRIBUE",'ENGAGEMENTS 2026'!AD877,'ENGAGEMENTS 2026'!N877),'ENGAGEMENTS 2026'!AD877))))</f>
        <v/>
      </c>
      <c r="K877" s="604">
        <f>IF(ISBLANK('ENGAGEMENTS 2026'!V877),"",'ENGAGEMENTS 2026'!V877)</f>
        <v/>
      </c>
      <c r="L877" s="276">
        <f>IF($K877="","",TODAY()-$K877)</f>
        <v/>
      </c>
      <c r="M877">
        <f>IF($A877="","",IF($H877="ENGAGE","Engagé",IF(AND($H877="NON ENGAGE",OR($I877="INFRUCTUEUX",$I877="ANNULE")),"Clôturé sans suite","En cours")))</f>
        <v/>
      </c>
      <c r="N877">
        <f>IF(ISBLANK('ENGAGEMENTS 2026'!B877),"",'ENGAGEMENTS 2026'!K877)</f>
        <v/>
      </c>
      <c r="O877">
        <f>IF(ISBLANK('ENGAGEMENTS 2026'!B877),"",'ENGAGEMENTS 2026'!L877)</f>
        <v/>
      </c>
      <c r="P877">
        <f>IF(ISBLANK('ENGAGEMENTS 2026'!B877),"",'ENGAGEMENTS 2026'!J877)</f>
        <v/>
      </c>
      <c r="Q877">
        <f>IF($A877="","",IF(OR($E877="INFRUCTUEUX",$E877="ANNULE"),$A877&amp;"|"&amp;(COUNTIFS($A$2:$A877,$A877,$E$2:$E877,"INFRUCTUEUX")+COUNTIFS($A$2:$A877,$A877,$E$2:$E877,"ANNULE")),""))</f>
        <v/>
      </c>
    </row>
    <row r="878">
      <c r="A878">
        <f>IF(ISBLANK('ENGAGEMENTS 2026'!B878),"",IF('ENGAGEMENTS 2026'!B878="DTSI","DCT",'ENGAGEMENTS 2026'!B878))</f>
        <v/>
      </c>
      <c r="B878">
        <f>IF(ISBLANK('ENGAGEMENTS 2026'!B878),"",'ENGAGEMENTS 2026'!C878)</f>
        <v/>
      </c>
      <c r="C878">
        <f>IF(ISBLANK('ENGAGEMENTS 2026'!B878),"",'ENGAGEMENTS 2026'!D878)</f>
        <v/>
      </c>
      <c r="D878">
        <f>IF(ISBLANK('ENGAGEMENTS 2026'!B878),"",'ENGAGEMENTS 2026'!F878)</f>
        <v/>
      </c>
      <c r="E878">
        <f>IF(ISBLANK('ENGAGEMENTS 2026'!B878),"",'ENGAGEMENTS 2026'!H878)</f>
        <v/>
      </c>
      <c r="F878">
        <f>IF(ISBLANK('ENGAGEMENTS 2026'!B878),"",'ENGAGEMENTS 2026'!I878)</f>
        <v/>
      </c>
      <c r="G878">
        <f>IF(ISBLANK('ENGAGEMENTS 2026'!B878),"",'ENGAGEMENTS 2026'!L878)</f>
        <v/>
      </c>
      <c r="H878">
        <f>IF(ISBLANK('ENGAGEMENTS 2026'!B878),"",'ENGAGEMENTS 2026'!AE878)</f>
        <v/>
      </c>
      <c r="I878">
        <f>IF(ISBLANK('ENGAGEMENTS 2026'!B878),"",'ENGAGEMENTS 2026'!G878)</f>
        <v/>
      </c>
      <c r="J878" s="275">
        <f>IF(ISBLANK('ENGAGEMENTS 2026'!B878),"",IF(AND(OR($E878="INFRUCTUEUX",$E878="ANNULE"),$C878="AOO-M"),'ENGAGEMENTS 2026'!O878,IF($H878="EN COURS DE PREENGAGEMENT",'ENGAGEMENTS 2026'!N878,IF($H878="PREENGAGE",IF($E878="ATTRIBUE",'ENGAGEMENTS 2026'!AD878,'ENGAGEMENTS 2026'!N878),'ENGAGEMENTS 2026'!AD878))))</f>
        <v/>
      </c>
      <c r="K878" s="604">
        <f>IF(ISBLANK('ENGAGEMENTS 2026'!V878),"",'ENGAGEMENTS 2026'!V878)</f>
        <v/>
      </c>
      <c r="L878" s="276">
        <f>IF($K878="","",TODAY()-$K878)</f>
        <v/>
      </c>
      <c r="M878">
        <f>IF($A878="","",IF($H878="ENGAGE","Engagé",IF(AND($H878="NON ENGAGE",OR($I878="INFRUCTUEUX",$I878="ANNULE")),"Clôturé sans suite","En cours")))</f>
        <v/>
      </c>
      <c r="N878">
        <f>IF(ISBLANK('ENGAGEMENTS 2026'!B878),"",'ENGAGEMENTS 2026'!K878)</f>
        <v/>
      </c>
      <c r="O878">
        <f>IF(ISBLANK('ENGAGEMENTS 2026'!B878),"",'ENGAGEMENTS 2026'!L878)</f>
        <v/>
      </c>
      <c r="P878">
        <f>IF(ISBLANK('ENGAGEMENTS 2026'!B878),"",'ENGAGEMENTS 2026'!J878)</f>
        <v/>
      </c>
      <c r="Q878">
        <f>IF($A878="","",IF(OR($E878="INFRUCTUEUX",$E878="ANNULE"),$A878&amp;"|"&amp;(COUNTIFS($A$2:$A878,$A878,$E$2:$E878,"INFRUCTUEUX")+COUNTIFS($A$2:$A878,$A878,$E$2:$E878,"ANNULE")),""))</f>
        <v/>
      </c>
    </row>
    <row r="879">
      <c r="A879">
        <f>IF(ISBLANK('ENGAGEMENTS 2026'!B879),"",IF('ENGAGEMENTS 2026'!B879="DTSI","DCT",'ENGAGEMENTS 2026'!B879))</f>
        <v/>
      </c>
      <c r="B879">
        <f>IF(ISBLANK('ENGAGEMENTS 2026'!B879),"",'ENGAGEMENTS 2026'!C879)</f>
        <v/>
      </c>
      <c r="C879">
        <f>IF(ISBLANK('ENGAGEMENTS 2026'!B879),"",'ENGAGEMENTS 2026'!D879)</f>
        <v/>
      </c>
      <c r="D879">
        <f>IF(ISBLANK('ENGAGEMENTS 2026'!B879),"",'ENGAGEMENTS 2026'!F879)</f>
        <v/>
      </c>
      <c r="E879">
        <f>IF(ISBLANK('ENGAGEMENTS 2026'!B879),"",'ENGAGEMENTS 2026'!H879)</f>
        <v/>
      </c>
      <c r="F879">
        <f>IF(ISBLANK('ENGAGEMENTS 2026'!B879),"",'ENGAGEMENTS 2026'!I879)</f>
        <v/>
      </c>
      <c r="G879">
        <f>IF(ISBLANK('ENGAGEMENTS 2026'!B879),"",'ENGAGEMENTS 2026'!L879)</f>
        <v/>
      </c>
      <c r="H879">
        <f>IF(ISBLANK('ENGAGEMENTS 2026'!B879),"",'ENGAGEMENTS 2026'!AE879)</f>
        <v/>
      </c>
      <c r="I879">
        <f>IF(ISBLANK('ENGAGEMENTS 2026'!B879),"",'ENGAGEMENTS 2026'!G879)</f>
        <v/>
      </c>
      <c r="J879" s="275">
        <f>IF(ISBLANK('ENGAGEMENTS 2026'!B879),"",IF(AND(OR($E879="INFRUCTUEUX",$E879="ANNULE"),$C879="AOO-M"),'ENGAGEMENTS 2026'!O879,IF($H879="EN COURS DE PREENGAGEMENT",'ENGAGEMENTS 2026'!N879,IF($H879="PREENGAGE",IF($E879="ATTRIBUE",'ENGAGEMENTS 2026'!AD879,'ENGAGEMENTS 2026'!N879),'ENGAGEMENTS 2026'!AD879))))</f>
        <v/>
      </c>
      <c r="K879" s="604">
        <f>IF(ISBLANK('ENGAGEMENTS 2026'!V879),"",'ENGAGEMENTS 2026'!V879)</f>
        <v/>
      </c>
      <c r="L879" s="276">
        <f>IF($K879="","",TODAY()-$K879)</f>
        <v/>
      </c>
      <c r="M879">
        <f>IF($A879="","",IF($H879="ENGAGE","Engagé",IF(AND($H879="NON ENGAGE",OR($I879="INFRUCTUEUX",$I879="ANNULE")),"Clôturé sans suite","En cours")))</f>
        <v/>
      </c>
      <c r="N879">
        <f>IF(ISBLANK('ENGAGEMENTS 2026'!B879),"",'ENGAGEMENTS 2026'!K879)</f>
        <v/>
      </c>
      <c r="O879">
        <f>IF(ISBLANK('ENGAGEMENTS 2026'!B879),"",'ENGAGEMENTS 2026'!L879)</f>
        <v/>
      </c>
      <c r="P879">
        <f>IF(ISBLANK('ENGAGEMENTS 2026'!B879),"",'ENGAGEMENTS 2026'!J879)</f>
        <v/>
      </c>
      <c r="Q879">
        <f>IF($A879="","",IF(OR($E879="INFRUCTUEUX",$E879="ANNULE"),$A879&amp;"|"&amp;(COUNTIFS($A$2:$A879,$A879,$E$2:$E879,"INFRUCTUEUX")+COUNTIFS($A$2:$A879,$A879,$E$2:$E879,"ANNULE")),""))</f>
        <v/>
      </c>
    </row>
    <row r="880">
      <c r="A880">
        <f>IF(ISBLANK('ENGAGEMENTS 2026'!B880),"",IF('ENGAGEMENTS 2026'!B880="DTSI","DCT",'ENGAGEMENTS 2026'!B880))</f>
        <v/>
      </c>
      <c r="B880">
        <f>IF(ISBLANK('ENGAGEMENTS 2026'!B880),"",'ENGAGEMENTS 2026'!C880)</f>
        <v/>
      </c>
      <c r="C880">
        <f>IF(ISBLANK('ENGAGEMENTS 2026'!B880),"",'ENGAGEMENTS 2026'!D880)</f>
        <v/>
      </c>
      <c r="D880">
        <f>IF(ISBLANK('ENGAGEMENTS 2026'!B880),"",'ENGAGEMENTS 2026'!F880)</f>
        <v/>
      </c>
      <c r="E880">
        <f>IF(ISBLANK('ENGAGEMENTS 2026'!B880),"",'ENGAGEMENTS 2026'!H880)</f>
        <v/>
      </c>
      <c r="F880">
        <f>IF(ISBLANK('ENGAGEMENTS 2026'!B880),"",'ENGAGEMENTS 2026'!I880)</f>
        <v/>
      </c>
      <c r="G880">
        <f>IF(ISBLANK('ENGAGEMENTS 2026'!B880),"",'ENGAGEMENTS 2026'!L880)</f>
        <v/>
      </c>
      <c r="H880">
        <f>IF(ISBLANK('ENGAGEMENTS 2026'!B880),"",'ENGAGEMENTS 2026'!AE880)</f>
        <v/>
      </c>
      <c r="I880">
        <f>IF(ISBLANK('ENGAGEMENTS 2026'!B880),"",'ENGAGEMENTS 2026'!G880)</f>
        <v/>
      </c>
      <c r="J880" s="275">
        <f>IF(ISBLANK('ENGAGEMENTS 2026'!B880),"",IF(AND(OR($E880="INFRUCTUEUX",$E880="ANNULE"),$C880="AOO-M"),'ENGAGEMENTS 2026'!O880,IF($H880="EN COURS DE PREENGAGEMENT",'ENGAGEMENTS 2026'!N880,IF($H880="PREENGAGE",IF($E880="ATTRIBUE",'ENGAGEMENTS 2026'!AD880,'ENGAGEMENTS 2026'!N880),'ENGAGEMENTS 2026'!AD880))))</f>
        <v/>
      </c>
      <c r="K880" s="604">
        <f>IF(ISBLANK('ENGAGEMENTS 2026'!V880),"",'ENGAGEMENTS 2026'!V880)</f>
        <v/>
      </c>
      <c r="L880" s="276">
        <f>IF($K880="","",TODAY()-$K880)</f>
        <v/>
      </c>
      <c r="M880">
        <f>IF($A880="","",IF($H880="ENGAGE","Engagé",IF(AND($H880="NON ENGAGE",OR($I880="INFRUCTUEUX",$I880="ANNULE")),"Clôturé sans suite","En cours")))</f>
        <v/>
      </c>
      <c r="N880">
        <f>IF(ISBLANK('ENGAGEMENTS 2026'!B880),"",'ENGAGEMENTS 2026'!K880)</f>
        <v/>
      </c>
      <c r="O880">
        <f>IF(ISBLANK('ENGAGEMENTS 2026'!B880),"",'ENGAGEMENTS 2026'!L880)</f>
        <v/>
      </c>
      <c r="P880">
        <f>IF(ISBLANK('ENGAGEMENTS 2026'!B880),"",'ENGAGEMENTS 2026'!J880)</f>
        <v/>
      </c>
      <c r="Q880">
        <f>IF($A880="","",IF(OR($E880="INFRUCTUEUX",$E880="ANNULE"),$A880&amp;"|"&amp;(COUNTIFS($A$2:$A880,$A880,$E$2:$E880,"INFRUCTUEUX")+COUNTIFS($A$2:$A880,$A880,$E$2:$E880,"ANNULE")),""))</f>
        <v/>
      </c>
    </row>
    <row r="881">
      <c r="A881">
        <f>IF(ISBLANK('ENGAGEMENTS 2026'!B881),"",IF('ENGAGEMENTS 2026'!B881="DTSI","DCT",'ENGAGEMENTS 2026'!B881))</f>
        <v/>
      </c>
      <c r="B881">
        <f>IF(ISBLANK('ENGAGEMENTS 2026'!B881),"",'ENGAGEMENTS 2026'!C881)</f>
        <v/>
      </c>
      <c r="C881">
        <f>IF(ISBLANK('ENGAGEMENTS 2026'!B881),"",'ENGAGEMENTS 2026'!D881)</f>
        <v/>
      </c>
      <c r="D881">
        <f>IF(ISBLANK('ENGAGEMENTS 2026'!B881),"",'ENGAGEMENTS 2026'!F881)</f>
        <v/>
      </c>
      <c r="E881">
        <f>IF(ISBLANK('ENGAGEMENTS 2026'!B881),"",'ENGAGEMENTS 2026'!H881)</f>
        <v/>
      </c>
      <c r="F881">
        <f>IF(ISBLANK('ENGAGEMENTS 2026'!B881),"",'ENGAGEMENTS 2026'!I881)</f>
        <v/>
      </c>
      <c r="G881">
        <f>IF(ISBLANK('ENGAGEMENTS 2026'!B881),"",'ENGAGEMENTS 2026'!L881)</f>
        <v/>
      </c>
      <c r="H881">
        <f>IF(ISBLANK('ENGAGEMENTS 2026'!B881),"",'ENGAGEMENTS 2026'!AE881)</f>
        <v/>
      </c>
      <c r="I881">
        <f>IF(ISBLANK('ENGAGEMENTS 2026'!B881),"",'ENGAGEMENTS 2026'!G881)</f>
        <v/>
      </c>
      <c r="J881" s="275">
        <f>IF(ISBLANK('ENGAGEMENTS 2026'!B881),"",IF(AND(OR($E881="INFRUCTUEUX",$E881="ANNULE"),$C881="AOO-M"),'ENGAGEMENTS 2026'!O881,IF($H881="EN COURS DE PREENGAGEMENT",'ENGAGEMENTS 2026'!N881,IF($H881="PREENGAGE",IF($E881="ATTRIBUE",'ENGAGEMENTS 2026'!AD881,'ENGAGEMENTS 2026'!N881),'ENGAGEMENTS 2026'!AD881))))</f>
        <v/>
      </c>
      <c r="K881" s="604">
        <f>IF(ISBLANK('ENGAGEMENTS 2026'!V881),"",'ENGAGEMENTS 2026'!V881)</f>
        <v/>
      </c>
      <c r="L881" s="276">
        <f>IF($K881="","",TODAY()-$K881)</f>
        <v/>
      </c>
      <c r="M881">
        <f>IF($A881="","",IF($H881="ENGAGE","Engagé",IF(AND($H881="NON ENGAGE",OR($I881="INFRUCTUEUX",$I881="ANNULE")),"Clôturé sans suite","En cours")))</f>
        <v/>
      </c>
      <c r="N881">
        <f>IF(ISBLANK('ENGAGEMENTS 2026'!B881),"",'ENGAGEMENTS 2026'!K881)</f>
        <v/>
      </c>
      <c r="O881">
        <f>IF(ISBLANK('ENGAGEMENTS 2026'!B881),"",'ENGAGEMENTS 2026'!L881)</f>
        <v/>
      </c>
      <c r="P881">
        <f>IF(ISBLANK('ENGAGEMENTS 2026'!B881),"",'ENGAGEMENTS 2026'!J881)</f>
        <v/>
      </c>
      <c r="Q881">
        <f>IF($A881="","",IF(OR($E881="INFRUCTUEUX",$E881="ANNULE"),$A881&amp;"|"&amp;(COUNTIFS($A$2:$A881,$A881,$E$2:$E881,"INFRUCTUEUX")+COUNTIFS($A$2:$A881,$A881,$E$2:$E881,"ANNULE")),""))</f>
        <v/>
      </c>
    </row>
    <row r="882">
      <c r="A882">
        <f>IF(ISBLANK('ENGAGEMENTS 2026'!B882),"",IF('ENGAGEMENTS 2026'!B882="DTSI","DCT",'ENGAGEMENTS 2026'!B882))</f>
        <v/>
      </c>
      <c r="B882">
        <f>IF(ISBLANK('ENGAGEMENTS 2026'!B882),"",'ENGAGEMENTS 2026'!C882)</f>
        <v/>
      </c>
      <c r="C882">
        <f>IF(ISBLANK('ENGAGEMENTS 2026'!B882),"",'ENGAGEMENTS 2026'!D882)</f>
        <v/>
      </c>
      <c r="D882">
        <f>IF(ISBLANK('ENGAGEMENTS 2026'!B882),"",'ENGAGEMENTS 2026'!F882)</f>
        <v/>
      </c>
      <c r="E882">
        <f>IF(ISBLANK('ENGAGEMENTS 2026'!B882),"",'ENGAGEMENTS 2026'!H882)</f>
        <v/>
      </c>
      <c r="F882">
        <f>IF(ISBLANK('ENGAGEMENTS 2026'!B882),"",'ENGAGEMENTS 2026'!I882)</f>
        <v/>
      </c>
      <c r="G882">
        <f>IF(ISBLANK('ENGAGEMENTS 2026'!B882),"",'ENGAGEMENTS 2026'!L882)</f>
        <v/>
      </c>
      <c r="H882">
        <f>IF(ISBLANK('ENGAGEMENTS 2026'!B882),"",'ENGAGEMENTS 2026'!AE882)</f>
        <v/>
      </c>
      <c r="I882">
        <f>IF(ISBLANK('ENGAGEMENTS 2026'!B882),"",'ENGAGEMENTS 2026'!G882)</f>
        <v/>
      </c>
      <c r="J882" s="275">
        <f>IF(ISBLANK('ENGAGEMENTS 2026'!B882),"",IF(AND(OR($E882="INFRUCTUEUX",$E882="ANNULE"),$C882="AOO-M"),'ENGAGEMENTS 2026'!O882,IF($H882="EN COURS DE PREENGAGEMENT",'ENGAGEMENTS 2026'!N882,IF($H882="PREENGAGE",IF($E882="ATTRIBUE",'ENGAGEMENTS 2026'!AD882,'ENGAGEMENTS 2026'!N882),'ENGAGEMENTS 2026'!AD882))))</f>
        <v/>
      </c>
      <c r="K882" s="604">
        <f>IF(ISBLANK('ENGAGEMENTS 2026'!V882),"",'ENGAGEMENTS 2026'!V882)</f>
        <v/>
      </c>
      <c r="L882" s="276">
        <f>IF($K882="","",TODAY()-$K882)</f>
        <v/>
      </c>
      <c r="M882">
        <f>IF($A882="","",IF($H882="ENGAGE","Engagé",IF(AND($H882="NON ENGAGE",OR($I882="INFRUCTUEUX",$I882="ANNULE")),"Clôturé sans suite","En cours")))</f>
        <v/>
      </c>
      <c r="N882">
        <f>IF(ISBLANK('ENGAGEMENTS 2026'!B882),"",'ENGAGEMENTS 2026'!K882)</f>
        <v/>
      </c>
      <c r="O882">
        <f>IF(ISBLANK('ENGAGEMENTS 2026'!B882),"",'ENGAGEMENTS 2026'!L882)</f>
        <v/>
      </c>
      <c r="P882">
        <f>IF(ISBLANK('ENGAGEMENTS 2026'!B882),"",'ENGAGEMENTS 2026'!J882)</f>
        <v/>
      </c>
      <c r="Q882">
        <f>IF($A882="","",IF(OR($E882="INFRUCTUEUX",$E882="ANNULE"),$A882&amp;"|"&amp;(COUNTIFS($A$2:$A882,$A882,$E$2:$E882,"INFRUCTUEUX")+COUNTIFS($A$2:$A882,$A882,$E$2:$E882,"ANNULE")),""))</f>
        <v/>
      </c>
    </row>
    <row r="883">
      <c r="A883">
        <f>IF(ISBLANK('ENGAGEMENTS 2026'!B883),"",IF('ENGAGEMENTS 2026'!B883="DTSI","DCT",'ENGAGEMENTS 2026'!B883))</f>
        <v/>
      </c>
      <c r="B883">
        <f>IF(ISBLANK('ENGAGEMENTS 2026'!B883),"",'ENGAGEMENTS 2026'!C883)</f>
        <v/>
      </c>
      <c r="C883">
        <f>IF(ISBLANK('ENGAGEMENTS 2026'!B883),"",'ENGAGEMENTS 2026'!D883)</f>
        <v/>
      </c>
      <c r="D883">
        <f>IF(ISBLANK('ENGAGEMENTS 2026'!B883),"",'ENGAGEMENTS 2026'!F883)</f>
        <v/>
      </c>
      <c r="E883">
        <f>IF(ISBLANK('ENGAGEMENTS 2026'!B883),"",'ENGAGEMENTS 2026'!H883)</f>
        <v/>
      </c>
      <c r="F883">
        <f>IF(ISBLANK('ENGAGEMENTS 2026'!B883),"",'ENGAGEMENTS 2026'!I883)</f>
        <v/>
      </c>
      <c r="G883">
        <f>IF(ISBLANK('ENGAGEMENTS 2026'!B883),"",'ENGAGEMENTS 2026'!L883)</f>
        <v/>
      </c>
      <c r="H883">
        <f>IF(ISBLANK('ENGAGEMENTS 2026'!B883),"",'ENGAGEMENTS 2026'!AE883)</f>
        <v/>
      </c>
      <c r="I883">
        <f>IF(ISBLANK('ENGAGEMENTS 2026'!B883),"",'ENGAGEMENTS 2026'!G883)</f>
        <v/>
      </c>
      <c r="J883" s="275">
        <f>IF(ISBLANK('ENGAGEMENTS 2026'!B883),"",IF(AND(OR($E883="INFRUCTUEUX",$E883="ANNULE"),$C883="AOO-M"),'ENGAGEMENTS 2026'!O883,IF($H883="EN COURS DE PREENGAGEMENT",'ENGAGEMENTS 2026'!N883,IF($H883="PREENGAGE",IF($E883="ATTRIBUE",'ENGAGEMENTS 2026'!AD883,'ENGAGEMENTS 2026'!N883),'ENGAGEMENTS 2026'!AD883))))</f>
        <v/>
      </c>
      <c r="K883" s="604">
        <f>IF(ISBLANK('ENGAGEMENTS 2026'!V883),"",'ENGAGEMENTS 2026'!V883)</f>
        <v/>
      </c>
      <c r="L883" s="276">
        <f>IF($K883="","",TODAY()-$K883)</f>
        <v/>
      </c>
      <c r="M883">
        <f>IF($A883="","",IF($H883="ENGAGE","Engagé",IF(AND($H883="NON ENGAGE",OR($I883="INFRUCTUEUX",$I883="ANNULE")),"Clôturé sans suite","En cours")))</f>
        <v/>
      </c>
      <c r="N883">
        <f>IF(ISBLANK('ENGAGEMENTS 2026'!B883),"",'ENGAGEMENTS 2026'!K883)</f>
        <v/>
      </c>
      <c r="O883">
        <f>IF(ISBLANK('ENGAGEMENTS 2026'!B883),"",'ENGAGEMENTS 2026'!L883)</f>
        <v/>
      </c>
      <c r="P883">
        <f>IF(ISBLANK('ENGAGEMENTS 2026'!B883),"",'ENGAGEMENTS 2026'!J883)</f>
        <v/>
      </c>
      <c r="Q883">
        <f>IF($A883="","",IF(OR($E883="INFRUCTUEUX",$E883="ANNULE"),$A883&amp;"|"&amp;(COUNTIFS($A$2:$A883,$A883,$E$2:$E883,"INFRUCTUEUX")+COUNTIFS($A$2:$A883,$A883,$E$2:$E883,"ANNULE")),""))</f>
        <v/>
      </c>
    </row>
    <row r="884">
      <c r="A884">
        <f>IF(ISBLANK('ENGAGEMENTS 2026'!B884),"",IF('ENGAGEMENTS 2026'!B884="DTSI","DCT",'ENGAGEMENTS 2026'!B884))</f>
        <v/>
      </c>
      <c r="B884">
        <f>IF(ISBLANK('ENGAGEMENTS 2026'!B884),"",'ENGAGEMENTS 2026'!C884)</f>
        <v/>
      </c>
      <c r="C884">
        <f>IF(ISBLANK('ENGAGEMENTS 2026'!B884),"",'ENGAGEMENTS 2026'!D884)</f>
        <v/>
      </c>
      <c r="D884">
        <f>IF(ISBLANK('ENGAGEMENTS 2026'!B884),"",'ENGAGEMENTS 2026'!F884)</f>
        <v/>
      </c>
      <c r="E884">
        <f>IF(ISBLANK('ENGAGEMENTS 2026'!B884),"",'ENGAGEMENTS 2026'!H884)</f>
        <v/>
      </c>
      <c r="F884">
        <f>IF(ISBLANK('ENGAGEMENTS 2026'!B884),"",'ENGAGEMENTS 2026'!I884)</f>
        <v/>
      </c>
      <c r="G884">
        <f>IF(ISBLANK('ENGAGEMENTS 2026'!B884),"",'ENGAGEMENTS 2026'!L884)</f>
        <v/>
      </c>
      <c r="H884">
        <f>IF(ISBLANK('ENGAGEMENTS 2026'!B884),"",'ENGAGEMENTS 2026'!AE884)</f>
        <v/>
      </c>
      <c r="I884">
        <f>IF(ISBLANK('ENGAGEMENTS 2026'!B884),"",'ENGAGEMENTS 2026'!G884)</f>
        <v/>
      </c>
      <c r="J884" s="275">
        <f>IF(ISBLANK('ENGAGEMENTS 2026'!B884),"",IF(AND(OR($E884="INFRUCTUEUX",$E884="ANNULE"),$C884="AOO-M"),'ENGAGEMENTS 2026'!O884,IF($H884="EN COURS DE PREENGAGEMENT",'ENGAGEMENTS 2026'!N884,IF($H884="PREENGAGE",IF($E884="ATTRIBUE",'ENGAGEMENTS 2026'!AD884,'ENGAGEMENTS 2026'!N884),'ENGAGEMENTS 2026'!AD884))))</f>
        <v/>
      </c>
      <c r="K884" s="604">
        <f>IF(ISBLANK('ENGAGEMENTS 2026'!V884),"",'ENGAGEMENTS 2026'!V884)</f>
        <v/>
      </c>
      <c r="L884" s="276">
        <f>IF($K884="","",TODAY()-$K884)</f>
        <v/>
      </c>
      <c r="M884">
        <f>IF($A884="","",IF($H884="ENGAGE","Engagé",IF(AND($H884="NON ENGAGE",OR($I884="INFRUCTUEUX",$I884="ANNULE")),"Clôturé sans suite","En cours")))</f>
        <v/>
      </c>
      <c r="N884">
        <f>IF(ISBLANK('ENGAGEMENTS 2026'!B884),"",'ENGAGEMENTS 2026'!K884)</f>
        <v/>
      </c>
      <c r="O884">
        <f>IF(ISBLANK('ENGAGEMENTS 2026'!B884),"",'ENGAGEMENTS 2026'!L884)</f>
        <v/>
      </c>
      <c r="P884">
        <f>IF(ISBLANK('ENGAGEMENTS 2026'!B884),"",'ENGAGEMENTS 2026'!J884)</f>
        <v/>
      </c>
      <c r="Q884">
        <f>IF($A884="","",IF(OR($E884="INFRUCTUEUX",$E884="ANNULE"),$A884&amp;"|"&amp;(COUNTIFS($A$2:$A884,$A884,$E$2:$E884,"INFRUCTUEUX")+COUNTIFS($A$2:$A884,$A884,$E$2:$E884,"ANNULE")),""))</f>
        <v/>
      </c>
    </row>
    <row r="885">
      <c r="A885">
        <f>IF(ISBLANK('ENGAGEMENTS 2026'!B885),"",IF('ENGAGEMENTS 2026'!B885="DTSI","DCT",'ENGAGEMENTS 2026'!B885))</f>
        <v/>
      </c>
      <c r="B885">
        <f>IF(ISBLANK('ENGAGEMENTS 2026'!B885),"",'ENGAGEMENTS 2026'!C885)</f>
        <v/>
      </c>
      <c r="C885">
        <f>IF(ISBLANK('ENGAGEMENTS 2026'!B885),"",'ENGAGEMENTS 2026'!D885)</f>
        <v/>
      </c>
      <c r="D885">
        <f>IF(ISBLANK('ENGAGEMENTS 2026'!B885),"",'ENGAGEMENTS 2026'!F885)</f>
        <v/>
      </c>
      <c r="E885">
        <f>IF(ISBLANK('ENGAGEMENTS 2026'!B885),"",'ENGAGEMENTS 2026'!H885)</f>
        <v/>
      </c>
      <c r="F885">
        <f>IF(ISBLANK('ENGAGEMENTS 2026'!B885),"",'ENGAGEMENTS 2026'!I885)</f>
        <v/>
      </c>
      <c r="G885">
        <f>IF(ISBLANK('ENGAGEMENTS 2026'!B885),"",'ENGAGEMENTS 2026'!L885)</f>
        <v/>
      </c>
      <c r="H885">
        <f>IF(ISBLANK('ENGAGEMENTS 2026'!B885),"",'ENGAGEMENTS 2026'!AE885)</f>
        <v/>
      </c>
      <c r="I885">
        <f>IF(ISBLANK('ENGAGEMENTS 2026'!B885),"",'ENGAGEMENTS 2026'!G885)</f>
        <v/>
      </c>
      <c r="J885" s="275">
        <f>IF(ISBLANK('ENGAGEMENTS 2026'!B885),"",IF(AND(OR($E885="INFRUCTUEUX",$E885="ANNULE"),$C885="AOO-M"),'ENGAGEMENTS 2026'!O885,IF($H885="EN COURS DE PREENGAGEMENT",'ENGAGEMENTS 2026'!N885,IF($H885="PREENGAGE",IF($E885="ATTRIBUE",'ENGAGEMENTS 2026'!AD885,'ENGAGEMENTS 2026'!N885),'ENGAGEMENTS 2026'!AD885))))</f>
        <v/>
      </c>
      <c r="K885" s="604">
        <f>IF(ISBLANK('ENGAGEMENTS 2026'!V885),"",'ENGAGEMENTS 2026'!V885)</f>
        <v/>
      </c>
      <c r="L885" s="276">
        <f>IF($K885="","",TODAY()-$K885)</f>
        <v/>
      </c>
      <c r="M885">
        <f>IF($A885="","",IF($H885="ENGAGE","Engagé",IF(AND($H885="NON ENGAGE",OR($I885="INFRUCTUEUX",$I885="ANNULE")),"Clôturé sans suite","En cours")))</f>
        <v/>
      </c>
      <c r="N885">
        <f>IF(ISBLANK('ENGAGEMENTS 2026'!B885),"",'ENGAGEMENTS 2026'!K885)</f>
        <v/>
      </c>
      <c r="O885">
        <f>IF(ISBLANK('ENGAGEMENTS 2026'!B885),"",'ENGAGEMENTS 2026'!L885)</f>
        <v/>
      </c>
      <c r="P885">
        <f>IF(ISBLANK('ENGAGEMENTS 2026'!B885),"",'ENGAGEMENTS 2026'!J885)</f>
        <v/>
      </c>
      <c r="Q885">
        <f>IF($A885="","",IF(OR($E885="INFRUCTUEUX",$E885="ANNULE"),$A885&amp;"|"&amp;(COUNTIFS($A$2:$A885,$A885,$E$2:$E885,"INFRUCTUEUX")+COUNTIFS($A$2:$A885,$A885,$E$2:$E885,"ANNULE")),""))</f>
        <v/>
      </c>
    </row>
    <row r="886">
      <c r="A886">
        <f>IF(ISBLANK('ENGAGEMENTS 2026'!B886),"",IF('ENGAGEMENTS 2026'!B886="DTSI","DCT",'ENGAGEMENTS 2026'!B886))</f>
        <v/>
      </c>
      <c r="B886">
        <f>IF(ISBLANK('ENGAGEMENTS 2026'!B886),"",'ENGAGEMENTS 2026'!C886)</f>
        <v/>
      </c>
      <c r="C886">
        <f>IF(ISBLANK('ENGAGEMENTS 2026'!B886),"",'ENGAGEMENTS 2026'!D886)</f>
        <v/>
      </c>
      <c r="D886">
        <f>IF(ISBLANK('ENGAGEMENTS 2026'!B886),"",'ENGAGEMENTS 2026'!F886)</f>
        <v/>
      </c>
      <c r="E886">
        <f>IF(ISBLANK('ENGAGEMENTS 2026'!B886),"",'ENGAGEMENTS 2026'!H886)</f>
        <v/>
      </c>
      <c r="F886">
        <f>IF(ISBLANK('ENGAGEMENTS 2026'!B886),"",'ENGAGEMENTS 2026'!I886)</f>
        <v/>
      </c>
      <c r="G886">
        <f>IF(ISBLANK('ENGAGEMENTS 2026'!B886),"",'ENGAGEMENTS 2026'!L886)</f>
        <v/>
      </c>
      <c r="H886">
        <f>IF(ISBLANK('ENGAGEMENTS 2026'!B886),"",'ENGAGEMENTS 2026'!AE886)</f>
        <v/>
      </c>
      <c r="I886">
        <f>IF(ISBLANK('ENGAGEMENTS 2026'!B886),"",'ENGAGEMENTS 2026'!G886)</f>
        <v/>
      </c>
      <c r="J886" s="275">
        <f>IF(ISBLANK('ENGAGEMENTS 2026'!B886),"",IF(AND(OR($E886="INFRUCTUEUX",$E886="ANNULE"),$C886="AOO-M"),'ENGAGEMENTS 2026'!O886,IF($H886="EN COURS DE PREENGAGEMENT",'ENGAGEMENTS 2026'!N886,IF($H886="PREENGAGE",IF($E886="ATTRIBUE",'ENGAGEMENTS 2026'!AD886,'ENGAGEMENTS 2026'!N886),'ENGAGEMENTS 2026'!AD886))))</f>
        <v/>
      </c>
      <c r="K886" s="604">
        <f>IF(ISBLANK('ENGAGEMENTS 2026'!V886),"",'ENGAGEMENTS 2026'!V886)</f>
        <v/>
      </c>
      <c r="L886" s="276">
        <f>IF($K886="","",TODAY()-$K886)</f>
        <v/>
      </c>
      <c r="M886">
        <f>IF($A886="","",IF($H886="ENGAGE","Engagé",IF(AND($H886="NON ENGAGE",OR($I886="INFRUCTUEUX",$I886="ANNULE")),"Clôturé sans suite","En cours")))</f>
        <v/>
      </c>
      <c r="N886">
        <f>IF(ISBLANK('ENGAGEMENTS 2026'!B886),"",'ENGAGEMENTS 2026'!K886)</f>
        <v/>
      </c>
      <c r="O886">
        <f>IF(ISBLANK('ENGAGEMENTS 2026'!B886),"",'ENGAGEMENTS 2026'!L886)</f>
        <v/>
      </c>
      <c r="P886">
        <f>IF(ISBLANK('ENGAGEMENTS 2026'!B886),"",'ENGAGEMENTS 2026'!J886)</f>
        <v/>
      </c>
      <c r="Q886">
        <f>IF($A886="","",IF(OR($E886="INFRUCTUEUX",$E886="ANNULE"),$A886&amp;"|"&amp;(COUNTIFS($A$2:$A886,$A886,$E$2:$E886,"INFRUCTUEUX")+COUNTIFS($A$2:$A886,$A886,$E$2:$E886,"ANNULE")),""))</f>
        <v/>
      </c>
    </row>
    <row r="887">
      <c r="A887">
        <f>IF(ISBLANK('ENGAGEMENTS 2026'!B887),"",IF('ENGAGEMENTS 2026'!B887="DTSI","DCT",'ENGAGEMENTS 2026'!B887))</f>
        <v/>
      </c>
      <c r="B887">
        <f>IF(ISBLANK('ENGAGEMENTS 2026'!B887),"",'ENGAGEMENTS 2026'!C887)</f>
        <v/>
      </c>
      <c r="C887">
        <f>IF(ISBLANK('ENGAGEMENTS 2026'!B887),"",'ENGAGEMENTS 2026'!D887)</f>
        <v/>
      </c>
      <c r="D887">
        <f>IF(ISBLANK('ENGAGEMENTS 2026'!B887),"",'ENGAGEMENTS 2026'!F887)</f>
        <v/>
      </c>
      <c r="E887">
        <f>IF(ISBLANK('ENGAGEMENTS 2026'!B887),"",'ENGAGEMENTS 2026'!H887)</f>
        <v/>
      </c>
      <c r="F887">
        <f>IF(ISBLANK('ENGAGEMENTS 2026'!B887),"",'ENGAGEMENTS 2026'!I887)</f>
        <v/>
      </c>
      <c r="G887">
        <f>IF(ISBLANK('ENGAGEMENTS 2026'!B887),"",'ENGAGEMENTS 2026'!L887)</f>
        <v/>
      </c>
      <c r="H887">
        <f>IF(ISBLANK('ENGAGEMENTS 2026'!B887),"",'ENGAGEMENTS 2026'!AE887)</f>
        <v/>
      </c>
      <c r="I887">
        <f>IF(ISBLANK('ENGAGEMENTS 2026'!B887),"",'ENGAGEMENTS 2026'!G887)</f>
        <v/>
      </c>
      <c r="J887" s="275">
        <f>IF(ISBLANK('ENGAGEMENTS 2026'!B887),"",IF(AND(OR($E887="INFRUCTUEUX",$E887="ANNULE"),$C887="AOO-M"),'ENGAGEMENTS 2026'!O887,IF($H887="EN COURS DE PREENGAGEMENT",'ENGAGEMENTS 2026'!N887,IF($H887="PREENGAGE",IF($E887="ATTRIBUE",'ENGAGEMENTS 2026'!AD887,'ENGAGEMENTS 2026'!N887),'ENGAGEMENTS 2026'!AD887))))</f>
        <v/>
      </c>
      <c r="K887" s="604">
        <f>IF(ISBLANK('ENGAGEMENTS 2026'!V887),"",'ENGAGEMENTS 2026'!V887)</f>
        <v/>
      </c>
      <c r="L887" s="276">
        <f>IF($K887="","",TODAY()-$K887)</f>
        <v/>
      </c>
      <c r="M887">
        <f>IF($A887="","",IF($H887="ENGAGE","Engagé",IF(AND($H887="NON ENGAGE",OR($I887="INFRUCTUEUX",$I887="ANNULE")),"Clôturé sans suite","En cours")))</f>
        <v/>
      </c>
      <c r="N887">
        <f>IF(ISBLANK('ENGAGEMENTS 2026'!B887),"",'ENGAGEMENTS 2026'!K887)</f>
        <v/>
      </c>
      <c r="O887">
        <f>IF(ISBLANK('ENGAGEMENTS 2026'!B887),"",'ENGAGEMENTS 2026'!L887)</f>
        <v/>
      </c>
      <c r="P887">
        <f>IF(ISBLANK('ENGAGEMENTS 2026'!B887),"",'ENGAGEMENTS 2026'!J887)</f>
        <v/>
      </c>
      <c r="Q887">
        <f>IF($A887="","",IF(OR($E887="INFRUCTUEUX",$E887="ANNULE"),$A887&amp;"|"&amp;(COUNTIFS($A$2:$A887,$A887,$E$2:$E887,"INFRUCTUEUX")+COUNTIFS($A$2:$A887,$A887,$E$2:$E887,"ANNULE")),""))</f>
        <v/>
      </c>
    </row>
    <row r="888">
      <c r="A888">
        <f>IF(ISBLANK('ENGAGEMENTS 2026'!B888),"",IF('ENGAGEMENTS 2026'!B888="DTSI","DCT",'ENGAGEMENTS 2026'!B888))</f>
        <v/>
      </c>
      <c r="B888">
        <f>IF(ISBLANK('ENGAGEMENTS 2026'!B888),"",'ENGAGEMENTS 2026'!C888)</f>
        <v/>
      </c>
      <c r="C888">
        <f>IF(ISBLANK('ENGAGEMENTS 2026'!B888),"",'ENGAGEMENTS 2026'!D888)</f>
        <v/>
      </c>
      <c r="D888">
        <f>IF(ISBLANK('ENGAGEMENTS 2026'!B888),"",'ENGAGEMENTS 2026'!F888)</f>
        <v/>
      </c>
      <c r="E888">
        <f>IF(ISBLANK('ENGAGEMENTS 2026'!B888),"",'ENGAGEMENTS 2026'!H888)</f>
        <v/>
      </c>
      <c r="F888">
        <f>IF(ISBLANK('ENGAGEMENTS 2026'!B888),"",'ENGAGEMENTS 2026'!I888)</f>
        <v/>
      </c>
      <c r="G888">
        <f>IF(ISBLANK('ENGAGEMENTS 2026'!B888),"",'ENGAGEMENTS 2026'!L888)</f>
        <v/>
      </c>
      <c r="H888">
        <f>IF(ISBLANK('ENGAGEMENTS 2026'!B888),"",'ENGAGEMENTS 2026'!AE888)</f>
        <v/>
      </c>
      <c r="I888">
        <f>IF(ISBLANK('ENGAGEMENTS 2026'!B888),"",'ENGAGEMENTS 2026'!G888)</f>
        <v/>
      </c>
      <c r="J888" s="275">
        <f>IF(ISBLANK('ENGAGEMENTS 2026'!B888),"",IF(AND(OR($E888="INFRUCTUEUX",$E888="ANNULE"),$C888="AOO-M"),'ENGAGEMENTS 2026'!O888,IF($H888="EN COURS DE PREENGAGEMENT",'ENGAGEMENTS 2026'!N888,IF($H888="PREENGAGE",IF($E888="ATTRIBUE",'ENGAGEMENTS 2026'!AD888,'ENGAGEMENTS 2026'!N888),'ENGAGEMENTS 2026'!AD888))))</f>
        <v/>
      </c>
      <c r="K888" s="604">
        <f>IF(ISBLANK('ENGAGEMENTS 2026'!V888),"",'ENGAGEMENTS 2026'!V888)</f>
        <v/>
      </c>
      <c r="L888" s="276">
        <f>IF($K888="","",TODAY()-$K888)</f>
        <v/>
      </c>
      <c r="M888">
        <f>IF($A888="","",IF($H888="ENGAGE","Engagé",IF(AND($H888="NON ENGAGE",OR($I888="INFRUCTUEUX",$I888="ANNULE")),"Clôturé sans suite","En cours")))</f>
        <v/>
      </c>
      <c r="N888">
        <f>IF(ISBLANK('ENGAGEMENTS 2026'!B888),"",'ENGAGEMENTS 2026'!K888)</f>
        <v/>
      </c>
      <c r="O888">
        <f>IF(ISBLANK('ENGAGEMENTS 2026'!B888),"",'ENGAGEMENTS 2026'!L888)</f>
        <v/>
      </c>
      <c r="P888">
        <f>IF(ISBLANK('ENGAGEMENTS 2026'!B888),"",'ENGAGEMENTS 2026'!J888)</f>
        <v/>
      </c>
      <c r="Q888">
        <f>IF($A888="","",IF(OR($E888="INFRUCTUEUX",$E888="ANNULE"),$A888&amp;"|"&amp;(COUNTIFS($A$2:$A888,$A888,$E$2:$E888,"INFRUCTUEUX")+COUNTIFS($A$2:$A888,$A888,$E$2:$E888,"ANNULE")),""))</f>
        <v/>
      </c>
    </row>
    <row r="889">
      <c r="A889">
        <f>IF(ISBLANK('ENGAGEMENTS 2026'!B889),"",IF('ENGAGEMENTS 2026'!B889="DTSI","DCT",'ENGAGEMENTS 2026'!B889))</f>
        <v/>
      </c>
      <c r="B889">
        <f>IF(ISBLANK('ENGAGEMENTS 2026'!B889),"",'ENGAGEMENTS 2026'!C889)</f>
        <v/>
      </c>
      <c r="C889">
        <f>IF(ISBLANK('ENGAGEMENTS 2026'!B889),"",'ENGAGEMENTS 2026'!D889)</f>
        <v/>
      </c>
      <c r="D889">
        <f>IF(ISBLANK('ENGAGEMENTS 2026'!B889),"",'ENGAGEMENTS 2026'!F889)</f>
        <v/>
      </c>
      <c r="E889">
        <f>IF(ISBLANK('ENGAGEMENTS 2026'!B889),"",'ENGAGEMENTS 2026'!H889)</f>
        <v/>
      </c>
      <c r="F889">
        <f>IF(ISBLANK('ENGAGEMENTS 2026'!B889),"",'ENGAGEMENTS 2026'!I889)</f>
        <v/>
      </c>
      <c r="G889">
        <f>IF(ISBLANK('ENGAGEMENTS 2026'!B889),"",'ENGAGEMENTS 2026'!L889)</f>
        <v/>
      </c>
      <c r="H889">
        <f>IF(ISBLANK('ENGAGEMENTS 2026'!B889),"",'ENGAGEMENTS 2026'!AE889)</f>
        <v/>
      </c>
      <c r="I889">
        <f>IF(ISBLANK('ENGAGEMENTS 2026'!B889),"",'ENGAGEMENTS 2026'!G889)</f>
        <v/>
      </c>
      <c r="J889" s="275">
        <f>IF(ISBLANK('ENGAGEMENTS 2026'!B889),"",IF(AND(OR($E889="INFRUCTUEUX",$E889="ANNULE"),$C889="AOO-M"),'ENGAGEMENTS 2026'!O889,IF($H889="EN COURS DE PREENGAGEMENT",'ENGAGEMENTS 2026'!N889,IF($H889="PREENGAGE",IF($E889="ATTRIBUE",'ENGAGEMENTS 2026'!AD889,'ENGAGEMENTS 2026'!N889),'ENGAGEMENTS 2026'!AD889))))</f>
        <v/>
      </c>
      <c r="K889" s="604">
        <f>IF(ISBLANK('ENGAGEMENTS 2026'!V889),"",'ENGAGEMENTS 2026'!V889)</f>
        <v/>
      </c>
      <c r="L889" s="276">
        <f>IF($K889="","",TODAY()-$K889)</f>
        <v/>
      </c>
      <c r="M889">
        <f>IF($A889="","",IF($H889="ENGAGE","Engagé",IF(AND($H889="NON ENGAGE",OR($I889="INFRUCTUEUX",$I889="ANNULE")),"Clôturé sans suite","En cours")))</f>
        <v/>
      </c>
      <c r="N889">
        <f>IF(ISBLANK('ENGAGEMENTS 2026'!B889),"",'ENGAGEMENTS 2026'!K889)</f>
        <v/>
      </c>
      <c r="O889">
        <f>IF(ISBLANK('ENGAGEMENTS 2026'!B889),"",'ENGAGEMENTS 2026'!L889)</f>
        <v/>
      </c>
      <c r="P889">
        <f>IF(ISBLANK('ENGAGEMENTS 2026'!B889),"",'ENGAGEMENTS 2026'!J889)</f>
        <v/>
      </c>
      <c r="Q889">
        <f>IF($A889="","",IF(OR($E889="INFRUCTUEUX",$E889="ANNULE"),$A889&amp;"|"&amp;(COUNTIFS($A$2:$A889,$A889,$E$2:$E889,"INFRUCTUEUX")+COUNTIFS($A$2:$A889,$A889,$E$2:$E889,"ANNULE")),""))</f>
        <v/>
      </c>
    </row>
    <row r="890">
      <c r="A890">
        <f>IF(ISBLANK('ENGAGEMENTS 2026'!B890),"",IF('ENGAGEMENTS 2026'!B890="DTSI","DCT",'ENGAGEMENTS 2026'!B890))</f>
        <v/>
      </c>
      <c r="B890">
        <f>IF(ISBLANK('ENGAGEMENTS 2026'!B890),"",'ENGAGEMENTS 2026'!C890)</f>
        <v/>
      </c>
      <c r="C890">
        <f>IF(ISBLANK('ENGAGEMENTS 2026'!B890),"",'ENGAGEMENTS 2026'!D890)</f>
        <v/>
      </c>
      <c r="D890">
        <f>IF(ISBLANK('ENGAGEMENTS 2026'!B890),"",'ENGAGEMENTS 2026'!F890)</f>
        <v/>
      </c>
      <c r="E890">
        <f>IF(ISBLANK('ENGAGEMENTS 2026'!B890),"",'ENGAGEMENTS 2026'!H890)</f>
        <v/>
      </c>
      <c r="F890">
        <f>IF(ISBLANK('ENGAGEMENTS 2026'!B890),"",'ENGAGEMENTS 2026'!I890)</f>
        <v/>
      </c>
      <c r="G890">
        <f>IF(ISBLANK('ENGAGEMENTS 2026'!B890),"",'ENGAGEMENTS 2026'!L890)</f>
        <v/>
      </c>
      <c r="H890">
        <f>IF(ISBLANK('ENGAGEMENTS 2026'!B890),"",'ENGAGEMENTS 2026'!AE890)</f>
        <v/>
      </c>
      <c r="I890">
        <f>IF(ISBLANK('ENGAGEMENTS 2026'!B890),"",'ENGAGEMENTS 2026'!G890)</f>
        <v/>
      </c>
      <c r="J890" s="275">
        <f>IF(ISBLANK('ENGAGEMENTS 2026'!B890),"",IF(AND(OR($E890="INFRUCTUEUX",$E890="ANNULE"),$C890="AOO-M"),'ENGAGEMENTS 2026'!O890,IF($H890="EN COURS DE PREENGAGEMENT",'ENGAGEMENTS 2026'!N890,IF($H890="PREENGAGE",IF($E890="ATTRIBUE",'ENGAGEMENTS 2026'!AD890,'ENGAGEMENTS 2026'!N890),'ENGAGEMENTS 2026'!AD890))))</f>
        <v/>
      </c>
      <c r="K890" s="604">
        <f>IF(ISBLANK('ENGAGEMENTS 2026'!V890),"",'ENGAGEMENTS 2026'!V890)</f>
        <v/>
      </c>
      <c r="L890" s="276">
        <f>IF($K890="","",TODAY()-$K890)</f>
        <v/>
      </c>
      <c r="M890">
        <f>IF($A890="","",IF($H890="ENGAGE","Engagé",IF(AND($H890="NON ENGAGE",OR($I890="INFRUCTUEUX",$I890="ANNULE")),"Clôturé sans suite","En cours")))</f>
        <v/>
      </c>
      <c r="N890">
        <f>IF(ISBLANK('ENGAGEMENTS 2026'!B890),"",'ENGAGEMENTS 2026'!K890)</f>
        <v/>
      </c>
      <c r="O890">
        <f>IF(ISBLANK('ENGAGEMENTS 2026'!B890),"",'ENGAGEMENTS 2026'!L890)</f>
        <v/>
      </c>
      <c r="P890">
        <f>IF(ISBLANK('ENGAGEMENTS 2026'!B890),"",'ENGAGEMENTS 2026'!J890)</f>
        <v/>
      </c>
      <c r="Q890">
        <f>IF($A890="","",IF(OR($E890="INFRUCTUEUX",$E890="ANNULE"),$A890&amp;"|"&amp;(COUNTIFS($A$2:$A890,$A890,$E$2:$E890,"INFRUCTUEUX")+COUNTIFS($A$2:$A890,$A890,$E$2:$E890,"ANNULE")),""))</f>
        <v/>
      </c>
    </row>
    <row r="891">
      <c r="A891">
        <f>IF(ISBLANK('ENGAGEMENTS 2026'!B891),"",IF('ENGAGEMENTS 2026'!B891="DTSI","DCT",'ENGAGEMENTS 2026'!B891))</f>
        <v/>
      </c>
      <c r="B891">
        <f>IF(ISBLANK('ENGAGEMENTS 2026'!B891),"",'ENGAGEMENTS 2026'!C891)</f>
        <v/>
      </c>
      <c r="C891">
        <f>IF(ISBLANK('ENGAGEMENTS 2026'!B891),"",'ENGAGEMENTS 2026'!D891)</f>
        <v/>
      </c>
      <c r="D891">
        <f>IF(ISBLANK('ENGAGEMENTS 2026'!B891),"",'ENGAGEMENTS 2026'!F891)</f>
        <v/>
      </c>
      <c r="E891">
        <f>IF(ISBLANK('ENGAGEMENTS 2026'!B891),"",'ENGAGEMENTS 2026'!H891)</f>
        <v/>
      </c>
      <c r="F891">
        <f>IF(ISBLANK('ENGAGEMENTS 2026'!B891),"",'ENGAGEMENTS 2026'!I891)</f>
        <v/>
      </c>
      <c r="G891">
        <f>IF(ISBLANK('ENGAGEMENTS 2026'!B891),"",'ENGAGEMENTS 2026'!L891)</f>
        <v/>
      </c>
      <c r="H891">
        <f>IF(ISBLANK('ENGAGEMENTS 2026'!B891),"",'ENGAGEMENTS 2026'!AE891)</f>
        <v/>
      </c>
      <c r="I891">
        <f>IF(ISBLANK('ENGAGEMENTS 2026'!B891),"",'ENGAGEMENTS 2026'!G891)</f>
        <v/>
      </c>
      <c r="J891" s="275">
        <f>IF(ISBLANK('ENGAGEMENTS 2026'!B891),"",IF(AND(OR($E891="INFRUCTUEUX",$E891="ANNULE"),$C891="AOO-M"),'ENGAGEMENTS 2026'!O891,IF($H891="EN COURS DE PREENGAGEMENT",'ENGAGEMENTS 2026'!N891,IF($H891="PREENGAGE",IF($E891="ATTRIBUE",'ENGAGEMENTS 2026'!AD891,'ENGAGEMENTS 2026'!N891),'ENGAGEMENTS 2026'!AD891))))</f>
        <v/>
      </c>
      <c r="K891" s="604">
        <f>IF(ISBLANK('ENGAGEMENTS 2026'!V891),"",'ENGAGEMENTS 2026'!V891)</f>
        <v/>
      </c>
      <c r="L891" s="276">
        <f>IF($K891="","",TODAY()-$K891)</f>
        <v/>
      </c>
      <c r="M891">
        <f>IF($A891="","",IF($H891="ENGAGE","Engagé",IF(AND($H891="NON ENGAGE",OR($I891="INFRUCTUEUX",$I891="ANNULE")),"Clôturé sans suite","En cours")))</f>
        <v/>
      </c>
      <c r="N891">
        <f>IF(ISBLANK('ENGAGEMENTS 2026'!B891),"",'ENGAGEMENTS 2026'!K891)</f>
        <v/>
      </c>
      <c r="O891">
        <f>IF(ISBLANK('ENGAGEMENTS 2026'!B891),"",'ENGAGEMENTS 2026'!L891)</f>
        <v/>
      </c>
      <c r="P891">
        <f>IF(ISBLANK('ENGAGEMENTS 2026'!B891),"",'ENGAGEMENTS 2026'!J891)</f>
        <v/>
      </c>
      <c r="Q891">
        <f>IF($A891="","",IF(OR($E891="INFRUCTUEUX",$E891="ANNULE"),$A891&amp;"|"&amp;(COUNTIFS($A$2:$A891,$A891,$E$2:$E891,"INFRUCTUEUX")+COUNTIFS($A$2:$A891,$A891,$E$2:$E891,"ANNULE")),""))</f>
        <v/>
      </c>
    </row>
    <row r="892">
      <c r="A892">
        <f>IF(ISBLANK('ENGAGEMENTS 2026'!B892),"",IF('ENGAGEMENTS 2026'!B892="DTSI","DCT",'ENGAGEMENTS 2026'!B892))</f>
        <v/>
      </c>
      <c r="B892">
        <f>IF(ISBLANK('ENGAGEMENTS 2026'!B892),"",'ENGAGEMENTS 2026'!C892)</f>
        <v/>
      </c>
      <c r="C892">
        <f>IF(ISBLANK('ENGAGEMENTS 2026'!B892),"",'ENGAGEMENTS 2026'!D892)</f>
        <v/>
      </c>
      <c r="D892">
        <f>IF(ISBLANK('ENGAGEMENTS 2026'!B892),"",'ENGAGEMENTS 2026'!F892)</f>
        <v/>
      </c>
      <c r="E892">
        <f>IF(ISBLANK('ENGAGEMENTS 2026'!B892),"",'ENGAGEMENTS 2026'!H892)</f>
        <v/>
      </c>
      <c r="F892">
        <f>IF(ISBLANK('ENGAGEMENTS 2026'!B892),"",'ENGAGEMENTS 2026'!I892)</f>
        <v/>
      </c>
      <c r="G892">
        <f>IF(ISBLANK('ENGAGEMENTS 2026'!B892),"",'ENGAGEMENTS 2026'!L892)</f>
        <v/>
      </c>
      <c r="H892">
        <f>IF(ISBLANK('ENGAGEMENTS 2026'!B892),"",'ENGAGEMENTS 2026'!AE892)</f>
        <v/>
      </c>
      <c r="I892">
        <f>IF(ISBLANK('ENGAGEMENTS 2026'!B892),"",'ENGAGEMENTS 2026'!G892)</f>
        <v/>
      </c>
      <c r="J892" s="275">
        <f>IF(ISBLANK('ENGAGEMENTS 2026'!B892),"",IF(AND(OR($E892="INFRUCTUEUX",$E892="ANNULE"),$C892="AOO-M"),'ENGAGEMENTS 2026'!O892,IF($H892="EN COURS DE PREENGAGEMENT",'ENGAGEMENTS 2026'!N892,IF($H892="PREENGAGE",IF($E892="ATTRIBUE",'ENGAGEMENTS 2026'!AD892,'ENGAGEMENTS 2026'!N892),'ENGAGEMENTS 2026'!AD892))))</f>
        <v/>
      </c>
      <c r="K892" s="604">
        <f>IF(ISBLANK('ENGAGEMENTS 2026'!V892),"",'ENGAGEMENTS 2026'!V892)</f>
        <v/>
      </c>
      <c r="L892" s="276">
        <f>IF($K892="","",TODAY()-$K892)</f>
        <v/>
      </c>
      <c r="M892">
        <f>IF($A892="","",IF($H892="ENGAGE","Engagé",IF(AND($H892="NON ENGAGE",OR($I892="INFRUCTUEUX",$I892="ANNULE")),"Clôturé sans suite","En cours")))</f>
        <v/>
      </c>
      <c r="N892">
        <f>IF(ISBLANK('ENGAGEMENTS 2026'!B892),"",'ENGAGEMENTS 2026'!K892)</f>
        <v/>
      </c>
      <c r="O892">
        <f>IF(ISBLANK('ENGAGEMENTS 2026'!B892),"",'ENGAGEMENTS 2026'!L892)</f>
        <v/>
      </c>
      <c r="P892">
        <f>IF(ISBLANK('ENGAGEMENTS 2026'!B892),"",'ENGAGEMENTS 2026'!J892)</f>
        <v/>
      </c>
      <c r="Q892">
        <f>IF($A892="","",IF(OR($E892="INFRUCTUEUX",$E892="ANNULE"),$A892&amp;"|"&amp;(COUNTIFS($A$2:$A892,$A892,$E$2:$E892,"INFRUCTUEUX")+COUNTIFS($A$2:$A892,$A892,$E$2:$E892,"ANNULE")),""))</f>
        <v/>
      </c>
    </row>
    <row r="893">
      <c r="A893">
        <f>IF(ISBLANK('ENGAGEMENTS 2026'!B893),"",IF('ENGAGEMENTS 2026'!B893="DTSI","DCT",'ENGAGEMENTS 2026'!B893))</f>
        <v/>
      </c>
      <c r="B893">
        <f>IF(ISBLANK('ENGAGEMENTS 2026'!B893),"",'ENGAGEMENTS 2026'!C893)</f>
        <v/>
      </c>
      <c r="C893">
        <f>IF(ISBLANK('ENGAGEMENTS 2026'!B893),"",'ENGAGEMENTS 2026'!D893)</f>
        <v/>
      </c>
      <c r="D893">
        <f>IF(ISBLANK('ENGAGEMENTS 2026'!B893),"",'ENGAGEMENTS 2026'!F893)</f>
        <v/>
      </c>
      <c r="E893">
        <f>IF(ISBLANK('ENGAGEMENTS 2026'!B893),"",'ENGAGEMENTS 2026'!H893)</f>
        <v/>
      </c>
      <c r="F893">
        <f>IF(ISBLANK('ENGAGEMENTS 2026'!B893),"",'ENGAGEMENTS 2026'!I893)</f>
        <v/>
      </c>
      <c r="G893">
        <f>IF(ISBLANK('ENGAGEMENTS 2026'!B893),"",'ENGAGEMENTS 2026'!L893)</f>
        <v/>
      </c>
      <c r="H893">
        <f>IF(ISBLANK('ENGAGEMENTS 2026'!B893),"",'ENGAGEMENTS 2026'!AE893)</f>
        <v/>
      </c>
      <c r="I893">
        <f>IF(ISBLANK('ENGAGEMENTS 2026'!B893),"",'ENGAGEMENTS 2026'!G893)</f>
        <v/>
      </c>
      <c r="J893" s="275">
        <f>IF(ISBLANK('ENGAGEMENTS 2026'!B893),"",IF(AND(OR($E893="INFRUCTUEUX",$E893="ANNULE"),$C893="AOO-M"),'ENGAGEMENTS 2026'!O893,IF($H893="EN COURS DE PREENGAGEMENT",'ENGAGEMENTS 2026'!N893,IF($H893="PREENGAGE",IF($E893="ATTRIBUE",'ENGAGEMENTS 2026'!AD893,'ENGAGEMENTS 2026'!N893),'ENGAGEMENTS 2026'!AD893))))</f>
        <v/>
      </c>
      <c r="K893" s="604">
        <f>IF(ISBLANK('ENGAGEMENTS 2026'!V893),"",'ENGAGEMENTS 2026'!V893)</f>
        <v/>
      </c>
      <c r="L893" s="276">
        <f>IF($K893="","",TODAY()-$K893)</f>
        <v/>
      </c>
      <c r="M893">
        <f>IF($A893="","",IF($H893="ENGAGE","Engagé",IF(AND($H893="NON ENGAGE",OR($I893="INFRUCTUEUX",$I893="ANNULE")),"Clôturé sans suite","En cours")))</f>
        <v/>
      </c>
      <c r="N893">
        <f>IF(ISBLANK('ENGAGEMENTS 2026'!B893),"",'ENGAGEMENTS 2026'!K893)</f>
        <v/>
      </c>
      <c r="O893">
        <f>IF(ISBLANK('ENGAGEMENTS 2026'!B893),"",'ENGAGEMENTS 2026'!L893)</f>
        <v/>
      </c>
      <c r="P893">
        <f>IF(ISBLANK('ENGAGEMENTS 2026'!B893),"",'ENGAGEMENTS 2026'!J893)</f>
        <v/>
      </c>
      <c r="Q893">
        <f>IF($A893="","",IF(OR($E893="INFRUCTUEUX",$E893="ANNULE"),$A893&amp;"|"&amp;(COUNTIFS($A$2:$A893,$A893,$E$2:$E893,"INFRUCTUEUX")+COUNTIFS($A$2:$A893,$A893,$E$2:$E893,"ANNULE")),""))</f>
        <v/>
      </c>
    </row>
    <row r="894">
      <c r="A894">
        <f>IF(ISBLANK('ENGAGEMENTS 2026'!B894),"",IF('ENGAGEMENTS 2026'!B894="DTSI","DCT",'ENGAGEMENTS 2026'!B894))</f>
        <v/>
      </c>
      <c r="B894">
        <f>IF(ISBLANK('ENGAGEMENTS 2026'!B894),"",'ENGAGEMENTS 2026'!C894)</f>
        <v/>
      </c>
      <c r="C894">
        <f>IF(ISBLANK('ENGAGEMENTS 2026'!B894),"",'ENGAGEMENTS 2026'!D894)</f>
        <v/>
      </c>
      <c r="D894">
        <f>IF(ISBLANK('ENGAGEMENTS 2026'!B894),"",'ENGAGEMENTS 2026'!F894)</f>
        <v/>
      </c>
      <c r="E894">
        <f>IF(ISBLANK('ENGAGEMENTS 2026'!B894),"",'ENGAGEMENTS 2026'!H894)</f>
        <v/>
      </c>
      <c r="F894">
        <f>IF(ISBLANK('ENGAGEMENTS 2026'!B894),"",'ENGAGEMENTS 2026'!I894)</f>
        <v/>
      </c>
      <c r="G894">
        <f>IF(ISBLANK('ENGAGEMENTS 2026'!B894),"",'ENGAGEMENTS 2026'!L894)</f>
        <v/>
      </c>
      <c r="H894">
        <f>IF(ISBLANK('ENGAGEMENTS 2026'!B894),"",'ENGAGEMENTS 2026'!AE894)</f>
        <v/>
      </c>
      <c r="I894">
        <f>IF(ISBLANK('ENGAGEMENTS 2026'!B894),"",'ENGAGEMENTS 2026'!G894)</f>
        <v/>
      </c>
      <c r="J894" s="275">
        <f>IF(ISBLANK('ENGAGEMENTS 2026'!B894),"",IF(AND(OR($E894="INFRUCTUEUX",$E894="ANNULE"),$C894="AOO-M"),'ENGAGEMENTS 2026'!O894,IF($H894="EN COURS DE PREENGAGEMENT",'ENGAGEMENTS 2026'!N894,IF($H894="PREENGAGE",IF($E894="ATTRIBUE",'ENGAGEMENTS 2026'!AD894,'ENGAGEMENTS 2026'!N894),'ENGAGEMENTS 2026'!AD894))))</f>
        <v/>
      </c>
      <c r="K894" s="604">
        <f>IF(ISBLANK('ENGAGEMENTS 2026'!V894),"",'ENGAGEMENTS 2026'!V894)</f>
        <v/>
      </c>
      <c r="L894" s="276">
        <f>IF($K894="","",TODAY()-$K894)</f>
        <v/>
      </c>
      <c r="M894">
        <f>IF($A894="","",IF($H894="ENGAGE","Engagé",IF(AND($H894="NON ENGAGE",OR($I894="INFRUCTUEUX",$I894="ANNULE")),"Clôturé sans suite","En cours")))</f>
        <v/>
      </c>
      <c r="N894">
        <f>IF(ISBLANK('ENGAGEMENTS 2026'!B894),"",'ENGAGEMENTS 2026'!K894)</f>
        <v/>
      </c>
      <c r="O894">
        <f>IF(ISBLANK('ENGAGEMENTS 2026'!B894),"",'ENGAGEMENTS 2026'!L894)</f>
        <v/>
      </c>
      <c r="P894">
        <f>IF(ISBLANK('ENGAGEMENTS 2026'!B894),"",'ENGAGEMENTS 2026'!J894)</f>
        <v/>
      </c>
      <c r="Q894">
        <f>IF($A894="","",IF(OR($E894="INFRUCTUEUX",$E894="ANNULE"),$A894&amp;"|"&amp;(COUNTIFS($A$2:$A894,$A894,$E$2:$E894,"INFRUCTUEUX")+COUNTIFS($A$2:$A894,$A894,$E$2:$E894,"ANNULE")),""))</f>
        <v/>
      </c>
    </row>
    <row r="895">
      <c r="A895">
        <f>IF(ISBLANK('ENGAGEMENTS 2026'!B895),"",IF('ENGAGEMENTS 2026'!B895="DTSI","DCT",'ENGAGEMENTS 2026'!B895))</f>
        <v/>
      </c>
      <c r="B895">
        <f>IF(ISBLANK('ENGAGEMENTS 2026'!B895),"",'ENGAGEMENTS 2026'!C895)</f>
        <v/>
      </c>
      <c r="C895">
        <f>IF(ISBLANK('ENGAGEMENTS 2026'!B895),"",'ENGAGEMENTS 2026'!D895)</f>
        <v/>
      </c>
      <c r="D895">
        <f>IF(ISBLANK('ENGAGEMENTS 2026'!B895),"",'ENGAGEMENTS 2026'!F895)</f>
        <v/>
      </c>
      <c r="E895">
        <f>IF(ISBLANK('ENGAGEMENTS 2026'!B895),"",'ENGAGEMENTS 2026'!H895)</f>
        <v/>
      </c>
      <c r="F895">
        <f>IF(ISBLANK('ENGAGEMENTS 2026'!B895),"",'ENGAGEMENTS 2026'!I895)</f>
        <v/>
      </c>
      <c r="G895">
        <f>IF(ISBLANK('ENGAGEMENTS 2026'!B895),"",'ENGAGEMENTS 2026'!L895)</f>
        <v/>
      </c>
      <c r="H895">
        <f>IF(ISBLANK('ENGAGEMENTS 2026'!B895),"",'ENGAGEMENTS 2026'!AE895)</f>
        <v/>
      </c>
      <c r="I895">
        <f>IF(ISBLANK('ENGAGEMENTS 2026'!B895),"",'ENGAGEMENTS 2026'!G895)</f>
        <v/>
      </c>
      <c r="J895" s="275">
        <f>IF(ISBLANK('ENGAGEMENTS 2026'!B895),"",IF(AND(OR($E895="INFRUCTUEUX",$E895="ANNULE"),$C895="AOO-M"),'ENGAGEMENTS 2026'!O895,IF($H895="EN COURS DE PREENGAGEMENT",'ENGAGEMENTS 2026'!N895,IF($H895="PREENGAGE",IF($E895="ATTRIBUE",'ENGAGEMENTS 2026'!AD895,'ENGAGEMENTS 2026'!N895),'ENGAGEMENTS 2026'!AD895))))</f>
        <v/>
      </c>
      <c r="K895" s="604">
        <f>IF(ISBLANK('ENGAGEMENTS 2026'!V895),"",'ENGAGEMENTS 2026'!V895)</f>
        <v/>
      </c>
      <c r="L895" s="276">
        <f>IF($K895="","",TODAY()-$K895)</f>
        <v/>
      </c>
      <c r="M895">
        <f>IF($A895="","",IF($H895="ENGAGE","Engagé",IF(AND($H895="NON ENGAGE",OR($I895="INFRUCTUEUX",$I895="ANNULE")),"Clôturé sans suite","En cours")))</f>
        <v/>
      </c>
      <c r="N895">
        <f>IF(ISBLANK('ENGAGEMENTS 2026'!B895),"",'ENGAGEMENTS 2026'!K895)</f>
        <v/>
      </c>
      <c r="O895">
        <f>IF(ISBLANK('ENGAGEMENTS 2026'!B895),"",'ENGAGEMENTS 2026'!L895)</f>
        <v/>
      </c>
      <c r="P895">
        <f>IF(ISBLANK('ENGAGEMENTS 2026'!B895),"",'ENGAGEMENTS 2026'!J895)</f>
        <v/>
      </c>
      <c r="Q895">
        <f>IF($A895="","",IF(OR($E895="INFRUCTUEUX",$E895="ANNULE"),$A895&amp;"|"&amp;(COUNTIFS($A$2:$A895,$A895,$E$2:$E895,"INFRUCTUEUX")+COUNTIFS($A$2:$A895,$A895,$E$2:$E895,"ANNULE")),""))</f>
        <v/>
      </c>
    </row>
    <row r="896">
      <c r="A896">
        <f>IF(ISBLANK('ENGAGEMENTS 2026'!B896),"",IF('ENGAGEMENTS 2026'!B896="DTSI","DCT",'ENGAGEMENTS 2026'!B896))</f>
        <v/>
      </c>
      <c r="B896">
        <f>IF(ISBLANK('ENGAGEMENTS 2026'!B896),"",'ENGAGEMENTS 2026'!C896)</f>
        <v/>
      </c>
      <c r="C896">
        <f>IF(ISBLANK('ENGAGEMENTS 2026'!B896),"",'ENGAGEMENTS 2026'!D896)</f>
        <v/>
      </c>
      <c r="D896">
        <f>IF(ISBLANK('ENGAGEMENTS 2026'!B896),"",'ENGAGEMENTS 2026'!F896)</f>
        <v/>
      </c>
      <c r="E896">
        <f>IF(ISBLANK('ENGAGEMENTS 2026'!B896),"",'ENGAGEMENTS 2026'!H896)</f>
        <v/>
      </c>
      <c r="F896">
        <f>IF(ISBLANK('ENGAGEMENTS 2026'!B896),"",'ENGAGEMENTS 2026'!I896)</f>
        <v/>
      </c>
      <c r="G896">
        <f>IF(ISBLANK('ENGAGEMENTS 2026'!B896),"",'ENGAGEMENTS 2026'!L896)</f>
        <v/>
      </c>
      <c r="H896">
        <f>IF(ISBLANK('ENGAGEMENTS 2026'!B896),"",'ENGAGEMENTS 2026'!AE896)</f>
        <v/>
      </c>
      <c r="I896">
        <f>IF(ISBLANK('ENGAGEMENTS 2026'!B896),"",'ENGAGEMENTS 2026'!G896)</f>
        <v/>
      </c>
      <c r="J896" s="275">
        <f>IF(ISBLANK('ENGAGEMENTS 2026'!B896),"",IF(AND(OR($E896="INFRUCTUEUX",$E896="ANNULE"),$C896="AOO-M"),'ENGAGEMENTS 2026'!O896,IF($H896="EN COURS DE PREENGAGEMENT",'ENGAGEMENTS 2026'!N896,IF($H896="PREENGAGE",IF($E896="ATTRIBUE",'ENGAGEMENTS 2026'!AD896,'ENGAGEMENTS 2026'!N896),'ENGAGEMENTS 2026'!AD896))))</f>
        <v/>
      </c>
      <c r="K896" s="604">
        <f>IF(ISBLANK('ENGAGEMENTS 2026'!V896),"",'ENGAGEMENTS 2026'!V896)</f>
        <v/>
      </c>
      <c r="L896" s="276">
        <f>IF($K896="","",TODAY()-$K896)</f>
        <v/>
      </c>
      <c r="M896">
        <f>IF($A896="","",IF($H896="ENGAGE","Engagé",IF(AND($H896="NON ENGAGE",OR($I896="INFRUCTUEUX",$I896="ANNULE")),"Clôturé sans suite","En cours")))</f>
        <v/>
      </c>
      <c r="N896">
        <f>IF(ISBLANK('ENGAGEMENTS 2026'!B896),"",'ENGAGEMENTS 2026'!K896)</f>
        <v/>
      </c>
      <c r="O896">
        <f>IF(ISBLANK('ENGAGEMENTS 2026'!B896),"",'ENGAGEMENTS 2026'!L896)</f>
        <v/>
      </c>
      <c r="P896">
        <f>IF(ISBLANK('ENGAGEMENTS 2026'!B896),"",'ENGAGEMENTS 2026'!J896)</f>
        <v/>
      </c>
      <c r="Q896">
        <f>IF($A896="","",IF(OR($E896="INFRUCTUEUX",$E896="ANNULE"),$A896&amp;"|"&amp;(COUNTIFS($A$2:$A896,$A896,$E$2:$E896,"INFRUCTUEUX")+COUNTIFS($A$2:$A896,$A896,$E$2:$E896,"ANNULE")),""))</f>
        <v/>
      </c>
    </row>
    <row r="897">
      <c r="A897">
        <f>IF(ISBLANK('ENGAGEMENTS 2026'!B897),"",IF('ENGAGEMENTS 2026'!B897="DTSI","DCT",'ENGAGEMENTS 2026'!B897))</f>
        <v/>
      </c>
      <c r="B897">
        <f>IF(ISBLANK('ENGAGEMENTS 2026'!B897),"",'ENGAGEMENTS 2026'!C897)</f>
        <v/>
      </c>
      <c r="C897">
        <f>IF(ISBLANK('ENGAGEMENTS 2026'!B897),"",'ENGAGEMENTS 2026'!D897)</f>
        <v/>
      </c>
      <c r="D897">
        <f>IF(ISBLANK('ENGAGEMENTS 2026'!B897),"",'ENGAGEMENTS 2026'!F897)</f>
        <v/>
      </c>
      <c r="E897">
        <f>IF(ISBLANK('ENGAGEMENTS 2026'!B897),"",'ENGAGEMENTS 2026'!H897)</f>
        <v/>
      </c>
      <c r="F897">
        <f>IF(ISBLANK('ENGAGEMENTS 2026'!B897),"",'ENGAGEMENTS 2026'!I897)</f>
        <v/>
      </c>
      <c r="G897">
        <f>IF(ISBLANK('ENGAGEMENTS 2026'!B897),"",'ENGAGEMENTS 2026'!L897)</f>
        <v/>
      </c>
      <c r="H897">
        <f>IF(ISBLANK('ENGAGEMENTS 2026'!B897),"",'ENGAGEMENTS 2026'!AE897)</f>
        <v/>
      </c>
      <c r="I897">
        <f>IF(ISBLANK('ENGAGEMENTS 2026'!B897),"",'ENGAGEMENTS 2026'!G897)</f>
        <v/>
      </c>
      <c r="J897" s="275">
        <f>IF(ISBLANK('ENGAGEMENTS 2026'!B897),"",IF(AND(OR($E897="INFRUCTUEUX",$E897="ANNULE"),$C897="AOO-M"),'ENGAGEMENTS 2026'!O897,IF($H897="EN COURS DE PREENGAGEMENT",'ENGAGEMENTS 2026'!N897,IF($H897="PREENGAGE",IF($E897="ATTRIBUE",'ENGAGEMENTS 2026'!AD897,'ENGAGEMENTS 2026'!N897),'ENGAGEMENTS 2026'!AD897))))</f>
        <v/>
      </c>
      <c r="K897" s="604">
        <f>IF(ISBLANK('ENGAGEMENTS 2026'!V897),"",'ENGAGEMENTS 2026'!V897)</f>
        <v/>
      </c>
      <c r="L897" s="276">
        <f>IF($K897="","",TODAY()-$K897)</f>
        <v/>
      </c>
      <c r="M897">
        <f>IF($A897="","",IF($H897="ENGAGE","Engagé",IF(AND($H897="NON ENGAGE",OR($I897="INFRUCTUEUX",$I897="ANNULE")),"Clôturé sans suite","En cours")))</f>
        <v/>
      </c>
      <c r="N897">
        <f>IF(ISBLANK('ENGAGEMENTS 2026'!B897),"",'ENGAGEMENTS 2026'!K897)</f>
        <v/>
      </c>
      <c r="O897">
        <f>IF(ISBLANK('ENGAGEMENTS 2026'!B897),"",'ENGAGEMENTS 2026'!L897)</f>
        <v/>
      </c>
      <c r="P897">
        <f>IF(ISBLANK('ENGAGEMENTS 2026'!B897),"",'ENGAGEMENTS 2026'!J897)</f>
        <v/>
      </c>
      <c r="Q897">
        <f>IF($A897="","",IF(OR($E897="INFRUCTUEUX",$E897="ANNULE"),$A897&amp;"|"&amp;(COUNTIFS($A$2:$A897,$A897,$E$2:$E897,"INFRUCTUEUX")+COUNTIFS($A$2:$A897,$A897,$E$2:$E897,"ANNULE")),""))</f>
        <v/>
      </c>
    </row>
    <row r="898">
      <c r="A898">
        <f>IF(ISBLANK('ENGAGEMENTS 2026'!B898),"",IF('ENGAGEMENTS 2026'!B898="DTSI","DCT",'ENGAGEMENTS 2026'!B898))</f>
        <v/>
      </c>
      <c r="B898">
        <f>IF(ISBLANK('ENGAGEMENTS 2026'!B898),"",'ENGAGEMENTS 2026'!C898)</f>
        <v/>
      </c>
      <c r="C898">
        <f>IF(ISBLANK('ENGAGEMENTS 2026'!B898),"",'ENGAGEMENTS 2026'!D898)</f>
        <v/>
      </c>
      <c r="D898">
        <f>IF(ISBLANK('ENGAGEMENTS 2026'!B898),"",'ENGAGEMENTS 2026'!F898)</f>
        <v/>
      </c>
      <c r="E898">
        <f>IF(ISBLANK('ENGAGEMENTS 2026'!B898),"",'ENGAGEMENTS 2026'!H898)</f>
        <v/>
      </c>
      <c r="F898">
        <f>IF(ISBLANK('ENGAGEMENTS 2026'!B898),"",'ENGAGEMENTS 2026'!I898)</f>
        <v/>
      </c>
      <c r="G898">
        <f>IF(ISBLANK('ENGAGEMENTS 2026'!B898),"",'ENGAGEMENTS 2026'!L898)</f>
        <v/>
      </c>
      <c r="H898">
        <f>IF(ISBLANK('ENGAGEMENTS 2026'!B898),"",'ENGAGEMENTS 2026'!AE898)</f>
        <v/>
      </c>
      <c r="I898">
        <f>IF(ISBLANK('ENGAGEMENTS 2026'!B898),"",'ENGAGEMENTS 2026'!G898)</f>
        <v/>
      </c>
      <c r="J898" s="275">
        <f>IF(ISBLANK('ENGAGEMENTS 2026'!B898),"",IF(AND(OR($E898="INFRUCTUEUX",$E898="ANNULE"),$C898="AOO-M"),'ENGAGEMENTS 2026'!O898,IF($H898="EN COURS DE PREENGAGEMENT",'ENGAGEMENTS 2026'!N898,IF($H898="PREENGAGE",IF($E898="ATTRIBUE",'ENGAGEMENTS 2026'!AD898,'ENGAGEMENTS 2026'!N898),'ENGAGEMENTS 2026'!AD898))))</f>
        <v/>
      </c>
      <c r="K898" s="604">
        <f>IF(ISBLANK('ENGAGEMENTS 2026'!V898),"",'ENGAGEMENTS 2026'!V898)</f>
        <v/>
      </c>
      <c r="L898" s="276">
        <f>IF($K898="","",TODAY()-$K898)</f>
        <v/>
      </c>
      <c r="M898">
        <f>IF($A898="","",IF($H898="ENGAGE","Engagé",IF(AND($H898="NON ENGAGE",OR($I898="INFRUCTUEUX",$I898="ANNULE")),"Clôturé sans suite","En cours")))</f>
        <v/>
      </c>
      <c r="N898">
        <f>IF(ISBLANK('ENGAGEMENTS 2026'!B898),"",'ENGAGEMENTS 2026'!K898)</f>
        <v/>
      </c>
      <c r="O898">
        <f>IF(ISBLANK('ENGAGEMENTS 2026'!B898),"",'ENGAGEMENTS 2026'!L898)</f>
        <v/>
      </c>
      <c r="P898">
        <f>IF(ISBLANK('ENGAGEMENTS 2026'!B898),"",'ENGAGEMENTS 2026'!J898)</f>
        <v/>
      </c>
      <c r="Q898">
        <f>IF($A898="","",IF(OR($E898="INFRUCTUEUX",$E898="ANNULE"),$A898&amp;"|"&amp;(COUNTIFS($A$2:$A898,$A898,$E$2:$E898,"INFRUCTUEUX")+COUNTIFS($A$2:$A898,$A898,$E$2:$E898,"ANNULE")),""))</f>
        <v/>
      </c>
    </row>
    <row r="899">
      <c r="A899">
        <f>IF(ISBLANK('ENGAGEMENTS 2026'!B899),"",IF('ENGAGEMENTS 2026'!B899="DTSI","DCT",'ENGAGEMENTS 2026'!B899))</f>
        <v/>
      </c>
      <c r="B899">
        <f>IF(ISBLANK('ENGAGEMENTS 2026'!B899),"",'ENGAGEMENTS 2026'!C899)</f>
        <v/>
      </c>
      <c r="C899">
        <f>IF(ISBLANK('ENGAGEMENTS 2026'!B899),"",'ENGAGEMENTS 2026'!D899)</f>
        <v/>
      </c>
      <c r="D899">
        <f>IF(ISBLANK('ENGAGEMENTS 2026'!B899),"",'ENGAGEMENTS 2026'!F899)</f>
        <v/>
      </c>
      <c r="E899">
        <f>IF(ISBLANK('ENGAGEMENTS 2026'!B899),"",'ENGAGEMENTS 2026'!H899)</f>
        <v/>
      </c>
      <c r="F899">
        <f>IF(ISBLANK('ENGAGEMENTS 2026'!B899),"",'ENGAGEMENTS 2026'!I899)</f>
        <v/>
      </c>
      <c r="G899">
        <f>IF(ISBLANK('ENGAGEMENTS 2026'!B899),"",'ENGAGEMENTS 2026'!L899)</f>
        <v/>
      </c>
      <c r="H899">
        <f>IF(ISBLANK('ENGAGEMENTS 2026'!B899),"",'ENGAGEMENTS 2026'!AE899)</f>
        <v/>
      </c>
      <c r="I899">
        <f>IF(ISBLANK('ENGAGEMENTS 2026'!B899),"",'ENGAGEMENTS 2026'!G899)</f>
        <v/>
      </c>
      <c r="J899" s="275">
        <f>IF(ISBLANK('ENGAGEMENTS 2026'!B899),"",IF(AND(OR($E899="INFRUCTUEUX",$E899="ANNULE"),$C899="AOO-M"),'ENGAGEMENTS 2026'!O899,IF($H899="EN COURS DE PREENGAGEMENT",'ENGAGEMENTS 2026'!N899,IF($H899="PREENGAGE",IF($E899="ATTRIBUE",'ENGAGEMENTS 2026'!AD899,'ENGAGEMENTS 2026'!N899),'ENGAGEMENTS 2026'!AD899))))</f>
        <v/>
      </c>
      <c r="K899" s="604">
        <f>IF(ISBLANK('ENGAGEMENTS 2026'!V899),"",'ENGAGEMENTS 2026'!V899)</f>
        <v/>
      </c>
      <c r="L899" s="276">
        <f>IF($K899="","",TODAY()-$K899)</f>
        <v/>
      </c>
      <c r="M899">
        <f>IF($A899="","",IF($H899="ENGAGE","Engagé",IF(AND($H899="NON ENGAGE",OR($I899="INFRUCTUEUX",$I899="ANNULE")),"Clôturé sans suite","En cours")))</f>
        <v/>
      </c>
      <c r="N899">
        <f>IF(ISBLANK('ENGAGEMENTS 2026'!B899),"",'ENGAGEMENTS 2026'!K899)</f>
        <v/>
      </c>
      <c r="O899">
        <f>IF(ISBLANK('ENGAGEMENTS 2026'!B899),"",'ENGAGEMENTS 2026'!L899)</f>
        <v/>
      </c>
      <c r="P899">
        <f>IF(ISBLANK('ENGAGEMENTS 2026'!B899),"",'ENGAGEMENTS 2026'!J899)</f>
        <v/>
      </c>
      <c r="Q899">
        <f>IF($A899="","",IF(OR($E899="INFRUCTUEUX",$E899="ANNULE"),$A899&amp;"|"&amp;(COUNTIFS($A$2:$A899,$A899,$E$2:$E899,"INFRUCTUEUX")+COUNTIFS($A$2:$A899,$A899,$E$2:$E899,"ANNULE")),""))</f>
        <v/>
      </c>
    </row>
    <row r="900">
      <c r="A900">
        <f>IF(ISBLANK('ENGAGEMENTS 2026'!B900),"",IF('ENGAGEMENTS 2026'!B900="DTSI","DCT",'ENGAGEMENTS 2026'!B900))</f>
        <v/>
      </c>
      <c r="B900">
        <f>IF(ISBLANK('ENGAGEMENTS 2026'!B900),"",'ENGAGEMENTS 2026'!C900)</f>
        <v/>
      </c>
      <c r="C900">
        <f>IF(ISBLANK('ENGAGEMENTS 2026'!B900),"",'ENGAGEMENTS 2026'!D900)</f>
        <v/>
      </c>
      <c r="D900">
        <f>IF(ISBLANK('ENGAGEMENTS 2026'!B900),"",'ENGAGEMENTS 2026'!F900)</f>
        <v/>
      </c>
      <c r="E900">
        <f>IF(ISBLANK('ENGAGEMENTS 2026'!B900),"",'ENGAGEMENTS 2026'!H900)</f>
        <v/>
      </c>
      <c r="F900">
        <f>IF(ISBLANK('ENGAGEMENTS 2026'!B900),"",'ENGAGEMENTS 2026'!I900)</f>
        <v/>
      </c>
      <c r="G900">
        <f>IF(ISBLANK('ENGAGEMENTS 2026'!B900),"",'ENGAGEMENTS 2026'!L900)</f>
        <v/>
      </c>
      <c r="H900">
        <f>IF(ISBLANK('ENGAGEMENTS 2026'!B900),"",'ENGAGEMENTS 2026'!AE900)</f>
        <v/>
      </c>
      <c r="I900">
        <f>IF(ISBLANK('ENGAGEMENTS 2026'!B900),"",'ENGAGEMENTS 2026'!G900)</f>
        <v/>
      </c>
      <c r="J900" s="275">
        <f>IF(ISBLANK('ENGAGEMENTS 2026'!B900),"",IF(AND(OR($E900="INFRUCTUEUX",$E900="ANNULE"),$C900="AOO-M"),'ENGAGEMENTS 2026'!O900,IF($H900="EN COURS DE PREENGAGEMENT",'ENGAGEMENTS 2026'!N900,IF($H900="PREENGAGE",IF($E900="ATTRIBUE",'ENGAGEMENTS 2026'!AD900,'ENGAGEMENTS 2026'!N900),'ENGAGEMENTS 2026'!AD900))))</f>
        <v/>
      </c>
      <c r="K900" s="604">
        <f>IF(ISBLANK('ENGAGEMENTS 2026'!V900),"",'ENGAGEMENTS 2026'!V900)</f>
        <v/>
      </c>
      <c r="L900" s="276">
        <f>IF($K900="","",TODAY()-$K900)</f>
        <v/>
      </c>
      <c r="M900">
        <f>IF($A900="","",IF($H900="ENGAGE","Engagé",IF(AND($H900="NON ENGAGE",OR($I900="INFRUCTUEUX",$I900="ANNULE")),"Clôturé sans suite","En cours")))</f>
        <v/>
      </c>
      <c r="N900">
        <f>IF(ISBLANK('ENGAGEMENTS 2026'!B900),"",'ENGAGEMENTS 2026'!K900)</f>
        <v/>
      </c>
      <c r="O900">
        <f>IF(ISBLANK('ENGAGEMENTS 2026'!B900),"",'ENGAGEMENTS 2026'!L900)</f>
        <v/>
      </c>
      <c r="P900">
        <f>IF(ISBLANK('ENGAGEMENTS 2026'!B900),"",'ENGAGEMENTS 2026'!J900)</f>
        <v/>
      </c>
      <c r="Q900">
        <f>IF($A900="","",IF(OR($E900="INFRUCTUEUX",$E900="ANNULE"),$A900&amp;"|"&amp;(COUNTIFS($A$2:$A900,$A900,$E$2:$E900,"INFRUCTUEUX")+COUNTIFS($A$2:$A900,$A900,$E$2:$E900,"ANNULE")),""))</f>
        <v/>
      </c>
    </row>
    <row r="901">
      <c r="A901">
        <f>IF(ISBLANK('ENGAGEMENTS 2026'!B901),"",IF('ENGAGEMENTS 2026'!B901="DTSI","DCT",'ENGAGEMENTS 2026'!B901))</f>
        <v/>
      </c>
      <c r="B901">
        <f>IF(ISBLANK('ENGAGEMENTS 2026'!B901),"",'ENGAGEMENTS 2026'!C901)</f>
        <v/>
      </c>
      <c r="C901">
        <f>IF(ISBLANK('ENGAGEMENTS 2026'!B901),"",'ENGAGEMENTS 2026'!D901)</f>
        <v/>
      </c>
      <c r="D901">
        <f>IF(ISBLANK('ENGAGEMENTS 2026'!B901),"",'ENGAGEMENTS 2026'!F901)</f>
        <v/>
      </c>
      <c r="E901">
        <f>IF(ISBLANK('ENGAGEMENTS 2026'!B901),"",'ENGAGEMENTS 2026'!H901)</f>
        <v/>
      </c>
      <c r="F901">
        <f>IF(ISBLANK('ENGAGEMENTS 2026'!B901),"",'ENGAGEMENTS 2026'!I901)</f>
        <v/>
      </c>
      <c r="G901">
        <f>IF(ISBLANK('ENGAGEMENTS 2026'!B901),"",'ENGAGEMENTS 2026'!L901)</f>
        <v/>
      </c>
      <c r="H901">
        <f>IF(ISBLANK('ENGAGEMENTS 2026'!B901),"",'ENGAGEMENTS 2026'!AE901)</f>
        <v/>
      </c>
      <c r="I901">
        <f>IF(ISBLANK('ENGAGEMENTS 2026'!B901),"",'ENGAGEMENTS 2026'!G901)</f>
        <v/>
      </c>
      <c r="J901" s="275">
        <f>IF(ISBLANK('ENGAGEMENTS 2026'!B901),"",IF(AND(OR($E901="INFRUCTUEUX",$E901="ANNULE"),$C901="AOO-M"),'ENGAGEMENTS 2026'!O901,IF($H901="EN COURS DE PREENGAGEMENT",'ENGAGEMENTS 2026'!N901,IF($H901="PREENGAGE",IF($E901="ATTRIBUE",'ENGAGEMENTS 2026'!AD901,'ENGAGEMENTS 2026'!N901),'ENGAGEMENTS 2026'!AD901))))</f>
        <v/>
      </c>
      <c r="K901" s="604">
        <f>IF(ISBLANK('ENGAGEMENTS 2026'!V901),"",'ENGAGEMENTS 2026'!V901)</f>
        <v/>
      </c>
      <c r="L901" s="276">
        <f>IF($K901="","",TODAY()-$K901)</f>
        <v/>
      </c>
      <c r="M901">
        <f>IF($A901="","",IF($H901="ENGAGE","Engagé",IF(AND($H901="NON ENGAGE",OR($I901="INFRUCTUEUX",$I901="ANNULE")),"Clôturé sans suite","En cours")))</f>
        <v/>
      </c>
      <c r="N901">
        <f>IF(ISBLANK('ENGAGEMENTS 2026'!B901),"",'ENGAGEMENTS 2026'!K901)</f>
        <v/>
      </c>
      <c r="O901">
        <f>IF(ISBLANK('ENGAGEMENTS 2026'!B901),"",'ENGAGEMENTS 2026'!L901)</f>
        <v/>
      </c>
      <c r="P901">
        <f>IF(ISBLANK('ENGAGEMENTS 2026'!B901),"",'ENGAGEMENTS 2026'!J901)</f>
        <v/>
      </c>
      <c r="Q901">
        <f>IF($A901="","",IF(OR($E901="INFRUCTUEUX",$E901="ANNULE"),$A901&amp;"|"&amp;(COUNTIFS($A$2:$A901,$A901,$E$2:$E901,"INFRUCTUEUX")+COUNTIFS($A$2:$A901,$A901,$E$2:$E901,"ANNULE")),""))</f>
        <v/>
      </c>
    </row>
    <row r="902">
      <c r="A902">
        <f>IF(ISBLANK('ENGAGEMENTS 2026'!B902),"",IF('ENGAGEMENTS 2026'!B902="DTSI","DCT",'ENGAGEMENTS 2026'!B902))</f>
        <v/>
      </c>
      <c r="B902">
        <f>IF(ISBLANK('ENGAGEMENTS 2026'!B902),"",'ENGAGEMENTS 2026'!C902)</f>
        <v/>
      </c>
      <c r="C902">
        <f>IF(ISBLANK('ENGAGEMENTS 2026'!B902),"",'ENGAGEMENTS 2026'!D902)</f>
        <v/>
      </c>
      <c r="D902">
        <f>IF(ISBLANK('ENGAGEMENTS 2026'!B902),"",'ENGAGEMENTS 2026'!F902)</f>
        <v/>
      </c>
      <c r="E902">
        <f>IF(ISBLANK('ENGAGEMENTS 2026'!B902),"",'ENGAGEMENTS 2026'!H902)</f>
        <v/>
      </c>
      <c r="F902">
        <f>IF(ISBLANK('ENGAGEMENTS 2026'!B902),"",'ENGAGEMENTS 2026'!I902)</f>
        <v/>
      </c>
      <c r="G902">
        <f>IF(ISBLANK('ENGAGEMENTS 2026'!B902),"",'ENGAGEMENTS 2026'!L902)</f>
        <v/>
      </c>
      <c r="H902">
        <f>IF(ISBLANK('ENGAGEMENTS 2026'!B902),"",'ENGAGEMENTS 2026'!AE902)</f>
        <v/>
      </c>
      <c r="I902">
        <f>IF(ISBLANK('ENGAGEMENTS 2026'!B902),"",'ENGAGEMENTS 2026'!G902)</f>
        <v/>
      </c>
      <c r="J902" s="275">
        <f>IF(ISBLANK('ENGAGEMENTS 2026'!B902),"",IF(AND(OR($E902="INFRUCTUEUX",$E902="ANNULE"),$C902="AOO-M"),'ENGAGEMENTS 2026'!O902,IF($H902="EN COURS DE PREENGAGEMENT",'ENGAGEMENTS 2026'!N902,IF($H902="PREENGAGE",IF($E902="ATTRIBUE",'ENGAGEMENTS 2026'!AD902,'ENGAGEMENTS 2026'!N902),'ENGAGEMENTS 2026'!AD902))))</f>
        <v/>
      </c>
      <c r="K902" s="604">
        <f>IF(ISBLANK('ENGAGEMENTS 2026'!V902),"",'ENGAGEMENTS 2026'!V902)</f>
        <v/>
      </c>
      <c r="L902" s="276">
        <f>IF($K902="","",TODAY()-$K902)</f>
        <v/>
      </c>
      <c r="M902">
        <f>IF($A902="","",IF($H902="ENGAGE","Engagé",IF(AND($H902="NON ENGAGE",OR($I902="INFRUCTUEUX",$I902="ANNULE")),"Clôturé sans suite","En cours")))</f>
        <v/>
      </c>
      <c r="N902">
        <f>IF(ISBLANK('ENGAGEMENTS 2026'!B902),"",'ENGAGEMENTS 2026'!K902)</f>
        <v/>
      </c>
      <c r="O902">
        <f>IF(ISBLANK('ENGAGEMENTS 2026'!B902),"",'ENGAGEMENTS 2026'!L902)</f>
        <v/>
      </c>
      <c r="P902">
        <f>IF(ISBLANK('ENGAGEMENTS 2026'!B902),"",'ENGAGEMENTS 2026'!J902)</f>
        <v/>
      </c>
      <c r="Q902">
        <f>IF($A902="","",IF(OR($E902="INFRUCTUEUX",$E902="ANNULE"),$A902&amp;"|"&amp;(COUNTIFS($A$2:$A902,$A902,$E$2:$E902,"INFRUCTUEUX")+COUNTIFS($A$2:$A902,$A902,$E$2:$E902,"ANNULE")),""))</f>
        <v/>
      </c>
    </row>
    <row r="903">
      <c r="A903">
        <f>IF(ISBLANK('ENGAGEMENTS 2026'!B903),"",IF('ENGAGEMENTS 2026'!B903="DTSI","DCT",'ENGAGEMENTS 2026'!B903))</f>
        <v/>
      </c>
      <c r="B903">
        <f>IF(ISBLANK('ENGAGEMENTS 2026'!B903),"",'ENGAGEMENTS 2026'!C903)</f>
        <v/>
      </c>
      <c r="C903">
        <f>IF(ISBLANK('ENGAGEMENTS 2026'!B903),"",'ENGAGEMENTS 2026'!D903)</f>
        <v/>
      </c>
      <c r="D903">
        <f>IF(ISBLANK('ENGAGEMENTS 2026'!B903),"",'ENGAGEMENTS 2026'!F903)</f>
        <v/>
      </c>
      <c r="E903">
        <f>IF(ISBLANK('ENGAGEMENTS 2026'!B903),"",'ENGAGEMENTS 2026'!H903)</f>
        <v/>
      </c>
      <c r="F903">
        <f>IF(ISBLANK('ENGAGEMENTS 2026'!B903),"",'ENGAGEMENTS 2026'!I903)</f>
        <v/>
      </c>
      <c r="G903">
        <f>IF(ISBLANK('ENGAGEMENTS 2026'!B903),"",'ENGAGEMENTS 2026'!L903)</f>
        <v/>
      </c>
      <c r="H903">
        <f>IF(ISBLANK('ENGAGEMENTS 2026'!B903),"",'ENGAGEMENTS 2026'!AE903)</f>
        <v/>
      </c>
      <c r="I903">
        <f>IF(ISBLANK('ENGAGEMENTS 2026'!B903),"",'ENGAGEMENTS 2026'!G903)</f>
        <v/>
      </c>
      <c r="J903" s="275">
        <f>IF(ISBLANK('ENGAGEMENTS 2026'!B903),"",IF(AND(OR($E903="INFRUCTUEUX",$E903="ANNULE"),$C903="AOO-M"),'ENGAGEMENTS 2026'!O903,IF($H903="EN COURS DE PREENGAGEMENT",'ENGAGEMENTS 2026'!N903,IF($H903="PREENGAGE",IF($E903="ATTRIBUE",'ENGAGEMENTS 2026'!AD903,'ENGAGEMENTS 2026'!N903),'ENGAGEMENTS 2026'!AD903))))</f>
        <v/>
      </c>
      <c r="K903" s="604">
        <f>IF(ISBLANK('ENGAGEMENTS 2026'!V903),"",'ENGAGEMENTS 2026'!V903)</f>
        <v/>
      </c>
      <c r="L903" s="276">
        <f>IF($K903="","",TODAY()-$K903)</f>
        <v/>
      </c>
      <c r="M903">
        <f>IF($A903="","",IF($H903="ENGAGE","Engagé",IF(AND($H903="NON ENGAGE",OR($I903="INFRUCTUEUX",$I903="ANNULE")),"Clôturé sans suite","En cours")))</f>
        <v/>
      </c>
      <c r="N903">
        <f>IF(ISBLANK('ENGAGEMENTS 2026'!B903),"",'ENGAGEMENTS 2026'!K903)</f>
        <v/>
      </c>
      <c r="O903">
        <f>IF(ISBLANK('ENGAGEMENTS 2026'!B903),"",'ENGAGEMENTS 2026'!L903)</f>
        <v/>
      </c>
      <c r="P903">
        <f>IF(ISBLANK('ENGAGEMENTS 2026'!B903),"",'ENGAGEMENTS 2026'!J903)</f>
        <v/>
      </c>
      <c r="Q903">
        <f>IF($A903="","",IF(OR($E903="INFRUCTUEUX",$E903="ANNULE"),$A903&amp;"|"&amp;(COUNTIFS($A$2:$A903,$A903,$E$2:$E903,"INFRUCTUEUX")+COUNTIFS($A$2:$A903,$A903,$E$2:$E903,"ANNULE")),""))</f>
        <v/>
      </c>
    </row>
    <row r="904">
      <c r="A904">
        <f>IF(ISBLANK('ENGAGEMENTS 2026'!B904),"",IF('ENGAGEMENTS 2026'!B904="DTSI","DCT",'ENGAGEMENTS 2026'!B904))</f>
        <v/>
      </c>
      <c r="B904">
        <f>IF(ISBLANK('ENGAGEMENTS 2026'!B904),"",'ENGAGEMENTS 2026'!C904)</f>
        <v/>
      </c>
      <c r="C904">
        <f>IF(ISBLANK('ENGAGEMENTS 2026'!B904),"",'ENGAGEMENTS 2026'!D904)</f>
        <v/>
      </c>
      <c r="D904">
        <f>IF(ISBLANK('ENGAGEMENTS 2026'!B904),"",'ENGAGEMENTS 2026'!F904)</f>
        <v/>
      </c>
      <c r="E904">
        <f>IF(ISBLANK('ENGAGEMENTS 2026'!B904),"",'ENGAGEMENTS 2026'!H904)</f>
        <v/>
      </c>
      <c r="F904">
        <f>IF(ISBLANK('ENGAGEMENTS 2026'!B904),"",'ENGAGEMENTS 2026'!I904)</f>
        <v/>
      </c>
      <c r="G904">
        <f>IF(ISBLANK('ENGAGEMENTS 2026'!B904),"",'ENGAGEMENTS 2026'!L904)</f>
        <v/>
      </c>
      <c r="H904">
        <f>IF(ISBLANK('ENGAGEMENTS 2026'!B904),"",'ENGAGEMENTS 2026'!AE904)</f>
        <v/>
      </c>
      <c r="I904">
        <f>IF(ISBLANK('ENGAGEMENTS 2026'!B904),"",'ENGAGEMENTS 2026'!G904)</f>
        <v/>
      </c>
      <c r="J904" s="275">
        <f>IF(ISBLANK('ENGAGEMENTS 2026'!B904),"",IF(AND(OR($E904="INFRUCTUEUX",$E904="ANNULE"),$C904="AOO-M"),'ENGAGEMENTS 2026'!O904,IF($H904="EN COURS DE PREENGAGEMENT",'ENGAGEMENTS 2026'!N904,IF($H904="PREENGAGE",IF($E904="ATTRIBUE",'ENGAGEMENTS 2026'!AD904,'ENGAGEMENTS 2026'!N904),'ENGAGEMENTS 2026'!AD904))))</f>
        <v/>
      </c>
      <c r="K904" s="604">
        <f>IF(ISBLANK('ENGAGEMENTS 2026'!V904),"",'ENGAGEMENTS 2026'!V904)</f>
        <v/>
      </c>
      <c r="L904" s="276">
        <f>IF($K904="","",TODAY()-$K904)</f>
        <v/>
      </c>
      <c r="M904">
        <f>IF($A904="","",IF($H904="ENGAGE","Engagé",IF(AND($H904="NON ENGAGE",OR($I904="INFRUCTUEUX",$I904="ANNULE")),"Clôturé sans suite","En cours")))</f>
        <v/>
      </c>
      <c r="N904">
        <f>IF(ISBLANK('ENGAGEMENTS 2026'!B904),"",'ENGAGEMENTS 2026'!K904)</f>
        <v/>
      </c>
      <c r="O904">
        <f>IF(ISBLANK('ENGAGEMENTS 2026'!B904),"",'ENGAGEMENTS 2026'!L904)</f>
        <v/>
      </c>
      <c r="P904">
        <f>IF(ISBLANK('ENGAGEMENTS 2026'!B904),"",'ENGAGEMENTS 2026'!J904)</f>
        <v/>
      </c>
      <c r="Q904">
        <f>IF($A904="","",IF(OR($E904="INFRUCTUEUX",$E904="ANNULE"),$A904&amp;"|"&amp;(COUNTIFS($A$2:$A904,$A904,$E$2:$E904,"INFRUCTUEUX")+COUNTIFS($A$2:$A904,$A904,$E$2:$E904,"ANNULE")),""))</f>
        <v/>
      </c>
    </row>
    <row r="905">
      <c r="A905">
        <f>IF(ISBLANK('ENGAGEMENTS 2026'!B905),"",IF('ENGAGEMENTS 2026'!B905="DTSI","DCT",'ENGAGEMENTS 2026'!B905))</f>
        <v/>
      </c>
      <c r="B905">
        <f>IF(ISBLANK('ENGAGEMENTS 2026'!B905),"",'ENGAGEMENTS 2026'!C905)</f>
        <v/>
      </c>
      <c r="C905">
        <f>IF(ISBLANK('ENGAGEMENTS 2026'!B905),"",'ENGAGEMENTS 2026'!D905)</f>
        <v/>
      </c>
      <c r="D905">
        <f>IF(ISBLANK('ENGAGEMENTS 2026'!B905),"",'ENGAGEMENTS 2026'!F905)</f>
        <v/>
      </c>
      <c r="E905">
        <f>IF(ISBLANK('ENGAGEMENTS 2026'!B905),"",'ENGAGEMENTS 2026'!H905)</f>
        <v/>
      </c>
      <c r="F905">
        <f>IF(ISBLANK('ENGAGEMENTS 2026'!B905),"",'ENGAGEMENTS 2026'!I905)</f>
        <v/>
      </c>
      <c r="G905">
        <f>IF(ISBLANK('ENGAGEMENTS 2026'!B905),"",'ENGAGEMENTS 2026'!L905)</f>
        <v/>
      </c>
      <c r="H905">
        <f>IF(ISBLANK('ENGAGEMENTS 2026'!B905),"",'ENGAGEMENTS 2026'!AE905)</f>
        <v/>
      </c>
      <c r="I905">
        <f>IF(ISBLANK('ENGAGEMENTS 2026'!B905),"",'ENGAGEMENTS 2026'!G905)</f>
        <v/>
      </c>
      <c r="J905" s="275">
        <f>IF(ISBLANK('ENGAGEMENTS 2026'!B905),"",IF(AND(OR($E905="INFRUCTUEUX",$E905="ANNULE"),$C905="AOO-M"),'ENGAGEMENTS 2026'!O905,IF($H905="EN COURS DE PREENGAGEMENT",'ENGAGEMENTS 2026'!N905,IF($H905="PREENGAGE",IF($E905="ATTRIBUE",'ENGAGEMENTS 2026'!AD905,'ENGAGEMENTS 2026'!N905),'ENGAGEMENTS 2026'!AD905))))</f>
        <v/>
      </c>
      <c r="K905" s="604">
        <f>IF(ISBLANK('ENGAGEMENTS 2026'!V905),"",'ENGAGEMENTS 2026'!V905)</f>
        <v/>
      </c>
      <c r="L905" s="276">
        <f>IF($K905="","",TODAY()-$K905)</f>
        <v/>
      </c>
      <c r="M905">
        <f>IF($A905="","",IF($H905="ENGAGE","Engagé",IF(AND($H905="NON ENGAGE",OR($I905="INFRUCTUEUX",$I905="ANNULE")),"Clôturé sans suite","En cours")))</f>
        <v/>
      </c>
      <c r="N905">
        <f>IF(ISBLANK('ENGAGEMENTS 2026'!B905),"",'ENGAGEMENTS 2026'!K905)</f>
        <v/>
      </c>
      <c r="O905">
        <f>IF(ISBLANK('ENGAGEMENTS 2026'!B905),"",'ENGAGEMENTS 2026'!L905)</f>
        <v/>
      </c>
      <c r="P905">
        <f>IF(ISBLANK('ENGAGEMENTS 2026'!B905),"",'ENGAGEMENTS 2026'!J905)</f>
        <v/>
      </c>
      <c r="Q905">
        <f>IF($A905="","",IF(OR($E905="INFRUCTUEUX",$E905="ANNULE"),$A905&amp;"|"&amp;(COUNTIFS($A$2:$A905,$A905,$E$2:$E905,"INFRUCTUEUX")+COUNTIFS($A$2:$A905,$A905,$E$2:$E905,"ANNULE")),""))</f>
        <v/>
      </c>
    </row>
    <row r="906">
      <c r="A906">
        <f>IF(ISBLANK('ENGAGEMENTS 2026'!B906),"",IF('ENGAGEMENTS 2026'!B906="DTSI","DCT",'ENGAGEMENTS 2026'!B906))</f>
        <v/>
      </c>
      <c r="B906">
        <f>IF(ISBLANK('ENGAGEMENTS 2026'!B906),"",'ENGAGEMENTS 2026'!C906)</f>
        <v/>
      </c>
      <c r="C906">
        <f>IF(ISBLANK('ENGAGEMENTS 2026'!B906),"",'ENGAGEMENTS 2026'!D906)</f>
        <v/>
      </c>
      <c r="D906">
        <f>IF(ISBLANK('ENGAGEMENTS 2026'!B906),"",'ENGAGEMENTS 2026'!F906)</f>
        <v/>
      </c>
      <c r="E906">
        <f>IF(ISBLANK('ENGAGEMENTS 2026'!B906),"",'ENGAGEMENTS 2026'!H906)</f>
        <v/>
      </c>
      <c r="F906">
        <f>IF(ISBLANK('ENGAGEMENTS 2026'!B906),"",'ENGAGEMENTS 2026'!I906)</f>
        <v/>
      </c>
      <c r="G906">
        <f>IF(ISBLANK('ENGAGEMENTS 2026'!B906),"",'ENGAGEMENTS 2026'!L906)</f>
        <v/>
      </c>
      <c r="H906">
        <f>IF(ISBLANK('ENGAGEMENTS 2026'!B906),"",'ENGAGEMENTS 2026'!AE906)</f>
        <v/>
      </c>
      <c r="I906">
        <f>IF(ISBLANK('ENGAGEMENTS 2026'!B906),"",'ENGAGEMENTS 2026'!G906)</f>
        <v/>
      </c>
      <c r="J906" s="275">
        <f>IF(ISBLANK('ENGAGEMENTS 2026'!B906),"",IF(AND(OR($E906="INFRUCTUEUX",$E906="ANNULE"),$C906="AOO-M"),'ENGAGEMENTS 2026'!O906,IF($H906="EN COURS DE PREENGAGEMENT",'ENGAGEMENTS 2026'!N906,IF($H906="PREENGAGE",IF($E906="ATTRIBUE",'ENGAGEMENTS 2026'!AD906,'ENGAGEMENTS 2026'!N906),'ENGAGEMENTS 2026'!AD906))))</f>
        <v/>
      </c>
      <c r="K906" s="604">
        <f>IF(ISBLANK('ENGAGEMENTS 2026'!V906),"",'ENGAGEMENTS 2026'!V906)</f>
        <v/>
      </c>
      <c r="L906" s="276">
        <f>IF($K906="","",TODAY()-$K906)</f>
        <v/>
      </c>
      <c r="M906">
        <f>IF($A906="","",IF($H906="ENGAGE","Engagé",IF(AND($H906="NON ENGAGE",OR($I906="INFRUCTUEUX",$I906="ANNULE")),"Clôturé sans suite","En cours")))</f>
        <v/>
      </c>
      <c r="N906">
        <f>IF(ISBLANK('ENGAGEMENTS 2026'!B906),"",'ENGAGEMENTS 2026'!K906)</f>
        <v/>
      </c>
      <c r="O906">
        <f>IF(ISBLANK('ENGAGEMENTS 2026'!B906),"",'ENGAGEMENTS 2026'!L906)</f>
        <v/>
      </c>
      <c r="P906">
        <f>IF(ISBLANK('ENGAGEMENTS 2026'!B906),"",'ENGAGEMENTS 2026'!J906)</f>
        <v/>
      </c>
      <c r="Q906">
        <f>IF($A906="","",IF(OR($E906="INFRUCTUEUX",$E906="ANNULE"),$A906&amp;"|"&amp;(COUNTIFS($A$2:$A906,$A906,$E$2:$E906,"INFRUCTUEUX")+COUNTIFS($A$2:$A906,$A906,$E$2:$E906,"ANNULE")),""))</f>
        <v/>
      </c>
    </row>
    <row r="907">
      <c r="A907">
        <f>IF(ISBLANK('ENGAGEMENTS 2026'!B907),"",IF('ENGAGEMENTS 2026'!B907="DTSI","DCT",'ENGAGEMENTS 2026'!B907))</f>
        <v/>
      </c>
      <c r="B907">
        <f>IF(ISBLANK('ENGAGEMENTS 2026'!B907),"",'ENGAGEMENTS 2026'!C907)</f>
        <v/>
      </c>
      <c r="C907">
        <f>IF(ISBLANK('ENGAGEMENTS 2026'!B907),"",'ENGAGEMENTS 2026'!D907)</f>
        <v/>
      </c>
      <c r="D907">
        <f>IF(ISBLANK('ENGAGEMENTS 2026'!B907),"",'ENGAGEMENTS 2026'!F907)</f>
        <v/>
      </c>
      <c r="E907">
        <f>IF(ISBLANK('ENGAGEMENTS 2026'!B907),"",'ENGAGEMENTS 2026'!H907)</f>
        <v/>
      </c>
      <c r="F907">
        <f>IF(ISBLANK('ENGAGEMENTS 2026'!B907),"",'ENGAGEMENTS 2026'!I907)</f>
        <v/>
      </c>
      <c r="G907">
        <f>IF(ISBLANK('ENGAGEMENTS 2026'!B907),"",'ENGAGEMENTS 2026'!L907)</f>
        <v/>
      </c>
      <c r="H907">
        <f>IF(ISBLANK('ENGAGEMENTS 2026'!B907),"",'ENGAGEMENTS 2026'!AE907)</f>
        <v/>
      </c>
      <c r="I907">
        <f>IF(ISBLANK('ENGAGEMENTS 2026'!B907),"",'ENGAGEMENTS 2026'!G907)</f>
        <v/>
      </c>
      <c r="J907" s="275">
        <f>IF(ISBLANK('ENGAGEMENTS 2026'!B907),"",IF(AND(OR($E907="INFRUCTUEUX",$E907="ANNULE"),$C907="AOO-M"),'ENGAGEMENTS 2026'!O907,IF($H907="EN COURS DE PREENGAGEMENT",'ENGAGEMENTS 2026'!N907,IF($H907="PREENGAGE",IF($E907="ATTRIBUE",'ENGAGEMENTS 2026'!AD907,'ENGAGEMENTS 2026'!N907),'ENGAGEMENTS 2026'!AD907))))</f>
        <v/>
      </c>
      <c r="K907" s="604">
        <f>IF(ISBLANK('ENGAGEMENTS 2026'!V907),"",'ENGAGEMENTS 2026'!V907)</f>
        <v/>
      </c>
      <c r="L907" s="276">
        <f>IF($K907="","",TODAY()-$K907)</f>
        <v/>
      </c>
      <c r="M907">
        <f>IF($A907="","",IF($H907="ENGAGE","Engagé",IF(AND($H907="NON ENGAGE",OR($I907="INFRUCTUEUX",$I907="ANNULE")),"Clôturé sans suite","En cours")))</f>
        <v/>
      </c>
      <c r="N907">
        <f>IF(ISBLANK('ENGAGEMENTS 2026'!B907),"",'ENGAGEMENTS 2026'!K907)</f>
        <v/>
      </c>
      <c r="O907">
        <f>IF(ISBLANK('ENGAGEMENTS 2026'!B907),"",'ENGAGEMENTS 2026'!L907)</f>
        <v/>
      </c>
      <c r="P907">
        <f>IF(ISBLANK('ENGAGEMENTS 2026'!B907),"",'ENGAGEMENTS 2026'!J907)</f>
        <v/>
      </c>
      <c r="Q907">
        <f>IF($A907="","",IF(OR($E907="INFRUCTUEUX",$E907="ANNULE"),$A907&amp;"|"&amp;(COUNTIFS($A$2:$A907,$A907,$E$2:$E907,"INFRUCTUEUX")+COUNTIFS($A$2:$A907,$A907,$E$2:$E907,"ANNULE")),""))</f>
        <v/>
      </c>
    </row>
    <row r="908">
      <c r="A908">
        <f>IF(ISBLANK('ENGAGEMENTS 2026'!B908),"",IF('ENGAGEMENTS 2026'!B908="DTSI","DCT",'ENGAGEMENTS 2026'!B908))</f>
        <v/>
      </c>
      <c r="B908">
        <f>IF(ISBLANK('ENGAGEMENTS 2026'!B908),"",'ENGAGEMENTS 2026'!C908)</f>
        <v/>
      </c>
      <c r="C908">
        <f>IF(ISBLANK('ENGAGEMENTS 2026'!B908),"",'ENGAGEMENTS 2026'!D908)</f>
        <v/>
      </c>
      <c r="D908">
        <f>IF(ISBLANK('ENGAGEMENTS 2026'!B908),"",'ENGAGEMENTS 2026'!F908)</f>
        <v/>
      </c>
      <c r="E908">
        <f>IF(ISBLANK('ENGAGEMENTS 2026'!B908),"",'ENGAGEMENTS 2026'!H908)</f>
        <v/>
      </c>
      <c r="F908">
        <f>IF(ISBLANK('ENGAGEMENTS 2026'!B908),"",'ENGAGEMENTS 2026'!I908)</f>
        <v/>
      </c>
      <c r="G908">
        <f>IF(ISBLANK('ENGAGEMENTS 2026'!B908),"",'ENGAGEMENTS 2026'!L908)</f>
        <v/>
      </c>
      <c r="H908">
        <f>IF(ISBLANK('ENGAGEMENTS 2026'!B908),"",'ENGAGEMENTS 2026'!AE908)</f>
        <v/>
      </c>
      <c r="I908">
        <f>IF(ISBLANK('ENGAGEMENTS 2026'!B908),"",'ENGAGEMENTS 2026'!G908)</f>
        <v/>
      </c>
      <c r="J908" s="275">
        <f>IF(ISBLANK('ENGAGEMENTS 2026'!B908),"",IF(AND(OR($E908="INFRUCTUEUX",$E908="ANNULE"),$C908="AOO-M"),'ENGAGEMENTS 2026'!O908,IF($H908="EN COURS DE PREENGAGEMENT",'ENGAGEMENTS 2026'!N908,IF($H908="PREENGAGE",IF($E908="ATTRIBUE",'ENGAGEMENTS 2026'!AD908,'ENGAGEMENTS 2026'!N908),'ENGAGEMENTS 2026'!AD908))))</f>
        <v/>
      </c>
      <c r="K908" s="604">
        <f>IF(ISBLANK('ENGAGEMENTS 2026'!V908),"",'ENGAGEMENTS 2026'!V908)</f>
        <v/>
      </c>
      <c r="L908" s="276">
        <f>IF($K908="","",TODAY()-$K908)</f>
        <v/>
      </c>
      <c r="M908">
        <f>IF($A908="","",IF($H908="ENGAGE","Engagé",IF(AND($H908="NON ENGAGE",OR($I908="INFRUCTUEUX",$I908="ANNULE")),"Clôturé sans suite","En cours")))</f>
        <v/>
      </c>
      <c r="N908">
        <f>IF(ISBLANK('ENGAGEMENTS 2026'!B908),"",'ENGAGEMENTS 2026'!K908)</f>
        <v/>
      </c>
      <c r="O908">
        <f>IF(ISBLANK('ENGAGEMENTS 2026'!B908),"",'ENGAGEMENTS 2026'!L908)</f>
        <v/>
      </c>
      <c r="P908">
        <f>IF(ISBLANK('ENGAGEMENTS 2026'!B908),"",'ENGAGEMENTS 2026'!J908)</f>
        <v/>
      </c>
      <c r="Q908">
        <f>IF($A908="","",IF(OR($E908="INFRUCTUEUX",$E908="ANNULE"),$A908&amp;"|"&amp;(COUNTIFS($A$2:$A908,$A908,$E$2:$E908,"INFRUCTUEUX")+COUNTIFS($A$2:$A908,$A908,$E$2:$E908,"ANNULE")),""))</f>
        <v/>
      </c>
    </row>
    <row r="909">
      <c r="A909">
        <f>IF(ISBLANK('ENGAGEMENTS 2026'!B909),"",IF('ENGAGEMENTS 2026'!B909="DTSI","DCT",'ENGAGEMENTS 2026'!B909))</f>
        <v/>
      </c>
      <c r="B909">
        <f>IF(ISBLANK('ENGAGEMENTS 2026'!B909),"",'ENGAGEMENTS 2026'!C909)</f>
        <v/>
      </c>
      <c r="C909">
        <f>IF(ISBLANK('ENGAGEMENTS 2026'!B909),"",'ENGAGEMENTS 2026'!D909)</f>
        <v/>
      </c>
      <c r="D909">
        <f>IF(ISBLANK('ENGAGEMENTS 2026'!B909),"",'ENGAGEMENTS 2026'!F909)</f>
        <v/>
      </c>
      <c r="E909">
        <f>IF(ISBLANK('ENGAGEMENTS 2026'!B909),"",'ENGAGEMENTS 2026'!H909)</f>
        <v/>
      </c>
      <c r="F909">
        <f>IF(ISBLANK('ENGAGEMENTS 2026'!B909),"",'ENGAGEMENTS 2026'!I909)</f>
        <v/>
      </c>
      <c r="G909">
        <f>IF(ISBLANK('ENGAGEMENTS 2026'!B909),"",'ENGAGEMENTS 2026'!L909)</f>
        <v/>
      </c>
      <c r="H909">
        <f>IF(ISBLANK('ENGAGEMENTS 2026'!B909),"",'ENGAGEMENTS 2026'!AE909)</f>
        <v/>
      </c>
      <c r="I909">
        <f>IF(ISBLANK('ENGAGEMENTS 2026'!B909),"",'ENGAGEMENTS 2026'!G909)</f>
        <v/>
      </c>
      <c r="J909" s="275">
        <f>IF(ISBLANK('ENGAGEMENTS 2026'!B909),"",IF(AND(OR($E909="INFRUCTUEUX",$E909="ANNULE"),$C909="AOO-M"),'ENGAGEMENTS 2026'!O909,IF($H909="EN COURS DE PREENGAGEMENT",'ENGAGEMENTS 2026'!N909,IF($H909="PREENGAGE",IF($E909="ATTRIBUE",'ENGAGEMENTS 2026'!AD909,'ENGAGEMENTS 2026'!N909),'ENGAGEMENTS 2026'!AD909))))</f>
        <v/>
      </c>
      <c r="K909" s="604">
        <f>IF(ISBLANK('ENGAGEMENTS 2026'!V909),"",'ENGAGEMENTS 2026'!V909)</f>
        <v/>
      </c>
      <c r="L909" s="276">
        <f>IF($K909="","",TODAY()-$K909)</f>
        <v/>
      </c>
      <c r="M909">
        <f>IF($A909="","",IF($H909="ENGAGE","Engagé",IF(AND($H909="NON ENGAGE",OR($I909="INFRUCTUEUX",$I909="ANNULE")),"Clôturé sans suite","En cours")))</f>
        <v/>
      </c>
      <c r="N909">
        <f>IF(ISBLANK('ENGAGEMENTS 2026'!B909),"",'ENGAGEMENTS 2026'!K909)</f>
        <v/>
      </c>
      <c r="O909">
        <f>IF(ISBLANK('ENGAGEMENTS 2026'!B909),"",'ENGAGEMENTS 2026'!L909)</f>
        <v/>
      </c>
      <c r="P909">
        <f>IF(ISBLANK('ENGAGEMENTS 2026'!B909),"",'ENGAGEMENTS 2026'!J909)</f>
        <v/>
      </c>
      <c r="Q909">
        <f>IF($A909="","",IF(OR($E909="INFRUCTUEUX",$E909="ANNULE"),$A909&amp;"|"&amp;(COUNTIFS($A$2:$A909,$A909,$E$2:$E909,"INFRUCTUEUX")+COUNTIFS($A$2:$A909,$A909,$E$2:$E909,"ANNULE")),""))</f>
        <v/>
      </c>
    </row>
    <row r="910">
      <c r="A910">
        <f>IF(ISBLANK('ENGAGEMENTS 2026'!B910),"",IF('ENGAGEMENTS 2026'!B910="DTSI","DCT",'ENGAGEMENTS 2026'!B910))</f>
        <v/>
      </c>
      <c r="B910">
        <f>IF(ISBLANK('ENGAGEMENTS 2026'!B910),"",'ENGAGEMENTS 2026'!C910)</f>
        <v/>
      </c>
      <c r="C910">
        <f>IF(ISBLANK('ENGAGEMENTS 2026'!B910),"",'ENGAGEMENTS 2026'!D910)</f>
        <v/>
      </c>
      <c r="D910">
        <f>IF(ISBLANK('ENGAGEMENTS 2026'!B910),"",'ENGAGEMENTS 2026'!F910)</f>
        <v/>
      </c>
      <c r="E910">
        <f>IF(ISBLANK('ENGAGEMENTS 2026'!B910),"",'ENGAGEMENTS 2026'!H910)</f>
        <v/>
      </c>
      <c r="F910">
        <f>IF(ISBLANK('ENGAGEMENTS 2026'!B910),"",'ENGAGEMENTS 2026'!I910)</f>
        <v/>
      </c>
      <c r="G910">
        <f>IF(ISBLANK('ENGAGEMENTS 2026'!B910),"",'ENGAGEMENTS 2026'!L910)</f>
        <v/>
      </c>
      <c r="H910">
        <f>IF(ISBLANK('ENGAGEMENTS 2026'!B910),"",'ENGAGEMENTS 2026'!AE910)</f>
        <v/>
      </c>
      <c r="I910">
        <f>IF(ISBLANK('ENGAGEMENTS 2026'!B910),"",'ENGAGEMENTS 2026'!G910)</f>
        <v/>
      </c>
      <c r="J910" s="275">
        <f>IF(ISBLANK('ENGAGEMENTS 2026'!B910),"",IF(AND(OR($E910="INFRUCTUEUX",$E910="ANNULE"),$C910="AOO-M"),'ENGAGEMENTS 2026'!O910,IF($H910="EN COURS DE PREENGAGEMENT",'ENGAGEMENTS 2026'!N910,IF($H910="PREENGAGE",IF($E910="ATTRIBUE",'ENGAGEMENTS 2026'!AD910,'ENGAGEMENTS 2026'!N910),'ENGAGEMENTS 2026'!AD910))))</f>
        <v/>
      </c>
      <c r="K910" s="604">
        <f>IF(ISBLANK('ENGAGEMENTS 2026'!V910),"",'ENGAGEMENTS 2026'!V910)</f>
        <v/>
      </c>
      <c r="L910" s="276">
        <f>IF($K910="","",TODAY()-$K910)</f>
        <v/>
      </c>
      <c r="M910">
        <f>IF($A910="","",IF($H910="ENGAGE","Engagé",IF(AND($H910="NON ENGAGE",OR($I910="INFRUCTUEUX",$I910="ANNULE")),"Clôturé sans suite","En cours")))</f>
        <v/>
      </c>
      <c r="N910">
        <f>IF(ISBLANK('ENGAGEMENTS 2026'!B910),"",'ENGAGEMENTS 2026'!K910)</f>
        <v/>
      </c>
      <c r="O910">
        <f>IF(ISBLANK('ENGAGEMENTS 2026'!B910),"",'ENGAGEMENTS 2026'!L910)</f>
        <v/>
      </c>
      <c r="P910">
        <f>IF(ISBLANK('ENGAGEMENTS 2026'!B910),"",'ENGAGEMENTS 2026'!J910)</f>
        <v/>
      </c>
      <c r="Q910">
        <f>IF($A910="","",IF(OR($E910="INFRUCTUEUX",$E910="ANNULE"),$A910&amp;"|"&amp;(COUNTIFS($A$2:$A910,$A910,$E$2:$E910,"INFRUCTUEUX")+COUNTIFS($A$2:$A910,$A910,$E$2:$E910,"ANNULE")),""))</f>
        <v/>
      </c>
    </row>
    <row r="911">
      <c r="A911">
        <f>IF(ISBLANK('ENGAGEMENTS 2026'!B911),"",IF('ENGAGEMENTS 2026'!B911="DTSI","DCT",'ENGAGEMENTS 2026'!B911))</f>
        <v/>
      </c>
      <c r="B911">
        <f>IF(ISBLANK('ENGAGEMENTS 2026'!B911),"",'ENGAGEMENTS 2026'!C911)</f>
        <v/>
      </c>
      <c r="C911">
        <f>IF(ISBLANK('ENGAGEMENTS 2026'!B911),"",'ENGAGEMENTS 2026'!D911)</f>
        <v/>
      </c>
      <c r="D911">
        <f>IF(ISBLANK('ENGAGEMENTS 2026'!B911),"",'ENGAGEMENTS 2026'!F911)</f>
        <v/>
      </c>
      <c r="E911">
        <f>IF(ISBLANK('ENGAGEMENTS 2026'!B911),"",'ENGAGEMENTS 2026'!H911)</f>
        <v/>
      </c>
      <c r="F911">
        <f>IF(ISBLANK('ENGAGEMENTS 2026'!B911),"",'ENGAGEMENTS 2026'!I911)</f>
        <v/>
      </c>
      <c r="G911">
        <f>IF(ISBLANK('ENGAGEMENTS 2026'!B911),"",'ENGAGEMENTS 2026'!L911)</f>
        <v/>
      </c>
      <c r="H911">
        <f>IF(ISBLANK('ENGAGEMENTS 2026'!B911),"",'ENGAGEMENTS 2026'!AE911)</f>
        <v/>
      </c>
      <c r="I911">
        <f>IF(ISBLANK('ENGAGEMENTS 2026'!B911),"",'ENGAGEMENTS 2026'!G911)</f>
        <v/>
      </c>
      <c r="J911" s="275">
        <f>IF(ISBLANK('ENGAGEMENTS 2026'!B911),"",IF(AND(OR($E911="INFRUCTUEUX",$E911="ANNULE"),$C911="AOO-M"),'ENGAGEMENTS 2026'!O911,IF($H911="EN COURS DE PREENGAGEMENT",'ENGAGEMENTS 2026'!N911,IF($H911="PREENGAGE",IF($E911="ATTRIBUE",'ENGAGEMENTS 2026'!AD911,'ENGAGEMENTS 2026'!N911),'ENGAGEMENTS 2026'!AD911))))</f>
        <v/>
      </c>
      <c r="K911" s="604">
        <f>IF(ISBLANK('ENGAGEMENTS 2026'!V911),"",'ENGAGEMENTS 2026'!V911)</f>
        <v/>
      </c>
      <c r="L911" s="276">
        <f>IF($K911="","",TODAY()-$K911)</f>
        <v/>
      </c>
      <c r="M911">
        <f>IF($A911="","",IF($H911="ENGAGE","Engagé",IF(AND($H911="NON ENGAGE",OR($I911="INFRUCTUEUX",$I911="ANNULE")),"Clôturé sans suite","En cours")))</f>
        <v/>
      </c>
      <c r="N911">
        <f>IF(ISBLANK('ENGAGEMENTS 2026'!B911),"",'ENGAGEMENTS 2026'!K911)</f>
        <v/>
      </c>
      <c r="O911">
        <f>IF(ISBLANK('ENGAGEMENTS 2026'!B911),"",'ENGAGEMENTS 2026'!L911)</f>
        <v/>
      </c>
      <c r="P911">
        <f>IF(ISBLANK('ENGAGEMENTS 2026'!B911),"",'ENGAGEMENTS 2026'!J911)</f>
        <v/>
      </c>
      <c r="Q911">
        <f>IF($A911="","",IF(OR($E911="INFRUCTUEUX",$E911="ANNULE"),$A911&amp;"|"&amp;(COUNTIFS($A$2:$A911,$A911,$E$2:$E911,"INFRUCTUEUX")+COUNTIFS($A$2:$A911,$A911,$E$2:$E911,"ANNULE")),""))</f>
        <v/>
      </c>
    </row>
    <row r="912">
      <c r="A912">
        <f>IF(ISBLANK('ENGAGEMENTS 2026'!B912),"",IF('ENGAGEMENTS 2026'!B912="DTSI","DCT",'ENGAGEMENTS 2026'!B912))</f>
        <v/>
      </c>
      <c r="B912">
        <f>IF(ISBLANK('ENGAGEMENTS 2026'!B912),"",'ENGAGEMENTS 2026'!C912)</f>
        <v/>
      </c>
      <c r="C912">
        <f>IF(ISBLANK('ENGAGEMENTS 2026'!B912),"",'ENGAGEMENTS 2026'!D912)</f>
        <v/>
      </c>
      <c r="D912">
        <f>IF(ISBLANK('ENGAGEMENTS 2026'!B912),"",'ENGAGEMENTS 2026'!F912)</f>
        <v/>
      </c>
      <c r="E912">
        <f>IF(ISBLANK('ENGAGEMENTS 2026'!B912),"",'ENGAGEMENTS 2026'!H912)</f>
        <v/>
      </c>
      <c r="F912">
        <f>IF(ISBLANK('ENGAGEMENTS 2026'!B912),"",'ENGAGEMENTS 2026'!I912)</f>
        <v/>
      </c>
      <c r="G912">
        <f>IF(ISBLANK('ENGAGEMENTS 2026'!B912),"",'ENGAGEMENTS 2026'!L912)</f>
        <v/>
      </c>
      <c r="H912">
        <f>IF(ISBLANK('ENGAGEMENTS 2026'!B912),"",'ENGAGEMENTS 2026'!AE912)</f>
        <v/>
      </c>
      <c r="I912">
        <f>IF(ISBLANK('ENGAGEMENTS 2026'!B912),"",'ENGAGEMENTS 2026'!G912)</f>
        <v/>
      </c>
      <c r="J912" s="275">
        <f>IF(ISBLANK('ENGAGEMENTS 2026'!B912),"",IF(AND(OR($E912="INFRUCTUEUX",$E912="ANNULE"),$C912="AOO-M"),'ENGAGEMENTS 2026'!O912,IF($H912="EN COURS DE PREENGAGEMENT",'ENGAGEMENTS 2026'!N912,IF($H912="PREENGAGE",IF($E912="ATTRIBUE",'ENGAGEMENTS 2026'!AD912,'ENGAGEMENTS 2026'!N912),'ENGAGEMENTS 2026'!AD912))))</f>
        <v/>
      </c>
      <c r="K912" s="604">
        <f>IF(ISBLANK('ENGAGEMENTS 2026'!V912),"",'ENGAGEMENTS 2026'!V912)</f>
        <v/>
      </c>
      <c r="L912" s="276">
        <f>IF($K912="","",TODAY()-$K912)</f>
        <v/>
      </c>
      <c r="M912">
        <f>IF($A912="","",IF($H912="ENGAGE","Engagé",IF(AND($H912="NON ENGAGE",OR($I912="INFRUCTUEUX",$I912="ANNULE")),"Clôturé sans suite","En cours")))</f>
        <v/>
      </c>
      <c r="N912">
        <f>IF(ISBLANK('ENGAGEMENTS 2026'!B912),"",'ENGAGEMENTS 2026'!K912)</f>
        <v/>
      </c>
      <c r="O912">
        <f>IF(ISBLANK('ENGAGEMENTS 2026'!B912),"",'ENGAGEMENTS 2026'!L912)</f>
        <v/>
      </c>
      <c r="P912">
        <f>IF(ISBLANK('ENGAGEMENTS 2026'!B912),"",'ENGAGEMENTS 2026'!J912)</f>
        <v/>
      </c>
      <c r="Q912">
        <f>IF($A912="","",IF(OR($E912="INFRUCTUEUX",$E912="ANNULE"),$A912&amp;"|"&amp;(COUNTIFS($A$2:$A912,$A912,$E$2:$E912,"INFRUCTUEUX")+COUNTIFS($A$2:$A912,$A912,$E$2:$E912,"ANNULE")),""))</f>
        <v/>
      </c>
    </row>
    <row r="913">
      <c r="A913">
        <f>IF(ISBLANK('ENGAGEMENTS 2026'!B913),"",IF('ENGAGEMENTS 2026'!B913="DTSI","DCT",'ENGAGEMENTS 2026'!B913))</f>
        <v/>
      </c>
      <c r="B913">
        <f>IF(ISBLANK('ENGAGEMENTS 2026'!B913),"",'ENGAGEMENTS 2026'!C913)</f>
        <v/>
      </c>
      <c r="C913">
        <f>IF(ISBLANK('ENGAGEMENTS 2026'!B913),"",'ENGAGEMENTS 2026'!D913)</f>
        <v/>
      </c>
      <c r="D913">
        <f>IF(ISBLANK('ENGAGEMENTS 2026'!B913),"",'ENGAGEMENTS 2026'!F913)</f>
        <v/>
      </c>
      <c r="E913">
        <f>IF(ISBLANK('ENGAGEMENTS 2026'!B913),"",'ENGAGEMENTS 2026'!H913)</f>
        <v/>
      </c>
      <c r="F913">
        <f>IF(ISBLANK('ENGAGEMENTS 2026'!B913),"",'ENGAGEMENTS 2026'!I913)</f>
        <v/>
      </c>
      <c r="G913">
        <f>IF(ISBLANK('ENGAGEMENTS 2026'!B913),"",'ENGAGEMENTS 2026'!L913)</f>
        <v/>
      </c>
      <c r="H913">
        <f>IF(ISBLANK('ENGAGEMENTS 2026'!B913),"",'ENGAGEMENTS 2026'!AE913)</f>
        <v/>
      </c>
      <c r="I913">
        <f>IF(ISBLANK('ENGAGEMENTS 2026'!B913),"",'ENGAGEMENTS 2026'!G913)</f>
        <v/>
      </c>
      <c r="J913" s="275">
        <f>IF(ISBLANK('ENGAGEMENTS 2026'!B913),"",IF(AND(OR($E913="INFRUCTUEUX",$E913="ANNULE"),$C913="AOO-M"),'ENGAGEMENTS 2026'!O913,IF($H913="EN COURS DE PREENGAGEMENT",'ENGAGEMENTS 2026'!N913,IF($H913="PREENGAGE",IF($E913="ATTRIBUE",'ENGAGEMENTS 2026'!AD913,'ENGAGEMENTS 2026'!N913),'ENGAGEMENTS 2026'!AD913))))</f>
        <v/>
      </c>
      <c r="K913" s="604">
        <f>IF(ISBLANK('ENGAGEMENTS 2026'!V913),"",'ENGAGEMENTS 2026'!V913)</f>
        <v/>
      </c>
      <c r="L913" s="276">
        <f>IF($K913="","",TODAY()-$K913)</f>
        <v/>
      </c>
      <c r="M913">
        <f>IF($A913="","",IF($H913="ENGAGE","Engagé",IF(AND($H913="NON ENGAGE",OR($I913="INFRUCTUEUX",$I913="ANNULE")),"Clôturé sans suite","En cours")))</f>
        <v/>
      </c>
      <c r="N913">
        <f>IF(ISBLANK('ENGAGEMENTS 2026'!B913),"",'ENGAGEMENTS 2026'!K913)</f>
        <v/>
      </c>
      <c r="O913">
        <f>IF(ISBLANK('ENGAGEMENTS 2026'!B913),"",'ENGAGEMENTS 2026'!L913)</f>
        <v/>
      </c>
      <c r="P913">
        <f>IF(ISBLANK('ENGAGEMENTS 2026'!B913),"",'ENGAGEMENTS 2026'!J913)</f>
        <v/>
      </c>
      <c r="Q913">
        <f>IF($A913="","",IF(OR($E913="INFRUCTUEUX",$E913="ANNULE"),$A913&amp;"|"&amp;(COUNTIFS($A$2:$A913,$A913,$E$2:$E913,"INFRUCTUEUX")+COUNTIFS($A$2:$A913,$A913,$E$2:$E913,"ANNULE")),""))</f>
        <v/>
      </c>
    </row>
    <row r="914">
      <c r="A914">
        <f>IF(ISBLANK('ENGAGEMENTS 2026'!B914),"",IF('ENGAGEMENTS 2026'!B914="DTSI","DCT",'ENGAGEMENTS 2026'!B914))</f>
        <v/>
      </c>
      <c r="B914">
        <f>IF(ISBLANK('ENGAGEMENTS 2026'!B914),"",'ENGAGEMENTS 2026'!C914)</f>
        <v/>
      </c>
      <c r="C914">
        <f>IF(ISBLANK('ENGAGEMENTS 2026'!B914),"",'ENGAGEMENTS 2026'!D914)</f>
        <v/>
      </c>
      <c r="D914">
        <f>IF(ISBLANK('ENGAGEMENTS 2026'!B914),"",'ENGAGEMENTS 2026'!F914)</f>
        <v/>
      </c>
      <c r="E914">
        <f>IF(ISBLANK('ENGAGEMENTS 2026'!B914),"",'ENGAGEMENTS 2026'!H914)</f>
        <v/>
      </c>
      <c r="F914">
        <f>IF(ISBLANK('ENGAGEMENTS 2026'!B914),"",'ENGAGEMENTS 2026'!I914)</f>
        <v/>
      </c>
      <c r="G914">
        <f>IF(ISBLANK('ENGAGEMENTS 2026'!B914),"",'ENGAGEMENTS 2026'!L914)</f>
        <v/>
      </c>
      <c r="H914">
        <f>IF(ISBLANK('ENGAGEMENTS 2026'!B914),"",'ENGAGEMENTS 2026'!AE914)</f>
        <v/>
      </c>
      <c r="I914">
        <f>IF(ISBLANK('ENGAGEMENTS 2026'!B914),"",'ENGAGEMENTS 2026'!G914)</f>
        <v/>
      </c>
      <c r="J914" s="275">
        <f>IF(ISBLANK('ENGAGEMENTS 2026'!B914),"",IF(AND(OR($E914="INFRUCTUEUX",$E914="ANNULE"),$C914="AOO-M"),'ENGAGEMENTS 2026'!O914,IF($H914="EN COURS DE PREENGAGEMENT",'ENGAGEMENTS 2026'!N914,IF($H914="PREENGAGE",IF($E914="ATTRIBUE",'ENGAGEMENTS 2026'!AD914,'ENGAGEMENTS 2026'!N914),'ENGAGEMENTS 2026'!AD914))))</f>
        <v/>
      </c>
      <c r="K914" s="604">
        <f>IF(ISBLANK('ENGAGEMENTS 2026'!V914),"",'ENGAGEMENTS 2026'!V914)</f>
        <v/>
      </c>
      <c r="L914" s="276">
        <f>IF($K914="","",TODAY()-$K914)</f>
        <v/>
      </c>
      <c r="M914">
        <f>IF($A914="","",IF($H914="ENGAGE","Engagé",IF(AND($H914="NON ENGAGE",OR($I914="INFRUCTUEUX",$I914="ANNULE")),"Clôturé sans suite","En cours")))</f>
        <v/>
      </c>
      <c r="N914">
        <f>IF(ISBLANK('ENGAGEMENTS 2026'!B914),"",'ENGAGEMENTS 2026'!K914)</f>
        <v/>
      </c>
      <c r="O914">
        <f>IF(ISBLANK('ENGAGEMENTS 2026'!B914),"",'ENGAGEMENTS 2026'!L914)</f>
        <v/>
      </c>
      <c r="P914">
        <f>IF(ISBLANK('ENGAGEMENTS 2026'!B914),"",'ENGAGEMENTS 2026'!J914)</f>
        <v/>
      </c>
      <c r="Q914">
        <f>IF($A914="","",IF(OR($E914="INFRUCTUEUX",$E914="ANNULE"),$A914&amp;"|"&amp;(COUNTIFS($A$2:$A914,$A914,$E$2:$E914,"INFRUCTUEUX")+COUNTIFS($A$2:$A914,$A914,$E$2:$E914,"ANNULE")),""))</f>
        <v/>
      </c>
    </row>
    <row r="915">
      <c r="A915">
        <f>IF(ISBLANK('ENGAGEMENTS 2026'!B915),"",IF('ENGAGEMENTS 2026'!B915="DTSI","DCT",'ENGAGEMENTS 2026'!B915))</f>
        <v/>
      </c>
      <c r="B915">
        <f>IF(ISBLANK('ENGAGEMENTS 2026'!B915),"",'ENGAGEMENTS 2026'!C915)</f>
        <v/>
      </c>
      <c r="C915">
        <f>IF(ISBLANK('ENGAGEMENTS 2026'!B915),"",'ENGAGEMENTS 2026'!D915)</f>
        <v/>
      </c>
      <c r="D915">
        <f>IF(ISBLANK('ENGAGEMENTS 2026'!B915),"",'ENGAGEMENTS 2026'!F915)</f>
        <v/>
      </c>
      <c r="E915">
        <f>IF(ISBLANK('ENGAGEMENTS 2026'!B915),"",'ENGAGEMENTS 2026'!H915)</f>
        <v/>
      </c>
      <c r="F915">
        <f>IF(ISBLANK('ENGAGEMENTS 2026'!B915),"",'ENGAGEMENTS 2026'!I915)</f>
        <v/>
      </c>
      <c r="G915">
        <f>IF(ISBLANK('ENGAGEMENTS 2026'!B915),"",'ENGAGEMENTS 2026'!L915)</f>
        <v/>
      </c>
      <c r="H915">
        <f>IF(ISBLANK('ENGAGEMENTS 2026'!B915),"",'ENGAGEMENTS 2026'!AE915)</f>
        <v/>
      </c>
      <c r="I915">
        <f>IF(ISBLANK('ENGAGEMENTS 2026'!B915),"",'ENGAGEMENTS 2026'!G915)</f>
        <v/>
      </c>
      <c r="J915" s="275">
        <f>IF(ISBLANK('ENGAGEMENTS 2026'!B915),"",IF(AND(OR($E915="INFRUCTUEUX",$E915="ANNULE"),$C915="AOO-M"),'ENGAGEMENTS 2026'!O915,IF($H915="EN COURS DE PREENGAGEMENT",'ENGAGEMENTS 2026'!N915,IF($H915="PREENGAGE",IF($E915="ATTRIBUE",'ENGAGEMENTS 2026'!AD915,'ENGAGEMENTS 2026'!N915),'ENGAGEMENTS 2026'!AD915))))</f>
        <v/>
      </c>
      <c r="K915" s="604">
        <f>IF(ISBLANK('ENGAGEMENTS 2026'!V915),"",'ENGAGEMENTS 2026'!V915)</f>
        <v/>
      </c>
      <c r="L915" s="276">
        <f>IF($K915="","",TODAY()-$K915)</f>
        <v/>
      </c>
      <c r="M915">
        <f>IF($A915="","",IF($H915="ENGAGE","Engagé",IF(AND($H915="NON ENGAGE",OR($I915="INFRUCTUEUX",$I915="ANNULE")),"Clôturé sans suite","En cours")))</f>
        <v/>
      </c>
      <c r="N915">
        <f>IF(ISBLANK('ENGAGEMENTS 2026'!B915),"",'ENGAGEMENTS 2026'!K915)</f>
        <v/>
      </c>
      <c r="O915">
        <f>IF(ISBLANK('ENGAGEMENTS 2026'!B915),"",'ENGAGEMENTS 2026'!L915)</f>
        <v/>
      </c>
      <c r="P915">
        <f>IF(ISBLANK('ENGAGEMENTS 2026'!B915),"",'ENGAGEMENTS 2026'!J915)</f>
        <v/>
      </c>
      <c r="Q915">
        <f>IF($A915="","",IF(OR($E915="INFRUCTUEUX",$E915="ANNULE"),$A915&amp;"|"&amp;(COUNTIFS($A$2:$A915,$A915,$E$2:$E915,"INFRUCTUEUX")+COUNTIFS($A$2:$A915,$A915,$E$2:$E915,"ANNULE")),""))</f>
        <v/>
      </c>
    </row>
    <row r="916">
      <c r="A916">
        <f>IF(ISBLANK('ENGAGEMENTS 2026'!B916),"",IF('ENGAGEMENTS 2026'!B916="DTSI","DCT",'ENGAGEMENTS 2026'!B916))</f>
        <v/>
      </c>
      <c r="B916">
        <f>IF(ISBLANK('ENGAGEMENTS 2026'!B916),"",'ENGAGEMENTS 2026'!C916)</f>
        <v/>
      </c>
      <c r="C916">
        <f>IF(ISBLANK('ENGAGEMENTS 2026'!B916),"",'ENGAGEMENTS 2026'!D916)</f>
        <v/>
      </c>
      <c r="D916">
        <f>IF(ISBLANK('ENGAGEMENTS 2026'!B916),"",'ENGAGEMENTS 2026'!F916)</f>
        <v/>
      </c>
      <c r="E916">
        <f>IF(ISBLANK('ENGAGEMENTS 2026'!B916),"",'ENGAGEMENTS 2026'!H916)</f>
        <v/>
      </c>
      <c r="F916">
        <f>IF(ISBLANK('ENGAGEMENTS 2026'!B916),"",'ENGAGEMENTS 2026'!I916)</f>
        <v/>
      </c>
      <c r="G916">
        <f>IF(ISBLANK('ENGAGEMENTS 2026'!B916),"",'ENGAGEMENTS 2026'!L916)</f>
        <v/>
      </c>
      <c r="H916">
        <f>IF(ISBLANK('ENGAGEMENTS 2026'!B916),"",'ENGAGEMENTS 2026'!AE916)</f>
        <v/>
      </c>
      <c r="I916">
        <f>IF(ISBLANK('ENGAGEMENTS 2026'!B916),"",'ENGAGEMENTS 2026'!G916)</f>
        <v/>
      </c>
      <c r="J916" s="275">
        <f>IF(ISBLANK('ENGAGEMENTS 2026'!B916),"",IF(AND(OR($E916="INFRUCTUEUX",$E916="ANNULE"),$C916="AOO-M"),'ENGAGEMENTS 2026'!O916,IF($H916="EN COURS DE PREENGAGEMENT",'ENGAGEMENTS 2026'!N916,IF($H916="PREENGAGE",IF($E916="ATTRIBUE",'ENGAGEMENTS 2026'!AD916,'ENGAGEMENTS 2026'!N916),'ENGAGEMENTS 2026'!AD916))))</f>
        <v/>
      </c>
      <c r="K916" s="604">
        <f>IF(ISBLANK('ENGAGEMENTS 2026'!V916),"",'ENGAGEMENTS 2026'!V916)</f>
        <v/>
      </c>
      <c r="L916" s="276">
        <f>IF($K916="","",TODAY()-$K916)</f>
        <v/>
      </c>
      <c r="M916">
        <f>IF($A916="","",IF($H916="ENGAGE","Engagé",IF(AND($H916="NON ENGAGE",OR($I916="INFRUCTUEUX",$I916="ANNULE")),"Clôturé sans suite","En cours")))</f>
        <v/>
      </c>
      <c r="N916">
        <f>IF(ISBLANK('ENGAGEMENTS 2026'!B916),"",'ENGAGEMENTS 2026'!K916)</f>
        <v/>
      </c>
      <c r="O916">
        <f>IF(ISBLANK('ENGAGEMENTS 2026'!B916),"",'ENGAGEMENTS 2026'!L916)</f>
        <v/>
      </c>
      <c r="P916">
        <f>IF(ISBLANK('ENGAGEMENTS 2026'!B916),"",'ENGAGEMENTS 2026'!J916)</f>
        <v/>
      </c>
      <c r="Q916">
        <f>IF($A916="","",IF(OR($E916="INFRUCTUEUX",$E916="ANNULE"),$A916&amp;"|"&amp;(COUNTIFS($A$2:$A916,$A916,$E$2:$E916,"INFRUCTUEUX")+COUNTIFS($A$2:$A916,$A916,$E$2:$E916,"ANNULE")),""))</f>
        <v/>
      </c>
    </row>
    <row r="917">
      <c r="A917">
        <f>IF(ISBLANK('ENGAGEMENTS 2026'!B917),"",IF('ENGAGEMENTS 2026'!B917="DTSI","DCT",'ENGAGEMENTS 2026'!B917))</f>
        <v/>
      </c>
      <c r="B917">
        <f>IF(ISBLANK('ENGAGEMENTS 2026'!B917),"",'ENGAGEMENTS 2026'!C917)</f>
        <v/>
      </c>
      <c r="C917">
        <f>IF(ISBLANK('ENGAGEMENTS 2026'!B917),"",'ENGAGEMENTS 2026'!D917)</f>
        <v/>
      </c>
      <c r="D917">
        <f>IF(ISBLANK('ENGAGEMENTS 2026'!B917),"",'ENGAGEMENTS 2026'!F917)</f>
        <v/>
      </c>
      <c r="E917">
        <f>IF(ISBLANK('ENGAGEMENTS 2026'!B917),"",'ENGAGEMENTS 2026'!H917)</f>
        <v/>
      </c>
      <c r="F917">
        <f>IF(ISBLANK('ENGAGEMENTS 2026'!B917),"",'ENGAGEMENTS 2026'!I917)</f>
        <v/>
      </c>
      <c r="G917">
        <f>IF(ISBLANK('ENGAGEMENTS 2026'!B917),"",'ENGAGEMENTS 2026'!L917)</f>
        <v/>
      </c>
      <c r="H917">
        <f>IF(ISBLANK('ENGAGEMENTS 2026'!B917),"",'ENGAGEMENTS 2026'!AE917)</f>
        <v/>
      </c>
      <c r="I917">
        <f>IF(ISBLANK('ENGAGEMENTS 2026'!B917),"",'ENGAGEMENTS 2026'!G917)</f>
        <v/>
      </c>
      <c r="J917" s="275">
        <f>IF(ISBLANK('ENGAGEMENTS 2026'!B917),"",IF(AND(OR($E917="INFRUCTUEUX",$E917="ANNULE"),$C917="AOO-M"),'ENGAGEMENTS 2026'!O917,IF($H917="EN COURS DE PREENGAGEMENT",'ENGAGEMENTS 2026'!N917,IF($H917="PREENGAGE",IF($E917="ATTRIBUE",'ENGAGEMENTS 2026'!AD917,'ENGAGEMENTS 2026'!N917),'ENGAGEMENTS 2026'!AD917))))</f>
        <v/>
      </c>
      <c r="K917" s="604">
        <f>IF(ISBLANK('ENGAGEMENTS 2026'!V917),"",'ENGAGEMENTS 2026'!V917)</f>
        <v/>
      </c>
      <c r="L917" s="276">
        <f>IF($K917="","",TODAY()-$K917)</f>
        <v/>
      </c>
      <c r="M917">
        <f>IF($A917="","",IF($H917="ENGAGE","Engagé",IF(AND($H917="NON ENGAGE",OR($I917="INFRUCTUEUX",$I917="ANNULE")),"Clôturé sans suite","En cours")))</f>
        <v/>
      </c>
      <c r="N917">
        <f>IF(ISBLANK('ENGAGEMENTS 2026'!B917),"",'ENGAGEMENTS 2026'!K917)</f>
        <v/>
      </c>
      <c r="O917">
        <f>IF(ISBLANK('ENGAGEMENTS 2026'!B917),"",'ENGAGEMENTS 2026'!L917)</f>
        <v/>
      </c>
      <c r="P917">
        <f>IF(ISBLANK('ENGAGEMENTS 2026'!B917),"",'ENGAGEMENTS 2026'!J917)</f>
        <v/>
      </c>
      <c r="Q917">
        <f>IF($A917="","",IF(OR($E917="INFRUCTUEUX",$E917="ANNULE"),$A917&amp;"|"&amp;(COUNTIFS($A$2:$A917,$A917,$E$2:$E917,"INFRUCTUEUX")+COUNTIFS($A$2:$A917,$A917,$E$2:$E917,"ANNULE")),""))</f>
        <v/>
      </c>
    </row>
    <row r="918">
      <c r="A918">
        <f>IF(ISBLANK('ENGAGEMENTS 2026'!B918),"",IF('ENGAGEMENTS 2026'!B918="DTSI","DCT",'ENGAGEMENTS 2026'!B918))</f>
        <v/>
      </c>
      <c r="B918">
        <f>IF(ISBLANK('ENGAGEMENTS 2026'!B918),"",'ENGAGEMENTS 2026'!C918)</f>
        <v/>
      </c>
      <c r="C918">
        <f>IF(ISBLANK('ENGAGEMENTS 2026'!B918),"",'ENGAGEMENTS 2026'!D918)</f>
        <v/>
      </c>
      <c r="D918">
        <f>IF(ISBLANK('ENGAGEMENTS 2026'!B918),"",'ENGAGEMENTS 2026'!F918)</f>
        <v/>
      </c>
      <c r="E918">
        <f>IF(ISBLANK('ENGAGEMENTS 2026'!B918),"",'ENGAGEMENTS 2026'!H918)</f>
        <v/>
      </c>
      <c r="F918">
        <f>IF(ISBLANK('ENGAGEMENTS 2026'!B918),"",'ENGAGEMENTS 2026'!I918)</f>
        <v/>
      </c>
      <c r="G918">
        <f>IF(ISBLANK('ENGAGEMENTS 2026'!B918),"",'ENGAGEMENTS 2026'!L918)</f>
        <v/>
      </c>
      <c r="H918">
        <f>IF(ISBLANK('ENGAGEMENTS 2026'!B918),"",'ENGAGEMENTS 2026'!AE918)</f>
        <v/>
      </c>
      <c r="I918">
        <f>IF(ISBLANK('ENGAGEMENTS 2026'!B918),"",'ENGAGEMENTS 2026'!G918)</f>
        <v/>
      </c>
      <c r="J918" s="275">
        <f>IF(ISBLANK('ENGAGEMENTS 2026'!B918),"",IF(AND(OR($E918="INFRUCTUEUX",$E918="ANNULE"),$C918="AOO-M"),'ENGAGEMENTS 2026'!O918,IF($H918="EN COURS DE PREENGAGEMENT",'ENGAGEMENTS 2026'!N918,IF($H918="PREENGAGE",IF($E918="ATTRIBUE",'ENGAGEMENTS 2026'!AD918,'ENGAGEMENTS 2026'!N918),'ENGAGEMENTS 2026'!AD918))))</f>
        <v/>
      </c>
      <c r="K918" s="604">
        <f>IF(ISBLANK('ENGAGEMENTS 2026'!V918),"",'ENGAGEMENTS 2026'!V918)</f>
        <v/>
      </c>
      <c r="L918" s="276">
        <f>IF($K918="","",TODAY()-$K918)</f>
        <v/>
      </c>
      <c r="M918">
        <f>IF($A918="","",IF($H918="ENGAGE","Engagé",IF(AND($H918="NON ENGAGE",OR($I918="INFRUCTUEUX",$I918="ANNULE")),"Clôturé sans suite","En cours")))</f>
        <v/>
      </c>
      <c r="N918">
        <f>IF(ISBLANK('ENGAGEMENTS 2026'!B918),"",'ENGAGEMENTS 2026'!K918)</f>
        <v/>
      </c>
      <c r="O918">
        <f>IF(ISBLANK('ENGAGEMENTS 2026'!B918),"",'ENGAGEMENTS 2026'!L918)</f>
        <v/>
      </c>
      <c r="P918">
        <f>IF(ISBLANK('ENGAGEMENTS 2026'!B918),"",'ENGAGEMENTS 2026'!J918)</f>
        <v/>
      </c>
      <c r="Q918">
        <f>IF($A918="","",IF(OR($E918="INFRUCTUEUX",$E918="ANNULE"),$A918&amp;"|"&amp;(COUNTIFS($A$2:$A918,$A918,$E$2:$E918,"INFRUCTUEUX")+COUNTIFS($A$2:$A918,$A918,$E$2:$E918,"ANNULE")),""))</f>
        <v/>
      </c>
    </row>
    <row r="919">
      <c r="A919">
        <f>IF(ISBLANK('ENGAGEMENTS 2026'!B919),"",IF('ENGAGEMENTS 2026'!B919="DTSI","DCT",'ENGAGEMENTS 2026'!B919))</f>
        <v/>
      </c>
      <c r="B919">
        <f>IF(ISBLANK('ENGAGEMENTS 2026'!B919),"",'ENGAGEMENTS 2026'!C919)</f>
        <v/>
      </c>
      <c r="C919">
        <f>IF(ISBLANK('ENGAGEMENTS 2026'!B919),"",'ENGAGEMENTS 2026'!D919)</f>
        <v/>
      </c>
      <c r="D919">
        <f>IF(ISBLANK('ENGAGEMENTS 2026'!B919),"",'ENGAGEMENTS 2026'!F919)</f>
        <v/>
      </c>
      <c r="E919">
        <f>IF(ISBLANK('ENGAGEMENTS 2026'!B919),"",'ENGAGEMENTS 2026'!H919)</f>
        <v/>
      </c>
      <c r="F919">
        <f>IF(ISBLANK('ENGAGEMENTS 2026'!B919),"",'ENGAGEMENTS 2026'!I919)</f>
        <v/>
      </c>
      <c r="G919">
        <f>IF(ISBLANK('ENGAGEMENTS 2026'!B919),"",'ENGAGEMENTS 2026'!L919)</f>
        <v/>
      </c>
      <c r="H919">
        <f>IF(ISBLANK('ENGAGEMENTS 2026'!B919),"",'ENGAGEMENTS 2026'!AE919)</f>
        <v/>
      </c>
      <c r="I919">
        <f>IF(ISBLANK('ENGAGEMENTS 2026'!B919),"",'ENGAGEMENTS 2026'!G919)</f>
        <v/>
      </c>
      <c r="J919" s="275">
        <f>IF(ISBLANK('ENGAGEMENTS 2026'!B919),"",IF(AND(OR($E919="INFRUCTUEUX",$E919="ANNULE"),$C919="AOO-M"),'ENGAGEMENTS 2026'!O919,IF($H919="EN COURS DE PREENGAGEMENT",'ENGAGEMENTS 2026'!N919,IF($H919="PREENGAGE",IF($E919="ATTRIBUE",'ENGAGEMENTS 2026'!AD919,'ENGAGEMENTS 2026'!N919),'ENGAGEMENTS 2026'!AD919))))</f>
        <v/>
      </c>
      <c r="K919" s="604">
        <f>IF(ISBLANK('ENGAGEMENTS 2026'!V919),"",'ENGAGEMENTS 2026'!V919)</f>
        <v/>
      </c>
      <c r="L919" s="276">
        <f>IF($K919="","",TODAY()-$K919)</f>
        <v/>
      </c>
      <c r="M919">
        <f>IF($A919="","",IF($H919="ENGAGE","Engagé",IF(AND($H919="NON ENGAGE",OR($I919="INFRUCTUEUX",$I919="ANNULE")),"Clôturé sans suite","En cours")))</f>
        <v/>
      </c>
      <c r="N919">
        <f>IF(ISBLANK('ENGAGEMENTS 2026'!B919),"",'ENGAGEMENTS 2026'!K919)</f>
        <v/>
      </c>
      <c r="O919">
        <f>IF(ISBLANK('ENGAGEMENTS 2026'!B919),"",'ENGAGEMENTS 2026'!L919)</f>
        <v/>
      </c>
      <c r="P919">
        <f>IF(ISBLANK('ENGAGEMENTS 2026'!B919),"",'ENGAGEMENTS 2026'!J919)</f>
        <v/>
      </c>
      <c r="Q919">
        <f>IF($A919="","",IF(OR($E919="INFRUCTUEUX",$E919="ANNULE"),$A919&amp;"|"&amp;(COUNTIFS($A$2:$A919,$A919,$E$2:$E919,"INFRUCTUEUX")+COUNTIFS($A$2:$A919,$A919,$E$2:$E919,"ANNULE")),""))</f>
        <v/>
      </c>
    </row>
    <row r="920">
      <c r="A920">
        <f>IF(ISBLANK('ENGAGEMENTS 2026'!B920),"",IF('ENGAGEMENTS 2026'!B920="DTSI","DCT",'ENGAGEMENTS 2026'!B920))</f>
        <v/>
      </c>
      <c r="B920">
        <f>IF(ISBLANK('ENGAGEMENTS 2026'!B920),"",'ENGAGEMENTS 2026'!C920)</f>
        <v/>
      </c>
      <c r="C920">
        <f>IF(ISBLANK('ENGAGEMENTS 2026'!B920),"",'ENGAGEMENTS 2026'!D920)</f>
        <v/>
      </c>
      <c r="D920">
        <f>IF(ISBLANK('ENGAGEMENTS 2026'!B920),"",'ENGAGEMENTS 2026'!F920)</f>
        <v/>
      </c>
      <c r="E920">
        <f>IF(ISBLANK('ENGAGEMENTS 2026'!B920),"",'ENGAGEMENTS 2026'!H920)</f>
        <v/>
      </c>
      <c r="F920">
        <f>IF(ISBLANK('ENGAGEMENTS 2026'!B920),"",'ENGAGEMENTS 2026'!I920)</f>
        <v/>
      </c>
      <c r="G920">
        <f>IF(ISBLANK('ENGAGEMENTS 2026'!B920),"",'ENGAGEMENTS 2026'!L920)</f>
        <v/>
      </c>
      <c r="H920">
        <f>IF(ISBLANK('ENGAGEMENTS 2026'!B920),"",'ENGAGEMENTS 2026'!AE920)</f>
        <v/>
      </c>
      <c r="I920">
        <f>IF(ISBLANK('ENGAGEMENTS 2026'!B920),"",'ENGAGEMENTS 2026'!G920)</f>
        <v/>
      </c>
      <c r="J920" s="275">
        <f>IF(ISBLANK('ENGAGEMENTS 2026'!B920),"",IF(AND(OR($E920="INFRUCTUEUX",$E920="ANNULE"),$C920="AOO-M"),'ENGAGEMENTS 2026'!O920,IF($H920="EN COURS DE PREENGAGEMENT",'ENGAGEMENTS 2026'!N920,IF($H920="PREENGAGE",IF($E920="ATTRIBUE",'ENGAGEMENTS 2026'!AD920,'ENGAGEMENTS 2026'!N920),'ENGAGEMENTS 2026'!AD920))))</f>
        <v/>
      </c>
      <c r="K920" s="604">
        <f>IF(ISBLANK('ENGAGEMENTS 2026'!V920),"",'ENGAGEMENTS 2026'!V920)</f>
        <v/>
      </c>
      <c r="L920" s="276">
        <f>IF($K920="","",TODAY()-$K920)</f>
        <v/>
      </c>
      <c r="M920">
        <f>IF($A920="","",IF($H920="ENGAGE","Engagé",IF(AND($H920="NON ENGAGE",OR($I920="INFRUCTUEUX",$I920="ANNULE")),"Clôturé sans suite","En cours")))</f>
        <v/>
      </c>
      <c r="N920">
        <f>IF(ISBLANK('ENGAGEMENTS 2026'!B920),"",'ENGAGEMENTS 2026'!K920)</f>
        <v/>
      </c>
      <c r="O920">
        <f>IF(ISBLANK('ENGAGEMENTS 2026'!B920),"",'ENGAGEMENTS 2026'!L920)</f>
        <v/>
      </c>
      <c r="P920">
        <f>IF(ISBLANK('ENGAGEMENTS 2026'!B920),"",'ENGAGEMENTS 2026'!J920)</f>
        <v/>
      </c>
      <c r="Q920">
        <f>IF($A920="","",IF(OR($E920="INFRUCTUEUX",$E920="ANNULE"),$A920&amp;"|"&amp;(COUNTIFS($A$2:$A920,$A920,$E$2:$E920,"INFRUCTUEUX")+COUNTIFS($A$2:$A920,$A920,$E$2:$E920,"ANNULE")),""))</f>
        <v/>
      </c>
    </row>
    <row r="921">
      <c r="A921">
        <f>IF(ISBLANK('ENGAGEMENTS 2026'!B921),"",IF('ENGAGEMENTS 2026'!B921="DTSI","DCT",'ENGAGEMENTS 2026'!B921))</f>
        <v/>
      </c>
      <c r="B921">
        <f>IF(ISBLANK('ENGAGEMENTS 2026'!B921),"",'ENGAGEMENTS 2026'!C921)</f>
        <v/>
      </c>
      <c r="C921">
        <f>IF(ISBLANK('ENGAGEMENTS 2026'!B921),"",'ENGAGEMENTS 2026'!D921)</f>
        <v/>
      </c>
      <c r="D921">
        <f>IF(ISBLANK('ENGAGEMENTS 2026'!B921),"",'ENGAGEMENTS 2026'!F921)</f>
        <v/>
      </c>
      <c r="E921">
        <f>IF(ISBLANK('ENGAGEMENTS 2026'!B921),"",'ENGAGEMENTS 2026'!H921)</f>
        <v/>
      </c>
      <c r="F921">
        <f>IF(ISBLANK('ENGAGEMENTS 2026'!B921),"",'ENGAGEMENTS 2026'!I921)</f>
        <v/>
      </c>
      <c r="G921">
        <f>IF(ISBLANK('ENGAGEMENTS 2026'!B921),"",'ENGAGEMENTS 2026'!L921)</f>
        <v/>
      </c>
      <c r="H921">
        <f>IF(ISBLANK('ENGAGEMENTS 2026'!B921),"",'ENGAGEMENTS 2026'!AE921)</f>
        <v/>
      </c>
      <c r="I921">
        <f>IF(ISBLANK('ENGAGEMENTS 2026'!B921),"",'ENGAGEMENTS 2026'!G921)</f>
        <v/>
      </c>
      <c r="J921" s="275">
        <f>IF(ISBLANK('ENGAGEMENTS 2026'!B921),"",IF(AND(OR($E921="INFRUCTUEUX",$E921="ANNULE"),$C921="AOO-M"),'ENGAGEMENTS 2026'!O921,IF($H921="EN COURS DE PREENGAGEMENT",'ENGAGEMENTS 2026'!N921,IF($H921="PREENGAGE",IF($E921="ATTRIBUE",'ENGAGEMENTS 2026'!AD921,'ENGAGEMENTS 2026'!N921),'ENGAGEMENTS 2026'!AD921))))</f>
        <v/>
      </c>
      <c r="K921" s="604">
        <f>IF(ISBLANK('ENGAGEMENTS 2026'!V921),"",'ENGAGEMENTS 2026'!V921)</f>
        <v/>
      </c>
      <c r="L921" s="276">
        <f>IF($K921="","",TODAY()-$K921)</f>
        <v/>
      </c>
      <c r="M921">
        <f>IF($A921="","",IF($H921="ENGAGE","Engagé",IF(AND($H921="NON ENGAGE",OR($I921="INFRUCTUEUX",$I921="ANNULE")),"Clôturé sans suite","En cours")))</f>
        <v/>
      </c>
      <c r="N921">
        <f>IF(ISBLANK('ENGAGEMENTS 2026'!B921),"",'ENGAGEMENTS 2026'!K921)</f>
        <v/>
      </c>
      <c r="O921">
        <f>IF(ISBLANK('ENGAGEMENTS 2026'!B921),"",'ENGAGEMENTS 2026'!L921)</f>
        <v/>
      </c>
      <c r="P921">
        <f>IF(ISBLANK('ENGAGEMENTS 2026'!B921),"",'ENGAGEMENTS 2026'!J921)</f>
        <v/>
      </c>
      <c r="Q921">
        <f>IF($A921="","",IF(OR($E921="INFRUCTUEUX",$E921="ANNULE"),$A921&amp;"|"&amp;(COUNTIFS($A$2:$A921,$A921,$E$2:$E921,"INFRUCTUEUX")+COUNTIFS($A$2:$A921,$A921,$E$2:$E921,"ANNULE")),""))</f>
        <v/>
      </c>
    </row>
    <row r="922">
      <c r="A922">
        <f>IF(ISBLANK('ENGAGEMENTS 2026'!B922),"",IF('ENGAGEMENTS 2026'!B922="DTSI","DCT",'ENGAGEMENTS 2026'!B922))</f>
        <v/>
      </c>
      <c r="B922">
        <f>IF(ISBLANK('ENGAGEMENTS 2026'!B922),"",'ENGAGEMENTS 2026'!C922)</f>
        <v/>
      </c>
      <c r="C922">
        <f>IF(ISBLANK('ENGAGEMENTS 2026'!B922),"",'ENGAGEMENTS 2026'!D922)</f>
        <v/>
      </c>
      <c r="D922">
        <f>IF(ISBLANK('ENGAGEMENTS 2026'!B922),"",'ENGAGEMENTS 2026'!F922)</f>
        <v/>
      </c>
      <c r="E922">
        <f>IF(ISBLANK('ENGAGEMENTS 2026'!B922),"",'ENGAGEMENTS 2026'!H922)</f>
        <v/>
      </c>
      <c r="F922">
        <f>IF(ISBLANK('ENGAGEMENTS 2026'!B922),"",'ENGAGEMENTS 2026'!I922)</f>
        <v/>
      </c>
      <c r="G922">
        <f>IF(ISBLANK('ENGAGEMENTS 2026'!B922),"",'ENGAGEMENTS 2026'!L922)</f>
        <v/>
      </c>
      <c r="H922">
        <f>IF(ISBLANK('ENGAGEMENTS 2026'!B922),"",'ENGAGEMENTS 2026'!AE922)</f>
        <v/>
      </c>
      <c r="I922">
        <f>IF(ISBLANK('ENGAGEMENTS 2026'!B922),"",'ENGAGEMENTS 2026'!G922)</f>
        <v/>
      </c>
      <c r="J922" s="275">
        <f>IF(ISBLANK('ENGAGEMENTS 2026'!B922),"",IF(AND(OR($E922="INFRUCTUEUX",$E922="ANNULE"),$C922="AOO-M"),'ENGAGEMENTS 2026'!O922,IF($H922="EN COURS DE PREENGAGEMENT",'ENGAGEMENTS 2026'!N922,IF($H922="PREENGAGE",IF($E922="ATTRIBUE",'ENGAGEMENTS 2026'!AD922,'ENGAGEMENTS 2026'!N922),'ENGAGEMENTS 2026'!AD922))))</f>
        <v/>
      </c>
      <c r="K922" s="604">
        <f>IF(ISBLANK('ENGAGEMENTS 2026'!V922),"",'ENGAGEMENTS 2026'!V922)</f>
        <v/>
      </c>
      <c r="L922" s="276">
        <f>IF($K922="","",TODAY()-$K922)</f>
        <v/>
      </c>
      <c r="M922">
        <f>IF($A922="","",IF($H922="ENGAGE","Engagé",IF(AND($H922="NON ENGAGE",OR($I922="INFRUCTUEUX",$I922="ANNULE")),"Clôturé sans suite","En cours")))</f>
        <v/>
      </c>
      <c r="N922">
        <f>IF(ISBLANK('ENGAGEMENTS 2026'!B922),"",'ENGAGEMENTS 2026'!K922)</f>
        <v/>
      </c>
      <c r="O922">
        <f>IF(ISBLANK('ENGAGEMENTS 2026'!B922),"",'ENGAGEMENTS 2026'!L922)</f>
        <v/>
      </c>
      <c r="P922">
        <f>IF(ISBLANK('ENGAGEMENTS 2026'!B922),"",'ENGAGEMENTS 2026'!J922)</f>
        <v/>
      </c>
      <c r="Q922">
        <f>IF($A922="","",IF(OR($E922="INFRUCTUEUX",$E922="ANNULE"),$A922&amp;"|"&amp;(COUNTIFS($A$2:$A922,$A922,$E$2:$E922,"INFRUCTUEUX")+COUNTIFS($A$2:$A922,$A922,$E$2:$E922,"ANNULE")),""))</f>
        <v/>
      </c>
    </row>
    <row r="923">
      <c r="A923">
        <f>IF(ISBLANK('ENGAGEMENTS 2026'!B923),"",IF('ENGAGEMENTS 2026'!B923="DTSI","DCT",'ENGAGEMENTS 2026'!B923))</f>
        <v/>
      </c>
      <c r="B923">
        <f>IF(ISBLANK('ENGAGEMENTS 2026'!B923),"",'ENGAGEMENTS 2026'!C923)</f>
        <v/>
      </c>
      <c r="C923">
        <f>IF(ISBLANK('ENGAGEMENTS 2026'!B923),"",'ENGAGEMENTS 2026'!D923)</f>
        <v/>
      </c>
      <c r="D923">
        <f>IF(ISBLANK('ENGAGEMENTS 2026'!B923),"",'ENGAGEMENTS 2026'!F923)</f>
        <v/>
      </c>
      <c r="E923">
        <f>IF(ISBLANK('ENGAGEMENTS 2026'!B923),"",'ENGAGEMENTS 2026'!H923)</f>
        <v/>
      </c>
      <c r="F923">
        <f>IF(ISBLANK('ENGAGEMENTS 2026'!B923),"",'ENGAGEMENTS 2026'!I923)</f>
        <v/>
      </c>
      <c r="G923">
        <f>IF(ISBLANK('ENGAGEMENTS 2026'!B923),"",'ENGAGEMENTS 2026'!L923)</f>
        <v/>
      </c>
      <c r="H923">
        <f>IF(ISBLANK('ENGAGEMENTS 2026'!B923),"",'ENGAGEMENTS 2026'!AE923)</f>
        <v/>
      </c>
      <c r="I923">
        <f>IF(ISBLANK('ENGAGEMENTS 2026'!B923),"",'ENGAGEMENTS 2026'!G923)</f>
        <v/>
      </c>
      <c r="J923" s="275">
        <f>IF(ISBLANK('ENGAGEMENTS 2026'!B923),"",IF(AND(OR($E923="INFRUCTUEUX",$E923="ANNULE"),$C923="AOO-M"),'ENGAGEMENTS 2026'!O923,IF($H923="EN COURS DE PREENGAGEMENT",'ENGAGEMENTS 2026'!N923,IF($H923="PREENGAGE",IF($E923="ATTRIBUE",'ENGAGEMENTS 2026'!AD923,'ENGAGEMENTS 2026'!N923),'ENGAGEMENTS 2026'!AD923))))</f>
        <v/>
      </c>
      <c r="K923" s="604">
        <f>IF(ISBLANK('ENGAGEMENTS 2026'!V923),"",'ENGAGEMENTS 2026'!V923)</f>
        <v/>
      </c>
      <c r="L923" s="276">
        <f>IF($K923="","",TODAY()-$K923)</f>
        <v/>
      </c>
      <c r="M923">
        <f>IF($A923="","",IF($H923="ENGAGE","Engagé",IF(AND($H923="NON ENGAGE",OR($I923="INFRUCTUEUX",$I923="ANNULE")),"Clôturé sans suite","En cours")))</f>
        <v/>
      </c>
      <c r="N923">
        <f>IF(ISBLANK('ENGAGEMENTS 2026'!B923),"",'ENGAGEMENTS 2026'!K923)</f>
        <v/>
      </c>
      <c r="O923">
        <f>IF(ISBLANK('ENGAGEMENTS 2026'!B923),"",'ENGAGEMENTS 2026'!L923)</f>
        <v/>
      </c>
      <c r="P923">
        <f>IF(ISBLANK('ENGAGEMENTS 2026'!B923),"",'ENGAGEMENTS 2026'!J923)</f>
        <v/>
      </c>
      <c r="Q923">
        <f>IF($A923="","",IF(OR($E923="INFRUCTUEUX",$E923="ANNULE"),$A923&amp;"|"&amp;(COUNTIFS($A$2:$A923,$A923,$E$2:$E923,"INFRUCTUEUX")+COUNTIFS($A$2:$A923,$A923,$E$2:$E923,"ANNULE")),""))</f>
        <v/>
      </c>
    </row>
    <row r="924">
      <c r="A924">
        <f>IF(ISBLANK('ENGAGEMENTS 2026'!B924),"",IF('ENGAGEMENTS 2026'!B924="DTSI","DCT",'ENGAGEMENTS 2026'!B924))</f>
        <v/>
      </c>
      <c r="B924">
        <f>IF(ISBLANK('ENGAGEMENTS 2026'!B924),"",'ENGAGEMENTS 2026'!C924)</f>
        <v/>
      </c>
      <c r="C924">
        <f>IF(ISBLANK('ENGAGEMENTS 2026'!B924),"",'ENGAGEMENTS 2026'!D924)</f>
        <v/>
      </c>
      <c r="D924">
        <f>IF(ISBLANK('ENGAGEMENTS 2026'!B924),"",'ENGAGEMENTS 2026'!F924)</f>
        <v/>
      </c>
      <c r="E924">
        <f>IF(ISBLANK('ENGAGEMENTS 2026'!B924),"",'ENGAGEMENTS 2026'!H924)</f>
        <v/>
      </c>
      <c r="F924">
        <f>IF(ISBLANK('ENGAGEMENTS 2026'!B924),"",'ENGAGEMENTS 2026'!I924)</f>
        <v/>
      </c>
      <c r="G924">
        <f>IF(ISBLANK('ENGAGEMENTS 2026'!B924),"",'ENGAGEMENTS 2026'!L924)</f>
        <v/>
      </c>
      <c r="H924">
        <f>IF(ISBLANK('ENGAGEMENTS 2026'!B924),"",'ENGAGEMENTS 2026'!AE924)</f>
        <v/>
      </c>
      <c r="I924">
        <f>IF(ISBLANK('ENGAGEMENTS 2026'!B924),"",'ENGAGEMENTS 2026'!G924)</f>
        <v/>
      </c>
      <c r="J924" s="275">
        <f>IF(ISBLANK('ENGAGEMENTS 2026'!B924),"",IF(AND(OR($E924="INFRUCTUEUX",$E924="ANNULE"),$C924="AOO-M"),'ENGAGEMENTS 2026'!O924,IF($H924="EN COURS DE PREENGAGEMENT",'ENGAGEMENTS 2026'!N924,IF($H924="PREENGAGE",IF($E924="ATTRIBUE",'ENGAGEMENTS 2026'!AD924,'ENGAGEMENTS 2026'!N924),'ENGAGEMENTS 2026'!AD924))))</f>
        <v/>
      </c>
      <c r="K924" s="604">
        <f>IF(ISBLANK('ENGAGEMENTS 2026'!V924),"",'ENGAGEMENTS 2026'!V924)</f>
        <v/>
      </c>
      <c r="L924" s="276">
        <f>IF($K924="","",TODAY()-$K924)</f>
        <v/>
      </c>
      <c r="M924">
        <f>IF($A924="","",IF($H924="ENGAGE","Engagé",IF(AND($H924="NON ENGAGE",OR($I924="INFRUCTUEUX",$I924="ANNULE")),"Clôturé sans suite","En cours")))</f>
        <v/>
      </c>
      <c r="N924">
        <f>IF(ISBLANK('ENGAGEMENTS 2026'!B924),"",'ENGAGEMENTS 2026'!K924)</f>
        <v/>
      </c>
      <c r="O924">
        <f>IF(ISBLANK('ENGAGEMENTS 2026'!B924),"",'ENGAGEMENTS 2026'!L924)</f>
        <v/>
      </c>
      <c r="P924">
        <f>IF(ISBLANK('ENGAGEMENTS 2026'!B924),"",'ENGAGEMENTS 2026'!J924)</f>
        <v/>
      </c>
      <c r="Q924">
        <f>IF($A924="","",IF(OR($E924="INFRUCTUEUX",$E924="ANNULE"),$A924&amp;"|"&amp;(COUNTIFS($A$2:$A924,$A924,$E$2:$E924,"INFRUCTUEUX")+COUNTIFS($A$2:$A924,$A924,$E$2:$E924,"ANNULE")),""))</f>
        <v/>
      </c>
    </row>
    <row r="925">
      <c r="A925">
        <f>IF(ISBLANK('ENGAGEMENTS 2026'!B925),"",IF('ENGAGEMENTS 2026'!B925="DTSI","DCT",'ENGAGEMENTS 2026'!B925))</f>
        <v/>
      </c>
      <c r="B925">
        <f>IF(ISBLANK('ENGAGEMENTS 2026'!B925),"",'ENGAGEMENTS 2026'!C925)</f>
        <v/>
      </c>
      <c r="C925">
        <f>IF(ISBLANK('ENGAGEMENTS 2026'!B925),"",'ENGAGEMENTS 2026'!D925)</f>
        <v/>
      </c>
      <c r="D925">
        <f>IF(ISBLANK('ENGAGEMENTS 2026'!B925),"",'ENGAGEMENTS 2026'!F925)</f>
        <v/>
      </c>
      <c r="E925">
        <f>IF(ISBLANK('ENGAGEMENTS 2026'!B925),"",'ENGAGEMENTS 2026'!H925)</f>
        <v/>
      </c>
      <c r="F925">
        <f>IF(ISBLANK('ENGAGEMENTS 2026'!B925),"",'ENGAGEMENTS 2026'!I925)</f>
        <v/>
      </c>
      <c r="G925">
        <f>IF(ISBLANK('ENGAGEMENTS 2026'!B925),"",'ENGAGEMENTS 2026'!L925)</f>
        <v/>
      </c>
      <c r="H925">
        <f>IF(ISBLANK('ENGAGEMENTS 2026'!B925),"",'ENGAGEMENTS 2026'!AE925)</f>
        <v/>
      </c>
      <c r="I925">
        <f>IF(ISBLANK('ENGAGEMENTS 2026'!B925),"",'ENGAGEMENTS 2026'!G925)</f>
        <v/>
      </c>
      <c r="J925" s="275">
        <f>IF(ISBLANK('ENGAGEMENTS 2026'!B925),"",IF(AND(OR($E925="INFRUCTUEUX",$E925="ANNULE"),$C925="AOO-M"),'ENGAGEMENTS 2026'!O925,IF($H925="EN COURS DE PREENGAGEMENT",'ENGAGEMENTS 2026'!N925,IF($H925="PREENGAGE",IF($E925="ATTRIBUE",'ENGAGEMENTS 2026'!AD925,'ENGAGEMENTS 2026'!N925),'ENGAGEMENTS 2026'!AD925))))</f>
        <v/>
      </c>
      <c r="K925" s="604">
        <f>IF(ISBLANK('ENGAGEMENTS 2026'!V925),"",'ENGAGEMENTS 2026'!V925)</f>
        <v/>
      </c>
      <c r="L925" s="276">
        <f>IF($K925="","",TODAY()-$K925)</f>
        <v/>
      </c>
      <c r="M925">
        <f>IF($A925="","",IF($H925="ENGAGE","Engagé",IF(AND($H925="NON ENGAGE",OR($I925="INFRUCTUEUX",$I925="ANNULE")),"Clôturé sans suite","En cours")))</f>
        <v/>
      </c>
      <c r="N925">
        <f>IF(ISBLANK('ENGAGEMENTS 2026'!B925),"",'ENGAGEMENTS 2026'!K925)</f>
        <v/>
      </c>
      <c r="O925">
        <f>IF(ISBLANK('ENGAGEMENTS 2026'!B925),"",'ENGAGEMENTS 2026'!L925)</f>
        <v/>
      </c>
      <c r="P925">
        <f>IF(ISBLANK('ENGAGEMENTS 2026'!B925),"",'ENGAGEMENTS 2026'!J925)</f>
        <v/>
      </c>
      <c r="Q925">
        <f>IF($A925="","",IF(OR($E925="INFRUCTUEUX",$E925="ANNULE"),$A925&amp;"|"&amp;(COUNTIFS($A$2:$A925,$A925,$E$2:$E925,"INFRUCTUEUX")+COUNTIFS($A$2:$A925,$A925,$E$2:$E925,"ANNULE")),""))</f>
        <v/>
      </c>
    </row>
    <row r="926">
      <c r="A926">
        <f>IF(ISBLANK('ENGAGEMENTS 2026'!B926),"",IF('ENGAGEMENTS 2026'!B926="DTSI","DCT",'ENGAGEMENTS 2026'!B926))</f>
        <v/>
      </c>
      <c r="B926">
        <f>IF(ISBLANK('ENGAGEMENTS 2026'!B926),"",'ENGAGEMENTS 2026'!C926)</f>
        <v/>
      </c>
      <c r="C926">
        <f>IF(ISBLANK('ENGAGEMENTS 2026'!B926),"",'ENGAGEMENTS 2026'!D926)</f>
        <v/>
      </c>
      <c r="D926">
        <f>IF(ISBLANK('ENGAGEMENTS 2026'!B926),"",'ENGAGEMENTS 2026'!F926)</f>
        <v/>
      </c>
      <c r="E926">
        <f>IF(ISBLANK('ENGAGEMENTS 2026'!B926),"",'ENGAGEMENTS 2026'!H926)</f>
        <v/>
      </c>
      <c r="F926">
        <f>IF(ISBLANK('ENGAGEMENTS 2026'!B926),"",'ENGAGEMENTS 2026'!I926)</f>
        <v/>
      </c>
      <c r="G926">
        <f>IF(ISBLANK('ENGAGEMENTS 2026'!B926),"",'ENGAGEMENTS 2026'!L926)</f>
        <v/>
      </c>
      <c r="H926">
        <f>IF(ISBLANK('ENGAGEMENTS 2026'!B926),"",'ENGAGEMENTS 2026'!AE926)</f>
        <v/>
      </c>
      <c r="I926">
        <f>IF(ISBLANK('ENGAGEMENTS 2026'!B926),"",'ENGAGEMENTS 2026'!G926)</f>
        <v/>
      </c>
      <c r="J926" s="275">
        <f>IF(ISBLANK('ENGAGEMENTS 2026'!B926),"",IF(AND(OR($E926="INFRUCTUEUX",$E926="ANNULE"),$C926="AOO-M"),'ENGAGEMENTS 2026'!O926,IF($H926="EN COURS DE PREENGAGEMENT",'ENGAGEMENTS 2026'!N926,IF($H926="PREENGAGE",IF($E926="ATTRIBUE",'ENGAGEMENTS 2026'!AD926,'ENGAGEMENTS 2026'!N926),'ENGAGEMENTS 2026'!AD926))))</f>
        <v/>
      </c>
      <c r="K926" s="604">
        <f>IF(ISBLANK('ENGAGEMENTS 2026'!V926),"",'ENGAGEMENTS 2026'!V926)</f>
        <v/>
      </c>
      <c r="L926" s="276">
        <f>IF($K926="","",TODAY()-$K926)</f>
        <v/>
      </c>
      <c r="M926">
        <f>IF($A926="","",IF($H926="ENGAGE","Engagé",IF(AND($H926="NON ENGAGE",OR($I926="INFRUCTUEUX",$I926="ANNULE")),"Clôturé sans suite","En cours")))</f>
        <v/>
      </c>
      <c r="N926">
        <f>IF(ISBLANK('ENGAGEMENTS 2026'!B926),"",'ENGAGEMENTS 2026'!K926)</f>
        <v/>
      </c>
      <c r="O926">
        <f>IF(ISBLANK('ENGAGEMENTS 2026'!B926),"",'ENGAGEMENTS 2026'!L926)</f>
        <v/>
      </c>
      <c r="P926">
        <f>IF(ISBLANK('ENGAGEMENTS 2026'!B926),"",'ENGAGEMENTS 2026'!J926)</f>
        <v/>
      </c>
      <c r="Q926">
        <f>IF($A926="","",IF(OR($E926="INFRUCTUEUX",$E926="ANNULE"),$A926&amp;"|"&amp;(COUNTIFS($A$2:$A926,$A926,$E$2:$E926,"INFRUCTUEUX")+COUNTIFS($A$2:$A926,$A926,$E$2:$E926,"ANNULE")),""))</f>
        <v/>
      </c>
    </row>
    <row r="927">
      <c r="A927">
        <f>IF(ISBLANK('ENGAGEMENTS 2026'!B927),"",IF('ENGAGEMENTS 2026'!B927="DTSI","DCT",'ENGAGEMENTS 2026'!B927))</f>
        <v/>
      </c>
      <c r="B927">
        <f>IF(ISBLANK('ENGAGEMENTS 2026'!B927),"",'ENGAGEMENTS 2026'!C927)</f>
        <v/>
      </c>
      <c r="C927">
        <f>IF(ISBLANK('ENGAGEMENTS 2026'!B927),"",'ENGAGEMENTS 2026'!D927)</f>
        <v/>
      </c>
      <c r="D927">
        <f>IF(ISBLANK('ENGAGEMENTS 2026'!B927),"",'ENGAGEMENTS 2026'!F927)</f>
        <v/>
      </c>
      <c r="E927">
        <f>IF(ISBLANK('ENGAGEMENTS 2026'!B927),"",'ENGAGEMENTS 2026'!H927)</f>
        <v/>
      </c>
      <c r="F927">
        <f>IF(ISBLANK('ENGAGEMENTS 2026'!B927),"",'ENGAGEMENTS 2026'!I927)</f>
        <v/>
      </c>
      <c r="G927">
        <f>IF(ISBLANK('ENGAGEMENTS 2026'!B927),"",'ENGAGEMENTS 2026'!L927)</f>
        <v/>
      </c>
      <c r="H927">
        <f>IF(ISBLANK('ENGAGEMENTS 2026'!B927),"",'ENGAGEMENTS 2026'!AE927)</f>
        <v/>
      </c>
      <c r="I927">
        <f>IF(ISBLANK('ENGAGEMENTS 2026'!B927),"",'ENGAGEMENTS 2026'!G927)</f>
        <v/>
      </c>
      <c r="J927" s="275">
        <f>IF(ISBLANK('ENGAGEMENTS 2026'!B927),"",IF(AND(OR($E927="INFRUCTUEUX",$E927="ANNULE"),$C927="AOO-M"),'ENGAGEMENTS 2026'!O927,IF($H927="EN COURS DE PREENGAGEMENT",'ENGAGEMENTS 2026'!N927,IF($H927="PREENGAGE",IF($E927="ATTRIBUE",'ENGAGEMENTS 2026'!AD927,'ENGAGEMENTS 2026'!N927),'ENGAGEMENTS 2026'!AD927))))</f>
        <v/>
      </c>
      <c r="K927" s="604">
        <f>IF(ISBLANK('ENGAGEMENTS 2026'!V927),"",'ENGAGEMENTS 2026'!V927)</f>
        <v/>
      </c>
      <c r="L927" s="276">
        <f>IF($K927="","",TODAY()-$K927)</f>
        <v/>
      </c>
      <c r="M927">
        <f>IF($A927="","",IF($H927="ENGAGE","Engagé",IF(AND($H927="NON ENGAGE",OR($I927="INFRUCTUEUX",$I927="ANNULE")),"Clôturé sans suite","En cours")))</f>
        <v/>
      </c>
      <c r="N927">
        <f>IF(ISBLANK('ENGAGEMENTS 2026'!B927),"",'ENGAGEMENTS 2026'!K927)</f>
        <v/>
      </c>
      <c r="O927">
        <f>IF(ISBLANK('ENGAGEMENTS 2026'!B927),"",'ENGAGEMENTS 2026'!L927)</f>
        <v/>
      </c>
      <c r="P927">
        <f>IF(ISBLANK('ENGAGEMENTS 2026'!B927),"",'ENGAGEMENTS 2026'!J927)</f>
        <v/>
      </c>
      <c r="Q927">
        <f>IF($A927="","",IF(OR($E927="INFRUCTUEUX",$E927="ANNULE"),$A927&amp;"|"&amp;(COUNTIFS($A$2:$A927,$A927,$E$2:$E927,"INFRUCTUEUX")+COUNTIFS($A$2:$A927,$A927,$E$2:$E927,"ANNULE")),""))</f>
        <v/>
      </c>
    </row>
    <row r="928">
      <c r="A928">
        <f>IF(ISBLANK('ENGAGEMENTS 2026'!B928),"",IF('ENGAGEMENTS 2026'!B928="DTSI","DCT",'ENGAGEMENTS 2026'!B928))</f>
        <v/>
      </c>
      <c r="B928">
        <f>IF(ISBLANK('ENGAGEMENTS 2026'!B928),"",'ENGAGEMENTS 2026'!C928)</f>
        <v/>
      </c>
      <c r="C928">
        <f>IF(ISBLANK('ENGAGEMENTS 2026'!B928),"",'ENGAGEMENTS 2026'!D928)</f>
        <v/>
      </c>
      <c r="D928">
        <f>IF(ISBLANK('ENGAGEMENTS 2026'!B928),"",'ENGAGEMENTS 2026'!F928)</f>
        <v/>
      </c>
      <c r="E928">
        <f>IF(ISBLANK('ENGAGEMENTS 2026'!B928),"",'ENGAGEMENTS 2026'!H928)</f>
        <v/>
      </c>
      <c r="F928">
        <f>IF(ISBLANK('ENGAGEMENTS 2026'!B928),"",'ENGAGEMENTS 2026'!I928)</f>
        <v/>
      </c>
      <c r="G928">
        <f>IF(ISBLANK('ENGAGEMENTS 2026'!B928),"",'ENGAGEMENTS 2026'!L928)</f>
        <v/>
      </c>
      <c r="H928">
        <f>IF(ISBLANK('ENGAGEMENTS 2026'!B928),"",'ENGAGEMENTS 2026'!AE928)</f>
        <v/>
      </c>
      <c r="I928">
        <f>IF(ISBLANK('ENGAGEMENTS 2026'!B928),"",'ENGAGEMENTS 2026'!G928)</f>
        <v/>
      </c>
      <c r="J928" s="275">
        <f>IF(ISBLANK('ENGAGEMENTS 2026'!B928),"",IF(AND(OR($E928="INFRUCTUEUX",$E928="ANNULE"),$C928="AOO-M"),'ENGAGEMENTS 2026'!O928,IF($H928="EN COURS DE PREENGAGEMENT",'ENGAGEMENTS 2026'!N928,IF($H928="PREENGAGE",IF($E928="ATTRIBUE",'ENGAGEMENTS 2026'!AD928,'ENGAGEMENTS 2026'!N928),'ENGAGEMENTS 2026'!AD928))))</f>
        <v/>
      </c>
      <c r="K928" s="604">
        <f>IF(ISBLANK('ENGAGEMENTS 2026'!V928),"",'ENGAGEMENTS 2026'!V928)</f>
        <v/>
      </c>
      <c r="L928" s="276">
        <f>IF($K928="","",TODAY()-$K928)</f>
        <v/>
      </c>
      <c r="M928">
        <f>IF($A928="","",IF($H928="ENGAGE","Engagé",IF(AND($H928="NON ENGAGE",OR($I928="INFRUCTUEUX",$I928="ANNULE")),"Clôturé sans suite","En cours")))</f>
        <v/>
      </c>
      <c r="N928">
        <f>IF(ISBLANK('ENGAGEMENTS 2026'!B928),"",'ENGAGEMENTS 2026'!K928)</f>
        <v/>
      </c>
      <c r="O928">
        <f>IF(ISBLANK('ENGAGEMENTS 2026'!B928),"",'ENGAGEMENTS 2026'!L928)</f>
        <v/>
      </c>
      <c r="P928">
        <f>IF(ISBLANK('ENGAGEMENTS 2026'!B928),"",'ENGAGEMENTS 2026'!J928)</f>
        <v/>
      </c>
      <c r="Q928">
        <f>IF($A928="","",IF(OR($E928="INFRUCTUEUX",$E928="ANNULE"),$A928&amp;"|"&amp;(COUNTIFS($A$2:$A928,$A928,$E$2:$E928,"INFRUCTUEUX")+COUNTIFS($A$2:$A928,$A928,$E$2:$E928,"ANNULE")),""))</f>
        <v/>
      </c>
    </row>
    <row r="929">
      <c r="A929">
        <f>IF(ISBLANK('ENGAGEMENTS 2026'!B929),"",IF('ENGAGEMENTS 2026'!B929="DTSI","DCT",'ENGAGEMENTS 2026'!B929))</f>
        <v/>
      </c>
      <c r="B929">
        <f>IF(ISBLANK('ENGAGEMENTS 2026'!B929),"",'ENGAGEMENTS 2026'!C929)</f>
        <v/>
      </c>
      <c r="C929">
        <f>IF(ISBLANK('ENGAGEMENTS 2026'!B929),"",'ENGAGEMENTS 2026'!D929)</f>
        <v/>
      </c>
      <c r="D929">
        <f>IF(ISBLANK('ENGAGEMENTS 2026'!B929),"",'ENGAGEMENTS 2026'!F929)</f>
        <v/>
      </c>
      <c r="E929">
        <f>IF(ISBLANK('ENGAGEMENTS 2026'!B929),"",'ENGAGEMENTS 2026'!H929)</f>
        <v/>
      </c>
      <c r="F929">
        <f>IF(ISBLANK('ENGAGEMENTS 2026'!B929),"",'ENGAGEMENTS 2026'!I929)</f>
        <v/>
      </c>
      <c r="G929">
        <f>IF(ISBLANK('ENGAGEMENTS 2026'!B929),"",'ENGAGEMENTS 2026'!L929)</f>
        <v/>
      </c>
      <c r="H929">
        <f>IF(ISBLANK('ENGAGEMENTS 2026'!B929),"",'ENGAGEMENTS 2026'!AE929)</f>
        <v/>
      </c>
      <c r="I929">
        <f>IF(ISBLANK('ENGAGEMENTS 2026'!B929),"",'ENGAGEMENTS 2026'!G929)</f>
        <v/>
      </c>
      <c r="J929" s="275">
        <f>IF(ISBLANK('ENGAGEMENTS 2026'!B929),"",IF(AND(OR($E929="INFRUCTUEUX",$E929="ANNULE"),$C929="AOO-M"),'ENGAGEMENTS 2026'!O929,IF($H929="EN COURS DE PREENGAGEMENT",'ENGAGEMENTS 2026'!N929,IF($H929="PREENGAGE",IF($E929="ATTRIBUE",'ENGAGEMENTS 2026'!AD929,'ENGAGEMENTS 2026'!N929),'ENGAGEMENTS 2026'!AD929))))</f>
        <v/>
      </c>
      <c r="K929" s="604">
        <f>IF(ISBLANK('ENGAGEMENTS 2026'!V929),"",'ENGAGEMENTS 2026'!V929)</f>
        <v/>
      </c>
      <c r="L929" s="276">
        <f>IF($K929="","",TODAY()-$K929)</f>
        <v/>
      </c>
      <c r="M929">
        <f>IF($A929="","",IF($H929="ENGAGE","Engagé",IF(AND($H929="NON ENGAGE",OR($I929="INFRUCTUEUX",$I929="ANNULE")),"Clôturé sans suite","En cours")))</f>
        <v/>
      </c>
      <c r="N929">
        <f>IF(ISBLANK('ENGAGEMENTS 2026'!B929),"",'ENGAGEMENTS 2026'!K929)</f>
        <v/>
      </c>
      <c r="O929">
        <f>IF(ISBLANK('ENGAGEMENTS 2026'!B929),"",'ENGAGEMENTS 2026'!L929)</f>
        <v/>
      </c>
      <c r="P929">
        <f>IF(ISBLANK('ENGAGEMENTS 2026'!B929),"",'ENGAGEMENTS 2026'!J929)</f>
        <v/>
      </c>
      <c r="Q929">
        <f>IF($A929="","",IF(OR($E929="INFRUCTUEUX",$E929="ANNULE"),$A929&amp;"|"&amp;(COUNTIFS($A$2:$A929,$A929,$E$2:$E929,"INFRUCTUEUX")+COUNTIFS($A$2:$A929,$A929,$E$2:$E929,"ANNULE")),""))</f>
        <v/>
      </c>
    </row>
    <row r="930">
      <c r="A930">
        <f>IF(ISBLANK('ENGAGEMENTS 2026'!B930),"",IF('ENGAGEMENTS 2026'!B930="DTSI","DCT",'ENGAGEMENTS 2026'!B930))</f>
        <v/>
      </c>
      <c r="B930">
        <f>IF(ISBLANK('ENGAGEMENTS 2026'!B930),"",'ENGAGEMENTS 2026'!C930)</f>
        <v/>
      </c>
      <c r="C930">
        <f>IF(ISBLANK('ENGAGEMENTS 2026'!B930),"",'ENGAGEMENTS 2026'!D930)</f>
        <v/>
      </c>
      <c r="D930">
        <f>IF(ISBLANK('ENGAGEMENTS 2026'!B930),"",'ENGAGEMENTS 2026'!F930)</f>
        <v/>
      </c>
      <c r="E930">
        <f>IF(ISBLANK('ENGAGEMENTS 2026'!B930),"",'ENGAGEMENTS 2026'!H930)</f>
        <v/>
      </c>
      <c r="F930">
        <f>IF(ISBLANK('ENGAGEMENTS 2026'!B930),"",'ENGAGEMENTS 2026'!I930)</f>
        <v/>
      </c>
      <c r="G930">
        <f>IF(ISBLANK('ENGAGEMENTS 2026'!B930),"",'ENGAGEMENTS 2026'!L930)</f>
        <v/>
      </c>
      <c r="H930">
        <f>IF(ISBLANK('ENGAGEMENTS 2026'!B930),"",'ENGAGEMENTS 2026'!AE930)</f>
        <v/>
      </c>
      <c r="I930">
        <f>IF(ISBLANK('ENGAGEMENTS 2026'!B930),"",'ENGAGEMENTS 2026'!G930)</f>
        <v/>
      </c>
      <c r="J930" s="275">
        <f>IF(ISBLANK('ENGAGEMENTS 2026'!B930),"",IF(AND(OR($E930="INFRUCTUEUX",$E930="ANNULE"),$C930="AOO-M"),'ENGAGEMENTS 2026'!O930,IF($H930="EN COURS DE PREENGAGEMENT",'ENGAGEMENTS 2026'!N930,IF($H930="PREENGAGE",IF($E930="ATTRIBUE",'ENGAGEMENTS 2026'!AD930,'ENGAGEMENTS 2026'!N930),'ENGAGEMENTS 2026'!AD930))))</f>
        <v/>
      </c>
      <c r="K930" s="604">
        <f>IF(ISBLANK('ENGAGEMENTS 2026'!V930),"",'ENGAGEMENTS 2026'!V930)</f>
        <v/>
      </c>
      <c r="L930" s="276">
        <f>IF($K930="","",TODAY()-$K930)</f>
        <v/>
      </c>
      <c r="M930">
        <f>IF($A930="","",IF($H930="ENGAGE","Engagé",IF(AND($H930="NON ENGAGE",OR($I930="INFRUCTUEUX",$I930="ANNULE")),"Clôturé sans suite","En cours")))</f>
        <v/>
      </c>
      <c r="N930">
        <f>IF(ISBLANK('ENGAGEMENTS 2026'!B930),"",'ENGAGEMENTS 2026'!K930)</f>
        <v/>
      </c>
      <c r="O930">
        <f>IF(ISBLANK('ENGAGEMENTS 2026'!B930),"",'ENGAGEMENTS 2026'!L930)</f>
        <v/>
      </c>
      <c r="P930">
        <f>IF(ISBLANK('ENGAGEMENTS 2026'!B930),"",'ENGAGEMENTS 2026'!J930)</f>
        <v/>
      </c>
      <c r="Q930">
        <f>IF($A930="","",IF(OR($E930="INFRUCTUEUX",$E930="ANNULE"),$A930&amp;"|"&amp;(COUNTIFS($A$2:$A930,$A930,$E$2:$E930,"INFRUCTUEUX")+COUNTIFS($A$2:$A930,$A930,$E$2:$E930,"ANNULE")),""))</f>
        <v/>
      </c>
    </row>
    <row r="931">
      <c r="A931">
        <f>IF(ISBLANK('ENGAGEMENTS 2026'!B931),"",IF('ENGAGEMENTS 2026'!B931="DTSI","DCT",'ENGAGEMENTS 2026'!B931))</f>
        <v/>
      </c>
      <c r="B931">
        <f>IF(ISBLANK('ENGAGEMENTS 2026'!B931),"",'ENGAGEMENTS 2026'!C931)</f>
        <v/>
      </c>
      <c r="C931">
        <f>IF(ISBLANK('ENGAGEMENTS 2026'!B931),"",'ENGAGEMENTS 2026'!D931)</f>
        <v/>
      </c>
      <c r="D931">
        <f>IF(ISBLANK('ENGAGEMENTS 2026'!B931),"",'ENGAGEMENTS 2026'!F931)</f>
        <v/>
      </c>
      <c r="E931">
        <f>IF(ISBLANK('ENGAGEMENTS 2026'!B931),"",'ENGAGEMENTS 2026'!H931)</f>
        <v/>
      </c>
      <c r="F931">
        <f>IF(ISBLANK('ENGAGEMENTS 2026'!B931),"",'ENGAGEMENTS 2026'!I931)</f>
        <v/>
      </c>
      <c r="G931">
        <f>IF(ISBLANK('ENGAGEMENTS 2026'!B931),"",'ENGAGEMENTS 2026'!L931)</f>
        <v/>
      </c>
      <c r="H931">
        <f>IF(ISBLANK('ENGAGEMENTS 2026'!B931),"",'ENGAGEMENTS 2026'!AE931)</f>
        <v/>
      </c>
      <c r="I931">
        <f>IF(ISBLANK('ENGAGEMENTS 2026'!B931),"",'ENGAGEMENTS 2026'!G931)</f>
        <v/>
      </c>
      <c r="J931" s="275">
        <f>IF(ISBLANK('ENGAGEMENTS 2026'!B931),"",IF(AND(OR($E931="INFRUCTUEUX",$E931="ANNULE"),$C931="AOO-M"),'ENGAGEMENTS 2026'!O931,IF($H931="EN COURS DE PREENGAGEMENT",'ENGAGEMENTS 2026'!N931,IF($H931="PREENGAGE",IF($E931="ATTRIBUE",'ENGAGEMENTS 2026'!AD931,'ENGAGEMENTS 2026'!N931),'ENGAGEMENTS 2026'!AD931))))</f>
        <v/>
      </c>
      <c r="K931" s="604">
        <f>IF(ISBLANK('ENGAGEMENTS 2026'!V931),"",'ENGAGEMENTS 2026'!V931)</f>
        <v/>
      </c>
      <c r="L931" s="276">
        <f>IF($K931="","",TODAY()-$K931)</f>
        <v/>
      </c>
      <c r="M931">
        <f>IF($A931="","",IF($H931="ENGAGE","Engagé",IF(AND($H931="NON ENGAGE",OR($I931="INFRUCTUEUX",$I931="ANNULE")),"Clôturé sans suite","En cours")))</f>
        <v/>
      </c>
      <c r="N931">
        <f>IF(ISBLANK('ENGAGEMENTS 2026'!B931),"",'ENGAGEMENTS 2026'!K931)</f>
        <v/>
      </c>
      <c r="O931">
        <f>IF(ISBLANK('ENGAGEMENTS 2026'!B931),"",'ENGAGEMENTS 2026'!L931)</f>
        <v/>
      </c>
      <c r="P931">
        <f>IF(ISBLANK('ENGAGEMENTS 2026'!B931),"",'ENGAGEMENTS 2026'!J931)</f>
        <v/>
      </c>
      <c r="Q931">
        <f>IF($A931="","",IF(OR($E931="INFRUCTUEUX",$E931="ANNULE"),$A931&amp;"|"&amp;(COUNTIFS($A$2:$A931,$A931,$E$2:$E931,"INFRUCTUEUX")+COUNTIFS($A$2:$A931,$A931,$E$2:$E931,"ANNULE")),""))</f>
        <v/>
      </c>
    </row>
    <row r="932">
      <c r="A932">
        <f>IF(ISBLANK('ENGAGEMENTS 2026'!B932),"",IF('ENGAGEMENTS 2026'!B932="DTSI","DCT",'ENGAGEMENTS 2026'!B932))</f>
        <v/>
      </c>
      <c r="B932">
        <f>IF(ISBLANK('ENGAGEMENTS 2026'!B932),"",'ENGAGEMENTS 2026'!C932)</f>
        <v/>
      </c>
      <c r="C932">
        <f>IF(ISBLANK('ENGAGEMENTS 2026'!B932),"",'ENGAGEMENTS 2026'!D932)</f>
        <v/>
      </c>
      <c r="D932">
        <f>IF(ISBLANK('ENGAGEMENTS 2026'!B932),"",'ENGAGEMENTS 2026'!F932)</f>
        <v/>
      </c>
      <c r="E932">
        <f>IF(ISBLANK('ENGAGEMENTS 2026'!B932),"",'ENGAGEMENTS 2026'!H932)</f>
        <v/>
      </c>
      <c r="F932">
        <f>IF(ISBLANK('ENGAGEMENTS 2026'!B932),"",'ENGAGEMENTS 2026'!I932)</f>
        <v/>
      </c>
      <c r="G932">
        <f>IF(ISBLANK('ENGAGEMENTS 2026'!B932),"",'ENGAGEMENTS 2026'!L932)</f>
        <v/>
      </c>
      <c r="H932">
        <f>IF(ISBLANK('ENGAGEMENTS 2026'!B932),"",'ENGAGEMENTS 2026'!AE932)</f>
        <v/>
      </c>
      <c r="I932">
        <f>IF(ISBLANK('ENGAGEMENTS 2026'!B932),"",'ENGAGEMENTS 2026'!G932)</f>
        <v/>
      </c>
      <c r="J932" s="275">
        <f>IF(ISBLANK('ENGAGEMENTS 2026'!B932),"",IF(AND(OR($E932="INFRUCTUEUX",$E932="ANNULE"),$C932="AOO-M"),'ENGAGEMENTS 2026'!O932,IF($H932="EN COURS DE PREENGAGEMENT",'ENGAGEMENTS 2026'!N932,IF($H932="PREENGAGE",IF($E932="ATTRIBUE",'ENGAGEMENTS 2026'!AD932,'ENGAGEMENTS 2026'!N932),'ENGAGEMENTS 2026'!AD932))))</f>
        <v/>
      </c>
      <c r="K932" s="604">
        <f>IF(ISBLANK('ENGAGEMENTS 2026'!V932),"",'ENGAGEMENTS 2026'!V932)</f>
        <v/>
      </c>
      <c r="L932" s="276">
        <f>IF($K932="","",TODAY()-$K932)</f>
        <v/>
      </c>
      <c r="M932">
        <f>IF($A932="","",IF($H932="ENGAGE","Engagé",IF(AND($H932="NON ENGAGE",OR($I932="INFRUCTUEUX",$I932="ANNULE")),"Clôturé sans suite","En cours")))</f>
        <v/>
      </c>
      <c r="N932">
        <f>IF(ISBLANK('ENGAGEMENTS 2026'!B932),"",'ENGAGEMENTS 2026'!K932)</f>
        <v/>
      </c>
      <c r="O932">
        <f>IF(ISBLANK('ENGAGEMENTS 2026'!B932),"",'ENGAGEMENTS 2026'!L932)</f>
        <v/>
      </c>
      <c r="P932">
        <f>IF(ISBLANK('ENGAGEMENTS 2026'!B932),"",'ENGAGEMENTS 2026'!J932)</f>
        <v/>
      </c>
      <c r="Q932">
        <f>IF($A932="","",IF(OR($E932="INFRUCTUEUX",$E932="ANNULE"),$A932&amp;"|"&amp;(COUNTIFS($A$2:$A932,$A932,$E$2:$E932,"INFRUCTUEUX")+COUNTIFS($A$2:$A932,$A932,$E$2:$E932,"ANNULE")),""))</f>
        <v/>
      </c>
    </row>
    <row r="933">
      <c r="A933">
        <f>IF(ISBLANK('ENGAGEMENTS 2026'!B933),"",IF('ENGAGEMENTS 2026'!B933="DTSI","DCT",'ENGAGEMENTS 2026'!B933))</f>
        <v/>
      </c>
      <c r="B933">
        <f>IF(ISBLANK('ENGAGEMENTS 2026'!B933),"",'ENGAGEMENTS 2026'!C933)</f>
        <v/>
      </c>
      <c r="C933">
        <f>IF(ISBLANK('ENGAGEMENTS 2026'!B933),"",'ENGAGEMENTS 2026'!D933)</f>
        <v/>
      </c>
      <c r="D933">
        <f>IF(ISBLANK('ENGAGEMENTS 2026'!B933),"",'ENGAGEMENTS 2026'!F933)</f>
        <v/>
      </c>
      <c r="E933">
        <f>IF(ISBLANK('ENGAGEMENTS 2026'!B933),"",'ENGAGEMENTS 2026'!H933)</f>
        <v/>
      </c>
      <c r="F933">
        <f>IF(ISBLANK('ENGAGEMENTS 2026'!B933),"",'ENGAGEMENTS 2026'!I933)</f>
        <v/>
      </c>
      <c r="G933">
        <f>IF(ISBLANK('ENGAGEMENTS 2026'!B933),"",'ENGAGEMENTS 2026'!L933)</f>
        <v/>
      </c>
      <c r="H933">
        <f>IF(ISBLANK('ENGAGEMENTS 2026'!B933),"",'ENGAGEMENTS 2026'!AE933)</f>
        <v/>
      </c>
      <c r="I933">
        <f>IF(ISBLANK('ENGAGEMENTS 2026'!B933),"",'ENGAGEMENTS 2026'!G933)</f>
        <v/>
      </c>
      <c r="J933" s="275">
        <f>IF(ISBLANK('ENGAGEMENTS 2026'!B933),"",IF(AND(OR($E933="INFRUCTUEUX",$E933="ANNULE"),$C933="AOO-M"),'ENGAGEMENTS 2026'!O933,IF($H933="EN COURS DE PREENGAGEMENT",'ENGAGEMENTS 2026'!N933,IF($H933="PREENGAGE",IF($E933="ATTRIBUE",'ENGAGEMENTS 2026'!AD933,'ENGAGEMENTS 2026'!N933),'ENGAGEMENTS 2026'!AD933))))</f>
        <v/>
      </c>
      <c r="K933" s="604">
        <f>IF(ISBLANK('ENGAGEMENTS 2026'!V933),"",'ENGAGEMENTS 2026'!V933)</f>
        <v/>
      </c>
      <c r="L933" s="276">
        <f>IF($K933="","",TODAY()-$K933)</f>
        <v/>
      </c>
      <c r="M933">
        <f>IF($A933="","",IF($H933="ENGAGE","Engagé",IF(AND($H933="NON ENGAGE",OR($I933="INFRUCTUEUX",$I933="ANNULE")),"Clôturé sans suite","En cours")))</f>
        <v/>
      </c>
      <c r="N933">
        <f>IF(ISBLANK('ENGAGEMENTS 2026'!B933),"",'ENGAGEMENTS 2026'!K933)</f>
        <v/>
      </c>
      <c r="O933">
        <f>IF(ISBLANK('ENGAGEMENTS 2026'!B933),"",'ENGAGEMENTS 2026'!L933)</f>
        <v/>
      </c>
      <c r="P933">
        <f>IF(ISBLANK('ENGAGEMENTS 2026'!B933),"",'ENGAGEMENTS 2026'!J933)</f>
        <v/>
      </c>
      <c r="Q933">
        <f>IF($A933="","",IF(OR($E933="INFRUCTUEUX",$E933="ANNULE"),$A933&amp;"|"&amp;(COUNTIFS($A$2:$A933,$A933,$E$2:$E933,"INFRUCTUEUX")+COUNTIFS($A$2:$A933,$A933,$E$2:$E933,"ANNULE")),""))</f>
        <v/>
      </c>
    </row>
    <row r="934">
      <c r="A934">
        <f>IF(ISBLANK('ENGAGEMENTS 2026'!B934),"",IF('ENGAGEMENTS 2026'!B934="DTSI","DCT",'ENGAGEMENTS 2026'!B934))</f>
        <v/>
      </c>
      <c r="B934">
        <f>IF(ISBLANK('ENGAGEMENTS 2026'!B934),"",'ENGAGEMENTS 2026'!C934)</f>
        <v/>
      </c>
      <c r="C934">
        <f>IF(ISBLANK('ENGAGEMENTS 2026'!B934),"",'ENGAGEMENTS 2026'!D934)</f>
        <v/>
      </c>
      <c r="D934">
        <f>IF(ISBLANK('ENGAGEMENTS 2026'!B934),"",'ENGAGEMENTS 2026'!F934)</f>
        <v/>
      </c>
      <c r="E934">
        <f>IF(ISBLANK('ENGAGEMENTS 2026'!B934),"",'ENGAGEMENTS 2026'!H934)</f>
        <v/>
      </c>
      <c r="F934">
        <f>IF(ISBLANK('ENGAGEMENTS 2026'!B934),"",'ENGAGEMENTS 2026'!I934)</f>
        <v/>
      </c>
      <c r="G934">
        <f>IF(ISBLANK('ENGAGEMENTS 2026'!B934),"",'ENGAGEMENTS 2026'!L934)</f>
        <v/>
      </c>
      <c r="H934">
        <f>IF(ISBLANK('ENGAGEMENTS 2026'!B934),"",'ENGAGEMENTS 2026'!AE934)</f>
        <v/>
      </c>
      <c r="I934">
        <f>IF(ISBLANK('ENGAGEMENTS 2026'!B934),"",'ENGAGEMENTS 2026'!G934)</f>
        <v/>
      </c>
      <c r="J934" s="275">
        <f>IF(ISBLANK('ENGAGEMENTS 2026'!B934),"",IF(AND(OR($E934="INFRUCTUEUX",$E934="ANNULE"),$C934="AOO-M"),'ENGAGEMENTS 2026'!O934,IF($H934="EN COURS DE PREENGAGEMENT",'ENGAGEMENTS 2026'!N934,IF($H934="PREENGAGE",IF($E934="ATTRIBUE",'ENGAGEMENTS 2026'!AD934,'ENGAGEMENTS 2026'!N934),'ENGAGEMENTS 2026'!AD934))))</f>
        <v/>
      </c>
      <c r="K934" s="604">
        <f>IF(ISBLANK('ENGAGEMENTS 2026'!V934),"",'ENGAGEMENTS 2026'!V934)</f>
        <v/>
      </c>
      <c r="L934" s="276">
        <f>IF($K934="","",TODAY()-$K934)</f>
        <v/>
      </c>
      <c r="M934">
        <f>IF($A934="","",IF($H934="ENGAGE","Engagé",IF(AND($H934="NON ENGAGE",OR($I934="INFRUCTUEUX",$I934="ANNULE")),"Clôturé sans suite","En cours")))</f>
        <v/>
      </c>
      <c r="N934">
        <f>IF(ISBLANK('ENGAGEMENTS 2026'!B934),"",'ENGAGEMENTS 2026'!K934)</f>
        <v/>
      </c>
      <c r="O934">
        <f>IF(ISBLANK('ENGAGEMENTS 2026'!B934),"",'ENGAGEMENTS 2026'!L934)</f>
        <v/>
      </c>
      <c r="P934">
        <f>IF(ISBLANK('ENGAGEMENTS 2026'!B934),"",'ENGAGEMENTS 2026'!J934)</f>
        <v/>
      </c>
      <c r="Q934">
        <f>IF($A934="","",IF(OR($E934="INFRUCTUEUX",$E934="ANNULE"),$A934&amp;"|"&amp;(COUNTIFS($A$2:$A934,$A934,$E$2:$E934,"INFRUCTUEUX")+COUNTIFS($A$2:$A934,$A934,$E$2:$E934,"ANNULE")),""))</f>
        <v/>
      </c>
    </row>
    <row r="935">
      <c r="A935">
        <f>IF(ISBLANK('ENGAGEMENTS 2026'!B935),"",IF('ENGAGEMENTS 2026'!B935="DTSI","DCT",'ENGAGEMENTS 2026'!B935))</f>
        <v/>
      </c>
      <c r="B935">
        <f>IF(ISBLANK('ENGAGEMENTS 2026'!B935),"",'ENGAGEMENTS 2026'!C935)</f>
        <v/>
      </c>
      <c r="C935">
        <f>IF(ISBLANK('ENGAGEMENTS 2026'!B935),"",'ENGAGEMENTS 2026'!D935)</f>
        <v/>
      </c>
      <c r="D935">
        <f>IF(ISBLANK('ENGAGEMENTS 2026'!B935),"",'ENGAGEMENTS 2026'!F935)</f>
        <v/>
      </c>
      <c r="E935">
        <f>IF(ISBLANK('ENGAGEMENTS 2026'!B935),"",'ENGAGEMENTS 2026'!H935)</f>
        <v/>
      </c>
      <c r="F935">
        <f>IF(ISBLANK('ENGAGEMENTS 2026'!B935),"",'ENGAGEMENTS 2026'!I935)</f>
        <v/>
      </c>
      <c r="G935">
        <f>IF(ISBLANK('ENGAGEMENTS 2026'!B935),"",'ENGAGEMENTS 2026'!L935)</f>
        <v/>
      </c>
      <c r="H935">
        <f>IF(ISBLANK('ENGAGEMENTS 2026'!B935),"",'ENGAGEMENTS 2026'!AE935)</f>
        <v/>
      </c>
      <c r="I935">
        <f>IF(ISBLANK('ENGAGEMENTS 2026'!B935),"",'ENGAGEMENTS 2026'!G935)</f>
        <v/>
      </c>
      <c r="J935" s="275">
        <f>IF(ISBLANK('ENGAGEMENTS 2026'!B935),"",IF(AND(OR($E935="INFRUCTUEUX",$E935="ANNULE"),$C935="AOO-M"),'ENGAGEMENTS 2026'!O935,IF($H935="EN COURS DE PREENGAGEMENT",'ENGAGEMENTS 2026'!N935,IF($H935="PREENGAGE",IF($E935="ATTRIBUE",'ENGAGEMENTS 2026'!AD935,'ENGAGEMENTS 2026'!N935),'ENGAGEMENTS 2026'!AD935))))</f>
        <v/>
      </c>
      <c r="K935" s="604">
        <f>IF(ISBLANK('ENGAGEMENTS 2026'!V935),"",'ENGAGEMENTS 2026'!V935)</f>
        <v/>
      </c>
      <c r="L935" s="276">
        <f>IF($K935="","",TODAY()-$K935)</f>
        <v/>
      </c>
      <c r="M935">
        <f>IF($A935="","",IF($H935="ENGAGE","Engagé",IF(AND($H935="NON ENGAGE",OR($I935="INFRUCTUEUX",$I935="ANNULE")),"Clôturé sans suite","En cours")))</f>
        <v/>
      </c>
      <c r="N935">
        <f>IF(ISBLANK('ENGAGEMENTS 2026'!B935),"",'ENGAGEMENTS 2026'!K935)</f>
        <v/>
      </c>
      <c r="O935">
        <f>IF(ISBLANK('ENGAGEMENTS 2026'!B935),"",'ENGAGEMENTS 2026'!L935)</f>
        <v/>
      </c>
      <c r="P935">
        <f>IF(ISBLANK('ENGAGEMENTS 2026'!B935),"",'ENGAGEMENTS 2026'!J935)</f>
        <v/>
      </c>
      <c r="Q935">
        <f>IF($A935="","",IF(OR($E935="INFRUCTUEUX",$E935="ANNULE"),$A935&amp;"|"&amp;(COUNTIFS($A$2:$A935,$A935,$E$2:$E935,"INFRUCTUEUX")+COUNTIFS($A$2:$A935,$A935,$E$2:$E935,"ANNULE")),""))</f>
        <v/>
      </c>
    </row>
    <row r="936">
      <c r="A936">
        <f>IF(ISBLANK('ENGAGEMENTS 2026'!B936),"",IF('ENGAGEMENTS 2026'!B936="DTSI","DCT",'ENGAGEMENTS 2026'!B936))</f>
        <v/>
      </c>
      <c r="B936">
        <f>IF(ISBLANK('ENGAGEMENTS 2026'!B936),"",'ENGAGEMENTS 2026'!C936)</f>
        <v/>
      </c>
      <c r="C936">
        <f>IF(ISBLANK('ENGAGEMENTS 2026'!B936),"",'ENGAGEMENTS 2026'!D936)</f>
        <v/>
      </c>
      <c r="D936">
        <f>IF(ISBLANK('ENGAGEMENTS 2026'!B936),"",'ENGAGEMENTS 2026'!F936)</f>
        <v/>
      </c>
      <c r="E936">
        <f>IF(ISBLANK('ENGAGEMENTS 2026'!B936),"",'ENGAGEMENTS 2026'!H936)</f>
        <v/>
      </c>
      <c r="F936">
        <f>IF(ISBLANK('ENGAGEMENTS 2026'!B936),"",'ENGAGEMENTS 2026'!I936)</f>
        <v/>
      </c>
      <c r="G936">
        <f>IF(ISBLANK('ENGAGEMENTS 2026'!B936),"",'ENGAGEMENTS 2026'!L936)</f>
        <v/>
      </c>
      <c r="H936">
        <f>IF(ISBLANK('ENGAGEMENTS 2026'!B936),"",'ENGAGEMENTS 2026'!AE936)</f>
        <v/>
      </c>
      <c r="I936">
        <f>IF(ISBLANK('ENGAGEMENTS 2026'!B936),"",'ENGAGEMENTS 2026'!G936)</f>
        <v/>
      </c>
      <c r="J936" s="275">
        <f>IF(ISBLANK('ENGAGEMENTS 2026'!B936),"",IF(AND(OR($E936="INFRUCTUEUX",$E936="ANNULE"),$C936="AOO-M"),'ENGAGEMENTS 2026'!O936,IF($H936="EN COURS DE PREENGAGEMENT",'ENGAGEMENTS 2026'!N936,IF($H936="PREENGAGE",IF($E936="ATTRIBUE",'ENGAGEMENTS 2026'!AD936,'ENGAGEMENTS 2026'!N936),'ENGAGEMENTS 2026'!AD936))))</f>
        <v/>
      </c>
      <c r="K936" s="604">
        <f>IF(ISBLANK('ENGAGEMENTS 2026'!V936),"",'ENGAGEMENTS 2026'!V936)</f>
        <v/>
      </c>
      <c r="L936" s="276">
        <f>IF($K936="","",TODAY()-$K936)</f>
        <v/>
      </c>
      <c r="M936">
        <f>IF($A936="","",IF($H936="ENGAGE","Engagé",IF(AND($H936="NON ENGAGE",OR($I936="INFRUCTUEUX",$I936="ANNULE")),"Clôturé sans suite","En cours")))</f>
        <v/>
      </c>
      <c r="N936">
        <f>IF(ISBLANK('ENGAGEMENTS 2026'!B936),"",'ENGAGEMENTS 2026'!K936)</f>
        <v/>
      </c>
      <c r="O936">
        <f>IF(ISBLANK('ENGAGEMENTS 2026'!B936),"",'ENGAGEMENTS 2026'!L936)</f>
        <v/>
      </c>
      <c r="P936">
        <f>IF(ISBLANK('ENGAGEMENTS 2026'!B936),"",'ENGAGEMENTS 2026'!J936)</f>
        <v/>
      </c>
      <c r="Q936">
        <f>IF($A936="","",IF(OR($E936="INFRUCTUEUX",$E936="ANNULE"),$A936&amp;"|"&amp;(COUNTIFS($A$2:$A936,$A936,$E$2:$E936,"INFRUCTUEUX")+COUNTIFS($A$2:$A936,$A936,$E$2:$E936,"ANNULE")),""))</f>
        <v/>
      </c>
    </row>
    <row r="937">
      <c r="A937">
        <f>IF(ISBLANK('ENGAGEMENTS 2026'!B937),"",IF('ENGAGEMENTS 2026'!B937="DTSI","DCT",'ENGAGEMENTS 2026'!B937))</f>
        <v/>
      </c>
      <c r="B937">
        <f>IF(ISBLANK('ENGAGEMENTS 2026'!B937),"",'ENGAGEMENTS 2026'!C937)</f>
        <v/>
      </c>
      <c r="C937">
        <f>IF(ISBLANK('ENGAGEMENTS 2026'!B937),"",'ENGAGEMENTS 2026'!D937)</f>
        <v/>
      </c>
      <c r="D937">
        <f>IF(ISBLANK('ENGAGEMENTS 2026'!B937),"",'ENGAGEMENTS 2026'!F937)</f>
        <v/>
      </c>
      <c r="E937">
        <f>IF(ISBLANK('ENGAGEMENTS 2026'!B937),"",'ENGAGEMENTS 2026'!H937)</f>
        <v/>
      </c>
      <c r="F937">
        <f>IF(ISBLANK('ENGAGEMENTS 2026'!B937),"",'ENGAGEMENTS 2026'!I937)</f>
        <v/>
      </c>
      <c r="G937">
        <f>IF(ISBLANK('ENGAGEMENTS 2026'!B937),"",'ENGAGEMENTS 2026'!L937)</f>
        <v/>
      </c>
      <c r="H937">
        <f>IF(ISBLANK('ENGAGEMENTS 2026'!B937),"",'ENGAGEMENTS 2026'!AE937)</f>
        <v/>
      </c>
      <c r="I937">
        <f>IF(ISBLANK('ENGAGEMENTS 2026'!B937),"",'ENGAGEMENTS 2026'!G937)</f>
        <v/>
      </c>
      <c r="J937" s="275">
        <f>IF(ISBLANK('ENGAGEMENTS 2026'!B937),"",IF(AND(OR($E937="INFRUCTUEUX",$E937="ANNULE"),$C937="AOO-M"),'ENGAGEMENTS 2026'!O937,IF($H937="EN COURS DE PREENGAGEMENT",'ENGAGEMENTS 2026'!N937,IF($H937="PREENGAGE",IF($E937="ATTRIBUE",'ENGAGEMENTS 2026'!AD937,'ENGAGEMENTS 2026'!N937),'ENGAGEMENTS 2026'!AD937))))</f>
        <v/>
      </c>
      <c r="K937" s="604">
        <f>IF(ISBLANK('ENGAGEMENTS 2026'!V937),"",'ENGAGEMENTS 2026'!V937)</f>
        <v/>
      </c>
      <c r="L937" s="276">
        <f>IF($K937="","",TODAY()-$K937)</f>
        <v/>
      </c>
      <c r="M937">
        <f>IF($A937="","",IF($H937="ENGAGE","Engagé",IF(AND($H937="NON ENGAGE",OR($I937="INFRUCTUEUX",$I937="ANNULE")),"Clôturé sans suite","En cours")))</f>
        <v/>
      </c>
      <c r="N937">
        <f>IF(ISBLANK('ENGAGEMENTS 2026'!B937),"",'ENGAGEMENTS 2026'!K937)</f>
        <v/>
      </c>
      <c r="O937">
        <f>IF(ISBLANK('ENGAGEMENTS 2026'!B937),"",'ENGAGEMENTS 2026'!L937)</f>
        <v/>
      </c>
      <c r="P937">
        <f>IF(ISBLANK('ENGAGEMENTS 2026'!B937),"",'ENGAGEMENTS 2026'!J937)</f>
        <v/>
      </c>
      <c r="Q937">
        <f>IF($A937="","",IF(OR($E937="INFRUCTUEUX",$E937="ANNULE"),$A937&amp;"|"&amp;(COUNTIFS($A$2:$A937,$A937,$E$2:$E937,"INFRUCTUEUX")+COUNTIFS($A$2:$A937,$A937,$E$2:$E937,"ANNULE")),""))</f>
        <v/>
      </c>
    </row>
    <row r="938">
      <c r="A938">
        <f>IF(ISBLANK('ENGAGEMENTS 2026'!B938),"",IF('ENGAGEMENTS 2026'!B938="DTSI","DCT",'ENGAGEMENTS 2026'!B938))</f>
        <v/>
      </c>
      <c r="B938">
        <f>IF(ISBLANK('ENGAGEMENTS 2026'!B938),"",'ENGAGEMENTS 2026'!C938)</f>
        <v/>
      </c>
      <c r="C938">
        <f>IF(ISBLANK('ENGAGEMENTS 2026'!B938),"",'ENGAGEMENTS 2026'!D938)</f>
        <v/>
      </c>
      <c r="D938">
        <f>IF(ISBLANK('ENGAGEMENTS 2026'!B938),"",'ENGAGEMENTS 2026'!F938)</f>
        <v/>
      </c>
      <c r="E938">
        <f>IF(ISBLANK('ENGAGEMENTS 2026'!B938),"",'ENGAGEMENTS 2026'!H938)</f>
        <v/>
      </c>
      <c r="F938">
        <f>IF(ISBLANK('ENGAGEMENTS 2026'!B938),"",'ENGAGEMENTS 2026'!I938)</f>
        <v/>
      </c>
      <c r="G938">
        <f>IF(ISBLANK('ENGAGEMENTS 2026'!B938),"",'ENGAGEMENTS 2026'!L938)</f>
        <v/>
      </c>
      <c r="H938">
        <f>IF(ISBLANK('ENGAGEMENTS 2026'!B938),"",'ENGAGEMENTS 2026'!AE938)</f>
        <v/>
      </c>
      <c r="I938">
        <f>IF(ISBLANK('ENGAGEMENTS 2026'!B938),"",'ENGAGEMENTS 2026'!G938)</f>
        <v/>
      </c>
      <c r="J938" s="275">
        <f>IF(ISBLANK('ENGAGEMENTS 2026'!B938),"",IF(AND(OR($E938="INFRUCTUEUX",$E938="ANNULE"),$C938="AOO-M"),'ENGAGEMENTS 2026'!O938,IF($H938="EN COURS DE PREENGAGEMENT",'ENGAGEMENTS 2026'!N938,IF($H938="PREENGAGE",IF($E938="ATTRIBUE",'ENGAGEMENTS 2026'!AD938,'ENGAGEMENTS 2026'!N938),'ENGAGEMENTS 2026'!AD938))))</f>
        <v/>
      </c>
      <c r="K938" s="604">
        <f>IF(ISBLANK('ENGAGEMENTS 2026'!V938),"",'ENGAGEMENTS 2026'!V938)</f>
        <v/>
      </c>
      <c r="L938" s="276">
        <f>IF($K938="","",TODAY()-$K938)</f>
        <v/>
      </c>
      <c r="M938">
        <f>IF($A938="","",IF($H938="ENGAGE","Engagé",IF(AND($H938="NON ENGAGE",OR($I938="INFRUCTUEUX",$I938="ANNULE")),"Clôturé sans suite","En cours")))</f>
        <v/>
      </c>
      <c r="N938">
        <f>IF(ISBLANK('ENGAGEMENTS 2026'!B938),"",'ENGAGEMENTS 2026'!K938)</f>
        <v/>
      </c>
      <c r="O938">
        <f>IF(ISBLANK('ENGAGEMENTS 2026'!B938),"",'ENGAGEMENTS 2026'!L938)</f>
        <v/>
      </c>
      <c r="P938">
        <f>IF(ISBLANK('ENGAGEMENTS 2026'!B938),"",'ENGAGEMENTS 2026'!J938)</f>
        <v/>
      </c>
      <c r="Q938">
        <f>IF($A938="","",IF(OR($E938="INFRUCTUEUX",$E938="ANNULE"),$A938&amp;"|"&amp;(COUNTIFS($A$2:$A938,$A938,$E$2:$E938,"INFRUCTUEUX")+COUNTIFS($A$2:$A938,$A938,$E$2:$E938,"ANNULE")),""))</f>
        <v/>
      </c>
    </row>
    <row r="939">
      <c r="A939">
        <f>IF(ISBLANK('ENGAGEMENTS 2026'!B939),"",IF('ENGAGEMENTS 2026'!B939="DTSI","DCT",'ENGAGEMENTS 2026'!B939))</f>
        <v/>
      </c>
      <c r="B939">
        <f>IF(ISBLANK('ENGAGEMENTS 2026'!B939),"",'ENGAGEMENTS 2026'!C939)</f>
        <v/>
      </c>
      <c r="C939">
        <f>IF(ISBLANK('ENGAGEMENTS 2026'!B939),"",'ENGAGEMENTS 2026'!D939)</f>
        <v/>
      </c>
      <c r="D939">
        <f>IF(ISBLANK('ENGAGEMENTS 2026'!B939),"",'ENGAGEMENTS 2026'!F939)</f>
        <v/>
      </c>
      <c r="E939">
        <f>IF(ISBLANK('ENGAGEMENTS 2026'!B939),"",'ENGAGEMENTS 2026'!H939)</f>
        <v/>
      </c>
      <c r="F939">
        <f>IF(ISBLANK('ENGAGEMENTS 2026'!B939),"",'ENGAGEMENTS 2026'!I939)</f>
        <v/>
      </c>
      <c r="G939">
        <f>IF(ISBLANK('ENGAGEMENTS 2026'!B939),"",'ENGAGEMENTS 2026'!L939)</f>
        <v/>
      </c>
      <c r="H939">
        <f>IF(ISBLANK('ENGAGEMENTS 2026'!B939),"",'ENGAGEMENTS 2026'!AE939)</f>
        <v/>
      </c>
      <c r="I939">
        <f>IF(ISBLANK('ENGAGEMENTS 2026'!B939),"",'ENGAGEMENTS 2026'!G939)</f>
        <v/>
      </c>
      <c r="J939" s="275">
        <f>IF(ISBLANK('ENGAGEMENTS 2026'!B939),"",IF(AND(OR($E939="INFRUCTUEUX",$E939="ANNULE"),$C939="AOO-M"),'ENGAGEMENTS 2026'!O939,IF($H939="EN COURS DE PREENGAGEMENT",'ENGAGEMENTS 2026'!N939,IF($H939="PREENGAGE",IF($E939="ATTRIBUE",'ENGAGEMENTS 2026'!AD939,'ENGAGEMENTS 2026'!N939),'ENGAGEMENTS 2026'!AD939))))</f>
        <v/>
      </c>
      <c r="K939" s="604">
        <f>IF(ISBLANK('ENGAGEMENTS 2026'!V939),"",'ENGAGEMENTS 2026'!V939)</f>
        <v/>
      </c>
      <c r="L939" s="276">
        <f>IF($K939="","",TODAY()-$K939)</f>
        <v/>
      </c>
      <c r="M939">
        <f>IF($A939="","",IF($H939="ENGAGE","Engagé",IF(AND($H939="NON ENGAGE",OR($I939="INFRUCTUEUX",$I939="ANNULE")),"Clôturé sans suite","En cours")))</f>
        <v/>
      </c>
      <c r="N939">
        <f>IF(ISBLANK('ENGAGEMENTS 2026'!B939),"",'ENGAGEMENTS 2026'!K939)</f>
        <v/>
      </c>
      <c r="O939">
        <f>IF(ISBLANK('ENGAGEMENTS 2026'!B939),"",'ENGAGEMENTS 2026'!L939)</f>
        <v/>
      </c>
      <c r="P939">
        <f>IF(ISBLANK('ENGAGEMENTS 2026'!B939),"",'ENGAGEMENTS 2026'!J939)</f>
        <v/>
      </c>
      <c r="Q939">
        <f>IF($A939="","",IF(OR($E939="INFRUCTUEUX",$E939="ANNULE"),$A939&amp;"|"&amp;(COUNTIFS($A$2:$A939,$A939,$E$2:$E939,"INFRUCTUEUX")+COUNTIFS($A$2:$A939,$A939,$E$2:$E939,"ANNULE")),""))</f>
        <v/>
      </c>
    </row>
    <row r="940">
      <c r="A940">
        <f>IF(ISBLANK('ENGAGEMENTS 2026'!B940),"",IF('ENGAGEMENTS 2026'!B940="DTSI","DCT",'ENGAGEMENTS 2026'!B940))</f>
        <v/>
      </c>
      <c r="B940">
        <f>IF(ISBLANK('ENGAGEMENTS 2026'!B940),"",'ENGAGEMENTS 2026'!C940)</f>
        <v/>
      </c>
      <c r="C940">
        <f>IF(ISBLANK('ENGAGEMENTS 2026'!B940),"",'ENGAGEMENTS 2026'!D940)</f>
        <v/>
      </c>
      <c r="D940">
        <f>IF(ISBLANK('ENGAGEMENTS 2026'!B940),"",'ENGAGEMENTS 2026'!F940)</f>
        <v/>
      </c>
      <c r="E940">
        <f>IF(ISBLANK('ENGAGEMENTS 2026'!B940),"",'ENGAGEMENTS 2026'!H940)</f>
        <v/>
      </c>
      <c r="F940">
        <f>IF(ISBLANK('ENGAGEMENTS 2026'!B940),"",'ENGAGEMENTS 2026'!I940)</f>
        <v/>
      </c>
      <c r="G940">
        <f>IF(ISBLANK('ENGAGEMENTS 2026'!B940),"",'ENGAGEMENTS 2026'!L940)</f>
        <v/>
      </c>
      <c r="H940">
        <f>IF(ISBLANK('ENGAGEMENTS 2026'!B940),"",'ENGAGEMENTS 2026'!AE940)</f>
        <v/>
      </c>
      <c r="I940">
        <f>IF(ISBLANK('ENGAGEMENTS 2026'!B940),"",'ENGAGEMENTS 2026'!G940)</f>
        <v/>
      </c>
      <c r="J940" s="275">
        <f>IF(ISBLANK('ENGAGEMENTS 2026'!B940),"",IF(AND(OR($E940="INFRUCTUEUX",$E940="ANNULE"),$C940="AOO-M"),'ENGAGEMENTS 2026'!O940,IF($H940="EN COURS DE PREENGAGEMENT",'ENGAGEMENTS 2026'!N940,IF($H940="PREENGAGE",IF($E940="ATTRIBUE",'ENGAGEMENTS 2026'!AD940,'ENGAGEMENTS 2026'!N940),'ENGAGEMENTS 2026'!AD940))))</f>
        <v/>
      </c>
      <c r="K940" s="604">
        <f>IF(ISBLANK('ENGAGEMENTS 2026'!V940),"",'ENGAGEMENTS 2026'!V940)</f>
        <v/>
      </c>
      <c r="L940" s="276">
        <f>IF($K940="","",TODAY()-$K940)</f>
        <v/>
      </c>
      <c r="M940">
        <f>IF($A940="","",IF($H940="ENGAGE","Engagé",IF(AND($H940="NON ENGAGE",OR($I940="INFRUCTUEUX",$I940="ANNULE")),"Clôturé sans suite","En cours")))</f>
        <v/>
      </c>
      <c r="N940">
        <f>IF(ISBLANK('ENGAGEMENTS 2026'!B940),"",'ENGAGEMENTS 2026'!K940)</f>
        <v/>
      </c>
      <c r="O940">
        <f>IF(ISBLANK('ENGAGEMENTS 2026'!B940),"",'ENGAGEMENTS 2026'!L940)</f>
        <v/>
      </c>
      <c r="P940">
        <f>IF(ISBLANK('ENGAGEMENTS 2026'!B940),"",'ENGAGEMENTS 2026'!J940)</f>
        <v/>
      </c>
      <c r="Q940">
        <f>IF($A940="","",IF(OR($E940="INFRUCTUEUX",$E940="ANNULE"),$A940&amp;"|"&amp;(COUNTIFS($A$2:$A940,$A940,$E$2:$E940,"INFRUCTUEUX")+COUNTIFS($A$2:$A940,$A940,$E$2:$E940,"ANNULE")),""))</f>
        <v/>
      </c>
    </row>
    <row r="941">
      <c r="A941">
        <f>IF(ISBLANK('ENGAGEMENTS 2026'!B941),"",IF('ENGAGEMENTS 2026'!B941="DTSI","DCT",'ENGAGEMENTS 2026'!B941))</f>
        <v/>
      </c>
      <c r="B941">
        <f>IF(ISBLANK('ENGAGEMENTS 2026'!B941),"",'ENGAGEMENTS 2026'!C941)</f>
        <v/>
      </c>
      <c r="C941">
        <f>IF(ISBLANK('ENGAGEMENTS 2026'!B941),"",'ENGAGEMENTS 2026'!D941)</f>
        <v/>
      </c>
      <c r="D941">
        <f>IF(ISBLANK('ENGAGEMENTS 2026'!B941),"",'ENGAGEMENTS 2026'!F941)</f>
        <v/>
      </c>
      <c r="E941">
        <f>IF(ISBLANK('ENGAGEMENTS 2026'!B941),"",'ENGAGEMENTS 2026'!H941)</f>
        <v/>
      </c>
      <c r="F941">
        <f>IF(ISBLANK('ENGAGEMENTS 2026'!B941),"",'ENGAGEMENTS 2026'!I941)</f>
        <v/>
      </c>
      <c r="G941">
        <f>IF(ISBLANK('ENGAGEMENTS 2026'!B941),"",'ENGAGEMENTS 2026'!L941)</f>
        <v/>
      </c>
      <c r="H941">
        <f>IF(ISBLANK('ENGAGEMENTS 2026'!B941),"",'ENGAGEMENTS 2026'!AE941)</f>
        <v/>
      </c>
      <c r="I941">
        <f>IF(ISBLANK('ENGAGEMENTS 2026'!B941),"",'ENGAGEMENTS 2026'!G941)</f>
        <v/>
      </c>
      <c r="J941" s="275">
        <f>IF(ISBLANK('ENGAGEMENTS 2026'!B941),"",IF(AND(OR($E941="INFRUCTUEUX",$E941="ANNULE"),$C941="AOO-M"),'ENGAGEMENTS 2026'!O941,IF($H941="EN COURS DE PREENGAGEMENT",'ENGAGEMENTS 2026'!N941,IF($H941="PREENGAGE",IF($E941="ATTRIBUE",'ENGAGEMENTS 2026'!AD941,'ENGAGEMENTS 2026'!N941),'ENGAGEMENTS 2026'!AD941))))</f>
        <v/>
      </c>
      <c r="K941" s="604">
        <f>IF(ISBLANK('ENGAGEMENTS 2026'!V941),"",'ENGAGEMENTS 2026'!V941)</f>
        <v/>
      </c>
      <c r="L941" s="276">
        <f>IF($K941="","",TODAY()-$K941)</f>
        <v/>
      </c>
      <c r="M941">
        <f>IF($A941="","",IF($H941="ENGAGE","Engagé",IF(AND($H941="NON ENGAGE",OR($I941="INFRUCTUEUX",$I941="ANNULE")),"Clôturé sans suite","En cours")))</f>
        <v/>
      </c>
      <c r="N941">
        <f>IF(ISBLANK('ENGAGEMENTS 2026'!B941),"",'ENGAGEMENTS 2026'!K941)</f>
        <v/>
      </c>
      <c r="O941">
        <f>IF(ISBLANK('ENGAGEMENTS 2026'!B941),"",'ENGAGEMENTS 2026'!L941)</f>
        <v/>
      </c>
      <c r="P941">
        <f>IF(ISBLANK('ENGAGEMENTS 2026'!B941),"",'ENGAGEMENTS 2026'!J941)</f>
        <v/>
      </c>
      <c r="Q941">
        <f>IF($A941="","",IF(OR($E941="INFRUCTUEUX",$E941="ANNULE"),$A941&amp;"|"&amp;(COUNTIFS($A$2:$A941,$A941,$E$2:$E941,"INFRUCTUEUX")+COUNTIFS($A$2:$A941,$A941,$E$2:$E941,"ANNULE")),""))</f>
        <v/>
      </c>
    </row>
    <row r="942">
      <c r="A942">
        <f>IF(ISBLANK('ENGAGEMENTS 2026'!B942),"",IF('ENGAGEMENTS 2026'!B942="DTSI","DCT",'ENGAGEMENTS 2026'!B942))</f>
        <v/>
      </c>
      <c r="B942">
        <f>IF(ISBLANK('ENGAGEMENTS 2026'!B942),"",'ENGAGEMENTS 2026'!C942)</f>
        <v/>
      </c>
      <c r="C942">
        <f>IF(ISBLANK('ENGAGEMENTS 2026'!B942),"",'ENGAGEMENTS 2026'!D942)</f>
        <v/>
      </c>
      <c r="D942">
        <f>IF(ISBLANK('ENGAGEMENTS 2026'!B942),"",'ENGAGEMENTS 2026'!F942)</f>
        <v/>
      </c>
      <c r="E942">
        <f>IF(ISBLANK('ENGAGEMENTS 2026'!B942),"",'ENGAGEMENTS 2026'!H942)</f>
        <v/>
      </c>
      <c r="F942">
        <f>IF(ISBLANK('ENGAGEMENTS 2026'!B942),"",'ENGAGEMENTS 2026'!I942)</f>
        <v/>
      </c>
      <c r="G942">
        <f>IF(ISBLANK('ENGAGEMENTS 2026'!B942),"",'ENGAGEMENTS 2026'!L942)</f>
        <v/>
      </c>
      <c r="H942">
        <f>IF(ISBLANK('ENGAGEMENTS 2026'!B942),"",'ENGAGEMENTS 2026'!AE942)</f>
        <v/>
      </c>
      <c r="I942">
        <f>IF(ISBLANK('ENGAGEMENTS 2026'!B942),"",'ENGAGEMENTS 2026'!G942)</f>
        <v/>
      </c>
      <c r="J942" s="275">
        <f>IF(ISBLANK('ENGAGEMENTS 2026'!B942),"",IF(AND(OR($E942="INFRUCTUEUX",$E942="ANNULE"),$C942="AOO-M"),'ENGAGEMENTS 2026'!O942,IF($H942="EN COURS DE PREENGAGEMENT",'ENGAGEMENTS 2026'!N942,IF($H942="PREENGAGE",IF($E942="ATTRIBUE",'ENGAGEMENTS 2026'!AD942,'ENGAGEMENTS 2026'!N942),'ENGAGEMENTS 2026'!AD942))))</f>
        <v/>
      </c>
      <c r="K942" s="604">
        <f>IF(ISBLANK('ENGAGEMENTS 2026'!V942),"",'ENGAGEMENTS 2026'!V942)</f>
        <v/>
      </c>
      <c r="L942" s="276">
        <f>IF($K942="","",TODAY()-$K942)</f>
        <v/>
      </c>
      <c r="M942">
        <f>IF($A942="","",IF($H942="ENGAGE","Engagé",IF(AND($H942="NON ENGAGE",OR($I942="INFRUCTUEUX",$I942="ANNULE")),"Clôturé sans suite","En cours")))</f>
        <v/>
      </c>
      <c r="N942">
        <f>IF(ISBLANK('ENGAGEMENTS 2026'!B942),"",'ENGAGEMENTS 2026'!K942)</f>
        <v/>
      </c>
      <c r="O942">
        <f>IF(ISBLANK('ENGAGEMENTS 2026'!B942),"",'ENGAGEMENTS 2026'!L942)</f>
        <v/>
      </c>
      <c r="P942">
        <f>IF(ISBLANK('ENGAGEMENTS 2026'!B942),"",'ENGAGEMENTS 2026'!J942)</f>
        <v/>
      </c>
      <c r="Q942">
        <f>IF($A942="","",IF(OR($E942="INFRUCTUEUX",$E942="ANNULE"),$A942&amp;"|"&amp;(COUNTIFS($A$2:$A942,$A942,$E$2:$E942,"INFRUCTUEUX")+COUNTIFS($A$2:$A942,$A942,$E$2:$E942,"ANNULE")),""))</f>
        <v/>
      </c>
    </row>
    <row r="943">
      <c r="A943">
        <f>IF(ISBLANK('ENGAGEMENTS 2026'!B943),"",IF('ENGAGEMENTS 2026'!B943="DTSI","DCT",'ENGAGEMENTS 2026'!B943))</f>
        <v/>
      </c>
      <c r="B943">
        <f>IF(ISBLANK('ENGAGEMENTS 2026'!B943),"",'ENGAGEMENTS 2026'!C943)</f>
        <v/>
      </c>
      <c r="C943">
        <f>IF(ISBLANK('ENGAGEMENTS 2026'!B943),"",'ENGAGEMENTS 2026'!D943)</f>
        <v/>
      </c>
      <c r="D943">
        <f>IF(ISBLANK('ENGAGEMENTS 2026'!B943),"",'ENGAGEMENTS 2026'!F943)</f>
        <v/>
      </c>
      <c r="E943">
        <f>IF(ISBLANK('ENGAGEMENTS 2026'!B943),"",'ENGAGEMENTS 2026'!H943)</f>
        <v/>
      </c>
      <c r="F943">
        <f>IF(ISBLANK('ENGAGEMENTS 2026'!B943),"",'ENGAGEMENTS 2026'!I943)</f>
        <v/>
      </c>
      <c r="G943">
        <f>IF(ISBLANK('ENGAGEMENTS 2026'!B943),"",'ENGAGEMENTS 2026'!L943)</f>
        <v/>
      </c>
      <c r="H943">
        <f>IF(ISBLANK('ENGAGEMENTS 2026'!B943),"",'ENGAGEMENTS 2026'!AE943)</f>
        <v/>
      </c>
      <c r="I943">
        <f>IF(ISBLANK('ENGAGEMENTS 2026'!B943),"",'ENGAGEMENTS 2026'!G943)</f>
        <v/>
      </c>
      <c r="J943" s="275">
        <f>IF(ISBLANK('ENGAGEMENTS 2026'!B943),"",IF(AND(OR($E943="INFRUCTUEUX",$E943="ANNULE"),$C943="AOO-M"),'ENGAGEMENTS 2026'!O943,IF($H943="EN COURS DE PREENGAGEMENT",'ENGAGEMENTS 2026'!N943,IF($H943="PREENGAGE",IF($E943="ATTRIBUE",'ENGAGEMENTS 2026'!AD943,'ENGAGEMENTS 2026'!N943),'ENGAGEMENTS 2026'!AD943))))</f>
        <v/>
      </c>
      <c r="K943" s="604">
        <f>IF(ISBLANK('ENGAGEMENTS 2026'!V943),"",'ENGAGEMENTS 2026'!V943)</f>
        <v/>
      </c>
      <c r="L943" s="276">
        <f>IF($K943="","",TODAY()-$K943)</f>
        <v/>
      </c>
      <c r="M943">
        <f>IF($A943="","",IF($H943="ENGAGE","Engagé",IF(AND($H943="NON ENGAGE",OR($I943="INFRUCTUEUX",$I943="ANNULE")),"Clôturé sans suite","En cours")))</f>
        <v/>
      </c>
      <c r="N943">
        <f>IF(ISBLANK('ENGAGEMENTS 2026'!B943),"",'ENGAGEMENTS 2026'!K943)</f>
        <v/>
      </c>
      <c r="O943">
        <f>IF(ISBLANK('ENGAGEMENTS 2026'!B943),"",'ENGAGEMENTS 2026'!L943)</f>
        <v/>
      </c>
      <c r="P943">
        <f>IF(ISBLANK('ENGAGEMENTS 2026'!B943),"",'ENGAGEMENTS 2026'!J943)</f>
        <v/>
      </c>
      <c r="Q943">
        <f>IF($A943="","",IF(OR($E943="INFRUCTUEUX",$E943="ANNULE"),$A943&amp;"|"&amp;(COUNTIFS($A$2:$A943,$A943,$E$2:$E943,"INFRUCTUEUX")+COUNTIFS($A$2:$A943,$A943,$E$2:$E943,"ANNULE")),""))</f>
        <v/>
      </c>
    </row>
    <row r="944">
      <c r="A944">
        <f>IF(ISBLANK('ENGAGEMENTS 2026'!B944),"",IF('ENGAGEMENTS 2026'!B944="DTSI","DCT",'ENGAGEMENTS 2026'!B944))</f>
        <v/>
      </c>
      <c r="B944">
        <f>IF(ISBLANK('ENGAGEMENTS 2026'!B944),"",'ENGAGEMENTS 2026'!C944)</f>
        <v/>
      </c>
      <c r="C944">
        <f>IF(ISBLANK('ENGAGEMENTS 2026'!B944),"",'ENGAGEMENTS 2026'!D944)</f>
        <v/>
      </c>
      <c r="D944">
        <f>IF(ISBLANK('ENGAGEMENTS 2026'!B944),"",'ENGAGEMENTS 2026'!F944)</f>
        <v/>
      </c>
      <c r="E944">
        <f>IF(ISBLANK('ENGAGEMENTS 2026'!B944),"",'ENGAGEMENTS 2026'!H944)</f>
        <v/>
      </c>
      <c r="F944">
        <f>IF(ISBLANK('ENGAGEMENTS 2026'!B944),"",'ENGAGEMENTS 2026'!I944)</f>
        <v/>
      </c>
      <c r="G944">
        <f>IF(ISBLANK('ENGAGEMENTS 2026'!B944),"",'ENGAGEMENTS 2026'!L944)</f>
        <v/>
      </c>
      <c r="H944">
        <f>IF(ISBLANK('ENGAGEMENTS 2026'!B944),"",'ENGAGEMENTS 2026'!AE944)</f>
        <v/>
      </c>
      <c r="I944">
        <f>IF(ISBLANK('ENGAGEMENTS 2026'!B944),"",'ENGAGEMENTS 2026'!G944)</f>
        <v/>
      </c>
      <c r="J944" s="275">
        <f>IF(ISBLANK('ENGAGEMENTS 2026'!B944),"",IF(AND(OR($E944="INFRUCTUEUX",$E944="ANNULE"),$C944="AOO-M"),'ENGAGEMENTS 2026'!O944,IF($H944="EN COURS DE PREENGAGEMENT",'ENGAGEMENTS 2026'!N944,IF($H944="PREENGAGE",IF($E944="ATTRIBUE",'ENGAGEMENTS 2026'!AD944,'ENGAGEMENTS 2026'!N944),'ENGAGEMENTS 2026'!AD944))))</f>
        <v/>
      </c>
      <c r="K944" s="604">
        <f>IF(ISBLANK('ENGAGEMENTS 2026'!V944),"",'ENGAGEMENTS 2026'!V944)</f>
        <v/>
      </c>
      <c r="L944" s="276">
        <f>IF($K944="","",TODAY()-$K944)</f>
        <v/>
      </c>
      <c r="M944">
        <f>IF($A944="","",IF($H944="ENGAGE","Engagé",IF(AND($H944="NON ENGAGE",OR($I944="INFRUCTUEUX",$I944="ANNULE")),"Clôturé sans suite","En cours")))</f>
        <v/>
      </c>
      <c r="N944">
        <f>IF(ISBLANK('ENGAGEMENTS 2026'!B944),"",'ENGAGEMENTS 2026'!K944)</f>
        <v/>
      </c>
      <c r="O944">
        <f>IF(ISBLANK('ENGAGEMENTS 2026'!B944),"",'ENGAGEMENTS 2026'!L944)</f>
        <v/>
      </c>
      <c r="P944">
        <f>IF(ISBLANK('ENGAGEMENTS 2026'!B944),"",'ENGAGEMENTS 2026'!J944)</f>
        <v/>
      </c>
      <c r="Q944">
        <f>IF($A944="","",IF(OR($E944="INFRUCTUEUX",$E944="ANNULE"),$A944&amp;"|"&amp;(COUNTIFS($A$2:$A944,$A944,$E$2:$E944,"INFRUCTUEUX")+COUNTIFS($A$2:$A944,$A944,$E$2:$E944,"ANNULE")),""))</f>
        <v/>
      </c>
    </row>
    <row r="945">
      <c r="A945">
        <f>IF(ISBLANK('ENGAGEMENTS 2026'!B945),"",IF('ENGAGEMENTS 2026'!B945="DTSI","DCT",'ENGAGEMENTS 2026'!B945))</f>
        <v/>
      </c>
      <c r="B945">
        <f>IF(ISBLANK('ENGAGEMENTS 2026'!B945),"",'ENGAGEMENTS 2026'!C945)</f>
        <v/>
      </c>
      <c r="C945">
        <f>IF(ISBLANK('ENGAGEMENTS 2026'!B945),"",'ENGAGEMENTS 2026'!D945)</f>
        <v/>
      </c>
      <c r="D945">
        <f>IF(ISBLANK('ENGAGEMENTS 2026'!B945),"",'ENGAGEMENTS 2026'!F945)</f>
        <v/>
      </c>
      <c r="E945">
        <f>IF(ISBLANK('ENGAGEMENTS 2026'!B945),"",'ENGAGEMENTS 2026'!H945)</f>
        <v/>
      </c>
      <c r="F945">
        <f>IF(ISBLANK('ENGAGEMENTS 2026'!B945),"",'ENGAGEMENTS 2026'!I945)</f>
        <v/>
      </c>
      <c r="G945">
        <f>IF(ISBLANK('ENGAGEMENTS 2026'!B945),"",'ENGAGEMENTS 2026'!L945)</f>
        <v/>
      </c>
      <c r="H945">
        <f>IF(ISBLANK('ENGAGEMENTS 2026'!B945),"",'ENGAGEMENTS 2026'!AE945)</f>
        <v/>
      </c>
      <c r="I945">
        <f>IF(ISBLANK('ENGAGEMENTS 2026'!B945),"",'ENGAGEMENTS 2026'!G945)</f>
        <v/>
      </c>
      <c r="J945" s="275">
        <f>IF(ISBLANK('ENGAGEMENTS 2026'!B945),"",IF(AND(OR($E945="INFRUCTUEUX",$E945="ANNULE"),$C945="AOO-M"),'ENGAGEMENTS 2026'!O945,IF($H945="EN COURS DE PREENGAGEMENT",'ENGAGEMENTS 2026'!N945,IF($H945="PREENGAGE",IF($E945="ATTRIBUE",'ENGAGEMENTS 2026'!AD945,'ENGAGEMENTS 2026'!N945),'ENGAGEMENTS 2026'!AD945))))</f>
        <v/>
      </c>
      <c r="K945" s="604">
        <f>IF(ISBLANK('ENGAGEMENTS 2026'!V945),"",'ENGAGEMENTS 2026'!V945)</f>
        <v/>
      </c>
      <c r="L945" s="276">
        <f>IF($K945="","",TODAY()-$K945)</f>
        <v/>
      </c>
      <c r="M945">
        <f>IF($A945="","",IF($H945="ENGAGE","Engagé",IF(AND($H945="NON ENGAGE",OR($I945="INFRUCTUEUX",$I945="ANNULE")),"Clôturé sans suite","En cours")))</f>
        <v/>
      </c>
      <c r="N945">
        <f>IF(ISBLANK('ENGAGEMENTS 2026'!B945),"",'ENGAGEMENTS 2026'!K945)</f>
        <v/>
      </c>
      <c r="O945">
        <f>IF(ISBLANK('ENGAGEMENTS 2026'!B945),"",'ENGAGEMENTS 2026'!L945)</f>
        <v/>
      </c>
      <c r="P945">
        <f>IF(ISBLANK('ENGAGEMENTS 2026'!B945),"",'ENGAGEMENTS 2026'!J945)</f>
        <v/>
      </c>
      <c r="Q945">
        <f>IF($A945="","",IF(OR($E945="INFRUCTUEUX",$E945="ANNULE"),$A945&amp;"|"&amp;(COUNTIFS($A$2:$A945,$A945,$E$2:$E945,"INFRUCTUEUX")+COUNTIFS($A$2:$A945,$A945,$E$2:$E945,"ANNULE")),""))</f>
        <v/>
      </c>
    </row>
    <row r="946">
      <c r="A946">
        <f>IF(ISBLANK('ENGAGEMENTS 2026'!B946),"",IF('ENGAGEMENTS 2026'!B946="DTSI","DCT",'ENGAGEMENTS 2026'!B946))</f>
        <v/>
      </c>
      <c r="B946">
        <f>IF(ISBLANK('ENGAGEMENTS 2026'!B946),"",'ENGAGEMENTS 2026'!C946)</f>
        <v/>
      </c>
      <c r="C946">
        <f>IF(ISBLANK('ENGAGEMENTS 2026'!B946),"",'ENGAGEMENTS 2026'!D946)</f>
        <v/>
      </c>
      <c r="D946">
        <f>IF(ISBLANK('ENGAGEMENTS 2026'!B946),"",'ENGAGEMENTS 2026'!F946)</f>
        <v/>
      </c>
      <c r="E946">
        <f>IF(ISBLANK('ENGAGEMENTS 2026'!B946),"",'ENGAGEMENTS 2026'!H946)</f>
        <v/>
      </c>
      <c r="F946">
        <f>IF(ISBLANK('ENGAGEMENTS 2026'!B946),"",'ENGAGEMENTS 2026'!I946)</f>
        <v/>
      </c>
      <c r="G946">
        <f>IF(ISBLANK('ENGAGEMENTS 2026'!B946),"",'ENGAGEMENTS 2026'!L946)</f>
        <v/>
      </c>
      <c r="H946">
        <f>IF(ISBLANK('ENGAGEMENTS 2026'!B946),"",'ENGAGEMENTS 2026'!AE946)</f>
        <v/>
      </c>
      <c r="I946">
        <f>IF(ISBLANK('ENGAGEMENTS 2026'!B946),"",'ENGAGEMENTS 2026'!G946)</f>
        <v/>
      </c>
      <c r="J946" s="275">
        <f>IF(ISBLANK('ENGAGEMENTS 2026'!B946),"",IF(AND(OR($E946="INFRUCTUEUX",$E946="ANNULE"),$C946="AOO-M"),'ENGAGEMENTS 2026'!O946,IF($H946="EN COURS DE PREENGAGEMENT",'ENGAGEMENTS 2026'!N946,IF($H946="PREENGAGE",IF($E946="ATTRIBUE",'ENGAGEMENTS 2026'!AD946,'ENGAGEMENTS 2026'!N946),'ENGAGEMENTS 2026'!AD946))))</f>
        <v/>
      </c>
      <c r="K946" s="604">
        <f>IF(ISBLANK('ENGAGEMENTS 2026'!V946),"",'ENGAGEMENTS 2026'!V946)</f>
        <v/>
      </c>
      <c r="L946" s="276">
        <f>IF($K946="","",TODAY()-$K946)</f>
        <v/>
      </c>
      <c r="M946">
        <f>IF($A946="","",IF($H946="ENGAGE","Engagé",IF(AND($H946="NON ENGAGE",OR($I946="INFRUCTUEUX",$I946="ANNULE")),"Clôturé sans suite","En cours")))</f>
        <v/>
      </c>
      <c r="N946">
        <f>IF(ISBLANK('ENGAGEMENTS 2026'!B946),"",'ENGAGEMENTS 2026'!K946)</f>
        <v/>
      </c>
      <c r="O946">
        <f>IF(ISBLANK('ENGAGEMENTS 2026'!B946),"",'ENGAGEMENTS 2026'!L946)</f>
        <v/>
      </c>
      <c r="P946">
        <f>IF(ISBLANK('ENGAGEMENTS 2026'!B946),"",'ENGAGEMENTS 2026'!J946)</f>
        <v/>
      </c>
      <c r="Q946">
        <f>IF($A946="","",IF(OR($E946="INFRUCTUEUX",$E946="ANNULE"),$A946&amp;"|"&amp;(COUNTIFS($A$2:$A946,$A946,$E$2:$E946,"INFRUCTUEUX")+COUNTIFS($A$2:$A946,$A946,$E$2:$E946,"ANNULE")),""))</f>
        <v/>
      </c>
    </row>
    <row r="947">
      <c r="A947">
        <f>IF(ISBLANK('ENGAGEMENTS 2026'!B947),"",IF('ENGAGEMENTS 2026'!B947="DTSI","DCT",'ENGAGEMENTS 2026'!B947))</f>
        <v/>
      </c>
      <c r="B947">
        <f>IF(ISBLANK('ENGAGEMENTS 2026'!B947),"",'ENGAGEMENTS 2026'!C947)</f>
        <v/>
      </c>
      <c r="C947">
        <f>IF(ISBLANK('ENGAGEMENTS 2026'!B947),"",'ENGAGEMENTS 2026'!D947)</f>
        <v/>
      </c>
      <c r="D947">
        <f>IF(ISBLANK('ENGAGEMENTS 2026'!B947),"",'ENGAGEMENTS 2026'!F947)</f>
        <v/>
      </c>
      <c r="E947">
        <f>IF(ISBLANK('ENGAGEMENTS 2026'!B947),"",'ENGAGEMENTS 2026'!H947)</f>
        <v/>
      </c>
      <c r="F947">
        <f>IF(ISBLANK('ENGAGEMENTS 2026'!B947),"",'ENGAGEMENTS 2026'!I947)</f>
        <v/>
      </c>
      <c r="G947">
        <f>IF(ISBLANK('ENGAGEMENTS 2026'!B947),"",'ENGAGEMENTS 2026'!L947)</f>
        <v/>
      </c>
      <c r="H947">
        <f>IF(ISBLANK('ENGAGEMENTS 2026'!B947),"",'ENGAGEMENTS 2026'!AE947)</f>
        <v/>
      </c>
      <c r="I947">
        <f>IF(ISBLANK('ENGAGEMENTS 2026'!B947),"",'ENGAGEMENTS 2026'!G947)</f>
        <v/>
      </c>
      <c r="J947" s="275">
        <f>IF(ISBLANK('ENGAGEMENTS 2026'!B947),"",IF(AND(OR($E947="INFRUCTUEUX",$E947="ANNULE"),$C947="AOO-M"),'ENGAGEMENTS 2026'!O947,IF($H947="EN COURS DE PREENGAGEMENT",'ENGAGEMENTS 2026'!N947,IF($H947="PREENGAGE",IF($E947="ATTRIBUE",'ENGAGEMENTS 2026'!AD947,'ENGAGEMENTS 2026'!N947),'ENGAGEMENTS 2026'!AD947))))</f>
        <v/>
      </c>
      <c r="K947" s="604">
        <f>IF(ISBLANK('ENGAGEMENTS 2026'!V947),"",'ENGAGEMENTS 2026'!V947)</f>
        <v/>
      </c>
      <c r="L947" s="276">
        <f>IF($K947="","",TODAY()-$K947)</f>
        <v/>
      </c>
      <c r="M947">
        <f>IF($A947="","",IF($H947="ENGAGE","Engagé",IF(AND($H947="NON ENGAGE",OR($I947="INFRUCTUEUX",$I947="ANNULE")),"Clôturé sans suite","En cours")))</f>
        <v/>
      </c>
      <c r="N947">
        <f>IF(ISBLANK('ENGAGEMENTS 2026'!B947),"",'ENGAGEMENTS 2026'!K947)</f>
        <v/>
      </c>
      <c r="O947">
        <f>IF(ISBLANK('ENGAGEMENTS 2026'!B947),"",'ENGAGEMENTS 2026'!L947)</f>
        <v/>
      </c>
      <c r="P947">
        <f>IF(ISBLANK('ENGAGEMENTS 2026'!B947),"",'ENGAGEMENTS 2026'!J947)</f>
        <v/>
      </c>
      <c r="Q947">
        <f>IF($A947="","",IF(OR($E947="INFRUCTUEUX",$E947="ANNULE"),$A947&amp;"|"&amp;(COUNTIFS($A$2:$A947,$A947,$E$2:$E947,"INFRUCTUEUX")+COUNTIFS($A$2:$A947,$A947,$E$2:$E947,"ANNULE")),""))</f>
        <v/>
      </c>
    </row>
    <row r="948">
      <c r="A948">
        <f>IF(ISBLANK('ENGAGEMENTS 2026'!B948),"",IF('ENGAGEMENTS 2026'!B948="DTSI","DCT",'ENGAGEMENTS 2026'!B948))</f>
        <v/>
      </c>
      <c r="B948">
        <f>IF(ISBLANK('ENGAGEMENTS 2026'!B948),"",'ENGAGEMENTS 2026'!C948)</f>
        <v/>
      </c>
      <c r="C948">
        <f>IF(ISBLANK('ENGAGEMENTS 2026'!B948),"",'ENGAGEMENTS 2026'!D948)</f>
        <v/>
      </c>
      <c r="D948">
        <f>IF(ISBLANK('ENGAGEMENTS 2026'!B948),"",'ENGAGEMENTS 2026'!F948)</f>
        <v/>
      </c>
      <c r="E948">
        <f>IF(ISBLANK('ENGAGEMENTS 2026'!B948),"",'ENGAGEMENTS 2026'!H948)</f>
        <v/>
      </c>
      <c r="F948">
        <f>IF(ISBLANK('ENGAGEMENTS 2026'!B948),"",'ENGAGEMENTS 2026'!I948)</f>
        <v/>
      </c>
      <c r="G948">
        <f>IF(ISBLANK('ENGAGEMENTS 2026'!B948),"",'ENGAGEMENTS 2026'!L948)</f>
        <v/>
      </c>
      <c r="H948">
        <f>IF(ISBLANK('ENGAGEMENTS 2026'!B948),"",'ENGAGEMENTS 2026'!AE948)</f>
        <v/>
      </c>
      <c r="I948">
        <f>IF(ISBLANK('ENGAGEMENTS 2026'!B948),"",'ENGAGEMENTS 2026'!G948)</f>
        <v/>
      </c>
      <c r="J948" s="275">
        <f>IF(ISBLANK('ENGAGEMENTS 2026'!B948),"",IF(AND(OR($E948="INFRUCTUEUX",$E948="ANNULE"),$C948="AOO-M"),'ENGAGEMENTS 2026'!O948,IF($H948="EN COURS DE PREENGAGEMENT",'ENGAGEMENTS 2026'!N948,IF($H948="PREENGAGE",IF($E948="ATTRIBUE",'ENGAGEMENTS 2026'!AD948,'ENGAGEMENTS 2026'!N948),'ENGAGEMENTS 2026'!AD948))))</f>
        <v/>
      </c>
      <c r="K948" s="604">
        <f>IF(ISBLANK('ENGAGEMENTS 2026'!V948),"",'ENGAGEMENTS 2026'!V948)</f>
        <v/>
      </c>
      <c r="L948" s="276">
        <f>IF($K948="","",TODAY()-$K948)</f>
        <v/>
      </c>
      <c r="M948">
        <f>IF($A948="","",IF($H948="ENGAGE","Engagé",IF(AND($H948="NON ENGAGE",OR($I948="INFRUCTUEUX",$I948="ANNULE")),"Clôturé sans suite","En cours")))</f>
        <v/>
      </c>
      <c r="N948">
        <f>IF(ISBLANK('ENGAGEMENTS 2026'!B948),"",'ENGAGEMENTS 2026'!K948)</f>
        <v/>
      </c>
      <c r="O948">
        <f>IF(ISBLANK('ENGAGEMENTS 2026'!B948),"",'ENGAGEMENTS 2026'!L948)</f>
        <v/>
      </c>
      <c r="P948">
        <f>IF(ISBLANK('ENGAGEMENTS 2026'!B948),"",'ENGAGEMENTS 2026'!J948)</f>
        <v/>
      </c>
      <c r="Q948">
        <f>IF($A948="","",IF(OR($E948="INFRUCTUEUX",$E948="ANNULE"),$A948&amp;"|"&amp;(COUNTIFS($A$2:$A948,$A948,$E$2:$E948,"INFRUCTUEUX")+COUNTIFS($A$2:$A948,$A948,$E$2:$E948,"ANNULE")),""))</f>
        <v/>
      </c>
    </row>
    <row r="949">
      <c r="A949">
        <f>IF(ISBLANK('ENGAGEMENTS 2026'!B949),"",IF('ENGAGEMENTS 2026'!B949="DTSI","DCT",'ENGAGEMENTS 2026'!B949))</f>
        <v/>
      </c>
      <c r="B949">
        <f>IF(ISBLANK('ENGAGEMENTS 2026'!B949),"",'ENGAGEMENTS 2026'!C949)</f>
        <v/>
      </c>
      <c r="C949">
        <f>IF(ISBLANK('ENGAGEMENTS 2026'!B949),"",'ENGAGEMENTS 2026'!D949)</f>
        <v/>
      </c>
      <c r="D949">
        <f>IF(ISBLANK('ENGAGEMENTS 2026'!B949),"",'ENGAGEMENTS 2026'!F949)</f>
        <v/>
      </c>
      <c r="E949">
        <f>IF(ISBLANK('ENGAGEMENTS 2026'!B949),"",'ENGAGEMENTS 2026'!H949)</f>
        <v/>
      </c>
      <c r="F949">
        <f>IF(ISBLANK('ENGAGEMENTS 2026'!B949),"",'ENGAGEMENTS 2026'!I949)</f>
        <v/>
      </c>
      <c r="G949">
        <f>IF(ISBLANK('ENGAGEMENTS 2026'!B949),"",'ENGAGEMENTS 2026'!L949)</f>
        <v/>
      </c>
      <c r="H949">
        <f>IF(ISBLANK('ENGAGEMENTS 2026'!B949),"",'ENGAGEMENTS 2026'!AE949)</f>
        <v/>
      </c>
      <c r="I949">
        <f>IF(ISBLANK('ENGAGEMENTS 2026'!B949),"",'ENGAGEMENTS 2026'!G949)</f>
        <v/>
      </c>
      <c r="J949" s="275">
        <f>IF(ISBLANK('ENGAGEMENTS 2026'!B949),"",IF(AND(OR($E949="INFRUCTUEUX",$E949="ANNULE"),$C949="AOO-M"),'ENGAGEMENTS 2026'!O949,IF($H949="EN COURS DE PREENGAGEMENT",'ENGAGEMENTS 2026'!N949,IF($H949="PREENGAGE",IF($E949="ATTRIBUE",'ENGAGEMENTS 2026'!AD949,'ENGAGEMENTS 2026'!N949),'ENGAGEMENTS 2026'!AD949))))</f>
        <v/>
      </c>
      <c r="K949" s="604">
        <f>IF(ISBLANK('ENGAGEMENTS 2026'!V949),"",'ENGAGEMENTS 2026'!V949)</f>
        <v/>
      </c>
      <c r="L949" s="276">
        <f>IF($K949="","",TODAY()-$K949)</f>
        <v/>
      </c>
      <c r="M949">
        <f>IF($A949="","",IF($H949="ENGAGE","Engagé",IF(AND($H949="NON ENGAGE",OR($I949="INFRUCTUEUX",$I949="ANNULE")),"Clôturé sans suite","En cours")))</f>
        <v/>
      </c>
      <c r="N949">
        <f>IF(ISBLANK('ENGAGEMENTS 2026'!B949),"",'ENGAGEMENTS 2026'!K949)</f>
        <v/>
      </c>
      <c r="O949">
        <f>IF(ISBLANK('ENGAGEMENTS 2026'!B949),"",'ENGAGEMENTS 2026'!L949)</f>
        <v/>
      </c>
      <c r="P949">
        <f>IF(ISBLANK('ENGAGEMENTS 2026'!B949),"",'ENGAGEMENTS 2026'!J949)</f>
        <v/>
      </c>
      <c r="Q949">
        <f>IF($A949="","",IF(OR($E949="INFRUCTUEUX",$E949="ANNULE"),$A949&amp;"|"&amp;(COUNTIFS($A$2:$A949,$A949,$E$2:$E949,"INFRUCTUEUX")+COUNTIFS($A$2:$A949,$A949,$E$2:$E949,"ANNULE")),""))</f>
        <v/>
      </c>
    </row>
    <row r="950">
      <c r="A950">
        <f>IF(ISBLANK('ENGAGEMENTS 2026'!B950),"",IF('ENGAGEMENTS 2026'!B950="DTSI","DCT",'ENGAGEMENTS 2026'!B950))</f>
        <v/>
      </c>
      <c r="B950">
        <f>IF(ISBLANK('ENGAGEMENTS 2026'!B950),"",'ENGAGEMENTS 2026'!C950)</f>
        <v/>
      </c>
      <c r="C950">
        <f>IF(ISBLANK('ENGAGEMENTS 2026'!B950),"",'ENGAGEMENTS 2026'!D950)</f>
        <v/>
      </c>
      <c r="D950">
        <f>IF(ISBLANK('ENGAGEMENTS 2026'!B950),"",'ENGAGEMENTS 2026'!F950)</f>
        <v/>
      </c>
      <c r="E950">
        <f>IF(ISBLANK('ENGAGEMENTS 2026'!B950),"",'ENGAGEMENTS 2026'!H950)</f>
        <v/>
      </c>
      <c r="F950">
        <f>IF(ISBLANK('ENGAGEMENTS 2026'!B950),"",'ENGAGEMENTS 2026'!I950)</f>
        <v/>
      </c>
      <c r="G950">
        <f>IF(ISBLANK('ENGAGEMENTS 2026'!B950),"",'ENGAGEMENTS 2026'!L950)</f>
        <v/>
      </c>
      <c r="H950">
        <f>IF(ISBLANK('ENGAGEMENTS 2026'!B950),"",'ENGAGEMENTS 2026'!AE950)</f>
        <v/>
      </c>
      <c r="I950">
        <f>IF(ISBLANK('ENGAGEMENTS 2026'!B950),"",'ENGAGEMENTS 2026'!G950)</f>
        <v/>
      </c>
      <c r="J950" s="275">
        <f>IF(ISBLANK('ENGAGEMENTS 2026'!B950),"",IF(AND(OR($E950="INFRUCTUEUX",$E950="ANNULE"),$C950="AOO-M"),'ENGAGEMENTS 2026'!O950,IF($H950="EN COURS DE PREENGAGEMENT",'ENGAGEMENTS 2026'!N950,IF($H950="PREENGAGE",IF($E950="ATTRIBUE",'ENGAGEMENTS 2026'!AD950,'ENGAGEMENTS 2026'!N950),'ENGAGEMENTS 2026'!AD950))))</f>
        <v/>
      </c>
      <c r="K950" s="604">
        <f>IF(ISBLANK('ENGAGEMENTS 2026'!V950),"",'ENGAGEMENTS 2026'!V950)</f>
        <v/>
      </c>
      <c r="L950" s="276">
        <f>IF($K950="","",TODAY()-$K950)</f>
        <v/>
      </c>
      <c r="M950">
        <f>IF($A950="","",IF($H950="ENGAGE","Engagé",IF(AND($H950="NON ENGAGE",OR($I950="INFRUCTUEUX",$I950="ANNULE")),"Clôturé sans suite","En cours")))</f>
        <v/>
      </c>
      <c r="N950">
        <f>IF(ISBLANK('ENGAGEMENTS 2026'!B950),"",'ENGAGEMENTS 2026'!K950)</f>
        <v/>
      </c>
      <c r="O950">
        <f>IF(ISBLANK('ENGAGEMENTS 2026'!B950),"",'ENGAGEMENTS 2026'!L950)</f>
        <v/>
      </c>
      <c r="P950">
        <f>IF(ISBLANK('ENGAGEMENTS 2026'!B950),"",'ENGAGEMENTS 2026'!J950)</f>
        <v/>
      </c>
      <c r="Q950">
        <f>IF($A950="","",IF(OR($E950="INFRUCTUEUX",$E950="ANNULE"),$A950&amp;"|"&amp;(COUNTIFS($A$2:$A950,$A950,$E$2:$E950,"INFRUCTUEUX")+COUNTIFS($A$2:$A950,$A950,$E$2:$E950,"ANNULE")),""))</f>
        <v/>
      </c>
    </row>
    <row r="951">
      <c r="A951">
        <f>IF(ISBLANK('ENGAGEMENTS 2026'!B951),"",IF('ENGAGEMENTS 2026'!B951="DTSI","DCT",'ENGAGEMENTS 2026'!B951))</f>
        <v/>
      </c>
      <c r="B951">
        <f>IF(ISBLANK('ENGAGEMENTS 2026'!B951),"",'ENGAGEMENTS 2026'!C951)</f>
        <v/>
      </c>
      <c r="C951">
        <f>IF(ISBLANK('ENGAGEMENTS 2026'!B951),"",'ENGAGEMENTS 2026'!D951)</f>
        <v/>
      </c>
      <c r="D951">
        <f>IF(ISBLANK('ENGAGEMENTS 2026'!B951),"",'ENGAGEMENTS 2026'!F951)</f>
        <v/>
      </c>
      <c r="E951">
        <f>IF(ISBLANK('ENGAGEMENTS 2026'!B951),"",'ENGAGEMENTS 2026'!H951)</f>
        <v/>
      </c>
      <c r="F951">
        <f>IF(ISBLANK('ENGAGEMENTS 2026'!B951),"",'ENGAGEMENTS 2026'!I951)</f>
        <v/>
      </c>
      <c r="G951">
        <f>IF(ISBLANK('ENGAGEMENTS 2026'!B951),"",'ENGAGEMENTS 2026'!L951)</f>
        <v/>
      </c>
      <c r="H951">
        <f>IF(ISBLANK('ENGAGEMENTS 2026'!B951),"",'ENGAGEMENTS 2026'!AE951)</f>
        <v/>
      </c>
      <c r="I951">
        <f>IF(ISBLANK('ENGAGEMENTS 2026'!B951),"",'ENGAGEMENTS 2026'!G951)</f>
        <v/>
      </c>
      <c r="J951" s="275">
        <f>IF(ISBLANK('ENGAGEMENTS 2026'!B951),"",IF(AND(OR($E951="INFRUCTUEUX",$E951="ANNULE"),$C951="AOO-M"),'ENGAGEMENTS 2026'!O951,IF($H951="EN COURS DE PREENGAGEMENT",'ENGAGEMENTS 2026'!N951,IF($H951="PREENGAGE",IF($E951="ATTRIBUE",'ENGAGEMENTS 2026'!AD951,'ENGAGEMENTS 2026'!N951),'ENGAGEMENTS 2026'!AD951))))</f>
        <v/>
      </c>
      <c r="K951" s="604">
        <f>IF(ISBLANK('ENGAGEMENTS 2026'!V951),"",'ENGAGEMENTS 2026'!V951)</f>
        <v/>
      </c>
      <c r="L951" s="276">
        <f>IF($K951="","",TODAY()-$K951)</f>
        <v/>
      </c>
      <c r="M951">
        <f>IF($A951="","",IF($H951="ENGAGE","Engagé",IF(AND($H951="NON ENGAGE",OR($I951="INFRUCTUEUX",$I951="ANNULE")),"Clôturé sans suite","En cours")))</f>
        <v/>
      </c>
      <c r="N951">
        <f>IF(ISBLANK('ENGAGEMENTS 2026'!B951),"",'ENGAGEMENTS 2026'!K951)</f>
        <v/>
      </c>
      <c r="O951">
        <f>IF(ISBLANK('ENGAGEMENTS 2026'!B951),"",'ENGAGEMENTS 2026'!L951)</f>
        <v/>
      </c>
      <c r="P951">
        <f>IF(ISBLANK('ENGAGEMENTS 2026'!B951),"",'ENGAGEMENTS 2026'!J951)</f>
        <v/>
      </c>
      <c r="Q951">
        <f>IF($A951="","",IF(OR($E951="INFRUCTUEUX",$E951="ANNULE"),$A951&amp;"|"&amp;(COUNTIFS($A$2:$A951,$A951,$E$2:$E951,"INFRUCTUEUX")+COUNTIFS($A$2:$A951,$A951,$E$2:$E951,"ANNULE")),""))</f>
        <v/>
      </c>
    </row>
    <row r="952">
      <c r="A952">
        <f>IF(ISBLANK('ENGAGEMENTS 2026'!B952),"",IF('ENGAGEMENTS 2026'!B952="DTSI","DCT",'ENGAGEMENTS 2026'!B952))</f>
        <v/>
      </c>
      <c r="B952">
        <f>IF(ISBLANK('ENGAGEMENTS 2026'!B952),"",'ENGAGEMENTS 2026'!C952)</f>
        <v/>
      </c>
      <c r="C952">
        <f>IF(ISBLANK('ENGAGEMENTS 2026'!B952),"",'ENGAGEMENTS 2026'!D952)</f>
        <v/>
      </c>
      <c r="D952">
        <f>IF(ISBLANK('ENGAGEMENTS 2026'!B952),"",'ENGAGEMENTS 2026'!F952)</f>
        <v/>
      </c>
      <c r="E952">
        <f>IF(ISBLANK('ENGAGEMENTS 2026'!B952),"",'ENGAGEMENTS 2026'!H952)</f>
        <v/>
      </c>
      <c r="F952">
        <f>IF(ISBLANK('ENGAGEMENTS 2026'!B952),"",'ENGAGEMENTS 2026'!I952)</f>
        <v/>
      </c>
      <c r="G952">
        <f>IF(ISBLANK('ENGAGEMENTS 2026'!B952),"",'ENGAGEMENTS 2026'!L952)</f>
        <v/>
      </c>
      <c r="H952">
        <f>IF(ISBLANK('ENGAGEMENTS 2026'!B952),"",'ENGAGEMENTS 2026'!AE952)</f>
        <v/>
      </c>
      <c r="I952">
        <f>IF(ISBLANK('ENGAGEMENTS 2026'!B952),"",'ENGAGEMENTS 2026'!G952)</f>
        <v/>
      </c>
      <c r="J952" s="275">
        <f>IF(ISBLANK('ENGAGEMENTS 2026'!B952),"",IF(AND(OR($E952="INFRUCTUEUX",$E952="ANNULE"),$C952="AOO-M"),'ENGAGEMENTS 2026'!O952,IF($H952="EN COURS DE PREENGAGEMENT",'ENGAGEMENTS 2026'!N952,IF($H952="PREENGAGE",IF($E952="ATTRIBUE",'ENGAGEMENTS 2026'!AD952,'ENGAGEMENTS 2026'!N952),'ENGAGEMENTS 2026'!AD952))))</f>
        <v/>
      </c>
      <c r="K952" s="604">
        <f>IF(ISBLANK('ENGAGEMENTS 2026'!V952),"",'ENGAGEMENTS 2026'!V952)</f>
        <v/>
      </c>
      <c r="L952" s="276">
        <f>IF($K952="","",TODAY()-$K952)</f>
        <v/>
      </c>
      <c r="M952">
        <f>IF($A952="","",IF($H952="ENGAGE","Engagé",IF(AND($H952="NON ENGAGE",OR($I952="INFRUCTUEUX",$I952="ANNULE")),"Clôturé sans suite","En cours")))</f>
        <v/>
      </c>
      <c r="N952">
        <f>IF(ISBLANK('ENGAGEMENTS 2026'!B952),"",'ENGAGEMENTS 2026'!K952)</f>
        <v/>
      </c>
      <c r="O952">
        <f>IF(ISBLANK('ENGAGEMENTS 2026'!B952),"",'ENGAGEMENTS 2026'!L952)</f>
        <v/>
      </c>
      <c r="P952">
        <f>IF(ISBLANK('ENGAGEMENTS 2026'!B952),"",'ENGAGEMENTS 2026'!J952)</f>
        <v/>
      </c>
      <c r="Q952">
        <f>IF($A952="","",IF(OR($E952="INFRUCTUEUX",$E952="ANNULE"),$A952&amp;"|"&amp;(COUNTIFS($A$2:$A952,$A952,$E$2:$E952,"INFRUCTUEUX")+COUNTIFS($A$2:$A952,$A952,$E$2:$E952,"ANNULE")),""))</f>
        <v/>
      </c>
    </row>
    <row r="953">
      <c r="A953">
        <f>IF(ISBLANK('ENGAGEMENTS 2026'!B953),"",IF('ENGAGEMENTS 2026'!B953="DTSI","DCT",'ENGAGEMENTS 2026'!B953))</f>
        <v/>
      </c>
      <c r="B953">
        <f>IF(ISBLANK('ENGAGEMENTS 2026'!B953),"",'ENGAGEMENTS 2026'!C953)</f>
        <v/>
      </c>
      <c r="C953">
        <f>IF(ISBLANK('ENGAGEMENTS 2026'!B953),"",'ENGAGEMENTS 2026'!D953)</f>
        <v/>
      </c>
      <c r="D953">
        <f>IF(ISBLANK('ENGAGEMENTS 2026'!B953),"",'ENGAGEMENTS 2026'!F953)</f>
        <v/>
      </c>
      <c r="E953">
        <f>IF(ISBLANK('ENGAGEMENTS 2026'!B953),"",'ENGAGEMENTS 2026'!H953)</f>
        <v/>
      </c>
      <c r="F953">
        <f>IF(ISBLANK('ENGAGEMENTS 2026'!B953),"",'ENGAGEMENTS 2026'!I953)</f>
        <v/>
      </c>
      <c r="G953">
        <f>IF(ISBLANK('ENGAGEMENTS 2026'!B953),"",'ENGAGEMENTS 2026'!L953)</f>
        <v/>
      </c>
      <c r="H953">
        <f>IF(ISBLANK('ENGAGEMENTS 2026'!B953),"",'ENGAGEMENTS 2026'!AE953)</f>
        <v/>
      </c>
      <c r="I953">
        <f>IF(ISBLANK('ENGAGEMENTS 2026'!B953),"",'ENGAGEMENTS 2026'!G953)</f>
        <v/>
      </c>
      <c r="J953" s="275">
        <f>IF(ISBLANK('ENGAGEMENTS 2026'!B953),"",IF(AND(OR($E953="INFRUCTUEUX",$E953="ANNULE"),$C953="AOO-M"),'ENGAGEMENTS 2026'!O953,IF($H953="EN COURS DE PREENGAGEMENT",'ENGAGEMENTS 2026'!N953,IF($H953="PREENGAGE",IF($E953="ATTRIBUE",'ENGAGEMENTS 2026'!AD953,'ENGAGEMENTS 2026'!N953),'ENGAGEMENTS 2026'!AD953))))</f>
        <v/>
      </c>
      <c r="K953" s="604">
        <f>IF(ISBLANK('ENGAGEMENTS 2026'!V953),"",'ENGAGEMENTS 2026'!V953)</f>
        <v/>
      </c>
      <c r="L953" s="276">
        <f>IF($K953="","",TODAY()-$K953)</f>
        <v/>
      </c>
      <c r="M953">
        <f>IF($A953="","",IF($H953="ENGAGE","Engagé",IF(AND($H953="NON ENGAGE",OR($I953="INFRUCTUEUX",$I953="ANNULE")),"Clôturé sans suite","En cours")))</f>
        <v/>
      </c>
      <c r="N953">
        <f>IF(ISBLANK('ENGAGEMENTS 2026'!B953),"",'ENGAGEMENTS 2026'!K953)</f>
        <v/>
      </c>
      <c r="O953">
        <f>IF(ISBLANK('ENGAGEMENTS 2026'!B953),"",'ENGAGEMENTS 2026'!L953)</f>
        <v/>
      </c>
      <c r="P953">
        <f>IF(ISBLANK('ENGAGEMENTS 2026'!B953),"",'ENGAGEMENTS 2026'!J953)</f>
        <v/>
      </c>
      <c r="Q953">
        <f>IF($A953="","",IF(OR($E953="INFRUCTUEUX",$E953="ANNULE"),$A953&amp;"|"&amp;(COUNTIFS($A$2:$A953,$A953,$E$2:$E953,"INFRUCTUEUX")+COUNTIFS($A$2:$A953,$A953,$E$2:$E953,"ANNULE")),""))</f>
        <v/>
      </c>
    </row>
    <row r="954">
      <c r="A954">
        <f>IF(ISBLANK('ENGAGEMENTS 2026'!B954),"",IF('ENGAGEMENTS 2026'!B954="DTSI","DCT",'ENGAGEMENTS 2026'!B954))</f>
        <v/>
      </c>
      <c r="B954">
        <f>IF(ISBLANK('ENGAGEMENTS 2026'!B954),"",'ENGAGEMENTS 2026'!C954)</f>
        <v/>
      </c>
      <c r="C954">
        <f>IF(ISBLANK('ENGAGEMENTS 2026'!B954),"",'ENGAGEMENTS 2026'!D954)</f>
        <v/>
      </c>
      <c r="D954">
        <f>IF(ISBLANK('ENGAGEMENTS 2026'!B954),"",'ENGAGEMENTS 2026'!F954)</f>
        <v/>
      </c>
      <c r="E954">
        <f>IF(ISBLANK('ENGAGEMENTS 2026'!B954),"",'ENGAGEMENTS 2026'!H954)</f>
        <v/>
      </c>
      <c r="F954">
        <f>IF(ISBLANK('ENGAGEMENTS 2026'!B954),"",'ENGAGEMENTS 2026'!I954)</f>
        <v/>
      </c>
      <c r="G954">
        <f>IF(ISBLANK('ENGAGEMENTS 2026'!B954),"",'ENGAGEMENTS 2026'!L954)</f>
        <v/>
      </c>
      <c r="H954">
        <f>IF(ISBLANK('ENGAGEMENTS 2026'!B954),"",'ENGAGEMENTS 2026'!AE954)</f>
        <v/>
      </c>
      <c r="I954">
        <f>IF(ISBLANK('ENGAGEMENTS 2026'!B954),"",'ENGAGEMENTS 2026'!G954)</f>
        <v/>
      </c>
      <c r="J954" s="275">
        <f>IF(ISBLANK('ENGAGEMENTS 2026'!B954),"",IF(AND(OR($E954="INFRUCTUEUX",$E954="ANNULE"),$C954="AOO-M"),'ENGAGEMENTS 2026'!O954,IF($H954="EN COURS DE PREENGAGEMENT",'ENGAGEMENTS 2026'!N954,IF($H954="PREENGAGE",IF($E954="ATTRIBUE",'ENGAGEMENTS 2026'!AD954,'ENGAGEMENTS 2026'!N954),'ENGAGEMENTS 2026'!AD954))))</f>
        <v/>
      </c>
      <c r="K954" s="604">
        <f>IF(ISBLANK('ENGAGEMENTS 2026'!V954),"",'ENGAGEMENTS 2026'!V954)</f>
        <v/>
      </c>
      <c r="L954" s="276">
        <f>IF($K954="","",TODAY()-$K954)</f>
        <v/>
      </c>
      <c r="M954">
        <f>IF($A954="","",IF($H954="ENGAGE","Engagé",IF(AND($H954="NON ENGAGE",OR($I954="INFRUCTUEUX",$I954="ANNULE")),"Clôturé sans suite","En cours")))</f>
        <v/>
      </c>
      <c r="N954">
        <f>IF(ISBLANK('ENGAGEMENTS 2026'!B954),"",'ENGAGEMENTS 2026'!K954)</f>
        <v/>
      </c>
      <c r="O954">
        <f>IF(ISBLANK('ENGAGEMENTS 2026'!B954),"",'ENGAGEMENTS 2026'!L954)</f>
        <v/>
      </c>
      <c r="P954">
        <f>IF(ISBLANK('ENGAGEMENTS 2026'!B954),"",'ENGAGEMENTS 2026'!J954)</f>
        <v/>
      </c>
      <c r="Q954">
        <f>IF($A954="","",IF(OR($E954="INFRUCTUEUX",$E954="ANNULE"),$A954&amp;"|"&amp;(COUNTIFS($A$2:$A954,$A954,$E$2:$E954,"INFRUCTUEUX")+COUNTIFS($A$2:$A954,$A954,$E$2:$E954,"ANNULE")),""))</f>
        <v/>
      </c>
    </row>
    <row r="955">
      <c r="A955">
        <f>IF(ISBLANK('ENGAGEMENTS 2026'!B955),"",IF('ENGAGEMENTS 2026'!B955="DTSI","DCT",'ENGAGEMENTS 2026'!B955))</f>
        <v/>
      </c>
      <c r="B955">
        <f>IF(ISBLANK('ENGAGEMENTS 2026'!B955),"",'ENGAGEMENTS 2026'!C955)</f>
        <v/>
      </c>
      <c r="C955">
        <f>IF(ISBLANK('ENGAGEMENTS 2026'!B955),"",'ENGAGEMENTS 2026'!D955)</f>
        <v/>
      </c>
      <c r="D955">
        <f>IF(ISBLANK('ENGAGEMENTS 2026'!B955),"",'ENGAGEMENTS 2026'!F955)</f>
        <v/>
      </c>
      <c r="E955">
        <f>IF(ISBLANK('ENGAGEMENTS 2026'!B955),"",'ENGAGEMENTS 2026'!H955)</f>
        <v/>
      </c>
      <c r="F955">
        <f>IF(ISBLANK('ENGAGEMENTS 2026'!B955),"",'ENGAGEMENTS 2026'!I955)</f>
        <v/>
      </c>
      <c r="G955">
        <f>IF(ISBLANK('ENGAGEMENTS 2026'!B955),"",'ENGAGEMENTS 2026'!L955)</f>
        <v/>
      </c>
      <c r="H955">
        <f>IF(ISBLANK('ENGAGEMENTS 2026'!B955),"",'ENGAGEMENTS 2026'!AE955)</f>
        <v/>
      </c>
      <c r="I955">
        <f>IF(ISBLANK('ENGAGEMENTS 2026'!B955),"",'ENGAGEMENTS 2026'!G955)</f>
        <v/>
      </c>
      <c r="J955" s="275">
        <f>IF(ISBLANK('ENGAGEMENTS 2026'!B955),"",IF(AND(OR($E955="INFRUCTUEUX",$E955="ANNULE"),$C955="AOO-M"),'ENGAGEMENTS 2026'!O955,IF($H955="EN COURS DE PREENGAGEMENT",'ENGAGEMENTS 2026'!N955,IF($H955="PREENGAGE",IF($E955="ATTRIBUE",'ENGAGEMENTS 2026'!AD955,'ENGAGEMENTS 2026'!N955),'ENGAGEMENTS 2026'!AD955))))</f>
        <v/>
      </c>
      <c r="K955" s="604">
        <f>IF(ISBLANK('ENGAGEMENTS 2026'!V955),"",'ENGAGEMENTS 2026'!V955)</f>
        <v/>
      </c>
      <c r="L955" s="276">
        <f>IF($K955="","",TODAY()-$K955)</f>
        <v/>
      </c>
      <c r="M955">
        <f>IF($A955="","",IF($H955="ENGAGE","Engagé",IF(AND($H955="NON ENGAGE",OR($I955="INFRUCTUEUX",$I955="ANNULE")),"Clôturé sans suite","En cours")))</f>
        <v/>
      </c>
      <c r="N955">
        <f>IF(ISBLANK('ENGAGEMENTS 2026'!B955),"",'ENGAGEMENTS 2026'!K955)</f>
        <v/>
      </c>
      <c r="O955">
        <f>IF(ISBLANK('ENGAGEMENTS 2026'!B955),"",'ENGAGEMENTS 2026'!L955)</f>
        <v/>
      </c>
      <c r="P955">
        <f>IF(ISBLANK('ENGAGEMENTS 2026'!B955),"",'ENGAGEMENTS 2026'!J955)</f>
        <v/>
      </c>
      <c r="Q955">
        <f>IF($A955="","",IF(OR($E955="INFRUCTUEUX",$E955="ANNULE"),$A955&amp;"|"&amp;(COUNTIFS($A$2:$A955,$A955,$E$2:$E955,"INFRUCTUEUX")+COUNTIFS($A$2:$A955,$A955,$E$2:$E955,"ANNULE")),""))</f>
        <v/>
      </c>
    </row>
    <row r="956">
      <c r="A956">
        <f>IF(ISBLANK('ENGAGEMENTS 2026'!B956),"",IF('ENGAGEMENTS 2026'!B956="DTSI","DCT",'ENGAGEMENTS 2026'!B956))</f>
        <v/>
      </c>
      <c r="B956">
        <f>IF(ISBLANK('ENGAGEMENTS 2026'!B956),"",'ENGAGEMENTS 2026'!C956)</f>
        <v/>
      </c>
      <c r="C956">
        <f>IF(ISBLANK('ENGAGEMENTS 2026'!B956),"",'ENGAGEMENTS 2026'!D956)</f>
        <v/>
      </c>
      <c r="D956">
        <f>IF(ISBLANK('ENGAGEMENTS 2026'!B956),"",'ENGAGEMENTS 2026'!F956)</f>
        <v/>
      </c>
      <c r="E956">
        <f>IF(ISBLANK('ENGAGEMENTS 2026'!B956),"",'ENGAGEMENTS 2026'!H956)</f>
        <v/>
      </c>
      <c r="F956">
        <f>IF(ISBLANK('ENGAGEMENTS 2026'!B956),"",'ENGAGEMENTS 2026'!I956)</f>
        <v/>
      </c>
      <c r="G956">
        <f>IF(ISBLANK('ENGAGEMENTS 2026'!B956),"",'ENGAGEMENTS 2026'!L956)</f>
        <v/>
      </c>
      <c r="H956">
        <f>IF(ISBLANK('ENGAGEMENTS 2026'!B956),"",'ENGAGEMENTS 2026'!AE956)</f>
        <v/>
      </c>
      <c r="I956">
        <f>IF(ISBLANK('ENGAGEMENTS 2026'!B956),"",'ENGAGEMENTS 2026'!G956)</f>
        <v/>
      </c>
      <c r="J956" s="275">
        <f>IF(ISBLANK('ENGAGEMENTS 2026'!B956),"",IF(AND(OR($E956="INFRUCTUEUX",$E956="ANNULE"),$C956="AOO-M"),'ENGAGEMENTS 2026'!O956,IF($H956="EN COURS DE PREENGAGEMENT",'ENGAGEMENTS 2026'!N956,IF($H956="PREENGAGE",IF($E956="ATTRIBUE",'ENGAGEMENTS 2026'!AD956,'ENGAGEMENTS 2026'!N956),'ENGAGEMENTS 2026'!AD956))))</f>
        <v/>
      </c>
      <c r="K956" s="604">
        <f>IF(ISBLANK('ENGAGEMENTS 2026'!V956),"",'ENGAGEMENTS 2026'!V956)</f>
        <v/>
      </c>
      <c r="L956" s="276">
        <f>IF($K956="","",TODAY()-$K956)</f>
        <v/>
      </c>
      <c r="M956">
        <f>IF($A956="","",IF($H956="ENGAGE","Engagé",IF(AND($H956="NON ENGAGE",OR($I956="INFRUCTUEUX",$I956="ANNULE")),"Clôturé sans suite","En cours")))</f>
        <v/>
      </c>
      <c r="N956">
        <f>IF(ISBLANK('ENGAGEMENTS 2026'!B956),"",'ENGAGEMENTS 2026'!K956)</f>
        <v/>
      </c>
      <c r="O956">
        <f>IF(ISBLANK('ENGAGEMENTS 2026'!B956),"",'ENGAGEMENTS 2026'!L956)</f>
        <v/>
      </c>
      <c r="P956">
        <f>IF(ISBLANK('ENGAGEMENTS 2026'!B956),"",'ENGAGEMENTS 2026'!J956)</f>
        <v/>
      </c>
      <c r="Q956">
        <f>IF($A956="","",IF(OR($E956="INFRUCTUEUX",$E956="ANNULE"),$A956&amp;"|"&amp;(COUNTIFS($A$2:$A956,$A956,$E$2:$E956,"INFRUCTUEUX")+COUNTIFS($A$2:$A956,$A956,$E$2:$E956,"ANNULE")),""))</f>
        <v/>
      </c>
    </row>
    <row r="957">
      <c r="A957">
        <f>IF(ISBLANK('ENGAGEMENTS 2026'!B957),"",IF('ENGAGEMENTS 2026'!B957="DTSI","DCT",'ENGAGEMENTS 2026'!B957))</f>
        <v/>
      </c>
      <c r="B957">
        <f>IF(ISBLANK('ENGAGEMENTS 2026'!B957),"",'ENGAGEMENTS 2026'!C957)</f>
        <v/>
      </c>
      <c r="C957">
        <f>IF(ISBLANK('ENGAGEMENTS 2026'!B957),"",'ENGAGEMENTS 2026'!D957)</f>
        <v/>
      </c>
      <c r="D957">
        <f>IF(ISBLANK('ENGAGEMENTS 2026'!B957),"",'ENGAGEMENTS 2026'!F957)</f>
        <v/>
      </c>
      <c r="E957">
        <f>IF(ISBLANK('ENGAGEMENTS 2026'!B957),"",'ENGAGEMENTS 2026'!H957)</f>
        <v/>
      </c>
      <c r="F957">
        <f>IF(ISBLANK('ENGAGEMENTS 2026'!B957),"",'ENGAGEMENTS 2026'!I957)</f>
        <v/>
      </c>
      <c r="G957">
        <f>IF(ISBLANK('ENGAGEMENTS 2026'!B957),"",'ENGAGEMENTS 2026'!L957)</f>
        <v/>
      </c>
      <c r="H957">
        <f>IF(ISBLANK('ENGAGEMENTS 2026'!B957),"",'ENGAGEMENTS 2026'!AE957)</f>
        <v/>
      </c>
      <c r="I957">
        <f>IF(ISBLANK('ENGAGEMENTS 2026'!B957),"",'ENGAGEMENTS 2026'!G957)</f>
        <v/>
      </c>
      <c r="J957" s="275">
        <f>IF(ISBLANK('ENGAGEMENTS 2026'!B957),"",IF(AND(OR($E957="INFRUCTUEUX",$E957="ANNULE"),$C957="AOO-M"),'ENGAGEMENTS 2026'!O957,IF($H957="EN COURS DE PREENGAGEMENT",'ENGAGEMENTS 2026'!N957,IF($H957="PREENGAGE",IF($E957="ATTRIBUE",'ENGAGEMENTS 2026'!AD957,'ENGAGEMENTS 2026'!N957),'ENGAGEMENTS 2026'!AD957))))</f>
        <v/>
      </c>
      <c r="K957" s="604">
        <f>IF(ISBLANK('ENGAGEMENTS 2026'!V957),"",'ENGAGEMENTS 2026'!V957)</f>
        <v/>
      </c>
      <c r="L957" s="276">
        <f>IF($K957="","",TODAY()-$K957)</f>
        <v/>
      </c>
      <c r="M957">
        <f>IF($A957="","",IF($H957="ENGAGE","Engagé",IF(AND($H957="NON ENGAGE",OR($I957="INFRUCTUEUX",$I957="ANNULE")),"Clôturé sans suite","En cours")))</f>
        <v/>
      </c>
      <c r="N957">
        <f>IF(ISBLANK('ENGAGEMENTS 2026'!B957),"",'ENGAGEMENTS 2026'!K957)</f>
        <v/>
      </c>
      <c r="O957">
        <f>IF(ISBLANK('ENGAGEMENTS 2026'!B957),"",'ENGAGEMENTS 2026'!L957)</f>
        <v/>
      </c>
      <c r="P957">
        <f>IF(ISBLANK('ENGAGEMENTS 2026'!B957),"",'ENGAGEMENTS 2026'!J957)</f>
        <v/>
      </c>
      <c r="Q957">
        <f>IF($A957="","",IF(OR($E957="INFRUCTUEUX",$E957="ANNULE"),$A957&amp;"|"&amp;(COUNTIFS($A$2:$A957,$A957,$E$2:$E957,"INFRUCTUEUX")+COUNTIFS($A$2:$A957,$A957,$E$2:$E957,"ANNULE")),""))</f>
        <v/>
      </c>
    </row>
    <row r="958">
      <c r="A958">
        <f>IF(ISBLANK('ENGAGEMENTS 2026'!B958),"",IF('ENGAGEMENTS 2026'!B958="DTSI","DCT",'ENGAGEMENTS 2026'!B958))</f>
        <v/>
      </c>
      <c r="B958">
        <f>IF(ISBLANK('ENGAGEMENTS 2026'!B958),"",'ENGAGEMENTS 2026'!C958)</f>
        <v/>
      </c>
      <c r="C958">
        <f>IF(ISBLANK('ENGAGEMENTS 2026'!B958),"",'ENGAGEMENTS 2026'!D958)</f>
        <v/>
      </c>
      <c r="D958">
        <f>IF(ISBLANK('ENGAGEMENTS 2026'!B958),"",'ENGAGEMENTS 2026'!F958)</f>
        <v/>
      </c>
      <c r="E958">
        <f>IF(ISBLANK('ENGAGEMENTS 2026'!B958),"",'ENGAGEMENTS 2026'!H958)</f>
        <v/>
      </c>
      <c r="F958">
        <f>IF(ISBLANK('ENGAGEMENTS 2026'!B958),"",'ENGAGEMENTS 2026'!I958)</f>
        <v/>
      </c>
      <c r="G958">
        <f>IF(ISBLANK('ENGAGEMENTS 2026'!B958),"",'ENGAGEMENTS 2026'!L958)</f>
        <v/>
      </c>
      <c r="H958">
        <f>IF(ISBLANK('ENGAGEMENTS 2026'!B958),"",'ENGAGEMENTS 2026'!AE958)</f>
        <v/>
      </c>
      <c r="I958">
        <f>IF(ISBLANK('ENGAGEMENTS 2026'!B958),"",'ENGAGEMENTS 2026'!G958)</f>
        <v/>
      </c>
      <c r="J958" s="275">
        <f>IF(ISBLANK('ENGAGEMENTS 2026'!B958),"",IF(AND(OR($E958="INFRUCTUEUX",$E958="ANNULE"),$C958="AOO-M"),'ENGAGEMENTS 2026'!O958,IF($H958="EN COURS DE PREENGAGEMENT",'ENGAGEMENTS 2026'!N958,IF($H958="PREENGAGE",IF($E958="ATTRIBUE",'ENGAGEMENTS 2026'!AD958,'ENGAGEMENTS 2026'!N958),'ENGAGEMENTS 2026'!AD958))))</f>
        <v/>
      </c>
      <c r="K958" s="604">
        <f>IF(ISBLANK('ENGAGEMENTS 2026'!V958),"",'ENGAGEMENTS 2026'!V958)</f>
        <v/>
      </c>
      <c r="L958" s="276">
        <f>IF($K958="","",TODAY()-$K958)</f>
        <v/>
      </c>
      <c r="M958">
        <f>IF($A958="","",IF($H958="ENGAGE","Engagé",IF(AND($H958="NON ENGAGE",OR($I958="INFRUCTUEUX",$I958="ANNULE")),"Clôturé sans suite","En cours")))</f>
        <v/>
      </c>
      <c r="N958">
        <f>IF(ISBLANK('ENGAGEMENTS 2026'!B958),"",'ENGAGEMENTS 2026'!K958)</f>
        <v/>
      </c>
      <c r="O958">
        <f>IF(ISBLANK('ENGAGEMENTS 2026'!B958),"",'ENGAGEMENTS 2026'!L958)</f>
        <v/>
      </c>
      <c r="P958">
        <f>IF(ISBLANK('ENGAGEMENTS 2026'!B958),"",'ENGAGEMENTS 2026'!J958)</f>
        <v/>
      </c>
      <c r="Q958">
        <f>IF($A958="","",IF(OR($E958="INFRUCTUEUX",$E958="ANNULE"),$A958&amp;"|"&amp;(COUNTIFS($A$2:$A958,$A958,$E$2:$E958,"INFRUCTUEUX")+COUNTIFS($A$2:$A958,$A958,$E$2:$E958,"ANNULE")),""))</f>
        <v/>
      </c>
    </row>
    <row r="959">
      <c r="A959">
        <f>IF(ISBLANK('ENGAGEMENTS 2026'!B959),"",IF('ENGAGEMENTS 2026'!B959="DTSI","DCT",'ENGAGEMENTS 2026'!B959))</f>
        <v/>
      </c>
      <c r="B959">
        <f>IF(ISBLANK('ENGAGEMENTS 2026'!B959),"",'ENGAGEMENTS 2026'!C959)</f>
        <v/>
      </c>
      <c r="C959">
        <f>IF(ISBLANK('ENGAGEMENTS 2026'!B959),"",'ENGAGEMENTS 2026'!D959)</f>
        <v/>
      </c>
      <c r="D959">
        <f>IF(ISBLANK('ENGAGEMENTS 2026'!B959),"",'ENGAGEMENTS 2026'!F959)</f>
        <v/>
      </c>
      <c r="E959">
        <f>IF(ISBLANK('ENGAGEMENTS 2026'!B959),"",'ENGAGEMENTS 2026'!H959)</f>
        <v/>
      </c>
      <c r="F959">
        <f>IF(ISBLANK('ENGAGEMENTS 2026'!B959),"",'ENGAGEMENTS 2026'!I959)</f>
        <v/>
      </c>
      <c r="G959">
        <f>IF(ISBLANK('ENGAGEMENTS 2026'!B959),"",'ENGAGEMENTS 2026'!L959)</f>
        <v/>
      </c>
      <c r="H959">
        <f>IF(ISBLANK('ENGAGEMENTS 2026'!B959),"",'ENGAGEMENTS 2026'!AE959)</f>
        <v/>
      </c>
      <c r="I959">
        <f>IF(ISBLANK('ENGAGEMENTS 2026'!B959),"",'ENGAGEMENTS 2026'!G959)</f>
        <v/>
      </c>
      <c r="J959" s="275">
        <f>IF(ISBLANK('ENGAGEMENTS 2026'!B959),"",IF(AND(OR($E959="INFRUCTUEUX",$E959="ANNULE"),$C959="AOO-M"),'ENGAGEMENTS 2026'!O959,IF($H959="EN COURS DE PREENGAGEMENT",'ENGAGEMENTS 2026'!N959,IF($H959="PREENGAGE",IF($E959="ATTRIBUE",'ENGAGEMENTS 2026'!AD959,'ENGAGEMENTS 2026'!N959),'ENGAGEMENTS 2026'!AD959))))</f>
        <v/>
      </c>
      <c r="K959" s="604">
        <f>IF(ISBLANK('ENGAGEMENTS 2026'!V959),"",'ENGAGEMENTS 2026'!V959)</f>
        <v/>
      </c>
      <c r="L959" s="276">
        <f>IF($K959="","",TODAY()-$K959)</f>
        <v/>
      </c>
      <c r="M959">
        <f>IF($A959="","",IF($H959="ENGAGE","Engagé",IF(AND($H959="NON ENGAGE",OR($I959="INFRUCTUEUX",$I959="ANNULE")),"Clôturé sans suite","En cours")))</f>
        <v/>
      </c>
      <c r="N959">
        <f>IF(ISBLANK('ENGAGEMENTS 2026'!B959),"",'ENGAGEMENTS 2026'!K959)</f>
        <v/>
      </c>
      <c r="O959">
        <f>IF(ISBLANK('ENGAGEMENTS 2026'!B959),"",'ENGAGEMENTS 2026'!L959)</f>
        <v/>
      </c>
      <c r="P959">
        <f>IF(ISBLANK('ENGAGEMENTS 2026'!B959),"",'ENGAGEMENTS 2026'!J959)</f>
        <v/>
      </c>
      <c r="Q959">
        <f>IF($A959="","",IF(OR($E959="INFRUCTUEUX",$E959="ANNULE"),$A959&amp;"|"&amp;(COUNTIFS($A$2:$A959,$A959,$E$2:$E959,"INFRUCTUEUX")+COUNTIFS($A$2:$A959,$A959,$E$2:$E959,"ANNULE")),""))</f>
        <v/>
      </c>
    </row>
    <row r="960">
      <c r="A960">
        <f>IF(ISBLANK('ENGAGEMENTS 2026'!B960),"",IF('ENGAGEMENTS 2026'!B960="DTSI","DCT",'ENGAGEMENTS 2026'!B960))</f>
        <v/>
      </c>
      <c r="B960">
        <f>IF(ISBLANK('ENGAGEMENTS 2026'!B960),"",'ENGAGEMENTS 2026'!C960)</f>
        <v/>
      </c>
      <c r="C960">
        <f>IF(ISBLANK('ENGAGEMENTS 2026'!B960),"",'ENGAGEMENTS 2026'!D960)</f>
        <v/>
      </c>
      <c r="D960">
        <f>IF(ISBLANK('ENGAGEMENTS 2026'!B960),"",'ENGAGEMENTS 2026'!F960)</f>
        <v/>
      </c>
      <c r="E960">
        <f>IF(ISBLANK('ENGAGEMENTS 2026'!B960),"",'ENGAGEMENTS 2026'!H960)</f>
        <v/>
      </c>
      <c r="F960">
        <f>IF(ISBLANK('ENGAGEMENTS 2026'!B960),"",'ENGAGEMENTS 2026'!I960)</f>
        <v/>
      </c>
      <c r="G960">
        <f>IF(ISBLANK('ENGAGEMENTS 2026'!B960),"",'ENGAGEMENTS 2026'!L960)</f>
        <v/>
      </c>
      <c r="H960">
        <f>IF(ISBLANK('ENGAGEMENTS 2026'!B960),"",'ENGAGEMENTS 2026'!AE960)</f>
        <v/>
      </c>
      <c r="I960">
        <f>IF(ISBLANK('ENGAGEMENTS 2026'!B960),"",'ENGAGEMENTS 2026'!G960)</f>
        <v/>
      </c>
      <c r="J960" s="275">
        <f>IF(ISBLANK('ENGAGEMENTS 2026'!B960),"",IF(AND(OR($E960="INFRUCTUEUX",$E960="ANNULE"),$C960="AOO-M"),'ENGAGEMENTS 2026'!O960,IF($H960="EN COURS DE PREENGAGEMENT",'ENGAGEMENTS 2026'!N960,IF($H960="PREENGAGE",IF($E960="ATTRIBUE",'ENGAGEMENTS 2026'!AD960,'ENGAGEMENTS 2026'!N960),'ENGAGEMENTS 2026'!AD960))))</f>
        <v/>
      </c>
      <c r="K960" s="604">
        <f>IF(ISBLANK('ENGAGEMENTS 2026'!V960),"",'ENGAGEMENTS 2026'!V960)</f>
        <v/>
      </c>
      <c r="L960" s="276">
        <f>IF($K960="","",TODAY()-$K960)</f>
        <v/>
      </c>
      <c r="M960">
        <f>IF($A960="","",IF($H960="ENGAGE","Engagé",IF(AND($H960="NON ENGAGE",OR($I960="INFRUCTUEUX",$I960="ANNULE")),"Clôturé sans suite","En cours")))</f>
        <v/>
      </c>
      <c r="N960">
        <f>IF(ISBLANK('ENGAGEMENTS 2026'!B960),"",'ENGAGEMENTS 2026'!K960)</f>
        <v/>
      </c>
      <c r="O960">
        <f>IF(ISBLANK('ENGAGEMENTS 2026'!B960),"",'ENGAGEMENTS 2026'!L960)</f>
        <v/>
      </c>
      <c r="P960">
        <f>IF(ISBLANK('ENGAGEMENTS 2026'!B960),"",'ENGAGEMENTS 2026'!J960)</f>
        <v/>
      </c>
      <c r="Q960">
        <f>IF($A960="","",IF(OR($E960="INFRUCTUEUX",$E960="ANNULE"),$A960&amp;"|"&amp;(COUNTIFS($A$2:$A960,$A960,$E$2:$E960,"INFRUCTUEUX")+COUNTIFS($A$2:$A960,$A960,$E$2:$E960,"ANNULE")),""))</f>
        <v/>
      </c>
    </row>
    <row r="961">
      <c r="A961">
        <f>IF(ISBLANK('ENGAGEMENTS 2026'!B961),"",IF('ENGAGEMENTS 2026'!B961="DTSI","DCT",'ENGAGEMENTS 2026'!B961))</f>
        <v/>
      </c>
      <c r="B961">
        <f>IF(ISBLANK('ENGAGEMENTS 2026'!B961),"",'ENGAGEMENTS 2026'!C961)</f>
        <v/>
      </c>
      <c r="C961">
        <f>IF(ISBLANK('ENGAGEMENTS 2026'!B961),"",'ENGAGEMENTS 2026'!D961)</f>
        <v/>
      </c>
      <c r="D961">
        <f>IF(ISBLANK('ENGAGEMENTS 2026'!B961),"",'ENGAGEMENTS 2026'!F961)</f>
        <v/>
      </c>
      <c r="E961">
        <f>IF(ISBLANK('ENGAGEMENTS 2026'!B961),"",'ENGAGEMENTS 2026'!H961)</f>
        <v/>
      </c>
      <c r="F961">
        <f>IF(ISBLANK('ENGAGEMENTS 2026'!B961),"",'ENGAGEMENTS 2026'!I961)</f>
        <v/>
      </c>
      <c r="G961">
        <f>IF(ISBLANK('ENGAGEMENTS 2026'!B961),"",'ENGAGEMENTS 2026'!L961)</f>
        <v/>
      </c>
      <c r="H961">
        <f>IF(ISBLANK('ENGAGEMENTS 2026'!B961),"",'ENGAGEMENTS 2026'!AE961)</f>
        <v/>
      </c>
      <c r="I961">
        <f>IF(ISBLANK('ENGAGEMENTS 2026'!B961),"",'ENGAGEMENTS 2026'!G961)</f>
        <v/>
      </c>
      <c r="J961" s="275">
        <f>IF(ISBLANK('ENGAGEMENTS 2026'!B961),"",IF(AND(OR($E961="INFRUCTUEUX",$E961="ANNULE"),$C961="AOO-M"),'ENGAGEMENTS 2026'!O961,IF($H961="EN COURS DE PREENGAGEMENT",'ENGAGEMENTS 2026'!N961,IF($H961="PREENGAGE",IF($E961="ATTRIBUE",'ENGAGEMENTS 2026'!AD961,'ENGAGEMENTS 2026'!N961),'ENGAGEMENTS 2026'!AD961))))</f>
        <v/>
      </c>
      <c r="K961" s="604">
        <f>IF(ISBLANK('ENGAGEMENTS 2026'!V961),"",'ENGAGEMENTS 2026'!V961)</f>
        <v/>
      </c>
      <c r="L961" s="276">
        <f>IF($K961="","",TODAY()-$K961)</f>
        <v/>
      </c>
      <c r="M961">
        <f>IF($A961="","",IF($H961="ENGAGE","Engagé",IF(AND($H961="NON ENGAGE",OR($I961="INFRUCTUEUX",$I961="ANNULE")),"Clôturé sans suite","En cours")))</f>
        <v/>
      </c>
      <c r="N961">
        <f>IF(ISBLANK('ENGAGEMENTS 2026'!B961),"",'ENGAGEMENTS 2026'!K961)</f>
        <v/>
      </c>
      <c r="O961">
        <f>IF(ISBLANK('ENGAGEMENTS 2026'!B961),"",'ENGAGEMENTS 2026'!L961)</f>
        <v/>
      </c>
      <c r="P961">
        <f>IF(ISBLANK('ENGAGEMENTS 2026'!B961),"",'ENGAGEMENTS 2026'!J961)</f>
        <v/>
      </c>
      <c r="Q961">
        <f>IF($A961="","",IF(OR($E961="INFRUCTUEUX",$E961="ANNULE"),$A961&amp;"|"&amp;(COUNTIFS($A$2:$A961,$A961,$E$2:$E961,"INFRUCTUEUX")+COUNTIFS($A$2:$A961,$A961,$E$2:$E961,"ANNULE")),""))</f>
        <v/>
      </c>
    </row>
    <row r="962">
      <c r="A962">
        <f>IF(ISBLANK('ENGAGEMENTS 2026'!B962),"",IF('ENGAGEMENTS 2026'!B962="DTSI","DCT",'ENGAGEMENTS 2026'!B962))</f>
        <v/>
      </c>
      <c r="B962">
        <f>IF(ISBLANK('ENGAGEMENTS 2026'!B962),"",'ENGAGEMENTS 2026'!C962)</f>
        <v/>
      </c>
      <c r="C962">
        <f>IF(ISBLANK('ENGAGEMENTS 2026'!B962),"",'ENGAGEMENTS 2026'!D962)</f>
        <v/>
      </c>
      <c r="D962">
        <f>IF(ISBLANK('ENGAGEMENTS 2026'!B962),"",'ENGAGEMENTS 2026'!F962)</f>
        <v/>
      </c>
      <c r="E962">
        <f>IF(ISBLANK('ENGAGEMENTS 2026'!B962),"",'ENGAGEMENTS 2026'!H962)</f>
        <v/>
      </c>
      <c r="F962">
        <f>IF(ISBLANK('ENGAGEMENTS 2026'!B962),"",'ENGAGEMENTS 2026'!I962)</f>
        <v/>
      </c>
      <c r="G962">
        <f>IF(ISBLANK('ENGAGEMENTS 2026'!B962),"",'ENGAGEMENTS 2026'!L962)</f>
        <v/>
      </c>
      <c r="H962">
        <f>IF(ISBLANK('ENGAGEMENTS 2026'!B962),"",'ENGAGEMENTS 2026'!AE962)</f>
        <v/>
      </c>
      <c r="I962">
        <f>IF(ISBLANK('ENGAGEMENTS 2026'!B962),"",'ENGAGEMENTS 2026'!G962)</f>
        <v/>
      </c>
      <c r="J962" s="275">
        <f>IF(ISBLANK('ENGAGEMENTS 2026'!B962),"",IF(AND(OR($E962="INFRUCTUEUX",$E962="ANNULE"),$C962="AOO-M"),'ENGAGEMENTS 2026'!O962,IF($H962="EN COURS DE PREENGAGEMENT",'ENGAGEMENTS 2026'!N962,IF($H962="PREENGAGE",IF($E962="ATTRIBUE",'ENGAGEMENTS 2026'!AD962,'ENGAGEMENTS 2026'!N962),'ENGAGEMENTS 2026'!AD962))))</f>
        <v/>
      </c>
      <c r="K962" s="604">
        <f>IF(ISBLANK('ENGAGEMENTS 2026'!V962),"",'ENGAGEMENTS 2026'!V962)</f>
        <v/>
      </c>
      <c r="L962" s="276">
        <f>IF($K962="","",TODAY()-$K962)</f>
        <v/>
      </c>
      <c r="M962">
        <f>IF($A962="","",IF($H962="ENGAGE","Engagé",IF(AND($H962="NON ENGAGE",OR($I962="INFRUCTUEUX",$I962="ANNULE")),"Clôturé sans suite","En cours")))</f>
        <v/>
      </c>
      <c r="N962">
        <f>IF(ISBLANK('ENGAGEMENTS 2026'!B962),"",'ENGAGEMENTS 2026'!K962)</f>
        <v/>
      </c>
      <c r="O962">
        <f>IF(ISBLANK('ENGAGEMENTS 2026'!B962),"",'ENGAGEMENTS 2026'!L962)</f>
        <v/>
      </c>
      <c r="P962">
        <f>IF(ISBLANK('ENGAGEMENTS 2026'!B962),"",'ENGAGEMENTS 2026'!J962)</f>
        <v/>
      </c>
      <c r="Q962">
        <f>IF($A962="","",IF(OR($E962="INFRUCTUEUX",$E962="ANNULE"),$A962&amp;"|"&amp;(COUNTIFS($A$2:$A962,$A962,$E$2:$E962,"INFRUCTUEUX")+COUNTIFS($A$2:$A962,$A962,$E$2:$E962,"ANNULE")),""))</f>
        <v/>
      </c>
    </row>
    <row r="963">
      <c r="A963">
        <f>IF(ISBLANK('ENGAGEMENTS 2026'!B963),"",IF('ENGAGEMENTS 2026'!B963="DTSI","DCT",'ENGAGEMENTS 2026'!B963))</f>
        <v/>
      </c>
      <c r="B963">
        <f>IF(ISBLANK('ENGAGEMENTS 2026'!B963),"",'ENGAGEMENTS 2026'!C963)</f>
        <v/>
      </c>
      <c r="C963">
        <f>IF(ISBLANK('ENGAGEMENTS 2026'!B963),"",'ENGAGEMENTS 2026'!D963)</f>
        <v/>
      </c>
      <c r="D963">
        <f>IF(ISBLANK('ENGAGEMENTS 2026'!B963),"",'ENGAGEMENTS 2026'!F963)</f>
        <v/>
      </c>
      <c r="E963">
        <f>IF(ISBLANK('ENGAGEMENTS 2026'!B963),"",'ENGAGEMENTS 2026'!H963)</f>
        <v/>
      </c>
      <c r="F963">
        <f>IF(ISBLANK('ENGAGEMENTS 2026'!B963),"",'ENGAGEMENTS 2026'!I963)</f>
        <v/>
      </c>
      <c r="G963">
        <f>IF(ISBLANK('ENGAGEMENTS 2026'!B963),"",'ENGAGEMENTS 2026'!L963)</f>
        <v/>
      </c>
      <c r="H963">
        <f>IF(ISBLANK('ENGAGEMENTS 2026'!B963),"",'ENGAGEMENTS 2026'!AE963)</f>
        <v/>
      </c>
      <c r="I963">
        <f>IF(ISBLANK('ENGAGEMENTS 2026'!B963),"",'ENGAGEMENTS 2026'!G963)</f>
        <v/>
      </c>
      <c r="J963" s="275">
        <f>IF(ISBLANK('ENGAGEMENTS 2026'!B963),"",IF(AND(OR($E963="INFRUCTUEUX",$E963="ANNULE"),$C963="AOO-M"),'ENGAGEMENTS 2026'!O963,IF($H963="EN COURS DE PREENGAGEMENT",'ENGAGEMENTS 2026'!N963,IF($H963="PREENGAGE",IF($E963="ATTRIBUE",'ENGAGEMENTS 2026'!AD963,'ENGAGEMENTS 2026'!N963),'ENGAGEMENTS 2026'!AD963))))</f>
        <v/>
      </c>
      <c r="K963" s="604">
        <f>IF(ISBLANK('ENGAGEMENTS 2026'!V963),"",'ENGAGEMENTS 2026'!V963)</f>
        <v/>
      </c>
      <c r="L963" s="276">
        <f>IF($K963="","",TODAY()-$K963)</f>
        <v/>
      </c>
      <c r="M963">
        <f>IF($A963="","",IF($H963="ENGAGE","Engagé",IF(AND($H963="NON ENGAGE",OR($I963="INFRUCTUEUX",$I963="ANNULE")),"Clôturé sans suite","En cours")))</f>
        <v/>
      </c>
      <c r="N963">
        <f>IF(ISBLANK('ENGAGEMENTS 2026'!B963),"",'ENGAGEMENTS 2026'!K963)</f>
        <v/>
      </c>
      <c r="O963">
        <f>IF(ISBLANK('ENGAGEMENTS 2026'!B963),"",'ENGAGEMENTS 2026'!L963)</f>
        <v/>
      </c>
      <c r="P963">
        <f>IF(ISBLANK('ENGAGEMENTS 2026'!B963),"",'ENGAGEMENTS 2026'!J963)</f>
        <v/>
      </c>
      <c r="Q963">
        <f>IF($A963="","",IF(OR($E963="INFRUCTUEUX",$E963="ANNULE"),$A963&amp;"|"&amp;(COUNTIFS($A$2:$A963,$A963,$E$2:$E963,"INFRUCTUEUX")+COUNTIFS($A$2:$A963,$A963,$E$2:$E963,"ANNULE")),""))</f>
        <v/>
      </c>
    </row>
    <row r="964">
      <c r="A964">
        <f>IF(ISBLANK('ENGAGEMENTS 2026'!B964),"",IF('ENGAGEMENTS 2026'!B964="DTSI","DCT",'ENGAGEMENTS 2026'!B964))</f>
        <v/>
      </c>
      <c r="B964">
        <f>IF(ISBLANK('ENGAGEMENTS 2026'!B964),"",'ENGAGEMENTS 2026'!C964)</f>
        <v/>
      </c>
      <c r="C964">
        <f>IF(ISBLANK('ENGAGEMENTS 2026'!B964),"",'ENGAGEMENTS 2026'!D964)</f>
        <v/>
      </c>
      <c r="D964">
        <f>IF(ISBLANK('ENGAGEMENTS 2026'!B964),"",'ENGAGEMENTS 2026'!F964)</f>
        <v/>
      </c>
      <c r="E964">
        <f>IF(ISBLANK('ENGAGEMENTS 2026'!B964),"",'ENGAGEMENTS 2026'!H964)</f>
        <v/>
      </c>
      <c r="F964">
        <f>IF(ISBLANK('ENGAGEMENTS 2026'!B964),"",'ENGAGEMENTS 2026'!I964)</f>
        <v/>
      </c>
      <c r="G964">
        <f>IF(ISBLANK('ENGAGEMENTS 2026'!B964),"",'ENGAGEMENTS 2026'!L964)</f>
        <v/>
      </c>
      <c r="H964">
        <f>IF(ISBLANK('ENGAGEMENTS 2026'!B964),"",'ENGAGEMENTS 2026'!AE964)</f>
        <v/>
      </c>
      <c r="I964">
        <f>IF(ISBLANK('ENGAGEMENTS 2026'!B964),"",'ENGAGEMENTS 2026'!G964)</f>
        <v/>
      </c>
      <c r="J964" s="275">
        <f>IF(ISBLANK('ENGAGEMENTS 2026'!B964),"",IF(AND(OR($E964="INFRUCTUEUX",$E964="ANNULE"),$C964="AOO-M"),'ENGAGEMENTS 2026'!O964,IF($H964="EN COURS DE PREENGAGEMENT",'ENGAGEMENTS 2026'!N964,IF($H964="PREENGAGE",IF($E964="ATTRIBUE",'ENGAGEMENTS 2026'!AD964,'ENGAGEMENTS 2026'!N964),'ENGAGEMENTS 2026'!AD964))))</f>
        <v/>
      </c>
      <c r="K964" s="604">
        <f>IF(ISBLANK('ENGAGEMENTS 2026'!V964),"",'ENGAGEMENTS 2026'!V964)</f>
        <v/>
      </c>
      <c r="L964" s="276">
        <f>IF($K964="","",TODAY()-$K964)</f>
        <v/>
      </c>
      <c r="M964">
        <f>IF($A964="","",IF($H964="ENGAGE","Engagé",IF(AND($H964="NON ENGAGE",OR($I964="INFRUCTUEUX",$I964="ANNULE")),"Clôturé sans suite","En cours")))</f>
        <v/>
      </c>
      <c r="N964">
        <f>IF(ISBLANK('ENGAGEMENTS 2026'!B964),"",'ENGAGEMENTS 2026'!K964)</f>
        <v/>
      </c>
      <c r="O964">
        <f>IF(ISBLANK('ENGAGEMENTS 2026'!B964),"",'ENGAGEMENTS 2026'!L964)</f>
        <v/>
      </c>
      <c r="P964">
        <f>IF(ISBLANK('ENGAGEMENTS 2026'!B964),"",'ENGAGEMENTS 2026'!J964)</f>
        <v/>
      </c>
      <c r="Q964">
        <f>IF($A964="","",IF(OR($E964="INFRUCTUEUX",$E964="ANNULE"),$A964&amp;"|"&amp;(COUNTIFS($A$2:$A964,$A964,$E$2:$E964,"INFRUCTUEUX")+COUNTIFS($A$2:$A964,$A964,$E$2:$E964,"ANNULE")),""))</f>
        <v/>
      </c>
    </row>
    <row r="965">
      <c r="A965">
        <f>IF(ISBLANK('ENGAGEMENTS 2026'!B965),"",IF('ENGAGEMENTS 2026'!B965="DTSI","DCT",'ENGAGEMENTS 2026'!B965))</f>
        <v/>
      </c>
      <c r="B965">
        <f>IF(ISBLANK('ENGAGEMENTS 2026'!B965),"",'ENGAGEMENTS 2026'!C965)</f>
        <v/>
      </c>
      <c r="C965">
        <f>IF(ISBLANK('ENGAGEMENTS 2026'!B965),"",'ENGAGEMENTS 2026'!D965)</f>
        <v/>
      </c>
      <c r="D965">
        <f>IF(ISBLANK('ENGAGEMENTS 2026'!B965),"",'ENGAGEMENTS 2026'!F965)</f>
        <v/>
      </c>
      <c r="E965">
        <f>IF(ISBLANK('ENGAGEMENTS 2026'!B965),"",'ENGAGEMENTS 2026'!H965)</f>
        <v/>
      </c>
      <c r="F965">
        <f>IF(ISBLANK('ENGAGEMENTS 2026'!B965),"",'ENGAGEMENTS 2026'!I965)</f>
        <v/>
      </c>
      <c r="G965">
        <f>IF(ISBLANK('ENGAGEMENTS 2026'!B965),"",'ENGAGEMENTS 2026'!L965)</f>
        <v/>
      </c>
      <c r="H965">
        <f>IF(ISBLANK('ENGAGEMENTS 2026'!B965),"",'ENGAGEMENTS 2026'!AE965)</f>
        <v/>
      </c>
      <c r="I965">
        <f>IF(ISBLANK('ENGAGEMENTS 2026'!B965),"",'ENGAGEMENTS 2026'!G965)</f>
        <v/>
      </c>
      <c r="J965" s="275">
        <f>IF(ISBLANK('ENGAGEMENTS 2026'!B965),"",IF(AND(OR($E965="INFRUCTUEUX",$E965="ANNULE"),$C965="AOO-M"),'ENGAGEMENTS 2026'!O965,IF($H965="EN COURS DE PREENGAGEMENT",'ENGAGEMENTS 2026'!N965,IF($H965="PREENGAGE",IF($E965="ATTRIBUE",'ENGAGEMENTS 2026'!AD965,'ENGAGEMENTS 2026'!N965),'ENGAGEMENTS 2026'!AD965))))</f>
        <v/>
      </c>
      <c r="K965" s="604">
        <f>IF(ISBLANK('ENGAGEMENTS 2026'!V965),"",'ENGAGEMENTS 2026'!V965)</f>
        <v/>
      </c>
      <c r="L965" s="276">
        <f>IF($K965="","",TODAY()-$K965)</f>
        <v/>
      </c>
      <c r="M965">
        <f>IF($A965="","",IF($H965="ENGAGE","Engagé",IF(AND($H965="NON ENGAGE",OR($I965="INFRUCTUEUX",$I965="ANNULE")),"Clôturé sans suite","En cours")))</f>
        <v/>
      </c>
      <c r="N965">
        <f>IF(ISBLANK('ENGAGEMENTS 2026'!B965),"",'ENGAGEMENTS 2026'!K965)</f>
        <v/>
      </c>
      <c r="O965">
        <f>IF(ISBLANK('ENGAGEMENTS 2026'!B965),"",'ENGAGEMENTS 2026'!L965)</f>
        <v/>
      </c>
      <c r="P965">
        <f>IF(ISBLANK('ENGAGEMENTS 2026'!B965),"",'ENGAGEMENTS 2026'!J965)</f>
        <v/>
      </c>
      <c r="Q965">
        <f>IF($A965="","",IF(OR($E965="INFRUCTUEUX",$E965="ANNULE"),$A965&amp;"|"&amp;(COUNTIFS($A$2:$A965,$A965,$E$2:$E965,"INFRUCTUEUX")+COUNTIFS($A$2:$A965,$A965,$E$2:$E965,"ANNULE")),""))</f>
        <v/>
      </c>
    </row>
    <row r="966">
      <c r="A966">
        <f>IF(ISBLANK('ENGAGEMENTS 2026'!B966),"",IF('ENGAGEMENTS 2026'!B966="DTSI","DCT",'ENGAGEMENTS 2026'!B966))</f>
        <v/>
      </c>
      <c r="B966">
        <f>IF(ISBLANK('ENGAGEMENTS 2026'!B966),"",'ENGAGEMENTS 2026'!C966)</f>
        <v/>
      </c>
      <c r="C966">
        <f>IF(ISBLANK('ENGAGEMENTS 2026'!B966),"",'ENGAGEMENTS 2026'!D966)</f>
        <v/>
      </c>
      <c r="D966">
        <f>IF(ISBLANK('ENGAGEMENTS 2026'!B966),"",'ENGAGEMENTS 2026'!F966)</f>
        <v/>
      </c>
      <c r="E966">
        <f>IF(ISBLANK('ENGAGEMENTS 2026'!B966),"",'ENGAGEMENTS 2026'!H966)</f>
        <v/>
      </c>
      <c r="F966">
        <f>IF(ISBLANK('ENGAGEMENTS 2026'!B966),"",'ENGAGEMENTS 2026'!I966)</f>
        <v/>
      </c>
      <c r="G966">
        <f>IF(ISBLANK('ENGAGEMENTS 2026'!B966),"",'ENGAGEMENTS 2026'!L966)</f>
        <v/>
      </c>
      <c r="H966">
        <f>IF(ISBLANK('ENGAGEMENTS 2026'!B966),"",'ENGAGEMENTS 2026'!AE966)</f>
        <v/>
      </c>
      <c r="I966">
        <f>IF(ISBLANK('ENGAGEMENTS 2026'!B966),"",'ENGAGEMENTS 2026'!G966)</f>
        <v/>
      </c>
      <c r="J966" s="275">
        <f>IF(ISBLANK('ENGAGEMENTS 2026'!B966),"",IF(AND(OR($E966="INFRUCTUEUX",$E966="ANNULE"),$C966="AOO-M"),'ENGAGEMENTS 2026'!O966,IF($H966="EN COURS DE PREENGAGEMENT",'ENGAGEMENTS 2026'!N966,IF($H966="PREENGAGE",IF($E966="ATTRIBUE",'ENGAGEMENTS 2026'!AD966,'ENGAGEMENTS 2026'!N966),'ENGAGEMENTS 2026'!AD966))))</f>
        <v/>
      </c>
      <c r="K966" s="604">
        <f>IF(ISBLANK('ENGAGEMENTS 2026'!V966),"",'ENGAGEMENTS 2026'!V966)</f>
        <v/>
      </c>
      <c r="L966" s="276">
        <f>IF($K966="","",TODAY()-$K966)</f>
        <v/>
      </c>
      <c r="M966">
        <f>IF($A966="","",IF($H966="ENGAGE","Engagé",IF(AND($H966="NON ENGAGE",OR($I966="INFRUCTUEUX",$I966="ANNULE")),"Clôturé sans suite","En cours")))</f>
        <v/>
      </c>
      <c r="N966">
        <f>IF(ISBLANK('ENGAGEMENTS 2026'!B966),"",'ENGAGEMENTS 2026'!K966)</f>
        <v/>
      </c>
      <c r="O966">
        <f>IF(ISBLANK('ENGAGEMENTS 2026'!B966),"",'ENGAGEMENTS 2026'!L966)</f>
        <v/>
      </c>
      <c r="P966">
        <f>IF(ISBLANK('ENGAGEMENTS 2026'!B966),"",'ENGAGEMENTS 2026'!J966)</f>
        <v/>
      </c>
      <c r="Q966">
        <f>IF($A966="","",IF(OR($E966="INFRUCTUEUX",$E966="ANNULE"),$A966&amp;"|"&amp;(COUNTIFS($A$2:$A966,$A966,$E$2:$E966,"INFRUCTUEUX")+COUNTIFS($A$2:$A966,$A966,$E$2:$E966,"ANNULE")),""))</f>
        <v/>
      </c>
    </row>
    <row r="967">
      <c r="A967">
        <f>IF(ISBLANK('ENGAGEMENTS 2026'!B967),"",IF('ENGAGEMENTS 2026'!B967="DTSI","DCT",'ENGAGEMENTS 2026'!B967))</f>
        <v/>
      </c>
      <c r="B967">
        <f>IF(ISBLANK('ENGAGEMENTS 2026'!B967),"",'ENGAGEMENTS 2026'!C967)</f>
        <v/>
      </c>
      <c r="C967">
        <f>IF(ISBLANK('ENGAGEMENTS 2026'!B967),"",'ENGAGEMENTS 2026'!D967)</f>
        <v/>
      </c>
      <c r="D967">
        <f>IF(ISBLANK('ENGAGEMENTS 2026'!B967),"",'ENGAGEMENTS 2026'!F967)</f>
        <v/>
      </c>
      <c r="E967">
        <f>IF(ISBLANK('ENGAGEMENTS 2026'!B967),"",'ENGAGEMENTS 2026'!H967)</f>
        <v/>
      </c>
      <c r="F967">
        <f>IF(ISBLANK('ENGAGEMENTS 2026'!B967),"",'ENGAGEMENTS 2026'!I967)</f>
        <v/>
      </c>
      <c r="G967">
        <f>IF(ISBLANK('ENGAGEMENTS 2026'!B967),"",'ENGAGEMENTS 2026'!L967)</f>
        <v/>
      </c>
      <c r="H967">
        <f>IF(ISBLANK('ENGAGEMENTS 2026'!B967),"",'ENGAGEMENTS 2026'!AE967)</f>
        <v/>
      </c>
      <c r="I967">
        <f>IF(ISBLANK('ENGAGEMENTS 2026'!B967),"",'ENGAGEMENTS 2026'!G967)</f>
        <v/>
      </c>
      <c r="J967" s="275">
        <f>IF(ISBLANK('ENGAGEMENTS 2026'!B967),"",IF(AND(OR($E967="INFRUCTUEUX",$E967="ANNULE"),$C967="AOO-M"),'ENGAGEMENTS 2026'!O967,IF($H967="EN COURS DE PREENGAGEMENT",'ENGAGEMENTS 2026'!N967,IF($H967="PREENGAGE",IF($E967="ATTRIBUE",'ENGAGEMENTS 2026'!AD967,'ENGAGEMENTS 2026'!N967),'ENGAGEMENTS 2026'!AD967))))</f>
        <v/>
      </c>
      <c r="K967" s="604">
        <f>IF(ISBLANK('ENGAGEMENTS 2026'!V967),"",'ENGAGEMENTS 2026'!V967)</f>
        <v/>
      </c>
      <c r="L967" s="276">
        <f>IF($K967="","",TODAY()-$K967)</f>
        <v/>
      </c>
      <c r="M967">
        <f>IF($A967="","",IF($H967="ENGAGE","Engagé",IF(AND($H967="NON ENGAGE",OR($I967="INFRUCTUEUX",$I967="ANNULE")),"Clôturé sans suite","En cours")))</f>
        <v/>
      </c>
      <c r="N967">
        <f>IF(ISBLANK('ENGAGEMENTS 2026'!B967),"",'ENGAGEMENTS 2026'!K967)</f>
        <v/>
      </c>
      <c r="O967">
        <f>IF(ISBLANK('ENGAGEMENTS 2026'!B967),"",'ENGAGEMENTS 2026'!L967)</f>
        <v/>
      </c>
      <c r="P967">
        <f>IF(ISBLANK('ENGAGEMENTS 2026'!B967),"",'ENGAGEMENTS 2026'!J967)</f>
        <v/>
      </c>
      <c r="Q967">
        <f>IF($A967="","",IF(OR($E967="INFRUCTUEUX",$E967="ANNULE"),$A967&amp;"|"&amp;(COUNTIFS($A$2:$A967,$A967,$E$2:$E967,"INFRUCTUEUX")+COUNTIFS($A$2:$A967,$A967,$E$2:$E967,"ANNULE")),""))</f>
        <v/>
      </c>
    </row>
    <row r="968">
      <c r="A968">
        <f>IF(ISBLANK('ENGAGEMENTS 2026'!B968),"",IF('ENGAGEMENTS 2026'!B968="DTSI","DCT",'ENGAGEMENTS 2026'!B968))</f>
        <v/>
      </c>
      <c r="B968">
        <f>IF(ISBLANK('ENGAGEMENTS 2026'!B968),"",'ENGAGEMENTS 2026'!C968)</f>
        <v/>
      </c>
      <c r="C968">
        <f>IF(ISBLANK('ENGAGEMENTS 2026'!B968),"",'ENGAGEMENTS 2026'!D968)</f>
        <v/>
      </c>
      <c r="D968">
        <f>IF(ISBLANK('ENGAGEMENTS 2026'!B968),"",'ENGAGEMENTS 2026'!F968)</f>
        <v/>
      </c>
      <c r="E968">
        <f>IF(ISBLANK('ENGAGEMENTS 2026'!B968),"",'ENGAGEMENTS 2026'!H968)</f>
        <v/>
      </c>
      <c r="F968">
        <f>IF(ISBLANK('ENGAGEMENTS 2026'!B968),"",'ENGAGEMENTS 2026'!I968)</f>
        <v/>
      </c>
      <c r="G968">
        <f>IF(ISBLANK('ENGAGEMENTS 2026'!B968),"",'ENGAGEMENTS 2026'!L968)</f>
        <v/>
      </c>
      <c r="H968">
        <f>IF(ISBLANK('ENGAGEMENTS 2026'!B968),"",'ENGAGEMENTS 2026'!AE968)</f>
        <v/>
      </c>
      <c r="I968">
        <f>IF(ISBLANK('ENGAGEMENTS 2026'!B968),"",'ENGAGEMENTS 2026'!G968)</f>
        <v/>
      </c>
      <c r="J968" s="275">
        <f>IF(ISBLANK('ENGAGEMENTS 2026'!B968),"",IF(AND(OR($E968="INFRUCTUEUX",$E968="ANNULE"),$C968="AOO-M"),'ENGAGEMENTS 2026'!O968,IF($H968="EN COURS DE PREENGAGEMENT",'ENGAGEMENTS 2026'!N968,IF($H968="PREENGAGE",IF($E968="ATTRIBUE",'ENGAGEMENTS 2026'!AD968,'ENGAGEMENTS 2026'!N968),'ENGAGEMENTS 2026'!AD968))))</f>
        <v/>
      </c>
      <c r="K968" s="604">
        <f>IF(ISBLANK('ENGAGEMENTS 2026'!V968),"",'ENGAGEMENTS 2026'!V968)</f>
        <v/>
      </c>
      <c r="L968" s="276">
        <f>IF($K968="","",TODAY()-$K968)</f>
        <v/>
      </c>
      <c r="M968">
        <f>IF($A968="","",IF($H968="ENGAGE","Engagé",IF(AND($H968="NON ENGAGE",OR($I968="INFRUCTUEUX",$I968="ANNULE")),"Clôturé sans suite","En cours")))</f>
        <v/>
      </c>
      <c r="N968">
        <f>IF(ISBLANK('ENGAGEMENTS 2026'!B968),"",'ENGAGEMENTS 2026'!K968)</f>
        <v/>
      </c>
      <c r="O968">
        <f>IF(ISBLANK('ENGAGEMENTS 2026'!B968),"",'ENGAGEMENTS 2026'!L968)</f>
        <v/>
      </c>
      <c r="P968">
        <f>IF(ISBLANK('ENGAGEMENTS 2026'!B968),"",'ENGAGEMENTS 2026'!J968)</f>
        <v/>
      </c>
      <c r="Q968">
        <f>IF($A968="","",IF(OR($E968="INFRUCTUEUX",$E968="ANNULE"),$A968&amp;"|"&amp;(COUNTIFS($A$2:$A968,$A968,$E$2:$E968,"INFRUCTUEUX")+COUNTIFS($A$2:$A968,$A968,$E$2:$E968,"ANNULE")),""))</f>
        <v/>
      </c>
    </row>
    <row r="969">
      <c r="A969">
        <f>IF(ISBLANK('ENGAGEMENTS 2026'!B969),"",IF('ENGAGEMENTS 2026'!B969="DTSI","DCT",'ENGAGEMENTS 2026'!B969))</f>
        <v/>
      </c>
      <c r="B969">
        <f>IF(ISBLANK('ENGAGEMENTS 2026'!B969),"",'ENGAGEMENTS 2026'!C969)</f>
        <v/>
      </c>
      <c r="C969">
        <f>IF(ISBLANK('ENGAGEMENTS 2026'!B969),"",'ENGAGEMENTS 2026'!D969)</f>
        <v/>
      </c>
      <c r="D969">
        <f>IF(ISBLANK('ENGAGEMENTS 2026'!B969),"",'ENGAGEMENTS 2026'!F969)</f>
        <v/>
      </c>
      <c r="E969">
        <f>IF(ISBLANK('ENGAGEMENTS 2026'!B969),"",'ENGAGEMENTS 2026'!H969)</f>
        <v/>
      </c>
      <c r="F969">
        <f>IF(ISBLANK('ENGAGEMENTS 2026'!B969),"",'ENGAGEMENTS 2026'!I969)</f>
        <v/>
      </c>
      <c r="G969">
        <f>IF(ISBLANK('ENGAGEMENTS 2026'!B969),"",'ENGAGEMENTS 2026'!L969)</f>
        <v/>
      </c>
      <c r="H969">
        <f>IF(ISBLANK('ENGAGEMENTS 2026'!B969),"",'ENGAGEMENTS 2026'!AE969)</f>
        <v/>
      </c>
      <c r="I969">
        <f>IF(ISBLANK('ENGAGEMENTS 2026'!B969),"",'ENGAGEMENTS 2026'!G969)</f>
        <v/>
      </c>
      <c r="J969" s="275">
        <f>IF(ISBLANK('ENGAGEMENTS 2026'!B969),"",IF(AND(OR($E969="INFRUCTUEUX",$E969="ANNULE"),$C969="AOO-M"),'ENGAGEMENTS 2026'!O969,IF($H969="EN COURS DE PREENGAGEMENT",'ENGAGEMENTS 2026'!N969,IF($H969="PREENGAGE",IF($E969="ATTRIBUE",'ENGAGEMENTS 2026'!AD969,'ENGAGEMENTS 2026'!N969),'ENGAGEMENTS 2026'!AD969))))</f>
        <v/>
      </c>
      <c r="K969" s="604">
        <f>IF(ISBLANK('ENGAGEMENTS 2026'!V969),"",'ENGAGEMENTS 2026'!V969)</f>
        <v/>
      </c>
      <c r="L969" s="276">
        <f>IF($K969="","",TODAY()-$K969)</f>
        <v/>
      </c>
      <c r="M969">
        <f>IF($A969="","",IF($H969="ENGAGE","Engagé",IF(AND($H969="NON ENGAGE",OR($I969="INFRUCTUEUX",$I969="ANNULE")),"Clôturé sans suite","En cours")))</f>
        <v/>
      </c>
      <c r="N969">
        <f>IF(ISBLANK('ENGAGEMENTS 2026'!B969),"",'ENGAGEMENTS 2026'!K969)</f>
        <v/>
      </c>
      <c r="O969">
        <f>IF(ISBLANK('ENGAGEMENTS 2026'!B969),"",'ENGAGEMENTS 2026'!L969)</f>
        <v/>
      </c>
      <c r="P969">
        <f>IF(ISBLANK('ENGAGEMENTS 2026'!B969),"",'ENGAGEMENTS 2026'!J969)</f>
        <v/>
      </c>
      <c r="Q969">
        <f>IF($A969="","",IF(OR($E969="INFRUCTUEUX",$E969="ANNULE"),$A969&amp;"|"&amp;(COUNTIFS($A$2:$A969,$A969,$E$2:$E969,"INFRUCTUEUX")+COUNTIFS($A$2:$A969,$A969,$E$2:$E969,"ANNULE")),""))</f>
        <v/>
      </c>
    </row>
    <row r="970">
      <c r="A970">
        <f>IF(ISBLANK('ENGAGEMENTS 2026'!B970),"",IF('ENGAGEMENTS 2026'!B970="DTSI","DCT",'ENGAGEMENTS 2026'!B970))</f>
        <v/>
      </c>
      <c r="B970">
        <f>IF(ISBLANK('ENGAGEMENTS 2026'!B970),"",'ENGAGEMENTS 2026'!C970)</f>
        <v/>
      </c>
      <c r="C970">
        <f>IF(ISBLANK('ENGAGEMENTS 2026'!B970),"",'ENGAGEMENTS 2026'!D970)</f>
        <v/>
      </c>
      <c r="D970">
        <f>IF(ISBLANK('ENGAGEMENTS 2026'!B970),"",'ENGAGEMENTS 2026'!F970)</f>
        <v/>
      </c>
      <c r="E970">
        <f>IF(ISBLANK('ENGAGEMENTS 2026'!B970),"",'ENGAGEMENTS 2026'!H970)</f>
        <v/>
      </c>
      <c r="F970">
        <f>IF(ISBLANK('ENGAGEMENTS 2026'!B970),"",'ENGAGEMENTS 2026'!I970)</f>
        <v/>
      </c>
      <c r="G970">
        <f>IF(ISBLANK('ENGAGEMENTS 2026'!B970),"",'ENGAGEMENTS 2026'!L970)</f>
        <v/>
      </c>
      <c r="H970">
        <f>IF(ISBLANK('ENGAGEMENTS 2026'!B970),"",'ENGAGEMENTS 2026'!AE970)</f>
        <v/>
      </c>
      <c r="I970">
        <f>IF(ISBLANK('ENGAGEMENTS 2026'!B970),"",'ENGAGEMENTS 2026'!G970)</f>
        <v/>
      </c>
      <c r="J970" s="275">
        <f>IF(ISBLANK('ENGAGEMENTS 2026'!B970),"",IF(AND(OR($E970="INFRUCTUEUX",$E970="ANNULE"),$C970="AOO-M"),'ENGAGEMENTS 2026'!O970,IF($H970="EN COURS DE PREENGAGEMENT",'ENGAGEMENTS 2026'!N970,IF($H970="PREENGAGE",IF($E970="ATTRIBUE",'ENGAGEMENTS 2026'!AD970,'ENGAGEMENTS 2026'!N970),'ENGAGEMENTS 2026'!AD970))))</f>
        <v/>
      </c>
      <c r="K970" s="604">
        <f>IF(ISBLANK('ENGAGEMENTS 2026'!V970),"",'ENGAGEMENTS 2026'!V970)</f>
        <v/>
      </c>
      <c r="L970" s="276">
        <f>IF($K970="","",TODAY()-$K970)</f>
        <v/>
      </c>
      <c r="M970">
        <f>IF($A970="","",IF($H970="ENGAGE","Engagé",IF(AND($H970="NON ENGAGE",OR($I970="INFRUCTUEUX",$I970="ANNULE")),"Clôturé sans suite","En cours")))</f>
        <v/>
      </c>
      <c r="N970">
        <f>IF(ISBLANK('ENGAGEMENTS 2026'!B970),"",'ENGAGEMENTS 2026'!K970)</f>
        <v/>
      </c>
      <c r="O970">
        <f>IF(ISBLANK('ENGAGEMENTS 2026'!B970),"",'ENGAGEMENTS 2026'!L970)</f>
        <v/>
      </c>
      <c r="P970">
        <f>IF(ISBLANK('ENGAGEMENTS 2026'!B970),"",'ENGAGEMENTS 2026'!J970)</f>
        <v/>
      </c>
      <c r="Q970">
        <f>IF($A970="","",IF(OR($E970="INFRUCTUEUX",$E970="ANNULE"),$A970&amp;"|"&amp;(COUNTIFS($A$2:$A970,$A970,$E$2:$E970,"INFRUCTUEUX")+COUNTIFS($A$2:$A970,$A970,$E$2:$E970,"ANNULE")),""))</f>
        <v/>
      </c>
    </row>
    <row r="971">
      <c r="A971">
        <f>IF(ISBLANK('ENGAGEMENTS 2026'!B971),"",IF('ENGAGEMENTS 2026'!B971="DTSI","DCT",'ENGAGEMENTS 2026'!B971))</f>
        <v/>
      </c>
      <c r="B971">
        <f>IF(ISBLANK('ENGAGEMENTS 2026'!B971),"",'ENGAGEMENTS 2026'!C971)</f>
        <v/>
      </c>
      <c r="C971">
        <f>IF(ISBLANK('ENGAGEMENTS 2026'!B971),"",'ENGAGEMENTS 2026'!D971)</f>
        <v/>
      </c>
      <c r="D971">
        <f>IF(ISBLANK('ENGAGEMENTS 2026'!B971),"",'ENGAGEMENTS 2026'!F971)</f>
        <v/>
      </c>
      <c r="E971">
        <f>IF(ISBLANK('ENGAGEMENTS 2026'!B971),"",'ENGAGEMENTS 2026'!H971)</f>
        <v/>
      </c>
      <c r="F971">
        <f>IF(ISBLANK('ENGAGEMENTS 2026'!B971),"",'ENGAGEMENTS 2026'!I971)</f>
        <v/>
      </c>
      <c r="G971">
        <f>IF(ISBLANK('ENGAGEMENTS 2026'!B971),"",'ENGAGEMENTS 2026'!L971)</f>
        <v/>
      </c>
      <c r="H971">
        <f>IF(ISBLANK('ENGAGEMENTS 2026'!B971),"",'ENGAGEMENTS 2026'!AE971)</f>
        <v/>
      </c>
      <c r="I971">
        <f>IF(ISBLANK('ENGAGEMENTS 2026'!B971),"",'ENGAGEMENTS 2026'!G971)</f>
        <v/>
      </c>
      <c r="J971" s="275">
        <f>IF(ISBLANK('ENGAGEMENTS 2026'!B971),"",IF(AND(OR($E971="INFRUCTUEUX",$E971="ANNULE"),$C971="AOO-M"),'ENGAGEMENTS 2026'!O971,IF($H971="EN COURS DE PREENGAGEMENT",'ENGAGEMENTS 2026'!N971,IF($H971="PREENGAGE",IF($E971="ATTRIBUE",'ENGAGEMENTS 2026'!AD971,'ENGAGEMENTS 2026'!N971),'ENGAGEMENTS 2026'!AD971))))</f>
        <v/>
      </c>
      <c r="K971" s="604">
        <f>IF(ISBLANK('ENGAGEMENTS 2026'!V971),"",'ENGAGEMENTS 2026'!V971)</f>
        <v/>
      </c>
      <c r="L971" s="276">
        <f>IF($K971="","",TODAY()-$K971)</f>
        <v/>
      </c>
      <c r="M971">
        <f>IF($A971="","",IF($H971="ENGAGE","Engagé",IF(AND($H971="NON ENGAGE",OR($I971="INFRUCTUEUX",$I971="ANNULE")),"Clôturé sans suite","En cours")))</f>
        <v/>
      </c>
      <c r="N971">
        <f>IF(ISBLANK('ENGAGEMENTS 2026'!B971),"",'ENGAGEMENTS 2026'!K971)</f>
        <v/>
      </c>
      <c r="O971">
        <f>IF(ISBLANK('ENGAGEMENTS 2026'!B971),"",'ENGAGEMENTS 2026'!L971)</f>
        <v/>
      </c>
      <c r="P971">
        <f>IF(ISBLANK('ENGAGEMENTS 2026'!B971),"",'ENGAGEMENTS 2026'!J971)</f>
        <v/>
      </c>
      <c r="Q971">
        <f>IF($A971="","",IF(OR($E971="INFRUCTUEUX",$E971="ANNULE"),$A971&amp;"|"&amp;(COUNTIFS($A$2:$A971,$A971,$E$2:$E971,"INFRUCTUEUX")+COUNTIFS($A$2:$A971,$A971,$E$2:$E971,"ANNULE")),""))</f>
        <v/>
      </c>
    </row>
    <row r="972">
      <c r="A972">
        <f>IF(ISBLANK('ENGAGEMENTS 2026'!B972),"",IF('ENGAGEMENTS 2026'!B972="DTSI","DCT",'ENGAGEMENTS 2026'!B972))</f>
        <v/>
      </c>
      <c r="B972">
        <f>IF(ISBLANK('ENGAGEMENTS 2026'!B972),"",'ENGAGEMENTS 2026'!C972)</f>
        <v/>
      </c>
      <c r="C972">
        <f>IF(ISBLANK('ENGAGEMENTS 2026'!B972),"",'ENGAGEMENTS 2026'!D972)</f>
        <v/>
      </c>
      <c r="D972">
        <f>IF(ISBLANK('ENGAGEMENTS 2026'!B972),"",'ENGAGEMENTS 2026'!F972)</f>
        <v/>
      </c>
      <c r="E972">
        <f>IF(ISBLANK('ENGAGEMENTS 2026'!B972),"",'ENGAGEMENTS 2026'!H972)</f>
        <v/>
      </c>
      <c r="F972">
        <f>IF(ISBLANK('ENGAGEMENTS 2026'!B972),"",'ENGAGEMENTS 2026'!I972)</f>
        <v/>
      </c>
      <c r="G972">
        <f>IF(ISBLANK('ENGAGEMENTS 2026'!B972),"",'ENGAGEMENTS 2026'!L972)</f>
        <v/>
      </c>
      <c r="H972">
        <f>IF(ISBLANK('ENGAGEMENTS 2026'!B972),"",'ENGAGEMENTS 2026'!AE972)</f>
        <v/>
      </c>
      <c r="I972">
        <f>IF(ISBLANK('ENGAGEMENTS 2026'!B972),"",'ENGAGEMENTS 2026'!G972)</f>
        <v/>
      </c>
      <c r="J972" s="275">
        <f>IF(ISBLANK('ENGAGEMENTS 2026'!B972),"",IF(AND(OR($E972="INFRUCTUEUX",$E972="ANNULE"),$C972="AOO-M"),'ENGAGEMENTS 2026'!O972,IF($H972="EN COURS DE PREENGAGEMENT",'ENGAGEMENTS 2026'!N972,IF($H972="PREENGAGE",IF($E972="ATTRIBUE",'ENGAGEMENTS 2026'!AD972,'ENGAGEMENTS 2026'!N972),'ENGAGEMENTS 2026'!AD972))))</f>
        <v/>
      </c>
      <c r="K972" s="604">
        <f>IF(ISBLANK('ENGAGEMENTS 2026'!V972),"",'ENGAGEMENTS 2026'!V972)</f>
        <v/>
      </c>
      <c r="L972" s="276">
        <f>IF($K972="","",TODAY()-$K972)</f>
        <v/>
      </c>
      <c r="M972">
        <f>IF($A972="","",IF($H972="ENGAGE","Engagé",IF(AND($H972="NON ENGAGE",OR($I972="INFRUCTUEUX",$I972="ANNULE")),"Clôturé sans suite","En cours")))</f>
        <v/>
      </c>
      <c r="N972">
        <f>IF(ISBLANK('ENGAGEMENTS 2026'!B972),"",'ENGAGEMENTS 2026'!K972)</f>
        <v/>
      </c>
      <c r="O972">
        <f>IF(ISBLANK('ENGAGEMENTS 2026'!B972),"",'ENGAGEMENTS 2026'!L972)</f>
        <v/>
      </c>
      <c r="P972">
        <f>IF(ISBLANK('ENGAGEMENTS 2026'!B972),"",'ENGAGEMENTS 2026'!J972)</f>
        <v/>
      </c>
      <c r="Q972">
        <f>IF($A972="","",IF(OR($E972="INFRUCTUEUX",$E972="ANNULE"),$A972&amp;"|"&amp;(COUNTIFS($A$2:$A972,$A972,$E$2:$E972,"INFRUCTUEUX")+COUNTIFS($A$2:$A972,$A972,$E$2:$E972,"ANNULE")),""))</f>
        <v/>
      </c>
    </row>
    <row r="973">
      <c r="A973">
        <f>IF(ISBLANK('ENGAGEMENTS 2026'!B973),"",IF('ENGAGEMENTS 2026'!B973="DTSI","DCT",'ENGAGEMENTS 2026'!B973))</f>
        <v/>
      </c>
      <c r="B973">
        <f>IF(ISBLANK('ENGAGEMENTS 2026'!B973),"",'ENGAGEMENTS 2026'!C973)</f>
        <v/>
      </c>
      <c r="C973">
        <f>IF(ISBLANK('ENGAGEMENTS 2026'!B973),"",'ENGAGEMENTS 2026'!D973)</f>
        <v/>
      </c>
      <c r="D973">
        <f>IF(ISBLANK('ENGAGEMENTS 2026'!B973),"",'ENGAGEMENTS 2026'!F973)</f>
        <v/>
      </c>
      <c r="E973">
        <f>IF(ISBLANK('ENGAGEMENTS 2026'!B973),"",'ENGAGEMENTS 2026'!H973)</f>
        <v/>
      </c>
      <c r="F973">
        <f>IF(ISBLANK('ENGAGEMENTS 2026'!B973),"",'ENGAGEMENTS 2026'!I973)</f>
        <v/>
      </c>
      <c r="G973">
        <f>IF(ISBLANK('ENGAGEMENTS 2026'!B973),"",'ENGAGEMENTS 2026'!L973)</f>
        <v/>
      </c>
      <c r="H973">
        <f>IF(ISBLANK('ENGAGEMENTS 2026'!B973),"",'ENGAGEMENTS 2026'!AE973)</f>
        <v/>
      </c>
      <c r="I973">
        <f>IF(ISBLANK('ENGAGEMENTS 2026'!B973),"",'ENGAGEMENTS 2026'!G973)</f>
        <v/>
      </c>
      <c r="J973" s="275">
        <f>IF(ISBLANK('ENGAGEMENTS 2026'!B973),"",IF(AND(OR($E973="INFRUCTUEUX",$E973="ANNULE"),$C973="AOO-M"),'ENGAGEMENTS 2026'!O973,IF($H973="EN COURS DE PREENGAGEMENT",'ENGAGEMENTS 2026'!N973,IF($H973="PREENGAGE",IF($E973="ATTRIBUE",'ENGAGEMENTS 2026'!AD973,'ENGAGEMENTS 2026'!N973),'ENGAGEMENTS 2026'!AD973))))</f>
        <v/>
      </c>
      <c r="K973" s="604">
        <f>IF(ISBLANK('ENGAGEMENTS 2026'!V973),"",'ENGAGEMENTS 2026'!V973)</f>
        <v/>
      </c>
      <c r="L973" s="276">
        <f>IF($K973="","",TODAY()-$K973)</f>
        <v/>
      </c>
      <c r="M973">
        <f>IF($A973="","",IF($H973="ENGAGE","Engagé",IF(AND($H973="NON ENGAGE",OR($I973="INFRUCTUEUX",$I973="ANNULE")),"Clôturé sans suite","En cours")))</f>
        <v/>
      </c>
      <c r="N973">
        <f>IF(ISBLANK('ENGAGEMENTS 2026'!B973),"",'ENGAGEMENTS 2026'!K973)</f>
        <v/>
      </c>
      <c r="O973">
        <f>IF(ISBLANK('ENGAGEMENTS 2026'!B973),"",'ENGAGEMENTS 2026'!L973)</f>
        <v/>
      </c>
      <c r="P973">
        <f>IF(ISBLANK('ENGAGEMENTS 2026'!B973),"",'ENGAGEMENTS 2026'!J973)</f>
        <v/>
      </c>
      <c r="Q973">
        <f>IF($A973="","",IF(OR($E973="INFRUCTUEUX",$E973="ANNULE"),$A973&amp;"|"&amp;(COUNTIFS($A$2:$A973,$A973,$E$2:$E973,"INFRUCTUEUX")+COUNTIFS($A$2:$A973,$A973,$E$2:$E973,"ANNULE")),""))</f>
        <v/>
      </c>
    </row>
    <row r="974">
      <c r="A974">
        <f>IF(ISBLANK('ENGAGEMENTS 2026'!B974),"",IF('ENGAGEMENTS 2026'!B974="DTSI","DCT",'ENGAGEMENTS 2026'!B974))</f>
        <v/>
      </c>
      <c r="B974">
        <f>IF(ISBLANK('ENGAGEMENTS 2026'!B974),"",'ENGAGEMENTS 2026'!C974)</f>
        <v/>
      </c>
      <c r="C974">
        <f>IF(ISBLANK('ENGAGEMENTS 2026'!B974),"",'ENGAGEMENTS 2026'!D974)</f>
        <v/>
      </c>
      <c r="D974">
        <f>IF(ISBLANK('ENGAGEMENTS 2026'!B974),"",'ENGAGEMENTS 2026'!F974)</f>
        <v/>
      </c>
      <c r="E974">
        <f>IF(ISBLANK('ENGAGEMENTS 2026'!B974),"",'ENGAGEMENTS 2026'!H974)</f>
        <v/>
      </c>
      <c r="F974">
        <f>IF(ISBLANK('ENGAGEMENTS 2026'!B974),"",'ENGAGEMENTS 2026'!I974)</f>
        <v/>
      </c>
      <c r="G974">
        <f>IF(ISBLANK('ENGAGEMENTS 2026'!B974),"",'ENGAGEMENTS 2026'!L974)</f>
        <v/>
      </c>
      <c r="H974">
        <f>IF(ISBLANK('ENGAGEMENTS 2026'!B974),"",'ENGAGEMENTS 2026'!AE974)</f>
        <v/>
      </c>
      <c r="I974">
        <f>IF(ISBLANK('ENGAGEMENTS 2026'!B974),"",'ENGAGEMENTS 2026'!G974)</f>
        <v/>
      </c>
      <c r="J974" s="275">
        <f>IF(ISBLANK('ENGAGEMENTS 2026'!B974),"",IF(AND(OR($E974="INFRUCTUEUX",$E974="ANNULE"),$C974="AOO-M"),'ENGAGEMENTS 2026'!O974,IF($H974="EN COURS DE PREENGAGEMENT",'ENGAGEMENTS 2026'!N974,IF($H974="PREENGAGE",IF($E974="ATTRIBUE",'ENGAGEMENTS 2026'!AD974,'ENGAGEMENTS 2026'!N974),'ENGAGEMENTS 2026'!AD974))))</f>
        <v/>
      </c>
      <c r="K974" s="604">
        <f>IF(ISBLANK('ENGAGEMENTS 2026'!V974),"",'ENGAGEMENTS 2026'!V974)</f>
        <v/>
      </c>
      <c r="L974" s="276">
        <f>IF($K974="","",TODAY()-$K974)</f>
        <v/>
      </c>
      <c r="M974">
        <f>IF($A974="","",IF($H974="ENGAGE","Engagé",IF(AND($H974="NON ENGAGE",OR($I974="INFRUCTUEUX",$I974="ANNULE")),"Clôturé sans suite","En cours")))</f>
        <v/>
      </c>
      <c r="N974">
        <f>IF(ISBLANK('ENGAGEMENTS 2026'!B974),"",'ENGAGEMENTS 2026'!K974)</f>
        <v/>
      </c>
      <c r="O974">
        <f>IF(ISBLANK('ENGAGEMENTS 2026'!B974),"",'ENGAGEMENTS 2026'!L974)</f>
        <v/>
      </c>
      <c r="P974">
        <f>IF(ISBLANK('ENGAGEMENTS 2026'!B974),"",'ENGAGEMENTS 2026'!J974)</f>
        <v/>
      </c>
      <c r="Q974">
        <f>IF($A974="","",IF(OR($E974="INFRUCTUEUX",$E974="ANNULE"),$A974&amp;"|"&amp;(COUNTIFS($A$2:$A974,$A974,$E$2:$E974,"INFRUCTUEUX")+COUNTIFS($A$2:$A974,$A974,$E$2:$E974,"ANNULE")),""))</f>
        <v/>
      </c>
    </row>
    <row r="975">
      <c r="A975">
        <f>IF(ISBLANK('ENGAGEMENTS 2026'!B975),"",IF('ENGAGEMENTS 2026'!B975="DTSI","DCT",'ENGAGEMENTS 2026'!B975))</f>
        <v/>
      </c>
      <c r="B975">
        <f>IF(ISBLANK('ENGAGEMENTS 2026'!B975),"",'ENGAGEMENTS 2026'!C975)</f>
        <v/>
      </c>
      <c r="C975">
        <f>IF(ISBLANK('ENGAGEMENTS 2026'!B975),"",'ENGAGEMENTS 2026'!D975)</f>
        <v/>
      </c>
      <c r="D975">
        <f>IF(ISBLANK('ENGAGEMENTS 2026'!B975),"",'ENGAGEMENTS 2026'!F975)</f>
        <v/>
      </c>
      <c r="E975">
        <f>IF(ISBLANK('ENGAGEMENTS 2026'!B975),"",'ENGAGEMENTS 2026'!H975)</f>
        <v/>
      </c>
      <c r="F975">
        <f>IF(ISBLANK('ENGAGEMENTS 2026'!B975),"",'ENGAGEMENTS 2026'!I975)</f>
        <v/>
      </c>
      <c r="G975">
        <f>IF(ISBLANK('ENGAGEMENTS 2026'!B975),"",'ENGAGEMENTS 2026'!L975)</f>
        <v/>
      </c>
      <c r="H975">
        <f>IF(ISBLANK('ENGAGEMENTS 2026'!B975),"",'ENGAGEMENTS 2026'!AE975)</f>
        <v/>
      </c>
      <c r="I975">
        <f>IF(ISBLANK('ENGAGEMENTS 2026'!B975),"",'ENGAGEMENTS 2026'!G975)</f>
        <v/>
      </c>
      <c r="J975" s="275">
        <f>IF(ISBLANK('ENGAGEMENTS 2026'!B975),"",IF(AND(OR($E975="INFRUCTUEUX",$E975="ANNULE"),$C975="AOO-M"),'ENGAGEMENTS 2026'!O975,IF($H975="EN COURS DE PREENGAGEMENT",'ENGAGEMENTS 2026'!N975,IF($H975="PREENGAGE",IF($E975="ATTRIBUE",'ENGAGEMENTS 2026'!AD975,'ENGAGEMENTS 2026'!N975),'ENGAGEMENTS 2026'!AD975))))</f>
        <v/>
      </c>
      <c r="K975" s="604">
        <f>IF(ISBLANK('ENGAGEMENTS 2026'!V975),"",'ENGAGEMENTS 2026'!V975)</f>
        <v/>
      </c>
      <c r="L975" s="276">
        <f>IF($K975="","",TODAY()-$K975)</f>
        <v/>
      </c>
      <c r="M975">
        <f>IF($A975="","",IF($H975="ENGAGE","Engagé",IF(AND($H975="NON ENGAGE",OR($I975="INFRUCTUEUX",$I975="ANNULE")),"Clôturé sans suite","En cours")))</f>
        <v/>
      </c>
      <c r="N975">
        <f>IF(ISBLANK('ENGAGEMENTS 2026'!B975),"",'ENGAGEMENTS 2026'!K975)</f>
        <v/>
      </c>
      <c r="O975">
        <f>IF(ISBLANK('ENGAGEMENTS 2026'!B975),"",'ENGAGEMENTS 2026'!L975)</f>
        <v/>
      </c>
      <c r="P975">
        <f>IF(ISBLANK('ENGAGEMENTS 2026'!B975),"",'ENGAGEMENTS 2026'!J975)</f>
        <v/>
      </c>
      <c r="Q975">
        <f>IF($A975="","",IF(OR($E975="INFRUCTUEUX",$E975="ANNULE"),$A975&amp;"|"&amp;(COUNTIFS($A$2:$A975,$A975,$E$2:$E975,"INFRUCTUEUX")+COUNTIFS($A$2:$A975,$A975,$E$2:$E975,"ANNULE")),""))</f>
        <v/>
      </c>
    </row>
    <row r="976">
      <c r="A976">
        <f>IF(ISBLANK('ENGAGEMENTS 2026'!B976),"",IF('ENGAGEMENTS 2026'!B976="DTSI","DCT",'ENGAGEMENTS 2026'!B976))</f>
        <v/>
      </c>
      <c r="B976">
        <f>IF(ISBLANK('ENGAGEMENTS 2026'!B976),"",'ENGAGEMENTS 2026'!C976)</f>
        <v/>
      </c>
      <c r="C976">
        <f>IF(ISBLANK('ENGAGEMENTS 2026'!B976),"",'ENGAGEMENTS 2026'!D976)</f>
        <v/>
      </c>
      <c r="D976">
        <f>IF(ISBLANK('ENGAGEMENTS 2026'!B976),"",'ENGAGEMENTS 2026'!F976)</f>
        <v/>
      </c>
      <c r="E976">
        <f>IF(ISBLANK('ENGAGEMENTS 2026'!B976),"",'ENGAGEMENTS 2026'!H976)</f>
        <v/>
      </c>
      <c r="F976">
        <f>IF(ISBLANK('ENGAGEMENTS 2026'!B976),"",'ENGAGEMENTS 2026'!I976)</f>
        <v/>
      </c>
      <c r="G976">
        <f>IF(ISBLANK('ENGAGEMENTS 2026'!B976),"",'ENGAGEMENTS 2026'!L976)</f>
        <v/>
      </c>
      <c r="H976">
        <f>IF(ISBLANK('ENGAGEMENTS 2026'!B976),"",'ENGAGEMENTS 2026'!AE976)</f>
        <v/>
      </c>
      <c r="I976">
        <f>IF(ISBLANK('ENGAGEMENTS 2026'!B976),"",'ENGAGEMENTS 2026'!G976)</f>
        <v/>
      </c>
      <c r="J976" s="275">
        <f>IF(ISBLANK('ENGAGEMENTS 2026'!B976),"",IF(AND(OR($E976="INFRUCTUEUX",$E976="ANNULE"),$C976="AOO-M"),'ENGAGEMENTS 2026'!O976,IF($H976="EN COURS DE PREENGAGEMENT",'ENGAGEMENTS 2026'!N976,IF($H976="PREENGAGE",IF($E976="ATTRIBUE",'ENGAGEMENTS 2026'!AD976,'ENGAGEMENTS 2026'!N976),'ENGAGEMENTS 2026'!AD976))))</f>
        <v/>
      </c>
      <c r="K976" s="604">
        <f>IF(ISBLANK('ENGAGEMENTS 2026'!V976),"",'ENGAGEMENTS 2026'!V976)</f>
        <v/>
      </c>
      <c r="L976" s="276">
        <f>IF($K976="","",TODAY()-$K976)</f>
        <v/>
      </c>
      <c r="M976">
        <f>IF($A976="","",IF($H976="ENGAGE","Engagé",IF(AND($H976="NON ENGAGE",OR($I976="INFRUCTUEUX",$I976="ANNULE")),"Clôturé sans suite","En cours")))</f>
        <v/>
      </c>
      <c r="N976">
        <f>IF(ISBLANK('ENGAGEMENTS 2026'!B976),"",'ENGAGEMENTS 2026'!K976)</f>
        <v/>
      </c>
      <c r="O976">
        <f>IF(ISBLANK('ENGAGEMENTS 2026'!B976),"",'ENGAGEMENTS 2026'!L976)</f>
        <v/>
      </c>
      <c r="P976">
        <f>IF(ISBLANK('ENGAGEMENTS 2026'!B976),"",'ENGAGEMENTS 2026'!J976)</f>
        <v/>
      </c>
      <c r="Q976">
        <f>IF($A976="","",IF(OR($E976="INFRUCTUEUX",$E976="ANNULE"),$A976&amp;"|"&amp;(COUNTIFS($A$2:$A976,$A976,$E$2:$E976,"INFRUCTUEUX")+COUNTIFS($A$2:$A976,$A976,$E$2:$E976,"ANNULE")),""))</f>
        <v/>
      </c>
    </row>
    <row r="977">
      <c r="A977">
        <f>IF(ISBLANK('ENGAGEMENTS 2026'!B977),"",IF('ENGAGEMENTS 2026'!B977="DTSI","DCT",'ENGAGEMENTS 2026'!B977))</f>
        <v/>
      </c>
      <c r="B977">
        <f>IF(ISBLANK('ENGAGEMENTS 2026'!B977),"",'ENGAGEMENTS 2026'!C977)</f>
        <v/>
      </c>
      <c r="C977">
        <f>IF(ISBLANK('ENGAGEMENTS 2026'!B977),"",'ENGAGEMENTS 2026'!D977)</f>
        <v/>
      </c>
      <c r="D977">
        <f>IF(ISBLANK('ENGAGEMENTS 2026'!B977),"",'ENGAGEMENTS 2026'!F977)</f>
        <v/>
      </c>
      <c r="E977">
        <f>IF(ISBLANK('ENGAGEMENTS 2026'!B977),"",'ENGAGEMENTS 2026'!H977)</f>
        <v/>
      </c>
      <c r="F977">
        <f>IF(ISBLANK('ENGAGEMENTS 2026'!B977),"",'ENGAGEMENTS 2026'!I977)</f>
        <v/>
      </c>
      <c r="G977">
        <f>IF(ISBLANK('ENGAGEMENTS 2026'!B977),"",'ENGAGEMENTS 2026'!L977)</f>
        <v/>
      </c>
      <c r="H977">
        <f>IF(ISBLANK('ENGAGEMENTS 2026'!B977),"",'ENGAGEMENTS 2026'!AE977)</f>
        <v/>
      </c>
      <c r="I977">
        <f>IF(ISBLANK('ENGAGEMENTS 2026'!B977),"",'ENGAGEMENTS 2026'!G977)</f>
        <v/>
      </c>
      <c r="J977" s="275">
        <f>IF(ISBLANK('ENGAGEMENTS 2026'!B977),"",IF(AND(OR($E977="INFRUCTUEUX",$E977="ANNULE"),$C977="AOO-M"),'ENGAGEMENTS 2026'!O977,IF($H977="EN COURS DE PREENGAGEMENT",'ENGAGEMENTS 2026'!N977,IF($H977="PREENGAGE",IF($E977="ATTRIBUE",'ENGAGEMENTS 2026'!AD977,'ENGAGEMENTS 2026'!N977),'ENGAGEMENTS 2026'!AD977))))</f>
        <v/>
      </c>
      <c r="K977" s="604">
        <f>IF(ISBLANK('ENGAGEMENTS 2026'!V977),"",'ENGAGEMENTS 2026'!V977)</f>
        <v/>
      </c>
      <c r="L977" s="276">
        <f>IF($K977="","",TODAY()-$K977)</f>
        <v/>
      </c>
      <c r="M977">
        <f>IF($A977="","",IF($H977="ENGAGE","Engagé",IF(AND($H977="NON ENGAGE",OR($I977="INFRUCTUEUX",$I977="ANNULE")),"Clôturé sans suite","En cours")))</f>
        <v/>
      </c>
      <c r="N977">
        <f>IF(ISBLANK('ENGAGEMENTS 2026'!B977),"",'ENGAGEMENTS 2026'!K977)</f>
        <v/>
      </c>
      <c r="O977">
        <f>IF(ISBLANK('ENGAGEMENTS 2026'!B977),"",'ENGAGEMENTS 2026'!L977)</f>
        <v/>
      </c>
      <c r="P977">
        <f>IF(ISBLANK('ENGAGEMENTS 2026'!B977),"",'ENGAGEMENTS 2026'!J977)</f>
        <v/>
      </c>
      <c r="Q977">
        <f>IF($A977="","",IF(OR($E977="INFRUCTUEUX",$E977="ANNULE"),$A977&amp;"|"&amp;(COUNTIFS($A$2:$A977,$A977,$E$2:$E977,"INFRUCTUEUX")+COUNTIFS($A$2:$A977,$A977,$E$2:$E977,"ANNULE")),""))</f>
        <v/>
      </c>
    </row>
    <row r="978">
      <c r="A978">
        <f>IF(ISBLANK('ENGAGEMENTS 2026'!B978),"",IF('ENGAGEMENTS 2026'!B978="DTSI","DCT",'ENGAGEMENTS 2026'!B978))</f>
        <v/>
      </c>
      <c r="B978">
        <f>IF(ISBLANK('ENGAGEMENTS 2026'!B978),"",'ENGAGEMENTS 2026'!C978)</f>
        <v/>
      </c>
      <c r="C978">
        <f>IF(ISBLANK('ENGAGEMENTS 2026'!B978),"",'ENGAGEMENTS 2026'!D978)</f>
        <v/>
      </c>
      <c r="D978">
        <f>IF(ISBLANK('ENGAGEMENTS 2026'!B978),"",'ENGAGEMENTS 2026'!F978)</f>
        <v/>
      </c>
      <c r="E978">
        <f>IF(ISBLANK('ENGAGEMENTS 2026'!B978),"",'ENGAGEMENTS 2026'!H978)</f>
        <v/>
      </c>
      <c r="F978">
        <f>IF(ISBLANK('ENGAGEMENTS 2026'!B978),"",'ENGAGEMENTS 2026'!I978)</f>
        <v/>
      </c>
      <c r="G978">
        <f>IF(ISBLANK('ENGAGEMENTS 2026'!B978),"",'ENGAGEMENTS 2026'!L978)</f>
        <v/>
      </c>
      <c r="H978">
        <f>IF(ISBLANK('ENGAGEMENTS 2026'!B978),"",'ENGAGEMENTS 2026'!AE978)</f>
        <v/>
      </c>
      <c r="I978">
        <f>IF(ISBLANK('ENGAGEMENTS 2026'!B978),"",'ENGAGEMENTS 2026'!G978)</f>
        <v/>
      </c>
      <c r="J978" s="275">
        <f>IF(ISBLANK('ENGAGEMENTS 2026'!B978),"",IF(AND(OR($E978="INFRUCTUEUX",$E978="ANNULE"),$C978="AOO-M"),'ENGAGEMENTS 2026'!O978,IF($H978="EN COURS DE PREENGAGEMENT",'ENGAGEMENTS 2026'!N978,IF($H978="PREENGAGE",IF($E978="ATTRIBUE",'ENGAGEMENTS 2026'!AD978,'ENGAGEMENTS 2026'!N978),'ENGAGEMENTS 2026'!AD978))))</f>
        <v/>
      </c>
      <c r="K978" s="604">
        <f>IF(ISBLANK('ENGAGEMENTS 2026'!V978),"",'ENGAGEMENTS 2026'!V978)</f>
        <v/>
      </c>
      <c r="L978" s="276">
        <f>IF($K978="","",TODAY()-$K978)</f>
        <v/>
      </c>
      <c r="M978">
        <f>IF($A978="","",IF($H978="ENGAGE","Engagé",IF(AND($H978="NON ENGAGE",OR($I978="INFRUCTUEUX",$I978="ANNULE")),"Clôturé sans suite","En cours")))</f>
        <v/>
      </c>
      <c r="N978">
        <f>IF(ISBLANK('ENGAGEMENTS 2026'!B978),"",'ENGAGEMENTS 2026'!K978)</f>
        <v/>
      </c>
      <c r="O978">
        <f>IF(ISBLANK('ENGAGEMENTS 2026'!B978),"",'ENGAGEMENTS 2026'!L978)</f>
        <v/>
      </c>
      <c r="P978">
        <f>IF(ISBLANK('ENGAGEMENTS 2026'!B978),"",'ENGAGEMENTS 2026'!J978)</f>
        <v/>
      </c>
      <c r="Q978">
        <f>IF($A978="","",IF(OR($E978="INFRUCTUEUX",$E978="ANNULE"),$A978&amp;"|"&amp;(COUNTIFS($A$2:$A978,$A978,$E$2:$E978,"INFRUCTUEUX")+COUNTIFS($A$2:$A978,$A978,$E$2:$E978,"ANNULE")),""))</f>
        <v/>
      </c>
    </row>
    <row r="979">
      <c r="A979">
        <f>IF(ISBLANK('ENGAGEMENTS 2026'!B979),"",IF('ENGAGEMENTS 2026'!B979="DTSI","DCT",'ENGAGEMENTS 2026'!B979))</f>
        <v/>
      </c>
      <c r="B979">
        <f>IF(ISBLANK('ENGAGEMENTS 2026'!B979),"",'ENGAGEMENTS 2026'!C979)</f>
        <v/>
      </c>
      <c r="C979">
        <f>IF(ISBLANK('ENGAGEMENTS 2026'!B979),"",'ENGAGEMENTS 2026'!D979)</f>
        <v/>
      </c>
      <c r="D979">
        <f>IF(ISBLANK('ENGAGEMENTS 2026'!B979),"",'ENGAGEMENTS 2026'!F979)</f>
        <v/>
      </c>
      <c r="E979">
        <f>IF(ISBLANK('ENGAGEMENTS 2026'!B979),"",'ENGAGEMENTS 2026'!H979)</f>
        <v/>
      </c>
      <c r="F979">
        <f>IF(ISBLANK('ENGAGEMENTS 2026'!B979),"",'ENGAGEMENTS 2026'!I979)</f>
        <v/>
      </c>
      <c r="G979">
        <f>IF(ISBLANK('ENGAGEMENTS 2026'!B979),"",'ENGAGEMENTS 2026'!L979)</f>
        <v/>
      </c>
      <c r="H979">
        <f>IF(ISBLANK('ENGAGEMENTS 2026'!B979),"",'ENGAGEMENTS 2026'!AE979)</f>
        <v/>
      </c>
      <c r="I979">
        <f>IF(ISBLANK('ENGAGEMENTS 2026'!B979),"",'ENGAGEMENTS 2026'!G979)</f>
        <v/>
      </c>
      <c r="J979" s="275">
        <f>IF(ISBLANK('ENGAGEMENTS 2026'!B979),"",IF(AND(OR($E979="INFRUCTUEUX",$E979="ANNULE"),$C979="AOO-M"),'ENGAGEMENTS 2026'!O979,IF($H979="EN COURS DE PREENGAGEMENT",'ENGAGEMENTS 2026'!N979,IF($H979="PREENGAGE",IF($E979="ATTRIBUE",'ENGAGEMENTS 2026'!AD979,'ENGAGEMENTS 2026'!N979),'ENGAGEMENTS 2026'!AD979))))</f>
        <v/>
      </c>
      <c r="K979" s="604">
        <f>IF(ISBLANK('ENGAGEMENTS 2026'!V979),"",'ENGAGEMENTS 2026'!V979)</f>
        <v/>
      </c>
      <c r="L979" s="276">
        <f>IF($K979="","",TODAY()-$K979)</f>
        <v/>
      </c>
      <c r="M979">
        <f>IF($A979="","",IF($H979="ENGAGE","Engagé",IF(AND($H979="NON ENGAGE",OR($I979="INFRUCTUEUX",$I979="ANNULE")),"Clôturé sans suite","En cours")))</f>
        <v/>
      </c>
      <c r="N979">
        <f>IF(ISBLANK('ENGAGEMENTS 2026'!B979),"",'ENGAGEMENTS 2026'!K979)</f>
        <v/>
      </c>
      <c r="O979">
        <f>IF(ISBLANK('ENGAGEMENTS 2026'!B979),"",'ENGAGEMENTS 2026'!L979)</f>
        <v/>
      </c>
      <c r="P979">
        <f>IF(ISBLANK('ENGAGEMENTS 2026'!B979),"",'ENGAGEMENTS 2026'!J979)</f>
        <v/>
      </c>
      <c r="Q979">
        <f>IF($A979="","",IF(OR($E979="INFRUCTUEUX",$E979="ANNULE"),$A979&amp;"|"&amp;(COUNTIFS($A$2:$A979,$A979,$E$2:$E979,"INFRUCTUEUX")+COUNTIFS($A$2:$A979,$A979,$E$2:$E979,"ANNULE")),""))</f>
        <v/>
      </c>
    </row>
    <row r="980">
      <c r="A980">
        <f>IF(ISBLANK('ENGAGEMENTS 2026'!B980),"",IF('ENGAGEMENTS 2026'!B980="DTSI","DCT",'ENGAGEMENTS 2026'!B980))</f>
        <v/>
      </c>
      <c r="B980">
        <f>IF(ISBLANK('ENGAGEMENTS 2026'!B980),"",'ENGAGEMENTS 2026'!C980)</f>
        <v/>
      </c>
      <c r="C980">
        <f>IF(ISBLANK('ENGAGEMENTS 2026'!B980),"",'ENGAGEMENTS 2026'!D980)</f>
        <v/>
      </c>
      <c r="D980">
        <f>IF(ISBLANK('ENGAGEMENTS 2026'!B980),"",'ENGAGEMENTS 2026'!F980)</f>
        <v/>
      </c>
      <c r="E980">
        <f>IF(ISBLANK('ENGAGEMENTS 2026'!B980),"",'ENGAGEMENTS 2026'!H980)</f>
        <v/>
      </c>
      <c r="F980">
        <f>IF(ISBLANK('ENGAGEMENTS 2026'!B980),"",'ENGAGEMENTS 2026'!I980)</f>
        <v/>
      </c>
      <c r="G980">
        <f>IF(ISBLANK('ENGAGEMENTS 2026'!B980),"",'ENGAGEMENTS 2026'!L980)</f>
        <v/>
      </c>
      <c r="H980">
        <f>IF(ISBLANK('ENGAGEMENTS 2026'!B980),"",'ENGAGEMENTS 2026'!AE980)</f>
        <v/>
      </c>
      <c r="I980">
        <f>IF(ISBLANK('ENGAGEMENTS 2026'!B980),"",'ENGAGEMENTS 2026'!G980)</f>
        <v/>
      </c>
      <c r="J980" s="275">
        <f>IF(ISBLANK('ENGAGEMENTS 2026'!B980),"",IF(AND(OR($E980="INFRUCTUEUX",$E980="ANNULE"),$C980="AOO-M"),'ENGAGEMENTS 2026'!O980,IF($H980="EN COURS DE PREENGAGEMENT",'ENGAGEMENTS 2026'!N980,IF($H980="PREENGAGE",IF($E980="ATTRIBUE",'ENGAGEMENTS 2026'!AD980,'ENGAGEMENTS 2026'!N980),'ENGAGEMENTS 2026'!AD980))))</f>
        <v/>
      </c>
      <c r="K980" s="604">
        <f>IF(ISBLANK('ENGAGEMENTS 2026'!V980),"",'ENGAGEMENTS 2026'!V980)</f>
        <v/>
      </c>
      <c r="L980" s="276">
        <f>IF($K980="","",TODAY()-$K980)</f>
        <v/>
      </c>
      <c r="M980">
        <f>IF($A980="","",IF($H980="ENGAGE","Engagé",IF(AND($H980="NON ENGAGE",OR($I980="INFRUCTUEUX",$I980="ANNULE")),"Clôturé sans suite","En cours")))</f>
        <v/>
      </c>
      <c r="N980">
        <f>IF(ISBLANK('ENGAGEMENTS 2026'!B980),"",'ENGAGEMENTS 2026'!K980)</f>
        <v/>
      </c>
      <c r="O980">
        <f>IF(ISBLANK('ENGAGEMENTS 2026'!B980),"",'ENGAGEMENTS 2026'!L980)</f>
        <v/>
      </c>
      <c r="P980">
        <f>IF(ISBLANK('ENGAGEMENTS 2026'!B980),"",'ENGAGEMENTS 2026'!J980)</f>
        <v/>
      </c>
      <c r="Q980">
        <f>IF($A980="","",IF(OR($E980="INFRUCTUEUX",$E980="ANNULE"),$A980&amp;"|"&amp;(COUNTIFS($A$2:$A980,$A980,$E$2:$E980,"INFRUCTUEUX")+COUNTIFS($A$2:$A980,$A980,$E$2:$E980,"ANNULE")),""))</f>
        <v/>
      </c>
    </row>
    <row r="981">
      <c r="A981">
        <f>IF(ISBLANK('ENGAGEMENTS 2026'!B981),"",IF('ENGAGEMENTS 2026'!B981="DTSI","DCT",'ENGAGEMENTS 2026'!B981))</f>
        <v/>
      </c>
      <c r="B981">
        <f>IF(ISBLANK('ENGAGEMENTS 2026'!B981),"",'ENGAGEMENTS 2026'!C981)</f>
        <v/>
      </c>
      <c r="C981">
        <f>IF(ISBLANK('ENGAGEMENTS 2026'!B981),"",'ENGAGEMENTS 2026'!D981)</f>
        <v/>
      </c>
      <c r="D981">
        <f>IF(ISBLANK('ENGAGEMENTS 2026'!B981),"",'ENGAGEMENTS 2026'!F981)</f>
        <v/>
      </c>
      <c r="E981">
        <f>IF(ISBLANK('ENGAGEMENTS 2026'!B981),"",'ENGAGEMENTS 2026'!H981)</f>
        <v/>
      </c>
      <c r="F981">
        <f>IF(ISBLANK('ENGAGEMENTS 2026'!B981),"",'ENGAGEMENTS 2026'!I981)</f>
        <v/>
      </c>
      <c r="G981">
        <f>IF(ISBLANK('ENGAGEMENTS 2026'!B981),"",'ENGAGEMENTS 2026'!L981)</f>
        <v/>
      </c>
      <c r="H981">
        <f>IF(ISBLANK('ENGAGEMENTS 2026'!B981),"",'ENGAGEMENTS 2026'!AE981)</f>
        <v/>
      </c>
      <c r="I981">
        <f>IF(ISBLANK('ENGAGEMENTS 2026'!B981),"",'ENGAGEMENTS 2026'!G981)</f>
        <v/>
      </c>
      <c r="J981" s="275">
        <f>IF(ISBLANK('ENGAGEMENTS 2026'!B981),"",IF(AND(OR($E981="INFRUCTUEUX",$E981="ANNULE"),$C981="AOO-M"),'ENGAGEMENTS 2026'!O981,IF($H981="EN COURS DE PREENGAGEMENT",'ENGAGEMENTS 2026'!N981,IF($H981="PREENGAGE",IF($E981="ATTRIBUE",'ENGAGEMENTS 2026'!AD981,'ENGAGEMENTS 2026'!N981),'ENGAGEMENTS 2026'!AD981))))</f>
        <v/>
      </c>
      <c r="K981" s="604">
        <f>IF(ISBLANK('ENGAGEMENTS 2026'!V981),"",'ENGAGEMENTS 2026'!V981)</f>
        <v/>
      </c>
      <c r="L981" s="276">
        <f>IF($K981="","",TODAY()-$K981)</f>
        <v/>
      </c>
      <c r="M981">
        <f>IF($A981="","",IF($H981="ENGAGE","Engagé",IF(AND($H981="NON ENGAGE",OR($I981="INFRUCTUEUX",$I981="ANNULE")),"Clôturé sans suite","En cours")))</f>
        <v/>
      </c>
      <c r="N981">
        <f>IF(ISBLANK('ENGAGEMENTS 2026'!B981),"",'ENGAGEMENTS 2026'!K981)</f>
        <v/>
      </c>
      <c r="O981">
        <f>IF(ISBLANK('ENGAGEMENTS 2026'!B981),"",'ENGAGEMENTS 2026'!L981)</f>
        <v/>
      </c>
      <c r="P981">
        <f>IF(ISBLANK('ENGAGEMENTS 2026'!B981),"",'ENGAGEMENTS 2026'!J981)</f>
        <v/>
      </c>
      <c r="Q981">
        <f>IF($A981="","",IF(OR($E981="INFRUCTUEUX",$E981="ANNULE"),$A981&amp;"|"&amp;(COUNTIFS($A$2:$A981,$A981,$E$2:$E981,"INFRUCTUEUX")+COUNTIFS($A$2:$A981,$A981,$E$2:$E981,"ANNULE")),""))</f>
        <v/>
      </c>
    </row>
    <row r="982">
      <c r="A982">
        <f>IF(ISBLANK('ENGAGEMENTS 2026'!B982),"",IF('ENGAGEMENTS 2026'!B982="DTSI","DCT",'ENGAGEMENTS 2026'!B982))</f>
        <v/>
      </c>
      <c r="B982">
        <f>IF(ISBLANK('ENGAGEMENTS 2026'!B982),"",'ENGAGEMENTS 2026'!C982)</f>
        <v/>
      </c>
      <c r="C982">
        <f>IF(ISBLANK('ENGAGEMENTS 2026'!B982),"",'ENGAGEMENTS 2026'!D982)</f>
        <v/>
      </c>
      <c r="D982">
        <f>IF(ISBLANK('ENGAGEMENTS 2026'!B982),"",'ENGAGEMENTS 2026'!F982)</f>
        <v/>
      </c>
      <c r="E982">
        <f>IF(ISBLANK('ENGAGEMENTS 2026'!B982),"",'ENGAGEMENTS 2026'!H982)</f>
        <v/>
      </c>
      <c r="F982">
        <f>IF(ISBLANK('ENGAGEMENTS 2026'!B982),"",'ENGAGEMENTS 2026'!I982)</f>
        <v/>
      </c>
      <c r="G982">
        <f>IF(ISBLANK('ENGAGEMENTS 2026'!B982),"",'ENGAGEMENTS 2026'!L982)</f>
        <v/>
      </c>
      <c r="H982">
        <f>IF(ISBLANK('ENGAGEMENTS 2026'!B982),"",'ENGAGEMENTS 2026'!AE982)</f>
        <v/>
      </c>
      <c r="I982">
        <f>IF(ISBLANK('ENGAGEMENTS 2026'!B982),"",'ENGAGEMENTS 2026'!G982)</f>
        <v/>
      </c>
      <c r="J982" s="275">
        <f>IF(ISBLANK('ENGAGEMENTS 2026'!B982),"",IF(AND(OR($E982="INFRUCTUEUX",$E982="ANNULE"),$C982="AOO-M"),'ENGAGEMENTS 2026'!O982,IF($H982="EN COURS DE PREENGAGEMENT",'ENGAGEMENTS 2026'!N982,IF($H982="PREENGAGE",IF($E982="ATTRIBUE",'ENGAGEMENTS 2026'!AD982,'ENGAGEMENTS 2026'!N982),'ENGAGEMENTS 2026'!AD982))))</f>
        <v/>
      </c>
      <c r="K982" s="604">
        <f>IF(ISBLANK('ENGAGEMENTS 2026'!V982),"",'ENGAGEMENTS 2026'!V982)</f>
        <v/>
      </c>
      <c r="L982" s="276">
        <f>IF($K982="","",TODAY()-$K982)</f>
        <v/>
      </c>
      <c r="M982">
        <f>IF($A982="","",IF($H982="ENGAGE","Engagé",IF(AND($H982="NON ENGAGE",OR($I982="INFRUCTUEUX",$I982="ANNULE")),"Clôturé sans suite","En cours")))</f>
        <v/>
      </c>
      <c r="N982">
        <f>IF(ISBLANK('ENGAGEMENTS 2026'!B982),"",'ENGAGEMENTS 2026'!K982)</f>
        <v/>
      </c>
      <c r="O982">
        <f>IF(ISBLANK('ENGAGEMENTS 2026'!B982),"",'ENGAGEMENTS 2026'!L982)</f>
        <v/>
      </c>
      <c r="P982">
        <f>IF(ISBLANK('ENGAGEMENTS 2026'!B982),"",'ENGAGEMENTS 2026'!J982)</f>
        <v/>
      </c>
      <c r="Q982">
        <f>IF($A982="","",IF(OR($E982="INFRUCTUEUX",$E982="ANNULE"),$A982&amp;"|"&amp;(COUNTIFS($A$2:$A982,$A982,$E$2:$E982,"INFRUCTUEUX")+COUNTIFS($A$2:$A982,$A982,$E$2:$E982,"ANNULE")),""))</f>
        <v/>
      </c>
    </row>
    <row r="983">
      <c r="A983">
        <f>IF(ISBLANK('ENGAGEMENTS 2026'!B983),"",IF('ENGAGEMENTS 2026'!B983="DTSI","DCT",'ENGAGEMENTS 2026'!B983))</f>
        <v/>
      </c>
      <c r="B983">
        <f>IF(ISBLANK('ENGAGEMENTS 2026'!B983),"",'ENGAGEMENTS 2026'!C983)</f>
        <v/>
      </c>
      <c r="C983">
        <f>IF(ISBLANK('ENGAGEMENTS 2026'!B983),"",'ENGAGEMENTS 2026'!D983)</f>
        <v/>
      </c>
      <c r="D983">
        <f>IF(ISBLANK('ENGAGEMENTS 2026'!B983),"",'ENGAGEMENTS 2026'!F983)</f>
        <v/>
      </c>
      <c r="E983">
        <f>IF(ISBLANK('ENGAGEMENTS 2026'!B983),"",'ENGAGEMENTS 2026'!H983)</f>
        <v/>
      </c>
      <c r="F983">
        <f>IF(ISBLANK('ENGAGEMENTS 2026'!B983),"",'ENGAGEMENTS 2026'!I983)</f>
        <v/>
      </c>
      <c r="G983">
        <f>IF(ISBLANK('ENGAGEMENTS 2026'!B983),"",'ENGAGEMENTS 2026'!L983)</f>
        <v/>
      </c>
      <c r="H983">
        <f>IF(ISBLANK('ENGAGEMENTS 2026'!B983),"",'ENGAGEMENTS 2026'!AE983)</f>
        <v/>
      </c>
      <c r="I983">
        <f>IF(ISBLANK('ENGAGEMENTS 2026'!B983),"",'ENGAGEMENTS 2026'!G983)</f>
        <v/>
      </c>
      <c r="J983" s="275">
        <f>IF(ISBLANK('ENGAGEMENTS 2026'!B983),"",IF(AND(OR($E983="INFRUCTUEUX",$E983="ANNULE"),$C983="AOO-M"),'ENGAGEMENTS 2026'!O983,IF($H983="EN COURS DE PREENGAGEMENT",'ENGAGEMENTS 2026'!N983,IF($H983="PREENGAGE",IF($E983="ATTRIBUE",'ENGAGEMENTS 2026'!AD983,'ENGAGEMENTS 2026'!N983),'ENGAGEMENTS 2026'!AD983))))</f>
        <v/>
      </c>
      <c r="K983" s="604">
        <f>IF(ISBLANK('ENGAGEMENTS 2026'!V983),"",'ENGAGEMENTS 2026'!V983)</f>
        <v/>
      </c>
      <c r="L983" s="276">
        <f>IF($K983="","",TODAY()-$K983)</f>
        <v/>
      </c>
      <c r="M983">
        <f>IF($A983="","",IF($H983="ENGAGE","Engagé",IF(AND($H983="NON ENGAGE",OR($I983="INFRUCTUEUX",$I983="ANNULE")),"Clôturé sans suite","En cours")))</f>
        <v/>
      </c>
      <c r="N983">
        <f>IF(ISBLANK('ENGAGEMENTS 2026'!B983),"",'ENGAGEMENTS 2026'!K983)</f>
        <v/>
      </c>
      <c r="O983">
        <f>IF(ISBLANK('ENGAGEMENTS 2026'!B983),"",'ENGAGEMENTS 2026'!L983)</f>
        <v/>
      </c>
      <c r="P983">
        <f>IF(ISBLANK('ENGAGEMENTS 2026'!B983),"",'ENGAGEMENTS 2026'!J983)</f>
        <v/>
      </c>
      <c r="Q983">
        <f>IF($A983="","",IF(OR($E983="INFRUCTUEUX",$E983="ANNULE"),$A983&amp;"|"&amp;(COUNTIFS($A$2:$A983,$A983,$E$2:$E983,"INFRUCTUEUX")+COUNTIFS($A$2:$A983,$A983,$E$2:$E983,"ANNULE")),""))</f>
        <v/>
      </c>
    </row>
    <row r="984">
      <c r="A984">
        <f>IF(ISBLANK('ENGAGEMENTS 2026'!B984),"",IF('ENGAGEMENTS 2026'!B984="DTSI","DCT",'ENGAGEMENTS 2026'!B984))</f>
        <v/>
      </c>
      <c r="B984">
        <f>IF(ISBLANK('ENGAGEMENTS 2026'!B984),"",'ENGAGEMENTS 2026'!C984)</f>
        <v/>
      </c>
      <c r="C984">
        <f>IF(ISBLANK('ENGAGEMENTS 2026'!B984),"",'ENGAGEMENTS 2026'!D984)</f>
        <v/>
      </c>
      <c r="D984">
        <f>IF(ISBLANK('ENGAGEMENTS 2026'!B984),"",'ENGAGEMENTS 2026'!F984)</f>
        <v/>
      </c>
      <c r="E984">
        <f>IF(ISBLANK('ENGAGEMENTS 2026'!B984),"",'ENGAGEMENTS 2026'!H984)</f>
        <v/>
      </c>
      <c r="F984">
        <f>IF(ISBLANK('ENGAGEMENTS 2026'!B984),"",'ENGAGEMENTS 2026'!I984)</f>
        <v/>
      </c>
      <c r="G984">
        <f>IF(ISBLANK('ENGAGEMENTS 2026'!B984),"",'ENGAGEMENTS 2026'!L984)</f>
        <v/>
      </c>
      <c r="H984">
        <f>IF(ISBLANK('ENGAGEMENTS 2026'!B984),"",'ENGAGEMENTS 2026'!AE984)</f>
        <v/>
      </c>
      <c r="I984">
        <f>IF(ISBLANK('ENGAGEMENTS 2026'!B984),"",'ENGAGEMENTS 2026'!G984)</f>
        <v/>
      </c>
      <c r="J984" s="275">
        <f>IF(ISBLANK('ENGAGEMENTS 2026'!B984),"",IF(AND(OR($E984="INFRUCTUEUX",$E984="ANNULE"),$C984="AOO-M"),'ENGAGEMENTS 2026'!O984,IF($H984="EN COURS DE PREENGAGEMENT",'ENGAGEMENTS 2026'!N984,IF($H984="PREENGAGE",IF($E984="ATTRIBUE",'ENGAGEMENTS 2026'!AD984,'ENGAGEMENTS 2026'!N984),'ENGAGEMENTS 2026'!AD984))))</f>
        <v/>
      </c>
      <c r="K984" s="604">
        <f>IF(ISBLANK('ENGAGEMENTS 2026'!V984),"",'ENGAGEMENTS 2026'!V984)</f>
        <v/>
      </c>
      <c r="L984" s="276">
        <f>IF($K984="","",TODAY()-$K984)</f>
        <v/>
      </c>
      <c r="M984">
        <f>IF($A984="","",IF($H984="ENGAGE","Engagé",IF(AND($H984="NON ENGAGE",OR($I984="INFRUCTUEUX",$I984="ANNULE")),"Clôturé sans suite","En cours")))</f>
        <v/>
      </c>
      <c r="N984">
        <f>IF(ISBLANK('ENGAGEMENTS 2026'!B984),"",'ENGAGEMENTS 2026'!K984)</f>
        <v/>
      </c>
      <c r="O984">
        <f>IF(ISBLANK('ENGAGEMENTS 2026'!B984),"",'ENGAGEMENTS 2026'!L984)</f>
        <v/>
      </c>
      <c r="P984">
        <f>IF(ISBLANK('ENGAGEMENTS 2026'!B984),"",'ENGAGEMENTS 2026'!J984)</f>
        <v/>
      </c>
      <c r="Q984">
        <f>IF($A984="","",IF(OR($E984="INFRUCTUEUX",$E984="ANNULE"),$A984&amp;"|"&amp;(COUNTIFS($A$2:$A984,$A984,$E$2:$E984,"INFRUCTUEUX")+COUNTIFS($A$2:$A984,$A984,$E$2:$E984,"ANNULE")),""))</f>
        <v/>
      </c>
    </row>
    <row r="985">
      <c r="A985">
        <f>IF(ISBLANK('ENGAGEMENTS 2026'!B985),"",IF('ENGAGEMENTS 2026'!B985="DTSI","DCT",'ENGAGEMENTS 2026'!B985))</f>
        <v/>
      </c>
      <c r="B985">
        <f>IF(ISBLANK('ENGAGEMENTS 2026'!B985),"",'ENGAGEMENTS 2026'!C985)</f>
        <v/>
      </c>
      <c r="C985">
        <f>IF(ISBLANK('ENGAGEMENTS 2026'!B985),"",'ENGAGEMENTS 2026'!D985)</f>
        <v/>
      </c>
      <c r="D985">
        <f>IF(ISBLANK('ENGAGEMENTS 2026'!B985),"",'ENGAGEMENTS 2026'!F985)</f>
        <v/>
      </c>
      <c r="E985">
        <f>IF(ISBLANK('ENGAGEMENTS 2026'!B985),"",'ENGAGEMENTS 2026'!H985)</f>
        <v/>
      </c>
      <c r="F985">
        <f>IF(ISBLANK('ENGAGEMENTS 2026'!B985),"",'ENGAGEMENTS 2026'!I985)</f>
        <v/>
      </c>
      <c r="G985">
        <f>IF(ISBLANK('ENGAGEMENTS 2026'!B985),"",'ENGAGEMENTS 2026'!L985)</f>
        <v/>
      </c>
      <c r="H985">
        <f>IF(ISBLANK('ENGAGEMENTS 2026'!B985),"",'ENGAGEMENTS 2026'!AE985)</f>
        <v/>
      </c>
      <c r="I985">
        <f>IF(ISBLANK('ENGAGEMENTS 2026'!B985),"",'ENGAGEMENTS 2026'!G985)</f>
        <v/>
      </c>
      <c r="J985" s="275">
        <f>IF(ISBLANK('ENGAGEMENTS 2026'!B985),"",IF(AND(OR($E985="INFRUCTUEUX",$E985="ANNULE"),$C985="AOO-M"),'ENGAGEMENTS 2026'!O985,IF($H985="EN COURS DE PREENGAGEMENT",'ENGAGEMENTS 2026'!N985,IF($H985="PREENGAGE",IF($E985="ATTRIBUE",'ENGAGEMENTS 2026'!AD985,'ENGAGEMENTS 2026'!N985),'ENGAGEMENTS 2026'!AD985))))</f>
        <v/>
      </c>
      <c r="K985" s="604">
        <f>IF(ISBLANK('ENGAGEMENTS 2026'!V985),"",'ENGAGEMENTS 2026'!V985)</f>
        <v/>
      </c>
      <c r="L985" s="276">
        <f>IF($K985="","",TODAY()-$K985)</f>
        <v/>
      </c>
      <c r="M985">
        <f>IF($A985="","",IF($H985="ENGAGE","Engagé",IF(AND($H985="NON ENGAGE",OR($I985="INFRUCTUEUX",$I985="ANNULE")),"Clôturé sans suite","En cours")))</f>
        <v/>
      </c>
      <c r="N985">
        <f>IF(ISBLANK('ENGAGEMENTS 2026'!B985),"",'ENGAGEMENTS 2026'!K985)</f>
        <v/>
      </c>
      <c r="O985">
        <f>IF(ISBLANK('ENGAGEMENTS 2026'!B985),"",'ENGAGEMENTS 2026'!L985)</f>
        <v/>
      </c>
      <c r="P985">
        <f>IF(ISBLANK('ENGAGEMENTS 2026'!B985),"",'ENGAGEMENTS 2026'!J985)</f>
        <v/>
      </c>
      <c r="Q985">
        <f>IF($A985="","",IF(OR($E985="INFRUCTUEUX",$E985="ANNULE"),$A985&amp;"|"&amp;(COUNTIFS($A$2:$A985,$A985,$E$2:$E985,"INFRUCTUEUX")+COUNTIFS($A$2:$A985,$A985,$E$2:$E985,"ANNULE")),""))</f>
        <v/>
      </c>
    </row>
    <row r="986">
      <c r="A986">
        <f>IF(ISBLANK('ENGAGEMENTS 2026'!B986),"",IF('ENGAGEMENTS 2026'!B986="DTSI","DCT",'ENGAGEMENTS 2026'!B986))</f>
        <v/>
      </c>
      <c r="B986">
        <f>IF(ISBLANK('ENGAGEMENTS 2026'!B986),"",'ENGAGEMENTS 2026'!C986)</f>
        <v/>
      </c>
      <c r="C986">
        <f>IF(ISBLANK('ENGAGEMENTS 2026'!B986),"",'ENGAGEMENTS 2026'!D986)</f>
        <v/>
      </c>
      <c r="D986">
        <f>IF(ISBLANK('ENGAGEMENTS 2026'!B986),"",'ENGAGEMENTS 2026'!F986)</f>
        <v/>
      </c>
      <c r="E986">
        <f>IF(ISBLANK('ENGAGEMENTS 2026'!B986),"",'ENGAGEMENTS 2026'!H986)</f>
        <v/>
      </c>
      <c r="F986">
        <f>IF(ISBLANK('ENGAGEMENTS 2026'!B986),"",'ENGAGEMENTS 2026'!I986)</f>
        <v/>
      </c>
      <c r="G986">
        <f>IF(ISBLANK('ENGAGEMENTS 2026'!B986),"",'ENGAGEMENTS 2026'!L986)</f>
        <v/>
      </c>
      <c r="H986">
        <f>IF(ISBLANK('ENGAGEMENTS 2026'!B986),"",'ENGAGEMENTS 2026'!AE986)</f>
        <v/>
      </c>
      <c r="I986">
        <f>IF(ISBLANK('ENGAGEMENTS 2026'!B986),"",'ENGAGEMENTS 2026'!G986)</f>
        <v/>
      </c>
      <c r="J986" s="275">
        <f>IF(ISBLANK('ENGAGEMENTS 2026'!B986),"",IF(AND(OR($E986="INFRUCTUEUX",$E986="ANNULE"),$C986="AOO-M"),'ENGAGEMENTS 2026'!O986,IF($H986="EN COURS DE PREENGAGEMENT",'ENGAGEMENTS 2026'!N986,IF($H986="PREENGAGE",IF($E986="ATTRIBUE",'ENGAGEMENTS 2026'!AD986,'ENGAGEMENTS 2026'!N986),'ENGAGEMENTS 2026'!AD986))))</f>
        <v/>
      </c>
      <c r="K986" s="604">
        <f>IF(ISBLANK('ENGAGEMENTS 2026'!V986),"",'ENGAGEMENTS 2026'!V986)</f>
        <v/>
      </c>
      <c r="L986" s="276">
        <f>IF($K986="","",TODAY()-$K986)</f>
        <v/>
      </c>
      <c r="M986">
        <f>IF($A986="","",IF($H986="ENGAGE","Engagé",IF(AND($H986="NON ENGAGE",OR($I986="INFRUCTUEUX",$I986="ANNULE")),"Clôturé sans suite","En cours")))</f>
        <v/>
      </c>
      <c r="N986">
        <f>IF(ISBLANK('ENGAGEMENTS 2026'!B986),"",'ENGAGEMENTS 2026'!K986)</f>
        <v/>
      </c>
      <c r="O986">
        <f>IF(ISBLANK('ENGAGEMENTS 2026'!B986),"",'ENGAGEMENTS 2026'!L986)</f>
        <v/>
      </c>
      <c r="P986">
        <f>IF(ISBLANK('ENGAGEMENTS 2026'!B986),"",'ENGAGEMENTS 2026'!J986)</f>
        <v/>
      </c>
      <c r="Q986">
        <f>IF($A986="","",IF(OR($E986="INFRUCTUEUX",$E986="ANNULE"),$A986&amp;"|"&amp;(COUNTIFS($A$2:$A986,$A986,$E$2:$E986,"INFRUCTUEUX")+COUNTIFS($A$2:$A986,$A986,$E$2:$E986,"ANNULE")),""))</f>
        <v/>
      </c>
    </row>
    <row r="987">
      <c r="A987">
        <f>IF(ISBLANK('ENGAGEMENTS 2026'!B987),"",IF('ENGAGEMENTS 2026'!B987="DTSI","DCT",'ENGAGEMENTS 2026'!B987))</f>
        <v/>
      </c>
      <c r="B987">
        <f>IF(ISBLANK('ENGAGEMENTS 2026'!B987),"",'ENGAGEMENTS 2026'!C987)</f>
        <v/>
      </c>
      <c r="C987">
        <f>IF(ISBLANK('ENGAGEMENTS 2026'!B987),"",'ENGAGEMENTS 2026'!D987)</f>
        <v/>
      </c>
      <c r="D987">
        <f>IF(ISBLANK('ENGAGEMENTS 2026'!B987),"",'ENGAGEMENTS 2026'!F987)</f>
        <v/>
      </c>
      <c r="E987">
        <f>IF(ISBLANK('ENGAGEMENTS 2026'!B987),"",'ENGAGEMENTS 2026'!H987)</f>
        <v/>
      </c>
      <c r="F987">
        <f>IF(ISBLANK('ENGAGEMENTS 2026'!B987),"",'ENGAGEMENTS 2026'!I987)</f>
        <v/>
      </c>
      <c r="G987">
        <f>IF(ISBLANK('ENGAGEMENTS 2026'!B987),"",'ENGAGEMENTS 2026'!L987)</f>
        <v/>
      </c>
      <c r="H987">
        <f>IF(ISBLANK('ENGAGEMENTS 2026'!B987),"",'ENGAGEMENTS 2026'!AE987)</f>
        <v/>
      </c>
      <c r="I987">
        <f>IF(ISBLANK('ENGAGEMENTS 2026'!B987),"",'ENGAGEMENTS 2026'!G987)</f>
        <v/>
      </c>
      <c r="J987" s="275">
        <f>IF(ISBLANK('ENGAGEMENTS 2026'!B987),"",IF(AND(OR($E987="INFRUCTUEUX",$E987="ANNULE"),$C987="AOO-M"),'ENGAGEMENTS 2026'!O987,IF($H987="EN COURS DE PREENGAGEMENT",'ENGAGEMENTS 2026'!N987,IF($H987="PREENGAGE",IF($E987="ATTRIBUE",'ENGAGEMENTS 2026'!AD987,'ENGAGEMENTS 2026'!N987),'ENGAGEMENTS 2026'!AD987))))</f>
        <v/>
      </c>
      <c r="K987" s="604">
        <f>IF(ISBLANK('ENGAGEMENTS 2026'!V987),"",'ENGAGEMENTS 2026'!V987)</f>
        <v/>
      </c>
      <c r="L987" s="276">
        <f>IF($K987="","",TODAY()-$K987)</f>
        <v/>
      </c>
      <c r="M987">
        <f>IF($A987="","",IF($H987="ENGAGE","Engagé",IF(AND($H987="NON ENGAGE",OR($I987="INFRUCTUEUX",$I987="ANNULE")),"Clôturé sans suite","En cours")))</f>
        <v/>
      </c>
      <c r="N987">
        <f>IF(ISBLANK('ENGAGEMENTS 2026'!B987),"",'ENGAGEMENTS 2026'!K987)</f>
        <v/>
      </c>
      <c r="O987">
        <f>IF(ISBLANK('ENGAGEMENTS 2026'!B987),"",'ENGAGEMENTS 2026'!L987)</f>
        <v/>
      </c>
      <c r="P987">
        <f>IF(ISBLANK('ENGAGEMENTS 2026'!B987),"",'ENGAGEMENTS 2026'!J987)</f>
        <v/>
      </c>
      <c r="Q987">
        <f>IF($A987="","",IF(OR($E987="INFRUCTUEUX",$E987="ANNULE"),$A987&amp;"|"&amp;(COUNTIFS($A$2:$A987,$A987,$E$2:$E987,"INFRUCTUEUX")+COUNTIFS($A$2:$A987,$A987,$E$2:$E987,"ANNULE")),""))</f>
        <v/>
      </c>
    </row>
    <row r="988">
      <c r="A988">
        <f>IF(ISBLANK('ENGAGEMENTS 2026'!B988),"",IF('ENGAGEMENTS 2026'!B988="DTSI","DCT",'ENGAGEMENTS 2026'!B988))</f>
        <v/>
      </c>
      <c r="B988">
        <f>IF(ISBLANK('ENGAGEMENTS 2026'!B988),"",'ENGAGEMENTS 2026'!C988)</f>
        <v/>
      </c>
      <c r="C988">
        <f>IF(ISBLANK('ENGAGEMENTS 2026'!B988),"",'ENGAGEMENTS 2026'!D988)</f>
        <v/>
      </c>
      <c r="D988">
        <f>IF(ISBLANK('ENGAGEMENTS 2026'!B988),"",'ENGAGEMENTS 2026'!F988)</f>
        <v/>
      </c>
      <c r="E988">
        <f>IF(ISBLANK('ENGAGEMENTS 2026'!B988),"",'ENGAGEMENTS 2026'!H988)</f>
        <v/>
      </c>
      <c r="F988">
        <f>IF(ISBLANK('ENGAGEMENTS 2026'!B988),"",'ENGAGEMENTS 2026'!I988)</f>
        <v/>
      </c>
      <c r="G988">
        <f>IF(ISBLANK('ENGAGEMENTS 2026'!B988),"",'ENGAGEMENTS 2026'!L988)</f>
        <v/>
      </c>
      <c r="H988">
        <f>IF(ISBLANK('ENGAGEMENTS 2026'!B988),"",'ENGAGEMENTS 2026'!AE988)</f>
        <v/>
      </c>
      <c r="I988">
        <f>IF(ISBLANK('ENGAGEMENTS 2026'!B988),"",'ENGAGEMENTS 2026'!G988)</f>
        <v/>
      </c>
      <c r="J988" s="275">
        <f>IF(ISBLANK('ENGAGEMENTS 2026'!B988),"",IF(AND(OR($E988="INFRUCTUEUX",$E988="ANNULE"),$C988="AOO-M"),'ENGAGEMENTS 2026'!O988,IF($H988="EN COURS DE PREENGAGEMENT",'ENGAGEMENTS 2026'!N988,IF($H988="PREENGAGE",IF($E988="ATTRIBUE",'ENGAGEMENTS 2026'!AD988,'ENGAGEMENTS 2026'!N988),'ENGAGEMENTS 2026'!AD988))))</f>
        <v/>
      </c>
      <c r="K988" s="604">
        <f>IF(ISBLANK('ENGAGEMENTS 2026'!V988),"",'ENGAGEMENTS 2026'!V988)</f>
        <v/>
      </c>
      <c r="L988" s="276">
        <f>IF($K988="","",TODAY()-$K988)</f>
        <v/>
      </c>
      <c r="M988">
        <f>IF($A988="","",IF($H988="ENGAGE","Engagé",IF(AND($H988="NON ENGAGE",OR($I988="INFRUCTUEUX",$I988="ANNULE")),"Clôturé sans suite","En cours")))</f>
        <v/>
      </c>
      <c r="N988">
        <f>IF(ISBLANK('ENGAGEMENTS 2026'!B988),"",'ENGAGEMENTS 2026'!K988)</f>
        <v/>
      </c>
      <c r="O988">
        <f>IF(ISBLANK('ENGAGEMENTS 2026'!B988),"",'ENGAGEMENTS 2026'!L988)</f>
        <v/>
      </c>
      <c r="P988">
        <f>IF(ISBLANK('ENGAGEMENTS 2026'!B988),"",'ENGAGEMENTS 2026'!J988)</f>
        <v/>
      </c>
      <c r="Q988">
        <f>IF($A988="","",IF(OR($E988="INFRUCTUEUX",$E988="ANNULE"),$A988&amp;"|"&amp;(COUNTIFS($A$2:$A988,$A988,$E$2:$E988,"INFRUCTUEUX")+COUNTIFS($A$2:$A988,$A988,$E$2:$E988,"ANNULE")),""))</f>
        <v/>
      </c>
    </row>
    <row r="989">
      <c r="A989">
        <f>IF(ISBLANK('ENGAGEMENTS 2026'!B989),"",IF('ENGAGEMENTS 2026'!B989="DTSI","DCT",'ENGAGEMENTS 2026'!B989))</f>
        <v/>
      </c>
      <c r="B989">
        <f>IF(ISBLANK('ENGAGEMENTS 2026'!B989),"",'ENGAGEMENTS 2026'!C989)</f>
        <v/>
      </c>
      <c r="C989">
        <f>IF(ISBLANK('ENGAGEMENTS 2026'!B989),"",'ENGAGEMENTS 2026'!D989)</f>
        <v/>
      </c>
      <c r="D989">
        <f>IF(ISBLANK('ENGAGEMENTS 2026'!B989),"",'ENGAGEMENTS 2026'!F989)</f>
        <v/>
      </c>
      <c r="E989">
        <f>IF(ISBLANK('ENGAGEMENTS 2026'!B989),"",'ENGAGEMENTS 2026'!H989)</f>
        <v/>
      </c>
      <c r="F989">
        <f>IF(ISBLANK('ENGAGEMENTS 2026'!B989),"",'ENGAGEMENTS 2026'!I989)</f>
        <v/>
      </c>
      <c r="G989">
        <f>IF(ISBLANK('ENGAGEMENTS 2026'!B989),"",'ENGAGEMENTS 2026'!L989)</f>
        <v/>
      </c>
      <c r="H989">
        <f>IF(ISBLANK('ENGAGEMENTS 2026'!B989),"",'ENGAGEMENTS 2026'!AE989)</f>
        <v/>
      </c>
      <c r="I989">
        <f>IF(ISBLANK('ENGAGEMENTS 2026'!B989),"",'ENGAGEMENTS 2026'!G989)</f>
        <v/>
      </c>
      <c r="J989" s="275">
        <f>IF(ISBLANK('ENGAGEMENTS 2026'!B989),"",IF(AND(OR($E989="INFRUCTUEUX",$E989="ANNULE"),$C989="AOO-M"),'ENGAGEMENTS 2026'!O989,IF($H989="EN COURS DE PREENGAGEMENT",'ENGAGEMENTS 2026'!N989,IF($H989="PREENGAGE",IF($E989="ATTRIBUE",'ENGAGEMENTS 2026'!AD989,'ENGAGEMENTS 2026'!N989),'ENGAGEMENTS 2026'!AD989))))</f>
        <v/>
      </c>
      <c r="K989" s="604">
        <f>IF(ISBLANK('ENGAGEMENTS 2026'!V989),"",'ENGAGEMENTS 2026'!V989)</f>
        <v/>
      </c>
      <c r="L989" s="276">
        <f>IF($K989="","",TODAY()-$K989)</f>
        <v/>
      </c>
      <c r="M989">
        <f>IF($A989="","",IF($H989="ENGAGE","Engagé",IF(AND($H989="NON ENGAGE",OR($I989="INFRUCTUEUX",$I989="ANNULE")),"Clôturé sans suite","En cours")))</f>
        <v/>
      </c>
      <c r="N989">
        <f>IF(ISBLANK('ENGAGEMENTS 2026'!B989),"",'ENGAGEMENTS 2026'!K989)</f>
        <v/>
      </c>
      <c r="O989">
        <f>IF(ISBLANK('ENGAGEMENTS 2026'!B989),"",'ENGAGEMENTS 2026'!L989)</f>
        <v/>
      </c>
      <c r="P989">
        <f>IF(ISBLANK('ENGAGEMENTS 2026'!B989),"",'ENGAGEMENTS 2026'!J989)</f>
        <v/>
      </c>
      <c r="Q989">
        <f>IF($A989="","",IF(OR($E989="INFRUCTUEUX",$E989="ANNULE"),$A989&amp;"|"&amp;(COUNTIFS($A$2:$A989,$A989,$E$2:$E989,"INFRUCTUEUX")+COUNTIFS($A$2:$A989,$A989,$E$2:$E989,"ANNULE")),""))</f>
        <v/>
      </c>
    </row>
    <row r="990">
      <c r="A990">
        <f>IF(ISBLANK('ENGAGEMENTS 2026'!B990),"",IF('ENGAGEMENTS 2026'!B990="DTSI","DCT",'ENGAGEMENTS 2026'!B990))</f>
        <v/>
      </c>
      <c r="B990">
        <f>IF(ISBLANK('ENGAGEMENTS 2026'!B990),"",'ENGAGEMENTS 2026'!C990)</f>
        <v/>
      </c>
      <c r="C990">
        <f>IF(ISBLANK('ENGAGEMENTS 2026'!B990),"",'ENGAGEMENTS 2026'!D990)</f>
        <v/>
      </c>
      <c r="D990">
        <f>IF(ISBLANK('ENGAGEMENTS 2026'!B990),"",'ENGAGEMENTS 2026'!F990)</f>
        <v/>
      </c>
      <c r="E990">
        <f>IF(ISBLANK('ENGAGEMENTS 2026'!B990),"",'ENGAGEMENTS 2026'!H990)</f>
        <v/>
      </c>
      <c r="F990">
        <f>IF(ISBLANK('ENGAGEMENTS 2026'!B990),"",'ENGAGEMENTS 2026'!I990)</f>
        <v/>
      </c>
      <c r="G990">
        <f>IF(ISBLANK('ENGAGEMENTS 2026'!B990),"",'ENGAGEMENTS 2026'!L990)</f>
        <v/>
      </c>
      <c r="H990">
        <f>IF(ISBLANK('ENGAGEMENTS 2026'!B990),"",'ENGAGEMENTS 2026'!AE990)</f>
        <v/>
      </c>
      <c r="I990">
        <f>IF(ISBLANK('ENGAGEMENTS 2026'!B990),"",'ENGAGEMENTS 2026'!G990)</f>
        <v/>
      </c>
      <c r="J990" s="275">
        <f>IF(ISBLANK('ENGAGEMENTS 2026'!B990),"",IF(AND(OR($E990="INFRUCTUEUX",$E990="ANNULE"),$C990="AOO-M"),'ENGAGEMENTS 2026'!O990,IF($H990="EN COURS DE PREENGAGEMENT",'ENGAGEMENTS 2026'!N990,IF($H990="PREENGAGE",IF($E990="ATTRIBUE",'ENGAGEMENTS 2026'!AD990,'ENGAGEMENTS 2026'!N990),'ENGAGEMENTS 2026'!AD990))))</f>
        <v/>
      </c>
      <c r="K990" s="604">
        <f>IF(ISBLANK('ENGAGEMENTS 2026'!V990),"",'ENGAGEMENTS 2026'!V990)</f>
        <v/>
      </c>
      <c r="L990" s="276">
        <f>IF($K990="","",TODAY()-$K990)</f>
        <v/>
      </c>
      <c r="M990">
        <f>IF($A990="","",IF($H990="ENGAGE","Engagé",IF(AND($H990="NON ENGAGE",OR($I990="INFRUCTUEUX",$I990="ANNULE")),"Clôturé sans suite","En cours")))</f>
        <v/>
      </c>
      <c r="N990">
        <f>IF(ISBLANK('ENGAGEMENTS 2026'!B990),"",'ENGAGEMENTS 2026'!K990)</f>
        <v/>
      </c>
      <c r="O990">
        <f>IF(ISBLANK('ENGAGEMENTS 2026'!B990),"",'ENGAGEMENTS 2026'!L990)</f>
        <v/>
      </c>
      <c r="P990">
        <f>IF(ISBLANK('ENGAGEMENTS 2026'!B990),"",'ENGAGEMENTS 2026'!J990)</f>
        <v/>
      </c>
      <c r="Q990">
        <f>IF($A990="","",IF(OR($E990="INFRUCTUEUX",$E990="ANNULE"),$A990&amp;"|"&amp;(COUNTIFS($A$2:$A990,$A990,$E$2:$E990,"INFRUCTUEUX")+COUNTIFS($A$2:$A990,$A990,$E$2:$E990,"ANNULE")),""))</f>
        <v/>
      </c>
    </row>
    <row r="991">
      <c r="A991">
        <f>IF(ISBLANK('ENGAGEMENTS 2026'!B991),"",IF('ENGAGEMENTS 2026'!B991="DTSI","DCT",'ENGAGEMENTS 2026'!B991))</f>
        <v/>
      </c>
      <c r="B991">
        <f>IF(ISBLANK('ENGAGEMENTS 2026'!B991),"",'ENGAGEMENTS 2026'!C991)</f>
        <v/>
      </c>
      <c r="C991">
        <f>IF(ISBLANK('ENGAGEMENTS 2026'!B991),"",'ENGAGEMENTS 2026'!D991)</f>
        <v/>
      </c>
      <c r="D991">
        <f>IF(ISBLANK('ENGAGEMENTS 2026'!B991),"",'ENGAGEMENTS 2026'!F991)</f>
        <v/>
      </c>
      <c r="E991">
        <f>IF(ISBLANK('ENGAGEMENTS 2026'!B991),"",'ENGAGEMENTS 2026'!H991)</f>
        <v/>
      </c>
      <c r="F991">
        <f>IF(ISBLANK('ENGAGEMENTS 2026'!B991),"",'ENGAGEMENTS 2026'!I991)</f>
        <v/>
      </c>
      <c r="G991">
        <f>IF(ISBLANK('ENGAGEMENTS 2026'!B991),"",'ENGAGEMENTS 2026'!L991)</f>
        <v/>
      </c>
      <c r="H991">
        <f>IF(ISBLANK('ENGAGEMENTS 2026'!B991),"",'ENGAGEMENTS 2026'!AE991)</f>
        <v/>
      </c>
      <c r="I991">
        <f>IF(ISBLANK('ENGAGEMENTS 2026'!B991),"",'ENGAGEMENTS 2026'!G991)</f>
        <v/>
      </c>
      <c r="J991" s="275">
        <f>IF(ISBLANK('ENGAGEMENTS 2026'!B991),"",IF(AND(OR($E991="INFRUCTUEUX",$E991="ANNULE"),$C991="AOO-M"),'ENGAGEMENTS 2026'!O991,IF($H991="EN COURS DE PREENGAGEMENT",'ENGAGEMENTS 2026'!N991,IF($H991="PREENGAGE",IF($E991="ATTRIBUE",'ENGAGEMENTS 2026'!AD991,'ENGAGEMENTS 2026'!N991),'ENGAGEMENTS 2026'!AD991))))</f>
        <v/>
      </c>
      <c r="K991" s="604">
        <f>IF(ISBLANK('ENGAGEMENTS 2026'!V991),"",'ENGAGEMENTS 2026'!V991)</f>
        <v/>
      </c>
      <c r="L991" s="276">
        <f>IF($K991="","",TODAY()-$K991)</f>
        <v/>
      </c>
      <c r="M991">
        <f>IF($A991="","",IF($H991="ENGAGE","Engagé",IF(AND($H991="NON ENGAGE",OR($I991="INFRUCTUEUX",$I991="ANNULE")),"Clôturé sans suite","En cours")))</f>
        <v/>
      </c>
      <c r="N991">
        <f>IF(ISBLANK('ENGAGEMENTS 2026'!B991),"",'ENGAGEMENTS 2026'!K991)</f>
        <v/>
      </c>
      <c r="O991">
        <f>IF(ISBLANK('ENGAGEMENTS 2026'!B991),"",'ENGAGEMENTS 2026'!L991)</f>
        <v/>
      </c>
      <c r="P991">
        <f>IF(ISBLANK('ENGAGEMENTS 2026'!B991),"",'ENGAGEMENTS 2026'!J991)</f>
        <v/>
      </c>
      <c r="Q991">
        <f>IF($A991="","",IF(OR($E991="INFRUCTUEUX",$E991="ANNULE"),$A991&amp;"|"&amp;(COUNTIFS($A$2:$A991,$A991,$E$2:$E991,"INFRUCTUEUX")+COUNTIFS($A$2:$A991,$A991,$E$2:$E991,"ANNULE")),""))</f>
        <v/>
      </c>
    </row>
    <row r="992">
      <c r="A992">
        <f>IF(ISBLANK('ENGAGEMENTS 2026'!B992),"",IF('ENGAGEMENTS 2026'!B992="DTSI","DCT",'ENGAGEMENTS 2026'!B992))</f>
        <v/>
      </c>
      <c r="B992">
        <f>IF(ISBLANK('ENGAGEMENTS 2026'!B992),"",'ENGAGEMENTS 2026'!C992)</f>
        <v/>
      </c>
      <c r="C992">
        <f>IF(ISBLANK('ENGAGEMENTS 2026'!B992),"",'ENGAGEMENTS 2026'!D992)</f>
        <v/>
      </c>
      <c r="D992">
        <f>IF(ISBLANK('ENGAGEMENTS 2026'!B992),"",'ENGAGEMENTS 2026'!F992)</f>
        <v/>
      </c>
      <c r="E992">
        <f>IF(ISBLANK('ENGAGEMENTS 2026'!B992),"",'ENGAGEMENTS 2026'!H992)</f>
        <v/>
      </c>
      <c r="F992">
        <f>IF(ISBLANK('ENGAGEMENTS 2026'!B992),"",'ENGAGEMENTS 2026'!I992)</f>
        <v/>
      </c>
      <c r="G992">
        <f>IF(ISBLANK('ENGAGEMENTS 2026'!B992),"",'ENGAGEMENTS 2026'!L992)</f>
        <v/>
      </c>
      <c r="H992">
        <f>IF(ISBLANK('ENGAGEMENTS 2026'!B992),"",'ENGAGEMENTS 2026'!AE992)</f>
        <v/>
      </c>
      <c r="I992">
        <f>IF(ISBLANK('ENGAGEMENTS 2026'!B992),"",'ENGAGEMENTS 2026'!G992)</f>
        <v/>
      </c>
      <c r="J992" s="275">
        <f>IF(ISBLANK('ENGAGEMENTS 2026'!B992),"",IF(AND(OR($E992="INFRUCTUEUX",$E992="ANNULE"),$C992="AOO-M"),'ENGAGEMENTS 2026'!O992,IF($H992="EN COURS DE PREENGAGEMENT",'ENGAGEMENTS 2026'!N992,IF($H992="PREENGAGE",IF($E992="ATTRIBUE",'ENGAGEMENTS 2026'!AD992,'ENGAGEMENTS 2026'!N992),'ENGAGEMENTS 2026'!AD992))))</f>
        <v/>
      </c>
      <c r="K992" s="604">
        <f>IF(ISBLANK('ENGAGEMENTS 2026'!V992),"",'ENGAGEMENTS 2026'!V992)</f>
        <v/>
      </c>
      <c r="L992" s="276">
        <f>IF($K992="","",TODAY()-$K992)</f>
        <v/>
      </c>
      <c r="M992">
        <f>IF($A992="","",IF($H992="ENGAGE","Engagé",IF(AND($H992="NON ENGAGE",OR($I992="INFRUCTUEUX",$I992="ANNULE")),"Clôturé sans suite","En cours")))</f>
        <v/>
      </c>
      <c r="N992">
        <f>IF(ISBLANK('ENGAGEMENTS 2026'!B992),"",'ENGAGEMENTS 2026'!K992)</f>
        <v/>
      </c>
      <c r="O992">
        <f>IF(ISBLANK('ENGAGEMENTS 2026'!B992),"",'ENGAGEMENTS 2026'!L992)</f>
        <v/>
      </c>
      <c r="P992">
        <f>IF(ISBLANK('ENGAGEMENTS 2026'!B992),"",'ENGAGEMENTS 2026'!J992)</f>
        <v/>
      </c>
      <c r="Q992">
        <f>IF($A992="","",IF(OR($E992="INFRUCTUEUX",$E992="ANNULE"),$A992&amp;"|"&amp;(COUNTIFS($A$2:$A992,$A992,$E$2:$E992,"INFRUCTUEUX")+COUNTIFS($A$2:$A992,$A992,$E$2:$E992,"ANNULE")),""))</f>
        <v/>
      </c>
    </row>
    <row r="993">
      <c r="A993">
        <f>IF(ISBLANK('ENGAGEMENTS 2026'!B993),"",IF('ENGAGEMENTS 2026'!B993="DTSI","DCT",'ENGAGEMENTS 2026'!B993))</f>
        <v/>
      </c>
      <c r="B993">
        <f>IF(ISBLANK('ENGAGEMENTS 2026'!B993),"",'ENGAGEMENTS 2026'!C993)</f>
        <v/>
      </c>
      <c r="C993">
        <f>IF(ISBLANK('ENGAGEMENTS 2026'!B993),"",'ENGAGEMENTS 2026'!D993)</f>
        <v/>
      </c>
      <c r="D993">
        <f>IF(ISBLANK('ENGAGEMENTS 2026'!B993),"",'ENGAGEMENTS 2026'!F993)</f>
        <v/>
      </c>
      <c r="E993">
        <f>IF(ISBLANK('ENGAGEMENTS 2026'!B993),"",'ENGAGEMENTS 2026'!H993)</f>
        <v/>
      </c>
      <c r="F993">
        <f>IF(ISBLANK('ENGAGEMENTS 2026'!B993),"",'ENGAGEMENTS 2026'!I993)</f>
        <v/>
      </c>
      <c r="G993">
        <f>IF(ISBLANK('ENGAGEMENTS 2026'!B993),"",'ENGAGEMENTS 2026'!L993)</f>
        <v/>
      </c>
      <c r="H993">
        <f>IF(ISBLANK('ENGAGEMENTS 2026'!B993),"",'ENGAGEMENTS 2026'!AE993)</f>
        <v/>
      </c>
      <c r="I993">
        <f>IF(ISBLANK('ENGAGEMENTS 2026'!B993),"",'ENGAGEMENTS 2026'!G993)</f>
        <v/>
      </c>
      <c r="J993" s="275">
        <f>IF(ISBLANK('ENGAGEMENTS 2026'!B993),"",IF(AND(OR($E993="INFRUCTUEUX",$E993="ANNULE"),$C993="AOO-M"),'ENGAGEMENTS 2026'!O993,IF($H993="EN COURS DE PREENGAGEMENT",'ENGAGEMENTS 2026'!N993,IF($H993="PREENGAGE",IF($E993="ATTRIBUE",'ENGAGEMENTS 2026'!AD993,'ENGAGEMENTS 2026'!N993),'ENGAGEMENTS 2026'!AD993))))</f>
        <v/>
      </c>
      <c r="K993" s="604">
        <f>IF(ISBLANK('ENGAGEMENTS 2026'!V993),"",'ENGAGEMENTS 2026'!V993)</f>
        <v/>
      </c>
      <c r="L993" s="276">
        <f>IF($K993="","",TODAY()-$K993)</f>
        <v/>
      </c>
      <c r="M993">
        <f>IF($A993="","",IF($H993="ENGAGE","Engagé",IF(AND($H993="NON ENGAGE",OR($I993="INFRUCTUEUX",$I993="ANNULE")),"Clôturé sans suite","En cours")))</f>
        <v/>
      </c>
      <c r="N993">
        <f>IF(ISBLANK('ENGAGEMENTS 2026'!B993),"",'ENGAGEMENTS 2026'!K993)</f>
        <v/>
      </c>
      <c r="O993">
        <f>IF(ISBLANK('ENGAGEMENTS 2026'!B993),"",'ENGAGEMENTS 2026'!L993)</f>
        <v/>
      </c>
      <c r="P993">
        <f>IF(ISBLANK('ENGAGEMENTS 2026'!B993),"",'ENGAGEMENTS 2026'!J993)</f>
        <v/>
      </c>
      <c r="Q993">
        <f>IF($A993="","",IF(OR($E993="INFRUCTUEUX",$E993="ANNULE"),$A993&amp;"|"&amp;(COUNTIFS($A$2:$A993,$A993,$E$2:$E993,"INFRUCTUEUX")+COUNTIFS($A$2:$A993,$A993,$E$2:$E993,"ANNULE")),""))</f>
        <v/>
      </c>
    </row>
    <row r="994">
      <c r="A994">
        <f>IF(ISBLANK('ENGAGEMENTS 2026'!B994),"",IF('ENGAGEMENTS 2026'!B994="DTSI","DCT",'ENGAGEMENTS 2026'!B994))</f>
        <v/>
      </c>
      <c r="B994">
        <f>IF(ISBLANK('ENGAGEMENTS 2026'!B994),"",'ENGAGEMENTS 2026'!C994)</f>
        <v/>
      </c>
      <c r="C994">
        <f>IF(ISBLANK('ENGAGEMENTS 2026'!B994),"",'ENGAGEMENTS 2026'!D994)</f>
        <v/>
      </c>
      <c r="D994">
        <f>IF(ISBLANK('ENGAGEMENTS 2026'!B994),"",'ENGAGEMENTS 2026'!F994)</f>
        <v/>
      </c>
      <c r="E994">
        <f>IF(ISBLANK('ENGAGEMENTS 2026'!B994),"",'ENGAGEMENTS 2026'!H994)</f>
        <v/>
      </c>
      <c r="F994">
        <f>IF(ISBLANK('ENGAGEMENTS 2026'!B994),"",'ENGAGEMENTS 2026'!I994)</f>
        <v/>
      </c>
      <c r="G994">
        <f>IF(ISBLANK('ENGAGEMENTS 2026'!B994),"",'ENGAGEMENTS 2026'!L994)</f>
        <v/>
      </c>
      <c r="H994">
        <f>IF(ISBLANK('ENGAGEMENTS 2026'!B994),"",'ENGAGEMENTS 2026'!AE994)</f>
        <v/>
      </c>
      <c r="I994">
        <f>IF(ISBLANK('ENGAGEMENTS 2026'!B994),"",'ENGAGEMENTS 2026'!G994)</f>
        <v/>
      </c>
      <c r="J994" s="275">
        <f>IF(ISBLANK('ENGAGEMENTS 2026'!B994),"",IF(AND(OR($E994="INFRUCTUEUX",$E994="ANNULE"),$C994="AOO-M"),'ENGAGEMENTS 2026'!O994,IF($H994="EN COURS DE PREENGAGEMENT",'ENGAGEMENTS 2026'!N994,IF($H994="PREENGAGE",IF($E994="ATTRIBUE",'ENGAGEMENTS 2026'!AD994,'ENGAGEMENTS 2026'!N994),'ENGAGEMENTS 2026'!AD994))))</f>
        <v/>
      </c>
      <c r="K994" s="604">
        <f>IF(ISBLANK('ENGAGEMENTS 2026'!V994),"",'ENGAGEMENTS 2026'!V994)</f>
        <v/>
      </c>
      <c r="L994" s="276">
        <f>IF($K994="","",TODAY()-$K994)</f>
        <v/>
      </c>
      <c r="M994">
        <f>IF($A994="","",IF($H994="ENGAGE","Engagé",IF(AND($H994="NON ENGAGE",OR($I994="INFRUCTUEUX",$I994="ANNULE")),"Clôturé sans suite","En cours")))</f>
        <v/>
      </c>
      <c r="N994">
        <f>IF(ISBLANK('ENGAGEMENTS 2026'!B994),"",'ENGAGEMENTS 2026'!K994)</f>
        <v/>
      </c>
      <c r="O994">
        <f>IF(ISBLANK('ENGAGEMENTS 2026'!B994),"",'ENGAGEMENTS 2026'!L994)</f>
        <v/>
      </c>
      <c r="P994">
        <f>IF(ISBLANK('ENGAGEMENTS 2026'!B994),"",'ENGAGEMENTS 2026'!J994)</f>
        <v/>
      </c>
      <c r="Q994">
        <f>IF($A994="","",IF(OR($E994="INFRUCTUEUX",$E994="ANNULE"),$A994&amp;"|"&amp;(COUNTIFS($A$2:$A994,$A994,$E$2:$E994,"INFRUCTUEUX")+COUNTIFS($A$2:$A994,$A994,$E$2:$E994,"ANNULE")),""))</f>
        <v/>
      </c>
    </row>
    <row r="995">
      <c r="A995">
        <f>IF(ISBLANK('ENGAGEMENTS 2026'!B995),"",IF('ENGAGEMENTS 2026'!B995="DTSI","DCT",'ENGAGEMENTS 2026'!B995))</f>
        <v/>
      </c>
      <c r="B995">
        <f>IF(ISBLANK('ENGAGEMENTS 2026'!B995),"",'ENGAGEMENTS 2026'!C995)</f>
        <v/>
      </c>
      <c r="C995">
        <f>IF(ISBLANK('ENGAGEMENTS 2026'!B995),"",'ENGAGEMENTS 2026'!D995)</f>
        <v/>
      </c>
      <c r="D995">
        <f>IF(ISBLANK('ENGAGEMENTS 2026'!B995),"",'ENGAGEMENTS 2026'!F995)</f>
        <v/>
      </c>
      <c r="E995">
        <f>IF(ISBLANK('ENGAGEMENTS 2026'!B995),"",'ENGAGEMENTS 2026'!H995)</f>
        <v/>
      </c>
      <c r="F995">
        <f>IF(ISBLANK('ENGAGEMENTS 2026'!B995),"",'ENGAGEMENTS 2026'!I995)</f>
        <v/>
      </c>
      <c r="G995">
        <f>IF(ISBLANK('ENGAGEMENTS 2026'!B995),"",'ENGAGEMENTS 2026'!L995)</f>
        <v/>
      </c>
      <c r="H995">
        <f>IF(ISBLANK('ENGAGEMENTS 2026'!B995),"",'ENGAGEMENTS 2026'!AE995)</f>
        <v/>
      </c>
      <c r="I995">
        <f>IF(ISBLANK('ENGAGEMENTS 2026'!B995),"",'ENGAGEMENTS 2026'!G995)</f>
        <v/>
      </c>
      <c r="J995" s="275">
        <f>IF(ISBLANK('ENGAGEMENTS 2026'!B995),"",IF(AND(OR($E995="INFRUCTUEUX",$E995="ANNULE"),$C995="AOO-M"),'ENGAGEMENTS 2026'!O995,IF($H995="EN COURS DE PREENGAGEMENT",'ENGAGEMENTS 2026'!N995,IF($H995="PREENGAGE",IF($E995="ATTRIBUE",'ENGAGEMENTS 2026'!AD995,'ENGAGEMENTS 2026'!N995),'ENGAGEMENTS 2026'!AD995))))</f>
        <v/>
      </c>
      <c r="K995" s="604">
        <f>IF(ISBLANK('ENGAGEMENTS 2026'!V995),"",'ENGAGEMENTS 2026'!V995)</f>
        <v/>
      </c>
      <c r="L995" s="276">
        <f>IF($K995="","",TODAY()-$K995)</f>
        <v/>
      </c>
      <c r="M995">
        <f>IF($A995="","",IF($H995="ENGAGE","Engagé",IF(AND($H995="NON ENGAGE",OR($I995="INFRUCTUEUX",$I995="ANNULE")),"Clôturé sans suite","En cours")))</f>
        <v/>
      </c>
      <c r="N995">
        <f>IF(ISBLANK('ENGAGEMENTS 2026'!B995),"",'ENGAGEMENTS 2026'!K995)</f>
        <v/>
      </c>
      <c r="O995">
        <f>IF(ISBLANK('ENGAGEMENTS 2026'!B995),"",'ENGAGEMENTS 2026'!L995)</f>
        <v/>
      </c>
      <c r="P995">
        <f>IF(ISBLANK('ENGAGEMENTS 2026'!B995),"",'ENGAGEMENTS 2026'!J995)</f>
        <v/>
      </c>
      <c r="Q995">
        <f>IF($A995="","",IF(OR($E995="INFRUCTUEUX",$E995="ANNULE"),$A995&amp;"|"&amp;(COUNTIFS($A$2:$A995,$A995,$E$2:$E995,"INFRUCTUEUX")+COUNTIFS($A$2:$A995,$A995,$E$2:$E995,"ANNULE")),""))</f>
        <v/>
      </c>
    </row>
    <row r="996">
      <c r="A996">
        <f>IF(ISBLANK('ENGAGEMENTS 2026'!B996),"",IF('ENGAGEMENTS 2026'!B996="DTSI","DCT",'ENGAGEMENTS 2026'!B996))</f>
        <v/>
      </c>
      <c r="B996">
        <f>IF(ISBLANK('ENGAGEMENTS 2026'!B996),"",'ENGAGEMENTS 2026'!C996)</f>
        <v/>
      </c>
      <c r="C996">
        <f>IF(ISBLANK('ENGAGEMENTS 2026'!B996),"",'ENGAGEMENTS 2026'!D996)</f>
        <v/>
      </c>
      <c r="D996">
        <f>IF(ISBLANK('ENGAGEMENTS 2026'!B996),"",'ENGAGEMENTS 2026'!F996)</f>
        <v/>
      </c>
      <c r="E996">
        <f>IF(ISBLANK('ENGAGEMENTS 2026'!B996),"",'ENGAGEMENTS 2026'!H996)</f>
        <v/>
      </c>
      <c r="F996">
        <f>IF(ISBLANK('ENGAGEMENTS 2026'!B996),"",'ENGAGEMENTS 2026'!I996)</f>
        <v/>
      </c>
      <c r="G996">
        <f>IF(ISBLANK('ENGAGEMENTS 2026'!B996),"",'ENGAGEMENTS 2026'!L996)</f>
        <v/>
      </c>
      <c r="H996">
        <f>IF(ISBLANK('ENGAGEMENTS 2026'!B996),"",'ENGAGEMENTS 2026'!AE996)</f>
        <v/>
      </c>
      <c r="I996">
        <f>IF(ISBLANK('ENGAGEMENTS 2026'!B996),"",'ENGAGEMENTS 2026'!G996)</f>
        <v/>
      </c>
      <c r="J996" s="275">
        <f>IF(ISBLANK('ENGAGEMENTS 2026'!B996),"",IF(AND(OR($E996="INFRUCTUEUX",$E996="ANNULE"),$C996="AOO-M"),'ENGAGEMENTS 2026'!O996,IF($H996="EN COURS DE PREENGAGEMENT",'ENGAGEMENTS 2026'!N996,IF($H996="PREENGAGE",IF($E996="ATTRIBUE",'ENGAGEMENTS 2026'!AD996,'ENGAGEMENTS 2026'!N996),'ENGAGEMENTS 2026'!AD996))))</f>
        <v/>
      </c>
      <c r="K996" s="604">
        <f>IF(ISBLANK('ENGAGEMENTS 2026'!V996),"",'ENGAGEMENTS 2026'!V996)</f>
        <v/>
      </c>
      <c r="L996" s="276">
        <f>IF($K996="","",TODAY()-$K996)</f>
        <v/>
      </c>
      <c r="M996">
        <f>IF($A996="","",IF($H996="ENGAGE","Engagé",IF(AND($H996="NON ENGAGE",OR($I996="INFRUCTUEUX",$I996="ANNULE")),"Clôturé sans suite","En cours")))</f>
        <v/>
      </c>
      <c r="N996">
        <f>IF(ISBLANK('ENGAGEMENTS 2026'!B996),"",'ENGAGEMENTS 2026'!K996)</f>
        <v/>
      </c>
      <c r="O996">
        <f>IF(ISBLANK('ENGAGEMENTS 2026'!B996),"",'ENGAGEMENTS 2026'!L996)</f>
        <v/>
      </c>
      <c r="P996">
        <f>IF(ISBLANK('ENGAGEMENTS 2026'!B996),"",'ENGAGEMENTS 2026'!J996)</f>
        <v/>
      </c>
      <c r="Q996">
        <f>IF($A996="","",IF(OR($E996="INFRUCTUEUX",$E996="ANNULE"),$A996&amp;"|"&amp;(COUNTIFS($A$2:$A996,$A996,$E$2:$E996,"INFRUCTUEUX")+COUNTIFS($A$2:$A996,$A996,$E$2:$E996,"ANNULE")),""))</f>
        <v/>
      </c>
    </row>
    <row r="997">
      <c r="A997">
        <f>IF(ISBLANK('ENGAGEMENTS 2026'!B997),"",IF('ENGAGEMENTS 2026'!B997="DTSI","DCT",'ENGAGEMENTS 2026'!B997))</f>
        <v/>
      </c>
      <c r="B997">
        <f>IF(ISBLANK('ENGAGEMENTS 2026'!B997),"",'ENGAGEMENTS 2026'!C997)</f>
        <v/>
      </c>
      <c r="C997">
        <f>IF(ISBLANK('ENGAGEMENTS 2026'!B997),"",'ENGAGEMENTS 2026'!D997)</f>
        <v/>
      </c>
      <c r="D997">
        <f>IF(ISBLANK('ENGAGEMENTS 2026'!B997),"",'ENGAGEMENTS 2026'!F997)</f>
        <v/>
      </c>
      <c r="E997">
        <f>IF(ISBLANK('ENGAGEMENTS 2026'!B997),"",'ENGAGEMENTS 2026'!H997)</f>
        <v/>
      </c>
      <c r="F997">
        <f>IF(ISBLANK('ENGAGEMENTS 2026'!B997),"",'ENGAGEMENTS 2026'!I997)</f>
        <v/>
      </c>
      <c r="G997">
        <f>IF(ISBLANK('ENGAGEMENTS 2026'!B997),"",'ENGAGEMENTS 2026'!L997)</f>
        <v/>
      </c>
      <c r="H997">
        <f>IF(ISBLANK('ENGAGEMENTS 2026'!B997),"",'ENGAGEMENTS 2026'!AE997)</f>
        <v/>
      </c>
      <c r="I997">
        <f>IF(ISBLANK('ENGAGEMENTS 2026'!B997),"",'ENGAGEMENTS 2026'!G997)</f>
        <v/>
      </c>
      <c r="J997" s="275">
        <f>IF(ISBLANK('ENGAGEMENTS 2026'!B997),"",IF(AND(OR($E997="INFRUCTUEUX",$E997="ANNULE"),$C997="AOO-M"),'ENGAGEMENTS 2026'!O997,IF($H997="EN COURS DE PREENGAGEMENT",'ENGAGEMENTS 2026'!N997,IF($H997="PREENGAGE",IF($E997="ATTRIBUE",'ENGAGEMENTS 2026'!AD997,'ENGAGEMENTS 2026'!N997),'ENGAGEMENTS 2026'!AD997))))</f>
        <v/>
      </c>
      <c r="K997" s="604">
        <f>IF(ISBLANK('ENGAGEMENTS 2026'!V997),"",'ENGAGEMENTS 2026'!V997)</f>
        <v/>
      </c>
      <c r="L997" s="276">
        <f>IF($K997="","",TODAY()-$K997)</f>
        <v/>
      </c>
      <c r="M997">
        <f>IF($A997="","",IF($H997="ENGAGE","Engagé",IF(AND($H997="NON ENGAGE",OR($I997="INFRUCTUEUX",$I997="ANNULE")),"Clôturé sans suite","En cours")))</f>
        <v/>
      </c>
      <c r="N997">
        <f>IF(ISBLANK('ENGAGEMENTS 2026'!B997),"",'ENGAGEMENTS 2026'!K997)</f>
        <v/>
      </c>
      <c r="O997">
        <f>IF(ISBLANK('ENGAGEMENTS 2026'!B997),"",'ENGAGEMENTS 2026'!L997)</f>
        <v/>
      </c>
      <c r="P997">
        <f>IF(ISBLANK('ENGAGEMENTS 2026'!B997),"",'ENGAGEMENTS 2026'!J997)</f>
        <v/>
      </c>
      <c r="Q997">
        <f>IF($A997="","",IF(OR($E997="INFRUCTUEUX",$E997="ANNULE"),$A997&amp;"|"&amp;(COUNTIFS($A$2:$A997,$A997,$E$2:$E997,"INFRUCTUEUX")+COUNTIFS($A$2:$A997,$A997,$E$2:$E997,"ANNULE")),""))</f>
        <v/>
      </c>
    </row>
    <row r="998">
      <c r="A998">
        <f>IF(ISBLANK('ENGAGEMENTS 2026'!B998),"",IF('ENGAGEMENTS 2026'!B998="DTSI","DCT",'ENGAGEMENTS 2026'!B998))</f>
        <v/>
      </c>
      <c r="B998">
        <f>IF(ISBLANK('ENGAGEMENTS 2026'!B998),"",'ENGAGEMENTS 2026'!C998)</f>
        <v/>
      </c>
      <c r="C998">
        <f>IF(ISBLANK('ENGAGEMENTS 2026'!B998),"",'ENGAGEMENTS 2026'!D998)</f>
        <v/>
      </c>
      <c r="D998">
        <f>IF(ISBLANK('ENGAGEMENTS 2026'!B998),"",'ENGAGEMENTS 2026'!F998)</f>
        <v/>
      </c>
      <c r="E998">
        <f>IF(ISBLANK('ENGAGEMENTS 2026'!B998),"",'ENGAGEMENTS 2026'!H998)</f>
        <v/>
      </c>
      <c r="F998">
        <f>IF(ISBLANK('ENGAGEMENTS 2026'!B998),"",'ENGAGEMENTS 2026'!I998)</f>
        <v/>
      </c>
      <c r="G998">
        <f>IF(ISBLANK('ENGAGEMENTS 2026'!B998),"",'ENGAGEMENTS 2026'!L998)</f>
        <v/>
      </c>
      <c r="H998">
        <f>IF(ISBLANK('ENGAGEMENTS 2026'!B998),"",'ENGAGEMENTS 2026'!AE998)</f>
        <v/>
      </c>
      <c r="I998">
        <f>IF(ISBLANK('ENGAGEMENTS 2026'!B998),"",'ENGAGEMENTS 2026'!G998)</f>
        <v/>
      </c>
      <c r="J998" s="275">
        <f>IF(ISBLANK('ENGAGEMENTS 2026'!B998),"",IF(AND(OR($E998="INFRUCTUEUX",$E998="ANNULE"),$C998="AOO-M"),'ENGAGEMENTS 2026'!O998,IF($H998="EN COURS DE PREENGAGEMENT",'ENGAGEMENTS 2026'!N998,IF($H998="PREENGAGE",IF($E998="ATTRIBUE",'ENGAGEMENTS 2026'!AD998,'ENGAGEMENTS 2026'!N998),'ENGAGEMENTS 2026'!AD998))))</f>
        <v/>
      </c>
      <c r="K998" s="604">
        <f>IF(ISBLANK('ENGAGEMENTS 2026'!V998),"",'ENGAGEMENTS 2026'!V998)</f>
        <v/>
      </c>
      <c r="L998" s="276">
        <f>IF($K998="","",TODAY()-$K998)</f>
        <v/>
      </c>
      <c r="M998">
        <f>IF($A998="","",IF($H998="ENGAGE","Engagé",IF(AND($H998="NON ENGAGE",OR($I998="INFRUCTUEUX",$I998="ANNULE")),"Clôturé sans suite","En cours")))</f>
        <v/>
      </c>
      <c r="N998">
        <f>IF(ISBLANK('ENGAGEMENTS 2026'!B998),"",'ENGAGEMENTS 2026'!K998)</f>
        <v/>
      </c>
      <c r="O998">
        <f>IF(ISBLANK('ENGAGEMENTS 2026'!B998),"",'ENGAGEMENTS 2026'!L998)</f>
        <v/>
      </c>
      <c r="P998">
        <f>IF(ISBLANK('ENGAGEMENTS 2026'!B998),"",'ENGAGEMENTS 2026'!J998)</f>
        <v/>
      </c>
      <c r="Q998">
        <f>IF($A998="","",IF(OR($E998="INFRUCTUEUX",$E998="ANNULE"),$A998&amp;"|"&amp;(COUNTIFS($A$2:$A998,$A998,$E$2:$E998,"INFRUCTUEUX")+COUNTIFS($A$2:$A998,$A998,$E$2:$E998,"ANNULE")),""))</f>
        <v/>
      </c>
    </row>
    <row r="999">
      <c r="A999">
        <f>IF(ISBLANK('ENGAGEMENTS 2026'!B999),"",IF('ENGAGEMENTS 2026'!B999="DTSI","DCT",'ENGAGEMENTS 2026'!B999))</f>
        <v/>
      </c>
      <c r="B999">
        <f>IF(ISBLANK('ENGAGEMENTS 2026'!B999),"",'ENGAGEMENTS 2026'!C999)</f>
        <v/>
      </c>
      <c r="C999">
        <f>IF(ISBLANK('ENGAGEMENTS 2026'!B999),"",'ENGAGEMENTS 2026'!D999)</f>
        <v/>
      </c>
      <c r="D999">
        <f>IF(ISBLANK('ENGAGEMENTS 2026'!B999),"",'ENGAGEMENTS 2026'!F999)</f>
        <v/>
      </c>
      <c r="E999">
        <f>IF(ISBLANK('ENGAGEMENTS 2026'!B999),"",'ENGAGEMENTS 2026'!H999)</f>
        <v/>
      </c>
      <c r="F999">
        <f>IF(ISBLANK('ENGAGEMENTS 2026'!B999),"",'ENGAGEMENTS 2026'!I999)</f>
        <v/>
      </c>
      <c r="G999">
        <f>IF(ISBLANK('ENGAGEMENTS 2026'!B999),"",'ENGAGEMENTS 2026'!L999)</f>
        <v/>
      </c>
      <c r="H999">
        <f>IF(ISBLANK('ENGAGEMENTS 2026'!B999),"",'ENGAGEMENTS 2026'!AE999)</f>
        <v/>
      </c>
      <c r="I999">
        <f>IF(ISBLANK('ENGAGEMENTS 2026'!B999),"",'ENGAGEMENTS 2026'!G999)</f>
        <v/>
      </c>
      <c r="J999" s="275">
        <f>IF(ISBLANK('ENGAGEMENTS 2026'!B999),"",IF(AND(OR($E999="INFRUCTUEUX",$E999="ANNULE"),$C999="AOO-M"),'ENGAGEMENTS 2026'!O999,IF($H999="EN COURS DE PREENGAGEMENT",'ENGAGEMENTS 2026'!N999,IF($H999="PREENGAGE",IF($E999="ATTRIBUE",'ENGAGEMENTS 2026'!AD999,'ENGAGEMENTS 2026'!N999),'ENGAGEMENTS 2026'!AD999))))</f>
        <v/>
      </c>
      <c r="K999" s="604">
        <f>IF(ISBLANK('ENGAGEMENTS 2026'!V999),"",'ENGAGEMENTS 2026'!V999)</f>
        <v/>
      </c>
      <c r="L999" s="276">
        <f>IF($K999="","",TODAY()-$K999)</f>
        <v/>
      </c>
      <c r="M999">
        <f>IF($A999="","",IF($H999="ENGAGE","Engagé",IF(AND($H999="NON ENGAGE",OR($I999="INFRUCTUEUX",$I999="ANNULE")),"Clôturé sans suite","En cours")))</f>
        <v/>
      </c>
      <c r="N999">
        <f>IF(ISBLANK('ENGAGEMENTS 2026'!B999),"",'ENGAGEMENTS 2026'!K999)</f>
        <v/>
      </c>
      <c r="O999">
        <f>IF(ISBLANK('ENGAGEMENTS 2026'!B999),"",'ENGAGEMENTS 2026'!L999)</f>
        <v/>
      </c>
      <c r="P999">
        <f>IF(ISBLANK('ENGAGEMENTS 2026'!B999),"",'ENGAGEMENTS 2026'!J999)</f>
        <v/>
      </c>
      <c r="Q999">
        <f>IF($A999="","",IF(OR($E999="INFRUCTUEUX",$E999="ANNULE"),$A999&amp;"|"&amp;(COUNTIFS($A$2:$A999,$A999,$E$2:$E999,"INFRUCTUEUX")+COUNTIFS($A$2:$A999,$A999,$E$2:$E999,"ANNULE")),""))</f>
        <v/>
      </c>
    </row>
    <row r="1000">
      <c r="A1000">
        <f>IF(ISBLANK('ENGAGEMENTS 2026'!B1000),"",IF('ENGAGEMENTS 2026'!B1000="DTSI","DCT",'ENGAGEMENTS 2026'!B1000))</f>
        <v/>
      </c>
      <c r="B1000">
        <f>IF(ISBLANK('ENGAGEMENTS 2026'!B1000),"",'ENGAGEMENTS 2026'!C1000)</f>
        <v/>
      </c>
      <c r="C1000">
        <f>IF(ISBLANK('ENGAGEMENTS 2026'!B1000),"",'ENGAGEMENTS 2026'!D1000)</f>
        <v/>
      </c>
      <c r="D1000">
        <f>IF(ISBLANK('ENGAGEMENTS 2026'!B1000),"",'ENGAGEMENTS 2026'!F1000)</f>
        <v/>
      </c>
      <c r="E1000">
        <f>IF(ISBLANK('ENGAGEMENTS 2026'!B1000),"",'ENGAGEMENTS 2026'!H1000)</f>
        <v/>
      </c>
      <c r="F1000">
        <f>IF(ISBLANK('ENGAGEMENTS 2026'!B1000),"",'ENGAGEMENTS 2026'!I1000)</f>
        <v/>
      </c>
      <c r="G1000">
        <f>IF(ISBLANK('ENGAGEMENTS 2026'!B1000),"",'ENGAGEMENTS 2026'!L1000)</f>
        <v/>
      </c>
      <c r="H1000">
        <f>IF(ISBLANK('ENGAGEMENTS 2026'!B1000),"",'ENGAGEMENTS 2026'!AE1000)</f>
        <v/>
      </c>
      <c r="I1000">
        <f>IF(ISBLANK('ENGAGEMENTS 2026'!B1000),"",'ENGAGEMENTS 2026'!G1000)</f>
        <v/>
      </c>
      <c r="J1000" s="275">
        <f>IF(ISBLANK('ENGAGEMENTS 2026'!B1000),"",IF(AND(OR($E1000="INFRUCTUEUX",$E1000="ANNULE"),$C1000="AOO-M"),'ENGAGEMENTS 2026'!O1000,IF($H1000="EN COURS DE PREENGAGEMENT",'ENGAGEMENTS 2026'!N1000,IF($H1000="PREENGAGE",IF($E1000="ATTRIBUE",'ENGAGEMENTS 2026'!AD1000,'ENGAGEMENTS 2026'!N1000),'ENGAGEMENTS 2026'!AD1000))))</f>
        <v/>
      </c>
      <c r="K1000" s="604">
        <f>IF(ISBLANK('ENGAGEMENTS 2026'!V1000),"",'ENGAGEMENTS 2026'!V1000)</f>
        <v/>
      </c>
      <c r="L1000" s="276">
        <f>IF($K1000="","",TODAY()-$K1000)</f>
        <v/>
      </c>
      <c r="M1000">
        <f>IF($A1000="","",IF($H1000="ENGAGE","Engagé",IF(AND($H1000="NON ENGAGE",OR($I1000="INFRUCTUEUX",$I1000="ANNULE")),"Clôturé sans suite","En cours")))</f>
        <v/>
      </c>
      <c r="N1000">
        <f>IF(ISBLANK('ENGAGEMENTS 2026'!B1000),"",'ENGAGEMENTS 2026'!K1000)</f>
        <v/>
      </c>
      <c r="O1000">
        <f>IF(ISBLANK('ENGAGEMENTS 2026'!B1000),"",'ENGAGEMENTS 2026'!L1000)</f>
        <v/>
      </c>
      <c r="P1000">
        <f>IF(ISBLANK('ENGAGEMENTS 2026'!B1000),"",'ENGAGEMENTS 2026'!J1000)</f>
        <v/>
      </c>
      <c r="Q1000">
        <f>IF($A1000="","",IF(OR($E1000="INFRUCTUEUX",$E1000="ANNULE"),$A1000&amp;"|"&amp;(COUNTIFS($A$2:$A1000,$A1000,$E$2:$E1000,"INFRUCTUEUX")+COUNTIFS($A$2:$A1000,$A1000,$E$2:$E1000,"ANNULE")),""))</f>
        <v/>
      </c>
    </row>
    <row r="1001">
      <c r="A1001">
        <f>IF(ISBLANK('ENGAGEMENTS 2026'!B1001),"",IF('ENGAGEMENTS 2026'!B1001="DTSI","DCT",'ENGAGEMENTS 2026'!B1001))</f>
        <v/>
      </c>
      <c r="B1001">
        <f>IF(ISBLANK('ENGAGEMENTS 2026'!B1001),"",'ENGAGEMENTS 2026'!C1001)</f>
        <v/>
      </c>
      <c r="C1001">
        <f>IF(ISBLANK('ENGAGEMENTS 2026'!B1001),"",'ENGAGEMENTS 2026'!D1001)</f>
        <v/>
      </c>
      <c r="D1001">
        <f>IF(ISBLANK('ENGAGEMENTS 2026'!B1001),"",'ENGAGEMENTS 2026'!F1001)</f>
        <v/>
      </c>
      <c r="E1001">
        <f>IF(ISBLANK('ENGAGEMENTS 2026'!B1001),"",'ENGAGEMENTS 2026'!H1001)</f>
        <v/>
      </c>
      <c r="F1001">
        <f>IF(ISBLANK('ENGAGEMENTS 2026'!B1001),"",'ENGAGEMENTS 2026'!I1001)</f>
        <v/>
      </c>
      <c r="G1001">
        <f>IF(ISBLANK('ENGAGEMENTS 2026'!B1001),"",'ENGAGEMENTS 2026'!L1001)</f>
        <v/>
      </c>
      <c r="H1001">
        <f>IF(ISBLANK('ENGAGEMENTS 2026'!B1001),"",'ENGAGEMENTS 2026'!AE1001)</f>
        <v/>
      </c>
      <c r="I1001">
        <f>IF(ISBLANK('ENGAGEMENTS 2026'!B1001),"",'ENGAGEMENTS 2026'!G1001)</f>
        <v/>
      </c>
      <c r="J1001" s="275">
        <f>IF(ISBLANK('ENGAGEMENTS 2026'!B1001),"",IF(AND(OR($E1001="INFRUCTUEUX",$E1001="ANNULE"),$C1001="AOO-M"),'ENGAGEMENTS 2026'!O1001,IF($H1001="EN COURS DE PREENGAGEMENT",'ENGAGEMENTS 2026'!N1001,IF($H1001="PREENGAGE",IF($E1001="ATTRIBUE",'ENGAGEMENTS 2026'!AD1001,'ENGAGEMENTS 2026'!N1001),'ENGAGEMENTS 2026'!AD1001))))</f>
        <v/>
      </c>
      <c r="K1001" s="604">
        <f>IF(ISBLANK('ENGAGEMENTS 2026'!V1001),"",'ENGAGEMENTS 2026'!V1001)</f>
        <v/>
      </c>
      <c r="L1001" s="276">
        <f>IF($K1001="","",TODAY()-$K1001)</f>
        <v/>
      </c>
      <c r="M1001">
        <f>IF($A1001="","",IF($H1001="ENGAGE","Engagé",IF(AND($H1001="NON ENGAGE",OR($I1001="INFRUCTUEUX",$I1001="ANNULE")),"Clôturé sans suite","En cours")))</f>
        <v/>
      </c>
      <c r="N1001">
        <f>IF(ISBLANK('ENGAGEMENTS 2026'!B1001),"",'ENGAGEMENTS 2026'!K1001)</f>
        <v/>
      </c>
      <c r="O1001">
        <f>IF(ISBLANK('ENGAGEMENTS 2026'!B1001),"",'ENGAGEMENTS 2026'!L1001)</f>
        <v/>
      </c>
      <c r="P1001">
        <f>IF(ISBLANK('ENGAGEMENTS 2026'!B1001),"",'ENGAGEMENTS 2026'!J1001)</f>
        <v/>
      </c>
      <c r="Q1001">
        <f>IF($A1001="","",IF(OR($E1001="INFRUCTUEUX",$E1001="ANNULE"),$A1001&amp;"|"&amp;(COUNTIFS($A$2:$A1001,$A1001,$E$2:$E1001,"INFRUCTUEUX")+COUNTIFS($A$2:$A1001,$A1001,$E$2:$E1001,"ANNULE")),""))</f>
        <v/>
      </c>
    </row>
    <row r="1002">
      <c r="A1002">
        <f>IF(ISBLANK('ENGAGEMENTS 2026'!B1002),"",IF('ENGAGEMENTS 2026'!B1002="DTSI","DCT",'ENGAGEMENTS 2026'!B1002))</f>
        <v/>
      </c>
      <c r="B1002">
        <f>IF(ISBLANK('ENGAGEMENTS 2026'!B1002),"",'ENGAGEMENTS 2026'!C1002)</f>
        <v/>
      </c>
      <c r="C1002">
        <f>IF(ISBLANK('ENGAGEMENTS 2026'!B1002),"",'ENGAGEMENTS 2026'!D1002)</f>
        <v/>
      </c>
      <c r="D1002">
        <f>IF(ISBLANK('ENGAGEMENTS 2026'!B1002),"",'ENGAGEMENTS 2026'!F1002)</f>
        <v/>
      </c>
      <c r="E1002">
        <f>IF(ISBLANK('ENGAGEMENTS 2026'!B1002),"",'ENGAGEMENTS 2026'!H1002)</f>
        <v/>
      </c>
      <c r="F1002">
        <f>IF(ISBLANK('ENGAGEMENTS 2026'!B1002),"",'ENGAGEMENTS 2026'!I1002)</f>
        <v/>
      </c>
      <c r="G1002">
        <f>IF(ISBLANK('ENGAGEMENTS 2026'!B1002),"",'ENGAGEMENTS 2026'!L1002)</f>
        <v/>
      </c>
      <c r="H1002">
        <f>IF(ISBLANK('ENGAGEMENTS 2026'!B1002),"",'ENGAGEMENTS 2026'!AE1002)</f>
        <v/>
      </c>
      <c r="I1002">
        <f>IF(ISBLANK('ENGAGEMENTS 2026'!B1002),"",'ENGAGEMENTS 2026'!G1002)</f>
        <v/>
      </c>
      <c r="J1002" s="275">
        <f>IF(ISBLANK('ENGAGEMENTS 2026'!B1002),"",IF(AND(OR($E1002="INFRUCTUEUX",$E1002="ANNULE"),$C1002="AOO-M"),'ENGAGEMENTS 2026'!O1002,IF($H1002="EN COURS DE PREENGAGEMENT",'ENGAGEMENTS 2026'!N1002,IF($H1002="PREENGAGE",IF($E1002="ATTRIBUE",'ENGAGEMENTS 2026'!AD1002,'ENGAGEMENTS 2026'!N1002),'ENGAGEMENTS 2026'!AD1002))))</f>
        <v/>
      </c>
      <c r="K1002" s="604">
        <f>IF(ISBLANK('ENGAGEMENTS 2026'!V1002),"",'ENGAGEMENTS 2026'!V1002)</f>
        <v/>
      </c>
      <c r="L1002" s="276">
        <f>IF($K1002="","",TODAY()-$K1002)</f>
        <v/>
      </c>
      <c r="M1002">
        <f>IF($A1002="","",IF($H1002="ENGAGE","Engagé",IF(AND($H1002="NON ENGAGE",OR($I1002="INFRUCTUEUX",$I1002="ANNULE")),"Clôturé sans suite","En cours")))</f>
        <v/>
      </c>
      <c r="N1002">
        <f>IF(ISBLANK('ENGAGEMENTS 2026'!B1002),"",'ENGAGEMENTS 2026'!K1002)</f>
        <v/>
      </c>
      <c r="O1002">
        <f>IF(ISBLANK('ENGAGEMENTS 2026'!B1002),"",'ENGAGEMENTS 2026'!L1002)</f>
        <v/>
      </c>
      <c r="P1002">
        <f>IF(ISBLANK('ENGAGEMENTS 2026'!B1002),"",'ENGAGEMENTS 2026'!J1002)</f>
        <v/>
      </c>
      <c r="Q1002">
        <f>IF($A1002="","",IF(OR($E1002="INFRUCTUEUX",$E1002="ANNULE"),$A1002&amp;"|"&amp;(COUNTIFS($A$2:$A1002,$A1002,$E$2:$E1002,"INFRUCTUEUX")+COUNTIFS($A$2:$A1002,$A1002,$E$2:$E1002,"ANNULE")),""))</f>
        <v/>
      </c>
    </row>
    <row r="1003">
      <c r="A1003">
        <f>IF(ISBLANK('ENGAGEMENTS 2026'!B1003),"",IF('ENGAGEMENTS 2026'!B1003="DTSI","DCT",'ENGAGEMENTS 2026'!B1003))</f>
        <v/>
      </c>
      <c r="B1003">
        <f>IF(ISBLANK('ENGAGEMENTS 2026'!B1003),"",'ENGAGEMENTS 2026'!C1003)</f>
        <v/>
      </c>
      <c r="C1003">
        <f>IF(ISBLANK('ENGAGEMENTS 2026'!B1003),"",'ENGAGEMENTS 2026'!D1003)</f>
        <v/>
      </c>
      <c r="D1003">
        <f>IF(ISBLANK('ENGAGEMENTS 2026'!B1003),"",'ENGAGEMENTS 2026'!F1003)</f>
        <v/>
      </c>
      <c r="E1003">
        <f>IF(ISBLANK('ENGAGEMENTS 2026'!B1003),"",'ENGAGEMENTS 2026'!H1003)</f>
        <v/>
      </c>
      <c r="F1003">
        <f>IF(ISBLANK('ENGAGEMENTS 2026'!B1003),"",'ENGAGEMENTS 2026'!I1003)</f>
        <v/>
      </c>
      <c r="G1003">
        <f>IF(ISBLANK('ENGAGEMENTS 2026'!B1003),"",'ENGAGEMENTS 2026'!L1003)</f>
        <v/>
      </c>
      <c r="H1003">
        <f>IF(ISBLANK('ENGAGEMENTS 2026'!B1003),"",'ENGAGEMENTS 2026'!AE1003)</f>
        <v/>
      </c>
      <c r="I1003">
        <f>IF(ISBLANK('ENGAGEMENTS 2026'!B1003),"",'ENGAGEMENTS 2026'!G1003)</f>
        <v/>
      </c>
      <c r="J1003" s="275">
        <f>IF(ISBLANK('ENGAGEMENTS 2026'!B1003),"",IF(AND(OR($E1003="INFRUCTUEUX",$E1003="ANNULE"),$C1003="AOO-M"),'ENGAGEMENTS 2026'!O1003,IF($H1003="EN COURS DE PREENGAGEMENT",'ENGAGEMENTS 2026'!N1003,IF($H1003="PREENGAGE",IF($E1003="ATTRIBUE",'ENGAGEMENTS 2026'!AD1003,'ENGAGEMENTS 2026'!N1003),'ENGAGEMENTS 2026'!AD1003))))</f>
        <v/>
      </c>
      <c r="K1003" s="604">
        <f>IF(ISBLANK('ENGAGEMENTS 2026'!V1003),"",'ENGAGEMENTS 2026'!V1003)</f>
        <v/>
      </c>
      <c r="L1003" s="276">
        <f>IF($K1003="","",TODAY()-$K1003)</f>
        <v/>
      </c>
      <c r="M1003">
        <f>IF($A1003="","",IF($H1003="ENGAGE","Engagé",IF(AND($H1003="NON ENGAGE",OR($I1003="INFRUCTUEUX",$I1003="ANNULE")),"Clôturé sans suite","En cours")))</f>
        <v/>
      </c>
      <c r="N1003">
        <f>IF(ISBLANK('ENGAGEMENTS 2026'!B1003),"",'ENGAGEMENTS 2026'!K1003)</f>
        <v/>
      </c>
      <c r="O1003">
        <f>IF(ISBLANK('ENGAGEMENTS 2026'!B1003),"",'ENGAGEMENTS 2026'!L1003)</f>
        <v/>
      </c>
      <c r="P1003">
        <f>IF(ISBLANK('ENGAGEMENTS 2026'!B1003),"",'ENGAGEMENTS 2026'!J1003)</f>
        <v/>
      </c>
      <c r="Q1003">
        <f>IF($A1003="","",IF(OR($E1003="INFRUCTUEUX",$E1003="ANNULE"),$A1003&amp;"|"&amp;(COUNTIFS($A$2:$A1003,$A1003,$E$2:$E1003,"INFRUCTUEUX")+COUNTIFS($A$2:$A1003,$A1003,$E$2:$E1003,"ANNULE")),""))</f>
        <v/>
      </c>
    </row>
    <row r="1004">
      <c r="A1004">
        <f>IF(ISBLANK('ENGAGEMENTS 2026'!B1004),"",IF('ENGAGEMENTS 2026'!B1004="DTSI","DCT",'ENGAGEMENTS 2026'!B1004))</f>
        <v/>
      </c>
      <c r="B1004">
        <f>IF(ISBLANK('ENGAGEMENTS 2026'!B1004),"",'ENGAGEMENTS 2026'!C1004)</f>
        <v/>
      </c>
      <c r="C1004">
        <f>IF(ISBLANK('ENGAGEMENTS 2026'!B1004),"",'ENGAGEMENTS 2026'!D1004)</f>
        <v/>
      </c>
      <c r="D1004">
        <f>IF(ISBLANK('ENGAGEMENTS 2026'!B1004),"",'ENGAGEMENTS 2026'!F1004)</f>
        <v/>
      </c>
      <c r="E1004">
        <f>IF(ISBLANK('ENGAGEMENTS 2026'!B1004),"",'ENGAGEMENTS 2026'!H1004)</f>
        <v/>
      </c>
      <c r="F1004">
        <f>IF(ISBLANK('ENGAGEMENTS 2026'!B1004),"",'ENGAGEMENTS 2026'!I1004)</f>
        <v/>
      </c>
      <c r="G1004">
        <f>IF(ISBLANK('ENGAGEMENTS 2026'!B1004),"",'ENGAGEMENTS 2026'!L1004)</f>
        <v/>
      </c>
      <c r="H1004">
        <f>IF(ISBLANK('ENGAGEMENTS 2026'!B1004),"",'ENGAGEMENTS 2026'!AE1004)</f>
        <v/>
      </c>
      <c r="I1004">
        <f>IF(ISBLANK('ENGAGEMENTS 2026'!B1004),"",'ENGAGEMENTS 2026'!G1004)</f>
        <v/>
      </c>
      <c r="J1004" s="275">
        <f>IF(ISBLANK('ENGAGEMENTS 2026'!B1004),"",IF(AND(OR($E1004="INFRUCTUEUX",$E1004="ANNULE"),$C1004="AOO-M"),'ENGAGEMENTS 2026'!O1004,IF($H1004="EN COURS DE PREENGAGEMENT",'ENGAGEMENTS 2026'!N1004,IF($H1004="PREENGAGE",IF($E1004="ATTRIBUE",'ENGAGEMENTS 2026'!AD1004,'ENGAGEMENTS 2026'!N1004),'ENGAGEMENTS 2026'!AD1004))))</f>
        <v/>
      </c>
      <c r="K1004" s="604">
        <f>IF(ISBLANK('ENGAGEMENTS 2026'!V1004),"",'ENGAGEMENTS 2026'!V1004)</f>
        <v/>
      </c>
      <c r="L1004" s="276">
        <f>IF($K1004="","",TODAY()-$K1004)</f>
        <v/>
      </c>
      <c r="M1004">
        <f>IF($A1004="","",IF($H1004="ENGAGE","Engagé",IF(AND($H1004="NON ENGAGE",OR($I1004="INFRUCTUEUX",$I1004="ANNULE")),"Clôturé sans suite","En cours")))</f>
        <v/>
      </c>
      <c r="N1004">
        <f>IF(ISBLANK('ENGAGEMENTS 2026'!B1004),"",'ENGAGEMENTS 2026'!K1004)</f>
        <v/>
      </c>
      <c r="O1004">
        <f>IF(ISBLANK('ENGAGEMENTS 2026'!B1004),"",'ENGAGEMENTS 2026'!L1004)</f>
        <v/>
      </c>
      <c r="P1004">
        <f>IF(ISBLANK('ENGAGEMENTS 2026'!B1004),"",'ENGAGEMENTS 2026'!J1004)</f>
        <v/>
      </c>
      <c r="Q1004">
        <f>IF($A1004="","",IF(OR($E1004="INFRUCTUEUX",$E1004="ANNULE"),$A1004&amp;"|"&amp;(COUNTIFS($A$2:$A1004,$A1004,$E$2:$E1004,"INFRUCTUEUX")+COUNTIFS($A$2:$A1004,$A1004,$E$2:$E1004,"ANNULE")),""))</f>
        <v/>
      </c>
    </row>
    <row r="1005">
      <c r="A1005">
        <f>IF(ISBLANK('ENGAGEMENTS 2026'!B1005),"",IF('ENGAGEMENTS 2026'!B1005="DTSI","DCT",'ENGAGEMENTS 2026'!B1005))</f>
        <v/>
      </c>
      <c r="B1005">
        <f>IF(ISBLANK('ENGAGEMENTS 2026'!B1005),"",'ENGAGEMENTS 2026'!C1005)</f>
        <v/>
      </c>
      <c r="C1005">
        <f>IF(ISBLANK('ENGAGEMENTS 2026'!B1005),"",'ENGAGEMENTS 2026'!D1005)</f>
        <v/>
      </c>
      <c r="D1005">
        <f>IF(ISBLANK('ENGAGEMENTS 2026'!B1005),"",'ENGAGEMENTS 2026'!F1005)</f>
        <v/>
      </c>
      <c r="E1005">
        <f>IF(ISBLANK('ENGAGEMENTS 2026'!B1005),"",'ENGAGEMENTS 2026'!H1005)</f>
        <v/>
      </c>
      <c r="F1005">
        <f>IF(ISBLANK('ENGAGEMENTS 2026'!B1005),"",'ENGAGEMENTS 2026'!I1005)</f>
        <v/>
      </c>
      <c r="G1005">
        <f>IF(ISBLANK('ENGAGEMENTS 2026'!B1005),"",'ENGAGEMENTS 2026'!L1005)</f>
        <v/>
      </c>
      <c r="H1005">
        <f>IF(ISBLANK('ENGAGEMENTS 2026'!B1005),"",'ENGAGEMENTS 2026'!AE1005)</f>
        <v/>
      </c>
      <c r="I1005">
        <f>IF(ISBLANK('ENGAGEMENTS 2026'!B1005),"",'ENGAGEMENTS 2026'!G1005)</f>
        <v/>
      </c>
      <c r="J1005" s="275">
        <f>IF(ISBLANK('ENGAGEMENTS 2026'!B1005),"",IF(AND(OR($E1005="INFRUCTUEUX",$E1005="ANNULE"),$C1005="AOO-M"),'ENGAGEMENTS 2026'!O1005,IF($H1005="EN COURS DE PREENGAGEMENT",'ENGAGEMENTS 2026'!N1005,IF($H1005="PREENGAGE",IF($E1005="ATTRIBUE",'ENGAGEMENTS 2026'!AD1005,'ENGAGEMENTS 2026'!N1005),'ENGAGEMENTS 2026'!AD1005))))</f>
        <v/>
      </c>
      <c r="K1005" s="604">
        <f>IF(ISBLANK('ENGAGEMENTS 2026'!V1005),"",'ENGAGEMENTS 2026'!V1005)</f>
        <v/>
      </c>
      <c r="L1005" s="276">
        <f>IF($K1005="","",TODAY()-$K1005)</f>
        <v/>
      </c>
      <c r="M1005">
        <f>IF($A1005="","",IF($H1005="ENGAGE","Engagé",IF(AND($H1005="NON ENGAGE",OR($I1005="INFRUCTUEUX",$I1005="ANNULE")),"Clôturé sans suite","En cours")))</f>
        <v/>
      </c>
      <c r="N1005">
        <f>IF(ISBLANK('ENGAGEMENTS 2026'!B1005),"",'ENGAGEMENTS 2026'!K1005)</f>
        <v/>
      </c>
      <c r="O1005">
        <f>IF(ISBLANK('ENGAGEMENTS 2026'!B1005),"",'ENGAGEMENTS 2026'!L1005)</f>
        <v/>
      </c>
      <c r="P1005">
        <f>IF(ISBLANK('ENGAGEMENTS 2026'!B1005),"",'ENGAGEMENTS 2026'!J1005)</f>
        <v/>
      </c>
      <c r="Q1005">
        <f>IF($A1005="","",IF(OR($E1005="INFRUCTUEUX",$E1005="ANNULE"),$A1005&amp;"|"&amp;(COUNTIFS($A$2:$A1005,$A1005,$E$2:$E1005,"INFRUCTUEUX")+COUNTIFS($A$2:$A1005,$A1005,$E$2:$E1005,"ANNULE")),""))</f>
        <v/>
      </c>
    </row>
    <row r="1006">
      <c r="A1006">
        <f>IF(ISBLANK('ENGAGEMENTS 2026'!B1006),"",IF('ENGAGEMENTS 2026'!B1006="DTSI","DCT",'ENGAGEMENTS 2026'!B1006))</f>
        <v/>
      </c>
      <c r="B1006">
        <f>IF(ISBLANK('ENGAGEMENTS 2026'!B1006),"",'ENGAGEMENTS 2026'!C1006)</f>
        <v/>
      </c>
      <c r="C1006">
        <f>IF(ISBLANK('ENGAGEMENTS 2026'!B1006),"",'ENGAGEMENTS 2026'!D1006)</f>
        <v/>
      </c>
      <c r="D1006">
        <f>IF(ISBLANK('ENGAGEMENTS 2026'!B1006),"",'ENGAGEMENTS 2026'!F1006)</f>
        <v/>
      </c>
      <c r="E1006">
        <f>IF(ISBLANK('ENGAGEMENTS 2026'!B1006),"",'ENGAGEMENTS 2026'!H1006)</f>
        <v/>
      </c>
      <c r="F1006">
        <f>IF(ISBLANK('ENGAGEMENTS 2026'!B1006),"",'ENGAGEMENTS 2026'!I1006)</f>
        <v/>
      </c>
      <c r="G1006">
        <f>IF(ISBLANK('ENGAGEMENTS 2026'!B1006),"",'ENGAGEMENTS 2026'!L1006)</f>
        <v/>
      </c>
      <c r="H1006">
        <f>IF(ISBLANK('ENGAGEMENTS 2026'!B1006),"",'ENGAGEMENTS 2026'!AE1006)</f>
        <v/>
      </c>
      <c r="I1006">
        <f>IF(ISBLANK('ENGAGEMENTS 2026'!B1006),"",'ENGAGEMENTS 2026'!G1006)</f>
        <v/>
      </c>
      <c r="J1006" s="275">
        <f>IF(ISBLANK('ENGAGEMENTS 2026'!B1006),"",IF(AND(OR($E1006="INFRUCTUEUX",$E1006="ANNULE"),$C1006="AOO-M"),'ENGAGEMENTS 2026'!O1006,IF($H1006="EN COURS DE PREENGAGEMENT",'ENGAGEMENTS 2026'!N1006,IF($H1006="PREENGAGE",IF($E1006="ATTRIBUE",'ENGAGEMENTS 2026'!AD1006,'ENGAGEMENTS 2026'!N1006),'ENGAGEMENTS 2026'!AD1006))))</f>
        <v/>
      </c>
      <c r="K1006" s="604">
        <f>IF(ISBLANK('ENGAGEMENTS 2026'!V1006),"",'ENGAGEMENTS 2026'!V1006)</f>
        <v/>
      </c>
      <c r="L1006" s="276">
        <f>IF($K1006="","",TODAY()-$K1006)</f>
        <v/>
      </c>
      <c r="M1006">
        <f>IF($A1006="","",IF($H1006="ENGAGE","Engagé",IF(AND($H1006="NON ENGAGE",OR($I1006="INFRUCTUEUX",$I1006="ANNULE")),"Clôturé sans suite","En cours")))</f>
        <v/>
      </c>
      <c r="N1006">
        <f>IF(ISBLANK('ENGAGEMENTS 2026'!B1006),"",'ENGAGEMENTS 2026'!K1006)</f>
        <v/>
      </c>
      <c r="O1006">
        <f>IF(ISBLANK('ENGAGEMENTS 2026'!B1006),"",'ENGAGEMENTS 2026'!L1006)</f>
        <v/>
      </c>
      <c r="P1006">
        <f>IF(ISBLANK('ENGAGEMENTS 2026'!B1006),"",'ENGAGEMENTS 2026'!J1006)</f>
        <v/>
      </c>
      <c r="Q1006">
        <f>IF($A1006="","",IF(OR($E1006="INFRUCTUEUX",$E1006="ANNULE"),$A1006&amp;"|"&amp;(COUNTIFS($A$2:$A1006,$A1006,$E$2:$E1006,"INFRUCTUEUX")+COUNTIFS($A$2:$A1006,$A1006,$E$2:$E1006,"ANNULE")),""))</f>
        <v/>
      </c>
    </row>
    <row r="1007">
      <c r="A1007">
        <f>IF(ISBLANK('ENGAGEMENTS 2026'!B1007),"",IF('ENGAGEMENTS 2026'!B1007="DTSI","DCT",'ENGAGEMENTS 2026'!B1007))</f>
        <v/>
      </c>
      <c r="B1007">
        <f>IF(ISBLANK('ENGAGEMENTS 2026'!B1007),"",'ENGAGEMENTS 2026'!C1007)</f>
        <v/>
      </c>
      <c r="C1007">
        <f>IF(ISBLANK('ENGAGEMENTS 2026'!B1007),"",'ENGAGEMENTS 2026'!D1007)</f>
        <v/>
      </c>
      <c r="D1007">
        <f>IF(ISBLANK('ENGAGEMENTS 2026'!B1007),"",'ENGAGEMENTS 2026'!F1007)</f>
        <v/>
      </c>
      <c r="E1007">
        <f>IF(ISBLANK('ENGAGEMENTS 2026'!B1007),"",'ENGAGEMENTS 2026'!H1007)</f>
        <v/>
      </c>
      <c r="F1007">
        <f>IF(ISBLANK('ENGAGEMENTS 2026'!B1007),"",'ENGAGEMENTS 2026'!I1007)</f>
        <v/>
      </c>
      <c r="G1007">
        <f>IF(ISBLANK('ENGAGEMENTS 2026'!B1007),"",'ENGAGEMENTS 2026'!L1007)</f>
        <v/>
      </c>
      <c r="H1007">
        <f>IF(ISBLANK('ENGAGEMENTS 2026'!B1007),"",'ENGAGEMENTS 2026'!AE1007)</f>
        <v/>
      </c>
      <c r="I1007">
        <f>IF(ISBLANK('ENGAGEMENTS 2026'!B1007),"",'ENGAGEMENTS 2026'!G1007)</f>
        <v/>
      </c>
      <c r="J1007" s="275">
        <f>IF(ISBLANK('ENGAGEMENTS 2026'!B1007),"",IF(AND(OR($E1007="INFRUCTUEUX",$E1007="ANNULE"),$C1007="AOO-M"),'ENGAGEMENTS 2026'!O1007,IF($H1007="EN COURS DE PREENGAGEMENT",'ENGAGEMENTS 2026'!N1007,IF($H1007="PREENGAGE",IF($E1007="ATTRIBUE",'ENGAGEMENTS 2026'!AD1007,'ENGAGEMENTS 2026'!N1007),'ENGAGEMENTS 2026'!AD1007))))</f>
        <v/>
      </c>
      <c r="K1007" s="604">
        <f>IF(ISBLANK('ENGAGEMENTS 2026'!V1007),"",'ENGAGEMENTS 2026'!V1007)</f>
        <v/>
      </c>
      <c r="L1007" s="276">
        <f>IF($K1007="","",TODAY()-$K1007)</f>
        <v/>
      </c>
      <c r="M1007">
        <f>IF($A1007="","",IF($H1007="ENGAGE","Engagé",IF(AND($H1007="NON ENGAGE",OR($I1007="INFRUCTUEUX",$I1007="ANNULE")),"Clôturé sans suite","En cours")))</f>
        <v/>
      </c>
      <c r="N1007">
        <f>IF(ISBLANK('ENGAGEMENTS 2026'!B1007),"",'ENGAGEMENTS 2026'!K1007)</f>
        <v/>
      </c>
      <c r="O1007">
        <f>IF(ISBLANK('ENGAGEMENTS 2026'!B1007),"",'ENGAGEMENTS 2026'!L1007)</f>
        <v/>
      </c>
      <c r="P1007">
        <f>IF(ISBLANK('ENGAGEMENTS 2026'!B1007),"",'ENGAGEMENTS 2026'!J1007)</f>
        <v/>
      </c>
      <c r="Q1007">
        <f>IF($A1007="","",IF(OR($E1007="INFRUCTUEUX",$E1007="ANNULE"),$A1007&amp;"|"&amp;(COUNTIFS($A$2:$A1007,$A1007,$E$2:$E1007,"INFRUCTUEUX")+COUNTIFS($A$2:$A1007,$A1007,$E$2:$E1007,"ANNULE")),""))</f>
        <v/>
      </c>
    </row>
    <row r="1008">
      <c r="A1008">
        <f>IF(ISBLANK('ENGAGEMENTS 2026'!B1008),"",IF('ENGAGEMENTS 2026'!B1008="DTSI","DCT",'ENGAGEMENTS 2026'!B1008))</f>
        <v/>
      </c>
      <c r="B1008">
        <f>IF(ISBLANK('ENGAGEMENTS 2026'!B1008),"",'ENGAGEMENTS 2026'!C1008)</f>
        <v/>
      </c>
      <c r="C1008">
        <f>IF(ISBLANK('ENGAGEMENTS 2026'!B1008),"",'ENGAGEMENTS 2026'!D1008)</f>
        <v/>
      </c>
      <c r="D1008">
        <f>IF(ISBLANK('ENGAGEMENTS 2026'!B1008),"",'ENGAGEMENTS 2026'!F1008)</f>
        <v/>
      </c>
      <c r="E1008">
        <f>IF(ISBLANK('ENGAGEMENTS 2026'!B1008),"",'ENGAGEMENTS 2026'!H1008)</f>
        <v/>
      </c>
      <c r="F1008">
        <f>IF(ISBLANK('ENGAGEMENTS 2026'!B1008),"",'ENGAGEMENTS 2026'!I1008)</f>
        <v/>
      </c>
      <c r="G1008">
        <f>IF(ISBLANK('ENGAGEMENTS 2026'!B1008),"",'ENGAGEMENTS 2026'!L1008)</f>
        <v/>
      </c>
      <c r="H1008">
        <f>IF(ISBLANK('ENGAGEMENTS 2026'!B1008),"",'ENGAGEMENTS 2026'!AE1008)</f>
        <v/>
      </c>
      <c r="I1008">
        <f>IF(ISBLANK('ENGAGEMENTS 2026'!B1008),"",'ENGAGEMENTS 2026'!G1008)</f>
        <v/>
      </c>
      <c r="J1008" s="275">
        <f>IF(ISBLANK('ENGAGEMENTS 2026'!B1008),"",IF(AND(OR($E1008="INFRUCTUEUX",$E1008="ANNULE"),$C1008="AOO-M"),'ENGAGEMENTS 2026'!O1008,IF($H1008="EN COURS DE PREENGAGEMENT",'ENGAGEMENTS 2026'!N1008,IF($H1008="PREENGAGE",IF($E1008="ATTRIBUE",'ENGAGEMENTS 2026'!AD1008,'ENGAGEMENTS 2026'!N1008),'ENGAGEMENTS 2026'!AD1008))))</f>
        <v/>
      </c>
      <c r="K1008" s="604">
        <f>IF(ISBLANK('ENGAGEMENTS 2026'!V1008),"",'ENGAGEMENTS 2026'!V1008)</f>
        <v/>
      </c>
      <c r="L1008" s="276">
        <f>IF($K1008="","",TODAY()-$K1008)</f>
        <v/>
      </c>
      <c r="M1008">
        <f>IF($A1008="","",IF($H1008="ENGAGE","Engagé",IF(AND($H1008="NON ENGAGE",OR($I1008="INFRUCTUEUX",$I1008="ANNULE")),"Clôturé sans suite","En cours")))</f>
        <v/>
      </c>
      <c r="N1008">
        <f>IF(ISBLANK('ENGAGEMENTS 2026'!B1008),"",'ENGAGEMENTS 2026'!K1008)</f>
        <v/>
      </c>
      <c r="O1008">
        <f>IF(ISBLANK('ENGAGEMENTS 2026'!B1008),"",'ENGAGEMENTS 2026'!L1008)</f>
        <v/>
      </c>
      <c r="P1008">
        <f>IF(ISBLANK('ENGAGEMENTS 2026'!B1008),"",'ENGAGEMENTS 2026'!J1008)</f>
        <v/>
      </c>
      <c r="Q1008">
        <f>IF($A1008="","",IF(OR($E1008="INFRUCTUEUX",$E1008="ANNULE"),$A1008&amp;"|"&amp;(COUNTIFS($A$2:$A1008,$A1008,$E$2:$E1008,"INFRUCTUEUX")+COUNTIFS($A$2:$A1008,$A1008,$E$2:$E1008,"ANNULE")),""))</f>
        <v/>
      </c>
    </row>
    <row r="1009">
      <c r="A1009">
        <f>IF(ISBLANK('ENGAGEMENTS 2026'!B1009),"",IF('ENGAGEMENTS 2026'!B1009="DTSI","DCT",'ENGAGEMENTS 2026'!B1009))</f>
        <v/>
      </c>
      <c r="B1009">
        <f>IF(ISBLANK('ENGAGEMENTS 2026'!B1009),"",'ENGAGEMENTS 2026'!C1009)</f>
        <v/>
      </c>
      <c r="C1009">
        <f>IF(ISBLANK('ENGAGEMENTS 2026'!B1009),"",'ENGAGEMENTS 2026'!D1009)</f>
        <v/>
      </c>
      <c r="D1009">
        <f>IF(ISBLANK('ENGAGEMENTS 2026'!B1009),"",'ENGAGEMENTS 2026'!F1009)</f>
        <v/>
      </c>
      <c r="E1009">
        <f>IF(ISBLANK('ENGAGEMENTS 2026'!B1009),"",'ENGAGEMENTS 2026'!H1009)</f>
        <v/>
      </c>
      <c r="F1009">
        <f>IF(ISBLANK('ENGAGEMENTS 2026'!B1009),"",'ENGAGEMENTS 2026'!I1009)</f>
        <v/>
      </c>
      <c r="G1009">
        <f>IF(ISBLANK('ENGAGEMENTS 2026'!B1009),"",'ENGAGEMENTS 2026'!L1009)</f>
        <v/>
      </c>
      <c r="H1009">
        <f>IF(ISBLANK('ENGAGEMENTS 2026'!B1009),"",'ENGAGEMENTS 2026'!AE1009)</f>
        <v/>
      </c>
      <c r="I1009">
        <f>IF(ISBLANK('ENGAGEMENTS 2026'!B1009),"",'ENGAGEMENTS 2026'!G1009)</f>
        <v/>
      </c>
      <c r="J1009" s="275">
        <f>IF(ISBLANK('ENGAGEMENTS 2026'!B1009),"",IF(AND(OR($E1009="INFRUCTUEUX",$E1009="ANNULE"),$C1009="AOO-M"),'ENGAGEMENTS 2026'!O1009,IF($H1009="EN COURS DE PREENGAGEMENT",'ENGAGEMENTS 2026'!N1009,IF($H1009="PREENGAGE",IF($E1009="ATTRIBUE",'ENGAGEMENTS 2026'!AD1009,'ENGAGEMENTS 2026'!N1009),'ENGAGEMENTS 2026'!AD1009))))</f>
        <v/>
      </c>
      <c r="K1009" s="604">
        <f>IF(ISBLANK('ENGAGEMENTS 2026'!V1009),"",'ENGAGEMENTS 2026'!V1009)</f>
        <v/>
      </c>
      <c r="L1009" s="276">
        <f>IF($K1009="","",TODAY()-$K1009)</f>
        <v/>
      </c>
      <c r="M1009">
        <f>IF($A1009="","",IF($H1009="ENGAGE","Engagé",IF(AND($H1009="NON ENGAGE",OR($I1009="INFRUCTUEUX",$I1009="ANNULE")),"Clôturé sans suite","En cours")))</f>
        <v/>
      </c>
      <c r="N1009">
        <f>IF(ISBLANK('ENGAGEMENTS 2026'!B1009),"",'ENGAGEMENTS 2026'!K1009)</f>
        <v/>
      </c>
      <c r="O1009">
        <f>IF(ISBLANK('ENGAGEMENTS 2026'!B1009),"",'ENGAGEMENTS 2026'!L1009)</f>
        <v/>
      </c>
      <c r="P1009">
        <f>IF(ISBLANK('ENGAGEMENTS 2026'!B1009),"",'ENGAGEMENTS 2026'!J1009)</f>
        <v/>
      </c>
      <c r="Q1009">
        <f>IF($A1009="","",IF(OR($E1009="INFRUCTUEUX",$E1009="ANNULE"),$A1009&amp;"|"&amp;(COUNTIFS($A$2:$A1009,$A1009,$E$2:$E1009,"INFRUCTUEUX")+COUNTIFS($A$2:$A1009,$A1009,$E$2:$E1009,"ANNULE")),""))</f>
        <v/>
      </c>
    </row>
    <row r="1010">
      <c r="A1010">
        <f>IF(ISBLANK('ENGAGEMENTS 2026'!B1010),"",IF('ENGAGEMENTS 2026'!B1010="DTSI","DCT",'ENGAGEMENTS 2026'!B1010))</f>
        <v/>
      </c>
      <c r="B1010">
        <f>IF(ISBLANK('ENGAGEMENTS 2026'!B1010),"",'ENGAGEMENTS 2026'!C1010)</f>
        <v/>
      </c>
      <c r="C1010">
        <f>IF(ISBLANK('ENGAGEMENTS 2026'!B1010),"",'ENGAGEMENTS 2026'!D1010)</f>
        <v/>
      </c>
      <c r="D1010">
        <f>IF(ISBLANK('ENGAGEMENTS 2026'!B1010),"",'ENGAGEMENTS 2026'!F1010)</f>
        <v/>
      </c>
      <c r="E1010">
        <f>IF(ISBLANK('ENGAGEMENTS 2026'!B1010),"",'ENGAGEMENTS 2026'!H1010)</f>
        <v/>
      </c>
      <c r="F1010">
        <f>IF(ISBLANK('ENGAGEMENTS 2026'!B1010),"",'ENGAGEMENTS 2026'!I1010)</f>
        <v/>
      </c>
      <c r="G1010">
        <f>IF(ISBLANK('ENGAGEMENTS 2026'!B1010),"",'ENGAGEMENTS 2026'!L1010)</f>
        <v/>
      </c>
      <c r="H1010">
        <f>IF(ISBLANK('ENGAGEMENTS 2026'!B1010),"",'ENGAGEMENTS 2026'!AE1010)</f>
        <v/>
      </c>
      <c r="I1010">
        <f>IF(ISBLANK('ENGAGEMENTS 2026'!B1010),"",'ENGAGEMENTS 2026'!G1010)</f>
        <v/>
      </c>
      <c r="J1010" s="275">
        <f>IF(ISBLANK('ENGAGEMENTS 2026'!B1010),"",IF(AND(OR($E1010="INFRUCTUEUX",$E1010="ANNULE"),$C1010="AOO-M"),'ENGAGEMENTS 2026'!O1010,IF($H1010="EN COURS DE PREENGAGEMENT",'ENGAGEMENTS 2026'!N1010,IF($H1010="PREENGAGE",IF($E1010="ATTRIBUE",'ENGAGEMENTS 2026'!AD1010,'ENGAGEMENTS 2026'!N1010),'ENGAGEMENTS 2026'!AD1010))))</f>
        <v/>
      </c>
      <c r="K1010" s="604">
        <f>IF(ISBLANK('ENGAGEMENTS 2026'!V1010),"",'ENGAGEMENTS 2026'!V1010)</f>
        <v/>
      </c>
      <c r="L1010" s="276">
        <f>IF($K1010="","",TODAY()-$K1010)</f>
        <v/>
      </c>
      <c r="M1010">
        <f>IF($A1010="","",IF($H1010="ENGAGE","Engagé",IF(AND($H1010="NON ENGAGE",OR($I1010="INFRUCTUEUX",$I1010="ANNULE")),"Clôturé sans suite","En cours")))</f>
        <v/>
      </c>
      <c r="N1010">
        <f>IF(ISBLANK('ENGAGEMENTS 2026'!B1010),"",'ENGAGEMENTS 2026'!K1010)</f>
        <v/>
      </c>
      <c r="O1010">
        <f>IF(ISBLANK('ENGAGEMENTS 2026'!B1010),"",'ENGAGEMENTS 2026'!L1010)</f>
        <v/>
      </c>
      <c r="P1010">
        <f>IF(ISBLANK('ENGAGEMENTS 2026'!B1010),"",'ENGAGEMENTS 2026'!J1010)</f>
        <v/>
      </c>
      <c r="Q1010">
        <f>IF($A1010="","",IF(OR($E1010="INFRUCTUEUX",$E1010="ANNULE"),$A1010&amp;"|"&amp;(COUNTIFS($A$2:$A1010,$A1010,$E$2:$E1010,"INFRUCTUEUX")+COUNTIFS($A$2:$A1010,$A1010,$E$2:$E1010,"ANNULE")),""))</f>
        <v/>
      </c>
    </row>
    <row r="1011">
      <c r="A1011">
        <f>IF(ISBLANK('ENGAGEMENTS 2026'!B1011),"",IF('ENGAGEMENTS 2026'!B1011="DTSI","DCT",'ENGAGEMENTS 2026'!B1011))</f>
        <v/>
      </c>
      <c r="B1011">
        <f>IF(ISBLANK('ENGAGEMENTS 2026'!B1011),"",'ENGAGEMENTS 2026'!C1011)</f>
        <v/>
      </c>
      <c r="C1011">
        <f>IF(ISBLANK('ENGAGEMENTS 2026'!B1011),"",'ENGAGEMENTS 2026'!D1011)</f>
        <v/>
      </c>
      <c r="D1011">
        <f>IF(ISBLANK('ENGAGEMENTS 2026'!B1011),"",'ENGAGEMENTS 2026'!F1011)</f>
        <v/>
      </c>
      <c r="E1011">
        <f>IF(ISBLANK('ENGAGEMENTS 2026'!B1011),"",'ENGAGEMENTS 2026'!H1011)</f>
        <v/>
      </c>
      <c r="F1011">
        <f>IF(ISBLANK('ENGAGEMENTS 2026'!B1011),"",'ENGAGEMENTS 2026'!I1011)</f>
        <v/>
      </c>
      <c r="G1011">
        <f>IF(ISBLANK('ENGAGEMENTS 2026'!B1011),"",'ENGAGEMENTS 2026'!L1011)</f>
        <v/>
      </c>
      <c r="H1011">
        <f>IF(ISBLANK('ENGAGEMENTS 2026'!B1011),"",'ENGAGEMENTS 2026'!AE1011)</f>
        <v/>
      </c>
      <c r="I1011">
        <f>IF(ISBLANK('ENGAGEMENTS 2026'!B1011),"",'ENGAGEMENTS 2026'!G1011)</f>
        <v/>
      </c>
      <c r="J1011" s="275">
        <f>IF(ISBLANK('ENGAGEMENTS 2026'!B1011),"",IF(AND(OR($E1011="INFRUCTUEUX",$E1011="ANNULE"),$C1011="AOO-M"),'ENGAGEMENTS 2026'!O1011,IF($H1011="EN COURS DE PREENGAGEMENT",'ENGAGEMENTS 2026'!N1011,IF($H1011="PREENGAGE",IF($E1011="ATTRIBUE",'ENGAGEMENTS 2026'!AD1011,'ENGAGEMENTS 2026'!N1011),'ENGAGEMENTS 2026'!AD1011))))</f>
        <v/>
      </c>
      <c r="K1011" s="604">
        <f>IF(ISBLANK('ENGAGEMENTS 2026'!V1011),"",'ENGAGEMENTS 2026'!V1011)</f>
        <v/>
      </c>
      <c r="L1011" s="276">
        <f>IF($K1011="","",TODAY()-$K1011)</f>
        <v/>
      </c>
      <c r="M1011">
        <f>IF($A1011="","",IF($H1011="ENGAGE","Engagé",IF(AND($H1011="NON ENGAGE",OR($I1011="INFRUCTUEUX",$I1011="ANNULE")),"Clôturé sans suite","En cours")))</f>
        <v/>
      </c>
      <c r="N1011">
        <f>IF(ISBLANK('ENGAGEMENTS 2026'!B1011),"",'ENGAGEMENTS 2026'!K1011)</f>
        <v/>
      </c>
      <c r="O1011">
        <f>IF(ISBLANK('ENGAGEMENTS 2026'!B1011),"",'ENGAGEMENTS 2026'!L1011)</f>
        <v/>
      </c>
      <c r="P1011">
        <f>IF(ISBLANK('ENGAGEMENTS 2026'!B1011),"",'ENGAGEMENTS 2026'!J1011)</f>
        <v/>
      </c>
      <c r="Q1011">
        <f>IF($A1011="","",IF(OR($E1011="INFRUCTUEUX",$E1011="ANNULE"),$A1011&amp;"|"&amp;(COUNTIFS($A$2:$A1011,$A1011,$E$2:$E1011,"INFRUCTUEUX")+COUNTIFS($A$2:$A1011,$A1011,$E$2:$E1011,"ANNULE")),""))</f>
        <v/>
      </c>
    </row>
    <row r="1012">
      <c r="A1012">
        <f>IF(ISBLANK('ENGAGEMENTS 2026'!B1012),"",IF('ENGAGEMENTS 2026'!B1012="DTSI","DCT",'ENGAGEMENTS 2026'!B1012))</f>
        <v/>
      </c>
      <c r="B1012">
        <f>IF(ISBLANK('ENGAGEMENTS 2026'!B1012),"",'ENGAGEMENTS 2026'!C1012)</f>
        <v/>
      </c>
      <c r="C1012">
        <f>IF(ISBLANK('ENGAGEMENTS 2026'!B1012),"",'ENGAGEMENTS 2026'!D1012)</f>
        <v/>
      </c>
      <c r="D1012">
        <f>IF(ISBLANK('ENGAGEMENTS 2026'!B1012),"",'ENGAGEMENTS 2026'!F1012)</f>
        <v/>
      </c>
      <c r="E1012">
        <f>IF(ISBLANK('ENGAGEMENTS 2026'!B1012),"",'ENGAGEMENTS 2026'!H1012)</f>
        <v/>
      </c>
      <c r="F1012">
        <f>IF(ISBLANK('ENGAGEMENTS 2026'!B1012),"",'ENGAGEMENTS 2026'!I1012)</f>
        <v/>
      </c>
      <c r="G1012">
        <f>IF(ISBLANK('ENGAGEMENTS 2026'!B1012),"",'ENGAGEMENTS 2026'!L1012)</f>
        <v/>
      </c>
      <c r="H1012">
        <f>IF(ISBLANK('ENGAGEMENTS 2026'!B1012),"",'ENGAGEMENTS 2026'!AE1012)</f>
        <v/>
      </c>
      <c r="I1012">
        <f>IF(ISBLANK('ENGAGEMENTS 2026'!B1012),"",'ENGAGEMENTS 2026'!G1012)</f>
        <v/>
      </c>
      <c r="J1012" s="275">
        <f>IF(ISBLANK('ENGAGEMENTS 2026'!B1012),"",IF(AND(OR($E1012="INFRUCTUEUX",$E1012="ANNULE"),$C1012="AOO-M"),'ENGAGEMENTS 2026'!O1012,IF($H1012="EN COURS DE PREENGAGEMENT",'ENGAGEMENTS 2026'!N1012,IF($H1012="PREENGAGE",IF($E1012="ATTRIBUE",'ENGAGEMENTS 2026'!AD1012,'ENGAGEMENTS 2026'!N1012),'ENGAGEMENTS 2026'!AD1012))))</f>
        <v/>
      </c>
      <c r="K1012" s="604">
        <f>IF(ISBLANK('ENGAGEMENTS 2026'!V1012),"",'ENGAGEMENTS 2026'!V1012)</f>
        <v/>
      </c>
      <c r="L1012" s="276">
        <f>IF($K1012="","",TODAY()-$K1012)</f>
        <v/>
      </c>
      <c r="M1012">
        <f>IF($A1012="","",IF($H1012="ENGAGE","Engagé",IF(AND($H1012="NON ENGAGE",OR($I1012="INFRUCTUEUX",$I1012="ANNULE")),"Clôturé sans suite","En cours")))</f>
        <v/>
      </c>
      <c r="N1012">
        <f>IF(ISBLANK('ENGAGEMENTS 2026'!B1012),"",'ENGAGEMENTS 2026'!K1012)</f>
        <v/>
      </c>
      <c r="O1012">
        <f>IF(ISBLANK('ENGAGEMENTS 2026'!B1012),"",'ENGAGEMENTS 2026'!L1012)</f>
        <v/>
      </c>
      <c r="P1012">
        <f>IF(ISBLANK('ENGAGEMENTS 2026'!B1012),"",'ENGAGEMENTS 2026'!J1012)</f>
        <v/>
      </c>
      <c r="Q1012">
        <f>IF($A1012="","",IF(OR($E1012="INFRUCTUEUX",$E1012="ANNULE"),$A1012&amp;"|"&amp;(COUNTIFS($A$2:$A1012,$A1012,$E$2:$E1012,"INFRUCTUEUX")+COUNTIFS($A$2:$A1012,$A1012,$E$2:$E1012,"ANNULE")),""))</f>
        <v/>
      </c>
    </row>
    <row r="1013">
      <c r="A1013">
        <f>IF(ISBLANK('ENGAGEMENTS 2026'!B1013),"",IF('ENGAGEMENTS 2026'!B1013="DTSI","DCT",'ENGAGEMENTS 2026'!B1013))</f>
        <v/>
      </c>
      <c r="B1013">
        <f>IF(ISBLANK('ENGAGEMENTS 2026'!B1013),"",'ENGAGEMENTS 2026'!C1013)</f>
        <v/>
      </c>
      <c r="C1013">
        <f>IF(ISBLANK('ENGAGEMENTS 2026'!B1013),"",'ENGAGEMENTS 2026'!D1013)</f>
        <v/>
      </c>
      <c r="D1013">
        <f>IF(ISBLANK('ENGAGEMENTS 2026'!B1013),"",'ENGAGEMENTS 2026'!F1013)</f>
        <v/>
      </c>
      <c r="E1013">
        <f>IF(ISBLANK('ENGAGEMENTS 2026'!B1013),"",'ENGAGEMENTS 2026'!H1013)</f>
        <v/>
      </c>
      <c r="F1013">
        <f>IF(ISBLANK('ENGAGEMENTS 2026'!B1013),"",'ENGAGEMENTS 2026'!I1013)</f>
        <v/>
      </c>
      <c r="G1013">
        <f>IF(ISBLANK('ENGAGEMENTS 2026'!B1013),"",'ENGAGEMENTS 2026'!L1013)</f>
        <v/>
      </c>
      <c r="H1013">
        <f>IF(ISBLANK('ENGAGEMENTS 2026'!B1013),"",'ENGAGEMENTS 2026'!AE1013)</f>
        <v/>
      </c>
      <c r="I1013">
        <f>IF(ISBLANK('ENGAGEMENTS 2026'!B1013),"",'ENGAGEMENTS 2026'!G1013)</f>
        <v/>
      </c>
      <c r="J1013" s="275">
        <f>IF(ISBLANK('ENGAGEMENTS 2026'!B1013),"",IF(AND(OR($E1013="INFRUCTUEUX",$E1013="ANNULE"),$C1013="AOO-M"),'ENGAGEMENTS 2026'!O1013,IF($H1013="EN COURS DE PREENGAGEMENT",'ENGAGEMENTS 2026'!N1013,IF($H1013="PREENGAGE",IF($E1013="ATTRIBUE",'ENGAGEMENTS 2026'!AD1013,'ENGAGEMENTS 2026'!N1013),'ENGAGEMENTS 2026'!AD1013))))</f>
        <v/>
      </c>
      <c r="K1013" s="604">
        <f>IF(ISBLANK('ENGAGEMENTS 2026'!V1013),"",'ENGAGEMENTS 2026'!V1013)</f>
        <v/>
      </c>
      <c r="L1013" s="276">
        <f>IF($K1013="","",TODAY()-$K1013)</f>
        <v/>
      </c>
      <c r="M1013">
        <f>IF($A1013="","",IF($H1013="ENGAGE","Engagé",IF(AND($H1013="NON ENGAGE",OR($I1013="INFRUCTUEUX",$I1013="ANNULE")),"Clôturé sans suite","En cours")))</f>
        <v/>
      </c>
      <c r="N1013">
        <f>IF(ISBLANK('ENGAGEMENTS 2026'!B1013),"",'ENGAGEMENTS 2026'!K1013)</f>
        <v/>
      </c>
      <c r="O1013">
        <f>IF(ISBLANK('ENGAGEMENTS 2026'!B1013),"",'ENGAGEMENTS 2026'!L1013)</f>
        <v/>
      </c>
      <c r="P1013">
        <f>IF(ISBLANK('ENGAGEMENTS 2026'!B1013),"",'ENGAGEMENTS 2026'!J1013)</f>
        <v/>
      </c>
      <c r="Q1013">
        <f>IF($A1013="","",IF(OR($E1013="INFRUCTUEUX",$E1013="ANNULE"),$A1013&amp;"|"&amp;(COUNTIFS($A$2:$A1013,$A1013,$E$2:$E1013,"INFRUCTUEUX")+COUNTIFS($A$2:$A1013,$A1013,$E$2:$E1013,"ANNULE")),""))</f>
        <v/>
      </c>
    </row>
    <row r="1014">
      <c r="A1014">
        <f>IF(ISBLANK('ENGAGEMENTS 2026'!B1014),"",IF('ENGAGEMENTS 2026'!B1014="DTSI","DCT",'ENGAGEMENTS 2026'!B1014))</f>
        <v/>
      </c>
      <c r="B1014">
        <f>IF(ISBLANK('ENGAGEMENTS 2026'!B1014),"",'ENGAGEMENTS 2026'!C1014)</f>
        <v/>
      </c>
      <c r="C1014">
        <f>IF(ISBLANK('ENGAGEMENTS 2026'!B1014),"",'ENGAGEMENTS 2026'!D1014)</f>
        <v/>
      </c>
      <c r="D1014">
        <f>IF(ISBLANK('ENGAGEMENTS 2026'!B1014),"",'ENGAGEMENTS 2026'!F1014)</f>
        <v/>
      </c>
      <c r="E1014">
        <f>IF(ISBLANK('ENGAGEMENTS 2026'!B1014),"",'ENGAGEMENTS 2026'!H1014)</f>
        <v/>
      </c>
      <c r="F1014">
        <f>IF(ISBLANK('ENGAGEMENTS 2026'!B1014),"",'ENGAGEMENTS 2026'!I1014)</f>
        <v/>
      </c>
      <c r="G1014">
        <f>IF(ISBLANK('ENGAGEMENTS 2026'!B1014),"",'ENGAGEMENTS 2026'!L1014)</f>
        <v/>
      </c>
      <c r="H1014">
        <f>IF(ISBLANK('ENGAGEMENTS 2026'!B1014),"",'ENGAGEMENTS 2026'!AE1014)</f>
        <v/>
      </c>
      <c r="I1014">
        <f>IF(ISBLANK('ENGAGEMENTS 2026'!B1014),"",'ENGAGEMENTS 2026'!G1014)</f>
        <v/>
      </c>
      <c r="J1014" s="275">
        <f>IF(ISBLANK('ENGAGEMENTS 2026'!B1014),"",IF(AND(OR($E1014="INFRUCTUEUX",$E1014="ANNULE"),$C1014="AOO-M"),'ENGAGEMENTS 2026'!O1014,IF($H1014="EN COURS DE PREENGAGEMENT",'ENGAGEMENTS 2026'!N1014,IF($H1014="PREENGAGE",IF($E1014="ATTRIBUE",'ENGAGEMENTS 2026'!AD1014,'ENGAGEMENTS 2026'!N1014),'ENGAGEMENTS 2026'!AD1014))))</f>
        <v/>
      </c>
      <c r="K1014" s="604">
        <f>IF(ISBLANK('ENGAGEMENTS 2026'!V1014),"",'ENGAGEMENTS 2026'!V1014)</f>
        <v/>
      </c>
      <c r="L1014" s="276">
        <f>IF($K1014="","",TODAY()-$K1014)</f>
        <v/>
      </c>
      <c r="M1014">
        <f>IF($A1014="","",IF($H1014="ENGAGE","Engagé",IF(AND($H1014="NON ENGAGE",OR($I1014="INFRUCTUEUX",$I1014="ANNULE")),"Clôturé sans suite","En cours")))</f>
        <v/>
      </c>
      <c r="N1014">
        <f>IF(ISBLANK('ENGAGEMENTS 2026'!B1014),"",'ENGAGEMENTS 2026'!K1014)</f>
        <v/>
      </c>
      <c r="O1014">
        <f>IF(ISBLANK('ENGAGEMENTS 2026'!B1014),"",'ENGAGEMENTS 2026'!L1014)</f>
        <v/>
      </c>
      <c r="P1014">
        <f>IF(ISBLANK('ENGAGEMENTS 2026'!B1014),"",'ENGAGEMENTS 2026'!J1014)</f>
        <v/>
      </c>
      <c r="Q1014">
        <f>IF($A1014="","",IF(OR($E1014="INFRUCTUEUX",$E1014="ANNULE"),$A1014&amp;"|"&amp;(COUNTIFS($A$2:$A1014,$A1014,$E$2:$E1014,"INFRUCTUEUX")+COUNTIFS($A$2:$A1014,$A1014,$E$2:$E1014,"ANNULE")),""))</f>
        <v/>
      </c>
    </row>
    <row r="1015">
      <c r="A1015">
        <f>IF(ISBLANK('ENGAGEMENTS 2026'!B1015),"",IF('ENGAGEMENTS 2026'!B1015="DTSI","DCT",'ENGAGEMENTS 2026'!B1015))</f>
        <v/>
      </c>
      <c r="B1015">
        <f>IF(ISBLANK('ENGAGEMENTS 2026'!B1015),"",'ENGAGEMENTS 2026'!C1015)</f>
        <v/>
      </c>
      <c r="C1015">
        <f>IF(ISBLANK('ENGAGEMENTS 2026'!B1015),"",'ENGAGEMENTS 2026'!D1015)</f>
        <v/>
      </c>
      <c r="D1015">
        <f>IF(ISBLANK('ENGAGEMENTS 2026'!B1015),"",'ENGAGEMENTS 2026'!F1015)</f>
        <v/>
      </c>
      <c r="E1015">
        <f>IF(ISBLANK('ENGAGEMENTS 2026'!B1015),"",'ENGAGEMENTS 2026'!H1015)</f>
        <v/>
      </c>
      <c r="F1015">
        <f>IF(ISBLANK('ENGAGEMENTS 2026'!B1015),"",'ENGAGEMENTS 2026'!I1015)</f>
        <v/>
      </c>
      <c r="G1015">
        <f>IF(ISBLANK('ENGAGEMENTS 2026'!B1015),"",'ENGAGEMENTS 2026'!L1015)</f>
        <v/>
      </c>
      <c r="H1015">
        <f>IF(ISBLANK('ENGAGEMENTS 2026'!B1015),"",'ENGAGEMENTS 2026'!AE1015)</f>
        <v/>
      </c>
      <c r="I1015">
        <f>IF(ISBLANK('ENGAGEMENTS 2026'!B1015),"",'ENGAGEMENTS 2026'!G1015)</f>
        <v/>
      </c>
      <c r="J1015" s="275">
        <f>IF(ISBLANK('ENGAGEMENTS 2026'!B1015),"",IF(AND(OR($E1015="INFRUCTUEUX",$E1015="ANNULE"),$C1015="AOO-M"),'ENGAGEMENTS 2026'!O1015,IF($H1015="EN COURS DE PREENGAGEMENT",'ENGAGEMENTS 2026'!N1015,IF($H1015="PREENGAGE",IF($E1015="ATTRIBUE",'ENGAGEMENTS 2026'!AD1015,'ENGAGEMENTS 2026'!N1015),'ENGAGEMENTS 2026'!AD1015))))</f>
        <v/>
      </c>
      <c r="K1015" s="604">
        <f>IF(ISBLANK('ENGAGEMENTS 2026'!V1015),"",'ENGAGEMENTS 2026'!V1015)</f>
        <v/>
      </c>
      <c r="L1015" s="276">
        <f>IF($K1015="","",TODAY()-$K1015)</f>
        <v/>
      </c>
      <c r="M1015">
        <f>IF($A1015="","",IF($H1015="ENGAGE","Engagé",IF(AND($H1015="NON ENGAGE",OR($I1015="INFRUCTUEUX",$I1015="ANNULE")),"Clôturé sans suite","En cours")))</f>
        <v/>
      </c>
      <c r="N1015">
        <f>IF(ISBLANK('ENGAGEMENTS 2026'!B1015),"",'ENGAGEMENTS 2026'!K1015)</f>
        <v/>
      </c>
      <c r="O1015">
        <f>IF(ISBLANK('ENGAGEMENTS 2026'!B1015),"",'ENGAGEMENTS 2026'!L1015)</f>
        <v/>
      </c>
      <c r="P1015">
        <f>IF(ISBLANK('ENGAGEMENTS 2026'!B1015),"",'ENGAGEMENTS 2026'!J1015)</f>
        <v/>
      </c>
      <c r="Q1015">
        <f>IF($A1015="","",IF(OR($E1015="INFRUCTUEUX",$E1015="ANNULE"),$A1015&amp;"|"&amp;(COUNTIFS($A$2:$A1015,$A1015,$E$2:$E1015,"INFRUCTUEUX")+COUNTIFS($A$2:$A1015,$A1015,$E$2:$E1015,"ANNULE")),""))</f>
        <v/>
      </c>
    </row>
    <row r="1016">
      <c r="A1016">
        <f>IF(ISBLANK('ENGAGEMENTS 2026'!B1016),"",IF('ENGAGEMENTS 2026'!B1016="DTSI","DCT",'ENGAGEMENTS 2026'!B1016))</f>
        <v/>
      </c>
      <c r="B1016">
        <f>IF(ISBLANK('ENGAGEMENTS 2026'!B1016),"",'ENGAGEMENTS 2026'!C1016)</f>
        <v/>
      </c>
      <c r="C1016">
        <f>IF(ISBLANK('ENGAGEMENTS 2026'!B1016),"",'ENGAGEMENTS 2026'!D1016)</f>
        <v/>
      </c>
      <c r="D1016">
        <f>IF(ISBLANK('ENGAGEMENTS 2026'!B1016),"",'ENGAGEMENTS 2026'!F1016)</f>
        <v/>
      </c>
      <c r="E1016">
        <f>IF(ISBLANK('ENGAGEMENTS 2026'!B1016),"",'ENGAGEMENTS 2026'!H1016)</f>
        <v/>
      </c>
      <c r="F1016">
        <f>IF(ISBLANK('ENGAGEMENTS 2026'!B1016),"",'ENGAGEMENTS 2026'!I1016)</f>
        <v/>
      </c>
      <c r="G1016">
        <f>IF(ISBLANK('ENGAGEMENTS 2026'!B1016),"",'ENGAGEMENTS 2026'!L1016)</f>
        <v/>
      </c>
      <c r="H1016">
        <f>IF(ISBLANK('ENGAGEMENTS 2026'!B1016),"",'ENGAGEMENTS 2026'!AE1016)</f>
        <v/>
      </c>
      <c r="I1016">
        <f>IF(ISBLANK('ENGAGEMENTS 2026'!B1016),"",'ENGAGEMENTS 2026'!G1016)</f>
        <v/>
      </c>
      <c r="J1016" s="275">
        <f>IF(ISBLANK('ENGAGEMENTS 2026'!B1016),"",IF(AND(OR($E1016="INFRUCTUEUX",$E1016="ANNULE"),$C1016="AOO-M"),'ENGAGEMENTS 2026'!O1016,IF($H1016="EN COURS DE PREENGAGEMENT",'ENGAGEMENTS 2026'!N1016,IF($H1016="PREENGAGE",IF($E1016="ATTRIBUE",'ENGAGEMENTS 2026'!AD1016,'ENGAGEMENTS 2026'!N1016),'ENGAGEMENTS 2026'!AD1016))))</f>
        <v/>
      </c>
      <c r="K1016" s="604">
        <f>IF(ISBLANK('ENGAGEMENTS 2026'!V1016),"",'ENGAGEMENTS 2026'!V1016)</f>
        <v/>
      </c>
      <c r="L1016" s="276">
        <f>IF($K1016="","",TODAY()-$K1016)</f>
        <v/>
      </c>
      <c r="M1016">
        <f>IF($A1016="","",IF($H1016="ENGAGE","Engagé",IF(AND($H1016="NON ENGAGE",OR($I1016="INFRUCTUEUX",$I1016="ANNULE")),"Clôturé sans suite","En cours")))</f>
        <v/>
      </c>
      <c r="N1016">
        <f>IF(ISBLANK('ENGAGEMENTS 2026'!B1016),"",'ENGAGEMENTS 2026'!K1016)</f>
        <v/>
      </c>
      <c r="O1016">
        <f>IF(ISBLANK('ENGAGEMENTS 2026'!B1016),"",'ENGAGEMENTS 2026'!L1016)</f>
        <v/>
      </c>
      <c r="P1016">
        <f>IF(ISBLANK('ENGAGEMENTS 2026'!B1016),"",'ENGAGEMENTS 2026'!J1016)</f>
        <v/>
      </c>
      <c r="Q1016">
        <f>IF($A1016="","",IF(OR($E1016="INFRUCTUEUX",$E1016="ANNULE"),$A1016&amp;"|"&amp;(COUNTIFS($A$2:$A1016,$A1016,$E$2:$E1016,"INFRUCTUEUX")+COUNTIFS($A$2:$A1016,$A1016,$E$2:$E1016,"ANNULE")),""))</f>
        <v/>
      </c>
    </row>
    <row r="1017">
      <c r="A1017">
        <f>IF(ISBLANK('ENGAGEMENTS 2026'!B1017),"",IF('ENGAGEMENTS 2026'!B1017="DTSI","DCT",'ENGAGEMENTS 2026'!B1017))</f>
        <v/>
      </c>
      <c r="B1017">
        <f>IF(ISBLANK('ENGAGEMENTS 2026'!B1017),"",'ENGAGEMENTS 2026'!C1017)</f>
        <v/>
      </c>
      <c r="C1017">
        <f>IF(ISBLANK('ENGAGEMENTS 2026'!B1017),"",'ENGAGEMENTS 2026'!D1017)</f>
        <v/>
      </c>
      <c r="D1017">
        <f>IF(ISBLANK('ENGAGEMENTS 2026'!B1017),"",'ENGAGEMENTS 2026'!F1017)</f>
        <v/>
      </c>
      <c r="E1017">
        <f>IF(ISBLANK('ENGAGEMENTS 2026'!B1017),"",'ENGAGEMENTS 2026'!H1017)</f>
        <v/>
      </c>
      <c r="F1017">
        <f>IF(ISBLANK('ENGAGEMENTS 2026'!B1017),"",'ENGAGEMENTS 2026'!I1017)</f>
        <v/>
      </c>
      <c r="G1017">
        <f>IF(ISBLANK('ENGAGEMENTS 2026'!B1017),"",'ENGAGEMENTS 2026'!L1017)</f>
        <v/>
      </c>
      <c r="H1017">
        <f>IF(ISBLANK('ENGAGEMENTS 2026'!B1017),"",'ENGAGEMENTS 2026'!AE1017)</f>
        <v/>
      </c>
      <c r="I1017">
        <f>IF(ISBLANK('ENGAGEMENTS 2026'!B1017),"",'ENGAGEMENTS 2026'!G1017)</f>
        <v/>
      </c>
      <c r="J1017" s="275">
        <f>IF(ISBLANK('ENGAGEMENTS 2026'!B1017),"",IF(AND(OR($E1017="INFRUCTUEUX",$E1017="ANNULE"),$C1017="AOO-M"),'ENGAGEMENTS 2026'!O1017,IF($H1017="EN COURS DE PREENGAGEMENT",'ENGAGEMENTS 2026'!N1017,IF($H1017="PREENGAGE",IF($E1017="ATTRIBUE",'ENGAGEMENTS 2026'!AD1017,'ENGAGEMENTS 2026'!N1017),'ENGAGEMENTS 2026'!AD1017))))</f>
        <v/>
      </c>
      <c r="K1017" s="604">
        <f>IF(ISBLANK('ENGAGEMENTS 2026'!V1017),"",'ENGAGEMENTS 2026'!V1017)</f>
        <v/>
      </c>
      <c r="L1017" s="276">
        <f>IF($K1017="","",TODAY()-$K1017)</f>
        <v/>
      </c>
      <c r="M1017">
        <f>IF($A1017="","",IF($H1017="ENGAGE","Engagé",IF(AND($H1017="NON ENGAGE",OR($I1017="INFRUCTUEUX",$I1017="ANNULE")),"Clôturé sans suite","En cours")))</f>
        <v/>
      </c>
      <c r="N1017">
        <f>IF(ISBLANK('ENGAGEMENTS 2026'!B1017),"",'ENGAGEMENTS 2026'!K1017)</f>
        <v/>
      </c>
      <c r="O1017">
        <f>IF(ISBLANK('ENGAGEMENTS 2026'!B1017),"",'ENGAGEMENTS 2026'!L1017)</f>
        <v/>
      </c>
      <c r="P1017">
        <f>IF(ISBLANK('ENGAGEMENTS 2026'!B1017),"",'ENGAGEMENTS 2026'!J1017)</f>
        <v/>
      </c>
      <c r="Q1017">
        <f>IF($A1017="","",IF(OR($E1017="INFRUCTUEUX",$E1017="ANNULE"),$A1017&amp;"|"&amp;(COUNTIFS($A$2:$A1017,$A1017,$E$2:$E1017,"INFRUCTUEUX")+COUNTIFS($A$2:$A1017,$A1017,$E$2:$E1017,"ANNULE")),""))</f>
        <v/>
      </c>
    </row>
    <row r="1018">
      <c r="A1018">
        <f>IF(ISBLANK('ENGAGEMENTS 2026'!B1018),"",IF('ENGAGEMENTS 2026'!B1018="DTSI","DCT",'ENGAGEMENTS 2026'!B1018))</f>
        <v/>
      </c>
      <c r="B1018">
        <f>IF(ISBLANK('ENGAGEMENTS 2026'!B1018),"",'ENGAGEMENTS 2026'!C1018)</f>
        <v/>
      </c>
      <c r="C1018">
        <f>IF(ISBLANK('ENGAGEMENTS 2026'!B1018),"",'ENGAGEMENTS 2026'!D1018)</f>
        <v/>
      </c>
      <c r="D1018">
        <f>IF(ISBLANK('ENGAGEMENTS 2026'!B1018),"",'ENGAGEMENTS 2026'!F1018)</f>
        <v/>
      </c>
      <c r="E1018">
        <f>IF(ISBLANK('ENGAGEMENTS 2026'!B1018),"",'ENGAGEMENTS 2026'!H1018)</f>
        <v/>
      </c>
      <c r="F1018">
        <f>IF(ISBLANK('ENGAGEMENTS 2026'!B1018),"",'ENGAGEMENTS 2026'!I1018)</f>
        <v/>
      </c>
      <c r="G1018">
        <f>IF(ISBLANK('ENGAGEMENTS 2026'!B1018),"",'ENGAGEMENTS 2026'!L1018)</f>
        <v/>
      </c>
      <c r="H1018">
        <f>IF(ISBLANK('ENGAGEMENTS 2026'!B1018),"",'ENGAGEMENTS 2026'!AE1018)</f>
        <v/>
      </c>
      <c r="I1018">
        <f>IF(ISBLANK('ENGAGEMENTS 2026'!B1018),"",'ENGAGEMENTS 2026'!G1018)</f>
        <v/>
      </c>
      <c r="J1018" s="275">
        <f>IF(ISBLANK('ENGAGEMENTS 2026'!B1018),"",IF(AND(OR($E1018="INFRUCTUEUX",$E1018="ANNULE"),$C1018="AOO-M"),'ENGAGEMENTS 2026'!O1018,IF($H1018="EN COURS DE PREENGAGEMENT",'ENGAGEMENTS 2026'!N1018,IF($H1018="PREENGAGE",IF($E1018="ATTRIBUE",'ENGAGEMENTS 2026'!AD1018,'ENGAGEMENTS 2026'!N1018),'ENGAGEMENTS 2026'!AD1018))))</f>
        <v/>
      </c>
      <c r="K1018" s="604">
        <f>IF(ISBLANK('ENGAGEMENTS 2026'!V1018),"",'ENGAGEMENTS 2026'!V1018)</f>
        <v/>
      </c>
      <c r="L1018" s="276">
        <f>IF($K1018="","",TODAY()-$K1018)</f>
        <v/>
      </c>
      <c r="M1018">
        <f>IF($A1018="","",IF($H1018="ENGAGE","Engagé",IF(AND($H1018="NON ENGAGE",OR($I1018="INFRUCTUEUX",$I1018="ANNULE")),"Clôturé sans suite","En cours")))</f>
        <v/>
      </c>
      <c r="N1018">
        <f>IF(ISBLANK('ENGAGEMENTS 2026'!B1018),"",'ENGAGEMENTS 2026'!K1018)</f>
        <v/>
      </c>
      <c r="O1018">
        <f>IF(ISBLANK('ENGAGEMENTS 2026'!B1018),"",'ENGAGEMENTS 2026'!L1018)</f>
        <v/>
      </c>
      <c r="P1018">
        <f>IF(ISBLANK('ENGAGEMENTS 2026'!B1018),"",'ENGAGEMENTS 2026'!J1018)</f>
        <v/>
      </c>
      <c r="Q1018">
        <f>IF($A1018="","",IF(OR($E1018="INFRUCTUEUX",$E1018="ANNULE"),$A1018&amp;"|"&amp;(COUNTIFS($A$2:$A1018,$A1018,$E$2:$E1018,"INFRUCTUEUX")+COUNTIFS($A$2:$A1018,$A1018,$E$2:$E1018,"ANNULE")),""))</f>
        <v/>
      </c>
    </row>
    <row r="1019">
      <c r="A1019">
        <f>IF(ISBLANK('ENGAGEMENTS 2026'!B1019),"",IF('ENGAGEMENTS 2026'!B1019="DTSI","DCT",'ENGAGEMENTS 2026'!B1019))</f>
        <v/>
      </c>
      <c r="B1019">
        <f>IF(ISBLANK('ENGAGEMENTS 2026'!B1019),"",'ENGAGEMENTS 2026'!C1019)</f>
        <v/>
      </c>
      <c r="C1019">
        <f>IF(ISBLANK('ENGAGEMENTS 2026'!B1019),"",'ENGAGEMENTS 2026'!D1019)</f>
        <v/>
      </c>
      <c r="D1019">
        <f>IF(ISBLANK('ENGAGEMENTS 2026'!B1019),"",'ENGAGEMENTS 2026'!F1019)</f>
        <v/>
      </c>
      <c r="E1019">
        <f>IF(ISBLANK('ENGAGEMENTS 2026'!B1019),"",'ENGAGEMENTS 2026'!H1019)</f>
        <v/>
      </c>
      <c r="F1019">
        <f>IF(ISBLANK('ENGAGEMENTS 2026'!B1019),"",'ENGAGEMENTS 2026'!I1019)</f>
        <v/>
      </c>
      <c r="G1019">
        <f>IF(ISBLANK('ENGAGEMENTS 2026'!B1019),"",'ENGAGEMENTS 2026'!L1019)</f>
        <v/>
      </c>
      <c r="H1019">
        <f>IF(ISBLANK('ENGAGEMENTS 2026'!B1019),"",'ENGAGEMENTS 2026'!AE1019)</f>
        <v/>
      </c>
      <c r="I1019">
        <f>IF(ISBLANK('ENGAGEMENTS 2026'!B1019),"",'ENGAGEMENTS 2026'!G1019)</f>
        <v/>
      </c>
      <c r="J1019" s="275">
        <f>IF(ISBLANK('ENGAGEMENTS 2026'!B1019),"",IF(AND(OR($E1019="INFRUCTUEUX",$E1019="ANNULE"),$C1019="AOO-M"),'ENGAGEMENTS 2026'!O1019,IF($H1019="EN COURS DE PREENGAGEMENT",'ENGAGEMENTS 2026'!N1019,IF($H1019="PREENGAGE",IF($E1019="ATTRIBUE",'ENGAGEMENTS 2026'!AD1019,'ENGAGEMENTS 2026'!N1019),'ENGAGEMENTS 2026'!AD1019))))</f>
        <v/>
      </c>
      <c r="K1019" s="604">
        <f>IF(ISBLANK('ENGAGEMENTS 2026'!V1019),"",'ENGAGEMENTS 2026'!V1019)</f>
        <v/>
      </c>
      <c r="L1019" s="276">
        <f>IF($K1019="","",TODAY()-$K1019)</f>
        <v/>
      </c>
      <c r="M1019">
        <f>IF($A1019="","",IF($H1019="ENGAGE","Engagé",IF(AND($H1019="NON ENGAGE",OR($I1019="INFRUCTUEUX",$I1019="ANNULE")),"Clôturé sans suite","En cours")))</f>
        <v/>
      </c>
      <c r="N1019">
        <f>IF(ISBLANK('ENGAGEMENTS 2026'!B1019),"",'ENGAGEMENTS 2026'!K1019)</f>
        <v/>
      </c>
      <c r="O1019">
        <f>IF(ISBLANK('ENGAGEMENTS 2026'!B1019),"",'ENGAGEMENTS 2026'!L1019)</f>
        <v/>
      </c>
      <c r="P1019">
        <f>IF(ISBLANK('ENGAGEMENTS 2026'!B1019),"",'ENGAGEMENTS 2026'!J1019)</f>
        <v/>
      </c>
      <c r="Q1019">
        <f>IF($A1019="","",IF(OR($E1019="INFRUCTUEUX",$E1019="ANNULE"),$A1019&amp;"|"&amp;(COUNTIFS($A$2:$A1019,$A1019,$E$2:$E1019,"INFRUCTUEUX")+COUNTIFS($A$2:$A1019,$A1019,$E$2:$E1019,"ANNULE")),""))</f>
        <v/>
      </c>
    </row>
    <row r="1020">
      <c r="A1020">
        <f>IF(ISBLANK('ENGAGEMENTS 2026'!B1020),"",IF('ENGAGEMENTS 2026'!B1020="DTSI","DCT",'ENGAGEMENTS 2026'!B1020))</f>
        <v/>
      </c>
      <c r="B1020">
        <f>IF(ISBLANK('ENGAGEMENTS 2026'!B1020),"",'ENGAGEMENTS 2026'!C1020)</f>
        <v/>
      </c>
      <c r="C1020">
        <f>IF(ISBLANK('ENGAGEMENTS 2026'!B1020),"",'ENGAGEMENTS 2026'!D1020)</f>
        <v/>
      </c>
      <c r="D1020">
        <f>IF(ISBLANK('ENGAGEMENTS 2026'!B1020),"",'ENGAGEMENTS 2026'!F1020)</f>
        <v/>
      </c>
      <c r="E1020">
        <f>IF(ISBLANK('ENGAGEMENTS 2026'!B1020),"",'ENGAGEMENTS 2026'!H1020)</f>
        <v/>
      </c>
      <c r="F1020">
        <f>IF(ISBLANK('ENGAGEMENTS 2026'!B1020),"",'ENGAGEMENTS 2026'!I1020)</f>
        <v/>
      </c>
      <c r="G1020">
        <f>IF(ISBLANK('ENGAGEMENTS 2026'!B1020),"",'ENGAGEMENTS 2026'!L1020)</f>
        <v/>
      </c>
      <c r="H1020">
        <f>IF(ISBLANK('ENGAGEMENTS 2026'!B1020),"",'ENGAGEMENTS 2026'!AE1020)</f>
        <v/>
      </c>
      <c r="I1020">
        <f>IF(ISBLANK('ENGAGEMENTS 2026'!B1020),"",'ENGAGEMENTS 2026'!G1020)</f>
        <v/>
      </c>
      <c r="J1020" s="275">
        <f>IF(ISBLANK('ENGAGEMENTS 2026'!B1020),"",IF(AND(OR($E1020="INFRUCTUEUX",$E1020="ANNULE"),$C1020="AOO-M"),'ENGAGEMENTS 2026'!O1020,IF($H1020="EN COURS DE PREENGAGEMENT",'ENGAGEMENTS 2026'!N1020,IF($H1020="PREENGAGE",IF($E1020="ATTRIBUE",'ENGAGEMENTS 2026'!AD1020,'ENGAGEMENTS 2026'!N1020),'ENGAGEMENTS 2026'!AD1020))))</f>
        <v/>
      </c>
      <c r="K1020" s="604">
        <f>IF(ISBLANK('ENGAGEMENTS 2026'!V1020),"",'ENGAGEMENTS 2026'!V1020)</f>
        <v/>
      </c>
      <c r="L1020" s="276">
        <f>IF($K1020="","",TODAY()-$K1020)</f>
        <v/>
      </c>
      <c r="M1020">
        <f>IF($A1020="","",IF($H1020="ENGAGE","Engagé",IF(AND($H1020="NON ENGAGE",OR($I1020="INFRUCTUEUX",$I1020="ANNULE")),"Clôturé sans suite","En cours")))</f>
        <v/>
      </c>
      <c r="N1020">
        <f>IF(ISBLANK('ENGAGEMENTS 2026'!B1020),"",'ENGAGEMENTS 2026'!K1020)</f>
        <v/>
      </c>
      <c r="O1020">
        <f>IF(ISBLANK('ENGAGEMENTS 2026'!B1020),"",'ENGAGEMENTS 2026'!L1020)</f>
        <v/>
      </c>
      <c r="P1020">
        <f>IF(ISBLANK('ENGAGEMENTS 2026'!B1020),"",'ENGAGEMENTS 2026'!J1020)</f>
        <v/>
      </c>
      <c r="Q1020">
        <f>IF($A1020="","",IF(OR($E1020="INFRUCTUEUX",$E1020="ANNULE"),$A1020&amp;"|"&amp;(COUNTIFS($A$2:$A1020,$A1020,$E$2:$E1020,"INFRUCTUEUX")+COUNTIFS($A$2:$A1020,$A1020,$E$2:$E1020,"ANNULE")),""))</f>
        <v/>
      </c>
    </row>
    <row r="1021">
      <c r="A1021">
        <f>IF(ISBLANK('ENGAGEMENTS 2026'!B1021),"",IF('ENGAGEMENTS 2026'!B1021="DTSI","DCT",'ENGAGEMENTS 2026'!B1021))</f>
        <v/>
      </c>
      <c r="B1021">
        <f>IF(ISBLANK('ENGAGEMENTS 2026'!B1021),"",'ENGAGEMENTS 2026'!C1021)</f>
        <v/>
      </c>
      <c r="C1021">
        <f>IF(ISBLANK('ENGAGEMENTS 2026'!B1021),"",'ENGAGEMENTS 2026'!D1021)</f>
        <v/>
      </c>
      <c r="D1021">
        <f>IF(ISBLANK('ENGAGEMENTS 2026'!B1021),"",'ENGAGEMENTS 2026'!F1021)</f>
        <v/>
      </c>
      <c r="E1021">
        <f>IF(ISBLANK('ENGAGEMENTS 2026'!B1021),"",'ENGAGEMENTS 2026'!H1021)</f>
        <v/>
      </c>
      <c r="F1021">
        <f>IF(ISBLANK('ENGAGEMENTS 2026'!B1021),"",'ENGAGEMENTS 2026'!I1021)</f>
        <v/>
      </c>
      <c r="G1021">
        <f>IF(ISBLANK('ENGAGEMENTS 2026'!B1021),"",'ENGAGEMENTS 2026'!L1021)</f>
        <v/>
      </c>
      <c r="H1021">
        <f>IF(ISBLANK('ENGAGEMENTS 2026'!B1021),"",'ENGAGEMENTS 2026'!AE1021)</f>
        <v/>
      </c>
      <c r="I1021">
        <f>IF(ISBLANK('ENGAGEMENTS 2026'!B1021),"",'ENGAGEMENTS 2026'!G1021)</f>
        <v/>
      </c>
      <c r="J1021" s="275">
        <f>IF(ISBLANK('ENGAGEMENTS 2026'!B1021),"",IF(AND(OR($E1021="INFRUCTUEUX",$E1021="ANNULE"),$C1021="AOO-M"),'ENGAGEMENTS 2026'!O1021,IF($H1021="EN COURS DE PREENGAGEMENT",'ENGAGEMENTS 2026'!N1021,IF($H1021="PREENGAGE",IF($E1021="ATTRIBUE",'ENGAGEMENTS 2026'!AD1021,'ENGAGEMENTS 2026'!N1021),'ENGAGEMENTS 2026'!AD1021))))</f>
        <v/>
      </c>
      <c r="K1021" s="604">
        <f>IF(ISBLANK('ENGAGEMENTS 2026'!V1021),"",'ENGAGEMENTS 2026'!V1021)</f>
        <v/>
      </c>
      <c r="L1021" s="276">
        <f>IF($K1021="","",TODAY()-$K1021)</f>
        <v/>
      </c>
      <c r="M1021">
        <f>IF($A1021="","",IF($H1021="ENGAGE","Engagé",IF(AND($H1021="NON ENGAGE",OR($I1021="INFRUCTUEUX",$I1021="ANNULE")),"Clôturé sans suite","En cours")))</f>
        <v/>
      </c>
      <c r="N1021">
        <f>IF(ISBLANK('ENGAGEMENTS 2026'!B1021),"",'ENGAGEMENTS 2026'!K1021)</f>
        <v/>
      </c>
      <c r="O1021">
        <f>IF(ISBLANK('ENGAGEMENTS 2026'!B1021),"",'ENGAGEMENTS 2026'!L1021)</f>
        <v/>
      </c>
      <c r="P1021">
        <f>IF(ISBLANK('ENGAGEMENTS 2026'!B1021),"",'ENGAGEMENTS 2026'!J1021)</f>
        <v/>
      </c>
      <c r="Q1021">
        <f>IF($A1021="","",IF(OR($E1021="INFRUCTUEUX",$E1021="ANNULE"),$A1021&amp;"|"&amp;(COUNTIFS($A$2:$A1021,$A1021,$E$2:$E1021,"INFRUCTUEUX")+COUNTIFS($A$2:$A1021,$A1021,$E$2:$E1021,"ANNULE")),""))</f>
        <v/>
      </c>
    </row>
    <row r="1022">
      <c r="A1022">
        <f>IF(ISBLANK('ENGAGEMENTS 2026'!B1022),"",IF('ENGAGEMENTS 2026'!B1022="DTSI","DCT",'ENGAGEMENTS 2026'!B1022))</f>
        <v/>
      </c>
      <c r="B1022">
        <f>IF(ISBLANK('ENGAGEMENTS 2026'!B1022),"",'ENGAGEMENTS 2026'!C1022)</f>
        <v/>
      </c>
      <c r="C1022">
        <f>IF(ISBLANK('ENGAGEMENTS 2026'!B1022),"",'ENGAGEMENTS 2026'!D1022)</f>
        <v/>
      </c>
      <c r="D1022">
        <f>IF(ISBLANK('ENGAGEMENTS 2026'!B1022),"",'ENGAGEMENTS 2026'!F1022)</f>
        <v/>
      </c>
      <c r="E1022">
        <f>IF(ISBLANK('ENGAGEMENTS 2026'!B1022),"",'ENGAGEMENTS 2026'!H1022)</f>
        <v/>
      </c>
      <c r="F1022">
        <f>IF(ISBLANK('ENGAGEMENTS 2026'!B1022),"",'ENGAGEMENTS 2026'!I1022)</f>
        <v/>
      </c>
      <c r="G1022">
        <f>IF(ISBLANK('ENGAGEMENTS 2026'!B1022),"",'ENGAGEMENTS 2026'!L1022)</f>
        <v/>
      </c>
      <c r="H1022">
        <f>IF(ISBLANK('ENGAGEMENTS 2026'!B1022),"",'ENGAGEMENTS 2026'!AE1022)</f>
        <v/>
      </c>
      <c r="I1022">
        <f>IF(ISBLANK('ENGAGEMENTS 2026'!B1022),"",'ENGAGEMENTS 2026'!G1022)</f>
        <v/>
      </c>
      <c r="J1022" s="275">
        <f>IF(ISBLANK('ENGAGEMENTS 2026'!B1022),"",IF(AND(OR($E1022="INFRUCTUEUX",$E1022="ANNULE"),$C1022="AOO-M"),'ENGAGEMENTS 2026'!O1022,IF($H1022="EN COURS DE PREENGAGEMENT",'ENGAGEMENTS 2026'!N1022,IF($H1022="PREENGAGE",IF($E1022="ATTRIBUE",'ENGAGEMENTS 2026'!AD1022,'ENGAGEMENTS 2026'!N1022),'ENGAGEMENTS 2026'!AD1022))))</f>
        <v/>
      </c>
      <c r="K1022" s="604">
        <f>IF(ISBLANK('ENGAGEMENTS 2026'!V1022),"",'ENGAGEMENTS 2026'!V1022)</f>
        <v/>
      </c>
      <c r="L1022" s="276">
        <f>IF($K1022="","",TODAY()-$K1022)</f>
        <v/>
      </c>
      <c r="M1022">
        <f>IF($A1022="","",IF($H1022="ENGAGE","Engagé",IF(AND($H1022="NON ENGAGE",OR($I1022="INFRUCTUEUX",$I1022="ANNULE")),"Clôturé sans suite","En cours")))</f>
        <v/>
      </c>
      <c r="N1022">
        <f>IF(ISBLANK('ENGAGEMENTS 2026'!B1022),"",'ENGAGEMENTS 2026'!K1022)</f>
        <v/>
      </c>
      <c r="O1022">
        <f>IF(ISBLANK('ENGAGEMENTS 2026'!B1022),"",'ENGAGEMENTS 2026'!L1022)</f>
        <v/>
      </c>
      <c r="P1022">
        <f>IF(ISBLANK('ENGAGEMENTS 2026'!B1022),"",'ENGAGEMENTS 2026'!J1022)</f>
        <v/>
      </c>
      <c r="Q1022">
        <f>IF($A1022="","",IF(OR($E1022="INFRUCTUEUX",$E1022="ANNULE"),$A1022&amp;"|"&amp;(COUNTIFS($A$2:$A1022,$A1022,$E$2:$E1022,"INFRUCTUEUX")+COUNTIFS($A$2:$A1022,$A1022,$E$2:$E1022,"ANNULE")),""))</f>
        <v/>
      </c>
    </row>
    <row r="1023">
      <c r="A1023">
        <f>IF(ISBLANK('ENGAGEMENTS 2026'!B1023),"",IF('ENGAGEMENTS 2026'!B1023="DTSI","DCT",'ENGAGEMENTS 2026'!B1023))</f>
        <v/>
      </c>
      <c r="B1023">
        <f>IF(ISBLANK('ENGAGEMENTS 2026'!B1023),"",'ENGAGEMENTS 2026'!C1023)</f>
        <v/>
      </c>
      <c r="C1023">
        <f>IF(ISBLANK('ENGAGEMENTS 2026'!B1023),"",'ENGAGEMENTS 2026'!D1023)</f>
        <v/>
      </c>
      <c r="D1023">
        <f>IF(ISBLANK('ENGAGEMENTS 2026'!B1023),"",'ENGAGEMENTS 2026'!F1023)</f>
        <v/>
      </c>
      <c r="E1023">
        <f>IF(ISBLANK('ENGAGEMENTS 2026'!B1023),"",'ENGAGEMENTS 2026'!H1023)</f>
        <v/>
      </c>
      <c r="F1023">
        <f>IF(ISBLANK('ENGAGEMENTS 2026'!B1023),"",'ENGAGEMENTS 2026'!I1023)</f>
        <v/>
      </c>
      <c r="G1023">
        <f>IF(ISBLANK('ENGAGEMENTS 2026'!B1023),"",'ENGAGEMENTS 2026'!L1023)</f>
        <v/>
      </c>
      <c r="H1023">
        <f>IF(ISBLANK('ENGAGEMENTS 2026'!B1023),"",'ENGAGEMENTS 2026'!AE1023)</f>
        <v/>
      </c>
      <c r="I1023">
        <f>IF(ISBLANK('ENGAGEMENTS 2026'!B1023),"",'ENGAGEMENTS 2026'!G1023)</f>
        <v/>
      </c>
      <c r="J1023" s="275">
        <f>IF(ISBLANK('ENGAGEMENTS 2026'!B1023),"",IF(AND(OR($E1023="INFRUCTUEUX",$E1023="ANNULE"),$C1023="AOO-M"),'ENGAGEMENTS 2026'!O1023,IF($H1023="EN COURS DE PREENGAGEMENT",'ENGAGEMENTS 2026'!N1023,IF($H1023="PREENGAGE",IF($E1023="ATTRIBUE",'ENGAGEMENTS 2026'!AD1023,'ENGAGEMENTS 2026'!N1023),'ENGAGEMENTS 2026'!AD1023))))</f>
        <v/>
      </c>
      <c r="K1023" s="604">
        <f>IF(ISBLANK('ENGAGEMENTS 2026'!V1023),"",'ENGAGEMENTS 2026'!V1023)</f>
        <v/>
      </c>
      <c r="L1023" s="276">
        <f>IF($K1023="","",TODAY()-$K1023)</f>
        <v/>
      </c>
      <c r="M1023">
        <f>IF($A1023="","",IF($H1023="ENGAGE","Engagé",IF(AND($H1023="NON ENGAGE",OR($I1023="INFRUCTUEUX",$I1023="ANNULE")),"Clôturé sans suite","En cours")))</f>
        <v/>
      </c>
      <c r="N1023">
        <f>IF(ISBLANK('ENGAGEMENTS 2026'!B1023),"",'ENGAGEMENTS 2026'!K1023)</f>
        <v/>
      </c>
      <c r="O1023">
        <f>IF(ISBLANK('ENGAGEMENTS 2026'!B1023),"",'ENGAGEMENTS 2026'!L1023)</f>
        <v/>
      </c>
      <c r="P1023">
        <f>IF(ISBLANK('ENGAGEMENTS 2026'!B1023),"",'ENGAGEMENTS 2026'!J1023)</f>
        <v/>
      </c>
      <c r="Q1023">
        <f>IF($A1023="","",IF(OR($E1023="INFRUCTUEUX",$E1023="ANNULE"),$A1023&amp;"|"&amp;(COUNTIFS($A$2:$A1023,$A1023,$E$2:$E1023,"INFRUCTUEUX")+COUNTIFS($A$2:$A1023,$A1023,$E$2:$E1023,"ANNULE")),""))</f>
        <v/>
      </c>
    </row>
    <row r="1024">
      <c r="A1024">
        <f>IF(ISBLANK('ENGAGEMENTS 2026'!B1024),"",IF('ENGAGEMENTS 2026'!B1024="DTSI","DCT",'ENGAGEMENTS 2026'!B1024))</f>
        <v/>
      </c>
      <c r="B1024">
        <f>IF(ISBLANK('ENGAGEMENTS 2026'!B1024),"",'ENGAGEMENTS 2026'!C1024)</f>
        <v/>
      </c>
      <c r="C1024">
        <f>IF(ISBLANK('ENGAGEMENTS 2026'!B1024),"",'ENGAGEMENTS 2026'!D1024)</f>
        <v/>
      </c>
      <c r="D1024">
        <f>IF(ISBLANK('ENGAGEMENTS 2026'!B1024),"",'ENGAGEMENTS 2026'!F1024)</f>
        <v/>
      </c>
      <c r="E1024">
        <f>IF(ISBLANK('ENGAGEMENTS 2026'!B1024),"",'ENGAGEMENTS 2026'!H1024)</f>
        <v/>
      </c>
      <c r="F1024">
        <f>IF(ISBLANK('ENGAGEMENTS 2026'!B1024),"",'ENGAGEMENTS 2026'!I1024)</f>
        <v/>
      </c>
      <c r="G1024">
        <f>IF(ISBLANK('ENGAGEMENTS 2026'!B1024),"",'ENGAGEMENTS 2026'!L1024)</f>
        <v/>
      </c>
      <c r="H1024">
        <f>IF(ISBLANK('ENGAGEMENTS 2026'!B1024),"",'ENGAGEMENTS 2026'!AE1024)</f>
        <v/>
      </c>
      <c r="I1024">
        <f>IF(ISBLANK('ENGAGEMENTS 2026'!B1024),"",'ENGAGEMENTS 2026'!G1024)</f>
        <v/>
      </c>
      <c r="J1024" s="275">
        <f>IF(ISBLANK('ENGAGEMENTS 2026'!B1024),"",IF(AND(OR($E1024="INFRUCTUEUX",$E1024="ANNULE"),$C1024="AOO-M"),'ENGAGEMENTS 2026'!O1024,IF($H1024="EN COURS DE PREENGAGEMENT",'ENGAGEMENTS 2026'!N1024,IF($H1024="PREENGAGE",IF($E1024="ATTRIBUE",'ENGAGEMENTS 2026'!AD1024,'ENGAGEMENTS 2026'!N1024),'ENGAGEMENTS 2026'!AD1024))))</f>
        <v/>
      </c>
      <c r="K1024" s="604">
        <f>IF(ISBLANK('ENGAGEMENTS 2026'!V1024),"",'ENGAGEMENTS 2026'!V1024)</f>
        <v/>
      </c>
      <c r="L1024" s="276">
        <f>IF($K1024="","",TODAY()-$K1024)</f>
        <v/>
      </c>
      <c r="M1024">
        <f>IF($A1024="","",IF($H1024="ENGAGE","Engagé",IF(AND($H1024="NON ENGAGE",OR($I1024="INFRUCTUEUX",$I1024="ANNULE")),"Clôturé sans suite","En cours")))</f>
        <v/>
      </c>
      <c r="N1024">
        <f>IF(ISBLANK('ENGAGEMENTS 2026'!B1024),"",'ENGAGEMENTS 2026'!K1024)</f>
        <v/>
      </c>
      <c r="O1024">
        <f>IF(ISBLANK('ENGAGEMENTS 2026'!B1024),"",'ENGAGEMENTS 2026'!L1024)</f>
        <v/>
      </c>
      <c r="P1024">
        <f>IF(ISBLANK('ENGAGEMENTS 2026'!B1024),"",'ENGAGEMENTS 2026'!J1024)</f>
        <v/>
      </c>
      <c r="Q1024">
        <f>IF($A1024="","",IF(OR($E1024="INFRUCTUEUX",$E1024="ANNULE"),$A1024&amp;"|"&amp;(COUNTIFS($A$2:$A1024,$A1024,$E$2:$E1024,"INFRUCTUEUX")+COUNTIFS($A$2:$A1024,$A1024,$E$2:$E1024,"ANNULE")),""))</f>
        <v/>
      </c>
    </row>
    <row r="1025">
      <c r="A1025">
        <f>IF(ISBLANK('ENGAGEMENTS 2026'!B1025),"",IF('ENGAGEMENTS 2026'!B1025="DTSI","DCT",'ENGAGEMENTS 2026'!B1025))</f>
        <v/>
      </c>
      <c r="B1025">
        <f>IF(ISBLANK('ENGAGEMENTS 2026'!B1025),"",'ENGAGEMENTS 2026'!C1025)</f>
        <v/>
      </c>
      <c r="C1025">
        <f>IF(ISBLANK('ENGAGEMENTS 2026'!B1025),"",'ENGAGEMENTS 2026'!D1025)</f>
        <v/>
      </c>
      <c r="D1025">
        <f>IF(ISBLANK('ENGAGEMENTS 2026'!B1025),"",'ENGAGEMENTS 2026'!F1025)</f>
        <v/>
      </c>
      <c r="E1025">
        <f>IF(ISBLANK('ENGAGEMENTS 2026'!B1025),"",'ENGAGEMENTS 2026'!H1025)</f>
        <v/>
      </c>
      <c r="F1025">
        <f>IF(ISBLANK('ENGAGEMENTS 2026'!B1025),"",'ENGAGEMENTS 2026'!I1025)</f>
        <v/>
      </c>
      <c r="G1025">
        <f>IF(ISBLANK('ENGAGEMENTS 2026'!B1025),"",'ENGAGEMENTS 2026'!L1025)</f>
        <v/>
      </c>
      <c r="H1025">
        <f>IF(ISBLANK('ENGAGEMENTS 2026'!B1025),"",'ENGAGEMENTS 2026'!AE1025)</f>
        <v/>
      </c>
      <c r="I1025">
        <f>IF(ISBLANK('ENGAGEMENTS 2026'!B1025),"",'ENGAGEMENTS 2026'!G1025)</f>
        <v/>
      </c>
      <c r="J1025" s="275">
        <f>IF(ISBLANK('ENGAGEMENTS 2026'!B1025),"",IF(AND(OR($E1025="INFRUCTUEUX",$E1025="ANNULE"),$C1025="AOO-M"),'ENGAGEMENTS 2026'!O1025,IF($H1025="EN COURS DE PREENGAGEMENT",'ENGAGEMENTS 2026'!N1025,IF($H1025="PREENGAGE",IF($E1025="ATTRIBUE",'ENGAGEMENTS 2026'!AD1025,'ENGAGEMENTS 2026'!N1025),'ENGAGEMENTS 2026'!AD1025))))</f>
        <v/>
      </c>
      <c r="K1025" s="604">
        <f>IF(ISBLANK('ENGAGEMENTS 2026'!V1025),"",'ENGAGEMENTS 2026'!V1025)</f>
        <v/>
      </c>
      <c r="L1025" s="276">
        <f>IF($K1025="","",TODAY()-$K1025)</f>
        <v/>
      </c>
      <c r="M1025">
        <f>IF($A1025="","",IF($H1025="ENGAGE","Engagé",IF(AND($H1025="NON ENGAGE",OR($I1025="INFRUCTUEUX",$I1025="ANNULE")),"Clôturé sans suite","En cours")))</f>
        <v/>
      </c>
      <c r="N1025">
        <f>IF(ISBLANK('ENGAGEMENTS 2026'!B1025),"",'ENGAGEMENTS 2026'!K1025)</f>
        <v/>
      </c>
      <c r="O1025">
        <f>IF(ISBLANK('ENGAGEMENTS 2026'!B1025),"",'ENGAGEMENTS 2026'!L1025)</f>
        <v/>
      </c>
      <c r="P1025">
        <f>IF(ISBLANK('ENGAGEMENTS 2026'!B1025),"",'ENGAGEMENTS 2026'!J1025)</f>
        <v/>
      </c>
      <c r="Q1025">
        <f>IF($A1025="","",IF(OR($E1025="INFRUCTUEUX",$E1025="ANNULE"),$A1025&amp;"|"&amp;(COUNTIFS($A$2:$A1025,$A1025,$E$2:$E1025,"INFRUCTUEUX")+COUNTIFS($A$2:$A1025,$A1025,$E$2:$E1025,"ANNULE")),""))</f>
        <v/>
      </c>
    </row>
    <row r="1026">
      <c r="A1026">
        <f>IF(ISBLANK('ENGAGEMENTS 2026'!B1026),"",IF('ENGAGEMENTS 2026'!B1026="DTSI","DCT",'ENGAGEMENTS 2026'!B1026))</f>
        <v/>
      </c>
      <c r="B1026">
        <f>IF(ISBLANK('ENGAGEMENTS 2026'!B1026),"",'ENGAGEMENTS 2026'!C1026)</f>
        <v/>
      </c>
      <c r="C1026">
        <f>IF(ISBLANK('ENGAGEMENTS 2026'!B1026),"",'ENGAGEMENTS 2026'!D1026)</f>
        <v/>
      </c>
      <c r="D1026">
        <f>IF(ISBLANK('ENGAGEMENTS 2026'!B1026),"",'ENGAGEMENTS 2026'!F1026)</f>
        <v/>
      </c>
      <c r="E1026">
        <f>IF(ISBLANK('ENGAGEMENTS 2026'!B1026),"",'ENGAGEMENTS 2026'!H1026)</f>
        <v/>
      </c>
      <c r="F1026">
        <f>IF(ISBLANK('ENGAGEMENTS 2026'!B1026),"",'ENGAGEMENTS 2026'!I1026)</f>
        <v/>
      </c>
      <c r="G1026">
        <f>IF(ISBLANK('ENGAGEMENTS 2026'!B1026),"",'ENGAGEMENTS 2026'!L1026)</f>
        <v/>
      </c>
      <c r="H1026">
        <f>IF(ISBLANK('ENGAGEMENTS 2026'!B1026),"",'ENGAGEMENTS 2026'!AE1026)</f>
        <v/>
      </c>
      <c r="I1026">
        <f>IF(ISBLANK('ENGAGEMENTS 2026'!B1026),"",'ENGAGEMENTS 2026'!G1026)</f>
        <v/>
      </c>
      <c r="J1026" s="275">
        <f>IF(ISBLANK('ENGAGEMENTS 2026'!B1026),"",IF(AND(OR($E1026="INFRUCTUEUX",$E1026="ANNULE"),$C1026="AOO-M"),'ENGAGEMENTS 2026'!O1026,IF($H1026="EN COURS DE PREENGAGEMENT",'ENGAGEMENTS 2026'!N1026,IF($H1026="PREENGAGE",IF($E1026="ATTRIBUE",'ENGAGEMENTS 2026'!AD1026,'ENGAGEMENTS 2026'!N1026),'ENGAGEMENTS 2026'!AD1026))))</f>
        <v/>
      </c>
      <c r="K1026" s="604">
        <f>IF(ISBLANK('ENGAGEMENTS 2026'!V1026),"",'ENGAGEMENTS 2026'!V1026)</f>
        <v/>
      </c>
      <c r="L1026" s="276">
        <f>IF($K1026="","",TODAY()-$K1026)</f>
        <v/>
      </c>
      <c r="M1026">
        <f>IF($A1026="","",IF($H1026="ENGAGE","Engagé",IF(AND($H1026="NON ENGAGE",OR($I1026="INFRUCTUEUX",$I1026="ANNULE")),"Clôturé sans suite","En cours")))</f>
        <v/>
      </c>
      <c r="N1026">
        <f>IF(ISBLANK('ENGAGEMENTS 2026'!B1026),"",'ENGAGEMENTS 2026'!K1026)</f>
        <v/>
      </c>
      <c r="O1026">
        <f>IF(ISBLANK('ENGAGEMENTS 2026'!B1026),"",'ENGAGEMENTS 2026'!L1026)</f>
        <v/>
      </c>
      <c r="P1026">
        <f>IF(ISBLANK('ENGAGEMENTS 2026'!B1026),"",'ENGAGEMENTS 2026'!J1026)</f>
        <v/>
      </c>
      <c r="Q1026">
        <f>IF($A1026="","",IF(OR($E1026="INFRUCTUEUX",$E1026="ANNULE"),$A1026&amp;"|"&amp;(COUNTIFS($A$2:$A1026,$A1026,$E$2:$E1026,"INFRUCTUEUX")+COUNTIFS($A$2:$A1026,$A1026,$E$2:$E1026,"ANNULE")),""))</f>
        <v/>
      </c>
    </row>
    <row r="1027">
      <c r="A1027">
        <f>IF(ISBLANK('ENGAGEMENTS 2026'!B1027),"",IF('ENGAGEMENTS 2026'!B1027="DTSI","DCT",'ENGAGEMENTS 2026'!B1027))</f>
        <v/>
      </c>
      <c r="B1027">
        <f>IF(ISBLANK('ENGAGEMENTS 2026'!B1027),"",'ENGAGEMENTS 2026'!C1027)</f>
        <v/>
      </c>
      <c r="C1027">
        <f>IF(ISBLANK('ENGAGEMENTS 2026'!B1027),"",'ENGAGEMENTS 2026'!D1027)</f>
        <v/>
      </c>
      <c r="D1027">
        <f>IF(ISBLANK('ENGAGEMENTS 2026'!B1027),"",'ENGAGEMENTS 2026'!F1027)</f>
        <v/>
      </c>
      <c r="E1027">
        <f>IF(ISBLANK('ENGAGEMENTS 2026'!B1027),"",'ENGAGEMENTS 2026'!H1027)</f>
        <v/>
      </c>
      <c r="F1027">
        <f>IF(ISBLANK('ENGAGEMENTS 2026'!B1027),"",'ENGAGEMENTS 2026'!I1027)</f>
        <v/>
      </c>
      <c r="G1027">
        <f>IF(ISBLANK('ENGAGEMENTS 2026'!B1027),"",'ENGAGEMENTS 2026'!L1027)</f>
        <v/>
      </c>
      <c r="H1027">
        <f>IF(ISBLANK('ENGAGEMENTS 2026'!B1027),"",'ENGAGEMENTS 2026'!AE1027)</f>
        <v/>
      </c>
      <c r="I1027">
        <f>IF(ISBLANK('ENGAGEMENTS 2026'!B1027),"",'ENGAGEMENTS 2026'!G1027)</f>
        <v/>
      </c>
      <c r="J1027" s="275">
        <f>IF(ISBLANK('ENGAGEMENTS 2026'!B1027),"",IF(AND(OR($E1027="INFRUCTUEUX",$E1027="ANNULE"),$C1027="AOO-M"),'ENGAGEMENTS 2026'!O1027,IF($H1027="EN COURS DE PREENGAGEMENT",'ENGAGEMENTS 2026'!N1027,IF($H1027="PREENGAGE",IF($E1027="ATTRIBUE",'ENGAGEMENTS 2026'!AD1027,'ENGAGEMENTS 2026'!N1027),'ENGAGEMENTS 2026'!AD1027))))</f>
        <v/>
      </c>
      <c r="K1027" s="604">
        <f>IF(ISBLANK('ENGAGEMENTS 2026'!V1027),"",'ENGAGEMENTS 2026'!V1027)</f>
        <v/>
      </c>
      <c r="L1027" s="276">
        <f>IF($K1027="","",TODAY()-$K1027)</f>
        <v/>
      </c>
      <c r="M1027">
        <f>IF($A1027="","",IF($H1027="ENGAGE","Engagé",IF(AND($H1027="NON ENGAGE",OR($I1027="INFRUCTUEUX",$I1027="ANNULE")),"Clôturé sans suite","En cours")))</f>
        <v/>
      </c>
      <c r="N1027">
        <f>IF(ISBLANK('ENGAGEMENTS 2026'!B1027),"",'ENGAGEMENTS 2026'!K1027)</f>
        <v/>
      </c>
      <c r="O1027">
        <f>IF(ISBLANK('ENGAGEMENTS 2026'!B1027),"",'ENGAGEMENTS 2026'!L1027)</f>
        <v/>
      </c>
      <c r="P1027">
        <f>IF(ISBLANK('ENGAGEMENTS 2026'!B1027),"",'ENGAGEMENTS 2026'!J1027)</f>
        <v/>
      </c>
      <c r="Q1027">
        <f>IF($A1027="","",IF(OR($E1027="INFRUCTUEUX",$E1027="ANNULE"),$A1027&amp;"|"&amp;(COUNTIFS($A$2:$A1027,$A1027,$E$2:$E1027,"INFRUCTUEUX")+COUNTIFS($A$2:$A1027,$A1027,$E$2:$E1027,"ANNULE")),""))</f>
        <v/>
      </c>
    </row>
    <row r="1028">
      <c r="A1028">
        <f>IF(ISBLANK('ENGAGEMENTS 2026'!B1028),"",IF('ENGAGEMENTS 2026'!B1028="DTSI","DCT",'ENGAGEMENTS 2026'!B1028))</f>
        <v/>
      </c>
      <c r="B1028">
        <f>IF(ISBLANK('ENGAGEMENTS 2026'!B1028),"",'ENGAGEMENTS 2026'!C1028)</f>
        <v/>
      </c>
      <c r="C1028">
        <f>IF(ISBLANK('ENGAGEMENTS 2026'!B1028),"",'ENGAGEMENTS 2026'!D1028)</f>
        <v/>
      </c>
      <c r="D1028">
        <f>IF(ISBLANK('ENGAGEMENTS 2026'!B1028),"",'ENGAGEMENTS 2026'!F1028)</f>
        <v/>
      </c>
      <c r="E1028">
        <f>IF(ISBLANK('ENGAGEMENTS 2026'!B1028),"",'ENGAGEMENTS 2026'!H1028)</f>
        <v/>
      </c>
      <c r="F1028">
        <f>IF(ISBLANK('ENGAGEMENTS 2026'!B1028),"",'ENGAGEMENTS 2026'!I1028)</f>
        <v/>
      </c>
      <c r="G1028">
        <f>IF(ISBLANK('ENGAGEMENTS 2026'!B1028),"",'ENGAGEMENTS 2026'!L1028)</f>
        <v/>
      </c>
      <c r="H1028">
        <f>IF(ISBLANK('ENGAGEMENTS 2026'!B1028),"",'ENGAGEMENTS 2026'!AE1028)</f>
        <v/>
      </c>
      <c r="I1028">
        <f>IF(ISBLANK('ENGAGEMENTS 2026'!B1028),"",'ENGAGEMENTS 2026'!G1028)</f>
        <v/>
      </c>
      <c r="J1028" s="275">
        <f>IF(ISBLANK('ENGAGEMENTS 2026'!B1028),"",IF(AND(OR($E1028="INFRUCTUEUX",$E1028="ANNULE"),$C1028="AOO-M"),'ENGAGEMENTS 2026'!O1028,IF($H1028="EN COURS DE PREENGAGEMENT",'ENGAGEMENTS 2026'!N1028,IF($H1028="PREENGAGE",IF($E1028="ATTRIBUE",'ENGAGEMENTS 2026'!AD1028,'ENGAGEMENTS 2026'!N1028),'ENGAGEMENTS 2026'!AD1028))))</f>
        <v/>
      </c>
      <c r="K1028" s="604">
        <f>IF(ISBLANK('ENGAGEMENTS 2026'!V1028),"",'ENGAGEMENTS 2026'!V1028)</f>
        <v/>
      </c>
      <c r="L1028" s="276">
        <f>IF($K1028="","",TODAY()-$K1028)</f>
        <v/>
      </c>
      <c r="M1028">
        <f>IF($A1028="","",IF($H1028="ENGAGE","Engagé",IF(AND($H1028="NON ENGAGE",OR($I1028="INFRUCTUEUX",$I1028="ANNULE")),"Clôturé sans suite","En cours")))</f>
        <v/>
      </c>
      <c r="N1028">
        <f>IF(ISBLANK('ENGAGEMENTS 2026'!B1028),"",'ENGAGEMENTS 2026'!K1028)</f>
        <v/>
      </c>
      <c r="O1028">
        <f>IF(ISBLANK('ENGAGEMENTS 2026'!B1028),"",'ENGAGEMENTS 2026'!L1028)</f>
        <v/>
      </c>
      <c r="P1028">
        <f>IF(ISBLANK('ENGAGEMENTS 2026'!B1028),"",'ENGAGEMENTS 2026'!J1028)</f>
        <v/>
      </c>
      <c r="Q1028">
        <f>IF($A1028="","",IF(OR($E1028="INFRUCTUEUX",$E1028="ANNULE"),$A1028&amp;"|"&amp;(COUNTIFS($A$2:$A1028,$A1028,$E$2:$E1028,"INFRUCTUEUX")+COUNTIFS($A$2:$A1028,$A1028,$E$2:$E1028,"ANNULE")),""))</f>
        <v/>
      </c>
    </row>
    <row r="1029">
      <c r="A1029">
        <f>IF(ISBLANK('ENGAGEMENTS 2026'!B1029),"",IF('ENGAGEMENTS 2026'!B1029="DTSI","DCT",'ENGAGEMENTS 2026'!B1029))</f>
        <v/>
      </c>
      <c r="B1029">
        <f>IF(ISBLANK('ENGAGEMENTS 2026'!B1029),"",'ENGAGEMENTS 2026'!C1029)</f>
        <v/>
      </c>
      <c r="C1029">
        <f>IF(ISBLANK('ENGAGEMENTS 2026'!B1029),"",'ENGAGEMENTS 2026'!D1029)</f>
        <v/>
      </c>
      <c r="D1029">
        <f>IF(ISBLANK('ENGAGEMENTS 2026'!B1029),"",'ENGAGEMENTS 2026'!F1029)</f>
        <v/>
      </c>
      <c r="E1029">
        <f>IF(ISBLANK('ENGAGEMENTS 2026'!B1029),"",'ENGAGEMENTS 2026'!H1029)</f>
        <v/>
      </c>
      <c r="F1029">
        <f>IF(ISBLANK('ENGAGEMENTS 2026'!B1029),"",'ENGAGEMENTS 2026'!I1029)</f>
        <v/>
      </c>
      <c r="G1029">
        <f>IF(ISBLANK('ENGAGEMENTS 2026'!B1029),"",'ENGAGEMENTS 2026'!L1029)</f>
        <v/>
      </c>
      <c r="H1029">
        <f>IF(ISBLANK('ENGAGEMENTS 2026'!B1029),"",'ENGAGEMENTS 2026'!AE1029)</f>
        <v/>
      </c>
      <c r="I1029">
        <f>IF(ISBLANK('ENGAGEMENTS 2026'!B1029),"",'ENGAGEMENTS 2026'!G1029)</f>
        <v/>
      </c>
      <c r="J1029" s="275">
        <f>IF(ISBLANK('ENGAGEMENTS 2026'!B1029),"",IF(AND(OR($E1029="INFRUCTUEUX",$E1029="ANNULE"),$C1029="AOO-M"),'ENGAGEMENTS 2026'!O1029,IF($H1029="EN COURS DE PREENGAGEMENT",'ENGAGEMENTS 2026'!N1029,IF($H1029="PREENGAGE",IF($E1029="ATTRIBUE",'ENGAGEMENTS 2026'!AD1029,'ENGAGEMENTS 2026'!N1029),'ENGAGEMENTS 2026'!AD1029))))</f>
        <v/>
      </c>
      <c r="K1029" s="604">
        <f>IF(ISBLANK('ENGAGEMENTS 2026'!V1029),"",'ENGAGEMENTS 2026'!V1029)</f>
        <v/>
      </c>
      <c r="L1029" s="276">
        <f>IF($K1029="","",TODAY()-$K1029)</f>
        <v/>
      </c>
      <c r="M1029">
        <f>IF($A1029="","",IF($H1029="ENGAGE","Engagé",IF(AND($H1029="NON ENGAGE",OR($I1029="INFRUCTUEUX",$I1029="ANNULE")),"Clôturé sans suite","En cours")))</f>
        <v/>
      </c>
      <c r="N1029">
        <f>IF(ISBLANK('ENGAGEMENTS 2026'!B1029),"",'ENGAGEMENTS 2026'!K1029)</f>
        <v/>
      </c>
      <c r="O1029">
        <f>IF(ISBLANK('ENGAGEMENTS 2026'!B1029),"",'ENGAGEMENTS 2026'!L1029)</f>
        <v/>
      </c>
      <c r="P1029">
        <f>IF(ISBLANK('ENGAGEMENTS 2026'!B1029),"",'ENGAGEMENTS 2026'!J1029)</f>
        <v/>
      </c>
      <c r="Q1029">
        <f>IF($A1029="","",IF(OR($E1029="INFRUCTUEUX",$E1029="ANNULE"),$A1029&amp;"|"&amp;(COUNTIFS($A$2:$A1029,$A1029,$E$2:$E1029,"INFRUCTUEUX")+COUNTIFS($A$2:$A1029,$A1029,$E$2:$E1029,"ANNULE")),""))</f>
        <v/>
      </c>
    </row>
    <row r="1030">
      <c r="A1030">
        <f>IF(ISBLANK('ENGAGEMENTS 2026'!B1030),"",IF('ENGAGEMENTS 2026'!B1030="DTSI","DCT",'ENGAGEMENTS 2026'!B1030))</f>
        <v/>
      </c>
      <c r="B1030">
        <f>IF(ISBLANK('ENGAGEMENTS 2026'!B1030),"",'ENGAGEMENTS 2026'!C1030)</f>
        <v/>
      </c>
      <c r="C1030">
        <f>IF(ISBLANK('ENGAGEMENTS 2026'!B1030),"",'ENGAGEMENTS 2026'!D1030)</f>
        <v/>
      </c>
      <c r="D1030">
        <f>IF(ISBLANK('ENGAGEMENTS 2026'!B1030),"",'ENGAGEMENTS 2026'!F1030)</f>
        <v/>
      </c>
      <c r="E1030">
        <f>IF(ISBLANK('ENGAGEMENTS 2026'!B1030),"",'ENGAGEMENTS 2026'!H1030)</f>
        <v/>
      </c>
      <c r="F1030">
        <f>IF(ISBLANK('ENGAGEMENTS 2026'!B1030),"",'ENGAGEMENTS 2026'!I1030)</f>
        <v/>
      </c>
      <c r="G1030">
        <f>IF(ISBLANK('ENGAGEMENTS 2026'!B1030),"",'ENGAGEMENTS 2026'!L1030)</f>
        <v/>
      </c>
      <c r="H1030">
        <f>IF(ISBLANK('ENGAGEMENTS 2026'!B1030),"",'ENGAGEMENTS 2026'!AE1030)</f>
        <v/>
      </c>
      <c r="I1030">
        <f>IF(ISBLANK('ENGAGEMENTS 2026'!B1030),"",'ENGAGEMENTS 2026'!G1030)</f>
        <v/>
      </c>
      <c r="J1030" s="275">
        <f>IF(ISBLANK('ENGAGEMENTS 2026'!B1030),"",IF(AND(OR($E1030="INFRUCTUEUX",$E1030="ANNULE"),$C1030="AOO-M"),'ENGAGEMENTS 2026'!O1030,IF($H1030="EN COURS DE PREENGAGEMENT",'ENGAGEMENTS 2026'!N1030,IF($H1030="PREENGAGE",IF($E1030="ATTRIBUE",'ENGAGEMENTS 2026'!AD1030,'ENGAGEMENTS 2026'!N1030),'ENGAGEMENTS 2026'!AD1030))))</f>
        <v/>
      </c>
      <c r="K1030" s="604">
        <f>IF(ISBLANK('ENGAGEMENTS 2026'!V1030),"",'ENGAGEMENTS 2026'!V1030)</f>
        <v/>
      </c>
      <c r="L1030" s="276">
        <f>IF($K1030="","",TODAY()-$K1030)</f>
        <v/>
      </c>
      <c r="M1030">
        <f>IF($A1030="","",IF($H1030="ENGAGE","Engagé",IF(AND($H1030="NON ENGAGE",OR($I1030="INFRUCTUEUX",$I1030="ANNULE")),"Clôturé sans suite","En cours")))</f>
        <v/>
      </c>
      <c r="N1030">
        <f>IF(ISBLANK('ENGAGEMENTS 2026'!B1030),"",'ENGAGEMENTS 2026'!K1030)</f>
        <v/>
      </c>
      <c r="O1030">
        <f>IF(ISBLANK('ENGAGEMENTS 2026'!B1030),"",'ENGAGEMENTS 2026'!L1030)</f>
        <v/>
      </c>
      <c r="P1030">
        <f>IF(ISBLANK('ENGAGEMENTS 2026'!B1030),"",'ENGAGEMENTS 2026'!J1030)</f>
        <v/>
      </c>
      <c r="Q1030">
        <f>IF($A1030="","",IF(OR($E1030="INFRUCTUEUX",$E1030="ANNULE"),$A1030&amp;"|"&amp;(COUNTIFS($A$2:$A1030,$A1030,$E$2:$E1030,"INFRUCTUEUX")+COUNTIFS($A$2:$A1030,$A1030,$E$2:$E1030,"ANNULE")),""))</f>
        <v/>
      </c>
    </row>
    <row r="1031">
      <c r="A1031">
        <f>IF(ISBLANK('ENGAGEMENTS 2026'!B1031),"",IF('ENGAGEMENTS 2026'!B1031="DTSI","DCT",'ENGAGEMENTS 2026'!B1031))</f>
        <v/>
      </c>
      <c r="B1031">
        <f>IF(ISBLANK('ENGAGEMENTS 2026'!B1031),"",'ENGAGEMENTS 2026'!C1031)</f>
        <v/>
      </c>
      <c r="C1031">
        <f>IF(ISBLANK('ENGAGEMENTS 2026'!B1031),"",'ENGAGEMENTS 2026'!D1031)</f>
        <v/>
      </c>
      <c r="D1031">
        <f>IF(ISBLANK('ENGAGEMENTS 2026'!B1031),"",'ENGAGEMENTS 2026'!F1031)</f>
        <v/>
      </c>
      <c r="E1031">
        <f>IF(ISBLANK('ENGAGEMENTS 2026'!B1031),"",'ENGAGEMENTS 2026'!H1031)</f>
        <v/>
      </c>
      <c r="F1031">
        <f>IF(ISBLANK('ENGAGEMENTS 2026'!B1031),"",'ENGAGEMENTS 2026'!I1031)</f>
        <v/>
      </c>
      <c r="G1031">
        <f>IF(ISBLANK('ENGAGEMENTS 2026'!B1031),"",'ENGAGEMENTS 2026'!L1031)</f>
        <v/>
      </c>
      <c r="H1031">
        <f>IF(ISBLANK('ENGAGEMENTS 2026'!B1031),"",'ENGAGEMENTS 2026'!AE1031)</f>
        <v/>
      </c>
      <c r="I1031">
        <f>IF(ISBLANK('ENGAGEMENTS 2026'!B1031),"",'ENGAGEMENTS 2026'!G1031)</f>
        <v/>
      </c>
      <c r="J1031" s="275">
        <f>IF(ISBLANK('ENGAGEMENTS 2026'!B1031),"",IF(AND(OR($E1031="INFRUCTUEUX",$E1031="ANNULE"),$C1031="AOO-M"),'ENGAGEMENTS 2026'!O1031,IF($H1031="EN COURS DE PREENGAGEMENT",'ENGAGEMENTS 2026'!N1031,IF($H1031="PREENGAGE",IF($E1031="ATTRIBUE",'ENGAGEMENTS 2026'!AD1031,'ENGAGEMENTS 2026'!N1031),'ENGAGEMENTS 2026'!AD1031))))</f>
        <v/>
      </c>
      <c r="K1031" s="604">
        <f>IF(ISBLANK('ENGAGEMENTS 2026'!V1031),"",'ENGAGEMENTS 2026'!V1031)</f>
        <v/>
      </c>
      <c r="L1031" s="276">
        <f>IF($K1031="","",TODAY()-$K1031)</f>
        <v/>
      </c>
      <c r="M1031">
        <f>IF($A1031="","",IF($H1031="ENGAGE","Engagé",IF(AND($H1031="NON ENGAGE",OR($I1031="INFRUCTUEUX",$I1031="ANNULE")),"Clôturé sans suite","En cours")))</f>
        <v/>
      </c>
      <c r="N1031">
        <f>IF(ISBLANK('ENGAGEMENTS 2026'!B1031),"",'ENGAGEMENTS 2026'!K1031)</f>
        <v/>
      </c>
      <c r="O1031">
        <f>IF(ISBLANK('ENGAGEMENTS 2026'!B1031),"",'ENGAGEMENTS 2026'!L1031)</f>
        <v/>
      </c>
      <c r="P1031">
        <f>IF(ISBLANK('ENGAGEMENTS 2026'!B1031),"",'ENGAGEMENTS 2026'!J1031)</f>
        <v/>
      </c>
      <c r="Q1031">
        <f>IF($A1031="","",IF(OR($E1031="INFRUCTUEUX",$E1031="ANNULE"),$A1031&amp;"|"&amp;(COUNTIFS($A$2:$A1031,$A1031,$E$2:$E1031,"INFRUCTUEUX")+COUNTIFS($A$2:$A1031,$A1031,$E$2:$E1031,"ANNULE")),""))</f>
        <v/>
      </c>
    </row>
    <row r="1032">
      <c r="A1032">
        <f>IF(ISBLANK('ENGAGEMENTS 2026'!B1032),"",IF('ENGAGEMENTS 2026'!B1032="DTSI","DCT",'ENGAGEMENTS 2026'!B1032))</f>
        <v/>
      </c>
      <c r="B1032">
        <f>IF(ISBLANK('ENGAGEMENTS 2026'!B1032),"",'ENGAGEMENTS 2026'!C1032)</f>
        <v/>
      </c>
      <c r="C1032">
        <f>IF(ISBLANK('ENGAGEMENTS 2026'!B1032),"",'ENGAGEMENTS 2026'!D1032)</f>
        <v/>
      </c>
      <c r="D1032">
        <f>IF(ISBLANK('ENGAGEMENTS 2026'!B1032),"",'ENGAGEMENTS 2026'!F1032)</f>
        <v/>
      </c>
      <c r="E1032">
        <f>IF(ISBLANK('ENGAGEMENTS 2026'!B1032),"",'ENGAGEMENTS 2026'!H1032)</f>
        <v/>
      </c>
      <c r="F1032">
        <f>IF(ISBLANK('ENGAGEMENTS 2026'!B1032),"",'ENGAGEMENTS 2026'!I1032)</f>
        <v/>
      </c>
      <c r="G1032">
        <f>IF(ISBLANK('ENGAGEMENTS 2026'!B1032),"",'ENGAGEMENTS 2026'!L1032)</f>
        <v/>
      </c>
      <c r="H1032">
        <f>IF(ISBLANK('ENGAGEMENTS 2026'!B1032),"",'ENGAGEMENTS 2026'!AE1032)</f>
        <v/>
      </c>
      <c r="I1032">
        <f>IF(ISBLANK('ENGAGEMENTS 2026'!B1032),"",'ENGAGEMENTS 2026'!G1032)</f>
        <v/>
      </c>
      <c r="J1032" s="275">
        <f>IF(ISBLANK('ENGAGEMENTS 2026'!B1032),"",IF(AND(OR($E1032="INFRUCTUEUX",$E1032="ANNULE"),$C1032="AOO-M"),'ENGAGEMENTS 2026'!O1032,IF($H1032="EN COURS DE PREENGAGEMENT",'ENGAGEMENTS 2026'!N1032,IF($H1032="PREENGAGE",IF($E1032="ATTRIBUE",'ENGAGEMENTS 2026'!AD1032,'ENGAGEMENTS 2026'!N1032),'ENGAGEMENTS 2026'!AD1032))))</f>
        <v/>
      </c>
      <c r="K1032" s="604">
        <f>IF(ISBLANK('ENGAGEMENTS 2026'!V1032),"",'ENGAGEMENTS 2026'!V1032)</f>
        <v/>
      </c>
      <c r="L1032" s="276">
        <f>IF($K1032="","",TODAY()-$K1032)</f>
        <v/>
      </c>
      <c r="M1032">
        <f>IF($A1032="","",IF($H1032="ENGAGE","Engagé",IF(AND($H1032="NON ENGAGE",OR($I1032="INFRUCTUEUX",$I1032="ANNULE")),"Clôturé sans suite","En cours")))</f>
        <v/>
      </c>
      <c r="N1032">
        <f>IF(ISBLANK('ENGAGEMENTS 2026'!B1032),"",'ENGAGEMENTS 2026'!K1032)</f>
        <v/>
      </c>
      <c r="O1032">
        <f>IF(ISBLANK('ENGAGEMENTS 2026'!B1032),"",'ENGAGEMENTS 2026'!L1032)</f>
        <v/>
      </c>
      <c r="P1032">
        <f>IF(ISBLANK('ENGAGEMENTS 2026'!B1032),"",'ENGAGEMENTS 2026'!J1032)</f>
        <v/>
      </c>
      <c r="Q1032">
        <f>IF($A1032="","",IF(OR($E1032="INFRUCTUEUX",$E1032="ANNULE"),$A1032&amp;"|"&amp;(COUNTIFS($A$2:$A1032,$A1032,$E$2:$E1032,"INFRUCTUEUX")+COUNTIFS($A$2:$A1032,$A1032,$E$2:$E1032,"ANNULE")),""))</f>
        <v/>
      </c>
    </row>
    <row r="1033">
      <c r="A1033">
        <f>IF(ISBLANK('ENGAGEMENTS 2026'!B1033),"",IF('ENGAGEMENTS 2026'!B1033="DTSI","DCT",'ENGAGEMENTS 2026'!B1033))</f>
        <v/>
      </c>
      <c r="B1033">
        <f>IF(ISBLANK('ENGAGEMENTS 2026'!B1033),"",'ENGAGEMENTS 2026'!C1033)</f>
        <v/>
      </c>
      <c r="C1033">
        <f>IF(ISBLANK('ENGAGEMENTS 2026'!B1033),"",'ENGAGEMENTS 2026'!D1033)</f>
        <v/>
      </c>
      <c r="D1033">
        <f>IF(ISBLANK('ENGAGEMENTS 2026'!B1033),"",'ENGAGEMENTS 2026'!F1033)</f>
        <v/>
      </c>
      <c r="E1033">
        <f>IF(ISBLANK('ENGAGEMENTS 2026'!B1033),"",'ENGAGEMENTS 2026'!H1033)</f>
        <v/>
      </c>
      <c r="F1033">
        <f>IF(ISBLANK('ENGAGEMENTS 2026'!B1033),"",'ENGAGEMENTS 2026'!I1033)</f>
        <v/>
      </c>
      <c r="G1033">
        <f>IF(ISBLANK('ENGAGEMENTS 2026'!B1033),"",'ENGAGEMENTS 2026'!L1033)</f>
        <v/>
      </c>
      <c r="H1033">
        <f>IF(ISBLANK('ENGAGEMENTS 2026'!B1033),"",'ENGAGEMENTS 2026'!AE1033)</f>
        <v/>
      </c>
      <c r="I1033">
        <f>IF(ISBLANK('ENGAGEMENTS 2026'!B1033),"",'ENGAGEMENTS 2026'!G1033)</f>
        <v/>
      </c>
      <c r="J1033" s="275">
        <f>IF(ISBLANK('ENGAGEMENTS 2026'!B1033),"",IF(AND(OR($E1033="INFRUCTUEUX",$E1033="ANNULE"),$C1033="AOO-M"),'ENGAGEMENTS 2026'!O1033,IF($H1033="EN COURS DE PREENGAGEMENT",'ENGAGEMENTS 2026'!N1033,IF($H1033="PREENGAGE",IF($E1033="ATTRIBUE",'ENGAGEMENTS 2026'!AD1033,'ENGAGEMENTS 2026'!N1033),'ENGAGEMENTS 2026'!AD1033))))</f>
        <v/>
      </c>
      <c r="K1033" s="604">
        <f>IF(ISBLANK('ENGAGEMENTS 2026'!V1033),"",'ENGAGEMENTS 2026'!V1033)</f>
        <v/>
      </c>
      <c r="L1033" s="276">
        <f>IF($K1033="","",TODAY()-$K1033)</f>
        <v/>
      </c>
      <c r="M1033">
        <f>IF($A1033="","",IF($H1033="ENGAGE","Engagé",IF(AND($H1033="NON ENGAGE",OR($I1033="INFRUCTUEUX",$I1033="ANNULE")),"Clôturé sans suite","En cours")))</f>
        <v/>
      </c>
      <c r="N1033">
        <f>IF(ISBLANK('ENGAGEMENTS 2026'!B1033),"",'ENGAGEMENTS 2026'!K1033)</f>
        <v/>
      </c>
      <c r="O1033">
        <f>IF(ISBLANK('ENGAGEMENTS 2026'!B1033),"",'ENGAGEMENTS 2026'!L1033)</f>
        <v/>
      </c>
      <c r="P1033">
        <f>IF(ISBLANK('ENGAGEMENTS 2026'!B1033),"",'ENGAGEMENTS 2026'!J1033)</f>
        <v/>
      </c>
      <c r="Q1033">
        <f>IF($A1033="","",IF(OR($E1033="INFRUCTUEUX",$E1033="ANNULE"),$A1033&amp;"|"&amp;(COUNTIFS($A$2:$A1033,$A1033,$E$2:$E1033,"INFRUCTUEUX")+COUNTIFS($A$2:$A1033,$A1033,$E$2:$E1033,"ANNULE")),""))</f>
        <v/>
      </c>
    </row>
    <row r="1034">
      <c r="A1034">
        <f>IF(ISBLANK('ENGAGEMENTS 2026'!B1034),"",IF('ENGAGEMENTS 2026'!B1034="DTSI","DCT",'ENGAGEMENTS 2026'!B1034))</f>
        <v/>
      </c>
      <c r="B1034">
        <f>IF(ISBLANK('ENGAGEMENTS 2026'!B1034),"",'ENGAGEMENTS 2026'!C1034)</f>
        <v/>
      </c>
      <c r="C1034">
        <f>IF(ISBLANK('ENGAGEMENTS 2026'!B1034),"",'ENGAGEMENTS 2026'!D1034)</f>
        <v/>
      </c>
      <c r="D1034">
        <f>IF(ISBLANK('ENGAGEMENTS 2026'!B1034),"",'ENGAGEMENTS 2026'!F1034)</f>
        <v/>
      </c>
      <c r="E1034">
        <f>IF(ISBLANK('ENGAGEMENTS 2026'!B1034),"",'ENGAGEMENTS 2026'!H1034)</f>
        <v/>
      </c>
      <c r="F1034">
        <f>IF(ISBLANK('ENGAGEMENTS 2026'!B1034),"",'ENGAGEMENTS 2026'!I1034)</f>
        <v/>
      </c>
      <c r="G1034">
        <f>IF(ISBLANK('ENGAGEMENTS 2026'!B1034),"",'ENGAGEMENTS 2026'!L1034)</f>
        <v/>
      </c>
      <c r="H1034">
        <f>IF(ISBLANK('ENGAGEMENTS 2026'!B1034),"",'ENGAGEMENTS 2026'!AE1034)</f>
        <v/>
      </c>
      <c r="I1034">
        <f>IF(ISBLANK('ENGAGEMENTS 2026'!B1034),"",'ENGAGEMENTS 2026'!G1034)</f>
        <v/>
      </c>
      <c r="J1034" s="275">
        <f>IF(ISBLANK('ENGAGEMENTS 2026'!B1034),"",IF(AND(OR($E1034="INFRUCTUEUX",$E1034="ANNULE"),$C1034="AOO-M"),'ENGAGEMENTS 2026'!O1034,IF($H1034="EN COURS DE PREENGAGEMENT",'ENGAGEMENTS 2026'!N1034,IF($H1034="PREENGAGE",IF($E1034="ATTRIBUE",'ENGAGEMENTS 2026'!AD1034,'ENGAGEMENTS 2026'!N1034),'ENGAGEMENTS 2026'!AD1034))))</f>
        <v/>
      </c>
      <c r="K1034" s="604">
        <f>IF(ISBLANK('ENGAGEMENTS 2026'!V1034),"",'ENGAGEMENTS 2026'!V1034)</f>
        <v/>
      </c>
      <c r="L1034" s="276">
        <f>IF($K1034="","",TODAY()-$K1034)</f>
        <v/>
      </c>
      <c r="M1034">
        <f>IF($A1034="","",IF($H1034="ENGAGE","Engagé",IF(AND($H1034="NON ENGAGE",OR($I1034="INFRUCTUEUX",$I1034="ANNULE")),"Clôturé sans suite","En cours")))</f>
        <v/>
      </c>
      <c r="N1034">
        <f>IF(ISBLANK('ENGAGEMENTS 2026'!B1034),"",'ENGAGEMENTS 2026'!K1034)</f>
        <v/>
      </c>
      <c r="O1034">
        <f>IF(ISBLANK('ENGAGEMENTS 2026'!B1034),"",'ENGAGEMENTS 2026'!L1034)</f>
        <v/>
      </c>
      <c r="P1034">
        <f>IF(ISBLANK('ENGAGEMENTS 2026'!B1034),"",'ENGAGEMENTS 2026'!J1034)</f>
        <v/>
      </c>
      <c r="Q1034">
        <f>IF($A1034="","",IF(OR($E1034="INFRUCTUEUX",$E1034="ANNULE"),$A1034&amp;"|"&amp;(COUNTIFS($A$2:$A1034,$A1034,$E$2:$E1034,"INFRUCTUEUX")+COUNTIFS($A$2:$A1034,$A1034,$E$2:$E1034,"ANNULE")),""))</f>
        <v/>
      </c>
    </row>
    <row r="1035">
      <c r="A1035">
        <f>IF(ISBLANK('ENGAGEMENTS 2026'!B1035),"",IF('ENGAGEMENTS 2026'!B1035="DTSI","DCT",'ENGAGEMENTS 2026'!B1035))</f>
        <v/>
      </c>
      <c r="B1035">
        <f>IF(ISBLANK('ENGAGEMENTS 2026'!B1035),"",'ENGAGEMENTS 2026'!C1035)</f>
        <v/>
      </c>
      <c r="C1035">
        <f>IF(ISBLANK('ENGAGEMENTS 2026'!B1035),"",'ENGAGEMENTS 2026'!D1035)</f>
        <v/>
      </c>
      <c r="D1035">
        <f>IF(ISBLANK('ENGAGEMENTS 2026'!B1035),"",'ENGAGEMENTS 2026'!F1035)</f>
        <v/>
      </c>
      <c r="E1035">
        <f>IF(ISBLANK('ENGAGEMENTS 2026'!B1035),"",'ENGAGEMENTS 2026'!H1035)</f>
        <v/>
      </c>
      <c r="F1035">
        <f>IF(ISBLANK('ENGAGEMENTS 2026'!B1035),"",'ENGAGEMENTS 2026'!I1035)</f>
        <v/>
      </c>
      <c r="G1035">
        <f>IF(ISBLANK('ENGAGEMENTS 2026'!B1035),"",'ENGAGEMENTS 2026'!L1035)</f>
        <v/>
      </c>
      <c r="H1035">
        <f>IF(ISBLANK('ENGAGEMENTS 2026'!B1035),"",'ENGAGEMENTS 2026'!AE1035)</f>
        <v/>
      </c>
      <c r="I1035">
        <f>IF(ISBLANK('ENGAGEMENTS 2026'!B1035),"",'ENGAGEMENTS 2026'!G1035)</f>
        <v/>
      </c>
      <c r="J1035" s="275">
        <f>IF(ISBLANK('ENGAGEMENTS 2026'!B1035),"",IF(AND(OR($E1035="INFRUCTUEUX",$E1035="ANNULE"),$C1035="AOO-M"),'ENGAGEMENTS 2026'!O1035,IF($H1035="EN COURS DE PREENGAGEMENT",'ENGAGEMENTS 2026'!N1035,IF($H1035="PREENGAGE",IF($E1035="ATTRIBUE",'ENGAGEMENTS 2026'!AD1035,'ENGAGEMENTS 2026'!N1035),'ENGAGEMENTS 2026'!AD1035))))</f>
        <v/>
      </c>
      <c r="K1035" s="604">
        <f>IF(ISBLANK('ENGAGEMENTS 2026'!V1035),"",'ENGAGEMENTS 2026'!V1035)</f>
        <v/>
      </c>
      <c r="L1035" s="276">
        <f>IF($K1035="","",TODAY()-$K1035)</f>
        <v/>
      </c>
      <c r="M1035">
        <f>IF($A1035="","",IF($H1035="ENGAGE","Engagé",IF(AND($H1035="NON ENGAGE",OR($I1035="INFRUCTUEUX",$I1035="ANNULE")),"Clôturé sans suite","En cours")))</f>
        <v/>
      </c>
      <c r="N1035">
        <f>IF(ISBLANK('ENGAGEMENTS 2026'!B1035),"",'ENGAGEMENTS 2026'!K1035)</f>
        <v/>
      </c>
      <c r="O1035">
        <f>IF(ISBLANK('ENGAGEMENTS 2026'!B1035),"",'ENGAGEMENTS 2026'!L1035)</f>
        <v/>
      </c>
      <c r="P1035">
        <f>IF(ISBLANK('ENGAGEMENTS 2026'!B1035),"",'ENGAGEMENTS 2026'!J1035)</f>
        <v/>
      </c>
      <c r="Q1035">
        <f>IF($A1035="","",IF(OR($E1035="INFRUCTUEUX",$E1035="ANNULE"),$A1035&amp;"|"&amp;(COUNTIFS($A$2:$A1035,$A1035,$E$2:$E1035,"INFRUCTUEUX")+COUNTIFS($A$2:$A1035,$A1035,$E$2:$E1035,"ANNULE")),""))</f>
        <v/>
      </c>
    </row>
    <row r="1036">
      <c r="A1036">
        <f>IF(ISBLANK('ENGAGEMENTS 2026'!B1036),"",IF('ENGAGEMENTS 2026'!B1036="DTSI","DCT",'ENGAGEMENTS 2026'!B1036))</f>
        <v/>
      </c>
      <c r="B1036">
        <f>IF(ISBLANK('ENGAGEMENTS 2026'!B1036),"",'ENGAGEMENTS 2026'!C1036)</f>
        <v/>
      </c>
      <c r="C1036">
        <f>IF(ISBLANK('ENGAGEMENTS 2026'!B1036),"",'ENGAGEMENTS 2026'!D1036)</f>
        <v/>
      </c>
      <c r="D1036">
        <f>IF(ISBLANK('ENGAGEMENTS 2026'!B1036),"",'ENGAGEMENTS 2026'!F1036)</f>
        <v/>
      </c>
      <c r="E1036">
        <f>IF(ISBLANK('ENGAGEMENTS 2026'!B1036),"",'ENGAGEMENTS 2026'!H1036)</f>
        <v/>
      </c>
      <c r="F1036">
        <f>IF(ISBLANK('ENGAGEMENTS 2026'!B1036),"",'ENGAGEMENTS 2026'!I1036)</f>
        <v/>
      </c>
      <c r="G1036">
        <f>IF(ISBLANK('ENGAGEMENTS 2026'!B1036),"",'ENGAGEMENTS 2026'!L1036)</f>
        <v/>
      </c>
      <c r="H1036">
        <f>IF(ISBLANK('ENGAGEMENTS 2026'!B1036),"",'ENGAGEMENTS 2026'!AE1036)</f>
        <v/>
      </c>
      <c r="I1036">
        <f>IF(ISBLANK('ENGAGEMENTS 2026'!B1036),"",'ENGAGEMENTS 2026'!G1036)</f>
        <v/>
      </c>
      <c r="J1036" s="275">
        <f>IF(ISBLANK('ENGAGEMENTS 2026'!B1036),"",IF(AND(OR($E1036="INFRUCTUEUX",$E1036="ANNULE"),$C1036="AOO-M"),'ENGAGEMENTS 2026'!O1036,IF($H1036="EN COURS DE PREENGAGEMENT",'ENGAGEMENTS 2026'!N1036,IF($H1036="PREENGAGE",IF($E1036="ATTRIBUE",'ENGAGEMENTS 2026'!AD1036,'ENGAGEMENTS 2026'!N1036),'ENGAGEMENTS 2026'!AD1036))))</f>
        <v/>
      </c>
      <c r="K1036" s="604">
        <f>IF(ISBLANK('ENGAGEMENTS 2026'!V1036),"",'ENGAGEMENTS 2026'!V1036)</f>
        <v/>
      </c>
      <c r="L1036" s="276">
        <f>IF($K1036="","",TODAY()-$K1036)</f>
        <v/>
      </c>
      <c r="M1036">
        <f>IF($A1036="","",IF($H1036="ENGAGE","Engagé",IF(AND($H1036="NON ENGAGE",OR($I1036="INFRUCTUEUX",$I1036="ANNULE")),"Clôturé sans suite","En cours")))</f>
        <v/>
      </c>
      <c r="N1036">
        <f>IF(ISBLANK('ENGAGEMENTS 2026'!B1036),"",'ENGAGEMENTS 2026'!K1036)</f>
        <v/>
      </c>
      <c r="O1036">
        <f>IF(ISBLANK('ENGAGEMENTS 2026'!B1036),"",'ENGAGEMENTS 2026'!L1036)</f>
        <v/>
      </c>
      <c r="P1036">
        <f>IF(ISBLANK('ENGAGEMENTS 2026'!B1036),"",'ENGAGEMENTS 2026'!J1036)</f>
        <v/>
      </c>
      <c r="Q1036">
        <f>IF($A1036="","",IF(OR($E1036="INFRUCTUEUX",$E1036="ANNULE"),$A1036&amp;"|"&amp;(COUNTIFS($A$2:$A1036,$A1036,$E$2:$E1036,"INFRUCTUEUX")+COUNTIFS($A$2:$A1036,$A1036,$E$2:$E1036,"ANNULE")),""))</f>
        <v/>
      </c>
    </row>
    <row r="1037">
      <c r="A1037">
        <f>IF(ISBLANK('ENGAGEMENTS 2026'!B1037),"",IF('ENGAGEMENTS 2026'!B1037="DTSI","DCT",'ENGAGEMENTS 2026'!B1037))</f>
        <v/>
      </c>
      <c r="B1037">
        <f>IF(ISBLANK('ENGAGEMENTS 2026'!B1037),"",'ENGAGEMENTS 2026'!C1037)</f>
        <v/>
      </c>
      <c r="C1037">
        <f>IF(ISBLANK('ENGAGEMENTS 2026'!B1037),"",'ENGAGEMENTS 2026'!D1037)</f>
        <v/>
      </c>
      <c r="D1037">
        <f>IF(ISBLANK('ENGAGEMENTS 2026'!B1037),"",'ENGAGEMENTS 2026'!F1037)</f>
        <v/>
      </c>
      <c r="E1037">
        <f>IF(ISBLANK('ENGAGEMENTS 2026'!B1037),"",'ENGAGEMENTS 2026'!H1037)</f>
        <v/>
      </c>
      <c r="F1037">
        <f>IF(ISBLANK('ENGAGEMENTS 2026'!B1037),"",'ENGAGEMENTS 2026'!I1037)</f>
        <v/>
      </c>
      <c r="G1037">
        <f>IF(ISBLANK('ENGAGEMENTS 2026'!B1037),"",'ENGAGEMENTS 2026'!L1037)</f>
        <v/>
      </c>
      <c r="H1037">
        <f>IF(ISBLANK('ENGAGEMENTS 2026'!B1037),"",'ENGAGEMENTS 2026'!AE1037)</f>
        <v/>
      </c>
      <c r="I1037">
        <f>IF(ISBLANK('ENGAGEMENTS 2026'!B1037),"",'ENGAGEMENTS 2026'!G1037)</f>
        <v/>
      </c>
      <c r="J1037" s="275">
        <f>IF(ISBLANK('ENGAGEMENTS 2026'!B1037),"",IF(AND(OR($E1037="INFRUCTUEUX",$E1037="ANNULE"),$C1037="AOO-M"),'ENGAGEMENTS 2026'!O1037,IF($H1037="EN COURS DE PREENGAGEMENT",'ENGAGEMENTS 2026'!N1037,IF($H1037="PREENGAGE",IF($E1037="ATTRIBUE",'ENGAGEMENTS 2026'!AD1037,'ENGAGEMENTS 2026'!N1037),'ENGAGEMENTS 2026'!AD1037))))</f>
        <v/>
      </c>
      <c r="K1037" s="604">
        <f>IF(ISBLANK('ENGAGEMENTS 2026'!V1037),"",'ENGAGEMENTS 2026'!V1037)</f>
        <v/>
      </c>
      <c r="L1037" s="276">
        <f>IF($K1037="","",TODAY()-$K1037)</f>
        <v/>
      </c>
      <c r="M1037">
        <f>IF($A1037="","",IF($H1037="ENGAGE","Engagé",IF(AND($H1037="NON ENGAGE",OR($I1037="INFRUCTUEUX",$I1037="ANNULE")),"Clôturé sans suite","En cours")))</f>
        <v/>
      </c>
      <c r="N1037">
        <f>IF(ISBLANK('ENGAGEMENTS 2026'!B1037),"",'ENGAGEMENTS 2026'!K1037)</f>
        <v/>
      </c>
      <c r="O1037">
        <f>IF(ISBLANK('ENGAGEMENTS 2026'!B1037),"",'ENGAGEMENTS 2026'!L1037)</f>
        <v/>
      </c>
      <c r="P1037">
        <f>IF(ISBLANK('ENGAGEMENTS 2026'!B1037),"",'ENGAGEMENTS 2026'!J1037)</f>
        <v/>
      </c>
      <c r="Q1037">
        <f>IF($A1037="","",IF(OR($E1037="INFRUCTUEUX",$E1037="ANNULE"),$A1037&amp;"|"&amp;(COUNTIFS($A$2:$A1037,$A1037,$E$2:$E1037,"INFRUCTUEUX")+COUNTIFS($A$2:$A1037,$A1037,$E$2:$E1037,"ANNULE")),""))</f>
        <v/>
      </c>
    </row>
    <row r="1038">
      <c r="A1038">
        <f>IF(ISBLANK('ENGAGEMENTS 2026'!B1038),"",IF('ENGAGEMENTS 2026'!B1038="DTSI","DCT",'ENGAGEMENTS 2026'!B1038))</f>
        <v/>
      </c>
      <c r="B1038">
        <f>IF(ISBLANK('ENGAGEMENTS 2026'!B1038),"",'ENGAGEMENTS 2026'!C1038)</f>
        <v/>
      </c>
      <c r="C1038">
        <f>IF(ISBLANK('ENGAGEMENTS 2026'!B1038),"",'ENGAGEMENTS 2026'!D1038)</f>
        <v/>
      </c>
      <c r="D1038">
        <f>IF(ISBLANK('ENGAGEMENTS 2026'!B1038),"",'ENGAGEMENTS 2026'!F1038)</f>
        <v/>
      </c>
      <c r="E1038">
        <f>IF(ISBLANK('ENGAGEMENTS 2026'!B1038),"",'ENGAGEMENTS 2026'!H1038)</f>
        <v/>
      </c>
      <c r="F1038">
        <f>IF(ISBLANK('ENGAGEMENTS 2026'!B1038),"",'ENGAGEMENTS 2026'!I1038)</f>
        <v/>
      </c>
      <c r="G1038">
        <f>IF(ISBLANK('ENGAGEMENTS 2026'!B1038),"",'ENGAGEMENTS 2026'!L1038)</f>
        <v/>
      </c>
      <c r="H1038">
        <f>IF(ISBLANK('ENGAGEMENTS 2026'!B1038),"",'ENGAGEMENTS 2026'!AE1038)</f>
        <v/>
      </c>
      <c r="I1038">
        <f>IF(ISBLANK('ENGAGEMENTS 2026'!B1038),"",'ENGAGEMENTS 2026'!G1038)</f>
        <v/>
      </c>
      <c r="J1038" s="275">
        <f>IF(ISBLANK('ENGAGEMENTS 2026'!B1038),"",IF(AND(OR($E1038="INFRUCTUEUX",$E1038="ANNULE"),$C1038="AOO-M"),'ENGAGEMENTS 2026'!O1038,IF($H1038="EN COURS DE PREENGAGEMENT",'ENGAGEMENTS 2026'!N1038,IF($H1038="PREENGAGE",IF($E1038="ATTRIBUE",'ENGAGEMENTS 2026'!AD1038,'ENGAGEMENTS 2026'!N1038),'ENGAGEMENTS 2026'!AD1038))))</f>
        <v/>
      </c>
      <c r="K1038" s="604">
        <f>IF(ISBLANK('ENGAGEMENTS 2026'!V1038),"",'ENGAGEMENTS 2026'!V1038)</f>
        <v/>
      </c>
      <c r="L1038" s="276">
        <f>IF($K1038="","",TODAY()-$K1038)</f>
        <v/>
      </c>
      <c r="M1038">
        <f>IF($A1038="","",IF($H1038="ENGAGE","Engagé",IF(AND($H1038="NON ENGAGE",OR($I1038="INFRUCTUEUX",$I1038="ANNULE")),"Clôturé sans suite","En cours")))</f>
        <v/>
      </c>
      <c r="N1038">
        <f>IF(ISBLANK('ENGAGEMENTS 2026'!B1038),"",'ENGAGEMENTS 2026'!K1038)</f>
        <v/>
      </c>
      <c r="O1038">
        <f>IF(ISBLANK('ENGAGEMENTS 2026'!B1038),"",'ENGAGEMENTS 2026'!L1038)</f>
        <v/>
      </c>
      <c r="P1038">
        <f>IF(ISBLANK('ENGAGEMENTS 2026'!B1038),"",'ENGAGEMENTS 2026'!J1038)</f>
        <v/>
      </c>
      <c r="Q1038">
        <f>IF($A1038="","",IF(OR($E1038="INFRUCTUEUX",$E1038="ANNULE"),$A1038&amp;"|"&amp;(COUNTIFS($A$2:$A1038,$A1038,$E$2:$E1038,"INFRUCTUEUX")+COUNTIFS($A$2:$A1038,$A1038,$E$2:$E1038,"ANNULE")),""))</f>
        <v/>
      </c>
    </row>
    <row r="1039">
      <c r="A1039">
        <f>IF(ISBLANK('ENGAGEMENTS 2026'!B1039),"",IF('ENGAGEMENTS 2026'!B1039="DTSI","DCT",'ENGAGEMENTS 2026'!B1039))</f>
        <v/>
      </c>
      <c r="B1039">
        <f>IF(ISBLANK('ENGAGEMENTS 2026'!B1039),"",'ENGAGEMENTS 2026'!C1039)</f>
        <v/>
      </c>
      <c r="C1039">
        <f>IF(ISBLANK('ENGAGEMENTS 2026'!B1039),"",'ENGAGEMENTS 2026'!D1039)</f>
        <v/>
      </c>
      <c r="D1039">
        <f>IF(ISBLANK('ENGAGEMENTS 2026'!B1039),"",'ENGAGEMENTS 2026'!F1039)</f>
        <v/>
      </c>
      <c r="E1039">
        <f>IF(ISBLANK('ENGAGEMENTS 2026'!B1039),"",'ENGAGEMENTS 2026'!H1039)</f>
        <v/>
      </c>
      <c r="F1039">
        <f>IF(ISBLANK('ENGAGEMENTS 2026'!B1039),"",'ENGAGEMENTS 2026'!I1039)</f>
        <v/>
      </c>
      <c r="G1039">
        <f>IF(ISBLANK('ENGAGEMENTS 2026'!B1039),"",'ENGAGEMENTS 2026'!L1039)</f>
        <v/>
      </c>
      <c r="H1039">
        <f>IF(ISBLANK('ENGAGEMENTS 2026'!B1039),"",'ENGAGEMENTS 2026'!AE1039)</f>
        <v/>
      </c>
      <c r="I1039">
        <f>IF(ISBLANK('ENGAGEMENTS 2026'!B1039),"",'ENGAGEMENTS 2026'!G1039)</f>
        <v/>
      </c>
      <c r="J1039" s="275">
        <f>IF(ISBLANK('ENGAGEMENTS 2026'!B1039),"",IF(AND(OR($E1039="INFRUCTUEUX",$E1039="ANNULE"),$C1039="AOO-M"),'ENGAGEMENTS 2026'!O1039,IF($H1039="EN COURS DE PREENGAGEMENT",'ENGAGEMENTS 2026'!N1039,IF($H1039="PREENGAGE",IF($E1039="ATTRIBUE",'ENGAGEMENTS 2026'!AD1039,'ENGAGEMENTS 2026'!N1039),'ENGAGEMENTS 2026'!AD1039))))</f>
        <v/>
      </c>
      <c r="K1039" s="604">
        <f>IF(ISBLANK('ENGAGEMENTS 2026'!V1039),"",'ENGAGEMENTS 2026'!V1039)</f>
        <v/>
      </c>
      <c r="L1039" s="276">
        <f>IF($K1039="","",TODAY()-$K1039)</f>
        <v/>
      </c>
      <c r="M1039">
        <f>IF($A1039="","",IF($H1039="ENGAGE","Engagé",IF(AND($H1039="NON ENGAGE",OR($I1039="INFRUCTUEUX",$I1039="ANNULE")),"Clôturé sans suite","En cours")))</f>
        <v/>
      </c>
      <c r="N1039">
        <f>IF(ISBLANK('ENGAGEMENTS 2026'!B1039),"",'ENGAGEMENTS 2026'!K1039)</f>
        <v/>
      </c>
      <c r="O1039">
        <f>IF(ISBLANK('ENGAGEMENTS 2026'!B1039),"",'ENGAGEMENTS 2026'!L1039)</f>
        <v/>
      </c>
      <c r="P1039">
        <f>IF(ISBLANK('ENGAGEMENTS 2026'!B1039),"",'ENGAGEMENTS 2026'!J1039)</f>
        <v/>
      </c>
      <c r="Q1039">
        <f>IF($A1039="","",IF(OR($E1039="INFRUCTUEUX",$E1039="ANNULE"),$A1039&amp;"|"&amp;(COUNTIFS($A$2:$A1039,$A1039,$E$2:$E1039,"INFRUCTUEUX")+COUNTIFS($A$2:$A1039,$A1039,$E$2:$E1039,"ANNULE")),""))</f>
        <v/>
      </c>
    </row>
    <row r="1040">
      <c r="A1040">
        <f>IF(ISBLANK('ENGAGEMENTS 2026'!B1040),"",IF('ENGAGEMENTS 2026'!B1040="DTSI","DCT",'ENGAGEMENTS 2026'!B1040))</f>
        <v/>
      </c>
      <c r="B1040">
        <f>IF(ISBLANK('ENGAGEMENTS 2026'!B1040),"",'ENGAGEMENTS 2026'!C1040)</f>
        <v/>
      </c>
      <c r="C1040">
        <f>IF(ISBLANK('ENGAGEMENTS 2026'!B1040),"",'ENGAGEMENTS 2026'!D1040)</f>
        <v/>
      </c>
      <c r="D1040">
        <f>IF(ISBLANK('ENGAGEMENTS 2026'!B1040),"",'ENGAGEMENTS 2026'!F1040)</f>
        <v/>
      </c>
      <c r="E1040">
        <f>IF(ISBLANK('ENGAGEMENTS 2026'!B1040),"",'ENGAGEMENTS 2026'!H1040)</f>
        <v/>
      </c>
      <c r="F1040">
        <f>IF(ISBLANK('ENGAGEMENTS 2026'!B1040),"",'ENGAGEMENTS 2026'!I1040)</f>
        <v/>
      </c>
      <c r="G1040">
        <f>IF(ISBLANK('ENGAGEMENTS 2026'!B1040),"",'ENGAGEMENTS 2026'!L1040)</f>
        <v/>
      </c>
      <c r="H1040">
        <f>IF(ISBLANK('ENGAGEMENTS 2026'!B1040),"",'ENGAGEMENTS 2026'!AE1040)</f>
        <v/>
      </c>
      <c r="I1040">
        <f>IF(ISBLANK('ENGAGEMENTS 2026'!B1040),"",'ENGAGEMENTS 2026'!G1040)</f>
        <v/>
      </c>
      <c r="J1040" s="275">
        <f>IF(ISBLANK('ENGAGEMENTS 2026'!B1040),"",IF(AND(OR($E1040="INFRUCTUEUX",$E1040="ANNULE"),$C1040="AOO-M"),'ENGAGEMENTS 2026'!O1040,IF($H1040="EN COURS DE PREENGAGEMENT",'ENGAGEMENTS 2026'!N1040,IF($H1040="PREENGAGE",IF($E1040="ATTRIBUE",'ENGAGEMENTS 2026'!AD1040,'ENGAGEMENTS 2026'!N1040),'ENGAGEMENTS 2026'!AD1040))))</f>
        <v/>
      </c>
      <c r="K1040" s="604">
        <f>IF(ISBLANK('ENGAGEMENTS 2026'!V1040),"",'ENGAGEMENTS 2026'!V1040)</f>
        <v/>
      </c>
      <c r="L1040" s="276">
        <f>IF($K1040="","",TODAY()-$K1040)</f>
        <v/>
      </c>
      <c r="M1040">
        <f>IF($A1040="","",IF($H1040="ENGAGE","Engagé",IF(AND($H1040="NON ENGAGE",OR($I1040="INFRUCTUEUX",$I1040="ANNULE")),"Clôturé sans suite","En cours")))</f>
        <v/>
      </c>
      <c r="N1040">
        <f>IF(ISBLANK('ENGAGEMENTS 2026'!B1040),"",'ENGAGEMENTS 2026'!K1040)</f>
        <v/>
      </c>
      <c r="O1040">
        <f>IF(ISBLANK('ENGAGEMENTS 2026'!B1040),"",'ENGAGEMENTS 2026'!L1040)</f>
        <v/>
      </c>
      <c r="P1040">
        <f>IF(ISBLANK('ENGAGEMENTS 2026'!B1040),"",'ENGAGEMENTS 2026'!J1040)</f>
        <v/>
      </c>
      <c r="Q1040">
        <f>IF($A1040="","",IF(OR($E1040="INFRUCTUEUX",$E1040="ANNULE"),$A1040&amp;"|"&amp;(COUNTIFS($A$2:$A1040,$A1040,$E$2:$E1040,"INFRUCTUEUX")+COUNTIFS($A$2:$A1040,$A1040,$E$2:$E1040,"ANNULE")),""))</f>
        <v/>
      </c>
    </row>
    <row r="1041">
      <c r="A1041">
        <f>IF(ISBLANK('ENGAGEMENTS 2026'!B1041),"",IF('ENGAGEMENTS 2026'!B1041="DTSI","DCT",'ENGAGEMENTS 2026'!B1041))</f>
        <v/>
      </c>
      <c r="B1041">
        <f>IF(ISBLANK('ENGAGEMENTS 2026'!B1041),"",'ENGAGEMENTS 2026'!C1041)</f>
        <v/>
      </c>
      <c r="C1041">
        <f>IF(ISBLANK('ENGAGEMENTS 2026'!B1041),"",'ENGAGEMENTS 2026'!D1041)</f>
        <v/>
      </c>
      <c r="D1041">
        <f>IF(ISBLANK('ENGAGEMENTS 2026'!B1041),"",'ENGAGEMENTS 2026'!F1041)</f>
        <v/>
      </c>
      <c r="E1041">
        <f>IF(ISBLANK('ENGAGEMENTS 2026'!B1041),"",'ENGAGEMENTS 2026'!H1041)</f>
        <v/>
      </c>
      <c r="F1041">
        <f>IF(ISBLANK('ENGAGEMENTS 2026'!B1041),"",'ENGAGEMENTS 2026'!I1041)</f>
        <v/>
      </c>
      <c r="G1041">
        <f>IF(ISBLANK('ENGAGEMENTS 2026'!B1041),"",'ENGAGEMENTS 2026'!L1041)</f>
        <v/>
      </c>
      <c r="H1041">
        <f>IF(ISBLANK('ENGAGEMENTS 2026'!B1041),"",'ENGAGEMENTS 2026'!AE1041)</f>
        <v/>
      </c>
      <c r="I1041">
        <f>IF(ISBLANK('ENGAGEMENTS 2026'!B1041),"",'ENGAGEMENTS 2026'!G1041)</f>
        <v/>
      </c>
      <c r="J1041" s="275">
        <f>IF(ISBLANK('ENGAGEMENTS 2026'!B1041),"",IF(AND(OR($E1041="INFRUCTUEUX",$E1041="ANNULE"),$C1041="AOO-M"),'ENGAGEMENTS 2026'!O1041,IF($H1041="EN COURS DE PREENGAGEMENT",'ENGAGEMENTS 2026'!N1041,IF($H1041="PREENGAGE",IF($E1041="ATTRIBUE",'ENGAGEMENTS 2026'!AD1041,'ENGAGEMENTS 2026'!N1041),'ENGAGEMENTS 2026'!AD1041))))</f>
        <v/>
      </c>
      <c r="K1041" s="604">
        <f>IF(ISBLANK('ENGAGEMENTS 2026'!V1041),"",'ENGAGEMENTS 2026'!V1041)</f>
        <v/>
      </c>
      <c r="L1041" s="276">
        <f>IF($K1041="","",TODAY()-$K1041)</f>
        <v/>
      </c>
      <c r="M1041">
        <f>IF($A1041="","",IF($H1041="ENGAGE","Engagé",IF(AND($H1041="NON ENGAGE",OR($I1041="INFRUCTUEUX",$I1041="ANNULE")),"Clôturé sans suite","En cours")))</f>
        <v/>
      </c>
      <c r="N1041">
        <f>IF(ISBLANK('ENGAGEMENTS 2026'!B1041),"",'ENGAGEMENTS 2026'!K1041)</f>
        <v/>
      </c>
      <c r="O1041">
        <f>IF(ISBLANK('ENGAGEMENTS 2026'!B1041),"",'ENGAGEMENTS 2026'!L1041)</f>
        <v/>
      </c>
      <c r="P1041">
        <f>IF(ISBLANK('ENGAGEMENTS 2026'!B1041),"",'ENGAGEMENTS 2026'!J1041)</f>
        <v/>
      </c>
      <c r="Q1041">
        <f>IF($A1041="","",IF(OR($E1041="INFRUCTUEUX",$E1041="ANNULE"),$A1041&amp;"|"&amp;(COUNTIFS($A$2:$A1041,$A1041,$E$2:$E1041,"INFRUCTUEUX")+COUNTIFS($A$2:$A1041,$A1041,$E$2:$E1041,"ANNULE")),""))</f>
        <v/>
      </c>
    </row>
    <row r="1042">
      <c r="A1042">
        <f>IF(ISBLANK('ENGAGEMENTS 2026'!B1042),"",IF('ENGAGEMENTS 2026'!B1042="DTSI","DCT",'ENGAGEMENTS 2026'!B1042))</f>
        <v/>
      </c>
      <c r="B1042">
        <f>IF(ISBLANK('ENGAGEMENTS 2026'!B1042),"",'ENGAGEMENTS 2026'!C1042)</f>
        <v/>
      </c>
      <c r="C1042">
        <f>IF(ISBLANK('ENGAGEMENTS 2026'!B1042),"",'ENGAGEMENTS 2026'!D1042)</f>
        <v/>
      </c>
      <c r="D1042">
        <f>IF(ISBLANK('ENGAGEMENTS 2026'!B1042),"",'ENGAGEMENTS 2026'!F1042)</f>
        <v/>
      </c>
      <c r="E1042">
        <f>IF(ISBLANK('ENGAGEMENTS 2026'!B1042),"",'ENGAGEMENTS 2026'!H1042)</f>
        <v/>
      </c>
      <c r="F1042">
        <f>IF(ISBLANK('ENGAGEMENTS 2026'!B1042),"",'ENGAGEMENTS 2026'!I1042)</f>
        <v/>
      </c>
      <c r="G1042">
        <f>IF(ISBLANK('ENGAGEMENTS 2026'!B1042),"",'ENGAGEMENTS 2026'!L1042)</f>
        <v/>
      </c>
      <c r="H1042">
        <f>IF(ISBLANK('ENGAGEMENTS 2026'!B1042),"",'ENGAGEMENTS 2026'!AE1042)</f>
        <v/>
      </c>
      <c r="I1042">
        <f>IF(ISBLANK('ENGAGEMENTS 2026'!B1042),"",'ENGAGEMENTS 2026'!G1042)</f>
        <v/>
      </c>
      <c r="J1042" s="275">
        <f>IF(ISBLANK('ENGAGEMENTS 2026'!B1042),"",IF(AND(OR($E1042="INFRUCTUEUX",$E1042="ANNULE"),$C1042="AOO-M"),'ENGAGEMENTS 2026'!O1042,IF($H1042="EN COURS DE PREENGAGEMENT",'ENGAGEMENTS 2026'!N1042,IF($H1042="PREENGAGE",IF($E1042="ATTRIBUE",'ENGAGEMENTS 2026'!AD1042,'ENGAGEMENTS 2026'!N1042),'ENGAGEMENTS 2026'!AD1042))))</f>
        <v/>
      </c>
      <c r="K1042" s="604">
        <f>IF(ISBLANK('ENGAGEMENTS 2026'!V1042),"",'ENGAGEMENTS 2026'!V1042)</f>
        <v/>
      </c>
      <c r="L1042" s="276">
        <f>IF($K1042="","",TODAY()-$K1042)</f>
        <v/>
      </c>
      <c r="M1042">
        <f>IF($A1042="","",IF($H1042="ENGAGE","Engagé",IF(AND($H1042="NON ENGAGE",OR($I1042="INFRUCTUEUX",$I1042="ANNULE")),"Clôturé sans suite","En cours")))</f>
        <v/>
      </c>
      <c r="N1042">
        <f>IF(ISBLANK('ENGAGEMENTS 2026'!B1042),"",'ENGAGEMENTS 2026'!K1042)</f>
        <v/>
      </c>
      <c r="O1042">
        <f>IF(ISBLANK('ENGAGEMENTS 2026'!B1042),"",'ENGAGEMENTS 2026'!L1042)</f>
        <v/>
      </c>
      <c r="P1042">
        <f>IF(ISBLANK('ENGAGEMENTS 2026'!B1042),"",'ENGAGEMENTS 2026'!J1042)</f>
        <v/>
      </c>
      <c r="Q1042">
        <f>IF($A1042="","",IF(OR($E1042="INFRUCTUEUX",$E1042="ANNULE"),$A1042&amp;"|"&amp;(COUNTIFS($A$2:$A1042,$A1042,$E$2:$E1042,"INFRUCTUEUX")+COUNTIFS($A$2:$A1042,$A1042,$E$2:$E1042,"ANNULE")),""))</f>
        <v/>
      </c>
    </row>
    <row r="1043">
      <c r="A1043">
        <f>IF(ISBLANK('ENGAGEMENTS 2026'!B1043),"",IF('ENGAGEMENTS 2026'!B1043="DTSI","DCT",'ENGAGEMENTS 2026'!B1043))</f>
        <v/>
      </c>
      <c r="B1043">
        <f>IF(ISBLANK('ENGAGEMENTS 2026'!B1043),"",'ENGAGEMENTS 2026'!C1043)</f>
        <v/>
      </c>
      <c r="C1043">
        <f>IF(ISBLANK('ENGAGEMENTS 2026'!B1043),"",'ENGAGEMENTS 2026'!D1043)</f>
        <v/>
      </c>
      <c r="D1043">
        <f>IF(ISBLANK('ENGAGEMENTS 2026'!B1043),"",'ENGAGEMENTS 2026'!F1043)</f>
        <v/>
      </c>
      <c r="E1043">
        <f>IF(ISBLANK('ENGAGEMENTS 2026'!B1043),"",'ENGAGEMENTS 2026'!H1043)</f>
        <v/>
      </c>
      <c r="F1043">
        <f>IF(ISBLANK('ENGAGEMENTS 2026'!B1043),"",'ENGAGEMENTS 2026'!I1043)</f>
        <v/>
      </c>
      <c r="G1043">
        <f>IF(ISBLANK('ENGAGEMENTS 2026'!B1043),"",'ENGAGEMENTS 2026'!L1043)</f>
        <v/>
      </c>
      <c r="H1043">
        <f>IF(ISBLANK('ENGAGEMENTS 2026'!B1043),"",'ENGAGEMENTS 2026'!AE1043)</f>
        <v/>
      </c>
      <c r="I1043">
        <f>IF(ISBLANK('ENGAGEMENTS 2026'!B1043),"",'ENGAGEMENTS 2026'!G1043)</f>
        <v/>
      </c>
      <c r="J1043" s="275">
        <f>IF(ISBLANK('ENGAGEMENTS 2026'!B1043),"",IF(AND(OR($E1043="INFRUCTUEUX",$E1043="ANNULE"),$C1043="AOO-M"),'ENGAGEMENTS 2026'!O1043,IF($H1043="EN COURS DE PREENGAGEMENT",'ENGAGEMENTS 2026'!N1043,IF($H1043="PREENGAGE",IF($E1043="ATTRIBUE",'ENGAGEMENTS 2026'!AD1043,'ENGAGEMENTS 2026'!N1043),'ENGAGEMENTS 2026'!AD1043))))</f>
        <v/>
      </c>
      <c r="K1043" s="604">
        <f>IF(ISBLANK('ENGAGEMENTS 2026'!V1043),"",'ENGAGEMENTS 2026'!V1043)</f>
        <v/>
      </c>
      <c r="L1043" s="276">
        <f>IF($K1043="","",TODAY()-$K1043)</f>
        <v/>
      </c>
      <c r="M1043">
        <f>IF($A1043="","",IF($H1043="ENGAGE","Engagé",IF(AND($H1043="NON ENGAGE",OR($I1043="INFRUCTUEUX",$I1043="ANNULE")),"Clôturé sans suite","En cours")))</f>
        <v/>
      </c>
      <c r="N1043">
        <f>IF(ISBLANK('ENGAGEMENTS 2026'!B1043),"",'ENGAGEMENTS 2026'!K1043)</f>
        <v/>
      </c>
      <c r="O1043">
        <f>IF(ISBLANK('ENGAGEMENTS 2026'!B1043),"",'ENGAGEMENTS 2026'!L1043)</f>
        <v/>
      </c>
      <c r="P1043">
        <f>IF(ISBLANK('ENGAGEMENTS 2026'!B1043),"",'ENGAGEMENTS 2026'!J1043)</f>
        <v/>
      </c>
      <c r="Q1043">
        <f>IF($A1043="","",IF(OR($E1043="INFRUCTUEUX",$E1043="ANNULE"),$A1043&amp;"|"&amp;(COUNTIFS($A$2:$A1043,$A1043,$E$2:$E1043,"INFRUCTUEUX")+COUNTIFS($A$2:$A1043,$A1043,$E$2:$E1043,"ANNULE")),""))</f>
        <v/>
      </c>
    </row>
    <row r="1044">
      <c r="A1044">
        <f>IF(ISBLANK('ENGAGEMENTS 2026'!B1044),"",IF('ENGAGEMENTS 2026'!B1044="DTSI","DCT",'ENGAGEMENTS 2026'!B1044))</f>
        <v/>
      </c>
      <c r="B1044">
        <f>IF(ISBLANK('ENGAGEMENTS 2026'!B1044),"",'ENGAGEMENTS 2026'!C1044)</f>
        <v/>
      </c>
      <c r="C1044">
        <f>IF(ISBLANK('ENGAGEMENTS 2026'!B1044),"",'ENGAGEMENTS 2026'!D1044)</f>
        <v/>
      </c>
      <c r="D1044">
        <f>IF(ISBLANK('ENGAGEMENTS 2026'!B1044),"",'ENGAGEMENTS 2026'!F1044)</f>
        <v/>
      </c>
      <c r="E1044">
        <f>IF(ISBLANK('ENGAGEMENTS 2026'!B1044),"",'ENGAGEMENTS 2026'!H1044)</f>
        <v/>
      </c>
      <c r="F1044">
        <f>IF(ISBLANK('ENGAGEMENTS 2026'!B1044),"",'ENGAGEMENTS 2026'!I1044)</f>
        <v/>
      </c>
      <c r="G1044">
        <f>IF(ISBLANK('ENGAGEMENTS 2026'!B1044),"",'ENGAGEMENTS 2026'!L1044)</f>
        <v/>
      </c>
      <c r="H1044">
        <f>IF(ISBLANK('ENGAGEMENTS 2026'!B1044),"",'ENGAGEMENTS 2026'!AE1044)</f>
        <v/>
      </c>
      <c r="I1044">
        <f>IF(ISBLANK('ENGAGEMENTS 2026'!B1044),"",'ENGAGEMENTS 2026'!G1044)</f>
        <v/>
      </c>
      <c r="J1044" s="275">
        <f>IF(ISBLANK('ENGAGEMENTS 2026'!B1044),"",IF(AND(OR($E1044="INFRUCTUEUX",$E1044="ANNULE"),$C1044="AOO-M"),'ENGAGEMENTS 2026'!O1044,IF($H1044="EN COURS DE PREENGAGEMENT",'ENGAGEMENTS 2026'!N1044,IF($H1044="PREENGAGE",IF($E1044="ATTRIBUE",'ENGAGEMENTS 2026'!AD1044,'ENGAGEMENTS 2026'!N1044),'ENGAGEMENTS 2026'!AD1044))))</f>
        <v/>
      </c>
      <c r="K1044" s="604">
        <f>IF(ISBLANK('ENGAGEMENTS 2026'!V1044),"",'ENGAGEMENTS 2026'!V1044)</f>
        <v/>
      </c>
      <c r="L1044" s="276">
        <f>IF($K1044="","",TODAY()-$K1044)</f>
        <v/>
      </c>
      <c r="M1044">
        <f>IF($A1044="","",IF($H1044="ENGAGE","Engagé",IF(AND($H1044="NON ENGAGE",OR($I1044="INFRUCTUEUX",$I1044="ANNULE")),"Clôturé sans suite","En cours")))</f>
        <v/>
      </c>
      <c r="N1044">
        <f>IF(ISBLANK('ENGAGEMENTS 2026'!B1044),"",'ENGAGEMENTS 2026'!K1044)</f>
        <v/>
      </c>
      <c r="O1044">
        <f>IF(ISBLANK('ENGAGEMENTS 2026'!B1044),"",'ENGAGEMENTS 2026'!L1044)</f>
        <v/>
      </c>
      <c r="P1044">
        <f>IF(ISBLANK('ENGAGEMENTS 2026'!B1044),"",'ENGAGEMENTS 2026'!J1044)</f>
        <v/>
      </c>
      <c r="Q1044">
        <f>IF($A1044="","",IF(OR($E1044="INFRUCTUEUX",$E1044="ANNULE"),$A1044&amp;"|"&amp;(COUNTIFS($A$2:$A1044,$A1044,$E$2:$E1044,"INFRUCTUEUX")+COUNTIFS($A$2:$A1044,$A1044,$E$2:$E1044,"ANNULE")),""))</f>
        <v/>
      </c>
    </row>
    <row r="1045">
      <c r="A1045">
        <f>IF(ISBLANK('ENGAGEMENTS 2026'!B1045),"",IF('ENGAGEMENTS 2026'!B1045="DTSI","DCT",'ENGAGEMENTS 2026'!B1045))</f>
        <v/>
      </c>
      <c r="B1045">
        <f>IF(ISBLANK('ENGAGEMENTS 2026'!B1045),"",'ENGAGEMENTS 2026'!C1045)</f>
        <v/>
      </c>
      <c r="C1045">
        <f>IF(ISBLANK('ENGAGEMENTS 2026'!B1045),"",'ENGAGEMENTS 2026'!D1045)</f>
        <v/>
      </c>
      <c r="D1045">
        <f>IF(ISBLANK('ENGAGEMENTS 2026'!B1045),"",'ENGAGEMENTS 2026'!F1045)</f>
        <v/>
      </c>
      <c r="E1045">
        <f>IF(ISBLANK('ENGAGEMENTS 2026'!B1045),"",'ENGAGEMENTS 2026'!H1045)</f>
        <v/>
      </c>
      <c r="F1045">
        <f>IF(ISBLANK('ENGAGEMENTS 2026'!B1045),"",'ENGAGEMENTS 2026'!I1045)</f>
        <v/>
      </c>
      <c r="G1045">
        <f>IF(ISBLANK('ENGAGEMENTS 2026'!B1045),"",'ENGAGEMENTS 2026'!L1045)</f>
        <v/>
      </c>
      <c r="H1045">
        <f>IF(ISBLANK('ENGAGEMENTS 2026'!B1045),"",'ENGAGEMENTS 2026'!AE1045)</f>
        <v/>
      </c>
      <c r="I1045">
        <f>IF(ISBLANK('ENGAGEMENTS 2026'!B1045),"",'ENGAGEMENTS 2026'!G1045)</f>
        <v/>
      </c>
      <c r="J1045" s="275">
        <f>IF(ISBLANK('ENGAGEMENTS 2026'!B1045),"",IF(AND(OR($E1045="INFRUCTUEUX",$E1045="ANNULE"),$C1045="AOO-M"),'ENGAGEMENTS 2026'!O1045,IF($H1045="EN COURS DE PREENGAGEMENT",'ENGAGEMENTS 2026'!N1045,IF($H1045="PREENGAGE",IF($E1045="ATTRIBUE",'ENGAGEMENTS 2026'!AD1045,'ENGAGEMENTS 2026'!N1045),'ENGAGEMENTS 2026'!AD1045))))</f>
        <v/>
      </c>
      <c r="K1045" s="604">
        <f>IF(ISBLANK('ENGAGEMENTS 2026'!V1045),"",'ENGAGEMENTS 2026'!V1045)</f>
        <v/>
      </c>
      <c r="L1045" s="276">
        <f>IF($K1045="","",TODAY()-$K1045)</f>
        <v/>
      </c>
      <c r="M1045">
        <f>IF($A1045="","",IF($H1045="ENGAGE","Engagé",IF(AND($H1045="NON ENGAGE",OR($I1045="INFRUCTUEUX",$I1045="ANNULE")),"Clôturé sans suite","En cours")))</f>
        <v/>
      </c>
      <c r="N1045">
        <f>IF(ISBLANK('ENGAGEMENTS 2026'!B1045),"",'ENGAGEMENTS 2026'!K1045)</f>
        <v/>
      </c>
      <c r="O1045">
        <f>IF(ISBLANK('ENGAGEMENTS 2026'!B1045),"",'ENGAGEMENTS 2026'!L1045)</f>
        <v/>
      </c>
      <c r="P1045">
        <f>IF(ISBLANK('ENGAGEMENTS 2026'!B1045),"",'ENGAGEMENTS 2026'!J1045)</f>
        <v/>
      </c>
      <c r="Q1045">
        <f>IF($A1045="","",IF(OR($E1045="INFRUCTUEUX",$E1045="ANNULE"),$A1045&amp;"|"&amp;(COUNTIFS($A$2:$A1045,$A1045,$E$2:$E1045,"INFRUCTUEUX")+COUNTIFS($A$2:$A1045,$A1045,$E$2:$E1045,"ANNULE")),""))</f>
        <v/>
      </c>
    </row>
    <row r="1046">
      <c r="A1046">
        <f>IF(ISBLANK('ENGAGEMENTS 2026'!B1046),"",IF('ENGAGEMENTS 2026'!B1046="DTSI","DCT",'ENGAGEMENTS 2026'!B1046))</f>
        <v/>
      </c>
      <c r="B1046">
        <f>IF(ISBLANK('ENGAGEMENTS 2026'!B1046),"",'ENGAGEMENTS 2026'!C1046)</f>
        <v/>
      </c>
      <c r="C1046">
        <f>IF(ISBLANK('ENGAGEMENTS 2026'!B1046),"",'ENGAGEMENTS 2026'!D1046)</f>
        <v/>
      </c>
      <c r="D1046">
        <f>IF(ISBLANK('ENGAGEMENTS 2026'!B1046),"",'ENGAGEMENTS 2026'!F1046)</f>
        <v/>
      </c>
      <c r="E1046">
        <f>IF(ISBLANK('ENGAGEMENTS 2026'!B1046),"",'ENGAGEMENTS 2026'!H1046)</f>
        <v/>
      </c>
      <c r="F1046">
        <f>IF(ISBLANK('ENGAGEMENTS 2026'!B1046),"",'ENGAGEMENTS 2026'!I1046)</f>
        <v/>
      </c>
      <c r="G1046">
        <f>IF(ISBLANK('ENGAGEMENTS 2026'!B1046),"",'ENGAGEMENTS 2026'!L1046)</f>
        <v/>
      </c>
      <c r="H1046">
        <f>IF(ISBLANK('ENGAGEMENTS 2026'!B1046),"",'ENGAGEMENTS 2026'!AE1046)</f>
        <v/>
      </c>
      <c r="I1046">
        <f>IF(ISBLANK('ENGAGEMENTS 2026'!B1046),"",'ENGAGEMENTS 2026'!G1046)</f>
        <v/>
      </c>
      <c r="J1046" s="275">
        <f>IF(ISBLANK('ENGAGEMENTS 2026'!B1046),"",IF(AND(OR($E1046="INFRUCTUEUX",$E1046="ANNULE"),$C1046="AOO-M"),'ENGAGEMENTS 2026'!O1046,IF($H1046="EN COURS DE PREENGAGEMENT",'ENGAGEMENTS 2026'!N1046,IF($H1046="PREENGAGE",IF($E1046="ATTRIBUE",'ENGAGEMENTS 2026'!AD1046,'ENGAGEMENTS 2026'!N1046),'ENGAGEMENTS 2026'!AD1046))))</f>
        <v/>
      </c>
      <c r="K1046" s="604">
        <f>IF(ISBLANK('ENGAGEMENTS 2026'!V1046),"",'ENGAGEMENTS 2026'!V1046)</f>
        <v/>
      </c>
      <c r="L1046" s="276">
        <f>IF($K1046="","",TODAY()-$K1046)</f>
        <v/>
      </c>
      <c r="M1046">
        <f>IF($A1046="","",IF($H1046="ENGAGE","Engagé",IF(AND($H1046="NON ENGAGE",OR($I1046="INFRUCTUEUX",$I1046="ANNULE")),"Clôturé sans suite","En cours")))</f>
        <v/>
      </c>
      <c r="N1046">
        <f>IF(ISBLANK('ENGAGEMENTS 2026'!B1046),"",'ENGAGEMENTS 2026'!K1046)</f>
        <v/>
      </c>
      <c r="O1046">
        <f>IF(ISBLANK('ENGAGEMENTS 2026'!B1046),"",'ENGAGEMENTS 2026'!L1046)</f>
        <v/>
      </c>
      <c r="P1046">
        <f>IF(ISBLANK('ENGAGEMENTS 2026'!B1046),"",'ENGAGEMENTS 2026'!J1046)</f>
        <v/>
      </c>
      <c r="Q1046">
        <f>IF($A1046="","",IF(OR($E1046="INFRUCTUEUX",$E1046="ANNULE"),$A1046&amp;"|"&amp;(COUNTIFS($A$2:$A1046,$A1046,$E$2:$E1046,"INFRUCTUEUX")+COUNTIFS($A$2:$A1046,$A1046,$E$2:$E1046,"ANNULE")),""))</f>
        <v/>
      </c>
    </row>
    <row r="1047">
      <c r="A1047">
        <f>IF(ISBLANK('ENGAGEMENTS 2026'!B1047),"",IF('ENGAGEMENTS 2026'!B1047="DTSI","DCT",'ENGAGEMENTS 2026'!B1047))</f>
        <v/>
      </c>
      <c r="B1047">
        <f>IF(ISBLANK('ENGAGEMENTS 2026'!B1047),"",'ENGAGEMENTS 2026'!C1047)</f>
        <v/>
      </c>
      <c r="C1047">
        <f>IF(ISBLANK('ENGAGEMENTS 2026'!B1047),"",'ENGAGEMENTS 2026'!D1047)</f>
        <v/>
      </c>
      <c r="D1047">
        <f>IF(ISBLANK('ENGAGEMENTS 2026'!B1047),"",'ENGAGEMENTS 2026'!F1047)</f>
        <v/>
      </c>
      <c r="E1047">
        <f>IF(ISBLANK('ENGAGEMENTS 2026'!B1047),"",'ENGAGEMENTS 2026'!H1047)</f>
        <v/>
      </c>
      <c r="F1047">
        <f>IF(ISBLANK('ENGAGEMENTS 2026'!B1047),"",'ENGAGEMENTS 2026'!I1047)</f>
        <v/>
      </c>
      <c r="G1047">
        <f>IF(ISBLANK('ENGAGEMENTS 2026'!B1047),"",'ENGAGEMENTS 2026'!L1047)</f>
        <v/>
      </c>
      <c r="H1047">
        <f>IF(ISBLANK('ENGAGEMENTS 2026'!B1047),"",'ENGAGEMENTS 2026'!AE1047)</f>
        <v/>
      </c>
      <c r="I1047">
        <f>IF(ISBLANK('ENGAGEMENTS 2026'!B1047),"",'ENGAGEMENTS 2026'!G1047)</f>
        <v/>
      </c>
      <c r="J1047" s="275">
        <f>IF(ISBLANK('ENGAGEMENTS 2026'!B1047),"",IF(AND(OR($E1047="INFRUCTUEUX",$E1047="ANNULE"),$C1047="AOO-M"),'ENGAGEMENTS 2026'!O1047,IF($H1047="EN COURS DE PREENGAGEMENT",'ENGAGEMENTS 2026'!N1047,IF($H1047="PREENGAGE",IF($E1047="ATTRIBUE",'ENGAGEMENTS 2026'!AD1047,'ENGAGEMENTS 2026'!N1047),'ENGAGEMENTS 2026'!AD1047))))</f>
        <v/>
      </c>
      <c r="K1047" s="604">
        <f>IF(ISBLANK('ENGAGEMENTS 2026'!V1047),"",'ENGAGEMENTS 2026'!V1047)</f>
        <v/>
      </c>
      <c r="L1047" s="276">
        <f>IF($K1047="","",TODAY()-$K1047)</f>
        <v/>
      </c>
      <c r="M1047">
        <f>IF($A1047="","",IF($H1047="ENGAGE","Engagé",IF(AND($H1047="NON ENGAGE",OR($I1047="INFRUCTUEUX",$I1047="ANNULE")),"Clôturé sans suite","En cours")))</f>
        <v/>
      </c>
      <c r="N1047">
        <f>IF(ISBLANK('ENGAGEMENTS 2026'!B1047),"",'ENGAGEMENTS 2026'!K1047)</f>
        <v/>
      </c>
      <c r="O1047">
        <f>IF(ISBLANK('ENGAGEMENTS 2026'!B1047),"",'ENGAGEMENTS 2026'!L1047)</f>
        <v/>
      </c>
      <c r="P1047">
        <f>IF(ISBLANK('ENGAGEMENTS 2026'!B1047),"",'ENGAGEMENTS 2026'!J1047)</f>
        <v/>
      </c>
      <c r="Q1047">
        <f>IF($A1047="","",IF(OR($E1047="INFRUCTUEUX",$E1047="ANNULE"),$A1047&amp;"|"&amp;(COUNTIFS($A$2:$A1047,$A1047,$E$2:$E1047,"INFRUCTUEUX")+COUNTIFS($A$2:$A1047,$A1047,$E$2:$E1047,"ANNULE")),""))</f>
        <v/>
      </c>
    </row>
    <row r="1048">
      <c r="A1048">
        <f>IF(ISBLANK('ENGAGEMENTS 2026'!B1048),"",IF('ENGAGEMENTS 2026'!B1048="DTSI","DCT",'ENGAGEMENTS 2026'!B1048))</f>
        <v/>
      </c>
      <c r="B1048">
        <f>IF(ISBLANK('ENGAGEMENTS 2026'!B1048),"",'ENGAGEMENTS 2026'!C1048)</f>
        <v/>
      </c>
      <c r="C1048">
        <f>IF(ISBLANK('ENGAGEMENTS 2026'!B1048),"",'ENGAGEMENTS 2026'!D1048)</f>
        <v/>
      </c>
      <c r="D1048">
        <f>IF(ISBLANK('ENGAGEMENTS 2026'!B1048),"",'ENGAGEMENTS 2026'!F1048)</f>
        <v/>
      </c>
      <c r="E1048">
        <f>IF(ISBLANK('ENGAGEMENTS 2026'!B1048),"",'ENGAGEMENTS 2026'!H1048)</f>
        <v/>
      </c>
      <c r="F1048">
        <f>IF(ISBLANK('ENGAGEMENTS 2026'!B1048),"",'ENGAGEMENTS 2026'!I1048)</f>
        <v/>
      </c>
      <c r="G1048">
        <f>IF(ISBLANK('ENGAGEMENTS 2026'!B1048),"",'ENGAGEMENTS 2026'!L1048)</f>
        <v/>
      </c>
      <c r="H1048">
        <f>IF(ISBLANK('ENGAGEMENTS 2026'!B1048),"",'ENGAGEMENTS 2026'!AE1048)</f>
        <v/>
      </c>
      <c r="I1048">
        <f>IF(ISBLANK('ENGAGEMENTS 2026'!B1048),"",'ENGAGEMENTS 2026'!G1048)</f>
        <v/>
      </c>
      <c r="J1048" s="275">
        <f>IF(ISBLANK('ENGAGEMENTS 2026'!B1048),"",IF(AND(OR($E1048="INFRUCTUEUX",$E1048="ANNULE"),$C1048="AOO-M"),'ENGAGEMENTS 2026'!O1048,IF($H1048="EN COURS DE PREENGAGEMENT",'ENGAGEMENTS 2026'!N1048,IF($H1048="PREENGAGE",IF($E1048="ATTRIBUE",'ENGAGEMENTS 2026'!AD1048,'ENGAGEMENTS 2026'!N1048),'ENGAGEMENTS 2026'!AD1048))))</f>
        <v/>
      </c>
      <c r="K1048" s="604">
        <f>IF(ISBLANK('ENGAGEMENTS 2026'!V1048),"",'ENGAGEMENTS 2026'!V1048)</f>
        <v/>
      </c>
      <c r="L1048" s="276">
        <f>IF($K1048="","",TODAY()-$K1048)</f>
        <v/>
      </c>
      <c r="M1048">
        <f>IF($A1048="","",IF($H1048="ENGAGE","Engagé",IF(AND($H1048="NON ENGAGE",OR($I1048="INFRUCTUEUX",$I1048="ANNULE")),"Clôturé sans suite","En cours")))</f>
        <v/>
      </c>
      <c r="N1048">
        <f>IF(ISBLANK('ENGAGEMENTS 2026'!B1048),"",'ENGAGEMENTS 2026'!K1048)</f>
        <v/>
      </c>
      <c r="O1048">
        <f>IF(ISBLANK('ENGAGEMENTS 2026'!B1048),"",'ENGAGEMENTS 2026'!L1048)</f>
        <v/>
      </c>
      <c r="P1048">
        <f>IF(ISBLANK('ENGAGEMENTS 2026'!B1048),"",'ENGAGEMENTS 2026'!J1048)</f>
        <v/>
      </c>
      <c r="Q1048">
        <f>IF($A1048="","",IF(OR($E1048="INFRUCTUEUX",$E1048="ANNULE"),$A1048&amp;"|"&amp;(COUNTIFS($A$2:$A1048,$A1048,$E$2:$E1048,"INFRUCTUEUX")+COUNTIFS($A$2:$A1048,$A1048,$E$2:$E1048,"ANNULE")),""))</f>
        <v/>
      </c>
    </row>
    <row r="1049">
      <c r="A1049">
        <f>IF(ISBLANK('ENGAGEMENTS 2026'!B1049),"",IF('ENGAGEMENTS 2026'!B1049="DTSI","DCT",'ENGAGEMENTS 2026'!B1049))</f>
        <v/>
      </c>
      <c r="B1049">
        <f>IF(ISBLANK('ENGAGEMENTS 2026'!B1049),"",'ENGAGEMENTS 2026'!C1049)</f>
        <v/>
      </c>
      <c r="C1049">
        <f>IF(ISBLANK('ENGAGEMENTS 2026'!B1049),"",'ENGAGEMENTS 2026'!D1049)</f>
        <v/>
      </c>
      <c r="D1049">
        <f>IF(ISBLANK('ENGAGEMENTS 2026'!B1049),"",'ENGAGEMENTS 2026'!F1049)</f>
        <v/>
      </c>
      <c r="E1049">
        <f>IF(ISBLANK('ENGAGEMENTS 2026'!B1049),"",'ENGAGEMENTS 2026'!H1049)</f>
        <v/>
      </c>
      <c r="F1049">
        <f>IF(ISBLANK('ENGAGEMENTS 2026'!B1049),"",'ENGAGEMENTS 2026'!I1049)</f>
        <v/>
      </c>
      <c r="G1049">
        <f>IF(ISBLANK('ENGAGEMENTS 2026'!B1049),"",'ENGAGEMENTS 2026'!L1049)</f>
        <v/>
      </c>
      <c r="H1049">
        <f>IF(ISBLANK('ENGAGEMENTS 2026'!B1049),"",'ENGAGEMENTS 2026'!AE1049)</f>
        <v/>
      </c>
      <c r="I1049">
        <f>IF(ISBLANK('ENGAGEMENTS 2026'!B1049),"",'ENGAGEMENTS 2026'!G1049)</f>
        <v/>
      </c>
      <c r="J1049" s="275">
        <f>IF(ISBLANK('ENGAGEMENTS 2026'!B1049),"",IF(AND(OR($E1049="INFRUCTUEUX",$E1049="ANNULE"),$C1049="AOO-M"),'ENGAGEMENTS 2026'!O1049,IF($H1049="EN COURS DE PREENGAGEMENT",'ENGAGEMENTS 2026'!N1049,IF($H1049="PREENGAGE",IF($E1049="ATTRIBUE",'ENGAGEMENTS 2026'!AD1049,'ENGAGEMENTS 2026'!N1049),'ENGAGEMENTS 2026'!AD1049))))</f>
        <v/>
      </c>
      <c r="K1049" s="604">
        <f>IF(ISBLANK('ENGAGEMENTS 2026'!V1049),"",'ENGAGEMENTS 2026'!V1049)</f>
        <v/>
      </c>
      <c r="L1049" s="276">
        <f>IF($K1049="","",TODAY()-$K1049)</f>
        <v/>
      </c>
      <c r="M1049">
        <f>IF($A1049="","",IF($H1049="ENGAGE","Engagé",IF(AND($H1049="NON ENGAGE",OR($I1049="INFRUCTUEUX",$I1049="ANNULE")),"Clôturé sans suite","En cours")))</f>
        <v/>
      </c>
      <c r="N1049">
        <f>IF(ISBLANK('ENGAGEMENTS 2026'!B1049),"",'ENGAGEMENTS 2026'!K1049)</f>
        <v/>
      </c>
      <c r="O1049">
        <f>IF(ISBLANK('ENGAGEMENTS 2026'!B1049),"",'ENGAGEMENTS 2026'!L1049)</f>
        <v/>
      </c>
      <c r="P1049">
        <f>IF(ISBLANK('ENGAGEMENTS 2026'!B1049),"",'ENGAGEMENTS 2026'!J1049)</f>
        <v/>
      </c>
      <c r="Q1049">
        <f>IF($A1049="","",IF(OR($E1049="INFRUCTUEUX",$E1049="ANNULE"),$A1049&amp;"|"&amp;(COUNTIFS($A$2:$A1049,$A1049,$E$2:$E1049,"INFRUCTUEUX")+COUNTIFS($A$2:$A1049,$A1049,$E$2:$E1049,"ANNULE")),""))</f>
        <v/>
      </c>
    </row>
    <row r="1050">
      <c r="A1050">
        <f>IF(ISBLANK('ENGAGEMENTS 2026'!B1050),"",IF('ENGAGEMENTS 2026'!B1050="DTSI","DCT",'ENGAGEMENTS 2026'!B1050))</f>
        <v/>
      </c>
      <c r="B1050">
        <f>IF(ISBLANK('ENGAGEMENTS 2026'!B1050),"",'ENGAGEMENTS 2026'!C1050)</f>
        <v/>
      </c>
      <c r="C1050">
        <f>IF(ISBLANK('ENGAGEMENTS 2026'!B1050),"",'ENGAGEMENTS 2026'!D1050)</f>
        <v/>
      </c>
      <c r="D1050">
        <f>IF(ISBLANK('ENGAGEMENTS 2026'!B1050),"",'ENGAGEMENTS 2026'!F1050)</f>
        <v/>
      </c>
      <c r="E1050">
        <f>IF(ISBLANK('ENGAGEMENTS 2026'!B1050),"",'ENGAGEMENTS 2026'!H1050)</f>
        <v/>
      </c>
      <c r="F1050">
        <f>IF(ISBLANK('ENGAGEMENTS 2026'!B1050),"",'ENGAGEMENTS 2026'!I1050)</f>
        <v/>
      </c>
      <c r="G1050">
        <f>IF(ISBLANK('ENGAGEMENTS 2026'!B1050),"",'ENGAGEMENTS 2026'!L1050)</f>
        <v/>
      </c>
      <c r="H1050">
        <f>IF(ISBLANK('ENGAGEMENTS 2026'!B1050),"",'ENGAGEMENTS 2026'!AE1050)</f>
        <v/>
      </c>
      <c r="I1050">
        <f>IF(ISBLANK('ENGAGEMENTS 2026'!B1050),"",'ENGAGEMENTS 2026'!G1050)</f>
        <v/>
      </c>
      <c r="J1050" s="275">
        <f>IF(ISBLANK('ENGAGEMENTS 2026'!B1050),"",IF(AND(OR($E1050="INFRUCTUEUX",$E1050="ANNULE"),$C1050="AOO-M"),'ENGAGEMENTS 2026'!O1050,IF($H1050="EN COURS DE PREENGAGEMENT",'ENGAGEMENTS 2026'!N1050,IF($H1050="PREENGAGE",IF($E1050="ATTRIBUE",'ENGAGEMENTS 2026'!AD1050,'ENGAGEMENTS 2026'!N1050),'ENGAGEMENTS 2026'!AD1050))))</f>
        <v/>
      </c>
      <c r="K1050" s="604">
        <f>IF(ISBLANK('ENGAGEMENTS 2026'!V1050),"",'ENGAGEMENTS 2026'!V1050)</f>
        <v/>
      </c>
      <c r="L1050" s="276">
        <f>IF($K1050="","",TODAY()-$K1050)</f>
        <v/>
      </c>
      <c r="M1050">
        <f>IF($A1050="","",IF($H1050="ENGAGE","Engagé",IF(AND($H1050="NON ENGAGE",OR($I1050="INFRUCTUEUX",$I1050="ANNULE")),"Clôturé sans suite","En cours")))</f>
        <v/>
      </c>
      <c r="N1050">
        <f>IF(ISBLANK('ENGAGEMENTS 2026'!B1050),"",'ENGAGEMENTS 2026'!K1050)</f>
        <v/>
      </c>
      <c r="O1050">
        <f>IF(ISBLANK('ENGAGEMENTS 2026'!B1050),"",'ENGAGEMENTS 2026'!L1050)</f>
        <v/>
      </c>
      <c r="P1050">
        <f>IF(ISBLANK('ENGAGEMENTS 2026'!B1050),"",'ENGAGEMENTS 2026'!J1050)</f>
        <v/>
      </c>
      <c r="Q1050">
        <f>IF($A1050="","",IF(OR($E1050="INFRUCTUEUX",$E1050="ANNULE"),$A1050&amp;"|"&amp;(COUNTIFS($A$2:$A1050,$A1050,$E$2:$E1050,"INFRUCTUEUX")+COUNTIFS($A$2:$A1050,$A1050,$E$2:$E1050,"ANNULE")),""))</f>
        <v/>
      </c>
    </row>
    <row r="1051">
      <c r="A1051">
        <f>IF(ISBLANK('ENGAGEMENTS 2026'!B1051),"",IF('ENGAGEMENTS 2026'!B1051="DTSI","DCT",'ENGAGEMENTS 2026'!B1051))</f>
        <v/>
      </c>
      <c r="B1051">
        <f>IF(ISBLANK('ENGAGEMENTS 2026'!B1051),"",'ENGAGEMENTS 2026'!C1051)</f>
        <v/>
      </c>
      <c r="C1051">
        <f>IF(ISBLANK('ENGAGEMENTS 2026'!B1051),"",'ENGAGEMENTS 2026'!D1051)</f>
        <v/>
      </c>
      <c r="D1051">
        <f>IF(ISBLANK('ENGAGEMENTS 2026'!B1051),"",'ENGAGEMENTS 2026'!F1051)</f>
        <v/>
      </c>
      <c r="E1051">
        <f>IF(ISBLANK('ENGAGEMENTS 2026'!B1051),"",'ENGAGEMENTS 2026'!H1051)</f>
        <v/>
      </c>
      <c r="F1051">
        <f>IF(ISBLANK('ENGAGEMENTS 2026'!B1051),"",'ENGAGEMENTS 2026'!I1051)</f>
        <v/>
      </c>
      <c r="G1051">
        <f>IF(ISBLANK('ENGAGEMENTS 2026'!B1051),"",'ENGAGEMENTS 2026'!L1051)</f>
        <v/>
      </c>
      <c r="H1051">
        <f>IF(ISBLANK('ENGAGEMENTS 2026'!B1051),"",'ENGAGEMENTS 2026'!AE1051)</f>
        <v/>
      </c>
      <c r="I1051">
        <f>IF(ISBLANK('ENGAGEMENTS 2026'!B1051),"",'ENGAGEMENTS 2026'!G1051)</f>
        <v/>
      </c>
      <c r="J1051" s="275">
        <f>IF(ISBLANK('ENGAGEMENTS 2026'!B1051),"",IF(AND(OR($E1051="INFRUCTUEUX",$E1051="ANNULE"),$C1051="AOO-M"),'ENGAGEMENTS 2026'!O1051,IF($H1051="EN COURS DE PREENGAGEMENT",'ENGAGEMENTS 2026'!N1051,IF($H1051="PREENGAGE",IF($E1051="ATTRIBUE",'ENGAGEMENTS 2026'!AD1051,'ENGAGEMENTS 2026'!N1051),'ENGAGEMENTS 2026'!AD1051))))</f>
        <v/>
      </c>
      <c r="K1051" s="604">
        <f>IF(ISBLANK('ENGAGEMENTS 2026'!V1051),"",'ENGAGEMENTS 2026'!V1051)</f>
        <v/>
      </c>
      <c r="L1051" s="276">
        <f>IF($K1051="","",TODAY()-$K1051)</f>
        <v/>
      </c>
      <c r="M1051">
        <f>IF($A1051="","",IF($H1051="ENGAGE","Engagé",IF(AND($H1051="NON ENGAGE",OR($I1051="INFRUCTUEUX",$I1051="ANNULE")),"Clôturé sans suite","En cours")))</f>
        <v/>
      </c>
      <c r="N1051">
        <f>IF(ISBLANK('ENGAGEMENTS 2026'!B1051),"",'ENGAGEMENTS 2026'!K1051)</f>
        <v/>
      </c>
      <c r="O1051">
        <f>IF(ISBLANK('ENGAGEMENTS 2026'!B1051),"",'ENGAGEMENTS 2026'!L1051)</f>
        <v/>
      </c>
      <c r="P1051">
        <f>IF(ISBLANK('ENGAGEMENTS 2026'!B1051),"",'ENGAGEMENTS 2026'!J1051)</f>
        <v/>
      </c>
      <c r="Q1051">
        <f>IF($A1051="","",IF(OR($E1051="INFRUCTUEUX",$E1051="ANNULE"),$A1051&amp;"|"&amp;(COUNTIFS($A$2:$A1051,$A1051,$E$2:$E1051,"INFRUCTUEUX")+COUNTIFS($A$2:$A1051,$A1051,$E$2:$E1051,"ANNULE")),""))</f>
        <v/>
      </c>
    </row>
    <row r="1052">
      <c r="A1052">
        <f>IF(ISBLANK('ENGAGEMENTS 2026'!B1052),"",IF('ENGAGEMENTS 2026'!B1052="DTSI","DCT",'ENGAGEMENTS 2026'!B1052))</f>
        <v/>
      </c>
      <c r="B1052">
        <f>IF(ISBLANK('ENGAGEMENTS 2026'!B1052),"",'ENGAGEMENTS 2026'!C1052)</f>
        <v/>
      </c>
      <c r="C1052">
        <f>IF(ISBLANK('ENGAGEMENTS 2026'!B1052),"",'ENGAGEMENTS 2026'!D1052)</f>
        <v/>
      </c>
      <c r="D1052">
        <f>IF(ISBLANK('ENGAGEMENTS 2026'!B1052),"",'ENGAGEMENTS 2026'!F1052)</f>
        <v/>
      </c>
      <c r="E1052">
        <f>IF(ISBLANK('ENGAGEMENTS 2026'!B1052),"",'ENGAGEMENTS 2026'!H1052)</f>
        <v/>
      </c>
      <c r="F1052">
        <f>IF(ISBLANK('ENGAGEMENTS 2026'!B1052),"",'ENGAGEMENTS 2026'!I1052)</f>
        <v/>
      </c>
      <c r="G1052">
        <f>IF(ISBLANK('ENGAGEMENTS 2026'!B1052),"",'ENGAGEMENTS 2026'!L1052)</f>
        <v/>
      </c>
      <c r="H1052">
        <f>IF(ISBLANK('ENGAGEMENTS 2026'!B1052),"",'ENGAGEMENTS 2026'!AE1052)</f>
        <v/>
      </c>
      <c r="I1052">
        <f>IF(ISBLANK('ENGAGEMENTS 2026'!B1052),"",'ENGAGEMENTS 2026'!G1052)</f>
        <v/>
      </c>
      <c r="J1052" s="275">
        <f>IF(ISBLANK('ENGAGEMENTS 2026'!B1052),"",IF(AND(OR($E1052="INFRUCTUEUX",$E1052="ANNULE"),$C1052="AOO-M"),'ENGAGEMENTS 2026'!O1052,IF($H1052="EN COURS DE PREENGAGEMENT",'ENGAGEMENTS 2026'!N1052,IF($H1052="PREENGAGE",IF($E1052="ATTRIBUE",'ENGAGEMENTS 2026'!AD1052,'ENGAGEMENTS 2026'!N1052),'ENGAGEMENTS 2026'!AD1052))))</f>
        <v/>
      </c>
      <c r="K1052" s="604">
        <f>IF(ISBLANK('ENGAGEMENTS 2026'!V1052),"",'ENGAGEMENTS 2026'!V1052)</f>
        <v/>
      </c>
      <c r="L1052" s="276">
        <f>IF($K1052="","",TODAY()-$K1052)</f>
        <v/>
      </c>
      <c r="M1052">
        <f>IF($A1052="","",IF($H1052="ENGAGE","Engagé",IF(AND($H1052="NON ENGAGE",OR($I1052="INFRUCTUEUX",$I1052="ANNULE")),"Clôturé sans suite","En cours")))</f>
        <v/>
      </c>
      <c r="N1052">
        <f>IF(ISBLANK('ENGAGEMENTS 2026'!B1052),"",'ENGAGEMENTS 2026'!K1052)</f>
        <v/>
      </c>
      <c r="O1052">
        <f>IF(ISBLANK('ENGAGEMENTS 2026'!B1052),"",'ENGAGEMENTS 2026'!L1052)</f>
        <v/>
      </c>
      <c r="P1052">
        <f>IF(ISBLANK('ENGAGEMENTS 2026'!B1052),"",'ENGAGEMENTS 2026'!J1052)</f>
        <v/>
      </c>
      <c r="Q1052">
        <f>IF($A1052="","",IF(OR($E1052="INFRUCTUEUX",$E1052="ANNULE"),$A1052&amp;"|"&amp;(COUNTIFS($A$2:$A1052,$A1052,$E$2:$E1052,"INFRUCTUEUX")+COUNTIFS($A$2:$A1052,$A1052,$E$2:$E1052,"ANNULE")),""))</f>
        <v/>
      </c>
    </row>
    <row r="1053">
      <c r="A1053">
        <f>IF(ISBLANK('ENGAGEMENTS 2026'!B1053),"",IF('ENGAGEMENTS 2026'!B1053="DTSI","DCT",'ENGAGEMENTS 2026'!B1053))</f>
        <v/>
      </c>
      <c r="B1053">
        <f>IF(ISBLANK('ENGAGEMENTS 2026'!B1053),"",'ENGAGEMENTS 2026'!C1053)</f>
        <v/>
      </c>
      <c r="C1053">
        <f>IF(ISBLANK('ENGAGEMENTS 2026'!B1053),"",'ENGAGEMENTS 2026'!D1053)</f>
        <v/>
      </c>
      <c r="D1053">
        <f>IF(ISBLANK('ENGAGEMENTS 2026'!B1053),"",'ENGAGEMENTS 2026'!F1053)</f>
        <v/>
      </c>
      <c r="E1053">
        <f>IF(ISBLANK('ENGAGEMENTS 2026'!B1053),"",'ENGAGEMENTS 2026'!H1053)</f>
        <v/>
      </c>
      <c r="F1053">
        <f>IF(ISBLANK('ENGAGEMENTS 2026'!B1053),"",'ENGAGEMENTS 2026'!I1053)</f>
        <v/>
      </c>
      <c r="G1053">
        <f>IF(ISBLANK('ENGAGEMENTS 2026'!B1053),"",'ENGAGEMENTS 2026'!L1053)</f>
        <v/>
      </c>
      <c r="H1053">
        <f>IF(ISBLANK('ENGAGEMENTS 2026'!B1053),"",'ENGAGEMENTS 2026'!AE1053)</f>
        <v/>
      </c>
      <c r="I1053">
        <f>IF(ISBLANK('ENGAGEMENTS 2026'!B1053),"",'ENGAGEMENTS 2026'!G1053)</f>
        <v/>
      </c>
      <c r="J1053" s="275">
        <f>IF(ISBLANK('ENGAGEMENTS 2026'!B1053),"",IF(AND(OR($E1053="INFRUCTUEUX",$E1053="ANNULE"),$C1053="AOO-M"),'ENGAGEMENTS 2026'!O1053,IF($H1053="EN COURS DE PREENGAGEMENT",'ENGAGEMENTS 2026'!N1053,IF($H1053="PREENGAGE",IF($E1053="ATTRIBUE",'ENGAGEMENTS 2026'!AD1053,'ENGAGEMENTS 2026'!N1053),'ENGAGEMENTS 2026'!AD1053))))</f>
        <v/>
      </c>
      <c r="K1053" s="604">
        <f>IF(ISBLANK('ENGAGEMENTS 2026'!V1053),"",'ENGAGEMENTS 2026'!V1053)</f>
        <v/>
      </c>
      <c r="L1053" s="276">
        <f>IF($K1053="","",TODAY()-$K1053)</f>
        <v/>
      </c>
      <c r="M1053">
        <f>IF($A1053="","",IF($H1053="ENGAGE","Engagé",IF(AND($H1053="NON ENGAGE",OR($I1053="INFRUCTUEUX",$I1053="ANNULE")),"Clôturé sans suite","En cours")))</f>
        <v/>
      </c>
      <c r="N1053">
        <f>IF(ISBLANK('ENGAGEMENTS 2026'!B1053),"",'ENGAGEMENTS 2026'!K1053)</f>
        <v/>
      </c>
      <c r="O1053">
        <f>IF(ISBLANK('ENGAGEMENTS 2026'!B1053),"",'ENGAGEMENTS 2026'!L1053)</f>
        <v/>
      </c>
      <c r="P1053">
        <f>IF(ISBLANK('ENGAGEMENTS 2026'!B1053),"",'ENGAGEMENTS 2026'!J1053)</f>
        <v/>
      </c>
      <c r="Q1053">
        <f>IF($A1053="","",IF(OR($E1053="INFRUCTUEUX",$E1053="ANNULE"),$A1053&amp;"|"&amp;(COUNTIFS($A$2:$A1053,$A1053,$E$2:$E1053,"INFRUCTUEUX")+COUNTIFS($A$2:$A1053,$A1053,$E$2:$E1053,"ANNULE")),""))</f>
        <v/>
      </c>
    </row>
    <row r="1054">
      <c r="A1054">
        <f>IF(ISBLANK('ENGAGEMENTS 2026'!B1054),"",IF('ENGAGEMENTS 2026'!B1054="DTSI","DCT",'ENGAGEMENTS 2026'!B1054))</f>
        <v/>
      </c>
      <c r="B1054">
        <f>IF(ISBLANK('ENGAGEMENTS 2026'!B1054),"",'ENGAGEMENTS 2026'!C1054)</f>
        <v/>
      </c>
      <c r="C1054">
        <f>IF(ISBLANK('ENGAGEMENTS 2026'!B1054),"",'ENGAGEMENTS 2026'!D1054)</f>
        <v/>
      </c>
      <c r="D1054">
        <f>IF(ISBLANK('ENGAGEMENTS 2026'!B1054),"",'ENGAGEMENTS 2026'!F1054)</f>
        <v/>
      </c>
      <c r="E1054">
        <f>IF(ISBLANK('ENGAGEMENTS 2026'!B1054),"",'ENGAGEMENTS 2026'!H1054)</f>
        <v/>
      </c>
      <c r="F1054">
        <f>IF(ISBLANK('ENGAGEMENTS 2026'!B1054),"",'ENGAGEMENTS 2026'!I1054)</f>
        <v/>
      </c>
      <c r="G1054">
        <f>IF(ISBLANK('ENGAGEMENTS 2026'!B1054),"",'ENGAGEMENTS 2026'!L1054)</f>
        <v/>
      </c>
      <c r="H1054">
        <f>IF(ISBLANK('ENGAGEMENTS 2026'!B1054),"",'ENGAGEMENTS 2026'!AE1054)</f>
        <v/>
      </c>
      <c r="I1054">
        <f>IF(ISBLANK('ENGAGEMENTS 2026'!B1054),"",'ENGAGEMENTS 2026'!G1054)</f>
        <v/>
      </c>
      <c r="J1054" s="275">
        <f>IF(ISBLANK('ENGAGEMENTS 2026'!B1054),"",IF(AND(OR($E1054="INFRUCTUEUX",$E1054="ANNULE"),$C1054="AOO-M"),'ENGAGEMENTS 2026'!O1054,IF($H1054="EN COURS DE PREENGAGEMENT",'ENGAGEMENTS 2026'!N1054,IF($H1054="PREENGAGE",IF($E1054="ATTRIBUE",'ENGAGEMENTS 2026'!AD1054,'ENGAGEMENTS 2026'!N1054),'ENGAGEMENTS 2026'!AD1054))))</f>
        <v/>
      </c>
      <c r="K1054" s="604">
        <f>IF(ISBLANK('ENGAGEMENTS 2026'!V1054),"",'ENGAGEMENTS 2026'!V1054)</f>
        <v/>
      </c>
      <c r="L1054" s="276">
        <f>IF($K1054="","",TODAY()-$K1054)</f>
        <v/>
      </c>
      <c r="M1054">
        <f>IF($A1054="","",IF($H1054="ENGAGE","Engagé",IF(AND($H1054="NON ENGAGE",OR($I1054="INFRUCTUEUX",$I1054="ANNULE")),"Clôturé sans suite","En cours")))</f>
        <v/>
      </c>
      <c r="N1054">
        <f>IF(ISBLANK('ENGAGEMENTS 2026'!B1054),"",'ENGAGEMENTS 2026'!K1054)</f>
        <v/>
      </c>
      <c r="O1054">
        <f>IF(ISBLANK('ENGAGEMENTS 2026'!B1054),"",'ENGAGEMENTS 2026'!L1054)</f>
        <v/>
      </c>
      <c r="P1054">
        <f>IF(ISBLANK('ENGAGEMENTS 2026'!B1054),"",'ENGAGEMENTS 2026'!J1054)</f>
        <v/>
      </c>
      <c r="Q1054">
        <f>IF($A1054="","",IF(OR($E1054="INFRUCTUEUX",$E1054="ANNULE"),$A1054&amp;"|"&amp;(COUNTIFS($A$2:$A1054,$A1054,$E$2:$E1054,"INFRUCTUEUX")+COUNTIFS($A$2:$A1054,$A1054,$E$2:$E1054,"ANNULE")),""))</f>
        <v/>
      </c>
    </row>
    <row r="1055">
      <c r="A1055">
        <f>IF(ISBLANK('ENGAGEMENTS 2026'!B1055),"",IF('ENGAGEMENTS 2026'!B1055="DTSI","DCT",'ENGAGEMENTS 2026'!B1055))</f>
        <v/>
      </c>
      <c r="B1055">
        <f>IF(ISBLANK('ENGAGEMENTS 2026'!B1055),"",'ENGAGEMENTS 2026'!C1055)</f>
        <v/>
      </c>
      <c r="C1055">
        <f>IF(ISBLANK('ENGAGEMENTS 2026'!B1055),"",'ENGAGEMENTS 2026'!D1055)</f>
        <v/>
      </c>
      <c r="D1055">
        <f>IF(ISBLANK('ENGAGEMENTS 2026'!B1055),"",'ENGAGEMENTS 2026'!F1055)</f>
        <v/>
      </c>
      <c r="E1055">
        <f>IF(ISBLANK('ENGAGEMENTS 2026'!B1055),"",'ENGAGEMENTS 2026'!H1055)</f>
        <v/>
      </c>
      <c r="F1055">
        <f>IF(ISBLANK('ENGAGEMENTS 2026'!B1055),"",'ENGAGEMENTS 2026'!I1055)</f>
        <v/>
      </c>
      <c r="G1055">
        <f>IF(ISBLANK('ENGAGEMENTS 2026'!B1055),"",'ENGAGEMENTS 2026'!L1055)</f>
        <v/>
      </c>
      <c r="H1055">
        <f>IF(ISBLANK('ENGAGEMENTS 2026'!B1055),"",'ENGAGEMENTS 2026'!AE1055)</f>
        <v/>
      </c>
      <c r="I1055">
        <f>IF(ISBLANK('ENGAGEMENTS 2026'!B1055),"",'ENGAGEMENTS 2026'!G1055)</f>
        <v/>
      </c>
      <c r="J1055" s="275">
        <f>IF(ISBLANK('ENGAGEMENTS 2026'!B1055),"",IF(AND(OR($E1055="INFRUCTUEUX",$E1055="ANNULE"),$C1055="AOO-M"),'ENGAGEMENTS 2026'!O1055,IF($H1055="EN COURS DE PREENGAGEMENT",'ENGAGEMENTS 2026'!N1055,IF($H1055="PREENGAGE",IF($E1055="ATTRIBUE",'ENGAGEMENTS 2026'!AD1055,'ENGAGEMENTS 2026'!N1055),'ENGAGEMENTS 2026'!AD1055))))</f>
        <v/>
      </c>
      <c r="K1055" s="604">
        <f>IF(ISBLANK('ENGAGEMENTS 2026'!V1055),"",'ENGAGEMENTS 2026'!V1055)</f>
        <v/>
      </c>
      <c r="L1055" s="276">
        <f>IF($K1055="","",TODAY()-$K1055)</f>
        <v/>
      </c>
      <c r="M1055">
        <f>IF($A1055="","",IF($H1055="ENGAGE","Engagé",IF(AND($H1055="NON ENGAGE",OR($I1055="INFRUCTUEUX",$I1055="ANNULE")),"Clôturé sans suite","En cours")))</f>
        <v/>
      </c>
      <c r="N1055">
        <f>IF(ISBLANK('ENGAGEMENTS 2026'!B1055),"",'ENGAGEMENTS 2026'!K1055)</f>
        <v/>
      </c>
      <c r="O1055">
        <f>IF(ISBLANK('ENGAGEMENTS 2026'!B1055),"",'ENGAGEMENTS 2026'!L1055)</f>
        <v/>
      </c>
      <c r="P1055">
        <f>IF(ISBLANK('ENGAGEMENTS 2026'!B1055),"",'ENGAGEMENTS 2026'!J1055)</f>
        <v/>
      </c>
      <c r="Q1055">
        <f>IF($A1055="","",IF(OR($E1055="INFRUCTUEUX",$E1055="ANNULE"),$A1055&amp;"|"&amp;(COUNTIFS($A$2:$A1055,$A1055,$E$2:$E1055,"INFRUCTUEUX")+COUNTIFS($A$2:$A1055,$A1055,$E$2:$E1055,"ANNULE")),""))</f>
        <v/>
      </c>
    </row>
    <row r="1056">
      <c r="A1056">
        <f>IF(ISBLANK('ENGAGEMENTS 2026'!B1056),"",IF('ENGAGEMENTS 2026'!B1056="DTSI","DCT",'ENGAGEMENTS 2026'!B1056))</f>
        <v/>
      </c>
      <c r="B1056">
        <f>IF(ISBLANK('ENGAGEMENTS 2026'!B1056),"",'ENGAGEMENTS 2026'!C1056)</f>
        <v/>
      </c>
      <c r="C1056">
        <f>IF(ISBLANK('ENGAGEMENTS 2026'!B1056),"",'ENGAGEMENTS 2026'!D1056)</f>
        <v/>
      </c>
      <c r="D1056">
        <f>IF(ISBLANK('ENGAGEMENTS 2026'!B1056),"",'ENGAGEMENTS 2026'!F1056)</f>
        <v/>
      </c>
      <c r="E1056">
        <f>IF(ISBLANK('ENGAGEMENTS 2026'!B1056),"",'ENGAGEMENTS 2026'!H1056)</f>
        <v/>
      </c>
      <c r="F1056">
        <f>IF(ISBLANK('ENGAGEMENTS 2026'!B1056),"",'ENGAGEMENTS 2026'!I1056)</f>
        <v/>
      </c>
      <c r="G1056">
        <f>IF(ISBLANK('ENGAGEMENTS 2026'!B1056),"",'ENGAGEMENTS 2026'!L1056)</f>
        <v/>
      </c>
      <c r="H1056">
        <f>IF(ISBLANK('ENGAGEMENTS 2026'!B1056),"",'ENGAGEMENTS 2026'!AE1056)</f>
        <v/>
      </c>
      <c r="I1056">
        <f>IF(ISBLANK('ENGAGEMENTS 2026'!B1056),"",'ENGAGEMENTS 2026'!G1056)</f>
        <v/>
      </c>
      <c r="J1056" s="275">
        <f>IF(ISBLANK('ENGAGEMENTS 2026'!B1056),"",IF(AND(OR($E1056="INFRUCTUEUX",$E1056="ANNULE"),$C1056="AOO-M"),'ENGAGEMENTS 2026'!O1056,IF($H1056="EN COURS DE PREENGAGEMENT",'ENGAGEMENTS 2026'!N1056,IF($H1056="PREENGAGE",IF($E1056="ATTRIBUE",'ENGAGEMENTS 2026'!AD1056,'ENGAGEMENTS 2026'!N1056),'ENGAGEMENTS 2026'!AD1056))))</f>
        <v/>
      </c>
      <c r="K1056" s="604">
        <f>IF(ISBLANK('ENGAGEMENTS 2026'!V1056),"",'ENGAGEMENTS 2026'!V1056)</f>
        <v/>
      </c>
      <c r="L1056" s="276">
        <f>IF($K1056="","",TODAY()-$K1056)</f>
        <v/>
      </c>
      <c r="M1056">
        <f>IF($A1056="","",IF($H1056="ENGAGE","Engagé",IF(AND($H1056="NON ENGAGE",OR($I1056="INFRUCTUEUX",$I1056="ANNULE")),"Clôturé sans suite","En cours")))</f>
        <v/>
      </c>
      <c r="N1056">
        <f>IF(ISBLANK('ENGAGEMENTS 2026'!B1056),"",'ENGAGEMENTS 2026'!K1056)</f>
        <v/>
      </c>
      <c r="O1056">
        <f>IF(ISBLANK('ENGAGEMENTS 2026'!B1056),"",'ENGAGEMENTS 2026'!L1056)</f>
        <v/>
      </c>
      <c r="P1056">
        <f>IF(ISBLANK('ENGAGEMENTS 2026'!B1056),"",'ENGAGEMENTS 2026'!J1056)</f>
        <v/>
      </c>
      <c r="Q1056">
        <f>IF($A1056="","",IF(OR($E1056="INFRUCTUEUX",$E1056="ANNULE"),$A1056&amp;"|"&amp;(COUNTIFS($A$2:$A1056,$A1056,$E$2:$E1056,"INFRUCTUEUX")+COUNTIFS($A$2:$A1056,$A1056,$E$2:$E1056,"ANNULE")),""))</f>
        <v/>
      </c>
    </row>
    <row r="1057">
      <c r="A1057">
        <f>IF(ISBLANK('ENGAGEMENTS 2026'!B1057),"",IF('ENGAGEMENTS 2026'!B1057="DTSI","DCT",'ENGAGEMENTS 2026'!B1057))</f>
        <v/>
      </c>
      <c r="B1057">
        <f>IF(ISBLANK('ENGAGEMENTS 2026'!B1057),"",'ENGAGEMENTS 2026'!C1057)</f>
        <v/>
      </c>
      <c r="C1057">
        <f>IF(ISBLANK('ENGAGEMENTS 2026'!B1057),"",'ENGAGEMENTS 2026'!D1057)</f>
        <v/>
      </c>
      <c r="D1057">
        <f>IF(ISBLANK('ENGAGEMENTS 2026'!B1057),"",'ENGAGEMENTS 2026'!F1057)</f>
        <v/>
      </c>
      <c r="E1057">
        <f>IF(ISBLANK('ENGAGEMENTS 2026'!B1057),"",'ENGAGEMENTS 2026'!H1057)</f>
        <v/>
      </c>
      <c r="F1057">
        <f>IF(ISBLANK('ENGAGEMENTS 2026'!B1057),"",'ENGAGEMENTS 2026'!I1057)</f>
        <v/>
      </c>
      <c r="G1057">
        <f>IF(ISBLANK('ENGAGEMENTS 2026'!B1057),"",'ENGAGEMENTS 2026'!L1057)</f>
        <v/>
      </c>
      <c r="H1057">
        <f>IF(ISBLANK('ENGAGEMENTS 2026'!B1057),"",'ENGAGEMENTS 2026'!AE1057)</f>
        <v/>
      </c>
      <c r="I1057">
        <f>IF(ISBLANK('ENGAGEMENTS 2026'!B1057),"",'ENGAGEMENTS 2026'!G1057)</f>
        <v/>
      </c>
      <c r="J1057" s="275">
        <f>IF(ISBLANK('ENGAGEMENTS 2026'!B1057),"",IF(AND(OR($E1057="INFRUCTUEUX",$E1057="ANNULE"),$C1057="AOO-M"),'ENGAGEMENTS 2026'!O1057,IF($H1057="EN COURS DE PREENGAGEMENT",'ENGAGEMENTS 2026'!N1057,IF($H1057="PREENGAGE",IF($E1057="ATTRIBUE",'ENGAGEMENTS 2026'!AD1057,'ENGAGEMENTS 2026'!N1057),'ENGAGEMENTS 2026'!AD1057))))</f>
        <v/>
      </c>
      <c r="K1057" s="604">
        <f>IF(ISBLANK('ENGAGEMENTS 2026'!V1057),"",'ENGAGEMENTS 2026'!V1057)</f>
        <v/>
      </c>
      <c r="L1057" s="276">
        <f>IF($K1057="","",TODAY()-$K1057)</f>
        <v/>
      </c>
      <c r="M1057">
        <f>IF($A1057="","",IF($H1057="ENGAGE","Engagé",IF(AND($H1057="NON ENGAGE",OR($I1057="INFRUCTUEUX",$I1057="ANNULE")),"Clôturé sans suite","En cours")))</f>
        <v/>
      </c>
      <c r="N1057">
        <f>IF(ISBLANK('ENGAGEMENTS 2026'!B1057),"",'ENGAGEMENTS 2026'!K1057)</f>
        <v/>
      </c>
      <c r="O1057">
        <f>IF(ISBLANK('ENGAGEMENTS 2026'!B1057),"",'ENGAGEMENTS 2026'!L1057)</f>
        <v/>
      </c>
      <c r="P1057">
        <f>IF(ISBLANK('ENGAGEMENTS 2026'!B1057),"",'ENGAGEMENTS 2026'!J1057)</f>
        <v/>
      </c>
      <c r="Q1057">
        <f>IF($A1057="","",IF(OR($E1057="INFRUCTUEUX",$E1057="ANNULE"),$A1057&amp;"|"&amp;(COUNTIFS($A$2:$A1057,$A1057,$E$2:$E1057,"INFRUCTUEUX")+COUNTIFS($A$2:$A1057,$A1057,$E$2:$E1057,"ANNULE")),""))</f>
        <v/>
      </c>
    </row>
    <row r="1058">
      <c r="A1058">
        <f>IF(ISBLANK('ENGAGEMENTS 2026'!B1058),"",IF('ENGAGEMENTS 2026'!B1058="DTSI","DCT",'ENGAGEMENTS 2026'!B1058))</f>
        <v/>
      </c>
      <c r="B1058">
        <f>IF(ISBLANK('ENGAGEMENTS 2026'!B1058),"",'ENGAGEMENTS 2026'!C1058)</f>
        <v/>
      </c>
      <c r="C1058">
        <f>IF(ISBLANK('ENGAGEMENTS 2026'!B1058),"",'ENGAGEMENTS 2026'!D1058)</f>
        <v/>
      </c>
      <c r="D1058">
        <f>IF(ISBLANK('ENGAGEMENTS 2026'!B1058),"",'ENGAGEMENTS 2026'!F1058)</f>
        <v/>
      </c>
      <c r="E1058">
        <f>IF(ISBLANK('ENGAGEMENTS 2026'!B1058),"",'ENGAGEMENTS 2026'!H1058)</f>
        <v/>
      </c>
      <c r="F1058">
        <f>IF(ISBLANK('ENGAGEMENTS 2026'!B1058),"",'ENGAGEMENTS 2026'!I1058)</f>
        <v/>
      </c>
      <c r="G1058">
        <f>IF(ISBLANK('ENGAGEMENTS 2026'!B1058),"",'ENGAGEMENTS 2026'!L1058)</f>
        <v/>
      </c>
      <c r="H1058">
        <f>IF(ISBLANK('ENGAGEMENTS 2026'!B1058),"",'ENGAGEMENTS 2026'!AE1058)</f>
        <v/>
      </c>
      <c r="I1058">
        <f>IF(ISBLANK('ENGAGEMENTS 2026'!B1058),"",'ENGAGEMENTS 2026'!G1058)</f>
        <v/>
      </c>
      <c r="J1058" s="275">
        <f>IF(ISBLANK('ENGAGEMENTS 2026'!B1058),"",IF(AND(OR($E1058="INFRUCTUEUX",$E1058="ANNULE"),$C1058="AOO-M"),'ENGAGEMENTS 2026'!O1058,IF($H1058="EN COURS DE PREENGAGEMENT",'ENGAGEMENTS 2026'!N1058,IF($H1058="PREENGAGE",IF($E1058="ATTRIBUE",'ENGAGEMENTS 2026'!AD1058,'ENGAGEMENTS 2026'!N1058),'ENGAGEMENTS 2026'!AD1058))))</f>
        <v/>
      </c>
      <c r="K1058" s="604">
        <f>IF(ISBLANK('ENGAGEMENTS 2026'!V1058),"",'ENGAGEMENTS 2026'!V1058)</f>
        <v/>
      </c>
      <c r="L1058" s="276">
        <f>IF($K1058="","",TODAY()-$K1058)</f>
        <v/>
      </c>
      <c r="M1058">
        <f>IF($A1058="","",IF($H1058="ENGAGE","Engagé",IF(AND($H1058="NON ENGAGE",OR($I1058="INFRUCTUEUX",$I1058="ANNULE")),"Clôturé sans suite","En cours")))</f>
        <v/>
      </c>
      <c r="N1058">
        <f>IF(ISBLANK('ENGAGEMENTS 2026'!B1058),"",'ENGAGEMENTS 2026'!K1058)</f>
        <v/>
      </c>
      <c r="O1058">
        <f>IF(ISBLANK('ENGAGEMENTS 2026'!B1058),"",'ENGAGEMENTS 2026'!L1058)</f>
        <v/>
      </c>
      <c r="P1058">
        <f>IF(ISBLANK('ENGAGEMENTS 2026'!B1058),"",'ENGAGEMENTS 2026'!J1058)</f>
        <v/>
      </c>
      <c r="Q1058">
        <f>IF($A1058="","",IF(OR($E1058="INFRUCTUEUX",$E1058="ANNULE"),$A1058&amp;"|"&amp;(COUNTIFS($A$2:$A1058,$A1058,$E$2:$E1058,"INFRUCTUEUX")+COUNTIFS($A$2:$A1058,$A1058,$E$2:$E1058,"ANNULE")),""))</f>
        <v/>
      </c>
    </row>
    <row r="1059">
      <c r="A1059">
        <f>IF(ISBLANK('ENGAGEMENTS 2026'!B1059),"",IF('ENGAGEMENTS 2026'!B1059="DTSI","DCT",'ENGAGEMENTS 2026'!B1059))</f>
        <v/>
      </c>
      <c r="B1059">
        <f>IF(ISBLANK('ENGAGEMENTS 2026'!B1059),"",'ENGAGEMENTS 2026'!C1059)</f>
        <v/>
      </c>
      <c r="C1059">
        <f>IF(ISBLANK('ENGAGEMENTS 2026'!B1059),"",'ENGAGEMENTS 2026'!D1059)</f>
        <v/>
      </c>
      <c r="D1059">
        <f>IF(ISBLANK('ENGAGEMENTS 2026'!B1059),"",'ENGAGEMENTS 2026'!F1059)</f>
        <v/>
      </c>
      <c r="E1059">
        <f>IF(ISBLANK('ENGAGEMENTS 2026'!B1059),"",'ENGAGEMENTS 2026'!H1059)</f>
        <v/>
      </c>
      <c r="F1059">
        <f>IF(ISBLANK('ENGAGEMENTS 2026'!B1059),"",'ENGAGEMENTS 2026'!I1059)</f>
        <v/>
      </c>
      <c r="G1059">
        <f>IF(ISBLANK('ENGAGEMENTS 2026'!B1059),"",'ENGAGEMENTS 2026'!L1059)</f>
        <v/>
      </c>
      <c r="H1059">
        <f>IF(ISBLANK('ENGAGEMENTS 2026'!B1059),"",'ENGAGEMENTS 2026'!AE1059)</f>
        <v/>
      </c>
      <c r="I1059">
        <f>IF(ISBLANK('ENGAGEMENTS 2026'!B1059),"",'ENGAGEMENTS 2026'!G1059)</f>
        <v/>
      </c>
      <c r="J1059" s="275">
        <f>IF(ISBLANK('ENGAGEMENTS 2026'!B1059),"",IF(AND(OR($E1059="INFRUCTUEUX",$E1059="ANNULE"),$C1059="AOO-M"),'ENGAGEMENTS 2026'!O1059,IF($H1059="EN COURS DE PREENGAGEMENT",'ENGAGEMENTS 2026'!N1059,IF($H1059="PREENGAGE",IF($E1059="ATTRIBUE",'ENGAGEMENTS 2026'!AD1059,'ENGAGEMENTS 2026'!N1059),'ENGAGEMENTS 2026'!AD1059))))</f>
        <v/>
      </c>
      <c r="K1059" s="604">
        <f>IF(ISBLANK('ENGAGEMENTS 2026'!V1059),"",'ENGAGEMENTS 2026'!V1059)</f>
        <v/>
      </c>
      <c r="L1059" s="276">
        <f>IF($K1059="","",TODAY()-$K1059)</f>
        <v/>
      </c>
      <c r="M1059">
        <f>IF($A1059="","",IF($H1059="ENGAGE","Engagé",IF(AND($H1059="NON ENGAGE",OR($I1059="INFRUCTUEUX",$I1059="ANNULE")),"Clôturé sans suite","En cours")))</f>
        <v/>
      </c>
      <c r="N1059">
        <f>IF(ISBLANK('ENGAGEMENTS 2026'!B1059),"",'ENGAGEMENTS 2026'!K1059)</f>
        <v/>
      </c>
      <c r="O1059">
        <f>IF(ISBLANK('ENGAGEMENTS 2026'!B1059),"",'ENGAGEMENTS 2026'!L1059)</f>
        <v/>
      </c>
      <c r="P1059">
        <f>IF(ISBLANK('ENGAGEMENTS 2026'!B1059),"",'ENGAGEMENTS 2026'!J1059)</f>
        <v/>
      </c>
      <c r="Q1059">
        <f>IF($A1059="","",IF(OR($E1059="INFRUCTUEUX",$E1059="ANNULE"),$A1059&amp;"|"&amp;(COUNTIFS($A$2:$A1059,$A1059,$E$2:$E1059,"INFRUCTUEUX")+COUNTIFS($A$2:$A1059,$A1059,$E$2:$E1059,"ANNULE")),""))</f>
        <v/>
      </c>
    </row>
    <row r="1060">
      <c r="A1060">
        <f>IF(ISBLANK('ENGAGEMENTS 2026'!B1060),"",IF('ENGAGEMENTS 2026'!B1060="DTSI","DCT",'ENGAGEMENTS 2026'!B1060))</f>
        <v/>
      </c>
      <c r="B1060">
        <f>IF(ISBLANK('ENGAGEMENTS 2026'!B1060),"",'ENGAGEMENTS 2026'!C1060)</f>
        <v/>
      </c>
      <c r="C1060">
        <f>IF(ISBLANK('ENGAGEMENTS 2026'!B1060),"",'ENGAGEMENTS 2026'!D1060)</f>
        <v/>
      </c>
      <c r="D1060">
        <f>IF(ISBLANK('ENGAGEMENTS 2026'!B1060),"",'ENGAGEMENTS 2026'!F1060)</f>
        <v/>
      </c>
      <c r="E1060">
        <f>IF(ISBLANK('ENGAGEMENTS 2026'!B1060),"",'ENGAGEMENTS 2026'!H1060)</f>
        <v/>
      </c>
      <c r="F1060">
        <f>IF(ISBLANK('ENGAGEMENTS 2026'!B1060),"",'ENGAGEMENTS 2026'!I1060)</f>
        <v/>
      </c>
      <c r="G1060">
        <f>IF(ISBLANK('ENGAGEMENTS 2026'!B1060),"",'ENGAGEMENTS 2026'!L1060)</f>
        <v/>
      </c>
      <c r="H1060">
        <f>IF(ISBLANK('ENGAGEMENTS 2026'!B1060),"",'ENGAGEMENTS 2026'!AE1060)</f>
        <v/>
      </c>
      <c r="I1060">
        <f>IF(ISBLANK('ENGAGEMENTS 2026'!B1060),"",'ENGAGEMENTS 2026'!G1060)</f>
        <v/>
      </c>
      <c r="J1060" s="275">
        <f>IF(ISBLANK('ENGAGEMENTS 2026'!B1060),"",IF(AND(OR($E1060="INFRUCTUEUX",$E1060="ANNULE"),$C1060="AOO-M"),'ENGAGEMENTS 2026'!O1060,IF($H1060="EN COURS DE PREENGAGEMENT",'ENGAGEMENTS 2026'!N1060,IF($H1060="PREENGAGE",IF($E1060="ATTRIBUE",'ENGAGEMENTS 2026'!AD1060,'ENGAGEMENTS 2026'!N1060),'ENGAGEMENTS 2026'!AD1060))))</f>
        <v/>
      </c>
      <c r="K1060" s="604">
        <f>IF(ISBLANK('ENGAGEMENTS 2026'!V1060),"",'ENGAGEMENTS 2026'!V1060)</f>
        <v/>
      </c>
      <c r="L1060" s="276">
        <f>IF($K1060="","",TODAY()-$K1060)</f>
        <v/>
      </c>
      <c r="M1060">
        <f>IF($A1060="","",IF($H1060="ENGAGE","Engagé",IF(AND($H1060="NON ENGAGE",OR($I1060="INFRUCTUEUX",$I1060="ANNULE")),"Clôturé sans suite","En cours")))</f>
        <v/>
      </c>
      <c r="N1060">
        <f>IF(ISBLANK('ENGAGEMENTS 2026'!B1060),"",'ENGAGEMENTS 2026'!K1060)</f>
        <v/>
      </c>
      <c r="O1060">
        <f>IF(ISBLANK('ENGAGEMENTS 2026'!B1060),"",'ENGAGEMENTS 2026'!L1060)</f>
        <v/>
      </c>
      <c r="P1060">
        <f>IF(ISBLANK('ENGAGEMENTS 2026'!B1060),"",'ENGAGEMENTS 2026'!J1060)</f>
        <v/>
      </c>
      <c r="Q1060">
        <f>IF($A1060="","",IF(OR($E1060="INFRUCTUEUX",$E1060="ANNULE"),$A1060&amp;"|"&amp;(COUNTIFS($A$2:$A1060,$A1060,$E$2:$E1060,"INFRUCTUEUX")+COUNTIFS($A$2:$A1060,$A1060,$E$2:$E1060,"ANNULE")),""))</f>
        <v/>
      </c>
    </row>
    <row r="1061">
      <c r="A1061">
        <f>IF(ISBLANK('ENGAGEMENTS 2026'!B1061),"",IF('ENGAGEMENTS 2026'!B1061="DTSI","DCT",'ENGAGEMENTS 2026'!B1061))</f>
        <v/>
      </c>
      <c r="B1061">
        <f>IF(ISBLANK('ENGAGEMENTS 2026'!B1061),"",'ENGAGEMENTS 2026'!C1061)</f>
        <v/>
      </c>
      <c r="C1061">
        <f>IF(ISBLANK('ENGAGEMENTS 2026'!B1061),"",'ENGAGEMENTS 2026'!D1061)</f>
        <v/>
      </c>
      <c r="D1061">
        <f>IF(ISBLANK('ENGAGEMENTS 2026'!B1061),"",'ENGAGEMENTS 2026'!F1061)</f>
        <v/>
      </c>
      <c r="E1061">
        <f>IF(ISBLANK('ENGAGEMENTS 2026'!B1061),"",'ENGAGEMENTS 2026'!H1061)</f>
        <v/>
      </c>
      <c r="F1061">
        <f>IF(ISBLANK('ENGAGEMENTS 2026'!B1061),"",'ENGAGEMENTS 2026'!I1061)</f>
        <v/>
      </c>
      <c r="G1061">
        <f>IF(ISBLANK('ENGAGEMENTS 2026'!B1061),"",'ENGAGEMENTS 2026'!L1061)</f>
        <v/>
      </c>
      <c r="H1061">
        <f>IF(ISBLANK('ENGAGEMENTS 2026'!B1061),"",'ENGAGEMENTS 2026'!AE1061)</f>
        <v/>
      </c>
      <c r="I1061">
        <f>IF(ISBLANK('ENGAGEMENTS 2026'!B1061),"",'ENGAGEMENTS 2026'!G1061)</f>
        <v/>
      </c>
      <c r="J1061" s="275">
        <f>IF(ISBLANK('ENGAGEMENTS 2026'!B1061),"",IF(AND(OR($E1061="INFRUCTUEUX",$E1061="ANNULE"),$C1061="AOO-M"),'ENGAGEMENTS 2026'!O1061,IF($H1061="EN COURS DE PREENGAGEMENT",'ENGAGEMENTS 2026'!N1061,IF($H1061="PREENGAGE",IF($E1061="ATTRIBUE",'ENGAGEMENTS 2026'!AD1061,'ENGAGEMENTS 2026'!N1061),'ENGAGEMENTS 2026'!AD1061))))</f>
        <v/>
      </c>
      <c r="K1061" s="604">
        <f>IF(ISBLANK('ENGAGEMENTS 2026'!V1061),"",'ENGAGEMENTS 2026'!V1061)</f>
        <v/>
      </c>
      <c r="L1061" s="276">
        <f>IF($K1061="","",TODAY()-$K1061)</f>
        <v/>
      </c>
      <c r="M1061">
        <f>IF($A1061="","",IF($H1061="ENGAGE","Engagé",IF(AND($H1061="NON ENGAGE",OR($I1061="INFRUCTUEUX",$I1061="ANNULE")),"Clôturé sans suite","En cours")))</f>
        <v/>
      </c>
      <c r="N1061">
        <f>IF(ISBLANK('ENGAGEMENTS 2026'!B1061),"",'ENGAGEMENTS 2026'!K1061)</f>
        <v/>
      </c>
      <c r="O1061">
        <f>IF(ISBLANK('ENGAGEMENTS 2026'!B1061),"",'ENGAGEMENTS 2026'!L1061)</f>
        <v/>
      </c>
      <c r="P1061">
        <f>IF(ISBLANK('ENGAGEMENTS 2026'!B1061),"",'ENGAGEMENTS 2026'!J1061)</f>
        <v/>
      </c>
      <c r="Q1061">
        <f>IF($A1061="","",IF(OR($E1061="INFRUCTUEUX",$E1061="ANNULE"),$A1061&amp;"|"&amp;(COUNTIFS($A$2:$A1061,$A1061,$E$2:$E1061,"INFRUCTUEUX")+COUNTIFS($A$2:$A1061,$A1061,$E$2:$E1061,"ANNULE")),""))</f>
        <v/>
      </c>
    </row>
    <row r="1062">
      <c r="A1062">
        <f>IF(ISBLANK('ENGAGEMENTS 2026'!B1062),"",IF('ENGAGEMENTS 2026'!B1062="DTSI","DCT",'ENGAGEMENTS 2026'!B1062))</f>
        <v/>
      </c>
      <c r="B1062">
        <f>IF(ISBLANK('ENGAGEMENTS 2026'!B1062),"",'ENGAGEMENTS 2026'!C1062)</f>
        <v/>
      </c>
      <c r="C1062">
        <f>IF(ISBLANK('ENGAGEMENTS 2026'!B1062),"",'ENGAGEMENTS 2026'!D1062)</f>
        <v/>
      </c>
      <c r="D1062">
        <f>IF(ISBLANK('ENGAGEMENTS 2026'!B1062),"",'ENGAGEMENTS 2026'!F1062)</f>
        <v/>
      </c>
      <c r="E1062">
        <f>IF(ISBLANK('ENGAGEMENTS 2026'!B1062),"",'ENGAGEMENTS 2026'!H1062)</f>
        <v/>
      </c>
      <c r="F1062">
        <f>IF(ISBLANK('ENGAGEMENTS 2026'!B1062),"",'ENGAGEMENTS 2026'!I1062)</f>
        <v/>
      </c>
      <c r="G1062">
        <f>IF(ISBLANK('ENGAGEMENTS 2026'!B1062),"",'ENGAGEMENTS 2026'!L1062)</f>
        <v/>
      </c>
      <c r="H1062">
        <f>IF(ISBLANK('ENGAGEMENTS 2026'!B1062),"",'ENGAGEMENTS 2026'!AE1062)</f>
        <v/>
      </c>
      <c r="I1062">
        <f>IF(ISBLANK('ENGAGEMENTS 2026'!B1062),"",'ENGAGEMENTS 2026'!G1062)</f>
        <v/>
      </c>
      <c r="J1062" s="275">
        <f>IF(ISBLANK('ENGAGEMENTS 2026'!B1062),"",IF(AND(OR($E1062="INFRUCTUEUX",$E1062="ANNULE"),$C1062="AOO-M"),'ENGAGEMENTS 2026'!O1062,IF($H1062="EN COURS DE PREENGAGEMENT",'ENGAGEMENTS 2026'!N1062,IF($H1062="PREENGAGE",IF($E1062="ATTRIBUE",'ENGAGEMENTS 2026'!AD1062,'ENGAGEMENTS 2026'!N1062),'ENGAGEMENTS 2026'!AD1062))))</f>
        <v/>
      </c>
      <c r="K1062" s="604">
        <f>IF(ISBLANK('ENGAGEMENTS 2026'!V1062),"",'ENGAGEMENTS 2026'!V1062)</f>
        <v/>
      </c>
      <c r="L1062" s="276">
        <f>IF($K1062="","",TODAY()-$K1062)</f>
        <v/>
      </c>
      <c r="M1062">
        <f>IF($A1062="","",IF($H1062="ENGAGE","Engagé",IF(AND($H1062="NON ENGAGE",OR($I1062="INFRUCTUEUX",$I1062="ANNULE")),"Clôturé sans suite","En cours")))</f>
        <v/>
      </c>
      <c r="N1062">
        <f>IF(ISBLANK('ENGAGEMENTS 2026'!B1062),"",'ENGAGEMENTS 2026'!K1062)</f>
        <v/>
      </c>
      <c r="O1062">
        <f>IF(ISBLANK('ENGAGEMENTS 2026'!B1062),"",'ENGAGEMENTS 2026'!L1062)</f>
        <v/>
      </c>
      <c r="P1062">
        <f>IF(ISBLANK('ENGAGEMENTS 2026'!B1062),"",'ENGAGEMENTS 2026'!J1062)</f>
        <v/>
      </c>
      <c r="Q1062">
        <f>IF($A1062="","",IF(OR($E1062="INFRUCTUEUX",$E1062="ANNULE"),$A1062&amp;"|"&amp;(COUNTIFS($A$2:$A1062,$A1062,$E$2:$E1062,"INFRUCTUEUX")+COUNTIFS($A$2:$A1062,$A1062,$E$2:$E1062,"ANNULE")),""))</f>
        <v/>
      </c>
    </row>
    <row r="1063">
      <c r="A1063">
        <f>IF(ISBLANK('ENGAGEMENTS 2026'!B1063),"",IF('ENGAGEMENTS 2026'!B1063="DTSI","DCT",'ENGAGEMENTS 2026'!B1063))</f>
        <v/>
      </c>
      <c r="B1063">
        <f>IF(ISBLANK('ENGAGEMENTS 2026'!B1063),"",'ENGAGEMENTS 2026'!C1063)</f>
        <v/>
      </c>
      <c r="C1063">
        <f>IF(ISBLANK('ENGAGEMENTS 2026'!B1063),"",'ENGAGEMENTS 2026'!D1063)</f>
        <v/>
      </c>
      <c r="D1063">
        <f>IF(ISBLANK('ENGAGEMENTS 2026'!B1063),"",'ENGAGEMENTS 2026'!F1063)</f>
        <v/>
      </c>
      <c r="E1063">
        <f>IF(ISBLANK('ENGAGEMENTS 2026'!B1063),"",'ENGAGEMENTS 2026'!H1063)</f>
        <v/>
      </c>
      <c r="F1063">
        <f>IF(ISBLANK('ENGAGEMENTS 2026'!B1063),"",'ENGAGEMENTS 2026'!I1063)</f>
        <v/>
      </c>
      <c r="G1063">
        <f>IF(ISBLANK('ENGAGEMENTS 2026'!B1063),"",'ENGAGEMENTS 2026'!L1063)</f>
        <v/>
      </c>
      <c r="H1063">
        <f>IF(ISBLANK('ENGAGEMENTS 2026'!B1063),"",'ENGAGEMENTS 2026'!AE1063)</f>
        <v/>
      </c>
      <c r="I1063">
        <f>IF(ISBLANK('ENGAGEMENTS 2026'!B1063),"",'ENGAGEMENTS 2026'!G1063)</f>
        <v/>
      </c>
      <c r="J1063" s="275">
        <f>IF(ISBLANK('ENGAGEMENTS 2026'!B1063),"",IF(AND(OR($E1063="INFRUCTUEUX",$E1063="ANNULE"),$C1063="AOO-M"),'ENGAGEMENTS 2026'!O1063,IF($H1063="EN COURS DE PREENGAGEMENT",'ENGAGEMENTS 2026'!N1063,IF($H1063="PREENGAGE",IF($E1063="ATTRIBUE",'ENGAGEMENTS 2026'!AD1063,'ENGAGEMENTS 2026'!N1063),'ENGAGEMENTS 2026'!AD1063))))</f>
        <v/>
      </c>
      <c r="K1063" s="604">
        <f>IF(ISBLANK('ENGAGEMENTS 2026'!V1063),"",'ENGAGEMENTS 2026'!V1063)</f>
        <v/>
      </c>
      <c r="L1063" s="276">
        <f>IF($K1063="","",TODAY()-$K1063)</f>
        <v/>
      </c>
      <c r="M1063">
        <f>IF($A1063="","",IF($H1063="ENGAGE","Engagé",IF(AND($H1063="NON ENGAGE",OR($I1063="INFRUCTUEUX",$I1063="ANNULE")),"Clôturé sans suite","En cours")))</f>
        <v/>
      </c>
      <c r="N1063">
        <f>IF(ISBLANK('ENGAGEMENTS 2026'!B1063),"",'ENGAGEMENTS 2026'!K1063)</f>
        <v/>
      </c>
      <c r="O1063">
        <f>IF(ISBLANK('ENGAGEMENTS 2026'!B1063),"",'ENGAGEMENTS 2026'!L1063)</f>
        <v/>
      </c>
      <c r="P1063">
        <f>IF(ISBLANK('ENGAGEMENTS 2026'!B1063),"",'ENGAGEMENTS 2026'!J1063)</f>
        <v/>
      </c>
      <c r="Q1063">
        <f>IF($A1063="","",IF(OR($E1063="INFRUCTUEUX",$E1063="ANNULE"),$A1063&amp;"|"&amp;(COUNTIFS($A$2:$A1063,$A1063,$E$2:$E1063,"INFRUCTUEUX")+COUNTIFS($A$2:$A1063,$A1063,$E$2:$E1063,"ANNULE")),""))</f>
        <v/>
      </c>
    </row>
    <row r="1064">
      <c r="A1064">
        <f>IF(ISBLANK('ENGAGEMENTS 2026'!B1064),"",IF('ENGAGEMENTS 2026'!B1064="DTSI","DCT",'ENGAGEMENTS 2026'!B1064))</f>
        <v/>
      </c>
      <c r="B1064">
        <f>IF(ISBLANK('ENGAGEMENTS 2026'!B1064),"",'ENGAGEMENTS 2026'!C1064)</f>
        <v/>
      </c>
      <c r="C1064">
        <f>IF(ISBLANK('ENGAGEMENTS 2026'!B1064),"",'ENGAGEMENTS 2026'!D1064)</f>
        <v/>
      </c>
      <c r="D1064">
        <f>IF(ISBLANK('ENGAGEMENTS 2026'!B1064),"",'ENGAGEMENTS 2026'!F1064)</f>
        <v/>
      </c>
      <c r="E1064">
        <f>IF(ISBLANK('ENGAGEMENTS 2026'!B1064),"",'ENGAGEMENTS 2026'!H1064)</f>
        <v/>
      </c>
      <c r="F1064">
        <f>IF(ISBLANK('ENGAGEMENTS 2026'!B1064),"",'ENGAGEMENTS 2026'!I1064)</f>
        <v/>
      </c>
      <c r="G1064">
        <f>IF(ISBLANK('ENGAGEMENTS 2026'!B1064),"",'ENGAGEMENTS 2026'!L1064)</f>
        <v/>
      </c>
      <c r="H1064">
        <f>IF(ISBLANK('ENGAGEMENTS 2026'!B1064),"",'ENGAGEMENTS 2026'!AE1064)</f>
        <v/>
      </c>
      <c r="I1064">
        <f>IF(ISBLANK('ENGAGEMENTS 2026'!B1064),"",'ENGAGEMENTS 2026'!G1064)</f>
        <v/>
      </c>
      <c r="J1064" s="275">
        <f>IF(ISBLANK('ENGAGEMENTS 2026'!B1064),"",IF(AND(OR($E1064="INFRUCTUEUX",$E1064="ANNULE"),$C1064="AOO-M"),'ENGAGEMENTS 2026'!O1064,IF($H1064="EN COURS DE PREENGAGEMENT",'ENGAGEMENTS 2026'!N1064,IF($H1064="PREENGAGE",IF($E1064="ATTRIBUE",'ENGAGEMENTS 2026'!AD1064,'ENGAGEMENTS 2026'!N1064),'ENGAGEMENTS 2026'!AD1064))))</f>
        <v/>
      </c>
      <c r="K1064" s="604">
        <f>IF(ISBLANK('ENGAGEMENTS 2026'!V1064),"",'ENGAGEMENTS 2026'!V1064)</f>
        <v/>
      </c>
      <c r="L1064" s="276">
        <f>IF($K1064="","",TODAY()-$K1064)</f>
        <v/>
      </c>
      <c r="M1064">
        <f>IF($A1064="","",IF($H1064="ENGAGE","Engagé",IF(AND($H1064="NON ENGAGE",OR($I1064="INFRUCTUEUX",$I1064="ANNULE")),"Clôturé sans suite","En cours")))</f>
        <v/>
      </c>
      <c r="N1064">
        <f>IF(ISBLANK('ENGAGEMENTS 2026'!B1064),"",'ENGAGEMENTS 2026'!K1064)</f>
        <v/>
      </c>
      <c r="O1064">
        <f>IF(ISBLANK('ENGAGEMENTS 2026'!B1064),"",'ENGAGEMENTS 2026'!L1064)</f>
        <v/>
      </c>
      <c r="P1064">
        <f>IF(ISBLANK('ENGAGEMENTS 2026'!B1064),"",'ENGAGEMENTS 2026'!J1064)</f>
        <v/>
      </c>
      <c r="Q1064">
        <f>IF($A1064="","",IF(OR($E1064="INFRUCTUEUX",$E1064="ANNULE"),$A1064&amp;"|"&amp;(COUNTIFS($A$2:$A1064,$A1064,$E$2:$E1064,"INFRUCTUEUX")+COUNTIFS($A$2:$A1064,$A1064,$E$2:$E1064,"ANNULE")),""))</f>
        <v/>
      </c>
    </row>
    <row r="1065">
      <c r="A1065">
        <f>IF(ISBLANK('ENGAGEMENTS 2026'!B1065),"",IF('ENGAGEMENTS 2026'!B1065="DTSI","DCT",'ENGAGEMENTS 2026'!B1065))</f>
        <v/>
      </c>
      <c r="B1065">
        <f>IF(ISBLANK('ENGAGEMENTS 2026'!B1065),"",'ENGAGEMENTS 2026'!C1065)</f>
        <v/>
      </c>
      <c r="C1065">
        <f>IF(ISBLANK('ENGAGEMENTS 2026'!B1065),"",'ENGAGEMENTS 2026'!D1065)</f>
        <v/>
      </c>
      <c r="D1065">
        <f>IF(ISBLANK('ENGAGEMENTS 2026'!B1065),"",'ENGAGEMENTS 2026'!F1065)</f>
        <v/>
      </c>
      <c r="E1065">
        <f>IF(ISBLANK('ENGAGEMENTS 2026'!B1065),"",'ENGAGEMENTS 2026'!H1065)</f>
        <v/>
      </c>
      <c r="F1065">
        <f>IF(ISBLANK('ENGAGEMENTS 2026'!B1065),"",'ENGAGEMENTS 2026'!I1065)</f>
        <v/>
      </c>
      <c r="G1065">
        <f>IF(ISBLANK('ENGAGEMENTS 2026'!B1065),"",'ENGAGEMENTS 2026'!L1065)</f>
        <v/>
      </c>
      <c r="H1065">
        <f>IF(ISBLANK('ENGAGEMENTS 2026'!B1065),"",'ENGAGEMENTS 2026'!AE1065)</f>
        <v/>
      </c>
      <c r="I1065">
        <f>IF(ISBLANK('ENGAGEMENTS 2026'!B1065),"",'ENGAGEMENTS 2026'!G1065)</f>
        <v/>
      </c>
      <c r="J1065" s="275">
        <f>IF(ISBLANK('ENGAGEMENTS 2026'!B1065),"",IF(AND(OR($E1065="INFRUCTUEUX",$E1065="ANNULE"),$C1065="AOO-M"),'ENGAGEMENTS 2026'!O1065,IF($H1065="EN COURS DE PREENGAGEMENT",'ENGAGEMENTS 2026'!N1065,IF($H1065="PREENGAGE",IF($E1065="ATTRIBUE",'ENGAGEMENTS 2026'!AD1065,'ENGAGEMENTS 2026'!N1065),'ENGAGEMENTS 2026'!AD1065))))</f>
        <v/>
      </c>
      <c r="K1065" s="604">
        <f>IF(ISBLANK('ENGAGEMENTS 2026'!V1065),"",'ENGAGEMENTS 2026'!V1065)</f>
        <v/>
      </c>
      <c r="L1065" s="276">
        <f>IF($K1065="","",TODAY()-$K1065)</f>
        <v/>
      </c>
      <c r="M1065">
        <f>IF($A1065="","",IF($H1065="ENGAGE","Engagé",IF(AND($H1065="NON ENGAGE",OR($I1065="INFRUCTUEUX",$I1065="ANNULE")),"Clôturé sans suite","En cours")))</f>
        <v/>
      </c>
      <c r="N1065">
        <f>IF(ISBLANK('ENGAGEMENTS 2026'!B1065),"",'ENGAGEMENTS 2026'!K1065)</f>
        <v/>
      </c>
      <c r="O1065">
        <f>IF(ISBLANK('ENGAGEMENTS 2026'!B1065),"",'ENGAGEMENTS 2026'!L1065)</f>
        <v/>
      </c>
      <c r="P1065">
        <f>IF(ISBLANK('ENGAGEMENTS 2026'!B1065),"",'ENGAGEMENTS 2026'!J1065)</f>
        <v/>
      </c>
      <c r="Q1065">
        <f>IF($A1065="","",IF(OR($E1065="INFRUCTUEUX",$E1065="ANNULE"),$A1065&amp;"|"&amp;(COUNTIFS($A$2:$A1065,$A1065,$E$2:$E1065,"INFRUCTUEUX")+COUNTIFS($A$2:$A1065,$A1065,$E$2:$E1065,"ANNULE")),""))</f>
        <v/>
      </c>
    </row>
    <row r="1066">
      <c r="A1066">
        <f>IF(ISBLANK('ENGAGEMENTS 2026'!B1066),"",IF('ENGAGEMENTS 2026'!B1066="DTSI","DCT",'ENGAGEMENTS 2026'!B1066))</f>
        <v/>
      </c>
      <c r="B1066">
        <f>IF(ISBLANK('ENGAGEMENTS 2026'!B1066),"",'ENGAGEMENTS 2026'!C1066)</f>
        <v/>
      </c>
      <c r="C1066">
        <f>IF(ISBLANK('ENGAGEMENTS 2026'!B1066),"",'ENGAGEMENTS 2026'!D1066)</f>
        <v/>
      </c>
      <c r="D1066">
        <f>IF(ISBLANK('ENGAGEMENTS 2026'!B1066),"",'ENGAGEMENTS 2026'!F1066)</f>
        <v/>
      </c>
      <c r="E1066">
        <f>IF(ISBLANK('ENGAGEMENTS 2026'!B1066),"",'ENGAGEMENTS 2026'!H1066)</f>
        <v/>
      </c>
      <c r="F1066">
        <f>IF(ISBLANK('ENGAGEMENTS 2026'!B1066),"",'ENGAGEMENTS 2026'!I1066)</f>
        <v/>
      </c>
      <c r="G1066">
        <f>IF(ISBLANK('ENGAGEMENTS 2026'!B1066),"",'ENGAGEMENTS 2026'!L1066)</f>
        <v/>
      </c>
      <c r="H1066">
        <f>IF(ISBLANK('ENGAGEMENTS 2026'!B1066),"",'ENGAGEMENTS 2026'!AE1066)</f>
        <v/>
      </c>
      <c r="I1066">
        <f>IF(ISBLANK('ENGAGEMENTS 2026'!B1066),"",'ENGAGEMENTS 2026'!G1066)</f>
        <v/>
      </c>
      <c r="J1066" s="275">
        <f>IF(ISBLANK('ENGAGEMENTS 2026'!B1066),"",IF(AND(OR($E1066="INFRUCTUEUX",$E1066="ANNULE"),$C1066="AOO-M"),'ENGAGEMENTS 2026'!O1066,IF($H1066="EN COURS DE PREENGAGEMENT",'ENGAGEMENTS 2026'!N1066,IF($H1066="PREENGAGE",IF($E1066="ATTRIBUE",'ENGAGEMENTS 2026'!AD1066,'ENGAGEMENTS 2026'!N1066),'ENGAGEMENTS 2026'!AD1066))))</f>
        <v/>
      </c>
      <c r="K1066" s="604">
        <f>IF(ISBLANK('ENGAGEMENTS 2026'!V1066),"",'ENGAGEMENTS 2026'!V1066)</f>
        <v/>
      </c>
      <c r="L1066" s="276">
        <f>IF($K1066="","",TODAY()-$K1066)</f>
        <v/>
      </c>
      <c r="M1066">
        <f>IF($A1066="","",IF($H1066="ENGAGE","Engagé",IF(AND($H1066="NON ENGAGE",OR($I1066="INFRUCTUEUX",$I1066="ANNULE")),"Clôturé sans suite","En cours")))</f>
        <v/>
      </c>
      <c r="N1066">
        <f>IF(ISBLANK('ENGAGEMENTS 2026'!B1066),"",'ENGAGEMENTS 2026'!K1066)</f>
        <v/>
      </c>
      <c r="O1066">
        <f>IF(ISBLANK('ENGAGEMENTS 2026'!B1066),"",'ENGAGEMENTS 2026'!L1066)</f>
        <v/>
      </c>
      <c r="P1066">
        <f>IF(ISBLANK('ENGAGEMENTS 2026'!B1066),"",'ENGAGEMENTS 2026'!J1066)</f>
        <v/>
      </c>
      <c r="Q1066">
        <f>IF($A1066="","",IF(OR($E1066="INFRUCTUEUX",$E1066="ANNULE"),$A1066&amp;"|"&amp;(COUNTIFS($A$2:$A1066,$A1066,$E$2:$E1066,"INFRUCTUEUX")+COUNTIFS($A$2:$A1066,$A1066,$E$2:$E1066,"ANNULE")),""))</f>
        <v/>
      </c>
    </row>
    <row r="1067">
      <c r="A1067">
        <f>IF(ISBLANK('ENGAGEMENTS 2026'!B1067),"",IF('ENGAGEMENTS 2026'!B1067="DTSI","DCT",'ENGAGEMENTS 2026'!B1067))</f>
        <v/>
      </c>
      <c r="B1067">
        <f>IF(ISBLANK('ENGAGEMENTS 2026'!B1067),"",'ENGAGEMENTS 2026'!C1067)</f>
        <v/>
      </c>
      <c r="C1067">
        <f>IF(ISBLANK('ENGAGEMENTS 2026'!B1067),"",'ENGAGEMENTS 2026'!D1067)</f>
        <v/>
      </c>
      <c r="D1067">
        <f>IF(ISBLANK('ENGAGEMENTS 2026'!B1067),"",'ENGAGEMENTS 2026'!F1067)</f>
        <v/>
      </c>
      <c r="E1067">
        <f>IF(ISBLANK('ENGAGEMENTS 2026'!B1067),"",'ENGAGEMENTS 2026'!H1067)</f>
        <v/>
      </c>
      <c r="F1067">
        <f>IF(ISBLANK('ENGAGEMENTS 2026'!B1067),"",'ENGAGEMENTS 2026'!I1067)</f>
        <v/>
      </c>
      <c r="G1067">
        <f>IF(ISBLANK('ENGAGEMENTS 2026'!B1067),"",'ENGAGEMENTS 2026'!L1067)</f>
        <v/>
      </c>
      <c r="H1067">
        <f>IF(ISBLANK('ENGAGEMENTS 2026'!B1067),"",'ENGAGEMENTS 2026'!AE1067)</f>
        <v/>
      </c>
      <c r="I1067">
        <f>IF(ISBLANK('ENGAGEMENTS 2026'!B1067),"",'ENGAGEMENTS 2026'!G1067)</f>
        <v/>
      </c>
      <c r="J1067" s="275">
        <f>IF(ISBLANK('ENGAGEMENTS 2026'!B1067),"",IF(AND(OR($E1067="INFRUCTUEUX",$E1067="ANNULE"),$C1067="AOO-M"),'ENGAGEMENTS 2026'!O1067,IF($H1067="EN COURS DE PREENGAGEMENT",'ENGAGEMENTS 2026'!N1067,IF($H1067="PREENGAGE",IF($E1067="ATTRIBUE",'ENGAGEMENTS 2026'!AD1067,'ENGAGEMENTS 2026'!N1067),'ENGAGEMENTS 2026'!AD1067))))</f>
        <v/>
      </c>
      <c r="K1067" s="604">
        <f>IF(ISBLANK('ENGAGEMENTS 2026'!V1067),"",'ENGAGEMENTS 2026'!V1067)</f>
        <v/>
      </c>
      <c r="L1067" s="276">
        <f>IF($K1067="","",TODAY()-$K1067)</f>
        <v/>
      </c>
      <c r="M1067">
        <f>IF($A1067="","",IF($H1067="ENGAGE","Engagé",IF(AND($H1067="NON ENGAGE",OR($I1067="INFRUCTUEUX",$I1067="ANNULE")),"Clôturé sans suite","En cours")))</f>
        <v/>
      </c>
      <c r="N1067">
        <f>IF(ISBLANK('ENGAGEMENTS 2026'!B1067),"",'ENGAGEMENTS 2026'!K1067)</f>
        <v/>
      </c>
      <c r="O1067">
        <f>IF(ISBLANK('ENGAGEMENTS 2026'!B1067),"",'ENGAGEMENTS 2026'!L1067)</f>
        <v/>
      </c>
      <c r="P1067">
        <f>IF(ISBLANK('ENGAGEMENTS 2026'!B1067),"",'ENGAGEMENTS 2026'!J1067)</f>
        <v/>
      </c>
      <c r="Q1067">
        <f>IF($A1067="","",IF(OR($E1067="INFRUCTUEUX",$E1067="ANNULE"),$A1067&amp;"|"&amp;(COUNTIFS($A$2:$A1067,$A1067,$E$2:$E1067,"INFRUCTUEUX")+COUNTIFS($A$2:$A1067,$A1067,$E$2:$E1067,"ANNULE")),""))</f>
        <v/>
      </c>
    </row>
    <row r="1068">
      <c r="A1068">
        <f>IF(ISBLANK('ENGAGEMENTS 2026'!B1068),"",IF('ENGAGEMENTS 2026'!B1068="DTSI","DCT",'ENGAGEMENTS 2026'!B1068))</f>
        <v/>
      </c>
      <c r="B1068">
        <f>IF(ISBLANK('ENGAGEMENTS 2026'!B1068),"",'ENGAGEMENTS 2026'!C1068)</f>
        <v/>
      </c>
      <c r="C1068">
        <f>IF(ISBLANK('ENGAGEMENTS 2026'!B1068),"",'ENGAGEMENTS 2026'!D1068)</f>
        <v/>
      </c>
      <c r="D1068">
        <f>IF(ISBLANK('ENGAGEMENTS 2026'!B1068),"",'ENGAGEMENTS 2026'!F1068)</f>
        <v/>
      </c>
      <c r="E1068">
        <f>IF(ISBLANK('ENGAGEMENTS 2026'!B1068),"",'ENGAGEMENTS 2026'!H1068)</f>
        <v/>
      </c>
      <c r="F1068">
        <f>IF(ISBLANK('ENGAGEMENTS 2026'!B1068),"",'ENGAGEMENTS 2026'!I1068)</f>
        <v/>
      </c>
      <c r="G1068">
        <f>IF(ISBLANK('ENGAGEMENTS 2026'!B1068),"",'ENGAGEMENTS 2026'!L1068)</f>
        <v/>
      </c>
      <c r="H1068">
        <f>IF(ISBLANK('ENGAGEMENTS 2026'!B1068),"",'ENGAGEMENTS 2026'!AE1068)</f>
        <v/>
      </c>
      <c r="I1068">
        <f>IF(ISBLANK('ENGAGEMENTS 2026'!B1068),"",'ENGAGEMENTS 2026'!G1068)</f>
        <v/>
      </c>
      <c r="J1068" s="275">
        <f>IF(ISBLANK('ENGAGEMENTS 2026'!B1068),"",IF(AND(OR($E1068="INFRUCTUEUX",$E1068="ANNULE"),$C1068="AOO-M"),'ENGAGEMENTS 2026'!O1068,IF($H1068="EN COURS DE PREENGAGEMENT",'ENGAGEMENTS 2026'!N1068,IF($H1068="PREENGAGE",IF($E1068="ATTRIBUE",'ENGAGEMENTS 2026'!AD1068,'ENGAGEMENTS 2026'!N1068),'ENGAGEMENTS 2026'!AD1068))))</f>
        <v/>
      </c>
      <c r="K1068" s="604">
        <f>IF(ISBLANK('ENGAGEMENTS 2026'!V1068),"",'ENGAGEMENTS 2026'!V1068)</f>
        <v/>
      </c>
      <c r="L1068" s="276">
        <f>IF($K1068="","",TODAY()-$K1068)</f>
        <v/>
      </c>
      <c r="M1068">
        <f>IF($A1068="","",IF($H1068="ENGAGE","Engagé",IF(AND($H1068="NON ENGAGE",OR($I1068="INFRUCTUEUX",$I1068="ANNULE")),"Clôturé sans suite","En cours")))</f>
        <v/>
      </c>
      <c r="N1068">
        <f>IF(ISBLANK('ENGAGEMENTS 2026'!B1068),"",'ENGAGEMENTS 2026'!K1068)</f>
        <v/>
      </c>
      <c r="O1068">
        <f>IF(ISBLANK('ENGAGEMENTS 2026'!B1068),"",'ENGAGEMENTS 2026'!L1068)</f>
        <v/>
      </c>
      <c r="P1068">
        <f>IF(ISBLANK('ENGAGEMENTS 2026'!B1068),"",'ENGAGEMENTS 2026'!J1068)</f>
        <v/>
      </c>
      <c r="Q1068">
        <f>IF($A1068="","",IF(OR($E1068="INFRUCTUEUX",$E1068="ANNULE"),$A1068&amp;"|"&amp;(COUNTIFS($A$2:$A1068,$A1068,$E$2:$E1068,"INFRUCTUEUX")+COUNTIFS($A$2:$A1068,$A1068,$E$2:$E1068,"ANNULE")),""))</f>
        <v/>
      </c>
    </row>
    <row r="1069">
      <c r="A1069">
        <f>IF(ISBLANK('ENGAGEMENTS 2026'!B1069),"",IF('ENGAGEMENTS 2026'!B1069="DTSI","DCT",'ENGAGEMENTS 2026'!B1069))</f>
        <v/>
      </c>
      <c r="B1069">
        <f>IF(ISBLANK('ENGAGEMENTS 2026'!B1069),"",'ENGAGEMENTS 2026'!C1069)</f>
        <v/>
      </c>
      <c r="C1069">
        <f>IF(ISBLANK('ENGAGEMENTS 2026'!B1069),"",'ENGAGEMENTS 2026'!D1069)</f>
        <v/>
      </c>
      <c r="D1069">
        <f>IF(ISBLANK('ENGAGEMENTS 2026'!B1069),"",'ENGAGEMENTS 2026'!F1069)</f>
        <v/>
      </c>
      <c r="E1069">
        <f>IF(ISBLANK('ENGAGEMENTS 2026'!B1069),"",'ENGAGEMENTS 2026'!H1069)</f>
        <v/>
      </c>
      <c r="F1069">
        <f>IF(ISBLANK('ENGAGEMENTS 2026'!B1069),"",'ENGAGEMENTS 2026'!I1069)</f>
        <v/>
      </c>
      <c r="G1069">
        <f>IF(ISBLANK('ENGAGEMENTS 2026'!B1069),"",'ENGAGEMENTS 2026'!L1069)</f>
        <v/>
      </c>
      <c r="H1069">
        <f>IF(ISBLANK('ENGAGEMENTS 2026'!B1069),"",'ENGAGEMENTS 2026'!AE1069)</f>
        <v/>
      </c>
      <c r="I1069">
        <f>IF(ISBLANK('ENGAGEMENTS 2026'!B1069),"",'ENGAGEMENTS 2026'!G1069)</f>
        <v/>
      </c>
      <c r="J1069" s="275">
        <f>IF(ISBLANK('ENGAGEMENTS 2026'!B1069),"",IF(AND(OR($E1069="INFRUCTUEUX",$E1069="ANNULE"),$C1069="AOO-M"),'ENGAGEMENTS 2026'!O1069,IF($H1069="EN COURS DE PREENGAGEMENT",'ENGAGEMENTS 2026'!N1069,IF($H1069="PREENGAGE",IF($E1069="ATTRIBUE",'ENGAGEMENTS 2026'!AD1069,'ENGAGEMENTS 2026'!N1069),'ENGAGEMENTS 2026'!AD1069))))</f>
        <v/>
      </c>
      <c r="K1069" s="604">
        <f>IF(ISBLANK('ENGAGEMENTS 2026'!V1069),"",'ENGAGEMENTS 2026'!V1069)</f>
        <v/>
      </c>
      <c r="L1069" s="276">
        <f>IF($K1069="","",TODAY()-$K1069)</f>
        <v/>
      </c>
      <c r="M1069">
        <f>IF($A1069="","",IF($H1069="ENGAGE","Engagé",IF(AND($H1069="NON ENGAGE",OR($I1069="INFRUCTUEUX",$I1069="ANNULE")),"Clôturé sans suite","En cours")))</f>
        <v/>
      </c>
      <c r="N1069">
        <f>IF(ISBLANK('ENGAGEMENTS 2026'!B1069),"",'ENGAGEMENTS 2026'!K1069)</f>
        <v/>
      </c>
      <c r="O1069">
        <f>IF(ISBLANK('ENGAGEMENTS 2026'!B1069),"",'ENGAGEMENTS 2026'!L1069)</f>
        <v/>
      </c>
      <c r="P1069">
        <f>IF(ISBLANK('ENGAGEMENTS 2026'!B1069),"",'ENGAGEMENTS 2026'!J1069)</f>
        <v/>
      </c>
      <c r="Q1069">
        <f>IF($A1069="","",IF(OR($E1069="INFRUCTUEUX",$E1069="ANNULE"),$A1069&amp;"|"&amp;(COUNTIFS($A$2:$A1069,$A1069,$E$2:$E1069,"INFRUCTUEUX")+COUNTIFS($A$2:$A1069,$A1069,$E$2:$E1069,"ANNULE")),""))</f>
        <v/>
      </c>
    </row>
    <row r="1070">
      <c r="A1070">
        <f>IF(ISBLANK('ENGAGEMENTS 2026'!B1070),"",IF('ENGAGEMENTS 2026'!B1070="DTSI","DCT",'ENGAGEMENTS 2026'!B1070))</f>
        <v/>
      </c>
      <c r="B1070">
        <f>IF(ISBLANK('ENGAGEMENTS 2026'!B1070),"",'ENGAGEMENTS 2026'!C1070)</f>
        <v/>
      </c>
      <c r="C1070">
        <f>IF(ISBLANK('ENGAGEMENTS 2026'!B1070),"",'ENGAGEMENTS 2026'!D1070)</f>
        <v/>
      </c>
      <c r="D1070">
        <f>IF(ISBLANK('ENGAGEMENTS 2026'!B1070),"",'ENGAGEMENTS 2026'!F1070)</f>
        <v/>
      </c>
      <c r="E1070">
        <f>IF(ISBLANK('ENGAGEMENTS 2026'!B1070),"",'ENGAGEMENTS 2026'!H1070)</f>
        <v/>
      </c>
      <c r="F1070">
        <f>IF(ISBLANK('ENGAGEMENTS 2026'!B1070),"",'ENGAGEMENTS 2026'!I1070)</f>
        <v/>
      </c>
      <c r="G1070">
        <f>IF(ISBLANK('ENGAGEMENTS 2026'!B1070),"",'ENGAGEMENTS 2026'!L1070)</f>
        <v/>
      </c>
      <c r="H1070">
        <f>IF(ISBLANK('ENGAGEMENTS 2026'!B1070),"",'ENGAGEMENTS 2026'!AE1070)</f>
        <v/>
      </c>
      <c r="I1070">
        <f>IF(ISBLANK('ENGAGEMENTS 2026'!B1070),"",'ENGAGEMENTS 2026'!G1070)</f>
        <v/>
      </c>
      <c r="J1070" s="275">
        <f>IF(ISBLANK('ENGAGEMENTS 2026'!B1070),"",IF(AND(OR($E1070="INFRUCTUEUX",$E1070="ANNULE"),$C1070="AOO-M"),'ENGAGEMENTS 2026'!O1070,IF($H1070="EN COURS DE PREENGAGEMENT",'ENGAGEMENTS 2026'!N1070,IF($H1070="PREENGAGE",IF($E1070="ATTRIBUE",'ENGAGEMENTS 2026'!AD1070,'ENGAGEMENTS 2026'!N1070),'ENGAGEMENTS 2026'!AD1070))))</f>
        <v/>
      </c>
      <c r="K1070" s="604">
        <f>IF(ISBLANK('ENGAGEMENTS 2026'!V1070),"",'ENGAGEMENTS 2026'!V1070)</f>
        <v/>
      </c>
      <c r="L1070" s="276">
        <f>IF($K1070="","",TODAY()-$K1070)</f>
        <v/>
      </c>
      <c r="M1070">
        <f>IF($A1070="","",IF($H1070="ENGAGE","Engagé",IF(AND($H1070="NON ENGAGE",OR($I1070="INFRUCTUEUX",$I1070="ANNULE")),"Clôturé sans suite","En cours")))</f>
        <v/>
      </c>
      <c r="N1070">
        <f>IF(ISBLANK('ENGAGEMENTS 2026'!B1070),"",'ENGAGEMENTS 2026'!K1070)</f>
        <v/>
      </c>
      <c r="O1070">
        <f>IF(ISBLANK('ENGAGEMENTS 2026'!B1070),"",'ENGAGEMENTS 2026'!L1070)</f>
        <v/>
      </c>
      <c r="P1070">
        <f>IF(ISBLANK('ENGAGEMENTS 2026'!B1070),"",'ENGAGEMENTS 2026'!J1070)</f>
        <v/>
      </c>
      <c r="Q1070">
        <f>IF($A1070="","",IF(OR($E1070="INFRUCTUEUX",$E1070="ANNULE"),$A1070&amp;"|"&amp;(COUNTIFS($A$2:$A1070,$A1070,$E$2:$E1070,"INFRUCTUEUX")+COUNTIFS($A$2:$A1070,$A1070,$E$2:$E1070,"ANNULE")),""))</f>
        <v/>
      </c>
    </row>
    <row r="1071">
      <c r="A1071">
        <f>IF(ISBLANK('ENGAGEMENTS 2026'!B1071),"",IF('ENGAGEMENTS 2026'!B1071="DTSI","DCT",'ENGAGEMENTS 2026'!B1071))</f>
        <v/>
      </c>
      <c r="B1071">
        <f>IF(ISBLANK('ENGAGEMENTS 2026'!B1071),"",'ENGAGEMENTS 2026'!C1071)</f>
        <v/>
      </c>
      <c r="C1071">
        <f>IF(ISBLANK('ENGAGEMENTS 2026'!B1071),"",'ENGAGEMENTS 2026'!D1071)</f>
        <v/>
      </c>
      <c r="D1071">
        <f>IF(ISBLANK('ENGAGEMENTS 2026'!B1071),"",'ENGAGEMENTS 2026'!F1071)</f>
        <v/>
      </c>
      <c r="E1071">
        <f>IF(ISBLANK('ENGAGEMENTS 2026'!B1071),"",'ENGAGEMENTS 2026'!H1071)</f>
        <v/>
      </c>
      <c r="F1071">
        <f>IF(ISBLANK('ENGAGEMENTS 2026'!B1071),"",'ENGAGEMENTS 2026'!I1071)</f>
        <v/>
      </c>
      <c r="G1071">
        <f>IF(ISBLANK('ENGAGEMENTS 2026'!B1071),"",'ENGAGEMENTS 2026'!L1071)</f>
        <v/>
      </c>
      <c r="H1071">
        <f>IF(ISBLANK('ENGAGEMENTS 2026'!B1071),"",'ENGAGEMENTS 2026'!AE1071)</f>
        <v/>
      </c>
      <c r="I1071">
        <f>IF(ISBLANK('ENGAGEMENTS 2026'!B1071),"",'ENGAGEMENTS 2026'!G1071)</f>
        <v/>
      </c>
      <c r="J1071" s="275">
        <f>IF(ISBLANK('ENGAGEMENTS 2026'!B1071),"",IF(AND(OR($E1071="INFRUCTUEUX",$E1071="ANNULE"),$C1071="AOO-M"),'ENGAGEMENTS 2026'!O1071,IF($H1071="EN COURS DE PREENGAGEMENT",'ENGAGEMENTS 2026'!N1071,IF($H1071="PREENGAGE",IF($E1071="ATTRIBUE",'ENGAGEMENTS 2026'!AD1071,'ENGAGEMENTS 2026'!N1071),'ENGAGEMENTS 2026'!AD1071))))</f>
        <v/>
      </c>
      <c r="K1071" s="604">
        <f>IF(ISBLANK('ENGAGEMENTS 2026'!V1071),"",'ENGAGEMENTS 2026'!V1071)</f>
        <v/>
      </c>
      <c r="L1071" s="276">
        <f>IF($K1071="","",TODAY()-$K1071)</f>
        <v/>
      </c>
      <c r="M1071">
        <f>IF($A1071="","",IF($H1071="ENGAGE","Engagé",IF(AND($H1071="NON ENGAGE",OR($I1071="INFRUCTUEUX",$I1071="ANNULE")),"Clôturé sans suite","En cours")))</f>
        <v/>
      </c>
      <c r="N1071">
        <f>IF(ISBLANK('ENGAGEMENTS 2026'!B1071),"",'ENGAGEMENTS 2026'!K1071)</f>
        <v/>
      </c>
      <c r="O1071">
        <f>IF(ISBLANK('ENGAGEMENTS 2026'!B1071),"",'ENGAGEMENTS 2026'!L1071)</f>
        <v/>
      </c>
      <c r="P1071">
        <f>IF(ISBLANK('ENGAGEMENTS 2026'!B1071),"",'ENGAGEMENTS 2026'!J1071)</f>
        <v/>
      </c>
      <c r="Q1071">
        <f>IF($A1071="","",IF(OR($E1071="INFRUCTUEUX",$E1071="ANNULE"),$A1071&amp;"|"&amp;(COUNTIFS($A$2:$A1071,$A1071,$E$2:$E1071,"INFRUCTUEUX")+COUNTIFS($A$2:$A1071,$A1071,$E$2:$E1071,"ANNULE")),""))</f>
        <v/>
      </c>
    </row>
    <row r="1072">
      <c r="A1072">
        <f>IF(ISBLANK('ENGAGEMENTS 2026'!B1072),"",IF('ENGAGEMENTS 2026'!B1072="DTSI","DCT",'ENGAGEMENTS 2026'!B1072))</f>
        <v/>
      </c>
      <c r="B1072">
        <f>IF(ISBLANK('ENGAGEMENTS 2026'!B1072),"",'ENGAGEMENTS 2026'!C1072)</f>
        <v/>
      </c>
      <c r="C1072">
        <f>IF(ISBLANK('ENGAGEMENTS 2026'!B1072),"",'ENGAGEMENTS 2026'!D1072)</f>
        <v/>
      </c>
      <c r="D1072">
        <f>IF(ISBLANK('ENGAGEMENTS 2026'!B1072),"",'ENGAGEMENTS 2026'!F1072)</f>
        <v/>
      </c>
      <c r="E1072">
        <f>IF(ISBLANK('ENGAGEMENTS 2026'!B1072),"",'ENGAGEMENTS 2026'!H1072)</f>
        <v/>
      </c>
      <c r="F1072">
        <f>IF(ISBLANK('ENGAGEMENTS 2026'!B1072),"",'ENGAGEMENTS 2026'!I1072)</f>
        <v/>
      </c>
      <c r="G1072">
        <f>IF(ISBLANK('ENGAGEMENTS 2026'!B1072),"",'ENGAGEMENTS 2026'!L1072)</f>
        <v/>
      </c>
      <c r="H1072">
        <f>IF(ISBLANK('ENGAGEMENTS 2026'!B1072),"",'ENGAGEMENTS 2026'!AE1072)</f>
        <v/>
      </c>
      <c r="I1072">
        <f>IF(ISBLANK('ENGAGEMENTS 2026'!B1072),"",'ENGAGEMENTS 2026'!G1072)</f>
        <v/>
      </c>
      <c r="J1072" s="275">
        <f>IF(ISBLANK('ENGAGEMENTS 2026'!B1072),"",IF(AND(OR($E1072="INFRUCTUEUX",$E1072="ANNULE"),$C1072="AOO-M"),'ENGAGEMENTS 2026'!O1072,IF($H1072="EN COURS DE PREENGAGEMENT",'ENGAGEMENTS 2026'!N1072,IF($H1072="PREENGAGE",IF($E1072="ATTRIBUE",'ENGAGEMENTS 2026'!AD1072,'ENGAGEMENTS 2026'!N1072),'ENGAGEMENTS 2026'!AD1072))))</f>
        <v/>
      </c>
      <c r="K1072" s="604">
        <f>IF(ISBLANK('ENGAGEMENTS 2026'!V1072),"",'ENGAGEMENTS 2026'!V1072)</f>
        <v/>
      </c>
      <c r="L1072" s="276">
        <f>IF($K1072="","",TODAY()-$K1072)</f>
        <v/>
      </c>
      <c r="M1072">
        <f>IF($A1072="","",IF($H1072="ENGAGE","Engagé",IF(AND($H1072="NON ENGAGE",OR($I1072="INFRUCTUEUX",$I1072="ANNULE")),"Clôturé sans suite","En cours")))</f>
        <v/>
      </c>
      <c r="N1072">
        <f>IF(ISBLANK('ENGAGEMENTS 2026'!B1072),"",'ENGAGEMENTS 2026'!K1072)</f>
        <v/>
      </c>
      <c r="O1072">
        <f>IF(ISBLANK('ENGAGEMENTS 2026'!B1072),"",'ENGAGEMENTS 2026'!L1072)</f>
        <v/>
      </c>
      <c r="P1072">
        <f>IF(ISBLANK('ENGAGEMENTS 2026'!B1072),"",'ENGAGEMENTS 2026'!J1072)</f>
        <v/>
      </c>
      <c r="Q1072">
        <f>IF($A1072="","",IF(OR($E1072="INFRUCTUEUX",$E1072="ANNULE"),$A1072&amp;"|"&amp;(COUNTIFS($A$2:$A1072,$A1072,$E$2:$E1072,"INFRUCTUEUX")+COUNTIFS($A$2:$A1072,$A1072,$E$2:$E1072,"ANNULE")),""))</f>
        <v/>
      </c>
    </row>
    <row r="1073">
      <c r="A1073">
        <f>IF(ISBLANK('ENGAGEMENTS 2026'!B1073),"",IF('ENGAGEMENTS 2026'!B1073="DTSI","DCT",'ENGAGEMENTS 2026'!B1073))</f>
        <v/>
      </c>
      <c r="B1073">
        <f>IF(ISBLANK('ENGAGEMENTS 2026'!B1073),"",'ENGAGEMENTS 2026'!C1073)</f>
        <v/>
      </c>
      <c r="C1073">
        <f>IF(ISBLANK('ENGAGEMENTS 2026'!B1073),"",'ENGAGEMENTS 2026'!D1073)</f>
        <v/>
      </c>
      <c r="D1073">
        <f>IF(ISBLANK('ENGAGEMENTS 2026'!B1073),"",'ENGAGEMENTS 2026'!F1073)</f>
        <v/>
      </c>
      <c r="E1073">
        <f>IF(ISBLANK('ENGAGEMENTS 2026'!B1073),"",'ENGAGEMENTS 2026'!H1073)</f>
        <v/>
      </c>
      <c r="F1073">
        <f>IF(ISBLANK('ENGAGEMENTS 2026'!B1073),"",'ENGAGEMENTS 2026'!I1073)</f>
        <v/>
      </c>
      <c r="G1073">
        <f>IF(ISBLANK('ENGAGEMENTS 2026'!B1073),"",'ENGAGEMENTS 2026'!L1073)</f>
        <v/>
      </c>
      <c r="H1073">
        <f>IF(ISBLANK('ENGAGEMENTS 2026'!B1073),"",'ENGAGEMENTS 2026'!AE1073)</f>
        <v/>
      </c>
      <c r="I1073">
        <f>IF(ISBLANK('ENGAGEMENTS 2026'!B1073),"",'ENGAGEMENTS 2026'!G1073)</f>
        <v/>
      </c>
      <c r="J1073" s="275">
        <f>IF(ISBLANK('ENGAGEMENTS 2026'!B1073),"",IF(AND(OR($E1073="INFRUCTUEUX",$E1073="ANNULE"),$C1073="AOO-M"),'ENGAGEMENTS 2026'!O1073,IF($H1073="EN COURS DE PREENGAGEMENT",'ENGAGEMENTS 2026'!N1073,IF($H1073="PREENGAGE",IF($E1073="ATTRIBUE",'ENGAGEMENTS 2026'!AD1073,'ENGAGEMENTS 2026'!N1073),'ENGAGEMENTS 2026'!AD1073))))</f>
        <v/>
      </c>
      <c r="K1073" s="604">
        <f>IF(ISBLANK('ENGAGEMENTS 2026'!V1073),"",'ENGAGEMENTS 2026'!V1073)</f>
        <v/>
      </c>
      <c r="L1073" s="276">
        <f>IF($K1073="","",TODAY()-$K1073)</f>
        <v/>
      </c>
      <c r="M1073">
        <f>IF($A1073="","",IF($H1073="ENGAGE","Engagé",IF(AND($H1073="NON ENGAGE",OR($I1073="INFRUCTUEUX",$I1073="ANNULE")),"Clôturé sans suite","En cours")))</f>
        <v/>
      </c>
      <c r="N1073">
        <f>IF(ISBLANK('ENGAGEMENTS 2026'!B1073),"",'ENGAGEMENTS 2026'!K1073)</f>
        <v/>
      </c>
      <c r="O1073">
        <f>IF(ISBLANK('ENGAGEMENTS 2026'!B1073),"",'ENGAGEMENTS 2026'!L1073)</f>
        <v/>
      </c>
      <c r="P1073">
        <f>IF(ISBLANK('ENGAGEMENTS 2026'!B1073),"",'ENGAGEMENTS 2026'!J1073)</f>
        <v/>
      </c>
      <c r="Q1073">
        <f>IF($A1073="","",IF(OR($E1073="INFRUCTUEUX",$E1073="ANNULE"),$A1073&amp;"|"&amp;(COUNTIFS($A$2:$A1073,$A1073,$E$2:$E1073,"INFRUCTUEUX")+COUNTIFS($A$2:$A1073,$A1073,$E$2:$E1073,"ANNULE")),""))</f>
        <v/>
      </c>
    </row>
    <row r="1074">
      <c r="A1074">
        <f>IF(ISBLANK('ENGAGEMENTS 2026'!B1074),"",IF('ENGAGEMENTS 2026'!B1074="DTSI","DCT",'ENGAGEMENTS 2026'!B1074))</f>
        <v/>
      </c>
      <c r="B1074">
        <f>IF(ISBLANK('ENGAGEMENTS 2026'!B1074),"",'ENGAGEMENTS 2026'!C1074)</f>
        <v/>
      </c>
      <c r="C1074">
        <f>IF(ISBLANK('ENGAGEMENTS 2026'!B1074),"",'ENGAGEMENTS 2026'!D1074)</f>
        <v/>
      </c>
      <c r="D1074">
        <f>IF(ISBLANK('ENGAGEMENTS 2026'!B1074),"",'ENGAGEMENTS 2026'!F1074)</f>
        <v/>
      </c>
      <c r="E1074">
        <f>IF(ISBLANK('ENGAGEMENTS 2026'!B1074),"",'ENGAGEMENTS 2026'!H1074)</f>
        <v/>
      </c>
      <c r="F1074">
        <f>IF(ISBLANK('ENGAGEMENTS 2026'!B1074),"",'ENGAGEMENTS 2026'!I1074)</f>
        <v/>
      </c>
      <c r="G1074">
        <f>IF(ISBLANK('ENGAGEMENTS 2026'!B1074),"",'ENGAGEMENTS 2026'!L1074)</f>
        <v/>
      </c>
      <c r="H1074">
        <f>IF(ISBLANK('ENGAGEMENTS 2026'!B1074),"",'ENGAGEMENTS 2026'!AE1074)</f>
        <v/>
      </c>
      <c r="I1074">
        <f>IF(ISBLANK('ENGAGEMENTS 2026'!B1074),"",'ENGAGEMENTS 2026'!G1074)</f>
        <v/>
      </c>
      <c r="J1074" s="275">
        <f>IF(ISBLANK('ENGAGEMENTS 2026'!B1074),"",IF(AND(OR($E1074="INFRUCTUEUX",$E1074="ANNULE"),$C1074="AOO-M"),'ENGAGEMENTS 2026'!O1074,IF($H1074="EN COURS DE PREENGAGEMENT",'ENGAGEMENTS 2026'!N1074,IF($H1074="PREENGAGE",IF($E1074="ATTRIBUE",'ENGAGEMENTS 2026'!AD1074,'ENGAGEMENTS 2026'!N1074),'ENGAGEMENTS 2026'!AD1074))))</f>
        <v/>
      </c>
      <c r="K1074" s="604">
        <f>IF(ISBLANK('ENGAGEMENTS 2026'!V1074),"",'ENGAGEMENTS 2026'!V1074)</f>
        <v/>
      </c>
      <c r="L1074" s="276">
        <f>IF($K1074="","",TODAY()-$K1074)</f>
        <v/>
      </c>
      <c r="M1074">
        <f>IF($A1074="","",IF($H1074="ENGAGE","Engagé",IF(AND($H1074="NON ENGAGE",OR($I1074="INFRUCTUEUX",$I1074="ANNULE")),"Clôturé sans suite","En cours")))</f>
        <v/>
      </c>
      <c r="N1074">
        <f>IF(ISBLANK('ENGAGEMENTS 2026'!B1074),"",'ENGAGEMENTS 2026'!K1074)</f>
        <v/>
      </c>
      <c r="O1074">
        <f>IF(ISBLANK('ENGAGEMENTS 2026'!B1074),"",'ENGAGEMENTS 2026'!L1074)</f>
        <v/>
      </c>
      <c r="P1074">
        <f>IF(ISBLANK('ENGAGEMENTS 2026'!B1074),"",'ENGAGEMENTS 2026'!J1074)</f>
        <v/>
      </c>
      <c r="Q1074">
        <f>IF($A1074="","",IF(OR($E1074="INFRUCTUEUX",$E1074="ANNULE"),$A1074&amp;"|"&amp;(COUNTIFS($A$2:$A1074,$A1074,$E$2:$E1074,"INFRUCTUEUX")+COUNTIFS($A$2:$A1074,$A1074,$E$2:$E1074,"ANNULE")),""))</f>
        <v/>
      </c>
    </row>
    <row r="1075">
      <c r="A1075">
        <f>IF(ISBLANK('ENGAGEMENTS 2026'!B1075),"",IF('ENGAGEMENTS 2026'!B1075="DTSI","DCT",'ENGAGEMENTS 2026'!B1075))</f>
        <v/>
      </c>
      <c r="B1075">
        <f>IF(ISBLANK('ENGAGEMENTS 2026'!B1075),"",'ENGAGEMENTS 2026'!C1075)</f>
        <v/>
      </c>
      <c r="C1075">
        <f>IF(ISBLANK('ENGAGEMENTS 2026'!B1075),"",'ENGAGEMENTS 2026'!D1075)</f>
        <v/>
      </c>
      <c r="D1075">
        <f>IF(ISBLANK('ENGAGEMENTS 2026'!B1075),"",'ENGAGEMENTS 2026'!F1075)</f>
        <v/>
      </c>
      <c r="E1075">
        <f>IF(ISBLANK('ENGAGEMENTS 2026'!B1075),"",'ENGAGEMENTS 2026'!H1075)</f>
        <v/>
      </c>
      <c r="F1075">
        <f>IF(ISBLANK('ENGAGEMENTS 2026'!B1075),"",'ENGAGEMENTS 2026'!I1075)</f>
        <v/>
      </c>
      <c r="G1075">
        <f>IF(ISBLANK('ENGAGEMENTS 2026'!B1075),"",'ENGAGEMENTS 2026'!L1075)</f>
        <v/>
      </c>
      <c r="H1075">
        <f>IF(ISBLANK('ENGAGEMENTS 2026'!B1075),"",'ENGAGEMENTS 2026'!AE1075)</f>
        <v/>
      </c>
      <c r="I1075">
        <f>IF(ISBLANK('ENGAGEMENTS 2026'!B1075),"",'ENGAGEMENTS 2026'!G1075)</f>
        <v/>
      </c>
      <c r="J1075" s="275">
        <f>IF(ISBLANK('ENGAGEMENTS 2026'!B1075),"",IF(AND(OR($E1075="INFRUCTUEUX",$E1075="ANNULE"),$C1075="AOO-M"),'ENGAGEMENTS 2026'!O1075,IF($H1075="EN COURS DE PREENGAGEMENT",'ENGAGEMENTS 2026'!N1075,IF($H1075="PREENGAGE",IF($E1075="ATTRIBUE",'ENGAGEMENTS 2026'!AD1075,'ENGAGEMENTS 2026'!N1075),'ENGAGEMENTS 2026'!AD1075))))</f>
        <v/>
      </c>
      <c r="K1075" s="604">
        <f>IF(ISBLANK('ENGAGEMENTS 2026'!V1075),"",'ENGAGEMENTS 2026'!V1075)</f>
        <v/>
      </c>
      <c r="L1075" s="276">
        <f>IF($K1075="","",TODAY()-$K1075)</f>
        <v/>
      </c>
      <c r="M1075">
        <f>IF($A1075="","",IF($H1075="ENGAGE","Engagé",IF(AND($H1075="NON ENGAGE",OR($I1075="INFRUCTUEUX",$I1075="ANNULE")),"Clôturé sans suite","En cours")))</f>
        <v/>
      </c>
      <c r="N1075">
        <f>IF(ISBLANK('ENGAGEMENTS 2026'!B1075),"",'ENGAGEMENTS 2026'!K1075)</f>
        <v/>
      </c>
      <c r="O1075">
        <f>IF(ISBLANK('ENGAGEMENTS 2026'!B1075),"",'ENGAGEMENTS 2026'!L1075)</f>
        <v/>
      </c>
      <c r="P1075">
        <f>IF(ISBLANK('ENGAGEMENTS 2026'!B1075),"",'ENGAGEMENTS 2026'!J1075)</f>
        <v/>
      </c>
      <c r="Q1075">
        <f>IF($A1075="","",IF(OR($E1075="INFRUCTUEUX",$E1075="ANNULE"),$A1075&amp;"|"&amp;(COUNTIFS($A$2:$A1075,$A1075,$E$2:$E1075,"INFRUCTUEUX")+COUNTIFS($A$2:$A1075,$A1075,$E$2:$E1075,"ANNULE")),""))</f>
        <v/>
      </c>
    </row>
    <row r="1076">
      <c r="A1076">
        <f>IF(ISBLANK('ENGAGEMENTS 2026'!B1076),"",IF('ENGAGEMENTS 2026'!B1076="DTSI","DCT",'ENGAGEMENTS 2026'!B1076))</f>
        <v/>
      </c>
      <c r="B1076">
        <f>IF(ISBLANK('ENGAGEMENTS 2026'!B1076),"",'ENGAGEMENTS 2026'!C1076)</f>
        <v/>
      </c>
      <c r="C1076">
        <f>IF(ISBLANK('ENGAGEMENTS 2026'!B1076),"",'ENGAGEMENTS 2026'!D1076)</f>
        <v/>
      </c>
      <c r="D1076">
        <f>IF(ISBLANK('ENGAGEMENTS 2026'!B1076),"",'ENGAGEMENTS 2026'!F1076)</f>
        <v/>
      </c>
      <c r="E1076">
        <f>IF(ISBLANK('ENGAGEMENTS 2026'!B1076),"",'ENGAGEMENTS 2026'!H1076)</f>
        <v/>
      </c>
      <c r="F1076">
        <f>IF(ISBLANK('ENGAGEMENTS 2026'!B1076),"",'ENGAGEMENTS 2026'!I1076)</f>
        <v/>
      </c>
      <c r="G1076">
        <f>IF(ISBLANK('ENGAGEMENTS 2026'!B1076),"",'ENGAGEMENTS 2026'!L1076)</f>
        <v/>
      </c>
      <c r="H1076">
        <f>IF(ISBLANK('ENGAGEMENTS 2026'!B1076),"",'ENGAGEMENTS 2026'!AE1076)</f>
        <v/>
      </c>
      <c r="I1076">
        <f>IF(ISBLANK('ENGAGEMENTS 2026'!B1076),"",'ENGAGEMENTS 2026'!G1076)</f>
        <v/>
      </c>
      <c r="J1076" s="275">
        <f>IF(ISBLANK('ENGAGEMENTS 2026'!B1076),"",IF(AND(OR($E1076="INFRUCTUEUX",$E1076="ANNULE"),$C1076="AOO-M"),'ENGAGEMENTS 2026'!O1076,IF($H1076="EN COURS DE PREENGAGEMENT",'ENGAGEMENTS 2026'!N1076,IF($H1076="PREENGAGE",IF($E1076="ATTRIBUE",'ENGAGEMENTS 2026'!AD1076,'ENGAGEMENTS 2026'!N1076),'ENGAGEMENTS 2026'!AD1076))))</f>
        <v/>
      </c>
      <c r="K1076" s="604">
        <f>IF(ISBLANK('ENGAGEMENTS 2026'!V1076),"",'ENGAGEMENTS 2026'!V1076)</f>
        <v/>
      </c>
      <c r="L1076" s="276">
        <f>IF($K1076="","",TODAY()-$K1076)</f>
        <v/>
      </c>
      <c r="M1076">
        <f>IF($A1076="","",IF($H1076="ENGAGE","Engagé",IF(AND($H1076="NON ENGAGE",OR($I1076="INFRUCTUEUX",$I1076="ANNULE")),"Clôturé sans suite","En cours")))</f>
        <v/>
      </c>
      <c r="N1076">
        <f>IF(ISBLANK('ENGAGEMENTS 2026'!B1076),"",'ENGAGEMENTS 2026'!K1076)</f>
        <v/>
      </c>
      <c r="O1076">
        <f>IF(ISBLANK('ENGAGEMENTS 2026'!B1076),"",'ENGAGEMENTS 2026'!L1076)</f>
        <v/>
      </c>
      <c r="P1076">
        <f>IF(ISBLANK('ENGAGEMENTS 2026'!B1076),"",'ENGAGEMENTS 2026'!J1076)</f>
        <v/>
      </c>
      <c r="Q1076">
        <f>IF($A1076="","",IF(OR($E1076="INFRUCTUEUX",$E1076="ANNULE"),$A1076&amp;"|"&amp;(COUNTIFS($A$2:$A1076,$A1076,$E$2:$E1076,"INFRUCTUEUX")+COUNTIFS($A$2:$A1076,$A1076,$E$2:$E1076,"ANNULE")),""))</f>
        <v/>
      </c>
    </row>
    <row r="1077">
      <c r="A1077">
        <f>IF(ISBLANK('ENGAGEMENTS 2026'!B1077),"",IF('ENGAGEMENTS 2026'!B1077="DTSI","DCT",'ENGAGEMENTS 2026'!B1077))</f>
        <v/>
      </c>
      <c r="B1077">
        <f>IF(ISBLANK('ENGAGEMENTS 2026'!B1077),"",'ENGAGEMENTS 2026'!C1077)</f>
        <v/>
      </c>
      <c r="C1077">
        <f>IF(ISBLANK('ENGAGEMENTS 2026'!B1077),"",'ENGAGEMENTS 2026'!D1077)</f>
        <v/>
      </c>
      <c r="D1077">
        <f>IF(ISBLANK('ENGAGEMENTS 2026'!B1077),"",'ENGAGEMENTS 2026'!F1077)</f>
        <v/>
      </c>
      <c r="E1077">
        <f>IF(ISBLANK('ENGAGEMENTS 2026'!B1077),"",'ENGAGEMENTS 2026'!H1077)</f>
        <v/>
      </c>
      <c r="F1077">
        <f>IF(ISBLANK('ENGAGEMENTS 2026'!B1077),"",'ENGAGEMENTS 2026'!I1077)</f>
        <v/>
      </c>
      <c r="G1077">
        <f>IF(ISBLANK('ENGAGEMENTS 2026'!B1077),"",'ENGAGEMENTS 2026'!L1077)</f>
        <v/>
      </c>
      <c r="H1077">
        <f>IF(ISBLANK('ENGAGEMENTS 2026'!B1077),"",'ENGAGEMENTS 2026'!AE1077)</f>
        <v/>
      </c>
      <c r="I1077">
        <f>IF(ISBLANK('ENGAGEMENTS 2026'!B1077),"",'ENGAGEMENTS 2026'!G1077)</f>
        <v/>
      </c>
      <c r="J1077" s="275">
        <f>IF(ISBLANK('ENGAGEMENTS 2026'!B1077),"",IF(AND(OR($E1077="INFRUCTUEUX",$E1077="ANNULE"),$C1077="AOO-M"),'ENGAGEMENTS 2026'!O1077,IF($H1077="EN COURS DE PREENGAGEMENT",'ENGAGEMENTS 2026'!N1077,IF($H1077="PREENGAGE",IF($E1077="ATTRIBUE",'ENGAGEMENTS 2026'!AD1077,'ENGAGEMENTS 2026'!N1077),'ENGAGEMENTS 2026'!AD1077))))</f>
        <v/>
      </c>
      <c r="K1077" s="604">
        <f>IF(ISBLANK('ENGAGEMENTS 2026'!V1077),"",'ENGAGEMENTS 2026'!V1077)</f>
        <v/>
      </c>
      <c r="L1077" s="276">
        <f>IF($K1077="","",TODAY()-$K1077)</f>
        <v/>
      </c>
      <c r="M1077">
        <f>IF($A1077="","",IF($H1077="ENGAGE","Engagé",IF(AND($H1077="NON ENGAGE",OR($I1077="INFRUCTUEUX",$I1077="ANNULE")),"Clôturé sans suite","En cours")))</f>
        <v/>
      </c>
      <c r="N1077">
        <f>IF(ISBLANK('ENGAGEMENTS 2026'!B1077),"",'ENGAGEMENTS 2026'!K1077)</f>
        <v/>
      </c>
      <c r="O1077">
        <f>IF(ISBLANK('ENGAGEMENTS 2026'!B1077),"",'ENGAGEMENTS 2026'!L1077)</f>
        <v/>
      </c>
      <c r="P1077">
        <f>IF(ISBLANK('ENGAGEMENTS 2026'!B1077),"",'ENGAGEMENTS 2026'!J1077)</f>
        <v/>
      </c>
      <c r="Q1077">
        <f>IF($A1077="","",IF(OR($E1077="INFRUCTUEUX",$E1077="ANNULE"),$A1077&amp;"|"&amp;(COUNTIFS($A$2:$A1077,$A1077,$E$2:$E1077,"INFRUCTUEUX")+COUNTIFS($A$2:$A1077,$A1077,$E$2:$E1077,"ANNULE")),""))</f>
        <v/>
      </c>
    </row>
    <row r="1078">
      <c r="A1078">
        <f>IF(ISBLANK('ENGAGEMENTS 2026'!B1078),"",IF('ENGAGEMENTS 2026'!B1078="DTSI","DCT",'ENGAGEMENTS 2026'!B1078))</f>
        <v/>
      </c>
      <c r="B1078">
        <f>IF(ISBLANK('ENGAGEMENTS 2026'!B1078),"",'ENGAGEMENTS 2026'!C1078)</f>
        <v/>
      </c>
      <c r="C1078">
        <f>IF(ISBLANK('ENGAGEMENTS 2026'!B1078),"",'ENGAGEMENTS 2026'!D1078)</f>
        <v/>
      </c>
      <c r="D1078">
        <f>IF(ISBLANK('ENGAGEMENTS 2026'!B1078),"",'ENGAGEMENTS 2026'!F1078)</f>
        <v/>
      </c>
      <c r="E1078">
        <f>IF(ISBLANK('ENGAGEMENTS 2026'!B1078),"",'ENGAGEMENTS 2026'!H1078)</f>
        <v/>
      </c>
      <c r="F1078">
        <f>IF(ISBLANK('ENGAGEMENTS 2026'!B1078),"",'ENGAGEMENTS 2026'!I1078)</f>
        <v/>
      </c>
      <c r="G1078">
        <f>IF(ISBLANK('ENGAGEMENTS 2026'!B1078),"",'ENGAGEMENTS 2026'!L1078)</f>
        <v/>
      </c>
      <c r="H1078">
        <f>IF(ISBLANK('ENGAGEMENTS 2026'!B1078),"",'ENGAGEMENTS 2026'!AE1078)</f>
        <v/>
      </c>
      <c r="I1078">
        <f>IF(ISBLANK('ENGAGEMENTS 2026'!B1078),"",'ENGAGEMENTS 2026'!G1078)</f>
        <v/>
      </c>
      <c r="J1078" s="275">
        <f>IF(ISBLANK('ENGAGEMENTS 2026'!B1078),"",IF(AND(OR($E1078="INFRUCTUEUX",$E1078="ANNULE"),$C1078="AOO-M"),'ENGAGEMENTS 2026'!O1078,IF($H1078="EN COURS DE PREENGAGEMENT",'ENGAGEMENTS 2026'!N1078,IF($H1078="PREENGAGE",IF($E1078="ATTRIBUE",'ENGAGEMENTS 2026'!AD1078,'ENGAGEMENTS 2026'!N1078),'ENGAGEMENTS 2026'!AD1078))))</f>
        <v/>
      </c>
      <c r="K1078" s="604">
        <f>IF(ISBLANK('ENGAGEMENTS 2026'!V1078),"",'ENGAGEMENTS 2026'!V1078)</f>
        <v/>
      </c>
      <c r="L1078" s="276">
        <f>IF($K1078="","",TODAY()-$K1078)</f>
        <v/>
      </c>
      <c r="M1078">
        <f>IF($A1078="","",IF($H1078="ENGAGE","Engagé",IF(AND($H1078="NON ENGAGE",OR($I1078="INFRUCTUEUX",$I1078="ANNULE")),"Clôturé sans suite","En cours")))</f>
        <v/>
      </c>
      <c r="N1078">
        <f>IF(ISBLANK('ENGAGEMENTS 2026'!B1078),"",'ENGAGEMENTS 2026'!K1078)</f>
        <v/>
      </c>
      <c r="O1078">
        <f>IF(ISBLANK('ENGAGEMENTS 2026'!B1078),"",'ENGAGEMENTS 2026'!L1078)</f>
        <v/>
      </c>
      <c r="P1078">
        <f>IF(ISBLANK('ENGAGEMENTS 2026'!B1078),"",'ENGAGEMENTS 2026'!J1078)</f>
        <v/>
      </c>
      <c r="Q1078">
        <f>IF($A1078="","",IF(OR($E1078="INFRUCTUEUX",$E1078="ANNULE"),$A1078&amp;"|"&amp;(COUNTIFS($A$2:$A1078,$A1078,$E$2:$E1078,"INFRUCTUEUX")+COUNTIFS($A$2:$A1078,$A1078,$E$2:$E1078,"ANNULE")),""))</f>
        <v/>
      </c>
    </row>
    <row r="1079">
      <c r="A1079">
        <f>IF(ISBLANK('ENGAGEMENTS 2026'!B1079),"",IF('ENGAGEMENTS 2026'!B1079="DTSI","DCT",'ENGAGEMENTS 2026'!B1079))</f>
        <v/>
      </c>
      <c r="B1079">
        <f>IF(ISBLANK('ENGAGEMENTS 2026'!B1079),"",'ENGAGEMENTS 2026'!C1079)</f>
        <v/>
      </c>
      <c r="C1079">
        <f>IF(ISBLANK('ENGAGEMENTS 2026'!B1079),"",'ENGAGEMENTS 2026'!D1079)</f>
        <v/>
      </c>
      <c r="D1079">
        <f>IF(ISBLANK('ENGAGEMENTS 2026'!B1079),"",'ENGAGEMENTS 2026'!F1079)</f>
        <v/>
      </c>
      <c r="E1079">
        <f>IF(ISBLANK('ENGAGEMENTS 2026'!B1079),"",'ENGAGEMENTS 2026'!H1079)</f>
        <v/>
      </c>
      <c r="F1079">
        <f>IF(ISBLANK('ENGAGEMENTS 2026'!B1079),"",'ENGAGEMENTS 2026'!I1079)</f>
        <v/>
      </c>
      <c r="G1079">
        <f>IF(ISBLANK('ENGAGEMENTS 2026'!B1079),"",'ENGAGEMENTS 2026'!L1079)</f>
        <v/>
      </c>
      <c r="H1079">
        <f>IF(ISBLANK('ENGAGEMENTS 2026'!B1079),"",'ENGAGEMENTS 2026'!AE1079)</f>
        <v/>
      </c>
      <c r="I1079">
        <f>IF(ISBLANK('ENGAGEMENTS 2026'!B1079),"",'ENGAGEMENTS 2026'!G1079)</f>
        <v/>
      </c>
      <c r="J1079" s="275">
        <f>IF(ISBLANK('ENGAGEMENTS 2026'!B1079),"",IF(AND(OR($E1079="INFRUCTUEUX",$E1079="ANNULE"),$C1079="AOO-M"),'ENGAGEMENTS 2026'!O1079,IF($H1079="EN COURS DE PREENGAGEMENT",'ENGAGEMENTS 2026'!N1079,IF($H1079="PREENGAGE",IF($E1079="ATTRIBUE",'ENGAGEMENTS 2026'!AD1079,'ENGAGEMENTS 2026'!N1079),'ENGAGEMENTS 2026'!AD1079))))</f>
        <v/>
      </c>
      <c r="K1079" s="604">
        <f>IF(ISBLANK('ENGAGEMENTS 2026'!V1079),"",'ENGAGEMENTS 2026'!V1079)</f>
        <v/>
      </c>
      <c r="L1079" s="276">
        <f>IF($K1079="","",TODAY()-$K1079)</f>
        <v/>
      </c>
      <c r="M1079">
        <f>IF($A1079="","",IF($H1079="ENGAGE","Engagé",IF(AND($H1079="NON ENGAGE",OR($I1079="INFRUCTUEUX",$I1079="ANNULE")),"Clôturé sans suite","En cours")))</f>
        <v/>
      </c>
      <c r="N1079">
        <f>IF(ISBLANK('ENGAGEMENTS 2026'!B1079),"",'ENGAGEMENTS 2026'!K1079)</f>
        <v/>
      </c>
      <c r="O1079">
        <f>IF(ISBLANK('ENGAGEMENTS 2026'!B1079),"",'ENGAGEMENTS 2026'!L1079)</f>
        <v/>
      </c>
      <c r="P1079">
        <f>IF(ISBLANK('ENGAGEMENTS 2026'!B1079),"",'ENGAGEMENTS 2026'!J1079)</f>
        <v/>
      </c>
      <c r="Q1079">
        <f>IF($A1079="","",IF(OR($E1079="INFRUCTUEUX",$E1079="ANNULE"),$A1079&amp;"|"&amp;(COUNTIFS($A$2:$A1079,$A1079,$E$2:$E1079,"INFRUCTUEUX")+COUNTIFS($A$2:$A1079,$A1079,$E$2:$E1079,"ANNULE")),""))</f>
        <v/>
      </c>
    </row>
    <row r="1080">
      <c r="A1080">
        <f>IF(ISBLANK('ENGAGEMENTS 2026'!B1080),"",IF('ENGAGEMENTS 2026'!B1080="DTSI","DCT",'ENGAGEMENTS 2026'!B1080))</f>
        <v/>
      </c>
      <c r="B1080">
        <f>IF(ISBLANK('ENGAGEMENTS 2026'!B1080),"",'ENGAGEMENTS 2026'!C1080)</f>
        <v/>
      </c>
      <c r="C1080">
        <f>IF(ISBLANK('ENGAGEMENTS 2026'!B1080),"",'ENGAGEMENTS 2026'!D1080)</f>
        <v/>
      </c>
      <c r="D1080">
        <f>IF(ISBLANK('ENGAGEMENTS 2026'!B1080),"",'ENGAGEMENTS 2026'!F1080)</f>
        <v/>
      </c>
      <c r="E1080">
        <f>IF(ISBLANK('ENGAGEMENTS 2026'!B1080),"",'ENGAGEMENTS 2026'!H1080)</f>
        <v/>
      </c>
      <c r="F1080">
        <f>IF(ISBLANK('ENGAGEMENTS 2026'!B1080),"",'ENGAGEMENTS 2026'!I1080)</f>
        <v/>
      </c>
      <c r="G1080">
        <f>IF(ISBLANK('ENGAGEMENTS 2026'!B1080),"",'ENGAGEMENTS 2026'!L1080)</f>
        <v/>
      </c>
      <c r="H1080">
        <f>IF(ISBLANK('ENGAGEMENTS 2026'!B1080),"",'ENGAGEMENTS 2026'!AE1080)</f>
        <v/>
      </c>
      <c r="I1080">
        <f>IF(ISBLANK('ENGAGEMENTS 2026'!B1080),"",'ENGAGEMENTS 2026'!G1080)</f>
        <v/>
      </c>
      <c r="J1080" s="275">
        <f>IF(ISBLANK('ENGAGEMENTS 2026'!B1080),"",IF(AND(OR($E1080="INFRUCTUEUX",$E1080="ANNULE"),$C1080="AOO-M"),'ENGAGEMENTS 2026'!O1080,IF($H1080="EN COURS DE PREENGAGEMENT",'ENGAGEMENTS 2026'!N1080,IF($H1080="PREENGAGE",IF($E1080="ATTRIBUE",'ENGAGEMENTS 2026'!AD1080,'ENGAGEMENTS 2026'!N1080),'ENGAGEMENTS 2026'!AD1080))))</f>
        <v/>
      </c>
      <c r="K1080" s="604">
        <f>IF(ISBLANK('ENGAGEMENTS 2026'!V1080),"",'ENGAGEMENTS 2026'!V1080)</f>
        <v/>
      </c>
      <c r="L1080" s="276">
        <f>IF($K1080="","",TODAY()-$K1080)</f>
        <v/>
      </c>
      <c r="M1080">
        <f>IF($A1080="","",IF($H1080="ENGAGE","Engagé",IF(AND($H1080="NON ENGAGE",OR($I1080="INFRUCTUEUX",$I1080="ANNULE")),"Clôturé sans suite","En cours")))</f>
        <v/>
      </c>
      <c r="N1080">
        <f>IF(ISBLANK('ENGAGEMENTS 2026'!B1080),"",'ENGAGEMENTS 2026'!K1080)</f>
        <v/>
      </c>
      <c r="O1080">
        <f>IF(ISBLANK('ENGAGEMENTS 2026'!B1080),"",'ENGAGEMENTS 2026'!L1080)</f>
        <v/>
      </c>
      <c r="P1080">
        <f>IF(ISBLANK('ENGAGEMENTS 2026'!B1080),"",'ENGAGEMENTS 2026'!J1080)</f>
        <v/>
      </c>
      <c r="Q1080">
        <f>IF($A1080="","",IF(OR($E1080="INFRUCTUEUX",$E1080="ANNULE"),$A1080&amp;"|"&amp;(COUNTIFS($A$2:$A1080,$A1080,$E$2:$E1080,"INFRUCTUEUX")+COUNTIFS($A$2:$A1080,$A1080,$E$2:$E1080,"ANNULE")),""))</f>
        <v/>
      </c>
    </row>
    <row r="1081">
      <c r="A1081">
        <f>IF(ISBLANK('ENGAGEMENTS 2026'!B1081),"",IF('ENGAGEMENTS 2026'!B1081="DTSI","DCT",'ENGAGEMENTS 2026'!B1081))</f>
        <v/>
      </c>
      <c r="B1081">
        <f>IF(ISBLANK('ENGAGEMENTS 2026'!B1081),"",'ENGAGEMENTS 2026'!C1081)</f>
        <v/>
      </c>
      <c r="C1081">
        <f>IF(ISBLANK('ENGAGEMENTS 2026'!B1081),"",'ENGAGEMENTS 2026'!D1081)</f>
        <v/>
      </c>
      <c r="D1081">
        <f>IF(ISBLANK('ENGAGEMENTS 2026'!B1081),"",'ENGAGEMENTS 2026'!F1081)</f>
        <v/>
      </c>
      <c r="E1081">
        <f>IF(ISBLANK('ENGAGEMENTS 2026'!B1081),"",'ENGAGEMENTS 2026'!H1081)</f>
        <v/>
      </c>
      <c r="F1081">
        <f>IF(ISBLANK('ENGAGEMENTS 2026'!B1081),"",'ENGAGEMENTS 2026'!I1081)</f>
        <v/>
      </c>
      <c r="G1081">
        <f>IF(ISBLANK('ENGAGEMENTS 2026'!B1081),"",'ENGAGEMENTS 2026'!L1081)</f>
        <v/>
      </c>
      <c r="H1081">
        <f>IF(ISBLANK('ENGAGEMENTS 2026'!B1081),"",'ENGAGEMENTS 2026'!AE1081)</f>
        <v/>
      </c>
      <c r="I1081">
        <f>IF(ISBLANK('ENGAGEMENTS 2026'!B1081),"",'ENGAGEMENTS 2026'!G1081)</f>
        <v/>
      </c>
      <c r="J1081" s="275">
        <f>IF(ISBLANK('ENGAGEMENTS 2026'!B1081),"",IF(AND(OR($E1081="INFRUCTUEUX",$E1081="ANNULE"),$C1081="AOO-M"),'ENGAGEMENTS 2026'!O1081,IF($H1081="EN COURS DE PREENGAGEMENT",'ENGAGEMENTS 2026'!N1081,IF($H1081="PREENGAGE",IF($E1081="ATTRIBUE",'ENGAGEMENTS 2026'!AD1081,'ENGAGEMENTS 2026'!N1081),'ENGAGEMENTS 2026'!AD1081))))</f>
        <v/>
      </c>
      <c r="K1081" s="604">
        <f>IF(ISBLANK('ENGAGEMENTS 2026'!V1081),"",'ENGAGEMENTS 2026'!V1081)</f>
        <v/>
      </c>
      <c r="L1081" s="276">
        <f>IF($K1081="","",TODAY()-$K1081)</f>
        <v/>
      </c>
      <c r="M1081">
        <f>IF($A1081="","",IF($H1081="ENGAGE","Engagé",IF(AND($H1081="NON ENGAGE",OR($I1081="INFRUCTUEUX",$I1081="ANNULE")),"Clôturé sans suite","En cours")))</f>
        <v/>
      </c>
      <c r="N1081">
        <f>IF(ISBLANK('ENGAGEMENTS 2026'!B1081),"",'ENGAGEMENTS 2026'!K1081)</f>
        <v/>
      </c>
      <c r="O1081">
        <f>IF(ISBLANK('ENGAGEMENTS 2026'!B1081),"",'ENGAGEMENTS 2026'!L1081)</f>
        <v/>
      </c>
      <c r="P1081">
        <f>IF(ISBLANK('ENGAGEMENTS 2026'!B1081),"",'ENGAGEMENTS 2026'!J1081)</f>
        <v/>
      </c>
      <c r="Q1081">
        <f>IF($A1081="","",IF(OR($E1081="INFRUCTUEUX",$E1081="ANNULE"),$A1081&amp;"|"&amp;(COUNTIFS($A$2:$A1081,$A1081,$E$2:$E1081,"INFRUCTUEUX")+COUNTIFS($A$2:$A1081,$A1081,$E$2:$E1081,"ANNULE")),""))</f>
        <v/>
      </c>
    </row>
    <row r="1082">
      <c r="A1082">
        <f>IF(ISBLANK('ENGAGEMENTS 2026'!B1082),"",IF('ENGAGEMENTS 2026'!B1082="DTSI","DCT",'ENGAGEMENTS 2026'!B1082))</f>
        <v/>
      </c>
      <c r="B1082">
        <f>IF(ISBLANK('ENGAGEMENTS 2026'!B1082),"",'ENGAGEMENTS 2026'!C1082)</f>
        <v/>
      </c>
      <c r="C1082">
        <f>IF(ISBLANK('ENGAGEMENTS 2026'!B1082),"",'ENGAGEMENTS 2026'!D1082)</f>
        <v/>
      </c>
      <c r="D1082">
        <f>IF(ISBLANK('ENGAGEMENTS 2026'!B1082),"",'ENGAGEMENTS 2026'!F1082)</f>
        <v/>
      </c>
      <c r="E1082">
        <f>IF(ISBLANK('ENGAGEMENTS 2026'!B1082),"",'ENGAGEMENTS 2026'!H1082)</f>
        <v/>
      </c>
      <c r="F1082">
        <f>IF(ISBLANK('ENGAGEMENTS 2026'!B1082),"",'ENGAGEMENTS 2026'!I1082)</f>
        <v/>
      </c>
      <c r="G1082">
        <f>IF(ISBLANK('ENGAGEMENTS 2026'!B1082),"",'ENGAGEMENTS 2026'!L1082)</f>
        <v/>
      </c>
      <c r="H1082">
        <f>IF(ISBLANK('ENGAGEMENTS 2026'!B1082),"",'ENGAGEMENTS 2026'!AE1082)</f>
        <v/>
      </c>
      <c r="I1082">
        <f>IF(ISBLANK('ENGAGEMENTS 2026'!B1082),"",'ENGAGEMENTS 2026'!G1082)</f>
        <v/>
      </c>
      <c r="J1082" s="275">
        <f>IF(ISBLANK('ENGAGEMENTS 2026'!B1082),"",IF(AND(OR($E1082="INFRUCTUEUX",$E1082="ANNULE"),$C1082="AOO-M"),'ENGAGEMENTS 2026'!O1082,IF($H1082="EN COURS DE PREENGAGEMENT",'ENGAGEMENTS 2026'!N1082,IF($H1082="PREENGAGE",IF($E1082="ATTRIBUE",'ENGAGEMENTS 2026'!AD1082,'ENGAGEMENTS 2026'!N1082),'ENGAGEMENTS 2026'!AD1082))))</f>
        <v/>
      </c>
      <c r="K1082" s="604">
        <f>IF(ISBLANK('ENGAGEMENTS 2026'!V1082),"",'ENGAGEMENTS 2026'!V1082)</f>
        <v/>
      </c>
      <c r="L1082" s="276">
        <f>IF($K1082="","",TODAY()-$K1082)</f>
        <v/>
      </c>
      <c r="M1082">
        <f>IF($A1082="","",IF($H1082="ENGAGE","Engagé",IF(AND($H1082="NON ENGAGE",OR($I1082="INFRUCTUEUX",$I1082="ANNULE")),"Clôturé sans suite","En cours")))</f>
        <v/>
      </c>
      <c r="N1082">
        <f>IF(ISBLANK('ENGAGEMENTS 2026'!B1082),"",'ENGAGEMENTS 2026'!K1082)</f>
        <v/>
      </c>
      <c r="O1082">
        <f>IF(ISBLANK('ENGAGEMENTS 2026'!B1082),"",'ENGAGEMENTS 2026'!L1082)</f>
        <v/>
      </c>
      <c r="P1082">
        <f>IF(ISBLANK('ENGAGEMENTS 2026'!B1082),"",'ENGAGEMENTS 2026'!J1082)</f>
        <v/>
      </c>
      <c r="Q1082">
        <f>IF($A1082="","",IF(OR($E1082="INFRUCTUEUX",$E1082="ANNULE"),$A1082&amp;"|"&amp;(COUNTIFS($A$2:$A1082,$A1082,$E$2:$E1082,"INFRUCTUEUX")+COUNTIFS($A$2:$A1082,$A1082,$E$2:$E1082,"ANNULE")),""))</f>
        <v/>
      </c>
    </row>
    <row r="1083">
      <c r="A1083">
        <f>IF(ISBLANK('ENGAGEMENTS 2026'!B1083),"",IF('ENGAGEMENTS 2026'!B1083="DTSI","DCT",'ENGAGEMENTS 2026'!B1083))</f>
        <v/>
      </c>
      <c r="B1083">
        <f>IF(ISBLANK('ENGAGEMENTS 2026'!B1083),"",'ENGAGEMENTS 2026'!C1083)</f>
        <v/>
      </c>
      <c r="C1083">
        <f>IF(ISBLANK('ENGAGEMENTS 2026'!B1083),"",'ENGAGEMENTS 2026'!D1083)</f>
        <v/>
      </c>
      <c r="D1083">
        <f>IF(ISBLANK('ENGAGEMENTS 2026'!B1083),"",'ENGAGEMENTS 2026'!F1083)</f>
        <v/>
      </c>
      <c r="E1083">
        <f>IF(ISBLANK('ENGAGEMENTS 2026'!B1083),"",'ENGAGEMENTS 2026'!H1083)</f>
        <v/>
      </c>
      <c r="F1083">
        <f>IF(ISBLANK('ENGAGEMENTS 2026'!B1083),"",'ENGAGEMENTS 2026'!I1083)</f>
        <v/>
      </c>
      <c r="G1083">
        <f>IF(ISBLANK('ENGAGEMENTS 2026'!B1083),"",'ENGAGEMENTS 2026'!L1083)</f>
        <v/>
      </c>
      <c r="H1083">
        <f>IF(ISBLANK('ENGAGEMENTS 2026'!B1083),"",'ENGAGEMENTS 2026'!AE1083)</f>
        <v/>
      </c>
      <c r="I1083">
        <f>IF(ISBLANK('ENGAGEMENTS 2026'!B1083),"",'ENGAGEMENTS 2026'!G1083)</f>
        <v/>
      </c>
      <c r="J1083" s="275">
        <f>IF(ISBLANK('ENGAGEMENTS 2026'!B1083),"",IF(AND(OR($E1083="INFRUCTUEUX",$E1083="ANNULE"),$C1083="AOO-M"),'ENGAGEMENTS 2026'!O1083,IF($H1083="EN COURS DE PREENGAGEMENT",'ENGAGEMENTS 2026'!N1083,IF($H1083="PREENGAGE",IF($E1083="ATTRIBUE",'ENGAGEMENTS 2026'!AD1083,'ENGAGEMENTS 2026'!N1083),'ENGAGEMENTS 2026'!AD1083))))</f>
        <v/>
      </c>
      <c r="K1083" s="604">
        <f>IF(ISBLANK('ENGAGEMENTS 2026'!V1083),"",'ENGAGEMENTS 2026'!V1083)</f>
        <v/>
      </c>
      <c r="L1083" s="276">
        <f>IF($K1083="","",TODAY()-$K1083)</f>
        <v/>
      </c>
      <c r="M1083">
        <f>IF($A1083="","",IF($H1083="ENGAGE","Engagé",IF(AND($H1083="NON ENGAGE",OR($I1083="INFRUCTUEUX",$I1083="ANNULE")),"Clôturé sans suite","En cours")))</f>
        <v/>
      </c>
      <c r="N1083">
        <f>IF(ISBLANK('ENGAGEMENTS 2026'!B1083),"",'ENGAGEMENTS 2026'!K1083)</f>
        <v/>
      </c>
      <c r="O1083">
        <f>IF(ISBLANK('ENGAGEMENTS 2026'!B1083),"",'ENGAGEMENTS 2026'!L1083)</f>
        <v/>
      </c>
      <c r="P1083">
        <f>IF(ISBLANK('ENGAGEMENTS 2026'!B1083),"",'ENGAGEMENTS 2026'!J1083)</f>
        <v/>
      </c>
      <c r="Q1083">
        <f>IF($A1083="","",IF(OR($E1083="INFRUCTUEUX",$E1083="ANNULE"),$A1083&amp;"|"&amp;(COUNTIFS($A$2:$A1083,$A1083,$E$2:$E1083,"INFRUCTUEUX")+COUNTIFS($A$2:$A1083,$A1083,$E$2:$E1083,"ANNULE")),""))</f>
        <v/>
      </c>
    </row>
    <row r="1084">
      <c r="A1084">
        <f>IF(ISBLANK('ENGAGEMENTS 2026'!B1084),"",IF('ENGAGEMENTS 2026'!B1084="DTSI","DCT",'ENGAGEMENTS 2026'!B1084))</f>
        <v/>
      </c>
      <c r="B1084">
        <f>IF(ISBLANK('ENGAGEMENTS 2026'!B1084),"",'ENGAGEMENTS 2026'!C1084)</f>
        <v/>
      </c>
      <c r="C1084">
        <f>IF(ISBLANK('ENGAGEMENTS 2026'!B1084),"",'ENGAGEMENTS 2026'!D1084)</f>
        <v/>
      </c>
      <c r="D1084">
        <f>IF(ISBLANK('ENGAGEMENTS 2026'!B1084),"",'ENGAGEMENTS 2026'!F1084)</f>
        <v/>
      </c>
      <c r="E1084">
        <f>IF(ISBLANK('ENGAGEMENTS 2026'!B1084),"",'ENGAGEMENTS 2026'!H1084)</f>
        <v/>
      </c>
      <c r="F1084">
        <f>IF(ISBLANK('ENGAGEMENTS 2026'!B1084),"",'ENGAGEMENTS 2026'!I1084)</f>
        <v/>
      </c>
      <c r="G1084">
        <f>IF(ISBLANK('ENGAGEMENTS 2026'!B1084),"",'ENGAGEMENTS 2026'!L1084)</f>
        <v/>
      </c>
      <c r="H1084">
        <f>IF(ISBLANK('ENGAGEMENTS 2026'!B1084),"",'ENGAGEMENTS 2026'!AE1084)</f>
        <v/>
      </c>
      <c r="I1084">
        <f>IF(ISBLANK('ENGAGEMENTS 2026'!B1084),"",'ENGAGEMENTS 2026'!G1084)</f>
        <v/>
      </c>
      <c r="J1084" s="275">
        <f>IF(ISBLANK('ENGAGEMENTS 2026'!B1084),"",IF(AND(OR($E1084="INFRUCTUEUX",$E1084="ANNULE"),$C1084="AOO-M"),'ENGAGEMENTS 2026'!O1084,IF($H1084="EN COURS DE PREENGAGEMENT",'ENGAGEMENTS 2026'!N1084,IF($H1084="PREENGAGE",IF($E1084="ATTRIBUE",'ENGAGEMENTS 2026'!AD1084,'ENGAGEMENTS 2026'!N1084),'ENGAGEMENTS 2026'!AD1084))))</f>
        <v/>
      </c>
      <c r="K1084" s="604">
        <f>IF(ISBLANK('ENGAGEMENTS 2026'!V1084),"",'ENGAGEMENTS 2026'!V1084)</f>
        <v/>
      </c>
      <c r="L1084" s="276">
        <f>IF($K1084="","",TODAY()-$K1084)</f>
        <v/>
      </c>
      <c r="M1084">
        <f>IF($A1084="","",IF($H1084="ENGAGE","Engagé",IF(AND($H1084="NON ENGAGE",OR($I1084="INFRUCTUEUX",$I1084="ANNULE")),"Clôturé sans suite","En cours")))</f>
        <v/>
      </c>
      <c r="N1084">
        <f>IF(ISBLANK('ENGAGEMENTS 2026'!B1084),"",'ENGAGEMENTS 2026'!K1084)</f>
        <v/>
      </c>
      <c r="O1084">
        <f>IF(ISBLANK('ENGAGEMENTS 2026'!B1084),"",'ENGAGEMENTS 2026'!L1084)</f>
        <v/>
      </c>
      <c r="P1084">
        <f>IF(ISBLANK('ENGAGEMENTS 2026'!B1084),"",'ENGAGEMENTS 2026'!J1084)</f>
        <v/>
      </c>
      <c r="Q1084">
        <f>IF($A1084="","",IF(OR($E1084="INFRUCTUEUX",$E1084="ANNULE"),$A1084&amp;"|"&amp;(COUNTIFS($A$2:$A1084,$A1084,$E$2:$E1084,"INFRUCTUEUX")+COUNTIFS($A$2:$A1084,$A1084,$E$2:$E1084,"ANNULE")),""))</f>
        <v/>
      </c>
    </row>
    <row r="1085">
      <c r="A1085">
        <f>IF(ISBLANK('ENGAGEMENTS 2026'!B1085),"",IF('ENGAGEMENTS 2026'!B1085="DTSI","DCT",'ENGAGEMENTS 2026'!B1085))</f>
        <v/>
      </c>
      <c r="B1085">
        <f>IF(ISBLANK('ENGAGEMENTS 2026'!B1085),"",'ENGAGEMENTS 2026'!C1085)</f>
        <v/>
      </c>
      <c r="C1085">
        <f>IF(ISBLANK('ENGAGEMENTS 2026'!B1085),"",'ENGAGEMENTS 2026'!D1085)</f>
        <v/>
      </c>
      <c r="D1085">
        <f>IF(ISBLANK('ENGAGEMENTS 2026'!B1085),"",'ENGAGEMENTS 2026'!F1085)</f>
        <v/>
      </c>
      <c r="E1085">
        <f>IF(ISBLANK('ENGAGEMENTS 2026'!B1085),"",'ENGAGEMENTS 2026'!H1085)</f>
        <v/>
      </c>
      <c r="F1085">
        <f>IF(ISBLANK('ENGAGEMENTS 2026'!B1085),"",'ENGAGEMENTS 2026'!I1085)</f>
        <v/>
      </c>
      <c r="G1085">
        <f>IF(ISBLANK('ENGAGEMENTS 2026'!B1085),"",'ENGAGEMENTS 2026'!L1085)</f>
        <v/>
      </c>
      <c r="H1085">
        <f>IF(ISBLANK('ENGAGEMENTS 2026'!B1085),"",'ENGAGEMENTS 2026'!AE1085)</f>
        <v/>
      </c>
      <c r="I1085">
        <f>IF(ISBLANK('ENGAGEMENTS 2026'!B1085),"",'ENGAGEMENTS 2026'!G1085)</f>
        <v/>
      </c>
      <c r="J1085" s="275">
        <f>IF(ISBLANK('ENGAGEMENTS 2026'!B1085),"",IF(AND(OR($E1085="INFRUCTUEUX",$E1085="ANNULE"),$C1085="AOO-M"),'ENGAGEMENTS 2026'!O1085,IF($H1085="EN COURS DE PREENGAGEMENT",'ENGAGEMENTS 2026'!N1085,IF($H1085="PREENGAGE",IF($E1085="ATTRIBUE",'ENGAGEMENTS 2026'!AD1085,'ENGAGEMENTS 2026'!N1085),'ENGAGEMENTS 2026'!AD1085))))</f>
        <v/>
      </c>
      <c r="K1085" s="604">
        <f>IF(ISBLANK('ENGAGEMENTS 2026'!V1085),"",'ENGAGEMENTS 2026'!V1085)</f>
        <v/>
      </c>
      <c r="L1085" s="276">
        <f>IF($K1085="","",TODAY()-$K1085)</f>
        <v/>
      </c>
      <c r="M1085">
        <f>IF($A1085="","",IF($H1085="ENGAGE","Engagé",IF(AND($H1085="NON ENGAGE",OR($I1085="INFRUCTUEUX",$I1085="ANNULE")),"Clôturé sans suite","En cours")))</f>
        <v/>
      </c>
      <c r="N1085">
        <f>IF(ISBLANK('ENGAGEMENTS 2026'!B1085),"",'ENGAGEMENTS 2026'!K1085)</f>
        <v/>
      </c>
      <c r="O1085">
        <f>IF(ISBLANK('ENGAGEMENTS 2026'!B1085),"",'ENGAGEMENTS 2026'!L1085)</f>
        <v/>
      </c>
      <c r="P1085">
        <f>IF(ISBLANK('ENGAGEMENTS 2026'!B1085),"",'ENGAGEMENTS 2026'!J1085)</f>
        <v/>
      </c>
      <c r="Q1085">
        <f>IF($A1085="","",IF(OR($E1085="INFRUCTUEUX",$E1085="ANNULE"),$A1085&amp;"|"&amp;(COUNTIFS($A$2:$A1085,$A1085,$E$2:$E1085,"INFRUCTUEUX")+COUNTIFS($A$2:$A1085,$A1085,$E$2:$E1085,"ANNULE")),""))</f>
        <v/>
      </c>
    </row>
    <row r="1086">
      <c r="A1086">
        <f>IF(ISBLANK('ENGAGEMENTS 2026'!B1086),"",IF('ENGAGEMENTS 2026'!B1086="DTSI","DCT",'ENGAGEMENTS 2026'!B1086))</f>
        <v/>
      </c>
      <c r="B1086">
        <f>IF(ISBLANK('ENGAGEMENTS 2026'!B1086),"",'ENGAGEMENTS 2026'!C1086)</f>
        <v/>
      </c>
      <c r="C1086">
        <f>IF(ISBLANK('ENGAGEMENTS 2026'!B1086),"",'ENGAGEMENTS 2026'!D1086)</f>
        <v/>
      </c>
      <c r="D1086">
        <f>IF(ISBLANK('ENGAGEMENTS 2026'!B1086),"",'ENGAGEMENTS 2026'!F1086)</f>
        <v/>
      </c>
      <c r="E1086">
        <f>IF(ISBLANK('ENGAGEMENTS 2026'!B1086),"",'ENGAGEMENTS 2026'!H1086)</f>
        <v/>
      </c>
      <c r="F1086">
        <f>IF(ISBLANK('ENGAGEMENTS 2026'!B1086),"",'ENGAGEMENTS 2026'!I1086)</f>
        <v/>
      </c>
      <c r="G1086">
        <f>IF(ISBLANK('ENGAGEMENTS 2026'!B1086),"",'ENGAGEMENTS 2026'!L1086)</f>
        <v/>
      </c>
      <c r="H1086">
        <f>IF(ISBLANK('ENGAGEMENTS 2026'!B1086),"",'ENGAGEMENTS 2026'!AE1086)</f>
        <v/>
      </c>
      <c r="I1086">
        <f>IF(ISBLANK('ENGAGEMENTS 2026'!B1086),"",'ENGAGEMENTS 2026'!G1086)</f>
        <v/>
      </c>
      <c r="J1086" s="275">
        <f>IF(ISBLANK('ENGAGEMENTS 2026'!B1086),"",IF(AND(OR($E1086="INFRUCTUEUX",$E1086="ANNULE"),$C1086="AOO-M"),'ENGAGEMENTS 2026'!O1086,IF($H1086="EN COURS DE PREENGAGEMENT",'ENGAGEMENTS 2026'!N1086,IF($H1086="PREENGAGE",IF($E1086="ATTRIBUE",'ENGAGEMENTS 2026'!AD1086,'ENGAGEMENTS 2026'!N1086),'ENGAGEMENTS 2026'!AD1086))))</f>
        <v/>
      </c>
      <c r="K1086" s="604">
        <f>IF(ISBLANK('ENGAGEMENTS 2026'!V1086),"",'ENGAGEMENTS 2026'!V1086)</f>
        <v/>
      </c>
      <c r="L1086" s="276">
        <f>IF($K1086="","",TODAY()-$K1086)</f>
        <v/>
      </c>
      <c r="M1086">
        <f>IF($A1086="","",IF($H1086="ENGAGE","Engagé",IF(AND($H1086="NON ENGAGE",OR($I1086="INFRUCTUEUX",$I1086="ANNULE")),"Clôturé sans suite","En cours")))</f>
        <v/>
      </c>
      <c r="N1086">
        <f>IF(ISBLANK('ENGAGEMENTS 2026'!B1086),"",'ENGAGEMENTS 2026'!K1086)</f>
        <v/>
      </c>
      <c r="O1086">
        <f>IF(ISBLANK('ENGAGEMENTS 2026'!B1086),"",'ENGAGEMENTS 2026'!L1086)</f>
        <v/>
      </c>
      <c r="P1086">
        <f>IF(ISBLANK('ENGAGEMENTS 2026'!B1086),"",'ENGAGEMENTS 2026'!J1086)</f>
        <v/>
      </c>
      <c r="Q1086">
        <f>IF($A1086="","",IF(OR($E1086="INFRUCTUEUX",$E1086="ANNULE"),$A1086&amp;"|"&amp;(COUNTIFS($A$2:$A1086,$A1086,$E$2:$E1086,"INFRUCTUEUX")+COUNTIFS($A$2:$A1086,$A1086,$E$2:$E1086,"ANNULE")),""))</f>
        <v/>
      </c>
    </row>
    <row r="1087">
      <c r="A1087">
        <f>IF(ISBLANK('ENGAGEMENTS 2026'!B1087),"",IF('ENGAGEMENTS 2026'!B1087="DTSI","DCT",'ENGAGEMENTS 2026'!B1087))</f>
        <v/>
      </c>
      <c r="B1087">
        <f>IF(ISBLANK('ENGAGEMENTS 2026'!B1087),"",'ENGAGEMENTS 2026'!C1087)</f>
        <v/>
      </c>
      <c r="C1087">
        <f>IF(ISBLANK('ENGAGEMENTS 2026'!B1087),"",'ENGAGEMENTS 2026'!D1087)</f>
        <v/>
      </c>
      <c r="D1087">
        <f>IF(ISBLANK('ENGAGEMENTS 2026'!B1087),"",'ENGAGEMENTS 2026'!F1087)</f>
        <v/>
      </c>
      <c r="E1087">
        <f>IF(ISBLANK('ENGAGEMENTS 2026'!B1087),"",'ENGAGEMENTS 2026'!H1087)</f>
        <v/>
      </c>
      <c r="F1087">
        <f>IF(ISBLANK('ENGAGEMENTS 2026'!B1087),"",'ENGAGEMENTS 2026'!I1087)</f>
        <v/>
      </c>
      <c r="G1087">
        <f>IF(ISBLANK('ENGAGEMENTS 2026'!B1087),"",'ENGAGEMENTS 2026'!L1087)</f>
        <v/>
      </c>
      <c r="H1087">
        <f>IF(ISBLANK('ENGAGEMENTS 2026'!B1087),"",'ENGAGEMENTS 2026'!AE1087)</f>
        <v/>
      </c>
      <c r="I1087">
        <f>IF(ISBLANK('ENGAGEMENTS 2026'!B1087),"",'ENGAGEMENTS 2026'!G1087)</f>
        <v/>
      </c>
      <c r="J1087" s="275">
        <f>IF(ISBLANK('ENGAGEMENTS 2026'!B1087),"",IF(AND(OR($E1087="INFRUCTUEUX",$E1087="ANNULE"),$C1087="AOO-M"),'ENGAGEMENTS 2026'!O1087,IF($H1087="EN COURS DE PREENGAGEMENT",'ENGAGEMENTS 2026'!N1087,IF($H1087="PREENGAGE",IF($E1087="ATTRIBUE",'ENGAGEMENTS 2026'!AD1087,'ENGAGEMENTS 2026'!N1087),'ENGAGEMENTS 2026'!AD1087))))</f>
        <v/>
      </c>
      <c r="K1087" s="604">
        <f>IF(ISBLANK('ENGAGEMENTS 2026'!V1087),"",'ENGAGEMENTS 2026'!V1087)</f>
        <v/>
      </c>
      <c r="L1087" s="276">
        <f>IF($K1087="","",TODAY()-$K1087)</f>
        <v/>
      </c>
      <c r="M1087">
        <f>IF($A1087="","",IF($H1087="ENGAGE","Engagé",IF(AND($H1087="NON ENGAGE",OR($I1087="INFRUCTUEUX",$I1087="ANNULE")),"Clôturé sans suite","En cours")))</f>
        <v/>
      </c>
      <c r="N1087">
        <f>IF(ISBLANK('ENGAGEMENTS 2026'!B1087),"",'ENGAGEMENTS 2026'!K1087)</f>
        <v/>
      </c>
      <c r="O1087">
        <f>IF(ISBLANK('ENGAGEMENTS 2026'!B1087),"",'ENGAGEMENTS 2026'!L1087)</f>
        <v/>
      </c>
      <c r="P1087">
        <f>IF(ISBLANK('ENGAGEMENTS 2026'!B1087),"",'ENGAGEMENTS 2026'!J1087)</f>
        <v/>
      </c>
      <c r="Q1087">
        <f>IF($A1087="","",IF(OR($E1087="INFRUCTUEUX",$E1087="ANNULE"),$A1087&amp;"|"&amp;(COUNTIFS($A$2:$A1087,$A1087,$E$2:$E1087,"INFRUCTUEUX")+COUNTIFS($A$2:$A1087,$A1087,$E$2:$E1087,"ANNULE")),""))</f>
        <v/>
      </c>
    </row>
    <row r="1088">
      <c r="A1088">
        <f>IF(ISBLANK('ENGAGEMENTS 2026'!B1088),"",IF('ENGAGEMENTS 2026'!B1088="DTSI","DCT",'ENGAGEMENTS 2026'!B1088))</f>
        <v/>
      </c>
      <c r="B1088">
        <f>IF(ISBLANK('ENGAGEMENTS 2026'!B1088),"",'ENGAGEMENTS 2026'!C1088)</f>
        <v/>
      </c>
      <c r="C1088">
        <f>IF(ISBLANK('ENGAGEMENTS 2026'!B1088),"",'ENGAGEMENTS 2026'!D1088)</f>
        <v/>
      </c>
      <c r="D1088">
        <f>IF(ISBLANK('ENGAGEMENTS 2026'!B1088),"",'ENGAGEMENTS 2026'!F1088)</f>
        <v/>
      </c>
      <c r="E1088">
        <f>IF(ISBLANK('ENGAGEMENTS 2026'!B1088),"",'ENGAGEMENTS 2026'!H1088)</f>
        <v/>
      </c>
      <c r="F1088">
        <f>IF(ISBLANK('ENGAGEMENTS 2026'!B1088),"",'ENGAGEMENTS 2026'!I1088)</f>
        <v/>
      </c>
      <c r="G1088">
        <f>IF(ISBLANK('ENGAGEMENTS 2026'!B1088),"",'ENGAGEMENTS 2026'!L1088)</f>
        <v/>
      </c>
      <c r="H1088">
        <f>IF(ISBLANK('ENGAGEMENTS 2026'!B1088),"",'ENGAGEMENTS 2026'!AE1088)</f>
        <v/>
      </c>
      <c r="I1088">
        <f>IF(ISBLANK('ENGAGEMENTS 2026'!B1088),"",'ENGAGEMENTS 2026'!G1088)</f>
        <v/>
      </c>
      <c r="J1088" s="275">
        <f>IF(ISBLANK('ENGAGEMENTS 2026'!B1088),"",IF(AND(OR($E1088="INFRUCTUEUX",$E1088="ANNULE"),$C1088="AOO-M"),'ENGAGEMENTS 2026'!O1088,IF($H1088="EN COURS DE PREENGAGEMENT",'ENGAGEMENTS 2026'!N1088,IF($H1088="PREENGAGE",IF($E1088="ATTRIBUE",'ENGAGEMENTS 2026'!AD1088,'ENGAGEMENTS 2026'!N1088),'ENGAGEMENTS 2026'!AD1088))))</f>
        <v/>
      </c>
      <c r="K1088" s="604">
        <f>IF(ISBLANK('ENGAGEMENTS 2026'!V1088),"",'ENGAGEMENTS 2026'!V1088)</f>
        <v/>
      </c>
      <c r="L1088" s="276">
        <f>IF($K1088="","",TODAY()-$K1088)</f>
        <v/>
      </c>
      <c r="M1088">
        <f>IF($A1088="","",IF($H1088="ENGAGE","Engagé",IF(AND($H1088="NON ENGAGE",OR($I1088="INFRUCTUEUX",$I1088="ANNULE")),"Clôturé sans suite","En cours")))</f>
        <v/>
      </c>
      <c r="N1088">
        <f>IF(ISBLANK('ENGAGEMENTS 2026'!B1088),"",'ENGAGEMENTS 2026'!K1088)</f>
        <v/>
      </c>
      <c r="O1088">
        <f>IF(ISBLANK('ENGAGEMENTS 2026'!B1088),"",'ENGAGEMENTS 2026'!L1088)</f>
        <v/>
      </c>
      <c r="P1088">
        <f>IF(ISBLANK('ENGAGEMENTS 2026'!B1088),"",'ENGAGEMENTS 2026'!J1088)</f>
        <v/>
      </c>
      <c r="Q1088">
        <f>IF($A1088="","",IF(OR($E1088="INFRUCTUEUX",$E1088="ANNULE"),$A1088&amp;"|"&amp;(COUNTIFS($A$2:$A1088,$A1088,$E$2:$E1088,"INFRUCTUEUX")+COUNTIFS($A$2:$A1088,$A1088,$E$2:$E1088,"ANNULE")),""))</f>
        <v/>
      </c>
    </row>
    <row r="1089">
      <c r="A1089">
        <f>IF(ISBLANK('ENGAGEMENTS 2026'!B1089),"",IF('ENGAGEMENTS 2026'!B1089="DTSI","DCT",'ENGAGEMENTS 2026'!B1089))</f>
        <v/>
      </c>
      <c r="B1089">
        <f>IF(ISBLANK('ENGAGEMENTS 2026'!B1089),"",'ENGAGEMENTS 2026'!C1089)</f>
        <v/>
      </c>
      <c r="C1089">
        <f>IF(ISBLANK('ENGAGEMENTS 2026'!B1089),"",'ENGAGEMENTS 2026'!D1089)</f>
        <v/>
      </c>
      <c r="D1089">
        <f>IF(ISBLANK('ENGAGEMENTS 2026'!B1089),"",'ENGAGEMENTS 2026'!F1089)</f>
        <v/>
      </c>
      <c r="E1089">
        <f>IF(ISBLANK('ENGAGEMENTS 2026'!B1089),"",'ENGAGEMENTS 2026'!H1089)</f>
        <v/>
      </c>
      <c r="F1089">
        <f>IF(ISBLANK('ENGAGEMENTS 2026'!B1089),"",'ENGAGEMENTS 2026'!I1089)</f>
        <v/>
      </c>
      <c r="G1089">
        <f>IF(ISBLANK('ENGAGEMENTS 2026'!B1089),"",'ENGAGEMENTS 2026'!L1089)</f>
        <v/>
      </c>
      <c r="H1089">
        <f>IF(ISBLANK('ENGAGEMENTS 2026'!B1089),"",'ENGAGEMENTS 2026'!AE1089)</f>
        <v/>
      </c>
      <c r="I1089">
        <f>IF(ISBLANK('ENGAGEMENTS 2026'!B1089),"",'ENGAGEMENTS 2026'!G1089)</f>
        <v/>
      </c>
      <c r="J1089" s="275">
        <f>IF(ISBLANK('ENGAGEMENTS 2026'!B1089),"",IF(AND(OR($E1089="INFRUCTUEUX",$E1089="ANNULE"),$C1089="AOO-M"),'ENGAGEMENTS 2026'!O1089,IF($H1089="EN COURS DE PREENGAGEMENT",'ENGAGEMENTS 2026'!N1089,IF($H1089="PREENGAGE",IF($E1089="ATTRIBUE",'ENGAGEMENTS 2026'!AD1089,'ENGAGEMENTS 2026'!N1089),'ENGAGEMENTS 2026'!AD1089))))</f>
        <v/>
      </c>
      <c r="K1089" s="604">
        <f>IF(ISBLANK('ENGAGEMENTS 2026'!V1089),"",'ENGAGEMENTS 2026'!V1089)</f>
        <v/>
      </c>
      <c r="L1089" s="276">
        <f>IF($K1089="","",TODAY()-$K1089)</f>
        <v/>
      </c>
      <c r="M1089">
        <f>IF($A1089="","",IF($H1089="ENGAGE","Engagé",IF(AND($H1089="NON ENGAGE",OR($I1089="INFRUCTUEUX",$I1089="ANNULE")),"Clôturé sans suite","En cours")))</f>
        <v/>
      </c>
      <c r="N1089">
        <f>IF(ISBLANK('ENGAGEMENTS 2026'!B1089),"",'ENGAGEMENTS 2026'!K1089)</f>
        <v/>
      </c>
      <c r="O1089">
        <f>IF(ISBLANK('ENGAGEMENTS 2026'!B1089),"",'ENGAGEMENTS 2026'!L1089)</f>
        <v/>
      </c>
      <c r="P1089">
        <f>IF(ISBLANK('ENGAGEMENTS 2026'!B1089),"",'ENGAGEMENTS 2026'!J1089)</f>
        <v/>
      </c>
      <c r="Q1089">
        <f>IF($A1089="","",IF(OR($E1089="INFRUCTUEUX",$E1089="ANNULE"),$A1089&amp;"|"&amp;(COUNTIFS($A$2:$A1089,$A1089,$E$2:$E1089,"INFRUCTUEUX")+COUNTIFS($A$2:$A1089,$A1089,$E$2:$E1089,"ANNULE")),""))</f>
        <v/>
      </c>
    </row>
    <row r="1090">
      <c r="A1090">
        <f>IF(ISBLANK('ENGAGEMENTS 2026'!B1090),"",IF('ENGAGEMENTS 2026'!B1090="DTSI","DCT",'ENGAGEMENTS 2026'!B1090))</f>
        <v/>
      </c>
      <c r="B1090">
        <f>IF(ISBLANK('ENGAGEMENTS 2026'!B1090),"",'ENGAGEMENTS 2026'!C1090)</f>
        <v/>
      </c>
      <c r="C1090">
        <f>IF(ISBLANK('ENGAGEMENTS 2026'!B1090),"",'ENGAGEMENTS 2026'!D1090)</f>
        <v/>
      </c>
      <c r="D1090">
        <f>IF(ISBLANK('ENGAGEMENTS 2026'!B1090),"",'ENGAGEMENTS 2026'!F1090)</f>
        <v/>
      </c>
      <c r="E1090">
        <f>IF(ISBLANK('ENGAGEMENTS 2026'!B1090),"",'ENGAGEMENTS 2026'!H1090)</f>
        <v/>
      </c>
      <c r="F1090">
        <f>IF(ISBLANK('ENGAGEMENTS 2026'!B1090),"",'ENGAGEMENTS 2026'!I1090)</f>
        <v/>
      </c>
      <c r="G1090">
        <f>IF(ISBLANK('ENGAGEMENTS 2026'!B1090),"",'ENGAGEMENTS 2026'!L1090)</f>
        <v/>
      </c>
      <c r="H1090">
        <f>IF(ISBLANK('ENGAGEMENTS 2026'!B1090),"",'ENGAGEMENTS 2026'!AE1090)</f>
        <v/>
      </c>
      <c r="I1090">
        <f>IF(ISBLANK('ENGAGEMENTS 2026'!B1090),"",'ENGAGEMENTS 2026'!G1090)</f>
        <v/>
      </c>
      <c r="J1090" s="275">
        <f>IF(ISBLANK('ENGAGEMENTS 2026'!B1090),"",IF(AND(OR($E1090="INFRUCTUEUX",$E1090="ANNULE"),$C1090="AOO-M"),'ENGAGEMENTS 2026'!O1090,IF($H1090="EN COURS DE PREENGAGEMENT",'ENGAGEMENTS 2026'!N1090,IF($H1090="PREENGAGE",IF($E1090="ATTRIBUE",'ENGAGEMENTS 2026'!AD1090,'ENGAGEMENTS 2026'!N1090),'ENGAGEMENTS 2026'!AD1090))))</f>
        <v/>
      </c>
      <c r="K1090" s="604">
        <f>IF(ISBLANK('ENGAGEMENTS 2026'!V1090),"",'ENGAGEMENTS 2026'!V1090)</f>
        <v/>
      </c>
      <c r="L1090" s="276">
        <f>IF($K1090="","",TODAY()-$K1090)</f>
        <v/>
      </c>
      <c r="M1090">
        <f>IF($A1090="","",IF($H1090="ENGAGE","Engagé",IF(AND($H1090="NON ENGAGE",OR($I1090="INFRUCTUEUX",$I1090="ANNULE")),"Clôturé sans suite","En cours")))</f>
        <v/>
      </c>
      <c r="N1090">
        <f>IF(ISBLANK('ENGAGEMENTS 2026'!B1090),"",'ENGAGEMENTS 2026'!K1090)</f>
        <v/>
      </c>
      <c r="O1090">
        <f>IF(ISBLANK('ENGAGEMENTS 2026'!B1090),"",'ENGAGEMENTS 2026'!L1090)</f>
        <v/>
      </c>
      <c r="P1090">
        <f>IF(ISBLANK('ENGAGEMENTS 2026'!B1090),"",'ENGAGEMENTS 2026'!J1090)</f>
        <v/>
      </c>
      <c r="Q1090">
        <f>IF($A1090="","",IF(OR($E1090="INFRUCTUEUX",$E1090="ANNULE"),$A1090&amp;"|"&amp;(COUNTIFS($A$2:$A1090,$A1090,$E$2:$E1090,"INFRUCTUEUX")+COUNTIFS($A$2:$A1090,$A1090,$E$2:$E1090,"ANNULE")),""))</f>
        <v/>
      </c>
    </row>
    <row r="1091">
      <c r="A1091">
        <f>IF(ISBLANK('ENGAGEMENTS 2026'!B1091),"",IF('ENGAGEMENTS 2026'!B1091="DTSI","DCT",'ENGAGEMENTS 2026'!B1091))</f>
        <v/>
      </c>
      <c r="B1091">
        <f>IF(ISBLANK('ENGAGEMENTS 2026'!B1091),"",'ENGAGEMENTS 2026'!C1091)</f>
        <v/>
      </c>
      <c r="C1091">
        <f>IF(ISBLANK('ENGAGEMENTS 2026'!B1091),"",'ENGAGEMENTS 2026'!D1091)</f>
        <v/>
      </c>
      <c r="D1091">
        <f>IF(ISBLANK('ENGAGEMENTS 2026'!B1091),"",'ENGAGEMENTS 2026'!F1091)</f>
        <v/>
      </c>
      <c r="E1091">
        <f>IF(ISBLANK('ENGAGEMENTS 2026'!B1091),"",'ENGAGEMENTS 2026'!H1091)</f>
        <v/>
      </c>
      <c r="F1091">
        <f>IF(ISBLANK('ENGAGEMENTS 2026'!B1091),"",'ENGAGEMENTS 2026'!I1091)</f>
        <v/>
      </c>
      <c r="G1091">
        <f>IF(ISBLANK('ENGAGEMENTS 2026'!B1091),"",'ENGAGEMENTS 2026'!L1091)</f>
        <v/>
      </c>
      <c r="H1091">
        <f>IF(ISBLANK('ENGAGEMENTS 2026'!B1091),"",'ENGAGEMENTS 2026'!AE1091)</f>
        <v/>
      </c>
      <c r="I1091">
        <f>IF(ISBLANK('ENGAGEMENTS 2026'!B1091),"",'ENGAGEMENTS 2026'!G1091)</f>
        <v/>
      </c>
      <c r="J1091" s="275">
        <f>IF(ISBLANK('ENGAGEMENTS 2026'!B1091),"",IF(AND(OR($E1091="INFRUCTUEUX",$E1091="ANNULE"),$C1091="AOO-M"),'ENGAGEMENTS 2026'!O1091,IF($H1091="EN COURS DE PREENGAGEMENT",'ENGAGEMENTS 2026'!N1091,IF($H1091="PREENGAGE",IF($E1091="ATTRIBUE",'ENGAGEMENTS 2026'!AD1091,'ENGAGEMENTS 2026'!N1091),'ENGAGEMENTS 2026'!AD1091))))</f>
        <v/>
      </c>
      <c r="K1091" s="604">
        <f>IF(ISBLANK('ENGAGEMENTS 2026'!V1091),"",'ENGAGEMENTS 2026'!V1091)</f>
        <v/>
      </c>
      <c r="L1091" s="276">
        <f>IF($K1091="","",TODAY()-$K1091)</f>
        <v/>
      </c>
      <c r="M1091">
        <f>IF($A1091="","",IF($H1091="ENGAGE","Engagé",IF(AND($H1091="NON ENGAGE",OR($I1091="INFRUCTUEUX",$I1091="ANNULE")),"Clôturé sans suite","En cours")))</f>
        <v/>
      </c>
      <c r="N1091">
        <f>IF(ISBLANK('ENGAGEMENTS 2026'!B1091),"",'ENGAGEMENTS 2026'!K1091)</f>
        <v/>
      </c>
      <c r="O1091">
        <f>IF(ISBLANK('ENGAGEMENTS 2026'!B1091),"",'ENGAGEMENTS 2026'!L1091)</f>
        <v/>
      </c>
      <c r="P1091">
        <f>IF(ISBLANK('ENGAGEMENTS 2026'!B1091),"",'ENGAGEMENTS 2026'!J1091)</f>
        <v/>
      </c>
      <c r="Q1091">
        <f>IF($A1091="","",IF(OR($E1091="INFRUCTUEUX",$E1091="ANNULE"),$A1091&amp;"|"&amp;(COUNTIFS($A$2:$A1091,$A1091,$E$2:$E1091,"INFRUCTUEUX")+COUNTIFS($A$2:$A1091,$A1091,$E$2:$E1091,"ANNULE")),""))</f>
        <v/>
      </c>
    </row>
    <row r="1092">
      <c r="A1092">
        <f>IF(ISBLANK('ENGAGEMENTS 2026'!B1092),"",IF('ENGAGEMENTS 2026'!B1092="DTSI","DCT",'ENGAGEMENTS 2026'!B1092))</f>
        <v/>
      </c>
      <c r="B1092">
        <f>IF(ISBLANK('ENGAGEMENTS 2026'!B1092),"",'ENGAGEMENTS 2026'!C1092)</f>
        <v/>
      </c>
      <c r="C1092">
        <f>IF(ISBLANK('ENGAGEMENTS 2026'!B1092),"",'ENGAGEMENTS 2026'!D1092)</f>
        <v/>
      </c>
      <c r="D1092">
        <f>IF(ISBLANK('ENGAGEMENTS 2026'!B1092),"",'ENGAGEMENTS 2026'!F1092)</f>
        <v/>
      </c>
      <c r="E1092">
        <f>IF(ISBLANK('ENGAGEMENTS 2026'!B1092),"",'ENGAGEMENTS 2026'!H1092)</f>
        <v/>
      </c>
      <c r="F1092">
        <f>IF(ISBLANK('ENGAGEMENTS 2026'!B1092),"",'ENGAGEMENTS 2026'!I1092)</f>
        <v/>
      </c>
      <c r="G1092">
        <f>IF(ISBLANK('ENGAGEMENTS 2026'!B1092),"",'ENGAGEMENTS 2026'!L1092)</f>
        <v/>
      </c>
      <c r="H1092">
        <f>IF(ISBLANK('ENGAGEMENTS 2026'!B1092),"",'ENGAGEMENTS 2026'!AE1092)</f>
        <v/>
      </c>
      <c r="I1092">
        <f>IF(ISBLANK('ENGAGEMENTS 2026'!B1092),"",'ENGAGEMENTS 2026'!G1092)</f>
        <v/>
      </c>
      <c r="J1092" s="275">
        <f>IF(ISBLANK('ENGAGEMENTS 2026'!B1092),"",IF(AND(OR($E1092="INFRUCTUEUX",$E1092="ANNULE"),$C1092="AOO-M"),'ENGAGEMENTS 2026'!O1092,IF($H1092="EN COURS DE PREENGAGEMENT",'ENGAGEMENTS 2026'!N1092,IF($H1092="PREENGAGE",IF($E1092="ATTRIBUE",'ENGAGEMENTS 2026'!AD1092,'ENGAGEMENTS 2026'!N1092),'ENGAGEMENTS 2026'!AD1092))))</f>
        <v/>
      </c>
      <c r="K1092" s="604">
        <f>IF(ISBLANK('ENGAGEMENTS 2026'!V1092),"",'ENGAGEMENTS 2026'!V1092)</f>
        <v/>
      </c>
      <c r="L1092" s="276">
        <f>IF($K1092="","",TODAY()-$K1092)</f>
        <v/>
      </c>
      <c r="M1092">
        <f>IF($A1092="","",IF($H1092="ENGAGE","Engagé",IF(AND($H1092="NON ENGAGE",OR($I1092="INFRUCTUEUX",$I1092="ANNULE")),"Clôturé sans suite","En cours")))</f>
        <v/>
      </c>
      <c r="N1092">
        <f>IF(ISBLANK('ENGAGEMENTS 2026'!B1092),"",'ENGAGEMENTS 2026'!K1092)</f>
        <v/>
      </c>
      <c r="O1092">
        <f>IF(ISBLANK('ENGAGEMENTS 2026'!B1092),"",'ENGAGEMENTS 2026'!L1092)</f>
        <v/>
      </c>
      <c r="P1092">
        <f>IF(ISBLANK('ENGAGEMENTS 2026'!B1092),"",'ENGAGEMENTS 2026'!J1092)</f>
        <v/>
      </c>
      <c r="Q1092">
        <f>IF($A1092="","",IF(OR($E1092="INFRUCTUEUX",$E1092="ANNULE"),$A1092&amp;"|"&amp;(COUNTIFS($A$2:$A1092,$A1092,$E$2:$E1092,"INFRUCTUEUX")+COUNTIFS($A$2:$A1092,$A1092,$E$2:$E1092,"ANNULE")),""))</f>
        <v/>
      </c>
    </row>
    <row r="1093">
      <c r="A1093">
        <f>IF(ISBLANK('ENGAGEMENTS 2026'!B1093),"",IF('ENGAGEMENTS 2026'!B1093="DTSI","DCT",'ENGAGEMENTS 2026'!B1093))</f>
        <v/>
      </c>
      <c r="B1093">
        <f>IF(ISBLANK('ENGAGEMENTS 2026'!B1093),"",'ENGAGEMENTS 2026'!C1093)</f>
        <v/>
      </c>
      <c r="C1093">
        <f>IF(ISBLANK('ENGAGEMENTS 2026'!B1093),"",'ENGAGEMENTS 2026'!D1093)</f>
        <v/>
      </c>
      <c r="D1093">
        <f>IF(ISBLANK('ENGAGEMENTS 2026'!B1093),"",'ENGAGEMENTS 2026'!F1093)</f>
        <v/>
      </c>
      <c r="E1093">
        <f>IF(ISBLANK('ENGAGEMENTS 2026'!B1093),"",'ENGAGEMENTS 2026'!H1093)</f>
        <v/>
      </c>
      <c r="F1093">
        <f>IF(ISBLANK('ENGAGEMENTS 2026'!B1093),"",'ENGAGEMENTS 2026'!I1093)</f>
        <v/>
      </c>
      <c r="G1093">
        <f>IF(ISBLANK('ENGAGEMENTS 2026'!B1093),"",'ENGAGEMENTS 2026'!L1093)</f>
        <v/>
      </c>
      <c r="H1093">
        <f>IF(ISBLANK('ENGAGEMENTS 2026'!B1093),"",'ENGAGEMENTS 2026'!AE1093)</f>
        <v/>
      </c>
      <c r="I1093">
        <f>IF(ISBLANK('ENGAGEMENTS 2026'!B1093),"",'ENGAGEMENTS 2026'!G1093)</f>
        <v/>
      </c>
      <c r="J1093" s="275">
        <f>IF(ISBLANK('ENGAGEMENTS 2026'!B1093),"",IF(AND(OR($E1093="INFRUCTUEUX",$E1093="ANNULE"),$C1093="AOO-M"),'ENGAGEMENTS 2026'!O1093,IF($H1093="EN COURS DE PREENGAGEMENT",'ENGAGEMENTS 2026'!N1093,IF($H1093="PREENGAGE",IF($E1093="ATTRIBUE",'ENGAGEMENTS 2026'!AD1093,'ENGAGEMENTS 2026'!N1093),'ENGAGEMENTS 2026'!AD1093))))</f>
        <v/>
      </c>
      <c r="K1093" s="604">
        <f>IF(ISBLANK('ENGAGEMENTS 2026'!V1093),"",'ENGAGEMENTS 2026'!V1093)</f>
        <v/>
      </c>
      <c r="L1093" s="276">
        <f>IF($K1093="","",TODAY()-$K1093)</f>
        <v/>
      </c>
      <c r="M1093">
        <f>IF($A1093="","",IF($H1093="ENGAGE","Engagé",IF(AND($H1093="NON ENGAGE",OR($I1093="INFRUCTUEUX",$I1093="ANNULE")),"Clôturé sans suite","En cours")))</f>
        <v/>
      </c>
      <c r="N1093">
        <f>IF(ISBLANK('ENGAGEMENTS 2026'!B1093),"",'ENGAGEMENTS 2026'!K1093)</f>
        <v/>
      </c>
      <c r="O1093">
        <f>IF(ISBLANK('ENGAGEMENTS 2026'!B1093),"",'ENGAGEMENTS 2026'!L1093)</f>
        <v/>
      </c>
      <c r="P1093">
        <f>IF(ISBLANK('ENGAGEMENTS 2026'!B1093),"",'ENGAGEMENTS 2026'!J1093)</f>
        <v/>
      </c>
      <c r="Q1093">
        <f>IF($A1093="","",IF(OR($E1093="INFRUCTUEUX",$E1093="ANNULE"),$A1093&amp;"|"&amp;(COUNTIFS($A$2:$A1093,$A1093,$E$2:$E1093,"INFRUCTUEUX")+COUNTIFS($A$2:$A1093,$A1093,$E$2:$E1093,"ANNULE")),""))</f>
        <v/>
      </c>
    </row>
    <row r="1094">
      <c r="A1094">
        <f>IF(ISBLANK('ENGAGEMENTS 2026'!B1094),"",IF('ENGAGEMENTS 2026'!B1094="DTSI","DCT",'ENGAGEMENTS 2026'!B1094))</f>
        <v/>
      </c>
      <c r="B1094">
        <f>IF(ISBLANK('ENGAGEMENTS 2026'!B1094),"",'ENGAGEMENTS 2026'!C1094)</f>
        <v/>
      </c>
      <c r="C1094">
        <f>IF(ISBLANK('ENGAGEMENTS 2026'!B1094),"",'ENGAGEMENTS 2026'!D1094)</f>
        <v/>
      </c>
      <c r="D1094">
        <f>IF(ISBLANK('ENGAGEMENTS 2026'!B1094),"",'ENGAGEMENTS 2026'!F1094)</f>
        <v/>
      </c>
      <c r="E1094">
        <f>IF(ISBLANK('ENGAGEMENTS 2026'!B1094),"",'ENGAGEMENTS 2026'!H1094)</f>
        <v/>
      </c>
      <c r="F1094">
        <f>IF(ISBLANK('ENGAGEMENTS 2026'!B1094),"",'ENGAGEMENTS 2026'!I1094)</f>
        <v/>
      </c>
      <c r="G1094">
        <f>IF(ISBLANK('ENGAGEMENTS 2026'!B1094),"",'ENGAGEMENTS 2026'!L1094)</f>
        <v/>
      </c>
      <c r="H1094">
        <f>IF(ISBLANK('ENGAGEMENTS 2026'!B1094),"",'ENGAGEMENTS 2026'!AE1094)</f>
        <v/>
      </c>
      <c r="I1094">
        <f>IF(ISBLANK('ENGAGEMENTS 2026'!B1094),"",'ENGAGEMENTS 2026'!G1094)</f>
        <v/>
      </c>
      <c r="J1094" s="275">
        <f>IF(ISBLANK('ENGAGEMENTS 2026'!B1094),"",IF(AND(OR($E1094="INFRUCTUEUX",$E1094="ANNULE"),$C1094="AOO-M"),'ENGAGEMENTS 2026'!O1094,IF($H1094="EN COURS DE PREENGAGEMENT",'ENGAGEMENTS 2026'!N1094,IF($H1094="PREENGAGE",IF($E1094="ATTRIBUE",'ENGAGEMENTS 2026'!AD1094,'ENGAGEMENTS 2026'!N1094),'ENGAGEMENTS 2026'!AD1094))))</f>
        <v/>
      </c>
      <c r="K1094" s="604">
        <f>IF(ISBLANK('ENGAGEMENTS 2026'!V1094),"",'ENGAGEMENTS 2026'!V1094)</f>
        <v/>
      </c>
      <c r="L1094" s="276">
        <f>IF($K1094="","",TODAY()-$K1094)</f>
        <v/>
      </c>
      <c r="M1094">
        <f>IF($A1094="","",IF($H1094="ENGAGE","Engagé",IF(AND($H1094="NON ENGAGE",OR($I1094="INFRUCTUEUX",$I1094="ANNULE")),"Clôturé sans suite","En cours")))</f>
        <v/>
      </c>
      <c r="N1094">
        <f>IF(ISBLANK('ENGAGEMENTS 2026'!B1094),"",'ENGAGEMENTS 2026'!K1094)</f>
        <v/>
      </c>
      <c r="O1094">
        <f>IF(ISBLANK('ENGAGEMENTS 2026'!B1094),"",'ENGAGEMENTS 2026'!L1094)</f>
        <v/>
      </c>
      <c r="P1094">
        <f>IF(ISBLANK('ENGAGEMENTS 2026'!B1094),"",'ENGAGEMENTS 2026'!J1094)</f>
        <v/>
      </c>
      <c r="Q1094">
        <f>IF($A1094="","",IF(OR($E1094="INFRUCTUEUX",$E1094="ANNULE"),$A1094&amp;"|"&amp;(COUNTIFS($A$2:$A1094,$A1094,$E$2:$E1094,"INFRUCTUEUX")+COUNTIFS($A$2:$A1094,$A1094,$E$2:$E1094,"ANNULE")),""))</f>
        <v/>
      </c>
    </row>
    <row r="1095">
      <c r="A1095">
        <f>IF(ISBLANK('ENGAGEMENTS 2026'!B1095),"",IF('ENGAGEMENTS 2026'!B1095="DTSI","DCT",'ENGAGEMENTS 2026'!B1095))</f>
        <v/>
      </c>
      <c r="B1095">
        <f>IF(ISBLANK('ENGAGEMENTS 2026'!B1095),"",'ENGAGEMENTS 2026'!C1095)</f>
        <v/>
      </c>
      <c r="C1095">
        <f>IF(ISBLANK('ENGAGEMENTS 2026'!B1095),"",'ENGAGEMENTS 2026'!D1095)</f>
        <v/>
      </c>
      <c r="D1095">
        <f>IF(ISBLANK('ENGAGEMENTS 2026'!B1095),"",'ENGAGEMENTS 2026'!F1095)</f>
        <v/>
      </c>
      <c r="E1095">
        <f>IF(ISBLANK('ENGAGEMENTS 2026'!B1095),"",'ENGAGEMENTS 2026'!H1095)</f>
        <v/>
      </c>
      <c r="F1095">
        <f>IF(ISBLANK('ENGAGEMENTS 2026'!B1095),"",'ENGAGEMENTS 2026'!I1095)</f>
        <v/>
      </c>
      <c r="G1095">
        <f>IF(ISBLANK('ENGAGEMENTS 2026'!B1095),"",'ENGAGEMENTS 2026'!L1095)</f>
        <v/>
      </c>
      <c r="H1095">
        <f>IF(ISBLANK('ENGAGEMENTS 2026'!B1095),"",'ENGAGEMENTS 2026'!AE1095)</f>
        <v/>
      </c>
      <c r="I1095">
        <f>IF(ISBLANK('ENGAGEMENTS 2026'!B1095),"",'ENGAGEMENTS 2026'!G1095)</f>
        <v/>
      </c>
      <c r="J1095" s="275">
        <f>IF(ISBLANK('ENGAGEMENTS 2026'!B1095),"",IF(AND(OR($E1095="INFRUCTUEUX",$E1095="ANNULE"),$C1095="AOO-M"),'ENGAGEMENTS 2026'!O1095,IF($H1095="EN COURS DE PREENGAGEMENT",'ENGAGEMENTS 2026'!N1095,IF($H1095="PREENGAGE",IF($E1095="ATTRIBUE",'ENGAGEMENTS 2026'!AD1095,'ENGAGEMENTS 2026'!N1095),'ENGAGEMENTS 2026'!AD1095))))</f>
        <v/>
      </c>
      <c r="K1095" s="604">
        <f>IF(ISBLANK('ENGAGEMENTS 2026'!V1095),"",'ENGAGEMENTS 2026'!V1095)</f>
        <v/>
      </c>
      <c r="L1095" s="276">
        <f>IF($K1095="","",TODAY()-$K1095)</f>
        <v/>
      </c>
      <c r="M1095">
        <f>IF($A1095="","",IF($H1095="ENGAGE","Engagé",IF(AND($H1095="NON ENGAGE",OR($I1095="INFRUCTUEUX",$I1095="ANNULE")),"Clôturé sans suite","En cours")))</f>
        <v/>
      </c>
      <c r="N1095">
        <f>IF(ISBLANK('ENGAGEMENTS 2026'!B1095),"",'ENGAGEMENTS 2026'!K1095)</f>
        <v/>
      </c>
      <c r="O1095">
        <f>IF(ISBLANK('ENGAGEMENTS 2026'!B1095),"",'ENGAGEMENTS 2026'!L1095)</f>
        <v/>
      </c>
      <c r="P1095">
        <f>IF(ISBLANK('ENGAGEMENTS 2026'!B1095),"",'ENGAGEMENTS 2026'!J1095)</f>
        <v/>
      </c>
      <c r="Q1095">
        <f>IF($A1095="","",IF(OR($E1095="INFRUCTUEUX",$E1095="ANNULE"),$A1095&amp;"|"&amp;(COUNTIFS($A$2:$A1095,$A1095,$E$2:$E1095,"INFRUCTUEUX")+COUNTIFS($A$2:$A1095,$A1095,$E$2:$E1095,"ANNULE")),""))</f>
        <v/>
      </c>
    </row>
    <row r="1096">
      <c r="A1096">
        <f>IF(ISBLANK('ENGAGEMENTS 2026'!B1096),"",IF('ENGAGEMENTS 2026'!B1096="DTSI","DCT",'ENGAGEMENTS 2026'!B1096))</f>
        <v/>
      </c>
      <c r="B1096">
        <f>IF(ISBLANK('ENGAGEMENTS 2026'!B1096),"",'ENGAGEMENTS 2026'!C1096)</f>
        <v/>
      </c>
      <c r="C1096">
        <f>IF(ISBLANK('ENGAGEMENTS 2026'!B1096),"",'ENGAGEMENTS 2026'!D1096)</f>
        <v/>
      </c>
      <c r="D1096">
        <f>IF(ISBLANK('ENGAGEMENTS 2026'!B1096),"",'ENGAGEMENTS 2026'!F1096)</f>
        <v/>
      </c>
      <c r="E1096">
        <f>IF(ISBLANK('ENGAGEMENTS 2026'!B1096),"",'ENGAGEMENTS 2026'!H1096)</f>
        <v/>
      </c>
      <c r="F1096">
        <f>IF(ISBLANK('ENGAGEMENTS 2026'!B1096),"",'ENGAGEMENTS 2026'!I1096)</f>
        <v/>
      </c>
      <c r="G1096">
        <f>IF(ISBLANK('ENGAGEMENTS 2026'!B1096),"",'ENGAGEMENTS 2026'!L1096)</f>
        <v/>
      </c>
      <c r="H1096">
        <f>IF(ISBLANK('ENGAGEMENTS 2026'!B1096),"",'ENGAGEMENTS 2026'!AE1096)</f>
        <v/>
      </c>
      <c r="I1096">
        <f>IF(ISBLANK('ENGAGEMENTS 2026'!B1096),"",'ENGAGEMENTS 2026'!G1096)</f>
        <v/>
      </c>
      <c r="J1096" s="275">
        <f>IF(ISBLANK('ENGAGEMENTS 2026'!B1096),"",IF(AND(OR($E1096="INFRUCTUEUX",$E1096="ANNULE"),$C1096="AOO-M"),'ENGAGEMENTS 2026'!O1096,IF($H1096="EN COURS DE PREENGAGEMENT",'ENGAGEMENTS 2026'!N1096,IF($H1096="PREENGAGE",IF($E1096="ATTRIBUE",'ENGAGEMENTS 2026'!AD1096,'ENGAGEMENTS 2026'!N1096),'ENGAGEMENTS 2026'!AD1096))))</f>
        <v/>
      </c>
      <c r="K1096" s="604">
        <f>IF(ISBLANK('ENGAGEMENTS 2026'!V1096),"",'ENGAGEMENTS 2026'!V1096)</f>
        <v/>
      </c>
      <c r="L1096" s="276">
        <f>IF($K1096="","",TODAY()-$K1096)</f>
        <v/>
      </c>
      <c r="M1096">
        <f>IF($A1096="","",IF($H1096="ENGAGE","Engagé",IF(AND($H1096="NON ENGAGE",OR($I1096="INFRUCTUEUX",$I1096="ANNULE")),"Clôturé sans suite","En cours")))</f>
        <v/>
      </c>
      <c r="N1096">
        <f>IF(ISBLANK('ENGAGEMENTS 2026'!B1096),"",'ENGAGEMENTS 2026'!K1096)</f>
        <v/>
      </c>
      <c r="O1096">
        <f>IF(ISBLANK('ENGAGEMENTS 2026'!B1096),"",'ENGAGEMENTS 2026'!L1096)</f>
        <v/>
      </c>
      <c r="P1096">
        <f>IF(ISBLANK('ENGAGEMENTS 2026'!B1096),"",'ENGAGEMENTS 2026'!J1096)</f>
        <v/>
      </c>
      <c r="Q1096">
        <f>IF($A1096="","",IF(OR($E1096="INFRUCTUEUX",$E1096="ANNULE"),$A1096&amp;"|"&amp;(COUNTIFS($A$2:$A1096,$A1096,$E$2:$E1096,"INFRUCTUEUX")+COUNTIFS($A$2:$A1096,$A1096,$E$2:$E1096,"ANNULE")),""))</f>
        <v/>
      </c>
    </row>
    <row r="1097">
      <c r="A1097">
        <f>IF(ISBLANK('ENGAGEMENTS 2026'!B1097),"",IF('ENGAGEMENTS 2026'!B1097="DTSI","DCT",'ENGAGEMENTS 2026'!B1097))</f>
        <v/>
      </c>
      <c r="B1097">
        <f>IF(ISBLANK('ENGAGEMENTS 2026'!B1097),"",'ENGAGEMENTS 2026'!C1097)</f>
        <v/>
      </c>
      <c r="C1097">
        <f>IF(ISBLANK('ENGAGEMENTS 2026'!B1097),"",'ENGAGEMENTS 2026'!D1097)</f>
        <v/>
      </c>
      <c r="D1097">
        <f>IF(ISBLANK('ENGAGEMENTS 2026'!B1097),"",'ENGAGEMENTS 2026'!F1097)</f>
        <v/>
      </c>
      <c r="E1097">
        <f>IF(ISBLANK('ENGAGEMENTS 2026'!B1097),"",'ENGAGEMENTS 2026'!H1097)</f>
        <v/>
      </c>
      <c r="F1097">
        <f>IF(ISBLANK('ENGAGEMENTS 2026'!B1097),"",'ENGAGEMENTS 2026'!I1097)</f>
        <v/>
      </c>
      <c r="G1097">
        <f>IF(ISBLANK('ENGAGEMENTS 2026'!B1097),"",'ENGAGEMENTS 2026'!L1097)</f>
        <v/>
      </c>
      <c r="H1097">
        <f>IF(ISBLANK('ENGAGEMENTS 2026'!B1097),"",'ENGAGEMENTS 2026'!AE1097)</f>
        <v/>
      </c>
      <c r="I1097">
        <f>IF(ISBLANK('ENGAGEMENTS 2026'!B1097),"",'ENGAGEMENTS 2026'!G1097)</f>
        <v/>
      </c>
      <c r="J1097" s="275">
        <f>IF(ISBLANK('ENGAGEMENTS 2026'!B1097),"",IF(AND(OR($E1097="INFRUCTUEUX",$E1097="ANNULE"),$C1097="AOO-M"),'ENGAGEMENTS 2026'!O1097,IF($H1097="EN COURS DE PREENGAGEMENT",'ENGAGEMENTS 2026'!N1097,IF($H1097="PREENGAGE",IF($E1097="ATTRIBUE",'ENGAGEMENTS 2026'!AD1097,'ENGAGEMENTS 2026'!N1097),'ENGAGEMENTS 2026'!AD1097))))</f>
        <v/>
      </c>
      <c r="K1097" s="604">
        <f>IF(ISBLANK('ENGAGEMENTS 2026'!V1097),"",'ENGAGEMENTS 2026'!V1097)</f>
        <v/>
      </c>
      <c r="L1097" s="276">
        <f>IF($K1097="","",TODAY()-$K1097)</f>
        <v/>
      </c>
      <c r="M1097">
        <f>IF($A1097="","",IF($H1097="ENGAGE","Engagé",IF(AND($H1097="NON ENGAGE",OR($I1097="INFRUCTUEUX",$I1097="ANNULE")),"Clôturé sans suite","En cours")))</f>
        <v/>
      </c>
      <c r="N1097">
        <f>IF(ISBLANK('ENGAGEMENTS 2026'!B1097),"",'ENGAGEMENTS 2026'!K1097)</f>
        <v/>
      </c>
      <c r="O1097">
        <f>IF(ISBLANK('ENGAGEMENTS 2026'!B1097),"",'ENGAGEMENTS 2026'!L1097)</f>
        <v/>
      </c>
      <c r="P1097">
        <f>IF(ISBLANK('ENGAGEMENTS 2026'!B1097),"",'ENGAGEMENTS 2026'!J1097)</f>
        <v/>
      </c>
      <c r="Q1097">
        <f>IF($A1097="","",IF(OR($E1097="INFRUCTUEUX",$E1097="ANNULE"),$A1097&amp;"|"&amp;(COUNTIFS($A$2:$A1097,$A1097,$E$2:$E1097,"INFRUCTUEUX")+COUNTIFS($A$2:$A1097,$A1097,$E$2:$E1097,"ANNULE")),""))</f>
        <v/>
      </c>
    </row>
    <row r="1098">
      <c r="A1098">
        <f>IF(ISBLANK('ENGAGEMENTS 2026'!B1098),"",IF('ENGAGEMENTS 2026'!B1098="DTSI","DCT",'ENGAGEMENTS 2026'!B1098))</f>
        <v/>
      </c>
      <c r="B1098">
        <f>IF(ISBLANK('ENGAGEMENTS 2026'!B1098),"",'ENGAGEMENTS 2026'!C1098)</f>
        <v/>
      </c>
      <c r="C1098">
        <f>IF(ISBLANK('ENGAGEMENTS 2026'!B1098),"",'ENGAGEMENTS 2026'!D1098)</f>
        <v/>
      </c>
      <c r="D1098">
        <f>IF(ISBLANK('ENGAGEMENTS 2026'!B1098),"",'ENGAGEMENTS 2026'!F1098)</f>
        <v/>
      </c>
      <c r="E1098">
        <f>IF(ISBLANK('ENGAGEMENTS 2026'!B1098),"",'ENGAGEMENTS 2026'!H1098)</f>
        <v/>
      </c>
      <c r="F1098">
        <f>IF(ISBLANK('ENGAGEMENTS 2026'!B1098),"",'ENGAGEMENTS 2026'!I1098)</f>
        <v/>
      </c>
      <c r="G1098">
        <f>IF(ISBLANK('ENGAGEMENTS 2026'!B1098),"",'ENGAGEMENTS 2026'!L1098)</f>
        <v/>
      </c>
      <c r="H1098">
        <f>IF(ISBLANK('ENGAGEMENTS 2026'!B1098),"",'ENGAGEMENTS 2026'!AE1098)</f>
        <v/>
      </c>
      <c r="I1098">
        <f>IF(ISBLANK('ENGAGEMENTS 2026'!B1098),"",'ENGAGEMENTS 2026'!G1098)</f>
        <v/>
      </c>
      <c r="J1098" s="275">
        <f>IF(ISBLANK('ENGAGEMENTS 2026'!B1098),"",IF(AND(OR($E1098="INFRUCTUEUX",$E1098="ANNULE"),$C1098="AOO-M"),'ENGAGEMENTS 2026'!O1098,IF($H1098="EN COURS DE PREENGAGEMENT",'ENGAGEMENTS 2026'!N1098,IF($H1098="PREENGAGE",IF($E1098="ATTRIBUE",'ENGAGEMENTS 2026'!AD1098,'ENGAGEMENTS 2026'!N1098),'ENGAGEMENTS 2026'!AD1098))))</f>
        <v/>
      </c>
      <c r="K1098" s="604">
        <f>IF(ISBLANK('ENGAGEMENTS 2026'!V1098),"",'ENGAGEMENTS 2026'!V1098)</f>
        <v/>
      </c>
      <c r="L1098" s="276">
        <f>IF($K1098="","",TODAY()-$K1098)</f>
        <v/>
      </c>
      <c r="M1098">
        <f>IF($A1098="","",IF($H1098="ENGAGE","Engagé",IF(AND($H1098="NON ENGAGE",OR($I1098="INFRUCTUEUX",$I1098="ANNULE")),"Clôturé sans suite","En cours")))</f>
        <v/>
      </c>
      <c r="N1098">
        <f>IF(ISBLANK('ENGAGEMENTS 2026'!B1098),"",'ENGAGEMENTS 2026'!K1098)</f>
        <v/>
      </c>
      <c r="O1098">
        <f>IF(ISBLANK('ENGAGEMENTS 2026'!B1098),"",'ENGAGEMENTS 2026'!L1098)</f>
        <v/>
      </c>
      <c r="P1098">
        <f>IF(ISBLANK('ENGAGEMENTS 2026'!B1098),"",'ENGAGEMENTS 2026'!J1098)</f>
        <v/>
      </c>
      <c r="Q1098">
        <f>IF($A1098="","",IF(OR($E1098="INFRUCTUEUX",$E1098="ANNULE"),$A1098&amp;"|"&amp;(COUNTIFS($A$2:$A1098,$A1098,$E$2:$E1098,"INFRUCTUEUX")+COUNTIFS($A$2:$A1098,$A1098,$E$2:$E1098,"ANNULE")),""))</f>
        <v/>
      </c>
    </row>
    <row r="1099">
      <c r="A1099">
        <f>IF(ISBLANK('ENGAGEMENTS 2026'!B1099),"",IF('ENGAGEMENTS 2026'!B1099="DTSI","DCT",'ENGAGEMENTS 2026'!B1099))</f>
        <v/>
      </c>
      <c r="B1099">
        <f>IF(ISBLANK('ENGAGEMENTS 2026'!B1099),"",'ENGAGEMENTS 2026'!C1099)</f>
        <v/>
      </c>
      <c r="C1099">
        <f>IF(ISBLANK('ENGAGEMENTS 2026'!B1099),"",'ENGAGEMENTS 2026'!D1099)</f>
        <v/>
      </c>
      <c r="D1099">
        <f>IF(ISBLANK('ENGAGEMENTS 2026'!B1099),"",'ENGAGEMENTS 2026'!F1099)</f>
        <v/>
      </c>
      <c r="E1099">
        <f>IF(ISBLANK('ENGAGEMENTS 2026'!B1099),"",'ENGAGEMENTS 2026'!H1099)</f>
        <v/>
      </c>
      <c r="F1099">
        <f>IF(ISBLANK('ENGAGEMENTS 2026'!B1099),"",'ENGAGEMENTS 2026'!I1099)</f>
        <v/>
      </c>
      <c r="G1099">
        <f>IF(ISBLANK('ENGAGEMENTS 2026'!B1099),"",'ENGAGEMENTS 2026'!L1099)</f>
        <v/>
      </c>
      <c r="H1099">
        <f>IF(ISBLANK('ENGAGEMENTS 2026'!B1099),"",'ENGAGEMENTS 2026'!AE1099)</f>
        <v/>
      </c>
      <c r="I1099">
        <f>IF(ISBLANK('ENGAGEMENTS 2026'!B1099),"",'ENGAGEMENTS 2026'!G1099)</f>
        <v/>
      </c>
      <c r="J1099" s="275">
        <f>IF(ISBLANK('ENGAGEMENTS 2026'!B1099),"",IF(AND(OR($E1099="INFRUCTUEUX",$E1099="ANNULE"),$C1099="AOO-M"),'ENGAGEMENTS 2026'!O1099,IF($H1099="EN COURS DE PREENGAGEMENT",'ENGAGEMENTS 2026'!N1099,IF($H1099="PREENGAGE",IF($E1099="ATTRIBUE",'ENGAGEMENTS 2026'!AD1099,'ENGAGEMENTS 2026'!N1099),'ENGAGEMENTS 2026'!AD1099))))</f>
        <v/>
      </c>
      <c r="K1099" s="604">
        <f>IF(ISBLANK('ENGAGEMENTS 2026'!V1099),"",'ENGAGEMENTS 2026'!V1099)</f>
        <v/>
      </c>
      <c r="L1099" s="276">
        <f>IF($K1099="","",TODAY()-$K1099)</f>
        <v/>
      </c>
      <c r="M1099">
        <f>IF($A1099="","",IF($H1099="ENGAGE","Engagé",IF(AND($H1099="NON ENGAGE",OR($I1099="INFRUCTUEUX",$I1099="ANNULE")),"Clôturé sans suite","En cours")))</f>
        <v/>
      </c>
      <c r="N1099">
        <f>IF(ISBLANK('ENGAGEMENTS 2026'!B1099),"",'ENGAGEMENTS 2026'!K1099)</f>
        <v/>
      </c>
      <c r="O1099">
        <f>IF(ISBLANK('ENGAGEMENTS 2026'!B1099),"",'ENGAGEMENTS 2026'!L1099)</f>
        <v/>
      </c>
      <c r="P1099">
        <f>IF(ISBLANK('ENGAGEMENTS 2026'!B1099),"",'ENGAGEMENTS 2026'!J1099)</f>
        <v/>
      </c>
      <c r="Q1099">
        <f>IF($A1099="","",IF(OR($E1099="INFRUCTUEUX",$E1099="ANNULE"),$A1099&amp;"|"&amp;(COUNTIFS($A$2:$A1099,$A1099,$E$2:$E1099,"INFRUCTUEUX")+COUNTIFS($A$2:$A1099,$A1099,$E$2:$E1099,"ANNULE")),""))</f>
        <v/>
      </c>
    </row>
    <row r="1100">
      <c r="A1100">
        <f>IF(ISBLANK('ENGAGEMENTS 2026'!B1100),"",IF('ENGAGEMENTS 2026'!B1100="DTSI","DCT",'ENGAGEMENTS 2026'!B1100))</f>
        <v/>
      </c>
      <c r="B1100">
        <f>IF(ISBLANK('ENGAGEMENTS 2026'!B1100),"",'ENGAGEMENTS 2026'!C1100)</f>
        <v/>
      </c>
      <c r="C1100">
        <f>IF(ISBLANK('ENGAGEMENTS 2026'!B1100),"",'ENGAGEMENTS 2026'!D1100)</f>
        <v/>
      </c>
      <c r="D1100">
        <f>IF(ISBLANK('ENGAGEMENTS 2026'!B1100),"",'ENGAGEMENTS 2026'!F1100)</f>
        <v/>
      </c>
      <c r="E1100">
        <f>IF(ISBLANK('ENGAGEMENTS 2026'!B1100),"",'ENGAGEMENTS 2026'!H1100)</f>
        <v/>
      </c>
      <c r="F1100">
        <f>IF(ISBLANK('ENGAGEMENTS 2026'!B1100),"",'ENGAGEMENTS 2026'!I1100)</f>
        <v/>
      </c>
      <c r="G1100">
        <f>IF(ISBLANK('ENGAGEMENTS 2026'!B1100),"",'ENGAGEMENTS 2026'!L1100)</f>
        <v/>
      </c>
      <c r="H1100">
        <f>IF(ISBLANK('ENGAGEMENTS 2026'!B1100),"",'ENGAGEMENTS 2026'!AE1100)</f>
        <v/>
      </c>
      <c r="I1100">
        <f>IF(ISBLANK('ENGAGEMENTS 2026'!B1100),"",'ENGAGEMENTS 2026'!G1100)</f>
        <v/>
      </c>
      <c r="J1100" s="275">
        <f>IF(ISBLANK('ENGAGEMENTS 2026'!B1100),"",IF(AND(OR($E1100="INFRUCTUEUX",$E1100="ANNULE"),$C1100="AOO-M"),'ENGAGEMENTS 2026'!O1100,IF($H1100="EN COURS DE PREENGAGEMENT",'ENGAGEMENTS 2026'!N1100,IF($H1100="PREENGAGE",IF($E1100="ATTRIBUE",'ENGAGEMENTS 2026'!AD1100,'ENGAGEMENTS 2026'!N1100),'ENGAGEMENTS 2026'!AD1100))))</f>
        <v/>
      </c>
      <c r="K1100" s="604">
        <f>IF(ISBLANK('ENGAGEMENTS 2026'!V1100),"",'ENGAGEMENTS 2026'!V1100)</f>
        <v/>
      </c>
      <c r="L1100" s="276">
        <f>IF($K1100="","",TODAY()-$K1100)</f>
        <v/>
      </c>
      <c r="M1100">
        <f>IF($A1100="","",IF($H1100="ENGAGE","Engagé",IF(AND($H1100="NON ENGAGE",OR($I1100="INFRUCTUEUX",$I1100="ANNULE")),"Clôturé sans suite","En cours")))</f>
        <v/>
      </c>
      <c r="N1100">
        <f>IF(ISBLANK('ENGAGEMENTS 2026'!B1100),"",'ENGAGEMENTS 2026'!K1100)</f>
        <v/>
      </c>
      <c r="O1100">
        <f>IF(ISBLANK('ENGAGEMENTS 2026'!B1100),"",'ENGAGEMENTS 2026'!L1100)</f>
        <v/>
      </c>
      <c r="P1100">
        <f>IF(ISBLANK('ENGAGEMENTS 2026'!B1100),"",'ENGAGEMENTS 2026'!J1100)</f>
        <v/>
      </c>
      <c r="Q1100">
        <f>IF($A1100="","",IF(OR($E1100="INFRUCTUEUX",$E1100="ANNULE"),$A1100&amp;"|"&amp;(COUNTIFS($A$2:$A1100,$A1100,$E$2:$E1100,"INFRUCTUEUX")+COUNTIFS($A$2:$A1100,$A1100,$E$2:$E1100,"ANNULE")),""))</f>
        <v/>
      </c>
    </row>
    <row r="1101">
      <c r="A1101">
        <f>IF(ISBLANK('ENGAGEMENTS 2026'!B1101),"",IF('ENGAGEMENTS 2026'!B1101="DTSI","DCT",'ENGAGEMENTS 2026'!B1101))</f>
        <v/>
      </c>
      <c r="B1101">
        <f>IF(ISBLANK('ENGAGEMENTS 2026'!B1101),"",'ENGAGEMENTS 2026'!C1101)</f>
        <v/>
      </c>
      <c r="C1101">
        <f>IF(ISBLANK('ENGAGEMENTS 2026'!B1101),"",'ENGAGEMENTS 2026'!D1101)</f>
        <v/>
      </c>
      <c r="D1101">
        <f>IF(ISBLANK('ENGAGEMENTS 2026'!B1101),"",'ENGAGEMENTS 2026'!F1101)</f>
        <v/>
      </c>
      <c r="E1101">
        <f>IF(ISBLANK('ENGAGEMENTS 2026'!B1101),"",'ENGAGEMENTS 2026'!H1101)</f>
        <v/>
      </c>
      <c r="F1101">
        <f>IF(ISBLANK('ENGAGEMENTS 2026'!B1101),"",'ENGAGEMENTS 2026'!I1101)</f>
        <v/>
      </c>
      <c r="G1101">
        <f>IF(ISBLANK('ENGAGEMENTS 2026'!B1101),"",'ENGAGEMENTS 2026'!L1101)</f>
        <v/>
      </c>
      <c r="H1101">
        <f>IF(ISBLANK('ENGAGEMENTS 2026'!B1101),"",'ENGAGEMENTS 2026'!AE1101)</f>
        <v/>
      </c>
      <c r="I1101">
        <f>IF(ISBLANK('ENGAGEMENTS 2026'!B1101),"",'ENGAGEMENTS 2026'!G1101)</f>
        <v/>
      </c>
      <c r="J1101" s="275">
        <f>IF(ISBLANK('ENGAGEMENTS 2026'!B1101),"",IF(AND(OR($E1101="INFRUCTUEUX",$E1101="ANNULE"),$C1101="AOO-M"),'ENGAGEMENTS 2026'!O1101,IF($H1101="EN COURS DE PREENGAGEMENT",'ENGAGEMENTS 2026'!N1101,IF($H1101="PREENGAGE",IF($E1101="ATTRIBUE",'ENGAGEMENTS 2026'!AD1101,'ENGAGEMENTS 2026'!N1101),'ENGAGEMENTS 2026'!AD1101))))</f>
        <v/>
      </c>
      <c r="K1101" s="604">
        <f>IF(ISBLANK('ENGAGEMENTS 2026'!V1101),"",'ENGAGEMENTS 2026'!V1101)</f>
        <v/>
      </c>
      <c r="L1101" s="276">
        <f>IF($K1101="","",TODAY()-$K1101)</f>
        <v/>
      </c>
      <c r="M1101">
        <f>IF($A1101="","",IF($H1101="ENGAGE","Engagé",IF(AND($H1101="NON ENGAGE",OR($I1101="INFRUCTUEUX",$I1101="ANNULE")),"Clôturé sans suite","En cours")))</f>
        <v/>
      </c>
      <c r="N1101">
        <f>IF(ISBLANK('ENGAGEMENTS 2026'!B1101),"",'ENGAGEMENTS 2026'!K1101)</f>
        <v/>
      </c>
      <c r="O1101">
        <f>IF(ISBLANK('ENGAGEMENTS 2026'!B1101),"",'ENGAGEMENTS 2026'!L1101)</f>
        <v/>
      </c>
      <c r="P1101">
        <f>IF(ISBLANK('ENGAGEMENTS 2026'!B1101),"",'ENGAGEMENTS 2026'!J1101)</f>
        <v/>
      </c>
      <c r="Q1101">
        <f>IF($A1101="","",IF(OR($E1101="INFRUCTUEUX",$E1101="ANNULE"),$A1101&amp;"|"&amp;(COUNTIFS($A$2:$A1101,$A1101,$E$2:$E1101,"INFRUCTUEUX")+COUNTIFS($A$2:$A1101,$A1101,$E$2:$E1101,"ANNULE")),""))</f>
        <v/>
      </c>
    </row>
    <row r="1102">
      <c r="A1102">
        <f>IF(ISBLANK('ENGAGEMENTS 2026'!B1102),"",IF('ENGAGEMENTS 2026'!B1102="DTSI","DCT",'ENGAGEMENTS 2026'!B1102))</f>
        <v/>
      </c>
      <c r="B1102">
        <f>IF(ISBLANK('ENGAGEMENTS 2026'!B1102),"",'ENGAGEMENTS 2026'!C1102)</f>
        <v/>
      </c>
      <c r="C1102">
        <f>IF(ISBLANK('ENGAGEMENTS 2026'!B1102),"",'ENGAGEMENTS 2026'!D1102)</f>
        <v/>
      </c>
      <c r="D1102">
        <f>IF(ISBLANK('ENGAGEMENTS 2026'!B1102),"",'ENGAGEMENTS 2026'!F1102)</f>
        <v/>
      </c>
      <c r="E1102">
        <f>IF(ISBLANK('ENGAGEMENTS 2026'!B1102),"",'ENGAGEMENTS 2026'!H1102)</f>
        <v/>
      </c>
      <c r="F1102">
        <f>IF(ISBLANK('ENGAGEMENTS 2026'!B1102),"",'ENGAGEMENTS 2026'!I1102)</f>
        <v/>
      </c>
      <c r="G1102">
        <f>IF(ISBLANK('ENGAGEMENTS 2026'!B1102),"",'ENGAGEMENTS 2026'!L1102)</f>
        <v/>
      </c>
      <c r="H1102">
        <f>IF(ISBLANK('ENGAGEMENTS 2026'!B1102),"",'ENGAGEMENTS 2026'!AE1102)</f>
        <v/>
      </c>
      <c r="I1102">
        <f>IF(ISBLANK('ENGAGEMENTS 2026'!B1102),"",'ENGAGEMENTS 2026'!G1102)</f>
        <v/>
      </c>
      <c r="J1102" s="275">
        <f>IF(ISBLANK('ENGAGEMENTS 2026'!B1102),"",IF(AND(OR($E1102="INFRUCTUEUX",$E1102="ANNULE"),$C1102="AOO-M"),'ENGAGEMENTS 2026'!O1102,IF($H1102="EN COURS DE PREENGAGEMENT",'ENGAGEMENTS 2026'!N1102,IF($H1102="PREENGAGE",IF($E1102="ATTRIBUE",'ENGAGEMENTS 2026'!AD1102,'ENGAGEMENTS 2026'!N1102),'ENGAGEMENTS 2026'!AD1102))))</f>
        <v/>
      </c>
      <c r="K1102" s="604">
        <f>IF(ISBLANK('ENGAGEMENTS 2026'!V1102),"",'ENGAGEMENTS 2026'!V1102)</f>
        <v/>
      </c>
      <c r="L1102" s="276">
        <f>IF($K1102="","",TODAY()-$K1102)</f>
        <v/>
      </c>
      <c r="M1102">
        <f>IF($A1102="","",IF($H1102="ENGAGE","Engagé",IF(AND($H1102="NON ENGAGE",OR($I1102="INFRUCTUEUX",$I1102="ANNULE")),"Clôturé sans suite","En cours")))</f>
        <v/>
      </c>
      <c r="N1102">
        <f>IF(ISBLANK('ENGAGEMENTS 2026'!B1102),"",'ENGAGEMENTS 2026'!K1102)</f>
        <v/>
      </c>
      <c r="O1102">
        <f>IF(ISBLANK('ENGAGEMENTS 2026'!B1102),"",'ENGAGEMENTS 2026'!L1102)</f>
        <v/>
      </c>
      <c r="P1102">
        <f>IF(ISBLANK('ENGAGEMENTS 2026'!B1102),"",'ENGAGEMENTS 2026'!J1102)</f>
        <v/>
      </c>
      <c r="Q1102">
        <f>IF($A1102="","",IF(OR($E1102="INFRUCTUEUX",$E1102="ANNULE"),$A1102&amp;"|"&amp;(COUNTIFS($A$2:$A1102,$A1102,$E$2:$E1102,"INFRUCTUEUX")+COUNTIFS($A$2:$A1102,$A1102,$E$2:$E1102,"ANNULE")),""))</f>
        <v/>
      </c>
    </row>
    <row r="1103">
      <c r="A1103">
        <f>IF(ISBLANK('ENGAGEMENTS 2026'!B1103),"",IF('ENGAGEMENTS 2026'!B1103="DTSI","DCT",'ENGAGEMENTS 2026'!B1103))</f>
        <v/>
      </c>
      <c r="B1103">
        <f>IF(ISBLANK('ENGAGEMENTS 2026'!B1103),"",'ENGAGEMENTS 2026'!C1103)</f>
        <v/>
      </c>
      <c r="C1103">
        <f>IF(ISBLANK('ENGAGEMENTS 2026'!B1103),"",'ENGAGEMENTS 2026'!D1103)</f>
        <v/>
      </c>
      <c r="D1103">
        <f>IF(ISBLANK('ENGAGEMENTS 2026'!B1103),"",'ENGAGEMENTS 2026'!F1103)</f>
        <v/>
      </c>
      <c r="E1103">
        <f>IF(ISBLANK('ENGAGEMENTS 2026'!B1103),"",'ENGAGEMENTS 2026'!H1103)</f>
        <v/>
      </c>
      <c r="F1103">
        <f>IF(ISBLANK('ENGAGEMENTS 2026'!B1103),"",'ENGAGEMENTS 2026'!I1103)</f>
        <v/>
      </c>
      <c r="G1103">
        <f>IF(ISBLANK('ENGAGEMENTS 2026'!B1103),"",'ENGAGEMENTS 2026'!L1103)</f>
        <v/>
      </c>
      <c r="H1103">
        <f>IF(ISBLANK('ENGAGEMENTS 2026'!B1103),"",'ENGAGEMENTS 2026'!AE1103)</f>
        <v/>
      </c>
      <c r="I1103">
        <f>IF(ISBLANK('ENGAGEMENTS 2026'!B1103),"",'ENGAGEMENTS 2026'!G1103)</f>
        <v/>
      </c>
      <c r="J1103" s="275">
        <f>IF(ISBLANK('ENGAGEMENTS 2026'!B1103),"",IF(AND(OR($E1103="INFRUCTUEUX",$E1103="ANNULE"),$C1103="AOO-M"),'ENGAGEMENTS 2026'!O1103,IF($H1103="EN COURS DE PREENGAGEMENT",'ENGAGEMENTS 2026'!N1103,IF($H1103="PREENGAGE",IF($E1103="ATTRIBUE",'ENGAGEMENTS 2026'!AD1103,'ENGAGEMENTS 2026'!N1103),'ENGAGEMENTS 2026'!AD1103))))</f>
        <v/>
      </c>
      <c r="K1103" s="604">
        <f>IF(ISBLANK('ENGAGEMENTS 2026'!V1103),"",'ENGAGEMENTS 2026'!V1103)</f>
        <v/>
      </c>
      <c r="L1103" s="276">
        <f>IF($K1103="","",TODAY()-$K1103)</f>
        <v/>
      </c>
      <c r="M1103">
        <f>IF($A1103="","",IF($H1103="ENGAGE","Engagé",IF(AND($H1103="NON ENGAGE",OR($I1103="INFRUCTUEUX",$I1103="ANNULE")),"Clôturé sans suite","En cours")))</f>
        <v/>
      </c>
      <c r="N1103">
        <f>IF(ISBLANK('ENGAGEMENTS 2026'!B1103),"",'ENGAGEMENTS 2026'!K1103)</f>
        <v/>
      </c>
      <c r="O1103">
        <f>IF(ISBLANK('ENGAGEMENTS 2026'!B1103),"",'ENGAGEMENTS 2026'!L1103)</f>
        <v/>
      </c>
      <c r="P1103">
        <f>IF(ISBLANK('ENGAGEMENTS 2026'!B1103),"",'ENGAGEMENTS 2026'!J1103)</f>
        <v/>
      </c>
      <c r="Q1103">
        <f>IF($A1103="","",IF(OR($E1103="INFRUCTUEUX",$E1103="ANNULE"),$A1103&amp;"|"&amp;(COUNTIFS($A$2:$A1103,$A1103,$E$2:$E1103,"INFRUCTUEUX")+COUNTIFS($A$2:$A1103,$A1103,$E$2:$E1103,"ANNULE")),""))</f>
        <v/>
      </c>
    </row>
    <row r="1104">
      <c r="A1104">
        <f>IF(ISBLANK('ENGAGEMENTS 2026'!B1104),"",IF('ENGAGEMENTS 2026'!B1104="DTSI","DCT",'ENGAGEMENTS 2026'!B1104))</f>
        <v/>
      </c>
      <c r="B1104">
        <f>IF(ISBLANK('ENGAGEMENTS 2026'!B1104),"",'ENGAGEMENTS 2026'!C1104)</f>
        <v/>
      </c>
      <c r="C1104">
        <f>IF(ISBLANK('ENGAGEMENTS 2026'!B1104),"",'ENGAGEMENTS 2026'!D1104)</f>
        <v/>
      </c>
      <c r="D1104">
        <f>IF(ISBLANK('ENGAGEMENTS 2026'!B1104),"",'ENGAGEMENTS 2026'!F1104)</f>
        <v/>
      </c>
      <c r="E1104">
        <f>IF(ISBLANK('ENGAGEMENTS 2026'!B1104),"",'ENGAGEMENTS 2026'!H1104)</f>
        <v/>
      </c>
      <c r="F1104">
        <f>IF(ISBLANK('ENGAGEMENTS 2026'!B1104),"",'ENGAGEMENTS 2026'!I1104)</f>
        <v/>
      </c>
      <c r="G1104">
        <f>IF(ISBLANK('ENGAGEMENTS 2026'!B1104),"",'ENGAGEMENTS 2026'!L1104)</f>
        <v/>
      </c>
      <c r="H1104">
        <f>IF(ISBLANK('ENGAGEMENTS 2026'!B1104),"",'ENGAGEMENTS 2026'!AE1104)</f>
        <v/>
      </c>
      <c r="I1104">
        <f>IF(ISBLANK('ENGAGEMENTS 2026'!B1104),"",'ENGAGEMENTS 2026'!G1104)</f>
        <v/>
      </c>
      <c r="J1104" s="275">
        <f>IF(ISBLANK('ENGAGEMENTS 2026'!B1104),"",IF(AND(OR($E1104="INFRUCTUEUX",$E1104="ANNULE"),$C1104="AOO-M"),'ENGAGEMENTS 2026'!O1104,IF($H1104="EN COURS DE PREENGAGEMENT",'ENGAGEMENTS 2026'!N1104,IF($H1104="PREENGAGE",IF($E1104="ATTRIBUE",'ENGAGEMENTS 2026'!AD1104,'ENGAGEMENTS 2026'!N1104),'ENGAGEMENTS 2026'!AD1104))))</f>
        <v/>
      </c>
      <c r="K1104" s="604">
        <f>IF(ISBLANK('ENGAGEMENTS 2026'!V1104),"",'ENGAGEMENTS 2026'!V1104)</f>
        <v/>
      </c>
      <c r="L1104" s="276">
        <f>IF($K1104="","",TODAY()-$K1104)</f>
        <v/>
      </c>
      <c r="M1104">
        <f>IF($A1104="","",IF($H1104="ENGAGE","Engagé",IF(AND($H1104="NON ENGAGE",OR($I1104="INFRUCTUEUX",$I1104="ANNULE")),"Clôturé sans suite","En cours")))</f>
        <v/>
      </c>
      <c r="N1104">
        <f>IF(ISBLANK('ENGAGEMENTS 2026'!B1104),"",'ENGAGEMENTS 2026'!K1104)</f>
        <v/>
      </c>
      <c r="O1104">
        <f>IF(ISBLANK('ENGAGEMENTS 2026'!B1104),"",'ENGAGEMENTS 2026'!L1104)</f>
        <v/>
      </c>
      <c r="P1104">
        <f>IF(ISBLANK('ENGAGEMENTS 2026'!B1104),"",'ENGAGEMENTS 2026'!J1104)</f>
        <v/>
      </c>
      <c r="Q1104">
        <f>IF($A1104="","",IF(OR($E1104="INFRUCTUEUX",$E1104="ANNULE"),$A1104&amp;"|"&amp;(COUNTIFS($A$2:$A1104,$A1104,$E$2:$E1104,"INFRUCTUEUX")+COUNTIFS($A$2:$A1104,$A1104,$E$2:$E1104,"ANNULE")),""))</f>
        <v/>
      </c>
    </row>
    <row r="1105">
      <c r="A1105">
        <f>IF(ISBLANK('ENGAGEMENTS 2026'!B1105),"",IF('ENGAGEMENTS 2026'!B1105="DTSI","DCT",'ENGAGEMENTS 2026'!B1105))</f>
        <v/>
      </c>
      <c r="B1105">
        <f>IF(ISBLANK('ENGAGEMENTS 2026'!B1105),"",'ENGAGEMENTS 2026'!C1105)</f>
        <v/>
      </c>
      <c r="C1105">
        <f>IF(ISBLANK('ENGAGEMENTS 2026'!B1105),"",'ENGAGEMENTS 2026'!D1105)</f>
        <v/>
      </c>
      <c r="D1105">
        <f>IF(ISBLANK('ENGAGEMENTS 2026'!B1105),"",'ENGAGEMENTS 2026'!F1105)</f>
        <v/>
      </c>
      <c r="E1105">
        <f>IF(ISBLANK('ENGAGEMENTS 2026'!B1105),"",'ENGAGEMENTS 2026'!H1105)</f>
        <v/>
      </c>
      <c r="F1105">
        <f>IF(ISBLANK('ENGAGEMENTS 2026'!B1105),"",'ENGAGEMENTS 2026'!I1105)</f>
        <v/>
      </c>
      <c r="G1105">
        <f>IF(ISBLANK('ENGAGEMENTS 2026'!B1105),"",'ENGAGEMENTS 2026'!L1105)</f>
        <v/>
      </c>
      <c r="H1105">
        <f>IF(ISBLANK('ENGAGEMENTS 2026'!B1105),"",'ENGAGEMENTS 2026'!AE1105)</f>
        <v/>
      </c>
      <c r="I1105">
        <f>IF(ISBLANK('ENGAGEMENTS 2026'!B1105),"",'ENGAGEMENTS 2026'!G1105)</f>
        <v/>
      </c>
      <c r="J1105" s="275">
        <f>IF(ISBLANK('ENGAGEMENTS 2026'!B1105),"",IF(AND(OR($E1105="INFRUCTUEUX",$E1105="ANNULE"),$C1105="AOO-M"),'ENGAGEMENTS 2026'!O1105,IF($H1105="EN COURS DE PREENGAGEMENT",'ENGAGEMENTS 2026'!N1105,IF($H1105="PREENGAGE",IF($E1105="ATTRIBUE",'ENGAGEMENTS 2026'!AD1105,'ENGAGEMENTS 2026'!N1105),'ENGAGEMENTS 2026'!AD1105))))</f>
        <v/>
      </c>
      <c r="K1105" s="604">
        <f>IF(ISBLANK('ENGAGEMENTS 2026'!V1105),"",'ENGAGEMENTS 2026'!V1105)</f>
        <v/>
      </c>
      <c r="L1105" s="276">
        <f>IF($K1105="","",TODAY()-$K1105)</f>
        <v/>
      </c>
      <c r="M1105">
        <f>IF($A1105="","",IF($H1105="ENGAGE","Engagé",IF(AND($H1105="NON ENGAGE",OR($I1105="INFRUCTUEUX",$I1105="ANNULE")),"Clôturé sans suite","En cours")))</f>
        <v/>
      </c>
      <c r="N1105">
        <f>IF(ISBLANK('ENGAGEMENTS 2026'!B1105),"",'ENGAGEMENTS 2026'!K1105)</f>
        <v/>
      </c>
      <c r="O1105">
        <f>IF(ISBLANK('ENGAGEMENTS 2026'!B1105),"",'ENGAGEMENTS 2026'!L1105)</f>
        <v/>
      </c>
      <c r="P1105">
        <f>IF(ISBLANK('ENGAGEMENTS 2026'!B1105),"",'ENGAGEMENTS 2026'!J1105)</f>
        <v/>
      </c>
      <c r="Q1105">
        <f>IF($A1105="","",IF(OR($E1105="INFRUCTUEUX",$E1105="ANNULE"),$A1105&amp;"|"&amp;(COUNTIFS($A$2:$A1105,$A1105,$E$2:$E1105,"INFRUCTUEUX")+COUNTIFS($A$2:$A1105,$A1105,$E$2:$E1105,"ANNULE")),""))</f>
        <v/>
      </c>
    </row>
    <row r="1106">
      <c r="A1106">
        <f>IF(ISBLANK('ENGAGEMENTS 2026'!B1106),"",IF('ENGAGEMENTS 2026'!B1106="DTSI","DCT",'ENGAGEMENTS 2026'!B1106))</f>
        <v/>
      </c>
      <c r="B1106">
        <f>IF(ISBLANK('ENGAGEMENTS 2026'!B1106),"",'ENGAGEMENTS 2026'!C1106)</f>
        <v/>
      </c>
      <c r="C1106">
        <f>IF(ISBLANK('ENGAGEMENTS 2026'!B1106),"",'ENGAGEMENTS 2026'!D1106)</f>
        <v/>
      </c>
      <c r="D1106">
        <f>IF(ISBLANK('ENGAGEMENTS 2026'!B1106),"",'ENGAGEMENTS 2026'!F1106)</f>
        <v/>
      </c>
      <c r="E1106">
        <f>IF(ISBLANK('ENGAGEMENTS 2026'!B1106),"",'ENGAGEMENTS 2026'!H1106)</f>
        <v/>
      </c>
      <c r="F1106">
        <f>IF(ISBLANK('ENGAGEMENTS 2026'!B1106),"",'ENGAGEMENTS 2026'!I1106)</f>
        <v/>
      </c>
      <c r="G1106">
        <f>IF(ISBLANK('ENGAGEMENTS 2026'!B1106),"",'ENGAGEMENTS 2026'!L1106)</f>
        <v/>
      </c>
      <c r="H1106">
        <f>IF(ISBLANK('ENGAGEMENTS 2026'!B1106),"",'ENGAGEMENTS 2026'!AE1106)</f>
        <v/>
      </c>
      <c r="I1106">
        <f>IF(ISBLANK('ENGAGEMENTS 2026'!B1106),"",'ENGAGEMENTS 2026'!G1106)</f>
        <v/>
      </c>
      <c r="J1106" s="275">
        <f>IF(ISBLANK('ENGAGEMENTS 2026'!B1106),"",IF(AND(OR($E1106="INFRUCTUEUX",$E1106="ANNULE"),$C1106="AOO-M"),'ENGAGEMENTS 2026'!O1106,IF($H1106="EN COURS DE PREENGAGEMENT",'ENGAGEMENTS 2026'!N1106,IF($H1106="PREENGAGE",IF($E1106="ATTRIBUE",'ENGAGEMENTS 2026'!AD1106,'ENGAGEMENTS 2026'!N1106),'ENGAGEMENTS 2026'!AD1106))))</f>
        <v/>
      </c>
      <c r="K1106" s="604">
        <f>IF(ISBLANK('ENGAGEMENTS 2026'!V1106),"",'ENGAGEMENTS 2026'!V1106)</f>
        <v/>
      </c>
      <c r="L1106" s="276">
        <f>IF($K1106="","",TODAY()-$K1106)</f>
        <v/>
      </c>
      <c r="M1106">
        <f>IF($A1106="","",IF($H1106="ENGAGE","Engagé",IF(AND($H1106="NON ENGAGE",OR($I1106="INFRUCTUEUX",$I1106="ANNULE")),"Clôturé sans suite","En cours")))</f>
        <v/>
      </c>
      <c r="N1106">
        <f>IF(ISBLANK('ENGAGEMENTS 2026'!B1106),"",'ENGAGEMENTS 2026'!K1106)</f>
        <v/>
      </c>
      <c r="O1106">
        <f>IF(ISBLANK('ENGAGEMENTS 2026'!B1106),"",'ENGAGEMENTS 2026'!L1106)</f>
        <v/>
      </c>
      <c r="P1106">
        <f>IF(ISBLANK('ENGAGEMENTS 2026'!B1106),"",'ENGAGEMENTS 2026'!J1106)</f>
        <v/>
      </c>
      <c r="Q1106">
        <f>IF($A1106="","",IF(OR($E1106="INFRUCTUEUX",$E1106="ANNULE"),$A1106&amp;"|"&amp;(COUNTIFS($A$2:$A1106,$A1106,$E$2:$E1106,"INFRUCTUEUX")+COUNTIFS($A$2:$A1106,$A1106,$E$2:$E1106,"ANNULE")),""))</f>
        <v/>
      </c>
    </row>
    <row r="1107">
      <c r="A1107">
        <f>IF(ISBLANK('ENGAGEMENTS 2026'!B1107),"",IF('ENGAGEMENTS 2026'!B1107="DTSI","DCT",'ENGAGEMENTS 2026'!B1107))</f>
        <v/>
      </c>
      <c r="B1107">
        <f>IF(ISBLANK('ENGAGEMENTS 2026'!B1107),"",'ENGAGEMENTS 2026'!C1107)</f>
        <v/>
      </c>
      <c r="C1107">
        <f>IF(ISBLANK('ENGAGEMENTS 2026'!B1107),"",'ENGAGEMENTS 2026'!D1107)</f>
        <v/>
      </c>
      <c r="D1107">
        <f>IF(ISBLANK('ENGAGEMENTS 2026'!B1107),"",'ENGAGEMENTS 2026'!F1107)</f>
        <v/>
      </c>
      <c r="E1107">
        <f>IF(ISBLANK('ENGAGEMENTS 2026'!B1107),"",'ENGAGEMENTS 2026'!H1107)</f>
        <v/>
      </c>
      <c r="F1107">
        <f>IF(ISBLANK('ENGAGEMENTS 2026'!B1107),"",'ENGAGEMENTS 2026'!I1107)</f>
        <v/>
      </c>
      <c r="G1107">
        <f>IF(ISBLANK('ENGAGEMENTS 2026'!B1107),"",'ENGAGEMENTS 2026'!L1107)</f>
        <v/>
      </c>
      <c r="H1107">
        <f>IF(ISBLANK('ENGAGEMENTS 2026'!B1107),"",'ENGAGEMENTS 2026'!AE1107)</f>
        <v/>
      </c>
      <c r="I1107">
        <f>IF(ISBLANK('ENGAGEMENTS 2026'!B1107),"",'ENGAGEMENTS 2026'!G1107)</f>
        <v/>
      </c>
      <c r="J1107" s="275">
        <f>IF(ISBLANK('ENGAGEMENTS 2026'!B1107),"",IF(AND(OR($E1107="INFRUCTUEUX",$E1107="ANNULE"),$C1107="AOO-M"),'ENGAGEMENTS 2026'!O1107,IF($H1107="EN COURS DE PREENGAGEMENT",'ENGAGEMENTS 2026'!N1107,IF($H1107="PREENGAGE",IF($E1107="ATTRIBUE",'ENGAGEMENTS 2026'!AD1107,'ENGAGEMENTS 2026'!N1107),'ENGAGEMENTS 2026'!AD1107))))</f>
        <v/>
      </c>
      <c r="K1107" s="604">
        <f>IF(ISBLANK('ENGAGEMENTS 2026'!V1107),"",'ENGAGEMENTS 2026'!V1107)</f>
        <v/>
      </c>
      <c r="L1107" s="276">
        <f>IF($K1107="","",TODAY()-$K1107)</f>
        <v/>
      </c>
      <c r="M1107">
        <f>IF($A1107="","",IF($H1107="ENGAGE","Engagé",IF(AND($H1107="NON ENGAGE",OR($I1107="INFRUCTUEUX",$I1107="ANNULE")),"Clôturé sans suite","En cours")))</f>
        <v/>
      </c>
      <c r="N1107">
        <f>IF(ISBLANK('ENGAGEMENTS 2026'!B1107),"",'ENGAGEMENTS 2026'!K1107)</f>
        <v/>
      </c>
      <c r="O1107">
        <f>IF(ISBLANK('ENGAGEMENTS 2026'!B1107),"",'ENGAGEMENTS 2026'!L1107)</f>
        <v/>
      </c>
      <c r="P1107">
        <f>IF(ISBLANK('ENGAGEMENTS 2026'!B1107),"",'ENGAGEMENTS 2026'!J1107)</f>
        <v/>
      </c>
      <c r="Q1107">
        <f>IF($A1107="","",IF(OR($E1107="INFRUCTUEUX",$E1107="ANNULE"),$A1107&amp;"|"&amp;(COUNTIFS($A$2:$A1107,$A1107,$E$2:$E1107,"INFRUCTUEUX")+COUNTIFS($A$2:$A1107,$A1107,$E$2:$E1107,"ANNULE")),""))</f>
        <v/>
      </c>
    </row>
    <row r="1108">
      <c r="A1108">
        <f>IF(ISBLANK('ENGAGEMENTS 2026'!B1108),"",IF('ENGAGEMENTS 2026'!B1108="DTSI","DCT",'ENGAGEMENTS 2026'!B1108))</f>
        <v/>
      </c>
      <c r="B1108">
        <f>IF(ISBLANK('ENGAGEMENTS 2026'!B1108),"",'ENGAGEMENTS 2026'!C1108)</f>
        <v/>
      </c>
      <c r="C1108">
        <f>IF(ISBLANK('ENGAGEMENTS 2026'!B1108),"",'ENGAGEMENTS 2026'!D1108)</f>
        <v/>
      </c>
      <c r="D1108">
        <f>IF(ISBLANK('ENGAGEMENTS 2026'!B1108),"",'ENGAGEMENTS 2026'!F1108)</f>
        <v/>
      </c>
      <c r="E1108">
        <f>IF(ISBLANK('ENGAGEMENTS 2026'!B1108),"",'ENGAGEMENTS 2026'!H1108)</f>
        <v/>
      </c>
      <c r="F1108">
        <f>IF(ISBLANK('ENGAGEMENTS 2026'!B1108),"",'ENGAGEMENTS 2026'!I1108)</f>
        <v/>
      </c>
      <c r="G1108">
        <f>IF(ISBLANK('ENGAGEMENTS 2026'!B1108),"",'ENGAGEMENTS 2026'!L1108)</f>
        <v/>
      </c>
      <c r="H1108">
        <f>IF(ISBLANK('ENGAGEMENTS 2026'!B1108),"",'ENGAGEMENTS 2026'!AE1108)</f>
        <v/>
      </c>
      <c r="I1108">
        <f>IF(ISBLANK('ENGAGEMENTS 2026'!B1108),"",'ENGAGEMENTS 2026'!G1108)</f>
        <v/>
      </c>
      <c r="J1108" s="275">
        <f>IF(ISBLANK('ENGAGEMENTS 2026'!B1108),"",IF(AND(OR($E1108="INFRUCTUEUX",$E1108="ANNULE"),$C1108="AOO-M"),'ENGAGEMENTS 2026'!O1108,IF($H1108="EN COURS DE PREENGAGEMENT",'ENGAGEMENTS 2026'!N1108,IF($H1108="PREENGAGE",IF($E1108="ATTRIBUE",'ENGAGEMENTS 2026'!AD1108,'ENGAGEMENTS 2026'!N1108),'ENGAGEMENTS 2026'!AD1108))))</f>
        <v/>
      </c>
      <c r="K1108" s="604">
        <f>IF(ISBLANK('ENGAGEMENTS 2026'!V1108),"",'ENGAGEMENTS 2026'!V1108)</f>
        <v/>
      </c>
      <c r="L1108" s="276">
        <f>IF($K1108="","",TODAY()-$K1108)</f>
        <v/>
      </c>
      <c r="M1108">
        <f>IF($A1108="","",IF($H1108="ENGAGE","Engagé",IF(AND($H1108="NON ENGAGE",OR($I1108="INFRUCTUEUX",$I1108="ANNULE")),"Clôturé sans suite","En cours")))</f>
        <v/>
      </c>
      <c r="N1108">
        <f>IF(ISBLANK('ENGAGEMENTS 2026'!B1108),"",'ENGAGEMENTS 2026'!K1108)</f>
        <v/>
      </c>
      <c r="O1108">
        <f>IF(ISBLANK('ENGAGEMENTS 2026'!B1108),"",'ENGAGEMENTS 2026'!L1108)</f>
        <v/>
      </c>
      <c r="P1108">
        <f>IF(ISBLANK('ENGAGEMENTS 2026'!B1108),"",'ENGAGEMENTS 2026'!J1108)</f>
        <v/>
      </c>
      <c r="Q1108">
        <f>IF($A1108="","",IF(OR($E1108="INFRUCTUEUX",$E1108="ANNULE"),$A1108&amp;"|"&amp;(COUNTIFS($A$2:$A1108,$A1108,$E$2:$E1108,"INFRUCTUEUX")+COUNTIFS($A$2:$A1108,$A1108,$E$2:$E1108,"ANNULE")),""))</f>
        <v/>
      </c>
    </row>
    <row r="1109">
      <c r="A1109">
        <f>IF(ISBLANK('ENGAGEMENTS 2026'!B1109),"",IF('ENGAGEMENTS 2026'!B1109="DTSI","DCT",'ENGAGEMENTS 2026'!B1109))</f>
        <v/>
      </c>
      <c r="B1109">
        <f>IF(ISBLANK('ENGAGEMENTS 2026'!B1109),"",'ENGAGEMENTS 2026'!C1109)</f>
        <v/>
      </c>
      <c r="C1109">
        <f>IF(ISBLANK('ENGAGEMENTS 2026'!B1109),"",'ENGAGEMENTS 2026'!D1109)</f>
        <v/>
      </c>
      <c r="D1109">
        <f>IF(ISBLANK('ENGAGEMENTS 2026'!B1109),"",'ENGAGEMENTS 2026'!F1109)</f>
        <v/>
      </c>
      <c r="E1109">
        <f>IF(ISBLANK('ENGAGEMENTS 2026'!B1109),"",'ENGAGEMENTS 2026'!H1109)</f>
        <v/>
      </c>
      <c r="F1109">
        <f>IF(ISBLANK('ENGAGEMENTS 2026'!B1109),"",'ENGAGEMENTS 2026'!I1109)</f>
        <v/>
      </c>
      <c r="G1109">
        <f>IF(ISBLANK('ENGAGEMENTS 2026'!B1109),"",'ENGAGEMENTS 2026'!L1109)</f>
        <v/>
      </c>
      <c r="H1109">
        <f>IF(ISBLANK('ENGAGEMENTS 2026'!B1109),"",'ENGAGEMENTS 2026'!AE1109)</f>
        <v/>
      </c>
      <c r="I1109">
        <f>IF(ISBLANK('ENGAGEMENTS 2026'!B1109),"",'ENGAGEMENTS 2026'!G1109)</f>
        <v/>
      </c>
      <c r="J1109" s="275">
        <f>IF(ISBLANK('ENGAGEMENTS 2026'!B1109),"",IF(AND(OR($E1109="INFRUCTUEUX",$E1109="ANNULE"),$C1109="AOO-M"),'ENGAGEMENTS 2026'!O1109,IF($H1109="EN COURS DE PREENGAGEMENT",'ENGAGEMENTS 2026'!N1109,IF($H1109="PREENGAGE",IF($E1109="ATTRIBUE",'ENGAGEMENTS 2026'!AD1109,'ENGAGEMENTS 2026'!N1109),'ENGAGEMENTS 2026'!AD1109))))</f>
        <v/>
      </c>
      <c r="K1109" s="604">
        <f>IF(ISBLANK('ENGAGEMENTS 2026'!V1109),"",'ENGAGEMENTS 2026'!V1109)</f>
        <v/>
      </c>
      <c r="L1109" s="276">
        <f>IF($K1109="","",TODAY()-$K1109)</f>
        <v/>
      </c>
      <c r="M1109">
        <f>IF($A1109="","",IF($H1109="ENGAGE","Engagé",IF(AND($H1109="NON ENGAGE",OR($I1109="INFRUCTUEUX",$I1109="ANNULE")),"Clôturé sans suite","En cours")))</f>
        <v/>
      </c>
      <c r="N1109">
        <f>IF(ISBLANK('ENGAGEMENTS 2026'!B1109),"",'ENGAGEMENTS 2026'!K1109)</f>
        <v/>
      </c>
      <c r="O1109">
        <f>IF(ISBLANK('ENGAGEMENTS 2026'!B1109),"",'ENGAGEMENTS 2026'!L1109)</f>
        <v/>
      </c>
      <c r="P1109">
        <f>IF(ISBLANK('ENGAGEMENTS 2026'!B1109),"",'ENGAGEMENTS 2026'!J1109)</f>
        <v/>
      </c>
      <c r="Q1109">
        <f>IF($A1109="","",IF(OR($E1109="INFRUCTUEUX",$E1109="ANNULE"),$A1109&amp;"|"&amp;(COUNTIFS($A$2:$A1109,$A1109,$E$2:$E1109,"INFRUCTUEUX")+COUNTIFS($A$2:$A1109,$A1109,$E$2:$E1109,"ANNULE")),""))</f>
        <v/>
      </c>
    </row>
    <row r="1110">
      <c r="A1110">
        <f>IF(ISBLANK('ENGAGEMENTS 2026'!B1110),"",IF('ENGAGEMENTS 2026'!B1110="DTSI","DCT",'ENGAGEMENTS 2026'!B1110))</f>
        <v/>
      </c>
      <c r="B1110">
        <f>IF(ISBLANK('ENGAGEMENTS 2026'!B1110),"",'ENGAGEMENTS 2026'!C1110)</f>
        <v/>
      </c>
      <c r="C1110">
        <f>IF(ISBLANK('ENGAGEMENTS 2026'!B1110),"",'ENGAGEMENTS 2026'!D1110)</f>
        <v/>
      </c>
      <c r="D1110">
        <f>IF(ISBLANK('ENGAGEMENTS 2026'!B1110),"",'ENGAGEMENTS 2026'!F1110)</f>
        <v/>
      </c>
      <c r="E1110">
        <f>IF(ISBLANK('ENGAGEMENTS 2026'!B1110),"",'ENGAGEMENTS 2026'!H1110)</f>
        <v/>
      </c>
      <c r="F1110">
        <f>IF(ISBLANK('ENGAGEMENTS 2026'!B1110),"",'ENGAGEMENTS 2026'!I1110)</f>
        <v/>
      </c>
      <c r="G1110">
        <f>IF(ISBLANK('ENGAGEMENTS 2026'!B1110),"",'ENGAGEMENTS 2026'!L1110)</f>
        <v/>
      </c>
      <c r="H1110">
        <f>IF(ISBLANK('ENGAGEMENTS 2026'!B1110),"",'ENGAGEMENTS 2026'!AE1110)</f>
        <v/>
      </c>
      <c r="I1110">
        <f>IF(ISBLANK('ENGAGEMENTS 2026'!B1110),"",'ENGAGEMENTS 2026'!G1110)</f>
        <v/>
      </c>
      <c r="J1110" s="275">
        <f>IF(ISBLANK('ENGAGEMENTS 2026'!B1110),"",IF(AND(OR($E1110="INFRUCTUEUX",$E1110="ANNULE"),$C1110="AOO-M"),'ENGAGEMENTS 2026'!O1110,IF($H1110="EN COURS DE PREENGAGEMENT",'ENGAGEMENTS 2026'!N1110,IF($H1110="PREENGAGE",IF($E1110="ATTRIBUE",'ENGAGEMENTS 2026'!AD1110,'ENGAGEMENTS 2026'!N1110),'ENGAGEMENTS 2026'!AD1110))))</f>
        <v/>
      </c>
      <c r="K1110" s="604">
        <f>IF(ISBLANK('ENGAGEMENTS 2026'!V1110),"",'ENGAGEMENTS 2026'!V1110)</f>
        <v/>
      </c>
      <c r="L1110" s="276">
        <f>IF($K1110="","",TODAY()-$K1110)</f>
        <v/>
      </c>
      <c r="M1110">
        <f>IF($A1110="","",IF($H1110="ENGAGE","Engagé",IF(AND($H1110="NON ENGAGE",OR($I1110="INFRUCTUEUX",$I1110="ANNULE")),"Clôturé sans suite","En cours")))</f>
        <v/>
      </c>
      <c r="N1110">
        <f>IF(ISBLANK('ENGAGEMENTS 2026'!B1110),"",'ENGAGEMENTS 2026'!K1110)</f>
        <v/>
      </c>
      <c r="O1110">
        <f>IF(ISBLANK('ENGAGEMENTS 2026'!B1110),"",'ENGAGEMENTS 2026'!L1110)</f>
        <v/>
      </c>
      <c r="P1110">
        <f>IF(ISBLANK('ENGAGEMENTS 2026'!B1110),"",'ENGAGEMENTS 2026'!J1110)</f>
        <v/>
      </c>
      <c r="Q1110">
        <f>IF($A1110="","",IF(OR($E1110="INFRUCTUEUX",$E1110="ANNULE"),$A1110&amp;"|"&amp;(COUNTIFS($A$2:$A1110,$A1110,$E$2:$E1110,"INFRUCTUEUX")+COUNTIFS($A$2:$A1110,$A1110,$E$2:$E1110,"ANNULE")),""))</f>
        <v/>
      </c>
    </row>
    <row r="1111">
      <c r="A1111">
        <f>IF(ISBLANK('ENGAGEMENTS 2026'!B1111),"",IF('ENGAGEMENTS 2026'!B1111="DTSI","DCT",'ENGAGEMENTS 2026'!B1111))</f>
        <v/>
      </c>
      <c r="B1111">
        <f>IF(ISBLANK('ENGAGEMENTS 2026'!B1111),"",'ENGAGEMENTS 2026'!C1111)</f>
        <v/>
      </c>
      <c r="C1111">
        <f>IF(ISBLANK('ENGAGEMENTS 2026'!B1111),"",'ENGAGEMENTS 2026'!D1111)</f>
        <v/>
      </c>
      <c r="D1111">
        <f>IF(ISBLANK('ENGAGEMENTS 2026'!B1111),"",'ENGAGEMENTS 2026'!F1111)</f>
        <v/>
      </c>
      <c r="E1111">
        <f>IF(ISBLANK('ENGAGEMENTS 2026'!B1111),"",'ENGAGEMENTS 2026'!H1111)</f>
        <v/>
      </c>
      <c r="F1111">
        <f>IF(ISBLANK('ENGAGEMENTS 2026'!B1111),"",'ENGAGEMENTS 2026'!I1111)</f>
        <v/>
      </c>
      <c r="G1111">
        <f>IF(ISBLANK('ENGAGEMENTS 2026'!B1111),"",'ENGAGEMENTS 2026'!L1111)</f>
        <v/>
      </c>
      <c r="H1111">
        <f>IF(ISBLANK('ENGAGEMENTS 2026'!B1111),"",'ENGAGEMENTS 2026'!AE1111)</f>
        <v/>
      </c>
      <c r="I1111">
        <f>IF(ISBLANK('ENGAGEMENTS 2026'!B1111),"",'ENGAGEMENTS 2026'!G1111)</f>
        <v/>
      </c>
      <c r="J1111" s="275">
        <f>IF(ISBLANK('ENGAGEMENTS 2026'!B1111),"",IF(AND(OR($E1111="INFRUCTUEUX",$E1111="ANNULE"),$C1111="AOO-M"),'ENGAGEMENTS 2026'!O1111,IF($H1111="EN COURS DE PREENGAGEMENT",'ENGAGEMENTS 2026'!N1111,IF($H1111="PREENGAGE",IF($E1111="ATTRIBUE",'ENGAGEMENTS 2026'!AD1111,'ENGAGEMENTS 2026'!N1111),'ENGAGEMENTS 2026'!AD1111))))</f>
        <v/>
      </c>
      <c r="K1111" s="604">
        <f>IF(ISBLANK('ENGAGEMENTS 2026'!V1111),"",'ENGAGEMENTS 2026'!V1111)</f>
        <v/>
      </c>
      <c r="L1111" s="276">
        <f>IF($K1111="","",TODAY()-$K1111)</f>
        <v/>
      </c>
      <c r="M1111">
        <f>IF($A1111="","",IF($H1111="ENGAGE","Engagé",IF(AND($H1111="NON ENGAGE",OR($I1111="INFRUCTUEUX",$I1111="ANNULE")),"Clôturé sans suite","En cours")))</f>
        <v/>
      </c>
      <c r="N1111">
        <f>IF(ISBLANK('ENGAGEMENTS 2026'!B1111),"",'ENGAGEMENTS 2026'!K1111)</f>
        <v/>
      </c>
      <c r="O1111">
        <f>IF(ISBLANK('ENGAGEMENTS 2026'!B1111),"",'ENGAGEMENTS 2026'!L1111)</f>
        <v/>
      </c>
      <c r="P1111">
        <f>IF(ISBLANK('ENGAGEMENTS 2026'!B1111),"",'ENGAGEMENTS 2026'!J1111)</f>
        <v/>
      </c>
      <c r="Q1111">
        <f>IF($A1111="","",IF(OR($E1111="INFRUCTUEUX",$E1111="ANNULE"),$A1111&amp;"|"&amp;(COUNTIFS($A$2:$A1111,$A1111,$E$2:$E1111,"INFRUCTUEUX")+COUNTIFS($A$2:$A1111,$A1111,$E$2:$E1111,"ANNULE")),""))</f>
        <v/>
      </c>
    </row>
    <row r="1112">
      <c r="A1112">
        <f>IF(ISBLANK('ENGAGEMENTS 2026'!B1112),"",IF('ENGAGEMENTS 2026'!B1112="DTSI","DCT",'ENGAGEMENTS 2026'!B1112))</f>
        <v/>
      </c>
      <c r="B1112">
        <f>IF(ISBLANK('ENGAGEMENTS 2026'!B1112),"",'ENGAGEMENTS 2026'!C1112)</f>
        <v/>
      </c>
      <c r="C1112">
        <f>IF(ISBLANK('ENGAGEMENTS 2026'!B1112),"",'ENGAGEMENTS 2026'!D1112)</f>
        <v/>
      </c>
      <c r="D1112">
        <f>IF(ISBLANK('ENGAGEMENTS 2026'!B1112),"",'ENGAGEMENTS 2026'!F1112)</f>
        <v/>
      </c>
      <c r="E1112">
        <f>IF(ISBLANK('ENGAGEMENTS 2026'!B1112),"",'ENGAGEMENTS 2026'!H1112)</f>
        <v/>
      </c>
      <c r="F1112">
        <f>IF(ISBLANK('ENGAGEMENTS 2026'!B1112),"",'ENGAGEMENTS 2026'!I1112)</f>
        <v/>
      </c>
      <c r="G1112">
        <f>IF(ISBLANK('ENGAGEMENTS 2026'!B1112),"",'ENGAGEMENTS 2026'!L1112)</f>
        <v/>
      </c>
      <c r="H1112">
        <f>IF(ISBLANK('ENGAGEMENTS 2026'!B1112),"",'ENGAGEMENTS 2026'!AE1112)</f>
        <v/>
      </c>
      <c r="I1112">
        <f>IF(ISBLANK('ENGAGEMENTS 2026'!B1112),"",'ENGAGEMENTS 2026'!G1112)</f>
        <v/>
      </c>
      <c r="J1112" s="275">
        <f>IF(ISBLANK('ENGAGEMENTS 2026'!B1112),"",IF(AND(OR($E1112="INFRUCTUEUX",$E1112="ANNULE"),$C1112="AOO-M"),'ENGAGEMENTS 2026'!O1112,IF($H1112="EN COURS DE PREENGAGEMENT",'ENGAGEMENTS 2026'!N1112,IF($H1112="PREENGAGE",IF($E1112="ATTRIBUE",'ENGAGEMENTS 2026'!AD1112,'ENGAGEMENTS 2026'!N1112),'ENGAGEMENTS 2026'!AD1112))))</f>
        <v/>
      </c>
      <c r="K1112" s="604">
        <f>IF(ISBLANK('ENGAGEMENTS 2026'!V1112),"",'ENGAGEMENTS 2026'!V1112)</f>
        <v/>
      </c>
      <c r="L1112" s="276">
        <f>IF($K1112="","",TODAY()-$K1112)</f>
        <v/>
      </c>
      <c r="M1112">
        <f>IF($A1112="","",IF($H1112="ENGAGE","Engagé",IF(AND($H1112="NON ENGAGE",OR($I1112="INFRUCTUEUX",$I1112="ANNULE")),"Clôturé sans suite","En cours")))</f>
        <v/>
      </c>
      <c r="N1112">
        <f>IF(ISBLANK('ENGAGEMENTS 2026'!B1112),"",'ENGAGEMENTS 2026'!K1112)</f>
        <v/>
      </c>
      <c r="O1112">
        <f>IF(ISBLANK('ENGAGEMENTS 2026'!B1112),"",'ENGAGEMENTS 2026'!L1112)</f>
        <v/>
      </c>
      <c r="P1112">
        <f>IF(ISBLANK('ENGAGEMENTS 2026'!B1112),"",'ENGAGEMENTS 2026'!J1112)</f>
        <v/>
      </c>
      <c r="Q1112">
        <f>IF($A1112="","",IF(OR($E1112="INFRUCTUEUX",$E1112="ANNULE"),$A1112&amp;"|"&amp;(COUNTIFS($A$2:$A1112,$A1112,$E$2:$E1112,"INFRUCTUEUX")+COUNTIFS($A$2:$A1112,$A1112,$E$2:$E1112,"ANNULE")),""))</f>
        <v/>
      </c>
    </row>
    <row r="1113">
      <c r="A1113">
        <f>IF(ISBLANK('ENGAGEMENTS 2026'!B1113),"",IF('ENGAGEMENTS 2026'!B1113="DTSI","DCT",'ENGAGEMENTS 2026'!B1113))</f>
        <v/>
      </c>
      <c r="B1113">
        <f>IF(ISBLANK('ENGAGEMENTS 2026'!B1113),"",'ENGAGEMENTS 2026'!C1113)</f>
        <v/>
      </c>
      <c r="C1113">
        <f>IF(ISBLANK('ENGAGEMENTS 2026'!B1113),"",'ENGAGEMENTS 2026'!D1113)</f>
        <v/>
      </c>
      <c r="D1113">
        <f>IF(ISBLANK('ENGAGEMENTS 2026'!B1113),"",'ENGAGEMENTS 2026'!F1113)</f>
        <v/>
      </c>
      <c r="E1113">
        <f>IF(ISBLANK('ENGAGEMENTS 2026'!B1113),"",'ENGAGEMENTS 2026'!H1113)</f>
        <v/>
      </c>
      <c r="F1113">
        <f>IF(ISBLANK('ENGAGEMENTS 2026'!B1113),"",'ENGAGEMENTS 2026'!I1113)</f>
        <v/>
      </c>
      <c r="G1113">
        <f>IF(ISBLANK('ENGAGEMENTS 2026'!B1113),"",'ENGAGEMENTS 2026'!L1113)</f>
        <v/>
      </c>
      <c r="H1113">
        <f>IF(ISBLANK('ENGAGEMENTS 2026'!B1113),"",'ENGAGEMENTS 2026'!AE1113)</f>
        <v/>
      </c>
      <c r="I1113">
        <f>IF(ISBLANK('ENGAGEMENTS 2026'!B1113),"",'ENGAGEMENTS 2026'!G1113)</f>
        <v/>
      </c>
      <c r="J1113" s="275">
        <f>IF(ISBLANK('ENGAGEMENTS 2026'!B1113),"",IF(AND(OR($E1113="INFRUCTUEUX",$E1113="ANNULE"),$C1113="AOO-M"),'ENGAGEMENTS 2026'!O1113,IF($H1113="EN COURS DE PREENGAGEMENT",'ENGAGEMENTS 2026'!N1113,IF($H1113="PREENGAGE",IF($E1113="ATTRIBUE",'ENGAGEMENTS 2026'!AD1113,'ENGAGEMENTS 2026'!N1113),'ENGAGEMENTS 2026'!AD1113))))</f>
        <v/>
      </c>
      <c r="K1113" s="604">
        <f>IF(ISBLANK('ENGAGEMENTS 2026'!V1113),"",'ENGAGEMENTS 2026'!V1113)</f>
        <v/>
      </c>
      <c r="L1113" s="276">
        <f>IF($K1113="","",TODAY()-$K1113)</f>
        <v/>
      </c>
      <c r="M1113">
        <f>IF($A1113="","",IF($H1113="ENGAGE","Engagé",IF(AND($H1113="NON ENGAGE",OR($I1113="INFRUCTUEUX",$I1113="ANNULE")),"Clôturé sans suite","En cours")))</f>
        <v/>
      </c>
      <c r="N1113">
        <f>IF(ISBLANK('ENGAGEMENTS 2026'!B1113),"",'ENGAGEMENTS 2026'!K1113)</f>
        <v/>
      </c>
      <c r="O1113">
        <f>IF(ISBLANK('ENGAGEMENTS 2026'!B1113),"",'ENGAGEMENTS 2026'!L1113)</f>
        <v/>
      </c>
      <c r="P1113">
        <f>IF(ISBLANK('ENGAGEMENTS 2026'!B1113),"",'ENGAGEMENTS 2026'!J1113)</f>
        <v/>
      </c>
      <c r="Q1113">
        <f>IF($A1113="","",IF(OR($E1113="INFRUCTUEUX",$E1113="ANNULE"),$A1113&amp;"|"&amp;(COUNTIFS($A$2:$A1113,$A1113,$E$2:$E1113,"INFRUCTUEUX")+COUNTIFS($A$2:$A1113,$A1113,$E$2:$E1113,"ANNULE")),""))</f>
        <v/>
      </c>
    </row>
    <row r="1114">
      <c r="A1114">
        <f>IF(ISBLANK('ENGAGEMENTS 2026'!B1114),"",IF('ENGAGEMENTS 2026'!B1114="DTSI","DCT",'ENGAGEMENTS 2026'!B1114))</f>
        <v/>
      </c>
      <c r="B1114">
        <f>IF(ISBLANK('ENGAGEMENTS 2026'!B1114),"",'ENGAGEMENTS 2026'!C1114)</f>
        <v/>
      </c>
      <c r="C1114">
        <f>IF(ISBLANK('ENGAGEMENTS 2026'!B1114),"",'ENGAGEMENTS 2026'!D1114)</f>
        <v/>
      </c>
      <c r="D1114">
        <f>IF(ISBLANK('ENGAGEMENTS 2026'!B1114),"",'ENGAGEMENTS 2026'!F1114)</f>
        <v/>
      </c>
      <c r="E1114">
        <f>IF(ISBLANK('ENGAGEMENTS 2026'!B1114),"",'ENGAGEMENTS 2026'!H1114)</f>
        <v/>
      </c>
      <c r="F1114">
        <f>IF(ISBLANK('ENGAGEMENTS 2026'!B1114),"",'ENGAGEMENTS 2026'!I1114)</f>
        <v/>
      </c>
      <c r="G1114">
        <f>IF(ISBLANK('ENGAGEMENTS 2026'!B1114),"",'ENGAGEMENTS 2026'!L1114)</f>
        <v/>
      </c>
      <c r="H1114">
        <f>IF(ISBLANK('ENGAGEMENTS 2026'!B1114),"",'ENGAGEMENTS 2026'!AE1114)</f>
        <v/>
      </c>
      <c r="I1114">
        <f>IF(ISBLANK('ENGAGEMENTS 2026'!B1114),"",'ENGAGEMENTS 2026'!G1114)</f>
        <v/>
      </c>
      <c r="J1114" s="275">
        <f>IF(ISBLANK('ENGAGEMENTS 2026'!B1114),"",IF(AND(OR($E1114="INFRUCTUEUX",$E1114="ANNULE"),$C1114="AOO-M"),'ENGAGEMENTS 2026'!O1114,IF($H1114="EN COURS DE PREENGAGEMENT",'ENGAGEMENTS 2026'!N1114,IF($H1114="PREENGAGE",IF($E1114="ATTRIBUE",'ENGAGEMENTS 2026'!AD1114,'ENGAGEMENTS 2026'!N1114),'ENGAGEMENTS 2026'!AD1114))))</f>
        <v/>
      </c>
      <c r="K1114" s="604">
        <f>IF(ISBLANK('ENGAGEMENTS 2026'!V1114),"",'ENGAGEMENTS 2026'!V1114)</f>
        <v/>
      </c>
      <c r="L1114" s="276">
        <f>IF($K1114="","",TODAY()-$K1114)</f>
        <v/>
      </c>
      <c r="M1114">
        <f>IF($A1114="","",IF($H1114="ENGAGE","Engagé",IF(AND($H1114="NON ENGAGE",OR($I1114="INFRUCTUEUX",$I1114="ANNULE")),"Clôturé sans suite","En cours")))</f>
        <v/>
      </c>
      <c r="N1114">
        <f>IF(ISBLANK('ENGAGEMENTS 2026'!B1114),"",'ENGAGEMENTS 2026'!K1114)</f>
        <v/>
      </c>
      <c r="O1114">
        <f>IF(ISBLANK('ENGAGEMENTS 2026'!B1114),"",'ENGAGEMENTS 2026'!L1114)</f>
        <v/>
      </c>
      <c r="P1114">
        <f>IF(ISBLANK('ENGAGEMENTS 2026'!B1114),"",'ENGAGEMENTS 2026'!J1114)</f>
        <v/>
      </c>
      <c r="Q1114">
        <f>IF($A1114="","",IF(OR($E1114="INFRUCTUEUX",$E1114="ANNULE"),$A1114&amp;"|"&amp;(COUNTIFS($A$2:$A1114,$A1114,$E$2:$E1114,"INFRUCTUEUX")+COUNTIFS($A$2:$A1114,$A1114,$E$2:$E1114,"ANNULE")),""))</f>
        <v/>
      </c>
    </row>
    <row r="1115">
      <c r="A1115">
        <f>IF(ISBLANK('ENGAGEMENTS 2026'!B1115),"",IF('ENGAGEMENTS 2026'!B1115="DTSI","DCT",'ENGAGEMENTS 2026'!B1115))</f>
        <v/>
      </c>
      <c r="B1115">
        <f>IF(ISBLANK('ENGAGEMENTS 2026'!B1115),"",'ENGAGEMENTS 2026'!C1115)</f>
        <v/>
      </c>
      <c r="C1115">
        <f>IF(ISBLANK('ENGAGEMENTS 2026'!B1115),"",'ENGAGEMENTS 2026'!D1115)</f>
        <v/>
      </c>
      <c r="D1115">
        <f>IF(ISBLANK('ENGAGEMENTS 2026'!B1115),"",'ENGAGEMENTS 2026'!F1115)</f>
        <v/>
      </c>
      <c r="E1115">
        <f>IF(ISBLANK('ENGAGEMENTS 2026'!B1115),"",'ENGAGEMENTS 2026'!H1115)</f>
        <v/>
      </c>
      <c r="F1115">
        <f>IF(ISBLANK('ENGAGEMENTS 2026'!B1115),"",'ENGAGEMENTS 2026'!I1115)</f>
        <v/>
      </c>
      <c r="G1115">
        <f>IF(ISBLANK('ENGAGEMENTS 2026'!B1115),"",'ENGAGEMENTS 2026'!L1115)</f>
        <v/>
      </c>
      <c r="H1115">
        <f>IF(ISBLANK('ENGAGEMENTS 2026'!B1115),"",'ENGAGEMENTS 2026'!AE1115)</f>
        <v/>
      </c>
      <c r="I1115">
        <f>IF(ISBLANK('ENGAGEMENTS 2026'!B1115),"",'ENGAGEMENTS 2026'!G1115)</f>
        <v/>
      </c>
      <c r="J1115" s="275">
        <f>IF(ISBLANK('ENGAGEMENTS 2026'!B1115),"",IF(AND(OR($E1115="INFRUCTUEUX",$E1115="ANNULE"),$C1115="AOO-M"),'ENGAGEMENTS 2026'!O1115,IF($H1115="EN COURS DE PREENGAGEMENT",'ENGAGEMENTS 2026'!N1115,IF($H1115="PREENGAGE",IF($E1115="ATTRIBUE",'ENGAGEMENTS 2026'!AD1115,'ENGAGEMENTS 2026'!N1115),'ENGAGEMENTS 2026'!AD1115))))</f>
        <v/>
      </c>
      <c r="K1115" s="604">
        <f>IF(ISBLANK('ENGAGEMENTS 2026'!V1115),"",'ENGAGEMENTS 2026'!V1115)</f>
        <v/>
      </c>
      <c r="L1115" s="276">
        <f>IF($K1115="","",TODAY()-$K1115)</f>
        <v/>
      </c>
      <c r="M1115">
        <f>IF($A1115="","",IF($H1115="ENGAGE","Engagé",IF(AND($H1115="NON ENGAGE",OR($I1115="INFRUCTUEUX",$I1115="ANNULE")),"Clôturé sans suite","En cours")))</f>
        <v/>
      </c>
      <c r="N1115">
        <f>IF(ISBLANK('ENGAGEMENTS 2026'!B1115),"",'ENGAGEMENTS 2026'!K1115)</f>
        <v/>
      </c>
      <c r="O1115">
        <f>IF(ISBLANK('ENGAGEMENTS 2026'!B1115),"",'ENGAGEMENTS 2026'!L1115)</f>
        <v/>
      </c>
      <c r="P1115">
        <f>IF(ISBLANK('ENGAGEMENTS 2026'!B1115),"",'ENGAGEMENTS 2026'!J1115)</f>
        <v/>
      </c>
      <c r="Q1115">
        <f>IF($A1115="","",IF(OR($E1115="INFRUCTUEUX",$E1115="ANNULE"),$A1115&amp;"|"&amp;(COUNTIFS($A$2:$A1115,$A1115,$E$2:$E1115,"INFRUCTUEUX")+COUNTIFS($A$2:$A1115,$A1115,$E$2:$E1115,"ANNULE")),""))</f>
        <v/>
      </c>
    </row>
    <row r="1116">
      <c r="A1116">
        <f>IF(ISBLANK('ENGAGEMENTS 2026'!B1116),"",IF('ENGAGEMENTS 2026'!B1116="DTSI","DCT",'ENGAGEMENTS 2026'!B1116))</f>
        <v/>
      </c>
      <c r="B1116">
        <f>IF(ISBLANK('ENGAGEMENTS 2026'!B1116),"",'ENGAGEMENTS 2026'!C1116)</f>
        <v/>
      </c>
      <c r="C1116">
        <f>IF(ISBLANK('ENGAGEMENTS 2026'!B1116),"",'ENGAGEMENTS 2026'!D1116)</f>
        <v/>
      </c>
      <c r="D1116">
        <f>IF(ISBLANK('ENGAGEMENTS 2026'!B1116),"",'ENGAGEMENTS 2026'!F1116)</f>
        <v/>
      </c>
      <c r="E1116">
        <f>IF(ISBLANK('ENGAGEMENTS 2026'!B1116),"",'ENGAGEMENTS 2026'!H1116)</f>
        <v/>
      </c>
      <c r="F1116">
        <f>IF(ISBLANK('ENGAGEMENTS 2026'!B1116),"",'ENGAGEMENTS 2026'!I1116)</f>
        <v/>
      </c>
      <c r="G1116">
        <f>IF(ISBLANK('ENGAGEMENTS 2026'!B1116),"",'ENGAGEMENTS 2026'!L1116)</f>
        <v/>
      </c>
      <c r="H1116">
        <f>IF(ISBLANK('ENGAGEMENTS 2026'!B1116),"",'ENGAGEMENTS 2026'!AE1116)</f>
        <v/>
      </c>
      <c r="I1116">
        <f>IF(ISBLANK('ENGAGEMENTS 2026'!B1116),"",'ENGAGEMENTS 2026'!G1116)</f>
        <v/>
      </c>
      <c r="J1116" s="275">
        <f>IF(ISBLANK('ENGAGEMENTS 2026'!B1116),"",IF(AND(OR($E1116="INFRUCTUEUX",$E1116="ANNULE"),$C1116="AOO-M"),'ENGAGEMENTS 2026'!O1116,IF($H1116="EN COURS DE PREENGAGEMENT",'ENGAGEMENTS 2026'!N1116,IF($H1116="PREENGAGE",IF($E1116="ATTRIBUE",'ENGAGEMENTS 2026'!AD1116,'ENGAGEMENTS 2026'!N1116),'ENGAGEMENTS 2026'!AD1116))))</f>
        <v/>
      </c>
      <c r="K1116" s="604">
        <f>IF(ISBLANK('ENGAGEMENTS 2026'!V1116),"",'ENGAGEMENTS 2026'!V1116)</f>
        <v/>
      </c>
      <c r="L1116" s="276">
        <f>IF($K1116="","",TODAY()-$K1116)</f>
        <v/>
      </c>
      <c r="M1116">
        <f>IF($A1116="","",IF($H1116="ENGAGE","Engagé",IF(AND($H1116="NON ENGAGE",OR($I1116="INFRUCTUEUX",$I1116="ANNULE")),"Clôturé sans suite","En cours")))</f>
        <v/>
      </c>
      <c r="N1116">
        <f>IF(ISBLANK('ENGAGEMENTS 2026'!B1116),"",'ENGAGEMENTS 2026'!K1116)</f>
        <v/>
      </c>
      <c r="O1116">
        <f>IF(ISBLANK('ENGAGEMENTS 2026'!B1116),"",'ENGAGEMENTS 2026'!L1116)</f>
        <v/>
      </c>
      <c r="P1116">
        <f>IF(ISBLANK('ENGAGEMENTS 2026'!B1116),"",'ENGAGEMENTS 2026'!J1116)</f>
        <v/>
      </c>
      <c r="Q1116">
        <f>IF($A1116="","",IF(OR($E1116="INFRUCTUEUX",$E1116="ANNULE"),$A1116&amp;"|"&amp;(COUNTIFS($A$2:$A1116,$A1116,$E$2:$E1116,"INFRUCTUEUX")+COUNTIFS($A$2:$A1116,$A1116,$E$2:$E1116,"ANNULE")),""))</f>
        <v/>
      </c>
    </row>
    <row r="1117">
      <c r="A1117">
        <f>IF(ISBLANK('ENGAGEMENTS 2026'!B1117),"",IF('ENGAGEMENTS 2026'!B1117="DTSI","DCT",'ENGAGEMENTS 2026'!B1117))</f>
        <v/>
      </c>
      <c r="B1117">
        <f>IF(ISBLANK('ENGAGEMENTS 2026'!B1117),"",'ENGAGEMENTS 2026'!C1117)</f>
        <v/>
      </c>
      <c r="C1117">
        <f>IF(ISBLANK('ENGAGEMENTS 2026'!B1117),"",'ENGAGEMENTS 2026'!D1117)</f>
        <v/>
      </c>
      <c r="D1117">
        <f>IF(ISBLANK('ENGAGEMENTS 2026'!B1117),"",'ENGAGEMENTS 2026'!F1117)</f>
        <v/>
      </c>
      <c r="E1117">
        <f>IF(ISBLANK('ENGAGEMENTS 2026'!B1117),"",'ENGAGEMENTS 2026'!H1117)</f>
        <v/>
      </c>
      <c r="F1117">
        <f>IF(ISBLANK('ENGAGEMENTS 2026'!B1117),"",'ENGAGEMENTS 2026'!I1117)</f>
        <v/>
      </c>
      <c r="G1117">
        <f>IF(ISBLANK('ENGAGEMENTS 2026'!B1117),"",'ENGAGEMENTS 2026'!L1117)</f>
        <v/>
      </c>
      <c r="H1117">
        <f>IF(ISBLANK('ENGAGEMENTS 2026'!B1117),"",'ENGAGEMENTS 2026'!AE1117)</f>
        <v/>
      </c>
      <c r="I1117">
        <f>IF(ISBLANK('ENGAGEMENTS 2026'!B1117),"",'ENGAGEMENTS 2026'!G1117)</f>
        <v/>
      </c>
      <c r="J1117" s="275">
        <f>IF(ISBLANK('ENGAGEMENTS 2026'!B1117),"",IF(AND(OR($E1117="INFRUCTUEUX",$E1117="ANNULE"),$C1117="AOO-M"),'ENGAGEMENTS 2026'!O1117,IF($H1117="EN COURS DE PREENGAGEMENT",'ENGAGEMENTS 2026'!N1117,IF($H1117="PREENGAGE",IF($E1117="ATTRIBUE",'ENGAGEMENTS 2026'!AD1117,'ENGAGEMENTS 2026'!N1117),'ENGAGEMENTS 2026'!AD1117))))</f>
        <v/>
      </c>
      <c r="K1117" s="604">
        <f>IF(ISBLANK('ENGAGEMENTS 2026'!V1117),"",'ENGAGEMENTS 2026'!V1117)</f>
        <v/>
      </c>
      <c r="L1117" s="276">
        <f>IF($K1117="","",TODAY()-$K1117)</f>
        <v/>
      </c>
      <c r="M1117">
        <f>IF($A1117="","",IF($H1117="ENGAGE","Engagé",IF(AND($H1117="NON ENGAGE",OR($I1117="INFRUCTUEUX",$I1117="ANNULE")),"Clôturé sans suite","En cours")))</f>
        <v/>
      </c>
      <c r="N1117">
        <f>IF(ISBLANK('ENGAGEMENTS 2026'!B1117),"",'ENGAGEMENTS 2026'!K1117)</f>
        <v/>
      </c>
      <c r="O1117">
        <f>IF(ISBLANK('ENGAGEMENTS 2026'!B1117),"",'ENGAGEMENTS 2026'!L1117)</f>
        <v/>
      </c>
      <c r="P1117">
        <f>IF(ISBLANK('ENGAGEMENTS 2026'!B1117),"",'ENGAGEMENTS 2026'!J1117)</f>
        <v/>
      </c>
      <c r="Q1117">
        <f>IF($A1117="","",IF(OR($E1117="INFRUCTUEUX",$E1117="ANNULE"),$A1117&amp;"|"&amp;(COUNTIFS($A$2:$A1117,$A1117,$E$2:$E1117,"INFRUCTUEUX")+COUNTIFS($A$2:$A1117,$A1117,$E$2:$E1117,"ANNULE")),""))</f>
        <v/>
      </c>
    </row>
    <row r="1118">
      <c r="A1118">
        <f>IF(ISBLANK('ENGAGEMENTS 2026'!B1118),"",IF('ENGAGEMENTS 2026'!B1118="DTSI","DCT",'ENGAGEMENTS 2026'!B1118))</f>
        <v/>
      </c>
      <c r="B1118">
        <f>IF(ISBLANK('ENGAGEMENTS 2026'!B1118),"",'ENGAGEMENTS 2026'!C1118)</f>
        <v/>
      </c>
      <c r="C1118">
        <f>IF(ISBLANK('ENGAGEMENTS 2026'!B1118),"",'ENGAGEMENTS 2026'!D1118)</f>
        <v/>
      </c>
      <c r="D1118">
        <f>IF(ISBLANK('ENGAGEMENTS 2026'!B1118),"",'ENGAGEMENTS 2026'!F1118)</f>
        <v/>
      </c>
      <c r="E1118">
        <f>IF(ISBLANK('ENGAGEMENTS 2026'!B1118),"",'ENGAGEMENTS 2026'!H1118)</f>
        <v/>
      </c>
      <c r="F1118">
        <f>IF(ISBLANK('ENGAGEMENTS 2026'!B1118),"",'ENGAGEMENTS 2026'!I1118)</f>
        <v/>
      </c>
      <c r="G1118">
        <f>IF(ISBLANK('ENGAGEMENTS 2026'!B1118),"",'ENGAGEMENTS 2026'!L1118)</f>
        <v/>
      </c>
      <c r="H1118">
        <f>IF(ISBLANK('ENGAGEMENTS 2026'!B1118),"",'ENGAGEMENTS 2026'!AE1118)</f>
        <v/>
      </c>
      <c r="I1118">
        <f>IF(ISBLANK('ENGAGEMENTS 2026'!B1118),"",'ENGAGEMENTS 2026'!G1118)</f>
        <v/>
      </c>
      <c r="J1118" s="275">
        <f>IF(ISBLANK('ENGAGEMENTS 2026'!B1118),"",IF(AND(OR($E1118="INFRUCTUEUX",$E1118="ANNULE"),$C1118="AOO-M"),'ENGAGEMENTS 2026'!O1118,IF($H1118="EN COURS DE PREENGAGEMENT",'ENGAGEMENTS 2026'!N1118,IF($H1118="PREENGAGE",IF($E1118="ATTRIBUE",'ENGAGEMENTS 2026'!AD1118,'ENGAGEMENTS 2026'!N1118),'ENGAGEMENTS 2026'!AD1118))))</f>
        <v/>
      </c>
      <c r="K1118" s="604">
        <f>IF(ISBLANK('ENGAGEMENTS 2026'!V1118),"",'ENGAGEMENTS 2026'!V1118)</f>
        <v/>
      </c>
      <c r="L1118" s="276">
        <f>IF($K1118="","",TODAY()-$K1118)</f>
        <v/>
      </c>
      <c r="M1118">
        <f>IF($A1118="","",IF($H1118="ENGAGE","Engagé",IF(AND($H1118="NON ENGAGE",OR($I1118="INFRUCTUEUX",$I1118="ANNULE")),"Clôturé sans suite","En cours")))</f>
        <v/>
      </c>
      <c r="N1118">
        <f>IF(ISBLANK('ENGAGEMENTS 2026'!B1118),"",'ENGAGEMENTS 2026'!K1118)</f>
        <v/>
      </c>
      <c r="O1118">
        <f>IF(ISBLANK('ENGAGEMENTS 2026'!B1118),"",'ENGAGEMENTS 2026'!L1118)</f>
        <v/>
      </c>
      <c r="P1118">
        <f>IF(ISBLANK('ENGAGEMENTS 2026'!B1118),"",'ENGAGEMENTS 2026'!J1118)</f>
        <v/>
      </c>
      <c r="Q1118">
        <f>IF($A1118="","",IF(OR($E1118="INFRUCTUEUX",$E1118="ANNULE"),$A1118&amp;"|"&amp;(COUNTIFS($A$2:$A1118,$A1118,$E$2:$E1118,"INFRUCTUEUX")+COUNTIFS($A$2:$A1118,$A1118,$E$2:$E1118,"ANNULE")),""))</f>
        <v/>
      </c>
    </row>
    <row r="1119">
      <c r="A1119">
        <f>IF(ISBLANK('ENGAGEMENTS 2026'!B1119),"",IF('ENGAGEMENTS 2026'!B1119="DTSI","DCT",'ENGAGEMENTS 2026'!B1119))</f>
        <v/>
      </c>
      <c r="B1119">
        <f>IF(ISBLANK('ENGAGEMENTS 2026'!B1119),"",'ENGAGEMENTS 2026'!C1119)</f>
        <v/>
      </c>
      <c r="C1119">
        <f>IF(ISBLANK('ENGAGEMENTS 2026'!B1119),"",'ENGAGEMENTS 2026'!D1119)</f>
        <v/>
      </c>
      <c r="D1119">
        <f>IF(ISBLANK('ENGAGEMENTS 2026'!B1119),"",'ENGAGEMENTS 2026'!F1119)</f>
        <v/>
      </c>
      <c r="E1119">
        <f>IF(ISBLANK('ENGAGEMENTS 2026'!B1119),"",'ENGAGEMENTS 2026'!H1119)</f>
        <v/>
      </c>
      <c r="F1119">
        <f>IF(ISBLANK('ENGAGEMENTS 2026'!B1119),"",'ENGAGEMENTS 2026'!I1119)</f>
        <v/>
      </c>
      <c r="G1119">
        <f>IF(ISBLANK('ENGAGEMENTS 2026'!B1119),"",'ENGAGEMENTS 2026'!L1119)</f>
        <v/>
      </c>
      <c r="H1119">
        <f>IF(ISBLANK('ENGAGEMENTS 2026'!B1119),"",'ENGAGEMENTS 2026'!AE1119)</f>
        <v/>
      </c>
      <c r="I1119">
        <f>IF(ISBLANK('ENGAGEMENTS 2026'!B1119),"",'ENGAGEMENTS 2026'!G1119)</f>
        <v/>
      </c>
      <c r="J1119" s="275">
        <f>IF(ISBLANK('ENGAGEMENTS 2026'!B1119),"",IF(AND(OR($E1119="INFRUCTUEUX",$E1119="ANNULE"),$C1119="AOO-M"),'ENGAGEMENTS 2026'!O1119,IF($H1119="EN COURS DE PREENGAGEMENT",'ENGAGEMENTS 2026'!N1119,IF($H1119="PREENGAGE",IF($E1119="ATTRIBUE",'ENGAGEMENTS 2026'!AD1119,'ENGAGEMENTS 2026'!N1119),'ENGAGEMENTS 2026'!AD1119))))</f>
        <v/>
      </c>
      <c r="K1119" s="604">
        <f>IF(ISBLANK('ENGAGEMENTS 2026'!V1119),"",'ENGAGEMENTS 2026'!V1119)</f>
        <v/>
      </c>
      <c r="L1119" s="276">
        <f>IF($K1119="","",TODAY()-$K1119)</f>
        <v/>
      </c>
      <c r="M1119">
        <f>IF($A1119="","",IF($H1119="ENGAGE","Engagé",IF(AND($H1119="NON ENGAGE",OR($I1119="INFRUCTUEUX",$I1119="ANNULE")),"Clôturé sans suite","En cours")))</f>
        <v/>
      </c>
      <c r="N1119">
        <f>IF(ISBLANK('ENGAGEMENTS 2026'!B1119),"",'ENGAGEMENTS 2026'!K1119)</f>
        <v/>
      </c>
      <c r="O1119">
        <f>IF(ISBLANK('ENGAGEMENTS 2026'!B1119),"",'ENGAGEMENTS 2026'!L1119)</f>
        <v/>
      </c>
      <c r="P1119">
        <f>IF(ISBLANK('ENGAGEMENTS 2026'!B1119),"",'ENGAGEMENTS 2026'!J1119)</f>
        <v/>
      </c>
      <c r="Q1119">
        <f>IF($A1119="","",IF(OR($E1119="INFRUCTUEUX",$E1119="ANNULE"),$A1119&amp;"|"&amp;(COUNTIFS($A$2:$A1119,$A1119,$E$2:$E1119,"INFRUCTUEUX")+COUNTIFS($A$2:$A1119,$A1119,$E$2:$E1119,"ANNULE")),""))</f>
        <v/>
      </c>
    </row>
    <row r="1120">
      <c r="A1120">
        <f>IF(ISBLANK('ENGAGEMENTS 2026'!B1120),"",IF('ENGAGEMENTS 2026'!B1120="DTSI","DCT",'ENGAGEMENTS 2026'!B1120))</f>
        <v/>
      </c>
      <c r="B1120">
        <f>IF(ISBLANK('ENGAGEMENTS 2026'!B1120),"",'ENGAGEMENTS 2026'!C1120)</f>
        <v/>
      </c>
      <c r="C1120">
        <f>IF(ISBLANK('ENGAGEMENTS 2026'!B1120),"",'ENGAGEMENTS 2026'!D1120)</f>
        <v/>
      </c>
      <c r="D1120">
        <f>IF(ISBLANK('ENGAGEMENTS 2026'!B1120),"",'ENGAGEMENTS 2026'!F1120)</f>
        <v/>
      </c>
      <c r="E1120">
        <f>IF(ISBLANK('ENGAGEMENTS 2026'!B1120),"",'ENGAGEMENTS 2026'!H1120)</f>
        <v/>
      </c>
      <c r="F1120">
        <f>IF(ISBLANK('ENGAGEMENTS 2026'!B1120),"",'ENGAGEMENTS 2026'!I1120)</f>
        <v/>
      </c>
      <c r="G1120">
        <f>IF(ISBLANK('ENGAGEMENTS 2026'!B1120),"",'ENGAGEMENTS 2026'!L1120)</f>
        <v/>
      </c>
      <c r="H1120">
        <f>IF(ISBLANK('ENGAGEMENTS 2026'!B1120),"",'ENGAGEMENTS 2026'!AE1120)</f>
        <v/>
      </c>
      <c r="I1120">
        <f>IF(ISBLANK('ENGAGEMENTS 2026'!B1120),"",'ENGAGEMENTS 2026'!G1120)</f>
        <v/>
      </c>
      <c r="J1120" s="275">
        <f>IF(ISBLANK('ENGAGEMENTS 2026'!B1120),"",IF(AND(OR($E1120="INFRUCTUEUX",$E1120="ANNULE"),$C1120="AOO-M"),'ENGAGEMENTS 2026'!O1120,IF($H1120="EN COURS DE PREENGAGEMENT",'ENGAGEMENTS 2026'!N1120,IF($H1120="PREENGAGE",IF($E1120="ATTRIBUE",'ENGAGEMENTS 2026'!AD1120,'ENGAGEMENTS 2026'!N1120),'ENGAGEMENTS 2026'!AD1120))))</f>
        <v/>
      </c>
      <c r="K1120" s="604">
        <f>IF(ISBLANK('ENGAGEMENTS 2026'!V1120),"",'ENGAGEMENTS 2026'!V1120)</f>
        <v/>
      </c>
      <c r="L1120" s="276">
        <f>IF($K1120="","",TODAY()-$K1120)</f>
        <v/>
      </c>
      <c r="M1120">
        <f>IF($A1120="","",IF($H1120="ENGAGE","Engagé",IF(AND($H1120="NON ENGAGE",OR($I1120="INFRUCTUEUX",$I1120="ANNULE")),"Clôturé sans suite","En cours")))</f>
        <v/>
      </c>
      <c r="N1120">
        <f>IF(ISBLANK('ENGAGEMENTS 2026'!B1120),"",'ENGAGEMENTS 2026'!K1120)</f>
        <v/>
      </c>
      <c r="O1120">
        <f>IF(ISBLANK('ENGAGEMENTS 2026'!B1120),"",'ENGAGEMENTS 2026'!L1120)</f>
        <v/>
      </c>
      <c r="P1120">
        <f>IF(ISBLANK('ENGAGEMENTS 2026'!B1120),"",'ENGAGEMENTS 2026'!J1120)</f>
        <v/>
      </c>
      <c r="Q1120">
        <f>IF($A1120="","",IF(OR($E1120="INFRUCTUEUX",$E1120="ANNULE"),$A1120&amp;"|"&amp;(COUNTIFS($A$2:$A1120,$A1120,$E$2:$E1120,"INFRUCTUEUX")+COUNTIFS($A$2:$A1120,$A1120,$E$2:$E1120,"ANNULE")),""))</f>
        <v/>
      </c>
    </row>
    <row r="1121">
      <c r="A1121">
        <f>IF(ISBLANK('ENGAGEMENTS 2026'!B1121),"",IF('ENGAGEMENTS 2026'!B1121="DTSI","DCT",'ENGAGEMENTS 2026'!B1121))</f>
        <v/>
      </c>
      <c r="B1121">
        <f>IF(ISBLANK('ENGAGEMENTS 2026'!B1121),"",'ENGAGEMENTS 2026'!C1121)</f>
        <v/>
      </c>
      <c r="C1121">
        <f>IF(ISBLANK('ENGAGEMENTS 2026'!B1121),"",'ENGAGEMENTS 2026'!D1121)</f>
        <v/>
      </c>
      <c r="D1121">
        <f>IF(ISBLANK('ENGAGEMENTS 2026'!B1121),"",'ENGAGEMENTS 2026'!F1121)</f>
        <v/>
      </c>
      <c r="E1121">
        <f>IF(ISBLANK('ENGAGEMENTS 2026'!B1121),"",'ENGAGEMENTS 2026'!H1121)</f>
        <v/>
      </c>
      <c r="F1121">
        <f>IF(ISBLANK('ENGAGEMENTS 2026'!B1121),"",'ENGAGEMENTS 2026'!I1121)</f>
        <v/>
      </c>
      <c r="G1121">
        <f>IF(ISBLANK('ENGAGEMENTS 2026'!B1121),"",'ENGAGEMENTS 2026'!L1121)</f>
        <v/>
      </c>
      <c r="H1121">
        <f>IF(ISBLANK('ENGAGEMENTS 2026'!B1121),"",'ENGAGEMENTS 2026'!AE1121)</f>
        <v/>
      </c>
      <c r="I1121">
        <f>IF(ISBLANK('ENGAGEMENTS 2026'!B1121),"",'ENGAGEMENTS 2026'!G1121)</f>
        <v/>
      </c>
      <c r="J1121" s="275">
        <f>IF(ISBLANK('ENGAGEMENTS 2026'!B1121),"",IF(AND(OR($E1121="INFRUCTUEUX",$E1121="ANNULE"),$C1121="AOO-M"),'ENGAGEMENTS 2026'!O1121,IF($H1121="EN COURS DE PREENGAGEMENT",'ENGAGEMENTS 2026'!N1121,IF($H1121="PREENGAGE",IF($E1121="ATTRIBUE",'ENGAGEMENTS 2026'!AD1121,'ENGAGEMENTS 2026'!N1121),'ENGAGEMENTS 2026'!AD1121))))</f>
        <v/>
      </c>
      <c r="K1121" s="604">
        <f>IF(ISBLANK('ENGAGEMENTS 2026'!V1121),"",'ENGAGEMENTS 2026'!V1121)</f>
        <v/>
      </c>
      <c r="L1121" s="276">
        <f>IF($K1121="","",TODAY()-$K1121)</f>
        <v/>
      </c>
      <c r="M1121">
        <f>IF($A1121="","",IF($H1121="ENGAGE","Engagé",IF(AND($H1121="NON ENGAGE",OR($I1121="INFRUCTUEUX",$I1121="ANNULE")),"Clôturé sans suite","En cours")))</f>
        <v/>
      </c>
      <c r="N1121">
        <f>IF(ISBLANK('ENGAGEMENTS 2026'!B1121),"",'ENGAGEMENTS 2026'!K1121)</f>
        <v/>
      </c>
      <c r="O1121">
        <f>IF(ISBLANK('ENGAGEMENTS 2026'!B1121),"",'ENGAGEMENTS 2026'!L1121)</f>
        <v/>
      </c>
      <c r="P1121">
        <f>IF(ISBLANK('ENGAGEMENTS 2026'!B1121),"",'ENGAGEMENTS 2026'!J1121)</f>
        <v/>
      </c>
      <c r="Q1121">
        <f>IF($A1121="","",IF(OR($E1121="INFRUCTUEUX",$E1121="ANNULE"),$A1121&amp;"|"&amp;(COUNTIFS($A$2:$A1121,$A1121,$E$2:$E1121,"INFRUCTUEUX")+COUNTIFS($A$2:$A1121,$A1121,$E$2:$E1121,"ANNULE")),""))</f>
        <v/>
      </c>
    </row>
    <row r="1122">
      <c r="A1122">
        <f>IF(ISBLANK('ENGAGEMENTS 2026'!B1122),"",IF('ENGAGEMENTS 2026'!B1122="DTSI","DCT",'ENGAGEMENTS 2026'!B1122))</f>
        <v/>
      </c>
      <c r="B1122">
        <f>IF(ISBLANK('ENGAGEMENTS 2026'!B1122),"",'ENGAGEMENTS 2026'!C1122)</f>
        <v/>
      </c>
      <c r="C1122">
        <f>IF(ISBLANK('ENGAGEMENTS 2026'!B1122),"",'ENGAGEMENTS 2026'!D1122)</f>
        <v/>
      </c>
      <c r="D1122">
        <f>IF(ISBLANK('ENGAGEMENTS 2026'!B1122),"",'ENGAGEMENTS 2026'!F1122)</f>
        <v/>
      </c>
      <c r="E1122">
        <f>IF(ISBLANK('ENGAGEMENTS 2026'!B1122),"",'ENGAGEMENTS 2026'!H1122)</f>
        <v/>
      </c>
      <c r="F1122">
        <f>IF(ISBLANK('ENGAGEMENTS 2026'!B1122),"",'ENGAGEMENTS 2026'!I1122)</f>
        <v/>
      </c>
      <c r="G1122">
        <f>IF(ISBLANK('ENGAGEMENTS 2026'!B1122),"",'ENGAGEMENTS 2026'!L1122)</f>
        <v/>
      </c>
      <c r="H1122">
        <f>IF(ISBLANK('ENGAGEMENTS 2026'!B1122),"",'ENGAGEMENTS 2026'!AE1122)</f>
        <v/>
      </c>
      <c r="I1122">
        <f>IF(ISBLANK('ENGAGEMENTS 2026'!B1122),"",'ENGAGEMENTS 2026'!G1122)</f>
        <v/>
      </c>
      <c r="J1122" s="275">
        <f>IF(ISBLANK('ENGAGEMENTS 2026'!B1122),"",IF(AND(OR($E1122="INFRUCTUEUX",$E1122="ANNULE"),$C1122="AOO-M"),'ENGAGEMENTS 2026'!O1122,IF($H1122="EN COURS DE PREENGAGEMENT",'ENGAGEMENTS 2026'!N1122,IF($H1122="PREENGAGE",IF($E1122="ATTRIBUE",'ENGAGEMENTS 2026'!AD1122,'ENGAGEMENTS 2026'!N1122),'ENGAGEMENTS 2026'!AD1122))))</f>
        <v/>
      </c>
      <c r="K1122" s="604">
        <f>IF(ISBLANK('ENGAGEMENTS 2026'!V1122),"",'ENGAGEMENTS 2026'!V1122)</f>
        <v/>
      </c>
      <c r="L1122" s="276">
        <f>IF($K1122="","",TODAY()-$K1122)</f>
        <v/>
      </c>
      <c r="M1122">
        <f>IF($A1122="","",IF($H1122="ENGAGE","Engagé",IF(AND($H1122="NON ENGAGE",OR($I1122="INFRUCTUEUX",$I1122="ANNULE")),"Clôturé sans suite","En cours")))</f>
        <v/>
      </c>
      <c r="N1122">
        <f>IF(ISBLANK('ENGAGEMENTS 2026'!B1122),"",'ENGAGEMENTS 2026'!K1122)</f>
        <v/>
      </c>
      <c r="O1122">
        <f>IF(ISBLANK('ENGAGEMENTS 2026'!B1122),"",'ENGAGEMENTS 2026'!L1122)</f>
        <v/>
      </c>
      <c r="P1122">
        <f>IF(ISBLANK('ENGAGEMENTS 2026'!B1122),"",'ENGAGEMENTS 2026'!J1122)</f>
        <v/>
      </c>
      <c r="Q1122">
        <f>IF($A1122="","",IF(OR($E1122="INFRUCTUEUX",$E1122="ANNULE"),$A1122&amp;"|"&amp;(COUNTIFS($A$2:$A1122,$A1122,$E$2:$E1122,"INFRUCTUEUX")+COUNTIFS($A$2:$A1122,$A1122,$E$2:$E1122,"ANNULE")),""))</f>
        <v/>
      </c>
    </row>
    <row r="1123">
      <c r="A1123">
        <f>IF(ISBLANK('ENGAGEMENTS 2026'!B1123),"",IF('ENGAGEMENTS 2026'!B1123="DTSI","DCT",'ENGAGEMENTS 2026'!B1123))</f>
        <v/>
      </c>
      <c r="B1123">
        <f>IF(ISBLANK('ENGAGEMENTS 2026'!B1123),"",'ENGAGEMENTS 2026'!C1123)</f>
        <v/>
      </c>
      <c r="C1123">
        <f>IF(ISBLANK('ENGAGEMENTS 2026'!B1123),"",'ENGAGEMENTS 2026'!D1123)</f>
        <v/>
      </c>
      <c r="D1123">
        <f>IF(ISBLANK('ENGAGEMENTS 2026'!B1123),"",'ENGAGEMENTS 2026'!F1123)</f>
        <v/>
      </c>
      <c r="E1123">
        <f>IF(ISBLANK('ENGAGEMENTS 2026'!B1123),"",'ENGAGEMENTS 2026'!H1123)</f>
        <v/>
      </c>
      <c r="F1123">
        <f>IF(ISBLANK('ENGAGEMENTS 2026'!B1123),"",'ENGAGEMENTS 2026'!I1123)</f>
        <v/>
      </c>
      <c r="G1123">
        <f>IF(ISBLANK('ENGAGEMENTS 2026'!B1123),"",'ENGAGEMENTS 2026'!L1123)</f>
        <v/>
      </c>
      <c r="H1123">
        <f>IF(ISBLANK('ENGAGEMENTS 2026'!B1123),"",'ENGAGEMENTS 2026'!AE1123)</f>
        <v/>
      </c>
      <c r="I1123">
        <f>IF(ISBLANK('ENGAGEMENTS 2026'!B1123),"",'ENGAGEMENTS 2026'!G1123)</f>
        <v/>
      </c>
      <c r="J1123" s="275">
        <f>IF(ISBLANK('ENGAGEMENTS 2026'!B1123),"",IF(AND(OR($E1123="INFRUCTUEUX",$E1123="ANNULE"),$C1123="AOO-M"),'ENGAGEMENTS 2026'!O1123,IF($H1123="EN COURS DE PREENGAGEMENT",'ENGAGEMENTS 2026'!N1123,IF($H1123="PREENGAGE",IF($E1123="ATTRIBUE",'ENGAGEMENTS 2026'!AD1123,'ENGAGEMENTS 2026'!N1123),'ENGAGEMENTS 2026'!AD1123))))</f>
        <v/>
      </c>
      <c r="K1123" s="604">
        <f>IF(ISBLANK('ENGAGEMENTS 2026'!V1123),"",'ENGAGEMENTS 2026'!V1123)</f>
        <v/>
      </c>
      <c r="L1123" s="276">
        <f>IF($K1123="","",TODAY()-$K1123)</f>
        <v/>
      </c>
      <c r="M1123">
        <f>IF($A1123="","",IF($H1123="ENGAGE","Engagé",IF(AND($H1123="NON ENGAGE",OR($I1123="INFRUCTUEUX",$I1123="ANNULE")),"Clôturé sans suite","En cours")))</f>
        <v/>
      </c>
      <c r="N1123">
        <f>IF(ISBLANK('ENGAGEMENTS 2026'!B1123),"",'ENGAGEMENTS 2026'!K1123)</f>
        <v/>
      </c>
      <c r="O1123">
        <f>IF(ISBLANK('ENGAGEMENTS 2026'!B1123),"",'ENGAGEMENTS 2026'!L1123)</f>
        <v/>
      </c>
      <c r="P1123">
        <f>IF(ISBLANK('ENGAGEMENTS 2026'!B1123),"",'ENGAGEMENTS 2026'!J1123)</f>
        <v/>
      </c>
      <c r="Q1123">
        <f>IF($A1123="","",IF(OR($E1123="INFRUCTUEUX",$E1123="ANNULE"),$A1123&amp;"|"&amp;(COUNTIFS($A$2:$A1123,$A1123,$E$2:$E1123,"INFRUCTUEUX")+COUNTIFS($A$2:$A1123,$A1123,$E$2:$E1123,"ANNULE")),""))</f>
        <v/>
      </c>
    </row>
    <row r="1124">
      <c r="A1124">
        <f>IF(ISBLANK('ENGAGEMENTS 2026'!B1124),"",IF('ENGAGEMENTS 2026'!B1124="DTSI","DCT",'ENGAGEMENTS 2026'!B1124))</f>
        <v/>
      </c>
      <c r="B1124">
        <f>IF(ISBLANK('ENGAGEMENTS 2026'!B1124),"",'ENGAGEMENTS 2026'!C1124)</f>
        <v/>
      </c>
      <c r="C1124">
        <f>IF(ISBLANK('ENGAGEMENTS 2026'!B1124),"",'ENGAGEMENTS 2026'!D1124)</f>
        <v/>
      </c>
      <c r="D1124">
        <f>IF(ISBLANK('ENGAGEMENTS 2026'!B1124),"",'ENGAGEMENTS 2026'!F1124)</f>
        <v/>
      </c>
      <c r="E1124">
        <f>IF(ISBLANK('ENGAGEMENTS 2026'!B1124),"",'ENGAGEMENTS 2026'!H1124)</f>
        <v/>
      </c>
      <c r="F1124">
        <f>IF(ISBLANK('ENGAGEMENTS 2026'!B1124),"",'ENGAGEMENTS 2026'!I1124)</f>
        <v/>
      </c>
      <c r="G1124">
        <f>IF(ISBLANK('ENGAGEMENTS 2026'!B1124),"",'ENGAGEMENTS 2026'!L1124)</f>
        <v/>
      </c>
      <c r="H1124">
        <f>IF(ISBLANK('ENGAGEMENTS 2026'!B1124),"",'ENGAGEMENTS 2026'!AE1124)</f>
        <v/>
      </c>
      <c r="I1124">
        <f>IF(ISBLANK('ENGAGEMENTS 2026'!B1124),"",'ENGAGEMENTS 2026'!G1124)</f>
        <v/>
      </c>
      <c r="J1124" s="275">
        <f>IF(ISBLANK('ENGAGEMENTS 2026'!B1124),"",IF(AND(OR($E1124="INFRUCTUEUX",$E1124="ANNULE"),$C1124="AOO-M"),'ENGAGEMENTS 2026'!O1124,IF($H1124="EN COURS DE PREENGAGEMENT",'ENGAGEMENTS 2026'!N1124,IF($H1124="PREENGAGE",IF($E1124="ATTRIBUE",'ENGAGEMENTS 2026'!AD1124,'ENGAGEMENTS 2026'!N1124),'ENGAGEMENTS 2026'!AD1124))))</f>
        <v/>
      </c>
      <c r="K1124" s="604">
        <f>IF(ISBLANK('ENGAGEMENTS 2026'!V1124),"",'ENGAGEMENTS 2026'!V1124)</f>
        <v/>
      </c>
      <c r="L1124" s="276">
        <f>IF($K1124="","",TODAY()-$K1124)</f>
        <v/>
      </c>
      <c r="M1124">
        <f>IF($A1124="","",IF($H1124="ENGAGE","Engagé",IF(AND($H1124="NON ENGAGE",OR($I1124="INFRUCTUEUX",$I1124="ANNULE")),"Clôturé sans suite","En cours")))</f>
        <v/>
      </c>
      <c r="N1124">
        <f>IF(ISBLANK('ENGAGEMENTS 2026'!B1124),"",'ENGAGEMENTS 2026'!K1124)</f>
        <v/>
      </c>
      <c r="O1124">
        <f>IF(ISBLANK('ENGAGEMENTS 2026'!B1124),"",'ENGAGEMENTS 2026'!L1124)</f>
        <v/>
      </c>
      <c r="P1124">
        <f>IF(ISBLANK('ENGAGEMENTS 2026'!B1124),"",'ENGAGEMENTS 2026'!J1124)</f>
        <v/>
      </c>
      <c r="Q1124">
        <f>IF($A1124="","",IF(OR($E1124="INFRUCTUEUX",$E1124="ANNULE"),$A1124&amp;"|"&amp;(COUNTIFS($A$2:$A1124,$A1124,$E$2:$E1124,"INFRUCTUEUX")+COUNTIFS($A$2:$A1124,$A1124,$E$2:$E1124,"ANNULE")),""))</f>
        <v/>
      </c>
    </row>
    <row r="1125">
      <c r="A1125">
        <f>IF(ISBLANK('ENGAGEMENTS 2026'!B1125),"",IF('ENGAGEMENTS 2026'!B1125="DTSI","DCT",'ENGAGEMENTS 2026'!B1125))</f>
        <v/>
      </c>
      <c r="B1125">
        <f>IF(ISBLANK('ENGAGEMENTS 2026'!B1125),"",'ENGAGEMENTS 2026'!C1125)</f>
        <v/>
      </c>
      <c r="C1125">
        <f>IF(ISBLANK('ENGAGEMENTS 2026'!B1125),"",'ENGAGEMENTS 2026'!D1125)</f>
        <v/>
      </c>
      <c r="D1125">
        <f>IF(ISBLANK('ENGAGEMENTS 2026'!B1125),"",'ENGAGEMENTS 2026'!F1125)</f>
        <v/>
      </c>
      <c r="E1125">
        <f>IF(ISBLANK('ENGAGEMENTS 2026'!B1125),"",'ENGAGEMENTS 2026'!H1125)</f>
        <v/>
      </c>
      <c r="F1125">
        <f>IF(ISBLANK('ENGAGEMENTS 2026'!B1125),"",'ENGAGEMENTS 2026'!I1125)</f>
        <v/>
      </c>
      <c r="G1125">
        <f>IF(ISBLANK('ENGAGEMENTS 2026'!B1125),"",'ENGAGEMENTS 2026'!L1125)</f>
        <v/>
      </c>
      <c r="H1125">
        <f>IF(ISBLANK('ENGAGEMENTS 2026'!B1125),"",'ENGAGEMENTS 2026'!AE1125)</f>
        <v/>
      </c>
      <c r="I1125">
        <f>IF(ISBLANK('ENGAGEMENTS 2026'!B1125),"",'ENGAGEMENTS 2026'!G1125)</f>
        <v/>
      </c>
      <c r="J1125" s="275">
        <f>IF(ISBLANK('ENGAGEMENTS 2026'!B1125),"",IF(AND(OR($E1125="INFRUCTUEUX",$E1125="ANNULE"),$C1125="AOO-M"),'ENGAGEMENTS 2026'!O1125,IF($H1125="EN COURS DE PREENGAGEMENT",'ENGAGEMENTS 2026'!N1125,IF($H1125="PREENGAGE",IF($E1125="ATTRIBUE",'ENGAGEMENTS 2026'!AD1125,'ENGAGEMENTS 2026'!N1125),'ENGAGEMENTS 2026'!AD1125))))</f>
        <v/>
      </c>
      <c r="K1125" s="604">
        <f>IF(ISBLANK('ENGAGEMENTS 2026'!V1125),"",'ENGAGEMENTS 2026'!V1125)</f>
        <v/>
      </c>
      <c r="L1125" s="276">
        <f>IF($K1125="","",TODAY()-$K1125)</f>
        <v/>
      </c>
      <c r="M1125">
        <f>IF($A1125="","",IF($H1125="ENGAGE","Engagé",IF(AND($H1125="NON ENGAGE",OR($I1125="INFRUCTUEUX",$I1125="ANNULE")),"Clôturé sans suite","En cours")))</f>
        <v/>
      </c>
      <c r="N1125">
        <f>IF(ISBLANK('ENGAGEMENTS 2026'!B1125),"",'ENGAGEMENTS 2026'!K1125)</f>
        <v/>
      </c>
      <c r="O1125">
        <f>IF(ISBLANK('ENGAGEMENTS 2026'!B1125),"",'ENGAGEMENTS 2026'!L1125)</f>
        <v/>
      </c>
      <c r="P1125">
        <f>IF(ISBLANK('ENGAGEMENTS 2026'!B1125),"",'ENGAGEMENTS 2026'!J1125)</f>
        <v/>
      </c>
      <c r="Q1125">
        <f>IF($A1125="","",IF(OR($E1125="INFRUCTUEUX",$E1125="ANNULE"),$A1125&amp;"|"&amp;(COUNTIFS($A$2:$A1125,$A1125,$E$2:$E1125,"INFRUCTUEUX")+COUNTIFS($A$2:$A1125,$A1125,$E$2:$E1125,"ANNULE")),""))</f>
        <v/>
      </c>
    </row>
    <row r="1126">
      <c r="A1126">
        <f>IF(ISBLANK('ENGAGEMENTS 2026'!B1126),"",IF('ENGAGEMENTS 2026'!B1126="DTSI","DCT",'ENGAGEMENTS 2026'!B1126))</f>
        <v/>
      </c>
      <c r="B1126">
        <f>IF(ISBLANK('ENGAGEMENTS 2026'!B1126),"",'ENGAGEMENTS 2026'!C1126)</f>
        <v/>
      </c>
      <c r="C1126">
        <f>IF(ISBLANK('ENGAGEMENTS 2026'!B1126),"",'ENGAGEMENTS 2026'!D1126)</f>
        <v/>
      </c>
      <c r="D1126">
        <f>IF(ISBLANK('ENGAGEMENTS 2026'!B1126),"",'ENGAGEMENTS 2026'!F1126)</f>
        <v/>
      </c>
      <c r="E1126">
        <f>IF(ISBLANK('ENGAGEMENTS 2026'!B1126),"",'ENGAGEMENTS 2026'!H1126)</f>
        <v/>
      </c>
      <c r="F1126">
        <f>IF(ISBLANK('ENGAGEMENTS 2026'!B1126),"",'ENGAGEMENTS 2026'!I1126)</f>
        <v/>
      </c>
      <c r="G1126">
        <f>IF(ISBLANK('ENGAGEMENTS 2026'!B1126),"",'ENGAGEMENTS 2026'!L1126)</f>
        <v/>
      </c>
      <c r="H1126">
        <f>IF(ISBLANK('ENGAGEMENTS 2026'!B1126),"",'ENGAGEMENTS 2026'!AE1126)</f>
        <v/>
      </c>
      <c r="I1126">
        <f>IF(ISBLANK('ENGAGEMENTS 2026'!B1126),"",'ENGAGEMENTS 2026'!G1126)</f>
        <v/>
      </c>
      <c r="J1126" s="275">
        <f>IF(ISBLANK('ENGAGEMENTS 2026'!B1126),"",IF(AND(OR($E1126="INFRUCTUEUX",$E1126="ANNULE"),$C1126="AOO-M"),'ENGAGEMENTS 2026'!O1126,IF($H1126="EN COURS DE PREENGAGEMENT",'ENGAGEMENTS 2026'!N1126,IF($H1126="PREENGAGE",IF($E1126="ATTRIBUE",'ENGAGEMENTS 2026'!AD1126,'ENGAGEMENTS 2026'!N1126),'ENGAGEMENTS 2026'!AD1126))))</f>
        <v/>
      </c>
      <c r="K1126" s="604">
        <f>IF(ISBLANK('ENGAGEMENTS 2026'!V1126),"",'ENGAGEMENTS 2026'!V1126)</f>
        <v/>
      </c>
      <c r="L1126" s="276">
        <f>IF($K1126="","",TODAY()-$K1126)</f>
        <v/>
      </c>
      <c r="M1126">
        <f>IF($A1126="","",IF($H1126="ENGAGE","Engagé",IF(AND($H1126="NON ENGAGE",OR($I1126="INFRUCTUEUX",$I1126="ANNULE")),"Clôturé sans suite","En cours")))</f>
        <v/>
      </c>
      <c r="N1126">
        <f>IF(ISBLANK('ENGAGEMENTS 2026'!B1126),"",'ENGAGEMENTS 2026'!K1126)</f>
        <v/>
      </c>
      <c r="O1126">
        <f>IF(ISBLANK('ENGAGEMENTS 2026'!B1126),"",'ENGAGEMENTS 2026'!L1126)</f>
        <v/>
      </c>
      <c r="P1126">
        <f>IF(ISBLANK('ENGAGEMENTS 2026'!B1126),"",'ENGAGEMENTS 2026'!J1126)</f>
        <v/>
      </c>
      <c r="Q1126">
        <f>IF($A1126="","",IF(OR($E1126="INFRUCTUEUX",$E1126="ANNULE"),$A1126&amp;"|"&amp;(COUNTIFS($A$2:$A1126,$A1126,$E$2:$E1126,"INFRUCTUEUX")+COUNTIFS($A$2:$A1126,$A1126,$E$2:$E1126,"ANNULE")),""))</f>
        <v/>
      </c>
    </row>
    <row r="1127">
      <c r="A1127">
        <f>IF(ISBLANK('ENGAGEMENTS 2026'!B1127),"",IF('ENGAGEMENTS 2026'!B1127="DTSI","DCT",'ENGAGEMENTS 2026'!B1127))</f>
        <v/>
      </c>
      <c r="B1127">
        <f>IF(ISBLANK('ENGAGEMENTS 2026'!B1127),"",'ENGAGEMENTS 2026'!C1127)</f>
        <v/>
      </c>
      <c r="C1127">
        <f>IF(ISBLANK('ENGAGEMENTS 2026'!B1127),"",'ENGAGEMENTS 2026'!D1127)</f>
        <v/>
      </c>
      <c r="D1127">
        <f>IF(ISBLANK('ENGAGEMENTS 2026'!B1127),"",'ENGAGEMENTS 2026'!F1127)</f>
        <v/>
      </c>
      <c r="E1127">
        <f>IF(ISBLANK('ENGAGEMENTS 2026'!B1127),"",'ENGAGEMENTS 2026'!H1127)</f>
        <v/>
      </c>
      <c r="F1127">
        <f>IF(ISBLANK('ENGAGEMENTS 2026'!B1127),"",'ENGAGEMENTS 2026'!I1127)</f>
        <v/>
      </c>
      <c r="G1127">
        <f>IF(ISBLANK('ENGAGEMENTS 2026'!B1127),"",'ENGAGEMENTS 2026'!L1127)</f>
        <v/>
      </c>
      <c r="H1127">
        <f>IF(ISBLANK('ENGAGEMENTS 2026'!B1127),"",'ENGAGEMENTS 2026'!AE1127)</f>
        <v/>
      </c>
      <c r="I1127">
        <f>IF(ISBLANK('ENGAGEMENTS 2026'!B1127),"",'ENGAGEMENTS 2026'!G1127)</f>
        <v/>
      </c>
      <c r="J1127" s="275">
        <f>IF(ISBLANK('ENGAGEMENTS 2026'!B1127),"",IF(AND(OR($E1127="INFRUCTUEUX",$E1127="ANNULE"),$C1127="AOO-M"),'ENGAGEMENTS 2026'!O1127,IF($H1127="EN COURS DE PREENGAGEMENT",'ENGAGEMENTS 2026'!N1127,IF($H1127="PREENGAGE",IF($E1127="ATTRIBUE",'ENGAGEMENTS 2026'!AD1127,'ENGAGEMENTS 2026'!N1127),'ENGAGEMENTS 2026'!AD1127))))</f>
        <v/>
      </c>
      <c r="K1127" s="604">
        <f>IF(ISBLANK('ENGAGEMENTS 2026'!V1127),"",'ENGAGEMENTS 2026'!V1127)</f>
        <v/>
      </c>
      <c r="L1127" s="276">
        <f>IF($K1127="","",TODAY()-$K1127)</f>
        <v/>
      </c>
      <c r="M1127">
        <f>IF($A1127="","",IF($H1127="ENGAGE","Engagé",IF(AND($H1127="NON ENGAGE",OR($I1127="INFRUCTUEUX",$I1127="ANNULE")),"Clôturé sans suite","En cours")))</f>
        <v/>
      </c>
      <c r="N1127">
        <f>IF(ISBLANK('ENGAGEMENTS 2026'!B1127),"",'ENGAGEMENTS 2026'!K1127)</f>
        <v/>
      </c>
      <c r="O1127">
        <f>IF(ISBLANK('ENGAGEMENTS 2026'!B1127),"",'ENGAGEMENTS 2026'!L1127)</f>
        <v/>
      </c>
      <c r="P1127">
        <f>IF(ISBLANK('ENGAGEMENTS 2026'!B1127),"",'ENGAGEMENTS 2026'!J1127)</f>
        <v/>
      </c>
      <c r="Q1127">
        <f>IF($A1127="","",IF(OR($E1127="INFRUCTUEUX",$E1127="ANNULE"),$A1127&amp;"|"&amp;(COUNTIFS($A$2:$A1127,$A1127,$E$2:$E1127,"INFRUCTUEUX")+COUNTIFS($A$2:$A1127,$A1127,$E$2:$E1127,"ANNULE")),""))</f>
        <v/>
      </c>
    </row>
    <row r="1128">
      <c r="A1128">
        <f>IF(ISBLANK('ENGAGEMENTS 2026'!B1128),"",IF('ENGAGEMENTS 2026'!B1128="DTSI","DCT",'ENGAGEMENTS 2026'!B1128))</f>
        <v/>
      </c>
      <c r="B1128">
        <f>IF(ISBLANK('ENGAGEMENTS 2026'!B1128),"",'ENGAGEMENTS 2026'!C1128)</f>
        <v/>
      </c>
      <c r="C1128">
        <f>IF(ISBLANK('ENGAGEMENTS 2026'!B1128),"",'ENGAGEMENTS 2026'!D1128)</f>
        <v/>
      </c>
      <c r="D1128">
        <f>IF(ISBLANK('ENGAGEMENTS 2026'!B1128),"",'ENGAGEMENTS 2026'!F1128)</f>
        <v/>
      </c>
      <c r="E1128">
        <f>IF(ISBLANK('ENGAGEMENTS 2026'!B1128),"",'ENGAGEMENTS 2026'!H1128)</f>
        <v/>
      </c>
      <c r="F1128">
        <f>IF(ISBLANK('ENGAGEMENTS 2026'!B1128),"",'ENGAGEMENTS 2026'!I1128)</f>
        <v/>
      </c>
      <c r="G1128">
        <f>IF(ISBLANK('ENGAGEMENTS 2026'!B1128),"",'ENGAGEMENTS 2026'!L1128)</f>
        <v/>
      </c>
      <c r="H1128">
        <f>IF(ISBLANK('ENGAGEMENTS 2026'!B1128),"",'ENGAGEMENTS 2026'!AE1128)</f>
        <v/>
      </c>
      <c r="I1128">
        <f>IF(ISBLANK('ENGAGEMENTS 2026'!B1128),"",'ENGAGEMENTS 2026'!G1128)</f>
        <v/>
      </c>
      <c r="J1128" s="275">
        <f>IF(ISBLANK('ENGAGEMENTS 2026'!B1128),"",IF(AND(OR($E1128="INFRUCTUEUX",$E1128="ANNULE"),$C1128="AOO-M"),'ENGAGEMENTS 2026'!O1128,IF($H1128="EN COURS DE PREENGAGEMENT",'ENGAGEMENTS 2026'!N1128,IF($H1128="PREENGAGE",IF($E1128="ATTRIBUE",'ENGAGEMENTS 2026'!AD1128,'ENGAGEMENTS 2026'!N1128),'ENGAGEMENTS 2026'!AD1128))))</f>
        <v/>
      </c>
      <c r="K1128" s="604">
        <f>IF(ISBLANK('ENGAGEMENTS 2026'!V1128),"",'ENGAGEMENTS 2026'!V1128)</f>
        <v/>
      </c>
      <c r="L1128" s="276">
        <f>IF($K1128="","",TODAY()-$K1128)</f>
        <v/>
      </c>
      <c r="M1128">
        <f>IF($A1128="","",IF($H1128="ENGAGE","Engagé",IF(AND($H1128="NON ENGAGE",OR($I1128="INFRUCTUEUX",$I1128="ANNULE")),"Clôturé sans suite","En cours")))</f>
        <v/>
      </c>
      <c r="N1128">
        <f>IF(ISBLANK('ENGAGEMENTS 2026'!B1128),"",'ENGAGEMENTS 2026'!K1128)</f>
        <v/>
      </c>
      <c r="O1128">
        <f>IF(ISBLANK('ENGAGEMENTS 2026'!B1128),"",'ENGAGEMENTS 2026'!L1128)</f>
        <v/>
      </c>
      <c r="P1128">
        <f>IF(ISBLANK('ENGAGEMENTS 2026'!B1128),"",'ENGAGEMENTS 2026'!J1128)</f>
        <v/>
      </c>
      <c r="Q1128">
        <f>IF($A1128="","",IF(OR($E1128="INFRUCTUEUX",$E1128="ANNULE"),$A1128&amp;"|"&amp;(COUNTIFS($A$2:$A1128,$A1128,$E$2:$E1128,"INFRUCTUEUX")+COUNTIFS($A$2:$A1128,$A1128,$E$2:$E1128,"ANNULE")),""))</f>
        <v/>
      </c>
    </row>
    <row r="1129">
      <c r="A1129">
        <f>IF(ISBLANK('ENGAGEMENTS 2026'!B1129),"",IF('ENGAGEMENTS 2026'!B1129="DTSI","DCT",'ENGAGEMENTS 2026'!B1129))</f>
        <v/>
      </c>
      <c r="B1129">
        <f>IF(ISBLANK('ENGAGEMENTS 2026'!B1129),"",'ENGAGEMENTS 2026'!C1129)</f>
        <v/>
      </c>
      <c r="C1129">
        <f>IF(ISBLANK('ENGAGEMENTS 2026'!B1129),"",'ENGAGEMENTS 2026'!D1129)</f>
        <v/>
      </c>
      <c r="D1129">
        <f>IF(ISBLANK('ENGAGEMENTS 2026'!B1129),"",'ENGAGEMENTS 2026'!F1129)</f>
        <v/>
      </c>
      <c r="E1129">
        <f>IF(ISBLANK('ENGAGEMENTS 2026'!B1129),"",'ENGAGEMENTS 2026'!H1129)</f>
        <v/>
      </c>
      <c r="F1129">
        <f>IF(ISBLANK('ENGAGEMENTS 2026'!B1129),"",'ENGAGEMENTS 2026'!I1129)</f>
        <v/>
      </c>
      <c r="G1129">
        <f>IF(ISBLANK('ENGAGEMENTS 2026'!B1129),"",'ENGAGEMENTS 2026'!L1129)</f>
        <v/>
      </c>
      <c r="H1129">
        <f>IF(ISBLANK('ENGAGEMENTS 2026'!B1129),"",'ENGAGEMENTS 2026'!AE1129)</f>
        <v/>
      </c>
      <c r="I1129">
        <f>IF(ISBLANK('ENGAGEMENTS 2026'!B1129),"",'ENGAGEMENTS 2026'!G1129)</f>
        <v/>
      </c>
      <c r="J1129" s="275">
        <f>IF(ISBLANK('ENGAGEMENTS 2026'!B1129),"",IF(AND(OR($E1129="INFRUCTUEUX",$E1129="ANNULE"),$C1129="AOO-M"),'ENGAGEMENTS 2026'!O1129,IF($H1129="EN COURS DE PREENGAGEMENT",'ENGAGEMENTS 2026'!N1129,IF($H1129="PREENGAGE",IF($E1129="ATTRIBUE",'ENGAGEMENTS 2026'!AD1129,'ENGAGEMENTS 2026'!N1129),'ENGAGEMENTS 2026'!AD1129))))</f>
        <v/>
      </c>
      <c r="K1129" s="604">
        <f>IF(ISBLANK('ENGAGEMENTS 2026'!V1129),"",'ENGAGEMENTS 2026'!V1129)</f>
        <v/>
      </c>
      <c r="L1129" s="276">
        <f>IF($K1129="","",TODAY()-$K1129)</f>
        <v/>
      </c>
      <c r="M1129">
        <f>IF($A1129="","",IF($H1129="ENGAGE","Engagé",IF(AND($H1129="NON ENGAGE",OR($I1129="INFRUCTUEUX",$I1129="ANNULE")),"Clôturé sans suite","En cours")))</f>
        <v/>
      </c>
      <c r="N1129">
        <f>IF(ISBLANK('ENGAGEMENTS 2026'!B1129),"",'ENGAGEMENTS 2026'!K1129)</f>
        <v/>
      </c>
      <c r="O1129">
        <f>IF(ISBLANK('ENGAGEMENTS 2026'!B1129),"",'ENGAGEMENTS 2026'!L1129)</f>
        <v/>
      </c>
      <c r="P1129">
        <f>IF(ISBLANK('ENGAGEMENTS 2026'!B1129),"",'ENGAGEMENTS 2026'!J1129)</f>
        <v/>
      </c>
      <c r="Q1129">
        <f>IF($A1129="","",IF(OR($E1129="INFRUCTUEUX",$E1129="ANNULE"),$A1129&amp;"|"&amp;(COUNTIFS($A$2:$A1129,$A1129,$E$2:$E1129,"INFRUCTUEUX")+COUNTIFS($A$2:$A1129,$A1129,$E$2:$E1129,"ANNULE")),""))</f>
        <v/>
      </c>
    </row>
    <row r="1130">
      <c r="A1130">
        <f>IF(ISBLANK('ENGAGEMENTS 2026'!B1130),"",IF('ENGAGEMENTS 2026'!B1130="DTSI","DCT",'ENGAGEMENTS 2026'!B1130))</f>
        <v/>
      </c>
      <c r="B1130">
        <f>IF(ISBLANK('ENGAGEMENTS 2026'!B1130),"",'ENGAGEMENTS 2026'!C1130)</f>
        <v/>
      </c>
      <c r="C1130">
        <f>IF(ISBLANK('ENGAGEMENTS 2026'!B1130),"",'ENGAGEMENTS 2026'!D1130)</f>
        <v/>
      </c>
      <c r="D1130">
        <f>IF(ISBLANK('ENGAGEMENTS 2026'!B1130),"",'ENGAGEMENTS 2026'!F1130)</f>
        <v/>
      </c>
      <c r="E1130">
        <f>IF(ISBLANK('ENGAGEMENTS 2026'!B1130),"",'ENGAGEMENTS 2026'!H1130)</f>
        <v/>
      </c>
      <c r="F1130">
        <f>IF(ISBLANK('ENGAGEMENTS 2026'!B1130),"",'ENGAGEMENTS 2026'!I1130)</f>
        <v/>
      </c>
      <c r="G1130">
        <f>IF(ISBLANK('ENGAGEMENTS 2026'!B1130),"",'ENGAGEMENTS 2026'!L1130)</f>
        <v/>
      </c>
      <c r="H1130">
        <f>IF(ISBLANK('ENGAGEMENTS 2026'!B1130),"",'ENGAGEMENTS 2026'!AE1130)</f>
        <v/>
      </c>
      <c r="I1130">
        <f>IF(ISBLANK('ENGAGEMENTS 2026'!B1130),"",'ENGAGEMENTS 2026'!G1130)</f>
        <v/>
      </c>
      <c r="J1130" s="275">
        <f>IF(ISBLANK('ENGAGEMENTS 2026'!B1130),"",IF(AND(OR($E1130="INFRUCTUEUX",$E1130="ANNULE"),$C1130="AOO-M"),'ENGAGEMENTS 2026'!O1130,IF($H1130="EN COURS DE PREENGAGEMENT",'ENGAGEMENTS 2026'!N1130,IF($H1130="PREENGAGE",IF($E1130="ATTRIBUE",'ENGAGEMENTS 2026'!AD1130,'ENGAGEMENTS 2026'!N1130),'ENGAGEMENTS 2026'!AD1130))))</f>
        <v/>
      </c>
      <c r="K1130" s="604">
        <f>IF(ISBLANK('ENGAGEMENTS 2026'!V1130),"",'ENGAGEMENTS 2026'!V1130)</f>
        <v/>
      </c>
      <c r="L1130" s="276">
        <f>IF($K1130="","",TODAY()-$K1130)</f>
        <v/>
      </c>
      <c r="M1130">
        <f>IF($A1130="","",IF($H1130="ENGAGE","Engagé",IF(AND($H1130="NON ENGAGE",OR($I1130="INFRUCTUEUX",$I1130="ANNULE")),"Clôturé sans suite","En cours")))</f>
        <v/>
      </c>
      <c r="N1130">
        <f>IF(ISBLANK('ENGAGEMENTS 2026'!B1130),"",'ENGAGEMENTS 2026'!K1130)</f>
        <v/>
      </c>
      <c r="O1130">
        <f>IF(ISBLANK('ENGAGEMENTS 2026'!B1130),"",'ENGAGEMENTS 2026'!L1130)</f>
        <v/>
      </c>
      <c r="P1130">
        <f>IF(ISBLANK('ENGAGEMENTS 2026'!B1130),"",'ENGAGEMENTS 2026'!J1130)</f>
        <v/>
      </c>
      <c r="Q1130">
        <f>IF($A1130="","",IF(OR($E1130="INFRUCTUEUX",$E1130="ANNULE"),$A1130&amp;"|"&amp;(COUNTIFS($A$2:$A1130,$A1130,$E$2:$E1130,"INFRUCTUEUX")+COUNTIFS($A$2:$A1130,$A1130,$E$2:$E1130,"ANNULE")),""))</f>
        <v/>
      </c>
    </row>
    <row r="1131">
      <c r="A1131">
        <f>IF(ISBLANK('ENGAGEMENTS 2026'!B1131),"",IF('ENGAGEMENTS 2026'!B1131="DTSI","DCT",'ENGAGEMENTS 2026'!B1131))</f>
        <v/>
      </c>
      <c r="B1131">
        <f>IF(ISBLANK('ENGAGEMENTS 2026'!B1131),"",'ENGAGEMENTS 2026'!C1131)</f>
        <v/>
      </c>
      <c r="C1131">
        <f>IF(ISBLANK('ENGAGEMENTS 2026'!B1131),"",'ENGAGEMENTS 2026'!D1131)</f>
        <v/>
      </c>
      <c r="D1131">
        <f>IF(ISBLANK('ENGAGEMENTS 2026'!B1131),"",'ENGAGEMENTS 2026'!F1131)</f>
        <v/>
      </c>
      <c r="E1131">
        <f>IF(ISBLANK('ENGAGEMENTS 2026'!B1131),"",'ENGAGEMENTS 2026'!H1131)</f>
        <v/>
      </c>
      <c r="F1131">
        <f>IF(ISBLANK('ENGAGEMENTS 2026'!B1131),"",'ENGAGEMENTS 2026'!I1131)</f>
        <v/>
      </c>
      <c r="G1131">
        <f>IF(ISBLANK('ENGAGEMENTS 2026'!B1131),"",'ENGAGEMENTS 2026'!L1131)</f>
        <v/>
      </c>
      <c r="H1131">
        <f>IF(ISBLANK('ENGAGEMENTS 2026'!B1131),"",'ENGAGEMENTS 2026'!AE1131)</f>
        <v/>
      </c>
      <c r="I1131">
        <f>IF(ISBLANK('ENGAGEMENTS 2026'!B1131),"",'ENGAGEMENTS 2026'!G1131)</f>
        <v/>
      </c>
      <c r="J1131" s="275">
        <f>IF(ISBLANK('ENGAGEMENTS 2026'!B1131),"",IF(AND(OR($E1131="INFRUCTUEUX",$E1131="ANNULE"),$C1131="AOO-M"),'ENGAGEMENTS 2026'!O1131,IF($H1131="EN COURS DE PREENGAGEMENT",'ENGAGEMENTS 2026'!N1131,IF($H1131="PREENGAGE",IF($E1131="ATTRIBUE",'ENGAGEMENTS 2026'!AD1131,'ENGAGEMENTS 2026'!N1131),'ENGAGEMENTS 2026'!AD1131))))</f>
        <v/>
      </c>
      <c r="K1131" s="604">
        <f>IF(ISBLANK('ENGAGEMENTS 2026'!V1131),"",'ENGAGEMENTS 2026'!V1131)</f>
        <v/>
      </c>
      <c r="L1131" s="276">
        <f>IF($K1131="","",TODAY()-$K1131)</f>
        <v/>
      </c>
      <c r="M1131">
        <f>IF($A1131="","",IF($H1131="ENGAGE","Engagé",IF(AND($H1131="NON ENGAGE",OR($I1131="INFRUCTUEUX",$I1131="ANNULE")),"Clôturé sans suite","En cours")))</f>
        <v/>
      </c>
      <c r="N1131">
        <f>IF(ISBLANK('ENGAGEMENTS 2026'!B1131),"",'ENGAGEMENTS 2026'!K1131)</f>
        <v/>
      </c>
      <c r="O1131">
        <f>IF(ISBLANK('ENGAGEMENTS 2026'!B1131),"",'ENGAGEMENTS 2026'!L1131)</f>
        <v/>
      </c>
      <c r="P1131">
        <f>IF(ISBLANK('ENGAGEMENTS 2026'!B1131),"",'ENGAGEMENTS 2026'!J1131)</f>
        <v/>
      </c>
      <c r="Q1131">
        <f>IF($A1131="","",IF(OR($E1131="INFRUCTUEUX",$E1131="ANNULE"),$A1131&amp;"|"&amp;(COUNTIFS($A$2:$A1131,$A1131,$E$2:$E1131,"INFRUCTUEUX")+COUNTIFS($A$2:$A1131,$A1131,$E$2:$E1131,"ANNULE")),""))</f>
        <v/>
      </c>
    </row>
    <row r="1132">
      <c r="A1132">
        <f>IF(ISBLANK('ENGAGEMENTS 2026'!B1132),"",IF('ENGAGEMENTS 2026'!B1132="DTSI","DCT",'ENGAGEMENTS 2026'!B1132))</f>
        <v/>
      </c>
      <c r="B1132">
        <f>IF(ISBLANK('ENGAGEMENTS 2026'!B1132),"",'ENGAGEMENTS 2026'!C1132)</f>
        <v/>
      </c>
      <c r="C1132">
        <f>IF(ISBLANK('ENGAGEMENTS 2026'!B1132),"",'ENGAGEMENTS 2026'!D1132)</f>
        <v/>
      </c>
      <c r="D1132">
        <f>IF(ISBLANK('ENGAGEMENTS 2026'!B1132),"",'ENGAGEMENTS 2026'!F1132)</f>
        <v/>
      </c>
      <c r="E1132">
        <f>IF(ISBLANK('ENGAGEMENTS 2026'!B1132),"",'ENGAGEMENTS 2026'!H1132)</f>
        <v/>
      </c>
      <c r="F1132">
        <f>IF(ISBLANK('ENGAGEMENTS 2026'!B1132),"",'ENGAGEMENTS 2026'!I1132)</f>
        <v/>
      </c>
      <c r="G1132">
        <f>IF(ISBLANK('ENGAGEMENTS 2026'!B1132),"",'ENGAGEMENTS 2026'!L1132)</f>
        <v/>
      </c>
      <c r="H1132">
        <f>IF(ISBLANK('ENGAGEMENTS 2026'!B1132),"",'ENGAGEMENTS 2026'!AE1132)</f>
        <v/>
      </c>
      <c r="I1132">
        <f>IF(ISBLANK('ENGAGEMENTS 2026'!B1132),"",'ENGAGEMENTS 2026'!G1132)</f>
        <v/>
      </c>
      <c r="J1132" s="275">
        <f>IF(ISBLANK('ENGAGEMENTS 2026'!B1132),"",IF(AND(OR($E1132="INFRUCTUEUX",$E1132="ANNULE"),$C1132="AOO-M"),'ENGAGEMENTS 2026'!O1132,IF($H1132="EN COURS DE PREENGAGEMENT",'ENGAGEMENTS 2026'!N1132,IF($H1132="PREENGAGE",IF($E1132="ATTRIBUE",'ENGAGEMENTS 2026'!AD1132,'ENGAGEMENTS 2026'!N1132),'ENGAGEMENTS 2026'!AD1132))))</f>
        <v/>
      </c>
      <c r="K1132" s="604">
        <f>IF(ISBLANK('ENGAGEMENTS 2026'!V1132),"",'ENGAGEMENTS 2026'!V1132)</f>
        <v/>
      </c>
      <c r="L1132" s="276">
        <f>IF($K1132="","",TODAY()-$K1132)</f>
        <v/>
      </c>
      <c r="M1132">
        <f>IF($A1132="","",IF($H1132="ENGAGE","Engagé",IF(AND($H1132="NON ENGAGE",OR($I1132="INFRUCTUEUX",$I1132="ANNULE")),"Clôturé sans suite","En cours")))</f>
        <v/>
      </c>
      <c r="N1132">
        <f>IF(ISBLANK('ENGAGEMENTS 2026'!B1132),"",'ENGAGEMENTS 2026'!K1132)</f>
        <v/>
      </c>
      <c r="O1132">
        <f>IF(ISBLANK('ENGAGEMENTS 2026'!B1132),"",'ENGAGEMENTS 2026'!L1132)</f>
        <v/>
      </c>
      <c r="P1132">
        <f>IF(ISBLANK('ENGAGEMENTS 2026'!B1132),"",'ENGAGEMENTS 2026'!J1132)</f>
        <v/>
      </c>
      <c r="Q1132">
        <f>IF($A1132="","",IF(OR($E1132="INFRUCTUEUX",$E1132="ANNULE"),$A1132&amp;"|"&amp;(COUNTIFS($A$2:$A1132,$A1132,$E$2:$E1132,"INFRUCTUEUX")+COUNTIFS($A$2:$A1132,$A1132,$E$2:$E1132,"ANNULE")),""))</f>
        <v/>
      </c>
    </row>
    <row r="1133">
      <c r="A1133">
        <f>IF(ISBLANK('ENGAGEMENTS 2026'!B1133),"",IF('ENGAGEMENTS 2026'!B1133="DTSI","DCT",'ENGAGEMENTS 2026'!B1133))</f>
        <v/>
      </c>
      <c r="B1133">
        <f>IF(ISBLANK('ENGAGEMENTS 2026'!B1133),"",'ENGAGEMENTS 2026'!C1133)</f>
        <v/>
      </c>
      <c r="C1133">
        <f>IF(ISBLANK('ENGAGEMENTS 2026'!B1133),"",'ENGAGEMENTS 2026'!D1133)</f>
        <v/>
      </c>
      <c r="D1133">
        <f>IF(ISBLANK('ENGAGEMENTS 2026'!B1133),"",'ENGAGEMENTS 2026'!F1133)</f>
        <v/>
      </c>
      <c r="E1133">
        <f>IF(ISBLANK('ENGAGEMENTS 2026'!B1133),"",'ENGAGEMENTS 2026'!H1133)</f>
        <v/>
      </c>
      <c r="F1133">
        <f>IF(ISBLANK('ENGAGEMENTS 2026'!B1133),"",'ENGAGEMENTS 2026'!I1133)</f>
        <v/>
      </c>
      <c r="G1133">
        <f>IF(ISBLANK('ENGAGEMENTS 2026'!B1133),"",'ENGAGEMENTS 2026'!L1133)</f>
        <v/>
      </c>
      <c r="H1133">
        <f>IF(ISBLANK('ENGAGEMENTS 2026'!B1133),"",'ENGAGEMENTS 2026'!AE1133)</f>
        <v/>
      </c>
      <c r="I1133">
        <f>IF(ISBLANK('ENGAGEMENTS 2026'!B1133),"",'ENGAGEMENTS 2026'!G1133)</f>
        <v/>
      </c>
      <c r="J1133" s="275">
        <f>IF(ISBLANK('ENGAGEMENTS 2026'!B1133),"",IF(AND(OR($E1133="INFRUCTUEUX",$E1133="ANNULE"),$C1133="AOO-M"),'ENGAGEMENTS 2026'!O1133,IF($H1133="EN COURS DE PREENGAGEMENT",'ENGAGEMENTS 2026'!N1133,IF($H1133="PREENGAGE",IF($E1133="ATTRIBUE",'ENGAGEMENTS 2026'!AD1133,'ENGAGEMENTS 2026'!N1133),'ENGAGEMENTS 2026'!AD1133))))</f>
        <v/>
      </c>
      <c r="K1133" s="604">
        <f>IF(ISBLANK('ENGAGEMENTS 2026'!V1133),"",'ENGAGEMENTS 2026'!V1133)</f>
        <v/>
      </c>
      <c r="L1133" s="276">
        <f>IF($K1133="","",TODAY()-$K1133)</f>
        <v/>
      </c>
      <c r="M1133">
        <f>IF($A1133="","",IF($H1133="ENGAGE","Engagé",IF(AND($H1133="NON ENGAGE",OR($I1133="INFRUCTUEUX",$I1133="ANNULE")),"Clôturé sans suite","En cours")))</f>
        <v/>
      </c>
      <c r="N1133">
        <f>IF(ISBLANK('ENGAGEMENTS 2026'!B1133),"",'ENGAGEMENTS 2026'!K1133)</f>
        <v/>
      </c>
      <c r="O1133">
        <f>IF(ISBLANK('ENGAGEMENTS 2026'!B1133),"",'ENGAGEMENTS 2026'!L1133)</f>
        <v/>
      </c>
      <c r="P1133">
        <f>IF(ISBLANK('ENGAGEMENTS 2026'!B1133),"",'ENGAGEMENTS 2026'!J1133)</f>
        <v/>
      </c>
      <c r="Q1133">
        <f>IF($A1133="","",IF(OR($E1133="INFRUCTUEUX",$E1133="ANNULE"),$A1133&amp;"|"&amp;(COUNTIFS($A$2:$A1133,$A1133,$E$2:$E1133,"INFRUCTUEUX")+COUNTIFS($A$2:$A1133,$A1133,$E$2:$E1133,"ANNULE")),""))</f>
        <v/>
      </c>
    </row>
    <row r="1134">
      <c r="A1134">
        <f>IF(ISBLANK('ENGAGEMENTS 2026'!B1134),"",IF('ENGAGEMENTS 2026'!B1134="DTSI","DCT",'ENGAGEMENTS 2026'!B1134))</f>
        <v/>
      </c>
      <c r="B1134">
        <f>IF(ISBLANK('ENGAGEMENTS 2026'!B1134),"",'ENGAGEMENTS 2026'!C1134)</f>
        <v/>
      </c>
      <c r="C1134">
        <f>IF(ISBLANK('ENGAGEMENTS 2026'!B1134),"",'ENGAGEMENTS 2026'!D1134)</f>
        <v/>
      </c>
      <c r="D1134">
        <f>IF(ISBLANK('ENGAGEMENTS 2026'!B1134),"",'ENGAGEMENTS 2026'!F1134)</f>
        <v/>
      </c>
      <c r="E1134">
        <f>IF(ISBLANK('ENGAGEMENTS 2026'!B1134),"",'ENGAGEMENTS 2026'!H1134)</f>
        <v/>
      </c>
      <c r="F1134">
        <f>IF(ISBLANK('ENGAGEMENTS 2026'!B1134),"",'ENGAGEMENTS 2026'!I1134)</f>
        <v/>
      </c>
      <c r="G1134">
        <f>IF(ISBLANK('ENGAGEMENTS 2026'!B1134),"",'ENGAGEMENTS 2026'!L1134)</f>
        <v/>
      </c>
      <c r="H1134">
        <f>IF(ISBLANK('ENGAGEMENTS 2026'!B1134),"",'ENGAGEMENTS 2026'!AE1134)</f>
        <v/>
      </c>
      <c r="I1134">
        <f>IF(ISBLANK('ENGAGEMENTS 2026'!B1134),"",'ENGAGEMENTS 2026'!G1134)</f>
        <v/>
      </c>
      <c r="J1134" s="275">
        <f>IF(ISBLANK('ENGAGEMENTS 2026'!B1134),"",IF(AND(OR($E1134="INFRUCTUEUX",$E1134="ANNULE"),$C1134="AOO-M"),'ENGAGEMENTS 2026'!O1134,IF($H1134="EN COURS DE PREENGAGEMENT",'ENGAGEMENTS 2026'!N1134,IF($H1134="PREENGAGE",IF($E1134="ATTRIBUE",'ENGAGEMENTS 2026'!AD1134,'ENGAGEMENTS 2026'!N1134),'ENGAGEMENTS 2026'!AD1134))))</f>
        <v/>
      </c>
      <c r="K1134" s="604">
        <f>IF(ISBLANK('ENGAGEMENTS 2026'!V1134),"",'ENGAGEMENTS 2026'!V1134)</f>
        <v/>
      </c>
      <c r="L1134" s="276">
        <f>IF($K1134="","",TODAY()-$K1134)</f>
        <v/>
      </c>
      <c r="M1134">
        <f>IF($A1134="","",IF($H1134="ENGAGE","Engagé",IF(AND($H1134="NON ENGAGE",OR($I1134="INFRUCTUEUX",$I1134="ANNULE")),"Clôturé sans suite","En cours")))</f>
        <v/>
      </c>
      <c r="N1134">
        <f>IF(ISBLANK('ENGAGEMENTS 2026'!B1134),"",'ENGAGEMENTS 2026'!K1134)</f>
        <v/>
      </c>
      <c r="O1134">
        <f>IF(ISBLANK('ENGAGEMENTS 2026'!B1134),"",'ENGAGEMENTS 2026'!L1134)</f>
        <v/>
      </c>
      <c r="P1134">
        <f>IF(ISBLANK('ENGAGEMENTS 2026'!B1134),"",'ENGAGEMENTS 2026'!J1134)</f>
        <v/>
      </c>
      <c r="Q1134">
        <f>IF($A1134="","",IF(OR($E1134="INFRUCTUEUX",$E1134="ANNULE"),$A1134&amp;"|"&amp;(COUNTIFS($A$2:$A1134,$A1134,$E$2:$E1134,"INFRUCTUEUX")+COUNTIFS($A$2:$A1134,$A1134,$E$2:$E1134,"ANNULE")),""))</f>
        <v/>
      </c>
    </row>
    <row r="1135">
      <c r="A1135">
        <f>IF(ISBLANK('ENGAGEMENTS 2026'!B1135),"",IF('ENGAGEMENTS 2026'!B1135="DTSI","DCT",'ENGAGEMENTS 2026'!B1135))</f>
        <v/>
      </c>
      <c r="B1135">
        <f>IF(ISBLANK('ENGAGEMENTS 2026'!B1135),"",'ENGAGEMENTS 2026'!C1135)</f>
        <v/>
      </c>
      <c r="C1135">
        <f>IF(ISBLANK('ENGAGEMENTS 2026'!B1135),"",'ENGAGEMENTS 2026'!D1135)</f>
        <v/>
      </c>
      <c r="D1135">
        <f>IF(ISBLANK('ENGAGEMENTS 2026'!B1135),"",'ENGAGEMENTS 2026'!F1135)</f>
        <v/>
      </c>
      <c r="E1135">
        <f>IF(ISBLANK('ENGAGEMENTS 2026'!B1135),"",'ENGAGEMENTS 2026'!H1135)</f>
        <v/>
      </c>
      <c r="F1135">
        <f>IF(ISBLANK('ENGAGEMENTS 2026'!B1135),"",'ENGAGEMENTS 2026'!I1135)</f>
        <v/>
      </c>
      <c r="G1135">
        <f>IF(ISBLANK('ENGAGEMENTS 2026'!B1135),"",'ENGAGEMENTS 2026'!L1135)</f>
        <v/>
      </c>
      <c r="H1135">
        <f>IF(ISBLANK('ENGAGEMENTS 2026'!B1135),"",'ENGAGEMENTS 2026'!AE1135)</f>
        <v/>
      </c>
      <c r="I1135">
        <f>IF(ISBLANK('ENGAGEMENTS 2026'!B1135),"",'ENGAGEMENTS 2026'!G1135)</f>
        <v/>
      </c>
      <c r="J1135" s="275">
        <f>IF(ISBLANK('ENGAGEMENTS 2026'!B1135),"",IF(AND(OR($E1135="INFRUCTUEUX",$E1135="ANNULE"),$C1135="AOO-M"),'ENGAGEMENTS 2026'!O1135,IF($H1135="EN COURS DE PREENGAGEMENT",'ENGAGEMENTS 2026'!N1135,IF($H1135="PREENGAGE",IF($E1135="ATTRIBUE",'ENGAGEMENTS 2026'!AD1135,'ENGAGEMENTS 2026'!N1135),'ENGAGEMENTS 2026'!AD1135))))</f>
        <v/>
      </c>
      <c r="K1135" s="604">
        <f>IF(ISBLANK('ENGAGEMENTS 2026'!V1135),"",'ENGAGEMENTS 2026'!V1135)</f>
        <v/>
      </c>
      <c r="L1135" s="276">
        <f>IF($K1135="","",TODAY()-$K1135)</f>
        <v/>
      </c>
      <c r="M1135">
        <f>IF($A1135="","",IF($H1135="ENGAGE","Engagé",IF(AND($H1135="NON ENGAGE",OR($I1135="INFRUCTUEUX",$I1135="ANNULE")),"Clôturé sans suite","En cours")))</f>
        <v/>
      </c>
      <c r="N1135">
        <f>IF(ISBLANK('ENGAGEMENTS 2026'!B1135),"",'ENGAGEMENTS 2026'!K1135)</f>
        <v/>
      </c>
      <c r="O1135">
        <f>IF(ISBLANK('ENGAGEMENTS 2026'!B1135),"",'ENGAGEMENTS 2026'!L1135)</f>
        <v/>
      </c>
      <c r="P1135">
        <f>IF(ISBLANK('ENGAGEMENTS 2026'!B1135),"",'ENGAGEMENTS 2026'!J1135)</f>
        <v/>
      </c>
      <c r="Q1135">
        <f>IF($A1135="","",IF(OR($E1135="INFRUCTUEUX",$E1135="ANNULE"),$A1135&amp;"|"&amp;(COUNTIFS($A$2:$A1135,$A1135,$E$2:$E1135,"INFRUCTUEUX")+COUNTIFS($A$2:$A1135,$A1135,$E$2:$E1135,"ANNULE")),""))</f>
        <v/>
      </c>
    </row>
    <row r="1136">
      <c r="A1136">
        <f>IF(ISBLANK('ENGAGEMENTS 2026'!B1136),"",IF('ENGAGEMENTS 2026'!B1136="DTSI","DCT",'ENGAGEMENTS 2026'!B1136))</f>
        <v/>
      </c>
      <c r="B1136">
        <f>IF(ISBLANK('ENGAGEMENTS 2026'!B1136),"",'ENGAGEMENTS 2026'!C1136)</f>
        <v/>
      </c>
      <c r="C1136">
        <f>IF(ISBLANK('ENGAGEMENTS 2026'!B1136),"",'ENGAGEMENTS 2026'!D1136)</f>
        <v/>
      </c>
      <c r="D1136">
        <f>IF(ISBLANK('ENGAGEMENTS 2026'!B1136),"",'ENGAGEMENTS 2026'!F1136)</f>
        <v/>
      </c>
      <c r="E1136">
        <f>IF(ISBLANK('ENGAGEMENTS 2026'!B1136),"",'ENGAGEMENTS 2026'!H1136)</f>
        <v/>
      </c>
      <c r="F1136">
        <f>IF(ISBLANK('ENGAGEMENTS 2026'!B1136),"",'ENGAGEMENTS 2026'!I1136)</f>
        <v/>
      </c>
      <c r="G1136">
        <f>IF(ISBLANK('ENGAGEMENTS 2026'!B1136),"",'ENGAGEMENTS 2026'!L1136)</f>
        <v/>
      </c>
      <c r="H1136">
        <f>IF(ISBLANK('ENGAGEMENTS 2026'!B1136),"",'ENGAGEMENTS 2026'!AE1136)</f>
        <v/>
      </c>
      <c r="I1136">
        <f>IF(ISBLANK('ENGAGEMENTS 2026'!B1136),"",'ENGAGEMENTS 2026'!G1136)</f>
        <v/>
      </c>
      <c r="J1136" s="275">
        <f>IF(ISBLANK('ENGAGEMENTS 2026'!B1136),"",IF(AND(OR($E1136="INFRUCTUEUX",$E1136="ANNULE"),$C1136="AOO-M"),'ENGAGEMENTS 2026'!O1136,IF($H1136="EN COURS DE PREENGAGEMENT",'ENGAGEMENTS 2026'!N1136,IF($H1136="PREENGAGE",IF($E1136="ATTRIBUE",'ENGAGEMENTS 2026'!AD1136,'ENGAGEMENTS 2026'!N1136),'ENGAGEMENTS 2026'!AD1136))))</f>
        <v/>
      </c>
      <c r="K1136" s="604">
        <f>IF(ISBLANK('ENGAGEMENTS 2026'!V1136),"",'ENGAGEMENTS 2026'!V1136)</f>
        <v/>
      </c>
      <c r="L1136" s="276">
        <f>IF($K1136="","",TODAY()-$K1136)</f>
        <v/>
      </c>
      <c r="M1136">
        <f>IF($A1136="","",IF($H1136="ENGAGE","Engagé",IF(AND($H1136="NON ENGAGE",OR($I1136="INFRUCTUEUX",$I1136="ANNULE")),"Clôturé sans suite","En cours")))</f>
        <v/>
      </c>
      <c r="N1136">
        <f>IF(ISBLANK('ENGAGEMENTS 2026'!B1136),"",'ENGAGEMENTS 2026'!K1136)</f>
        <v/>
      </c>
      <c r="O1136">
        <f>IF(ISBLANK('ENGAGEMENTS 2026'!B1136),"",'ENGAGEMENTS 2026'!L1136)</f>
        <v/>
      </c>
      <c r="P1136">
        <f>IF(ISBLANK('ENGAGEMENTS 2026'!B1136),"",'ENGAGEMENTS 2026'!J1136)</f>
        <v/>
      </c>
      <c r="Q1136">
        <f>IF($A1136="","",IF(OR($E1136="INFRUCTUEUX",$E1136="ANNULE"),$A1136&amp;"|"&amp;(COUNTIFS($A$2:$A1136,$A1136,$E$2:$E1136,"INFRUCTUEUX")+COUNTIFS($A$2:$A1136,$A1136,$E$2:$E1136,"ANNULE")),""))</f>
        <v/>
      </c>
    </row>
    <row r="1137">
      <c r="A1137">
        <f>IF(ISBLANK('ENGAGEMENTS 2026'!B1137),"",IF('ENGAGEMENTS 2026'!B1137="DTSI","DCT",'ENGAGEMENTS 2026'!B1137))</f>
        <v/>
      </c>
      <c r="B1137">
        <f>IF(ISBLANK('ENGAGEMENTS 2026'!B1137),"",'ENGAGEMENTS 2026'!C1137)</f>
        <v/>
      </c>
      <c r="C1137">
        <f>IF(ISBLANK('ENGAGEMENTS 2026'!B1137),"",'ENGAGEMENTS 2026'!D1137)</f>
        <v/>
      </c>
      <c r="D1137">
        <f>IF(ISBLANK('ENGAGEMENTS 2026'!B1137),"",'ENGAGEMENTS 2026'!F1137)</f>
        <v/>
      </c>
      <c r="E1137">
        <f>IF(ISBLANK('ENGAGEMENTS 2026'!B1137),"",'ENGAGEMENTS 2026'!H1137)</f>
        <v/>
      </c>
      <c r="F1137">
        <f>IF(ISBLANK('ENGAGEMENTS 2026'!B1137),"",'ENGAGEMENTS 2026'!I1137)</f>
        <v/>
      </c>
      <c r="G1137">
        <f>IF(ISBLANK('ENGAGEMENTS 2026'!B1137),"",'ENGAGEMENTS 2026'!L1137)</f>
        <v/>
      </c>
      <c r="H1137">
        <f>IF(ISBLANK('ENGAGEMENTS 2026'!B1137),"",'ENGAGEMENTS 2026'!AE1137)</f>
        <v/>
      </c>
      <c r="I1137">
        <f>IF(ISBLANK('ENGAGEMENTS 2026'!B1137),"",'ENGAGEMENTS 2026'!G1137)</f>
        <v/>
      </c>
      <c r="J1137" s="275">
        <f>IF(ISBLANK('ENGAGEMENTS 2026'!B1137),"",IF(AND(OR($E1137="INFRUCTUEUX",$E1137="ANNULE"),$C1137="AOO-M"),'ENGAGEMENTS 2026'!O1137,IF($H1137="EN COURS DE PREENGAGEMENT",'ENGAGEMENTS 2026'!N1137,IF($H1137="PREENGAGE",IF($E1137="ATTRIBUE",'ENGAGEMENTS 2026'!AD1137,'ENGAGEMENTS 2026'!N1137),'ENGAGEMENTS 2026'!AD1137))))</f>
        <v/>
      </c>
      <c r="K1137" s="604">
        <f>IF(ISBLANK('ENGAGEMENTS 2026'!V1137),"",'ENGAGEMENTS 2026'!V1137)</f>
        <v/>
      </c>
      <c r="L1137" s="276">
        <f>IF($K1137="","",TODAY()-$K1137)</f>
        <v/>
      </c>
      <c r="M1137">
        <f>IF($A1137="","",IF($H1137="ENGAGE","Engagé",IF(AND($H1137="NON ENGAGE",OR($I1137="INFRUCTUEUX",$I1137="ANNULE")),"Clôturé sans suite","En cours")))</f>
        <v/>
      </c>
      <c r="N1137">
        <f>IF(ISBLANK('ENGAGEMENTS 2026'!B1137),"",'ENGAGEMENTS 2026'!K1137)</f>
        <v/>
      </c>
      <c r="O1137">
        <f>IF(ISBLANK('ENGAGEMENTS 2026'!B1137),"",'ENGAGEMENTS 2026'!L1137)</f>
        <v/>
      </c>
      <c r="P1137">
        <f>IF(ISBLANK('ENGAGEMENTS 2026'!B1137),"",'ENGAGEMENTS 2026'!J1137)</f>
        <v/>
      </c>
      <c r="Q1137">
        <f>IF($A1137="","",IF(OR($E1137="INFRUCTUEUX",$E1137="ANNULE"),$A1137&amp;"|"&amp;(COUNTIFS($A$2:$A1137,$A1137,$E$2:$E1137,"INFRUCTUEUX")+COUNTIFS($A$2:$A1137,$A1137,$E$2:$E1137,"ANNULE")),""))</f>
        <v/>
      </c>
    </row>
    <row r="1138">
      <c r="A1138">
        <f>IF(ISBLANK('ENGAGEMENTS 2026'!B1138),"",IF('ENGAGEMENTS 2026'!B1138="DTSI","DCT",'ENGAGEMENTS 2026'!B1138))</f>
        <v/>
      </c>
      <c r="B1138">
        <f>IF(ISBLANK('ENGAGEMENTS 2026'!B1138),"",'ENGAGEMENTS 2026'!C1138)</f>
        <v/>
      </c>
      <c r="C1138">
        <f>IF(ISBLANK('ENGAGEMENTS 2026'!B1138),"",'ENGAGEMENTS 2026'!D1138)</f>
        <v/>
      </c>
      <c r="D1138">
        <f>IF(ISBLANK('ENGAGEMENTS 2026'!B1138),"",'ENGAGEMENTS 2026'!F1138)</f>
        <v/>
      </c>
      <c r="E1138">
        <f>IF(ISBLANK('ENGAGEMENTS 2026'!B1138),"",'ENGAGEMENTS 2026'!H1138)</f>
        <v/>
      </c>
      <c r="F1138">
        <f>IF(ISBLANK('ENGAGEMENTS 2026'!B1138),"",'ENGAGEMENTS 2026'!I1138)</f>
        <v/>
      </c>
      <c r="G1138">
        <f>IF(ISBLANK('ENGAGEMENTS 2026'!B1138),"",'ENGAGEMENTS 2026'!L1138)</f>
        <v/>
      </c>
      <c r="H1138">
        <f>IF(ISBLANK('ENGAGEMENTS 2026'!B1138),"",'ENGAGEMENTS 2026'!AE1138)</f>
        <v/>
      </c>
      <c r="I1138">
        <f>IF(ISBLANK('ENGAGEMENTS 2026'!B1138),"",'ENGAGEMENTS 2026'!G1138)</f>
        <v/>
      </c>
      <c r="J1138" s="275">
        <f>IF(ISBLANK('ENGAGEMENTS 2026'!B1138),"",IF(AND(OR($E1138="INFRUCTUEUX",$E1138="ANNULE"),$C1138="AOO-M"),'ENGAGEMENTS 2026'!O1138,IF($H1138="EN COURS DE PREENGAGEMENT",'ENGAGEMENTS 2026'!N1138,IF($H1138="PREENGAGE",IF($E1138="ATTRIBUE",'ENGAGEMENTS 2026'!AD1138,'ENGAGEMENTS 2026'!N1138),'ENGAGEMENTS 2026'!AD1138))))</f>
        <v/>
      </c>
      <c r="K1138" s="604">
        <f>IF(ISBLANK('ENGAGEMENTS 2026'!V1138),"",'ENGAGEMENTS 2026'!V1138)</f>
        <v/>
      </c>
      <c r="L1138" s="276">
        <f>IF($K1138="","",TODAY()-$K1138)</f>
        <v/>
      </c>
      <c r="M1138">
        <f>IF($A1138="","",IF($H1138="ENGAGE","Engagé",IF(AND($H1138="NON ENGAGE",OR($I1138="INFRUCTUEUX",$I1138="ANNULE")),"Clôturé sans suite","En cours")))</f>
        <v/>
      </c>
      <c r="N1138">
        <f>IF(ISBLANK('ENGAGEMENTS 2026'!B1138),"",'ENGAGEMENTS 2026'!K1138)</f>
        <v/>
      </c>
      <c r="O1138">
        <f>IF(ISBLANK('ENGAGEMENTS 2026'!B1138),"",'ENGAGEMENTS 2026'!L1138)</f>
        <v/>
      </c>
      <c r="P1138">
        <f>IF(ISBLANK('ENGAGEMENTS 2026'!B1138),"",'ENGAGEMENTS 2026'!J1138)</f>
        <v/>
      </c>
      <c r="Q1138">
        <f>IF($A1138="","",IF(OR($E1138="INFRUCTUEUX",$E1138="ANNULE"),$A1138&amp;"|"&amp;(COUNTIFS($A$2:$A1138,$A1138,$E$2:$E1138,"INFRUCTUEUX")+COUNTIFS($A$2:$A1138,$A1138,$E$2:$E1138,"ANNULE")),""))</f>
        <v/>
      </c>
    </row>
    <row r="1139">
      <c r="A1139">
        <f>IF(ISBLANK('ENGAGEMENTS 2026'!B1139),"",IF('ENGAGEMENTS 2026'!B1139="DTSI","DCT",'ENGAGEMENTS 2026'!B1139))</f>
        <v/>
      </c>
      <c r="B1139">
        <f>IF(ISBLANK('ENGAGEMENTS 2026'!B1139),"",'ENGAGEMENTS 2026'!C1139)</f>
        <v/>
      </c>
      <c r="C1139">
        <f>IF(ISBLANK('ENGAGEMENTS 2026'!B1139),"",'ENGAGEMENTS 2026'!D1139)</f>
        <v/>
      </c>
      <c r="D1139">
        <f>IF(ISBLANK('ENGAGEMENTS 2026'!B1139),"",'ENGAGEMENTS 2026'!F1139)</f>
        <v/>
      </c>
      <c r="E1139">
        <f>IF(ISBLANK('ENGAGEMENTS 2026'!B1139),"",'ENGAGEMENTS 2026'!H1139)</f>
        <v/>
      </c>
      <c r="F1139">
        <f>IF(ISBLANK('ENGAGEMENTS 2026'!B1139),"",'ENGAGEMENTS 2026'!I1139)</f>
        <v/>
      </c>
      <c r="G1139">
        <f>IF(ISBLANK('ENGAGEMENTS 2026'!B1139),"",'ENGAGEMENTS 2026'!L1139)</f>
        <v/>
      </c>
      <c r="H1139">
        <f>IF(ISBLANK('ENGAGEMENTS 2026'!B1139),"",'ENGAGEMENTS 2026'!AE1139)</f>
        <v/>
      </c>
      <c r="I1139">
        <f>IF(ISBLANK('ENGAGEMENTS 2026'!B1139),"",'ENGAGEMENTS 2026'!G1139)</f>
        <v/>
      </c>
      <c r="J1139" s="275">
        <f>IF(ISBLANK('ENGAGEMENTS 2026'!B1139),"",IF(AND(OR($E1139="INFRUCTUEUX",$E1139="ANNULE"),$C1139="AOO-M"),'ENGAGEMENTS 2026'!O1139,IF($H1139="EN COURS DE PREENGAGEMENT",'ENGAGEMENTS 2026'!N1139,IF($H1139="PREENGAGE",IF($E1139="ATTRIBUE",'ENGAGEMENTS 2026'!AD1139,'ENGAGEMENTS 2026'!N1139),'ENGAGEMENTS 2026'!AD1139))))</f>
        <v/>
      </c>
      <c r="K1139" s="604">
        <f>IF(ISBLANK('ENGAGEMENTS 2026'!V1139),"",'ENGAGEMENTS 2026'!V1139)</f>
        <v/>
      </c>
      <c r="L1139" s="276">
        <f>IF($K1139="","",TODAY()-$K1139)</f>
        <v/>
      </c>
      <c r="M1139">
        <f>IF($A1139="","",IF($H1139="ENGAGE","Engagé",IF(AND($H1139="NON ENGAGE",OR($I1139="INFRUCTUEUX",$I1139="ANNULE")),"Clôturé sans suite","En cours")))</f>
        <v/>
      </c>
      <c r="N1139">
        <f>IF(ISBLANK('ENGAGEMENTS 2026'!B1139),"",'ENGAGEMENTS 2026'!K1139)</f>
        <v/>
      </c>
      <c r="O1139">
        <f>IF(ISBLANK('ENGAGEMENTS 2026'!B1139),"",'ENGAGEMENTS 2026'!L1139)</f>
        <v/>
      </c>
      <c r="P1139">
        <f>IF(ISBLANK('ENGAGEMENTS 2026'!B1139),"",'ENGAGEMENTS 2026'!J1139)</f>
        <v/>
      </c>
      <c r="Q1139">
        <f>IF($A1139="","",IF(OR($E1139="INFRUCTUEUX",$E1139="ANNULE"),$A1139&amp;"|"&amp;(COUNTIFS($A$2:$A1139,$A1139,$E$2:$E1139,"INFRUCTUEUX")+COUNTIFS($A$2:$A1139,$A1139,$E$2:$E1139,"ANNULE")),""))</f>
        <v/>
      </c>
    </row>
    <row r="1140">
      <c r="A1140">
        <f>IF(ISBLANK('ENGAGEMENTS 2026'!B1140),"",IF('ENGAGEMENTS 2026'!B1140="DTSI","DCT",'ENGAGEMENTS 2026'!B1140))</f>
        <v/>
      </c>
      <c r="B1140">
        <f>IF(ISBLANK('ENGAGEMENTS 2026'!B1140),"",'ENGAGEMENTS 2026'!C1140)</f>
        <v/>
      </c>
      <c r="C1140">
        <f>IF(ISBLANK('ENGAGEMENTS 2026'!B1140),"",'ENGAGEMENTS 2026'!D1140)</f>
        <v/>
      </c>
      <c r="D1140">
        <f>IF(ISBLANK('ENGAGEMENTS 2026'!B1140),"",'ENGAGEMENTS 2026'!F1140)</f>
        <v/>
      </c>
      <c r="E1140">
        <f>IF(ISBLANK('ENGAGEMENTS 2026'!B1140),"",'ENGAGEMENTS 2026'!H1140)</f>
        <v/>
      </c>
      <c r="F1140">
        <f>IF(ISBLANK('ENGAGEMENTS 2026'!B1140),"",'ENGAGEMENTS 2026'!I1140)</f>
        <v/>
      </c>
      <c r="G1140">
        <f>IF(ISBLANK('ENGAGEMENTS 2026'!B1140),"",'ENGAGEMENTS 2026'!L1140)</f>
        <v/>
      </c>
      <c r="H1140">
        <f>IF(ISBLANK('ENGAGEMENTS 2026'!B1140),"",'ENGAGEMENTS 2026'!AE1140)</f>
        <v/>
      </c>
      <c r="I1140">
        <f>IF(ISBLANK('ENGAGEMENTS 2026'!B1140),"",'ENGAGEMENTS 2026'!G1140)</f>
        <v/>
      </c>
      <c r="J1140" s="275">
        <f>IF(ISBLANK('ENGAGEMENTS 2026'!B1140),"",IF(AND(OR($E1140="INFRUCTUEUX",$E1140="ANNULE"),$C1140="AOO-M"),'ENGAGEMENTS 2026'!O1140,IF($H1140="EN COURS DE PREENGAGEMENT",'ENGAGEMENTS 2026'!N1140,IF($H1140="PREENGAGE",IF($E1140="ATTRIBUE",'ENGAGEMENTS 2026'!AD1140,'ENGAGEMENTS 2026'!N1140),'ENGAGEMENTS 2026'!AD1140))))</f>
        <v/>
      </c>
      <c r="K1140" s="604">
        <f>IF(ISBLANK('ENGAGEMENTS 2026'!V1140),"",'ENGAGEMENTS 2026'!V1140)</f>
        <v/>
      </c>
      <c r="L1140" s="276">
        <f>IF($K1140="","",TODAY()-$K1140)</f>
        <v/>
      </c>
      <c r="M1140">
        <f>IF($A1140="","",IF($H1140="ENGAGE","Engagé",IF(AND($H1140="NON ENGAGE",OR($I1140="INFRUCTUEUX",$I1140="ANNULE")),"Clôturé sans suite","En cours")))</f>
        <v/>
      </c>
      <c r="N1140">
        <f>IF(ISBLANK('ENGAGEMENTS 2026'!B1140),"",'ENGAGEMENTS 2026'!K1140)</f>
        <v/>
      </c>
      <c r="O1140">
        <f>IF(ISBLANK('ENGAGEMENTS 2026'!B1140),"",'ENGAGEMENTS 2026'!L1140)</f>
        <v/>
      </c>
      <c r="P1140">
        <f>IF(ISBLANK('ENGAGEMENTS 2026'!B1140),"",'ENGAGEMENTS 2026'!J1140)</f>
        <v/>
      </c>
      <c r="Q1140">
        <f>IF($A1140="","",IF(OR($E1140="INFRUCTUEUX",$E1140="ANNULE"),$A1140&amp;"|"&amp;(COUNTIFS($A$2:$A1140,$A1140,$E$2:$E1140,"INFRUCTUEUX")+COUNTIFS($A$2:$A1140,$A1140,$E$2:$E1140,"ANNULE")),""))</f>
        <v/>
      </c>
    </row>
    <row r="1141">
      <c r="A1141">
        <f>IF(ISBLANK('ENGAGEMENTS 2026'!B1141),"",IF('ENGAGEMENTS 2026'!B1141="DTSI","DCT",'ENGAGEMENTS 2026'!B1141))</f>
        <v/>
      </c>
      <c r="B1141">
        <f>IF(ISBLANK('ENGAGEMENTS 2026'!B1141),"",'ENGAGEMENTS 2026'!C1141)</f>
        <v/>
      </c>
      <c r="C1141">
        <f>IF(ISBLANK('ENGAGEMENTS 2026'!B1141),"",'ENGAGEMENTS 2026'!D1141)</f>
        <v/>
      </c>
      <c r="D1141">
        <f>IF(ISBLANK('ENGAGEMENTS 2026'!B1141),"",'ENGAGEMENTS 2026'!F1141)</f>
        <v/>
      </c>
      <c r="E1141">
        <f>IF(ISBLANK('ENGAGEMENTS 2026'!B1141),"",'ENGAGEMENTS 2026'!H1141)</f>
        <v/>
      </c>
      <c r="F1141">
        <f>IF(ISBLANK('ENGAGEMENTS 2026'!B1141),"",'ENGAGEMENTS 2026'!I1141)</f>
        <v/>
      </c>
      <c r="G1141">
        <f>IF(ISBLANK('ENGAGEMENTS 2026'!B1141),"",'ENGAGEMENTS 2026'!L1141)</f>
        <v/>
      </c>
      <c r="H1141">
        <f>IF(ISBLANK('ENGAGEMENTS 2026'!B1141),"",'ENGAGEMENTS 2026'!AE1141)</f>
        <v/>
      </c>
      <c r="I1141">
        <f>IF(ISBLANK('ENGAGEMENTS 2026'!B1141),"",'ENGAGEMENTS 2026'!G1141)</f>
        <v/>
      </c>
      <c r="J1141" s="275">
        <f>IF(ISBLANK('ENGAGEMENTS 2026'!B1141),"",IF(AND(OR($E1141="INFRUCTUEUX",$E1141="ANNULE"),$C1141="AOO-M"),'ENGAGEMENTS 2026'!O1141,IF($H1141="EN COURS DE PREENGAGEMENT",'ENGAGEMENTS 2026'!N1141,IF($H1141="PREENGAGE",IF($E1141="ATTRIBUE",'ENGAGEMENTS 2026'!AD1141,'ENGAGEMENTS 2026'!N1141),'ENGAGEMENTS 2026'!AD1141))))</f>
        <v/>
      </c>
      <c r="K1141" s="604">
        <f>IF(ISBLANK('ENGAGEMENTS 2026'!V1141),"",'ENGAGEMENTS 2026'!V1141)</f>
        <v/>
      </c>
      <c r="L1141" s="276">
        <f>IF($K1141="","",TODAY()-$K1141)</f>
        <v/>
      </c>
      <c r="M1141">
        <f>IF($A1141="","",IF($H1141="ENGAGE","Engagé",IF(AND($H1141="NON ENGAGE",OR($I1141="INFRUCTUEUX",$I1141="ANNULE")),"Clôturé sans suite","En cours")))</f>
        <v/>
      </c>
      <c r="N1141">
        <f>IF(ISBLANK('ENGAGEMENTS 2026'!B1141),"",'ENGAGEMENTS 2026'!K1141)</f>
        <v/>
      </c>
      <c r="O1141">
        <f>IF(ISBLANK('ENGAGEMENTS 2026'!B1141),"",'ENGAGEMENTS 2026'!L1141)</f>
        <v/>
      </c>
      <c r="P1141">
        <f>IF(ISBLANK('ENGAGEMENTS 2026'!B1141),"",'ENGAGEMENTS 2026'!J1141)</f>
        <v/>
      </c>
      <c r="Q1141">
        <f>IF($A1141="","",IF(OR($E1141="INFRUCTUEUX",$E1141="ANNULE"),$A1141&amp;"|"&amp;(COUNTIFS($A$2:$A1141,$A1141,$E$2:$E1141,"INFRUCTUEUX")+COUNTIFS($A$2:$A1141,$A1141,$E$2:$E1141,"ANNULE")),""))</f>
        <v/>
      </c>
    </row>
    <row r="1142">
      <c r="A1142">
        <f>IF(ISBLANK('ENGAGEMENTS 2026'!B1142),"",IF('ENGAGEMENTS 2026'!B1142="DTSI","DCT",'ENGAGEMENTS 2026'!B1142))</f>
        <v/>
      </c>
      <c r="B1142">
        <f>IF(ISBLANK('ENGAGEMENTS 2026'!B1142),"",'ENGAGEMENTS 2026'!C1142)</f>
        <v/>
      </c>
      <c r="C1142">
        <f>IF(ISBLANK('ENGAGEMENTS 2026'!B1142),"",'ENGAGEMENTS 2026'!D1142)</f>
        <v/>
      </c>
      <c r="D1142">
        <f>IF(ISBLANK('ENGAGEMENTS 2026'!B1142),"",'ENGAGEMENTS 2026'!F1142)</f>
        <v/>
      </c>
      <c r="E1142">
        <f>IF(ISBLANK('ENGAGEMENTS 2026'!B1142),"",'ENGAGEMENTS 2026'!H1142)</f>
        <v/>
      </c>
      <c r="F1142">
        <f>IF(ISBLANK('ENGAGEMENTS 2026'!B1142),"",'ENGAGEMENTS 2026'!I1142)</f>
        <v/>
      </c>
      <c r="G1142">
        <f>IF(ISBLANK('ENGAGEMENTS 2026'!B1142),"",'ENGAGEMENTS 2026'!L1142)</f>
        <v/>
      </c>
      <c r="H1142">
        <f>IF(ISBLANK('ENGAGEMENTS 2026'!B1142),"",'ENGAGEMENTS 2026'!AE1142)</f>
        <v/>
      </c>
      <c r="I1142">
        <f>IF(ISBLANK('ENGAGEMENTS 2026'!B1142),"",'ENGAGEMENTS 2026'!G1142)</f>
        <v/>
      </c>
      <c r="J1142" s="275">
        <f>IF(ISBLANK('ENGAGEMENTS 2026'!B1142),"",IF(AND(OR($E1142="INFRUCTUEUX",$E1142="ANNULE"),$C1142="AOO-M"),'ENGAGEMENTS 2026'!O1142,IF($H1142="EN COURS DE PREENGAGEMENT",'ENGAGEMENTS 2026'!N1142,IF($H1142="PREENGAGE",IF($E1142="ATTRIBUE",'ENGAGEMENTS 2026'!AD1142,'ENGAGEMENTS 2026'!N1142),'ENGAGEMENTS 2026'!AD1142))))</f>
        <v/>
      </c>
      <c r="K1142" s="604">
        <f>IF(ISBLANK('ENGAGEMENTS 2026'!V1142),"",'ENGAGEMENTS 2026'!V1142)</f>
        <v/>
      </c>
      <c r="L1142" s="276">
        <f>IF($K1142="","",TODAY()-$K1142)</f>
        <v/>
      </c>
      <c r="M1142">
        <f>IF($A1142="","",IF($H1142="ENGAGE","Engagé",IF(AND($H1142="NON ENGAGE",OR($I1142="INFRUCTUEUX",$I1142="ANNULE")),"Clôturé sans suite","En cours")))</f>
        <v/>
      </c>
      <c r="N1142">
        <f>IF(ISBLANK('ENGAGEMENTS 2026'!B1142),"",'ENGAGEMENTS 2026'!K1142)</f>
        <v/>
      </c>
      <c r="O1142">
        <f>IF(ISBLANK('ENGAGEMENTS 2026'!B1142),"",'ENGAGEMENTS 2026'!L1142)</f>
        <v/>
      </c>
      <c r="P1142">
        <f>IF(ISBLANK('ENGAGEMENTS 2026'!B1142),"",'ENGAGEMENTS 2026'!J1142)</f>
        <v/>
      </c>
      <c r="Q1142">
        <f>IF($A1142="","",IF(OR($E1142="INFRUCTUEUX",$E1142="ANNULE"),$A1142&amp;"|"&amp;(COUNTIFS($A$2:$A1142,$A1142,$E$2:$E1142,"INFRUCTUEUX")+COUNTIFS($A$2:$A1142,$A1142,$E$2:$E1142,"ANNULE")),""))</f>
        <v/>
      </c>
    </row>
    <row r="1143">
      <c r="A1143">
        <f>IF(ISBLANK('ENGAGEMENTS 2026'!B1143),"",IF('ENGAGEMENTS 2026'!B1143="DTSI","DCT",'ENGAGEMENTS 2026'!B1143))</f>
        <v/>
      </c>
      <c r="B1143">
        <f>IF(ISBLANK('ENGAGEMENTS 2026'!B1143),"",'ENGAGEMENTS 2026'!C1143)</f>
        <v/>
      </c>
      <c r="C1143">
        <f>IF(ISBLANK('ENGAGEMENTS 2026'!B1143),"",'ENGAGEMENTS 2026'!D1143)</f>
        <v/>
      </c>
      <c r="D1143">
        <f>IF(ISBLANK('ENGAGEMENTS 2026'!B1143),"",'ENGAGEMENTS 2026'!F1143)</f>
        <v/>
      </c>
      <c r="E1143">
        <f>IF(ISBLANK('ENGAGEMENTS 2026'!B1143),"",'ENGAGEMENTS 2026'!H1143)</f>
        <v/>
      </c>
      <c r="F1143">
        <f>IF(ISBLANK('ENGAGEMENTS 2026'!B1143),"",'ENGAGEMENTS 2026'!I1143)</f>
        <v/>
      </c>
      <c r="G1143">
        <f>IF(ISBLANK('ENGAGEMENTS 2026'!B1143),"",'ENGAGEMENTS 2026'!L1143)</f>
        <v/>
      </c>
      <c r="H1143">
        <f>IF(ISBLANK('ENGAGEMENTS 2026'!B1143),"",'ENGAGEMENTS 2026'!AE1143)</f>
        <v/>
      </c>
      <c r="I1143">
        <f>IF(ISBLANK('ENGAGEMENTS 2026'!B1143),"",'ENGAGEMENTS 2026'!G1143)</f>
        <v/>
      </c>
      <c r="J1143" s="275">
        <f>IF(ISBLANK('ENGAGEMENTS 2026'!B1143),"",IF(AND(OR($E1143="INFRUCTUEUX",$E1143="ANNULE"),$C1143="AOO-M"),'ENGAGEMENTS 2026'!O1143,IF($H1143="EN COURS DE PREENGAGEMENT",'ENGAGEMENTS 2026'!N1143,IF($H1143="PREENGAGE",IF($E1143="ATTRIBUE",'ENGAGEMENTS 2026'!AD1143,'ENGAGEMENTS 2026'!N1143),'ENGAGEMENTS 2026'!AD1143))))</f>
        <v/>
      </c>
      <c r="K1143" s="604">
        <f>IF(ISBLANK('ENGAGEMENTS 2026'!V1143),"",'ENGAGEMENTS 2026'!V1143)</f>
        <v/>
      </c>
      <c r="L1143" s="276">
        <f>IF($K1143="","",TODAY()-$K1143)</f>
        <v/>
      </c>
      <c r="M1143">
        <f>IF($A1143="","",IF($H1143="ENGAGE","Engagé",IF(AND($H1143="NON ENGAGE",OR($I1143="INFRUCTUEUX",$I1143="ANNULE")),"Clôturé sans suite","En cours")))</f>
        <v/>
      </c>
      <c r="N1143">
        <f>IF(ISBLANK('ENGAGEMENTS 2026'!B1143),"",'ENGAGEMENTS 2026'!K1143)</f>
        <v/>
      </c>
      <c r="O1143">
        <f>IF(ISBLANK('ENGAGEMENTS 2026'!B1143),"",'ENGAGEMENTS 2026'!L1143)</f>
        <v/>
      </c>
      <c r="P1143">
        <f>IF(ISBLANK('ENGAGEMENTS 2026'!B1143),"",'ENGAGEMENTS 2026'!J1143)</f>
        <v/>
      </c>
      <c r="Q1143">
        <f>IF($A1143="","",IF(OR($E1143="INFRUCTUEUX",$E1143="ANNULE"),$A1143&amp;"|"&amp;(COUNTIFS($A$2:$A1143,$A1143,$E$2:$E1143,"INFRUCTUEUX")+COUNTIFS($A$2:$A1143,$A1143,$E$2:$E1143,"ANNULE")),""))</f>
        <v/>
      </c>
    </row>
    <row r="1144">
      <c r="A1144">
        <f>IF(ISBLANK('ENGAGEMENTS 2026'!B1144),"",IF('ENGAGEMENTS 2026'!B1144="DTSI","DCT",'ENGAGEMENTS 2026'!B1144))</f>
        <v/>
      </c>
      <c r="B1144">
        <f>IF(ISBLANK('ENGAGEMENTS 2026'!B1144),"",'ENGAGEMENTS 2026'!C1144)</f>
        <v/>
      </c>
      <c r="C1144">
        <f>IF(ISBLANK('ENGAGEMENTS 2026'!B1144),"",'ENGAGEMENTS 2026'!D1144)</f>
        <v/>
      </c>
      <c r="D1144">
        <f>IF(ISBLANK('ENGAGEMENTS 2026'!B1144),"",'ENGAGEMENTS 2026'!F1144)</f>
        <v/>
      </c>
      <c r="E1144">
        <f>IF(ISBLANK('ENGAGEMENTS 2026'!B1144),"",'ENGAGEMENTS 2026'!H1144)</f>
        <v/>
      </c>
      <c r="F1144">
        <f>IF(ISBLANK('ENGAGEMENTS 2026'!B1144),"",'ENGAGEMENTS 2026'!I1144)</f>
        <v/>
      </c>
      <c r="G1144">
        <f>IF(ISBLANK('ENGAGEMENTS 2026'!B1144),"",'ENGAGEMENTS 2026'!L1144)</f>
        <v/>
      </c>
      <c r="H1144">
        <f>IF(ISBLANK('ENGAGEMENTS 2026'!B1144),"",'ENGAGEMENTS 2026'!AE1144)</f>
        <v/>
      </c>
      <c r="I1144">
        <f>IF(ISBLANK('ENGAGEMENTS 2026'!B1144),"",'ENGAGEMENTS 2026'!G1144)</f>
        <v/>
      </c>
      <c r="J1144" s="275">
        <f>IF(ISBLANK('ENGAGEMENTS 2026'!B1144),"",IF(AND(OR($E1144="INFRUCTUEUX",$E1144="ANNULE"),$C1144="AOO-M"),'ENGAGEMENTS 2026'!O1144,IF($H1144="EN COURS DE PREENGAGEMENT",'ENGAGEMENTS 2026'!N1144,IF($H1144="PREENGAGE",IF($E1144="ATTRIBUE",'ENGAGEMENTS 2026'!AD1144,'ENGAGEMENTS 2026'!N1144),'ENGAGEMENTS 2026'!AD1144))))</f>
        <v/>
      </c>
      <c r="K1144" s="604">
        <f>IF(ISBLANK('ENGAGEMENTS 2026'!V1144),"",'ENGAGEMENTS 2026'!V1144)</f>
        <v/>
      </c>
      <c r="L1144" s="276">
        <f>IF($K1144="","",TODAY()-$K1144)</f>
        <v/>
      </c>
      <c r="M1144">
        <f>IF($A1144="","",IF($H1144="ENGAGE","Engagé",IF(AND($H1144="NON ENGAGE",OR($I1144="INFRUCTUEUX",$I1144="ANNULE")),"Clôturé sans suite","En cours")))</f>
        <v/>
      </c>
      <c r="N1144">
        <f>IF(ISBLANK('ENGAGEMENTS 2026'!B1144),"",'ENGAGEMENTS 2026'!K1144)</f>
        <v/>
      </c>
      <c r="O1144">
        <f>IF(ISBLANK('ENGAGEMENTS 2026'!B1144),"",'ENGAGEMENTS 2026'!L1144)</f>
        <v/>
      </c>
      <c r="P1144">
        <f>IF(ISBLANK('ENGAGEMENTS 2026'!B1144),"",'ENGAGEMENTS 2026'!J1144)</f>
        <v/>
      </c>
      <c r="Q1144">
        <f>IF($A1144="","",IF(OR($E1144="INFRUCTUEUX",$E1144="ANNULE"),$A1144&amp;"|"&amp;(COUNTIFS($A$2:$A1144,$A1144,$E$2:$E1144,"INFRUCTUEUX")+COUNTIFS($A$2:$A1144,$A1144,$E$2:$E1144,"ANNULE")),""))</f>
        <v/>
      </c>
    </row>
    <row r="1145">
      <c r="A1145">
        <f>IF(ISBLANK('ENGAGEMENTS 2026'!B1145),"",IF('ENGAGEMENTS 2026'!B1145="DTSI","DCT",'ENGAGEMENTS 2026'!B1145))</f>
        <v/>
      </c>
      <c r="B1145">
        <f>IF(ISBLANK('ENGAGEMENTS 2026'!B1145),"",'ENGAGEMENTS 2026'!C1145)</f>
        <v/>
      </c>
      <c r="C1145">
        <f>IF(ISBLANK('ENGAGEMENTS 2026'!B1145),"",'ENGAGEMENTS 2026'!D1145)</f>
        <v/>
      </c>
      <c r="D1145">
        <f>IF(ISBLANK('ENGAGEMENTS 2026'!B1145),"",'ENGAGEMENTS 2026'!F1145)</f>
        <v/>
      </c>
      <c r="E1145">
        <f>IF(ISBLANK('ENGAGEMENTS 2026'!B1145),"",'ENGAGEMENTS 2026'!H1145)</f>
        <v/>
      </c>
      <c r="F1145">
        <f>IF(ISBLANK('ENGAGEMENTS 2026'!B1145),"",'ENGAGEMENTS 2026'!I1145)</f>
        <v/>
      </c>
      <c r="G1145">
        <f>IF(ISBLANK('ENGAGEMENTS 2026'!B1145),"",'ENGAGEMENTS 2026'!L1145)</f>
        <v/>
      </c>
      <c r="H1145">
        <f>IF(ISBLANK('ENGAGEMENTS 2026'!B1145),"",'ENGAGEMENTS 2026'!AE1145)</f>
        <v/>
      </c>
      <c r="I1145">
        <f>IF(ISBLANK('ENGAGEMENTS 2026'!B1145),"",'ENGAGEMENTS 2026'!G1145)</f>
        <v/>
      </c>
      <c r="J1145" s="275">
        <f>IF(ISBLANK('ENGAGEMENTS 2026'!B1145),"",IF(AND(OR($E1145="INFRUCTUEUX",$E1145="ANNULE"),$C1145="AOO-M"),'ENGAGEMENTS 2026'!O1145,IF($H1145="EN COURS DE PREENGAGEMENT",'ENGAGEMENTS 2026'!N1145,IF($H1145="PREENGAGE",IF($E1145="ATTRIBUE",'ENGAGEMENTS 2026'!AD1145,'ENGAGEMENTS 2026'!N1145),'ENGAGEMENTS 2026'!AD1145))))</f>
        <v/>
      </c>
      <c r="K1145" s="604">
        <f>IF(ISBLANK('ENGAGEMENTS 2026'!V1145),"",'ENGAGEMENTS 2026'!V1145)</f>
        <v/>
      </c>
      <c r="L1145" s="276">
        <f>IF($K1145="","",TODAY()-$K1145)</f>
        <v/>
      </c>
      <c r="M1145">
        <f>IF($A1145="","",IF($H1145="ENGAGE","Engagé",IF(AND($H1145="NON ENGAGE",OR($I1145="INFRUCTUEUX",$I1145="ANNULE")),"Clôturé sans suite","En cours")))</f>
        <v/>
      </c>
      <c r="N1145">
        <f>IF(ISBLANK('ENGAGEMENTS 2026'!B1145),"",'ENGAGEMENTS 2026'!K1145)</f>
        <v/>
      </c>
      <c r="O1145">
        <f>IF(ISBLANK('ENGAGEMENTS 2026'!B1145),"",'ENGAGEMENTS 2026'!L1145)</f>
        <v/>
      </c>
      <c r="P1145">
        <f>IF(ISBLANK('ENGAGEMENTS 2026'!B1145),"",'ENGAGEMENTS 2026'!J1145)</f>
        <v/>
      </c>
      <c r="Q1145">
        <f>IF($A1145="","",IF(OR($E1145="INFRUCTUEUX",$E1145="ANNULE"),$A1145&amp;"|"&amp;(COUNTIFS($A$2:$A1145,$A1145,$E$2:$E1145,"INFRUCTUEUX")+COUNTIFS($A$2:$A1145,$A1145,$E$2:$E1145,"ANNULE")),""))</f>
        <v/>
      </c>
    </row>
    <row r="1146">
      <c r="A1146">
        <f>IF(ISBLANK('ENGAGEMENTS 2026'!B1146),"",IF('ENGAGEMENTS 2026'!B1146="DTSI","DCT",'ENGAGEMENTS 2026'!B1146))</f>
        <v/>
      </c>
      <c r="B1146">
        <f>IF(ISBLANK('ENGAGEMENTS 2026'!B1146),"",'ENGAGEMENTS 2026'!C1146)</f>
        <v/>
      </c>
      <c r="C1146">
        <f>IF(ISBLANK('ENGAGEMENTS 2026'!B1146),"",'ENGAGEMENTS 2026'!D1146)</f>
        <v/>
      </c>
      <c r="D1146">
        <f>IF(ISBLANK('ENGAGEMENTS 2026'!B1146),"",'ENGAGEMENTS 2026'!F1146)</f>
        <v/>
      </c>
      <c r="E1146">
        <f>IF(ISBLANK('ENGAGEMENTS 2026'!B1146),"",'ENGAGEMENTS 2026'!H1146)</f>
        <v/>
      </c>
      <c r="F1146">
        <f>IF(ISBLANK('ENGAGEMENTS 2026'!B1146),"",'ENGAGEMENTS 2026'!I1146)</f>
        <v/>
      </c>
      <c r="G1146">
        <f>IF(ISBLANK('ENGAGEMENTS 2026'!B1146),"",'ENGAGEMENTS 2026'!L1146)</f>
        <v/>
      </c>
      <c r="H1146">
        <f>IF(ISBLANK('ENGAGEMENTS 2026'!B1146),"",'ENGAGEMENTS 2026'!AE1146)</f>
        <v/>
      </c>
      <c r="I1146">
        <f>IF(ISBLANK('ENGAGEMENTS 2026'!B1146),"",'ENGAGEMENTS 2026'!G1146)</f>
        <v/>
      </c>
      <c r="J1146" s="275">
        <f>IF(ISBLANK('ENGAGEMENTS 2026'!B1146),"",IF(AND(OR($E1146="INFRUCTUEUX",$E1146="ANNULE"),$C1146="AOO-M"),'ENGAGEMENTS 2026'!O1146,IF($H1146="EN COURS DE PREENGAGEMENT",'ENGAGEMENTS 2026'!N1146,IF($H1146="PREENGAGE",IF($E1146="ATTRIBUE",'ENGAGEMENTS 2026'!AD1146,'ENGAGEMENTS 2026'!N1146),'ENGAGEMENTS 2026'!AD1146))))</f>
        <v/>
      </c>
      <c r="K1146" s="604">
        <f>IF(ISBLANK('ENGAGEMENTS 2026'!V1146),"",'ENGAGEMENTS 2026'!V1146)</f>
        <v/>
      </c>
      <c r="L1146" s="276">
        <f>IF($K1146="","",TODAY()-$K1146)</f>
        <v/>
      </c>
      <c r="M1146">
        <f>IF($A1146="","",IF($H1146="ENGAGE","Engagé",IF(AND($H1146="NON ENGAGE",OR($I1146="INFRUCTUEUX",$I1146="ANNULE")),"Clôturé sans suite","En cours")))</f>
        <v/>
      </c>
      <c r="N1146">
        <f>IF(ISBLANK('ENGAGEMENTS 2026'!B1146),"",'ENGAGEMENTS 2026'!K1146)</f>
        <v/>
      </c>
      <c r="O1146">
        <f>IF(ISBLANK('ENGAGEMENTS 2026'!B1146),"",'ENGAGEMENTS 2026'!L1146)</f>
        <v/>
      </c>
      <c r="P1146">
        <f>IF(ISBLANK('ENGAGEMENTS 2026'!B1146),"",'ENGAGEMENTS 2026'!J1146)</f>
        <v/>
      </c>
      <c r="Q1146">
        <f>IF($A1146="","",IF(OR($E1146="INFRUCTUEUX",$E1146="ANNULE"),$A1146&amp;"|"&amp;(COUNTIFS($A$2:$A1146,$A1146,$E$2:$E1146,"INFRUCTUEUX")+COUNTIFS($A$2:$A1146,$A1146,$E$2:$E1146,"ANNULE")),""))</f>
        <v/>
      </c>
    </row>
    <row r="1147">
      <c r="A1147">
        <f>IF(ISBLANK('ENGAGEMENTS 2026'!B1147),"",IF('ENGAGEMENTS 2026'!B1147="DTSI","DCT",'ENGAGEMENTS 2026'!B1147))</f>
        <v/>
      </c>
      <c r="B1147">
        <f>IF(ISBLANK('ENGAGEMENTS 2026'!B1147),"",'ENGAGEMENTS 2026'!C1147)</f>
        <v/>
      </c>
      <c r="C1147">
        <f>IF(ISBLANK('ENGAGEMENTS 2026'!B1147),"",'ENGAGEMENTS 2026'!D1147)</f>
        <v/>
      </c>
      <c r="D1147">
        <f>IF(ISBLANK('ENGAGEMENTS 2026'!B1147),"",'ENGAGEMENTS 2026'!F1147)</f>
        <v/>
      </c>
      <c r="E1147">
        <f>IF(ISBLANK('ENGAGEMENTS 2026'!B1147),"",'ENGAGEMENTS 2026'!H1147)</f>
        <v/>
      </c>
      <c r="F1147">
        <f>IF(ISBLANK('ENGAGEMENTS 2026'!B1147),"",'ENGAGEMENTS 2026'!I1147)</f>
        <v/>
      </c>
      <c r="G1147">
        <f>IF(ISBLANK('ENGAGEMENTS 2026'!B1147),"",'ENGAGEMENTS 2026'!L1147)</f>
        <v/>
      </c>
      <c r="H1147">
        <f>IF(ISBLANK('ENGAGEMENTS 2026'!B1147),"",'ENGAGEMENTS 2026'!AE1147)</f>
        <v/>
      </c>
      <c r="I1147">
        <f>IF(ISBLANK('ENGAGEMENTS 2026'!B1147),"",'ENGAGEMENTS 2026'!G1147)</f>
        <v/>
      </c>
      <c r="J1147" s="275">
        <f>IF(ISBLANK('ENGAGEMENTS 2026'!B1147),"",IF(AND(OR($E1147="INFRUCTUEUX",$E1147="ANNULE"),$C1147="AOO-M"),'ENGAGEMENTS 2026'!O1147,IF($H1147="EN COURS DE PREENGAGEMENT",'ENGAGEMENTS 2026'!N1147,IF($H1147="PREENGAGE",IF($E1147="ATTRIBUE",'ENGAGEMENTS 2026'!AD1147,'ENGAGEMENTS 2026'!N1147),'ENGAGEMENTS 2026'!AD1147))))</f>
        <v/>
      </c>
      <c r="K1147" s="604">
        <f>IF(ISBLANK('ENGAGEMENTS 2026'!V1147),"",'ENGAGEMENTS 2026'!V1147)</f>
        <v/>
      </c>
      <c r="L1147" s="276">
        <f>IF($K1147="","",TODAY()-$K1147)</f>
        <v/>
      </c>
      <c r="M1147">
        <f>IF($A1147="","",IF($H1147="ENGAGE","Engagé",IF(AND($H1147="NON ENGAGE",OR($I1147="INFRUCTUEUX",$I1147="ANNULE")),"Clôturé sans suite","En cours")))</f>
        <v/>
      </c>
      <c r="N1147">
        <f>IF(ISBLANK('ENGAGEMENTS 2026'!B1147),"",'ENGAGEMENTS 2026'!K1147)</f>
        <v/>
      </c>
      <c r="O1147">
        <f>IF(ISBLANK('ENGAGEMENTS 2026'!B1147),"",'ENGAGEMENTS 2026'!L1147)</f>
        <v/>
      </c>
      <c r="P1147">
        <f>IF(ISBLANK('ENGAGEMENTS 2026'!B1147),"",'ENGAGEMENTS 2026'!J1147)</f>
        <v/>
      </c>
      <c r="Q1147">
        <f>IF($A1147="","",IF(OR($E1147="INFRUCTUEUX",$E1147="ANNULE"),$A1147&amp;"|"&amp;(COUNTIFS($A$2:$A1147,$A1147,$E$2:$E1147,"INFRUCTUEUX")+COUNTIFS($A$2:$A1147,$A1147,$E$2:$E1147,"ANNULE")),""))</f>
        <v/>
      </c>
    </row>
    <row r="1148">
      <c r="A1148">
        <f>IF(ISBLANK('ENGAGEMENTS 2026'!B1148),"",IF('ENGAGEMENTS 2026'!B1148="DTSI","DCT",'ENGAGEMENTS 2026'!B1148))</f>
        <v/>
      </c>
      <c r="B1148">
        <f>IF(ISBLANK('ENGAGEMENTS 2026'!B1148),"",'ENGAGEMENTS 2026'!C1148)</f>
        <v/>
      </c>
      <c r="C1148">
        <f>IF(ISBLANK('ENGAGEMENTS 2026'!B1148),"",'ENGAGEMENTS 2026'!D1148)</f>
        <v/>
      </c>
      <c r="D1148">
        <f>IF(ISBLANK('ENGAGEMENTS 2026'!B1148),"",'ENGAGEMENTS 2026'!F1148)</f>
        <v/>
      </c>
      <c r="E1148">
        <f>IF(ISBLANK('ENGAGEMENTS 2026'!B1148),"",'ENGAGEMENTS 2026'!H1148)</f>
        <v/>
      </c>
      <c r="F1148">
        <f>IF(ISBLANK('ENGAGEMENTS 2026'!B1148),"",'ENGAGEMENTS 2026'!I1148)</f>
        <v/>
      </c>
      <c r="G1148">
        <f>IF(ISBLANK('ENGAGEMENTS 2026'!B1148),"",'ENGAGEMENTS 2026'!L1148)</f>
        <v/>
      </c>
      <c r="H1148">
        <f>IF(ISBLANK('ENGAGEMENTS 2026'!B1148),"",'ENGAGEMENTS 2026'!AE1148)</f>
        <v/>
      </c>
      <c r="I1148">
        <f>IF(ISBLANK('ENGAGEMENTS 2026'!B1148),"",'ENGAGEMENTS 2026'!G1148)</f>
        <v/>
      </c>
      <c r="J1148" s="275">
        <f>IF(ISBLANK('ENGAGEMENTS 2026'!B1148),"",IF(AND(OR($E1148="INFRUCTUEUX",$E1148="ANNULE"),$C1148="AOO-M"),'ENGAGEMENTS 2026'!O1148,IF($H1148="EN COURS DE PREENGAGEMENT",'ENGAGEMENTS 2026'!N1148,IF($H1148="PREENGAGE",IF($E1148="ATTRIBUE",'ENGAGEMENTS 2026'!AD1148,'ENGAGEMENTS 2026'!N1148),'ENGAGEMENTS 2026'!AD1148))))</f>
        <v/>
      </c>
      <c r="K1148" s="604">
        <f>IF(ISBLANK('ENGAGEMENTS 2026'!V1148),"",'ENGAGEMENTS 2026'!V1148)</f>
        <v/>
      </c>
      <c r="L1148" s="276">
        <f>IF($K1148="","",TODAY()-$K1148)</f>
        <v/>
      </c>
      <c r="M1148">
        <f>IF($A1148="","",IF($H1148="ENGAGE","Engagé",IF(AND($H1148="NON ENGAGE",OR($I1148="INFRUCTUEUX",$I1148="ANNULE")),"Clôturé sans suite","En cours")))</f>
        <v/>
      </c>
      <c r="N1148">
        <f>IF(ISBLANK('ENGAGEMENTS 2026'!B1148),"",'ENGAGEMENTS 2026'!K1148)</f>
        <v/>
      </c>
      <c r="O1148">
        <f>IF(ISBLANK('ENGAGEMENTS 2026'!B1148),"",'ENGAGEMENTS 2026'!L1148)</f>
        <v/>
      </c>
      <c r="P1148">
        <f>IF(ISBLANK('ENGAGEMENTS 2026'!B1148),"",'ENGAGEMENTS 2026'!J1148)</f>
        <v/>
      </c>
      <c r="Q1148">
        <f>IF($A1148="","",IF(OR($E1148="INFRUCTUEUX",$E1148="ANNULE"),$A1148&amp;"|"&amp;(COUNTIFS($A$2:$A1148,$A1148,$E$2:$E1148,"INFRUCTUEUX")+COUNTIFS($A$2:$A1148,$A1148,$E$2:$E1148,"ANNULE")),""))</f>
        <v/>
      </c>
    </row>
    <row r="1149">
      <c r="A1149">
        <f>IF(ISBLANK('ENGAGEMENTS 2026'!B1149),"",IF('ENGAGEMENTS 2026'!B1149="DTSI","DCT",'ENGAGEMENTS 2026'!B1149))</f>
        <v/>
      </c>
      <c r="B1149">
        <f>IF(ISBLANK('ENGAGEMENTS 2026'!B1149),"",'ENGAGEMENTS 2026'!C1149)</f>
        <v/>
      </c>
      <c r="C1149">
        <f>IF(ISBLANK('ENGAGEMENTS 2026'!B1149),"",'ENGAGEMENTS 2026'!D1149)</f>
        <v/>
      </c>
      <c r="D1149">
        <f>IF(ISBLANK('ENGAGEMENTS 2026'!B1149),"",'ENGAGEMENTS 2026'!F1149)</f>
        <v/>
      </c>
      <c r="E1149">
        <f>IF(ISBLANK('ENGAGEMENTS 2026'!B1149),"",'ENGAGEMENTS 2026'!H1149)</f>
        <v/>
      </c>
      <c r="F1149">
        <f>IF(ISBLANK('ENGAGEMENTS 2026'!B1149),"",'ENGAGEMENTS 2026'!I1149)</f>
        <v/>
      </c>
      <c r="G1149">
        <f>IF(ISBLANK('ENGAGEMENTS 2026'!B1149),"",'ENGAGEMENTS 2026'!L1149)</f>
        <v/>
      </c>
      <c r="H1149">
        <f>IF(ISBLANK('ENGAGEMENTS 2026'!B1149),"",'ENGAGEMENTS 2026'!AE1149)</f>
        <v/>
      </c>
      <c r="I1149">
        <f>IF(ISBLANK('ENGAGEMENTS 2026'!B1149),"",'ENGAGEMENTS 2026'!G1149)</f>
        <v/>
      </c>
      <c r="J1149" s="275">
        <f>IF(ISBLANK('ENGAGEMENTS 2026'!B1149),"",IF(AND(OR($E1149="INFRUCTUEUX",$E1149="ANNULE"),$C1149="AOO-M"),'ENGAGEMENTS 2026'!O1149,IF($H1149="EN COURS DE PREENGAGEMENT",'ENGAGEMENTS 2026'!N1149,IF($H1149="PREENGAGE",IF($E1149="ATTRIBUE",'ENGAGEMENTS 2026'!AD1149,'ENGAGEMENTS 2026'!N1149),'ENGAGEMENTS 2026'!AD1149))))</f>
        <v/>
      </c>
      <c r="K1149" s="604">
        <f>IF(ISBLANK('ENGAGEMENTS 2026'!V1149),"",'ENGAGEMENTS 2026'!V1149)</f>
        <v/>
      </c>
      <c r="L1149" s="276">
        <f>IF($K1149="","",TODAY()-$K1149)</f>
        <v/>
      </c>
      <c r="M1149">
        <f>IF($A1149="","",IF($H1149="ENGAGE","Engagé",IF(AND($H1149="NON ENGAGE",OR($I1149="INFRUCTUEUX",$I1149="ANNULE")),"Clôturé sans suite","En cours")))</f>
        <v/>
      </c>
      <c r="N1149">
        <f>IF(ISBLANK('ENGAGEMENTS 2026'!B1149),"",'ENGAGEMENTS 2026'!K1149)</f>
        <v/>
      </c>
      <c r="O1149">
        <f>IF(ISBLANK('ENGAGEMENTS 2026'!B1149),"",'ENGAGEMENTS 2026'!L1149)</f>
        <v/>
      </c>
      <c r="P1149">
        <f>IF(ISBLANK('ENGAGEMENTS 2026'!B1149),"",'ENGAGEMENTS 2026'!J1149)</f>
        <v/>
      </c>
      <c r="Q1149">
        <f>IF($A1149="","",IF(OR($E1149="INFRUCTUEUX",$E1149="ANNULE"),$A1149&amp;"|"&amp;(COUNTIFS($A$2:$A1149,$A1149,$E$2:$E1149,"INFRUCTUEUX")+COUNTIFS($A$2:$A1149,$A1149,$E$2:$E1149,"ANNULE")),""))</f>
        <v/>
      </c>
    </row>
    <row r="1150">
      <c r="A1150">
        <f>IF(ISBLANK('ENGAGEMENTS 2026'!B1150),"",IF('ENGAGEMENTS 2026'!B1150="DTSI","DCT",'ENGAGEMENTS 2026'!B1150))</f>
        <v/>
      </c>
      <c r="B1150">
        <f>IF(ISBLANK('ENGAGEMENTS 2026'!B1150),"",'ENGAGEMENTS 2026'!C1150)</f>
        <v/>
      </c>
      <c r="C1150">
        <f>IF(ISBLANK('ENGAGEMENTS 2026'!B1150),"",'ENGAGEMENTS 2026'!D1150)</f>
        <v/>
      </c>
      <c r="D1150">
        <f>IF(ISBLANK('ENGAGEMENTS 2026'!B1150),"",'ENGAGEMENTS 2026'!F1150)</f>
        <v/>
      </c>
      <c r="E1150">
        <f>IF(ISBLANK('ENGAGEMENTS 2026'!B1150),"",'ENGAGEMENTS 2026'!H1150)</f>
        <v/>
      </c>
      <c r="F1150">
        <f>IF(ISBLANK('ENGAGEMENTS 2026'!B1150),"",'ENGAGEMENTS 2026'!I1150)</f>
        <v/>
      </c>
      <c r="G1150">
        <f>IF(ISBLANK('ENGAGEMENTS 2026'!B1150),"",'ENGAGEMENTS 2026'!L1150)</f>
        <v/>
      </c>
      <c r="H1150">
        <f>IF(ISBLANK('ENGAGEMENTS 2026'!B1150),"",'ENGAGEMENTS 2026'!AE1150)</f>
        <v/>
      </c>
      <c r="I1150">
        <f>IF(ISBLANK('ENGAGEMENTS 2026'!B1150),"",'ENGAGEMENTS 2026'!G1150)</f>
        <v/>
      </c>
      <c r="J1150" s="275">
        <f>IF(ISBLANK('ENGAGEMENTS 2026'!B1150),"",IF(AND(OR($E1150="INFRUCTUEUX",$E1150="ANNULE"),$C1150="AOO-M"),'ENGAGEMENTS 2026'!O1150,IF($H1150="EN COURS DE PREENGAGEMENT",'ENGAGEMENTS 2026'!N1150,IF($H1150="PREENGAGE",IF($E1150="ATTRIBUE",'ENGAGEMENTS 2026'!AD1150,'ENGAGEMENTS 2026'!N1150),'ENGAGEMENTS 2026'!AD1150))))</f>
        <v/>
      </c>
      <c r="K1150" s="604">
        <f>IF(ISBLANK('ENGAGEMENTS 2026'!V1150),"",'ENGAGEMENTS 2026'!V1150)</f>
        <v/>
      </c>
      <c r="L1150" s="276">
        <f>IF($K1150="","",TODAY()-$K1150)</f>
        <v/>
      </c>
      <c r="M1150">
        <f>IF($A1150="","",IF($H1150="ENGAGE","Engagé",IF(AND($H1150="NON ENGAGE",OR($I1150="INFRUCTUEUX",$I1150="ANNULE")),"Clôturé sans suite","En cours")))</f>
        <v/>
      </c>
      <c r="N1150">
        <f>IF(ISBLANK('ENGAGEMENTS 2026'!B1150),"",'ENGAGEMENTS 2026'!K1150)</f>
        <v/>
      </c>
      <c r="O1150">
        <f>IF(ISBLANK('ENGAGEMENTS 2026'!B1150),"",'ENGAGEMENTS 2026'!L1150)</f>
        <v/>
      </c>
      <c r="P1150">
        <f>IF(ISBLANK('ENGAGEMENTS 2026'!B1150),"",'ENGAGEMENTS 2026'!J1150)</f>
        <v/>
      </c>
      <c r="Q1150">
        <f>IF($A1150="","",IF(OR($E1150="INFRUCTUEUX",$E1150="ANNULE"),$A1150&amp;"|"&amp;(COUNTIFS($A$2:$A1150,$A1150,$E$2:$E1150,"INFRUCTUEUX")+COUNTIFS($A$2:$A1150,$A1150,$E$2:$E1150,"ANNULE")),""))</f>
        <v/>
      </c>
    </row>
    <row r="1151">
      <c r="A1151">
        <f>IF(ISBLANK('ENGAGEMENTS 2026'!B1151),"",IF('ENGAGEMENTS 2026'!B1151="DTSI","DCT",'ENGAGEMENTS 2026'!B1151))</f>
        <v/>
      </c>
      <c r="B1151">
        <f>IF(ISBLANK('ENGAGEMENTS 2026'!B1151),"",'ENGAGEMENTS 2026'!C1151)</f>
        <v/>
      </c>
      <c r="C1151">
        <f>IF(ISBLANK('ENGAGEMENTS 2026'!B1151),"",'ENGAGEMENTS 2026'!D1151)</f>
        <v/>
      </c>
      <c r="D1151">
        <f>IF(ISBLANK('ENGAGEMENTS 2026'!B1151),"",'ENGAGEMENTS 2026'!F1151)</f>
        <v/>
      </c>
      <c r="E1151">
        <f>IF(ISBLANK('ENGAGEMENTS 2026'!B1151),"",'ENGAGEMENTS 2026'!H1151)</f>
        <v/>
      </c>
      <c r="F1151">
        <f>IF(ISBLANK('ENGAGEMENTS 2026'!B1151),"",'ENGAGEMENTS 2026'!I1151)</f>
        <v/>
      </c>
      <c r="G1151">
        <f>IF(ISBLANK('ENGAGEMENTS 2026'!B1151),"",'ENGAGEMENTS 2026'!L1151)</f>
        <v/>
      </c>
      <c r="H1151">
        <f>IF(ISBLANK('ENGAGEMENTS 2026'!B1151),"",'ENGAGEMENTS 2026'!AE1151)</f>
        <v/>
      </c>
      <c r="I1151">
        <f>IF(ISBLANK('ENGAGEMENTS 2026'!B1151),"",'ENGAGEMENTS 2026'!G1151)</f>
        <v/>
      </c>
      <c r="J1151" s="275">
        <f>IF(ISBLANK('ENGAGEMENTS 2026'!B1151),"",IF(AND(OR($E1151="INFRUCTUEUX",$E1151="ANNULE"),$C1151="AOO-M"),'ENGAGEMENTS 2026'!O1151,IF($H1151="EN COURS DE PREENGAGEMENT",'ENGAGEMENTS 2026'!N1151,IF($H1151="PREENGAGE",IF($E1151="ATTRIBUE",'ENGAGEMENTS 2026'!AD1151,'ENGAGEMENTS 2026'!N1151),'ENGAGEMENTS 2026'!AD1151))))</f>
        <v/>
      </c>
      <c r="K1151" s="604">
        <f>IF(ISBLANK('ENGAGEMENTS 2026'!V1151),"",'ENGAGEMENTS 2026'!V1151)</f>
        <v/>
      </c>
      <c r="L1151" s="276">
        <f>IF($K1151="","",TODAY()-$K1151)</f>
        <v/>
      </c>
      <c r="M1151">
        <f>IF($A1151="","",IF($H1151="ENGAGE","Engagé",IF(AND($H1151="NON ENGAGE",OR($I1151="INFRUCTUEUX",$I1151="ANNULE")),"Clôturé sans suite","En cours")))</f>
        <v/>
      </c>
      <c r="N1151">
        <f>IF(ISBLANK('ENGAGEMENTS 2026'!B1151),"",'ENGAGEMENTS 2026'!K1151)</f>
        <v/>
      </c>
      <c r="O1151">
        <f>IF(ISBLANK('ENGAGEMENTS 2026'!B1151),"",'ENGAGEMENTS 2026'!L1151)</f>
        <v/>
      </c>
      <c r="P1151">
        <f>IF(ISBLANK('ENGAGEMENTS 2026'!B1151),"",'ENGAGEMENTS 2026'!J1151)</f>
        <v/>
      </c>
      <c r="Q1151">
        <f>IF($A1151="","",IF(OR($E1151="INFRUCTUEUX",$E1151="ANNULE"),$A1151&amp;"|"&amp;(COUNTIFS($A$2:$A1151,$A1151,$E$2:$E1151,"INFRUCTUEUX")+COUNTIFS($A$2:$A1151,$A1151,$E$2:$E1151,"ANNULE")),""))</f>
        <v/>
      </c>
    </row>
    <row r="1152">
      <c r="A1152">
        <f>IF(ISBLANK('ENGAGEMENTS 2026'!B1152),"",IF('ENGAGEMENTS 2026'!B1152="DTSI","DCT",'ENGAGEMENTS 2026'!B1152))</f>
        <v/>
      </c>
      <c r="B1152">
        <f>IF(ISBLANK('ENGAGEMENTS 2026'!B1152),"",'ENGAGEMENTS 2026'!C1152)</f>
        <v/>
      </c>
      <c r="C1152">
        <f>IF(ISBLANK('ENGAGEMENTS 2026'!B1152),"",'ENGAGEMENTS 2026'!D1152)</f>
        <v/>
      </c>
      <c r="D1152">
        <f>IF(ISBLANK('ENGAGEMENTS 2026'!B1152),"",'ENGAGEMENTS 2026'!F1152)</f>
        <v/>
      </c>
      <c r="E1152">
        <f>IF(ISBLANK('ENGAGEMENTS 2026'!B1152),"",'ENGAGEMENTS 2026'!H1152)</f>
        <v/>
      </c>
      <c r="F1152">
        <f>IF(ISBLANK('ENGAGEMENTS 2026'!B1152),"",'ENGAGEMENTS 2026'!I1152)</f>
        <v/>
      </c>
      <c r="G1152">
        <f>IF(ISBLANK('ENGAGEMENTS 2026'!B1152),"",'ENGAGEMENTS 2026'!L1152)</f>
        <v/>
      </c>
      <c r="H1152">
        <f>IF(ISBLANK('ENGAGEMENTS 2026'!B1152),"",'ENGAGEMENTS 2026'!AE1152)</f>
        <v/>
      </c>
      <c r="I1152">
        <f>IF(ISBLANK('ENGAGEMENTS 2026'!B1152),"",'ENGAGEMENTS 2026'!G1152)</f>
        <v/>
      </c>
      <c r="J1152" s="275">
        <f>IF(ISBLANK('ENGAGEMENTS 2026'!B1152),"",IF(AND(OR($E1152="INFRUCTUEUX",$E1152="ANNULE"),$C1152="AOO-M"),'ENGAGEMENTS 2026'!O1152,IF($H1152="EN COURS DE PREENGAGEMENT",'ENGAGEMENTS 2026'!N1152,IF($H1152="PREENGAGE",IF($E1152="ATTRIBUE",'ENGAGEMENTS 2026'!AD1152,'ENGAGEMENTS 2026'!N1152),'ENGAGEMENTS 2026'!AD1152))))</f>
        <v/>
      </c>
      <c r="K1152" s="604">
        <f>IF(ISBLANK('ENGAGEMENTS 2026'!V1152),"",'ENGAGEMENTS 2026'!V1152)</f>
        <v/>
      </c>
      <c r="L1152" s="276">
        <f>IF($K1152="","",TODAY()-$K1152)</f>
        <v/>
      </c>
      <c r="M1152">
        <f>IF($A1152="","",IF($H1152="ENGAGE","Engagé",IF(AND($H1152="NON ENGAGE",OR($I1152="INFRUCTUEUX",$I1152="ANNULE")),"Clôturé sans suite","En cours")))</f>
        <v/>
      </c>
      <c r="N1152">
        <f>IF(ISBLANK('ENGAGEMENTS 2026'!B1152),"",'ENGAGEMENTS 2026'!K1152)</f>
        <v/>
      </c>
      <c r="O1152">
        <f>IF(ISBLANK('ENGAGEMENTS 2026'!B1152),"",'ENGAGEMENTS 2026'!L1152)</f>
        <v/>
      </c>
      <c r="P1152">
        <f>IF(ISBLANK('ENGAGEMENTS 2026'!B1152),"",'ENGAGEMENTS 2026'!J1152)</f>
        <v/>
      </c>
      <c r="Q1152">
        <f>IF($A1152="","",IF(OR($E1152="INFRUCTUEUX",$E1152="ANNULE"),$A1152&amp;"|"&amp;(COUNTIFS($A$2:$A1152,$A1152,$E$2:$E1152,"INFRUCTUEUX")+COUNTIFS($A$2:$A1152,$A1152,$E$2:$E1152,"ANNULE")),""))</f>
        <v/>
      </c>
    </row>
    <row r="1153">
      <c r="A1153">
        <f>IF(ISBLANK('ENGAGEMENTS 2026'!B1153),"",IF('ENGAGEMENTS 2026'!B1153="DTSI","DCT",'ENGAGEMENTS 2026'!B1153))</f>
        <v/>
      </c>
      <c r="B1153">
        <f>IF(ISBLANK('ENGAGEMENTS 2026'!B1153),"",'ENGAGEMENTS 2026'!C1153)</f>
        <v/>
      </c>
      <c r="C1153">
        <f>IF(ISBLANK('ENGAGEMENTS 2026'!B1153),"",'ENGAGEMENTS 2026'!D1153)</f>
        <v/>
      </c>
      <c r="D1153">
        <f>IF(ISBLANK('ENGAGEMENTS 2026'!B1153),"",'ENGAGEMENTS 2026'!F1153)</f>
        <v/>
      </c>
      <c r="E1153">
        <f>IF(ISBLANK('ENGAGEMENTS 2026'!B1153),"",'ENGAGEMENTS 2026'!H1153)</f>
        <v/>
      </c>
      <c r="F1153">
        <f>IF(ISBLANK('ENGAGEMENTS 2026'!B1153),"",'ENGAGEMENTS 2026'!I1153)</f>
        <v/>
      </c>
      <c r="G1153">
        <f>IF(ISBLANK('ENGAGEMENTS 2026'!B1153),"",'ENGAGEMENTS 2026'!L1153)</f>
        <v/>
      </c>
      <c r="H1153">
        <f>IF(ISBLANK('ENGAGEMENTS 2026'!B1153),"",'ENGAGEMENTS 2026'!AE1153)</f>
        <v/>
      </c>
      <c r="I1153">
        <f>IF(ISBLANK('ENGAGEMENTS 2026'!B1153),"",'ENGAGEMENTS 2026'!G1153)</f>
        <v/>
      </c>
      <c r="J1153" s="275">
        <f>IF(ISBLANK('ENGAGEMENTS 2026'!B1153),"",IF(AND(OR($E1153="INFRUCTUEUX",$E1153="ANNULE"),$C1153="AOO-M"),'ENGAGEMENTS 2026'!O1153,IF($H1153="EN COURS DE PREENGAGEMENT",'ENGAGEMENTS 2026'!N1153,IF($H1153="PREENGAGE",IF($E1153="ATTRIBUE",'ENGAGEMENTS 2026'!AD1153,'ENGAGEMENTS 2026'!N1153),'ENGAGEMENTS 2026'!AD1153))))</f>
        <v/>
      </c>
      <c r="K1153" s="604">
        <f>IF(ISBLANK('ENGAGEMENTS 2026'!V1153),"",'ENGAGEMENTS 2026'!V1153)</f>
        <v/>
      </c>
      <c r="L1153" s="276">
        <f>IF($K1153="","",TODAY()-$K1153)</f>
        <v/>
      </c>
      <c r="M1153">
        <f>IF($A1153="","",IF($H1153="ENGAGE","Engagé",IF(AND($H1153="NON ENGAGE",OR($I1153="INFRUCTUEUX",$I1153="ANNULE")),"Clôturé sans suite","En cours")))</f>
        <v/>
      </c>
      <c r="N1153">
        <f>IF(ISBLANK('ENGAGEMENTS 2026'!B1153),"",'ENGAGEMENTS 2026'!K1153)</f>
        <v/>
      </c>
      <c r="O1153">
        <f>IF(ISBLANK('ENGAGEMENTS 2026'!B1153),"",'ENGAGEMENTS 2026'!L1153)</f>
        <v/>
      </c>
      <c r="P1153">
        <f>IF(ISBLANK('ENGAGEMENTS 2026'!B1153),"",'ENGAGEMENTS 2026'!J1153)</f>
        <v/>
      </c>
      <c r="Q1153">
        <f>IF($A1153="","",IF(OR($E1153="INFRUCTUEUX",$E1153="ANNULE"),$A1153&amp;"|"&amp;(COUNTIFS($A$2:$A1153,$A1153,$E$2:$E1153,"INFRUCTUEUX")+COUNTIFS($A$2:$A1153,$A1153,$E$2:$E1153,"ANNULE")),""))</f>
        <v/>
      </c>
    </row>
    <row r="1154">
      <c r="A1154">
        <f>IF(ISBLANK('ENGAGEMENTS 2026'!B1154),"",IF('ENGAGEMENTS 2026'!B1154="DTSI","DCT",'ENGAGEMENTS 2026'!B1154))</f>
        <v/>
      </c>
      <c r="B1154">
        <f>IF(ISBLANK('ENGAGEMENTS 2026'!B1154),"",'ENGAGEMENTS 2026'!C1154)</f>
        <v/>
      </c>
      <c r="C1154">
        <f>IF(ISBLANK('ENGAGEMENTS 2026'!B1154),"",'ENGAGEMENTS 2026'!D1154)</f>
        <v/>
      </c>
      <c r="D1154">
        <f>IF(ISBLANK('ENGAGEMENTS 2026'!B1154),"",'ENGAGEMENTS 2026'!F1154)</f>
        <v/>
      </c>
      <c r="E1154">
        <f>IF(ISBLANK('ENGAGEMENTS 2026'!B1154),"",'ENGAGEMENTS 2026'!H1154)</f>
        <v/>
      </c>
      <c r="F1154">
        <f>IF(ISBLANK('ENGAGEMENTS 2026'!B1154),"",'ENGAGEMENTS 2026'!I1154)</f>
        <v/>
      </c>
      <c r="G1154">
        <f>IF(ISBLANK('ENGAGEMENTS 2026'!B1154),"",'ENGAGEMENTS 2026'!L1154)</f>
        <v/>
      </c>
      <c r="H1154">
        <f>IF(ISBLANK('ENGAGEMENTS 2026'!B1154),"",'ENGAGEMENTS 2026'!AE1154)</f>
        <v/>
      </c>
      <c r="I1154">
        <f>IF(ISBLANK('ENGAGEMENTS 2026'!B1154),"",'ENGAGEMENTS 2026'!G1154)</f>
        <v/>
      </c>
      <c r="J1154" s="275">
        <f>IF(ISBLANK('ENGAGEMENTS 2026'!B1154),"",IF(AND(OR($E1154="INFRUCTUEUX",$E1154="ANNULE"),$C1154="AOO-M"),'ENGAGEMENTS 2026'!O1154,IF($H1154="EN COURS DE PREENGAGEMENT",'ENGAGEMENTS 2026'!N1154,IF($H1154="PREENGAGE",IF($E1154="ATTRIBUE",'ENGAGEMENTS 2026'!AD1154,'ENGAGEMENTS 2026'!N1154),'ENGAGEMENTS 2026'!AD1154))))</f>
        <v/>
      </c>
      <c r="K1154" s="604">
        <f>IF(ISBLANK('ENGAGEMENTS 2026'!V1154),"",'ENGAGEMENTS 2026'!V1154)</f>
        <v/>
      </c>
      <c r="L1154" s="276">
        <f>IF($K1154="","",TODAY()-$K1154)</f>
        <v/>
      </c>
      <c r="M1154">
        <f>IF($A1154="","",IF($H1154="ENGAGE","Engagé",IF(AND($H1154="NON ENGAGE",OR($I1154="INFRUCTUEUX",$I1154="ANNULE")),"Clôturé sans suite","En cours")))</f>
        <v/>
      </c>
      <c r="N1154">
        <f>IF(ISBLANK('ENGAGEMENTS 2026'!B1154),"",'ENGAGEMENTS 2026'!K1154)</f>
        <v/>
      </c>
      <c r="O1154">
        <f>IF(ISBLANK('ENGAGEMENTS 2026'!B1154),"",'ENGAGEMENTS 2026'!L1154)</f>
        <v/>
      </c>
      <c r="P1154">
        <f>IF(ISBLANK('ENGAGEMENTS 2026'!B1154),"",'ENGAGEMENTS 2026'!J1154)</f>
        <v/>
      </c>
      <c r="Q1154">
        <f>IF($A1154="","",IF(OR($E1154="INFRUCTUEUX",$E1154="ANNULE"),$A1154&amp;"|"&amp;(COUNTIFS($A$2:$A1154,$A1154,$E$2:$E1154,"INFRUCTUEUX")+COUNTIFS($A$2:$A1154,$A1154,$E$2:$E1154,"ANNULE")),""))</f>
        <v/>
      </c>
    </row>
    <row r="1155">
      <c r="A1155">
        <f>IF(ISBLANK('ENGAGEMENTS 2026'!B1155),"",IF('ENGAGEMENTS 2026'!B1155="DTSI","DCT",'ENGAGEMENTS 2026'!B1155))</f>
        <v/>
      </c>
      <c r="B1155">
        <f>IF(ISBLANK('ENGAGEMENTS 2026'!B1155),"",'ENGAGEMENTS 2026'!C1155)</f>
        <v/>
      </c>
      <c r="C1155">
        <f>IF(ISBLANK('ENGAGEMENTS 2026'!B1155),"",'ENGAGEMENTS 2026'!D1155)</f>
        <v/>
      </c>
      <c r="D1155">
        <f>IF(ISBLANK('ENGAGEMENTS 2026'!B1155),"",'ENGAGEMENTS 2026'!F1155)</f>
        <v/>
      </c>
      <c r="E1155">
        <f>IF(ISBLANK('ENGAGEMENTS 2026'!B1155),"",'ENGAGEMENTS 2026'!H1155)</f>
        <v/>
      </c>
      <c r="F1155">
        <f>IF(ISBLANK('ENGAGEMENTS 2026'!B1155),"",'ENGAGEMENTS 2026'!I1155)</f>
        <v/>
      </c>
      <c r="G1155">
        <f>IF(ISBLANK('ENGAGEMENTS 2026'!B1155),"",'ENGAGEMENTS 2026'!L1155)</f>
        <v/>
      </c>
      <c r="H1155">
        <f>IF(ISBLANK('ENGAGEMENTS 2026'!B1155),"",'ENGAGEMENTS 2026'!AE1155)</f>
        <v/>
      </c>
      <c r="I1155">
        <f>IF(ISBLANK('ENGAGEMENTS 2026'!B1155),"",'ENGAGEMENTS 2026'!G1155)</f>
        <v/>
      </c>
      <c r="J1155" s="275">
        <f>IF(ISBLANK('ENGAGEMENTS 2026'!B1155),"",IF(AND(OR($E1155="INFRUCTUEUX",$E1155="ANNULE"),$C1155="AOO-M"),'ENGAGEMENTS 2026'!O1155,IF($H1155="EN COURS DE PREENGAGEMENT",'ENGAGEMENTS 2026'!N1155,IF($H1155="PREENGAGE",IF($E1155="ATTRIBUE",'ENGAGEMENTS 2026'!AD1155,'ENGAGEMENTS 2026'!N1155),'ENGAGEMENTS 2026'!AD1155))))</f>
        <v/>
      </c>
      <c r="K1155" s="604">
        <f>IF(ISBLANK('ENGAGEMENTS 2026'!V1155),"",'ENGAGEMENTS 2026'!V1155)</f>
        <v/>
      </c>
      <c r="L1155" s="276">
        <f>IF($K1155="","",TODAY()-$K1155)</f>
        <v/>
      </c>
      <c r="M1155">
        <f>IF($A1155="","",IF($H1155="ENGAGE","Engagé",IF(AND($H1155="NON ENGAGE",OR($I1155="INFRUCTUEUX",$I1155="ANNULE")),"Clôturé sans suite","En cours")))</f>
        <v/>
      </c>
      <c r="N1155">
        <f>IF(ISBLANK('ENGAGEMENTS 2026'!B1155),"",'ENGAGEMENTS 2026'!K1155)</f>
        <v/>
      </c>
      <c r="O1155">
        <f>IF(ISBLANK('ENGAGEMENTS 2026'!B1155),"",'ENGAGEMENTS 2026'!L1155)</f>
        <v/>
      </c>
      <c r="P1155">
        <f>IF(ISBLANK('ENGAGEMENTS 2026'!B1155),"",'ENGAGEMENTS 2026'!J1155)</f>
        <v/>
      </c>
      <c r="Q1155">
        <f>IF($A1155="","",IF(OR($E1155="INFRUCTUEUX",$E1155="ANNULE"),$A1155&amp;"|"&amp;(COUNTIFS($A$2:$A1155,$A1155,$E$2:$E1155,"INFRUCTUEUX")+COUNTIFS($A$2:$A1155,$A1155,$E$2:$E1155,"ANNULE")),""))</f>
        <v/>
      </c>
    </row>
    <row r="1156">
      <c r="A1156">
        <f>IF(ISBLANK('ENGAGEMENTS 2026'!B1156),"",IF('ENGAGEMENTS 2026'!B1156="DTSI","DCT",'ENGAGEMENTS 2026'!B1156))</f>
        <v/>
      </c>
      <c r="B1156">
        <f>IF(ISBLANK('ENGAGEMENTS 2026'!B1156),"",'ENGAGEMENTS 2026'!C1156)</f>
        <v/>
      </c>
      <c r="C1156">
        <f>IF(ISBLANK('ENGAGEMENTS 2026'!B1156),"",'ENGAGEMENTS 2026'!D1156)</f>
        <v/>
      </c>
      <c r="D1156">
        <f>IF(ISBLANK('ENGAGEMENTS 2026'!B1156),"",'ENGAGEMENTS 2026'!F1156)</f>
        <v/>
      </c>
      <c r="E1156">
        <f>IF(ISBLANK('ENGAGEMENTS 2026'!B1156),"",'ENGAGEMENTS 2026'!H1156)</f>
        <v/>
      </c>
      <c r="F1156">
        <f>IF(ISBLANK('ENGAGEMENTS 2026'!B1156),"",'ENGAGEMENTS 2026'!I1156)</f>
        <v/>
      </c>
      <c r="G1156">
        <f>IF(ISBLANK('ENGAGEMENTS 2026'!B1156),"",'ENGAGEMENTS 2026'!L1156)</f>
        <v/>
      </c>
      <c r="H1156">
        <f>IF(ISBLANK('ENGAGEMENTS 2026'!B1156),"",'ENGAGEMENTS 2026'!AE1156)</f>
        <v/>
      </c>
      <c r="I1156">
        <f>IF(ISBLANK('ENGAGEMENTS 2026'!B1156),"",'ENGAGEMENTS 2026'!G1156)</f>
        <v/>
      </c>
      <c r="J1156" s="275">
        <f>IF(ISBLANK('ENGAGEMENTS 2026'!B1156),"",IF(AND(OR($E1156="INFRUCTUEUX",$E1156="ANNULE"),$C1156="AOO-M"),'ENGAGEMENTS 2026'!O1156,IF($H1156="EN COURS DE PREENGAGEMENT",'ENGAGEMENTS 2026'!N1156,IF($H1156="PREENGAGE",IF($E1156="ATTRIBUE",'ENGAGEMENTS 2026'!AD1156,'ENGAGEMENTS 2026'!N1156),'ENGAGEMENTS 2026'!AD1156))))</f>
        <v/>
      </c>
      <c r="K1156" s="604">
        <f>IF(ISBLANK('ENGAGEMENTS 2026'!V1156),"",'ENGAGEMENTS 2026'!V1156)</f>
        <v/>
      </c>
      <c r="L1156" s="276">
        <f>IF($K1156="","",TODAY()-$K1156)</f>
        <v/>
      </c>
      <c r="M1156">
        <f>IF($A1156="","",IF($H1156="ENGAGE","Engagé",IF(AND($H1156="NON ENGAGE",OR($I1156="INFRUCTUEUX",$I1156="ANNULE")),"Clôturé sans suite","En cours")))</f>
        <v/>
      </c>
      <c r="N1156">
        <f>IF(ISBLANK('ENGAGEMENTS 2026'!B1156),"",'ENGAGEMENTS 2026'!K1156)</f>
        <v/>
      </c>
      <c r="O1156">
        <f>IF(ISBLANK('ENGAGEMENTS 2026'!B1156),"",'ENGAGEMENTS 2026'!L1156)</f>
        <v/>
      </c>
      <c r="P1156">
        <f>IF(ISBLANK('ENGAGEMENTS 2026'!B1156),"",'ENGAGEMENTS 2026'!J1156)</f>
        <v/>
      </c>
      <c r="Q1156">
        <f>IF($A1156="","",IF(OR($E1156="INFRUCTUEUX",$E1156="ANNULE"),$A1156&amp;"|"&amp;(COUNTIFS($A$2:$A1156,$A1156,$E$2:$E1156,"INFRUCTUEUX")+COUNTIFS($A$2:$A1156,$A1156,$E$2:$E1156,"ANNULE")),""))</f>
        <v/>
      </c>
    </row>
    <row r="1157">
      <c r="A1157">
        <f>IF(ISBLANK('ENGAGEMENTS 2026'!B1157),"",IF('ENGAGEMENTS 2026'!B1157="DTSI","DCT",'ENGAGEMENTS 2026'!B1157))</f>
        <v/>
      </c>
      <c r="B1157">
        <f>IF(ISBLANK('ENGAGEMENTS 2026'!B1157),"",'ENGAGEMENTS 2026'!C1157)</f>
        <v/>
      </c>
      <c r="C1157">
        <f>IF(ISBLANK('ENGAGEMENTS 2026'!B1157),"",'ENGAGEMENTS 2026'!D1157)</f>
        <v/>
      </c>
      <c r="D1157">
        <f>IF(ISBLANK('ENGAGEMENTS 2026'!B1157),"",'ENGAGEMENTS 2026'!F1157)</f>
        <v/>
      </c>
      <c r="E1157">
        <f>IF(ISBLANK('ENGAGEMENTS 2026'!B1157),"",'ENGAGEMENTS 2026'!H1157)</f>
        <v/>
      </c>
      <c r="F1157">
        <f>IF(ISBLANK('ENGAGEMENTS 2026'!B1157),"",'ENGAGEMENTS 2026'!I1157)</f>
        <v/>
      </c>
      <c r="G1157">
        <f>IF(ISBLANK('ENGAGEMENTS 2026'!B1157),"",'ENGAGEMENTS 2026'!L1157)</f>
        <v/>
      </c>
      <c r="H1157">
        <f>IF(ISBLANK('ENGAGEMENTS 2026'!B1157),"",'ENGAGEMENTS 2026'!AE1157)</f>
        <v/>
      </c>
      <c r="I1157">
        <f>IF(ISBLANK('ENGAGEMENTS 2026'!B1157),"",'ENGAGEMENTS 2026'!G1157)</f>
        <v/>
      </c>
      <c r="J1157" s="275">
        <f>IF(ISBLANK('ENGAGEMENTS 2026'!B1157),"",IF(AND(OR($E1157="INFRUCTUEUX",$E1157="ANNULE"),$C1157="AOO-M"),'ENGAGEMENTS 2026'!O1157,IF($H1157="EN COURS DE PREENGAGEMENT",'ENGAGEMENTS 2026'!N1157,IF($H1157="PREENGAGE",IF($E1157="ATTRIBUE",'ENGAGEMENTS 2026'!AD1157,'ENGAGEMENTS 2026'!N1157),'ENGAGEMENTS 2026'!AD1157))))</f>
        <v/>
      </c>
      <c r="K1157" s="604">
        <f>IF(ISBLANK('ENGAGEMENTS 2026'!V1157),"",'ENGAGEMENTS 2026'!V1157)</f>
        <v/>
      </c>
      <c r="L1157" s="276">
        <f>IF($K1157="","",TODAY()-$K1157)</f>
        <v/>
      </c>
      <c r="M1157">
        <f>IF($A1157="","",IF($H1157="ENGAGE","Engagé",IF(AND($H1157="NON ENGAGE",OR($I1157="INFRUCTUEUX",$I1157="ANNULE")),"Clôturé sans suite","En cours")))</f>
        <v/>
      </c>
      <c r="N1157">
        <f>IF(ISBLANK('ENGAGEMENTS 2026'!B1157),"",'ENGAGEMENTS 2026'!K1157)</f>
        <v/>
      </c>
      <c r="O1157">
        <f>IF(ISBLANK('ENGAGEMENTS 2026'!B1157),"",'ENGAGEMENTS 2026'!L1157)</f>
        <v/>
      </c>
      <c r="P1157">
        <f>IF(ISBLANK('ENGAGEMENTS 2026'!B1157),"",'ENGAGEMENTS 2026'!J1157)</f>
        <v/>
      </c>
      <c r="Q1157">
        <f>IF($A1157="","",IF(OR($E1157="INFRUCTUEUX",$E1157="ANNULE"),$A1157&amp;"|"&amp;(COUNTIFS($A$2:$A1157,$A1157,$E$2:$E1157,"INFRUCTUEUX")+COUNTIFS($A$2:$A1157,$A1157,$E$2:$E1157,"ANNULE")),""))</f>
        <v/>
      </c>
    </row>
    <row r="1158">
      <c r="A1158">
        <f>IF(ISBLANK('ENGAGEMENTS 2026'!B1158),"",IF('ENGAGEMENTS 2026'!B1158="DTSI","DCT",'ENGAGEMENTS 2026'!B1158))</f>
        <v/>
      </c>
      <c r="B1158">
        <f>IF(ISBLANK('ENGAGEMENTS 2026'!B1158),"",'ENGAGEMENTS 2026'!C1158)</f>
        <v/>
      </c>
      <c r="C1158">
        <f>IF(ISBLANK('ENGAGEMENTS 2026'!B1158),"",'ENGAGEMENTS 2026'!D1158)</f>
        <v/>
      </c>
      <c r="D1158">
        <f>IF(ISBLANK('ENGAGEMENTS 2026'!B1158),"",'ENGAGEMENTS 2026'!F1158)</f>
        <v/>
      </c>
      <c r="E1158">
        <f>IF(ISBLANK('ENGAGEMENTS 2026'!B1158),"",'ENGAGEMENTS 2026'!H1158)</f>
        <v/>
      </c>
      <c r="F1158">
        <f>IF(ISBLANK('ENGAGEMENTS 2026'!B1158),"",'ENGAGEMENTS 2026'!I1158)</f>
        <v/>
      </c>
      <c r="G1158">
        <f>IF(ISBLANK('ENGAGEMENTS 2026'!B1158),"",'ENGAGEMENTS 2026'!L1158)</f>
        <v/>
      </c>
      <c r="H1158">
        <f>IF(ISBLANK('ENGAGEMENTS 2026'!B1158),"",'ENGAGEMENTS 2026'!AE1158)</f>
        <v/>
      </c>
      <c r="I1158">
        <f>IF(ISBLANK('ENGAGEMENTS 2026'!B1158),"",'ENGAGEMENTS 2026'!G1158)</f>
        <v/>
      </c>
      <c r="J1158" s="275">
        <f>IF(ISBLANK('ENGAGEMENTS 2026'!B1158),"",IF(AND(OR($E1158="INFRUCTUEUX",$E1158="ANNULE"),$C1158="AOO-M"),'ENGAGEMENTS 2026'!O1158,IF($H1158="EN COURS DE PREENGAGEMENT",'ENGAGEMENTS 2026'!N1158,IF($H1158="PREENGAGE",IF($E1158="ATTRIBUE",'ENGAGEMENTS 2026'!AD1158,'ENGAGEMENTS 2026'!N1158),'ENGAGEMENTS 2026'!AD1158))))</f>
        <v/>
      </c>
      <c r="K1158" s="604">
        <f>IF(ISBLANK('ENGAGEMENTS 2026'!V1158),"",'ENGAGEMENTS 2026'!V1158)</f>
        <v/>
      </c>
      <c r="L1158" s="276">
        <f>IF($K1158="","",TODAY()-$K1158)</f>
        <v/>
      </c>
      <c r="M1158">
        <f>IF($A1158="","",IF($H1158="ENGAGE","Engagé",IF(AND($H1158="NON ENGAGE",OR($I1158="INFRUCTUEUX",$I1158="ANNULE")),"Clôturé sans suite","En cours")))</f>
        <v/>
      </c>
      <c r="N1158">
        <f>IF(ISBLANK('ENGAGEMENTS 2026'!B1158),"",'ENGAGEMENTS 2026'!K1158)</f>
        <v/>
      </c>
      <c r="O1158">
        <f>IF(ISBLANK('ENGAGEMENTS 2026'!B1158),"",'ENGAGEMENTS 2026'!L1158)</f>
        <v/>
      </c>
      <c r="P1158">
        <f>IF(ISBLANK('ENGAGEMENTS 2026'!B1158),"",'ENGAGEMENTS 2026'!J1158)</f>
        <v/>
      </c>
      <c r="Q1158">
        <f>IF($A1158="","",IF(OR($E1158="INFRUCTUEUX",$E1158="ANNULE"),$A1158&amp;"|"&amp;(COUNTIFS($A$2:$A1158,$A1158,$E$2:$E1158,"INFRUCTUEUX")+COUNTIFS($A$2:$A1158,$A1158,$E$2:$E1158,"ANNULE")),""))</f>
        <v/>
      </c>
    </row>
    <row r="1159">
      <c r="A1159">
        <f>IF(ISBLANK('ENGAGEMENTS 2026'!B1159),"",IF('ENGAGEMENTS 2026'!B1159="DTSI","DCT",'ENGAGEMENTS 2026'!B1159))</f>
        <v/>
      </c>
      <c r="B1159">
        <f>IF(ISBLANK('ENGAGEMENTS 2026'!B1159),"",'ENGAGEMENTS 2026'!C1159)</f>
        <v/>
      </c>
      <c r="C1159">
        <f>IF(ISBLANK('ENGAGEMENTS 2026'!B1159),"",'ENGAGEMENTS 2026'!D1159)</f>
        <v/>
      </c>
      <c r="D1159">
        <f>IF(ISBLANK('ENGAGEMENTS 2026'!B1159),"",'ENGAGEMENTS 2026'!F1159)</f>
        <v/>
      </c>
      <c r="E1159">
        <f>IF(ISBLANK('ENGAGEMENTS 2026'!B1159),"",'ENGAGEMENTS 2026'!H1159)</f>
        <v/>
      </c>
      <c r="F1159">
        <f>IF(ISBLANK('ENGAGEMENTS 2026'!B1159),"",'ENGAGEMENTS 2026'!I1159)</f>
        <v/>
      </c>
      <c r="G1159">
        <f>IF(ISBLANK('ENGAGEMENTS 2026'!B1159),"",'ENGAGEMENTS 2026'!L1159)</f>
        <v/>
      </c>
      <c r="H1159">
        <f>IF(ISBLANK('ENGAGEMENTS 2026'!B1159),"",'ENGAGEMENTS 2026'!AE1159)</f>
        <v/>
      </c>
      <c r="I1159">
        <f>IF(ISBLANK('ENGAGEMENTS 2026'!B1159),"",'ENGAGEMENTS 2026'!G1159)</f>
        <v/>
      </c>
      <c r="J1159" s="275">
        <f>IF(ISBLANK('ENGAGEMENTS 2026'!B1159),"",IF(AND(OR($E1159="INFRUCTUEUX",$E1159="ANNULE"),$C1159="AOO-M"),'ENGAGEMENTS 2026'!O1159,IF($H1159="EN COURS DE PREENGAGEMENT",'ENGAGEMENTS 2026'!N1159,IF($H1159="PREENGAGE",IF($E1159="ATTRIBUE",'ENGAGEMENTS 2026'!AD1159,'ENGAGEMENTS 2026'!N1159),'ENGAGEMENTS 2026'!AD1159))))</f>
        <v/>
      </c>
      <c r="K1159" s="604">
        <f>IF(ISBLANK('ENGAGEMENTS 2026'!V1159),"",'ENGAGEMENTS 2026'!V1159)</f>
        <v/>
      </c>
      <c r="L1159" s="276">
        <f>IF($K1159="","",TODAY()-$K1159)</f>
        <v/>
      </c>
      <c r="M1159">
        <f>IF($A1159="","",IF($H1159="ENGAGE","Engagé",IF(AND($H1159="NON ENGAGE",OR($I1159="INFRUCTUEUX",$I1159="ANNULE")),"Clôturé sans suite","En cours")))</f>
        <v/>
      </c>
      <c r="N1159">
        <f>IF(ISBLANK('ENGAGEMENTS 2026'!B1159),"",'ENGAGEMENTS 2026'!K1159)</f>
        <v/>
      </c>
      <c r="O1159">
        <f>IF(ISBLANK('ENGAGEMENTS 2026'!B1159),"",'ENGAGEMENTS 2026'!L1159)</f>
        <v/>
      </c>
      <c r="P1159">
        <f>IF(ISBLANK('ENGAGEMENTS 2026'!B1159),"",'ENGAGEMENTS 2026'!J1159)</f>
        <v/>
      </c>
      <c r="Q1159">
        <f>IF($A1159="","",IF(OR($E1159="INFRUCTUEUX",$E1159="ANNULE"),$A1159&amp;"|"&amp;(COUNTIFS($A$2:$A1159,$A1159,$E$2:$E1159,"INFRUCTUEUX")+COUNTIFS($A$2:$A1159,$A1159,$E$2:$E1159,"ANNULE")),""))</f>
        <v/>
      </c>
    </row>
    <row r="1160">
      <c r="A1160">
        <f>IF(ISBLANK('ENGAGEMENTS 2026'!B1160),"",IF('ENGAGEMENTS 2026'!B1160="DTSI","DCT",'ENGAGEMENTS 2026'!B1160))</f>
        <v/>
      </c>
      <c r="B1160">
        <f>IF(ISBLANK('ENGAGEMENTS 2026'!B1160),"",'ENGAGEMENTS 2026'!C1160)</f>
        <v/>
      </c>
      <c r="C1160">
        <f>IF(ISBLANK('ENGAGEMENTS 2026'!B1160),"",'ENGAGEMENTS 2026'!D1160)</f>
        <v/>
      </c>
      <c r="D1160">
        <f>IF(ISBLANK('ENGAGEMENTS 2026'!B1160),"",'ENGAGEMENTS 2026'!F1160)</f>
        <v/>
      </c>
      <c r="E1160">
        <f>IF(ISBLANK('ENGAGEMENTS 2026'!B1160),"",'ENGAGEMENTS 2026'!H1160)</f>
        <v/>
      </c>
      <c r="F1160">
        <f>IF(ISBLANK('ENGAGEMENTS 2026'!B1160),"",'ENGAGEMENTS 2026'!I1160)</f>
        <v/>
      </c>
      <c r="G1160">
        <f>IF(ISBLANK('ENGAGEMENTS 2026'!B1160),"",'ENGAGEMENTS 2026'!L1160)</f>
        <v/>
      </c>
      <c r="H1160">
        <f>IF(ISBLANK('ENGAGEMENTS 2026'!B1160),"",'ENGAGEMENTS 2026'!AE1160)</f>
        <v/>
      </c>
      <c r="I1160">
        <f>IF(ISBLANK('ENGAGEMENTS 2026'!B1160),"",'ENGAGEMENTS 2026'!G1160)</f>
        <v/>
      </c>
      <c r="J1160" s="275">
        <f>IF(ISBLANK('ENGAGEMENTS 2026'!B1160),"",IF(AND(OR($E1160="INFRUCTUEUX",$E1160="ANNULE"),$C1160="AOO-M"),'ENGAGEMENTS 2026'!O1160,IF($H1160="EN COURS DE PREENGAGEMENT",'ENGAGEMENTS 2026'!N1160,IF($H1160="PREENGAGE",IF($E1160="ATTRIBUE",'ENGAGEMENTS 2026'!AD1160,'ENGAGEMENTS 2026'!N1160),'ENGAGEMENTS 2026'!AD1160))))</f>
        <v/>
      </c>
      <c r="K1160" s="604">
        <f>IF(ISBLANK('ENGAGEMENTS 2026'!V1160),"",'ENGAGEMENTS 2026'!V1160)</f>
        <v/>
      </c>
      <c r="L1160" s="276">
        <f>IF($K1160="","",TODAY()-$K1160)</f>
        <v/>
      </c>
      <c r="M1160">
        <f>IF($A1160="","",IF($H1160="ENGAGE","Engagé",IF(AND($H1160="NON ENGAGE",OR($I1160="INFRUCTUEUX",$I1160="ANNULE")),"Clôturé sans suite","En cours")))</f>
        <v/>
      </c>
      <c r="N1160">
        <f>IF(ISBLANK('ENGAGEMENTS 2026'!B1160),"",'ENGAGEMENTS 2026'!K1160)</f>
        <v/>
      </c>
      <c r="O1160">
        <f>IF(ISBLANK('ENGAGEMENTS 2026'!B1160),"",'ENGAGEMENTS 2026'!L1160)</f>
        <v/>
      </c>
      <c r="P1160">
        <f>IF(ISBLANK('ENGAGEMENTS 2026'!B1160),"",'ENGAGEMENTS 2026'!J1160)</f>
        <v/>
      </c>
      <c r="Q1160">
        <f>IF($A1160="","",IF(OR($E1160="INFRUCTUEUX",$E1160="ANNULE"),$A1160&amp;"|"&amp;(COUNTIFS($A$2:$A1160,$A1160,$E$2:$E1160,"INFRUCTUEUX")+COUNTIFS($A$2:$A1160,$A1160,$E$2:$E1160,"ANNULE")),""))</f>
        <v/>
      </c>
    </row>
    <row r="1161">
      <c r="A1161">
        <f>IF(ISBLANK('ENGAGEMENTS 2026'!B1161),"",IF('ENGAGEMENTS 2026'!B1161="DTSI","DCT",'ENGAGEMENTS 2026'!B1161))</f>
        <v/>
      </c>
      <c r="B1161">
        <f>IF(ISBLANK('ENGAGEMENTS 2026'!B1161),"",'ENGAGEMENTS 2026'!C1161)</f>
        <v/>
      </c>
      <c r="C1161">
        <f>IF(ISBLANK('ENGAGEMENTS 2026'!B1161),"",'ENGAGEMENTS 2026'!D1161)</f>
        <v/>
      </c>
      <c r="D1161">
        <f>IF(ISBLANK('ENGAGEMENTS 2026'!B1161),"",'ENGAGEMENTS 2026'!F1161)</f>
        <v/>
      </c>
      <c r="E1161">
        <f>IF(ISBLANK('ENGAGEMENTS 2026'!B1161),"",'ENGAGEMENTS 2026'!H1161)</f>
        <v/>
      </c>
      <c r="F1161">
        <f>IF(ISBLANK('ENGAGEMENTS 2026'!B1161),"",'ENGAGEMENTS 2026'!I1161)</f>
        <v/>
      </c>
      <c r="G1161">
        <f>IF(ISBLANK('ENGAGEMENTS 2026'!B1161),"",'ENGAGEMENTS 2026'!L1161)</f>
        <v/>
      </c>
      <c r="H1161">
        <f>IF(ISBLANK('ENGAGEMENTS 2026'!B1161),"",'ENGAGEMENTS 2026'!AE1161)</f>
        <v/>
      </c>
      <c r="I1161">
        <f>IF(ISBLANK('ENGAGEMENTS 2026'!B1161),"",'ENGAGEMENTS 2026'!G1161)</f>
        <v/>
      </c>
      <c r="J1161" s="275">
        <f>IF(ISBLANK('ENGAGEMENTS 2026'!B1161),"",IF(AND(OR($E1161="INFRUCTUEUX",$E1161="ANNULE"),$C1161="AOO-M"),'ENGAGEMENTS 2026'!O1161,IF($H1161="EN COURS DE PREENGAGEMENT",'ENGAGEMENTS 2026'!N1161,IF($H1161="PREENGAGE",IF($E1161="ATTRIBUE",'ENGAGEMENTS 2026'!AD1161,'ENGAGEMENTS 2026'!N1161),'ENGAGEMENTS 2026'!AD1161))))</f>
        <v/>
      </c>
      <c r="K1161" s="604">
        <f>IF(ISBLANK('ENGAGEMENTS 2026'!V1161),"",'ENGAGEMENTS 2026'!V1161)</f>
        <v/>
      </c>
      <c r="L1161" s="276">
        <f>IF($K1161="","",TODAY()-$K1161)</f>
        <v/>
      </c>
      <c r="M1161">
        <f>IF($A1161="","",IF($H1161="ENGAGE","Engagé",IF(AND($H1161="NON ENGAGE",OR($I1161="INFRUCTUEUX",$I1161="ANNULE")),"Clôturé sans suite","En cours")))</f>
        <v/>
      </c>
      <c r="N1161">
        <f>IF(ISBLANK('ENGAGEMENTS 2026'!B1161),"",'ENGAGEMENTS 2026'!K1161)</f>
        <v/>
      </c>
      <c r="O1161">
        <f>IF(ISBLANK('ENGAGEMENTS 2026'!B1161),"",'ENGAGEMENTS 2026'!L1161)</f>
        <v/>
      </c>
      <c r="P1161">
        <f>IF(ISBLANK('ENGAGEMENTS 2026'!B1161),"",'ENGAGEMENTS 2026'!J1161)</f>
        <v/>
      </c>
      <c r="Q1161">
        <f>IF($A1161="","",IF(OR($E1161="INFRUCTUEUX",$E1161="ANNULE"),$A1161&amp;"|"&amp;(COUNTIFS($A$2:$A1161,$A1161,$E$2:$E1161,"INFRUCTUEUX")+COUNTIFS($A$2:$A1161,$A1161,$E$2:$E1161,"ANNULE")),""))</f>
        <v/>
      </c>
    </row>
    <row r="1162">
      <c r="A1162">
        <f>IF(ISBLANK('ENGAGEMENTS 2026'!B1162),"",IF('ENGAGEMENTS 2026'!B1162="DTSI","DCT",'ENGAGEMENTS 2026'!B1162))</f>
        <v/>
      </c>
      <c r="B1162">
        <f>IF(ISBLANK('ENGAGEMENTS 2026'!B1162),"",'ENGAGEMENTS 2026'!C1162)</f>
        <v/>
      </c>
      <c r="C1162">
        <f>IF(ISBLANK('ENGAGEMENTS 2026'!B1162),"",'ENGAGEMENTS 2026'!D1162)</f>
        <v/>
      </c>
      <c r="D1162">
        <f>IF(ISBLANK('ENGAGEMENTS 2026'!B1162),"",'ENGAGEMENTS 2026'!F1162)</f>
        <v/>
      </c>
      <c r="E1162">
        <f>IF(ISBLANK('ENGAGEMENTS 2026'!B1162),"",'ENGAGEMENTS 2026'!H1162)</f>
        <v/>
      </c>
      <c r="F1162">
        <f>IF(ISBLANK('ENGAGEMENTS 2026'!B1162),"",'ENGAGEMENTS 2026'!I1162)</f>
        <v/>
      </c>
      <c r="G1162">
        <f>IF(ISBLANK('ENGAGEMENTS 2026'!B1162),"",'ENGAGEMENTS 2026'!L1162)</f>
        <v/>
      </c>
      <c r="H1162">
        <f>IF(ISBLANK('ENGAGEMENTS 2026'!B1162),"",'ENGAGEMENTS 2026'!AE1162)</f>
        <v/>
      </c>
      <c r="I1162">
        <f>IF(ISBLANK('ENGAGEMENTS 2026'!B1162),"",'ENGAGEMENTS 2026'!G1162)</f>
        <v/>
      </c>
      <c r="J1162" s="275">
        <f>IF(ISBLANK('ENGAGEMENTS 2026'!B1162),"",IF(AND(OR($E1162="INFRUCTUEUX",$E1162="ANNULE"),$C1162="AOO-M"),'ENGAGEMENTS 2026'!O1162,IF($H1162="EN COURS DE PREENGAGEMENT",'ENGAGEMENTS 2026'!N1162,IF($H1162="PREENGAGE",IF($E1162="ATTRIBUE",'ENGAGEMENTS 2026'!AD1162,'ENGAGEMENTS 2026'!N1162),'ENGAGEMENTS 2026'!AD1162))))</f>
        <v/>
      </c>
      <c r="K1162" s="604">
        <f>IF(ISBLANK('ENGAGEMENTS 2026'!V1162),"",'ENGAGEMENTS 2026'!V1162)</f>
        <v/>
      </c>
      <c r="L1162" s="276">
        <f>IF($K1162="","",TODAY()-$K1162)</f>
        <v/>
      </c>
      <c r="M1162">
        <f>IF($A1162="","",IF($H1162="ENGAGE","Engagé",IF(AND($H1162="NON ENGAGE",OR($I1162="INFRUCTUEUX",$I1162="ANNULE")),"Clôturé sans suite","En cours")))</f>
        <v/>
      </c>
      <c r="N1162">
        <f>IF(ISBLANK('ENGAGEMENTS 2026'!B1162),"",'ENGAGEMENTS 2026'!K1162)</f>
        <v/>
      </c>
      <c r="O1162">
        <f>IF(ISBLANK('ENGAGEMENTS 2026'!B1162),"",'ENGAGEMENTS 2026'!L1162)</f>
        <v/>
      </c>
      <c r="P1162">
        <f>IF(ISBLANK('ENGAGEMENTS 2026'!B1162),"",'ENGAGEMENTS 2026'!J1162)</f>
        <v/>
      </c>
      <c r="Q1162">
        <f>IF($A1162="","",IF(OR($E1162="INFRUCTUEUX",$E1162="ANNULE"),$A1162&amp;"|"&amp;(COUNTIFS($A$2:$A1162,$A1162,$E$2:$E1162,"INFRUCTUEUX")+COUNTIFS($A$2:$A1162,$A1162,$E$2:$E1162,"ANNULE")),""))</f>
        <v/>
      </c>
    </row>
    <row r="1163">
      <c r="A1163">
        <f>IF(ISBLANK('ENGAGEMENTS 2026'!B1163),"",IF('ENGAGEMENTS 2026'!B1163="DTSI","DCT",'ENGAGEMENTS 2026'!B1163))</f>
        <v/>
      </c>
      <c r="B1163">
        <f>IF(ISBLANK('ENGAGEMENTS 2026'!B1163),"",'ENGAGEMENTS 2026'!C1163)</f>
        <v/>
      </c>
      <c r="C1163">
        <f>IF(ISBLANK('ENGAGEMENTS 2026'!B1163),"",'ENGAGEMENTS 2026'!D1163)</f>
        <v/>
      </c>
      <c r="D1163">
        <f>IF(ISBLANK('ENGAGEMENTS 2026'!B1163),"",'ENGAGEMENTS 2026'!F1163)</f>
        <v/>
      </c>
      <c r="E1163">
        <f>IF(ISBLANK('ENGAGEMENTS 2026'!B1163),"",'ENGAGEMENTS 2026'!H1163)</f>
        <v/>
      </c>
      <c r="F1163">
        <f>IF(ISBLANK('ENGAGEMENTS 2026'!B1163),"",'ENGAGEMENTS 2026'!I1163)</f>
        <v/>
      </c>
      <c r="G1163">
        <f>IF(ISBLANK('ENGAGEMENTS 2026'!B1163),"",'ENGAGEMENTS 2026'!L1163)</f>
        <v/>
      </c>
      <c r="H1163">
        <f>IF(ISBLANK('ENGAGEMENTS 2026'!B1163),"",'ENGAGEMENTS 2026'!AE1163)</f>
        <v/>
      </c>
      <c r="I1163">
        <f>IF(ISBLANK('ENGAGEMENTS 2026'!B1163),"",'ENGAGEMENTS 2026'!G1163)</f>
        <v/>
      </c>
      <c r="J1163" s="275">
        <f>IF(ISBLANK('ENGAGEMENTS 2026'!B1163),"",IF(AND(OR($E1163="INFRUCTUEUX",$E1163="ANNULE"),$C1163="AOO-M"),'ENGAGEMENTS 2026'!O1163,IF($H1163="EN COURS DE PREENGAGEMENT",'ENGAGEMENTS 2026'!N1163,IF($H1163="PREENGAGE",IF($E1163="ATTRIBUE",'ENGAGEMENTS 2026'!AD1163,'ENGAGEMENTS 2026'!N1163),'ENGAGEMENTS 2026'!AD1163))))</f>
        <v/>
      </c>
      <c r="K1163" s="604">
        <f>IF(ISBLANK('ENGAGEMENTS 2026'!V1163),"",'ENGAGEMENTS 2026'!V1163)</f>
        <v/>
      </c>
      <c r="L1163" s="276">
        <f>IF($K1163="","",TODAY()-$K1163)</f>
        <v/>
      </c>
      <c r="M1163">
        <f>IF($A1163="","",IF($H1163="ENGAGE","Engagé",IF(AND($H1163="NON ENGAGE",OR($I1163="INFRUCTUEUX",$I1163="ANNULE")),"Clôturé sans suite","En cours")))</f>
        <v/>
      </c>
      <c r="N1163">
        <f>IF(ISBLANK('ENGAGEMENTS 2026'!B1163),"",'ENGAGEMENTS 2026'!K1163)</f>
        <v/>
      </c>
      <c r="O1163">
        <f>IF(ISBLANK('ENGAGEMENTS 2026'!B1163),"",'ENGAGEMENTS 2026'!L1163)</f>
        <v/>
      </c>
      <c r="P1163">
        <f>IF(ISBLANK('ENGAGEMENTS 2026'!B1163),"",'ENGAGEMENTS 2026'!J1163)</f>
        <v/>
      </c>
      <c r="Q1163">
        <f>IF($A1163="","",IF(OR($E1163="INFRUCTUEUX",$E1163="ANNULE"),$A1163&amp;"|"&amp;(COUNTIFS($A$2:$A1163,$A1163,$E$2:$E1163,"INFRUCTUEUX")+COUNTIFS($A$2:$A1163,$A1163,$E$2:$E1163,"ANNULE")),""))</f>
        <v/>
      </c>
    </row>
    <row r="1164">
      <c r="A1164">
        <f>IF(ISBLANK('ENGAGEMENTS 2026'!B1164),"",IF('ENGAGEMENTS 2026'!B1164="DTSI","DCT",'ENGAGEMENTS 2026'!B1164))</f>
        <v/>
      </c>
      <c r="B1164">
        <f>IF(ISBLANK('ENGAGEMENTS 2026'!B1164),"",'ENGAGEMENTS 2026'!C1164)</f>
        <v/>
      </c>
      <c r="C1164">
        <f>IF(ISBLANK('ENGAGEMENTS 2026'!B1164),"",'ENGAGEMENTS 2026'!D1164)</f>
        <v/>
      </c>
      <c r="D1164">
        <f>IF(ISBLANK('ENGAGEMENTS 2026'!B1164),"",'ENGAGEMENTS 2026'!F1164)</f>
        <v/>
      </c>
      <c r="E1164">
        <f>IF(ISBLANK('ENGAGEMENTS 2026'!B1164),"",'ENGAGEMENTS 2026'!H1164)</f>
        <v/>
      </c>
      <c r="F1164">
        <f>IF(ISBLANK('ENGAGEMENTS 2026'!B1164),"",'ENGAGEMENTS 2026'!I1164)</f>
        <v/>
      </c>
      <c r="G1164">
        <f>IF(ISBLANK('ENGAGEMENTS 2026'!B1164),"",'ENGAGEMENTS 2026'!L1164)</f>
        <v/>
      </c>
      <c r="H1164">
        <f>IF(ISBLANK('ENGAGEMENTS 2026'!B1164),"",'ENGAGEMENTS 2026'!AE1164)</f>
        <v/>
      </c>
      <c r="I1164">
        <f>IF(ISBLANK('ENGAGEMENTS 2026'!B1164),"",'ENGAGEMENTS 2026'!G1164)</f>
        <v/>
      </c>
      <c r="J1164" s="275">
        <f>IF(ISBLANK('ENGAGEMENTS 2026'!B1164),"",IF(AND(OR($E1164="INFRUCTUEUX",$E1164="ANNULE"),$C1164="AOO-M"),'ENGAGEMENTS 2026'!O1164,IF($H1164="EN COURS DE PREENGAGEMENT",'ENGAGEMENTS 2026'!N1164,IF($H1164="PREENGAGE",IF($E1164="ATTRIBUE",'ENGAGEMENTS 2026'!AD1164,'ENGAGEMENTS 2026'!N1164),'ENGAGEMENTS 2026'!AD1164))))</f>
        <v/>
      </c>
      <c r="K1164" s="604">
        <f>IF(ISBLANK('ENGAGEMENTS 2026'!V1164),"",'ENGAGEMENTS 2026'!V1164)</f>
        <v/>
      </c>
      <c r="L1164" s="276">
        <f>IF($K1164="","",TODAY()-$K1164)</f>
        <v/>
      </c>
      <c r="M1164">
        <f>IF($A1164="","",IF($H1164="ENGAGE","Engagé",IF(AND($H1164="NON ENGAGE",OR($I1164="INFRUCTUEUX",$I1164="ANNULE")),"Clôturé sans suite","En cours")))</f>
        <v/>
      </c>
      <c r="N1164">
        <f>IF(ISBLANK('ENGAGEMENTS 2026'!B1164),"",'ENGAGEMENTS 2026'!K1164)</f>
        <v/>
      </c>
      <c r="O1164">
        <f>IF(ISBLANK('ENGAGEMENTS 2026'!B1164),"",'ENGAGEMENTS 2026'!L1164)</f>
        <v/>
      </c>
      <c r="P1164">
        <f>IF(ISBLANK('ENGAGEMENTS 2026'!B1164),"",'ENGAGEMENTS 2026'!J1164)</f>
        <v/>
      </c>
      <c r="Q1164">
        <f>IF($A1164="","",IF(OR($E1164="INFRUCTUEUX",$E1164="ANNULE"),$A1164&amp;"|"&amp;(COUNTIFS($A$2:$A1164,$A1164,$E$2:$E1164,"INFRUCTUEUX")+COUNTIFS($A$2:$A1164,$A1164,$E$2:$E1164,"ANNULE")),""))</f>
        <v/>
      </c>
    </row>
    <row r="1165">
      <c r="A1165">
        <f>IF(ISBLANK('ENGAGEMENTS 2026'!B1165),"",IF('ENGAGEMENTS 2026'!B1165="DTSI","DCT",'ENGAGEMENTS 2026'!B1165))</f>
        <v/>
      </c>
      <c r="B1165">
        <f>IF(ISBLANK('ENGAGEMENTS 2026'!B1165),"",'ENGAGEMENTS 2026'!C1165)</f>
        <v/>
      </c>
      <c r="C1165">
        <f>IF(ISBLANK('ENGAGEMENTS 2026'!B1165),"",'ENGAGEMENTS 2026'!D1165)</f>
        <v/>
      </c>
      <c r="D1165">
        <f>IF(ISBLANK('ENGAGEMENTS 2026'!B1165),"",'ENGAGEMENTS 2026'!F1165)</f>
        <v/>
      </c>
      <c r="E1165">
        <f>IF(ISBLANK('ENGAGEMENTS 2026'!B1165),"",'ENGAGEMENTS 2026'!H1165)</f>
        <v/>
      </c>
      <c r="F1165">
        <f>IF(ISBLANK('ENGAGEMENTS 2026'!B1165),"",'ENGAGEMENTS 2026'!I1165)</f>
        <v/>
      </c>
      <c r="G1165">
        <f>IF(ISBLANK('ENGAGEMENTS 2026'!B1165),"",'ENGAGEMENTS 2026'!L1165)</f>
        <v/>
      </c>
      <c r="H1165">
        <f>IF(ISBLANK('ENGAGEMENTS 2026'!B1165),"",'ENGAGEMENTS 2026'!AE1165)</f>
        <v/>
      </c>
      <c r="I1165">
        <f>IF(ISBLANK('ENGAGEMENTS 2026'!B1165),"",'ENGAGEMENTS 2026'!G1165)</f>
        <v/>
      </c>
      <c r="J1165" s="275">
        <f>IF(ISBLANK('ENGAGEMENTS 2026'!B1165),"",IF(AND(OR($E1165="INFRUCTUEUX",$E1165="ANNULE"),$C1165="AOO-M"),'ENGAGEMENTS 2026'!O1165,IF($H1165="EN COURS DE PREENGAGEMENT",'ENGAGEMENTS 2026'!N1165,IF($H1165="PREENGAGE",IF($E1165="ATTRIBUE",'ENGAGEMENTS 2026'!AD1165,'ENGAGEMENTS 2026'!N1165),'ENGAGEMENTS 2026'!AD1165))))</f>
        <v/>
      </c>
      <c r="K1165" s="604">
        <f>IF(ISBLANK('ENGAGEMENTS 2026'!V1165),"",'ENGAGEMENTS 2026'!V1165)</f>
        <v/>
      </c>
      <c r="L1165" s="276">
        <f>IF($K1165="","",TODAY()-$K1165)</f>
        <v/>
      </c>
      <c r="M1165">
        <f>IF($A1165="","",IF($H1165="ENGAGE","Engagé",IF(AND($H1165="NON ENGAGE",OR($I1165="INFRUCTUEUX",$I1165="ANNULE")),"Clôturé sans suite","En cours")))</f>
        <v/>
      </c>
      <c r="N1165">
        <f>IF(ISBLANK('ENGAGEMENTS 2026'!B1165),"",'ENGAGEMENTS 2026'!K1165)</f>
        <v/>
      </c>
      <c r="O1165">
        <f>IF(ISBLANK('ENGAGEMENTS 2026'!B1165),"",'ENGAGEMENTS 2026'!L1165)</f>
        <v/>
      </c>
      <c r="P1165">
        <f>IF(ISBLANK('ENGAGEMENTS 2026'!B1165),"",'ENGAGEMENTS 2026'!J1165)</f>
        <v/>
      </c>
      <c r="Q1165">
        <f>IF($A1165="","",IF(OR($E1165="INFRUCTUEUX",$E1165="ANNULE"),$A1165&amp;"|"&amp;(COUNTIFS($A$2:$A1165,$A1165,$E$2:$E1165,"INFRUCTUEUX")+COUNTIFS($A$2:$A1165,$A1165,$E$2:$E1165,"ANNULE")),""))</f>
        <v/>
      </c>
    </row>
    <row r="1166">
      <c r="A1166">
        <f>IF(ISBLANK('ENGAGEMENTS 2026'!B1166),"",IF('ENGAGEMENTS 2026'!B1166="DTSI","DCT",'ENGAGEMENTS 2026'!B1166))</f>
        <v/>
      </c>
      <c r="B1166">
        <f>IF(ISBLANK('ENGAGEMENTS 2026'!B1166),"",'ENGAGEMENTS 2026'!C1166)</f>
        <v/>
      </c>
      <c r="C1166">
        <f>IF(ISBLANK('ENGAGEMENTS 2026'!B1166),"",'ENGAGEMENTS 2026'!D1166)</f>
        <v/>
      </c>
      <c r="D1166">
        <f>IF(ISBLANK('ENGAGEMENTS 2026'!B1166),"",'ENGAGEMENTS 2026'!F1166)</f>
        <v/>
      </c>
      <c r="E1166">
        <f>IF(ISBLANK('ENGAGEMENTS 2026'!B1166),"",'ENGAGEMENTS 2026'!H1166)</f>
        <v/>
      </c>
      <c r="F1166">
        <f>IF(ISBLANK('ENGAGEMENTS 2026'!B1166),"",'ENGAGEMENTS 2026'!I1166)</f>
        <v/>
      </c>
      <c r="G1166">
        <f>IF(ISBLANK('ENGAGEMENTS 2026'!B1166),"",'ENGAGEMENTS 2026'!L1166)</f>
        <v/>
      </c>
      <c r="H1166">
        <f>IF(ISBLANK('ENGAGEMENTS 2026'!B1166),"",'ENGAGEMENTS 2026'!AE1166)</f>
        <v/>
      </c>
      <c r="I1166">
        <f>IF(ISBLANK('ENGAGEMENTS 2026'!B1166),"",'ENGAGEMENTS 2026'!G1166)</f>
        <v/>
      </c>
      <c r="J1166" s="275">
        <f>IF(ISBLANK('ENGAGEMENTS 2026'!B1166),"",IF(AND(OR($E1166="INFRUCTUEUX",$E1166="ANNULE"),$C1166="AOO-M"),'ENGAGEMENTS 2026'!O1166,IF($H1166="EN COURS DE PREENGAGEMENT",'ENGAGEMENTS 2026'!N1166,IF($H1166="PREENGAGE",IF($E1166="ATTRIBUE",'ENGAGEMENTS 2026'!AD1166,'ENGAGEMENTS 2026'!N1166),'ENGAGEMENTS 2026'!AD1166))))</f>
        <v/>
      </c>
      <c r="K1166" s="604">
        <f>IF(ISBLANK('ENGAGEMENTS 2026'!V1166),"",'ENGAGEMENTS 2026'!V1166)</f>
        <v/>
      </c>
      <c r="L1166" s="276">
        <f>IF($K1166="","",TODAY()-$K1166)</f>
        <v/>
      </c>
      <c r="M1166">
        <f>IF($A1166="","",IF($H1166="ENGAGE","Engagé",IF(AND($H1166="NON ENGAGE",OR($I1166="INFRUCTUEUX",$I1166="ANNULE")),"Clôturé sans suite","En cours")))</f>
        <v/>
      </c>
      <c r="N1166">
        <f>IF(ISBLANK('ENGAGEMENTS 2026'!B1166),"",'ENGAGEMENTS 2026'!K1166)</f>
        <v/>
      </c>
      <c r="O1166">
        <f>IF(ISBLANK('ENGAGEMENTS 2026'!B1166),"",'ENGAGEMENTS 2026'!L1166)</f>
        <v/>
      </c>
      <c r="P1166">
        <f>IF(ISBLANK('ENGAGEMENTS 2026'!B1166),"",'ENGAGEMENTS 2026'!J1166)</f>
        <v/>
      </c>
      <c r="Q1166">
        <f>IF($A1166="","",IF(OR($E1166="INFRUCTUEUX",$E1166="ANNULE"),$A1166&amp;"|"&amp;(COUNTIFS($A$2:$A1166,$A1166,$E$2:$E1166,"INFRUCTUEUX")+COUNTIFS($A$2:$A1166,$A1166,$E$2:$E1166,"ANNULE")),""))</f>
        <v/>
      </c>
    </row>
    <row r="1167">
      <c r="A1167">
        <f>IF(ISBLANK('ENGAGEMENTS 2026'!B1167),"",IF('ENGAGEMENTS 2026'!B1167="DTSI","DCT",'ENGAGEMENTS 2026'!B1167))</f>
        <v/>
      </c>
      <c r="B1167">
        <f>IF(ISBLANK('ENGAGEMENTS 2026'!B1167),"",'ENGAGEMENTS 2026'!C1167)</f>
        <v/>
      </c>
      <c r="C1167">
        <f>IF(ISBLANK('ENGAGEMENTS 2026'!B1167),"",'ENGAGEMENTS 2026'!D1167)</f>
        <v/>
      </c>
      <c r="D1167">
        <f>IF(ISBLANK('ENGAGEMENTS 2026'!B1167),"",'ENGAGEMENTS 2026'!F1167)</f>
        <v/>
      </c>
      <c r="E1167">
        <f>IF(ISBLANK('ENGAGEMENTS 2026'!B1167),"",'ENGAGEMENTS 2026'!H1167)</f>
        <v/>
      </c>
      <c r="F1167">
        <f>IF(ISBLANK('ENGAGEMENTS 2026'!B1167),"",'ENGAGEMENTS 2026'!I1167)</f>
        <v/>
      </c>
      <c r="G1167">
        <f>IF(ISBLANK('ENGAGEMENTS 2026'!B1167),"",'ENGAGEMENTS 2026'!L1167)</f>
        <v/>
      </c>
      <c r="H1167">
        <f>IF(ISBLANK('ENGAGEMENTS 2026'!B1167),"",'ENGAGEMENTS 2026'!AE1167)</f>
        <v/>
      </c>
      <c r="I1167">
        <f>IF(ISBLANK('ENGAGEMENTS 2026'!B1167),"",'ENGAGEMENTS 2026'!G1167)</f>
        <v/>
      </c>
      <c r="J1167" s="275">
        <f>IF(ISBLANK('ENGAGEMENTS 2026'!B1167),"",IF(AND(OR($E1167="INFRUCTUEUX",$E1167="ANNULE"),$C1167="AOO-M"),'ENGAGEMENTS 2026'!O1167,IF($H1167="EN COURS DE PREENGAGEMENT",'ENGAGEMENTS 2026'!N1167,IF($H1167="PREENGAGE",IF($E1167="ATTRIBUE",'ENGAGEMENTS 2026'!AD1167,'ENGAGEMENTS 2026'!N1167),'ENGAGEMENTS 2026'!AD1167))))</f>
        <v/>
      </c>
      <c r="K1167" s="604">
        <f>IF(ISBLANK('ENGAGEMENTS 2026'!V1167),"",'ENGAGEMENTS 2026'!V1167)</f>
        <v/>
      </c>
      <c r="L1167" s="276">
        <f>IF($K1167="","",TODAY()-$K1167)</f>
        <v/>
      </c>
      <c r="M1167">
        <f>IF($A1167="","",IF($H1167="ENGAGE","Engagé",IF(AND($H1167="NON ENGAGE",OR($I1167="INFRUCTUEUX",$I1167="ANNULE")),"Clôturé sans suite","En cours")))</f>
        <v/>
      </c>
      <c r="N1167">
        <f>IF(ISBLANK('ENGAGEMENTS 2026'!B1167),"",'ENGAGEMENTS 2026'!K1167)</f>
        <v/>
      </c>
      <c r="O1167">
        <f>IF(ISBLANK('ENGAGEMENTS 2026'!B1167),"",'ENGAGEMENTS 2026'!L1167)</f>
        <v/>
      </c>
      <c r="P1167">
        <f>IF(ISBLANK('ENGAGEMENTS 2026'!B1167),"",'ENGAGEMENTS 2026'!J1167)</f>
        <v/>
      </c>
      <c r="Q1167">
        <f>IF($A1167="","",IF(OR($E1167="INFRUCTUEUX",$E1167="ANNULE"),$A1167&amp;"|"&amp;(COUNTIFS($A$2:$A1167,$A1167,$E$2:$E1167,"INFRUCTUEUX")+COUNTIFS($A$2:$A1167,$A1167,$E$2:$E1167,"ANNULE")),""))</f>
        <v/>
      </c>
    </row>
    <row r="1168">
      <c r="A1168">
        <f>IF(ISBLANK('ENGAGEMENTS 2026'!B1168),"",IF('ENGAGEMENTS 2026'!B1168="DTSI","DCT",'ENGAGEMENTS 2026'!B1168))</f>
        <v/>
      </c>
      <c r="B1168">
        <f>IF(ISBLANK('ENGAGEMENTS 2026'!B1168),"",'ENGAGEMENTS 2026'!C1168)</f>
        <v/>
      </c>
      <c r="C1168">
        <f>IF(ISBLANK('ENGAGEMENTS 2026'!B1168),"",'ENGAGEMENTS 2026'!D1168)</f>
        <v/>
      </c>
      <c r="D1168">
        <f>IF(ISBLANK('ENGAGEMENTS 2026'!B1168),"",'ENGAGEMENTS 2026'!F1168)</f>
        <v/>
      </c>
      <c r="E1168">
        <f>IF(ISBLANK('ENGAGEMENTS 2026'!B1168),"",'ENGAGEMENTS 2026'!H1168)</f>
        <v/>
      </c>
      <c r="F1168">
        <f>IF(ISBLANK('ENGAGEMENTS 2026'!B1168),"",'ENGAGEMENTS 2026'!I1168)</f>
        <v/>
      </c>
      <c r="G1168">
        <f>IF(ISBLANK('ENGAGEMENTS 2026'!B1168),"",'ENGAGEMENTS 2026'!L1168)</f>
        <v/>
      </c>
      <c r="H1168">
        <f>IF(ISBLANK('ENGAGEMENTS 2026'!B1168),"",'ENGAGEMENTS 2026'!AE1168)</f>
        <v/>
      </c>
      <c r="I1168">
        <f>IF(ISBLANK('ENGAGEMENTS 2026'!B1168),"",'ENGAGEMENTS 2026'!G1168)</f>
        <v/>
      </c>
      <c r="J1168" s="275">
        <f>IF(ISBLANK('ENGAGEMENTS 2026'!B1168),"",IF(AND(OR($E1168="INFRUCTUEUX",$E1168="ANNULE"),$C1168="AOO-M"),'ENGAGEMENTS 2026'!O1168,IF($H1168="EN COURS DE PREENGAGEMENT",'ENGAGEMENTS 2026'!N1168,IF($H1168="PREENGAGE",IF($E1168="ATTRIBUE",'ENGAGEMENTS 2026'!AD1168,'ENGAGEMENTS 2026'!N1168),'ENGAGEMENTS 2026'!AD1168))))</f>
        <v/>
      </c>
      <c r="K1168" s="604">
        <f>IF(ISBLANK('ENGAGEMENTS 2026'!V1168),"",'ENGAGEMENTS 2026'!V1168)</f>
        <v/>
      </c>
      <c r="L1168" s="276">
        <f>IF($K1168="","",TODAY()-$K1168)</f>
        <v/>
      </c>
      <c r="M1168">
        <f>IF($A1168="","",IF($H1168="ENGAGE","Engagé",IF(AND($H1168="NON ENGAGE",OR($I1168="INFRUCTUEUX",$I1168="ANNULE")),"Clôturé sans suite","En cours")))</f>
        <v/>
      </c>
      <c r="N1168">
        <f>IF(ISBLANK('ENGAGEMENTS 2026'!B1168),"",'ENGAGEMENTS 2026'!K1168)</f>
        <v/>
      </c>
      <c r="O1168">
        <f>IF(ISBLANK('ENGAGEMENTS 2026'!B1168),"",'ENGAGEMENTS 2026'!L1168)</f>
        <v/>
      </c>
      <c r="P1168">
        <f>IF(ISBLANK('ENGAGEMENTS 2026'!B1168),"",'ENGAGEMENTS 2026'!J1168)</f>
        <v/>
      </c>
      <c r="Q1168">
        <f>IF($A1168="","",IF(OR($E1168="INFRUCTUEUX",$E1168="ANNULE"),$A1168&amp;"|"&amp;(COUNTIFS($A$2:$A1168,$A1168,$E$2:$E1168,"INFRUCTUEUX")+COUNTIFS($A$2:$A1168,$A1168,$E$2:$E1168,"ANNULE")),""))</f>
        <v/>
      </c>
    </row>
    <row r="1169">
      <c r="A1169">
        <f>IF(ISBLANK('ENGAGEMENTS 2026'!B1169),"",IF('ENGAGEMENTS 2026'!B1169="DTSI","DCT",'ENGAGEMENTS 2026'!B1169))</f>
        <v/>
      </c>
      <c r="B1169">
        <f>IF(ISBLANK('ENGAGEMENTS 2026'!B1169),"",'ENGAGEMENTS 2026'!C1169)</f>
        <v/>
      </c>
      <c r="C1169">
        <f>IF(ISBLANK('ENGAGEMENTS 2026'!B1169),"",'ENGAGEMENTS 2026'!D1169)</f>
        <v/>
      </c>
      <c r="D1169">
        <f>IF(ISBLANK('ENGAGEMENTS 2026'!B1169),"",'ENGAGEMENTS 2026'!F1169)</f>
        <v/>
      </c>
      <c r="E1169">
        <f>IF(ISBLANK('ENGAGEMENTS 2026'!B1169),"",'ENGAGEMENTS 2026'!H1169)</f>
        <v/>
      </c>
      <c r="F1169">
        <f>IF(ISBLANK('ENGAGEMENTS 2026'!B1169),"",'ENGAGEMENTS 2026'!I1169)</f>
        <v/>
      </c>
      <c r="G1169">
        <f>IF(ISBLANK('ENGAGEMENTS 2026'!B1169),"",'ENGAGEMENTS 2026'!L1169)</f>
        <v/>
      </c>
      <c r="H1169">
        <f>IF(ISBLANK('ENGAGEMENTS 2026'!B1169),"",'ENGAGEMENTS 2026'!AE1169)</f>
        <v/>
      </c>
      <c r="I1169">
        <f>IF(ISBLANK('ENGAGEMENTS 2026'!B1169),"",'ENGAGEMENTS 2026'!G1169)</f>
        <v/>
      </c>
      <c r="J1169" s="275">
        <f>IF(ISBLANK('ENGAGEMENTS 2026'!B1169),"",IF(AND(OR($E1169="INFRUCTUEUX",$E1169="ANNULE"),$C1169="AOO-M"),'ENGAGEMENTS 2026'!O1169,IF($H1169="EN COURS DE PREENGAGEMENT",'ENGAGEMENTS 2026'!N1169,IF($H1169="PREENGAGE",IF($E1169="ATTRIBUE",'ENGAGEMENTS 2026'!AD1169,'ENGAGEMENTS 2026'!N1169),'ENGAGEMENTS 2026'!AD1169))))</f>
        <v/>
      </c>
      <c r="K1169" s="604">
        <f>IF(ISBLANK('ENGAGEMENTS 2026'!V1169),"",'ENGAGEMENTS 2026'!V1169)</f>
        <v/>
      </c>
      <c r="L1169" s="276">
        <f>IF($K1169="","",TODAY()-$K1169)</f>
        <v/>
      </c>
      <c r="M1169">
        <f>IF($A1169="","",IF($H1169="ENGAGE","Engagé",IF(AND($H1169="NON ENGAGE",OR($I1169="INFRUCTUEUX",$I1169="ANNULE")),"Clôturé sans suite","En cours")))</f>
        <v/>
      </c>
      <c r="N1169">
        <f>IF(ISBLANK('ENGAGEMENTS 2026'!B1169),"",'ENGAGEMENTS 2026'!K1169)</f>
        <v/>
      </c>
      <c r="O1169">
        <f>IF(ISBLANK('ENGAGEMENTS 2026'!B1169),"",'ENGAGEMENTS 2026'!L1169)</f>
        <v/>
      </c>
      <c r="P1169">
        <f>IF(ISBLANK('ENGAGEMENTS 2026'!B1169),"",'ENGAGEMENTS 2026'!J1169)</f>
        <v/>
      </c>
      <c r="Q1169">
        <f>IF($A1169="","",IF(OR($E1169="INFRUCTUEUX",$E1169="ANNULE"),$A1169&amp;"|"&amp;(COUNTIFS($A$2:$A1169,$A1169,$E$2:$E1169,"INFRUCTUEUX")+COUNTIFS($A$2:$A1169,$A1169,$E$2:$E1169,"ANNULE")),""))</f>
        <v/>
      </c>
    </row>
    <row r="1170">
      <c r="A1170">
        <f>IF(ISBLANK('ENGAGEMENTS 2026'!B1170),"",IF('ENGAGEMENTS 2026'!B1170="DTSI","DCT",'ENGAGEMENTS 2026'!B1170))</f>
        <v/>
      </c>
      <c r="B1170">
        <f>IF(ISBLANK('ENGAGEMENTS 2026'!B1170),"",'ENGAGEMENTS 2026'!C1170)</f>
        <v/>
      </c>
      <c r="C1170">
        <f>IF(ISBLANK('ENGAGEMENTS 2026'!B1170),"",'ENGAGEMENTS 2026'!D1170)</f>
        <v/>
      </c>
      <c r="D1170">
        <f>IF(ISBLANK('ENGAGEMENTS 2026'!B1170),"",'ENGAGEMENTS 2026'!F1170)</f>
        <v/>
      </c>
      <c r="E1170">
        <f>IF(ISBLANK('ENGAGEMENTS 2026'!B1170),"",'ENGAGEMENTS 2026'!H1170)</f>
        <v/>
      </c>
      <c r="F1170">
        <f>IF(ISBLANK('ENGAGEMENTS 2026'!B1170),"",'ENGAGEMENTS 2026'!I1170)</f>
        <v/>
      </c>
      <c r="G1170">
        <f>IF(ISBLANK('ENGAGEMENTS 2026'!B1170),"",'ENGAGEMENTS 2026'!L1170)</f>
        <v/>
      </c>
      <c r="H1170">
        <f>IF(ISBLANK('ENGAGEMENTS 2026'!B1170),"",'ENGAGEMENTS 2026'!AE1170)</f>
        <v/>
      </c>
      <c r="I1170">
        <f>IF(ISBLANK('ENGAGEMENTS 2026'!B1170),"",'ENGAGEMENTS 2026'!G1170)</f>
        <v/>
      </c>
      <c r="J1170" s="275">
        <f>IF(ISBLANK('ENGAGEMENTS 2026'!B1170),"",IF(AND(OR($E1170="INFRUCTUEUX",$E1170="ANNULE"),$C1170="AOO-M"),'ENGAGEMENTS 2026'!O1170,IF($H1170="EN COURS DE PREENGAGEMENT",'ENGAGEMENTS 2026'!N1170,IF($H1170="PREENGAGE",IF($E1170="ATTRIBUE",'ENGAGEMENTS 2026'!AD1170,'ENGAGEMENTS 2026'!N1170),'ENGAGEMENTS 2026'!AD1170))))</f>
        <v/>
      </c>
      <c r="K1170" s="604">
        <f>IF(ISBLANK('ENGAGEMENTS 2026'!V1170),"",'ENGAGEMENTS 2026'!V1170)</f>
        <v/>
      </c>
      <c r="L1170" s="276">
        <f>IF($K1170="","",TODAY()-$K1170)</f>
        <v/>
      </c>
      <c r="M1170">
        <f>IF($A1170="","",IF($H1170="ENGAGE","Engagé",IF(AND($H1170="NON ENGAGE",OR($I1170="INFRUCTUEUX",$I1170="ANNULE")),"Clôturé sans suite","En cours")))</f>
        <v/>
      </c>
      <c r="N1170">
        <f>IF(ISBLANK('ENGAGEMENTS 2026'!B1170),"",'ENGAGEMENTS 2026'!K1170)</f>
        <v/>
      </c>
      <c r="O1170">
        <f>IF(ISBLANK('ENGAGEMENTS 2026'!B1170),"",'ENGAGEMENTS 2026'!L1170)</f>
        <v/>
      </c>
      <c r="P1170">
        <f>IF(ISBLANK('ENGAGEMENTS 2026'!B1170),"",'ENGAGEMENTS 2026'!J1170)</f>
        <v/>
      </c>
      <c r="Q1170">
        <f>IF($A1170="","",IF(OR($E1170="INFRUCTUEUX",$E1170="ANNULE"),$A1170&amp;"|"&amp;(COUNTIFS($A$2:$A1170,$A1170,$E$2:$E1170,"INFRUCTUEUX")+COUNTIFS($A$2:$A1170,$A1170,$E$2:$E1170,"ANNULE")),""))</f>
        <v/>
      </c>
    </row>
    <row r="1171">
      <c r="A1171">
        <f>IF(ISBLANK('ENGAGEMENTS 2026'!B1171),"",IF('ENGAGEMENTS 2026'!B1171="DTSI","DCT",'ENGAGEMENTS 2026'!B1171))</f>
        <v/>
      </c>
      <c r="B1171">
        <f>IF(ISBLANK('ENGAGEMENTS 2026'!B1171),"",'ENGAGEMENTS 2026'!C1171)</f>
        <v/>
      </c>
      <c r="C1171">
        <f>IF(ISBLANK('ENGAGEMENTS 2026'!B1171),"",'ENGAGEMENTS 2026'!D1171)</f>
        <v/>
      </c>
      <c r="D1171">
        <f>IF(ISBLANK('ENGAGEMENTS 2026'!B1171),"",'ENGAGEMENTS 2026'!F1171)</f>
        <v/>
      </c>
      <c r="E1171">
        <f>IF(ISBLANK('ENGAGEMENTS 2026'!B1171),"",'ENGAGEMENTS 2026'!H1171)</f>
        <v/>
      </c>
      <c r="F1171">
        <f>IF(ISBLANK('ENGAGEMENTS 2026'!B1171),"",'ENGAGEMENTS 2026'!I1171)</f>
        <v/>
      </c>
      <c r="G1171">
        <f>IF(ISBLANK('ENGAGEMENTS 2026'!B1171),"",'ENGAGEMENTS 2026'!L1171)</f>
        <v/>
      </c>
      <c r="H1171">
        <f>IF(ISBLANK('ENGAGEMENTS 2026'!B1171),"",'ENGAGEMENTS 2026'!AE1171)</f>
        <v/>
      </c>
      <c r="I1171">
        <f>IF(ISBLANK('ENGAGEMENTS 2026'!B1171),"",'ENGAGEMENTS 2026'!G1171)</f>
        <v/>
      </c>
      <c r="J1171" s="275">
        <f>IF(ISBLANK('ENGAGEMENTS 2026'!B1171),"",IF(AND(OR($E1171="INFRUCTUEUX",$E1171="ANNULE"),$C1171="AOO-M"),'ENGAGEMENTS 2026'!O1171,IF($H1171="EN COURS DE PREENGAGEMENT",'ENGAGEMENTS 2026'!N1171,IF($H1171="PREENGAGE",IF($E1171="ATTRIBUE",'ENGAGEMENTS 2026'!AD1171,'ENGAGEMENTS 2026'!N1171),'ENGAGEMENTS 2026'!AD1171))))</f>
        <v/>
      </c>
      <c r="K1171" s="604">
        <f>IF(ISBLANK('ENGAGEMENTS 2026'!V1171),"",'ENGAGEMENTS 2026'!V1171)</f>
        <v/>
      </c>
      <c r="L1171" s="276">
        <f>IF($K1171="","",TODAY()-$K1171)</f>
        <v/>
      </c>
      <c r="M1171">
        <f>IF($A1171="","",IF($H1171="ENGAGE","Engagé",IF(AND($H1171="NON ENGAGE",OR($I1171="INFRUCTUEUX",$I1171="ANNULE")),"Clôturé sans suite","En cours")))</f>
        <v/>
      </c>
      <c r="N1171">
        <f>IF(ISBLANK('ENGAGEMENTS 2026'!B1171),"",'ENGAGEMENTS 2026'!K1171)</f>
        <v/>
      </c>
      <c r="O1171">
        <f>IF(ISBLANK('ENGAGEMENTS 2026'!B1171),"",'ENGAGEMENTS 2026'!L1171)</f>
        <v/>
      </c>
      <c r="P1171">
        <f>IF(ISBLANK('ENGAGEMENTS 2026'!B1171),"",'ENGAGEMENTS 2026'!J1171)</f>
        <v/>
      </c>
      <c r="Q1171">
        <f>IF($A1171="","",IF(OR($E1171="INFRUCTUEUX",$E1171="ANNULE"),$A1171&amp;"|"&amp;(COUNTIFS($A$2:$A1171,$A1171,$E$2:$E1171,"INFRUCTUEUX")+COUNTIFS($A$2:$A1171,$A1171,$E$2:$E1171,"ANNULE")),""))</f>
        <v/>
      </c>
    </row>
    <row r="1172">
      <c r="A1172">
        <f>IF(ISBLANK('ENGAGEMENTS 2026'!B1172),"",IF('ENGAGEMENTS 2026'!B1172="DTSI","DCT",'ENGAGEMENTS 2026'!B1172))</f>
        <v/>
      </c>
      <c r="B1172">
        <f>IF(ISBLANK('ENGAGEMENTS 2026'!B1172),"",'ENGAGEMENTS 2026'!C1172)</f>
        <v/>
      </c>
      <c r="C1172">
        <f>IF(ISBLANK('ENGAGEMENTS 2026'!B1172),"",'ENGAGEMENTS 2026'!D1172)</f>
        <v/>
      </c>
      <c r="D1172">
        <f>IF(ISBLANK('ENGAGEMENTS 2026'!B1172),"",'ENGAGEMENTS 2026'!F1172)</f>
        <v/>
      </c>
      <c r="E1172">
        <f>IF(ISBLANK('ENGAGEMENTS 2026'!B1172),"",'ENGAGEMENTS 2026'!H1172)</f>
        <v/>
      </c>
      <c r="F1172">
        <f>IF(ISBLANK('ENGAGEMENTS 2026'!B1172),"",'ENGAGEMENTS 2026'!I1172)</f>
        <v/>
      </c>
      <c r="G1172">
        <f>IF(ISBLANK('ENGAGEMENTS 2026'!B1172),"",'ENGAGEMENTS 2026'!L1172)</f>
        <v/>
      </c>
      <c r="H1172">
        <f>IF(ISBLANK('ENGAGEMENTS 2026'!B1172),"",'ENGAGEMENTS 2026'!AE1172)</f>
        <v/>
      </c>
      <c r="I1172">
        <f>IF(ISBLANK('ENGAGEMENTS 2026'!B1172),"",'ENGAGEMENTS 2026'!G1172)</f>
        <v/>
      </c>
      <c r="J1172" s="275">
        <f>IF(ISBLANK('ENGAGEMENTS 2026'!B1172),"",IF(AND(OR($E1172="INFRUCTUEUX",$E1172="ANNULE"),$C1172="AOO-M"),'ENGAGEMENTS 2026'!O1172,IF($H1172="EN COURS DE PREENGAGEMENT",'ENGAGEMENTS 2026'!N1172,IF($H1172="PREENGAGE",IF($E1172="ATTRIBUE",'ENGAGEMENTS 2026'!AD1172,'ENGAGEMENTS 2026'!N1172),'ENGAGEMENTS 2026'!AD1172))))</f>
        <v/>
      </c>
      <c r="K1172" s="604">
        <f>IF(ISBLANK('ENGAGEMENTS 2026'!V1172),"",'ENGAGEMENTS 2026'!V1172)</f>
        <v/>
      </c>
      <c r="L1172" s="276">
        <f>IF($K1172="","",TODAY()-$K1172)</f>
        <v/>
      </c>
      <c r="M1172">
        <f>IF($A1172="","",IF($H1172="ENGAGE","Engagé",IF(AND($H1172="NON ENGAGE",OR($I1172="INFRUCTUEUX",$I1172="ANNULE")),"Clôturé sans suite","En cours")))</f>
        <v/>
      </c>
      <c r="N1172">
        <f>IF(ISBLANK('ENGAGEMENTS 2026'!B1172),"",'ENGAGEMENTS 2026'!K1172)</f>
        <v/>
      </c>
      <c r="O1172">
        <f>IF(ISBLANK('ENGAGEMENTS 2026'!B1172),"",'ENGAGEMENTS 2026'!L1172)</f>
        <v/>
      </c>
      <c r="P1172">
        <f>IF(ISBLANK('ENGAGEMENTS 2026'!B1172),"",'ENGAGEMENTS 2026'!J1172)</f>
        <v/>
      </c>
      <c r="Q1172">
        <f>IF($A1172="","",IF(OR($E1172="INFRUCTUEUX",$E1172="ANNULE"),$A1172&amp;"|"&amp;(COUNTIFS($A$2:$A1172,$A1172,$E$2:$E1172,"INFRUCTUEUX")+COUNTIFS($A$2:$A1172,$A1172,$E$2:$E1172,"ANNULE")),""))</f>
        <v/>
      </c>
    </row>
    <row r="1173">
      <c r="A1173">
        <f>IF(ISBLANK('ENGAGEMENTS 2026'!B1173),"",IF('ENGAGEMENTS 2026'!B1173="DTSI","DCT",'ENGAGEMENTS 2026'!B1173))</f>
        <v/>
      </c>
      <c r="B1173">
        <f>IF(ISBLANK('ENGAGEMENTS 2026'!B1173),"",'ENGAGEMENTS 2026'!C1173)</f>
        <v/>
      </c>
      <c r="C1173">
        <f>IF(ISBLANK('ENGAGEMENTS 2026'!B1173),"",'ENGAGEMENTS 2026'!D1173)</f>
        <v/>
      </c>
      <c r="D1173">
        <f>IF(ISBLANK('ENGAGEMENTS 2026'!B1173),"",'ENGAGEMENTS 2026'!F1173)</f>
        <v/>
      </c>
      <c r="E1173">
        <f>IF(ISBLANK('ENGAGEMENTS 2026'!B1173),"",'ENGAGEMENTS 2026'!H1173)</f>
        <v/>
      </c>
      <c r="F1173">
        <f>IF(ISBLANK('ENGAGEMENTS 2026'!B1173),"",'ENGAGEMENTS 2026'!I1173)</f>
        <v/>
      </c>
      <c r="G1173">
        <f>IF(ISBLANK('ENGAGEMENTS 2026'!B1173),"",'ENGAGEMENTS 2026'!L1173)</f>
        <v/>
      </c>
      <c r="H1173">
        <f>IF(ISBLANK('ENGAGEMENTS 2026'!B1173),"",'ENGAGEMENTS 2026'!AE1173)</f>
        <v/>
      </c>
      <c r="I1173">
        <f>IF(ISBLANK('ENGAGEMENTS 2026'!B1173),"",'ENGAGEMENTS 2026'!G1173)</f>
        <v/>
      </c>
      <c r="J1173" s="275">
        <f>IF(ISBLANK('ENGAGEMENTS 2026'!B1173),"",IF(AND(OR($E1173="INFRUCTUEUX",$E1173="ANNULE"),$C1173="AOO-M"),'ENGAGEMENTS 2026'!O1173,IF($H1173="EN COURS DE PREENGAGEMENT",'ENGAGEMENTS 2026'!N1173,IF($H1173="PREENGAGE",IF($E1173="ATTRIBUE",'ENGAGEMENTS 2026'!AD1173,'ENGAGEMENTS 2026'!N1173),'ENGAGEMENTS 2026'!AD1173))))</f>
        <v/>
      </c>
      <c r="K1173" s="604">
        <f>IF(ISBLANK('ENGAGEMENTS 2026'!V1173),"",'ENGAGEMENTS 2026'!V1173)</f>
        <v/>
      </c>
      <c r="L1173" s="276">
        <f>IF($K1173="","",TODAY()-$K1173)</f>
        <v/>
      </c>
      <c r="M1173">
        <f>IF($A1173="","",IF($H1173="ENGAGE","Engagé",IF(AND($H1173="NON ENGAGE",OR($I1173="INFRUCTUEUX",$I1173="ANNULE")),"Clôturé sans suite","En cours")))</f>
        <v/>
      </c>
      <c r="N1173">
        <f>IF(ISBLANK('ENGAGEMENTS 2026'!B1173),"",'ENGAGEMENTS 2026'!K1173)</f>
        <v/>
      </c>
      <c r="O1173">
        <f>IF(ISBLANK('ENGAGEMENTS 2026'!B1173),"",'ENGAGEMENTS 2026'!L1173)</f>
        <v/>
      </c>
      <c r="P1173">
        <f>IF(ISBLANK('ENGAGEMENTS 2026'!B1173),"",'ENGAGEMENTS 2026'!J1173)</f>
        <v/>
      </c>
      <c r="Q1173">
        <f>IF($A1173="","",IF(OR($E1173="INFRUCTUEUX",$E1173="ANNULE"),$A1173&amp;"|"&amp;(COUNTIFS($A$2:$A1173,$A1173,$E$2:$E1173,"INFRUCTUEUX")+COUNTIFS($A$2:$A1173,$A1173,$E$2:$E1173,"ANNULE")),""))</f>
        <v/>
      </c>
    </row>
    <row r="1174">
      <c r="A1174">
        <f>IF(ISBLANK('ENGAGEMENTS 2026'!B1174),"",IF('ENGAGEMENTS 2026'!B1174="DTSI","DCT",'ENGAGEMENTS 2026'!B1174))</f>
        <v/>
      </c>
      <c r="B1174">
        <f>IF(ISBLANK('ENGAGEMENTS 2026'!B1174),"",'ENGAGEMENTS 2026'!C1174)</f>
        <v/>
      </c>
      <c r="C1174">
        <f>IF(ISBLANK('ENGAGEMENTS 2026'!B1174),"",'ENGAGEMENTS 2026'!D1174)</f>
        <v/>
      </c>
      <c r="D1174">
        <f>IF(ISBLANK('ENGAGEMENTS 2026'!B1174),"",'ENGAGEMENTS 2026'!F1174)</f>
        <v/>
      </c>
      <c r="E1174">
        <f>IF(ISBLANK('ENGAGEMENTS 2026'!B1174),"",'ENGAGEMENTS 2026'!H1174)</f>
        <v/>
      </c>
      <c r="F1174">
        <f>IF(ISBLANK('ENGAGEMENTS 2026'!B1174),"",'ENGAGEMENTS 2026'!I1174)</f>
        <v/>
      </c>
      <c r="G1174">
        <f>IF(ISBLANK('ENGAGEMENTS 2026'!B1174),"",'ENGAGEMENTS 2026'!L1174)</f>
        <v/>
      </c>
      <c r="H1174">
        <f>IF(ISBLANK('ENGAGEMENTS 2026'!B1174),"",'ENGAGEMENTS 2026'!AE1174)</f>
        <v/>
      </c>
      <c r="I1174">
        <f>IF(ISBLANK('ENGAGEMENTS 2026'!B1174),"",'ENGAGEMENTS 2026'!G1174)</f>
        <v/>
      </c>
      <c r="J1174" s="275">
        <f>IF(ISBLANK('ENGAGEMENTS 2026'!B1174),"",IF(AND(OR($E1174="INFRUCTUEUX",$E1174="ANNULE"),$C1174="AOO-M"),'ENGAGEMENTS 2026'!O1174,IF($H1174="EN COURS DE PREENGAGEMENT",'ENGAGEMENTS 2026'!N1174,IF($H1174="PREENGAGE",IF($E1174="ATTRIBUE",'ENGAGEMENTS 2026'!AD1174,'ENGAGEMENTS 2026'!N1174),'ENGAGEMENTS 2026'!AD1174))))</f>
        <v/>
      </c>
      <c r="K1174" s="604">
        <f>IF(ISBLANK('ENGAGEMENTS 2026'!V1174),"",'ENGAGEMENTS 2026'!V1174)</f>
        <v/>
      </c>
      <c r="L1174" s="276">
        <f>IF($K1174="","",TODAY()-$K1174)</f>
        <v/>
      </c>
      <c r="M1174">
        <f>IF($A1174="","",IF($H1174="ENGAGE","Engagé",IF(AND($H1174="NON ENGAGE",OR($I1174="INFRUCTUEUX",$I1174="ANNULE")),"Clôturé sans suite","En cours")))</f>
        <v/>
      </c>
      <c r="N1174">
        <f>IF(ISBLANK('ENGAGEMENTS 2026'!B1174),"",'ENGAGEMENTS 2026'!K1174)</f>
        <v/>
      </c>
      <c r="O1174">
        <f>IF(ISBLANK('ENGAGEMENTS 2026'!B1174),"",'ENGAGEMENTS 2026'!L1174)</f>
        <v/>
      </c>
      <c r="P1174">
        <f>IF(ISBLANK('ENGAGEMENTS 2026'!B1174),"",'ENGAGEMENTS 2026'!J1174)</f>
        <v/>
      </c>
      <c r="Q1174">
        <f>IF($A1174="","",IF(OR($E1174="INFRUCTUEUX",$E1174="ANNULE"),$A1174&amp;"|"&amp;(COUNTIFS($A$2:$A1174,$A1174,$E$2:$E1174,"INFRUCTUEUX")+COUNTIFS($A$2:$A1174,$A1174,$E$2:$E1174,"ANNULE")),""))</f>
        <v/>
      </c>
    </row>
    <row r="1175">
      <c r="A1175">
        <f>IF(ISBLANK('ENGAGEMENTS 2026'!B1175),"",IF('ENGAGEMENTS 2026'!B1175="DTSI","DCT",'ENGAGEMENTS 2026'!B1175))</f>
        <v/>
      </c>
      <c r="B1175">
        <f>IF(ISBLANK('ENGAGEMENTS 2026'!B1175),"",'ENGAGEMENTS 2026'!C1175)</f>
        <v/>
      </c>
      <c r="C1175">
        <f>IF(ISBLANK('ENGAGEMENTS 2026'!B1175),"",'ENGAGEMENTS 2026'!D1175)</f>
        <v/>
      </c>
      <c r="D1175">
        <f>IF(ISBLANK('ENGAGEMENTS 2026'!B1175),"",'ENGAGEMENTS 2026'!F1175)</f>
        <v/>
      </c>
      <c r="E1175">
        <f>IF(ISBLANK('ENGAGEMENTS 2026'!B1175),"",'ENGAGEMENTS 2026'!H1175)</f>
        <v/>
      </c>
      <c r="F1175">
        <f>IF(ISBLANK('ENGAGEMENTS 2026'!B1175),"",'ENGAGEMENTS 2026'!I1175)</f>
        <v/>
      </c>
      <c r="G1175">
        <f>IF(ISBLANK('ENGAGEMENTS 2026'!B1175),"",'ENGAGEMENTS 2026'!L1175)</f>
        <v/>
      </c>
      <c r="H1175">
        <f>IF(ISBLANK('ENGAGEMENTS 2026'!B1175),"",'ENGAGEMENTS 2026'!AE1175)</f>
        <v/>
      </c>
      <c r="I1175">
        <f>IF(ISBLANK('ENGAGEMENTS 2026'!B1175),"",'ENGAGEMENTS 2026'!G1175)</f>
        <v/>
      </c>
      <c r="J1175" s="275">
        <f>IF(ISBLANK('ENGAGEMENTS 2026'!B1175),"",IF(AND(OR($E1175="INFRUCTUEUX",$E1175="ANNULE"),$C1175="AOO-M"),'ENGAGEMENTS 2026'!O1175,IF($H1175="EN COURS DE PREENGAGEMENT",'ENGAGEMENTS 2026'!N1175,IF($H1175="PREENGAGE",IF($E1175="ATTRIBUE",'ENGAGEMENTS 2026'!AD1175,'ENGAGEMENTS 2026'!N1175),'ENGAGEMENTS 2026'!AD1175))))</f>
        <v/>
      </c>
      <c r="K1175" s="604">
        <f>IF(ISBLANK('ENGAGEMENTS 2026'!V1175),"",'ENGAGEMENTS 2026'!V1175)</f>
        <v/>
      </c>
      <c r="L1175" s="276">
        <f>IF($K1175="","",TODAY()-$K1175)</f>
        <v/>
      </c>
      <c r="M1175">
        <f>IF($A1175="","",IF($H1175="ENGAGE","Engagé",IF(AND($H1175="NON ENGAGE",OR($I1175="INFRUCTUEUX",$I1175="ANNULE")),"Clôturé sans suite","En cours")))</f>
        <v/>
      </c>
      <c r="N1175">
        <f>IF(ISBLANK('ENGAGEMENTS 2026'!B1175),"",'ENGAGEMENTS 2026'!K1175)</f>
        <v/>
      </c>
      <c r="O1175">
        <f>IF(ISBLANK('ENGAGEMENTS 2026'!B1175),"",'ENGAGEMENTS 2026'!L1175)</f>
        <v/>
      </c>
      <c r="P1175">
        <f>IF(ISBLANK('ENGAGEMENTS 2026'!B1175),"",'ENGAGEMENTS 2026'!J1175)</f>
        <v/>
      </c>
      <c r="Q1175">
        <f>IF($A1175="","",IF(OR($E1175="INFRUCTUEUX",$E1175="ANNULE"),$A1175&amp;"|"&amp;(COUNTIFS($A$2:$A1175,$A1175,$E$2:$E1175,"INFRUCTUEUX")+COUNTIFS($A$2:$A1175,$A1175,$E$2:$E1175,"ANNULE")),""))</f>
        <v/>
      </c>
    </row>
    <row r="1176">
      <c r="A1176">
        <f>IF(ISBLANK('ENGAGEMENTS 2026'!B1176),"",IF('ENGAGEMENTS 2026'!B1176="DTSI","DCT",'ENGAGEMENTS 2026'!B1176))</f>
        <v/>
      </c>
      <c r="B1176">
        <f>IF(ISBLANK('ENGAGEMENTS 2026'!B1176),"",'ENGAGEMENTS 2026'!C1176)</f>
        <v/>
      </c>
      <c r="C1176">
        <f>IF(ISBLANK('ENGAGEMENTS 2026'!B1176),"",'ENGAGEMENTS 2026'!D1176)</f>
        <v/>
      </c>
      <c r="D1176">
        <f>IF(ISBLANK('ENGAGEMENTS 2026'!B1176),"",'ENGAGEMENTS 2026'!F1176)</f>
        <v/>
      </c>
      <c r="E1176">
        <f>IF(ISBLANK('ENGAGEMENTS 2026'!B1176),"",'ENGAGEMENTS 2026'!H1176)</f>
        <v/>
      </c>
      <c r="F1176">
        <f>IF(ISBLANK('ENGAGEMENTS 2026'!B1176),"",'ENGAGEMENTS 2026'!I1176)</f>
        <v/>
      </c>
      <c r="G1176">
        <f>IF(ISBLANK('ENGAGEMENTS 2026'!B1176),"",'ENGAGEMENTS 2026'!L1176)</f>
        <v/>
      </c>
      <c r="H1176">
        <f>IF(ISBLANK('ENGAGEMENTS 2026'!B1176),"",'ENGAGEMENTS 2026'!AE1176)</f>
        <v/>
      </c>
      <c r="I1176">
        <f>IF(ISBLANK('ENGAGEMENTS 2026'!B1176),"",'ENGAGEMENTS 2026'!G1176)</f>
        <v/>
      </c>
      <c r="J1176" s="275">
        <f>IF(ISBLANK('ENGAGEMENTS 2026'!B1176),"",IF(AND(OR($E1176="INFRUCTUEUX",$E1176="ANNULE"),$C1176="AOO-M"),'ENGAGEMENTS 2026'!O1176,IF($H1176="EN COURS DE PREENGAGEMENT",'ENGAGEMENTS 2026'!N1176,IF($H1176="PREENGAGE",IF($E1176="ATTRIBUE",'ENGAGEMENTS 2026'!AD1176,'ENGAGEMENTS 2026'!N1176),'ENGAGEMENTS 2026'!AD1176))))</f>
        <v/>
      </c>
      <c r="K1176" s="604">
        <f>IF(ISBLANK('ENGAGEMENTS 2026'!V1176),"",'ENGAGEMENTS 2026'!V1176)</f>
        <v/>
      </c>
      <c r="L1176" s="276">
        <f>IF($K1176="","",TODAY()-$K1176)</f>
        <v/>
      </c>
      <c r="M1176">
        <f>IF($A1176="","",IF($H1176="ENGAGE","Engagé",IF(AND($H1176="NON ENGAGE",OR($I1176="INFRUCTUEUX",$I1176="ANNULE")),"Clôturé sans suite","En cours")))</f>
        <v/>
      </c>
      <c r="N1176">
        <f>IF(ISBLANK('ENGAGEMENTS 2026'!B1176),"",'ENGAGEMENTS 2026'!K1176)</f>
        <v/>
      </c>
      <c r="O1176">
        <f>IF(ISBLANK('ENGAGEMENTS 2026'!B1176),"",'ENGAGEMENTS 2026'!L1176)</f>
        <v/>
      </c>
      <c r="P1176">
        <f>IF(ISBLANK('ENGAGEMENTS 2026'!B1176),"",'ENGAGEMENTS 2026'!J1176)</f>
        <v/>
      </c>
      <c r="Q1176">
        <f>IF($A1176="","",IF(OR($E1176="INFRUCTUEUX",$E1176="ANNULE"),$A1176&amp;"|"&amp;(COUNTIFS($A$2:$A1176,$A1176,$E$2:$E1176,"INFRUCTUEUX")+COUNTIFS($A$2:$A1176,$A1176,$E$2:$E1176,"ANNULE")),""))</f>
        <v/>
      </c>
    </row>
    <row r="1177">
      <c r="A1177">
        <f>IF(ISBLANK('ENGAGEMENTS 2026'!B1177),"",IF('ENGAGEMENTS 2026'!B1177="DTSI","DCT",'ENGAGEMENTS 2026'!B1177))</f>
        <v/>
      </c>
      <c r="B1177">
        <f>IF(ISBLANK('ENGAGEMENTS 2026'!B1177),"",'ENGAGEMENTS 2026'!C1177)</f>
        <v/>
      </c>
      <c r="C1177">
        <f>IF(ISBLANK('ENGAGEMENTS 2026'!B1177),"",'ENGAGEMENTS 2026'!D1177)</f>
        <v/>
      </c>
      <c r="D1177">
        <f>IF(ISBLANK('ENGAGEMENTS 2026'!B1177),"",'ENGAGEMENTS 2026'!F1177)</f>
        <v/>
      </c>
      <c r="E1177">
        <f>IF(ISBLANK('ENGAGEMENTS 2026'!B1177),"",'ENGAGEMENTS 2026'!H1177)</f>
        <v/>
      </c>
      <c r="F1177">
        <f>IF(ISBLANK('ENGAGEMENTS 2026'!B1177),"",'ENGAGEMENTS 2026'!I1177)</f>
        <v/>
      </c>
      <c r="G1177">
        <f>IF(ISBLANK('ENGAGEMENTS 2026'!B1177),"",'ENGAGEMENTS 2026'!L1177)</f>
        <v/>
      </c>
      <c r="H1177">
        <f>IF(ISBLANK('ENGAGEMENTS 2026'!B1177),"",'ENGAGEMENTS 2026'!AE1177)</f>
        <v/>
      </c>
      <c r="I1177">
        <f>IF(ISBLANK('ENGAGEMENTS 2026'!B1177),"",'ENGAGEMENTS 2026'!G1177)</f>
        <v/>
      </c>
      <c r="J1177" s="275">
        <f>IF(ISBLANK('ENGAGEMENTS 2026'!B1177),"",IF(AND(OR($E1177="INFRUCTUEUX",$E1177="ANNULE"),$C1177="AOO-M"),'ENGAGEMENTS 2026'!O1177,IF($H1177="EN COURS DE PREENGAGEMENT",'ENGAGEMENTS 2026'!N1177,IF($H1177="PREENGAGE",IF($E1177="ATTRIBUE",'ENGAGEMENTS 2026'!AD1177,'ENGAGEMENTS 2026'!N1177),'ENGAGEMENTS 2026'!AD1177))))</f>
        <v/>
      </c>
      <c r="K1177" s="604">
        <f>IF(ISBLANK('ENGAGEMENTS 2026'!V1177),"",'ENGAGEMENTS 2026'!V1177)</f>
        <v/>
      </c>
      <c r="L1177" s="276">
        <f>IF($K1177="","",TODAY()-$K1177)</f>
        <v/>
      </c>
      <c r="M1177">
        <f>IF($A1177="","",IF($H1177="ENGAGE","Engagé",IF(AND($H1177="NON ENGAGE",OR($I1177="INFRUCTUEUX",$I1177="ANNULE")),"Clôturé sans suite","En cours")))</f>
        <v/>
      </c>
      <c r="N1177">
        <f>IF(ISBLANK('ENGAGEMENTS 2026'!B1177),"",'ENGAGEMENTS 2026'!K1177)</f>
        <v/>
      </c>
      <c r="O1177">
        <f>IF(ISBLANK('ENGAGEMENTS 2026'!B1177),"",'ENGAGEMENTS 2026'!L1177)</f>
        <v/>
      </c>
      <c r="P1177">
        <f>IF(ISBLANK('ENGAGEMENTS 2026'!B1177),"",'ENGAGEMENTS 2026'!J1177)</f>
        <v/>
      </c>
      <c r="Q1177">
        <f>IF($A1177="","",IF(OR($E1177="INFRUCTUEUX",$E1177="ANNULE"),$A1177&amp;"|"&amp;(COUNTIFS($A$2:$A1177,$A1177,$E$2:$E1177,"INFRUCTUEUX")+COUNTIFS($A$2:$A1177,$A1177,$E$2:$E1177,"ANNULE")),""))</f>
        <v/>
      </c>
    </row>
    <row r="1178">
      <c r="A1178">
        <f>IF(ISBLANK('ENGAGEMENTS 2026'!B1178),"",IF('ENGAGEMENTS 2026'!B1178="DTSI","DCT",'ENGAGEMENTS 2026'!B1178))</f>
        <v/>
      </c>
      <c r="B1178">
        <f>IF(ISBLANK('ENGAGEMENTS 2026'!B1178),"",'ENGAGEMENTS 2026'!C1178)</f>
        <v/>
      </c>
      <c r="C1178">
        <f>IF(ISBLANK('ENGAGEMENTS 2026'!B1178),"",'ENGAGEMENTS 2026'!D1178)</f>
        <v/>
      </c>
      <c r="D1178">
        <f>IF(ISBLANK('ENGAGEMENTS 2026'!B1178),"",'ENGAGEMENTS 2026'!F1178)</f>
        <v/>
      </c>
      <c r="E1178">
        <f>IF(ISBLANK('ENGAGEMENTS 2026'!B1178),"",'ENGAGEMENTS 2026'!H1178)</f>
        <v/>
      </c>
      <c r="F1178">
        <f>IF(ISBLANK('ENGAGEMENTS 2026'!B1178),"",'ENGAGEMENTS 2026'!I1178)</f>
        <v/>
      </c>
      <c r="G1178">
        <f>IF(ISBLANK('ENGAGEMENTS 2026'!B1178),"",'ENGAGEMENTS 2026'!L1178)</f>
        <v/>
      </c>
      <c r="H1178">
        <f>IF(ISBLANK('ENGAGEMENTS 2026'!B1178),"",'ENGAGEMENTS 2026'!AE1178)</f>
        <v/>
      </c>
      <c r="I1178">
        <f>IF(ISBLANK('ENGAGEMENTS 2026'!B1178),"",'ENGAGEMENTS 2026'!G1178)</f>
        <v/>
      </c>
      <c r="J1178" s="275">
        <f>IF(ISBLANK('ENGAGEMENTS 2026'!B1178),"",IF(AND(OR($E1178="INFRUCTUEUX",$E1178="ANNULE"),$C1178="AOO-M"),'ENGAGEMENTS 2026'!O1178,IF($H1178="EN COURS DE PREENGAGEMENT",'ENGAGEMENTS 2026'!N1178,IF($H1178="PREENGAGE",IF($E1178="ATTRIBUE",'ENGAGEMENTS 2026'!AD1178,'ENGAGEMENTS 2026'!N1178),'ENGAGEMENTS 2026'!AD1178))))</f>
        <v/>
      </c>
      <c r="K1178" s="604">
        <f>IF(ISBLANK('ENGAGEMENTS 2026'!V1178),"",'ENGAGEMENTS 2026'!V1178)</f>
        <v/>
      </c>
      <c r="L1178" s="276">
        <f>IF($K1178="","",TODAY()-$K1178)</f>
        <v/>
      </c>
      <c r="M1178">
        <f>IF($A1178="","",IF($H1178="ENGAGE","Engagé",IF(AND($H1178="NON ENGAGE",OR($I1178="INFRUCTUEUX",$I1178="ANNULE")),"Clôturé sans suite","En cours")))</f>
        <v/>
      </c>
      <c r="N1178">
        <f>IF(ISBLANK('ENGAGEMENTS 2026'!B1178),"",'ENGAGEMENTS 2026'!K1178)</f>
        <v/>
      </c>
      <c r="O1178">
        <f>IF(ISBLANK('ENGAGEMENTS 2026'!B1178),"",'ENGAGEMENTS 2026'!L1178)</f>
        <v/>
      </c>
      <c r="P1178">
        <f>IF(ISBLANK('ENGAGEMENTS 2026'!B1178),"",'ENGAGEMENTS 2026'!J1178)</f>
        <v/>
      </c>
      <c r="Q1178">
        <f>IF($A1178="","",IF(OR($E1178="INFRUCTUEUX",$E1178="ANNULE"),$A1178&amp;"|"&amp;(COUNTIFS($A$2:$A1178,$A1178,$E$2:$E1178,"INFRUCTUEUX")+COUNTIFS($A$2:$A1178,$A1178,$E$2:$E1178,"ANNULE")),""))</f>
        <v/>
      </c>
    </row>
    <row r="1179">
      <c r="A1179">
        <f>IF(ISBLANK('ENGAGEMENTS 2026'!B1179),"",IF('ENGAGEMENTS 2026'!B1179="DTSI","DCT",'ENGAGEMENTS 2026'!B1179))</f>
        <v/>
      </c>
      <c r="B1179">
        <f>IF(ISBLANK('ENGAGEMENTS 2026'!B1179),"",'ENGAGEMENTS 2026'!C1179)</f>
        <v/>
      </c>
      <c r="C1179">
        <f>IF(ISBLANK('ENGAGEMENTS 2026'!B1179),"",'ENGAGEMENTS 2026'!D1179)</f>
        <v/>
      </c>
      <c r="D1179">
        <f>IF(ISBLANK('ENGAGEMENTS 2026'!B1179),"",'ENGAGEMENTS 2026'!F1179)</f>
        <v/>
      </c>
      <c r="E1179">
        <f>IF(ISBLANK('ENGAGEMENTS 2026'!B1179),"",'ENGAGEMENTS 2026'!H1179)</f>
        <v/>
      </c>
      <c r="F1179">
        <f>IF(ISBLANK('ENGAGEMENTS 2026'!B1179),"",'ENGAGEMENTS 2026'!I1179)</f>
        <v/>
      </c>
      <c r="G1179">
        <f>IF(ISBLANK('ENGAGEMENTS 2026'!B1179),"",'ENGAGEMENTS 2026'!L1179)</f>
        <v/>
      </c>
      <c r="H1179">
        <f>IF(ISBLANK('ENGAGEMENTS 2026'!B1179),"",'ENGAGEMENTS 2026'!AE1179)</f>
        <v/>
      </c>
      <c r="I1179">
        <f>IF(ISBLANK('ENGAGEMENTS 2026'!B1179),"",'ENGAGEMENTS 2026'!G1179)</f>
        <v/>
      </c>
      <c r="J1179" s="275">
        <f>IF(ISBLANK('ENGAGEMENTS 2026'!B1179),"",IF(AND(OR($E1179="INFRUCTUEUX",$E1179="ANNULE"),$C1179="AOO-M"),'ENGAGEMENTS 2026'!O1179,IF($H1179="EN COURS DE PREENGAGEMENT",'ENGAGEMENTS 2026'!N1179,IF($H1179="PREENGAGE",IF($E1179="ATTRIBUE",'ENGAGEMENTS 2026'!AD1179,'ENGAGEMENTS 2026'!N1179),'ENGAGEMENTS 2026'!AD1179))))</f>
        <v/>
      </c>
      <c r="K1179" s="604">
        <f>IF(ISBLANK('ENGAGEMENTS 2026'!V1179),"",'ENGAGEMENTS 2026'!V1179)</f>
        <v/>
      </c>
      <c r="L1179" s="276">
        <f>IF($K1179="","",TODAY()-$K1179)</f>
        <v/>
      </c>
      <c r="M1179">
        <f>IF($A1179="","",IF($H1179="ENGAGE","Engagé",IF(AND($H1179="NON ENGAGE",OR($I1179="INFRUCTUEUX",$I1179="ANNULE")),"Clôturé sans suite","En cours")))</f>
        <v/>
      </c>
      <c r="N1179">
        <f>IF(ISBLANK('ENGAGEMENTS 2026'!B1179),"",'ENGAGEMENTS 2026'!K1179)</f>
        <v/>
      </c>
      <c r="O1179">
        <f>IF(ISBLANK('ENGAGEMENTS 2026'!B1179),"",'ENGAGEMENTS 2026'!L1179)</f>
        <v/>
      </c>
      <c r="P1179">
        <f>IF(ISBLANK('ENGAGEMENTS 2026'!B1179),"",'ENGAGEMENTS 2026'!J1179)</f>
        <v/>
      </c>
      <c r="Q1179">
        <f>IF($A1179="","",IF(OR($E1179="INFRUCTUEUX",$E1179="ANNULE"),$A1179&amp;"|"&amp;(COUNTIFS($A$2:$A1179,$A1179,$E$2:$E1179,"INFRUCTUEUX")+COUNTIFS($A$2:$A1179,$A1179,$E$2:$E1179,"ANNULE")),""))</f>
        <v/>
      </c>
    </row>
    <row r="1180">
      <c r="A1180">
        <f>IF(ISBLANK('ENGAGEMENTS 2026'!B1180),"",IF('ENGAGEMENTS 2026'!B1180="DTSI","DCT",'ENGAGEMENTS 2026'!B1180))</f>
        <v/>
      </c>
      <c r="B1180">
        <f>IF(ISBLANK('ENGAGEMENTS 2026'!B1180),"",'ENGAGEMENTS 2026'!C1180)</f>
        <v/>
      </c>
      <c r="C1180">
        <f>IF(ISBLANK('ENGAGEMENTS 2026'!B1180),"",'ENGAGEMENTS 2026'!D1180)</f>
        <v/>
      </c>
      <c r="D1180">
        <f>IF(ISBLANK('ENGAGEMENTS 2026'!B1180),"",'ENGAGEMENTS 2026'!F1180)</f>
        <v/>
      </c>
      <c r="E1180">
        <f>IF(ISBLANK('ENGAGEMENTS 2026'!B1180),"",'ENGAGEMENTS 2026'!H1180)</f>
        <v/>
      </c>
      <c r="F1180">
        <f>IF(ISBLANK('ENGAGEMENTS 2026'!B1180),"",'ENGAGEMENTS 2026'!I1180)</f>
        <v/>
      </c>
      <c r="G1180">
        <f>IF(ISBLANK('ENGAGEMENTS 2026'!B1180),"",'ENGAGEMENTS 2026'!L1180)</f>
        <v/>
      </c>
      <c r="H1180">
        <f>IF(ISBLANK('ENGAGEMENTS 2026'!B1180),"",'ENGAGEMENTS 2026'!AE1180)</f>
        <v/>
      </c>
      <c r="I1180">
        <f>IF(ISBLANK('ENGAGEMENTS 2026'!B1180),"",'ENGAGEMENTS 2026'!G1180)</f>
        <v/>
      </c>
      <c r="J1180" s="275">
        <f>IF(ISBLANK('ENGAGEMENTS 2026'!B1180),"",IF(AND(OR($E1180="INFRUCTUEUX",$E1180="ANNULE"),$C1180="AOO-M"),'ENGAGEMENTS 2026'!O1180,IF($H1180="EN COURS DE PREENGAGEMENT",'ENGAGEMENTS 2026'!N1180,IF($H1180="PREENGAGE",IF($E1180="ATTRIBUE",'ENGAGEMENTS 2026'!AD1180,'ENGAGEMENTS 2026'!N1180),'ENGAGEMENTS 2026'!AD1180))))</f>
        <v/>
      </c>
      <c r="K1180" s="604">
        <f>IF(ISBLANK('ENGAGEMENTS 2026'!V1180),"",'ENGAGEMENTS 2026'!V1180)</f>
        <v/>
      </c>
      <c r="L1180" s="276">
        <f>IF($K1180="","",TODAY()-$K1180)</f>
        <v/>
      </c>
      <c r="M1180">
        <f>IF($A1180="","",IF($H1180="ENGAGE","Engagé",IF(AND($H1180="NON ENGAGE",OR($I1180="INFRUCTUEUX",$I1180="ANNULE")),"Clôturé sans suite","En cours")))</f>
        <v/>
      </c>
      <c r="N1180">
        <f>IF(ISBLANK('ENGAGEMENTS 2026'!B1180),"",'ENGAGEMENTS 2026'!K1180)</f>
        <v/>
      </c>
      <c r="O1180">
        <f>IF(ISBLANK('ENGAGEMENTS 2026'!B1180),"",'ENGAGEMENTS 2026'!L1180)</f>
        <v/>
      </c>
      <c r="P1180">
        <f>IF(ISBLANK('ENGAGEMENTS 2026'!B1180),"",'ENGAGEMENTS 2026'!J1180)</f>
        <v/>
      </c>
      <c r="Q1180">
        <f>IF($A1180="","",IF(OR($E1180="INFRUCTUEUX",$E1180="ANNULE"),$A1180&amp;"|"&amp;(COUNTIFS($A$2:$A1180,$A1180,$E$2:$E1180,"INFRUCTUEUX")+COUNTIFS($A$2:$A1180,$A1180,$E$2:$E1180,"ANNULE")),""))</f>
        <v/>
      </c>
    </row>
    <row r="1181">
      <c r="A1181">
        <f>IF(ISBLANK('ENGAGEMENTS 2026'!B1181),"",IF('ENGAGEMENTS 2026'!B1181="DTSI","DCT",'ENGAGEMENTS 2026'!B1181))</f>
        <v/>
      </c>
      <c r="B1181">
        <f>IF(ISBLANK('ENGAGEMENTS 2026'!B1181),"",'ENGAGEMENTS 2026'!C1181)</f>
        <v/>
      </c>
      <c r="C1181">
        <f>IF(ISBLANK('ENGAGEMENTS 2026'!B1181),"",'ENGAGEMENTS 2026'!D1181)</f>
        <v/>
      </c>
      <c r="D1181">
        <f>IF(ISBLANK('ENGAGEMENTS 2026'!B1181),"",'ENGAGEMENTS 2026'!F1181)</f>
        <v/>
      </c>
      <c r="E1181">
        <f>IF(ISBLANK('ENGAGEMENTS 2026'!B1181),"",'ENGAGEMENTS 2026'!H1181)</f>
        <v/>
      </c>
      <c r="F1181">
        <f>IF(ISBLANK('ENGAGEMENTS 2026'!B1181),"",'ENGAGEMENTS 2026'!I1181)</f>
        <v/>
      </c>
      <c r="G1181">
        <f>IF(ISBLANK('ENGAGEMENTS 2026'!B1181),"",'ENGAGEMENTS 2026'!L1181)</f>
        <v/>
      </c>
      <c r="H1181">
        <f>IF(ISBLANK('ENGAGEMENTS 2026'!B1181),"",'ENGAGEMENTS 2026'!AE1181)</f>
        <v/>
      </c>
      <c r="I1181">
        <f>IF(ISBLANK('ENGAGEMENTS 2026'!B1181),"",'ENGAGEMENTS 2026'!G1181)</f>
        <v/>
      </c>
      <c r="J1181" s="275">
        <f>IF(ISBLANK('ENGAGEMENTS 2026'!B1181),"",IF(AND(OR($E1181="INFRUCTUEUX",$E1181="ANNULE"),$C1181="AOO-M"),'ENGAGEMENTS 2026'!O1181,IF($H1181="EN COURS DE PREENGAGEMENT",'ENGAGEMENTS 2026'!N1181,IF($H1181="PREENGAGE",IF($E1181="ATTRIBUE",'ENGAGEMENTS 2026'!AD1181,'ENGAGEMENTS 2026'!N1181),'ENGAGEMENTS 2026'!AD1181))))</f>
        <v/>
      </c>
      <c r="K1181" s="604">
        <f>IF(ISBLANK('ENGAGEMENTS 2026'!V1181),"",'ENGAGEMENTS 2026'!V1181)</f>
        <v/>
      </c>
      <c r="L1181" s="276">
        <f>IF($K1181="","",TODAY()-$K1181)</f>
        <v/>
      </c>
      <c r="M1181">
        <f>IF($A1181="","",IF($H1181="ENGAGE","Engagé",IF(AND($H1181="NON ENGAGE",OR($I1181="INFRUCTUEUX",$I1181="ANNULE")),"Clôturé sans suite","En cours")))</f>
        <v/>
      </c>
      <c r="N1181">
        <f>IF(ISBLANK('ENGAGEMENTS 2026'!B1181),"",'ENGAGEMENTS 2026'!K1181)</f>
        <v/>
      </c>
      <c r="O1181">
        <f>IF(ISBLANK('ENGAGEMENTS 2026'!B1181),"",'ENGAGEMENTS 2026'!L1181)</f>
        <v/>
      </c>
      <c r="P1181">
        <f>IF(ISBLANK('ENGAGEMENTS 2026'!B1181),"",'ENGAGEMENTS 2026'!J1181)</f>
        <v/>
      </c>
      <c r="Q1181">
        <f>IF($A1181="","",IF(OR($E1181="INFRUCTUEUX",$E1181="ANNULE"),$A1181&amp;"|"&amp;(COUNTIFS($A$2:$A1181,$A1181,$E$2:$E1181,"INFRUCTUEUX")+COUNTIFS($A$2:$A1181,$A1181,$E$2:$E1181,"ANNULE")),""))</f>
        <v/>
      </c>
    </row>
    <row r="1182">
      <c r="A1182">
        <f>IF(ISBLANK('ENGAGEMENTS 2026'!B1182),"",IF('ENGAGEMENTS 2026'!B1182="DTSI","DCT",'ENGAGEMENTS 2026'!B1182))</f>
        <v/>
      </c>
      <c r="B1182">
        <f>IF(ISBLANK('ENGAGEMENTS 2026'!B1182),"",'ENGAGEMENTS 2026'!C1182)</f>
        <v/>
      </c>
      <c r="C1182">
        <f>IF(ISBLANK('ENGAGEMENTS 2026'!B1182),"",'ENGAGEMENTS 2026'!D1182)</f>
        <v/>
      </c>
      <c r="D1182">
        <f>IF(ISBLANK('ENGAGEMENTS 2026'!B1182),"",'ENGAGEMENTS 2026'!F1182)</f>
        <v/>
      </c>
      <c r="E1182">
        <f>IF(ISBLANK('ENGAGEMENTS 2026'!B1182),"",'ENGAGEMENTS 2026'!H1182)</f>
        <v/>
      </c>
      <c r="F1182">
        <f>IF(ISBLANK('ENGAGEMENTS 2026'!B1182),"",'ENGAGEMENTS 2026'!I1182)</f>
        <v/>
      </c>
      <c r="G1182">
        <f>IF(ISBLANK('ENGAGEMENTS 2026'!B1182),"",'ENGAGEMENTS 2026'!L1182)</f>
        <v/>
      </c>
      <c r="H1182">
        <f>IF(ISBLANK('ENGAGEMENTS 2026'!B1182),"",'ENGAGEMENTS 2026'!AE1182)</f>
        <v/>
      </c>
      <c r="I1182">
        <f>IF(ISBLANK('ENGAGEMENTS 2026'!B1182),"",'ENGAGEMENTS 2026'!G1182)</f>
        <v/>
      </c>
      <c r="J1182" s="275">
        <f>IF(ISBLANK('ENGAGEMENTS 2026'!B1182),"",IF(AND(OR($E1182="INFRUCTUEUX",$E1182="ANNULE"),$C1182="AOO-M"),'ENGAGEMENTS 2026'!O1182,IF($H1182="EN COURS DE PREENGAGEMENT",'ENGAGEMENTS 2026'!N1182,IF($H1182="PREENGAGE",IF($E1182="ATTRIBUE",'ENGAGEMENTS 2026'!AD1182,'ENGAGEMENTS 2026'!N1182),'ENGAGEMENTS 2026'!AD1182))))</f>
        <v/>
      </c>
      <c r="K1182" s="604">
        <f>IF(ISBLANK('ENGAGEMENTS 2026'!V1182),"",'ENGAGEMENTS 2026'!V1182)</f>
        <v/>
      </c>
      <c r="L1182" s="276">
        <f>IF($K1182="","",TODAY()-$K1182)</f>
        <v/>
      </c>
      <c r="M1182">
        <f>IF($A1182="","",IF($H1182="ENGAGE","Engagé",IF(AND($H1182="NON ENGAGE",OR($I1182="INFRUCTUEUX",$I1182="ANNULE")),"Clôturé sans suite","En cours")))</f>
        <v/>
      </c>
      <c r="N1182">
        <f>IF(ISBLANK('ENGAGEMENTS 2026'!B1182),"",'ENGAGEMENTS 2026'!K1182)</f>
        <v/>
      </c>
      <c r="O1182">
        <f>IF(ISBLANK('ENGAGEMENTS 2026'!B1182),"",'ENGAGEMENTS 2026'!L1182)</f>
        <v/>
      </c>
      <c r="P1182">
        <f>IF(ISBLANK('ENGAGEMENTS 2026'!B1182),"",'ENGAGEMENTS 2026'!J1182)</f>
        <v/>
      </c>
      <c r="Q1182">
        <f>IF($A1182="","",IF(OR($E1182="INFRUCTUEUX",$E1182="ANNULE"),$A1182&amp;"|"&amp;(COUNTIFS($A$2:$A1182,$A1182,$E$2:$E1182,"INFRUCTUEUX")+COUNTIFS($A$2:$A1182,$A1182,$E$2:$E1182,"ANNULE")),""))</f>
        <v/>
      </c>
    </row>
    <row r="1183">
      <c r="A1183">
        <f>IF(ISBLANK('ENGAGEMENTS 2026'!B1183),"",IF('ENGAGEMENTS 2026'!B1183="DTSI","DCT",'ENGAGEMENTS 2026'!B1183))</f>
        <v/>
      </c>
      <c r="B1183">
        <f>IF(ISBLANK('ENGAGEMENTS 2026'!B1183),"",'ENGAGEMENTS 2026'!C1183)</f>
        <v/>
      </c>
      <c r="C1183">
        <f>IF(ISBLANK('ENGAGEMENTS 2026'!B1183),"",'ENGAGEMENTS 2026'!D1183)</f>
        <v/>
      </c>
      <c r="D1183">
        <f>IF(ISBLANK('ENGAGEMENTS 2026'!B1183),"",'ENGAGEMENTS 2026'!F1183)</f>
        <v/>
      </c>
      <c r="E1183">
        <f>IF(ISBLANK('ENGAGEMENTS 2026'!B1183),"",'ENGAGEMENTS 2026'!H1183)</f>
        <v/>
      </c>
      <c r="F1183">
        <f>IF(ISBLANK('ENGAGEMENTS 2026'!B1183),"",'ENGAGEMENTS 2026'!I1183)</f>
        <v/>
      </c>
      <c r="G1183">
        <f>IF(ISBLANK('ENGAGEMENTS 2026'!B1183),"",'ENGAGEMENTS 2026'!L1183)</f>
        <v/>
      </c>
      <c r="H1183">
        <f>IF(ISBLANK('ENGAGEMENTS 2026'!B1183),"",'ENGAGEMENTS 2026'!AE1183)</f>
        <v/>
      </c>
      <c r="I1183">
        <f>IF(ISBLANK('ENGAGEMENTS 2026'!B1183),"",'ENGAGEMENTS 2026'!G1183)</f>
        <v/>
      </c>
      <c r="J1183" s="275">
        <f>IF(ISBLANK('ENGAGEMENTS 2026'!B1183),"",IF(AND(OR($E1183="INFRUCTUEUX",$E1183="ANNULE"),$C1183="AOO-M"),'ENGAGEMENTS 2026'!O1183,IF($H1183="EN COURS DE PREENGAGEMENT",'ENGAGEMENTS 2026'!N1183,IF($H1183="PREENGAGE",IF($E1183="ATTRIBUE",'ENGAGEMENTS 2026'!AD1183,'ENGAGEMENTS 2026'!N1183),'ENGAGEMENTS 2026'!AD1183))))</f>
        <v/>
      </c>
      <c r="K1183" s="604">
        <f>IF(ISBLANK('ENGAGEMENTS 2026'!V1183),"",'ENGAGEMENTS 2026'!V1183)</f>
        <v/>
      </c>
      <c r="L1183" s="276">
        <f>IF($K1183="","",TODAY()-$K1183)</f>
        <v/>
      </c>
      <c r="M1183">
        <f>IF($A1183="","",IF($H1183="ENGAGE","Engagé",IF(AND($H1183="NON ENGAGE",OR($I1183="INFRUCTUEUX",$I1183="ANNULE")),"Clôturé sans suite","En cours")))</f>
        <v/>
      </c>
      <c r="N1183">
        <f>IF(ISBLANK('ENGAGEMENTS 2026'!B1183),"",'ENGAGEMENTS 2026'!K1183)</f>
        <v/>
      </c>
      <c r="O1183">
        <f>IF(ISBLANK('ENGAGEMENTS 2026'!B1183),"",'ENGAGEMENTS 2026'!L1183)</f>
        <v/>
      </c>
      <c r="P1183">
        <f>IF(ISBLANK('ENGAGEMENTS 2026'!B1183),"",'ENGAGEMENTS 2026'!J1183)</f>
        <v/>
      </c>
      <c r="Q1183">
        <f>IF($A1183="","",IF(OR($E1183="INFRUCTUEUX",$E1183="ANNULE"),$A1183&amp;"|"&amp;(COUNTIFS($A$2:$A1183,$A1183,$E$2:$E1183,"INFRUCTUEUX")+COUNTIFS($A$2:$A1183,$A1183,$E$2:$E1183,"ANNULE")),""))</f>
        <v/>
      </c>
    </row>
    <row r="1184">
      <c r="A1184">
        <f>IF(ISBLANK('ENGAGEMENTS 2026'!B1184),"",IF('ENGAGEMENTS 2026'!B1184="DTSI","DCT",'ENGAGEMENTS 2026'!B1184))</f>
        <v/>
      </c>
      <c r="B1184">
        <f>IF(ISBLANK('ENGAGEMENTS 2026'!B1184),"",'ENGAGEMENTS 2026'!C1184)</f>
        <v/>
      </c>
      <c r="C1184">
        <f>IF(ISBLANK('ENGAGEMENTS 2026'!B1184),"",'ENGAGEMENTS 2026'!D1184)</f>
        <v/>
      </c>
      <c r="D1184">
        <f>IF(ISBLANK('ENGAGEMENTS 2026'!B1184),"",'ENGAGEMENTS 2026'!F1184)</f>
        <v/>
      </c>
      <c r="E1184">
        <f>IF(ISBLANK('ENGAGEMENTS 2026'!B1184),"",'ENGAGEMENTS 2026'!H1184)</f>
        <v/>
      </c>
      <c r="F1184">
        <f>IF(ISBLANK('ENGAGEMENTS 2026'!B1184),"",'ENGAGEMENTS 2026'!I1184)</f>
        <v/>
      </c>
      <c r="G1184">
        <f>IF(ISBLANK('ENGAGEMENTS 2026'!B1184),"",'ENGAGEMENTS 2026'!L1184)</f>
        <v/>
      </c>
      <c r="H1184">
        <f>IF(ISBLANK('ENGAGEMENTS 2026'!B1184),"",'ENGAGEMENTS 2026'!AE1184)</f>
        <v/>
      </c>
      <c r="I1184">
        <f>IF(ISBLANK('ENGAGEMENTS 2026'!B1184),"",'ENGAGEMENTS 2026'!G1184)</f>
        <v/>
      </c>
      <c r="J1184" s="275">
        <f>IF(ISBLANK('ENGAGEMENTS 2026'!B1184),"",IF(AND(OR($E1184="INFRUCTUEUX",$E1184="ANNULE"),$C1184="AOO-M"),'ENGAGEMENTS 2026'!O1184,IF($H1184="EN COURS DE PREENGAGEMENT",'ENGAGEMENTS 2026'!N1184,IF($H1184="PREENGAGE",IF($E1184="ATTRIBUE",'ENGAGEMENTS 2026'!AD1184,'ENGAGEMENTS 2026'!N1184),'ENGAGEMENTS 2026'!AD1184))))</f>
        <v/>
      </c>
      <c r="K1184" s="604">
        <f>IF(ISBLANK('ENGAGEMENTS 2026'!V1184),"",'ENGAGEMENTS 2026'!V1184)</f>
        <v/>
      </c>
      <c r="L1184" s="276">
        <f>IF($K1184="","",TODAY()-$K1184)</f>
        <v/>
      </c>
      <c r="M1184">
        <f>IF($A1184="","",IF($H1184="ENGAGE","Engagé",IF(AND($H1184="NON ENGAGE",OR($I1184="INFRUCTUEUX",$I1184="ANNULE")),"Clôturé sans suite","En cours")))</f>
        <v/>
      </c>
      <c r="N1184">
        <f>IF(ISBLANK('ENGAGEMENTS 2026'!B1184),"",'ENGAGEMENTS 2026'!K1184)</f>
        <v/>
      </c>
      <c r="O1184">
        <f>IF(ISBLANK('ENGAGEMENTS 2026'!B1184),"",'ENGAGEMENTS 2026'!L1184)</f>
        <v/>
      </c>
      <c r="P1184">
        <f>IF(ISBLANK('ENGAGEMENTS 2026'!B1184),"",'ENGAGEMENTS 2026'!J1184)</f>
        <v/>
      </c>
      <c r="Q1184">
        <f>IF($A1184="","",IF(OR($E1184="INFRUCTUEUX",$E1184="ANNULE"),$A1184&amp;"|"&amp;(COUNTIFS($A$2:$A1184,$A1184,$E$2:$E1184,"INFRUCTUEUX")+COUNTIFS($A$2:$A1184,$A1184,$E$2:$E1184,"ANNULE")),""))</f>
        <v/>
      </c>
    </row>
    <row r="1185">
      <c r="A1185">
        <f>IF(ISBLANK('ENGAGEMENTS 2026'!B1185),"",IF('ENGAGEMENTS 2026'!B1185="DTSI","DCT",'ENGAGEMENTS 2026'!B1185))</f>
        <v/>
      </c>
      <c r="B1185">
        <f>IF(ISBLANK('ENGAGEMENTS 2026'!B1185),"",'ENGAGEMENTS 2026'!C1185)</f>
        <v/>
      </c>
      <c r="C1185">
        <f>IF(ISBLANK('ENGAGEMENTS 2026'!B1185),"",'ENGAGEMENTS 2026'!D1185)</f>
        <v/>
      </c>
      <c r="D1185">
        <f>IF(ISBLANK('ENGAGEMENTS 2026'!B1185),"",'ENGAGEMENTS 2026'!F1185)</f>
        <v/>
      </c>
      <c r="E1185">
        <f>IF(ISBLANK('ENGAGEMENTS 2026'!B1185),"",'ENGAGEMENTS 2026'!H1185)</f>
        <v/>
      </c>
      <c r="F1185">
        <f>IF(ISBLANK('ENGAGEMENTS 2026'!B1185),"",'ENGAGEMENTS 2026'!I1185)</f>
        <v/>
      </c>
      <c r="G1185">
        <f>IF(ISBLANK('ENGAGEMENTS 2026'!B1185),"",'ENGAGEMENTS 2026'!L1185)</f>
        <v/>
      </c>
      <c r="H1185">
        <f>IF(ISBLANK('ENGAGEMENTS 2026'!B1185),"",'ENGAGEMENTS 2026'!AE1185)</f>
        <v/>
      </c>
      <c r="I1185">
        <f>IF(ISBLANK('ENGAGEMENTS 2026'!B1185),"",'ENGAGEMENTS 2026'!G1185)</f>
        <v/>
      </c>
      <c r="J1185" s="275">
        <f>IF(ISBLANK('ENGAGEMENTS 2026'!B1185),"",IF(AND(OR($E1185="INFRUCTUEUX",$E1185="ANNULE"),$C1185="AOO-M"),'ENGAGEMENTS 2026'!O1185,IF($H1185="EN COURS DE PREENGAGEMENT",'ENGAGEMENTS 2026'!N1185,IF($H1185="PREENGAGE",IF($E1185="ATTRIBUE",'ENGAGEMENTS 2026'!AD1185,'ENGAGEMENTS 2026'!N1185),'ENGAGEMENTS 2026'!AD1185))))</f>
        <v/>
      </c>
      <c r="K1185" s="604">
        <f>IF(ISBLANK('ENGAGEMENTS 2026'!V1185),"",'ENGAGEMENTS 2026'!V1185)</f>
        <v/>
      </c>
      <c r="L1185" s="276">
        <f>IF($K1185="","",TODAY()-$K1185)</f>
        <v/>
      </c>
      <c r="M1185">
        <f>IF($A1185="","",IF($H1185="ENGAGE","Engagé",IF(AND($H1185="NON ENGAGE",OR($I1185="INFRUCTUEUX",$I1185="ANNULE")),"Clôturé sans suite","En cours")))</f>
        <v/>
      </c>
      <c r="N1185">
        <f>IF(ISBLANK('ENGAGEMENTS 2026'!B1185),"",'ENGAGEMENTS 2026'!K1185)</f>
        <v/>
      </c>
      <c r="O1185">
        <f>IF(ISBLANK('ENGAGEMENTS 2026'!B1185),"",'ENGAGEMENTS 2026'!L1185)</f>
        <v/>
      </c>
      <c r="P1185">
        <f>IF(ISBLANK('ENGAGEMENTS 2026'!B1185),"",'ENGAGEMENTS 2026'!J1185)</f>
        <v/>
      </c>
      <c r="Q1185">
        <f>IF($A1185="","",IF(OR($E1185="INFRUCTUEUX",$E1185="ANNULE"),$A1185&amp;"|"&amp;(COUNTIFS($A$2:$A1185,$A1185,$E$2:$E1185,"INFRUCTUEUX")+COUNTIFS($A$2:$A1185,$A1185,$E$2:$E1185,"ANNULE")),""))</f>
        <v/>
      </c>
    </row>
    <row r="1186">
      <c r="A1186">
        <f>IF(ISBLANK('ENGAGEMENTS 2026'!B1186),"",IF('ENGAGEMENTS 2026'!B1186="DTSI","DCT",'ENGAGEMENTS 2026'!B1186))</f>
        <v/>
      </c>
      <c r="B1186">
        <f>IF(ISBLANK('ENGAGEMENTS 2026'!B1186),"",'ENGAGEMENTS 2026'!C1186)</f>
        <v/>
      </c>
      <c r="C1186">
        <f>IF(ISBLANK('ENGAGEMENTS 2026'!B1186),"",'ENGAGEMENTS 2026'!D1186)</f>
        <v/>
      </c>
      <c r="D1186">
        <f>IF(ISBLANK('ENGAGEMENTS 2026'!B1186),"",'ENGAGEMENTS 2026'!F1186)</f>
        <v/>
      </c>
      <c r="E1186">
        <f>IF(ISBLANK('ENGAGEMENTS 2026'!B1186),"",'ENGAGEMENTS 2026'!H1186)</f>
        <v/>
      </c>
      <c r="F1186">
        <f>IF(ISBLANK('ENGAGEMENTS 2026'!B1186),"",'ENGAGEMENTS 2026'!I1186)</f>
        <v/>
      </c>
      <c r="G1186">
        <f>IF(ISBLANK('ENGAGEMENTS 2026'!B1186),"",'ENGAGEMENTS 2026'!L1186)</f>
        <v/>
      </c>
      <c r="H1186">
        <f>IF(ISBLANK('ENGAGEMENTS 2026'!B1186),"",'ENGAGEMENTS 2026'!AE1186)</f>
        <v/>
      </c>
      <c r="I1186">
        <f>IF(ISBLANK('ENGAGEMENTS 2026'!B1186),"",'ENGAGEMENTS 2026'!G1186)</f>
        <v/>
      </c>
      <c r="J1186" s="275">
        <f>IF(ISBLANK('ENGAGEMENTS 2026'!B1186),"",IF(AND(OR($E1186="INFRUCTUEUX",$E1186="ANNULE"),$C1186="AOO-M"),'ENGAGEMENTS 2026'!O1186,IF($H1186="EN COURS DE PREENGAGEMENT",'ENGAGEMENTS 2026'!N1186,IF($H1186="PREENGAGE",IF($E1186="ATTRIBUE",'ENGAGEMENTS 2026'!AD1186,'ENGAGEMENTS 2026'!N1186),'ENGAGEMENTS 2026'!AD1186))))</f>
        <v/>
      </c>
      <c r="K1186" s="604">
        <f>IF(ISBLANK('ENGAGEMENTS 2026'!V1186),"",'ENGAGEMENTS 2026'!V1186)</f>
        <v/>
      </c>
      <c r="L1186" s="276">
        <f>IF($K1186="","",TODAY()-$K1186)</f>
        <v/>
      </c>
      <c r="M1186">
        <f>IF($A1186="","",IF($H1186="ENGAGE","Engagé",IF(AND($H1186="NON ENGAGE",OR($I1186="INFRUCTUEUX",$I1186="ANNULE")),"Clôturé sans suite","En cours")))</f>
        <v/>
      </c>
      <c r="N1186">
        <f>IF(ISBLANK('ENGAGEMENTS 2026'!B1186),"",'ENGAGEMENTS 2026'!K1186)</f>
        <v/>
      </c>
      <c r="O1186">
        <f>IF(ISBLANK('ENGAGEMENTS 2026'!B1186),"",'ENGAGEMENTS 2026'!L1186)</f>
        <v/>
      </c>
      <c r="P1186">
        <f>IF(ISBLANK('ENGAGEMENTS 2026'!B1186),"",'ENGAGEMENTS 2026'!J1186)</f>
        <v/>
      </c>
      <c r="Q1186">
        <f>IF($A1186="","",IF(OR($E1186="INFRUCTUEUX",$E1186="ANNULE"),$A1186&amp;"|"&amp;(COUNTIFS($A$2:$A1186,$A1186,$E$2:$E1186,"INFRUCTUEUX")+COUNTIFS($A$2:$A1186,$A1186,$E$2:$E1186,"ANNULE")),""))</f>
        <v/>
      </c>
    </row>
    <row r="1187">
      <c r="A1187">
        <f>IF(ISBLANK('ENGAGEMENTS 2026'!B1187),"",IF('ENGAGEMENTS 2026'!B1187="DTSI","DCT",'ENGAGEMENTS 2026'!B1187))</f>
        <v/>
      </c>
      <c r="B1187">
        <f>IF(ISBLANK('ENGAGEMENTS 2026'!B1187),"",'ENGAGEMENTS 2026'!C1187)</f>
        <v/>
      </c>
      <c r="C1187">
        <f>IF(ISBLANK('ENGAGEMENTS 2026'!B1187),"",'ENGAGEMENTS 2026'!D1187)</f>
        <v/>
      </c>
      <c r="D1187">
        <f>IF(ISBLANK('ENGAGEMENTS 2026'!B1187),"",'ENGAGEMENTS 2026'!F1187)</f>
        <v/>
      </c>
      <c r="E1187">
        <f>IF(ISBLANK('ENGAGEMENTS 2026'!B1187),"",'ENGAGEMENTS 2026'!H1187)</f>
        <v/>
      </c>
      <c r="F1187">
        <f>IF(ISBLANK('ENGAGEMENTS 2026'!B1187),"",'ENGAGEMENTS 2026'!I1187)</f>
        <v/>
      </c>
      <c r="G1187">
        <f>IF(ISBLANK('ENGAGEMENTS 2026'!B1187),"",'ENGAGEMENTS 2026'!L1187)</f>
        <v/>
      </c>
      <c r="H1187">
        <f>IF(ISBLANK('ENGAGEMENTS 2026'!B1187),"",'ENGAGEMENTS 2026'!AE1187)</f>
        <v/>
      </c>
      <c r="I1187">
        <f>IF(ISBLANK('ENGAGEMENTS 2026'!B1187),"",'ENGAGEMENTS 2026'!G1187)</f>
        <v/>
      </c>
      <c r="J1187" s="275">
        <f>IF(ISBLANK('ENGAGEMENTS 2026'!B1187),"",IF(AND(OR($E1187="INFRUCTUEUX",$E1187="ANNULE"),$C1187="AOO-M"),'ENGAGEMENTS 2026'!O1187,IF($H1187="EN COURS DE PREENGAGEMENT",'ENGAGEMENTS 2026'!N1187,IF($H1187="PREENGAGE",IF($E1187="ATTRIBUE",'ENGAGEMENTS 2026'!AD1187,'ENGAGEMENTS 2026'!N1187),'ENGAGEMENTS 2026'!AD1187))))</f>
        <v/>
      </c>
      <c r="K1187" s="604">
        <f>IF(ISBLANK('ENGAGEMENTS 2026'!V1187),"",'ENGAGEMENTS 2026'!V1187)</f>
        <v/>
      </c>
      <c r="L1187" s="276">
        <f>IF($K1187="","",TODAY()-$K1187)</f>
        <v/>
      </c>
      <c r="M1187">
        <f>IF($A1187="","",IF($H1187="ENGAGE","Engagé",IF(AND($H1187="NON ENGAGE",OR($I1187="INFRUCTUEUX",$I1187="ANNULE")),"Clôturé sans suite","En cours")))</f>
        <v/>
      </c>
      <c r="N1187">
        <f>IF(ISBLANK('ENGAGEMENTS 2026'!B1187),"",'ENGAGEMENTS 2026'!K1187)</f>
        <v/>
      </c>
      <c r="O1187">
        <f>IF(ISBLANK('ENGAGEMENTS 2026'!B1187),"",'ENGAGEMENTS 2026'!L1187)</f>
        <v/>
      </c>
      <c r="P1187">
        <f>IF(ISBLANK('ENGAGEMENTS 2026'!B1187),"",'ENGAGEMENTS 2026'!J1187)</f>
        <v/>
      </c>
      <c r="Q1187">
        <f>IF($A1187="","",IF(OR($E1187="INFRUCTUEUX",$E1187="ANNULE"),$A1187&amp;"|"&amp;(COUNTIFS($A$2:$A1187,$A1187,$E$2:$E1187,"INFRUCTUEUX")+COUNTIFS($A$2:$A1187,$A1187,$E$2:$E1187,"ANNULE")),""))</f>
        <v/>
      </c>
    </row>
    <row r="1188">
      <c r="A1188">
        <f>IF(ISBLANK('ENGAGEMENTS 2026'!B1188),"",IF('ENGAGEMENTS 2026'!B1188="DTSI","DCT",'ENGAGEMENTS 2026'!B1188))</f>
        <v/>
      </c>
      <c r="B1188">
        <f>IF(ISBLANK('ENGAGEMENTS 2026'!B1188),"",'ENGAGEMENTS 2026'!C1188)</f>
        <v/>
      </c>
      <c r="C1188">
        <f>IF(ISBLANK('ENGAGEMENTS 2026'!B1188),"",'ENGAGEMENTS 2026'!D1188)</f>
        <v/>
      </c>
      <c r="D1188">
        <f>IF(ISBLANK('ENGAGEMENTS 2026'!B1188),"",'ENGAGEMENTS 2026'!F1188)</f>
        <v/>
      </c>
      <c r="E1188">
        <f>IF(ISBLANK('ENGAGEMENTS 2026'!B1188),"",'ENGAGEMENTS 2026'!H1188)</f>
        <v/>
      </c>
      <c r="F1188">
        <f>IF(ISBLANK('ENGAGEMENTS 2026'!B1188),"",'ENGAGEMENTS 2026'!I1188)</f>
        <v/>
      </c>
      <c r="G1188">
        <f>IF(ISBLANK('ENGAGEMENTS 2026'!B1188),"",'ENGAGEMENTS 2026'!L1188)</f>
        <v/>
      </c>
      <c r="H1188">
        <f>IF(ISBLANK('ENGAGEMENTS 2026'!B1188),"",'ENGAGEMENTS 2026'!AE1188)</f>
        <v/>
      </c>
      <c r="I1188">
        <f>IF(ISBLANK('ENGAGEMENTS 2026'!B1188),"",'ENGAGEMENTS 2026'!G1188)</f>
        <v/>
      </c>
      <c r="J1188" s="275">
        <f>IF(ISBLANK('ENGAGEMENTS 2026'!B1188),"",IF(AND(OR($E1188="INFRUCTUEUX",$E1188="ANNULE"),$C1188="AOO-M"),'ENGAGEMENTS 2026'!O1188,IF($H1188="EN COURS DE PREENGAGEMENT",'ENGAGEMENTS 2026'!N1188,IF($H1188="PREENGAGE",IF($E1188="ATTRIBUE",'ENGAGEMENTS 2026'!AD1188,'ENGAGEMENTS 2026'!N1188),'ENGAGEMENTS 2026'!AD1188))))</f>
        <v/>
      </c>
      <c r="K1188" s="604">
        <f>IF(ISBLANK('ENGAGEMENTS 2026'!V1188),"",'ENGAGEMENTS 2026'!V1188)</f>
        <v/>
      </c>
      <c r="L1188" s="276">
        <f>IF($K1188="","",TODAY()-$K1188)</f>
        <v/>
      </c>
      <c r="M1188">
        <f>IF($A1188="","",IF($H1188="ENGAGE","Engagé",IF(AND($H1188="NON ENGAGE",OR($I1188="INFRUCTUEUX",$I1188="ANNULE")),"Clôturé sans suite","En cours")))</f>
        <v/>
      </c>
      <c r="N1188">
        <f>IF(ISBLANK('ENGAGEMENTS 2026'!B1188),"",'ENGAGEMENTS 2026'!K1188)</f>
        <v/>
      </c>
      <c r="O1188">
        <f>IF(ISBLANK('ENGAGEMENTS 2026'!B1188),"",'ENGAGEMENTS 2026'!L1188)</f>
        <v/>
      </c>
      <c r="P1188">
        <f>IF(ISBLANK('ENGAGEMENTS 2026'!B1188),"",'ENGAGEMENTS 2026'!J1188)</f>
        <v/>
      </c>
      <c r="Q1188">
        <f>IF($A1188="","",IF(OR($E1188="INFRUCTUEUX",$E1188="ANNULE"),$A1188&amp;"|"&amp;(COUNTIFS($A$2:$A1188,$A1188,$E$2:$E1188,"INFRUCTUEUX")+COUNTIFS($A$2:$A1188,$A1188,$E$2:$E1188,"ANNULE")),""))</f>
        <v/>
      </c>
    </row>
    <row r="1189">
      <c r="A1189">
        <f>IF(ISBLANK('ENGAGEMENTS 2026'!B1189),"",IF('ENGAGEMENTS 2026'!B1189="DTSI","DCT",'ENGAGEMENTS 2026'!B1189))</f>
        <v/>
      </c>
      <c r="B1189">
        <f>IF(ISBLANK('ENGAGEMENTS 2026'!B1189),"",'ENGAGEMENTS 2026'!C1189)</f>
        <v/>
      </c>
      <c r="C1189">
        <f>IF(ISBLANK('ENGAGEMENTS 2026'!B1189),"",'ENGAGEMENTS 2026'!D1189)</f>
        <v/>
      </c>
      <c r="D1189">
        <f>IF(ISBLANK('ENGAGEMENTS 2026'!B1189),"",'ENGAGEMENTS 2026'!F1189)</f>
        <v/>
      </c>
      <c r="E1189">
        <f>IF(ISBLANK('ENGAGEMENTS 2026'!B1189),"",'ENGAGEMENTS 2026'!H1189)</f>
        <v/>
      </c>
      <c r="F1189">
        <f>IF(ISBLANK('ENGAGEMENTS 2026'!B1189),"",'ENGAGEMENTS 2026'!I1189)</f>
        <v/>
      </c>
      <c r="G1189">
        <f>IF(ISBLANK('ENGAGEMENTS 2026'!B1189),"",'ENGAGEMENTS 2026'!L1189)</f>
        <v/>
      </c>
      <c r="H1189">
        <f>IF(ISBLANK('ENGAGEMENTS 2026'!B1189),"",'ENGAGEMENTS 2026'!AE1189)</f>
        <v/>
      </c>
      <c r="I1189">
        <f>IF(ISBLANK('ENGAGEMENTS 2026'!B1189),"",'ENGAGEMENTS 2026'!G1189)</f>
        <v/>
      </c>
      <c r="J1189" s="275">
        <f>IF(ISBLANK('ENGAGEMENTS 2026'!B1189),"",IF(AND(OR($E1189="INFRUCTUEUX",$E1189="ANNULE"),$C1189="AOO-M"),'ENGAGEMENTS 2026'!O1189,IF($H1189="EN COURS DE PREENGAGEMENT",'ENGAGEMENTS 2026'!N1189,IF($H1189="PREENGAGE",IF($E1189="ATTRIBUE",'ENGAGEMENTS 2026'!AD1189,'ENGAGEMENTS 2026'!N1189),'ENGAGEMENTS 2026'!AD1189))))</f>
        <v/>
      </c>
      <c r="K1189" s="604">
        <f>IF(ISBLANK('ENGAGEMENTS 2026'!V1189),"",'ENGAGEMENTS 2026'!V1189)</f>
        <v/>
      </c>
      <c r="L1189" s="276">
        <f>IF($K1189="","",TODAY()-$K1189)</f>
        <v/>
      </c>
      <c r="M1189">
        <f>IF($A1189="","",IF($H1189="ENGAGE","Engagé",IF(AND($H1189="NON ENGAGE",OR($I1189="INFRUCTUEUX",$I1189="ANNULE")),"Clôturé sans suite","En cours")))</f>
        <v/>
      </c>
      <c r="N1189">
        <f>IF(ISBLANK('ENGAGEMENTS 2026'!B1189),"",'ENGAGEMENTS 2026'!K1189)</f>
        <v/>
      </c>
      <c r="O1189">
        <f>IF(ISBLANK('ENGAGEMENTS 2026'!B1189),"",'ENGAGEMENTS 2026'!L1189)</f>
        <v/>
      </c>
      <c r="P1189">
        <f>IF(ISBLANK('ENGAGEMENTS 2026'!B1189),"",'ENGAGEMENTS 2026'!J1189)</f>
        <v/>
      </c>
      <c r="Q1189">
        <f>IF($A1189="","",IF(OR($E1189="INFRUCTUEUX",$E1189="ANNULE"),$A1189&amp;"|"&amp;(COUNTIFS($A$2:$A1189,$A1189,$E$2:$E1189,"INFRUCTUEUX")+COUNTIFS($A$2:$A1189,$A1189,$E$2:$E1189,"ANNULE")),""))</f>
        <v/>
      </c>
    </row>
    <row r="1190">
      <c r="A1190">
        <f>IF(ISBLANK('ENGAGEMENTS 2026'!B1190),"",IF('ENGAGEMENTS 2026'!B1190="DTSI","DCT",'ENGAGEMENTS 2026'!B1190))</f>
        <v/>
      </c>
      <c r="B1190">
        <f>IF(ISBLANK('ENGAGEMENTS 2026'!B1190),"",'ENGAGEMENTS 2026'!C1190)</f>
        <v/>
      </c>
      <c r="C1190">
        <f>IF(ISBLANK('ENGAGEMENTS 2026'!B1190),"",'ENGAGEMENTS 2026'!D1190)</f>
        <v/>
      </c>
      <c r="D1190">
        <f>IF(ISBLANK('ENGAGEMENTS 2026'!B1190),"",'ENGAGEMENTS 2026'!F1190)</f>
        <v/>
      </c>
      <c r="E1190">
        <f>IF(ISBLANK('ENGAGEMENTS 2026'!B1190),"",'ENGAGEMENTS 2026'!H1190)</f>
        <v/>
      </c>
      <c r="F1190">
        <f>IF(ISBLANK('ENGAGEMENTS 2026'!B1190),"",'ENGAGEMENTS 2026'!I1190)</f>
        <v/>
      </c>
      <c r="G1190">
        <f>IF(ISBLANK('ENGAGEMENTS 2026'!B1190),"",'ENGAGEMENTS 2026'!L1190)</f>
        <v/>
      </c>
      <c r="H1190">
        <f>IF(ISBLANK('ENGAGEMENTS 2026'!B1190),"",'ENGAGEMENTS 2026'!AE1190)</f>
        <v/>
      </c>
      <c r="I1190">
        <f>IF(ISBLANK('ENGAGEMENTS 2026'!B1190),"",'ENGAGEMENTS 2026'!G1190)</f>
        <v/>
      </c>
      <c r="J1190" s="275">
        <f>IF(ISBLANK('ENGAGEMENTS 2026'!B1190),"",IF(AND(OR($E1190="INFRUCTUEUX",$E1190="ANNULE"),$C1190="AOO-M"),'ENGAGEMENTS 2026'!O1190,IF($H1190="EN COURS DE PREENGAGEMENT",'ENGAGEMENTS 2026'!N1190,IF($H1190="PREENGAGE",IF($E1190="ATTRIBUE",'ENGAGEMENTS 2026'!AD1190,'ENGAGEMENTS 2026'!N1190),'ENGAGEMENTS 2026'!AD1190))))</f>
        <v/>
      </c>
      <c r="K1190" s="604">
        <f>IF(ISBLANK('ENGAGEMENTS 2026'!V1190),"",'ENGAGEMENTS 2026'!V1190)</f>
        <v/>
      </c>
      <c r="L1190" s="276">
        <f>IF($K1190="","",TODAY()-$K1190)</f>
        <v/>
      </c>
      <c r="M1190">
        <f>IF($A1190="","",IF($H1190="ENGAGE","Engagé",IF(AND($H1190="NON ENGAGE",OR($I1190="INFRUCTUEUX",$I1190="ANNULE")),"Clôturé sans suite","En cours")))</f>
        <v/>
      </c>
      <c r="N1190">
        <f>IF(ISBLANK('ENGAGEMENTS 2026'!B1190),"",'ENGAGEMENTS 2026'!K1190)</f>
        <v/>
      </c>
      <c r="O1190">
        <f>IF(ISBLANK('ENGAGEMENTS 2026'!B1190),"",'ENGAGEMENTS 2026'!L1190)</f>
        <v/>
      </c>
      <c r="P1190">
        <f>IF(ISBLANK('ENGAGEMENTS 2026'!B1190),"",'ENGAGEMENTS 2026'!J1190)</f>
        <v/>
      </c>
      <c r="Q1190">
        <f>IF($A1190="","",IF(OR($E1190="INFRUCTUEUX",$E1190="ANNULE"),$A1190&amp;"|"&amp;(COUNTIFS($A$2:$A1190,$A1190,$E$2:$E1190,"INFRUCTUEUX")+COUNTIFS($A$2:$A1190,$A1190,$E$2:$E1190,"ANNULE")),""))</f>
        <v/>
      </c>
    </row>
    <row r="1191">
      <c r="A1191">
        <f>IF(ISBLANK('ENGAGEMENTS 2026'!B1191),"",IF('ENGAGEMENTS 2026'!B1191="DTSI","DCT",'ENGAGEMENTS 2026'!B1191))</f>
        <v/>
      </c>
      <c r="B1191">
        <f>IF(ISBLANK('ENGAGEMENTS 2026'!B1191),"",'ENGAGEMENTS 2026'!C1191)</f>
        <v/>
      </c>
      <c r="C1191">
        <f>IF(ISBLANK('ENGAGEMENTS 2026'!B1191),"",'ENGAGEMENTS 2026'!D1191)</f>
        <v/>
      </c>
      <c r="D1191">
        <f>IF(ISBLANK('ENGAGEMENTS 2026'!B1191),"",'ENGAGEMENTS 2026'!F1191)</f>
        <v/>
      </c>
      <c r="E1191">
        <f>IF(ISBLANK('ENGAGEMENTS 2026'!B1191),"",'ENGAGEMENTS 2026'!H1191)</f>
        <v/>
      </c>
      <c r="F1191">
        <f>IF(ISBLANK('ENGAGEMENTS 2026'!B1191),"",'ENGAGEMENTS 2026'!I1191)</f>
        <v/>
      </c>
      <c r="G1191">
        <f>IF(ISBLANK('ENGAGEMENTS 2026'!B1191),"",'ENGAGEMENTS 2026'!L1191)</f>
        <v/>
      </c>
      <c r="H1191">
        <f>IF(ISBLANK('ENGAGEMENTS 2026'!B1191),"",'ENGAGEMENTS 2026'!AE1191)</f>
        <v/>
      </c>
      <c r="I1191">
        <f>IF(ISBLANK('ENGAGEMENTS 2026'!B1191),"",'ENGAGEMENTS 2026'!G1191)</f>
        <v/>
      </c>
      <c r="J1191" s="275">
        <f>IF(ISBLANK('ENGAGEMENTS 2026'!B1191),"",IF(AND(OR($E1191="INFRUCTUEUX",$E1191="ANNULE"),$C1191="AOO-M"),'ENGAGEMENTS 2026'!O1191,IF($H1191="EN COURS DE PREENGAGEMENT",'ENGAGEMENTS 2026'!N1191,IF($H1191="PREENGAGE",IF($E1191="ATTRIBUE",'ENGAGEMENTS 2026'!AD1191,'ENGAGEMENTS 2026'!N1191),'ENGAGEMENTS 2026'!AD1191))))</f>
        <v/>
      </c>
      <c r="K1191" s="604">
        <f>IF(ISBLANK('ENGAGEMENTS 2026'!V1191),"",'ENGAGEMENTS 2026'!V1191)</f>
        <v/>
      </c>
      <c r="L1191" s="276">
        <f>IF($K1191="","",TODAY()-$K1191)</f>
        <v/>
      </c>
      <c r="M1191">
        <f>IF($A1191="","",IF($H1191="ENGAGE","Engagé",IF(AND($H1191="NON ENGAGE",OR($I1191="INFRUCTUEUX",$I1191="ANNULE")),"Clôturé sans suite","En cours")))</f>
        <v/>
      </c>
      <c r="N1191">
        <f>IF(ISBLANK('ENGAGEMENTS 2026'!B1191),"",'ENGAGEMENTS 2026'!K1191)</f>
        <v/>
      </c>
      <c r="O1191">
        <f>IF(ISBLANK('ENGAGEMENTS 2026'!B1191),"",'ENGAGEMENTS 2026'!L1191)</f>
        <v/>
      </c>
      <c r="P1191">
        <f>IF(ISBLANK('ENGAGEMENTS 2026'!B1191),"",'ENGAGEMENTS 2026'!J1191)</f>
        <v/>
      </c>
      <c r="Q1191">
        <f>IF($A1191="","",IF(OR($E1191="INFRUCTUEUX",$E1191="ANNULE"),$A1191&amp;"|"&amp;(COUNTIFS($A$2:$A1191,$A1191,$E$2:$E1191,"INFRUCTUEUX")+COUNTIFS($A$2:$A1191,$A1191,$E$2:$E1191,"ANNULE")),""))</f>
        <v/>
      </c>
    </row>
    <row r="1192">
      <c r="A1192">
        <f>IF(ISBLANK('ENGAGEMENTS 2026'!B1192),"",IF('ENGAGEMENTS 2026'!B1192="DTSI","DCT",'ENGAGEMENTS 2026'!B1192))</f>
        <v/>
      </c>
      <c r="B1192">
        <f>IF(ISBLANK('ENGAGEMENTS 2026'!B1192),"",'ENGAGEMENTS 2026'!C1192)</f>
        <v/>
      </c>
      <c r="C1192">
        <f>IF(ISBLANK('ENGAGEMENTS 2026'!B1192),"",'ENGAGEMENTS 2026'!D1192)</f>
        <v/>
      </c>
      <c r="D1192">
        <f>IF(ISBLANK('ENGAGEMENTS 2026'!B1192),"",'ENGAGEMENTS 2026'!F1192)</f>
        <v/>
      </c>
      <c r="E1192">
        <f>IF(ISBLANK('ENGAGEMENTS 2026'!B1192),"",'ENGAGEMENTS 2026'!H1192)</f>
        <v/>
      </c>
      <c r="F1192">
        <f>IF(ISBLANK('ENGAGEMENTS 2026'!B1192),"",'ENGAGEMENTS 2026'!I1192)</f>
        <v/>
      </c>
      <c r="G1192">
        <f>IF(ISBLANK('ENGAGEMENTS 2026'!B1192),"",'ENGAGEMENTS 2026'!L1192)</f>
        <v/>
      </c>
      <c r="H1192">
        <f>IF(ISBLANK('ENGAGEMENTS 2026'!B1192),"",'ENGAGEMENTS 2026'!AE1192)</f>
        <v/>
      </c>
      <c r="I1192">
        <f>IF(ISBLANK('ENGAGEMENTS 2026'!B1192),"",'ENGAGEMENTS 2026'!G1192)</f>
        <v/>
      </c>
      <c r="J1192" s="275">
        <f>IF(ISBLANK('ENGAGEMENTS 2026'!B1192),"",IF(AND(OR($E1192="INFRUCTUEUX",$E1192="ANNULE"),$C1192="AOO-M"),'ENGAGEMENTS 2026'!O1192,IF($H1192="EN COURS DE PREENGAGEMENT",'ENGAGEMENTS 2026'!N1192,IF($H1192="PREENGAGE",IF($E1192="ATTRIBUE",'ENGAGEMENTS 2026'!AD1192,'ENGAGEMENTS 2026'!N1192),'ENGAGEMENTS 2026'!AD1192))))</f>
        <v/>
      </c>
      <c r="K1192" s="604">
        <f>IF(ISBLANK('ENGAGEMENTS 2026'!V1192),"",'ENGAGEMENTS 2026'!V1192)</f>
        <v/>
      </c>
      <c r="L1192" s="276">
        <f>IF($K1192="","",TODAY()-$K1192)</f>
        <v/>
      </c>
      <c r="M1192">
        <f>IF($A1192="","",IF($H1192="ENGAGE","Engagé",IF(AND($H1192="NON ENGAGE",OR($I1192="INFRUCTUEUX",$I1192="ANNULE")),"Clôturé sans suite","En cours")))</f>
        <v/>
      </c>
      <c r="N1192">
        <f>IF(ISBLANK('ENGAGEMENTS 2026'!B1192),"",'ENGAGEMENTS 2026'!K1192)</f>
        <v/>
      </c>
      <c r="O1192">
        <f>IF(ISBLANK('ENGAGEMENTS 2026'!B1192),"",'ENGAGEMENTS 2026'!L1192)</f>
        <v/>
      </c>
      <c r="P1192">
        <f>IF(ISBLANK('ENGAGEMENTS 2026'!B1192),"",'ENGAGEMENTS 2026'!J1192)</f>
        <v/>
      </c>
      <c r="Q1192">
        <f>IF($A1192="","",IF(OR($E1192="INFRUCTUEUX",$E1192="ANNULE"),$A1192&amp;"|"&amp;(COUNTIFS($A$2:$A1192,$A1192,$E$2:$E1192,"INFRUCTUEUX")+COUNTIFS($A$2:$A1192,$A1192,$E$2:$E1192,"ANNULE")),""))</f>
        <v/>
      </c>
    </row>
    <row r="1193">
      <c r="A1193">
        <f>IF(ISBLANK('ENGAGEMENTS 2026'!B1193),"",IF('ENGAGEMENTS 2026'!B1193="DTSI","DCT",'ENGAGEMENTS 2026'!B1193))</f>
        <v/>
      </c>
      <c r="B1193">
        <f>IF(ISBLANK('ENGAGEMENTS 2026'!B1193),"",'ENGAGEMENTS 2026'!C1193)</f>
        <v/>
      </c>
      <c r="C1193">
        <f>IF(ISBLANK('ENGAGEMENTS 2026'!B1193),"",'ENGAGEMENTS 2026'!D1193)</f>
        <v/>
      </c>
      <c r="D1193">
        <f>IF(ISBLANK('ENGAGEMENTS 2026'!B1193),"",'ENGAGEMENTS 2026'!F1193)</f>
        <v/>
      </c>
      <c r="E1193">
        <f>IF(ISBLANK('ENGAGEMENTS 2026'!B1193),"",'ENGAGEMENTS 2026'!H1193)</f>
        <v/>
      </c>
      <c r="F1193">
        <f>IF(ISBLANK('ENGAGEMENTS 2026'!B1193),"",'ENGAGEMENTS 2026'!I1193)</f>
        <v/>
      </c>
      <c r="G1193">
        <f>IF(ISBLANK('ENGAGEMENTS 2026'!B1193),"",'ENGAGEMENTS 2026'!L1193)</f>
        <v/>
      </c>
      <c r="H1193">
        <f>IF(ISBLANK('ENGAGEMENTS 2026'!B1193),"",'ENGAGEMENTS 2026'!AE1193)</f>
        <v/>
      </c>
      <c r="I1193">
        <f>IF(ISBLANK('ENGAGEMENTS 2026'!B1193),"",'ENGAGEMENTS 2026'!G1193)</f>
        <v/>
      </c>
      <c r="J1193" s="275">
        <f>IF(ISBLANK('ENGAGEMENTS 2026'!B1193),"",IF(AND(OR($E1193="INFRUCTUEUX",$E1193="ANNULE"),$C1193="AOO-M"),'ENGAGEMENTS 2026'!O1193,IF($H1193="EN COURS DE PREENGAGEMENT",'ENGAGEMENTS 2026'!N1193,IF($H1193="PREENGAGE",IF($E1193="ATTRIBUE",'ENGAGEMENTS 2026'!AD1193,'ENGAGEMENTS 2026'!N1193),'ENGAGEMENTS 2026'!AD1193))))</f>
        <v/>
      </c>
      <c r="K1193" s="604">
        <f>IF(ISBLANK('ENGAGEMENTS 2026'!V1193),"",'ENGAGEMENTS 2026'!V1193)</f>
        <v/>
      </c>
      <c r="L1193" s="276">
        <f>IF($K1193="","",TODAY()-$K1193)</f>
        <v/>
      </c>
      <c r="M1193">
        <f>IF($A1193="","",IF($H1193="ENGAGE","Engagé",IF(AND($H1193="NON ENGAGE",OR($I1193="INFRUCTUEUX",$I1193="ANNULE")),"Clôturé sans suite","En cours")))</f>
        <v/>
      </c>
      <c r="N1193">
        <f>IF(ISBLANK('ENGAGEMENTS 2026'!B1193),"",'ENGAGEMENTS 2026'!K1193)</f>
        <v/>
      </c>
      <c r="O1193">
        <f>IF(ISBLANK('ENGAGEMENTS 2026'!B1193),"",'ENGAGEMENTS 2026'!L1193)</f>
        <v/>
      </c>
      <c r="P1193">
        <f>IF(ISBLANK('ENGAGEMENTS 2026'!B1193),"",'ENGAGEMENTS 2026'!J1193)</f>
        <v/>
      </c>
      <c r="Q1193">
        <f>IF($A1193="","",IF(OR($E1193="INFRUCTUEUX",$E1193="ANNULE"),$A1193&amp;"|"&amp;(COUNTIFS($A$2:$A1193,$A1193,$E$2:$E1193,"INFRUCTUEUX")+COUNTIFS($A$2:$A1193,$A1193,$E$2:$E1193,"ANNULE")),""))</f>
        <v/>
      </c>
    </row>
    <row r="1194">
      <c r="A1194">
        <f>IF(ISBLANK('ENGAGEMENTS 2026'!B1194),"",IF('ENGAGEMENTS 2026'!B1194="DTSI","DCT",'ENGAGEMENTS 2026'!B1194))</f>
        <v/>
      </c>
      <c r="B1194">
        <f>IF(ISBLANK('ENGAGEMENTS 2026'!B1194),"",'ENGAGEMENTS 2026'!C1194)</f>
        <v/>
      </c>
      <c r="C1194">
        <f>IF(ISBLANK('ENGAGEMENTS 2026'!B1194),"",'ENGAGEMENTS 2026'!D1194)</f>
        <v/>
      </c>
      <c r="D1194">
        <f>IF(ISBLANK('ENGAGEMENTS 2026'!B1194),"",'ENGAGEMENTS 2026'!F1194)</f>
        <v/>
      </c>
      <c r="E1194">
        <f>IF(ISBLANK('ENGAGEMENTS 2026'!B1194),"",'ENGAGEMENTS 2026'!H1194)</f>
        <v/>
      </c>
      <c r="F1194">
        <f>IF(ISBLANK('ENGAGEMENTS 2026'!B1194),"",'ENGAGEMENTS 2026'!I1194)</f>
        <v/>
      </c>
      <c r="G1194">
        <f>IF(ISBLANK('ENGAGEMENTS 2026'!B1194),"",'ENGAGEMENTS 2026'!L1194)</f>
        <v/>
      </c>
      <c r="H1194">
        <f>IF(ISBLANK('ENGAGEMENTS 2026'!B1194),"",'ENGAGEMENTS 2026'!AE1194)</f>
        <v/>
      </c>
      <c r="I1194">
        <f>IF(ISBLANK('ENGAGEMENTS 2026'!B1194),"",'ENGAGEMENTS 2026'!G1194)</f>
        <v/>
      </c>
      <c r="J1194" s="275">
        <f>IF(ISBLANK('ENGAGEMENTS 2026'!B1194),"",IF(AND(OR($E1194="INFRUCTUEUX",$E1194="ANNULE"),$C1194="AOO-M"),'ENGAGEMENTS 2026'!O1194,IF($H1194="EN COURS DE PREENGAGEMENT",'ENGAGEMENTS 2026'!N1194,IF($H1194="PREENGAGE",IF($E1194="ATTRIBUE",'ENGAGEMENTS 2026'!AD1194,'ENGAGEMENTS 2026'!N1194),'ENGAGEMENTS 2026'!AD1194))))</f>
        <v/>
      </c>
      <c r="K1194" s="604">
        <f>IF(ISBLANK('ENGAGEMENTS 2026'!V1194),"",'ENGAGEMENTS 2026'!V1194)</f>
        <v/>
      </c>
      <c r="L1194" s="276">
        <f>IF($K1194="","",TODAY()-$K1194)</f>
        <v/>
      </c>
      <c r="M1194">
        <f>IF($A1194="","",IF($H1194="ENGAGE","Engagé",IF(AND($H1194="NON ENGAGE",OR($I1194="INFRUCTUEUX",$I1194="ANNULE")),"Clôturé sans suite","En cours")))</f>
        <v/>
      </c>
      <c r="N1194">
        <f>IF(ISBLANK('ENGAGEMENTS 2026'!B1194),"",'ENGAGEMENTS 2026'!K1194)</f>
        <v/>
      </c>
      <c r="O1194">
        <f>IF(ISBLANK('ENGAGEMENTS 2026'!B1194),"",'ENGAGEMENTS 2026'!L1194)</f>
        <v/>
      </c>
      <c r="P1194">
        <f>IF(ISBLANK('ENGAGEMENTS 2026'!B1194),"",'ENGAGEMENTS 2026'!J1194)</f>
        <v/>
      </c>
      <c r="Q1194">
        <f>IF($A1194="","",IF(OR($E1194="INFRUCTUEUX",$E1194="ANNULE"),$A1194&amp;"|"&amp;(COUNTIFS($A$2:$A1194,$A1194,$E$2:$E1194,"INFRUCTUEUX")+COUNTIFS($A$2:$A1194,$A1194,$E$2:$E1194,"ANNULE")),""))</f>
        <v/>
      </c>
    </row>
    <row r="1195">
      <c r="A1195">
        <f>IF(ISBLANK('ENGAGEMENTS 2026'!B1195),"",IF('ENGAGEMENTS 2026'!B1195="DTSI","DCT",'ENGAGEMENTS 2026'!B1195))</f>
        <v/>
      </c>
      <c r="B1195">
        <f>IF(ISBLANK('ENGAGEMENTS 2026'!B1195),"",'ENGAGEMENTS 2026'!C1195)</f>
        <v/>
      </c>
      <c r="C1195">
        <f>IF(ISBLANK('ENGAGEMENTS 2026'!B1195),"",'ENGAGEMENTS 2026'!D1195)</f>
        <v/>
      </c>
      <c r="D1195">
        <f>IF(ISBLANK('ENGAGEMENTS 2026'!B1195),"",'ENGAGEMENTS 2026'!F1195)</f>
        <v/>
      </c>
      <c r="E1195">
        <f>IF(ISBLANK('ENGAGEMENTS 2026'!B1195),"",'ENGAGEMENTS 2026'!H1195)</f>
        <v/>
      </c>
      <c r="F1195">
        <f>IF(ISBLANK('ENGAGEMENTS 2026'!B1195),"",'ENGAGEMENTS 2026'!I1195)</f>
        <v/>
      </c>
      <c r="G1195">
        <f>IF(ISBLANK('ENGAGEMENTS 2026'!B1195),"",'ENGAGEMENTS 2026'!L1195)</f>
        <v/>
      </c>
      <c r="H1195">
        <f>IF(ISBLANK('ENGAGEMENTS 2026'!B1195),"",'ENGAGEMENTS 2026'!AE1195)</f>
        <v/>
      </c>
      <c r="I1195">
        <f>IF(ISBLANK('ENGAGEMENTS 2026'!B1195),"",'ENGAGEMENTS 2026'!G1195)</f>
        <v/>
      </c>
      <c r="J1195" s="275">
        <f>IF(ISBLANK('ENGAGEMENTS 2026'!B1195),"",IF(AND(OR($E1195="INFRUCTUEUX",$E1195="ANNULE"),$C1195="AOO-M"),'ENGAGEMENTS 2026'!O1195,IF($H1195="EN COURS DE PREENGAGEMENT",'ENGAGEMENTS 2026'!N1195,IF($H1195="PREENGAGE",IF($E1195="ATTRIBUE",'ENGAGEMENTS 2026'!AD1195,'ENGAGEMENTS 2026'!N1195),'ENGAGEMENTS 2026'!AD1195))))</f>
        <v/>
      </c>
      <c r="K1195" s="604">
        <f>IF(ISBLANK('ENGAGEMENTS 2026'!V1195),"",'ENGAGEMENTS 2026'!V1195)</f>
        <v/>
      </c>
      <c r="L1195" s="276">
        <f>IF($K1195="","",TODAY()-$K1195)</f>
        <v/>
      </c>
      <c r="M1195">
        <f>IF($A1195="","",IF($H1195="ENGAGE","Engagé",IF(AND($H1195="NON ENGAGE",OR($I1195="INFRUCTUEUX",$I1195="ANNULE")),"Clôturé sans suite","En cours")))</f>
        <v/>
      </c>
      <c r="N1195">
        <f>IF(ISBLANK('ENGAGEMENTS 2026'!B1195),"",'ENGAGEMENTS 2026'!K1195)</f>
        <v/>
      </c>
      <c r="O1195">
        <f>IF(ISBLANK('ENGAGEMENTS 2026'!B1195),"",'ENGAGEMENTS 2026'!L1195)</f>
        <v/>
      </c>
      <c r="P1195">
        <f>IF(ISBLANK('ENGAGEMENTS 2026'!B1195),"",'ENGAGEMENTS 2026'!J1195)</f>
        <v/>
      </c>
      <c r="Q1195">
        <f>IF($A1195="","",IF(OR($E1195="INFRUCTUEUX",$E1195="ANNULE"),$A1195&amp;"|"&amp;(COUNTIFS($A$2:$A1195,$A1195,$E$2:$E1195,"INFRUCTUEUX")+COUNTIFS($A$2:$A1195,$A1195,$E$2:$E1195,"ANNULE")),""))</f>
        <v/>
      </c>
    </row>
    <row r="1196">
      <c r="A1196">
        <f>IF(ISBLANK('ENGAGEMENTS 2026'!B1196),"",IF('ENGAGEMENTS 2026'!B1196="DTSI","DCT",'ENGAGEMENTS 2026'!B1196))</f>
        <v/>
      </c>
      <c r="B1196">
        <f>IF(ISBLANK('ENGAGEMENTS 2026'!B1196),"",'ENGAGEMENTS 2026'!C1196)</f>
        <v/>
      </c>
      <c r="C1196">
        <f>IF(ISBLANK('ENGAGEMENTS 2026'!B1196),"",'ENGAGEMENTS 2026'!D1196)</f>
        <v/>
      </c>
      <c r="D1196">
        <f>IF(ISBLANK('ENGAGEMENTS 2026'!B1196),"",'ENGAGEMENTS 2026'!F1196)</f>
        <v/>
      </c>
      <c r="E1196">
        <f>IF(ISBLANK('ENGAGEMENTS 2026'!B1196),"",'ENGAGEMENTS 2026'!H1196)</f>
        <v/>
      </c>
      <c r="F1196">
        <f>IF(ISBLANK('ENGAGEMENTS 2026'!B1196),"",'ENGAGEMENTS 2026'!I1196)</f>
        <v/>
      </c>
      <c r="G1196">
        <f>IF(ISBLANK('ENGAGEMENTS 2026'!B1196),"",'ENGAGEMENTS 2026'!L1196)</f>
        <v/>
      </c>
      <c r="H1196">
        <f>IF(ISBLANK('ENGAGEMENTS 2026'!B1196),"",'ENGAGEMENTS 2026'!AE1196)</f>
        <v/>
      </c>
      <c r="I1196">
        <f>IF(ISBLANK('ENGAGEMENTS 2026'!B1196),"",'ENGAGEMENTS 2026'!G1196)</f>
        <v/>
      </c>
      <c r="J1196" s="275">
        <f>IF(ISBLANK('ENGAGEMENTS 2026'!B1196),"",IF(AND(OR($E1196="INFRUCTUEUX",$E1196="ANNULE"),$C1196="AOO-M"),'ENGAGEMENTS 2026'!O1196,IF($H1196="EN COURS DE PREENGAGEMENT",'ENGAGEMENTS 2026'!N1196,IF($H1196="PREENGAGE",IF($E1196="ATTRIBUE",'ENGAGEMENTS 2026'!AD1196,'ENGAGEMENTS 2026'!N1196),'ENGAGEMENTS 2026'!AD1196))))</f>
        <v/>
      </c>
      <c r="K1196" s="604">
        <f>IF(ISBLANK('ENGAGEMENTS 2026'!V1196),"",'ENGAGEMENTS 2026'!V1196)</f>
        <v/>
      </c>
      <c r="L1196" s="276">
        <f>IF($K1196="","",TODAY()-$K1196)</f>
        <v/>
      </c>
      <c r="M1196">
        <f>IF($A1196="","",IF($H1196="ENGAGE","Engagé",IF(AND($H1196="NON ENGAGE",OR($I1196="INFRUCTUEUX",$I1196="ANNULE")),"Clôturé sans suite","En cours")))</f>
        <v/>
      </c>
      <c r="N1196">
        <f>IF(ISBLANK('ENGAGEMENTS 2026'!B1196),"",'ENGAGEMENTS 2026'!K1196)</f>
        <v/>
      </c>
      <c r="O1196">
        <f>IF(ISBLANK('ENGAGEMENTS 2026'!B1196),"",'ENGAGEMENTS 2026'!L1196)</f>
        <v/>
      </c>
      <c r="P1196">
        <f>IF(ISBLANK('ENGAGEMENTS 2026'!B1196),"",'ENGAGEMENTS 2026'!J1196)</f>
        <v/>
      </c>
      <c r="Q1196">
        <f>IF($A1196="","",IF(OR($E1196="INFRUCTUEUX",$E1196="ANNULE"),$A1196&amp;"|"&amp;(COUNTIFS($A$2:$A1196,$A1196,$E$2:$E1196,"INFRUCTUEUX")+COUNTIFS($A$2:$A1196,$A1196,$E$2:$E1196,"ANNULE")),""))</f>
        <v/>
      </c>
    </row>
    <row r="1197">
      <c r="A1197">
        <f>IF(ISBLANK('ENGAGEMENTS 2026'!B1197),"",IF('ENGAGEMENTS 2026'!B1197="DTSI","DCT",'ENGAGEMENTS 2026'!B1197))</f>
        <v/>
      </c>
      <c r="B1197">
        <f>IF(ISBLANK('ENGAGEMENTS 2026'!B1197),"",'ENGAGEMENTS 2026'!C1197)</f>
        <v/>
      </c>
      <c r="C1197">
        <f>IF(ISBLANK('ENGAGEMENTS 2026'!B1197),"",'ENGAGEMENTS 2026'!D1197)</f>
        <v/>
      </c>
      <c r="D1197">
        <f>IF(ISBLANK('ENGAGEMENTS 2026'!B1197),"",'ENGAGEMENTS 2026'!F1197)</f>
        <v/>
      </c>
      <c r="E1197">
        <f>IF(ISBLANK('ENGAGEMENTS 2026'!B1197),"",'ENGAGEMENTS 2026'!H1197)</f>
        <v/>
      </c>
      <c r="F1197">
        <f>IF(ISBLANK('ENGAGEMENTS 2026'!B1197),"",'ENGAGEMENTS 2026'!I1197)</f>
        <v/>
      </c>
      <c r="G1197">
        <f>IF(ISBLANK('ENGAGEMENTS 2026'!B1197),"",'ENGAGEMENTS 2026'!L1197)</f>
        <v/>
      </c>
      <c r="H1197">
        <f>IF(ISBLANK('ENGAGEMENTS 2026'!B1197),"",'ENGAGEMENTS 2026'!AE1197)</f>
        <v/>
      </c>
      <c r="I1197">
        <f>IF(ISBLANK('ENGAGEMENTS 2026'!B1197),"",'ENGAGEMENTS 2026'!G1197)</f>
        <v/>
      </c>
      <c r="J1197" s="275">
        <f>IF(ISBLANK('ENGAGEMENTS 2026'!B1197),"",IF(AND(OR($E1197="INFRUCTUEUX",$E1197="ANNULE"),$C1197="AOO-M"),'ENGAGEMENTS 2026'!O1197,IF($H1197="EN COURS DE PREENGAGEMENT",'ENGAGEMENTS 2026'!N1197,IF($H1197="PREENGAGE",IF($E1197="ATTRIBUE",'ENGAGEMENTS 2026'!AD1197,'ENGAGEMENTS 2026'!N1197),'ENGAGEMENTS 2026'!AD1197))))</f>
        <v/>
      </c>
      <c r="K1197" s="604">
        <f>IF(ISBLANK('ENGAGEMENTS 2026'!V1197),"",'ENGAGEMENTS 2026'!V1197)</f>
        <v/>
      </c>
      <c r="L1197" s="276">
        <f>IF($K1197="","",TODAY()-$K1197)</f>
        <v/>
      </c>
      <c r="M1197">
        <f>IF($A1197="","",IF($H1197="ENGAGE","Engagé",IF(AND($H1197="NON ENGAGE",OR($I1197="INFRUCTUEUX",$I1197="ANNULE")),"Clôturé sans suite","En cours")))</f>
        <v/>
      </c>
      <c r="N1197">
        <f>IF(ISBLANK('ENGAGEMENTS 2026'!B1197),"",'ENGAGEMENTS 2026'!K1197)</f>
        <v/>
      </c>
      <c r="O1197">
        <f>IF(ISBLANK('ENGAGEMENTS 2026'!B1197),"",'ENGAGEMENTS 2026'!L1197)</f>
        <v/>
      </c>
      <c r="P1197">
        <f>IF(ISBLANK('ENGAGEMENTS 2026'!B1197),"",'ENGAGEMENTS 2026'!J1197)</f>
        <v/>
      </c>
      <c r="Q1197">
        <f>IF($A1197="","",IF(OR($E1197="INFRUCTUEUX",$E1197="ANNULE"),$A1197&amp;"|"&amp;(COUNTIFS($A$2:$A1197,$A1197,$E$2:$E1197,"INFRUCTUEUX")+COUNTIFS($A$2:$A1197,$A1197,$E$2:$E1197,"ANNULE")),""))</f>
        <v/>
      </c>
    </row>
    <row r="1198">
      <c r="A1198">
        <f>IF(ISBLANK('ENGAGEMENTS 2026'!B1198),"",IF('ENGAGEMENTS 2026'!B1198="DTSI","DCT",'ENGAGEMENTS 2026'!B1198))</f>
        <v/>
      </c>
      <c r="B1198">
        <f>IF(ISBLANK('ENGAGEMENTS 2026'!B1198),"",'ENGAGEMENTS 2026'!C1198)</f>
        <v/>
      </c>
      <c r="C1198">
        <f>IF(ISBLANK('ENGAGEMENTS 2026'!B1198),"",'ENGAGEMENTS 2026'!D1198)</f>
        <v/>
      </c>
      <c r="D1198">
        <f>IF(ISBLANK('ENGAGEMENTS 2026'!B1198),"",'ENGAGEMENTS 2026'!F1198)</f>
        <v/>
      </c>
      <c r="E1198">
        <f>IF(ISBLANK('ENGAGEMENTS 2026'!B1198),"",'ENGAGEMENTS 2026'!H1198)</f>
        <v/>
      </c>
      <c r="F1198">
        <f>IF(ISBLANK('ENGAGEMENTS 2026'!B1198),"",'ENGAGEMENTS 2026'!I1198)</f>
        <v/>
      </c>
      <c r="G1198">
        <f>IF(ISBLANK('ENGAGEMENTS 2026'!B1198),"",'ENGAGEMENTS 2026'!L1198)</f>
        <v/>
      </c>
      <c r="H1198">
        <f>IF(ISBLANK('ENGAGEMENTS 2026'!B1198),"",'ENGAGEMENTS 2026'!AE1198)</f>
        <v/>
      </c>
      <c r="I1198">
        <f>IF(ISBLANK('ENGAGEMENTS 2026'!B1198),"",'ENGAGEMENTS 2026'!G1198)</f>
        <v/>
      </c>
      <c r="J1198" s="275">
        <f>IF(ISBLANK('ENGAGEMENTS 2026'!B1198),"",IF(AND(OR($E1198="INFRUCTUEUX",$E1198="ANNULE"),$C1198="AOO-M"),'ENGAGEMENTS 2026'!O1198,IF($H1198="EN COURS DE PREENGAGEMENT",'ENGAGEMENTS 2026'!N1198,IF($H1198="PREENGAGE",IF($E1198="ATTRIBUE",'ENGAGEMENTS 2026'!AD1198,'ENGAGEMENTS 2026'!N1198),'ENGAGEMENTS 2026'!AD1198))))</f>
        <v/>
      </c>
      <c r="K1198" s="604">
        <f>IF(ISBLANK('ENGAGEMENTS 2026'!V1198),"",'ENGAGEMENTS 2026'!V1198)</f>
        <v/>
      </c>
      <c r="L1198" s="276">
        <f>IF($K1198="","",TODAY()-$K1198)</f>
        <v/>
      </c>
      <c r="M1198">
        <f>IF($A1198="","",IF($H1198="ENGAGE","Engagé",IF(AND($H1198="NON ENGAGE",OR($I1198="INFRUCTUEUX",$I1198="ANNULE")),"Clôturé sans suite","En cours")))</f>
        <v/>
      </c>
      <c r="N1198">
        <f>IF(ISBLANK('ENGAGEMENTS 2026'!B1198),"",'ENGAGEMENTS 2026'!K1198)</f>
        <v/>
      </c>
      <c r="O1198">
        <f>IF(ISBLANK('ENGAGEMENTS 2026'!B1198),"",'ENGAGEMENTS 2026'!L1198)</f>
        <v/>
      </c>
      <c r="P1198">
        <f>IF(ISBLANK('ENGAGEMENTS 2026'!B1198),"",'ENGAGEMENTS 2026'!J1198)</f>
        <v/>
      </c>
      <c r="Q1198">
        <f>IF($A1198="","",IF(OR($E1198="INFRUCTUEUX",$E1198="ANNULE"),$A1198&amp;"|"&amp;(COUNTIFS($A$2:$A1198,$A1198,$E$2:$E1198,"INFRUCTUEUX")+COUNTIFS($A$2:$A1198,$A1198,$E$2:$E1198,"ANNULE")),""))</f>
        <v/>
      </c>
    </row>
    <row r="1199">
      <c r="A1199">
        <f>IF(ISBLANK('ENGAGEMENTS 2026'!B1199),"",IF('ENGAGEMENTS 2026'!B1199="DTSI","DCT",'ENGAGEMENTS 2026'!B1199))</f>
        <v/>
      </c>
      <c r="B1199">
        <f>IF(ISBLANK('ENGAGEMENTS 2026'!B1199),"",'ENGAGEMENTS 2026'!C1199)</f>
        <v/>
      </c>
      <c r="C1199">
        <f>IF(ISBLANK('ENGAGEMENTS 2026'!B1199),"",'ENGAGEMENTS 2026'!D1199)</f>
        <v/>
      </c>
      <c r="D1199">
        <f>IF(ISBLANK('ENGAGEMENTS 2026'!B1199),"",'ENGAGEMENTS 2026'!F1199)</f>
        <v/>
      </c>
      <c r="E1199">
        <f>IF(ISBLANK('ENGAGEMENTS 2026'!B1199),"",'ENGAGEMENTS 2026'!H1199)</f>
        <v/>
      </c>
      <c r="F1199">
        <f>IF(ISBLANK('ENGAGEMENTS 2026'!B1199),"",'ENGAGEMENTS 2026'!I1199)</f>
        <v/>
      </c>
      <c r="G1199">
        <f>IF(ISBLANK('ENGAGEMENTS 2026'!B1199),"",'ENGAGEMENTS 2026'!L1199)</f>
        <v/>
      </c>
      <c r="H1199">
        <f>IF(ISBLANK('ENGAGEMENTS 2026'!B1199),"",'ENGAGEMENTS 2026'!AE1199)</f>
        <v/>
      </c>
      <c r="I1199">
        <f>IF(ISBLANK('ENGAGEMENTS 2026'!B1199),"",'ENGAGEMENTS 2026'!G1199)</f>
        <v/>
      </c>
      <c r="J1199" s="275">
        <f>IF(ISBLANK('ENGAGEMENTS 2026'!B1199),"",IF(AND(OR($E1199="INFRUCTUEUX",$E1199="ANNULE"),$C1199="AOO-M"),'ENGAGEMENTS 2026'!O1199,IF($H1199="EN COURS DE PREENGAGEMENT",'ENGAGEMENTS 2026'!N1199,IF($H1199="PREENGAGE",IF($E1199="ATTRIBUE",'ENGAGEMENTS 2026'!AD1199,'ENGAGEMENTS 2026'!N1199),'ENGAGEMENTS 2026'!AD1199))))</f>
        <v/>
      </c>
      <c r="K1199" s="604">
        <f>IF(ISBLANK('ENGAGEMENTS 2026'!V1199),"",'ENGAGEMENTS 2026'!V1199)</f>
        <v/>
      </c>
      <c r="L1199" s="276">
        <f>IF($K1199="","",TODAY()-$K1199)</f>
        <v/>
      </c>
      <c r="M1199">
        <f>IF($A1199="","",IF($H1199="ENGAGE","Engagé",IF(AND($H1199="NON ENGAGE",OR($I1199="INFRUCTUEUX",$I1199="ANNULE")),"Clôturé sans suite","En cours")))</f>
        <v/>
      </c>
      <c r="N1199">
        <f>IF(ISBLANK('ENGAGEMENTS 2026'!B1199),"",'ENGAGEMENTS 2026'!K1199)</f>
        <v/>
      </c>
      <c r="O1199">
        <f>IF(ISBLANK('ENGAGEMENTS 2026'!B1199),"",'ENGAGEMENTS 2026'!L1199)</f>
        <v/>
      </c>
      <c r="P1199">
        <f>IF(ISBLANK('ENGAGEMENTS 2026'!B1199),"",'ENGAGEMENTS 2026'!J1199)</f>
        <v/>
      </c>
      <c r="Q1199">
        <f>IF($A1199="","",IF(OR($E1199="INFRUCTUEUX",$E1199="ANNULE"),$A1199&amp;"|"&amp;(COUNTIFS($A$2:$A1199,$A1199,$E$2:$E1199,"INFRUCTUEUX")+COUNTIFS($A$2:$A1199,$A1199,$E$2:$E1199,"ANNULE")),""))</f>
        <v/>
      </c>
    </row>
    <row r="1200">
      <c r="A1200">
        <f>IF(ISBLANK('ENGAGEMENTS 2026'!B1200),"",IF('ENGAGEMENTS 2026'!B1200="DTSI","DCT",'ENGAGEMENTS 2026'!B1200))</f>
        <v/>
      </c>
      <c r="B1200">
        <f>IF(ISBLANK('ENGAGEMENTS 2026'!B1200),"",'ENGAGEMENTS 2026'!C1200)</f>
        <v/>
      </c>
      <c r="C1200">
        <f>IF(ISBLANK('ENGAGEMENTS 2026'!B1200),"",'ENGAGEMENTS 2026'!D1200)</f>
        <v/>
      </c>
      <c r="D1200">
        <f>IF(ISBLANK('ENGAGEMENTS 2026'!B1200),"",'ENGAGEMENTS 2026'!F1200)</f>
        <v/>
      </c>
      <c r="E1200">
        <f>IF(ISBLANK('ENGAGEMENTS 2026'!B1200),"",'ENGAGEMENTS 2026'!H1200)</f>
        <v/>
      </c>
      <c r="F1200">
        <f>IF(ISBLANK('ENGAGEMENTS 2026'!B1200),"",'ENGAGEMENTS 2026'!I1200)</f>
        <v/>
      </c>
      <c r="G1200">
        <f>IF(ISBLANK('ENGAGEMENTS 2026'!B1200),"",'ENGAGEMENTS 2026'!L1200)</f>
        <v/>
      </c>
      <c r="H1200">
        <f>IF(ISBLANK('ENGAGEMENTS 2026'!B1200),"",'ENGAGEMENTS 2026'!AE1200)</f>
        <v/>
      </c>
      <c r="I1200">
        <f>IF(ISBLANK('ENGAGEMENTS 2026'!B1200),"",'ENGAGEMENTS 2026'!G1200)</f>
        <v/>
      </c>
      <c r="J1200" s="275">
        <f>IF(ISBLANK('ENGAGEMENTS 2026'!B1200),"",IF(AND(OR($E1200="INFRUCTUEUX",$E1200="ANNULE"),$C1200="AOO-M"),'ENGAGEMENTS 2026'!O1200,IF($H1200="EN COURS DE PREENGAGEMENT",'ENGAGEMENTS 2026'!N1200,IF($H1200="PREENGAGE",IF($E1200="ATTRIBUE",'ENGAGEMENTS 2026'!AD1200,'ENGAGEMENTS 2026'!N1200),'ENGAGEMENTS 2026'!AD1200))))</f>
        <v/>
      </c>
      <c r="K1200" s="604">
        <f>IF(ISBLANK('ENGAGEMENTS 2026'!V1200),"",'ENGAGEMENTS 2026'!V1200)</f>
        <v/>
      </c>
      <c r="L1200" s="276">
        <f>IF($K1200="","",TODAY()-$K1200)</f>
        <v/>
      </c>
      <c r="M1200">
        <f>IF($A1200="","",IF($H1200="ENGAGE","Engagé",IF(AND($H1200="NON ENGAGE",OR($I1200="INFRUCTUEUX",$I1200="ANNULE")),"Clôturé sans suite","En cours")))</f>
        <v/>
      </c>
      <c r="N1200">
        <f>IF(ISBLANK('ENGAGEMENTS 2026'!B1200),"",'ENGAGEMENTS 2026'!K1200)</f>
        <v/>
      </c>
      <c r="O1200">
        <f>IF(ISBLANK('ENGAGEMENTS 2026'!B1200),"",'ENGAGEMENTS 2026'!L1200)</f>
        <v/>
      </c>
      <c r="P1200">
        <f>IF(ISBLANK('ENGAGEMENTS 2026'!B1200),"",'ENGAGEMENTS 2026'!J1200)</f>
        <v/>
      </c>
      <c r="Q1200">
        <f>IF($A1200="","",IF(OR($E1200="INFRUCTUEUX",$E1200="ANNULE"),$A1200&amp;"|"&amp;(COUNTIFS($A$2:$A1200,$A1200,$E$2:$E1200,"INFRUCTUEUX")+COUNTIFS($A$2:$A1200,$A1200,$E$2:$E1200,"ANNULE")),""))</f>
        <v/>
      </c>
    </row>
    <row r="1201">
      <c r="A1201">
        <f>IF(ISBLANK('ENGAGEMENTS 2026'!B1201),"",IF('ENGAGEMENTS 2026'!B1201="DTSI","DCT",'ENGAGEMENTS 2026'!B1201))</f>
        <v/>
      </c>
      <c r="B1201">
        <f>IF(ISBLANK('ENGAGEMENTS 2026'!B1201),"",'ENGAGEMENTS 2026'!C1201)</f>
        <v/>
      </c>
      <c r="C1201">
        <f>IF(ISBLANK('ENGAGEMENTS 2026'!B1201),"",'ENGAGEMENTS 2026'!D1201)</f>
        <v/>
      </c>
      <c r="D1201">
        <f>IF(ISBLANK('ENGAGEMENTS 2026'!B1201),"",'ENGAGEMENTS 2026'!F1201)</f>
        <v/>
      </c>
      <c r="E1201">
        <f>IF(ISBLANK('ENGAGEMENTS 2026'!B1201),"",'ENGAGEMENTS 2026'!H1201)</f>
        <v/>
      </c>
      <c r="F1201">
        <f>IF(ISBLANK('ENGAGEMENTS 2026'!B1201),"",'ENGAGEMENTS 2026'!I1201)</f>
        <v/>
      </c>
      <c r="G1201">
        <f>IF(ISBLANK('ENGAGEMENTS 2026'!B1201),"",'ENGAGEMENTS 2026'!L1201)</f>
        <v/>
      </c>
      <c r="H1201">
        <f>IF(ISBLANK('ENGAGEMENTS 2026'!B1201),"",'ENGAGEMENTS 2026'!AE1201)</f>
        <v/>
      </c>
      <c r="I1201">
        <f>IF(ISBLANK('ENGAGEMENTS 2026'!B1201),"",'ENGAGEMENTS 2026'!G1201)</f>
        <v/>
      </c>
      <c r="J1201" s="275">
        <f>IF(ISBLANK('ENGAGEMENTS 2026'!B1201),"",IF(AND(OR($E1201="INFRUCTUEUX",$E1201="ANNULE"),$C1201="AOO-M"),'ENGAGEMENTS 2026'!O1201,IF($H1201="EN COURS DE PREENGAGEMENT",'ENGAGEMENTS 2026'!N1201,IF($H1201="PREENGAGE",IF($E1201="ATTRIBUE",'ENGAGEMENTS 2026'!AD1201,'ENGAGEMENTS 2026'!N1201),'ENGAGEMENTS 2026'!AD1201))))</f>
        <v/>
      </c>
      <c r="K1201" s="604">
        <f>IF(ISBLANK('ENGAGEMENTS 2026'!V1201),"",'ENGAGEMENTS 2026'!V1201)</f>
        <v/>
      </c>
      <c r="L1201" s="276">
        <f>IF($K1201="","",TODAY()-$K1201)</f>
        <v/>
      </c>
      <c r="M1201">
        <f>IF($A1201="","",IF($H1201="ENGAGE","Engagé",IF(AND($H1201="NON ENGAGE",OR($I1201="INFRUCTUEUX",$I1201="ANNULE")),"Clôturé sans suite","En cours")))</f>
        <v/>
      </c>
      <c r="N1201">
        <f>IF(ISBLANK('ENGAGEMENTS 2026'!B1201),"",'ENGAGEMENTS 2026'!K1201)</f>
        <v/>
      </c>
      <c r="O1201">
        <f>IF(ISBLANK('ENGAGEMENTS 2026'!B1201),"",'ENGAGEMENTS 2026'!L1201)</f>
        <v/>
      </c>
      <c r="P1201">
        <f>IF(ISBLANK('ENGAGEMENTS 2026'!B1201),"",'ENGAGEMENTS 2026'!J1201)</f>
        <v/>
      </c>
      <c r="Q1201">
        <f>IF($A1201="","",IF(OR($E1201="INFRUCTUEUX",$E1201="ANNULE"),$A1201&amp;"|"&amp;(COUNTIFS($A$2:$A1201,$A1201,$E$2:$E1201,"INFRUCTUEUX")+COUNTIFS($A$2:$A1201,$A1201,$E$2:$E1201,"ANNULE")),""))</f>
        <v/>
      </c>
    </row>
    <row r="1202">
      <c r="A1202">
        <f>IF(ISBLANK('ENGAGEMENTS 2026'!B1202),"",IF('ENGAGEMENTS 2026'!B1202="DTSI","DCT",'ENGAGEMENTS 2026'!B1202))</f>
        <v/>
      </c>
      <c r="B1202">
        <f>IF(ISBLANK('ENGAGEMENTS 2026'!B1202),"",'ENGAGEMENTS 2026'!C1202)</f>
        <v/>
      </c>
      <c r="C1202">
        <f>IF(ISBLANK('ENGAGEMENTS 2026'!B1202),"",'ENGAGEMENTS 2026'!D1202)</f>
        <v/>
      </c>
      <c r="D1202">
        <f>IF(ISBLANK('ENGAGEMENTS 2026'!B1202),"",'ENGAGEMENTS 2026'!F1202)</f>
        <v/>
      </c>
      <c r="E1202">
        <f>IF(ISBLANK('ENGAGEMENTS 2026'!B1202),"",'ENGAGEMENTS 2026'!H1202)</f>
        <v/>
      </c>
      <c r="F1202">
        <f>IF(ISBLANK('ENGAGEMENTS 2026'!B1202),"",'ENGAGEMENTS 2026'!I1202)</f>
        <v/>
      </c>
      <c r="G1202">
        <f>IF(ISBLANK('ENGAGEMENTS 2026'!B1202),"",'ENGAGEMENTS 2026'!L1202)</f>
        <v/>
      </c>
      <c r="H1202">
        <f>IF(ISBLANK('ENGAGEMENTS 2026'!B1202),"",'ENGAGEMENTS 2026'!AE1202)</f>
        <v/>
      </c>
      <c r="I1202">
        <f>IF(ISBLANK('ENGAGEMENTS 2026'!B1202),"",'ENGAGEMENTS 2026'!G1202)</f>
        <v/>
      </c>
      <c r="J1202" s="275">
        <f>IF(ISBLANK('ENGAGEMENTS 2026'!B1202),"",IF(AND(OR($E1202="INFRUCTUEUX",$E1202="ANNULE"),$C1202="AOO-M"),'ENGAGEMENTS 2026'!O1202,IF($H1202="EN COURS DE PREENGAGEMENT",'ENGAGEMENTS 2026'!N1202,IF($H1202="PREENGAGE",IF($E1202="ATTRIBUE",'ENGAGEMENTS 2026'!AD1202,'ENGAGEMENTS 2026'!N1202),'ENGAGEMENTS 2026'!AD1202))))</f>
        <v/>
      </c>
      <c r="K1202" s="604">
        <f>IF(ISBLANK('ENGAGEMENTS 2026'!V1202),"",'ENGAGEMENTS 2026'!V1202)</f>
        <v/>
      </c>
      <c r="L1202" s="276">
        <f>IF($K1202="","",TODAY()-$K1202)</f>
        <v/>
      </c>
      <c r="M1202">
        <f>IF($A1202="","",IF($H1202="ENGAGE","Engagé",IF(AND($H1202="NON ENGAGE",OR($I1202="INFRUCTUEUX",$I1202="ANNULE")),"Clôturé sans suite","En cours")))</f>
        <v/>
      </c>
      <c r="N1202">
        <f>IF(ISBLANK('ENGAGEMENTS 2026'!B1202),"",'ENGAGEMENTS 2026'!K1202)</f>
        <v/>
      </c>
      <c r="O1202">
        <f>IF(ISBLANK('ENGAGEMENTS 2026'!B1202),"",'ENGAGEMENTS 2026'!L1202)</f>
        <v/>
      </c>
      <c r="P1202">
        <f>IF(ISBLANK('ENGAGEMENTS 2026'!B1202),"",'ENGAGEMENTS 2026'!J1202)</f>
        <v/>
      </c>
      <c r="Q1202">
        <f>IF($A1202="","",IF(OR($E1202="INFRUCTUEUX",$E1202="ANNULE"),$A1202&amp;"|"&amp;(COUNTIFS($A$2:$A1202,$A1202,$E$2:$E1202,"INFRUCTUEUX")+COUNTIFS($A$2:$A1202,$A1202,$E$2:$E1202,"ANNULE")),""))</f>
        <v/>
      </c>
    </row>
    <row r="1203">
      <c r="A1203">
        <f>IF(ISBLANK('ENGAGEMENTS 2026'!B1203),"",IF('ENGAGEMENTS 2026'!B1203="DTSI","DCT",'ENGAGEMENTS 2026'!B1203))</f>
        <v/>
      </c>
      <c r="B1203">
        <f>IF(ISBLANK('ENGAGEMENTS 2026'!B1203),"",'ENGAGEMENTS 2026'!C1203)</f>
        <v/>
      </c>
      <c r="C1203">
        <f>IF(ISBLANK('ENGAGEMENTS 2026'!B1203),"",'ENGAGEMENTS 2026'!D1203)</f>
        <v/>
      </c>
      <c r="D1203">
        <f>IF(ISBLANK('ENGAGEMENTS 2026'!B1203),"",'ENGAGEMENTS 2026'!F1203)</f>
        <v/>
      </c>
      <c r="E1203">
        <f>IF(ISBLANK('ENGAGEMENTS 2026'!B1203),"",'ENGAGEMENTS 2026'!H1203)</f>
        <v/>
      </c>
      <c r="F1203">
        <f>IF(ISBLANK('ENGAGEMENTS 2026'!B1203),"",'ENGAGEMENTS 2026'!I1203)</f>
        <v/>
      </c>
      <c r="G1203">
        <f>IF(ISBLANK('ENGAGEMENTS 2026'!B1203),"",'ENGAGEMENTS 2026'!L1203)</f>
        <v/>
      </c>
      <c r="H1203">
        <f>IF(ISBLANK('ENGAGEMENTS 2026'!B1203),"",'ENGAGEMENTS 2026'!AE1203)</f>
        <v/>
      </c>
      <c r="I1203">
        <f>IF(ISBLANK('ENGAGEMENTS 2026'!B1203),"",'ENGAGEMENTS 2026'!G1203)</f>
        <v/>
      </c>
      <c r="J1203" s="275">
        <f>IF(ISBLANK('ENGAGEMENTS 2026'!B1203),"",IF(AND(OR($E1203="INFRUCTUEUX",$E1203="ANNULE"),$C1203="AOO-M"),'ENGAGEMENTS 2026'!O1203,IF($H1203="EN COURS DE PREENGAGEMENT",'ENGAGEMENTS 2026'!N1203,IF($H1203="PREENGAGE",IF($E1203="ATTRIBUE",'ENGAGEMENTS 2026'!AD1203,'ENGAGEMENTS 2026'!N1203),'ENGAGEMENTS 2026'!AD1203))))</f>
        <v/>
      </c>
      <c r="K1203" s="604">
        <f>IF(ISBLANK('ENGAGEMENTS 2026'!V1203),"",'ENGAGEMENTS 2026'!V1203)</f>
        <v/>
      </c>
      <c r="L1203" s="276">
        <f>IF($K1203="","",TODAY()-$K1203)</f>
        <v/>
      </c>
      <c r="M1203">
        <f>IF($A1203="","",IF($H1203="ENGAGE","Engagé",IF(AND($H1203="NON ENGAGE",OR($I1203="INFRUCTUEUX",$I1203="ANNULE")),"Clôturé sans suite","En cours")))</f>
        <v/>
      </c>
      <c r="N1203">
        <f>IF(ISBLANK('ENGAGEMENTS 2026'!B1203),"",'ENGAGEMENTS 2026'!K1203)</f>
        <v/>
      </c>
      <c r="O1203">
        <f>IF(ISBLANK('ENGAGEMENTS 2026'!B1203),"",'ENGAGEMENTS 2026'!L1203)</f>
        <v/>
      </c>
      <c r="P1203">
        <f>IF(ISBLANK('ENGAGEMENTS 2026'!B1203),"",'ENGAGEMENTS 2026'!J1203)</f>
        <v/>
      </c>
      <c r="Q1203">
        <f>IF($A1203="","",IF(OR($E1203="INFRUCTUEUX",$E1203="ANNULE"),$A1203&amp;"|"&amp;(COUNTIFS($A$2:$A1203,$A1203,$E$2:$E1203,"INFRUCTUEUX")+COUNTIFS($A$2:$A1203,$A1203,$E$2:$E1203,"ANNULE")),""))</f>
        <v/>
      </c>
    </row>
    <row r="1204">
      <c r="A1204">
        <f>IF(ISBLANK('ENGAGEMENTS 2026'!B1204),"",IF('ENGAGEMENTS 2026'!B1204="DTSI","DCT",'ENGAGEMENTS 2026'!B1204))</f>
        <v/>
      </c>
      <c r="B1204">
        <f>IF(ISBLANK('ENGAGEMENTS 2026'!B1204),"",'ENGAGEMENTS 2026'!C1204)</f>
        <v/>
      </c>
      <c r="C1204">
        <f>IF(ISBLANK('ENGAGEMENTS 2026'!B1204),"",'ENGAGEMENTS 2026'!D1204)</f>
        <v/>
      </c>
      <c r="D1204">
        <f>IF(ISBLANK('ENGAGEMENTS 2026'!B1204),"",'ENGAGEMENTS 2026'!F1204)</f>
        <v/>
      </c>
      <c r="E1204">
        <f>IF(ISBLANK('ENGAGEMENTS 2026'!B1204),"",'ENGAGEMENTS 2026'!H1204)</f>
        <v/>
      </c>
      <c r="F1204">
        <f>IF(ISBLANK('ENGAGEMENTS 2026'!B1204),"",'ENGAGEMENTS 2026'!I1204)</f>
        <v/>
      </c>
      <c r="G1204">
        <f>IF(ISBLANK('ENGAGEMENTS 2026'!B1204),"",'ENGAGEMENTS 2026'!L1204)</f>
        <v/>
      </c>
      <c r="H1204">
        <f>IF(ISBLANK('ENGAGEMENTS 2026'!B1204),"",'ENGAGEMENTS 2026'!AE1204)</f>
        <v/>
      </c>
      <c r="I1204">
        <f>IF(ISBLANK('ENGAGEMENTS 2026'!B1204),"",'ENGAGEMENTS 2026'!G1204)</f>
        <v/>
      </c>
      <c r="J1204" s="275">
        <f>IF(ISBLANK('ENGAGEMENTS 2026'!B1204),"",IF(AND(OR($E1204="INFRUCTUEUX",$E1204="ANNULE"),$C1204="AOO-M"),'ENGAGEMENTS 2026'!O1204,IF($H1204="EN COURS DE PREENGAGEMENT",'ENGAGEMENTS 2026'!N1204,IF($H1204="PREENGAGE",IF($E1204="ATTRIBUE",'ENGAGEMENTS 2026'!AD1204,'ENGAGEMENTS 2026'!N1204),'ENGAGEMENTS 2026'!AD1204))))</f>
        <v/>
      </c>
      <c r="K1204" s="604">
        <f>IF(ISBLANK('ENGAGEMENTS 2026'!V1204),"",'ENGAGEMENTS 2026'!V1204)</f>
        <v/>
      </c>
      <c r="L1204" s="276">
        <f>IF($K1204="","",TODAY()-$K1204)</f>
        <v/>
      </c>
      <c r="M1204">
        <f>IF($A1204="","",IF($H1204="ENGAGE","Engagé",IF(AND($H1204="NON ENGAGE",OR($I1204="INFRUCTUEUX",$I1204="ANNULE")),"Clôturé sans suite","En cours")))</f>
        <v/>
      </c>
      <c r="N1204">
        <f>IF(ISBLANK('ENGAGEMENTS 2026'!B1204),"",'ENGAGEMENTS 2026'!K1204)</f>
        <v/>
      </c>
      <c r="O1204">
        <f>IF(ISBLANK('ENGAGEMENTS 2026'!B1204),"",'ENGAGEMENTS 2026'!L1204)</f>
        <v/>
      </c>
      <c r="P1204">
        <f>IF(ISBLANK('ENGAGEMENTS 2026'!B1204),"",'ENGAGEMENTS 2026'!J1204)</f>
        <v/>
      </c>
      <c r="Q1204">
        <f>IF($A1204="","",IF(OR($E1204="INFRUCTUEUX",$E1204="ANNULE"),$A1204&amp;"|"&amp;(COUNTIFS($A$2:$A1204,$A1204,$E$2:$E1204,"INFRUCTUEUX")+COUNTIFS($A$2:$A1204,$A1204,$E$2:$E1204,"ANNULE")),""))</f>
        <v/>
      </c>
    </row>
    <row r="1205">
      <c r="A1205">
        <f>IF(ISBLANK('ENGAGEMENTS 2026'!B1205),"",IF('ENGAGEMENTS 2026'!B1205="DTSI","DCT",'ENGAGEMENTS 2026'!B1205))</f>
        <v/>
      </c>
      <c r="B1205">
        <f>IF(ISBLANK('ENGAGEMENTS 2026'!B1205),"",'ENGAGEMENTS 2026'!C1205)</f>
        <v/>
      </c>
      <c r="C1205">
        <f>IF(ISBLANK('ENGAGEMENTS 2026'!B1205),"",'ENGAGEMENTS 2026'!D1205)</f>
        <v/>
      </c>
      <c r="D1205">
        <f>IF(ISBLANK('ENGAGEMENTS 2026'!B1205),"",'ENGAGEMENTS 2026'!F1205)</f>
        <v/>
      </c>
      <c r="E1205">
        <f>IF(ISBLANK('ENGAGEMENTS 2026'!B1205),"",'ENGAGEMENTS 2026'!H1205)</f>
        <v/>
      </c>
      <c r="F1205">
        <f>IF(ISBLANK('ENGAGEMENTS 2026'!B1205),"",'ENGAGEMENTS 2026'!I1205)</f>
        <v/>
      </c>
      <c r="G1205">
        <f>IF(ISBLANK('ENGAGEMENTS 2026'!B1205),"",'ENGAGEMENTS 2026'!L1205)</f>
        <v/>
      </c>
      <c r="H1205">
        <f>IF(ISBLANK('ENGAGEMENTS 2026'!B1205),"",'ENGAGEMENTS 2026'!AE1205)</f>
        <v/>
      </c>
      <c r="I1205">
        <f>IF(ISBLANK('ENGAGEMENTS 2026'!B1205),"",'ENGAGEMENTS 2026'!G1205)</f>
        <v/>
      </c>
      <c r="J1205" s="275">
        <f>IF(ISBLANK('ENGAGEMENTS 2026'!B1205),"",IF(AND(OR($E1205="INFRUCTUEUX",$E1205="ANNULE"),$C1205="AOO-M"),'ENGAGEMENTS 2026'!O1205,IF($H1205="EN COURS DE PREENGAGEMENT",'ENGAGEMENTS 2026'!N1205,IF($H1205="PREENGAGE",IF($E1205="ATTRIBUE",'ENGAGEMENTS 2026'!AD1205,'ENGAGEMENTS 2026'!N1205),'ENGAGEMENTS 2026'!AD1205))))</f>
        <v/>
      </c>
      <c r="K1205" s="604">
        <f>IF(ISBLANK('ENGAGEMENTS 2026'!V1205),"",'ENGAGEMENTS 2026'!V1205)</f>
        <v/>
      </c>
      <c r="L1205" s="276">
        <f>IF($K1205="","",TODAY()-$K1205)</f>
        <v/>
      </c>
      <c r="M1205">
        <f>IF($A1205="","",IF($H1205="ENGAGE","Engagé",IF(AND($H1205="NON ENGAGE",OR($I1205="INFRUCTUEUX",$I1205="ANNULE")),"Clôturé sans suite","En cours")))</f>
        <v/>
      </c>
      <c r="N1205">
        <f>IF(ISBLANK('ENGAGEMENTS 2026'!B1205),"",'ENGAGEMENTS 2026'!K1205)</f>
        <v/>
      </c>
      <c r="O1205">
        <f>IF(ISBLANK('ENGAGEMENTS 2026'!B1205),"",'ENGAGEMENTS 2026'!L1205)</f>
        <v/>
      </c>
      <c r="P1205">
        <f>IF(ISBLANK('ENGAGEMENTS 2026'!B1205),"",'ENGAGEMENTS 2026'!J1205)</f>
        <v/>
      </c>
      <c r="Q1205">
        <f>IF($A1205="","",IF(OR($E1205="INFRUCTUEUX",$E1205="ANNULE"),$A1205&amp;"|"&amp;(COUNTIFS($A$2:$A1205,$A1205,$E$2:$E1205,"INFRUCTUEUX")+COUNTIFS($A$2:$A1205,$A1205,$E$2:$E1205,"ANNULE")),""))</f>
        <v/>
      </c>
    </row>
    <row r="1206">
      <c r="A1206">
        <f>IF(ISBLANK('ENGAGEMENTS 2026'!B1206),"",IF('ENGAGEMENTS 2026'!B1206="DTSI","DCT",'ENGAGEMENTS 2026'!B1206))</f>
        <v/>
      </c>
      <c r="B1206">
        <f>IF(ISBLANK('ENGAGEMENTS 2026'!B1206),"",'ENGAGEMENTS 2026'!C1206)</f>
        <v/>
      </c>
      <c r="C1206">
        <f>IF(ISBLANK('ENGAGEMENTS 2026'!B1206),"",'ENGAGEMENTS 2026'!D1206)</f>
        <v/>
      </c>
      <c r="D1206">
        <f>IF(ISBLANK('ENGAGEMENTS 2026'!B1206),"",'ENGAGEMENTS 2026'!F1206)</f>
        <v/>
      </c>
      <c r="E1206">
        <f>IF(ISBLANK('ENGAGEMENTS 2026'!B1206),"",'ENGAGEMENTS 2026'!H1206)</f>
        <v/>
      </c>
      <c r="F1206">
        <f>IF(ISBLANK('ENGAGEMENTS 2026'!B1206),"",'ENGAGEMENTS 2026'!I1206)</f>
        <v/>
      </c>
      <c r="G1206">
        <f>IF(ISBLANK('ENGAGEMENTS 2026'!B1206),"",'ENGAGEMENTS 2026'!L1206)</f>
        <v/>
      </c>
      <c r="H1206">
        <f>IF(ISBLANK('ENGAGEMENTS 2026'!B1206),"",'ENGAGEMENTS 2026'!AE1206)</f>
        <v/>
      </c>
      <c r="I1206">
        <f>IF(ISBLANK('ENGAGEMENTS 2026'!B1206),"",'ENGAGEMENTS 2026'!G1206)</f>
        <v/>
      </c>
      <c r="J1206" s="275">
        <f>IF(ISBLANK('ENGAGEMENTS 2026'!B1206),"",IF(AND(OR($E1206="INFRUCTUEUX",$E1206="ANNULE"),$C1206="AOO-M"),'ENGAGEMENTS 2026'!O1206,IF($H1206="EN COURS DE PREENGAGEMENT",'ENGAGEMENTS 2026'!N1206,IF($H1206="PREENGAGE",IF($E1206="ATTRIBUE",'ENGAGEMENTS 2026'!AD1206,'ENGAGEMENTS 2026'!N1206),'ENGAGEMENTS 2026'!AD1206))))</f>
        <v/>
      </c>
      <c r="K1206" s="604">
        <f>IF(ISBLANK('ENGAGEMENTS 2026'!V1206),"",'ENGAGEMENTS 2026'!V1206)</f>
        <v/>
      </c>
      <c r="L1206" s="276">
        <f>IF($K1206="","",TODAY()-$K1206)</f>
        <v/>
      </c>
      <c r="M1206">
        <f>IF($A1206="","",IF($H1206="ENGAGE","Engagé",IF(AND($H1206="NON ENGAGE",OR($I1206="INFRUCTUEUX",$I1206="ANNULE")),"Clôturé sans suite","En cours")))</f>
        <v/>
      </c>
      <c r="N1206">
        <f>IF(ISBLANK('ENGAGEMENTS 2026'!B1206),"",'ENGAGEMENTS 2026'!K1206)</f>
        <v/>
      </c>
      <c r="O1206">
        <f>IF(ISBLANK('ENGAGEMENTS 2026'!B1206),"",'ENGAGEMENTS 2026'!L1206)</f>
        <v/>
      </c>
      <c r="P1206">
        <f>IF(ISBLANK('ENGAGEMENTS 2026'!B1206),"",'ENGAGEMENTS 2026'!J1206)</f>
        <v/>
      </c>
      <c r="Q1206">
        <f>IF($A1206="","",IF(OR($E1206="INFRUCTUEUX",$E1206="ANNULE"),$A1206&amp;"|"&amp;(COUNTIFS($A$2:$A1206,$A1206,$E$2:$E1206,"INFRUCTUEUX")+COUNTIFS($A$2:$A1206,$A1206,$E$2:$E1206,"ANNULE")),""))</f>
        <v/>
      </c>
    </row>
    <row r="1207">
      <c r="A1207">
        <f>IF(ISBLANK('ENGAGEMENTS 2026'!B1207),"",IF('ENGAGEMENTS 2026'!B1207="DTSI","DCT",'ENGAGEMENTS 2026'!B1207))</f>
        <v/>
      </c>
      <c r="B1207">
        <f>IF(ISBLANK('ENGAGEMENTS 2026'!B1207),"",'ENGAGEMENTS 2026'!C1207)</f>
        <v/>
      </c>
      <c r="C1207">
        <f>IF(ISBLANK('ENGAGEMENTS 2026'!B1207),"",'ENGAGEMENTS 2026'!D1207)</f>
        <v/>
      </c>
      <c r="D1207">
        <f>IF(ISBLANK('ENGAGEMENTS 2026'!B1207),"",'ENGAGEMENTS 2026'!F1207)</f>
        <v/>
      </c>
      <c r="E1207">
        <f>IF(ISBLANK('ENGAGEMENTS 2026'!B1207),"",'ENGAGEMENTS 2026'!H1207)</f>
        <v/>
      </c>
      <c r="F1207">
        <f>IF(ISBLANK('ENGAGEMENTS 2026'!B1207),"",'ENGAGEMENTS 2026'!I1207)</f>
        <v/>
      </c>
      <c r="G1207">
        <f>IF(ISBLANK('ENGAGEMENTS 2026'!B1207),"",'ENGAGEMENTS 2026'!L1207)</f>
        <v/>
      </c>
      <c r="H1207">
        <f>IF(ISBLANK('ENGAGEMENTS 2026'!B1207),"",'ENGAGEMENTS 2026'!AE1207)</f>
        <v/>
      </c>
      <c r="I1207">
        <f>IF(ISBLANK('ENGAGEMENTS 2026'!B1207),"",'ENGAGEMENTS 2026'!G1207)</f>
        <v/>
      </c>
      <c r="J1207" s="275">
        <f>IF(ISBLANK('ENGAGEMENTS 2026'!B1207),"",IF(AND(OR($E1207="INFRUCTUEUX",$E1207="ANNULE"),$C1207="AOO-M"),'ENGAGEMENTS 2026'!O1207,IF($H1207="EN COURS DE PREENGAGEMENT",'ENGAGEMENTS 2026'!N1207,IF($H1207="PREENGAGE",IF($E1207="ATTRIBUE",'ENGAGEMENTS 2026'!AD1207,'ENGAGEMENTS 2026'!N1207),'ENGAGEMENTS 2026'!AD1207))))</f>
        <v/>
      </c>
      <c r="K1207" s="604">
        <f>IF(ISBLANK('ENGAGEMENTS 2026'!V1207),"",'ENGAGEMENTS 2026'!V1207)</f>
        <v/>
      </c>
      <c r="L1207" s="276">
        <f>IF($K1207="","",TODAY()-$K1207)</f>
        <v/>
      </c>
      <c r="M1207">
        <f>IF($A1207="","",IF($H1207="ENGAGE","Engagé",IF(AND($H1207="NON ENGAGE",OR($I1207="INFRUCTUEUX",$I1207="ANNULE")),"Clôturé sans suite","En cours")))</f>
        <v/>
      </c>
      <c r="N1207">
        <f>IF(ISBLANK('ENGAGEMENTS 2026'!B1207),"",'ENGAGEMENTS 2026'!K1207)</f>
        <v/>
      </c>
      <c r="O1207">
        <f>IF(ISBLANK('ENGAGEMENTS 2026'!B1207),"",'ENGAGEMENTS 2026'!L1207)</f>
        <v/>
      </c>
      <c r="P1207">
        <f>IF(ISBLANK('ENGAGEMENTS 2026'!B1207),"",'ENGAGEMENTS 2026'!J1207)</f>
        <v/>
      </c>
      <c r="Q1207">
        <f>IF($A1207="","",IF(OR($E1207="INFRUCTUEUX",$E1207="ANNULE"),$A1207&amp;"|"&amp;(COUNTIFS($A$2:$A1207,$A1207,$E$2:$E1207,"INFRUCTUEUX")+COUNTIFS($A$2:$A1207,$A1207,$E$2:$E1207,"ANNULE")),""))</f>
        <v/>
      </c>
    </row>
    <row r="1208">
      <c r="A1208">
        <f>IF(ISBLANK('ENGAGEMENTS 2026'!B1208),"",IF('ENGAGEMENTS 2026'!B1208="DTSI","DCT",'ENGAGEMENTS 2026'!B1208))</f>
        <v/>
      </c>
      <c r="B1208">
        <f>IF(ISBLANK('ENGAGEMENTS 2026'!B1208),"",'ENGAGEMENTS 2026'!C1208)</f>
        <v/>
      </c>
      <c r="C1208">
        <f>IF(ISBLANK('ENGAGEMENTS 2026'!B1208),"",'ENGAGEMENTS 2026'!D1208)</f>
        <v/>
      </c>
      <c r="D1208">
        <f>IF(ISBLANK('ENGAGEMENTS 2026'!B1208),"",'ENGAGEMENTS 2026'!F1208)</f>
        <v/>
      </c>
      <c r="E1208">
        <f>IF(ISBLANK('ENGAGEMENTS 2026'!B1208),"",'ENGAGEMENTS 2026'!H1208)</f>
        <v/>
      </c>
      <c r="F1208">
        <f>IF(ISBLANK('ENGAGEMENTS 2026'!B1208),"",'ENGAGEMENTS 2026'!I1208)</f>
        <v/>
      </c>
      <c r="G1208">
        <f>IF(ISBLANK('ENGAGEMENTS 2026'!B1208),"",'ENGAGEMENTS 2026'!L1208)</f>
        <v/>
      </c>
      <c r="H1208">
        <f>IF(ISBLANK('ENGAGEMENTS 2026'!B1208),"",'ENGAGEMENTS 2026'!AE1208)</f>
        <v/>
      </c>
      <c r="I1208">
        <f>IF(ISBLANK('ENGAGEMENTS 2026'!B1208),"",'ENGAGEMENTS 2026'!G1208)</f>
        <v/>
      </c>
      <c r="J1208" s="275">
        <f>IF(ISBLANK('ENGAGEMENTS 2026'!B1208),"",IF(AND(OR($E1208="INFRUCTUEUX",$E1208="ANNULE"),$C1208="AOO-M"),'ENGAGEMENTS 2026'!O1208,IF($H1208="EN COURS DE PREENGAGEMENT",'ENGAGEMENTS 2026'!N1208,IF($H1208="PREENGAGE",IF($E1208="ATTRIBUE",'ENGAGEMENTS 2026'!AD1208,'ENGAGEMENTS 2026'!N1208),'ENGAGEMENTS 2026'!AD1208))))</f>
        <v/>
      </c>
      <c r="K1208" s="604">
        <f>IF(ISBLANK('ENGAGEMENTS 2026'!V1208),"",'ENGAGEMENTS 2026'!V1208)</f>
        <v/>
      </c>
      <c r="L1208" s="276">
        <f>IF($K1208="","",TODAY()-$K1208)</f>
        <v/>
      </c>
      <c r="M1208">
        <f>IF($A1208="","",IF($H1208="ENGAGE","Engagé",IF(AND($H1208="NON ENGAGE",OR($I1208="INFRUCTUEUX",$I1208="ANNULE")),"Clôturé sans suite","En cours")))</f>
        <v/>
      </c>
      <c r="N1208">
        <f>IF(ISBLANK('ENGAGEMENTS 2026'!B1208),"",'ENGAGEMENTS 2026'!K1208)</f>
        <v/>
      </c>
      <c r="O1208">
        <f>IF(ISBLANK('ENGAGEMENTS 2026'!B1208),"",'ENGAGEMENTS 2026'!L1208)</f>
        <v/>
      </c>
      <c r="P1208">
        <f>IF(ISBLANK('ENGAGEMENTS 2026'!B1208),"",'ENGAGEMENTS 2026'!J1208)</f>
        <v/>
      </c>
      <c r="Q1208">
        <f>IF($A1208="","",IF(OR($E1208="INFRUCTUEUX",$E1208="ANNULE"),$A1208&amp;"|"&amp;(COUNTIFS($A$2:$A1208,$A1208,$E$2:$E1208,"INFRUCTUEUX")+COUNTIFS($A$2:$A1208,$A1208,$E$2:$E1208,"ANNULE")),""))</f>
        <v/>
      </c>
    </row>
    <row r="1209">
      <c r="A1209">
        <f>IF(ISBLANK('ENGAGEMENTS 2026'!B1209),"",IF('ENGAGEMENTS 2026'!B1209="DTSI","DCT",'ENGAGEMENTS 2026'!B1209))</f>
        <v/>
      </c>
      <c r="B1209">
        <f>IF(ISBLANK('ENGAGEMENTS 2026'!B1209),"",'ENGAGEMENTS 2026'!C1209)</f>
        <v/>
      </c>
      <c r="C1209">
        <f>IF(ISBLANK('ENGAGEMENTS 2026'!B1209),"",'ENGAGEMENTS 2026'!D1209)</f>
        <v/>
      </c>
      <c r="D1209">
        <f>IF(ISBLANK('ENGAGEMENTS 2026'!B1209),"",'ENGAGEMENTS 2026'!F1209)</f>
        <v/>
      </c>
      <c r="E1209">
        <f>IF(ISBLANK('ENGAGEMENTS 2026'!B1209),"",'ENGAGEMENTS 2026'!H1209)</f>
        <v/>
      </c>
      <c r="F1209">
        <f>IF(ISBLANK('ENGAGEMENTS 2026'!B1209),"",'ENGAGEMENTS 2026'!I1209)</f>
        <v/>
      </c>
      <c r="G1209">
        <f>IF(ISBLANK('ENGAGEMENTS 2026'!B1209),"",'ENGAGEMENTS 2026'!L1209)</f>
        <v/>
      </c>
      <c r="H1209">
        <f>IF(ISBLANK('ENGAGEMENTS 2026'!B1209),"",'ENGAGEMENTS 2026'!AE1209)</f>
        <v/>
      </c>
      <c r="I1209">
        <f>IF(ISBLANK('ENGAGEMENTS 2026'!B1209),"",'ENGAGEMENTS 2026'!G1209)</f>
        <v/>
      </c>
      <c r="J1209" s="275">
        <f>IF(ISBLANK('ENGAGEMENTS 2026'!B1209),"",IF(AND(OR($E1209="INFRUCTUEUX",$E1209="ANNULE"),$C1209="AOO-M"),'ENGAGEMENTS 2026'!O1209,IF($H1209="EN COURS DE PREENGAGEMENT",'ENGAGEMENTS 2026'!N1209,IF($H1209="PREENGAGE",IF($E1209="ATTRIBUE",'ENGAGEMENTS 2026'!AD1209,'ENGAGEMENTS 2026'!N1209),'ENGAGEMENTS 2026'!AD1209))))</f>
        <v/>
      </c>
      <c r="K1209" s="604">
        <f>IF(ISBLANK('ENGAGEMENTS 2026'!V1209),"",'ENGAGEMENTS 2026'!V1209)</f>
        <v/>
      </c>
      <c r="L1209" s="276">
        <f>IF($K1209="","",TODAY()-$K1209)</f>
        <v/>
      </c>
      <c r="M1209">
        <f>IF($A1209="","",IF($H1209="ENGAGE","Engagé",IF(AND($H1209="NON ENGAGE",OR($I1209="INFRUCTUEUX",$I1209="ANNULE")),"Clôturé sans suite","En cours")))</f>
        <v/>
      </c>
      <c r="N1209">
        <f>IF(ISBLANK('ENGAGEMENTS 2026'!B1209),"",'ENGAGEMENTS 2026'!K1209)</f>
        <v/>
      </c>
      <c r="O1209">
        <f>IF(ISBLANK('ENGAGEMENTS 2026'!B1209),"",'ENGAGEMENTS 2026'!L1209)</f>
        <v/>
      </c>
      <c r="P1209">
        <f>IF(ISBLANK('ENGAGEMENTS 2026'!B1209),"",'ENGAGEMENTS 2026'!J1209)</f>
        <v/>
      </c>
      <c r="Q1209">
        <f>IF($A1209="","",IF(OR($E1209="INFRUCTUEUX",$E1209="ANNULE"),$A1209&amp;"|"&amp;(COUNTIFS($A$2:$A1209,$A1209,$E$2:$E1209,"INFRUCTUEUX")+COUNTIFS($A$2:$A1209,$A1209,$E$2:$E1209,"ANNULE")),""))</f>
        <v/>
      </c>
    </row>
    <row r="1210">
      <c r="A1210">
        <f>IF(ISBLANK('ENGAGEMENTS 2026'!B1210),"",IF('ENGAGEMENTS 2026'!B1210="DTSI","DCT",'ENGAGEMENTS 2026'!B1210))</f>
        <v/>
      </c>
      <c r="B1210">
        <f>IF(ISBLANK('ENGAGEMENTS 2026'!B1210),"",'ENGAGEMENTS 2026'!C1210)</f>
        <v/>
      </c>
      <c r="C1210">
        <f>IF(ISBLANK('ENGAGEMENTS 2026'!B1210),"",'ENGAGEMENTS 2026'!D1210)</f>
        <v/>
      </c>
      <c r="D1210">
        <f>IF(ISBLANK('ENGAGEMENTS 2026'!B1210),"",'ENGAGEMENTS 2026'!F1210)</f>
        <v/>
      </c>
      <c r="E1210">
        <f>IF(ISBLANK('ENGAGEMENTS 2026'!B1210),"",'ENGAGEMENTS 2026'!H1210)</f>
        <v/>
      </c>
      <c r="F1210">
        <f>IF(ISBLANK('ENGAGEMENTS 2026'!B1210),"",'ENGAGEMENTS 2026'!I1210)</f>
        <v/>
      </c>
      <c r="G1210">
        <f>IF(ISBLANK('ENGAGEMENTS 2026'!B1210),"",'ENGAGEMENTS 2026'!L1210)</f>
        <v/>
      </c>
      <c r="H1210">
        <f>IF(ISBLANK('ENGAGEMENTS 2026'!B1210),"",'ENGAGEMENTS 2026'!AE1210)</f>
        <v/>
      </c>
      <c r="I1210">
        <f>IF(ISBLANK('ENGAGEMENTS 2026'!B1210),"",'ENGAGEMENTS 2026'!G1210)</f>
        <v/>
      </c>
      <c r="J1210" s="275">
        <f>IF(ISBLANK('ENGAGEMENTS 2026'!B1210),"",IF(AND(OR($E1210="INFRUCTUEUX",$E1210="ANNULE"),$C1210="AOO-M"),'ENGAGEMENTS 2026'!O1210,IF($H1210="EN COURS DE PREENGAGEMENT",'ENGAGEMENTS 2026'!N1210,IF($H1210="PREENGAGE",IF($E1210="ATTRIBUE",'ENGAGEMENTS 2026'!AD1210,'ENGAGEMENTS 2026'!N1210),'ENGAGEMENTS 2026'!AD1210))))</f>
        <v/>
      </c>
      <c r="K1210" s="604">
        <f>IF(ISBLANK('ENGAGEMENTS 2026'!V1210),"",'ENGAGEMENTS 2026'!V1210)</f>
        <v/>
      </c>
      <c r="L1210" s="276">
        <f>IF($K1210="","",TODAY()-$K1210)</f>
        <v/>
      </c>
      <c r="M1210">
        <f>IF($A1210="","",IF($H1210="ENGAGE","Engagé",IF(AND($H1210="NON ENGAGE",OR($I1210="INFRUCTUEUX",$I1210="ANNULE")),"Clôturé sans suite","En cours")))</f>
        <v/>
      </c>
      <c r="N1210">
        <f>IF(ISBLANK('ENGAGEMENTS 2026'!B1210),"",'ENGAGEMENTS 2026'!K1210)</f>
        <v/>
      </c>
      <c r="O1210">
        <f>IF(ISBLANK('ENGAGEMENTS 2026'!B1210),"",'ENGAGEMENTS 2026'!L1210)</f>
        <v/>
      </c>
      <c r="P1210">
        <f>IF(ISBLANK('ENGAGEMENTS 2026'!B1210),"",'ENGAGEMENTS 2026'!J1210)</f>
        <v/>
      </c>
      <c r="Q1210">
        <f>IF($A1210="","",IF(OR($E1210="INFRUCTUEUX",$E1210="ANNULE"),$A1210&amp;"|"&amp;(COUNTIFS($A$2:$A1210,$A1210,$E$2:$E1210,"INFRUCTUEUX")+COUNTIFS($A$2:$A1210,$A1210,$E$2:$E1210,"ANNULE")),""))</f>
        <v/>
      </c>
    </row>
    <row r="1211">
      <c r="A1211">
        <f>IF(ISBLANK('ENGAGEMENTS 2026'!B1211),"",IF('ENGAGEMENTS 2026'!B1211="DTSI","DCT",'ENGAGEMENTS 2026'!B1211))</f>
        <v/>
      </c>
      <c r="B1211">
        <f>IF(ISBLANK('ENGAGEMENTS 2026'!B1211),"",'ENGAGEMENTS 2026'!C1211)</f>
        <v/>
      </c>
      <c r="C1211">
        <f>IF(ISBLANK('ENGAGEMENTS 2026'!B1211),"",'ENGAGEMENTS 2026'!D1211)</f>
        <v/>
      </c>
      <c r="D1211">
        <f>IF(ISBLANK('ENGAGEMENTS 2026'!B1211),"",'ENGAGEMENTS 2026'!F1211)</f>
        <v/>
      </c>
      <c r="E1211">
        <f>IF(ISBLANK('ENGAGEMENTS 2026'!B1211),"",'ENGAGEMENTS 2026'!H1211)</f>
        <v/>
      </c>
      <c r="F1211">
        <f>IF(ISBLANK('ENGAGEMENTS 2026'!B1211),"",'ENGAGEMENTS 2026'!I1211)</f>
        <v/>
      </c>
      <c r="G1211">
        <f>IF(ISBLANK('ENGAGEMENTS 2026'!B1211),"",'ENGAGEMENTS 2026'!L1211)</f>
        <v/>
      </c>
      <c r="H1211">
        <f>IF(ISBLANK('ENGAGEMENTS 2026'!B1211),"",'ENGAGEMENTS 2026'!AE1211)</f>
        <v/>
      </c>
      <c r="I1211">
        <f>IF(ISBLANK('ENGAGEMENTS 2026'!B1211),"",'ENGAGEMENTS 2026'!G1211)</f>
        <v/>
      </c>
      <c r="J1211" s="275">
        <f>IF(ISBLANK('ENGAGEMENTS 2026'!B1211),"",IF(AND(OR($E1211="INFRUCTUEUX",$E1211="ANNULE"),$C1211="AOO-M"),'ENGAGEMENTS 2026'!O1211,IF($H1211="EN COURS DE PREENGAGEMENT",'ENGAGEMENTS 2026'!N1211,IF($H1211="PREENGAGE",IF($E1211="ATTRIBUE",'ENGAGEMENTS 2026'!AD1211,'ENGAGEMENTS 2026'!N1211),'ENGAGEMENTS 2026'!AD1211))))</f>
        <v/>
      </c>
      <c r="K1211" s="604">
        <f>IF(ISBLANK('ENGAGEMENTS 2026'!V1211),"",'ENGAGEMENTS 2026'!V1211)</f>
        <v/>
      </c>
      <c r="L1211" s="276">
        <f>IF($K1211="","",TODAY()-$K1211)</f>
        <v/>
      </c>
      <c r="M1211">
        <f>IF($A1211="","",IF($H1211="ENGAGE","Engagé",IF(AND($H1211="NON ENGAGE",OR($I1211="INFRUCTUEUX",$I1211="ANNULE")),"Clôturé sans suite","En cours")))</f>
        <v/>
      </c>
      <c r="N1211">
        <f>IF(ISBLANK('ENGAGEMENTS 2026'!B1211),"",'ENGAGEMENTS 2026'!K1211)</f>
        <v/>
      </c>
      <c r="O1211">
        <f>IF(ISBLANK('ENGAGEMENTS 2026'!B1211),"",'ENGAGEMENTS 2026'!L1211)</f>
        <v/>
      </c>
      <c r="P1211">
        <f>IF(ISBLANK('ENGAGEMENTS 2026'!B1211),"",'ENGAGEMENTS 2026'!J1211)</f>
        <v/>
      </c>
      <c r="Q1211">
        <f>IF($A1211="","",IF(OR($E1211="INFRUCTUEUX",$E1211="ANNULE"),$A1211&amp;"|"&amp;(COUNTIFS($A$2:$A1211,$A1211,$E$2:$E1211,"INFRUCTUEUX")+COUNTIFS($A$2:$A1211,$A1211,$E$2:$E1211,"ANNULE")),""))</f>
        <v/>
      </c>
    </row>
    <row r="1212">
      <c r="A1212">
        <f>IF(ISBLANK('ENGAGEMENTS 2026'!B1212),"",IF('ENGAGEMENTS 2026'!B1212="DTSI","DCT",'ENGAGEMENTS 2026'!B1212))</f>
        <v/>
      </c>
      <c r="B1212">
        <f>IF(ISBLANK('ENGAGEMENTS 2026'!B1212),"",'ENGAGEMENTS 2026'!C1212)</f>
        <v/>
      </c>
      <c r="C1212">
        <f>IF(ISBLANK('ENGAGEMENTS 2026'!B1212),"",'ENGAGEMENTS 2026'!D1212)</f>
        <v/>
      </c>
      <c r="D1212">
        <f>IF(ISBLANK('ENGAGEMENTS 2026'!B1212),"",'ENGAGEMENTS 2026'!F1212)</f>
        <v/>
      </c>
      <c r="E1212">
        <f>IF(ISBLANK('ENGAGEMENTS 2026'!B1212),"",'ENGAGEMENTS 2026'!H1212)</f>
        <v/>
      </c>
      <c r="F1212">
        <f>IF(ISBLANK('ENGAGEMENTS 2026'!B1212),"",'ENGAGEMENTS 2026'!I1212)</f>
        <v/>
      </c>
      <c r="G1212">
        <f>IF(ISBLANK('ENGAGEMENTS 2026'!B1212),"",'ENGAGEMENTS 2026'!L1212)</f>
        <v/>
      </c>
      <c r="H1212">
        <f>IF(ISBLANK('ENGAGEMENTS 2026'!B1212),"",'ENGAGEMENTS 2026'!AE1212)</f>
        <v/>
      </c>
      <c r="I1212">
        <f>IF(ISBLANK('ENGAGEMENTS 2026'!B1212),"",'ENGAGEMENTS 2026'!G1212)</f>
        <v/>
      </c>
      <c r="J1212" s="275">
        <f>IF(ISBLANK('ENGAGEMENTS 2026'!B1212),"",IF(AND(OR($E1212="INFRUCTUEUX",$E1212="ANNULE"),$C1212="AOO-M"),'ENGAGEMENTS 2026'!O1212,IF($H1212="EN COURS DE PREENGAGEMENT",'ENGAGEMENTS 2026'!N1212,IF($H1212="PREENGAGE",IF($E1212="ATTRIBUE",'ENGAGEMENTS 2026'!AD1212,'ENGAGEMENTS 2026'!N1212),'ENGAGEMENTS 2026'!AD1212))))</f>
        <v/>
      </c>
      <c r="K1212" s="604">
        <f>IF(ISBLANK('ENGAGEMENTS 2026'!V1212),"",'ENGAGEMENTS 2026'!V1212)</f>
        <v/>
      </c>
      <c r="L1212" s="276">
        <f>IF($K1212="","",TODAY()-$K1212)</f>
        <v/>
      </c>
      <c r="M1212">
        <f>IF($A1212="","",IF($H1212="ENGAGE","Engagé",IF(AND($H1212="NON ENGAGE",OR($I1212="INFRUCTUEUX",$I1212="ANNULE")),"Clôturé sans suite","En cours")))</f>
        <v/>
      </c>
      <c r="N1212">
        <f>IF(ISBLANK('ENGAGEMENTS 2026'!B1212),"",'ENGAGEMENTS 2026'!K1212)</f>
        <v/>
      </c>
      <c r="O1212">
        <f>IF(ISBLANK('ENGAGEMENTS 2026'!B1212),"",'ENGAGEMENTS 2026'!L1212)</f>
        <v/>
      </c>
      <c r="P1212">
        <f>IF(ISBLANK('ENGAGEMENTS 2026'!B1212),"",'ENGAGEMENTS 2026'!J1212)</f>
        <v/>
      </c>
      <c r="Q1212">
        <f>IF($A1212="","",IF(OR($E1212="INFRUCTUEUX",$E1212="ANNULE"),$A1212&amp;"|"&amp;(COUNTIFS($A$2:$A1212,$A1212,$E$2:$E1212,"INFRUCTUEUX")+COUNTIFS($A$2:$A1212,$A1212,$E$2:$E1212,"ANNULE")),""))</f>
        <v/>
      </c>
    </row>
    <row r="1213">
      <c r="A1213">
        <f>IF(ISBLANK('ENGAGEMENTS 2026'!B1213),"",IF('ENGAGEMENTS 2026'!B1213="DTSI","DCT",'ENGAGEMENTS 2026'!B1213))</f>
        <v/>
      </c>
      <c r="B1213">
        <f>IF(ISBLANK('ENGAGEMENTS 2026'!B1213),"",'ENGAGEMENTS 2026'!C1213)</f>
        <v/>
      </c>
      <c r="C1213">
        <f>IF(ISBLANK('ENGAGEMENTS 2026'!B1213),"",'ENGAGEMENTS 2026'!D1213)</f>
        <v/>
      </c>
      <c r="D1213">
        <f>IF(ISBLANK('ENGAGEMENTS 2026'!B1213),"",'ENGAGEMENTS 2026'!F1213)</f>
        <v/>
      </c>
      <c r="E1213">
        <f>IF(ISBLANK('ENGAGEMENTS 2026'!B1213),"",'ENGAGEMENTS 2026'!H1213)</f>
        <v/>
      </c>
      <c r="F1213">
        <f>IF(ISBLANK('ENGAGEMENTS 2026'!B1213),"",'ENGAGEMENTS 2026'!I1213)</f>
        <v/>
      </c>
      <c r="G1213">
        <f>IF(ISBLANK('ENGAGEMENTS 2026'!B1213),"",'ENGAGEMENTS 2026'!L1213)</f>
        <v/>
      </c>
      <c r="H1213">
        <f>IF(ISBLANK('ENGAGEMENTS 2026'!B1213),"",'ENGAGEMENTS 2026'!AE1213)</f>
        <v/>
      </c>
      <c r="I1213">
        <f>IF(ISBLANK('ENGAGEMENTS 2026'!B1213),"",'ENGAGEMENTS 2026'!G1213)</f>
        <v/>
      </c>
      <c r="J1213" s="275">
        <f>IF(ISBLANK('ENGAGEMENTS 2026'!B1213),"",IF(AND(OR($E1213="INFRUCTUEUX",$E1213="ANNULE"),$C1213="AOO-M"),'ENGAGEMENTS 2026'!O1213,IF($H1213="EN COURS DE PREENGAGEMENT",'ENGAGEMENTS 2026'!N1213,IF($H1213="PREENGAGE",IF($E1213="ATTRIBUE",'ENGAGEMENTS 2026'!AD1213,'ENGAGEMENTS 2026'!N1213),'ENGAGEMENTS 2026'!AD1213))))</f>
        <v/>
      </c>
      <c r="K1213" s="604">
        <f>IF(ISBLANK('ENGAGEMENTS 2026'!V1213),"",'ENGAGEMENTS 2026'!V1213)</f>
        <v/>
      </c>
      <c r="L1213" s="276">
        <f>IF($K1213="","",TODAY()-$K1213)</f>
        <v/>
      </c>
      <c r="M1213">
        <f>IF($A1213="","",IF($H1213="ENGAGE","Engagé",IF(AND($H1213="NON ENGAGE",OR($I1213="INFRUCTUEUX",$I1213="ANNULE")),"Clôturé sans suite","En cours")))</f>
        <v/>
      </c>
      <c r="N1213">
        <f>IF(ISBLANK('ENGAGEMENTS 2026'!B1213),"",'ENGAGEMENTS 2026'!K1213)</f>
        <v/>
      </c>
      <c r="O1213">
        <f>IF(ISBLANK('ENGAGEMENTS 2026'!B1213),"",'ENGAGEMENTS 2026'!L1213)</f>
        <v/>
      </c>
      <c r="P1213">
        <f>IF(ISBLANK('ENGAGEMENTS 2026'!B1213),"",'ENGAGEMENTS 2026'!J1213)</f>
        <v/>
      </c>
      <c r="Q1213">
        <f>IF($A1213="","",IF(OR($E1213="INFRUCTUEUX",$E1213="ANNULE"),$A1213&amp;"|"&amp;(COUNTIFS($A$2:$A1213,$A1213,$E$2:$E1213,"INFRUCTUEUX")+COUNTIFS($A$2:$A1213,$A1213,$E$2:$E1213,"ANNULE")),""))</f>
        <v/>
      </c>
    </row>
    <row r="1214">
      <c r="A1214">
        <f>IF(ISBLANK('ENGAGEMENTS 2026'!B1214),"",IF('ENGAGEMENTS 2026'!B1214="DTSI","DCT",'ENGAGEMENTS 2026'!B1214))</f>
        <v/>
      </c>
      <c r="B1214">
        <f>IF(ISBLANK('ENGAGEMENTS 2026'!B1214),"",'ENGAGEMENTS 2026'!C1214)</f>
        <v/>
      </c>
      <c r="C1214">
        <f>IF(ISBLANK('ENGAGEMENTS 2026'!B1214),"",'ENGAGEMENTS 2026'!D1214)</f>
        <v/>
      </c>
      <c r="D1214">
        <f>IF(ISBLANK('ENGAGEMENTS 2026'!B1214),"",'ENGAGEMENTS 2026'!F1214)</f>
        <v/>
      </c>
      <c r="E1214">
        <f>IF(ISBLANK('ENGAGEMENTS 2026'!B1214),"",'ENGAGEMENTS 2026'!H1214)</f>
        <v/>
      </c>
      <c r="F1214">
        <f>IF(ISBLANK('ENGAGEMENTS 2026'!B1214),"",'ENGAGEMENTS 2026'!I1214)</f>
        <v/>
      </c>
      <c r="G1214">
        <f>IF(ISBLANK('ENGAGEMENTS 2026'!B1214),"",'ENGAGEMENTS 2026'!L1214)</f>
        <v/>
      </c>
      <c r="H1214">
        <f>IF(ISBLANK('ENGAGEMENTS 2026'!B1214),"",'ENGAGEMENTS 2026'!AE1214)</f>
        <v/>
      </c>
      <c r="I1214">
        <f>IF(ISBLANK('ENGAGEMENTS 2026'!B1214),"",'ENGAGEMENTS 2026'!G1214)</f>
        <v/>
      </c>
      <c r="J1214" s="275">
        <f>IF(ISBLANK('ENGAGEMENTS 2026'!B1214),"",IF(AND(OR($E1214="INFRUCTUEUX",$E1214="ANNULE"),$C1214="AOO-M"),'ENGAGEMENTS 2026'!O1214,IF($H1214="EN COURS DE PREENGAGEMENT",'ENGAGEMENTS 2026'!N1214,IF($H1214="PREENGAGE",IF($E1214="ATTRIBUE",'ENGAGEMENTS 2026'!AD1214,'ENGAGEMENTS 2026'!N1214),'ENGAGEMENTS 2026'!AD1214))))</f>
        <v/>
      </c>
      <c r="K1214" s="604">
        <f>IF(ISBLANK('ENGAGEMENTS 2026'!V1214),"",'ENGAGEMENTS 2026'!V1214)</f>
        <v/>
      </c>
      <c r="L1214" s="276">
        <f>IF($K1214="","",TODAY()-$K1214)</f>
        <v/>
      </c>
      <c r="M1214">
        <f>IF($A1214="","",IF($H1214="ENGAGE","Engagé",IF(AND($H1214="NON ENGAGE",OR($I1214="INFRUCTUEUX",$I1214="ANNULE")),"Clôturé sans suite","En cours")))</f>
        <v/>
      </c>
      <c r="N1214">
        <f>IF(ISBLANK('ENGAGEMENTS 2026'!B1214),"",'ENGAGEMENTS 2026'!K1214)</f>
        <v/>
      </c>
      <c r="O1214">
        <f>IF(ISBLANK('ENGAGEMENTS 2026'!B1214),"",'ENGAGEMENTS 2026'!L1214)</f>
        <v/>
      </c>
      <c r="P1214">
        <f>IF(ISBLANK('ENGAGEMENTS 2026'!B1214),"",'ENGAGEMENTS 2026'!J1214)</f>
        <v/>
      </c>
      <c r="Q1214">
        <f>IF($A1214="","",IF(OR($E1214="INFRUCTUEUX",$E1214="ANNULE"),$A1214&amp;"|"&amp;(COUNTIFS($A$2:$A1214,$A1214,$E$2:$E1214,"INFRUCTUEUX")+COUNTIFS($A$2:$A1214,$A1214,$E$2:$E1214,"ANNULE")),""))</f>
        <v/>
      </c>
    </row>
    <row r="1215">
      <c r="A1215">
        <f>IF(ISBLANK('ENGAGEMENTS 2026'!B1215),"",IF('ENGAGEMENTS 2026'!B1215="DTSI","DCT",'ENGAGEMENTS 2026'!B1215))</f>
        <v/>
      </c>
      <c r="B1215">
        <f>IF(ISBLANK('ENGAGEMENTS 2026'!B1215),"",'ENGAGEMENTS 2026'!C1215)</f>
        <v/>
      </c>
      <c r="C1215">
        <f>IF(ISBLANK('ENGAGEMENTS 2026'!B1215),"",'ENGAGEMENTS 2026'!D1215)</f>
        <v/>
      </c>
      <c r="D1215">
        <f>IF(ISBLANK('ENGAGEMENTS 2026'!B1215),"",'ENGAGEMENTS 2026'!F1215)</f>
        <v/>
      </c>
      <c r="E1215">
        <f>IF(ISBLANK('ENGAGEMENTS 2026'!B1215),"",'ENGAGEMENTS 2026'!H1215)</f>
        <v/>
      </c>
      <c r="F1215">
        <f>IF(ISBLANK('ENGAGEMENTS 2026'!B1215),"",'ENGAGEMENTS 2026'!I1215)</f>
        <v/>
      </c>
      <c r="G1215">
        <f>IF(ISBLANK('ENGAGEMENTS 2026'!B1215),"",'ENGAGEMENTS 2026'!L1215)</f>
        <v/>
      </c>
      <c r="H1215">
        <f>IF(ISBLANK('ENGAGEMENTS 2026'!B1215),"",'ENGAGEMENTS 2026'!AE1215)</f>
        <v/>
      </c>
      <c r="I1215">
        <f>IF(ISBLANK('ENGAGEMENTS 2026'!B1215),"",'ENGAGEMENTS 2026'!G1215)</f>
        <v/>
      </c>
      <c r="J1215" s="275">
        <f>IF(ISBLANK('ENGAGEMENTS 2026'!B1215),"",IF(AND(OR($E1215="INFRUCTUEUX",$E1215="ANNULE"),$C1215="AOO-M"),'ENGAGEMENTS 2026'!O1215,IF($H1215="EN COURS DE PREENGAGEMENT",'ENGAGEMENTS 2026'!N1215,IF($H1215="PREENGAGE",IF($E1215="ATTRIBUE",'ENGAGEMENTS 2026'!AD1215,'ENGAGEMENTS 2026'!N1215),'ENGAGEMENTS 2026'!AD1215))))</f>
        <v/>
      </c>
      <c r="K1215" s="604">
        <f>IF(ISBLANK('ENGAGEMENTS 2026'!V1215),"",'ENGAGEMENTS 2026'!V1215)</f>
        <v/>
      </c>
      <c r="L1215" s="276">
        <f>IF($K1215="","",TODAY()-$K1215)</f>
        <v/>
      </c>
      <c r="M1215">
        <f>IF($A1215="","",IF($H1215="ENGAGE","Engagé",IF(AND($H1215="NON ENGAGE",OR($I1215="INFRUCTUEUX",$I1215="ANNULE")),"Clôturé sans suite","En cours")))</f>
        <v/>
      </c>
      <c r="N1215">
        <f>IF(ISBLANK('ENGAGEMENTS 2026'!B1215),"",'ENGAGEMENTS 2026'!K1215)</f>
        <v/>
      </c>
      <c r="O1215">
        <f>IF(ISBLANK('ENGAGEMENTS 2026'!B1215),"",'ENGAGEMENTS 2026'!L1215)</f>
        <v/>
      </c>
      <c r="P1215">
        <f>IF(ISBLANK('ENGAGEMENTS 2026'!B1215),"",'ENGAGEMENTS 2026'!J1215)</f>
        <v/>
      </c>
      <c r="Q1215">
        <f>IF($A1215="","",IF(OR($E1215="INFRUCTUEUX",$E1215="ANNULE"),$A1215&amp;"|"&amp;(COUNTIFS($A$2:$A1215,$A1215,$E$2:$E1215,"INFRUCTUEUX")+COUNTIFS($A$2:$A1215,$A1215,$E$2:$E1215,"ANNULE")),""))</f>
        <v/>
      </c>
    </row>
    <row r="1216">
      <c r="A1216">
        <f>IF(ISBLANK('ENGAGEMENTS 2026'!B1216),"",IF('ENGAGEMENTS 2026'!B1216="DTSI","DCT",'ENGAGEMENTS 2026'!B1216))</f>
        <v/>
      </c>
      <c r="B1216">
        <f>IF(ISBLANK('ENGAGEMENTS 2026'!B1216),"",'ENGAGEMENTS 2026'!C1216)</f>
        <v/>
      </c>
      <c r="C1216">
        <f>IF(ISBLANK('ENGAGEMENTS 2026'!B1216),"",'ENGAGEMENTS 2026'!D1216)</f>
        <v/>
      </c>
      <c r="D1216">
        <f>IF(ISBLANK('ENGAGEMENTS 2026'!B1216),"",'ENGAGEMENTS 2026'!F1216)</f>
        <v/>
      </c>
      <c r="E1216">
        <f>IF(ISBLANK('ENGAGEMENTS 2026'!B1216),"",'ENGAGEMENTS 2026'!H1216)</f>
        <v/>
      </c>
      <c r="F1216">
        <f>IF(ISBLANK('ENGAGEMENTS 2026'!B1216),"",'ENGAGEMENTS 2026'!I1216)</f>
        <v/>
      </c>
      <c r="G1216">
        <f>IF(ISBLANK('ENGAGEMENTS 2026'!B1216),"",'ENGAGEMENTS 2026'!L1216)</f>
        <v/>
      </c>
      <c r="H1216">
        <f>IF(ISBLANK('ENGAGEMENTS 2026'!B1216),"",'ENGAGEMENTS 2026'!AE1216)</f>
        <v/>
      </c>
      <c r="I1216">
        <f>IF(ISBLANK('ENGAGEMENTS 2026'!B1216),"",'ENGAGEMENTS 2026'!G1216)</f>
        <v/>
      </c>
      <c r="J1216" s="275">
        <f>IF(ISBLANK('ENGAGEMENTS 2026'!B1216),"",IF(AND(OR($E1216="INFRUCTUEUX",$E1216="ANNULE"),$C1216="AOO-M"),'ENGAGEMENTS 2026'!O1216,IF($H1216="EN COURS DE PREENGAGEMENT",'ENGAGEMENTS 2026'!N1216,IF($H1216="PREENGAGE",IF($E1216="ATTRIBUE",'ENGAGEMENTS 2026'!AD1216,'ENGAGEMENTS 2026'!N1216),'ENGAGEMENTS 2026'!AD1216))))</f>
        <v/>
      </c>
      <c r="K1216" s="604">
        <f>IF(ISBLANK('ENGAGEMENTS 2026'!V1216),"",'ENGAGEMENTS 2026'!V1216)</f>
        <v/>
      </c>
      <c r="L1216" s="276">
        <f>IF($K1216="","",TODAY()-$K1216)</f>
        <v/>
      </c>
      <c r="M1216">
        <f>IF($A1216="","",IF($H1216="ENGAGE","Engagé",IF(AND($H1216="NON ENGAGE",OR($I1216="INFRUCTUEUX",$I1216="ANNULE")),"Clôturé sans suite","En cours")))</f>
        <v/>
      </c>
      <c r="N1216">
        <f>IF(ISBLANK('ENGAGEMENTS 2026'!B1216),"",'ENGAGEMENTS 2026'!K1216)</f>
        <v/>
      </c>
      <c r="O1216">
        <f>IF(ISBLANK('ENGAGEMENTS 2026'!B1216),"",'ENGAGEMENTS 2026'!L1216)</f>
        <v/>
      </c>
      <c r="P1216">
        <f>IF(ISBLANK('ENGAGEMENTS 2026'!B1216),"",'ENGAGEMENTS 2026'!J1216)</f>
        <v/>
      </c>
      <c r="Q1216">
        <f>IF($A1216="","",IF(OR($E1216="INFRUCTUEUX",$E1216="ANNULE"),$A1216&amp;"|"&amp;(COUNTIFS($A$2:$A1216,$A1216,$E$2:$E1216,"INFRUCTUEUX")+COUNTIFS($A$2:$A1216,$A1216,$E$2:$E1216,"ANNULE")),""))</f>
        <v/>
      </c>
    </row>
    <row r="1217">
      <c r="A1217">
        <f>IF(ISBLANK('ENGAGEMENTS 2026'!B1217),"",IF('ENGAGEMENTS 2026'!B1217="DTSI","DCT",'ENGAGEMENTS 2026'!B1217))</f>
        <v/>
      </c>
      <c r="B1217">
        <f>IF(ISBLANK('ENGAGEMENTS 2026'!B1217),"",'ENGAGEMENTS 2026'!C1217)</f>
        <v/>
      </c>
      <c r="C1217">
        <f>IF(ISBLANK('ENGAGEMENTS 2026'!B1217),"",'ENGAGEMENTS 2026'!D1217)</f>
        <v/>
      </c>
      <c r="D1217">
        <f>IF(ISBLANK('ENGAGEMENTS 2026'!B1217),"",'ENGAGEMENTS 2026'!F1217)</f>
        <v/>
      </c>
      <c r="E1217">
        <f>IF(ISBLANK('ENGAGEMENTS 2026'!B1217),"",'ENGAGEMENTS 2026'!H1217)</f>
        <v/>
      </c>
      <c r="F1217">
        <f>IF(ISBLANK('ENGAGEMENTS 2026'!B1217),"",'ENGAGEMENTS 2026'!I1217)</f>
        <v/>
      </c>
      <c r="G1217">
        <f>IF(ISBLANK('ENGAGEMENTS 2026'!B1217),"",'ENGAGEMENTS 2026'!L1217)</f>
        <v/>
      </c>
      <c r="H1217">
        <f>IF(ISBLANK('ENGAGEMENTS 2026'!B1217),"",'ENGAGEMENTS 2026'!AE1217)</f>
        <v/>
      </c>
      <c r="I1217">
        <f>IF(ISBLANK('ENGAGEMENTS 2026'!B1217),"",'ENGAGEMENTS 2026'!G1217)</f>
        <v/>
      </c>
      <c r="J1217" s="275">
        <f>IF(ISBLANK('ENGAGEMENTS 2026'!B1217),"",IF(AND(OR($E1217="INFRUCTUEUX",$E1217="ANNULE"),$C1217="AOO-M"),'ENGAGEMENTS 2026'!O1217,IF($H1217="EN COURS DE PREENGAGEMENT",'ENGAGEMENTS 2026'!N1217,IF($H1217="PREENGAGE",IF($E1217="ATTRIBUE",'ENGAGEMENTS 2026'!AD1217,'ENGAGEMENTS 2026'!N1217),'ENGAGEMENTS 2026'!AD1217))))</f>
        <v/>
      </c>
      <c r="K1217" s="604">
        <f>IF(ISBLANK('ENGAGEMENTS 2026'!V1217),"",'ENGAGEMENTS 2026'!V1217)</f>
        <v/>
      </c>
      <c r="L1217" s="276">
        <f>IF($K1217="","",TODAY()-$K1217)</f>
        <v/>
      </c>
      <c r="M1217">
        <f>IF($A1217="","",IF($H1217="ENGAGE","Engagé",IF(AND($H1217="NON ENGAGE",OR($I1217="INFRUCTUEUX",$I1217="ANNULE")),"Clôturé sans suite","En cours")))</f>
        <v/>
      </c>
      <c r="N1217">
        <f>IF(ISBLANK('ENGAGEMENTS 2026'!B1217),"",'ENGAGEMENTS 2026'!K1217)</f>
        <v/>
      </c>
      <c r="O1217">
        <f>IF(ISBLANK('ENGAGEMENTS 2026'!B1217),"",'ENGAGEMENTS 2026'!L1217)</f>
        <v/>
      </c>
      <c r="P1217">
        <f>IF(ISBLANK('ENGAGEMENTS 2026'!B1217),"",'ENGAGEMENTS 2026'!J1217)</f>
        <v/>
      </c>
      <c r="Q1217">
        <f>IF($A1217="","",IF(OR($E1217="INFRUCTUEUX",$E1217="ANNULE"),$A1217&amp;"|"&amp;(COUNTIFS($A$2:$A1217,$A1217,$E$2:$E1217,"INFRUCTUEUX")+COUNTIFS($A$2:$A1217,$A1217,$E$2:$E1217,"ANNULE")),""))</f>
        <v/>
      </c>
    </row>
    <row r="1218">
      <c r="A1218">
        <f>IF(ISBLANK('ENGAGEMENTS 2026'!B1218),"",IF('ENGAGEMENTS 2026'!B1218="DTSI","DCT",'ENGAGEMENTS 2026'!B1218))</f>
        <v/>
      </c>
      <c r="B1218">
        <f>IF(ISBLANK('ENGAGEMENTS 2026'!B1218),"",'ENGAGEMENTS 2026'!C1218)</f>
        <v/>
      </c>
      <c r="C1218">
        <f>IF(ISBLANK('ENGAGEMENTS 2026'!B1218),"",'ENGAGEMENTS 2026'!D1218)</f>
        <v/>
      </c>
      <c r="D1218">
        <f>IF(ISBLANK('ENGAGEMENTS 2026'!B1218),"",'ENGAGEMENTS 2026'!F1218)</f>
        <v/>
      </c>
      <c r="E1218">
        <f>IF(ISBLANK('ENGAGEMENTS 2026'!B1218),"",'ENGAGEMENTS 2026'!H1218)</f>
        <v/>
      </c>
      <c r="F1218">
        <f>IF(ISBLANK('ENGAGEMENTS 2026'!B1218),"",'ENGAGEMENTS 2026'!I1218)</f>
        <v/>
      </c>
      <c r="G1218">
        <f>IF(ISBLANK('ENGAGEMENTS 2026'!B1218),"",'ENGAGEMENTS 2026'!L1218)</f>
        <v/>
      </c>
      <c r="H1218">
        <f>IF(ISBLANK('ENGAGEMENTS 2026'!B1218),"",'ENGAGEMENTS 2026'!AE1218)</f>
        <v/>
      </c>
      <c r="I1218">
        <f>IF(ISBLANK('ENGAGEMENTS 2026'!B1218),"",'ENGAGEMENTS 2026'!G1218)</f>
        <v/>
      </c>
      <c r="J1218" s="275">
        <f>IF(ISBLANK('ENGAGEMENTS 2026'!B1218),"",IF(AND(OR($E1218="INFRUCTUEUX",$E1218="ANNULE"),$C1218="AOO-M"),'ENGAGEMENTS 2026'!O1218,IF($H1218="EN COURS DE PREENGAGEMENT",'ENGAGEMENTS 2026'!N1218,IF($H1218="PREENGAGE",IF($E1218="ATTRIBUE",'ENGAGEMENTS 2026'!AD1218,'ENGAGEMENTS 2026'!N1218),'ENGAGEMENTS 2026'!AD1218))))</f>
        <v/>
      </c>
      <c r="K1218" s="604">
        <f>IF(ISBLANK('ENGAGEMENTS 2026'!V1218),"",'ENGAGEMENTS 2026'!V1218)</f>
        <v/>
      </c>
      <c r="L1218" s="276">
        <f>IF($K1218="","",TODAY()-$K1218)</f>
        <v/>
      </c>
      <c r="M1218">
        <f>IF($A1218="","",IF($H1218="ENGAGE","Engagé",IF(AND($H1218="NON ENGAGE",OR($I1218="INFRUCTUEUX",$I1218="ANNULE")),"Clôturé sans suite","En cours")))</f>
        <v/>
      </c>
      <c r="N1218">
        <f>IF(ISBLANK('ENGAGEMENTS 2026'!B1218),"",'ENGAGEMENTS 2026'!K1218)</f>
        <v/>
      </c>
      <c r="O1218">
        <f>IF(ISBLANK('ENGAGEMENTS 2026'!B1218),"",'ENGAGEMENTS 2026'!L1218)</f>
        <v/>
      </c>
      <c r="P1218">
        <f>IF(ISBLANK('ENGAGEMENTS 2026'!B1218),"",'ENGAGEMENTS 2026'!J1218)</f>
        <v/>
      </c>
      <c r="Q1218">
        <f>IF($A1218="","",IF(OR($E1218="INFRUCTUEUX",$E1218="ANNULE"),$A1218&amp;"|"&amp;(COUNTIFS($A$2:$A1218,$A1218,$E$2:$E1218,"INFRUCTUEUX")+COUNTIFS($A$2:$A1218,$A1218,$E$2:$E1218,"ANNULE")),""))</f>
        <v/>
      </c>
    </row>
    <row r="1219">
      <c r="A1219">
        <f>IF(ISBLANK('ENGAGEMENTS 2026'!B1219),"",IF('ENGAGEMENTS 2026'!B1219="DTSI","DCT",'ENGAGEMENTS 2026'!B1219))</f>
        <v/>
      </c>
      <c r="B1219">
        <f>IF(ISBLANK('ENGAGEMENTS 2026'!B1219),"",'ENGAGEMENTS 2026'!C1219)</f>
        <v/>
      </c>
      <c r="C1219">
        <f>IF(ISBLANK('ENGAGEMENTS 2026'!B1219),"",'ENGAGEMENTS 2026'!D1219)</f>
        <v/>
      </c>
      <c r="D1219">
        <f>IF(ISBLANK('ENGAGEMENTS 2026'!B1219),"",'ENGAGEMENTS 2026'!F1219)</f>
        <v/>
      </c>
      <c r="E1219">
        <f>IF(ISBLANK('ENGAGEMENTS 2026'!B1219),"",'ENGAGEMENTS 2026'!H1219)</f>
        <v/>
      </c>
      <c r="F1219">
        <f>IF(ISBLANK('ENGAGEMENTS 2026'!B1219),"",'ENGAGEMENTS 2026'!I1219)</f>
        <v/>
      </c>
      <c r="G1219">
        <f>IF(ISBLANK('ENGAGEMENTS 2026'!B1219),"",'ENGAGEMENTS 2026'!L1219)</f>
        <v/>
      </c>
      <c r="H1219">
        <f>IF(ISBLANK('ENGAGEMENTS 2026'!B1219),"",'ENGAGEMENTS 2026'!AE1219)</f>
        <v/>
      </c>
      <c r="I1219">
        <f>IF(ISBLANK('ENGAGEMENTS 2026'!B1219),"",'ENGAGEMENTS 2026'!G1219)</f>
        <v/>
      </c>
      <c r="J1219" s="275">
        <f>IF(ISBLANK('ENGAGEMENTS 2026'!B1219),"",IF(AND(OR($E1219="INFRUCTUEUX",$E1219="ANNULE"),$C1219="AOO-M"),'ENGAGEMENTS 2026'!O1219,IF($H1219="EN COURS DE PREENGAGEMENT",'ENGAGEMENTS 2026'!N1219,IF($H1219="PREENGAGE",IF($E1219="ATTRIBUE",'ENGAGEMENTS 2026'!AD1219,'ENGAGEMENTS 2026'!N1219),'ENGAGEMENTS 2026'!AD1219))))</f>
        <v/>
      </c>
      <c r="K1219" s="604">
        <f>IF(ISBLANK('ENGAGEMENTS 2026'!V1219),"",'ENGAGEMENTS 2026'!V1219)</f>
        <v/>
      </c>
      <c r="L1219" s="276">
        <f>IF($K1219="","",TODAY()-$K1219)</f>
        <v/>
      </c>
      <c r="M1219">
        <f>IF($A1219="","",IF($H1219="ENGAGE","Engagé",IF(AND($H1219="NON ENGAGE",OR($I1219="INFRUCTUEUX",$I1219="ANNULE")),"Clôturé sans suite","En cours")))</f>
        <v/>
      </c>
      <c r="N1219">
        <f>IF(ISBLANK('ENGAGEMENTS 2026'!B1219),"",'ENGAGEMENTS 2026'!K1219)</f>
        <v/>
      </c>
      <c r="O1219">
        <f>IF(ISBLANK('ENGAGEMENTS 2026'!B1219),"",'ENGAGEMENTS 2026'!L1219)</f>
        <v/>
      </c>
      <c r="P1219">
        <f>IF(ISBLANK('ENGAGEMENTS 2026'!B1219),"",'ENGAGEMENTS 2026'!J1219)</f>
        <v/>
      </c>
      <c r="Q1219">
        <f>IF($A1219="","",IF(OR($E1219="INFRUCTUEUX",$E1219="ANNULE"),$A1219&amp;"|"&amp;(COUNTIFS($A$2:$A1219,$A1219,$E$2:$E1219,"INFRUCTUEUX")+COUNTIFS($A$2:$A1219,$A1219,$E$2:$E1219,"ANNULE")),""))</f>
        <v/>
      </c>
    </row>
    <row r="1220">
      <c r="A1220">
        <f>IF(ISBLANK('ENGAGEMENTS 2026'!B1220),"",IF('ENGAGEMENTS 2026'!B1220="DTSI","DCT",'ENGAGEMENTS 2026'!B1220))</f>
        <v/>
      </c>
      <c r="B1220">
        <f>IF(ISBLANK('ENGAGEMENTS 2026'!B1220),"",'ENGAGEMENTS 2026'!C1220)</f>
        <v/>
      </c>
      <c r="C1220">
        <f>IF(ISBLANK('ENGAGEMENTS 2026'!B1220),"",'ENGAGEMENTS 2026'!D1220)</f>
        <v/>
      </c>
      <c r="D1220">
        <f>IF(ISBLANK('ENGAGEMENTS 2026'!B1220),"",'ENGAGEMENTS 2026'!F1220)</f>
        <v/>
      </c>
      <c r="E1220">
        <f>IF(ISBLANK('ENGAGEMENTS 2026'!B1220),"",'ENGAGEMENTS 2026'!H1220)</f>
        <v/>
      </c>
      <c r="F1220">
        <f>IF(ISBLANK('ENGAGEMENTS 2026'!B1220),"",'ENGAGEMENTS 2026'!I1220)</f>
        <v/>
      </c>
      <c r="G1220">
        <f>IF(ISBLANK('ENGAGEMENTS 2026'!B1220),"",'ENGAGEMENTS 2026'!L1220)</f>
        <v/>
      </c>
      <c r="H1220">
        <f>IF(ISBLANK('ENGAGEMENTS 2026'!B1220),"",'ENGAGEMENTS 2026'!AE1220)</f>
        <v/>
      </c>
      <c r="I1220">
        <f>IF(ISBLANK('ENGAGEMENTS 2026'!B1220),"",'ENGAGEMENTS 2026'!G1220)</f>
        <v/>
      </c>
      <c r="J1220" s="275">
        <f>IF(ISBLANK('ENGAGEMENTS 2026'!B1220),"",IF(AND(OR($E1220="INFRUCTUEUX",$E1220="ANNULE"),$C1220="AOO-M"),'ENGAGEMENTS 2026'!O1220,IF($H1220="EN COURS DE PREENGAGEMENT",'ENGAGEMENTS 2026'!N1220,IF($H1220="PREENGAGE",IF($E1220="ATTRIBUE",'ENGAGEMENTS 2026'!AD1220,'ENGAGEMENTS 2026'!N1220),'ENGAGEMENTS 2026'!AD1220))))</f>
        <v/>
      </c>
      <c r="K1220" s="604">
        <f>IF(ISBLANK('ENGAGEMENTS 2026'!V1220),"",'ENGAGEMENTS 2026'!V1220)</f>
        <v/>
      </c>
      <c r="L1220" s="276">
        <f>IF($K1220="","",TODAY()-$K1220)</f>
        <v/>
      </c>
      <c r="M1220">
        <f>IF($A1220="","",IF($H1220="ENGAGE","Engagé",IF(AND($H1220="NON ENGAGE",OR($I1220="INFRUCTUEUX",$I1220="ANNULE")),"Clôturé sans suite","En cours")))</f>
        <v/>
      </c>
      <c r="N1220">
        <f>IF(ISBLANK('ENGAGEMENTS 2026'!B1220),"",'ENGAGEMENTS 2026'!K1220)</f>
        <v/>
      </c>
      <c r="O1220">
        <f>IF(ISBLANK('ENGAGEMENTS 2026'!B1220),"",'ENGAGEMENTS 2026'!L1220)</f>
        <v/>
      </c>
      <c r="P1220">
        <f>IF(ISBLANK('ENGAGEMENTS 2026'!B1220),"",'ENGAGEMENTS 2026'!J1220)</f>
        <v/>
      </c>
      <c r="Q1220">
        <f>IF($A1220="","",IF(OR($E1220="INFRUCTUEUX",$E1220="ANNULE"),$A1220&amp;"|"&amp;(COUNTIFS($A$2:$A1220,$A1220,$E$2:$E1220,"INFRUCTUEUX")+COUNTIFS($A$2:$A1220,$A1220,$E$2:$E1220,"ANNULE")),""))</f>
        <v/>
      </c>
    </row>
    <row r="1221">
      <c r="A1221">
        <f>IF(ISBLANK('ENGAGEMENTS 2026'!B1221),"",IF('ENGAGEMENTS 2026'!B1221="DTSI","DCT",'ENGAGEMENTS 2026'!B1221))</f>
        <v/>
      </c>
      <c r="B1221">
        <f>IF(ISBLANK('ENGAGEMENTS 2026'!B1221),"",'ENGAGEMENTS 2026'!C1221)</f>
        <v/>
      </c>
      <c r="C1221">
        <f>IF(ISBLANK('ENGAGEMENTS 2026'!B1221),"",'ENGAGEMENTS 2026'!D1221)</f>
        <v/>
      </c>
      <c r="D1221">
        <f>IF(ISBLANK('ENGAGEMENTS 2026'!B1221),"",'ENGAGEMENTS 2026'!F1221)</f>
        <v/>
      </c>
      <c r="E1221">
        <f>IF(ISBLANK('ENGAGEMENTS 2026'!B1221),"",'ENGAGEMENTS 2026'!H1221)</f>
        <v/>
      </c>
      <c r="F1221">
        <f>IF(ISBLANK('ENGAGEMENTS 2026'!B1221),"",'ENGAGEMENTS 2026'!I1221)</f>
        <v/>
      </c>
      <c r="G1221">
        <f>IF(ISBLANK('ENGAGEMENTS 2026'!B1221),"",'ENGAGEMENTS 2026'!L1221)</f>
        <v/>
      </c>
      <c r="H1221">
        <f>IF(ISBLANK('ENGAGEMENTS 2026'!B1221),"",'ENGAGEMENTS 2026'!AE1221)</f>
        <v/>
      </c>
      <c r="I1221">
        <f>IF(ISBLANK('ENGAGEMENTS 2026'!B1221),"",'ENGAGEMENTS 2026'!G1221)</f>
        <v/>
      </c>
      <c r="J1221" s="275">
        <f>IF(ISBLANK('ENGAGEMENTS 2026'!B1221),"",IF(AND(OR($E1221="INFRUCTUEUX",$E1221="ANNULE"),$C1221="AOO-M"),'ENGAGEMENTS 2026'!O1221,IF($H1221="EN COURS DE PREENGAGEMENT",'ENGAGEMENTS 2026'!N1221,IF($H1221="PREENGAGE",IF($E1221="ATTRIBUE",'ENGAGEMENTS 2026'!AD1221,'ENGAGEMENTS 2026'!N1221),'ENGAGEMENTS 2026'!AD1221))))</f>
        <v/>
      </c>
      <c r="K1221" s="604">
        <f>IF(ISBLANK('ENGAGEMENTS 2026'!V1221),"",'ENGAGEMENTS 2026'!V1221)</f>
        <v/>
      </c>
      <c r="L1221" s="276">
        <f>IF($K1221="","",TODAY()-$K1221)</f>
        <v/>
      </c>
      <c r="M1221">
        <f>IF($A1221="","",IF($H1221="ENGAGE","Engagé",IF(AND($H1221="NON ENGAGE",OR($I1221="INFRUCTUEUX",$I1221="ANNULE")),"Clôturé sans suite","En cours")))</f>
        <v/>
      </c>
      <c r="N1221">
        <f>IF(ISBLANK('ENGAGEMENTS 2026'!B1221),"",'ENGAGEMENTS 2026'!K1221)</f>
        <v/>
      </c>
      <c r="O1221">
        <f>IF(ISBLANK('ENGAGEMENTS 2026'!B1221),"",'ENGAGEMENTS 2026'!L1221)</f>
        <v/>
      </c>
      <c r="P1221">
        <f>IF(ISBLANK('ENGAGEMENTS 2026'!B1221),"",'ENGAGEMENTS 2026'!J1221)</f>
        <v/>
      </c>
      <c r="Q1221">
        <f>IF($A1221="","",IF(OR($E1221="INFRUCTUEUX",$E1221="ANNULE"),$A1221&amp;"|"&amp;(COUNTIFS($A$2:$A1221,$A1221,$E$2:$E1221,"INFRUCTUEUX")+COUNTIFS($A$2:$A1221,$A1221,$E$2:$E1221,"ANNULE")),""))</f>
        <v/>
      </c>
    </row>
    <row r="1222">
      <c r="A1222">
        <f>IF(ISBLANK('ENGAGEMENTS 2026'!B1222),"",IF('ENGAGEMENTS 2026'!B1222="DTSI","DCT",'ENGAGEMENTS 2026'!B1222))</f>
        <v/>
      </c>
      <c r="B1222">
        <f>IF(ISBLANK('ENGAGEMENTS 2026'!B1222),"",'ENGAGEMENTS 2026'!C1222)</f>
        <v/>
      </c>
      <c r="C1222">
        <f>IF(ISBLANK('ENGAGEMENTS 2026'!B1222),"",'ENGAGEMENTS 2026'!D1222)</f>
        <v/>
      </c>
      <c r="D1222">
        <f>IF(ISBLANK('ENGAGEMENTS 2026'!B1222),"",'ENGAGEMENTS 2026'!F1222)</f>
        <v/>
      </c>
      <c r="E1222">
        <f>IF(ISBLANK('ENGAGEMENTS 2026'!B1222),"",'ENGAGEMENTS 2026'!H1222)</f>
        <v/>
      </c>
      <c r="F1222">
        <f>IF(ISBLANK('ENGAGEMENTS 2026'!B1222),"",'ENGAGEMENTS 2026'!I1222)</f>
        <v/>
      </c>
      <c r="G1222">
        <f>IF(ISBLANK('ENGAGEMENTS 2026'!B1222),"",'ENGAGEMENTS 2026'!L1222)</f>
        <v/>
      </c>
      <c r="H1222">
        <f>IF(ISBLANK('ENGAGEMENTS 2026'!B1222),"",'ENGAGEMENTS 2026'!AE1222)</f>
        <v/>
      </c>
      <c r="I1222">
        <f>IF(ISBLANK('ENGAGEMENTS 2026'!B1222),"",'ENGAGEMENTS 2026'!G1222)</f>
        <v/>
      </c>
      <c r="J1222" s="275">
        <f>IF(ISBLANK('ENGAGEMENTS 2026'!B1222),"",IF(AND(OR($E1222="INFRUCTUEUX",$E1222="ANNULE"),$C1222="AOO-M"),'ENGAGEMENTS 2026'!O1222,IF($H1222="EN COURS DE PREENGAGEMENT",'ENGAGEMENTS 2026'!N1222,IF($H1222="PREENGAGE",IF($E1222="ATTRIBUE",'ENGAGEMENTS 2026'!AD1222,'ENGAGEMENTS 2026'!N1222),'ENGAGEMENTS 2026'!AD1222))))</f>
        <v/>
      </c>
      <c r="K1222" s="604">
        <f>IF(ISBLANK('ENGAGEMENTS 2026'!V1222),"",'ENGAGEMENTS 2026'!V1222)</f>
        <v/>
      </c>
      <c r="L1222" s="276">
        <f>IF($K1222="","",TODAY()-$K1222)</f>
        <v/>
      </c>
      <c r="M1222">
        <f>IF($A1222="","",IF($H1222="ENGAGE","Engagé",IF(AND($H1222="NON ENGAGE",OR($I1222="INFRUCTUEUX",$I1222="ANNULE")),"Clôturé sans suite","En cours")))</f>
        <v/>
      </c>
      <c r="N1222">
        <f>IF(ISBLANK('ENGAGEMENTS 2026'!B1222),"",'ENGAGEMENTS 2026'!K1222)</f>
        <v/>
      </c>
      <c r="O1222">
        <f>IF(ISBLANK('ENGAGEMENTS 2026'!B1222),"",'ENGAGEMENTS 2026'!L1222)</f>
        <v/>
      </c>
      <c r="P1222">
        <f>IF(ISBLANK('ENGAGEMENTS 2026'!B1222),"",'ENGAGEMENTS 2026'!J1222)</f>
        <v/>
      </c>
      <c r="Q1222">
        <f>IF($A1222="","",IF(OR($E1222="INFRUCTUEUX",$E1222="ANNULE"),$A1222&amp;"|"&amp;(COUNTIFS($A$2:$A1222,$A1222,$E$2:$E1222,"INFRUCTUEUX")+COUNTIFS($A$2:$A1222,$A1222,$E$2:$E1222,"ANNULE")),""))</f>
        <v/>
      </c>
    </row>
    <row r="1223">
      <c r="A1223">
        <f>IF(ISBLANK('ENGAGEMENTS 2026'!B1223),"",IF('ENGAGEMENTS 2026'!B1223="DTSI","DCT",'ENGAGEMENTS 2026'!B1223))</f>
        <v/>
      </c>
      <c r="B1223">
        <f>IF(ISBLANK('ENGAGEMENTS 2026'!B1223),"",'ENGAGEMENTS 2026'!C1223)</f>
        <v/>
      </c>
      <c r="C1223">
        <f>IF(ISBLANK('ENGAGEMENTS 2026'!B1223),"",'ENGAGEMENTS 2026'!D1223)</f>
        <v/>
      </c>
      <c r="D1223">
        <f>IF(ISBLANK('ENGAGEMENTS 2026'!B1223),"",'ENGAGEMENTS 2026'!F1223)</f>
        <v/>
      </c>
      <c r="E1223">
        <f>IF(ISBLANK('ENGAGEMENTS 2026'!B1223),"",'ENGAGEMENTS 2026'!H1223)</f>
        <v/>
      </c>
      <c r="F1223">
        <f>IF(ISBLANK('ENGAGEMENTS 2026'!B1223),"",'ENGAGEMENTS 2026'!I1223)</f>
        <v/>
      </c>
      <c r="G1223">
        <f>IF(ISBLANK('ENGAGEMENTS 2026'!B1223),"",'ENGAGEMENTS 2026'!L1223)</f>
        <v/>
      </c>
      <c r="H1223">
        <f>IF(ISBLANK('ENGAGEMENTS 2026'!B1223),"",'ENGAGEMENTS 2026'!AE1223)</f>
        <v/>
      </c>
      <c r="I1223">
        <f>IF(ISBLANK('ENGAGEMENTS 2026'!B1223),"",'ENGAGEMENTS 2026'!G1223)</f>
        <v/>
      </c>
      <c r="J1223" s="275">
        <f>IF(ISBLANK('ENGAGEMENTS 2026'!B1223),"",IF(AND(OR($E1223="INFRUCTUEUX",$E1223="ANNULE"),$C1223="AOO-M"),'ENGAGEMENTS 2026'!O1223,IF($H1223="EN COURS DE PREENGAGEMENT",'ENGAGEMENTS 2026'!N1223,IF($H1223="PREENGAGE",IF($E1223="ATTRIBUE",'ENGAGEMENTS 2026'!AD1223,'ENGAGEMENTS 2026'!N1223),'ENGAGEMENTS 2026'!AD1223))))</f>
        <v/>
      </c>
      <c r="K1223" s="604">
        <f>IF(ISBLANK('ENGAGEMENTS 2026'!V1223),"",'ENGAGEMENTS 2026'!V1223)</f>
        <v/>
      </c>
      <c r="L1223" s="276">
        <f>IF($K1223="","",TODAY()-$K1223)</f>
        <v/>
      </c>
      <c r="M1223">
        <f>IF($A1223="","",IF($H1223="ENGAGE","Engagé",IF(AND($H1223="NON ENGAGE",OR($I1223="INFRUCTUEUX",$I1223="ANNULE")),"Clôturé sans suite","En cours")))</f>
        <v/>
      </c>
      <c r="N1223">
        <f>IF(ISBLANK('ENGAGEMENTS 2026'!B1223),"",'ENGAGEMENTS 2026'!K1223)</f>
        <v/>
      </c>
      <c r="O1223">
        <f>IF(ISBLANK('ENGAGEMENTS 2026'!B1223),"",'ENGAGEMENTS 2026'!L1223)</f>
        <v/>
      </c>
      <c r="P1223">
        <f>IF(ISBLANK('ENGAGEMENTS 2026'!B1223),"",'ENGAGEMENTS 2026'!J1223)</f>
        <v/>
      </c>
      <c r="Q1223">
        <f>IF($A1223="","",IF(OR($E1223="INFRUCTUEUX",$E1223="ANNULE"),$A1223&amp;"|"&amp;(COUNTIFS($A$2:$A1223,$A1223,$E$2:$E1223,"INFRUCTUEUX")+COUNTIFS($A$2:$A1223,$A1223,$E$2:$E1223,"ANNULE")),""))</f>
        <v/>
      </c>
    </row>
    <row r="1224">
      <c r="A1224">
        <f>IF(ISBLANK('ENGAGEMENTS 2026'!B1224),"",IF('ENGAGEMENTS 2026'!B1224="DTSI","DCT",'ENGAGEMENTS 2026'!B1224))</f>
        <v/>
      </c>
      <c r="B1224">
        <f>IF(ISBLANK('ENGAGEMENTS 2026'!B1224),"",'ENGAGEMENTS 2026'!C1224)</f>
        <v/>
      </c>
      <c r="C1224">
        <f>IF(ISBLANK('ENGAGEMENTS 2026'!B1224),"",'ENGAGEMENTS 2026'!D1224)</f>
        <v/>
      </c>
      <c r="D1224">
        <f>IF(ISBLANK('ENGAGEMENTS 2026'!B1224),"",'ENGAGEMENTS 2026'!F1224)</f>
        <v/>
      </c>
      <c r="E1224">
        <f>IF(ISBLANK('ENGAGEMENTS 2026'!B1224),"",'ENGAGEMENTS 2026'!H1224)</f>
        <v/>
      </c>
      <c r="F1224">
        <f>IF(ISBLANK('ENGAGEMENTS 2026'!B1224),"",'ENGAGEMENTS 2026'!I1224)</f>
        <v/>
      </c>
      <c r="G1224">
        <f>IF(ISBLANK('ENGAGEMENTS 2026'!B1224),"",'ENGAGEMENTS 2026'!L1224)</f>
        <v/>
      </c>
      <c r="H1224">
        <f>IF(ISBLANK('ENGAGEMENTS 2026'!B1224),"",'ENGAGEMENTS 2026'!AE1224)</f>
        <v/>
      </c>
      <c r="I1224">
        <f>IF(ISBLANK('ENGAGEMENTS 2026'!B1224),"",'ENGAGEMENTS 2026'!G1224)</f>
        <v/>
      </c>
      <c r="J1224" s="275">
        <f>IF(ISBLANK('ENGAGEMENTS 2026'!B1224),"",IF(AND(OR($E1224="INFRUCTUEUX",$E1224="ANNULE"),$C1224="AOO-M"),'ENGAGEMENTS 2026'!O1224,IF($H1224="EN COURS DE PREENGAGEMENT",'ENGAGEMENTS 2026'!N1224,IF($H1224="PREENGAGE",IF($E1224="ATTRIBUE",'ENGAGEMENTS 2026'!AD1224,'ENGAGEMENTS 2026'!N1224),'ENGAGEMENTS 2026'!AD1224))))</f>
        <v/>
      </c>
      <c r="K1224" s="604">
        <f>IF(ISBLANK('ENGAGEMENTS 2026'!V1224),"",'ENGAGEMENTS 2026'!V1224)</f>
        <v/>
      </c>
      <c r="L1224" s="276">
        <f>IF($K1224="","",TODAY()-$K1224)</f>
        <v/>
      </c>
      <c r="M1224">
        <f>IF($A1224="","",IF($H1224="ENGAGE","Engagé",IF(AND($H1224="NON ENGAGE",OR($I1224="INFRUCTUEUX",$I1224="ANNULE")),"Clôturé sans suite","En cours")))</f>
        <v/>
      </c>
      <c r="N1224">
        <f>IF(ISBLANK('ENGAGEMENTS 2026'!B1224),"",'ENGAGEMENTS 2026'!K1224)</f>
        <v/>
      </c>
      <c r="O1224">
        <f>IF(ISBLANK('ENGAGEMENTS 2026'!B1224),"",'ENGAGEMENTS 2026'!L1224)</f>
        <v/>
      </c>
      <c r="P1224">
        <f>IF(ISBLANK('ENGAGEMENTS 2026'!B1224),"",'ENGAGEMENTS 2026'!J1224)</f>
        <v/>
      </c>
      <c r="Q1224">
        <f>IF($A1224="","",IF(OR($E1224="INFRUCTUEUX",$E1224="ANNULE"),$A1224&amp;"|"&amp;(COUNTIFS($A$2:$A1224,$A1224,$E$2:$E1224,"INFRUCTUEUX")+COUNTIFS($A$2:$A1224,$A1224,$E$2:$E1224,"ANNULE")),""))</f>
        <v/>
      </c>
    </row>
    <row r="1225">
      <c r="A1225">
        <f>IF(ISBLANK('ENGAGEMENTS 2026'!B1225),"",IF('ENGAGEMENTS 2026'!B1225="DTSI","DCT",'ENGAGEMENTS 2026'!B1225))</f>
        <v/>
      </c>
      <c r="B1225">
        <f>IF(ISBLANK('ENGAGEMENTS 2026'!B1225),"",'ENGAGEMENTS 2026'!C1225)</f>
        <v/>
      </c>
      <c r="C1225">
        <f>IF(ISBLANK('ENGAGEMENTS 2026'!B1225),"",'ENGAGEMENTS 2026'!D1225)</f>
        <v/>
      </c>
      <c r="D1225">
        <f>IF(ISBLANK('ENGAGEMENTS 2026'!B1225),"",'ENGAGEMENTS 2026'!F1225)</f>
        <v/>
      </c>
      <c r="E1225">
        <f>IF(ISBLANK('ENGAGEMENTS 2026'!B1225),"",'ENGAGEMENTS 2026'!H1225)</f>
        <v/>
      </c>
      <c r="F1225">
        <f>IF(ISBLANK('ENGAGEMENTS 2026'!B1225),"",'ENGAGEMENTS 2026'!I1225)</f>
        <v/>
      </c>
      <c r="G1225">
        <f>IF(ISBLANK('ENGAGEMENTS 2026'!B1225),"",'ENGAGEMENTS 2026'!L1225)</f>
        <v/>
      </c>
      <c r="H1225">
        <f>IF(ISBLANK('ENGAGEMENTS 2026'!B1225),"",'ENGAGEMENTS 2026'!AE1225)</f>
        <v/>
      </c>
      <c r="I1225">
        <f>IF(ISBLANK('ENGAGEMENTS 2026'!B1225),"",'ENGAGEMENTS 2026'!G1225)</f>
        <v/>
      </c>
      <c r="J1225" s="275">
        <f>IF(ISBLANK('ENGAGEMENTS 2026'!B1225),"",IF(AND(OR($E1225="INFRUCTUEUX",$E1225="ANNULE"),$C1225="AOO-M"),'ENGAGEMENTS 2026'!O1225,IF($H1225="EN COURS DE PREENGAGEMENT",'ENGAGEMENTS 2026'!N1225,IF($H1225="PREENGAGE",IF($E1225="ATTRIBUE",'ENGAGEMENTS 2026'!AD1225,'ENGAGEMENTS 2026'!N1225),'ENGAGEMENTS 2026'!AD1225))))</f>
        <v/>
      </c>
      <c r="K1225" s="604">
        <f>IF(ISBLANK('ENGAGEMENTS 2026'!V1225),"",'ENGAGEMENTS 2026'!V1225)</f>
        <v/>
      </c>
      <c r="L1225" s="276">
        <f>IF($K1225="","",TODAY()-$K1225)</f>
        <v/>
      </c>
      <c r="M1225">
        <f>IF($A1225="","",IF($H1225="ENGAGE","Engagé",IF(AND($H1225="NON ENGAGE",OR($I1225="INFRUCTUEUX",$I1225="ANNULE")),"Clôturé sans suite","En cours")))</f>
        <v/>
      </c>
      <c r="N1225">
        <f>IF(ISBLANK('ENGAGEMENTS 2026'!B1225),"",'ENGAGEMENTS 2026'!K1225)</f>
        <v/>
      </c>
      <c r="O1225">
        <f>IF(ISBLANK('ENGAGEMENTS 2026'!B1225),"",'ENGAGEMENTS 2026'!L1225)</f>
        <v/>
      </c>
      <c r="P1225">
        <f>IF(ISBLANK('ENGAGEMENTS 2026'!B1225),"",'ENGAGEMENTS 2026'!J1225)</f>
        <v/>
      </c>
      <c r="Q1225">
        <f>IF($A1225="","",IF(OR($E1225="INFRUCTUEUX",$E1225="ANNULE"),$A1225&amp;"|"&amp;(COUNTIFS($A$2:$A1225,$A1225,$E$2:$E1225,"INFRUCTUEUX")+COUNTIFS($A$2:$A1225,$A1225,$E$2:$E1225,"ANNULE")),""))</f>
        <v/>
      </c>
    </row>
    <row r="1226">
      <c r="A1226">
        <f>IF(ISBLANK('ENGAGEMENTS 2026'!B1226),"",IF('ENGAGEMENTS 2026'!B1226="DTSI","DCT",'ENGAGEMENTS 2026'!B1226))</f>
        <v/>
      </c>
      <c r="B1226">
        <f>IF(ISBLANK('ENGAGEMENTS 2026'!B1226),"",'ENGAGEMENTS 2026'!C1226)</f>
        <v/>
      </c>
      <c r="C1226">
        <f>IF(ISBLANK('ENGAGEMENTS 2026'!B1226),"",'ENGAGEMENTS 2026'!D1226)</f>
        <v/>
      </c>
      <c r="D1226">
        <f>IF(ISBLANK('ENGAGEMENTS 2026'!B1226),"",'ENGAGEMENTS 2026'!F1226)</f>
        <v/>
      </c>
      <c r="E1226">
        <f>IF(ISBLANK('ENGAGEMENTS 2026'!B1226),"",'ENGAGEMENTS 2026'!H1226)</f>
        <v/>
      </c>
      <c r="F1226">
        <f>IF(ISBLANK('ENGAGEMENTS 2026'!B1226),"",'ENGAGEMENTS 2026'!I1226)</f>
        <v/>
      </c>
      <c r="G1226">
        <f>IF(ISBLANK('ENGAGEMENTS 2026'!B1226),"",'ENGAGEMENTS 2026'!L1226)</f>
        <v/>
      </c>
      <c r="H1226">
        <f>IF(ISBLANK('ENGAGEMENTS 2026'!B1226),"",'ENGAGEMENTS 2026'!AE1226)</f>
        <v/>
      </c>
      <c r="I1226">
        <f>IF(ISBLANK('ENGAGEMENTS 2026'!B1226),"",'ENGAGEMENTS 2026'!G1226)</f>
        <v/>
      </c>
      <c r="J1226" s="275">
        <f>IF(ISBLANK('ENGAGEMENTS 2026'!B1226),"",IF(AND(OR($E1226="INFRUCTUEUX",$E1226="ANNULE"),$C1226="AOO-M"),'ENGAGEMENTS 2026'!O1226,IF($H1226="EN COURS DE PREENGAGEMENT",'ENGAGEMENTS 2026'!N1226,IF($H1226="PREENGAGE",IF($E1226="ATTRIBUE",'ENGAGEMENTS 2026'!AD1226,'ENGAGEMENTS 2026'!N1226),'ENGAGEMENTS 2026'!AD1226))))</f>
        <v/>
      </c>
      <c r="K1226" s="604">
        <f>IF(ISBLANK('ENGAGEMENTS 2026'!V1226),"",'ENGAGEMENTS 2026'!V1226)</f>
        <v/>
      </c>
      <c r="L1226" s="276">
        <f>IF($K1226="","",TODAY()-$K1226)</f>
        <v/>
      </c>
      <c r="M1226">
        <f>IF($A1226="","",IF($H1226="ENGAGE","Engagé",IF(AND($H1226="NON ENGAGE",OR($I1226="INFRUCTUEUX",$I1226="ANNULE")),"Clôturé sans suite","En cours")))</f>
        <v/>
      </c>
      <c r="N1226">
        <f>IF(ISBLANK('ENGAGEMENTS 2026'!B1226),"",'ENGAGEMENTS 2026'!K1226)</f>
        <v/>
      </c>
      <c r="O1226">
        <f>IF(ISBLANK('ENGAGEMENTS 2026'!B1226),"",'ENGAGEMENTS 2026'!L1226)</f>
        <v/>
      </c>
      <c r="P1226">
        <f>IF(ISBLANK('ENGAGEMENTS 2026'!B1226),"",'ENGAGEMENTS 2026'!J1226)</f>
        <v/>
      </c>
      <c r="Q1226">
        <f>IF($A1226="","",IF(OR($E1226="INFRUCTUEUX",$E1226="ANNULE"),$A1226&amp;"|"&amp;(COUNTIFS($A$2:$A1226,$A1226,$E$2:$E1226,"INFRUCTUEUX")+COUNTIFS($A$2:$A1226,$A1226,$E$2:$E1226,"ANNULE")),""))</f>
        <v/>
      </c>
    </row>
    <row r="1227">
      <c r="A1227">
        <f>IF(ISBLANK('ENGAGEMENTS 2026'!B1227),"",IF('ENGAGEMENTS 2026'!B1227="DTSI","DCT",'ENGAGEMENTS 2026'!B1227))</f>
        <v/>
      </c>
      <c r="B1227">
        <f>IF(ISBLANK('ENGAGEMENTS 2026'!B1227),"",'ENGAGEMENTS 2026'!C1227)</f>
        <v/>
      </c>
      <c r="C1227">
        <f>IF(ISBLANK('ENGAGEMENTS 2026'!B1227),"",'ENGAGEMENTS 2026'!D1227)</f>
        <v/>
      </c>
      <c r="D1227">
        <f>IF(ISBLANK('ENGAGEMENTS 2026'!B1227),"",'ENGAGEMENTS 2026'!F1227)</f>
        <v/>
      </c>
      <c r="E1227">
        <f>IF(ISBLANK('ENGAGEMENTS 2026'!B1227),"",'ENGAGEMENTS 2026'!H1227)</f>
        <v/>
      </c>
      <c r="F1227">
        <f>IF(ISBLANK('ENGAGEMENTS 2026'!B1227),"",'ENGAGEMENTS 2026'!I1227)</f>
        <v/>
      </c>
      <c r="G1227">
        <f>IF(ISBLANK('ENGAGEMENTS 2026'!B1227),"",'ENGAGEMENTS 2026'!L1227)</f>
        <v/>
      </c>
      <c r="H1227">
        <f>IF(ISBLANK('ENGAGEMENTS 2026'!B1227),"",'ENGAGEMENTS 2026'!AE1227)</f>
        <v/>
      </c>
      <c r="I1227">
        <f>IF(ISBLANK('ENGAGEMENTS 2026'!B1227),"",'ENGAGEMENTS 2026'!G1227)</f>
        <v/>
      </c>
      <c r="J1227" s="275">
        <f>IF(ISBLANK('ENGAGEMENTS 2026'!B1227),"",IF(AND(OR($E1227="INFRUCTUEUX",$E1227="ANNULE"),$C1227="AOO-M"),'ENGAGEMENTS 2026'!O1227,IF($H1227="EN COURS DE PREENGAGEMENT",'ENGAGEMENTS 2026'!N1227,IF($H1227="PREENGAGE",IF($E1227="ATTRIBUE",'ENGAGEMENTS 2026'!AD1227,'ENGAGEMENTS 2026'!N1227),'ENGAGEMENTS 2026'!AD1227))))</f>
        <v/>
      </c>
      <c r="K1227" s="604">
        <f>IF(ISBLANK('ENGAGEMENTS 2026'!V1227),"",'ENGAGEMENTS 2026'!V1227)</f>
        <v/>
      </c>
      <c r="L1227" s="276">
        <f>IF($K1227="","",TODAY()-$K1227)</f>
        <v/>
      </c>
      <c r="M1227">
        <f>IF($A1227="","",IF($H1227="ENGAGE","Engagé",IF(AND($H1227="NON ENGAGE",OR($I1227="INFRUCTUEUX",$I1227="ANNULE")),"Clôturé sans suite","En cours")))</f>
        <v/>
      </c>
      <c r="N1227">
        <f>IF(ISBLANK('ENGAGEMENTS 2026'!B1227),"",'ENGAGEMENTS 2026'!K1227)</f>
        <v/>
      </c>
      <c r="O1227">
        <f>IF(ISBLANK('ENGAGEMENTS 2026'!B1227),"",'ENGAGEMENTS 2026'!L1227)</f>
        <v/>
      </c>
      <c r="P1227">
        <f>IF(ISBLANK('ENGAGEMENTS 2026'!B1227),"",'ENGAGEMENTS 2026'!J1227)</f>
        <v/>
      </c>
      <c r="Q1227">
        <f>IF($A1227="","",IF(OR($E1227="INFRUCTUEUX",$E1227="ANNULE"),$A1227&amp;"|"&amp;(COUNTIFS($A$2:$A1227,$A1227,$E$2:$E1227,"INFRUCTUEUX")+COUNTIFS($A$2:$A1227,$A1227,$E$2:$E1227,"ANNULE")),""))</f>
        <v/>
      </c>
    </row>
    <row r="1228">
      <c r="A1228">
        <f>IF(ISBLANK('ENGAGEMENTS 2026'!B1228),"",IF('ENGAGEMENTS 2026'!B1228="DTSI","DCT",'ENGAGEMENTS 2026'!B1228))</f>
        <v/>
      </c>
      <c r="B1228">
        <f>IF(ISBLANK('ENGAGEMENTS 2026'!B1228),"",'ENGAGEMENTS 2026'!C1228)</f>
        <v/>
      </c>
      <c r="C1228">
        <f>IF(ISBLANK('ENGAGEMENTS 2026'!B1228),"",'ENGAGEMENTS 2026'!D1228)</f>
        <v/>
      </c>
      <c r="D1228">
        <f>IF(ISBLANK('ENGAGEMENTS 2026'!B1228),"",'ENGAGEMENTS 2026'!F1228)</f>
        <v/>
      </c>
      <c r="E1228">
        <f>IF(ISBLANK('ENGAGEMENTS 2026'!B1228),"",'ENGAGEMENTS 2026'!H1228)</f>
        <v/>
      </c>
      <c r="F1228">
        <f>IF(ISBLANK('ENGAGEMENTS 2026'!B1228),"",'ENGAGEMENTS 2026'!I1228)</f>
        <v/>
      </c>
      <c r="G1228">
        <f>IF(ISBLANK('ENGAGEMENTS 2026'!B1228),"",'ENGAGEMENTS 2026'!L1228)</f>
        <v/>
      </c>
      <c r="H1228">
        <f>IF(ISBLANK('ENGAGEMENTS 2026'!B1228),"",'ENGAGEMENTS 2026'!AE1228)</f>
        <v/>
      </c>
      <c r="I1228">
        <f>IF(ISBLANK('ENGAGEMENTS 2026'!B1228),"",'ENGAGEMENTS 2026'!G1228)</f>
        <v/>
      </c>
      <c r="J1228" s="275">
        <f>IF(ISBLANK('ENGAGEMENTS 2026'!B1228),"",IF(AND(OR($E1228="INFRUCTUEUX",$E1228="ANNULE"),$C1228="AOO-M"),'ENGAGEMENTS 2026'!O1228,IF($H1228="EN COURS DE PREENGAGEMENT",'ENGAGEMENTS 2026'!N1228,IF($H1228="PREENGAGE",IF($E1228="ATTRIBUE",'ENGAGEMENTS 2026'!AD1228,'ENGAGEMENTS 2026'!N1228),'ENGAGEMENTS 2026'!AD1228))))</f>
        <v/>
      </c>
      <c r="K1228" s="604">
        <f>IF(ISBLANK('ENGAGEMENTS 2026'!V1228),"",'ENGAGEMENTS 2026'!V1228)</f>
        <v/>
      </c>
      <c r="L1228" s="276">
        <f>IF($K1228="","",TODAY()-$K1228)</f>
        <v/>
      </c>
      <c r="M1228">
        <f>IF($A1228="","",IF($H1228="ENGAGE","Engagé",IF(AND($H1228="NON ENGAGE",OR($I1228="INFRUCTUEUX",$I1228="ANNULE")),"Clôturé sans suite","En cours")))</f>
        <v/>
      </c>
      <c r="N1228">
        <f>IF(ISBLANK('ENGAGEMENTS 2026'!B1228),"",'ENGAGEMENTS 2026'!K1228)</f>
        <v/>
      </c>
      <c r="O1228">
        <f>IF(ISBLANK('ENGAGEMENTS 2026'!B1228),"",'ENGAGEMENTS 2026'!L1228)</f>
        <v/>
      </c>
      <c r="P1228">
        <f>IF(ISBLANK('ENGAGEMENTS 2026'!B1228),"",'ENGAGEMENTS 2026'!J1228)</f>
        <v/>
      </c>
      <c r="Q1228">
        <f>IF($A1228="","",IF(OR($E1228="INFRUCTUEUX",$E1228="ANNULE"),$A1228&amp;"|"&amp;(COUNTIFS($A$2:$A1228,$A1228,$E$2:$E1228,"INFRUCTUEUX")+COUNTIFS($A$2:$A1228,$A1228,$E$2:$E1228,"ANNULE")),""))</f>
        <v/>
      </c>
    </row>
    <row r="1229">
      <c r="A1229">
        <f>IF(ISBLANK('ENGAGEMENTS 2026'!B1229),"",IF('ENGAGEMENTS 2026'!B1229="DTSI","DCT",'ENGAGEMENTS 2026'!B1229))</f>
        <v/>
      </c>
      <c r="B1229">
        <f>IF(ISBLANK('ENGAGEMENTS 2026'!B1229),"",'ENGAGEMENTS 2026'!C1229)</f>
        <v/>
      </c>
      <c r="C1229">
        <f>IF(ISBLANK('ENGAGEMENTS 2026'!B1229),"",'ENGAGEMENTS 2026'!D1229)</f>
        <v/>
      </c>
      <c r="D1229">
        <f>IF(ISBLANK('ENGAGEMENTS 2026'!B1229),"",'ENGAGEMENTS 2026'!F1229)</f>
        <v/>
      </c>
      <c r="E1229">
        <f>IF(ISBLANK('ENGAGEMENTS 2026'!B1229),"",'ENGAGEMENTS 2026'!H1229)</f>
        <v/>
      </c>
      <c r="F1229">
        <f>IF(ISBLANK('ENGAGEMENTS 2026'!B1229),"",'ENGAGEMENTS 2026'!I1229)</f>
        <v/>
      </c>
      <c r="G1229">
        <f>IF(ISBLANK('ENGAGEMENTS 2026'!B1229),"",'ENGAGEMENTS 2026'!L1229)</f>
        <v/>
      </c>
      <c r="H1229">
        <f>IF(ISBLANK('ENGAGEMENTS 2026'!B1229),"",'ENGAGEMENTS 2026'!AE1229)</f>
        <v/>
      </c>
      <c r="I1229">
        <f>IF(ISBLANK('ENGAGEMENTS 2026'!B1229),"",'ENGAGEMENTS 2026'!G1229)</f>
        <v/>
      </c>
      <c r="J1229" s="275">
        <f>IF(ISBLANK('ENGAGEMENTS 2026'!B1229),"",IF(AND(OR($E1229="INFRUCTUEUX",$E1229="ANNULE"),$C1229="AOO-M"),'ENGAGEMENTS 2026'!O1229,IF($H1229="EN COURS DE PREENGAGEMENT",'ENGAGEMENTS 2026'!N1229,IF($H1229="PREENGAGE",IF($E1229="ATTRIBUE",'ENGAGEMENTS 2026'!AD1229,'ENGAGEMENTS 2026'!N1229),'ENGAGEMENTS 2026'!AD1229))))</f>
        <v/>
      </c>
      <c r="K1229" s="604">
        <f>IF(ISBLANK('ENGAGEMENTS 2026'!V1229),"",'ENGAGEMENTS 2026'!V1229)</f>
        <v/>
      </c>
      <c r="L1229" s="276">
        <f>IF($K1229="","",TODAY()-$K1229)</f>
        <v/>
      </c>
      <c r="M1229">
        <f>IF($A1229="","",IF($H1229="ENGAGE","Engagé",IF(AND($H1229="NON ENGAGE",OR($I1229="INFRUCTUEUX",$I1229="ANNULE")),"Clôturé sans suite","En cours")))</f>
        <v/>
      </c>
      <c r="N1229">
        <f>IF(ISBLANK('ENGAGEMENTS 2026'!B1229),"",'ENGAGEMENTS 2026'!K1229)</f>
        <v/>
      </c>
      <c r="O1229">
        <f>IF(ISBLANK('ENGAGEMENTS 2026'!B1229),"",'ENGAGEMENTS 2026'!L1229)</f>
        <v/>
      </c>
      <c r="P1229">
        <f>IF(ISBLANK('ENGAGEMENTS 2026'!B1229),"",'ENGAGEMENTS 2026'!J1229)</f>
        <v/>
      </c>
      <c r="Q1229">
        <f>IF($A1229="","",IF(OR($E1229="INFRUCTUEUX",$E1229="ANNULE"),$A1229&amp;"|"&amp;(COUNTIFS($A$2:$A1229,$A1229,$E$2:$E1229,"INFRUCTUEUX")+COUNTIFS($A$2:$A1229,$A1229,$E$2:$E1229,"ANNULE")),""))</f>
        <v/>
      </c>
    </row>
    <row r="1230">
      <c r="A1230">
        <f>IF(ISBLANK('ENGAGEMENTS 2026'!B1230),"",IF('ENGAGEMENTS 2026'!B1230="DTSI","DCT",'ENGAGEMENTS 2026'!B1230))</f>
        <v/>
      </c>
      <c r="B1230">
        <f>IF(ISBLANK('ENGAGEMENTS 2026'!B1230),"",'ENGAGEMENTS 2026'!C1230)</f>
        <v/>
      </c>
      <c r="C1230">
        <f>IF(ISBLANK('ENGAGEMENTS 2026'!B1230),"",'ENGAGEMENTS 2026'!D1230)</f>
        <v/>
      </c>
      <c r="D1230">
        <f>IF(ISBLANK('ENGAGEMENTS 2026'!B1230),"",'ENGAGEMENTS 2026'!F1230)</f>
        <v/>
      </c>
      <c r="E1230">
        <f>IF(ISBLANK('ENGAGEMENTS 2026'!B1230),"",'ENGAGEMENTS 2026'!H1230)</f>
        <v/>
      </c>
      <c r="F1230">
        <f>IF(ISBLANK('ENGAGEMENTS 2026'!B1230),"",'ENGAGEMENTS 2026'!I1230)</f>
        <v/>
      </c>
      <c r="G1230">
        <f>IF(ISBLANK('ENGAGEMENTS 2026'!B1230),"",'ENGAGEMENTS 2026'!L1230)</f>
        <v/>
      </c>
      <c r="H1230">
        <f>IF(ISBLANK('ENGAGEMENTS 2026'!B1230),"",'ENGAGEMENTS 2026'!AE1230)</f>
        <v/>
      </c>
      <c r="I1230">
        <f>IF(ISBLANK('ENGAGEMENTS 2026'!B1230),"",'ENGAGEMENTS 2026'!G1230)</f>
        <v/>
      </c>
      <c r="J1230" s="275">
        <f>IF(ISBLANK('ENGAGEMENTS 2026'!B1230),"",IF(AND(OR($E1230="INFRUCTUEUX",$E1230="ANNULE"),$C1230="AOO-M"),'ENGAGEMENTS 2026'!O1230,IF($H1230="EN COURS DE PREENGAGEMENT",'ENGAGEMENTS 2026'!N1230,IF($H1230="PREENGAGE",IF($E1230="ATTRIBUE",'ENGAGEMENTS 2026'!AD1230,'ENGAGEMENTS 2026'!N1230),'ENGAGEMENTS 2026'!AD1230))))</f>
        <v/>
      </c>
      <c r="K1230" s="604">
        <f>IF(ISBLANK('ENGAGEMENTS 2026'!V1230),"",'ENGAGEMENTS 2026'!V1230)</f>
        <v/>
      </c>
      <c r="L1230" s="276">
        <f>IF($K1230="","",TODAY()-$K1230)</f>
        <v/>
      </c>
      <c r="M1230">
        <f>IF($A1230="","",IF($H1230="ENGAGE","Engagé",IF(AND($H1230="NON ENGAGE",OR($I1230="INFRUCTUEUX",$I1230="ANNULE")),"Clôturé sans suite","En cours")))</f>
        <v/>
      </c>
      <c r="N1230">
        <f>IF(ISBLANK('ENGAGEMENTS 2026'!B1230),"",'ENGAGEMENTS 2026'!K1230)</f>
        <v/>
      </c>
      <c r="O1230">
        <f>IF(ISBLANK('ENGAGEMENTS 2026'!B1230),"",'ENGAGEMENTS 2026'!L1230)</f>
        <v/>
      </c>
      <c r="P1230">
        <f>IF(ISBLANK('ENGAGEMENTS 2026'!B1230),"",'ENGAGEMENTS 2026'!J1230)</f>
        <v/>
      </c>
      <c r="Q1230">
        <f>IF($A1230="","",IF(OR($E1230="INFRUCTUEUX",$E1230="ANNULE"),$A1230&amp;"|"&amp;(COUNTIFS($A$2:$A1230,$A1230,$E$2:$E1230,"INFRUCTUEUX")+COUNTIFS($A$2:$A1230,$A1230,$E$2:$E1230,"ANNULE")),""))</f>
        <v/>
      </c>
    </row>
    <row r="1231">
      <c r="A1231">
        <f>IF(ISBLANK('ENGAGEMENTS 2026'!B1231),"",IF('ENGAGEMENTS 2026'!B1231="DTSI","DCT",'ENGAGEMENTS 2026'!B1231))</f>
        <v/>
      </c>
      <c r="B1231">
        <f>IF(ISBLANK('ENGAGEMENTS 2026'!B1231),"",'ENGAGEMENTS 2026'!C1231)</f>
        <v/>
      </c>
      <c r="C1231">
        <f>IF(ISBLANK('ENGAGEMENTS 2026'!B1231),"",'ENGAGEMENTS 2026'!D1231)</f>
        <v/>
      </c>
      <c r="D1231">
        <f>IF(ISBLANK('ENGAGEMENTS 2026'!B1231),"",'ENGAGEMENTS 2026'!F1231)</f>
        <v/>
      </c>
      <c r="E1231">
        <f>IF(ISBLANK('ENGAGEMENTS 2026'!B1231),"",'ENGAGEMENTS 2026'!H1231)</f>
        <v/>
      </c>
      <c r="F1231">
        <f>IF(ISBLANK('ENGAGEMENTS 2026'!B1231),"",'ENGAGEMENTS 2026'!I1231)</f>
        <v/>
      </c>
      <c r="G1231">
        <f>IF(ISBLANK('ENGAGEMENTS 2026'!B1231),"",'ENGAGEMENTS 2026'!L1231)</f>
        <v/>
      </c>
      <c r="H1231">
        <f>IF(ISBLANK('ENGAGEMENTS 2026'!B1231),"",'ENGAGEMENTS 2026'!AE1231)</f>
        <v/>
      </c>
      <c r="I1231">
        <f>IF(ISBLANK('ENGAGEMENTS 2026'!B1231),"",'ENGAGEMENTS 2026'!G1231)</f>
        <v/>
      </c>
      <c r="J1231" s="275">
        <f>IF(ISBLANK('ENGAGEMENTS 2026'!B1231),"",IF(AND(OR($E1231="INFRUCTUEUX",$E1231="ANNULE"),$C1231="AOO-M"),'ENGAGEMENTS 2026'!O1231,IF($H1231="EN COURS DE PREENGAGEMENT",'ENGAGEMENTS 2026'!N1231,IF($H1231="PREENGAGE",IF($E1231="ATTRIBUE",'ENGAGEMENTS 2026'!AD1231,'ENGAGEMENTS 2026'!N1231),'ENGAGEMENTS 2026'!AD1231))))</f>
        <v/>
      </c>
      <c r="K1231" s="604">
        <f>IF(ISBLANK('ENGAGEMENTS 2026'!V1231),"",'ENGAGEMENTS 2026'!V1231)</f>
        <v/>
      </c>
      <c r="L1231" s="276">
        <f>IF($K1231="","",TODAY()-$K1231)</f>
        <v/>
      </c>
      <c r="M1231">
        <f>IF($A1231="","",IF($H1231="ENGAGE","Engagé",IF(AND($H1231="NON ENGAGE",OR($I1231="INFRUCTUEUX",$I1231="ANNULE")),"Clôturé sans suite","En cours")))</f>
        <v/>
      </c>
      <c r="N1231">
        <f>IF(ISBLANK('ENGAGEMENTS 2026'!B1231),"",'ENGAGEMENTS 2026'!K1231)</f>
        <v/>
      </c>
      <c r="O1231">
        <f>IF(ISBLANK('ENGAGEMENTS 2026'!B1231),"",'ENGAGEMENTS 2026'!L1231)</f>
        <v/>
      </c>
      <c r="P1231">
        <f>IF(ISBLANK('ENGAGEMENTS 2026'!B1231),"",'ENGAGEMENTS 2026'!J1231)</f>
        <v/>
      </c>
      <c r="Q1231">
        <f>IF($A1231="","",IF(OR($E1231="INFRUCTUEUX",$E1231="ANNULE"),$A1231&amp;"|"&amp;(COUNTIFS($A$2:$A1231,$A1231,$E$2:$E1231,"INFRUCTUEUX")+COUNTIFS($A$2:$A1231,$A1231,$E$2:$E1231,"ANNULE")),""))</f>
        <v/>
      </c>
    </row>
    <row r="1232">
      <c r="A1232">
        <f>IF(ISBLANK('ENGAGEMENTS 2026'!B1232),"",IF('ENGAGEMENTS 2026'!B1232="DTSI","DCT",'ENGAGEMENTS 2026'!B1232))</f>
        <v/>
      </c>
      <c r="B1232">
        <f>IF(ISBLANK('ENGAGEMENTS 2026'!B1232),"",'ENGAGEMENTS 2026'!C1232)</f>
        <v/>
      </c>
      <c r="C1232">
        <f>IF(ISBLANK('ENGAGEMENTS 2026'!B1232),"",'ENGAGEMENTS 2026'!D1232)</f>
        <v/>
      </c>
      <c r="D1232">
        <f>IF(ISBLANK('ENGAGEMENTS 2026'!B1232),"",'ENGAGEMENTS 2026'!F1232)</f>
        <v/>
      </c>
      <c r="E1232">
        <f>IF(ISBLANK('ENGAGEMENTS 2026'!B1232),"",'ENGAGEMENTS 2026'!H1232)</f>
        <v/>
      </c>
      <c r="F1232">
        <f>IF(ISBLANK('ENGAGEMENTS 2026'!B1232),"",'ENGAGEMENTS 2026'!I1232)</f>
        <v/>
      </c>
      <c r="G1232">
        <f>IF(ISBLANK('ENGAGEMENTS 2026'!B1232),"",'ENGAGEMENTS 2026'!L1232)</f>
        <v/>
      </c>
      <c r="H1232">
        <f>IF(ISBLANK('ENGAGEMENTS 2026'!B1232),"",'ENGAGEMENTS 2026'!AE1232)</f>
        <v/>
      </c>
      <c r="I1232">
        <f>IF(ISBLANK('ENGAGEMENTS 2026'!B1232),"",'ENGAGEMENTS 2026'!G1232)</f>
        <v/>
      </c>
      <c r="J1232" s="275">
        <f>IF(ISBLANK('ENGAGEMENTS 2026'!B1232),"",IF(AND(OR($E1232="INFRUCTUEUX",$E1232="ANNULE"),$C1232="AOO-M"),'ENGAGEMENTS 2026'!O1232,IF($H1232="EN COURS DE PREENGAGEMENT",'ENGAGEMENTS 2026'!N1232,IF($H1232="PREENGAGE",IF($E1232="ATTRIBUE",'ENGAGEMENTS 2026'!AD1232,'ENGAGEMENTS 2026'!N1232),'ENGAGEMENTS 2026'!AD1232))))</f>
        <v/>
      </c>
      <c r="K1232" s="604">
        <f>IF(ISBLANK('ENGAGEMENTS 2026'!V1232),"",'ENGAGEMENTS 2026'!V1232)</f>
        <v/>
      </c>
      <c r="L1232" s="276">
        <f>IF($K1232="","",TODAY()-$K1232)</f>
        <v/>
      </c>
      <c r="M1232">
        <f>IF($A1232="","",IF($H1232="ENGAGE","Engagé",IF(AND($H1232="NON ENGAGE",OR($I1232="INFRUCTUEUX",$I1232="ANNULE")),"Clôturé sans suite","En cours")))</f>
        <v/>
      </c>
      <c r="N1232">
        <f>IF(ISBLANK('ENGAGEMENTS 2026'!B1232),"",'ENGAGEMENTS 2026'!K1232)</f>
        <v/>
      </c>
      <c r="O1232">
        <f>IF(ISBLANK('ENGAGEMENTS 2026'!B1232),"",'ENGAGEMENTS 2026'!L1232)</f>
        <v/>
      </c>
      <c r="P1232">
        <f>IF(ISBLANK('ENGAGEMENTS 2026'!B1232),"",'ENGAGEMENTS 2026'!J1232)</f>
        <v/>
      </c>
      <c r="Q1232">
        <f>IF($A1232="","",IF(OR($E1232="INFRUCTUEUX",$E1232="ANNULE"),$A1232&amp;"|"&amp;(COUNTIFS($A$2:$A1232,$A1232,$E$2:$E1232,"INFRUCTUEUX")+COUNTIFS($A$2:$A1232,$A1232,$E$2:$E1232,"ANNULE")),""))</f>
        <v/>
      </c>
    </row>
    <row r="1233">
      <c r="A1233">
        <f>IF(ISBLANK('ENGAGEMENTS 2026'!B1233),"",IF('ENGAGEMENTS 2026'!B1233="DTSI","DCT",'ENGAGEMENTS 2026'!B1233))</f>
        <v/>
      </c>
      <c r="B1233">
        <f>IF(ISBLANK('ENGAGEMENTS 2026'!B1233),"",'ENGAGEMENTS 2026'!C1233)</f>
        <v/>
      </c>
      <c r="C1233">
        <f>IF(ISBLANK('ENGAGEMENTS 2026'!B1233),"",'ENGAGEMENTS 2026'!D1233)</f>
        <v/>
      </c>
      <c r="D1233">
        <f>IF(ISBLANK('ENGAGEMENTS 2026'!B1233),"",'ENGAGEMENTS 2026'!F1233)</f>
        <v/>
      </c>
      <c r="E1233">
        <f>IF(ISBLANK('ENGAGEMENTS 2026'!B1233),"",'ENGAGEMENTS 2026'!H1233)</f>
        <v/>
      </c>
      <c r="F1233">
        <f>IF(ISBLANK('ENGAGEMENTS 2026'!B1233),"",'ENGAGEMENTS 2026'!I1233)</f>
        <v/>
      </c>
      <c r="G1233">
        <f>IF(ISBLANK('ENGAGEMENTS 2026'!B1233),"",'ENGAGEMENTS 2026'!L1233)</f>
        <v/>
      </c>
      <c r="H1233">
        <f>IF(ISBLANK('ENGAGEMENTS 2026'!B1233),"",'ENGAGEMENTS 2026'!AE1233)</f>
        <v/>
      </c>
      <c r="I1233">
        <f>IF(ISBLANK('ENGAGEMENTS 2026'!B1233),"",'ENGAGEMENTS 2026'!G1233)</f>
        <v/>
      </c>
      <c r="J1233" s="275">
        <f>IF(ISBLANK('ENGAGEMENTS 2026'!B1233),"",IF(AND(OR($E1233="INFRUCTUEUX",$E1233="ANNULE"),$C1233="AOO-M"),'ENGAGEMENTS 2026'!O1233,IF($H1233="EN COURS DE PREENGAGEMENT",'ENGAGEMENTS 2026'!N1233,IF($H1233="PREENGAGE",IF($E1233="ATTRIBUE",'ENGAGEMENTS 2026'!AD1233,'ENGAGEMENTS 2026'!N1233),'ENGAGEMENTS 2026'!AD1233))))</f>
        <v/>
      </c>
      <c r="K1233" s="604">
        <f>IF(ISBLANK('ENGAGEMENTS 2026'!V1233),"",'ENGAGEMENTS 2026'!V1233)</f>
        <v/>
      </c>
      <c r="L1233" s="276">
        <f>IF($K1233="","",TODAY()-$K1233)</f>
        <v/>
      </c>
      <c r="M1233">
        <f>IF($A1233="","",IF($H1233="ENGAGE","Engagé",IF(AND($H1233="NON ENGAGE",OR($I1233="INFRUCTUEUX",$I1233="ANNULE")),"Clôturé sans suite","En cours")))</f>
        <v/>
      </c>
      <c r="N1233">
        <f>IF(ISBLANK('ENGAGEMENTS 2026'!B1233),"",'ENGAGEMENTS 2026'!K1233)</f>
        <v/>
      </c>
      <c r="O1233">
        <f>IF(ISBLANK('ENGAGEMENTS 2026'!B1233),"",'ENGAGEMENTS 2026'!L1233)</f>
        <v/>
      </c>
      <c r="P1233">
        <f>IF(ISBLANK('ENGAGEMENTS 2026'!B1233),"",'ENGAGEMENTS 2026'!J1233)</f>
        <v/>
      </c>
      <c r="Q1233">
        <f>IF($A1233="","",IF(OR($E1233="INFRUCTUEUX",$E1233="ANNULE"),$A1233&amp;"|"&amp;(COUNTIFS($A$2:$A1233,$A1233,$E$2:$E1233,"INFRUCTUEUX")+COUNTIFS($A$2:$A1233,$A1233,$E$2:$E1233,"ANNULE")),""))</f>
        <v/>
      </c>
    </row>
    <row r="1234">
      <c r="A1234">
        <f>IF(ISBLANK('ENGAGEMENTS 2026'!B1234),"",IF('ENGAGEMENTS 2026'!B1234="DTSI","DCT",'ENGAGEMENTS 2026'!B1234))</f>
        <v/>
      </c>
      <c r="B1234">
        <f>IF(ISBLANK('ENGAGEMENTS 2026'!B1234),"",'ENGAGEMENTS 2026'!C1234)</f>
        <v/>
      </c>
      <c r="C1234">
        <f>IF(ISBLANK('ENGAGEMENTS 2026'!B1234),"",'ENGAGEMENTS 2026'!D1234)</f>
        <v/>
      </c>
      <c r="D1234">
        <f>IF(ISBLANK('ENGAGEMENTS 2026'!B1234),"",'ENGAGEMENTS 2026'!F1234)</f>
        <v/>
      </c>
      <c r="E1234">
        <f>IF(ISBLANK('ENGAGEMENTS 2026'!B1234),"",'ENGAGEMENTS 2026'!H1234)</f>
        <v/>
      </c>
      <c r="F1234">
        <f>IF(ISBLANK('ENGAGEMENTS 2026'!B1234),"",'ENGAGEMENTS 2026'!I1234)</f>
        <v/>
      </c>
      <c r="G1234">
        <f>IF(ISBLANK('ENGAGEMENTS 2026'!B1234),"",'ENGAGEMENTS 2026'!L1234)</f>
        <v/>
      </c>
      <c r="H1234">
        <f>IF(ISBLANK('ENGAGEMENTS 2026'!B1234),"",'ENGAGEMENTS 2026'!AE1234)</f>
        <v/>
      </c>
      <c r="I1234">
        <f>IF(ISBLANK('ENGAGEMENTS 2026'!B1234),"",'ENGAGEMENTS 2026'!G1234)</f>
        <v/>
      </c>
      <c r="J1234" s="275">
        <f>IF(ISBLANK('ENGAGEMENTS 2026'!B1234),"",IF(AND(OR($E1234="INFRUCTUEUX",$E1234="ANNULE"),$C1234="AOO-M"),'ENGAGEMENTS 2026'!O1234,IF($H1234="EN COURS DE PREENGAGEMENT",'ENGAGEMENTS 2026'!N1234,IF($H1234="PREENGAGE",IF($E1234="ATTRIBUE",'ENGAGEMENTS 2026'!AD1234,'ENGAGEMENTS 2026'!N1234),'ENGAGEMENTS 2026'!AD1234))))</f>
        <v/>
      </c>
      <c r="K1234" s="604">
        <f>IF(ISBLANK('ENGAGEMENTS 2026'!V1234),"",'ENGAGEMENTS 2026'!V1234)</f>
        <v/>
      </c>
      <c r="L1234" s="276">
        <f>IF($K1234="","",TODAY()-$K1234)</f>
        <v/>
      </c>
      <c r="M1234">
        <f>IF($A1234="","",IF($H1234="ENGAGE","Engagé",IF(AND($H1234="NON ENGAGE",OR($I1234="INFRUCTUEUX",$I1234="ANNULE")),"Clôturé sans suite","En cours")))</f>
        <v/>
      </c>
      <c r="N1234">
        <f>IF(ISBLANK('ENGAGEMENTS 2026'!B1234),"",'ENGAGEMENTS 2026'!K1234)</f>
        <v/>
      </c>
      <c r="O1234">
        <f>IF(ISBLANK('ENGAGEMENTS 2026'!B1234),"",'ENGAGEMENTS 2026'!L1234)</f>
        <v/>
      </c>
      <c r="P1234">
        <f>IF(ISBLANK('ENGAGEMENTS 2026'!B1234),"",'ENGAGEMENTS 2026'!J1234)</f>
        <v/>
      </c>
      <c r="Q1234">
        <f>IF($A1234="","",IF(OR($E1234="INFRUCTUEUX",$E1234="ANNULE"),$A1234&amp;"|"&amp;(COUNTIFS($A$2:$A1234,$A1234,$E$2:$E1234,"INFRUCTUEUX")+COUNTIFS($A$2:$A1234,$A1234,$E$2:$E1234,"ANNULE")),""))</f>
        <v/>
      </c>
    </row>
    <row r="1235">
      <c r="A1235">
        <f>IF(ISBLANK('ENGAGEMENTS 2026'!B1235),"",IF('ENGAGEMENTS 2026'!B1235="DTSI","DCT",'ENGAGEMENTS 2026'!B1235))</f>
        <v/>
      </c>
      <c r="B1235">
        <f>IF(ISBLANK('ENGAGEMENTS 2026'!B1235),"",'ENGAGEMENTS 2026'!C1235)</f>
        <v/>
      </c>
      <c r="C1235">
        <f>IF(ISBLANK('ENGAGEMENTS 2026'!B1235),"",'ENGAGEMENTS 2026'!D1235)</f>
        <v/>
      </c>
      <c r="D1235">
        <f>IF(ISBLANK('ENGAGEMENTS 2026'!B1235),"",'ENGAGEMENTS 2026'!F1235)</f>
        <v/>
      </c>
      <c r="E1235">
        <f>IF(ISBLANK('ENGAGEMENTS 2026'!B1235),"",'ENGAGEMENTS 2026'!H1235)</f>
        <v/>
      </c>
      <c r="F1235">
        <f>IF(ISBLANK('ENGAGEMENTS 2026'!B1235),"",'ENGAGEMENTS 2026'!I1235)</f>
        <v/>
      </c>
      <c r="G1235">
        <f>IF(ISBLANK('ENGAGEMENTS 2026'!B1235),"",'ENGAGEMENTS 2026'!L1235)</f>
        <v/>
      </c>
      <c r="H1235">
        <f>IF(ISBLANK('ENGAGEMENTS 2026'!B1235),"",'ENGAGEMENTS 2026'!AE1235)</f>
        <v/>
      </c>
      <c r="I1235">
        <f>IF(ISBLANK('ENGAGEMENTS 2026'!B1235),"",'ENGAGEMENTS 2026'!G1235)</f>
        <v/>
      </c>
      <c r="J1235" s="275">
        <f>IF(ISBLANK('ENGAGEMENTS 2026'!B1235),"",IF(AND(OR($E1235="INFRUCTUEUX",$E1235="ANNULE"),$C1235="AOO-M"),'ENGAGEMENTS 2026'!O1235,IF($H1235="EN COURS DE PREENGAGEMENT",'ENGAGEMENTS 2026'!N1235,IF($H1235="PREENGAGE",IF($E1235="ATTRIBUE",'ENGAGEMENTS 2026'!AD1235,'ENGAGEMENTS 2026'!N1235),'ENGAGEMENTS 2026'!AD1235))))</f>
        <v/>
      </c>
      <c r="K1235" s="604">
        <f>IF(ISBLANK('ENGAGEMENTS 2026'!V1235),"",'ENGAGEMENTS 2026'!V1235)</f>
        <v/>
      </c>
      <c r="L1235" s="276">
        <f>IF($K1235="","",TODAY()-$K1235)</f>
        <v/>
      </c>
      <c r="M1235">
        <f>IF($A1235="","",IF($H1235="ENGAGE","Engagé",IF(AND($H1235="NON ENGAGE",OR($I1235="INFRUCTUEUX",$I1235="ANNULE")),"Clôturé sans suite","En cours")))</f>
        <v/>
      </c>
      <c r="N1235">
        <f>IF(ISBLANK('ENGAGEMENTS 2026'!B1235),"",'ENGAGEMENTS 2026'!K1235)</f>
        <v/>
      </c>
      <c r="O1235">
        <f>IF(ISBLANK('ENGAGEMENTS 2026'!B1235),"",'ENGAGEMENTS 2026'!L1235)</f>
        <v/>
      </c>
      <c r="P1235">
        <f>IF(ISBLANK('ENGAGEMENTS 2026'!B1235),"",'ENGAGEMENTS 2026'!J1235)</f>
        <v/>
      </c>
      <c r="Q1235">
        <f>IF($A1235="","",IF(OR($E1235="INFRUCTUEUX",$E1235="ANNULE"),$A1235&amp;"|"&amp;(COUNTIFS($A$2:$A1235,$A1235,$E$2:$E1235,"INFRUCTUEUX")+COUNTIFS($A$2:$A1235,$A1235,$E$2:$E1235,"ANNULE")),""))</f>
        <v/>
      </c>
    </row>
    <row r="1236">
      <c r="A1236">
        <f>IF(ISBLANK('ENGAGEMENTS 2026'!B1236),"",IF('ENGAGEMENTS 2026'!B1236="DTSI","DCT",'ENGAGEMENTS 2026'!B1236))</f>
        <v/>
      </c>
      <c r="B1236">
        <f>IF(ISBLANK('ENGAGEMENTS 2026'!B1236),"",'ENGAGEMENTS 2026'!C1236)</f>
        <v/>
      </c>
      <c r="C1236">
        <f>IF(ISBLANK('ENGAGEMENTS 2026'!B1236),"",'ENGAGEMENTS 2026'!D1236)</f>
        <v/>
      </c>
      <c r="D1236">
        <f>IF(ISBLANK('ENGAGEMENTS 2026'!B1236),"",'ENGAGEMENTS 2026'!F1236)</f>
        <v/>
      </c>
      <c r="E1236">
        <f>IF(ISBLANK('ENGAGEMENTS 2026'!B1236),"",'ENGAGEMENTS 2026'!H1236)</f>
        <v/>
      </c>
      <c r="F1236">
        <f>IF(ISBLANK('ENGAGEMENTS 2026'!B1236),"",'ENGAGEMENTS 2026'!I1236)</f>
        <v/>
      </c>
      <c r="G1236">
        <f>IF(ISBLANK('ENGAGEMENTS 2026'!B1236),"",'ENGAGEMENTS 2026'!L1236)</f>
        <v/>
      </c>
      <c r="H1236">
        <f>IF(ISBLANK('ENGAGEMENTS 2026'!B1236),"",'ENGAGEMENTS 2026'!AE1236)</f>
        <v/>
      </c>
      <c r="I1236">
        <f>IF(ISBLANK('ENGAGEMENTS 2026'!B1236),"",'ENGAGEMENTS 2026'!G1236)</f>
        <v/>
      </c>
      <c r="J1236" s="275">
        <f>IF(ISBLANK('ENGAGEMENTS 2026'!B1236),"",IF(AND(OR($E1236="INFRUCTUEUX",$E1236="ANNULE"),$C1236="AOO-M"),'ENGAGEMENTS 2026'!O1236,IF($H1236="EN COURS DE PREENGAGEMENT",'ENGAGEMENTS 2026'!N1236,IF($H1236="PREENGAGE",IF($E1236="ATTRIBUE",'ENGAGEMENTS 2026'!AD1236,'ENGAGEMENTS 2026'!N1236),'ENGAGEMENTS 2026'!AD1236))))</f>
        <v/>
      </c>
      <c r="K1236" s="604">
        <f>IF(ISBLANK('ENGAGEMENTS 2026'!V1236),"",'ENGAGEMENTS 2026'!V1236)</f>
        <v/>
      </c>
      <c r="L1236" s="276">
        <f>IF($K1236="","",TODAY()-$K1236)</f>
        <v/>
      </c>
      <c r="M1236">
        <f>IF($A1236="","",IF($H1236="ENGAGE","Engagé",IF(AND($H1236="NON ENGAGE",OR($I1236="INFRUCTUEUX",$I1236="ANNULE")),"Clôturé sans suite","En cours")))</f>
        <v/>
      </c>
      <c r="N1236">
        <f>IF(ISBLANK('ENGAGEMENTS 2026'!B1236),"",'ENGAGEMENTS 2026'!K1236)</f>
        <v/>
      </c>
      <c r="O1236">
        <f>IF(ISBLANK('ENGAGEMENTS 2026'!B1236),"",'ENGAGEMENTS 2026'!L1236)</f>
        <v/>
      </c>
      <c r="P1236">
        <f>IF(ISBLANK('ENGAGEMENTS 2026'!B1236),"",'ENGAGEMENTS 2026'!J1236)</f>
        <v/>
      </c>
      <c r="Q1236">
        <f>IF($A1236="","",IF(OR($E1236="INFRUCTUEUX",$E1236="ANNULE"),$A1236&amp;"|"&amp;(COUNTIFS($A$2:$A1236,$A1236,$E$2:$E1236,"INFRUCTUEUX")+COUNTIFS($A$2:$A1236,$A1236,$E$2:$E1236,"ANNULE")),""))</f>
        <v/>
      </c>
    </row>
    <row r="1237">
      <c r="A1237">
        <f>IF(ISBLANK('ENGAGEMENTS 2026'!B1237),"",IF('ENGAGEMENTS 2026'!B1237="DTSI","DCT",'ENGAGEMENTS 2026'!B1237))</f>
        <v/>
      </c>
      <c r="B1237">
        <f>IF(ISBLANK('ENGAGEMENTS 2026'!B1237),"",'ENGAGEMENTS 2026'!C1237)</f>
        <v/>
      </c>
      <c r="C1237">
        <f>IF(ISBLANK('ENGAGEMENTS 2026'!B1237),"",'ENGAGEMENTS 2026'!D1237)</f>
        <v/>
      </c>
      <c r="D1237">
        <f>IF(ISBLANK('ENGAGEMENTS 2026'!B1237),"",'ENGAGEMENTS 2026'!F1237)</f>
        <v/>
      </c>
      <c r="E1237">
        <f>IF(ISBLANK('ENGAGEMENTS 2026'!B1237),"",'ENGAGEMENTS 2026'!H1237)</f>
        <v/>
      </c>
      <c r="F1237">
        <f>IF(ISBLANK('ENGAGEMENTS 2026'!B1237),"",'ENGAGEMENTS 2026'!I1237)</f>
        <v/>
      </c>
      <c r="G1237">
        <f>IF(ISBLANK('ENGAGEMENTS 2026'!B1237),"",'ENGAGEMENTS 2026'!L1237)</f>
        <v/>
      </c>
      <c r="H1237">
        <f>IF(ISBLANK('ENGAGEMENTS 2026'!B1237),"",'ENGAGEMENTS 2026'!AE1237)</f>
        <v/>
      </c>
      <c r="I1237">
        <f>IF(ISBLANK('ENGAGEMENTS 2026'!B1237),"",'ENGAGEMENTS 2026'!G1237)</f>
        <v/>
      </c>
      <c r="J1237" s="275">
        <f>IF(ISBLANK('ENGAGEMENTS 2026'!B1237),"",IF(AND(OR($E1237="INFRUCTUEUX",$E1237="ANNULE"),$C1237="AOO-M"),'ENGAGEMENTS 2026'!O1237,IF($H1237="EN COURS DE PREENGAGEMENT",'ENGAGEMENTS 2026'!N1237,IF($H1237="PREENGAGE",IF($E1237="ATTRIBUE",'ENGAGEMENTS 2026'!AD1237,'ENGAGEMENTS 2026'!N1237),'ENGAGEMENTS 2026'!AD1237))))</f>
        <v/>
      </c>
      <c r="K1237" s="604">
        <f>IF(ISBLANK('ENGAGEMENTS 2026'!V1237),"",'ENGAGEMENTS 2026'!V1237)</f>
        <v/>
      </c>
      <c r="L1237" s="276">
        <f>IF($K1237="","",TODAY()-$K1237)</f>
        <v/>
      </c>
      <c r="M1237">
        <f>IF($A1237="","",IF($H1237="ENGAGE","Engagé",IF(AND($H1237="NON ENGAGE",OR($I1237="INFRUCTUEUX",$I1237="ANNULE")),"Clôturé sans suite","En cours")))</f>
        <v/>
      </c>
      <c r="N1237">
        <f>IF(ISBLANK('ENGAGEMENTS 2026'!B1237),"",'ENGAGEMENTS 2026'!K1237)</f>
        <v/>
      </c>
      <c r="O1237">
        <f>IF(ISBLANK('ENGAGEMENTS 2026'!B1237),"",'ENGAGEMENTS 2026'!L1237)</f>
        <v/>
      </c>
      <c r="P1237">
        <f>IF(ISBLANK('ENGAGEMENTS 2026'!B1237),"",'ENGAGEMENTS 2026'!J1237)</f>
        <v/>
      </c>
      <c r="Q1237">
        <f>IF($A1237="","",IF(OR($E1237="INFRUCTUEUX",$E1237="ANNULE"),$A1237&amp;"|"&amp;(COUNTIFS($A$2:$A1237,$A1237,$E$2:$E1237,"INFRUCTUEUX")+COUNTIFS($A$2:$A1237,$A1237,$E$2:$E1237,"ANNULE")),""))</f>
        <v/>
      </c>
    </row>
    <row r="1238">
      <c r="A1238">
        <f>IF(ISBLANK('ENGAGEMENTS 2026'!B1238),"",IF('ENGAGEMENTS 2026'!B1238="DTSI","DCT",'ENGAGEMENTS 2026'!B1238))</f>
        <v/>
      </c>
      <c r="B1238">
        <f>IF(ISBLANK('ENGAGEMENTS 2026'!B1238),"",'ENGAGEMENTS 2026'!C1238)</f>
        <v/>
      </c>
      <c r="C1238">
        <f>IF(ISBLANK('ENGAGEMENTS 2026'!B1238),"",'ENGAGEMENTS 2026'!D1238)</f>
        <v/>
      </c>
      <c r="D1238">
        <f>IF(ISBLANK('ENGAGEMENTS 2026'!B1238),"",'ENGAGEMENTS 2026'!F1238)</f>
        <v/>
      </c>
      <c r="E1238">
        <f>IF(ISBLANK('ENGAGEMENTS 2026'!B1238),"",'ENGAGEMENTS 2026'!H1238)</f>
        <v/>
      </c>
      <c r="F1238">
        <f>IF(ISBLANK('ENGAGEMENTS 2026'!B1238),"",'ENGAGEMENTS 2026'!I1238)</f>
        <v/>
      </c>
      <c r="G1238">
        <f>IF(ISBLANK('ENGAGEMENTS 2026'!B1238),"",'ENGAGEMENTS 2026'!L1238)</f>
        <v/>
      </c>
      <c r="H1238">
        <f>IF(ISBLANK('ENGAGEMENTS 2026'!B1238),"",'ENGAGEMENTS 2026'!AE1238)</f>
        <v/>
      </c>
      <c r="I1238">
        <f>IF(ISBLANK('ENGAGEMENTS 2026'!B1238),"",'ENGAGEMENTS 2026'!G1238)</f>
        <v/>
      </c>
      <c r="J1238" s="275">
        <f>IF(ISBLANK('ENGAGEMENTS 2026'!B1238),"",IF(AND(OR($E1238="INFRUCTUEUX",$E1238="ANNULE"),$C1238="AOO-M"),'ENGAGEMENTS 2026'!O1238,IF($H1238="EN COURS DE PREENGAGEMENT",'ENGAGEMENTS 2026'!N1238,IF($H1238="PREENGAGE",IF($E1238="ATTRIBUE",'ENGAGEMENTS 2026'!AD1238,'ENGAGEMENTS 2026'!N1238),'ENGAGEMENTS 2026'!AD1238))))</f>
        <v/>
      </c>
      <c r="K1238" s="604">
        <f>IF(ISBLANK('ENGAGEMENTS 2026'!V1238),"",'ENGAGEMENTS 2026'!V1238)</f>
        <v/>
      </c>
      <c r="L1238" s="276">
        <f>IF($K1238="","",TODAY()-$K1238)</f>
        <v/>
      </c>
      <c r="M1238">
        <f>IF($A1238="","",IF($H1238="ENGAGE","Engagé",IF(AND($H1238="NON ENGAGE",OR($I1238="INFRUCTUEUX",$I1238="ANNULE")),"Clôturé sans suite","En cours")))</f>
        <v/>
      </c>
      <c r="N1238">
        <f>IF(ISBLANK('ENGAGEMENTS 2026'!B1238),"",'ENGAGEMENTS 2026'!K1238)</f>
        <v/>
      </c>
      <c r="O1238">
        <f>IF(ISBLANK('ENGAGEMENTS 2026'!B1238),"",'ENGAGEMENTS 2026'!L1238)</f>
        <v/>
      </c>
      <c r="P1238">
        <f>IF(ISBLANK('ENGAGEMENTS 2026'!B1238),"",'ENGAGEMENTS 2026'!J1238)</f>
        <v/>
      </c>
      <c r="Q1238">
        <f>IF($A1238="","",IF(OR($E1238="INFRUCTUEUX",$E1238="ANNULE"),$A1238&amp;"|"&amp;(COUNTIFS($A$2:$A1238,$A1238,$E$2:$E1238,"INFRUCTUEUX")+COUNTIFS($A$2:$A1238,$A1238,$E$2:$E1238,"ANNULE")),""))</f>
        <v/>
      </c>
    </row>
    <row r="1239">
      <c r="A1239">
        <f>IF(ISBLANK('ENGAGEMENTS 2026'!B1239),"",IF('ENGAGEMENTS 2026'!B1239="DTSI","DCT",'ENGAGEMENTS 2026'!B1239))</f>
        <v/>
      </c>
      <c r="B1239">
        <f>IF(ISBLANK('ENGAGEMENTS 2026'!B1239),"",'ENGAGEMENTS 2026'!C1239)</f>
        <v/>
      </c>
      <c r="C1239">
        <f>IF(ISBLANK('ENGAGEMENTS 2026'!B1239),"",'ENGAGEMENTS 2026'!D1239)</f>
        <v/>
      </c>
      <c r="D1239">
        <f>IF(ISBLANK('ENGAGEMENTS 2026'!B1239),"",'ENGAGEMENTS 2026'!F1239)</f>
        <v/>
      </c>
      <c r="E1239">
        <f>IF(ISBLANK('ENGAGEMENTS 2026'!B1239),"",'ENGAGEMENTS 2026'!H1239)</f>
        <v/>
      </c>
      <c r="F1239">
        <f>IF(ISBLANK('ENGAGEMENTS 2026'!B1239),"",'ENGAGEMENTS 2026'!I1239)</f>
        <v/>
      </c>
      <c r="G1239">
        <f>IF(ISBLANK('ENGAGEMENTS 2026'!B1239),"",'ENGAGEMENTS 2026'!L1239)</f>
        <v/>
      </c>
      <c r="H1239">
        <f>IF(ISBLANK('ENGAGEMENTS 2026'!B1239),"",'ENGAGEMENTS 2026'!AE1239)</f>
        <v/>
      </c>
      <c r="I1239">
        <f>IF(ISBLANK('ENGAGEMENTS 2026'!B1239),"",'ENGAGEMENTS 2026'!G1239)</f>
        <v/>
      </c>
      <c r="J1239" s="275">
        <f>IF(ISBLANK('ENGAGEMENTS 2026'!B1239),"",IF(AND(OR($E1239="INFRUCTUEUX",$E1239="ANNULE"),$C1239="AOO-M"),'ENGAGEMENTS 2026'!O1239,IF($H1239="EN COURS DE PREENGAGEMENT",'ENGAGEMENTS 2026'!N1239,IF($H1239="PREENGAGE",IF($E1239="ATTRIBUE",'ENGAGEMENTS 2026'!AD1239,'ENGAGEMENTS 2026'!N1239),'ENGAGEMENTS 2026'!AD1239))))</f>
        <v/>
      </c>
      <c r="K1239" s="604">
        <f>IF(ISBLANK('ENGAGEMENTS 2026'!V1239),"",'ENGAGEMENTS 2026'!V1239)</f>
        <v/>
      </c>
      <c r="L1239" s="276">
        <f>IF($K1239="","",TODAY()-$K1239)</f>
        <v/>
      </c>
      <c r="M1239">
        <f>IF($A1239="","",IF($H1239="ENGAGE","Engagé",IF(AND($H1239="NON ENGAGE",OR($I1239="INFRUCTUEUX",$I1239="ANNULE")),"Clôturé sans suite","En cours")))</f>
        <v/>
      </c>
      <c r="N1239">
        <f>IF(ISBLANK('ENGAGEMENTS 2026'!B1239),"",'ENGAGEMENTS 2026'!K1239)</f>
        <v/>
      </c>
      <c r="O1239">
        <f>IF(ISBLANK('ENGAGEMENTS 2026'!B1239),"",'ENGAGEMENTS 2026'!L1239)</f>
        <v/>
      </c>
      <c r="P1239">
        <f>IF(ISBLANK('ENGAGEMENTS 2026'!B1239),"",'ENGAGEMENTS 2026'!J1239)</f>
        <v/>
      </c>
      <c r="Q1239">
        <f>IF($A1239="","",IF(OR($E1239="INFRUCTUEUX",$E1239="ANNULE"),$A1239&amp;"|"&amp;(COUNTIFS($A$2:$A1239,$A1239,$E$2:$E1239,"INFRUCTUEUX")+COUNTIFS($A$2:$A1239,$A1239,$E$2:$E1239,"ANNULE")),""))</f>
        <v/>
      </c>
    </row>
    <row r="1240">
      <c r="A1240">
        <f>IF(ISBLANK('ENGAGEMENTS 2026'!B1240),"",IF('ENGAGEMENTS 2026'!B1240="DTSI","DCT",'ENGAGEMENTS 2026'!B1240))</f>
        <v/>
      </c>
      <c r="B1240">
        <f>IF(ISBLANK('ENGAGEMENTS 2026'!B1240),"",'ENGAGEMENTS 2026'!C1240)</f>
        <v/>
      </c>
      <c r="C1240">
        <f>IF(ISBLANK('ENGAGEMENTS 2026'!B1240),"",'ENGAGEMENTS 2026'!D1240)</f>
        <v/>
      </c>
      <c r="D1240">
        <f>IF(ISBLANK('ENGAGEMENTS 2026'!B1240),"",'ENGAGEMENTS 2026'!F1240)</f>
        <v/>
      </c>
      <c r="E1240">
        <f>IF(ISBLANK('ENGAGEMENTS 2026'!B1240),"",'ENGAGEMENTS 2026'!H1240)</f>
        <v/>
      </c>
      <c r="F1240">
        <f>IF(ISBLANK('ENGAGEMENTS 2026'!B1240),"",'ENGAGEMENTS 2026'!I1240)</f>
        <v/>
      </c>
      <c r="G1240">
        <f>IF(ISBLANK('ENGAGEMENTS 2026'!B1240),"",'ENGAGEMENTS 2026'!L1240)</f>
        <v/>
      </c>
      <c r="H1240">
        <f>IF(ISBLANK('ENGAGEMENTS 2026'!B1240),"",'ENGAGEMENTS 2026'!AE1240)</f>
        <v/>
      </c>
      <c r="I1240">
        <f>IF(ISBLANK('ENGAGEMENTS 2026'!B1240),"",'ENGAGEMENTS 2026'!G1240)</f>
        <v/>
      </c>
      <c r="J1240" s="275">
        <f>IF(ISBLANK('ENGAGEMENTS 2026'!B1240),"",IF(AND(OR($E1240="INFRUCTUEUX",$E1240="ANNULE"),$C1240="AOO-M"),'ENGAGEMENTS 2026'!O1240,IF($H1240="EN COURS DE PREENGAGEMENT",'ENGAGEMENTS 2026'!N1240,IF($H1240="PREENGAGE",IF($E1240="ATTRIBUE",'ENGAGEMENTS 2026'!AD1240,'ENGAGEMENTS 2026'!N1240),'ENGAGEMENTS 2026'!AD1240))))</f>
        <v/>
      </c>
      <c r="K1240" s="604">
        <f>IF(ISBLANK('ENGAGEMENTS 2026'!V1240),"",'ENGAGEMENTS 2026'!V1240)</f>
        <v/>
      </c>
      <c r="L1240" s="276">
        <f>IF($K1240="","",TODAY()-$K1240)</f>
        <v/>
      </c>
      <c r="M1240">
        <f>IF($A1240="","",IF($H1240="ENGAGE","Engagé",IF(AND($H1240="NON ENGAGE",OR($I1240="INFRUCTUEUX",$I1240="ANNULE")),"Clôturé sans suite","En cours")))</f>
        <v/>
      </c>
      <c r="N1240">
        <f>IF(ISBLANK('ENGAGEMENTS 2026'!B1240),"",'ENGAGEMENTS 2026'!K1240)</f>
        <v/>
      </c>
      <c r="O1240">
        <f>IF(ISBLANK('ENGAGEMENTS 2026'!B1240),"",'ENGAGEMENTS 2026'!L1240)</f>
        <v/>
      </c>
      <c r="P1240">
        <f>IF(ISBLANK('ENGAGEMENTS 2026'!B1240),"",'ENGAGEMENTS 2026'!J1240)</f>
        <v/>
      </c>
      <c r="Q1240">
        <f>IF($A1240="","",IF(OR($E1240="INFRUCTUEUX",$E1240="ANNULE"),$A1240&amp;"|"&amp;(COUNTIFS($A$2:$A1240,$A1240,$E$2:$E1240,"INFRUCTUEUX")+COUNTIFS($A$2:$A1240,$A1240,$E$2:$E1240,"ANNULE")),""))</f>
        <v/>
      </c>
    </row>
    <row r="1241">
      <c r="A1241">
        <f>IF(ISBLANK('ENGAGEMENTS 2026'!B1241),"",IF('ENGAGEMENTS 2026'!B1241="DTSI","DCT",'ENGAGEMENTS 2026'!B1241))</f>
        <v/>
      </c>
      <c r="B1241">
        <f>IF(ISBLANK('ENGAGEMENTS 2026'!B1241),"",'ENGAGEMENTS 2026'!C1241)</f>
        <v/>
      </c>
      <c r="C1241">
        <f>IF(ISBLANK('ENGAGEMENTS 2026'!B1241),"",'ENGAGEMENTS 2026'!D1241)</f>
        <v/>
      </c>
      <c r="D1241">
        <f>IF(ISBLANK('ENGAGEMENTS 2026'!B1241),"",'ENGAGEMENTS 2026'!F1241)</f>
        <v/>
      </c>
      <c r="E1241">
        <f>IF(ISBLANK('ENGAGEMENTS 2026'!B1241),"",'ENGAGEMENTS 2026'!H1241)</f>
        <v/>
      </c>
      <c r="F1241">
        <f>IF(ISBLANK('ENGAGEMENTS 2026'!B1241),"",'ENGAGEMENTS 2026'!I1241)</f>
        <v/>
      </c>
      <c r="G1241">
        <f>IF(ISBLANK('ENGAGEMENTS 2026'!B1241),"",'ENGAGEMENTS 2026'!L1241)</f>
        <v/>
      </c>
      <c r="H1241">
        <f>IF(ISBLANK('ENGAGEMENTS 2026'!B1241),"",'ENGAGEMENTS 2026'!AE1241)</f>
        <v/>
      </c>
      <c r="I1241">
        <f>IF(ISBLANK('ENGAGEMENTS 2026'!B1241),"",'ENGAGEMENTS 2026'!G1241)</f>
        <v/>
      </c>
      <c r="J1241" s="275">
        <f>IF(ISBLANK('ENGAGEMENTS 2026'!B1241),"",IF(AND(OR($E1241="INFRUCTUEUX",$E1241="ANNULE"),$C1241="AOO-M"),'ENGAGEMENTS 2026'!O1241,IF($H1241="EN COURS DE PREENGAGEMENT",'ENGAGEMENTS 2026'!N1241,IF($H1241="PREENGAGE",IF($E1241="ATTRIBUE",'ENGAGEMENTS 2026'!AD1241,'ENGAGEMENTS 2026'!N1241),'ENGAGEMENTS 2026'!AD1241))))</f>
        <v/>
      </c>
      <c r="K1241" s="604">
        <f>IF(ISBLANK('ENGAGEMENTS 2026'!V1241),"",'ENGAGEMENTS 2026'!V1241)</f>
        <v/>
      </c>
      <c r="L1241" s="276">
        <f>IF($K1241="","",TODAY()-$K1241)</f>
        <v/>
      </c>
      <c r="M1241">
        <f>IF($A1241="","",IF($H1241="ENGAGE","Engagé",IF(AND($H1241="NON ENGAGE",OR($I1241="INFRUCTUEUX",$I1241="ANNULE")),"Clôturé sans suite","En cours")))</f>
        <v/>
      </c>
      <c r="N1241">
        <f>IF(ISBLANK('ENGAGEMENTS 2026'!B1241),"",'ENGAGEMENTS 2026'!K1241)</f>
        <v/>
      </c>
      <c r="O1241">
        <f>IF(ISBLANK('ENGAGEMENTS 2026'!B1241),"",'ENGAGEMENTS 2026'!L1241)</f>
        <v/>
      </c>
      <c r="P1241">
        <f>IF(ISBLANK('ENGAGEMENTS 2026'!B1241),"",'ENGAGEMENTS 2026'!J1241)</f>
        <v/>
      </c>
      <c r="Q1241">
        <f>IF($A1241="","",IF(OR($E1241="INFRUCTUEUX",$E1241="ANNULE"),$A1241&amp;"|"&amp;(COUNTIFS($A$2:$A1241,$A1241,$E$2:$E1241,"INFRUCTUEUX")+COUNTIFS($A$2:$A1241,$A1241,$E$2:$E1241,"ANNULE")),""))</f>
        <v/>
      </c>
    </row>
    <row r="1242">
      <c r="A1242">
        <f>IF(ISBLANK('ENGAGEMENTS 2026'!B1242),"",IF('ENGAGEMENTS 2026'!B1242="DTSI","DCT",'ENGAGEMENTS 2026'!B1242))</f>
        <v/>
      </c>
      <c r="B1242">
        <f>IF(ISBLANK('ENGAGEMENTS 2026'!B1242),"",'ENGAGEMENTS 2026'!C1242)</f>
        <v/>
      </c>
      <c r="C1242">
        <f>IF(ISBLANK('ENGAGEMENTS 2026'!B1242),"",'ENGAGEMENTS 2026'!D1242)</f>
        <v/>
      </c>
      <c r="D1242">
        <f>IF(ISBLANK('ENGAGEMENTS 2026'!B1242),"",'ENGAGEMENTS 2026'!F1242)</f>
        <v/>
      </c>
      <c r="E1242">
        <f>IF(ISBLANK('ENGAGEMENTS 2026'!B1242),"",'ENGAGEMENTS 2026'!H1242)</f>
        <v/>
      </c>
      <c r="F1242">
        <f>IF(ISBLANK('ENGAGEMENTS 2026'!B1242),"",'ENGAGEMENTS 2026'!I1242)</f>
        <v/>
      </c>
      <c r="G1242">
        <f>IF(ISBLANK('ENGAGEMENTS 2026'!B1242),"",'ENGAGEMENTS 2026'!L1242)</f>
        <v/>
      </c>
      <c r="H1242">
        <f>IF(ISBLANK('ENGAGEMENTS 2026'!B1242),"",'ENGAGEMENTS 2026'!AE1242)</f>
        <v/>
      </c>
      <c r="I1242">
        <f>IF(ISBLANK('ENGAGEMENTS 2026'!B1242),"",'ENGAGEMENTS 2026'!G1242)</f>
        <v/>
      </c>
      <c r="J1242" s="275">
        <f>IF(ISBLANK('ENGAGEMENTS 2026'!B1242),"",IF(AND(OR($E1242="INFRUCTUEUX",$E1242="ANNULE"),$C1242="AOO-M"),'ENGAGEMENTS 2026'!O1242,IF($H1242="EN COURS DE PREENGAGEMENT",'ENGAGEMENTS 2026'!N1242,IF($H1242="PREENGAGE",IF($E1242="ATTRIBUE",'ENGAGEMENTS 2026'!AD1242,'ENGAGEMENTS 2026'!N1242),'ENGAGEMENTS 2026'!AD1242))))</f>
        <v/>
      </c>
      <c r="K1242" s="604">
        <f>IF(ISBLANK('ENGAGEMENTS 2026'!V1242),"",'ENGAGEMENTS 2026'!V1242)</f>
        <v/>
      </c>
      <c r="L1242" s="276">
        <f>IF($K1242="","",TODAY()-$K1242)</f>
        <v/>
      </c>
      <c r="M1242">
        <f>IF($A1242="","",IF($H1242="ENGAGE","Engagé",IF(AND($H1242="NON ENGAGE",OR($I1242="INFRUCTUEUX",$I1242="ANNULE")),"Clôturé sans suite","En cours")))</f>
        <v/>
      </c>
      <c r="N1242">
        <f>IF(ISBLANK('ENGAGEMENTS 2026'!B1242),"",'ENGAGEMENTS 2026'!K1242)</f>
        <v/>
      </c>
      <c r="O1242">
        <f>IF(ISBLANK('ENGAGEMENTS 2026'!B1242),"",'ENGAGEMENTS 2026'!L1242)</f>
        <v/>
      </c>
      <c r="P1242">
        <f>IF(ISBLANK('ENGAGEMENTS 2026'!B1242),"",'ENGAGEMENTS 2026'!J1242)</f>
        <v/>
      </c>
      <c r="Q1242">
        <f>IF($A1242="","",IF(OR($E1242="INFRUCTUEUX",$E1242="ANNULE"),$A1242&amp;"|"&amp;(COUNTIFS($A$2:$A1242,$A1242,$E$2:$E1242,"INFRUCTUEUX")+COUNTIFS($A$2:$A1242,$A1242,$E$2:$E1242,"ANNULE")),""))</f>
        <v/>
      </c>
    </row>
    <row r="1243">
      <c r="A1243">
        <f>IF(ISBLANK('ENGAGEMENTS 2026'!B1243),"",IF('ENGAGEMENTS 2026'!B1243="DTSI","DCT",'ENGAGEMENTS 2026'!B1243))</f>
        <v/>
      </c>
      <c r="B1243">
        <f>IF(ISBLANK('ENGAGEMENTS 2026'!B1243),"",'ENGAGEMENTS 2026'!C1243)</f>
        <v/>
      </c>
      <c r="C1243">
        <f>IF(ISBLANK('ENGAGEMENTS 2026'!B1243),"",'ENGAGEMENTS 2026'!D1243)</f>
        <v/>
      </c>
      <c r="D1243">
        <f>IF(ISBLANK('ENGAGEMENTS 2026'!B1243),"",'ENGAGEMENTS 2026'!F1243)</f>
        <v/>
      </c>
      <c r="E1243">
        <f>IF(ISBLANK('ENGAGEMENTS 2026'!B1243),"",'ENGAGEMENTS 2026'!H1243)</f>
        <v/>
      </c>
      <c r="F1243">
        <f>IF(ISBLANK('ENGAGEMENTS 2026'!B1243),"",'ENGAGEMENTS 2026'!I1243)</f>
        <v/>
      </c>
      <c r="G1243">
        <f>IF(ISBLANK('ENGAGEMENTS 2026'!B1243),"",'ENGAGEMENTS 2026'!L1243)</f>
        <v/>
      </c>
      <c r="H1243">
        <f>IF(ISBLANK('ENGAGEMENTS 2026'!B1243),"",'ENGAGEMENTS 2026'!AE1243)</f>
        <v/>
      </c>
      <c r="I1243">
        <f>IF(ISBLANK('ENGAGEMENTS 2026'!B1243),"",'ENGAGEMENTS 2026'!G1243)</f>
        <v/>
      </c>
      <c r="J1243" s="275">
        <f>IF(ISBLANK('ENGAGEMENTS 2026'!B1243),"",IF(AND(OR($E1243="INFRUCTUEUX",$E1243="ANNULE"),$C1243="AOO-M"),'ENGAGEMENTS 2026'!O1243,IF($H1243="EN COURS DE PREENGAGEMENT",'ENGAGEMENTS 2026'!N1243,IF($H1243="PREENGAGE",IF($E1243="ATTRIBUE",'ENGAGEMENTS 2026'!AD1243,'ENGAGEMENTS 2026'!N1243),'ENGAGEMENTS 2026'!AD1243))))</f>
        <v/>
      </c>
      <c r="K1243" s="604">
        <f>IF(ISBLANK('ENGAGEMENTS 2026'!V1243),"",'ENGAGEMENTS 2026'!V1243)</f>
        <v/>
      </c>
      <c r="L1243" s="276">
        <f>IF($K1243="","",TODAY()-$K1243)</f>
        <v/>
      </c>
      <c r="M1243">
        <f>IF($A1243="","",IF($H1243="ENGAGE","Engagé",IF(AND($H1243="NON ENGAGE",OR($I1243="INFRUCTUEUX",$I1243="ANNULE")),"Clôturé sans suite","En cours")))</f>
        <v/>
      </c>
      <c r="N1243">
        <f>IF(ISBLANK('ENGAGEMENTS 2026'!B1243),"",'ENGAGEMENTS 2026'!K1243)</f>
        <v/>
      </c>
      <c r="O1243">
        <f>IF(ISBLANK('ENGAGEMENTS 2026'!B1243),"",'ENGAGEMENTS 2026'!L1243)</f>
        <v/>
      </c>
      <c r="P1243">
        <f>IF(ISBLANK('ENGAGEMENTS 2026'!B1243),"",'ENGAGEMENTS 2026'!J1243)</f>
        <v/>
      </c>
      <c r="Q1243">
        <f>IF($A1243="","",IF(OR($E1243="INFRUCTUEUX",$E1243="ANNULE"),$A1243&amp;"|"&amp;(COUNTIFS($A$2:$A1243,$A1243,$E$2:$E1243,"INFRUCTUEUX")+COUNTIFS($A$2:$A1243,$A1243,$E$2:$E1243,"ANNULE")),""))</f>
        <v/>
      </c>
    </row>
    <row r="1244">
      <c r="A1244">
        <f>IF(ISBLANK('ENGAGEMENTS 2026'!B1244),"",IF('ENGAGEMENTS 2026'!B1244="DTSI","DCT",'ENGAGEMENTS 2026'!B1244))</f>
        <v/>
      </c>
      <c r="B1244">
        <f>IF(ISBLANK('ENGAGEMENTS 2026'!B1244),"",'ENGAGEMENTS 2026'!C1244)</f>
        <v/>
      </c>
      <c r="C1244">
        <f>IF(ISBLANK('ENGAGEMENTS 2026'!B1244),"",'ENGAGEMENTS 2026'!D1244)</f>
        <v/>
      </c>
      <c r="D1244">
        <f>IF(ISBLANK('ENGAGEMENTS 2026'!B1244),"",'ENGAGEMENTS 2026'!F1244)</f>
        <v/>
      </c>
      <c r="E1244">
        <f>IF(ISBLANK('ENGAGEMENTS 2026'!B1244),"",'ENGAGEMENTS 2026'!H1244)</f>
        <v/>
      </c>
      <c r="F1244">
        <f>IF(ISBLANK('ENGAGEMENTS 2026'!B1244),"",'ENGAGEMENTS 2026'!I1244)</f>
        <v/>
      </c>
      <c r="G1244">
        <f>IF(ISBLANK('ENGAGEMENTS 2026'!B1244),"",'ENGAGEMENTS 2026'!L1244)</f>
        <v/>
      </c>
      <c r="H1244">
        <f>IF(ISBLANK('ENGAGEMENTS 2026'!B1244),"",'ENGAGEMENTS 2026'!AE1244)</f>
        <v/>
      </c>
      <c r="I1244">
        <f>IF(ISBLANK('ENGAGEMENTS 2026'!B1244),"",'ENGAGEMENTS 2026'!G1244)</f>
        <v/>
      </c>
      <c r="J1244" s="275">
        <f>IF(ISBLANK('ENGAGEMENTS 2026'!B1244),"",IF(AND(OR($E1244="INFRUCTUEUX",$E1244="ANNULE"),$C1244="AOO-M"),'ENGAGEMENTS 2026'!O1244,IF($H1244="EN COURS DE PREENGAGEMENT",'ENGAGEMENTS 2026'!N1244,IF($H1244="PREENGAGE",IF($E1244="ATTRIBUE",'ENGAGEMENTS 2026'!AD1244,'ENGAGEMENTS 2026'!N1244),'ENGAGEMENTS 2026'!AD1244))))</f>
        <v/>
      </c>
      <c r="K1244" s="604">
        <f>IF(ISBLANK('ENGAGEMENTS 2026'!V1244),"",'ENGAGEMENTS 2026'!V1244)</f>
        <v/>
      </c>
      <c r="L1244" s="276">
        <f>IF($K1244="","",TODAY()-$K1244)</f>
        <v/>
      </c>
      <c r="M1244">
        <f>IF($A1244="","",IF($H1244="ENGAGE","Engagé",IF(AND($H1244="NON ENGAGE",OR($I1244="INFRUCTUEUX",$I1244="ANNULE")),"Clôturé sans suite","En cours")))</f>
        <v/>
      </c>
      <c r="N1244">
        <f>IF(ISBLANK('ENGAGEMENTS 2026'!B1244),"",'ENGAGEMENTS 2026'!K1244)</f>
        <v/>
      </c>
      <c r="O1244">
        <f>IF(ISBLANK('ENGAGEMENTS 2026'!B1244),"",'ENGAGEMENTS 2026'!L1244)</f>
        <v/>
      </c>
      <c r="P1244">
        <f>IF(ISBLANK('ENGAGEMENTS 2026'!B1244),"",'ENGAGEMENTS 2026'!J1244)</f>
        <v/>
      </c>
      <c r="Q1244">
        <f>IF($A1244="","",IF(OR($E1244="INFRUCTUEUX",$E1244="ANNULE"),$A1244&amp;"|"&amp;(COUNTIFS($A$2:$A1244,$A1244,$E$2:$E1244,"INFRUCTUEUX")+COUNTIFS($A$2:$A1244,$A1244,$E$2:$E1244,"ANNULE")),""))</f>
        <v/>
      </c>
    </row>
    <row r="1245">
      <c r="A1245">
        <f>IF(ISBLANK('ENGAGEMENTS 2026'!B1245),"",IF('ENGAGEMENTS 2026'!B1245="DTSI","DCT",'ENGAGEMENTS 2026'!B1245))</f>
        <v/>
      </c>
      <c r="B1245">
        <f>IF(ISBLANK('ENGAGEMENTS 2026'!B1245),"",'ENGAGEMENTS 2026'!C1245)</f>
        <v/>
      </c>
      <c r="C1245">
        <f>IF(ISBLANK('ENGAGEMENTS 2026'!B1245),"",'ENGAGEMENTS 2026'!D1245)</f>
        <v/>
      </c>
      <c r="D1245">
        <f>IF(ISBLANK('ENGAGEMENTS 2026'!B1245),"",'ENGAGEMENTS 2026'!F1245)</f>
        <v/>
      </c>
      <c r="E1245">
        <f>IF(ISBLANK('ENGAGEMENTS 2026'!B1245),"",'ENGAGEMENTS 2026'!H1245)</f>
        <v/>
      </c>
      <c r="F1245">
        <f>IF(ISBLANK('ENGAGEMENTS 2026'!B1245),"",'ENGAGEMENTS 2026'!I1245)</f>
        <v/>
      </c>
      <c r="G1245">
        <f>IF(ISBLANK('ENGAGEMENTS 2026'!B1245),"",'ENGAGEMENTS 2026'!L1245)</f>
        <v/>
      </c>
      <c r="H1245">
        <f>IF(ISBLANK('ENGAGEMENTS 2026'!B1245),"",'ENGAGEMENTS 2026'!AE1245)</f>
        <v/>
      </c>
      <c r="I1245">
        <f>IF(ISBLANK('ENGAGEMENTS 2026'!B1245),"",'ENGAGEMENTS 2026'!G1245)</f>
        <v/>
      </c>
      <c r="J1245" s="275">
        <f>IF(ISBLANK('ENGAGEMENTS 2026'!B1245),"",IF(AND(OR($E1245="INFRUCTUEUX",$E1245="ANNULE"),$C1245="AOO-M"),'ENGAGEMENTS 2026'!O1245,IF($H1245="EN COURS DE PREENGAGEMENT",'ENGAGEMENTS 2026'!N1245,IF($H1245="PREENGAGE",IF($E1245="ATTRIBUE",'ENGAGEMENTS 2026'!AD1245,'ENGAGEMENTS 2026'!N1245),'ENGAGEMENTS 2026'!AD1245))))</f>
        <v/>
      </c>
      <c r="K1245" s="604">
        <f>IF(ISBLANK('ENGAGEMENTS 2026'!V1245),"",'ENGAGEMENTS 2026'!V1245)</f>
        <v/>
      </c>
      <c r="L1245" s="276">
        <f>IF($K1245="","",TODAY()-$K1245)</f>
        <v/>
      </c>
      <c r="M1245">
        <f>IF($A1245="","",IF($H1245="ENGAGE","Engagé",IF(AND($H1245="NON ENGAGE",OR($I1245="INFRUCTUEUX",$I1245="ANNULE")),"Clôturé sans suite","En cours")))</f>
        <v/>
      </c>
      <c r="N1245">
        <f>IF(ISBLANK('ENGAGEMENTS 2026'!B1245),"",'ENGAGEMENTS 2026'!K1245)</f>
        <v/>
      </c>
      <c r="O1245">
        <f>IF(ISBLANK('ENGAGEMENTS 2026'!B1245),"",'ENGAGEMENTS 2026'!L1245)</f>
        <v/>
      </c>
      <c r="P1245">
        <f>IF(ISBLANK('ENGAGEMENTS 2026'!B1245),"",'ENGAGEMENTS 2026'!J1245)</f>
        <v/>
      </c>
      <c r="Q1245">
        <f>IF($A1245="","",IF(OR($E1245="INFRUCTUEUX",$E1245="ANNULE"),$A1245&amp;"|"&amp;(COUNTIFS($A$2:$A1245,$A1245,$E$2:$E1245,"INFRUCTUEUX")+COUNTIFS($A$2:$A1245,$A1245,$E$2:$E1245,"ANNULE")),""))</f>
        <v/>
      </c>
    </row>
    <row r="1246">
      <c r="A1246">
        <f>IF(ISBLANK('ENGAGEMENTS 2026'!B1246),"",IF('ENGAGEMENTS 2026'!B1246="DTSI","DCT",'ENGAGEMENTS 2026'!B1246))</f>
        <v/>
      </c>
      <c r="B1246">
        <f>IF(ISBLANK('ENGAGEMENTS 2026'!B1246),"",'ENGAGEMENTS 2026'!C1246)</f>
        <v/>
      </c>
      <c r="C1246">
        <f>IF(ISBLANK('ENGAGEMENTS 2026'!B1246),"",'ENGAGEMENTS 2026'!D1246)</f>
        <v/>
      </c>
      <c r="D1246">
        <f>IF(ISBLANK('ENGAGEMENTS 2026'!B1246),"",'ENGAGEMENTS 2026'!F1246)</f>
        <v/>
      </c>
      <c r="E1246">
        <f>IF(ISBLANK('ENGAGEMENTS 2026'!B1246),"",'ENGAGEMENTS 2026'!H1246)</f>
        <v/>
      </c>
      <c r="F1246">
        <f>IF(ISBLANK('ENGAGEMENTS 2026'!B1246),"",'ENGAGEMENTS 2026'!I1246)</f>
        <v/>
      </c>
      <c r="G1246">
        <f>IF(ISBLANK('ENGAGEMENTS 2026'!B1246),"",'ENGAGEMENTS 2026'!L1246)</f>
        <v/>
      </c>
      <c r="H1246">
        <f>IF(ISBLANK('ENGAGEMENTS 2026'!B1246),"",'ENGAGEMENTS 2026'!AE1246)</f>
        <v/>
      </c>
      <c r="I1246">
        <f>IF(ISBLANK('ENGAGEMENTS 2026'!B1246),"",'ENGAGEMENTS 2026'!G1246)</f>
        <v/>
      </c>
      <c r="J1246" s="275">
        <f>IF(ISBLANK('ENGAGEMENTS 2026'!B1246),"",IF(AND(OR($E1246="INFRUCTUEUX",$E1246="ANNULE"),$C1246="AOO-M"),'ENGAGEMENTS 2026'!O1246,IF($H1246="EN COURS DE PREENGAGEMENT",'ENGAGEMENTS 2026'!N1246,IF($H1246="PREENGAGE",IF($E1246="ATTRIBUE",'ENGAGEMENTS 2026'!AD1246,'ENGAGEMENTS 2026'!N1246),'ENGAGEMENTS 2026'!AD1246))))</f>
        <v/>
      </c>
      <c r="K1246" s="604">
        <f>IF(ISBLANK('ENGAGEMENTS 2026'!V1246),"",'ENGAGEMENTS 2026'!V1246)</f>
        <v/>
      </c>
      <c r="L1246" s="276">
        <f>IF($K1246="","",TODAY()-$K1246)</f>
        <v/>
      </c>
      <c r="M1246">
        <f>IF($A1246="","",IF($H1246="ENGAGE","Engagé",IF(AND($H1246="NON ENGAGE",OR($I1246="INFRUCTUEUX",$I1246="ANNULE")),"Clôturé sans suite","En cours")))</f>
        <v/>
      </c>
      <c r="N1246">
        <f>IF(ISBLANK('ENGAGEMENTS 2026'!B1246),"",'ENGAGEMENTS 2026'!K1246)</f>
        <v/>
      </c>
      <c r="O1246">
        <f>IF(ISBLANK('ENGAGEMENTS 2026'!B1246),"",'ENGAGEMENTS 2026'!L1246)</f>
        <v/>
      </c>
      <c r="P1246">
        <f>IF(ISBLANK('ENGAGEMENTS 2026'!B1246),"",'ENGAGEMENTS 2026'!J1246)</f>
        <v/>
      </c>
      <c r="Q1246">
        <f>IF($A1246="","",IF(OR($E1246="INFRUCTUEUX",$E1246="ANNULE"),$A1246&amp;"|"&amp;(COUNTIFS($A$2:$A1246,$A1246,$E$2:$E1246,"INFRUCTUEUX")+COUNTIFS($A$2:$A1246,$A1246,$E$2:$E1246,"ANNULE")),""))</f>
        <v/>
      </c>
    </row>
    <row r="1247">
      <c r="A1247">
        <f>IF(ISBLANK('ENGAGEMENTS 2026'!B1247),"",IF('ENGAGEMENTS 2026'!B1247="DTSI","DCT",'ENGAGEMENTS 2026'!B1247))</f>
        <v/>
      </c>
      <c r="B1247">
        <f>IF(ISBLANK('ENGAGEMENTS 2026'!B1247),"",'ENGAGEMENTS 2026'!C1247)</f>
        <v/>
      </c>
      <c r="C1247">
        <f>IF(ISBLANK('ENGAGEMENTS 2026'!B1247),"",'ENGAGEMENTS 2026'!D1247)</f>
        <v/>
      </c>
      <c r="D1247">
        <f>IF(ISBLANK('ENGAGEMENTS 2026'!B1247),"",'ENGAGEMENTS 2026'!F1247)</f>
        <v/>
      </c>
      <c r="E1247">
        <f>IF(ISBLANK('ENGAGEMENTS 2026'!B1247),"",'ENGAGEMENTS 2026'!H1247)</f>
        <v/>
      </c>
      <c r="F1247">
        <f>IF(ISBLANK('ENGAGEMENTS 2026'!B1247),"",'ENGAGEMENTS 2026'!I1247)</f>
        <v/>
      </c>
      <c r="G1247">
        <f>IF(ISBLANK('ENGAGEMENTS 2026'!B1247),"",'ENGAGEMENTS 2026'!L1247)</f>
        <v/>
      </c>
      <c r="H1247">
        <f>IF(ISBLANK('ENGAGEMENTS 2026'!B1247),"",'ENGAGEMENTS 2026'!AE1247)</f>
        <v/>
      </c>
      <c r="I1247">
        <f>IF(ISBLANK('ENGAGEMENTS 2026'!B1247),"",'ENGAGEMENTS 2026'!G1247)</f>
        <v/>
      </c>
      <c r="J1247" s="275">
        <f>IF(ISBLANK('ENGAGEMENTS 2026'!B1247),"",IF(AND(OR($E1247="INFRUCTUEUX",$E1247="ANNULE"),$C1247="AOO-M"),'ENGAGEMENTS 2026'!O1247,IF($H1247="EN COURS DE PREENGAGEMENT",'ENGAGEMENTS 2026'!N1247,IF($H1247="PREENGAGE",IF($E1247="ATTRIBUE",'ENGAGEMENTS 2026'!AD1247,'ENGAGEMENTS 2026'!N1247),'ENGAGEMENTS 2026'!AD1247))))</f>
        <v/>
      </c>
      <c r="K1247" s="604">
        <f>IF(ISBLANK('ENGAGEMENTS 2026'!V1247),"",'ENGAGEMENTS 2026'!V1247)</f>
        <v/>
      </c>
      <c r="L1247" s="276">
        <f>IF($K1247="","",TODAY()-$K1247)</f>
        <v/>
      </c>
      <c r="M1247">
        <f>IF($A1247="","",IF($H1247="ENGAGE","Engagé",IF(AND($H1247="NON ENGAGE",OR($I1247="INFRUCTUEUX",$I1247="ANNULE")),"Clôturé sans suite","En cours")))</f>
        <v/>
      </c>
      <c r="N1247">
        <f>IF(ISBLANK('ENGAGEMENTS 2026'!B1247),"",'ENGAGEMENTS 2026'!K1247)</f>
        <v/>
      </c>
      <c r="O1247">
        <f>IF(ISBLANK('ENGAGEMENTS 2026'!B1247),"",'ENGAGEMENTS 2026'!L1247)</f>
        <v/>
      </c>
      <c r="P1247">
        <f>IF(ISBLANK('ENGAGEMENTS 2026'!B1247),"",'ENGAGEMENTS 2026'!J1247)</f>
        <v/>
      </c>
      <c r="Q1247">
        <f>IF($A1247="","",IF(OR($E1247="INFRUCTUEUX",$E1247="ANNULE"),$A1247&amp;"|"&amp;(COUNTIFS($A$2:$A1247,$A1247,$E$2:$E1247,"INFRUCTUEUX")+COUNTIFS($A$2:$A1247,$A1247,$E$2:$E1247,"ANNULE")),""))</f>
        <v/>
      </c>
    </row>
    <row r="1248">
      <c r="A1248">
        <f>IF(ISBLANK('ENGAGEMENTS 2026'!B1248),"",IF('ENGAGEMENTS 2026'!B1248="DTSI","DCT",'ENGAGEMENTS 2026'!B1248))</f>
        <v/>
      </c>
      <c r="B1248">
        <f>IF(ISBLANK('ENGAGEMENTS 2026'!B1248),"",'ENGAGEMENTS 2026'!C1248)</f>
        <v/>
      </c>
      <c r="C1248">
        <f>IF(ISBLANK('ENGAGEMENTS 2026'!B1248),"",'ENGAGEMENTS 2026'!D1248)</f>
        <v/>
      </c>
      <c r="D1248">
        <f>IF(ISBLANK('ENGAGEMENTS 2026'!B1248),"",'ENGAGEMENTS 2026'!F1248)</f>
        <v/>
      </c>
      <c r="E1248">
        <f>IF(ISBLANK('ENGAGEMENTS 2026'!B1248),"",'ENGAGEMENTS 2026'!H1248)</f>
        <v/>
      </c>
      <c r="F1248">
        <f>IF(ISBLANK('ENGAGEMENTS 2026'!B1248),"",'ENGAGEMENTS 2026'!I1248)</f>
        <v/>
      </c>
      <c r="G1248">
        <f>IF(ISBLANK('ENGAGEMENTS 2026'!B1248),"",'ENGAGEMENTS 2026'!L1248)</f>
        <v/>
      </c>
      <c r="H1248">
        <f>IF(ISBLANK('ENGAGEMENTS 2026'!B1248),"",'ENGAGEMENTS 2026'!AE1248)</f>
        <v/>
      </c>
      <c r="I1248">
        <f>IF(ISBLANK('ENGAGEMENTS 2026'!B1248),"",'ENGAGEMENTS 2026'!G1248)</f>
        <v/>
      </c>
      <c r="J1248" s="275">
        <f>IF(ISBLANK('ENGAGEMENTS 2026'!B1248),"",IF(AND(OR($E1248="INFRUCTUEUX",$E1248="ANNULE"),$C1248="AOO-M"),'ENGAGEMENTS 2026'!O1248,IF($H1248="EN COURS DE PREENGAGEMENT",'ENGAGEMENTS 2026'!N1248,IF($H1248="PREENGAGE",IF($E1248="ATTRIBUE",'ENGAGEMENTS 2026'!AD1248,'ENGAGEMENTS 2026'!N1248),'ENGAGEMENTS 2026'!AD1248))))</f>
        <v/>
      </c>
      <c r="K1248" s="604">
        <f>IF(ISBLANK('ENGAGEMENTS 2026'!V1248),"",'ENGAGEMENTS 2026'!V1248)</f>
        <v/>
      </c>
      <c r="L1248" s="276">
        <f>IF($K1248="","",TODAY()-$K1248)</f>
        <v/>
      </c>
      <c r="M1248">
        <f>IF($A1248="","",IF($H1248="ENGAGE","Engagé",IF(AND($H1248="NON ENGAGE",OR($I1248="INFRUCTUEUX",$I1248="ANNULE")),"Clôturé sans suite","En cours")))</f>
        <v/>
      </c>
      <c r="N1248">
        <f>IF(ISBLANK('ENGAGEMENTS 2026'!B1248),"",'ENGAGEMENTS 2026'!K1248)</f>
        <v/>
      </c>
      <c r="O1248">
        <f>IF(ISBLANK('ENGAGEMENTS 2026'!B1248),"",'ENGAGEMENTS 2026'!L1248)</f>
        <v/>
      </c>
      <c r="P1248">
        <f>IF(ISBLANK('ENGAGEMENTS 2026'!B1248),"",'ENGAGEMENTS 2026'!J1248)</f>
        <v/>
      </c>
      <c r="Q1248">
        <f>IF($A1248="","",IF(OR($E1248="INFRUCTUEUX",$E1248="ANNULE"),$A1248&amp;"|"&amp;(COUNTIFS($A$2:$A1248,$A1248,$E$2:$E1248,"INFRUCTUEUX")+COUNTIFS($A$2:$A1248,$A1248,$E$2:$E1248,"ANNULE")),""))</f>
        <v/>
      </c>
    </row>
    <row r="1249">
      <c r="A1249">
        <f>IF(ISBLANK('ENGAGEMENTS 2026'!B1249),"",IF('ENGAGEMENTS 2026'!B1249="DTSI","DCT",'ENGAGEMENTS 2026'!B1249))</f>
        <v/>
      </c>
      <c r="B1249">
        <f>IF(ISBLANK('ENGAGEMENTS 2026'!B1249),"",'ENGAGEMENTS 2026'!C1249)</f>
        <v/>
      </c>
      <c r="C1249">
        <f>IF(ISBLANK('ENGAGEMENTS 2026'!B1249),"",'ENGAGEMENTS 2026'!D1249)</f>
        <v/>
      </c>
      <c r="D1249">
        <f>IF(ISBLANK('ENGAGEMENTS 2026'!B1249),"",'ENGAGEMENTS 2026'!F1249)</f>
        <v/>
      </c>
      <c r="E1249">
        <f>IF(ISBLANK('ENGAGEMENTS 2026'!B1249),"",'ENGAGEMENTS 2026'!H1249)</f>
        <v/>
      </c>
      <c r="F1249">
        <f>IF(ISBLANK('ENGAGEMENTS 2026'!B1249),"",'ENGAGEMENTS 2026'!I1249)</f>
        <v/>
      </c>
      <c r="G1249">
        <f>IF(ISBLANK('ENGAGEMENTS 2026'!B1249),"",'ENGAGEMENTS 2026'!L1249)</f>
        <v/>
      </c>
      <c r="H1249">
        <f>IF(ISBLANK('ENGAGEMENTS 2026'!B1249),"",'ENGAGEMENTS 2026'!AE1249)</f>
        <v/>
      </c>
      <c r="I1249">
        <f>IF(ISBLANK('ENGAGEMENTS 2026'!B1249),"",'ENGAGEMENTS 2026'!G1249)</f>
        <v/>
      </c>
      <c r="J1249" s="275">
        <f>IF(ISBLANK('ENGAGEMENTS 2026'!B1249),"",IF(AND(OR($E1249="INFRUCTUEUX",$E1249="ANNULE"),$C1249="AOO-M"),'ENGAGEMENTS 2026'!O1249,IF($H1249="EN COURS DE PREENGAGEMENT",'ENGAGEMENTS 2026'!N1249,IF($H1249="PREENGAGE",IF($E1249="ATTRIBUE",'ENGAGEMENTS 2026'!AD1249,'ENGAGEMENTS 2026'!N1249),'ENGAGEMENTS 2026'!AD1249))))</f>
        <v/>
      </c>
      <c r="K1249" s="604">
        <f>IF(ISBLANK('ENGAGEMENTS 2026'!V1249),"",'ENGAGEMENTS 2026'!V1249)</f>
        <v/>
      </c>
      <c r="L1249" s="276">
        <f>IF($K1249="","",TODAY()-$K1249)</f>
        <v/>
      </c>
      <c r="M1249">
        <f>IF($A1249="","",IF($H1249="ENGAGE","Engagé",IF(AND($H1249="NON ENGAGE",OR($I1249="INFRUCTUEUX",$I1249="ANNULE")),"Clôturé sans suite","En cours")))</f>
        <v/>
      </c>
      <c r="N1249">
        <f>IF(ISBLANK('ENGAGEMENTS 2026'!B1249),"",'ENGAGEMENTS 2026'!K1249)</f>
        <v/>
      </c>
      <c r="O1249">
        <f>IF(ISBLANK('ENGAGEMENTS 2026'!B1249),"",'ENGAGEMENTS 2026'!L1249)</f>
        <v/>
      </c>
      <c r="P1249">
        <f>IF(ISBLANK('ENGAGEMENTS 2026'!B1249),"",'ENGAGEMENTS 2026'!J1249)</f>
        <v/>
      </c>
      <c r="Q1249">
        <f>IF($A1249="","",IF(OR($E1249="INFRUCTUEUX",$E1249="ANNULE"),$A1249&amp;"|"&amp;(COUNTIFS($A$2:$A1249,$A1249,$E$2:$E1249,"INFRUCTUEUX")+COUNTIFS($A$2:$A1249,$A1249,$E$2:$E1249,"ANNULE")),""))</f>
        <v/>
      </c>
    </row>
    <row r="1250">
      <c r="A1250">
        <f>IF(ISBLANK('ENGAGEMENTS 2026'!B1250),"",IF('ENGAGEMENTS 2026'!B1250="DTSI","DCT",'ENGAGEMENTS 2026'!B1250))</f>
        <v/>
      </c>
      <c r="B1250">
        <f>IF(ISBLANK('ENGAGEMENTS 2026'!B1250),"",'ENGAGEMENTS 2026'!C1250)</f>
        <v/>
      </c>
      <c r="C1250">
        <f>IF(ISBLANK('ENGAGEMENTS 2026'!B1250),"",'ENGAGEMENTS 2026'!D1250)</f>
        <v/>
      </c>
      <c r="D1250">
        <f>IF(ISBLANK('ENGAGEMENTS 2026'!B1250),"",'ENGAGEMENTS 2026'!F1250)</f>
        <v/>
      </c>
      <c r="E1250">
        <f>IF(ISBLANK('ENGAGEMENTS 2026'!B1250),"",'ENGAGEMENTS 2026'!H1250)</f>
        <v/>
      </c>
      <c r="F1250">
        <f>IF(ISBLANK('ENGAGEMENTS 2026'!B1250),"",'ENGAGEMENTS 2026'!I1250)</f>
        <v/>
      </c>
      <c r="G1250">
        <f>IF(ISBLANK('ENGAGEMENTS 2026'!B1250),"",'ENGAGEMENTS 2026'!L1250)</f>
        <v/>
      </c>
      <c r="H1250">
        <f>IF(ISBLANK('ENGAGEMENTS 2026'!B1250),"",'ENGAGEMENTS 2026'!AE1250)</f>
        <v/>
      </c>
      <c r="I1250">
        <f>IF(ISBLANK('ENGAGEMENTS 2026'!B1250),"",'ENGAGEMENTS 2026'!G1250)</f>
        <v/>
      </c>
      <c r="J1250" s="275">
        <f>IF(ISBLANK('ENGAGEMENTS 2026'!B1250),"",IF(AND(OR($E1250="INFRUCTUEUX",$E1250="ANNULE"),$C1250="AOO-M"),'ENGAGEMENTS 2026'!O1250,IF($H1250="EN COURS DE PREENGAGEMENT",'ENGAGEMENTS 2026'!N1250,IF($H1250="PREENGAGE",IF($E1250="ATTRIBUE",'ENGAGEMENTS 2026'!AD1250,'ENGAGEMENTS 2026'!N1250),'ENGAGEMENTS 2026'!AD1250))))</f>
        <v/>
      </c>
      <c r="K1250" s="604">
        <f>IF(ISBLANK('ENGAGEMENTS 2026'!V1250),"",'ENGAGEMENTS 2026'!V1250)</f>
        <v/>
      </c>
      <c r="L1250" s="276">
        <f>IF($K1250="","",TODAY()-$K1250)</f>
        <v/>
      </c>
      <c r="M1250">
        <f>IF($A1250="","",IF($H1250="ENGAGE","Engagé",IF(AND($H1250="NON ENGAGE",OR($I1250="INFRUCTUEUX",$I1250="ANNULE")),"Clôturé sans suite","En cours")))</f>
        <v/>
      </c>
      <c r="N1250">
        <f>IF(ISBLANK('ENGAGEMENTS 2026'!B1250),"",'ENGAGEMENTS 2026'!K1250)</f>
        <v/>
      </c>
      <c r="O1250">
        <f>IF(ISBLANK('ENGAGEMENTS 2026'!B1250),"",'ENGAGEMENTS 2026'!L1250)</f>
        <v/>
      </c>
      <c r="P1250">
        <f>IF(ISBLANK('ENGAGEMENTS 2026'!B1250),"",'ENGAGEMENTS 2026'!J1250)</f>
        <v/>
      </c>
      <c r="Q1250">
        <f>IF($A1250="","",IF(OR($E1250="INFRUCTUEUX",$E1250="ANNULE"),$A1250&amp;"|"&amp;(COUNTIFS($A$2:$A1250,$A1250,$E$2:$E1250,"INFRUCTUEUX")+COUNTIFS($A$2:$A1250,$A1250,$E$2:$E1250,"ANNULE")),""))</f>
        <v/>
      </c>
    </row>
    <row r="1251">
      <c r="A1251">
        <f>IF(ISBLANK('ENGAGEMENTS 2026'!B1251),"",IF('ENGAGEMENTS 2026'!B1251="DTSI","DCT",'ENGAGEMENTS 2026'!B1251))</f>
        <v/>
      </c>
      <c r="B1251">
        <f>IF(ISBLANK('ENGAGEMENTS 2026'!B1251),"",'ENGAGEMENTS 2026'!C1251)</f>
        <v/>
      </c>
      <c r="C1251">
        <f>IF(ISBLANK('ENGAGEMENTS 2026'!B1251),"",'ENGAGEMENTS 2026'!D1251)</f>
        <v/>
      </c>
      <c r="D1251">
        <f>IF(ISBLANK('ENGAGEMENTS 2026'!B1251),"",'ENGAGEMENTS 2026'!F1251)</f>
        <v/>
      </c>
      <c r="E1251">
        <f>IF(ISBLANK('ENGAGEMENTS 2026'!B1251),"",'ENGAGEMENTS 2026'!H1251)</f>
        <v/>
      </c>
      <c r="F1251">
        <f>IF(ISBLANK('ENGAGEMENTS 2026'!B1251),"",'ENGAGEMENTS 2026'!I1251)</f>
        <v/>
      </c>
      <c r="G1251">
        <f>IF(ISBLANK('ENGAGEMENTS 2026'!B1251),"",'ENGAGEMENTS 2026'!L1251)</f>
        <v/>
      </c>
      <c r="H1251">
        <f>IF(ISBLANK('ENGAGEMENTS 2026'!B1251),"",'ENGAGEMENTS 2026'!AE1251)</f>
        <v/>
      </c>
      <c r="I1251">
        <f>IF(ISBLANK('ENGAGEMENTS 2026'!B1251),"",'ENGAGEMENTS 2026'!G1251)</f>
        <v/>
      </c>
      <c r="J1251" s="275">
        <f>IF(ISBLANK('ENGAGEMENTS 2026'!B1251),"",IF(AND(OR($E1251="INFRUCTUEUX",$E1251="ANNULE"),$C1251="AOO-M"),'ENGAGEMENTS 2026'!O1251,IF($H1251="EN COURS DE PREENGAGEMENT",'ENGAGEMENTS 2026'!N1251,IF($H1251="PREENGAGE",IF($E1251="ATTRIBUE",'ENGAGEMENTS 2026'!AD1251,'ENGAGEMENTS 2026'!N1251),'ENGAGEMENTS 2026'!AD1251))))</f>
        <v/>
      </c>
      <c r="K1251" s="604">
        <f>IF(ISBLANK('ENGAGEMENTS 2026'!V1251),"",'ENGAGEMENTS 2026'!V1251)</f>
        <v/>
      </c>
      <c r="L1251" s="276">
        <f>IF($K1251="","",TODAY()-$K1251)</f>
        <v/>
      </c>
      <c r="M1251">
        <f>IF($A1251="","",IF($H1251="ENGAGE","Engagé",IF(AND($H1251="NON ENGAGE",OR($I1251="INFRUCTUEUX",$I1251="ANNULE")),"Clôturé sans suite","En cours")))</f>
        <v/>
      </c>
      <c r="N1251">
        <f>IF(ISBLANK('ENGAGEMENTS 2026'!B1251),"",'ENGAGEMENTS 2026'!K1251)</f>
        <v/>
      </c>
      <c r="O1251">
        <f>IF(ISBLANK('ENGAGEMENTS 2026'!B1251),"",'ENGAGEMENTS 2026'!L1251)</f>
        <v/>
      </c>
      <c r="P1251">
        <f>IF(ISBLANK('ENGAGEMENTS 2026'!B1251),"",'ENGAGEMENTS 2026'!J1251)</f>
        <v/>
      </c>
      <c r="Q1251">
        <f>IF($A1251="","",IF(OR($E1251="INFRUCTUEUX",$E1251="ANNULE"),$A1251&amp;"|"&amp;(COUNTIFS($A$2:$A1251,$A1251,$E$2:$E1251,"INFRUCTUEUX")+COUNTIFS($A$2:$A1251,$A1251,$E$2:$E1251,"ANNULE")),""))</f>
        <v/>
      </c>
    </row>
    <row r="1252">
      <c r="A1252">
        <f>IF(ISBLANK('ENGAGEMENTS 2026'!B1252),"",IF('ENGAGEMENTS 2026'!B1252="DTSI","DCT",'ENGAGEMENTS 2026'!B1252))</f>
        <v/>
      </c>
      <c r="B1252">
        <f>IF(ISBLANK('ENGAGEMENTS 2026'!B1252),"",'ENGAGEMENTS 2026'!C1252)</f>
        <v/>
      </c>
      <c r="C1252">
        <f>IF(ISBLANK('ENGAGEMENTS 2026'!B1252),"",'ENGAGEMENTS 2026'!D1252)</f>
        <v/>
      </c>
      <c r="D1252">
        <f>IF(ISBLANK('ENGAGEMENTS 2026'!B1252),"",'ENGAGEMENTS 2026'!F1252)</f>
        <v/>
      </c>
      <c r="E1252">
        <f>IF(ISBLANK('ENGAGEMENTS 2026'!B1252),"",'ENGAGEMENTS 2026'!H1252)</f>
        <v/>
      </c>
      <c r="F1252">
        <f>IF(ISBLANK('ENGAGEMENTS 2026'!B1252),"",'ENGAGEMENTS 2026'!I1252)</f>
        <v/>
      </c>
      <c r="G1252">
        <f>IF(ISBLANK('ENGAGEMENTS 2026'!B1252),"",'ENGAGEMENTS 2026'!L1252)</f>
        <v/>
      </c>
      <c r="H1252">
        <f>IF(ISBLANK('ENGAGEMENTS 2026'!B1252),"",'ENGAGEMENTS 2026'!AE1252)</f>
        <v/>
      </c>
      <c r="I1252">
        <f>IF(ISBLANK('ENGAGEMENTS 2026'!B1252),"",'ENGAGEMENTS 2026'!G1252)</f>
        <v/>
      </c>
      <c r="J1252" s="275">
        <f>IF(ISBLANK('ENGAGEMENTS 2026'!B1252),"",IF(AND(OR($E1252="INFRUCTUEUX",$E1252="ANNULE"),$C1252="AOO-M"),'ENGAGEMENTS 2026'!O1252,IF($H1252="EN COURS DE PREENGAGEMENT",'ENGAGEMENTS 2026'!N1252,IF($H1252="PREENGAGE",IF($E1252="ATTRIBUE",'ENGAGEMENTS 2026'!AD1252,'ENGAGEMENTS 2026'!N1252),'ENGAGEMENTS 2026'!AD1252))))</f>
        <v/>
      </c>
      <c r="K1252" s="604">
        <f>IF(ISBLANK('ENGAGEMENTS 2026'!V1252),"",'ENGAGEMENTS 2026'!V1252)</f>
        <v/>
      </c>
      <c r="L1252" s="276">
        <f>IF($K1252="","",TODAY()-$K1252)</f>
        <v/>
      </c>
      <c r="M1252">
        <f>IF($A1252="","",IF($H1252="ENGAGE","Engagé",IF(AND($H1252="NON ENGAGE",OR($I1252="INFRUCTUEUX",$I1252="ANNULE")),"Clôturé sans suite","En cours")))</f>
        <v/>
      </c>
      <c r="N1252">
        <f>IF(ISBLANK('ENGAGEMENTS 2026'!B1252),"",'ENGAGEMENTS 2026'!K1252)</f>
        <v/>
      </c>
      <c r="O1252">
        <f>IF(ISBLANK('ENGAGEMENTS 2026'!B1252),"",'ENGAGEMENTS 2026'!L1252)</f>
        <v/>
      </c>
      <c r="P1252">
        <f>IF(ISBLANK('ENGAGEMENTS 2026'!B1252),"",'ENGAGEMENTS 2026'!J1252)</f>
        <v/>
      </c>
      <c r="Q1252">
        <f>IF($A1252="","",IF(OR($E1252="INFRUCTUEUX",$E1252="ANNULE"),$A1252&amp;"|"&amp;(COUNTIFS($A$2:$A1252,$A1252,$E$2:$E1252,"INFRUCTUEUX")+COUNTIFS($A$2:$A1252,$A1252,$E$2:$E1252,"ANNULE")),""))</f>
        <v/>
      </c>
    </row>
    <row r="1253">
      <c r="A1253">
        <f>IF(ISBLANK('ENGAGEMENTS 2026'!B1253),"",IF('ENGAGEMENTS 2026'!B1253="DTSI","DCT",'ENGAGEMENTS 2026'!B1253))</f>
        <v/>
      </c>
      <c r="B1253">
        <f>IF(ISBLANK('ENGAGEMENTS 2026'!B1253),"",'ENGAGEMENTS 2026'!C1253)</f>
        <v/>
      </c>
      <c r="C1253">
        <f>IF(ISBLANK('ENGAGEMENTS 2026'!B1253),"",'ENGAGEMENTS 2026'!D1253)</f>
        <v/>
      </c>
      <c r="D1253">
        <f>IF(ISBLANK('ENGAGEMENTS 2026'!B1253),"",'ENGAGEMENTS 2026'!F1253)</f>
        <v/>
      </c>
      <c r="E1253">
        <f>IF(ISBLANK('ENGAGEMENTS 2026'!B1253),"",'ENGAGEMENTS 2026'!H1253)</f>
        <v/>
      </c>
      <c r="F1253">
        <f>IF(ISBLANK('ENGAGEMENTS 2026'!B1253),"",'ENGAGEMENTS 2026'!I1253)</f>
        <v/>
      </c>
      <c r="G1253">
        <f>IF(ISBLANK('ENGAGEMENTS 2026'!B1253),"",'ENGAGEMENTS 2026'!L1253)</f>
        <v/>
      </c>
      <c r="H1253">
        <f>IF(ISBLANK('ENGAGEMENTS 2026'!B1253),"",'ENGAGEMENTS 2026'!AE1253)</f>
        <v/>
      </c>
      <c r="I1253">
        <f>IF(ISBLANK('ENGAGEMENTS 2026'!B1253),"",'ENGAGEMENTS 2026'!G1253)</f>
        <v/>
      </c>
      <c r="J1253" s="275">
        <f>IF(ISBLANK('ENGAGEMENTS 2026'!B1253),"",IF(AND(OR($E1253="INFRUCTUEUX",$E1253="ANNULE"),$C1253="AOO-M"),'ENGAGEMENTS 2026'!O1253,IF($H1253="EN COURS DE PREENGAGEMENT",'ENGAGEMENTS 2026'!N1253,IF($H1253="PREENGAGE",IF($E1253="ATTRIBUE",'ENGAGEMENTS 2026'!AD1253,'ENGAGEMENTS 2026'!N1253),'ENGAGEMENTS 2026'!AD1253))))</f>
        <v/>
      </c>
      <c r="K1253" s="604">
        <f>IF(ISBLANK('ENGAGEMENTS 2026'!V1253),"",'ENGAGEMENTS 2026'!V1253)</f>
        <v/>
      </c>
      <c r="L1253" s="276">
        <f>IF($K1253="","",TODAY()-$K1253)</f>
        <v/>
      </c>
      <c r="M1253">
        <f>IF($A1253="","",IF($H1253="ENGAGE","Engagé",IF(AND($H1253="NON ENGAGE",OR($I1253="INFRUCTUEUX",$I1253="ANNULE")),"Clôturé sans suite","En cours")))</f>
        <v/>
      </c>
      <c r="N1253">
        <f>IF(ISBLANK('ENGAGEMENTS 2026'!B1253),"",'ENGAGEMENTS 2026'!K1253)</f>
        <v/>
      </c>
      <c r="O1253">
        <f>IF(ISBLANK('ENGAGEMENTS 2026'!B1253),"",'ENGAGEMENTS 2026'!L1253)</f>
        <v/>
      </c>
      <c r="P1253">
        <f>IF(ISBLANK('ENGAGEMENTS 2026'!B1253),"",'ENGAGEMENTS 2026'!J1253)</f>
        <v/>
      </c>
      <c r="Q1253">
        <f>IF($A1253="","",IF(OR($E1253="INFRUCTUEUX",$E1253="ANNULE"),$A1253&amp;"|"&amp;(COUNTIFS($A$2:$A1253,$A1253,$E$2:$E1253,"INFRUCTUEUX")+COUNTIFS($A$2:$A1253,$A1253,$E$2:$E1253,"ANNULE")),""))</f>
        <v/>
      </c>
    </row>
    <row r="1254">
      <c r="A1254">
        <f>IF(ISBLANK('ENGAGEMENTS 2026'!B1254),"",IF('ENGAGEMENTS 2026'!B1254="DTSI","DCT",'ENGAGEMENTS 2026'!B1254))</f>
        <v/>
      </c>
      <c r="B1254">
        <f>IF(ISBLANK('ENGAGEMENTS 2026'!B1254),"",'ENGAGEMENTS 2026'!C1254)</f>
        <v/>
      </c>
      <c r="C1254">
        <f>IF(ISBLANK('ENGAGEMENTS 2026'!B1254),"",'ENGAGEMENTS 2026'!D1254)</f>
        <v/>
      </c>
      <c r="D1254">
        <f>IF(ISBLANK('ENGAGEMENTS 2026'!B1254),"",'ENGAGEMENTS 2026'!F1254)</f>
        <v/>
      </c>
      <c r="E1254">
        <f>IF(ISBLANK('ENGAGEMENTS 2026'!B1254),"",'ENGAGEMENTS 2026'!H1254)</f>
        <v/>
      </c>
      <c r="F1254">
        <f>IF(ISBLANK('ENGAGEMENTS 2026'!B1254),"",'ENGAGEMENTS 2026'!I1254)</f>
        <v/>
      </c>
      <c r="G1254">
        <f>IF(ISBLANK('ENGAGEMENTS 2026'!B1254),"",'ENGAGEMENTS 2026'!L1254)</f>
        <v/>
      </c>
      <c r="H1254">
        <f>IF(ISBLANK('ENGAGEMENTS 2026'!B1254),"",'ENGAGEMENTS 2026'!AE1254)</f>
        <v/>
      </c>
      <c r="I1254">
        <f>IF(ISBLANK('ENGAGEMENTS 2026'!B1254),"",'ENGAGEMENTS 2026'!G1254)</f>
        <v/>
      </c>
      <c r="J1254" s="275">
        <f>IF(ISBLANK('ENGAGEMENTS 2026'!B1254),"",IF(AND(OR($E1254="INFRUCTUEUX",$E1254="ANNULE"),$C1254="AOO-M"),'ENGAGEMENTS 2026'!O1254,IF($H1254="EN COURS DE PREENGAGEMENT",'ENGAGEMENTS 2026'!N1254,IF($H1254="PREENGAGE",IF($E1254="ATTRIBUE",'ENGAGEMENTS 2026'!AD1254,'ENGAGEMENTS 2026'!N1254),'ENGAGEMENTS 2026'!AD1254))))</f>
        <v/>
      </c>
      <c r="K1254" s="604">
        <f>IF(ISBLANK('ENGAGEMENTS 2026'!V1254),"",'ENGAGEMENTS 2026'!V1254)</f>
        <v/>
      </c>
      <c r="L1254" s="276">
        <f>IF($K1254="","",TODAY()-$K1254)</f>
        <v/>
      </c>
      <c r="M1254">
        <f>IF($A1254="","",IF($H1254="ENGAGE","Engagé",IF(AND($H1254="NON ENGAGE",OR($I1254="INFRUCTUEUX",$I1254="ANNULE")),"Clôturé sans suite","En cours")))</f>
        <v/>
      </c>
      <c r="N1254">
        <f>IF(ISBLANK('ENGAGEMENTS 2026'!B1254),"",'ENGAGEMENTS 2026'!K1254)</f>
        <v/>
      </c>
      <c r="O1254">
        <f>IF(ISBLANK('ENGAGEMENTS 2026'!B1254),"",'ENGAGEMENTS 2026'!L1254)</f>
        <v/>
      </c>
      <c r="P1254">
        <f>IF(ISBLANK('ENGAGEMENTS 2026'!B1254),"",'ENGAGEMENTS 2026'!J1254)</f>
        <v/>
      </c>
      <c r="Q1254">
        <f>IF($A1254="","",IF(OR($E1254="INFRUCTUEUX",$E1254="ANNULE"),$A1254&amp;"|"&amp;(COUNTIFS($A$2:$A1254,$A1254,$E$2:$E1254,"INFRUCTUEUX")+COUNTIFS($A$2:$A1254,$A1254,$E$2:$E1254,"ANNULE")),""))</f>
        <v/>
      </c>
    </row>
    <row r="1255">
      <c r="A1255">
        <f>IF(ISBLANK('ENGAGEMENTS 2026'!B1255),"",IF('ENGAGEMENTS 2026'!B1255="DTSI","DCT",'ENGAGEMENTS 2026'!B1255))</f>
        <v/>
      </c>
      <c r="B1255">
        <f>IF(ISBLANK('ENGAGEMENTS 2026'!B1255),"",'ENGAGEMENTS 2026'!C1255)</f>
        <v/>
      </c>
      <c r="C1255">
        <f>IF(ISBLANK('ENGAGEMENTS 2026'!B1255),"",'ENGAGEMENTS 2026'!D1255)</f>
        <v/>
      </c>
      <c r="D1255">
        <f>IF(ISBLANK('ENGAGEMENTS 2026'!B1255),"",'ENGAGEMENTS 2026'!F1255)</f>
        <v/>
      </c>
      <c r="E1255">
        <f>IF(ISBLANK('ENGAGEMENTS 2026'!B1255),"",'ENGAGEMENTS 2026'!H1255)</f>
        <v/>
      </c>
      <c r="F1255">
        <f>IF(ISBLANK('ENGAGEMENTS 2026'!B1255),"",'ENGAGEMENTS 2026'!I1255)</f>
        <v/>
      </c>
      <c r="G1255">
        <f>IF(ISBLANK('ENGAGEMENTS 2026'!B1255),"",'ENGAGEMENTS 2026'!L1255)</f>
        <v/>
      </c>
      <c r="H1255">
        <f>IF(ISBLANK('ENGAGEMENTS 2026'!B1255),"",'ENGAGEMENTS 2026'!AE1255)</f>
        <v/>
      </c>
      <c r="I1255">
        <f>IF(ISBLANK('ENGAGEMENTS 2026'!B1255),"",'ENGAGEMENTS 2026'!G1255)</f>
        <v/>
      </c>
      <c r="J1255" s="275">
        <f>IF(ISBLANK('ENGAGEMENTS 2026'!B1255),"",IF(AND(OR($E1255="INFRUCTUEUX",$E1255="ANNULE"),$C1255="AOO-M"),'ENGAGEMENTS 2026'!O1255,IF($H1255="EN COURS DE PREENGAGEMENT",'ENGAGEMENTS 2026'!N1255,IF($H1255="PREENGAGE",IF($E1255="ATTRIBUE",'ENGAGEMENTS 2026'!AD1255,'ENGAGEMENTS 2026'!N1255),'ENGAGEMENTS 2026'!AD1255))))</f>
        <v/>
      </c>
      <c r="K1255" s="604">
        <f>IF(ISBLANK('ENGAGEMENTS 2026'!V1255),"",'ENGAGEMENTS 2026'!V1255)</f>
        <v/>
      </c>
      <c r="L1255" s="276">
        <f>IF($K1255="","",TODAY()-$K1255)</f>
        <v/>
      </c>
      <c r="M1255">
        <f>IF($A1255="","",IF($H1255="ENGAGE","Engagé",IF(AND($H1255="NON ENGAGE",OR($I1255="INFRUCTUEUX",$I1255="ANNULE")),"Clôturé sans suite","En cours")))</f>
        <v/>
      </c>
      <c r="N1255">
        <f>IF(ISBLANK('ENGAGEMENTS 2026'!B1255),"",'ENGAGEMENTS 2026'!K1255)</f>
        <v/>
      </c>
      <c r="O1255">
        <f>IF(ISBLANK('ENGAGEMENTS 2026'!B1255),"",'ENGAGEMENTS 2026'!L1255)</f>
        <v/>
      </c>
      <c r="P1255">
        <f>IF(ISBLANK('ENGAGEMENTS 2026'!B1255),"",'ENGAGEMENTS 2026'!J1255)</f>
        <v/>
      </c>
      <c r="Q1255">
        <f>IF($A1255="","",IF(OR($E1255="INFRUCTUEUX",$E1255="ANNULE"),$A1255&amp;"|"&amp;(COUNTIFS($A$2:$A1255,$A1255,$E$2:$E1255,"INFRUCTUEUX")+COUNTIFS($A$2:$A1255,$A1255,$E$2:$E1255,"ANNULE")),""))</f>
        <v/>
      </c>
    </row>
    <row r="1256">
      <c r="A1256">
        <f>IF(ISBLANK('ENGAGEMENTS 2026'!B1256),"",IF('ENGAGEMENTS 2026'!B1256="DTSI","DCT",'ENGAGEMENTS 2026'!B1256))</f>
        <v/>
      </c>
      <c r="B1256">
        <f>IF(ISBLANK('ENGAGEMENTS 2026'!B1256),"",'ENGAGEMENTS 2026'!C1256)</f>
        <v/>
      </c>
      <c r="C1256">
        <f>IF(ISBLANK('ENGAGEMENTS 2026'!B1256),"",'ENGAGEMENTS 2026'!D1256)</f>
        <v/>
      </c>
      <c r="D1256">
        <f>IF(ISBLANK('ENGAGEMENTS 2026'!B1256),"",'ENGAGEMENTS 2026'!F1256)</f>
        <v/>
      </c>
      <c r="E1256">
        <f>IF(ISBLANK('ENGAGEMENTS 2026'!B1256),"",'ENGAGEMENTS 2026'!H1256)</f>
        <v/>
      </c>
      <c r="F1256">
        <f>IF(ISBLANK('ENGAGEMENTS 2026'!B1256),"",'ENGAGEMENTS 2026'!I1256)</f>
        <v/>
      </c>
      <c r="G1256">
        <f>IF(ISBLANK('ENGAGEMENTS 2026'!B1256),"",'ENGAGEMENTS 2026'!L1256)</f>
        <v/>
      </c>
      <c r="H1256">
        <f>IF(ISBLANK('ENGAGEMENTS 2026'!B1256),"",'ENGAGEMENTS 2026'!AE1256)</f>
        <v/>
      </c>
      <c r="I1256">
        <f>IF(ISBLANK('ENGAGEMENTS 2026'!B1256),"",'ENGAGEMENTS 2026'!G1256)</f>
        <v/>
      </c>
      <c r="J1256" s="275">
        <f>IF(ISBLANK('ENGAGEMENTS 2026'!B1256),"",IF(AND(OR($E1256="INFRUCTUEUX",$E1256="ANNULE"),$C1256="AOO-M"),'ENGAGEMENTS 2026'!O1256,IF($H1256="EN COURS DE PREENGAGEMENT",'ENGAGEMENTS 2026'!N1256,IF($H1256="PREENGAGE",IF($E1256="ATTRIBUE",'ENGAGEMENTS 2026'!AD1256,'ENGAGEMENTS 2026'!N1256),'ENGAGEMENTS 2026'!AD1256))))</f>
        <v/>
      </c>
      <c r="K1256" s="604">
        <f>IF(ISBLANK('ENGAGEMENTS 2026'!V1256),"",'ENGAGEMENTS 2026'!V1256)</f>
        <v/>
      </c>
      <c r="L1256" s="276">
        <f>IF($K1256="","",TODAY()-$K1256)</f>
        <v/>
      </c>
      <c r="M1256">
        <f>IF($A1256="","",IF($H1256="ENGAGE","Engagé",IF(AND($H1256="NON ENGAGE",OR($I1256="INFRUCTUEUX",$I1256="ANNULE")),"Clôturé sans suite","En cours")))</f>
        <v/>
      </c>
      <c r="N1256">
        <f>IF(ISBLANK('ENGAGEMENTS 2026'!B1256),"",'ENGAGEMENTS 2026'!K1256)</f>
        <v/>
      </c>
      <c r="O1256">
        <f>IF(ISBLANK('ENGAGEMENTS 2026'!B1256),"",'ENGAGEMENTS 2026'!L1256)</f>
        <v/>
      </c>
      <c r="P1256">
        <f>IF(ISBLANK('ENGAGEMENTS 2026'!B1256),"",'ENGAGEMENTS 2026'!J1256)</f>
        <v/>
      </c>
      <c r="Q1256">
        <f>IF($A1256="","",IF(OR($E1256="INFRUCTUEUX",$E1256="ANNULE"),$A1256&amp;"|"&amp;(COUNTIFS($A$2:$A1256,$A1256,$E$2:$E1256,"INFRUCTUEUX")+COUNTIFS($A$2:$A1256,$A1256,$E$2:$E1256,"ANNULE")),""))</f>
        <v/>
      </c>
    </row>
    <row r="1257">
      <c r="A1257">
        <f>IF(ISBLANK('ENGAGEMENTS 2026'!B1257),"",IF('ENGAGEMENTS 2026'!B1257="DTSI","DCT",'ENGAGEMENTS 2026'!B1257))</f>
        <v/>
      </c>
      <c r="B1257">
        <f>IF(ISBLANK('ENGAGEMENTS 2026'!B1257),"",'ENGAGEMENTS 2026'!C1257)</f>
        <v/>
      </c>
      <c r="C1257">
        <f>IF(ISBLANK('ENGAGEMENTS 2026'!B1257),"",'ENGAGEMENTS 2026'!D1257)</f>
        <v/>
      </c>
      <c r="D1257">
        <f>IF(ISBLANK('ENGAGEMENTS 2026'!B1257),"",'ENGAGEMENTS 2026'!F1257)</f>
        <v/>
      </c>
      <c r="E1257">
        <f>IF(ISBLANK('ENGAGEMENTS 2026'!B1257),"",'ENGAGEMENTS 2026'!H1257)</f>
        <v/>
      </c>
      <c r="F1257">
        <f>IF(ISBLANK('ENGAGEMENTS 2026'!B1257),"",'ENGAGEMENTS 2026'!I1257)</f>
        <v/>
      </c>
      <c r="G1257">
        <f>IF(ISBLANK('ENGAGEMENTS 2026'!B1257),"",'ENGAGEMENTS 2026'!L1257)</f>
        <v/>
      </c>
      <c r="H1257">
        <f>IF(ISBLANK('ENGAGEMENTS 2026'!B1257),"",'ENGAGEMENTS 2026'!AE1257)</f>
        <v/>
      </c>
      <c r="I1257">
        <f>IF(ISBLANK('ENGAGEMENTS 2026'!B1257),"",'ENGAGEMENTS 2026'!G1257)</f>
        <v/>
      </c>
      <c r="J1257" s="275">
        <f>IF(ISBLANK('ENGAGEMENTS 2026'!B1257),"",IF(AND(OR($E1257="INFRUCTUEUX",$E1257="ANNULE"),$C1257="AOO-M"),'ENGAGEMENTS 2026'!O1257,IF($H1257="EN COURS DE PREENGAGEMENT",'ENGAGEMENTS 2026'!N1257,IF($H1257="PREENGAGE",IF($E1257="ATTRIBUE",'ENGAGEMENTS 2026'!AD1257,'ENGAGEMENTS 2026'!N1257),'ENGAGEMENTS 2026'!AD1257))))</f>
        <v/>
      </c>
      <c r="K1257" s="604">
        <f>IF(ISBLANK('ENGAGEMENTS 2026'!V1257),"",'ENGAGEMENTS 2026'!V1257)</f>
        <v/>
      </c>
      <c r="L1257" s="276">
        <f>IF($K1257="","",TODAY()-$K1257)</f>
        <v/>
      </c>
      <c r="M1257">
        <f>IF($A1257="","",IF($H1257="ENGAGE","Engagé",IF(AND($H1257="NON ENGAGE",OR($I1257="INFRUCTUEUX",$I1257="ANNULE")),"Clôturé sans suite","En cours")))</f>
        <v/>
      </c>
      <c r="N1257">
        <f>IF(ISBLANK('ENGAGEMENTS 2026'!B1257),"",'ENGAGEMENTS 2026'!K1257)</f>
        <v/>
      </c>
      <c r="O1257">
        <f>IF(ISBLANK('ENGAGEMENTS 2026'!B1257),"",'ENGAGEMENTS 2026'!L1257)</f>
        <v/>
      </c>
      <c r="P1257">
        <f>IF(ISBLANK('ENGAGEMENTS 2026'!B1257),"",'ENGAGEMENTS 2026'!J1257)</f>
        <v/>
      </c>
      <c r="Q1257">
        <f>IF($A1257="","",IF(OR($E1257="INFRUCTUEUX",$E1257="ANNULE"),$A1257&amp;"|"&amp;(COUNTIFS($A$2:$A1257,$A1257,$E$2:$E1257,"INFRUCTUEUX")+COUNTIFS($A$2:$A1257,$A1257,$E$2:$E1257,"ANNULE")),""))</f>
        <v/>
      </c>
    </row>
    <row r="1258">
      <c r="A1258">
        <f>IF(ISBLANK('ENGAGEMENTS 2026'!B1258),"",IF('ENGAGEMENTS 2026'!B1258="DTSI","DCT",'ENGAGEMENTS 2026'!B1258))</f>
        <v/>
      </c>
      <c r="B1258">
        <f>IF(ISBLANK('ENGAGEMENTS 2026'!B1258),"",'ENGAGEMENTS 2026'!C1258)</f>
        <v/>
      </c>
      <c r="C1258">
        <f>IF(ISBLANK('ENGAGEMENTS 2026'!B1258),"",'ENGAGEMENTS 2026'!D1258)</f>
        <v/>
      </c>
      <c r="D1258">
        <f>IF(ISBLANK('ENGAGEMENTS 2026'!B1258),"",'ENGAGEMENTS 2026'!F1258)</f>
        <v/>
      </c>
      <c r="E1258">
        <f>IF(ISBLANK('ENGAGEMENTS 2026'!B1258),"",'ENGAGEMENTS 2026'!H1258)</f>
        <v/>
      </c>
      <c r="F1258">
        <f>IF(ISBLANK('ENGAGEMENTS 2026'!B1258),"",'ENGAGEMENTS 2026'!I1258)</f>
        <v/>
      </c>
      <c r="G1258">
        <f>IF(ISBLANK('ENGAGEMENTS 2026'!B1258),"",'ENGAGEMENTS 2026'!L1258)</f>
        <v/>
      </c>
      <c r="H1258">
        <f>IF(ISBLANK('ENGAGEMENTS 2026'!B1258),"",'ENGAGEMENTS 2026'!AE1258)</f>
        <v/>
      </c>
      <c r="I1258">
        <f>IF(ISBLANK('ENGAGEMENTS 2026'!B1258),"",'ENGAGEMENTS 2026'!G1258)</f>
        <v/>
      </c>
      <c r="J1258" s="275">
        <f>IF(ISBLANK('ENGAGEMENTS 2026'!B1258),"",IF(AND(OR($E1258="INFRUCTUEUX",$E1258="ANNULE"),$C1258="AOO-M"),'ENGAGEMENTS 2026'!O1258,IF($H1258="EN COURS DE PREENGAGEMENT",'ENGAGEMENTS 2026'!N1258,IF($H1258="PREENGAGE",IF($E1258="ATTRIBUE",'ENGAGEMENTS 2026'!AD1258,'ENGAGEMENTS 2026'!N1258),'ENGAGEMENTS 2026'!AD1258))))</f>
        <v/>
      </c>
      <c r="K1258" s="604">
        <f>IF(ISBLANK('ENGAGEMENTS 2026'!V1258),"",'ENGAGEMENTS 2026'!V1258)</f>
        <v/>
      </c>
      <c r="L1258" s="276">
        <f>IF($K1258="","",TODAY()-$K1258)</f>
        <v/>
      </c>
      <c r="M1258">
        <f>IF($A1258="","",IF($H1258="ENGAGE","Engagé",IF(AND($H1258="NON ENGAGE",OR($I1258="INFRUCTUEUX",$I1258="ANNULE")),"Clôturé sans suite","En cours")))</f>
        <v/>
      </c>
      <c r="N1258">
        <f>IF(ISBLANK('ENGAGEMENTS 2026'!B1258),"",'ENGAGEMENTS 2026'!K1258)</f>
        <v/>
      </c>
      <c r="O1258">
        <f>IF(ISBLANK('ENGAGEMENTS 2026'!B1258),"",'ENGAGEMENTS 2026'!L1258)</f>
        <v/>
      </c>
      <c r="P1258">
        <f>IF(ISBLANK('ENGAGEMENTS 2026'!B1258),"",'ENGAGEMENTS 2026'!J1258)</f>
        <v/>
      </c>
      <c r="Q1258">
        <f>IF($A1258="","",IF(OR($E1258="INFRUCTUEUX",$E1258="ANNULE"),$A1258&amp;"|"&amp;(COUNTIFS($A$2:$A1258,$A1258,$E$2:$E1258,"INFRUCTUEUX")+COUNTIFS($A$2:$A1258,$A1258,$E$2:$E1258,"ANNULE")),""))</f>
        <v/>
      </c>
    </row>
    <row r="1259">
      <c r="A1259">
        <f>IF(ISBLANK('ENGAGEMENTS 2026'!B1259),"",IF('ENGAGEMENTS 2026'!B1259="DTSI","DCT",'ENGAGEMENTS 2026'!B1259))</f>
        <v/>
      </c>
      <c r="B1259">
        <f>IF(ISBLANK('ENGAGEMENTS 2026'!B1259),"",'ENGAGEMENTS 2026'!C1259)</f>
        <v/>
      </c>
      <c r="C1259">
        <f>IF(ISBLANK('ENGAGEMENTS 2026'!B1259),"",'ENGAGEMENTS 2026'!D1259)</f>
        <v/>
      </c>
      <c r="D1259">
        <f>IF(ISBLANK('ENGAGEMENTS 2026'!B1259),"",'ENGAGEMENTS 2026'!F1259)</f>
        <v/>
      </c>
      <c r="E1259">
        <f>IF(ISBLANK('ENGAGEMENTS 2026'!B1259),"",'ENGAGEMENTS 2026'!H1259)</f>
        <v/>
      </c>
      <c r="F1259">
        <f>IF(ISBLANK('ENGAGEMENTS 2026'!B1259),"",'ENGAGEMENTS 2026'!I1259)</f>
        <v/>
      </c>
      <c r="G1259">
        <f>IF(ISBLANK('ENGAGEMENTS 2026'!B1259),"",'ENGAGEMENTS 2026'!L1259)</f>
        <v/>
      </c>
      <c r="H1259">
        <f>IF(ISBLANK('ENGAGEMENTS 2026'!B1259),"",'ENGAGEMENTS 2026'!AE1259)</f>
        <v/>
      </c>
      <c r="I1259">
        <f>IF(ISBLANK('ENGAGEMENTS 2026'!B1259),"",'ENGAGEMENTS 2026'!G1259)</f>
        <v/>
      </c>
      <c r="J1259" s="275">
        <f>IF(ISBLANK('ENGAGEMENTS 2026'!B1259),"",IF(AND(OR($E1259="INFRUCTUEUX",$E1259="ANNULE"),$C1259="AOO-M"),'ENGAGEMENTS 2026'!O1259,IF($H1259="EN COURS DE PREENGAGEMENT",'ENGAGEMENTS 2026'!N1259,IF($H1259="PREENGAGE",IF($E1259="ATTRIBUE",'ENGAGEMENTS 2026'!AD1259,'ENGAGEMENTS 2026'!N1259),'ENGAGEMENTS 2026'!AD1259))))</f>
        <v/>
      </c>
      <c r="K1259" s="604">
        <f>IF(ISBLANK('ENGAGEMENTS 2026'!V1259),"",'ENGAGEMENTS 2026'!V1259)</f>
        <v/>
      </c>
      <c r="L1259" s="276">
        <f>IF($K1259="","",TODAY()-$K1259)</f>
        <v/>
      </c>
      <c r="M1259">
        <f>IF($A1259="","",IF($H1259="ENGAGE","Engagé",IF(AND($H1259="NON ENGAGE",OR($I1259="INFRUCTUEUX",$I1259="ANNULE")),"Clôturé sans suite","En cours")))</f>
        <v/>
      </c>
      <c r="N1259">
        <f>IF(ISBLANK('ENGAGEMENTS 2026'!B1259),"",'ENGAGEMENTS 2026'!K1259)</f>
        <v/>
      </c>
      <c r="O1259">
        <f>IF(ISBLANK('ENGAGEMENTS 2026'!B1259),"",'ENGAGEMENTS 2026'!L1259)</f>
        <v/>
      </c>
      <c r="P1259">
        <f>IF(ISBLANK('ENGAGEMENTS 2026'!B1259),"",'ENGAGEMENTS 2026'!J1259)</f>
        <v/>
      </c>
      <c r="Q1259">
        <f>IF($A1259="","",IF(OR($E1259="INFRUCTUEUX",$E1259="ANNULE"),$A1259&amp;"|"&amp;(COUNTIFS($A$2:$A1259,$A1259,$E$2:$E1259,"INFRUCTUEUX")+COUNTIFS($A$2:$A1259,$A1259,$E$2:$E1259,"ANNULE")),""))</f>
        <v/>
      </c>
    </row>
    <row r="1260">
      <c r="A1260">
        <f>IF(ISBLANK('ENGAGEMENTS 2026'!B1260),"",IF('ENGAGEMENTS 2026'!B1260="DTSI","DCT",'ENGAGEMENTS 2026'!B1260))</f>
        <v/>
      </c>
      <c r="B1260">
        <f>IF(ISBLANK('ENGAGEMENTS 2026'!B1260),"",'ENGAGEMENTS 2026'!C1260)</f>
        <v/>
      </c>
      <c r="C1260">
        <f>IF(ISBLANK('ENGAGEMENTS 2026'!B1260),"",'ENGAGEMENTS 2026'!D1260)</f>
        <v/>
      </c>
      <c r="D1260">
        <f>IF(ISBLANK('ENGAGEMENTS 2026'!B1260),"",'ENGAGEMENTS 2026'!F1260)</f>
        <v/>
      </c>
      <c r="E1260">
        <f>IF(ISBLANK('ENGAGEMENTS 2026'!B1260),"",'ENGAGEMENTS 2026'!H1260)</f>
        <v/>
      </c>
      <c r="F1260">
        <f>IF(ISBLANK('ENGAGEMENTS 2026'!B1260),"",'ENGAGEMENTS 2026'!I1260)</f>
        <v/>
      </c>
      <c r="G1260">
        <f>IF(ISBLANK('ENGAGEMENTS 2026'!B1260),"",'ENGAGEMENTS 2026'!L1260)</f>
        <v/>
      </c>
      <c r="H1260">
        <f>IF(ISBLANK('ENGAGEMENTS 2026'!B1260),"",'ENGAGEMENTS 2026'!AE1260)</f>
        <v/>
      </c>
      <c r="I1260">
        <f>IF(ISBLANK('ENGAGEMENTS 2026'!B1260),"",'ENGAGEMENTS 2026'!G1260)</f>
        <v/>
      </c>
      <c r="J1260" s="275">
        <f>IF(ISBLANK('ENGAGEMENTS 2026'!B1260),"",IF(AND(OR($E1260="INFRUCTUEUX",$E1260="ANNULE"),$C1260="AOO-M"),'ENGAGEMENTS 2026'!O1260,IF($H1260="EN COURS DE PREENGAGEMENT",'ENGAGEMENTS 2026'!N1260,IF($H1260="PREENGAGE",IF($E1260="ATTRIBUE",'ENGAGEMENTS 2026'!AD1260,'ENGAGEMENTS 2026'!N1260),'ENGAGEMENTS 2026'!AD1260))))</f>
        <v/>
      </c>
      <c r="K1260" s="604">
        <f>IF(ISBLANK('ENGAGEMENTS 2026'!V1260),"",'ENGAGEMENTS 2026'!V1260)</f>
        <v/>
      </c>
      <c r="L1260" s="276">
        <f>IF($K1260="","",TODAY()-$K1260)</f>
        <v/>
      </c>
      <c r="M1260">
        <f>IF($A1260="","",IF($H1260="ENGAGE","Engagé",IF(AND($H1260="NON ENGAGE",OR($I1260="INFRUCTUEUX",$I1260="ANNULE")),"Clôturé sans suite","En cours")))</f>
        <v/>
      </c>
      <c r="N1260">
        <f>IF(ISBLANK('ENGAGEMENTS 2026'!B1260),"",'ENGAGEMENTS 2026'!K1260)</f>
        <v/>
      </c>
      <c r="O1260">
        <f>IF(ISBLANK('ENGAGEMENTS 2026'!B1260),"",'ENGAGEMENTS 2026'!L1260)</f>
        <v/>
      </c>
      <c r="P1260">
        <f>IF(ISBLANK('ENGAGEMENTS 2026'!B1260),"",'ENGAGEMENTS 2026'!J1260)</f>
        <v/>
      </c>
      <c r="Q1260">
        <f>IF($A1260="","",IF(OR($E1260="INFRUCTUEUX",$E1260="ANNULE"),$A1260&amp;"|"&amp;(COUNTIFS($A$2:$A1260,$A1260,$E$2:$E1260,"INFRUCTUEUX")+COUNTIFS($A$2:$A1260,$A1260,$E$2:$E1260,"ANNULE")),""))</f>
        <v/>
      </c>
    </row>
    <row r="1261">
      <c r="A1261">
        <f>IF(ISBLANK('ENGAGEMENTS 2026'!B1261),"",IF('ENGAGEMENTS 2026'!B1261="DTSI","DCT",'ENGAGEMENTS 2026'!B1261))</f>
        <v/>
      </c>
      <c r="B1261">
        <f>IF(ISBLANK('ENGAGEMENTS 2026'!B1261),"",'ENGAGEMENTS 2026'!C1261)</f>
        <v/>
      </c>
      <c r="C1261">
        <f>IF(ISBLANK('ENGAGEMENTS 2026'!B1261),"",'ENGAGEMENTS 2026'!D1261)</f>
        <v/>
      </c>
      <c r="D1261">
        <f>IF(ISBLANK('ENGAGEMENTS 2026'!B1261),"",'ENGAGEMENTS 2026'!F1261)</f>
        <v/>
      </c>
      <c r="E1261">
        <f>IF(ISBLANK('ENGAGEMENTS 2026'!B1261),"",'ENGAGEMENTS 2026'!H1261)</f>
        <v/>
      </c>
      <c r="F1261">
        <f>IF(ISBLANK('ENGAGEMENTS 2026'!B1261),"",'ENGAGEMENTS 2026'!I1261)</f>
        <v/>
      </c>
      <c r="G1261">
        <f>IF(ISBLANK('ENGAGEMENTS 2026'!B1261),"",'ENGAGEMENTS 2026'!L1261)</f>
        <v/>
      </c>
      <c r="H1261">
        <f>IF(ISBLANK('ENGAGEMENTS 2026'!B1261),"",'ENGAGEMENTS 2026'!AE1261)</f>
        <v/>
      </c>
      <c r="I1261">
        <f>IF(ISBLANK('ENGAGEMENTS 2026'!B1261),"",'ENGAGEMENTS 2026'!G1261)</f>
        <v/>
      </c>
      <c r="J1261" s="275">
        <f>IF(ISBLANK('ENGAGEMENTS 2026'!B1261),"",IF(AND(OR($E1261="INFRUCTUEUX",$E1261="ANNULE"),$C1261="AOO-M"),'ENGAGEMENTS 2026'!O1261,IF($H1261="EN COURS DE PREENGAGEMENT",'ENGAGEMENTS 2026'!N1261,IF($H1261="PREENGAGE",IF($E1261="ATTRIBUE",'ENGAGEMENTS 2026'!AD1261,'ENGAGEMENTS 2026'!N1261),'ENGAGEMENTS 2026'!AD1261))))</f>
        <v/>
      </c>
      <c r="K1261" s="604">
        <f>IF(ISBLANK('ENGAGEMENTS 2026'!V1261),"",'ENGAGEMENTS 2026'!V1261)</f>
        <v/>
      </c>
      <c r="L1261" s="276">
        <f>IF($K1261="","",TODAY()-$K1261)</f>
        <v/>
      </c>
      <c r="M1261">
        <f>IF($A1261="","",IF($H1261="ENGAGE","Engagé",IF(AND($H1261="NON ENGAGE",OR($I1261="INFRUCTUEUX",$I1261="ANNULE")),"Clôturé sans suite","En cours")))</f>
        <v/>
      </c>
      <c r="N1261">
        <f>IF(ISBLANK('ENGAGEMENTS 2026'!B1261),"",'ENGAGEMENTS 2026'!K1261)</f>
        <v/>
      </c>
      <c r="O1261">
        <f>IF(ISBLANK('ENGAGEMENTS 2026'!B1261),"",'ENGAGEMENTS 2026'!L1261)</f>
        <v/>
      </c>
      <c r="P1261">
        <f>IF(ISBLANK('ENGAGEMENTS 2026'!B1261),"",'ENGAGEMENTS 2026'!J1261)</f>
        <v/>
      </c>
      <c r="Q1261">
        <f>IF($A1261="","",IF(OR($E1261="INFRUCTUEUX",$E1261="ANNULE"),$A1261&amp;"|"&amp;(COUNTIFS($A$2:$A1261,$A1261,$E$2:$E1261,"INFRUCTUEUX")+COUNTIFS($A$2:$A1261,$A1261,$E$2:$E1261,"ANNULE")),""))</f>
        <v/>
      </c>
    </row>
    <row r="1262">
      <c r="A1262">
        <f>IF(ISBLANK('ENGAGEMENTS 2026'!B1262),"",IF('ENGAGEMENTS 2026'!B1262="DTSI","DCT",'ENGAGEMENTS 2026'!B1262))</f>
        <v/>
      </c>
      <c r="B1262">
        <f>IF(ISBLANK('ENGAGEMENTS 2026'!B1262),"",'ENGAGEMENTS 2026'!C1262)</f>
        <v/>
      </c>
      <c r="C1262">
        <f>IF(ISBLANK('ENGAGEMENTS 2026'!B1262),"",'ENGAGEMENTS 2026'!D1262)</f>
        <v/>
      </c>
      <c r="D1262">
        <f>IF(ISBLANK('ENGAGEMENTS 2026'!B1262),"",'ENGAGEMENTS 2026'!F1262)</f>
        <v/>
      </c>
      <c r="E1262">
        <f>IF(ISBLANK('ENGAGEMENTS 2026'!B1262),"",'ENGAGEMENTS 2026'!H1262)</f>
        <v/>
      </c>
      <c r="F1262">
        <f>IF(ISBLANK('ENGAGEMENTS 2026'!B1262),"",'ENGAGEMENTS 2026'!I1262)</f>
        <v/>
      </c>
      <c r="G1262">
        <f>IF(ISBLANK('ENGAGEMENTS 2026'!B1262),"",'ENGAGEMENTS 2026'!L1262)</f>
        <v/>
      </c>
      <c r="H1262">
        <f>IF(ISBLANK('ENGAGEMENTS 2026'!B1262),"",'ENGAGEMENTS 2026'!AE1262)</f>
        <v/>
      </c>
      <c r="I1262">
        <f>IF(ISBLANK('ENGAGEMENTS 2026'!B1262),"",'ENGAGEMENTS 2026'!G1262)</f>
        <v/>
      </c>
      <c r="J1262" s="275">
        <f>IF(ISBLANK('ENGAGEMENTS 2026'!B1262),"",IF(AND(OR($E1262="INFRUCTUEUX",$E1262="ANNULE"),$C1262="AOO-M"),'ENGAGEMENTS 2026'!O1262,IF($H1262="EN COURS DE PREENGAGEMENT",'ENGAGEMENTS 2026'!N1262,IF($H1262="PREENGAGE",IF($E1262="ATTRIBUE",'ENGAGEMENTS 2026'!AD1262,'ENGAGEMENTS 2026'!N1262),'ENGAGEMENTS 2026'!AD1262))))</f>
        <v/>
      </c>
      <c r="K1262" s="604">
        <f>IF(ISBLANK('ENGAGEMENTS 2026'!V1262),"",'ENGAGEMENTS 2026'!V1262)</f>
        <v/>
      </c>
      <c r="L1262" s="276">
        <f>IF($K1262="","",TODAY()-$K1262)</f>
        <v/>
      </c>
      <c r="M1262">
        <f>IF($A1262="","",IF($H1262="ENGAGE","Engagé",IF(AND($H1262="NON ENGAGE",OR($I1262="INFRUCTUEUX",$I1262="ANNULE")),"Clôturé sans suite","En cours")))</f>
        <v/>
      </c>
      <c r="N1262">
        <f>IF(ISBLANK('ENGAGEMENTS 2026'!B1262),"",'ENGAGEMENTS 2026'!K1262)</f>
        <v/>
      </c>
      <c r="O1262">
        <f>IF(ISBLANK('ENGAGEMENTS 2026'!B1262),"",'ENGAGEMENTS 2026'!L1262)</f>
        <v/>
      </c>
      <c r="P1262">
        <f>IF(ISBLANK('ENGAGEMENTS 2026'!B1262),"",'ENGAGEMENTS 2026'!J1262)</f>
        <v/>
      </c>
      <c r="Q1262">
        <f>IF($A1262="","",IF(OR($E1262="INFRUCTUEUX",$E1262="ANNULE"),$A1262&amp;"|"&amp;(COUNTIFS($A$2:$A1262,$A1262,$E$2:$E1262,"INFRUCTUEUX")+COUNTIFS($A$2:$A1262,$A1262,$E$2:$E1262,"ANNULE")),""))</f>
        <v/>
      </c>
    </row>
    <row r="1263">
      <c r="A1263">
        <f>IF(ISBLANK('ENGAGEMENTS 2026'!B1263),"",IF('ENGAGEMENTS 2026'!B1263="DTSI","DCT",'ENGAGEMENTS 2026'!B1263))</f>
        <v/>
      </c>
      <c r="B1263">
        <f>IF(ISBLANK('ENGAGEMENTS 2026'!B1263),"",'ENGAGEMENTS 2026'!C1263)</f>
        <v/>
      </c>
      <c r="C1263">
        <f>IF(ISBLANK('ENGAGEMENTS 2026'!B1263),"",'ENGAGEMENTS 2026'!D1263)</f>
        <v/>
      </c>
      <c r="D1263">
        <f>IF(ISBLANK('ENGAGEMENTS 2026'!B1263),"",'ENGAGEMENTS 2026'!F1263)</f>
        <v/>
      </c>
      <c r="E1263">
        <f>IF(ISBLANK('ENGAGEMENTS 2026'!B1263),"",'ENGAGEMENTS 2026'!H1263)</f>
        <v/>
      </c>
      <c r="F1263">
        <f>IF(ISBLANK('ENGAGEMENTS 2026'!B1263),"",'ENGAGEMENTS 2026'!I1263)</f>
        <v/>
      </c>
      <c r="G1263">
        <f>IF(ISBLANK('ENGAGEMENTS 2026'!B1263),"",'ENGAGEMENTS 2026'!L1263)</f>
        <v/>
      </c>
      <c r="H1263">
        <f>IF(ISBLANK('ENGAGEMENTS 2026'!B1263),"",'ENGAGEMENTS 2026'!AE1263)</f>
        <v/>
      </c>
      <c r="I1263">
        <f>IF(ISBLANK('ENGAGEMENTS 2026'!B1263),"",'ENGAGEMENTS 2026'!G1263)</f>
        <v/>
      </c>
      <c r="J1263" s="275">
        <f>IF(ISBLANK('ENGAGEMENTS 2026'!B1263),"",IF(AND(OR($E1263="INFRUCTUEUX",$E1263="ANNULE"),$C1263="AOO-M"),'ENGAGEMENTS 2026'!O1263,IF($H1263="EN COURS DE PREENGAGEMENT",'ENGAGEMENTS 2026'!N1263,IF($H1263="PREENGAGE",IF($E1263="ATTRIBUE",'ENGAGEMENTS 2026'!AD1263,'ENGAGEMENTS 2026'!N1263),'ENGAGEMENTS 2026'!AD1263))))</f>
        <v/>
      </c>
      <c r="K1263" s="604">
        <f>IF(ISBLANK('ENGAGEMENTS 2026'!V1263),"",'ENGAGEMENTS 2026'!V1263)</f>
        <v/>
      </c>
      <c r="L1263" s="276">
        <f>IF($K1263="","",TODAY()-$K1263)</f>
        <v/>
      </c>
      <c r="M1263">
        <f>IF($A1263="","",IF($H1263="ENGAGE","Engagé",IF(AND($H1263="NON ENGAGE",OR($I1263="INFRUCTUEUX",$I1263="ANNULE")),"Clôturé sans suite","En cours")))</f>
        <v/>
      </c>
      <c r="N1263">
        <f>IF(ISBLANK('ENGAGEMENTS 2026'!B1263),"",'ENGAGEMENTS 2026'!K1263)</f>
        <v/>
      </c>
      <c r="O1263">
        <f>IF(ISBLANK('ENGAGEMENTS 2026'!B1263),"",'ENGAGEMENTS 2026'!L1263)</f>
        <v/>
      </c>
      <c r="P1263">
        <f>IF(ISBLANK('ENGAGEMENTS 2026'!B1263),"",'ENGAGEMENTS 2026'!J1263)</f>
        <v/>
      </c>
      <c r="Q1263">
        <f>IF($A1263="","",IF(OR($E1263="INFRUCTUEUX",$E1263="ANNULE"),$A1263&amp;"|"&amp;(COUNTIFS($A$2:$A1263,$A1263,$E$2:$E1263,"INFRUCTUEUX")+COUNTIFS($A$2:$A1263,$A1263,$E$2:$E1263,"ANNULE")),""))</f>
        <v/>
      </c>
    </row>
    <row r="1264">
      <c r="A1264">
        <f>IF(ISBLANK('ENGAGEMENTS 2026'!B1264),"",IF('ENGAGEMENTS 2026'!B1264="DTSI","DCT",'ENGAGEMENTS 2026'!B1264))</f>
        <v/>
      </c>
      <c r="B1264">
        <f>IF(ISBLANK('ENGAGEMENTS 2026'!B1264),"",'ENGAGEMENTS 2026'!C1264)</f>
        <v/>
      </c>
      <c r="C1264">
        <f>IF(ISBLANK('ENGAGEMENTS 2026'!B1264),"",'ENGAGEMENTS 2026'!D1264)</f>
        <v/>
      </c>
      <c r="D1264">
        <f>IF(ISBLANK('ENGAGEMENTS 2026'!B1264),"",'ENGAGEMENTS 2026'!F1264)</f>
        <v/>
      </c>
      <c r="E1264">
        <f>IF(ISBLANK('ENGAGEMENTS 2026'!B1264),"",'ENGAGEMENTS 2026'!H1264)</f>
        <v/>
      </c>
      <c r="F1264">
        <f>IF(ISBLANK('ENGAGEMENTS 2026'!B1264),"",'ENGAGEMENTS 2026'!I1264)</f>
        <v/>
      </c>
      <c r="G1264">
        <f>IF(ISBLANK('ENGAGEMENTS 2026'!B1264),"",'ENGAGEMENTS 2026'!L1264)</f>
        <v/>
      </c>
      <c r="H1264">
        <f>IF(ISBLANK('ENGAGEMENTS 2026'!B1264),"",'ENGAGEMENTS 2026'!AE1264)</f>
        <v/>
      </c>
      <c r="I1264">
        <f>IF(ISBLANK('ENGAGEMENTS 2026'!B1264),"",'ENGAGEMENTS 2026'!G1264)</f>
        <v/>
      </c>
      <c r="J1264" s="275">
        <f>IF(ISBLANK('ENGAGEMENTS 2026'!B1264),"",IF(AND(OR($E1264="INFRUCTUEUX",$E1264="ANNULE"),$C1264="AOO-M"),'ENGAGEMENTS 2026'!O1264,IF($H1264="EN COURS DE PREENGAGEMENT",'ENGAGEMENTS 2026'!N1264,IF($H1264="PREENGAGE",IF($E1264="ATTRIBUE",'ENGAGEMENTS 2026'!AD1264,'ENGAGEMENTS 2026'!N1264),'ENGAGEMENTS 2026'!AD1264))))</f>
        <v/>
      </c>
      <c r="K1264" s="604">
        <f>IF(ISBLANK('ENGAGEMENTS 2026'!V1264),"",'ENGAGEMENTS 2026'!V1264)</f>
        <v/>
      </c>
      <c r="L1264" s="276">
        <f>IF($K1264="","",TODAY()-$K1264)</f>
        <v/>
      </c>
      <c r="M1264">
        <f>IF($A1264="","",IF($H1264="ENGAGE","Engagé",IF(AND($H1264="NON ENGAGE",OR($I1264="INFRUCTUEUX",$I1264="ANNULE")),"Clôturé sans suite","En cours")))</f>
        <v/>
      </c>
      <c r="N1264">
        <f>IF(ISBLANK('ENGAGEMENTS 2026'!B1264),"",'ENGAGEMENTS 2026'!K1264)</f>
        <v/>
      </c>
      <c r="O1264">
        <f>IF(ISBLANK('ENGAGEMENTS 2026'!B1264),"",'ENGAGEMENTS 2026'!L1264)</f>
        <v/>
      </c>
      <c r="P1264">
        <f>IF(ISBLANK('ENGAGEMENTS 2026'!B1264),"",'ENGAGEMENTS 2026'!J1264)</f>
        <v/>
      </c>
      <c r="Q1264">
        <f>IF($A1264="","",IF(OR($E1264="INFRUCTUEUX",$E1264="ANNULE"),$A1264&amp;"|"&amp;(COUNTIFS($A$2:$A1264,$A1264,$E$2:$E1264,"INFRUCTUEUX")+COUNTIFS($A$2:$A1264,$A1264,$E$2:$E1264,"ANNULE")),""))</f>
        <v/>
      </c>
    </row>
    <row r="1265">
      <c r="A1265">
        <f>IF(ISBLANK('ENGAGEMENTS 2026'!B1265),"",IF('ENGAGEMENTS 2026'!B1265="DTSI","DCT",'ENGAGEMENTS 2026'!B1265))</f>
        <v/>
      </c>
      <c r="B1265">
        <f>IF(ISBLANK('ENGAGEMENTS 2026'!B1265),"",'ENGAGEMENTS 2026'!C1265)</f>
        <v/>
      </c>
      <c r="C1265">
        <f>IF(ISBLANK('ENGAGEMENTS 2026'!B1265),"",'ENGAGEMENTS 2026'!D1265)</f>
        <v/>
      </c>
      <c r="D1265">
        <f>IF(ISBLANK('ENGAGEMENTS 2026'!B1265),"",'ENGAGEMENTS 2026'!F1265)</f>
        <v/>
      </c>
      <c r="E1265">
        <f>IF(ISBLANK('ENGAGEMENTS 2026'!B1265),"",'ENGAGEMENTS 2026'!H1265)</f>
        <v/>
      </c>
      <c r="F1265">
        <f>IF(ISBLANK('ENGAGEMENTS 2026'!B1265),"",'ENGAGEMENTS 2026'!I1265)</f>
        <v/>
      </c>
      <c r="G1265">
        <f>IF(ISBLANK('ENGAGEMENTS 2026'!B1265),"",'ENGAGEMENTS 2026'!L1265)</f>
        <v/>
      </c>
      <c r="H1265">
        <f>IF(ISBLANK('ENGAGEMENTS 2026'!B1265),"",'ENGAGEMENTS 2026'!AE1265)</f>
        <v/>
      </c>
      <c r="I1265">
        <f>IF(ISBLANK('ENGAGEMENTS 2026'!B1265),"",'ENGAGEMENTS 2026'!G1265)</f>
        <v/>
      </c>
      <c r="J1265" s="275">
        <f>IF(ISBLANK('ENGAGEMENTS 2026'!B1265),"",IF(AND(OR($E1265="INFRUCTUEUX",$E1265="ANNULE"),$C1265="AOO-M"),'ENGAGEMENTS 2026'!O1265,IF($H1265="EN COURS DE PREENGAGEMENT",'ENGAGEMENTS 2026'!N1265,IF($H1265="PREENGAGE",IF($E1265="ATTRIBUE",'ENGAGEMENTS 2026'!AD1265,'ENGAGEMENTS 2026'!N1265),'ENGAGEMENTS 2026'!AD1265))))</f>
        <v/>
      </c>
      <c r="K1265" s="604">
        <f>IF(ISBLANK('ENGAGEMENTS 2026'!V1265),"",'ENGAGEMENTS 2026'!V1265)</f>
        <v/>
      </c>
      <c r="L1265" s="276">
        <f>IF($K1265="","",TODAY()-$K1265)</f>
        <v/>
      </c>
      <c r="M1265">
        <f>IF($A1265="","",IF($H1265="ENGAGE","Engagé",IF(AND($H1265="NON ENGAGE",OR($I1265="INFRUCTUEUX",$I1265="ANNULE")),"Clôturé sans suite","En cours")))</f>
        <v/>
      </c>
      <c r="N1265">
        <f>IF(ISBLANK('ENGAGEMENTS 2026'!B1265),"",'ENGAGEMENTS 2026'!K1265)</f>
        <v/>
      </c>
      <c r="O1265">
        <f>IF(ISBLANK('ENGAGEMENTS 2026'!B1265),"",'ENGAGEMENTS 2026'!L1265)</f>
        <v/>
      </c>
      <c r="P1265">
        <f>IF(ISBLANK('ENGAGEMENTS 2026'!B1265),"",'ENGAGEMENTS 2026'!J1265)</f>
        <v/>
      </c>
      <c r="Q1265">
        <f>IF($A1265="","",IF(OR($E1265="INFRUCTUEUX",$E1265="ANNULE"),$A1265&amp;"|"&amp;(COUNTIFS($A$2:$A1265,$A1265,$E$2:$E1265,"INFRUCTUEUX")+COUNTIFS($A$2:$A1265,$A1265,$E$2:$E1265,"ANNULE")),""))</f>
        <v/>
      </c>
    </row>
    <row r="1266">
      <c r="A1266">
        <f>IF(ISBLANK('ENGAGEMENTS 2026'!B1266),"",IF('ENGAGEMENTS 2026'!B1266="DTSI","DCT",'ENGAGEMENTS 2026'!B1266))</f>
        <v/>
      </c>
      <c r="B1266">
        <f>IF(ISBLANK('ENGAGEMENTS 2026'!B1266),"",'ENGAGEMENTS 2026'!C1266)</f>
        <v/>
      </c>
      <c r="C1266">
        <f>IF(ISBLANK('ENGAGEMENTS 2026'!B1266),"",'ENGAGEMENTS 2026'!D1266)</f>
        <v/>
      </c>
      <c r="D1266">
        <f>IF(ISBLANK('ENGAGEMENTS 2026'!B1266),"",'ENGAGEMENTS 2026'!F1266)</f>
        <v/>
      </c>
      <c r="E1266">
        <f>IF(ISBLANK('ENGAGEMENTS 2026'!B1266),"",'ENGAGEMENTS 2026'!H1266)</f>
        <v/>
      </c>
      <c r="F1266">
        <f>IF(ISBLANK('ENGAGEMENTS 2026'!B1266),"",'ENGAGEMENTS 2026'!I1266)</f>
        <v/>
      </c>
      <c r="G1266">
        <f>IF(ISBLANK('ENGAGEMENTS 2026'!B1266),"",'ENGAGEMENTS 2026'!L1266)</f>
        <v/>
      </c>
      <c r="H1266">
        <f>IF(ISBLANK('ENGAGEMENTS 2026'!B1266),"",'ENGAGEMENTS 2026'!AE1266)</f>
        <v/>
      </c>
      <c r="I1266">
        <f>IF(ISBLANK('ENGAGEMENTS 2026'!B1266),"",'ENGAGEMENTS 2026'!G1266)</f>
        <v/>
      </c>
      <c r="J1266" s="275">
        <f>IF(ISBLANK('ENGAGEMENTS 2026'!B1266),"",IF(AND(OR($E1266="INFRUCTUEUX",$E1266="ANNULE"),$C1266="AOO-M"),'ENGAGEMENTS 2026'!O1266,IF($H1266="EN COURS DE PREENGAGEMENT",'ENGAGEMENTS 2026'!N1266,IF($H1266="PREENGAGE",IF($E1266="ATTRIBUE",'ENGAGEMENTS 2026'!AD1266,'ENGAGEMENTS 2026'!N1266),'ENGAGEMENTS 2026'!AD1266))))</f>
        <v/>
      </c>
      <c r="K1266" s="604">
        <f>IF(ISBLANK('ENGAGEMENTS 2026'!V1266),"",'ENGAGEMENTS 2026'!V1266)</f>
        <v/>
      </c>
      <c r="L1266" s="276">
        <f>IF($K1266="","",TODAY()-$K1266)</f>
        <v/>
      </c>
      <c r="M1266">
        <f>IF($A1266="","",IF($H1266="ENGAGE","Engagé",IF(AND($H1266="NON ENGAGE",OR($I1266="INFRUCTUEUX",$I1266="ANNULE")),"Clôturé sans suite","En cours")))</f>
        <v/>
      </c>
      <c r="N1266">
        <f>IF(ISBLANK('ENGAGEMENTS 2026'!B1266),"",'ENGAGEMENTS 2026'!K1266)</f>
        <v/>
      </c>
      <c r="O1266">
        <f>IF(ISBLANK('ENGAGEMENTS 2026'!B1266),"",'ENGAGEMENTS 2026'!L1266)</f>
        <v/>
      </c>
      <c r="P1266">
        <f>IF(ISBLANK('ENGAGEMENTS 2026'!B1266),"",'ENGAGEMENTS 2026'!J1266)</f>
        <v/>
      </c>
      <c r="Q1266">
        <f>IF($A1266="","",IF(OR($E1266="INFRUCTUEUX",$E1266="ANNULE"),$A1266&amp;"|"&amp;(COUNTIFS($A$2:$A1266,$A1266,$E$2:$E1266,"INFRUCTUEUX")+COUNTIFS($A$2:$A1266,$A1266,$E$2:$E1266,"ANNULE")),""))</f>
        <v/>
      </c>
    </row>
    <row r="1267">
      <c r="A1267">
        <f>IF(ISBLANK('ENGAGEMENTS 2026'!B1267),"",IF('ENGAGEMENTS 2026'!B1267="DTSI","DCT",'ENGAGEMENTS 2026'!B1267))</f>
        <v/>
      </c>
      <c r="B1267">
        <f>IF(ISBLANK('ENGAGEMENTS 2026'!B1267),"",'ENGAGEMENTS 2026'!C1267)</f>
        <v/>
      </c>
      <c r="C1267">
        <f>IF(ISBLANK('ENGAGEMENTS 2026'!B1267),"",'ENGAGEMENTS 2026'!D1267)</f>
        <v/>
      </c>
      <c r="D1267">
        <f>IF(ISBLANK('ENGAGEMENTS 2026'!B1267),"",'ENGAGEMENTS 2026'!F1267)</f>
        <v/>
      </c>
      <c r="E1267">
        <f>IF(ISBLANK('ENGAGEMENTS 2026'!B1267),"",'ENGAGEMENTS 2026'!H1267)</f>
        <v/>
      </c>
      <c r="F1267">
        <f>IF(ISBLANK('ENGAGEMENTS 2026'!B1267),"",'ENGAGEMENTS 2026'!I1267)</f>
        <v/>
      </c>
      <c r="G1267">
        <f>IF(ISBLANK('ENGAGEMENTS 2026'!B1267),"",'ENGAGEMENTS 2026'!L1267)</f>
        <v/>
      </c>
      <c r="H1267">
        <f>IF(ISBLANK('ENGAGEMENTS 2026'!B1267),"",'ENGAGEMENTS 2026'!AE1267)</f>
        <v/>
      </c>
      <c r="I1267">
        <f>IF(ISBLANK('ENGAGEMENTS 2026'!B1267),"",'ENGAGEMENTS 2026'!G1267)</f>
        <v/>
      </c>
      <c r="J1267" s="275">
        <f>IF(ISBLANK('ENGAGEMENTS 2026'!B1267),"",IF(AND(OR($E1267="INFRUCTUEUX",$E1267="ANNULE"),$C1267="AOO-M"),'ENGAGEMENTS 2026'!O1267,IF($H1267="EN COURS DE PREENGAGEMENT",'ENGAGEMENTS 2026'!N1267,IF($H1267="PREENGAGE",IF($E1267="ATTRIBUE",'ENGAGEMENTS 2026'!AD1267,'ENGAGEMENTS 2026'!N1267),'ENGAGEMENTS 2026'!AD1267))))</f>
        <v/>
      </c>
      <c r="K1267" s="604">
        <f>IF(ISBLANK('ENGAGEMENTS 2026'!V1267),"",'ENGAGEMENTS 2026'!V1267)</f>
        <v/>
      </c>
      <c r="L1267" s="276">
        <f>IF($K1267="","",TODAY()-$K1267)</f>
        <v/>
      </c>
      <c r="M1267">
        <f>IF($A1267="","",IF($H1267="ENGAGE","Engagé",IF(AND($H1267="NON ENGAGE",OR($I1267="INFRUCTUEUX",$I1267="ANNULE")),"Clôturé sans suite","En cours")))</f>
        <v/>
      </c>
      <c r="N1267">
        <f>IF(ISBLANK('ENGAGEMENTS 2026'!B1267),"",'ENGAGEMENTS 2026'!K1267)</f>
        <v/>
      </c>
      <c r="O1267">
        <f>IF(ISBLANK('ENGAGEMENTS 2026'!B1267),"",'ENGAGEMENTS 2026'!L1267)</f>
        <v/>
      </c>
      <c r="P1267">
        <f>IF(ISBLANK('ENGAGEMENTS 2026'!B1267),"",'ENGAGEMENTS 2026'!J1267)</f>
        <v/>
      </c>
      <c r="Q1267">
        <f>IF($A1267="","",IF(OR($E1267="INFRUCTUEUX",$E1267="ANNULE"),$A1267&amp;"|"&amp;(COUNTIFS($A$2:$A1267,$A1267,$E$2:$E1267,"INFRUCTUEUX")+COUNTIFS($A$2:$A1267,$A1267,$E$2:$E1267,"ANNULE")),""))</f>
        <v/>
      </c>
    </row>
    <row r="1268">
      <c r="A1268">
        <f>IF(ISBLANK('ENGAGEMENTS 2026'!B1268),"",IF('ENGAGEMENTS 2026'!B1268="DTSI","DCT",'ENGAGEMENTS 2026'!B1268))</f>
        <v/>
      </c>
      <c r="B1268">
        <f>IF(ISBLANK('ENGAGEMENTS 2026'!B1268),"",'ENGAGEMENTS 2026'!C1268)</f>
        <v/>
      </c>
      <c r="C1268">
        <f>IF(ISBLANK('ENGAGEMENTS 2026'!B1268),"",'ENGAGEMENTS 2026'!D1268)</f>
        <v/>
      </c>
      <c r="D1268">
        <f>IF(ISBLANK('ENGAGEMENTS 2026'!B1268),"",'ENGAGEMENTS 2026'!F1268)</f>
        <v/>
      </c>
      <c r="E1268">
        <f>IF(ISBLANK('ENGAGEMENTS 2026'!B1268),"",'ENGAGEMENTS 2026'!H1268)</f>
        <v/>
      </c>
      <c r="F1268">
        <f>IF(ISBLANK('ENGAGEMENTS 2026'!B1268),"",'ENGAGEMENTS 2026'!I1268)</f>
        <v/>
      </c>
      <c r="G1268">
        <f>IF(ISBLANK('ENGAGEMENTS 2026'!B1268),"",'ENGAGEMENTS 2026'!L1268)</f>
        <v/>
      </c>
      <c r="H1268">
        <f>IF(ISBLANK('ENGAGEMENTS 2026'!B1268),"",'ENGAGEMENTS 2026'!AE1268)</f>
        <v/>
      </c>
      <c r="I1268">
        <f>IF(ISBLANK('ENGAGEMENTS 2026'!B1268),"",'ENGAGEMENTS 2026'!G1268)</f>
        <v/>
      </c>
      <c r="J1268" s="275">
        <f>IF(ISBLANK('ENGAGEMENTS 2026'!B1268),"",IF(AND(OR($E1268="INFRUCTUEUX",$E1268="ANNULE"),$C1268="AOO-M"),'ENGAGEMENTS 2026'!O1268,IF($H1268="EN COURS DE PREENGAGEMENT",'ENGAGEMENTS 2026'!N1268,IF($H1268="PREENGAGE",IF($E1268="ATTRIBUE",'ENGAGEMENTS 2026'!AD1268,'ENGAGEMENTS 2026'!N1268),'ENGAGEMENTS 2026'!AD1268))))</f>
        <v/>
      </c>
      <c r="K1268" s="604">
        <f>IF(ISBLANK('ENGAGEMENTS 2026'!V1268),"",'ENGAGEMENTS 2026'!V1268)</f>
        <v/>
      </c>
      <c r="L1268" s="276">
        <f>IF($K1268="","",TODAY()-$K1268)</f>
        <v/>
      </c>
      <c r="M1268">
        <f>IF($A1268="","",IF($H1268="ENGAGE","Engagé",IF(AND($H1268="NON ENGAGE",OR($I1268="INFRUCTUEUX",$I1268="ANNULE")),"Clôturé sans suite","En cours")))</f>
        <v/>
      </c>
      <c r="N1268">
        <f>IF(ISBLANK('ENGAGEMENTS 2026'!B1268),"",'ENGAGEMENTS 2026'!K1268)</f>
        <v/>
      </c>
      <c r="O1268">
        <f>IF(ISBLANK('ENGAGEMENTS 2026'!B1268),"",'ENGAGEMENTS 2026'!L1268)</f>
        <v/>
      </c>
      <c r="P1268">
        <f>IF(ISBLANK('ENGAGEMENTS 2026'!B1268),"",'ENGAGEMENTS 2026'!J1268)</f>
        <v/>
      </c>
      <c r="Q1268">
        <f>IF($A1268="","",IF(OR($E1268="INFRUCTUEUX",$E1268="ANNULE"),$A1268&amp;"|"&amp;(COUNTIFS($A$2:$A1268,$A1268,$E$2:$E1268,"INFRUCTUEUX")+COUNTIFS($A$2:$A1268,$A1268,$E$2:$E1268,"ANNULE")),""))</f>
        <v/>
      </c>
    </row>
    <row r="1269">
      <c r="A1269">
        <f>IF(ISBLANK('ENGAGEMENTS 2026'!B1269),"",IF('ENGAGEMENTS 2026'!B1269="DTSI","DCT",'ENGAGEMENTS 2026'!B1269))</f>
        <v/>
      </c>
      <c r="B1269">
        <f>IF(ISBLANK('ENGAGEMENTS 2026'!B1269),"",'ENGAGEMENTS 2026'!C1269)</f>
        <v/>
      </c>
      <c r="C1269">
        <f>IF(ISBLANK('ENGAGEMENTS 2026'!B1269),"",'ENGAGEMENTS 2026'!D1269)</f>
        <v/>
      </c>
      <c r="D1269">
        <f>IF(ISBLANK('ENGAGEMENTS 2026'!B1269),"",'ENGAGEMENTS 2026'!F1269)</f>
        <v/>
      </c>
      <c r="E1269">
        <f>IF(ISBLANK('ENGAGEMENTS 2026'!B1269),"",'ENGAGEMENTS 2026'!H1269)</f>
        <v/>
      </c>
      <c r="F1269">
        <f>IF(ISBLANK('ENGAGEMENTS 2026'!B1269),"",'ENGAGEMENTS 2026'!I1269)</f>
        <v/>
      </c>
      <c r="G1269">
        <f>IF(ISBLANK('ENGAGEMENTS 2026'!B1269),"",'ENGAGEMENTS 2026'!L1269)</f>
        <v/>
      </c>
      <c r="H1269">
        <f>IF(ISBLANK('ENGAGEMENTS 2026'!B1269),"",'ENGAGEMENTS 2026'!AE1269)</f>
        <v/>
      </c>
      <c r="I1269">
        <f>IF(ISBLANK('ENGAGEMENTS 2026'!B1269),"",'ENGAGEMENTS 2026'!G1269)</f>
        <v/>
      </c>
      <c r="J1269" s="275">
        <f>IF(ISBLANK('ENGAGEMENTS 2026'!B1269),"",IF(AND(OR($E1269="INFRUCTUEUX",$E1269="ANNULE"),$C1269="AOO-M"),'ENGAGEMENTS 2026'!O1269,IF($H1269="EN COURS DE PREENGAGEMENT",'ENGAGEMENTS 2026'!N1269,IF($H1269="PREENGAGE",IF($E1269="ATTRIBUE",'ENGAGEMENTS 2026'!AD1269,'ENGAGEMENTS 2026'!N1269),'ENGAGEMENTS 2026'!AD1269))))</f>
        <v/>
      </c>
      <c r="K1269" s="604">
        <f>IF(ISBLANK('ENGAGEMENTS 2026'!V1269),"",'ENGAGEMENTS 2026'!V1269)</f>
        <v/>
      </c>
      <c r="L1269" s="276">
        <f>IF($K1269="","",TODAY()-$K1269)</f>
        <v/>
      </c>
      <c r="M1269">
        <f>IF($A1269="","",IF($H1269="ENGAGE","Engagé",IF(AND($H1269="NON ENGAGE",OR($I1269="INFRUCTUEUX",$I1269="ANNULE")),"Clôturé sans suite","En cours")))</f>
        <v/>
      </c>
      <c r="N1269">
        <f>IF(ISBLANK('ENGAGEMENTS 2026'!B1269),"",'ENGAGEMENTS 2026'!K1269)</f>
        <v/>
      </c>
      <c r="O1269">
        <f>IF(ISBLANK('ENGAGEMENTS 2026'!B1269),"",'ENGAGEMENTS 2026'!L1269)</f>
        <v/>
      </c>
      <c r="P1269">
        <f>IF(ISBLANK('ENGAGEMENTS 2026'!B1269),"",'ENGAGEMENTS 2026'!J1269)</f>
        <v/>
      </c>
      <c r="Q1269">
        <f>IF($A1269="","",IF(OR($E1269="INFRUCTUEUX",$E1269="ANNULE"),$A1269&amp;"|"&amp;(COUNTIFS($A$2:$A1269,$A1269,$E$2:$E1269,"INFRUCTUEUX")+COUNTIFS($A$2:$A1269,$A1269,$E$2:$E1269,"ANNULE")),""))</f>
        <v/>
      </c>
    </row>
    <row r="1270">
      <c r="A1270">
        <f>IF(ISBLANK('ENGAGEMENTS 2026'!B1270),"",IF('ENGAGEMENTS 2026'!B1270="DTSI","DCT",'ENGAGEMENTS 2026'!B1270))</f>
        <v/>
      </c>
      <c r="B1270">
        <f>IF(ISBLANK('ENGAGEMENTS 2026'!B1270),"",'ENGAGEMENTS 2026'!C1270)</f>
        <v/>
      </c>
      <c r="C1270">
        <f>IF(ISBLANK('ENGAGEMENTS 2026'!B1270),"",'ENGAGEMENTS 2026'!D1270)</f>
        <v/>
      </c>
      <c r="D1270">
        <f>IF(ISBLANK('ENGAGEMENTS 2026'!B1270),"",'ENGAGEMENTS 2026'!F1270)</f>
        <v/>
      </c>
      <c r="E1270">
        <f>IF(ISBLANK('ENGAGEMENTS 2026'!B1270),"",'ENGAGEMENTS 2026'!H1270)</f>
        <v/>
      </c>
      <c r="F1270">
        <f>IF(ISBLANK('ENGAGEMENTS 2026'!B1270),"",'ENGAGEMENTS 2026'!I1270)</f>
        <v/>
      </c>
      <c r="G1270">
        <f>IF(ISBLANK('ENGAGEMENTS 2026'!B1270),"",'ENGAGEMENTS 2026'!L1270)</f>
        <v/>
      </c>
      <c r="H1270">
        <f>IF(ISBLANK('ENGAGEMENTS 2026'!B1270),"",'ENGAGEMENTS 2026'!AE1270)</f>
        <v/>
      </c>
      <c r="I1270">
        <f>IF(ISBLANK('ENGAGEMENTS 2026'!B1270),"",'ENGAGEMENTS 2026'!G1270)</f>
        <v/>
      </c>
      <c r="J1270" s="275">
        <f>IF(ISBLANK('ENGAGEMENTS 2026'!B1270),"",IF(AND(OR($E1270="INFRUCTUEUX",$E1270="ANNULE"),$C1270="AOO-M"),'ENGAGEMENTS 2026'!O1270,IF($H1270="EN COURS DE PREENGAGEMENT",'ENGAGEMENTS 2026'!N1270,IF($H1270="PREENGAGE",IF($E1270="ATTRIBUE",'ENGAGEMENTS 2026'!AD1270,'ENGAGEMENTS 2026'!N1270),'ENGAGEMENTS 2026'!AD1270))))</f>
        <v/>
      </c>
      <c r="K1270" s="604">
        <f>IF(ISBLANK('ENGAGEMENTS 2026'!V1270),"",'ENGAGEMENTS 2026'!V1270)</f>
        <v/>
      </c>
      <c r="L1270" s="276">
        <f>IF($K1270="","",TODAY()-$K1270)</f>
        <v/>
      </c>
      <c r="M1270">
        <f>IF($A1270="","",IF($H1270="ENGAGE","Engagé",IF(AND($H1270="NON ENGAGE",OR($I1270="INFRUCTUEUX",$I1270="ANNULE")),"Clôturé sans suite","En cours")))</f>
        <v/>
      </c>
      <c r="N1270">
        <f>IF(ISBLANK('ENGAGEMENTS 2026'!B1270),"",'ENGAGEMENTS 2026'!K1270)</f>
        <v/>
      </c>
      <c r="O1270">
        <f>IF(ISBLANK('ENGAGEMENTS 2026'!B1270),"",'ENGAGEMENTS 2026'!L1270)</f>
        <v/>
      </c>
      <c r="P1270">
        <f>IF(ISBLANK('ENGAGEMENTS 2026'!B1270),"",'ENGAGEMENTS 2026'!J1270)</f>
        <v/>
      </c>
      <c r="Q1270">
        <f>IF($A1270="","",IF(OR($E1270="INFRUCTUEUX",$E1270="ANNULE"),$A1270&amp;"|"&amp;(COUNTIFS($A$2:$A1270,$A1270,$E$2:$E1270,"INFRUCTUEUX")+COUNTIFS($A$2:$A1270,$A1270,$E$2:$E1270,"ANNULE")),""))</f>
        <v/>
      </c>
    </row>
    <row r="1271">
      <c r="A1271">
        <f>IF(ISBLANK('ENGAGEMENTS 2026'!B1271),"",IF('ENGAGEMENTS 2026'!B1271="DTSI","DCT",'ENGAGEMENTS 2026'!B1271))</f>
        <v/>
      </c>
      <c r="B1271">
        <f>IF(ISBLANK('ENGAGEMENTS 2026'!B1271),"",'ENGAGEMENTS 2026'!C1271)</f>
        <v/>
      </c>
      <c r="C1271">
        <f>IF(ISBLANK('ENGAGEMENTS 2026'!B1271),"",'ENGAGEMENTS 2026'!D1271)</f>
        <v/>
      </c>
      <c r="D1271">
        <f>IF(ISBLANK('ENGAGEMENTS 2026'!B1271),"",'ENGAGEMENTS 2026'!F1271)</f>
        <v/>
      </c>
      <c r="E1271">
        <f>IF(ISBLANK('ENGAGEMENTS 2026'!B1271),"",'ENGAGEMENTS 2026'!H1271)</f>
        <v/>
      </c>
      <c r="F1271">
        <f>IF(ISBLANK('ENGAGEMENTS 2026'!B1271),"",'ENGAGEMENTS 2026'!I1271)</f>
        <v/>
      </c>
      <c r="G1271">
        <f>IF(ISBLANK('ENGAGEMENTS 2026'!B1271),"",'ENGAGEMENTS 2026'!L1271)</f>
        <v/>
      </c>
      <c r="H1271">
        <f>IF(ISBLANK('ENGAGEMENTS 2026'!B1271),"",'ENGAGEMENTS 2026'!AE1271)</f>
        <v/>
      </c>
      <c r="I1271">
        <f>IF(ISBLANK('ENGAGEMENTS 2026'!B1271),"",'ENGAGEMENTS 2026'!G1271)</f>
        <v/>
      </c>
      <c r="J1271" s="275">
        <f>IF(ISBLANK('ENGAGEMENTS 2026'!B1271),"",IF(AND(OR($E1271="INFRUCTUEUX",$E1271="ANNULE"),$C1271="AOO-M"),'ENGAGEMENTS 2026'!O1271,IF($H1271="EN COURS DE PREENGAGEMENT",'ENGAGEMENTS 2026'!N1271,IF($H1271="PREENGAGE",IF($E1271="ATTRIBUE",'ENGAGEMENTS 2026'!AD1271,'ENGAGEMENTS 2026'!N1271),'ENGAGEMENTS 2026'!AD1271))))</f>
        <v/>
      </c>
      <c r="K1271" s="604">
        <f>IF(ISBLANK('ENGAGEMENTS 2026'!V1271),"",'ENGAGEMENTS 2026'!V1271)</f>
        <v/>
      </c>
      <c r="L1271" s="276">
        <f>IF($K1271="","",TODAY()-$K1271)</f>
        <v/>
      </c>
      <c r="M1271">
        <f>IF($A1271="","",IF($H1271="ENGAGE","Engagé",IF(AND($H1271="NON ENGAGE",OR($I1271="INFRUCTUEUX",$I1271="ANNULE")),"Clôturé sans suite","En cours")))</f>
        <v/>
      </c>
      <c r="N1271">
        <f>IF(ISBLANK('ENGAGEMENTS 2026'!B1271),"",'ENGAGEMENTS 2026'!K1271)</f>
        <v/>
      </c>
      <c r="O1271">
        <f>IF(ISBLANK('ENGAGEMENTS 2026'!B1271),"",'ENGAGEMENTS 2026'!L1271)</f>
        <v/>
      </c>
      <c r="P1271">
        <f>IF(ISBLANK('ENGAGEMENTS 2026'!B1271),"",'ENGAGEMENTS 2026'!J1271)</f>
        <v/>
      </c>
      <c r="Q1271">
        <f>IF($A1271="","",IF(OR($E1271="INFRUCTUEUX",$E1271="ANNULE"),$A1271&amp;"|"&amp;(COUNTIFS($A$2:$A1271,$A1271,$E$2:$E1271,"INFRUCTUEUX")+COUNTIFS($A$2:$A1271,$A1271,$E$2:$E1271,"ANNULE")),""))</f>
        <v/>
      </c>
    </row>
    <row r="1272">
      <c r="A1272">
        <f>IF(ISBLANK('ENGAGEMENTS 2026'!B1272),"",IF('ENGAGEMENTS 2026'!B1272="DTSI","DCT",'ENGAGEMENTS 2026'!B1272))</f>
        <v/>
      </c>
      <c r="B1272">
        <f>IF(ISBLANK('ENGAGEMENTS 2026'!B1272),"",'ENGAGEMENTS 2026'!C1272)</f>
        <v/>
      </c>
      <c r="C1272">
        <f>IF(ISBLANK('ENGAGEMENTS 2026'!B1272),"",'ENGAGEMENTS 2026'!D1272)</f>
        <v/>
      </c>
      <c r="D1272">
        <f>IF(ISBLANK('ENGAGEMENTS 2026'!B1272),"",'ENGAGEMENTS 2026'!F1272)</f>
        <v/>
      </c>
      <c r="E1272">
        <f>IF(ISBLANK('ENGAGEMENTS 2026'!B1272),"",'ENGAGEMENTS 2026'!H1272)</f>
        <v/>
      </c>
      <c r="F1272">
        <f>IF(ISBLANK('ENGAGEMENTS 2026'!B1272),"",'ENGAGEMENTS 2026'!I1272)</f>
        <v/>
      </c>
      <c r="G1272">
        <f>IF(ISBLANK('ENGAGEMENTS 2026'!B1272),"",'ENGAGEMENTS 2026'!L1272)</f>
        <v/>
      </c>
      <c r="H1272">
        <f>IF(ISBLANK('ENGAGEMENTS 2026'!B1272),"",'ENGAGEMENTS 2026'!AE1272)</f>
        <v/>
      </c>
      <c r="I1272">
        <f>IF(ISBLANK('ENGAGEMENTS 2026'!B1272),"",'ENGAGEMENTS 2026'!G1272)</f>
        <v/>
      </c>
      <c r="J1272" s="275">
        <f>IF(ISBLANK('ENGAGEMENTS 2026'!B1272),"",IF(AND(OR($E1272="INFRUCTUEUX",$E1272="ANNULE"),$C1272="AOO-M"),'ENGAGEMENTS 2026'!O1272,IF($H1272="EN COURS DE PREENGAGEMENT",'ENGAGEMENTS 2026'!N1272,IF($H1272="PREENGAGE",IF($E1272="ATTRIBUE",'ENGAGEMENTS 2026'!AD1272,'ENGAGEMENTS 2026'!N1272),'ENGAGEMENTS 2026'!AD1272))))</f>
        <v/>
      </c>
      <c r="K1272" s="604">
        <f>IF(ISBLANK('ENGAGEMENTS 2026'!V1272),"",'ENGAGEMENTS 2026'!V1272)</f>
        <v/>
      </c>
      <c r="L1272" s="276">
        <f>IF($K1272="","",TODAY()-$K1272)</f>
        <v/>
      </c>
      <c r="M1272">
        <f>IF($A1272="","",IF($H1272="ENGAGE","Engagé",IF(AND($H1272="NON ENGAGE",OR($I1272="INFRUCTUEUX",$I1272="ANNULE")),"Clôturé sans suite","En cours")))</f>
        <v/>
      </c>
      <c r="N1272">
        <f>IF(ISBLANK('ENGAGEMENTS 2026'!B1272),"",'ENGAGEMENTS 2026'!K1272)</f>
        <v/>
      </c>
      <c r="O1272">
        <f>IF(ISBLANK('ENGAGEMENTS 2026'!B1272),"",'ENGAGEMENTS 2026'!L1272)</f>
        <v/>
      </c>
      <c r="P1272">
        <f>IF(ISBLANK('ENGAGEMENTS 2026'!B1272),"",'ENGAGEMENTS 2026'!J1272)</f>
        <v/>
      </c>
      <c r="Q1272">
        <f>IF($A1272="","",IF(OR($E1272="INFRUCTUEUX",$E1272="ANNULE"),$A1272&amp;"|"&amp;(COUNTIFS($A$2:$A1272,$A1272,$E$2:$E1272,"INFRUCTUEUX")+COUNTIFS($A$2:$A1272,$A1272,$E$2:$E1272,"ANNULE")),""))</f>
        <v/>
      </c>
    </row>
    <row r="1273">
      <c r="A1273">
        <f>IF(ISBLANK('ENGAGEMENTS 2026'!B1273),"",IF('ENGAGEMENTS 2026'!B1273="DTSI","DCT",'ENGAGEMENTS 2026'!B1273))</f>
        <v/>
      </c>
      <c r="B1273">
        <f>IF(ISBLANK('ENGAGEMENTS 2026'!B1273),"",'ENGAGEMENTS 2026'!C1273)</f>
        <v/>
      </c>
      <c r="C1273">
        <f>IF(ISBLANK('ENGAGEMENTS 2026'!B1273),"",'ENGAGEMENTS 2026'!D1273)</f>
        <v/>
      </c>
      <c r="D1273">
        <f>IF(ISBLANK('ENGAGEMENTS 2026'!B1273),"",'ENGAGEMENTS 2026'!F1273)</f>
        <v/>
      </c>
      <c r="E1273">
        <f>IF(ISBLANK('ENGAGEMENTS 2026'!B1273),"",'ENGAGEMENTS 2026'!H1273)</f>
        <v/>
      </c>
      <c r="F1273">
        <f>IF(ISBLANK('ENGAGEMENTS 2026'!B1273),"",'ENGAGEMENTS 2026'!I1273)</f>
        <v/>
      </c>
      <c r="G1273">
        <f>IF(ISBLANK('ENGAGEMENTS 2026'!B1273),"",'ENGAGEMENTS 2026'!L1273)</f>
        <v/>
      </c>
      <c r="H1273">
        <f>IF(ISBLANK('ENGAGEMENTS 2026'!B1273),"",'ENGAGEMENTS 2026'!AE1273)</f>
        <v/>
      </c>
      <c r="I1273">
        <f>IF(ISBLANK('ENGAGEMENTS 2026'!B1273),"",'ENGAGEMENTS 2026'!G1273)</f>
        <v/>
      </c>
      <c r="J1273" s="275">
        <f>IF(ISBLANK('ENGAGEMENTS 2026'!B1273),"",IF(AND(OR($E1273="INFRUCTUEUX",$E1273="ANNULE"),$C1273="AOO-M"),'ENGAGEMENTS 2026'!O1273,IF($H1273="EN COURS DE PREENGAGEMENT",'ENGAGEMENTS 2026'!N1273,IF($H1273="PREENGAGE",IF($E1273="ATTRIBUE",'ENGAGEMENTS 2026'!AD1273,'ENGAGEMENTS 2026'!N1273),'ENGAGEMENTS 2026'!AD1273))))</f>
        <v/>
      </c>
      <c r="K1273" s="604">
        <f>IF(ISBLANK('ENGAGEMENTS 2026'!V1273),"",'ENGAGEMENTS 2026'!V1273)</f>
        <v/>
      </c>
      <c r="L1273" s="276">
        <f>IF($K1273="","",TODAY()-$K1273)</f>
        <v/>
      </c>
      <c r="M1273">
        <f>IF($A1273="","",IF($H1273="ENGAGE","Engagé",IF(AND($H1273="NON ENGAGE",OR($I1273="INFRUCTUEUX",$I1273="ANNULE")),"Clôturé sans suite","En cours")))</f>
        <v/>
      </c>
      <c r="N1273">
        <f>IF(ISBLANK('ENGAGEMENTS 2026'!B1273),"",'ENGAGEMENTS 2026'!K1273)</f>
        <v/>
      </c>
      <c r="O1273">
        <f>IF(ISBLANK('ENGAGEMENTS 2026'!B1273),"",'ENGAGEMENTS 2026'!L1273)</f>
        <v/>
      </c>
      <c r="P1273">
        <f>IF(ISBLANK('ENGAGEMENTS 2026'!B1273),"",'ENGAGEMENTS 2026'!J1273)</f>
        <v/>
      </c>
      <c r="Q1273">
        <f>IF($A1273="","",IF(OR($E1273="INFRUCTUEUX",$E1273="ANNULE"),$A1273&amp;"|"&amp;(COUNTIFS($A$2:$A1273,$A1273,$E$2:$E1273,"INFRUCTUEUX")+COUNTIFS($A$2:$A1273,$A1273,$E$2:$E1273,"ANNULE")),""))</f>
        <v/>
      </c>
    </row>
    <row r="1274">
      <c r="A1274">
        <f>IF(ISBLANK('ENGAGEMENTS 2026'!B1274),"",IF('ENGAGEMENTS 2026'!B1274="DTSI","DCT",'ENGAGEMENTS 2026'!B1274))</f>
        <v/>
      </c>
      <c r="B1274">
        <f>IF(ISBLANK('ENGAGEMENTS 2026'!B1274),"",'ENGAGEMENTS 2026'!C1274)</f>
        <v/>
      </c>
      <c r="C1274">
        <f>IF(ISBLANK('ENGAGEMENTS 2026'!B1274),"",'ENGAGEMENTS 2026'!D1274)</f>
        <v/>
      </c>
      <c r="D1274">
        <f>IF(ISBLANK('ENGAGEMENTS 2026'!B1274),"",'ENGAGEMENTS 2026'!F1274)</f>
        <v/>
      </c>
      <c r="E1274">
        <f>IF(ISBLANK('ENGAGEMENTS 2026'!B1274),"",'ENGAGEMENTS 2026'!H1274)</f>
        <v/>
      </c>
      <c r="F1274">
        <f>IF(ISBLANK('ENGAGEMENTS 2026'!B1274),"",'ENGAGEMENTS 2026'!I1274)</f>
        <v/>
      </c>
      <c r="G1274">
        <f>IF(ISBLANK('ENGAGEMENTS 2026'!B1274),"",'ENGAGEMENTS 2026'!L1274)</f>
        <v/>
      </c>
      <c r="H1274">
        <f>IF(ISBLANK('ENGAGEMENTS 2026'!B1274),"",'ENGAGEMENTS 2026'!AE1274)</f>
        <v/>
      </c>
      <c r="I1274">
        <f>IF(ISBLANK('ENGAGEMENTS 2026'!B1274),"",'ENGAGEMENTS 2026'!G1274)</f>
        <v/>
      </c>
      <c r="J1274" s="275">
        <f>IF(ISBLANK('ENGAGEMENTS 2026'!B1274),"",IF(AND(OR($E1274="INFRUCTUEUX",$E1274="ANNULE"),$C1274="AOO-M"),'ENGAGEMENTS 2026'!O1274,IF($H1274="EN COURS DE PREENGAGEMENT",'ENGAGEMENTS 2026'!N1274,IF($H1274="PREENGAGE",IF($E1274="ATTRIBUE",'ENGAGEMENTS 2026'!AD1274,'ENGAGEMENTS 2026'!N1274),'ENGAGEMENTS 2026'!AD1274))))</f>
        <v/>
      </c>
      <c r="K1274" s="604">
        <f>IF(ISBLANK('ENGAGEMENTS 2026'!V1274),"",'ENGAGEMENTS 2026'!V1274)</f>
        <v/>
      </c>
      <c r="L1274" s="276">
        <f>IF($K1274="","",TODAY()-$K1274)</f>
        <v/>
      </c>
      <c r="M1274">
        <f>IF($A1274="","",IF($H1274="ENGAGE","Engagé",IF(AND($H1274="NON ENGAGE",OR($I1274="INFRUCTUEUX",$I1274="ANNULE")),"Clôturé sans suite","En cours")))</f>
        <v/>
      </c>
      <c r="N1274">
        <f>IF(ISBLANK('ENGAGEMENTS 2026'!B1274),"",'ENGAGEMENTS 2026'!K1274)</f>
        <v/>
      </c>
      <c r="O1274">
        <f>IF(ISBLANK('ENGAGEMENTS 2026'!B1274),"",'ENGAGEMENTS 2026'!L1274)</f>
        <v/>
      </c>
      <c r="P1274">
        <f>IF(ISBLANK('ENGAGEMENTS 2026'!B1274),"",'ENGAGEMENTS 2026'!J1274)</f>
        <v/>
      </c>
      <c r="Q1274">
        <f>IF($A1274="","",IF(OR($E1274="INFRUCTUEUX",$E1274="ANNULE"),$A1274&amp;"|"&amp;(COUNTIFS($A$2:$A1274,$A1274,$E$2:$E1274,"INFRUCTUEUX")+COUNTIFS($A$2:$A1274,$A1274,$E$2:$E1274,"ANNULE")),""))</f>
        <v/>
      </c>
    </row>
    <row r="1275">
      <c r="A1275">
        <f>IF(ISBLANK('ENGAGEMENTS 2026'!B1275),"",IF('ENGAGEMENTS 2026'!B1275="DTSI","DCT",'ENGAGEMENTS 2026'!B1275))</f>
        <v/>
      </c>
      <c r="B1275">
        <f>IF(ISBLANK('ENGAGEMENTS 2026'!B1275),"",'ENGAGEMENTS 2026'!C1275)</f>
        <v/>
      </c>
      <c r="C1275">
        <f>IF(ISBLANK('ENGAGEMENTS 2026'!B1275),"",'ENGAGEMENTS 2026'!D1275)</f>
        <v/>
      </c>
      <c r="D1275">
        <f>IF(ISBLANK('ENGAGEMENTS 2026'!B1275),"",'ENGAGEMENTS 2026'!F1275)</f>
        <v/>
      </c>
      <c r="E1275">
        <f>IF(ISBLANK('ENGAGEMENTS 2026'!B1275),"",'ENGAGEMENTS 2026'!H1275)</f>
        <v/>
      </c>
      <c r="F1275">
        <f>IF(ISBLANK('ENGAGEMENTS 2026'!B1275),"",'ENGAGEMENTS 2026'!I1275)</f>
        <v/>
      </c>
      <c r="G1275">
        <f>IF(ISBLANK('ENGAGEMENTS 2026'!B1275),"",'ENGAGEMENTS 2026'!L1275)</f>
        <v/>
      </c>
      <c r="H1275">
        <f>IF(ISBLANK('ENGAGEMENTS 2026'!B1275),"",'ENGAGEMENTS 2026'!AE1275)</f>
        <v/>
      </c>
      <c r="I1275">
        <f>IF(ISBLANK('ENGAGEMENTS 2026'!B1275),"",'ENGAGEMENTS 2026'!G1275)</f>
        <v/>
      </c>
      <c r="J1275" s="275">
        <f>IF(ISBLANK('ENGAGEMENTS 2026'!B1275),"",IF(AND(OR($E1275="INFRUCTUEUX",$E1275="ANNULE"),$C1275="AOO-M"),'ENGAGEMENTS 2026'!O1275,IF($H1275="EN COURS DE PREENGAGEMENT",'ENGAGEMENTS 2026'!N1275,IF($H1275="PREENGAGE",IF($E1275="ATTRIBUE",'ENGAGEMENTS 2026'!AD1275,'ENGAGEMENTS 2026'!N1275),'ENGAGEMENTS 2026'!AD1275))))</f>
        <v/>
      </c>
      <c r="K1275" s="604">
        <f>IF(ISBLANK('ENGAGEMENTS 2026'!V1275),"",'ENGAGEMENTS 2026'!V1275)</f>
        <v/>
      </c>
      <c r="L1275" s="276">
        <f>IF($K1275="","",TODAY()-$K1275)</f>
        <v/>
      </c>
      <c r="M1275">
        <f>IF($A1275="","",IF($H1275="ENGAGE","Engagé",IF(AND($H1275="NON ENGAGE",OR($I1275="INFRUCTUEUX",$I1275="ANNULE")),"Clôturé sans suite","En cours")))</f>
        <v/>
      </c>
      <c r="N1275">
        <f>IF(ISBLANK('ENGAGEMENTS 2026'!B1275),"",'ENGAGEMENTS 2026'!K1275)</f>
        <v/>
      </c>
      <c r="O1275">
        <f>IF(ISBLANK('ENGAGEMENTS 2026'!B1275),"",'ENGAGEMENTS 2026'!L1275)</f>
        <v/>
      </c>
      <c r="P1275">
        <f>IF(ISBLANK('ENGAGEMENTS 2026'!B1275),"",'ENGAGEMENTS 2026'!J1275)</f>
        <v/>
      </c>
      <c r="Q1275">
        <f>IF($A1275="","",IF(OR($E1275="INFRUCTUEUX",$E1275="ANNULE"),$A1275&amp;"|"&amp;(COUNTIFS($A$2:$A1275,$A1275,$E$2:$E1275,"INFRUCTUEUX")+COUNTIFS($A$2:$A1275,$A1275,$E$2:$E1275,"ANNULE")),""))</f>
        <v/>
      </c>
    </row>
    <row r="1276">
      <c r="A1276">
        <f>IF(ISBLANK('ENGAGEMENTS 2026'!B1276),"",IF('ENGAGEMENTS 2026'!B1276="DTSI","DCT",'ENGAGEMENTS 2026'!B1276))</f>
        <v/>
      </c>
      <c r="B1276">
        <f>IF(ISBLANK('ENGAGEMENTS 2026'!B1276),"",'ENGAGEMENTS 2026'!C1276)</f>
        <v/>
      </c>
      <c r="C1276">
        <f>IF(ISBLANK('ENGAGEMENTS 2026'!B1276),"",'ENGAGEMENTS 2026'!D1276)</f>
        <v/>
      </c>
      <c r="D1276">
        <f>IF(ISBLANK('ENGAGEMENTS 2026'!B1276),"",'ENGAGEMENTS 2026'!F1276)</f>
        <v/>
      </c>
      <c r="E1276">
        <f>IF(ISBLANK('ENGAGEMENTS 2026'!B1276),"",'ENGAGEMENTS 2026'!H1276)</f>
        <v/>
      </c>
      <c r="F1276">
        <f>IF(ISBLANK('ENGAGEMENTS 2026'!B1276),"",'ENGAGEMENTS 2026'!I1276)</f>
        <v/>
      </c>
      <c r="G1276">
        <f>IF(ISBLANK('ENGAGEMENTS 2026'!B1276),"",'ENGAGEMENTS 2026'!L1276)</f>
        <v/>
      </c>
      <c r="H1276">
        <f>IF(ISBLANK('ENGAGEMENTS 2026'!B1276),"",'ENGAGEMENTS 2026'!AE1276)</f>
        <v/>
      </c>
      <c r="I1276">
        <f>IF(ISBLANK('ENGAGEMENTS 2026'!B1276),"",'ENGAGEMENTS 2026'!G1276)</f>
        <v/>
      </c>
      <c r="J1276" s="275">
        <f>IF(ISBLANK('ENGAGEMENTS 2026'!B1276),"",IF(AND(OR($E1276="INFRUCTUEUX",$E1276="ANNULE"),$C1276="AOO-M"),'ENGAGEMENTS 2026'!O1276,IF($H1276="EN COURS DE PREENGAGEMENT",'ENGAGEMENTS 2026'!N1276,IF($H1276="PREENGAGE",IF($E1276="ATTRIBUE",'ENGAGEMENTS 2026'!AD1276,'ENGAGEMENTS 2026'!N1276),'ENGAGEMENTS 2026'!AD1276))))</f>
        <v/>
      </c>
      <c r="K1276" s="604">
        <f>IF(ISBLANK('ENGAGEMENTS 2026'!V1276),"",'ENGAGEMENTS 2026'!V1276)</f>
        <v/>
      </c>
      <c r="L1276" s="276">
        <f>IF($K1276="","",TODAY()-$K1276)</f>
        <v/>
      </c>
      <c r="M1276">
        <f>IF($A1276="","",IF($H1276="ENGAGE","Engagé",IF(AND($H1276="NON ENGAGE",OR($I1276="INFRUCTUEUX",$I1276="ANNULE")),"Clôturé sans suite","En cours")))</f>
        <v/>
      </c>
      <c r="N1276">
        <f>IF(ISBLANK('ENGAGEMENTS 2026'!B1276),"",'ENGAGEMENTS 2026'!K1276)</f>
        <v/>
      </c>
      <c r="O1276">
        <f>IF(ISBLANK('ENGAGEMENTS 2026'!B1276),"",'ENGAGEMENTS 2026'!L1276)</f>
        <v/>
      </c>
      <c r="P1276">
        <f>IF(ISBLANK('ENGAGEMENTS 2026'!B1276),"",'ENGAGEMENTS 2026'!J1276)</f>
        <v/>
      </c>
      <c r="Q1276">
        <f>IF($A1276="","",IF(OR($E1276="INFRUCTUEUX",$E1276="ANNULE"),$A1276&amp;"|"&amp;(COUNTIFS($A$2:$A1276,$A1276,$E$2:$E1276,"INFRUCTUEUX")+COUNTIFS($A$2:$A1276,$A1276,$E$2:$E1276,"ANNULE")),""))</f>
        <v/>
      </c>
    </row>
    <row r="1277">
      <c r="A1277">
        <f>IF(ISBLANK('ENGAGEMENTS 2026'!B1277),"",IF('ENGAGEMENTS 2026'!B1277="DTSI","DCT",'ENGAGEMENTS 2026'!B1277))</f>
        <v/>
      </c>
      <c r="B1277">
        <f>IF(ISBLANK('ENGAGEMENTS 2026'!B1277),"",'ENGAGEMENTS 2026'!C1277)</f>
        <v/>
      </c>
      <c r="C1277">
        <f>IF(ISBLANK('ENGAGEMENTS 2026'!B1277),"",'ENGAGEMENTS 2026'!D1277)</f>
        <v/>
      </c>
      <c r="D1277">
        <f>IF(ISBLANK('ENGAGEMENTS 2026'!B1277),"",'ENGAGEMENTS 2026'!F1277)</f>
        <v/>
      </c>
      <c r="E1277">
        <f>IF(ISBLANK('ENGAGEMENTS 2026'!B1277),"",'ENGAGEMENTS 2026'!H1277)</f>
        <v/>
      </c>
      <c r="F1277">
        <f>IF(ISBLANK('ENGAGEMENTS 2026'!B1277),"",'ENGAGEMENTS 2026'!I1277)</f>
        <v/>
      </c>
      <c r="G1277">
        <f>IF(ISBLANK('ENGAGEMENTS 2026'!B1277),"",'ENGAGEMENTS 2026'!L1277)</f>
        <v/>
      </c>
      <c r="H1277">
        <f>IF(ISBLANK('ENGAGEMENTS 2026'!B1277),"",'ENGAGEMENTS 2026'!AE1277)</f>
        <v/>
      </c>
      <c r="I1277">
        <f>IF(ISBLANK('ENGAGEMENTS 2026'!B1277),"",'ENGAGEMENTS 2026'!G1277)</f>
        <v/>
      </c>
      <c r="J1277" s="275">
        <f>IF(ISBLANK('ENGAGEMENTS 2026'!B1277),"",IF(AND(OR($E1277="INFRUCTUEUX",$E1277="ANNULE"),$C1277="AOO-M"),'ENGAGEMENTS 2026'!O1277,IF($H1277="EN COURS DE PREENGAGEMENT",'ENGAGEMENTS 2026'!N1277,IF($H1277="PREENGAGE",IF($E1277="ATTRIBUE",'ENGAGEMENTS 2026'!AD1277,'ENGAGEMENTS 2026'!N1277),'ENGAGEMENTS 2026'!AD1277))))</f>
        <v/>
      </c>
      <c r="K1277" s="604">
        <f>IF(ISBLANK('ENGAGEMENTS 2026'!V1277),"",'ENGAGEMENTS 2026'!V1277)</f>
        <v/>
      </c>
      <c r="L1277" s="276">
        <f>IF($K1277="","",TODAY()-$K1277)</f>
        <v/>
      </c>
      <c r="M1277">
        <f>IF($A1277="","",IF($H1277="ENGAGE","Engagé",IF(AND($H1277="NON ENGAGE",OR($I1277="INFRUCTUEUX",$I1277="ANNULE")),"Clôturé sans suite","En cours")))</f>
        <v/>
      </c>
      <c r="N1277">
        <f>IF(ISBLANK('ENGAGEMENTS 2026'!B1277),"",'ENGAGEMENTS 2026'!K1277)</f>
        <v/>
      </c>
      <c r="O1277">
        <f>IF(ISBLANK('ENGAGEMENTS 2026'!B1277),"",'ENGAGEMENTS 2026'!L1277)</f>
        <v/>
      </c>
      <c r="P1277">
        <f>IF(ISBLANK('ENGAGEMENTS 2026'!B1277),"",'ENGAGEMENTS 2026'!J1277)</f>
        <v/>
      </c>
      <c r="Q1277">
        <f>IF($A1277="","",IF(OR($E1277="INFRUCTUEUX",$E1277="ANNULE"),$A1277&amp;"|"&amp;(COUNTIFS($A$2:$A1277,$A1277,$E$2:$E1277,"INFRUCTUEUX")+COUNTIFS($A$2:$A1277,$A1277,$E$2:$E1277,"ANNULE")),""))</f>
        <v/>
      </c>
    </row>
    <row r="1278">
      <c r="A1278">
        <f>IF(ISBLANK('ENGAGEMENTS 2026'!B1278),"",IF('ENGAGEMENTS 2026'!B1278="DTSI","DCT",'ENGAGEMENTS 2026'!B1278))</f>
        <v/>
      </c>
      <c r="B1278">
        <f>IF(ISBLANK('ENGAGEMENTS 2026'!B1278),"",'ENGAGEMENTS 2026'!C1278)</f>
        <v/>
      </c>
      <c r="C1278">
        <f>IF(ISBLANK('ENGAGEMENTS 2026'!B1278),"",'ENGAGEMENTS 2026'!D1278)</f>
        <v/>
      </c>
      <c r="D1278">
        <f>IF(ISBLANK('ENGAGEMENTS 2026'!B1278),"",'ENGAGEMENTS 2026'!F1278)</f>
        <v/>
      </c>
      <c r="E1278">
        <f>IF(ISBLANK('ENGAGEMENTS 2026'!B1278),"",'ENGAGEMENTS 2026'!H1278)</f>
        <v/>
      </c>
      <c r="F1278">
        <f>IF(ISBLANK('ENGAGEMENTS 2026'!B1278),"",'ENGAGEMENTS 2026'!I1278)</f>
        <v/>
      </c>
      <c r="G1278">
        <f>IF(ISBLANK('ENGAGEMENTS 2026'!B1278),"",'ENGAGEMENTS 2026'!L1278)</f>
        <v/>
      </c>
      <c r="H1278">
        <f>IF(ISBLANK('ENGAGEMENTS 2026'!B1278),"",'ENGAGEMENTS 2026'!AE1278)</f>
        <v/>
      </c>
      <c r="I1278">
        <f>IF(ISBLANK('ENGAGEMENTS 2026'!B1278),"",'ENGAGEMENTS 2026'!G1278)</f>
        <v/>
      </c>
      <c r="J1278" s="275">
        <f>IF(ISBLANK('ENGAGEMENTS 2026'!B1278),"",IF(AND(OR($E1278="INFRUCTUEUX",$E1278="ANNULE"),$C1278="AOO-M"),'ENGAGEMENTS 2026'!O1278,IF($H1278="EN COURS DE PREENGAGEMENT",'ENGAGEMENTS 2026'!N1278,IF($H1278="PREENGAGE",IF($E1278="ATTRIBUE",'ENGAGEMENTS 2026'!AD1278,'ENGAGEMENTS 2026'!N1278),'ENGAGEMENTS 2026'!AD1278))))</f>
        <v/>
      </c>
      <c r="K1278" s="604">
        <f>IF(ISBLANK('ENGAGEMENTS 2026'!V1278),"",'ENGAGEMENTS 2026'!V1278)</f>
        <v/>
      </c>
      <c r="L1278" s="276">
        <f>IF($K1278="","",TODAY()-$K1278)</f>
        <v/>
      </c>
      <c r="M1278">
        <f>IF($A1278="","",IF($H1278="ENGAGE","Engagé",IF(AND($H1278="NON ENGAGE",OR($I1278="INFRUCTUEUX",$I1278="ANNULE")),"Clôturé sans suite","En cours")))</f>
        <v/>
      </c>
      <c r="N1278">
        <f>IF(ISBLANK('ENGAGEMENTS 2026'!B1278),"",'ENGAGEMENTS 2026'!K1278)</f>
        <v/>
      </c>
      <c r="O1278">
        <f>IF(ISBLANK('ENGAGEMENTS 2026'!B1278),"",'ENGAGEMENTS 2026'!L1278)</f>
        <v/>
      </c>
      <c r="P1278">
        <f>IF(ISBLANK('ENGAGEMENTS 2026'!B1278),"",'ENGAGEMENTS 2026'!J1278)</f>
        <v/>
      </c>
      <c r="Q1278">
        <f>IF($A1278="","",IF(OR($E1278="INFRUCTUEUX",$E1278="ANNULE"),$A1278&amp;"|"&amp;(COUNTIFS($A$2:$A1278,$A1278,$E$2:$E1278,"INFRUCTUEUX")+COUNTIFS($A$2:$A1278,$A1278,$E$2:$E1278,"ANNULE")),""))</f>
        <v/>
      </c>
    </row>
    <row r="1279">
      <c r="A1279">
        <f>IF(ISBLANK('ENGAGEMENTS 2026'!B1279),"",IF('ENGAGEMENTS 2026'!B1279="DTSI","DCT",'ENGAGEMENTS 2026'!B1279))</f>
        <v/>
      </c>
      <c r="B1279">
        <f>IF(ISBLANK('ENGAGEMENTS 2026'!B1279),"",'ENGAGEMENTS 2026'!C1279)</f>
        <v/>
      </c>
      <c r="C1279">
        <f>IF(ISBLANK('ENGAGEMENTS 2026'!B1279),"",'ENGAGEMENTS 2026'!D1279)</f>
        <v/>
      </c>
      <c r="D1279">
        <f>IF(ISBLANK('ENGAGEMENTS 2026'!B1279),"",'ENGAGEMENTS 2026'!F1279)</f>
        <v/>
      </c>
      <c r="E1279">
        <f>IF(ISBLANK('ENGAGEMENTS 2026'!B1279),"",'ENGAGEMENTS 2026'!H1279)</f>
        <v/>
      </c>
      <c r="F1279">
        <f>IF(ISBLANK('ENGAGEMENTS 2026'!B1279),"",'ENGAGEMENTS 2026'!I1279)</f>
        <v/>
      </c>
      <c r="G1279">
        <f>IF(ISBLANK('ENGAGEMENTS 2026'!B1279),"",'ENGAGEMENTS 2026'!L1279)</f>
        <v/>
      </c>
      <c r="H1279">
        <f>IF(ISBLANK('ENGAGEMENTS 2026'!B1279),"",'ENGAGEMENTS 2026'!AE1279)</f>
        <v/>
      </c>
      <c r="I1279">
        <f>IF(ISBLANK('ENGAGEMENTS 2026'!B1279),"",'ENGAGEMENTS 2026'!G1279)</f>
        <v/>
      </c>
      <c r="J1279" s="275">
        <f>IF(ISBLANK('ENGAGEMENTS 2026'!B1279),"",IF(AND(OR($E1279="INFRUCTUEUX",$E1279="ANNULE"),$C1279="AOO-M"),'ENGAGEMENTS 2026'!O1279,IF($H1279="EN COURS DE PREENGAGEMENT",'ENGAGEMENTS 2026'!N1279,IF($H1279="PREENGAGE",IF($E1279="ATTRIBUE",'ENGAGEMENTS 2026'!AD1279,'ENGAGEMENTS 2026'!N1279),'ENGAGEMENTS 2026'!AD1279))))</f>
        <v/>
      </c>
      <c r="K1279" s="604">
        <f>IF(ISBLANK('ENGAGEMENTS 2026'!V1279),"",'ENGAGEMENTS 2026'!V1279)</f>
        <v/>
      </c>
      <c r="L1279" s="276">
        <f>IF($K1279="","",TODAY()-$K1279)</f>
        <v/>
      </c>
      <c r="M1279">
        <f>IF($A1279="","",IF($H1279="ENGAGE","Engagé",IF(AND($H1279="NON ENGAGE",OR($I1279="INFRUCTUEUX",$I1279="ANNULE")),"Clôturé sans suite","En cours")))</f>
        <v/>
      </c>
      <c r="N1279">
        <f>IF(ISBLANK('ENGAGEMENTS 2026'!B1279),"",'ENGAGEMENTS 2026'!K1279)</f>
        <v/>
      </c>
      <c r="O1279">
        <f>IF(ISBLANK('ENGAGEMENTS 2026'!B1279),"",'ENGAGEMENTS 2026'!L1279)</f>
        <v/>
      </c>
      <c r="P1279">
        <f>IF(ISBLANK('ENGAGEMENTS 2026'!B1279),"",'ENGAGEMENTS 2026'!J1279)</f>
        <v/>
      </c>
      <c r="Q1279">
        <f>IF($A1279="","",IF(OR($E1279="INFRUCTUEUX",$E1279="ANNULE"),$A1279&amp;"|"&amp;(COUNTIFS($A$2:$A1279,$A1279,$E$2:$E1279,"INFRUCTUEUX")+COUNTIFS($A$2:$A1279,$A1279,$E$2:$E1279,"ANNULE")),""))</f>
        <v/>
      </c>
    </row>
    <row r="1280">
      <c r="A1280">
        <f>IF(ISBLANK('ENGAGEMENTS 2026'!B1280),"",IF('ENGAGEMENTS 2026'!B1280="DTSI","DCT",'ENGAGEMENTS 2026'!B1280))</f>
        <v/>
      </c>
      <c r="B1280">
        <f>IF(ISBLANK('ENGAGEMENTS 2026'!B1280),"",'ENGAGEMENTS 2026'!C1280)</f>
        <v/>
      </c>
      <c r="C1280">
        <f>IF(ISBLANK('ENGAGEMENTS 2026'!B1280),"",'ENGAGEMENTS 2026'!D1280)</f>
        <v/>
      </c>
      <c r="D1280">
        <f>IF(ISBLANK('ENGAGEMENTS 2026'!B1280),"",'ENGAGEMENTS 2026'!F1280)</f>
        <v/>
      </c>
      <c r="E1280">
        <f>IF(ISBLANK('ENGAGEMENTS 2026'!B1280),"",'ENGAGEMENTS 2026'!H1280)</f>
        <v/>
      </c>
      <c r="F1280">
        <f>IF(ISBLANK('ENGAGEMENTS 2026'!B1280),"",'ENGAGEMENTS 2026'!I1280)</f>
        <v/>
      </c>
      <c r="G1280">
        <f>IF(ISBLANK('ENGAGEMENTS 2026'!B1280),"",'ENGAGEMENTS 2026'!L1280)</f>
        <v/>
      </c>
      <c r="H1280">
        <f>IF(ISBLANK('ENGAGEMENTS 2026'!B1280),"",'ENGAGEMENTS 2026'!AE1280)</f>
        <v/>
      </c>
      <c r="I1280">
        <f>IF(ISBLANK('ENGAGEMENTS 2026'!B1280),"",'ENGAGEMENTS 2026'!G1280)</f>
        <v/>
      </c>
      <c r="J1280" s="275">
        <f>IF(ISBLANK('ENGAGEMENTS 2026'!B1280),"",IF(AND(OR($E1280="INFRUCTUEUX",$E1280="ANNULE"),$C1280="AOO-M"),'ENGAGEMENTS 2026'!O1280,IF($H1280="EN COURS DE PREENGAGEMENT",'ENGAGEMENTS 2026'!N1280,IF($H1280="PREENGAGE",IF($E1280="ATTRIBUE",'ENGAGEMENTS 2026'!AD1280,'ENGAGEMENTS 2026'!N1280),'ENGAGEMENTS 2026'!AD1280))))</f>
        <v/>
      </c>
      <c r="K1280" s="604">
        <f>IF(ISBLANK('ENGAGEMENTS 2026'!V1280),"",'ENGAGEMENTS 2026'!V1280)</f>
        <v/>
      </c>
      <c r="L1280" s="276">
        <f>IF($K1280="","",TODAY()-$K1280)</f>
        <v/>
      </c>
      <c r="M1280">
        <f>IF($A1280="","",IF($H1280="ENGAGE","Engagé",IF(AND($H1280="NON ENGAGE",OR($I1280="INFRUCTUEUX",$I1280="ANNULE")),"Clôturé sans suite","En cours")))</f>
        <v/>
      </c>
      <c r="N1280">
        <f>IF(ISBLANK('ENGAGEMENTS 2026'!B1280),"",'ENGAGEMENTS 2026'!K1280)</f>
        <v/>
      </c>
      <c r="O1280">
        <f>IF(ISBLANK('ENGAGEMENTS 2026'!B1280),"",'ENGAGEMENTS 2026'!L1280)</f>
        <v/>
      </c>
      <c r="P1280">
        <f>IF(ISBLANK('ENGAGEMENTS 2026'!B1280),"",'ENGAGEMENTS 2026'!J1280)</f>
        <v/>
      </c>
      <c r="Q1280">
        <f>IF($A1280="","",IF(OR($E1280="INFRUCTUEUX",$E1280="ANNULE"),$A1280&amp;"|"&amp;(COUNTIFS($A$2:$A1280,$A1280,$E$2:$E1280,"INFRUCTUEUX")+COUNTIFS($A$2:$A1280,$A1280,$E$2:$E1280,"ANNULE")),""))</f>
        <v/>
      </c>
    </row>
    <row r="1281">
      <c r="A1281">
        <f>IF(ISBLANK('ENGAGEMENTS 2026'!B1281),"",IF('ENGAGEMENTS 2026'!B1281="DTSI","DCT",'ENGAGEMENTS 2026'!B1281))</f>
        <v/>
      </c>
      <c r="B1281">
        <f>IF(ISBLANK('ENGAGEMENTS 2026'!B1281),"",'ENGAGEMENTS 2026'!C1281)</f>
        <v/>
      </c>
      <c r="C1281">
        <f>IF(ISBLANK('ENGAGEMENTS 2026'!B1281),"",'ENGAGEMENTS 2026'!D1281)</f>
        <v/>
      </c>
      <c r="D1281">
        <f>IF(ISBLANK('ENGAGEMENTS 2026'!B1281),"",'ENGAGEMENTS 2026'!F1281)</f>
        <v/>
      </c>
      <c r="E1281">
        <f>IF(ISBLANK('ENGAGEMENTS 2026'!B1281),"",'ENGAGEMENTS 2026'!H1281)</f>
        <v/>
      </c>
      <c r="F1281">
        <f>IF(ISBLANK('ENGAGEMENTS 2026'!B1281),"",'ENGAGEMENTS 2026'!I1281)</f>
        <v/>
      </c>
      <c r="G1281">
        <f>IF(ISBLANK('ENGAGEMENTS 2026'!B1281),"",'ENGAGEMENTS 2026'!L1281)</f>
        <v/>
      </c>
      <c r="H1281">
        <f>IF(ISBLANK('ENGAGEMENTS 2026'!B1281),"",'ENGAGEMENTS 2026'!AE1281)</f>
        <v/>
      </c>
      <c r="I1281">
        <f>IF(ISBLANK('ENGAGEMENTS 2026'!B1281),"",'ENGAGEMENTS 2026'!G1281)</f>
        <v/>
      </c>
      <c r="J1281" s="275">
        <f>IF(ISBLANK('ENGAGEMENTS 2026'!B1281),"",IF(AND(OR($E1281="INFRUCTUEUX",$E1281="ANNULE"),$C1281="AOO-M"),'ENGAGEMENTS 2026'!O1281,IF($H1281="EN COURS DE PREENGAGEMENT",'ENGAGEMENTS 2026'!N1281,IF($H1281="PREENGAGE",IF($E1281="ATTRIBUE",'ENGAGEMENTS 2026'!AD1281,'ENGAGEMENTS 2026'!N1281),'ENGAGEMENTS 2026'!AD1281))))</f>
        <v/>
      </c>
      <c r="K1281" s="604">
        <f>IF(ISBLANK('ENGAGEMENTS 2026'!V1281),"",'ENGAGEMENTS 2026'!V1281)</f>
        <v/>
      </c>
      <c r="L1281" s="276">
        <f>IF($K1281="","",TODAY()-$K1281)</f>
        <v/>
      </c>
      <c r="M1281">
        <f>IF($A1281="","",IF($H1281="ENGAGE","Engagé",IF(AND($H1281="NON ENGAGE",OR($I1281="INFRUCTUEUX",$I1281="ANNULE")),"Clôturé sans suite","En cours")))</f>
        <v/>
      </c>
      <c r="N1281">
        <f>IF(ISBLANK('ENGAGEMENTS 2026'!B1281),"",'ENGAGEMENTS 2026'!K1281)</f>
        <v/>
      </c>
      <c r="O1281">
        <f>IF(ISBLANK('ENGAGEMENTS 2026'!B1281),"",'ENGAGEMENTS 2026'!L1281)</f>
        <v/>
      </c>
      <c r="P1281">
        <f>IF(ISBLANK('ENGAGEMENTS 2026'!B1281),"",'ENGAGEMENTS 2026'!J1281)</f>
        <v/>
      </c>
      <c r="Q1281">
        <f>IF($A1281="","",IF(OR($E1281="INFRUCTUEUX",$E1281="ANNULE"),$A1281&amp;"|"&amp;(COUNTIFS($A$2:$A1281,$A1281,$E$2:$E1281,"INFRUCTUEUX")+COUNTIFS($A$2:$A1281,$A1281,$E$2:$E1281,"ANNULE")),""))</f>
        <v/>
      </c>
    </row>
    <row r="1282">
      <c r="A1282">
        <f>IF(ISBLANK('ENGAGEMENTS 2026'!B1282),"",IF('ENGAGEMENTS 2026'!B1282="DTSI","DCT",'ENGAGEMENTS 2026'!B1282))</f>
        <v/>
      </c>
      <c r="B1282">
        <f>IF(ISBLANK('ENGAGEMENTS 2026'!B1282),"",'ENGAGEMENTS 2026'!C1282)</f>
        <v/>
      </c>
      <c r="C1282">
        <f>IF(ISBLANK('ENGAGEMENTS 2026'!B1282),"",'ENGAGEMENTS 2026'!D1282)</f>
        <v/>
      </c>
      <c r="D1282">
        <f>IF(ISBLANK('ENGAGEMENTS 2026'!B1282),"",'ENGAGEMENTS 2026'!F1282)</f>
        <v/>
      </c>
      <c r="E1282">
        <f>IF(ISBLANK('ENGAGEMENTS 2026'!B1282),"",'ENGAGEMENTS 2026'!H1282)</f>
        <v/>
      </c>
      <c r="F1282">
        <f>IF(ISBLANK('ENGAGEMENTS 2026'!B1282),"",'ENGAGEMENTS 2026'!I1282)</f>
        <v/>
      </c>
      <c r="G1282">
        <f>IF(ISBLANK('ENGAGEMENTS 2026'!B1282),"",'ENGAGEMENTS 2026'!L1282)</f>
        <v/>
      </c>
      <c r="H1282">
        <f>IF(ISBLANK('ENGAGEMENTS 2026'!B1282),"",'ENGAGEMENTS 2026'!AE1282)</f>
        <v/>
      </c>
      <c r="I1282">
        <f>IF(ISBLANK('ENGAGEMENTS 2026'!B1282),"",'ENGAGEMENTS 2026'!G1282)</f>
        <v/>
      </c>
      <c r="J1282" s="275">
        <f>IF(ISBLANK('ENGAGEMENTS 2026'!B1282),"",IF(AND(OR($E1282="INFRUCTUEUX",$E1282="ANNULE"),$C1282="AOO-M"),'ENGAGEMENTS 2026'!O1282,IF($H1282="EN COURS DE PREENGAGEMENT",'ENGAGEMENTS 2026'!N1282,IF($H1282="PREENGAGE",IF($E1282="ATTRIBUE",'ENGAGEMENTS 2026'!AD1282,'ENGAGEMENTS 2026'!N1282),'ENGAGEMENTS 2026'!AD1282))))</f>
        <v/>
      </c>
      <c r="K1282" s="604">
        <f>IF(ISBLANK('ENGAGEMENTS 2026'!V1282),"",'ENGAGEMENTS 2026'!V1282)</f>
        <v/>
      </c>
      <c r="L1282" s="276">
        <f>IF($K1282="","",TODAY()-$K1282)</f>
        <v/>
      </c>
      <c r="M1282">
        <f>IF($A1282="","",IF($H1282="ENGAGE","Engagé",IF(AND($H1282="NON ENGAGE",OR($I1282="INFRUCTUEUX",$I1282="ANNULE")),"Clôturé sans suite","En cours")))</f>
        <v/>
      </c>
      <c r="N1282">
        <f>IF(ISBLANK('ENGAGEMENTS 2026'!B1282),"",'ENGAGEMENTS 2026'!K1282)</f>
        <v/>
      </c>
      <c r="O1282">
        <f>IF(ISBLANK('ENGAGEMENTS 2026'!B1282),"",'ENGAGEMENTS 2026'!L1282)</f>
        <v/>
      </c>
      <c r="P1282">
        <f>IF(ISBLANK('ENGAGEMENTS 2026'!B1282),"",'ENGAGEMENTS 2026'!J1282)</f>
        <v/>
      </c>
      <c r="Q1282">
        <f>IF($A1282="","",IF(OR($E1282="INFRUCTUEUX",$E1282="ANNULE"),$A1282&amp;"|"&amp;(COUNTIFS($A$2:$A1282,$A1282,$E$2:$E1282,"INFRUCTUEUX")+COUNTIFS($A$2:$A1282,$A1282,$E$2:$E1282,"ANNULE")),""))</f>
        <v/>
      </c>
    </row>
    <row r="1283">
      <c r="A1283">
        <f>IF(ISBLANK('ENGAGEMENTS 2026'!B1283),"",IF('ENGAGEMENTS 2026'!B1283="DTSI","DCT",'ENGAGEMENTS 2026'!B1283))</f>
        <v/>
      </c>
      <c r="B1283">
        <f>IF(ISBLANK('ENGAGEMENTS 2026'!B1283),"",'ENGAGEMENTS 2026'!C1283)</f>
        <v/>
      </c>
      <c r="C1283">
        <f>IF(ISBLANK('ENGAGEMENTS 2026'!B1283),"",'ENGAGEMENTS 2026'!D1283)</f>
        <v/>
      </c>
      <c r="D1283">
        <f>IF(ISBLANK('ENGAGEMENTS 2026'!B1283),"",'ENGAGEMENTS 2026'!F1283)</f>
        <v/>
      </c>
      <c r="E1283">
        <f>IF(ISBLANK('ENGAGEMENTS 2026'!B1283),"",'ENGAGEMENTS 2026'!H1283)</f>
        <v/>
      </c>
      <c r="F1283">
        <f>IF(ISBLANK('ENGAGEMENTS 2026'!B1283),"",'ENGAGEMENTS 2026'!I1283)</f>
        <v/>
      </c>
      <c r="G1283">
        <f>IF(ISBLANK('ENGAGEMENTS 2026'!B1283),"",'ENGAGEMENTS 2026'!L1283)</f>
        <v/>
      </c>
      <c r="H1283">
        <f>IF(ISBLANK('ENGAGEMENTS 2026'!B1283),"",'ENGAGEMENTS 2026'!AE1283)</f>
        <v/>
      </c>
      <c r="I1283">
        <f>IF(ISBLANK('ENGAGEMENTS 2026'!B1283),"",'ENGAGEMENTS 2026'!G1283)</f>
        <v/>
      </c>
      <c r="J1283" s="275">
        <f>IF(ISBLANK('ENGAGEMENTS 2026'!B1283),"",IF(AND(OR($E1283="INFRUCTUEUX",$E1283="ANNULE"),$C1283="AOO-M"),'ENGAGEMENTS 2026'!O1283,IF($H1283="EN COURS DE PREENGAGEMENT",'ENGAGEMENTS 2026'!N1283,IF($H1283="PREENGAGE",IF($E1283="ATTRIBUE",'ENGAGEMENTS 2026'!AD1283,'ENGAGEMENTS 2026'!N1283),'ENGAGEMENTS 2026'!AD1283))))</f>
        <v/>
      </c>
      <c r="K1283" s="604">
        <f>IF(ISBLANK('ENGAGEMENTS 2026'!V1283),"",'ENGAGEMENTS 2026'!V1283)</f>
        <v/>
      </c>
      <c r="L1283" s="276">
        <f>IF($K1283="","",TODAY()-$K1283)</f>
        <v/>
      </c>
      <c r="M1283">
        <f>IF($A1283="","",IF($H1283="ENGAGE","Engagé",IF(AND($H1283="NON ENGAGE",OR($I1283="INFRUCTUEUX",$I1283="ANNULE")),"Clôturé sans suite","En cours")))</f>
        <v/>
      </c>
      <c r="N1283">
        <f>IF(ISBLANK('ENGAGEMENTS 2026'!B1283),"",'ENGAGEMENTS 2026'!K1283)</f>
        <v/>
      </c>
      <c r="O1283">
        <f>IF(ISBLANK('ENGAGEMENTS 2026'!B1283),"",'ENGAGEMENTS 2026'!L1283)</f>
        <v/>
      </c>
      <c r="P1283">
        <f>IF(ISBLANK('ENGAGEMENTS 2026'!B1283),"",'ENGAGEMENTS 2026'!J1283)</f>
        <v/>
      </c>
      <c r="Q1283">
        <f>IF($A1283="","",IF(OR($E1283="INFRUCTUEUX",$E1283="ANNULE"),$A1283&amp;"|"&amp;(COUNTIFS($A$2:$A1283,$A1283,$E$2:$E1283,"INFRUCTUEUX")+COUNTIFS($A$2:$A1283,$A1283,$E$2:$E1283,"ANNULE")),""))</f>
        <v/>
      </c>
    </row>
    <row r="1284">
      <c r="A1284">
        <f>IF(ISBLANK('ENGAGEMENTS 2026'!B1284),"",IF('ENGAGEMENTS 2026'!B1284="DTSI","DCT",'ENGAGEMENTS 2026'!B1284))</f>
        <v/>
      </c>
      <c r="B1284">
        <f>IF(ISBLANK('ENGAGEMENTS 2026'!B1284),"",'ENGAGEMENTS 2026'!C1284)</f>
        <v/>
      </c>
      <c r="C1284">
        <f>IF(ISBLANK('ENGAGEMENTS 2026'!B1284),"",'ENGAGEMENTS 2026'!D1284)</f>
        <v/>
      </c>
      <c r="D1284">
        <f>IF(ISBLANK('ENGAGEMENTS 2026'!B1284),"",'ENGAGEMENTS 2026'!F1284)</f>
        <v/>
      </c>
      <c r="E1284">
        <f>IF(ISBLANK('ENGAGEMENTS 2026'!B1284),"",'ENGAGEMENTS 2026'!H1284)</f>
        <v/>
      </c>
      <c r="F1284">
        <f>IF(ISBLANK('ENGAGEMENTS 2026'!B1284),"",'ENGAGEMENTS 2026'!I1284)</f>
        <v/>
      </c>
      <c r="G1284">
        <f>IF(ISBLANK('ENGAGEMENTS 2026'!B1284),"",'ENGAGEMENTS 2026'!L1284)</f>
        <v/>
      </c>
      <c r="H1284">
        <f>IF(ISBLANK('ENGAGEMENTS 2026'!B1284),"",'ENGAGEMENTS 2026'!AE1284)</f>
        <v/>
      </c>
      <c r="I1284">
        <f>IF(ISBLANK('ENGAGEMENTS 2026'!B1284),"",'ENGAGEMENTS 2026'!G1284)</f>
        <v/>
      </c>
      <c r="J1284" s="275">
        <f>IF(ISBLANK('ENGAGEMENTS 2026'!B1284),"",IF(AND(OR($E1284="INFRUCTUEUX",$E1284="ANNULE"),$C1284="AOO-M"),'ENGAGEMENTS 2026'!O1284,IF($H1284="EN COURS DE PREENGAGEMENT",'ENGAGEMENTS 2026'!N1284,IF($H1284="PREENGAGE",IF($E1284="ATTRIBUE",'ENGAGEMENTS 2026'!AD1284,'ENGAGEMENTS 2026'!N1284),'ENGAGEMENTS 2026'!AD1284))))</f>
        <v/>
      </c>
      <c r="K1284" s="604">
        <f>IF(ISBLANK('ENGAGEMENTS 2026'!V1284),"",'ENGAGEMENTS 2026'!V1284)</f>
        <v/>
      </c>
      <c r="L1284" s="276">
        <f>IF($K1284="","",TODAY()-$K1284)</f>
        <v/>
      </c>
      <c r="M1284">
        <f>IF($A1284="","",IF($H1284="ENGAGE","Engagé",IF(AND($H1284="NON ENGAGE",OR($I1284="INFRUCTUEUX",$I1284="ANNULE")),"Clôturé sans suite","En cours")))</f>
        <v/>
      </c>
      <c r="N1284">
        <f>IF(ISBLANK('ENGAGEMENTS 2026'!B1284),"",'ENGAGEMENTS 2026'!K1284)</f>
        <v/>
      </c>
      <c r="O1284">
        <f>IF(ISBLANK('ENGAGEMENTS 2026'!B1284),"",'ENGAGEMENTS 2026'!L1284)</f>
        <v/>
      </c>
      <c r="P1284">
        <f>IF(ISBLANK('ENGAGEMENTS 2026'!B1284),"",'ENGAGEMENTS 2026'!J1284)</f>
        <v/>
      </c>
      <c r="Q1284">
        <f>IF($A1284="","",IF(OR($E1284="INFRUCTUEUX",$E1284="ANNULE"),$A1284&amp;"|"&amp;(COUNTIFS($A$2:$A1284,$A1284,$E$2:$E1284,"INFRUCTUEUX")+COUNTIFS($A$2:$A1284,$A1284,$E$2:$E1284,"ANNULE")),""))</f>
        <v/>
      </c>
    </row>
    <row r="1285">
      <c r="A1285">
        <f>IF(ISBLANK('ENGAGEMENTS 2026'!B1285),"",IF('ENGAGEMENTS 2026'!B1285="DTSI","DCT",'ENGAGEMENTS 2026'!B1285))</f>
        <v/>
      </c>
      <c r="B1285">
        <f>IF(ISBLANK('ENGAGEMENTS 2026'!B1285),"",'ENGAGEMENTS 2026'!C1285)</f>
        <v/>
      </c>
      <c r="C1285">
        <f>IF(ISBLANK('ENGAGEMENTS 2026'!B1285),"",'ENGAGEMENTS 2026'!D1285)</f>
        <v/>
      </c>
      <c r="D1285">
        <f>IF(ISBLANK('ENGAGEMENTS 2026'!B1285),"",'ENGAGEMENTS 2026'!F1285)</f>
        <v/>
      </c>
      <c r="E1285">
        <f>IF(ISBLANK('ENGAGEMENTS 2026'!B1285),"",'ENGAGEMENTS 2026'!H1285)</f>
        <v/>
      </c>
      <c r="F1285">
        <f>IF(ISBLANK('ENGAGEMENTS 2026'!B1285),"",'ENGAGEMENTS 2026'!I1285)</f>
        <v/>
      </c>
      <c r="G1285">
        <f>IF(ISBLANK('ENGAGEMENTS 2026'!B1285),"",'ENGAGEMENTS 2026'!L1285)</f>
        <v/>
      </c>
      <c r="H1285">
        <f>IF(ISBLANK('ENGAGEMENTS 2026'!B1285),"",'ENGAGEMENTS 2026'!AE1285)</f>
        <v/>
      </c>
      <c r="I1285">
        <f>IF(ISBLANK('ENGAGEMENTS 2026'!B1285),"",'ENGAGEMENTS 2026'!G1285)</f>
        <v/>
      </c>
      <c r="J1285" s="275">
        <f>IF(ISBLANK('ENGAGEMENTS 2026'!B1285),"",IF(AND(OR($E1285="INFRUCTUEUX",$E1285="ANNULE"),$C1285="AOO-M"),'ENGAGEMENTS 2026'!O1285,IF($H1285="EN COURS DE PREENGAGEMENT",'ENGAGEMENTS 2026'!N1285,IF($H1285="PREENGAGE",IF($E1285="ATTRIBUE",'ENGAGEMENTS 2026'!AD1285,'ENGAGEMENTS 2026'!N1285),'ENGAGEMENTS 2026'!AD1285))))</f>
        <v/>
      </c>
      <c r="K1285" s="604">
        <f>IF(ISBLANK('ENGAGEMENTS 2026'!V1285),"",'ENGAGEMENTS 2026'!V1285)</f>
        <v/>
      </c>
      <c r="L1285" s="276">
        <f>IF($K1285="","",TODAY()-$K1285)</f>
        <v/>
      </c>
      <c r="M1285">
        <f>IF($A1285="","",IF($H1285="ENGAGE","Engagé",IF(AND($H1285="NON ENGAGE",OR($I1285="INFRUCTUEUX",$I1285="ANNULE")),"Clôturé sans suite","En cours")))</f>
        <v/>
      </c>
      <c r="N1285">
        <f>IF(ISBLANK('ENGAGEMENTS 2026'!B1285),"",'ENGAGEMENTS 2026'!K1285)</f>
        <v/>
      </c>
      <c r="O1285">
        <f>IF(ISBLANK('ENGAGEMENTS 2026'!B1285),"",'ENGAGEMENTS 2026'!L1285)</f>
        <v/>
      </c>
      <c r="P1285">
        <f>IF(ISBLANK('ENGAGEMENTS 2026'!B1285),"",'ENGAGEMENTS 2026'!J1285)</f>
        <v/>
      </c>
      <c r="Q1285">
        <f>IF($A1285="","",IF(OR($E1285="INFRUCTUEUX",$E1285="ANNULE"),$A1285&amp;"|"&amp;(COUNTIFS($A$2:$A1285,$A1285,$E$2:$E1285,"INFRUCTUEUX")+COUNTIFS($A$2:$A1285,$A1285,$E$2:$E1285,"ANNULE")),""))</f>
        <v/>
      </c>
    </row>
    <row r="1286">
      <c r="A1286">
        <f>IF(ISBLANK('ENGAGEMENTS 2026'!B1286),"",IF('ENGAGEMENTS 2026'!B1286="DTSI","DCT",'ENGAGEMENTS 2026'!B1286))</f>
        <v/>
      </c>
      <c r="B1286">
        <f>IF(ISBLANK('ENGAGEMENTS 2026'!B1286),"",'ENGAGEMENTS 2026'!C1286)</f>
        <v/>
      </c>
      <c r="C1286">
        <f>IF(ISBLANK('ENGAGEMENTS 2026'!B1286),"",'ENGAGEMENTS 2026'!D1286)</f>
        <v/>
      </c>
      <c r="D1286">
        <f>IF(ISBLANK('ENGAGEMENTS 2026'!B1286),"",'ENGAGEMENTS 2026'!F1286)</f>
        <v/>
      </c>
      <c r="E1286">
        <f>IF(ISBLANK('ENGAGEMENTS 2026'!B1286),"",'ENGAGEMENTS 2026'!H1286)</f>
        <v/>
      </c>
      <c r="F1286">
        <f>IF(ISBLANK('ENGAGEMENTS 2026'!B1286),"",'ENGAGEMENTS 2026'!I1286)</f>
        <v/>
      </c>
      <c r="G1286">
        <f>IF(ISBLANK('ENGAGEMENTS 2026'!B1286),"",'ENGAGEMENTS 2026'!L1286)</f>
        <v/>
      </c>
      <c r="H1286">
        <f>IF(ISBLANK('ENGAGEMENTS 2026'!B1286),"",'ENGAGEMENTS 2026'!AE1286)</f>
        <v/>
      </c>
      <c r="I1286">
        <f>IF(ISBLANK('ENGAGEMENTS 2026'!B1286),"",'ENGAGEMENTS 2026'!G1286)</f>
        <v/>
      </c>
      <c r="J1286" s="275">
        <f>IF(ISBLANK('ENGAGEMENTS 2026'!B1286),"",IF(AND(OR($E1286="INFRUCTUEUX",$E1286="ANNULE"),$C1286="AOO-M"),'ENGAGEMENTS 2026'!O1286,IF($H1286="EN COURS DE PREENGAGEMENT",'ENGAGEMENTS 2026'!N1286,IF($H1286="PREENGAGE",IF($E1286="ATTRIBUE",'ENGAGEMENTS 2026'!AD1286,'ENGAGEMENTS 2026'!N1286),'ENGAGEMENTS 2026'!AD1286))))</f>
        <v/>
      </c>
      <c r="K1286" s="604">
        <f>IF(ISBLANK('ENGAGEMENTS 2026'!V1286),"",'ENGAGEMENTS 2026'!V1286)</f>
        <v/>
      </c>
      <c r="L1286" s="276">
        <f>IF($K1286="","",TODAY()-$K1286)</f>
        <v/>
      </c>
      <c r="M1286">
        <f>IF($A1286="","",IF($H1286="ENGAGE","Engagé",IF(AND($H1286="NON ENGAGE",OR($I1286="INFRUCTUEUX",$I1286="ANNULE")),"Clôturé sans suite","En cours")))</f>
        <v/>
      </c>
      <c r="N1286">
        <f>IF(ISBLANK('ENGAGEMENTS 2026'!B1286),"",'ENGAGEMENTS 2026'!K1286)</f>
        <v/>
      </c>
      <c r="O1286">
        <f>IF(ISBLANK('ENGAGEMENTS 2026'!B1286),"",'ENGAGEMENTS 2026'!L1286)</f>
        <v/>
      </c>
      <c r="P1286">
        <f>IF(ISBLANK('ENGAGEMENTS 2026'!B1286),"",'ENGAGEMENTS 2026'!J1286)</f>
        <v/>
      </c>
      <c r="Q1286">
        <f>IF($A1286="","",IF(OR($E1286="INFRUCTUEUX",$E1286="ANNULE"),$A1286&amp;"|"&amp;(COUNTIFS($A$2:$A1286,$A1286,$E$2:$E1286,"INFRUCTUEUX")+COUNTIFS($A$2:$A1286,$A1286,$E$2:$E1286,"ANNULE")),""))</f>
        <v/>
      </c>
    </row>
    <row r="1287">
      <c r="A1287">
        <f>IF(ISBLANK('ENGAGEMENTS 2026'!B1287),"",IF('ENGAGEMENTS 2026'!B1287="DTSI","DCT",'ENGAGEMENTS 2026'!B1287))</f>
        <v/>
      </c>
      <c r="B1287">
        <f>IF(ISBLANK('ENGAGEMENTS 2026'!B1287),"",'ENGAGEMENTS 2026'!C1287)</f>
        <v/>
      </c>
      <c r="C1287">
        <f>IF(ISBLANK('ENGAGEMENTS 2026'!B1287),"",'ENGAGEMENTS 2026'!D1287)</f>
        <v/>
      </c>
      <c r="D1287">
        <f>IF(ISBLANK('ENGAGEMENTS 2026'!B1287),"",'ENGAGEMENTS 2026'!F1287)</f>
        <v/>
      </c>
      <c r="E1287">
        <f>IF(ISBLANK('ENGAGEMENTS 2026'!B1287),"",'ENGAGEMENTS 2026'!H1287)</f>
        <v/>
      </c>
      <c r="F1287">
        <f>IF(ISBLANK('ENGAGEMENTS 2026'!B1287),"",'ENGAGEMENTS 2026'!I1287)</f>
        <v/>
      </c>
      <c r="G1287">
        <f>IF(ISBLANK('ENGAGEMENTS 2026'!B1287),"",'ENGAGEMENTS 2026'!L1287)</f>
        <v/>
      </c>
      <c r="H1287">
        <f>IF(ISBLANK('ENGAGEMENTS 2026'!B1287),"",'ENGAGEMENTS 2026'!AE1287)</f>
        <v/>
      </c>
      <c r="I1287">
        <f>IF(ISBLANK('ENGAGEMENTS 2026'!B1287),"",'ENGAGEMENTS 2026'!G1287)</f>
        <v/>
      </c>
      <c r="J1287" s="275">
        <f>IF(ISBLANK('ENGAGEMENTS 2026'!B1287),"",IF(AND(OR($E1287="INFRUCTUEUX",$E1287="ANNULE"),$C1287="AOO-M"),'ENGAGEMENTS 2026'!O1287,IF($H1287="EN COURS DE PREENGAGEMENT",'ENGAGEMENTS 2026'!N1287,IF($H1287="PREENGAGE",IF($E1287="ATTRIBUE",'ENGAGEMENTS 2026'!AD1287,'ENGAGEMENTS 2026'!N1287),'ENGAGEMENTS 2026'!AD1287))))</f>
        <v/>
      </c>
      <c r="K1287" s="604">
        <f>IF(ISBLANK('ENGAGEMENTS 2026'!V1287),"",'ENGAGEMENTS 2026'!V1287)</f>
        <v/>
      </c>
      <c r="L1287" s="276">
        <f>IF($K1287="","",TODAY()-$K1287)</f>
        <v/>
      </c>
      <c r="M1287">
        <f>IF($A1287="","",IF($H1287="ENGAGE","Engagé",IF(AND($H1287="NON ENGAGE",OR($I1287="INFRUCTUEUX",$I1287="ANNULE")),"Clôturé sans suite","En cours")))</f>
        <v/>
      </c>
      <c r="N1287">
        <f>IF(ISBLANK('ENGAGEMENTS 2026'!B1287),"",'ENGAGEMENTS 2026'!K1287)</f>
        <v/>
      </c>
      <c r="O1287">
        <f>IF(ISBLANK('ENGAGEMENTS 2026'!B1287),"",'ENGAGEMENTS 2026'!L1287)</f>
        <v/>
      </c>
      <c r="P1287">
        <f>IF(ISBLANK('ENGAGEMENTS 2026'!B1287),"",'ENGAGEMENTS 2026'!J1287)</f>
        <v/>
      </c>
      <c r="Q1287">
        <f>IF($A1287="","",IF(OR($E1287="INFRUCTUEUX",$E1287="ANNULE"),$A1287&amp;"|"&amp;(COUNTIFS($A$2:$A1287,$A1287,$E$2:$E1287,"INFRUCTUEUX")+COUNTIFS($A$2:$A1287,$A1287,$E$2:$E1287,"ANNULE")),""))</f>
        <v/>
      </c>
    </row>
    <row r="1288">
      <c r="A1288">
        <f>IF(ISBLANK('ENGAGEMENTS 2026'!B1288),"",IF('ENGAGEMENTS 2026'!B1288="DTSI","DCT",'ENGAGEMENTS 2026'!B1288))</f>
        <v/>
      </c>
      <c r="B1288">
        <f>IF(ISBLANK('ENGAGEMENTS 2026'!B1288),"",'ENGAGEMENTS 2026'!C1288)</f>
        <v/>
      </c>
      <c r="C1288">
        <f>IF(ISBLANK('ENGAGEMENTS 2026'!B1288),"",'ENGAGEMENTS 2026'!D1288)</f>
        <v/>
      </c>
      <c r="D1288">
        <f>IF(ISBLANK('ENGAGEMENTS 2026'!B1288),"",'ENGAGEMENTS 2026'!F1288)</f>
        <v/>
      </c>
      <c r="E1288">
        <f>IF(ISBLANK('ENGAGEMENTS 2026'!B1288),"",'ENGAGEMENTS 2026'!H1288)</f>
        <v/>
      </c>
      <c r="F1288">
        <f>IF(ISBLANK('ENGAGEMENTS 2026'!B1288),"",'ENGAGEMENTS 2026'!I1288)</f>
        <v/>
      </c>
      <c r="G1288">
        <f>IF(ISBLANK('ENGAGEMENTS 2026'!B1288),"",'ENGAGEMENTS 2026'!L1288)</f>
        <v/>
      </c>
      <c r="H1288">
        <f>IF(ISBLANK('ENGAGEMENTS 2026'!B1288),"",'ENGAGEMENTS 2026'!AE1288)</f>
        <v/>
      </c>
      <c r="I1288">
        <f>IF(ISBLANK('ENGAGEMENTS 2026'!B1288),"",'ENGAGEMENTS 2026'!G1288)</f>
        <v/>
      </c>
      <c r="J1288" s="275">
        <f>IF(ISBLANK('ENGAGEMENTS 2026'!B1288),"",IF(AND(OR($E1288="INFRUCTUEUX",$E1288="ANNULE"),$C1288="AOO-M"),'ENGAGEMENTS 2026'!O1288,IF($H1288="EN COURS DE PREENGAGEMENT",'ENGAGEMENTS 2026'!N1288,IF($H1288="PREENGAGE",IF($E1288="ATTRIBUE",'ENGAGEMENTS 2026'!AD1288,'ENGAGEMENTS 2026'!N1288),'ENGAGEMENTS 2026'!AD1288))))</f>
        <v/>
      </c>
      <c r="K1288" s="604">
        <f>IF(ISBLANK('ENGAGEMENTS 2026'!V1288),"",'ENGAGEMENTS 2026'!V1288)</f>
        <v/>
      </c>
      <c r="L1288" s="276">
        <f>IF($K1288="","",TODAY()-$K1288)</f>
        <v/>
      </c>
      <c r="M1288">
        <f>IF($A1288="","",IF($H1288="ENGAGE","Engagé",IF(AND($H1288="NON ENGAGE",OR($I1288="INFRUCTUEUX",$I1288="ANNULE")),"Clôturé sans suite","En cours")))</f>
        <v/>
      </c>
      <c r="N1288">
        <f>IF(ISBLANK('ENGAGEMENTS 2026'!B1288),"",'ENGAGEMENTS 2026'!K1288)</f>
        <v/>
      </c>
      <c r="O1288">
        <f>IF(ISBLANK('ENGAGEMENTS 2026'!B1288),"",'ENGAGEMENTS 2026'!L1288)</f>
        <v/>
      </c>
      <c r="P1288">
        <f>IF(ISBLANK('ENGAGEMENTS 2026'!B1288),"",'ENGAGEMENTS 2026'!J1288)</f>
        <v/>
      </c>
      <c r="Q1288">
        <f>IF($A1288="","",IF(OR($E1288="INFRUCTUEUX",$E1288="ANNULE"),$A1288&amp;"|"&amp;(COUNTIFS($A$2:$A1288,$A1288,$E$2:$E1288,"INFRUCTUEUX")+COUNTIFS($A$2:$A1288,$A1288,$E$2:$E1288,"ANNULE")),""))</f>
        <v/>
      </c>
    </row>
    <row r="1289">
      <c r="A1289">
        <f>IF(ISBLANK('ENGAGEMENTS 2026'!B1289),"",IF('ENGAGEMENTS 2026'!B1289="DTSI","DCT",'ENGAGEMENTS 2026'!B1289))</f>
        <v/>
      </c>
      <c r="B1289">
        <f>IF(ISBLANK('ENGAGEMENTS 2026'!B1289),"",'ENGAGEMENTS 2026'!C1289)</f>
        <v/>
      </c>
      <c r="C1289">
        <f>IF(ISBLANK('ENGAGEMENTS 2026'!B1289),"",'ENGAGEMENTS 2026'!D1289)</f>
        <v/>
      </c>
      <c r="D1289">
        <f>IF(ISBLANK('ENGAGEMENTS 2026'!B1289),"",'ENGAGEMENTS 2026'!F1289)</f>
        <v/>
      </c>
      <c r="E1289">
        <f>IF(ISBLANK('ENGAGEMENTS 2026'!B1289),"",'ENGAGEMENTS 2026'!H1289)</f>
        <v/>
      </c>
      <c r="F1289">
        <f>IF(ISBLANK('ENGAGEMENTS 2026'!B1289),"",'ENGAGEMENTS 2026'!I1289)</f>
        <v/>
      </c>
      <c r="G1289">
        <f>IF(ISBLANK('ENGAGEMENTS 2026'!B1289),"",'ENGAGEMENTS 2026'!L1289)</f>
        <v/>
      </c>
      <c r="H1289">
        <f>IF(ISBLANK('ENGAGEMENTS 2026'!B1289),"",'ENGAGEMENTS 2026'!AE1289)</f>
        <v/>
      </c>
      <c r="I1289">
        <f>IF(ISBLANK('ENGAGEMENTS 2026'!B1289),"",'ENGAGEMENTS 2026'!G1289)</f>
        <v/>
      </c>
      <c r="J1289" s="275">
        <f>IF(ISBLANK('ENGAGEMENTS 2026'!B1289),"",IF(AND(OR($E1289="INFRUCTUEUX",$E1289="ANNULE"),$C1289="AOO-M"),'ENGAGEMENTS 2026'!O1289,IF($H1289="EN COURS DE PREENGAGEMENT",'ENGAGEMENTS 2026'!N1289,IF($H1289="PREENGAGE",IF($E1289="ATTRIBUE",'ENGAGEMENTS 2026'!AD1289,'ENGAGEMENTS 2026'!N1289),'ENGAGEMENTS 2026'!AD1289))))</f>
        <v/>
      </c>
      <c r="K1289" s="604">
        <f>IF(ISBLANK('ENGAGEMENTS 2026'!V1289),"",'ENGAGEMENTS 2026'!V1289)</f>
        <v/>
      </c>
      <c r="L1289" s="276">
        <f>IF($K1289="","",TODAY()-$K1289)</f>
        <v/>
      </c>
      <c r="M1289">
        <f>IF($A1289="","",IF($H1289="ENGAGE","Engagé",IF(AND($H1289="NON ENGAGE",OR($I1289="INFRUCTUEUX",$I1289="ANNULE")),"Clôturé sans suite","En cours")))</f>
        <v/>
      </c>
      <c r="N1289">
        <f>IF(ISBLANK('ENGAGEMENTS 2026'!B1289),"",'ENGAGEMENTS 2026'!K1289)</f>
        <v/>
      </c>
      <c r="O1289">
        <f>IF(ISBLANK('ENGAGEMENTS 2026'!B1289),"",'ENGAGEMENTS 2026'!L1289)</f>
        <v/>
      </c>
      <c r="P1289">
        <f>IF(ISBLANK('ENGAGEMENTS 2026'!B1289),"",'ENGAGEMENTS 2026'!J1289)</f>
        <v/>
      </c>
      <c r="Q1289">
        <f>IF($A1289="","",IF(OR($E1289="INFRUCTUEUX",$E1289="ANNULE"),$A1289&amp;"|"&amp;(COUNTIFS($A$2:$A1289,$A1289,$E$2:$E1289,"INFRUCTUEUX")+COUNTIFS($A$2:$A1289,$A1289,$E$2:$E1289,"ANNULE")),""))</f>
        <v/>
      </c>
    </row>
    <row r="1290">
      <c r="A1290">
        <f>IF(ISBLANK('ENGAGEMENTS 2026'!B1290),"",IF('ENGAGEMENTS 2026'!B1290="DTSI","DCT",'ENGAGEMENTS 2026'!B1290))</f>
        <v/>
      </c>
      <c r="B1290">
        <f>IF(ISBLANK('ENGAGEMENTS 2026'!B1290),"",'ENGAGEMENTS 2026'!C1290)</f>
        <v/>
      </c>
      <c r="C1290">
        <f>IF(ISBLANK('ENGAGEMENTS 2026'!B1290),"",'ENGAGEMENTS 2026'!D1290)</f>
        <v/>
      </c>
      <c r="D1290">
        <f>IF(ISBLANK('ENGAGEMENTS 2026'!B1290),"",'ENGAGEMENTS 2026'!F1290)</f>
        <v/>
      </c>
      <c r="E1290">
        <f>IF(ISBLANK('ENGAGEMENTS 2026'!B1290),"",'ENGAGEMENTS 2026'!H1290)</f>
        <v/>
      </c>
      <c r="F1290">
        <f>IF(ISBLANK('ENGAGEMENTS 2026'!B1290),"",'ENGAGEMENTS 2026'!I1290)</f>
        <v/>
      </c>
      <c r="G1290">
        <f>IF(ISBLANK('ENGAGEMENTS 2026'!B1290),"",'ENGAGEMENTS 2026'!L1290)</f>
        <v/>
      </c>
      <c r="H1290">
        <f>IF(ISBLANK('ENGAGEMENTS 2026'!B1290),"",'ENGAGEMENTS 2026'!AE1290)</f>
        <v/>
      </c>
      <c r="I1290">
        <f>IF(ISBLANK('ENGAGEMENTS 2026'!B1290),"",'ENGAGEMENTS 2026'!G1290)</f>
        <v/>
      </c>
      <c r="J1290" s="275">
        <f>IF(ISBLANK('ENGAGEMENTS 2026'!B1290),"",IF(AND(OR($E1290="INFRUCTUEUX",$E1290="ANNULE"),$C1290="AOO-M"),'ENGAGEMENTS 2026'!O1290,IF($H1290="EN COURS DE PREENGAGEMENT",'ENGAGEMENTS 2026'!N1290,IF($H1290="PREENGAGE",IF($E1290="ATTRIBUE",'ENGAGEMENTS 2026'!AD1290,'ENGAGEMENTS 2026'!N1290),'ENGAGEMENTS 2026'!AD1290))))</f>
        <v/>
      </c>
      <c r="K1290" s="604">
        <f>IF(ISBLANK('ENGAGEMENTS 2026'!V1290),"",'ENGAGEMENTS 2026'!V1290)</f>
        <v/>
      </c>
      <c r="L1290" s="276">
        <f>IF($K1290="","",TODAY()-$K1290)</f>
        <v/>
      </c>
      <c r="M1290">
        <f>IF($A1290="","",IF($H1290="ENGAGE","Engagé",IF(AND($H1290="NON ENGAGE",OR($I1290="INFRUCTUEUX",$I1290="ANNULE")),"Clôturé sans suite","En cours")))</f>
        <v/>
      </c>
      <c r="N1290">
        <f>IF(ISBLANK('ENGAGEMENTS 2026'!B1290),"",'ENGAGEMENTS 2026'!K1290)</f>
        <v/>
      </c>
      <c r="O1290">
        <f>IF(ISBLANK('ENGAGEMENTS 2026'!B1290),"",'ENGAGEMENTS 2026'!L1290)</f>
        <v/>
      </c>
      <c r="P1290">
        <f>IF(ISBLANK('ENGAGEMENTS 2026'!B1290),"",'ENGAGEMENTS 2026'!J1290)</f>
        <v/>
      </c>
      <c r="Q1290">
        <f>IF($A1290="","",IF(OR($E1290="INFRUCTUEUX",$E1290="ANNULE"),$A1290&amp;"|"&amp;(COUNTIFS($A$2:$A1290,$A1290,$E$2:$E1290,"INFRUCTUEUX")+COUNTIFS($A$2:$A1290,$A1290,$E$2:$E1290,"ANNULE")),""))</f>
        <v/>
      </c>
    </row>
    <row r="1291">
      <c r="A1291">
        <f>IF(ISBLANK('ENGAGEMENTS 2026'!B1291),"",IF('ENGAGEMENTS 2026'!B1291="DTSI","DCT",'ENGAGEMENTS 2026'!B1291))</f>
        <v/>
      </c>
      <c r="B1291">
        <f>IF(ISBLANK('ENGAGEMENTS 2026'!B1291),"",'ENGAGEMENTS 2026'!C1291)</f>
        <v/>
      </c>
      <c r="C1291">
        <f>IF(ISBLANK('ENGAGEMENTS 2026'!B1291),"",'ENGAGEMENTS 2026'!D1291)</f>
        <v/>
      </c>
      <c r="D1291">
        <f>IF(ISBLANK('ENGAGEMENTS 2026'!B1291),"",'ENGAGEMENTS 2026'!F1291)</f>
        <v/>
      </c>
      <c r="E1291">
        <f>IF(ISBLANK('ENGAGEMENTS 2026'!B1291),"",'ENGAGEMENTS 2026'!H1291)</f>
        <v/>
      </c>
      <c r="F1291">
        <f>IF(ISBLANK('ENGAGEMENTS 2026'!B1291),"",'ENGAGEMENTS 2026'!I1291)</f>
        <v/>
      </c>
      <c r="G1291">
        <f>IF(ISBLANK('ENGAGEMENTS 2026'!B1291),"",'ENGAGEMENTS 2026'!L1291)</f>
        <v/>
      </c>
      <c r="H1291">
        <f>IF(ISBLANK('ENGAGEMENTS 2026'!B1291),"",'ENGAGEMENTS 2026'!AE1291)</f>
        <v/>
      </c>
      <c r="I1291">
        <f>IF(ISBLANK('ENGAGEMENTS 2026'!B1291),"",'ENGAGEMENTS 2026'!G1291)</f>
        <v/>
      </c>
      <c r="J1291" s="275">
        <f>IF(ISBLANK('ENGAGEMENTS 2026'!B1291),"",IF(AND(OR($E1291="INFRUCTUEUX",$E1291="ANNULE"),$C1291="AOO-M"),'ENGAGEMENTS 2026'!O1291,IF($H1291="EN COURS DE PREENGAGEMENT",'ENGAGEMENTS 2026'!N1291,IF($H1291="PREENGAGE",IF($E1291="ATTRIBUE",'ENGAGEMENTS 2026'!AD1291,'ENGAGEMENTS 2026'!N1291),'ENGAGEMENTS 2026'!AD1291))))</f>
        <v/>
      </c>
      <c r="K1291" s="604">
        <f>IF(ISBLANK('ENGAGEMENTS 2026'!V1291),"",'ENGAGEMENTS 2026'!V1291)</f>
        <v/>
      </c>
      <c r="L1291" s="276">
        <f>IF($K1291="","",TODAY()-$K1291)</f>
        <v/>
      </c>
      <c r="M1291">
        <f>IF($A1291="","",IF($H1291="ENGAGE","Engagé",IF(AND($H1291="NON ENGAGE",OR($I1291="INFRUCTUEUX",$I1291="ANNULE")),"Clôturé sans suite","En cours")))</f>
        <v/>
      </c>
      <c r="N1291">
        <f>IF(ISBLANK('ENGAGEMENTS 2026'!B1291),"",'ENGAGEMENTS 2026'!K1291)</f>
        <v/>
      </c>
      <c r="O1291">
        <f>IF(ISBLANK('ENGAGEMENTS 2026'!B1291),"",'ENGAGEMENTS 2026'!L1291)</f>
        <v/>
      </c>
      <c r="P1291">
        <f>IF(ISBLANK('ENGAGEMENTS 2026'!B1291),"",'ENGAGEMENTS 2026'!J1291)</f>
        <v/>
      </c>
      <c r="Q1291">
        <f>IF($A1291="","",IF(OR($E1291="INFRUCTUEUX",$E1291="ANNULE"),$A1291&amp;"|"&amp;(COUNTIFS($A$2:$A1291,$A1291,$E$2:$E1291,"INFRUCTUEUX")+COUNTIFS($A$2:$A1291,$A1291,$E$2:$E1291,"ANNULE")),""))</f>
        <v/>
      </c>
    </row>
    <row r="1292">
      <c r="A1292">
        <f>IF(ISBLANK('ENGAGEMENTS 2026'!B1292),"",IF('ENGAGEMENTS 2026'!B1292="DTSI","DCT",'ENGAGEMENTS 2026'!B1292))</f>
        <v/>
      </c>
      <c r="B1292">
        <f>IF(ISBLANK('ENGAGEMENTS 2026'!B1292),"",'ENGAGEMENTS 2026'!C1292)</f>
        <v/>
      </c>
      <c r="C1292">
        <f>IF(ISBLANK('ENGAGEMENTS 2026'!B1292),"",'ENGAGEMENTS 2026'!D1292)</f>
        <v/>
      </c>
      <c r="D1292">
        <f>IF(ISBLANK('ENGAGEMENTS 2026'!B1292),"",'ENGAGEMENTS 2026'!F1292)</f>
        <v/>
      </c>
      <c r="E1292">
        <f>IF(ISBLANK('ENGAGEMENTS 2026'!B1292),"",'ENGAGEMENTS 2026'!H1292)</f>
        <v/>
      </c>
      <c r="F1292">
        <f>IF(ISBLANK('ENGAGEMENTS 2026'!B1292),"",'ENGAGEMENTS 2026'!I1292)</f>
        <v/>
      </c>
      <c r="G1292">
        <f>IF(ISBLANK('ENGAGEMENTS 2026'!B1292),"",'ENGAGEMENTS 2026'!L1292)</f>
        <v/>
      </c>
      <c r="H1292">
        <f>IF(ISBLANK('ENGAGEMENTS 2026'!B1292),"",'ENGAGEMENTS 2026'!AE1292)</f>
        <v/>
      </c>
      <c r="I1292">
        <f>IF(ISBLANK('ENGAGEMENTS 2026'!B1292),"",'ENGAGEMENTS 2026'!G1292)</f>
        <v/>
      </c>
      <c r="J1292" s="275">
        <f>IF(ISBLANK('ENGAGEMENTS 2026'!B1292),"",IF(AND(OR($E1292="INFRUCTUEUX",$E1292="ANNULE"),$C1292="AOO-M"),'ENGAGEMENTS 2026'!O1292,IF($H1292="EN COURS DE PREENGAGEMENT",'ENGAGEMENTS 2026'!N1292,IF($H1292="PREENGAGE",IF($E1292="ATTRIBUE",'ENGAGEMENTS 2026'!AD1292,'ENGAGEMENTS 2026'!N1292),'ENGAGEMENTS 2026'!AD1292))))</f>
        <v/>
      </c>
      <c r="K1292" s="604">
        <f>IF(ISBLANK('ENGAGEMENTS 2026'!V1292),"",'ENGAGEMENTS 2026'!V1292)</f>
        <v/>
      </c>
      <c r="L1292" s="276">
        <f>IF($K1292="","",TODAY()-$K1292)</f>
        <v/>
      </c>
      <c r="M1292">
        <f>IF($A1292="","",IF($H1292="ENGAGE","Engagé",IF(AND($H1292="NON ENGAGE",OR($I1292="INFRUCTUEUX",$I1292="ANNULE")),"Clôturé sans suite","En cours")))</f>
        <v/>
      </c>
      <c r="N1292">
        <f>IF(ISBLANK('ENGAGEMENTS 2026'!B1292),"",'ENGAGEMENTS 2026'!K1292)</f>
        <v/>
      </c>
      <c r="O1292">
        <f>IF(ISBLANK('ENGAGEMENTS 2026'!B1292),"",'ENGAGEMENTS 2026'!L1292)</f>
        <v/>
      </c>
      <c r="P1292">
        <f>IF(ISBLANK('ENGAGEMENTS 2026'!B1292),"",'ENGAGEMENTS 2026'!J1292)</f>
        <v/>
      </c>
      <c r="Q1292">
        <f>IF($A1292="","",IF(OR($E1292="INFRUCTUEUX",$E1292="ANNULE"),$A1292&amp;"|"&amp;(COUNTIFS($A$2:$A1292,$A1292,$E$2:$E1292,"INFRUCTUEUX")+COUNTIFS($A$2:$A1292,$A1292,$E$2:$E1292,"ANNULE")),""))</f>
        <v/>
      </c>
    </row>
    <row r="1293">
      <c r="A1293">
        <f>IF(ISBLANK('ENGAGEMENTS 2026'!B1293),"",IF('ENGAGEMENTS 2026'!B1293="DTSI","DCT",'ENGAGEMENTS 2026'!B1293))</f>
        <v/>
      </c>
      <c r="B1293">
        <f>IF(ISBLANK('ENGAGEMENTS 2026'!B1293),"",'ENGAGEMENTS 2026'!C1293)</f>
        <v/>
      </c>
      <c r="C1293">
        <f>IF(ISBLANK('ENGAGEMENTS 2026'!B1293),"",'ENGAGEMENTS 2026'!D1293)</f>
        <v/>
      </c>
      <c r="D1293">
        <f>IF(ISBLANK('ENGAGEMENTS 2026'!B1293),"",'ENGAGEMENTS 2026'!F1293)</f>
        <v/>
      </c>
      <c r="E1293">
        <f>IF(ISBLANK('ENGAGEMENTS 2026'!B1293),"",'ENGAGEMENTS 2026'!H1293)</f>
        <v/>
      </c>
      <c r="F1293">
        <f>IF(ISBLANK('ENGAGEMENTS 2026'!B1293),"",'ENGAGEMENTS 2026'!I1293)</f>
        <v/>
      </c>
      <c r="G1293">
        <f>IF(ISBLANK('ENGAGEMENTS 2026'!B1293),"",'ENGAGEMENTS 2026'!L1293)</f>
        <v/>
      </c>
      <c r="H1293">
        <f>IF(ISBLANK('ENGAGEMENTS 2026'!B1293),"",'ENGAGEMENTS 2026'!AE1293)</f>
        <v/>
      </c>
      <c r="I1293">
        <f>IF(ISBLANK('ENGAGEMENTS 2026'!B1293),"",'ENGAGEMENTS 2026'!G1293)</f>
        <v/>
      </c>
      <c r="J1293" s="275">
        <f>IF(ISBLANK('ENGAGEMENTS 2026'!B1293),"",IF(AND(OR($E1293="INFRUCTUEUX",$E1293="ANNULE"),$C1293="AOO-M"),'ENGAGEMENTS 2026'!O1293,IF($H1293="EN COURS DE PREENGAGEMENT",'ENGAGEMENTS 2026'!N1293,IF($H1293="PREENGAGE",IF($E1293="ATTRIBUE",'ENGAGEMENTS 2026'!AD1293,'ENGAGEMENTS 2026'!N1293),'ENGAGEMENTS 2026'!AD1293))))</f>
        <v/>
      </c>
      <c r="K1293" s="604">
        <f>IF(ISBLANK('ENGAGEMENTS 2026'!V1293),"",'ENGAGEMENTS 2026'!V1293)</f>
        <v/>
      </c>
      <c r="L1293" s="276">
        <f>IF($K1293="","",TODAY()-$K1293)</f>
        <v/>
      </c>
      <c r="M1293">
        <f>IF($A1293="","",IF($H1293="ENGAGE","Engagé",IF(AND($H1293="NON ENGAGE",OR($I1293="INFRUCTUEUX",$I1293="ANNULE")),"Clôturé sans suite","En cours")))</f>
        <v/>
      </c>
      <c r="N1293">
        <f>IF(ISBLANK('ENGAGEMENTS 2026'!B1293),"",'ENGAGEMENTS 2026'!K1293)</f>
        <v/>
      </c>
      <c r="O1293">
        <f>IF(ISBLANK('ENGAGEMENTS 2026'!B1293),"",'ENGAGEMENTS 2026'!L1293)</f>
        <v/>
      </c>
      <c r="P1293">
        <f>IF(ISBLANK('ENGAGEMENTS 2026'!B1293),"",'ENGAGEMENTS 2026'!J1293)</f>
        <v/>
      </c>
      <c r="Q1293">
        <f>IF($A1293="","",IF(OR($E1293="INFRUCTUEUX",$E1293="ANNULE"),$A1293&amp;"|"&amp;(COUNTIFS($A$2:$A1293,$A1293,$E$2:$E1293,"INFRUCTUEUX")+COUNTIFS($A$2:$A1293,$A1293,$E$2:$E1293,"ANNULE")),""))</f>
        <v/>
      </c>
    </row>
    <row r="1294">
      <c r="A1294">
        <f>IF(ISBLANK('ENGAGEMENTS 2026'!B1294),"",IF('ENGAGEMENTS 2026'!B1294="DTSI","DCT",'ENGAGEMENTS 2026'!B1294))</f>
        <v/>
      </c>
      <c r="B1294">
        <f>IF(ISBLANK('ENGAGEMENTS 2026'!B1294),"",'ENGAGEMENTS 2026'!C1294)</f>
        <v/>
      </c>
      <c r="C1294">
        <f>IF(ISBLANK('ENGAGEMENTS 2026'!B1294),"",'ENGAGEMENTS 2026'!D1294)</f>
        <v/>
      </c>
      <c r="D1294">
        <f>IF(ISBLANK('ENGAGEMENTS 2026'!B1294),"",'ENGAGEMENTS 2026'!F1294)</f>
        <v/>
      </c>
      <c r="E1294">
        <f>IF(ISBLANK('ENGAGEMENTS 2026'!B1294),"",'ENGAGEMENTS 2026'!H1294)</f>
        <v/>
      </c>
      <c r="F1294">
        <f>IF(ISBLANK('ENGAGEMENTS 2026'!B1294),"",'ENGAGEMENTS 2026'!I1294)</f>
        <v/>
      </c>
      <c r="G1294">
        <f>IF(ISBLANK('ENGAGEMENTS 2026'!B1294),"",'ENGAGEMENTS 2026'!L1294)</f>
        <v/>
      </c>
      <c r="H1294">
        <f>IF(ISBLANK('ENGAGEMENTS 2026'!B1294),"",'ENGAGEMENTS 2026'!AE1294)</f>
        <v/>
      </c>
      <c r="I1294">
        <f>IF(ISBLANK('ENGAGEMENTS 2026'!B1294),"",'ENGAGEMENTS 2026'!G1294)</f>
        <v/>
      </c>
      <c r="J1294" s="275">
        <f>IF(ISBLANK('ENGAGEMENTS 2026'!B1294),"",IF(AND(OR($E1294="INFRUCTUEUX",$E1294="ANNULE"),$C1294="AOO-M"),'ENGAGEMENTS 2026'!O1294,IF($H1294="EN COURS DE PREENGAGEMENT",'ENGAGEMENTS 2026'!N1294,IF($H1294="PREENGAGE",IF($E1294="ATTRIBUE",'ENGAGEMENTS 2026'!AD1294,'ENGAGEMENTS 2026'!N1294),'ENGAGEMENTS 2026'!AD1294))))</f>
        <v/>
      </c>
      <c r="K1294" s="604">
        <f>IF(ISBLANK('ENGAGEMENTS 2026'!V1294),"",'ENGAGEMENTS 2026'!V1294)</f>
        <v/>
      </c>
      <c r="L1294" s="276">
        <f>IF($K1294="","",TODAY()-$K1294)</f>
        <v/>
      </c>
      <c r="M1294">
        <f>IF($A1294="","",IF($H1294="ENGAGE","Engagé",IF(AND($H1294="NON ENGAGE",OR($I1294="INFRUCTUEUX",$I1294="ANNULE")),"Clôturé sans suite","En cours")))</f>
        <v/>
      </c>
      <c r="N1294">
        <f>IF(ISBLANK('ENGAGEMENTS 2026'!B1294),"",'ENGAGEMENTS 2026'!K1294)</f>
        <v/>
      </c>
      <c r="O1294">
        <f>IF(ISBLANK('ENGAGEMENTS 2026'!B1294),"",'ENGAGEMENTS 2026'!L1294)</f>
        <v/>
      </c>
      <c r="P1294">
        <f>IF(ISBLANK('ENGAGEMENTS 2026'!B1294),"",'ENGAGEMENTS 2026'!J1294)</f>
        <v/>
      </c>
      <c r="Q1294">
        <f>IF($A1294="","",IF(OR($E1294="INFRUCTUEUX",$E1294="ANNULE"),$A1294&amp;"|"&amp;(COUNTIFS($A$2:$A1294,$A1294,$E$2:$E1294,"INFRUCTUEUX")+COUNTIFS($A$2:$A1294,$A1294,$E$2:$E1294,"ANNULE")),""))</f>
        <v/>
      </c>
    </row>
    <row r="1295">
      <c r="A1295">
        <f>IF(ISBLANK('ENGAGEMENTS 2026'!B1295),"",IF('ENGAGEMENTS 2026'!B1295="DTSI","DCT",'ENGAGEMENTS 2026'!B1295))</f>
        <v/>
      </c>
      <c r="B1295">
        <f>IF(ISBLANK('ENGAGEMENTS 2026'!B1295),"",'ENGAGEMENTS 2026'!C1295)</f>
        <v/>
      </c>
      <c r="C1295">
        <f>IF(ISBLANK('ENGAGEMENTS 2026'!B1295),"",'ENGAGEMENTS 2026'!D1295)</f>
        <v/>
      </c>
      <c r="D1295">
        <f>IF(ISBLANK('ENGAGEMENTS 2026'!B1295),"",'ENGAGEMENTS 2026'!F1295)</f>
        <v/>
      </c>
      <c r="E1295">
        <f>IF(ISBLANK('ENGAGEMENTS 2026'!B1295),"",'ENGAGEMENTS 2026'!H1295)</f>
        <v/>
      </c>
      <c r="F1295">
        <f>IF(ISBLANK('ENGAGEMENTS 2026'!B1295),"",'ENGAGEMENTS 2026'!I1295)</f>
        <v/>
      </c>
      <c r="G1295">
        <f>IF(ISBLANK('ENGAGEMENTS 2026'!B1295),"",'ENGAGEMENTS 2026'!L1295)</f>
        <v/>
      </c>
      <c r="H1295">
        <f>IF(ISBLANK('ENGAGEMENTS 2026'!B1295),"",'ENGAGEMENTS 2026'!AE1295)</f>
        <v/>
      </c>
      <c r="I1295">
        <f>IF(ISBLANK('ENGAGEMENTS 2026'!B1295),"",'ENGAGEMENTS 2026'!G1295)</f>
        <v/>
      </c>
      <c r="J1295" s="275">
        <f>IF(ISBLANK('ENGAGEMENTS 2026'!B1295),"",IF(AND(OR($E1295="INFRUCTUEUX",$E1295="ANNULE"),$C1295="AOO-M"),'ENGAGEMENTS 2026'!O1295,IF($H1295="EN COURS DE PREENGAGEMENT",'ENGAGEMENTS 2026'!N1295,IF($H1295="PREENGAGE",IF($E1295="ATTRIBUE",'ENGAGEMENTS 2026'!AD1295,'ENGAGEMENTS 2026'!N1295),'ENGAGEMENTS 2026'!AD1295))))</f>
        <v/>
      </c>
      <c r="K1295" s="604">
        <f>IF(ISBLANK('ENGAGEMENTS 2026'!V1295),"",'ENGAGEMENTS 2026'!V1295)</f>
        <v/>
      </c>
      <c r="L1295" s="276">
        <f>IF($K1295="","",TODAY()-$K1295)</f>
        <v/>
      </c>
      <c r="M1295">
        <f>IF($A1295="","",IF($H1295="ENGAGE","Engagé",IF(AND($H1295="NON ENGAGE",OR($I1295="INFRUCTUEUX",$I1295="ANNULE")),"Clôturé sans suite","En cours")))</f>
        <v/>
      </c>
      <c r="N1295">
        <f>IF(ISBLANK('ENGAGEMENTS 2026'!B1295),"",'ENGAGEMENTS 2026'!K1295)</f>
        <v/>
      </c>
      <c r="O1295">
        <f>IF(ISBLANK('ENGAGEMENTS 2026'!B1295),"",'ENGAGEMENTS 2026'!L1295)</f>
        <v/>
      </c>
      <c r="P1295">
        <f>IF(ISBLANK('ENGAGEMENTS 2026'!B1295),"",'ENGAGEMENTS 2026'!J1295)</f>
        <v/>
      </c>
      <c r="Q1295">
        <f>IF($A1295="","",IF(OR($E1295="INFRUCTUEUX",$E1295="ANNULE"),$A1295&amp;"|"&amp;(COUNTIFS($A$2:$A1295,$A1295,$E$2:$E1295,"INFRUCTUEUX")+COUNTIFS($A$2:$A1295,$A1295,$E$2:$E1295,"ANNULE")),""))</f>
        <v/>
      </c>
    </row>
    <row r="1296">
      <c r="A1296">
        <f>IF(ISBLANK('ENGAGEMENTS 2026'!B1296),"",IF('ENGAGEMENTS 2026'!B1296="DTSI","DCT",'ENGAGEMENTS 2026'!B1296))</f>
        <v/>
      </c>
      <c r="B1296">
        <f>IF(ISBLANK('ENGAGEMENTS 2026'!B1296),"",'ENGAGEMENTS 2026'!C1296)</f>
        <v/>
      </c>
      <c r="C1296">
        <f>IF(ISBLANK('ENGAGEMENTS 2026'!B1296),"",'ENGAGEMENTS 2026'!D1296)</f>
        <v/>
      </c>
      <c r="D1296">
        <f>IF(ISBLANK('ENGAGEMENTS 2026'!B1296),"",'ENGAGEMENTS 2026'!F1296)</f>
        <v/>
      </c>
      <c r="E1296">
        <f>IF(ISBLANK('ENGAGEMENTS 2026'!B1296),"",'ENGAGEMENTS 2026'!H1296)</f>
        <v/>
      </c>
      <c r="F1296">
        <f>IF(ISBLANK('ENGAGEMENTS 2026'!B1296),"",'ENGAGEMENTS 2026'!I1296)</f>
        <v/>
      </c>
      <c r="G1296">
        <f>IF(ISBLANK('ENGAGEMENTS 2026'!B1296),"",'ENGAGEMENTS 2026'!L1296)</f>
        <v/>
      </c>
      <c r="H1296">
        <f>IF(ISBLANK('ENGAGEMENTS 2026'!B1296),"",'ENGAGEMENTS 2026'!AE1296)</f>
        <v/>
      </c>
      <c r="I1296">
        <f>IF(ISBLANK('ENGAGEMENTS 2026'!B1296),"",'ENGAGEMENTS 2026'!G1296)</f>
        <v/>
      </c>
      <c r="J1296" s="275">
        <f>IF(ISBLANK('ENGAGEMENTS 2026'!B1296),"",IF(AND(OR($E1296="INFRUCTUEUX",$E1296="ANNULE"),$C1296="AOO-M"),'ENGAGEMENTS 2026'!O1296,IF($H1296="EN COURS DE PREENGAGEMENT",'ENGAGEMENTS 2026'!N1296,IF($H1296="PREENGAGE",IF($E1296="ATTRIBUE",'ENGAGEMENTS 2026'!AD1296,'ENGAGEMENTS 2026'!N1296),'ENGAGEMENTS 2026'!AD1296))))</f>
        <v/>
      </c>
      <c r="K1296" s="604">
        <f>IF(ISBLANK('ENGAGEMENTS 2026'!V1296),"",'ENGAGEMENTS 2026'!V1296)</f>
        <v/>
      </c>
      <c r="L1296" s="276">
        <f>IF($K1296="","",TODAY()-$K1296)</f>
        <v/>
      </c>
      <c r="M1296">
        <f>IF($A1296="","",IF($H1296="ENGAGE","Engagé",IF(AND($H1296="NON ENGAGE",OR($I1296="INFRUCTUEUX",$I1296="ANNULE")),"Clôturé sans suite","En cours")))</f>
        <v/>
      </c>
      <c r="N1296">
        <f>IF(ISBLANK('ENGAGEMENTS 2026'!B1296),"",'ENGAGEMENTS 2026'!K1296)</f>
        <v/>
      </c>
      <c r="O1296">
        <f>IF(ISBLANK('ENGAGEMENTS 2026'!B1296),"",'ENGAGEMENTS 2026'!L1296)</f>
        <v/>
      </c>
      <c r="P1296">
        <f>IF(ISBLANK('ENGAGEMENTS 2026'!B1296),"",'ENGAGEMENTS 2026'!J1296)</f>
        <v/>
      </c>
      <c r="Q1296">
        <f>IF($A1296="","",IF(OR($E1296="INFRUCTUEUX",$E1296="ANNULE"),$A1296&amp;"|"&amp;(COUNTIFS($A$2:$A1296,$A1296,$E$2:$E1296,"INFRUCTUEUX")+COUNTIFS($A$2:$A1296,$A1296,$E$2:$E1296,"ANNULE")),""))</f>
        <v/>
      </c>
    </row>
    <row r="1297">
      <c r="A1297">
        <f>IF(ISBLANK('ENGAGEMENTS 2026'!B1297),"",IF('ENGAGEMENTS 2026'!B1297="DTSI","DCT",'ENGAGEMENTS 2026'!B1297))</f>
        <v/>
      </c>
      <c r="B1297">
        <f>IF(ISBLANK('ENGAGEMENTS 2026'!B1297),"",'ENGAGEMENTS 2026'!C1297)</f>
        <v/>
      </c>
      <c r="C1297">
        <f>IF(ISBLANK('ENGAGEMENTS 2026'!B1297),"",'ENGAGEMENTS 2026'!D1297)</f>
        <v/>
      </c>
      <c r="D1297">
        <f>IF(ISBLANK('ENGAGEMENTS 2026'!B1297),"",'ENGAGEMENTS 2026'!F1297)</f>
        <v/>
      </c>
      <c r="E1297">
        <f>IF(ISBLANK('ENGAGEMENTS 2026'!B1297),"",'ENGAGEMENTS 2026'!H1297)</f>
        <v/>
      </c>
      <c r="F1297">
        <f>IF(ISBLANK('ENGAGEMENTS 2026'!B1297),"",'ENGAGEMENTS 2026'!I1297)</f>
        <v/>
      </c>
      <c r="G1297">
        <f>IF(ISBLANK('ENGAGEMENTS 2026'!B1297),"",'ENGAGEMENTS 2026'!L1297)</f>
        <v/>
      </c>
      <c r="H1297">
        <f>IF(ISBLANK('ENGAGEMENTS 2026'!B1297),"",'ENGAGEMENTS 2026'!AE1297)</f>
        <v/>
      </c>
      <c r="I1297">
        <f>IF(ISBLANK('ENGAGEMENTS 2026'!B1297),"",'ENGAGEMENTS 2026'!G1297)</f>
        <v/>
      </c>
      <c r="J1297" s="275">
        <f>IF(ISBLANK('ENGAGEMENTS 2026'!B1297),"",IF(AND(OR($E1297="INFRUCTUEUX",$E1297="ANNULE"),$C1297="AOO-M"),'ENGAGEMENTS 2026'!O1297,IF($H1297="EN COURS DE PREENGAGEMENT",'ENGAGEMENTS 2026'!N1297,IF($H1297="PREENGAGE",IF($E1297="ATTRIBUE",'ENGAGEMENTS 2026'!AD1297,'ENGAGEMENTS 2026'!N1297),'ENGAGEMENTS 2026'!AD1297))))</f>
        <v/>
      </c>
      <c r="K1297" s="604">
        <f>IF(ISBLANK('ENGAGEMENTS 2026'!V1297),"",'ENGAGEMENTS 2026'!V1297)</f>
        <v/>
      </c>
      <c r="L1297" s="276">
        <f>IF($K1297="","",TODAY()-$K1297)</f>
        <v/>
      </c>
      <c r="M1297">
        <f>IF($A1297="","",IF($H1297="ENGAGE","Engagé",IF(AND($H1297="NON ENGAGE",OR($I1297="INFRUCTUEUX",$I1297="ANNULE")),"Clôturé sans suite","En cours")))</f>
        <v/>
      </c>
      <c r="N1297">
        <f>IF(ISBLANK('ENGAGEMENTS 2026'!B1297),"",'ENGAGEMENTS 2026'!K1297)</f>
        <v/>
      </c>
      <c r="O1297">
        <f>IF(ISBLANK('ENGAGEMENTS 2026'!B1297),"",'ENGAGEMENTS 2026'!L1297)</f>
        <v/>
      </c>
      <c r="P1297">
        <f>IF(ISBLANK('ENGAGEMENTS 2026'!B1297),"",'ENGAGEMENTS 2026'!J1297)</f>
        <v/>
      </c>
      <c r="Q1297">
        <f>IF($A1297="","",IF(OR($E1297="INFRUCTUEUX",$E1297="ANNULE"),$A1297&amp;"|"&amp;(COUNTIFS($A$2:$A1297,$A1297,$E$2:$E1297,"INFRUCTUEUX")+COUNTIFS($A$2:$A1297,$A1297,$E$2:$E1297,"ANNULE")),""))</f>
        <v/>
      </c>
    </row>
    <row r="1298">
      <c r="A1298">
        <f>IF(ISBLANK('ENGAGEMENTS 2026'!B1298),"",IF('ENGAGEMENTS 2026'!B1298="DTSI","DCT",'ENGAGEMENTS 2026'!B1298))</f>
        <v/>
      </c>
      <c r="B1298">
        <f>IF(ISBLANK('ENGAGEMENTS 2026'!B1298),"",'ENGAGEMENTS 2026'!C1298)</f>
        <v/>
      </c>
      <c r="C1298">
        <f>IF(ISBLANK('ENGAGEMENTS 2026'!B1298),"",'ENGAGEMENTS 2026'!D1298)</f>
        <v/>
      </c>
      <c r="D1298">
        <f>IF(ISBLANK('ENGAGEMENTS 2026'!B1298),"",'ENGAGEMENTS 2026'!F1298)</f>
        <v/>
      </c>
      <c r="E1298">
        <f>IF(ISBLANK('ENGAGEMENTS 2026'!B1298),"",'ENGAGEMENTS 2026'!H1298)</f>
        <v/>
      </c>
      <c r="F1298">
        <f>IF(ISBLANK('ENGAGEMENTS 2026'!B1298),"",'ENGAGEMENTS 2026'!I1298)</f>
        <v/>
      </c>
      <c r="G1298">
        <f>IF(ISBLANK('ENGAGEMENTS 2026'!B1298),"",'ENGAGEMENTS 2026'!L1298)</f>
        <v/>
      </c>
      <c r="H1298">
        <f>IF(ISBLANK('ENGAGEMENTS 2026'!B1298),"",'ENGAGEMENTS 2026'!AE1298)</f>
        <v/>
      </c>
      <c r="I1298">
        <f>IF(ISBLANK('ENGAGEMENTS 2026'!B1298),"",'ENGAGEMENTS 2026'!G1298)</f>
        <v/>
      </c>
      <c r="J1298" s="275">
        <f>IF(ISBLANK('ENGAGEMENTS 2026'!B1298),"",IF(AND(OR($E1298="INFRUCTUEUX",$E1298="ANNULE"),$C1298="AOO-M"),'ENGAGEMENTS 2026'!O1298,IF($H1298="EN COURS DE PREENGAGEMENT",'ENGAGEMENTS 2026'!N1298,IF($H1298="PREENGAGE",IF($E1298="ATTRIBUE",'ENGAGEMENTS 2026'!AD1298,'ENGAGEMENTS 2026'!N1298),'ENGAGEMENTS 2026'!AD1298))))</f>
        <v/>
      </c>
      <c r="K1298" s="604">
        <f>IF(ISBLANK('ENGAGEMENTS 2026'!V1298),"",'ENGAGEMENTS 2026'!V1298)</f>
        <v/>
      </c>
      <c r="L1298" s="276">
        <f>IF($K1298="","",TODAY()-$K1298)</f>
        <v/>
      </c>
      <c r="M1298">
        <f>IF($A1298="","",IF($H1298="ENGAGE","Engagé",IF(AND($H1298="NON ENGAGE",OR($I1298="INFRUCTUEUX",$I1298="ANNULE")),"Clôturé sans suite","En cours")))</f>
        <v/>
      </c>
      <c r="N1298">
        <f>IF(ISBLANK('ENGAGEMENTS 2026'!B1298),"",'ENGAGEMENTS 2026'!K1298)</f>
        <v/>
      </c>
      <c r="O1298">
        <f>IF(ISBLANK('ENGAGEMENTS 2026'!B1298),"",'ENGAGEMENTS 2026'!L1298)</f>
        <v/>
      </c>
      <c r="P1298">
        <f>IF(ISBLANK('ENGAGEMENTS 2026'!B1298),"",'ENGAGEMENTS 2026'!J1298)</f>
        <v/>
      </c>
      <c r="Q1298">
        <f>IF($A1298="","",IF(OR($E1298="INFRUCTUEUX",$E1298="ANNULE"),$A1298&amp;"|"&amp;(COUNTIFS($A$2:$A1298,$A1298,$E$2:$E1298,"INFRUCTUEUX")+COUNTIFS($A$2:$A1298,$A1298,$E$2:$E1298,"ANNULE")),""))</f>
        <v/>
      </c>
    </row>
    <row r="1299">
      <c r="A1299">
        <f>IF(ISBLANK('ENGAGEMENTS 2026'!B1299),"",IF('ENGAGEMENTS 2026'!B1299="DTSI","DCT",'ENGAGEMENTS 2026'!B1299))</f>
        <v/>
      </c>
      <c r="B1299">
        <f>IF(ISBLANK('ENGAGEMENTS 2026'!B1299),"",'ENGAGEMENTS 2026'!C1299)</f>
        <v/>
      </c>
      <c r="C1299">
        <f>IF(ISBLANK('ENGAGEMENTS 2026'!B1299),"",'ENGAGEMENTS 2026'!D1299)</f>
        <v/>
      </c>
      <c r="D1299">
        <f>IF(ISBLANK('ENGAGEMENTS 2026'!B1299),"",'ENGAGEMENTS 2026'!F1299)</f>
        <v/>
      </c>
      <c r="E1299">
        <f>IF(ISBLANK('ENGAGEMENTS 2026'!B1299),"",'ENGAGEMENTS 2026'!H1299)</f>
        <v/>
      </c>
      <c r="F1299">
        <f>IF(ISBLANK('ENGAGEMENTS 2026'!B1299),"",'ENGAGEMENTS 2026'!I1299)</f>
        <v/>
      </c>
      <c r="G1299">
        <f>IF(ISBLANK('ENGAGEMENTS 2026'!B1299),"",'ENGAGEMENTS 2026'!L1299)</f>
        <v/>
      </c>
      <c r="H1299">
        <f>IF(ISBLANK('ENGAGEMENTS 2026'!B1299),"",'ENGAGEMENTS 2026'!AE1299)</f>
        <v/>
      </c>
      <c r="I1299">
        <f>IF(ISBLANK('ENGAGEMENTS 2026'!B1299),"",'ENGAGEMENTS 2026'!G1299)</f>
        <v/>
      </c>
      <c r="J1299" s="275">
        <f>IF(ISBLANK('ENGAGEMENTS 2026'!B1299),"",IF(AND(OR($E1299="INFRUCTUEUX",$E1299="ANNULE"),$C1299="AOO-M"),'ENGAGEMENTS 2026'!O1299,IF($H1299="EN COURS DE PREENGAGEMENT",'ENGAGEMENTS 2026'!N1299,IF($H1299="PREENGAGE",IF($E1299="ATTRIBUE",'ENGAGEMENTS 2026'!AD1299,'ENGAGEMENTS 2026'!N1299),'ENGAGEMENTS 2026'!AD1299))))</f>
        <v/>
      </c>
      <c r="K1299" s="604">
        <f>IF(ISBLANK('ENGAGEMENTS 2026'!V1299),"",'ENGAGEMENTS 2026'!V1299)</f>
        <v/>
      </c>
      <c r="L1299" s="276">
        <f>IF($K1299="","",TODAY()-$K1299)</f>
        <v/>
      </c>
      <c r="M1299">
        <f>IF($A1299="","",IF($H1299="ENGAGE","Engagé",IF(AND($H1299="NON ENGAGE",OR($I1299="INFRUCTUEUX",$I1299="ANNULE")),"Clôturé sans suite","En cours")))</f>
        <v/>
      </c>
      <c r="N1299">
        <f>IF(ISBLANK('ENGAGEMENTS 2026'!B1299),"",'ENGAGEMENTS 2026'!K1299)</f>
        <v/>
      </c>
      <c r="O1299">
        <f>IF(ISBLANK('ENGAGEMENTS 2026'!B1299),"",'ENGAGEMENTS 2026'!L1299)</f>
        <v/>
      </c>
      <c r="P1299">
        <f>IF(ISBLANK('ENGAGEMENTS 2026'!B1299),"",'ENGAGEMENTS 2026'!J1299)</f>
        <v/>
      </c>
      <c r="Q1299">
        <f>IF($A1299="","",IF(OR($E1299="INFRUCTUEUX",$E1299="ANNULE"),$A1299&amp;"|"&amp;(COUNTIFS($A$2:$A1299,$A1299,$E$2:$E1299,"INFRUCTUEUX")+COUNTIFS($A$2:$A1299,$A1299,$E$2:$E1299,"ANNULE")),""))</f>
        <v/>
      </c>
    </row>
    <row r="1300">
      <c r="A1300">
        <f>IF(ISBLANK('ENGAGEMENTS 2026'!B1300),"",IF('ENGAGEMENTS 2026'!B1300="DTSI","DCT",'ENGAGEMENTS 2026'!B1300))</f>
        <v/>
      </c>
      <c r="B1300">
        <f>IF(ISBLANK('ENGAGEMENTS 2026'!B1300),"",'ENGAGEMENTS 2026'!C1300)</f>
        <v/>
      </c>
      <c r="C1300">
        <f>IF(ISBLANK('ENGAGEMENTS 2026'!B1300),"",'ENGAGEMENTS 2026'!D1300)</f>
        <v/>
      </c>
      <c r="D1300">
        <f>IF(ISBLANK('ENGAGEMENTS 2026'!B1300),"",'ENGAGEMENTS 2026'!F1300)</f>
        <v/>
      </c>
      <c r="E1300">
        <f>IF(ISBLANK('ENGAGEMENTS 2026'!B1300),"",'ENGAGEMENTS 2026'!H1300)</f>
        <v/>
      </c>
      <c r="F1300">
        <f>IF(ISBLANK('ENGAGEMENTS 2026'!B1300),"",'ENGAGEMENTS 2026'!I1300)</f>
        <v/>
      </c>
      <c r="G1300">
        <f>IF(ISBLANK('ENGAGEMENTS 2026'!B1300),"",'ENGAGEMENTS 2026'!L1300)</f>
        <v/>
      </c>
      <c r="H1300">
        <f>IF(ISBLANK('ENGAGEMENTS 2026'!B1300),"",'ENGAGEMENTS 2026'!AE1300)</f>
        <v/>
      </c>
      <c r="I1300">
        <f>IF(ISBLANK('ENGAGEMENTS 2026'!B1300),"",'ENGAGEMENTS 2026'!G1300)</f>
        <v/>
      </c>
      <c r="J1300" s="275">
        <f>IF(ISBLANK('ENGAGEMENTS 2026'!B1300),"",IF(AND(OR($E1300="INFRUCTUEUX",$E1300="ANNULE"),$C1300="AOO-M"),'ENGAGEMENTS 2026'!O1300,IF($H1300="EN COURS DE PREENGAGEMENT",'ENGAGEMENTS 2026'!N1300,IF($H1300="PREENGAGE",IF($E1300="ATTRIBUE",'ENGAGEMENTS 2026'!AD1300,'ENGAGEMENTS 2026'!N1300),'ENGAGEMENTS 2026'!AD1300))))</f>
        <v/>
      </c>
      <c r="K1300" s="604">
        <f>IF(ISBLANK('ENGAGEMENTS 2026'!V1300),"",'ENGAGEMENTS 2026'!V1300)</f>
        <v/>
      </c>
      <c r="L1300" s="276">
        <f>IF($K1300="","",TODAY()-$K1300)</f>
        <v/>
      </c>
      <c r="M1300">
        <f>IF($A1300="","",IF($H1300="ENGAGE","Engagé",IF(AND($H1300="NON ENGAGE",OR($I1300="INFRUCTUEUX",$I1300="ANNULE")),"Clôturé sans suite","En cours")))</f>
        <v/>
      </c>
      <c r="N1300">
        <f>IF(ISBLANK('ENGAGEMENTS 2026'!B1300),"",'ENGAGEMENTS 2026'!K1300)</f>
        <v/>
      </c>
      <c r="O1300">
        <f>IF(ISBLANK('ENGAGEMENTS 2026'!B1300),"",'ENGAGEMENTS 2026'!L1300)</f>
        <v/>
      </c>
      <c r="P1300">
        <f>IF(ISBLANK('ENGAGEMENTS 2026'!B1300),"",'ENGAGEMENTS 2026'!J1300)</f>
        <v/>
      </c>
      <c r="Q1300">
        <f>IF($A1300="","",IF(OR($E1300="INFRUCTUEUX",$E1300="ANNULE"),$A1300&amp;"|"&amp;(COUNTIFS($A$2:$A1300,$A1300,$E$2:$E1300,"INFRUCTUEUX")+COUNTIFS($A$2:$A1300,$A1300,$E$2:$E1300,"ANNULE")),""))</f>
        <v/>
      </c>
    </row>
    <row r="1301">
      <c r="A1301">
        <f>IF(ISBLANK('ENGAGEMENTS 2026'!B1301),"",IF('ENGAGEMENTS 2026'!B1301="DTSI","DCT",'ENGAGEMENTS 2026'!B1301))</f>
        <v/>
      </c>
      <c r="B1301">
        <f>IF(ISBLANK('ENGAGEMENTS 2026'!B1301),"",'ENGAGEMENTS 2026'!C1301)</f>
        <v/>
      </c>
      <c r="C1301">
        <f>IF(ISBLANK('ENGAGEMENTS 2026'!B1301),"",'ENGAGEMENTS 2026'!D1301)</f>
        <v/>
      </c>
      <c r="D1301">
        <f>IF(ISBLANK('ENGAGEMENTS 2026'!B1301),"",'ENGAGEMENTS 2026'!F1301)</f>
        <v/>
      </c>
      <c r="E1301">
        <f>IF(ISBLANK('ENGAGEMENTS 2026'!B1301),"",'ENGAGEMENTS 2026'!H1301)</f>
        <v/>
      </c>
      <c r="F1301">
        <f>IF(ISBLANK('ENGAGEMENTS 2026'!B1301),"",'ENGAGEMENTS 2026'!I1301)</f>
        <v/>
      </c>
      <c r="G1301">
        <f>IF(ISBLANK('ENGAGEMENTS 2026'!B1301),"",'ENGAGEMENTS 2026'!L1301)</f>
        <v/>
      </c>
      <c r="H1301">
        <f>IF(ISBLANK('ENGAGEMENTS 2026'!B1301),"",'ENGAGEMENTS 2026'!AE1301)</f>
        <v/>
      </c>
      <c r="I1301">
        <f>IF(ISBLANK('ENGAGEMENTS 2026'!B1301),"",'ENGAGEMENTS 2026'!G1301)</f>
        <v/>
      </c>
      <c r="J1301" s="275">
        <f>IF(ISBLANK('ENGAGEMENTS 2026'!B1301),"",IF(AND(OR($E1301="INFRUCTUEUX",$E1301="ANNULE"),$C1301="AOO-M"),'ENGAGEMENTS 2026'!O1301,IF($H1301="EN COURS DE PREENGAGEMENT",'ENGAGEMENTS 2026'!N1301,IF($H1301="PREENGAGE",IF($E1301="ATTRIBUE",'ENGAGEMENTS 2026'!AD1301,'ENGAGEMENTS 2026'!N1301),'ENGAGEMENTS 2026'!AD1301))))</f>
        <v/>
      </c>
      <c r="K1301" s="604">
        <f>IF(ISBLANK('ENGAGEMENTS 2026'!V1301),"",'ENGAGEMENTS 2026'!V1301)</f>
        <v/>
      </c>
      <c r="L1301" s="276">
        <f>IF($K1301="","",TODAY()-$K1301)</f>
        <v/>
      </c>
      <c r="M1301">
        <f>IF($A1301="","",IF($H1301="ENGAGE","Engagé",IF(AND($H1301="NON ENGAGE",OR($I1301="INFRUCTUEUX",$I1301="ANNULE")),"Clôturé sans suite","En cours")))</f>
        <v/>
      </c>
      <c r="N1301">
        <f>IF(ISBLANK('ENGAGEMENTS 2026'!B1301),"",'ENGAGEMENTS 2026'!K1301)</f>
        <v/>
      </c>
      <c r="O1301">
        <f>IF(ISBLANK('ENGAGEMENTS 2026'!B1301),"",'ENGAGEMENTS 2026'!L1301)</f>
        <v/>
      </c>
      <c r="P1301">
        <f>IF(ISBLANK('ENGAGEMENTS 2026'!B1301),"",'ENGAGEMENTS 2026'!J1301)</f>
        <v/>
      </c>
      <c r="Q1301">
        <f>IF($A1301="","",IF(OR($E1301="INFRUCTUEUX",$E1301="ANNULE"),$A1301&amp;"|"&amp;(COUNTIFS($A$2:$A1301,$A1301,$E$2:$E1301,"INFRUCTUEUX")+COUNTIFS($A$2:$A1301,$A1301,$E$2:$E1301,"ANNULE")),""))</f>
        <v/>
      </c>
    </row>
    <row r="1302">
      <c r="A1302">
        <f>IF(ISBLANK('ENGAGEMENTS 2026'!B1302),"",IF('ENGAGEMENTS 2026'!B1302="DTSI","DCT",'ENGAGEMENTS 2026'!B1302))</f>
        <v/>
      </c>
      <c r="B1302">
        <f>IF(ISBLANK('ENGAGEMENTS 2026'!B1302),"",'ENGAGEMENTS 2026'!C1302)</f>
        <v/>
      </c>
      <c r="C1302">
        <f>IF(ISBLANK('ENGAGEMENTS 2026'!B1302),"",'ENGAGEMENTS 2026'!D1302)</f>
        <v/>
      </c>
      <c r="D1302">
        <f>IF(ISBLANK('ENGAGEMENTS 2026'!B1302),"",'ENGAGEMENTS 2026'!F1302)</f>
        <v/>
      </c>
      <c r="E1302">
        <f>IF(ISBLANK('ENGAGEMENTS 2026'!B1302),"",'ENGAGEMENTS 2026'!H1302)</f>
        <v/>
      </c>
      <c r="F1302">
        <f>IF(ISBLANK('ENGAGEMENTS 2026'!B1302),"",'ENGAGEMENTS 2026'!I1302)</f>
        <v/>
      </c>
      <c r="G1302">
        <f>IF(ISBLANK('ENGAGEMENTS 2026'!B1302),"",'ENGAGEMENTS 2026'!L1302)</f>
        <v/>
      </c>
      <c r="H1302">
        <f>IF(ISBLANK('ENGAGEMENTS 2026'!B1302),"",'ENGAGEMENTS 2026'!AE1302)</f>
        <v/>
      </c>
      <c r="I1302">
        <f>IF(ISBLANK('ENGAGEMENTS 2026'!B1302),"",'ENGAGEMENTS 2026'!G1302)</f>
        <v/>
      </c>
      <c r="J1302" s="275">
        <f>IF(ISBLANK('ENGAGEMENTS 2026'!B1302),"",IF(AND(OR($E1302="INFRUCTUEUX",$E1302="ANNULE"),$C1302="AOO-M"),'ENGAGEMENTS 2026'!O1302,IF($H1302="EN COURS DE PREENGAGEMENT",'ENGAGEMENTS 2026'!N1302,IF($H1302="PREENGAGE",IF($E1302="ATTRIBUE",'ENGAGEMENTS 2026'!AD1302,'ENGAGEMENTS 2026'!N1302),'ENGAGEMENTS 2026'!AD1302))))</f>
        <v/>
      </c>
      <c r="K1302" s="604">
        <f>IF(ISBLANK('ENGAGEMENTS 2026'!V1302),"",'ENGAGEMENTS 2026'!V1302)</f>
        <v/>
      </c>
      <c r="L1302" s="276">
        <f>IF($K1302="","",TODAY()-$K1302)</f>
        <v/>
      </c>
      <c r="M1302">
        <f>IF($A1302="","",IF($H1302="ENGAGE","Engagé",IF(AND($H1302="NON ENGAGE",OR($I1302="INFRUCTUEUX",$I1302="ANNULE")),"Clôturé sans suite","En cours")))</f>
        <v/>
      </c>
      <c r="N1302">
        <f>IF(ISBLANK('ENGAGEMENTS 2026'!B1302),"",'ENGAGEMENTS 2026'!K1302)</f>
        <v/>
      </c>
      <c r="O1302">
        <f>IF(ISBLANK('ENGAGEMENTS 2026'!B1302),"",'ENGAGEMENTS 2026'!L1302)</f>
        <v/>
      </c>
      <c r="P1302">
        <f>IF(ISBLANK('ENGAGEMENTS 2026'!B1302),"",'ENGAGEMENTS 2026'!J1302)</f>
        <v/>
      </c>
      <c r="Q1302">
        <f>IF($A1302="","",IF(OR($E1302="INFRUCTUEUX",$E1302="ANNULE"),$A1302&amp;"|"&amp;(COUNTIFS($A$2:$A1302,$A1302,$E$2:$E1302,"INFRUCTUEUX")+COUNTIFS($A$2:$A1302,$A1302,$E$2:$E1302,"ANNULE")),""))</f>
        <v/>
      </c>
    </row>
    <row r="1303">
      <c r="A1303">
        <f>IF(ISBLANK('ENGAGEMENTS 2026'!B1303),"",IF('ENGAGEMENTS 2026'!B1303="DTSI","DCT",'ENGAGEMENTS 2026'!B1303))</f>
        <v/>
      </c>
      <c r="B1303">
        <f>IF(ISBLANK('ENGAGEMENTS 2026'!B1303),"",'ENGAGEMENTS 2026'!C1303)</f>
        <v/>
      </c>
      <c r="C1303">
        <f>IF(ISBLANK('ENGAGEMENTS 2026'!B1303),"",'ENGAGEMENTS 2026'!D1303)</f>
        <v/>
      </c>
      <c r="D1303">
        <f>IF(ISBLANK('ENGAGEMENTS 2026'!B1303),"",'ENGAGEMENTS 2026'!F1303)</f>
        <v/>
      </c>
      <c r="E1303">
        <f>IF(ISBLANK('ENGAGEMENTS 2026'!B1303),"",'ENGAGEMENTS 2026'!H1303)</f>
        <v/>
      </c>
      <c r="F1303">
        <f>IF(ISBLANK('ENGAGEMENTS 2026'!B1303),"",'ENGAGEMENTS 2026'!I1303)</f>
        <v/>
      </c>
      <c r="G1303">
        <f>IF(ISBLANK('ENGAGEMENTS 2026'!B1303),"",'ENGAGEMENTS 2026'!L1303)</f>
        <v/>
      </c>
      <c r="H1303">
        <f>IF(ISBLANK('ENGAGEMENTS 2026'!B1303),"",'ENGAGEMENTS 2026'!AE1303)</f>
        <v/>
      </c>
      <c r="I1303">
        <f>IF(ISBLANK('ENGAGEMENTS 2026'!B1303),"",'ENGAGEMENTS 2026'!G1303)</f>
        <v/>
      </c>
      <c r="J1303" s="275">
        <f>IF(ISBLANK('ENGAGEMENTS 2026'!B1303),"",IF(AND(OR($E1303="INFRUCTUEUX",$E1303="ANNULE"),$C1303="AOO-M"),'ENGAGEMENTS 2026'!O1303,IF($H1303="EN COURS DE PREENGAGEMENT",'ENGAGEMENTS 2026'!N1303,IF($H1303="PREENGAGE",IF($E1303="ATTRIBUE",'ENGAGEMENTS 2026'!AD1303,'ENGAGEMENTS 2026'!N1303),'ENGAGEMENTS 2026'!AD1303))))</f>
        <v/>
      </c>
      <c r="K1303" s="604">
        <f>IF(ISBLANK('ENGAGEMENTS 2026'!V1303),"",'ENGAGEMENTS 2026'!V1303)</f>
        <v/>
      </c>
      <c r="L1303" s="276">
        <f>IF($K1303="","",TODAY()-$K1303)</f>
        <v/>
      </c>
      <c r="M1303">
        <f>IF($A1303="","",IF($H1303="ENGAGE","Engagé",IF(AND($H1303="NON ENGAGE",OR($I1303="INFRUCTUEUX",$I1303="ANNULE")),"Clôturé sans suite","En cours")))</f>
        <v/>
      </c>
      <c r="N1303">
        <f>IF(ISBLANK('ENGAGEMENTS 2026'!B1303),"",'ENGAGEMENTS 2026'!K1303)</f>
        <v/>
      </c>
      <c r="O1303">
        <f>IF(ISBLANK('ENGAGEMENTS 2026'!B1303),"",'ENGAGEMENTS 2026'!L1303)</f>
        <v/>
      </c>
      <c r="P1303">
        <f>IF(ISBLANK('ENGAGEMENTS 2026'!B1303),"",'ENGAGEMENTS 2026'!J1303)</f>
        <v/>
      </c>
      <c r="Q1303">
        <f>IF($A1303="","",IF(OR($E1303="INFRUCTUEUX",$E1303="ANNULE"),$A1303&amp;"|"&amp;(COUNTIFS($A$2:$A1303,$A1303,$E$2:$E1303,"INFRUCTUEUX")+COUNTIFS($A$2:$A1303,$A1303,$E$2:$E1303,"ANNULE")),""))</f>
        <v/>
      </c>
    </row>
    <row r="1304">
      <c r="A1304">
        <f>IF(ISBLANK('ENGAGEMENTS 2026'!B1304),"",IF('ENGAGEMENTS 2026'!B1304="DTSI","DCT",'ENGAGEMENTS 2026'!B1304))</f>
        <v/>
      </c>
      <c r="B1304">
        <f>IF(ISBLANK('ENGAGEMENTS 2026'!B1304),"",'ENGAGEMENTS 2026'!C1304)</f>
        <v/>
      </c>
      <c r="C1304">
        <f>IF(ISBLANK('ENGAGEMENTS 2026'!B1304),"",'ENGAGEMENTS 2026'!D1304)</f>
        <v/>
      </c>
      <c r="D1304">
        <f>IF(ISBLANK('ENGAGEMENTS 2026'!B1304),"",'ENGAGEMENTS 2026'!F1304)</f>
        <v/>
      </c>
      <c r="E1304">
        <f>IF(ISBLANK('ENGAGEMENTS 2026'!B1304),"",'ENGAGEMENTS 2026'!H1304)</f>
        <v/>
      </c>
      <c r="F1304">
        <f>IF(ISBLANK('ENGAGEMENTS 2026'!B1304),"",'ENGAGEMENTS 2026'!I1304)</f>
        <v/>
      </c>
      <c r="G1304">
        <f>IF(ISBLANK('ENGAGEMENTS 2026'!B1304),"",'ENGAGEMENTS 2026'!L1304)</f>
        <v/>
      </c>
      <c r="H1304">
        <f>IF(ISBLANK('ENGAGEMENTS 2026'!B1304),"",'ENGAGEMENTS 2026'!AE1304)</f>
        <v/>
      </c>
      <c r="I1304">
        <f>IF(ISBLANK('ENGAGEMENTS 2026'!B1304),"",'ENGAGEMENTS 2026'!G1304)</f>
        <v/>
      </c>
      <c r="J1304" s="275">
        <f>IF(ISBLANK('ENGAGEMENTS 2026'!B1304),"",IF(AND(OR($E1304="INFRUCTUEUX",$E1304="ANNULE"),$C1304="AOO-M"),'ENGAGEMENTS 2026'!O1304,IF($H1304="EN COURS DE PREENGAGEMENT",'ENGAGEMENTS 2026'!N1304,IF($H1304="PREENGAGE",IF($E1304="ATTRIBUE",'ENGAGEMENTS 2026'!AD1304,'ENGAGEMENTS 2026'!N1304),'ENGAGEMENTS 2026'!AD1304))))</f>
        <v/>
      </c>
      <c r="K1304" s="604">
        <f>IF(ISBLANK('ENGAGEMENTS 2026'!V1304),"",'ENGAGEMENTS 2026'!V1304)</f>
        <v/>
      </c>
      <c r="L1304" s="276">
        <f>IF($K1304="","",TODAY()-$K1304)</f>
        <v/>
      </c>
      <c r="M1304">
        <f>IF($A1304="","",IF($H1304="ENGAGE","Engagé",IF(AND($H1304="NON ENGAGE",OR($I1304="INFRUCTUEUX",$I1304="ANNULE")),"Clôturé sans suite","En cours")))</f>
        <v/>
      </c>
      <c r="N1304">
        <f>IF(ISBLANK('ENGAGEMENTS 2026'!B1304),"",'ENGAGEMENTS 2026'!K1304)</f>
        <v/>
      </c>
      <c r="O1304">
        <f>IF(ISBLANK('ENGAGEMENTS 2026'!B1304),"",'ENGAGEMENTS 2026'!L1304)</f>
        <v/>
      </c>
      <c r="P1304">
        <f>IF(ISBLANK('ENGAGEMENTS 2026'!B1304),"",'ENGAGEMENTS 2026'!J1304)</f>
        <v/>
      </c>
      <c r="Q1304">
        <f>IF($A1304="","",IF(OR($E1304="INFRUCTUEUX",$E1304="ANNULE"),$A1304&amp;"|"&amp;(COUNTIFS($A$2:$A1304,$A1304,$E$2:$E1304,"INFRUCTUEUX")+COUNTIFS($A$2:$A1304,$A1304,$E$2:$E1304,"ANNULE")),""))</f>
        <v/>
      </c>
    </row>
    <row r="1305">
      <c r="A1305">
        <f>IF(ISBLANK('ENGAGEMENTS 2026'!B1305),"",IF('ENGAGEMENTS 2026'!B1305="DTSI","DCT",'ENGAGEMENTS 2026'!B1305))</f>
        <v/>
      </c>
      <c r="B1305">
        <f>IF(ISBLANK('ENGAGEMENTS 2026'!B1305),"",'ENGAGEMENTS 2026'!C1305)</f>
        <v/>
      </c>
      <c r="C1305">
        <f>IF(ISBLANK('ENGAGEMENTS 2026'!B1305),"",'ENGAGEMENTS 2026'!D1305)</f>
        <v/>
      </c>
      <c r="D1305">
        <f>IF(ISBLANK('ENGAGEMENTS 2026'!B1305),"",'ENGAGEMENTS 2026'!F1305)</f>
        <v/>
      </c>
      <c r="E1305">
        <f>IF(ISBLANK('ENGAGEMENTS 2026'!B1305),"",'ENGAGEMENTS 2026'!H1305)</f>
        <v/>
      </c>
      <c r="F1305">
        <f>IF(ISBLANK('ENGAGEMENTS 2026'!B1305),"",'ENGAGEMENTS 2026'!I1305)</f>
        <v/>
      </c>
      <c r="G1305">
        <f>IF(ISBLANK('ENGAGEMENTS 2026'!B1305),"",'ENGAGEMENTS 2026'!L1305)</f>
        <v/>
      </c>
      <c r="H1305">
        <f>IF(ISBLANK('ENGAGEMENTS 2026'!B1305),"",'ENGAGEMENTS 2026'!AE1305)</f>
        <v/>
      </c>
      <c r="I1305">
        <f>IF(ISBLANK('ENGAGEMENTS 2026'!B1305),"",'ENGAGEMENTS 2026'!G1305)</f>
        <v/>
      </c>
      <c r="J1305" s="275">
        <f>IF(ISBLANK('ENGAGEMENTS 2026'!B1305),"",IF(AND(OR($E1305="INFRUCTUEUX",$E1305="ANNULE"),$C1305="AOO-M"),'ENGAGEMENTS 2026'!O1305,IF($H1305="EN COURS DE PREENGAGEMENT",'ENGAGEMENTS 2026'!N1305,IF($H1305="PREENGAGE",IF($E1305="ATTRIBUE",'ENGAGEMENTS 2026'!AD1305,'ENGAGEMENTS 2026'!N1305),'ENGAGEMENTS 2026'!AD1305))))</f>
        <v/>
      </c>
      <c r="K1305" s="604">
        <f>IF(ISBLANK('ENGAGEMENTS 2026'!V1305),"",'ENGAGEMENTS 2026'!V1305)</f>
        <v/>
      </c>
      <c r="L1305" s="276">
        <f>IF($K1305="","",TODAY()-$K1305)</f>
        <v/>
      </c>
      <c r="M1305">
        <f>IF($A1305="","",IF($H1305="ENGAGE","Engagé",IF(AND($H1305="NON ENGAGE",OR($I1305="INFRUCTUEUX",$I1305="ANNULE")),"Clôturé sans suite","En cours")))</f>
        <v/>
      </c>
      <c r="N1305">
        <f>IF(ISBLANK('ENGAGEMENTS 2026'!B1305),"",'ENGAGEMENTS 2026'!K1305)</f>
        <v/>
      </c>
      <c r="O1305">
        <f>IF(ISBLANK('ENGAGEMENTS 2026'!B1305),"",'ENGAGEMENTS 2026'!L1305)</f>
        <v/>
      </c>
      <c r="P1305">
        <f>IF(ISBLANK('ENGAGEMENTS 2026'!B1305),"",'ENGAGEMENTS 2026'!J1305)</f>
        <v/>
      </c>
      <c r="Q1305">
        <f>IF($A1305="","",IF(OR($E1305="INFRUCTUEUX",$E1305="ANNULE"),$A1305&amp;"|"&amp;(COUNTIFS($A$2:$A1305,$A1305,$E$2:$E1305,"INFRUCTUEUX")+COUNTIFS($A$2:$A1305,$A1305,$E$2:$E1305,"ANNULE")),""))</f>
        <v/>
      </c>
    </row>
    <row r="1306">
      <c r="A1306">
        <f>IF(ISBLANK('ENGAGEMENTS 2026'!B1306),"",IF('ENGAGEMENTS 2026'!B1306="DTSI","DCT",'ENGAGEMENTS 2026'!B1306))</f>
        <v/>
      </c>
      <c r="B1306">
        <f>IF(ISBLANK('ENGAGEMENTS 2026'!B1306),"",'ENGAGEMENTS 2026'!C1306)</f>
        <v/>
      </c>
      <c r="C1306">
        <f>IF(ISBLANK('ENGAGEMENTS 2026'!B1306),"",'ENGAGEMENTS 2026'!D1306)</f>
        <v/>
      </c>
      <c r="D1306">
        <f>IF(ISBLANK('ENGAGEMENTS 2026'!B1306),"",'ENGAGEMENTS 2026'!F1306)</f>
        <v/>
      </c>
      <c r="E1306">
        <f>IF(ISBLANK('ENGAGEMENTS 2026'!B1306),"",'ENGAGEMENTS 2026'!H1306)</f>
        <v/>
      </c>
      <c r="F1306">
        <f>IF(ISBLANK('ENGAGEMENTS 2026'!B1306),"",'ENGAGEMENTS 2026'!I1306)</f>
        <v/>
      </c>
      <c r="G1306">
        <f>IF(ISBLANK('ENGAGEMENTS 2026'!B1306),"",'ENGAGEMENTS 2026'!L1306)</f>
        <v/>
      </c>
      <c r="H1306">
        <f>IF(ISBLANK('ENGAGEMENTS 2026'!B1306),"",'ENGAGEMENTS 2026'!AE1306)</f>
        <v/>
      </c>
      <c r="I1306">
        <f>IF(ISBLANK('ENGAGEMENTS 2026'!B1306),"",'ENGAGEMENTS 2026'!G1306)</f>
        <v/>
      </c>
      <c r="J1306" s="275">
        <f>IF(ISBLANK('ENGAGEMENTS 2026'!B1306),"",IF(AND(OR($E1306="INFRUCTUEUX",$E1306="ANNULE"),$C1306="AOO-M"),'ENGAGEMENTS 2026'!O1306,IF($H1306="EN COURS DE PREENGAGEMENT",'ENGAGEMENTS 2026'!N1306,IF($H1306="PREENGAGE",IF($E1306="ATTRIBUE",'ENGAGEMENTS 2026'!AD1306,'ENGAGEMENTS 2026'!N1306),'ENGAGEMENTS 2026'!AD1306))))</f>
        <v/>
      </c>
      <c r="K1306" s="604">
        <f>IF(ISBLANK('ENGAGEMENTS 2026'!V1306),"",'ENGAGEMENTS 2026'!V1306)</f>
        <v/>
      </c>
      <c r="L1306" s="276">
        <f>IF($K1306="","",TODAY()-$K1306)</f>
        <v/>
      </c>
      <c r="M1306">
        <f>IF($A1306="","",IF($H1306="ENGAGE","Engagé",IF(AND($H1306="NON ENGAGE",OR($I1306="INFRUCTUEUX",$I1306="ANNULE")),"Clôturé sans suite","En cours")))</f>
        <v/>
      </c>
      <c r="N1306">
        <f>IF(ISBLANK('ENGAGEMENTS 2026'!B1306),"",'ENGAGEMENTS 2026'!K1306)</f>
        <v/>
      </c>
      <c r="O1306">
        <f>IF(ISBLANK('ENGAGEMENTS 2026'!B1306),"",'ENGAGEMENTS 2026'!L1306)</f>
        <v/>
      </c>
      <c r="P1306">
        <f>IF(ISBLANK('ENGAGEMENTS 2026'!B1306),"",'ENGAGEMENTS 2026'!J1306)</f>
        <v/>
      </c>
      <c r="Q1306">
        <f>IF($A1306="","",IF(OR($E1306="INFRUCTUEUX",$E1306="ANNULE"),$A1306&amp;"|"&amp;(COUNTIFS($A$2:$A1306,$A1306,$E$2:$E1306,"INFRUCTUEUX")+COUNTIFS($A$2:$A1306,$A1306,$E$2:$E1306,"ANNULE")),""))</f>
        <v/>
      </c>
    </row>
    <row r="1307">
      <c r="A1307">
        <f>IF(ISBLANK('ENGAGEMENTS 2026'!B1307),"",IF('ENGAGEMENTS 2026'!B1307="DTSI","DCT",'ENGAGEMENTS 2026'!B1307))</f>
        <v/>
      </c>
      <c r="B1307">
        <f>IF(ISBLANK('ENGAGEMENTS 2026'!B1307),"",'ENGAGEMENTS 2026'!C1307)</f>
        <v/>
      </c>
      <c r="C1307">
        <f>IF(ISBLANK('ENGAGEMENTS 2026'!B1307),"",'ENGAGEMENTS 2026'!D1307)</f>
        <v/>
      </c>
      <c r="D1307">
        <f>IF(ISBLANK('ENGAGEMENTS 2026'!B1307),"",'ENGAGEMENTS 2026'!F1307)</f>
        <v/>
      </c>
      <c r="E1307">
        <f>IF(ISBLANK('ENGAGEMENTS 2026'!B1307),"",'ENGAGEMENTS 2026'!H1307)</f>
        <v/>
      </c>
      <c r="F1307">
        <f>IF(ISBLANK('ENGAGEMENTS 2026'!B1307),"",'ENGAGEMENTS 2026'!I1307)</f>
        <v/>
      </c>
      <c r="G1307">
        <f>IF(ISBLANK('ENGAGEMENTS 2026'!B1307),"",'ENGAGEMENTS 2026'!L1307)</f>
        <v/>
      </c>
      <c r="H1307">
        <f>IF(ISBLANK('ENGAGEMENTS 2026'!B1307),"",'ENGAGEMENTS 2026'!AE1307)</f>
        <v/>
      </c>
      <c r="I1307">
        <f>IF(ISBLANK('ENGAGEMENTS 2026'!B1307),"",'ENGAGEMENTS 2026'!G1307)</f>
        <v/>
      </c>
      <c r="J1307" s="275">
        <f>IF(ISBLANK('ENGAGEMENTS 2026'!B1307),"",IF(AND(OR($E1307="INFRUCTUEUX",$E1307="ANNULE"),$C1307="AOO-M"),'ENGAGEMENTS 2026'!O1307,IF($H1307="EN COURS DE PREENGAGEMENT",'ENGAGEMENTS 2026'!N1307,IF($H1307="PREENGAGE",IF($E1307="ATTRIBUE",'ENGAGEMENTS 2026'!AD1307,'ENGAGEMENTS 2026'!N1307),'ENGAGEMENTS 2026'!AD1307))))</f>
        <v/>
      </c>
      <c r="K1307" s="604">
        <f>IF(ISBLANK('ENGAGEMENTS 2026'!V1307),"",'ENGAGEMENTS 2026'!V1307)</f>
        <v/>
      </c>
      <c r="L1307" s="276">
        <f>IF($K1307="","",TODAY()-$K1307)</f>
        <v/>
      </c>
      <c r="M1307">
        <f>IF($A1307="","",IF($H1307="ENGAGE","Engagé",IF(AND($H1307="NON ENGAGE",OR($I1307="INFRUCTUEUX",$I1307="ANNULE")),"Clôturé sans suite","En cours")))</f>
        <v/>
      </c>
      <c r="N1307">
        <f>IF(ISBLANK('ENGAGEMENTS 2026'!B1307),"",'ENGAGEMENTS 2026'!K1307)</f>
        <v/>
      </c>
      <c r="O1307">
        <f>IF(ISBLANK('ENGAGEMENTS 2026'!B1307),"",'ENGAGEMENTS 2026'!L1307)</f>
        <v/>
      </c>
      <c r="P1307">
        <f>IF(ISBLANK('ENGAGEMENTS 2026'!B1307),"",'ENGAGEMENTS 2026'!J1307)</f>
        <v/>
      </c>
      <c r="Q1307">
        <f>IF($A1307="","",IF(OR($E1307="INFRUCTUEUX",$E1307="ANNULE"),$A1307&amp;"|"&amp;(COUNTIFS($A$2:$A1307,$A1307,$E$2:$E1307,"INFRUCTUEUX")+COUNTIFS($A$2:$A1307,$A1307,$E$2:$E1307,"ANNULE")),""))</f>
        <v/>
      </c>
    </row>
    <row r="1308">
      <c r="A1308">
        <f>IF(ISBLANK('ENGAGEMENTS 2026'!B1308),"",IF('ENGAGEMENTS 2026'!B1308="DTSI","DCT",'ENGAGEMENTS 2026'!B1308))</f>
        <v/>
      </c>
      <c r="B1308">
        <f>IF(ISBLANK('ENGAGEMENTS 2026'!B1308),"",'ENGAGEMENTS 2026'!C1308)</f>
        <v/>
      </c>
      <c r="C1308">
        <f>IF(ISBLANK('ENGAGEMENTS 2026'!B1308),"",'ENGAGEMENTS 2026'!D1308)</f>
        <v/>
      </c>
      <c r="D1308">
        <f>IF(ISBLANK('ENGAGEMENTS 2026'!B1308),"",'ENGAGEMENTS 2026'!F1308)</f>
        <v/>
      </c>
      <c r="E1308">
        <f>IF(ISBLANK('ENGAGEMENTS 2026'!B1308),"",'ENGAGEMENTS 2026'!H1308)</f>
        <v/>
      </c>
      <c r="F1308">
        <f>IF(ISBLANK('ENGAGEMENTS 2026'!B1308),"",'ENGAGEMENTS 2026'!I1308)</f>
        <v/>
      </c>
      <c r="G1308">
        <f>IF(ISBLANK('ENGAGEMENTS 2026'!B1308),"",'ENGAGEMENTS 2026'!L1308)</f>
        <v/>
      </c>
      <c r="H1308">
        <f>IF(ISBLANK('ENGAGEMENTS 2026'!B1308),"",'ENGAGEMENTS 2026'!AE1308)</f>
        <v/>
      </c>
      <c r="I1308">
        <f>IF(ISBLANK('ENGAGEMENTS 2026'!B1308),"",'ENGAGEMENTS 2026'!G1308)</f>
        <v/>
      </c>
      <c r="J1308" s="275">
        <f>IF(ISBLANK('ENGAGEMENTS 2026'!B1308),"",IF(AND(OR($E1308="INFRUCTUEUX",$E1308="ANNULE"),$C1308="AOO-M"),'ENGAGEMENTS 2026'!O1308,IF($H1308="EN COURS DE PREENGAGEMENT",'ENGAGEMENTS 2026'!N1308,IF($H1308="PREENGAGE",IF($E1308="ATTRIBUE",'ENGAGEMENTS 2026'!AD1308,'ENGAGEMENTS 2026'!N1308),'ENGAGEMENTS 2026'!AD1308))))</f>
        <v/>
      </c>
      <c r="K1308" s="604">
        <f>IF(ISBLANK('ENGAGEMENTS 2026'!V1308),"",'ENGAGEMENTS 2026'!V1308)</f>
        <v/>
      </c>
      <c r="L1308" s="276">
        <f>IF($K1308="","",TODAY()-$K1308)</f>
        <v/>
      </c>
      <c r="M1308">
        <f>IF($A1308="","",IF($H1308="ENGAGE","Engagé",IF(AND($H1308="NON ENGAGE",OR($I1308="INFRUCTUEUX",$I1308="ANNULE")),"Clôturé sans suite","En cours")))</f>
        <v/>
      </c>
      <c r="N1308">
        <f>IF(ISBLANK('ENGAGEMENTS 2026'!B1308),"",'ENGAGEMENTS 2026'!K1308)</f>
        <v/>
      </c>
      <c r="O1308">
        <f>IF(ISBLANK('ENGAGEMENTS 2026'!B1308),"",'ENGAGEMENTS 2026'!L1308)</f>
        <v/>
      </c>
      <c r="P1308">
        <f>IF(ISBLANK('ENGAGEMENTS 2026'!B1308),"",'ENGAGEMENTS 2026'!J1308)</f>
        <v/>
      </c>
      <c r="Q1308">
        <f>IF($A1308="","",IF(OR($E1308="INFRUCTUEUX",$E1308="ANNULE"),$A1308&amp;"|"&amp;(COUNTIFS($A$2:$A1308,$A1308,$E$2:$E1308,"INFRUCTUEUX")+COUNTIFS($A$2:$A1308,$A1308,$E$2:$E1308,"ANNULE")),""))</f>
        <v/>
      </c>
    </row>
    <row r="1309">
      <c r="A1309">
        <f>IF(ISBLANK('ENGAGEMENTS 2026'!B1309),"",IF('ENGAGEMENTS 2026'!B1309="DTSI","DCT",'ENGAGEMENTS 2026'!B1309))</f>
        <v/>
      </c>
      <c r="B1309">
        <f>IF(ISBLANK('ENGAGEMENTS 2026'!B1309),"",'ENGAGEMENTS 2026'!C1309)</f>
        <v/>
      </c>
      <c r="C1309">
        <f>IF(ISBLANK('ENGAGEMENTS 2026'!B1309),"",'ENGAGEMENTS 2026'!D1309)</f>
        <v/>
      </c>
      <c r="D1309">
        <f>IF(ISBLANK('ENGAGEMENTS 2026'!B1309),"",'ENGAGEMENTS 2026'!F1309)</f>
        <v/>
      </c>
      <c r="E1309">
        <f>IF(ISBLANK('ENGAGEMENTS 2026'!B1309),"",'ENGAGEMENTS 2026'!H1309)</f>
        <v/>
      </c>
      <c r="F1309">
        <f>IF(ISBLANK('ENGAGEMENTS 2026'!B1309),"",'ENGAGEMENTS 2026'!I1309)</f>
        <v/>
      </c>
      <c r="G1309">
        <f>IF(ISBLANK('ENGAGEMENTS 2026'!B1309),"",'ENGAGEMENTS 2026'!L1309)</f>
        <v/>
      </c>
      <c r="H1309">
        <f>IF(ISBLANK('ENGAGEMENTS 2026'!B1309),"",'ENGAGEMENTS 2026'!AE1309)</f>
        <v/>
      </c>
      <c r="I1309">
        <f>IF(ISBLANK('ENGAGEMENTS 2026'!B1309),"",'ENGAGEMENTS 2026'!G1309)</f>
        <v/>
      </c>
      <c r="J1309" s="275">
        <f>IF(ISBLANK('ENGAGEMENTS 2026'!B1309),"",IF(AND(OR($E1309="INFRUCTUEUX",$E1309="ANNULE"),$C1309="AOO-M"),'ENGAGEMENTS 2026'!O1309,IF($H1309="EN COURS DE PREENGAGEMENT",'ENGAGEMENTS 2026'!N1309,IF($H1309="PREENGAGE",IF($E1309="ATTRIBUE",'ENGAGEMENTS 2026'!AD1309,'ENGAGEMENTS 2026'!N1309),'ENGAGEMENTS 2026'!AD1309))))</f>
        <v/>
      </c>
      <c r="K1309" s="604">
        <f>IF(ISBLANK('ENGAGEMENTS 2026'!V1309),"",'ENGAGEMENTS 2026'!V1309)</f>
        <v/>
      </c>
      <c r="L1309" s="276">
        <f>IF($K1309="","",TODAY()-$K1309)</f>
        <v/>
      </c>
      <c r="M1309">
        <f>IF($A1309="","",IF($H1309="ENGAGE","Engagé",IF(AND($H1309="NON ENGAGE",OR($I1309="INFRUCTUEUX",$I1309="ANNULE")),"Clôturé sans suite","En cours")))</f>
        <v/>
      </c>
      <c r="N1309">
        <f>IF(ISBLANK('ENGAGEMENTS 2026'!B1309),"",'ENGAGEMENTS 2026'!K1309)</f>
        <v/>
      </c>
      <c r="O1309">
        <f>IF(ISBLANK('ENGAGEMENTS 2026'!B1309),"",'ENGAGEMENTS 2026'!L1309)</f>
        <v/>
      </c>
      <c r="P1309">
        <f>IF(ISBLANK('ENGAGEMENTS 2026'!B1309),"",'ENGAGEMENTS 2026'!J1309)</f>
        <v/>
      </c>
      <c r="Q1309">
        <f>IF($A1309="","",IF(OR($E1309="INFRUCTUEUX",$E1309="ANNULE"),$A1309&amp;"|"&amp;(COUNTIFS($A$2:$A1309,$A1309,$E$2:$E1309,"INFRUCTUEUX")+COUNTIFS($A$2:$A1309,$A1309,$E$2:$E1309,"ANNULE")),""))</f>
        <v/>
      </c>
    </row>
    <row r="1310">
      <c r="A1310">
        <f>IF(ISBLANK('ENGAGEMENTS 2026'!B1310),"",IF('ENGAGEMENTS 2026'!B1310="DTSI","DCT",'ENGAGEMENTS 2026'!B1310))</f>
        <v/>
      </c>
      <c r="B1310">
        <f>IF(ISBLANK('ENGAGEMENTS 2026'!B1310),"",'ENGAGEMENTS 2026'!C1310)</f>
        <v/>
      </c>
      <c r="C1310">
        <f>IF(ISBLANK('ENGAGEMENTS 2026'!B1310),"",'ENGAGEMENTS 2026'!D1310)</f>
        <v/>
      </c>
      <c r="D1310">
        <f>IF(ISBLANK('ENGAGEMENTS 2026'!B1310),"",'ENGAGEMENTS 2026'!F1310)</f>
        <v/>
      </c>
      <c r="E1310">
        <f>IF(ISBLANK('ENGAGEMENTS 2026'!B1310),"",'ENGAGEMENTS 2026'!H1310)</f>
        <v/>
      </c>
      <c r="F1310">
        <f>IF(ISBLANK('ENGAGEMENTS 2026'!B1310),"",'ENGAGEMENTS 2026'!I1310)</f>
        <v/>
      </c>
      <c r="G1310">
        <f>IF(ISBLANK('ENGAGEMENTS 2026'!B1310),"",'ENGAGEMENTS 2026'!L1310)</f>
        <v/>
      </c>
      <c r="H1310">
        <f>IF(ISBLANK('ENGAGEMENTS 2026'!B1310),"",'ENGAGEMENTS 2026'!AE1310)</f>
        <v/>
      </c>
      <c r="I1310">
        <f>IF(ISBLANK('ENGAGEMENTS 2026'!B1310),"",'ENGAGEMENTS 2026'!G1310)</f>
        <v/>
      </c>
      <c r="J1310" s="275">
        <f>IF(ISBLANK('ENGAGEMENTS 2026'!B1310),"",IF(AND(OR($E1310="INFRUCTUEUX",$E1310="ANNULE"),$C1310="AOO-M"),'ENGAGEMENTS 2026'!O1310,IF($H1310="EN COURS DE PREENGAGEMENT",'ENGAGEMENTS 2026'!N1310,IF($H1310="PREENGAGE",IF($E1310="ATTRIBUE",'ENGAGEMENTS 2026'!AD1310,'ENGAGEMENTS 2026'!N1310),'ENGAGEMENTS 2026'!AD1310))))</f>
        <v/>
      </c>
      <c r="K1310" s="604">
        <f>IF(ISBLANK('ENGAGEMENTS 2026'!V1310),"",'ENGAGEMENTS 2026'!V1310)</f>
        <v/>
      </c>
      <c r="L1310" s="276">
        <f>IF($K1310="","",TODAY()-$K1310)</f>
        <v/>
      </c>
      <c r="M1310">
        <f>IF($A1310="","",IF($H1310="ENGAGE","Engagé",IF(AND($H1310="NON ENGAGE",OR($I1310="INFRUCTUEUX",$I1310="ANNULE")),"Clôturé sans suite","En cours")))</f>
        <v/>
      </c>
      <c r="N1310">
        <f>IF(ISBLANK('ENGAGEMENTS 2026'!B1310),"",'ENGAGEMENTS 2026'!K1310)</f>
        <v/>
      </c>
      <c r="O1310">
        <f>IF(ISBLANK('ENGAGEMENTS 2026'!B1310),"",'ENGAGEMENTS 2026'!L1310)</f>
        <v/>
      </c>
      <c r="P1310">
        <f>IF(ISBLANK('ENGAGEMENTS 2026'!B1310),"",'ENGAGEMENTS 2026'!J1310)</f>
        <v/>
      </c>
      <c r="Q1310">
        <f>IF($A1310="","",IF(OR($E1310="INFRUCTUEUX",$E1310="ANNULE"),$A1310&amp;"|"&amp;(COUNTIFS($A$2:$A1310,$A1310,$E$2:$E1310,"INFRUCTUEUX")+COUNTIFS($A$2:$A1310,$A1310,$E$2:$E1310,"ANNULE")),""))</f>
        <v/>
      </c>
    </row>
    <row r="1311">
      <c r="A1311">
        <f>IF(ISBLANK('ENGAGEMENTS 2026'!B1311),"",IF('ENGAGEMENTS 2026'!B1311="DTSI","DCT",'ENGAGEMENTS 2026'!B1311))</f>
        <v/>
      </c>
      <c r="B1311">
        <f>IF(ISBLANK('ENGAGEMENTS 2026'!B1311),"",'ENGAGEMENTS 2026'!C1311)</f>
        <v/>
      </c>
      <c r="C1311">
        <f>IF(ISBLANK('ENGAGEMENTS 2026'!B1311),"",'ENGAGEMENTS 2026'!D1311)</f>
        <v/>
      </c>
      <c r="D1311">
        <f>IF(ISBLANK('ENGAGEMENTS 2026'!B1311),"",'ENGAGEMENTS 2026'!F1311)</f>
        <v/>
      </c>
      <c r="E1311">
        <f>IF(ISBLANK('ENGAGEMENTS 2026'!B1311),"",'ENGAGEMENTS 2026'!H1311)</f>
        <v/>
      </c>
      <c r="F1311">
        <f>IF(ISBLANK('ENGAGEMENTS 2026'!B1311),"",'ENGAGEMENTS 2026'!I1311)</f>
        <v/>
      </c>
      <c r="G1311">
        <f>IF(ISBLANK('ENGAGEMENTS 2026'!B1311),"",'ENGAGEMENTS 2026'!L1311)</f>
        <v/>
      </c>
      <c r="H1311">
        <f>IF(ISBLANK('ENGAGEMENTS 2026'!B1311),"",'ENGAGEMENTS 2026'!AE1311)</f>
        <v/>
      </c>
      <c r="I1311">
        <f>IF(ISBLANK('ENGAGEMENTS 2026'!B1311),"",'ENGAGEMENTS 2026'!G1311)</f>
        <v/>
      </c>
      <c r="J1311" s="275">
        <f>IF(ISBLANK('ENGAGEMENTS 2026'!B1311),"",IF(AND(OR($E1311="INFRUCTUEUX",$E1311="ANNULE"),$C1311="AOO-M"),'ENGAGEMENTS 2026'!O1311,IF($H1311="EN COURS DE PREENGAGEMENT",'ENGAGEMENTS 2026'!N1311,IF($H1311="PREENGAGE",IF($E1311="ATTRIBUE",'ENGAGEMENTS 2026'!AD1311,'ENGAGEMENTS 2026'!N1311),'ENGAGEMENTS 2026'!AD1311))))</f>
        <v/>
      </c>
      <c r="K1311" s="604">
        <f>IF(ISBLANK('ENGAGEMENTS 2026'!V1311),"",'ENGAGEMENTS 2026'!V1311)</f>
        <v/>
      </c>
      <c r="L1311" s="276">
        <f>IF($K1311="","",TODAY()-$K1311)</f>
        <v/>
      </c>
      <c r="M1311">
        <f>IF($A1311="","",IF($H1311="ENGAGE","Engagé",IF(AND($H1311="NON ENGAGE",OR($I1311="INFRUCTUEUX",$I1311="ANNULE")),"Clôturé sans suite","En cours")))</f>
        <v/>
      </c>
      <c r="N1311">
        <f>IF(ISBLANK('ENGAGEMENTS 2026'!B1311),"",'ENGAGEMENTS 2026'!K1311)</f>
        <v/>
      </c>
      <c r="O1311">
        <f>IF(ISBLANK('ENGAGEMENTS 2026'!B1311),"",'ENGAGEMENTS 2026'!L1311)</f>
        <v/>
      </c>
      <c r="P1311">
        <f>IF(ISBLANK('ENGAGEMENTS 2026'!B1311),"",'ENGAGEMENTS 2026'!J1311)</f>
        <v/>
      </c>
      <c r="Q1311">
        <f>IF($A1311="","",IF(OR($E1311="INFRUCTUEUX",$E1311="ANNULE"),$A1311&amp;"|"&amp;(COUNTIFS($A$2:$A1311,$A1311,$E$2:$E1311,"INFRUCTUEUX")+COUNTIFS($A$2:$A1311,$A1311,$E$2:$E1311,"ANNULE")),""))</f>
        <v/>
      </c>
    </row>
    <row r="1312">
      <c r="A1312">
        <f>IF(ISBLANK('ENGAGEMENTS 2026'!B1312),"",IF('ENGAGEMENTS 2026'!B1312="DTSI","DCT",'ENGAGEMENTS 2026'!B1312))</f>
        <v/>
      </c>
      <c r="B1312">
        <f>IF(ISBLANK('ENGAGEMENTS 2026'!B1312),"",'ENGAGEMENTS 2026'!C1312)</f>
        <v/>
      </c>
      <c r="C1312">
        <f>IF(ISBLANK('ENGAGEMENTS 2026'!B1312),"",'ENGAGEMENTS 2026'!D1312)</f>
        <v/>
      </c>
      <c r="D1312">
        <f>IF(ISBLANK('ENGAGEMENTS 2026'!B1312),"",'ENGAGEMENTS 2026'!F1312)</f>
        <v/>
      </c>
      <c r="E1312">
        <f>IF(ISBLANK('ENGAGEMENTS 2026'!B1312),"",'ENGAGEMENTS 2026'!H1312)</f>
        <v/>
      </c>
      <c r="F1312">
        <f>IF(ISBLANK('ENGAGEMENTS 2026'!B1312),"",'ENGAGEMENTS 2026'!I1312)</f>
        <v/>
      </c>
      <c r="G1312">
        <f>IF(ISBLANK('ENGAGEMENTS 2026'!B1312),"",'ENGAGEMENTS 2026'!L1312)</f>
        <v/>
      </c>
      <c r="H1312">
        <f>IF(ISBLANK('ENGAGEMENTS 2026'!B1312),"",'ENGAGEMENTS 2026'!AE1312)</f>
        <v/>
      </c>
      <c r="I1312">
        <f>IF(ISBLANK('ENGAGEMENTS 2026'!B1312),"",'ENGAGEMENTS 2026'!G1312)</f>
        <v/>
      </c>
      <c r="J1312" s="275">
        <f>IF(ISBLANK('ENGAGEMENTS 2026'!B1312),"",IF(AND(OR($E1312="INFRUCTUEUX",$E1312="ANNULE"),$C1312="AOO-M"),'ENGAGEMENTS 2026'!O1312,IF($H1312="EN COURS DE PREENGAGEMENT",'ENGAGEMENTS 2026'!N1312,IF($H1312="PREENGAGE",IF($E1312="ATTRIBUE",'ENGAGEMENTS 2026'!AD1312,'ENGAGEMENTS 2026'!N1312),'ENGAGEMENTS 2026'!AD1312))))</f>
        <v/>
      </c>
      <c r="K1312" s="604">
        <f>IF(ISBLANK('ENGAGEMENTS 2026'!V1312),"",'ENGAGEMENTS 2026'!V1312)</f>
        <v/>
      </c>
      <c r="L1312" s="276">
        <f>IF($K1312="","",TODAY()-$K1312)</f>
        <v/>
      </c>
      <c r="M1312">
        <f>IF($A1312="","",IF($H1312="ENGAGE","Engagé",IF(AND($H1312="NON ENGAGE",OR($I1312="INFRUCTUEUX",$I1312="ANNULE")),"Clôturé sans suite","En cours")))</f>
        <v/>
      </c>
      <c r="N1312">
        <f>IF(ISBLANK('ENGAGEMENTS 2026'!B1312),"",'ENGAGEMENTS 2026'!K1312)</f>
        <v/>
      </c>
      <c r="O1312">
        <f>IF(ISBLANK('ENGAGEMENTS 2026'!B1312),"",'ENGAGEMENTS 2026'!L1312)</f>
        <v/>
      </c>
      <c r="P1312">
        <f>IF(ISBLANK('ENGAGEMENTS 2026'!B1312),"",'ENGAGEMENTS 2026'!J1312)</f>
        <v/>
      </c>
      <c r="Q1312">
        <f>IF($A1312="","",IF(OR($E1312="INFRUCTUEUX",$E1312="ANNULE"),$A1312&amp;"|"&amp;(COUNTIFS($A$2:$A1312,$A1312,$E$2:$E1312,"INFRUCTUEUX")+COUNTIFS($A$2:$A1312,$A1312,$E$2:$E1312,"ANNULE")),""))</f>
        <v/>
      </c>
    </row>
    <row r="1313">
      <c r="A1313">
        <f>IF(ISBLANK('ENGAGEMENTS 2026'!B1313),"",IF('ENGAGEMENTS 2026'!B1313="DTSI","DCT",'ENGAGEMENTS 2026'!B1313))</f>
        <v/>
      </c>
      <c r="B1313">
        <f>IF(ISBLANK('ENGAGEMENTS 2026'!B1313),"",'ENGAGEMENTS 2026'!C1313)</f>
        <v/>
      </c>
      <c r="C1313">
        <f>IF(ISBLANK('ENGAGEMENTS 2026'!B1313),"",'ENGAGEMENTS 2026'!D1313)</f>
        <v/>
      </c>
      <c r="D1313">
        <f>IF(ISBLANK('ENGAGEMENTS 2026'!B1313),"",'ENGAGEMENTS 2026'!F1313)</f>
        <v/>
      </c>
      <c r="E1313">
        <f>IF(ISBLANK('ENGAGEMENTS 2026'!B1313),"",'ENGAGEMENTS 2026'!H1313)</f>
        <v/>
      </c>
      <c r="F1313">
        <f>IF(ISBLANK('ENGAGEMENTS 2026'!B1313),"",'ENGAGEMENTS 2026'!I1313)</f>
        <v/>
      </c>
      <c r="G1313">
        <f>IF(ISBLANK('ENGAGEMENTS 2026'!B1313),"",'ENGAGEMENTS 2026'!L1313)</f>
        <v/>
      </c>
      <c r="H1313">
        <f>IF(ISBLANK('ENGAGEMENTS 2026'!B1313),"",'ENGAGEMENTS 2026'!AE1313)</f>
        <v/>
      </c>
      <c r="I1313">
        <f>IF(ISBLANK('ENGAGEMENTS 2026'!B1313),"",'ENGAGEMENTS 2026'!G1313)</f>
        <v/>
      </c>
      <c r="J1313" s="275">
        <f>IF(ISBLANK('ENGAGEMENTS 2026'!B1313),"",IF(AND(OR($E1313="INFRUCTUEUX",$E1313="ANNULE"),$C1313="AOO-M"),'ENGAGEMENTS 2026'!O1313,IF($H1313="EN COURS DE PREENGAGEMENT",'ENGAGEMENTS 2026'!N1313,IF($H1313="PREENGAGE",IF($E1313="ATTRIBUE",'ENGAGEMENTS 2026'!AD1313,'ENGAGEMENTS 2026'!N1313),'ENGAGEMENTS 2026'!AD1313))))</f>
        <v/>
      </c>
      <c r="K1313" s="604">
        <f>IF(ISBLANK('ENGAGEMENTS 2026'!V1313),"",'ENGAGEMENTS 2026'!V1313)</f>
        <v/>
      </c>
      <c r="L1313" s="276">
        <f>IF($K1313="","",TODAY()-$K1313)</f>
        <v/>
      </c>
      <c r="M1313">
        <f>IF($A1313="","",IF($H1313="ENGAGE","Engagé",IF(AND($H1313="NON ENGAGE",OR($I1313="INFRUCTUEUX",$I1313="ANNULE")),"Clôturé sans suite","En cours")))</f>
        <v/>
      </c>
      <c r="N1313">
        <f>IF(ISBLANK('ENGAGEMENTS 2026'!B1313),"",'ENGAGEMENTS 2026'!K1313)</f>
        <v/>
      </c>
      <c r="O1313">
        <f>IF(ISBLANK('ENGAGEMENTS 2026'!B1313),"",'ENGAGEMENTS 2026'!L1313)</f>
        <v/>
      </c>
      <c r="P1313">
        <f>IF(ISBLANK('ENGAGEMENTS 2026'!B1313),"",'ENGAGEMENTS 2026'!J1313)</f>
        <v/>
      </c>
      <c r="Q1313">
        <f>IF($A1313="","",IF(OR($E1313="INFRUCTUEUX",$E1313="ANNULE"),$A1313&amp;"|"&amp;(COUNTIFS($A$2:$A1313,$A1313,$E$2:$E1313,"INFRUCTUEUX")+COUNTIFS($A$2:$A1313,$A1313,$E$2:$E1313,"ANNULE")),""))</f>
        <v/>
      </c>
    </row>
    <row r="1314">
      <c r="A1314">
        <f>IF(ISBLANK('ENGAGEMENTS 2026'!B1314),"",IF('ENGAGEMENTS 2026'!B1314="DTSI","DCT",'ENGAGEMENTS 2026'!B1314))</f>
        <v/>
      </c>
      <c r="B1314">
        <f>IF(ISBLANK('ENGAGEMENTS 2026'!B1314),"",'ENGAGEMENTS 2026'!C1314)</f>
        <v/>
      </c>
      <c r="C1314">
        <f>IF(ISBLANK('ENGAGEMENTS 2026'!B1314),"",'ENGAGEMENTS 2026'!D1314)</f>
        <v/>
      </c>
      <c r="D1314">
        <f>IF(ISBLANK('ENGAGEMENTS 2026'!B1314),"",'ENGAGEMENTS 2026'!F1314)</f>
        <v/>
      </c>
      <c r="E1314">
        <f>IF(ISBLANK('ENGAGEMENTS 2026'!B1314),"",'ENGAGEMENTS 2026'!H1314)</f>
        <v/>
      </c>
      <c r="F1314">
        <f>IF(ISBLANK('ENGAGEMENTS 2026'!B1314),"",'ENGAGEMENTS 2026'!I1314)</f>
        <v/>
      </c>
      <c r="G1314">
        <f>IF(ISBLANK('ENGAGEMENTS 2026'!B1314),"",'ENGAGEMENTS 2026'!L1314)</f>
        <v/>
      </c>
      <c r="H1314">
        <f>IF(ISBLANK('ENGAGEMENTS 2026'!B1314),"",'ENGAGEMENTS 2026'!AE1314)</f>
        <v/>
      </c>
      <c r="I1314">
        <f>IF(ISBLANK('ENGAGEMENTS 2026'!B1314),"",'ENGAGEMENTS 2026'!G1314)</f>
        <v/>
      </c>
      <c r="J1314" s="275">
        <f>IF(ISBLANK('ENGAGEMENTS 2026'!B1314),"",IF(AND(OR($E1314="INFRUCTUEUX",$E1314="ANNULE"),$C1314="AOO-M"),'ENGAGEMENTS 2026'!O1314,IF($H1314="EN COURS DE PREENGAGEMENT",'ENGAGEMENTS 2026'!N1314,IF($H1314="PREENGAGE",IF($E1314="ATTRIBUE",'ENGAGEMENTS 2026'!AD1314,'ENGAGEMENTS 2026'!N1314),'ENGAGEMENTS 2026'!AD1314))))</f>
        <v/>
      </c>
      <c r="K1314" s="604">
        <f>IF(ISBLANK('ENGAGEMENTS 2026'!V1314),"",'ENGAGEMENTS 2026'!V1314)</f>
        <v/>
      </c>
      <c r="L1314" s="276">
        <f>IF($K1314="","",TODAY()-$K1314)</f>
        <v/>
      </c>
      <c r="M1314">
        <f>IF($A1314="","",IF($H1314="ENGAGE","Engagé",IF(AND($H1314="NON ENGAGE",OR($I1314="INFRUCTUEUX",$I1314="ANNULE")),"Clôturé sans suite","En cours")))</f>
        <v/>
      </c>
      <c r="N1314">
        <f>IF(ISBLANK('ENGAGEMENTS 2026'!B1314),"",'ENGAGEMENTS 2026'!K1314)</f>
        <v/>
      </c>
      <c r="O1314">
        <f>IF(ISBLANK('ENGAGEMENTS 2026'!B1314),"",'ENGAGEMENTS 2026'!L1314)</f>
        <v/>
      </c>
      <c r="P1314">
        <f>IF(ISBLANK('ENGAGEMENTS 2026'!B1314),"",'ENGAGEMENTS 2026'!J1314)</f>
        <v/>
      </c>
      <c r="Q1314">
        <f>IF($A1314="","",IF(OR($E1314="INFRUCTUEUX",$E1314="ANNULE"),$A1314&amp;"|"&amp;(COUNTIFS($A$2:$A1314,$A1314,$E$2:$E1314,"INFRUCTUEUX")+COUNTIFS($A$2:$A1314,$A1314,$E$2:$E1314,"ANNULE")),""))</f>
        <v/>
      </c>
    </row>
    <row r="1315">
      <c r="A1315">
        <f>IF(ISBLANK('ENGAGEMENTS 2026'!B1315),"",IF('ENGAGEMENTS 2026'!B1315="DTSI","DCT",'ENGAGEMENTS 2026'!B1315))</f>
        <v/>
      </c>
      <c r="B1315">
        <f>IF(ISBLANK('ENGAGEMENTS 2026'!B1315),"",'ENGAGEMENTS 2026'!C1315)</f>
        <v/>
      </c>
      <c r="C1315">
        <f>IF(ISBLANK('ENGAGEMENTS 2026'!B1315),"",'ENGAGEMENTS 2026'!D1315)</f>
        <v/>
      </c>
      <c r="D1315">
        <f>IF(ISBLANK('ENGAGEMENTS 2026'!B1315),"",'ENGAGEMENTS 2026'!F1315)</f>
        <v/>
      </c>
      <c r="E1315">
        <f>IF(ISBLANK('ENGAGEMENTS 2026'!B1315),"",'ENGAGEMENTS 2026'!H1315)</f>
        <v/>
      </c>
      <c r="F1315">
        <f>IF(ISBLANK('ENGAGEMENTS 2026'!B1315),"",'ENGAGEMENTS 2026'!I1315)</f>
        <v/>
      </c>
      <c r="G1315">
        <f>IF(ISBLANK('ENGAGEMENTS 2026'!B1315),"",'ENGAGEMENTS 2026'!L1315)</f>
        <v/>
      </c>
      <c r="H1315">
        <f>IF(ISBLANK('ENGAGEMENTS 2026'!B1315),"",'ENGAGEMENTS 2026'!AE1315)</f>
        <v/>
      </c>
      <c r="I1315">
        <f>IF(ISBLANK('ENGAGEMENTS 2026'!B1315),"",'ENGAGEMENTS 2026'!G1315)</f>
        <v/>
      </c>
      <c r="J1315" s="275">
        <f>IF(ISBLANK('ENGAGEMENTS 2026'!B1315),"",IF(AND(OR($E1315="INFRUCTUEUX",$E1315="ANNULE"),$C1315="AOO-M"),'ENGAGEMENTS 2026'!O1315,IF($H1315="EN COURS DE PREENGAGEMENT",'ENGAGEMENTS 2026'!N1315,IF($H1315="PREENGAGE",IF($E1315="ATTRIBUE",'ENGAGEMENTS 2026'!AD1315,'ENGAGEMENTS 2026'!N1315),'ENGAGEMENTS 2026'!AD1315))))</f>
        <v/>
      </c>
      <c r="K1315" s="604">
        <f>IF(ISBLANK('ENGAGEMENTS 2026'!V1315),"",'ENGAGEMENTS 2026'!V1315)</f>
        <v/>
      </c>
      <c r="L1315" s="276">
        <f>IF($K1315="","",TODAY()-$K1315)</f>
        <v/>
      </c>
      <c r="M1315">
        <f>IF($A1315="","",IF($H1315="ENGAGE","Engagé",IF(AND($H1315="NON ENGAGE",OR($I1315="INFRUCTUEUX",$I1315="ANNULE")),"Clôturé sans suite","En cours")))</f>
        <v/>
      </c>
      <c r="N1315">
        <f>IF(ISBLANK('ENGAGEMENTS 2026'!B1315),"",'ENGAGEMENTS 2026'!K1315)</f>
        <v/>
      </c>
      <c r="O1315">
        <f>IF(ISBLANK('ENGAGEMENTS 2026'!B1315),"",'ENGAGEMENTS 2026'!L1315)</f>
        <v/>
      </c>
      <c r="P1315">
        <f>IF(ISBLANK('ENGAGEMENTS 2026'!B1315),"",'ENGAGEMENTS 2026'!J1315)</f>
        <v/>
      </c>
      <c r="Q1315">
        <f>IF($A1315="","",IF(OR($E1315="INFRUCTUEUX",$E1315="ANNULE"),$A1315&amp;"|"&amp;(COUNTIFS($A$2:$A1315,$A1315,$E$2:$E1315,"INFRUCTUEUX")+COUNTIFS($A$2:$A1315,$A1315,$E$2:$E1315,"ANNULE")),""))</f>
        <v/>
      </c>
    </row>
    <row r="1316">
      <c r="A1316">
        <f>IF(ISBLANK('ENGAGEMENTS 2026'!B1316),"",IF('ENGAGEMENTS 2026'!B1316="DTSI","DCT",'ENGAGEMENTS 2026'!B1316))</f>
        <v/>
      </c>
      <c r="B1316">
        <f>IF(ISBLANK('ENGAGEMENTS 2026'!B1316),"",'ENGAGEMENTS 2026'!C1316)</f>
        <v/>
      </c>
      <c r="C1316">
        <f>IF(ISBLANK('ENGAGEMENTS 2026'!B1316),"",'ENGAGEMENTS 2026'!D1316)</f>
        <v/>
      </c>
      <c r="D1316">
        <f>IF(ISBLANK('ENGAGEMENTS 2026'!B1316),"",'ENGAGEMENTS 2026'!F1316)</f>
        <v/>
      </c>
      <c r="E1316">
        <f>IF(ISBLANK('ENGAGEMENTS 2026'!B1316),"",'ENGAGEMENTS 2026'!H1316)</f>
        <v/>
      </c>
      <c r="F1316">
        <f>IF(ISBLANK('ENGAGEMENTS 2026'!B1316),"",'ENGAGEMENTS 2026'!I1316)</f>
        <v/>
      </c>
      <c r="G1316">
        <f>IF(ISBLANK('ENGAGEMENTS 2026'!B1316),"",'ENGAGEMENTS 2026'!L1316)</f>
        <v/>
      </c>
      <c r="H1316">
        <f>IF(ISBLANK('ENGAGEMENTS 2026'!B1316),"",'ENGAGEMENTS 2026'!AE1316)</f>
        <v/>
      </c>
      <c r="I1316">
        <f>IF(ISBLANK('ENGAGEMENTS 2026'!B1316),"",'ENGAGEMENTS 2026'!G1316)</f>
        <v/>
      </c>
      <c r="J1316" s="275">
        <f>IF(ISBLANK('ENGAGEMENTS 2026'!B1316),"",IF(AND(OR($E1316="INFRUCTUEUX",$E1316="ANNULE"),$C1316="AOO-M"),'ENGAGEMENTS 2026'!O1316,IF($H1316="EN COURS DE PREENGAGEMENT",'ENGAGEMENTS 2026'!N1316,IF($H1316="PREENGAGE",IF($E1316="ATTRIBUE",'ENGAGEMENTS 2026'!AD1316,'ENGAGEMENTS 2026'!N1316),'ENGAGEMENTS 2026'!AD1316))))</f>
        <v/>
      </c>
      <c r="K1316" s="604">
        <f>IF(ISBLANK('ENGAGEMENTS 2026'!V1316),"",'ENGAGEMENTS 2026'!V1316)</f>
        <v/>
      </c>
      <c r="L1316" s="276">
        <f>IF($K1316="","",TODAY()-$K1316)</f>
        <v/>
      </c>
      <c r="M1316">
        <f>IF($A1316="","",IF($H1316="ENGAGE","Engagé",IF(AND($H1316="NON ENGAGE",OR($I1316="INFRUCTUEUX",$I1316="ANNULE")),"Clôturé sans suite","En cours")))</f>
        <v/>
      </c>
      <c r="N1316">
        <f>IF(ISBLANK('ENGAGEMENTS 2026'!B1316),"",'ENGAGEMENTS 2026'!K1316)</f>
        <v/>
      </c>
      <c r="O1316">
        <f>IF(ISBLANK('ENGAGEMENTS 2026'!B1316),"",'ENGAGEMENTS 2026'!L1316)</f>
        <v/>
      </c>
      <c r="P1316">
        <f>IF(ISBLANK('ENGAGEMENTS 2026'!B1316),"",'ENGAGEMENTS 2026'!J1316)</f>
        <v/>
      </c>
      <c r="Q1316">
        <f>IF($A1316="","",IF(OR($E1316="INFRUCTUEUX",$E1316="ANNULE"),$A1316&amp;"|"&amp;(COUNTIFS($A$2:$A1316,$A1316,$E$2:$E1316,"INFRUCTUEUX")+COUNTIFS($A$2:$A1316,$A1316,$E$2:$E1316,"ANNULE")),""))</f>
        <v/>
      </c>
    </row>
    <row r="1317">
      <c r="A1317">
        <f>IF(ISBLANK('ENGAGEMENTS 2026'!B1317),"",IF('ENGAGEMENTS 2026'!B1317="DTSI","DCT",'ENGAGEMENTS 2026'!B1317))</f>
        <v/>
      </c>
      <c r="B1317">
        <f>IF(ISBLANK('ENGAGEMENTS 2026'!B1317),"",'ENGAGEMENTS 2026'!C1317)</f>
        <v/>
      </c>
      <c r="C1317">
        <f>IF(ISBLANK('ENGAGEMENTS 2026'!B1317),"",'ENGAGEMENTS 2026'!D1317)</f>
        <v/>
      </c>
      <c r="D1317">
        <f>IF(ISBLANK('ENGAGEMENTS 2026'!B1317),"",'ENGAGEMENTS 2026'!F1317)</f>
        <v/>
      </c>
      <c r="E1317">
        <f>IF(ISBLANK('ENGAGEMENTS 2026'!B1317),"",'ENGAGEMENTS 2026'!H1317)</f>
        <v/>
      </c>
      <c r="F1317">
        <f>IF(ISBLANK('ENGAGEMENTS 2026'!B1317),"",'ENGAGEMENTS 2026'!I1317)</f>
        <v/>
      </c>
      <c r="G1317">
        <f>IF(ISBLANK('ENGAGEMENTS 2026'!B1317),"",'ENGAGEMENTS 2026'!L1317)</f>
        <v/>
      </c>
      <c r="H1317">
        <f>IF(ISBLANK('ENGAGEMENTS 2026'!B1317),"",'ENGAGEMENTS 2026'!AE1317)</f>
        <v/>
      </c>
      <c r="I1317">
        <f>IF(ISBLANK('ENGAGEMENTS 2026'!B1317),"",'ENGAGEMENTS 2026'!G1317)</f>
        <v/>
      </c>
      <c r="J1317" s="275">
        <f>IF(ISBLANK('ENGAGEMENTS 2026'!B1317),"",IF(AND(OR($E1317="INFRUCTUEUX",$E1317="ANNULE"),$C1317="AOO-M"),'ENGAGEMENTS 2026'!O1317,IF($H1317="EN COURS DE PREENGAGEMENT",'ENGAGEMENTS 2026'!N1317,IF($H1317="PREENGAGE",IF($E1317="ATTRIBUE",'ENGAGEMENTS 2026'!AD1317,'ENGAGEMENTS 2026'!N1317),'ENGAGEMENTS 2026'!AD1317))))</f>
        <v/>
      </c>
      <c r="K1317" s="604">
        <f>IF(ISBLANK('ENGAGEMENTS 2026'!V1317),"",'ENGAGEMENTS 2026'!V1317)</f>
        <v/>
      </c>
      <c r="L1317" s="276">
        <f>IF($K1317="","",TODAY()-$K1317)</f>
        <v/>
      </c>
      <c r="M1317">
        <f>IF($A1317="","",IF($H1317="ENGAGE","Engagé",IF(AND($H1317="NON ENGAGE",OR($I1317="INFRUCTUEUX",$I1317="ANNULE")),"Clôturé sans suite","En cours")))</f>
        <v/>
      </c>
      <c r="N1317">
        <f>IF(ISBLANK('ENGAGEMENTS 2026'!B1317),"",'ENGAGEMENTS 2026'!K1317)</f>
        <v/>
      </c>
      <c r="O1317">
        <f>IF(ISBLANK('ENGAGEMENTS 2026'!B1317),"",'ENGAGEMENTS 2026'!L1317)</f>
        <v/>
      </c>
      <c r="P1317">
        <f>IF(ISBLANK('ENGAGEMENTS 2026'!B1317),"",'ENGAGEMENTS 2026'!J1317)</f>
        <v/>
      </c>
      <c r="Q1317">
        <f>IF($A1317="","",IF(OR($E1317="INFRUCTUEUX",$E1317="ANNULE"),$A1317&amp;"|"&amp;(COUNTIFS($A$2:$A1317,$A1317,$E$2:$E1317,"INFRUCTUEUX")+COUNTIFS($A$2:$A1317,$A1317,$E$2:$E1317,"ANNULE")),""))</f>
        <v/>
      </c>
    </row>
    <row r="1318">
      <c r="A1318">
        <f>IF(ISBLANK('ENGAGEMENTS 2026'!B1318),"",IF('ENGAGEMENTS 2026'!B1318="DTSI","DCT",'ENGAGEMENTS 2026'!B1318))</f>
        <v/>
      </c>
      <c r="B1318">
        <f>IF(ISBLANK('ENGAGEMENTS 2026'!B1318),"",'ENGAGEMENTS 2026'!C1318)</f>
        <v/>
      </c>
      <c r="C1318">
        <f>IF(ISBLANK('ENGAGEMENTS 2026'!B1318),"",'ENGAGEMENTS 2026'!D1318)</f>
        <v/>
      </c>
      <c r="D1318">
        <f>IF(ISBLANK('ENGAGEMENTS 2026'!B1318),"",'ENGAGEMENTS 2026'!F1318)</f>
        <v/>
      </c>
      <c r="E1318">
        <f>IF(ISBLANK('ENGAGEMENTS 2026'!B1318),"",'ENGAGEMENTS 2026'!H1318)</f>
        <v/>
      </c>
      <c r="F1318">
        <f>IF(ISBLANK('ENGAGEMENTS 2026'!B1318),"",'ENGAGEMENTS 2026'!I1318)</f>
        <v/>
      </c>
      <c r="G1318">
        <f>IF(ISBLANK('ENGAGEMENTS 2026'!B1318),"",'ENGAGEMENTS 2026'!L1318)</f>
        <v/>
      </c>
      <c r="H1318">
        <f>IF(ISBLANK('ENGAGEMENTS 2026'!B1318),"",'ENGAGEMENTS 2026'!AE1318)</f>
        <v/>
      </c>
      <c r="I1318">
        <f>IF(ISBLANK('ENGAGEMENTS 2026'!B1318),"",'ENGAGEMENTS 2026'!G1318)</f>
        <v/>
      </c>
      <c r="J1318" s="275">
        <f>IF(ISBLANK('ENGAGEMENTS 2026'!B1318),"",IF(AND(OR($E1318="INFRUCTUEUX",$E1318="ANNULE"),$C1318="AOO-M"),'ENGAGEMENTS 2026'!O1318,IF($H1318="EN COURS DE PREENGAGEMENT",'ENGAGEMENTS 2026'!N1318,IF($H1318="PREENGAGE",IF($E1318="ATTRIBUE",'ENGAGEMENTS 2026'!AD1318,'ENGAGEMENTS 2026'!N1318),'ENGAGEMENTS 2026'!AD1318))))</f>
        <v/>
      </c>
      <c r="K1318" s="604">
        <f>IF(ISBLANK('ENGAGEMENTS 2026'!V1318),"",'ENGAGEMENTS 2026'!V1318)</f>
        <v/>
      </c>
      <c r="L1318" s="276">
        <f>IF($K1318="","",TODAY()-$K1318)</f>
        <v/>
      </c>
      <c r="M1318">
        <f>IF($A1318="","",IF($H1318="ENGAGE","Engagé",IF(AND($H1318="NON ENGAGE",OR($I1318="INFRUCTUEUX",$I1318="ANNULE")),"Clôturé sans suite","En cours")))</f>
        <v/>
      </c>
      <c r="N1318">
        <f>IF(ISBLANK('ENGAGEMENTS 2026'!B1318),"",'ENGAGEMENTS 2026'!K1318)</f>
        <v/>
      </c>
      <c r="O1318">
        <f>IF(ISBLANK('ENGAGEMENTS 2026'!B1318),"",'ENGAGEMENTS 2026'!L1318)</f>
        <v/>
      </c>
      <c r="P1318">
        <f>IF(ISBLANK('ENGAGEMENTS 2026'!B1318),"",'ENGAGEMENTS 2026'!J1318)</f>
        <v/>
      </c>
      <c r="Q1318">
        <f>IF($A1318="","",IF(OR($E1318="INFRUCTUEUX",$E1318="ANNULE"),$A1318&amp;"|"&amp;(COUNTIFS($A$2:$A1318,$A1318,$E$2:$E1318,"INFRUCTUEUX")+COUNTIFS($A$2:$A1318,$A1318,$E$2:$E1318,"ANNULE")),""))</f>
        <v/>
      </c>
    </row>
    <row r="1319">
      <c r="A1319">
        <f>IF(ISBLANK('ENGAGEMENTS 2026'!B1319),"",IF('ENGAGEMENTS 2026'!B1319="DTSI","DCT",'ENGAGEMENTS 2026'!B1319))</f>
        <v/>
      </c>
      <c r="B1319">
        <f>IF(ISBLANK('ENGAGEMENTS 2026'!B1319),"",'ENGAGEMENTS 2026'!C1319)</f>
        <v/>
      </c>
      <c r="C1319">
        <f>IF(ISBLANK('ENGAGEMENTS 2026'!B1319),"",'ENGAGEMENTS 2026'!D1319)</f>
        <v/>
      </c>
      <c r="D1319">
        <f>IF(ISBLANK('ENGAGEMENTS 2026'!B1319),"",'ENGAGEMENTS 2026'!F1319)</f>
        <v/>
      </c>
      <c r="E1319">
        <f>IF(ISBLANK('ENGAGEMENTS 2026'!B1319),"",'ENGAGEMENTS 2026'!H1319)</f>
        <v/>
      </c>
      <c r="F1319">
        <f>IF(ISBLANK('ENGAGEMENTS 2026'!B1319),"",'ENGAGEMENTS 2026'!I1319)</f>
        <v/>
      </c>
      <c r="G1319">
        <f>IF(ISBLANK('ENGAGEMENTS 2026'!B1319),"",'ENGAGEMENTS 2026'!L1319)</f>
        <v/>
      </c>
      <c r="H1319">
        <f>IF(ISBLANK('ENGAGEMENTS 2026'!B1319),"",'ENGAGEMENTS 2026'!AE1319)</f>
        <v/>
      </c>
      <c r="I1319">
        <f>IF(ISBLANK('ENGAGEMENTS 2026'!B1319),"",'ENGAGEMENTS 2026'!G1319)</f>
        <v/>
      </c>
      <c r="J1319" s="275">
        <f>IF(ISBLANK('ENGAGEMENTS 2026'!B1319),"",IF(AND(OR($E1319="INFRUCTUEUX",$E1319="ANNULE"),$C1319="AOO-M"),'ENGAGEMENTS 2026'!O1319,IF($H1319="EN COURS DE PREENGAGEMENT",'ENGAGEMENTS 2026'!N1319,IF($H1319="PREENGAGE",IF($E1319="ATTRIBUE",'ENGAGEMENTS 2026'!AD1319,'ENGAGEMENTS 2026'!N1319),'ENGAGEMENTS 2026'!AD1319))))</f>
        <v/>
      </c>
      <c r="K1319" s="604">
        <f>IF(ISBLANK('ENGAGEMENTS 2026'!V1319),"",'ENGAGEMENTS 2026'!V1319)</f>
        <v/>
      </c>
      <c r="L1319" s="276">
        <f>IF($K1319="","",TODAY()-$K1319)</f>
        <v/>
      </c>
      <c r="M1319">
        <f>IF($A1319="","",IF($H1319="ENGAGE","Engagé",IF(AND($H1319="NON ENGAGE",OR($I1319="INFRUCTUEUX",$I1319="ANNULE")),"Clôturé sans suite","En cours")))</f>
        <v/>
      </c>
      <c r="N1319">
        <f>IF(ISBLANK('ENGAGEMENTS 2026'!B1319),"",'ENGAGEMENTS 2026'!K1319)</f>
        <v/>
      </c>
      <c r="O1319">
        <f>IF(ISBLANK('ENGAGEMENTS 2026'!B1319),"",'ENGAGEMENTS 2026'!L1319)</f>
        <v/>
      </c>
      <c r="P1319">
        <f>IF(ISBLANK('ENGAGEMENTS 2026'!B1319),"",'ENGAGEMENTS 2026'!J1319)</f>
        <v/>
      </c>
      <c r="Q1319">
        <f>IF($A1319="","",IF(OR($E1319="INFRUCTUEUX",$E1319="ANNULE"),$A1319&amp;"|"&amp;(COUNTIFS($A$2:$A1319,$A1319,$E$2:$E1319,"INFRUCTUEUX")+COUNTIFS($A$2:$A1319,$A1319,$E$2:$E1319,"ANNULE")),""))</f>
        <v/>
      </c>
    </row>
    <row r="1320">
      <c r="A1320">
        <f>IF(ISBLANK('ENGAGEMENTS 2026'!B1320),"",IF('ENGAGEMENTS 2026'!B1320="DTSI","DCT",'ENGAGEMENTS 2026'!B1320))</f>
        <v/>
      </c>
      <c r="B1320">
        <f>IF(ISBLANK('ENGAGEMENTS 2026'!B1320),"",'ENGAGEMENTS 2026'!C1320)</f>
        <v/>
      </c>
      <c r="C1320">
        <f>IF(ISBLANK('ENGAGEMENTS 2026'!B1320),"",'ENGAGEMENTS 2026'!D1320)</f>
        <v/>
      </c>
      <c r="D1320">
        <f>IF(ISBLANK('ENGAGEMENTS 2026'!B1320),"",'ENGAGEMENTS 2026'!F1320)</f>
        <v/>
      </c>
      <c r="E1320">
        <f>IF(ISBLANK('ENGAGEMENTS 2026'!B1320),"",'ENGAGEMENTS 2026'!H1320)</f>
        <v/>
      </c>
      <c r="F1320">
        <f>IF(ISBLANK('ENGAGEMENTS 2026'!B1320),"",'ENGAGEMENTS 2026'!I1320)</f>
        <v/>
      </c>
      <c r="G1320">
        <f>IF(ISBLANK('ENGAGEMENTS 2026'!B1320),"",'ENGAGEMENTS 2026'!L1320)</f>
        <v/>
      </c>
      <c r="H1320">
        <f>IF(ISBLANK('ENGAGEMENTS 2026'!B1320),"",'ENGAGEMENTS 2026'!AE1320)</f>
        <v/>
      </c>
      <c r="I1320">
        <f>IF(ISBLANK('ENGAGEMENTS 2026'!B1320),"",'ENGAGEMENTS 2026'!G1320)</f>
        <v/>
      </c>
      <c r="J1320" s="275">
        <f>IF(ISBLANK('ENGAGEMENTS 2026'!B1320),"",IF(AND(OR($E1320="INFRUCTUEUX",$E1320="ANNULE"),$C1320="AOO-M"),'ENGAGEMENTS 2026'!O1320,IF($H1320="EN COURS DE PREENGAGEMENT",'ENGAGEMENTS 2026'!N1320,IF($H1320="PREENGAGE",IF($E1320="ATTRIBUE",'ENGAGEMENTS 2026'!AD1320,'ENGAGEMENTS 2026'!N1320),'ENGAGEMENTS 2026'!AD1320))))</f>
        <v/>
      </c>
      <c r="K1320" s="604">
        <f>IF(ISBLANK('ENGAGEMENTS 2026'!V1320),"",'ENGAGEMENTS 2026'!V1320)</f>
        <v/>
      </c>
      <c r="L1320" s="276">
        <f>IF($K1320="","",TODAY()-$K1320)</f>
        <v/>
      </c>
      <c r="M1320">
        <f>IF($A1320="","",IF($H1320="ENGAGE","Engagé",IF(AND($H1320="NON ENGAGE",OR($I1320="INFRUCTUEUX",$I1320="ANNULE")),"Clôturé sans suite","En cours")))</f>
        <v/>
      </c>
      <c r="N1320">
        <f>IF(ISBLANK('ENGAGEMENTS 2026'!B1320),"",'ENGAGEMENTS 2026'!K1320)</f>
        <v/>
      </c>
      <c r="O1320">
        <f>IF(ISBLANK('ENGAGEMENTS 2026'!B1320),"",'ENGAGEMENTS 2026'!L1320)</f>
        <v/>
      </c>
      <c r="P1320">
        <f>IF(ISBLANK('ENGAGEMENTS 2026'!B1320),"",'ENGAGEMENTS 2026'!J1320)</f>
        <v/>
      </c>
      <c r="Q1320">
        <f>IF($A1320="","",IF(OR($E1320="INFRUCTUEUX",$E1320="ANNULE"),$A1320&amp;"|"&amp;(COUNTIFS($A$2:$A1320,$A1320,$E$2:$E1320,"INFRUCTUEUX")+COUNTIFS($A$2:$A1320,$A1320,$E$2:$E1320,"ANNULE")),""))</f>
        <v/>
      </c>
    </row>
    <row r="1321">
      <c r="A1321">
        <f>IF(ISBLANK('ENGAGEMENTS 2026'!B1321),"",IF('ENGAGEMENTS 2026'!B1321="DTSI","DCT",'ENGAGEMENTS 2026'!B1321))</f>
        <v/>
      </c>
      <c r="B1321">
        <f>IF(ISBLANK('ENGAGEMENTS 2026'!B1321),"",'ENGAGEMENTS 2026'!C1321)</f>
        <v/>
      </c>
      <c r="C1321">
        <f>IF(ISBLANK('ENGAGEMENTS 2026'!B1321),"",'ENGAGEMENTS 2026'!D1321)</f>
        <v/>
      </c>
      <c r="D1321">
        <f>IF(ISBLANK('ENGAGEMENTS 2026'!B1321),"",'ENGAGEMENTS 2026'!F1321)</f>
        <v/>
      </c>
      <c r="E1321">
        <f>IF(ISBLANK('ENGAGEMENTS 2026'!B1321),"",'ENGAGEMENTS 2026'!H1321)</f>
        <v/>
      </c>
      <c r="F1321">
        <f>IF(ISBLANK('ENGAGEMENTS 2026'!B1321),"",'ENGAGEMENTS 2026'!I1321)</f>
        <v/>
      </c>
      <c r="G1321">
        <f>IF(ISBLANK('ENGAGEMENTS 2026'!B1321),"",'ENGAGEMENTS 2026'!L1321)</f>
        <v/>
      </c>
      <c r="H1321">
        <f>IF(ISBLANK('ENGAGEMENTS 2026'!B1321),"",'ENGAGEMENTS 2026'!AE1321)</f>
        <v/>
      </c>
      <c r="I1321">
        <f>IF(ISBLANK('ENGAGEMENTS 2026'!B1321),"",'ENGAGEMENTS 2026'!G1321)</f>
        <v/>
      </c>
      <c r="J1321" s="275">
        <f>IF(ISBLANK('ENGAGEMENTS 2026'!B1321),"",IF(AND(OR($E1321="INFRUCTUEUX",$E1321="ANNULE"),$C1321="AOO-M"),'ENGAGEMENTS 2026'!O1321,IF($H1321="EN COURS DE PREENGAGEMENT",'ENGAGEMENTS 2026'!N1321,IF($H1321="PREENGAGE",IF($E1321="ATTRIBUE",'ENGAGEMENTS 2026'!AD1321,'ENGAGEMENTS 2026'!N1321),'ENGAGEMENTS 2026'!AD1321))))</f>
        <v/>
      </c>
      <c r="K1321" s="604">
        <f>IF(ISBLANK('ENGAGEMENTS 2026'!V1321),"",'ENGAGEMENTS 2026'!V1321)</f>
        <v/>
      </c>
      <c r="L1321" s="276">
        <f>IF($K1321="","",TODAY()-$K1321)</f>
        <v/>
      </c>
      <c r="M1321">
        <f>IF($A1321="","",IF($H1321="ENGAGE","Engagé",IF(AND($H1321="NON ENGAGE",OR($I1321="INFRUCTUEUX",$I1321="ANNULE")),"Clôturé sans suite","En cours")))</f>
        <v/>
      </c>
      <c r="N1321">
        <f>IF(ISBLANK('ENGAGEMENTS 2026'!B1321),"",'ENGAGEMENTS 2026'!K1321)</f>
        <v/>
      </c>
      <c r="O1321">
        <f>IF(ISBLANK('ENGAGEMENTS 2026'!B1321),"",'ENGAGEMENTS 2026'!L1321)</f>
        <v/>
      </c>
      <c r="P1321">
        <f>IF(ISBLANK('ENGAGEMENTS 2026'!B1321),"",'ENGAGEMENTS 2026'!J1321)</f>
        <v/>
      </c>
      <c r="Q1321">
        <f>IF($A1321="","",IF(OR($E1321="INFRUCTUEUX",$E1321="ANNULE"),$A1321&amp;"|"&amp;(COUNTIFS($A$2:$A1321,$A1321,$E$2:$E1321,"INFRUCTUEUX")+COUNTIFS($A$2:$A1321,$A1321,$E$2:$E1321,"ANNULE")),""))</f>
        <v/>
      </c>
    </row>
    <row r="1322">
      <c r="A1322">
        <f>IF(ISBLANK('ENGAGEMENTS 2026'!B1322),"",IF('ENGAGEMENTS 2026'!B1322="DTSI","DCT",'ENGAGEMENTS 2026'!B1322))</f>
        <v/>
      </c>
      <c r="B1322">
        <f>IF(ISBLANK('ENGAGEMENTS 2026'!B1322),"",'ENGAGEMENTS 2026'!C1322)</f>
        <v/>
      </c>
      <c r="C1322">
        <f>IF(ISBLANK('ENGAGEMENTS 2026'!B1322),"",'ENGAGEMENTS 2026'!D1322)</f>
        <v/>
      </c>
      <c r="D1322">
        <f>IF(ISBLANK('ENGAGEMENTS 2026'!B1322),"",'ENGAGEMENTS 2026'!F1322)</f>
        <v/>
      </c>
      <c r="E1322">
        <f>IF(ISBLANK('ENGAGEMENTS 2026'!B1322),"",'ENGAGEMENTS 2026'!H1322)</f>
        <v/>
      </c>
      <c r="F1322">
        <f>IF(ISBLANK('ENGAGEMENTS 2026'!B1322),"",'ENGAGEMENTS 2026'!I1322)</f>
        <v/>
      </c>
      <c r="G1322">
        <f>IF(ISBLANK('ENGAGEMENTS 2026'!B1322),"",'ENGAGEMENTS 2026'!L1322)</f>
        <v/>
      </c>
      <c r="H1322">
        <f>IF(ISBLANK('ENGAGEMENTS 2026'!B1322),"",'ENGAGEMENTS 2026'!AE1322)</f>
        <v/>
      </c>
      <c r="I1322">
        <f>IF(ISBLANK('ENGAGEMENTS 2026'!B1322),"",'ENGAGEMENTS 2026'!G1322)</f>
        <v/>
      </c>
      <c r="J1322" s="275">
        <f>IF(ISBLANK('ENGAGEMENTS 2026'!B1322),"",IF(AND(OR($E1322="INFRUCTUEUX",$E1322="ANNULE"),$C1322="AOO-M"),'ENGAGEMENTS 2026'!O1322,IF($H1322="EN COURS DE PREENGAGEMENT",'ENGAGEMENTS 2026'!N1322,IF($H1322="PREENGAGE",IF($E1322="ATTRIBUE",'ENGAGEMENTS 2026'!AD1322,'ENGAGEMENTS 2026'!N1322),'ENGAGEMENTS 2026'!AD1322))))</f>
        <v/>
      </c>
      <c r="K1322" s="604">
        <f>IF(ISBLANK('ENGAGEMENTS 2026'!V1322),"",'ENGAGEMENTS 2026'!V1322)</f>
        <v/>
      </c>
      <c r="L1322" s="276">
        <f>IF($K1322="","",TODAY()-$K1322)</f>
        <v/>
      </c>
      <c r="M1322">
        <f>IF($A1322="","",IF($H1322="ENGAGE","Engagé",IF(AND($H1322="NON ENGAGE",OR($I1322="INFRUCTUEUX",$I1322="ANNULE")),"Clôturé sans suite","En cours")))</f>
        <v/>
      </c>
      <c r="N1322">
        <f>IF(ISBLANK('ENGAGEMENTS 2026'!B1322),"",'ENGAGEMENTS 2026'!K1322)</f>
        <v/>
      </c>
      <c r="O1322">
        <f>IF(ISBLANK('ENGAGEMENTS 2026'!B1322),"",'ENGAGEMENTS 2026'!L1322)</f>
        <v/>
      </c>
      <c r="P1322">
        <f>IF(ISBLANK('ENGAGEMENTS 2026'!B1322),"",'ENGAGEMENTS 2026'!J1322)</f>
        <v/>
      </c>
      <c r="Q1322">
        <f>IF($A1322="","",IF(OR($E1322="INFRUCTUEUX",$E1322="ANNULE"),$A1322&amp;"|"&amp;(COUNTIFS($A$2:$A1322,$A1322,$E$2:$E1322,"INFRUCTUEUX")+COUNTIFS($A$2:$A1322,$A1322,$E$2:$E1322,"ANNULE")),""))</f>
        <v/>
      </c>
    </row>
    <row r="1323">
      <c r="A1323">
        <f>IF(ISBLANK('ENGAGEMENTS 2026'!B1323),"",IF('ENGAGEMENTS 2026'!B1323="DTSI","DCT",'ENGAGEMENTS 2026'!B1323))</f>
        <v/>
      </c>
      <c r="B1323">
        <f>IF(ISBLANK('ENGAGEMENTS 2026'!B1323),"",'ENGAGEMENTS 2026'!C1323)</f>
        <v/>
      </c>
      <c r="C1323">
        <f>IF(ISBLANK('ENGAGEMENTS 2026'!B1323),"",'ENGAGEMENTS 2026'!D1323)</f>
        <v/>
      </c>
      <c r="D1323">
        <f>IF(ISBLANK('ENGAGEMENTS 2026'!B1323),"",'ENGAGEMENTS 2026'!F1323)</f>
        <v/>
      </c>
      <c r="E1323">
        <f>IF(ISBLANK('ENGAGEMENTS 2026'!B1323),"",'ENGAGEMENTS 2026'!H1323)</f>
        <v/>
      </c>
      <c r="F1323">
        <f>IF(ISBLANK('ENGAGEMENTS 2026'!B1323),"",'ENGAGEMENTS 2026'!I1323)</f>
        <v/>
      </c>
      <c r="G1323">
        <f>IF(ISBLANK('ENGAGEMENTS 2026'!B1323),"",'ENGAGEMENTS 2026'!L1323)</f>
        <v/>
      </c>
      <c r="H1323">
        <f>IF(ISBLANK('ENGAGEMENTS 2026'!B1323),"",'ENGAGEMENTS 2026'!AE1323)</f>
        <v/>
      </c>
      <c r="I1323">
        <f>IF(ISBLANK('ENGAGEMENTS 2026'!B1323),"",'ENGAGEMENTS 2026'!G1323)</f>
        <v/>
      </c>
      <c r="J1323" s="275">
        <f>IF(ISBLANK('ENGAGEMENTS 2026'!B1323),"",IF(AND(OR($E1323="INFRUCTUEUX",$E1323="ANNULE"),$C1323="AOO-M"),'ENGAGEMENTS 2026'!O1323,IF($H1323="EN COURS DE PREENGAGEMENT",'ENGAGEMENTS 2026'!N1323,IF($H1323="PREENGAGE",IF($E1323="ATTRIBUE",'ENGAGEMENTS 2026'!AD1323,'ENGAGEMENTS 2026'!N1323),'ENGAGEMENTS 2026'!AD1323))))</f>
        <v/>
      </c>
      <c r="K1323" s="604">
        <f>IF(ISBLANK('ENGAGEMENTS 2026'!V1323),"",'ENGAGEMENTS 2026'!V1323)</f>
        <v/>
      </c>
      <c r="L1323" s="276">
        <f>IF($K1323="","",TODAY()-$K1323)</f>
        <v/>
      </c>
      <c r="M1323">
        <f>IF($A1323="","",IF($H1323="ENGAGE","Engagé",IF(AND($H1323="NON ENGAGE",OR($I1323="INFRUCTUEUX",$I1323="ANNULE")),"Clôturé sans suite","En cours")))</f>
        <v/>
      </c>
      <c r="N1323">
        <f>IF(ISBLANK('ENGAGEMENTS 2026'!B1323),"",'ENGAGEMENTS 2026'!K1323)</f>
        <v/>
      </c>
      <c r="O1323">
        <f>IF(ISBLANK('ENGAGEMENTS 2026'!B1323),"",'ENGAGEMENTS 2026'!L1323)</f>
        <v/>
      </c>
      <c r="P1323">
        <f>IF(ISBLANK('ENGAGEMENTS 2026'!B1323),"",'ENGAGEMENTS 2026'!J1323)</f>
        <v/>
      </c>
      <c r="Q1323">
        <f>IF($A1323="","",IF(OR($E1323="INFRUCTUEUX",$E1323="ANNULE"),$A1323&amp;"|"&amp;(COUNTIFS($A$2:$A1323,$A1323,$E$2:$E1323,"INFRUCTUEUX")+COUNTIFS($A$2:$A1323,$A1323,$E$2:$E1323,"ANNULE")),""))</f>
        <v/>
      </c>
    </row>
    <row r="1324">
      <c r="A1324">
        <f>IF(ISBLANK('ENGAGEMENTS 2026'!B1324),"",IF('ENGAGEMENTS 2026'!B1324="DTSI","DCT",'ENGAGEMENTS 2026'!B1324))</f>
        <v/>
      </c>
      <c r="B1324">
        <f>IF(ISBLANK('ENGAGEMENTS 2026'!B1324),"",'ENGAGEMENTS 2026'!C1324)</f>
        <v/>
      </c>
      <c r="C1324">
        <f>IF(ISBLANK('ENGAGEMENTS 2026'!B1324),"",'ENGAGEMENTS 2026'!D1324)</f>
        <v/>
      </c>
      <c r="D1324">
        <f>IF(ISBLANK('ENGAGEMENTS 2026'!B1324),"",'ENGAGEMENTS 2026'!F1324)</f>
        <v/>
      </c>
      <c r="E1324">
        <f>IF(ISBLANK('ENGAGEMENTS 2026'!B1324),"",'ENGAGEMENTS 2026'!H1324)</f>
        <v/>
      </c>
      <c r="F1324">
        <f>IF(ISBLANK('ENGAGEMENTS 2026'!B1324),"",'ENGAGEMENTS 2026'!I1324)</f>
        <v/>
      </c>
      <c r="G1324">
        <f>IF(ISBLANK('ENGAGEMENTS 2026'!B1324),"",'ENGAGEMENTS 2026'!L1324)</f>
        <v/>
      </c>
      <c r="H1324">
        <f>IF(ISBLANK('ENGAGEMENTS 2026'!B1324),"",'ENGAGEMENTS 2026'!AE1324)</f>
        <v/>
      </c>
      <c r="I1324">
        <f>IF(ISBLANK('ENGAGEMENTS 2026'!B1324),"",'ENGAGEMENTS 2026'!G1324)</f>
        <v/>
      </c>
      <c r="J1324" s="275">
        <f>IF(ISBLANK('ENGAGEMENTS 2026'!B1324),"",IF(AND(OR($E1324="INFRUCTUEUX",$E1324="ANNULE"),$C1324="AOO-M"),'ENGAGEMENTS 2026'!O1324,IF($H1324="EN COURS DE PREENGAGEMENT",'ENGAGEMENTS 2026'!N1324,IF($H1324="PREENGAGE",IF($E1324="ATTRIBUE",'ENGAGEMENTS 2026'!AD1324,'ENGAGEMENTS 2026'!N1324),'ENGAGEMENTS 2026'!AD1324))))</f>
        <v/>
      </c>
      <c r="K1324" s="604">
        <f>IF(ISBLANK('ENGAGEMENTS 2026'!V1324),"",'ENGAGEMENTS 2026'!V1324)</f>
        <v/>
      </c>
      <c r="L1324" s="276">
        <f>IF($K1324="","",TODAY()-$K1324)</f>
        <v/>
      </c>
      <c r="M1324">
        <f>IF($A1324="","",IF($H1324="ENGAGE","Engagé",IF(AND($H1324="NON ENGAGE",OR($I1324="INFRUCTUEUX",$I1324="ANNULE")),"Clôturé sans suite","En cours")))</f>
        <v/>
      </c>
      <c r="N1324">
        <f>IF(ISBLANK('ENGAGEMENTS 2026'!B1324),"",'ENGAGEMENTS 2026'!K1324)</f>
        <v/>
      </c>
      <c r="O1324">
        <f>IF(ISBLANK('ENGAGEMENTS 2026'!B1324),"",'ENGAGEMENTS 2026'!L1324)</f>
        <v/>
      </c>
      <c r="P1324">
        <f>IF(ISBLANK('ENGAGEMENTS 2026'!B1324),"",'ENGAGEMENTS 2026'!J1324)</f>
        <v/>
      </c>
      <c r="Q1324">
        <f>IF($A1324="","",IF(OR($E1324="INFRUCTUEUX",$E1324="ANNULE"),$A1324&amp;"|"&amp;(COUNTIFS($A$2:$A1324,$A1324,$E$2:$E1324,"INFRUCTUEUX")+COUNTIFS($A$2:$A1324,$A1324,$E$2:$E1324,"ANNULE")),""))</f>
        <v/>
      </c>
    </row>
    <row r="1325">
      <c r="A1325">
        <f>IF(ISBLANK('ENGAGEMENTS 2026'!B1325),"",IF('ENGAGEMENTS 2026'!B1325="DTSI","DCT",'ENGAGEMENTS 2026'!B1325))</f>
        <v/>
      </c>
      <c r="B1325">
        <f>IF(ISBLANK('ENGAGEMENTS 2026'!B1325),"",'ENGAGEMENTS 2026'!C1325)</f>
        <v/>
      </c>
      <c r="C1325">
        <f>IF(ISBLANK('ENGAGEMENTS 2026'!B1325),"",'ENGAGEMENTS 2026'!D1325)</f>
        <v/>
      </c>
      <c r="D1325">
        <f>IF(ISBLANK('ENGAGEMENTS 2026'!B1325),"",'ENGAGEMENTS 2026'!F1325)</f>
        <v/>
      </c>
      <c r="E1325">
        <f>IF(ISBLANK('ENGAGEMENTS 2026'!B1325),"",'ENGAGEMENTS 2026'!H1325)</f>
        <v/>
      </c>
      <c r="F1325">
        <f>IF(ISBLANK('ENGAGEMENTS 2026'!B1325),"",'ENGAGEMENTS 2026'!I1325)</f>
        <v/>
      </c>
      <c r="G1325">
        <f>IF(ISBLANK('ENGAGEMENTS 2026'!B1325),"",'ENGAGEMENTS 2026'!L1325)</f>
        <v/>
      </c>
      <c r="H1325">
        <f>IF(ISBLANK('ENGAGEMENTS 2026'!B1325),"",'ENGAGEMENTS 2026'!AE1325)</f>
        <v/>
      </c>
      <c r="I1325">
        <f>IF(ISBLANK('ENGAGEMENTS 2026'!B1325),"",'ENGAGEMENTS 2026'!G1325)</f>
        <v/>
      </c>
      <c r="J1325" s="275">
        <f>IF(ISBLANK('ENGAGEMENTS 2026'!B1325),"",IF(AND(OR($E1325="INFRUCTUEUX",$E1325="ANNULE"),$C1325="AOO-M"),'ENGAGEMENTS 2026'!O1325,IF($H1325="EN COURS DE PREENGAGEMENT",'ENGAGEMENTS 2026'!N1325,IF($H1325="PREENGAGE",IF($E1325="ATTRIBUE",'ENGAGEMENTS 2026'!AD1325,'ENGAGEMENTS 2026'!N1325),'ENGAGEMENTS 2026'!AD1325))))</f>
        <v/>
      </c>
      <c r="K1325" s="604">
        <f>IF(ISBLANK('ENGAGEMENTS 2026'!V1325),"",'ENGAGEMENTS 2026'!V1325)</f>
        <v/>
      </c>
      <c r="L1325" s="276">
        <f>IF($K1325="","",TODAY()-$K1325)</f>
        <v/>
      </c>
      <c r="M1325">
        <f>IF($A1325="","",IF($H1325="ENGAGE","Engagé",IF(AND($H1325="NON ENGAGE",OR($I1325="INFRUCTUEUX",$I1325="ANNULE")),"Clôturé sans suite","En cours")))</f>
        <v/>
      </c>
      <c r="N1325">
        <f>IF(ISBLANK('ENGAGEMENTS 2026'!B1325),"",'ENGAGEMENTS 2026'!K1325)</f>
        <v/>
      </c>
      <c r="O1325">
        <f>IF(ISBLANK('ENGAGEMENTS 2026'!B1325),"",'ENGAGEMENTS 2026'!L1325)</f>
        <v/>
      </c>
      <c r="P1325">
        <f>IF(ISBLANK('ENGAGEMENTS 2026'!B1325),"",'ENGAGEMENTS 2026'!J1325)</f>
        <v/>
      </c>
      <c r="Q1325">
        <f>IF($A1325="","",IF(OR($E1325="INFRUCTUEUX",$E1325="ANNULE"),$A1325&amp;"|"&amp;(COUNTIFS($A$2:$A1325,$A1325,$E$2:$E1325,"INFRUCTUEUX")+COUNTIFS($A$2:$A1325,$A1325,$E$2:$E1325,"ANNULE")),""))</f>
        <v/>
      </c>
    </row>
    <row r="1326">
      <c r="A1326">
        <f>IF(ISBLANK('ENGAGEMENTS 2026'!B1326),"",IF('ENGAGEMENTS 2026'!B1326="DTSI","DCT",'ENGAGEMENTS 2026'!B1326))</f>
        <v/>
      </c>
      <c r="B1326">
        <f>IF(ISBLANK('ENGAGEMENTS 2026'!B1326),"",'ENGAGEMENTS 2026'!C1326)</f>
        <v/>
      </c>
      <c r="C1326">
        <f>IF(ISBLANK('ENGAGEMENTS 2026'!B1326),"",'ENGAGEMENTS 2026'!D1326)</f>
        <v/>
      </c>
      <c r="D1326">
        <f>IF(ISBLANK('ENGAGEMENTS 2026'!B1326),"",'ENGAGEMENTS 2026'!F1326)</f>
        <v/>
      </c>
      <c r="E1326">
        <f>IF(ISBLANK('ENGAGEMENTS 2026'!B1326),"",'ENGAGEMENTS 2026'!H1326)</f>
        <v/>
      </c>
      <c r="F1326">
        <f>IF(ISBLANK('ENGAGEMENTS 2026'!B1326),"",'ENGAGEMENTS 2026'!I1326)</f>
        <v/>
      </c>
      <c r="G1326">
        <f>IF(ISBLANK('ENGAGEMENTS 2026'!B1326),"",'ENGAGEMENTS 2026'!L1326)</f>
        <v/>
      </c>
      <c r="H1326">
        <f>IF(ISBLANK('ENGAGEMENTS 2026'!B1326),"",'ENGAGEMENTS 2026'!AE1326)</f>
        <v/>
      </c>
      <c r="I1326">
        <f>IF(ISBLANK('ENGAGEMENTS 2026'!B1326),"",'ENGAGEMENTS 2026'!G1326)</f>
        <v/>
      </c>
      <c r="J1326" s="275">
        <f>IF(ISBLANK('ENGAGEMENTS 2026'!B1326),"",IF(AND(OR($E1326="INFRUCTUEUX",$E1326="ANNULE"),$C1326="AOO-M"),'ENGAGEMENTS 2026'!O1326,IF($H1326="EN COURS DE PREENGAGEMENT",'ENGAGEMENTS 2026'!N1326,IF($H1326="PREENGAGE",IF($E1326="ATTRIBUE",'ENGAGEMENTS 2026'!AD1326,'ENGAGEMENTS 2026'!N1326),'ENGAGEMENTS 2026'!AD1326))))</f>
        <v/>
      </c>
      <c r="K1326" s="604">
        <f>IF(ISBLANK('ENGAGEMENTS 2026'!V1326),"",'ENGAGEMENTS 2026'!V1326)</f>
        <v/>
      </c>
      <c r="L1326" s="276">
        <f>IF($K1326="","",TODAY()-$K1326)</f>
        <v/>
      </c>
      <c r="M1326">
        <f>IF($A1326="","",IF($H1326="ENGAGE","Engagé",IF(AND($H1326="NON ENGAGE",OR($I1326="INFRUCTUEUX",$I1326="ANNULE")),"Clôturé sans suite","En cours")))</f>
        <v/>
      </c>
      <c r="N1326">
        <f>IF(ISBLANK('ENGAGEMENTS 2026'!B1326),"",'ENGAGEMENTS 2026'!K1326)</f>
        <v/>
      </c>
      <c r="O1326">
        <f>IF(ISBLANK('ENGAGEMENTS 2026'!B1326),"",'ENGAGEMENTS 2026'!L1326)</f>
        <v/>
      </c>
      <c r="P1326">
        <f>IF(ISBLANK('ENGAGEMENTS 2026'!B1326),"",'ENGAGEMENTS 2026'!J1326)</f>
        <v/>
      </c>
      <c r="Q1326">
        <f>IF($A1326="","",IF(OR($E1326="INFRUCTUEUX",$E1326="ANNULE"),$A1326&amp;"|"&amp;(COUNTIFS($A$2:$A1326,$A1326,$E$2:$E1326,"INFRUCTUEUX")+COUNTIFS($A$2:$A1326,$A1326,$E$2:$E1326,"ANNULE")),""))</f>
        <v/>
      </c>
    </row>
    <row r="1327">
      <c r="A1327">
        <f>IF(ISBLANK('ENGAGEMENTS 2026'!B1327),"",IF('ENGAGEMENTS 2026'!B1327="DTSI","DCT",'ENGAGEMENTS 2026'!B1327))</f>
        <v/>
      </c>
      <c r="B1327">
        <f>IF(ISBLANK('ENGAGEMENTS 2026'!B1327),"",'ENGAGEMENTS 2026'!C1327)</f>
        <v/>
      </c>
      <c r="C1327">
        <f>IF(ISBLANK('ENGAGEMENTS 2026'!B1327),"",'ENGAGEMENTS 2026'!D1327)</f>
        <v/>
      </c>
      <c r="D1327">
        <f>IF(ISBLANK('ENGAGEMENTS 2026'!B1327),"",'ENGAGEMENTS 2026'!F1327)</f>
        <v/>
      </c>
      <c r="E1327">
        <f>IF(ISBLANK('ENGAGEMENTS 2026'!B1327),"",'ENGAGEMENTS 2026'!H1327)</f>
        <v/>
      </c>
      <c r="F1327">
        <f>IF(ISBLANK('ENGAGEMENTS 2026'!B1327),"",'ENGAGEMENTS 2026'!I1327)</f>
        <v/>
      </c>
      <c r="G1327">
        <f>IF(ISBLANK('ENGAGEMENTS 2026'!B1327),"",'ENGAGEMENTS 2026'!L1327)</f>
        <v/>
      </c>
      <c r="H1327">
        <f>IF(ISBLANK('ENGAGEMENTS 2026'!B1327),"",'ENGAGEMENTS 2026'!AE1327)</f>
        <v/>
      </c>
      <c r="I1327">
        <f>IF(ISBLANK('ENGAGEMENTS 2026'!B1327),"",'ENGAGEMENTS 2026'!G1327)</f>
        <v/>
      </c>
      <c r="J1327" s="275">
        <f>IF(ISBLANK('ENGAGEMENTS 2026'!B1327),"",IF(AND(OR($E1327="INFRUCTUEUX",$E1327="ANNULE"),$C1327="AOO-M"),'ENGAGEMENTS 2026'!O1327,IF($H1327="EN COURS DE PREENGAGEMENT",'ENGAGEMENTS 2026'!N1327,IF($H1327="PREENGAGE",IF($E1327="ATTRIBUE",'ENGAGEMENTS 2026'!AD1327,'ENGAGEMENTS 2026'!N1327),'ENGAGEMENTS 2026'!AD1327))))</f>
        <v/>
      </c>
      <c r="K1327" s="604">
        <f>IF(ISBLANK('ENGAGEMENTS 2026'!V1327),"",'ENGAGEMENTS 2026'!V1327)</f>
        <v/>
      </c>
      <c r="L1327" s="276">
        <f>IF($K1327="","",TODAY()-$K1327)</f>
        <v/>
      </c>
      <c r="M1327">
        <f>IF($A1327="","",IF($H1327="ENGAGE","Engagé",IF(AND($H1327="NON ENGAGE",OR($I1327="INFRUCTUEUX",$I1327="ANNULE")),"Clôturé sans suite","En cours")))</f>
        <v/>
      </c>
      <c r="N1327">
        <f>IF(ISBLANK('ENGAGEMENTS 2026'!B1327),"",'ENGAGEMENTS 2026'!K1327)</f>
        <v/>
      </c>
      <c r="O1327">
        <f>IF(ISBLANK('ENGAGEMENTS 2026'!B1327),"",'ENGAGEMENTS 2026'!L1327)</f>
        <v/>
      </c>
      <c r="P1327">
        <f>IF(ISBLANK('ENGAGEMENTS 2026'!B1327),"",'ENGAGEMENTS 2026'!J1327)</f>
        <v/>
      </c>
      <c r="Q1327">
        <f>IF($A1327="","",IF(OR($E1327="INFRUCTUEUX",$E1327="ANNULE"),$A1327&amp;"|"&amp;(COUNTIFS($A$2:$A1327,$A1327,$E$2:$E1327,"INFRUCTUEUX")+COUNTIFS($A$2:$A1327,$A1327,$E$2:$E1327,"ANNULE")),""))</f>
        <v/>
      </c>
    </row>
    <row r="1328">
      <c r="A1328">
        <f>IF(ISBLANK('ENGAGEMENTS 2026'!B1328),"",IF('ENGAGEMENTS 2026'!B1328="DTSI","DCT",'ENGAGEMENTS 2026'!B1328))</f>
        <v/>
      </c>
      <c r="B1328">
        <f>IF(ISBLANK('ENGAGEMENTS 2026'!B1328),"",'ENGAGEMENTS 2026'!C1328)</f>
        <v/>
      </c>
      <c r="C1328">
        <f>IF(ISBLANK('ENGAGEMENTS 2026'!B1328),"",'ENGAGEMENTS 2026'!D1328)</f>
        <v/>
      </c>
      <c r="D1328">
        <f>IF(ISBLANK('ENGAGEMENTS 2026'!B1328),"",'ENGAGEMENTS 2026'!F1328)</f>
        <v/>
      </c>
      <c r="E1328">
        <f>IF(ISBLANK('ENGAGEMENTS 2026'!B1328),"",'ENGAGEMENTS 2026'!H1328)</f>
        <v/>
      </c>
      <c r="F1328">
        <f>IF(ISBLANK('ENGAGEMENTS 2026'!B1328),"",'ENGAGEMENTS 2026'!I1328)</f>
        <v/>
      </c>
      <c r="G1328">
        <f>IF(ISBLANK('ENGAGEMENTS 2026'!B1328),"",'ENGAGEMENTS 2026'!L1328)</f>
        <v/>
      </c>
      <c r="H1328">
        <f>IF(ISBLANK('ENGAGEMENTS 2026'!B1328),"",'ENGAGEMENTS 2026'!AE1328)</f>
        <v/>
      </c>
      <c r="I1328">
        <f>IF(ISBLANK('ENGAGEMENTS 2026'!B1328),"",'ENGAGEMENTS 2026'!G1328)</f>
        <v/>
      </c>
      <c r="J1328" s="275">
        <f>IF(ISBLANK('ENGAGEMENTS 2026'!B1328),"",IF(AND(OR($E1328="INFRUCTUEUX",$E1328="ANNULE"),$C1328="AOO-M"),'ENGAGEMENTS 2026'!O1328,IF($H1328="EN COURS DE PREENGAGEMENT",'ENGAGEMENTS 2026'!N1328,IF($H1328="PREENGAGE",IF($E1328="ATTRIBUE",'ENGAGEMENTS 2026'!AD1328,'ENGAGEMENTS 2026'!N1328),'ENGAGEMENTS 2026'!AD1328))))</f>
        <v/>
      </c>
      <c r="K1328" s="604">
        <f>IF(ISBLANK('ENGAGEMENTS 2026'!V1328),"",'ENGAGEMENTS 2026'!V1328)</f>
        <v/>
      </c>
      <c r="L1328" s="276">
        <f>IF($K1328="","",TODAY()-$K1328)</f>
        <v/>
      </c>
      <c r="M1328">
        <f>IF($A1328="","",IF($H1328="ENGAGE","Engagé",IF(AND($H1328="NON ENGAGE",OR($I1328="INFRUCTUEUX",$I1328="ANNULE")),"Clôturé sans suite","En cours")))</f>
        <v/>
      </c>
      <c r="N1328">
        <f>IF(ISBLANK('ENGAGEMENTS 2026'!B1328),"",'ENGAGEMENTS 2026'!K1328)</f>
        <v/>
      </c>
      <c r="O1328">
        <f>IF(ISBLANK('ENGAGEMENTS 2026'!B1328),"",'ENGAGEMENTS 2026'!L1328)</f>
        <v/>
      </c>
      <c r="P1328">
        <f>IF(ISBLANK('ENGAGEMENTS 2026'!B1328),"",'ENGAGEMENTS 2026'!J1328)</f>
        <v/>
      </c>
      <c r="Q1328">
        <f>IF($A1328="","",IF(OR($E1328="INFRUCTUEUX",$E1328="ANNULE"),$A1328&amp;"|"&amp;(COUNTIFS($A$2:$A1328,$A1328,$E$2:$E1328,"INFRUCTUEUX")+COUNTIFS($A$2:$A1328,$A1328,$E$2:$E1328,"ANNULE")),""))</f>
        <v/>
      </c>
    </row>
    <row r="1329">
      <c r="A1329">
        <f>IF(ISBLANK('ENGAGEMENTS 2026'!B1329),"",IF('ENGAGEMENTS 2026'!B1329="DTSI","DCT",'ENGAGEMENTS 2026'!B1329))</f>
        <v/>
      </c>
      <c r="B1329">
        <f>IF(ISBLANK('ENGAGEMENTS 2026'!B1329),"",'ENGAGEMENTS 2026'!C1329)</f>
        <v/>
      </c>
      <c r="C1329">
        <f>IF(ISBLANK('ENGAGEMENTS 2026'!B1329),"",'ENGAGEMENTS 2026'!D1329)</f>
        <v/>
      </c>
      <c r="D1329">
        <f>IF(ISBLANK('ENGAGEMENTS 2026'!B1329),"",'ENGAGEMENTS 2026'!F1329)</f>
        <v/>
      </c>
      <c r="E1329">
        <f>IF(ISBLANK('ENGAGEMENTS 2026'!B1329),"",'ENGAGEMENTS 2026'!H1329)</f>
        <v/>
      </c>
      <c r="F1329">
        <f>IF(ISBLANK('ENGAGEMENTS 2026'!B1329),"",'ENGAGEMENTS 2026'!I1329)</f>
        <v/>
      </c>
      <c r="G1329">
        <f>IF(ISBLANK('ENGAGEMENTS 2026'!B1329),"",'ENGAGEMENTS 2026'!L1329)</f>
        <v/>
      </c>
      <c r="H1329">
        <f>IF(ISBLANK('ENGAGEMENTS 2026'!B1329),"",'ENGAGEMENTS 2026'!AE1329)</f>
        <v/>
      </c>
      <c r="I1329">
        <f>IF(ISBLANK('ENGAGEMENTS 2026'!B1329),"",'ENGAGEMENTS 2026'!G1329)</f>
        <v/>
      </c>
      <c r="J1329" s="275">
        <f>IF(ISBLANK('ENGAGEMENTS 2026'!B1329),"",IF(AND(OR($E1329="INFRUCTUEUX",$E1329="ANNULE"),$C1329="AOO-M"),'ENGAGEMENTS 2026'!O1329,IF($H1329="EN COURS DE PREENGAGEMENT",'ENGAGEMENTS 2026'!N1329,IF($H1329="PREENGAGE",IF($E1329="ATTRIBUE",'ENGAGEMENTS 2026'!AD1329,'ENGAGEMENTS 2026'!N1329),'ENGAGEMENTS 2026'!AD1329))))</f>
        <v/>
      </c>
      <c r="K1329" s="604">
        <f>IF(ISBLANK('ENGAGEMENTS 2026'!V1329),"",'ENGAGEMENTS 2026'!V1329)</f>
        <v/>
      </c>
      <c r="L1329" s="276">
        <f>IF($K1329="","",TODAY()-$K1329)</f>
        <v/>
      </c>
      <c r="M1329">
        <f>IF($A1329="","",IF($H1329="ENGAGE","Engagé",IF(AND($H1329="NON ENGAGE",OR($I1329="INFRUCTUEUX",$I1329="ANNULE")),"Clôturé sans suite","En cours")))</f>
        <v/>
      </c>
      <c r="N1329">
        <f>IF(ISBLANK('ENGAGEMENTS 2026'!B1329),"",'ENGAGEMENTS 2026'!K1329)</f>
        <v/>
      </c>
      <c r="O1329">
        <f>IF(ISBLANK('ENGAGEMENTS 2026'!B1329),"",'ENGAGEMENTS 2026'!L1329)</f>
        <v/>
      </c>
      <c r="P1329">
        <f>IF(ISBLANK('ENGAGEMENTS 2026'!B1329),"",'ENGAGEMENTS 2026'!J1329)</f>
        <v/>
      </c>
      <c r="Q1329">
        <f>IF($A1329="","",IF(OR($E1329="INFRUCTUEUX",$E1329="ANNULE"),$A1329&amp;"|"&amp;(COUNTIFS($A$2:$A1329,$A1329,$E$2:$E1329,"INFRUCTUEUX")+COUNTIFS($A$2:$A1329,$A1329,$E$2:$E1329,"ANNULE")),""))</f>
        <v/>
      </c>
    </row>
    <row r="1330">
      <c r="A1330">
        <f>IF(ISBLANK('ENGAGEMENTS 2026'!B1330),"",IF('ENGAGEMENTS 2026'!B1330="DTSI","DCT",'ENGAGEMENTS 2026'!B1330))</f>
        <v/>
      </c>
      <c r="B1330">
        <f>IF(ISBLANK('ENGAGEMENTS 2026'!B1330),"",'ENGAGEMENTS 2026'!C1330)</f>
        <v/>
      </c>
      <c r="C1330">
        <f>IF(ISBLANK('ENGAGEMENTS 2026'!B1330),"",'ENGAGEMENTS 2026'!D1330)</f>
        <v/>
      </c>
      <c r="D1330">
        <f>IF(ISBLANK('ENGAGEMENTS 2026'!B1330),"",'ENGAGEMENTS 2026'!F1330)</f>
        <v/>
      </c>
      <c r="E1330">
        <f>IF(ISBLANK('ENGAGEMENTS 2026'!B1330),"",'ENGAGEMENTS 2026'!H1330)</f>
        <v/>
      </c>
      <c r="F1330">
        <f>IF(ISBLANK('ENGAGEMENTS 2026'!B1330),"",'ENGAGEMENTS 2026'!I1330)</f>
        <v/>
      </c>
      <c r="G1330">
        <f>IF(ISBLANK('ENGAGEMENTS 2026'!B1330),"",'ENGAGEMENTS 2026'!L1330)</f>
        <v/>
      </c>
      <c r="H1330">
        <f>IF(ISBLANK('ENGAGEMENTS 2026'!B1330),"",'ENGAGEMENTS 2026'!AE1330)</f>
        <v/>
      </c>
      <c r="I1330">
        <f>IF(ISBLANK('ENGAGEMENTS 2026'!B1330),"",'ENGAGEMENTS 2026'!G1330)</f>
        <v/>
      </c>
      <c r="J1330" s="275">
        <f>IF(ISBLANK('ENGAGEMENTS 2026'!B1330),"",IF(AND(OR($E1330="INFRUCTUEUX",$E1330="ANNULE"),$C1330="AOO-M"),'ENGAGEMENTS 2026'!O1330,IF($H1330="EN COURS DE PREENGAGEMENT",'ENGAGEMENTS 2026'!N1330,IF($H1330="PREENGAGE",IF($E1330="ATTRIBUE",'ENGAGEMENTS 2026'!AD1330,'ENGAGEMENTS 2026'!N1330),'ENGAGEMENTS 2026'!AD1330))))</f>
        <v/>
      </c>
      <c r="K1330" s="604">
        <f>IF(ISBLANK('ENGAGEMENTS 2026'!V1330),"",'ENGAGEMENTS 2026'!V1330)</f>
        <v/>
      </c>
      <c r="L1330" s="276">
        <f>IF($K1330="","",TODAY()-$K1330)</f>
        <v/>
      </c>
      <c r="M1330">
        <f>IF($A1330="","",IF($H1330="ENGAGE","Engagé",IF(AND($H1330="NON ENGAGE",OR($I1330="INFRUCTUEUX",$I1330="ANNULE")),"Clôturé sans suite","En cours")))</f>
        <v/>
      </c>
      <c r="N1330">
        <f>IF(ISBLANK('ENGAGEMENTS 2026'!B1330),"",'ENGAGEMENTS 2026'!K1330)</f>
        <v/>
      </c>
      <c r="O1330">
        <f>IF(ISBLANK('ENGAGEMENTS 2026'!B1330),"",'ENGAGEMENTS 2026'!L1330)</f>
        <v/>
      </c>
      <c r="P1330">
        <f>IF(ISBLANK('ENGAGEMENTS 2026'!B1330),"",'ENGAGEMENTS 2026'!J1330)</f>
        <v/>
      </c>
      <c r="Q1330">
        <f>IF($A1330="","",IF(OR($E1330="INFRUCTUEUX",$E1330="ANNULE"),$A1330&amp;"|"&amp;(COUNTIFS($A$2:$A1330,$A1330,$E$2:$E1330,"INFRUCTUEUX")+COUNTIFS($A$2:$A1330,$A1330,$E$2:$E1330,"ANNULE")),""))</f>
        <v/>
      </c>
    </row>
    <row r="1331">
      <c r="A1331">
        <f>IF(ISBLANK('ENGAGEMENTS 2026'!B1331),"",IF('ENGAGEMENTS 2026'!B1331="DTSI","DCT",'ENGAGEMENTS 2026'!B1331))</f>
        <v/>
      </c>
      <c r="B1331">
        <f>IF(ISBLANK('ENGAGEMENTS 2026'!B1331),"",'ENGAGEMENTS 2026'!C1331)</f>
        <v/>
      </c>
      <c r="C1331">
        <f>IF(ISBLANK('ENGAGEMENTS 2026'!B1331),"",'ENGAGEMENTS 2026'!D1331)</f>
        <v/>
      </c>
      <c r="D1331">
        <f>IF(ISBLANK('ENGAGEMENTS 2026'!B1331),"",'ENGAGEMENTS 2026'!F1331)</f>
        <v/>
      </c>
      <c r="E1331">
        <f>IF(ISBLANK('ENGAGEMENTS 2026'!B1331),"",'ENGAGEMENTS 2026'!H1331)</f>
        <v/>
      </c>
      <c r="F1331">
        <f>IF(ISBLANK('ENGAGEMENTS 2026'!B1331),"",'ENGAGEMENTS 2026'!I1331)</f>
        <v/>
      </c>
      <c r="G1331">
        <f>IF(ISBLANK('ENGAGEMENTS 2026'!B1331),"",'ENGAGEMENTS 2026'!L1331)</f>
        <v/>
      </c>
      <c r="H1331">
        <f>IF(ISBLANK('ENGAGEMENTS 2026'!B1331),"",'ENGAGEMENTS 2026'!AE1331)</f>
        <v/>
      </c>
      <c r="I1331">
        <f>IF(ISBLANK('ENGAGEMENTS 2026'!B1331),"",'ENGAGEMENTS 2026'!G1331)</f>
        <v/>
      </c>
      <c r="J1331" s="275">
        <f>IF(ISBLANK('ENGAGEMENTS 2026'!B1331),"",IF(AND(OR($E1331="INFRUCTUEUX",$E1331="ANNULE"),$C1331="AOO-M"),'ENGAGEMENTS 2026'!O1331,IF($H1331="EN COURS DE PREENGAGEMENT",'ENGAGEMENTS 2026'!N1331,IF($H1331="PREENGAGE",IF($E1331="ATTRIBUE",'ENGAGEMENTS 2026'!AD1331,'ENGAGEMENTS 2026'!N1331),'ENGAGEMENTS 2026'!AD1331))))</f>
        <v/>
      </c>
      <c r="K1331" s="604">
        <f>IF(ISBLANK('ENGAGEMENTS 2026'!V1331),"",'ENGAGEMENTS 2026'!V1331)</f>
        <v/>
      </c>
      <c r="L1331" s="276">
        <f>IF($K1331="","",TODAY()-$K1331)</f>
        <v/>
      </c>
      <c r="M1331">
        <f>IF($A1331="","",IF($H1331="ENGAGE","Engagé",IF(AND($H1331="NON ENGAGE",OR($I1331="INFRUCTUEUX",$I1331="ANNULE")),"Clôturé sans suite","En cours")))</f>
        <v/>
      </c>
      <c r="N1331">
        <f>IF(ISBLANK('ENGAGEMENTS 2026'!B1331),"",'ENGAGEMENTS 2026'!K1331)</f>
        <v/>
      </c>
      <c r="O1331">
        <f>IF(ISBLANK('ENGAGEMENTS 2026'!B1331),"",'ENGAGEMENTS 2026'!L1331)</f>
        <v/>
      </c>
      <c r="P1331">
        <f>IF(ISBLANK('ENGAGEMENTS 2026'!B1331),"",'ENGAGEMENTS 2026'!J1331)</f>
        <v/>
      </c>
      <c r="Q1331">
        <f>IF($A1331="","",IF(OR($E1331="INFRUCTUEUX",$E1331="ANNULE"),$A1331&amp;"|"&amp;(COUNTIFS($A$2:$A1331,$A1331,$E$2:$E1331,"INFRUCTUEUX")+COUNTIFS($A$2:$A1331,$A1331,$E$2:$E1331,"ANNULE")),""))</f>
        <v/>
      </c>
    </row>
    <row r="1332">
      <c r="A1332">
        <f>IF(ISBLANK('ENGAGEMENTS 2026'!B1332),"",IF('ENGAGEMENTS 2026'!B1332="DTSI","DCT",'ENGAGEMENTS 2026'!B1332))</f>
        <v/>
      </c>
      <c r="B1332">
        <f>IF(ISBLANK('ENGAGEMENTS 2026'!B1332),"",'ENGAGEMENTS 2026'!C1332)</f>
        <v/>
      </c>
      <c r="C1332">
        <f>IF(ISBLANK('ENGAGEMENTS 2026'!B1332),"",'ENGAGEMENTS 2026'!D1332)</f>
        <v/>
      </c>
      <c r="D1332">
        <f>IF(ISBLANK('ENGAGEMENTS 2026'!B1332),"",'ENGAGEMENTS 2026'!F1332)</f>
        <v/>
      </c>
      <c r="E1332">
        <f>IF(ISBLANK('ENGAGEMENTS 2026'!B1332),"",'ENGAGEMENTS 2026'!H1332)</f>
        <v/>
      </c>
      <c r="F1332">
        <f>IF(ISBLANK('ENGAGEMENTS 2026'!B1332),"",'ENGAGEMENTS 2026'!I1332)</f>
        <v/>
      </c>
      <c r="G1332">
        <f>IF(ISBLANK('ENGAGEMENTS 2026'!B1332),"",'ENGAGEMENTS 2026'!L1332)</f>
        <v/>
      </c>
      <c r="H1332">
        <f>IF(ISBLANK('ENGAGEMENTS 2026'!B1332),"",'ENGAGEMENTS 2026'!AE1332)</f>
        <v/>
      </c>
      <c r="I1332">
        <f>IF(ISBLANK('ENGAGEMENTS 2026'!B1332),"",'ENGAGEMENTS 2026'!G1332)</f>
        <v/>
      </c>
      <c r="J1332" s="275">
        <f>IF(ISBLANK('ENGAGEMENTS 2026'!B1332),"",IF(AND(OR($E1332="INFRUCTUEUX",$E1332="ANNULE"),$C1332="AOO-M"),'ENGAGEMENTS 2026'!O1332,IF($H1332="EN COURS DE PREENGAGEMENT",'ENGAGEMENTS 2026'!N1332,IF($H1332="PREENGAGE",IF($E1332="ATTRIBUE",'ENGAGEMENTS 2026'!AD1332,'ENGAGEMENTS 2026'!N1332),'ENGAGEMENTS 2026'!AD1332))))</f>
        <v/>
      </c>
      <c r="K1332" s="604">
        <f>IF(ISBLANK('ENGAGEMENTS 2026'!V1332),"",'ENGAGEMENTS 2026'!V1332)</f>
        <v/>
      </c>
      <c r="L1332" s="276">
        <f>IF($K1332="","",TODAY()-$K1332)</f>
        <v/>
      </c>
      <c r="M1332">
        <f>IF($A1332="","",IF($H1332="ENGAGE","Engagé",IF(AND($H1332="NON ENGAGE",OR($I1332="INFRUCTUEUX",$I1332="ANNULE")),"Clôturé sans suite","En cours")))</f>
        <v/>
      </c>
      <c r="N1332">
        <f>IF(ISBLANK('ENGAGEMENTS 2026'!B1332),"",'ENGAGEMENTS 2026'!K1332)</f>
        <v/>
      </c>
      <c r="O1332">
        <f>IF(ISBLANK('ENGAGEMENTS 2026'!B1332),"",'ENGAGEMENTS 2026'!L1332)</f>
        <v/>
      </c>
      <c r="P1332">
        <f>IF(ISBLANK('ENGAGEMENTS 2026'!B1332),"",'ENGAGEMENTS 2026'!J1332)</f>
        <v/>
      </c>
      <c r="Q1332">
        <f>IF($A1332="","",IF(OR($E1332="INFRUCTUEUX",$E1332="ANNULE"),$A1332&amp;"|"&amp;(COUNTIFS($A$2:$A1332,$A1332,$E$2:$E1332,"INFRUCTUEUX")+COUNTIFS($A$2:$A1332,$A1332,$E$2:$E1332,"ANNULE")),""))</f>
        <v/>
      </c>
    </row>
    <row r="1333">
      <c r="A1333">
        <f>IF(ISBLANK('ENGAGEMENTS 2026'!B1333),"",IF('ENGAGEMENTS 2026'!B1333="DTSI","DCT",'ENGAGEMENTS 2026'!B1333))</f>
        <v/>
      </c>
      <c r="B1333">
        <f>IF(ISBLANK('ENGAGEMENTS 2026'!B1333),"",'ENGAGEMENTS 2026'!C1333)</f>
        <v/>
      </c>
      <c r="C1333">
        <f>IF(ISBLANK('ENGAGEMENTS 2026'!B1333),"",'ENGAGEMENTS 2026'!D1333)</f>
        <v/>
      </c>
      <c r="D1333">
        <f>IF(ISBLANK('ENGAGEMENTS 2026'!B1333),"",'ENGAGEMENTS 2026'!F1333)</f>
        <v/>
      </c>
      <c r="E1333">
        <f>IF(ISBLANK('ENGAGEMENTS 2026'!B1333),"",'ENGAGEMENTS 2026'!H1333)</f>
        <v/>
      </c>
      <c r="F1333">
        <f>IF(ISBLANK('ENGAGEMENTS 2026'!B1333),"",'ENGAGEMENTS 2026'!I1333)</f>
        <v/>
      </c>
      <c r="G1333">
        <f>IF(ISBLANK('ENGAGEMENTS 2026'!B1333),"",'ENGAGEMENTS 2026'!L1333)</f>
        <v/>
      </c>
      <c r="H1333">
        <f>IF(ISBLANK('ENGAGEMENTS 2026'!B1333),"",'ENGAGEMENTS 2026'!AE1333)</f>
        <v/>
      </c>
      <c r="I1333">
        <f>IF(ISBLANK('ENGAGEMENTS 2026'!B1333),"",'ENGAGEMENTS 2026'!G1333)</f>
        <v/>
      </c>
      <c r="J1333" s="275">
        <f>IF(ISBLANK('ENGAGEMENTS 2026'!B1333),"",IF(AND(OR($E1333="INFRUCTUEUX",$E1333="ANNULE"),$C1333="AOO-M"),'ENGAGEMENTS 2026'!O1333,IF($H1333="EN COURS DE PREENGAGEMENT",'ENGAGEMENTS 2026'!N1333,IF($H1333="PREENGAGE",IF($E1333="ATTRIBUE",'ENGAGEMENTS 2026'!AD1333,'ENGAGEMENTS 2026'!N1333),'ENGAGEMENTS 2026'!AD1333))))</f>
        <v/>
      </c>
      <c r="K1333" s="604">
        <f>IF(ISBLANK('ENGAGEMENTS 2026'!V1333),"",'ENGAGEMENTS 2026'!V1333)</f>
        <v/>
      </c>
      <c r="L1333" s="276">
        <f>IF($K1333="","",TODAY()-$K1333)</f>
        <v/>
      </c>
      <c r="M1333">
        <f>IF($A1333="","",IF($H1333="ENGAGE","Engagé",IF(AND($H1333="NON ENGAGE",OR($I1333="INFRUCTUEUX",$I1333="ANNULE")),"Clôturé sans suite","En cours")))</f>
        <v/>
      </c>
      <c r="N1333">
        <f>IF(ISBLANK('ENGAGEMENTS 2026'!B1333),"",'ENGAGEMENTS 2026'!K1333)</f>
        <v/>
      </c>
      <c r="O1333">
        <f>IF(ISBLANK('ENGAGEMENTS 2026'!B1333),"",'ENGAGEMENTS 2026'!L1333)</f>
        <v/>
      </c>
      <c r="P1333">
        <f>IF(ISBLANK('ENGAGEMENTS 2026'!B1333),"",'ENGAGEMENTS 2026'!J1333)</f>
        <v/>
      </c>
      <c r="Q1333">
        <f>IF($A1333="","",IF(OR($E1333="INFRUCTUEUX",$E1333="ANNULE"),$A1333&amp;"|"&amp;(COUNTIFS($A$2:$A1333,$A1333,$E$2:$E1333,"INFRUCTUEUX")+COUNTIFS($A$2:$A1333,$A1333,$E$2:$E1333,"ANNULE")),""))</f>
        <v/>
      </c>
    </row>
    <row r="1334">
      <c r="A1334">
        <f>IF(ISBLANK('ENGAGEMENTS 2026'!B1334),"",IF('ENGAGEMENTS 2026'!B1334="DTSI","DCT",'ENGAGEMENTS 2026'!B1334))</f>
        <v/>
      </c>
      <c r="B1334">
        <f>IF(ISBLANK('ENGAGEMENTS 2026'!B1334),"",'ENGAGEMENTS 2026'!C1334)</f>
        <v/>
      </c>
      <c r="C1334">
        <f>IF(ISBLANK('ENGAGEMENTS 2026'!B1334),"",'ENGAGEMENTS 2026'!D1334)</f>
        <v/>
      </c>
      <c r="D1334">
        <f>IF(ISBLANK('ENGAGEMENTS 2026'!B1334),"",'ENGAGEMENTS 2026'!F1334)</f>
        <v/>
      </c>
      <c r="E1334">
        <f>IF(ISBLANK('ENGAGEMENTS 2026'!B1334),"",'ENGAGEMENTS 2026'!H1334)</f>
        <v/>
      </c>
      <c r="F1334">
        <f>IF(ISBLANK('ENGAGEMENTS 2026'!B1334),"",'ENGAGEMENTS 2026'!I1334)</f>
        <v/>
      </c>
      <c r="G1334">
        <f>IF(ISBLANK('ENGAGEMENTS 2026'!B1334),"",'ENGAGEMENTS 2026'!L1334)</f>
        <v/>
      </c>
      <c r="H1334">
        <f>IF(ISBLANK('ENGAGEMENTS 2026'!B1334),"",'ENGAGEMENTS 2026'!AE1334)</f>
        <v/>
      </c>
      <c r="I1334">
        <f>IF(ISBLANK('ENGAGEMENTS 2026'!B1334),"",'ENGAGEMENTS 2026'!G1334)</f>
        <v/>
      </c>
      <c r="J1334" s="275">
        <f>IF(ISBLANK('ENGAGEMENTS 2026'!B1334),"",IF(AND(OR($E1334="INFRUCTUEUX",$E1334="ANNULE"),$C1334="AOO-M"),'ENGAGEMENTS 2026'!O1334,IF($H1334="EN COURS DE PREENGAGEMENT",'ENGAGEMENTS 2026'!N1334,IF($H1334="PREENGAGE",IF($E1334="ATTRIBUE",'ENGAGEMENTS 2026'!AD1334,'ENGAGEMENTS 2026'!N1334),'ENGAGEMENTS 2026'!AD1334))))</f>
        <v/>
      </c>
      <c r="K1334" s="604">
        <f>IF(ISBLANK('ENGAGEMENTS 2026'!V1334),"",'ENGAGEMENTS 2026'!V1334)</f>
        <v/>
      </c>
      <c r="L1334" s="276">
        <f>IF($K1334="","",TODAY()-$K1334)</f>
        <v/>
      </c>
      <c r="M1334">
        <f>IF($A1334="","",IF($H1334="ENGAGE","Engagé",IF(AND($H1334="NON ENGAGE",OR($I1334="INFRUCTUEUX",$I1334="ANNULE")),"Clôturé sans suite","En cours")))</f>
        <v/>
      </c>
      <c r="N1334">
        <f>IF(ISBLANK('ENGAGEMENTS 2026'!B1334),"",'ENGAGEMENTS 2026'!K1334)</f>
        <v/>
      </c>
      <c r="O1334">
        <f>IF(ISBLANK('ENGAGEMENTS 2026'!B1334),"",'ENGAGEMENTS 2026'!L1334)</f>
        <v/>
      </c>
      <c r="P1334">
        <f>IF(ISBLANK('ENGAGEMENTS 2026'!B1334),"",'ENGAGEMENTS 2026'!J1334)</f>
        <v/>
      </c>
      <c r="Q1334">
        <f>IF($A1334="","",IF(OR($E1334="INFRUCTUEUX",$E1334="ANNULE"),$A1334&amp;"|"&amp;(COUNTIFS($A$2:$A1334,$A1334,$E$2:$E1334,"INFRUCTUEUX")+COUNTIFS($A$2:$A1334,$A1334,$E$2:$E1334,"ANNULE")),""))</f>
        <v/>
      </c>
    </row>
    <row r="1335">
      <c r="A1335">
        <f>IF(ISBLANK('ENGAGEMENTS 2026'!B1335),"",IF('ENGAGEMENTS 2026'!B1335="DTSI","DCT",'ENGAGEMENTS 2026'!B1335))</f>
        <v/>
      </c>
      <c r="B1335">
        <f>IF(ISBLANK('ENGAGEMENTS 2026'!B1335),"",'ENGAGEMENTS 2026'!C1335)</f>
        <v/>
      </c>
      <c r="C1335">
        <f>IF(ISBLANK('ENGAGEMENTS 2026'!B1335),"",'ENGAGEMENTS 2026'!D1335)</f>
        <v/>
      </c>
      <c r="D1335">
        <f>IF(ISBLANK('ENGAGEMENTS 2026'!B1335),"",'ENGAGEMENTS 2026'!F1335)</f>
        <v/>
      </c>
      <c r="E1335">
        <f>IF(ISBLANK('ENGAGEMENTS 2026'!B1335),"",'ENGAGEMENTS 2026'!H1335)</f>
        <v/>
      </c>
      <c r="F1335">
        <f>IF(ISBLANK('ENGAGEMENTS 2026'!B1335),"",'ENGAGEMENTS 2026'!I1335)</f>
        <v/>
      </c>
      <c r="G1335">
        <f>IF(ISBLANK('ENGAGEMENTS 2026'!B1335),"",'ENGAGEMENTS 2026'!L1335)</f>
        <v/>
      </c>
      <c r="H1335">
        <f>IF(ISBLANK('ENGAGEMENTS 2026'!B1335),"",'ENGAGEMENTS 2026'!AE1335)</f>
        <v/>
      </c>
      <c r="I1335">
        <f>IF(ISBLANK('ENGAGEMENTS 2026'!B1335),"",'ENGAGEMENTS 2026'!G1335)</f>
        <v/>
      </c>
      <c r="J1335" s="275">
        <f>IF(ISBLANK('ENGAGEMENTS 2026'!B1335),"",IF(AND(OR($E1335="INFRUCTUEUX",$E1335="ANNULE"),$C1335="AOO-M"),'ENGAGEMENTS 2026'!O1335,IF($H1335="EN COURS DE PREENGAGEMENT",'ENGAGEMENTS 2026'!N1335,IF($H1335="PREENGAGE",IF($E1335="ATTRIBUE",'ENGAGEMENTS 2026'!AD1335,'ENGAGEMENTS 2026'!N1335),'ENGAGEMENTS 2026'!AD1335))))</f>
        <v/>
      </c>
      <c r="K1335" s="604">
        <f>IF(ISBLANK('ENGAGEMENTS 2026'!V1335),"",'ENGAGEMENTS 2026'!V1335)</f>
        <v/>
      </c>
      <c r="L1335" s="276">
        <f>IF($K1335="","",TODAY()-$K1335)</f>
        <v/>
      </c>
      <c r="M1335">
        <f>IF($A1335="","",IF($H1335="ENGAGE","Engagé",IF(AND($H1335="NON ENGAGE",OR($I1335="INFRUCTUEUX",$I1335="ANNULE")),"Clôturé sans suite","En cours")))</f>
        <v/>
      </c>
      <c r="N1335">
        <f>IF(ISBLANK('ENGAGEMENTS 2026'!B1335),"",'ENGAGEMENTS 2026'!K1335)</f>
        <v/>
      </c>
      <c r="O1335">
        <f>IF(ISBLANK('ENGAGEMENTS 2026'!B1335),"",'ENGAGEMENTS 2026'!L1335)</f>
        <v/>
      </c>
      <c r="P1335">
        <f>IF(ISBLANK('ENGAGEMENTS 2026'!B1335),"",'ENGAGEMENTS 2026'!J1335)</f>
        <v/>
      </c>
      <c r="Q1335">
        <f>IF($A1335="","",IF(OR($E1335="INFRUCTUEUX",$E1335="ANNULE"),$A1335&amp;"|"&amp;(COUNTIFS($A$2:$A1335,$A1335,$E$2:$E1335,"INFRUCTUEUX")+COUNTIFS($A$2:$A1335,$A1335,$E$2:$E1335,"ANNULE")),""))</f>
        <v/>
      </c>
    </row>
    <row r="1336">
      <c r="A1336">
        <f>IF(ISBLANK('ENGAGEMENTS 2026'!B1336),"",IF('ENGAGEMENTS 2026'!B1336="DTSI","DCT",'ENGAGEMENTS 2026'!B1336))</f>
        <v/>
      </c>
      <c r="B1336">
        <f>IF(ISBLANK('ENGAGEMENTS 2026'!B1336),"",'ENGAGEMENTS 2026'!C1336)</f>
        <v/>
      </c>
      <c r="C1336">
        <f>IF(ISBLANK('ENGAGEMENTS 2026'!B1336),"",'ENGAGEMENTS 2026'!D1336)</f>
        <v/>
      </c>
      <c r="D1336">
        <f>IF(ISBLANK('ENGAGEMENTS 2026'!B1336),"",'ENGAGEMENTS 2026'!F1336)</f>
        <v/>
      </c>
      <c r="E1336">
        <f>IF(ISBLANK('ENGAGEMENTS 2026'!B1336),"",'ENGAGEMENTS 2026'!H1336)</f>
        <v/>
      </c>
      <c r="F1336">
        <f>IF(ISBLANK('ENGAGEMENTS 2026'!B1336),"",'ENGAGEMENTS 2026'!I1336)</f>
        <v/>
      </c>
      <c r="G1336">
        <f>IF(ISBLANK('ENGAGEMENTS 2026'!B1336),"",'ENGAGEMENTS 2026'!L1336)</f>
        <v/>
      </c>
      <c r="H1336">
        <f>IF(ISBLANK('ENGAGEMENTS 2026'!B1336),"",'ENGAGEMENTS 2026'!AE1336)</f>
        <v/>
      </c>
      <c r="I1336">
        <f>IF(ISBLANK('ENGAGEMENTS 2026'!B1336),"",'ENGAGEMENTS 2026'!G1336)</f>
        <v/>
      </c>
      <c r="J1336" s="275">
        <f>IF(ISBLANK('ENGAGEMENTS 2026'!B1336),"",IF(AND(OR($E1336="INFRUCTUEUX",$E1336="ANNULE"),$C1336="AOO-M"),'ENGAGEMENTS 2026'!O1336,IF($H1336="EN COURS DE PREENGAGEMENT",'ENGAGEMENTS 2026'!N1336,IF($H1336="PREENGAGE",IF($E1336="ATTRIBUE",'ENGAGEMENTS 2026'!AD1336,'ENGAGEMENTS 2026'!N1336),'ENGAGEMENTS 2026'!AD1336))))</f>
        <v/>
      </c>
      <c r="K1336" s="604">
        <f>IF(ISBLANK('ENGAGEMENTS 2026'!V1336),"",'ENGAGEMENTS 2026'!V1336)</f>
        <v/>
      </c>
      <c r="L1336" s="276">
        <f>IF($K1336="","",TODAY()-$K1336)</f>
        <v/>
      </c>
      <c r="M1336">
        <f>IF($A1336="","",IF($H1336="ENGAGE","Engagé",IF(AND($H1336="NON ENGAGE",OR($I1336="INFRUCTUEUX",$I1336="ANNULE")),"Clôturé sans suite","En cours")))</f>
        <v/>
      </c>
      <c r="N1336">
        <f>IF(ISBLANK('ENGAGEMENTS 2026'!B1336),"",'ENGAGEMENTS 2026'!K1336)</f>
        <v/>
      </c>
      <c r="O1336">
        <f>IF(ISBLANK('ENGAGEMENTS 2026'!B1336),"",'ENGAGEMENTS 2026'!L1336)</f>
        <v/>
      </c>
      <c r="P1336">
        <f>IF(ISBLANK('ENGAGEMENTS 2026'!B1336),"",'ENGAGEMENTS 2026'!J1336)</f>
        <v/>
      </c>
      <c r="Q1336">
        <f>IF($A1336="","",IF(OR($E1336="INFRUCTUEUX",$E1336="ANNULE"),$A1336&amp;"|"&amp;(COUNTIFS($A$2:$A1336,$A1336,$E$2:$E1336,"INFRUCTUEUX")+COUNTIFS($A$2:$A1336,$A1336,$E$2:$E1336,"ANNULE")),""))</f>
        <v/>
      </c>
    </row>
    <row r="1337">
      <c r="A1337">
        <f>IF(ISBLANK('ENGAGEMENTS 2026'!B1337),"",IF('ENGAGEMENTS 2026'!B1337="DTSI","DCT",'ENGAGEMENTS 2026'!B1337))</f>
        <v/>
      </c>
      <c r="B1337">
        <f>IF(ISBLANK('ENGAGEMENTS 2026'!B1337),"",'ENGAGEMENTS 2026'!C1337)</f>
        <v/>
      </c>
      <c r="C1337">
        <f>IF(ISBLANK('ENGAGEMENTS 2026'!B1337),"",'ENGAGEMENTS 2026'!D1337)</f>
        <v/>
      </c>
      <c r="D1337">
        <f>IF(ISBLANK('ENGAGEMENTS 2026'!B1337),"",'ENGAGEMENTS 2026'!F1337)</f>
        <v/>
      </c>
      <c r="E1337">
        <f>IF(ISBLANK('ENGAGEMENTS 2026'!B1337),"",'ENGAGEMENTS 2026'!H1337)</f>
        <v/>
      </c>
      <c r="F1337">
        <f>IF(ISBLANK('ENGAGEMENTS 2026'!B1337),"",'ENGAGEMENTS 2026'!I1337)</f>
        <v/>
      </c>
      <c r="G1337">
        <f>IF(ISBLANK('ENGAGEMENTS 2026'!B1337),"",'ENGAGEMENTS 2026'!L1337)</f>
        <v/>
      </c>
      <c r="H1337">
        <f>IF(ISBLANK('ENGAGEMENTS 2026'!B1337),"",'ENGAGEMENTS 2026'!AE1337)</f>
        <v/>
      </c>
      <c r="I1337">
        <f>IF(ISBLANK('ENGAGEMENTS 2026'!B1337),"",'ENGAGEMENTS 2026'!G1337)</f>
        <v/>
      </c>
      <c r="J1337" s="275">
        <f>IF(ISBLANK('ENGAGEMENTS 2026'!B1337),"",IF(AND(OR($E1337="INFRUCTUEUX",$E1337="ANNULE"),$C1337="AOO-M"),'ENGAGEMENTS 2026'!O1337,IF($H1337="EN COURS DE PREENGAGEMENT",'ENGAGEMENTS 2026'!N1337,IF($H1337="PREENGAGE",IF($E1337="ATTRIBUE",'ENGAGEMENTS 2026'!AD1337,'ENGAGEMENTS 2026'!N1337),'ENGAGEMENTS 2026'!AD1337))))</f>
        <v/>
      </c>
      <c r="K1337" s="604">
        <f>IF(ISBLANK('ENGAGEMENTS 2026'!V1337),"",'ENGAGEMENTS 2026'!V1337)</f>
        <v/>
      </c>
      <c r="L1337" s="276">
        <f>IF($K1337="","",TODAY()-$K1337)</f>
        <v/>
      </c>
      <c r="M1337">
        <f>IF($A1337="","",IF($H1337="ENGAGE","Engagé",IF(AND($H1337="NON ENGAGE",OR($I1337="INFRUCTUEUX",$I1337="ANNULE")),"Clôturé sans suite","En cours")))</f>
        <v/>
      </c>
      <c r="N1337">
        <f>IF(ISBLANK('ENGAGEMENTS 2026'!B1337),"",'ENGAGEMENTS 2026'!K1337)</f>
        <v/>
      </c>
      <c r="O1337">
        <f>IF(ISBLANK('ENGAGEMENTS 2026'!B1337),"",'ENGAGEMENTS 2026'!L1337)</f>
        <v/>
      </c>
      <c r="P1337">
        <f>IF(ISBLANK('ENGAGEMENTS 2026'!B1337),"",'ENGAGEMENTS 2026'!J1337)</f>
        <v/>
      </c>
      <c r="Q1337">
        <f>IF($A1337="","",IF(OR($E1337="INFRUCTUEUX",$E1337="ANNULE"),$A1337&amp;"|"&amp;(COUNTIFS($A$2:$A1337,$A1337,$E$2:$E1337,"INFRUCTUEUX")+COUNTIFS($A$2:$A1337,$A1337,$E$2:$E1337,"ANNULE")),""))</f>
        <v/>
      </c>
    </row>
    <row r="1338">
      <c r="A1338">
        <f>IF(ISBLANK('ENGAGEMENTS 2026'!B1338),"",IF('ENGAGEMENTS 2026'!B1338="DTSI","DCT",'ENGAGEMENTS 2026'!B1338))</f>
        <v/>
      </c>
      <c r="B1338">
        <f>IF(ISBLANK('ENGAGEMENTS 2026'!B1338),"",'ENGAGEMENTS 2026'!C1338)</f>
        <v/>
      </c>
      <c r="C1338">
        <f>IF(ISBLANK('ENGAGEMENTS 2026'!B1338),"",'ENGAGEMENTS 2026'!D1338)</f>
        <v/>
      </c>
      <c r="D1338">
        <f>IF(ISBLANK('ENGAGEMENTS 2026'!B1338),"",'ENGAGEMENTS 2026'!F1338)</f>
        <v/>
      </c>
      <c r="E1338">
        <f>IF(ISBLANK('ENGAGEMENTS 2026'!B1338),"",'ENGAGEMENTS 2026'!H1338)</f>
        <v/>
      </c>
      <c r="F1338">
        <f>IF(ISBLANK('ENGAGEMENTS 2026'!B1338),"",'ENGAGEMENTS 2026'!I1338)</f>
        <v/>
      </c>
      <c r="G1338">
        <f>IF(ISBLANK('ENGAGEMENTS 2026'!B1338),"",'ENGAGEMENTS 2026'!L1338)</f>
        <v/>
      </c>
      <c r="H1338">
        <f>IF(ISBLANK('ENGAGEMENTS 2026'!B1338),"",'ENGAGEMENTS 2026'!AE1338)</f>
        <v/>
      </c>
      <c r="I1338">
        <f>IF(ISBLANK('ENGAGEMENTS 2026'!B1338),"",'ENGAGEMENTS 2026'!G1338)</f>
        <v/>
      </c>
      <c r="J1338" s="275">
        <f>IF(ISBLANK('ENGAGEMENTS 2026'!B1338),"",IF(AND(OR($E1338="INFRUCTUEUX",$E1338="ANNULE"),$C1338="AOO-M"),'ENGAGEMENTS 2026'!O1338,IF($H1338="EN COURS DE PREENGAGEMENT",'ENGAGEMENTS 2026'!N1338,IF($H1338="PREENGAGE",IF($E1338="ATTRIBUE",'ENGAGEMENTS 2026'!AD1338,'ENGAGEMENTS 2026'!N1338),'ENGAGEMENTS 2026'!AD1338))))</f>
        <v/>
      </c>
      <c r="K1338" s="604">
        <f>IF(ISBLANK('ENGAGEMENTS 2026'!V1338),"",'ENGAGEMENTS 2026'!V1338)</f>
        <v/>
      </c>
      <c r="L1338" s="276">
        <f>IF($K1338="","",TODAY()-$K1338)</f>
        <v/>
      </c>
      <c r="M1338">
        <f>IF($A1338="","",IF($H1338="ENGAGE","Engagé",IF(AND($H1338="NON ENGAGE",OR($I1338="INFRUCTUEUX",$I1338="ANNULE")),"Clôturé sans suite","En cours")))</f>
        <v/>
      </c>
      <c r="N1338">
        <f>IF(ISBLANK('ENGAGEMENTS 2026'!B1338),"",'ENGAGEMENTS 2026'!K1338)</f>
        <v/>
      </c>
      <c r="O1338">
        <f>IF(ISBLANK('ENGAGEMENTS 2026'!B1338),"",'ENGAGEMENTS 2026'!L1338)</f>
        <v/>
      </c>
      <c r="P1338">
        <f>IF(ISBLANK('ENGAGEMENTS 2026'!B1338),"",'ENGAGEMENTS 2026'!J1338)</f>
        <v/>
      </c>
      <c r="Q1338">
        <f>IF($A1338="","",IF(OR($E1338="INFRUCTUEUX",$E1338="ANNULE"),$A1338&amp;"|"&amp;(COUNTIFS($A$2:$A1338,$A1338,$E$2:$E1338,"INFRUCTUEUX")+COUNTIFS($A$2:$A1338,$A1338,$E$2:$E1338,"ANNULE")),""))</f>
        <v/>
      </c>
    </row>
    <row r="1339">
      <c r="A1339">
        <f>IF(ISBLANK('ENGAGEMENTS 2026'!B1339),"",IF('ENGAGEMENTS 2026'!B1339="DTSI","DCT",'ENGAGEMENTS 2026'!B1339))</f>
        <v/>
      </c>
      <c r="B1339">
        <f>IF(ISBLANK('ENGAGEMENTS 2026'!B1339),"",'ENGAGEMENTS 2026'!C1339)</f>
        <v/>
      </c>
      <c r="C1339">
        <f>IF(ISBLANK('ENGAGEMENTS 2026'!B1339),"",'ENGAGEMENTS 2026'!D1339)</f>
        <v/>
      </c>
      <c r="D1339">
        <f>IF(ISBLANK('ENGAGEMENTS 2026'!B1339),"",'ENGAGEMENTS 2026'!F1339)</f>
        <v/>
      </c>
      <c r="E1339">
        <f>IF(ISBLANK('ENGAGEMENTS 2026'!B1339),"",'ENGAGEMENTS 2026'!H1339)</f>
        <v/>
      </c>
      <c r="F1339">
        <f>IF(ISBLANK('ENGAGEMENTS 2026'!B1339),"",'ENGAGEMENTS 2026'!I1339)</f>
        <v/>
      </c>
      <c r="G1339">
        <f>IF(ISBLANK('ENGAGEMENTS 2026'!B1339),"",'ENGAGEMENTS 2026'!L1339)</f>
        <v/>
      </c>
      <c r="H1339">
        <f>IF(ISBLANK('ENGAGEMENTS 2026'!B1339),"",'ENGAGEMENTS 2026'!AE1339)</f>
        <v/>
      </c>
      <c r="I1339">
        <f>IF(ISBLANK('ENGAGEMENTS 2026'!B1339),"",'ENGAGEMENTS 2026'!G1339)</f>
        <v/>
      </c>
      <c r="J1339" s="275">
        <f>IF(ISBLANK('ENGAGEMENTS 2026'!B1339),"",IF(AND(OR($E1339="INFRUCTUEUX",$E1339="ANNULE"),$C1339="AOO-M"),'ENGAGEMENTS 2026'!O1339,IF($H1339="EN COURS DE PREENGAGEMENT",'ENGAGEMENTS 2026'!N1339,IF($H1339="PREENGAGE",IF($E1339="ATTRIBUE",'ENGAGEMENTS 2026'!AD1339,'ENGAGEMENTS 2026'!N1339),'ENGAGEMENTS 2026'!AD1339))))</f>
        <v/>
      </c>
      <c r="K1339" s="604">
        <f>IF(ISBLANK('ENGAGEMENTS 2026'!V1339),"",'ENGAGEMENTS 2026'!V1339)</f>
        <v/>
      </c>
      <c r="L1339" s="276">
        <f>IF($K1339="","",TODAY()-$K1339)</f>
        <v/>
      </c>
      <c r="M1339">
        <f>IF($A1339="","",IF($H1339="ENGAGE","Engagé",IF(AND($H1339="NON ENGAGE",OR($I1339="INFRUCTUEUX",$I1339="ANNULE")),"Clôturé sans suite","En cours")))</f>
        <v/>
      </c>
      <c r="N1339">
        <f>IF(ISBLANK('ENGAGEMENTS 2026'!B1339),"",'ENGAGEMENTS 2026'!K1339)</f>
        <v/>
      </c>
      <c r="O1339">
        <f>IF(ISBLANK('ENGAGEMENTS 2026'!B1339),"",'ENGAGEMENTS 2026'!L1339)</f>
        <v/>
      </c>
      <c r="P1339">
        <f>IF(ISBLANK('ENGAGEMENTS 2026'!B1339),"",'ENGAGEMENTS 2026'!J1339)</f>
        <v/>
      </c>
      <c r="Q1339">
        <f>IF($A1339="","",IF(OR($E1339="INFRUCTUEUX",$E1339="ANNULE"),$A1339&amp;"|"&amp;(COUNTIFS($A$2:$A1339,$A1339,$E$2:$E1339,"INFRUCTUEUX")+COUNTIFS($A$2:$A1339,$A1339,$E$2:$E1339,"ANNULE")),""))</f>
        <v/>
      </c>
    </row>
    <row r="1340">
      <c r="A1340">
        <f>IF(ISBLANK('ENGAGEMENTS 2026'!B1340),"",IF('ENGAGEMENTS 2026'!B1340="DTSI","DCT",'ENGAGEMENTS 2026'!B1340))</f>
        <v/>
      </c>
      <c r="B1340">
        <f>IF(ISBLANK('ENGAGEMENTS 2026'!B1340),"",'ENGAGEMENTS 2026'!C1340)</f>
        <v/>
      </c>
      <c r="C1340">
        <f>IF(ISBLANK('ENGAGEMENTS 2026'!B1340),"",'ENGAGEMENTS 2026'!D1340)</f>
        <v/>
      </c>
      <c r="D1340">
        <f>IF(ISBLANK('ENGAGEMENTS 2026'!B1340),"",'ENGAGEMENTS 2026'!F1340)</f>
        <v/>
      </c>
      <c r="E1340">
        <f>IF(ISBLANK('ENGAGEMENTS 2026'!B1340),"",'ENGAGEMENTS 2026'!H1340)</f>
        <v/>
      </c>
      <c r="F1340">
        <f>IF(ISBLANK('ENGAGEMENTS 2026'!B1340),"",'ENGAGEMENTS 2026'!I1340)</f>
        <v/>
      </c>
      <c r="G1340">
        <f>IF(ISBLANK('ENGAGEMENTS 2026'!B1340),"",'ENGAGEMENTS 2026'!L1340)</f>
        <v/>
      </c>
      <c r="H1340">
        <f>IF(ISBLANK('ENGAGEMENTS 2026'!B1340),"",'ENGAGEMENTS 2026'!AE1340)</f>
        <v/>
      </c>
      <c r="I1340">
        <f>IF(ISBLANK('ENGAGEMENTS 2026'!B1340),"",'ENGAGEMENTS 2026'!G1340)</f>
        <v/>
      </c>
      <c r="J1340" s="275">
        <f>IF(ISBLANK('ENGAGEMENTS 2026'!B1340),"",IF(AND(OR($E1340="INFRUCTUEUX",$E1340="ANNULE"),$C1340="AOO-M"),'ENGAGEMENTS 2026'!O1340,IF($H1340="EN COURS DE PREENGAGEMENT",'ENGAGEMENTS 2026'!N1340,IF($H1340="PREENGAGE",IF($E1340="ATTRIBUE",'ENGAGEMENTS 2026'!AD1340,'ENGAGEMENTS 2026'!N1340),'ENGAGEMENTS 2026'!AD1340))))</f>
        <v/>
      </c>
      <c r="K1340" s="604">
        <f>IF(ISBLANK('ENGAGEMENTS 2026'!V1340),"",'ENGAGEMENTS 2026'!V1340)</f>
        <v/>
      </c>
      <c r="L1340" s="276">
        <f>IF($K1340="","",TODAY()-$K1340)</f>
        <v/>
      </c>
      <c r="M1340">
        <f>IF($A1340="","",IF($H1340="ENGAGE","Engagé",IF(AND($H1340="NON ENGAGE",OR($I1340="INFRUCTUEUX",$I1340="ANNULE")),"Clôturé sans suite","En cours")))</f>
        <v/>
      </c>
      <c r="N1340">
        <f>IF(ISBLANK('ENGAGEMENTS 2026'!B1340),"",'ENGAGEMENTS 2026'!K1340)</f>
        <v/>
      </c>
      <c r="O1340">
        <f>IF(ISBLANK('ENGAGEMENTS 2026'!B1340),"",'ENGAGEMENTS 2026'!L1340)</f>
        <v/>
      </c>
      <c r="P1340">
        <f>IF(ISBLANK('ENGAGEMENTS 2026'!B1340),"",'ENGAGEMENTS 2026'!J1340)</f>
        <v/>
      </c>
      <c r="Q1340">
        <f>IF($A1340="","",IF(OR($E1340="INFRUCTUEUX",$E1340="ANNULE"),$A1340&amp;"|"&amp;(COUNTIFS($A$2:$A1340,$A1340,$E$2:$E1340,"INFRUCTUEUX")+COUNTIFS($A$2:$A1340,$A1340,$E$2:$E1340,"ANNULE")),""))</f>
        <v/>
      </c>
    </row>
    <row r="1341">
      <c r="A1341">
        <f>IF(ISBLANK('ENGAGEMENTS 2026'!B1341),"",IF('ENGAGEMENTS 2026'!B1341="DTSI","DCT",'ENGAGEMENTS 2026'!B1341))</f>
        <v/>
      </c>
      <c r="B1341">
        <f>IF(ISBLANK('ENGAGEMENTS 2026'!B1341),"",'ENGAGEMENTS 2026'!C1341)</f>
        <v/>
      </c>
      <c r="C1341">
        <f>IF(ISBLANK('ENGAGEMENTS 2026'!B1341),"",'ENGAGEMENTS 2026'!D1341)</f>
        <v/>
      </c>
      <c r="D1341">
        <f>IF(ISBLANK('ENGAGEMENTS 2026'!B1341),"",'ENGAGEMENTS 2026'!F1341)</f>
        <v/>
      </c>
      <c r="E1341">
        <f>IF(ISBLANK('ENGAGEMENTS 2026'!B1341),"",'ENGAGEMENTS 2026'!H1341)</f>
        <v/>
      </c>
      <c r="F1341">
        <f>IF(ISBLANK('ENGAGEMENTS 2026'!B1341),"",'ENGAGEMENTS 2026'!I1341)</f>
        <v/>
      </c>
      <c r="G1341">
        <f>IF(ISBLANK('ENGAGEMENTS 2026'!B1341),"",'ENGAGEMENTS 2026'!L1341)</f>
        <v/>
      </c>
      <c r="H1341">
        <f>IF(ISBLANK('ENGAGEMENTS 2026'!B1341),"",'ENGAGEMENTS 2026'!AE1341)</f>
        <v/>
      </c>
      <c r="I1341">
        <f>IF(ISBLANK('ENGAGEMENTS 2026'!B1341),"",'ENGAGEMENTS 2026'!G1341)</f>
        <v/>
      </c>
      <c r="J1341" s="275">
        <f>IF(ISBLANK('ENGAGEMENTS 2026'!B1341),"",IF(AND(OR($E1341="INFRUCTUEUX",$E1341="ANNULE"),$C1341="AOO-M"),'ENGAGEMENTS 2026'!O1341,IF($H1341="EN COURS DE PREENGAGEMENT",'ENGAGEMENTS 2026'!N1341,IF($H1341="PREENGAGE",IF($E1341="ATTRIBUE",'ENGAGEMENTS 2026'!AD1341,'ENGAGEMENTS 2026'!N1341),'ENGAGEMENTS 2026'!AD1341))))</f>
        <v/>
      </c>
      <c r="K1341" s="604">
        <f>IF(ISBLANK('ENGAGEMENTS 2026'!V1341),"",'ENGAGEMENTS 2026'!V1341)</f>
        <v/>
      </c>
      <c r="L1341" s="276">
        <f>IF($K1341="","",TODAY()-$K1341)</f>
        <v/>
      </c>
      <c r="M1341">
        <f>IF($A1341="","",IF($H1341="ENGAGE","Engagé",IF(AND($H1341="NON ENGAGE",OR($I1341="INFRUCTUEUX",$I1341="ANNULE")),"Clôturé sans suite","En cours")))</f>
        <v/>
      </c>
      <c r="N1341">
        <f>IF(ISBLANK('ENGAGEMENTS 2026'!B1341),"",'ENGAGEMENTS 2026'!K1341)</f>
        <v/>
      </c>
      <c r="O1341">
        <f>IF(ISBLANK('ENGAGEMENTS 2026'!B1341),"",'ENGAGEMENTS 2026'!L1341)</f>
        <v/>
      </c>
      <c r="P1341">
        <f>IF(ISBLANK('ENGAGEMENTS 2026'!B1341),"",'ENGAGEMENTS 2026'!J1341)</f>
        <v/>
      </c>
      <c r="Q1341">
        <f>IF($A1341="","",IF(OR($E1341="INFRUCTUEUX",$E1341="ANNULE"),$A1341&amp;"|"&amp;(COUNTIFS($A$2:$A1341,$A1341,$E$2:$E1341,"INFRUCTUEUX")+COUNTIFS($A$2:$A1341,$A1341,$E$2:$E1341,"ANNULE")),""))</f>
        <v/>
      </c>
    </row>
    <row r="1342">
      <c r="A1342">
        <f>IF(ISBLANK('ENGAGEMENTS 2026'!B1342),"",IF('ENGAGEMENTS 2026'!B1342="DTSI","DCT",'ENGAGEMENTS 2026'!B1342))</f>
        <v/>
      </c>
      <c r="B1342">
        <f>IF(ISBLANK('ENGAGEMENTS 2026'!B1342),"",'ENGAGEMENTS 2026'!C1342)</f>
        <v/>
      </c>
      <c r="C1342">
        <f>IF(ISBLANK('ENGAGEMENTS 2026'!B1342),"",'ENGAGEMENTS 2026'!D1342)</f>
        <v/>
      </c>
      <c r="D1342">
        <f>IF(ISBLANK('ENGAGEMENTS 2026'!B1342),"",'ENGAGEMENTS 2026'!F1342)</f>
        <v/>
      </c>
      <c r="E1342">
        <f>IF(ISBLANK('ENGAGEMENTS 2026'!B1342),"",'ENGAGEMENTS 2026'!H1342)</f>
        <v/>
      </c>
      <c r="F1342">
        <f>IF(ISBLANK('ENGAGEMENTS 2026'!B1342),"",'ENGAGEMENTS 2026'!I1342)</f>
        <v/>
      </c>
      <c r="G1342">
        <f>IF(ISBLANK('ENGAGEMENTS 2026'!B1342),"",'ENGAGEMENTS 2026'!L1342)</f>
        <v/>
      </c>
      <c r="H1342">
        <f>IF(ISBLANK('ENGAGEMENTS 2026'!B1342),"",'ENGAGEMENTS 2026'!AE1342)</f>
        <v/>
      </c>
      <c r="I1342">
        <f>IF(ISBLANK('ENGAGEMENTS 2026'!B1342),"",'ENGAGEMENTS 2026'!G1342)</f>
        <v/>
      </c>
      <c r="J1342" s="275">
        <f>IF(ISBLANK('ENGAGEMENTS 2026'!B1342),"",IF(AND(OR($E1342="INFRUCTUEUX",$E1342="ANNULE"),$C1342="AOO-M"),'ENGAGEMENTS 2026'!O1342,IF($H1342="EN COURS DE PREENGAGEMENT",'ENGAGEMENTS 2026'!N1342,IF($H1342="PREENGAGE",IF($E1342="ATTRIBUE",'ENGAGEMENTS 2026'!AD1342,'ENGAGEMENTS 2026'!N1342),'ENGAGEMENTS 2026'!AD1342))))</f>
        <v/>
      </c>
      <c r="K1342" s="604">
        <f>IF(ISBLANK('ENGAGEMENTS 2026'!V1342),"",'ENGAGEMENTS 2026'!V1342)</f>
        <v/>
      </c>
      <c r="L1342" s="276">
        <f>IF($K1342="","",TODAY()-$K1342)</f>
        <v/>
      </c>
      <c r="M1342">
        <f>IF($A1342="","",IF($H1342="ENGAGE","Engagé",IF(AND($H1342="NON ENGAGE",OR($I1342="INFRUCTUEUX",$I1342="ANNULE")),"Clôturé sans suite","En cours")))</f>
        <v/>
      </c>
      <c r="N1342">
        <f>IF(ISBLANK('ENGAGEMENTS 2026'!B1342),"",'ENGAGEMENTS 2026'!K1342)</f>
        <v/>
      </c>
      <c r="O1342">
        <f>IF(ISBLANK('ENGAGEMENTS 2026'!B1342),"",'ENGAGEMENTS 2026'!L1342)</f>
        <v/>
      </c>
      <c r="P1342">
        <f>IF(ISBLANK('ENGAGEMENTS 2026'!B1342),"",'ENGAGEMENTS 2026'!J1342)</f>
        <v/>
      </c>
      <c r="Q1342">
        <f>IF($A1342="","",IF(OR($E1342="INFRUCTUEUX",$E1342="ANNULE"),$A1342&amp;"|"&amp;(COUNTIFS($A$2:$A1342,$A1342,$E$2:$E1342,"INFRUCTUEUX")+COUNTIFS($A$2:$A1342,$A1342,$E$2:$E1342,"ANNULE")),""))</f>
        <v/>
      </c>
    </row>
    <row r="1343">
      <c r="A1343">
        <f>IF(ISBLANK('ENGAGEMENTS 2026'!B1343),"",IF('ENGAGEMENTS 2026'!B1343="DTSI","DCT",'ENGAGEMENTS 2026'!B1343))</f>
        <v/>
      </c>
      <c r="B1343">
        <f>IF(ISBLANK('ENGAGEMENTS 2026'!B1343),"",'ENGAGEMENTS 2026'!C1343)</f>
        <v/>
      </c>
      <c r="C1343">
        <f>IF(ISBLANK('ENGAGEMENTS 2026'!B1343),"",'ENGAGEMENTS 2026'!D1343)</f>
        <v/>
      </c>
      <c r="D1343">
        <f>IF(ISBLANK('ENGAGEMENTS 2026'!B1343),"",'ENGAGEMENTS 2026'!F1343)</f>
        <v/>
      </c>
      <c r="E1343">
        <f>IF(ISBLANK('ENGAGEMENTS 2026'!B1343),"",'ENGAGEMENTS 2026'!H1343)</f>
        <v/>
      </c>
      <c r="F1343">
        <f>IF(ISBLANK('ENGAGEMENTS 2026'!B1343),"",'ENGAGEMENTS 2026'!I1343)</f>
        <v/>
      </c>
      <c r="G1343">
        <f>IF(ISBLANK('ENGAGEMENTS 2026'!B1343),"",'ENGAGEMENTS 2026'!L1343)</f>
        <v/>
      </c>
      <c r="H1343">
        <f>IF(ISBLANK('ENGAGEMENTS 2026'!B1343),"",'ENGAGEMENTS 2026'!AE1343)</f>
        <v/>
      </c>
      <c r="I1343">
        <f>IF(ISBLANK('ENGAGEMENTS 2026'!B1343),"",'ENGAGEMENTS 2026'!G1343)</f>
        <v/>
      </c>
      <c r="J1343" s="275">
        <f>IF(ISBLANK('ENGAGEMENTS 2026'!B1343),"",IF(AND(OR($E1343="INFRUCTUEUX",$E1343="ANNULE"),$C1343="AOO-M"),'ENGAGEMENTS 2026'!O1343,IF($H1343="EN COURS DE PREENGAGEMENT",'ENGAGEMENTS 2026'!N1343,IF($H1343="PREENGAGE",IF($E1343="ATTRIBUE",'ENGAGEMENTS 2026'!AD1343,'ENGAGEMENTS 2026'!N1343),'ENGAGEMENTS 2026'!AD1343))))</f>
        <v/>
      </c>
      <c r="K1343" s="604">
        <f>IF(ISBLANK('ENGAGEMENTS 2026'!V1343),"",'ENGAGEMENTS 2026'!V1343)</f>
        <v/>
      </c>
      <c r="L1343" s="276">
        <f>IF($K1343="","",TODAY()-$K1343)</f>
        <v/>
      </c>
      <c r="M1343">
        <f>IF($A1343="","",IF($H1343="ENGAGE","Engagé",IF(AND($H1343="NON ENGAGE",OR($I1343="INFRUCTUEUX",$I1343="ANNULE")),"Clôturé sans suite","En cours")))</f>
        <v/>
      </c>
      <c r="N1343">
        <f>IF(ISBLANK('ENGAGEMENTS 2026'!B1343),"",'ENGAGEMENTS 2026'!K1343)</f>
        <v/>
      </c>
      <c r="O1343">
        <f>IF(ISBLANK('ENGAGEMENTS 2026'!B1343),"",'ENGAGEMENTS 2026'!L1343)</f>
        <v/>
      </c>
      <c r="P1343">
        <f>IF(ISBLANK('ENGAGEMENTS 2026'!B1343),"",'ENGAGEMENTS 2026'!J1343)</f>
        <v/>
      </c>
      <c r="Q1343">
        <f>IF($A1343="","",IF(OR($E1343="INFRUCTUEUX",$E1343="ANNULE"),$A1343&amp;"|"&amp;(COUNTIFS($A$2:$A1343,$A1343,$E$2:$E1343,"INFRUCTUEUX")+COUNTIFS($A$2:$A1343,$A1343,$E$2:$E1343,"ANNULE")),""))</f>
        <v/>
      </c>
    </row>
    <row r="1344">
      <c r="A1344">
        <f>IF(ISBLANK('ENGAGEMENTS 2026'!B1344),"",IF('ENGAGEMENTS 2026'!B1344="DTSI","DCT",'ENGAGEMENTS 2026'!B1344))</f>
        <v/>
      </c>
      <c r="B1344">
        <f>IF(ISBLANK('ENGAGEMENTS 2026'!B1344),"",'ENGAGEMENTS 2026'!C1344)</f>
        <v/>
      </c>
      <c r="C1344">
        <f>IF(ISBLANK('ENGAGEMENTS 2026'!B1344),"",'ENGAGEMENTS 2026'!D1344)</f>
        <v/>
      </c>
      <c r="D1344">
        <f>IF(ISBLANK('ENGAGEMENTS 2026'!B1344),"",'ENGAGEMENTS 2026'!F1344)</f>
        <v/>
      </c>
      <c r="E1344">
        <f>IF(ISBLANK('ENGAGEMENTS 2026'!B1344),"",'ENGAGEMENTS 2026'!H1344)</f>
        <v/>
      </c>
      <c r="F1344">
        <f>IF(ISBLANK('ENGAGEMENTS 2026'!B1344),"",'ENGAGEMENTS 2026'!I1344)</f>
        <v/>
      </c>
      <c r="G1344">
        <f>IF(ISBLANK('ENGAGEMENTS 2026'!B1344),"",'ENGAGEMENTS 2026'!L1344)</f>
        <v/>
      </c>
      <c r="H1344">
        <f>IF(ISBLANK('ENGAGEMENTS 2026'!B1344),"",'ENGAGEMENTS 2026'!AE1344)</f>
        <v/>
      </c>
      <c r="I1344">
        <f>IF(ISBLANK('ENGAGEMENTS 2026'!B1344),"",'ENGAGEMENTS 2026'!G1344)</f>
        <v/>
      </c>
      <c r="J1344" s="275">
        <f>IF(ISBLANK('ENGAGEMENTS 2026'!B1344),"",IF(AND(OR($E1344="INFRUCTUEUX",$E1344="ANNULE"),$C1344="AOO-M"),'ENGAGEMENTS 2026'!O1344,IF($H1344="EN COURS DE PREENGAGEMENT",'ENGAGEMENTS 2026'!N1344,IF($H1344="PREENGAGE",IF($E1344="ATTRIBUE",'ENGAGEMENTS 2026'!AD1344,'ENGAGEMENTS 2026'!N1344),'ENGAGEMENTS 2026'!AD1344))))</f>
        <v/>
      </c>
      <c r="K1344" s="604">
        <f>IF(ISBLANK('ENGAGEMENTS 2026'!V1344),"",'ENGAGEMENTS 2026'!V1344)</f>
        <v/>
      </c>
      <c r="L1344" s="276">
        <f>IF($K1344="","",TODAY()-$K1344)</f>
        <v/>
      </c>
      <c r="M1344">
        <f>IF($A1344="","",IF($H1344="ENGAGE","Engagé",IF(AND($H1344="NON ENGAGE",OR($I1344="INFRUCTUEUX",$I1344="ANNULE")),"Clôturé sans suite","En cours")))</f>
        <v/>
      </c>
      <c r="N1344">
        <f>IF(ISBLANK('ENGAGEMENTS 2026'!B1344),"",'ENGAGEMENTS 2026'!K1344)</f>
        <v/>
      </c>
      <c r="O1344">
        <f>IF(ISBLANK('ENGAGEMENTS 2026'!B1344),"",'ENGAGEMENTS 2026'!L1344)</f>
        <v/>
      </c>
      <c r="P1344">
        <f>IF(ISBLANK('ENGAGEMENTS 2026'!B1344),"",'ENGAGEMENTS 2026'!J1344)</f>
        <v/>
      </c>
      <c r="Q1344">
        <f>IF($A1344="","",IF(OR($E1344="INFRUCTUEUX",$E1344="ANNULE"),$A1344&amp;"|"&amp;(COUNTIFS($A$2:$A1344,$A1344,$E$2:$E1344,"INFRUCTUEUX")+COUNTIFS($A$2:$A1344,$A1344,$E$2:$E1344,"ANNULE")),""))</f>
        <v/>
      </c>
    </row>
    <row r="1345">
      <c r="A1345">
        <f>IF(ISBLANK('ENGAGEMENTS 2026'!B1345),"",IF('ENGAGEMENTS 2026'!B1345="DTSI","DCT",'ENGAGEMENTS 2026'!B1345))</f>
        <v/>
      </c>
      <c r="B1345">
        <f>IF(ISBLANK('ENGAGEMENTS 2026'!B1345),"",'ENGAGEMENTS 2026'!C1345)</f>
        <v/>
      </c>
      <c r="C1345">
        <f>IF(ISBLANK('ENGAGEMENTS 2026'!B1345),"",'ENGAGEMENTS 2026'!D1345)</f>
        <v/>
      </c>
      <c r="D1345">
        <f>IF(ISBLANK('ENGAGEMENTS 2026'!B1345),"",'ENGAGEMENTS 2026'!F1345)</f>
        <v/>
      </c>
      <c r="E1345">
        <f>IF(ISBLANK('ENGAGEMENTS 2026'!B1345),"",'ENGAGEMENTS 2026'!H1345)</f>
        <v/>
      </c>
      <c r="F1345">
        <f>IF(ISBLANK('ENGAGEMENTS 2026'!B1345),"",'ENGAGEMENTS 2026'!I1345)</f>
        <v/>
      </c>
      <c r="G1345">
        <f>IF(ISBLANK('ENGAGEMENTS 2026'!B1345),"",'ENGAGEMENTS 2026'!L1345)</f>
        <v/>
      </c>
      <c r="H1345">
        <f>IF(ISBLANK('ENGAGEMENTS 2026'!B1345),"",'ENGAGEMENTS 2026'!AE1345)</f>
        <v/>
      </c>
      <c r="I1345">
        <f>IF(ISBLANK('ENGAGEMENTS 2026'!B1345),"",'ENGAGEMENTS 2026'!G1345)</f>
        <v/>
      </c>
      <c r="J1345" s="275">
        <f>IF(ISBLANK('ENGAGEMENTS 2026'!B1345),"",IF(AND(OR($E1345="INFRUCTUEUX",$E1345="ANNULE"),$C1345="AOO-M"),'ENGAGEMENTS 2026'!O1345,IF($H1345="EN COURS DE PREENGAGEMENT",'ENGAGEMENTS 2026'!N1345,IF($H1345="PREENGAGE",IF($E1345="ATTRIBUE",'ENGAGEMENTS 2026'!AD1345,'ENGAGEMENTS 2026'!N1345),'ENGAGEMENTS 2026'!AD1345))))</f>
        <v/>
      </c>
      <c r="K1345" s="604">
        <f>IF(ISBLANK('ENGAGEMENTS 2026'!V1345),"",'ENGAGEMENTS 2026'!V1345)</f>
        <v/>
      </c>
      <c r="L1345" s="276">
        <f>IF($K1345="","",TODAY()-$K1345)</f>
        <v/>
      </c>
      <c r="M1345">
        <f>IF($A1345="","",IF($H1345="ENGAGE","Engagé",IF(AND($H1345="NON ENGAGE",OR($I1345="INFRUCTUEUX",$I1345="ANNULE")),"Clôturé sans suite","En cours")))</f>
        <v/>
      </c>
      <c r="N1345">
        <f>IF(ISBLANK('ENGAGEMENTS 2026'!B1345),"",'ENGAGEMENTS 2026'!K1345)</f>
        <v/>
      </c>
      <c r="O1345">
        <f>IF(ISBLANK('ENGAGEMENTS 2026'!B1345),"",'ENGAGEMENTS 2026'!L1345)</f>
        <v/>
      </c>
      <c r="P1345">
        <f>IF(ISBLANK('ENGAGEMENTS 2026'!B1345),"",'ENGAGEMENTS 2026'!J1345)</f>
        <v/>
      </c>
      <c r="Q1345">
        <f>IF($A1345="","",IF(OR($E1345="INFRUCTUEUX",$E1345="ANNULE"),$A1345&amp;"|"&amp;(COUNTIFS($A$2:$A1345,$A1345,$E$2:$E1345,"INFRUCTUEUX")+COUNTIFS($A$2:$A1345,$A1345,$E$2:$E1345,"ANNULE")),""))</f>
        <v/>
      </c>
    </row>
    <row r="1346">
      <c r="A1346">
        <f>IF(ISBLANK('ENGAGEMENTS 2026'!B1346),"",IF('ENGAGEMENTS 2026'!B1346="DTSI","DCT",'ENGAGEMENTS 2026'!B1346))</f>
        <v/>
      </c>
      <c r="B1346">
        <f>IF(ISBLANK('ENGAGEMENTS 2026'!B1346),"",'ENGAGEMENTS 2026'!C1346)</f>
        <v/>
      </c>
      <c r="C1346">
        <f>IF(ISBLANK('ENGAGEMENTS 2026'!B1346),"",'ENGAGEMENTS 2026'!D1346)</f>
        <v/>
      </c>
      <c r="D1346">
        <f>IF(ISBLANK('ENGAGEMENTS 2026'!B1346),"",'ENGAGEMENTS 2026'!F1346)</f>
        <v/>
      </c>
      <c r="E1346">
        <f>IF(ISBLANK('ENGAGEMENTS 2026'!B1346),"",'ENGAGEMENTS 2026'!H1346)</f>
        <v/>
      </c>
      <c r="F1346">
        <f>IF(ISBLANK('ENGAGEMENTS 2026'!B1346),"",'ENGAGEMENTS 2026'!I1346)</f>
        <v/>
      </c>
      <c r="G1346">
        <f>IF(ISBLANK('ENGAGEMENTS 2026'!B1346),"",'ENGAGEMENTS 2026'!L1346)</f>
        <v/>
      </c>
      <c r="H1346">
        <f>IF(ISBLANK('ENGAGEMENTS 2026'!B1346),"",'ENGAGEMENTS 2026'!AE1346)</f>
        <v/>
      </c>
      <c r="I1346">
        <f>IF(ISBLANK('ENGAGEMENTS 2026'!B1346),"",'ENGAGEMENTS 2026'!G1346)</f>
        <v/>
      </c>
      <c r="J1346" s="275">
        <f>IF(ISBLANK('ENGAGEMENTS 2026'!B1346),"",IF(AND(OR($E1346="INFRUCTUEUX",$E1346="ANNULE"),$C1346="AOO-M"),'ENGAGEMENTS 2026'!O1346,IF($H1346="EN COURS DE PREENGAGEMENT",'ENGAGEMENTS 2026'!N1346,IF($H1346="PREENGAGE",IF($E1346="ATTRIBUE",'ENGAGEMENTS 2026'!AD1346,'ENGAGEMENTS 2026'!N1346),'ENGAGEMENTS 2026'!AD1346))))</f>
        <v/>
      </c>
      <c r="K1346" s="604">
        <f>IF(ISBLANK('ENGAGEMENTS 2026'!V1346),"",'ENGAGEMENTS 2026'!V1346)</f>
        <v/>
      </c>
      <c r="L1346" s="276">
        <f>IF($K1346="","",TODAY()-$K1346)</f>
        <v/>
      </c>
      <c r="M1346">
        <f>IF($A1346="","",IF($H1346="ENGAGE","Engagé",IF(AND($H1346="NON ENGAGE",OR($I1346="INFRUCTUEUX",$I1346="ANNULE")),"Clôturé sans suite","En cours")))</f>
        <v/>
      </c>
      <c r="N1346">
        <f>IF(ISBLANK('ENGAGEMENTS 2026'!B1346),"",'ENGAGEMENTS 2026'!K1346)</f>
        <v/>
      </c>
      <c r="O1346">
        <f>IF(ISBLANK('ENGAGEMENTS 2026'!B1346),"",'ENGAGEMENTS 2026'!L1346)</f>
        <v/>
      </c>
      <c r="P1346">
        <f>IF(ISBLANK('ENGAGEMENTS 2026'!B1346),"",'ENGAGEMENTS 2026'!J1346)</f>
        <v/>
      </c>
      <c r="Q1346">
        <f>IF($A1346="","",IF(OR($E1346="INFRUCTUEUX",$E1346="ANNULE"),$A1346&amp;"|"&amp;(COUNTIFS($A$2:$A1346,$A1346,$E$2:$E1346,"INFRUCTUEUX")+COUNTIFS($A$2:$A1346,$A1346,$E$2:$E1346,"ANNULE")),""))</f>
        <v/>
      </c>
    </row>
    <row r="1347">
      <c r="A1347">
        <f>IF(ISBLANK('ENGAGEMENTS 2026'!B1347),"",IF('ENGAGEMENTS 2026'!B1347="DTSI","DCT",'ENGAGEMENTS 2026'!B1347))</f>
        <v/>
      </c>
      <c r="B1347">
        <f>IF(ISBLANK('ENGAGEMENTS 2026'!B1347),"",'ENGAGEMENTS 2026'!C1347)</f>
        <v/>
      </c>
      <c r="C1347">
        <f>IF(ISBLANK('ENGAGEMENTS 2026'!B1347),"",'ENGAGEMENTS 2026'!D1347)</f>
        <v/>
      </c>
      <c r="D1347">
        <f>IF(ISBLANK('ENGAGEMENTS 2026'!B1347),"",'ENGAGEMENTS 2026'!F1347)</f>
        <v/>
      </c>
      <c r="E1347">
        <f>IF(ISBLANK('ENGAGEMENTS 2026'!B1347),"",'ENGAGEMENTS 2026'!H1347)</f>
        <v/>
      </c>
      <c r="F1347">
        <f>IF(ISBLANK('ENGAGEMENTS 2026'!B1347),"",'ENGAGEMENTS 2026'!I1347)</f>
        <v/>
      </c>
      <c r="G1347">
        <f>IF(ISBLANK('ENGAGEMENTS 2026'!B1347),"",'ENGAGEMENTS 2026'!L1347)</f>
        <v/>
      </c>
      <c r="H1347">
        <f>IF(ISBLANK('ENGAGEMENTS 2026'!B1347),"",'ENGAGEMENTS 2026'!AE1347)</f>
        <v/>
      </c>
      <c r="I1347">
        <f>IF(ISBLANK('ENGAGEMENTS 2026'!B1347),"",'ENGAGEMENTS 2026'!G1347)</f>
        <v/>
      </c>
      <c r="J1347" s="275">
        <f>IF(ISBLANK('ENGAGEMENTS 2026'!B1347),"",IF(AND(OR($E1347="INFRUCTUEUX",$E1347="ANNULE"),$C1347="AOO-M"),'ENGAGEMENTS 2026'!O1347,IF($H1347="EN COURS DE PREENGAGEMENT",'ENGAGEMENTS 2026'!N1347,IF($H1347="PREENGAGE",IF($E1347="ATTRIBUE",'ENGAGEMENTS 2026'!AD1347,'ENGAGEMENTS 2026'!N1347),'ENGAGEMENTS 2026'!AD1347))))</f>
        <v/>
      </c>
      <c r="K1347" s="604">
        <f>IF(ISBLANK('ENGAGEMENTS 2026'!V1347),"",'ENGAGEMENTS 2026'!V1347)</f>
        <v/>
      </c>
      <c r="L1347" s="276">
        <f>IF($K1347="","",TODAY()-$K1347)</f>
        <v/>
      </c>
      <c r="M1347">
        <f>IF($A1347="","",IF($H1347="ENGAGE","Engagé",IF(AND($H1347="NON ENGAGE",OR($I1347="INFRUCTUEUX",$I1347="ANNULE")),"Clôturé sans suite","En cours")))</f>
        <v/>
      </c>
      <c r="N1347">
        <f>IF(ISBLANK('ENGAGEMENTS 2026'!B1347),"",'ENGAGEMENTS 2026'!K1347)</f>
        <v/>
      </c>
      <c r="O1347">
        <f>IF(ISBLANK('ENGAGEMENTS 2026'!B1347),"",'ENGAGEMENTS 2026'!L1347)</f>
        <v/>
      </c>
      <c r="P1347">
        <f>IF(ISBLANK('ENGAGEMENTS 2026'!B1347),"",'ENGAGEMENTS 2026'!J1347)</f>
        <v/>
      </c>
      <c r="Q1347">
        <f>IF($A1347="","",IF(OR($E1347="INFRUCTUEUX",$E1347="ANNULE"),$A1347&amp;"|"&amp;(COUNTIFS($A$2:$A1347,$A1347,$E$2:$E1347,"INFRUCTUEUX")+COUNTIFS($A$2:$A1347,$A1347,$E$2:$E1347,"ANNULE")),""))</f>
        <v/>
      </c>
    </row>
    <row r="1348">
      <c r="A1348">
        <f>IF(ISBLANK('ENGAGEMENTS 2026'!B1348),"",IF('ENGAGEMENTS 2026'!B1348="DTSI","DCT",'ENGAGEMENTS 2026'!B1348))</f>
        <v/>
      </c>
      <c r="B1348">
        <f>IF(ISBLANK('ENGAGEMENTS 2026'!B1348),"",'ENGAGEMENTS 2026'!C1348)</f>
        <v/>
      </c>
      <c r="C1348">
        <f>IF(ISBLANK('ENGAGEMENTS 2026'!B1348),"",'ENGAGEMENTS 2026'!D1348)</f>
        <v/>
      </c>
      <c r="D1348">
        <f>IF(ISBLANK('ENGAGEMENTS 2026'!B1348),"",'ENGAGEMENTS 2026'!F1348)</f>
        <v/>
      </c>
      <c r="E1348">
        <f>IF(ISBLANK('ENGAGEMENTS 2026'!B1348),"",'ENGAGEMENTS 2026'!H1348)</f>
        <v/>
      </c>
      <c r="F1348">
        <f>IF(ISBLANK('ENGAGEMENTS 2026'!B1348),"",'ENGAGEMENTS 2026'!I1348)</f>
        <v/>
      </c>
      <c r="G1348">
        <f>IF(ISBLANK('ENGAGEMENTS 2026'!B1348),"",'ENGAGEMENTS 2026'!L1348)</f>
        <v/>
      </c>
      <c r="H1348">
        <f>IF(ISBLANK('ENGAGEMENTS 2026'!B1348),"",'ENGAGEMENTS 2026'!AE1348)</f>
        <v/>
      </c>
      <c r="I1348">
        <f>IF(ISBLANK('ENGAGEMENTS 2026'!B1348),"",'ENGAGEMENTS 2026'!G1348)</f>
        <v/>
      </c>
      <c r="J1348" s="275">
        <f>IF(ISBLANK('ENGAGEMENTS 2026'!B1348),"",IF(AND(OR($E1348="INFRUCTUEUX",$E1348="ANNULE"),$C1348="AOO-M"),'ENGAGEMENTS 2026'!O1348,IF($H1348="EN COURS DE PREENGAGEMENT",'ENGAGEMENTS 2026'!N1348,IF($H1348="PREENGAGE",IF($E1348="ATTRIBUE",'ENGAGEMENTS 2026'!AD1348,'ENGAGEMENTS 2026'!N1348),'ENGAGEMENTS 2026'!AD1348))))</f>
        <v/>
      </c>
      <c r="K1348" s="604">
        <f>IF(ISBLANK('ENGAGEMENTS 2026'!V1348),"",'ENGAGEMENTS 2026'!V1348)</f>
        <v/>
      </c>
      <c r="L1348" s="276">
        <f>IF($K1348="","",TODAY()-$K1348)</f>
        <v/>
      </c>
      <c r="M1348">
        <f>IF($A1348="","",IF($H1348="ENGAGE","Engagé",IF(AND($H1348="NON ENGAGE",OR($I1348="INFRUCTUEUX",$I1348="ANNULE")),"Clôturé sans suite","En cours")))</f>
        <v/>
      </c>
      <c r="N1348">
        <f>IF(ISBLANK('ENGAGEMENTS 2026'!B1348),"",'ENGAGEMENTS 2026'!K1348)</f>
        <v/>
      </c>
      <c r="O1348">
        <f>IF(ISBLANK('ENGAGEMENTS 2026'!B1348),"",'ENGAGEMENTS 2026'!L1348)</f>
        <v/>
      </c>
      <c r="P1348">
        <f>IF(ISBLANK('ENGAGEMENTS 2026'!B1348),"",'ENGAGEMENTS 2026'!J1348)</f>
        <v/>
      </c>
      <c r="Q1348">
        <f>IF($A1348="","",IF(OR($E1348="INFRUCTUEUX",$E1348="ANNULE"),$A1348&amp;"|"&amp;(COUNTIFS($A$2:$A1348,$A1348,$E$2:$E1348,"INFRUCTUEUX")+COUNTIFS($A$2:$A1348,$A1348,$E$2:$E1348,"ANNULE")),""))</f>
        <v/>
      </c>
    </row>
    <row r="1349">
      <c r="A1349">
        <f>IF(ISBLANK('ENGAGEMENTS 2026'!B1349),"",IF('ENGAGEMENTS 2026'!B1349="DTSI","DCT",'ENGAGEMENTS 2026'!B1349))</f>
        <v/>
      </c>
      <c r="B1349">
        <f>IF(ISBLANK('ENGAGEMENTS 2026'!B1349),"",'ENGAGEMENTS 2026'!C1349)</f>
        <v/>
      </c>
      <c r="C1349">
        <f>IF(ISBLANK('ENGAGEMENTS 2026'!B1349),"",'ENGAGEMENTS 2026'!D1349)</f>
        <v/>
      </c>
      <c r="D1349">
        <f>IF(ISBLANK('ENGAGEMENTS 2026'!B1349),"",'ENGAGEMENTS 2026'!F1349)</f>
        <v/>
      </c>
      <c r="E1349">
        <f>IF(ISBLANK('ENGAGEMENTS 2026'!B1349),"",'ENGAGEMENTS 2026'!H1349)</f>
        <v/>
      </c>
      <c r="F1349">
        <f>IF(ISBLANK('ENGAGEMENTS 2026'!B1349),"",'ENGAGEMENTS 2026'!I1349)</f>
        <v/>
      </c>
      <c r="G1349">
        <f>IF(ISBLANK('ENGAGEMENTS 2026'!B1349),"",'ENGAGEMENTS 2026'!L1349)</f>
        <v/>
      </c>
      <c r="H1349">
        <f>IF(ISBLANK('ENGAGEMENTS 2026'!B1349),"",'ENGAGEMENTS 2026'!AE1349)</f>
        <v/>
      </c>
      <c r="I1349">
        <f>IF(ISBLANK('ENGAGEMENTS 2026'!B1349),"",'ENGAGEMENTS 2026'!G1349)</f>
        <v/>
      </c>
      <c r="J1349" s="275">
        <f>IF(ISBLANK('ENGAGEMENTS 2026'!B1349),"",IF(AND(OR($E1349="INFRUCTUEUX",$E1349="ANNULE"),$C1349="AOO-M"),'ENGAGEMENTS 2026'!O1349,IF($H1349="EN COURS DE PREENGAGEMENT",'ENGAGEMENTS 2026'!N1349,IF($H1349="PREENGAGE",IF($E1349="ATTRIBUE",'ENGAGEMENTS 2026'!AD1349,'ENGAGEMENTS 2026'!N1349),'ENGAGEMENTS 2026'!AD1349))))</f>
        <v/>
      </c>
      <c r="K1349" s="604">
        <f>IF(ISBLANK('ENGAGEMENTS 2026'!V1349),"",'ENGAGEMENTS 2026'!V1349)</f>
        <v/>
      </c>
      <c r="L1349" s="276">
        <f>IF($K1349="","",TODAY()-$K1349)</f>
        <v/>
      </c>
      <c r="M1349">
        <f>IF($A1349="","",IF($H1349="ENGAGE","Engagé",IF(AND($H1349="NON ENGAGE",OR($I1349="INFRUCTUEUX",$I1349="ANNULE")),"Clôturé sans suite","En cours")))</f>
        <v/>
      </c>
      <c r="N1349">
        <f>IF(ISBLANK('ENGAGEMENTS 2026'!B1349),"",'ENGAGEMENTS 2026'!K1349)</f>
        <v/>
      </c>
      <c r="O1349">
        <f>IF(ISBLANK('ENGAGEMENTS 2026'!B1349),"",'ENGAGEMENTS 2026'!L1349)</f>
        <v/>
      </c>
      <c r="P1349">
        <f>IF(ISBLANK('ENGAGEMENTS 2026'!B1349),"",'ENGAGEMENTS 2026'!J1349)</f>
        <v/>
      </c>
      <c r="Q1349">
        <f>IF($A1349="","",IF(OR($E1349="INFRUCTUEUX",$E1349="ANNULE"),$A1349&amp;"|"&amp;(COUNTIFS($A$2:$A1349,$A1349,$E$2:$E1349,"INFRUCTUEUX")+COUNTIFS($A$2:$A1349,$A1349,$E$2:$E1349,"ANNULE")),""))</f>
        <v/>
      </c>
    </row>
    <row r="1350">
      <c r="A1350">
        <f>IF(ISBLANK('ENGAGEMENTS 2026'!B1350),"",IF('ENGAGEMENTS 2026'!B1350="DTSI","DCT",'ENGAGEMENTS 2026'!B1350))</f>
        <v/>
      </c>
      <c r="B1350">
        <f>IF(ISBLANK('ENGAGEMENTS 2026'!B1350),"",'ENGAGEMENTS 2026'!C1350)</f>
        <v/>
      </c>
      <c r="C1350">
        <f>IF(ISBLANK('ENGAGEMENTS 2026'!B1350),"",'ENGAGEMENTS 2026'!D1350)</f>
        <v/>
      </c>
      <c r="D1350">
        <f>IF(ISBLANK('ENGAGEMENTS 2026'!B1350),"",'ENGAGEMENTS 2026'!F1350)</f>
        <v/>
      </c>
      <c r="E1350">
        <f>IF(ISBLANK('ENGAGEMENTS 2026'!B1350),"",'ENGAGEMENTS 2026'!H1350)</f>
        <v/>
      </c>
      <c r="F1350">
        <f>IF(ISBLANK('ENGAGEMENTS 2026'!B1350),"",'ENGAGEMENTS 2026'!I1350)</f>
        <v/>
      </c>
      <c r="G1350">
        <f>IF(ISBLANK('ENGAGEMENTS 2026'!B1350),"",'ENGAGEMENTS 2026'!L1350)</f>
        <v/>
      </c>
      <c r="H1350">
        <f>IF(ISBLANK('ENGAGEMENTS 2026'!B1350),"",'ENGAGEMENTS 2026'!AE1350)</f>
        <v/>
      </c>
      <c r="I1350">
        <f>IF(ISBLANK('ENGAGEMENTS 2026'!B1350),"",'ENGAGEMENTS 2026'!G1350)</f>
        <v/>
      </c>
      <c r="J1350" s="275">
        <f>IF(ISBLANK('ENGAGEMENTS 2026'!B1350),"",IF(AND(OR($E1350="INFRUCTUEUX",$E1350="ANNULE"),$C1350="AOO-M"),'ENGAGEMENTS 2026'!O1350,IF($H1350="EN COURS DE PREENGAGEMENT",'ENGAGEMENTS 2026'!N1350,IF($H1350="PREENGAGE",IF($E1350="ATTRIBUE",'ENGAGEMENTS 2026'!AD1350,'ENGAGEMENTS 2026'!N1350),'ENGAGEMENTS 2026'!AD1350))))</f>
        <v/>
      </c>
      <c r="K1350" s="604">
        <f>IF(ISBLANK('ENGAGEMENTS 2026'!V1350),"",'ENGAGEMENTS 2026'!V1350)</f>
        <v/>
      </c>
      <c r="L1350" s="276">
        <f>IF($K1350="","",TODAY()-$K1350)</f>
        <v/>
      </c>
      <c r="M1350">
        <f>IF($A1350="","",IF($H1350="ENGAGE","Engagé",IF(AND($H1350="NON ENGAGE",OR($I1350="INFRUCTUEUX",$I1350="ANNULE")),"Clôturé sans suite","En cours")))</f>
        <v/>
      </c>
      <c r="N1350">
        <f>IF(ISBLANK('ENGAGEMENTS 2026'!B1350),"",'ENGAGEMENTS 2026'!K1350)</f>
        <v/>
      </c>
      <c r="O1350">
        <f>IF(ISBLANK('ENGAGEMENTS 2026'!B1350),"",'ENGAGEMENTS 2026'!L1350)</f>
        <v/>
      </c>
      <c r="P1350">
        <f>IF(ISBLANK('ENGAGEMENTS 2026'!B1350),"",'ENGAGEMENTS 2026'!J1350)</f>
        <v/>
      </c>
      <c r="Q1350">
        <f>IF($A1350="","",IF(OR($E1350="INFRUCTUEUX",$E1350="ANNULE"),$A1350&amp;"|"&amp;(COUNTIFS($A$2:$A1350,$A1350,$E$2:$E1350,"INFRUCTUEUX")+COUNTIFS($A$2:$A1350,$A1350,$E$2:$E1350,"ANNULE")),""))</f>
        <v/>
      </c>
    </row>
    <row r="1351">
      <c r="A1351">
        <f>IF(ISBLANK('ENGAGEMENTS 2026'!B1351),"",IF('ENGAGEMENTS 2026'!B1351="DTSI","DCT",'ENGAGEMENTS 2026'!B1351))</f>
        <v/>
      </c>
      <c r="B1351">
        <f>IF(ISBLANK('ENGAGEMENTS 2026'!B1351),"",'ENGAGEMENTS 2026'!C1351)</f>
        <v/>
      </c>
      <c r="C1351">
        <f>IF(ISBLANK('ENGAGEMENTS 2026'!B1351),"",'ENGAGEMENTS 2026'!D1351)</f>
        <v/>
      </c>
      <c r="D1351">
        <f>IF(ISBLANK('ENGAGEMENTS 2026'!B1351),"",'ENGAGEMENTS 2026'!F1351)</f>
        <v/>
      </c>
      <c r="E1351">
        <f>IF(ISBLANK('ENGAGEMENTS 2026'!B1351),"",'ENGAGEMENTS 2026'!H1351)</f>
        <v/>
      </c>
      <c r="F1351">
        <f>IF(ISBLANK('ENGAGEMENTS 2026'!B1351),"",'ENGAGEMENTS 2026'!I1351)</f>
        <v/>
      </c>
      <c r="G1351">
        <f>IF(ISBLANK('ENGAGEMENTS 2026'!B1351),"",'ENGAGEMENTS 2026'!L1351)</f>
        <v/>
      </c>
      <c r="H1351">
        <f>IF(ISBLANK('ENGAGEMENTS 2026'!B1351),"",'ENGAGEMENTS 2026'!AE1351)</f>
        <v/>
      </c>
      <c r="I1351">
        <f>IF(ISBLANK('ENGAGEMENTS 2026'!B1351),"",'ENGAGEMENTS 2026'!G1351)</f>
        <v/>
      </c>
      <c r="J1351" s="275">
        <f>IF(ISBLANK('ENGAGEMENTS 2026'!B1351),"",IF(AND(OR($E1351="INFRUCTUEUX",$E1351="ANNULE"),$C1351="AOO-M"),'ENGAGEMENTS 2026'!O1351,IF($H1351="EN COURS DE PREENGAGEMENT",'ENGAGEMENTS 2026'!N1351,IF($H1351="PREENGAGE",IF($E1351="ATTRIBUE",'ENGAGEMENTS 2026'!AD1351,'ENGAGEMENTS 2026'!N1351),'ENGAGEMENTS 2026'!AD1351))))</f>
        <v/>
      </c>
      <c r="K1351" s="604">
        <f>IF(ISBLANK('ENGAGEMENTS 2026'!V1351),"",'ENGAGEMENTS 2026'!V1351)</f>
        <v/>
      </c>
      <c r="L1351" s="276">
        <f>IF($K1351="","",TODAY()-$K1351)</f>
        <v/>
      </c>
      <c r="M1351">
        <f>IF($A1351="","",IF($H1351="ENGAGE","Engagé",IF(AND($H1351="NON ENGAGE",OR($I1351="INFRUCTUEUX",$I1351="ANNULE")),"Clôturé sans suite","En cours")))</f>
        <v/>
      </c>
      <c r="N1351">
        <f>IF(ISBLANK('ENGAGEMENTS 2026'!B1351),"",'ENGAGEMENTS 2026'!K1351)</f>
        <v/>
      </c>
      <c r="O1351">
        <f>IF(ISBLANK('ENGAGEMENTS 2026'!B1351),"",'ENGAGEMENTS 2026'!L1351)</f>
        <v/>
      </c>
      <c r="P1351">
        <f>IF(ISBLANK('ENGAGEMENTS 2026'!B1351),"",'ENGAGEMENTS 2026'!J1351)</f>
        <v/>
      </c>
      <c r="Q1351">
        <f>IF($A1351="","",IF(OR($E1351="INFRUCTUEUX",$E1351="ANNULE"),$A1351&amp;"|"&amp;(COUNTIFS($A$2:$A1351,$A1351,$E$2:$E1351,"INFRUCTUEUX")+COUNTIFS($A$2:$A1351,$A1351,$E$2:$E1351,"ANNULE")),""))</f>
        <v/>
      </c>
    </row>
    <row r="1352">
      <c r="A1352">
        <f>IF(ISBLANK('ENGAGEMENTS 2026'!B1352),"",IF('ENGAGEMENTS 2026'!B1352="DTSI","DCT",'ENGAGEMENTS 2026'!B1352))</f>
        <v/>
      </c>
      <c r="B1352">
        <f>IF(ISBLANK('ENGAGEMENTS 2026'!B1352),"",'ENGAGEMENTS 2026'!C1352)</f>
        <v/>
      </c>
      <c r="C1352">
        <f>IF(ISBLANK('ENGAGEMENTS 2026'!B1352),"",'ENGAGEMENTS 2026'!D1352)</f>
        <v/>
      </c>
      <c r="D1352">
        <f>IF(ISBLANK('ENGAGEMENTS 2026'!B1352),"",'ENGAGEMENTS 2026'!F1352)</f>
        <v/>
      </c>
      <c r="E1352">
        <f>IF(ISBLANK('ENGAGEMENTS 2026'!B1352),"",'ENGAGEMENTS 2026'!H1352)</f>
        <v/>
      </c>
      <c r="F1352">
        <f>IF(ISBLANK('ENGAGEMENTS 2026'!B1352),"",'ENGAGEMENTS 2026'!I1352)</f>
        <v/>
      </c>
      <c r="G1352">
        <f>IF(ISBLANK('ENGAGEMENTS 2026'!B1352),"",'ENGAGEMENTS 2026'!L1352)</f>
        <v/>
      </c>
      <c r="H1352">
        <f>IF(ISBLANK('ENGAGEMENTS 2026'!B1352),"",'ENGAGEMENTS 2026'!AE1352)</f>
        <v/>
      </c>
      <c r="I1352">
        <f>IF(ISBLANK('ENGAGEMENTS 2026'!B1352),"",'ENGAGEMENTS 2026'!G1352)</f>
        <v/>
      </c>
      <c r="J1352" s="275">
        <f>IF(ISBLANK('ENGAGEMENTS 2026'!B1352),"",IF(AND(OR($E1352="INFRUCTUEUX",$E1352="ANNULE"),$C1352="AOO-M"),'ENGAGEMENTS 2026'!O1352,IF($H1352="EN COURS DE PREENGAGEMENT",'ENGAGEMENTS 2026'!N1352,IF($H1352="PREENGAGE",IF($E1352="ATTRIBUE",'ENGAGEMENTS 2026'!AD1352,'ENGAGEMENTS 2026'!N1352),'ENGAGEMENTS 2026'!AD1352))))</f>
        <v/>
      </c>
      <c r="K1352" s="604">
        <f>IF(ISBLANK('ENGAGEMENTS 2026'!V1352),"",'ENGAGEMENTS 2026'!V1352)</f>
        <v/>
      </c>
      <c r="L1352" s="276">
        <f>IF($K1352="","",TODAY()-$K1352)</f>
        <v/>
      </c>
      <c r="M1352">
        <f>IF($A1352="","",IF($H1352="ENGAGE","Engagé",IF(AND($H1352="NON ENGAGE",OR($I1352="INFRUCTUEUX",$I1352="ANNULE")),"Clôturé sans suite","En cours")))</f>
        <v/>
      </c>
      <c r="N1352">
        <f>IF(ISBLANK('ENGAGEMENTS 2026'!B1352),"",'ENGAGEMENTS 2026'!K1352)</f>
        <v/>
      </c>
      <c r="O1352">
        <f>IF(ISBLANK('ENGAGEMENTS 2026'!B1352),"",'ENGAGEMENTS 2026'!L1352)</f>
        <v/>
      </c>
      <c r="P1352">
        <f>IF(ISBLANK('ENGAGEMENTS 2026'!B1352),"",'ENGAGEMENTS 2026'!J1352)</f>
        <v/>
      </c>
      <c r="Q1352">
        <f>IF($A1352="","",IF(OR($E1352="INFRUCTUEUX",$E1352="ANNULE"),$A1352&amp;"|"&amp;(COUNTIFS($A$2:$A1352,$A1352,$E$2:$E1352,"INFRUCTUEUX")+COUNTIFS($A$2:$A1352,$A1352,$E$2:$E1352,"ANNULE")),""))</f>
        <v/>
      </c>
    </row>
    <row r="1353">
      <c r="A1353">
        <f>IF(ISBLANK('ENGAGEMENTS 2026'!B1353),"",IF('ENGAGEMENTS 2026'!B1353="DTSI","DCT",'ENGAGEMENTS 2026'!B1353))</f>
        <v/>
      </c>
      <c r="B1353">
        <f>IF(ISBLANK('ENGAGEMENTS 2026'!B1353),"",'ENGAGEMENTS 2026'!C1353)</f>
        <v/>
      </c>
      <c r="C1353">
        <f>IF(ISBLANK('ENGAGEMENTS 2026'!B1353),"",'ENGAGEMENTS 2026'!D1353)</f>
        <v/>
      </c>
      <c r="D1353">
        <f>IF(ISBLANK('ENGAGEMENTS 2026'!B1353),"",'ENGAGEMENTS 2026'!F1353)</f>
        <v/>
      </c>
      <c r="E1353">
        <f>IF(ISBLANK('ENGAGEMENTS 2026'!B1353),"",'ENGAGEMENTS 2026'!H1353)</f>
        <v/>
      </c>
      <c r="F1353">
        <f>IF(ISBLANK('ENGAGEMENTS 2026'!B1353),"",'ENGAGEMENTS 2026'!I1353)</f>
        <v/>
      </c>
      <c r="G1353">
        <f>IF(ISBLANK('ENGAGEMENTS 2026'!B1353),"",'ENGAGEMENTS 2026'!L1353)</f>
        <v/>
      </c>
      <c r="H1353">
        <f>IF(ISBLANK('ENGAGEMENTS 2026'!B1353),"",'ENGAGEMENTS 2026'!AE1353)</f>
        <v/>
      </c>
      <c r="I1353">
        <f>IF(ISBLANK('ENGAGEMENTS 2026'!B1353),"",'ENGAGEMENTS 2026'!G1353)</f>
        <v/>
      </c>
      <c r="J1353" s="275">
        <f>IF(ISBLANK('ENGAGEMENTS 2026'!B1353),"",IF(AND(OR($E1353="INFRUCTUEUX",$E1353="ANNULE"),$C1353="AOO-M"),'ENGAGEMENTS 2026'!O1353,IF($H1353="EN COURS DE PREENGAGEMENT",'ENGAGEMENTS 2026'!N1353,IF($H1353="PREENGAGE",IF($E1353="ATTRIBUE",'ENGAGEMENTS 2026'!AD1353,'ENGAGEMENTS 2026'!N1353),'ENGAGEMENTS 2026'!AD1353))))</f>
        <v/>
      </c>
      <c r="K1353" s="604">
        <f>IF(ISBLANK('ENGAGEMENTS 2026'!V1353),"",'ENGAGEMENTS 2026'!V1353)</f>
        <v/>
      </c>
      <c r="L1353" s="276">
        <f>IF($K1353="","",TODAY()-$K1353)</f>
        <v/>
      </c>
      <c r="M1353">
        <f>IF($A1353="","",IF($H1353="ENGAGE","Engagé",IF(AND($H1353="NON ENGAGE",OR($I1353="INFRUCTUEUX",$I1353="ANNULE")),"Clôturé sans suite","En cours")))</f>
        <v/>
      </c>
      <c r="N1353">
        <f>IF(ISBLANK('ENGAGEMENTS 2026'!B1353),"",'ENGAGEMENTS 2026'!K1353)</f>
        <v/>
      </c>
      <c r="O1353">
        <f>IF(ISBLANK('ENGAGEMENTS 2026'!B1353),"",'ENGAGEMENTS 2026'!L1353)</f>
        <v/>
      </c>
      <c r="P1353">
        <f>IF(ISBLANK('ENGAGEMENTS 2026'!B1353),"",'ENGAGEMENTS 2026'!J1353)</f>
        <v/>
      </c>
      <c r="Q1353">
        <f>IF($A1353="","",IF(OR($E1353="INFRUCTUEUX",$E1353="ANNULE"),$A1353&amp;"|"&amp;(COUNTIFS($A$2:$A1353,$A1353,$E$2:$E1353,"INFRUCTUEUX")+COUNTIFS($A$2:$A1353,$A1353,$E$2:$E1353,"ANNULE")),""))</f>
        <v/>
      </c>
    </row>
    <row r="1354">
      <c r="A1354">
        <f>IF(ISBLANK('ENGAGEMENTS 2026'!B1354),"",IF('ENGAGEMENTS 2026'!B1354="DTSI","DCT",'ENGAGEMENTS 2026'!B1354))</f>
        <v/>
      </c>
      <c r="B1354">
        <f>IF(ISBLANK('ENGAGEMENTS 2026'!B1354),"",'ENGAGEMENTS 2026'!C1354)</f>
        <v/>
      </c>
      <c r="C1354">
        <f>IF(ISBLANK('ENGAGEMENTS 2026'!B1354),"",'ENGAGEMENTS 2026'!D1354)</f>
        <v/>
      </c>
      <c r="D1354">
        <f>IF(ISBLANK('ENGAGEMENTS 2026'!B1354),"",'ENGAGEMENTS 2026'!F1354)</f>
        <v/>
      </c>
      <c r="E1354">
        <f>IF(ISBLANK('ENGAGEMENTS 2026'!B1354),"",'ENGAGEMENTS 2026'!H1354)</f>
        <v/>
      </c>
      <c r="F1354">
        <f>IF(ISBLANK('ENGAGEMENTS 2026'!B1354),"",'ENGAGEMENTS 2026'!I1354)</f>
        <v/>
      </c>
      <c r="G1354">
        <f>IF(ISBLANK('ENGAGEMENTS 2026'!B1354),"",'ENGAGEMENTS 2026'!L1354)</f>
        <v/>
      </c>
      <c r="H1354">
        <f>IF(ISBLANK('ENGAGEMENTS 2026'!B1354),"",'ENGAGEMENTS 2026'!AE1354)</f>
        <v/>
      </c>
      <c r="I1354">
        <f>IF(ISBLANK('ENGAGEMENTS 2026'!B1354),"",'ENGAGEMENTS 2026'!G1354)</f>
        <v/>
      </c>
      <c r="J1354" s="275">
        <f>IF(ISBLANK('ENGAGEMENTS 2026'!B1354),"",IF(AND(OR($E1354="INFRUCTUEUX",$E1354="ANNULE"),$C1354="AOO-M"),'ENGAGEMENTS 2026'!O1354,IF($H1354="EN COURS DE PREENGAGEMENT",'ENGAGEMENTS 2026'!N1354,IF($H1354="PREENGAGE",IF($E1354="ATTRIBUE",'ENGAGEMENTS 2026'!AD1354,'ENGAGEMENTS 2026'!N1354),'ENGAGEMENTS 2026'!AD1354))))</f>
        <v/>
      </c>
      <c r="K1354" s="604">
        <f>IF(ISBLANK('ENGAGEMENTS 2026'!V1354),"",'ENGAGEMENTS 2026'!V1354)</f>
        <v/>
      </c>
      <c r="L1354" s="276">
        <f>IF($K1354="","",TODAY()-$K1354)</f>
        <v/>
      </c>
      <c r="M1354">
        <f>IF($A1354="","",IF($H1354="ENGAGE","Engagé",IF(AND($H1354="NON ENGAGE",OR($I1354="INFRUCTUEUX",$I1354="ANNULE")),"Clôturé sans suite","En cours")))</f>
        <v/>
      </c>
      <c r="N1354">
        <f>IF(ISBLANK('ENGAGEMENTS 2026'!B1354),"",'ENGAGEMENTS 2026'!K1354)</f>
        <v/>
      </c>
      <c r="O1354">
        <f>IF(ISBLANK('ENGAGEMENTS 2026'!B1354),"",'ENGAGEMENTS 2026'!L1354)</f>
        <v/>
      </c>
      <c r="P1354">
        <f>IF(ISBLANK('ENGAGEMENTS 2026'!B1354),"",'ENGAGEMENTS 2026'!J1354)</f>
        <v/>
      </c>
      <c r="Q1354">
        <f>IF($A1354="","",IF(OR($E1354="INFRUCTUEUX",$E1354="ANNULE"),$A1354&amp;"|"&amp;(COUNTIFS($A$2:$A1354,$A1354,$E$2:$E1354,"INFRUCTUEUX")+COUNTIFS($A$2:$A1354,$A1354,$E$2:$E1354,"ANNULE")),""))</f>
        <v/>
      </c>
    </row>
    <row r="1355">
      <c r="A1355">
        <f>IF(ISBLANK('ENGAGEMENTS 2026'!B1355),"",IF('ENGAGEMENTS 2026'!B1355="DTSI","DCT",'ENGAGEMENTS 2026'!B1355))</f>
        <v/>
      </c>
      <c r="B1355">
        <f>IF(ISBLANK('ENGAGEMENTS 2026'!B1355),"",'ENGAGEMENTS 2026'!C1355)</f>
        <v/>
      </c>
      <c r="C1355">
        <f>IF(ISBLANK('ENGAGEMENTS 2026'!B1355),"",'ENGAGEMENTS 2026'!D1355)</f>
        <v/>
      </c>
      <c r="D1355">
        <f>IF(ISBLANK('ENGAGEMENTS 2026'!B1355),"",'ENGAGEMENTS 2026'!F1355)</f>
        <v/>
      </c>
      <c r="E1355">
        <f>IF(ISBLANK('ENGAGEMENTS 2026'!B1355),"",'ENGAGEMENTS 2026'!H1355)</f>
        <v/>
      </c>
      <c r="F1355">
        <f>IF(ISBLANK('ENGAGEMENTS 2026'!B1355),"",'ENGAGEMENTS 2026'!I1355)</f>
        <v/>
      </c>
      <c r="G1355">
        <f>IF(ISBLANK('ENGAGEMENTS 2026'!B1355),"",'ENGAGEMENTS 2026'!L1355)</f>
        <v/>
      </c>
      <c r="H1355">
        <f>IF(ISBLANK('ENGAGEMENTS 2026'!B1355),"",'ENGAGEMENTS 2026'!AE1355)</f>
        <v/>
      </c>
      <c r="I1355">
        <f>IF(ISBLANK('ENGAGEMENTS 2026'!B1355),"",'ENGAGEMENTS 2026'!G1355)</f>
        <v/>
      </c>
      <c r="J1355" s="275">
        <f>IF(ISBLANK('ENGAGEMENTS 2026'!B1355),"",IF(AND(OR($E1355="INFRUCTUEUX",$E1355="ANNULE"),$C1355="AOO-M"),'ENGAGEMENTS 2026'!O1355,IF($H1355="EN COURS DE PREENGAGEMENT",'ENGAGEMENTS 2026'!N1355,IF($H1355="PREENGAGE",IF($E1355="ATTRIBUE",'ENGAGEMENTS 2026'!AD1355,'ENGAGEMENTS 2026'!N1355),'ENGAGEMENTS 2026'!AD1355))))</f>
        <v/>
      </c>
      <c r="K1355" s="604">
        <f>IF(ISBLANK('ENGAGEMENTS 2026'!V1355),"",'ENGAGEMENTS 2026'!V1355)</f>
        <v/>
      </c>
      <c r="L1355" s="276">
        <f>IF($K1355="","",TODAY()-$K1355)</f>
        <v/>
      </c>
      <c r="M1355">
        <f>IF($A1355="","",IF($H1355="ENGAGE","Engagé",IF(AND($H1355="NON ENGAGE",OR($I1355="INFRUCTUEUX",$I1355="ANNULE")),"Clôturé sans suite","En cours")))</f>
        <v/>
      </c>
      <c r="N1355">
        <f>IF(ISBLANK('ENGAGEMENTS 2026'!B1355),"",'ENGAGEMENTS 2026'!K1355)</f>
        <v/>
      </c>
      <c r="O1355">
        <f>IF(ISBLANK('ENGAGEMENTS 2026'!B1355),"",'ENGAGEMENTS 2026'!L1355)</f>
        <v/>
      </c>
      <c r="P1355">
        <f>IF(ISBLANK('ENGAGEMENTS 2026'!B1355),"",'ENGAGEMENTS 2026'!J1355)</f>
        <v/>
      </c>
      <c r="Q1355">
        <f>IF($A1355="","",IF(OR($E1355="INFRUCTUEUX",$E1355="ANNULE"),$A1355&amp;"|"&amp;(COUNTIFS($A$2:$A1355,$A1355,$E$2:$E1355,"INFRUCTUEUX")+COUNTIFS($A$2:$A1355,$A1355,$E$2:$E1355,"ANNULE")),""))</f>
        <v/>
      </c>
    </row>
    <row r="1356">
      <c r="A1356">
        <f>IF(ISBLANK('ENGAGEMENTS 2026'!B1356),"",IF('ENGAGEMENTS 2026'!B1356="DTSI","DCT",'ENGAGEMENTS 2026'!B1356))</f>
        <v/>
      </c>
      <c r="B1356">
        <f>IF(ISBLANK('ENGAGEMENTS 2026'!B1356),"",'ENGAGEMENTS 2026'!C1356)</f>
        <v/>
      </c>
      <c r="C1356">
        <f>IF(ISBLANK('ENGAGEMENTS 2026'!B1356),"",'ENGAGEMENTS 2026'!D1356)</f>
        <v/>
      </c>
      <c r="D1356">
        <f>IF(ISBLANK('ENGAGEMENTS 2026'!B1356),"",'ENGAGEMENTS 2026'!F1356)</f>
        <v/>
      </c>
      <c r="E1356">
        <f>IF(ISBLANK('ENGAGEMENTS 2026'!B1356),"",'ENGAGEMENTS 2026'!H1356)</f>
        <v/>
      </c>
      <c r="F1356">
        <f>IF(ISBLANK('ENGAGEMENTS 2026'!B1356),"",'ENGAGEMENTS 2026'!I1356)</f>
        <v/>
      </c>
      <c r="G1356">
        <f>IF(ISBLANK('ENGAGEMENTS 2026'!B1356),"",'ENGAGEMENTS 2026'!L1356)</f>
        <v/>
      </c>
      <c r="H1356">
        <f>IF(ISBLANK('ENGAGEMENTS 2026'!B1356),"",'ENGAGEMENTS 2026'!AE1356)</f>
        <v/>
      </c>
      <c r="I1356">
        <f>IF(ISBLANK('ENGAGEMENTS 2026'!B1356),"",'ENGAGEMENTS 2026'!G1356)</f>
        <v/>
      </c>
      <c r="J1356" s="275">
        <f>IF(ISBLANK('ENGAGEMENTS 2026'!B1356),"",IF(AND(OR($E1356="INFRUCTUEUX",$E1356="ANNULE"),$C1356="AOO-M"),'ENGAGEMENTS 2026'!O1356,IF($H1356="EN COURS DE PREENGAGEMENT",'ENGAGEMENTS 2026'!N1356,IF($H1356="PREENGAGE",IF($E1356="ATTRIBUE",'ENGAGEMENTS 2026'!AD1356,'ENGAGEMENTS 2026'!N1356),'ENGAGEMENTS 2026'!AD1356))))</f>
        <v/>
      </c>
      <c r="K1356" s="604">
        <f>IF(ISBLANK('ENGAGEMENTS 2026'!V1356),"",'ENGAGEMENTS 2026'!V1356)</f>
        <v/>
      </c>
      <c r="L1356" s="276">
        <f>IF($K1356="","",TODAY()-$K1356)</f>
        <v/>
      </c>
      <c r="M1356">
        <f>IF($A1356="","",IF($H1356="ENGAGE","Engagé",IF(AND($H1356="NON ENGAGE",OR($I1356="INFRUCTUEUX",$I1356="ANNULE")),"Clôturé sans suite","En cours")))</f>
        <v/>
      </c>
      <c r="N1356">
        <f>IF(ISBLANK('ENGAGEMENTS 2026'!B1356),"",'ENGAGEMENTS 2026'!K1356)</f>
        <v/>
      </c>
      <c r="O1356">
        <f>IF(ISBLANK('ENGAGEMENTS 2026'!B1356),"",'ENGAGEMENTS 2026'!L1356)</f>
        <v/>
      </c>
      <c r="P1356">
        <f>IF(ISBLANK('ENGAGEMENTS 2026'!B1356),"",'ENGAGEMENTS 2026'!J1356)</f>
        <v/>
      </c>
      <c r="Q1356">
        <f>IF($A1356="","",IF(OR($E1356="INFRUCTUEUX",$E1356="ANNULE"),$A1356&amp;"|"&amp;(COUNTIFS($A$2:$A1356,$A1356,$E$2:$E1356,"INFRUCTUEUX")+COUNTIFS($A$2:$A1356,$A1356,$E$2:$E1356,"ANNULE")),""))</f>
        <v/>
      </c>
    </row>
    <row r="1357">
      <c r="A1357">
        <f>IF(ISBLANK('ENGAGEMENTS 2026'!B1357),"",IF('ENGAGEMENTS 2026'!B1357="DTSI","DCT",'ENGAGEMENTS 2026'!B1357))</f>
        <v/>
      </c>
      <c r="B1357">
        <f>IF(ISBLANK('ENGAGEMENTS 2026'!B1357),"",'ENGAGEMENTS 2026'!C1357)</f>
        <v/>
      </c>
      <c r="C1357">
        <f>IF(ISBLANK('ENGAGEMENTS 2026'!B1357),"",'ENGAGEMENTS 2026'!D1357)</f>
        <v/>
      </c>
      <c r="D1357">
        <f>IF(ISBLANK('ENGAGEMENTS 2026'!B1357),"",'ENGAGEMENTS 2026'!F1357)</f>
        <v/>
      </c>
      <c r="E1357">
        <f>IF(ISBLANK('ENGAGEMENTS 2026'!B1357),"",'ENGAGEMENTS 2026'!H1357)</f>
        <v/>
      </c>
      <c r="F1357">
        <f>IF(ISBLANK('ENGAGEMENTS 2026'!B1357),"",'ENGAGEMENTS 2026'!I1357)</f>
        <v/>
      </c>
      <c r="G1357">
        <f>IF(ISBLANK('ENGAGEMENTS 2026'!B1357),"",'ENGAGEMENTS 2026'!L1357)</f>
        <v/>
      </c>
      <c r="H1357">
        <f>IF(ISBLANK('ENGAGEMENTS 2026'!B1357),"",'ENGAGEMENTS 2026'!AE1357)</f>
        <v/>
      </c>
      <c r="I1357">
        <f>IF(ISBLANK('ENGAGEMENTS 2026'!B1357),"",'ENGAGEMENTS 2026'!G1357)</f>
        <v/>
      </c>
      <c r="J1357" s="275">
        <f>IF(ISBLANK('ENGAGEMENTS 2026'!B1357),"",IF(AND(OR($E1357="INFRUCTUEUX",$E1357="ANNULE"),$C1357="AOO-M"),'ENGAGEMENTS 2026'!O1357,IF($H1357="EN COURS DE PREENGAGEMENT",'ENGAGEMENTS 2026'!N1357,IF($H1357="PREENGAGE",IF($E1357="ATTRIBUE",'ENGAGEMENTS 2026'!AD1357,'ENGAGEMENTS 2026'!N1357),'ENGAGEMENTS 2026'!AD1357))))</f>
        <v/>
      </c>
      <c r="K1357" s="604">
        <f>IF(ISBLANK('ENGAGEMENTS 2026'!V1357),"",'ENGAGEMENTS 2026'!V1357)</f>
        <v/>
      </c>
      <c r="L1357" s="276">
        <f>IF($K1357="","",TODAY()-$K1357)</f>
        <v/>
      </c>
      <c r="M1357">
        <f>IF($A1357="","",IF($H1357="ENGAGE","Engagé",IF(AND($H1357="NON ENGAGE",OR($I1357="INFRUCTUEUX",$I1357="ANNULE")),"Clôturé sans suite","En cours")))</f>
        <v/>
      </c>
      <c r="N1357">
        <f>IF(ISBLANK('ENGAGEMENTS 2026'!B1357),"",'ENGAGEMENTS 2026'!K1357)</f>
        <v/>
      </c>
      <c r="O1357">
        <f>IF(ISBLANK('ENGAGEMENTS 2026'!B1357),"",'ENGAGEMENTS 2026'!L1357)</f>
        <v/>
      </c>
      <c r="P1357">
        <f>IF(ISBLANK('ENGAGEMENTS 2026'!B1357),"",'ENGAGEMENTS 2026'!J1357)</f>
        <v/>
      </c>
      <c r="Q1357">
        <f>IF($A1357="","",IF(OR($E1357="INFRUCTUEUX",$E1357="ANNULE"),$A1357&amp;"|"&amp;(COUNTIFS($A$2:$A1357,$A1357,$E$2:$E1357,"INFRUCTUEUX")+COUNTIFS($A$2:$A1357,$A1357,$E$2:$E1357,"ANNULE")),""))</f>
        <v/>
      </c>
    </row>
    <row r="1358">
      <c r="A1358">
        <f>IF(ISBLANK('ENGAGEMENTS 2026'!B1358),"",IF('ENGAGEMENTS 2026'!B1358="DTSI","DCT",'ENGAGEMENTS 2026'!B1358))</f>
        <v/>
      </c>
      <c r="B1358">
        <f>IF(ISBLANK('ENGAGEMENTS 2026'!B1358),"",'ENGAGEMENTS 2026'!C1358)</f>
        <v/>
      </c>
      <c r="C1358">
        <f>IF(ISBLANK('ENGAGEMENTS 2026'!B1358),"",'ENGAGEMENTS 2026'!D1358)</f>
        <v/>
      </c>
      <c r="D1358">
        <f>IF(ISBLANK('ENGAGEMENTS 2026'!B1358),"",'ENGAGEMENTS 2026'!F1358)</f>
        <v/>
      </c>
      <c r="E1358">
        <f>IF(ISBLANK('ENGAGEMENTS 2026'!B1358),"",'ENGAGEMENTS 2026'!H1358)</f>
        <v/>
      </c>
      <c r="F1358">
        <f>IF(ISBLANK('ENGAGEMENTS 2026'!B1358),"",'ENGAGEMENTS 2026'!I1358)</f>
        <v/>
      </c>
      <c r="G1358">
        <f>IF(ISBLANK('ENGAGEMENTS 2026'!B1358),"",'ENGAGEMENTS 2026'!L1358)</f>
        <v/>
      </c>
      <c r="H1358">
        <f>IF(ISBLANK('ENGAGEMENTS 2026'!B1358),"",'ENGAGEMENTS 2026'!AE1358)</f>
        <v/>
      </c>
      <c r="I1358">
        <f>IF(ISBLANK('ENGAGEMENTS 2026'!B1358),"",'ENGAGEMENTS 2026'!G1358)</f>
        <v/>
      </c>
      <c r="J1358" s="275">
        <f>IF(ISBLANK('ENGAGEMENTS 2026'!B1358),"",IF(AND(OR($E1358="INFRUCTUEUX",$E1358="ANNULE"),$C1358="AOO-M"),'ENGAGEMENTS 2026'!O1358,IF($H1358="EN COURS DE PREENGAGEMENT",'ENGAGEMENTS 2026'!N1358,IF($H1358="PREENGAGE",IF($E1358="ATTRIBUE",'ENGAGEMENTS 2026'!AD1358,'ENGAGEMENTS 2026'!N1358),'ENGAGEMENTS 2026'!AD1358))))</f>
        <v/>
      </c>
      <c r="K1358" s="604">
        <f>IF(ISBLANK('ENGAGEMENTS 2026'!V1358),"",'ENGAGEMENTS 2026'!V1358)</f>
        <v/>
      </c>
      <c r="L1358" s="276">
        <f>IF($K1358="","",TODAY()-$K1358)</f>
        <v/>
      </c>
      <c r="M1358">
        <f>IF($A1358="","",IF($H1358="ENGAGE","Engagé",IF(AND($H1358="NON ENGAGE",OR($I1358="INFRUCTUEUX",$I1358="ANNULE")),"Clôturé sans suite","En cours")))</f>
        <v/>
      </c>
      <c r="N1358">
        <f>IF(ISBLANK('ENGAGEMENTS 2026'!B1358),"",'ENGAGEMENTS 2026'!K1358)</f>
        <v/>
      </c>
      <c r="O1358">
        <f>IF(ISBLANK('ENGAGEMENTS 2026'!B1358),"",'ENGAGEMENTS 2026'!L1358)</f>
        <v/>
      </c>
      <c r="P1358">
        <f>IF(ISBLANK('ENGAGEMENTS 2026'!B1358),"",'ENGAGEMENTS 2026'!J1358)</f>
        <v/>
      </c>
      <c r="Q1358">
        <f>IF($A1358="","",IF(OR($E1358="INFRUCTUEUX",$E1358="ANNULE"),$A1358&amp;"|"&amp;(COUNTIFS($A$2:$A1358,$A1358,$E$2:$E1358,"INFRUCTUEUX")+COUNTIFS($A$2:$A1358,$A1358,$E$2:$E1358,"ANNULE")),""))</f>
        <v/>
      </c>
    </row>
    <row r="1359">
      <c r="A1359">
        <f>IF(ISBLANK('ENGAGEMENTS 2026'!B1359),"",IF('ENGAGEMENTS 2026'!B1359="DTSI","DCT",'ENGAGEMENTS 2026'!B1359))</f>
        <v/>
      </c>
      <c r="B1359">
        <f>IF(ISBLANK('ENGAGEMENTS 2026'!B1359),"",'ENGAGEMENTS 2026'!C1359)</f>
        <v/>
      </c>
      <c r="C1359">
        <f>IF(ISBLANK('ENGAGEMENTS 2026'!B1359),"",'ENGAGEMENTS 2026'!D1359)</f>
        <v/>
      </c>
      <c r="D1359">
        <f>IF(ISBLANK('ENGAGEMENTS 2026'!B1359),"",'ENGAGEMENTS 2026'!F1359)</f>
        <v/>
      </c>
      <c r="E1359">
        <f>IF(ISBLANK('ENGAGEMENTS 2026'!B1359),"",'ENGAGEMENTS 2026'!H1359)</f>
        <v/>
      </c>
      <c r="F1359">
        <f>IF(ISBLANK('ENGAGEMENTS 2026'!B1359),"",'ENGAGEMENTS 2026'!I1359)</f>
        <v/>
      </c>
      <c r="G1359">
        <f>IF(ISBLANK('ENGAGEMENTS 2026'!B1359),"",'ENGAGEMENTS 2026'!L1359)</f>
        <v/>
      </c>
      <c r="H1359">
        <f>IF(ISBLANK('ENGAGEMENTS 2026'!B1359),"",'ENGAGEMENTS 2026'!AE1359)</f>
        <v/>
      </c>
      <c r="I1359">
        <f>IF(ISBLANK('ENGAGEMENTS 2026'!B1359),"",'ENGAGEMENTS 2026'!G1359)</f>
        <v/>
      </c>
      <c r="J1359" s="275">
        <f>IF(ISBLANK('ENGAGEMENTS 2026'!B1359),"",IF(AND(OR($E1359="INFRUCTUEUX",$E1359="ANNULE"),$C1359="AOO-M"),'ENGAGEMENTS 2026'!O1359,IF($H1359="EN COURS DE PREENGAGEMENT",'ENGAGEMENTS 2026'!N1359,IF($H1359="PREENGAGE",IF($E1359="ATTRIBUE",'ENGAGEMENTS 2026'!AD1359,'ENGAGEMENTS 2026'!N1359),'ENGAGEMENTS 2026'!AD1359))))</f>
        <v/>
      </c>
      <c r="K1359" s="604">
        <f>IF(ISBLANK('ENGAGEMENTS 2026'!V1359),"",'ENGAGEMENTS 2026'!V1359)</f>
        <v/>
      </c>
      <c r="L1359" s="276">
        <f>IF($K1359="","",TODAY()-$K1359)</f>
        <v/>
      </c>
      <c r="M1359">
        <f>IF($A1359="","",IF($H1359="ENGAGE","Engagé",IF(AND($H1359="NON ENGAGE",OR($I1359="INFRUCTUEUX",$I1359="ANNULE")),"Clôturé sans suite","En cours")))</f>
        <v/>
      </c>
      <c r="N1359">
        <f>IF(ISBLANK('ENGAGEMENTS 2026'!B1359),"",'ENGAGEMENTS 2026'!K1359)</f>
        <v/>
      </c>
      <c r="O1359">
        <f>IF(ISBLANK('ENGAGEMENTS 2026'!B1359),"",'ENGAGEMENTS 2026'!L1359)</f>
        <v/>
      </c>
      <c r="P1359">
        <f>IF(ISBLANK('ENGAGEMENTS 2026'!B1359),"",'ENGAGEMENTS 2026'!J1359)</f>
        <v/>
      </c>
      <c r="Q1359">
        <f>IF($A1359="","",IF(OR($E1359="INFRUCTUEUX",$E1359="ANNULE"),$A1359&amp;"|"&amp;(COUNTIFS($A$2:$A1359,$A1359,$E$2:$E1359,"INFRUCTUEUX")+COUNTIFS($A$2:$A1359,$A1359,$E$2:$E1359,"ANNULE")),""))</f>
        <v/>
      </c>
    </row>
    <row r="1360">
      <c r="A1360">
        <f>IF(ISBLANK('ENGAGEMENTS 2026'!B1360),"",IF('ENGAGEMENTS 2026'!B1360="DTSI","DCT",'ENGAGEMENTS 2026'!B1360))</f>
        <v/>
      </c>
      <c r="B1360">
        <f>IF(ISBLANK('ENGAGEMENTS 2026'!B1360),"",'ENGAGEMENTS 2026'!C1360)</f>
        <v/>
      </c>
      <c r="C1360">
        <f>IF(ISBLANK('ENGAGEMENTS 2026'!B1360),"",'ENGAGEMENTS 2026'!D1360)</f>
        <v/>
      </c>
      <c r="D1360">
        <f>IF(ISBLANK('ENGAGEMENTS 2026'!B1360),"",'ENGAGEMENTS 2026'!F1360)</f>
        <v/>
      </c>
      <c r="E1360">
        <f>IF(ISBLANK('ENGAGEMENTS 2026'!B1360),"",'ENGAGEMENTS 2026'!H1360)</f>
        <v/>
      </c>
      <c r="F1360">
        <f>IF(ISBLANK('ENGAGEMENTS 2026'!B1360),"",'ENGAGEMENTS 2026'!I1360)</f>
        <v/>
      </c>
      <c r="G1360">
        <f>IF(ISBLANK('ENGAGEMENTS 2026'!B1360),"",'ENGAGEMENTS 2026'!L1360)</f>
        <v/>
      </c>
      <c r="H1360">
        <f>IF(ISBLANK('ENGAGEMENTS 2026'!B1360),"",'ENGAGEMENTS 2026'!AE1360)</f>
        <v/>
      </c>
      <c r="I1360">
        <f>IF(ISBLANK('ENGAGEMENTS 2026'!B1360),"",'ENGAGEMENTS 2026'!G1360)</f>
        <v/>
      </c>
      <c r="J1360" s="275">
        <f>IF(ISBLANK('ENGAGEMENTS 2026'!B1360),"",IF(AND(OR($E1360="INFRUCTUEUX",$E1360="ANNULE"),$C1360="AOO-M"),'ENGAGEMENTS 2026'!O1360,IF($H1360="EN COURS DE PREENGAGEMENT",'ENGAGEMENTS 2026'!N1360,IF($H1360="PREENGAGE",IF($E1360="ATTRIBUE",'ENGAGEMENTS 2026'!AD1360,'ENGAGEMENTS 2026'!N1360),'ENGAGEMENTS 2026'!AD1360))))</f>
        <v/>
      </c>
      <c r="K1360" s="604">
        <f>IF(ISBLANK('ENGAGEMENTS 2026'!V1360),"",'ENGAGEMENTS 2026'!V1360)</f>
        <v/>
      </c>
      <c r="L1360" s="276">
        <f>IF($K1360="","",TODAY()-$K1360)</f>
        <v/>
      </c>
      <c r="M1360">
        <f>IF($A1360="","",IF($H1360="ENGAGE","Engagé",IF(AND($H1360="NON ENGAGE",OR($I1360="INFRUCTUEUX",$I1360="ANNULE")),"Clôturé sans suite","En cours")))</f>
        <v/>
      </c>
      <c r="N1360">
        <f>IF(ISBLANK('ENGAGEMENTS 2026'!B1360),"",'ENGAGEMENTS 2026'!K1360)</f>
        <v/>
      </c>
      <c r="O1360">
        <f>IF(ISBLANK('ENGAGEMENTS 2026'!B1360),"",'ENGAGEMENTS 2026'!L1360)</f>
        <v/>
      </c>
      <c r="P1360">
        <f>IF(ISBLANK('ENGAGEMENTS 2026'!B1360),"",'ENGAGEMENTS 2026'!J1360)</f>
        <v/>
      </c>
      <c r="Q1360">
        <f>IF($A1360="","",IF(OR($E1360="INFRUCTUEUX",$E1360="ANNULE"),$A1360&amp;"|"&amp;(COUNTIFS($A$2:$A1360,$A1360,$E$2:$E1360,"INFRUCTUEUX")+COUNTIFS($A$2:$A1360,$A1360,$E$2:$E1360,"ANNULE")),""))</f>
        <v/>
      </c>
    </row>
    <row r="1361">
      <c r="A1361">
        <f>IF(ISBLANK('ENGAGEMENTS 2026'!B1361),"",IF('ENGAGEMENTS 2026'!B1361="DTSI","DCT",'ENGAGEMENTS 2026'!B1361))</f>
        <v/>
      </c>
      <c r="B1361">
        <f>IF(ISBLANK('ENGAGEMENTS 2026'!B1361),"",'ENGAGEMENTS 2026'!C1361)</f>
        <v/>
      </c>
      <c r="C1361">
        <f>IF(ISBLANK('ENGAGEMENTS 2026'!B1361),"",'ENGAGEMENTS 2026'!D1361)</f>
        <v/>
      </c>
      <c r="D1361">
        <f>IF(ISBLANK('ENGAGEMENTS 2026'!B1361),"",'ENGAGEMENTS 2026'!F1361)</f>
        <v/>
      </c>
      <c r="E1361">
        <f>IF(ISBLANK('ENGAGEMENTS 2026'!B1361),"",'ENGAGEMENTS 2026'!H1361)</f>
        <v/>
      </c>
      <c r="F1361">
        <f>IF(ISBLANK('ENGAGEMENTS 2026'!B1361),"",'ENGAGEMENTS 2026'!I1361)</f>
        <v/>
      </c>
      <c r="G1361">
        <f>IF(ISBLANK('ENGAGEMENTS 2026'!B1361),"",'ENGAGEMENTS 2026'!L1361)</f>
        <v/>
      </c>
      <c r="H1361">
        <f>IF(ISBLANK('ENGAGEMENTS 2026'!B1361),"",'ENGAGEMENTS 2026'!AE1361)</f>
        <v/>
      </c>
      <c r="I1361">
        <f>IF(ISBLANK('ENGAGEMENTS 2026'!B1361),"",'ENGAGEMENTS 2026'!G1361)</f>
        <v/>
      </c>
      <c r="J1361" s="275">
        <f>IF(ISBLANK('ENGAGEMENTS 2026'!B1361),"",IF(AND(OR($E1361="INFRUCTUEUX",$E1361="ANNULE"),$C1361="AOO-M"),'ENGAGEMENTS 2026'!O1361,IF($H1361="EN COURS DE PREENGAGEMENT",'ENGAGEMENTS 2026'!N1361,IF($H1361="PREENGAGE",IF($E1361="ATTRIBUE",'ENGAGEMENTS 2026'!AD1361,'ENGAGEMENTS 2026'!N1361),'ENGAGEMENTS 2026'!AD1361))))</f>
        <v/>
      </c>
      <c r="K1361" s="604">
        <f>IF(ISBLANK('ENGAGEMENTS 2026'!V1361),"",'ENGAGEMENTS 2026'!V1361)</f>
        <v/>
      </c>
      <c r="L1361" s="276">
        <f>IF($K1361="","",TODAY()-$K1361)</f>
        <v/>
      </c>
      <c r="M1361">
        <f>IF($A1361="","",IF($H1361="ENGAGE","Engagé",IF(AND($H1361="NON ENGAGE",OR($I1361="INFRUCTUEUX",$I1361="ANNULE")),"Clôturé sans suite","En cours")))</f>
        <v/>
      </c>
      <c r="N1361">
        <f>IF(ISBLANK('ENGAGEMENTS 2026'!B1361),"",'ENGAGEMENTS 2026'!K1361)</f>
        <v/>
      </c>
      <c r="O1361">
        <f>IF(ISBLANK('ENGAGEMENTS 2026'!B1361),"",'ENGAGEMENTS 2026'!L1361)</f>
        <v/>
      </c>
      <c r="P1361">
        <f>IF(ISBLANK('ENGAGEMENTS 2026'!B1361),"",'ENGAGEMENTS 2026'!J1361)</f>
        <v/>
      </c>
      <c r="Q1361">
        <f>IF($A1361="","",IF(OR($E1361="INFRUCTUEUX",$E1361="ANNULE"),$A1361&amp;"|"&amp;(COUNTIFS($A$2:$A1361,$A1361,$E$2:$E1361,"INFRUCTUEUX")+COUNTIFS($A$2:$A1361,$A1361,$E$2:$E1361,"ANNULE")),""))</f>
        <v/>
      </c>
    </row>
    <row r="1362">
      <c r="A1362">
        <f>IF(ISBLANK('ENGAGEMENTS 2026'!B1362),"",IF('ENGAGEMENTS 2026'!B1362="DTSI","DCT",'ENGAGEMENTS 2026'!B1362))</f>
        <v/>
      </c>
      <c r="B1362">
        <f>IF(ISBLANK('ENGAGEMENTS 2026'!B1362),"",'ENGAGEMENTS 2026'!C1362)</f>
        <v/>
      </c>
      <c r="C1362">
        <f>IF(ISBLANK('ENGAGEMENTS 2026'!B1362),"",'ENGAGEMENTS 2026'!D1362)</f>
        <v/>
      </c>
      <c r="D1362">
        <f>IF(ISBLANK('ENGAGEMENTS 2026'!B1362),"",'ENGAGEMENTS 2026'!F1362)</f>
        <v/>
      </c>
      <c r="E1362">
        <f>IF(ISBLANK('ENGAGEMENTS 2026'!B1362),"",'ENGAGEMENTS 2026'!H1362)</f>
        <v/>
      </c>
      <c r="F1362">
        <f>IF(ISBLANK('ENGAGEMENTS 2026'!B1362),"",'ENGAGEMENTS 2026'!I1362)</f>
        <v/>
      </c>
      <c r="G1362">
        <f>IF(ISBLANK('ENGAGEMENTS 2026'!B1362),"",'ENGAGEMENTS 2026'!L1362)</f>
        <v/>
      </c>
      <c r="H1362">
        <f>IF(ISBLANK('ENGAGEMENTS 2026'!B1362),"",'ENGAGEMENTS 2026'!AE1362)</f>
        <v/>
      </c>
      <c r="I1362">
        <f>IF(ISBLANK('ENGAGEMENTS 2026'!B1362),"",'ENGAGEMENTS 2026'!G1362)</f>
        <v/>
      </c>
      <c r="J1362" s="275">
        <f>IF(ISBLANK('ENGAGEMENTS 2026'!B1362),"",IF(AND(OR($E1362="INFRUCTUEUX",$E1362="ANNULE"),$C1362="AOO-M"),'ENGAGEMENTS 2026'!O1362,IF($H1362="EN COURS DE PREENGAGEMENT",'ENGAGEMENTS 2026'!N1362,IF($H1362="PREENGAGE",IF($E1362="ATTRIBUE",'ENGAGEMENTS 2026'!AD1362,'ENGAGEMENTS 2026'!N1362),'ENGAGEMENTS 2026'!AD1362))))</f>
        <v/>
      </c>
      <c r="K1362" s="604">
        <f>IF(ISBLANK('ENGAGEMENTS 2026'!V1362),"",'ENGAGEMENTS 2026'!V1362)</f>
        <v/>
      </c>
      <c r="L1362" s="276">
        <f>IF($K1362="","",TODAY()-$K1362)</f>
        <v/>
      </c>
      <c r="M1362">
        <f>IF($A1362="","",IF($H1362="ENGAGE","Engagé",IF(AND($H1362="NON ENGAGE",OR($I1362="INFRUCTUEUX",$I1362="ANNULE")),"Clôturé sans suite","En cours")))</f>
        <v/>
      </c>
      <c r="N1362">
        <f>IF(ISBLANK('ENGAGEMENTS 2026'!B1362),"",'ENGAGEMENTS 2026'!K1362)</f>
        <v/>
      </c>
      <c r="O1362">
        <f>IF(ISBLANK('ENGAGEMENTS 2026'!B1362),"",'ENGAGEMENTS 2026'!L1362)</f>
        <v/>
      </c>
      <c r="P1362">
        <f>IF(ISBLANK('ENGAGEMENTS 2026'!B1362),"",'ENGAGEMENTS 2026'!J1362)</f>
        <v/>
      </c>
      <c r="Q1362">
        <f>IF($A1362="","",IF(OR($E1362="INFRUCTUEUX",$E1362="ANNULE"),$A1362&amp;"|"&amp;(COUNTIFS($A$2:$A1362,$A1362,$E$2:$E1362,"INFRUCTUEUX")+COUNTIFS($A$2:$A1362,$A1362,$E$2:$E1362,"ANNULE")),""))</f>
        <v/>
      </c>
    </row>
    <row r="1363">
      <c r="A1363">
        <f>IF(ISBLANK('ENGAGEMENTS 2026'!B1363),"",IF('ENGAGEMENTS 2026'!B1363="DTSI","DCT",'ENGAGEMENTS 2026'!B1363))</f>
        <v/>
      </c>
      <c r="B1363">
        <f>IF(ISBLANK('ENGAGEMENTS 2026'!B1363),"",'ENGAGEMENTS 2026'!C1363)</f>
        <v/>
      </c>
      <c r="C1363">
        <f>IF(ISBLANK('ENGAGEMENTS 2026'!B1363),"",'ENGAGEMENTS 2026'!D1363)</f>
        <v/>
      </c>
      <c r="D1363">
        <f>IF(ISBLANK('ENGAGEMENTS 2026'!B1363),"",'ENGAGEMENTS 2026'!F1363)</f>
        <v/>
      </c>
      <c r="E1363">
        <f>IF(ISBLANK('ENGAGEMENTS 2026'!B1363),"",'ENGAGEMENTS 2026'!H1363)</f>
        <v/>
      </c>
      <c r="F1363">
        <f>IF(ISBLANK('ENGAGEMENTS 2026'!B1363),"",'ENGAGEMENTS 2026'!I1363)</f>
        <v/>
      </c>
      <c r="G1363">
        <f>IF(ISBLANK('ENGAGEMENTS 2026'!B1363),"",'ENGAGEMENTS 2026'!L1363)</f>
        <v/>
      </c>
      <c r="H1363">
        <f>IF(ISBLANK('ENGAGEMENTS 2026'!B1363),"",'ENGAGEMENTS 2026'!AE1363)</f>
        <v/>
      </c>
      <c r="I1363">
        <f>IF(ISBLANK('ENGAGEMENTS 2026'!B1363),"",'ENGAGEMENTS 2026'!G1363)</f>
        <v/>
      </c>
      <c r="J1363" s="275">
        <f>IF(ISBLANK('ENGAGEMENTS 2026'!B1363),"",IF(AND(OR($E1363="INFRUCTUEUX",$E1363="ANNULE"),$C1363="AOO-M"),'ENGAGEMENTS 2026'!O1363,IF($H1363="EN COURS DE PREENGAGEMENT",'ENGAGEMENTS 2026'!N1363,IF($H1363="PREENGAGE",IF($E1363="ATTRIBUE",'ENGAGEMENTS 2026'!AD1363,'ENGAGEMENTS 2026'!N1363),'ENGAGEMENTS 2026'!AD1363))))</f>
        <v/>
      </c>
      <c r="K1363" s="604">
        <f>IF(ISBLANK('ENGAGEMENTS 2026'!V1363),"",'ENGAGEMENTS 2026'!V1363)</f>
        <v/>
      </c>
      <c r="L1363" s="276">
        <f>IF($K1363="","",TODAY()-$K1363)</f>
        <v/>
      </c>
      <c r="M1363">
        <f>IF($A1363="","",IF($H1363="ENGAGE","Engagé",IF(AND($H1363="NON ENGAGE",OR($I1363="INFRUCTUEUX",$I1363="ANNULE")),"Clôturé sans suite","En cours")))</f>
        <v/>
      </c>
      <c r="N1363">
        <f>IF(ISBLANK('ENGAGEMENTS 2026'!B1363),"",'ENGAGEMENTS 2026'!K1363)</f>
        <v/>
      </c>
      <c r="O1363">
        <f>IF(ISBLANK('ENGAGEMENTS 2026'!B1363),"",'ENGAGEMENTS 2026'!L1363)</f>
        <v/>
      </c>
      <c r="P1363">
        <f>IF(ISBLANK('ENGAGEMENTS 2026'!B1363),"",'ENGAGEMENTS 2026'!J1363)</f>
        <v/>
      </c>
      <c r="Q1363">
        <f>IF($A1363="","",IF(OR($E1363="INFRUCTUEUX",$E1363="ANNULE"),$A1363&amp;"|"&amp;(COUNTIFS($A$2:$A1363,$A1363,$E$2:$E1363,"INFRUCTUEUX")+COUNTIFS($A$2:$A1363,$A1363,$E$2:$E1363,"ANNULE")),""))</f>
        <v/>
      </c>
    </row>
    <row r="1364">
      <c r="A1364">
        <f>IF(ISBLANK('ENGAGEMENTS 2026'!B1364),"",IF('ENGAGEMENTS 2026'!B1364="DTSI","DCT",'ENGAGEMENTS 2026'!B1364))</f>
        <v/>
      </c>
      <c r="B1364">
        <f>IF(ISBLANK('ENGAGEMENTS 2026'!B1364),"",'ENGAGEMENTS 2026'!C1364)</f>
        <v/>
      </c>
      <c r="C1364">
        <f>IF(ISBLANK('ENGAGEMENTS 2026'!B1364),"",'ENGAGEMENTS 2026'!D1364)</f>
        <v/>
      </c>
      <c r="D1364">
        <f>IF(ISBLANK('ENGAGEMENTS 2026'!B1364),"",'ENGAGEMENTS 2026'!F1364)</f>
        <v/>
      </c>
      <c r="E1364">
        <f>IF(ISBLANK('ENGAGEMENTS 2026'!B1364),"",'ENGAGEMENTS 2026'!H1364)</f>
        <v/>
      </c>
      <c r="F1364">
        <f>IF(ISBLANK('ENGAGEMENTS 2026'!B1364),"",'ENGAGEMENTS 2026'!I1364)</f>
        <v/>
      </c>
      <c r="G1364">
        <f>IF(ISBLANK('ENGAGEMENTS 2026'!B1364),"",'ENGAGEMENTS 2026'!L1364)</f>
        <v/>
      </c>
      <c r="H1364">
        <f>IF(ISBLANK('ENGAGEMENTS 2026'!B1364),"",'ENGAGEMENTS 2026'!AE1364)</f>
        <v/>
      </c>
      <c r="I1364">
        <f>IF(ISBLANK('ENGAGEMENTS 2026'!B1364),"",'ENGAGEMENTS 2026'!G1364)</f>
        <v/>
      </c>
      <c r="J1364" s="275">
        <f>IF(ISBLANK('ENGAGEMENTS 2026'!B1364),"",IF(AND(OR($E1364="INFRUCTUEUX",$E1364="ANNULE"),$C1364="AOO-M"),'ENGAGEMENTS 2026'!O1364,IF($H1364="EN COURS DE PREENGAGEMENT",'ENGAGEMENTS 2026'!N1364,IF($H1364="PREENGAGE",IF($E1364="ATTRIBUE",'ENGAGEMENTS 2026'!AD1364,'ENGAGEMENTS 2026'!N1364),'ENGAGEMENTS 2026'!AD1364))))</f>
        <v/>
      </c>
      <c r="K1364" s="604">
        <f>IF(ISBLANK('ENGAGEMENTS 2026'!V1364),"",'ENGAGEMENTS 2026'!V1364)</f>
        <v/>
      </c>
      <c r="L1364" s="276">
        <f>IF($K1364="","",TODAY()-$K1364)</f>
        <v/>
      </c>
      <c r="M1364">
        <f>IF($A1364="","",IF($H1364="ENGAGE","Engagé",IF(AND($H1364="NON ENGAGE",OR($I1364="INFRUCTUEUX",$I1364="ANNULE")),"Clôturé sans suite","En cours")))</f>
        <v/>
      </c>
      <c r="N1364">
        <f>IF(ISBLANK('ENGAGEMENTS 2026'!B1364),"",'ENGAGEMENTS 2026'!K1364)</f>
        <v/>
      </c>
      <c r="O1364">
        <f>IF(ISBLANK('ENGAGEMENTS 2026'!B1364),"",'ENGAGEMENTS 2026'!L1364)</f>
        <v/>
      </c>
      <c r="P1364">
        <f>IF(ISBLANK('ENGAGEMENTS 2026'!B1364),"",'ENGAGEMENTS 2026'!J1364)</f>
        <v/>
      </c>
      <c r="Q1364">
        <f>IF($A1364="","",IF(OR($E1364="INFRUCTUEUX",$E1364="ANNULE"),$A1364&amp;"|"&amp;(COUNTIFS($A$2:$A1364,$A1364,$E$2:$E1364,"INFRUCTUEUX")+COUNTIFS($A$2:$A1364,$A1364,$E$2:$E1364,"ANNULE")),""))</f>
        <v/>
      </c>
    </row>
    <row r="1365">
      <c r="A1365">
        <f>IF(ISBLANK('ENGAGEMENTS 2026'!B1365),"",IF('ENGAGEMENTS 2026'!B1365="DTSI","DCT",'ENGAGEMENTS 2026'!B1365))</f>
        <v/>
      </c>
      <c r="B1365">
        <f>IF(ISBLANK('ENGAGEMENTS 2026'!B1365),"",'ENGAGEMENTS 2026'!C1365)</f>
        <v/>
      </c>
      <c r="C1365">
        <f>IF(ISBLANK('ENGAGEMENTS 2026'!B1365),"",'ENGAGEMENTS 2026'!D1365)</f>
        <v/>
      </c>
      <c r="D1365">
        <f>IF(ISBLANK('ENGAGEMENTS 2026'!B1365),"",'ENGAGEMENTS 2026'!F1365)</f>
        <v/>
      </c>
      <c r="E1365">
        <f>IF(ISBLANK('ENGAGEMENTS 2026'!B1365),"",'ENGAGEMENTS 2026'!H1365)</f>
        <v/>
      </c>
      <c r="F1365">
        <f>IF(ISBLANK('ENGAGEMENTS 2026'!B1365),"",'ENGAGEMENTS 2026'!I1365)</f>
        <v/>
      </c>
      <c r="G1365">
        <f>IF(ISBLANK('ENGAGEMENTS 2026'!B1365),"",'ENGAGEMENTS 2026'!L1365)</f>
        <v/>
      </c>
      <c r="H1365">
        <f>IF(ISBLANK('ENGAGEMENTS 2026'!B1365),"",'ENGAGEMENTS 2026'!AE1365)</f>
        <v/>
      </c>
      <c r="I1365">
        <f>IF(ISBLANK('ENGAGEMENTS 2026'!B1365),"",'ENGAGEMENTS 2026'!G1365)</f>
        <v/>
      </c>
      <c r="J1365" s="275">
        <f>IF(ISBLANK('ENGAGEMENTS 2026'!B1365),"",IF(AND(OR($E1365="INFRUCTUEUX",$E1365="ANNULE"),$C1365="AOO-M"),'ENGAGEMENTS 2026'!O1365,IF($H1365="EN COURS DE PREENGAGEMENT",'ENGAGEMENTS 2026'!N1365,IF($H1365="PREENGAGE",IF($E1365="ATTRIBUE",'ENGAGEMENTS 2026'!AD1365,'ENGAGEMENTS 2026'!N1365),'ENGAGEMENTS 2026'!AD1365))))</f>
        <v/>
      </c>
      <c r="K1365" s="604">
        <f>IF(ISBLANK('ENGAGEMENTS 2026'!V1365),"",'ENGAGEMENTS 2026'!V1365)</f>
        <v/>
      </c>
      <c r="L1365" s="276">
        <f>IF($K1365="","",TODAY()-$K1365)</f>
        <v/>
      </c>
      <c r="M1365">
        <f>IF($A1365="","",IF($H1365="ENGAGE","Engagé",IF(AND($H1365="NON ENGAGE",OR($I1365="INFRUCTUEUX",$I1365="ANNULE")),"Clôturé sans suite","En cours")))</f>
        <v/>
      </c>
      <c r="N1365">
        <f>IF(ISBLANK('ENGAGEMENTS 2026'!B1365),"",'ENGAGEMENTS 2026'!K1365)</f>
        <v/>
      </c>
      <c r="O1365">
        <f>IF(ISBLANK('ENGAGEMENTS 2026'!B1365),"",'ENGAGEMENTS 2026'!L1365)</f>
        <v/>
      </c>
      <c r="P1365">
        <f>IF(ISBLANK('ENGAGEMENTS 2026'!B1365),"",'ENGAGEMENTS 2026'!J1365)</f>
        <v/>
      </c>
      <c r="Q1365">
        <f>IF($A1365="","",IF(OR($E1365="INFRUCTUEUX",$E1365="ANNULE"),$A1365&amp;"|"&amp;(COUNTIFS($A$2:$A1365,$A1365,$E$2:$E1365,"INFRUCTUEUX")+COUNTIFS($A$2:$A1365,$A1365,$E$2:$E1365,"ANNULE")),""))</f>
        <v/>
      </c>
    </row>
    <row r="1366">
      <c r="A1366">
        <f>IF(ISBLANK('ENGAGEMENTS 2026'!B1366),"",IF('ENGAGEMENTS 2026'!B1366="DTSI","DCT",'ENGAGEMENTS 2026'!B1366))</f>
        <v/>
      </c>
      <c r="B1366">
        <f>IF(ISBLANK('ENGAGEMENTS 2026'!B1366),"",'ENGAGEMENTS 2026'!C1366)</f>
        <v/>
      </c>
      <c r="C1366">
        <f>IF(ISBLANK('ENGAGEMENTS 2026'!B1366),"",'ENGAGEMENTS 2026'!D1366)</f>
        <v/>
      </c>
      <c r="D1366">
        <f>IF(ISBLANK('ENGAGEMENTS 2026'!B1366),"",'ENGAGEMENTS 2026'!F1366)</f>
        <v/>
      </c>
      <c r="E1366">
        <f>IF(ISBLANK('ENGAGEMENTS 2026'!B1366),"",'ENGAGEMENTS 2026'!H1366)</f>
        <v/>
      </c>
      <c r="F1366">
        <f>IF(ISBLANK('ENGAGEMENTS 2026'!B1366),"",'ENGAGEMENTS 2026'!I1366)</f>
        <v/>
      </c>
      <c r="G1366">
        <f>IF(ISBLANK('ENGAGEMENTS 2026'!B1366),"",'ENGAGEMENTS 2026'!L1366)</f>
        <v/>
      </c>
      <c r="H1366">
        <f>IF(ISBLANK('ENGAGEMENTS 2026'!B1366),"",'ENGAGEMENTS 2026'!AE1366)</f>
        <v/>
      </c>
      <c r="I1366">
        <f>IF(ISBLANK('ENGAGEMENTS 2026'!B1366),"",'ENGAGEMENTS 2026'!G1366)</f>
        <v/>
      </c>
      <c r="J1366" s="275">
        <f>IF(ISBLANK('ENGAGEMENTS 2026'!B1366),"",IF(AND(OR($E1366="INFRUCTUEUX",$E1366="ANNULE"),$C1366="AOO-M"),'ENGAGEMENTS 2026'!O1366,IF($H1366="EN COURS DE PREENGAGEMENT",'ENGAGEMENTS 2026'!N1366,IF($H1366="PREENGAGE",IF($E1366="ATTRIBUE",'ENGAGEMENTS 2026'!AD1366,'ENGAGEMENTS 2026'!N1366),'ENGAGEMENTS 2026'!AD1366))))</f>
        <v/>
      </c>
      <c r="K1366" s="604">
        <f>IF(ISBLANK('ENGAGEMENTS 2026'!V1366),"",'ENGAGEMENTS 2026'!V1366)</f>
        <v/>
      </c>
      <c r="L1366" s="276">
        <f>IF($K1366="","",TODAY()-$K1366)</f>
        <v/>
      </c>
      <c r="M1366">
        <f>IF($A1366="","",IF($H1366="ENGAGE","Engagé",IF(AND($H1366="NON ENGAGE",OR($I1366="INFRUCTUEUX",$I1366="ANNULE")),"Clôturé sans suite","En cours")))</f>
        <v/>
      </c>
      <c r="N1366">
        <f>IF(ISBLANK('ENGAGEMENTS 2026'!B1366),"",'ENGAGEMENTS 2026'!K1366)</f>
        <v/>
      </c>
      <c r="O1366">
        <f>IF(ISBLANK('ENGAGEMENTS 2026'!B1366),"",'ENGAGEMENTS 2026'!L1366)</f>
        <v/>
      </c>
      <c r="P1366">
        <f>IF(ISBLANK('ENGAGEMENTS 2026'!B1366),"",'ENGAGEMENTS 2026'!J1366)</f>
        <v/>
      </c>
      <c r="Q1366">
        <f>IF($A1366="","",IF(OR($E1366="INFRUCTUEUX",$E1366="ANNULE"),$A1366&amp;"|"&amp;(COUNTIFS($A$2:$A1366,$A1366,$E$2:$E1366,"INFRUCTUEUX")+COUNTIFS($A$2:$A1366,$A1366,$E$2:$E1366,"ANNULE")),""))</f>
        <v/>
      </c>
    </row>
    <row r="1367">
      <c r="A1367">
        <f>IF(ISBLANK('ENGAGEMENTS 2026'!B1367),"",IF('ENGAGEMENTS 2026'!B1367="DTSI","DCT",'ENGAGEMENTS 2026'!B1367))</f>
        <v/>
      </c>
      <c r="B1367">
        <f>IF(ISBLANK('ENGAGEMENTS 2026'!B1367),"",'ENGAGEMENTS 2026'!C1367)</f>
        <v/>
      </c>
      <c r="C1367">
        <f>IF(ISBLANK('ENGAGEMENTS 2026'!B1367),"",'ENGAGEMENTS 2026'!D1367)</f>
        <v/>
      </c>
      <c r="D1367">
        <f>IF(ISBLANK('ENGAGEMENTS 2026'!B1367),"",'ENGAGEMENTS 2026'!F1367)</f>
        <v/>
      </c>
      <c r="E1367">
        <f>IF(ISBLANK('ENGAGEMENTS 2026'!B1367),"",'ENGAGEMENTS 2026'!H1367)</f>
        <v/>
      </c>
      <c r="F1367">
        <f>IF(ISBLANK('ENGAGEMENTS 2026'!B1367),"",'ENGAGEMENTS 2026'!I1367)</f>
        <v/>
      </c>
      <c r="G1367">
        <f>IF(ISBLANK('ENGAGEMENTS 2026'!B1367),"",'ENGAGEMENTS 2026'!L1367)</f>
        <v/>
      </c>
      <c r="H1367">
        <f>IF(ISBLANK('ENGAGEMENTS 2026'!B1367),"",'ENGAGEMENTS 2026'!AE1367)</f>
        <v/>
      </c>
      <c r="I1367">
        <f>IF(ISBLANK('ENGAGEMENTS 2026'!B1367),"",'ENGAGEMENTS 2026'!G1367)</f>
        <v/>
      </c>
      <c r="J1367" s="275">
        <f>IF(ISBLANK('ENGAGEMENTS 2026'!B1367),"",IF(AND(OR($E1367="INFRUCTUEUX",$E1367="ANNULE"),$C1367="AOO-M"),'ENGAGEMENTS 2026'!O1367,IF($H1367="EN COURS DE PREENGAGEMENT",'ENGAGEMENTS 2026'!N1367,IF($H1367="PREENGAGE",IF($E1367="ATTRIBUE",'ENGAGEMENTS 2026'!AD1367,'ENGAGEMENTS 2026'!N1367),'ENGAGEMENTS 2026'!AD1367))))</f>
        <v/>
      </c>
      <c r="K1367" s="604">
        <f>IF(ISBLANK('ENGAGEMENTS 2026'!V1367),"",'ENGAGEMENTS 2026'!V1367)</f>
        <v/>
      </c>
      <c r="L1367" s="276">
        <f>IF($K1367="","",TODAY()-$K1367)</f>
        <v/>
      </c>
      <c r="M1367">
        <f>IF($A1367="","",IF($H1367="ENGAGE","Engagé",IF(AND($H1367="NON ENGAGE",OR($I1367="INFRUCTUEUX",$I1367="ANNULE")),"Clôturé sans suite","En cours")))</f>
        <v/>
      </c>
      <c r="N1367">
        <f>IF(ISBLANK('ENGAGEMENTS 2026'!B1367),"",'ENGAGEMENTS 2026'!K1367)</f>
        <v/>
      </c>
      <c r="O1367">
        <f>IF(ISBLANK('ENGAGEMENTS 2026'!B1367),"",'ENGAGEMENTS 2026'!L1367)</f>
        <v/>
      </c>
      <c r="P1367">
        <f>IF(ISBLANK('ENGAGEMENTS 2026'!B1367),"",'ENGAGEMENTS 2026'!J1367)</f>
        <v/>
      </c>
      <c r="Q1367">
        <f>IF($A1367="","",IF(OR($E1367="INFRUCTUEUX",$E1367="ANNULE"),$A1367&amp;"|"&amp;(COUNTIFS($A$2:$A1367,$A1367,$E$2:$E1367,"INFRUCTUEUX")+COUNTIFS($A$2:$A1367,$A1367,$E$2:$E1367,"ANNULE")),""))</f>
        <v/>
      </c>
    </row>
    <row r="1368">
      <c r="A1368">
        <f>IF(ISBLANK('ENGAGEMENTS 2026'!B1368),"",IF('ENGAGEMENTS 2026'!B1368="DTSI","DCT",'ENGAGEMENTS 2026'!B1368))</f>
        <v/>
      </c>
      <c r="B1368">
        <f>IF(ISBLANK('ENGAGEMENTS 2026'!B1368),"",'ENGAGEMENTS 2026'!C1368)</f>
        <v/>
      </c>
      <c r="C1368">
        <f>IF(ISBLANK('ENGAGEMENTS 2026'!B1368),"",'ENGAGEMENTS 2026'!D1368)</f>
        <v/>
      </c>
      <c r="D1368">
        <f>IF(ISBLANK('ENGAGEMENTS 2026'!B1368),"",'ENGAGEMENTS 2026'!F1368)</f>
        <v/>
      </c>
      <c r="E1368">
        <f>IF(ISBLANK('ENGAGEMENTS 2026'!B1368),"",'ENGAGEMENTS 2026'!H1368)</f>
        <v/>
      </c>
      <c r="F1368">
        <f>IF(ISBLANK('ENGAGEMENTS 2026'!B1368),"",'ENGAGEMENTS 2026'!I1368)</f>
        <v/>
      </c>
      <c r="G1368">
        <f>IF(ISBLANK('ENGAGEMENTS 2026'!B1368),"",'ENGAGEMENTS 2026'!L1368)</f>
        <v/>
      </c>
      <c r="H1368">
        <f>IF(ISBLANK('ENGAGEMENTS 2026'!B1368),"",'ENGAGEMENTS 2026'!AE1368)</f>
        <v/>
      </c>
      <c r="I1368">
        <f>IF(ISBLANK('ENGAGEMENTS 2026'!B1368),"",'ENGAGEMENTS 2026'!G1368)</f>
        <v/>
      </c>
      <c r="J1368" s="275">
        <f>IF(ISBLANK('ENGAGEMENTS 2026'!B1368),"",IF(AND(OR($E1368="INFRUCTUEUX",$E1368="ANNULE"),$C1368="AOO-M"),'ENGAGEMENTS 2026'!O1368,IF($H1368="EN COURS DE PREENGAGEMENT",'ENGAGEMENTS 2026'!N1368,IF($H1368="PREENGAGE",IF($E1368="ATTRIBUE",'ENGAGEMENTS 2026'!AD1368,'ENGAGEMENTS 2026'!N1368),'ENGAGEMENTS 2026'!AD1368))))</f>
        <v/>
      </c>
      <c r="K1368" s="604">
        <f>IF(ISBLANK('ENGAGEMENTS 2026'!V1368),"",'ENGAGEMENTS 2026'!V1368)</f>
        <v/>
      </c>
      <c r="L1368" s="276">
        <f>IF($K1368="","",TODAY()-$K1368)</f>
        <v/>
      </c>
      <c r="M1368">
        <f>IF($A1368="","",IF($H1368="ENGAGE","Engagé",IF(AND($H1368="NON ENGAGE",OR($I1368="INFRUCTUEUX",$I1368="ANNULE")),"Clôturé sans suite","En cours")))</f>
        <v/>
      </c>
      <c r="N1368">
        <f>IF(ISBLANK('ENGAGEMENTS 2026'!B1368),"",'ENGAGEMENTS 2026'!K1368)</f>
        <v/>
      </c>
      <c r="O1368">
        <f>IF(ISBLANK('ENGAGEMENTS 2026'!B1368),"",'ENGAGEMENTS 2026'!L1368)</f>
        <v/>
      </c>
      <c r="P1368">
        <f>IF(ISBLANK('ENGAGEMENTS 2026'!B1368),"",'ENGAGEMENTS 2026'!J1368)</f>
        <v/>
      </c>
      <c r="Q1368">
        <f>IF($A1368="","",IF(OR($E1368="INFRUCTUEUX",$E1368="ANNULE"),$A1368&amp;"|"&amp;(COUNTIFS($A$2:$A1368,$A1368,$E$2:$E1368,"INFRUCTUEUX")+COUNTIFS($A$2:$A1368,$A1368,$E$2:$E1368,"ANNULE")),""))</f>
        <v/>
      </c>
    </row>
    <row r="1369">
      <c r="A1369">
        <f>IF(ISBLANK('ENGAGEMENTS 2026'!B1369),"",IF('ENGAGEMENTS 2026'!B1369="DTSI","DCT",'ENGAGEMENTS 2026'!B1369))</f>
        <v/>
      </c>
      <c r="B1369">
        <f>IF(ISBLANK('ENGAGEMENTS 2026'!B1369),"",'ENGAGEMENTS 2026'!C1369)</f>
        <v/>
      </c>
      <c r="C1369">
        <f>IF(ISBLANK('ENGAGEMENTS 2026'!B1369),"",'ENGAGEMENTS 2026'!D1369)</f>
        <v/>
      </c>
      <c r="D1369">
        <f>IF(ISBLANK('ENGAGEMENTS 2026'!B1369),"",'ENGAGEMENTS 2026'!F1369)</f>
        <v/>
      </c>
      <c r="E1369">
        <f>IF(ISBLANK('ENGAGEMENTS 2026'!B1369),"",'ENGAGEMENTS 2026'!H1369)</f>
        <v/>
      </c>
      <c r="F1369">
        <f>IF(ISBLANK('ENGAGEMENTS 2026'!B1369),"",'ENGAGEMENTS 2026'!I1369)</f>
        <v/>
      </c>
      <c r="G1369">
        <f>IF(ISBLANK('ENGAGEMENTS 2026'!B1369),"",'ENGAGEMENTS 2026'!L1369)</f>
        <v/>
      </c>
      <c r="H1369">
        <f>IF(ISBLANK('ENGAGEMENTS 2026'!B1369),"",'ENGAGEMENTS 2026'!AE1369)</f>
        <v/>
      </c>
      <c r="I1369">
        <f>IF(ISBLANK('ENGAGEMENTS 2026'!B1369),"",'ENGAGEMENTS 2026'!G1369)</f>
        <v/>
      </c>
      <c r="J1369" s="275">
        <f>IF(ISBLANK('ENGAGEMENTS 2026'!B1369),"",IF(AND(OR($E1369="INFRUCTUEUX",$E1369="ANNULE"),$C1369="AOO-M"),'ENGAGEMENTS 2026'!O1369,IF($H1369="EN COURS DE PREENGAGEMENT",'ENGAGEMENTS 2026'!N1369,IF($H1369="PREENGAGE",IF($E1369="ATTRIBUE",'ENGAGEMENTS 2026'!AD1369,'ENGAGEMENTS 2026'!N1369),'ENGAGEMENTS 2026'!AD1369))))</f>
        <v/>
      </c>
      <c r="K1369" s="604">
        <f>IF(ISBLANK('ENGAGEMENTS 2026'!V1369),"",'ENGAGEMENTS 2026'!V1369)</f>
        <v/>
      </c>
      <c r="L1369" s="276">
        <f>IF($K1369="","",TODAY()-$K1369)</f>
        <v/>
      </c>
      <c r="M1369">
        <f>IF($A1369="","",IF($H1369="ENGAGE","Engagé",IF(AND($H1369="NON ENGAGE",OR($I1369="INFRUCTUEUX",$I1369="ANNULE")),"Clôturé sans suite","En cours")))</f>
        <v/>
      </c>
      <c r="N1369">
        <f>IF(ISBLANK('ENGAGEMENTS 2026'!B1369),"",'ENGAGEMENTS 2026'!K1369)</f>
        <v/>
      </c>
      <c r="O1369">
        <f>IF(ISBLANK('ENGAGEMENTS 2026'!B1369),"",'ENGAGEMENTS 2026'!L1369)</f>
        <v/>
      </c>
      <c r="P1369">
        <f>IF(ISBLANK('ENGAGEMENTS 2026'!B1369),"",'ENGAGEMENTS 2026'!J1369)</f>
        <v/>
      </c>
      <c r="Q1369">
        <f>IF($A1369="","",IF(OR($E1369="INFRUCTUEUX",$E1369="ANNULE"),$A1369&amp;"|"&amp;(COUNTIFS($A$2:$A1369,$A1369,$E$2:$E1369,"INFRUCTUEUX")+COUNTIFS($A$2:$A1369,$A1369,$E$2:$E1369,"ANNULE")),""))</f>
        <v/>
      </c>
    </row>
    <row r="1370">
      <c r="A1370">
        <f>IF(ISBLANK('ENGAGEMENTS 2026'!B1370),"",IF('ENGAGEMENTS 2026'!B1370="DTSI","DCT",'ENGAGEMENTS 2026'!B1370))</f>
        <v/>
      </c>
      <c r="B1370">
        <f>IF(ISBLANK('ENGAGEMENTS 2026'!B1370),"",'ENGAGEMENTS 2026'!C1370)</f>
        <v/>
      </c>
      <c r="C1370">
        <f>IF(ISBLANK('ENGAGEMENTS 2026'!B1370),"",'ENGAGEMENTS 2026'!D1370)</f>
        <v/>
      </c>
      <c r="D1370">
        <f>IF(ISBLANK('ENGAGEMENTS 2026'!B1370),"",'ENGAGEMENTS 2026'!F1370)</f>
        <v/>
      </c>
      <c r="E1370">
        <f>IF(ISBLANK('ENGAGEMENTS 2026'!B1370),"",'ENGAGEMENTS 2026'!H1370)</f>
        <v/>
      </c>
      <c r="F1370">
        <f>IF(ISBLANK('ENGAGEMENTS 2026'!B1370),"",'ENGAGEMENTS 2026'!I1370)</f>
        <v/>
      </c>
      <c r="G1370">
        <f>IF(ISBLANK('ENGAGEMENTS 2026'!B1370),"",'ENGAGEMENTS 2026'!L1370)</f>
        <v/>
      </c>
      <c r="H1370">
        <f>IF(ISBLANK('ENGAGEMENTS 2026'!B1370),"",'ENGAGEMENTS 2026'!AE1370)</f>
        <v/>
      </c>
      <c r="I1370">
        <f>IF(ISBLANK('ENGAGEMENTS 2026'!B1370),"",'ENGAGEMENTS 2026'!G1370)</f>
        <v/>
      </c>
      <c r="J1370" s="275">
        <f>IF(ISBLANK('ENGAGEMENTS 2026'!B1370),"",IF(AND(OR($E1370="INFRUCTUEUX",$E1370="ANNULE"),$C1370="AOO-M"),'ENGAGEMENTS 2026'!O1370,IF($H1370="EN COURS DE PREENGAGEMENT",'ENGAGEMENTS 2026'!N1370,IF($H1370="PREENGAGE",IF($E1370="ATTRIBUE",'ENGAGEMENTS 2026'!AD1370,'ENGAGEMENTS 2026'!N1370),'ENGAGEMENTS 2026'!AD1370))))</f>
        <v/>
      </c>
      <c r="K1370" s="604">
        <f>IF(ISBLANK('ENGAGEMENTS 2026'!V1370),"",'ENGAGEMENTS 2026'!V1370)</f>
        <v/>
      </c>
      <c r="L1370" s="276">
        <f>IF($K1370="","",TODAY()-$K1370)</f>
        <v/>
      </c>
      <c r="M1370">
        <f>IF($A1370="","",IF($H1370="ENGAGE","Engagé",IF(AND($H1370="NON ENGAGE",OR($I1370="INFRUCTUEUX",$I1370="ANNULE")),"Clôturé sans suite","En cours")))</f>
        <v/>
      </c>
      <c r="N1370">
        <f>IF(ISBLANK('ENGAGEMENTS 2026'!B1370),"",'ENGAGEMENTS 2026'!K1370)</f>
        <v/>
      </c>
      <c r="O1370">
        <f>IF(ISBLANK('ENGAGEMENTS 2026'!B1370),"",'ENGAGEMENTS 2026'!L1370)</f>
        <v/>
      </c>
      <c r="P1370">
        <f>IF(ISBLANK('ENGAGEMENTS 2026'!B1370),"",'ENGAGEMENTS 2026'!J1370)</f>
        <v/>
      </c>
      <c r="Q1370">
        <f>IF($A1370="","",IF(OR($E1370="INFRUCTUEUX",$E1370="ANNULE"),$A1370&amp;"|"&amp;(COUNTIFS($A$2:$A1370,$A1370,$E$2:$E1370,"INFRUCTUEUX")+COUNTIFS($A$2:$A1370,$A1370,$E$2:$E1370,"ANNULE")),""))</f>
        <v/>
      </c>
    </row>
    <row r="1371">
      <c r="A1371">
        <f>IF(ISBLANK('ENGAGEMENTS 2026'!B1371),"",IF('ENGAGEMENTS 2026'!B1371="DTSI","DCT",'ENGAGEMENTS 2026'!B1371))</f>
        <v/>
      </c>
      <c r="B1371">
        <f>IF(ISBLANK('ENGAGEMENTS 2026'!B1371),"",'ENGAGEMENTS 2026'!C1371)</f>
        <v/>
      </c>
      <c r="C1371">
        <f>IF(ISBLANK('ENGAGEMENTS 2026'!B1371),"",'ENGAGEMENTS 2026'!D1371)</f>
        <v/>
      </c>
      <c r="D1371">
        <f>IF(ISBLANK('ENGAGEMENTS 2026'!B1371),"",'ENGAGEMENTS 2026'!F1371)</f>
        <v/>
      </c>
      <c r="E1371">
        <f>IF(ISBLANK('ENGAGEMENTS 2026'!B1371),"",'ENGAGEMENTS 2026'!H1371)</f>
        <v/>
      </c>
      <c r="F1371">
        <f>IF(ISBLANK('ENGAGEMENTS 2026'!B1371),"",'ENGAGEMENTS 2026'!I1371)</f>
        <v/>
      </c>
      <c r="G1371">
        <f>IF(ISBLANK('ENGAGEMENTS 2026'!B1371),"",'ENGAGEMENTS 2026'!L1371)</f>
        <v/>
      </c>
      <c r="H1371">
        <f>IF(ISBLANK('ENGAGEMENTS 2026'!B1371),"",'ENGAGEMENTS 2026'!AE1371)</f>
        <v/>
      </c>
      <c r="I1371">
        <f>IF(ISBLANK('ENGAGEMENTS 2026'!B1371),"",'ENGAGEMENTS 2026'!G1371)</f>
        <v/>
      </c>
      <c r="J1371" s="275">
        <f>IF(ISBLANK('ENGAGEMENTS 2026'!B1371),"",IF(AND(OR($E1371="INFRUCTUEUX",$E1371="ANNULE"),$C1371="AOO-M"),'ENGAGEMENTS 2026'!O1371,IF($H1371="EN COURS DE PREENGAGEMENT",'ENGAGEMENTS 2026'!N1371,IF($H1371="PREENGAGE",IF($E1371="ATTRIBUE",'ENGAGEMENTS 2026'!AD1371,'ENGAGEMENTS 2026'!N1371),'ENGAGEMENTS 2026'!AD1371))))</f>
        <v/>
      </c>
      <c r="K1371" s="604">
        <f>IF(ISBLANK('ENGAGEMENTS 2026'!V1371),"",'ENGAGEMENTS 2026'!V1371)</f>
        <v/>
      </c>
      <c r="L1371" s="276">
        <f>IF($K1371="","",TODAY()-$K1371)</f>
        <v/>
      </c>
      <c r="M1371">
        <f>IF($A1371="","",IF($H1371="ENGAGE","Engagé",IF(AND($H1371="NON ENGAGE",OR($I1371="INFRUCTUEUX",$I1371="ANNULE")),"Clôturé sans suite","En cours")))</f>
        <v/>
      </c>
      <c r="N1371">
        <f>IF(ISBLANK('ENGAGEMENTS 2026'!B1371),"",'ENGAGEMENTS 2026'!K1371)</f>
        <v/>
      </c>
      <c r="O1371">
        <f>IF(ISBLANK('ENGAGEMENTS 2026'!B1371),"",'ENGAGEMENTS 2026'!L1371)</f>
        <v/>
      </c>
      <c r="P1371">
        <f>IF(ISBLANK('ENGAGEMENTS 2026'!B1371),"",'ENGAGEMENTS 2026'!J1371)</f>
        <v/>
      </c>
      <c r="Q1371">
        <f>IF($A1371="","",IF(OR($E1371="INFRUCTUEUX",$E1371="ANNULE"),$A1371&amp;"|"&amp;(COUNTIFS($A$2:$A1371,$A1371,$E$2:$E1371,"INFRUCTUEUX")+COUNTIFS($A$2:$A1371,$A1371,$E$2:$E1371,"ANNULE")),""))</f>
        <v/>
      </c>
    </row>
    <row r="1372">
      <c r="A1372">
        <f>IF(ISBLANK('ENGAGEMENTS 2026'!B1372),"",IF('ENGAGEMENTS 2026'!B1372="DTSI","DCT",'ENGAGEMENTS 2026'!B1372))</f>
        <v/>
      </c>
      <c r="B1372">
        <f>IF(ISBLANK('ENGAGEMENTS 2026'!B1372),"",'ENGAGEMENTS 2026'!C1372)</f>
        <v/>
      </c>
      <c r="C1372">
        <f>IF(ISBLANK('ENGAGEMENTS 2026'!B1372),"",'ENGAGEMENTS 2026'!D1372)</f>
        <v/>
      </c>
      <c r="D1372">
        <f>IF(ISBLANK('ENGAGEMENTS 2026'!B1372),"",'ENGAGEMENTS 2026'!F1372)</f>
        <v/>
      </c>
      <c r="E1372">
        <f>IF(ISBLANK('ENGAGEMENTS 2026'!B1372),"",'ENGAGEMENTS 2026'!H1372)</f>
        <v/>
      </c>
      <c r="F1372">
        <f>IF(ISBLANK('ENGAGEMENTS 2026'!B1372),"",'ENGAGEMENTS 2026'!I1372)</f>
        <v/>
      </c>
      <c r="G1372">
        <f>IF(ISBLANK('ENGAGEMENTS 2026'!B1372),"",'ENGAGEMENTS 2026'!L1372)</f>
        <v/>
      </c>
      <c r="H1372">
        <f>IF(ISBLANK('ENGAGEMENTS 2026'!B1372),"",'ENGAGEMENTS 2026'!AE1372)</f>
        <v/>
      </c>
      <c r="I1372">
        <f>IF(ISBLANK('ENGAGEMENTS 2026'!B1372),"",'ENGAGEMENTS 2026'!G1372)</f>
        <v/>
      </c>
      <c r="J1372" s="275">
        <f>IF(ISBLANK('ENGAGEMENTS 2026'!B1372),"",IF(AND(OR($E1372="INFRUCTUEUX",$E1372="ANNULE"),$C1372="AOO-M"),'ENGAGEMENTS 2026'!O1372,IF($H1372="EN COURS DE PREENGAGEMENT",'ENGAGEMENTS 2026'!N1372,IF($H1372="PREENGAGE",IF($E1372="ATTRIBUE",'ENGAGEMENTS 2026'!AD1372,'ENGAGEMENTS 2026'!N1372),'ENGAGEMENTS 2026'!AD1372))))</f>
        <v/>
      </c>
      <c r="K1372" s="604">
        <f>IF(ISBLANK('ENGAGEMENTS 2026'!V1372),"",'ENGAGEMENTS 2026'!V1372)</f>
        <v/>
      </c>
      <c r="L1372" s="276">
        <f>IF($K1372="","",TODAY()-$K1372)</f>
        <v/>
      </c>
      <c r="M1372">
        <f>IF($A1372="","",IF($H1372="ENGAGE","Engagé",IF(AND($H1372="NON ENGAGE",OR($I1372="INFRUCTUEUX",$I1372="ANNULE")),"Clôturé sans suite","En cours")))</f>
        <v/>
      </c>
      <c r="N1372">
        <f>IF(ISBLANK('ENGAGEMENTS 2026'!B1372),"",'ENGAGEMENTS 2026'!K1372)</f>
        <v/>
      </c>
      <c r="O1372">
        <f>IF(ISBLANK('ENGAGEMENTS 2026'!B1372),"",'ENGAGEMENTS 2026'!L1372)</f>
        <v/>
      </c>
      <c r="P1372">
        <f>IF(ISBLANK('ENGAGEMENTS 2026'!B1372),"",'ENGAGEMENTS 2026'!J1372)</f>
        <v/>
      </c>
      <c r="Q1372">
        <f>IF($A1372="","",IF(OR($E1372="INFRUCTUEUX",$E1372="ANNULE"),$A1372&amp;"|"&amp;(COUNTIFS($A$2:$A1372,$A1372,$E$2:$E1372,"INFRUCTUEUX")+COUNTIFS($A$2:$A1372,$A1372,$E$2:$E1372,"ANNULE")),""))</f>
        <v/>
      </c>
    </row>
    <row r="1373">
      <c r="A1373">
        <f>IF(ISBLANK('ENGAGEMENTS 2026'!B1373),"",IF('ENGAGEMENTS 2026'!B1373="DTSI","DCT",'ENGAGEMENTS 2026'!B1373))</f>
        <v/>
      </c>
      <c r="B1373">
        <f>IF(ISBLANK('ENGAGEMENTS 2026'!B1373),"",'ENGAGEMENTS 2026'!C1373)</f>
        <v/>
      </c>
      <c r="C1373">
        <f>IF(ISBLANK('ENGAGEMENTS 2026'!B1373),"",'ENGAGEMENTS 2026'!D1373)</f>
        <v/>
      </c>
      <c r="D1373">
        <f>IF(ISBLANK('ENGAGEMENTS 2026'!B1373),"",'ENGAGEMENTS 2026'!F1373)</f>
        <v/>
      </c>
      <c r="E1373">
        <f>IF(ISBLANK('ENGAGEMENTS 2026'!B1373),"",'ENGAGEMENTS 2026'!H1373)</f>
        <v/>
      </c>
      <c r="F1373">
        <f>IF(ISBLANK('ENGAGEMENTS 2026'!B1373),"",'ENGAGEMENTS 2026'!I1373)</f>
        <v/>
      </c>
      <c r="G1373">
        <f>IF(ISBLANK('ENGAGEMENTS 2026'!B1373),"",'ENGAGEMENTS 2026'!L1373)</f>
        <v/>
      </c>
      <c r="H1373">
        <f>IF(ISBLANK('ENGAGEMENTS 2026'!B1373),"",'ENGAGEMENTS 2026'!AE1373)</f>
        <v/>
      </c>
      <c r="I1373">
        <f>IF(ISBLANK('ENGAGEMENTS 2026'!B1373),"",'ENGAGEMENTS 2026'!G1373)</f>
        <v/>
      </c>
      <c r="J1373" s="275">
        <f>IF(ISBLANK('ENGAGEMENTS 2026'!B1373),"",IF(AND(OR($E1373="INFRUCTUEUX",$E1373="ANNULE"),$C1373="AOO-M"),'ENGAGEMENTS 2026'!O1373,IF($H1373="EN COURS DE PREENGAGEMENT",'ENGAGEMENTS 2026'!N1373,IF($H1373="PREENGAGE",IF($E1373="ATTRIBUE",'ENGAGEMENTS 2026'!AD1373,'ENGAGEMENTS 2026'!N1373),'ENGAGEMENTS 2026'!AD1373))))</f>
        <v/>
      </c>
      <c r="K1373" s="604">
        <f>IF(ISBLANK('ENGAGEMENTS 2026'!V1373),"",'ENGAGEMENTS 2026'!V1373)</f>
        <v/>
      </c>
      <c r="L1373" s="276">
        <f>IF($K1373="","",TODAY()-$K1373)</f>
        <v/>
      </c>
      <c r="M1373">
        <f>IF($A1373="","",IF($H1373="ENGAGE","Engagé",IF(AND($H1373="NON ENGAGE",OR($I1373="INFRUCTUEUX",$I1373="ANNULE")),"Clôturé sans suite","En cours")))</f>
        <v/>
      </c>
      <c r="N1373">
        <f>IF(ISBLANK('ENGAGEMENTS 2026'!B1373),"",'ENGAGEMENTS 2026'!K1373)</f>
        <v/>
      </c>
      <c r="O1373">
        <f>IF(ISBLANK('ENGAGEMENTS 2026'!B1373),"",'ENGAGEMENTS 2026'!L1373)</f>
        <v/>
      </c>
      <c r="P1373">
        <f>IF(ISBLANK('ENGAGEMENTS 2026'!B1373),"",'ENGAGEMENTS 2026'!J1373)</f>
        <v/>
      </c>
      <c r="Q1373">
        <f>IF($A1373="","",IF(OR($E1373="INFRUCTUEUX",$E1373="ANNULE"),$A1373&amp;"|"&amp;(COUNTIFS($A$2:$A1373,$A1373,$E$2:$E1373,"INFRUCTUEUX")+COUNTIFS($A$2:$A1373,$A1373,$E$2:$E1373,"ANNULE")),""))</f>
        <v/>
      </c>
    </row>
    <row r="1374">
      <c r="A1374">
        <f>IF(ISBLANK('ENGAGEMENTS 2026'!B1374),"",IF('ENGAGEMENTS 2026'!B1374="DTSI","DCT",'ENGAGEMENTS 2026'!B1374))</f>
        <v/>
      </c>
      <c r="B1374">
        <f>IF(ISBLANK('ENGAGEMENTS 2026'!B1374),"",'ENGAGEMENTS 2026'!C1374)</f>
        <v/>
      </c>
      <c r="C1374">
        <f>IF(ISBLANK('ENGAGEMENTS 2026'!B1374),"",'ENGAGEMENTS 2026'!D1374)</f>
        <v/>
      </c>
      <c r="D1374">
        <f>IF(ISBLANK('ENGAGEMENTS 2026'!B1374),"",'ENGAGEMENTS 2026'!F1374)</f>
        <v/>
      </c>
      <c r="E1374">
        <f>IF(ISBLANK('ENGAGEMENTS 2026'!B1374),"",'ENGAGEMENTS 2026'!H1374)</f>
        <v/>
      </c>
      <c r="F1374">
        <f>IF(ISBLANK('ENGAGEMENTS 2026'!B1374),"",'ENGAGEMENTS 2026'!I1374)</f>
        <v/>
      </c>
      <c r="G1374">
        <f>IF(ISBLANK('ENGAGEMENTS 2026'!B1374),"",'ENGAGEMENTS 2026'!L1374)</f>
        <v/>
      </c>
      <c r="H1374">
        <f>IF(ISBLANK('ENGAGEMENTS 2026'!B1374),"",'ENGAGEMENTS 2026'!AE1374)</f>
        <v/>
      </c>
      <c r="I1374">
        <f>IF(ISBLANK('ENGAGEMENTS 2026'!B1374),"",'ENGAGEMENTS 2026'!G1374)</f>
        <v/>
      </c>
      <c r="J1374" s="275">
        <f>IF(ISBLANK('ENGAGEMENTS 2026'!B1374),"",IF(AND(OR($E1374="INFRUCTUEUX",$E1374="ANNULE"),$C1374="AOO-M"),'ENGAGEMENTS 2026'!O1374,IF($H1374="EN COURS DE PREENGAGEMENT",'ENGAGEMENTS 2026'!N1374,IF($H1374="PREENGAGE",IF($E1374="ATTRIBUE",'ENGAGEMENTS 2026'!AD1374,'ENGAGEMENTS 2026'!N1374),'ENGAGEMENTS 2026'!AD1374))))</f>
        <v/>
      </c>
      <c r="K1374" s="604">
        <f>IF(ISBLANK('ENGAGEMENTS 2026'!V1374),"",'ENGAGEMENTS 2026'!V1374)</f>
        <v/>
      </c>
      <c r="L1374" s="276">
        <f>IF($K1374="","",TODAY()-$K1374)</f>
        <v/>
      </c>
      <c r="M1374">
        <f>IF($A1374="","",IF($H1374="ENGAGE","Engagé",IF(AND($H1374="NON ENGAGE",OR($I1374="INFRUCTUEUX",$I1374="ANNULE")),"Clôturé sans suite","En cours")))</f>
        <v/>
      </c>
      <c r="N1374">
        <f>IF(ISBLANK('ENGAGEMENTS 2026'!B1374),"",'ENGAGEMENTS 2026'!K1374)</f>
        <v/>
      </c>
      <c r="O1374">
        <f>IF(ISBLANK('ENGAGEMENTS 2026'!B1374),"",'ENGAGEMENTS 2026'!L1374)</f>
        <v/>
      </c>
      <c r="P1374">
        <f>IF(ISBLANK('ENGAGEMENTS 2026'!B1374),"",'ENGAGEMENTS 2026'!J1374)</f>
        <v/>
      </c>
      <c r="Q1374">
        <f>IF($A1374="","",IF(OR($E1374="INFRUCTUEUX",$E1374="ANNULE"),$A1374&amp;"|"&amp;(COUNTIFS($A$2:$A1374,$A1374,$E$2:$E1374,"INFRUCTUEUX")+COUNTIFS($A$2:$A1374,$A1374,$E$2:$E1374,"ANNULE")),""))</f>
        <v/>
      </c>
    </row>
    <row r="1375">
      <c r="A1375">
        <f>IF(ISBLANK('ENGAGEMENTS 2026'!B1375),"",IF('ENGAGEMENTS 2026'!B1375="DTSI","DCT",'ENGAGEMENTS 2026'!B1375))</f>
        <v/>
      </c>
      <c r="B1375">
        <f>IF(ISBLANK('ENGAGEMENTS 2026'!B1375),"",'ENGAGEMENTS 2026'!C1375)</f>
        <v/>
      </c>
      <c r="C1375">
        <f>IF(ISBLANK('ENGAGEMENTS 2026'!B1375),"",'ENGAGEMENTS 2026'!D1375)</f>
        <v/>
      </c>
      <c r="D1375">
        <f>IF(ISBLANK('ENGAGEMENTS 2026'!B1375),"",'ENGAGEMENTS 2026'!F1375)</f>
        <v/>
      </c>
      <c r="E1375">
        <f>IF(ISBLANK('ENGAGEMENTS 2026'!B1375),"",'ENGAGEMENTS 2026'!H1375)</f>
        <v/>
      </c>
      <c r="F1375">
        <f>IF(ISBLANK('ENGAGEMENTS 2026'!B1375),"",'ENGAGEMENTS 2026'!I1375)</f>
        <v/>
      </c>
      <c r="G1375">
        <f>IF(ISBLANK('ENGAGEMENTS 2026'!B1375),"",'ENGAGEMENTS 2026'!L1375)</f>
        <v/>
      </c>
      <c r="H1375">
        <f>IF(ISBLANK('ENGAGEMENTS 2026'!B1375),"",'ENGAGEMENTS 2026'!AE1375)</f>
        <v/>
      </c>
      <c r="I1375">
        <f>IF(ISBLANK('ENGAGEMENTS 2026'!B1375),"",'ENGAGEMENTS 2026'!G1375)</f>
        <v/>
      </c>
      <c r="J1375" s="275">
        <f>IF(ISBLANK('ENGAGEMENTS 2026'!B1375),"",IF(AND(OR($E1375="INFRUCTUEUX",$E1375="ANNULE"),$C1375="AOO-M"),'ENGAGEMENTS 2026'!O1375,IF($H1375="EN COURS DE PREENGAGEMENT",'ENGAGEMENTS 2026'!N1375,IF($H1375="PREENGAGE",IF($E1375="ATTRIBUE",'ENGAGEMENTS 2026'!AD1375,'ENGAGEMENTS 2026'!N1375),'ENGAGEMENTS 2026'!AD1375))))</f>
        <v/>
      </c>
      <c r="K1375" s="604">
        <f>IF(ISBLANK('ENGAGEMENTS 2026'!V1375),"",'ENGAGEMENTS 2026'!V1375)</f>
        <v/>
      </c>
      <c r="L1375" s="276">
        <f>IF($K1375="","",TODAY()-$K1375)</f>
        <v/>
      </c>
      <c r="M1375">
        <f>IF($A1375="","",IF($H1375="ENGAGE","Engagé",IF(AND($H1375="NON ENGAGE",OR($I1375="INFRUCTUEUX",$I1375="ANNULE")),"Clôturé sans suite","En cours")))</f>
        <v/>
      </c>
      <c r="N1375">
        <f>IF(ISBLANK('ENGAGEMENTS 2026'!B1375),"",'ENGAGEMENTS 2026'!K1375)</f>
        <v/>
      </c>
      <c r="O1375">
        <f>IF(ISBLANK('ENGAGEMENTS 2026'!B1375),"",'ENGAGEMENTS 2026'!L1375)</f>
        <v/>
      </c>
      <c r="P1375">
        <f>IF(ISBLANK('ENGAGEMENTS 2026'!B1375),"",'ENGAGEMENTS 2026'!J1375)</f>
        <v/>
      </c>
      <c r="Q1375">
        <f>IF($A1375="","",IF(OR($E1375="INFRUCTUEUX",$E1375="ANNULE"),$A1375&amp;"|"&amp;(COUNTIFS($A$2:$A1375,$A1375,$E$2:$E1375,"INFRUCTUEUX")+COUNTIFS($A$2:$A1375,$A1375,$E$2:$E1375,"ANNULE")),""))</f>
        <v/>
      </c>
    </row>
    <row r="1376">
      <c r="A1376">
        <f>IF(ISBLANK('ENGAGEMENTS 2026'!B1376),"",IF('ENGAGEMENTS 2026'!B1376="DTSI","DCT",'ENGAGEMENTS 2026'!B1376))</f>
        <v/>
      </c>
      <c r="B1376">
        <f>IF(ISBLANK('ENGAGEMENTS 2026'!B1376),"",'ENGAGEMENTS 2026'!C1376)</f>
        <v/>
      </c>
      <c r="C1376">
        <f>IF(ISBLANK('ENGAGEMENTS 2026'!B1376),"",'ENGAGEMENTS 2026'!D1376)</f>
        <v/>
      </c>
      <c r="D1376">
        <f>IF(ISBLANK('ENGAGEMENTS 2026'!B1376),"",'ENGAGEMENTS 2026'!F1376)</f>
        <v/>
      </c>
      <c r="E1376">
        <f>IF(ISBLANK('ENGAGEMENTS 2026'!B1376),"",'ENGAGEMENTS 2026'!H1376)</f>
        <v/>
      </c>
      <c r="F1376">
        <f>IF(ISBLANK('ENGAGEMENTS 2026'!B1376),"",'ENGAGEMENTS 2026'!I1376)</f>
        <v/>
      </c>
      <c r="G1376">
        <f>IF(ISBLANK('ENGAGEMENTS 2026'!B1376),"",'ENGAGEMENTS 2026'!L1376)</f>
        <v/>
      </c>
      <c r="H1376">
        <f>IF(ISBLANK('ENGAGEMENTS 2026'!B1376),"",'ENGAGEMENTS 2026'!AE1376)</f>
        <v/>
      </c>
      <c r="I1376">
        <f>IF(ISBLANK('ENGAGEMENTS 2026'!B1376),"",'ENGAGEMENTS 2026'!G1376)</f>
        <v/>
      </c>
      <c r="J1376" s="275">
        <f>IF(ISBLANK('ENGAGEMENTS 2026'!B1376),"",IF(AND(OR($E1376="INFRUCTUEUX",$E1376="ANNULE"),$C1376="AOO-M"),'ENGAGEMENTS 2026'!O1376,IF($H1376="EN COURS DE PREENGAGEMENT",'ENGAGEMENTS 2026'!N1376,IF($H1376="PREENGAGE",IF($E1376="ATTRIBUE",'ENGAGEMENTS 2026'!AD1376,'ENGAGEMENTS 2026'!N1376),'ENGAGEMENTS 2026'!AD1376))))</f>
        <v/>
      </c>
      <c r="K1376" s="604">
        <f>IF(ISBLANK('ENGAGEMENTS 2026'!V1376),"",'ENGAGEMENTS 2026'!V1376)</f>
        <v/>
      </c>
      <c r="L1376" s="276">
        <f>IF($K1376="","",TODAY()-$K1376)</f>
        <v/>
      </c>
      <c r="M1376">
        <f>IF($A1376="","",IF($H1376="ENGAGE","Engagé",IF(AND($H1376="NON ENGAGE",OR($I1376="INFRUCTUEUX",$I1376="ANNULE")),"Clôturé sans suite","En cours")))</f>
        <v/>
      </c>
      <c r="N1376">
        <f>IF(ISBLANK('ENGAGEMENTS 2026'!B1376),"",'ENGAGEMENTS 2026'!K1376)</f>
        <v/>
      </c>
      <c r="O1376">
        <f>IF(ISBLANK('ENGAGEMENTS 2026'!B1376),"",'ENGAGEMENTS 2026'!L1376)</f>
        <v/>
      </c>
      <c r="P1376">
        <f>IF(ISBLANK('ENGAGEMENTS 2026'!B1376),"",'ENGAGEMENTS 2026'!J1376)</f>
        <v/>
      </c>
      <c r="Q1376">
        <f>IF($A1376="","",IF(OR($E1376="INFRUCTUEUX",$E1376="ANNULE"),$A1376&amp;"|"&amp;(COUNTIFS($A$2:$A1376,$A1376,$E$2:$E1376,"INFRUCTUEUX")+COUNTIFS($A$2:$A1376,$A1376,$E$2:$E1376,"ANNULE")),""))</f>
        <v/>
      </c>
    </row>
    <row r="1377">
      <c r="A1377">
        <f>IF(ISBLANK('ENGAGEMENTS 2026'!B1377),"",IF('ENGAGEMENTS 2026'!B1377="DTSI","DCT",'ENGAGEMENTS 2026'!B1377))</f>
        <v/>
      </c>
      <c r="B1377">
        <f>IF(ISBLANK('ENGAGEMENTS 2026'!B1377),"",'ENGAGEMENTS 2026'!C1377)</f>
        <v/>
      </c>
      <c r="C1377">
        <f>IF(ISBLANK('ENGAGEMENTS 2026'!B1377),"",'ENGAGEMENTS 2026'!D1377)</f>
        <v/>
      </c>
      <c r="D1377">
        <f>IF(ISBLANK('ENGAGEMENTS 2026'!B1377),"",'ENGAGEMENTS 2026'!F1377)</f>
        <v/>
      </c>
      <c r="E1377">
        <f>IF(ISBLANK('ENGAGEMENTS 2026'!B1377),"",'ENGAGEMENTS 2026'!H1377)</f>
        <v/>
      </c>
      <c r="F1377">
        <f>IF(ISBLANK('ENGAGEMENTS 2026'!B1377),"",'ENGAGEMENTS 2026'!I1377)</f>
        <v/>
      </c>
      <c r="G1377">
        <f>IF(ISBLANK('ENGAGEMENTS 2026'!B1377),"",'ENGAGEMENTS 2026'!L1377)</f>
        <v/>
      </c>
      <c r="H1377">
        <f>IF(ISBLANK('ENGAGEMENTS 2026'!B1377),"",'ENGAGEMENTS 2026'!AE1377)</f>
        <v/>
      </c>
      <c r="I1377">
        <f>IF(ISBLANK('ENGAGEMENTS 2026'!B1377),"",'ENGAGEMENTS 2026'!G1377)</f>
        <v/>
      </c>
      <c r="J1377" s="275">
        <f>IF(ISBLANK('ENGAGEMENTS 2026'!B1377),"",IF(AND(OR($E1377="INFRUCTUEUX",$E1377="ANNULE"),$C1377="AOO-M"),'ENGAGEMENTS 2026'!O1377,IF($H1377="EN COURS DE PREENGAGEMENT",'ENGAGEMENTS 2026'!N1377,IF($H1377="PREENGAGE",IF($E1377="ATTRIBUE",'ENGAGEMENTS 2026'!AD1377,'ENGAGEMENTS 2026'!N1377),'ENGAGEMENTS 2026'!AD1377))))</f>
        <v/>
      </c>
      <c r="K1377" s="604">
        <f>IF(ISBLANK('ENGAGEMENTS 2026'!V1377),"",'ENGAGEMENTS 2026'!V1377)</f>
        <v/>
      </c>
      <c r="L1377" s="276">
        <f>IF($K1377="","",TODAY()-$K1377)</f>
        <v/>
      </c>
      <c r="M1377">
        <f>IF($A1377="","",IF($H1377="ENGAGE","Engagé",IF(AND($H1377="NON ENGAGE",OR($I1377="INFRUCTUEUX",$I1377="ANNULE")),"Clôturé sans suite","En cours")))</f>
        <v/>
      </c>
      <c r="N1377">
        <f>IF(ISBLANK('ENGAGEMENTS 2026'!B1377),"",'ENGAGEMENTS 2026'!K1377)</f>
        <v/>
      </c>
      <c r="O1377">
        <f>IF(ISBLANK('ENGAGEMENTS 2026'!B1377),"",'ENGAGEMENTS 2026'!L1377)</f>
        <v/>
      </c>
      <c r="P1377">
        <f>IF(ISBLANK('ENGAGEMENTS 2026'!B1377),"",'ENGAGEMENTS 2026'!J1377)</f>
        <v/>
      </c>
      <c r="Q1377">
        <f>IF($A1377="","",IF(OR($E1377="INFRUCTUEUX",$E1377="ANNULE"),$A1377&amp;"|"&amp;(COUNTIFS($A$2:$A1377,$A1377,$E$2:$E1377,"INFRUCTUEUX")+COUNTIFS($A$2:$A1377,$A1377,$E$2:$E1377,"ANNULE")),""))</f>
        <v/>
      </c>
    </row>
    <row r="1378">
      <c r="A1378">
        <f>IF(ISBLANK('ENGAGEMENTS 2026'!B1378),"",IF('ENGAGEMENTS 2026'!B1378="DTSI","DCT",'ENGAGEMENTS 2026'!B1378))</f>
        <v/>
      </c>
      <c r="B1378">
        <f>IF(ISBLANK('ENGAGEMENTS 2026'!B1378),"",'ENGAGEMENTS 2026'!C1378)</f>
        <v/>
      </c>
      <c r="C1378">
        <f>IF(ISBLANK('ENGAGEMENTS 2026'!B1378),"",'ENGAGEMENTS 2026'!D1378)</f>
        <v/>
      </c>
      <c r="D1378">
        <f>IF(ISBLANK('ENGAGEMENTS 2026'!B1378),"",'ENGAGEMENTS 2026'!F1378)</f>
        <v/>
      </c>
      <c r="E1378">
        <f>IF(ISBLANK('ENGAGEMENTS 2026'!B1378),"",'ENGAGEMENTS 2026'!H1378)</f>
        <v/>
      </c>
      <c r="F1378">
        <f>IF(ISBLANK('ENGAGEMENTS 2026'!B1378),"",'ENGAGEMENTS 2026'!I1378)</f>
        <v/>
      </c>
      <c r="G1378">
        <f>IF(ISBLANK('ENGAGEMENTS 2026'!B1378),"",'ENGAGEMENTS 2026'!L1378)</f>
        <v/>
      </c>
      <c r="H1378">
        <f>IF(ISBLANK('ENGAGEMENTS 2026'!B1378),"",'ENGAGEMENTS 2026'!AE1378)</f>
        <v/>
      </c>
      <c r="I1378">
        <f>IF(ISBLANK('ENGAGEMENTS 2026'!B1378),"",'ENGAGEMENTS 2026'!G1378)</f>
        <v/>
      </c>
      <c r="J1378" s="275">
        <f>IF(ISBLANK('ENGAGEMENTS 2026'!B1378),"",IF(AND(OR($E1378="INFRUCTUEUX",$E1378="ANNULE"),$C1378="AOO-M"),'ENGAGEMENTS 2026'!O1378,IF($H1378="EN COURS DE PREENGAGEMENT",'ENGAGEMENTS 2026'!N1378,IF($H1378="PREENGAGE",IF($E1378="ATTRIBUE",'ENGAGEMENTS 2026'!AD1378,'ENGAGEMENTS 2026'!N1378),'ENGAGEMENTS 2026'!AD1378))))</f>
        <v/>
      </c>
      <c r="K1378" s="604">
        <f>IF(ISBLANK('ENGAGEMENTS 2026'!V1378),"",'ENGAGEMENTS 2026'!V1378)</f>
        <v/>
      </c>
      <c r="L1378" s="276">
        <f>IF($K1378="","",TODAY()-$K1378)</f>
        <v/>
      </c>
      <c r="M1378">
        <f>IF($A1378="","",IF($H1378="ENGAGE","Engagé",IF(AND($H1378="NON ENGAGE",OR($I1378="INFRUCTUEUX",$I1378="ANNULE")),"Clôturé sans suite","En cours")))</f>
        <v/>
      </c>
      <c r="N1378">
        <f>IF(ISBLANK('ENGAGEMENTS 2026'!B1378),"",'ENGAGEMENTS 2026'!K1378)</f>
        <v/>
      </c>
      <c r="O1378">
        <f>IF(ISBLANK('ENGAGEMENTS 2026'!B1378),"",'ENGAGEMENTS 2026'!L1378)</f>
        <v/>
      </c>
      <c r="P1378">
        <f>IF(ISBLANK('ENGAGEMENTS 2026'!B1378),"",'ENGAGEMENTS 2026'!J1378)</f>
        <v/>
      </c>
      <c r="Q1378">
        <f>IF($A1378="","",IF(OR($E1378="INFRUCTUEUX",$E1378="ANNULE"),$A1378&amp;"|"&amp;(COUNTIFS($A$2:$A1378,$A1378,$E$2:$E1378,"INFRUCTUEUX")+COUNTIFS($A$2:$A1378,$A1378,$E$2:$E1378,"ANNULE")),""))</f>
        <v/>
      </c>
    </row>
    <row r="1379">
      <c r="A1379">
        <f>IF(ISBLANK('ENGAGEMENTS 2026'!B1379),"",IF('ENGAGEMENTS 2026'!B1379="DTSI","DCT",'ENGAGEMENTS 2026'!B1379))</f>
        <v/>
      </c>
      <c r="B1379">
        <f>IF(ISBLANK('ENGAGEMENTS 2026'!B1379),"",'ENGAGEMENTS 2026'!C1379)</f>
        <v/>
      </c>
      <c r="C1379">
        <f>IF(ISBLANK('ENGAGEMENTS 2026'!B1379),"",'ENGAGEMENTS 2026'!D1379)</f>
        <v/>
      </c>
      <c r="D1379">
        <f>IF(ISBLANK('ENGAGEMENTS 2026'!B1379),"",'ENGAGEMENTS 2026'!F1379)</f>
        <v/>
      </c>
      <c r="E1379">
        <f>IF(ISBLANK('ENGAGEMENTS 2026'!B1379),"",'ENGAGEMENTS 2026'!H1379)</f>
        <v/>
      </c>
      <c r="F1379">
        <f>IF(ISBLANK('ENGAGEMENTS 2026'!B1379),"",'ENGAGEMENTS 2026'!I1379)</f>
        <v/>
      </c>
      <c r="G1379">
        <f>IF(ISBLANK('ENGAGEMENTS 2026'!B1379),"",'ENGAGEMENTS 2026'!L1379)</f>
        <v/>
      </c>
      <c r="H1379">
        <f>IF(ISBLANK('ENGAGEMENTS 2026'!B1379),"",'ENGAGEMENTS 2026'!AE1379)</f>
        <v/>
      </c>
      <c r="I1379">
        <f>IF(ISBLANK('ENGAGEMENTS 2026'!B1379),"",'ENGAGEMENTS 2026'!G1379)</f>
        <v/>
      </c>
      <c r="J1379" s="275">
        <f>IF(ISBLANK('ENGAGEMENTS 2026'!B1379),"",IF(AND(OR($E1379="INFRUCTUEUX",$E1379="ANNULE"),$C1379="AOO-M"),'ENGAGEMENTS 2026'!O1379,IF($H1379="EN COURS DE PREENGAGEMENT",'ENGAGEMENTS 2026'!N1379,IF($H1379="PREENGAGE",IF($E1379="ATTRIBUE",'ENGAGEMENTS 2026'!AD1379,'ENGAGEMENTS 2026'!N1379),'ENGAGEMENTS 2026'!AD1379))))</f>
        <v/>
      </c>
      <c r="K1379" s="604">
        <f>IF(ISBLANK('ENGAGEMENTS 2026'!V1379),"",'ENGAGEMENTS 2026'!V1379)</f>
        <v/>
      </c>
      <c r="L1379" s="276">
        <f>IF($K1379="","",TODAY()-$K1379)</f>
        <v/>
      </c>
      <c r="M1379">
        <f>IF($A1379="","",IF($H1379="ENGAGE","Engagé",IF(AND($H1379="NON ENGAGE",OR($I1379="INFRUCTUEUX",$I1379="ANNULE")),"Clôturé sans suite","En cours")))</f>
        <v/>
      </c>
      <c r="N1379">
        <f>IF(ISBLANK('ENGAGEMENTS 2026'!B1379),"",'ENGAGEMENTS 2026'!K1379)</f>
        <v/>
      </c>
      <c r="O1379">
        <f>IF(ISBLANK('ENGAGEMENTS 2026'!B1379),"",'ENGAGEMENTS 2026'!L1379)</f>
        <v/>
      </c>
      <c r="P1379">
        <f>IF(ISBLANK('ENGAGEMENTS 2026'!B1379),"",'ENGAGEMENTS 2026'!J1379)</f>
        <v/>
      </c>
      <c r="Q1379">
        <f>IF($A1379="","",IF(OR($E1379="INFRUCTUEUX",$E1379="ANNULE"),$A1379&amp;"|"&amp;(COUNTIFS($A$2:$A1379,$A1379,$E$2:$E1379,"INFRUCTUEUX")+COUNTIFS($A$2:$A1379,$A1379,$E$2:$E1379,"ANNULE")),""))</f>
        <v/>
      </c>
    </row>
    <row r="1380">
      <c r="A1380">
        <f>IF(ISBLANK('ENGAGEMENTS 2026'!B1380),"",IF('ENGAGEMENTS 2026'!B1380="DTSI","DCT",'ENGAGEMENTS 2026'!B1380))</f>
        <v/>
      </c>
      <c r="B1380">
        <f>IF(ISBLANK('ENGAGEMENTS 2026'!B1380),"",'ENGAGEMENTS 2026'!C1380)</f>
        <v/>
      </c>
      <c r="C1380">
        <f>IF(ISBLANK('ENGAGEMENTS 2026'!B1380),"",'ENGAGEMENTS 2026'!D1380)</f>
        <v/>
      </c>
      <c r="D1380">
        <f>IF(ISBLANK('ENGAGEMENTS 2026'!B1380),"",'ENGAGEMENTS 2026'!F1380)</f>
        <v/>
      </c>
      <c r="E1380">
        <f>IF(ISBLANK('ENGAGEMENTS 2026'!B1380),"",'ENGAGEMENTS 2026'!H1380)</f>
        <v/>
      </c>
      <c r="F1380">
        <f>IF(ISBLANK('ENGAGEMENTS 2026'!B1380),"",'ENGAGEMENTS 2026'!I1380)</f>
        <v/>
      </c>
      <c r="G1380">
        <f>IF(ISBLANK('ENGAGEMENTS 2026'!B1380),"",'ENGAGEMENTS 2026'!L1380)</f>
        <v/>
      </c>
      <c r="H1380">
        <f>IF(ISBLANK('ENGAGEMENTS 2026'!B1380),"",'ENGAGEMENTS 2026'!AE1380)</f>
        <v/>
      </c>
      <c r="I1380">
        <f>IF(ISBLANK('ENGAGEMENTS 2026'!B1380),"",'ENGAGEMENTS 2026'!G1380)</f>
        <v/>
      </c>
      <c r="J1380" s="275">
        <f>IF(ISBLANK('ENGAGEMENTS 2026'!B1380),"",IF(AND(OR($E1380="INFRUCTUEUX",$E1380="ANNULE"),$C1380="AOO-M"),'ENGAGEMENTS 2026'!O1380,IF($H1380="EN COURS DE PREENGAGEMENT",'ENGAGEMENTS 2026'!N1380,IF($H1380="PREENGAGE",IF($E1380="ATTRIBUE",'ENGAGEMENTS 2026'!AD1380,'ENGAGEMENTS 2026'!N1380),'ENGAGEMENTS 2026'!AD1380))))</f>
        <v/>
      </c>
      <c r="K1380" s="604">
        <f>IF(ISBLANK('ENGAGEMENTS 2026'!V1380),"",'ENGAGEMENTS 2026'!V1380)</f>
        <v/>
      </c>
      <c r="L1380" s="276">
        <f>IF($K1380="","",TODAY()-$K1380)</f>
        <v/>
      </c>
      <c r="M1380">
        <f>IF($A1380="","",IF($H1380="ENGAGE","Engagé",IF(AND($H1380="NON ENGAGE",OR($I1380="INFRUCTUEUX",$I1380="ANNULE")),"Clôturé sans suite","En cours")))</f>
        <v/>
      </c>
      <c r="N1380">
        <f>IF(ISBLANK('ENGAGEMENTS 2026'!B1380),"",'ENGAGEMENTS 2026'!K1380)</f>
        <v/>
      </c>
      <c r="O1380">
        <f>IF(ISBLANK('ENGAGEMENTS 2026'!B1380),"",'ENGAGEMENTS 2026'!L1380)</f>
        <v/>
      </c>
      <c r="P1380">
        <f>IF(ISBLANK('ENGAGEMENTS 2026'!B1380),"",'ENGAGEMENTS 2026'!J1380)</f>
        <v/>
      </c>
      <c r="Q1380">
        <f>IF($A1380="","",IF(OR($E1380="INFRUCTUEUX",$E1380="ANNULE"),$A1380&amp;"|"&amp;(COUNTIFS($A$2:$A1380,$A1380,$E$2:$E1380,"INFRUCTUEUX")+COUNTIFS($A$2:$A1380,$A1380,$E$2:$E1380,"ANNULE")),""))</f>
        <v/>
      </c>
    </row>
    <row r="1381">
      <c r="A1381">
        <f>IF(ISBLANK('ENGAGEMENTS 2026'!B1381),"",IF('ENGAGEMENTS 2026'!B1381="DTSI","DCT",'ENGAGEMENTS 2026'!B1381))</f>
        <v/>
      </c>
      <c r="B1381">
        <f>IF(ISBLANK('ENGAGEMENTS 2026'!B1381),"",'ENGAGEMENTS 2026'!C1381)</f>
        <v/>
      </c>
      <c r="C1381">
        <f>IF(ISBLANK('ENGAGEMENTS 2026'!B1381),"",'ENGAGEMENTS 2026'!D1381)</f>
        <v/>
      </c>
      <c r="D1381">
        <f>IF(ISBLANK('ENGAGEMENTS 2026'!B1381),"",'ENGAGEMENTS 2026'!F1381)</f>
        <v/>
      </c>
      <c r="E1381">
        <f>IF(ISBLANK('ENGAGEMENTS 2026'!B1381),"",'ENGAGEMENTS 2026'!H1381)</f>
        <v/>
      </c>
      <c r="F1381">
        <f>IF(ISBLANK('ENGAGEMENTS 2026'!B1381),"",'ENGAGEMENTS 2026'!I1381)</f>
        <v/>
      </c>
      <c r="G1381">
        <f>IF(ISBLANK('ENGAGEMENTS 2026'!B1381),"",'ENGAGEMENTS 2026'!L1381)</f>
        <v/>
      </c>
      <c r="H1381">
        <f>IF(ISBLANK('ENGAGEMENTS 2026'!B1381),"",'ENGAGEMENTS 2026'!AE1381)</f>
        <v/>
      </c>
      <c r="I1381">
        <f>IF(ISBLANK('ENGAGEMENTS 2026'!B1381),"",'ENGAGEMENTS 2026'!G1381)</f>
        <v/>
      </c>
      <c r="J1381" s="275">
        <f>IF(ISBLANK('ENGAGEMENTS 2026'!B1381),"",IF(AND(OR($E1381="INFRUCTUEUX",$E1381="ANNULE"),$C1381="AOO-M"),'ENGAGEMENTS 2026'!O1381,IF($H1381="EN COURS DE PREENGAGEMENT",'ENGAGEMENTS 2026'!N1381,IF($H1381="PREENGAGE",IF($E1381="ATTRIBUE",'ENGAGEMENTS 2026'!AD1381,'ENGAGEMENTS 2026'!N1381),'ENGAGEMENTS 2026'!AD1381))))</f>
        <v/>
      </c>
      <c r="K1381" s="604">
        <f>IF(ISBLANK('ENGAGEMENTS 2026'!V1381),"",'ENGAGEMENTS 2026'!V1381)</f>
        <v/>
      </c>
      <c r="L1381" s="276">
        <f>IF($K1381="","",TODAY()-$K1381)</f>
        <v/>
      </c>
      <c r="M1381">
        <f>IF($A1381="","",IF($H1381="ENGAGE","Engagé",IF(AND($H1381="NON ENGAGE",OR($I1381="INFRUCTUEUX",$I1381="ANNULE")),"Clôturé sans suite","En cours")))</f>
        <v/>
      </c>
      <c r="N1381">
        <f>IF(ISBLANK('ENGAGEMENTS 2026'!B1381),"",'ENGAGEMENTS 2026'!K1381)</f>
        <v/>
      </c>
      <c r="O1381">
        <f>IF(ISBLANK('ENGAGEMENTS 2026'!B1381),"",'ENGAGEMENTS 2026'!L1381)</f>
        <v/>
      </c>
      <c r="P1381">
        <f>IF(ISBLANK('ENGAGEMENTS 2026'!B1381),"",'ENGAGEMENTS 2026'!J1381)</f>
        <v/>
      </c>
      <c r="Q1381">
        <f>IF($A1381="","",IF(OR($E1381="INFRUCTUEUX",$E1381="ANNULE"),$A1381&amp;"|"&amp;(COUNTIFS($A$2:$A1381,$A1381,$E$2:$E1381,"INFRUCTUEUX")+COUNTIFS($A$2:$A1381,$A1381,$E$2:$E1381,"ANNULE")),""))</f>
        <v/>
      </c>
    </row>
    <row r="1382">
      <c r="A1382">
        <f>IF(ISBLANK('ENGAGEMENTS 2026'!B1382),"",IF('ENGAGEMENTS 2026'!B1382="DTSI","DCT",'ENGAGEMENTS 2026'!B1382))</f>
        <v/>
      </c>
      <c r="B1382">
        <f>IF(ISBLANK('ENGAGEMENTS 2026'!B1382),"",'ENGAGEMENTS 2026'!C1382)</f>
        <v/>
      </c>
      <c r="C1382">
        <f>IF(ISBLANK('ENGAGEMENTS 2026'!B1382),"",'ENGAGEMENTS 2026'!D1382)</f>
        <v/>
      </c>
      <c r="D1382">
        <f>IF(ISBLANK('ENGAGEMENTS 2026'!B1382),"",'ENGAGEMENTS 2026'!F1382)</f>
        <v/>
      </c>
      <c r="E1382">
        <f>IF(ISBLANK('ENGAGEMENTS 2026'!B1382),"",'ENGAGEMENTS 2026'!H1382)</f>
        <v/>
      </c>
      <c r="F1382">
        <f>IF(ISBLANK('ENGAGEMENTS 2026'!B1382),"",'ENGAGEMENTS 2026'!I1382)</f>
        <v/>
      </c>
      <c r="G1382">
        <f>IF(ISBLANK('ENGAGEMENTS 2026'!B1382),"",'ENGAGEMENTS 2026'!L1382)</f>
        <v/>
      </c>
      <c r="H1382">
        <f>IF(ISBLANK('ENGAGEMENTS 2026'!B1382),"",'ENGAGEMENTS 2026'!AE1382)</f>
        <v/>
      </c>
      <c r="I1382">
        <f>IF(ISBLANK('ENGAGEMENTS 2026'!B1382),"",'ENGAGEMENTS 2026'!G1382)</f>
        <v/>
      </c>
      <c r="J1382" s="275">
        <f>IF(ISBLANK('ENGAGEMENTS 2026'!B1382),"",IF(AND(OR($E1382="INFRUCTUEUX",$E1382="ANNULE"),$C1382="AOO-M"),'ENGAGEMENTS 2026'!O1382,IF($H1382="EN COURS DE PREENGAGEMENT",'ENGAGEMENTS 2026'!N1382,IF($H1382="PREENGAGE",IF($E1382="ATTRIBUE",'ENGAGEMENTS 2026'!AD1382,'ENGAGEMENTS 2026'!N1382),'ENGAGEMENTS 2026'!AD1382))))</f>
        <v/>
      </c>
      <c r="K1382" s="604">
        <f>IF(ISBLANK('ENGAGEMENTS 2026'!V1382),"",'ENGAGEMENTS 2026'!V1382)</f>
        <v/>
      </c>
      <c r="L1382" s="276">
        <f>IF($K1382="","",TODAY()-$K1382)</f>
        <v/>
      </c>
      <c r="M1382">
        <f>IF($A1382="","",IF($H1382="ENGAGE","Engagé",IF(AND($H1382="NON ENGAGE",OR($I1382="INFRUCTUEUX",$I1382="ANNULE")),"Clôturé sans suite","En cours")))</f>
        <v/>
      </c>
      <c r="N1382">
        <f>IF(ISBLANK('ENGAGEMENTS 2026'!B1382),"",'ENGAGEMENTS 2026'!K1382)</f>
        <v/>
      </c>
      <c r="O1382">
        <f>IF(ISBLANK('ENGAGEMENTS 2026'!B1382),"",'ENGAGEMENTS 2026'!L1382)</f>
        <v/>
      </c>
      <c r="P1382">
        <f>IF(ISBLANK('ENGAGEMENTS 2026'!B1382),"",'ENGAGEMENTS 2026'!J1382)</f>
        <v/>
      </c>
      <c r="Q1382">
        <f>IF($A1382="","",IF(OR($E1382="INFRUCTUEUX",$E1382="ANNULE"),$A1382&amp;"|"&amp;(COUNTIFS($A$2:$A1382,$A1382,$E$2:$E1382,"INFRUCTUEUX")+COUNTIFS($A$2:$A1382,$A1382,$E$2:$E1382,"ANNULE")),""))</f>
        <v/>
      </c>
    </row>
    <row r="1383">
      <c r="A1383">
        <f>IF(ISBLANK('ENGAGEMENTS 2026'!B1383),"",IF('ENGAGEMENTS 2026'!B1383="DTSI","DCT",'ENGAGEMENTS 2026'!B1383))</f>
        <v/>
      </c>
      <c r="B1383">
        <f>IF(ISBLANK('ENGAGEMENTS 2026'!B1383),"",'ENGAGEMENTS 2026'!C1383)</f>
        <v/>
      </c>
      <c r="C1383">
        <f>IF(ISBLANK('ENGAGEMENTS 2026'!B1383),"",'ENGAGEMENTS 2026'!D1383)</f>
        <v/>
      </c>
      <c r="D1383">
        <f>IF(ISBLANK('ENGAGEMENTS 2026'!B1383),"",'ENGAGEMENTS 2026'!F1383)</f>
        <v/>
      </c>
      <c r="E1383">
        <f>IF(ISBLANK('ENGAGEMENTS 2026'!B1383),"",'ENGAGEMENTS 2026'!H1383)</f>
        <v/>
      </c>
      <c r="F1383">
        <f>IF(ISBLANK('ENGAGEMENTS 2026'!B1383),"",'ENGAGEMENTS 2026'!I1383)</f>
        <v/>
      </c>
      <c r="G1383">
        <f>IF(ISBLANK('ENGAGEMENTS 2026'!B1383),"",'ENGAGEMENTS 2026'!L1383)</f>
        <v/>
      </c>
      <c r="H1383">
        <f>IF(ISBLANK('ENGAGEMENTS 2026'!B1383),"",'ENGAGEMENTS 2026'!AE1383)</f>
        <v/>
      </c>
      <c r="I1383">
        <f>IF(ISBLANK('ENGAGEMENTS 2026'!B1383),"",'ENGAGEMENTS 2026'!G1383)</f>
        <v/>
      </c>
      <c r="J1383" s="275">
        <f>IF(ISBLANK('ENGAGEMENTS 2026'!B1383),"",IF(AND(OR($E1383="INFRUCTUEUX",$E1383="ANNULE"),$C1383="AOO-M"),'ENGAGEMENTS 2026'!O1383,IF($H1383="EN COURS DE PREENGAGEMENT",'ENGAGEMENTS 2026'!N1383,IF($H1383="PREENGAGE",IF($E1383="ATTRIBUE",'ENGAGEMENTS 2026'!AD1383,'ENGAGEMENTS 2026'!N1383),'ENGAGEMENTS 2026'!AD1383))))</f>
        <v/>
      </c>
      <c r="K1383" s="604">
        <f>IF(ISBLANK('ENGAGEMENTS 2026'!V1383),"",'ENGAGEMENTS 2026'!V1383)</f>
        <v/>
      </c>
      <c r="L1383" s="276">
        <f>IF($K1383="","",TODAY()-$K1383)</f>
        <v/>
      </c>
      <c r="M1383">
        <f>IF($A1383="","",IF($H1383="ENGAGE","Engagé",IF(AND($H1383="NON ENGAGE",OR($I1383="INFRUCTUEUX",$I1383="ANNULE")),"Clôturé sans suite","En cours")))</f>
        <v/>
      </c>
      <c r="N1383">
        <f>IF(ISBLANK('ENGAGEMENTS 2026'!B1383),"",'ENGAGEMENTS 2026'!K1383)</f>
        <v/>
      </c>
      <c r="O1383">
        <f>IF(ISBLANK('ENGAGEMENTS 2026'!B1383),"",'ENGAGEMENTS 2026'!L1383)</f>
        <v/>
      </c>
      <c r="P1383">
        <f>IF(ISBLANK('ENGAGEMENTS 2026'!B1383),"",'ENGAGEMENTS 2026'!J1383)</f>
        <v/>
      </c>
      <c r="Q1383">
        <f>IF($A1383="","",IF(OR($E1383="INFRUCTUEUX",$E1383="ANNULE"),$A1383&amp;"|"&amp;(COUNTIFS($A$2:$A1383,$A1383,$E$2:$E1383,"INFRUCTUEUX")+COUNTIFS($A$2:$A1383,$A1383,$E$2:$E1383,"ANNULE")),""))</f>
        <v/>
      </c>
    </row>
    <row r="1384">
      <c r="A1384">
        <f>IF(ISBLANK('ENGAGEMENTS 2026'!B1384),"",IF('ENGAGEMENTS 2026'!B1384="DTSI","DCT",'ENGAGEMENTS 2026'!B1384))</f>
        <v/>
      </c>
      <c r="B1384">
        <f>IF(ISBLANK('ENGAGEMENTS 2026'!B1384),"",'ENGAGEMENTS 2026'!C1384)</f>
        <v/>
      </c>
      <c r="C1384">
        <f>IF(ISBLANK('ENGAGEMENTS 2026'!B1384),"",'ENGAGEMENTS 2026'!D1384)</f>
        <v/>
      </c>
      <c r="D1384">
        <f>IF(ISBLANK('ENGAGEMENTS 2026'!B1384),"",'ENGAGEMENTS 2026'!F1384)</f>
        <v/>
      </c>
      <c r="E1384">
        <f>IF(ISBLANK('ENGAGEMENTS 2026'!B1384),"",'ENGAGEMENTS 2026'!H1384)</f>
        <v/>
      </c>
      <c r="F1384">
        <f>IF(ISBLANK('ENGAGEMENTS 2026'!B1384),"",'ENGAGEMENTS 2026'!I1384)</f>
        <v/>
      </c>
      <c r="G1384">
        <f>IF(ISBLANK('ENGAGEMENTS 2026'!B1384),"",'ENGAGEMENTS 2026'!L1384)</f>
        <v/>
      </c>
      <c r="H1384">
        <f>IF(ISBLANK('ENGAGEMENTS 2026'!B1384),"",'ENGAGEMENTS 2026'!AE1384)</f>
        <v/>
      </c>
      <c r="I1384">
        <f>IF(ISBLANK('ENGAGEMENTS 2026'!B1384),"",'ENGAGEMENTS 2026'!G1384)</f>
        <v/>
      </c>
      <c r="J1384" s="275">
        <f>IF(ISBLANK('ENGAGEMENTS 2026'!B1384),"",IF(AND(OR($E1384="INFRUCTUEUX",$E1384="ANNULE"),$C1384="AOO-M"),'ENGAGEMENTS 2026'!O1384,IF($H1384="EN COURS DE PREENGAGEMENT",'ENGAGEMENTS 2026'!N1384,IF($H1384="PREENGAGE",IF($E1384="ATTRIBUE",'ENGAGEMENTS 2026'!AD1384,'ENGAGEMENTS 2026'!N1384),'ENGAGEMENTS 2026'!AD1384))))</f>
        <v/>
      </c>
      <c r="K1384" s="604">
        <f>IF(ISBLANK('ENGAGEMENTS 2026'!V1384),"",'ENGAGEMENTS 2026'!V1384)</f>
        <v/>
      </c>
      <c r="L1384" s="276">
        <f>IF($K1384="","",TODAY()-$K1384)</f>
        <v/>
      </c>
      <c r="M1384">
        <f>IF($A1384="","",IF($H1384="ENGAGE","Engagé",IF(AND($H1384="NON ENGAGE",OR($I1384="INFRUCTUEUX",$I1384="ANNULE")),"Clôturé sans suite","En cours")))</f>
        <v/>
      </c>
      <c r="N1384">
        <f>IF(ISBLANK('ENGAGEMENTS 2026'!B1384),"",'ENGAGEMENTS 2026'!K1384)</f>
        <v/>
      </c>
      <c r="O1384">
        <f>IF(ISBLANK('ENGAGEMENTS 2026'!B1384),"",'ENGAGEMENTS 2026'!L1384)</f>
        <v/>
      </c>
      <c r="P1384">
        <f>IF(ISBLANK('ENGAGEMENTS 2026'!B1384),"",'ENGAGEMENTS 2026'!J1384)</f>
        <v/>
      </c>
      <c r="Q1384">
        <f>IF($A1384="","",IF(OR($E1384="INFRUCTUEUX",$E1384="ANNULE"),$A1384&amp;"|"&amp;(COUNTIFS($A$2:$A1384,$A1384,$E$2:$E1384,"INFRUCTUEUX")+COUNTIFS($A$2:$A1384,$A1384,$E$2:$E1384,"ANNULE")),""))</f>
        <v/>
      </c>
    </row>
    <row r="1385">
      <c r="A1385">
        <f>IF(ISBLANK('ENGAGEMENTS 2026'!B1385),"",IF('ENGAGEMENTS 2026'!B1385="DTSI","DCT",'ENGAGEMENTS 2026'!B1385))</f>
        <v/>
      </c>
      <c r="B1385">
        <f>IF(ISBLANK('ENGAGEMENTS 2026'!B1385),"",'ENGAGEMENTS 2026'!C1385)</f>
        <v/>
      </c>
      <c r="C1385">
        <f>IF(ISBLANK('ENGAGEMENTS 2026'!B1385),"",'ENGAGEMENTS 2026'!D1385)</f>
        <v/>
      </c>
      <c r="D1385">
        <f>IF(ISBLANK('ENGAGEMENTS 2026'!B1385),"",'ENGAGEMENTS 2026'!F1385)</f>
        <v/>
      </c>
      <c r="E1385">
        <f>IF(ISBLANK('ENGAGEMENTS 2026'!B1385),"",'ENGAGEMENTS 2026'!H1385)</f>
        <v/>
      </c>
      <c r="F1385">
        <f>IF(ISBLANK('ENGAGEMENTS 2026'!B1385),"",'ENGAGEMENTS 2026'!I1385)</f>
        <v/>
      </c>
      <c r="G1385">
        <f>IF(ISBLANK('ENGAGEMENTS 2026'!B1385),"",'ENGAGEMENTS 2026'!L1385)</f>
        <v/>
      </c>
      <c r="H1385">
        <f>IF(ISBLANK('ENGAGEMENTS 2026'!B1385),"",'ENGAGEMENTS 2026'!AE1385)</f>
        <v/>
      </c>
      <c r="I1385">
        <f>IF(ISBLANK('ENGAGEMENTS 2026'!B1385),"",'ENGAGEMENTS 2026'!G1385)</f>
        <v/>
      </c>
      <c r="J1385" s="275">
        <f>IF(ISBLANK('ENGAGEMENTS 2026'!B1385),"",IF(AND(OR($E1385="INFRUCTUEUX",$E1385="ANNULE"),$C1385="AOO-M"),'ENGAGEMENTS 2026'!O1385,IF($H1385="EN COURS DE PREENGAGEMENT",'ENGAGEMENTS 2026'!N1385,IF($H1385="PREENGAGE",IF($E1385="ATTRIBUE",'ENGAGEMENTS 2026'!AD1385,'ENGAGEMENTS 2026'!N1385),'ENGAGEMENTS 2026'!AD1385))))</f>
        <v/>
      </c>
      <c r="K1385" s="604">
        <f>IF(ISBLANK('ENGAGEMENTS 2026'!V1385),"",'ENGAGEMENTS 2026'!V1385)</f>
        <v/>
      </c>
      <c r="L1385" s="276">
        <f>IF($K1385="","",TODAY()-$K1385)</f>
        <v/>
      </c>
      <c r="M1385">
        <f>IF($A1385="","",IF($H1385="ENGAGE","Engagé",IF(AND($H1385="NON ENGAGE",OR($I1385="INFRUCTUEUX",$I1385="ANNULE")),"Clôturé sans suite","En cours")))</f>
        <v/>
      </c>
      <c r="N1385">
        <f>IF(ISBLANK('ENGAGEMENTS 2026'!B1385),"",'ENGAGEMENTS 2026'!K1385)</f>
        <v/>
      </c>
      <c r="O1385">
        <f>IF(ISBLANK('ENGAGEMENTS 2026'!B1385),"",'ENGAGEMENTS 2026'!L1385)</f>
        <v/>
      </c>
      <c r="P1385">
        <f>IF(ISBLANK('ENGAGEMENTS 2026'!B1385),"",'ENGAGEMENTS 2026'!J1385)</f>
        <v/>
      </c>
      <c r="Q1385">
        <f>IF($A1385="","",IF(OR($E1385="INFRUCTUEUX",$E1385="ANNULE"),$A1385&amp;"|"&amp;(COUNTIFS($A$2:$A1385,$A1385,$E$2:$E1385,"INFRUCTUEUX")+COUNTIFS($A$2:$A1385,$A1385,$E$2:$E1385,"ANNULE")),""))</f>
        <v/>
      </c>
    </row>
    <row r="1386">
      <c r="A1386">
        <f>IF(ISBLANK('ENGAGEMENTS 2026'!B1386),"",IF('ENGAGEMENTS 2026'!B1386="DTSI","DCT",'ENGAGEMENTS 2026'!B1386))</f>
        <v/>
      </c>
      <c r="B1386">
        <f>IF(ISBLANK('ENGAGEMENTS 2026'!B1386),"",'ENGAGEMENTS 2026'!C1386)</f>
        <v/>
      </c>
      <c r="C1386">
        <f>IF(ISBLANK('ENGAGEMENTS 2026'!B1386),"",'ENGAGEMENTS 2026'!D1386)</f>
        <v/>
      </c>
      <c r="D1386">
        <f>IF(ISBLANK('ENGAGEMENTS 2026'!B1386),"",'ENGAGEMENTS 2026'!F1386)</f>
        <v/>
      </c>
      <c r="E1386">
        <f>IF(ISBLANK('ENGAGEMENTS 2026'!B1386),"",'ENGAGEMENTS 2026'!H1386)</f>
        <v/>
      </c>
      <c r="F1386">
        <f>IF(ISBLANK('ENGAGEMENTS 2026'!B1386),"",'ENGAGEMENTS 2026'!I1386)</f>
        <v/>
      </c>
      <c r="G1386">
        <f>IF(ISBLANK('ENGAGEMENTS 2026'!B1386),"",'ENGAGEMENTS 2026'!L1386)</f>
        <v/>
      </c>
      <c r="H1386">
        <f>IF(ISBLANK('ENGAGEMENTS 2026'!B1386),"",'ENGAGEMENTS 2026'!AE1386)</f>
        <v/>
      </c>
      <c r="I1386">
        <f>IF(ISBLANK('ENGAGEMENTS 2026'!B1386),"",'ENGAGEMENTS 2026'!G1386)</f>
        <v/>
      </c>
      <c r="J1386" s="275">
        <f>IF(ISBLANK('ENGAGEMENTS 2026'!B1386),"",IF(AND(OR($E1386="INFRUCTUEUX",$E1386="ANNULE"),$C1386="AOO-M"),'ENGAGEMENTS 2026'!O1386,IF($H1386="EN COURS DE PREENGAGEMENT",'ENGAGEMENTS 2026'!N1386,IF($H1386="PREENGAGE",IF($E1386="ATTRIBUE",'ENGAGEMENTS 2026'!AD1386,'ENGAGEMENTS 2026'!N1386),'ENGAGEMENTS 2026'!AD1386))))</f>
        <v/>
      </c>
      <c r="K1386" s="604">
        <f>IF(ISBLANK('ENGAGEMENTS 2026'!V1386),"",'ENGAGEMENTS 2026'!V1386)</f>
        <v/>
      </c>
      <c r="L1386" s="276">
        <f>IF($K1386="","",TODAY()-$K1386)</f>
        <v/>
      </c>
      <c r="M1386">
        <f>IF($A1386="","",IF($H1386="ENGAGE","Engagé",IF(AND($H1386="NON ENGAGE",OR($I1386="INFRUCTUEUX",$I1386="ANNULE")),"Clôturé sans suite","En cours")))</f>
        <v/>
      </c>
      <c r="N1386">
        <f>IF(ISBLANK('ENGAGEMENTS 2026'!B1386),"",'ENGAGEMENTS 2026'!K1386)</f>
        <v/>
      </c>
      <c r="O1386">
        <f>IF(ISBLANK('ENGAGEMENTS 2026'!B1386),"",'ENGAGEMENTS 2026'!L1386)</f>
        <v/>
      </c>
      <c r="P1386">
        <f>IF(ISBLANK('ENGAGEMENTS 2026'!B1386),"",'ENGAGEMENTS 2026'!J1386)</f>
        <v/>
      </c>
      <c r="Q1386">
        <f>IF($A1386="","",IF(OR($E1386="INFRUCTUEUX",$E1386="ANNULE"),$A1386&amp;"|"&amp;(COUNTIFS($A$2:$A1386,$A1386,$E$2:$E1386,"INFRUCTUEUX")+COUNTIFS($A$2:$A1386,$A1386,$E$2:$E1386,"ANNULE")),""))</f>
        <v/>
      </c>
    </row>
    <row r="1387">
      <c r="A1387">
        <f>IF(ISBLANK('ENGAGEMENTS 2026'!B1387),"",IF('ENGAGEMENTS 2026'!B1387="DTSI","DCT",'ENGAGEMENTS 2026'!B1387))</f>
        <v/>
      </c>
      <c r="B1387">
        <f>IF(ISBLANK('ENGAGEMENTS 2026'!B1387),"",'ENGAGEMENTS 2026'!C1387)</f>
        <v/>
      </c>
      <c r="C1387">
        <f>IF(ISBLANK('ENGAGEMENTS 2026'!B1387),"",'ENGAGEMENTS 2026'!D1387)</f>
        <v/>
      </c>
      <c r="D1387">
        <f>IF(ISBLANK('ENGAGEMENTS 2026'!B1387),"",'ENGAGEMENTS 2026'!F1387)</f>
        <v/>
      </c>
      <c r="E1387">
        <f>IF(ISBLANK('ENGAGEMENTS 2026'!B1387),"",'ENGAGEMENTS 2026'!H1387)</f>
        <v/>
      </c>
      <c r="F1387">
        <f>IF(ISBLANK('ENGAGEMENTS 2026'!B1387),"",'ENGAGEMENTS 2026'!I1387)</f>
        <v/>
      </c>
      <c r="G1387">
        <f>IF(ISBLANK('ENGAGEMENTS 2026'!B1387),"",'ENGAGEMENTS 2026'!L1387)</f>
        <v/>
      </c>
      <c r="H1387">
        <f>IF(ISBLANK('ENGAGEMENTS 2026'!B1387),"",'ENGAGEMENTS 2026'!AE1387)</f>
        <v/>
      </c>
      <c r="I1387">
        <f>IF(ISBLANK('ENGAGEMENTS 2026'!B1387),"",'ENGAGEMENTS 2026'!G1387)</f>
        <v/>
      </c>
      <c r="J1387" s="275">
        <f>IF(ISBLANK('ENGAGEMENTS 2026'!B1387),"",IF(AND(OR($E1387="INFRUCTUEUX",$E1387="ANNULE"),$C1387="AOO-M"),'ENGAGEMENTS 2026'!O1387,IF($H1387="EN COURS DE PREENGAGEMENT",'ENGAGEMENTS 2026'!N1387,IF($H1387="PREENGAGE",IF($E1387="ATTRIBUE",'ENGAGEMENTS 2026'!AD1387,'ENGAGEMENTS 2026'!N1387),'ENGAGEMENTS 2026'!AD1387))))</f>
        <v/>
      </c>
      <c r="K1387" s="604">
        <f>IF(ISBLANK('ENGAGEMENTS 2026'!V1387),"",'ENGAGEMENTS 2026'!V1387)</f>
        <v/>
      </c>
      <c r="L1387" s="276">
        <f>IF($K1387="","",TODAY()-$K1387)</f>
        <v/>
      </c>
      <c r="M1387">
        <f>IF($A1387="","",IF($H1387="ENGAGE","Engagé",IF(AND($H1387="NON ENGAGE",OR($I1387="INFRUCTUEUX",$I1387="ANNULE")),"Clôturé sans suite","En cours")))</f>
        <v/>
      </c>
      <c r="N1387">
        <f>IF(ISBLANK('ENGAGEMENTS 2026'!B1387),"",'ENGAGEMENTS 2026'!K1387)</f>
        <v/>
      </c>
      <c r="O1387">
        <f>IF(ISBLANK('ENGAGEMENTS 2026'!B1387),"",'ENGAGEMENTS 2026'!L1387)</f>
        <v/>
      </c>
      <c r="P1387">
        <f>IF(ISBLANK('ENGAGEMENTS 2026'!B1387),"",'ENGAGEMENTS 2026'!J1387)</f>
        <v/>
      </c>
      <c r="Q1387">
        <f>IF($A1387="","",IF(OR($E1387="INFRUCTUEUX",$E1387="ANNULE"),$A1387&amp;"|"&amp;(COUNTIFS($A$2:$A1387,$A1387,$E$2:$E1387,"INFRUCTUEUX")+COUNTIFS($A$2:$A1387,$A1387,$E$2:$E1387,"ANNULE")),""))</f>
        <v/>
      </c>
    </row>
    <row r="1388">
      <c r="A1388">
        <f>IF(ISBLANK('ENGAGEMENTS 2026'!B1388),"",IF('ENGAGEMENTS 2026'!B1388="DTSI","DCT",'ENGAGEMENTS 2026'!B1388))</f>
        <v/>
      </c>
      <c r="B1388">
        <f>IF(ISBLANK('ENGAGEMENTS 2026'!B1388),"",'ENGAGEMENTS 2026'!C1388)</f>
        <v/>
      </c>
      <c r="C1388">
        <f>IF(ISBLANK('ENGAGEMENTS 2026'!B1388),"",'ENGAGEMENTS 2026'!D1388)</f>
        <v/>
      </c>
      <c r="D1388">
        <f>IF(ISBLANK('ENGAGEMENTS 2026'!B1388),"",'ENGAGEMENTS 2026'!F1388)</f>
        <v/>
      </c>
      <c r="E1388">
        <f>IF(ISBLANK('ENGAGEMENTS 2026'!B1388),"",'ENGAGEMENTS 2026'!H1388)</f>
        <v/>
      </c>
      <c r="F1388">
        <f>IF(ISBLANK('ENGAGEMENTS 2026'!B1388),"",'ENGAGEMENTS 2026'!I1388)</f>
        <v/>
      </c>
      <c r="G1388">
        <f>IF(ISBLANK('ENGAGEMENTS 2026'!B1388),"",'ENGAGEMENTS 2026'!L1388)</f>
        <v/>
      </c>
      <c r="H1388">
        <f>IF(ISBLANK('ENGAGEMENTS 2026'!B1388),"",'ENGAGEMENTS 2026'!AE1388)</f>
        <v/>
      </c>
      <c r="I1388">
        <f>IF(ISBLANK('ENGAGEMENTS 2026'!B1388),"",'ENGAGEMENTS 2026'!G1388)</f>
        <v/>
      </c>
      <c r="J1388" s="275">
        <f>IF(ISBLANK('ENGAGEMENTS 2026'!B1388),"",IF(AND(OR($E1388="INFRUCTUEUX",$E1388="ANNULE"),$C1388="AOO-M"),'ENGAGEMENTS 2026'!O1388,IF($H1388="EN COURS DE PREENGAGEMENT",'ENGAGEMENTS 2026'!N1388,IF($H1388="PREENGAGE",IF($E1388="ATTRIBUE",'ENGAGEMENTS 2026'!AD1388,'ENGAGEMENTS 2026'!N1388),'ENGAGEMENTS 2026'!AD1388))))</f>
        <v/>
      </c>
      <c r="K1388" s="604">
        <f>IF(ISBLANK('ENGAGEMENTS 2026'!V1388),"",'ENGAGEMENTS 2026'!V1388)</f>
        <v/>
      </c>
      <c r="L1388" s="276">
        <f>IF($K1388="","",TODAY()-$K1388)</f>
        <v/>
      </c>
      <c r="M1388">
        <f>IF($A1388="","",IF($H1388="ENGAGE","Engagé",IF(AND($H1388="NON ENGAGE",OR($I1388="INFRUCTUEUX",$I1388="ANNULE")),"Clôturé sans suite","En cours")))</f>
        <v/>
      </c>
      <c r="N1388">
        <f>IF(ISBLANK('ENGAGEMENTS 2026'!B1388),"",'ENGAGEMENTS 2026'!K1388)</f>
        <v/>
      </c>
      <c r="O1388">
        <f>IF(ISBLANK('ENGAGEMENTS 2026'!B1388),"",'ENGAGEMENTS 2026'!L1388)</f>
        <v/>
      </c>
      <c r="P1388">
        <f>IF(ISBLANK('ENGAGEMENTS 2026'!B1388),"",'ENGAGEMENTS 2026'!J1388)</f>
        <v/>
      </c>
      <c r="Q1388">
        <f>IF($A1388="","",IF(OR($E1388="INFRUCTUEUX",$E1388="ANNULE"),$A1388&amp;"|"&amp;(COUNTIFS($A$2:$A1388,$A1388,$E$2:$E1388,"INFRUCTUEUX")+COUNTIFS($A$2:$A1388,$A1388,$E$2:$E1388,"ANNULE")),""))</f>
        <v/>
      </c>
    </row>
    <row r="1389">
      <c r="A1389">
        <f>IF(ISBLANK('ENGAGEMENTS 2026'!B1389),"",IF('ENGAGEMENTS 2026'!B1389="DTSI","DCT",'ENGAGEMENTS 2026'!B1389))</f>
        <v/>
      </c>
      <c r="B1389">
        <f>IF(ISBLANK('ENGAGEMENTS 2026'!B1389),"",'ENGAGEMENTS 2026'!C1389)</f>
        <v/>
      </c>
      <c r="C1389">
        <f>IF(ISBLANK('ENGAGEMENTS 2026'!B1389),"",'ENGAGEMENTS 2026'!D1389)</f>
        <v/>
      </c>
      <c r="D1389">
        <f>IF(ISBLANK('ENGAGEMENTS 2026'!B1389),"",'ENGAGEMENTS 2026'!F1389)</f>
        <v/>
      </c>
      <c r="E1389">
        <f>IF(ISBLANK('ENGAGEMENTS 2026'!B1389),"",'ENGAGEMENTS 2026'!H1389)</f>
        <v/>
      </c>
      <c r="F1389">
        <f>IF(ISBLANK('ENGAGEMENTS 2026'!B1389),"",'ENGAGEMENTS 2026'!I1389)</f>
        <v/>
      </c>
      <c r="G1389">
        <f>IF(ISBLANK('ENGAGEMENTS 2026'!B1389),"",'ENGAGEMENTS 2026'!L1389)</f>
        <v/>
      </c>
      <c r="H1389">
        <f>IF(ISBLANK('ENGAGEMENTS 2026'!B1389),"",'ENGAGEMENTS 2026'!AE1389)</f>
        <v/>
      </c>
      <c r="I1389">
        <f>IF(ISBLANK('ENGAGEMENTS 2026'!B1389),"",'ENGAGEMENTS 2026'!G1389)</f>
        <v/>
      </c>
      <c r="J1389" s="275">
        <f>IF(ISBLANK('ENGAGEMENTS 2026'!B1389),"",IF(AND(OR($E1389="INFRUCTUEUX",$E1389="ANNULE"),$C1389="AOO-M"),'ENGAGEMENTS 2026'!O1389,IF($H1389="EN COURS DE PREENGAGEMENT",'ENGAGEMENTS 2026'!N1389,IF($H1389="PREENGAGE",IF($E1389="ATTRIBUE",'ENGAGEMENTS 2026'!AD1389,'ENGAGEMENTS 2026'!N1389),'ENGAGEMENTS 2026'!AD1389))))</f>
        <v/>
      </c>
      <c r="K1389" s="604">
        <f>IF(ISBLANK('ENGAGEMENTS 2026'!V1389),"",'ENGAGEMENTS 2026'!V1389)</f>
        <v/>
      </c>
      <c r="L1389" s="276">
        <f>IF($K1389="","",TODAY()-$K1389)</f>
        <v/>
      </c>
      <c r="M1389">
        <f>IF($A1389="","",IF($H1389="ENGAGE","Engagé",IF(AND($H1389="NON ENGAGE",OR($I1389="INFRUCTUEUX",$I1389="ANNULE")),"Clôturé sans suite","En cours")))</f>
        <v/>
      </c>
      <c r="N1389">
        <f>IF(ISBLANK('ENGAGEMENTS 2026'!B1389),"",'ENGAGEMENTS 2026'!K1389)</f>
        <v/>
      </c>
      <c r="O1389">
        <f>IF(ISBLANK('ENGAGEMENTS 2026'!B1389),"",'ENGAGEMENTS 2026'!L1389)</f>
        <v/>
      </c>
      <c r="P1389">
        <f>IF(ISBLANK('ENGAGEMENTS 2026'!B1389),"",'ENGAGEMENTS 2026'!J1389)</f>
        <v/>
      </c>
      <c r="Q1389">
        <f>IF($A1389="","",IF(OR($E1389="INFRUCTUEUX",$E1389="ANNULE"),$A1389&amp;"|"&amp;(COUNTIFS($A$2:$A1389,$A1389,$E$2:$E1389,"INFRUCTUEUX")+COUNTIFS($A$2:$A1389,$A1389,$E$2:$E1389,"ANNULE")),""))</f>
        <v/>
      </c>
    </row>
    <row r="1390">
      <c r="A1390">
        <f>IF(ISBLANK('ENGAGEMENTS 2026'!B1390),"",IF('ENGAGEMENTS 2026'!B1390="DTSI","DCT",'ENGAGEMENTS 2026'!B1390))</f>
        <v/>
      </c>
      <c r="B1390">
        <f>IF(ISBLANK('ENGAGEMENTS 2026'!B1390),"",'ENGAGEMENTS 2026'!C1390)</f>
        <v/>
      </c>
      <c r="C1390">
        <f>IF(ISBLANK('ENGAGEMENTS 2026'!B1390),"",'ENGAGEMENTS 2026'!D1390)</f>
        <v/>
      </c>
      <c r="D1390">
        <f>IF(ISBLANK('ENGAGEMENTS 2026'!B1390),"",'ENGAGEMENTS 2026'!F1390)</f>
        <v/>
      </c>
      <c r="E1390">
        <f>IF(ISBLANK('ENGAGEMENTS 2026'!B1390),"",'ENGAGEMENTS 2026'!H1390)</f>
        <v/>
      </c>
      <c r="F1390">
        <f>IF(ISBLANK('ENGAGEMENTS 2026'!B1390),"",'ENGAGEMENTS 2026'!I1390)</f>
        <v/>
      </c>
      <c r="G1390">
        <f>IF(ISBLANK('ENGAGEMENTS 2026'!B1390),"",'ENGAGEMENTS 2026'!L1390)</f>
        <v/>
      </c>
      <c r="H1390">
        <f>IF(ISBLANK('ENGAGEMENTS 2026'!B1390),"",'ENGAGEMENTS 2026'!AE1390)</f>
        <v/>
      </c>
      <c r="I1390">
        <f>IF(ISBLANK('ENGAGEMENTS 2026'!B1390),"",'ENGAGEMENTS 2026'!G1390)</f>
        <v/>
      </c>
      <c r="J1390" s="275">
        <f>IF(ISBLANK('ENGAGEMENTS 2026'!B1390),"",IF(AND(OR($E1390="INFRUCTUEUX",$E1390="ANNULE"),$C1390="AOO-M"),'ENGAGEMENTS 2026'!O1390,IF($H1390="EN COURS DE PREENGAGEMENT",'ENGAGEMENTS 2026'!N1390,IF($H1390="PREENGAGE",IF($E1390="ATTRIBUE",'ENGAGEMENTS 2026'!AD1390,'ENGAGEMENTS 2026'!N1390),'ENGAGEMENTS 2026'!AD1390))))</f>
        <v/>
      </c>
      <c r="K1390" s="604">
        <f>IF(ISBLANK('ENGAGEMENTS 2026'!V1390),"",'ENGAGEMENTS 2026'!V1390)</f>
        <v/>
      </c>
      <c r="L1390" s="276">
        <f>IF($K1390="","",TODAY()-$K1390)</f>
        <v/>
      </c>
      <c r="M1390">
        <f>IF($A1390="","",IF($H1390="ENGAGE","Engagé",IF(AND($H1390="NON ENGAGE",OR($I1390="INFRUCTUEUX",$I1390="ANNULE")),"Clôturé sans suite","En cours")))</f>
        <v/>
      </c>
      <c r="N1390">
        <f>IF(ISBLANK('ENGAGEMENTS 2026'!B1390),"",'ENGAGEMENTS 2026'!K1390)</f>
        <v/>
      </c>
      <c r="O1390">
        <f>IF(ISBLANK('ENGAGEMENTS 2026'!B1390),"",'ENGAGEMENTS 2026'!L1390)</f>
        <v/>
      </c>
      <c r="P1390">
        <f>IF(ISBLANK('ENGAGEMENTS 2026'!B1390),"",'ENGAGEMENTS 2026'!J1390)</f>
        <v/>
      </c>
      <c r="Q1390">
        <f>IF($A1390="","",IF(OR($E1390="INFRUCTUEUX",$E1390="ANNULE"),$A1390&amp;"|"&amp;(COUNTIFS($A$2:$A1390,$A1390,$E$2:$E1390,"INFRUCTUEUX")+COUNTIFS($A$2:$A1390,$A1390,$E$2:$E1390,"ANNULE")),""))</f>
        <v/>
      </c>
    </row>
    <row r="1391">
      <c r="A1391">
        <f>IF(ISBLANK('ENGAGEMENTS 2026'!B1391),"",IF('ENGAGEMENTS 2026'!B1391="DTSI","DCT",'ENGAGEMENTS 2026'!B1391))</f>
        <v/>
      </c>
      <c r="B1391">
        <f>IF(ISBLANK('ENGAGEMENTS 2026'!B1391),"",'ENGAGEMENTS 2026'!C1391)</f>
        <v/>
      </c>
      <c r="C1391">
        <f>IF(ISBLANK('ENGAGEMENTS 2026'!B1391),"",'ENGAGEMENTS 2026'!D1391)</f>
        <v/>
      </c>
      <c r="D1391">
        <f>IF(ISBLANK('ENGAGEMENTS 2026'!B1391),"",'ENGAGEMENTS 2026'!F1391)</f>
        <v/>
      </c>
      <c r="E1391">
        <f>IF(ISBLANK('ENGAGEMENTS 2026'!B1391),"",'ENGAGEMENTS 2026'!H1391)</f>
        <v/>
      </c>
      <c r="F1391">
        <f>IF(ISBLANK('ENGAGEMENTS 2026'!B1391),"",'ENGAGEMENTS 2026'!I1391)</f>
        <v/>
      </c>
      <c r="G1391">
        <f>IF(ISBLANK('ENGAGEMENTS 2026'!B1391),"",'ENGAGEMENTS 2026'!L1391)</f>
        <v/>
      </c>
      <c r="H1391">
        <f>IF(ISBLANK('ENGAGEMENTS 2026'!B1391),"",'ENGAGEMENTS 2026'!AE1391)</f>
        <v/>
      </c>
      <c r="I1391">
        <f>IF(ISBLANK('ENGAGEMENTS 2026'!B1391),"",'ENGAGEMENTS 2026'!G1391)</f>
        <v/>
      </c>
      <c r="J1391" s="275">
        <f>IF(ISBLANK('ENGAGEMENTS 2026'!B1391),"",IF(AND(OR($E1391="INFRUCTUEUX",$E1391="ANNULE"),$C1391="AOO-M"),'ENGAGEMENTS 2026'!O1391,IF($H1391="EN COURS DE PREENGAGEMENT",'ENGAGEMENTS 2026'!N1391,IF($H1391="PREENGAGE",IF($E1391="ATTRIBUE",'ENGAGEMENTS 2026'!AD1391,'ENGAGEMENTS 2026'!N1391),'ENGAGEMENTS 2026'!AD1391))))</f>
        <v/>
      </c>
      <c r="K1391" s="604">
        <f>IF(ISBLANK('ENGAGEMENTS 2026'!V1391),"",'ENGAGEMENTS 2026'!V1391)</f>
        <v/>
      </c>
      <c r="L1391" s="276">
        <f>IF($K1391="","",TODAY()-$K1391)</f>
        <v/>
      </c>
      <c r="M1391">
        <f>IF($A1391="","",IF($H1391="ENGAGE","Engagé",IF(AND($H1391="NON ENGAGE",OR($I1391="INFRUCTUEUX",$I1391="ANNULE")),"Clôturé sans suite","En cours")))</f>
        <v/>
      </c>
      <c r="N1391">
        <f>IF(ISBLANK('ENGAGEMENTS 2026'!B1391),"",'ENGAGEMENTS 2026'!K1391)</f>
        <v/>
      </c>
      <c r="O1391">
        <f>IF(ISBLANK('ENGAGEMENTS 2026'!B1391),"",'ENGAGEMENTS 2026'!L1391)</f>
        <v/>
      </c>
      <c r="P1391">
        <f>IF(ISBLANK('ENGAGEMENTS 2026'!B1391),"",'ENGAGEMENTS 2026'!J1391)</f>
        <v/>
      </c>
      <c r="Q1391">
        <f>IF($A1391="","",IF(OR($E1391="INFRUCTUEUX",$E1391="ANNULE"),$A1391&amp;"|"&amp;(COUNTIFS($A$2:$A1391,$A1391,$E$2:$E1391,"INFRUCTUEUX")+COUNTIFS($A$2:$A1391,$A1391,$E$2:$E1391,"ANNULE")),""))</f>
        <v/>
      </c>
    </row>
    <row r="1392">
      <c r="A1392">
        <f>IF(ISBLANK('ENGAGEMENTS 2026'!B1392),"",IF('ENGAGEMENTS 2026'!B1392="DTSI","DCT",'ENGAGEMENTS 2026'!B1392))</f>
        <v/>
      </c>
      <c r="B1392">
        <f>IF(ISBLANK('ENGAGEMENTS 2026'!B1392),"",'ENGAGEMENTS 2026'!C1392)</f>
        <v/>
      </c>
      <c r="C1392">
        <f>IF(ISBLANK('ENGAGEMENTS 2026'!B1392),"",'ENGAGEMENTS 2026'!D1392)</f>
        <v/>
      </c>
      <c r="D1392">
        <f>IF(ISBLANK('ENGAGEMENTS 2026'!B1392),"",'ENGAGEMENTS 2026'!F1392)</f>
        <v/>
      </c>
      <c r="E1392">
        <f>IF(ISBLANK('ENGAGEMENTS 2026'!B1392),"",'ENGAGEMENTS 2026'!H1392)</f>
        <v/>
      </c>
      <c r="F1392">
        <f>IF(ISBLANK('ENGAGEMENTS 2026'!B1392),"",'ENGAGEMENTS 2026'!I1392)</f>
        <v/>
      </c>
      <c r="G1392">
        <f>IF(ISBLANK('ENGAGEMENTS 2026'!B1392),"",'ENGAGEMENTS 2026'!L1392)</f>
        <v/>
      </c>
      <c r="H1392">
        <f>IF(ISBLANK('ENGAGEMENTS 2026'!B1392),"",'ENGAGEMENTS 2026'!AE1392)</f>
        <v/>
      </c>
      <c r="I1392">
        <f>IF(ISBLANK('ENGAGEMENTS 2026'!B1392),"",'ENGAGEMENTS 2026'!G1392)</f>
        <v/>
      </c>
      <c r="J1392" s="275">
        <f>IF(ISBLANK('ENGAGEMENTS 2026'!B1392),"",IF(AND(OR($E1392="INFRUCTUEUX",$E1392="ANNULE"),$C1392="AOO-M"),'ENGAGEMENTS 2026'!O1392,IF($H1392="EN COURS DE PREENGAGEMENT",'ENGAGEMENTS 2026'!N1392,IF($H1392="PREENGAGE",IF($E1392="ATTRIBUE",'ENGAGEMENTS 2026'!AD1392,'ENGAGEMENTS 2026'!N1392),'ENGAGEMENTS 2026'!AD1392))))</f>
        <v/>
      </c>
      <c r="K1392" s="604">
        <f>IF(ISBLANK('ENGAGEMENTS 2026'!V1392),"",'ENGAGEMENTS 2026'!V1392)</f>
        <v/>
      </c>
      <c r="L1392" s="276">
        <f>IF($K1392="","",TODAY()-$K1392)</f>
        <v/>
      </c>
      <c r="M1392">
        <f>IF($A1392="","",IF($H1392="ENGAGE","Engagé",IF(AND($H1392="NON ENGAGE",OR($I1392="INFRUCTUEUX",$I1392="ANNULE")),"Clôturé sans suite","En cours")))</f>
        <v/>
      </c>
      <c r="N1392">
        <f>IF(ISBLANK('ENGAGEMENTS 2026'!B1392),"",'ENGAGEMENTS 2026'!K1392)</f>
        <v/>
      </c>
      <c r="O1392">
        <f>IF(ISBLANK('ENGAGEMENTS 2026'!B1392),"",'ENGAGEMENTS 2026'!L1392)</f>
        <v/>
      </c>
      <c r="P1392">
        <f>IF(ISBLANK('ENGAGEMENTS 2026'!B1392),"",'ENGAGEMENTS 2026'!J1392)</f>
        <v/>
      </c>
      <c r="Q1392">
        <f>IF($A1392="","",IF(OR($E1392="INFRUCTUEUX",$E1392="ANNULE"),$A1392&amp;"|"&amp;(COUNTIFS($A$2:$A1392,$A1392,$E$2:$E1392,"INFRUCTUEUX")+COUNTIFS($A$2:$A1392,$A1392,$E$2:$E1392,"ANNULE")),""))</f>
        <v/>
      </c>
    </row>
    <row r="1393">
      <c r="A1393">
        <f>IF(ISBLANK('ENGAGEMENTS 2026'!B1393),"",IF('ENGAGEMENTS 2026'!B1393="DTSI","DCT",'ENGAGEMENTS 2026'!B1393))</f>
        <v/>
      </c>
      <c r="B1393">
        <f>IF(ISBLANK('ENGAGEMENTS 2026'!B1393),"",'ENGAGEMENTS 2026'!C1393)</f>
        <v/>
      </c>
      <c r="C1393">
        <f>IF(ISBLANK('ENGAGEMENTS 2026'!B1393),"",'ENGAGEMENTS 2026'!D1393)</f>
        <v/>
      </c>
      <c r="D1393">
        <f>IF(ISBLANK('ENGAGEMENTS 2026'!B1393),"",'ENGAGEMENTS 2026'!F1393)</f>
        <v/>
      </c>
      <c r="E1393">
        <f>IF(ISBLANK('ENGAGEMENTS 2026'!B1393),"",'ENGAGEMENTS 2026'!H1393)</f>
        <v/>
      </c>
      <c r="F1393">
        <f>IF(ISBLANK('ENGAGEMENTS 2026'!B1393),"",'ENGAGEMENTS 2026'!I1393)</f>
        <v/>
      </c>
      <c r="G1393">
        <f>IF(ISBLANK('ENGAGEMENTS 2026'!B1393),"",'ENGAGEMENTS 2026'!L1393)</f>
        <v/>
      </c>
      <c r="H1393">
        <f>IF(ISBLANK('ENGAGEMENTS 2026'!B1393),"",'ENGAGEMENTS 2026'!AE1393)</f>
        <v/>
      </c>
      <c r="I1393">
        <f>IF(ISBLANK('ENGAGEMENTS 2026'!B1393),"",'ENGAGEMENTS 2026'!G1393)</f>
        <v/>
      </c>
      <c r="J1393" s="275">
        <f>IF(ISBLANK('ENGAGEMENTS 2026'!B1393),"",IF(AND(OR($E1393="INFRUCTUEUX",$E1393="ANNULE"),$C1393="AOO-M"),'ENGAGEMENTS 2026'!O1393,IF($H1393="EN COURS DE PREENGAGEMENT",'ENGAGEMENTS 2026'!N1393,IF($H1393="PREENGAGE",IF($E1393="ATTRIBUE",'ENGAGEMENTS 2026'!AD1393,'ENGAGEMENTS 2026'!N1393),'ENGAGEMENTS 2026'!AD1393))))</f>
        <v/>
      </c>
      <c r="K1393" s="604">
        <f>IF(ISBLANK('ENGAGEMENTS 2026'!V1393),"",'ENGAGEMENTS 2026'!V1393)</f>
        <v/>
      </c>
      <c r="L1393" s="276">
        <f>IF($K1393="","",TODAY()-$K1393)</f>
        <v/>
      </c>
      <c r="M1393">
        <f>IF($A1393="","",IF($H1393="ENGAGE","Engagé",IF(AND($H1393="NON ENGAGE",OR($I1393="INFRUCTUEUX",$I1393="ANNULE")),"Clôturé sans suite","En cours")))</f>
        <v/>
      </c>
      <c r="N1393">
        <f>IF(ISBLANK('ENGAGEMENTS 2026'!B1393),"",'ENGAGEMENTS 2026'!K1393)</f>
        <v/>
      </c>
      <c r="O1393">
        <f>IF(ISBLANK('ENGAGEMENTS 2026'!B1393),"",'ENGAGEMENTS 2026'!L1393)</f>
        <v/>
      </c>
      <c r="P1393">
        <f>IF(ISBLANK('ENGAGEMENTS 2026'!B1393),"",'ENGAGEMENTS 2026'!J1393)</f>
        <v/>
      </c>
      <c r="Q1393">
        <f>IF($A1393="","",IF(OR($E1393="INFRUCTUEUX",$E1393="ANNULE"),$A1393&amp;"|"&amp;(COUNTIFS($A$2:$A1393,$A1393,$E$2:$E1393,"INFRUCTUEUX")+COUNTIFS($A$2:$A1393,$A1393,$E$2:$E1393,"ANNULE")),""))</f>
        <v/>
      </c>
    </row>
    <row r="1394">
      <c r="A1394">
        <f>IF(ISBLANK('ENGAGEMENTS 2026'!B1394),"",IF('ENGAGEMENTS 2026'!B1394="DTSI","DCT",'ENGAGEMENTS 2026'!B1394))</f>
        <v/>
      </c>
      <c r="B1394">
        <f>IF(ISBLANK('ENGAGEMENTS 2026'!B1394),"",'ENGAGEMENTS 2026'!C1394)</f>
        <v/>
      </c>
      <c r="C1394">
        <f>IF(ISBLANK('ENGAGEMENTS 2026'!B1394),"",'ENGAGEMENTS 2026'!D1394)</f>
        <v/>
      </c>
      <c r="D1394">
        <f>IF(ISBLANK('ENGAGEMENTS 2026'!B1394),"",'ENGAGEMENTS 2026'!F1394)</f>
        <v/>
      </c>
      <c r="E1394">
        <f>IF(ISBLANK('ENGAGEMENTS 2026'!B1394),"",'ENGAGEMENTS 2026'!H1394)</f>
        <v/>
      </c>
      <c r="F1394">
        <f>IF(ISBLANK('ENGAGEMENTS 2026'!B1394),"",'ENGAGEMENTS 2026'!I1394)</f>
        <v/>
      </c>
      <c r="G1394">
        <f>IF(ISBLANK('ENGAGEMENTS 2026'!B1394),"",'ENGAGEMENTS 2026'!L1394)</f>
        <v/>
      </c>
      <c r="H1394">
        <f>IF(ISBLANK('ENGAGEMENTS 2026'!B1394),"",'ENGAGEMENTS 2026'!AE1394)</f>
        <v/>
      </c>
      <c r="I1394">
        <f>IF(ISBLANK('ENGAGEMENTS 2026'!B1394),"",'ENGAGEMENTS 2026'!G1394)</f>
        <v/>
      </c>
      <c r="J1394" s="275">
        <f>IF(ISBLANK('ENGAGEMENTS 2026'!B1394),"",IF(AND(OR($E1394="INFRUCTUEUX",$E1394="ANNULE"),$C1394="AOO-M"),'ENGAGEMENTS 2026'!O1394,IF($H1394="EN COURS DE PREENGAGEMENT",'ENGAGEMENTS 2026'!N1394,IF($H1394="PREENGAGE",IF($E1394="ATTRIBUE",'ENGAGEMENTS 2026'!AD1394,'ENGAGEMENTS 2026'!N1394),'ENGAGEMENTS 2026'!AD1394))))</f>
        <v/>
      </c>
      <c r="K1394" s="604">
        <f>IF(ISBLANK('ENGAGEMENTS 2026'!V1394),"",'ENGAGEMENTS 2026'!V1394)</f>
        <v/>
      </c>
      <c r="L1394" s="276">
        <f>IF($K1394="","",TODAY()-$K1394)</f>
        <v/>
      </c>
      <c r="M1394">
        <f>IF($A1394="","",IF($H1394="ENGAGE","Engagé",IF(AND($H1394="NON ENGAGE",OR($I1394="INFRUCTUEUX",$I1394="ANNULE")),"Clôturé sans suite","En cours")))</f>
        <v/>
      </c>
      <c r="N1394">
        <f>IF(ISBLANK('ENGAGEMENTS 2026'!B1394),"",'ENGAGEMENTS 2026'!K1394)</f>
        <v/>
      </c>
      <c r="O1394">
        <f>IF(ISBLANK('ENGAGEMENTS 2026'!B1394),"",'ENGAGEMENTS 2026'!L1394)</f>
        <v/>
      </c>
      <c r="P1394">
        <f>IF(ISBLANK('ENGAGEMENTS 2026'!B1394),"",'ENGAGEMENTS 2026'!J1394)</f>
        <v/>
      </c>
      <c r="Q1394">
        <f>IF($A1394="","",IF(OR($E1394="INFRUCTUEUX",$E1394="ANNULE"),$A1394&amp;"|"&amp;(COUNTIFS($A$2:$A1394,$A1394,$E$2:$E1394,"INFRUCTUEUX")+COUNTIFS($A$2:$A1394,$A1394,$E$2:$E1394,"ANNULE")),""))</f>
        <v/>
      </c>
    </row>
    <row r="1395">
      <c r="A1395">
        <f>IF(ISBLANK('ENGAGEMENTS 2026'!B1395),"",IF('ENGAGEMENTS 2026'!B1395="DTSI","DCT",'ENGAGEMENTS 2026'!B1395))</f>
        <v/>
      </c>
      <c r="B1395">
        <f>IF(ISBLANK('ENGAGEMENTS 2026'!B1395),"",'ENGAGEMENTS 2026'!C1395)</f>
        <v/>
      </c>
      <c r="C1395">
        <f>IF(ISBLANK('ENGAGEMENTS 2026'!B1395),"",'ENGAGEMENTS 2026'!D1395)</f>
        <v/>
      </c>
      <c r="D1395">
        <f>IF(ISBLANK('ENGAGEMENTS 2026'!B1395),"",'ENGAGEMENTS 2026'!F1395)</f>
        <v/>
      </c>
      <c r="E1395">
        <f>IF(ISBLANK('ENGAGEMENTS 2026'!B1395),"",'ENGAGEMENTS 2026'!H1395)</f>
        <v/>
      </c>
      <c r="F1395">
        <f>IF(ISBLANK('ENGAGEMENTS 2026'!B1395),"",'ENGAGEMENTS 2026'!I1395)</f>
        <v/>
      </c>
      <c r="G1395">
        <f>IF(ISBLANK('ENGAGEMENTS 2026'!B1395),"",'ENGAGEMENTS 2026'!L1395)</f>
        <v/>
      </c>
      <c r="H1395">
        <f>IF(ISBLANK('ENGAGEMENTS 2026'!B1395),"",'ENGAGEMENTS 2026'!AE1395)</f>
        <v/>
      </c>
      <c r="I1395">
        <f>IF(ISBLANK('ENGAGEMENTS 2026'!B1395),"",'ENGAGEMENTS 2026'!G1395)</f>
        <v/>
      </c>
      <c r="J1395" s="275">
        <f>IF(ISBLANK('ENGAGEMENTS 2026'!B1395),"",IF(AND(OR($E1395="INFRUCTUEUX",$E1395="ANNULE"),$C1395="AOO-M"),'ENGAGEMENTS 2026'!O1395,IF($H1395="EN COURS DE PREENGAGEMENT",'ENGAGEMENTS 2026'!N1395,IF($H1395="PREENGAGE",IF($E1395="ATTRIBUE",'ENGAGEMENTS 2026'!AD1395,'ENGAGEMENTS 2026'!N1395),'ENGAGEMENTS 2026'!AD1395))))</f>
        <v/>
      </c>
      <c r="K1395" s="604">
        <f>IF(ISBLANK('ENGAGEMENTS 2026'!V1395),"",'ENGAGEMENTS 2026'!V1395)</f>
        <v/>
      </c>
      <c r="L1395" s="276">
        <f>IF($K1395="","",TODAY()-$K1395)</f>
        <v/>
      </c>
      <c r="M1395">
        <f>IF($A1395="","",IF($H1395="ENGAGE","Engagé",IF(AND($H1395="NON ENGAGE",OR($I1395="INFRUCTUEUX",$I1395="ANNULE")),"Clôturé sans suite","En cours")))</f>
        <v/>
      </c>
      <c r="N1395">
        <f>IF(ISBLANK('ENGAGEMENTS 2026'!B1395),"",'ENGAGEMENTS 2026'!K1395)</f>
        <v/>
      </c>
      <c r="O1395">
        <f>IF(ISBLANK('ENGAGEMENTS 2026'!B1395),"",'ENGAGEMENTS 2026'!L1395)</f>
        <v/>
      </c>
      <c r="P1395">
        <f>IF(ISBLANK('ENGAGEMENTS 2026'!B1395),"",'ENGAGEMENTS 2026'!J1395)</f>
        <v/>
      </c>
      <c r="Q1395">
        <f>IF($A1395="","",IF(OR($E1395="INFRUCTUEUX",$E1395="ANNULE"),$A1395&amp;"|"&amp;(COUNTIFS($A$2:$A1395,$A1395,$E$2:$E1395,"INFRUCTUEUX")+COUNTIFS($A$2:$A1395,$A1395,$E$2:$E1395,"ANNULE")),""))</f>
        <v/>
      </c>
    </row>
    <row r="1396">
      <c r="A1396">
        <f>IF(ISBLANK('ENGAGEMENTS 2026'!B1396),"",IF('ENGAGEMENTS 2026'!B1396="DTSI","DCT",'ENGAGEMENTS 2026'!B1396))</f>
        <v/>
      </c>
      <c r="B1396">
        <f>IF(ISBLANK('ENGAGEMENTS 2026'!B1396),"",'ENGAGEMENTS 2026'!C1396)</f>
        <v/>
      </c>
      <c r="C1396">
        <f>IF(ISBLANK('ENGAGEMENTS 2026'!B1396),"",'ENGAGEMENTS 2026'!D1396)</f>
        <v/>
      </c>
      <c r="D1396">
        <f>IF(ISBLANK('ENGAGEMENTS 2026'!B1396),"",'ENGAGEMENTS 2026'!F1396)</f>
        <v/>
      </c>
      <c r="E1396">
        <f>IF(ISBLANK('ENGAGEMENTS 2026'!B1396),"",'ENGAGEMENTS 2026'!H1396)</f>
        <v/>
      </c>
      <c r="F1396">
        <f>IF(ISBLANK('ENGAGEMENTS 2026'!B1396),"",'ENGAGEMENTS 2026'!I1396)</f>
        <v/>
      </c>
      <c r="G1396">
        <f>IF(ISBLANK('ENGAGEMENTS 2026'!B1396),"",'ENGAGEMENTS 2026'!L1396)</f>
        <v/>
      </c>
      <c r="H1396">
        <f>IF(ISBLANK('ENGAGEMENTS 2026'!B1396),"",'ENGAGEMENTS 2026'!AE1396)</f>
        <v/>
      </c>
      <c r="I1396">
        <f>IF(ISBLANK('ENGAGEMENTS 2026'!B1396),"",'ENGAGEMENTS 2026'!G1396)</f>
        <v/>
      </c>
      <c r="J1396" s="275">
        <f>IF(ISBLANK('ENGAGEMENTS 2026'!B1396),"",IF(AND(OR($E1396="INFRUCTUEUX",$E1396="ANNULE"),$C1396="AOO-M"),'ENGAGEMENTS 2026'!O1396,IF($H1396="EN COURS DE PREENGAGEMENT",'ENGAGEMENTS 2026'!N1396,IF($H1396="PREENGAGE",IF($E1396="ATTRIBUE",'ENGAGEMENTS 2026'!AD1396,'ENGAGEMENTS 2026'!N1396),'ENGAGEMENTS 2026'!AD1396))))</f>
        <v/>
      </c>
      <c r="K1396" s="604">
        <f>IF(ISBLANK('ENGAGEMENTS 2026'!V1396),"",'ENGAGEMENTS 2026'!V1396)</f>
        <v/>
      </c>
      <c r="L1396" s="276">
        <f>IF($K1396="","",TODAY()-$K1396)</f>
        <v/>
      </c>
      <c r="M1396">
        <f>IF($A1396="","",IF($H1396="ENGAGE","Engagé",IF(AND($H1396="NON ENGAGE",OR($I1396="INFRUCTUEUX",$I1396="ANNULE")),"Clôturé sans suite","En cours")))</f>
        <v/>
      </c>
      <c r="N1396">
        <f>IF(ISBLANK('ENGAGEMENTS 2026'!B1396),"",'ENGAGEMENTS 2026'!K1396)</f>
        <v/>
      </c>
      <c r="O1396">
        <f>IF(ISBLANK('ENGAGEMENTS 2026'!B1396),"",'ENGAGEMENTS 2026'!L1396)</f>
        <v/>
      </c>
      <c r="P1396">
        <f>IF(ISBLANK('ENGAGEMENTS 2026'!B1396),"",'ENGAGEMENTS 2026'!J1396)</f>
        <v/>
      </c>
      <c r="Q1396">
        <f>IF($A1396="","",IF(OR($E1396="INFRUCTUEUX",$E1396="ANNULE"),$A1396&amp;"|"&amp;(COUNTIFS($A$2:$A1396,$A1396,$E$2:$E1396,"INFRUCTUEUX")+COUNTIFS($A$2:$A1396,$A1396,$E$2:$E1396,"ANNULE")),""))</f>
        <v/>
      </c>
    </row>
    <row r="1397">
      <c r="A1397">
        <f>IF(ISBLANK('ENGAGEMENTS 2026'!B1397),"",IF('ENGAGEMENTS 2026'!B1397="DTSI","DCT",'ENGAGEMENTS 2026'!B1397))</f>
        <v/>
      </c>
      <c r="B1397">
        <f>IF(ISBLANK('ENGAGEMENTS 2026'!B1397),"",'ENGAGEMENTS 2026'!C1397)</f>
        <v/>
      </c>
      <c r="C1397">
        <f>IF(ISBLANK('ENGAGEMENTS 2026'!B1397),"",'ENGAGEMENTS 2026'!D1397)</f>
        <v/>
      </c>
      <c r="D1397">
        <f>IF(ISBLANK('ENGAGEMENTS 2026'!B1397),"",'ENGAGEMENTS 2026'!F1397)</f>
        <v/>
      </c>
      <c r="E1397">
        <f>IF(ISBLANK('ENGAGEMENTS 2026'!B1397),"",'ENGAGEMENTS 2026'!H1397)</f>
        <v/>
      </c>
      <c r="F1397">
        <f>IF(ISBLANK('ENGAGEMENTS 2026'!B1397),"",'ENGAGEMENTS 2026'!I1397)</f>
        <v/>
      </c>
      <c r="G1397">
        <f>IF(ISBLANK('ENGAGEMENTS 2026'!B1397),"",'ENGAGEMENTS 2026'!L1397)</f>
        <v/>
      </c>
      <c r="H1397">
        <f>IF(ISBLANK('ENGAGEMENTS 2026'!B1397),"",'ENGAGEMENTS 2026'!AE1397)</f>
        <v/>
      </c>
      <c r="I1397">
        <f>IF(ISBLANK('ENGAGEMENTS 2026'!B1397),"",'ENGAGEMENTS 2026'!G1397)</f>
        <v/>
      </c>
      <c r="J1397" s="275">
        <f>IF(ISBLANK('ENGAGEMENTS 2026'!B1397),"",IF(AND(OR($E1397="INFRUCTUEUX",$E1397="ANNULE"),$C1397="AOO-M"),'ENGAGEMENTS 2026'!O1397,IF($H1397="EN COURS DE PREENGAGEMENT",'ENGAGEMENTS 2026'!N1397,IF($H1397="PREENGAGE",IF($E1397="ATTRIBUE",'ENGAGEMENTS 2026'!AD1397,'ENGAGEMENTS 2026'!N1397),'ENGAGEMENTS 2026'!AD1397))))</f>
        <v/>
      </c>
      <c r="K1397" s="604">
        <f>IF(ISBLANK('ENGAGEMENTS 2026'!V1397),"",'ENGAGEMENTS 2026'!V1397)</f>
        <v/>
      </c>
      <c r="L1397" s="276">
        <f>IF($K1397="","",TODAY()-$K1397)</f>
        <v/>
      </c>
      <c r="M1397">
        <f>IF($A1397="","",IF($H1397="ENGAGE","Engagé",IF(AND($H1397="NON ENGAGE",OR($I1397="INFRUCTUEUX",$I1397="ANNULE")),"Clôturé sans suite","En cours")))</f>
        <v/>
      </c>
      <c r="N1397">
        <f>IF(ISBLANK('ENGAGEMENTS 2026'!B1397),"",'ENGAGEMENTS 2026'!K1397)</f>
        <v/>
      </c>
      <c r="O1397">
        <f>IF(ISBLANK('ENGAGEMENTS 2026'!B1397),"",'ENGAGEMENTS 2026'!L1397)</f>
        <v/>
      </c>
      <c r="P1397">
        <f>IF(ISBLANK('ENGAGEMENTS 2026'!B1397),"",'ENGAGEMENTS 2026'!J1397)</f>
        <v/>
      </c>
      <c r="Q1397">
        <f>IF($A1397="","",IF(OR($E1397="INFRUCTUEUX",$E1397="ANNULE"),$A1397&amp;"|"&amp;(COUNTIFS($A$2:$A1397,$A1397,$E$2:$E1397,"INFRUCTUEUX")+COUNTIFS($A$2:$A1397,$A1397,$E$2:$E1397,"ANNULE")),""))</f>
        <v/>
      </c>
    </row>
    <row r="1398">
      <c r="A1398">
        <f>IF(ISBLANK('ENGAGEMENTS 2026'!B1398),"",IF('ENGAGEMENTS 2026'!B1398="DTSI","DCT",'ENGAGEMENTS 2026'!B1398))</f>
        <v/>
      </c>
      <c r="B1398">
        <f>IF(ISBLANK('ENGAGEMENTS 2026'!B1398),"",'ENGAGEMENTS 2026'!C1398)</f>
        <v/>
      </c>
      <c r="C1398">
        <f>IF(ISBLANK('ENGAGEMENTS 2026'!B1398),"",'ENGAGEMENTS 2026'!D1398)</f>
        <v/>
      </c>
      <c r="D1398">
        <f>IF(ISBLANK('ENGAGEMENTS 2026'!B1398),"",'ENGAGEMENTS 2026'!F1398)</f>
        <v/>
      </c>
      <c r="E1398">
        <f>IF(ISBLANK('ENGAGEMENTS 2026'!B1398),"",'ENGAGEMENTS 2026'!H1398)</f>
        <v/>
      </c>
      <c r="F1398">
        <f>IF(ISBLANK('ENGAGEMENTS 2026'!B1398),"",'ENGAGEMENTS 2026'!I1398)</f>
        <v/>
      </c>
      <c r="G1398">
        <f>IF(ISBLANK('ENGAGEMENTS 2026'!B1398),"",'ENGAGEMENTS 2026'!L1398)</f>
        <v/>
      </c>
      <c r="H1398">
        <f>IF(ISBLANK('ENGAGEMENTS 2026'!B1398),"",'ENGAGEMENTS 2026'!AE1398)</f>
        <v/>
      </c>
      <c r="I1398">
        <f>IF(ISBLANK('ENGAGEMENTS 2026'!B1398),"",'ENGAGEMENTS 2026'!G1398)</f>
        <v/>
      </c>
      <c r="J1398" s="275">
        <f>IF(ISBLANK('ENGAGEMENTS 2026'!B1398),"",IF(AND(OR($E1398="INFRUCTUEUX",$E1398="ANNULE"),$C1398="AOO-M"),'ENGAGEMENTS 2026'!O1398,IF($H1398="EN COURS DE PREENGAGEMENT",'ENGAGEMENTS 2026'!N1398,IF($H1398="PREENGAGE",IF($E1398="ATTRIBUE",'ENGAGEMENTS 2026'!AD1398,'ENGAGEMENTS 2026'!N1398),'ENGAGEMENTS 2026'!AD1398))))</f>
        <v/>
      </c>
      <c r="K1398" s="604">
        <f>IF(ISBLANK('ENGAGEMENTS 2026'!V1398),"",'ENGAGEMENTS 2026'!V1398)</f>
        <v/>
      </c>
      <c r="L1398" s="276">
        <f>IF($K1398="","",TODAY()-$K1398)</f>
        <v/>
      </c>
      <c r="M1398">
        <f>IF($A1398="","",IF($H1398="ENGAGE","Engagé",IF(AND($H1398="NON ENGAGE",OR($I1398="INFRUCTUEUX",$I1398="ANNULE")),"Clôturé sans suite","En cours")))</f>
        <v/>
      </c>
      <c r="N1398">
        <f>IF(ISBLANK('ENGAGEMENTS 2026'!B1398),"",'ENGAGEMENTS 2026'!K1398)</f>
        <v/>
      </c>
      <c r="O1398">
        <f>IF(ISBLANK('ENGAGEMENTS 2026'!B1398),"",'ENGAGEMENTS 2026'!L1398)</f>
        <v/>
      </c>
      <c r="P1398">
        <f>IF(ISBLANK('ENGAGEMENTS 2026'!B1398),"",'ENGAGEMENTS 2026'!J1398)</f>
        <v/>
      </c>
      <c r="Q1398">
        <f>IF($A1398="","",IF(OR($E1398="INFRUCTUEUX",$E1398="ANNULE"),$A1398&amp;"|"&amp;(COUNTIFS($A$2:$A1398,$A1398,$E$2:$E1398,"INFRUCTUEUX")+COUNTIFS($A$2:$A1398,$A1398,$E$2:$E1398,"ANNULE")),""))</f>
        <v/>
      </c>
    </row>
    <row r="1399">
      <c r="A1399">
        <f>IF(ISBLANK('ENGAGEMENTS 2026'!B1399),"",IF('ENGAGEMENTS 2026'!B1399="DTSI","DCT",'ENGAGEMENTS 2026'!B1399))</f>
        <v/>
      </c>
      <c r="B1399">
        <f>IF(ISBLANK('ENGAGEMENTS 2026'!B1399),"",'ENGAGEMENTS 2026'!C1399)</f>
        <v/>
      </c>
      <c r="C1399">
        <f>IF(ISBLANK('ENGAGEMENTS 2026'!B1399),"",'ENGAGEMENTS 2026'!D1399)</f>
        <v/>
      </c>
      <c r="D1399">
        <f>IF(ISBLANK('ENGAGEMENTS 2026'!B1399),"",'ENGAGEMENTS 2026'!F1399)</f>
        <v/>
      </c>
      <c r="E1399">
        <f>IF(ISBLANK('ENGAGEMENTS 2026'!B1399),"",'ENGAGEMENTS 2026'!H1399)</f>
        <v/>
      </c>
      <c r="F1399">
        <f>IF(ISBLANK('ENGAGEMENTS 2026'!B1399),"",'ENGAGEMENTS 2026'!I1399)</f>
        <v/>
      </c>
      <c r="G1399">
        <f>IF(ISBLANK('ENGAGEMENTS 2026'!B1399),"",'ENGAGEMENTS 2026'!L1399)</f>
        <v/>
      </c>
      <c r="H1399">
        <f>IF(ISBLANK('ENGAGEMENTS 2026'!B1399),"",'ENGAGEMENTS 2026'!AE1399)</f>
        <v/>
      </c>
      <c r="I1399">
        <f>IF(ISBLANK('ENGAGEMENTS 2026'!B1399),"",'ENGAGEMENTS 2026'!G1399)</f>
        <v/>
      </c>
      <c r="J1399" s="275">
        <f>IF(ISBLANK('ENGAGEMENTS 2026'!B1399),"",IF(AND(OR($E1399="INFRUCTUEUX",$E1399="ANNULE"),$C1399="AOO-M"),'ENGAGEMENTS 2026'!O1399,IF($H1399="EN COURS DE PREENGAGEMENT",'ENGAGEMENTS 2026'!N1399,IF($H1399="PREENGAGE",IF($E1399="ATTRIBUE",'ENGAGEMENTS 2026'!AD1399,'ENGAGEMENTS 2026'!N1399),'ENGAGEMENTS 2026'!AD1399))))</f>
        <v/>
      </c>
      <c r="K1399" s="604">
        <f>IF(ISBLANK('ENGAGEMENTS 2026'!V1399),"",'ENGAGEMENTS 2026'!V1399)</f>
        <v/>
      </c>
      <c r="L1399" s="276">
        <f>IF($K1399="","",TODAY()-$K1399)</f>
        <v/>
      </c>
      <c r="M1399">
        <f>IF($A1399="","",IF($H1399="ENGAGE","Engagé",IF(AND($H1399="NON ENGAGE",OR($I1399="INFRUCTUEUX",$I1399="ANNULE")),"Clôturé sans suite","En cours")))</f>
        <v/>
      </c>
      <c r="N1399">
        <f>IF(ISBLANK('ENGAGEMENTS 2026'!B1399),"",'ENGAGEMENTS 2026'!K1399)</f>
        <v/>
      </c>
      <c r="O1399">
        <f>IF(ISBLANK('ENGAGEMENTS 2026'!B1399),"",'ENGAGEMENTS 2026'!L1399)</f>
        <v/>
      </c>
      <c r="P1399">
        <f>IF(ISBLANK('ENGAGEMENTS 2026'!B1399),"",'ENGAGEMENTS 2026'!J1399)</f>
        <v/>
      </c>
      <c r="Q1399">
        <f>IF($A1399="","",IF(OR($E1399="INFRUCTUEUX",$E1399="ANNULE"),$A1399&amp;"|"&amp;(COUNTIFS($A$2:$A1399,$A1399,$E$2:$E1399,"INFRUCTUEUX")+COUNTIFS($A$2:$A1399,$A1399,$E$2:$E1399,"ANNULE")),""))</f>
        <v/>
      </c>
    </row>
    <row r="1400">
      <c r="A1400">
        <f>IF(ISBLANK('ENGAGEMENTS 2026'!B1400),"",IF('ENGAGEMENTS 2026'!B1400="DTSI","DCT",'ENGAGEMENTS 2026'!B1400))</f>
        <v/>
      </c>
      <c r="B1400">
        <f>IF(ISBLANK('ENGAGEMENTS 2026'!B1400),"",'ENGAGEMENTS 2026'!C1400)</f>
        <v/>
      </c>
      <c r="C1400">
        <f>IF(ISBLANK('ENGAGEMENTS 2026'!B1400),"",'ENGAGEMENTS 2026'!D1400)</f>
        <v/>
      </c>
      <c r="D1400">
        <f>IF(ISBLANK('ENGAGEMENTS 2026'!B1400),"",'ENGAGEMENTS 2026'!F1400)</f>
        <v/>
      </c>
      <c r="E1400">
        <f>IF(ISBLANK('ENGAGEMENTS 2026'!B1400),"",'ENGAGEMENTS 2026'!H1400)</f>
        <v/>
      </c>
      <c r="F1400">
        <f>IF(ISBLANK('ENGAGEMENTS 2026'!B1400),"",'ENGAGEMENTS 2026'!I1400)</f>
        <v/>
      </c>
      <c r="G1400">
        <f>IF(ISBLANK('ENGAGEMENTS 2026'!B1400),"",'ENGAGEMENTS 2026'!L1400)</f>
        <v/>
      </c>
      <c r="H1400">
        <f>IF(ISBLANK('ENGAGEMENTS 2026'!B1400),"",'ENGAGEMENTS 2026'!AE1400)</f>
        <v/>
      </c>
      <c r="I1400">
        <f>IF(ISBLANK('ENGAGEMENTS 2026'!B1400),"",'ENGAGEMENTS 2026'!G1400)</f>
        <v/>
      </c>
      <c r="J1400" s="275">
        <f>IF(ISBLANK('ENGAGEMENTS 2026'!B1400),"",IF(AND(OR($E1400="INFRUCTUEUX",$E1400="ANNULE"),$C1400="AOO-M"),'ENGAGEMENTS 2026'!O1400,IF($H1400="EN COURS DE PREENGAGEMENT",'ENGAGEMENTS 2026'!N1400,IF($H1400="PREENGAGE",IF($E1400="ATTRIBUE",'ENGAGEMENTS 2026'!AD1400,'ENGAGEMENTS 2026'!N1400),'ENGAGEMENTS 2026'!AD1400))))</f>
        <v/>
      </c>
      <c r="K1400" s="604">
        <f>IF(ISBLANK('ENGAGEMENTS 2026'!V1400),"",'ENGAGEMENTS 2026'!V1400)</f>
        <v/>
      </c>
      <c r="L1400" s="276">
        <f>IF($K1400="","",TODAY()-$K1400)</f>
        <v/>
      </c>
      <c r="M1400">
        <f>IF($A1400="","",IF($H1400="ENGAGE","Engagé",IF(AND($H1400="NON ENGAGE",OR($I1400="INFRUCTUEUX",$I1400="ANNULE")),"Clôturé sans suite","En cours")))</f>
        <v/>
      </c>
      <c r="N1400">
        <f>IF(ISBLANK('ENGAGEMENTS 2026'!B1400),"",'ENGAGEMENTS 2026'!K1400)</f>
        <v/>
      </c>
      <c r="O1400">
        <f>IF(ISBLANK('ENGAGEMENTS 2026'!B1400),"",'ENGAGEMENTS 2026'!L1400)</f>
        <v/>
      </c>
      <c r="P1400">
        <f>IF(ISBLANK('ENGAGEMENTS 2026'!B1400),"",'ENGAGEMENTS 2026'!J1400)</f>
        <v/>
      </c>
      <c r="Q1400">
        <f>IF($A1400="","",IF(OR($E1400="INFRUCTUEUX",$E1400="ANNULE"),$A1400&amp;"|"&amp;(COUNTIFS($A$2:$A1400,$A1400,$E$2:$E1400,"INFRUCTUEUX")+COUNTIFS($A$2:$A1400,$A1400,$E$2:$E1400,"ANNULE")),""))</f>
        <v/>
      </c>
    </row>
    <row r="1401">
      <c r="A1401">
        <f>IF(ISBLANK('ENGAGEMENTS 2026'!B1401),"",IF('ENGAGEMENTS 2026'!B1401="DTSI","DCT",'ENGAGEMENTS 2026'!B1401))</f>
        <v/>
      </c>
      <c r="B1401">
        <f>IF(ISBLANK('ENGAGEMENTS 2026'!B1401),"",'ENGAGEMENTS 2026'!C1401)</f>
        <v/>
      </c>
      <c r="C1401">
        <f>IF(ISBLANK('ENGAGEMENTS 2026'!B1401),"",'ENGAGEMENTS 2026'!D1401)</f>
        <v/>
      </c>
      <c r="D1401">
        <f>IF(ISBLANK('ENGAGEMENTS 2026'!B1401),"",'ENGAGEMENTS 2026'!F1401)</f>
        <v/>
      </c>
      <c r="E1401">
        <f>IF(ISBLANK('ENGAGEMENTS 2026'!B1401),"",'ENGAGEMENTS 2026'!H1401)</f>
        <v/>
      </c>
      <c r="F1401">
        <f>IF(ISBLANK('ENGAGEMENTS 2026'!B1401),"",'ENGAGEMENTS 2026'!I1401)</f>
        <v/>
      </c>
      <c r="G1401">
        <f>IF(ISBLANK('ENGAGEMENTS 2026'!B1401),"",'ENGAGEMENTS 2026'!L1401)</f>
        <v/>
      </c>
      <c r="H1401">
        <f>IF(ISBLANK('ENGAGEMENTS 2026'!B1401),"",'ENGAGEMENTS 2026'!AE1401)</f>
        <v/>
      </c>
      <c r="I1401">
        <f>IF(ISBLANK('ENGAGEMENTS 2026'!B1401),"",'ENGAGEMENTS 2026'!G1401)</f>
        <v/>
      </c>
      <c r="J1401" s="275">
        <f>IF(ISBLANK('ENGAGEMENTS 2026'!B1401),"",IF(AND(OR($E1401="INFRUCTUEUX",$E1401="ANNULE"),$C1401="AOO-M"),'ENGAGEMENTS 2026'!O1401,IF($H1401="EN COURS DE PREENGAGEMENT",'ENGAGEMENTS 2026'!N1401,IF($H1401="PREENGAGE",IF($E1401="ATTRIBUE",'ENGAGEMENTS 2026'!AD1401,'ENGAGEMENTS 2026'!N1401),'ENGAGEMENTS 2026'!AD1401))))</f>
        <v/>
      </c>
      <c r="K1401" s="604">
        <f>IF(ISBLANK('ENGAGEMENTS 2026'!V1401),"",'ENGAGEMENTS 2026'!V1401)</f>
        <v/>
      </c>
      <c r="L1401" s="276">
        <f>IF($K1401="","",TODAY()-$K1401)</f>
        <v/>
      </c>
      <c r="M1401">
        <f>IF($A1401="","",IF($H1401="ENGAGE","Engagé",IF(AND($H1401="NON ENGAGE",OR($I1401="INFRUCTUEUX",$I1401="ANNULE")),"Clôturé sans suite","En cours")))</f>
        <v/>
      </c>
      <c r="N1401">
        <f>IF(ISBLANK('ENGAGEMENTS 2026'!B1401),"",'ENGAGEMENTS 2026'!K1401)</f>
        <v/>
      </c>
      <c r="O1401">
        <f>IF(ISBLANK('ENGAGEMENTS 2026'!B1401),"",'ENGAGEMENTS 2026'!L1401)</f>
        <v/>
      </c>
      <c r="P1401">
        <f>IF(ISBLANK('ENGAGEMENTS 2026'!B1401),"",'ENGAGEMENTS 2026'!J1401)</f>
        <v/>
      </c>
      <c r="Q1401">
        <f>IF($A1401="","",IF(OR($E1401="INFRUCTUEUX",$E1401="ANNULE"),$A1401&amp;"|"&amp;(COUNTIFS($A$2:$A1401,$A1401,$E$2:$E1401,"INFRUCTUEUX")+COUNTIFS($A$2:$A1401,$A1401,$E$2:$E1401,"ANNULE")),""))</f>
        <v/>
      </c>
    </row>
    <row r="1402">
      <c r="A1402">
        <f>IF(ISBLANK('ENGAGEMENTS 2026'!B1402),"",IF('ENGAGEMENTS 2026'!B1402="DTSI","DCT",'ENGAGEMENTS 2026'!B1402))</f>
        <v/>
      </c>
      <c r="B1402">
        <f>IF(ISBLANK('ENGAGEMENTS 2026'!B1402),"",'ENGAGEMENTS 2026'!C1402)</f>
        <v/>
      </c>
      <c r="C1402">
        <f>IF(ISBLANK('ENGAGEMENTS 2026'!B1402),"",'ENGAGEMENTS 2026'!D1402)</f>
        <v/>
      </c>
      <c r="D1402">
        <f>IF(ISBLANK('ENGAGEMENTS 2026'!B1402),"",'ENGAGEMENTS 2026'!F1402)</f>
        <v/>
      </c>
      <c r="E1402">
        <f>IF(ISBLANK('ENGAGEMENTS 2026'!B1402),"",'ENGAGEMENTS 2026'!H1402)</f>
        <v/>
      </c>
      <c r="F1402">
        <f>IF(ISBLANK('ENGAGEMENTS 2026'!B1402),"",'ENGAGEMENTS 2026'!I1402)</f>
        <v/>
      </c>
      <c r="G1402">
        <f>IF(ISBLANK('ENGAGEMENTS 2026'!B1402),"",'ENGAGEMENTS 2026'!L1402)</f>
        <v/>
      </c>
      <c r="H1402">
        <f>IF(ISBLANK('ENGAGEMENTS 2026'!B1402),"",'ENGAGEMENTS 2026'!AE1402)</f>
        <v/>
      </c>
      <c r="I1402">
        <f>IF(ISBLANK('ENGAGEMENTS 2026'!B1402),"",'ENGAGEMENTS 2026'!G1402)</f>
        <v/>
      </c>
      <c r="J1402" s="275">
        <f>IF(ISBLANK('ENGAGEMENTS 2026'!B1402),"",IF(AND(OR($E1402="INFRUCTUEUX",$E1402="ANNULE"),$C1402="AOO-M"),'ENGAGEMENTS 2026'!O1402,IF($H1402="EN COURS DE PREENGAGEMENT",'ENGAGEMENTS 2026'!N1402,IF($H1402="PREENGAGE",IF($E1402="ATTRIBUE",'ENGAGEMENTS 2026'!AD1402,'ENGAGEMENTS 2026'!N1402),'ENGAGEMENTS 2026'!AD1402))))</f>
        <v/>
      </c>
      <c r="K1402" s="604">
        <f>IF(ISBLANK('ENGAGEMENTS 2026'!V1402),"",'ENGAGEMENTS 2026'!V1402)</f>
        <v/>
      </c>
      <c r="L1402" s="276">
        <f>IF($K1402="","",TODAY()-$K1402)</f>
        <v/>
      </c>
      <c r="M1402">
        <f>IF($A1402="","",IF($H1402="ENGAGE","Engagé",IF(AND($H1402="NON ENGAGE",OR($I1402="INFRUCTUEUX",$I1402="ANNULE")),"Clôturé sans suite","En cours")))</f>
        <v/>
      </c>
      <c r="N1402">
        <f>IF(ISBLANK('ENGAGEMENTS 2026'!B1402),"",'ENGAGEMENTS 2026'!K1402)</f>
        <v/>
      </c>
      <c r="O1402">
        <f>IF(ISBLANK('ENGAGEMENTS 2026'!B1402),"",'ENGAGEMENTS 2026'!L1402)</f>
        <v/>
      </c>
      <c r="P1402">
        <f>IF(ISBLANK('ENGAGEMENTS 2026'!B1402),"",'ENGAGEMENTS 2026'!J1402)</f>
        <v/>
      </c>
      <c r="Q1402">
        <f>IF($A1402="","",IF(OR($E1402="INFRUCTUEUX",$E1402="ANNULE"),$A1402&amp;"|"&amp;(COUNTIFS($A$2:$A1402,$A1402,$E$2:$E1402,"INFRUCTUEUX")+COUNTIFS($A$2:$A1402,$A1402,$E$2:$E1402,"ANNULE")),""))</f>
        <v/>
      </c>
    </row>
    <row r="1403">
      <c r="A1403">
        <f>IF(ISBLANK('ENGAGEMENTS 2026'!B1403),"",IF('ENGAGEMENTS 2026'!B1403="DTSI","DCT",'ENGAGEMENTS 2026'!B1403))</f>
        <v/>
      </c>
      <c r="B1403">
        <f>IF(ISBLANK('ENGAGEMENTS 2026'!B1403),"",'ENGAGEMENTS 2026'!C1403)</f>
        <v/>
      </c>
      <c r="C1403">
        <f>IF(ISBLANK('ENGAGEMENTS 2026'!B1403),"",'ENGAGEMENTS 2026'!D1403)</f>
        <v/>
      </c>
      <c r="D1403">
        <f>IF(ISBLANK('ENGAGEMENTS 2026'!B1403),"",'ENGAGEMENTS 2026'!F1403)</f>
        <v/>
      </c>
      <c r="E1403">
        <f>IF(ISBLANK('ENGAGEMENTS 2026'!B1403),"",'ENGAGEMENTS 2026'!H1403)</f>
        <v/>
      </c>
      <c r="F1403">
        <f>IF(ISBLANK('ENGAGEMENTS 2026'!B1403),"",'ENGAGEMENTS 2026'!I1403)</f>
        <v/>
      </c>
      <c r="G1403">
        <f>IF(ISBLANK('ENGAGEMENTS 2026'!B1403),"",'ENGAGEMENTS 2026'!L1403)</f>
        <v/>
      </c>
      <c r="H1403">
        <f>IF(ISBLANK('ENGAGEMENTS 2026'!B1403),"",'ENGAGEMENTS 2026'!AE1403)</f>
        <v/>
      </c>
      <c r="I1403">
        <f>IF(ISBLANK('ENGAGEMENTS 2026'!B1403),"",'ENGAGEMENTS 2026'!G1403)</f>
        <v/>
      </c>
      <c r="J1403" s="275">
        <f>IF(ISBLANK('ENGAGEMENTS 2026'!B1403),"",IF(AND(OR($E1403="INFRUCTUEUX",$E1403="ANNULE"),$C1403="AOO-M"),'ENGAGEMENTS 2026'!O1403,IF($H1403="EN COURS DE PREENGAGEMENT",'ENGAGEMENTS 2026'!N1403,IF($H1403="PREENGAGE",IF($E1403="ATTRIBUE",'ENGAGEMENTS 2026'!AD1403,'ENGAGEMENTS 2026'!N1403),'ENGAGEMENTS 2026'!AD1403))))</f>
        <v/>
      </c>
      <c r="K1403" s="604">
        <f>IF(ISBLANK('ENGAGEMENTS 2026'!V1403),"",'ENGAGEMENTS 2026'!V1403)</f>
        <v/>
      </c>
      <c r="L1403" s="276">
        <f>IF($K1403="","",TODAY()-$K1403)</f>
        <v/>
      </c>
      <c r="M1403">
        <f>IF($A1403="","",IF($H1403="ENGAGE","Engagé",IF(AND($H1403="NON ENGAGE",OR($I1403="INFRUCTUEUX",$I1403="ANNULE")),"Clôturé sans suite","En cours")))</f>
        <v/>
      </c>
      <c r="N1403">
        <f>IF(ISBLANK('ENGAGEMENTS 2026'!B1403),"",'ENGAGEMENTS 2026'!K1403)</f>
        <v/>
      </c>
      <c r="O1403">
        <f>IF(ISBLANK('ENGAGEMENTS 2026'!B1403),"",'ENGAGEMENTS 2026'!L1403)</f>
        <v/>
      </c>
      <c r="P1403">
        <f>IF(ISBLANK('ENGAGEMENTS 2026'!B1403),"",'ENGAGEMENTS 2026'!J1403)</f>
        <v/>
      </c>
      <c r="Q1403">
        <f>IF($A1403="","",IF(OR($E1403="INFRUCTUEUX",$E1403="ANNULE"),$A1403&amp;"|"&amp;(COUNTIFS($A$2:$A1403,$A1403,$E$2:$E1403,"INFRUCTUEUX")+COUNTIFS($A$2:$A1403,$A1403,$E$2:$E1403,"ANNULE")),""))</f>
        <v/>
      </c>
    </row>
    <row r="1404">
      <c r="A1404">
        <f>IF(ISBLANK('ENGAGEMENTS 2026'!B1404),"",IF('ENGAGEMENTS 2026'!B1404="DTSI","DCT",'ENGAGEMENTS 2026'!B1404))</f>
        <v/>
      </c>
      <c r="B1404">
        <f>IF(ISBLANK('ENGAGEMENTS 2026'!B1404),"",'ENGAGEMENTS 2026'!C1404)</f>
        <v/>
      </c>
      <c r="C1404">
        <f>IF(ISBLANK('ENGAGEMENTS 2026'!B1404),"",'ENGAGEMENTS 2026'!D1404)</f>
        <v/>
      </c>
      <c r="D1404">
        <f>IF(ISBLANK('ENGAGEMENTS 2026'!B1404),"",'ENGAGEMENTS 2026'!F1404)</f>
        <v/>
      </c>
      <c r="E1404">
        <f>IF(ISBLANK('ENGAGEMENTS 2026'!B1404),"",'ENGAGEMENTS 2026'!H1404)</f>
        <v/>
      </c>
      <c r="F1404">
        <f>IF(ISBLANK('ENGAGEMENTS 2026'!B1404),"",'ENGAGEMENTS 2026'!I1404)</f>
        <v/>
      </c>
      <c r="G1404">
        <f>IF(ISBLANK('ENGAGEMENTS 2026'!B1404),"",'ENGAGEMENTS 2026'!L1404)</f>
        <v/>
      </c>
      <c r="H1404">
        <f>IF(ISBLANK('ENGAGEMENTS 2026'!B1404),"",'ENGAGEMENTS 2026'!AE1404)</f>
        <v/>
      </c>
      <c r="I1404">
        <f>IF(ISBLANK('ENGAGEMENTS 2026'!B1404),"",'ENGAGEMENTS 2026'!G1404)</f>
        <v/>
      </c>
      <c r="J1404" s="275">
        <f>IF(ISBLANK('ENGAGEMENTS 2026'!B1404),"",IF(AND(OR($E1404="INFRUCTUEUX",$E1404="ANNULE"),$C1404="AOO-M"),'ENGAGEMENTS 2026'!O1404,IF($H1404="EN COURS DE PREENGAGEMENT",'ENGAGEMENTS 2026'!N1404,IF($H1404="PREENGAGE",IF($E1404="ATTRIBUE",'ENGAGEMENTS 2026'!AD1404,'ENGAGEMENTS 2026'!N1404),'ENGAGEMENTS 2026'!AD1404))))</f>
        <v/>
      </c>
      <c r="K1404" s="604">
        <f>IF(ISBLANK('ENGAGEMENTS 2026'!V1404),"",'ENGAGEMENTS 2026'!V1404)</f>
        <v/>
      </c>
      <c r="L1404" s="276">
        <f>IF($K1404="","",TODAY()-$K1404)</f>
        <v/>
      </c>
      <c r="M1404">
        <f>IF($A1404="","",IF($H1404="ENGAGE","Engagé",IF(AND($H1404="NON ENGAGE",OR($I1404="INFRUCTUEUX",$I1404="ANNULE")),"Clôturé sans suite","En cours")))</f>
        <v/>
      </c>
      <c r="N1404">
        <f>IF(ISBLANK('ENGAGEMENTS 2026'!B1404),"",'ENGAGEMENTS 2026'!K1404)</f>
        <v/>
      </c>
      <c r="O1404">
        <f>IF(ISBLANK('ENGAGEMENTS 2026'!B1404),"",'ENGAGEMENTS 2026'!L1404)</f>
        <v/>
      </c>
      <c r="P1404">
        <f>IF(ISBLANK('ENGAGEMENTS 2026'!B1404),"",'ENGAGEMENTS 2026'!J1404)</f>
        <v/>
      </c>
      <c r="Q1404">
        <f>IF($A1404="","",IF(OR($E1404="INFRUCTUEUX",$E1404="ANNULE"),$A1404&amp;"|"&amp;(COUNTIFS($A$2:$A1404,$A1404,$E$2:$E1404,"INFRUCTUEUX")+COUNTIFS($A$2:$A1404,$A1404,$E$2:$E1404,"ANNULE")),""))</f>
        <v/>
      </c>
    </row>
    <row r="1405">
      <c r="A1405">
        <f>IF(ISBLANK('ENGAGEMENTS 2026'!B1405),"",IF('ENGAGEMENTS 2026'!B1405="DTSI","DCT",'ENGAGEMENTS 2026'!B1405))</f>
        <v/>
      </c>
      <c r="B1405">
        <f>IF(ISBLANK('ENGAGEMENTS 2026'!B1405),"",'ENGAGEMENTS 2026'!C1405)</f>
        <v/>
      </c>
      <c r="C1405">
        <f>IF(ISBLANK('ENGAGEMENTS 2026'!B1405),"",'ENGAGEMENTS 2026'!D1405)</f>
        <v/>
      </c>
      <c r="D1405">
        <f>IF(ISBLANK('ENGAGEMENTS 2026'!B1405),"",'ENGAGEMENTS 2026'!F1405)</f>
        <v/>
      </c>
      <c r="E1405">
        <f>IF(ISBLANK('ENGAGEMENTS 2026'!B1405),"",'ENGAGEMENTS 2026'!H1405)</f>
        <v/>
      </c>
      <c r="F1405">
        <f>IF(ISBLANK('ENGAGEMENTS 2026'!B1405),"",'ENGAGEMENTS 2026'!I1405)</f>
        <v/>
      </c>
      <c r="G1405">
        <f>IF(ISBLANK('ENGAGEMENTS 2026'!B1405),"",'ENGAGEMENTS 2026'!L1405)</f>
        <v/>
      </c>
      <c r="H1405">
        <f>IF(ISBLANK('ENGAGEMENTS 2026'!B1405),"",'ENGAGEMENTS 2026'!AE1405)</f>
        <v/>
      </c>
      <c r="I1405">
        <f>IF(ISBLANK('ENGAGEMENTS 2026'!B1405),"",'ENGAGEMENTS 2026'!G1405)</f>
        <v/>
      </c>
      <c r="J1405" s="275">
        <f>IF(ISBLANK('ENGAGEMENTS 2026'!B1405),"",IF(AND(OR($E1405="INFRUCTUEUX",$E1405="ANNULE"),$C1405="AOO-M"),'ENGAGEMENTS 2026'!O1405,IF($H1405="EN COURS DE PREENGAGEMENT",'ENGAGEMENTS 2026'!N1405,IF($H1405="PREENGAGE",IF($E1405="ATTRIBUE",'ENGAGEMENTS 2026'!AD1405,'ENGAGEMENTS 2026'!N1405),'ENGAGEMENTS 2026'!AD1405))))</f>
        <v/>
      </c>
      <c r="K1405" s="604">
        <f>IF(ISBLANK('ENGAGEMENTS 2026'!V1405),"",'ENGAGEMENTS 2026'!V1405)</f>
        <v/>
      </c>
      <c r="L1405" s="276">
        <f>IF($K1405="","",TODAY()-$K1405)</f>
        <v/>
      </c>
      <c r="M1405">
        <f>IF($A1405="","",IF($H1405="ENGAGE","Engagé",IF(AND($H1405="NON ENGAGE",OR($I1405="INFRUCTUEUX",$I1405="ANNULE")),"Clôturé sans suite","En cours")))</f>
        <v/>
      </c>
      <c r="N1405">
        <f>IF(ISBLANK('ENGAGEMENTS 2026'!B1405),"",'ENGAGEMENTS 2026'!K1405)</f>
        <v/>
      </c>
      <c r="O1405">
        <f>IF(ISBLANK('ENGAGEMENTS 2026'!B1405),"",'ENGAGEMENTS 2026'!L1405)</f>
        <v/>
      </c>
      <c r="P1405">
        <f>IF(ISBLANK('ENGAGEMENTS 2026'!B1405),"",'ENGAGEMENTS 2026'!J1405)</f>
        <v/>
      </c>
      <c r="Q1405">
        <f>IF($A1405="","",IF(OR($E1405="INFRUCTUEUX",$E1405="ANNULE"),$A1405&amp;"|"&amp;(COUNTIFS($A$2:$A1405,$A1405,$E$2:$E1405,"INFRUCTUEUX")+COUNTIFS($A$2:$A1405,$A1405,$E$2:$E1405,"ANNULE")),""))</f>
        <v/>
      </c>
    </row>
    <row r="1406">
      <c r="A1406">
        <f>IF(ISBLANK('ENGAGEMENTS 2026'!B1406),"",IF('ENGAGEMENTS 2026'!B1406="DTSI","DCT",'ENGAGEMENTS 2026'!B1406))</f>
        <v/>
      </c>
      <c r="B1406">
        <f>IF(ISBLANK('ENGAGEMENTS 2026'!B1406),"",'ENGAGEMENTS 2026'!C1406)</f>
        <v/>
      </c>
      <c r="C1406">
        <f>IF(ISBLANK('ENGAGEMENTS 2026'!B1406),"",'ENGAGEMENTS 2026'!D1406)</f>
        <v/>
      </c>
      <c r="D1406">
        <f>IF(ISBLANK('ENGAGEMENTS 2026'!B1406),"",'ENGAGEMENTS 2026'!F1406)</f>
        <v/>
      </c>
      <c r="E1406">
        <f>IF(ISBLANK('ENGAGEMENTS 2026'!B1406),"",'ENGAGEMENTS 2026'!H1406)</f>
        <v/>
      </c>
      <c r="F1406">
        <f>IF(ISBLANK('ENGAGEMENTS 2026'!B1406),"",'ENGAGEMENTS 2026'!I1406)</f>
        <v/>
      </c>
      <c r="G1406">
        <f>IF(ISBLANK('ENGAGEMENTS 2026'!B1406),"",'ENGAGEMENTS 2026'!L1406)</f>
        <v/>
      </c>
      <c r="H1406">
        <f>IF(ISBLANK('ENGAGEMENTS 2026'!B1406),"",'ENGAGEMENTS 2026'!AE1406)</f>
        <v/>
      </c>
      <c r="I1406">
        <f>IF(ISBLANK('ENGAGEMENTS 2026'!B1406),"",'ENGAGEMENTS 2026'!G1406)</f>
        <v/>
      </c>
      <c r="J1406" s="275">
        <f>IF(ISBLANK('ENGAGEMENTS 2026'!B1406),"",IF(AND(OR($E1406="INFRUCTUEUX",$E1406="ANNULE"),$C1406="AOO-M"),'ENGAGEMENTS 2026'!O1406,IF($H1406="EN COURS DE PREENGAGEMENT",'ENGAGEMENTS 2026'!N1406,IF($H1406="PREENGAGE",IF($E1406="ATTRIBUE",'ENGAGEMENTS 2026'!AD1406,'ENGAGEMENTS 2026'!N1406),'ENGAGEMENTS 2026'!AD1406))))</f>
        <v/>
      </c>
      <c r="K1406" s="604">
        <f>IF(ISBLANK('ENGAGEMENTS 2026'!V1406),"",'ENGAGEMENTS 2026'!V1406)</f>
        <v/>
      </c>
      <c r="L1406" s="276">
        <f>IF($K1406="","",TODAY()-$K1406)</f>
        <v/>
      </c>
      <c r="M1406">
        <f>IF($A1406="","",IF($H1406="ENGAGE","Engagé",IF(AND($H1406="NON ENGAGE",OR($I1406="INFRUCTUEUX",$I1406="ANNULE")),"Clôturé sans suite","En cours")))</f>
        <v/>
      </c>
      <c r="N1406">
        <f>IF(ISBLANK('ENGAGEMENTS 2026'!B1406),"",'ENGAGEMENTS 2026'!K1406)</f>
        <v/>
      </c>
      <c r="O1406">
        <f>IF(ISBLANK('ENGAGEMENTS 2026'!B1406),"",'ENGAGEMENTS 2026'!L1406)</f>
        <v/>
      </c>
      <c r="P1406">
        <f>IF(ISBLANK('ENGAGEMENTS 2026'!B1406),"",'ENGAGEMENTS 2026'!J1406)</f>
        <v/>
      </c>
      <c r="Q1406">
        <f>IF($A1406="","",IF(OR($E1406="INFRUCTUEUX",$E1406="ANNULE"),$A1406&amp;"|"&amp;(COUNTIFS($A$2:$A1406,$A1406,$E$2:$E1406,"INFRUCTUEUX")+COUNTIFS($A$2:$A1406,$A1406,$E$2:$E1406,"ANNULE")),""))</f>
        <v/>
      </c>
    </row>
    <row r="1407">
      <c r="A1407">
        <f>IF(ISBLANK('ENGAGEMENTS 2026'!B1407),"",IF('ENGAGEMENTS 2026'!B1407="DTSI","DCT",'ENGAGEMENTS 2026'!B1407))</f>
        <v/>
      </c>
      <c r="B1407">
        <f>IF(ISBLANK('ENGAGEMENTS 2026'!B1407),"",'ENGAGEMENTS 2026'!C1407)</f>
        <v/>
      </c>
      <c r="C1407">
        <f>IF(ISBLANK('ENGAGEMENTS 2026'!B1407),"",'ENGAGEMENTS 2026'!D1407)</f>
        <v/>
      </c>
      <c r="D1407">
        <f>IF(ISBLANK('ENGAGEMENTS 2026'!B1407),"",'ENGAGEMENTS 2026'!F1407)</f>
        <v/>
      </c>
      <c r="E1407">
        <f>IF(ISBLANK('ENGAGEMENTS 2026'!B1407),"",'ENGAGEMENTS 2026'!H1407)</f>
        <v/>
      </c>
      <c r="F1407">
        <f>IF(ISBLANK('ENGAGEMENTS 2026'!B1407),"",'ENGAGEMENTS 2026'!I1407)</f>
        <v/>
      </c>
      <c r="G1407">
        <f>IF(ISBLANK('ENGAGEMENTS 2026'!B1407),"",'ENGAGEMENTS 2026'!L1407)</f>
        <v/>
      </c>
      <c r="H1407">
        <f>IF(ISBLANK('ENGAGEMENTS 2026'!B1407),"",'ENGAGEMENTS 2026'!AE1407)</f>
        <v/>
      </c>
      <c r="I1407">
        <f>IF(ISBLANK('ENGAGEMENTS 2026'!B1407),"",'ENGAGEMENTS 2026'!G1407)</f>
        <v/>
      </c>
      <c r="J1407" s="275">
        <f>IF(ISBLANK('ENGAGEMENTS 2026'!B1407),"",IF(AND(OR($E1407="INFRUCTUEUX",$E1407="ANNULE"),$C1407="AOO-M"),'ENGAGEMENTS 2026'!O1407,IF($H1407="EN COURS DE PREENGAGEMENT",'ENGAGEMENTS 2026'!N1407,IF($H1407="PREENGAGE",IF($E1407="ATTRIBUE",'ENGAGEMENTS 2026'!AD1407,'ENGAGEMENTS 2026'!N1407),'ENGAGEMENTS 2026'!AD1407))))</f>
        <v/>
      </c>
      <c r="K1407" s="604">
        <f>IF(ISBLANK('ENGAGEMENTS 2026'!V1407),"",'ENGAGEMENTS 2026'!V1407)</f>
        <v/>
      </c>
      <c r="L1407" s="276">
        <f>IF($K1407="","",TODAY()-$K1407)</f>
        <v/>
      </c>
      <c r="M1407">
        <f>IF($A1407="","",IF($H1407="ENGAGE","Engagé",IF(AND($H1407="NON ENGAGE",OR($I1407="INFRUCTUEUX",$I1407="ANNULE")),"Clôturé sans suite","En cours")))</f>
        <v/>
      </c>
      <c r="N1407">
        <f>IF(ISBLANK('ENGAGEMENTS 2026'!B1407),"",'ENGAGEMENTS 2026'!K1407)</f>
        <v/>
      </c>
      <c r="O1407">
        <f>IF(ISBLANK('ENGAGEMENTS 2026'!B1407),"",'ENGAGEMENTS 2026'!L1407)</f>
        <v/>
      </c>
      <c r="P1407">
        <f>IF(ISBLANK('ENGAGEMENTS 2026'!B1407),"",'ENGAGEMENTS 2026'!J1407)</f>
        <v/>
      </c>
      <c r="Q1407">
        <f>IF($A1407="","",IF(OR($E1407="INFRUCTUEUX",$E1407="ANNULE"),$A1407&amp;"|"&amp;(COUNTIFS($A$2:$A1407,$A1407,$E$2:$E1407,"INFRUCTUEUX")+COUNTIFS($A$2:$A1407,$A1407,$E$2:$E1407,"ANNULE")),""))</f>
        <v/>
      </c>
    </row>
    <row r="1408">
      <c r="A1408">
        <f>IF(ISBLANK('ENGAGEMENTS 2026'!B1408),"",IF('ENGAGEMENTS 2026'!B1408="DTSI","DCT",'ENGAGEMENTS 2026'!B1408))</f>
        <v/>
      </c>
      <c r="B1408">
        <f>IF(ISBLANK('ENGAGEMENTS 2026'!B1408),"",'ENGAGEMENTS 2026'!C1408)</f>
        <v/>
      </c>
      <c r="C1408">
        <f>IF(ISBLANK('ENGAGEMENTS 2026'!B1408),"",'ENGAGEMENTS 2026'!D1408)</f>
        <v/>
      </c>
      <c r="D1408">
        <f>IF(ISBLANK('ENGAGEMENTS 2026'!B1408),"",'ENGAGEMENTS 2026'!F1408)</f>
        <v/>
      </c>
      <c r="E1408">
        <f>IF(ISBLANK('ENGAGEMENTS 2026'!B1408),"",'ENGAGEMENTS 2026'!H1408)</f>
        <v/>
      </c>
      <c r="F1408">
        <f>IF(ISBLANK('ENGAGEMENTS 2026'!B1408),"",'ENGAGEMENTS 2026'!I1408)</f>
        <v/>
      </c>
      <c r="G1408">
        <f>IF(ISBLANK('ENGAGEMENTS 2026'!B1408),"",'ENGAGEMENTS 2026'!L1408)</f>
        <v/>
      </c>
      <c r="H1408">
        <f>IF(ISBLANK('ENGAGEMENTS 2026'!B1408),"",'ENGAGEMENTS 2026'!AE1408)</f>
        <v/>
      </c>
      <c r="I1408">
        <f>IF(ISBLANK('ENGAGEMENTS 2026'!B1408),"",'ENGAGEMENTS 2026'!G1408)</f>
        <v/>
      </c>
      <c r="J1408" s="275">
        <f>IF(ISBLANK('ENGAGEMENTS 2026'!B1408),"",IF(AND(OR($E1408="INFRUCTUEUX",$E1408="ANNULE"),$C1408="AOO-M"),'ENGAGEMENTS 2026'!O1408,IF($H1408="EN COURS DE PREENGAGEMENT",'ENGAGEMENTS 2026'!N1408,IF($H1408="PREENGAGE",IF($E1408="ATTRIBUE",'ENGAGEMENTS 2026'!AD1408,'ENGAGEMENTS 2026'!N1408),'ENGAGEMENTS 2026'!AD1408))))</f>
        <v/>
      </c>
      <c r="K1408" s="604">
        <f>IF(ISBLANK('ENGAGEMENTS 2026'!V1408),"",'ENGAGEMENTS 2026'!V1408)</f>
        <v/>
      </c>
      <c r="L1408" s="276">
        <f>IF($K1408="","",TODAY()-$K1408)</f>
        <v/>
      </c>
      <c r="M1408">
        <f>IF($A1408="","",IF($H1408="ENGAGE","Engagé",IF(AND($H1408="NON ENGAGE",OR($I1408="INFRUCTUEUX",$I1408="ANNULE")),"Clôturé sans suite","En cours")))</f>
        <v/>
      </c>
      <c r="N1408">
        <f>IF(ISBLANK('ENGAGEMENTS 2026'!B1408),"",'ENGAGEMENTS 2026'!K1408)</f>
        <v/>
      </c>
      <c r="O1408">
        <f>IF(ISBLANK('ENGAGEMENTS 2026'!B1408),"",'ENGAGEMENTS 2026'!L1408)</f>
        <v/>
      </c>
      <c r="P1408">
        <f>IF(ISBLANK('ENGAGEMENTS 2026'!B1408),"",'ENGAGEMENTS 2026'!J1408)</f>
        <v/>
      </c>
      <c r="Q1408">
        <f>IF($A1408="","",IF(OR($E1408="INFRUCTUEUX",$E1408="ANNULE"),$A1408&amp;"|"&amp;(COUNTIFS($A$2:$A1408,$A1408,$E$2:$E1408,"INFRUCTUEUX")+COUNTIFS($A$2:$A1408,$A1408,$E$2:$E1408,"ANNULE")),""))</f>
        <v/>
      </c>
    </row>
    <row r="1409">
      <c r="A1409">
        <f>IF(ISBLANK('ENGAGEMENTS 2026'!B1409),"",IF('ENGAGEMENTS 2026'!B1409="DTSI","DCT",'ENGAGEMENTS 2026'!B1409))</f>
        <v/>
      </c>
      <c r="B1409">
        <f>IF(ISBLANK('ENGAGEMENTS 2026'!B1409),"",'ENGAGEMENTS 2026'!C1409)</f>
        <v/>
      </c>
      <c r="C1409">
        <f>IF(ISBLANK('ENGAGEMENTS 2026'!B1409),"",'ENGAGEMENTS 2026'!D1409)</f>
        <v/>
      </c>
      <c r="D1409">
        <f>IF(ISBLANK('ENGAGEMENTS 2026'!B1409),"",'ENGAGEMENTS 2026'!F1409)</f>
        <v/>
      </c>
      <c r="E1409">
        <f>IF(ISBLANK('ENGAGEMENTS 2026'!B1409),"",'ENGAGEMENTS 2026'!H1409)</f>
        <v/>
      </c>
      <c r="F1409">
        <f>IF(ISBLANK('ENGAGEMENTS 2026'!B1409),"",'ENGAGEMENTS 2026'!I1409)</f>
        <v/>
      </c>
      <c r="G1409">
        <f>IF(ISBLANK('ENGAGEMENTS 2026'!B1409),"",'ENGAGEMENTS 2026'!L1409)</f>
        <v/>
      </c>
      <c r="H1409">
        <f>IF(ISBLANK('ENGAGEMENTS 2026'!B1409),"",'ENGAGEMENTS 2026'!AE1409)</f>
        <v/>
      </c>
      <c r="I1409">
        <f>IF(ISBLANK('ENGAGEMENTS 2026'!B1409),"",'ENGAGEMENTS 2026'!G1409)</f>
        <v/>
      </c>
      <c r="J1409" s="275">
        <f>IF(ISBLANK('ENGAGEMENTS 2026'!B1409),"",IF(AND(OR($E1409="INFRUCTUEUX",$E1409="ANNULE"),$C1409="AOO-M"),'ENGAGEMENTS 2026'!O1409,IF($H1409="EN COURS DE PREENGAGEMENT",'ENGAGEMENTS 2026'!N1409,IF($H1409="PREENGAGE",IF($E1409="ATTRIBUE",'ENGAGEMENTS 2026'!AD1409,'ENGAGEMENTS 2026'!N1409),'ENGAGEMENTS 2026'!AD1409))))</f>
        <v/>
      </c>
      <c r="K1409" s="604">
        <f>IF(ISBLANK('ENGAGEMENTS 2026'!V1409),"",'ENGAGEMENTS 2026'!V1409)</f>
        <v/>
      </c>
      <c r="L1409" s="276">
        <f>IF($K1409="","",TODAY()-$K1409)</f>
        <v/>
      </c>
      <c r="M1409">
        <f>IF($A1409="","",IF($H1409="ENGAGE","Engagé",IF(AND($H1409="NON ENGAGE",OR($I1409="INFRUCTUEUX",$I1409="ANNULE")),"Clôturé sans suite","En cours")))</f>
        <v/>
      </c>
      <c r="N1409">
        <f>IF(ISBLANK('ENGAGEMENTS 2026'!B1409),"",'ENGAGEMENTS 2026'!K1409)</f>
        <v/>
      </c>
      <c r="O1409">
        <f>IF(ISBLANK('ENGAGEMENTS 2026'!B1409),"",'ENGAGEMENTS 2026'!L1409)</f>
        <v/>
      </c>
      <c r="P1409">
        <f>IF(ISBLANK('ENGAGEMENTS 2026'!B1409),"",'ENGAGEMENTS 2026'!J1409)</f>
        <v/>
      </c>
      <c r="Q1409">
        <f>IF($A1409="","",IF(OR($E1409="INFRUCTUEUX",$E1409="ANNULE"),$A1409&amp;"|"&amp;(COUNTIFS($A$2:$A1409,$A1409,$E$2:$E1409,"INFRUCTUEUX")+COUNTIFS($A$2:$A1409,$A1409,$E$2:$E1409,"ANNULE")),""))</f>
        <v/>
      </c>
    </row>
    <row r="1410">
      <c r="A1410">
        <f>IF(ISBLANK('ENGAGEMENTS 2026'!B1410),"",IF('ENGAGEMENTS 2026'!B1410="DTSI","DCT",'ENGAGEMENTS 2026'!B1410))</f>
        <v/>
      </c>
      <c r="B1410">
        <f>IF(ISBLANK('ENGAGEMENTS 2026'!B1410),"",'ENGAGEMENTS 2026'!C1410)</f>
        <v/>
      </c>
      <c r="C1410">
        <f>IF(ISBLANK('ENGAGEMENTS 2026'!B1410),"",'ENGAGEMENTS 2026'!D1410)</f>
        <v/>
      </c>
      <c r="D1410">
        <f>IF(ISBLANK('ENGAGEMENTS 2026'!B1410),"",'ENGAGEMENTS 2026'!F1410)</f>
        <v/>
      </c>
      <c r="E1410">
        <f>IF(ISBLANK('ENGAGEMENTS 2026'!B1410),"",'ENGAGEMENTS 2026'!H1410)</f>
        <v/>
      </c>
      <c r="F1410">
        <f>IF(ISBLANK('ENGAGEMENTS 2026'!B1410),"",'ENGAGEMENTS 2026'!I1410)</f>
        <v/>
      </c>
      <c r="G1410">
        <f>IF(ISBLANK('ENGAGEMENTS 2026'!B1410),"",'ENGAGEMENTS 2026'!L1410)</f>
        <v/>
      </c>
      <c r="H1410">
        <f>IF(ISBLANK('ENGAGEMENTS 2026'!B1410),"",'ENGAGEMENTS 2026'!AE1410)</f>
        <v/>
      </c>
      <c r="I1410">
        <f>IF(ISBLANK('ENGAGEMENTS 2026'!B1410),"",'ENGAGEMENTS 2026'!G1410)</f>
        <v/>
      </c>
      <c r="J1410" s="275">
        <f>IF(ISBLANK('ENGAGEMENTS 2026'!B1410),"",IF(AND(OR($E1410="INFRUCTUEUX",$E1410="ANNULE"),$C1410="AOO-M"),'ENGAGEMENTS 2026'!O1410,IF($H1410="EN COURS DE PREENGAGEMENT",'ENGAGEMENTS 2026'!N1410,IF($H1410="PREENGAGE",IF($E1410="ATTRIBUE",'ENGAGEMENTS 2026'!AD1410,'ENGAGEMENTS 2026'!N1410),'ENGAGEMENTS 2026'!AD1410))))</f>
        <v/>
      </c>
      <c r="K1410" s="604">
        <f>IF(ISBLANK('ENGAGEMENTS 2026'!V1410),"",'ENGAGEMENTS 2026'!V1410)</f>
        <v/>
      </c>
      <c r="L1410" s="276">
        <f>IF($K1410="","",TODAY()-$K1410)</f>
        <v/>
      </c>
      <c r="M1410">
        <f>IF($A1410="","",IF($H1410="ENGAGE","Engagé",IF(AND($H1410="NON ENGAGE",OR($I1410="INFRUCTUEUX",$I1410="ANNULE")),"Clôturé sans suite","En cours")))</f>
        <v/>
      </c>
      <c r="N1410">
        <f>IF(ISBLANK('ENGAGEMENTS 2026'!B1410),"",'ENGAGEMENTS 2026'!K1410)</f>
        <v/>
      </c>
      <c r="O1410">
        <f>IF(ISBLANK('ENGAGEMENTS 2026'!B1410),"",'ENGAGEMENTS 2026'!L1410)</f>
        <v/>
      </c>
      <c r="P1410">
        <f>IF(ISBLANK('ENGAGEMENTS 2026'!B1410),"",'ENGAGEMENTS 2026'!J1410)</f>
        <v/>
      </c>
      <c r="Q1410">
        <f>IF($A1410="","",IF(OR($E1410="INFRUCTUEUX",$E1410="ANNULE"),$A1410&amp;"|"&amp;(COUNTIFS($A$2:$A1410,$A1410,$E$2:$E1410,"INFRUCTUEUX")+COUNTIFS($A$2:$A1410,$A1410,$E$2:$E1410,"ANNULE")),""))</f>
        <v/>
      </c>
    </row>
    <row r="1411">
      <c r="A1411">
        <f>IF(ISBLANK('ENGAGEMENTS 2026'!B1411),"",IF('ENGAGEMENTS 2026'!B1411="DTSI","DCT",'ENGAGEMENTS 2026'!B1411))</f>
        <v/>
      </c>
      <c r="B1411">
        <f>IF(ISBLANK('ENGAGEMENTS 2026'!B1411),"",'ENGAGEMENTS 2026'!C1411)</f>
        <v/>
      </c>
      <c r="C1411">
        <f>IF(ISBLANK('ENGAGEMENTS 2026'!B1411),"",'ENGAGEMENTS 2026'!D1411)</f>
        <v/>
      </c>
      <c r="D1411">
        <f>IF(ISBLANK('ENGAGEMENTS 2026'!B1411),"",'ENGAGEMENTS 2026'!F1411)</f>
        <v/>
      </c>
      <c r="E1411">
        <f>IF(ISBLANK('ENGAGEMENTS 2026'!B1411),"",'ENGAGEMENTS 2026'!H1411)</f>
        <v/>
      </c>
      <c r="F1411">
        <f>IF(ISBLANK('ENGAGEMENTS 2026'!B1411),"",'ENGAGEMENTS 2026'!I1411)</f>
        <v/>
      </c>
      <c r="G1411">
        <f>IF(ISBLANK('ENGAGEMENTS 2026'!B1411),"",'ENGAGEMENTS 2026'!L1411)</f>
        <v/>
      </c>
      <c r="H1411">
        <f>IF(ISBLANK('ENGAGEMENTS 2026'!B1411),"",'ENGAGEMENTS 2026'!AE1411)</f>
        <v/>
      </c>
      <c r="I1411">
        <f>IF(ISBLANK('ENGAGEMENTS 2026'!B1411),"",'ENGAGEMENTS 2026'!G1411)</f>
        <v/>
      </c>
      <c r="J1411" s="275">
        <f>IF(ISBLANK('ENGAGEMENTS 2026'!B1411),"",IF(AND(OR($E1411="INFRUCTUEUX",$E1411="ANNULE"),$C1411="AOO-M"),'ENGAGEMENTS 2026'!O1411,IF($H1411="EN COURS DE PREENGAGEMENT",'ENGAGEMENTS 2026'!N1411,IF($H1411="PREENGAGE",IF($E1411="ATTRIBUE",'ENGAGEMENTS 2026'!AD1411,'ENGAGEMENTS 2026'!N1411),'ENGAGEMENTS 2026'!AD1411))))</f>
        <v/>
      </c>
      <c r="K1411" s="604">
        <f>IF(ISBLANK('ENGAGEMENTS 2026'!V1411),"",'ENGAGEMENTS 2026'!V1411)</f>
        <v/>
      </c>
      <c r="L1411" s="276">
        <f>IF($K1411="","",TODAY()-$K1411)</f>
        <v/>
      </c>
      <c r="M1411">
        <f>IF($A1411="","",IF($H1411="ENGAGE","Engagé",IF(AND($H1411="NON ENGAGE",OR($I1411="INFRUCTUEUX",$I1411="ANNULE")),"Clôturé sans suite","En cours")))</f>
        <v/>
      </c>
      <c r="N1411">
        <f>IF(ISBLANK('ENGAGEMENTS 2026'!B1411),"",'ENGAGEMENTS 2026'!K1411)</f>
        <v/>
      </c>
      <c r="O1411">
        <f>IF(ISBLANK('ENGAGEMENTS 2026'!B1411),"",'ENGAGEMENTS 2026'!L1411)</f>
        <v/>
      </c>
      <c r="P1411">
        <f>IF(ISBLANK('ENGAGEMENTS 2026'!B1411),"",'ENGAGEMENTS 2026'!J1411)</f>
        <v/>
      </c>
      <c r="Q1411">
        <f>IF($A1411="","",IF(OR($E1411="INFRUCTUEUX",$E1411="ANNULE"),$A1411&amp;"|"&amp;(COUNTIFS($A$2:$A1411,$A1411,$E$2:$E1411,"INFRUCTUEUX")+COUNTIFS($A$2:$A1411,$A1411,$E$2:$E1411,"ANNULE")),""))</f>
        <v/>
      </c>
    </row>
    <row r="1412">
      <c r="A1412">
        <f>IF(ISBLANK('ENGAGEMENTS 2026'!B1412),"",IF('ENGAGEMENTS 2026'!B1412="DTSI","DCT",'ENGAGEMENTS 2026'!B1412))</f>
        <v/>
      </c>
      <c r="B1412">
        <f>IF(ISBLANK('ENGAGEMENTS 2026'!B1412),"",'ENGAGEMENTS 2026'!C1412)</f>
        <v/>
      </c>
      <c r="C1412">
        <f>IF(ISBLANK('ENGAGEMENTS 2026'!B1412),"",'ENGAGEMENTS 2026'!D1412)</f>
        <v/>
      </c>
      <c r="D1412">
        <f>IF(ISBLANK('ENGAGEMENTS 2026'!B1412),"",'ENGAGEMENTS 2026'!F1412)</f>
        <v/>
      </c>
      <c r="E1412">
        <f>IF(ISBLANK('ENGAGEMENTS 2026'!B1412),"",'ENGAGEMENTS 2026'!H1412)</f>
        <v/>
      </c>
      <c r="F1412">
        <f>IF(ISBLANK('ENGAGEMENTS 2026'!B1412),"",'ENGAGEMENTS 2026'!I1412)</f>
        <v/>
      </c>
      <c r="G1412">
        <f>IF(ISBLANK('ENGAGEMENTS 2026'!B1412),"",'ENGAGEMENTS 2026'!L1412)</f>
        <v/>
      </c>
      <c r="H1412">
        <f>IF(ISBLANK('ENGAGEMENTS 2026'!B1412),"",'ENGAGEMENTS 2026'!AE1412)</f>
        <v/>
      </c>
      <c r="I1412">
        <f>IF(ISBLANK('ENGAGEMENTS 2026'!B1412),"",'ENGAGEMENTS 2026'!G1412)</f>
        <v/>
      </c>
      <c r="J1412" s="275">
        <f>IF(ISBLANK('ENGAGEMENTS 2026'!B1412),"",IF(AND(OR($E1412="INFRUCTUEUX",$E1412="ANNULE"),$C1412="AOO-M"),'ENGAGEMENTS 2026'!O1412,IF($H1412="EN COURS DE PREENGAGEMENT",'ENGAGEMENTS 2026'!N1412,IF($H1412="PREENGAGE",IF($E1412="ATTRIBUE",'ENGAGEMENTS 2026'!AD1412,'ENGAGEMENTS 2026'!N1412),'ENGAGEMENTS 2026'!AD1412))))</f>
        <v/>
      </c>
      <c r="K1412" s="604">
        <f>IF(ISBLANK('ENGAGEMENTS 2026'!V1412),"",'ENGAGEMENTS 2026'!V1412)</f>
        <v/>
      </c>
      <c r="L1412" s="276">
        <f>IF($K1412="","",TODAY()-$K1412)</f>
        <v/>
      </c>
      <c r="M1412">
        <f>IF($A1412="","",IF($H1412="ENGAGE","Engagé",IF(AND($H1412="NON ENGAGE",OR($I1412="INFRUCTUEUX",$I1412="ANNULE")),"Clôturé sans suite","En cours")))</f>
        <v/>
      </c>
      <c r="N1412">
        <f>IF(ISBLANK('ENGAGEMENTS 2026'!B1412),"",'ENGAGEMENTS 2026'!K1412)</f>
        <v/>
      </c>
      <c r="O1412">
        <f>IF(ISBLANK('ENGAGEMENTS 2026'!B1412),"",'ENGAGEMENTS 2026'!L1412)</f>
        <v/>
      </c>
      <c r="P1412">
        <f>IF(ISBLANK('ENGAGEMENTS 2026'!B1412),"",'ENGAGEMENTS 2026'!J1412)</f>
        <v/>
      </c>
      <c r="Q1412">
        <f>IF($A1412="","",IF(OR($E1412="INFRUCTUEUX",$E1412="ANNULE"),$A1412&amp;"|"&amp;(COUNTIFS($A$2:$A1412,$A1412,$E$2:$E1412,"INFRUCTUEUX")+COUNTIFS($A$2:$A1412,$A1412,$E$2:$E1412,"ANNULE")),""))</f>
        <v/>
      </c>
    </row>
    <row r="1413">
      <c r="A1413">
        <f>IF(ISBLANK('ENGAGEMENTS 2026'!B1413),"",IF('ENGAGEMENTS 2026'!B1413="DTSI","DCT",'ENGAGEMENTS 2026'!B1413))</f>
        <v/>
      </c>
      <c r="B1413">
        <f>IF(ISBLANK('ENGAGEMENTS 2026'!B1413),"",'ENGAGEMENTS 2026'!C1413)</f>
        <v/>
      </c>
      <c r="C1413">
        <f>IF(ISBLANK('ENGAGEMENTS 2026'!B1413),"",'ENGAGEMENTS 2026'!D1413)</f>
        <v/>
      </c>
      <c r="D1413">
        <f>IF(ISBLANK('ENGAGEMENTS 2026'!B1413),"",'ENGAGEMENTS 2026'!F1413)</f>
        <v/>
      </c>
      <c r="E1413">
        <f>IF(ISBLANK('ENGAGEMENTS 2026'!B1413),"",'ENGAGEMENTS 2026'!H1413)</f>
        <v/>
      </c>
      <c r="F1413">
        <f>IF(ISBLANK('ENGAGEMENTS 2026'!B1413),"",'ENGAGEMENTS 2026'!I1413)</f>
        <v/>
      </c>
      <c r="G1413">
        <f>IF(ISBLANK('ENGAGEMENTS 2026'!B1413),"",'ENGAGEMENTS 2026'!L1413)</f>
        <v/>
      </c>
      <c r="H1413">
        <f>IF(ISBLANK('ENGAGEMENTS 2026'!B1413),"",'ENGAGEMENTS 2026'!AE1413)</f>
        <v/>
      </c>
      <c r="I1413">
        <f>IF(ISBLANK('ENGAGEMENTS 2026'!B1413),"",'ENGAGEMENTS 2026'!G1413)</f>
        <v/>
      </c>
      <c r="J1413" s="275">
        <f>IF(ISBLANK('ENGAGEMENTS 2026'!B1413),"",IF(AND(OR($E1413="INFRUCTUEUX",$E1413="ANNULE"),$C1413="AOO-M"),'ENGAGEMENTS 2026'!O1413,IF($H1413="EN COURS DE PREENGAGEMENT",'ENGAGEMENTS 2026'!N1413,IF($H1413="PREENGAGE",IF($E1413="ATTRIBUE",'ENGAGEMENTS 2026'!AD1413,'ENGAGEMENTS 2026'!N1413),'ENGAGEMENTS 2026'!AD1413))))</f>
        <v/>
      </c>
      <c r="K1413" s="604">
        <f>IF(ISBLANK('ENGAGEMENTS 2026'!V1413),"",'ENGAGEMENTS 2026'!V1413)</f>
        <v/>
      </c>
      <c r="L1413" s="276">
        <f>IF($K1413="","",TODAY()-$K1413)</f>
        <v/>
      </c>
      <c r="M1413">
        <f>IF($A1413="","",IF($H1413="ENGAGE","Engagé",IF(AND($H1413="NON ENGAGE",OR($I1413="INFRUCTUEUX",$I1413="ANNULE")),"Clôturé sans suite","En cours")))</f>
        <v/>
      </c>
      <c r="N1413">
        <f>IF(ISBLANK('ENGAGEMENTS 2026'!B1413),"",'ENGAGEMENTS 2026'!K1413)</f>
        <v/>
      </c>
      <c r="O1413">
        <f>IF(ISBLANK('ENGAGEMENTS 2026'!B1413),"",'ENGAGEMENTS 2026'!L1413)</f>
        <v/>
      </c>
      <c r="P1413">
        <f>IF(ISBLANK('ENGAGEMENTS 2026'!B1413),"",'ENGAGEMENTS 2026'!J1413)</f>
        <v/>
      </c>
      <c r="Q1413">
        <f>IF($A1413="","",IF(OR($E1413="INFRUCTUEUX",$E1413="ANNULE"),$A1413&amp;"|"&amp;(COUNTIFS($A$2:$A1413,$A1413,$E$2:$E1413,"INFRUCTUEUX")+COUNTIFS($A$2:$A1413,$A1413,$E$2:$E1413,"ANNULE")),""))</f>
        <v/>
      </c>
    </row>
    <row r="1414">
      <c r="A1414">
        <f>IF(ISBLANK('ENGAGEMENTS 2026'!B1414),"",IF('ENGAGEMENTS 2026'!B1414="DTSI","DCT",'ENGAGEMENTS 2026'!B1414))</f>
        <v/>
      </c>
      <c r="B1414">
        <f>IF(ISBLANK('ENGAGEMENTS 2026'!B1414),"",'ENGAGEMENTS 2026'!C1414)</f>
        <v/>
      </c>
      <c r="C1414">
        <f>IF(ISBLANK('ENGAGEMENTS 2026'!B1414),"",'ENGAGEMENTS 2026'!D1414)</f>
        <v/>
      </c>
      <c r="D1414">
        <f>IF(ISBLANK('ENGAGEMENTS 2026'!B1414),"",'ENGAGEMENTS 2026'!F1414)</f>
        <v/>
      </c>
      <c r="E1414">
        <f>IF(ISBLANK('ENGAGEMENTS 2026'!B1414),"",'ENGAGEMENTS 2026'!H1414)</f>
        <v/>
      </c>
      <c r="F1414">
        <f>IF(ISBLANK('ENGAGEMENTS 2026'!B1414),"",'ENGAGEMENTS 2026'!I1414)</f>
        <v/>
      </c>
      <c r="G1414">
        <f>IF(ISBLANK('ENGAGEMENTS 2026'!B1414),"",'ENGAGEMENTS 2026'!L1414)</f>
        <v/>
      </c>
      <c r="H1414">
        <f>IF(ISBLANK('ENGAGEMENTS 2026'!B1414),"",'ENGAGEMENTS 2026'!AE1414)</f>
        <v/>
      </c>
      <c r="I1414">
        <f>IF(ISBLANK('ENGAGEMENTS 2026'!B1414),"",'ENGAGEMENTS 2026'!G1414)</f>
        <v/>
      </c>
      <c r="J1414" s="275">
        <f>IF(ISBLANK('ENGAGEMENTS 2026'!B1414),"",IF(AND(OR($E1414="INFRUCTUEUX",$E1414="ANNULE"),$C1414="AOO-M"),'ENGAGEMENTS 2026'!O1414,IF($H1414="EN COURS DE PREENGAGEMENT",'ENGAGEMENTS 2026'!N1414,IF($H1414="PREENGAGE",IF($E1414="ATTRIBUE",'ENGAGEMENTS 2026'!AD1414,'ENGAGEMENTS 2026'!N1414),'ENGAGEMENTS 2026'!AD1414))))</f>
        <v/>
      </c>
      <c r="K1414" s="604">
        <f>IF(ISBLANK('ENGAGEMENTS 2026'!V1414),"",'ENGAGEMENTS 2026'!V1414)</f>
        <v/>
      </c>
      <c r="L1414" s="276">
        <f>IF($K1414="","",TODAY()-$K1414)</f>
        <v/>
      </c>
      <c r="M1414">
        <f>IF($A1414="","",IF($H1414="ENGAGE","Engagé",IF(AND($H1414="NON ENGAGE",OR($I1414="INFRUCTUEUX",$I1414="ANNULE")),"Clôturé sans suite","En cours")))</f>
        <v/>
      </c>
      <c r="N1414">
        <f>IF(ISBLANK('ENGAGEMENTS 2026'!B1414),"",'ENGAGEMENTS 2026'!K1414)</f>
        <v/>
      </c>
      <c r="O1414">
        <f>IF(ISBLANK('ENGAGEMENTS 2026'!B1414),"",'ENGAGEMENTS 2026'!L1414)</f>
        <v/>
      </c>
      <c r="P1414">
        <f>IF(ISBLANK('ENGAGEMENTS 2026'!B1414),"",'ENGAGEMENTS 2026'!J1414)</f>
        <v/>
      </c>
      <c r="Q1414">
        <f>IF($A1414="","",IF(OR($E1414="INFRUCTUEUX",$E1414="ANNULE"),$A1414&amp;"|"&amp;(COUNTIFS($A$2:$A1414,$A1414,$E$2:$E1414,"INFRUCTUEUX")+COUNTIFS($A$2:$A1414,$A1414,$E$2:$E1414,"ANNULE")),""))</f>
        <v/>
      </c>
    </row>
    <row r="1415">
      <c r="A1415">
        <f>IF(ISBLANK('ENGAGEMENTS 2026'!B1415),"",IF('ENGAGEMENTS 2026'!B1415="DTSI","DCT",'ENGAGEMENTS 2026'!B1415))</f>
        <v/>
      </c>
      <c r="B1415">
        <f>IF(ISBLANK('ENGAGEMENTS 2026'!B1415),"",'ENGAGEMENTS 2026'!C1415)</f>
        <v/>
      </c>
      <c r="C1415">
        <f>IF(ISBLANK('ENGAGEMENTS 2026'!B1415),"",'ENGAGEMENTS 2026'!D1415)</f>
        <v/>
      </c>
      <c r="D1415">
        <f>IF(ISBLANK('ENGAGEMENTS 2026'!B1415),"",'ENGAGEMENTS 2026'!F1415)</f>
        <v/>
      </c>
      <c r="E1415">
        <f>IF(ISBLANK('ENGAGEMENTS 2026'!B1415),"",'ENGAGEMENTS 2026'!H1415)</f>
        <v/>
      </c>
      <c r="F1415">
        <f>IF(ISBLANK('ENGAGEMENTS 2026'!B1415),"",'ENGAGEMENTS 2026'!I1415)</f>
        <v/>
      </c>
      <c r="G1415">
        <f>IF(ISBLANK('ENGAGEMENTS 2026'!B1415),"",'ENGAGEMENTS 2026'!L1415)</f>
        <v/>
      </c>
      <c r="H1415">
        <f>IF(ISBLANK('ENGAGEMENTS 2026'!B1415),"",'ENGAGEMENTS 2026'!AE1415)</f>
        <v/>
      </c>
      <c r="I1415">
        <f>IF(ISBLANK('ENGAGEMENTS 2026'!B1415),"",'ENGAGEMENTS 2026'!G1415)</f>
        <v/>
      </c>
      <c r="J1415" s="275">
        <f>IF(ISBLANK('ENGAGEMENTS 2026'!B1415),"",IF(AND(OR($E1415="INFRUCTUEUX",$E1415="ANNULE"),$C1415="AOO-M"),'ENGAGEMENTS 2026'!O1415,IF($H1415="EN COURS DE PREENGAGEMENT",'ENGAGEMENTS 2026'!N1415,IF($H1415="PREENGAGE",IF($E1415="ATTRIBUE",'ENGAGEMENTS 2026'!AD1415,'ENGAGEMENTS 2026'!N1415),'ENGAGEMENTS 2026'!AD1415))))</f>
        <v/>
      </c>
      <c r="K1415" s="604">
        <f>IF(ISBLANK('ENGAGEMENTS 2026'!V1415),"",'ENGAGEMENTS 2026'!V1415)</f>
        <v/>
      </c>
      <c r="L1415" s="276">
        <f>IF($K1415="","",TODAY()-$K1415)</f>
        <v/>
      </c>
      <c r="M1415">
        <f>IF($A1415="","",IF($H1415="ENGAGE","Engagé",IF(AND($H1415="NON ENGAGE",OR($I1415="INFRUCTUEUX",$I1415="ANNULE")),"Clôturé sans suite","En cours")))</f>
        <v/>
      </c>
      <c r="N1415">
        <f>IF(ISBLANK('ENGAGEMENTS 2026'!B1415),"",'ENGAGEMENTS 2026'!K1415)</f>
        <v/>
      </c>
      <c r="O1415">
        <f>IF(ISBLANK('ENGAGEMENTS 2026'!B1415),"",'ENGAGEMENTS 2026'!L1415)</f>
        <v/>
      </c>
      <c r="P1415">
        <f>IF(ISBLANK('ENGAGEMENTS 2026'!B1415),"",'ENGAGEMENTS 2026'!J1415)</f>
        <v/>
      </c>
      <c r="Q1415">
        <f>IF($A1415="","",IF(OR($E1415="INFRUCTUEUX",$E1415="ANNULE"),$A1415&amp;"|"&amp;(COUNTIFS($A$2:$A1415,$A1415,$E$2:$E1415,"INFRUCTUEUX")+COUNTIFS($A$2:$A1415,$A1415,$E$2:$E1415,"ANNULE")),""))</f>
        <v/>
      </c>
    </row>
    <row r="1416">
      <c r="A1416">
        <f>IF(ISBLANK('ENGAGEMENTS 2026'!B1416),"",IF('ENGAGEMENTS 2026'!B1416="DTSI","DCT",'ENGAGEMENTS 2026'!B1416))</f>
        <v/>
      </c>
      <c r="B1416">
        <f>IF(ISBLANK('ENGAGEMENTS 2026'!B1416),"",'ENGAGEMENTS 2026'!C1416)</f>
        <v/>
      </c>
      <c r="C1416">
        <f>IF(ISBLANK('ENGAGEMENTS 2026'!B1416),"",'ENGAGEMENTS 2026'!D1416)</f>
        <v/>
      </c>
      <c r="D1416">
        <f>IF(ISBLANK('ENGAGEMENTS 2026'!B1416),"",'ENGAGEMENTS 2026'!F1416)</f>
        <v/>
      </c>
      <c r="E1416">
        <f>IF(ISBLANK('ENGAGEMENTS 2026'!B1416),"",'ENGAGEMENTS 2026'!H1416)</f>
        <v/>
      </c>
      <c r="F1416">
        <f>IF(ISBLANK('ENGAGEMENTS 2026'!B1416),"",'ENGAGEMENTS 2026'!I1416)</f>
        <v/>
      </c>
      <c r="G1416">
        <f>IF(ISBLANK('ENGAGEMENTS 2026'!B1416),"",'ENGAGEMENTS 2026'!L1416)</f>
        <v/>
      </c>
      <c r="H1416">
        <f>IF(ISBLANK('ENGAGEMENTS 2026'!B1416),"",'ENGAGEMENTS 2026'!AE1416)</f>
        <v/>
      </c>
      <c r="I1416">
        <f>IF(ISBLANK('ENGAGEMENTS 2026'!B1416),"",'ENGAGEMENTS 2026'!G1416)</f>
        <v/>
      </c>
      <c r="J1416" s="275">
        <f>IF(ISBLANK('ENGAGEMENTS 2026'!B1416),"",IF(AND(OR($E1416="INFRUCTUEUX",$E1416="ANNULE"),$C1416="AOO-M"),'ENGAGEMENTS 2026'!O1416,IF($H1416="EN COURS DE PREENGAGEMENT",'ENGAGEMENTS 2026'!N1416,IF($H1416="PREENGAGE",IF($E1416="ATTRIBUE",'ENGAGEMENTS 2026'!AD1416,'ENGAGEMENTS 2026'!N1416),'ENGAGEMENTS 2026'!AD1416))))</f>
        <v/>
      </c>
      <c r="K1416" s="604">
        <f>IF(ISBLANK('ENGAGEMENTS 2026'!V1416),"",'ENGAGEMENTS 2026'!V1416)</f>
        <v/>
      </c>
      <c r="L1416" s="276">
        <f>IF($K1416="","",TODAY()-$K1416)</f>
        <v/>
      </c>
      <c r="M1416">
        <f>IF($A1416="","",IF($H1416="ENGAGE","Engagé",IF(AND($H1416="NON ENGAGE",OR($I1416="INFRUCTUEUX",$I1416="ANNULE")),"Clôturé sans suite","En cours")))</f>
        <v/>
      </c>
      <c r="N1416">
        <f>IF(ISBLANK('ENGAGEMENTS 2026'!B1416),"",'ENGAGEMENTS 2026'!K1416)</f>
        <v/>
      </c>
      <c r="O1416">
        <f>IF(ISBLANK('ENGAGEMENTS 2026'!B1416),"",'ENGAGEMENTS 2026'!L1416)</f>
        <v/>
      </c>
      <c r="P1416">
        <f>IF(ISBLANK('ENGAGEMENTS 2026'!B1416),"",'ENGAGEMENTS 2026'!J1416)</f>
        <v/>
      </c>
      <c r="Q1416">
        <f>IF($A1416="","",IF(OR($E1416="INFRUCTUEUX",$E1416="ANNULE"),$A1416&amp;"|"&amp;(COUNTIFS($A$2:$A1416,$A1416,$E$2:$E1416,"INFRUCTUEUX")+COUNTIFS($A$2:$A1416,$A1416,$E$2:$E1416,"ANNULE")),""))</f>
        <v/>
      </c>
    </row>
    <row r="1417">
      <c r="A1417">
        <f>IF(ISBLANK('ENGAGEMENTS 2026'!B1417),"",IF('ENGAGEMENTS 2026'!B1417="DTSI","DCT",'ENGAGEMENTS 2026'!B1417))</f>
        <v/>
      </c>
      <c r="B1417">
        <f>IF(ISBLANK('ENGAGEMENTS 2026'!B1417),"",'ENGAGEMENTS 2026'!C1417)</f>
        <v/>
      </c>
      <c r="C1417">
        <f>IF(ISBLANK('ENGAGEMENTS 2026'!B1417),"",'ENGAGEMENTS 2026'!D1417)</f>
        <v/>
      </c>
      <c r="D1417">
        <f>IF(ISBLANK('ENGAGEMENTS 2026'!B1417),"",'ENGAGEMENTS 2026'!F1417)</f>
        <v/>
      </c>
      <c r="E1417">
        <f>IF(ISBLANK('ENGAGEMENTS 2026'!B1417),"",'ENGAGEMENTS 2026'!H1417)</f>
        <v/>
      </c>
      <c r="F1417">
        <f>IF(ISBLANK('ENGAGEMENTS 2026'!B1417),"",'ENGAGEMENTS 2026'!I1417)</f>
        <v/>
      </c>
      <c r="G1417">
        <f>IF(ISBLANK('ENGAGEMENTS 2026'!B1417),"",'ENGAGEMENTS 2026'!L1417)</f>
        <v/>
      </c>
      <c r="H1417">
        <f>IF(ISBLANK('ENGAGEMENTS 2026'!B1417),"",'ENGAGEMENTS 2026'!AE1417)</f>
        <v/>
      </c>
      <c r="I1417">
        <f>IF(ISBLANK('ENGAGEMENTS 2026'!B1417),"",'ENGAGEMENTS 2026'!G1417)</f>
        <v/>
      </c>
      <c r="J1417" s="275">
        <f>IF(ISBLANK('ENGAGEMENTS 2026'!B1417),"",IF(AND(OR($E1417="INFRUCTUEUX",$E1417="ANNULE"),$C1417="AOO-M"),'ENGAGEMENTS 2026'!O1417,IF($H1417="EN COURS DE PREENGAGEMENT",'ENGAGEMENTS 2026'!N1417,IF($H1417="PREENGAGE",IF($E1417="ATTRIBUE",'ENGAGEMENTS 2026'!AD1417,'ENGAGEMENTS 2026'!N1417),'ENGAGEMENTS 2026'!AD1417))))</f>
        <v/>
      </c>
      <c r="K1417" s="604">
        <f>IF(ISBLANK('ENGAGEMENTS 2026'!V1417),"",'ENGAGEMENTS 2026'!V1417)</f>
        <v/>
      </c>
      <c r="L1417" s="276">
        <f>IF($K1417="","",TODAY()-$K1417)</f>
        <v/>
      </c>
      <c r="M1417">
        <f>IF($A1417="","",IF($H1417="ENGAGE","Engagé",IF(AND($H1417="NON ENGAGE",OR($I1417="INFRUCTUEUX",$I1417="ANNULE")),"Clôturé sans suite","En cours")))</f>
        <v/>
      </c>
      <c r="N1417">
        <f>IF(ISBLANK('ENGAGEMENTS 2026'!B1417),"",'ENGAGEMENTS 2026'!K1417)</f>
        <v/>
      </c>
      <c r="O1417">
        <f>IF(ISBLANK('ENGAGEMENTS 2026'!B1417),"",'ENGAGEMENTS 2026'!L1417)</f>
        <v/>
      </c>
      <c r="P1417">
        <f>IF(ISBLANK('ENGAGEMENTS 2026'!B1417),"",'ENGAGEMENTS 2026'!J1417)</f>
        <v/>
      </c>
      <c r="Q1417">
        <f>IF($A1417="","",IF(OR($E1417="INFRUCTUEUX",$E1417="ANNULE"),$A1417&amp;"|"&amp;(COUNTIFS($A$2:$A1417,$A1417,$E$2:$E1417,"INFRUCTUEUX")+COUNTIFS($A$2:$A1417,$A1417,$E$2:$E1417,"ANNULE")),""))</f>
        <v/>
      </c>
    </row>
    <row r="1418">
      <c r="A1418">
        <f>IF(ISBLANK('ENGAGEMENTS 2026'!B1418),"",IF('ENGAGEMENTS 2026'!B1418="DTSI","DCT",'ENGAGEMENTS 2026'!B1418))</f>
        <v/>
      </c>
      <c r="B1418">
        <f>IF(ISBLANK('ENGAGEMENTS 2026'!B1418),"",'ENGAGEMENTS 2026'!C1418)</f>
        <v/>
      </c>
      <c r="C1418">
        <f>IF(ISBLANK('ENGAGEMENTS 2026'!B1418),"",'ENGAGEMENTS 2026'!D1418)</f>
        <v/>
      </c>
      <c r="D1418">
        <f>IF(ISBLANK('ENGAGEMENTS 2026'!B1418),"",'ENGAGEMENTS 2026'!F1418)</f>
        <v/>
      </c>
      <c r="E1418">
        <f>IF(ISBLANK('ENGAGEMENTS 2026'!B1418),"",'ENGAGEMENTS 2026'!H1418)</f>
        <v/>
      </c>
      <c r="F1418">
        <f>IF(ISBLANK('ENGAGEMENTS 2026'!B1418),"",'ENGAGEMENTS 2026'!I1418)</f>
        <v/>
      </c>
      <c r="G1418">
        <f>IF(ISBLANK('ENGAGEMENTS 2026'!B1418),"",'ENGAGEMENTS 2026'!L1418)</f>
        <v/>
      </c>
      <c r="H1418">
        <f>IF(ISBLANK('ENGAGEMENTS 2026'!B1418),"",'ENGAGEMENTS 2026'!AE1418)</f>
        <v/>
      </c>
      <c r="I1418">
        <f>IF(ISBLANK('ENGAGEMENTS 2026'!B1418),"",'ENGAGEMENTS 2026'!G1418)</f>
        <v/>
      </c>
      <c r="J1418" s="275">
        <f>IF(ISBLANK('ENGAGEMENTS 2026'!B1418),"",IF(AND(OR($E1418="INFRUCTUEUX",$E1418="ANNULE"),$C1418="AOO-M"),'ENGAGEMENTS 2026'!O1418,IF($H1418="EN COURS DE PREENGAGEMENT",'ENGAGEMENTS 2026'!N1418,IF($H1418="PREENGAGE",IF($E1418="ATTRIBUE",'ENGAGEMENTS 2026'!AD1418,'ENGAGEMENTS 2026'!N1418),'ENGAGEMENTS 2026'!AD1418))))</f>
        <v/>
      </c>
      <c r="K1418" s="604">
        <f>IF(ISBLANK('ENGAGEMENTS 2026'!V1418),"",'ENGAGEMENTS 2026'!V1418)</f>
        <v/>
      </c>
      <c r="L1418" s="276">
        <f>IF($K1418="","",TODAY()-$K1418)</f>
        <v/>
      </c>
      <c r="M1418">
        <f>IF($A1418="","",IF($H1418="ENGAGE","Engagé",IF(AND($H1418="NON ENGAGE",OR($I1418="INFRUCTUEUX",$I1418="ANNULE")),"Clôturé sans suite","En cours")))</f>
        <v/>
      </c>
      <c r="N1418">
        <f>IF(ISBLANK('ENGAGEMENTS 2026'!B1418),"",'ENGAGEMENTS 2026'!K1418)</f>
        <v/>
      </c>
      <c r="O1418">
        <f>IF(ISBLANK('ENGAGEMENTS 2026'!B1418),"",'ENGAGEMENTS 2026'!L1418)</f>
        <v/>
      </c>
      <c r="P1418">
        <f>IF(ISBLANK('ENGAGEMENTS 2026'!B1418),"",'ENGAGEMENTS 2026'!J1418)</f>
        <v/>
      </c>
      <c r="Q1418">
        <f>IF($A1418="","",IF(OR($E1418="INFRUCTUEUX",$E1418="ANNULE"),$A1418&amp;"|"&amp;(COUNTIFS($A$2:$A1418,$A1418,$E$2:$E1418,"INFRUCTUEUX")+COUNTIFS($A$2:$A1418,$A1418,$E$2:$E1418,"ANNULE")),""))</f>
        <v/>
      </c>
    </row>
    <row r="1419">
      <c r="A1419">
        <f>IF(ISBLANK('ENGAGEMENTS 2026'!B1419),"",IF('ENGAGEMENTS 2026'!B1419="DTSI","DCT",'ENGAGEMENTS 2026'!B1419))</f>
        <v/>
      </c>
      <c r="B1419">
        <f>IF(ISBLANK('ENGAGEMENTS 2026'!B1419),"",'ENGAGEMENTS 2026'!C1419)</f>
        <v/>
      </c>
      <c r="C1419">
        <f>IF(ISBLANK('ENGAGEMENTS 2026'!B1419),"",'ENGAGEMENTS 2026'!D1419)</f>
        <v/>
      </c>
      <c r="D1419">
        <f>IF(ISBLANK('ENGAGEMENTS 2026'!B1419),"",'ENGAGEMENTS 2026'!F1419)</f>
        <v/>
      </c>
      <c r="E1419">
        <f>IF(ISBLANK('ENGAGEMENTS 2026'!B1419),"",'ENGAGEMENTS 2026'!H1419)</f>
        <v/>
      </c>
      <c r="F1419">
        <f>IF(ISBLANK('ENGAGEMENTS 2026'!B1419),"",'ENGAGEMENTS 2026'!I1419)</f>
        <v/>
      </c>
      <c r="G1419">
        <f>IF(ISBLANK('ENGAGEMENTS 2026'!B1419),"",'ENGAGEMENTS 2026'!L1419)</f>
        <v/>
      </c>
      <c r="H1419">
        <f>IF(ISBLANK('ENGAGEMENTS 2026'!B1419),"",'ENGAGEMENTS 2026'!AE1419)</f>
        <v/>
      </c>
      <c r="I1419">
        <f>IF(ISBLANK('ENGAGEMENTS 2026'!B1419),"",'ENGAGEMENTS 2026'!G1419)</f>
        <v/>
      </c>
      <c r="J1419" s="275">
        <f>IF(ISBLANK('ENGAGEMENTS 2026'!B1419),"",IF(AND(OR($E1419="INFRUCTUEUX",$E1419="ANNULE"),$C1419="AOO-M"),'ENGAGEMENTS 2026'!O1419,IF($H1419="EN COURS DE PREENGAGEMENT",'ENGAGEMENTS 2026'!N1419,IF($H1419="PREENGAGE",IF($E1419="ATTRIBUE",'ENGAGEMENTS 2026'!AD1419,'ENGAGEMENTS 2026'!N1419),'ENGAGEMENTS 2026'!AD1419))))</f>
        <v/>
      </c>
      <c r="K1419" s="604">
        <f>IF(ISBLANK('ENGAGEMENTS 2026'!V1419),"",'ENGAGEMENTS 2026'!V1419)</f>
        <v/>
      </c>
      <c r="L1419" s="276">
        <f>IF($K1419="","",TODAY()-$K1419)</f>
        <v/>
      </c>
      <c r="M1419">
        <f>IF($A1419="","",IF($H1419="ENGAGE","Engagé",IF(AND($H1419="NON ENGAGE",OR($I1419="INFRUCTUEUX",$I1419="ANNULE")),"Clôturé sans suite","En cours")))</f>
        <v/>
      </c>
      <c r="N1419">
        <f>IF(ISBLANK('ENGAGEMENTS 2026'!B1419),"",'ENGAGEMENTS 2026'!K1419)</f>
        <v/>
      </c>
      <c r="O1419">
        <f>IF(ISBLANK('ENGAGEMENTS 2026'!B1419),"",'ENGAGEMENTS 2026'!L1419)</f>
        <v/>
      </c>
      <c r="P1419">
        <f>IF(ISBLANK('ENGAGEMENTS 2026'!B1419),"",'ENGAGEMENTS 2026'!J1419)</f>
        <v/>
      </c>
      <c r="Q1419">
        <f>IF($A1419="","",IF(OR($E1419="INFRUCTUEUX",$E1419="ANNULE"),$A1419&amp;"|"&amp;(COUNTIFS($A$2:$A1419,$A1419,$E$2:$E1419,"INFRUCTUEUX")+COUNTIFS($A$2:$A1419,$A1419,$E$2:$E1419,"ANNULE")),""))</f>
        <v/>
      </c>
    </row>
    <row r="1420">
      <c r="A1420">
        <f>IF(ISBLANK('ENGAGEMENTS 2026'!B1420),"",IF('ENGAGEMENTS 2026'!B1420="DTSI","DCT",'ENGAGEMENTS 2026'!B1420))</f>
        <v/>
      </c>
      <c r="B1420">
        <f>IF(ISBLANK('ENGAGEMENTS 2026'!B1420),"",'ENGAGEMENTS 2026'!C1420)</f>
        <v/>
      </c>
      <c r="C1420">
        <f>IF(ISBLANK('ENGAGEMENTS 2026'!B1420),"",'ENGAGEMENTS 2026'!D1420)</f>
        <v/>
      </c>
      <c r="D1420">
        <f>IF(ISBLANK('ENGAGEMENTS 2026'!B1420),"",'ENGAGEMENTS 2026'!F1420)</f>
        <v/>
      </c>
      <c r="E1420">
        <f>IF(ISBLANK('ENGAGEMENTS 2026'!B1420),"",'ENGAGEMENTS 2026'!H1420)</f>
        <v/>
      </c>
      <c r="F1420">
        <f>IF(ISBLANK('ENGAGEMENTS 2026'!B1420),"",'ENGAGEMENTS 2026'!I1420)</f>
        <v/>
      </c>
      <c r="G1420">
        <f>IF(ISBLANK('ENGAGEMENTS 2026'!B1420),"",'ENGAGEMENTS 2026'!L1420)</f>
        <v/>
      </c>
      <c r="H1420">
        <f>IF(ISBLANK('ENGAGEMENTS 2026'!B1420),"",'ENGAGEMENTS 2026'!AE1420)</f>
        <v/>
      </c>
      <c r="I1420">
        <f>IF(ISBLANK('ENGAGEMENTS 2026'!B1420),"",'ENGAGEMENTS 2026'!G1420)</f>
        <v/>
      </c>
      <c r="J1420" s="275">
        <f>IF(ISBLANK('ENGAGEMENTS 2026'!B1420),"",IF(AND(OR($E1420="INFRUCTUEUX",$E1420="ANNULE"),$C1420="AOO-M"),'ENGAGEMENTS 2026'!O1420,IF($H1420="EN COURS DE PREENGAGEMENT",'ENGAGEMENTS 2026'!N1420,IF($H1420="PREENGAGE",IF($E1420="ATTRIBUE",'ENGAGEMENTS 2026'!AD1420,'ENGAGEMENTS 2026'!N1420),'ENGAGEMENTS 2026'!AD1420))))</f>
        <v/>
      </c>
      <c r="K1420" s="604">
        <f>IF(ISBLANK('ENGAGEMENTS 2026'!V1420),"",'ENGAGEMENTS 2026'!V1420)</f>
        <v/>
      </c>
      <c r="L1420" s="276">
        <f>IF($K1420="","",TODAY()-$K1420)</f>
        <v/>
      </c>
      <c r="M1420">
        <f>IF($A1420="","",IF($H1420="ENGAGE","Engagé",IF(AND($H1420="NON ENGAGE",OR($I1420="INFRUCTUEUX",$I1420="ANNULE")),"Clôturé sans suite","En cours")))</f>
        <v/>
      </c>
      <c r="N1420">
        <f>IF(ISBLANK('ENGAGEMENTS 2026'!B1420),"",'ENGAGEMENTS 2026'!K1420)</f>
        <v/>
      </c>
      <c r="O1420">
        <f>IF(ISBLANK('ENGAGEMENTS 2026'!B1420),"",'ENGAGEMENTS 2026'!L1420)</f>
        <v/>
      </c>
      <c r="P1420">
        <f>IF(ISBLANK('ENGAGEMENTS 2026'!B1420),"",'ENGAGEMENTS 2026'!J1420)</f>
        <v/>
      </c>
      <c r="Q1420">
        <f>IF($A1420="","",IF(OR($E1420="INFRUCTUEUX",$E1420="ANNULE"),$A1420&amp;"|"&amp;(COUNTIFS($A$2:$A1420,$A1420,$E$2:$E1420,"INFRUCTUEUX")+COUNTIFS($A$2:$A1420,$A1420,$E$2:$E1420,"ANNULE")),""))</f>
        <v/>
      </c>
    </row>
    <row r="1421">
      <c r="A1421">
        <f>IF(ISBLANK('ENGAGEMENTS 2026'!B1421),"",IF('ENGAGEMENTS 2026'!B1421="DTSI","DCT",'ENGAGEMENTS 2026'!B1421))</f>
        <v/>
      </c>
      <c r="B1421">
        <f>IF(ISBLANK('ENGAGEMENTS 2026'!B1421),"",'ENGAGEMENTS 2026'!C1421)</f>
        <v/>
      </c>
      <c r="C1421">
        <f>IF(ISBLANK('ENGAGEMENTS 2026'!B1421),"",'ENGAGEMENTS 2026'!D1421)</f>
        <v/>
      </c>
      <c r="D1421">
        <f>IF(ISBLANK('ENGAGEMENTS 2026'!B1421),"",'ENGAGEMENTS 2026'!F1421)</f>
        <v/>
      </c>
      <c r="E1421">
        <f>IF(ISBLANK('ENGAGEMENTS 2026'!B1421),"",'ENGAGEMENTS 2026'!H1421)</f>
        <v/>
      </c>
      <c r="F1421">
        <f>IF(ISBLANK('ENGAGEMENTS 2026'!B1421),"",'ENGAGEMENTS 2026'!I1421)</f>
        <v/>
      </c>
      <c r="G1421">
        <f>IF(ISBLANK('ENGAGEMENTS 2026'!B1421),"",'ENGAGEMENTS 2026'!L1421)</f>
        <v/>
      </c>
      <c r="H1421">
        <f>IF(ISBLANK('ENGAGEMENTS 2026'!B1421),"",'ENGAGEMENTS 2026'!AE1421)</f>
        <v/>
      </c>
      <c r="I1421">
        <f>IF(ISBLANK('ENGAGEMENTS 2026'!B1421),"",'ENGAGEMENTS 2026'!G1421)</f>
        <v/>
      </c>
      <c r="J1421" s="275">
        <f>IF(ISBLANK('ENGAGEMENTS 2026'!B1421),"",IF(AND(OR($E1421="INFRUCTUEUX",$E1421="ANNULE"),$C1421="AOO-M"),'ENGAGEMENTS 2026'!O1421,IF($H1421="EN COURS DE PREENGAGEMENT",'ENGAGEMENTS 2026'!N1421,IF($H1421="PREENGAGE",IF($E1421="ATTRIBUE",'ENGAGEMENTS 2026'!AD1421,'ENGAGEMENTS 2026'!N1421),'ENGAGEMENTS 2026'!AD1421))))</f>
        <v/>
      </c>
      <c r="K1421" s="604">
        <f>IF(ISBLANK('ENGAGEMENTS 2026'!V1421),"",'ENGAGEMENTS 2026'!V1421)</f>
        <v/>
      </c>
      <c r="L1421" s="276">
        <f>IF($K1421="","",TODAY()-$K1421)</f>
        <v/>
      </c>
      <c r="M1421">
        <f>IF($A1421="","",IF($H1421="ENGAGE","Engagé",IF(AND($H1421="NON ENGAGE",OR($I1421="INFRUCTUEUX",$I1421="ANNULE")),"Clôturé sans suite","En cours")))</f>
        <v/>
      </c>
      <c r="N1421">
        <f>IF(ISBLANK('ENGAGEMENTS 2026'!B1421),"",'ENGAGEMENTS 2026'!K1421)</f>
        <v/>
      </c>
      <c r="O1421">
        <f>IF(ISBLANK('ENGAGEMENTS 2026'!B1421),"",'ENGAGEMENTS 2026'!L1421)</f>
        <v/>
      </c>
      <c r="P1421">
        <f>IF(ISBLANK('ENGAGEMENTS 2026'!B1421),"",'ENGAGEMENTS 2026'!J1421)</f>
        <v/>
      </c>
      <c r="Q1421">
        <f>IF($A1421="","",IF(OR($E1421="INFRUCTUEUX",$E1421="ANNULE"),$A1421&amp;"|"&amp;(COUNTIFS($A$2:$A1421,$A1421,$E$2:$E1421,"INFRUCTUEUX")+COUNTIFS($A$2:$A1421,$A1421,$E$2:$E1421,"ANNULE")),""))</f>
        <v/>
      </c>
    </row>
    <row r="1422">
      <c r="A1422">
        <f>IF(ISBLANK('ENGAGEMENTS 2026'!B1422),"",IF('ENGAGEMENTS 2026'!B1422="DTSI","DCT",'ENGAGEMENTS 2026'!B1422))</f>
        <v/>
      </c>
      <c r="B1422">
        <f>IF(ISBLANK('ENGAGEMENTS 2026'!B1422),"",'ENGAGEMENTS 2026'!C1422)</f>
        <v/>
      </c>
      <c r="C1422">
        <f>IF(ISBLANK('ENGAGEMENTS 2026'!B1422),"",'ENGAGEMENTS 2026'!D1422)</f>
        <v/>
      </c>
      <c r="D1422">
        <f>IF(ISBLANK('ENGAGEMENTS 2026'!B1422),"",'ENGAGEMENTS 2026'!F1422)</f>
        <v/>
      </c>
      <c r="E1422">
        <f>IF(ISBLANK('ENGAGEMENTS 2026'!B1422),"",'ENGAGEMENTS 2026'!H1422)</f>
        <v/>
      </c>
      <c r="F1422">
        <f>IF(ISBLANK('ENGAGEMENTS 2026'!B1422),"",'ENGAGEMENTS 2026'!I1422)</f>
        <v/>
      </c>
      <c r="G1422">
        <f>IF(ISBLANK('ENGAGEMENTS 2026'!B1422),"",'ENGAGEMENTS 2026'!L1422)</f>
        <v/>
      </c>
      <c r="H1422">
        <f>IF(ISBLANK('ENGAGEMENTS 2026'!B1422),"",'ENGAGEMENTS 2026'!AE1422)</f>
        <v/>
      </c>
      <c r="I1422">
        <f>IF(ISBLANK('ENGAGEMENTS 2026'!B1422),"",'ENGAGEMENTS 2026'!G1422)</f>
        <v/>
      </c>
      <c r="J1422" s="275">
        <f>IF(ISBLANK('ENGAGEMENTS 2026'!B1422),"",IF(AND(OR($E1422="INFRUCTUEUX",$E1422="ANNULE"),$C1422="AOO-M"),'ENGAGEMENTS 2026'!O1422,IF($H1422="EN COURS DE PREENGAGEMENT",'ENGAGEMENTS 2026'!N1422,IF($H1422="PREENGAGE",IF($E1422="ATTRIBUE",'ENGAGEMENTS 2026'!AD1422,'ENGAGEMENTS 2026'!N1422),'ENGAGEMENTS 2026'!AD1422))))</f>
        <v/>
      </c>
      <c r="K1422" s="604">
        <f>IF(ISBLANK('ENGAGEMENTS 2026'!V1422),"",'ENGAGEMENTS 2026'!V1422)</f>
        <v/>
      </c>
      <c r="L1422" s="276">
        <f>IF($K1422="","",TODAY()-$K1422)</f>
        <v/>
      </c>
      <c r="M1422">
        <f>IF($A1422="","",IF($H1422="ENGAGE","Engagé",IF(AND($H1422="NON ENGAGE",OR($I1422="INFRUCTUEUX",$I1422="ANNULE")),"Clôturé sans suite","En cours")))</f>
        <v/>
      </c>
      <c r="N1422">
        <f>IF(ISBLANK('ENGAGEMENTS 2026'!B1422),"",'ENGAGEMENTS 2026'!K1422)</f>
        <v/>
      </c>
      <c r="O1422">
        <f>IF(ISBLANK('ENGAGEMENTS 2026'!B1422),"",'ENGAGEMENTS 2026'!L1422)</f>
        <v/>
      </c>
      <c r="P1422">
        <f>IF(ISBLANK('ENGAGEMENTS 2026'!B1422),"",'ENGAGEMENTS 2026'!J1422)</f>
        <v/>
      </c>
      <c r="Q1422">
        <f>IF($A1422="","",IF(OR($E1422="INFRUCTUEUX",$E1422="ANNULE"),$A1422&amp;"|"&amp;(COUNTIFS($A$2:$A1422,$A1422,$E$2:$E1422,"INFRUCTUEUX")+COUNTIFS($A$2:$A1422,$A1422,$E$2:$E1422,"ANNULE")),""))</f>
        <v/>
      </c>
    </row>
    <row r="1423">
      <c r="A1423">
        <f>IF(ISBLANK('ENGAGEMENTS 2026'!B1423),"",IF('ENGAGEMENTS 2026'!B1423="DTSI","DCT",'ENGAGEMENTS 2026'!B1423))</f>
        <v/>
      </c>
      <c r="B1423">
        <f>IF(ISBLANK('ENGAGEMENTS 2026'!B1423),"",'ENGAGEMENTS 2026'!C1423)</f>
        <v/>
      </c>
      <c r="C1423">
        <f>IF(ISBLANK('ENGAGEMENTS 2026'!B1423),"",'ENGAGEMENTS 2026'!D1423)</f>
        <v/>
      </c>
      <c r="D1423">
        <f>IF(ISBLANK('ENGAGEMENTS 2026'!B1423),"",'ENGAGEMENTS 2026'!F1423)</f>
        <v/>
      </c>
      <c r="E1423">
        <f>IF(ISBLANK('ENGAGEMENTS 2026'!B1423),"",'ENGAGEMENTS 2026'!H1423)</f>
        <v/>
      </c>
      <c r="F1423">
        <f>IF(ISBLANK('ENGAGEMENTS 2026'!B1423),"",'ENGAGEMENTS 2026'!I1423)</f>
        <v/>
      </c>
      <c r="G1423">
        <f>IF(ISBLANK('ENGAGEMENTS 2026'!B1423),"",'ENGAGEMENTS 2026'!L1423)</f>
        <v/>
      </c>
      <c r="H1423">
        <f>IF(ISBLANK('ENGAGEMENTS 2026'!B1423),"",'ENGAGEMENTS 2026'!AE1423)</f>
        <v/>
      </c>
      <c r="I1423">
        <f>IF(ISBLANK('ENGAGEMENTS 2026'!B1423),"",'ENGAGEMENTS 2026'!G1423)</f>
        <v/>
      </c>
      <c r="J1423" s="275">
        <f>IF(ISBLANK('ENGAGEMENTS 2026'!B1423),"",IF(AND(OR($E1423="INFRUCTUEUX",$E1423="ANNULE"),$C1423="AOO-M"),'ENGAGEMENTS 2026'!O1423,IF($H1423="EN COURS DE PREENGAGEMENT",'ENGAGEMENTS 2026'!N1423,IF($H1423="PREENGAGE",IF($E1423="ATTRIBUE",'ENGAGEMENTS 2026'!AD1423,'ENGAGEMENTS 2026'!N1423),'ENGAGEMENTS 2026'!AD1423))))</f>
        <v/>
      </c>
      <c r="K1423" s="604">
        <f>IF(ISBLANK('ENGAGEMENTS 2026'!V1423),"",'ENGAGEMENTS 2026'!V1423)</f>
        <v/>
      </c>
      <c r="L1423" s="276">
        <f>IF($K1423="","",TODAY()-$K1423)</f>
        <v/>
      </c>
      <c r="M1423">
        <f>IF($A1423="","",IF($H1423="ENGAGE","Engagé",IF(AND($H1423="NON ENGAGE",OR($I1423="INFRUCTUEUX",$I1423="ANNULE")),"Clôturé sans suite","En cours")))</f>
        <v/>
      </c>
      <c r="N1423">
        <f>IF(ISBLANK('ENGAGEMENTS 2026'!B1423),"",'ENGAGEMENTS 2026'!K1423)</f>
        <v/>
      </c>
      <c r="O1423">
        <f>IF(ISBLANK('ENGAGEMENTS 2026'!B1423),"",'ENGAGEMENTS 2026'!L1423)</f>
        <v/>
      </c>
      <c r="P1423">
        <f>IF(ISBLANK('ENGAGEMENTS 2026'!B1423),"",'ENGAGEMENTS 2026'!J1423)</f>
        <v/>
      </c>
      <c r="Q1423">
        <f>IF($A1423="","",IF(OR($E1423="INFRUCTUEUX",$E1423="ANNULE"),$A1423&amp;"|"&amp;(COUNTIFS($A$2:$A1423,$A1423,$E$2:$E1423,"INFRUCTUEUX")+COUNTIFS($A$2:$A1423,$A1423,$E$2:$E1423,"ANNULE")),""))</f>
        <v/>
      </c>
    </row>
    <row r="1424">
      <c r="A1424">
        <f>IF(ISBLANK('ENGAGEMENTS 2026'!B1424),"",IF('ENGAGEMENTS 2026'!B1424="DTSI","DCT",'ENGAGEMENTS 2026'!B1424))</f>
        <v/>
      </c>
      <c r="B1424">
        <f>IF(ISBLANK('ENGAGEMENTS 2026'!B1424),"",'ENGAGEMENTS 2026'!C1424)</f>
        <v/>
      </c>
      <c r="C1424">
        <f>IF(ISBLANK('ENGAGEMENTS 2026'!B1424),"",'ENGAGEMENTS 2026'!D1424)</f>
        <v/>
      </c>
      <c r="D1424">
        <f>IF(ISBLANK('ENGAGEMENTS 2026'!B1424),"",'ENGAGEMENTS 2026'!F1424)</f>
        <v/>
      </c>
      <c r="E1424">
        <f>IF(ISBLANK('ENGAGEMENTS 2026'!B1424),"",'ENGAGEMENTS 2026'!H1424)</f>
        <v/>
      </c>
      <c r="F1424">
        <f>IF(ISBLANK('ENGAGEMENTS 2026'!B1424),"",'ENGAGEMENTS 2026'!I1424)</f>
        <v/>
      </c>
      <c r="G1424">
        <f>IF(ISBLANK('ENGAGEMENTS 2026'!B1424),"",'ENGAGEMENTS 2026'!L1424)</f>
        <v/>
      </c>
      <c r="H1424">
        <f>IF(ISBLANK('ENGAGEMENTS 2026'!B1424),"",'ENGAGEMENTS 2026'!AE1424)</f>
        <v/>
      </c>
      <c r="I1424">
        <f>IF(ISBLANK('ENGAGEMENTS 2026'!B1424),"",'ENGAGEMENTS 2026'!G1424)</f>
        <v/>
      </c>
      <c r="J1424" s="275">
        <f>IF(ISBLANK('ENGAGEMENTS 2026'!B1424),"",IF(AND(OR($E1424="INFRUCTUEUX",$E1424="ANNULE"),$C1424="AOO-M"),'ENGAGEMENTS 2026'!O1424,IF($H1424="EN COURS DE PREENGAGEMENT",'ENGAGEMENTS 2026'!N1424,IF($H1424="PREENGAGE",IF($E1424="ATTRIBUE",'ENGAGEMENTS 2026'!AD1424,'ENGAGEMENTS 2026'!N1424),'ENGAGEMENTS 2026'!AD1424))))</f>
        <v/>
      </c>
      <c r="K1424" s="604">
        <f>IF(ISBLANK('ENGAGEMENTS 2026'!V1424),"",'ENGAGEMENTS 2026'!V1424)</f>
        <v/>
      </c>
      <c r="L1424" s="276">
        <f>IF($K1424="","",TODAY()-$K1424)</f>
        <v/>
      </c>
      <c r="M1424">
        <f>IF($A1424="","",IF($H1424="ENGAGE","Engagé",IF(AND($H1424="NON ENGAGE",OR($I1424="INFRUCTUEUX",$I1424="ANNULE")),"Clôturé sans suite","En cours")))</f>
        <v/>
      </c>
      <c r="N1424">
        <f>IF(ISBLANK('ENGAGEMENTS 2026'!B1424),"",'ENGAGEMENTS 2026'!K1424)</f>
        <v/>
      </c>
      <c r="O1424">
        <f>IF(ISBLANK('ENGAGEMENTS 2026'!B1424),"",'ENGAGEMENTS 2026'!L1424)</f>
        <v/>
      </c>
      <c r="P1424">
        <f>IF(ISBLANK('ENGAGEMENTS 2026'!B1424),"",'ENGAGEMENTS 2026'!J1424)</f>
        <v/>
      </c>
      <c r="Q1424">
        <f>IF($A1424="","",IF(OR($E1424="INFRUCTUEUX",$E1424="ANNULE"),$A1424&amp;"|"&amp;(COUNTIFS($A$2:$A1424,$A1424,$E$2:$E1424,"INFRUCTUEUX")+COUNTIFS($A$2:$A1424,$A1424,$E$2:$E1424,"ANNULE")),""))</f>
        <v/>
      </c>
    </row>
    <row r="1425">
      <c r="A1425">
        <f>IF(ISBLANK('ENGAGEMENTS 2026'!B1425),"",IF('ENGAGEMENTS 2026'!B1425="DTSI","DCT",'ENGAGEMENTS 2026'!B1425))</f>
        <v/>
      </c>
      <c r="B1425">
        <f>IF(ISBLANK('ENGAGEMENTS 2026'!B1425),"",'ENGAGEMENTS 2026'!C1425)</f>
        <v/>
      </c>
      <c r="C1425">
        <f>IF(ISBLANK('ENGAGEMENTS 2026'!B1425),"",'ENGAGEMENTS 2026'!D1425)</f>
        <v/>
      </c>
      <c r="D1425">
        <f>IF(ISBLANK('ENGAGEMENTS 2026'!B1425),"",'ENGAGEMENTS 2026'!F1425)</f>
        <v/>
      </c>
      <c r="E1425">
        <f>IF(ISBLANK('ENGAGEMENTS 2026'!B1425),"",'ENGAGEMENTS 2026'!H1425)</f>
        <v/>
      </c>
      <c r="F1425">
        <f>IF(ISBLANK('ENGAGEMENTS 2026'!B1425),"",'ENGAGEMENTS 2026'!I1425)</f>
        <v/>
      </c>
      <c r="G1425">
        <f>IF(ISBLANK('ENGAGEMENTS 2026'!B1425),"",'ENGAGEMENTS 2026'!L1425)</f>
        <v/>
      </c>
      <c r="H1425">
        <f>IF(ISBLANK('ENGAGEMENTS 2026'!B1425),"",'ENGAGEMENTS 2026'!AE1425)</f>
        <v/>
      </c>
      <c r="I1425">
        <f>IF(ISBLANK('ENGAGEMENTS 2026'!B1425),"",'ENGAGEMENTS 2026'!G1425)</f>
        <v/>
      </c>
      <c r="J1425" s="275">
        <f>IF(ISBLANK('ENGAGEMENTS 2026'!B1425),"",IF(AND(OR($E1425="INFRUCTUEUX",$E1425="ANNULE"),$C1425="AOO-M"),'ENGAGEMENTS 2026'!O1425,IF($H1425="EN COURS DE PREENGAGEMENT",'ENGAGEMENTS 2026'!N1425,IF($H1425="PREENGAGE",IF($E1425="ATTRIBUE",'ENGAGEMENTS 2026'!AD1425,'ENGAGEMENTS 2026'!N1425),'ENGAGEMENTS 2026'!AD1425))))</f>
        <v/>
      </c>
      <c r="K1425" s="604">
        <f>IF(ISBLANK('ENGAGEMENTS 2026'!V1425),"",'ENGAGEMENTS 2026'!V1425)</f>
        <v/>
      </c>
      <c r="L1425" s="276">
        <f>IF($K1425="","",TODAY()-$K1425)</f>
        <v/>
      </c>
      <c r="M1425">
        <f>IF($A1425="","",IF($H1425="ENGAGE","Engagé",IF(AND($H1425="NON ENGAGE",OR($I1425="INFRUCTUEUX",$I1425="ANNULE")),"Clôturé sans suite","En cours")))</f>
        <v/>
      </c>
      <c r="N1425">
        <f>IF(ISBLANK('ENGAGEMENTS 2026'!B1425),"",'ENGAGEMENTS 2026'!K1425)</f>
        <v/>
      </c>
      <c r="O1425">
        <f>IF(ISBLANK('ENGAGEMENTS 2026'!B1425),"",'ENGAGEMENTS 2026'!L1425)</f>
        <v/>
      </c>
      <c r="P1425">
        <f>IF(ISBLANK('ENGAGEMENTS 2026'!B1425),"",'ENGAGEMENTS 2026'!J1425)</f>
        <v/>
      </c>
      <c r="Q1425">
        <f>IF($A1425="","",IF(OR($E1425="INFRUCTUEUX",$E1425="ANNULE"),$A1425&amp;"|"&amp;(COUNTIFS($A$2:$A1425,$A1425,$E$2:$E1425,"INFRUCTUEUX")+COUNTIFS($A$2:$A1425,$A1425,$E$2:$E1425,"ANNULE")),""))</f>
        <v/>
      </c>
    </row>
    <row r="1426">
      <c r="A1426">
        <f>IF(ISBLANK('ENGAGEMENTS 2026'!B1426),"",IF('ENGAGEMENTS 2026'!B1426="DTSI","DCT",'ENGAGEMENTS 2026'!B1426))</f>
        <v/>
      </c>
      <c r="B1426">
        <f>IF(ISBLANK('ENGAGEMENTS 2026'!B1426),"",'ENGAGEMENTS 2026'!C1426)</f>
        <v/>
      </c>
      <c r="C1426">
        <f>IF(ISBLANK('ENGAGEMENTS 2026'!B1426),"",'ENGAGEMENTS 2026'!D1426)</f>
        <v/>
      </c>
      <c r="D1426">
        <f>IF(ISBLANK('ENGAGEMENTS 2026'!B1426),"",'ENGAGEMENTS 2026'!F1426)</f>
        <v/>
      </c>
      <c r="E1426">
        <f>IF(ISBLANK('ENGAGEMENTS 2026'!B1426),"",'ENGAGEMENTS 2026'!H1426)</f>
        <v/>
      </c>
      <c r="F1426">
        <f>IF(ISBLANK('ENGAGEMENTS 2026'!B1426),"",'ENGAGEMENTS 2026'!I1426)</f>
        <v/>
      </c>
      <c r="G1426">
        <f>IF(ISBLANK('ENGAGEMENTS 2026'!B1426),"",'ENGAGEMENTS 2026'!L1426)</f>
        <v/>
      </c>
      <c r="H1426">
        <f>IF(ISBLANK('ENGAGEMENTS 2026'!B1426),"",'ENGAGEMENTS 2026'!AE1426)</f>
        <v/>
      </c>
      <c r="I1426">
        <f>IF(ISBLANK('ENGAGEMENTS 2026'!B1426),"",'ENGAGEMENTS 2026'!G1426)</f>
        <v/>
      </c>
      <c r="J1426" s="275">
        <f>IF(ISBLANK('ENGAGEMENTS 2026'!B1426),"",IF(AND(OR($E1426="INFRUCTUEUX",$E1426="ANNULE"),$C1426="AOO-M"),'ENGAGEMENTS 2026'!O1426,IF($H1426="EN COURS DE PREENGAGEMENT",'ENGAGEMENTS 2026'!N1426,IF($H1426="PREENGAGE",IF($E1426="ATTRIBUE",'ENGAGEMENTS 2026'!AD1426,'ENGAGEMENTS 2026'!N1426),'ENGAGEMENTS 2026'!AD1426))))</f>
        <v/>
      </c>
      <c r="K1426" s="604">
        <f>IF(ISBLANK('ENGAGEMENTS 2026'!V1426),"",'ENGAGEMENTS 2026'!V1426)</f>
        <v/>
      </c>
      <c r="L1426" s="276">
        <f>IF($K1426="","",TODAY()-$K1426)</f>
        <v/>
      </c>
      <c r="M1426">
        <f>IF($A1426="","",IF($H1426="ENGAGE","Engagé",IF(AND($H1426="NON ENGAGE",OR($I1426="INFRUCTUEUX",$I1426="ANNULE")),"Clôturé sans suite","En cours")))</f>
        <v/>
      </c>
      <c r="N1426">
        <f>IF(ISBLANK('ENGAGEMENTS 2026'!B1426),"",'ENGAGEMENTS 2026'!K1426)</f>
        <v/>
      </c>
      <c r="O1426">
        <f>IF(ISBLANK('ENGAGEMENTS 2026'!B1426),"",'ENGAGEMENTS 2026'!L1426)</f>
        <v/>
      </c>
      <c r="P1426">
        <f>IF(ISBLANK('ENGAGEMENTS 2026'!B1426),"",'ENGAGEMENTS 2026'!J1426)</f>
        <v/>
      </c>
      <c r="Q1426">
        <f>IF($A1426="","",IF(OR($E1426="INFRUCTUEUX",$E1426="ANNULE"),$A1426&amp;"|"&amp;(COUNTIFS($A$2:$A1426,$A1426,$E$2:$E1426,"INFRUCTUEUX")+COUNTIFS($A$2:$A1426,$A1426,$E$2:$E1426,"ANNULE")),""))</f>
        <v/>
      </c>
    </row>
    <row r="1427">
      <c r="A1427">
        <f>IF(ISBLANK('ENGAGEMENTS 2026'!B1427),"",IF('ENGAGEMENTS 2026'!B1427="DTSI","DCT",'ENGAGEMENTS 2026'!B1427))</f>
        <v/>
      </c>
      <c r="B1427">
        <f>IF(ISBLANK('ENGAGEMENTS 2026'!B1427),"",'ENGAGEMENTS 2026'!C1427)</f>
        <v/>
      </c>
      <c r="C1427">
        <f>IF(ISBLANK('ENGAGEMENTS 2026'!B1427),"",'ENGAGEMENTS 2026'!D1427)</f>
        <v/>
      </c>
      <c r="D1427">
        <f>IF(ISBLANK('ENGAGEMENTS 2026'!B1427),"",'ENGAGEMENTS 2026'!F1427)</f>
        <v/>
      </c>
      <c r="E1427">
        <f>IF(ISBLANK('ENGAGEMENTS 2026'!B1427),"",'ENGAGEMENTS 2026'!H1427)</f>
        <v/>
      </c>
      <c r="F1427">
        <f>IF(ISBLANK('ENGAGEMENTS 2026'!B1427),"",'ENGAGEMENTS 2026'!I1427)</f>
        <v/>
      </c>
      <c r="G1427">
        <f>IF(ISBLANK('ENGAGEMENTS 2026'!B1427),"",'ENGAGEMENTS 2026'!L1427)</f>
        <v/>
      </c>
      <c r="H1427">
        <f>IF(ISBLANK('ENGAGEMENTS 2026'!B1427),"",'ENGAGEMENTS 2026'!AE1427)</f>
        <v/>
      </c>
      <c r="I1427">
        <f>IF(ISBLANK('ENGAGEMENTS 2026'!B1427),"",'ENGAGEMENTS 2026'!G1427)</f>
        <v/>
      </c>
      <c r="J1427" s="275">
        <f>IF(ISBLANK('ENGAGEMENTS 2026'!B1427),"",IF(AND(OR($E1427="INFRUCTUEUX",$E1427="ANNULE"),$C1427="AOO-M"),'ENGAGEMENTS 2026'!O1427,IF($H1427="EN COURS DE PREENGAGEMENT",'ENGAGEMENTS 2026'!N1427,IF($H1427="PREENGAGE",IF($E1427="ATTRIBUE",'ENGAGEMENTS 2026'!AD1427,'ENGAGEMENTS 2026'!N1427),'ENGAGEMENTS 2026'!AD1427))))</f>
        <v/>
      </c>
      <c r="K1427" s="604">
        <f>IF(ISBLANK('ENGAGEMENTS 2026'!V1427),"",'ENGAGEMENTS 2026'!V1427)</f>
        <v/>
      </c>
      <c r="L1427" s="276">
        <f>IF($K1427="","",TODAY()-$K1427)</f>
        <v/>
      </c>
      <c r="M1427">
        <f>IF($A1427="","",IF($H1427="ENGAGE","Engagé",IF(AND($H1427="NON ENGAGE",OR($I1427="INFRUCTUEUX",$I1427="ANNULE")),"Clôturé sans suite","En cours")))</f>
        <v/>
      </c>
      <c r="N1427">
        <f>IF(ISBLANK('ENGAGEMENTS 2026'!B1427),"",'ENGAGEMENTS 2026'!K1427)</f>
        <v/>
      </c>
      <c r="O1427">
        <f>IF(ISBLANK('ENGAGEMENTS 2026'!B1427),"",'ENGAGEMENTS 2026'!L1427)</f>
        <v/>
      </c>
      <c r="P1427">
        <f>IF(ISBLANK('ENGAGEMENTS 2026'!B1427),"",'ENGAGEMENTS 2026'!J1427)</f>
        <v/>
      </c>
      <c r="Q1427">
        <f>IF($A1427="","",IF(OR($E1427="INFRUCTUEUX",$E1427="ANNULE"),$A1427&amp;"|"&amp;(COUNTIFS($A$2:$A1427,$A1427,$E$2:$E1427,"INFRUCTUEUX")+COUNTIFS($A$2:$A1427,$A1427,$E$2:$E1427,"ANNULE")),""))</f>
        <v/>
      </c>
    </row>
    <row r="1428">
      <c r="A1428">
        <f>IF(ISBLANK('ENGAGEMENTS 2026'!B1428),"",IF('ENGAGEMENTS 2026'!B1428="DTSI","DCT",'ENGAGEMENTS 2026'!B1428))</f>
        <v/>
      </c>
      <c r="B1428">
        <f>IF(ISBLANK('ENGAGEMENTS 2026'!B1428),"",'ENGAGEMENTS 2026'!C1428)</f>
        <v/>
      </c>
      <c r="C1428">
        <f>IF(ISBLANK('ENGAGEMENTS 2026'!B1428),"",'ENGAGEMENTS 2026'!D1428)</f>
        <v/>
      </c>
      <c r="D1428">
        <f>IF(ISBLANK('ENGAGEMENTS 2026'!B1428),"",'ENGAGEMENTS 2026'!F1428)</f>
        <v/>
      </c>
      <c r="E1428">
        <f>IF(ISBLANK('ENGAGEMENTS 2026'!B1428),"",'ENGAGEMENTS 2026'!H1428)</f>
        <v/>
      </c>
      <c r="F1428">
        <f>IF(ISBLANK('ENGAGEMENTS 2026'!B1428),"",'ENGAGEMENTS 2026'!I1428)</f>
        <v/>
      </c>
      <c r="G1428">
        <f>IF(ISBLANK('ENGAGEMENTS 2026'!B1428),"",'ENGAGEMENTS 2026'!L1428)</f>
        <v/>
      </c>
      <c r="H1428">
        <f>IF(ISBLANK('ENGAGEMENTS 2026'!B1428),"",'ENGAGEMENTS 2026'!AE1428)</f>
        <v/>
      </c>
      <c r="I1428">
        <f>IF(ISBLANK('ENGAGEMENTS 2026'!B1428),"",'ENGAGEMENTS 2026'!G1428)</f>
        <v/>
      </c>
      <c r="J1428" s="275">
        <f>IF(ISBLANK('ENGAGEMENTS 2026'!B1428),"",IF(AND(OR($E1428="INFRUCTUEUX",$E1428="ANNULE"),$C1428="AOO-M"),'ENGAGEMENTS 2026'!O1428,IF($H1428="EN COURS DE PREENGAGEMENT",'ENGAGEMENTS 2026'!N1428,IF($H1428="PREENGAGE",IF($E1428="ATTRIBUE",'ENGAGEMENTS 2026'!AD1428,'ENGAGEMENTS 2026'!N1428),'ENGAGEMENTS 2026'!AD1428))))</f>
        <v/>
      </c>
      <c r="K1428" s="604">
        <f>IF(ISBLANK('ENGAGEMENTS 2026'!V1428),"",'ENGAGEMENTS 2026'!V1428)</f>
        <v/>
      </c>
      <c r="L1428" s="276">
        <f>IF($K1428="","",TODAY()-$K1428)</f>
        <v/>
      </c>
      <c r="M1428">
        <f>IF($A1428="","",IF($H1428="ENGAGE","Engagé",IF(AND($H1428="NON ENGAGE",OR($I1428="INFRUCTUEUX",$I1428="ANNULE")),"Clôturé sans suite","En cours")))</f>
        <v/>
      </c>
      <c r="N1428">
        <f>IF(ISBLANK('ENGAGEMENTS 2026'!B1428),"",'ENGAGEMENTS 2026'!K1428)</f>
        <v/>
      </c>
      <c r="O1428">
        <f>IF(ISBLANK('ENGAGEMENTS 2026'!B1428),"",'ENGAGEMENTS 2026'!L1428)</f>
        <v/>
      </c>
      <c r="P1428">
        <f>IF(ISBLANK('ENGAGEMENTS 2026'!B1428),"",'ENGAGEMENTS 2026'!J1428)</f>
        <v/>
      </c>
      <c r="Q1428">
        <f>IF($A1428="","",IF(OR($E1428="INFRUCTUEUX",$E1428="ANNULE"),$A1428&amp;"|"&amp;(COUNTIFS($A$2:$A1428,$A1428,$E$2:$E1428,"INFRUCTUEUX")+COUNTIFS($A$2:$A1428,$A1428,$E$2:$E1428,"ANNULE")),""))</f>
        <v/>
      </c>
    </row>
    <row r="1429">
      <c r="A1429">
        <f>IF(ISBLANK('ENGAGEMENTS 2026'!B1429),"",IF('ENGAGEMENTS 2026'!B1429="DTSI","DCT",'ENGAGEMENTS 2026'!B1429))</f>
        <v/>
      </c>
      <c r="B1429">
        <f>IF(ISBLANK('ENGAGEMENTS 2026'!B1429),"",'ENGAGEMENTS 2026'!C1429)</f>
        <v/>
      </c>
      <c r="C1429">
        <f>IF(ISBLANK('ENGAGEMENTS 2026'!B1429),"",'ENGAGEMENTS 2026'!D1429)</f>
        <v/>
      </c>
      <c r="D1429">
        <f>IF(ISBLANK('ENGAGEMENTS 2026'!B1429),"",'ENGAGEMENTS 2026'!F1429)</f>
        <v/>
      </c>
      <c r="E1429">
        <f>IF(ISBLANK('ENGAGEMENTS 2026'!B1429),"",'ENGAGEMENTS 2026'!H1429)</f>
        <v/>
      </c>
      <c r="F1429">
        <f>IF(ISBLANK('ENGAGEMENTS 2026'!B1429),"",'ENGAGEMENTS 2026'!I1429)</f>
        <v/>
      </c>
      <c r="G1429">
        <f>IF(ISBLANK('ENGAGEMENTS 2026'!B1429),"",'ENGAGEMENTS 2026'!L1429)</f>
        <v/>
      </c>
      <c r="H1429">
        <f>IF(ISBLANK('ENGAGEMENTS 2026'!B1429),"",'ENGAGEMENTS 2026'!AE1429)</f>
        <v/>
      </c>
      <c r="I1429">
        <f>IF(ISBLANK('ENGAGEMENTS 2026'!B1429),"",'ENGAGEMENTS 2026'!G1429)</f>
        <v/>
      </c>
      <c r="J1429" s="275">
        <f>IF(ISBLANK('ENGAGEMENTS 2026'!B1429),"",IF(AND(OR($E1429="INFRUCTUEUX",$E1429="ANNULE"),$C1429="AOO-M"),'ENGAGEMENTS 2026'!O1429,IF($H1429="EN COURS DE PREENGAGEMENT",'ENGAGEMENTS 2026'!N1429,IF($H1429="PREENGAGE",IF($E1429="ATTRIBUE",'ENGAGEMENTS 2026'!AD1429,'ENGAGEMENTS 2026'!N1429),'ENGAGEMENTS 2026'!AD1429))))</f>
        <v/>
      </c>
      <c r="K1429" s="604">
        <f>IF(ISBLANK('ENGAGEMENTS 2026'!V1429),"",'ENGAGEMENTS 2026'!V1429)</f>
        <v/>
      </c>
      <c r="L1429" s="276">
        <f>IF($K1429="","",TODAY()-$K1429)</f>
        <v/>
      </c>
      <c r="M1429">
        <f>IF($A1429="","",IF($H1429="ENGAGE","Engagé",IF(AND($H1429="NON ENGAGE",OR($I1429="INFRUCTUEUX",$I1429="ANNULE")),"Clôturé sans suite","En cours")))</f>
        <v/>
      </c>
      <c r="N1429">
        <f>IF(ISBLANK('ENGAGEMENTS 2026'!B1429),"",'ENGAGEMENTS 2026'!K1429)</f>
        <v/>
      </c>
      <c r="O1429">
        <f>IF(ISBLANK('ENGAGEMENTS 2026'!B1429),"",'ENGAGEMENTS 2026'!L1429)</f>
        <v/>
      </c>
      <c r="P1429">
        <f>IF(ISBLANK('ENGAGEMENTS 2026'!B1429),"",'ENGAGEMENTS 2026'!J1429)</f>
        <v/>
      </c>
      <c r="Q1429">
        <f>IF($A1429="","",IF(OR($E1429="INFRUCTUEUX",$E1429="ANNULE"),$A1429&amp;"|"&amp;(COUNTIFS($A$2:$A1429,$A1429,$E$2:$E1429,"INFRUCTUEUX")+COUNTIFS($A$2:$A1429,$A1429,$E$2:$E1429,"ANNULE")),""))</f>
        <v/>
      </c>
    </row>
    <row r="1430">
      <c r="A1430">
        <f>IF(ISBLANK('ENGAGEMENTS 2026'!B1430),"",IF('ENGAGEMENTS 2026'!B1430="DTSI","DCT",'ENGAGEMENTS 2026'!B1430))</f>
        <v/>
      </c>
      <c r="B1430">
        <f>IF(ISBLANK('ENGAGEMENTS 2026'!B1430),"",'ENGAGEMENTS 2026'!C1430)</f>
        <v/>
      </c>
      <c r="C1430">
        <f>IF(ISBLANK('ENGAGEMENTS 2026'!B1430),"",'ENGAGEMENTS 2026'!D1430)</f>
        <v/>
      </c>
      <c r="D1430">
        <f>IF(ISBLANK('ENGAGEMENTS 2026'!B1430),"",'ENGAGEMENTS 2026'!F1430)</f>
        <v/>
      </c>
      <c r="E1430">
        <f>IF(ISBLANK('ENGAGEMENTS 2026'!B1430),"",'ENGAGEMENTS 2026'!H1430)</f>
        <v/>
      </c>
      <c r="F1430">
        <f>IF(ISBLANK('ENGAGEMENTS 2026'!B1430),"",'ENGAGEMENTS 2026'!I1430)</f>
        <v/>
      </c>
      <c r="G1430">
        <f>IF(ISBLANK('ENGAGEMENTS 2026'!B1430),"",'ENGAGEMENTS 2026'!L1430)</f>
        <v/>
      </c>
      <c r="H1430">
        <f>IF(ISBLANK('ENGAGEMENTS 2026'!B1430),"",'ENGAGEMENTS 2026'!AE1430)</f>
        <v/>
      </c>
      <c r="I1430">
        <f>IF(ISBLANK('ENGAGEMENTS 2026'!B1430),"",'ENGAGEMENTS 2026'!G1430)</f>
        <v/>
      </c>
      <c r="J1430" s="275">
        <f>IF(ISBLANK('ENGAGEMENTS 2026'!B1430),"",IF(AND(OR($E1430="INFRUCTUEUX",$E1430="ANNULE"),$C1430="AOO-M"),'ENGAGEMENTS 2026'!O1430,IF($H1430="EN COURS DE PREENGAGEMENT",'ENGAGEMENTS 2026'!N1430,IF($H1430="PREENGAGE",IF($E1430="ATTRIBUE",'ENGAGEMENTS 2026'!AD1430,'ENGAGEMENTS 2026'!N1430),'ENGAGEMENTS 2026'!AD1430))))</f>
        <v/>
      </c>
      <c r="K1430" s="604">
        <f>IF(ISBLANK('ENGAGEMENTS 2026'!V1430),"",'ENGAGEMENTS 2026'!V1430)</f>
        <v/>
      </c>
      <c r="L1430" s="276">
        <f>IF($K1430="","",TODAY()-$K1430)</f>
        <v/>
      </c>
      <c r="M1430">
        <f>IF($A1430="","",IF($H1430="ENGAGE","Engagé",IF(AND($H1430="NON ENGAGE",OR($I1430="INFRUCTUEUX",$I1430="ANNULE")),"Clôturé sans suite","En cours")))</f>
        <v/>
      </c>
      <c r="N1430">
        <f>IF(ISBLANK('ENGAGEMENTS 2026'!B1430),"",'ENGAGEMENTS 2026'!K1430)</f>
        <v/>
      </c>
      <c r="O1430">
        <f>IF(ISBLANK('ENGAGEMENTS 2026'!B1430),"",'ENGAGEMENTS 2026'!L1430)</f>
        <v/>
      </c>
      <c r="P1430">
        <f>IF(ISBLANK('ENGAGEMENTS 2026'!B1430),"",'ENGAGEMENTS 2026'!J1430)</f>
        <v/>
      </c>
      <c r="Q1430">
        <f>IF($A1430="","",IF(OR($E1430="INFRUCTUEUX",$E1430="ANNULE"),$A1430&amp;"|"&amp;(COUNTIFS($A$2:$A1430,$A1430,$E$2:$E1430,"INFRUCTUEUX")+COUNTIFS($A$2:$A1430,$A1430,$E$2:$E1430,"ANNULE")),""))</f>
        <v/>
      </c>
    </row>
    <row r="1431">
      <c r="A1431">
        <f>IF(ISBLANK('ENGAGEMENTS 2026'!B1431),"",IF('ENGAGEMENTS 2026'!B1431="DTSI","DCT",'ENGAGEMENTS 2026'!B1431))</f>
        <v/>
      </c>
      <c r="B1431">
        <f>IF(ISBLANK('ENGAGEMENTS 2026'!B1431),"",'ENGAGEMENTS 2026'!C1431)</f>
        <v/>
      </c>
      <c r="C1431">
        <f>IF(ISBLANK('ENGAGEMENTS 2026'!B1431),"",'ENGAGEMENTS 2026'!D1431)</f>
        <v/>
      </c>
      <c r="D1431">
        <f>IF(ISBLANK('ENGAGEMENTS 2026'!B1431),"",'ENGAGEMENTS 2026'!F1431)</f>
        <v/>
      </c>
      <c r="E1431">
        <f>IF(ISBLANK('ENGAGEMENTS 2026'!B1431),"",'ENGAGEMENTS 2026'!H1431)</f>
        <v/>
      </c>
      <c r="F1431">
        <f>IF(ISBLANK('ENGAGEMENTS 2026'!B1431),"",'ENGAGEMENTS 2026'!I1431)</f>
        <v/>
      </c>
      <c r="G1431">
        <f>IF(ISBLANK('ENGAGEMENTS 2026'!B1431),"",'ENGAGEMENTS 2026'!L1431)</f>
        <v/>
      </c>
      <c r="H1431">
        <f>IF(ISBLANK('ENGAGEMENTS 2026'!B1431),"",'ENGAGEMENTS 2026'!AE1431)</f>
        <v/>
      </c>
      <c r="I1431">
        <f>IF(ISBLANK('ENGAGEMENTS 2026'!B1431),"",'ENGAGEMENTS 2026'!G1431)</f>
        <v/>
      </c>
      <c r="J1431" s="275">
        <f>IF(ISBLANK('ENGAGEMENTS 2026'!B1431),"",IF(AND(OR($E1431="INFRUCTUEUX",$E1431="ANNULE"),$C1431="AOO-M"),'ENGAGEMENTS 2026'!O1431,IF($H1431="EN COURS DE PREENGAGEMENT",'ENGAGEMENTS 2026'!N1431,IF($H1431="PREENGAGE",IF($E1431="ATTRIBUE",'ENGAGEMENTS 2026'!AD1431,'ENGAGEMENTS 2026'!N1431),'ENGAGEMENTS 2026'!AD1431))))</f>
        <v/>
      </c>
      <c r="K1431" s="604">
        <f>IF(ISBLANK('ENGAGEMENTS 2026'!V1431),"",'ENGAGEMENTS 2026'!V1431)</f>
        <v/>
      </c>
      <c r="L1431" s="276">
        <f>IF($K1431="","",TODAY()-$K1431)</f>
        <v/>
      </c>
      <c r="M1431">
        <f>IF($A1431="","",IF($H1431="ENGAGE","Engagé",IF(AND($H1431="NON ENGAGE",OR($I1431="INFRUCTUEUX",$I1431="ANNULE")),"Clôturé sans suite","En cours")))</f>
        <v/>
      </c>
      <c r="N1431">
        <f>IF(ISBLANK('ENGAGEMENTS 2026'!B1431),"",'ENGAGEMENTS 2026'!K1431)</f>
        <v/>
      </c>
      <c r="O1431">
        <f>IF(ISBLANK('ENGAGEMENTS 2026'!B1431),"",'ENGAGEMENTS 2026'!L1431)</f>
        <v/>
      </c>
      <c r="P1431">
        <f>IF(ISBLANK('ENGAGEMENTS 2026'!B1431),"",'ENGAGEMENTS 2026'!J1431)</f>
        <v/>
      </c>
      <c r="Q1431">
        <f>IF($A1431="","",IF(OR($E1431="INFRUCTUEUX",$E1431="ANNULE"),$A1431&amp;"|"&amp;(COUNTIFS($A$2:$A1431,$A1431,$E$2:$E1431,"INFRUCTUEUX")+COUNTIFS($A$2:$A1431,$A1431,$E$2:$E1431,"ANNULE")),""))</f>
        <v/>
      </c>
    </row>
    <row r="1432">
      <c r="A1432">
        <f>IF(ISBLANK('ENGAGEMENTS 2026'!B1432),"",IF('ENGAGEMENTS 2026'!B1432="DTSI","DCT",'ENGAGEMENTS 2026'!B1432))</f>
        <v/>
      </c>
      <c r="B1432">
        <f>IF(ISBLANK('ENGAGEMENTS 2026'!B1432),"",'ENGAGEMENTS 2026'!C1432)</f>
        <v/>
      </c>
      <c r="C1432">
        <f>IF(ISBLANK('ENGAGEMENTS 2026'!B1432),"",'ENGAGEMENTS 2026'!D1432)</f>
        <v/>
      </c>
      <c r="D1432">
        <f>IF(ISBLANK('ENGAGEMENTS 2026'!B1432),"",'ENGAGEMENTS 2026'!F1432)</f>
        <v/>
      </c>
      <c r="E1432">
        <f>IF(ISBLANK('ENGAGEMENTS 2026'!B1432),"",'ENGAGEMENTS 2026'!H1432)</f>
        <v/>
      </c>
      <c r="F1432">
        <f>IF(ISBLANK('ENGAGEMENTS 2026'!B1432),"",'ENGAGEMENTS 2026'!I1432)</f>
        <v/>
      </c>
      <c r="G1432">
        <f>IF(ISBLANK('ENGAGEMENTS 2026'!B1432),"",'ENGAGEMENTS 2026'!L1432)</f>
        <v/>
      </c>
      <c r="H1432">
        <f>IF(ISBLANK('ENGAGEMENTS 2026'!B1432),"",'ENGAGEMENTS 2026'!AE1432)</f>
        <v/>
      </c>
      <c r="I1432">
        <f>IF(ISBLANK('ENGAGEMENTS 2026'!B1432),"",'ENGAGEMENTS 2026'!G1432)</f>
        <v/>
      </c>
      <c r="J1432" s="275">
        <f>IF(ISBLANK('ENGAGEMENTS 2026'!B1432),"",IF(AND(OR($E1432="INFRUCTUEUX",$E1432="ANNULE"),$C1432="AOO-M"),'ENGAGEMENTS 2026'!O1432,IF($H1432="EN COURS DE PREENGAGEMENT",'ENGAGEMENTS 2026'!N1432,IF($H1432="PREENGAGE",IF($E1432="ATTRIBUE",'ENGAGEMENTS 2026'!AD1432,'ENGAGEMENTS 2026'!N1432),'ENGAGEMENTS 2026'!AD1432))))</f>
        <v/>
      </c>
      <c r="K1432" s="604">
        <f>IF(ISBLANK('ENGAGEMENTS 2026'!V1432),"",'ENGAGEMENTS 2026'!V1432)</f>
        <v/>
      </c>
      <c r="L1432" s="276">
        <f>IF($K1432="","",TODAY()-$K1432)</f>
        <v/>
      </c>
      <c r="M1432">
        <f>IF($A1432="","",IF($H1432="ENGAGE","Engagé",IF(AND($H1432="NON ENGAGE",OR($I1432="INFRUCTUEUX",$I1432="ANNULE")),"Clôturé sans suite","En cours")))</f>
        <v/>
      </c>
      <c r="N1432">
        <f>IF(ISBLANK('ENGAGEMENTS 2026'!B1432),"",'ENGAGEMENTS 2026'!K1432)</f>
        <v/>
      </c>
      <c r="O1432">
        <f>IF(ISBLANK('ENGAGEMENTS 2026'!B1432),"",'ENGAGEMENTS 2026'!L1432)</f>
        <v/>
      </c>
      <c r="P1432">
        <f>IF(ISBLANK('ENGAGEMENTS 2026'!B1432),"",'ENGAGEMENTS 2026'!J1432)</f>
        <v/>
      </c>
      <c r="Q1432">
        <f>IF($A1432="","",IF(OR($E1432="INFRUCTUEUX",$E1432="ANNULE"),$A1432&amp;"|"&amp;(COUNTIFS($A$2:$A1432,$A1432,$E$2:$E1432,"INFRUCTUEUX")+COUNTIFS($A$2:$A1432,$A1432,$E$2:$E1432,"ANNULE")),""))</f>
        <v/>
      </c>
    </row>
    <row r="1433">
      <c r="A1433">
        <f>IF(ISBLANK('ENGAGEMENTS 2026'!B1433),"",IF('ENGAGEMENTS 2026'!B1433="DTSI","DCT",'ENGAGEMENTS 2026'!B1433))</f>
        <v/>
      </c>
      <c r="B1433">
        <f>IF(ISBLANK('ENGAGEMENTS 2026'!B1433),"",'ENGAGEMENTS 2026'!C1433)</f>
        <v/>
      </c>
      <c r="C1433">
        <f>IF(ISBLANK('ENGAGEMENTS 2026'!B1433),"",'ENGAGEMENTS 2026'!D1433)</f>
        <v/>
      </c>
      <c r="D1433">
        <f>IF(ISBLANK('ENGAGEMENTS 2026'!B1433),"",'ENGAGEMENTS 2026'!F1433)</f>
        <v/>
      </c>
      <c r="E1433">
        <f>IF(ISBLANK('ENGAGEMENTS 2026'!B1433),"",'ENGAGEMENTS 2026'!H1433)</f>
        <v/>
      </c>
      <c r="F1433">
        <f>IF(ISBLANK('ENGAGEMENTS 2026'!B1433),"",'ENGAGEMENTS 2026'!I1433)</f>
        <v/>
      </c>
      <c r="G1433">
        <f>IF(ISBLANK('ENGAGEMENTS 2026'!B1433),"",'ENGAGEMENTS 2026'!L1433)</f>
        <v/>
      </c>
      <c r="H1433">
        <f>IF(ISBLANK('ENGAGEMENTS 2026'!B1433),"",'ENGAGEMENTS 2026'!AE1433)</f>
        <v/>
      </c>
      <c r="I1433">
        <f>IF(ISBLANK('ENGAGEMENTS 2026'!B1433),"",'ENGAGEMENTS 2026'!G1433)</f>
        <v/>
      </c>
      <c r="J1433" s="275">
        <f>IF(ISBLANK('ENGAGEMENTS 2026'!B1433),"",IF(AND(OR($E1433="INFRUCTUEUX",$E1433="ANNULE"),$C1433="AOO-M"),'ENGAGEMENTS 2026'!O1433,IF($H1433="EN COURS DE PREENGAGEMENT",'ENGAGEMENTS 2026'!N1433,IF($H1433="PREENGAGE",IF($E1433="ATTRIBUE",'ENGAGEMENTS 2026'!AD1433,'ENGAGEMENTS 2026'!N1433),'ENGAGEMENTS 2026'!AD1433))))</f>
        <v/>
      </c>
      <c r="K1433" s="604">
        <f>IF(ISBLANK('ENGAGEMENTS 2026'!V1433),"",'ENGAGEMENTS 2026'!V1433)</f>
        <v/>
      </c>
      <c r="L1433" s="276">
        <f>IF($K1433="","",TODAY()-$K1433)</f>
        <v/>
      </c>
      <c r="M1433">
        <f>IF($A1433="","",IF($H1433="ENGAGE","Engagé",IF(AND($H1433="NON ENGAGE",OR($I1433="INFRUCTUEUX",$I1433="ANNULE")),"Clôturé sans suite","En cours")))</f>
        <v/>
      </c>
      <c r="N1433">
        <f>IF(ISBLANK('ENGAGEMENTS 2026'!B1433),"",'ENGAGEMENTS 2026'!K1433)</f>
        <v/>
      </c>
      <c r="O1433">
        <f>IF(ISBLANK('ENGAGEMENTS 2026'!B1433),"",'ENGAGEMENTS 2026'!L1433)</f>
        <v/>
      </c>
      <c r="P1433">
        <f>IF(ISBLANK('ENGAGEMENTS 2026'!B1433),"",'ENGAGEMENTS 2026'!J1433)</f>
        <v/>
      </c>
      <c r="Q1433">
        <f>IF($A1433="","",IF(OR($E1433="INFRUCTUEUX",$E1433="ANNULE"),$A1433&amp;"|"&amp;(COUNTIFS($A$2:$A1433,$A1433,$E$2:$E1433,"INFRUCTUEUX")+COUNTIFS($A$2:$A1433,$A1433,$E$2:$E1433,"ANNULE")),""))</f>
        <v/>
      </c>
    </row>
    <row r="1434">
      <c r="A1434">
        <f>IF(ISBLANK('ENGAGEMENTS 2026'!B1434),"",IF('ENGAGEMENTS 2026'!B1434="DTSI","DCT",'ENGAGEMENTS 2026'!B1434))</f>
        <v/>
      </c>
      <c r="B1434">
        <f>IF(ISBLANK('ENGAGEMENTS 2026'!B1434),"",'ENGAGEMENTS 2026'!C1434)</f>
        <v/>
      </c>
      <c r="C1434">
        <f>IF(ISBLANK('ENGAGEMENTS 2026'!B1434),"",'ENGAGEMENTS 2026'!D1434)</f>
        <v/>
      </c>
      <c r="D1434">
        <f>IF(ISBLANK('ENGAGEMENTS 2026'!B1434),"",'ENGAGEMENTS 2026'!F1434)</f>
        <v/>
      </c>
      <c r="E1434">
        <f>IF(ISBLANK('ENGAGEMENTS 2026'!B1434),"",'ENGAGEMENTS 2026'!H1434)</f>
        <v/>
      </c>
      <c r="F1434">
        <f>IF(ISBLANK('ENGAGEMENTS 2026'!B1434),"",'ENGAGEMENTS 2026'!I1434)</f>
        <v/>
      </c>
      <c r="G1434">
        <f>IF(ISBLANK('ENGAGEMENTS 2026'!B1434),"",'ENGAGEMENTS 2026'!L1434)</f>
        <v/>
      </c>
      <c r="H1434">
        <f>IF(ISBLANK('ENGAGEMENTS 2026'!B1434),"",'ENGAGEMENTS 2026'!AE1434)</f>
        <v/>
      </c>
      <c r="I1434">
        <f>IF(ISBLANK('ENGAGEMENTS 2026'!B1434),"",'ENGAGEMENTS 2026'!G1434)</f>
        <v/>
      </c>
      <c r="J1434" s="275">
        <f>IF(ISBLANK('ENGAGEMENTS 2026'!B1434),"",IF(AND(OR($E1434="INFRUCTUEUX",$E1434="ANNULE"),$C1434="AOO-M"),'ENGAGEMENTS 2026'!O1434,IF($H1434="EN COURS DE PREENGAGEMENT",'ENGAGEMENTS 2026'!N1434,IF($H1434="PREENGAGE",IF($E1434="ATTRIBUE",'ENGAGEMENTS 2026'!AD1434,'ENGAGEMENTS 2026'!N1434),'ENGAGEMENTS 2026'!AD1434))))</f>
        <v/>
      </c>
      <c r="K1434" s="604">
        <f>IF(ISBLANK('ENGAGEMENTS 2026'!V1434),"",'ENGAGEMENTS 2026'!V1434)</f>
        <v/>
      </c>
      <c r="L1434" s="276">
        <f>IF($K1434="","",TODAY()-$K1434)</f>
        <v/>
      </c>
      <c r="M1434">
        <f>IF($A1434="","",IF($H1434="ENGAGE","Engagé",IF(AND($H1434="NON ENGAGE",OR($I1434="INFRUCTUEUX",$I1434="ANNULE")),"Clôturé sans suite","En cours")))</f>
        <v/>
      </c>
      <c r="N1434">
        <f>IF(ISBLANK('ENGAGEMENTS 2026'!B1434),"",'ENGAGEMENTS 2026'!K1434)</f>
        <v/>
      </c>
      <c r="O1434">
        <f>IF(ISBLANK('ENGAGEMENTS 2026'!B1434),"",'ENGAGEMENTS 2026'!L1434)</f>
        <v/>
      </c>
      <c r="P1434">
        <f>IF(ISBLANK('ENGAGEMENTS 2026'!B1434),"",'ENGAGEMENTS 2026'!J1434)</f>
        <v/>
      </c>
      <c r="Q1434">
        <f>IF($A1434="","",IF(OR($E1434="INFRUCTUEUX",$E1434="ANNULE"),$A1434&amp;"|"&amp;(COUNTIFS($A$2:$A1434,$A1434,$E$2:$E1434,"INFRUCTUEUX")+COUNTIFS($A$2:$A1434,$A1434,$E$2:$E1434,"ANNULE")),""))</f>
        <v/>
      </c>
    </row>
    <row r="1435">
      <c r="A1435">
        <f>IF(ISBLANK('ENGAGEMENTS 2026'!B1435),"",IF('ENGAGEMENTS 2026'!B1435="DTSI","DCT",'ENGAGEMENTS 2026'!B1435))</f>
        <v/>
      </c>
      <c r="B1435">
        <f>IF(ISBLANK('ENGAGEMENTS 2026'!B1435),"",'ENGAGEMENTS 2026'!C1435)</f>
        <v/>
      </c>
      <c r="C1435">
        <f>IF(ISBLANK('ENGAGEMENTS 2026'!B1435),"",'ENGAGEMENTS 2026'!D1435)</f>
        <v/>
      </c>
      <c r="D1435">
        <f>IF(ISBLANK('ENGAGEMENTS 2026'!B1435),"",'ENGAGEMENTS 2026'!F1435)</f>
        <v/>
      </c>
      <c r="E1435">
        <f>IF(ISBLANK('ENGAGEMENTS 2026'!B1435),"",'ENGAGEMENTS 2026'!H1435)</f>
        <v/>
      </c>
      <c r="F1435">
        <f>IF(ISBLANK('ENGAGEMENTS 2026'!B1435),"",'ENGAGEMENTS 2026'!I1435)</f>
        <v/>
      </c>
      <c r="G1435">
        <f>IF(ISBLANK('ENGAGEMENTS 2026'!B1435),"",'ENGAGEMENTS 2026'!L1435)</f>
        <v/>
      </c>
      <c r="H1435">
        <f>IF(ISBLANK('ENGAGEMENTS 2026'!B1435),"",'ENGAGEMENTS 2026'!AE1435)</f>
        <v/>
      </c>
      <c r="I1435">
        <f>IF(ISBLANK('ENGAGEMENTS 2026'!B1435),"",'ENGAGEMENTS 2026'!G1435)</f>
        <v/>
      </c>
      <c r="J1435" s="275">
        <f>IF(ISBLANK('ENGAGEMENTS 2026'!B1435),"",IF(AND(OR($E1435="INFRUCTUEUX",$E1435="ANNULE"),$C1435="AOO-M"),'ENGAGEMENTS 2026'!O1435,IF($H1435="EN COURS DE PREENGAGEMENT",'ENGAGEMENTS 2026'!N1435,IF($H1435="PREENGAGE",IF($E1435="ATTRIBUE",'ENGAGEMENTS 2026'!AD1435,'ENGAGEMENTS 2026'!N1435),'ENGAGEMENTS 2026'!AD1435))))</f>
        <v/>
      </c>
      <c r="K1435" s="604">
        <f>IF(ISBLANK('ENGAGEMENTS 2026'!V1435),"",'ENGAGEMENTS 2026'!V1435)</f>
        <v/>
      </c>
      <c r="L1435" s="276">
        <f>IF($K1435="","",TODAY()-$K1435)</f>
        <v/>
      </c>
      <c r="M1435">
        <f>IF($A1435="","",IF($H1435="ENGAGE","Engagé",IF(AND($H1435="NON ENGAGE",OR($I1435="INFRUCTUEUX",$I1435="ANNULE")),"Clôturé sans suite","En cours")))</f>
        <v/>
      </c>
      <c r="N1435">
        <f>IF(ISBLANK('ENGAGEMENTS 2026'!B1435),"",'ENGAGEMENTS 2026'!K1435)</f>
        <v/>
      </c>
      <c r="O1435">
        <f>IF(ISBLANK('ENGAGEMENTS 2026'!B1435),"",'ENGAGEMENTS 2026'!L1435)</f>
        <v/>
      </c>
      <c r="P1435">
        <f>IF(ISBLANK('ENGAGEMENTS 2026'!B1435),"",'ENGAGEMENTS 2026'!J1435)</f>
        <v/>
      </c>
      <c r="Q1435">
        <f>IF($A1435="","",IF(OR($E1435="INFRUCTUEUX",$E1435="ANNULE"),$A1435&amp;"|"&amp;(COUNTIFS($A$2:$A1435,$A1435,$E$2:$E1435,"INFRUCTUEUX")+COUNTIFS($A$2:$A1435,$A1435,$E$2:$E1435,"ANNULE")),""))</f>
        <v/>
      </c>
    </row>
    <row r="1436">
      <c r="A1436">
        <f>IF(ISBLANK('ENGAGEMENTS 2026'!B1436),"",IF('ENGAGEMENTS 2026'!B1436="DTSI","DCT",'ENGAGEMENTS 2026'!B1436))</f>
        <v/>
      </c>
      <c r="B1436">
        <f>IF(ISBLANK('ENGAGEMENTS 2026'!B1436),"",'ENGAGEMENTS 2026'!C1436)</f>
        <v/>
      </c>
      <c r="C1436">
        <f>IF(ISBLANK('ENGAGEMENTS 2026'!B1436),"",'ENGAGEMENTS 2026'!D1436)</f>
        <v/>
      </c>
      <c r="D1436">
        <f>IF(ISBLANK('ENGAGEMENTS 2026'!B1436),"",'ENGAGEMENTS 2026'!F1436)</f>
        <v/>
      </c>
      <c r="E1436">
        <f>IF(ISBLANK('ENGAGEMENTS 2026'!B1436),"",'ENGAGEMENTS 2026'!H1436)</f>
        <v/>
      </c>
      <c r="F1436">
        <f>IF(ISBLANK('ENGAGEMENTS 2026'!B1436),"",'ENGAGEMENTS 2026'!I1436)</f>
        <v/>
      </c>
      <c r="G1436">
        <f>IF(ISBLANK('ENGAGEMENTS 2026'!B1436),"",'ENGAGEMENTS 2026'!L1436)</f>
        <v/>
      </c>
      <c r="H1436">
        <f>IF(ISBLANK('ENGAGEMENTS 2026'!B1436),"",'ENGAGEMENTS 2026'!AE1436)</f>
        <v/>
      </c>
      <c r="I1436">
        <f>IF(ISBLANK('ENGAGEMENTS 2026'!B1436),"",'ENGAGEMENTS 2026'!G1436)</f>
        <v/>
      </c>
      <c r="J1436" s="275">
        <f>IF(ISBLANK('ENGAGEMENTS 2026'!B1436),"",IF(AND(OR($E1436="INFRUCTUEUX",$E1436="ANNULE"),$C1436="AOO-M"),'ENGAGEMENTS 2026'!O1436,IF($H1436="EN COURS DE PREENGAGEMENT",'ENGAGEMENTS 2026'!N1436,IF($H1436="PREENGAGE",IF($E1436="ATTRIBUE",'ENGAGEMENTS 2026'!AD1436,'ENGAGEMENTS 2026'!N1436),'ENGAGEMENTS 2026'!AD1436))))</f>
        <v/>
      </c>
      <c r="K1436" s="604">
        <f>IF(ISBLANK('ENGAGEMENTS 2026'!V1436),"",'ENGAGEMENTS 2026'!V1436)</f>
        <v/>
      </c>
      <c r="L1436" s="276">
        <f>IF($K1436="","",TODAY()-$K1436)</f>
        <v/>
      </c>
      <c r="M1436">
        <f>IF($A1436="","",IF($H1436="ENGAGE","Engagé",IF(AND($H1436="NON ENGAGE",OR($I1436="INFRUCTUEUX",$I1436="ANNULE")),"Clôturé sans suite","En cours")))</f>
        <v/>
      </c>
      <c r="N1436">
        <f>IF(ISBLANK('ENGAGEMENTS 2026'!B1436),"",'ENGAGEMENTS 2026'!K1436)</f>
        <v/>
      </c>
      <c r="O1436">
        <f>IF(ISBLANK('ENGAGEMENTS 2026'!B1436),"",'ENGAGEMENTS 2026'!L1436)</f>
        <v/>
      </c>
      <c r="P1436">
        <f>IF(ISBLANK('ENGAGEMENTS 2026'!B1436),"",'ENGAGEMENTS 2026'!J1436)</f>
        <v/>
      </c>
      <c r="Q1436">
        <f>IF($A1436="","",IF(OR($E1436="INFRUCTUEUX",$E1436="ANNULE"),$A1436&amp;"|"&amp;(COUNTIFS($A$2:$A1436,$A1436,$E$2:$E1436,"INFRUCTUEUX")+COUNTIFS($A$2:$A1436,$A1436,$E$2:$E1436,"ANNULE")),""))</f>
        <v/>
      </c>
    </row>
    <row r="1437">
      <c r="A1437">
        <f>IF(ISBLANK('ENGAGEMENTS 2026'!B1437),"",IF('ENGAGEMENTS 2026'!B1437="DTSI","DCT",'ENGAGEMENTS 2026'!B1437))</f>
        <v/>
      </c>
      <c r="B1437">
        <f>IF(ISBLANK('ENGAGEMENTS 2026'!B1437),"",'ENGAGEMENTS 2026'!C1437)</f>
        <v/>
      </c>
      <c r="C1437">
        <f>IF(ISBLANK('ENGAGEMENTS 2026'!B1437),"",'ENGAGEMENTS 2026'!D1437)</f>
        <v/>
      </c>
      <c r="D1437">
        <f>IF(ISBLANK('ENGAGEMENTS 2026'!B1437),"",'ENGAGEMENTS 2026'!F1437)</f>
        <v/>
      </c>
      <c r="E1437">
        <f>IF(ISBLANK('ENGAGEMENTS 2026'!B1437),"",'ENGAGEMENTS 2026'!H1437)</f>
        <v/>
      </c>
      <c r="F1437">
        <f>IF(ISBLANK('ENGAGEMENTS 2026'!B1437),"",'ENGAGEMENTS 2026'!I1437)</f>
        <v/>
      </c>
      <c r="G1437">
        <f>IF(ISBLANK('ENGAGEMENTS 2026'!B1437),"",'ENGAGEMENTS 2026'!L1437)</f>
        <v/>
      </c>
      <c r="H1437">
        <f>IF(ISBLANK('ENGAGEMENTS 2026'!B1437),"",'ENGAGEMENTS 2026'!AE1437)</f>
        <v/>
      </c>
      <c r="I1437">
        <f>IF(ISBLANK('ENGAGEMENTS 2026'!B1437),"",'ENGAGEMENTS 2026'!G1437)</f>
        <v/>
      </c>
      <c r="J1437" s="275">
        <f>IF(ISBLANK('ENGAGEMENTS 2026'!B1437),"",IF(AND(OR($E1437="INFRUCTUEUX",$E1437="ANNULE"),$C1437="AOO-M"),'ENGAGEMENTS 2026'!O1437,IF($H1437="EN COURS DE PREENGAGEMENT",'ENGAGEMENTS 2026'!N1437,IF($H1437="PREENGAGE",IF($E1437="ATTRIBUE",'ENGAGEMENTS 2026'!AD1437,'ENGAGEMENTS 2026'!N1437),'ENGAGEMENTS 2026'!AD1437))))</f>
        <v/>
      </c>
      <c r="K1437" s="604">
        <f>IF(ISBLANK('ENGAGEMENTS 2026'!V1437),"",'ENGAGEMENTS 2026'!V1437)</f>
        <v/>
      </c>
      <c r="L1437" s="276">
        <f>IF($K1437="","",TODAY()-$K1437)</f>
        <v/>
      </c>
      <c r="M1437">
        <f>IF($A1437="","",IF($H1437="ENGAGE","Engagé",IF(AND($H1437="NON ENGAGE",OR($I1437="INFRUCTUEUX",$I1437="ANNULE")),"Clôturé sans suite","En cours")))</f>
        <v/>
      </c>
      <c r="N1437">
        <f>IF(ISBLANK('ENGAGEMENTS 2026'!B1437),"",'ENGAGEMENTS 2026'!K1437)</f>
        <v/>
      </c>
      <c r="O1437">
        <f>IF(ISBLANK('ENGAGEMENTS 2026'!B1437),"",'ENGAGEMENTS 2026'!L1437)</f>
        <v/>
      </c>
      <c r="P1437">
        <f>IF(ISBLANK('ENGAGEMENTS 2026'!B1437),"",'ENGAGEMENTS 2026'!J1437)</f>
        <v/>
      </c>
      <c r="Q1437">
        <f>IF($A1437="","",IF(OR($E1437="INFRUCTUEUX",$E1437="ANNULE"),$A1437&amp;"|"&amp;(COUNTIFS($A$2:$A1437,$A1437,$E$2:$E1437,"INFRUCTUEUX")+COUNTIFS($A$2:$A1437,$A1437,$E$2:$E1437,"ANNULE")),""))</f>
        <v/>
      </c>
    </row>
    <row r="1438">
      <c r="A1438">
        <f>IF(ISBLANK('ENGAGEMENTS 2026'!B1438),"",IF('ENGAGEMENTS 2026'!B1438="DTSI","DCT",'ENGAGEMENTS 2026'!B1438))</f>
        <v/>
      </c>
      <c r="B1438">
        <f>IF(ISBLANK('ENGAGEMENTS 2026'!B1438),"",'ENGAGEMENTS 2026'!C1438)</f>
        <v/>
      </c>
      <c r="C1438">
        <f>IF(ISBLANK('ENGAGEMENTS 2026'!B1438),"",'ENGAGEMENTS 2026'!D1438)</f>
        <v/>
      </c>
      <c r="D1438">
        <f>IF(ISBLANK('ENGAGEMENTS 2026'!B1438),"",'ENGAGEMENTS 2026'!F1438)</f>
        <v/>
      </c>
      <c r="E1438">
        <f>IF(ISBLANK('ENGAGEMENTS 2026'!B1438),"",'ENGAGEMENTS 2026'!H1438)</f>
        <v/>
      </c>
      <c r="F1438">
        <f>IF(ISBLANK('ENGAGEMENTS 2026'!B1438),"",'ENGAGEMENTS 2026'!I1438)</f>
        <v/>
      </c>
      <c r="G1438">
        <f>IF(ISBLANK('ENGAGEMENTS 2026'!B1438),"",'ENGAGEMENTS 2026'!L1438)</f>
        <v/>
      </c>
      <c r="H1438">
        <f>IF(ISBLANK('ENGAGEMENTS 2026'!B1438),"",'ENGAGEMENTS 2026'!AE1438)</f>
        <v/>
      </c>
      <c r="I1438">
        <f>IF(ISBLANK('ENGAGEMENTS 2026'!B1438),"",'ENGAGEMENTS 2026'!G1438)</f>
        <v/>
      </c>
      <c r="J1438" s="275">
        <f>IF(ISBLANK('ENGAGEMENTS 2026'!B1438),"",IF(AND(OR($E1438="INFRUCTUEUX",$E1438="ANNULE"),$C1438="AOO-M"),'ENGAGEMENTS 2026'!O1438,IF($H1438="EN COURS DE PREENGAGEMENT",'ENGAGEMENTS 2026'!N1438,IF($H1438="PREENGAGE",IF($E1438="ATTRIBUE",'ENGAGEMENTS 2026'!AD1438,'ENGAGEMENTS 2026'!N1438),'ENGAGEMENTS 2026'!AD1438))))</f>
        <v/>
      </c>
      <c r="K1438" s="604">
        <f>IF(ISBLANK('ENGAGEMENTS 2026'!V1438),"",'ENGAGEMENTS 2026'!V1438)</f>
        <v/>
      </c>
      <c r="L1438" s="276">
        <f>IF($K1438="","",TODAY()-$K1438)</f>
        <v/>
      </c>
      <c r="M1438">
        <f>IF($A1438="","",IF($H1438="ENGAGE","Engagé",IF(AND($H1438="NON ENGAGE",OR($I1438="INFRUCTUEUX",$I1438="ANNULE")),"Clôturé sans suite","En cours")))</f>
        <v/>
      </c>
      <c r="N1438">
        <f>IF(ISBLANK('ENGAGEMENTS 2026'!B1438),"",'ENGAGEMENTS 2026'!K1438)</f>
        <v/>
      </c>
      <c r="O1438">
        <f>IF(ISBLANK('ENGAGEMENTS 2026'!B1438),"",'ENGAGEMENTS 2026'!L1438)</f>
        <v/>
      </c>
      <c r="P1438">
        <f>IF(ISBLANK('ENGAGEMENTS 2026'!B1438),"",'ENGAGEMENTS 2026'!J1438)</f>
        <v/>
      </c>
      <c r="Q1438">
        <f>IF($A1438="","",IF(OR($E1438="INFRUCTUEUX",$E1438="ANNULE"),$A1438&amp;"|"&amp;(COUNTIFS($A$2:$A1438,$A1438,$E$2:$E1438,"INFRUCTUEUX")+COUNTIFS($A$2:$A1438,$A1438,$E$2:$E1438,"ANNULE")),""))</f>
        <v/>
      </c>
    </row>
    <row r="1439">
      <c r="A1439">
        <f>IF(ISBLANK('ENGAGEMENTS 2026'!B1439),"",IF('ENGAGEMENTS 2026'!B1439="DTSI","DCT",'ENGAGEMENTS 2026'!B1439))</f>
        <v/>
      </c>
      <c r="B1439">
        <f>IF(ISBLANK('ENGAGEMENTS 2026'!B1439),"",'ENGAGEMENTS 2026'!C1439)</f>
        <v/>
      </c>
      <c r="C1439">
        <f>IF(ISBLANK('ENGAGEMENTS 2026'!B1439),"",'ENGAGEMENTS 2026'!D1439)</f>
        <v/>
      </c>
      <c r="D1439">
        <f>IF(ISBLANK('ENGAGEMENTS 2026'!B1439),"",'ENGAGEMENTS 2026'!F1439)</f>
        <v/>
      </c>
      <c r="E1439">
        <f>IF(ISBLANK('ENGAGEMENTS 2026'!B1439),"",'ENGAGEMENTS 2026'!H1439)</f>
        <v/>
      </c>
      <c r="F1439">
        <f>IF(ISBLANK('ENGAGEMENTS 2026'!B1439),"",'ENGAGEMENTS 2026'!I1439)</f>
        <v/>
      </c>
      <c r="G1439">
        <f>IF(ISBLANK('ENGAGEMENTS 2026'!B1439),"",'ENGAGEMENTS 2026'!L1439)</f>
        <v/>
      </c>
      <c r="H1439">
        <f>IF(ISBLANK('ENGAGEMENTS 2026'!B1439),"",'ENGAGEMENTS 2026'!AE1439)</f>
        <v/>
      </c>
      <c r="I1439">
        <f>IF(ISBLANK('ENGAGEMENTS 2026'!B1439),"",'ENGAGEMENTS 2026'!G1439)</f>
        <v/>
      </c>
      <c r="J1439" s="275">
        <f>IF(ISBLANK('ENGAGEMENTS 2026'!B1439),"",IF(AND(OR($E1439="INFRUCTUEUX",$E1439="ANNULE"),$C1439="AOO-M"),'ENGAGEMENTS 2026'!O1439,IF($H1439="EN COURS DE PREENGAGEMENT",'ENGAGEMENTS 2026'!N1439,IF($H1439="PREENGAGE",IF($E1439="ATTRIBUE",'ENGAGEMENTS 2026'!AD1439,'ENGAGEMENTS 2026'!N1439),'ENGAGEMENTS 2026'!AD1439))))</f>
        <v/>
      </c>
      <c r="K1439" s="604">
        <f>IF(ISBLANK('ENGAGEMENTS 2026'!V1439),"",'ENGAGEMENTS 2026'!V1439)</f>
        <v/>
      </c>
      <c r="L1439" s="276">
        <f>IF($K1439="","",TODAY()-$K1439)</f>
        <v/>
      </c>
      <c r="M1439">
        <f>IF($A1439="","",IF($H1439="ENGAGE","Engagé",IF(AND($H1439="NON ENGAGE",OR($I1439="INFRUCTUEUX",$I1439="ANNULE")),"Clôturé sans suite","En cours")))</f>
        <v/>
      </c>
      <c r="N1439">
        <f>IF(ISBLANK('ENGAGEMENTS 2026'!B1439),"",'ENGAGEMENTS 2026'!K1439)</f>
        <v/>
      </c>
      <c r="O1439">
        <f>IF(ISBLANK('ENGAGEMENTS 2026'!B1439),"",'ENGAGEMENTS 2026'!L1439)</f>
        <v/>
      </c>
      <c r="P1439">
        <f>IF(ISBLANK('ENGAGEMENTS 2026'!B1439),"",'ENGAGEMENTS 2026'!J1439)</f>
        <v/>
      </c>
      <c r="Q1439">
        <f>IF($A1439="","",IF(OR($E1439="INFRUCTUEUX",$E1439="ANNULE"),$A1439&amp;"|"&amp;(COUNTIFS($A$2:$A1439,$A1439,$E$2:$E1439,"INFRUCTUEUX")+COUNTIFS($A$2:$A1439,$A1439,$E$2:$E1439,"ANNULE")),""))</f>
        <v/>
      </c>
    </row>
    <row r="1440">
      <c r="A1440">
        <f>IF(ISBLANK('ENGAGEMENTS 2026'!B1440),"",IF('ENGAGEMENTS 2026'!B1440="DTSI","DCT",'ENGAGEMENTS 2026'!B1440))</f>
        <v/>
      </c>
      <c r="B1440">
        <f>IF(ISBLANK('ENGAGEMENTS 2026'!B1440),"",'ENGAGEMENTS 2026'!C1440)</f>
        <v/>
      </c>
      <c r="C1440">
        <f>IF(ISBLANK('ENGAGEMENTS 2026'!B1440),"",'ENGAGEMENTS 2026'!D1440)</f>
        <v/>
      </c>
      <c r="D1440">
        <f>IF(ISBLANK('ENGAGEMENTS 2026'!B1440),"",'ENGAGEMENTS 2026'!F1440)</f>
        <v/>
      </c>
      <c r="E1440">
        <f>IF(ISBLANK('ENGAGEMENTS 2026'!B1440),"",'ENGAGEMENTS 2026'!H1440)</f>
        <v/>
      </c>
      <c r="F1440">
        <f>IF(ISBLANK('ENGAGEMENTS 2026'!B1440),"",'ENGAGEMENTS 2026'!I1440)</f>
        <v/>
      </c>
      <c r="G1440">
        <f>IF(ISBLANK('ENGAGEMENTS 2026'!B1440),"",'ENGAGEMENTS 2026'!L1440)</f>
        <v/>
      </c>
      <c r="H1440">
        <f>IF(ISBLANK('ENGAGEMENTS 2026'!B1440),"",'ENGAGEMENTS 2026'!AE1440)</f>
        <v/>
      </c>
      <c r="I1440">
        <f>IF(ISBLANK('ENGAGEMENTS 2026'!B1440),"",'ENGAGEMENTS 2026'!G1440)</f>
        <v/>
      </c>
      <c r="J1440" s="275">
        <f>IF(ISBLANK('ENGAGEMENTS 2026'!B1440),"",IF(AND(OR($E1440="INFRUCTUEUX",$E1440="ANNULE"),$C1440="AOO-M"),'ENGAGEMENTS 2026'!O1440,IF($H1440="EN COURS DE PREENGAGEMENT",'ENGAGEMENTS 2026'!N1440,IF($H1440="PREENGAGE",IF($E1440="ATTRIBUE",'ENGAGEMENTS 2026'!AD1440,'ENGAGEMENTS 2026'!N1440),'ENGAGEMENTS 2026'!AD1440))))</f>
        <v/>
      </c>
      <c r="K1440" s="604">
        <f>IF(ISBLANK('ENGAGEMENTS 2026'!V1440),"",'ENGAGEMENTS 2026'!V1440)</f>
        <v/>
      </c>
      <c r="L1440" s="276">
        <f>IF($K1440="","",TODAY()-$K1440)</f>
        <v/>
      </c>
      <c r="M1440">
        <f>IF($A1440="","",IF($H1440="ENGAGE","Engagé",IF(AND($H1440="NON ENGAGE",OR($I1440="INFRUCTUEUX",$I1440="ANNULE")),"Clôturé sans suite","En cours")))</f>
        <v/>
      </c>
      <c r="N1440">
        <f>IF(ISBLANK('ENGAGEMENTS 2026'!B1440),"",'ENGAGEMENTS 2026'!K1440)</f>
        <v/>
      </c>
      <c r="O1440">
        <f>IF(ISBLANK('ENGAGEMENTS 2026'!B1440),"",'ENGAGEMENTS 2026'!L1440)</f>
        <v/>
      </c>
      <c r="P1440">
        <f>IF(ISBLANK('ENGAGEMENTS 2026'!B1440),"",'ENGAGEMENTS 2026'!J1440)</f>
        <v/>
      </c>
      <c r="Q1440">
        <f>IF($A1440="","",IF(OR($E1440="INFRUCTUEUX",$E1440="ANNULE"),$A1440&amp;"|"&amp;(COUNTIFS($A$2:$A1440,$A1440,$E$2:$E1440,"INFRUCTUEUX")+COUNTIFS($A$2:$A1440,$A1440,$E$2:$E1440,"ANNULE")),""))</f>
        <v/>
      </c>
    </row>
    <row r="1441">
      <c r="A1441">
        <f>IF(ISBLANK('ENGAGEMENTS 2026'!B1441),"",IF('ENGAGEMENTS 2026'!B1441="DTSI","DCT",'ENGAGEMENTS 2026'!B1441))</f>
        <v/>
      </c>
      <c r="B1441">
        <f>IF(ISBLANK('ENGAGEMENTS 2026'!B1441),"",'ENGAGEMENTS 2026'!C1441)</f>
        <v/>
      </c>
      <c r="C1441">
        <f>IF(ISBLANK('ENGAGEMENTS 2026'!B1441),"",'ENGAGEMENTS 2026'!D1441)</f>
        <v/>
      </c>
      <c r="D1441">
        <f>IF(ISBLANK('ENGAGEMENTS 2026'!B1441),"",'ENGAGEMENTS 2026'!F1441)</f>
        <v/>
      </c>
      <c r="E1441">
        <f>IF(ISBLANK('ENGAGEMENTS 2026'!B1441),"",'ENGAGEMENTS 2026'!H1441)</f>
        <v/>
      </c>
      <c r="F1441">
        <f>IF(ISBLANK('ENGAGEMENTS 2026'!B1441),"",'ENGAGEMENTS 2026'!I1441)</f>
        <v/>
      </c>
      <c r="G1441">
        <f>IF(ISBLANK('ENGAGEMENTS 2026'!B1441),"",'ENGAGEMENTS 2026'!L1441)</f>
        <v/>
      </c>
      <c r="H1441">
        <f>IF(ISBLANK('ENGAGEMENTS 2026'!B1441),"",'ENGAGEMENTS 2026'!AE1441)</f>
        <v/>
      </c>
      <c r="I1441">
        <f>IF(ISBLANK('ENGAGEMENTS 2026'!B1441),"",'ENGAGEMENTS 2026'!G1441)</f>
        <v/>
      </c>
      <c r="J1441" s="275">
        <f>IF(ISBLANK('ENGAGEMENTS 2026'!B1441),"",IF(AND(OR($E1441="INFRUCTUEUX",$E1441="ANNULE"),$C1441="AOO-M"),'ENGAGEMENTS 2026'!O1441,IF($H1441="EN COURS DE PREENGAGEMENT",'ENGAGEMENTS 2026'!N1441,IF($H1441="PREENGAGE",IF($E1441="ATTRIBUE",'ENGAGEMENTS 2026'!AD1441,'ENGAGEMENTS 2026'!N1441),'ENGAGEMENTS 2026'!AD1441))))</f>
        <v/>
      </c>
      <c r="K1441" s="604">
        <f>IF(ISBLANK('ENGAGEMENTS 2026'!V1441),"",'ENGAGEMENTS 2026'!V1441)</f>
        <v/>
      </c>
      <c r="L1441" s="276">
        <f>IF($K1441="","",TODAY()-$K1441)</f>
        <v/>
      </c>
      <c r="M1441">
        <f>IF($A1441="","",IF($H1441="ENGAGE","Engagé",IF(AND($H1441="NON ENGAGE",OR($I1441="INFRUCTUEUX",$I1441="ANNULE")),"Clôturé sans suite","En cours")))</f>
        <v/>
      </c>
      <c r="N1441">
        <f>IF(ISBLANK('ENGAGEMENTS 2026'!B1441),"",'ENGAGEMENTS 2026'!K1441)</f>
        <v/>
      </c>
      <c r="O1441">
        <f>IF(ISBLANK('ENGAGEMENTS 2026'!B1441),"",'ENGAGEMENTS 2026'!L1441)</f>
        <v/>
      </c>
      <c r="P1441">
        <f>IF(ISBLANK('ENGAGEMENTS 2026'!B1441),"",'ENGAGEMENTS 2026'!J1441)</f>
        <v/>
      </c>
      <c r="Q1441">
        <f>IF($A1441="","",IF(OR($E1441="INFRUCTUEUX",$E1441="ANNULE"),$A1441&amp;"|"&amp;(COUNTIFS($A$2:$A1441,$A1441,$E$2:$E1441,"INFRUCTUEUX")+COUNTIFS($A$2:$A1441,$A1441,$E$2:$E1441,"ANNULE")),""))</f>
        <v/>
      </c>
    </row>
    <row r="1442">
      <c r="A1442">
        <f>IF(ISBLANK('ENGAGEMENTS 2026'!B1442),"",IF('ENGAGEMENTS 2026'!B1442="DTSI","DCT",'ENGAGEMENTS 2026'!B1442))</f>
        <v/>
      </c>
      <c r="B1442">
        <f>IF(ISBLANK('ENGAGEMENTS 2026'!B1442),"",'ENGAGEMENTS 2026'!C1442)</f>
        <v/>
      </c>
      <c r="C1442">
        <f>IF(ISBLANK('ENGAGEMENTS 2026'!B1442),"",'ENGAGEMENTS 2026'!D1442)</f>
        <v/>
      </c>
      <c r="D1442">
        <f>IF(ISBLANK('ENGAGEMENTS 2026'!B1442),"",'ENGAGEMENTS 2026'!F1442)</f>
        <v/>
      </c>
      <c r="E1442">
        <f>IF(ISBLANK('ENGAGEMENTS 2026'!B1442),"",'ENGAGEMENTS 2026'!H1442)</f>
        <v/>
      </c>
      <c r="F1442">
        <f>IF(ISBLANK('ENGAGEMENTS 2026'!B1442),"",'ENGAGEMENTS 2026'!I1442)</f>
        <v/>
      </c>
      <c r="G1442">
        <f>IF(ISBLANK('ENGAGEMENTS 2026'!B1442),"",'ENGAGEMENTS 2026'!L1442)</f>
        <v/>
      </c>
      <c r="H1442">
        <f>IF(ISBLANK('ENGAGEMENTS 2026'!B1442),"",'ENGAGEMENTS 2026'!AE1442)</f>
        <v/>
      </c>
      <c r="I1442">
        <f>IF(ISBLANK('ENGAGEMENTS 2026'!B1442),"",'ENGAGEMENTS 2026'!G1442)</f>
        <v/>
      </c>
      <c r="J1442" s="275">
        <f>IF(ISBLANK('ENGAGEMENTS 2026'!B1442),"",IF(AND(OR($E1442="INFRUCTUEUX",$E1442="ANNULE"),$C1442="AOO-M"),'ENGAGEMENTS 2026'!O1442,IF($H1442="EN COURS DE PREENGAGEMENT",'ENGAGEMENTS 2026'!N1442,IF($H1442="PREENGAGE",IF($E1442="ATTRIBUE",'ENGAGEMENTS 2026'!AD1442,'ENGAGEMENTS 2026'!N1442),'ENGAGEMENTS 2026'!AD1442))))</f>
        <v/>
      </c>
      <c r="K1442" s="604">
        <f>IF(ISBLANK('ENGAGEMENTS 2026'!V1442),"",'ENGAGEMENTS 2026'!V1442)</f>
        <v/>
      </c>
      <c r="L1442" s="276">
        <f>IF($K1442="","",TODAY()-$K1442)</f>
        <v/>
      </c>
      <c r="M1442">
        <f>IF($A1442="","",IF($H1442="ENGAGE","Engagé",IF(AND($H1442="NON ENGAGE",OR($I1442="INFRUCTUEUX",$I1442="ANNULE")),"Clôturé sans suite","En cours")))</f>
        <v/>
      </c>
      <c r="N1442">
        <f>IF(ISBLANK('ENGAGEMENTS 2026'!B1442),"",'ENGAGEMENTS 2026'!K1442)</f>
        <v/>
      </c>
      <c r="O1442">
        <f>IF(ISBLANK('ENGAGEMENTS 2026'!B1442),"",'ENGAGEMENTS 2026'!L1442)</f>
        <v/>
      </c>
      <c r="P1442">
        <f>IF(ISBLANK('ENGAGEMENTS 2026'!B1442),"",'ENGAGEMENTS 2026'!J1442)</f>
        <v/>
      </c>
      <c r="Q1442">
        <f>IF($A1442="","",IF(OR($E1442="INFRUCTUEUX",$E1442="ANNULE"),$A1442&amp;"|"&amp;(COUNTIFS($A$2:$A1442,$A1442,$E$2:$E1442,"INFRUCTUEUX")+COUNTIFS($A$2:$A1442,$A1442,$E$2:$E1442,"ANNULE")),""))</f>
        <v/>
      </c>
    </row>
    <row r="1443">
      <c r="A1443">
        <f>IF(ISBLANK('ENGAGEMENTS 2026'!B1443),"",IF('ENGAGEMENTS 2026'!B1443="DTSI","DCT",'ENGAGEMENTS 2026'!B1443))</f>
        <v/>
      </c>
      <c r="B1443">
        <f>IF(ISBLANK('ENGAGEMENTS 2026'!B1443),"",'ENGAGEMENTS 2026'!C1443)</f>
        <v/>
      </c>
      <c r="C1443">
        <f>IF(ISBLANK('ENGAGEMENTS 2026'!B1443),"",'ENGAGEMENTS 2026'!D1443)</f>
        <v/>
      </c>
      <c r="D1443">
        <f>IF(ISBLANK('ENGAGEMENTS 2026'!B1443),"",'ENGAGEMENTS 2026'!F1443)</f>
        <v/>
      </c>
      <c r="E1443">
        <f>IF(ISBLANK('ENGAGEMENTS 2026'!B1443),"",'ENGAGEMENTS 2026'!H1443)</f>
        <v/>
      </c>
      <c r="F1443">
        <f>IF(ISBLANK('ENGAGEMENTS 2026'!B1443),"",'ENGAGEMENTS 2026'!I1443)</f>
        <v/>
      </c>
      <c r="G1443">
        <f>IF(ISBLANK('ENGAGEMENTS 2026'!B1443),"",'ENGAGEMENTS 2026'!L1443)</f>
        <v/>
      </c>
      <c r="H1443">
        <f>IF(ISBLANK('ENGAGEMENTS 2026'!B1443),"",'ENGAGEMENTS 2026'!AE1443)</f>
        <v/>
      </c>
      <c r="I1443">
        <f>IF(ISBLANK('ENGAGEMENTS 2026'!B1443),"",'ENGAGEMENTS 2026'!G1443)</f>
        <v/>
      </c>
      <c r="J1443" s="275">
        <f>IF(ISBLANK('ENGAGEMENTS 2026'!B1443),"",IF(AND(OR($E1443="INFRUCTUEUX",$E1443="ANNULE"),$C1443="AOO-M"),'ENGAGEMENTS 2026'!O1443,IF($H1443="EN COURS DE PREENGAGEMENT",'ENGAGEMENTS 2026'!N1443,IF($H1443="PREENGAGE",IF($E1443="ATTRIBUE",'ENGAGEMENTS 2026'!AD1443,'ENGAGEMENTS 2026'!N1443),'ENGAGEMENTS 2026'!AD1443))))</f>
        <v/>
      </c>
      <c r="K1443" s="604">
        <f>IF(ISBLANK('ENGAGEMENTS 2026'!V1443),"",'ENGAGEMENTS 2026'!V1443)</f>
        <v/>
      </c>
      <c r="L1443" s="276">
        <f>IF($K1443="","",TODAY()-$K1443)</f>
        <v/>
      </c>
      <c r="M1443">
        <f>IF($A1443="","",IF($H1443="ENGAGE","Engagé",IF(AND($H1443="NON ENGAGE",OR($I1443="INFRUCTUEUX",$I1443="ANNULE")),"Clôturé sans suite","En cours")))</f>
        <v/>
      </c>
      <c r="N1443">
        <f>IF(ISBLANK('ENGAGEMENTS 2026'!B1443),"",'ENGAGEMENTS 2026'!K1443)</f>
        <v/>
      </c>
      <c r="O1443">
        <f>IF(ISBLANK('ENGAGEMENTS 2026'!B1443),"",'ENGAGEMENTS 2026'!L1443)</f>
        <v/>
      </c>
      <c r="P1443">
        <f>IF(ISBLANK('ENGAGEMENTS 2026'!B1443),"",'ENGAGEMENTS 2026'!J1443)</f>
        <v/>
      </c>
      <c r="Q1443">
        <f>IF($A1443="","",IF(OR($E1443="INFRUCTUEUX",$E1443="ANNULE"),$A1443&amp;"|"&amp;(COUNTIFS($A$2:$A1443,$A1443,$E$2:$E1443,"INFRUCTUEUX")+COUNTIFS($A$2:$A1443,$A1443,$E$2:$E1443,"ANNULE")),""))</f>
        <v/>
      </c>
    </row>
    <row r="1444">
      <c r="A1444">
        <f>IF(ISBLANK('ENGAGEMENTS 2026'!B1444),"",IF('ENGAGEMENTS 2026'!B1444="DTSI","DCT",'ENGAGEMENTS 2026'!B1444))</f>
        <v/>
      </c>
      <c r="B1444">
        <f>IF(ISBLANK('ENGAGEMENTS 2026'!B1444),"",'ENGAGEMENTS 2026'!C1444)</f>
        <v/>
      </c>
      <c r="C1444">
        <f>IF(ISBLANK('ENGAGEMENTS 2026'!B1444),"",'ENGAGEMENTS 2026'!D1444)</f>
        <v/>
      </c>
      <c r="D1444">
        <f>IF(ISBLANK('ENGAGEMENTS 2026'!B1444),"",'ENGAGEMENTS 2026'!F1444)</f>
        <v/>
      </c>
      <c r="E1444">
        <f>IF(ISBLANK('ENGAGEMENTS 2026'!B1444),"",'ENGAGEMENTS 2026'!H1444)</f>
        <v/>
      </c>
      <c r="F1444">
        <f>IF(ISBLANK('ENGAGEMENTS 2026'!B1444),"",'ENGAGEMENTS 2026'!I1444)</f>
        <v/>
      </c>
      <c r="G1444">
        <f>IF(ISBLANK('ENGAGEMENTS 2026'!B1444),"",'ENGAGEMENTS 2026'!L1444)</f>
        <v/>
      </c>
      <c r="H1444">
        <f>IF(ISBLANK('ENGAGEMENTS 2026'!B1444),"",'ENGAGEMENTS 2026'!AE1444)</f>
        <v/>
      </c>
      <c r="I1444">
        <f>IF(ISBLANK('ENGAGEMENTS 2026'!B1444),"",'ENGAGEMENTS 2026'!G1444)</f>
        <v/>
      </c>
      <c r="J1444" s="275">
        <f>IF(ISBLANK('ENGAGEMENTS 2026'!B1444),"",IF(AND(OR($E1444="INFRUCTUEUX",$E1444="ANNULE"),$C1444="AOO-M"),'ENGAGEMENTS 2026'!O1444,IF($H1444="EN COURS DE PREENGAGEMENT",'ENGAGEMENTS 2026'!N1444,IF($H1444="PREENGAGE",IF($E1444="ATTRIBUE",'ENGAGEMENTS 2026'!AD1444,'ENGAGEMENTS 2026'!N1444),'ENGAGEMENTS 2026'!AD1444))))</f>
        <v/>
      </c>
      <c r="K1444" s="604">
        <f>IF(ISBLANK('ENGAGEMENTS 2026'!V1444),"",'ENGAGEMENTS 2026'!V1444)</f>
        <v/>
      </c>
      <c r="L1444" s="276">
        <f>IF($K1444="","",TODAY()-$K1444)</f>
        <v/>
      </c>
      <c r="M1444">
        <f>IF($A1444="","",IF($H1444="ENGAGE","Engagé",IF(AND($H1444="NON ENGAGE",OR($I1444="INFRUCTUEUX",$I1444="ANNULE")),"Clôturé sans suite","En cours")))</f>
        <v/>
      </c>
      <c r="N1444">
        <f>IF(ISBLANK('ENGAGEMENTS 2026'!B1444),"",'ENGAGEMENTS 2026'!K1444)</f>
        <v/>
      </c>
      <c r="O1444">
        <f>IF(ISBLANK('ENGAGEMENTS 2026'!B1444),"",'ENGAGEMENTS 2026'!L1444)</f>
        <v/>
      </c>
      <c r="P1444">
        <f>IF(ISBLANK('ENGAGEMENTS 2026'!B1444),"",'ENGAGEMENTS 2026'!J1444)</f>
        <v/>
      </c>
      <c r="Q1444">
        <f>IF($A1444="","",IF(OR($E1444="INFRUCTUEUX",$E1444="ANNULE"),$A1444&amp;"|"&amp;(COUNTIFS($A$2:$A1444,$A1444,$E$2:$E1444,"INFRUCTUEUX")+COUNTIFS($A$2:$A1444,$A1444,$E$2:$E1444,"ANNULE")),""))</f>
        <v/>
      </c>
    </row>
    <row r="1445">
      <c r="A1445">
        <f>IF(ISBLANK('ENGAGEMENTS 2026'!B1445),"",IF('ENGAGEMENTS 2026'!B1445="DTSI","DCT",'ENGAGEMENTS 2026'!B1445))</f>
        <v/>
      </c>
      <c r="B1445">
        <f>IF(ISBLANK('ENGAGEMENTS 2026'!B1445),"",'ENGAGEMENTS 2026'!C1445)</f>
        <v/>
      </c>
      <c r="C1445">
        <f>IF(ISBLANK('ENGAGEMENTS 2026'!B1445),"",'ENGAGEMENTS 2026'!D1445)</f>
        <v/>
      </c>
      <c r="D1445">
        <f>IF(ISBLANK('ENGAGEMENTS 2026'!B1445),"",'ENGAGEMENTS 2026'!F1445)</f>
        <v/>
      </c>
      <c r="E1445">
        <f>IF(ISBLANK('ENGAGEMENTS 2026'!B1445),"",'ENGAGEMENTS 2026'!H1445)</f>
        <v/>
      </c>
      <c r="F1445">
        <f>IF(ISBLANK('ENGAGEMENTS 2026'!B1445),"",'ENGAGEMENTS 2026'!I1445)</f>
        <v/>
      </c>
      <c r="G1445">
        <f>IF(ISBLANK('ENGAGEMENTS 2026'!B1445),"",'ENGAGEMENTS 2026'!L1445)</f>
        <v/>
      </c>
      <c r="H1445">
        <f>IF(ISBLANK('ENGAGEMENTS 2026'!B1445),"",'ENGAGEMENTS 2026'!AE1445)</f>
        <v/>
      </c>
      <c r="I1445">
        <f>IF(ISBLANK('ENGAGEMENTS 2026'!B1445),"",'ENGAGEMENTS 2026'!G1445)</f>
        <v/>
      </c>
      <c r="J1445" s="275">
        <f>IF(ISBLANK('ENGAGEMENTS 2026'!B1445),"",IF(AND(OR($E1445="INFRUCTUEUX",$E1445="ANNULE"),$C1445="AOO-M"),'ENGAGEMENTS 2026'!O1445,IF($H1445="EN COURS DE PREENGAGEMENT",'ENGAGEMENTS 2026'!N1445,IF($H1445="PREENGAGE",IF($E1445="ATTRIBUE",'ENGAGEMENTS 2026'!AD1445,'ENGAGEMENTS 2026'!N1445),'ENGAGEMENTS 2026'!AD1445))))</f>
        <v/>
      </c>
      <c r="K1445" s="604">
        <f>IF(ISBLANK('ENGAGEMENTS 2026'!V1445),"",'ENGAGEMENTS 2026'!V1445)</f>
        <v/>
      </c>
      <c r="L1445" s="276">
        <f>IF($K1445="","",TODAY()-$K1445)</f>
        <v/>
      </c>
      <c r="M1445">
        <f>IF($A1445="","",IF($H1445="ENGAGE","Engagé",IF(AND($H1445="NON ENGAGE",OR($I1445="INFRUCTUEUX",$I1445="ANNULE")),"Clôturé sans suite","En cours")))</f>
        <v/>
      </c>
      <c r="N1445">
        <f>IF(ISBLANK('ENGAGEMENTS 2026'!B1445),"",'ENGAGEMENTS 2026'!K1445)</f>
        <v/>
      </c>
      <c r="O1445">
        <f>IF(ISBLANK('ENGAGEMENTS 2026'!B1445),"",'ENGAGEMENTS 2026'!L1445)</f>
        <v/>
      </c>
      <c r="P1445">
        <f>IF(ISBLANK('ENGAGEMENTS 2026'!B1445),"",'ENGAGEMENTS 2026'!J1445)</f>
        <v/>
      </c>
      <c r="Q1445">
        <f>IF($A1445="","",IF(OR($E1445="INFRUCTUEUX",$E1445="ANNULE"),$A1445&amp;"|"&amp;(COUNTIFS($A$2:$A1445,$A1445,$E$2:$E1445,"INFRUCTUEUX")+COUNTIFS($A$2:$A1445,$A1445,$E$2:$E1445,"ANNULE")),""))</f>
        <v/>
      </c>
    </row>
    <row r="1446">
      <c r="A1446">
        <f>IF(ISBLANK('ENGAGEMENTS 2026'!B1446),"",IF('ENGAGEMENTS 2026'!B1446="DTSI","DCT",'ENGAGEMENTS 2026'!B1446))</f>
        <v/>
      </c>
      <c r="B1446">
        <f>IF(ISBLANK('ENGAGEMENTS 2026'!B1446),"",'ENGAGEMENTS 2026'!C1446)</f>
        <v/>
      </c>
      <c r="C1446">
        <f>IF(ISBLANK('ENGAGEMENTS 2026'!B1446),"",'ENGAGEMENTS 2026'!D1446)</f>
        <v/>
      </c>
      <c r="D1446">
        <f>IF(ISBLANK('ENGAGEMENTS 2026'!B1446),"",'ENGAGEMENTS 2026'!F1446)</f>
        <v/>
      </c>
      <c r="E1446">
        <f>IF(ISBLANK('ENGAGEMENTS 2026'!B1446),"",'ENGAGEMENTS 2026'!H1446)</f>
        <v/>
      </c>
      <c r="F1446">
        <f>IF(ISBLANK('ENGAGEMENTS 2026'!B1446),"",'ENGAGEMENTS 2026'!I1446)</f>
        <v/>
      </c>
      <c r="G1446">
        <f>IF(ISBLANK('ENGAGEMENTS 2026'!B1446),"",'ENGAGEMENTS 2026'!L1446)</f>
        <v/>
      </c>
      <c r="H1446">
        <f>IF(ISBLANK('ENGAGEMENTS 2026'!B1446),"",'ENGAGEMENTS 2026'!AE1446)</f>
        <v/>
      </c>
      <c r="I1446">
        <f>IF(ISBLANK('ENGAGEMENTS 2026'!B1446),"",'ENGAGEMENTS 2026'!G1446)</f>
        <v/>
      </c>
      <c r="J1446" s="275">
        <f>IF(ISBLANK('ENGAGEMENTS 2026'!B1446),"",IF(AND(OR($E1446="INFRUCTUEUX",$E1446="ANNULE"),$C1446="AOO-M"),'ENGAGEMENTS 2026'!O1446,IF($H1446="EN COURS DE PREENGAGEMENT",'ENGAGEMENTS 2026'!N1446,IF($H1446="PREENGAGE",IF($E1446="ATTRIBUE",'ENGAGEMENTS 2026'!AD1446,'ENGAGEMENTS 2026'!N1446),'ENGAGEMENTS 2026'!AD1446))))</f>
        <v/>
      </c>
      <c r="K1446" s="604">
        <f>IF(ISBLANK('ENGAGEMENTS 2026'!V1446),"",'ENGAGEMENTS 2026'!V1446)</f>
        <v/>
      </c>
      <c r="L1446" s="276">
        <f>IF($K1446="","",TODAY()-$K1446)</f>
        <v/>
      </c>
      <c r="M1446">
        <f>IF($A1446="","",IF($H1446="ENGAGE","Engagé",IF(AND($H1446="NON ENGAGE",OR($I1446="INFRUCTUEUX",$I1446="ANNULE")),"Clôturé sans suite","En cours")))</f>
        <v/>
      </c>
      <c r="N1446">
        <f>IF(ISBLANK('ENGAGEMENTS 2026'!B1446),"",'ENGAGEMENTS 2026'!K1446)</f>
        <v/>
      </c>
      <c r="O1446">
        <f>IF(ISBLANK('ENGAGEMENTS 2026'!B1446),"",'ENGAGEMENTS 2026'!L1446)</f>
        <v/>
      </c>
      <c r="P1446">
        <f>IF(ISBLANK('ENGAGEMENTS 2026'!B1446),"",'ENGAGEMENTS 2026'!J1446)</f>
        <v/>
      </c>
      <c r="Q1446">
        <f>IF($A1446="","",IF(OR($E1446="INFRUCTUEUX",$E1446="ANNULE"),$A1446&amp;"|"&amp;(COUNTIFS($A$2:$A1446,$A1446,$E$2:$E1446,"INFRUCTUEUX")+COUNTIFS($A$2:$A1446,$A1446,$E$2:$E1446,"ANNULE")),""))</f>
        <v/>
      </c>
    </row>
    <row r="1447">
      <c r="A1447">
        <f>IF(ISBLANK('ENGAGEMENTS 2026'!B1447),"",IF('ENGAGEMENTS 2026'!B1447="DTSI","DCT",'ENGAGEMENTS 2026'!B1447))</f>
        <v/>
      </c>
      <c r="B1447">
        <f>IF(ISBLANK('ENGAGEMENTS 2026'!B1447),"",'ENGAGEMENTS 2026'!C1447)</f>
        <v/>
      </c>
      <c r="C1447">
        <f>IF(ISBLANK('ENGAGEMENTS 2026'!B1447),"",'ENGAGEMENTS 2026'!D1447)</f>
        <v/>
      </c>
      <c r="D1447">
        <f>IF(ISBLANK('ENGAGEMENTS 2026'!B1447),"",'ENGAGEMENTS 2026'!F1447)</f>
        <v/>
      </c>
      <c r="E1447">
        <f>IF(ISBLANK('ENGAGEMENTS 2026'!B1447),"",'ENGAGEMENTS 2026'!H1447)</f>
        <v/>
      </c>
      <c r="F1447">
        <f>IF(ISBLANK('ENGAGEMENTS 2026'!B1447),"",'ENGAGEMENTS 2026'!I1447)</f>
        <v/>
      </c>
      <c r="G1447">
        <f>IF(ISBLANK('ENGAGEMENTS 2026'!B1447),"",'ENGAGEMENTS 2026'!L1447)</f>
        <v/>
      </c>
      <c r="H1447">
        <f>IF(ISBLANK('ENGAGEMENTS 2026'!B1447),"",'ENGAGEMENTS 2026'!AE1447)</f>
        <v/>
      </c>
      <c r="I1447">
        <f>IF(ISBLANK('ENGAGEMENTS 2026'!B1447),"",'ENGAGEMENTS 2026'!G1447)</f>
        <v/>
      </c>
      <c r="J1447" s="275">
        <f>IF(ISBLANK('ENGAGEMENTS 2026'!B1447),"",IF(AND(OR($E1447="INFRUCTUEUX",$E1447="ANNULE"),$C1447="AOO-M"),'ENGAGEMENTS 2026'!O1447,IF($H1447="EN COURS DE PREENGAGEMENT",'ENGAGEMENTS 2026'!N1447,IF($H1447="PREENGAGE",IF($E1447="ATTRIBUE",'ENGAGEMENTS 2026'!AD1447,'ENGAGEMENTS 2026'!N1447),'ENGAGEMENTS 2026'!AD1447))))</f>
        <v/>
      </c>
      <c r="K1447" s="604">
        <f>IF(ISBLANK('ENGAGEMENTS 2026'!V1447),"",'ENGAGEMENTS 2026'!V1447)</f>
        <v/>
      </c>
      <c r="L1447" s="276">
        <f>IF($K1447="","",TODAY()-$K1447)</f>
        <v/>
      </c>
      <c r="M1447">
        <f>IF($A1447="","",IF($H1447="ENGAGE","Engagé",IF(AND($H1447="NON ENGAGE",OR($I1447="INFRUCTUEUX",$I1447="ANNULE")),"Clôturé sans suite","En cours")))</f>
        <v/>
      </c>
      <c r="N1447">
        <f>IF(ISBLANK('ENGAGEMENTS 2026'!B1447),"",'ENGAGEMENTS 2026'!K1447)</f>
        <v/>
      </c>
      <c r="O1447">
        <f>IF(ISBLANK('ENGAGEMENTS 2026'!B1447),"",'ENGAGEMENTS 2026'!L1447)</f>
        <v/>
      </c>
      <c r="P1447">
        <f>IF(ISBLANK('ENGAGEMENTS 2026'!B1447),"",'ENGAGEMENTS 2026'!J1447)</f>
        <v/>
      </c>
      <c r="Q1447">
        <f>IF($A1447="","",IF(OR($E1447="INFRUCTUEUX",$E1447="ANNULE"),$A1447&amp;"|"&amp;(COUNTIFS($A$2:$A1447,$A1447,$E$2:$E1447,"INFRUCTUEUX")+COUNTIFS($A$2:$A1447,$A1447,$E$2:$E1447,"ANNULE")),""))</f>
        <v/>
      </c>
    </row>
    <row r="1448">
      <c r="A1448">
        <f>IF(ISBLANK('ENGAGEMENTS 2026'!B1448),"",IF('ENGAGEMENTS 2026'!B1448="DTSI","DCT",'ENGAGEMENTS 2026'!B1448))</f>
        <v/>
      </c>
      <c r="B1448">
        <f>IF(ISBLANK('ENGAGEMENTS 2026'!B1448),"",'ENGAGEMENTS 2026'!C1448)</f>
        <v/>
      </c>
      <c r="C1448">
        <f>IF(ISBLANK('ENGAGEMENTS 2026'!B1448),"",'ENGAGEMENTS 2026'!D1448)</f>
        <v/>
      </c>
      <c r="D1448">
        <f>IF(ISBLANK('ENGAGEMENTS 2026'!B1448),"",'ENGAGEMENTS 2026'!F1448)</f>
        <v/>
      </c>
      <c r="E1448">
        <f>IF(ISBLANK('ENGAGEMENTS 2026'!B1448),"",'ENGAGEMENTS 2026'!H1448)</f>
        <v/>
      </c>
      <c r="F1448">
        <f>IF(ISBLANK('ENGAGEMENTS 2026'!B1448),"",'ENGAGEMENTS 2026'!I1448)</f>
        <v/>
      </c>
      <c r="G1448">
        <f>IF(ISBLANK('ENGAGEMENTS 2026'!B1448),"",'ENGAGEMENTS 2026'!L1448)</f>
        <v/>
      </c>
      <c r="H1448">
        <f>IF(ISBLANK('ENGAGEMENTS 2026'!B1448),"",'ENGAGEMENTS 2026'!AE1448)</f>
        <v/>
      </c>
      <c r="I1448">
        <f>IF(ISBLANK('ENGAGEMENTS 2026'!B1448),"",'ENGAGEMENTS 2026'!G1448)</f>
        <v/>
      </c>
      <c r="J1448" s="275">
        <f>IF(ISBLANK('ENGAGEMENTS 2026'!B1448),"",IF(AND(OR($E1448="INFRUCTUEUX",$E1448="ANNULE"),$C1448="AOO-M"),'ENGAGEMENTS 2026'!O1448,IF($H1448="EN COURS DE PREENGAGEMENT",'ENGAGEMENTS 2026'!N1448,IF($H1448="PREENGAGE",IF($E1448="ATTRIBUE",'ENGAGEMENTS 2026'!AD1448,'ENGAGEMENTS 2026'!N1448),'ENGAGEMENTS 2026'!AD1448))))</f>
        <v/>
      </c>
      <c r="K1448" s="604">
        <f>IF(ISBLANK('ENGAGEMENTS 2026'!V1448),"",'ENGAGEMENTS 2026'!V1448)</f>
        <v/>
      </c>
      <c r="L1448" s="276">
        <f>IF($K1448="","",TODAY()-$K1448)</f>
        <v/>
      </c>
      <c r="M1448">
        <f>IF($A1448="","",IF($H1448="ENGAGE","Engagé",IF(AND($H1448="NON ENGAGE",OR($I1448="INFRUCTUEUX",$I1448="ANNULE")),"Clôturé sans suite","En cours")))</f>
        <v/>
      </c>
      <c r="N1448">
        <f>IF(ISBLANK('ENGAGEMENTS 2026'!B1448),"",'ENGAGEMENTS 2026'!K1448)</f>
        <v/>
      </c>
      <c r="O1448">
        <f>IF(ISBLANK('ENGAGEMENTS 2026'!B1448),"",'ENGAGEMENTS 2026'!L1448)</f>
        <v/>
      </c>
      <c r="P1448">
        <f>IF(ISBLANK('ENGAGEMENTS 2026'!B1448),"",'ENGAGEMENTS 2026'!J1448)</f>
        <v/>
      </c>
      <c r="Q1448">
        <f>IF($A1448="","",IF(OR($E1448="INFRUCTUEUX",$E1448="ANNULE"),$A1448&amp;"|"&amp;(COUNTIFS($A$2:$A1448,$A1448,$E$2:$E1448,"INFRUCTUEUX")+COUNTIFS($A$2:$A1448,$A1448,$E$2:$E1448,"ANNULE")),""))</f>
        <v/>
      </c>
    </row>
    <row r="1449">
      <c r="A1449">
        <f>IF(ISBLANK('ENGAGEMENTS 2026'!B1449),"",IF('ENGAGEMENTS 2026'!B1449="DTSI","DCT",'ENGAGEMENTS 2026'!B1449))</f>
        <v/>
      </c>
      <c r="B1449">
        <f>IF(ISBLANK('ENGAGEMENTS 2026'!B1449),"",'ENGAGEMENTS 2026'!C1449)</f>
        <v/>
      </c>
      <c r="C1449">
        <f>IF(ISBLANK('ENGAGEMENTS 2026'!B1449),"",'ENGAGEMENTS 2026'!D1449)</f>
        <v/>
      </c>
      <c r="D1449">
        <f>IF(ISBLANK('ENGAGEMENTS 2026'!B1449),"",'ENGAGEMENTS 2026'!F1449)</f>
        <v/>
      </c>
      <c r="E1449">
        <f>IF(ISBLANK('ENGAGEMENTS 2026'!B1449),"",'ENGAGEMENTS 2026'!H1449)</f>
        <v/>
      </c>
      <c r="F1449">
        <f>IF(ISBLANK('ENGAGEMENTS 2026'!B1449),"",'ENGAGEMENTS 2026'!I1449)</f>
        <v/>
      </c>
      <c r="G1449">
        <f>IF(ISBLANK('ENGAGEMENTS 2026'!B1449),"",'ENGAGEMENTS 2026'!L1449)</f>
        <v/>
      </c>
      <c r="H1449">
        <f>IF(ISBLANK('ENGAGEMENTS 2026'!B1449),"",'ENGAGEMENTS 2026'!AE1449)</f>
        <v/>
      </c>
      <c r="I1449">
        <f>IF(ISBLANK('ENGAGEMENTS 2026'!B1449),"",'ENGAGEMENTS 2026'!G1449)</f>
        <v/>
      </c>
      <c r="J1449" s="275">
        <f>IF(ISBLANK('ENGAGEMENTS 2026'!B1449),"",IF(AND(OR($E1449="INFRUCTUEUX",$E1449="ANNULE"),$C1449="AOO-M"),'ENGAGEMENTS 2026'!O1449,IF($H1449="EN COURS DE PREENGAGEMENT",'ENGAGEMENTS 2026'!N1449,IF($H1449="PREENGAGE",IF($E1449="ATTRIBUE",'ENGAGEMENTS 2026'!AD1449,'ENGAGEMENTS 2026'!N1449),'ENGAGEMENTS 2026'!AD1449))))</f>
        <v/>
      </c>
      <c r="K1449" s="604">
        <f>IF(ISBLANK('ENGAGEMENTS 2026'!V1449),"",'ENGAGEMENTS 2026'!V1449)</f>
        <v/>
      </c>
      <c r="L1449" s="276">
        <f>IF($K1449="","",TODAY()-$K1449)</f>
        <v/>
      </c>
      <c r="M1449">
        <f>IF($A1449="","",IF($H1449="ENGAGE","Engagé",IF(AND($H1449="NON ENGAGE",OR($I1449="INFRUCTUEUX",$I1449="ANNULE")),"Clôturé sans suite","En cours")))</f>
        <v/>
      </c>
      <c r="N1449">
        <f>IF(ISBLANK('ENGAGEMENTS 2026'!B1449),"",'ENGAGEMENTS 2026'!K1449)</f>
        <v/>
      </c>
      <c r="O1449">
        <f>IF(ISBLANK('ENGAGEMENTS 2026'!B1449),"",'ENGAGEMENTS 2026'!L1449)</f>
        <v/>
      </c>
      <c r="P1449">
        <f>IF(ISBLANK('ENGAGEMENTS 2026'!B1449),"",'ENGAGEMENTS 2026'!J1449)</f>
        <v/>
      </c>
      <c r="Q1449">
        <f>IF($A1449="","",IF(OR($E1449="INFRUCTUEUX",$E1449="ANNULE"),$A1449&amp;"|"&amp;(COUNTIFS($A$2:$A1449,$A1449,$E$2:$E1449,"INFRUCTUEUX")+COUNTIFS($A$2:$A1449,$A1449,$E$2:$E1449,"ANNULE")),""))</f>
        <v/>
      </c>
    </row>
    <row r="1450">
      <c r="A1450">
        <f>IF(ISBLANK('ENGAGEMENTS 2026'!B1450),"",IF('ENGAGEMENTS 2026'!B1450="DTSI","DCT",'ENGAGEMENTS 2026'!B1450))</f>
        <v/>
      </c>
      <c r="B1450">
        <f>IF(ISBLANK('ENGAGEMENTS 2026'!B1450),"",'ENGAGEMENTS 2026'!C1450)</f>
        <v/>
      </c>
      <c r="C1450">
        <f>IF(ISBLANK('ENGAGEMENTS 2026'!B1450),"",'ENGAGEMENTS 2026'!D1450)</f>
        <v/>
      </c>
      <c r="D1450">
        <f>IF(ISBLANK('ENGAGEMENTS 2026'!B1450),"",'ENGAGEMENTS 2026'!F1450)</f>
        <v/>
      </c>
      <c r="E1450">
        <f>IF(ISBLANK('ENGAGEMENTS 2026'!B1450),"",'ENGAGEMENTS 2026'!H1450)</f>
        <v/>
      </c>
      <c r="F1450">
        <f>IF(ISBLANK('ENGAGEMENTS 2026'!B1450),"",'ENGAGEMENTS 2026'!I1450)</f>
        <v/>
      </c>
      <c r="G1450">
        <f>IF(ISBLANK('ENGAGEMENTS 2026'!B1450),"",'ENGAGEMENTS 2026'!L1450)</f>
        <v/>
      </c>
      <c r="H1450">
        <f>IF(ISBLANK('ENGAGEMENTS 2026'!B1450),"",'ENGAGEMENTS 2026'!AE1450)</f>
        <v/>
      </c>
      <c r="I1450">
        <f>IF(ISBLANK('ENGAGEMENTS 2026'!B1450),"",'ENGAGEMENTS 2026'!G1450)</f>
        <v/>
      </c>
      <c r="J1450" s="275">
        <f>IF(ISBLANK('ENGAGEMENTS 2026'!B1450),"",IF(AND(OR($E1450="INFRUCTUEUX",$E1450="ANNULE"),$C1450="AOO-M"),'ENGAGEMENTS 2026'!O1450,IF($H1450="EN COURS DE PREENGAGEMENT",'ENGAGEMENTS 2026'!N1450,IF($H1450="PREENGAGE",IF($E1450="ATTRIBUE",'ENGAGEMENTS 2026'!AD1450,'ENGAGEMENTS 2026'!N1450),'ENGAGEMENTS 2026'!AD1450))))</f>
        <v/>
      </c>
      <c r="K1450" s="604">
        <f>IF(ISBLANK('ENGAGEMENTS 2026'!V1450),"",'ENGAGEMENTS 2026'!V1450)</f>
        <v/>
      </c>
      <c r="L1450" s="276">
        <f>IF($K1450="","",TODAY()-$K1450)</f>
        <v/>
      </c>
      <c r="M1450">
        <f>IF($A1450="","",IF($H1450="ENGAGE","Engagé",IF(AND($H1450="NON ENGAGE",OR($I1450="INFRUCTUEUX",$I1450="ANNULE")),"Clôturé sans suite","En cours")))</f>
        <v/>
      </c>
      <c r="N1450">
        <f>IF(ISBLANK('ENGAGEMENTS 2026'!B1450),"",'ENGAGEMENTS 2026'!K1450)</f>
        <v/>
      </c>
      <c r="O1450">
        <f>IF(ISBLANK('ENGAGEMENTS 2026'!B1450),"",'ENGAGEMENTS 2026'!L1450)</f>
        <v/>
      </c>
      <c r="P1450">
        <f>IF(ISBLANK('ENGAGEMENTS 2026'!B1450),"",'ENGAGEMENTS 2026'!J1450)</f>
        <v/>
      </c>
      <c r="Q1450">
        <f>IF($A1450="","",IF(OR($E1450="INFRUCTUEUX",$E1450="ANNULE"),$A1450&amp;"|"&amp;(COUNTIFS($A$2:$A1450,$A1450,$E$2:$E1450,"INFRUCTUEUX")+COUNTIFS($A$2:$A1450,$A1450,$E$2:$E1450,"ANNULE")),""))</f>
        <v/>
      </c>
    </row>
    <row r="1451">
      <c r="A1451">
        <f>IF(ISBLANK('ENGAGEMENTS 2026'!B1451),"",IF('ENGAGEMENTS 2026'!B1451="DTSI","DCT",'ENGAGEMENTS 2026'!B1451))</f>
        <v/>
      </c>
      <c r="B1451">
        <f>IF(ISBLANK('ENGAGEMENTS 2026'!B1451),"",'ENGAGEMENTS 2026'!C1451)</f>
        <v/>
      </c>
      <c r="C1451">
        <f>IF(ISBLANK('ENGAGEMENTS 2026'!B1451),"",'ENGAGEMENTS 2026'!D1451)</f>
        <v/>
      </c>
      <c r="D1451">
        <f>IF(ISBLANK('ENGAGEMENTS 2026'!B1451),"",'ENGAGEMENTS 2026'!F1451)</f>
        <v/>
      </c>
      <c r="E1451">
        <f>IF(ISBLANK('ENGAGEMENTS 2026'!B1451),"",'ENGAGEMENTS 2026'!H1451)</f>
        <v/>
      </c>
      <c r="F1451">
        <f>IF(ISBLANK('ENGAGEMENTS 2026'!B1451),"",'ENGAGEMENTS 2026'!I1451)</f>
        <v/>
      </c>
      <c r="G1451">
        <f>IF(ISBLANK('ENGAGEMENTS 2026'!B1451),"",'ENGAGEMENTS 2026'!L1451)</f>
        <v/>
      </c>
      <c r="H1451">
        <f>IF(ISBLANK('ENGAGEMENTS 2026'!B1451),"",'ENGAGEMENTS 2026'!AE1451)</f>
        <v/>
      </c>
      <c r="I1451">
        <f>IF(ISBLANK('ENGAGEMENTS 2026'!B1451),"",'ENGAGEMENTS 2026'!G1451)</f>
        <v/>
      </c>
      <c r="J1451" s="275">
        <f>IF(ISBLANK('ENGAGEMENTS 2026'!B1451),"",IF(AND(OR($E1451="INFRUCTUEUX",$E1451="ANNULE"),$C1451="AOO-M"),'ENGAGEMENTS 2026'!O1451,IF($H1451="EN COURS DE PREENGAGEMENT",'ENGAGEMENTS 2026'!N1451,IF($H1451="PREENGAGE",IF($E1451="ATTRIBUE",'ENGAGEMENTS 2026'!AD1451,'ENGAGEMENTS 2026'!N1451),'ENGAGEMENTS 2026'!AD1451))))</f>
        <v/>
      </c>
      <c r="K1451" s="604">
        <f>IF(ISBLANK('ENGAGEMENTS 2026'!V1451),"",'ENGAGEMENTS 2026'!V1451)</f>
        <v/>
      </c>
      <c r="L1451" s="276">
        <f>IF($K1451="","",TODAY()-$K1451)</f>
        <v/>
      </c>
      <c r="M1451">
        <f>IF($A1451="","",IF($H1451="ENGAGE","Engagé",IF(AND($H1451="NON ENGAGE",OR($I1451="INFRUCTUEUX",$I1451="ANNULE")),"Clôturé sans suite","En cours")))</f>
        <v/>
      </c>
      <c r="N1451">
        <f>IF(ISBLANK('ENGAGEMENTS 2026'!B1451),"",'ENGAGEMENTS 2026'!K1451)</f>
        <v/>
      </c>
      <c r="O1451">
        <f>IF(ISBLANK('ENGAGEMENTS 2026'!B1451),"",'ENGAGEMENTS 2026'!L1451)</f>
        <v/>
      </c>
      <c r="P1451">
        <f>IF(ISBLANK('ENGAGEMENTS 2026'!B1451),"",'ENGAGEMENTS 2026'!J1451)</f>
        <v/>
      </c>
      <c r="Q1451">
        <f>IF($A1451="","",IF(OR($E1451="INFRUCTUEUX",$E1451="ANNULE"),$A1451&amp;"|"&amp;(COUNTIFS($A$2:$A1451,$A1451,$E$2:$E1451,"INFRUCTUEUX")+COUNTIFS($A$2:$A1451,$A1451,$E$2:$E1451,"ANNULE")),""))</f>
        <v/>
      </c>
    </row>
    <row r="1452">
      <c r="A1452">
        <f>IF(ISBLANK('ENGAGEMENTS 2026'!B1452),"",IF('ENGAGEMENTS 2026'!B1452="DTSI","DCT",'ENGAGEMENTS 2026'!B1452))</f>
        <v/>
      </c>
      <c r="B1452">
        <f>IF(ISBLANK('ENGAGEMENTS 2026'!B1452),"",'ENGAGEMENTS 2026'!C1452)</f>
        <v/>
      </c>
      <c r="C1452">
        <f>IF(ISBLANK('ENGAGEMENTS 2026'!B1452),"",'ENGAGEMENTS 2026'!D1452)</f>
        <v/>
      </c>
      <c r="D1452">
        <f>IF(ISBLANK('ENGAGEMENTS 2026'!B1452),"",'ENGAGEMENTS 2026'!F1452)</f>
        <v/>
      </c>
      <c r="E1452">
        <f>IF(ISBLANK('ENGAGEMENTS 2026'!B1452),"",'ENGAGEMENTS 2026'!H1452)</f>
        <v/>
      </c>
      <c r="F1452">
        <f>IF(ISBLANK('ENGAGEMENTS 2026'!B1452),"",'ENGAGEMENTS 2026'!I1452)</f>
        <v/>
      </c>
      <c r="G1452">
        <f>IF(ISBLANK('ENGAGEMENTS 2026'!B1452),"",'ENGAGEMENTS 2026'!L1452)</f>
        <v/>
      </c>
      <c r="H1452">
        <f>IF(ISBLANK('ENGAGEMENTS 2026'!B1452),"",'ENGAGEMENTS 2026'!AE1452)</f>
        <v/>
      </c>
      <c r="I1452">
        <f>IF(ISBLANK('ENGAGEMENTS 2026'!B1452),"",'ENGAGEMENTS 2026'!G1452)</f>
        <v/>
      </c>
      <c r="J1452" s="275">
        <f>IF(ISBLANK('ENGAGEMENTS 2026'!B1452),"",IF(AND(OR($E1452="INFRUCTUEUX",$E1452="ANNULE"),$C1452="AOO-M"),'ENGAGEMENTS 2026'!O1452,IF($H1452="EN COURS DE PREENGAGEMENT",'ENGAGEMENTS 2026'!N1452,IF($H1452="PREENGAGE",IF($E1452="ATTRIBUE",'ENGAGEMENTS 2026'!AD1452,'ENGAGEMENTS 2026'!N1452),'ENGAGEMENTS 2026'!AD1452))))</f>
        <v/>
      </c>
      <c r="K1452" s="604">
        <f>IF(ISBLANK('ENGAGEMENTS 2026'!V1452),"",'ENGAGEMENTS 2026'!V1452)</f>
        <v/>
      </c>
      <c r="L1452" s="276">
        <f>IF($K1452="","",TODAY()-$K1452)</f>
        <v/>
      </c>
      <c r="M1452">
        <f>IF($A1452="","",IF($H1452="ENGAGE","Engagé",IF(AND($H1452="NON ENGAGE",OR($I1452="INFRUCTUEUX",$I1452="ANNULE")),"Clôturé sans suite","En cours")))</f>
        <v/>
      </c>
      <c r="N1452">
        <f>IF(ISBLANK('ENGAGEMENTS 2026'!B1452),"",'ENGAGEMENTS 2026'!K1452)</f>
        <v/>
      </c>
      <c r="O1452">
        <f>IF(ISBLANK('ENGAGEMENTS 2026'!B1452),"",'ENGAGEMENTS 2026'!L1452)</f>
        <v/>
      </c>
      <c r="P1452">
        <f>IF(ISBLANK('ENGAGEMENTS 2026'!B1452),"",'ENGAGEMENTS 2026'!J1452)</f>
        <v/>
      </c>
      <c r="Q1452">
        <f>IF($A1452="","",IF(OR($E1452="INFRUCTUEUX",$E1452="ANNULE"),$A1452&amp;"|"&amp;(COUNTIFS($A$2:$A1452,$A1452,$E$2:$E1452,"INFRUCTUEUX")+COUNTIFS($A$2:$A1452,$A1452,$E$2:$E1452,"ANNULE")),""))</f>
        <v/>
      </c>
    </row>
    <row r="1453">
      <c r="A1453">
        <f>IF(ISBLANK('ENGAGEMENTS 2026'!B1453),"",IF('ENGAGEMENTS 2026'!B1453="DTSI","DCT",'ENGAGEMENTS 2026'!B1453))</f>
        <v/>
      </c>
      <c r="B1453">
        <f>IF(ISBLANK('ENGAGEMENTS 2026'!B1453),"",'ENGAGEMENTS 2026'!C1453)</f>
        <v/>
      </c>
      <c r="C1453">
        <f>IF(ISBLANK('ENGAGEMENTS 2026'!B1453),"",'ENGAGEMENTS 2026'!D1453)</f>
        <v/>
      </c>
      <c r="D1453">
        <f>IF(ISBLANK('ENGAGEMENTS 2026'!B1453),"",'ENGAGEMENTS 2026'!F1453)</f>
        <v/>
      </c>
      <c r="E1453">
        <f>IF(ISBLANK('ENGAGEMENTS 2026'!B1453),"",'ENGAGEMENTS 2026'!H1453)</f>
        <v/>
      </c>
      <c r="F1453">
        <f>IF(ISBLANK('ENGAGEMENTS 2026'!B1453),"",'ENGAGEMENTS 2026'!I1453)</f>
        <v/>
      </c>
      <c r="G1453">
        <f>IF(ISBLANK('ENGAGEMENTS 2026'!B1453),"",'ENGAGEMENTS 2026'!L1453)</f>
        <v/>
      </c>
      <c r="H1453">
        <f>IF(ISBLANK('ENGAGEMENTS 2026'!B1453),"",'ENGAGEMENTS 2026'!AE1453)</f>
        <v/>
      </c>
      <c r="I1453">
        <f>IF(ISBLANK('ENGAGEMENTS 2026'!B1453),"",'ENGAGEMENTS 2026'!G1453)</f>
        <v/>
      </c>
      <c r="J1453" s="275">
        <f>IF(ISBLANK('ENGAGEMENTS 2026'!B1453),"",IF(AND(OR($E1453="INFRUCTUEUX",$E1453="ANNULE"),$C1453="AOO-M"),'ENGAGEMENTS 2026'!O1453,IF($H1453="EN COURS DE PREENGAGEMENT",'ENGAGEMENTS 2026'!N1453,IF($H1453="PREENGAGE",IF($E1453="ATTRIBUE",'ENGAGEMENTS 2026'!AD1453,'ENGAGEMENTS 2026'!N1453),'ENGAGEMENTS 2026'!AD1453))))</f>
        <v/>
      </c>
      <c r="K1453" s="604">
        <f>IF(ISBLANK('ENGAGEMENTS 2026'!V1453),"",'ENGAGEMENTS 2026'!V1453)</f>
        <v/>
      </c>
      <c r="L1453" s="276">
        <f>IF($K1453="","",TODAY()-$K1453)</f>
        <v/>
      </c>
      <c r="M1453">
        <f>IF($A1453="","",IF($H1453="ENGAGE","Engagé",IF(AND($H1453="NON ENGAGE",OR($I1453="INFRUCTUEUX",$I1453="ANNULE")),"Clôturé sans suite","En cours")))</f>
        <v/>
      </c>
      <c r="N1453">
        <f>IF(ISBLANK('ENGAGEMENTS 2026'!B1453),"",'ENGAGEMENTS 2026'!K1453)</f>
        <v/>
      </c>
      <c r="O1453">
        <f>IF(ISBLANK('ENGAGEMENTS 2026'!B1453),"",'ENGAGEMENTS 2026'!L1453)</f>
        <v/>
      </c>
      <c r="P1453">
        <f>IF(ISBLANK('ENGAGEMENTS 2026'!B1453),"",'ENGAGEMENTS 2026'!J1453)</f>
        <v/>
      </c>
      <c r="Q1453">
        <f>IF($A1453="","",IF(OR($E1453="INFRUCTUEUX",$E1453="ANNULE"),$A1453&amp;"|"&amp;(COUNTIFS($A$2:$A1453,$A1453,$E$2:$E1453,"INFRUCTUEUX")+COUNTIFS($A$2:$A1453,$A1453,$E$2:$E1453,"ANNULE")),""))</f>
        <v/>
      </c>
    </row>
    <row r="1454">
      <c r="A1454">
        <f>IF(ISBLANK('ENGAGEMENTS 2026'!B1454),"",IF('ENGAGEMENTS 2026'!B1454="DTSI","DCT",'ENGAGEMENTS 2026'!B1454))</f>
        <v/>
      </c>
      <c r="B1454">
        <f>IF(ISBLANK('ENGAGEMENTS 2026'!B1454),"",'ENGAGEMENTS 2026'!C1454)</f>
        <v/>
      </c>
      <c r="C1454">
        <f>IF(ISBLANK('ENGAGEMENTS 2026'!B1454),"",'ENGAGEMENTS 2026'!D1454)</f>
        <v/>
      </c>
      <c r="D1454">
        <f>IF(ISBLANK('ENGAGEMENTS 2026'!B1454),"",'ENGAGEMENTS 2026'!F1454)</f>
        <v/>
      </c>
      <c r="E1454">
        <f>IF(ISBLANK('ENGAGEMENTS 2026'!B1454),"",'ENGAGEMENTS 2026'!H1454)</f>
        <v/>
      </c>
      <c r="F1454">
        <f>IF(ISBLANK('ENGAGEMENTS 2026'!B1454),"",'ENGAGEMENTS 2026'!I1454)</f>
        <v/>
      </c>
      <c r="G1454">
        <f>IF(ISBLANK('ENGAGEMENTS 2026'!B1454),"",'ENGAGEMENTS 2026'!L1454)</f>
        <v/>
      </c>
      <c r="H1454">
        <f>IF(ISBLANK('ENGAGEMENTS 2026'!B1454),"",'ENGAGEMENTS 2026'!AE1454)</f>
        <v/>
      </c>
      <c r="I1454">
        <f>IF(ISBLANK('ENGAGEMENTS 2026'!B1454),"",'ENGAGEMENTS 2026'!G1454)</f>
        <v/>
      </c>
      <c r="J1454" s="275">
        <f>IF(ISBLANK('ENGAGEMENTS 2026'!B1454),"",IF(AND(OR($E1454="INFRUCTUEUX",$E1454="ANNULE"),$C1454="AOO-M"),'ENGAGEMENTS 2026'!O1454,IF($H1454="EN COURS DE PREENGAGEMENT",'ENGAGEMENTS 2026'!N1454,IF($H1454="PREENGAGE",IF($E1454="ATTRIBUE",'ENGAGEMENTS 2026'!AD1454,'ENGAGEMENTS 2026'!N1454),'ENGAGEMENTS 2026'!AD1454))))</f>
        <v/>
      </c>
      <c r="K1454" s="604">
        <f>IF(ISBLANK('ENGAGEMENTS 2026'!V1454),"",'ENGAGEMENTS 2026'!V1454)</f>
        <v/>
      </c>
      <c r="L1454" s="276">
        <f>IF($K1454="","",TODAY()-$K1454)</f>
        <v/>
      </c>
      <c r="M1454">
        <f>IF($A1454="","",IF($H1454="ENGAGE","Engagé",IF(AND($H1454="NON ENGAGE",OR($I1454="INFRUCTUEUX",$I1454="ANNULE")),"Clôturé sans suite","En cours")))</f>
        <v/>
      </c>
      <c r="N1454">
        <f>IF(ISBLANK('ENGAGEMENTS 2026'!B1454),"",'ENGAGEMENTS 2026'!K1454)</f>
        <v/>
      </c>
      <c r="O1454">
        <f>IF(ISBLANK('ENGAGEMENTS 2026'!B1454),"",'ENGAGEMENTS 2026'!L1454)</f>
        <v/>
      </c>
      <c r="P1454">
        <f>IF(ISBLANK('ENGAGEMENTS 2026'!B1454),"",'ENGAGEMENTS 2026'!J1454)</f>
        <v/>
      </c>
      <c r="Q1454">
        <f>IF($A1454="","",IF(OR($E1454="INFRUCTUEUX",$E1454="ANNULE"),$A1454&amp;"|"&amp;(COUNTIFS($A$2:$A1454,$A1454,$E$2:$E1454,"INFRUCTUEUX")+COUNTIFS($A$2:$A1454,$A1454,$E$2:$E1454,"ANNULE")),""))</f>
        <v/>
      </c>
    </row>
    <row r="1455">
      <c r="A1455">
        <f>IF(ISBLANK('ENGAGEMENTS 2026'!B1455),"",IF('ENGAGEMENTS 2026'!B1455="DTSI","DCT",'ENGAGEMENTS 2026'!B1455))</f>
        <v/>
      </c>
      <c r="B1455">
        <f>IF(ISBLANK('ENGAGEMENTS 2026'!B1455),"",'ENGAGEMENTS 2026'!C1455)</f>
        <v/>
      </c>
      <c r="C1455">
        <f>IF(ISBLANK('ENGAGEMENTS 2026'!B1455),"",'ENGAGEMENTS 2026'!D1455)</f>
        <v/>
      </c>
      <c r="D1455">
        <f>IF(ISBLANK('ENGAGEMENTS 2026'!B1455),"",'ENGAGEMENTS 2026'!F1455)</f>
        <v/>
      </c>
      <c r="E1455">
        <f>IF(ISBLANK('ENGAGEMENTS 2026'!B1455),"",'ENGAGEMENTS 2026'!H1455)</f>
        <v/>
      </c>
      <c r="F1455">
        <f>IF(ISBLANK('ENGAGEMENTS 2026'!B1455),"",'ENGAGEMENTS 2026'!I1455)</f>
        <v/>
      </c>
      <c r="G1455">
        <f>IF(ISBLANK('ENGAGEMENTS 2026'!B1455),"",'ENGAGEMENTS 2026'!L1455)</f>
        <v/>
      </c>
      <c r="H1455">
        <f>IF(ISBLANK('ENGAGEMENTS 2026'!B1455),"",'ENGAGEMENTS 2026'!AE1455)</f>
        <v/>
      </c>
      <c r="I1455">
        <f>IF(ISBLANK('ENGAGEMENTS 2026'!B1455),"",'ENGAGEMENTS 2026'!G1455)</f>
        <v/>
      </c>
      <c r="J1455" s="275">
        <f>IF(ISBLANK('ENGAGEMENTS 2026'!B1455),"",IF(AND(OR($E1455="INFRUCTUEUX",$E1455="ANNULE"),$C1455="AOO-M"),'ENGAGEMENTS 2026'!O1455,IF($H1455="EN COURS DE PREENGAGEMENT",'ENGAGEMENTS 2026'!N1455,IF($H1455="PREENGAGE",IF($E1455="ATTRIBUE",'ENGAGEMENTS 2026'!AD1455,'ENGAGEMENTS 2026'!N1455),'ENGAGEMENTS 2026'!AD1455))))</f>
        <v/>
      </c>
      <c r="K1455" s="604">
        <f>IF(ISBLANK('ENGAGEMENTS 2026'!V1455),"",'ENGAGEMENTS 2026'!V1455)</f>
        <v/>
      </c>
      <c r="L1455" s="276">
        <f>IF($K1455="","",TODAY()-$K1455)</f>
        <v/>
      </c>
      <c r="M1455">
        <f>IF($A1455="","",IF($H1455="ENGAGE","Engagé",IF(AND($H1455="NON ENGAGE",OR($I1455="INFRUCTUEUX",$I1455="ANNULE")),"Clôturé sans suite","En cours")))</f>
        <v/>
      </c>
      <c r="N1455">
        <f>IF(ISBLANK('ENGAGEMENTS 2026'!B1455),"",'ENGAGEMENTS 2026'!K1455)</f>
        <v/>
      </c>
      <c r="O1455">
        <f>IF(ISBLANK('ENGAGEMENTS 2026'!B1455),"",'ENGAGEMENTS 2026'!L1455)</f>
        <v/>
      </c>
      <c r="P1455">
        <f>IF(ISBLANK('ENGAGEMENTS 2026'!B1455),"",'ENGAGEMENTS 2026'!J1455)</f>
        <v/>
      </c>
      <c r="Q1455">
        <f>IF($A1455="","",IF(OR($E1455="INFRUCTUEUX",$E1455="ANNULE"),$A1455&amp;"|"&amp;(COUNTIFS($A$2:$A1455,$A1455,$E$2:$E1455,"INFRUCTUEUX")+COUNTIFS($A$2:$A1455,$A1455,$E$2:$E1455,"ANNULE")),""))</f>
        <v/>
      </c>
    </row>
    <row r="1456">
      <c r="A1456">
        <f>IF(ISBLANK('ENGAGEMENTS 2026'!B1456),"",IF('ENGAGEMENTS 2026'!B1456="DTSI","DCT",'ENGAGEMENTS 2026'!B1456))</f>
        <v/>
      </c>
      <c r="B1456">
        <f>IF(ISBLANK('ENGAGEMENTS 2026'!B1456),"",'ENGAGEMENTS 2026'!C1456)</f>
        <v/>
      </c>
      <c r="C1456">
        <f>IF(ISBLANK('ENGAGEMENTS 2026'!B1456),"",'ENGAGEMENTS 2026'!D1456)</f>
        <v/>
      </c>
      <c r="D1456">
        <f>IF(ISBLANK('ENGAGEMENTS 2026'!B1456),"",'ENGAGEMENTS 2026'!F1456)</f>
        <v/>
      </c>
      <c r="E1456">
        <f>IF(ISBLANK('ENGAGEMENTS 2026'!B1456),"",'ENGAGEMENTS 2026'!H1456)</f>
        <v/>
      </c>
      <c r="F1456">
        <f>IF(ISBLANK('ENGAGEMENTS 2026'!B1456),"",'ENGAGEMENTS 2026'!I1456)</f>
        <v/>
      </c>
      <c r="G1456">
        <f>IF(ISBLANK('ENGAGEMENTS 2026'!B1456),"",'ENGAGEMENTS 2026'!L1456)</f>
        <v/>
      </c>
      <c r="H1456">
        <f>IF(ISBLANK('ENGAGEMENTS 2026'!B1456),"",'ENGAGEMENTS 2026'!AE1456)</f>
        <v/>
      </c>
      <c r="I1456">
        <f>IF(ISBLANK('ENGAGEMENTS 2026'!B1456),"",'ENGAGEMENTS 2026'!G1456)</f>
        <v/>
      </c>
      <c r="J1456" s="275">
        <f>IF(ISBLANK('ENGAGEMENTS 2026'!B1456),"",IF(AND(OR($E1456="INFRUCTUEUX",$E1456="ANNULE"),$C1456="AOO-M"),'ENGAGEMENTS 2026'!O1456,IF($H1456="EN COURS DE PREENGAGEMENT",'ENGAGEMENTS 2026'!N1456,IF($H1456="PREENGAGE",IF($E1456="ATTRIBUE",'ENGAGEMENTS 2026'!AD1456,'ENGAGEMENTS 2026'!N1456),'ENGAGEMENTS 2026'!AD1456))))</f>
        <v/>
      </c>
      <c r="K1456" s="604">
        <f>IF(ISBLANK('ENGAGEMENTS 2026'!V1456),"",'ENGAGEMENTS 2026'!V1456)</f>
        <v/>
      </c>
      <c r="L1456" s="276">
        <f>IF($K1456="","",TODAY()-$K1456)</f>
        <v/>
      </c>
      <c r="M1456">
        <f>IF($A1456="","",IF($H1456="ENGAGE","Engagé",IF(AND($H1456="NON ENGAGE",OR($I1456="INFRUCTUEUX",$I1456="ANNULE")),"Clôturé sans suite","En cours")))</f>
        <v/>
      </c>
      <c r="N1456">
        <f>IF(ISBLANK('ENGAGEMENTS 2026'!B1456),"",'ENGAGEMENTS 2026'!K1456)</f>
        <v/>
      </c>
      <c r="O1456">
        <f>IF(ISBLANK('ENGAGEMENTS 2026'!B1456),"",'ENGAGEMENTS 2026'!L1456)</f>
        <v/>
      </c>
      <c r="P1456">
        <f>IF(ISBLANK('ENGAGEMENTS 2026'!B1456),"",'ENGAGEMENTS 2026'!J1456)</f>
        <v/>
      </c>
      <c r="Q1456">
        <f>IF($A1456="","",IF(OR($E1456="INFRUCTUEUX",$E1456="ANNULE"),$A1456&amp;"|"&amp;(COUNTIFS($A$2:$A1456,$A1456,$E$2:$E1456,"INFRUCTUEUX")+COUNTIFS($A$2:$A1456,$A1456,$E$2:$E1456,"ANNULE")),""))</f>
        <v/>
      </c>
    </row>
    <row r="1457">
      <c r="A1457">
        <f>IF(ISBLANK('ENGAGEMENTS 2026'!B1457),"",IF('ENGAGEMENTS 2026'!B1457="DTSI","DCT",'ENGAGEMENTS 2026'!B1457))</f>
        <v/>
      </c>
      <c r="B1457">
        <f>IF(ISBLANK('ENGAGEMENTS 2026'!B1457),"",'ENGAGEMENTS 2026'!C1457)</f>
        <v/>
      </c>
      <c r="C1457">
        <f>IF(ISBLANK('ENGAGEMENTS 2026'!B1457),"",'ENGAGEMENTS 2026'!D1457)</f>
        <v/>
      </c>
      <c r="D1457">
        <f>IF(ISBLANK('ENGAGEMENTS 2026'!B1457),"",'ENGAGEMENTS 2026'!F1457)</f>
        <v/>
      </c>
      <c r="E1457">
        <f>IF(ISBLANK('ENGAGEMENTS 2026'!B1457),"",'ENGAGEMENTS 2026'!H1457)</f>
        <v/>
      </c>
      <c r="F1457">
        <f>IF(ISBLANK('ENGAGEMENTS 2026'!B1457),"",'ENGAGEMENTS 2026'!I1457)</f>
        <v/>
      </c>
      <c r="G1457">
        <f>IF(ISBLANK('ENGAGEMENTS 2026'!B1457),"",'ENGAGEMENTS 2026'!L1457)</f>
        <v/>
      </c>
      <c r="H1457">
        <f>IF(ISBLANK('ENGAGEMENTS 2026'!B1457),"",'ENGAGEMENTS 2026'!AE1457)</f>
        <v/>
      </c>
      <c r="I1457">
        <f>IF(ISBLANK('ENGAGEMENTS 2026'!B1457),"",'ENGAGEMENTS 2026'!G1457)</f>
        <v/>
      </c>
      <c r="J1457" s="275">
        <f>IF(ISBLANK('ENGAGEMENTS 2026'!B1457),"",IF(AND(OR($E1457="INFRUCTUEUX",$E1457="ANNULE"),$C1457="AOO-M"),'ENGAGEMENTS 2026'!O1457,IF($H1457="EN COURS DE PREENGAGEMENT",'ENGAGEMENTS 2026'!N1457,IF($H1457="PREENGAGE",IF($E1457="ATTRIBUE",'ENGAGEMENTS 2026'!AD1457,'ENGAGEMENTS 2026'!N1457),'ENGAGEMENTS 2026'!AD1457))))</f>
        <v/>
      </c>
      <c r="K1457" s="604">
        <f>IF(ISBLANK('ENGAGEMENTS 2026'!V1457),"",'ENGAGEMENTS 2026'!V1457)</f>
        <v/>
      </c>
      <c r="L1457" s="276">
        <f>IF($K1457="","",TODAY()-$K1457)</f>
        <v/>
      </c>
      <c r="M1457">
        <f>IF($A1457="","",IF($H1457="ENGAGE","Engagé",IF(AND($H1457="NON ENGAGE",OR($I1457="INFRUCTUEUX",$I1457="ANNULE")),"Clôturé sans suite","En cours")))</f>
        <v/>
      </c>
      <c r="N1457">
        <f>IF(ISBLANK('ENGAGEMENTS 2026'!B1457),"",'ENGAGEMENTS 2026'!K1457)</f>
        <v/>
      </c>
      <c r="O1457">
        <f>IF(ISBLANK('ENGAGEMENTS 2026'!B1457),"",'ENGAGEMENTS 2026'!L1457)</f>
        <v/>
      </c>
      <c r="P1457">
        <f>IF(ISBLANK('ENGAGEMENTS 2026'!B1457),"",'ENGAGEMENTS 2026'!J1457)</f>
        <v/>
      </c>
      <c r="Q1457">
        <f>IF($A1457="","",IF(OR($E1457="INFRUCTUEUX",$E1457="ANNULE"),$A1457&amp;"|"&amp;(COUNTIFS($A$2:$A1457,$A1457,$E$2:$E1457,"INFRUCTUEUX")+COUNTIFS($A$2:$A1457,$A1457,$E$2:$E1457,"ANNULE")),""))</f>
        <v/>
      </c>
    </row>
    <row r="1458">
      <c r="A1458">
        <f>IF(ISBLANK('ENGAGEMENTS 2026'!B1458),"",IF('ENGAGEMENTS 2026'!B1458="DTSI","DCT",'ENGAGEMENTS 2026'!B1458))</f>
        <v/>
      </c>
      <c r="B1458">
        <f>IF(ISBLANK('ENGAGEMENTS 2026'!B1458),"",'ENGAGEMENTS 2026'!C1458)</f>
        <v/>
      </c>
      <c r="C1458">
        <f>IF(ISBLANK('ENGAGEMENTS 2026'!B1458),"",'ENGAGEMENTS 2026'!D1458)</f>
        <v/>
      </c>
      <c r="D1458">
        <f>IF(ISBLANK('ENGAGEMENTS 2026'!B1458),"",'ENGAGEMENTS 2026'!F1458)</f>
        <v/>
      </c>
      <c r="E1458">
        <f>IF(ISBLANK('ENGAGEMENTS 2026'!B1458),"",'ENGAGEMENTS 2026'!H1458)</f>
        <v/>
      </c>
      <c r="F1458">
        <f>IF(ISBLANK('ENGAGEMENTS 2026'!B1458),"",'ENGAGEMENTS 2026'!I1458)</f>
        <v/>
      </c>
      <c r="G1458">
        <f>IF(ISBLANK('ENGAGEMENTS 2026'!B1458),"",'ENGAGEMENTS 2026'!L1458)</f>
        <v/>
      </c>
      <c r="H1458">
        <f>IF(ISBLANK('ENGAGEMENTS 2026'!B1458),"",'ENGAGEMENTS 2026'!AE1458)</f>
        <v/>
      </c>
      <c r="I1458">
        <f>IF(ISBLANK('ENGAGEMENTS 2026'!B1458),"",'ENGAGEMENTS 2026'!G1458)</f>
        <v/>
      </c>
      <c r="J1458" s="275">
        <f>IF(ISBLANK('ENGAGEMENTS 2026'!B1458),"",IF(AND(OR($E1458="INFRUCTUEUX",$E1458="ANNULE"),$C1458="AOO-M"),'ENGAGEMENTS 2026'!O1458,IF($H1458="EN COURS DE PREENGAGEMENT",'ENGAGEMENTS 2026'!N1458,IF($H1458="PREENGAGE",IF($E1458="ATTRIBUE",'ENGAGEMENTS 2026'!AD1458,'ENGAGEMENTS 2026'!N1458),'ENGAGEMENTS 2026'!AD1458))))</f>
        <v/>
      </c>
      <c r="K1458" s="604">
        <f>IF(ISBLANK('ENGAGEMENTS 2026'!V1458),"",'ENGAGEMENTS 2026'!V1458)</f>
        <v/>
      </c>
      <c r="L1458" s="276">
        <f>IF($K1458="","",TODAY()-$K1458)</f>
        <v/>
      </c>
      <c r="M1458">
        <f>IF($A1458="","",IF($H1458="ENGAGE","Engagé",IF(AND($H1458="NON ENGAGE",OR($I1458="INFRUCTUEUX",$I1458="ANNULE")),"Clôturé sans suite","En cours")))</f>
        <v/>
      </c>
      <c r="N1458">
        <f>IF(ISBLANK('ENGAGEMENTS 2026'!B1458),"",'ENGAGEMENTS 2026'!K1458)</f>
        <v/>
      </c>
      <c r="O1458">
        <f>IF(ISBLANK('ENGAGEMENTS 2026'!B1458),"",'ENGAGEMENTS 2026'!L1458)</f>
        <v/>
      </c>
      <c r="P1458">
        <f>IF(ISBLANK('ENGAGEMENTS 2026'!B1458),"",'ENGAGEMENTS 2026'!J1458)</f>
        <v/>
      </c>
      <c r="Q1458">
        <f>IF($A1458="","",IF(OR($E1458="INFRUCTUEUX",$E1458="ANNULE"),$A1458&amp;"|"&amp;(COUNTIFS($A$2:$A1458,$A1458,$E$2:$E1458,"INFRUCTUEUX")+COUNTIFS($A$2:$A1458,$A1458,$E$2:$E1458,"ANNULE")),""))</f>
        <v/>
      </c>
    </row>
    <row r="1459">
      <c r="A1459">
        <f>IF(ISBLANK('ENGAGEMENTS 2026'!B1459),"",IF('ENGAGEMENTS 2026'!B1459="DTSI","DCT",'ENGAGEMENTS 2026'!B1459))</f>
        <v/>
      </c>
      <c r="B1459">
        <f>IF(ISBLANK('ENGAGEMENTS 2026'!B1459),"",'ENGAGEMENTS 2026'!C1459)</f>
        <v/>
      </c>
      <c r="C1459">
        <f>IF(ISBLANK('ENGAGEMENTS 2026'!B1459),"",'ENGAGEMENTS 2026'!D1459)</f>
        <v/>
      </c>
      <c r="D1459">
        <f>IF(ISBLANK('ENGAGEMENTS 2026'!B1459),"",'ENGAGEMENTS 2026'!F1459)</f>
        <v/>
      </c>
      <c r="E1459">
        <f>IF(ISBLANK('ENGAGEMENTS 2026'!B1459),"",'ENGAGEMENTS 2026'!H1459)</f>
        <v/>
      </c>
      <c r="F1459">
        <f>IF(ISBLANK('ENGAGEMENTS 2026'!B1459),"",'ENGAGEMENTS 2026'!I1459)</f>
        <v/>
      </c>
      <c r="G1459">
        <f>IF(ISBLANK('ENGAGEMENTS 2026'!B1459),"",'ENGAGEMENTS 2026'!L1459)</f>
        <v/>
      </c>
      <c r="H1459">
        <f>IF(ISBLANK('ENGAGEMENTS 2026'!B1459),"",'ENGAGEMENTS 2026'!AE1459)</f>
        <v/>
      </c>
      <c r="I1459">
        <f>IF(ISBLANK('ENGAGEMENTS 2026'!B1459),"",'ENGAGEMENTS 2026'!G1459)</f>
        <v/>
      </c>
      <c r="J1459" s="275">
        <f>IF(ISBLANK('ENGAGEMENTS 2026'!B1459),"",IF(AND(OR($E1459="INFRUCTUEUX",$E1459="ANNULE"),$C1459="AOO-M"),'ENGAGEMENTS 2026'!O1459,IF($H1459="EN COURS DE PREENGAGEMENT",'ENGAGEMENTS 2026'!N1459,IF($H1459="PREENGAGE",IF($E1459="ATTRIBUE",'ENGAGEMENTS 2026'!AD1459,'ENGAGEMENTS 2026'!N1459),'ENGAGEMENTS 2026'!AD1459))))</f>
        <v/>
      </c>
      <c r="K1459" s="604">
        <f>IF(ISBLANK('ENGAGEMENTS 2026'!V1459),"",'ENGAGEMENTS 2026'!V1459)</f>
        <v/>
      </c>
      <c r="L1459" s="276">
        <f>IF($K1459="","",TODAY()-$K1459)</f>
        <v/>
      </c>
      <c r="M1459">
        <f>IF($A1459="","",IF($H1459="ENGAGE","Engagé",IF(AND($H1459="NON ENGAGE",OR($I1459="INFRUCTUEUX",$I1459="ANNULE")),"Clôturé sans suite","En cours")))</f>
        <v/>
      </c>
      <c r="N1459">
        <f>IF(ISBLANK('ENGAGEMENTS 2026'!B1459),"",'ENGAGEMENTS 2026'!K1459)</f>
        <v/>
      </c>
      <c r="O1459">
        <f>IF(ISBLANK('ENGAGEMENTS 2026'!B1459),"",'ENGAGEMENTS 2026'!L1459)</f>
        <v/>
      </c>
      <c r="P1459">
        <f>IF(ISBLANK('ENGAGEMENTS 2026'!B1459),"",'ENGAGEMENTS 2026'!J1459)</f>
        <v/>
      </c>
      <c r="Q1459">
        <f>IF($A1459="","",IF(OR($E1459="INFRUCTUEUX",$E1459="ANNULE"),$A1459&amp;"|"&amp;(COUNTIFS($A$2:$A1459,$A1459,$E$2:$E1459,"INFRUCTUEUX")+COUNTIFS($A$2:$A1459,$A1459,$E$2:$E1459,"ANNULE")),""))</f>
        <v/>
      </c>
    </row>
    <row r="1460">
      <c r="A1460">
        <f>IF(ISBLANK('ENGAGEMENTS 2026'!B1460),"",IF('ENGAGEMENTS 2026'!B1460="DTSI","DCT",'ENGAGEMENTS 2026'!B1460))</f>
        <v/>
      </c>
      <c r="B1460">
        <f>IF(ISBLANK('ENGAGEMENTS 2026'!B1460),"",'ENGAGEMENTS 2026'!C1460)</f>
        <v/>
      </c>
      <c r="C1460">
        <f>IF(ISBLANK('ENGAGEMENTS 2026'!B1460),"",'ENGAGEMENTS 2026'!D1460)</f>
        <v/>
      </c>
      <c r="D1460">
        <f>IF(ISBLANK('ENGAGEMENTS 2026'!B1460),"",'ENGAGEMENTS 2026'!F1460)</f>
        <v/>
      </c>
      <c r="E1460">
        <f>IF(ISBLANK('ENGAGEMENTS 2026'!B1460),"",'ENGAGEMENTS 2026'!H1460)</f>
        <v/>
      </c>
      <c r="F1460">
        <f>IF(ISBLANK('ENGAGEMENTS 2026'!B1460),"",'ENGAGEMENTS 2026'!I1460)</f>
        <v/>
      </c>
      <c r="G1460">
        <f>IF(ISBLANK('ENGAGEMENTS 2026'!B1460),"",'ENGAGEMENTS 2026'!L1460)</f>
        <v/>
      </c>
      <c r="H1460">
        <f>IF(ISBLANK('ENGAGEMENTS 2026'!B1460),"",'ENGAGEMENTS 2026'!AE1460)</f>
        <v/>
      </c>
      <c r="I1460">
        <f>IF(ISBLANK('ENGAGEMENTS 2026'!B1460),"",'ENGAGEMENTS 2026'!G1460)</f>
        <v/>
      </c>
      <c r="J1460" s="275">
        <f>IF(ISBLANK('ENGAGEMENTS 2026'!B1460),"",IF(AND(OR($E1460="INFRUCTUEUX",$E1460="ANNULE"),$C1460="AOO-M"),'ENGAGEMENTS 2026'!O1460,IF($H1460="EN COURS DE PREENGAGEMENT",'ENGAGEMENTS 2026'!N1460,IF($H1460="PREENGAGE",IF($E1460="ATTRIBUE",'ENGAGEMENTS 2026'!AD1460,'ENGAGEMENTS 2026'!N1460),'ENGAGEMENTS 2026'!AD1460))))</f>
        <v/>
      </c>
      <c r="K1460" s="604">
        <f>IF(ISBLANK('ENGAGEMENTS 2026'!V1460),"",'ENGAGEMENTS 2026'!V1460)</f>
        <v/>
      </c>
      <c r="L1460" s="276">
        <f>IF($K1460="","",TODAY()-$K1460)</f>
        <v/>
      </c>
      <c r="M1460">
        <f>IF($A1460="","",IF($H1460="ENGAGE","Engagé",IF(AND($H1460="NON ENGAGE",OR($I1460="INFRUCTUEUX",$I1460="ANNULE")),"Clôturé sans suite","En cours")))</f>
        <v/>
      </c>
      <c r="N1460">
        <f>IF(ISBLANK('ENGAGEMENTS 2026'!B1460),"",'ENGAGEMENTS 2026'!K1460)</f>
        <v/>
      </c>
      <c r="O1460">
        <f>IF(ISBLANK('ENGAGEMENTS 2026'!B1460),"",'ENGAGEMENTS 2026'!L1460)</f>
        <v/>
      </c>
      <c r="P1460">
        <f>IF(ISBLANK('ENGAGEMENTS 2026'!B1460),"",'ENGAGEMENTS 2026'!J1460)</f>
        <v/>
      </c>
      <c r="Q1460">
        <f>IF($A1460="","",IF(OR($E1460="INFRUCTUEUX",$E1460="ANNULE"),$A1460&amp;"|"&amp;(COUNTIFS($A$2:$A1460,$A1460,$E$2:$E1460,"INFRUCTUEUX")+COUNTIFS($A$2:$A1460,$A1460,$E$2:$E1460,"ANNULE")),""))</f>
        <v/>
      </c>
    </row>
    <row r="1461">
      <c r="A1461">
        <f>IF(ISBLANK('ENGAGEMENTS 2026'!B1461),"",IF('ENGAGEMENTS 2026'!B1461="DTSI","DCT",'ENGAGEMENTS 2026'!B1461))</f>
        <v/>
      </c>
      <c r="B1461">
        <f>IF(ISBLANK('ENGAGEMENTS 2026'!B1461),"",'ENGAGEMENTS 2026'!C1461)</f>
        <v/>
      </c>
      <c r="C1461">
        <f>IF(ISBLANK('ENGAGEMENTS 2026'!B1461),"",'ENGAGEMENTS 2026'!D1461)</f>
        <v/>
      </c>
      <c r="D1461">
        <f>IF(ISBLANK('ENGAGEMENTS 2026'!B1461),"",'ENGAGEMENTS 2026'!F1461)</f>
        <v/>
      </c>
      <c r="E1461">
        <f>IF(ISBLANK('ENGAGEMENTS 2026'!B1461),"",'ENGAGEMENTS 2026'!H1461)</f>
        <v/>
      </c>
      <c r="F1461">
        <f>IF(ISBLANK('ENGAGEMENTS 2026'!B1461),"",'ENGAGEMENTS 2026'!I1461)</f>
        <v/>
      </c>
      <c r="G1461">
        <f>IF(ISBLANK('ENGAGEMENTS 2026'!B1461),"",'ENGAGEMENTS 2026'!L1461)</f>
        <v/>
      </c>
      <c r="H1461">
        <f>IF(ISBLANK('ENGAGEMENTS 2026'!B1461),"",'ENGAGEMENTS 2026'!AE1461)</f>
        <v/>
      </c>
      <c r="I1461">
        <f>IF(ISBLANK('ENGAGEMENTS 2026'!B1461),"",'ENGAGEMENTS 2026'!G1461)</f>
        <v/>
      </c>
      <c r="J1461" s="275">
        <f>IF(ISBLANK('ENGAGEMENTS 2026'!B1461),"",IF(AND(OR($E1461="INFRUCTUEUX",$E1461="ANNULE"),$C1461="AOO-M"),'ENGAGEMENTS 2026'!O1461,IF($H1461="EN COURS DE PREENGAGEMENT",'ENGAGEMENTS 2026'!N1461,IF($H1461="PREENGAGE",IF($E1461="ATTRIBUE",'ENGAGEMENTS 2026'!AD1461,'ENGAGEMENTS 2026'!N1461),'ENGAGEMENTS 2026'!AD1461))))</f>
        <v/>
      </c>
      <c r="K1461" s="604">
        <f>IF(ISBLANK('ENGAGEMENTS 2026'!V1461),"",'ENGAGEMENTS 2026'!V1461)</f>
        <v/>
      </c>
      <c r="L1461" s="276">
        <f>IF($K1461="","",TODAY()-$K1461)</f>
        <v/>
      </c>
      <c r="M1461">
        <f>IF($A1461="","",IF($H1461="ENGAGE","Engagé",IF(AND($H1461="NON ENGAGE",OR($I1461="INFRUCTUEUX",$I1461="ANNULE")),"Clôturé sans suite","En cours")))</f>
        <v/>
      </c>
      <c r="N1461">
        <f>IF(ISBLANK('ENGAGEMENTS 2026'!B1461),"",'ENGAGEMENTS 2026'!K1461)</f>
        <v/>
      </c>
      <c r="O1461">
        <f>IF(ISBLANK('ENGAGEMENTS 2026'!B1461),"",'ENGAGEMENTS 2026'!L1461)</f>
        <v/>
      </c>
      <c r="P1461">
        <f>IF(ISBLANK('ENGAGEMENTS 2026'!B1461),"",'ENGAGEMENTS 2026'!J1461)</f>
        <v/>
      </c>
      <c r="Q1461">
        <f>IF($A1461="","",IF(OR($E1461="INFRUCTUEUX",$E1461="ANNULE"),$A1461&amp;"|"&amp;(COUNTIFS($A$2:$A1461,$A1461,$E$2:$E1461,"INFRUCTUEUX")+COUNTIFS($A$2:$A1461,$A1461,$E$2:$E1461,"ANNULE")),""))</f>
        <v/>
      </c>
    </row>
    <row r="1462">
      <c r="A1462">
        <f>IF(ISBLANK('ENGAGEMENTS 2026'!B1462),"",IF('ENGAGEMENTS 2026'!B1462="DTSI","DCT",'ENGAGEMENTS 2026'!B1462))</f>
        <v/>
      </c>
      <c r="B1462">
        <f>IF(ISBLANK('ENGAGEMENTS 2026'!B1462),"",'ENGAGEMENTS 2026'!C1462)</f>
        <v/>
      </c>
      <c r="C1462">
        <f>IF(ISBLANK('ENGAGEMENTS 2026'!B1462),"",'ENGAGEMENTS 2026'!D1462)</f>
        <v/>
      </c>
      <c r="D1462">
        <f>IF(ISBLANK('ENGAGEMENTS 2026'!B1462),"",'ENGAGEMENTS 2026'!F1462)</f>
        <v/>
      </c>
      <c r="E1462">
        <f>IF(ISBLANK('ENGAGEMENTS 2026'!B1462),"",'ENGAGEMENTS 2026'!H1462)</f>
        <v/>
      </c>
      <c r="F1462">
        <f>IF(ISBLANK('ENGAGEMENTS 2026'!B1462),"",'ENGAGEMENTS 2026'!I1462)</f>
        <v/>
      </c>
      <c r="G1462">
        <f>IF(ISBLANK('ENGAGEMENTS 2026'!B1462),"",'ENGAGEMENTS 2026'!L1462)</f>
        <v/>
      </c>
      <c r="H1462">
        <f>IF(ISBLANK('ENGAGEMENTS 2026'!B1462),"",'ENGAGEMENTS 2026'!AE1462)</f>
        <v/>
      </c>
      <c r="I1462">
        <f>IF(ISBLANK('ENGAGEMENTS 2026'!B1462),"",'ENGAGEMENTS 2026'!G1462)</f>
        <v/>
      </c>
      <c r="J1462" s="275">
        <f>IF(ISBLANK('ENGAGEMENTS 2026'!B1462),"",IF(AND(OR($E1462="INFRUCTUEUX",$E1462="ANNULE"),$C1462="AOO-M"),'ENGAGEMENTS 2026'!O1462,IF($H1462="EN COURS DE PREENGAGEMENT",'ENGAGEMENTS 2026'!N1462,IF($H1462="PREENGAGE",IF($E1462="ATTRIBUE",'ENGAGEMENTS 2026'!AD1462,'ENGAGEMENTS 2026'!N1462),'ENGAGEMENTS 2026'!AD1462))))</f>
        <v/>
      </c>
      <c r="K1462" s="604">
        <f>IF(ISBLANK('ENGAGEMENTS 2026'!V1462),"",'ENGAGEMENTS 2026'!V1462)</f>
        <v/>
      </c>
      <c r="L1462" s="276">
        <f>IF($K1462="","",TODAY()-$K1462)</f>
        <v/>
      </c>
      <c r="M1462">
        <f>IF($A1462="","",IF($H1462="ENGAGE","Engagé",IF(AND($H1462="NON ENGAGE",OR($I1462="INFRUCTUEUX",$I1462="ANNULE")),"Clôturé sans suite","En cours")))</f>
        <v/>
      </c>
      <c r="N1462">
        <f>IF(ISBLANK('ENGAGEMENTS 2026'!B1462),"",'ENGAGEMENTS 2026'!K1462)</f>
        <v/>
      </c>
      <c r="O1462">
        <f>IF(ISBLANK('ENGAGEMENTS 2026'!B1462),"",'ENGAGEMENTS 2026'!L1462)</f>
        <v/>
      </c>
      <c r="P1462">
        <f>IF(ISBLANK('ENGAGEMENTS 2026'!B1462),"",'ENGAGEMENTS 2026'!J1462)</f>
        <v/>
      </c>
      <c r="Q1462">
        <f>IF($A1462="","",IF(OR($E1462="INFRUCTUEUX",$E1462="ANNULE"),$A1462&amp;"|"&amp;(COUNTIFS($A$2:$A1462,$A1462,$E$2:$E1462,"INFRUCTUEUX")+COUNTIFS($A$2:$A1462,$A1462,$E$2:$E1462,"ANNULE")),""))</f>
        <v/>
      </c>
    </row>
    <row r="1463">
      <c r="A1463">
        <f>IF(ISBLANK('ENGAGEMENTS 2026'!B1463),"",IF('ENGAGEMENTS 2026'!B1463="DTSI","DCT",'ENGAGEMENTS 2026'!B1463))</f>
        <v/>
      </c>
      <c r="B1463">
        <f>IF(ISBLANK('ENGAGEMENTS 2026'!B1463),"",'ENGAGEMENTS 2026'!C1463)</f>
        <v/>
      </c>
      <c r="C1463">
        <f>IF(ISBLANK('ENGAGEMENTS 2026'!B1463),"",'ENGAGEMENTS 2026'!D1463)</f>
        <v/>
      </c>
      <c r="D1463">
        <f>IF(ISBLANK('ENGAGEMENTS 2026'!B1463),"",'ENGAGEMENTS 2026'!F1463)</f>
        <v/>
      </c>
      <c r="E1463">
        <f>IF(ISBLANK('ENGAGEMENTS 2026'!B1463),"",'ENGAGEMENTS 2026'!H1463)</f>
        <v/>
      </c>
      <c r="F1463">
        <f>IF(ISBLANK('ENGAGEMENTS 2026'!B1463),"",'ENGAGEMENTS 2026'!I1463)</f>
        <v/>
      </c>
      <c r="G1463">
        <f>IF(ISBLANK('ENGAGEMENTS 2026'!B1463),"",'ENGAGEMENTS 2026'!L1463)</f>
        <v/>
      </c>
      <c r="H1463">
        <f>IF(ISBLANK('ENGAGEMENTS 2026'!B1463),"",'ENGAGEMENTS 2026'!AE1463)</f>
        <v/>
      </c>
      <c r="I1463">
        <f>IF(ISBLANK('ENGAGEMENTS 2026'!B1463),"",'ENGAGEMENTS 2026'!G1463)</f>
        <v/>
      </c>
      <c r="J1463" s="275">
        <f>IF(ISBLANK('ENGAGEMENTS 2026'!B1463),"",IF(AND(OR($E1463="INFRUCTUEUX",$E1463="ANNULE"),$C1463="AOO-M"),'ENGAGEMENTS 2026'!O1463,IF($H1463="EN COURS DE PREENGAGEMENT",'ENGAGEMENTS 2026'!N1463,IF($H1463="PREENGAGE",IF($E1463="ATTRIBUE",'ENGAGEMENTS 2026'!AD1463,'ENGAGEMENTS 2026'!N1463),'ENGAGEMENTS 2026'!AD1463))))</f>
        <v/>
      </c>
      <c r="K1463" s="604">
        <f>IF(ISBLANK('ENGAGEMENTS 2026'!V1463),"",'ENGAGEMENTS 2026'!V1463)</f>
        <v/>
      </c>
      <c r="L1463" s="276">
        <f>IF($K1463="","",TODAY()-$K1463)</f>
        <v/>
      </c>
      <c r="M1463">
        <f>IF($A1463="","",IF($H1463="ENGAGE","Engagé",IF(AND($H1463="NON ENGAGE",OR($I1463="INFRUCTUEUX",$I1463="ANNULE")),"Clôturé sans suite","En cours")))</f>
        <v/>
      </c>
      <c r="N1463">
        <f>IF(ISBLANK('ENGAGEMENTS 2026'!B1463),"",'ENGAGEMENTS 2026'!K1463)</f>
        <v/>
      </c>
      <c r="O1463">
        <f>IF(ISBLANK('ENGAGEMENTS 2026'!B1463),"",'ENGAGEMENTS 2026'!L1463)</f>
        <v/>
      </c>
      <c r="P1463">
        <f>IF(ISBLANK('ENGAGEMENTS 2026'!B1463),"",'ENGAGEMENTS 2026'!J1463)</f>
        <v/>
      </c>
      <c r="Q1463">
        <f>IF($A1463="","",IF(OR($E1463="INFRUCTUEUX",$E1463="ANNULE"),$A1463&amp;"|"&amp;(COUNTIFS($A$2:$A1463,$A1463,$E$2:$E1463,"INFRUCTUEUX")+COUNTIFS($A$2:$A1463,$A1463,$E$2:$E1463,"ANNULE")),""))</f>
        <v/>
      </c>
    </row>
    <row r="1464">
      <c r="A1464">
        <f>IF(ISBLANK('ENGAGEMENTS 2026'!B1464),"",IF('ENGAGEMENTS 2026'!B1464="DTSI","DCT",'ENGAGEMENTS 2026'!B1464))</f>
        <v/>
      </c>
      <c r="B1464">
        <f>IF(ISBLANK('ENGAGEMENTS 2026'!B1464),"",'ENGAGEMENTS 2026'!C1464)</f>
        <v/>
      </c>
      <c r="C1464">
        <f>IF(ISBLANK('ENGAGEMENTS 2026'!B1464),"",'ENGAGEMENTS 2026'!D1464)</f>
        <v/>
      </c>
      <c r="D1464">
        <f>IF(ISBLANK('ENGAGEMENTS 2026'!B1464),"",'ENGAGEMENTS 2026'!F1464)</f>
        <v/>
      </c>
      <c r="E1464">
        <f>IF(ISBLANK('ENGAGEMENTS 2026'!B1464),"",'ENGAGEMENTS 2026'!H1464)</f>
        <v/>
      </c>
      <c r="F1464">
        <f>IF(ISBLANK('ENGAGEMENTS 2026'!B1464),"",'ENGAGEMENTS 2026'!I1464)</f>
        <v/>
      </c>
      <c r="G1464">
        <f>IF(ISBLANK('ENGAGEMENTS 2026'!B1464),"",'ENGAGEMENTS 2026'!L1464)</f>
        <v/>
      </c>
      <c r="H1464">
        <f>IF(ISBLANK('ENGAGEMENTS 2026'!B1464),"",'ENGAGEMENTS 2026'!AE1464)</f>
        <v/>
      </c>
      <c r="I1464">
        <f>IF(ISBLANK('ENGAGEMENTS 2026'!B1464),"",'ENGAGEMENTS 2026'!G1464)</f>
        <v/>
      </c>
      <c r="J1464" s="275">
        <f>IF(ISBLANK('ENGAGEMENTS 2026'!B1464),"",IF(AND(OR($E1464="INFRUCTUEUX",$E1464="ANNULE"),$C1464="AOO-M"),'ENGAGEMENTS 2026'!O1464,IF($H1464="EN COURS DE PREENGAGEMENT",'ENGAGEMENTS 2026'!N1464,IF($H1464="PREENGAGE",IF($E1464="ATTRIBUE",'ENGAGEMENTS 2026'!AD1464,'ENGAGEMENTS 2026'!N1464),'ENGAGEMENTS 2026'!AD1464))))</f>
        <v/>
      </c>
      <c r="K1464" s="604">
        <f>IF(ISBLANK('ENGAGEMENTS 2026'!V1464),"",'ENGAGEMENTS 2026'!V1464)</f>
        <v/>
      </c>
      <c r="L1464" s="276">
        <f>IF($K1464="","",TODAY()-$K1464)</f>
        <v/>
      </c>
      <c r="M1464">
        <f>IF($A1464="","",IF($H1464="ENGAGE","Engagé",IF(AND($H1464="NON ENGAGE",OR($I1464="INFRUCTUEUX",$I1464="ANNULE")),"Clôturé sans suite","En cours")))</f>
        <v/>
      </c>
      <c r="N1464">
        <f>IF(ISBLANK('ENGAGEMENTS 2026'!B1464),"",'ENGAGEMENTS 2026'!K1464)</f>
        <v/>
      </c>
      <c r="O1464">
        <f>IF(ISBLANK('ENGAGEMENTS 2026'!B1464),"",'ENGAGEMENTS 2026'!L1464)</f>
        <v/>
      </c>
      <c r="P1464">
        <f>IF(ISBLANK('ENGAGEMENTS 2026'!B1464),"",'ENGAGEMENTS 2026'!J1464)</f>
        <v/>
      </c>
      <c r="Q1464">
        <f>IF($A1464="","",IF(OR($E1464="INFRUCTUEUX",$E1464="ANNULE"),$A1464&amp;"|"&amp;(COUNTIFS($A$2:$A1464,$A1464,$E$2:$E1464,"INFRUCTUEUX")+COUNTIFS($A$2:$A1464,$A1464,$E$2:$E1464,"ANNULE")),""))</f>
        <v/>
      </c>
    </row>
    <row r="1465">
      <c r="A1465">
        <f>IF(ISBLANK('ENGAGEMENTS 2026'!B1465),"",IF('ENGAGEMENTS 2026'!B1465="DTSI","DCT",'ENGAGEMENTS 2026'!B1465))</f>
        <v/>
      </c>
      <c r="B1465">
        <f>IF(ISBLANK('ENGAGEMENTS 2026'!B1465),"",'ENGAGEMENTS 2026'!C1465)</f>
        <v/>
      </c>
      <c r="C1465">
        <f>IF(ISBLANK('ENGAGEMENTS 2026'!B1465),"",'ENGAGEMENTS 2026'!D1465)</f>
        <v/>
      </c>
      <c r="D1465">
        <f>IF(ISBLANK('ENGAGEMENTS 2026'!B1465),"",'ENGAGEMENTS 2026'!F1465)</f>
        <v/>
      </c>
      <c r="E1465">
        <f>IF(ISBLANK('ENGAGEMENTS 2026'!B1465),"",'ENGAGEMENTS 2026'!H1465)</f>
        <v/>
      </c>
      <c r="F1465">
        <f>IF(ISBLANK('ENGAGEMENTS 2026'!B1465),"",'ENGAGEMENTS 2026'!I1465)</f>
        <v/>
      </c>
      <c r="G1465">
        <f>IF(ISBLANK('ENGAGEMENTS 2026'!B1465),"",'ENGAGEMENTS 2026'!L1465)</f>
        <v/>
      </c>
      <c r="H1465">
        <f>IF(ISBLANK('ENGAGEMENTS 2026'!B1465),"",'ENGAGEMENTS 2026'!AE1465)</f>
        <v/>
      </c>
      <c r="I1465">
        <f>IF(ISBLANK('ENGAGEMENTS 2026'!B1465),"",'ENGAGEMENTS 2026'!G1465)</f>
        <v/>
      </c>
      <c r="J1465" s="275">
        <f>IF(ISBLANK('ENGAGEMENTS 2026'!B1465),"",IF(AND(OR($E1465="INFRUCTUEUX",$E1465="ANNULE"),$C1465="AOO-M"),'ENGAGEMENTS 2026'!O1465,IF($H1465="EN COURS DE PREENGAGEMENT",'ENGAGEMENTS 2026'!N1465,IF($H1465="PREENGAGE",IF($E1465="ATTRIBUE",'ENGAGEMENTS 2026'!AD1465,'ENGAGEMENTS 2026'!N1465),'ENGAGEMENTS 2026'!AD1465))))</f>
        <v/>
      </c>
      <c r="K1465" s="604">
        <f>IF(ISBLANK('ENGAGEMENTS 2026'!V1465),"",'ENGAGEMENTS 2026'!V1465)</f>
        <v/>
      </c>
      <c r="L1465" s="276">
        <f>IF($K1465="","",TODAY()-$K1465)</f>
        <v/>
      </c>
      <c r="M1465">
        <f>IF($A1465="","",IF($H1465="ENGAGE","Engagé",IF(AND($H1465="NON ENGAGE",OR($I1465="INFRUCTUEUX",$I1465="ANNULE")),"Clôturé sans suite","En cours")))</f>
        <v/>
      </c>
      <c r="N1465">
        <f>IF(ISBLANK('ENGAGEMENTS 2026'!B1465),"",'ENGAGEMENTS 2026'!K1465)</f>
        <v/>
      </c>
      <c r="O1465">
        <f>IF(ISBLANK('ENGAGEMENTS 2026'!B1465),"",'ENGAGEMENTS 2026'!L1465)</f>
        <v/>
      </c>
      <c r="P1465">
        <f>IF(ISBLANK('ENGAGEMENTS 2026'!B1465),"",'ENGAGEMENTS 2026'!J1465)</f>
        <v/>
      </c>
      <c r="Q1465">
        <f>IF($A1465="","",IF(OR($E1465="INFRUCTUEUX",$E1465="ANNULE"),$A1465&amp;"|"&amp;(COUNTIFS($A$2:$A1465,$A1465,$E$2:$E1465,"INFRUCTUEUX")+COUNTIFS($A$2:$A1465,$A1465,$E$2:$E1465,"ANNULE")),""))</f>
        <v/>
      </c>
    </row>
    <row r="1466">
      <c r="A1466">
        <f>IF(ISBLANK('ENGAGEMENTS 2026'!B1466),"",IF('ENGAGEMENTS 2026'!B1466="DTSI","DCT",'ENGAGEMENTS 2026'!B1466))</f>
        <v/>
      </c>
      <c r="B1466">
        <f>IF(ISBLANK('ENGAGEMENTS 2026'!B1466),"",'ENGAGEMENTS 2026'!C1466)</f>
        <v/>
      </c>
      <c r="C1466">
        <f>IF(ISBLANK('ENGAGEMENTS 2026'!B1466),"",'ENGAGEMENTS 2026'!D1466)</f>
        <v/>
      </c>
      <c r="D1466">
        <f>IF(ISBLANK('ENGAGEMENTS 2026'!B1466),"",'ENGAGEMENTS 2026'!F1466)</f>
        <v/>
      </c>
      <c r="E1466">
        <f>IF(ISBLANK('ENGAGEMENTS 2026'!B1466),"",'ENGAGEMENTS 2026'!H1466)</f>
        <v/>
      </c>
      <c r="F1466">
        <f>IF(ISBLANK('ENGAGEMENTS 2026'!B1466),"",'ENGAGEMENTS 2026'!I1466)</f>
        <v/>
      </c>
      <c r="G1466">
        <f>IF(ISBLANK('ENGAGEMENTS 2026'!B1466),"",'ENGAGEMENTS 2026'!L1466)</f>
        <v/>
      </c>
      <c r="H1466">
        <f>IF(ISBLANK('ENGAGEMENTS 2026'!B1466),"",'ENGAGEMENTS 2026'!AE1466)</f>
        <v/>
      </c>
      <c r="I1466">
        <f>IF(ISBLANK('ENGAGEMENTS 2026'!B1466),"",'ENGAGEMENTS 2026'!G1466)</f>
        <v/>
      </c>
      <c r="J1466" s="275">
        <f>IF(ISBLANK('ENGAGEMENTS 2026'!B1466),"",IF(AND(OR($E1466="INFRUCTUEUX",$E1466="ANNULE"),$C1466="AOO-M"),'ENGAGEMENTS 2026'!O1466,IF($H1466="EN COURS DE PREENGAGEMENT",'ENGAGEMENTS 2026'!N1466,IF($H1466="PREENGAGE",IF($E1466="ATTRIBUE",'ENGAGEMENTS 2026'!AD1466,'ENGAGEMENTS 2026'!N1466),'ENGAGEMENTS 2026'!AD1466))))</f>
        <v/>
      </c>
      <c r="K1466" s="604">
        <f>IF(ISBLANK('ENGAGEMENTS 2026'!V1466),"",'ENGAGEMENTS 2026'!V1466)</f>
        <v/>
      </c>
      <c r="L1466" s="276">
        <f>IF($K1466="","",TODAY()-$K1466)</f>
        <v/>
      </c>
      <c r="M1466">
        <f>IF($A1466="","",IF($H1466="ENGAGE","Engagé",IF(AND($H1466="NON ENGAGE",OR($I1466="INFRUCTUEUX",$I1466="ANNULE")),"Clôturé sans suite","En cours")))</f>
        <v/>
      </c>
      <c r="N1466">
        <f>IF(ISBLANK('ENGAGEMENTS 2026'!B1466),"",'ENGAGEMENTS 2026'!K1466)</f>
        <v/>
      </c>
      <c r="O1466">
        <f>IF(ISBLANK('ENGAGEMENTS 2026'!B1466),"",'ENGAGEMENTS 2026'!L1466)</f>
        <v/>
      </c>
      <c r="P1466">
        <f>IF(ISBLANK('ENGAGEMENTS 2026'!B1466),"",'ENGAGEMENTS 2026'!J1466)</f>
        <v/>
      </c>
      <c r="Q1466">
        <f>IF($A1466="","",IF(OR($E1466="INFRUCTUEUX",$E1466="ANNULE"),$A1466&amp;"|"&amp;(COUNTIFS($A$2:$A1466,$A1466,$E$2:$E1466,"INFRUCTUEUX")+COUNTIFS($A$2:$A1466,$A1466,$E$2:$E1466,"ANNULE")),""))</f>
        <v/>
      </c>
    </row>
    <row r="1467">
      <c r="A1467">
        <f>IF(ISBLANK('ENGAGEMENTS 2026'!B1467),"",IF('ENGAGEMENTS 2026'!B1467="DTSI","DCT",'ENGAGEMENTS 2026'!B1467))</f>
        <v/>
      </c>
      <c r="B1467">
        <f>IF(ISBLANK('ENGAGEMENTS 2026'!B1467),"",'ENGAGEMENTS 2026'!C1467)</f>
        <v/>
      </c>
      <c r="C1467">
        <f>IF(ISBLANK('ENGAGEMENTS 2026'!B1467),"",'ENGAGEMENTS 2026'!D1467)</f>
        <v/>
      </c>
      <c r="D1467">
        <f>IF(ISBLANK('ENGAGEMENTS 2026'!B1467),"",'ENGAGEMENTS 2026'!F1467)</f>
        <v/>
      </c>
      <c r="E1467">
        <f>IF(ISBLANK('ENGAGEMENTS 2026'!B1467),"",'ENGAGEMENTS 2026'!H1467)</f>
        <v/>
      </c>
      <c r="F1467">
        <f>IF(ISBLANK('ENGAGEMENTS 2026'!B1467),"",'ENGAGEMENTS 2026'!I1467)</f>
        <v/>
      </c>
      <c r="G1467">
        <f>IF(ISBLANK('ENGAGEMENTS 2026'!B1467),"",'ENGAGEMENTS 2026'!L1467)</f>
        <v/>
      </c>
      <c r="H1467">
        <f>IF(ISBLANK('ENGAGEMENTS 2026'!B1467),"",'ENGAGEMENTS 2026'!AE1467)</f>
        <v/>
      </c>
      <c r="I1467">
        <f>IF(ISBLANK('ENGAGEMENTS 2026'!B1467),"",'ENGAGEMENTS 2026'!G1467)</f>
        <v/>
      </c>
      <c r="J1467" s="275">
        <f>IF(ISBLANK('ENGAGEMENTS 2026'!B1467),"",IF(AND(OR($E1467="INFRUCTUEUX",$E1467="ANNULE"),$C1467="AOO-M"),'ENGAGEMENTS 2026'!O1467,IF($H1467="EN COURS DE PREENGAGEMENT",'ENGAGEMENTS 2026'!N1467,IF($H1467="PREENGAGE",IF($E1467="ATTRIBUE",'ENGAGEMENTS 2026'!AD1467,'ENGAGEMENTS 2026'!N1467),'ENGAGEMENTS 2026'!AD1467))))</f>
        <v/>
      </c>
      <c r="K1467" s="604">
        <f>IF(ISBLANK('ENGAGEMENTS 2026'!V1467),"",'ENGAGEMENTS 2026'!V1467)</f>
        <v/>
      </c>
      <c r="L1467" s="276">
        <f>IF($K1467="","",TODAY()-$K1467)</f>
        <v/>
      </c>
      <c r="M1467">
        <f>IF($A1467="","",IF($H1467="ENGAGE","Engagé",IF(AND($H1467="NON ENGAGE",OR($I1467="INFRUCTUEUX",$I1467="ANNULE")),"Clôturé sans suite","En cours")))</f>
        <v/>
      </c>
      <c r="N1467">
        <f>IF(ISBLANK('ENGAGEMENTS 2026'!B1467),"",'ENGAGEMENTS 2026'!K1467)</f>
        <v/>
      </c>
      <c r="O1467">
        <f>IF(ISBLANK('ENGAGEMENTS 2026'!B1467),"",'ENGAGEMENTS 2026'!L1467)</f>
        <v/>
      </c>
      <c r="P1467">
        <f>IF(ISBLANK('ENGAGEMENTS 2026'!B1467),"",'ENGAGEMENTS 2026'!J1467)</f>
        <v/>
      </c>
      <c r="Q1467">
        <f>IF($A1467="","",IF(OR($E1467="INFRUCTUEUX",$E1467="ANNULE"),$A1467&amp;"|"&amp;(COUNTIFS($A$2:$A1467,$A1467,$E$2:$E1467,"INFRUCTUEUX")+COUNTIFS($A$2:$A1467,$A1467,$E$2:$E1467,"ANNULE")),""))</f>
        <v/>
      </c>
    </row>
    <row r="1468">
      <c r="A1468">
        <f>IF(ISBLANK('ENGAGEMENTS 2026'!B1468),"",IF('ENGAGEMENTS 2026'!B1468="DTSI","DCT",'ENGAGEMENTS 2026'!B1468))</f>
        <v/>
      </c>
      <c r="B1468">
        <f>IF(ISBLANK('ENGAGEMENTS 2026'!B1468),"",'ENGAGEMENTS 2026'!C1468)</f>
        <v/>
      </c>
      <c r="C1468">
        <f>IF(ISBLANK('ENGAGEMENTS 2026'!B1468),"",'ENGAGEMENTS 2026'!D1468)</f>
        <v/>
      </c>
      <c r="D1468">
        <f>IF(ISBLANK('ENGAGEMENTS 2026'!B1468),"",'ENGAGEMENTS 2026'!F1468)</f>
        <v/>
      </c>
      <c r="E1468">
        <f>IF(ISBLANK('ENGAGEMENTS 2026'!B1468),"",'ENGAGEMENTS 2026'!H1468)</f>
        <v/>
      </c>
      <c r="F1468">
        <f>IF(ISBLANK('ENGAGEMENTS 2026'!B1468),"",'ENGAGEMENTS 2026'!I1468)</f>
        <v/>
      </c>
      <c r="G1468">
        <f>IF(ISBLANK('ENGAGEMENTS 2026'!B1468),"",'ENGAGEMENTS 2026'!L1468)</f>
        <v/>
      </c>
      <c r="H1468">
        <f>IF(ISBLANK('ENGAGEMENTS 2026'!B1468),"",'ENGAGEMENTS 2026'!AE1468)</f>
        <v/>
      </c>
      <c r="I1468">
        <f>IF(ISBLANK('ENGAGEMENTS 2026'!B1468),"",'ENGAGEMENTS 2026'!G1468)</f>
        <v/>
      </c>
      <c r="J1468" s="275">
        <f>IF(ISBLANK('ENGAGEMENTS 2026'!B1468),"",IF(AND(OR($E1468="INFRUCTUEUX",$E1468="ANNULE"),$C1468="AOO-M"),'ENGAGEMENTS 2026'!O1468,IF($H1468="EN COURS DE PREENGAGEMENT",'ENGAGEMENTS 2026'!N1468,IF($H1468="PREENGAGE",IF($E1468="ATTRIBUE",'ENGAGEMENTS 2026'!AD1468,'ENGAGEMENTS 2026'!N1468),'ENGAGEMENTS 2026'!AD1468))))</f>
        <v/>
      </c>
      <c r="K1468" s="604">
        <f>IF(ISBLANK('ENGAGEMENTS 2026'!V1468),"",'ENGAGEMENTS 2026'!V1468)</f>
        <v/>
      </c>
      <c r="L1468" s="276">
        <f>IF($K1468="","",TODAY()-$K1468)</f>
        <v/>
      </c>
      <c r="M1468">
        <f>IF($A1468="","",IF($H1468="ENGAGE","Engagé",IF(AND($H1468="NON ENGAGE",OR($I1468="INFRUCTUEUX",$I1468="ANNULE")),"Clôturé sans suite","En cours")))</f>
        <v/>
      </c>
      <c r="N1468">
        <f>IF(ISBLANK('ENGAGEMENTS 2026'!B1468),"",'ENGAGEMENTS 2026'!K1468)</f>
        <v/>
      </c>
      <c r="O1468">
        <f>IF(ISBLANK('ENGAGEMENTS 2026'!B1468),"",'ENGAGEMENTS 2026'!L1468)</f>
        <v/>
      </c>
      <c r="P1468">
        <f>IF(ISBLANK('ENGAGEMENTS 2026'!B1468),"",'ENGAGEMENTS 2026'!J1468)</f>
        <v/>
      </c>
      <c r="Q1468">
        <f>IF($A1468="","",IF(OR($E1468="INFRUCTUEUX",$E1468="ANNULE"),$A1468&amp;"|"&amp;(COUNTIFS($A$2:$A1468,$A1468,$E$2:$E1468,"INFRUCTUEUX")+COUNTIFS($A$2:$A1468,$A1468,$E$2:$E1468,"ANNULE")),""))</f>
        <v/>
      </c>
    </row>
    <row r="1469">
      <c r="A1469">
        <f>IF(ISBLANK('ENGAGEMENTS 2026'!B1469),"",IF('ENGAGEMENTS 2026'!B1469="DTSI","DCT",'ENGAGEMENTS 2026'!B1469))</f>
        <v/>
      </c>
      <c r="B1469">
        <f>IF(ISBLANK('ENGAGEMENTS 2026'!B1469),"",'ENGAGEMENTS 2026'!C1469)</f>
        <v/>
      </c>
      <c r="C1469">
        <f>IF(ISBLANK('ENGAGEMENTS 2026'!B1469),"",'ENGAGEMENTS 2026'!D1469)</f>
        <v/>
      </c>
      <c r="D1469">
        <f>IF(ISBLANK('ENGAGEMENTS 2026'!B1469),"",'ENGAGEMENTS 2026'!F1469)</f>
        <v/>
      </c>
      <c r="E1469">
        <f>IF(ISBLANK('ENGAGEMENTS 2026'!B1469),"",'ENGAGEMENTS 2026'!H1469)</f>
        <v/>
      </c>
      <c r="F1469">
        <f>IF(ISBLANK('ENGAGEMENTS 2026'!B1469),"",'ENGAGEMENTS 2026'!I1469)</f>
        <v/>
      </c>
      <c r="G1469">
        <f>IF(ISBLANK('ENGAGEMENTS 2026'!B1469),"",'ENGAGEMENTS 2026'!L1469)</f>
        <v/>
      </c>
      <c r="H1469">
        <f>IF(ISBLANK('ENGAGEMENTS 2026'!B1469),"",'ENGAGEMENTS 2026'!AE1469)</f>
        <v/>
      </c>
      <c r="I1469">
        <f>IF(ISBLANK('ENGAGEMENTS 2026'!B1469),"",'ENGAGEMENTS 2026'!G1469)</f>
        <v/>
      </c>
      <c r="J1469" s="275">
        <f>IF(ISBLANK('ENGAGEMENTS 2026'!B1469),"",IF(AND(OR($E1469="INFRUCTUEUX",$E1469="ANNULE"),$C1469="AOO-M"),'ENGAGEMENTS 2026'!O1469,IF($H1469="EN COURS DE PREENGAGEMENT",'ENGAGEMENTS 2026'!N1469,IF($H1469="PREENGAGE",IF($E1469="ATTRIBUE",'ENGAGEMENTS 2026'!AD1469,'ENGAGEMENTS 2026'!N1469),'ENGAGEMENTS 2026'!AD1469))))</f>
        <v/>
      </c>
      <c r="K1469" s="604">
        <f>IF(ISBLANK('ENGAGEMENTS 2026'!V1469),"",'ENGAGEMENTS 2026'!V1469)</f>
        <v/>
      </c>
      <c r="L1469" s="276">
        <f>IF($K1469="","",TODAY()-$K1469)</f>
        <v/>
      </c>
      <c r="M1469">
        <f>IF($A1469="","",IF($H1469="ENGAGE","Engagé",IF(AND($H1469="NON ENGAGE",OR($I1469="INFRUCTUEUX",$I1469="ANNULE")),"Clôturé sans suite","En cours")))</f>
        <v/>
      </c>
      <c r="N1469">
        <f>IF(ISBLANK('ENGAGEMENTS 2026'!B1469),"",'ENGAGEMENTS 2026'!K1469)</f>
        <v/>
      </c>
      <c r="O1469">
        <f>IF(ISBLANK('ENGAGEMENTS 2026'!B1469),"",'ENGAGEMENTS 2026'!L1469)</f>
        <v/>
      </c>
      <c r="P1469">
        <f>IF(ISBLANK('ENGAGEMENTS 2026'!B1469),"",'ENGAGEMENTS 2026'!J1469)</f>
        <v/>
      </c>
      <c r="Q1469">
        <f>IF($A1469="","",IF(OR($E1469="INFRUCTUEUX",$E1469="ANNULE"),$A1469&amp;"|"&amp;(COUNTIFS($A$2:$A1469,$A1469,$E$2:$E1469,"INFRUCTUEUX")+COUNTIFS($A$2:$A1469,$A1469,$E$2:$E1469,"ANNULE")),""))</f>
        <v/>
      </c>
    </row>
    <row r="1470">
      <c r="A1470">
        <f>IF(ISBLANK('ENGAGEMENTS 2026'!B1470),"",IF('ENGAGEMENTS 2026'!B1470="DTSI","DCT",'ENGAGEMENTS 2026'!B1470))</f>
        <v/>
      </c>
      <c r="B1470">
        <f>IF(ISBLANK('ENGAGEMENTS 2026'!B1470),"",'ENGAGEMENTS 2026'!C1470)</f>
        <v/>
      </c>
      <c r="C1470">
        <f>IF(ISBLANK('ENGAGEMENTS 2026'!B1470),"",'ENGAGEMENTS 2026'!D1470)</f>
        <v/>
      </c>
      <c r="D1470">
        <f>IF(ISBLANK('ENGAGEMENTS 2026'!B1470),"",'ENGAGEMENTS 2026'!F1470)</f>
        <v/>
      </c>
      <c r="E1470">
        <f>IF(ISBLANK('ENGAGEMENTS 2026'!B1470),"",'ENGAGEMENTS 2026'!H1470)</f>
        <v/>
      </c>
      <c r="F1470">
        <f>IF(ISBLANK('ENGAGEMENTS 2026'!B1470),"",'ENGAGEMENTS 2026'!I1470)</f>
        <v/>
      </c>
      <c r="G1470">
        <f>IF(ISBLANK('ENGAGEMENTS 2026'!B1470),"",'ENGAGEMENTS 2026'!L1470)</f>
        <v/>
      </c>
      <c r="H1470">
        <f>IF(ISBLANK('ENGAGEMENTS 2026'!B1470),"",'ENGAGEMENTS 2026'!AE1470)</f>
        <v/>
      </c>
      <c r="I1470">
        <f>IF(ISBLANK('ENGAGEMENTS 2026'!B1470),"",'ENGAGEMENTS 2026'!G1470)</f>
        <v/>
      </c>
      <c r="J1470" s="275">
        <f>IF(ISBLANK('ENGAGEMENTS 2026'!B1470),"",IF(AND(OR($E1470="INFRUCTUEUX",$E1470="ANNULE"),$C1470="AOO-M"),'ENGAGEMENTS 2026'!O1470,IF($H1470="EN COURS DE PREENGAGEMENT",'ENGAGEMENTS 2026'!N1470,IF($H1470="PREENGAGE",IF($E1470="ATTRIBUE",'ENGAGEMENTS 2026'!AD1470,'ENGAGEMENTS 2026'!N1470),'ENGAGEMENTS 2026'!AD1470))))</f>
        <v/>
      </c>
      <c r="K1470" s="604">
        <f>IF(ISBLANK('ENGAGEMENTS 2026'!V1470),"",'ENGAGEMENTS 2026'!V1470)</f>
        <v/>
      </c>
      <c r="L1470" s="276">
        <f>IF($K1470="","",TODAY()-$K1470)</f>
        <v/>
      </c>
      <c r="M1470">
        <f>IF($A1470="","",IF($H1470="ENGAGE","Engagé",IF(AND($H1470="NON ENGAGE",OR($I1470="INFRUCTUEUX",$I1470="ANNULE")),"Clôturé sans suite","En cours")))</f>
        <v/>
      </c>
      <c r="N1470">
        <f>IF(ISBLANK('ENGAGEMENTS 2026'!B1470),"",'ENGAGEMENTS 2026'!K1470)</f>
        <v/>
      </c>
      <c r="O1470">
        <f>IF(ISBLANK('ENGAGEMENTS 2026'!B1470),"",'ENGAGEMENTS 2026'!L1470)</f>
        <v/>
      </c>
      <c r="P1470">
        <f>IF(ISBLANK('ENGAGEMENTS 2026'!B1470),"",'ENGAGEMENTS 2026'!J1470)</f>
        <v/>
      </c>
      <c r="Q1470">
        <f>IF($A1470="","",IF(OR($E1470="INFRUCTUEUX",$E1470="ANNULE"),$A1470&amp;"|"&amp;(COUNTIFS($A$2:$A1470,$A1470,$E$2:$E1470,"INFRUCTUEUX")+COUNTIFS($A$2:$A1470,$A1470,$E$2:$E1470,"ANNULE")),""))</f>
        <v/>
      </c>
    </row>
    <row r="1471">
      <c r="A1471">
        <f>IF(ISBLANK('ENGAGEMENTS 2026'!B1471),"",IF('ENGAGEMENTS 2026'!B1471="DTSI","DCT",'ENGAGEMENTS 2026'!B1471))</f>
        <v/>
      </c>
      <c r="B1471">
        <f>IF(ISBLANK('ENGAGEMENTS 2026'!B1471),"",'ENGAGEMENTS 2026'!C1471)</f>
        <v/>
      </c>
      <c r="C1471">
        <f>IF(ISBLANK('ENGAGEMENTS 2026'!B1471),"",'ENGAGEMENTS 2026'!D1471)</f>
        <v/>
      </c>
      <c r="D1471">
        <f>IF(ISBLANK('ENGAGEMENTS 2026'!B1471),"",'ENGAGEMENTS 2026'!F1471)</f>
        <v/>
      </c>
      <c r="E1471">
        <f>IF(ISBLANK('ENGAGEMENTS 2026'!B1471),"",'ENGAGEMENTS 2026'!H1471)</f>
        <v/>
      </c>
      <c r="F1471">
        <f>IF(ISBLANK('ENGAGEMENTS 2026'!B1471),"",'ENGAGEMENTS 2026'!I1471)</f>
        <v/>
      </c>
      <c r="G1471">
        <f>IF(ISBLANK('ENGAGEMENTS 2026'!B1471),"",'ENGAGEMENTS 2026'!L1471)</f>
        <v/>
      </c>
      <c r="H1471">
        <f>IF(ISBLANK('ENGAGEMENTS 2026'!B1471),"",'ENGAGEMENTS 2026'!AE1471)</f>
        <v/>
      </c>
      <c r="I1471">
        <f>IF(ISBLANK('ENGAGEMENTS 2026'!B1471),"",'ENGAGEMENTS 2026'!G1471)</f>
        <v/>
      </c>
      <c r="J1471" s="275">
        <f>IF(ISBLANK('ENGAGEMENTS 2026'!B1471),"",IF(AND(OR($E1471="INFRUCTUEUX",$E1471="ANNULE"),$C1471="AOO-M"),'ENGAGEMENTS 2026'!O1471,IF($H1471="EN COURS DE PREENGAGEMENT",'ENGAGEMENTS 2026'!N1471,IF($H1471="PREENGAGE",IF($E1471="ATTRIBUE",'ENGAGEMENTS 2026'!AD1471,'ENGAGEMENTS 2026'!N1471),'ENGAGEMENTS 2026'!AD1471))))</f>
        <v/>
      </c>
      <c r="K1471" s="604">
        <f>IF(ISBLANK('ENGAGEMENTS 2026'!V1471),"",'ENGAGEMENTS 2026'!V1471)</f>
        <v/>
      </c>
      <c r="L1471" s="276">
        <f>IF($K1471="","",TODAY()-$K1471)</f>
        <v/>
      </c>
      <c r="M1471">
        <f>IF($A1471="","",IF($H1471="ENGAGE","Engagé",IF(AND($H1471="NON ENGAGE",OR($I1471="INFRUCTUEUX",$I1471="ANNULE")),"Clôturé sans suite","En cours")))</f>
        <v/>
      </c>
      <c r="N1471">
        <f>IF(ISBLANK('ENGAGEMENTS 2026'!B1471),"",'ENGAGEMENTS 2026'!K1471)</f>
        <v/>
      </c>
      <c r="O1471">
        <f>IF(ISBLANK('ENGAGEMENTS 2026'!B1471),"",'ENGAGEMENTS 2026'!L1471)</f>
        <v/>
      </c>
      <c r="P1471">
        <f>IF(ISBLANK('ENGAGEMENTS 2026'!B1471),"",'ENGAGEMENTS 2026'!J1471)</f>
        <v/>
      </c>
      <c r="Q1471">
        <f>IF($A1471="","",IF(OR($E1471="INFRUCTUEUX",$E1471="ANNULE"),$A1471&amp;"|"&amp;(COUNTIFS($A$2:$A1471,$A1471,$E$2:$E1471,"INFRUCTUEUX")+COUNTIFS($A$2:$A1471,$A1471,$E$2:$E1471,"ANNULE")),""))</f>
        <v/>
      </c>
    </row>
    <row r="1472">
      <c r="A1472">
        <f>IF(ISBLANK('ENGAGEMENTS 2026'!B1472),"",IF('ENGAGEMENTS 2026'!B1472="DTSI","DCT",'ENGAGEMENTS 2026'!B1472))</f>
        <v/>
      </c>
      <c r="B1472">
        <f>IF(ISBLANK('ENGAGEMENTS 2026'!B1472),"",'ENGAGEMENTS 2026'!C1472)</f>
        <v/>
      </c>
      <c r="C1472">
        <f>IF(ISBLANK('ENGAGEMENTS 2026'!B1472),"",'ENGAGEMENTS 2026'!D1472)</f>
        <v/>
      </c>
      <c r="D1472">
        <f>IF(ISBLANK('ENGAGEMENTS 2026'!B1472),"",'ENGAGEMENTS 2026'!F1472)</f>
        <v/>
      </c>
      <c r="E1472">
        <f>IF(ISBLANK('ENGAGEMENTS 2026'!B1472),"",'ENGAGEMENTS 2026'!H1472)</f>
        <v/>
      </c>
      <c r="F1472">
        <f>IF(ISBLANK('ENGAGEMENTS 2026'!B1472),"",'ENGAGEMENTS 2026'!I1472)</f>
        <v/>
      </c>
      <c r="G1472">
        <f>IF(ISBLANK('ENGAGEMENTS 2026'!B1472),"",'ENGAGEMENTS 2026'!L1472)</f>
        <v/>
      </c>
      <c r="H1472">
        <f>IF(ISBLANK('ENGAGEMENTS 2026'!B1472),"",'ENGAGEMENTS 2026'!AE1472)</f>
        <v/>
      </c>
      <c r="I1472">
        <f>IF(ISBLANK('ENGAGEMENTS 2026'!B1472),"",'ENGAGEMENTS 2026'!G1472)</f>
        <v/>
      </c>
      <c r="J1472" s="275">
        <f>IF(ISBLANK('ENGAGEMENTS 2026'!B1472),"",IF(AND(OR($E1472="INFRUCTUEUX",$E1472="ANNULE"),$C1472="AOO-M"),'ENGAGEMENTS 2026'!O1472,IF($H1472="EN COURS DE PREENGAGEMENT",'ENGAGEMENTS 2026'!N1472,IF($H1472="PREENGAGE",IF($E1472="ATTRIBUE",'ENGAGEMENTS 2026'!AD1472,'ENGAGEMENTS 2026'!N1472),'ENGAGEMENTS 2026'!AD1472))))</f>
        <v/>
      </c>
      <c r="K1472" s="604">
        <f>IF(ISBLANK('ENGAGEMENTS 2026'!V1472),"",'ENGAGEMENTS 2026'!V1472)</f>
        <v/>
      </c>
      <c r="L1472" s="276">
        <f>IF($K1472="","",TODAY()-$K1472)</f>
        <v/>
      </c>
      <c r="M1472">
        <f>IF($A1472="","",IF($H1472="ENGAGE","Engagé",IF(AND($H1472="NON ENGAGE",OR($I1472="INFRUCTUEUX",$I1472="ANNULE")),"Clôturé sans suite","En cours")))</f>
        <v/>
      </c>
      <c r="N1472">
        <f>IF(ISBLANK('ENGAGEMENTS 2026'!B1472),"",'ENGAGEMENTS 2026'!K1472)</f>
        <v/>
      </c>
      <c r="O1472">
        <f>IF(ISBLANK('ENGAGEMENTS 2026'!B1472),"",'ENGAGEMENTS 2026'!L1472)</f>
        <v/>
      </c>
      <c r="P1472">
        <f>IF(ISBLANK('ENGAGEMENTS 2026'!B1472),"",'ENGAGEMENTS 2026'!J1472)</f>
        <v/>
      </c>
      <c r="Q1472">
        <f>IF($A1472="","",IF(OR($E1472="INFRUCTUEUX",$E1472="ANNULE"),$A1472&amp;"|"&amp;(COUNTIFS($A$2:$A1472,$A1472,$E$2:$E1472,"INFRUCTUEUX")+COUNTIFS($A$2:$A1472,$A1472,$E$2:$E1472,"ANNULE")),""))</f>
        <v/>
      </c>
    </row>
    <row r="1473">
      <c r="A1473">
        <f>IF(ISBLANK('ENGAGEMENTS 2026'!B1473),"",IF('ENGAGEMENTS 2026'!B1473="DTSI","DCT",'ENGAGEMENTS 2026'!B1473))</f>
        <v/>
      </c>
      <c r="B1473">
        <f>IF(ISBLANK('ENGAGEMENTS 2026'!B1473),"",'ENGAGEMENTS 2026'!C1473)</f>
        <v/>
      </c>
      <c r="C1473">
        <f>IF(ISBLANK('ENGAGEMENTS 2026'!B1473),"",'ENGAGEMENTS 2026'!D1473)</f>
        <v/>
      </c>
      <c r="D1473">
        <f>IF(ISBLANK('ENGAGEMENTS 2026'!B1473),"",'ENGAGEMENTS 2026'!F1473)</f>
        <v/>
      </c>
      <c r="E1473">
        <f>IF(ISBLANK('ENGAGEMENTS 2026'!B1473),"",'ENGAGEMENTS 2026'!H1473)</f>
        <v/>
      </c>
      <c r="F1473">
        <f>IF(ISBLANK('ENGAGEMENTS 2026'!B1473),"",'ENGAGEMENTS 2026'!I1473)</f>
        <v/>
      </c>
      <c r="G1473">
        <f>IF(ISBLANK('ENGAGEMENTS 2026'!B1473),"",'ENGAGEMENTS 2026'!L1473)</f>
        <v/>
      </c>
      <c r="H1473">
        <f>IF(ISBLANK('ENGAGEMENTS 2026'!B1473),"",'ENGAGEMENTS 2026'!AE1473)</f>
        <v/>
      </c>
      <c r="I1473">
        <f>IF(ISBLANK('ENGAGEMENTS 2026'!B1473),"",'ENGAGEMENTS 2026'!G1473)</f>
        <v/>
      </c>
      <c r="J1473" s="275">
        <f>IF(ISBLANK('ENGAGEMENTS 2026'!B1473),"",IF(AND(OR($E1473="INFRUCTUEUX",$E1473="ANNULE"),$C1473="AOO-M"),'ENGAGEMENTS 2026'!O1473,IF($H1473="EN COURS DE PREENGAGEMENT",'ENGAGEMENTS 2026'!N1473,IF($H1473="PREENGAGE",IF($E1473="ATTRIBUE",'ENGAGEMENTS 2026'!AD1473,'ENGAGEMENTS 2026'!N1473),'ENGAGEMENTS 2026'!AD1473))))</f>
        <v/>
      </c>
      <c r="K1473" s="604">
        <f>IF(ISBLANK('ENGAGEMENTS 2026'!V1473),"",'ENGAGEMENTS 2026'!V1473)</f>
        <v/>
      </c>
      <c r="L1473" s="276">
        <f>IF($K1473="","",TODAY()-$K1473)</f>
        <v/>
      </c>
      <c r="M1473">
        <f>IF($A1473="","",IF($H1473="ENGAGE","Engagé",IF(AND($H1473="NON ENGAGE",OR($I1473="INFRUCTUEUX",$I1473="ANNULE")),"Clôturé sans suite","En cours")))</f>
        <v/>
      </c>
      <c r="N1473">
        <f>IF(ISBLANK('ENGAGEMENTS 2026'!B1473),"",'ENGAGEMENTS 2026'!K1473)</f>
        <v/>
      </c>
      <c r="O1473">
        <f>IF(ISBLANK('ENGAGEMENTS 2026'!B1473),"",'ENGAGEMENTS 2026'!L1473)</f>
        <v/>
      </c>
      <c r="P1473">
        <f>IF(ISBLANK('ENGAGEMENTS 2026'!B1473),"",'ENGAGEMENTS 2026'!J1473)</f>
        <v/>
      </c>
      <c r="Q1473">
        <f>IF($A1473="","",IF(OR($E1473="INFRUCTUEUX",$E1473="ANNULE"),$A1473&amp;"|"&amp;(COUNTIFS($A$2:$A1473,$A1473,$E$2:$E1473,"INFRUCTUEUX")+COUNTIFS($A$2:$A1473,$A1473,$E$2:$E1473,"ANNULE")),""))</f>
        <v/>
      </c>
    </row>
    <row r="1474">
      <c r="A1474">
        <f>IF(ISBLANK('ENGAGEMENTS 2026'!B1474),"",IF('ENGAGEMENTS 2026'!B1474="DTSI","DCT",'ENGAGEMENTS 2026'!B1474))</f>
        <v/>
      </c>
      <c r="B1474">
        <f>IF(ISBLANK('ENGAGEMENTS 2026'!B1474),"",'ENGAGEMENTS 2026'!C1474)</f>
        <v/>
      </c>
      <c r="C1474">
        <f>IF(ISBLANK('ENGAGEMENTS 2026'!B1474),"",'ENGAGEMENTS 2026'!D1474)</f>
        <v/>
      </c>
      <c r="D1474">
        <f>IF(ISBLANK('ENGAGEMENTS 2026'!B1474),"",'ENGAGEMENTS 2026'!F1474)</f>
        <v/>
      </c>
      <c r="E1474">
        <f>IF(ISBLANK('ENGAGEMENTS 2026'!B1474),"",'ENGAGEMENTS 2026'!H1474)</f>
        <v/>
      </c>
      <c r="F1474">
        <f>IF(ISBLANK('ENGAGEMENTS 2026'!B1474),"",'ENGAGEMENTS 2026'!I1474)</f>
        <v/>
      </c>
      <c r="G1474">
        <f>IF(ISBLANK('ENGAGEMENTS 2026'!B1474),"",'ENGAGEMENTS 2026'!L1474)</f>
        <v/>
      </c>
      <c r="H1474">
        <f>IF(ISBLANK('ENGAGEMENTS 2026'!B1474),"",'ENGAGEMENTS 2026'!AE1474)</f>
        <v/>
      </c>
      <c r="I1474">
        <f>IF(ISBLANK('ENGAGEMENTS 2026'!B1474),"",'ENGAGEMENTS 2026'!G1474)</f>
        <v/>
      </c>
      <c r="J1474" s="275">
        <f>IF(ISBLANK('ENGAGEMENTS 2026'!B1474),"",IF(AND(OR($E1474="INFRUCTUEUX",$E1474="ANNULE"),$C1474="AOO-M"),'ENGAGEMENTS 2026'!O1474,IF($H1474="EN COURS DE PREENGAGEMENT",'ENGAGEMENTS 2026'!N1474,IF($H1474="PREENGAGE",IF($E1474="ATTRIBUE",'ENGAGEMENTS 2026'!AD1474,'ENGAGEMENTS 2026'!N1474),'ENGAGEMENTS 2026'!AD1474))))</f>
        <v/>
      </c>
      <c r="K1474" s="604">
        <f>IF(ISBLANK('ENGAGEMENTS 2026'!V1474),"",'ENGAGEMENTS 2026'!V1474)</f>
        <v/>
      </c>
      <c r="L1474" s="276">
        <f>IF($K1474="","",TODAY()-$K1474)</f>
        <v/>
      </c>
      <c r="M1474">
        <f>IF($A1474="","",IF($H1474="ENGAGE","Engagé",IF(AND($H1474="NON ENGAGE",OR($I1474="INFRUCTUEUX",$I1474="ANNULE")),"Clôturé sans suite","En cours")))</f>
        <v/>
      </c>
      <c r="N1474">
        <f>IF(ISBLANK('ENGAGEMENTS 2026'!B1474),"",'ENGAGEMENTS 2026'!K1474)</f>
        <v/>
      </c>
      <c r="O1474">
        <f>IF(ISBLANK('ENGAGEMENTS 2026'!B1474),"",'ENGAGEMENTS 2026'!L1474)</f>
        <v/>
      </c>
      <c r="P1474">
        <f>IF(ISBLANK('ENGAGEMENTS 2026'!B1474),"",'ENGAGEMENTS 2026'!J1474)</f>
        <v/>
      </c>
      <c r="Q1474">
        <f>IF($A1474="","",IF(OR($E1474="INFRUCTUEUX",$E1474="ANNULE"),$A1474&amp;"|"&amp;(COUNTIFS($A$2:$A1474,$A1474,$E$2:$E1474,"INFRUCTUEUX")+COUNTIFS($A$2:$A1474,$A1474,$E$2:$E1474,"ANNULE")),""))</f>
        <v/>
      </c>
    </row>
    <row r="1475">
      <c r="A1475">
        <f>IF(ISBLANK('ENGAGEMENTS 2026'!B1475),"",IF('ENGAGEMENTS 2026'!B1475="DTSI","DCT",'ENGAGEMENTS 2026'!B1475))</f>
        <v/>
      </c>
      <c r="B1475">
        <f>IF(ISBLANK('ENGAGEMENTS 2026'!B1475),"",'ENGAGEMENTS 2026'!C1475)</f>
        <v/>
      </c>
      <c r="C1475">
        <f>IF(ISBLANK('ENGAGEMENTS 2026'!B1475),"",'ENGAGEMENTS 2026'!D1475)</f>
        <v/>
      </c>
      <c r="D1475">
        <f>IF(ISBLANK('ENGAGEMENTS 2026'!B1475),"",'ENGAGEMENTS 2026'!F1475)</f>
        <v/>
      </c>
      <c r="E1475">
        <f>IF(ISBLANK('ENGAGEMENTS 2026'!B1475),"",'ENGAGEMENTS 2026'!H1475)</f>
        <v/>
      </c>
      <c r="F1475">
        <f>IF(ISBLANK('ENGAGEMENTS 2026'!B1475),"",'ENGAGEMENTS 2026'!I1475)</f>
        <v/>
      </c>
      <c r="G1475">
        <f>IF(ISBLANK('ENGAGEMENTS 2026'!B1475),"",'ENGAGEMENTS 2026'!L1475)</f>
        <v/>
      </c>
      <c r="H1475">
        <f>IF(ISBLANK('ENGAGEMENTS 2026'!B1475),"",'ENGAGEMENTS 2026'!AE1475)</f>
        <v/>
      </c>
      <c r="I1475">
        <f>IF(ISBLANK('ENGAGEMENTS 2026'!B1475),"",'ENGAGEMENTS 2026'!G1475)</f>
        <v/>
      </c>
      <c r="J1475" s="275">
        <f>IF(ISBLANK('ENGAGEMENTS 2026'!B1475),"",IF(AND(OR($E1475="INFRUCTUEUX",$E1475="ANNULE"),$C1475="AOO-M"),'ENGAGEMENTS 2026'!O1475,IF($H1475="EN COURS DE PREENGAGEMENT",'ENGAGEMENTS 2026'!N1475,IF($H1475="PREENGAGE",IF($E1475="ATTRIBUE",'ENGAGEMENTS 2026'!AD1475,'ENGAGEMENTS 2026'!N1475),'ENGAGEMENTS 2026'!AD1475))))</f>
        <v/>
      </c>
      <c r="K1475" s="604">
        <f>IF(ISBLANK('ENGAGEMENTS 2026'!V1475),"",'ENGAGEMENTS 2026'!V1475)</f>
        <v/>
      </c>
      <c r="L1475" s="276">
        <f>IF($K1475="","",TODAY()-$K1475)</f>
        <v/>
      </c>
      <c r="M1475">
        <f>IF($A1475="","",IF($H1475="ENGAGE","Engagé",IF(AND($H1475="NON ENGAGE",OR($I1475="INFRUCTUEUX",$I1475="ANNULE")),"Clôturé sans suite","En cours")))</f>
        <v/>
      </c>
      <c r="N1475">
        <f>IF(ISBLANK('ENGAGEMENTS 2026'!B1475),"",'ENGAGEMENTS 2026'!K1475)</f>
        <v/>
      </c>
      <c r="O1475">
        <f>IF(ISBLANK('ENGAGEMENTS 2026'!B1475),"",'ENGAGEMENTS 2026'!L1475)</f>
        <v/>
      </c>
      <c r="P1475">
        <f>IF(ISBLANK('ENGAGEMENTS 2026'!B1475),"",'ENGAGEMENTS 2026'!J1475)</f>
        <v/>
      </c>
      <c r="Q1475">
        <f>IF($A1475="","",IF(OR($E1475="INFRUCTUEUX",$E1475="ANNULE"),$A1475&amp;"|"&amp;(COUNTIFS($A$2:$A1475,$A1475,$E$2:$E1475,"INFRUCTUEUX")+COUNTIFS($A$2:$A1475,$A1475,$E$2:$E1475,"ANNULE")),""))</f>
        <v/>
      </c>
    </row>
    <row r="1476">
      <c r="A1476">
        <f>IF(ISBLANK('ENGAGEMENTS 2026'!B1476),"",IF('ENGAGEMENTS 2026'!B1476="DTSI","DCT",'ENGAGEMENTS 2026'!B1476))</f>
        <v/>
      </c>
      <c r="B1476">
        <f>IF(ISBLANK('ENGAGEMENTS 2026'!B1476),"",'ENGAGEMENTS 2026'!C1476)</f>
        <v/>
      </c>
      <c r="C1476">
        <f>IF(ISBLANK('ENGAGEMENTS 2026'!B1476),"",'ENGAGEMENTS 2026'!D1476)</f>
        <v/>
      </c>
      <c r="D1476">
        <f>IF(ISBLANK('ENGAGEMENTS 2026'!B1476),"",'ENGAGEMENTS 2026'!F1476)</f>
        <v/>
      </c>
      <c r="E1476">
        <f>IF(ISBLANK('ENGAGEMENTS 2026'!B1476),"",'ENGAGEMENTS 2026'!H1476)</f>
        <v/>
      </c>
      <c r="F1476">
        <f>IF(ISBLANK('ENGAGEMENTS 2026'!B1476),"",'ENGAGEMENTS 2026'!I1476)</f>
        <v/>
      </c>
      <c r="G1476">
        <f>IF(ISBLANK('ENGAGEMENTS 2026'!B1476),"",'ENGAGEMENTS 2026'!L1476)</f>
        <v/>
      </c>
      <c r="H1476">
        <f>IF(ISBLANK('ENGAGEMENTS 2026'!B1476),"",'ENGAGEMENTS 2026'!AE1476)</f>
        <v/>
      </c>
      <c r="I1476">
        <f>IF(ISBLANK('ENGAGEMENTS 2026'!B1476),"",'ENGAGEMENTS 2026'!G1476)</f>
        <v/>
      </c>
      <c r="J1476" s="275">
        <f>IF(ISBLANK('ENGAGEMENTS 2026'!B1476),"",IF(AND(OR($E1476="INFRUCTUEUX",$E1476="ANNULE"),$C1476="AOO-M"),'ENGAGEMENTS 2026'!O1476,IF($H1476="EN COURS DE PREENGAGEMENT",'ENGAGEMENTS 2026'!N1476,IF($H1476="PREENGAGE",IF($E1476="ATTRIBUE",'ENGAGEMENTS 2026'!AD1476,'ENGAGEMENTS 2026'!N1476),'ENGAGEMENTS 2026'!AD1476))))</f>
        <v/>
      </c>
      <c r="K1476" s="604">
        <f>IF(ISBLANK('ENGAGEMENTS 2026'!V1476),"",'ENGAGEMENTS 2026'!V1476)</f>
        <v/>
      </c>
      <c r="L1476" s="276">
        <f>IF($K1476="","",TODAY()-$K1476)</f>
        <v/>
      </c>
      <c r="M1476">
        <f>IF($A1476="","",IF($H1476="ENGAGE","Engagé",IF(AND($H1476="NON ENGAGE",OR($I1476="INFRUCTUEUX",$I1476="ANNULE")),"Clôturé sans suite","En cours")))</f>
        <v/>
      </c>
      <c r="N1476">
        <f>IF(ISBLANK('ENGAGEMENTS 2026'!B1476),"",'ENGAGEMENTS 2026'!K1476)</f>
        <v/>
      </c>
      <c r="O1476">
        <f>IF(ISBLANK('ENGAGEMENTS 2026'!B1476),"",'ENGAGEMENTS 2026'!L1476)</f>
        <v/>
      </c>
      <c r="P1476">
        <f>IF(ISBLANK('ENGAGEMENTS 2026'!B1476),"",'ENGAGEMENTS 2026'!J1476)</f>
        <v/>
      </c>
      <c r="Q1476">
        <f>IF($A1476="","",IF(OR($E1476="INFRUCTUEUX",$E1476="ANNULE"),$A1476&amp;"|"&amp;(COUNTIFS($A$2:$A1476,$A1476,$E$2:$E1476,"INFRUCTUEUX")+COUNTIFS($A$2:$A1476,$A1476,$E$2:$E1476,"ANNULE")),""))</f>
        <v/>
      </c>
    </row>
    <row r="1477">
      <c r="A1477">
        <f>IF(ISBLANK('ENGAGEMENTS 2026'!B1477),"",IF('ENGAGEMENTS 2026'!B1477="DTSI","DCT",'ENGAGEMENTS 2026'!B1477))</f>
        <v/>
      </c>
      <c r="B1477">
        <f>IF(ISBLANK('ENGAGEMENTS 2026'!B1477),"",'ENGAGEMENTS 2026'!C1477)</f>
        <v/>
      </c>
      <c r="C1477">
        <f>IF(ISBLANK('ENGAGEMENTS 2026'!B1477),"",'ENGAGEMENTS 2026'!D1477)</f>
        <v/>
      </c>
      <c r="D1477">
        <f>IF(ISBLANK('ENGAGEMENTS 2026'!B1477),"",'ENGAGEMENTS 2026'!F1477)</f>
        <v/>
      </c>
      <c r="E1477">
        <f>IF(ISBLANK('ENGAGEMENTS 2026'!B1477),"",'ENGAGEMENTS 2026'!H1477)</f>
        <v/>
      </c>
      <c r="F1477">
        <f>IF(ISBLANK('ENGAGEMENTS 2026'!B1477),"",'ENGAGEMENTS 2026'!I1477)</f>
        <v/>
      </c>
      <c r="G1477">
        <f>IF(ISBLANK('ENGAGEMENTS 2026'!B1477),"",'ENGAGEMENTS 2026'!L1477)</f>
        <v/>
      </c>
      <c r="H1477">
        <f>IF(ISBLANK('ENGAGEMENTS 2026'!B1477),"",'ENGAGEMENTS 2026'!AE1477)</f>
        <v/>
      </c>
      <c r="I1477">
        <f>IF(ISBLANK('ENGAGEMENTS 2026'!B1477),"",'ENGAGEMENTS 2026'!G1477)</f>
        <v/>
      </c>
      <c r="J1477" s="275">
        <f>IF(ISBLANK('ENGAGEMENTS 2026'!B1477),"",IF(AND(OR($E1477="INFRUCTUEUX",$E1477="ANNULE"),$C1477="AOO-M"),'ENGAGEMENTS 2026'!O1477,IF($H1477="EN COURS DE PREENGAGEMENT",'ENGAGEMENTS 2026'!N1477,IF($H1477="PREENGAGE",IF($E1477="ATTRIBUE",'ENGAGEMENTS 2026'!AD1477,'ENGAGEMENTS 2026'!N1477),'ENGAGEMENTS 2026'!AD1477))))</f>
        <v/>
      </c>
      <c r="K1477" s="604">
        <f>IF(ISBLANK('ENGAGEMENTS 2026'!V1477),"",'ENGAGEMENTS 2026'!V1477)</f>
        <v/>
      </c>
      <c r="L1477" s="276">
        <f>IF($K1477="","",TODAY()-$K1477)</f>
        <v/>
      </c>
      <c r="M1477">
        <f>IF($A1477="","",IF($H1477="ENGAGE","Engagé",IF(AND($H1477="NON ENGAGE",OR($I1477="INFRUCTUEUX",$I1477="ANNULE")),"Clôturé sans suite","En cours")))</f>
        <v/>
      </c>
      <c r="N1477">
        <f>IF(ISBLANK('ENGAGEMENTS 2026'!B1477),"",'ENGAGEMENTS 2026'!K1477)</f>
        <v/>
      </c>
      <c r="O1477">
        <f>IF(ISBLANK('ENGAGEMENTS 2026'!B1477),"",'ENGAGEMENTS 2026'!L1477)</f>
        <v/>
      </c>
      <c r="P1477">
        <f>IF(ISBLANK('ENGAGEMENTS 2026'!B1477),"",'ENGAGEMENTS 2026'!J1477)</f>
        <v/>
      </c>
      <c r="Q1477">
        <f>IF($A1477="","",IF(OR($E1477="INFRUCTUEUX",$E1477="ANNULE"),$A1477&amp;"|"&amp;(COUNTIFS($A$2:$A1477,$A1477,$E$2:$E1477,"INFRUCTUEUX")+COUNTIFS($A$2:$A1477,$A1477,$E$2:$E1477,"ANNULE")),""))</f>
        <v/>
      </c>
    </row>
    <row r="1478">
      <c r="A1478">
        <f>IF(ISBLANK('ENGAGEMENTS 2026'!B1478),"",IF('ENGAGEMENTS 2026'!B1478="DTSI","DCT",'ENGAGEMENTS 2026'!B1478))</f>
        <v/>
      </c>
      <c r="B1478">
        <f>IF(ISBLANK('ENGAGEMENTS 2026'!B1478),"",'ENGAGEMENTS 2026'!C1478)</f>
        <v/>
      </c>
      <c r="C1478">
        <f>IF(ISBLANK('ENGAGEMENTS 2026'!B1478),"",'ENGAGEMENTS 2026'!D1478)</f>
        <v/>
      </c>
      <c r="D1478">
        <f>IF(ISBLANK('ENGAGEMENTS 2026'!B1478),"",'ENGAGEMENTS 2026'!F1478)</f>
        <v/>
      </c>
      <c r="E1478">
        <f>IF(ISBLANK('ENGAGEMENTS 2026'!B1478),"",'ENGAGEMENTS 2026'!H1478)</f>
        <v/>
      </c>
      <c r="F1478">
        <f>IF(ISBLANK('ENGAGEMENTS 2026'!B1478),"",'ENGAGEMENTS 2026'!I1478)</f>
        <v/>
      </c>
      <c r="G1478">
        <f>IF(ISBLANK('ENGAGEMENTS 2026'!B1478),"",'ENGAGEMENTS 2026'!L1478)</f>
        <v/>
      </c>
      <c r="H1478">
        <f>IF(ISBLANK('ENGAGEMENTS 2026'!B1478),"",'ENGAGEMENTS 2026'!AE1478)</f>
        <v/>
      </c>
      <c r="I1478">
        <f>IF(ISBLANK('ENGAGEMENTS 2026'!B1478),"",'ENGAGEMENTS 2026'!G1478)</f>
        <v/>
      </c>
      <c r="J1478" s="275">
        <f>IF(ISBLANK('ENGAGEMENTS 2026'!B1478),"",IF(AND(OR($E1478="INFRUCTUEUX",$E1478="ANNULE"),$C1478="AOO-M"),'ENGAGEMENTS 2026'!O1478,IF($H1478="EN COURS DE PREENGAGEMENT",'ENGAGEMENTS 2026'!N1478,IF($H1478="PREENGAGE",IF($E1478="ATTRIBUE",'ENGAGEMENTS 2026'!AD1478,'ENGAGEMENTS 2026'!N1478),'ENGAGEMENTS 2026'!AD1478))))</f>
        <v/>
      </c>
      <c r="K1478" s="604">
        <f>IF(ISBLANK('ENGAGEMENTS 2026'!V1478),"",'ENGAGEMENTS 2026'!V1478)</f>
        <v/>
      </c>
      <c r="L1478" s="276">
        <f>IF($K1478="","",TODAY()-$K1478)</f>
        <v/>
      </c>
      <c r="M1478">
        <f>IF($A1478="","",IF($H1478="ENGAGE","Engagé",IF(AND($H1478="NON ENGAGE",OR($I1478="INFRUCTUEUX",$I1478="ANNULE")),"Clôturé sans suite","En cours")))</f>
        <v/>
      </c>
      <c r="N1478">
        <f>IF(ISBLANK('ENGAGEMENTS 2026'!B1478),"",'ENGAGEMENTS 2026'!K1478)</f>
        <v/>
      </c>
      <c r="O1478">
        <f>IF(ISBLANK('ENGAGEMENTS 2026'!B1478),"",'ENGAGEMENTS 2026'!L1478)</f>
        <v/>
      </c>
      <c r="P1478">
        <f>IF(ISBLANK('ENGAGEMENTS 2026'!B1478),"",'ENGAGEMENTS 2026'!J1478)</f>
        <v/>
      </c>
      <c r="Q1478">
        <f>IF($A1478="","",IF(OR($E1478="INFRUCTUEUX",$E1478="ANNULE"),$A1478&amp;"|"&amp;(COUNTIFS($A$2:$A1478,$A1478,$E$2:$E1478,"INFRUCTUEUX")+COUNTIFS($A$2:$A1478,$A1478,$E$2:$E1478,"ANNULE")),""))</f>
        <v/>
      </c>
    </row>
    <row r="1479">
      <c r="A1479">
        <f>IF(ISBLANK('ENGAGEMENTS 2026'!B1479),"",IF('ENGAGEMENTS 2026'!B1479="DTSI","DCT",'ENGAGEMENTS 2026'!B1479))</f>
        <v/>
      </c>
      <c r="B1479">
        <f>IF(ISBLANK('ENGAGEMENTS 2026'!B1479),"",'ENGAGEMENTS 2026'!C1479)</f>
        <v/>
      </c>
      <c r="C1479">
        <f>IF(ISBLANK('ENGAGEMENTS 2026'!B1479),"",'ENGAGEMENTS 2026'!D1479)</f>
        <v/>
      </c>
      <c r="D1479">
        <f>IF(ISBLANK('ENGAGEMENTS 2026'!B1479),"",'ENGAGEMENTS 2026'!F1479)</f>
        <v/>
      </c>
      <c r="E1479">
        <f>IF(ISBLANK('ENGAGEMENTS 2026'!B1479),"",'ENGAGEMENTS 2026'!H1479)</f>
        <v/>
      </c>
      <c r="F1479">
        <f>IF(ISBLANK('ENGAGEMENTS 2026'!B1479),"",'ENGAGEMENTS 2026'!I1479)</f>
        <v/>
      </c>
      <c r="G1479">
        <f>IF(ISBLANK('ENGAGEMENTS 2026'!B1479),"",'ENGAGEMENTS 2026'!L1479)</f>
        <v/>
      </c>
      <c r="H1479">
        <f>IF(ISBLANK('ENGAGEMENTS 2026'!B1479),"",'ENGAGEMENTS 2026'!AE1479)</f>
        <v/>
      </c>
      <c r="I1479">
        <f>IF(ISBLANK('ENGAGEMENTS 2026'!B1479),"",'ENGAGEMENTS 2026'!G1479)</f>
        <v/>
      </c>
      <c r="J1479" s="275">
        <f>IF(ISBLANK('ENGAGEMENTS 2026'!B1479),"",IF(AND(OR($E1479="INFRUCTUEUX",$E1479="ANNULE"),$C1479="AOO-M"),'ENGAGEMENTS 2026'!O1479,IF($H1479="EN COURS DE PREENGAGEMENT",'ENGAGEMENTS 2026'!N1479,IF($H1479="PREENGAGE",IF($E1479="ATTRIBUE",'ENGAGEMENTS 2026'!AD1479,'ENGAGEMENTS 2026'!N1479),'ENGAGEMENTS 2026'!AD1479))))</f>
        <v/>
      </c>
      <c r="K1479" s="604">
        <f>IF(ISBLANK('ENGAGEMENTS 2026'!V1479),"",'ENGAGEMENTS 2026'!V1479)</f>
        <v/>
      </c>
      <c r="L1479" s="276">
        <f>IF($K1479="","",TODAY()-$K1479)</f>
        <v/>
      </c>
      <c r="M1479">
        <f>IF($A1479="","",IF($H1479="ENGAGE","Engagé",IF(AND($H1479="NON ENGAGE",OR($I1479="INFRUCTUEUX",$I1479="ANNULE")),"Clôturé sans suite","En cours")))</f>
        <v/>
      </c>
      <c r="N1479">
        <f>IF(ISBLANK('ENGAGEMENTS 2026'!B1479),"",'ENGAGEMENTS 2026'!K1479)</f>
        <v/>
      </c>
      <c r="O1479">
        <f>IF(ISBLANK('ENGAGEMENTS 2026'!B1479),"",'ENGAGEMENTS 2026'!L1479)</f>
        <v/>
      </c>
      <c r="P1479">
        <f>IF(ISBLANK('ENGAGEMENTS 2026'!B1479),"",'ENGAGEMENTS 2026'!J1479)</f>
        <v/>
      </c>
      <c r="Q1479">
        <f>IF($A1479="","",IF(OR($E1479="INFRUCTUEUX",$E1479="ANNULE"),$A1479&amp;"|"&amp;(COUNTIFS($A$2:$A1479,$A1479,$E$2:$E1479,"INFRUCTUEUX")+COUNTIFS($A$2:$A1479,$A1479,$E$2:$E1479,"ANNULE")),""))</f>
        <v/>
      </c>
    </row>
    <row r="1480">
      <c r="A1480">
        <f>IF(ISBLANK('ENGAGEMENTS 2026'!B1480),"",IF('ENGAGEMENTS 2026'!B1480="DTSI","DCT",'ENGAGEMENTS 2026'!B1480))</f>
        <v/>
      </c>
      <c r="B1480">
        <f>IF(ISBLANK('ENGAGEMENTS 2026'!B1480),"",'ENGAGEMENTS 2026'!C1480)</f>
        <v/>
      </c>
      <c r="C1480">
        <f>IF(ISBLANK('ENGAGEMENTS 2026'!B1480),"",'ENGAGEMENTS 2026'!D1480)</f>
        <v/>
      </c>
      <c r="D1480">
        <f>IF(ISBLANK('ENGAGEMENTS 2026'!B1480),"",'ENGAGEMENTS 2026'!F1480)</f>
        <v/>
      </c>
      <c r="E1480">
        <f>IF(ISBLANK('ENGAGEMENTS 2026'!B1480),"",'ENGAGEMENTS 2026'!H1480)</f>
        <v/>
      </c>
      <c r="F1480">
        <f>IF(ISBLANK('ENGAGEMENTS 2026'!B1480),"",'ENGAGEMENTS 2026'!I1480)</f>
        <v/>
      </c>
      <c r="G1480">
        <f>IF(ISBLANK('ENGAGEMENTS 2026'!B1480),"",'ENGAGEMENTS 2026'!L1480)</f>
        <v/>
      </c>
      <c r="H1480">
        <f>IF(ISBLANK('ENGAGEMENTS 2026'!B1480),"",'ENGAGEMENTS 2026'!AE1480)</f>
        <v/>
      </c>
      <c r="I1480">
        <f>IF(ISBLANK('ENGAGEMENTS 2026'!B1480),"",'ENGAGEMENTS 2026'!G1480)</f>
        <v/>
      </c>
      <c r="J1480" s="275">
        <f>IF(ISBLANK('ENGAGEMENTS 2026'!B1480),"",IF(AND(OR($E1480="INFRUCTUEUX",$E1480="ANNULE"),$C1480="AOO-M"),'ENGAGEMENTS 2026'!O1480,IF($H1480="EN COURS DE PREENGAGEMENT",'ENGAGEMENTS 2026'!N1480,IF($H1480="PREENGAGE",IF($E1480="ATTRIBUE",'ENGAGEMENTS 2026'!AD1480,'ENGAGEMENTS 2026'!N1480),'ENGAGEMENTS 2026'!AD1480))))</f>
        <v/>
      </c>
      <c r="K1480" s="604">
        <f>IF(ISBLANK('ENGAGEMENTS 2026'!V1480),"",'ENGAGEMENTS 2026'!V1480)</f>
        <v/>
      </c>
      <c r="L1480" s="276">
        <f>IF($K1480="","",TODAY()-$K1480)</f>
        <v/>
      </c>
      <c r="M1480">
        <f>IF($A1480="","",IF($H1480="ENGAGE","Engagé",IF(AND($H1480="NON ENGAGE",OR($I1480="INFRUCTUEUX",$I1480="ANNULE")),"Clôturé sans suite","En cours")))</f>
        <v/>
      </c>
      <c r="N1480">
        <f>IF(ISBLANK('ENGAGEMENTS 2026'!B1480),"",'ENGAGEMENTS 2026'!K1480)</f>
        <v/>
      </c>
      <c r="O1480">
        <f>IF(ISBLANK('ENGAGEMENTS 2026'!B1480),"",'ENGAGEMENTS 2026'!L1480)</f>
        <v/>
      </c>
      <c r="P1480">
        <f>IF(ISBLANK('ENGAGEMENTS 2026'!B1480),"",'ENGAGEMENTS 2026'!J1480)</f>
        <v/>
      </c>
      <c r="Q1480">
        <f>IF($A1480="","",IF(OR($E1480="INFRUCTUEUX",$E1480="ANNULE"),$A1480&amp;"|"&amp;(COUNTIFS($A$2:$A1480,$A1480,$E$2:$E1480,"INFRUCTUEUX")+COUNTIFS($A$2:$A1480,$A1480,$E$2:$E1480,"ANNULE")),""))</f>
        <v/>
      </c>
    </row>
    <row r="1481">
      <c r="A1481">
        <f>IF(ISBLANK('ENGAGEMENTS 2026'!B1481),"",IF('ENGAGEMENTS 2026'!B1481="DTSI","DCT",'ENGAGEMENTS 2026'!B1481))</f>
        <v/>
      </c>
      <c r="B1481">
        <f>IF(ISBLANK('ENGAGEMENTS 2026'!B1481),"",'ENGAGEMENTS 2026'!C1481)</f>
        <v/>
      </c>
      <c r="C1481">
        <f>IF(ISBLANK('ENGAGEMENTS 2026'!B1481),"",'ENGAGEMENTS 2026'!D1481)</f>
        <v/>
      </c>
      <c r="D1481">
        <f>IF(ISBLANK('ENGAGEMENTS 2026'!B1481),"",'ENGAGEMENTS 2026'!F1481)</f>
        <v/>
      </c>
      <c r="E1481">
        <f>IF(ISBLANK('ENGAGEMENTS 2026'!B1481),"",'ENGAGEMENTS 2026'!H1481)</f>
        <v/>
      </c>
      <c r="F1481">
        <f>IF(ISBLANK('ENGAGEMENTS 2026'!B1481),"",'ENGAGEMENTS 2026'!I1481)</f>
        <v/>
      </c>
      <c r="G1481">
        <f>IF(ISBLANK('ENGAGEMENTS 2026'!B1481),"",'ENGAGEMENTS 2026'!L1481)</f>
        <v/>
      </c>
      <c r="H1481">
        <f>IF(ISBLANK('ENGAGEMENTS 2026'!B1481),"",'ENGAGEMENTS 2026'!AE1481)</f>
        <v/>
      </c>
      <c r="I1481">
        <f>IF(ISBLANK('ENGAGEMENTS 2026'!B1481),"",'ENGAGEMENTS 2026'!G1481)</f>
        <v/>
      </c>
      <c r="J1481" s="275">
        <f>IF(ISBLANK('ENGAGEMENTS 2026'!B1481),"",IF(AND(OR($E1481="INFRUCTUEUX",$E1481="ANNULE"),$C1481="AOO-M"),'ENGAGEMENTS 2026'!O1481,IF($H1481="EN COURS DE PREENGAGEMENT",'ENGAGEMENTS 2026'!N1481,IF($H1481="PREENGAGE",IF($E1481="ATTRIBUE",'ENGAGEMENTS 2026'!AD1481,'ENGAGEMENTS 2026'!N1481),'ENGAGEMENTS 2026'!AD1481))))</f>
        <v/>
      </c>
      <c r="K1481" s="604">
        <f>IF(ISBLANK('ENGAGEMENTS 2026'!V1481),"",'ENGAGEMENTS 2026'!V1481)</f>
        <v/>
      </c>
      <c r="L1481" s="276">
        <f>IF($K1481="","",TODAY()-$K1481)</f>
        <v/>
      </c>
      <c r="M1481">
        <f>IF($A1481="","",IF($H1481="ENGAGE","Engagé",IF(AND($H1481="NON ENGAGE",OR($I1481="INFRUCTUEUX",$I1481="ANNULE")),"Clôturé sans suite","En cours")))</f>
        <v/>
      </c>
      <c r="N1481">
        <f>IF(ISBLANK('ENGAGEMENTS 2026'!B1481),"",'ENGAGEMENTS 2026'!K1481)</f>
        <v/>
      </c>
      <c r="O1481">
        <f>IF(ISBLANK('ENGAGEMENTS 2026'!B1481),"",'ENGAGEMENTS 2026'!L1481)</f>
        <v/>
      </c>
      <c r="P1481">
        <f>IF(ISBLANK('ENGAGEMENTS 2026'!B1481),"",'ENGAGEMENTS 2026'!J1481)</f>
        <v/>
      </c>
      <c r="Q1481">
        <f>IF($A1481="","",IF(OR($E1481="INFRUCTUEUX",$E1481="ANNULE"),$A1481&amp;"|"&amp;(COUNTIFS($A$2:$A1481,$A1481,$E$2:$E1481,"INFRUCTUEUX")+COUNTIFS($A$2:$A1481,$A1481,$E$2:$E1481,"ANNULE")),""))</f>
        <v/>
      </c>
    </row>
    <row r="1482">
      <c r="A1482">
        <f>IF(ISBLANK('ENGAGEMENTS 2026'!B1482),"",IF('ENGAGEMENTS 2026'!B1482="DTSI","DCT",'ENGAGEMENTS 2026'!B1482))</f>
        <v/>
      </c>
      <c r="B1482">
        <f>IF(ISBLANK('ENGAGEMENTS 2026'!B1482),"",'ENGAGEMENTS 2026'!C1482)</f>
        <v/>
      </c>
      <c r="C1482">
        <f>IF(ISBLANK('ENGAGEMENTS 2026'!B1482),"",'ENGAGEMENTS 2026'!D1482)</f>
        <v/>
      </c>
      <c r="D1482">
        <f>IF(ISBLANK('ENGAGEMENTS 2026'!B1482),"",'ENGAGEMENTS 2026'!F1482)</f>
        <v/>
      </c>
      <c r="E1482">
        <f>IF(ISBLANK('ENGAGEMENTS 2026'!B1482),"",'ENGAGEMENTS 2026'!H1482)</f>
        <v/>
      </c>
      <c r="F1482">
        <f>IF(ISBLANK('ENGAGEMENTS 2026'!B1482),"",'ENGAGEMENTS 2026'!I1482)</f>
        <v/>
      </c>
      <c r="G1482">
        <f>IF(ISBLANK('ENGAGEMENTS 2026'!B1482),"",'ENGAGEMENTS 2026'!L1482)</f>
        <v/>
      </c>
      <c r="H1482">
        <f>IF(ISBLANK('ENGAGEMENTS 2026'!B1482),"",'ENGAGEMENTS 2026'!AE1482)</f>
        <v/>
      </c>
      <c r="I1482">
        <f>IF(ISBLANK('ENGAGEMENTS 2026'!B1482),"",'ENGAGEMENTS 2026'!G1482)</f>
        <v/>
      </c>
      <c r="J1482" s="275">
        <f>IF(ISBLANK('ENGAGEMENTS 2026'!B1482),"",IF(AND(OR($E1482="INFRUCTUEUX",$E1482="ANNULE"),$C1482="AOO-M"),'ENGAGEMENTS 2026'!O1482,IF($H1482="EN COURS DE PREENGAGEMENT",'ENGAGEMENTS 2026'!N1482,IF($H1482="PREENGAGE",IF($E1482="ATTRIBUE",'ENGAGEMENTS 2026'!AD1482,'ENGAGEMENTS 2026'!N1482),'ENGAGEMENTS 2026'!AD1482))))</f>
        <v/>
      </c>
      <c r="K1482" s="604">
        <f>IF(ISBLANK('ENGAGEMENTS 2026'!V1482),"",'ENGAGEMENTS 2026'!V1482)</f>
        <v/>
      </c>
      <c r="L1482" s="276">
        <f>IF($K1482="","",TODAY()-$K1482)</f>
        <v/>
      </c>
      <c r="M1482">
        <f>IF($A1482="","",IF($H1482="ENGAGE","Engagé",IF(AND($H1482="NON ENGAGE",OR($I1482="INFRUCTUEUX",$I1482="ANNULE")),"Clôturé sans suite","En cours")))</f>
        <v/>
      </c>
      <c r="N1482">
        <f>IF(ISBLANK('ENGAGEMENTS 2026'!B1482),"",'ENGAGEMENTS 2026'!K1482)</f>
        <v/>
      </c>
      <c r="O1482">
        <f>IF(ISBLANK('ENGAGEMENTS 2026'!B1482),"",'ENGAGEMENTS 2026'!L1482)</f>
        <v/>
      </c>
      <c r="P1482">
        <f>IF(ISBLANK('ENGAGEMENTS 2026'!B1482),"",'ENGAGEMENTS 2026'!J1482)</f>
        <v/>
      </c>
      <c r="Q1482">
        <f>IF($A1482="","",IF(OR($E1482="INFRUCTUEUX",$E1482="ANNULE"),$A1482&amp;"|"&amp;(COUNTIFS($A$2:$A1482,$A1482,$E$2:$E1482,"INFRUCTUEUX")+COUNTIFS($A$2:$A1482,$A1482,$E$2:$E1482,"ANNULE")),""))</f>
        <v/>
      </c>
    </row>
    <row r="1483">
      <c r="A1483">
        <f>IF(ISBLANK('ENGAGEMENTS 2026'!B1483),"",IF('ENGAGEMENTS 2026'!B1483="DTSI","DCT",'ENGAGEMENTS 2026'!B1483))</f>
        <v/>
      </c>
      <c r="B1483">
        <f>IF(ISBLANK('ENGAGEMENTS 2026'!B1483),"",'ENGAGEMENTS 2026'!C1483)</f>
        <v/>
      </c>
      <c r="C1483">
        <f>IF(ISBLANK('ENGAGEMENTS 2026'!B1483),"",'ENGAGEMENTS 2026'!D1483)</f>
        <v/>
      </c>
      <c r="D1483">
        <f>IF(ISBLANK('ENGAGEMENTS 2026'!B1483),"",'ENGAGEMENTS 2026'!F1483)</f>
        <v/>
      </c>
      <c r="E1483">
        <f>IF(ISBLANK('ENGAGEMENTS 2026'!B1483),"",'ENGAGEMENTS 2026'!H1483)</f>
        <v/>
      </c>
      <c r="F1483">
        <f>IF(ISBLANK('ENGAGEMENTS 2026'!B1483),"",'ENGAGEMENTS 2026'!I1483)</f>
        <v/>
      </c>
      <c r="G1483">
        <f>IF(ISBLANK('ENGAGEMENTS 2026'!B1483),"",'ENGAGEMENTS 2026'!L1483)</f>
        <v/>
      </c>
      <c r="H1483">
        <f>IF(ISBLANK('ENGAGEMENTS 2026'!B1483),"",'ENGAGEMENTS 2026'!AE1483)</f>
        <v/>
      </c>
      <c r="I1483">
        <f>IF(ISBLANK('ENGAGEMENTS 2026'!B1483),"",'ENGAGEMENTS 2026'!G1483)</f>
        <v/>
      </c>
      <c r="J1483" s="275">
        <f>IF(ISBLANK('ENGAGEMENTS 2026'!B1483),"",IF(AND(OR($E1483="INFRUCTUEUX",$E1483="ANNULE"),$C1483="AOO-M"),'ENGAGEMENTS 2026'!O1483,IF($H1483="EN COURS DE PREENGAGEMENT",'ENGAGEMENTS 2026'!N1483,IF($H1483="PREENGAGE",IF($E1483="ATTRIBUE",'ENGAGEMENTS 2026'!AD1483,'ENGAGEMENTS 2026'!N1483),'ENGAGEMENTS 2026'!AD1483))))</f>
        <v/>
      </c>
      <c r="K1483" s="604">
        <f>IF(ISBLANK('ENGAGEMENTS 2026'!V1483),"",'ENGAGEMENTS 2026'!V1483)</f>
        <v/>
      </c>
      <c r="L1483" s="276">
        <f>IF($K1483="","",TODAY()-$K1483)</f>
        <v/>
      </c>
      <c r="M1483">
        <f>IF($A1483="","",IF($H1483="ENGAGE","Engagé",IF(AND($H1483="NON ENGAGE",OR($I1483="INFRUCTUEUX",$I1483="ANNULE")),"Clôturé sans suite","En cours")))</f>
        <v/>
      </c>
      <c r="N1483">
        <f>IF(ISBLANK('ENGAGEMENTS 2026'!B1483),"",'ENGAGEMENTS 2026'!K1483)</f>
        <v/>
      </c>
      <c r="O1483">
        <f>IF(ISBLANK('ENGAGEMENTS 2026'!B1483),"",'ENGAGEMENTS 2026'!L1483)</f>
        <v/>
      </c>
      <c r="P1483">
        <f>IF(ISBLANK('ENGAGEMENTS 2026'!B1483),"",'ENGAGEMENTS 2026'!J1483)</f>
        <v/>
      </c>
      <c r="Q1483">
        <f>IF($A1483="","",IF(OR($E1483="INFRUCTUEUX",$E1483="ANNULE"),$A1483&amp;"|"&amp;(COUNTIFS($A$2:$A1483,$A1483,$E$2:$E1483,"INFRUCTUEUX")+COUNTIFS($A$2:$A1483,$A1483,$E$2:$E1483,"ANNULE")),""))</f>
        <v/>
      </c>
    </row>
    <row r="1484">
      <c r="A1484">
        <f>IF(ISBLANK('ENGAGEMENTS 2026'!B1484),"",IF('ENGAGEMENTS 2026'!B1484="DTSI","DCT",'ENGAGEMENTS 2026'!B1484))</f>
        <v/>
      </c>
      <c r="B1484">
        <f>IF(ISBLANK('ENGAGEMENTS 2026'!B1484),"",'ENGAGEMENTS 2026'!C1484)</f>
        <v/>
      </c>
      <c r="C1484">
        <f>IF(ISBLANK('ENGAGEMENTS 2026'!B1484),"",'ENGAGEMENTS 2026'!D1484)</f>
        <v/>
      </c>
      <c r="D1484">
        <f>IF(ISBLANK('ENGAGEMENTS 2026'!B1484),"",'ENGAGEMENTS 2026'!F1484)</f>
        <v/>
      </c>
      <c r="E1484">
        <f>IF(ISBLANK('ENGAGEMENTS 2026'!B1484),"",'ENGAGEMENTS 2026'!H1484)</f>
        <v/>
      </c>
      <c r="F1484">
        <f>IF(ISBLANK('ENGAGEMENTS 2026'!B1484),"",'ENGAGEMENTS 2026'!I1484)</f>
        <v/>
      </c>
      <c r="G1484">
        <f>IF(ISBLANK('ENGAGEMENTS 2026'!B1484),"",'ENGAGEMENTS 2026'!L1484)</f>
        <v/>
      </c>
      <c r="H1484">
        <f>IF(ISBLANK('ENGAGEMENTS 2026'!B1484),"",'ENGAGEMENTS 2026'!AE1484)</f>
        <v/>
      </c>
      <c r="I1484">
        <f>IF(ISBLANK('ENGAGEMENTS 2026'!B1484),"",'ENGAGEMENTS 2026'!G1484)</f>
        <v/>
      </c>
      <c r="J1484" s="275">
        <f>IF(ISBLANK('ENGAGEMENTS 2026'!B1484),"",IF(AND(OR($E1484="INFRUCTUEUX",$E1484="ANNULE"),$C1484="AOO-M"),'ENGAGEMENTS 2026'!O1484,IF($H1484="EN COURS DE PREENGAGEMENT",'ENGAGEMENTS 2026'!N1484,IF($H1484="PREENGAGE",IF($E1484="ATTRIBUE",'ENGAGEMENTS 2026'!AD1484,'ENGAGEMENTS 2026'!N1484),'ENGAGEMENTS 2026'!AD1484))))</f>
        <v/>
      </c>
      <c r="K1484" s="604">
        <f>IF(ISBLANK('ENGAGEMENTS 2026'!V1484),"",'ENGAGEMENTS 2026'!V1484)</f>
        <v/>
      </c>
      <c r="L1484" s="276">
        <f>IF($K1484="","",TODAY()-$K1484)</f>
        <v/>
      </c>
      <c r="M1484">
        <f>IF($A1484="","",IF($H1484="ENGAGE","Engagé",IF(AND($H1484="NON ENGAGE",OR($I1484="INFRUCTUEUX",$I1484="ANNULE")),"Clôturé sans suite","En cours")))</f>
        <v/>
      </c>
      <c r="N1484">
        <f>IF(ISBLANK('ENGAGEMENTS 2026'!B1484),"",'ENGAGEMENTS 2026'!K1484)</f>
        <v/>
      </c>
      <c r="O1484">
        <f>IF(ISBLANK('ENGAGEMENTS 2026'!B1484),"",'ENGAGEMENTS 2026'!L1484)</f>
        <v/>
      </c>
      <c r="P1484">
        <f>IF(ISBLANK('ENGAGEMENTS 2026'!B1484),"",'ENGAGEMENTS 2026'!J1484)</f>
        <v/>
      </c>
      <c r="Q1484">
        <f>IF($A1484="","",IF(OR($E1484="INFRUCTUEUX",$E1484="ANNULE"),$A1484&amp;"|"&amp;(COUNTIFS($A$2:$A1484,$A1484,$E$2:$E1484,"INFRUCTUEUX")+COUNTIFS($A$2:$A1484,$A1484,$E$2:$E1484,"ANNULE")),""))</f>
        <v/>
      </c>
    </row>
    <row r="1485">
      <c r="A1485">
        <f>IF(ISBLANK('ENGAGEMENTS 2026'!B1485),"",IF('ENGAGEMENTS 2026'!B1485="DTSI","DCT",'ENGAGEMENTS 2026'!B1485))</f>
        <v/>
      </c>
      <c r="B1485">
        <f>IF(ISBLANK('ENGAGEMENTS 2026'!B1485),"",'ENGAGEMENTS 2026'!C1485)</f>
        <v/>
      </c>
      <c r="C1485">
        <f>IF(ISBLANK('ENGAGEMENTS 2026'!B1485),"",'ENGAGEMENTS 2026'!D1485)</f>
        <v/>
      </c>
      <c r="D1485">
        <f>IF(ISBLANK('ENGAGEMENTS 2026'!B1485),"",'ENGAGEMENTS 2026'!F1485)</f>
        <v/>
      </c>
      <c r="E1485">
        <f>IF(ISBLANK('ENGAGEMENTS 2026'!B1485),"",'ENGAGEMENTS 2026'!H1485)</f>
        <v/>
      </c>
      <c r="F1485">
        <f>IF(ISBLANK('ENGAGEMENTS 2026'!B1485),"",'ENGAGEMENTS 2026'!I1485)</f>
        <v/>
      </c>
      <c r="G1485">
        <f>IF(ISBLANK('ENGAGEMENTS 2026'!B1485),"",'ENGAGEMENTS 2026'!L1485)</f>
        <v/>
      </c>
      <c r="H1485">
        <f>IF(ISBLANK('ENGAGEMENTS 2026'!B1485),"",'ENGAGEMENTS 2026'!AE1485)</f>
        <v/>
      </c>
      <c r="I1485">
        <f>IF(ISBLANK('ENGAGEMENTS 2026'!B1485),"",'ENGAGEMENTS 2026'!G1485)</f>
        <v/>
      </c>
      <c r="J1485" s="275">
        <f>IF(ISBLANK('ENGAGEMENTS 2026'!B1485),"",IF(AND(OR($E1485="INFRUCTUEUX",$E1485="ANNULE"),$C1485="AOO-M"),'ENGAGEMENTS 2026'!O1485,IF($H1485="EN COURS DE PREENGAGEMENT",'ENGAGEMENTS 2026'!N1485,IF($H1485="PREENGAGE",IF($E1485="ATTRIBUE",'ENGAGEMENTS 2026'!AD1485,'ENGAGEMENTS 2026'!N1485),'ENGAGEMENTS 2026'!AD1485))))</f>
        <v/>
      </c>
      <c r="K1485" s="604">
        <f>IF(ISBLANK('ENGAGEMENTS 2026'!V1485),"",'ENGAGEMENTS 2026'!V1485)</f>
        <v/>
      </c>
      <c r="L1485" s="276">
        <f>IF($K1485="","",TODAY()-$K1485)</f>
        <v/>
      </c>
      <c r="M1485">
        <f>IF($A1485="","",IF($H1485="ENGAGE","Engagé",IF(AND($H1485="NON ENGAGE",OR($I1485="INFRUCTUEUX",$I1485="ANNULE")),"Clôturé sans suite","En cours")))</f>
        <v/>
      </c>
      <c r="N1485">
        <f>IF(ISBLANK('ENGAGEMENTS 2026'!B1485),"",'ENGAGEMENTS 2026'!K1485)</f>
        <v/>
      </c>
      <c r="O1485">
        <f>IF(ISBLANK('ENGAGEMENTS 2026'!B1485),"",'ENGAGEMENTS 2026'!L1485)</f>
        <v/>
      </c>
      <c r="P1485">
        <f>IF(ISBLANK('ENGAGEMENTS 2026'!B1485),"",'ENGAGEMENTS 2026'!J1485)</f>
        <v/>
      </c>
      <c r="Q1485">
        <f>IF($A1485="","",IF(OR($E1485="INFRUCTUEUX",$E1485="ANNULE"),$A1485&amp;"|"&amp;(COUNTIFS($A$2:$A1485,$A1485,$E$2:$E1485,"INFRUCTUEUX")+COUNTIFS($A$2:$A1485,$A1485,$E$2:$E1485,"ANNULE")),""))</f>
        <v/>
      </c>
    </row>
    <row r="1486">
      <c r="A1486">
        <f>IF(ISBLANK('ENGAGEMENTS 2026'!B1486),"",IF('ENGAGEMENTS 2026'!B1486="DTSI","DCT",'ENGAGEMENTS 2026'!B1486))</f>
        <v/>
      </c>
      <c r="B1486">
        <f>IF(ISBLANK('ENGAGEMENTS 2026'!B1486),"",'ENGAGEMENTS 2026'!C1486)</f>
        <v/>
      </c>
      <c r="C1486">
        <f>IF(ISBLANK('ENGAGEMENTS 2026'!B1486),"",'ENGAGEMENTS 2026'!D1486)</f>
        <v/>
      </c>
      <c r="D1486">
        <f>IF(ISBLANK('ENGAGEMENTS 2026'!B1486),"",'ENGAGEMENTS 2026'!F1486)</f>
        <v/>
      </c>
      <c r="E1486">
        <f>IF(ISBLANK('ENGAGEMENTS 2026'!B1486),"",'ENGAGEMENTS 2026'!H1486)</f>
        <v/>
      </c>
      <c r="F1486">
        <f>IF(ISBLANK('ENGAGEMENTS 2026'!B1486),"",'ENGAGEMENTS 2026'!I1486)</f>
        <v/>
      </c>
      <c r="G1486">
        <f>IF(ISBLANK('ENGAGEMENTS 2026'!B1486),"",'ENGAGEMENTS 2026'!L1486)</f>
        <v/>
      </c>
      <c r="H1486">
        <f>IF(ISBLANK('ENGAGEMENTS 2026'!B1486),"",'ENGAGEMENTS 2026'!AE1486)</f>
        <v/>
      </c>
      <c r="I1486">
        <f>IF(ISBLANK('ENGAGEMENTS 2026'!B1486),"",'ENGAGEMENTS 2026'!G1486)</f>
        <v/>
      </c>
      <c r="J1486" s="275">
        <f>IF(ISBLANK('ENGAGEMENTS 2026'!B1486),"",IF(AND(OR($E1486="INFRUCTUEUX",$E1486="ANNULE"),$C1486="AOO-M"),'ENGAGEMENTS 2026'!O1486,IF($H1486="EN COURS DE PREENGAGEMENT",'ENGAGEMENTS 2026'!N1486,IF($H1486="PREENGAGE",IF($E1486="ATTRIBUE",'ENGAGEMENTS 2026'!AD1486,'ENGAGEMENTS 2026'!N1486),'ENGAGEMENTS 2026'!AD1486))))</f>
        <v/>
      </c>
      <c r="K1486" s="604">
        <f>IF(ISBLANK('ENGAGEMENTS 2026'!V1486),"",'ENGAGEMENTS 2026'!V1486)</f>
        <v/>
      </c>
      <c r="L1486" s="276">
        <f>IF($K1486="","",TODAY()-$K1486)</f>
        <v/>
      </c>
      <c r="M1486">
        <f>IF($A1486="","",IF($H1486="ENGAGE","Engagé",IF(AND($H1486="NON ENGAGE",OR($I1486="INFRUCTUEUX",$I1486="ANNULE")),"Clôturé sans suite","En cours")))</f>
        <v/>
      </c>
      <c r="N1486">
        <f>IF(ISBLANK('ENGAGEMENTS 2026'!B1486),"",'ENGAGEMENTS 2026'!K1486)</f>
        <v/>
      </c>
      <c r="O1486">
        <f>IF(ISBLANK('ENGAGEMENTS 2026'!B1486),"",'ENGAGEMENTS 2026'!L1486)</f>
        <v/>
      </c>
      <c r="P1486">
        <f>IF(ISBLANK('ENGAGEMENTS 2026'!B1486),"",'ENGAGEMENTS 2026'!J1486)</f>
        <v/>
      </c>
      <c r="Q1486">
        <f>IF($A1486="","",IF(OR($E1486="INFRUCTUEUX",$E1486="ANNULE"),$A1486&amp;"|"&amp;(COUNTIFS($A$2:$A1486,$A1486,$E$2:$E1486,"INFRUCTUEUX")+COUNTIFS($A$2:$A1486,$A1486,$E$2:$E1486,"ANNULE")),""))</f>
        <v/>
      </c>
    </row>
    <row r="1487">
      <c r="A1487">
        <f>IF(ISBLANK('ENGAGEMENTS 2026'!B1487),"",IF('ENGAGEMENTS 2026'!B1487="DTSI","DCT",'ENGAGEMENTS 2026'!B1487))</f>
        <v/>
      </c>
      <c r="B1487">
        <f>IF(ISBLANK('ENGAGEMENTS 2026'!B1487),"",'ENGAGEMENTS 2026'!C1487)</f>
        <v/>
      </c>
      <c r="C1487">
        <f>IF(ISBLANK('ENGAGEMENTS 2026'!B1487),"",'ENGAGEMENTS 2026'!D1487)</f>
        <v/>
      </c>
      <c r="D1487">
        <f>IF(ISBLANK('ENGAGEMENTS 2026'!B1487),"",'ENGAGEMENTS 2026'!F1487)</f>
        <v/>
      </c>
      <c r="E1487">
        <f>IF(ISBLANK('ENGAGEMENTS 2026'!B1487),"",'ENGAGEMENTS 2026'!H1487)</f>
        <v/>
      </c>
      <c r="F1487">
        <f>IF(ISBLANK('ENGAGEMENTS 2026'!B1487),"",'ENGAGEMENTS 2026'!I1487)</f>
        <v/>
      </c>
      <c r="G1487">
        <f>IF(ISBLANK('ENGAGEMENTS 2026'!B1487),"",'ENGAGEMENTS 2026'!L1487)</f>
        <v/>
      </c>
      <c r="H1487">
        <f>IF(ISBLANK('ENGAGEMENTS 2026'!B1487),"",'ENGAGEMENTS 2026'!AE1487)</f>
        <v/>
      </c>
      <c r="I1487">
        <f>IF(ISBLANK('ENGAGEMENTS 2026'!B1487),"",'ENGAGEMENTS 2026'!G1487)</f>
        <v/>
      </c>
      <c r="J1487" s="275">
        <f>IF(ISBLANK('ENGAGEMENTS 2026'!B1487),"",IF(AND(OR($E1487="INFRUCTUEUX",$E1487="ANNULE"),$C1487="AOO-M"),'ENGAGEMENTS 2026'!O1487,IF($H1487="EN COURS DE PREENGAGEMENT",'ENGAGEMENTS 2026'!N1487,IF($H1487="PREENGAGE",IF($E1487="ATTRIBUE",'ENGAGEMENTS 2026'!AD1487,'ENGAGEMENTS 2026'!N1487),'ENGAGEMENTS 2026'!AD1487))))</f>
        <v/>
      </c>
      <c r="K1487" s="604">
        <f>IF(ISBLANK('ENGAGEMENTS 2026'!V1487),"",'ENGAGEMENTS 2026'!V1487)</f>
        <v/>
      </c>
      <c r="L1487" s="276">
        <f>IF($K1487="","",TODAY()-$K1487)</f>
        <v/>
      </c>
      <c r="M1487">
        <f>IF($A1487="","",IF($H1487="ENGAGE","Engagé",IF(AND($H1487="NON ENGAGE",OR($I1487="INFRUCTUEUX",$I1487="ANNULE")),"Clôturé sans suite","En cours")))</f>
        <v/>
      </c>
      <c r="N1487">
        <f>IF(ISBLANK('ENGAGEMENTS 2026'!B1487),"",'ENGAGEMENTS 2026'!K1487)</f>
        <v/>
      </c>
      <c r="O1487">
        <f>IF(ISBLANK('ENGAGEMENTS 2026'!B1487),"",'ENGAGEMENTS 2026'!L1487)</f>
        <v/>
      </c>
      <c r="P1487">
        <f>IF(ISBLANK('ENGAGEMENTS 2026'!B1487),"",'ENGAGEMENTS 2026'!J1487)</f>
        <v/>
      </c>
      <c r="Q1487">
        <f>IF($A1487="","",IF(OR($E1487="INFRUCTUEUX",$E1487="ANNULE"),$A1487&amp;"|"&amp;(COUNTIFS($A$2:$A1487,$A1487,$E$2:$E1487,"INFRUCTUEUX")+COUNTIFS($A$2:$A1487,$A1487,$E$2:$E1487,"ANNULE")),""))</f>
        <v/>
      </c>
    </row>
    <row r="1488">
      <c r="A1488">
        <f>IF(ISBLANK('ENGAGEMENTS 2026'!B1488),"",IF('ENGAGEMENTS 2026'!B1488="DTSI","DCT",'ENGAGEMENTS 2026'!B1488))</f>
        <v/>
      </c>
      <c r="B1488">
        <f>IF(ISBLANK('ENGAGEMENTS 2026'!B1488),"",'ENGAGEMENTS 2026'!C1488)</f>
        <v/>
      </c>
      <c r="C1488">
        <f>IF(ISBLANK('ENGAGEMENTS 2026'!B1488),"",'ENGAGEMENTS 2026'!D1488)</f>
        <v/>
      </c>
      <c r="D1488">
        <f>IF(ISBLANK('ENGAGEMENTS 2026'!B1488),"",'ENGAGEMENTS 2026'!F1488)</f>
        <v/>
      </c>
      <c r="E1488">
        <f>IF(ISBLANK('ENGAGEMENTS 2026'!B1488),"",'ENGAGEMENTS 2026'!H1488)</f>
        <v/>
      </c>
      <c r="F1488">
        <f>IF(ISBLANK('ENGAGEMENTS 2026'!B1488),"",'ENGAGEMENTS 2026'!I1488)</f>
        <v/>
      </c>
      <c r="G1488">
        <f>IF(ISBLANK('ENGAGEMENTS 2026'!B1488),"",'ENGAGEMENTS 2026'!L1488)</f>
        <v/>
      </c>
      <c r="H1488">
        <f>IF(ISBLANK('ENGAGEMENTS 2026'!B1488),"",'ENGAGEMENTS 2026'!AE1488)</f>
        <v/>
      </c>
      <c r="I1488">
        <f>IF(ISBLANK('ENGAGEMENTS 2026'!B1488),"",'ENGAGEMENTS 2026'!G1488)</f>
        <v/>
      </c>
      <c r="J1488" s="275">
        <f>IF(ISBLANK('ENGAGEMENTS 2026'!B1488),"",IF(AND(OR($E1488="INFRUCTUEUX",$E1488="ANNULE"),$C1488="AOO-M"),'ENGAGEMENTS 2026'!O1488,IF($H1488="EN COURS DE PREENGAGEMENT",'ENGAGEMENTS 2026'!N1488,IF($H1488="PREENGAGE",IF($E1488="ATTRIBUE",'ENGAGEMENTS 2026'!AD1488,'ENGAGEMENTS 2026'!N1488),'ENGAGEMENTS 2026'!AD1488))))</f>
        <v/>
      </c>
      <c r="K1488" s="604">
        <f>IF(ISBLANK('ENGAGEMENTS 2026'!V1488),"",'ENGAGEMENTS 2026'!V1488)</f>
        <v/>
      </c>
      <c r="L1488" s="276">
        <f>IF($K1488="","",TODAY()-$K1488)</f>
        <v/>
      </c>
      <c r="M1488">
        <f>IF($A1488="","",IF($H1488="ENGAGE","Engagé",IF(AND($H1488="NON ENGAGE",OR($I1488="INFRUCTUEUX",$I1488="ANNULE")),"Clôturé sans suite","En cours")))</f>
        <v/>
      </c>
      <c r="N1488">
        <f>IF(ISBLANK('ENGAGEMENTS 2026'!B1488),"",'ENGAGEMENTS 2026'!K1488)</f>
        <v/>
      </c>
      <c r="O1488">
        <f>IF(ISBLANK('ENGAGEMENTS 2026'!B1488),"",'ENGAGEMENTS 2026'!L1488)</f>
        <v/>
      </c>
      <c r="P1488">
        <f>IF(ISBLANK('ENGAGEMENTS 2026'!B1488),"",'ENGAGEMENTS 2026'!J1488)</f>
        <v/>
      </c>
      <c r="Q1488">
        <f>IF($A1488="","",IF(OR($E1488="INFRUCTUEUX",$E1488="ANNULE"),$A1488&amp;"|"&amp;(COUNTIFS($A$2:$A1488,$A1488,$E$2:$E1488,"INFRUCTUEUX")+COUNTIFS($A$2:$A1488,$A1488,$E$2:$E1488,"ANNULE")),""))</f>
        <v/>
      </c>
    </row>
    <row r="1489">
      <c r="A1489">
        <f>IF(ISBLANK('ENGAGEMENTS 2026'!B1489),"",IF('ENGAGEMENTS 2026'!B1489="DTSI","DCT",'ENGAGEMENTS 2026'!B1489))</f>
        <v/>
      </c>
      <c r="B1489">
        <f>IF(ISBLANK('ENGAGEMENTS 2026'!B1489),"",'ENGAGEMENTS 2026'!C1489)</f>
        <v/>
      </c>
      <c r="C1489">
        <f>IF(ISBLANK('ENGAGEMENTS 2026'!B1489),"",'ENGAGEMENTS 2026'!D1489)</f>
        <v/>
      </c>
      <c r="D1489">
        <f>IF(ISBLANK('ENGAGEMENTS 2026'!B1489),"",'ENGAGEMENTS 2026'!F1489)</f>
        <v/>
      </c>
      <c r="E1489">
        <f>IF(ISBLANK('ENGAGEMENTS 2026'!B1489),"",'ENGAGEMENTS 2026'!H1489)</f>
        <v/>
      </c>
      <c r="F1489">
        <f>IF(ISBLANK('ENGAGEMENTS 2026'!B1489),"",'ENGAGEMENTS 2026'!I1489)</f>
        <v/>
      </c>
      <c r="G1489">
        <f>IF(ISBLANK('ENGAGEMENTS 2026'!B1489),"",'ENGAGEMENTS 2026'!L1489)</f>
        <v/>
      </c>
      <c r="H1489">
        <f>IF(ISBLANK('ENGAGEMENTS 2026'!B1489),"",'ENGAGEMENTS 2026'!AE1489)</f>
        <v/>
      </c>
      <c r="I1489">
        <f>IF(ISBLANK('ENGAGEMENTS 2026'!B1489),"",'ENGAGEMENTS 2026'!G1489)</f>
        <v/>
      </c>
      <c r="J1489" s="275">
        <f>IF(ISBLANK('ENGAGEMENTS 2026'!B1489),"",IF(AND(OR($E1489="INFRUCTUEUX",$E1489="ANNULE"),$C1489="AOO-M"),'ENGAGEMENTS 2026'!O1489,IF($H1489="EN COURS DE PREENGAGEMENT",'ENGAGEMENTS 2026'!N1489,IF($H1489="PREENGAGE",IF($E1489="ATTRIBUE",'ENGAGEMENTS 2026'!AD1489,'ENGAGEMENTS 2026'!N1489),'ENGAGEMENTS 2026'!AD1489))))</f>
        <v/>
      </c>
      <c r="K1489" s="604">
        <f>IF(ISBLANK('ENGAGEMENTS 2026'!V1489),"",'ENGAGEMENTS 2026'!V1489)</f>
        <v/>
      </c>
      <c r="L1489" s="276">
        <f>IF($K1489="","",TODAY()-$K1489)</f>
        <v/>
      </c>
      <c r="M1489">
        <f>IF($A1489="","",IF($H1489="ENGAGE","Engagé",IF(AND($H1489="NON ENGAGE",OR($I1489="INFRUCTUEUX",$I1489="ANNULE")),"Clôturé sans suite","En cours")))</f>
        <v/>
      </c>
      <c r="N1489">
        <f>IF(ISBLANK('ENGAGEMENTS 2026'!B1489),"",'ENGAGEMENTS 2026'!K1489)</f>
        <v/>
      </c>
      <c r="O1489">
        <f>IF(ISBLANK('ENGAGEMENTS 2026'!B1489),"",'ENGAGEMENTS 2026'!L1489)</f>
        <v/>
      </c>
      <c r="P1489">
        <f>IF(ISBLANK('ENGAGEMENTS 2026'!B1489),"",'ENGAGEMENTS 2026'!J1489)</f>
        <v/>
      </c>
      <c r="Q1489">
        <f>IF($A1489="","",IF(OR($E1489="INFRUCTUEUX",$E1489="ANNULE"),$A1489&amp;"|"&amp;(COUNTIFS($A$2:$A1489,$A1489,$E$2:$E1489,"INFRUCTUEUX")+COUNTIFS($A$2:$A1489,$A1489,$E$2:$E1489,"ANNULE")),""))</f>
        <v/>
      </c>
    </row>
    <row r="1490">
      <c r="A1490">
        <f>IF(ISBLANK('ENGAGEMENTS 2026'!B1490),"",IF('ENGAGEMENTS 2026'!B1490="DTSI","DCT",'ENGAGEMENTS 2026'!B1490))</f>
        <v/>
      </c>
      <c r="B1490">
        <f>IF(ISBLANK('ENGAGEMENTS 2026'!B1490),"",'ENGAGEMENTS 2026'!C1490)</f>
        <v/>
      </c>
      <c r="C1490">
        <f>IF(ISBLANK('ENGAGEMENTS 2026'!B1490),"",'ENGAGEMENTS 2026'!D1490)</f>
        <v/>
      </c>
      <c r="D1490">
        <f>IF(ISBLANK('ENGAGEMENTS 2026'!B1490),"",'ENGAGEMENTS 2026'!F1490)</f>
        <v/>
      </c>
      <c r="E1490">
        <f>IF(ISBLANK('ENGAGEMENTS 2026'!B1490),"",'ENGAGEMENTS 2026'!H1490)</f>
        <v/>
      </c>
      <c r="F1490">
        <f>IF(ISBLANK('ENGAGEMENTS 2026'!B1490),"",'ENGAGEMENTS 2026'!I1490)</f>
        <v/>
      </c>
      <c r="G1490">
        <f>IF(ISBLANK('ENGAGEMENTS 2026'!B1490),"",'ENGAGEMENTS 2026'!L1490)</f>
        <v/>
      </c>
      <c r="H1490">
        <f>IF(ISBLANK('ENGAGEMENTS 2026'!B1490),"",'ENGAGEMENTS 2026'!AE1490)</f>
        <v/>
      </c>
      <c r="I1490">
        <f>IF(ISBLANK('ENGAGEMENTS 2026'!B1490),"",'ENGAGEMENTS 2026'!G1490)</f>
        <v/>
      </c>
      <c r="J1490" s="275">
        <f>IF(ISBLANK('ENGAGEMENTS 2026'!B1490),"",IF(AND(OR($E1490="INFRUCTUEUX",$E1490="ANNULE"),$C1490="AOO-M"),'ENGAGEMENTS 2026'!O1490,IF($H1490="EN COURS DE PREENGAGEMENT",'ENGAGEMENTS 2026'!N1490,IF($H1490="PREENGAGE",IF($E1490="ATTRIBUE",'ENGAGEMENTS 2026'!AD1490,'ENGAGEMENTS 2026'!N1490),'ENGAGEMENTS 2026'!AD1490))))</f>
        <v/>
      </c>
      <c r="K1490" s="604">
        <f>IF(ISBLANK('ENGAGEMENTS 2026'!V1490),"",'ENGAGEMENTS 2026'!V1490)</f>
        <v/>
      </c>
      <c r="L1490" s="276">
        <f>IF($K1490="","",TODAY()-$K1490)</f>
        <v/>
      </c>
      <c r="M1490">
        <f>IF($A1490="","",IF($H1490="ENGAGE","Engagé",IF(AND($H1490="NON ENGAGE",OR($I1490="INFRUCTUEUX",$I1490="ANNULE")),"Clôturé sans suite","En cours")))</f>
        <v/>
      </c>
      <c r="N1490">
        <f>IF(ISBLANK('ENGAGEMENTS 2026'!B1490),"",'ENGAGEMENTS 2026'!K1490)</f>
        <v/>
      </c>
      <c r="O1490">
        <f>IF(ISBLANK('ENGAGEMENTS 2026'!B1490),"",'ENGAGEMENTS 2026'!L1490)</f>
        <v/>
      </c>
      <c r="P1490">
        <f>IF(ISBLANK('ENGAGEMENTS 2026'!B1490),"",'ENGAGEMENTS 2026'!J1490)</f>
        <v/>
      </c>
      <c r="Q1490">
        <f>IF($A1490="","",IF(OR($E1490="INFRUCTUEUX",$E1490="ANNULE"),$A1490&amp;"|"&amp;(COUNTIFS($A$2:$A1490,$A1490,$E$2:$E1490,"INFRUCTUEUX")+COUNTIFS($A$2:$A1490,$A1490,$E$2:$E1490,"ANNULE")),""))</f>
        <v/>
      </c>
    </row>
    <row r="1491">
      <c r="A1491">
        <f>IF(ISBLANK('ENGAGEMENTS 2026'!B1491),"",IF('ENGAGEMENTS 2026'!B1491="DTSI","DCT",'ENGAGEMENTS 2026'!B1491))</f>
        <v/>
      </c>
      <c r="B1491">
        <f>IF(ISBLANK('ENGAGEMENTS 2026'!B1491),"",'ENGAGEMENTS 2026'!C1491)</f>
        <v/>
      </c>
      <c r="C1491">
        <f>IF(ISBLANK('ENGAGEMENTS 2026'!B1491),"",'ENGAGEMENTS 2026'!D1491)</f>
        <v/>
      </c>
      <c r="D1491">
        <f>IF(ISBLANK('ENGAGEMENTS 2026'!B1491),"",'ENGAGEMENTS 2026'!F1491)</f>
        <v/>
      </c>
      <c r="E1491">
        <f>IF(ISBLANK('ENGAGEMENTS 2026'!B1491),"",'ENGAGEMENTS 2026'!H1491)</f>
        <v/>
      </c>
      <c r="F1491">
        <f>IF(ISBLANK('ENGAGEMENTS 2026'!B1491),"",'ENGAGEMENTS 2026'!I1491)</f>
        <v/>
      </c>
      <c r="G1491">
        <f>IF(ISBLANK('ENGAGEMENTS 2026'!B1491),"",'ENGAGEMENTS 2026'!L1491)</f>
        <v/>
      </c>
      <c r="H1491">
        <f>IF(ISBLANK('ENGAGEMENTS 2026'!B1491),"",'ENGAGEMENTS 2026'!AE1491)</f>
        <v/>
      </c>
      <c r="I1491">
        <f>IF(ISBLANK('ENGAGEMENTS 2026'!B1491),"",'ENGAGEMENTS 2026'!G1491)</f>
        <v/>
      </c>
      <c r="J1491" s="275">
        <f>IF(ISBLANK('ENGAGEMENTS 2026'!B1491),"",IF(AND(OR($E1491="INFRUCTUEUX",$E1491="ANNULE"),$C1491="AOO-M"),'ENGAGEMENTS 2026'!O1491,IF($H1491="EN COURS DE PREENGAGEMENT",'ENGAGEMENTS 2026'!N1491,IF($H1491="PREENGAGE",IF($E1491="ATTRIBUE",'ENGAGEMENTS 2026'!AD1491,'ENGAGEMENTS 2026'!N1491),'ENGAGEMENTS 2026'!AD1491))))</f>
        <v/>
      </c>
      <c r="K1491" s="604">
        <f>IF(ISBLANK('ENGAGEMENTS 2026'!V1491),"",'ENGAGEMENTS 2026'!V1491)</f>
        <v/>
      </c>
      <c r="L1491" s="276">
        <f>IF($K1491="","",TODAY()-$K1491)</f>
        <v/>
      </c>
      <c r="M1491">
        <f>IF($A1491="","",IF($H1491="ENGAGE","Engagé",IF(AND($H1491="NON ENGAGE",OR($I1491="INFRUCTUEUX",$I1491="ANNULE")),"Clôturé sans suite","En cours")))</f>
        <v/>
      </c>
      <c r="N1491">
        <f>IF(ISBLANK('ENGAGEMENTS 2026'!B1491),"",'ENGAGEMENTS 2026'!K1491)</f>
        <v/>
      </c>
      <c r="O1491">
        <f>IF(ISBLANK('ENGAGEMENTS 2026'!B1491),"",'ENGAGEMENTS 2026'!L1491)</f>
        <v/>
      </c>
      <c r="P1491">
        <f>IF(ISBLANK('ENGAGEMENTS 2026'!B1491),"",'ENGAGEMENTS 2026'!J1491)</f>
        <v/>
      </c>
      <c r="Q1491">
        <f>IF($A1491="","",IF(OR($E1491="INFRUCTUEUX",$E1491="ANNULE"),$A1491&amp;"|"&amp;(COUNTIFS($A$2:$A1491,$A1491,$E$2:$E1491,"INFRUCTUEUX")+COUNTIFS($A$2:$A1491,$A1491,$E$2:$E1491,"ANNULE")),""))</f>
        <v/>
      </c>
    </row>
    <row r="1492">
      <c r="A1492">
        <f>IF(ISBLANK('ENGAGEMENTS 2026'!B1492),"",IF('ENGAGEMENTS 2026'!B1492="DTSI","DCT",'ENGAGEMENTS 2026'!B1492))</f>
        <v/>
      </c>
      <c r="B1492">
        <f>IF(ISBLANK('ENGAGEMENTS 2026'!B1492),"",'ENGAGEMENTS 2026'!C1492)</f>
        <v/>
      </c>
      <c r="C1492">
        <f>IF(ISBLANK('ENGAGEMENTS 2026'!B1492),"",'ENGAGEMENTS 2026'!D1492)</f>
        <v/>
      </c>
      <c r="D1492">
        <f>IF(ISBLANK('ENGAGEMENTS 2026'!B1492),"",'ENGAGEMENTS 2026'!F1492)</f>
        <v/>
      </c>
      <c r="E1492">
        <f>IF(ISBLANK('ENGAGEMENTS 2026'!B1492),"",'ENGAGEMENTS 2026'!H1492)</f>
        <v/>
      </c>
      <c r="F1492">
        <f>IF(ISBLANK('ENGAGEMENTS 2026'!B1492),"",'ENGAGEMENTS 2026'!I1492)</f>
        <v/>
      </c>
      <c r="G1492">
        <f>IF(ISBLANK('ENGAGEMENTS 2026'!B1492),"",'ENGAGEMENTS 2026'!L1492)</f>
        <v/>
      </c>
      <c r="H1492">
        <f>IF(ISBLANK('ENGAGEMENTS 2026'!B1492),"",'ENGAGEMENTS 2026'!AE1492)</f>
        <v/>
      </c>
      <c r="I1492">
        <f>IF(ISBLANK('ENGAGEMENTS 2026'!B1492),"",'ENGAGEMENTS 2026'!G1492)</f>
        <v/>
      </c>
      <c r="J1492" s="275">
        <f>IF(ISBLANK('ENGAGEMENTS 2026'!B1492),"",IF(AND(OR($E1492="INFRUCTUEUX",$E1492="ANNULE"),$C1492="AOO-M"),'ENGAGEMENTS 2026'!O1492,IF($H1492="EN COURS DE PREENGAGEMENT",'ENGAGEMENTS 2026'!N1492,IF($H1492="PREENGAGE",IF($E1492="ATTRIBUE",'ENGAGEMENTS 2026'!AD1492,'ENGAGEMENTS 2026'!N1492),'ENGAGEMENTS 2026'!AD1492))))</f>
        <v/>
      </c>
      <c r="K1492" s="604">
        <f>IF(ISBLANK('ENGAGEMENTS 2026'!V1492),"",'ENGAGEMENTS 2026'!V1492)</f>
        <v/>
      </c>
      <c r="L1492" s="276">
        <f>IF($K1492="","",TODAY()-$K1492)</f>
        <v/>
      </c>
      <c r="M1492">
        <f>IF($A1492="","",IF($H1492="ENGAGE","Engagé",IF(AND($H1492="NON ENGAGE",OR($I1492="INFRUCTUEUX",$I1492="ANNULE")),"Clôturé sans suite","En cours")))</f>
        <v/>
      </c>
      <c r="N1492">
        <f>IF(ISBLANK('ENGAGEMENTS 2026'!B1492),"",'ENGAGEMENTS 2026'!K1492)</f>
        <v/>
      </c>
      <c r="O1492">
        <f>IF(ISBLANK('ENGAGEMENTS 2026'!B1492),"",'ENGAGEMENTS 2026'!L1492)</f>
        <v/>
      </c>
      <c r="P1492">
        <f>IF(ISBLANK('ENGAGEMENTS 2026'!B1492),"",'ENGAGEMENTS 2026'!J1492)</f>
        <v/>
      </c>
      <c r="Q1492">
        <f>IF($A1492="","",IF(OR($E1492="INFRUCTUEUX",$E1492="ANNULE"),$A1492&amp;"|"&amp;(COUNTIFS($A$2:$A1492,$A1492,$E$2:$E1492,"INFRUCTUEUX")+COUNTIFS($A$2:$A1492,$A1492,$E$2:$E1492,"ANNULE")),""))</f>
        <v/>
      </c>
    </row>
    <row r="1493">
      <c r="A1493">
        <f>IF(ISBLANK('ENGAGEMENTS 2026'!B1493),"",IF('ENGAGEMENTS 2026'!B1493="DTSI","DCT",'ENGAGEMENTS 2026'!B1493))</f>
        <v/>
      </c>
      <c r="B1493">
        <f>IF(ISBLANK('ENGAGEMENTS 2026'!B1493),"",'ENGAGEMENTS 2026'!C1493)</f>
        <v/>
      </c>
      <c r="C1493">
        <f>IF(ISBLANK('ENGAGEMENTS 2026'!B1493),"",'ENGAGEMENTS 2026'!D1493)</f>
        <v/>
      </c>
      <c r="D1493">
        <f>IF(ISBLANK('ENGAGEMENTS 2026'!B1493),"",'ENGAGEMENTS 2026'!F1493)</f>
        <v/>
      </c>
      <c r="E1493">
        <f>IF(ISBLANK('ENGAGEMENTS 2026'!B1493),"",'ENGAGEMENTS 2026'!H1493)</f>
        <v/>
      </c>
      <c r="F1493">
        <f>IF(ISBLANK('ENGAGEMENTS 2026'!B1493),"",'ENGAGEMENTS 2026'!I1493)</f>
        <v/>
      </c>
      <c r="G1493">
        <f>IF(ISBLANK('ENGAGEMENTS 2026'!B1493),"",'ENGAGEMENTS 2026'!L1493)</f>
        <v/>
      </c>
      <c r="H1493">
        <f>IF(ISBLANK('ENGAGEMENTS 2026'!B1493),"",'ENGAGEMENTS 2026'!AE1493)</f>
        <v/>
      </c>
      <c r="I1493">
        <f>IF(ISBLANK('ENGAGEMENTS 2026'!B1493),"",'ENGAGEMENTS 2026'!G1493)</f>
        <v/>
      </c>
      <c r="J1493" s="275">
        <f>IF(ISBLANK('ENGAGEMENTS 2026'!B1493),"",IF(AND(OR($E1493="INFRUCTUEUX",$E1493="ANNULE"),$C1493="AOO-M"),'ENGAGEMENTS 2026'!O1493,IF($H1493="EN COURS DE PREENGAGEMENT",'ENGAGEMENTS 2026'!N1493,IF($H1493="PREENGAGE",IF($E1493="ATTRIBUE",'ENGAGEMENTS 2026'!AD1493,'ENGAGEMENTS 2026'!N1493),'ENGAGEMENTS 2026'!AD1493))))</f>
        <v/>
      </c>
      <c r="K1493" s="604">
        <f>IF(ISBLANK('ENGAGEMENTS 2026'!V1493),"",'ENGAGEMENTS 2026'!V1493)</f>
        <v/>
      </c>
      <c r="L1493" s="276">
        <f>IF($K1493="","",TODAY()-$K1493)</f>
        <v/>
      </c>
      <c r="M1493">
        <f>IF($A1493="","",IF($H1493="ENGAGE","Engagé",IF(AND($H1493="NON ENGAGE",OR($I1493="INFRUCTUEUX",$I1493="ANNULE")),"Clôturé sans suite","En cours")))</f>
        <v/>
      </c>
      <c r="N1493">
        <f>IF(ISBLANK('ENGAGEMENTS 2026'!B1493),"",'ENGAGEMENTS 2026'!K1493)</f>
        <v/>
      </c>
      <c r="O1493">
        <f>IF(ISBLANK('ENGAGEMENTS 2026'!B1493),"",'ENGAGEMENTS 2026'!L1493)</f>
        <v/>
      </c>
      <c r="P1493">
        <f>IF(ISBLANK('ENGAGEMENTS 2026'!B1493),"",'ENGAGEMENTS 2026'!J1493)</f>
        <v/>
      </c>
      <c r="Q1493">
        <f>IF($A1493="","",IF(OR($E1493="INFRUCTUEUX",$E1493="ANNULE"),$A1493&amp;"|"&amp;(COUNTIFS($A$2:$A1493,$A1493,$E$2:$E1493,"INFRUCTUEUX")+COUNTIFS($A$2:$A1493,$A1493,$E$2:$E1493,"ANNULE")),""))</f>
        <v/>
      </c>
    </row>
    <row r="1494">
      <c r="A1494">
        <f>IF(ISBLANK('ENGAGEMENTS 2026'!B1494),"",IF('ENGAGEMENTS 2026'!B1494="DTSI","DCT",'ENGAGEMENTS 2026'!B1494))</f>
        <v/>
      </c>
      <c r="B1494">
        <f>IF(ISBLANK('ENGAGEMENTS 2026'!B1494),"",'ENGAGEMENTS 2026'!C1494)</f>
        <v/>
      </c>
      <c r="C1494">
        <f>IF(ISBLANK('ENGAGEMENTS 2026'!B1494),"",'ENGAGEMENTS 2026'!D1494)</f>
        <v/>
      </c>
      <c r="D1494">
        <f>IF(ISBLANK('ENGAGEMENTS 2026'!B1494),"",'ENGAGEMENTS 2026'!F1494)</f>
        <v/>
      </c>
      <c r="E1494">
        <f>IF(ISBLANK('ENGAGEMENTS 2026'!B1494),"",'ENGAGEMENTS 2026'!H1494)</f>
        <v/>
      </c>
      <c r="F1494">
        <f>IF(ISBLANK('ENGAGEMENTS 2026'!B1494),"",'ENGAGEMENTS 2026'!I1494)</f>
        <v/>
      </c>
      <c r="G1494">
        <f>IF(ISBLANK('ENGAGEMENTS 2026'!B1494),"",'ENGAGEMENTS 2026'!L1494)</f>
        <v/>
      </c>
      <c r="H1494">
        <f>IF(ISBLANK('ENGAGEMENTS 2026'!B1494),"",'ENGAGEMENTS 2026'!AE1494)</f>
        <v/>
      </c>
      <c r="I1494">
        <f>IF(ISBLANK('ENGAGEMENTS 2026'!B1494),"",'ENGAGEMENTS 2026'!G1494)</f>
        <v/>
      </c>
      <c r="J1494" s="275">
        <f>IF(ISBLANK('ENGAGEMENTS 2026'!B1494),"",IF(AND(OR($E1494="INFRUCTUEUX",$E1494="ANNULE"),$C1494="AOO-M"),'ENGAGEMENTS 2026'!O1494,IF($H1494="EN COURS DE PREENGAGEMENT",'ENGAGEMENTS 2026'!N1494,IF($H1494="PREENGAGE",IF($E1494="ATTRIBUE",'ENGAGEMENTS 2026'!AD1494,'ENGAGEMENTS 2026'!N1494),'ENGAGEMENTS 2026'!AD1494))))</f>
        <v/>
      </c>
      <c r="K1494" s="604">
        <f>IF(ISBLANK('ENGAGEMENTS 2026'!V1494),"",'ENGAGEMENTS 2026'!V1494)</f>
        <v/>
      </c>
      <c r="L1494" s="276">
        <f>IF($K1494="","",TODAY()-$K1494)</f>
        <v/>
      </c>
      <c r="M1494">
        <f>IF($A1494="","",IF($H1494="ENGAGE","Engagé",IF(AND($H1494="NON ENGAGE",OR($I1494="INFRUCTUEUX",$I1494="ANNULE")),"Clôturé sans suite","En cours")))</f>
        <v/>
      </c>
      <c r="N1494">
        <f>IF(ISBLANK('ENGAGEMENTS 2026'!B1494),"",'ENGAGEMENTS 2026'!K1494)</f>
        <v/>
      </c>
      <c r="O1494">
        <f>IF(ISBLANK('ENGAGEMENTS 2026'!B1494),"",'ENGAGEMENTS 2026'!L1494)</f>
        <v/>
      </c>
      <c r="P1494">
        <f>IF(ISBLANK('ENGAGEMENTS 2026'!B1494),"",'ENGAGEMENTS 2026'!J1494)</f>
        <v/>
      </c>
      <c r="Q1494">
        <f>IF($A1494="","",IF(OR($E1494="INFRUCTUEUX",$E1494="ANNULE"),$A1494&amp;"|"&amp;(COUNTIFS($A$2:$A1494,$A1494,$E$2:$E1494,"INFRUCTUEUX")+COUNTIFS($A$2:$A1494,$A1494,$E$2:$E1494,"ANNULE")),""))</f>
        <v/>
      </c>
    </row>
    <row r="1495">
      <c r="A1495">
        <f>IF(ISBLANK('ENGAGEMENTS 2026'!B1495),"",IF('ENGAGEMENTS 2026'!B1495="DTSI","DCT",'ENGAGEMENTS 2026'!B1495))</f>
        <v/>
      </c>
      <c r="B1495">
        <f>IF(ISBLANK('ENGAGEMENTS 2026'!B1495),"",'ENGAGEMENTS 2026'!C1495)</f>
        <v/>
      </c>
      <c r="C1495">
        <f>IF(ISBLANK('ENGAGEMENTS 2026'!B1495),"",'ENGAGEMENTS 2026'!D1495)</f>
        <v/>
      </c>
      <c r="D1495">
        <f>IF(ISBLANK('ENGAGEMENTS 2026'!B1495),"",'ENGAGEMENTS 2026'!F1495)</f>
        <v/>
      </c>
      <c r="E1495">
        <f>IF(ISBLANK('ENGAGEMENTS 2026'!B1495),"",'ENGAGEMENTS 2026'!H1495)</f>
        <v/>
      </c>
      <c r="F1495">
        <f>IF(ISBLANK('ENGAGEMENTS 2026'!B1495),"",'ENGAGEMENTS 2026'!I1495)</f>
        <v/>
      </c>
      <c r="G1495">
        <f>IF(ISBLANK('ENGAGEMENTS 2026'!B1495),"",'ENGAGEMENTS 2026'!L1495)</f>
        <v/>
      </c>
      <c r="H1495">
        <f>IF(ISBLANK('ENGAGEMENTS 2026'!B1495),"",'ENGAGEMENTS 2026'!AE1495)</f>
        <v/>
      </c>
      <c r="I1495">
        <f>IF(ISBLANK('ENGAGEMENTS 2026'!B1495),"",'ENGAGEMENTS 2026'!G1495)</f>
        <v/>
      </c>
      <c r="J1495" s="275">
        <f>IF(ISBLANK('ENGAGEMENTS 2026'!B1495),"",IF(AND(OR($E1495="INFRUCTUEUX",$E1495="ANNULE"),$C1495="AOO-M"),'ENGAGEMENTS 2026'!O1495,IF($H1495="EN COURS DE PREENGAGEMENT",'ENGAGEMENTS 2026'!N1495,IF($H1495="PREENGAGE",IF($E1495="ATTRIBUE",'ENGAGEMENTS 2026'!AD1495,'ENGAGEMENTS 2026'!N1495),'ENGAGEMENTS 2026'!AD1495))))</f>
        <v/>
      </c>
      <c r="K1495" s="604">
        <f>IF(ISBLANK('ENGAGEMENTS 2026'!V1495),"",'ENGAGEMENTS 2026'!V1495)</f>
        <v/>
      </c>
      <c r="L1495" s="276">
        <f>IF($K1495="","",TODAY()-$K1495)</f>
        <v/>
      </c>
      <c r="M1495">
        <f>IF($A1495="","",IF($H1495="ENGAGE","Engagé",IF(AND($H1495="NON ENGAGE",OR($I1495="INFRUCTUEUX",$I1495="ANNULE")),"Clôturé sans suite","En cours")))</f>
        <v/>
      </c>
      <c r="N1495">
        <f>IF(ISBLANK('ENGAGEMENTS 2026'!B1495),"",'ENGAGEMENTS 2026'!K1495)</f>
        <v/>
      </c>
      <c r="O1495">
        <f>IF(ISBLANK('ENGAGEMENTS 2026'!B1495),"",'ENGAGEMENTS 2026'!L1495)</f>
        <v/>
      </c>
      <c r="P1495">
        <f>IF(ISBLANK('ENGAGEMENTS 2026'!B1495),"",'ENGAGEMENTS 2026'!J1495)</f>
        <v/>
      </c>
      <c r="Q1495">
        <f>IF($A1495="","",IF(OR($E1495="INFRUCTUEUX",$E1495="ANNULE"),$A1495&amp;"|"&amp;(COUNTIFS($A$2:$A1495,$A1495,$E$2:$E1495,"INFRUCTUEUX")+COUNTIFS($A$2:$A1495,$A1495,$E$2:$E1495,"ANNULE")),""))</f>
        <v/>
      </c>
    </row>
    <row r="1496">
      <c r="A1496">
        <f>IF(ISBLANK('ENGAGEMENTS 2026'!B1496),"",IF('ENGAGEMENTS 2026'!B1496="DTSI","DCT",'ENGAGEMENTS 2026'!B1496))</f>
        <v/>
      </c>
      <c r="B1496">
        <f>IF(ISBLANK('ENGAGEMENTS 2026'!B1496),"",'ENGAGEMENTS 2026'!C1496)</f>
        <v/>
      </c>
      <c r="C1496">
        <f>IF(ISBLANK('ENGAGEMENTS 2026'!B1496),"",'ENGAGEMENTS 2026'!D1496)</f>
        <v/>
      </c>
      <c r="D1496">
        <f>IF(ISBLANK('ENGAGEMENTS 2026'!B1496),"",'ENGAGEMENTS 2026'!F1496)</f>
        <v/>
      </c>
      <c r="E1496">
        <f>IF(ISBLANK('ENGAGEMENTS 2026'!B1496),"",'ENGAGEMENTS 2026'!H1496)</f>
        <v/>
      </c>
      <c r="F1496">
        <f>IF(ISBLANK('ENGAGEMENTS 2026'!B1496),"",'ENGAGEMENTS 2026'!I1496)</f>
        <v/>
      </c>
      <c r="G1496">
        <f>IF(ISBLANK('ENGAGEMENTS 2026'!B1496),"",'ENGAGEMENTS 2026'!L1496)</f>
        <v/>
      </c>
      <c r="H1496">
        <f>IF(ISBLANK('ENGAGEMENTS 2026'!B1496),"",'ENGAGEMENTS 2026'!AE1496)</f>
        <v/>
      </c>
      <c r="I1496">
        <f>IF(ISBLANK('ENGAGEMENTS 2026'!B1496),"",'ENGAGEMENTS 2026'!G1496)</f>
        <v/>
      </c>
      <c r="J1496" s="275">
        <f>IF(ISBLANK('ENGAGEMENTS 2026'!B1496),"",IF(AND(OR($E1496="INFRUCTUEUX",$E1496="ANNULE"),$C1496="AOO-M"),'ENGAGEMENTS 2026'!O1496,IF($H1496="EN COURS DE PREENGAGEMENT",'ENGAGEMENTS 2026'!N1496,IF($H1496="PREENGAGE",IF($E1496="ATTRIBUE",'ENGAGEMENTS 2026'!AD1496,'ENGAGEMENTS 2026'!N1496),'ENGAGEMENTS 2026'!AD1496))))</f>
        <v/>
      </c>
      <c r="K1496" s="604">
        <f>IF(ISBLANK('ENGAGEMENTS 2026'!V1496),"",'ENGAGEMENTS 2026'!V1496)</f>
        <v/>
      </c>
      <c r="L1496" s="276">
        <f>IF($K1496="","",TODAY()-$K1496)</f>
        <v/>
      </c>
      <c r="M1496">
        <f>IF($A1496="","",IF($H1496="ENGAGE","Engagé",IF(AND($H1496="NON ENGAGE",OR($I1496="INFRUCTUEUX",$I1496="ANNULE")),"Clôturé sans suite","En cours")))</f>
        <v/>
      </c>
      <c r="N1496">
        <f>IF(ISBLANK('ENGAGEMENTS 2026'!B1496),"",'ENGAGEMENTS 2026'!K1496)</f>
        <v/>
      </c>
      <c r="O1496">
        <f>IF(ISBLANK('ENGAGEMENTS 2026'!B1496),"",'ENGAGEMENTS 2026'!L1496)</f>
        <v/>
      </c>
      <c r="P1496">
        <f>IF(ISBLANK('ENGAGEMENTS 2026'!B1496),"",'ENGAGEMENTS 2026'!J1496)</f>
        <v/>
      </c>
      <c r="Q1496">
        <f>IF($A1496="","",IF(OR($E1496="INFRUCTUEUX",$E1496="ANNULE"),$A1496&amp;"|"&amp;(COUNTIFS($A$2:$A1496,$A1496,$E$2:$E1496,"INFRUCTUEUX")+COUNTIFS($A$2:$A1496,$A1496,$E$2:$E1496,"ANNULE")),""))</f>
        <v/>
      </c>
    </row>
    <row r="1497">
      <c r="A1497">
        <f>IF(ISBLANK('ENGAGEMENTS 2026'!B1497),"",IF('ENGAGEMENTS 2026'!B1497="DTSI","DCT",'ENGAGEMENTS 2026'!B1497))</f>
        <v/>
      </c>
      <c r="B1497">
        <f>IF(ISBLANK('ENGAGEMENTS 2026'!B1497),"",'ENGAGEMENTS 2026'!C1497)</f>
        <v/>
      </c>
      <c r="C1497">
        <f>IF(ISBLANK('ENGAGEMENTS 2026'!B1497),"",'ENGAGEMENTS 2026'!D1497)</f>
        <v/>
      </c>
      <c r="D1497">
        <f>IF(ISBLANK('ENGAGEMENTS 2026'!B1497),"",'ENGAGEMENTS 2026'!F1497)</f>
        <v/>
      </c>
      <c r="E1497">
        <f>IF(ISBLANK('ENGAGEMENTS 2026'!B1497),"",'ENGAGEMENTS 2026'!H1497)</f>
        <v/>
      </c>
      <c r="F1497">
        <f>IF(ISBLANK('ENGAGEMENTS 2026'!B1497),"",'ENGAGEMENTS 2026'!I1497)</f>
        <v/>
      </c>
      <c r="G1497">
        <f>IF(ISBLANK('ENGAGEMENTS 2026'!B1497),"",'ENGAGEMENTS 2026'!L1497)</f>
        <v/>
      </c>
      <c r="H1497">
        <f>IF(ISBLANK('ENGAGEMENTS 2026'!B1497),"",'ENGAGEMENTS 2026'!AE1497)</f>
        <v/>
      </c>
      <c r="I1497">
        <f>IF(ISBLANK('ENGAGEMENTS 2026'!B1497),"",'ENGAGEMENTS 2026'!G1497)</f>
        <v/>
      </c>
      <c r="J1497" s="275">
        <f>IF(ISBLANK('ENGAGEMENTS 2026'!B1497),"",IF(AND(OR($E1497="INFRUCTUEUX",$E1497="ANNULE"),$C1497="AOO-M"),'ENGAGEMENTS 2026'!O1497,IF($H1497="EN COURS DE PREENGAGEMENT",'ENGAGEMENTS 2026'!N1497,IF($H1497="PREENGAGE",IF($E1497="ATTRIBUE",'ENGAGEMENTS 2026'!AD1497,'ENGAGEMENTS 2026'!N1497),'ENGAGEMENTS 2026'!AD1497))))</f>
        <v/>
      </c>
      <c r="K1497" s="604">
        <f>IF(ISBLANK('ENGAGEMENTS 2026'!V1497),"",'ENGAGEMENTS 2026'!V1497)</f>
        <v/>
      </c>
      <c r="L1497" s="276">
        <f>IF($K1497="","",TODAY()-$K1497)</f>
        <v/>
      </c>
      <c r="M1497">
        <f>IF($A1497="","",IF($H1497="ENGAGE","Engagé",IF(AND($H1497="NON ENGAGE",OR($I1497="INFRUCTUEUX",$I1497="ANNULE")),"Clôturé sans suite","En cours")))</f>
        <v/>
      </c>
      <c r="N1497">
        <f>IF(ISBLANK('ENGAGEMENTS 2026'!B1497),"",'ENGAGEMENTS 2026'!K1497)</f>
        <v/>
      </c>
      <c r="O1497">
        <f>IF(ISBLANK('ENGAGEMENTS 2026'!B1497),"",'ENGAGEMENTS 2026'!L1497)</f>
        <v/>
      </c>
      <c r="P1497">
        <f>IF(ISBLANK('ENGAGEMENTS 2026'!B1497),"",'ENGAGEMENTS 2026'!J1497)</f>
        <v/>
      </c>
      <c r="Q1497">
        <f>IF($A1497="","",IF(OR($E1497="INFRUCTUEUX",$E1497="ANNULE"),$A1497&amp;"|"&amp;(COUNTIFS($A$2:$A1497,$A1497,$E$2:$E1497,"INFRUCTUEUX")+COUNTIFS($A$2:$A1497,$A1497,$E$2:$E1497,"ANNULE")),""))</f>
        <v/>
      </c>
    </row>
    <row r="1498">
      <c r="A1498">
        <f>IF(ISBLANK('ENGAGEMENTS 2026'!B1498),"",IF('ENGAGEMENTS 2026'!B1498="DTSI","DCT",'ENGAGEMENTS 2026'!B1498))</f>
        <v/>
      </c>
      <c r="B1498">
        <f>IF(ISBLANK('ENGAGEMENTS 2026'!B1498),"",'ENGAGEMENTS 2026'!C1498)</f>
        <v/>
      </c>
      <c r="C1498">
        <f>IF(ISBLANK('ENGAGEMENTS 2026'!B1498),"",'ENGAGEMENTS 2026'!D1498)</f>
        <v/>
      </c>
      <c r="D1498">
        <f>IF(ISBLANK('ENGAGEMENTS 2026'!B1498),"",'ENGAGEMENTS 2026'!F1498)</f>
        <v/>
      </c>
      <c r="E1498">
        <f>IF(ISBLANK('ENGAGEMENTS 2026'!B1498),"",'ENGAGEMENTS 2026'!H1498)</f>
        <v/>
      </c>
      <c r="F1498">
        <f>IF(ISBLANK('ENGAGEMENTS 2026'!B1498),"",'ENGAGEMENTS 2026'!I1498)</f>
        <v/>
      </c>
      <c r="G1498">
        <f>IF(ISBLANK('ENGAGEMENTS 2026'!B1498),"",'ENGAGEMENTS 2026'!L1498)</f>
        <v/>
      </c>
      <c r="H1498">
        <f>IF(ISBLANK('ENGAGEMENTS 2026'!B1498),"",'ENGAGEMENTS 2026'!AE1498)</f>
        <v/>
      </c>
      <c r="I1498">
        <f>IF(ISBLANK('ENGAGEMENTS 2026'!B1498),"",'ENGAGEMENTS 2026'!G1498)</f>
        <v/>
      </c>
      <c r="J1498" s="275">
        <f>IF(ISBLANK('ENGAGEMENTS 2026'!B1498),"",IF(AND(OR($E1498="INFRUCTUEUX",$E1498="ANNULE"),$C1498="AOO-M"),'ENGAGEMENTS 2026'!O1498,IF($H1498="EN COURS DE PREENGAGEMENT",'ENGAGEMENTS 2026'!N1498,IF($H1498="PREENGAGE",IF($E1498="ATTRIBUE",'ENGAGEMENTS 2026'!AD1498,'ENGAGEMENTS 2026'!N1498),'ENGAGEMENTS 2026'!AD1498))))</f>
        <v/>
      </c>
      <c r="K1498" s="604">
        <f>IF(ISBLANK('ENGAGEMENTS 2026'!V1498),"",'ENGAGEMENTS 2026'!V1498)</f>
        <v/>
      </c>
      <c r="L1498" s="276">
        <f>IF($K1498="","",TODAY()-$K1498)</f>
        <v/>
      </c>
      <c r="M1498">
        <f>IF($A1498="","",IF($H1498="ENGAGE","Engagé",IF(AND($H1498="NON ENGAGE",OR($I1498="INFRUCTUEUX",$I1498="ANNULE")),"Clôturé sans suite","En cours")))</f>
        <v/>
      </c>
      <c r="N1498">
        <f>IF(ISBLANK('ENGAGEMENTS 2026'!B1498),"",'ENGAGEMENTS 2026'!K1498)</f>
        <v/>
      </c>
      <c r="O1498">
        <f>IF(ISBLANK('ENGAGEMENTS 2026'!B1498),"",'ENGAGEMENTS 2026'!L1498)</f>
        <v/>
      </c>
      <c r="P1498">
        <f>IF(ISBLANK('ENGAGEMENTS 2026'!B1498),"",'ENGAGEMENTS 2026'!J1498)</f>
        <v/>
      </c>
      <c r="Q1498">
        <f>IF($A1498="","",IF(OR($E1498="INFRUCTUEUX",$E1498="ANNULE"),$A1498&amp;"|"&amp;(COUNTIFS($A$2:$A1498,$A1498,$E$2:$E1498,"INFRUCTUEUX")+COUNTIFS($A$2:$A1498,$A1498,$E$2:$E1498,"ANNULE")),""))</f>
        <v/>
      </c>
    </row>
    <row r="1499">
      <c r="A1499">
        <f>IF(ISBLANK('ENGAGEMENTS 2026'!B1499),"",IF('ENGAGEMENTS 2026'!B1499="DTSI","DCT",'ENGAGEMENTS 2026'!B1499))</f>
        <v/>
      </c>
      <c r="B1499">
        <f>IF(ISBLANK('ENGAGEMENTS 2026'!B1499),"",'ENGAGEMENTS 2026'!C1499)</f>
        <v/>
      </c>
      <c r="C1499">
        <f>IF(ISBLANK('ENGAGEMENTS 2026'!B1499),"",'ENGAGEMENTS 2026'!D1499)</f>
        <v/>
      </c>
      <c r="D1499">
        <f>IF(ISBLANK('ENGAGEMENTS 2026'!B1499),"",'ENGAGEMENTS 2026'!F1499)</f>
        <v/>
      </c>
      <c r="E1499">
        <f>IF(ISBLANK('ENGAGEMENTS 2026'!B1499),"",'ENGAGEMENTS 2026'!H1499)</f>
        <v/>
      </c>
      <c r="F1499">
        <f>IF(ISBLANK('ENGAGEMENTS 2026'!B1499),"",'ENGAGEMENTS 2026'!I1499)</f>
        <v/>
      </c>
      <c r="G1499">
        <f>IF(ISBLANK('ENGAGEMENTS 2026'!B1499),"",'ENGAGEMENTS 2026'!L1499)</f>
        <v/>
      </c>
      <c r="H1499">
        <f>IF(ISBLANK('ENGAGEMENTS 2026'!B1499),"",'ENGAGEMENTS 2026'!AE1499)</f>
        <v/>
      </c>
      <c r="I1499">
        <f>IF(ISBLANK('ENGAGEMENTS 2026'!B1499),"",'ENGAGEMENTS 2026'!G1499)</f>
        <v/>
      </c>
      <c r="J1499" s="275">
        <f>IF(ISBLANK('ENGAGEMENTS 2026'!B1499),"",IF(AND(OR($E1499="INFRUCTUEUX",$E1499="ANNULE"),$C1499="AOO-M"),'ENGAGEMENTS 2026'!O1499,IF($H1499="EN COURS DE PREENGAGEMENT",'ENGAGEMENTS 2026'!N1499,IF($H1499="PREENGAGE",IF($E1499="ATTRIBUE",'ENGAGEMENTS 2026'!AD1499,'ENGAGEMENTS 2026'!N1499),'ENGAGEMENTS 2026'!AD1499))))</f>
        <v/>
      </c>
      <c r="K1499" s="604">
        <f>IF(ISBLANK('ENGAGEMENTS 2026'!V1499),"",'ENGAGEMENTS 2026'!V1499)</f>
        <v/>
      </c>
      <c r="L1499" s="276">
        <f>IF($K1499="","",TODAY()-$K1499)</f>
        <v/>
      </c>
      <c r="M1499">
        <f>IF($A1499="","",IF($H1499="ENGAGE","Engagé",IF(AND($H1499="NON ENGAGE",OR($I1499="INFRUCTUEUX",$I1499="ANNULE")),"Clôturé sans suite","En cours")))</f>
        <v/>
      </c>
      <c r="N1499">
        <f>IF(ISBLANK('ENGAGEMENTS 2026'!B1499),"",'ENGAGEMENTS 2026'!K1499)</f>
        <v/>
      </c>
      <c r="O1499">
        <f>IF(ISBLANK('ENGAGEMENTS 2026'!B1499),"",'ENGAGEMENTS 2026'!L1499)</f>
        <v/>
      </c>
      <c r="P1499">
        <f>IF(ISBLANK('ENGAGEMENTS 2026'!B1499),"",'ENGAGEMENTS 2026'!J1499)</f>
        <v/>
      </c>
      <c r="Q1499">
        <f>IF($A1499="","",IF(OR($E1499="INFRUCTUEUX",$E1499="ANNULE"),$A1499&amp;"|"&amp;(COUNTIFS($A$2:$A1499,$A1499,$E$2:$E1499,"INFRUCTUEUX")+COUNTIFS($A$2:$A1499,$A1499,$E$2:$E1499,"ANNULE")),""))</f>
        <v/>
      </c>
    </row>
    <row r="1500">
      <c r="A1500">
        <f>IF(ISBLANK('ENGAGEMENTS 2026'!B1500),"",IF('ENGAGEMENTS 2026'!B1500="DTSI","DCT",'ENGAGEMENTS 2026'!B1500))</f>
        <v/>
      </c>
      <c r="B1500">
        <f>IF(ISBLANK('ENGAGEMENTS 2026'!B1500),"",'ENGAGEMENTS 2026'!C1500)</f>
        <v/>
      </c>
      <c r="C1500">
        <f>IF(ISBLANK('ENGAGEMENTS 2026'!B1500),"",'ENGAGEMENTS 2026'!D1500)</f>
        <v/>
      </c>
      <c r="D1500">
        <f>IF(ISBLANK('ENGAGEMENTS 2026'!B1500),"",'ENGAGEMENTS 2026'!F1500)</f>
        <v/>
      </c>
      <c r="E1500">
        <f>IF(ISBLANK('ENGAGEMENTS 2026'!B1500),"",'ENGAGEMENTS 2026'!H1500)</f>
        <v/>
      </c>
      <c r="F1500">
        <f>IF(ISBLANK('ENGAGEMENTS 2026'!B1500),"",'ENGAGEMENTS 2026'!I1500)</f>
        <v/>
      </c>
      <c r="G1500">
        <f>IF(ISBLANK('ENGAGEMENTS 2026'!B1500),"",'ENGAGEMENTS 2026'!L1500)</f>
        <v/>
      </c>
      <c r="H1500">
        <f>IF(ISBLANK('ENGAGEMENTS 2026'!B1500),"",'ENGAGEMENTS 2026'!AE1500)</f>
        <v/>
      </c>
      <c r="I1500">
        <f>IF(ISBLANK('ENGAGEMENTS 2026'!B1500),"",'ENGAGEMENTS 2026'!G1500)</f>
        <v/>
      </c>
      <c r="J1500" s="275">
        <f>IF(ISBLANK('ENGAGEMENTS 2026'!B1500),"",IF(AND(OR($E1500="INFRUCTUEUX",$E1500="ANNULE"),$C1500="AOO-M"),'ENGAGEMENTS 2026'!O1500,IF($H1500="EN COURS DE PREENGAGEMENT",'ENGAGEMENTS 2026'!N1500,IF($H1500="PREENGAGE",IF($E1500="ATTRIBUE",'ENGAGEMENTS 2026'!AD1500,'ENGAGEMENTS 2026'!N1500),'ENGAGEMENTS 2026'!AD1500))))</f>
        <v/>
      </c>
      <c r="K1500" s="604">
        <f>IF(ISBLANK('ENGAGEMENTS 2026'!V1500),"",'ENGAGEMENTS 2026'!V1500)</f>
        <v/>
      </c>
      <c r="L1500" s="276">
        <f>IF($K1500="","",TODAY()-$K1500)</f>
        <v/>
      </c>
      <c r="M1500">
        <f>IF($A1500="","",IF($H1500="ENGAGE","Engagé",IF(AND($H1500="NON ENGAGE",OR($I1500="INFRUCTUEUX",$I1500="ANNULE")),"Clôturé sans suite","En cours")))</f>
        <v/>
      </c>
      <c r="N1500">
        <f>IF(ISBLANK('ENGAGEMENTS 2026'!B1500),"",'ENGAGEMENTS 2026'!K1500)</f>
        <v/>
      </c>
      <c r="O1500">
        <f>IF(ISBLANK('ENGAGEMENTS 2026'!B1500),"",'ENGAGEMENTS 2026'!L1500)</f>
        <v/>
      </c>
      <c r="P1500">
        <f>IF(ISBLANK('ENGAGEMENTS 2026'!B1500),"",'ENGAGEMENTS 2026'!J1500)</f>
        <v/>
      </c>
      <c r="Q1500">
        <f>IF($A1500="","",IF(OR($E1500="INFRUCTUEUX",$E1500="ANNULE"),$A1500&amp;"|"&amp;(COUNTIFS($A$2:$A1500,$A1500,$E$2:$E1500,"INFRUCTUEUX")+COUNTIFS($A$2:$A1500,$A1500,$E$2:$E1500,"ANNULE")),""))</f>
        <v/>
      </c>
    </row>
    <row r="1501">
      <c r="A1501">
        <f>IF(ISBLANK('ENGAGEMENTS 2026'!B1501),"",IF('ENGAGEMENTS 2026'!B1501="DTSI","DCT",'ENGAGEMENTS 2026'!B1501))</f>
        <v/>
      </c>
      <c r="B1501">
        <f>IF(ISBLANK('ENGAGEMENTS 2026'!B1501),"",'ENGAGEMENTS 2026'!C1501)</f>
        <v/>
      </c>
      <c r="C1501">
        <f>IF(ISBLANK('ENGAGEMENTS 2026'!B1501),"",'ENGAGEMENTS 2026'!D1501)</f>
        <v/>
      </c>
      <c r="D1501">
        <f>IF(ISBLANK('ENGAGEMENTS 2026'!B1501),"",'ENGAGEMENTS 2026'!F1501)</f>
        <v/>
      </c>
      <c r="E1501">
        <f>IF(ISBLANK('ENGAGEMENTS 2026'!B1501),"",'ENGAGEMENTS 2026'!H1501)</f>
        <v/>
      </c>
      <c r="F1501">
        <f>IF(ISBLANK('ENGAGEMENTS 2026'!B1501),"",'ENGAGEMENTS 2026'!I1501)</f>
        <v/>
      </c>
      <c r="G1501">
        <f>IF(ISBLANK('ENGAGEMENTS 2026'!B1501),"",'ENGAGEMENTS 2026'!L1501)</f>
        <v/>
      </c>
      <c r="H1501">
        <f>IF(ISBLANK('ENGAGEMENTS 2026'!B1501),"",'ENGAGEMENTS 2026'!AE1501)</f>
        <v/>
      </c>
      <c r="I1501">
        <f>IF(ISBLANK('ENGAGEMENTS 2026'!B1501),"",'ENGAGEMENTS 2026'!G1501)</f>
        <v/>
      </c>
      <c r="J1501" s="275">
        <f>IF(ISBLANK('ENGAGEMENTS 2026'!B1501),"",IF(AND(OR($E1501="INFRUCTUEUX",$E1501="ANNULE"),$C1501="AOO-M"),'ENGAGEMENTS 2026'!O1501,IF($H1501="EN COURS DE PREENGAGEMENT",'ENGAGEMENTS 2026'!N1501,IF($H1501="PREENGAGE",IF($E1501="ATTRIBUE",'ENGAGEMENTS 2026'!AD1501,'ENGAGEMENTS 2026'!N1501),'ENGAGEMENTS 2026'!AD1501))))</f>
        <v/>
      </c>
      <c r="K1501" s="604">
        <f>IF(ISBLANK('ENGAGEMENTS 2026'!V1501),"",'ENGAGEMENTS 2026'!V1501)</f>
        <v/>
      </c>
      <c r="L1501" s="276">
        <f>IF($K1501="","",TODAY()-$K1501)</f>
        <v/>
      </c>
      <c r="M1501">
        <f>IF($A1501="","",IF($H1501="ENGAGE","Engagé",IF(AND($H1501="NON ENGAGE",OR($I1501="INFRUCTUEUX",$I1501="ANNULE")),"Clôturé sans suite","En cours")))</f>
        <v/>
      </c>
      <c r="N1501">
        <f>IF(ISBLANK('ENGAGEMENTS 2026'!B1501),"",'ENGAGEMENTS 2026'!K1501)</f>
        <v/>
      </c>
      <c r="O1501">
        <f>IF(ISBLANK('ENGAGEMENTS 2026'!B1501),"",'ENGAGEMENTS 2026'!L1501)</f>
        <v/>
      </c>
      <c r="P1501">
        <f>IF(ISBLANK('ENGAGEMENTS 2026'!B1501),"",'ENGAGEMENTS 2026'!J1501)</f>
        <v/>
      </c>
      <c r="Q1501">
        <f>IF($A1501="","",IF(OR($E1501="INFRUCTUEUX",$E1501="ANNULE"),$A1501&amp;"|"&amp;(COUNTIFS($A$2:$A1501,$A1501,$E$2:$E1501,"INFRUCTUEUX")+COUNTIFS($A$2:$A1501,$A1501,$E$2:$E1501,"ANNULE")),""))</f>
        <v/>
      </c>
    </row>
    <row r="1502">
      <c r="A1502">
        <f>IF(ISBLANK('ENGAGEMENTS 2026'!B1502),"",IF('ENGAGEMENTS 2026'!B1502="DTSI","DCT",'ENGAGEMENTS 2026'!B1502))</f>
        <v/>
      </c>
      <c r="B1502">
        <f>IF(ISBLANK('ENGAGEMENTS 2026'!B1502),"",'ENGAGEMENTS 2026'!C1502)</f>
        <v/>
      </c>
      <c r="C1502">
        <f>IF(ISBLANK('ENGAGEMENTS 2026'!B1502),"",'ENGAGEMENTS 2026'!D1502)</f>
        <v/>
      </c>
      <c r="D1502">
        <f>IF(ISBLANK('ENGAGEMENTS 2026'!B1502),"",'ENGAGEMENTS 2026'!F1502)</f>
        <v/>
      </c>
      <c r="E1502">
        <f>IF(ISBLANK('ENGAGEMENTS 2026'!B1502),"",'ENGAGEMENTS 2026'!H1502)</f>
        <v/>
      </c>
      <c r="F1502">
        <f>IF(ISBLANK('ENGAGEMENTS 2026'!B1502),"",'ENGAGEMENTS 2026'!I1502)</f>
        <v/>
      </c>
      <c r="G1502">
        <f>IF(ISBLANK('ENGAGEMENTS 2026'!B1502),"",'ENGAGEMENTS 2026'!L1502)</f>
        <v/>
      </c>
      <c r="H1502">
        <f>IF(ISBLANK('ENGAGEMENTS 2026'!B1502),"",'ENGAGEMENTS 2026'!AE1502)</f>
        <v/>
      </c>
      <c r="I1502">
        <f>IF(ISBLANK('ENGAGEMENTS 2026'!B1502),"",'ENGAGEMENTS 2026'!G1502)</f>
        <v/>
      </c>
      <c r="J1502" s="275">
        <f>IF(ISBLANK('ENGAGEMENTS 2026'!B1502),"",IF(AND(OR($E1502="INFRUCTUEUX",$E1502="ANNULE"),$C1502="AOO-M"),'ENGAGEMENTS 2026'!O1502,IF($H1502="EN COURS DE PREENGAGEMENT",'ENGAGEMENTS 2026'!N1502,IF($H1502="PREENGAGE",IF($E1502="ATTRIBUE",'ENGAGEMENTS 2026'!AD1502,'ENGAGEMENTS 2026'!N1502),'ENGAGEMENTS 2026'!AD1502))))</f>
        <v/>
      </c>
      <c r="K1502" s="604">
        <f>IF(ISBLANK('ENGAGEMENTS 2026'!V1502),"",'ENGAGEMENTS 2026'!V1502)</f>
        <v/>
      </c>
      <c r="L1502" s="276">
        <f>IF($K1502="","",TODAY()-$K1502)</f>
        <v/>
      </c>
      <c r="M1502">
        <f>IF($A1502="","",IF($H1502="ENGAGE","Engagé",IF(AND($H1502="NON ENGAGE",OR($I1502="INFRUCTUEUX",$I1502="ANNULE")),"Clôturé sans suite","En cours")))</f>
        <v/>
      </c>
      <c r="N1502">
        <f>IF(ISBLANK('ENGAGEMENTS 2026'!B1502),"",'ENGAGEMENTS 2026'!K1502)</f>
        <v/>
      </c>
      <c r="O1502">
        <f>IF(ISBLANK('ENGAGEMENTS 2026'!B1502),"",'ENGAGEMENTS 2026'!L1502)</f>
        <v/>
      </c>
      <c r="P1502">
        <f>IF(ISBLANK('ENGAGEMENTS 2026'!B1502),"",'ENGAGEMENTS 2026'!J1502)</f>
        <v/>
      </c>
      <c r="Q1502">
        <f>IF($A1502="","",IF(OR($E1502="INFRUCTUEUX",$E1502="ANNULE"),$A1502&amp;"|"&amp;(COUNTIFS($A$2:$A1502,$A1502,$E$2:$E1502,"INFRUCTUEUX")+COUNTIFS($A$2:$A1502,$A1502,$E$2:$E1502,"ANNULE")),""))</f>
        <v/>
      </c>
    </row>
    <row r="1503">
      <c r="A1503">
        <f>IF(ISBLANK('ENGAGEMENTS 2026'!B1503),"",IF('ENGAGEMENTS 2026'!B1503="DTSI","DCT",'ENGAGEMENTS 2026'!B1503))</f>
        <v/>
      </c>
      <c r="B1503">
        <f>IF(ISBLANK('ENGAGEMENTS 2026'!B1503),"",'ENGAGEMENTS 2026'!C1503)</f>
        <v/>
      </c>
      <c r="C1503">
        <f>IF(ISBLANK('ENGAGEMENTS 2026'!B1503),"",'ENGAGEMENTS 2026'!D1503)</f>
        <v/>
      </c>
      <c r="D1503">
        <f>IF(ISBLANK('ENGAGEMENTS 2026'!B1503),"",'ENGAGEMENTS 2026'!F1503)</f>
        <v/>
      </c>
      <c r="E1503">
        <f>IF(ISBLANK('ENGAGEMENTS 2026'!B1503),"",'ENGAGEMENTS 2026'!H1503)</f>
        <v/>
      </c>
      <c r="F1503">
        <f>IF(ISBLANK('ENGAGEMENTS 2026'!B1503),"",'ENGAGEMENTS 2026'!I1503)</f>
        <v/>
      </c>
      <c r="G1503">
        <f>IF(ISBLANK('ENGAGEMENTS 2026'!B1503),"",'ENGAGEMENTS 2026'!L1503)</f>
        <v/>
      </c>
      <c r="H1503">
        <f>IF(ISBLANK('ENGAGEMENTS 2026'!B1503),"",'ENGAGEMENTS 2026'!AE1503)</f>
        <v/>
      </c>
      <c r="I1503">
        <f>IF(ISBLANK('ENGAGEMENTS 2026'!B1503),"",'ENGAGEMENTS 2026'!G1503)</f>
        <v/>
      </c>
      <c r="J1503" s="275">
        <f>IF(ISBLANK('ENGAGEMENTS 2026'!B1503),"",IF(AND(OR($E1503="INFRUCTUEUX",$E1503="ANNULE"),$C1503="AOO-M"),'ENGAGEMENTS 2026'!O1503,IF($H1503="EN COURS DE PREENGAGEMENT",'ENGAGEMENTS 2026'!N1503,IF($H1503="PREENGAGE",IF($E1503="ATTRIBUE",'ENGAGEMENTS 2026'!AD1503,'ENGAGEMENTS 2026'!N1503),'ENGAGEMENTS 2026'!AD1503))))</f>
        <v/>
      </c>
      <c r="K1503" s="604">
        <f>IF(ISBLANK('ENGAGEMENTS 2026'!V1503),"",'ENGAGEMENTS 2026'!V1503)</f>
        <v/>
      </c>
      <c r="L1503" s="276">
        <f>IF($K1503="","",TODAY()-$K1503)</f>
        <v/>
      </c>
      <c r="M1503">
        <f>IF($A1503="","",IF($H1503="ENGAGE","Engagé",IF(AND($H1503="NON ENGAGE",OR($I1503="INFRUCTUEUX",$I1503="ANNULE")),"Clôturé sans suite","En cours")))</f>
        <v/>
      </c>
      <c r="N1503">
        <f>IF(ISBLANK('ENGAGEMENTS 2026'!B1503),"",'ENGAGEMENTS 2026'!K1503)</f>
        <v/>
      </c>
      <c r="O1503">
        <f>IF(ISBLANK('ENGAGEMENTS 2026'!B1503),"",'ENGAGEMENTS 2026'!L1503)</f>
        <v/>
      </c>
      <c r="P1503">
        <f>IF(ISBLANK('ENGAGEMENTS 2026'!B1503),"",'ENGAGEMENTS 2026'!J1503)</f>
        <v/>
      </c>
      <c r="Q1503">
        <f>IF($A1503="","",IF(OR($E1503="INFRUCTUEUX",$E1503="ANNULE"),$A1503&amp;"|"&amp;(COUNTIFS($A$2:$A1503,$A1503,$E$2:$E1503,"INFRUCTUEUX")+COUNTIFS($A$2:$A1503,$A1503,$E$2:$E1503,"ANNULE")),""))</f>
        <v/>
      </c>
    </row>
    <row r="1504">
      <c r="A1504">
        <f>IF(ISBLANK('ENGAGEMENTS 2026'!B1504),"",IF('ENGAGEMENTS 2026'!B1504="DTSI","DCT",'ENGAGEMENTS 2026'!B1504))</f>
        <v/>
      </c>
      <c r="B1504">
        <f>IF(ISBLANK('ENGAGEMENTS 2026'!B1504),"",'ENGAGEMENTS 2026'!C1504)</f>
        <v/>
      </c>
      <c r="C1504">
        <f>IF(ISBLANK('ENGAGEMENTS 2026'!B1504),"",'ENGAGEMENTS 2026'!D1504)</f>
        <v/>
      </c>
      <c r="D1504">
        <f>IF(ISBLANK('ENGAGEMENTS 2026'!B1504),"",'ENGAGEMENTS 2026'!F1504)</f>
        <v/>
      </c>
      <c r="E1504">
        <f>IF(ISBLANK('ENGAGEMENTS 2026'!B1504),"",'ENGAGEMENTS 2026'!H1504)</f>
        <v/>
      </c>
      <c r="F1504">
        <f>IF(ISBLANK('ENGAGEMENTS 2026'!B1504),"",'ENGAGEMENTS 2026'!I1504)</f>
        <v/>
      </c>
      <c r="G1504">
        <f>IF(ISBLANK('ENGAGEMENTS 2026'!B1504),"",'ENGAGEMENTS 2026'!L1504)</f>
        <v/>
      </c>
      <c r="H1504">
        <f>IF(ISBLANK('ENGAGEMENTS 2026'!B1504),"",'ENGAGEMENTS 2026'!AE1504)</f>
        <v/>
      </c>
      <c r="I1504">
        <f>IF(ISBLANK('ENGAGEMENTS 2026'!B1504),"",'ENGAGEMENTS 2026'!G1504)</f>
        <v/>
      </c>
      <c r="J1504" s="275">
        <f>IF(ISBLANK('ENGAGEMENTS 2026'!B1504),"",IF(AND(OR($E1504="INFRUCTUEUX",$E1504="ANNULE"),$C1504="AOO-M"),'ENGAGEMENTS 2026'!O1504,IF($H1504="EN COURS DE PREENGAGEMENT",'ENGAGEMENTS 2026'!N1504,IF($H1504="PREENGAGE",IF($E1504="ATTRIBUE",'ENGAGEMENTS 2026'!AD1504,'ENGAGEMENTS 2026'!N1504),'ENGAGEMENTS 2026'!AD1504))))</f>
        <v/>
      </c>
      <c r="K1504" s="604">
        <f>IF(ISBLANK('ENGAGEMENTS 2026'!V1504),"",'ENGAGEMENTS 2026'!V1504)</f>
        <v/>
      </c>
      <c r="L1504" s="276">
        <f>IF($K1504="","",TODAY()-$K1504)</f>
        <v/>
      </c>
      <c r="M1504">
        <f>IF($A1504="","",IF($H1504="ENGAGE","Engagé",IF(AND($H1504="NON ENGAGE",OR($I1504="INFRUCTUEUX",$I1504="ANNULE")),"Clôturé sans suite","En cours")))</f>
        <v/>
      </c>
      <c r="N1504">
        <f>IF(ISBLANK('ENGAGEMENTS 2026'!B1504),"",'ENGAGEMENTS 2026'!K1504)</f>
        <v/>
      </c>
      <c r="O1504">
        <f>IF(ISBLANK('ENGAGEMENTS 2026'!B1504),"",'ENGAGEMENTS 2026'!L1504)</f>
        <v/>
      </c>
      <c r="P1504">
        <f>IF(ISBLANK('ENGAGEMENTS 2026'!B1504),"",'ENGAGEMENTS 2026'!J1504)</f>
        <v/>
      </c>
      <c r="Q1504">
        <f>IF($A1504="","",IF(OR($E1504="INFRUCTUEUX",$E1504="ANNULE"),$A1504&amp;"|"&amp;(COUNTIFS($A$2:$A1504,$A1504,$E$2:$E1504,"INFRUCTUEUX")+COUNTIFS($A$2:$A1504,$A1504,$E$2:$E1504,"ANNULE")),""))</f>
        <v/>
      </c>
    </row>
    <row r="1505">
      <c r="A1505">
        <f>IF(ISBLANK('ENGAGEMENTS 2026'!B1505),"",IF('ENGAGEMENTS 2026'!B1505="DTSI","DCT",'ENGAGEMENTS 2026'!B1505))</f>
        <v/>
      </c>
      <c r="B1505">
        <f>IF(ISBLANK('ENGAGEMENTS 2026'!B1505),"",'ENGAGEMENTS 2026'!C1505)</f>
        <v/>
      </c>
      <c r="C1505">
        <f>IF(ISBLANK('ENGAGEMENTS 2026'!B1505),"",'ENGAGEMENTS 2026'!D1505)</f>
        <v/>
      </c>
      <c r="D1505">
        <f>IF(ISBLANK('ENGAGEMENTS 2026'!B1505),"",'ENGAGEMENTS 2026'!F1505)</f>
        <v/>
      </c>
      <c r="E1505">
        <f>IF(ISBLANK('ENGAGEMENTS 2026'!B1505),"",'ENGAGEMENTS 2026'!H1505)</f>
        <v/>
      </c>
      <c r="F1505">
        <f>IF(ISBLANK('ENGAGEMENTS 2026'!B1505),"",'ENGAGEMENTS 2026'!I1505)</f>
        <v/>
      </c>
      <c r="G1505">
        <f>IF(ISBLANK('ENGAGEMENTS 2026'!B1505),"",'ENGAGEMENTS 2026'!L1505)</f>
        <v/>
      </c>
      <c r="H1505">
        <f>IF(ISBLANK('ENGAGEMENTS 2026'!B1505),"",'ENGAGEMENTS 2026'!AE1505)</f>
        <v/>
      </c>
      <c r="I1505">
        <f>IF(ISBLANK('ENGAGEMENTS 2026'!B1505),"",'ENGAGEMENTS 2026'!G1505)</f>
        <v/>
      </c>
      <c r="J1505" s="275">
        <f>IF(ISBLANK('ENGAGEMENTS 2026'!B1505),"",IF(AND(OR($E1505="INFRUCTUEUX",$E1505="ANNULE"),$C1505="AOO-M"),'ENGAGEMENTS 2026'!O1505,IF($H1505="EN COURS DE PREENGAGEMENT",'ENGAGEMENTS 2026'!N1505,IF($H1505="PREENGAGE",IF($E1505="ATTRIBUE",'ENGAGEMENTS 2026'!AD1505,'ENGAGEMENTS 2026'!N1505),'ENGAGEMENTS 2026'!AD1505))))</f>
        <v/>
      </c>
      <c r="K1505" s="604">
        <f>IF(ISBLANK('ENGAGEMENTS 2026'!V1505),"",'ENGAGEMENTS 2026'!V1505)</f>
        <v/>
      </c>
      <c r="L1505" s="276">
        <f>IF($K1505="","",TODAY()-$K1505)</f>
        <v/>
      </c>
      <c r="M1505">
        <f>IF($A1505="","",IF($H1505="ENGAGE","Engagé",IF(AND($H1505="NON ENGAGE",OR($I1505="INFRUCTUEUX",$I1505="ANNULE")),"Clôturé sans suite","En cours")))</f>
        <v/>
      </c>
      <c r="N1505">
        <f>IF(ISBLANK('ENGAGEMENTS 2026'!B1505),"",'ENGAGEMENTS 2026'!K1505)</f>
        <v/>
      </c>
      <c r="O1505">
        <f>IF(ISBLANK('ENGAGEMENTS 2026'!B1505),"",'ENGAGEMENTS 2026'!L1505)</f>
        <v/>
      </c>
      <c r="P1505">
        <f>IF(ISBLANK('ENGAGEMENTS 2026'!B1505),"",'ENGAGEMENTS 2026'!J1505)</f>
        <v/>
      </c>
      <c r="Q1505">
        <f>IF($A1505="","",IF(OR($E1505="INFRUCTUEUX",$E1505="ANNULE"),$A1505&amp;"|"&amp;(COUNTIFS($A$2:$A1505,$A1505,$E$2:$E1505,"INFRUCTUEUX")+COUNTIFS($A$2:$A1505,$A1505,$E$2:$E1505,"ANNULE")),""))</f>
        <v/>
      </c>
    </row>
    <row r="1506">
      <c r="A1506">
        <f>IF(ISBLANK('ENGAGEMENTS 2026'!B1506),"",IF('ENGAGEMENTS 2026'!B1506="DTSI","DCT",'ENGAGEMENTS 2026'!B1506))</f>
        <v/>
      </c>
      <c r="B1506">
        <f>IF(ISBLANK('ENGAGEMENTS 2026'!B1506),"",'ENGAGEMENTS 2026'!C1506)</f>
        <v/>
      </c>
      <c r="C1506">
        <f>IF(ISBLANK('ENGAGEMENTS 2026'!B1506),"",'ENGAGEMENTS 2026'!D1506)</f>
        <v/>
      </c>
      <c r="D1506">
        <f>IF(ISBLANK('ENGAGEMENTS 2026'!B1506),"",'ENGAGEMENTS 2026'!F1506)</f>
        <v/>
      </c>
      <c r="E1506">
        <f>IF(ISBLANK('ENGAGEMENTS 2026'!B1506),"",'ENGAGEMENTS 2026'!H1506)</f>
        <v/>
      </c>
      <c r="F1506">
        <f>IF(ISBLANK('ENGAGEMENTS 2026'!B1506),"",'ENGAGEMENTS 2026'!I1506)</f>
        <v/>
      </c>
      <c r="G1506">
        <f>IF(ISBLANK('ENGAGEMENTS 2026'!B1506),"",'ENGAGEMENTS 2026'!L1506)</f>
        <v/>
      </c>
      <c r="H1506">
        <f>IF(ISBLANK('ENGAGEMENTS 2026'!B1506),"",'ENGAGEMENTS 2026'!AE1506)</f>
        <v/>
      </c>
      <c r="I1506">
        <f>IF(ISBLANK('ENGAGEMENTS 2026'!B1506),"",'ENGAGEMENTS 2026'!G1506)</f>
        <v/>
      </c>
      <c r="J1506" s="275">
        <f>IF(ISBLANK('ENGAGEMENTS 2026'!B1506),"",IF(AND(OR($E1506="INFRUCTUEUX",$E1506="ANNULE"),$C1506="AOO-M"),'ENGAGEMENTS 2026'!O1506,IF($H1506="EN COURS DE PREENGAGEMENT",'ENGAGEMENTS 2026'!N1506,IF($H1506="PREENGAGE",IF($E1506="ATTRIBUE",'ENGAGEMENTS 2026'!AD1506,'ENGAGEMENTS 2026'!N1506),'ENGAGEMENTS 2026'!AD1506))))</f>
        <v/>
      </c>
      <c r="K1506" s="604">
        <f>IF(ISBLANK('ENGAGEMENTS 2026'!V1506),"",'ENGAGEMENTS 2026'!V1506)</f>
        <v/>
      </c>
      <c r="L1506" s="276">
        <f>IF($K1506="","",TODAY()-$K1506)</f>
        <v/>
      </c>
      <c r="M1506">
        <f>IF($A1506="","",IF($H1506="ENGAGE","Engagé",IF(AND($H1506="NON ENGAGE",OR($I1506="INFRUCTUEUX",$I1506="ANNULE")),"Clôturé sans suite","En cours")))</f>
        <v/>
      </c>
      <c r="N1506">
        <f>IF(ISBLANK('ENGAGEMENTS 2026'!B1506),"",'ENGAGEMENTS 2026'!K1506)</f>
        <v/>
      </c>
      <c r="O1506">
        <f>IF(ISBLANK('ENGAGEMENTS 2026'!B1506),"",'ENGAGEMENTS 2026'!L1506)</f>
        <v/>
      </c>
      <c r="P1506">
        <f>IF(ISBLANK('ENGAGEMENTS 2026'!B1506),"",'ENGAGEMENTS 2026'!J1506)</f>
        <v/>
      </c>
      <c r="Q1506">
        <f>IF($A1506="","",IF(OR($E1506="INFRUCTUEUX",$E1506="ANNULE"),$A1506&amp;"|"&amp;(COUNTIFS($A$2:$A1506,$A1506,$E$2:$E1506,"INFRUCTUEUX")+COUNTIFS($A$2:$A1506,$A1506,$E$2:$E1506,"ANNULE")),""))</f>
        <v/>
      </c>
    </row>
    <row r="1507">
      <c r="A1507">
        <f>IF(ISBLANK('ENGAGEMENTS 2026'!B1507),"",IF('ENGAGEMENTS 2026'!B1507="DTSI","DCT",'ENGAGEMENTS 2026'!B1507))</f>
        <v/>
      </c>
      <c r="B1507">
        <f>IF(ISBLANK('ENGAGEMENTS 2026'!B1507),"",'ENGAGEMENTS 2026'!C1507)</f>
        <v/>
      </c>
      <c r="C1507">
        <f>IF(ISBLANK('ENGAGEMENTS 2026'!B1507),"",'ENGAGEMENTS 2026'!D1507)</f>
        <v/>
      </c>
      <c r="D1507">
        <f>IF(ISBLANK('ENGAGEMENTS 2026'!B1507),"",'ENGAGEMENTS 2026'!F1507)</f>
        <v/>
      </c>
      <c r="E1507">
        <f>IF(ISBLANK('ENGAGEMENTS 2026'!B1507),"",'ENGAGEMENTS 2026'!H1507)</f>
        <v/>
      </c>
      <c r="F1507">
        <f>IF(ISBLANK('ENGAGEMENTS 2026'!B1507),"",'ENGAGEMENTS 2026'!I1507)</f>
        <v/>
      </c>
      <c r="G1507">
        <f>IF(ISBLANK('ENGAGEMENTS 2026'!B1507),"",'ENGAGEMENTS 2026'!L1507)</f>
        <v/>
      </c>
      <c r="H1507">
        <f>IF(ISBLANK('ENGAGEMENTS 2026'!B1507),"",'ENGAGEMENTS 2026'!AE1507)</f>
        <v/>
      </c>
      <c r="I1507">
        <f>IF(ISBLANK('ENGAGEMENTS 2026'!B1507),"",'ENGAGEMENTS 2026'!G1507)</f>
        <v/>
      </c>
      <c r="J1507" s="275">
        <f>IF(ISBLANK('ENGAGEMENTS 2026'!B1507),"",IF(AND(OR($E1507="INFRUCTUEUX",$E1507="ANNULE"),$C1507="AOO-M"),'ENGAGEMENTS 2026'!O1507,IF($H1507="EN COURS DE PREENGAGEMENT",'ENGAGEMENTS 2026'!N1507,IF($H1507="PREENGAGE",IF($E1507="ATTRIBUE",'ENGAGEMENTS 2026'!AD1507,'ENGAGEMENTS 2026'!N1507),'ENGAGEMENTS 2026'!AD1507))))</f>
        <v/>
      </c>
      <c r="K1507" s="604">
        <f>IF(ISBLANK('ENGAGEMENTS 2026'!V1507),"",'ENGAGEMENTS 2026'!V1507)</f>
        <v/>
      </c>
      <c r="L1507" s="276">
        <f>IF($K1507="","",TODAY()-$K1507)</f>
        <v/>
      </c>
      <c r="M1507">
        <f>IF($A1507="","",IF($H1507="ENGAGE","Engagé",IF(AND($H1507="NON ENGAGE",OR($I1507="INFRUCTUEUX",$I1507="ANNULE")),"Clôturé sans suite","En cours")))</f>
        <v/>
      </c>
      <c r="N1507">
        <f>IF(ISBLANK('ENGAGEMENTS 2026'!B1507),"",'ENGAGEMENTS 2026'!K1507)</f>
        <v/>
      </c>
      <c r="O1507">
        <f>IF(ISBLANK('ENGAGEMENTS 2026'!B1507),"",'ENGAGEMENTS 2026'!L1507)</f>
        <v/>
      </c>
      <c r="P1507">
        <f>IF(ISBLANK('ENGAGEMENTS 2026'!B1507),"",'ENGAGEMENTS 2026'!J1507)</f>
        <v/>
      </c>
      <c r="Q1507">
        <f>IF($A1507="","",IF(OR($E1507="INFRUCTUEUX",$E1507="ANNULE"),$A1507&amp;"|"&amp;(COUNTIFS($A$2:$A1507,$A1507,$E$2:$E1507,"INFRUCTUEUX")+COUNTIFS($A$2:$A1507,$A1507,$E$2:$E1507,"ANNULE")),""))</f>
        <v/>
      </c>
    </row>
    <row r="1508">
      <c r="A1508">
        <f>IF(ISBLANK('ENGAGEMENTS 2026'!B1508),"",IF('ENGAGEMENTS 2026'!B1508="DTSI","DCT",'ENGAGEMENTS 2026'!B1508))</f>
        <v/>
      </c>
      <c r="B1508">
        <f>IF(ISBLANK('ENGAGEMENTS 2026'!B1508),"",'ENGAGEMENTS 2026'!C1508)</f>
        <v/>
      </c>
      <c r="C1508">
        <f>IF(ISBLANK('ENGAGEMENTS 2026'!B1508),"",'ENGAGEMENTS 2026'!D1508)</f>
        <v/>
      </c>
      <c r="D1508">
        <f>IF(ISBLANK('ENGAGEMENTS 2026'!B1508),"",'ENGAGEMENTS 2026'!F1508)</f>
        <v/>
      </c>
      <c r="E1508">
        <f>IF(ISBLANK('ENGAGEMENTS 2026'!B1508),"",'ENGAGEMENTS 2026'!H1508)</f>
        <v/>
      </c>
      <c r="F1508">
        <f>IF(ISBLANK('ENGAGEMENTS 2026'!B1508),"",'ENGAGEMENTS 2026'!I1508)</f>
        <v/>
      </c>
      <c r="G1508">
        <f>IF(ISBLANK('ENGAGEMENTS 2026'!B1508),"",'ENGAGEMENTS 2026'!L1508)</f>
        <v/>
      </c>
      <c r="H1508">
        <f>IF(ISBLANK('ENGAGEMENTS 2026'!B1508),"",'ENGAGEMENTS 2026'!AE1508)</f>
        <v/>
      </c>
      <c r="I1508">
        <f>IF(ISBLANK('ENGAGEMENTS 2026'!B1508),"",'ENGAGEMENTS 2026'!G1508)</f>
        <v/>
      </c>
      <c r="J1508" s="275">
        <f>IF(ISBLANK('ENGAGEMENTS 2026'!B1508),"",IF(AND(OR($E1508="INFRUCTUEUX",$E1508="ANNULE"),$C1508="AOO-M"),'ENGAGEMENTS 2026'!O1508,IF($H1508="EN COURS DE PREENGAGEMENT",'ENGAGEMENTS 2026'!N1508,IF($H1508="PREENGAGE",IF($E1508="ATTRIBUE",'ENGAGEMENTS 2026'!AD1508,'ENGAGEMENTS 2026'!N1508),'ENGAGEMENTS 2026'!AD1508))))</f>
        <v/>
      </c>
      <c r="K1508" s="604">
        <f>IF(ISBLANK('ENGAGEMENTS 2026'!V1508),"",'ENGAGEMENTS 2026'!V1508)</f>
        <v/>
      </c>
      <c r="L1508" s="276">
        <f>IF($K1508="","",TODAY()-$K1508)</f>
        <v/>
      </c>
      <c r="M1508">
        <f>IF($A1508="","",IF($H1508="ENGAGE","Engagé",IF(AND($H1508="NON ENGAGE",OR($I1508="INFRUCTUEUX",$I1508="ANNULE")),"Clôturé sans suite","En cours")))</f>
        <v/>
      </c>
      <c r="N1508">
        <f>IF(ISBLANK('ENGAGEMENTS 2026'!B1508),"",'ENGAGEMENTS 2026'!K1508)</f>
        <v/>
      </c>
      <c r="O1508">
        <f>IF(ISBLANK('ENGAGEMENTS 2026'!B1508),"",'ENGAGEMENTS 2026'!L1508)</f>
        <v/>
      </c>
      <c r="P1508">
        <f>IF(ISBLANK('ENGAGEMENTS 2026'!B1508),"",'ENGAGEMENTS 2026'!J1508)</f>
        <v/>
      </c>
      <c r="Q1508">
        <f>IF($A1508="","",IF(OR($E1508="INFRUCTUEUX",$E1508="ANNULE"),$A1508&amp;"|"&amp;(COUNTIFS($A$2:$A1508,$A1508,$E$2:$E1508,"INFRUCTUEUX")+COUNTIFS($A$2:$A1508,$A1508,$E$2:$E1508,"ANNULE")),""))</f>
        <v/>
      </c>
    </row>
    <row r="1509">
      <c r="A1509">
        <f>IF(ISBLANK('ENGAGEMENTS 2026'!B1509),"",IF('ENGAGEMENTS 2026'!B1509="DTSI","DCT",'ENGAGEMENTS 2026'!B1509))</f>
        <v/>
      </c>
      <c r="B1509">
        <f>IF(ISBLANK('ENGAGEMENTS 2026'!B1509),"",'ENGAGEMENTS 2026'!C1509)</f>
        <v/>
      </c>
      <c r="C1509">
        <f>IF(ISBLANK('ENGAGEMENTS 2026'!B1509),"",'ENGAGEMENTS 2026'!D1509)</f>
        <v/>
      </c>
      <c r="D1509">
        <f>IF(ISBLANK('ENGAGEMENTS 2026'!B1509),"",'ENGAGEMENTS 2026'!F1509)</f>
        <v/>
      </c>
      <c r="E1509">
        <f>IF(ISBLANK('ENGAGEMENTS 2026'!B1509),"",'ENGAGEMENTS 2026'!H1509)</f>
        <v/>
      </c>
      <c r="F1509">
        <f>IF(ISBLANK('ENGAGEMENTS 2026'!B1509),"",'ENGAGEMENTS 2026'!I1509)</f>
        <v/>
      </c>
      <c r="G1509">
        <f>IF(ISBLANK('ENGAGEMENTS 2026'!B1509),"",'ENGAGEMENTS 2026'!L1509)</f>
        <v/>
      </c>
      <c r="H1509">
        <f>IF(ISBLANK('ENGAGEMENTS 2026'!B1509),"",'ENGAGEMENTS 2026'!AE1509)</f>
        <v/>
      </c>
      <c r="I1509">
        <f>IF(ISBLANK('ENGAGEMENTS 2026'!B1509),"",'ENGAGEMENTS 2026'!G1509)</f>
        <v/>
      </c>
      <c r="J1509" s="275">
        <f>IF(ISBLANK('ENGAGEMENTS 2026'!B1509),"",IF(AND(OR($E1509="INFRUCTUEUX",$E1509="ANNULE"),$C1509="AOO-M"),'ENGAGEMENTS 2026'!O1509,IF($H1509="EN COURS DE PREENGAGEMENT",'ENGAGEMENTS 2026'!N1509,IF($H1509="PREENGAGE",IF($E1509="ATTRIBUE",'ENGAGEMENTS 2026'!AD1509,'ENGAGEMENTS 2026'!N1509),'ENGAGEMENTS 2026'!AD1509))))</f>
        <v/>
      </c>
      <c r="K1509" s="604">
        <f>IF(ISBLANK('ENGAGEMENTS 2026'!V1509),"",'ENGAGEMENTS 2026'!V1509)</f>
        <v/>
      </c>
      <c r="L1509" s="276">
        <f>IF($K1509="","",TODAY()-$K1509)</f>
        <v/>
      </c>
      <c r="M1509">
        <f>IF($A1509="","",IF($H1509="ENGAGE","Engagé",IF(AND($H1509="NON ENGAGE",OR($I1509="INFRUCTUEUX",$I1509="ANNULE")),"Clôturé sans suite","En cours")))</f>
        <v/>
      </c>
      <c r="N1509">
        <f>IF(ISBLANK('ENGAGEMENTS 2026'!B1509),"",'ENGAGEMENTS 2026'!K1509)</f>
        <v/>
      </c>
      <c r="O1509">
        <f>IF(ISBLANK('ENGAGEMENTS 2026'!B1509),"",'ENGAGEMENTS 2026'!L1509)</f>
        <v/>
      </c>
      <c r="P1509">
        <f>IF(ISBLANK('ENGAGEMENTS 2026'!B1509),"",'ENGAGEMENTS 2026'!J1509)</f>
        <v/>
      </c>
      <c r="Q1509">
        <f>IF($A1509="","",IF(OR($E1509="INFRUCTUEUX",$E1509="ANNULE"),$A1509&amp;"|"&amp;(COUNTIFS($A$2:$A1509,$A1509,$E$2:$E1509,"INFRUCTUEUX")+COUNTIFS($A$2:$A1509,$A1509,$E$2:$E1509,"ANNULE")),""))</f>
        <v/>
      </c>
    </row>
    <row r="1510">
      <c r="A1510">
        <f>IF(ISBLANK('ENGAGEMENTS 2026'!B1510),"",IF('ENGAGEMENTS 2026'!B1510="DTSI","DCT",'ENGAGEMENTS 2026'!B1510))</f>
        <v/>
      </c>
      <c r="B1510">
        <f>IF(ISBLANK('ENGAGEMENTS 2026'!B1510),"",'ENGAGEMENTS 2026'!C1510)</f>
        <v/>
      </c>
      <c r="C1510">
        <f>IF(ISBLANK('ENGAGEMENTS 2026'!B1510),"",'ENGAGEMENTS 2026'!D1510)</f>
        <v/>
      </c>
      <c r="D1510">
        <f>IF(ISBLANK('ENGAGEMENTS 2026'!B1510),"",'ENGAGEMENTS 2026'!F1510)</f>
        <v/>
      </c>
      <c r="E1510">
        <f>IF(ISBLANK('ENGAGEMENTS 2026'!B1510),"",'ENGAGEMENTS 2026'!H1510)</f>
        <v/>
      </c>
      <c r="F1510">
        <f>IF(ISBLANK('ENGAGEMENTS 2026'!B1510),"",'ENGAGEMENTS 2026'!I1510)</f>
        <v/>
      </c>
      <c r="G1510">
        <f>IF(ISBLANK('ENGAGEMENTS 2026'!B1510),"",'ENGAGEMENTS 2026'!L1510)</f>
        <v/>
      </c>
      <c r="H1510">
        <f>IF(ISBLANK('ENGAGEMENTS 2026'!B1510),"",'ENGAGEMENTS 2026'!AE1510)</f>
        <v/>
      </c>
      <c r="I1510">
        <f>IF(ISBLANK('ENGAGEMENTS 2026'!B1510),"",'ENGAGEMENTS 2026'!G1510)</f>
        <v/>
      </c>
      <c r="J1510" s="275">
        <f>IF(ISBLANK('ENGAGEMENTS 2026'!B1510),"",IF(AND(OR($E1510="INFRUCTUEUX",$E1510="ANNULE"),$C1510="AOO-M"),'ENGAGEMENTS 2026'!O1510,IF($H1510="EN COURS DE PREENGAGEMENT",'ENGAGEMENTS 2026'!N1510,IF($H1510="PREENGAGE",IF($E1510="ATTRIBUE",'ENGAGEMENTS 2026'!AD1510,'ENGAGEMENTS 2026'!N1510),'ENGAGEMENTS 2026'!AD1510))))</f>
        <v/>
      </c>
      <c r="K1510" s="604">
        <f>IF(ISBLANK('ENGAGEMENTS 2026'!V1510),"",'ENGAGEMENTS 2026'!V1510)</f>
        <v/>
      </c>
      <c r="L1510" s="276">
        <f>IF($K1510="","",TODAY()-$K1510)</f>
        <v/>
      </c>
      <c r="M1510">
        <f>IF($A1510="","",IF($H1510="ENGAGE","Engagé",IF(AND($H1510="NON ENGAGE",OR($I1510="INFRUCTUEUX",$I1510="ANNULE")),"Clôturé sans suite","En cours")))</f>
        <v/>
      </c>
      <c r="N1510">
        <f>IF(ISBLANK('ENGAGEMENTS 2026'!B1510),"",'ENGAGEMENTS 2026'!K1510)</f>
        <v/>
      </c>
      <c r="O1510">
        <f>IF(ISBLANK('ENGAGEMENTS 2026'!B1510),"",'ENGAGEMENTS 2026'!L1510)</f>
        <v/>
      </c>
      <c r="P1510">
        <f>IF(ISBLANK('ENGAGEMENTS 2026'!B1510),"",'ENGAGEMENTS 2026'!J1510)</f>
        <v/>
      </c>
      <c r="Q1510">
        <f>IF($A1510="","",IF(OR($E1510="INFRUCTUEUX",$E1510="ANNULE"),$A1510&amp;"|"&amp;(COUNTIFS($A$2:$A1510,$A1510,$E$2:$E1510,"INFRUCTUEUX")+COUNTIFS($A$2:$A1510,$A1510,$E$2:$E1510,"ANNULE")),""))</f>
        <v/>
      </c>
    </row>
    <row r="1511">
      <c r="A1511">
        <f>IF(ISBLANK('ENGAGEMENTS 2026'!B1511),"",IF('ENGAGEMENTS 2026'!B1511="DTSI","DCT",'ENGAGEMENTS 2026'!B1511))</f>
        <v/>
      </c>
      <c r="B1511">
        <f>IF(ISBLANK('ENGAGEMENTS 2026'!B1511),"",'ENGAGEMENTS 2026'!C1511)</f>
        <v/>
      </c>
      <c r="C1511">
        <f>IF(ISBLANK('ENGAGEMENTS 2026'!B1511),"",'ENGAGEMENTS 2026'!D1511)</f>
        <v/>
      </c>
      <c r="D1511">
        <f>IF(ISBLANK('ENGAGEMENTS 2026'!B1511),"",'ENGAGEMENTS 2026'!F1511)</f>
        <v/>
      </c>
      <c r="E1511">
        <f>IF(ISBLANK('ENGAGEMENTS 2026'!B1511),"",'ENGAGEMENTS 2026'!H1511)</f>
        <v/>
      </c>
      <c r="F1511">
        <f>IF(ISBLANK('ENGAGEMENTS 2026'!B1511),"",'ENGAGEMENTS 2026'!I1511)</f>
        <v/>
      </c>
      <c r="G1511">
        <f>IF(ISBLANK('ENGAGEMENTS 2026'!B1511),"",'ENGAGEMENTS 2026'!L1511)</f>
        <v/>
      </c>
      <c r="H1511">
        <f>IF(ISBLANK('ENGAGEMENTS 2026'!B1511),"",'ENGAGEMENTS 2026'!AE1511)</f>
        <v/>
      </c>
      <c r="I1511">
        <f>IF(ISBLANK('ENGAGEMENTS 2026'!B1511),"",'ENGAGEMENTS 2026'!G1511)</f>
        <v/>
      </c>
      <c r="J1511" s="275">
        <f>IF(ISBLANK('ENGAGEMENTS 2026'!B1511),"",IF(AND(OR($E1511="INFRUCTUEUX",$E1511="ANNULE"),$C1511="AOO-M"),'ENGAGEMENTS 2026'!O1511,IF($H1511="EN COURS DE PREENGAGEMENT",'ENGAGEMENTS 2026'!N1511,IF($H1511="PREENGAGE",IF($E1511="ATTRIBUE",'ENGAGEMENTS 2026'!AD1511,'ENGAGEMENTS 2026'!N1511),'ENGAGEMENTS 2026'!AD1511))))</f>
        <v/>
      </c>
      <c r="K1511" s="604">
        <f>IF(ISBLANK('ENGAGEMENTS 2026'!V1511),"",'ENGAGEMENTS 2026'!V1511)</f>
        <v/>
      </c>
      <c r="L1511" s="276">
        <f>IF($K1511="","",TODAY()-$K1511)</f>
        <v/>
      </c>
      <c r="M1511">
        <f>IF($A1511="","",IF($H1511="ENGAGE","Engagé",IF(AND($H1511="NON ENGAGE",OR($I1511="INFRUCTUEUX",$I1511="ANNULE")),"Clôturé sans suite","En cours")))</f>
        <v/>
      </c>
      <c r="N1511">
        <f>IF(ISBLANK('ENGAGEMENTS 2026'!B1511),"",'ENGAGEMENTS 2026'!K1511)</f>
        <v/>
      </c>
      <c r="O1511">
        <f>IF(ISBLANK('ENGAGEMENTS 2026'!B1511),"",'ENGAGEMENTS 2026'!L1511)</f>
        <v/>
      </c>
      <c r="P1511">
        <f>IF(ISBLANK('ENGAGEMENTS 2026'!B1511),"",'ENGAGEMENTS 2026'!J1511)</f>
        <v/>
      </c>
      <c r="Q1511">
        <f>IF($A1511="","",IF(OR($E1511="INFRUCTUEUX",$E1511="ANNULE"),$A1511&amp;"|"&amp;(COUNTIFS($A$2:$A1511,$A1511,$E$2:$E1511,"INFRUCTUEUX")+COUNTIFS($A$2:$A1511,$A1511,$E$2:$E1511,"ANNULE")),""))</f>
        <v/>
      </c>
    </row>
    <row r="1512">
      <c r="A1512">
        <f>IF(ISBLANK('ENGAGEMENTS 2026'!B1512),"",IF('ENGAGEMENTS 2026'!B1512="DTSI","DCT",'ENGAGEMENTS 2026'!B1512))</f>
        <v/>
      </c>
      <c r="B1512">
        <f>IF(ISBLANK('ENGAGEMENTS 2026'!B1512),"",'ENGAGEMENTS 2026'!C1512)</f>
        <v/>
      </c>
      <c r="C1512">
        <f>IF(ISBLANK('ENGAGEMENTS 2026'!B1512),"",'ENGAGEMENTS 2026'!D1512)</f>
        <v/>
      </c>
      <c r="D1512">
        <f>IF(ISBLANK('ENGAGEMENTS 2026'!B1512),"",'ENGAGEMENTS 2026'!F1512)</f>
        <v/>
      </c>
      <c r="E1512">
        <f>IF(ISBLANK('ENGAGEMENTS 2026'!B1512),"",'ENGAGEMENTS 2026'!H1512)</f>
        <v/>
      </c>
      <c r="F1512">
        <f>IF(ISBLANK('ENGAGEMENTS 2026'!B1512),"",'ENGAGEMENTS 2026'!I1512)</f>
        <v/>
      </c>
      <c r="G1512">
        <f>IF(ISBLANK('ENGAGEMENTS 2026'!B1512),"",'ENGAGEMENTS 2026'!L1512)</f>
        <v/>
      </c>
      <c r="H1512">
        <f>IF(ISBLANK('ENGAGEMENTS 2026'!B1512),"",'ENGAGEMENTS 2026'!AE1512)</f>
        <v/>
      </c>
      <c r="I1512">
        <f>IF(ISBLANK('ENGAGEMENTS 2026'!B1512),"",'ENGAGEMENTS 2026'!G1512)</f>
        <v/>
      </c>
      <c r="J1512" s="275">
        <f>IF(ISBLANK('ENGAGEMENTS 2026'!B1512),"",IF(AND(OR($E1512="INFRUCTUEUX",$E1512="ANNULE"),$C1512="AOO-M"),'ENGAGEMENTS 2026'!O1512,IF($H1512="EN COURS DE PREENGAGEMENT",'ENGAGEMENTS 2026'!N1512,IF($H1512="PREENGAGE",IF($E1512="ATTRIBUE",'ENGAGEMENTS 2026'!AD1512,'ENGAGEMENTS 2026'!N1512),'ENGAGEMENTS 2026'!AD1512))))</f>
        <v/>
      </c>
      <c r="K1512" s="604">
        <f>IF(ISBLANK('ENGAGEMENTS 2026'!V1512),"",'ENGAGEMENTS 2026'!V1512)</f>
        <v/>
      </c>
      <c r="L1512" s="276">
        <f>IF($K1512="","",TODAY()-$K1512)</f>
        <v/>
      </c>
      <c r="M1512">
        <f>IF($A1512="","",IF($H1512="ENGAGE","Engagé",IF(AND($H1512="NON ENGAGE",OR($I1512="INFRUCTUEUX",$I1512="ANNULE")),"Clôturé sans suite","En cours")))</f>
        <v/>
      </c>
      <c r="N1512">
        <f>IF(ISBLANK('ENGAGEMENTS 2026'!B1512),"",'ENGAGEMENTS 2026'!K1512)</f>
        <v/>
      </c>
      <c r="O1512">
        <f>IF(ISBLANK('ENGAGEMENTS 2026'!B1512),"",'ENGAGEMENTS 2026'!L1512)</f>
        <v/>
      </c>
      <c r="P1512">
        <f>IF(ISBLANK('ENGAGEMENTS 2026'!B1512),"",'ENGAGEMENTS 2026'!J1512)</f>
        <v/>
      </c>
      <c r="Q1512">
        <f>IF($A1512="","",IF(OR($E1512="INFRUCTUEUX",$E1512="ANNULE"),$A1512&amp;"|"&amp;(COUNTIFS($A$2:$A1512,$A1512,$E$2:$E1512,"INFRUCTUEUX")+COUNTIFS($A$2:$A1512,$A1512,$E$2:$E1512,"ANNULE")),""))</f>
        <v/>
      </c>
    </row>
    <row r="1513">
      <c r="A1513">
        <f>IF(ISBLANK('ENGAGEMENTS 2026'!B1513),"",IF('ENGAGEMENTS 2026'!B1513="DTSI","DCT",'ENGAGEMENTS 2026'!B1513))</f>
        <v/>
      </c>
      <c r="B1513">
        <f>IF(ISBLANK('ENGAGEMENTS 2026'!B1513),"",'ENGAGEMENTS 2026'!C1513)</f>
        <v/>
      </c>
      <c r="C1513">
        <f>IF(ISBLANK('ENGAGEMENTS 2026'!B1513),"",'ENGAGEMENTS 2026'!D1513)</f>
        <v/>
      </c>
      <c r="D1513">
        <f>IF(ISBLANK('ENGAGEMENTS 2026'!B1513),"",'ENGAGEMENTS 2026'!F1513)</f>
        <v/>
      </c>
      <c r="E1513">
        <f>IF(ISBLANK('ENGAGEMENTS 2026'!B1513),"",'ENGAGEMENTS 2026'!H1513)</f>
        <v/>
      </c>
      <c r="F1513">
        <f>IF(ISBLANK('ENGAGEMENTS 2026'!B1513),"",'ENGAGEMENTS 2026'!I1513)</f>
        <v/>
      </c>
      <c r="G1513">
        <f>IF(ISBLANK('ENGAGEMENTS 2026'!B1513),"",'ENGAGEMENTS 2026'!L1513)</f>
        <v/>
      </c>
      <c r="H1513">
        <f>IF(ISBLANK('ENGAGEMENTS 2026'!B1513),"",'ENGAGEMENTS 2026'!AE1513)</f>
        <v/>
      </c>
      <c r="I1513">
        <f>IF(ISBLANK('ENGAGEMENTS 2026'!B1513),"",'ENGAGEMENTS 2026'!G1513)</f>
        <v/>
      </c>
      <c r="J1513" s="275">
        <f>IF(ISBLANK('ENGAGEMENTS 2026'!B1513),"",IF(AND(OR($E1513="INFRUCTUEUX",$E1513="ANNULE"),$C1513="AOO-M"),'ENGAGEMENTS 2026'!O1513,IF($H1513="EN COURS DE PREENGAGEMENT",'ENGAGEMENTS 2026'!N1513,IF($H1513="PREENGAGE",IF($E1513="ATTRIBUE",'ENGAGEMENTS 2026'!AD1513,'ENGAGEMENTS 2026'!N1513),'ENGAGEMENTS 2026'!AD1513))))</f>
        <v/>
      </c>
      <c r="K1513" s="604">
        <f>IF(ISBLANK('ENGAGEMENTS 2026'!V1513),"",'ENGAGEMENTS 2026'!V1513)</f>
        <v/>
      </c>
      <c r="L1513" s="276">
        <f>IF($K1513="","",TODAY()-$K1513)</f>
        <v/>
      </c>
      <c r="M1513">
        <f>IF($A1513="","",IF($H1513="ENGAGE","Engagé",IF(AND($H1513="NON ENGAGE",OR($I1513="INFRUCTUEUX",$I1513="ANNULE")),"Clôturé sans suite","En cours")))</f>
        <v/>
      </c>
      <c r="N1513">
        <f>IF(ISBLANK('ENGAGEMENTS 2026'!B1513),"",'ENGAGEMENTS 2026'!K1513)</f>
        <v/>
      </c>
      <c r="O1513">
        <f>IF(ISBLANK('ENGAGEMENTS 2026'!B1513),"",'ENGAGEMENTS 2026'!L1513)</f>
        <v/>
      </c>
      <c r="P1513">
        <f>IF(ISBLANK('ENGAGEMENTS 2026'!B1513),"",'ENGAGEMENTS 2026'!J1513)</f>
        <v/>
      </c>
      <c r="Q1513">
        <f>IF($A1513="","",IF(OR($E1513="INFRUCTUEUX",$E1513="ANNULE"),$A1513&amp;"|"&amp;(COUNTIFS($A$2:$A1513,$A1513,$E$2:$E1513,"INFRUCTUEUX")+COUNTIFS($A$2:$A1513,$A1513,$E$2:$E1513,"ANNULE")),""))</f>
        <v/>
      </c>
    </row>
    <row r="1514">
      <c r="A1514">
        <f>IF(ISBLANK('ENGAGEMENTS 2026'!B1514),"",IF('ENGAGEMENTS 2026'!B1514="DTSI","DCT",'ENGAGEMENTS 2026'!B1514))</f>
        <v/>
      </c>
      <c r="B1514">
        <f>IF(ISBLANK('ENGAGEMENTS 2026'!B1514),"",'ENGAGEMENTS 2026'!C1514)</f>
        <v/>
      </c>
      <c r="C1514">
        <f>IF(ISBLANK('ENGAGEMENTS 2026'!B1514),"",'ENGAGEMENTS 2026'!D1514)</f>
        <v/>
      </c>
      <c r="D1514">
        <f>IF(ISBLANK('ENGAGEMENTS 2026'!B1514),"",'ENGAGEMENTS 2026'!F1514)</f>
        <v/>
      </c>
      <c r="E1514">
        <f>IF(ISBLANK('ENGAGEMENTS 2026'!B1514),"",'ENGAGEMENTS 2026'!H1514)</f>
        <v/>
      </c>
      <c r="F1514">
        <f>IF(ISBLANK('ENGAGEMENTS 2026'!B1514),"",'ENGAGEMENTS 2026'!I1514)</f>
        <v/>
      </c>
      <c r="G1514">
        <f>IF(ISBLANK('ENGAGEMENTS 2026'!B1514),"",'ENGAGEMENTS 2026'!L1514)</f>
        <v/>
      </c>
      <c r="H1514">
        <f>IF(ISBLANK('ENGAGEMENTS 2026'!B1514),"",'ENGAGEMENTS 2026'!AE1514)</f>
        <v/>
      </c>
      <c r="I1514">
        <f>IF(ISBLANK('ENGAGEMENTS 2026'!B1514),"",'ENGAGEMENTS 2026'!G1514)</f>
        <v/>
      </c>
      <c r="J1514" s="275">
        <f>IF(ISBLANK('ENGAGEMENTS 2026'!B1514),"",IF(AND(OR($E1514="INFRUCTUEUX",$E1514="ANNULE"),$C1514="AOO-M"),'ENGAGEMENTS 2026'!O1514,IF($H1514="EN COURS DE PREENGAGEMENT",'ENGAGEMENTS 2026'!N1514,IF($H1514="PREENGAGE",IF($E1514="ATTRIBUE",'ENGAGEMENTS 2026'!AD1514,'ENGAGEMENTS 2026'!N1514),'ENGAGEMENTS 2026'!AD1514))))</f>
        <v/>
      </c>
      <c r="K1514" s="604">
        <f>IF(ISBLANK('ENGAGEMENTS 2026'!V1514),"",'ENGAGEMENTS 2026'!V1514)</f>
        <v/>
      </c>
      <c r="L1514" s="276">
        <f>IF($K1514="","",TODAY()-$K1514)</f>
        <v/>
      </c>
      <c r="M1514">
        <f>IF($A1514="","",IF($H1514="ENGAGE","Engagé",IF(AND($H1514="NON ENGAGE",OR($I1514="INFRUCTUEUX",$I1514="ANNULE")),"Clôturé sans suite","En cours")))</f>
        <v/>
      </c>
      <c r="N1514">
        <f>IF(ISBLANK('ENGAGEMENTS 2026'!B1514),"",'ENGAGEMENTS 2026'!K1514)</f>
        <v/>
      </c>
      <c r="O1514">
        <f>IF(ISBLANK('ENGAGEMENTS 2026'!B1514),"",'ENGAGEMENTS 2026'!L1514)</f>
        <v/>
      </c>
      <c r="P1514">
        <f>IF(ISBLANK('ENGAGEMENTS 2026'!B1514),"",'ENGAGEMENTS 2026'!J1514)</f>
        <v/>
      </c>
      <c r="Q1514">
        <f>IF($A1514="","",IF(OR($E1514="INFRUCTUEUX",$E1514="ANNULE"),$A1514&amp;"|"&amp;(COUNTIFS($A$2:$A1514,$A1514,$E$2:$E1514,"INFRUCTUEUX")+COUNTIFS($A$2:$A1514,$A1514,$E$2:$E1514,"ANNULE")),""))</f>
        <v/>
      </c>
    </row>
    <row r="1515">
      <c r="A1515">
        <f>IF(ISBLANK('ENGAGEMENTS 2026'!B1515),"",IF('ENGAGEMENTS 2026'!B1515="DTSI","DCT",'ENGAGEMENTS 2026'!B1515))</f>
        <v/>
      </c>
      <c r="B1515">
        <f>IF(ISBLANK('ENGAGEMENTS 2026'!B1515),"",'ENGAGEMENTS 2026'!C1515)</f>
        <v/>
      </c>
      <c r="C1515">
        <f>IF(ISBLANK('ENGAGEMENTS 2026'!B1515),"",'ENGAGEMENTS 2026'!D1515)</f>
        <v/>
      </c>
      <c r="D1515">
        <f>IF(ISBLANK('ENGAGEMENTS 2026'!B1515),"",'ENGAGEMENTS 2026'!F1515)</f>
        <v/>
      </c>
      <c r="E1515">
        <f>IF(ISBLANK('ENGAGEMENTS 2026'!B1515),"",'ENGAGEMENTS 2026'!H1515)</f>
        <v/>
      </c>
      <c r="F1515">
        <f>IF(ISBLANK('ENGAGEMENTS 2026'!B1515),"",'ENGAGEMENTS 2026'!I1515)</f>
        <v/>
      </c>
      <c r="G1515">
        <f>IF(ISBLANK('ENGAGEMENTS 2026'!B1515),"",'ENGAGEMENTS 2026'!L1515)</f>
        <v/>
      </c>
      <c r="H1515">
        <f>IF(ISBLANK('ENGAGEMENTS 2026'!B1515),"",'ENGAGEMENTS 2026'!AE1515)</f>
        <v/>
      </c>
      <c r="I1515">
        <f>IF(ISBLANK('ENGAGEMENTS 2026'!B1515),"",'ENGAGEMENTS 2026'!G1515)</f>
        <v/>
      </c>
      <c r="J1515" s="275">
        <f>IF(ISBLANK('ENGAGEMENTS 2026'!B1515),"",IF(AND(OR($E1515="INFRUCTUEUX",$E1515="ANNULE"),$C1515="AOO-M"),'ENGAGEMENTS 2026'!O1515,IF($H1515="EN COURS DE PREENGAGEMENT",'ENGAGEMENTS 2026'!N1515,IF($H1515="PREENGAGE",IF($E1515="ATTRIBUE",'ENGAGEMENTS 2026'!AD1515,'ENGAGEMENTS 2026'!N1515),'ENGAGEMENTS 2026'!AD1515))))</f>
        <v/>
      </c>
      <c r="K1515" s="604">
        <f>IF(ISBLANK('ENGAGEMENTS 2026'!V1515),"",'ENGAGEMENTS 2026'!V1515)</f>
        <v/>
      </c>
      <c r="L1515" s="276">
        <f>IF($K1515="","",TODAY()-$K1515)</f>
        <v/>
      </c>
      <c r="M1515">
        <f>IF($A1515="","",IF($H1515="ENGAGE","Engagé",IF(AND($H1515="NON ENGAGE",OR($I1515="INFRUCTUEUX",$I1515="ANNULE")),"Clôturé sans suite","En cours")))</f>
        <v/>
      </c>
      <c r="N1515">
        <f>IF(ISBLANK('ENGAGEMENTS 2026'!B1515),"",'ENGAGEMENTS 2026'!K1515)</f>
        <v/>
      </c>
      <c r="O1515">
        <f>IF(ISBLANK('ENGAGEMENTS 2026'!B1515),"",'ENGAGEMENTS 2026'!L1515)</f>
        <v/>
      </c>
      <c r="P1515">
        <f>IF(ISBLANK('ENGAGEMENTS 2026'!B1515),"",'ENGAGEMENTS 2026'!J1515)</f>
        <v/>
      </c>
      <c r="Q1515">
        <f>IF($A1515="","",IF(OR($E1515="INFRUCTUEUX",$E1515="ANNULE"),$A1515&amp;"|"&amp;(COUNTIFS($A$2:$A1515,$A1515,$E$2:$E1515,"INFRUCTUEUX")+COUNTIFS($A$2:$A1515,$A1515,$E$2:$E1515,"ANNULE")),""))</f>
        <v/>
      </c>
    </row>
    <row r="1516">
      <c r="A1516">
        <f>IF(ISBLANK('ENGAGEMENTS 2026'!B1516),"",IF('ENGAGEMENTS 2026'!B1516="DTSI","DCT",'ENGAGEMENTS 2026'!B1516))</f>
        <v/>
      </c>
      <c r="B1516">
        <f>IF(ISBLANK('ENGAGEMENTS 2026'!B1516),"",'ENGAGEMENTS 2026'!C1516)</f>
        <v/>
      </c>
      <c r="C1516">
        <f>IF(ISBLANK('ENGAGEMENTS 2026'!B1516),"",'ENGAGEMENTS 2026'!D1516)</f>
        <v/>
      </c>
      <c r="D1516">
        <f>IF(ISBLANK('ENGAGEMENTS 2026'!B1516),"",'ENGAGEMENTS 2026'!F1516)</f>
        <v/>
      </c>
      <c r="E1516">
        <f>IF(ISBLANK('ENGAGEMENTS 2026'!B1516),"",'ENGAGEMENTS 2026'!H1516)</f>
        <v/>
      </c>
      <c r="F1516">
        <f>IF(ISBLANK('ENGAGEMENTS 2026'!B1516),"",'ENGAGEMENTS 2026'!I1516)</f>
        <v/>
      </c>
      <c r="G1516">
        <f>IF(ISBLANK('ENGAGEMENTS 2026'!B1516),"",'ENGAGEMENTS 2026'!L1516)</f>
        <v/>
      </c>
      <c r="H1516">
        <f>IF(ISBLANK('ENGAGEMENTS 2026'!B1516),"",'ENGAGEMENTS 2026'!AE1516)</f>
        <v/>
      </c>
      <c r="I1516">
        <f>IF(ISBLANK('ENGAGEMENTS 2026'!B1516),"",'ENGAGEMENTS 2026'!G1516)</f>
        <v/>
      </c>
      <c r="J1516" s="275">
        <f>IF(ISBLANK('ENGAGEMENTS 2026'!B1516),"",IF(AND(OR($E1516="INFRUCTUEUX",$E1516="ANNULE"),$C1516="AOO-M"),'ENGAGEMENTS 2026'!O1516,IF($H1516="EN COURS DE PREENGAGEMENT",'ENGAGEMENTS 2026'!N1516,IF($H1516="PREENGAGE",IF($E1516="ATTRIBUE",'ENGAGEMENTS 2026'!AD1516,'ENGAGEMENTS 2026'!N1516),'ENGAGEMENTS 2026'!AD1516))))</f>
        <v/>
      </c>
      <c r="K1516" s="604">
        <f>IF(ISBLANK('ENGAGEMENTS 2026'!V1516),"",'ENGAGEMENTS 2026'!V1516)</f>
        <v/>
      </c>
      <c r="L1516" s="276">
        <f>IF($K1516="","",TODAY()-$K1516)</f>
        <v/>
      </c>
      <c r="M1516">
        <f>IF($A1516="","",IF($H1516="ENGAGE","Engagé",IF(AND($H1516="NON ENGAGE",OR($I1516="INFRUCTUEUX",$I1516="ANNULE")),"Clôturé sans suite","En cours")))</f>
        <v/>
      </c>
      <c r="N1516">
        <f>IF(ISBLANK('ENGAGEMENTS 2026'!B1516),"",'ENGAGEMENTS 2026'!K1516)</f>
        <v/>
      </c>
      <c r="O1516">
        <f>IF(ISBLANK('ENGAGEMENTS 2026'!B1516),"",'ENGAGEMENTS 2026'!L1516)</f>
        <v/>
      </c>
      <c r="P1516">
        <f>IF(ISBLANK('ENGAGEMENTS 2026'!B1516),"",'ENGAGEMENTS 2026'!J1516)</f>
        <v/>
      </c>
      <c r="Q1516">
        <f>IF($A1516="","",IF(OR($E1516="INFRUCTUEUX",$E1516="ANNULE"),$A1516&amp;"|"&amp;(COUNTIFS($A$2:$A1516,$A1516,$E$2:$E1516,"INFRUCTUEUX")+COUNTIFS($A$2:$A1516,$A1516,$E$2:$E1516,"ANNULE")),""))</f>
        <v/>
      </c>
    </row>
    <row r="1517">
      <c r="A1517">
        <f>IF(ISBLANK('ENGAGEMENTS 2026'!B1517),"",IF('ENGAGEMENTS 2026'!B1517="DTSI","DCT",'ENGAGEMENTS 2026'!B1517))</f>
        <v/>
      </c>
      <c r="B1517">
        <f>IF(ISBLANK('ENGAGEMENTS 2026'!B1517),"",'ENGAGEMENTS 2026'!C1517)</f>
        <v/>
      </c>
      <c r="C1517">
        <f>IF(ISBLANK('ENGAGEMENTS 2026'!B1517),"",'ENGAGEMENTS 2026'!D1517)</f>
        <v/>
      </c>
      <c r="D1517">
        <f>IF(ISBLANK('ENGAGEMENTS 2026'!B1517),"",'ENGAGEMENTS 2026'!F1517)</f>
        <v/>
      </c>
      <c r="E1517">
        <f>IF(ISBLANK('ENGAGEMENTS 2026'!B1517),"",'ENGAGEMENTS 2026'!H1517)</f>
        <v/>
      </c>
      <c r="F1517">
        <f>IF(ISBLANK('ENGAGEMENTS 2026'!B1517),"",'ENGAGEMENTS 2026'!I1517)</f>
        <v/>
      </c>
      <c r="G1517">
        <f>IF(ISBLANK('ENGAGEMENTS 2026'!B1517),"",'ENGAGEMENTS 2026'!L1517)</f>
        <v/>
      </c>
      <c r="H1517">
        <f>IF(ISBLANK('ENGAGEMENTS 2026'!B1517),"",'ENGAGEMENTS 2026'!AE1517)</f>
        <v/>
      </c>
      <c r="I1517">
        <f>IF(ISBLANK('ENGAGEMENTS 2026'!B1517),"",'ENGAGEMENTS 2026'!G1517)</f>
        <v/>
      </c>
      <c r="J1517" s="275">
        <f>IF(ISBLANK('ENGAGEMENTS 2026'!B1517),"",IF(AND(OR($E1517="INFRUCTUEUX",$E1517="ANNULE"),$C1517="AOO-M"),'ENGAGEMENTS 2026'!O1517,IF($H1517="EN COURS DE PREENGAGEMENT",'ENGAGEMENTS 2026'!N1517,IF($H1517="PREENGAGE",IF($E1517="ATTRIBUE",'ENGAGEMENTS 2026'!AD1517,'ENGAGEMENTS 2026'!N1517),'ENGAGEMENTS 2026'!AD1517))))</f>
        <v/>
      </c>
      <c r="K1517" s="604">
        <f>IF(ISBLANK('ENGAGEMENTS 2026'!V1517),"",'ENGAGEMENTS 2026'!V1517)</f>
        <v/>
      </c>
      <c r="L1517" s="276">
        <f>IF($K1517="","",TODAY()-$K1517)</f>
        <v/>
      </c>
      <c r="M1517">
        <f>IF($A1517="","",IF($H1517="ENGAGE","Engagé",IF(AND($H1517="NON ENGAGE",OR($I1517="INFRUCTUEUX",$I1517="ANNULE")),"Clôturé sans suite","En cours")))</f>
        <v/>
      </c>
      <c r="N1517">
        <f>IF(ISBLANK('ENGAGEMENTS 2026'!B1517),"",'ENGAGEMENTS 2026'!K1517)</f>
        <v/>
      </c>
      <c r="O1517">
        <f>IF(ISBLANK('ENGAGEMENTS 2026'!B1517),"",'ENGAGEMENTS 2026'!L1517)</f>
        <v/>
      </c>
      <c r="P1517">
        <f>IF(ISBLANK('ENGAGEMENTS 2026'!B1517),"",'ENGAGEMENTS 2026'!J1517)</f>
        <v/>
      </c>
      <c r="Q1517">
        <f>IF($A1517="","",IF(OR($E1517="INFRUCTUEUX",$E1517="ANNULE"),$A1517&amp;"|"&amp;(COUNTIFS($A$2:$A1517,$A1517,$E$2:$E1517,"INFRUCTUEUX")+COUNTIFS($A$2:$A1517,$A1517,$E$2:$E1517,"ANNULE")),""))</f>
        <v/>
      </c>
    </row>
    <row r="1518">
      <c r="A1518">
        <f>IF(ISBLANK('ENGAGEMENTS 2026'!B1518),"",IF('ENGAGEMENTS 2026'!B1518="DTSI","DCT",'ENGAGEMENTS 2026'!B1518))</f>
        <v/>
      </c>
      <c r="B1518">
        <f>IF(ISBLANK('ENGAGEMENTS 2026'!B1518),"",'ENGAGEMENTS 2026'!C1518)</f>
        <v/>
      </c>
      <c r="C1518">
        <f>IF(ISBLANK('ENGAGEMENTS 2026'!B1518),"",'ENGAGEMENTS 2026'!D1518)</f>
        <v/>
      </c>
      <c r="D1518">
        <f>IF(ISBLANK('ENGAGEMENTS 2026'!B1518),"",'ENGAGEMENTS 2026'!F1518)</f>
        <v/>
      </c>
      <c r="E1518">
        <f>IF(ISBLANK('ENGAGEMENTS 2026'!B1518),"",'ENGAGEMENTS 2026'!H1518)</f>
        <v/>
      </c>
      <c r="F1518">
        <f>IF(ISBLANK('ENGAGEMENTS 2026'!B1518),"",'ENGAGEMENTS 2026'!I1518)</f>
        <v/>
      </c>
      <c r="G1518">
        <f>IF(ISBLANK('ENGAGEMENTS 2026'!B1518),"",'ENGAGEMENTS 2026'!L1518)</f>
        <v/>
      </c>
      <c r="H1518">
        <f>IF(ISBLANK('ENGAGEMENTS 2026'!B1518),"",'ENGAGEMENTS 2026'!AE1518)</f>
        <v/>
      </c>
      <c r="I1518">
        <f>IF(ISBLANK('ENGAGEMENTS 2026'!B1518),"",'ENGAGEMENTS 2026'!G1518)</f>
        <v/>
      </c>
      <c r="J1518" s="275">
        <f>IF(ISBLANK('ENGAGEMENTS 2026'!B1518),"",IF(AND(OR($E1518="INFRUCTUEUX",$E1518="ANNULE"),$C1518="AOO-M"),'ENGAGEMENTS 2026'!O1518,IF($H1518="EN COURS DE PREENGAGEMENT",'ENGAGEMENTS 2026'!N1518,IF($H1518="PREENGAGE",IF($E1518="ATTRIBUE",'ENGAGEMENTS 2026'!AD1518,'ENGAGEMENTS 2026'!N1518),'ENGAGEMENTS 2026'!AD1518))))</f>
        <v/>
      </c>
      <c r="K1518" s="604">
        <f>IF(ISBLANK('ENGAGEMENTS 2026'!V1518),"",'ENGAGEMENTS 2026'!V1518)</f>
        <v/>
      </c>
      <c r="L1518" s="276">
        <f>IF($K1518="","",TODAY()-$K1518)</f>
        <v/>
      </c>
      <c r="M1518">
        <f>IF($A1518="","",IF($H1518="ENGAGE","Engagé",IF(AND($H1518="NON ENGAGE",OR($I1518="INFRUCTUEUX",$I1518="ANNULE")),"Clôturé sans suite","En cours")))</f>
        <v/>
      </c>
      <c r="N1518">
        <f>IF(ISBLANK('ENGAGEMENTS 2026'!B1518),"",'ENGAGEMENTS 2026'!K1518)</f>
        <v/>
      </c>
      <c r="O1518">
        <f>IF(ISBLANK('ENGAGEMENTS 2026'!B1518),"",'ENGAGEMENTS 2026'!L1518)</f>
        <v/>
      </c>
      <c r="P1518">
        <f>IF(ISBLANK('ENGAGEMENTS 2026'!B1518),"",'ENGAGEMENTS 2026'!J1518)</f>
        <v/>
      </c>
      <c r="Q1518">
        <f>IF($A1518="","",IF(OR($E1518="INFRUCTUEUX",$E1518="ANNULE"),$A1518&amp;"|"&amp;(COUNTIFS($A$2:$A1518,$A1518,$E$2:$E1518,"INFRUCTUEUX")+COUNTIFS($A$2:$A1518,$A1518,$E$2:$E1518,"ANNULE")),""))</f>
        <v/>
      </c>
    </row>
    <row r="1519">
      <c r="A1519">
        <f>IF(ISBLANK('ENGAGEMENTS 2026'!B1519),"",IF('ENGAGEMENTS 2026'!B1519="DTSI","DCT",'ENGAGEMENTS 2026'!B1519))</f>
        <v/>
      </c>
      <c r="B1519">
        <f>IF(ISBLANK('ENGAGEMENTS 2026'!B1519),"",'ENGAGEMENTS 2026'!C1519)</f>
        <v/>
      </c>
      <c r="C1519">
        <f>IF(ISBLANK('ENGAGEMENTS 2026'!B1519),"",'ENGAGEMENTS 2026'!D1519)</f>
        <v/>
      </c>
      <c r="D1519">
        <f>IF(ISBLANK('ENGAGEMENTS 2026'!B1519),"",'ENGAGEMENTS 2026'!F1519)</f>
        <v/>
      </c>
      <c r="E1519">
        <f>IF(ISBLANK('ENGAGEMENTS 2026'!B1519),"",'ENGAGEMENTS 2026'!H1519)</f>
        <v/>
      </c>
      <c r="F1519">
        <f>IF(ISBLANK('ENGAGEMENTS 2026'!B1519),"",'ENGAGEMENTS 2026'!I1519)</f>
        <v/>
      </c>
      <c r="G1519">
        <f>IF(ISBLANK('ENGAGEMENTS 2026'!B1519),"",'ENGAGEMENTS 2026'!L1519)</f>
        <v/>
      </c>
      <c r="H1519">
        <f>IF(ISBLANK('ENGAGEMENTS 2026'!B1519),"",'ENGAGEMENTS 2026'!AE1519)</f>
        <v/>
      </c>
      <c r="I1519">
        <f>IF(ISBLANK('ENGAGEMENTS 2026'!B1519),"",'ENGAGEMENTS 2026'!G1519)</f>
        <v/>
      </c>
      <c r="J1519" s="275">
        <f>IF(ISBLANK('ENGAGEMENTS 2026'!B1519),"",IF(AND(OR($E1519="INFRUCTUEUX",$E1519="ANNULE"),$C1519="AOO-M"),'ENGAGEMENTS 2026'!O1519,IF($H1519="EN COURS DE PREENGAGEMENT",'ENGAGEMENTS 2026'!N1519,IF($H1519="PREENGAGE",IF($E1519="ATTRIBUE",'ENGAGEMENTS 2026'!AD1519,'ENGAGEMENTS 2026'!N1519),'ENGAGEMENTS 2026'!AD1519))))</f>
        <v/>
      </c>
      <c r="K1519" s="604">
        <f>IF(ISBLANK('ENGAGEMENTS 2026'!V1519),"",'ENGAGEMENTS 2026'!V1519)</f>
        <v/>
      </c>
      <c r="L1519" s="276">
        <f>IF($K1519="","",TODAY()-$K1519)</f>
        <v/>
      </c>
      <c r="M1519">
        <f>IF($A1519="","",IF($H1519="ENGAGE","Engagé",IF(AND($H1519="NON ENGAGE",OR($I1519="INFRUCTUEUX",$I1519="ANNULE")),"Clôturé sans suite","En cours")))</f>
        <v/>
      </c>
      <c r="N1519">
        <f>IF(ISBLANK('ENGAGEMENTS 2026'!B1519),"",'ENGAGEMENTS 2026'!K1519)</f>
        <v/>
      </c>
      <c r="O1519">
        <f>IF(ISBLANK('ENGAGEMENTS 2026'!B1519),"",'ENGAGEMENTS 2026'!L1519)</f>
        <v/>
      </c>
      <c r="P1519">
        <f>IF(ISBLANK('ENGAGEMENTS 2026'!B1519),"",'ENGAGEMENTS 2026'!J1519)</f>
        <v/>
      </c>
      <c r="Q1519">
        <f>IF($A1519="","",IF(OR($E1519="INFRUCTUEUX",$E1519="ANNULE"),$A1519&amp;"|"&amp;(COUNTIFS($A$2:$A1519,$A1519,$E$2:$E1519,"INFRUCTUEUX")+COUNTIFS($A$2:$A1519,$A1519,$E$2:$E1519,"ANNULE")),""))</f>
        <v/>
      </c>
    </row>
    <row r="1520">
      <c r="A1520">
        <f>IF(ISBLANK('ENGAGEMENTS 2026'!B1520),"",IF('ENGAGEMENTS 2026'!B1520="DTSI","DCT",'ENGAGEMENTS 2026'!B1520))</f>
        <v/>
      </c>
      <c r="B1520">
        <f>IF(ISBLANK('ENGAGEMENTS 2026'!B1520),"",'ENGAGEMENTS 2026'!C1520)</f>
        <v/>
      </c>
      <c r="C1520">
        <f>IF(ISBLANK('ENGAGEMENTS 2026'!B1520),"",'ENGAGEMENTS 2026'!D1520)</f>
        <v/>
      </c>
      <c r="D1520">
        <f>IF(ISBLANK('ENGAGEMENTS 2026'!B1520),"",'ENGAGEMENTS 2026'!F1520)</f>
        <v/>
      </c>
      <c r="E1520">
        <f>IF(ISBLANK('ENGAGEMENTS 2026'!B1520),"",'ENGAGEMENTS 2026'!H1520)</f>
        <v/>
      </c>
      <c r="F1520">
        <f>IF(ISBLANK('ENGAGEMENTS 2026'!B1520),"",'ENGAGEMENTS 2026'!I1520)</f>
        <v/>
      </c>
      <c r="G1520">
        <f>IF(ISBLANK('ENGAGEMENTS 2026'!B1520),"",'ENGAGEMENTS 2026'!L1520)</f>
        <v/>
      </c>
      <c r="H1520">
        <f>IF(ISBLANK('ENGAGEMENTS 2026'!B1520),"",'ENGAGEMENTS 2026'!AE1520)</f>
        <v/>
      </c>
      <c r="I1520">
        <f>IF(ISBLANK('ENGAGEMENTS 2026'!B1520),"",'ENGAGEMENTS 2026'!G1520)</f>
        <v/>
      </c>
      <c r="J1520" s="275">
        <f>IF(ISBLANK('ENGAGEMENTS 2026'!B1520),"",IF(AND(OR($E1520="INFRUCTUEUX",$E1520="ANNULE"),$C1520="AOO-M"),'ENGAGEMENTS 2026'!O1520,IF($H1520="EN COURS DE PREENGAGEMENT",'ENGAGEMENTS 2026'!N1520,IF($H1520="PREENGAGE",IF($E1520="ATTRIBUE",'ENGAGEMENTS 2026'!AD1520,'ENGAGEMENTS 2026'!N1520),'ENGAGEMENTS 2026'!AD1520))))</f>
        <v/>
      </c>
      <c r="K1520" s="604">
        <f>IF(ISBLANK('ENGAGEMENTS 2026'!V1520),"",'ENGAGEMENTS 2026'!V1520)</f>
        <v/>
      </c>
      <c r="L1520" s="276">
        <f>IF($K1520="","",TODAY()-$K1520)</f>
        <v/>
      </c>
      <c r="M1520">
        <f>IF($A1520="","",IF($H1520="ENGAGE","Engagé",IF(AND($H1520="NON ENGAGE",OR($I1520="INFRUCTUEUX",$I1520="ANNULE")),"Clôturé sans suite","En cours")))</f>
        <v/>
      </c>
      <c r="N1520">
        <f>IF(ISBLANK('ENGAGEMENTS 2026'!B1520),"",'ENGAGEMENTS 2026'!K1520)</f>
        <v/>
      </c>
      <c r="O1520">
        <f>IF(ISBLANK('ENGAGEMENTS 2026'!B1520),"",'ENGAGEMENTS 2026'!L1520)</f>
        <v/>
      </c>
      <c r="P1520">
        <f>IF(ISBLANK('ENGAGEMENTS 2026'!B1520),"",'ENGAGEMENTS 2026'!J1520)</f>
        <v/>
      </c>
      <c r="Q1520">
        <f>IF($A1520="","",IF(OR($E1520="INFRUCTUEUX",$E1520="ANNULE"),$A1520&amp;"|"&amp;(COUNTIFS($A$2:$A1520,$A1520,$E$2:$E1520,"INFRUCTUEUX")+COUNTIFS($A$2:$A1520,$A1520,$E$2:$E1520,"ANNULE")),""))</f>
        <v/>
      </c>
    </row>
    <row r="1521">
      <c r="A1521">
        <f>IF(ISBLANK('ENGAGEMENTS 2026'!B1521),"",IF('ENGAGEMENTS 2026'!B1521="DTSI","DCT",'ENGAGEMENTS 2026'!B1521))</f>
        <v/>
      </c>
      <c r="B1521">
        <f>IF(ISBLANK('ENGAGEMENTS 2026'!B1521),"",'ENGAGEMENTS 2026'!C1521)</f>
        <v/>
      </c>
      <c r="C1521">
        <f>IF(ISBLANK('ENGAGEMENTS 2026'!B1521),"",'ENGAGEMENTS 2026'!D1521)</f>
        <v/>
      </c>
      <c r="D1521">
        <f>IF(ISBLANK('ENGAGEMENTS 2026'!B1521),"",'ENGAGEMENTS 2026'!F1521)</f>
        <v/>
      </c>
      <c r="E1521">
        <f>IF(ISBLANK('ENGAGEMENTS 2026'!B1521),"",'ENGAGEMENTS 2026'!H1521)</f>
        <v/>
      </c>
      <c r="F1521">
        <f>IF(ISBLANK('ENGAGEMENTS 2026'!B1521),"",'ENGAGEMENTS 2026'!I1521)</f>
        <v/>
      </c>
      <c r="G1521">
        <f>IF(ISBLANK('ENGAGEMENTS 2026'!B1521),"",'ENGAGEMENTS 2026'!L1521)</f>
        <v/>
      </c>
      <c r="H1521">
        <f>IF(ISBLANK('ENGAGEMENTS 2026'!B1521),"",'ENGAGEMENTS 2026'!AE1521)</f>
        <v/>
      </c>
      <c r="I1521">
        <f>IF(ISBLANK('ENGAGEMENTS 2026'!B1521),"",'ENGAGEMENTS 2026'!G1521)</f>
        <v/>
      </c>
      <c r="J1521" s="275">
        <f>IF(ISBLANK('ENGAGEMENTS 2026'!B1521),"",IF(AND(OR($E1521="INFRUCTUEUX",$E1521="ANNULE"),$C1521="AOO-M"),'ENGAGEMENTS 2026'!O1521,IF($H1521="EN COURS DE PREENGAGEMENT",'ENGAGEMENTS 2026'!N1521,IF($H1521="PREENGAGE",IF($E1521="ATTRIBUE",'ENGAGEMENTS 2026'!AD1521,'ENGAGEMENTS 2026'!N1521),'ENGAGEMENTS 2026'!AD1521))))</f>
        <v/>
      </c>
      <c r="K1521" s="604">
        <f>IF(ISBLANK('ENGAGEMENTS 2026'!V1521),"",'ENGAGEMENTS 2026'!V1521)</f>
        <v/>
      </c>
      <c r="L1521" s="276">
        <f>IF($K1521="","",TODAY()-$K1521)</f>
        <v/>
      </c>
      <c r="M1521">
        <f>IF($A1521="","",IF($H1521="ENGAGE","Engagé",IF(AND($H1521="NON ENGAGE",OR($I1521="INFRUCTUEUX",$I1521="ANNULE")),"Clôturé sans suite","En cours")))</f>
        <v/>
      </c>
      <c r="N1521">
        <f>IF(ISBLANK('ENGAGEMENTS 2026'!B1521),"",'ENGAGEMENTS 2026'!K1521)</f>
        <v/>
      </c>
      <c r="O1521">
        <f>IF(ISBLANK('ENGAGEMENTS 2026'!B1521),"",'ENGAGEMENTS 2026'!L1521)</f>
        <v/>
      </c>
      <c r="P1521">
        <f>IF(ISBLANK('ENGAGEMENTS 2026'!B1521),"",'ENGAGEMENTS 2026'!J1521)</f>
        <v/>
      </c>
      <c r="Q1521">
        <f>IF($A1521="","",IF(OR($E1521="INFRUCTUEUX",$E1521="ANNULE"),$A1521&amp;"|"&amp;(COUNTIFS($A$2:$A1521,$A1521,$E$2:$E1521,"INFRUCTUEUX")+COUNTIFS($A$2:$A1521,$A1521,$E$2:$E1521,"ANNULE")),""))</f>
        <v/>
      </c>
    </row>
    <row r="1522">
      <c r="A1522">
        <f>IF(ISBLANK('ENGAGEMENTS 2026'!B1522),"",IF('ENGAGEMENTS 2026'!B1522="DTSI","DCT",'ENGAGEMENTS 2026'!B1522))</f>
        <v/>
      </c>
      <c r="B1522">
        <f>IF(ISBLANK('ENGAGEMENTS 2026'!B1522),"",'ENGAGEMENTS 2026'!C1522)</f>
        <v/>
      </c>
      <c r="C1522">
        <f>IF(ISBLANK('ENGAGEMENTS 2026'!B1522),"",'ENGAGEMENTS 2026'!D1522)</f>
        <v/>
      </c>
      <c r="D1522">
        <f>IF(ISBLANK('ENGAGEMENTS 2026'!B1522),"",'ENGAGEMENTS 2026'!F1522)</f>
        <v/>
      </c>
      <c r="E1522">
        <f>IF(ISBLANK('ENGAGEMENTS 2026'!B1522),"",'ENGAGEMENTS 2026'!H1522)</f>
        <v/>
      </c>
      <c r="F1522">
        <f>IF(ISBLANK('ENGAGEMENTS 2026'!B1522),"",'ENGAGEMENTS 2026'!I1522)</f>
        <v/>
      </c>
      <c r="G1522">
        <f>IF(ISBLANK('ENGAGEMENTS 2026'!B1522),"",'ENGAGEMENTS 2026'!L1522)</f>
        <v/>
      </c>
      <c r="H1522">
        <f>IF(ISBLANK('ENGAGEMENTS 2026'!B1522),"",'ENGAGEMENTS 2026'!AE1522)</f>
        <v/>
      </c>
      <c r="I1522">
        <f>IF(ISBLANK('ENGAGEMENTS 2026'!B1522),"",'ENGAGEMENTS 2026'!G1522)</f>
        <v/>
      </c>
      <c r="J1522" s="275">
        <f>IF(ISBLANK('ENGAGEMENTS 2026'!B1522),"",IF(AND(OR($E1522="INFRUCTUEUX",$E1522="ANNULE"),$C1522="AOO-M"),'ENGAGEMENTS 2026'!O1522,IF($H1522="EN COURS DE PREENGAGEMENT",'ENGAGEMENTS 2026'!N1522,IF($H1522="PREENGAGE",IF($E1522="ATTRIBUE",'ENGAGEMENTS 2026'!AD1522,'ENGAGEMENTS 2026'!N1522),'ENGAGEMENTS 2026'!AD1522))))</f>
        <v/>
      </c>
      <c r="K1522" s="604">
        <f>IF(ISBLANK('ENGAGEMENTS 2026'!V1522),"",'ENGAGEMENTS 2026'!V1522)</f>
        <v/>
      </c>
      <c r="L1522" s="276">
        <f>IF($K1522="","",TODAY()-$K1522)</f>
        <v/>
      </c>
      <c r="M1522">
        <f>IF($A1522="","",IF($H1522="ENGAGE","Engagé",IF(AND($H1522="NON ENGAGE",OR($I1522="INFRUCTUEUX",$I1522="ANNULE")),"Clôturé sans suite","En cours")))</f>
        <v/>
      </c>
      <c r="N1522">
        <f>IF(ISBLANK('ENGAGEMENTS 2026'!B1522),"",'ENGAGEMENTS 2026'!K1522)</f>
        <v/>
      </c>
      <c r="O1522">
        <f>IF(ISBLANK('ENGAGEMENTS 2026'!B1522),"",'ENGAGEMENTS 2026'!L1522)</f>
        <v/>
      </c>
      <c r="P1522">
        <f>IF(ISBLANK('ENGAGEMENTS 2026'!B1522),"",'ENGAGEMENTS 2026'!J1522)</f>
        <v/>
      </c>
      <c r="Q1522">
        <f>IF($A1522="","",IF(OR($E1522="INFRUCTUEUX",$E1522="ANNULE"),$A1522&amp;"|"&amp;(COUNTIFS($A$2:$A1522,$A1522,$E$2:$E1522,"INFRUCTUEUX")+COUNTIFS($A$2:$A1522,$A1522,$E$2:$E1522,"ANNULE")),""))</f>
        <v/>
      </c>
    </row>
    <row r="1523">
      <c r="A1523">
        <f>IF(ISBLANK('ENGAGEMENTS 2026'!B1523),"",IF('ENGAGEMENTS 2026'!B1523="DTSI","DCT",'ENGAGEMENTS 2026'!B1523))</f>
        <v/>
      </c>
      <c r="B1523">
        <f>IF(ISBLANK('ENGAGEMENTS 2026'!B1523),"",'ENGAGEMENTS 2026'!C1523)</f>
        <v/>
      </c>
      <c r="C1523">
        <f>IF(ISBLANK('ENGAGEMENTS 2026'!B1523),"",'ENGAGEMENTS 2026'!D1523)</f>
        <v/>
      </c>
      <c r="D1523">
        <f>IF(ISBLANK('ENGAGEMENTS 2026'!B1523),"",'ENGAGEMENTS 2026'!F1523)</f>
        <v/>
      </c>
      <c r="E1523">
        <f>IF(ISBLANK('ENGAGEMENTS 2026'!B1523),"",'ENGAGEMENTS 2026'!H1523)</f>
        <v/>
      </c>
      <c r="F1523">
        <f>IF(ISBLANK('ENGAGEMENTS 2026'!B1523),"",'ENGAGEMENTS 2026'!I1523)</f>
        <v/>
      </c>
      <c r="G1523">
        <f>IF(ISBLANK('ENGAGEMENTS 2026'!B1523),"",'ENGAGEMENTS 2026'!L1523)</f>
        <v/>
      </c>
      <c r="H1523">
        <f>IF(ISBLANK('ENGAGEMENTS 2026'!B1523),"",'ENGAGEMENTS 2026'!AE1523)</f>
        <v/>
      </c>
      <c r="I1523">
        <f>IF(ISBLANK('ENGAGEMENTS 2026'!B1523),"",'ENGAGEMENTS 2026'!G1523)</f>
        <v/>
      </c>
      <c r="J1523" s="275">
        <f>IF(ISBLANK('ENGAGEMENTS 2026'!B1523),"",IF(AND(OR($E1523="INFRUCTUEUX",$E1523="ANNULE"),$C1523="AOO-M"),'ENGAGEMENTS 2026'!O1523,IF($H1523="EN COURS DE PREENGAGEMENT",'ENGAGEMENTS 2026'!N1523,IF($H1523="PREENGAGE",IF($E1523="ATTRIBUE",'ENGAGEMENTS 2026'!AD1523,'ENGAGEMENTS 2026'!N1523),'ENGAGEMENTS 2026'!AD1523))))</f>
        <v/>
      </c>
      <c r="K1523" s="604">
        <f>IF(ISBLANK('ENGAGEMENTS 2026'!V1523),"",'ENGAGEMENTS 2026'!V1523)</f>
        <v/>
      </c>
      <c r="L1523" s="276">
        <f>IF($K1523="","",TODAY()-$K1523)</f>
        <v/>
      </c>
      <c r="M1523">
        <f>IF($A1523="","",IF($H1523="ENGAGE","Engagé",IF(AND($H1523="NON ENGAGE",OR($I1523="INFRUCTUEUX",$I1523="ANNULE")),"Clôturé sans suite","En cours")))</f>
        <v/>
      </c>
      <c r="N1523">
        <f>IF(ISBLANK('ENGAGEMENTS 2026'!B1523),"",'ENGAGEMENTS 2026'!K1523)</f>
        <v/>
      </c>
      <c r="O1523">
        <f>IF(ISBLANK('ENGAGEMENTS 2026'!B1523),"",'ENGAGEMENTS 2026'!L1523)</f>
        <v/>
      </c>
      <c r="P1523">
        <f>IF(ISBLANK('ENGAGEMENTS 2026'!B1523),"",'ENGAGEMENTS 2026'!J1523)</f>
        <v/>
      </c>
      <c r="Q1523">
        <f>IF($A1523="","",IF(OR($E1523="INFRUCTUEUX",$E1523="ANNULE"),$A1523&amp;"|"&amp;(COUNTIFS($A$2:$A1523,$A1523,$E$2:$E1523,"INFRUCTUEUX")+COUNTIFS($A$2:$A1523,$A1523,$E$2:$E1523,"ANNULE")),""))</f>
        <v/>
      </c>
    </row>
    <row r="1524">
      <c r="A1524">
        <f>IF(ISBLANK('ENGAGEMENTS 2026'!B1524),"",IF('ENGAGEMENTS 2026'!B1524="DTSI","DCT",'ENGAGEMENTS 2026'!B1524))</f>
        <v/>
      </c>
      <c r="B1524">
        <f>IF(ISBLANK('ENGAGEMENTS 2026'!B1524),"",'ENGAGEMENTS 2026'!C1524)</f>
        <v/>
      </c>
      <c r="C1524">
        <f>IF(ISBLANK('ENGAGEMENTS 2026'!B1524),"",'ENGAGEMENTS 2026'!D1524)</f>
        <v/>
      </c>
      <c r="D1524">
        <f>IF(ISBLANK('ENGAGEMENTS 2026'!B1524),"",'ENGAGEMENTS 2026'!F1524)</f>
        <v/>
      </c>
      <c r="E1524">
        <f>IF(ISBLANK('ENGAGEMENTS 2026'!B1524),"",'ENGAGEMENTS 2026'!H1524)</f>
        <v/>
      </c>
      <c r="F1524">
        <f>IF(ISBLANK('ENGAGEMENTS 2026'!B1524),"",'ENGAGEMENTS 2026'!I1524)</f>
        <v/>
      </c>
      <c r="G1524">
        <f>IF(ISBLANK('ENGAGEMENTS 2026'!B1524),"",'ENGAGEMENTS 2026'!L1524)</f>
        <v/>
      </c>
      <c r="H1524">
        <f>IF(ISBLANK('ENGAGEMENTS 2026'!B1524),"",'ENGAGEMENTS 2026'!AE1524)</f>
        <v/>
      </c>
      <c r="I1524">
        <f>IF(ISBLANK('ENGAGEMENTS 2026'!B1524),"",'ENGAGEMENTS 2026'!G1524)</f>
        <v/>
      </c>
      <c r="J1524" s="275">
        <f>IF(ISBLANK('ENGAGEMENTS 2026'!B1524),"",IF(AND(OR($E1524="INFRUCTUEUX",$E1524="ANNULE"),$C1524="AOO-M"),'ENGAGEMENTS 2026'!O1524,IF($H1524="EN COURS DE PREENGAGEMENT",'ENGAGEMENTS 2026'!N1524,IF($H1524="PREENGAGE",IF($E1524="ATTRIBUE",'ENGAGEMENTS 2026'!AD1524,'ENGAGEMENTS 2026'!N1524),'ENGAGEMENTS 2026'!AD1524))))</f>
        <v/>
      </c>
      <c r="K1524" s="604">
        <f>IF(ISBLANK('ENGAGEMENTS 2026'!V1524),"",'ENGAGEMENTS 2026'!V1524)</f>
        <v/>
      </c>
      <c r="L1524" s="276">
        <f>IF($K1524="","",TODAY()-$K1524)</f>
        <v/>
      </c>
      <c r="M1524">
        <f>IF($A1524="","",IF($H1524="ENGAGE","Engagé",IF(AND($H1524="NON ENGAGE",OR($I1524="INFRUCTUEUX",$I1524="ANNULE")),"Clôturé sans suite","En cours")))</f>
        <v/>
      </c>
      <c r="N1524">
        <f>IF(ISBLANK('ENGAGEMENTS 2026'!B1524),"",'ENGAGEMENTS 2026'!K1524)</f>
        <v/>
      </c>
      <c r="O1524">
        <f>IF(ISBLANK('ENGAGEMENTS 2026'!B1524),"",'ENGAGEMENTS 2026'!L1524)</f>
        <v/>
      </c>
      <c r="P1524">
        <f>IF(ISBLANK('ENGAGEMENTS 2026'!B1524),"",'ENGAGEMENTS 2026'!J1524)</f>
        <v/>
      </c>
      <c r="Q1524">
        <f>IF($A1524="","",IF(OR($E1524="INFRUCTUEUX",$E1524="ANNULE"),$A1524&amp;"|"&amp;(COUNTIFS($A$2:$A1524,$A1524,$E$2:$E1524,"INFRUCTUEUX")+COUNTIFS($A$2:$A1524,$A1524,$E$2:$E1524,"ANNULE")),""))</f>
        <v/>
      </c>
    </row>
    <row r="1525">
      <c r="A1525">
        <f>IF(ISBLANK('ENGAGEMENTS 2026'!B1525),"",IF('ENGAGEMENTS 2026'!B1525="DTSI","DCT",'ENGAGEMENTS 2026'!B1525))</f>
        <v/>
      </c>
      <c r="B1525">
        <f>IF(ISBLANK('ENGAGEMENTS 2026'!B1525),"",'ENGAGEMENTS 2026'!C1525)</f>
        <v/>
      </c>
      <c r="C1525">
        <f>IF(ISBLANK('ENGAGEMENTS 2026'!B1525),"",'ENGAGEMENTS 2026'!D1525)</f>
        <v/>
      </c>
      <c r="D1525">
        <f>IF(ISBLANK('ENGAGEMENTS 2026'!B1525),"",'ENGAGEMENTS 2026'!F1525)</f>
        <v/>
      </c>
      <c r="E1525">
        <f>IF(ISBLANK('ENGAGEMENTS 2026'!B1525),"",'ENGAGEMENTS 2026'!H1525)</f>
        <v/>
      </c>
      <c r="F1525">
        <f>IF(ISBLANK('ENGAGEMENTS 2026'!B1525),"",'ENGAGEMENTS 2026'!I1525)</f>
        <v/>
      </c>
      <c r="G1525">
        <f>IF(ISBLANK('ENGAGEMENTS 2026'!B1525),"",'ENGAGEMENTS 2026'!L1525)</f>
        <v/>
      </c>
      <c r="H1525">
        <f>IF(ISBLANK('ENGAGEMENTS 2026'!B1525),"",'ENGAGEMENTS 2026'!AE1525)</f>
        <v/>
      </c>
      <c r="I1525">
        <f>IF(ISBLANK('ENGAGEMENTS 2026'!B1525),"",'ENGAGEMENTS 2026'!G1525)</f>
        <v/>
      </c>
      <c r="J1525" s="275">
        <f>IF(ISBLANK('ENGAGEMENTS 2026'!B1525),"",IF(AND(OR($E1525="INFRUCTUEUX",$E1525="ANNULE"),$C1525="AOO-M"),'ENGAGEMENTS 2026'!O1525,IF($H1525="EN COURS DE PREENGAGEMENT",'ENGAGEMENTS 2026'!N1525,IF($H1525="PREENGAGE",IF($E1525="ATTRIBUE",'ENGAGEMENTS 2026'!AD1525,'ENGAGEMENTS 2026'!N1525),'ENGAGEMENTS 2026'!AD1525))))</f>
        <v/>
      </c>
      <c r="K1525" s="604">
        <f>IF(ISBLANK('ENGAGEMENTS 2026'!V1525),"",'ENGAGEMENTS 2026'!V1525)</f>
        <v/>
      </c>
      <c r="L1525" s="276">
        <f>IF($K1525="","",TODAY()-$K1525)</f>
        <v/>
      </c>
      <c r="M1525">
        <f>IF($A1525="","",IF($H1525="ENGAGE","Engagé",IF(AND($H1525="NON ENGAGE",OR($I1525="INFRUCTUEUX",$I1525="ANNULE")),"Clôturé sans suite","En cours")))</f>
        <v/>
      </c>
      <c r="N1525">
        <f>IF(ISBLANK('ENGAGEMENTS 2026'!B1525),"",'ENGAGEMENTS 2026'!K1525)</f>
        <v/>
      </c>
      <c r="O1525">
        <f>IF(ISBLANK('ENGAGEMENTS 2026'!B1525),"",'ENGAGEMENTS 2026'!L1525)</f>
        <v/>
      </c>
      <c r="P1525">
        <f>IF(ISBLANK('ENGAGEMENTS 2026'!B1525),"",'ENGAGEMENTS 2026'!J1525)</f>
        <v/>
      </c>
      <c r="Q1525">
        <f>IF($A1525="","",IF(OR($E1525="INFRUCTUEUX",$E1525="ANNULE"),$A1525&amp;"|"&amp;(COUNTIFS($A$2:$A1525,$A1525,$E$2:$E1525,"INFRUCTUEUX")+COUNTIFS($A$2:$A1525,$A1525,$E$2:$E1525,"ANNULE")),""))</f>
        <v/>
      </c>
    </row>
    <row r="1526">
      <c r="A1526">
        <f>IF(ISBLANK('ENGAGEMENTS 2026'!B1526),"",IF('ENGAGEMENTS 2026'!B1526="DTSI","DCT",'ENGAGEMENTS 2026'!B1526))</f>
        <v/>
      </c>
      <c r="B1526">
        <f>IF(ISBLANK('ENGAGEMENTS 2026'!B1526),"",'ENGAGEMENTS 2026'!C1526)</f>
        <v/>
      </c>
      <c r="C1526">
        <f>IF(ISBLANK('ENGAGEMENTS 2026'!B1526),"",'ENGAGEMENTS 2026'!D1526)</f>
        <v/>
      </c>
      <c r="D1526">
        <f>IF(ISBLANK('ENGAGEMENTS 2026'!B1526),"",'ENGAGEMENTS 2026'!F1526)</f>
        <v/>
      </c>
      <c r="E1526">
        <f>IF(ISBLANK('ENGAGEMENTS 2026'!B1526),"",'ENGAGEMENTS 2026'!H1526)</f>
        <v/>
      </c>
      <c r="F1526">
        <f>IF(ISBLANK('ENGAGEMENTS 2026'!B1526),"",'ENGAGEMENTS 2026'!I1526)</f>
        <v/>
      </c>
      <c r="G1526">
        <f>IF(ISBLANK('ENGAGEMENTS 2026'!B1526),"",'ENGAGEMENTS 2026'!L1526)</f>
        <v/>
      </c>
      <c r="H1526">
        <f>IF(ISBLANK('ENGAGEMENTS 2026'!B1526),"",'ENGAGEMENTS 2026'!AE1526)</f>
        <v/>
      </c>
      <c r="I1526">
        <f>IF(ISBLANK('ENGAGEMENTS 2026'!B1526),"",'ENGAGEMENTS 2026'!G1526)</f>
        <v/>
      </c>
      <c r="J1526" s="275">
        <f>IF(ISBLANK('ENGAGEMENTS 2026'!B1526),"",IF(AND(OR($E1526="INFRUCTUEUX",$E1526="ANNULE"),$C1526="AOO-M"),'ENGAGEMENTS 2026'!O1526,IF($H1526="EN COURS DE PREENGAGEMENT",'ENGAGEMENTS 2026'!N1526,IF($H1526="PREENGAGE",IF($E1526="ATTRIBUE",'ENGAGEMENTS 2026'!AD1526,'ENGAGEMENTS 2026'!N1526),'ENGAGEMENTS 2026'!AD1526))))</f>
        <v/>
      </c>
      <c r="K1526" s="604">
        <f>IF(ISBLANK('ENGAGEMENTS 2026'!V1526),"",'ENGAGEMENTS 2026'!V1526)</f>
        <v/>
      </c>
      <c r="L1526" s="276">
        <f>IF($K1526="","",TODAY()-$K1526)</f>
        <v/>
      </c>
      <c r="M1526">
        <f>IF($A1526="","",IF($H1526="ENGAGE","Engagé",IF(AND($H1526="NON ENGAGE",OR($I1526="INFRUCTUEUX",$I1526="ANNULE")),"Clôturé sans suite","En cours")))</f>
        <v/>
      </c>
      <c r="N1526">
        <f>IF(ISBLANK('ENGAGEMENTS 2026'!B1526),"",'ENGAGEMENTS 2026'!K1526)</f>
        <v/>
      </c>
      <c r="O1526">
        <f>IF(ISBLANK('ENGAGEMENTS 2026'!B1526),"",'ENGAGEMENTS 2026'!L1526)</f>
        <v/>
      </c>
      <c r="P1526">
        <f>IF(ISBLANK('ENGAGEMENTS 2026'!B1526),"",'ENGAGEMENTS 2026'!J1526)</f>
        <v/>
      </c>
      <c r="Q1526">
        <f>IF($A1526="","",IF(OR($E1526="INFRUCTUEUX",$E1526="ANNULE"),$A1526&amp;"|"&amp;(COUNTIFS($A$2:$A1526,$A1526,$E$2:$E1526,"INFRUCTUEUX")+COUNTIFS($A$2:$A1526,$A1526,$E$2:$E1526,"ANNULE")),""))</f>
        <v/>
      </c>
    </row>
    <row r="1527">
      <c r="A1527">
        <f>IF(ISBLANK('ENGAGEMENTS 2026'!B1527),"",IF('ENGAGEMENTS 2026'!B1527="DTSI","DCT",'ENGAGEMENTS 2026'!B1527))</f>
        <v/>
      </c>
      <c r="B1527">
        <f>IF(ISBLANK('ENGAGEMENTS 2026'!B1527),"",'ENGAGEMENTS 2026'!C1527)</f>
        <v/>
      </c>
      <c r="C1527">
        <f>IF(ISBLANK('ENGAGEMENTS 2026'!B1527),"",'ENGAGEMENTS 2026'!D1527)</f>
        <v/>
      </c>
      <c r="D1527">
        <f>IF(ISBLANK('ENGAGEMENTS 2026'!B1527),"",'ENGAGEMENTS 2026'!F1527)</f>
        <v/>
      </c>
      <c r="E1527">
        <f>IF(ISBLANK('ENGAGEMENTS 2026'!B1527),"",'ENGAGEMENTS 2026'!H1527)</f>
        <v/>
      </c>
      <c r="F1527">
        <f>IF(ISBLANK('ENGAGEMENTS 2026'!B1527),"",'ENGAGEMENTS 2026'!I1527)</f>
        <v/>
      </c>
      <c r="G1527">
        <f>IF(ISBLANK('ENGAGEMENTS 2026'!B1527),"",'ENGAGEMENTS 2026'!L1527)</f>
        <v/>
      </c>
      <c r="H1527">
        <f>IF(ISBLANK('ENGAGEMENTS 2026'!B1527),"",'ENGAGEMENTS 2026'!AE1527)</f>
        <v/>
      </c>
      <c r="I1527">
        <f>IF(ISBLANK('ENGAGEMENTS 2026'!B1527),"",'ENGAGEMENTS 2026'!G1527)</f>
        <v/>
      </c>
      <c r="J1527" s="275">
        <f>IF(ISBLANK('ENGAGEMENTS 2026'!B1527),"",IF(AND(OR($E1527="INFRUCTUEUX",$E1527="ANNULE"),$C1527="AOO-M"),'ENGAGEMENTS 2026'!O1527,IF($H1527="EN COURS DE PREENGAGEMENT",'ENGAGEMENTS 2026'!N1527,IF($H1527="PREENGAGE",IF($E1527="ATTRIBUE",'ENGAGEMENTS 2026'!AD1527,'ENGAGEMENTS 2026'!N1527),'ENGAGEMENTS 2026'!AD1527))))</f>
        <v/>
      </c>
      <c r="K1527" s="604">
        <f>IF(ISBLANK('ENGAGEMENTS 2026'!V1527),"",'ENGAGEMENTS 2026'!V1527)</f>
        <v/>
      </c>
      <c r="L1527" s="276">
        <f>IF($K1527="","",TODAY()-$K1527)</f>
        <v/>
      </c>
      <c r="M1527">
        <f>IF($A1527="","",IF($H1527="ENGAGE","Engagé",IF(AND($H1527="NON ENGAGE",OR($I1527="INFRUCTUEUX",$I1527="ANNULE")),"Clôturé sans suite","En cours")))</f>
        <v/>
      </c>
      <c r="N1527">
        <f>IF(ISBLANK('ENGAGEMENTS 2026'!B1527),"",'ENGAGEMENTS 2026'!K1527)</f>
        <v/>
      </c>
      <c r="O1527">
        <f>IF(ISBLANK('ENGAGEMENTS 2026'!B1527),"",'ENGAGEMENTS 2026'!L1527)</f>
        <v/>
      </c>
      <c r="P1527">
        <f>IF(ISBLANK('ENGAGEMENTS 2026'!B1527),"",'ENGAGEMENTS 2026'!J1527)</f>
        <v/>
      </c>
      <c r="Q1527">
        <f>IF($A1527="","",IF(OR($E1527="INFRUCTUEUX",$E1527="ANNULE"),$A1527&amp;"|"&amp;(COUNTIFS($A$2:$A1527,$A1527,$E$2:$E1527,"INFRUCTUEUX")+COUNTIFS($A$2:$A1527,$A1527,$E$2:$E1527,"ANNULE")),""))</f>
        <v/>
      </c>
    </row>
    <row r="1528">
      <c r="A1528">
        <f>IF(ISBLANK('ENGAGEMENTS 2026'!B1528),"",IF('ENGAGEMENTS 2026'!B1528="DTSI","DCT",'ENGAGEMENTS 2026'!B1528))</f>
        <v/>
      </c>
      <c r="B1528">
        <f>IF(ISBLANK('ENGAGEMENTS 2026'!B1528),"",'ENGAGEMENTS 2026'!C1528)</f>
        <v/>
      </c>
      <c r="C1528">
        <f>IF(ISBLANK('ENGAGEMENTS 2026'!B1528),"",'ENGAGEMENTS 2026'!D1528)</f>
        <v/>
      </c>
      <c r="D1528">
        <f>IF(ISBLANK('ENGAGEMENTS 2026'!B1528),"",'ENGAGEMENTS 2026'!F1528)</f>
        <v/>
      </c>
      <c r="E1528">
        <f>IF(ISBLANK('ENGAGEMENTS 2026'!B1528),"",'ENGAGEMENTS 2026'!H1528)</f>
        <v/>
      </c>
      <c r="F1528">
        <f>IF(ISBLANK('ENGAGEMENTS 2026'!B1528),"",'ENGAGEMENTS 2026'!I1528)</f>
        <v/>
      </c>
      <c r="G1528">
        <f>IF(ISBLANK('ENGAGEMENTS 2026'!B1528),"",'ENGAGEMENTS 2026'!L1528)</f>
        <v/>
      </c>
      <c r="H1528">
        <f>IF(ISBLANK('ENGAGEMENTS 2026'!B1528),"",'ENGAGEMENTS 2026'!AE1528)</f>
        <v/>
      </c>
      <c r="I1528">
        <f>IF(ISBLANK('ENGAGEMENTS 2026'!B1528),"",'ENGAGEMENTS 2026'!G1528)</f>
        <v/>
      </c>
      <c r="J1528" s="275">
        <f>IF(ISBLANK('ENGAGEMENTS 2026'!B1528),"",IF(AND(OR($E1528="INFRUCTUEUX",$E1528="ANNULE"),$C1528="AOO-M"),'ENGAGEMENTS 2026'!O1528,IF($H1528="EN COURS DE PREENGAGEMENT",'ENGAGEMENTS 2026'!N1528,IF($H1528="PREENGAGE",IF($E1528="ATTRIBUE",'ENGAGEMENTS 2026'!AD1528,'ENGAGEMENTS 2026'!N1528),'ENGAGEMENTS 2026'!AD1528))))</f>
        <v/>
      </c>
      <c r="K1528" s="604">
        <f>IF(ISBLANK('ENGAGEMENTS 2026'!V1528),"",'ENGAGEMENTS 2026'!V1528)</f>
        <v/>
      </c>
      <c r="L1528" s="276">
        <f>IF($K1528="","",TODAY()-$K1528)</f>
        <v/>
      </c>
      <c r="M1528">
        <f>IF($A1528="","",IF($H1528="ENGAGE","Engagé",IF(AND($H1528="NON ENGAGE",OR($I1528="INFRUCTUEUX",$I1528="ANNULE")),"Clôturé sans suite","En cours")))</f>
        <v/>
      </c>
      <c r="N1528">
        <f>IF(ISBLANK('ENGAGEMENTS 2026'!B1528),"",'ENGAGEMENTS 2026'!K1528)</f>
        <v/>
      </c>
      <c r="O1528">
        <f>IF(ISBLANK('ENGAGEMENTS 2026'!B1528),"",'ENGAGEMENTS 2026'!L1528)</f>
        <v/>
      </c>
      <c r="P1528">
        <f>IF(ISBLANK('ENGAGEMENTS 2026'!B1528),"",'ENGAGEMENTS 2026'!J1528)</f>
        <v/>
      </c>
      <c r="Q1528">
        <f>IF($A1528="","",IF(OR($E1528="INFRUCTUEUX",$E1528="ANNULE"),$A1528&amp;"|"&amp;(COUNTIFS($A$2:$A1528,$A1528,$E$2:$E1528,"INFRUCTUEUX")+COUNTIFS($A$2:$A1528,$A1528,$E$2:$E1528,"ANNULE")),""))</f>
        <v/>
      </c>
    </row>
    <row r="1529">
      <c r="A1529">
        <f>IF(ISBLANK('ENGAGEMENTS 2026'!B1529),"",IF('ENGAGEMENTS 2026'!B1529="DTSI","DCT",'ENGAGEMENTS 2026'!B1529))</f>
        <v/>
      </c>
      <c r="B1529">
        <f>IF(ISBLANK('ENGAGEMENTS 2026'!B1529),"",'ENGAGEMENTS 2026'!C1529)</f>
        <v/>
      </c>
      <c r="C1529">
        <f>IF(ISBLANK('ENGAGEMENTS 2026'!B1529),"",'ENGAGEMENTS 2026'!D1529)</f>
        <v/>
      </c>
      <c r="D1529">
        <f>IF(ISBLANK('ENGAGEMENTS 2026'!B1529),"",'ENGAGEMENTS 2026'!F1529)</f>
        <v/>
      </c>
      <c r="E1529">
        <f>IF(ISBLANK('ENGAGEMENTS 2026'!B1529),"",'ENGAGEMENTS 2026'!H1529)</f>
        <v/>
      </c>
      <c r="F1529">
        <f>IF(ISBLANK('ENGAGEMENTS 2026'!B1529),"",'ENGAGEMENTS 2026'!I1529)</f>
        <v/>
      </c>
      <c r="G1529">
        <f>IF(ISBLANK('ENGAGEMENTS 2026'!B1529),"",'ENGAGEMENTS 2026'!L1529)</f>
        <v/>
      </c>
      <c r="H1529">
        <f>IF(ISBLANK('ENGAGEMENTS 2026'!B1529),"",'ENGAGEMENTS 2026'!AE1529)</f>
        <v/>
      </c>
      <c r="I1529">
        <f>IF(ISBLANK('ENGAGEMENTS 2026'!B1529),"",'ENGAGEMENTS 2026'!G1529)</f>
        <v/>
      </c>
      <c r="J1529" s="275">
        <f>IF(ISBLANK('ENGAGEMENTS 2026'!B1529),"",IF(AND(OR($E1529="INFRUCTUEUX",$E1529="ANNULE"),$C1529="AOO-M"),'ENGAGEMENTS 2026'!O1529,IF($H1529="EN COURS DE PREENGAGEMENT",'ENGAGEMENTS 2026'!N1529,IF($H1529="PREENGAGE",IF($E1529="ATTRIBUE",'ENGAGEMENTS 2026'!AD1529,'ENGAGEMENTS 2026'!N1529),'ENGAGEMENTS 2026'!AD1529))))</f>
        <v/>
      </c>
      <c r="K1529" s="604">
        <f>IF(ISBLANK('ENGAGEMENTS 2026'!V1529),"",'ENGAGEMENTS 2026'!V1529)</f>
        <v/>
      </c>
      <c r="L1529" s="276">
        <f>IF($K1529="","",TODAY()-$K1529)</f>
        <v/>
      </c>
      <c r="M1529">
        <f>IF($A1529="","",IF($H1529="ENGAGE","Engagé",IF(AND($H1529="NON ENGAGE",OR($I1529="INFRUCTUEUX",$I1529="ANNULE")),"Clôturé sans suite","En cours")))</f>
        <v/>
      </c>
      <c r="N1529">
        <f>IF(ISBLANK('ENGAGEMENTS 2026'!B1529),"",'ENGAGEMENTS 2026'!K1529)</f>
        <v/>
      </c>
      <c r="O1529">
        <f>IF(ISBLANK('ENGAGEMENTS 2026'!B1529),"",'ENGAGEMENTS 2026'!L1529)</f>
        <v/>
      </c>
      <c r="P1529">
        <f>IF(ISBLANK('ENGAGEMENTS 2026'!B1529),"",'ENGAGEMENTS 2026'!J1529)</f>
        <v/>
      </c>
      <c r="Q1529">
        <f>IF($A1529="","",IF(OR($E1529="INFRUCTUEUX",$E1529="ANNULE"),$A1529&amp;"|"&amp;(COUNTIFS($A$2:$A1529,$A1529,$E$2:$E1529,"INFRUCTUEUX")+COUNTIFS($A$2:$A1529,$A1529,$E$2:$E1529,"ANNULE")),""))</f>
        <v/>
      </c>
    </row>
    <row r="1530">
      <c r="A1530">
        <f>IF(ISBLANK('ENGAGEMENTS 2026'!B1530),"",IF('ENGAGEMENTS 2026'!B1530="DTSI","DCT",'ENGAGEMENTS 2026'!B1530))</f>
        <v/>
      </c>
      <c r="B1530">
        <f>IF(ISBLANK('ENGAGEMENTS 2026'!B1530),"",'ENGAGEMENTS 2026'!C1530)</f>
        <v/>
      </c>
      <c r="C1530">
        <f>IF(ISBLANK('ENGAGEMENTS 2026'!B1530),"",'ENGAGEMENTS 2026'!D1530)</f>
        <v/>
      </c>
      <c r="D1530">
        <f>IF(ISBLANK('ENGAGEMENTS 2026'!B1530),"",'ENGAGEMENTS 2026'!F1530)</f>
        <v/>
      </c>
      <c r="E1530">
        <f>IF(ISBLANK('ENGAGEMENTS 2026'!B1530),"",'ENGAGEMENTS 2026'!H1530)</f>
        <v/>
      </c>
      <c r="F1530">
        <f>IF(ISBLANK('ENGAGEMENTS 2026'!B1530),"",'ENGAGEMENTS 2026'!I1530)</f>
        <v/>
      </c>
      <c r="G1530">
        <f>IF(ISBLANK('ENGAGEMENTS 2026'!B1530),"",'ENGAGEMENTS 2026'!L1530)</f>
        <v/>
      </c>
      <c r="H1530">
        <f>IF(ISBLANK('ENGAGEMENTS 2026'!B1530),"",'ENGAGEMENTS 2026'!AE1530)</f>
        <v/>
      </c>
      <c r="I1530">
        <f>IF(ISBLANK('ENGAGEMENTS 2026'!B1530),"",'ENGAGEMENTS 2026'!G1530)</f>
        <v/>
      </c>
      <c r="J1530" s="275">
        <f>IF(ISBLANK('ENGAGEMENTS 2026'!B1530),"",IF(AND(OR($E1530="INFRUCTUEUX",$E1530="ANNULE"),$C1530="AOO-M"),'ENGAGEMENTS 2026'!O1530,IF($H1530="EN COURS DE PREENGAGEMENT",'ENGAGEMENTS 2026'!N1530,IF($H1530="PREENGAGE",IF($E1530="ATTRIBUE",'ENGAGEMENTS 2026'!AD1530,'ENGAGEMENTS 2026'!N1530),'ENGAGEMENTS 2026'!AD1530))))</f>
        <v/>
      </c>
      <c r="K1530" s="604">
        <f>IF(ISBLANK('ENGAGEMENTS 2026'!V1530),"",'ENGAGEMENTS 2026'!V1530)</f>
        <v/>
      </c>
      <c r="L1530" s="276">
        <f>IF($K1530="","",TODAY()-$K1530)</f>
        <v/>
      </c>
      <c r="M1530">
        <f>IF($A1530="","",IF($H1530="ENGAGE","Engagé",IF(AND($H1530="NON ENGAGE",OR($I1530="INFRUCTUEUX",$I1530="ANNULE")),"Clôturé sans suite","En cours")))</f>
        <v/>
      </c>
      <c r="N1530">
        <f>IF(ISBLANK('ENGAGEMENTS 2026'!B1530),"",'ENGAGEMENTS 2026'!K1530)</f>
        <v/>
      </c>
      <c r="O1530">
        <f>IF(ISBLANK('ENGAGEMENTS 2026'!B1530),"",'ENGAGEMENTS 2026'!L1530)</f>
        <v/>
      </c>
      <c r="P1530">
        <f>IF(ISBLANK('ENGAGEMENTS 2026'!B1530),"",'ENGAGEMENTS 2026'!J1530)</f>
        <v/>
      </c>
      <c r="Q1530">
        <f>IF($A1530="","",IF(OR($E1530="INFRUCTUEUX",$E1530="ANNULE"),$A1530&amp;"|"&amp;(COUNTIFS($A$2:$A1530,$A1530,$E$2:$E1530,"INFRUCTUEUX")+COUNTIFS($A$2:$A1530,$A1530,$E$2:$E1530,"ANNULE")),""))</f>
        <v/>
      </c>
    </row>
    <row r="1531">
      <c r="A1531">
        <f>IF(ISBLANK('ENGAGEMENTS 2026'!B1531),"",IF('ENGAGEMENTS 2026'!B1531="DTSI","DCT",'ENGAGEMENTS 2026'!B1531))</f>
        <v/>
      </c>
      <c r="B1531">
        <f>IF(ISBLANK('ENGAGEMENTS 2026'!B1531),"",'ENGAGEMENTS 2026'!C1531)</f>
        <v/>
      </c>
      <c r="C1531">
        <f>IF(ISBLANK('ENGAGEMENTS 2026'!B1531),"",'ENGAGEMENTS 2026'!D1531)</f>
        <v/>
      </c>
      <c r="D1531">
        <f>IF(ISBLANK('ENGAGEMENTS 2026'!B1531),"",'ENGAGEMENTS 2026'!F1531)</f>
        <v/>
      </c>
      <c r="E1531">
        <f>IF(ISBLANK('ENGAGEMENTS 2026'!B1531),"",'ENGAGEMENTS 2026'!H1531)</f>
        <v/>
      </c>
      <c r="F1531">
        <f>IF(ISBLANK('ENGAGEMENTS 2026'!B1531),"",'ENGAGEMENTS 2026'!I1531)</f>
        <v/>
      </c>
      <c r="G1531">
        <f>IF(ISBLANK('ENGAGEMENTS 2026'!B1531),"",'ENGAGEMENTS 2026'!L1531)</f>
        <v/>
      </c>
      <c r="H1531">
        <f>IF(ISBLANK('ENGAGEMENTS 2026'!B1531),"",'ENGAGEMENTS 2026'!AE1531)</f>
        <v/>
      </c>
      <c r="I1531">
        <f>IF(ISBLANK('ENGAGEMENTS 2026'!B1531),"",'ENGAGEMENTS 2026'!G1531)</f>
        <v/>
      </c>
      <c r="J1531" s="275">
        <f>IF(ISBLANK('ENGAGEMENTS 2026'!B1531),"",IF(AND(OR($E1531="INFRUCTUEUX",$E1531="ANNULE"),$C1531="AOO-M"),'ENGAGEMENTS 2026'!O1531,IF($H1531="EN COURS DE PREENGAGEMENT",'ENGAGEMENTS 2026'!N1531,IF($H1531="PREENGAGE",IF($E1531="ATTRIBUE",'ENGAGEMENTS 2026'!AD1531,'ENGAGEMENTS 2026'!N1531),'ENGAGEMENTS 2026'!AD1531))))</f>
        <v/>
      </c>
      <c r="K1531" s="604">
        <f>IF(ISBLANK('ENGAGEMENTS 2026'!V1531),"",'ENGAGEMENTS 2026'!V1531)</f>
        <v/>
      </c>
      <c r="L1531" s="276">
        <f>IF($K1531="","",TODAY()-$K1531)</f>
        <v/>
      </c>
      <c r="M1531">
        <f>IF($A1531="","",IF($H1531="ENGAGE","Engagé",IF(AND($H1531="NON ENGAGE",OR($I1531="INFRUCTUEUX",$I1531="ANNULE")),"Clôturé sans suite","En cours")))</f>
        <v/>
      </c>
      <c r="N1531">
        <f>IF(ISBLANK('ENGAGEMENTS 2026'!B1531),"",'ENGAGEMENTS 2026'!K1531)</f>
        <v/>
      </c>
      <c r="O1531">
        <f>IF(ISBLANK('ENGAGEMENTS 2026'!B1531),"",'ENGAGEMENTS 2026'!L1531)</f>
        <v/>
      </c>
      <c r="P1531">
        <f>IF(ISBLANK('ENGAGEMENTS 2026'!B1531),"",'ENGAGEMENTS 2026'!J1531)</f>
        <v/>
      </c>
      <c r="Q1531">
        <f>IF($A1531="","",IF(OR($E1531="INFRUCTUEUX",$E1531="ANNULE"),$A1531&amp;"|"&amp;(COUNTIFS($A$2:$A1531,$A1531,$E$2:$E1531,"INFRUCTUEUX")+COUNTIFS($A$2:$A1531,$A1531,$E$2:$E1531,"ANNULE")),""))</f>
        <v/>
      </c>
    </row>
    <row r="1532">
      <c r="A1532">
        <f>IF(ISBLANK('ENGAGEMENTS 2026'!B1532),"",IF('ENGAGEMENTS 2026'!B1532="DTSI","DCT",'ENGAGEMENTS 2026'!B1532))</f>
        <v/>
      </c>
      <c r="B1532">
        <f>IF(ISBLANK('ENGAGEMENTS 2026'!B1532),"",'ENGAGEMENTS 2026'!C1532)</f>
        <v/>
      </c>
      <c r="C1532">
        <f>IF(ISBLANK('ENGAGEMENTS 2026'!B1532),"",'ENGAGEMENTS 2026'!D1532)</f>
        <v/>
      </c>
      <c r="D1532">
        <f>IF(ISBLANK('ENGAGEMENTS 2026'!B1532),"",'ENGAGEMENTS 2026'!F1532)</f>
        <v/>
      </c>
      <c r="E1532">
        <f>IF(ISBLANK('ENGAGEMENTS 2026'!B1532),"",'ENGAGEMENTS 2026'!H1532)</f>
        <v/>
      </c>
      <c r="F1532">
        <f>IF(ISBLANK('ENGAGEMENTS 2026'!B1532),"",'ENGAGEMENTS 2026'!I1532)</f>
        <v/>
      </c>
      <c r="G1532">
        <f>IF(ISBLANK('ENGAGEMENTS 2026'!B1532),"",'ENGAGEMENTS 2026'!L1532)</f>
        <v/>
      </c>
      <c r="H1532">
        <f>IF(ISBLANK('ENGAGEMENTS 2026'!B1532),"",'ENGAGEMENTS 2026'!AE1532)</f>
        <v/>
      </c>
      <c r="I1532">
        <f>IF(ISBLANK('ENGAGEMENTS 2026'!B1532),"",'ENGAGEMENTS 2026'!G1532)</f>
        <v/>
      </c>
      <c r="J1532" s="275">
        <f>IF(ISBLANK('ENGAGEMENTS 2026'!B1532),"",IF(AND(OR($E1532="INFRUCTUEUX",$E1532="ANNULE"),$C1532="AOO-M"),'ENGAGEMENTS 2026'!O1532,IF($H1532="EN COURS DE PREENGAGEMENT",'ENGAGEMENTS 2026'!N1532,IF($H1532="PREENGAGE",IF($E1532="ATTRIBUE",'ENGAGEMENTS 2026'!AD1532,'ENGAGEMENTS 2026'!N1532),'ENGAGEMENTS 2026'!AD1532))))</f>
        <v/>
      </c>
      <c r="K1532" s="604">
        <f>IF(ISBLANK('ENGAGEMENTS 2026'!V1532),"",'ENGAGEMENTS 2026'!V1532)</f>
        <v/>
      </c>
      <c r="L1532" s="276">
        <f>IF($K1532="","",TODAY()-$K1532)</f>
        <v/>
      </c>
      <c r="M1532">
        <f>IF($A1532="","",IF($H1532="ENGAGE","Engagé",IF(AND($H1532="NON ENGAGE",OR($I1532="INFRUCTUEUX",$I1532="ANNULE")),"Clôturé sans suite","En cours")))</f>
        <v/>
      </c>
      <c r="N1532">
        <f>IF(ISBLANK('ENGAGEMENTS 2026'!B1532),"",'ENGAGEMENTS 2026'!K1532)</f>
        <v/>
      </c>
      <c r="O1532">
        <f>IF(ISBLANK('ENGAGEMENTS 2026'!B1532),"",'ENGAGEMENTS 2026'!L1532)</f>
        <v/>
      </c>
      <c r="P1532">
        <f>IF(ISBLANK('ENGAGEMENTS 2026'!B1532),"",'ENGAGEMENTS 2026'!J1532)</f>
        <v/>
      </c>
      <c r="Q1532">
        <f>IF($A1532="","",IF(OR($E1532="INFRUCTUEUX",$E1532="ANNULE"),$A1532&amp;"|"&amp;(COUNTIFS($A$2:$A1532,$A1532,$E$2:$E1532,"INFRUCTUEUX")+COUNTIFS($A$2:$A1532,$A1532,$E$2:$E1532,"ANNULE")),""))</f>
        <v/>
      </c>
    </row>
    <row r="1533">
      <c r="A1533">
        <f>IF(ISBLANK('ENGAGEMENTS 2026'!B1533),"",IF('ENGAGEMENTS 2026'!B1533="DTSI","DCT",'ENGAGEMENTS 2026'!B1533))</f>
        <v/>
      </c>
      <c r="B1533">
        <f>IF(ISBLANK('ENGAGEMENTS 2026'!B1533),"",'ENGAGEMENTS 2026'!C1533)</f>
        <v/>
      </c>
      <c r="C1533">
        <f>IF(ISBLANK('ENGAGEMENTS 2026'!B1533),"",'ENGAGEMENTS 2026'!D1533)</f>
        <v/>
      </c>
      <c r="D1533">
        <f>IF(ISBLANK('ENGAGEMENTS 2026'!B1533),"",'ENGAGEMENTS 2026'!F1533)</f>
        <v/>
      </c>
      <c r="E1533">
        <f>IF(ISBLANK('ENGAGEMENTS 2026'!B1533),"",'ENGAGEMENTS 2026'!H1533)</f>
        <v/>
      </c>
      <c r="F1533">
        <f>IF(ISBLANK('ENGAGEMENTS 2026'!B1533),"",'ENGAGEMENTS 2026'!I1533)</f>
        <v/>
      </c>
      <c r="G1533">
        <f>IF(ISBLANK('ENGAGEMENTS 2026'!B1533),"",'ENGAGEMENTS 2026'!L1533)</f>
        <v/>
      </c>
      <c r="H1533">
        <f>IF(ISBLANK('ENGAGEMENTS 2026'!B1533),"",'ENGAGEMENTS 2026'!AE1533)</f>
        <v/>
      </c>
      <c r="I1533">
        <f>IF(ISBLANK('ENGAGEMENTS 2026'!B1533),"",'ENGAGEMENTS 2026'!G1533)</f>
        <v/>
      </c>
      <c r="J1533" s="275">
        <f>IF(ISBLANK('ENGAGEMENTS 2026'!B1533),"",IF(AND(OR($E1533="INFRUCTUEUX",$E1533="ANNULE"),$C1533="AOO-M"),'ENGAGEMENTS 2026'!O1533,IF($H1533="EN COURS DE PREENGAGEMENT",'ENGAGEMENTS 2026'!N1533,IF($H1533="PREENGAGE",IF($E1533="ATTRIBUE",'ENGAGEMENTS 2026'!AD1533,'ENGAGEMENTS 2026'!N1533),'ENGAGEMENTS 2026'!AD1533))))</f>
        <v/>
      </c>
      <c r="K1533" s="604">
        <f>IF(ISBLANK('ENGAGEMENTS 2026'!V1533),"",'ENGAGEMENTS 2026'!V1533)</f>
        <v/>
      </c>
      <c r="L1533" s="276">
        <f>IF($K1533="","",TODAY()-$K1533)</f>
        <v/>
      </c>
      <c r="M1533">
        <f>IF($A1533="","",IF($H1533="ENGAGE","Engagé",IF(AND($H1533="NON ENGAGE",OR($I1533="INFRUCTUEUX",$I1533="ANNULE")),"Clôturé sans suite","En cours")))</f>
        <v/>
      </c>
      <c r="N1533">
        <f>IF(ISBLANK('ENGAGEMENTS 2026'!B1533),"",'ENGAGEMENTS 2026'!K1533)</f>
        <v/>
      </c>
      <c r="O1533">
        <f>IF(ISBLANK('ENGAGEMENTS 2026'!B1533),"",'ENGAGEMENTS 2026'!L1533)</f>
        <v/>
      </c>
      <c r="P1533">
        <f>IF(ISBLANK('ENGAGEMENTS 2026'!B1533),"",'ENGAGEMENTS 2026'!J1533)</f>
        <v/>
      </c>
      <c r="Q1533">
        <f>IF($A1533="","",IF(OR($E1533="INFRUCTUEUX",$E1533="ANNULE"),$A1533&amp;"|"&amp;(COUNTIFS($A$2:$A1533,$A1533,$E$2:$E1533,"INFRUCTUEUX")+COUNTIFS($A$2:$A1533,$A1533,$E$2:$E1533,"ANNULE")),""))</f>
        <v/>
      </c>
    </row>
    <row r="1534">
      <c r="A1534">
        <f>IF(ISBLANK('ENGAGEMENTS 2026'!B1534),"",IF('ENGAGEMENTS 2026'!B1534="DTSI","DCT",'ENGAGEMENTS 2026'!B1534))</f>
        <v/>
      </c>
      <c r="B1534">
        <f>IF(ISBLANK('ENGAGEMENTS 2026'!B1534),"",'ENGAGEMENTS 2026'!C1534)</f>
        <v/>
      </c>
      <c r="C1534">
        <f>IF(ISBLANK('ENGAGEMENTS 2026'!B1534),"",'ENGAGEMENTS 2026'!D1534)</f>
        <v/>
      </c>
      <c r="D1534">
        <f>IF(ISBLANK('ENGAGEMENTS 2026'!B1534),"",'ENGAGEMENTS 2026'!F1534)</f>
        <v/>
      </c>
      <c r="E1534">
        <f>IF(ISBLANK('ENGAGEMENTS 2026'!B1534),"",'ENGAGEMENTS 2026'!H1534)</f>
        <v/>
      </c>
      <c r="F1534">
        <f>IF(ISBLANK('ENGAGEMENTS 2026'!B1534),"",'ENGAGEMENTS 2026'!I1534)</f>
        <v/>
      </c>
      <c r="G1534">
        <f>IF(ISBLANK('ENGAGEMENTS 2026'!B1534),"",'ENGAGEMENTS 2026'!L1534)</f>
        <v/>
      </c>
      <c r="H1534">
        <f>IF(ISBLANK('ENGAGEMENTS 2026'!B1534),"",'ENGAGEMENTS 2026'!AE1534)</f>
        <v/>
      </c>
      <c r="I1534">
        <f>IF(ISBLANK('ENGAGEMENTS 2026'!B1534),"",'ENGAGEMENTS 2026'!G1534)</f>
        <v/>
      </c>
      <c r="J1534" s="275">
        <f>IF(ISBLANK('ENGAGEMENTS 2026'!B1534),"",IF(AND(OR($E1534="INFRUCTUEUX",$E1534="ANNULE"),$C1534="AOO-M"),'ENGAGEMENTS 2026'!O1534,IF($H1534="EN COURS DE PREENGAGEMENT",'ENGAGEMENTS 2026'!N1534,IF($H1534="PREENGAGE",IF($E1534="ATTRIBUE",'ENGAGEMENTS 2026'!AD1534,'ENGAGEMENTS 2026'!N1534),'ENGAGEMENTS 2026'!AD1534))))</f>
        <v/>
      </c>
      <c r="K1534" s="604">
        <f>IF(ISBLANK('ENGAGEMENTS 2026'!V1534),"",'ENGAGEMENTS 2026'!V1534)</f>
        <v/>
      </c>
      <c r="L1534" s="276">
        <f>IF($K1534="","",TODAY()-$K1534)</f>
        <v/>
      </c>
      <c r="M1534">
        <f>IF($A1534="","",IF($H1534="ENGAGE","Engagé",IF(AND($H1534="NON ENGAGE",OR($I1534="INFRUCTUEUX",$I1534="ANNULE")),"Clôturé sans suite","En cours")))</f>
        <v/>
      </c>
      <c r="N1534">
        <f>IF(ISBLANK('ENGAGEMENTS 2026'!B1534),"",'ENGAGEMENTS 2026'!K1534)</f>
        <v/>
      </c>
      <c r="O1534">
        <f>IF(ISBLANK('ENGAGEMENTS 2026'!B1534),"",'ENGAGEMENTS 2026'!L1534)</f>
        <v/>
      </c>
      <c r="P1534">
        <f>IF(ISBLANK('ENGAGEMENTS 2026'!B1534),"",'ENGAGEMENTS 2026'!J1534)</f>
        <v/>
      </c>
      <c r="Q1534">
        <f>IF($A1534="","",IF(OR($E1534="INFRUCTUEUX",$E1534="ANNULE"),$A1534&amp;"|"&amp;(COUNTIFS($A$2:$A1534,$A1534,$E$2:$E1534,"INFRUCTUEUX")+COUNTIFS($A$2:$A1534,$A1534,$E$2:$E1534,"ANNULE")),""))</f>
        <v/>
      </c>
    </row>
    <row r="1535">
      <c r="A1535">
        <f>IF(ISBLANK('ENGAGEMENTS 2026'!B1535),"",IF('ENGAGEMENTS 2026'!B1535="DTSI","DCT",'ENGAGEMENTS 2026'!B1535))</f>
        <v/>
      </c>
      <c r="B1535">
        <f>IF(ISBLANK('ENGAGEMENTS 2026'!B1535),"",'ENGAGEMENTS 2026'!C1535)</f>
        <v/>
      </c>
      <c r="C1535">
        <f>IF(ISBLANK('ENGAGEMENTS 2026'!B1535),"",'ENGAGEMENTS 2026'!D1535)</f>
        <v/>
      </c>
      <c r="D1535">
        <f>IF(ISBLANK('ENGAGEMENTS 2026'!B1535),"",'ENGAGEMENTS 2026'!F1535)</f>
        <v/>
      </c>
      <c r="E1535">
        <f>IF(ISBLANK('ENGAGEMENTS 2026'!B1535),"",'ENGAGEMENTS 2026'!H1535)</f>
        <v/>
      </c>
      <c r="F1535">
        <f>IF(ISBLANK('ENGAGEMENTS 2026'!B1535),"",'ENGAGEMENTS 2026'!I1535)</f>
        <v/>
      </c>
      <c r="G1535">
        <f>IF(ISBLANK('ENGAGEMENTS 2026'!B1535),"",'ENGAGEMENTS 2026'!L1535)</f>
        <v/>
      </c>
      <c r="H1535">
        <f>IF(ISBLANK('ENGAGEMENTS 2026'!B1535),"",'ENGAGEMENTS 2026'!AE1535)</f>
        <v/>
      </c>
      <c r="I1535">
        <f>IF(ISBLANK('ENGAGEMENTS 2026'!B1535),"",'ENGAGEMENTS 2026'!G1535)</f>
        <v/>
      </c>
      <c r="J1535" s="275">
        <f>IF(ISBLANK('ENGAGEMENTS 2026'!B1535),"",IF(AND(OR($E1535="INFRUCTUEUX",$E1535="ANNULE"),$C1535="AOO-M"),'ENGAGEMENTS 2026'!O1535,IF($H1535="EN COURS DE PREENGAGEMENT",'ENGAGEMENTS 2026'!N1535,IF($H1535="PREENGAGE",IF($E1535="ATTRIBUE",'ENGAGEMENTS 2026'!AD1535,'ENGAGEMENTS 2026'!N1535),'ENGAGEMENTS 2026'!AD1535))))</f>
        <v/>
      </c>
      <c r="K1535" s="604">
        <f>IF(ISBLANK('ENGAGEMENTS 2026'!V1535),"",'ENGAGEMENTS 2026'!V1535)</f>
        <v/>
      </c>
      <c r="L1535" s="276">
        <f>IF($K1535="","",TODAY()-$K1535)</f>
        <v/>
      </c>
      <c r="M1535">
        <f>IF($A1535="","",IF($H1535="ENGAGE","Engagé",IF(AND($H1535="NON ENGAGE",OR($I1535="INFRUCTUEUX",$I1535="ANNULE")),"Clôturé sans suite","En cours")))</f>
        <v/>
      </c>
      <c r="N1535">
        <f>IF(ISBLANK('ENGAGEMENTS 2026'!B1535),"",'ENGAGEMENTS 2026'!K1535)</f>
        <v/>
      </c>
      <c r="O1535">
        <f>IF(ISBLANK('ENGAGEMENTS 2026'!B1535),"",'ENGAGEMENTS 2026'!L1535)</f>
        <v/>
      </c>
      <c r="P1535">
        <f>IF(ISBLANK('ENGAGEMENTS 2026'!B1535),"",'ENGAGEMENTS 2026'!J1535)</f>
        <v/>
      </c>
      <c r="Q1535">
        <f>IF($A1535="","",IF(OR($E1535="INFRUCTUEUX",$E1535="ANNULE"),$A1535&amp;"|"&amp;(COUNTIFS($A$2:$A1535,$A1535,$E$2:$E1535,"INFRUCTUEUX")+COUNTIFS($A$2:$A1535,$A1535,$E$2:$E1535,"ANNULE")),""))</f>
        <v/>
      </c>
    </row>
    <row r="1536">
      <c r="A1536">
        <f>IF(ISBLANK('ENGAGEMENTS 2026'!B1536),"",IF('ENGAGEMENTS 2026'!B1536="DTSI","DCT",'ENGAGEMENTS 2026'!B1536))</f>
        <v/>
      </c>
      <c r="B1536">
        <f>IF(ISBLANK('ENGAGEMENTS 2026'!B1536),"",'ENGAGEMENTS 2026'!C1536)</f>
        <v/>
      </c>
      <c r="C1536">
        <f>IF(ISBLANK('ENGAGEMENTS 2026'!B1536),"",'ENGAGEMENTS 2026'!D1536)</f>
        <v/>
      </c>
      <c r="D1536">
        <f>IF(ISBLANK('ENGAGEMENTS 2026'!B1536),"",'ENGAGEMENTS 2026'!F1536)</f>
        <v/>
      </c>
      <c r="E1536">
        <f>IF(ISBLANK('ENGAGEMENTS 2026'!B1536),"",'ENGAGEMENTS 2026'!H1536)</f>
        <v/>
      </c>
      <c r="F1536">
        <f>IF(ISBLANK('ENGAGEMENTS 2026'!B1536),"",'ENGAGEMENTS 2026'!I1536)</f>
        <v/>
      </c>
      <c r="G1536">
        <f>IF(ISBLANK('ENGAGEMENTS 2026'!B1536),"",'ENGAGEMENTS 2026'!L1536)</f>
        <v/>
      </c>
      <c r="H1536">
        <f>IF(ISBLANK('ENGAGEMENTS 2026'!B1536),"",'ENGAGEMENTS 2026'!AE1536)</f>
        <v/>
      </c>
      <c r="I1536">
        <f>IF(ISBLANK('ENGAGEMENTS 2026'!B1536),"",'ENGAGEMENTS 2026'!G1536)</f>
        <v/>
      </c>
      <c r="J1536" s="275">
        <f>IF(ISBLANK('ENGAGEMENTS 2026'!B1536),"",IF(AND(OR($E1536="INFRUCTUEUX",$E1536="ANNULE"),$C1536="AOO-M"),'ENGAGEMENTS 2026'!O1536,IF($H1536="EN COURS DE PREENGAGEMENT",'ENGAGEMENTS 2026'!N1536,IF($H1536="PREENGAGE",IF($E1536="ATTRIBUE",'ENGAGEMENTS 2026'!AD1536,'ENGAGEMENTS 2026'!N1536),'ENGAGEMENTS 2026'!AD1536))))</f>
        <v/>
      </c>
      <c r="K1536" s="604">
        <f>IF(ISBLANK('ENGAGEMENTS 2026'!V1536),"",'ENGAGEMENTS 2026'!V1536)</f>
        <v/>
      </c>
      <c r="L1536" s="276">
        <f>IF($K1536="","",TODAY()-$K1536)</f>
        <v/>
      </c>
      <c r="M1536">
        <f>IF($A1536="","",IF($H1536="ENGAGE","Engagé",IF(AND($H1536="NON ENGAGE",OR($I1536="INFRUCTUEUX",$I1536="ANNULE")),"Clôturé sans suite","En cours")))</f>
        <v/>
      </c>
      <c r="N1536">
        <f>IF(ISBLANK('ENGAGEMENTS 2026'!B1536),"",'ENGAGEMENTS 2026'!K1536)</f>
        <v/>
      </c>
      <c r="O1536">
        <f>IF(ISBLANK('ENGAGEMENTS 2026'!B1536),"",'ENGAGEMENTS 2026'!L1536)</f>
        <v/>
      </c>
      <c r="P1536">
        <f>IF(ISBLANK('ENGAGEMENTS 2026'!B1536),"",'ENGAGEMENTS 2026'!J1536)</f>
        <v/>
      </c>
      <c r="Q1536">
        <f>IF($A1536="","",IF(OR($E1536="INFRUCTUEUX",$E1536="ANNULE"),$A1536&amp;"|"&amp;(COUNTIFS($A$2:$A1536,$A1536,$E$2:$E1536,"INFRUCTUEUX")+COUNTIFS($A$2:$A1536,$A1536,$E$2:$E1536,"ANNULE")),""))</f>
        <v/>
      </c>
    </row>
    <row r="1537">
      <c r="A1537">
        <f>IF(ISBLANK('ENGAGEMENTS 2026'!B1537),"",IF('ENGAGEMENTS 2026'!B1537="DTSI","DCT",'ENGAGEMENTS 2026'!B1537))</f>
        <v/>
      </c>
      <c r="B1537">
        <f>IF(ISBLANK('ENGAGEMENTS 2026'!B1537),"",'ENGAGEMENTS 2026'!C1537)</f>
        <v/>
      </c>
      <c r="C1537">
        <f>IF(ISBLANK('ENGAGEMENTS 2026'!B1537),"",'ENGAGEMENTS 2026'!D1537)</f>
        <v/>
      </c>
      <c r="D1537">
        <f>IF(ISBLANK('ENGAGEMENTS 2026'!B1537),"",'ENGAGEMENTS 2026'!F1537)</f>
        <v/>
      </c>
      <c r="E1537">
        <f>IF(ISBLANK('ENGAGEMENTS 2026'!B1537),"",'ENGAGEMENTS 2026'!H1537)</f>
        <v/>
      </c>
      <c r="F1537">
        <f>IF(ISBLANK('ENGAGEMENTS 2026'!B1537),"",'ENGAGEMENTS 2026'!I1537)</f>
        <v/>
      </c>
      <c r="G1537">
        <f>IF(ISBLANK('ENGAGEMENTS 2026'!B1537),"",'ENGAGEMENTS 2026'!L1537)</f>
        <v/>
      </c>
      <c r="H1537">
        <f>IF(ISBLANK('ENGAGEMENTS 2026'!B1537),"",'ENGAGEMENTS 2026'!AE1537)</f>
        <v/>
      </c>
      <c r="I1537">
        <f>IF(ISBLANK('ENGAGEMENTS 2026'!B1537),"",'ENGAGEMENTS 2026'!G1537)</f>
        <v/>
      </c>
      <c r="J1537" s="275">
        <f>IF(ISBLANK('ENGAGEMENTS 2026'!B1537),"",IF(AND(OR($E1537="INFRUCTUEUX",$E1537="ANNULE"),$C1537="AOO-M"),'ENGAGEMENTS 2026'!O1537,IF($H1537="EN COURS DE PREENGAGEMENT",'ENGAGEMENTS 2026'!N1537,IF($H1537="PREENGAGE",IF($E1537="ATTRIBUE",'ENGAGEMENTS 2026'!AD1537,'ENGAGEMENTS 2026'!N1537),'ENGAGEMENTS 2026'!AD1537))))</f>
        <v/>
      </c>
      <c r="K1537" s="604">
        <f>IF(ISBLANK('ENGAGEMENTS 2026'!V1537),"",'ENGAGEMENTS 2026'!V1537)</f>
        <v/>
      </c>
      <c r="L1537" s="276">
        <f>IF($K1537="","",TODAY()-$K1537)</f>
        <v/>
      </c>
      <c r="M1537">
        <f>IF($A1537="","",IF($H1537="ENGAGE","Engagé",IF(AND($H1537="NON ENGAGE",OR($I1537="INFRUCTUEUX",$I1537="ANNULE")),"Clôturé sans suite","En cours")))</f>
        <v/>
      </c>
      <c r="N1537">
        <f>IF(ISBLANK('ENGAGEMENTS 2026'!B1537),"",'ENGAGEMENTS 2026'!K1537)</f>
        <v/>
      </c>
      <c r="O1537">
        <f>IF(ISBLANK('ENGAGEMENTS 2026'!B1537),"",'ENGAGEMENTS 2026'!L1537)</f>
        <v/>
      </c>
      <c r="P1537">
        <f>IF(ISBLANK('ENGAGEMENTS 2026'!B1537),"",'ENGAGEMENTS 2026'!J1537)</f>
        <v/>
      </c>
      <c r="Q1537">
        <f>IF($A1537="","",IF(OR($E1537="INFRUCTUEUX",$E1537="ANNULE"),$A1537&amp;"|"&amp;(COUNTIFS($A$2:$A1537,$A1537,$E$2:$E1537,"INFRUCTUEUX")+COUNTIFS($A$2:$A1537,$A1537,$E$2:$E1537,"ANNULE")),""))</f>
        <v/>
      </c>
    </row>
    <row r="1538">
      <c r="A1538">
        <f>IF(ISBLANK('ENGAGEMENTS 2026'!B1538),"",IF('ENGAGEMENTS 2026'!B1538="DTSI","DCT",'ENGAGEMENTS 2026'!B1538))</f>
        <v/>
      </c>
      <c r="B1538">
        <f>IF(ISBLANK('ENGAGEMENTS 2026'!B1538),"",'ENGAGEMENTS 2026'!C1538)</f>
        <v/>
      </c>
      <c r="C1538">
        <f>IF(ISBLANK('ENGAGEMENTS 2026'!B1538),"",'ENGAGEMENTS 2026'!D1538)</f>
        <v/>
      </c>
      <c r="D1538">
        <f>IF(ISBLANK('ENGAGEMENTS 2026'!B1538),"",'ENGAGEMENTS 2026'!F1538)</f>
        <v/>
      </c>
      <c r="E1538">
        <f>IF(ISBLANK('ENGAGEMENTS 2026'!B1538),"",'ENGAGEMENTS 2026'!H1538)</f>
        <v/>
      </c>
      <c r="F1538">
        <f>IF(ISBLANK('ENGAGEMENTS 2026'!B1538),"",'ENGAGEMENTS 2026'!I1538)</f>
        <v/>
      </c>
      <c r="G1538">
        <f>IF(ISBLANK('ENGAGEMENTS 2026'!B1538),"",'ENGAGEMENTS 2026'!L1538)</f>
        <v/>
      </c>
      <c r="H1538">
        <f>IF(ISBLANK('ENGAGEMENTS 2026'!B1538),"",'ENGAGEMENTS 2026'!AE1538)</f>
        <v/>
      </c>
      <c r="I1538">
        <f>IF(ISBLANK('ENGAGEMENTS 2026'!B1538),"",'ENGAGEMENTS 2026'!G1538)</f>
        <v/>
      </c>
      <c r="J1538" s="275">
        <f>IF(ISBLANK('ENGAGEMENTS 2026'!B1538),"",IF(AND(OR($E1538="INFRUCTUEUX",$E1538="ANNULE"),$C1538="AOO-M"),'ENGAGEMENTS 2026'!O1538,IF($H1538="EN COURS DE PREENGAGEMENT",'ENGAGEMENTS 2026'!N1538,IF($H1538="PREENGAGE",IF($E1538="ATTRIBUE",'ENGAGEMENTS 2026'!AD1538,'ENGAGEMENTS 2026'!N1538),'ENGAGEMENTS 2026'!AD1538))))</f>
        <v/>
      </c>
      <c r="K1538" s="604">
        <f>IF(ISBLANK('ENGAGEMENTS 2026'!V1538),"",'ENGAGEMENTS 2026'!V1538)</f>
        <v/>
      </c>
      <c r="L1538" s="276">
        <f>IF($K1538="","",TODAY()-$K1538)</f>
        <v/>
      </c>
      <c r="M1538">
        <f>IF($A1538="","",IF($H1538="ENGAGE","Engagé",IF(AND($H1538="NON ENGAGE",OR($I1538="INFRUCTUEUX",$I1538="ANNULE")),"Clôturé sans suite","En cours")))</f>
        <v/>
      </c>
      <c r="N1538">
        <f>IF(ISBLANK('ENGAGEMENTS 2026'!B1538),"",'ENGAGEMENTS 2026'!K1538)</f>
        <v/>
      </c>
      <c r="O1538">
        <f>IF(ISBLANK('ENGAGEMENTS 2026'!B1538),"",'ENGAGEMENTS 2026'!L1538)</f>
        <v/>
      </c>
      <c r="P1538">
        <f>IF(ISBLANK('ENGAGEMENTS 2026'!B1538),"",'ENGAGEMENTS 2026'!J1538)</f>
        <v/>
      </c>
      <c r="Q1538">
        <f>IF($A1538="","",IF(OR($E1538="INFRUCTUEUX",$E1538="ANNULE"),$A1538&amp;"|"&amp;(COUNTIFS($A$2:$A1538,$A1538,$E$2:$E1538,"INFRUCTUEUX")+COUNTIFS($A$2:$A1538,$A1538,$E$2:$E1538,"ANNULE")),""))</f>
        <v/>
      </c>
    </row>
    <row r="1539">
      <c r="A1539">
        <f>IF(ISBLANK('ENGAGEMENTS 2026'!B1539),"",IF('ENGAGEMENTS 2026'!B1539="DTSI","DCT",'ENGAGEMENTS 2026'!B1539))</f>
        <v/>
      </c>
      <c r="B1539">
        <f>IF(ISBLANK('ENGAGEMENTS 2026'!B1539),"",'ENGAGEMENTS 2026'!C1539)</f>
        <v/>
      </c>
      <c r="C1539">
        <f>IF(ISBLANK('ENGAGEMENTS 2026'!B1539),"",'ENGAGEMENTS 2026'!D1539)</f>
        <v/>
      </c>
      <c r="D1539">
        <f>IF(ISBLANK('ENGAGEMENTS 2026'!B1539),"",'ENGAGEMENTS 2026'!F1539)</f>
        <v/>
      </c>
      <c r="E1539">
        <f>IF(ISBLANK('ENGAGEMENTS 2026'!B1539),"",'ENGAGEMENTS 2026'!H1539)</f>
        <v/>
      </c>
      <c r="F1539">
        <f>IF(ISBLANK('ENGAGEMENTS 2026'!B1539),"",'ENGAGEMENTS 2026'!I1539)</f>
        <v/>
      </c>
      <c r="G1539">
        <f>IF(ISBLANK('ENGAGEMENTS 2026'!B1539),"",'ENGAGEMENTS 2026'!L1539)</f>
        <v/>
      </c>
      <c r="H1539">
        <f>IF(ISBLANK('ENGAGEMENTS 2026'!B1539),"",'ENGAGEMENTS 2026'!AE1539)</f>
        <v/>
      </c>
      <c r="I1539">
        <f>IF(ISBLANK('ENGAGEMENTS 2026'!B1539),"",'ENGAGEMENTS 2026'!G1539)</f>
        <v/>
      </c>
      <c r="J1539" s="275">
        <f>IF(ISBLANK('ENGAGEMENTS 2026'!B1539),"",IF(AND(OR($E1539="INFRUCTUEUX",$E1539="ANNULE"),$C1539="AOO-M"),'ENGAGEMENTS 2026'!O1539,IF($H1539="EN COURS DE PREENGAGEMENT",'ENGAGEMENTS 2026'!N1539,IF($H1539="PREENGAGE",IF($E1539="ATTRIBUE",'ENGAGEMENTS 2026'!AD1539,'ENGAGEMENTS 2026'!N1539),'ENGAGEMENTS 2026'!AD1539))))</f>
        <v/>
      </c>
      <c r="K1539" s="604">
        <f>IF(ISBLANK('ENGAGEMENTS 2026'!V1539),"",'ENGAGEMENTS 2026'!V1539)</f>
        <v/>
      </c>
      <c r="L1539" s="276">
        <f>IF($K1539="","",TODAY()-$K1539)</f>
        <v/>
      </c>
      <c r="M1539">
        <f>IF($A1539="","",IF($H1539="ENGAGE","Engagé",IF(AND($H1539="NON ENGAGE",OR($I1539="INFRUCTUEUX",$I1539="ANNULE")),"Clôturé sans suite","En cours")))</f>
        <v/>
      </c>
      <c r="N1539">
        <f>IF(ISBLANK('ENGAGEMENTS 2026'!B1539),"",'ENGAGEMENTS 2026'!K1539)</f>
        <v/>
      </c>
      <c r="O1539">
        <f>IF(ISBLANK('ENGAGEMENTS 2026'!B1539),"",'ENGAGEMENTS 2026'!L1539)</f>
        <v/>
      </c>
      <c r="P1539">
        <f>IF(ISBLANK('ENGAGEMENTS 2026'!B1539),"",'ENGAGEMENTS 2026'!J1539)</f>
        <v/>
      </c>
      <c r="Q1539">
        <f>IF($A1539="","",IF(OR($E1539="INFRUCTUEUX",$E1539="ANNULE"),$A1539&amp;"|"&amp;(COUNTIFS($A$2:$A1539,$A1539,$E$2:$E1539,"INFRUCTUEUX")+COUNTIFS($A$2:$A1539,$A1539,$E$2:$E1539,"ANNULE")),""))</f>
        <v/>
      </c>
    </row>
    <row r="1540">
      <c r="A1540">
        <f>IF(ISBLANK('ENGAGEMENTS 2026'!B1540),"",IF('ENGAGEMENTS 2026'!B1540="DTSI","DCT",'ENGAGEMENTS 2026'!B1540))</f>
        <v/>
      </c>
      <c r="B1540">
        <f>IF(ISBLANK('ENGAGEMENTS 2026'!B1540),"",'ENGAGEMENTS 2026'!C1540)</f>
        <v/>
      </c>
      <c r="C1540">
        <f>IF(ISBLANK('ENGAGEMENTS 2026'!B1540),"",'ENGAGEMENTS 2026'!D1540)</f>
        <v/>
      </c>
      <c r="D1540">
        <f>IF(ISBLANK('ENGAGEMENTS 2026'!B1540),"",'ENGAGEMENTS 2026'!F1540)</f>
        <v/>
      </c>
      <c r="E1540">
        <f>IF(ISBLANK('ENGAGEMENTS 2026'!B1540),"",'ENGAGEMENTS 2026'!H1540)</f>
        <v/>
      </c>
      <c r="F1540">
        <f>IF(ISBLANK('ENGAGEMENTS 2026'!B1540),"",'ENGAGEMENTS 2026'!I1540)</f>
        <v/>
      </c>
      <c r="G1540">
        <f>IF(ISBLANK('ENGAGEMENTS 2026'!B1540),"",'ENGAGEMENTS 2026'!L1540)</f>
        <v/>
      </c>
      <c r="H1540">
        <f>IF(ISBLANK('ENGAGEMENTS 2026'!B1540),"",'ENGAGEMENTS 2026'!AE1540)</f>
        <v/>
      </c>
      <c r="I1540">
        <f>IF(ISBLANK('ENGAGEMENTS 2026'!B1540),"",'ENGAGEMENTS 2026'!G1540)</f>
        <v/>
      </c>
      <c r="J1540" s="275">
        <f>IF(ISBLANK('ENGAGEMENTS 2026'!B1540),"",IF(AND(OR($E1540="INFRUCTUEUX",$E1540="ANNULE"),$C1540="AOO-M"),'ENGAGEMENTS 2026'!O1540,IF($H1540="EN COURS DE PREENGAGEMENT",'ENGAGEMENTS 2026'!N1540,IF($H1540="PREENGAGE",IF($E1540="ATTRIBUE",'ENGAGEMENTS 2026'!AD1540,'ENGAGEMENTS 2026'!N1540),'ENGAGEMENTS 2026'!AD1540))))</f>
        <v/>
      </c>
      <c r="K1540" s="604">
        <f>IF(ISBLANK('ENGAGEMENTS 2026'!V1540),"",'ENGAGEMENTS 2026'!V1540)</f>
        <v/>
      </c>
      <c r="L1540" s="276">
        <f>IF($K1540="","",TODAY()-$K1540)</f>
        <v/>
      </c>
      <c r="M1540">
        <f>IF($A1540="","",IF($H1540="ENGAGE","Engagé",IF(AND($H1540="NON ENGAGE",OR($I1540="INFRUCTUEUX",$I1540="ANNULE")),"Clôturé sans suite","En cours")))</f>
        <v/>
      </c>
      <c r="N1540">
        <f>IF(ISBLANK('ENGAGEMENTS 2026'!B1540),"",'ENGAGEMENTS 2026'!K1540)</f>
        <v/>
      </c>
      <c r="O1540">
        <f>IF(ISBLANK('ENGAGEMENTS 2026'!B1540),"",'ENGAGEMENTS 2026'!L1540)</f>
        <v/>
      </c>
      <c r="P1540">
        <f>IF(ISBLANK('ENGAGEMENTS 2026'!B1540),"",'ENGAGEMENTS 2026'!J1540)</f>
        <v/>
      </c>
      <c r="Q1540">
        <f>IF($A1540="","",IF(OR($E1540="INFRUCTUEUX",$E1540="ANNULE"),$A1540&amp;"|"&amp;(COUNTIFS($A$2:$A1540,$A1540,$E$2:$E1540,"INFRUCTUEUX")+COUNTIFS($A$2:$A1540,$A1540,$E$2:$E1540,"ANNULE")),""))</f>
        <v/>
      </c>
    </row>
    <row r="1541">
      <c r="A1541">
        <f>IF(ISBLANK('ENGAGEMENTS 2026'!B1541),"",IF('ENGAGEMENTS 2026'!B1541="DTSI","DCT",'ENGAGEMENTS 2026'!B1541))</f>
        <v/>
      </c>
      <c r="B1541">
        <f>IF(ISBLANK('ENGAGEMENTS 2026'!B1541),"",'ENGAGEMENTS 2026'!C1541)</f>
        <v/>
      </c>
      <c r="C1541">
        <f>IF(ISBLANK('ENGAGEMENTS 2026'!B1541),"",'ENGAGEMENTS 2026'!D1541)</f>
        <v/>
      </c>
      <c r="D1541">
        <f>IF(ISBLANK('ENGAGEMENTS 2026'!B1541),"",'ENGAGEMENTS 2026'!F1541)</f>
        <v/>
      </c>
      <c r="E1541">
        <f>IF(ISBLANK('ENGAGEMENTS 2026'!B1541),"",'ENGAGEMENTS 2026'!H1541)</f>
        <v/>
      </c>
      <c r="F1541">
        <f>IF(ISBLANK('ENGAGEMENTS 2026'!B1541),"",'ENGAGEMENTS 2026'!I1541)</f>
        <v/>
      </c>
      <c r="G1541">
        <f>IF(ISBLANK('ENGAGEMENTS 2026'!B1541),"",'ENGAGEMENTS 2026'!L1541)</f>
        <v/>
      </c>
      <c r="H1541">
        <f>IF(ISBLANK('ENGAGEMENTS 2026'!B1541),"",'ENGAGEMENTS 2026'!AE1541)</f>
        <v/>
      </c>
      <c r="I1541">
        <f>IF(ISBLANK('ENGAGEMENTS 2026'!B1541),"",'ENGAGEMENTS 2026'!G1541)</f>
        <v/>
      </c>
      <c r="J1541" s="275">
        <f>IF(ISBLANK('ENGAGEMENTS 2026'!B1541),"",IF(AND(OR($E1541="INFRUCTUEUX",$E1541="ANNULE"),$C1541="AOO-M"),'ENGAGEMENTS 2026'!O1541,IF($H1541="EN COURS DE PREENGAGEMENT",'ENGAGEMENTS 2026'!N1541,IF($H1541="PREENGAGE",IF($E1541="ATTRIBUE",'ENGAGEMENTS 2026'!AD1541,'ENGAGEMENTS 2026'!N1541),'ENGAGEMENTS 2026'!AD1541))))</f>
        <v/>
      </c>
      <c r="K1541" s="604">
        <f>IF(ISBLANK('ENGAGEMENTS 2026'!V1541),"",'ENGAGEMENTS 2026'!V1541)</f>
        <v/>
      </c>
      <c r="L1541" s="276">
        <f>IF($K1541="","",TODAY()-$K1541)</f>
        <v/>
      </c>
      <c r="M1541">
        <f>IF($A1541="","",IF($H1541="ENGAGE","Engagé",IF(AND($H1541="NON ENGAGE",OR($I1541="INFRUCTUEUX",$I1541="ANNULE")),"Clôturé sans suite","En cours")))</f>
        <v/>
      </c>
      <c r="N1541">
        <f>IF(ISBLANK('ENGAGEMENTS 2026'!B1541),"",'ENGAGEMENTS 2026'!K1541)</f>
        <v/>
      </c>
      <c r="O1541">
        <f>IF(ISBLANK('ENGAGEMENTS 2026'!B1541),"",'ENGAGEMENTS 2026'!L1541)</f>
        <v/>
      </c>
      <c r="P1541">
        <f>IF(ISBLANK('ENGAGEMENTS 2026'!B1541),"",'ENGAGEMENTS 2026'!J1541)</f>
        <v/>
      </c>
      <c r="Q1541">
        <f>IF($A1541="","",IF(OR($E1541="INFRUCTUEUX",$E1541="ANNULE"),$A1541&amp;"|"&amp;(COUNTIFS($A$2:$A1541,$A1541,$E$2:$E1541,"INFRUCTUEUX")+COUNTIFS($A$2:$A1541,$A1541,$E$2:$E1541,"ANNULE")),""))</f>
        <v/>
      </c>
    </row>
    <row r="1542">
      <c r="A1542">
        <f>IF(ISBLANK('ENGAGEMENTS 2026'!B1542),"",IF('ENGAGEMENTS 2026'!B1542="DTSI","DCT",'ENGAGEMENTS 2026'!B1542))</f>
        <v/>
      </c>
      <c r="B1542">
        <f>IF(ISBLANK('ENGAGEMENTS 2026'!B1542),"",'ENGAGEMENTS 2026'!C1542)</f>
        <v/>
      </c>
      <c r="C1542">
        <f>IF(ISBLANK('ENGAGEMENTS 2026'!B1542),"",'ENGAGEMENTS 2026'!D1542)</f>
        <v/>
      </c>
      <c r="D1542">
        <f>IF(ISBLANK('ENGAGEMENTS 2026'!B1542),"",'ENGAGEMENTS 2026'!F1542)</f>
        <v/>
      </c>
      <c r="E1542">
        <f>IF(ISBLANK('ENGAGEMENTS 2026'!B1542),"",'ENGAGEMENTS 2026'!H1542)</f>
        <v/>
      </c>
      <c r="F1542">
        <f>IF(ISBLANK('ENGAGEMENTS 2026'!B1542),"",'ENGAGEMENTS 2026'!I1542)</f>
        <v/>
      </c>
      <c r="G1542">
        <f>IF(ISBLANK('ENGAGEMENTS 2026'!B1542),"",'ENGAGEMENTS 2026'!L1542)</f>
        <v/>
      </c>
      <c r="H1542">
        <f>IF(ISBLANK('ENGAGEMENTS 2026'!B1542),"",'ENGAGEMENTS 2026'!AE1542)</f>
        <v/>
      </c>
      <c r="I1542">
        <f>IF(ISBLANK('ENGAGEMENTS 2026'!B1542),"",'ENGAGEMENTS 2026'!G1542)</f>
        <v/>
      </c>
      <c r="J1542" s="275">
        <f>IF(ISBLANK('ENGAGEMENTS 2026'!B1542),"",IF(AND(OR($E1542="INFRUCTUEUX",$E1542="ANNULE"),$C1542="AOO-M"),'ENGAGEMENTS 2026'!O1542,IF($H1542="EN COURS DE PREENGAGEMENT",'ENGAGEMENTS 2026'!N1542,IF($H1542="PREENGAGE",IF($E1542="ATTRIBUE",'ENGAGEMENTS 2026'!AD1542,'ENGAGEMENTS 2026'!N1542),'ENGAGEMENTS 2026'!AD1542))))</f>
        <v/>
      </c>
      <c r="K1542" s="604">
        <f>IF(ISBLANK('ENGAGEMENTS 2026'!V1542),"",'ENGAGEMENTS 2026'!V1542)</f>
        <v/>
      </c>
      <c r="L1542" s="276">
        <f>IF($K1542="","",TODAY()-$K1542)</f>
        <v/>
      </c>
      <c r="M1542">
        <f>IF($A1542="","",IF($H1542="ENGAGE","Engagé",IF(AND($H1542="NON ENGAGE",OR($I1542="INFRUCTUEUX",$I1542="ANNULE")),"Clôturé sans suite","En cours")))</f>
        <v/>
      </c>
      <c r="N1542">
        <f>IF(ISBLANK('ENGAGEMENTS 2026'!B1542),"",'ENGAGEMENTS 2026'!K1542)</f>
        <v/>
      </c>
      <c r="O1542">
        <f>IF(ISBLANK('ENGAGEMENTS 2026'!B1542),"",'ENGAGEMENTS 2026'!L1542)</f>
        <v/>
      </c>
      <c r="P1542">
        <f>IF(ISBLANK('ENGAGEMENTS 2026'!B1542),"",'ENGAGEMENTS 2026'!J1542)</f>
        <v/>
      </c>
      <c r="Q1542">
        <f>IF($A1542="","",IF(OR($E1542="INFRUCTUEUX",$E1542="ANNULE"),$A1542&amp;"|"&amp;(COUNTIFS($A$2:$A1542,$A1542,$E$2:$E1542,"INFRUCTUEUX")+COUNTIFS($A$2:$A1542,$A1542,$E$2:$E1542,"ANNULE")),""))</f>
        <v/>
      </c>
    </row>
    <row r="1543">
      <c r="A1543">
        <f>IF(ISBLANK('ENGAGEMENTS 2026'!B1543),"",IF('ENGAGEMENTS 2026'!B1543="DTSI","DCT",'ENGAGEMENTS 2026'!B1543))</f>
        <v/>
      </c>
      <c r="B1543">
        <f>IF(ISBLANK('ENGAGEMENTS 2026'!B1543),"",'ENGAGEMENTS 2026'!C1543)</f>
        <v/>
      </c>
      <c r="C1543">
        <f>IF(ISBLANK('ENGAGEMENTS 2026'!B1543),"",'ENGAGEMENTS 2026'!D1543)</f>
        <v/>
      </c>
      <c r="D1543">
        <f>IF(ISBLANK('ENGAGEMENTS 2026'!B1543),"",'ENGAGEMENTS 2026'!F1543)</f>
        <v/>
      </c>
      <c r="E1543">
        <f>IF(ISBLANK('ENGAGEMENTS 2026'!B1543),"",'ENGAGEMENTS 2026'!H1543)</f>
        <v/>
      </c>
      <c r="F1543">
        <f>IF(ISBLANK('ENGAGEMENTS 2026'!B1543),"",'ENGAGEMENTS 2026'!I1543)</f>
        <v/>
      </c>
      <c r="G1543">
        <f>IF(ISBLANK('ENGAGEMENTS 2026'!B1543),"",'ENGAGEMENTS 2026'!L1543)</f>
        <v/>
      </c>
      <c r="H1543">
        <f>IF(ISBLANK('ENGAGEMENTS 2026'!B1543),"",'ENGAGEMENTS 2026'!AE1543)</f>
        <v/>
      </c>
      <c r="I1543">
        <f>IF(ISBLANK('ENGAGEMENTS 2026'!B1543),"",'ENGAGEMENTS 2026'!G1543)</f>
        <v/>
      </c>
      <c r="J1543" s="275">
        <f>IF(ISBLANK('ENGAGEMENTS 2026'!B1543),"",IF(AND(OR($E1543="INFRUCTUEUX",$E1543="ANNULE"),$C1543="AOO-M"),'ENGAGEMENTS 2026'!O1543,IF($H1543="EN COURS DE PREENGAGEMENT",'ENGAGEMENTS 2026'!N1543,IF($H1543="PREENGAGE",IF($E1543="ATTRIBUE",'ENGAGEMENTS 2026'!AD1543,'ENGAGEMENTS 2026'!N1543),'ENGAGEMENTS 2026'!AD1543))))</f>
        <v/>
      </c>
      <c r="K1543" s="604">
        <f>IF(ISBLANK('ENGAGEMENTS 2026'!V1543),"",'ENGAGEMENTS 2026'!V1543)</f>
        <v/>
      </c>
      <c r="L1543" s="276">
        <f>IF($K1543="","",TODAY()-$K1543)</f>
        <v/>
      </c>
      <c r="M1543">
        <f>IF($A1543="","",IF($H1543="ENGAGE","Engagé",IF(AND($H1543="NON ENGAGE",OR($I1543="INFRUCTUEUX",$I1543="ANNULE")),"Clôturé sans suite","En cours")))</f>
        <v/>
      </c>
      <c r="N1543">
        <f>IF(ISBLANK('ENGAGEMENTS 2026'!B1543),"",'ENGAGEMENTS 2026'!K1543)</f>
        <v/>
      </c>
      <c r="O1543">
        <f>IF(ISBLANK('ENGAGEMENTS 2026'!B1543),"",'ENGAGEMENTS 2026'!L1543)</f>
        <v/>
      </c>
      <c r="P1543">
        <f>IF(ISBLANK('ENGAGEMENTS 2026'!B1543),"",'ENGAGEMENTS 2026'!J1543)</f>
        <v/>
      </c>
      <c r="Q1543">
        <f>IF($A1543="","",IF(OR($E1543="INFRUCTUEUX",$E1543="ANNULE"),$A1543&amp;"|"&amp;(COUNTIFS($A$2:$A1543,$A1543,$E$2:$E1543,"INFRUCTUEUX")+COUNTIFS($A$2:$A1543,$A1543,$E$2:$E1543,"ANNULE")),""))</f>
        <v/>
      </c>
    </row>
    <row r="1544">
      <c r="A1544">
        <f>IF(ISBLANK('ENGAGEMENTS 2026'!B1544),"",IF('ENGAGEMENTS 2026'!B1544="DTSI","DCT",'ENGAGEMENTS 2026'!B1544))</f>
        <v/>
      </c>
      <c r="B1544">
        <f>IF(ISBLANK('ENGAGEMENTS 2026'!B1544),"",'ENGAGEMENTS 2026'!C1544)</f>
        <v/>
      </c>
      <c r="C1544">
        <f>IF(ISBLANK('ENGAGEMENTS 2026'!B1544),"",'ENGAGEMENTS 2026'!D1544)</f>
        <v/>
      </c>
      <c r="D1544">
        <f>IF(ISBLANK('ENGAGEMENTS 2026'!B1544),"",'ENGAGEMENTS 2026'!F1544)</f>
        <v/>
      </c>
      <c r="E1544">
        <f>IF(ISBLANK('ENGAGEMENTS 2026'!B1544),"",'ENGAGEMENTS 2026'!H1544)</f>
        <v/>
      </c>
      <c r="F1544">
        <f>IF(ISBLANK('ENGAGEMENTS 2026'!B1544),"",'ENGAGEMENTS 2026'!I1544)</f>
        <v/>
      </c>
      <c r="G1544">
        <f>IF(ISBLANK('ENGAGEMENTS 2026'!B1544),"",'ENGAGEMENTS 2026'!L1544)</f>
        <v/>
      </c>
      <c r="H1544">
        <f>IF(ISBLANK('ENGAGEMENTS 2026'!B1544),"",'ENGAGEMENTS 2026'!AE1544)</f>
        <v/>
      </c>
      <c r="I1544">
        <f>IF(ISBLANK('ENGAGEMENTS 2026'!B1544),"",'ENGAGEMENTS 2026'!G1544)</f>
        <v/>
      </c>
      <c r="J1544" s="275">
        <f>IF(ISBLANK('ENGAGEMENTS 2026'!B1544),"",IF(AND(OR($E1544="INFRUCTUEUX",$E1544="ANNULE"),$C1544="AOO-M"),'ENGAGEMENTS 2026'!O1544,IF($H1544="EN COURS DE PREENGAGEMENT",'ENGAGEMENTS 2026'!N1544,IF($H1544="PREENGAGE",IF($E1544="ATTRIBUE",'ENGAGEMENTS 2026'!AD1544,'ENGAGEMENTS 2026'!N1544),'ENGAGEMENTS 2026'!AD1544))))</f>
        <v/>
      </c>
      <c r="K1544" s="604">
        <f>IF(ISBLANK('ENGAGEMENTS 2026'!V1544),"",'ENGAGEMENTS 2026'!V1544)</f>
        <v/>
      </c>
      <c r="L1544" s="276">
        <f>IF($K1544="","",TODAY()-$K1544)</f>
        <v/>
      </c>
      <c r="M1544">
        <f>IF($A1544="","",IF($H1544="ENGAGE","Engagé",IF(AND($H1544="NON ENGAGE",OR($I1544="INFRUCTUEUX",$I1544="ANNULE")),"Clôturé sans suite","En cours")))</f>
        <v/>
      </c>
      <c r="N1544">
        <f>IF(ISBLANK('ENGAGEMENTS 2026'!B1544),"",'ENGAGEMENTS 2026'!K1544)</f>
        <v/>
      </c>
      <c r="O1544">
        <f>IF(ISBLANK('ENGAGEMENTS 2026'!B1544),"",'ENGAGEMENTS 2026'!L1544)</f>
        <v/>
      </c>
      <c r="P1544">
        <f>IF(ISBLANK('ENGAGEMENTS 2026'!B1544),"",'ENGAGEMENTS 2026'!J1544)</f>
        <v/>
      </c>
      <c r="Q1544">
        <f>IF($A1544="","",IF(OR($E1544="INFRUCTUEUX",$E1544="ANNULE"),$A1544&amp;"|"&amp;(COUNTIFS($A$2:$A1544,$A1544,$E$2:$E1544,"INFRUCTUEUX")+COUNTIFS($A$2:$A1544,$A1544,$E$2:$E1544,"ANNULE")),""))</f>
        <v/>
      </c>
    </row>
    <row r="1545">
      <c r="A1545">
        <f>IF(ISBLANK('ENGAGEMENTS 2026'!B1545),"",IF('ENGAGEMENTS 2026'!B1545="DTSI","DCT",'ENGAGEMENTS 2026'!B1545))</f>
        <v/>
      </c>
      <c r="B1545">
        <f>IF(ISBLANK('ENGAGEMENTS 2026'!B1545),"",'ENGAGEMENTS 2026'!C1545)</f>
        <v/>
      </c>
      <c r="C1545">
        <f>IF(ISBLANK('ENGAGEMENTS 2026'!B1545),"",'ENGAGEMENTS 2026'!D1545)</f>
        <v/>
      </c>
      <c r="D1545">
        <f>IF(ISBLANK('ENGAGEMENTS 2026'!B1545),"",'ENGAGEMENTS 2026'!F1545)</f>
        <v/>
      </c>
      <c r="E1545">
        <f>IF(ISBLANK('ENGAGEMENTS 2026'!B1545),"",'ENGAGEMENTS 2026'!H1545)</f>
        <v/>
      </c>
      <c r="F1545">
        <f>IF(ISBLANK('ENGAGEMENTS 2026'!B1545),"",'ENGAGEMENTS 2026'!I1545)</f>
        <v/>
      </c>
      <c r="G1545">
        <f>IF(ISBLANK('ENGAGEMENTS 2026'!B1545),"",'ENGAGEMENTS 2026'!L1545)</f>
        <v/>
      </c>
      <c r="H1545">
        <f>IF(ISBLANK('ENGAGEMENTS 2026'!B1545),"",'ENGAGEMENTS 2026'!AE1545)</f>
        <v/>
      </c>
      <c r="I1545">
        <f>IF(ISBLANK('ENGAGEMENTS 2026'!B1545),"",'ENGAGEMENTS 2026'!G1545)</f>
        <v/>
      </c>
      <c r="J1545" s="275">
        <f>IF(ISBLANK('ENGAGEMENTS 2026'!B1545),"",IF(AND(OR($E1545="INFRUCTUEUX",$E1545="ANNULE"),$C1545="AOO-M"),'ENGAGEMENTS 2026'!O1545,IF($H1545="EN COURS DE PREENGAGEMENT",'ENGAGEMENTS 2026'!N1545,IF($H1545="PREENGAGE",IF($E1545="ATTRIBUE",'ENGAGEMENTS 2026'!AD1545,'ENGAGEMENTS 2026'!N1545),'ENGAGEMENTS 2026'!AD1545))))</f>
        <v/>
      </c>
      <c r="K1545" s="604">
        <f>IF(ISBLANK('ENGAGEMENTS 2026'!V1545),"",'ENGAGEMENTS 2026'!V1545)</f>
        <v/>
      </c>
      <c r="L1545" s="276">
        <f>IF($K1545="","",TODAY()-$K1545)</f>
        <v/>
      </c>
      <c r="M1545">
        <f>IF($A1545="","",IF($H1545="ENGAGE","Engagé",IF(AND($H1545="NON ENGAGE",OR($I1545="INFRUCTUEUX",$I1545="ANNULE")),"Clôturé sans suite","En cours")))</f>
        <v/>
      </c>
      <c r="N1545">
        <f>IF(ISBLANK('ENGAGEMENTS 2026'!B1545),"",'ENGAGEMENTS 2026'!K1545)</f>
        <v/>
      </c>
      <c r="O1545">
        <f>IF(ISBLANK('ENGAGEMENTS 2026'!B1545),"",'ENGAGEMENTS 2026'!L1545)</f>
        <v/>
      </c>
      <c r="P1545">
        <f>IF(ISBLANK('ENGAGEMENTS 2026'!B1545),"",'ENGAGEMENTS 2026'!J1545)</f>
        <v/>
      </c>
      <c r="Q1545">
        <f>IF($A1545="","",IF(OR($E1545="INFRUCTUEUX",$E1545="ANNULE"),$A1545&amp;"|"&amp;(COUNTIFS($A$2:$A1545,$A1545,$E$2:$E1545,"INFRUCTUEUX")+COUNTIFS($A$2:$A1545,$A1545,$E$2:$E1545,"ANNULE")),""))</f>
        <v/>
      </c>
    </row>
    <row r="1546">
      <c r="A1546">
        <f>IF(ISBLANK('ENGAGEMENTS 2026'!B1546),"",IF('ENGAGEMENTS 2026'!B1546="DTSI","DCT",'ENGAGEMENTS 2026'!B1546))</f>
        <v/>
      </c>
      <c r="B1546">
        <f>IF(ISBLANK('ENGAGEMENTS 2026'!B1546),"",'ENGAGEMENTS 2026'!C1546)</f>
        <v/>
      </c>
      <c r="C1546">
        <f>IF(ISBLANK('ENGAGEMENTS 2026'!B1546),"",'ENGAGEMENTS 2026'!D1546)</f>
        <v/>
      </c>
      <c r="D1546">
        <f>IF(ISBLANK('ENGAGEMENTS 2026'!B1546),"",'ENGAGEMENTS 2026'!F1546)</f>
        <v/>
      </c>
      <c r="E1546">
        <f>IF(ISBLANK('ENGAGEMENTS 2026'!B1546),"",'ENGAGEMENTS 2026'!H1546)</f>
        <v/>
      </c>
      <c r="F1546">
        <f>IF(ISBLANK('ENGAGEMENTS 2026'!B1546),"",'ENGAGEMENTS 2026'!I1546)</f>
        <v/>
      </c>
      <c r="G1546">
        <f>IF(ISBLANK('ENGAGEMENTS 2026'!B1546),"",'ENGAGEMENTS 2026'!L1546)</f>
        <v/>
      </c>
      <c r="H1546">
        <f>IF(ISBLANK('ENGAGEMENTS 2026'!B1546),"",'ENGAGEMENTS 2026'!AE1546)</f>
        <v/>
      </c>
      <c r="I1546">
        <f>IF(ISBLANK('ENGAGEMENTS 2026'!B1546),"",'ENGAGEMENTS 2026'!G1546)</f>
        <v/>
      </c>
      <c r="J1546" s="275">
        <f>IF(ISBLANK('ENGAGEMENTS 2026'!B1546),"",IF(AND(OR($E1546="INFRUCTUEUX",$E1546="ANNULE"),$C1546="AOO-M"),'ENGAGEMENTS 2026'!O1546,IF($H1546="EN COURS DE PREENGAGEMENT",'ENGAGEMENTS 2026'!N1546,IF($H1546="PREENGAGE",IF($E1546="ATTRIBUE",'ENGAGEMENTS 2026'!AD1546,'ENGAGEMENTS 2026'!N1546),'ENGAGEMENTS 2026'!AD1546))))</f>
        <v/>
      </c>
      <c r="K1546" s="604">
        <f>IF(ISBLANK('ENGAGEMENTS 2026'!V1546),"",'ENGAGEMENTS 2026'!V1546)</f>
        <v/>
      </c>
      <c r="L1546" s="276">
        <f>IF($K1546="","",TODAY()-$K1546)</f>
        <v/>
      </c>
      <c r="M1546">
        <f>IF($A1546="","",IF($H1546="ENGAGE","Engagé",IF(AND($H1546="NON ENGAGE",OR($I1546="INFRUCTUEUX",$I1546="ANNULE")),"Clôturé sans suite","En cours")))</f>
        <v/>
      </c>
      <c r="N1546">
        <f>IF(ISBLANK('ENGAGEMENTS 2026'!B1546),"",'ENGAGEMENTS 2026'!K1546)</f>
        <v/>
      </c>
      <c r="O1546">
        <f>IF(ISBLANK('ENGAGEMENTS 2026'!B1546),"",'ENGAGEMENTS 2026'!L1546)</f>
        <v/>
      </c>
      <c r="P1546">
        <f>IF(ISBLANK('ENGAGEMENTS 2026'!B1546),"",'ENGAGEMENTS 2026'!J1546)</f>
        <v/>
      </c>
      <c r="Q1546">
        <f>IF($A1546="","",IF(OR($E1546="INFRUCTUEUX",$E1546="ANNULE"),$A1546&amp;"|"&amp;(COUNTIFS($A$2:$A1546,$A1546,$E$2:$E1546,"INFRUCTUEUX")+COUNTIFS($A$2:$A1546,$A1546,$E$2:$E1546,"ANNULE")),""))</f>
        <v/>
      </c>
    </row>
    <row r="1547">
      <c r="A1547">
        <f>IF(ISBLANK('ENGAGEMENTS 2026'!B1547),"",IF('ENGAGEMENTS 2026'!B1547="DTSI","DCT",'ENGAGEMENTS 2026'!B1547))</f>
        <v/>
      </c>
      <c r="B1547">
        <f>IF(ISBLANK('ENGAGEMENTS 2026'!B1547),"",'ENGAGEMENTS 2026'!C1547)</f>
        <v/>
      </c>
      <c r="C1547">
        <f>IF(ISBLANK('ENGAGEMENTS 2026'!B1547),"",'ENGAGEMENTS 2026'!D1547)</f>
        <v/>
      </c>
      <c r="D1547">
        <f>IF(ISBLANK('ENGAGEMENTS 2026'!B1547),"",'ENGAGEMENTS 2026'!F1547)</f>
        <v/>
      </c>
      <c r="E1547">
        <f>IF(ISBLANK('ENGAGEMENTS 2026'!B1547),"",'ENGAGEMENTS 2026'!H1547)</f>
        <v/>
      </c>
      <c r="F1547">
        <f>IF(ISBLANK('ENGAGEMENTS 2026'!B1547),"",'ENGAGEMENTS 2026'!I1547)</f>
        <v/>
      </c>
      <c r="G1547">
        <f>IF(ISBLANK('ENGAGEMENTS 2026'!B1547),"",'ENGAGEMENTS 2026'!L1547)</f>
        <v/>
      </c>
      <c r="H1547">
        <f>IF(ISBLANK('ENGAGEMENTS 2026'!B1547),"",'ENGAGEMENTS 2026'!AE1547)</f>
        <v/>
      </c>
      <c r="I1547">
        <f>IF(ISBLANK('ENGAGEMENTS 2026'!B1547),"",'ENGAGEMENTS 2026'!G1547)</f>
        <v/>
      </c>
      <c r="J1547" s="275">
        <f>IF(ISBLANK('ENGAGEMENTS 2026'!B1547),"",IF(AND(OR($E1547="INFRUCTUEUX",$E1547="ANNULE"),$C1547="AOO-M"),'ENGAGEMENTS 2026'!O1547,IF($H1547="EN COURS DE PREENGAGEMENT",'ENGAGEMENTS 2026'!N1547,IF($H1547="PREENGAGE",IF($E1547="ATTRIBUE",'ENGAGEMENTS 2026'!AD1547,'ENGAGEMENTS 2026'!N1547),'ENGAGEMENTS 2026'!AD1547))))</f>
        <v/>
      </c>
      <c r="K1547" s="604">
        <f>IF(ISBLANK('ENGAGEMENTS 2026'!V1547),"",'ENGAGEMENTS 2026'!V1547)</f>
        <v/>
      </c>
      <c r="L1547" s="276">
        <f>IF($K1547="","",TODAY()-$K1547)</f>
        <v/>
      </c>
      <c r="M1547">
        <f>IF($A1547="","",IF($H1547="ENGAGE","Engagé",IF(AND($H1547="NON ENGAGE",OR($I1547="INFRUCTUEUX",$I1547="ANNULE")),"Clôturé sans suite","En cours")))</f>
        <v/>
      </c>
      <c r="N1547">
        <f>IF(ISBLANK('ENGAGEMENTS 2026'!B1547),"",'ENGAGEMENTS 2026'!K1547)</f>
        <v/>
      </c>
      <c r="O1547">
        <f>IF(ISBLANK('ENGAGEMENTS 2026'!B1547),"",'ENGAGEMENTS 2026'!L1547)</f>
        <v/>
      </c>
      <c r="P1547">
        <f>IF(ISBLANK('ENGAGEMENTS 2026'!B1547),"",'ENGAGEMENTS 2026'!J1547)</f>
        <v/>
      </c>
      <c r="Q1547">
        <f>IF($A1547="","",IF(OR($E1547="INFRUCTUEUX",$E1547="ANNULE"),$A1547&amp;"|"&amp;(COUNTIFS($A$2:$A1547,$A1547,$E$2:$E1547,"INFRUCTUEUX")+COUNTIFS($A$2:$A1547,$A1547,$E$2:$E1547,"ANNULE")),""))</f>
        <v/>
      </c>
    </row>
    <row r="1548">
      <c r="A1548">
        <f>IF(ISBLANK('ENGAGEMENTS 2026'!B1548),"",IF('ENGAGEMENTS 2026'!B1548="DTSI","DCT",'ENGAGEMENTS 2026'!B1548))</f>
        <v/>
      </c>
      <c r="B1548">
        <f>IF(ISBLANK('ENGAGEMENTS 2026'!B1548),"",'ENGAGEMENTS 2026'!C1548)</f>
        <v/>
      </c>
      <c r="C1548">
        <f>IF(ISBLANK('ENGAGEMENTS 2026'!B1548),"",'ENGAGEMENTS 2026'!D1548)</f>
        <v/>
      </c>
      <c r="D1548">
        <f>IF(ISBLANK('ENGAGEMENTS 2026'!B1548),"",'ENGAGEMENTS 2026'!F1548)</f>
        <v/>
      </c>
      <c r="E1548">
        <f>IF(ISBLANK('ENGAGEMENTS 2026'!B1548),"",'ENGAGEMENTS 2026'!H1548)</f>
        <v/>
      </c>
      <c r="F1548">
        <f>IF(ISBLANK('ENGAGEMENTS 2026'!B1548),"",'ENGAGEMENTS 2026'!I1548)</f>
        <v/>
      </c>
      <c r="G1548">
        <f>IF(ISBLANK('ENGAGEMENTS 2026'!B1548),"",'ENGAGEMENTS 2026'!L1548)</f>
        <v/>
      </c>
      <c r="H1548">
        <f>IF(ISBLANK('ENGAGEMENTS 2026'!B1548),"",'ENGAGEMENTS 2026'!AE1548)</f>
        <v/>
      </c>
      <c r="I1548">
        <f>IF(ISBLANK('ENGAGEMENTS 2026'!B1548),"",'ENGAGEMENTS 2026'!G1548)</f>
        <v/>
      </c>
      <c r="J1548" s="275">
        <f>IF(ISBLANK('ENGAGEMENTS 2026'!B1548),"",IF(AND(OR($E1548="INFRUCTUEUX",$E1548="ANNULE"),$C1548="AOO-M"),'ENGAGEMENTS 2026'!O1548,IF($H1548="EN COURS DE PREENGAGEMENT",'ENGAGEMENTS 2026'!N1548,IF($H1548="PREENGAGE",IF($E1548="ATTRIBUE",'ENGAGEMENTS 2026'!AD1548,'ENGAGEMENTS 2026'!N1548),'ENGAGEMENTS 2026'!AD1548))))</f>
        <v/>
      </c>
      <c r="K1548" s="604">
        <f>IF(ISBLANK('ENGAGEMENTS 2026'!V1548),"",'ENGAGEMENTS 2026'!V1548)</f>
        <v/>
      </c>
      <c r="L1548" s="276">
        <f>IF($K1548="","",TODAY()-$K1548)</f>
        <v/>
      </c>
      <c r="M1548">
        <f>IF($A1548="","",IF($H1548="ENGAGE","Engagé",IF(AND($H1548="NON ENGAGE",OR($I1548="INFRUCTUEUX",$I1548="ANNULE")),"Clôturé sans suite","En cours")))</f>
        <v/>
      </c>
      <c r="N1548">
        <f>IF(ISBLANK('ENGAGEMENTS 2026'!B1548),"",'ENGAGEMENTS 2026'!K1548)</f>
        <v/>
      </c>
      <c r="O1548">
        <f>IF(ISBLANK('ENGAGEMENTS 2026'!B1548),"",'ENGAGEMENTS 2026'!L1548)</f>
        <v/>
      </c>
      <c r="P1548">
        <f>IF(ISBLANK('ENGAGEMENTS 2026'!B1548),"",'ENGAGEMENTS 2026'!J1548)</f>
        <v/>
      </c>
      <c r="Q1548">
        <f>IF($A1548="","",IF(OR($E1548="INFRUCTUEUX",$E1548="ANNULE"),$A1548&amp;"|"&amp;(COUNTIFS($A$2:$A1548,$A1548,$E$2:$E1548,"INFRUCTUEUX")+COUNTIFS($A$2:$A1548,$A1548,$E$2:$E1548,"ANNULE")),""))</f>
        <v/>
      </c>
    </row>
    <row r="1549">
      <c r="A1549">
        <f>IF(ISBLANK('ENGAGEMENTS 2026'!B1549),"",IF('ENGAGEMENTS 2026'!B1549="DTSI","DCT",'ENGAGEMENTS 2026'!B1549))</f>
        <v/>
      </c>
      <c r="B1549">
        <f>IF(ISBLANK('ENGAGEMENTS 2026'!B1549),"",'ENGAGEMENTS 2026'!C1549)</f>
        <v/>
      </c>
      <c r="C1549">
        <f>IF(ISBLANK('ENGAGEMENTS 2026'!B1549),"",'ENGAGEMENTS 2026'!D1549)</f>
        <v/>
      </c>
      <c r="D1549">
        <f>IF(ISBLANK('ENGAGEMENTS 2026'!B1549),"",'ENGAGEMENTS 2026'!F1549)</f>
        <v/>
      </c>
      <c r="E1549">
        <f>IF(ISBLANK('ENGAGEMENTS 2026'!B1549),"",'ENGAGEMENTS 2026'!H1549)</f>
        <v/>
      </c>
      <c r="F1549">
        <f>IF(ISBLANK('ENGAGEMENTS 2026'!B1549),"",'ENGAGEMENTS 2026'!I1549)</f>
        <v/>
      </c>
      <c r="G1549">
        <f>IF(ISBLANK('ENGAGEMENTS 2026'!B1549),"",'ENGAGEMENTS 2026'!L1549)</f>
        <v/>
      </c>
      <c r="H1549">
        <f>IF(ISBLANK('ENGAGEMENTS 2026'!B1549),"",'ENGAGEMENTS 2026'!AE1549)</f>
        <v/>
      </c>
      <c r="I1549">
        <f>IF(ISBLANK('ENGAGEMENTS 2026'!B1549),"",'ENGAGEMENTS 2026'!G1549)</f>
        <v/>
      </c>
      <c r="J1549" s="275">
        <f>IF(ISBLANK('ENGAGEMENTS 2026'!B1549),"",IF(AND(OR($E1549="INFRUCTUEUX",$E1549="ANNULE"),$C1549="AOO-M"),'ENGAGEMENTS 2026'!O1549,IF($H1549="EN COURS DE PREENGAGEMENT",'ENGAGEMENTS 2026'!N1549,IF($H1549="PREENGAGE",IF($E1549="ATTRIBUE",'ENGAGEMENTS 2026'!AD1549,'ENGAGEMENTS 2026'!N1549),'ENGAGEMENTS 2026'!AD1549))))</f>
        <v/>
      </c>
      <c r="K1549" s="604">
        <f>IF(ISBLANK('ENGAGEMENTS 2026'!V1549),"",'ENGAGEMENTS 2026'!V1549)</f>
        <v/>
      </c>
      <c r="L1549" s="276">
        <f>IF($K1549="","",TODAY()-$K1549)</f>
        <v/>
      </c>
      <c r="M1549">
        <f>IF($A1549="","",IF($H1549="ENGAGE","Engagé",IF(AND($H1549="NON ENGAGE",OR($I1549="INFRUCTUEUX",$I1549="ANNULE")),"Clôturé sans suite","En cours")))</f>
        <v/>
      </c>
      <c r="N1549">
        <f>IF(ISBLANK('ENGAGEMENTS 2026'!B1549),"",'ENGAGEMENTS 2026'!K1549)</f>
        <v/>
      </c>
      <c r="O1549">
        <f>IF(ISBLANK('ENGAGEMENTS 2026'!B1549),"",'ENGAGEMENTS 2026'!L1549)</f>
        <v/>
      </c>
      <c r="P1549">
        <f>IF(ISBLANK('ENGAGEMENTS 2026'!B1549),"",'ENGAGEMENTS 2026'!J1549)</f>
        <v/>
      </c>
      <c r="Q1549">
        <f>IF($A1549="","",IF(OR($E1549="INFRUCTUEUX",$E1549="ANNULE"),$A1549&amp;"|"&amp;(COUNTIFS($A$2:$A1549,$A1549,$E$2:$E1549,"INFRUCTUEUX")+COUNTIFS($A$2:$A1549,$A1549,$E$2:$E1549,"ANNULE")),""))</f>
        <v/>
      </c>
    </row>
    <row r="1550">
      <c r="A1550">
        <f>IF(ISBLANK('ENGAGEMENTS 2026'!B1550),"",IF('ENGAGEMENTS 2026'!B1550="DTSI","DCT",'ENGAGEMENTS 2026'!B1550))</f>
        <v/>
      </c>
      <c r="B1550">
        <f>IF(ISBLANK('ENGAGEMENTS 2026'!B1550),"",'ENGAGEMENTS 2026'!C1550)</f>
        <v/>
      </c>
      <c r="C1550">
        <f>IF(ISBLANK('ENGAGEMENTS 2026'!B1550),"",'ENGAGEMENTS 2026'!D1550)</f>
        <v/>
      </c>
      <c r="D1550">
        <f>IF(ISBLANK('ENGAGEMENTS 2026'!B1550),"",'ENGAGEMENTS 2026'!F1550)</f>
        <v/>
      </c>
      <c r="E1550">
        <f>IF(ISBLANK('ENGAGEMENTS 2026'!B1550),"",'ENGAGEMENTS 2026'!H1550)</f>
        <v/>
      </c>
      <c r="F1550">
        <f>IF(ISBLANK('ENGAGEMENTS 2026'!B1550),"",'ENGAGEMENTS 2026'!I1550)</f>
        <v/>
      </c>
      <c r="G1550">
        <f>IF(ISBLANK('ENGAGEMENTS 2026'!B1550),"",'ENGAGEMENTS 2026'!L1550)</f>
        <v/>
      </c>
      <c r="H1550">
        <f>IF(ISBLANK('ENGAGEMENTS 2026'!B1550),"",'ENGAGEMENTS 2026'!AE1550)</f>
        <v/>
      </c>
      <c r="I1550">
        <f>IF(ISBLANK('ENGAGEMENTS 2026'!B1550),"",'ENGAGEMENTS 2026'!G1550)</f>
        <v/>
      </c>
      <c r="J1550" s="275">
        <f>IF(ISBLANK('ENGAGEMENTS 2026'!B1550),"",IF(AND(OR($E1550="INFRUCTUEUX",$E1550="ANNULE"),$C1550="AOO-M"),'ENGAGEMENTS 2026'!O1550,IF($H1550="EN COURS DE PREENGAGEMENT",'ENGAGEMENTS 2026'!N1550,IF($H1550="PREENGAGE",IF($E1550="ATTRIBUE",'ENGAGEMENTS 2026'!AD1550,'ENGAGEMENTS 2026'!N1550),'ENGAGEMENTS 2026'!AD1550))))</f>
        <v/>
      </c>
      <c r="K1550" s="604">
        <f>IF(ISBLANK('ENGAGEMENTS 2026'!V1550),"",'ENGAGEMENTS 2026'!V1550)</f>
        <v/>
      </c>
      <c r="L1550" s="276">
        <f>IF($K1550="","",TODAY()-$K1550)</f>
        <v/>
      </c>
      <c r="M1550">
        <f>IF($A1550="","",IF($H1550="ENGAGE","Engagé",IF(AND($H1550="NON ENGAGE",OR($I1550="INFRUCTUEUX",$I1550="ANNULE")),"Clôturé sans suite","En cours")))</f>
        <v/>
      </c>
      <c r="N1550">
        <f>IF(ISBLANK('ENGAGEMENTS 2026'!B1550),"",'ENGAGEMENTS 2026'!K1550)</f>
        <v/>
      </c>
      <c r="O1550">
        <f>IF(ISBLANK('ENGAGEMENTS 2026'!B1550),"",'ENGAGEMENTS 2026'!L1550)</f>
        <v/>
      </c>
      <c r="P1550">
        <f>IF(ISBLANK('ENGAGEMENTS 2026'!B1550),"",'ENGAGEMENTS 2026'!J1550)</f>
        <v/>
      </c>
      <c r="Q1550">
        <f>IF($A1550="","",IF(OR($E1550="INFRUCTUEUX",$E1550="ANNULE"),$A1550&amp;"|"&amp;(COUNTIFS($A$2:$A1550,$A1550,$E$2:$E1550,"INFRUCTUEUX")+COUNTIFS($A$2:$A1550,$A1550,$E$2:$E1550,"ANNULE")),""))</f>
        <v/>
      </c>
    </row>
    <row r="1551">
      <c r="A1551">
        <f>IF(ISBLANK('ENGAGEMENTS 2026'!B1551),"",IF('ENGAGEMENTS 2026'!B1551="DTSI","DCT",'ENGAGEMENTS 2026'!B1551))</f>
        <v/>
      </c>
      <c r="B1551">
        <f>IF(ISBLANK('ENGAGEMENTS 2026'!B1551),"",'ENGAGEMENTS 2026'!C1551)</f>
        <v/>
      </c>
      <c r="C1551">
        <f>IF(ISBLANK('ENGAGEMENTS 2026'!B1551),"",'ENGAGEMENTS 2026'!D1551)</f>
        <v/>
      </c>
      <c r="D1551">
        <f>IF(ISBLANK('ENGAGEMENTS 2026'!B1551),"",'ENGAGEMENTS 2026'!F1551)</f>
        <v/>
      </c>
      <c r="E1551">
        <f>IF(ISBLANK('ENGAGEMENTS 2026'!B1551),"",'ENGAGEMENTS 2026'!H1551)</f>
        <v/>
      </c>
      <c r="F1551">
        <f>IF(ISBLANK('ENGAGEMENTS 2026'!B1551),"",'ENGAGEMENTS 2026'!I1551)</f>
        <v/>
      </c>
      <c r="G1551">
        <f>IF(ISBLANK('ENGAGEMENTS 2026'!B1551),"",'ENGAGEMENTS 2026'!L1551)</f>
        <v/>
      </c>
      <c r="H1551">
        <f>IF(ISBLANK('ENGAGEMENTS 2026'!B1551),"",'ENGAGEMENTS 2026'!AE1551)</f>
        <v/>
      </c>
      <c r="I1551">
        <f>IF(ISBLANK('ENGAGEMENTS 2026'!B1551),"",'ENGAGEMENTS 2026'!G1551)</f>
        <v/>
      </c>
      <c r="J1551" s="275">
        <f>IF(ISBLANK('ENGAGEMENTS 2026'!B1551),"",IF(AND(OR($E1551="INFRUCTUEUX",$E1551="ANNULE"),$C1551="AOO-M"),'ENGAGEMENTS 2026'!O1551,IF($H1551="EN COURS DE PREENGAGEMENT",'ENGAGEMENTS 2026'!N1551,IF($H1551="PREENGAGE",IF($E1551="ATTRIBUE",'ENGAGEMENTS 2026'!AD1551,'ENGAGEMENTS 2026'!N1551),'ENGAGEMENTS 2026'!AD1551))))</f>
        <v/>
      </c>
      <c r="K1551" s="604">
        <f>IF(ISBLANK('ENGAGEMENTS 2026'!V1551),"",'ENGAGEMENTS 2026'!V1551)</f>
        <v/>
      </c>
      <c r="L1551" s="276">
        <f>IF($K1551="","",TODAY()-$K1551)</f>
        <v/>
      </c>
      <c r="M1551">
        <f>IF($A1551="","",IF($H1551="ENGAGE","Engagé",IF(AND($H1551="NON ENGAGE",OR($I1551="INFRUCTUEUX",$I1551="ANNULE")),"Clôturé sans suite","En cours")))</f>
        <v/>
      </c>
      <c r="N1551">
        <f>IF(ISBLANK('ENGAGEMENTS 2026'!B1551),"",'ENGAGEMENTS 2026'!K1551)</f>
        <v/>
      </c>
      <c r="O1551">
        <f>IF(ISBLANK('ENGAGEMENTS 2026'!B1551),"",'ENGAGEMENTS 2026'!L1551)</f>
        <v/>
      </c>
      <c r="P1551">
        <f>IF(ISBLANK('ENGAGEMENTS 2026'!B1551),"",'ENGAGEMENTS 2026'!J1551)</f>
        <v/>
      </c>
      <c r="Q1551">
        <f>IF($A1551="","",IF(OR($E1551="INFRUCTUEUX",$E1551="ANNULE"),$A1551&amp;"|"&amp;(COUNTIFS($A$2:$A1551,$A1551,$E$2:$E1551,"INFRUCTUEUX")+COUNTIFS($A$2:$A1551,$A1551,$E$2:$E1551,"ANNULE")),""))</f>
        <v/>
      </c>
    </row>
    <row r="1552">
      <c r="A1552">
        <f>IF(ISBLANK('ENGAGEMENTS 2026'!B1552),"",IF('ENGAGEMENTS 2026'!B1552="DTSI","DCT",'ENGAGEMENTS 2026'!B1552))</f>
        <v/>
      </c>
      <c r="B1552">
        <f>IF(ISBLANK('ENGAGEMENTS 2026'!B1552),"",'ENGAGEMENTS 2026'!C1552)</f>
        <v/>
      </c>
      <c r="C1552">
        <f>IF(ISBLANK('ENGAGEMENTS 2026'!B1552),"",'ENGAGEMENTS 2026'!D1552)</f>
        <v/>
      </c>
      <c r="D1552">
        <f>IF(ISBLANK('ENGAGEMENTS 2026'!B1552),"",'ENGAGEMENTS 2026'!F1552)</f>
        <v/>
      </c>
      <c r="E1552">
        <f>IF(ISBLANK('ENGAGEMENTS 2026'!B1552),"",'ENGAGEMENTS 2026'!H1552)</f>
        <v/>
      </c>
      <c r="F1552">
        <f>IF(ISBLANK('ENGAGEMENTS 2026'!B1552),"",'ENGAGEMENTS 2026'!I1552)</f>
        <v/>
      </c>
      <c r="G1552">
        <f>IF(ISBLANK('ENGAGEMENTS 2026'!B1552),"",'ENGAGEMENTS 2026'!L1552)</f>
        <v/>
      </c>
      <c r="H1552">
        <f>IF(ISBLANK('ENGAGEMENTS 2026'!B1552),"",'ENGAGEMENTS 2026'!AE1552)</f>
        <v/>
      </c>
      <c r="I1552">
        <f>IF(ISBLANK('ENGAGEMENTS 2026'!B1552),"",'ENGAGEMENTS 2026'!G1552)</f>
        <v/>
      </c>
      <c r="J1552" s="275">
        <f>IF(ISBLANK('ENGAGEMENTS 2026'!B1552),"",IF(AND(OR($E1552="INFRUCTUEUX",$E1552="ANNULE"),$C1552="AOO-M"),'ENGAGEMENTS 2026'!O1552,IF($H1552="EN COURS DE PREENGAGEMENT",'ENGAGEMENTS 2026'!N1552,IF($H1552="PREENGAGE",IF($E1552="ATTRIBUE",'ENGAGEMENTS 2026'!AD1552,'ENGAGEMENTS 2026'!N1552),'ENGAGEMENTS 2026'!AD1552))))</f>
        <v/>
      </c>
      <c r="K1552" s="604">
        <f>IF(ISBLANK('ENGAGEMENTS 2026'!V1552),"",'ENGAGEMENTS 2026'!V1552)</f>
        <v/>
      </c>
      <c r="L1552" s="276">
        <f>IF($K1552="","",TODAY()-$K1552)</f>
        <v/>
      </c>
      <c r="M1552">
        <f>IF($A1552="","",IF($H1552="ENGAGE","Engagé",IF(AND($H1552="NON ENGAGE",OR($I1552="INFRUCTUEUX",$I1552="ANNULE")),"Clôturé sans suite","En cours")))</f>
        <v/>
      </c>
      <c r="N1552">
        <f>IF(ISBLANK('ENGAGEMENTS 2026'!B1552),"",'ENGAGEMENTS 2026'!K1552)</f>
        <v/>
      </c>
      <c r="O1552">
        <f>IF(ISBLANK('ENGAGEMENTS 2026'!B1552),"",'ENGAGEMENTS 2026'!L1552)</f>
        <v/>
      </c>
      <c r="P1552">
        <f>IF(ISBLANK('ENGAGEMENTS 2026'!B1552),"",'ENGAGEMENTS 2026'!J1552)</f>
        <v/>
      </c>
      <c r="Q1552">
        <f>IF($A1552="","",IF(OR($E1552="INFRUCTUEUX",$E1552="ANNULE"),$A1552&amp;"|"&amp;(COUNTIFS($A$2:$A1552,$A1552,$E$2:$E1552,"INFRUCTUEUX")+COUNTIFS($A$2:$A1552,$A1552,$E$2:$E1552,"ANNULE")),""))</f>
        <v/>
      </c>
    </row>
    <row r="1553">
      <c r="A1553">
        <f>IF(ISBLANK('ENGAGEMENTS 2026'!B1553),"",IF('ENGAGEMENTS 2026'!B1553="DTSI","DCT",'ENGAGEMENTS 2026'!B1553))</f>
        <v/>
      </c>
      <c r="B1553">
        <f>IF(ISBLANK('ENGAGEMENTS 2026'!B1553),"",'ENGAGEMENTS 2026'!C1553)</f>
        <v/>
      </c>
      <c r="C1553">
        <f>IF(ISBLANK('ENGAGEMENTS 2026'!B1553),"",'ENGAGEMENTS 2026'!D1553)</f>
        <v/>
      </c>
      <c r="D1553">
        <f>IF(ISBLANK('ENGAGEMENTS 2026'!B1553),"",'ENGAGEMENTS 2026'!F1553)</f>
        <v/>
      </c>
      <c r="E1553">
        <f>IF(ISBLANK('ENGAGEMENTS 2026'!B1553),"",'ENGAGEMENTS 2026'!H1553)</f>
        <v/>
      </c>
      <c r="F1553">
        <f>IF(ISBLANK('ENGAGEMENTS 2026'!B1553),"",'ENGAGEMENTS 2026'!I1553)</f>
        <v/>
      </c>
      <c r="G1553">
        <f>IF(ISBLANK('ENGAGEMENTS 2026'!B1553),"",'ENGAGEMENTS 2026'!L1553)</f>
        <v/>
      </c>
      <c r="H1553">
        <f>IF(ISBLANK('ENGAGEMENTS 2026'!B1553),"",'ENGAGEMENTS 2026'!AE1553)</f>
        <v/>
      </c>
      <c r="I1553">
        <f>IF(ISBLANK('ENGAGEMENTS 2026'!B1553),"",'ENGAGEMENTS 2026'!G1553)</f>
        <v/>
      </c>
      <c r="J1553" s="275">
        <f>IF(ISBLANK('ENGAGEMENTS 2026'!B1553),"",IF(AND(OR($E1553="INFRUCTUEUX",$E1553="ANNULE"),$C1553="AOO-M"),'ENGAGEMENTS 2026'!O1553,IF($H1553="EN COURS DE PREENGAGEMENT",'ENGAGEMENTS 2026'!N1553,IF($H1553="PREENGAGE",IF($E1553="ATTRIBUE",'ENGAGEMENTS 2026'!AD1553,'ENGAGEMENTS 2026'!N1553),'ENGAGEMENTS 2026'!AD1553))))</f>
        <v/>
      </c>
      <c r="K1553" s="604">
        <f>IF(ISBLANK('ENGAGEMENTS 2026'!V1553),"",'ENGAGEMENTS 2026'!V1553)</f>
        <v/>
      </c>
      <c r="L1553" s="276">
        <f>IF($K1553="","",TODAY()-$K1553)</f>
        <v/>
      </c>
      <c r="M1553">
        <f>IF($A1553="","",IF($H1553="ENGAGE","Engagé",IF(AND($H1553="NON ENGAGE",OR($I1553="INFRUCTUEUX",$I1553="ANNULE")),"Clôturé sans suite","En cours")))</f>
        <v/>
      </c>
      <c r="N1553">
        <f>IF(ISBLANK('ENGAGEMENTS 2026'!B1553),"",'ENGAGEMENTS 2026'!K1553)</f>
        <v/>
      </c>
      <c r="O1553">
        <f>IF(ISBLANK('ENGAGEMENTS 2026'!B1553),"",'ENGAGEMENTS 2026'!L1553)</f>
        <v/>
      </c>
      <c r="P1553">
        <f>IF(ISBLANK('ENGAGEMENTS 2026'!B1553),"",'ENGAGEMENTS 2026'!J1553)</f>
        <v/>
      </c>
      <c r="Q1553">
        <f>IF($A1553="","",IF(OR($E1553="INFRUCTUEUX",$E1553="ANNULE"),$A1553&amp;"|"&amp;(COUNTIFS($A$2:$A1553,$A1553,$E$2:$E1553,"INFRUCTUEUX")+COUNTIFS($A$2:$A1553,$A1553,$E$2:$E1553,"ANNULE")),""))</f>
        <v/>
      </c>
    </row>
    <row r="1554">
      <c r="A1554">
        <f>IF(ISBLANK('ENGAGEMENTS 2026'!B1554),"",IF('ENGAGEMENTS 2026'!B1554="DTSI","DCT",'ENGAGEMENTS 2026'!B1554))</f>
        <v/>
      </c>
      <c r="B1554">
        <f>IF(ISBLANK('ENGAGEMENTS 2026'!B1554),"",'ENGAGEMENTS 2026'!C1554)</f>
        <v/>
      </c>
      <c r="C1554">
        <f>IF(ISBLANK('ENGAGEMENTS 2026'!B1554),"",'ENGAGEMENTS 2026'!D1554)</f>
        <v/>
      </c>
      <c r="D1554">
        <f>IF(ISBLANK('ENGAGEMENTS 2026'!B1554),"",'ENGAGEMENTS 2026'!F1554)</f>
        <v/>
      </c>
      <c r="E1554">
        <f>IF(ISBLANK('ENGAGEMENTS 2026'!B1554),"",'ENGAGEMENTS 2026'!H1554)</f>
        <v/>
      </c>
      <c r="F1554">
        <f>IF(ISBLANK('ENGAGEMENTS 2026'!B1554),"",'ENGAGEMENTS 2026'!I1554)</f>
        <v/>
      </c>
      <c r="G1554">
        <f>IF(ISBLANK('ENGAGEMENTS 2026'!B1554),"",'ENGAGEMENTS 2026'!L1554)</f>
        <v/>
      </c>
      <c r="H1554">
        <f>IF(ISBLANK('ENGAGEMENTS 2026'!B1554),"",'ENGAGEMENTS 2026'!AE1554)</f>
        <v/>
      </c>
      <c r="I1554">
        <f>IF(ISBLANK('ENGAGEMENTS 2026'!B1554),"",'ENGAGEMENTS 2026'!G1554)</f>
        <v/>
      </c>
      <c r="J1554" s="275">
        <f>IF(ISBLANK('ENGAGEMENTS 2026'!B1554),"",IF(AND(OR($E1554="INFRUCTUEUX",$E1554="ANNULE"),$C1554="AOO-M"),'ENGAGEMENTS 2026'!O1554,IF($H1554="EN COURS DE PREENGAGEMENT",'ENGAGEMENTS 2026'!N1554,IF($H1554="PREENGAGE",IF($E1554="ATTRIBUE",'ENGAGEMENTS 2026'!AD1554,'ENGAGEMENTS 2026'!N1554),'ENGAGEMENTS 2026'!AD1554))))</f>
        <v/>
      </c>
      <c r="K1554" s="604">
        <f>IF(ISBLANK('ENGAGEMENTS 2026'!V1554),"",'ENGAGEMENTS 2026'!V1554)</f>
        <v/>
      </c>
      <c r="L1554" s="276">
        <f>IF($K1554="","",TODAY()-$K1554)</f>
        <v/>
      </c>
      <c r="M1554">
        <f>IF($A1554="","",IF($H1554="ENGAGE","Engagé",IF(AND($H1554="NON ENGAGE",OR($I1554="INFRUCTUEUX",$I1554="ANNULE")),"Clôturé sans suite","En cours")))</f>
        <v/>
      </c>
      <c r="N1554">
        <f>IF(ISBLANK('ENGAGEMENTS 2026'!B1554),"",'ENGAGEMENTS 2026'!K1554)</f>
        <v/>
      </c>
      <c r="O1554">
        <f>IF(ISBLANK('ENGAGEMENTS 2026'!B1554),"",'ENGAGEMENTS 2026'!L1554)</f>
        <v/>
      </c>
      <c r="P1554">
        <f>IF(ISBLANK('ENGAGEMENTS 2026'!B1554),"",'ENGAGEMENTS 2026'!J1554)</f>
        <v/>
      </c>
      <c r="Q1554">
        <f>IF($A1554="","",IF(OR($E1554="INFRUCTUEUX",$E1554="ANNULE"),$A1554&amp;"|"&amp;(COUNTIFS($A$2:$A1554,$A1554,$E$2:$E1554,"INFRUCTUEUX")+COUNTIFS($A$2:$A1554,$A1554,$E$2:$E1554,"ANNULE")),""))</f>
        <v/>
      </c>
    </row>
    <row r="1555">
      <c r="A1555">
        <f>IF(ISBLANK('ENGAGEMENTS 2026'!B1555),"",IF('ENGAGEMENTS 2026'!B1555="DTSI","DCT",'ENGAGEMENTS 2026'!B1555))</f>
        <v/>
      </c>
      <c r="B1555">
        <f>IF(ISBLANK('ENGAGEMENTS 2026'!B1555),"",'ENGAGEMENTS 2026'!C1555)</f>
        <v/>
      </c>
      <c r="C1555">
        <f>IF(ISBLANK('ENGAGEMENTS 2026'!B1555),"",'ENGAGEMENTS 2026'!D1555)</f>
        <v/>
      </c>
      <c r="D1555">
        <f>IF(ISBLANK('ENGAGEMENTS 2026'!B1555),"",'ENGAGEMENTS 2026'!F1555)</f>
        <v/>
      </c>
      <c r="E1555">
        <f>IF(ISBLANK('ENGAGEMENTS 2026'!B1555),"",'ENGAGEMENTS 2026'!H1555)</f>
        <v/>
      </c>
      <c r="F1555">
        <f>IF(ISBLANK('ENGAGEMENTS 2026'!B1555),"",'ENGAGEMENTS 2026'!I1555)</f>
        <v/>
      </c>
      <c r="G1555">
        <f>IF(ISBLANK('ENGAGEMENTS 2026'!B1555),"",'ENGAGEMENTS 2026'!L1555)</f>
        <v/>
      </c>
      <c r="H1555">
        <f>IF(ISBLANK('ENGAGEMENTS 2026'!B1555),"",'ENGAGEMENTS 2026'!AE1555)</f>
        <v/>
      </c>
      <c r="I1555">
        <f>IF(ISBLANK('ENGAGEMENTS 2026'!B1555),"",'ENGAGEMENTS 2026'!G1555)</f>
        <v/>
      </c>
      <c r="J1555" s="275">
        <f>IF(ISBLANK('ENGAGEMENTS 2026'!B1555),"",IF(AND(OR($E1555="INFRUCTUEUX",$E1555="ANNULE"),$C1555="AOO-M"),'ENGAGEMENTS 2026'!O1555,IF($H1555="EN COURS DE PREENGAGEMENT",'ENGAGEMENTS 2026'!N1555,IF($H1555="PREENGAGE",IF($E1555="ATTRIBUE",'ENGAGEMENTS 2026'!AD1555,'ENGAGEMENTS 2026'!N1555),'ENGAGEMENTS 2026'!AD1555))))</f>
        <v/>
      </c>
      <c r="K1555" s="604">
        <f>IF(ISBLANK('ENGAGEMENTS 2026'!V1555),"",'ENGAGEMENTS 2026'!V1555)</f>
        <v/>
      </c>
      <c r="L1555" s="276">
        <f>IF($K1555="","",TODAY()-$K1555)</f>
        <v/>
      </c>
      <c r="M1555">
        <f>IF($A1555="","",IF($H1555="ENGAGE","Engagé",IF(AND($H1555="NON ENGAGE",OR($I1555="INFRUCTUEUX",$I1555="ANNULE")),"Clôturé sans suite","En cours")))</f>
        <v/>
      </c>
      <c r="N1555">
        <f>IF(ISBLANK('ENGAGEMENTS 2026'!B1555),"",'ENGAGEMENTS 2026'!K1555)</f>
        <v/>
      </c>
      <c r="O1555">
        <f>IF(ISBLANK('ENGAGEMENTS 2026'!B1555),"",'ENGAGEMENTS 2026'!L1555)</f>
        <v/>
      </c>
      <c r="P1555">
        <f>IF(ISBLANK('ENGAGEMENTS 2026'!B1555),"",'ENGAGEMENTS 2026'!J1555)</f>
        <v/>
      </c>
      <c r="Q1555">
        <f>IF($A1555="","",IF(OR($E1555="INFRUCTUEUX",$E1555="ANNULE"),$A1555&amp;"|"&amp;(COUNTIFS($A$2:$A1555,$A1555,$E$2:$E1555,"INFRUCTUEUX")+COUNTIFS($A$2:$A1555,$A1555,$E$2:$E1555,"ANNULE")),""))</f>
        <v/>
      </c>
    </row>
    <row r="1556">
      <c r="A1556">
        <f>IF(ISBLANK('ENGAGEMENTS 2026'!B1556),"",IF('ENGAGEMENTS 2026'!B1556="DTSI","DCT",'ENGAGEMENTS 2026'!B1556))</f>
        <v/>
      </c>
      <c r="B1556">
        <f>IF(ISBLANK('ENGAGEMENTS 2026'!B1556),"",'ENGAGEMENTS 2026'!C1556)</f>
        <v/>
      </c>
      <c r="C1556">
        <f>IF(ISBLANK('ENGAGEMENTS 2026'!B1556),"",'ENGAGEMENTS 2026'!D1556)</f>
        <v/>
      </c>
      <c r="D1556">
        <f>IF(ISBLANK('ENGAGEMENTS 2026'!B1556),"",'ENGAGEMENTS 2026'!F1556)</f>
        <v/>
      </c>
      <c r="E1556">
        <f>IF(ISBLANK('ENGAGEMENTS 2026'!B1556),"",'ENGAGEMENTS 2026'!H1556)</f>
        <v/>
      </c>
      <c r="F1556">
        <f>IF(ISBLANK('ENGAGEMENTS 2026'!B1556),"",'ENGAGEMENTS 2026'!I1556)</f>
        <v/>
      </c>
      <c r="G1556">
        <f>IF(ISBLANK('ENGAGEMENTS 2026'!B1556),"",'ENGAGEMENTS 2026'!L1556)</f>
        <v/>
      </c>
      <c r="H1556">
        <f>IF(ISBLANK('ENGAGEMENTS 2026'!B1556),"",'ENGAGEMENTS 2026'!AE1556)</f>
        <v/>
      </c>
      <c r="I1556">
        <f>IF(ISBLANK('ENGAGEMENTS 2026'!B1556),"",'ENGAGEMENTS 2026'!G1556)</f>
        <v/>
      </c>
      <c r="J1556" s="275">
        <f>IF(ISBLANK('ENGAGEMENTS 2026'!B1556),"",IF(AND(OR($E1556="INFRUCTUEUX",$E1556="ANNULE"),$C1556="AOO-M"),'ENGAGEMENTS 2026'!O1556,IF($H1556="EN COURS DE PREENGAGEMENT",'ENGAGEMENTS 2026'!N1556,IF($H1556="PREENGAGE",IF($E1556="ATTRIBUE",'ENGAGEMENTS 2026'!AD1556,'ENGAGEMENTS 2026'!N1556),'ENGAGEMENTS 2026'!AD1556))))</f>
        <v/>
      </c>
      <c r="K1556" s="604">
        <f>IF(ISBLANK('ENGAGEMENTS 2026'!V1556),"",'ENGAGEMENTS 2026'!V1556)</f>
        <v/>
      </c>
      <c r="L1556" s="276">
        <f>IF($K1556="","",TODAY()-$K1556)</f>
        <v/>
      </c>
      <c r="M1556">
        <f>IF($A1556="","",IF($H1556="ENGAGE","Engagé",IF(AND($H1556="NON ENGAGE",OR($I1556="INFRUCTUEUX",$I1556="ANNULE")),"Clôturé sans suite","En cours")))</f>
        <v/>
      </c>
      <c r="N1556">
        <f>IF(ISBLANK('ENGAGEMENTS 2026'!B1556),"",'ENGAGEMENTS 2026'!K1556)</f>
        <v/>
      </c>
      <c r="O1556">
        <f>IF(ISBLANK('ENGAGEMENTS 2026'!B1556),"",'ENGAGEMENTS 2026'!L1556)</f>
        <v/>
      </c>
      <c r="P1556">
        <f>IF(ISBLANK('ENGAGEMENTS 2026'!B1556),"",'ENGAGEMENTS 2026'!J1556)</f>
        <v/>
      </c>
      <c r="Q1556">
        <f>IF($A1556="","",IF(OR($E1556="INFRUCTUEUX",$E1556="ANNULE"),$A1556&amp;"|"&amp;(COUNTIFS($A$2:$A1556,$A1556,$E$2:$E1556,"INFRUCTUEUX")+COUNTIFS($A$2:$A1556,$A1556,$E$2:$E1556,"ANNULE")),""))</f>
        <v/>
      </c>
    </row>
    <row r="1557">
      <c r="A1557">
        <f>IF(ISBLANK('ENGAGEMENTS 2026'!B1557),"",IF('ENGAGEMENTS 2026'!B1557="DTSI","DCT",'ENGAGEMENTS 2026'!B1557))</f>
        <v/>
      </c>
      <c r="B1557">
        <f>IF(ISBLANK('ENGAGEMENTS 2026'!B1557),"",'ENGAGEMENTS 2026'!C1557)</f>
        <v/>
      </c>
      <c r="C1557">
        <f>IF(ISBLANK('ENGAGEMENTS 2026'!B1557),"",'ENGAGEMENTS 2026'!D1557)</f>
        <v/>
      </c>
      <c r="D1557">
        <f>IF(ISBLANK('ENGAGEMENTS 2026'!B1557),"",'ENGAGEMENTS 2026'!F1557)</f>
        <v/>
      </c>
      <c r="E1557">
        <f>IF(ISBLANK('ENGAGEMENTS 2026'!B1557),"",'ENGAGEMENTS 2026'!H1557)</f>
        <v/>
      </c>
      <c r="F1557">
        <f>IF(ISBLANK('ENGAGEMENTS 2026'!B1557),"",'ENGAGEMENTS 2026'!I1557)</f>
        <v/>
      </c>
      <c r="G1557">
        <f>IF(ISBLANK('ENGAGEMENTS 2026'!B1557),"",'ENGAGEMENTS 2026'!L1557)</f>
        <v/>
      </c>
      <c r="H1557">
        <f>IF(ISBLANK('ENGAGEMENTS 2026'!B1557),"",'ENGAGEMENTS 2026'!AE1557)</f>
        <v/>
      </c>
      <c r="I1557">
        <f>IF(ISBLANK('ENGAGEMENTS 2026'!B1557),"",'ENGAGEMENTS 2026'!G1557)</f>
        <v/>
      </c>
      <c r="J1557" s="275">
        <f>IF(ISBLANK('ENGAGEMENTS 2026'!B1557),"",IF(AND(OR($E1557="INFRUCTUEUX",$E1557="ANNULE"),$C1557="AOO-M"),'ENGAGEMENTS 2026'!O1557,IF($H1557="EN COURS DE PREENGAGEMENT",'ENGAGEMENTS 2026'!N1557,IF($H1557="PREENGAGE",IF($E1557="ATTRIBUE",'ENGAGEMENTS 2026'!AD1557,'ENGAGEMENTS 2026'!N1557),'ENGAGEMENTS 2026'!AD1557))))</f>
        <v/>
      </c>
      <c r="K1557" s="604">
        <f>IF(ISBLANK('ENGAGEMENTS 2026'!V1557),"",'ENGAGEMENTS 2026'!V1557)</f>
        <v/>
      </c>
      <c r="L1557" s="276">
        <f>IF($K1557="","",TODAY()-$K1557)</f>
        <v/>
      </c>
      <c r="M1557">
        <f>IF($A1557="","",IF($H1557="ENGAGE","Engagé",IF(AND($H1557="NON ENGAGE",OR($I1557="INFRUCTUEUX",$I1557="ANNULE")),"Clôturé sans suite","En cours")))</f>
        <v/>
      </c>
      <c r="N1557">
        <f>IF(ISBLANK('ENGAGEMENTS 2026'!B1557),"",'ENGAGEMENTS 2026'!K1557)</f>
        <v/>
      </c>
      <c r="O1557">
        <f>IF(ISBLANK('ENGAGEMENTS 2026'!B1557),"",'ENGAGEMENTS 2026'!L1557)</f>
        <v/>
      </c>
      <c r="P1557">
        <f>IF(ISBLANK('ENGAGEMENTS 2026'!B1557),"",'ENGAGEMENTS 2026'!J1557)</f>
        <v/>
      </c>
      <c r="Q1557">
        <f>IF($A1557="","",IF(OR($E1557="INFRUCTUEUX",$E1557="ANNULE"),$A1557&amp;"|"&amp;(COUNTIFS($A$2:$A1557,$A1557,$E$2:$E1557,"INFRUCTUEUX")+COUNTIFS($A$2:$A1557,$A1557,$E$2:$E1557,"ANNULE")),""))</f>
        <v/>
      </c>
    </row>
    <row r="1558">
      <c r="A1558">
        <f>IF(ISBLANK('ENGAGEMENTS 2026'!B1558),"",IF('ENGAGEMENTS 2026'!B1558="DTSI","DCT",'ENGAGEMENTS 2026'!B1558))</f>
        <v/>
      </c>
      <c r="B1558">
        <f>IF(ISBLANK('ENGAGEMENTS 2026'!B1558),"",'ENGAGEMENTS 2026'!C1558)</f>
        <v/>
      </c>
      <c r="C1558">
        <f>IF(ISBLANK('ENGAGEMENTS 2026'!B1558),"",'ENGAGEMENTS 2026'!D1558)</f>
        <v/>
      </c>
      <c r="D1558">
        <f>IF(ISBLANK('ENGAGEMENTS 2026'!B1558),"",'ENGAGEMENTS 2026'!F1558)</f>
        <v/>
      </c>
      <c r="E1558">
        <f>IF(ISBLANK('ENGAGEMENTS 2026'!B1558),"",'ENGAGEMENTS 2026'!H1558)</f>
        <v/>
      </c>
      <c r="F1558">
        <f>IF(ISBLANK('ENGAGEMENTS 2026'!B1558),"",'ENGAGEMENTS 2026'!I1558)</f>
        <v/>
      </c>
      <c r="G1558">
        <f>IF(ISBLANK('ENGAGEMENTS 2026'!B1558),"",'ENGAGEMENTS 2026'!L1558)</f>
        <v/>
      </c>
      <c r="H1558">
        <f>IF(ISBLANK('ENGAGEMENTS 2026'!B1558),"",'ENGAGEMENTS 2026'!AE1558)</f>
        <v/>
      </c>
      <c r="I1558">
        <f>IF(ISBLANK('ENGAGEMENTS 2026'!B1558),"",'ENGAGEMENTS 2026'!G1558)</f>
        <v/>
      </c>
      <c r="J1558" s="275">
        <f>IF(ISBLANK('ENGAGEMENTS 2026'!B1558),"",IF(AND(OR($E1558="INFRUCTUEUX",$E1558="ANNULE"),$C1558="AOO-M"),'ENGAGEMENTS 2026'!O1558,IF($H1558="EN COURS DE PREENGAGEMENT",'ENGAGEMENTS 2026'!N1558,IF($H1558="PREENGAGE",IF($E1558="ATTRIBUE",'ENGAGEMENTS 2026'!AD1558,'ENGAGEMENTS 2026'!N1558),'ENGAGEMENTS 2026'!AD1558))))</f>
        <v/>
      </c>
      <c r="K1558" s="604">
        <f>IF(ISBLANK('ENGAGEMENTS 2026'!V1558),"",'ENGAGEMENTS 2026'!V1558)</f>
        <v/>
      </c>
      <c r="L1558" s="276">
        <f>IF($K1558="","",TODAY()-$K1558)</f>
        <v/>
      </c>
      <c r="M1558">
        <f>IF($A1558="","",IF($H1558="ENGAGE","Engagé",IF(AND($H1558="NON ENGAGE",OR($I1558="INFRUCTUEUX",$I1558="ANNULE")),"Clôturé sans suite","En cours")))</f>
        <v/>
      </c>
      <c r="N1558">
        <f>IF(ISBLANK('ENGAGEMENTS 2026'!B1558),"",'ENGAGEMENTS 2026'!K1558)</f>
        <v/>
      </c>
      <c r="O1558">
        <f>IF(ISBLANK('ENGAGEMENTS 2026'!B1558),"",'ENGAGEMENTS 2026'!L1558)</f>
        <v/>
      </c>
      <c r="P1558">
        <f>IF(ISBLANK('ENGAGEMENTS 2026'!B1558),"",'ENGAGEMENTS 2026'!J1558)</f>
        <v/>
      </c>
      <c r="Q1558">
        <f>IF($A1558="","",IF(OR($E1558="INFRUCTUEUX",$E1558="ANNULE"),$A1558&amp;"|"&amp;(COUNTIFS($A$2:$A1558,$A1558,$E$2:$E1558,"INFRUCTUEUX")+COUNTIFS($A$2:$A1558,$A1558,$E$2:$E1558,"ANNULE")),""))</f>
        <v/>
      </c>
    </row>
    <row r="1559">
      <c r="A1559">
        <f>IF(ISBLANK('ENGAGEMENTS 2026'!B1559),"",IF('ENGAGEMENTS 2026'!B1559="DTSI","DCT",'ENGAGEMENTS 2026'!B1559))</f>
        <v/>
      </c>
      <c r="B1559">
        <f>IF(ISBLANK('ENGAGEMENTS 2026'!B1559),"",'ENGAGEMENTS 2026'!C1559)</f>
        <v/>
      </c>
      <c r="C1559">
        <f>IF(ISBLANK('ENGAGEMENTS 2026'!B1559),"",'ENGAGEMENTS 2026'!D1559)</f>
        <v/>
      </c>
      <c r="D1559">
        <f>IF(ISBLANK('ENGAGEMENTS 2026'!B1559),"",'ENGAGEMENTS 2026'!F1559)</f>
        <v/>
      </c>
      <c r="E1559">
        <f>IF(ISBLANK('ENGAGEMENTS 2026'!B1559),"",'ENGAGEMENTS 2026'!H1559)</f>
        <v/>
      </c>
      <c r="F1559">
        <f>IF(ISBLANK('ENGAGEMENTS 2026'!B1559),"",'ENGAGEMENTS 2026'!I1559)</f>
        <v/>
      </c>
      <c r="G1559">
        <f>IF(ISBLANK('ENGAGEMENTS 2026'!B1559),"",'ENGAGEMENTS 2026'!L1559)</f>
        <v/>
      </c>
      <c r="H1559">
        <f>IF(ISBLANK('ENGAGEMENTS 2026'!B1559),"",'ENGAGEMENTS 2026'!AE1559)</f>
        <v/>
      </c>
      <c r="I1559">
        <f>IF(ISBLANK('ENGAGEMENTS 2026'!B1559),"",'ENGAGEMENTS 2026'!G1559)</f>
        <v/>
      </c>
      <c r="J1559" s="275">
        <f>IF(ISBLANK('ENGAGEMENTS 2026'!B1559),"",IF(AND(OR($E1559="INFRUCTUEUX",$E1559="ANNULE"),$C1559="AOO-M"),'ENGAGEMENTS 2026'!O1559,IF($H1559="EN COURS DE PREENGAGEMENT",'ENGAGEMENTS 2026'!N1559,IF($H1559="PREENGAGE",IF($E1559="ATTRIBUE",'ENGAGEMENTS 2026'!AD1559,'ENGAGEMENTS 2026'!N1559),'ENGAGEMENTS 2026'!AD1559))))</f>
        <v/>
      </c>
      <c r="K1559" s="604">
        <f>IF(ISBLANK('ENGAGEMENTS 2026'!V1559),"",'ENGAGEMENTS 2026'!V1559)</f>
        <v/>
      </c>
      <c r="L1559" s="276">
        <f>IF($K1559="","",TODAY()-$K1559)</f>
        <v/>
      </c>
      <c r="M1559">
        <f>IF($A1559="","",IF($H1559="ENGAGE","Engagé",IF(AND($H1559="NON ENGAGE",OR($I1559="INFRUCTUEUX",$I1559="ANNULE")),"Clôturé sans suite","En cours")))</f>
        <v/>
      </c>
      <c r="N1559">
        <f>IF(ISBLANK('ENGAGEMENTS 2026'!B1559),"",'ENGAGEMENTS 2026'!K1559)</f>
        <v/>
      </c>
      <c r="O1559">
        <f>IF(ISBLANK('ENGAGEMENTS 2026'!B1559),"",'ENGAGEMENTS 2026'!L1559)</f>
        <v/>
      </c>
      <c r="P1559">
        <f>IF(ISBLANK('ENGAGEMENTS 2026'!B1559),"",'ENGAGEMENTS 2026'!J1559)</f>
        <v/>
      </c>
      <c r="Q1559">
        <f>IF($A1559="","",IF(OR($E1559="INFRUCTUEUX",$E1559="ANNULE"),$A1559&amp;"|"&amp;(COUNTIFS($A$2:$A1559,$A1559,$E$2:$E1559,"INFRUCTUEUX")+COUNTIFS($A$2:$A1559,$A1559,$E$2:$E1559,"ANNULE")),""))</f>
        <v/>
      </c>
    </row>
    <row r="1560">
      <c r="A1560">
        <f>IF(ISBLANK('ENGAGEMENTS 2026'!B1560),"",IF('ENGAGEMENTS 2026'!B1560="DTSI","DCT",'ENGAGEMENTS 2026'!B1560))</f>
        <v/>
      </c>
      <c r="B1560">
        <f>IF(ISBLANK('ENGAGEMENTS 2026'!B1560),"",'ENGAGEMENTS 2026'!C1560)</f>
        <v/>
      </c>
      <c r="C1560">
        <f>IF(ISBLANK('ENGAGEMENTS 2026'!B1560),"",'ENGAGEMENTS 2026'!D1560)</f>
        <v/>
      </c>
      <c r="D1560">
        <f>IF(ISBLANK('ENGAGEMENTS 2026'!B1560),"",'ENGAGEMENTS 2026'!F1560)</f>
        <v/>
      </c>
      <c r="E1560">
        <f>IF(ISBLANK('ENGAGEMENTS 2026'!B1560),"",'ENGAGEMENTS 2026'!H1560)</f>
        <v/>
      </c>
      <c r="F1560">
        <f>IF(ISBLANK('ENGAGEMENTS 2026'!B1560),"",'ENGAGEMENTS 2026'!I1560)</f>
        <v/>
      </c>
      <c r="G1560">
        <f>IF(ISBLANK('ENGAGEMENTS 2026'!B1560),"",'ENGAGEMENTS 2026'!L1560)</f>
        <v/>
      </c>
      <c r="H1560">
        <f>IF(ISBLANK('ENGAGEMENTS 2026'!B1560),"",'ENGAGEMENTS 2026'!AE1560)</f>
        <v/>
      </c>
      <c r="I1560">
        <f>IF(ISBLANK('ENGAGEMENTS 2026'!B1560),"",'ENGAGEMENTS 2026'!G1560)</f>
        <v/>
      </c>
      <c r="J1560" s="275">
        <f>IF(ISBLANK('ENGAGEMENTS 2026'!B1560),"",IF(AND(OR($E1560="INFRUCTUEUX",$E1560="ANNULE"),$C1560="AOO-M"),'ENGAGEMENTS 2026'!O1560,IF($H1560="EN COURS DE PREENGAGEMENT",'ENGAGEMENTS 2026'!N1560,IF($H1560="PREENGAGE",IF($E1560="ATTRIBUE",'ENGAGEMENTS 2026'!AD1560,'ENGAGEMENTS 2026'!N1560),'ENGAGEMENTS 2026'!AD1560))))</f>
        <v/>
      </c>
      <c r="K1560" s="604">
        <f>IF(ISBLANK('ENGAGEMENTS 2026'!V1560),"",'ENGAGEMENTS 2026'!V1560)</f>
        <v/>
      </c>
      <c r="L1560" s="276">
        <f>IF($K1560="","",TODAY()-$K1560)</f>
        <v/>
      </c>
      <c r="M1560">
        <f>IF($A1560="","",IF($H1560="ENGAGE","Engagé",IF(AND($H1560="NON ENGAGE",OR($I1560="INFRUCTUEUX",$I1560="ANNULE")),"Clôturé sans suite","En cours")))</f>
        <v/>
      </c>
      <c r="N1560">
        <f>IF(ISBLANK('ENGAGEMENTS 2026'!B1560),"",'ENGAGEMENTS 2026'!K1560)</f>
        <v/>
      </c>
      <c r="O1560">
        <f>IF(ISBLANK('ENGAGEMENTS 2026'!B1560),"",'ENGAGEMENTS 2026'!L1560)</f>
        <v/>
      </c>
      <c r="P1560">
        <f>IF(ISBLANK('ENGAGEMENTS 2026'!B1560),"",'ENGAGEMENTS 2026'!J1560)</f>
        <v/>
      </c>
      <c r="Q1560">
        <f>IF($A1560="","",IF(OR($E1560="INFRUCTUEUX",$E1560="ANNULE"),$A1560&amp;"|"&amp;(COUNTIFS($A$2:$A1560,$A1560,$E$2:$E1560,"INFRUCTUEUX")+COUNTIFS($A$2:$A1560,$A1560,$E$2:$E1560,"ANNULE")),""))</f>
        <v/>
      </c>
    </row>
    <row r="1561">
      <c r="A1561">
        <f>IF(ISBLANK('ENGAGEMENTS 2026'!B1561),"",IF('ENGAGEMENTS 2026'!B1561="DTSI","DCT",'ENGAGEMENTS 2026'!B1561))</f>
        <v/>
      </c>
      <c r="B1561">
        <f>IF(ISBLANK('ENGAGEMENTS 2026'!B1561),"",'ENGAGEMENTS 2026'!C1561)</f>
        <v/>
      </c>
      <c r="C1561">
        <f>IF(ISBLANK('ENGAGEMENTS 2026'!B1561),"",'ENGAGEMENTS 2026'!D1561)</f>
        <v/>
      </c>
      <c r="D1561">
        <f>IF(ISBLANK('ENGAGEMENTS 2026'!B1561),"",'ENGAGEMENTS 2026'!F1561)</f>
        <v/>
      </c>
      <c r="E1561">
        <f>IF(ISBLANK('ENGAGEMENTS 2026'!B1561),"",'ENGAGEMENTS 2026'!H1561)</f>
        <v/>
      </c>
      <c r="F1561">
        <f>IF(ISBLANK('ENGAGEMENTS 2026'!B1561),"",'ENGAGEMENTS 2026'!I1561)</f>
        <v/>
      </c>
      <c r="G1561">
        <f>IF(ISBLANK('ENGAGEMENTS 2026'!B1561),"",'ENGAGEMENTS 2026'!L1561)</f>
        <v/>
      </c>
      <c r="H1561">
        <f>IF(ISBLANK('ENGAGEMENTS 2026'!B1561),"",'ENGAGEMENTS 2026'!AE1561)</f>
        <v/>
      </c>
      <c r="I1561">
        <f>IF(ISBLANK('ENGAGEMENTS 2026'!B1561),"",'ENGAGEMENTS 2026'!G1561)</f>
        <v/>
      </c>
      <c r="J1561" s="275">
        <f>IF(ISBLANK('ENGAGEMENTS 2026'!B1561),"",IF(AND(OR($E1561="INFRUCTUEUX",$E1561="ANNULE"),$C1561="AOO-M"),'ENGAGEMENTS 2026'!O1561,IF($H1561="EN COURS DE PREENGAGEMENT",'ENGAGEMENTS 2026'!N1561,IF($H1561="PREENGAGE",IF($E1561="ATTRIBUE",'ENGAGEMENTS 2026'!AD1561,'ENGAGEMENTS 2026'!N1561),'ENGAGEMENTS 2026'!AD1561))))</f>
        <v/>
      </c>
      <c r="K1561" s="604">
        <f>IF(ISBLANK('ENGAGEMENTS 2026'!V1561),"",'ENGAGEMENTS 2026'!V1561)</f>
        <v/>
      </c>
      <c r="L1561" s="276">
        <f>IF($K1561="","",TODAY()-$K1561)</f>
        <v/>
      </c>
      <c r="M1561">
        <f>IF($A1561="","",IF($H1561="ENGAGE","Engagé",IF(AND($H1561="NON ENGAGE",OR($I1561="INFRUCTUEUX",$I1561="ANNULE")),"Clôturé sans suite","En cours")))</f>
        <v/>
      </c>
      <c r="N1561">
        <f>IF(ISBLANK('ENGAGEMENTS 2026'!B1561),"",'ENGAGEMENTS 2026'!K1561)</f>
        <v/>
      </c>
      <c r="O1561">
        <f>IF(ISBLANK('ENGAGEMENTS 2026'!B1561),"",'ENGAGEMENTS 2026'!L1561)</f>
        <v/>
      </c>
      <c r="P1561">
        <f>IF(ISBLANK('ENGAGEMENTS 2026'!B1561),"",'ENGAGEMENTS 2026'!J1561)</f>
        <v/>
      </c>
      <c r="Q1561">
        <f>IF($A1561="","",IF(OR($E1561="INFRUCTUEUX",$E1561="ANNULE"),$A1561&amp;"|"&amp;(COUNTIFS($A$2:$A1561,$A1561,$E$2:$E1561,"INFRUCTUEUX")+COUNTIFS($A$2:$A1561,$A1561,$E$2:$E1561,"ANNULE")),""))</f>
        <v/>
      </c>
    </row>
    <row r="1562">
      <c r="A1562">
        <f>IF(ISBLANK('ENGAGEMENTS 2026'!B1562),"",IF('ENGAGEMENTS 2026'!B1562="DTSI","DCT",'ENGAGEMENTS 2026'!B1562))</f>
        <v/>
      </c>
      <c r="B1562">
        <f>IF(ISBLANK('ENGAGEMENTS 2026'!B1562),"",'ENGAGEMENTS 2026'!C1562)</f>
        <v/>
      </c>
      <c r="C1562">
        <f>IF(ISBLANK('ENGAGEMENTS 2026'!B1562),"",'ENGAGEMENTS 2026'!D1562)</f>
        <v/>
      </c>
      <c r="D1562">
        <f>IF(ISBLANK('ENGAGEMENTS 2026'!B1562),"",'ENGAGEMENTS 2026'!F1562)</f>
        <v/>
      </c>
      <c r="E1562">
        <f>IF(ISBLANK('ENGAGEMENTS 2026'!B1562),"",'ENGAGEMENTS 2026'!H1562)</f>
        <v/>
      </c>
      <c r="F1562">
        <f>IF(ISBLANK('ENGAGEMENTS 2026'!B1562),"",'ENGAGEMENTS 2026'!I1562)</f>
        <v/>
      </c>
      <c r="G1562">
        <f>IF(ISBLANK('ENGAGEMENTS 2026'!B1562),"",'ENGAGEMENTS 2026'!L1562)</f>
        <v/>
      </c>
      <c r="H1562">
        <f>IF(ISBLANK('ENGAGEMENTS 2026'!B1562),"",'ENGAGEMENTS 2026'!AE1562)</f>
        <v/>
      </c>
      <c r="I1562">
        <f>IF(ISBLANK('ENGAGEMENTS 2026'!B1562),"",'ENGAGEMENTS 2026'!G1562)</f>
        <v/>
      </c>
      <c r="J1562" s="275">
        <f>IF(ISBLANK('ENGAGEMENTS 2026'!B1562),"",IF(AND(OR($E1562="INFRUCTUEUX",$E1562="ANNULE"),$C1562="AOO-M"),'ENGAGEMENTS 2026'!O1562,IF($H1562="EN COURS DE PREENGAGEMENT",'ENGAGEMENTS 2026'!N1562,IF($H1562="PREENGAGE",IF($E1562="ATTRIBUE",'ENGAGEMENTS 2026'!AD1562,'ENGAGEMENTS 2026'!N1562),'ENGAGEMENTS 2026'!AD1562))))</f>
        <v/>
      </c>
      <c r="K1562" s="604">
        <f>IF(ISBLANK('ENGAGEMENTS 2026'!V1562),"",'ENGAGEMENTS 2026'!V1562)</f>
        <v/>
      </c>
      <c r="L1562" s="276">
        <f>IF($K1562="","",TODAY()-$K1562)</f>
        <v/>
      </c>
      <c r="M1562">
        <f>IF($A1562="","",IF($H1562="ENGAGE","Engagé",IF(AND($H1562="NON ENGAGE",OR($I1562="INFRUCTUEUX",$I1562="ANNULE")),"Clôturé sans suite","En cours")))</f>
        <v/>
      </c>
      <c r="N1562">
        <f>IF(ISBLANK('ENGAGEMENTS 2026'!B1562),"",'ENGAGEMENTS 2026'!K1562)</f>
        <v/>
      </c>
      <c r="O1562">
        <f>IF(ISBLANK('ENGAGEMENTS 2026'!B1562),"",'ENGAGEMENTS 2026'!L1562)</f>
        <v/>
      </c>
      <c r="P1562">
        <f>IF(ISBLANK('ENGAGEMENTS 2026'!B1562),"",'ENGAGEMENTS 2026'!J1562)</f>
        <v/>
      </c>
      <c r="Q1562">
        <f>IF($A1562="","",IF(OR($E1562="INFRUCTUEUX",$E1562="ANNULE"),$A1562&amp;"|"&amp;(COUNTIFS($A$2:$A1562,$A1562,$E$2:$E1562,"INFRUCTUEUX")+COUNTIFS($A$2:$A1562,$A1562,$E$2:$E1562,"ANNULE")),""))</f>
        <v/>
      </c>
    </row>
    <row r="1563">
      <c r="A1563">
        <f>IF(ISBLANK('ENGAGEMENTS 2026'!B1563),"",IF('ENGAGEMENTS 2026'!B1563="DTSI","DCT",'ENGAGEMENTS 2026'!B1563))</f>
        <v/>
      </c>
      <c r="B1563">
        <f>IF(ISBLANK('ENGAGEMENTS 2026'!B1563),"",'ENGAGEMENTS 2026'!C1563)</f>
        <v/>
      </c>
      <c r="C1563">
        <f>IF(ISBLANK('ENGAGEMENTS 2026'!B1563),"",'ENGAGEMENTS 2026'!D1563)</f>
        <v/>
      </c>
      <c r="D1563">
        <f>IF(ISBLANK('ENGAGEMENTS 2026'!B1563),"",'ENGAGEMENTS 2026'!F1563)</f>
        <v/>
      </c>
      <c r="E1563">
        <f>IF(ISBLANK('ENGAGEMENTS 2026'!B1563),"",'ENGAGEMENTS 2026'!H1563)</f>
        <v/>
      </c>
      <c r="F1563">
        <f>IF(ISBLANK('ENGAGEMENTS 2026'!B1563),"",'ENGAGEMENTS 2026'!I1563)</f>
        <v/>
      </c>
      <c r="G1563">
        <f>IF(ISBLANK('ENGAGEMENTS 2026'!B1563),"",'ENGAGEMENTS 2026'!L1563)</f>
        <v/>
      </c>
      <c r="H1563">
        <f>IF(ISBLANK('ENGAGEMENTS 2026'!B1563),"",'ENGAGEMENTS 2026'!AE1563)</f>
        <v/>
      </c>
      <c r="I1563">
        <f>IF(ISBLANK('ENGAGEMENTS 2026'!B1563),"",'ENGAGEMENTS 2026'!G1563)</f>
        <v/>
      </c>
      <c r="J1563" s="275">
        <f>IF(ISBLANK('ENGAGEMENTS 2026'!B1563),"",IF(AND(OR($E1563="INFRUCTUEUX",$E1563="ANNULE"),$C1563="AOO-M"),'ENGAGEMENTS 2026'!O1563,IF($H1563="EN COURS DE PREENGAGEMENT",'ENGAGEMENTS 2026'!N1563,IF($H1563="PREENGAGE",IF($E1563="ATTRIBUE",'ENGAGEMENTS 2026'!AD1563,'ENGAGEMENTS 2026'!N1563),'ENGAGEMENTS 2026'!AD1563))))</f>
        <v/>
      </c>
      <c r="K1563" s="604">
        <f>IF(ISBLANK('ENGAGEMENTS 2026'!V1563),"",'ENGAGEMENTS 2026'!V1563)</f>
        <v/>
      </c>
      <c r="L1563" s="276">
        <f>IF($K1563="","",TODAY()-$K1563)</f>
        <v/>
      </c>
      <c r="M1563">
        <f>IF($A1563="","",IF($H1563="ENGAGE","Engagé",IF(AND($H1563="NON ENGAGE",OR($I1563="INFRUCTUEUX",$I1563="ANNULE")),"Clôturé sans suite","En cours")))</f>
        <v/>
      </c>
      <c r="N1563">
        <f>IF(ISBLANK('ENGAGEMENTS 2026'!B1563),"",'ENGAGEMENTS 2026'!K1563)</f>
        <v/>
      </c>
      <c r="O1563">
        <f>IF(ISBLANK('ENGAGEMENTS 2026'!B1563),"",'ENGAGEMENTS 2026'!L1563)</f>
        <v/>
      </c>
      <c r="P1563">
        <f>IF(ISBLANK('ENGAGEMENTS 2026'!B1563),"",'ENGAGEMENTS 2026'!J1563)</f>
        <v/>
      </c>
      <c r="Q1563">
        <f>IF($A1563="","",IF(OR($E1563="INFRUCTUEUX",$E1563="ANNULE"),$A1563&amp;"|"&amp;(COUNTIFS($A$2:$A1563,$A1563,$E$2:$E1563,"INFRUCTUEUX")+COUNTIFS($A$2:$A1563,$A1563,$E$2:$E1563,"ANNULE")),""))</f>
        <v/>
      </c>
    </row>
    <row r="1564">
      <c r="A1564">
        <f>IF(ISBLANK('ENGAGEMENTS 2026'!B1564),"",IF('ENGAGEMENTS 2026'!B1564="DTSI","DCT",'ENGAGEMENTS 2026'!B1564))</f>
        <v/>
      </c>
      <c r="B1564">
        <f>IF(ISBLANK('ENGAGEMENTS 2026'!B1564),"",'ENGAGEMENTS 2026'!C1564)</f>
        <v/>
      </c>
      <c r="C1564">
        <f>IF(ISBLANK('ENGAGEMENTS 2026'!B1564),"",'ENGAGEMENTS 2026'!D1564)</f>
        <v/>
      </c>
      <c r="D1564">
        <f>IF(ISBLANK('ENGAGEMENTS 2026'!B1564),"",'ENGAGEMENTS 2026'!F1564)</f>
        <v/>
      </c>
      <c r="E1564">
        <f>IF(ISBLANK('ENGAGEMENTS 2026'!B1564),"",'ENGAGEMENTS 2026'!H1564)</f>
        <v/>
      </c>
      <c r="F1564">
        <f>IF(ISBLANK('ENGAGEMENTS 2026'!B1564),"",'ENGAGEMENTS 2026'!I1564)</f>
        <v/>
      </c>
      <c r="G1564">
        <f>IF(ISBLANK('ENGAGEMENTS 2026'!B1564),"",'ENGAGEMENTS 2026'!L1564)</f>
        <v/>
      </c>
      <c r="H1564">
        <f>IF(ISBLANK('ENGAGEMENTS 2026'!B1564),"",'ENGAGEMENTS 2026'!AE1564)</f>
        <v/>
      </c>
      <c r="I1564">
        <f>IF(ISBLANK('ENGAGEMENTS 2026'!B1564),"",'ENGAGEMENTS 2026'!G1564)</f>
        <v/>
      </c>
      <c r="J1564" s="275">
        <f>IF(ISBLANK('ENGAGEMENTS 2026'!B1564),"",IF(AND(OR($E1564="INFRUCTUEUX",$E1564="ANNULE"),$C1564="AOO-M"),'ENGAGEMENTS 2026'!O1564,IF($H1564="EN COURS DE PREENGAGEMENT",'ENGAGEMENTS 2026'!N1564,IF($H1564="PREENGAGE",IF($E1564="ATTRIBUE",'ENGAGEMENTS 2026'!AD1564,'ENGAGEMENTS 2026'!N1564),'ENGAGEMENTS 2026'!AD1564))))</f>
        <v/>
      </c>
      <c r="K1564" s="604">
        <f>IF(ISBLANK('ENGAGEMENTS 2026'!V1564),"",'ENGAGEMENTS 2026'!V1564)</f>
        <v/>
      </c>
      <c r="L1564" s="276">
        <f>IF($K1564="","",TODAY()-$K1564)</f>
        <v/>
      </c>
      <c r="M1564">
        <f>IF($A1564="","",IF($H1564="ENGAGE","Engagé",IF(AND($H1564="NON ENGAGE",OR($I1564="INFRUCTUEUX",$I1564="ANNULE")),"Clôturé sans suite","En cours")))</f>
        <v/>
      </c>
      <c r="N1564">
        <f>IF(ISBLANK('ENGAGEMENTS 2026'!B1564),"",'ENGAGEMENTS 2026'!K1564)</f>
        <v/>
      </c>
      <c r="O1564">
        <f>IF(ISBLANK('ENGAGEMENTS 2026'!B1564),"",'ENGAGEMENTS 2026'!L1564)</f>
        <v/>
      </c>
      <c r="P1564">
        <f>IF(ISBLANK('ENGAGEMENTS 2026'!B1564),"",'ENGAGEMENTS 2026'!J1564)</f>
        <v/>
      </c>
      <c r="Q1564">
        <f>IF($A1564="","",IF(OR($E1564="INFRUCTUEUX",$E1564="ANNULE"),$A1564&amp;"|"&amp;(COUNTIFS($A$2:$A1564,$A1564,$E$2:$E1564,"INFRUCTUEUX")+COUNTIFS($A$2:$A1564,$A1564,$E$2:$E1564,"ANNULE")),""))</f>
        <v/>
      </c>
    </row>
    <row r="1565">
      <c r="A1565">
        <f>IF(ISBLANK('ENGAGEMENTS 2026'!B1565),"",IF('ENGAGEMENTS 2026'!B1565="DTSI","DCT",'ENGAGEMENTS 2026'!B1565))</f>
        <v/>
      </c>
      <c r="B1565">
        <f>IF(ISBLANK('ENGAGEMENTS 2026'!B1565),"",'ENGAGEMENTS 2026'!C1565)</f>
        <v/>
      </c>
      <c r="C1565">
        <f>IF(ISBLANK('ENGAGEMENTS 2026'!B1565),"",'ENGAGEMENTS 2026'!D1565)</f>
        <v/>
      </c>
      <c r="D1565">
        <f>IF(ISBLANK('ENGAGEMENTS 2026'!B1565),"",'ENGAGEMENTS 2026'!F1565)</f>
        <v/>
      </c>
      <c r="E1565">
        <f>IF(ISBLANK('ENGAGEMENTS 2026'!B1565),"",'ENGAGEMENTS 2026'!H1565)</f>
        <v/>
      </c>
      <c r="F1565">
        <f>IF(ISBLANK('ENGAGEMENTS 2026'!B1565),"",'ENGAGEMENTS 2026'!I1565)</f>
        <v/>
      </c>
      <c r="G1565">
        <f>IF(ISBLANK('ENGAGEMENTS 2026'!B1565),"",'ENGAGEMENTS 2026'!L1565)</f>
        <v/>
      </c>
      <c r="H1565">
        <f>IF(ISBLANK('ENGAGEMENTS 2026'!B1565),"",'ENGAGEMENTS 2026'!AE1565)</f>
        <v/>
      </c>
      <c r="I1565">
        <f>IF(ISBLANK('ENGAGEMENTS 2026'!B1565),"",'ENGAGEMENTS 2026'!G1565)</f>
        <v/>
      </c>
      <c r="J1565" s="275">
        <f>IF(ISBLANK('ENGAGEMENTS 2026'!B1565),"",IF(AND(OR($E1565="INFRUCTUEUX",$E1565="ANNULE"),$C1565="AOO-M"),'ENGAGEMENTS 2026'!O1565,IF($H1565="EN COURS DE PREENGAGEMENT",'ENGAGEMENTS 2026'!N1565,IF($H1565="PREENGAGE",IF($E1565="ATTRIBUE",'ENGAGEMENTS 2026'!AD1565,'ENGAGEMENTS 2026'!N1565),'ENGAGEMENTS 2026'!AD1565))))</f>
        <v/>
      </c>
      <c r="K1565" s="604">
        <f>IF(ISBLANK('ENGAGEMENTS 2026'!V1565),"",'ENGAGEMENTS 2026'!V1565)</f>
        <v/>
      </c>
      <c r="L1565" s="276">
        <f>IF($K1565="","",TODAY()-$K1565)</f>
        <v/>
      </c>
      <c r="M1565">
        <f>IF($A1565="","",IF($H1565="ENGAGE","Engagé",IF(AND($H1565="NON ENGAGE",OR($I1565="INFRUCTUEUX",$I1565="ANNULE")),"Clôturé sans suite","En cours")))</f>
        <v/>
      </c>
      <c r="N1565">
        <f>IF(ISBLANK('ENGAGEMENTS 2026'!B1565),"",'ENGAGEMENTS 2026'!K1565)</f>
        <v/>
      </c>
      <c r="O1565">
        <f>IF(ISBLANK('ENGAGEMENTS 2026'!B1565),"",'ENGAGEMENTS 2026'!L1565)</f>
        <v/>
      </c>
      <c r="P1565">
        <f>IF(ISBLANK('ENGAGEMENTS 2026'!B1565),"",'ENGAGEMENTS 2026'!J1565)</f>
        <v/>
      </c>
      <c r="Q1565">
        <f>IF($A1565="","",IF(OR($E1565="INFRUCTUEUX",$E1565="ANNULE"),$A1565&amp;"|"&amp;(COUNTIFS($A$2:$A1565,$A1565,$E$2:$E1565,"INFRUCTUEUX")+COUNTIFS($A$2:$A1565,$A1565,$E$2:$E1565,"ANNULE")),""))</f>
        <v/>
      </c>
    </row>
    <row r="1566">
      <c r="A1566">
        <f>IF(ISBLANK('ENGAGEMENTS 2026'!B1566),"",IF('ENGAGEMENTS 2026'!B1566="DTSI","DCT",'ENGAGEMENTS 2026'!B1566))</f>
        <v/>
      </c>
      <c r="B1566">
        <f>IF(ISBLANK('ENGAGEMENTS 2026'!B1566),"",'ENGAGEMENTS 2026'!C1566)</f>
        <v/>
      </c>
      <c r="C1566">
        <f>IF(ISBLANK('ENGAGEMENTS 2026'!B1566),"",'ENGAGEMENTS 2026'!D1566)</f>
        <v/>
      </c>
      <c r="D1566">
        <f>IF(ISBLANK('ENGAGEMENTS 2026'!B1566),"",'ENGAGEMENTS 2026'!F1566)</f>
        <v/>
      </c>
      <c r="E1566">
        <f>IF(ISBLANK('ENGAGEMENTS 2026'!B1566),"",'ENGAGEMENTS 2026'!H1566)</f>
        <v/>
      </c>
      <c r="F1566">
        <f>IF(ISBLANK('ENGAGEMENTS 2026'!B1566),"",'ENGAGEMENTS 2026'!I1566)</f>
        <v/>
      </c>
      <c r="G1566">
        <f>IF(ISBLANK('ENGAGEMENTS 2026'!B1566),"",'ENGAGEMENTS 2026'!L1566)</f>
        <v/>
      </c>
      <c r="H1566">
        <f>IF(ISBLANK('ENGAGEMENTS 2026'!B1566),"",'ENGAGEMENTS 2026'!AE1566)</f>
        <v/>
      </c>
      <c r="I1566">
        <f>IF(ISBLANK('ENGAGEMENTS 2026'!B1566),"",'ENGAGEMENTS 2026'!G1566)</f>
        <v/>
      </c>
      <c r="J1566" s="275">
        <f>IF(ISBLANK('ENGAGEMENTS 2026'!B1566),"",IF(AND(OR($E1566="INFRUCTUEUX",$E1566="ANNULE"),$C1566="AOO-M"),'ENGAGEMENTS 2026'!O1566,IF($H1566="EN COURS DE PREENGAGEMENT",'ENGAGEMENTS 2026'!N1566,IF($H1566="PREENGAGE",IF($E1566="ATTRIBUE",'ENGAGEMENTS 2026'!AD1566,'ENGAGEMENTS 2026'!N1566),'ENGAGEMENTS 2026'!AD1566))))</f>
        <v/>
      </c>
      <c r="K1566" s="604">
        <f>IF(ISBLANK('ENGAGEMENTS 2026'!V1566),"",'ENGAGEMENTS 2026'!V1566)</f>
        <v/>
      </c>
      <c r="L1566" s="276">
        <f>IF($K1566="","",TODAY()-$K1566)</f>
        <v/>
      </c>
      <c r="M1566">
        <f>IF($A1566="","",IF($H1566="ENGAGE","Engagé",IF(AND($H1566="NON ENGAGE",OR($I1566="INFRUCTUEUX",$I1566="ANNULE")),"Clôturé sans suite","En cours")))</f>
        <v/>
      </c>
      <c r="N1566">
        <f>IF(ISBLANK('ENGAGEMENTS 2026'!B1566),"",'ENGAGEMENTS 2026'!K1566)</f>
        <v/>
      </c>
      <c r="O1566">
        <f>IF(ISBLANK('ENGAGEMENTS 2026'!B1566),"",'ENGAGEMENTS 2026'!L1566)</f>
        <v/>
      </c>
      <c r="P1566">
        <f>IF(ISBLANK('ENGAGEMENTS 2026'!B1566),"",'ENGAGEMENTS 2026'!J1566)</f>
        <v/>
      </c>
      <c r="Q1566">
        <f>IF($A1566="","",IF(OR($E1566="INFRUCTUEUX",$E1566="ANNULE"),$A1566&amp;"|"&amp;(COUNTIFS($A$2:$A1566,$A1566,$E$2:$E1566,"INFRUCTUEUX")+COUNTIFS($A$2:$A1566,$A1566,$E$2:$E1566,"ANNULE")),""))</f>
        <v/>
      </c>
    </row>
    <row r="1567">
      <c r="A1567">
        <f>IF(ISBLANK('ENGAGEMENTS 2026'!B1567),"",IF('ENGAGEMENTS 2026'!B1567="DTSI","DCT",'ENGAGEMENTS 2026'!B1567))</f>
        <v/>
      </c>
      <c r="B1567">
        <f>IF(ISBLANK('ENGAGEMENTS 2026'!B1567),"",'ENGAGEMENTS 2026'!C1567)</f>
        <v/>
      </c>
      <c r="C1567">
        <f>IF(ISBLANK('ENGAGEMENTS 2026'!B1567),"",'ENGAGEMENTS 2026'!D1567)</f>
        <v/>
      </c>
      <c r="D1567">
        <f>IF(ISBLANK('ENGAGEMENTS 2026'!B1567),"",'ENGAGEMENTS 2026'!F1567)</f>
        <v/>
      </c>
      <c r="E1567">
        <f>IF(ISBLANK('ENGAGEMENTS 2026'!B1567),"",'ENGAGEMENTS 2026'!H1567)</f>
        <v/>
      </c>
      <c r="F1567">
        <f>IF(ISBLANK('ENGAGEMENTS 2026'!B1567),"",'ENGAGEMENTS 2026'!I1567)</f>
        <v/>
      </c>
      <c r="G1567">
        <f>IF(ISBLANK('ENGAGEMENTS 2026'!B1567),"",'ENGAGEMENTS 2026'!L1567)</f>
        <v/>
      </c>
      <c r="H1567">
        <f>IF(ISBLANK('ENGAGEMENTS 2026'!B1567),"",'ENGAGEMENTS 2026'!AE1567)</f>
        <v/>
      </c>
      <c r="I1567">
        <f>IF(ISBLANK('ENGAGEMENTS 2026'!B1567),"",'ENGAGEMENTS 2026'!G1567)</f>
        <v/>
      </c>
      <c r="J1567" s="275">
        <f>IF(ISBLANK('ENGAGEMENTS 2026'!B1567),"",IF(AND(OR($E1567="INFRUCTUEUX",$E1567="ANNULE"),$C1567="AOO-M"),'ENGAGEMENTS 2026'!O1567,IF($H1567="EN COURS DE PREENGAGEMENT",'ENGAGEMENTS 2026'!N1567,IF($H1567="PREENGAGE",IF($E1567="ATTRIBUE",'ENGAGEMENTS 2026'!AD1567,'ENGAGEMENTS 2026'!N1567),'ENGAGEMENTS 2026'!AD1567))))</f>
        <v/>
      </c>
      <c r="K1567" s="604">
        <f>IF(ISBLANK('ENGAGEMENTS 2026'!V1567),"",'ENGAGEMENTS 2026'!V1567)</f>
        <v/>
      </c>
      <c r="L1567" s="276">
        <f>IF($K1567="","",TODAY()-$K1567)</f>
        <v/>
      </c>
      <c r="M1567">
        <f>IF($A1567="","",IF($H1567="ENGAGE","Engagé",IF(AND($H1567="NON ENGAGE",OR($I1567="INFRUCTUEUX",$I1567="ANNULE")),"Clôturé sans suite","En cours")))</f>
        <v/>
      </c>
      <c r="N1567">
        <f>IF(ISBLANK('ENGAGEMENTS 2026'!B1567),"",'ENGAGEMENTS 2026'!K1567)</f>
        <v/>
      </c>
      <c r="O1567">
        <f>IF(ISBLANK('ENGAGEMENTS 2026'!B1567),"",'ENGAGEMENTS 2026'!L1567)</f>
        <v/>
      </c>
      <c r="P1567">
        <f>IF(ISBLANK('ENGAGEMENTS 2026'!B1567),"",'ENGAGEMENTS 2026'!J1567)</f>
        <v/>
      </c>
      <c r="Q1567">
        <f>IF($A1567="","",IF(OR($E1567="INFRUCTUEUX",$E1567="ANNULE"),$A1567&amp;"|"&amp;(COUNTIFS($A$2:$A1567,$A1567,$E$2:$E1567,"INFRUCTUEUX")+COUNTIFS($A$2:$A1567,$A1567,$E$2:$E1567,"ANNULE")),""))</f>
        <v/>
      </c>
    </row>
    <row r="1568">
      <c r="A1568">
        <f>IF(ISBLANK('ENGAGEMENTS 2026'!B1568),"",IF('ENGAGEMENTS 2026'!B1568="DTSI","DCT",'ENGAGEMENTS 2026'!B1568))</f>
        <v/>
      </c>
      <c r="B1568">
        <f>IF(ISBLANK('ENGAGEMENTS 2026'!B1568),"",'ENGAGEMENTS 2026'!C1568)</f>
        <v/>
      </c>
      <c r="C1568">
        <f>IF(ISBLANK('ENGAGEMENTS 2026'!B1568),"",'ENGAGEMENTS 2026'!D1568)</f>
        <v/>
      </c>
      <c r="D1568">
        <f>IF(ISBLANK('ENGAGEMENTS 2026'!B1568),"",'ENGAGEMENTS 2026'!F1568)</f>
        <v/>
      </c>
      <c r="E1568">
        <f>IF(ISBLANK('ENGAGEMENTS 2026'!B1568),"",'ENGAGEMENTS 2026'!H1568)</f>
        <v/>
      </c>
      <c r="F1568">
        <f>IF(ISBLANK('ENGAGEMENTS 2026'!B1568),"",'ENGAGEMENTS 2026'!I1568)</f>
        <v/>
      </c>
      <c r="G1568">
        <f>IF(ISBLANK('ENGAGEMENTS 2026'!B1568),"",'ENGAGEMENTS 2026'!L1568)</f>
        <v/>
      </c>
      <c r="H1568">
        <f>IF(ISBLANK('ENGAGEMENTS 2026'!B1568),"",'ENGAGEMENTS 2026'!AE1568)</f>
        <v/>
      </c>
      <c r="I1568">
        <f>IF(ISBLANK('ENGAGEMENTS 2026'!B1568),"",'ENGAGEMENTS 2026'!G1568)</f>
        <v/>
      </c>
      <c r="J1568" s="275">
        <f>IF(ISBLANK('ENGAGEMENTS 2026'!B1568),"",IF(AND(OR($E1568="INFRUCTUEUX",$E1568="ANNULE"),$C1568="AOO-M"),'ENGAGEMENTS 2026'!O1568,IF($H1568="EN COURS DE PREENGAGEMENT",'ENGAGEMENTS 2026'!N1568,IF($H1568="PREENGAGE",IF($E1568="ATTRIBUE",'ENGAGEMENTS 2026'!AD1568,'ENGAGEMENTS 2026'!N1568),'ENGAGEMENTS 2026'!AD1568))))</f>
        <v/>
      </c>
      <c r="K1568" s="604">
        <f>IF(ISBLANK('ENGAGEMENTS 2026'!V1568),"",'ENGAGEMENTS 2026'!V1568)</f>
        <v/>
      </c>
      <c r="L1568" s="276">
        <f>IF($K1568="","",TODAY()-$K1568)</f>
        <v/>
      </c>
      <c r="M1568">
        <f>IF($A1568="","",IF($H1568="ENGAGE","Engagé",IF(AND($H1568="NON ENGAGE",OR($I1568="INFRUCTUEUX",$I1568="ANNULE")),"Clôturé sans suite","En cours")))</f>
        <v/>
      </c>
      <c r="N1568">
        <f>IF(ISBLANK('ENGAGEMENTS 2026'!B1568),"",'ENGAGEMENTS 2026'!K1568)</f>
        <v/>
      </c>
      <c r="O1568">
        <f>IF(ISBLANK('ENGAGEMENTS 2026'!B1568),"",'ENGAGEMENTS 2026'!L1568)</f>
        <v/>
      </c>
      <c r="P1568">
        <f>IF(ISBLANK('ENGAGEMENTS 2026'!B1568),"",'ENGAGEMENTS 2026'!J1568)</f>
        <v/>
      </c>
      <c r="Q1568">
        <f>IF($A1568="","",IF(OR($E1568="INFRUCTUEUX",$E1568="ANNULE"),$A1568&amp;"|"&amp;(COUNTIFS($A$2:$A1568,$A1568,$E$2:$E1568,"INFRUCTUEUX")+COUNTIFS($A$2:$A1568,$A1568,$E$2:$E1568,"ANNULE")),""))</f>
        <v/>
      </c>
    </row>
    <row r="1569">
      <c r="A1569">
        <f>IF(ISBLANK('ENGAGEMENTS 2026'!B1569),"",IF('ENGAGEMENTS 2026'!B1569="DTSI","DCT",'ENGAGEMENTS 2026'!B1569))</f>
        <v/>
      </c>
      <c r="B1569">
        <f>IF(ISBLANK('ENGAGEMENTS 2026'!B1569),"",'ENGAGEMENTS 2026'!C1569)</f>
        <v/>
      </c>
      <c r="C1569">
        <f>IF(ISBLANK('ENGAGEMENTS 2026'!B1569),"",'ENGAGEMENTS 2026'!D1569)</f>
        <v/>
      </c>
      <c r="D1569">
        <f>IF(ISBLANK('ENGAGEMENTS 2026'!B1569),"",'ENGAGEMENTS 2026'!F1569)</f>
        <v/>
      </c>
      <c r="E1569">
        <f>IF(ISBLANK('ENGAGEMENTS 2026'!B1569),"",'ENGAGEMENTS 2026'!H1569)</f>
        <v/>
      </c>
      <c r="F1569">
        <f>IF(ISBLANK('ENGAGEMENTS 2026'!B1569),"",'ENGAGEMENTS 2026'!I1569)</f>
        <v/>
      </c>
      <c r="G1569">
        <f>IF(ISBLANK('ENGAGEMENTS 2026'!B1569),"",'ENGAGEMENTS 2026'!L1569)</f>
        <v/>
      </c>
      <c r="H1569">
        <f>IF(ISBLANK('ENGAGEMENTS 2026'!B1569),"",'ENGAGEMENTS 2026'!AE1569)</f>
        <v/>
      </c>
      <c r="I1569">
        <f>IF(ISBLANK('ENGAGEMENTS 2026'!B1569),"",'ENGAGEMENTS 2026'!G1569)</f>
        <v/>
      </c>
      <c r="J1569" s="275">
        <f>IF(ISBLANK('ENGAGEMENTS 2026'!B1569),"",IF(AND(OR($E1569="INFRUCTUEUX",$E1569="ANNULE"),$C1569="AOO-M"),'ENGAGEMENTS 2026'!O1569,IF($H1569="EN COURS DE PREENGAGEMENT",'ENGAGEMENTS 2026'!N1569,IF($H1569="PREENGAGE",IF($E1569="ATTRIBUE",'ENGAGEMENTS 2026'!AD1569,'ENGAGEMENTS 2026'!N1569),'ENGAGEMENTS 2026'!AD1569))))</f>
        <v/>
      </c>
      <c r="K1569" s="604">
        <f>IF(ISBLANK('ENGAGEMENTS 2026'!V1569),"",'ENGAGEMENTS 2026'!V1569)</f>
        <v/>
      </c>
      <c r="L1569" s="276">
        <f>IF($K1569="","",TODAY()-$K1569)</f>
        <v/>
      </c>
      <c r="M1569">
        <f>IF($A1569="","",IF($H1569="ENGAGE","Engagé",IF(AND($H1569="NON ENGAGE",OR($I1569="INFRUCTUEUX",$I1569="ANNULE")),"Clôturé sans suite","En cours")))</f>
        <v/>
      </c>
      <c r="N1569">
        <f>IF(ISBLANK('ENGAGEMENTS 2026'!B1569),"",'ENGAGEMENTS 2026'!K1569)</f>
        <v/>
      </c>
      <c r="O1569">
        <f>IF(ISBLANK('ENGAGEMENTS 2026'!B1569),"",'ENGAGEMENTS 2026'!L1569)</f>
        <v/>
      </c>
      <c r="P1569">
        <f>IF(ISBLANK('ENGAGEMENTS 2026'!B1569),"",'ENGAGEMENTS 2026'!J1569)</f>
        <v/>
      </c>
      <c r="Q1569">
        <f>IF($A1569="","",IF(OR($E1569="INFRUCTUEUX",$E1569="ANNULE"),$A1569&amp;"|"&amp;(COUNTIFS($A$2:$A1569,$A1569,$E$2:$E1569,"INFRUCTUEUX")+COUNTIFS($A$2:$A1569,$A1569,$E$2:$E1569,"ANNULE")),""))</f>
        <v/>
      </c>
    </row>
    <row r="1570">
      <c r="A1570">
        <f>IF(ISBLANK('ENGAGEMENTS 2026'!B1570),"",IF('ENGAGEMENTS 2026'!B1570="DTSI","DCT",'ENGAGEMENTS 2026'!B1570))</f>
        <v/>
      </c>
      <c r="B1570">
        <f>IF(ISBLANK('ENGAGEMENTS 2026'!B1570),"",'ENGAGEMENTS 2026'!C1570)</f>
        <v/>
      </c>
      <c r="C1570">
        <f>IF(ISBLANK('ENGAGEMENTS 2026'!B1570),"",'ENGAGEMENTS 2026'!D1570)</f>
        <v/>
      </c>
      <c r="D1570">
        <f>IF(ISBLANK('ENGAGEMENTS 2026'!B1570),"",'ENGAGEMENTS 2026'!F1570)</f>
        <v/>
      </c>
      <c r="E1570">
        <f>IF(ISBLANK('ENGAGEMENTS 2026'!B1570),"",'ENGAGEMENTS 2026'!H1570)</f>
        <v/>
      </c>
      <c r="F1570">
        <f>IF(ISBLANK('ENGAGEMENTS 2026'!B1570),"",'ENGAGEMENTS 2026'!I1570)</f>
        <v/>
      </c>
      <c r="G1570">
        <f>IF(ISBLANK('ENGAGEMENTS 2026'!B1570),"",'ENGAGEMENTS 2026'!L1570)</f>
        <v/>
      </c>
      <c r="H1570">
        <f>IF(ISBLANK('ENGAGEMENTS 2026'!B1570),"",'ENGAGEMENTS 2026'!AE1570)</f>
        <v/>
      </c>
      <c r="I1570">
        <f>IF(ISBLANK('ENGAGEMENTS 2026'!B1570),"",'ENGAGEMENTS 2026'!G1570)</f>
        <v/>
      </c>
      <c r="J1570" s="275">
        <f>IF(ISBLANK('ENGAGEMENTS 2026'!B1570),"",IF(AND(OR($E1570="INFRUCTUEUX",$E1570="ANNULE"),$C1570="AOO-M"),'ENGAGEMENTS 2026'!O1570,IF($H1570="EN COURS DE PREENGAGEMENT",'ENGAGEMENTS 2026'!N1570,IF($H1570="PREENGAGE",IF($E1570="ATTRIBUE",'ENGAGEMENTS 2026'!AD1570,'ENGAGEMENTS 2026'!N1570),'ENGAGEMENTS 2026'!AD1570))))</f>
        <v/>
      </c>
      <c r="K1570" s="604">
        <f>IF(ISBLANK('ENGAGEMENTS 2026'!V1570),"",'ENGAGEMENTS 2026'!V1570)</f>
        <v/>
      </c>
      <c r="L1570" s="276">
        <f>IF($K1570="","",TODAY()-$K1570)</f>
        <v/>
      </c>
      <c r="M1570">
        <f>IF($A1570="","",IF($H1570="ENGAGE","Engagé",IF(AND($H1570="NON ENGAGE",OR($I1570="INFRUCTUEUX",$I1570="ANNULE")),"Clôturé sans suite","En cours")))</f>
        <v/>
      </c>
      <c r="N1570">
        <f>IF(ISBLANK('ENGAGEMENTS 2026'!B1570),"",'ENGAGEMENTS 2026'!K1570)</f>
        <v/>
      </c>
      <c r="O1570">
        <f>IF(ISBLANK('ENGAGEMENTS 2026'!B1570),"",'ENGAGEMENTS 2026'!L1570)</f>
        <v/>
      </c>
      <c r="P1570">
        <f>IF(ISBLANK('ENGAGEMENTS 2026'!B1570),"",'ENGAGEMENTS 2026'!J1570)</f>
        <v/>
      </c>
      <c r="Q1570">
        <f>IF($A1570="","",IF(OR($E1570="INFRUCTUEUX",$E1570="ANNULE"),$A1570&amp;"|"&amp;(COUNTIFS($A$2:$A1570,$A1570,$E$2:$E1570,"INFRUCTUEUX")+COUNTIFS($A$2:$A1570,$A1570,$E$2:$E1570,"ANNULE")),""))</f>
        <v/>
      </c>
    </row>
    <row r="1571">
      <c r="A1571">
        <f>IF(ISBLANK('ENGAGEMENTS 2026'!B1571),"",IF('ENGAGEMENTS 2026'!B1571="DTSI","DCT",'ENGAGEMENTS 2026'!B1571))</f>
        <v/>
      </c>
      <c r="B1571">
        <f>IF(ISBLANK('ENGAGEMENTS 2026'!B1571),"",'ENGAGEMENTS 2026'!C1571)</f>
        <v/>
      </c>
      <c r="C1571">
        <f>IF(ISBLANK('ENGAGEMENTS 2026'!B1571),"",'ENGAGEMENTS 2026'!D1571)</f>
        <v/>
      </c>
      <c r="D1571">
        <f>IF(ISBLANK('ENGAGEMENTS 2026'!B1571),"",'ENGAGEMENTS 2026'!F1571)</f>
        <v/>
      </c>
      <c r="E1571">
        <f>IF(ISBLANK('ENGAGEMENTS 2026'!B1571),"",'ENGAGEMENTS 2026'!H1571)</f>
        <v/>
      </c>
      <c r="F1571">
        <f>IF(ISBLANK('ENGAGEMENTS 2026'!B1571),"",'ENGAGEMENTS 2026'!I1571)</f>
        <v/>
      </c>
      <c r="G1571">
        <f>IF(ISBLANK('ENGAGEMENTS 2026'!B1571),"",'ENGAGEMENTS 2026'!L1571)</f>
        <v/>
      </c>
      <c r="H1571">
        <f>IF(ISBLANK('ENGAGEMENTS 2026'!B1571),"",'ENGAGEMENTS 2026'!AE1571)</f>
        <v/>
      </c>
      <c r="I1571">
        <f>IF(ISBLANK('ENGAGEMENTS 2026'!B1571),"",'ENGAGEMENTS 2026'!G1571)</f>
        <v/>
      </c>
      <c r="J1571" s="275">
        <f>IF(ISBLANK('ENGAGEMENTS 2026'!B1571),"",IF(AND(OR($E1571="INFRUCTUEUX",$E1571="ANNULE"),$C1571="AOO-M"),'ENGAGEMENTS 2026'!O1571,IF($H1571="EN COURS DE PREENGAGEMENT",'ENGAGEMENTS 2026'!N1571,IF($H1571="PREENGAGE",IF($E1571="ATTRIBUE",'ENGAGEMENTS 2026'!AD1571,'ENGAGEMENTS 2026'!N1571),'ENGAGEMENTS 2026'!AD1571))))</f>
        <v/>
      </c>
      <c r="K1571" s="604">
        <f>IF(ISBLANK('ENGAGEMENTS 2026'!V1571),"",'ENGAGEMENTS 2026'!V1571)</f>
        <v/>
      </c>
      <c r="L1571" s="276">
        <f>IF($K1571="","",TODAY()-$K1571)</f>
        <v/>
      </c>
      <c r="M1571">
        <f>IF($A1571="","",IF($H1571="ENGAGE","Engagé",IF(AND($H1571="NON ENGAGE",OR($I1571="INFRUCTUEUX",$I1571="ANNULE")),"Clôturé sans suite","En cours")))</f>
        <v/>
      </c>
      <c r="N1571">
        <f>IF(ISBLANK('ENGAGEMENTS 2026'!B1571),"",'ENGAGEMENTS 2026'!K1571)</f>
        <v/>
      </c>
      <c r="O1571">
        <f>IF(ISBLANK('ENGAGEMENTS 2026'!B1571),"",'ENGAGEMENTS 2026'!L1571)</f>
        <v/>
      </c>
      <c r="P1571">
        <f>IF(ISBLANK('ENGAGEMENTS 2026'!B1571),"",'ENGAGEMENTS 2026'!J1571)</f>
        <v/>
      </c>
      <c r="Q1571">
        <f>IF($A1571="","",IF(OR($E1571="INFRUCTUEUX",$E1571="ANNULE"),$A1571&amp;"|"&amp;(COUNTIFS($A$2:$A1571,$A1571,$E$2:$E1571,"INFRUCTUEUX")+COUNTIFS($A$2:$A1571,$A1571,$E$2:$E1571,"ANNULE")),""))</f>
        <v/>
      </c>
    </row>
    <row r="1572">
      <c r="A1572">
        <f>IF(ISBLANK('ENGAGEMENTS 2026'!B1572),"",IF('ENGAGEMENTS 2026'!B1572="DTSI","DCT",'ENGAGEMENTS 2026'!B1572))</f>
        <v/>
      </c>
      <c r="B1572">
        <f>IF(ISBLANK('ENGAGEMENTS 2026'!B1572),"",'ENGAGEMENTS 2026'!C1572)</f>
        <v/>
      </c>
      <c r="C1572">
        <f>IF(ISBLANK('ENGAGEMENTS 2026'!B1572),"",'ENGAGEMENTS 2026'!D1572)</f>
        <v/>
      </c>
      <c r="D1572">
        <f>IF(ISBLANK('ENGAGEMENTS 2026'!B1572),"",'ENGAGEMENTS 2026'!F1572)</f>
        <v/>
      </c>
      <c r="E1572">
        <f>IF(ISBLANK('ENGAGEMENTS 2026'!B1572),"",'ENGAGEMENTS 2026'!H1572)</f>
        <v/>
      </c>
      <c r="F1572">
        <f>IF(ISBLANK('ENGAGEMENTS 2026'!B1572),"",'ENGAGEMENTS 2026'!I1572)</f>
        <v/>
      </c>
      <c r="G1572">
        <f>IF(ISBLANK('ENGAGEMENTS 2026'!B1572),"",'ENGAGEMENTS 2026'!L1572)</f>
        <v/>
      </c>
      <c r="H1572">
        <f>IF(ISBLANK('ENGAGEMENTS 2026'!B1572),"",'ENGAGEMENTS 2026'!AE1572)</f>
        <v/>
      </c>
      <c r="I1572">
        <f>IF(ISBLANK('ENGAGEMENTS 2026'!B1572),"",'ENGAGEMENTS 2026'!G1572)</f>
        <v/>
      </c>
      <c r="J1572" s="275">
        <f>IF(ISBLANK('ENGAGEMENTS 2026'!B1572),"",IF(AND(OR($E1572="INFRUCTUEUX",$E1572="ANNULE"),$C1572="AOO-M"),'ENGAGEMENTS 2026'!O1572,IF($H1572="EN COURS DE PREENGAGEMENT",'ENGAGEMENTS 2026'!N1572,IF($H1572="PREENGAGE",IF($E1572="ATTRIBUE",'ENGAGEMENTS 2026'!AD1572,'ENGAGEMENTS 2026'!N1572),'ENGAGEMENTS 2026'!AD1572))))</f>
        <v/>
      </c>
      <c r="K1572" s="604">
        <f>IF(ISBLANK('ENGAGEMENTS 2026'!V1572),"",'ENGAGEMENTS 2026'!V1572)</f>
        <v/>
      </c>
      <c r="L1572" s="276">
        <f>IF($K1572="","",TODAY()-$K1572)</f>
        <v/>
      </c>
      <c r="M1572">
        <f>IF($A1572="","",IF($H1572="ENGAGE","Engagé",IF(AND($H1572="NON ENGAGE",OR($I1572="INFRUCTUEUX",$I1572="ANNULE")),"Clôturé sans suite","En cours")))</f>
        <v/>
      </c>
      <c r="N1572">
        <f>IF(ISBLANK('ENGAGEMENTS 2026'!B1572),"",'ENGAGEMENTS 2026'!K1572)</f>
        <v/>
      </c>
      <c r="O1572">
        <f>IF(ISBLANK('ENGAGEMENTS 2026'!B1572),"",'ENGAGEMENTS 2026'!L1572)</f>
        <v/>
      </c>
      <c r="P1572">
        <f>IF(ISBLANK('ENGAGEMENTS 2026'!B1572),"",'ENGAGEMENTS 2026'!J1572)</f>
        <v/>
      </c>
      <c r="Q1572">
        <f>IF($A1572="","",IF(OR($E1572="INFRUCTUEUX",$E1572="ANNULE"),$A1572&amp;"|"&amp;(COUNTIFS($A$2:$A1572,$A1572,$E$2:$E1572,"INFRUCTUEUX")+COUNTIFS($A$2:$A1572,$A1572,$E$2:$E1572,"ANNULE")),""))</f>
        <v/>
      </c>
    </row>
    <row r="1573">
      <c r="A1573">
        <f>IF(ISBLANK('ENGAGEMENTS 2026'!B1573),"",IF('ENGAGEMENTS 2026'!B1573="DTSI","DCT",'ENGAGEMENTS 2026'!B1573))</f>
        <v/>
      </c>
      <c r="B1573">
        <f>IF(ISBLANK('ENGAGEMENTS 2026'!B1573),"",'ENGAGEMENTS 2026'!C1573)</f>
        <v/>
      </c>
      <c r="C1573">
        <f>IF(ISBLANK('ENGAGEMENTS 2026'!B1573),"",'ENGAGEMENTS 2026'!D1573)</f>
        <v/>
      </c>
      <c r="D1573">
        <f>IF(ISBLANK('ENGAGEMENTS 2026'!B1573),"",'ENGAGEMENTS 2026'!F1573)</f>
        <v/>
      </c>
      <c r="E1573">
        <f>IF(ISBLANK('ENGAGEMENTS 2026'!B1573),"",'ENGAGEMENTS 2026'!H1573)</f>
        <v/>
      </c>
      <c r="F1573">
        <f>IF(ISBLANK('ENGAGEMENTS 2026'!B1573),"",'ENGAGEMENTS 2026'!I1573)</f>
        <v/>
      </c>
      <c r="G1573">
        <f>IF(ISBLANK('ENGAGEMENTS 2026'!B1573),"",'ENGAGEMENTS 2026'!L1573)</f>
        <v/>
      </c>
      <c r="H1573">
        <f>IF(ISBLANK('ENGAGEMENTS 2026'!B1573),"",'ENGAGEMENTS 2026'!AE1573)</f>
        <v/>
      </c>
      <c r="I1573">
        <f>IF(ISBLANK('ENGAGEMENTS 2026'!B1573),"",'ENGAGEMENTS 2026'!G1573)</f>
        <v/>
      </c>
      <c r="J1573" s="275">
        <f>IF(ISBLANK('ENGAGEMENTS 2026'!B1573),"",IF(AND(OR($E1573="INFRUCTUEUX",$E1573="ANNULE"),$C1573="AOO-M"),'ENGAGEMENTS 2026'!O1573,IF($H1573="EN COURS DE PREENGAGEMENT",'ENGAGEMENTS 2026'!N1573,IF($H1573="PREENGAGE",IF($E1573="ATTRIBUE",'ENGAGEMENTS 2026'!AD1573,'ENGAGEMENTS 2026'!N1573),'ENGAGEMENTS 2026'!AD1573))))</f>
        <v/>
      </c>
      <c r="K1573" s="604">
        <f>IF(ISBLANK('ENGAGEMENTS 2026'!V1573),"",'ENGAGEMENTS 2026'!V1573)</f>
        <v/>
      </c>
      <c r="L1573" s="276">
        <f>IF($K1573="","",TODAY()-$K1573)</f>
        <v/>
      </c>
      <c r="M1573">
        <f>IF($A1573="","",IF($H1573="ENGAGE","Engagé",IF(AND($H1573="NON ENGAGE",OR($I1573="INFRUCTUEUX",$I1573="ANNULE")),"Clôturé sans suite","En cours")))</f>
        <v/>
      </c>
      <c r="N1573">
        <f>IF(ISBLANK('ENGAGEMENTS 2026'!B1573),"",'ENGAGEMENTS 2026'!K1573)</f>
        <v/>
      </c>
      <c r="O1573">
        <f>IF(ISBLANK('ENGAGEMENTS 2026'!B1573),"",'ENGAGEMENTS 2026'!L1573)</f>
        <v/>
      </c>
      <c r="P1573">
        <f>IF(ISBLANK('ENGAGEMENTS 2026'!B1573),"",'ENGAGEMENTS 2026'!J1573)</f>
        <v/>
      </c>
      <c r="Q1573">
        <f>IF($A1573="","",IF(OR($E1573="INFRUCTUEUX",$E1573="ANNULE"),$A1573&amp;"|"&amp;(COUNTIFS($A$2:$A1573,$A1573,$E$2:$E1573,"INFRUCTUEUX")+COUNTIFS($A$2:$A1573,$A1573,$E$2:$E1573,"ANNULE")),""))</f>
        <v/>
      </c>
    </row>
    <row r="1574">
      <c r="A1574">
        <f>IF(ISBLANK('ENGAGEMENTS 2026'!B1574),"",IF('ENGAGEMENTS 2026'!B1574="DTSI","DCT",'ENGAGEMENTS 2026'!B1574))</f>
        <v/>
      </c>
      <c r="B1574">
        <f>IF(ISBLANK('ENGAGEMENTS 2026'!B1574),"",'ENGAGEMENTS 2026'!C1574)</f>
        <v/>
      </c>
      <c r="C1574">
        <f>IF(ISBLANK('ENGAGEMENTS 2026'!B1574),"",'ENGAGEMENTS 2026'!D1574)</f>
        <v/>
      </c>
      <c r="D1574">
        <f>IF(ISBLANK('ENGAGEMENTS 2026'!B1574),"",'ENGAGEMENTS 2026'!F1574)</f>
        <v/>
      </c>
      <c r="E1574">
        <f>IF(ISBLANK('ENGAGEMENTS 2026'!B1574),"",'ENGAGEMENTS 2026'!H1574)</f>
        <v/>
      </c>
      <c r="F1574">
        <f>IF(ISBLANK('ENGAGEMENTS 2026'!B1574),"",'ENGAGEMENTS 2026'!I1574)</f>
        <v/>
      </c>
      <c r="G1574">
        <f>IF(ISBLANK('ENGAGEMENTS 2026'!B1574),"",'ENGAGEMENTS 2026'!L1574)</f>
        <v/>
      </c>
      <c r="H1574">
        <f>IF(ISBLANK('ENGAGEMENTS 2026'!B1574),"",'ENGAGEMENTS 2026'!AE1574)</f>
        <v/>
      </c>
      <c r="I1574">
        <f>IF(ISBLANK('ENGAGEMENTS 2026'!B1574),"",'ENGAGEMENTS 2026'!G1574)</f>
        <v/>
      </c>
      <c r="J1574" s="275">
        <f>IF(ISBLANK('ENGAGEMENTS 2026'!B1574),"",IF(AND(OR($E1574="INFRUCTUEUX",$E1574="ANNULE"),$C1574="AOO-M"),'ENGAGEMENTS 2026'!O1574,IF($H1574="EN COURS DE PREENGAGEMENT",'ENGAGEMENTS 2026'!N1574,IF($H1574="PREENGAGE",IF($E1574="ATTRIBUE",'ENGAGEMENTS 2026'!AD1574,'ENGAGEMENTS 2026'!N1574),'ENGAGEMENTS 2026'!AD1574))))</f>
        <v/>
      </c>
      <c r="K1574" s="604">
        <f>IF(ISBLANK('ENGAGEMENTS 2026'!V1574),"",'ENGAGEMENTS 2026'!V1574)</f>
        <v/>
      </c>
      <c r="L1574" s="276">
        <f>IF($K1574="","",TODAY()-$K1574)</f>
        <v/>
      </c>
      <c r="M1574">
        <f>IF($A1574="","",IF($H1574="ENGAGE","Engagé",IF(AND($H1574="NON ENGAGE",OR($I1574="INFRUCTUEUX",$I1574="ANNULE")),"Clôturé sans suite","En cours")))</f>
        <v/>
      </c>
      <c r="N1574">
        <f>IF(ISBLANK('ENGAGEMENTS 2026'!B1574),"",'ENGAGEMENTS 2026'!K1574)</f>
        <v/>
      </c>
      <c r="O1574">
        <f>IF(ISBLANK('ENGAGEMENTS 2026'!B1574),"",'ENGAGEMENTS 2026'!L1574)</f>
        <v/>
      </c>
      <c r="P1574">
        <f>IF(ISBLANK('ENGAGEMENTS 2026'!B1574),"",'ENGAGEMENTS 2026'!J1574)</f>
        <v/>
      </c>
      <c r="Q1574">
        <f>IF($A1574="","",IF(OR($E1574="INFRUCTUEUX",$E1574="ANNULE"),$A1574&amp;"|"&amp;(COUNTIFS($A$2:$A1574,$A1574,$E$2:$E1574,"INFRUCTUEUX")+COUNTIFS($A$2:$A1574,$A1574,$E$2:$E1574,"ANNULE")),""))</f>
        <v/>
      </c>
    </row>
    <row r="1575">
      <c r="A1575">
        <f>IF(ISBLANK('ENGAGEMENTS 2026'!B1575),"",IF('ENGAGEMENTS 2026'!B1575="DTSI","DCT",'ENGAGEMENTS 2026'!B1575))</f>
        <v/>
      </c>
      <c r="B1575">
        <f>IF(ISBLANK('ENGAGEMENTS 2026'!B1575),"",'ENGAGEMENTS 2026'!C1575)</f>
        <v/>
      </c>
      <c r="C1575">
        <f>IF(ISBLANK('ENGAGEMENTS 2026'!B1575),"",'ENGAGEMENTS 2026'!D1575)</f>
        <v/>
      </c>
      <c r="D1575">
        <f>IF(ISBLANK('ENGAGEMENTS 2026'!B1575),"",'ENGAGEMENTS 2026'!F1575)</f>
        <v/>
      </c>
      <c r="E1575">
        <f>IF(ISBLANK('ENGAGEMENTS 2026'!B1575),"",'ENGAGEMENTS 2026'!H1575)</f>
        <v/>
      </c>
      <c r="F1575">
        <f>IF(ISBLANK('ENGAGEMENTS 2026'!B1575),"",'ENGAGEMENTS 2026'!I1575)</f>
        <v/>
      </c>
      <c r="G1575">
        <f>IF(ISBLANK('ENGAGEMENTS 2026'!B1575),"",'ENGAGEMENTS 2026'!L1575)</f>
        <v/>
      </c>
      <c r="H1575">
        <f>IF(ISBLANK('ENGAGEMENTS 2026'!B1575),"",'ENGAGEMENTS 2026'!AE1575)</f>
        <v/>
      </c>
      <c r="I1575">
        <f>IF(ISBLANK('ENGAGEMENTS 2026'!B1575),"",'ENGAGEMENTS 2026'!G1575)</f>
        <v/>
      </c>
      <c r="J1575" s="275">
        <f>IF(ISBLANK('ENGAGEMENTS 2026'!B1575),"",IF(AND(OR($E1575="INFRUCTUEUX",$E1575="ANNULE"),$C1575="AOO-M"),'ENGAGEMENTS 2026'!O1575,IF($H1575="EN COURS DE PREENGAGEMENT",'ENGAGEMENTS 2026'!N1575,IF($H1575="PREENGAGE",IF($E1575="ATTRIBUE",'ENGAGEMENTS 2026'!AD1575,'ENGAGEMENTS 2026'!N1575),'ENGAGEMENTS 2026'!AD1575))))</f>
        <v/>
      </c>
      <c r="K1575" s="604">
        <f>IF(ISBLANK('ENGAGEMENTS 2026'!V1575),"",'ENGAGEMENTS 2026'!V1575)</f>
        <v/>
      </c>
      <c r="L1575" s="276">
        <f>IF($K1575="","",TODAY()-$K1575)</f>
        <v/>
      </c>
      <c r="M1575">
        <f>IF($A1575="","",IF($H1575="ENGAGE","Engagé",IF(AND($H1575="NON ENGAGE",OR($I1575="INFRUCTUEUX",$I1575="ANNULE")),"Clôturé sans suite","En cours")))</f>
        <v/>
      </c>
      <c r="N1575">
        <f>IF(ISBLANK('ENGAGEMENTS 2026'!B1575),"",'ENGAGEMENTS 2026'!K1575)</f>
        <v/>
      </c>
      <c r="O1575">
        <f>IF(ISBLANK('ENGAGEMENTS 2026'!B1575),"",'ENGAGEMENTS 2026'!L1575)</f>
        <v/>
      </c>
      <c r="P1575">
        <f>IF(ISBLANK('ENGAGEMENTS 2026'!B1575),"",'ENGAGEMENTS 2026'!J1575)</f>
        <v/>
      </c>
      <c r="Q1575">
        <f>IF($A1575="","",IF(OR($E1575="INFRUCTUEUX",$E1575="ANNULE"),$A1575&amp;"|"&amp;(COUNTIFS($A$2:$A1575,$A1575,$E$2:$E1575,"INFRUCTUEUX")+COUNTIFS($A$2:$A1575,$A1575,$E$2:$E1575,"ANNULE")),""))</f>
        <v/>
      </c>
    </row>
    <row r="1576">
      <c r="A1576">
        <f>IF(ISBLANK('ENGAGEMENTS 2026'!B1576),"",IF('ENGAGEMENTS 2026'!B1576="DTSI","DCT",'ENGAGEMENTS 2026'!B1576))</f>
        <v/>
      </c>
      <c r="B1576">
        <f>IF(ISBLANK('ENGAGEMENTS 2026'!B1576),"",'ENGAGEMENTS 2026'!C1576)</f>
        <v/>
      </c>
      <c r="C1576">
        <f>IF(ISBLANK('ENGAGEMENTS 2026'!B1576),"",'ENGAGEMENTS 2026'!D1576)</f>
        <v/>
      </c>
      <c r="D1576">
        <f>IF(ISBLANK('ENGAGEMENTS 2026'!B1576),"",'ENGAGEMENTS 2026'!F1576)</f>
        <v/>
      </c>
      <c r="E1576">
        <f>IF(ISBLANK('ENGAGEMENTS 2026'!B1576),"",'ENGAGEMENTS 2026'!H1576)</f>
        <v/>
      </c>
      <c r="F1576">
        <f>IF(ISBLANK('ENGAGEMENTS 2026'!B1576),"",'ENGAGEMENTS 2026'!I1576)</f>
        <v/>
      </c>
      <c r="G1576">
        <f>IF(ISBLANK('ENGAGEMENTS 2026'!B1576),"",'ENGAGEMENTS 2026'!L1576)</f>
        <v/>
      </c>
      <c r="H1576">
        <f>IF(ISBLANK('ENGAGEMENTS 2026'!B1576),"",'ENGAGEMENTS 2026'!AE1576)</f>
        <v/>
      </c>
      <c r="I1576">
        <f>IF(ISBLANK('ENGAGEMENTS 2026'!B1576),"",'ENGAGEMENTS 2026'!G1576)</f>
        <v/>
      </c>
      <c r="J1576" s="275">
        <f>IF(ISBLANK('ENGAGEMENTS 2026'!B1576),"",IF(AND(OR($E1576="INFRUCTUEUX",$E1576="ANNULE"),$C1576="AOO-M"),'ENGAGEMENTS 2026'!O1576,IF($H1576="EN COURS DE PREENGAGEMENT",'ENGAGEMENTS 2026'!N1576,IF($H1576="PREENGAGE",IF($E1576="ATTRIBUE",'ENGAGEMENTS 2026'!AD1576,'ENGAGEMENTS 2026'!N1576),'ENGAGEMENTS 2026'!AD1576))))</f>
        <v/>
      </c>
      <c r="K1576" s="604">
        <f>IF(ISBLANK('ENGAGEMENTS 2026'!V1576),"",'ENGAGEMENTS 2026'!V1576)</f>
        <v/>
      </c>
      <c r="L1576" s="276">
        <f>IF($K1576="","",TODAY()-$K1576)</f>
        <v/>
      </c>
      <c r="M1576">
        <f>IF($A1576="","",IF($H1576="ENGAGE","Engagé",IF(AND($H1576="NON ENGAGE",OR($I1576="INFRUCTUEUX",$I1576="ANNULE")),"Clôturé sans suite","En cours")))</f>
        <v/>
      </c>
      <c r="N1576">
        <f>IF(ISBLANK('ENGAGEMENTS 2026'!B1576),"",'ENGAGEMENTS 2026'!K1576)</f>
        <v/>
      </c>
      <c r="O1576">
        <f>IF(ISBLANK('ENGAGEMENTS 2026'!B1576),"",'ENGAGEMENTS 2026'!L1576)</f>
        <v/>
      </c>
      <c r="P1576">
        <f>IF(ISBLANK('ENGAGEMENTS 2026'!B1576),"",'ENGAGEMENTS 2026'!J1576)</f>
        <v/>
      </c>
      <c r="Q1576">
        <f>IF($A1576="","",IF(OR($E1576="INFRUCTUEUX",$E1576="ANNULE"),$A1576&amp;"|"&amp;(COUNTIFS($A$2:$A1576,$A1576,$E$2:$E1576,"INFRUCTUEUX")+COUNTIFS($A$2:$A1576,$A1576,$E$2:$E1576,"ANNULE")),""))</f>
        <v/>
      </c>
    </row>
    <row r="1577">
      <c r="A1577">
        <f>IF(ISBLANK('ENGAGEMENTS 2026'!B1577),"",IF('ENGAGEMENTS 2026'!B1577="DTSI","DCT",'ENGAGEMENTS 2026'!B1577))</f>
        <v/>
      </c>
      <c r="B1577">
        <f>IF(ISBLANK('ENGAGEMENTS 2026'!B1577),"",'ENGAGEMENTS 2026'!C1577)</f>
        <v/>
      </c>
      <c r="C1577">
        <f>IF(ISBLANK('ENGAGEMENTS 2026'!B1577),"",'ENGAGEMENTS 2026'!D1577)</f>
        <v/>
      </c>
      <c r="D1577">
        <f>IF(ISBLANK('ENGAGEMENTS 2026'!B1577),"",'ENGAGEMENTS 2026'!F1577)</f>
        <v/>
      </c>
      <c r="E1577">
        <f>IF(ISBLANK('ENGAGEMENTS 2026'!B1577),"",'ENGAGEMENTS 2026'!H1577)</f>
        <v/>
      </c>
      <c r="F1577">
        <f>IF(ISBLANK('ENGAGEMENTS 2026'!B1577),"",'ENGAGEMENTS 2026'!I1577)</f>
        <v/>
      </c>
      <c r="G1577">
        <f>IF(ISBLANK('ENGAGEMENTS 2026'!B1577),"",'ENGAGEMENTS 2026'!L1577)</f>
        <v/>
      </c>
      <c r="H1577">
        <f>IF(ISBLANK('ENGAGEMENTS 2026'!B1577),"",'ENGAGEMENTS 2026'!AE1577)</f>
        <v/>
      </c>
      <c r="I1577">
        <f>IF(ISBLANK('ENGAGEMENTS 2026'!B1577),"",'ENGAGEMENTS 2026'!G1577)</f>
        <v/>
      </c>
      <c r="J1577" s="275">
        <f>IF(ISBLANK('ENGAGEMENTS 2026'!B1577),"",IF(AND(OR($E1577="INFRUCTUEUX",$E1577="ANNULE"),$C1577="AOO-M"),'ENGAGEMENTS 2026'!O1577,IF($H1577="EN COURS DE PREENGAGEMENT",'ENGAGEMENTS 2026'!N1577,IF($H1577="PREENGAGE",IF($E1577="ATTRIBUE",'ENGAGEMENTS 2026'!AD1577,'ENGAGEMENTS 2026'!N1577),'ENGAGEMENTS 2026'!AD1577))))</f>
        <v/>
      </c>
      <c r="K1577" s="604">
        <f>IF(ISBLANK('ENGAGEMENTS 2026'!V1577),"",'ENGAGEMENTS 2026'!V1577)</f>
        <v/>
      </c>
      <c r="L1577" s="276">
        <f>IF($K1577="","",TODAY()-$K1577)</f>
        <v/>
      </c>
      <c r="M1577">
        <f>IF($A1577="","",IF($H1577="ENGAGE","Engagé",IF(AND($H1577="NON ENGAGE",OR($I1577="INFRUCTUEUX",$I1577="ANNULE")),"Clôturé sans suite","En cours")))</f>
        <v/>
      </c>
      <c r="N1577">
        <f>IF(ISBLANK('ENGAGEMENTS 2026'!B1577),"",'ENGAGEMENTS 2026'!K1577)</f>
        <v/>
      </c>
      <c r="O1577">
        <f>IF(ISBLANK('ENGAGEMENTS 2026'!B1577),"",'ENGAGEMENTS 2026'!L1577)</f>
        <v/>
      </c>
      <c r="P1577">
        <f>IF(ISBLANK('ENGAGEMENTS 2026'!B1577),"",'ENGAGEMENTS 2026'!J1577)</f>
        <v/>
      </c>
      <c r="Q1577">
        <f>IF($A1577="","",IF(OR($E1577="INFRUCTUEUX",$E1577="ANNULE"),$A1577&amp;"|"&amp;(COUNTIFS($A$2:$A1577,$A1577,$E$2:$E1577,"INFRUCTUEUX")+COUNTIFS($A$2:$A1577,$A1577,$E$2:$E1577,"ANNULE")),""))</f>
        <v/>
      </c>
    </row>
    <row r="1578">
      <c r="A1578">
        <f>IF(ISBLANK('ENGAGEMENTS 2026'!B1578),"",IF('ENGAGEMENTS 2026'!B1578="DTSI","DCT",'ENGAGEMENTS 2026'!B1578))</f>
        <v/>
      </c>
      <c r="B1578">
        <f>IF(ISBLANK('ENGAGEMENTS 2026'!B1578),"",'ENGAGEMENTS 2026'!C1578)</f>
        <v/>
      </c>
      <c r="C1578">
        <f>IF(ISBLANK('ENGAGEMENTS 2026'!B1578),"",'ENGAGEMENTS 2026'!D1578)</f>
        <v/>
      </c>
      <c r="D1578">
        <f>IF(ISBLANK('ENGAGEMENTS 2026'!B1578),"",'ENGAGEMENTS 2026'!F1578)</f>
        <v/>
      </c>
      <c r="E1578">
        <f>IF(ISBLANK('ENGAGEMENTS 2026'!B1578),"",'ENGAGEMENTS 2026'!H1578)</f>
        <v/>
      </c>
      <c r="F1578">
        <f>IF(ISBLANK('ENGAGEMENTS 2026'!B1578),"",'ENGAGEMENTS 2026'!I1578)</f>
        <v/>
      </c>
      <c r="G1578">
        <f>IF(ISBLANK('ENGAGEMENTS 2026'!B1578),"",'ENGAGEMENTS 2026'!L1578)</f>
        <v/>
      </c>
      <c r="H1578">
        <f>IF(ISBLANK('ENGAGEMENTS 2026'!B1578),"",'ENGAGEMENTS 2026'!AE1578)</f>
        <v/>
      </c>
      <c r="I1578">
        <f>IF(ISBLANK('ENGAGEMENTS 2026'!B1578),"",'ENGAGEMENTS 2026'!G1578)</f>
        <v/>
      </c>
      <c r="J1578" s="275">
        <f>IF(ISBLANK('ENGAGEMENTS 2026'!B1578),"",IF(AND(OR($E1578="INFRUCTUEUX",$E1578="ANNULE"),$C1578="AOO-M"),'ENGAGEMENTS 2026'!O1578,IF($H1578="EN COURS DE PREENGAGEMENT",'ENGAGEMENTS 2026'!N1578,IF($H1578="PREENGAGE",IF($E1578="ATTRIBUE",'ENGAGEMENTS 2026'!AD1578,'ENGAGEMENTS 2026'!N1578),'ENGAGEMENTS 2026'!AD1578))))</f>
        <v/>
      </c>
      <c r="K1578" s="604">
        <f>IF(ISBLANK('ENGAGEMENTS 2026'!V1578),"",'ENGAGEMENTS 2026'!V1578)</f>
        <v/>
      </c>
      <c r="L1578" s="276">
        <f>IF($K1578="","",TODAY()-$K1578)</f>
        <v/>
      </c>
      <c r="M1578">
        <f>IF($A1578="","",IF($H1578="ENGAGE","Engagé",IF(AND($H1578="NON ENGAGE",OR($I1578="INFRUCTUEUX",$I1578="ANNULE")),"Clôturé sans suite","En cours")))</f>
        <v/>
      </c>
      <c r="N1578">
        <f>IF(ISBLANK('ENGAGEMENTS 2026'!B1578),"",'ENGAGEMENTS 2026'!K1578)</f>
        <v/>
      </c>
      <c r="O1578">
        <f>IF(ISBLANK('ENGAGEMENTS 2026'!B1578),"",'ENGAGEMENTS 2026'!L1578)</f>
        <v/>
      </c>
      <c r="P1578">
        <f>IF(ISBLANK('ENGAGEMENTS 2026'!B1578),"",'ENGAGEMENTS 2026'!J1578)</f>
        <v/>
      </c>
      <c r="Q1578">
        <f>IF($A1578="","",IF(OR($E1578="INFRUCTUEUX",$E1578="ANNULE"),$A1578&amp;"|"&amp;(COUNTIFS($A$2:$A1578,$A1578,$E$2:$E1578,"INFRUCTUEUX")+COUNTIFS($A$2:$A1578,$A1578,$E$2:$E1578,"ANNULE")),""))</f>
        <v/>
      </c>
    </row>
    <row r="1579">
      <c r="A1579">
        <f>IF(ISBLANK('ENGAGEMENTS 2026'!B1579),"",IF('ENGAGEMENTS 2026'!B1579="DTSI","DCT",'ENGAGEMENTS 2026'!B1579))</f>
        <v/>
      </c>
      <c r="B1579">
        <f>IF(ISBLANK('ENGAGEMENTS 2026'!B1579),"",'ENGAGEMENTS 2026'!C1579)</f>
        <v/>
      </c>
      <c r="C1579">
        <f>IF(ISBLANK('ENGAGEMENTS 2026'!B1579),"",'ENGAGEMENTS 2026'!D1579)</f>
        <v/>
      </c>
      <c r="D1579">
        <f>IF(ISBLANK('ENGAGEMENTS 2026'!B1579),"",'ENGAGEMENTS 2026'!F1579)</f>
        <v/>
      </c>
      <c r="E1579">
        <f>IF(ISBLANK('ENGAGEMENTS 2026'!B1579),"",'ENGAGEMENTS 2026'!H1579)</f>
        <v/>
      </c>
      <c r="F1579">
        <f>IF(ISBLANK('ENGAGEMENTS 2026'!B1579),"",'ENGAGEMENTS 2026'!I1579)</f>
        <v/>
      </c>
      <c r="G1579">
        <f>IF(ISBLANK('ENGAGEMENTS 2026'!B1579),"",'ENGAGEMENTS 2026'!L1579)</f>
        <v/>
      </c>
      <c r="H1579">
        <f>IF(ISBLANK('ENGAGEMENTS 2026'!B1579),"",'ENGAGEMENTS 2026'!AE1579)</f>
        <v/>
      </c>
      <c r="I1579">
        <f>IF(ISBLANK('ENGAGEMENTS 2026'!B1579),"",'ENGAGEMENTS 2026'!G1579)</f>
        <v/>
      </c>
      <c r="J1579" s="275">
        <f>IF(ISBLANK('ENGAGEMENTS 2026'!B1579),"",IF(AND(OR($E1579="INFRUCTUEUX",$E1579="ANNULE"),$C1579="AOO-M"),'ENGAGEMENTS 2026'!O1579,IF($H1579="EN COURS DE PREENGAGEMENT",'ENGAGEMENTS 2026'!N1579,IF($H1579="PREENGAGE",IF($E1579="ATTRIBUE",'ENGAGEMENTS 2026'!AD1579,'ENGAGEMENTS 2026'!N1579),'ENGAGEMENTS 2026'!AD1579))))</f>
        <v/>
      </c>
      <c r="K1579" s="604">
        <f>IF(ISBLANK('ENGAGEMENTS 2026'!V1579),"",'ENGAGEMENTS 2026'!V1579)</f>
        <v/>
      </c>
      <c r="L1579" s="276">
        <f>IF($K1579="","",TODAY()-$K1579)</f>
        <v/>
      </c>
      <c r="M1579">
        <f>IF($A1579="","",IF($H1579="ENGAGE","Engagé",IF(AND($H1579="NON ENGAGE",OR($I1579="INFRUCTUEUX",$I1579="ANNULE")),"Clôturé sans suite","En cours")))</f>
        <v/>
      </c>
      <c r="N1579">
        <f>IF(ISBLANK('ENGAGEMENTS 2026'!B1579),"",'ENGAGEMENTS 2026'!K1579)</f>
        <v/>
      </c>
      <c r="O1579">
        <f>IF(ISBLANK('ENGAGEMENTS 2026'!B1579),"",'ENGAGEMENTS 2026'!L1579)</f>
        <v/>
      </c>
      <c r="P1579">
        <f>IF(ISBLANK('ENGAGEMENTS 2026'!B1579),"",'ENGAGEMENTS 2026'!J1579)</f>
        <v/>
      </c>
      <c r="Q1579">
        <f>IF($A1579="","",IF(OR($E1579="INFRUCTUEUX",$E1579="ANNULE"),$A1579&amp;"|"&amp;(COUNTIFS($A$2:$A1579,$A1579,$E$2:$E1579,"INFRUCTUEUX")+COUNTIFS($A$2:$A1579,$A1579,$E$2:$E1579,"ANNULE")),""))</f>
        <v/>
      </c>
    </row>
    <row r="1580">
      <c r="A1580">
        <f>IF(ISBLANK('ENGAGEMENTS 2026'!B1580),"",IF('ENGAGEMENTS 2026'!B1580="DTSI","DCT",'ENGAGEMENTS 2026'!B1580))</f>
        <v/>
      </c>
      <c r="B1580">
        <f>IF(ISBLANK('ENGAGEMENTS 2026'!B1580),"",'ENGAGEMENTS 2026'!C1580)</f>
        <v/>
      </c>
      <c r="C1580">
        <f>IF(ISBLANK('ENGAGEMENTS 2026'!B1580),"",'ENGAGEMENTS 2026'!D1580)</f>
        <v/>
      </c>
      <c r="D1580">
        <f>IF(ISBLANK('ENGAGEMENTS 2026'!B1580),"",'ENGAGEMENTS 2026'!F1580)</f>
        <v/>
      </c>
      <c r="E1580">
        <f>IF(ISBLANK('ENGAGEMENTS 2026'!B1580),"",'ENGAGEMENTS 2026'!H1580)</f>
        <v/>
      </c>
      <c r="F1580">
        <f>IF(ISBLANK('ENGAGEMENTS 2026'!B1580),"",'ENGAGEMENTS 2026'!I1580)</f>
        <v/>
      </c>
      <c r="G1580">
        <f>IF(ISBLANK('ENGAGEMENTS 2026'!B1580),"",'ENGAGEMENTS 2026'!L1580)</f>
        <v/>
      </c>
      <c r="H1580">
        <f>IF(ISBLANK('ENGAGEMENTS 2026'!B1580),"",'ENGAGEMENTS 2026'!AE1580)</f>
        <v/>
      </c>
      <c r="I1580">
        <f>IF(ISBLANK('ENGAGEMENTS 2026'!B1580),"",'ENGAGEMENTS 2026'!G1580)</f>
        <v/>
      </c>
      <c r="J1580" s="275">
        <f>IF(ISBLANK('ENGAGEMENTS 2026'!B1580),"",IF(AND(OR($E1580="INFRUCTUEUX",$E1580="ANNULE"),$C1580="AOO-M"),'ENGAGEMENTS 2026'!O1580,IF($H1580="EN COURS DE PREENGAGEMENT",'ENGAGEMENTS 2026'!N1580,IF($H1580="PREENGAGE",IF($E1580="ATTRIBUE",'ENGAGEMENTS 2026'!AD1580,'ENGAGEMENTS 2026'!N1580),'ENGAGEMENTS 2026'!AD1580))))</f>
        <v/>
      </c>
      <c r="K1580" s="604">
        <f>IF(ISBLANK('ENGAGEMENTS 2026'!V1580),"",'ENGAGEMENTS 2026'!V1580)</f>
        <v/>
      </c>
      <c r="L1580" s="276">
        <f>IF($K1580="","",TODAY()-$K1580)</f>
        <v/>
      </c>
      <c r="M1580">
        <f>IF($A1580="","",IF($H1580="ENGAGE","Engagé",IF(AND($H1580="NON ENGAGE",OR($I1580="INFRUCTUEUX",$I1580="ANNULE")),"Clôturé sans suite","En cours")))</f>
        <v/>
      </c>
      <c r="N1580">
        <f>IF(ISBLANK('ENGAGEMENTS 2026'!B1580),"",'ENGAGEMENTS 2026'!K1580)</f>
        <v/>
      </c>
      <c r="O1580">
        <f>IF(ISBLANK('ENGAGEMENTS 2026'!B1580),"",'ENGAGEMENTS 2026'!L1580)</f>
        <v/>
      </c>
      <c r="P1580">
        <f>IF(ISBLANK('ENGAGEMENTS 2026'!B1580),"",'ENGAGEMENTS 2026'!J1580)</f>
        <v/>
      </c>
      <c r="Q1580">
        <f>IF($A1580="","",IF(OR($E1580="INFRUCTUEUX",$E1580="ANNULE"),$A1580&amp;"|"&amp;(COUNTIFS($A$2:$A1580,$A1580,$E$2:$E1580,"INFRUCTUEUX")+COUNTIFS($A$2:$A1580,$A1580,$E$2:$E1580,"ANNULE")),""))</f>
        <v/>
      </c>
    </row>
    <row r="1581">
      <c r="A1581">
        <f>IF(ISBLANK('ENGAGEMENTS 2026'!B1581),"",IF('ENGAGEMENTS 2026'!B1581="DTSI","DCT",'ENGAGEMENTS 2026'!B1581))</f>
        <v/>
      </c>
      <c r="B1581">
        <f>IF(ISBLANK('ENGAGEMENTS 2026'!B1581),"",'ENGAGEMENTS 2026'!C1581)</f>
        <v/>
      </c>
      <c r="C1581">
        <f>IF(ISBLANK('ENGAGEMENTS 2026'!B1581),"",'ENGAGEMENTS 2026'!D1581)</f>
        <v/>
      </c>
      <c r="D1581">
        <f>IF(ISBLANK('ENGAGEMENTS 2026'!B1581),"",'ENGAGEMENTS 2026'!F1581)</f>
        <v/>
      </c>
      <c r="E1581">
        <f>IF(ISBLANK('ENGAGEMENTS 2026'!B1581),"",'ENGAGEMENTS 2026'!H1581)</f>
        <v/>
      </c>
      <c r="F1581">
        <f>IF(ISBLANK('ENGAGEMENTS 2026'!B1581),"",'ENGAGEMENTS 2026'!I1581)</f>
        <v/>
      </c>
      <c r="G1581">
        <f>IF(ISBLANK('ENGAGEMENTS 2026'!B1581),"",'ENGAGEMENTS 2026'!L1581)</f>
        <v/>
      </c>
      <c r="H1581">
        <f>IF(ISBLANK('ENGAGEMENTS 2026'!B1581),"",'ENGAGEMENTS 2026'!AE1581)</f>
        <v/>
      </c>
      <c r="I1581">
        <f>IF(ISBLANK('ENGAGEMENTS 2026'!B1581),"",'ENGAGEMENTS 2026'!G1581)</f>
        <v/>
      </c>
      <c r="J1581" s="275">
        <f>IF(ISBLANK('ENGAGEMENTS 2026'!B1581),"",IF(AND(OR($E1581="INFRUCTUEUX",$E1581="ANNULE"),$C1581="AOO-M"),'ENGAGEMENTS 2026'!O1581,IF($H1581="EN COURS DE PREENGAGEMENT",'ENGAGEMENTS 2026'!N1581,IF($H1581="PREENGAGE",IF($E1581="ATTRIBUE",'ENGAGEMENTS 2026'!AD1581,'ENGAGEMENTS 2026'!N1581),'ENGAGEMENTS 2026'!AD1581))))</f>
        <v/>
      </c>
      <c r="K1581" s="604">
        <f>IF(ISBLANK('ENGAGEMENTS 2026'!V1581),"",'ENGAGEMENTS 2026'!V1581)</f>
        <v/>
      </c>
      <c r="L1581" s="276">
        <f>IF($K1581="","",TODAY()-$K1581)</f>
        <v/>
      </c>
      <c r="M1581">
        <f>IF($A1581="","",IF($H1581="ENGAGE","Engagé",IF(AND($H1581="NON ENGAGE",OR($I1581="INFRUCTUEUX",$I1581="ANNULE")),"Clôturé sans suite","En cours")))</f>
        <v/>
      </c>
      <c r="N1581">
        <f>IF(ISBLANK('ENGAGEMENTS 2026'!B1581),"",'ENGAGEMENTS 2026'!K1581)</f>
        <v/>
      </c>
      <c r="O1581">
        <f>IF(ISBLANK('ENGAGEMENTS 2026'!B1581),"",'ENGAGEMENTS 2026'!L1581)</f>
        <v/>
      </c>
      <c r="P1581">
        <f>IF(ISBLANK('ENGAGEMENTS 2026'!B1581),"",'ENGAGEMENTS 2026'!J1581)</f>
        <v/>
      </c>
      <c r="Q1581">
        <f>IF($A1581="","",IF(OR($E1581="INFRUCTUEUX",$E1581="ANNULE"),$A1581&amp;"|"&amp;(COUNTIFS($A$2:$A1581,$A1581,$E$2:$E1581,"INFRUCTUEUX")+COUNTIFS($A$2:$A1581,$A1581,$E$2:$E1581,"ANNULE")),""))</f>
        <v/>
      </c>
    </row>
    <row r="1582">
      <c r="A1582">
        <f>IF(ISBLANK('ENGAGEMENTS 2026'!B1582),"",IF('ENGAGEMENTS 2026'!B1582="DTSI","DCT",'ENGAGEMENTS 2026'!B1582))</f>
        <v/>
      </c>
      <c r="B1582">
        <f>IF(ISBLANK('ENGAGEMENTS 2026'!B1582),"",'ENGAGEMENTS 2026'!C1582)</f>
        <v/>
      </c>
      <c r="C1582">
        <f>IF(ISBLANK('ENGAGEMENTS 2026'!B1582),"",'ENGAGEMENTS 2026'!D1582)</f>
        <v/>
      </c>
      <c r="D1582">
        <f>IF(ISBLANK('ENGAGEMENTS 2026'!B1582),"",'ENGAGEMENTS 2026'!F1582)</f>
        <v/>
      </c>
      <c r="E1582">
        <f>IF(ISBLANK('ENGAGEMENTS 2026'!B1582),"",'ENGAGEMENTS 2026'!H1582)</f>
        <v/>
      </c>
      <c r="F1582">
        <f>IF(ISBLANK('ENGAGEMENTS 2026'!B1582),"",'ENGAGEMENTS 2026'!I1582)</f>
        <v/>
      </c>
      <c r="G1582">
        <f>IF(ISBLANK('ENGAGEMENTS 2026'!B1582),"",'ENGAGEMENTS 2026'!L1582)</f>
        <v/>
      </c>
      <c r="H1582">
        <f>IF(ISBLANK('ENGAGEMENTS 2026'!B1582),"",'ENGAGEMENTS 2026'!AE1582)</f>
        <v/>
      </c>
      <c r="I1582">
        <f>IF(ISBLANK('ENGAGEMENTS 2026'!B1582),"",'ENGAGEMENTS 2026'!G1582)</f>
        <v/>
      </c>
      <c r="J1582" s="275">
        <f>IF(ISBLANK('ENGAGEMENTS 2026'!B1582),"",IF(AND(OR($E1582="INFRUCTUEUX",$E1582="ANNULE"),$C1582="AOO-M"),'ENGAGEMENTS 2026'!O1582,IF($H1582="EN COURS DE PREENGAGEMENT",'ENGAGEMENTS 2026'!N1582,IF($H1582="PREENGAGE",IF($E1582="ATTRIBUE",'ENGAGEMENTS 2026'!AD1582,'ENGAGEMENTS 2026'!N1582),'ENGAGEMENTS 2026'!AD1582))))</f>
        <v/>
      </c>
      <c r="K1582" s="604">
        <f>IF(ISBLANK('ENGAGEMENTS 2026'!V1582),"",'ENGAGEMENTS 2026'!V1582)</f>
        <v/>
      </c>
      <c r="L1582" s="276">
        <f>IF($K1582="","",TODAY()-$K1582)</f>
        <v/>
      </c>
      <c r="M1582">
        <f>IF($A1582="","",IF($H1582="ENGAGE","Engagé",IF(AND($H1582="NON ENGAGE",OR($I1582="INFRUCTUEUX",$I1582="ANNULE")),"Clôturé sans suite","En cours")))</f>
        <v/>
      </c>
      <c r="N1582">
        <f>IF(ISBLANK('ENGAGEMENTS 2026'!B1582),"",'ENGAGEMENTS 2026'!K1582)</f>
        <v/>
      </c>
      <c r="O1582">
        <f>IF(ISBLANK('ENGAGEMENTS 2026'!B1582),"",'ENGAGEMENTS 2026'!L1582)</f>
        <v/>
      </c>
      <c r="P1582">
        <f>IF(ISBLANK('ENGAGEMENTS 2026'!B1582),"",'ENGAGEMENTS 2026'!J1582)</f>
        <v/>
      </c>
      <c r="Q1582">
        <f>IF($A1582="","",IF(OR($E1582="INFRUCTUEUX",$E1582="ANNULE"),$A1582&amp;"|"&amp;(COUNTIFS($A$2:$A1582,$A1582,$E$2:$E1582,"INFRUCTUEUX")+COUNTIFS($A$2:$A1582,$A1582,$E$2:$E1582,"ANNULE")),""))</f>
        <v/>
      </c>
    </row>
    <row r="1583">
      <c r="A1583">
        <f>IF(ISBLANK('ENGAGEMENTS 2026'!B1583),"",IF('ENGAGEMENTS 2026'!B1583="DTSI","DCT",'ENGAGEMENTS 2026'!B1583))</f>
        <v/>
      </c>
      <c r="B1583">
        <f>IF(ISBLANK('ENGAGEMENTS 2026'!B1583),"",'ENGAGEMENTS 2026'!C1583)</f>
        <v/>
      </c>
      <c r="C1583">
        <f>IF(ISBLANK('ENGAGEMENTS 2026'!B1583),"",'ENGAGEMENTS 2026'!D1583)</f>
        <v/>
      </c>
      <c r="D1583">
        <f>IF(ISBLANK('ENGAGEMENTS 2026'!B1583),"",'ENGAGEMENTS 2026'!F1583)</f>
        <v/>
      </c>
      <c r="E1583">
        <f>IF(ISBLANK('ENGAGEMENTS 2026'!B1583),"",'ENGAGEMENTS 2026'!H1583)</f>
        <v/>
      </c>
      <c r="F1583">
        <f>IF(ISBLANK('ENGAGEMENTS 2026'!B1583),"",'ENGAGEMENTS 2026'!I1583)</f>
        <v/>
      </c>
      <c r="G1583">
        <f>IF(ISBLANK('ENGAGEMENTS 2026'!B1583),"",'ENGAGEMENTS 2026'!L1583)</f>
        <v/>
      </c>
      <c r="H1583">
        <f>IF(ISBLANK('ENGAGEMENTS 2026'!B1583),"",'ENGAGEMENTS 2026'!AE1583)</f>
        <v/>
      </c>
      <c r="I1583">
        <f>IF(ISBLANK('ENGAGEMENTS 2026'!B1583),"",'ENGAGEMENTS 2026'!G1583)</f>
        <v/>
      </c>
      <c r="J1583" s="275">
        <f>IF(ISBLANK('ENGAGEMENTS 2026'!B1583),"",IF(AND(OR($E1583="INFRUCTUEUX",$E1583="ANNULE"),$C1583="AOO-M"),'ENGAGEMENTS 2026'!O1583,IF($H1583="EN COURS DE PREENGAGEMENT",'ENGAGEMENTS 2026'!N1583,IF($H1583="PREENGAGE",IF($E1583="ATTRIBUE",'ENGAGEMENTS 2026'!AD1583,'ENGAGEMENTS 2026'!N1583),'ENGAGEMENTS 2026'!AD1583))))</f>
        <v/>
      </c>
      <c r="K1583" s="604">
        <f>IF(ISBLANK('ENGAGEMENTS 2026'!V1583),"",'ENGAGEMENTS 2026'!V1583)</f>
        <v/>
      </c>
      <c r="L1583" s="276">
        <f>IF($K1583="","",TODAY()-$K1583)</f>
        <v/>
      </c>
      <c r="M1583">
        <f>IF($A1583="","",IF($H1583="ENGAGE","Engagé",IF(AND($H1583="NON ENGAGE",OR($I1583="INFRUCTUEUX",$I1583="ANNULE")),"Clôturé sans suite","En cours")))</f>
        <v/>
      </c>
      <c r="N1583">
        <f>IF(ISBLANK('ENGAGEMENTS 2026'!B1583),"",'ENGAGEMENTS 2026'!K1583)</f>
        <v/>
      </c>
      <c r="O1583">
        <f>IF(ISBLANK('ENGAGEMENTS 2026'!B1583),"",'ENGAGEMENTS 2026'!L1583)</f>
        <v/>
      </c>
      <c r="P1583">
        <f>IF(ISBLANK('ENGAGEMENTS 2026'!B1583),"",'ENGAGEMENTS 2026'!J1583)</f>
        <v/>
      </c>
      <c r="Q1583">
        <f>IF($A1583="","",IF(OR($E1583="INFRUCTUEUX",$E1583="ANNULE"),$A1583&amp;"|"&amp;(COUNTIFS($A$2:$A1583,$A1583,$E$2:$E1583,"INFRUCTUEUX")+COUNTIFS($A$2:$A1583,$A1583,$E$2:$E1583,"ANNULE")),""))</f>
        <v/>
      </c>
    </row>
    <row r="1584">
      <c r="A1584">
        <f>IF(ISBLANK('ENGAGEMENTS 2026'!B1584),"",IF('ENGAGEMENTS 2026'!B1584="DTSI","DCT",'ENGAGEMENTS 2026'!B1584))</f>
        <v/>
      </c>
      <c r="B1584">
        <f>IF(ISBLANK('ENGAGEMENTS 2026'!B1584),"",'ENGAGEMENTS 2026'!C1584)</f>
        <v/>
      </c>
      <c r="C1584">
        <f>IF(ISBLANK('ENGAGEMENTS 2026'!B1584),"",'ENGAGEMENTS 2026'!D1584)</f>
        <v/>
      </c>
      <c r="D1584">
        <f>IF(ISBLANK('ENGAGEMENTS 2026'!B1584),"",'ENGAGEMENTS 2026'!F1584)</f>
        <v/>
      </c>
      <c r="E1584">
        <f>IF(ISBLANK('ENGAGEMENTS 2026'!B1584),"",'ENGAGEMENTS 2026'!H1584)</f>
        <v/>
      </c>
      <c r="F1584">
        <f>IF(ISBLANK('ENGAGEMENTS 2026'!B1584),"",'ENGAGEMENTS 2026'!I1584)</f>
        <v/>
      </c>
      <c r="G1584">
        <f>IF(ISBLANK('ENGAGEMENTS 2026'!B1584),"",'ENGAGEMENTS 2026'!L1584)</f>
        <v/>
      </c>
      <c r="H1584">
        <f>IF(ISBLANK('ENGAGEMENTS 2026'!B1584),"",'ENGAGEMENTS 2026'!AE1584)</f>
        <v/>
      </c>
      <c r="I1584">
        <f>IF(ISBLANK('ENGAGEMENTS 2026'!B1584),"",'ENGAGEMENTS 2026'!G1584)</f>
        <v/>
      </c>
      <c r="J1584" s="275">
        <f>IF(ISBLANK('ENGAGEMENTS 2026'!B1584),"",IF(AND(OR($E1584="INFRUCTUEUX",$E1584="ANNULE"),$C1584="AOO-M"),'ENGAGEMENTS 2026'!O1584,IF($H1584="EN COURS DE PREENGAGEMENT",'ENGAGEMENTS 2026'!N1584,IF($H1584="PREENGAGE",IF($E1584="ATTRIBUE",'ENGAGEMENTS 2026'!AD1584,'ENGAGEMENTS 2026'!N1584),'ENGAGEMENTS 2026'!AD1584))))</f>
        <v/>
      </c>
      <c r="K1584" s="604">
        <f>IF(ISBLANK('ENGAGEMENTS 2026'!V1584),"",'ENGAGEMENTS 2026'!V1584)</f>
        <v/>
      </c>
      <c r="L1584" s="276">
        <f>IF($K1584="","",TODAY()-$K1584)</f>
        <v/>
      </c>
      <c r="M1584">
        <f>IF($A1584="","",IF($H1584="ENGAGE","Engagé",IF(AND($H1584="NON ENGAGE",OR($I1584="INFRUCTUEUX",$I1584="ANNULE")),"Clôturé sans suite","En cours")))</f>
        <v/>
      </c>
      <c r="N1584">
        <f>IF(ISBLANK('ENGAGEMENTS 2026'!B1584),"",'ENGAGEMENTS 2026'!K1584)</f>
        <v/>
      </c>
      <c r="O1584">
        <f>IF(ISBLANK('ENGAGEMENTS 2026'!B1584),"",'ENGAGEMENTS 2026'!L1584)</f>
        <v/>
      </c>
      <c r="P1584">
        <f>IF(ISBLANK('ENGAGEMENTS 2026'!B1584),"",'ENGAGEMENTS 2026'!J1584)</f>
        <v/>
      </c>
      <c r="Q1584">
        <f>IF($A1584="","",IF(OR($E1584="INFRUCTUEUX",$E1584="ANNULE"),$A1584&amp;"|"&amp;(COUNTIFS($A$2:$A1584,$A1584,$E$2:$E1584,"INFRUCTUEUX")+COUNTIFS($A$2:$A1584,$A1584,$E$2:$E1584,"ANNULE")),""))</f>
        <v/>
      </c>
    </row>
    <row r="1585">
      <c r="A1585">
        <f>IF(ISBLANK('ENGAGEMENTS 2026'!B1585),"",IF('ENGAGEMENTS 2026'!B1585="DTSI","DCT",'ENGAGEMENTS 2026'!B1585))</f>
        <v/>
      </c>
      <c r="B1585">
        <f>IF(ISBLANK('ENGAGEMENTS 2026'!B1585),"",'ENGAGEMENTS 2026'!C1585)</f>
        <v/>
      </c>
      <c r="C1585">
        <f>IF(ISBLANK('ENGAGEMENTS 2026'!B1585),"",'ENGAGEMENTS 2026'!D1585)</f>
        <v/>
      </c>
      <c r="D1585">
        <f>IF(ISBLANK('ENGAGEMENTS 2026'!B1585),"",'ENGAGEMENTS 2026'!F1585)</f>
        <v/>
      </c>
      <c r="E1585">
        <f>IF(ISBLANK('ENGAGEMENTS 2026'!B1585),"",'ENGAGEMENTS 2026'!H1585)</f>
        <v/>
      </c>
      <c r="F1585">
        <f>IF(ISBLANK('ENGAGEMENTS 2026'!B1585),"",'ENGAGEMENTS 2026'!I1585)</f>
        <v/>
      </c>
      <c r="G1585">
        <f>IF(ISBLANK('ENGAGEMENTS 2026'!B1585),"",'ENGAGEMENTS 2026'!L1585)</f>
        <v/>
      </c>
      <c r="H1585">
        <f>IF(ISBLANK('ENGAGEMENTS 2026'!B1585),"",'ENGAGEMENTS 2026'!AE1585)</f>
        <v/>
      </c>
      <c r="I1585">
        <f>IF(ISBLANK('ENGAGEMENTS 2026'!B1585),"",'ENGAGEMENTS 2026'!G1585)</f>
        <v/>
      </c>
      <c r="J1585" s="275">
        <f>IF(ISBLANK('ENGAGEMENTS 2026'!B1585),"",IF(AND(OR($E1585="INFRUCTUEUX",$E1585="ANNULE"),$C1585="AOO-M"),'ENGAGEMENTS 2026'!O1585,IF($H1585="EN COURS DE PREENGAGEMENT",'ENGAGEMENTS 2026'!N1585,IF($H1585="PREENGAGE",IF($E1585="ATTRIBUE",'ENGAGEMENTS 2026'!AD1585,'ENGAGEMENTS 2026'!N1585),'ENGAGEMENTS 2026'!AD1585))))</f>
        <v/>
      </c>
      <c r="K1585" s="604">
        <f>IF(ISBLANK('ENGAGEMENTS 2026'!V1585),"",'ENGAGEMENTS 2026'!V1585)</f>
        <v/>
      </c>
      <c r="L1585" s="276">
        <f>IF($K1585="","",TODAY()-$K1585)</f>
        <v/>
      </c>
      <c r="M1585">
        <f>IF($A1585="","",IF($H1585="ENGAGE","Engagé",IF(AND($H1585="NON ENGAGE",OR($I1585="INFRUCTUEUX",$I1585="ANNULE")),"Clôturé sans suite","En cours")))</f>
        <v/>
      </c>
      <c r="N1585">
        <f>IF(ISBLANK('ENGAGEMENTS 2026'!B1585),"",'ENGAGEMENTS 2026'!K1585)</f>
        <v/>
      </c>
      <c r="O1585">
        <f>IF(ISBLANK('ENGAGEMENTS 2026'!B1585),"",'ENGAGEMENTS 2026'!L1585)</f>
        <v/>
      </c>
      <c r="P1585">
        <f>IF(ISBLANK('ENGAGEMENTS 2026'!B1585),"",'ENGAGEMENTS 2026'!J1585)</f>
        <v/>
      </c>
      <c r="Q1585">
        <f>IF($A1585="","",IF(OR($E1585="INFRUCTUEUX",$E1585="ANNULE"),$A1585&amp;"|"&amp;(COUNTIFS($A$2:$A1585,$A1585,$E$2:$E1585,"INFRUCTUEUX")+COUNTIFS($A$2:$A1585,$A1585,$E$2:$E1585,"ANNULE")),""))</f>
        <v/>
      </c>
    </row>
    <row r="1586">
      <c r="A1586">
        <f>IF(ISBLANK('ENGAGEMENTS 2026'!B1586),"",IF('ENGAGEMENTS 2026'!B1586="DTSI","DCT",'ENGAGEMENTS 2026'!B1586))</f>
        <v/>
      </c>
      <c r="B1586">
        <f>IF(ISBLANK('ENGAGEMENTS 2026'!B1586),"",'ENGAGEMENTS 2026'!C1586)</f>
        <v/>
      </c>
      <c r="C1586">
        <f>IF(ISBLANK('ENGAGEMENTS 2026'!B1586),"",'ENGAGEMENTS 2026'!D1586)</f>
        <v/>
      </c>
      <c r="D1586">
        <f>IF(ISBLANK('ENGAGEMENTS 2026'!B1586),"",'ENGAGEMENTS 2026'!F1586)</f>
        <v/>
      </c>
      <c r="E1586">
        <f>IF(ISBLANK('ENGAGEMENTS 2026'!B1586),"",'ENGAGEMENTS 2026'!H1586)</f>
        <v/>
      </c>
      <c r="F1586">
        <f>IF(ISBLANK('ENGAGEMENTS 2026'!B1586),"",'ENGAGEMENTS 2026'!I1586)</f>
        <v/>
      </c>
      <c r="G1586">
        <f>IF(ISBLANK('ENGAGEMENTS 2026'!B1586),"",'ENGAGEMENTS 2026'!L1586)</f>
        <v/>
      </c>
      <c r="H1586">
        <f>IF(ISBLANK('ENGAGEMENTS 2026'!B1586),"",'ENGAGEMENTS 2026'!AE1586)</f>
        <v/>
      </c>
      <c r="I1586">
        <f>IF(ISBLANK('ENGAGEMENTS 2026'!B1586),"",'ENGAGEMENTS 2026'!G1586)</f>
        <v/>
      </c>
      <c r="J1586" s="275">
        <f>IF(ISBLANK('ENGAGEMENTS 2026'!B1586),"",IF(AND(OR($E1586="INFRUCTUEUX",$E1586="ANNULE"),$C1586="AOO-M"),'ENGAGEMENTS 2026'!O1586,IF($H1586="EN COURS DE PREENGAGEMENT",'ENGAGEMENTS 2026'!N1586,IF($H1586="PREENGAGE",IF($E1586="ATTRIBUE",'ENGAGEMENTS 2026'!AD1586,'ENGAGEMENTS 2026'!N1586),'ENGAGEMENTS 2026'!AD1586))))</f>
        <v/>
      </c>
      <c r="K1586" s="604">
        <f>IF(ISBLANK('ENGAGEMENTS 2026'!V1586),"",'ENGAGEMENTS 2026'!V1586)</f>
        <v/>
      </c>
      <c r="L1586" s="276">
        <f>IF($K1586="","",TODAY()-$K1586)</f>
        <v/>
      </c>
      <c r="M1586">
        <f>IF($A1586="","",IF($H1586="ENGAGE","Engagé",IF(AND($H1586="NON ENGAGE",OR($I1586="INFRUCTUEUX",$I1586="ANNULE")),"Clôturé sans suite","En cours")))</f>
        <v/>
      </c>
      <c r="N1586">
        <f>IF(ISBLANK('ENGAGEMENTS 2026'!B1586),"",'ENGAGEMENTS 2026'!K1586)</f>
        <v/>
      </c>
      <c r="O1586">
        <f>IF(ISBLANK('ENGAGEMENTS 2026'!B1586),"",'ENGAGEMENTS 2026'!L1586)</f>
        <v/>
      </c>
      <c r="P1586">
        <f>IF(ISBLANK('ENGAGEMENTS 2026'!B1586),"",'ENGAGEMENTS 2026'!J1586)</f>
        <v/>
      </c>
      <c r="Q1586">
        <f>IF($A1586="","",IF(OR($E1586="INFRUCTUEUX",$E1586="ANNULE"),$A1586&amp;"|"&amp;(COUNTIFS($A$2:$A1586,$A1586,$E$2:$E1586,"INFRUCTUEUX")+COUNTIFS($A$2:$A1586,$A1586,$E$2:$E1586,"ANNULE")),""))</f>
        <v/>
      </c>
    </row>
    <row r="1587">
      <c r="A1587">
        <f>IF(ISBLANK('ENGAGEMENTS 2026'!B1587),"",IF('ENGAGEMENTS 2026'!B1587="DTSI","DCT",'ENGAGEMENTS 2026'!B1587))</f>
        <v/>
      </c>
      <c r="B1587">
        <f>IF(ISBLANK('ENGAGEMENTS 2026'!B1587),"",'ENGAGEMENTS 2026'!C1587)</f>
        <v/>
      </c>
      <c r="C1587">
        <f>IF(ISBLANK('ENGAGEMENTS 2026'!B1587),"",'ENGAGEMENTS 2026'!D1587)</f>
        <v/>
      </c>
      <c r="D1587">
        <f>IF(ISBLANK('ENGAGEMENTS 2026'!B1587),"",'ENGAGEMENTS 2026'!F1587)</f>
        <v/>
      </c>
      <c r="E1587">
        <f>IF(ISBLANK('ENGAGEMENTS 2026'!B1587),"",'ENGAGEMENTS 2026'!H1587)</f>
        <v/>
      </c>
      <c r="F1587">
        <f>IF(ISBLANK('ENGAGEMENTS 2026'!B1587),"",'ENGAGEMENTS 2026'!I1587)</f>
        <v/>
      </c>
      <c r="G1587">
        <f>IF(ISBLANK('ENGAGEMENTS 2026'!B1587),"",'ENGAGEMENTS 2026'!L1587)</f>
        <v/>
      </c>
      <c r="H1587">
        <f>IF(ISBLANK('ENGAGEMENTS 2026'!B1587),"",'ENGAGEMENTS 2026'!AE1587)</f>
        <v/>
      </c>
      <c r="I1587">
        <f>IF(ISBLANK('ENGAGEMENTS 2026'!B1587),"",'ENGAGEMENTS 2026'!G1587)</f>
        <v/>
      </c>
      <c r="J1587" s="275">
        <f>IF(ISBLANK('ENGAGEMENTS 2026'!B1587),"",IF(AND(OR($E1587="INFRUCTUEUX",$E1587="ANNULE"),$C1587="AOO-M"),'ENGAGEMENTS 2026'!O1587,IF($H1587="EN COURS DE PREENGAGEMENT",'ENGAGEMENTS 2026'!N1587,IF($H1587="PREENGAGE",IF($E1587="ATTRIBUE",'ENGAGEMENTS 2026'!AD1587,'ENGAGEMENTS 2026'!N1587),'ENGAGEMENTS 2026'!AD1587))))</f>
        <v/>
      </c>
      <c r="K1587" s="604">
        <f>IF(ISBLANK('ENGAGEMENTS 2026'!V1587),"",'ENGAGEMENTS 2026'!V1587)</f>
        <v/>
      </c>
      <c r="L1587" s="276">
        <f>IF($K1587="","",TODAY()-$K1587)</f>
        <v/>
      </c>
      <c r="M1587">
        <f>IF($A1587="","",IF($H1587="ENGAGE","Engagé",IF(AND($H1587="NON ENGAGE",OR($I1587="INFRUCTUEUX",$I1587="ANNULE")),"Clôturé sans suite","En cours")))</f>
        <v/>
      </c>
      <c r="N1587">
        <f>IF(ISBLANK('ENGAGEMENTS 2026'!B1587),"",'ENGAGEMENTS 2026'!K1587)</f>
        <v/>
      </c>
      <c r="O1587">
        <f>IF(ISBLANK('ENGAGEMENTS 2026'!B1587),"",'ENGAGEMENTS 2026'!L1587)</f>
        <v/>
      </c>
      <c r="P1587">
        <f>IF(ISBLANK('ENGAGEMENTS 2026'!B1587),"",'ENGAGEMENTS 2026'!J1587)</f>
        <v/>
      </c>
      <c r="Q1587">
        <f>IF($A1587="","",IF(OR($E1587="INFRUCTUEUX",$E1587="ANNULE"),$A1587&amp;"|"&amp;(COUNTIFS($A$2:$A1587,$A1587,$E$2:$E1587,"INFRUCTUEUX")+COUNTIFS($A$2:$A1587,$A1587,$E$2:$E1587,"ANNULE")),""))</f>
        <v/>
      </c>
    </row>
    <row r="1588">
      <c r="A1588">
        <f>IF(ISBLANK('ENGAGEMENTS 2026'!B1588),"",IF('ENGAGEMENTS 2026'!B1588="DTSI","DCT",'ENGAGEMENTS 2026'!B1588))</f>
        <v/>
      </c>
      <c r="B1588">
        <f>IF(ISBLANK('ENGAGEMENTS 2026'!B1588),"",'ENGAGEMENTS 2026'!C1588)</f>
        <v/>
      </c>
      <c r="C1588">
        <f>IF(ISBLANK('ENGAGEMENTS 2026'!B1588),"",'ENGAGEMENTS 2026'!D1588)</f>
        <v/>
      </c>
      <c r="D1588">
        <f>IF(ISBLANK('ENGAGEMENTS 2026'!B1588),"",'ENGAGEMENTS 2026'!F1588)</f>
        <v/>
      </c>
      <c r="E1588">
        <f>IF(ISBLANK('ENGAGEMENTS 2026'!B1588),"",'ENGAGEMENTS 2026'!H1588)</f>
        <v/>
      </c>
      <c r="F1588">
        <f>IF(ISBLANK('ENGAGEMENTS 2026'!B1588),"",'ENGAGEMENTS 2026'!I1588)</f>
        <v/>
      </c>
      <c r="G1588">
        <f>IF(ISBLANK('ENGAGEMENTS 2026'!B1588),"",'ENGAGEMENTS 2026'!L1588)</f>
        <v/>
      </c>
      <c r="H1588">
        <f>IF(ISBLANK('ENGAGEMENTS 2026'!B1588),"",'ENGAGEMENTS 2026'!AE1588)</f>
        <v/>
      </c>
      <c r="I1588">
        <f>IF(ISBLANK('ENGAGEMENTS 2026'!B1588),"",'ENGAGEMENTS 2026'!G1588)</f>
        <v/>
      </c>
      <c r="J1588" s="275">
        <f>IF(ISBLANK('ENGAGEMENTS 2026'!B1588),"",IF(AND(OR($E1588="INFRUCTUEUX",$E1588="ANNULE"),$C1588="AOO-M"),'ENGAGEMENTS 2026'!O1588,IF($H1588="EN COURS DE PREENGAGEMENT",'ENGAGEMENTS 2026'!N1588,IF($H1588="PREENGAGE",IF($E1588="ATTRIBUE",'ENGAGEMENTS 2026'!AD1588,'ENGAGEMENTS 2026'!N1588),'ENGAGEMENTS 2026'!AD1588))))</f>
        <v/>
      </c>
      <c r="K1588" s="604">
        <f>IF(ISBLANK('ENGAGEMENTS 2026'!V1588),"",'ENGAGEMENTS 2026'!V1588)</f>
        <v/>
      </c>
      <c r="L1588" s="276">
        <f>IF($K1588="","",TODAY()-$K1588)</f>
        <v/>
      </c>
      <c r="M1588">
        <f>IF($A1588="","",IF($H1588="ENGAGE","Engagé",IF(AND($H1588="NON ENGAGE",OR($I1588="INFRUCTUEUX",$I1588="ANNULE")),"Clôturé sans suite","En cours")))</f>
        <v/>
      </c>
      <c r="N1588">
        <f>IF(ISBLANK('ENGAGEMENTS 2026'!B1588),"",'ENGAGEMENTS 2026'!K1588)</f>
        <v/>
      </c>
      <c r="O1588">
        <f>IF(ISBLANK('ENGAGEMENTS 2026'!B1588),"",'ENGAGEMENTS 2026'!L1588)</f>
        <v/>
      </c>
      <c r="P1588">
        <f>IF(ISBLANK('ENGAGEMENTS 2026'!B1588),"",'ENGAGEMENTS 2026'!J1588)</f>
        <v/>
      </c>
      <c r="Q1588">
        <f>IF($A1588="","",IF(OR($E1588="INFRUCTUEUX",$E1588="ANNULE"),$A1588&amp;"|"&amp;(COUNTIFS($A$2:$A1588,$A1588,$E$2:$E1588,"INFRUCTUEUX")+COUNTIFS($A$2:$A1588,$A1588,$E$2:$E1588,"ANNULE")),""))</f>
        <v/>
      </c>
    </row>
    <row r="1589">
      <c r="A1589">
        <f>IF(ISBLANK('ENGAGEMENTS 2026'!B1589),"",IF('ENGAGEMENTS 2026'!B1589="DTSI","DCT",'ENGAGEMENTS 2026'!B1589))</f>
        <v/>
      </c>
      <c r="B1589">
        <f>IF(ISBLANK('ENGAGEMENTS 2026'!B1589),"",'ENGAGEMENTS 2026'!C1589)</f>
        <v/>
      </c>
      <c r="C1589">
        <f>IF(ISBLANK('ENGAGEMENTS 2026'!B1589),"",'ENGAGEMENTS 2026'!D1589)</f>
        <v/>
      </c>
      <c r="D1589">
        <f>IF(ISBLANK('ENGAGEMENTS 2026'!B1589),"",'ENGAGEMENTS 2026'!F1589)</f>
        <v/>
      </c>
      <c r="E1589">
        <f>IF(ISBLANK('ENGAGEMENTS 2026'!B1589),"",'ENGAGEMENTS 2026'!H1589)</f>
        <v/>
      </c>
      <c r="F1589">
        <f>IF(ISBLANK('ENGAGEMENTS 2026'!B1589),"",'ENGAGEMENTS 2026'!I1589)</f>
        <v/>
      </c>
      <c r="G1589">
        <f>IF(ISBLANK('ENGAGEMENTS 2026'!B1589),"",'ENGAGEMENTS 2026'!L1589)</f>
        <v/>
      </c>
      <c r="H1589">
        <f>IF(ISBLANK('ENGAGEMENTS 2026'!B1589),"",'ENGAGEMENTS 2026'!AE1589)</f>
        <v/>
      </c>
      <c r="I1589">
        <f>IF(ISBLANK('ENGAGEMENTS 2026'!B1589),"",'ENGAGEMENTS 2026'!G1589)</f>
        <v/>
      </c>
      <c r="J1589" s="275">
        <f>IF(ISBLANK('ENGAGEMENTS 2026'!B1589),"",IF(AND(OR($E1589="INFRUCTUEUX",$E1589="ANNULE"),$C1589="AOO-M"),'ENGAGEMENTS 2026'!O1589,IF($H1589="EN COURS DE PREENGAGEMENT",'ENGAGEMENTS 2026'!N1589,IF($H1589="PREENGAGE",IF($E1589="ATTRIBUE",'ENGAGEMENTS 2026'!AD1589,'ENGAGEMENTS 2026'!N1589),'ENGAGEMENTS 2026'!AD1589))))</f>
        <v/>
      </c>
      <c r="K1589" s="604">
        <f>IF(ISBLANK('ENGAGEMENTS 2026'!V1589),"",'ENGAGEMENTS 2026'!V1589)</f>
        <v/>
      </c>
      <c r="L1589" s="276">
        <f>IF($K1589="","",TODAY()-$K1589)</f>
        <v/>
      </c>
      <c r="M1589">
        <f>IF($A1589="","",IF($H1589="ENGAGE","Engagé",IF(AND($H1589="NON ENGAGE",OR($I1589="INFRUCTUEUX",$I1589="ANNULE")),"Clôturé sans suite","En cours")))</f>
        <v/>
      </c>
      <c r="N1589">
        <f>IF(ISBLANK('ENGAGEMENTS 2026'!B1589),"",'ENGAGEMENTS 2026'!K1589)</f>
        <v/>
      </c>
      <c r="O1589">
        <f>IF(ISBLANK('ENGAGEMENTS 2026'!B1589),"",'ENGAGEMENTS 2026'!L1589)</f>
        <v/>
      </c>
      <c r="P1589">
        <f>IF(ISBLANK('ENGAGEMENTS 2026'!B1589),"",'ENGAGEMENTS 2026'!J1589)</f>
        <v/>
      </c>
      <c r="Q1589">
        <f>IF($A1589="","",IF(OR($E1589="INFRUCTUEUX",$E1589="ANNULE"),$A1589&amp;"|"&amp;(COUNTIFS($A$2:$A1589,$A1589,$E$2:$E1589,"INFRUCTUEUX")+COUNTIFS($A$2:$A1589,$A1589,$E$2:$E1589,"ANNULE")),""))</f>
        <v/>
      </c>
    </row>
    <row r="1590">
      <c r="A1590">
        <f>IF(ISBLANK('ENGAGEMENTS 2026'!B1590),"",IF('ENGAGEMENTS 2026'!B1590="DTSI","DCT",'ENGAGEMENTS 2026'!B1590))</f>
        <v/>
      </c>
      <c r="B1590">
        <f>IF(ISBLANK('ENGAGEMENTS 2026'!B1590),"",'ENGAGEMENTS 2026'!C1590)</f>
        <v/>
      </c>
      <c r="C1590">
        <f>IF(ISBLANK('ENGAGEMENTS 2026'!B1590),"",'ENGAGEMENTS 2026'!D1590)</f>
        <v/>
      </c>
      <c r="D1590">
        <f>IF(ISBLANK('ENGAGEMENTS 2026'!B1590),"",'ENGAGEMENTS 2026'!F1590)</f>
        <v/>
      </c>
      <c r="E1590">
        <f>IF(ISBLANK('ENGAGEMENTS 2026'!B1590),"",'ENGAGEMENTS 2026'!H1590)</f>
        <v/>
      </c>
      <c r="F1590">
        <f>IF(ISBLANK('ENGAGEMENTS 2026'!B1590),"",'ENGAGEMENTS 2026'!I1590)</f>
        <v/>
      </c>
      <c r="G1590">
        <f>IF(ISBLANK('ENGAGEMENTS 2026'!B1590),"",'ENGAGEMENTS 2026'!L1590)</f>
        <v/>
      </c>
      <c r="H1590">
        <f>IF(ISBLANK('ENGAGEMENTS 2026'!B1590),"",'ENGAGEMENTS 2026'!AE1590)</f>
        <v/>
      </c>
      <c r="I1590">
        <f>IF(ISBLANK('ENGAGEMENTS 2026'!B1590),"",'ENGAGEMENTS 2026'!G1590)</f>
        <v/>
      </c>
      <c r="J1590" s="275">
        <f>IF(ISBLANK('ENGAGEMENTS 2026'!B1590),"",IF(AND(OR($E1590="INFRUCTUEUX",$E1590="ANNULE"),$C1590="AOO-M"),'ENGAGEMENTS 2026'!O1590,IF($H1590="EN COURS DE PREENGAGEMENT",'ENGAGEMENTS 2026'!N1590,IF($H1590="PREENGAGE",IF($E1590="ATTRIBUE",'ENGAGEMENTS 2026'!AD1590,'ENGAGEMENTS 2026'!N1590),'ENGAGEMENTS 2026'!AD1590))))</f>
        <v/>
      </c>
      <c r="K1590" s="604">
        <f>IF(ISBLANK('ENGAGEMENTS 2026'!V1590),"",'ENGAGEMENTS 2026'!V1590)</f>
        <v/>
      </c>
      <c r="L1590" s="276">
        <f>IF($K1590="","",TODAY()-$K1590)</f>
        <v/>
      </c>
      <c r="M1590">
        <f>IF($A1590="","",IF($H1590="ENGAGE","Engagé",IF(AND($H1590="NON ENGAGE",OR($I1590="INFRUCTUEUX",$I1590="ANNULE")),"Clôturé sans suite","En cours")))</f>
        <v/>
      </c>
      <c r="N1590">
        <f>IF(ISBLANK('ENGAGEMENTS 2026'!B1590),"",'ENGAGEMENTS 2026'!K1590)</f>
        <v/>
      </c>
      <c r="O1590">
        <f>IF(ISBLANK('ENGAGEMENTS 2026'!B1590),"",'ENGAGEMENTS 2026'!L1590)</f>
        <v/>
      </c>
      <c r="P1590">
        <f>IF(ISBLANK('ENGAGEMENTS 2026'!B1590),"",'ENGAGEMENTS 2026'!J1590)</f>
        <v/>
      </c>
      <c r="Q1590">
        <f>IF($A1590="","",IF(OR($E1590="INFRUCTUEUX",$E1590="ANNULE"),$A1590&amp;"|"&amp;(COUNTIFS($A$2:$A1590,$A1590,$E$2:$E1590,"INFRUCTUEUX")+COUNTIFS($A$2:$A1590,$A1590,$E$2:$E1590,"ANNULE")),""))</f>
        <v/>
      </c>
    </row>
    <row r="1591">
      <c r="A1591">
        <f>IF(ISBLANK('ENGAGEMENTS 2026'!B1591),"",IF('ENGAGEMENTS 2026'!B1591="DTSI","DCT",'ENGAGEMENTS 2026'!B1591))</f>
        <v/>
      </c>
      <c r="B1591">
        <f>IF(ISBLANK('ENGAGEMENTS 2026'!B1591),"",'ENGAGEMENTS 2026'!C1591)</f>
        <v/>
      </c>
      <c r="C1591">
        <f>IF(ISBLANK('ENGAGEMENTS 2026'!B1591),"",'ENGAGEMENTS 2026'!D1591)</f>
        <v/>
      </c>
      <c r="D1591">
        <f>IF(ISBLANK('ENGAGEMENTS 2026'!B1591),"",'ENGAGEMENTS 2026'!F1591)</f>
        <v/>
      </c>
      <c r="E1591">
        <f>IF(ISBLANK('ENGAGEMENTS 2026'!B1591),"",'ENGAGEMENTS 2026'!H1591)</f>
        <v/>
      </c>
      <c r="F1591">
        <f>IF(ISBLANK('ENGAGEMENTS 2026'!B1591),"",'ENGAGEMENTS 2026'!I1591)</f>
        <v/>
      </c>
      <c r="G1591">
        <f>IF(ISBLANK('ENGAGEMENTS 2026'!B1591),"",'ENGAGEMENTS 2026'!L1591)</f>
        <v/>
      </c>
      <c r="H1591">
        <f>IF(ISBLANK('ENGAGEMENTS 2026'!B1591),"",'ENGAGEMENTS 2026'!AE1591)</f>
        <v/>
      </c>
      <c r="I1591">
        <f>IF(ISBLANK('ENGAGEMENTS 2026'!B1591),"",'ENGAGEMENTS 2026'!G1591)</f>
        <v/>
      </c>
      <c r="J1591" s="275">
        <f>IF(ISBLANK('ENGAGEMENTS 2026'!B1591),"",IF(AND(OR($E1591="INFRUCTUEUX",$E1591="ANNULE"),$C1591="AOO-M"),'ENGAGEMENTS 2026'!O1591,IF($H1591="EN COURS DE PREENGAGEMENT",'ENGAGEMENTS 2026'!N1591,IF($H1591="PREENGAGE",IF($E1591="ATTRIBUE",'ENGAGEMENTS 2026'!AD1591,'ENGAGEMENTS 2026'!N1591),'ENGAGEMENTS 2026'!AD1591))))</f>
        <v/>
      </c>
      <c r="K1591" s="604">
        <f>IF(ISBLANK('ENGAGEMENTS 2026'!V1591),"",'ENGAGEMENTS 2026'!V1591)</f>
        <v/>
      </c>
      <c r="L1591" s="276">
        <f>IF($K1591="","",TODAY()-$K1591)</f>
        <v/>
      </c>
      <c r="M1591">
        <f>IF($A1591="","",IF($H1591="ENGAGE","Engagé",IF(AND($H1591="NON ENGAGE",OR($I1591="INFRUCTUEUX",$I1591="ANNULE")),"Clôturé sans suite","En cours")))</f>
        <v/>
      </c>
      <c r="N1591">
        <f>IF(ISBLANK('ENGAGEMENTS 2026'!B1591),"",'ENGAGEMENTS 2026'!K1591)</f>
        <v/>
      </c>
      <c r="O1591">
        <f>IF(ISBLANK('ENGAGEMENTS 2026'!B1591),"",'ENGAGEMENTS 2026'!L1591)</f>
        <v/>
      </c>
      <c r="P1591">
        <f>IF(ISBLANK('ENGAGEMENTS 2026'!B1591),"",'ENGAGEMENTS 2026'!J1591)</f>
        <v/>
      </c>
      <c r="Q1591">
        <f>IF($A1591="","",IF(OR($E1591="INFRUCTUEUX",$E1591="ANNULE"),$A1591&amp;"|"&amp;(COUNTIFS($A$2:$A1591,$A1591,$E$2:$E1591,"INFRUCTUEUX")+COUNTIFS($A$2:$A1591,$A1591,$E$2:$E1591,"ANNULE")),""))</f>
        <v/>
      </c>
    </row>
    <row r="1592">
      <c r="A1592">
        <f>IF(ISBLANK('ENGAGEMENTS 2026'!B1592),"",IF('ENGAGEMENTS 2026'!B1592="DTSI","DCT",'ENGAGEMENTS 2026'!B1592))</f>
        <v/>
      </c>
      <c r="B1592">
        <f>IF(ISBLANK('ENGAGEMENTS 2026'!B1592),"",'ENGAGEMENTS 2026'!C1592)</f>
        <v/>
      </c>
      <c r="C1592">
        <f>IF(ISBLANK('ENGAGEMENTS 2026'!B1592),"",'ENGAGEMENTS 2026'!D1592)</f>
        <v/>
      </c>
      <c r="D1592">
        <f>IF(ISBLANK('ENGAGEMENTS 2026'!B1592),"",'ENGAGEMENTS 2026'!F1592)</f>
        <v/>
      </c>
      <c r="E1592">
        <f>IF(ISBLANK('ENGAGEMENTS 2026'!B1592),"",'ENGAGEMENTS 2026'!H1592)</f>
        <v/>
      </c>
      <c r="F1592">
        <f>IF(ISBLANK('ENGAGEMENTS 2026'!B1592),"",'ENGAGEMENTS 2026'!I1592)</f>
        <v/>
      </c>
      <c r="G1592">
        <f>IF(ISBLANK('ENGAGEMENTS 2026'!B1592),"",'ENGAGEMENTS 2026'!L1592)</f>
        <v/>
      </c>
      <c r="H1592">
        <f>IF(ISBLANK('ENGAGEMENTS 2026'!B1592),"",'ENGAGEMENTS 2026'!AE1592)</f>
        <v/>
      </c>
      <c r="I1592">
        <f>IF(ISBLANK('ENGAGEMENTS 2026'!B1592),"",'ENGAGEMENTS 2026'!G1592)</f>
        <v/>
      </c>
      <c r="J1592" s="275">
        <f>IF(ISBLANK('ENGAGEMENTS 2026'!B1592),"",IF(AND(OR($E1592="INFRUCTUEUX",$E1592="ANNULE"),$C1592="AOO-M"),'ENGAGEMENTS 2026'!O1592,IF($H1592="EN COURS DE PREENGAGEMENT",'ENGAGEMENTS 2026'!N1592,IF($H1592="PREENGAGE",IF($E1592="ATTRIBUE",'ENGAGEMENTS 2026'!AD1592,'ENGAGEMENTS 2026'!N1592),'ENGAGEMENTS 2026'!AD1592))))</f>
        <v/>
      </c>
      <c r="K1592" s="604">
        <f>IF(ISBLANK('ENGAGEMENTS 2026'!V1592),"",'ENGAGEMENTS 2026'!V1592)</f>
        <v/>
      </c>
      <c r="L1592" s="276">
        <f>IF($K1592="","",TODAY()-$K1592)</f>
        <v/>
      </c>
      <c r="M1592">
        <f>IF($A1592="","",IF($H1592="ENGAGE","Engagé",IF(AND($H1592="NON ENGAGE",OR($I1592="INFRUCTUEUX",$I1592="ANNULE")),"Clôturé sans suite","En cours")))</f>
        <v/>
      </c>
      <c r="N1592">
        <f>IF(ISBLANK('ENGAGEMENTS 2026'!B1592),"",'ENGAGEMENTS 2026'!K1592)</f>
        <v/>
      </c>
      <c r="O1592">
        <f>IF(ISBLANK('ENGAGEMENTS 2026'!B1592),"",'ENGAGEMENTS 2026'!L1592)</f>
        <v/>
      </c>
      <c r="P1592">
        <f>IF(ISBLANK('ENGAGEMENTS 2026'!B1592),"",'ENGAGEMENTS 2026'!J1592)</f>
        <v/>
      </c>
      <c r="Q1592">
        <f>IF($A1592="","",IF(OR($E1592="INFRUCTUEUX",$E1592="ANNULE"),$A1592&amp;"|"&amp;(COUNTIFS($A$2:$A1592,$A1592,$E$2:$E1592,"INFRUCTUEUX")+COUNTIFS($A$2:$A1592,$A1592,$E$2:$E1592,"ANNULE")),""))</f>
        <v/>
      </c>
    </row>
    <row r="1593">
      <c r="A1593">
        <f>IF(ISBLANK('ENGAGEMENTS 2026'!B1593),"",IF('ENGAGEMENTS 2026'!B1593="DTSI","DCT",'ENGAGEMENTS 2026'!B1593))</f>
        <v/>
      </c>
      <c r="B1593">
        <f>IF(ISBLANK('ENGAGEMENTS 2026'!B1593),"",'ENGAGEMENTS 2026'!C1593)</f>
        <v/>
      </c>
      <c r="C1593">
        <f>IF(ISBLANK('ENGAGEMENTS 2026'!B1593),"",'ENGAGEMENTS 2026'!D1593)</f>
        <v/>
      </c>
      <c r="D1593">
        <f>IF(ISBLANK('ENGAGEMENTS 2026'!B1593),"",'ENGAGEMENTS 2026'!F1593)</f>
        <v/>
      </c>
      <c r="E1593">
        <f>IF(ISBLANK('ENGAGEMENTS 2026'!B1593),"",'ENGAGEMENTS 2026'!H1593)</f>
        <v/>
      </c>
      <c r="F1593">
        <f>IF(ISBLANK('ENGAGEMENTS 2026'!B1593),"",'ENGAGEMENTS 2026'!I1593)</f>
        <v/>
      </c>
      <c r="G1593">
        <f>IF(ISBLANK('ENGAGEMENTS 2026'!B1593),"",'ENGAGEMENTS 2026'!L1593)</f>
        <v/>
      </c>
      <c r="H1593">
        <f>IF(ISBLANK('ENGAGEMENTS 2026'!B1593),"",'ENGAGEMENTS 2026'!AE1593)</f>
        <v/>
      </c>
      <c r="I1593">
        <f>IF(ISBLANK('ENGAGEMENTS 2026'!B1593),"",'ENGAGEMENTS 2026'!G1593)</f>
        <v/>
      </c>
      <c r="J1593" s="275">
        <f>IF(ISBLANK('ENGAGEMENTS 2026'!B1593),"",IF(AND(OR($E1593="INFRUCTUEUX",$E1593="ANNULE"),$C1593="AOO-M"),'ENGAGEMENTS 2026'!O1593,IF($H1593="EN COURS DE PREENGAGEMENT",'ENGAGEMENTS 2026'!N1593,IF($H1593="PREENGAGE",IF($E1593="ATTRIBUE",'ENGAGEMENTS 2026'!AD1593,'ENGAGEMENTS 2026'!N1593),'ENGAGEMENTS 2026'!AD1593))))</f>
        <v/>
      </c>
      <c r="K1593" s="604">
        <f>IF(ISBLANK('ENGAGEMENTS 2026'!V1593),"",'ENGAGEMENTS 2026'!V1593)</f>
        <v/>
      </c>
      <c r="L1593" s="276">
        <f>IF($K1593="","",TODAY()-$K1593)</f>
        <v/>
      </c>
      <c r="M1593">
        <f>IF($A1593="","",IF($H1593="ENGAGE","Engagé",IF(AND($H1593="NON ENGAGE",OR($I1593="INFRUCTUEUX",$I1593="ANNULE")),"Clôturé sans suite","En cours")))</f>
        <v/>
      </c>
      <c r="N1593">
        <f>IF(ISBLANK('ENGAGEMENTS 2026'!B1593),"",'ENGAGEMENTS 2026'!K1593)</f>
        <v/>
      </c>
      <c r="O1593">
        <f>IF(ISBLANK('ENGAGEMENTS 2026'!B1593),"",'ENGAGEMENTS 2026'!L1593)</f>
        <v/>
      </c>
      <c r="P1593">
        <f>IF(ISBLANK('ENGAGEMENTS 2026'!B1593),"",'ENGAGEMENTS 2026'!J1593)</f>
        <v/>
      </c>
      <c r="Q1593">
        <f>IF($A1593="","",IF(OR($E1593="INFRUCTUEUX",$E1593="ANNULE"),$A1593&amp;"|"&amp;(COUNTIFS($A$2:$A1593,$A1593,$E$2:$E1593,"INFRUCTUEUX")+COUNTIFS($A$2:$A1593,$A1593,$E$2:$E1593,"ANNULE")),""))</f>
        <v/>
      </c>
    </row>
    <row r="1594">
      <c r="A1594">
        <f>IF(ISBLANK('ENGAGEMENTS 2026'!B1594),"",IF('ENGAGEMENTS 2026'!B1594="DTSI","DCT",'ENGAGEMENTS 2026'!B1594))</f>
        <v/>
      </c>
      <c r="B1594">
        <f>IF(ISBLANK('ENGAGEMENTS 2026'!B1594),"",'ENGAGEMENTS 2026'!C1594)</f>
        <v/>
      </c>
      <c r="C1594">
        <f>IF(ISBLANK('ENGAGEMENTS 2026'!B1594),"",'ENGAGEMENTS 2026'!D1594)</f>
        <v/>
      </c>
      <c r="D1594">
        <f>IF(ISBLANK('ENGAGEMENTS 2026'!B1594),"",'ENGAGEMENTS 2026'!F1594)</f>
        <v/>
      </c>
      <c r="E1594">
        <f>IF(ISBLANK('ENGAGEMENTS 2026'!B1594),"",'ENGAGEMENTS 2026'!H1594)</f>
        <v/>
      </c>
      <c r="F1594">
        <f>IF(ISBLANK('ENGAGEMENTS 2026'!B1594),"",'ENGAGEMENTS 2026'!I1594)</f>
        <v/>
      </c>
      <c r="G1594">
        <f>IF(ISBLANK('ENGAGEMENTS 2026'!B1594),"",'ENGAGEMENTS 2026'!L1594)</f>
        <v/>
      </c>
      <c r="H1594">
        <f>IF(ISBLANK('ENGAGEMENTS 2026'!B1594),"",'ENGAGEMENTS 2026'!AE1594)</f>
        <v/>
      </c>
      <c r="I1594">
        <f>IF(ISBLANK('ENGAGEMENTS 2026'!B1594),"",'ENGAGEMENTS 2026'!G1594)</f>
        <v/>
      </c>
      <c r="J1594" s="275">
        <f>IF(ISBLANK('ENGAGEMENTS 2026'!B1594),"",IF(AND(OR($E1594="INFRUCTUEUX",$E1594="ANNULE"),$C1594="AOO-M"),'ENGAGEMENTS 2026'!O1594,IF($H1594="EN COURS DE PREENGAGEMENT",'ENGAGEMENTS 2026'!N1594,IF($H1594="PREENGAGE",IF($E1594="ATTRIBUE",'ENGAGEMENTS 2026'!AD1594,'ENGAGEMENTS 2026'!N1594),'ENGAGEMENTS 2026'!AD1594))))</f>
        <v/>
      </c>
      <c r="K1594" s="604">
        <f>IF(ISBLANK('ENGAGEMENTS 2026'!V1594),"",'ENGAGEMENTS 2026'!V1594)</f>
        <v/>
      </c>
      <c r="L1594" s="276">
        <f>IF($K1594="","",TODAY()-$K1594)</f>
        <v/>
      </c>
      <c r="M1594">
        <f>IF($A1594="","",IF($H1594="ENGAGE","Engagé",IF(AND($H1594="NON ENGAGE",OR($I1594="INFRUCTUEUX",$I1594="ANNULE")),"Clôturé sans suite","En cours")))</f>
        <v/>
      </c>
      <c r="N1594">
        <f>IF(ISBLANK('ENGAGEMENTS 2026'!B1594),"",'ENGAGEMENTS 2026'!K1594)</f>
        <v/>
      </c>
      <c r="O1594">
        <f>IF(ISBLANK('ENGAGEMENTS 2026'!B1594),"",'ENGAGEMENTS 2026'!L1594)</f>
        <v/>
      </c>
      <c r="P1594">
        <f>IF(ISBLANK('ENGAGEMENTS 2026'!B1594),"",'ENGAGEMENTS 2026'!J1594)</f>
        <v/>
      </c>
      <c r="Q1594">
        <f>IF($A1594="","",IF(OR($E1594="INFRUCTUEUX",$E1594="ANNULE"),$A1594&amp;"|"&amp;(COUNTIFS($A$2:$A1594,$A1594,$E$2:$E1594,"INFRUCTUEUX")+COUNTIFS($A$2:$A1594,$A1594,$E$2:$E1594,"ANNULE")),""))</f>
        <v/>
      </c>
    </row>
    <row r="1595">
      <c r="A1595">
        <f>IF(ISBLANK('ENGAGEMENTS 2026'!B1595),"",IF('ENGAGEMENTS 2026'!B1595="DTSI","DCT",'ENGAGEMENTS 2026'!B1595))</f>
        <v/>
      </c>
      <c r="B1595">
        <f>IF(ISBLANK('ENGAGEMENTS 2026'!B1595),"",'ENGAGEMENTS 2026'!C1595)</f>
        <v/>
      </c>
      <c r="C1595">
        <f>IF(ISBLANK('ENGAGEMENTS 2026'!B1595),"",'ENGAGEMENTS 2026'!D1595)</f>
        <v/>
      </c>
      <c r="D1595">
        <f>IF(ISBLANK('ENGAGEMENTS 2026'!B1595),"",'ENGAGEMENTS 2026'!F1595)</f>
        <v/>
      </c>
      <c r="E1595">
        <f>IF(ISBLANK('ENGAGEMENTS 2026'!B1595),"",'ENGAGEMENTS 2026'!H1595)</f>
        <v/>
      </c>
      <c r="F1595">
        <f>IF(ISBLANK('ENGAGEMENTS 2026'!B1595),"",'ENGAGEMENTS 2026'!I1595)</f>
        <v/>
      </c>
      <c r="G1595">
        <f>IF(ISBLANK('ENGAGEMENTS 2026'!B1595),"",'ENGAGEMENTS 2026'!L1595)</f>
        <v/>
      </c>
      <c r="H1595">
        <f>IF(ISBLANK('ENGAGEMENTS 2026'!B1595),"",'ENGAGEMENTS 2026'!AE1595)</f>
        <v/>
      </c>
      <c r="I1595">
        <f>IF(ISBLANK('ENGAGEMENTS 2026'!B1595),"",'ENGAGEMENTS 2026'!G1595)</f>
        <v/>
      </c>
      <c r="J1595" s="275">
        <f>IF(ISBLANK('ENGAGEMENTS 2026'!B1595),"",IF(AND(OR($E1595="INFRUCTUEUX",$E1595="ANNULE"),$C1595="AOO-M"),'ENGAGEMENTS 2026'!O1595,IF($H1595="EN COURS DE PREENGAGEMENT",'ENGAGEMENTS 2026'!N1595,IF($H1595="PREENGAGE",IF($E1595="ATTRIBUE",'ENGAGEMENTS 2026'!AD1595,'ENGAGEMENTS 2026'!N1595),'ENGAGEMENTS 2026'!AD1595))))</f>
        <v/>
      </c>
      <c r="K1595" s="604">
        <f>IF(ISBLANK('ENGAGEMENTS 2026'!V1595),"",'ENGAGEMENTS 2026'!V1595)</f>
        <v/>
      </c>
      <c r="L1595" s="276">
        <f>IF($K1595="","",TODAY()-$K1595)</f>
        <v/>
      </c>
      <c r="M1595">
        <f>IF($A1595="","",IF($H1595="ENGAGE","Engagé",IF(AND($H1595="NON ENGAGE",OR($I1595="INFRUCTUEUX",$I1595="ANNULE")),"Clôturé sans suite","En cours")))</f>
        <v/>
      </c>
      <c r="N1595">
        <f>IF(ISBLANK('ENGAGEMENTS 2026'!B1595),"",'ENGAGEMENTS 2026'!K1595)</f>
        <v/>
      </c>
      <c r="O1595">
        <f>IF(ISBLANK('ENGAGEMENTS 2026'!B1595),"",'ENGAGEMENTS 2026'!L1595)</f>
        <v/>
      </c>
      <c r="P1595">
        <f>IF(ISBLANK('ENGAGEMENTS 2026'!B1595),"",'ENGAGEMENTS 2026'!J1595)</f>
        <v/>
      </c>
      <c r="Q1595">
        <f>IF($A1595="","",IF(OR($E1595="INFRUCTUEUX",$E1595="ANNULE"),$A1595&amp;"|"&amp;(COUNTIFS($A$2:$A1595,$A1595,$E$2:$E1595,"INFRUCTUEUX")+COUNTIFS($A$2:$A1595,$A1595,$E$2:$E1595,"ANNULE")),""))</f>
        <v/>
      </c>
    </row>
    <row r="1596">
      <c r="A1596">
        <f>IF(ISBLANK('ENGAGEMENTS 2026'!B1596),"",IF('ENGAGEMENTS 2026'!B1596="DTSI","DCT",'ENGAGEMENTS 2026'!B1596))</f>
        <v/>
      </c>
      <c r="B1596">
        <f>IF(ISBLANK('ENGAGEMENTS 2026'!B1596),"",'ENGAGEMENTS 2026'!C1596)</f>
        <v/>
      </c>
      <c r="C1596">
        <f>IF(ISBLANK('ENGAGEMENTS 2026'!B1596),"",'ENGAGEMENTS 2026'!D1596)</f>
        <v/>
      </c>
      <c r="D1596">
        <f>IF(ISBLANK('ENGAGEMENTS 2026'!B1596),"",'ENGAGEMENTS 2026'!F1596)</f>
        <v/>
      </c>
      <c r="E1596">
        <f>IF(ISBLANK('ENGAGEMENTS 2026'!B1596),"",'ENGAGEMENTS 2026'!H1596)</f>
        <v/>
      </c>
      <c r="F1596">
        <f>IF(ISBLANK('ENGAGEMENTS 2026'!B1596),"",'ENGAGEMENTS 2026'!I1596)</f>
        <v/>
      </c>
      <c r="G1596">
        <f>IF(ISBLANK('ENGAGEMENTS 2026'!B1596),"",'ENGAGEMENTS 2026'!L1596)</f>
        <v/>
      </c>
      <c r="H1596">
        <f>IF(ISBLANK('ENGAGEMENTS 2026'!B1596),"",'ENGAGEMENTS 2026'!AE1596)</f>
        <v/>
      </c>
      <c r="I1596">
        <f>IF(ISBLANK('ENGAGEMENTS 2026'!B1596),"",'ENGAGEMENTS 2026'!G1596)</f>
        <v/>
      </c>
      <c r="J1596" s="275">
        <f>IF(ISBLANK('ENGAGEMENTS 2026'!B1596),"",IF(AND(OR($E1596="INFRUCTUEUX",$E1596="ANNULE"),$C1596="AOO-M"),'ENGAGEMENTS 2026'!O1596,IF($H1596="EN COURS DE PREENGAGEMENT",'ENGAGEMENTS 2026'!N1596,IF($H1596="PREENGAGE",IF($E1596="ATTRIBUE",'ENGAGEMENTS 2026'!AD1596,'ENGAGEMENTS 2026'!N1596),'ENGAGEMENTS 2026'!AD1596))))</f>
        <v/>
      </c>
      <c r="K1596" s="604">
        <f>IF(ISBLANK('ENGAGEMENTS 2026'!V1596),"",'ENGAGEMENTS 2026'!V1596)</f>
        <v/>
      </c>
      <c r="L1596" s="276">
        <f>IF($K1596="","",TODAY()-$K1596)</f>
        <v/>
      </c>
      <c r="M1596">
        <f>IF($A1596="","",IF($H1596="ENGAGE","Engagé",IF(AND($H1596="NON ENGAGE",OR($I1596="INFRUCTUEUX",$I1596="ANNULE")),"Clôturé sans suite","En cours")))</f>
        <v/>
      </c>
      <c r="N1596">
        <f>IF(ISBLANK('ENGAGEMENTS 2026'!B1596),"",'ENGAGEMENTS 2026'!K1596)</f>
        <v/>
      </c>
      <c r="O1596">
        <f>IF(ISBLANK('ENGAGEMENTS 2026'!B1596),"",'ENGAGEMENTS 2026'!L1596)</f>
        <v/>
      </c>
      <c r="P1596">
        <f>IF(ISBLANK('ENGAGEMENTS 2026'!B1596),"",'ENGAGEMENTS 2026'!J1596)</f>
        <v/>
      </c>
      <c r="Q1596">
        <f>IF($A1596="","",IF(OR($E1596="INFRUCTUEUX",$E1596="ANNULE"),$A1596&amp;"|"&amp;(COUNTIFS($A$2:$A1596,$A1596,$E$2:$E1596,"INFRUCTUEUX")+COUNTIFS($A$2:$A1596,$A1596,$E$2:$E1596,"ANNULE")),""))</f>
        <v/>
      </c>
    </row>
    <row r="1597">
      <c r="A1597">
        <f>IF(ISBLANK('ENGAGEMENTS 2026'!B1597),"",IF('ENGAGEMENTS 2026'!B1597="DTSI","DCT",'ENGAGEMENTS 2026'!B1597))</f>
        <v/>
      </c>
      <c r="B1597">
        <f>IF(ISBLANK('ENGAGEMENTS 2026'!B1597),"",'ENGAGEMENTS 2026'!C1597)</f>
        <v/>
      </c>
      <c r="C1597">
        <f>IF(ISBLANK('ENGAGEMENTS 2026'!B1597),"",'ENGAGEMENTS 2026'!D1597)</f>
        <v/>
      </c>
      <c r="D1597">
        <f>IF(ISBLANK('ENGAGEMENTS 2026'!B1597),"",'ENGAGEMENTS 2026'!F1597)</f>
        <v/>
      </c>
      <c r="E1597">
        <f>IF(ISBLANK('ENGAGEMENTS 2026'!B1597),"",'ENGAGEMENTS 2026'!H1597)</f>
        <v/>
      </c>
      <c r="F1597">
        <f>IF(ISBLANK('ENGAGEMENTS 2026'!B1597),"",'ENGAGEMENTS 2026'!I1597)</f>
        <v/>
      </c>
      <c r="G1597">
        <f>IF(ISBLANK('ENGAGEMENTS 2026'!B1597),"",'ENGAGEMENTS 2026'!L1597)</f>
        <v/>
      </c>
      <c r="H1597">
        <f>IF(ISBLANK('ENGAGEMENTS 2026'!B1597),"",'ENGAGEMENTS 2026'!AE1597)</f>
        <v/>
      </c>
      <c r="I1597">
        <f>IF(ISBLANK('ENGAGEMENTS 2026'!B1597),"",'ENGAGEMENTS 2026'!G1597)</f>
        <v/>
      </c>
      <c r="J1597" s="275">
        <f>IF(ISBLANK('ENGAGEMENTS 2026'!B1597),"",IF(AND(OR($E1597="INFRUCTUEUX",$E1597="ANNULE"),$C1597="AOO-M"),'ENGAGEMENTS 2026'!O1597,IF($H1597="EN COURS DE PREENGAGEMENT",'ENGAGEMENTS 2026'!N1597,IF($H1597="PREENGAGE",IF($E1597="ATTRIBUE",'ENGAGEMENTS 2026'!AD1597,'ENGAGEMENTS 2026'!N1597),'ENGAGEMENTS 2026'!AD1597))))</f>
        <v/>
      </c>
      <c r="K1597" s="604">
        <f>IF(ISBLANK('ENGAGEMENTS 2026'!V1597),"",'ENGAGEMENTS 2026'!V1597)</f>
        <v/>
      </c>
      <c r="L1597" s="276">
        <f>IF($K1597="","",TODAY()-$K1597)</f>
        <v/>
      </c>
      <c r="M1597">
        <f>IF($A1597="","",IF($H1597="ENGAGE","Engagé",IF(AND($H1597="NON ENGAGE",OR($I1597="INFRUCTUEUX",$I1597="ANNULE")),"Clôturé sans suite","En cours")))</f>
        <v/>
      </c>
      <c r="N1597">
        <f>IF(ISBLANK('ENGAGEMENTS 2026'!B1597),"",'ENGAGEMENTS 2026'!K1597)</f>
        <v/>
      </c>
      <c r="O1597">
        <f>IF(ISBLANK('ENGAGEMENTS 2026'!B1597),"",'ENGAGEMENTS 2026'!L1597)</f>
        <v/>
      </c>
      <c r="P1597">
        <f>IF(ISBLANK('ENGAGEMENTS 2026'!B1597),"",'ENGAGEMENTS 2026'!J1597)</f>
        <v/>
      </c>
      <c r="Q1597">
        <f>IF($A1597="","",IF(OR($E1597="INFRUCTUEUX",$E1597="ANNULE"),$A1597&amp;"|"&amp;(COUNTIFS($A$2:$A1597,$A1597,$E$2:$E1597,"INFRUCTUEUX")+COUNTIFS($A$2:$A1597,$A1597,$E$2:$E1597,"ANNULE")),""))</f>
        <v/>
      </c>
    </row>
    <row r="1598">
      <c r="A1598">
        <f>IF(ISBLANK('ENGAGEMENTS 2026'!B1598),"",IF('ENGAGEMENTS 2026'!B1598="DTSI","DCT",'ENGAGEMENTS 2026'!B1598))</f>
        <v/>
      </c>
      <c r="B1598">
        <f>IF(ISBLANK('ENGAGEMENTS 2026'!B1598),"",'ENGAGEMENTS 2026'!C1598)</f>
        <v/>
      </c>
      <c r="C1598">
        <f>IF(ISBLANK('ENGAGEMENTS 2026'!B1598),"",'ENGAGEMENTS 2026'!D1598)</f>
        <v/>
      </c>
      <c r="D1598">
        <f>IF(ISBLANK('ENGAGEMENTS 2026'!B1598),"",'ENGAGEMENTS 2026'!F1598)</f>
        <v/>
      </c>
      <c r="E1598">
        <f>IF(ISBLANK('ENGAGEMENTS 2026'!B1598),"",'ENGAGEMENTS 2026'!H1598)</f>
        <v/>
      </c>
      <c r="F1598">
        <f>IF(ISBLANK('ENGAGEMENTS 2026'!B1598),"",'ENGAGEMENTS 2026'!I1598)</f>
        <v/>
      </c>
      <c r="G1598">
        <f>IF(ISBLANK('ENGAGEMENTS 2026'!B1598),"",'ENGAGEMENTS 2026'!L1598)</f>
        <v/>
      </c>
      <c r="H1598">
        <f>IF(ISBLANK('ENGAGEMENTS 2026'!B1598),"",'ENGAGEMENTS 2026'!AE1598)</f>
        <v/>
      </c>
      <c r="I1598">
        <f>IF(ISBLANK('ENGAGEMENTS 2026'!B1598),"",'ENGAGEMENTS 2026'!G1598)</f>
        <v/>
      </c>
      <c r="J1598" s="275">
        <f>IF(ISBLANK('ENGAGEMENTS 2026'!B1598),"",IF(AND(OR($E1598="INFRUCTUEUX",$E1598="ANNULE"),$C1598="AOO-M"),'ENGAGEMENTS 2026'!O1598,IF($H1598="EN COURS DE PREENGAGEMENT",'ENGAGEMENTS 2026'!N1598,IF($H1598="PREENGAGE",IF($E1598="ATTRIBUE",'ENGAGEMENTS 2026'!AD1598,'ENGAGEMENTS 2026'!N1598),'ENGAGEMENTS 2026'!AD1598))))</f>
        <v/>
      </c>
      <c r="K1598" s="604">
        <f>IF(ISBLANK('ENGAGEMENTS 2026'!V1598),"",'ENGAGEMENTS 2026'!V1598)</f>
        <v/>
      </c>
      <c r="L1598" s="276">
        <f>IF($K1598="","",TODAY()-$K1598)</f>
        <v/>
      </c>
      <c r="M1598">
        <f>IF($A1598="","",IF($H1598="ENGAGE","Engagé",IF(AND($H1598="NON ENGAGE",OR($I1598="INFRUCTUEUX",$I1598="ANNULE")),"Clôturé sans suite","En cours")))</f>
        <v/>
      </c>
      <c r="N1598">
        <f>IF(ISBLANK('ENGAGEMENTS 2026'!B1598),"",'ENGAGEMENTS 2026'!K1598)</f>
        <v/>
      </c>
      <c r="O1598">
        <f>IF(ISBLANK('ENGAGEMENTS 2026'!B1598),"",'ENGAGEMENTS 2026'!L1598)</f>
        <v/>
      </c>
      <c r="P1598">
        <f>IF(ISBLANK('ENGAGEMENTS 2026'!B1598),"",'ENGAGEMENTS 2026'!J1598)</f>
        <v/>
      </c>
      <c r="Q1598">
        <f>IF($A1598="","",IF(OR($E1598="INFRUCTUEUX",$E1598="ANNULE"),$A1598&amp;"|"&amp;(COUNTIFS($A$2:$A1598,$A1598,$E$2:$E1598,"INFRUCTUEUX")+COUNTIFS($A$2:$A1598,$A1598,$E$2:$E1598,"ANNULE")),""))</f>
        <v/>
      </c>
    </row>
    <row r="1599">
      <c r="A1599">
        <f>IF(ISBLANK('ENGAGEMENTS 2026'!B1599),"",IF('ENGAGEMENTS 2026'!B1599="DTSI","DCT",'ENGAGEMENTS 2026'!B1599))</f>
        <v/>
      </c>
      <c r="B1599">
        <f>IF(ISBLANK('ENGAGEMENTS 2026'!B1599),"",'ENGAGEMENTS 2026'!C1599)</f>
        <v/>
      </c>
      <c r="C1599">
        <f>IF(ISBLANK('ENGAGEMENTS 2026'!B1599),"",'ENGAGEMENTS 2026'!D1599)</f>
        <v/>
      </c>
      <c r="D1599">
        <f>IF(ISBLANK('ENGAGEMENTS 2026'!B1599),"",'ENGAGEMENTS 2026'!F1599)</f>
        <v/>
      </c>
      <c r="E1599">
        <f>IF(ISBLANK('ENGAGEMENTS 2026'!B1599),"",'ENGAGEMENTS 2026'!H1599)</f>
        <v/>
      </c>
      <c r="F1599">
        <f>IF(ISBLANK('ENGAGEMENTS 2026'!B1599),"",'ENGAGEMENTS 2026'!I1599)</f>
        <v/>
      </c>
      <c r="G1599">
        <f>IF(ISBLANK('ENGAGEMENTS 2026'!B1599),"",'ENGAGEMENTS 2026'!L1599)</f>
        <v/>
      </c>
      <c r="H1599">
        <f>IF(ISBLANK('ENGAGEMENTS 2026'!B1599),"",'ENGAGEMENTS 2026'!AE1599)</f>
        <v/>
      </c>
      <c r="I1599">
        <f>IF(ISBLANK('ENGAGEMENTS 2026'!B1599),"",'ENGAGEMENTS 2026'!G1599)</f>
        <v/>
      </c>
      <c r="J1599" s="275">
        <f>IF(ISBLANK('ENGAGEMENTS 2026'!B1599),"",IF(AND(OR($E1599="INFRUCTUEUX",$E1599="ANNULE"),$C1599="AOO-M"),'ENGAGEMENTS 2026'!O1599,IF($H1599="EN COURS DE PREENGAGEMENT",'ENGAGEMENTS 2026'!N1599,IF($H1599="PREENGAGE",IF($E1599="ATTRIBUE",'ENGAGEMENTS 2026'!AD1599,'ENGAGEMENTS 2026'!N1599),'ENGAGEMENTS 2026'!AD1599))))</f>
        <v/>
      </c>
      <c r="K1599" s="604">
        <f>IF(ISBLANK('ENGAGEMENTS 2026'!V1599),"",'ENGAGEMENTS 2026'!V1599)</f>
        <v/>
      </c>
      <c r="L1599" s="276">
        <f>IF($K1599="","",TODAY()-$K1599)</f>
        <v/>
      </c>
      <c r="M1599">
        <f>IF($A1599="","",IF($H1599="ENGAGE","Engagé",IF(AND($H1599="NON ENGAGE",OR($I1599="INFRUCTUEUX",$I1599="ANNULE")),"Clôturé sans suite","En cours")))</f>
        <v/>
      </c>
      <c r="N1599">
        <f>IF(ISBLANK('ENGAGEMENTS 2026'!B1599),"",'ENGAGEMENTS 2026'!K1599)</f>
        <v/>
      </c>
      <c r="O1599">
        <f>IF(ISBLANK('ENGAGEMENTS 2026'!B1599),"",'ENGAGEMENTS 2026'!L1599)</f>
        <v/>
      </c>
      <c r="P1599">
        <f>IF(ISBLANK('ENGAGEMENTS 2026'!B1599),"",'ENGAGEMENTS 2026'!J1599)</f>
        <v/>
      </c>
      <c r="Q1599">
        <f>IF($A1599="","",IF(OR($E1599="INFRUCTUEUX",$E1599="ANNULE"),$A1599&amp;"|"&amp;(COUNTIFS($A$2:$A1599,$A1599,$E$2:$E1599,"INFRUCTUEUX")+COUNTIFS($A$2:$A1599,$A1599,$E$2:$E1599,"ANNULE")),""))</f>
        <v/>
      </c>
    </row>
    <row r="1600">
      <c r="A1600">
        <f>IF(ISBLANK('ENGAGEMENTS 2026'!B1600),"",IF('ENGAGEMENTS 2026'!B1600="DTSI","DCT",'ENGAGEMENTS 2026'!B1600))</f>
        <v/>
      </c>
      <c r="B1600">
        <f>IF(ISBLANK('ENGAGEMENTS 2026'!B1600),"",'ENGAGEMENTS 2026'!C1600)</f>
        <v/>
      </c>
      <c r="C1600">
        <f>IF(ISBLANK('ENGAGEMENTS 2026'!B1600),"",'ENGAGEMENTS 2026'!D1600)</f>
        <v/>
      </c>
      <c r="D1600">
        <f>IF(ISBLANK('ENGAGEMENTS 2026'!B1600),"",'ENGAGEMENTS 2026'!F1600)</f>
        <v/>
      </c>
      <c r="E1600">
        <f>IF(ISBLANK('ENGAGEMENTS 2026'!B1600),"",'ENGAGEMENTS 2026'!H1600)</f>
        <v/>
      </c>
      <c r="F1600">
        <f>IF(ISBLANK('ENGAGEMENTS 2026'!B1600),"",'ENGAGEMENTS 2026'!I1600)</f>
        <v/>
      </c>
      <c r="G1600">
        <f>IF(ISBLANK('ENGAGEMENTS 2026'!B1600),"",'ENGAGEMENTS 2026'!L1600)</f>
        <v/>
      </c>
      <c r="H1600">
        <f>IF(ISBLANK('ENGAGEMENTS 2026'!B1600),"",'ENGAGEMENTS 2026'!AE1600)</f>
        <v/>
      </c>
      <c r="I1600">
        <f>IF(ISBLANK('ENGAGEMENTS 2026'!B1600),"",'ENGAGEMENTS 2026'!G1600)</f>
        <v/>
      </c>
      <c r="J1600" s="275">
        <f>IF(ISBLANK('ENGAGEMENTS 2026'!B1600),"",IF(AND(OR($E1600="INFRUCTUEUX",$E1600="ANNULE"),$C1600="AOO-M"),'ENGAGEMENTS 2026'!O1600,IF($H1600="EN COURS DE PREENGAGEMENT",'ENGAGEMENTS 2026'!N1600,IF($H1600="PREENGAGE",IF($E1600="ATTRIBUE",'ENGAGEMENTS 2026'!AD1600,'ENGAGEMENTS 2026'!N1600),'ENGAGEMENTS 2026'!AD1600))))</f>
        <v/>
      </c>
      <c r="K1600" s="604">
        <f>IF(ISBLANK('ENGAGEMENTS 2026'!V1600),"",'ENGAGEMENTS 2026'!V1600)</f>
        <v/>
      </c>
      <c r="L1600" s="276">
        <f>IF($K1600="","",TODAY()-$K1600)</f>
        <v/>
      </c>
      <c r="M1600">
        <f>IF($A1600="","",IF($H1600="ENGAGE","Engagé",IF(AND($H1600="NON ENGAGE",OR($I1600="INFRUCTUEUX",$I1600="ANNULE")),"Clôturé sans suite","En cours")))</f>
        <v/>
      </c>
      <c r="N1600">
        <f>IF(ISBLANK('ENGAGEMENTS 2026'!B1600),"",'ENGAGEMENTS 2026'!K1600)</f>
        <v/>
      </c>
      <c r="O1600">
        <f>IF(ISBLANK('ENGAGEMENTS 2026'!B1600),"",'ENGAGEMENTS 2026'!L1600)</f>
        <v/>
      </c>
      <c r="P1600">
        <f>IF(ISBLANK('ENGAGEMENTS 2026'!B1600),"",'ENGAGEMENTS 2026'!J1600)</f>
        <v/>
      </c>
      <c r="Q1600">
        <f>IF($A1600="","",IF(OR($E1600="INFRUCTUEUX",$E1600="ANNULE"),$A1600&amp;"|"&amp;(COUNTIFS($A$2:$A1600,$A1600,$E$2:$E1600,"INFRUCTUEUX")+COUNTIFS($A$2:$A1600,$A1600,$E$2:$E1600,"ANNULE")),""))</f>
        <v/>
      </c>
    </row>
    <row r="1601">
      <c r="A1601">
        <f>IF(ISBLANK('ENGAGEMENTS 2026'!B1601),"",IF('ENGAGEMENTS 2026'!B1601="DTSI","DCT",'ENGAGEMENTS 2026'!B1601))</f>
        <v/>
      </c>
      <c r="B1601">
        <f>IF(ISBLANK('ENGAGEMENTS 2026'!B1601),"",'ENGAGEMENTS 2026'!C1601)</f>
        <v/>
      </c>
      <c r="C1601">
        <f>IF(ISBLANK('ENGAGEMENTS 2026'!B1601),"",'ENGAGEMENTS 2026'!D1601)</f>
        <v/>
      </c>
      <c r="D1601">
        <f>IF(ISBLANK('ENGAGEMENTS 2026'!B1601),"",'ENGAGEMENTS 2026'!F1601)</f>
        <v/>
      </c>
      <c r="E1601">
        <f>IF(ISBLANK('ENGAGEMENTS 2026'!B1601),"",'ENGAGEMENTS 2026'!H1601)</f>
        <v/>
      </c>
      <c r="F1601">
        <f>IF(ISBLANK('ENGAGEMENTS 2026'!B1601),"",'ENGAGEMENTS 2026'!I1601)</f>
        <v/>
      </c>
      <c r="G1601">
        <f>IF(ISBLANK('ENGAGEMENTS 2026'!B1601),"",'ENGAGEMENTS 2026'!L1601)</f>
        <v/>
      </c>
      <c r="H1601">
        <f>IF(ISBLANK('ENGAGEMENTS 2026'!B1601),"",'ENGAGEMENTS 2026'!AE1601)</f>
        <v/>
      </c>
      <c r="I1601">
        <f>IF(ISBLANK('ENGAGEMENTS 2026'!B1601),"",'ENGAGEMENTS 2026'!G1601)</f>
        <v/>
      </c>
      <c r="J1601" s="275">
        <f>IF(ISBLANK('ENGAGEMENTS 2026'!B1601),"",IF(AND(OR($E1601="INFRUCTUEUX",$E1601="ANNULE"),$C1601="AOO-M"),'ENGAGEMENTS 2026'!O1601,IF($H1601="EN COURS DE PREENGAGEMENT",'ENGAGEMENTS 2026'!N1601,IF($H1601="PREENGAGE",IF($E1601="ATTRIBUE",'ENGAGEMENTS 2026'!AD1601,'ENGAGEMENTS 2026'!N1601),'ENGAGEMENTS 2026'!AD1601))))</f>
        <v/>
      </c>
      <c r="K1601" s="604">
        <f>IF(ISBLANK('ENGAGEMENTS 2026'!V1601),"",'ENGAGEMENTS 2026'!V1601)</f>
        <v/>
      </c>
      <c r="L1601" s="276">
        <f>IF($K1601="","",TODAY()-$K1601)</f>
        <v/>
      </c>
      <c r="M1601">
        <f>IF($A1601="","",IF($H1601="ENGAGE","Engagé",IF(AND($H1601="NON ENGAGE",OR($I1601="INFRUCTUEUX",$I1601="ANNULE")),"Clôturé sans suite","En cours")))</f>
        <v/>
      </c>
      <c r="N1601">
        <f>IF(ISBLANK('ENGAGEMENTS 2026'!B1601),"",'ENGAGEMENTS 2026'!K1601)</f>
        <v/>
      </c>
      <c r="O1601">
        <f>IF(ISBLANK('ENGAGEMENTS 2026'!B1601),"",'ENGAGEMENTS 2026'!L1601)</f>
        <v/>
      </c>
      <c r="P1601">
        <f>IF(ISBLANK('ENGAGEMENTS 2026'!B1601),"",'ENGAGEMENTS 2026'!J1601)</f>
        <v/>
      </c>
      <c r="Q1601">
        <f>IF($A1601="","",IF(OR($E1601="INFRUCTUEUX",$E1601="ANNULE"),$A1601&amp;"|"&amp;(COUNTIFS($A$2:$A1601,$A1601,$E$2:$E1601,"INFRUCTUEUX")+COUNTIFS($A$2:$A1601,$A1601,$E$2:$E1601,"ANNULE")),""))</f>
        <v/>
      </c>
    </row>
    <row r="1602">
      <c r="A1602">
        <f>IF(ISBLANK('ENGAGEMENTS 2026'!B1602),"",IF('ENGAGEMENTS 2026'!B1602="DTSI","DCT",'ENGAGEMENTS 2026'!B1602))</f>
        <v/>
      </c>
      <c r="B1602">
        <f>IF(ISBLANK('ENGAGEMENTS 2026'!B1602),"",'ENGAGEMENTS 2026'!C1602)</f>
        <v/>
      </c>
      <c r="C1602">
        <f>IF(ISBLANK('ENGAGEMENTS 2026'!B1602),"",'ENGAGEMENTS 2026'!D1602)</f>
        <v/>
      </c>
      <c r="D1602">
        <f>IF(ISBLANK('ENGAGEMENTS 2026'!B1602),"",'ENGAGEMENTS 2026'!F1602)</f>
        <v/>
      </c>
      <c r="E1602">
        <f>IF(ISBLANK('ENGAGEMENTS 2026'!B1602),"",'ENGAGEMENTS 2026'!H1602)</f>
        <v/>
      </c>
      <c r="F1602">
        <f>IF(ISBLANK('ENGAGEMENTS 2026'!B1602),"",'ENGAGEMENTS 2026'!I1602)</f>
        <v/>
      </c>
      <c r="G1602">
        <f>IF(ISBLANK('ENGAGEMENTS 2026'!B1602),"",'ENGAGEMENTS 2026'!L1602)</f>
        <v/>
      </c>
      <c r="H1602">
        <f>IF(ISBLANK('ENGAGEMENTS 2026'!B1602),"",'ENGAGEMENTS 2026'!AE1602)</f>
        <v/>
      </c>
      <c r="I1602">
        <f>IF(ISBLANK('ENGAGEMENTS 2026'!B1602),"",'ENGAGEMENTS 2026'!G1602)</f>
        <v/>
      </c>
      <c r="J1602" s="275">
        <f>IF(ISBLANK('ENGAGEMENTS 2026'!B1602),"",IF(AND(OR($E1602="INFRUCTUEUX",$E1602="ANNULE"),$C1602="AOO-M"),'ENGAGEMENTS 2026'!O1602,IF($H1602="EN COURS DE PREENGAGEMENT",'ENGAGEMENTS 2026'!N1602,IF($H1602="PREENGAGE",IF($E1602="ATTRIBUE",'ENGAGEMENTS 2026'!AD1602,'ENGAGEMENTS 2026'!N1602),'ENGAGEMENTS 2026'!AD1602))))</f>
        <v/>
      </c>
      <c r="K1602" s="604">
        <f>IF(ISBLANK('ENGAGEMENTS 2026'!V1602),"",'ENGAGEMENTS 2026'!V1602)</f>
        <v/>
      </c>
      <c r="L1602" s="276">
        <f>IF($K1602="","",TODAY()-$K1602)</f>
        <v/>
      </c>
      <c r="M1602">
        <f>IF($A1602="","",IF($H1602="ENGAGE","Engagé",IF(AND($H1602="NON ENGAGE",OR($I1602="INFRUCTUEUX",$I1602="ANNULE")),"Clôturé sans suite","En cours")))</f>
        <v/>
      </c>
      <c r="N1602">
        <f>IF(ISBLANK('ENGAGEMENTS 2026'!B1602),"",'ENGAGEMENTS 2026'!K1602)</f>
        <v/>
      </c>
      <c r="O1602">
        <f>IF(ISBLANK('ENGAGEMENTS 2026'!B1602),"",'ENGAGEMENTS 2026'!L1602)</f>
        <v/>
      </c>
      <c r="P1602">
        <f>IF(ISBLANK('ENGAGEMENTS 2026'!B1602),"",'ENGAGEMENTS 2026'!J1602)</f>
        <v/>
      </c>
      <c r="Q1602">
        <f>IF($A1602="","",IF(OR($E1602="INFRUCTUEUX",$E1602="ANNULE"),$A1602&amp;"|"&amp;(COUNTIFS($A$2:$A1602,$A1602,$E$2:$E1602,"INFRUCTUEUX")+COUNTIFS($A$2:$A1602,$A1602,$E$2:$E1602,"ANNULE")),""))</f>
        <v/>
      </c>
    </row>
    <row r="1603">
      <c r="A1603">
        <f>IF(ISBLANK('ENGAGEMENTS 2026'!B1603),"",IF('ENGAGEMENTS 2026'!B1603="DTSI","DCT",'ENGAGEMENTS 2026'!B1603))</f>
        <v/>
      </c>
      <c r="B1603">
        <f>IF(ISBLANK('ENGAGEMENTS 2026'!B1603),"",'ENGAGEMENTS 2026'!C1603)</f>
        <v/>
      </c>
      <c r="C1603">
        <f>IF(ISBLANK('ENGAGEMENTS 2026'!B1603),"",'ENGAGEMENTS 2026'!D1603)</f>
        <v/>
      </c>
      <c r="D1603">
        <f>IF(ISBLANK('ENGAGEMENTS 2026'!B1603),"",'ENGAGEMENTS 2026'!F1603)</f>
        <v/>
      </c>
      <c r="E1603">
        <f>IF(ISBLANK('ENGAGEMENTS 2026'!B1603),"",'ENGAGEMENTS 2026'!H1603)</f>
        <v/>
      </c>
      <c r="F1603">
        <f>IF(ISBLANK('ENGAGEMENTS 2026'!B1603),"",'ENGAGEMENTS 2026'!I1603)</f>
        <v/>
      </c>
      <c r="G1603">
        <f>IF(ISBLANK('ENGAGEMENTS 2026'!B1603),"",'ENGAGEMENTS 2026'!L1603)</f>
        <v/>
      </c>
      <c r="H1603">
        <f>IF(ISBLANK('ENGAGEMENTS 2026'!B1603),"",'ENGAGEMENTS 2026'!AE1603)</f>
        <v/>
      </c>
      <c r="I1603">
        <f>IF(ISBLANK('ENGAGEMENTS 2026'!B1603),"",'ENGAGEMENTS 2026'!G1603)</f>
        <v/>
      </c>
      <c r="J1603" s="275">
        <f>IF(ISBLANK('ENGAGEMENTS 2026'!B1603),"",IF(AND(OR($E1603="INFRUCTUEUX",$E1603="ANNULE"),$C1603="AOO-M"),'ENGAGEMENTS 2026'!O1603,IF($H1603="EN COURS DE PREENGAGEMENT",'ENGAGEMENTS 2026'!N1603,IF($H1603="PREENGAGE",IF($E1603="ATTRIBUE",'ENGAGEMENTS 2026'!AD1603,'ENGAGEMENTS 2026'!N1603),'ENGAGEMENTS 2026'!AD1603))))</f>
        <v/>
      </c>
      <c r="K1603" s="604">
        <f>IF(ISBLANK('ENGAGEMENTS 2026'!V1603),"",'ENGAGEMENTS 2026'!V1603)</f>
        <v/>
      </c>
      <c r="L1603" s="276">
        <f>IF($K1603="","",TODAY()-$K1603)</f>
        <v/>
      </c>
      <c r="M1603">
        <f>IF($A1603="","",IF($H1603="ENGAGE","Engagé",IF(AND($H1603="NON ENGAGE",OR($I1603="INFRUCTUEUX",$I1603="ANNULE")),"Clôturé sans suite","En cours")))</f>
        <v/>
      </c>
      <c r="N1603">
        <f>IF(ISBLANK('ENGAGEMENTS 2026'!B1603),"",'ENGAGEMENTS 2026'!K1603)</f>
        <v/>
      </c>
      <c r="O1603">
        <f>IF(ISBLANK('ENGAGEMENTS 2026'!B1603),"",'ENGAGEMENTS 2026'!L1603)</f>
        <v/>
      </c>
      <c r="P1603">
        <f>IF(ISBLANK('ENGAGEMENTS 2026'!B1603),"",'ENGAGEMENTS 2026'!J1603)</f>
        <v/>
      </c>
      <c r="Q1603">
        <f>IF($A1603="","",IF(OR($E1603="INFRUCTUEUX",$E1603="ANNULE"),$A1603&amp;"|"&amp;(COUNTIFS($A$2:$A1603,$A1603,$E$2:$E1603,"INFRUCTUEUX")+COUNTIFS($A$2:$A1603,$A1603,$E$2:$E1603,"ANNULE")),""))</f>
        <v/>
      </c>
    </row>
    <row r="1604">
      <c r="A1604">
        <f>IF(ISBLANK('ENGAGEMENTS 2026'!B1604),"",IF('ENGAGEMENTS 2026'!B1604="DTSI","DCT",'ENGAGEMENTS 2026'!B1604))</f>
        <v/>
      </c>
      <c r="B1604">
        <f>IF(ISBLANK('ENGAGEMENTS 2026'!B1604),"",'ENGAGEMENTS 2026'!C1604)</f>
        <v/>
      </c>
      <c r="C1604">
        <f>IF(ISBLANK('ENGAGEMENTS 2026'!B1604),"",'ENGAGEMENTS 2026'!D1604)</f>
        <v/>
      </c>
      <c r="D1604">
        <f>IF(ISBLANK('ENGAGEMENTS 2026'!B1604),"",'ENGAGEMENTS 2026'!F1604)</f>
        <v/>
      </c>
      <c r="E1604">
        <f>IF(ISBLANK('ENGAGEMENTS 2026'!B1604),"",'ENGAGEMENTS 2026'!H1604)</f>
        <v/>
      </c>
      <c r="F1604">
        <f>IF(ISBLANK('ENGAGEMENTS 2026'!B1604),"",'ENGAGEMENTS 2026'!I1604)</f>
        <v/>
      </c>
      <c r="G1604">
        <f>IF(ISBLANK('ENGAGEMENTS 2026'!B1604),"",'ENGAGEMENTS 2026'!L1604)</f>
        <v/>
      </c>
      <c r="H1604">
        <f>IF(ISBLANK('ENGAGEMENTS 2026'!B1604),"",'ENGAGEMENTS 2026'!AE1604)</f>
        <v/>
      </c>
      <c r="I1604">
        <f>IF(ISBLANK('ENGAGEMENTS 2026'!B1604),"",'ENGAGEMENTS 2026'!G1604)</f>
        <v/>
      </c>
      <c r="J1604" s="275">
        <f>IF(ISBLANK('ENGAGEMENTS 2026'!B1604),"",IF(AND(OR($E1604="INFRUCTUEUX",$E1604="ANNULE"),$C1604="AOO-M"),'ENGAGEMENTS 2026'!O1604,IF($H1604="EN COURS DE PREENGAGEMENT",'ENGAGEMENTS 2026'!N1604,IF($H1604="PREENGAGE",IF($E1604="ATTRIBUE",'ENGAGEMENTS 2026'!AD1604,'ENGAGEMENTS 2026'!N1604),'ENGAGEMENTS 2026'!AD1604))))</f>
        <v/>
      </c>
      <c r="K1604" s="604">
        <f>IF(ISBLANK('ENGAGEMENTS 2026'!V1604),"",'ENGAGEMENTS 2026'!V1604)</f>
        <v/>
      </c>
      <c r="L1604" s="276">
        <f>IF($K1604="","",TODAY()-$K1604)</f>
        <v/>
      </c>
      <c r="M1604">
        <f>IF($A1604="","",IF($H1604="ENGAGE","Engagé",IF(AND($H1604="NON ENGAGE",OR($I1604="INFRUCTUEUX",$I1604="ANNULE")),"Clôturé sans suite","En cours")))</f>
        <v/>
      </c>
      <c r="N1604">
        <f>IF(ISBLANK('ENGAGEMENTS 2026'!B1604),"",'ENGAGEMENTS 2026'!K1604)</f>
        <v/>
      </c>
      <c r="O1604">
        <f>IF(ISBLANK('ENGAGEMENTS 2026'!B1604),"",'ENGAGEMENTS 2026'!L1604)</f>
        <v/>
      </c>
      <c r="P1604">
        <f>IF(ISBLANK('ENGAGEMENTS 2026'!B1604),"",'ENGAGEMENTS 2026'!J1604)</f>
        <v/>
      </c>
      <c r="Q1604">
        <f>IF($A1604="","",IF(OR($E1604="INFRUCTUEUX",$E1604="ANNULE"),$A1604&amp;"|"&amp;(COUNTIFS($A$2:$A1604,$A1604,$E$2:$E1604,"INFRUCTUEUX")+COUNTIFS($A$2:$A1604,$A1604,$E$2:$E1604,"ANNULE")),""))</f>
        <v/>
      </c>
    </row>
    <row r="1605">
      <c r="A1605">
        <f>IF(ISBLANK('ENGAGEMENTS 2026'!B1605),"",IF('ENGAGEMENTS 2026'!B1605="DTSI","DCT",'ENGAGEMENTS 2026'!B1605))</f>
        <v/>
      </c>
      <c r="B1605">
        <f>IF(ISBLANK('ENGAGEMENTS 2026'!B1605),"",'ENGAGEMENTS 2026'!C1605)</f>
        <v/>
      </c>
      <c r="C1605">
        <f>IF(ISBLANK('ENGAGEMENTS 2026'!B1605),"",'ENGAGEMENTS 2026'!D1605)</f>
        <v/>
      </c>
      <c r="D1605">
        <f>IF(ISBLANK('ENGAGEMENTS 2026'!B1605),"",'ENGAGEMENTS 2026'!F1605)</f>
        <v/>
      </c>
      <c r="E1605">
        <f>IF(ISBLANK('ENGAGEMENTS 2026'!B1605),"",'ENGAGEMENTS 2026'!H1605)</f>
        <v/>
      </c>
      <c r="F1605">
        <f>IF(ISBLANK('ENGAGEMENTS 2026'!B1605),"",'ENGAGEMENTS 2026'!I1605)</f>
        <v/>
      </c>
      <c r="G1605">
        <f>IF(ISBLANK('ENGAGEMENTS 2026'!B1605),"",'ENGAGEMENTS 2026'!L1605)</f>
        <v/>
      </c>
      <c r="H1605">
        <f>IF(ISBLANK('ENGAGEMENTS 2026'!B1605),"",'ENGAGEMENTS 2026'!AE1605)</f>
        <v/>
      </c>
      <c r="I1605">
        <f>IF(ISBLANK('ENGAGEMENTS 2026'!B1605),"",'ENGAGEMENTS 2026'!G1605)</f>
        <v/>
      </c>
      <c r="J1605" s="275">
        <f>IF(ISBLANK('ENGAGEMENTS 2026'!B1605),"",IF(AND(OR($E1605="INFRUCTUEUX",$E1605="ANNULE"),$C1605="AOO-M"),'ENGAGEMENTS 2026'!O1605,IF($H1605="EN COURS DE PREENGAGEMENT",'ENGAGEMENTS 2026'!N1605,IF($H1605="PREENGAGE",IF($E1605="ATTRIBUE",'ENGAGEMENTS 2026'!AD1605,'ENGAGEMENTS 2026'!N1605),'ENGAGEMENTS 2026'!AD1605))))</f>
        <v/>
      </c>
      <c r="K1605" s="604">
        <f>IF(ISBLANK('ENGAGEMENTS 2026'!V1605),"",'ENGAGEMENTS 2026'!V1605)</f>
        <v/>
      </c>
      <c r="L1605" s="276">
        <f>IF($K1605="","",TODAY()-$K1605)</f>
        <v/>
      </c>
      <c r="M1605">
        <f>IF($A1605="","",IF($H1605="ENGAGE","Engagé",IF(AND($H1605="NON ENGAGE",OR($I1605="INFRUCTUEUX",$I1605="ANNULE")),"Clôturé sans suite","En cours")))</f>
        <v/>
      </c>
      <c r="N1605">
        <f>IF(ISBLANK('ENGAGEMENTS 2026'!B1605),"",'ENGAGEMENTS 2026'!K1605)</f>
        <v/>
      </c>
      <c r="O1605">
        <f>IF(ISBLANK('ENGAGEMENTS 2026'!B1605),"",'ENGAGEMENTS 2026'!L1605)</f>
        <v/>
      </c>
      <c r="P1605">
        <f>IF(ISBLANK('ENGAGEMENTS 2026'!B1605),"",'ENGAGEMENTS 2026'!J1605)</f>
        <v/>
      </c>
      <c r="Q1605">
        <f>IF($A1605="","",IF(OR($E1605="INFRUCTUEUX",$E1605="ANNULE"),$A1605&amp;"|"&amp;(COUNTIFS($A$2:$A1605,$A1605,$E$2:$E1605,"INFRUCTUEUX")+COUNTIFS($A$2:$A1605,$A1605,$E$2:$E1605,"ANNULE")),""))</f>
        <v/>
      </c>
    </row>
    <row r="1606">
      <c r="A1606">
        <f>IF(ISBLANK('ENGAGEMENTS 2026'!B1606),"",IF('ENGAGEMENTS 2026'!B1606="DTSI","DCT",'ENGAGEMENTS 2026'!B1606))</f>
        <v/>
      </c>
      <c r="B1606">
        <f>IF(ISBLANK('ENGAGEMENTS 2026'!B1606),"",'ENGAGEMENTS 2026'!C1606)</f>
        <v/>
      </c>
      <c r="C1606">
        <f>IF(ISBLANK('ENGAGEMENTS 2026'!B1606),"",'ENGAGEMENTS 2026'!D1606)</f>
        <v/>
      </c>
      <c r="D1606">
        <f>IF(ISBLANK('ENGAGEMENTS 2026'!B1606),"",'ENGAGEMENTS 2026'!F1606)</f>
        <v/>
      </c>
      <c r="E1606">
        <f>IF(ISBLANK('ENGAGEMENTS 2026'!B1606),"",'ENGAGEMENTS 2026'!H1606)</f>
        <v/>
      </c>
      <c r="F1606">
        <f>IF(ISBLANK('ENGAGEMENTS 2026'!B1606),"",'ENGAGEMENTS 2026'!I1606)</f>
        <v/>
      </c>
      <c r="G1606">
        <f>IF(ISBLANK('ENGAGEMENTS 2026'!B1606),"",'ENGAGEMENTS 2026'!L1606)</f>
        <v/>
      </c>
      <c r="H1606">
        <f>IF(ISBLANK('ENGAGEMENTS 2026'!B1606),"",'ENGAGEMENTS 2026'!AE1606)</f>
        <v/>
      </c>
      <c r="I1606">
        <f>IF(ISBLANK('ENGAGEMENTS 2026'!B1606),"",'ENGAGEMENTS 2026'!G1606)</f>
        <v/>
      </c>
      <c r="J1606" s="275">
        <f>IF(ISBLANK('ENGAGEMENTS 2026'!B1606),"",IF(AND(OR($E1606="INFRUCTUEUX",$E1606="ANNULE"),$C1606="AOO-M"),'ENGAGEMENTS 2026'!O1606,IF($H1606="EN COURS DE PREENGAGEMENT",'ENGAGEMENTS 2026'!N1606,IF($H1606="PREENGAGE",IF($E1606="ATTRIBUE",'ENGAGEMENTS 2026'!AD1606,'ENGAGEMENTS 2026'!N1606),'ENGAGEMENTS 2026'!AD1606))))</f>
        <v/>
      </c>
      <c r="K1606" s="604">
        <f>IF(ISBLANK('ENGAGEMENTS 2026'!V1606),"",'ENGAGEMENTS 2026'!V1606)</f>
        <v/>
      </c>
      <c r="L1606" s="276">
        <f>IF($K1606="","",TODAY()-$K1606)</f>
        <v/>
      </c>
      <c r="M1606">
        <f>IF($A1606="","",IF($H1606="ENGAGE","Engagé",IF(AND($H1606="NON ENGAGE",OR($I1606="INFRUCTUEUX",$I1606="ANNULE")),"Clôturé sans suite","En cours")))</f>
        <v/>
      </c>
      <c r="N1606">
        <f>IF(ISBLANK('ENGAGEMENTS 2026'!B1606),"",'ENGAGEMENTS 2026'!K1606)</f>
        <v/>
      </c>
      <c r="O1606">
        <f>IF(ISBLANK('ENGAGEMENTS 2026'!B1606),"",'ENGAGEMENTS 2026'!L1606)</f>
        <v/>
      </c>
      <c r="P1606">
        <f>IF(ISBLANK('ENGAGEMENTS 2026'!B1606),"",'ENGAGEMENTS 2026'!J1606)</f>
        <v/>
      </c>
      <c r="Q1606">
        <f>IF($A1606="","",IF(OR($E1606="INFRUCTUEUX",$E1606="ANNULE"),$A1606&amp;"|"&amp;(COUNTIFS($A$2:$A1606,$A1606,$E$2:$E1606,"INFRUCTUEUX")+COUNTIFS($A$2:$A1606,$A1606,$E$2:$E1606,"ANNULE")),""))</f>
        <v/>
      </c>
    </row>
    <row r="1607">
      <c r="A1607">
        <f>IF(ISBLANK('ENGAGEMENTS 2026'!B1607),"",IF('ENGAGEMENTS 2026'!B1607="DTSI","DCT",'ENGAGEMENTS 2026'!B1607))</f>
        <v/>
      </c>
      <c r="B1607">
        <f>IF(ISBLANK('ENGAGEMENTS 2026'!B1607),"",'ENGAGEMENTS 2026'!C1607)</f>
        <v/>
      </c>
      <c r="C1607">
        <f>IF(ISBLANK('ENGAGEMENTS 2026'!B1607),"",'ENGAGEMENTS 2026'!D1607)</f>
        <v/>
      </c>
      <c r="D1607">
        <f>IF(ISBLANK('ENGAGEMENTS 2026'!B1607),"",'ENGAGEMENTS 2026'!F1607)</f>
        <v/>
      </c>
      <c r="E1607">
        <f>IF(ISBLANK('ENGAGEMENTS 2026'!B1607),"",'ENGAGEMENTS 2026'!H1607)</f>
        <v/>
      </c>
      <c r="F1607">
        <f>IF(ISBLANK('ENGAGEMENTS 2026'!B1607),"",'ENGAGEMENTS 2026'!I1607)</f>
        <v/>
      </c>
      <c r="G1607">
        <f>IF(ISBLANK('ENGAGEMENTS 2026'!B1607),"",'ENGAGEMENTS 2026'!L1607)</f>
        <v/>
      </c>
      <c r="H1607">
        <f>IF(ISBLANK('ENGAGEMENTS 2026'!B1607),"",'ENGAGEMENTS 2026'!AE1607)</f>
        <v/>
      </c>
      <c r="I1607">
        <f>IF(ISBLANK('ENGAGEMENTS 2026'!B1607),"",'ENGAGEMENTS 2026'!G1607)</f>
        <v/>
      </c>
      <c r="J1607" s="275">
        <f>IF(ISBLANK('ENGAGEMENTS 2026'!B1607),"",IF(AND(OR($E1607="INFRUCTUEUX",$E1607="ANNULE"),$C1607="AOO-M"),'ENGAGEMENTS 2026'!O1607,IF($H1607="EN COURS DE PREENGAGEMENT",'ENGAGEMENTS 2026'!N1607,IF($H1607="PREENGAGE",IF($E1607="ATTRIBUE",'ENGAGEMENTS 2026'!AD1607,'ENGAGEMENTS 2026'!N1607),'ENGAGEMENTS 2026'!AD1607))))</f>
        <v/>
      </c>
      <c r="K1607" s="604">
        <f>IF(ISBLANK('ENGAGEMENTS 2026'!V1607),"",'ENGAGEMENTS 2026'!V1607)</f>
        <v/>
      </c>
      <c r="L1607" s="276">
        <f>IF($K1607="","",TODAY()-$K1607)</f>
        <v/>
      </c>
      <c r="M1607">
        <f>IF($A1607="","",IF($H1607="ENGAGE","Engagé",IF(AND($H1607="NON ENGAGE",OR($I1607="INFRUCTUEUX",$I1607="ANNULE")),"Clôturé sans suite","En cours")))</f>
        <v/>
      </c>
      <c r="N1607">
        <f>IF(ISBLANK('ENGAGEMENTS 2026'!B1607),"",'ENGAGEMENTS 2026'!K1607)</f>
        <v/>
      </c>
      <c r="O1607">
        <f>IF(ISBLANK('ENGAGEMENTS 2026'!B1607),"",'ENGAGEMENTS 2026'!L1607)</f>
        <v/>
      </c>
      <c r="P1607">
        <f>IF(ISBLANK('ENGAGEMENTS 2026'!B1607),"",'ENGAGEMENTS 2026'!J1607)</f>
        <v/>
      </c>
      <c r="Q1607">
        <f>IF($A1607="","",IF(OR($E1607="INFRUCTUEUX",$E1607="ANNULE"),$A1607&amp;"|"&amp;(COUNTIFS($A$2:$A1607,$A1607,$E$2:$E1607,"INFRUCTUEUX")+COUNTIFS($A$2:$A1607,$A1607,$E$2:$E1607,"ANNULE")),""))</f>
        <v/>
      </c>
    </row>
    <row r="1608">
      <c r="A1608">
        <f>IF(ISBLANK('ENGAGEMENTS 2026'!B1608),"",IF('ENGAGEMENTS 2026'!B1608="DTSI","DCT",'ENGAGEMENTS 2026'!B1608))</f>
        <v/>
      </c>
      <c r="B1608">
        <f>IF(ISBLANK('ENGAGEMENTS 2026'!B1608),"",'ENGAGEMENTS 2026'!C1608)</f>
        <v/>
      </c>
      <c r="C1608">
        <f>IF(ISBLANK('ENGAGEMENTS 2026'!B1608),"",'ENGAGEMENTS 2026'!D1608)</f>
        <v/>
      </c>
      <c r="D1608">
        <f>IF(ISBLANK('ENGAGEMENTS 2026'!B1608),"",'ENGAGEMENTS 2026'!F1608)</f>
        <v/>
      </c>
      <c r="E1608">
        <f>IF(ISBLANK('ENGAGEMENTS 2026'!B1608),"",'ENGAGEMENTS 2026'!H1608)</f>
        <v/>
      </c>
      <c r="F1608">
        <f>IF(ISBLANK('ENGAGEMENTS 2026'!B1608),"",'ENGAGEMENTS 2026'!I1608)</f>
        <v/>
      </c>
      <c r="G1608">
        <f>IF(ISBLANK('ENGAGEMENTS 2026'!B1608),"",'ENGAGEMENTS 2026'!L1608)</f>
        <v/>
      </c>
      <c r="H1608">
        <f>IF(ISBLANK('ENGAGEMENTS 2026'!B1608),"",'ENGAGEMENTS 2026'!AE1608)</f>
        <v/>
      </c>
      <c r="I1608">
        <f>IF(ISBLANK('ENGAGEMENTS 2026'!B1608),"",'ENGAGEMENTS 2026'!G1608)</f>
        <v/>
      </c>
      <c r="J1608" s="275">
        <f>IF(ISBLANK('ENGAGEMENTS 2026'!B1608),"",IF(AND(OR($E1608="INFRUCTUEUX",$E1608="ANNULE"),$C1608="AOO-M"),'ENGAGEMENTS 2026'!O1608,IF($H1608="EN COURS DE PREENGAGEMENT",'ENGAGEMENTS 2026'!N1608,IF($H1608="PREENGAGE",IF($E1608="ATTRIBUE",'ENGAGEMENTS 2026'!AD1608,'ENGAGEMENTS 2026'!N1608),'ENGAGEMENTS 2026'!AD1608))))</f>
        <v/>
      </c>
      <c r="K1608" s="604">
        <f>IF(ISBLANK('ENGAGEMENTS 2026'!V1608),"",'ENGAGEMENTS 2026'!V1608)</f>
        <v/>
      </c>
      <c r="L1608" s="276">
        <f>IF($K1608="","",TODAY()-$K1608)</f>
        <v/>
      </c>
      <c r="M1608">
        <f>IF($A1608="","",IF($H1608="ENGAGE","Engagé",IF(AND($H1608="NON ENGAGE",OR($I1608="INFRUCTUEUX",$I1608="ANNULE")),"Clôturé sans suite","En cours")))</f>
        <v/>
      </c>
      <c r="N1608">
        <f>IF(ISBLANK('ENGAGEMENTS 2026'!B1608),"",'ENGAGEMENTS 2026'!K1608)</f>
        <v/>
      </c>
      <c r="O1608">
        <f>IF(ISBLANK('ENGAGEMENTS 2026'!B1608),"",'ENGAGEMENTS 2026'!L1608)</f>
        <v/>
      </c>
      <c r="P1608">
        <f>IF(ISBLANK('ENGAGEMENTS 2026'!B1608),"",'ENGAGEMENTS 2026'!J1608)</f>
        <v/>
      </c>
      <c r="Q1608">
        <f>IF($A1608="","",IF(OR($E1608="INFRUCTUEUX",$E1608="ANNULE"),$A1608&amp;"|"&amp;(COUNTIFS($A$2:$A1608,$A1608,$E$2:$E1608,"INFRUCTUEUX")+COUNTIFS($A$2:$A1608,$A1608,$E$2:$E1608,"ANNULE")),""))</f>
        <v/>
      </c>
    </row>
    <row r="1609">
      <c r="A1609">
        <f>IF(ISBLANK('ENGAGEMENTS 2026'!B1609),"",IF('ENGAGEMENTS 2026'!B1609="DTSI","DCT",'ENGAGEMENTS 2026'!B1609))</f>
        <v/>
      </c>
      <c r="B1609">
        <f>IF(ISBLANK('ENGAGEMENTS 2026'!B1609),"",'ENGAGEMENTS 2026'!C1609)</f>
        <v/>
      </c>
      <c r="C1609">
        <f>IF(ISBLANK('ENGAGEMENTS 2026'!B1609),"",'ENGAGEMENTS 2026'!D1609)</f>
        <v/>
      </c>
      <c r="D1609">
        <f>IF(ISBLANK('ENGAGEMENTS 2026'!B1609),"",'ENGAGEMENTS 2026'!F1609)</f>
        <v/>
      </c>
      <c r="E1609">
        <f>IF(ISBLANK('ENGAGEMENTS 2026'!B1609),"",'ENGAGEMENTS 2026'!H1609)</f>
        <v/>
      </c>
      <c r="F1609">
        <f>IF(ISBLANK('ENGAGEMENTS 2026'!B1609),"",'ENGAGEMENTS 2026'!I1609)</f>
        <v/>
      </c>
      <c r="G1609">
        <f>IF(ISBLANK('ENGAGEMENTS 2026'!B1609),"",'ENGAGEMENTS 2026'!L1609)</f>
        <v/>
      </c>
      <c r="H1609">
        <f>IF(ISBLANK('ENGAGEMENTS 2026'!B1609),"",'ENGAGEMENTS 2026'!AE1609)</f>
        <v/>
      </c>
      <c r="I1609">
        <f>IF(ISBLANK('ENGAGEMENTS 2026'!B1609),"",'ENGAGEMENTS 2026'!G1609)</f>
        <v/>
      </c>
      <c r="J1609" s="275">
        <f>IF(ISBLANK('ENGAGEMENTS 2026'!B1609),"",IF(AND(OR($E1609="INFRUCTUEUX",$E1609="ANNULE"),$C1609="AOO-M"),'ENGAGEMENTS 2026'!O1609,IF($H1609="EN COURS DE PREENGAGEMENT",'ENGAGEMENTS 2026'!N1609,IF($H1609="PREENGAGE",IF($E1609="ATTRIBUE",'ENGAGEMENTS 2026'!AD1609,'ENGAGEMENTS 2026'!N1609),'ENGAGEMENTS 2026'!AD1609))))</f>
        <v/>
      </c>
      <c r="K1609" s="604">
        <f>IF(ISBLANK('ENGAGEMENTS 2026'!V1609),"",'ENGAGEMENTS 2026'!V1609)</f>
        <v/>
      </c>
      <c r="L1609" s="276">
        <f>IF($K1609="","",TODAY()-$K1609)</f>
        <v/>
      </c>
      <c r="M1609">
        <f>IF($A1609="","",IF($H1609="ENGAGE","Engagé",IF(AND($H1609="NON ENGAGE",OR($I1609="INFRUCTUEUX",$I1609="ANNULE")),"Clôturé sans suite","En cours")))</f>
        <v/>
      </c>
      <c r="N1609">
        <f>IF(ISBLANK('ENGAGEMENTS 2026'!B1609),"",'ENGAGEMENTS 2026'!K1609)</f>
        <v/>
      </c>
      <c r="O1609">
        <f>IF(ISBLANK('ENGAGEMENTS 2026'!B1609),"",'ENGAGEMENTS 2026'!L1609)</f>
        <v/>
      </c>
      <c r="P1609">
        <f>IF(ISBLANK('ENGAGEMENTS 2026'!B1609),"",'ENGAGEMENTS 2026'!J1609)</f>
        <v/>
      </c>
      <c r="Q1609">
        <f>IF($A1609="","",IF(OR($E1609="INFRUCTUEUX",$E1609="ANNULE"),$A1609&amp;"|"&amp;(COUNTIFS($A$2:$A1609,$A1609,$E$2:$E1609,"INFRUCTUEUX")+COUNTIFS($A$2:$A1609,$A1609,$E$2:$E1609,"ANNULE")),""))</f>
        <v/>
      </c>
    </row>
    <row r="1610">
      <c r="A1610">
        <f>IF(ISBLANK('ENGAGEMENTS 2026'!B1610),"",IF('ENGAGEMENTS 2026'!B1610="DTSI","DCT",'ENGAGEMENTS 2026'!B1610))</f>
        <v/>
      </c>
      <c r="B1610">
        <f>IF(ISBLANK('ENGAGEMENTS 2026'!B1610),"",'ENGAGEMENTS 2026'!C1610)</f>
        <v/>
      </c>
      <c r="C1610">
        <f>IF(ISBLANK('ENGAGEMENTS 2026'!B1610),"",'ENGAGEMENTS 2026'!D1610)</f>
        <v/>
      </c>
      <c r="D1610">
        <f>IF(ISBLANK('ENGAGEMENTS 2026'!B1610),"",'ENGAGEMENTS 2026'!F1610)</f>
        <v/>
      </c>
      <c r="E1610">
        <f>IF(ISBLANK('ENGAGEMENTS 2026'!B1610),"",'ENGAGEMENTS 2026'!H1610)</f>
        <v/>
      </c>
      <c r="F1610">
        <f>IF(ISBLANK('ENGAGEMENTS 2026'!B1610),"",'ENGAGEMENTS 2026'!I1610)</f>
        <v/>
      </c>
      <c r="G1610">
        <f>IF(ISBLANK('ENGAGEMENTS 2026'!B1610),"",'ENGAGEMENTS 2026'!L1610)</f>
        <v/>
      </c>
      <c r="H1610">
        <f>IF(ISBLANK('ENGAGEMENTS 2026'!B1610),"",'ENGAGEMENTS 2026'!AE1610)</f>
        <v/>
      </c>
      <c r="I1610">
        <f>IF(ISBLANK('ENGAGEMENTS 2026'!B1610),"",'ENGAGEMENTS 2026'!G1610)</f>
        <v/>
      </c>
      <c r="J1610" s="275">
        <f>IF(ISBLANK('ENGAGEMENTS 2026'!B1610),"",IF(AND(OR($E1610="INFRUCTUEUX",$E1610="ANNULE"),$C1610="AOO-M"),'ENGAGEMENTS 2026'!O1610,IF($H1610="EN COURS DE PREENGAGEMENT",'ENGAGEMENTS 2026'!N1610,IF($H1610="PREENGAGE",IF($E1610="ATTRIBUE",'ENGAGEMENTS 2026'!AD1610,'ENGAGEMENTS 2026'!N1610),'ENGAGEMENTS 2026'!AD1610))))</f>
        <v/>
      </c>
      <c r="K1610" s="604">
        <f>IF(ISBLANK('ENGAGEMENTS 2026'!V1610),"",'ENGAGEMENTS 2026'!V1610)</f>
        <v/>
      </c>
      <c r="L1610" s="276">
        <f>IF($K1610="","",TODAY()-$K1610)</f>
        <v/>
      </c>
      <c r="M1610">
        <f>IF($A1610="","",IF($H1610="ENGAGE","Engagé",IF(AND($H1610="NON ENGAGE",OR($I1610="INFRUCTUEUX",$I1610="ANNULE")),"Clôturé sans suite","En cours")))</f>
        <v/>
      </c>
      <c r="N1610">
        <f>IF(ISBLANK('ENGAGEMENTS 2026'!B1610),"",'ENGAGEMENTS 2026'!K1610)</f>
        <v/>
      </c>
      <c r="O1610">
        <f>IF(ISBLANK('ENGAGEMENTS 2026'!B1610),"",'ENGAGEMENTS 2026'!L1610)</f>
        <v/>
      </c>
      <c r="P1610">
        <f>IF(ISBLANK('ENGAGEMENTS 2026'!B1610),"",'ENGAGEMENTS 2026'!J1610)</f>
        <v/>
      </c>
      <c r="Q1610">
        <f>IF($A1610="","",IF(OR($E1610="INFRUCTUEUX",$E1610="ANNULE"),$A1610&amp;"|"&amp;(COUNTIFS($A$2:$A1610,$A1610,$E$2:$E1610,"INFRUCTUEUX")+COUNTIFS($A$2:$A1610,$A1610,$E$2:$E1610,"ANNULE")),""))</f>
        <v/>
      </c>
    </row>
    <row r="1611">
      <c r="A1611">
        <f>IF(ISBLANK('ENGAGEMENTS 2026'!B1611),"",IF('ENGAGEMENTS 2026'!B1611="DTSI","DCT",'ENGAGEMENTS 2026'!B1611))</f>
        <v/>
      </c>
      <c r="B1611">
        <f>IF(ISBLANK('ENGAGEMENTS 2026'!B1611),"",'ENGAGEMENTS 2026'!C1611)</f>
        <v/>
      </c>
      <c r="C1611">
        <f>IF(ISBLANK('ENGAGEMENTS 2026'!B1611),"",'ENGAGEMENTS 2026'!D1611)</f>
        <v/>
      </c>
      <c r="D1611">
        <f>IF(ISBLANK('ENGAGEMENTS 2026'!B1611),"",'ENGAGEMENTS 2026'!F1611)</f>
        <v/>
      </c>
      <c r="E1611">
        <f>IF(ISBLANK('ENGAGEMENTS 2026'!B1611),"",'ENGAGEMENTS 2026'!H1611)</f>
        <v/>
      </c>
      <c r="F1611">
        <f>IF(ISBLANK('ENGAGEMENTS 2026'!B1611),"",'ENGAGEMENTS 2026'!I1611)</f>
        <v/>
      </c>
      <c r="G1611">
        <f>IF(ISBLANK('ENGAGEMENTS 2026'!B1611),"",'ENGAGEMENTS 2026'!L1611)</f>
        <v/>
      </c>
      <c r="H1611">
        <f>IF(ISBLANK('ENGAGEMENTS 2026'!B1611),"",'ENGAGEMENTS 2026'!AE1611)</f>
        <v/>
      </c>
      <c r="I1611">
        <f>IF(ISBLANK('ENGAGEMENTS 2026'!B1611),"",'ENGAGEMENTS 2026'!G1611)</f>
        <v/>
      </c>
      <c r="J1611" s="275">
        <f>IF(ISBLANK('ENGAGEMENTS 2026'!B1611),"",IF(AND(OR($E1611="INFRUCTUEUX",$E1611="ANNULE"),$C1611="AOO-M"),'ENGAGEMENTS 2026'!O1611,IF($H1611="EN COURS DE PREENGAGEMENT",'ENGAGEMENTS 2026'!N1611,IF($H1611="PREENGAGE",IF($E1611="ATTRIBUE",'ENGAGEMENTS 2026'!AD1611,'ENGAGEMENTS 2026'!N1611),'ENGAGEMENTS 2026'!AD1611))))</f>
        <v/>
      </c>
      <c r="K1611" s="604">
        <f>IF(ISBLANK('ENGAGEMENTS 2026'!V1611),"",'ENGAGEMENTS 2026'!V1611)</f>
        <v/>
      </c>
      <c r="L1611" s="276">
        <f>IF($K1611="","",TODAY()-$K1611)</f>
        <v/>
      </c>
      <c r="M1611">
        <f>IF($A1611="","",IF($H1611="ENGAGE","Engagé",IF(AND($H1611="NON ENGAGE",OR($I1611="INFRUCTUEUX",$I1611="ANNULE")),"Clôturé sans suite","En cours")))</f>
        <v/>
      </c>
      <c r="N1611">
        <f>IF(ISBLANK('ENGAGEMENTS 2026'!B1611),"",'ENGAGEMENTS 2026'!K1611)</f>
        <v/>
      </c>
      <c r="O1611">
        <f>IF(ISBLANK('ENGAGEMENTS 2026'!B1611),"",'ENGAGEMENTS 2026'!L1611)</f>
        <v/>
      </c>
      <c r="P1611">
        <f>IF(ISBLANK('ENGAGEMENTS 2026'!B1611),"",'ENGAGEMENTS 2026'!J1611)</f>
        <v/>
      </c>
      <c r="Q1611">
        <f>IF($A1611="","",IF(OR($E1611="INFRUCTUEUX",$E1611="ANNULE"),$A1611&amp;"|"&amp;(COUNTIFS($A$2:$A1611,$A1611,$E$2:$E1611,"INFRUCTUEUX")+COUNTIFS($A$2:$A1611,$A1611,$E$2:$E1611,"ANNULE")),""))</f>
        <v/>
      </c>
    </row>
    <row r="1612">
      <c r="A1612">
        <f>IF(ISBLANK('ENGAGEMENTS 2026'!B1612),"",IF('ENGAGEMENTS 2026'!B1612="DTSI","DCT",'ENGAGEMENTS 2026'!B1612))</f>
        <v/>
      </c>
      <c r="B1612">
        <f>IF(ISBLANK('ENGAGEMENTS 2026'!B1612),"",'ENGAGEMENTS 2026'!C1612)</f>
        <v/>
      </c>
      <c r="C1612">
        <f>IF(ISBLANK('ENGAGEMENTS 2026'!B1612),"",'ENGAGEMENTS 2026'!D1612)</f>
        <v/>
      </c>
      <c r="D1612">
        <f>IF(ISBLANK('ENGAGEMENTS 2026'!B1612),"",'ENGAGEMENTS 2026'!F1612)</f>
        <v/>
      </c>
      <c r="E1612">
        <f>IF(ISBLANK('ENGAGEMENTS 2026'!B1612),"",'ENGAGEMENTS 2026'!H1612)</f>
        <v/>
      </c>
      <c r="F1612">
        <f>IF(ISBLANK('ENGAGEMENTS 2026'!B1612),"",'ENGAGEMENTS 2026'!I1612)</f>
        <v/>
      </c>
      <c r="G1612">
        <f>IF(ISBLANK('ENGAGEMENTS 2026'!B1612),"",'ENGAGEMENTS 2026'!L1612)</f>
        <v/>
      </c>
      <c r="H1612">
        <f>IF(ISBLANK('ENGAGEMENTS 2026'!B1612),"",'ENGAGEMENTS 2026'!AE1612)</f>
        <v/>
      </c>
      <c r="I1612">
        <f>IF(ISBLANK('ENGAGEMENTS 2026'!B1612),"",'ENGAGEMENTS 2026'!G1612)</f>
        <v/>
      </c>
      <c r="J1612" s="275">
        <f>IF(ISBLANK('ENGAGEMENTS 2026'!B1612),"",IF(AND(OR($E1612="INFRUCTUEUX",$E1612="ANNULE"),$C1612="AOO-M"),'ENGAGEMENTS 2026'!O1612,IF($H1612="EN COURS DE PREENGAGEMENT",'ENGAGEMENTS 2026'!N1612,IF($H1612="PREENGAGE",IF($E1612="ATTRIBUE",'ENGAGEMENTS 2026'!AD1612,'ENGAGEMENTS 2026'!N1612),'ENGAGEMENTS 2026'!AD1612))))</f>
        <v/>
      </c>
      <c r="K1612" s="604">
        <f>IF(ISBLANK('ENGAGEMENTS 2026'!V1612),"",'ENGAGEMENTS 2026'!V1612)</f>
        <v/>
      </c>
      <c r="L1612" s="276">
        <f>IF($K1612="","",TODAY()-$K1612)</f>
        <v/>
      </c>
      <c r="M1612">
        <f>IF($A1612="","",IF($H1612="ENGAGE","Engagé",IF(AND($H1612="NON ENGAGE",OR($I1612="INFRUCTUEUX",$I1612="ANNULE")),"Clôturé sans suite","En cours")))</f>
        <v/>
      </c>
      <c r="N1612">
        <f>IF(ISBLANK('ENGAGEMENTS 2026'!B1612),"",'ENGAGEMENTS 2026'!K1612)</f>
        <v/>
      </c>
      <c r="O1612">
        <f>IF(ISBLANK('ENGAGEMENTS 2026'!B1612),"",'ENGAGEMENTS 2026'!L1612)</f>
        <v/>
      </c>
      <c r="P1612">
        <f>IF(ISBLANK('ENGAGEMENTS 2026'!B1612),"",'ENGAGEMENTS 2026'!J1612)</f>
        <v/>
      </c>
      <c r="Q1612">
        <f>IF($A1612="","",IF(OR($E1612="INFRUCTUEUX",$E1612="ANNULE"),$A1612&amp;"|"&amp;(COUNTIFS($A$2:$A1612,$A1612,$E$2:$E1612,"INFRUCTUEUX")+COUNTIFS($A$2:$A1612,$A1612,$E$2:$E1612,"ANNULE")),""))</f>
        <v/>
      </c>
    </row>
    <row r="1613">
      <c r="A1613">
        <f>IF(ISBLANK('ENGAGEMENTS 2026'!B1613),"",IF('ENGAGEMENTS 2026'!B1613="DTSI","DCT",'ENGAGEMENTS 2026'!B1613))</f>
        <v/>
      </c>
      <c r="B1613">
        <f>IF(ISBLANK('ENGAGEMENTS 2026'!B1613),"",'ENGAGEMENTS 2026'!C1613)</f>
        <v/>
      </c>
      <c r="C1613">
        <f>IF(ISBLANK('ENGAGEMENTS 2026'!B1613),"",'ENGAGEMENTS 2026'!D1613)</f>
        <v/>
      </c>
      <c r="D1613">
        <f>IF(ISBLANK('ENGAGEMENTS 2026'!B1613),"",'ENGAGEMENTS 2026'!F1613)</f>
        <v/>
      </c>
      <c r="E1613">
        <f>IF(ISBLANK('ENGAGEMENTS 2026'!B1613),"",'ENGAGEMENTS 2026'!H1613)</f>
        <v/>
      </c>
      <c r="F1613">
        <f>IF(ISBLANK('ENGAGEMENTS 2026'!B1613),"",'ENGAGEMENTS 2026'!I1613)</f>
        <v/>
      </c>
      <c r="G1613">
        <f>IF(ISBLANK('ENGAGEMENTS 2026'!B1613),"",'ENGAGEMENTS 2026'!L1613)</f>
        <v/>
      </c>
      <c r="H1613">
        <f>IF(ISBLANK('ENGAGEMENTS 2026'!B1613),"",'ENGAGEMENTS 2026'!AE1613)</f>
        <v/>
      </c>
      <c r="I1613">
        <f>IF(ISBLANK('ENGAGEMENTS 2026'!B1613),"",'ENGAGEMENTS 2026'!G1613)</f>
        <v/>
      </c>
      <c r="J1613" s="275">
        <f>IF(ISBLANK('ENGAGEMENTS 2026'!B1613),"",IF(AND(OR($E1613="INFRUCTUEUX",$E1613="ANNULE"),$C1613="AOO-M"),'ENGAGEMENTS 2026'!O1613,IF($H1613="EN COURS DE PREENGAGEMENT",'ENGAGEMENTS 2026'!N1613,IF($H1613="PREENGAGE",IF($E1613="ATTRIBUE",'ENGAGEMENTS 2026'!AD1613,'ENGAGEMENTS 2026'!N1613),'ENGAGEMENTS 2026'!AD1613))))</f>
        <v/>
      </c>
      <c r="K1613" s="604">
        <f>IF(ISBLANK('ENGAGEMENTS 2026'!V1613),"",'ENGAGEMENTS 2026'!V1613)</f>
        <v/>
      </c>
      <c r="L1613" s="276">
        <f>IF($K1613="","",TODAY()-$K1613)</f>
        <v/>
      </c>
      <c r="M1613">
        <f>IF($A1613="","",IF($H1613="ENGAGE","Engagé",IF(AND($H1613="NON ENGAGE",OR($I1613="INFRUCTUEUX",$I1613="ANNULE")),"Clôturé sans suite","En cours")))</f>
        <v/>
      </c>
      <c r="N1613">
        <f>IF(ISBLANK('ENGAGEMENTS 2026'!B1613),"",'ENGAGEMENTS 2026'!K1613)</f>
        <v/>
      </c>
      <c r="O1613">
        <f>IF(ISBLANK('ENGAGEMENTS 2026'!B1613),"",'ENGAGEMENTS 2026'!L1613)</f>
        <v/>
      </c>
      <c r="P1613">
        <f>IF(ISBLANK('ENGAGEMENTS 2026'!B1613),"",'ENGAGEMENTS 2026'!J1613)</f>
        <v/>
      </c>
      <c r="Q1613">
        <f>IF($A1613="","",IF(OR($E1613="INFRUCTUEUX",$E1613="ANNULE"),$A1613&amp;"|"&amp;(COUNTIFS($A$2:$A1613,$A1613,$E$2:$E1613,"INFRUCTUEUX")+COUNTIFS($A$2:$A1613,$A1613,$E$2:$E1613,"ANNULE")),""))</f>
        <v/>
      </c>
    </row>
    <row r="1614">
      <c r="A1614">
        <f>IF(ISBLANK('ENGAGEMENTS 2026'!B1614),"",IF('ENGAGEMENTS 2026'!B1614="DTSI","DCT",'ENGAGEMENTS 2026'!B1614))</f>
        <v/>
      </c>
      <c r="B1614">
        <f>IF(ISBLANK('ENGAGEMENTS 2026'!B1614),"",'ENGAGEMENTS 2026'!C1614)</f>
        <v/>
      </c>
      <c r="C1614">
        <f>IF(ISBLANK('ENGAGEMENTS 2026'!B1614),"",'ENGAGEMENTS 2026'!D1614)</f>
        <v/>
      </c>
      <c r="D1614">
        <f>IF(ISBLANK('ENGAGEMENTS 2026'!B1614),"",'ENGAGEMENTS 2026'!F1614)</f>
        <v/>
      </c>
      <c r="E1614">
        <f>IF(ISBLANK('ENGAGEMENTS 2026'!B1614),"",'ENGAGEMENTS 2026'!H1614)</f>
        <v/>
      </c>
      <c r="F1614">
        <f>IF(ISBLANK('ENGAGEMENTS 2026'!B1614),"",'ENGAGEMENTS 2026'!I1614)</f>
        <v/>
      </c>
      <c r="G1614">
        <f>IF(ISBLANK('ENGAGEMENTS 2026'!B1614),"",'ENGAGEMENTS 2026'!L1614)</f>
        <v/>
      </c>
      <c r="H1614">
        <f>IF(ISBLANK('ENGAGEMENTS 2026'!B1614),"",'ENGAGEMENTS 2026'!AE1614)</f>
        <v/>
      </c>
      <c r="I1614">
        <f>IF(ISBLANK('ENGAGEMENTS 2026'!B1614),"",'ENGAGEMENTS 2026'!G1614)</f>
        <v/>
      </c>
      <c r="J1614" s="275">
        <f>IF(ISBLANK('ENGAGEMENTS 2026'!B1614),"",IF(AND(OR($E1614="INFRUCTUEUX",$E1614="ANNULE"),$C1614="AOO-M"),'ENGAGEMENTS 2026'!O1614,IF($H1614="EN COURS DE PREENGAGEMENT",'ENGAGEMENTS 2026'!N1614,IF($H1614="PREENGAGE",IF($E1614="ATTRIBUE",'ENGAGEMENTS 2026'!AD1614,'ENGAGEMENTS 2026'!N1614),'ENGAGEMENTS 2026'!AD1614))))</f>
        <v/>
      </c>
      <c r="K1614" s="604">
        <f>IF(ISBLANK('ENGAGEMENTS 2026'!V1614),"",'ENGAGEMENTS 2026'!V1614)</f>
        <v/>
      </c>
      <c r="L1614" s="276">
        <f>IF($K1614="","",TODAY()-$K1614)</f>
        <v/>
      </c>
      <c r="M1614">
        <f>IF($A1614="","",IF($H1614="ENGAGE","Engagé",IF(AND($H1614="NON ENGAGE",OR($I1614="INFRUCTUEUX",$I1614="ANNULE")),"Clôturé sans suite","En cours")))</f>
        <v/>
      </c>
      <c r="N1614">
        <f>IF(ISBLANK('ENGAGEMENTS 2026'!B1614),"",'ENGAGEMENTS 2026'!K1614)</f>
        <v/>
      </c>
      <c r="O1614">
        <f>IF(ISBLANK('ENGAGEMENTS 2026'!B1614),"",'ENGAGEMENTS 2026'!L1614)</f>
        <v/>
      </c>
      <c r="P1614">
        <f>IF(ISBLANK('ENGAGEMENTS 2026'!B1614),"",'ENGAGEMENTS 2026'!J1614)</f>
        <v/>
      </c>
      <c r="Q1614">
        <f>IF($A1614="","",IF(OR($E1614="INFRUCTUEUX",$E1614="ANNULE"),$A1614&amp;"|"&amp;(COUNTIFS($A$2:$A1614,$A1614,$E$2:$E1614,"INFRUCTUEUX")+COUNTIFS($A$2:$A1614,$A1614,$E$2:$E1614,"ANNULE")),""))</f>
        <v/>
      </c>
    </row>
    <row r="1615">
      <c r="A1615">
        <f>IF(ISBLANK('ENGAGEMENTS 2026'!B1615),"",IF('ENGAGEMENTS 2026'!B1615="DTSI","DCT",'ENGAGEMENTS 2026'!B1615))</f>
        <v/>
      </c>
      <c r="B1615">
        <f>IF(ISBLANK('ENGAGEMENTS 2026'!B1615),"",'ENGAGEMENTS 2026'!C1615)</f>
        <v/>
      </c>
      <c r="C1615">
        <f>IF(ISBLANK('ENGAGEMENTS 2026'!B1615),"",'ENGAGEMENTS 2026'!D1615)</f>
        <v/>
      </c>
      <c r="D1615">
        <f>IF(ISBLANK('ENGAGEMENTS 2026'!B1615),"",'ENGAGEMENTS 2026'!F1615)</f>
        <v/>
      </c>
      <c r="E1615">
        <f>IF(ISBLANK('ENGAGEMENTS 2026'!B1615),"",'ENGAGEMENTS 2026'!H1615)</f>
        <v/>
      </c>
      <c r="F1615">
        <f>IF(ISBLANK('ENGAGEMENTS 2026'!B1615),"",'ENGAGEMENTS 2026'!I1615)</f>
        <v/>
      </c>
      <c r="G1615">
        <f>IF(ISBLANK('ENGAGEMENTS 2026'!B1615),"",'ENGAGEMENTS 2026'!L1615)</f>
        <v/>
      </c>
      <c r="H1615">
        <f>IF(ISBLANK('ENGAGEMENTS 2026'!B1615),"",'ENGAGEMENTS 2026'!AE1615)</f>
        <v/>
      </c>
      <c r="I1615">
        <f>IF(ISBLANK('ENGAGEMENTS 2026'!B1615),"",'ENGAGEMENTS 2026'!G1615)</f>
        <v/>
      </c>
      <c r="J1615" s="275">
        <f>IF(ISBLANK('ENGAGEMENTS 2026'!B1615),"",IF(AND(OR($E1615="INFRUCTUEUX",$E1615="ANNULE"),$C1615="AOO-M"),'ENGAGEMENTS 2026'!O1615,IF($H1615="EN COURS DE PREENGAGEMENT",'ENGAGEMENTS 2026'!N1615,IF($H1615="PREENGAGE",IF($E1615="ATTRIBUE",'ENGAGEMENTS 2026'!AD1615,'ENGAGEMENTS 2026'!N1615),'ENGAGEMENTS 2026'!AD1615))))</f>
        <v/>
      </c>
      <c r="K1615" s="604">
        <f>IF(ISBLANK('ENGAGEMENTS 2026'!V1615),"",'ENGAGEMENTS 2026'!V1615)</f>
        <v/>
      </c>
      <c r="L1615" s="276">
        <f>IF($K1615="","",TODAY()-$K1615)</f>
        <v/>
      </c>
      <c r="M1615">
        <f>IF($A1615="","",IF($H1615="ENGAGE","Engagé",IF(AND($H1615="NON ENGAGE",OR($I1615="INFRUCTUEUX",$I1615="ANNULE")),"Clôturé sans suite","En cours")))</f>
        <v/>
      </c>
      <c r="N1615">
        <f>IF(ISBLANK('ENGAGEMENTS 2026'!B1615),"",'ENGAGEMENTS 2026'!K1615)</f>
        <v/>
      </c>
      <c r="O1615">
        <f>IF(ISBLANK('ENGAGEMENTS 2026'!B1615),"",'ENGAGEMENTS 2026'!L1615)</f>
        <v/>
      </c>
      <c r="P1615">
        <f>IF(ISBLANK('ENGAGEMENTS 2026'!B1615),"",'ENGAGEMENTS 2026'!J1615)</f>
        <v/>
      </c>
      <c r="Q1615">
        <f>IF($A1615="","",IF(OR($E1615="INFRUCTUEUX",$E1615="ANNULE"),$A1615&amp;"|"&amp;(COUNTIFS($A$2:$A1615,$A1615,$E$2:$E1615,"INFRUCTUEUX")+COUNTIFS($A$2:$A1615,$A1615,$E$2:$E1615,"ANNULE")),""))</f>
        <v/>
      </c>
    </row>
    <row r="1616">
      <c r="A1616">
        <f>IF(ISBLANK('ENGAGEMENTS 2026'!B1616),"",IF('ENGAGEMENTS 2026'!B1616="DTSI","DCT",'ENGAGEMENTS 2026'!B1616))</f>
        <v/>
      </c>
      <c r="B1616">
        <f>IF(ISBLANK('ENGAGEMENTS 2026'!B1616),"",'ENGAGEMENTS 2026'!C1616)</f>
        <v/>
      </c>
      <c r="C1616">
        <f>IF(ISBLANK('ENGAGEMENTS 2026'!B1616),"",'ENGAGEMENTS 2026'!D1616)</f>
        <v/>
      </c>
      <c r="D1616">
        <f>IF(ISBLANK('ENGAGEMENTS 2026'!B1616),"",'ENGAGEMENTS 2026'!F1616)</f>
        <v/>
      </c>
      <c r="E1616">
        <f>IF(ISBLANK('ENGAGEMENTS 2026'!B1616),"",'ENGAGEMENTS 2026'!H1616)</f>
        <v/>
      </c>
      <c r="F1616">
        <f>IF(ISBLANK('ENGAGEMENTS 2026'!B1616),"",'ENGAGEMENTS 2026'!I1616)</f>
        <v/>
      </c>
      <c r="G1616">
        <f>IF(ISBLANK('ENGAGEMENTS 2026'!B1616),"",'ENGAGEMENTS 2026'!L1616)</f>
        <v/>
      </c>
      <c r="H1616">
        <f>IF(ISBLANK('ENGAGEMENTS 2026'!B1616),"",'ENGAGEMENTS 2026'!AE1616)</f>
        <v/>
      </c>
      <c r="I1616">
        <f>IF(ISBLANK('ENGAGEMENTS 2026'!B1616),"",'ENGAGEMENTS 2026'!G1616)</f>
        <v/>
      </c>
      <c r="J1616" s="275">
        <f>IF(ISBLANK('ENGAGEMENTS 2026'!B1616),"",IF(AND(OR($E1616="INFRUCTUEUX",$E1616="ANNULE"),$C1616="AOO-M"),'ENGAGEMENTS 2026'!O1616,IF($H1616="EN COURS DE PREENGAGEMENT",'ENGAGEMENTS 2026'!N1616,IF($H1616="PREENGAGE",IF($E1616="ATTRIBUE",'ENGAGEMENTS 2026'!AD1616,'ENGAGEMENTS 2026'!N1616),'ENGAGEMENTS 2026'!AD1616))))</f>
        <v/>
      </c>
      <c r="K1616" s="604">
        <f>IF(ISBLANK('ENGAGEMENTS 2026'!V1616),"",'ENGAGEMENTS 2026'!V1616)</f>
        <v/>
      </c>
      <c r="L1616" s="276">
        <f>IF($K1616="","",TODAY()-$K1616)</f>
        <v/>
      </c>
      <c r="M1616">
        <f>IF($A1616="","",IF($H1616="ENGAGE","Engagé",IF(AND($H1616="NON ENGAGE",OR($I1616="INFRUCTUEUX",$I1616="ANNULE")),"Clôturé sans suite","En cours")))</f>
        <v/>
      </c>
      <c r="N1616">
        <f>IF(ISBLANK('ENGAGEMENTS 2026'!B1616),"",'ENGAGEMENTS 2026'!K1616)</f>
        <v/>
      </c>
      <c r="O1616">
        <f>IF(ISBLANK('ENGAGEMENTS 2026'!B1616),"",'ENGAGEMENTS 2026'!L1616)</f>
        <v/>
      </c>
      <c r="P1616">
        <f>IF(ISBLANK('ENGAGEMENTS 2026'!B1616),"",'ENGAGEMENTS 2026'!J1616)</f>
        <v/>
      </c>
      <c r="Q1616">
        <f>IF($A1616="","",IF(OR($E1616="INFRUCTUEUX",$E1616="ANNULE"),$A1616&amp;"|"&amp;(COUNTIFS($A$2:$A1616,$A1616,$E$2:$E1616,"INFRUCTUEUX")+COUNTIFS($A$2:$A1616,$A1616,$E$2:$E1616,"ANNULE")),""))</f>
        <v/>
      </c>
    </row>
    <row r="1617">
      <c r="A1617">
        <f>IF(ISBLANK('ENGAGEMENTS 2026'!B1617),"",IF('ENGAGEMENTS 2026'!B1617="DTSI","DCT",'ENGAGEMENTS 2026'!B1617))</f>
        <v/>
      </c>
      <c r="B1617">
        <f>IF(ISBLANK('ENGAGEMENTS 2026'!B1617),"",'ENGAGEMENTS 2026'!C1617)</f>
        <v/>
      </c>
      <c r="C1617">
        <f>IF(ISBLANK('ENGAGEMENTS 2026'!B1617),"",'ENGAGEMENTS 2026'!D1617)</f>
        <v/>
      </c>
      <c r="D1617">
        <f>IF(ISBLANK('ENGAGEMENTS 2026'!B1617),"",'ENGAGEMENTS 2026'!F1617)</f>
        <v/>
      </c>
      <c r="E1617">
        <f>IF(ISBLANK('ENGAGEMENTS 2026'!B1617),"",'ENGAGEMENTS 2026'!H1617)</f>
        <v/>
      </c>
      <c r="F1617">
        <f>IF(ISBLANK('ENGAGEMENTS 2026'!B1617),"",'ENGAGEMENTS 2026'!I1617)</f>
        <v/>
      </c>
      <c r="G1617">
        <f>IF(ISBLANK('ENGAGEMENTS 2026'!B1617),"",'ENGAGEMENTS 2026'!L1617)</f>
        <v/>
      </c>
      <c r="H1617">
        <f>IF(ISBLANK('ENGAGEMENTS 2026'!B1617),"",'ENGAGEMENTS 2026'!AE1617)</f>
        <v/>
      </c>
      <c r="I1617">
        <f>IF(ISBLANK('ENGAGEMENTS 2026'!B1617),"",'ENGAGEMENTS 2026'!G1617)</f>
        <v/>
      </c>
      <c r="J1617" s="275">
        <f>IF(ISBLANK('ENGAGEMENTS 2026'!B1617),"",IF(AND(OR($E1617="INFRUCTUEUX",$E1617="ANNULE"),$C1617="AOO-M"),'ENGAGEMENTS 2026'!O1617,IF($H1617="EN COURS DE PREENGAGEMENT",'ENGAGEMENTS 2026'!N1617,IF($H1617="PREENGAGE",IF($E1617="ATTRIBUE",'ENGAGEMENTS 2026'!AD1617,'ENGAGEMENTS 2026'!N1617),'ENGAGEMENTS 2026'!AD1617))))</f>
        <v/>
      </c>
      <c r="K1617" s="604">
        <f>IF(ISBLANK('ENGAGEMENTS 2026'!V1617),"",'ENGAGEMENTS 2026'!V1617)</f>
        <v/>
      </c>
      <c r="L1617" s="276">
        <f>IF($K1617="","",TODAY()-$K1617)</f>
        <v/>
      </c>
      <c r="M1617">
        <f>IF($A1617="","",IF($H1617="ENGAGE","Engagé",IF(AND($H1617="NON ENGAGE",OR($I1617="INFRUCTUEUX",$I1617="ANNULE")),"Clôturé sans suite","En cours")))</f>
        <v/>
      </c>
      <c r="N1617">
        <f>IF(ISBLANK('ENGAGEMENTS 2026'!B1617),"",'ENGAGEMENTS 2026'!K1617)</f>
        <v/>
      </c>
      <c r="O1617">
        <f>IF(ISBLANK('ENGAGEMENTS 2026'!B1617),"",'ENGAGEMENTS 2026'!L1617)</f>
        <v/>
      </c>
      <c r="P1617">
        <f>IF(ISBLANK('ENGAGEMENTS 2026'!B1617),"",'ENGAGEMENTS 2026'!J1617)</f>
        <v/>
      </c>
      <c r="Q1617">
        <f>IF($A1617="","",IF(OR($E1617="INFRUCTUEUX",$E1617="ANNULE"),$A1617&amp;"|"&amp;(COUNTIFS($A$2:$A1617,$A1617,$E$2:$E1617,"INFRUCTUEUX")+COUNTIFS($A$2:$A1617,$A1617,$E$2:$E1617,"ANNULE")),""))</f>
        <v/>
      </c>
    </row>
    <row r="1618">
      <c r="A1618">
        <f>IF(ISBLANK('ENGAGEMENTS 2026'!B1618),"",IF('ENGAGEMENTS 2026'!B1618="DTSI","DCT",'ENGAGEMENTS 2026'!B1618))</f>
        <v/>
      </c>
      <c r="B1618">
        <f>IF(ISBLANK('ENGAGEMENTS 2026'!B1618),"",'ENGAGEMENTS 2026'!C1618)</f>
        <v/>
      </c>
      <c r="C1618">
        <f>IF(ISBLANK('ENGAGEMENTS 2026'!B1618),"",'ENGAGEMENTS 2026'!D1618)</f>
        <v/>
      </c>
      <c r="D1618">
        <f>IF(ISBLANK('ENGAGEMENTS 2026'!B1618),"",'ENGAGEMENTS 2026'!F1618)</f>
        <v/>
      </c>
      <c r="E1618">
        <f>IF(ISBLANK('ENGAGEMENTS 2026'!B1618),"",'ENGAGEMENTS 2026'!H1618)</f>
        <v/>
      </c>
      <c r="F1618">
        <f>IF(ISBLANK('ENGAGEMENTS 2026'!B1618),"",'ENGAGEMENTS 2026'!I1618)</f>
        <v/>
      </c>
      <c r="G1618">
        <f>IF(ISBLANK('ENGAGEMENTS 2026'!B1618),"",'ENGAGEMENTS 2026'!L1618)</f>
        <v/>
      </c>
      <c r="H1618">
        <f>IF(ISBLANK('ENGAGEMENTS 2026'!B1618),"",'ENGAGEMENTS 2026'!AE1618)</f>
        <v/>
      </c>
      <c r="I1618">
        <f>IF(ISBLANK('ENGAGEMENTS 2026'!B1618),"",'ENGAGEMENTS 2026'!G1618)</f>
        <v/>
      </c>
      <c r="J1618" s="275">
        <f>IF(ISBLANK('ENGAGEMENTS 2026'!B1618),"",IF(AND(OR($E1618="INFRUCTUEUX",$E1618="ANNULE"),$C1618="AOO-M"),'ENGAGEMENTS 2026'!O1618,IF($H1618="EN COURS DE PREENGAGEMENT",'ENGAGEMENTS 2026'!N1618,IF($H1618="PREENGAGE",IF($E1618="ATTRIBUE",'ENGAGEMENTS 2026'!AD1618,'ENGAGEMENTS 2026'!N1618),'ENGAGEMENTS 2026'!AD1618))))</f>
        <v/>
      </c>
      <c r="K1618" s="604">
        <f>IF(ISBLANK('ENGAGEMENTS 2026'!V1618),"",'ENGAGEMENTS 2026'!V1618)</f>
        <v/>
      </c>
      <c r="L1618" s="276">
        <f>IF($K1618="","",TODAY()-$K1618)</f>
        <v/>
      </c>
      <c r="M1618">
        <f>IF($A1618="","",IF($H1618="ENGAGE","Engagé",IF(AND($H1618="NON ENGAGE",OR($I1618="INFRUCTUEUX",$I1618="ANNULE")),"Clôturé sans suite","En cours")))</f>
        <v/>
      </c>
      <c r="N1618">
        <f>IF(ISBLANK('ENGAGEMENTS 2026'!B1618),"",'ENGAGEMENTS 2026'!K1618)</f>
        <v/>
      </c>
      <c r="O1618">
        <f>IF(ISBLANK('ENGAGEMENTS 2026'!B1618),"",'ENGAGEMENTS 2026'!L1618)</f>
        <v/>
      </c>
      <c r="P1618">
        <f>IF(ISBLANK('ENGAGEMENTS 2026'!B1618),"",'ENGAGEMENTS 2026'!J1618)</f>
        <v/>
      </c>
      <c r="Q1618">
        <f>IF($A1618="","",IF(OR($E1618="INFRUCTUEUX",$E1618="ANNULE"),$A1618&amp;"|"&amp;(COUNTIFS($A$2:$A1618,$A1618,$E$2:$E1618,"INFRUCTUEUX")+COUNTIFS($A$2:$A1618,$A1618,$E$2:$E1618,"ANNULE")),""))</f>
        <v/>
      </c>
    </row>
    <row r="1619">
      <c r="A1619">
        <f>IF(ISBLANK('ENGAGEMENTS 2026'!B1619),"",IF('ENGAGEMENTS 2026'!B1619="DTSI","DCT",'ENGAGEMENTS 2026'!B1619))</f>
        <v/>
      </c>
      <c r="B1619">
        <f>IF(ISBLANK('ENGAGEMENTS 2026'!B1619),"",'ENGAGEMENTS 2026'!C1619)</f>
        <v/>
      </c>
      <c r="C1619">
        <f>IF(ISBLANK('ENGAGEMENTS 2026'!B1619),"",'ENGAGEMENTS 2026'!D1619)</f>
        <v/>
      </c>
      <c r="D1619">
        <f>IF(ISBLANK('ENGAGEMENTS 2026'!B1619),"",'ENGAGEMENTS 2026'!F1619)</f>
        <v/>
      </c>
      <c r="E1619">
        <f>IF(ISBLANK('ENGAGEMENTS 2026'!B1619),"",'ENGAGEMENTS 2026'!H1619)</f>
        <v/>
      </c>
      <c r="F1619">
        <f>IF(ISBLANK('ENGAGEMENTS 2026'!B1619),"",'ENGAGEMENTS 2026'!I1619)</f>
        <v/>
      </c>
      <c r="G1619">
        <f>IF(ISBLANK('ENGAGEMENTS 2026'!B1619),"",'ENGAGEMENTS 2026'!L1619)</f>
        <v/>
      </c>
      <c r="H1619">
        <f>IF(ISBLANK('ENGAGEMENTS 2026'!B1619),"",'ENGAGEMENTS 2026'!AE1619)</f>
        <v/>
      </c>
      <c r="I1619">
        <f>IF(ISBLANK('ENGAGEMENTS 2026'!B1619),"",'ENGAGEMENTS 2026'!G1619)</f>
        <v/>
      </c>
      <c r="J1619" s="275">
        <f>IF(ISBLANK('ENGAGEMENTS 2026'!B1619),"",IF(AND(OR($E1619="INFRUCTUEUX",$E1619="ANNULE"),$C1619="AOO-M"),'ENGAGEMENTS 2026'!O1619,IF($H1619="EN COURS DE PREENGAGEMENT",'ENGAGEMENTS 2026'!N1619,IF($H1619="PREENGAGE",IF($E1619="ATTRIBUE",'ENGAGEMENTS 2026'!AD1619,'ENGAGEMENTS 2026'!N1619),'ENGAGEMENTS 2026'!AD1619))))</f>
        <v/>
      </c>
      <c r="K1619" s="604">
        <f>IF(ISBLANK('ENGAGEMENTS 2026'!V1619),"",'ENGAGEMENTS 2026'!V1619)</f>
        <v/>
      </c>
      <c r="L1619" s="276">
        <f>IF($K1619="","",TODAY()-$K1619)</f>
        <v/>
      </c>
      <c r="M1619">
        <f>IF($A1619="","",IF($H1619="ENGAGE","Engagé",IF(AND($H1619="NON ENGAGE",OR($I1619="INFRUCTUEUX",$I1619="ANNULE")),"Clôturé sans suite","En cours")))</f>
        <v/>
      </c>
      <c r="N1619">
        <f>IF(ISBLANK('ENGAGEMENTS 2026'!B1619),"",'ENGAGEMENTS 2026'!K1619)</f>
        <v/>
      </c>
      <c r="O1619">
        <f>IF(ISBLANK('ENGAGEMENTS 2026'!B1619),"",'ENGAGEMENTS 2026'!L1619)</f>
        <v/>
      </c>
      <c r="P1619">
        <f>IF(ISBLANK('ENGAGEMENTS 2026'!B1619),"",'ENGAGEMENTS 2026'!J1619)</f>
        <v/>
      </c>
      <c r="Q1619">
        <f>IF($A1619="","",IF(OR($E1619="INFRUCTUEUX",$E1619="ANNULE"),$A1619&amp;"|"&amp;(COUNTIFS($A$2:$A1619,$A1619,$E$2:$E1619,"INFRUCTUEUX")+COUNTIFS($A$2:$A1619,$A1619,$E$2:$E1619,"ANNULE")),""))</f>
        <v/>
      </c>
    </row>
    <row r="1620">
      <c r="A1620">
        <f>IF(ISBLANK('ENGAGEMENTS 2026'!B1620),"",IF('ENGAGEMENTS 2026'!B1620="DTSI","DCT",'ENGAGEMENTS 2026'!B1620))</f>
        <v/>
      </c>
      <c r="B1620">
        <f>IF(ISBLANK('ENGAGEMENTS 2026'!B1620),"",'ENGAGEMENTS 2026'!C1620)</f>
        <v/>
      </c>
      <c r="C1620">
        <f>IF(ISBLANK('ENGAGEMENTS 2026'!B1620),"",'ENGAGEMENTS 2026'!D1620)</f>
        <v/>
      </c>
      <c r="D1620">
        <f>IF(ISBLANK('ENGAGEMENTS 2026'!B1620),"",'ENGAGEMENTS 2026'!F1620)</f>
        <v/>
      </c>
      <c r="E1620">
        <f>IF(ISBLANK('ENGAGEMENTS 2026'!B1620),"",'ENGAGEMENTS 2026'!H1620)</f>
        <v/>
      </c>
      <c r="F1620">
        <f>IF(ISBLANK('ENGAGEMENTS 2026'!B1620),"",'ENGAGEMENTS 2026'!I1620)</f>
        <v/>
      </c>
      <c r="G1620">
        <f>IF(ISBLANK('ENGAGEMENTS 2026'!B1620),"",'ENGAGEMENTS 2026'!L1620)</f>
        <v/>
      </c>
      <c r="H1620">
        <f>IF(ISBLANK('ENGAGEMENTS 2026'!B1620),"",'ENGAGEMENTS 2026'!AE1620)</f>
        <v/>
      </c>
      <c r="I1620">
        <f>IF(ISBLANK('ENGAGEMENTS 2026'!B1620),"",'ENGAGEMENTS 2026'!G1620)</f>
        <v/>
      </c>
      <c r="J1620" s="275">
        <f>IF(ISBLANK('ENGAGEMENTS 2026'!B1620),"",IF(AND(OR($E1620="INFRUCTUEUX",$E1620="ANNULE"),$C1620="AOO-M"),'ENGAGEMENTS 2026'!O1620,IF($H1620="EN COURS DE PREENGAGEMENT",'ENGAGEMENTS 2026'!N1620,IF($H1620="PREENGAGE",IF($E1620="ATTRIBUE",'ENGAGEMENTS 2026'!AD1620,'ENGAGEMENTS 2026'!N1620),'ENGAGEMENTS 2026'!AD1620))))</f>
        <v/>
      </c>
      <c r="K1620" s="604">
        <f>IF(ISBLANK('ENGAGEMENTS 2026'!V1620),"",'ENGAGEMENTS 2026'!V1620)</f>
        <v/>
      </c>
      <c r="L1620" s="276">
        <f>IF($K1620="","",TODAY()-$K1620)</f>
        <v/>
      </c>
      <c r="M1620">
        <f>IF($A1620="","",IF($H1620="ENGAGE","Engagé",IF(AND($H1620="NON ENGAGE",OR($I1620="INFRUCTUEUX",$I1620="ANNULE")),"Clôturé sans suite","En cours")))</f>
        <v/>
      </c>
      <c r="N1620">
        <f>IF(ISBLANK('ENGAGEMENTS 2026'!B1620),"",'ENGAGEMENTS 2026'!K1620)</f>
        <v/>
      </c>
      <c r="O1620">
        <f>IF(ISBLANK('ENGAGEMENTS 2026'!B1620),"",'ENGAGEMENTS 2026'!L1620)</f>
        <v/>
      </c>
      <c r="P1620">
        <f>IF(ISBLANK('ENGAGEMENTS 2026'!B1620),"",'ENGAGEMENTS 2026'!J1620)</f>
        <v/>
      </c>
      <c r="Q1620">
        <f>IF($A1620="","",IF(OR($E1620="INFRUCTUEUX",$E1620="ANNULE"),$A1620&amp;"|"&amp;(COUNTIFS($A$2:$A1620,$A1620,$E$2:$E1620,"INFRUCTUEUX")+COUNTIFS($A$2:$A1620,$A1620,$E$2:$E1620,"ANNULE")),""))</f>
        <v/>
      </c>
    </row>
    <row r="1621">
      <c r="A1621">
        <f>IF(ISBLANK('ENGAGEMENTS 2026'!B1621),"",IF('ENGAGEMENTS 2026'!B1621="DTSI","DCT",'ENGAGEMENTS 2026'!B1621))</f>
        <v/>
      </c>
      <c r="B1621">
        <f>IF(ISBLANK('ENGAGEMENTS 2026'!B1621),"",'ENGAGEMENTS 2026'!C1621)</f>
        <v/>
      </c>
      <c r="C1621">
        <f>IF(ISBLANK('ENGAGEMENTS 2026'!B1621),"",'ENGAGEMENTS 2026'!D1621)</f>
        <v/>
      </c>
      <c r="D1621">
        <f>IF(ISBLANK('ENGAGEMENTS 2026'!B1621),"",'ENGAGEMENTS 2026'!F1621)</f>
        <v/>
      </c>
      <c r="E1621">
        <f>IF(ISBLANK('ENGAGEMENTS 2026'!B1621),"",'ENGAGEMENTS 2026'!H1621)</f>
        <v/>
      </c>
      <c r="F1621">
        <f>IF(ISBLANK('ENGAGEMENTS 2026'!B1621),"",'ENGAGEMENTS 2026'!I1621)</f>
        <v/>
      </c>
      <c r="G1621">
        <f>IF(ISBLANK('ENGAGEMENTS 2026'!B1621),"",'ENGAGEMENTS 2026'!L1621)</f>
        <v/>
      </c>
      <c r="H1621">
        <f>IF(ISBLANK('ENGAGEMENTS 2026'!B1621),"",'ENGAGEMENTS 2026'!AE1621)</f>
        <v/>
      </c>
      <c r="I1621">
        <f>IF(ISBLANK('ENGAGEMENTS 2026'!B1621),"",'ENGAGEMENTS 2026'!G1621)</f>
        <v/>
      </c>
      <c r="J1621" s="275">
        <f>IF(ISBLANK('ENGAGEMENTS 2026'!B1621),"",IF(AND(OR($E1621="INFRUCTUEUX",$E1621="ANNULE"),$C1621="AOO-M"),'ENGAGEMENTS 2026'!O1621,IF($H1621="EN COURS DE PREENGAGEMENT",'ENGAGEMENTS 2026'!N1621,IF($H1621="PREENGAGE",IF($E1621="ATTRIBUE",'ENGAGEMENTS 2026'!AD1621,'ENGAGEMENTS 2026'!N1621),'ENGAGEMENTS 2026'!AD1621))))</f>
        <v/>
      </c>
      <c r="K1621" s="604">
        <f>IF(ISBLANK('ENGAGEMENTS 2026'!V1621),"",'ENGAGEMENTS 2026'!V1621)</f>
        <v/>
      </c>
      <c r="L1621" s="276">
        <f>IF($K1621="","",TODAY()-$K1621)</f>
        <v/>
      </c>
      <c r="M1621">
        <f>IF($A1621="","",IF($H1621="ENGAGE","Engagé",IF(AND($H1621="NON ENGAGE",OR($I1621="INFRUCTUEUX",$I1621="ANNULE")),"Clôturé sans suite","En cours")))</f>
        <v/>
      </c>
      <c r="N1621">
        <f>IF(ISBLANK('ENGAGEMENTS 2026'!B1621),"",'ENGAGEMENTS 2026'!K1621)</f>
        <v/>
      </c>
      <c r="O1621">
        <f>IF(ISBLANK('ENGAGEMENTS 2026'!B1621),"",'ENGAGEMENTS 2026'!L1621)</f>
        <v/>
      </c>
      <c r="P1621">
        <f>IF(ISBLANK('ENGAGEMENTS 2026'!B1621),"",'ENGAGEMENTS 2026'!J1621)</f>
        <v/>
      </c>
      <c r="Q1621">
        <f>IF($A1621="","",IF(OR($E1621="INFRUCTUEUX",$E1621="ANNULE"),$A1621&amp;"|"&amp;(COUNTIFS($A$2:$A1621,$A1621,$E$2:$E1621,"INFRUCTUEUX")+COUNTIFS($A$2:$A1621,$A1621,$E$2:$E1621,"ANNULE")),""))</f>
        <v/>
      </c>
    </row>
    <row r="1622">
      <c r="A1622">
        <f>IF(ISBLANK('ENGAGEMENTS 2026'!B1622),"",IF('ENGAGEMENTS 2026'!B1622="DTSI","DCT",'ENGAGEMENTS 2026'!B1622))</f>
        <v/>
      </c>
      <c r="B1622">
        <f>IF(ISBLANK('ENGAGEMENTS 2026'!B1622),"",'ENGAGEMENTS 2026'!C1622)</f>
        <v/>
      </c>
      <c r="C1622">
        <f>IF(ISBLANK('ENGAGEMENTS 2026'!B1622),"",'ENGAGEMENTS 2026'!D1622)</f>
        <v/>
      </c>
      <c r="D1622">
        <f>IF(ISBLANK('ENGAGEMENTS 2026'!B1622),"",'ENGAGEMENTS 2026'!F1622)</f>
        <v/>
      </c>
      <c r="E1622">
        <f>IF(ISBLANK('ENGAGEMENTS 2026'!B1622),"",'ENGAGEMENTS 2026'!H1622)</f>
        <v/>
      </c>
      <c r="F1622">
        <f>IF(ISBLANK('ENGAGEMENTS 2026'!B1622),"",'ENGAGEMENTS 2026'!I1622)</f>
        <v/>
      </c>
      <c r="G1622">
        <f>IF(ISBLANK('ENGAGEMENTS 2026'!B1622),"",'ENGAGEMENTS 2026'!L1622)</f>
        <v/>
      </c>
      <c r="H1622">
        <f>IF(ISBLANK('ENGAGEMENTS 2026'!B1622),"",'ENGAGEMENTS 2026'!AE1622)</f>
        <v/>
      </c>
      <c r="I1622">
        <f>IF(ISBLANK('ENGAGEMENTS 2026'!B1622),"",'ENGAGEMENTS 2026'!G1622)</f>
        <v/>
      </c>
      <c r="J1622" s="275">
        <f>IF(ISBLANK('ENGAGEMENTS 2026'!B1622),"",IF(AND(OR($E1622="INFRUCTUEUX",$E1622="ANNULE"),$C1622="AOO-M"),'ENGAGEMENTS 2026'!O1622,IF($H1622="EN COURS DE PREENGAGEMENT",'ENGAGEMENTS 2026'!N1622,IF($H1622="PREENGAGE",IF($E1622="ATTRIBUE",'ENGAGEMENTS 2026'!AD1622,'ENGAGEMENTS 2026'!N1622),'ENGAGEMENTS 2026'!AD1622))))</f>
        <v/>
      </c>
      <c r="K1622" s="604">
        <f>IF(ISBLANK('ENGAGEMENTS 2026'!V1622),"",'ENGAGEMENTS 2026'!V1622)</f>
        <v/>
      </c>
      <c r="L1622" s="276">
        <f>IF($K1622="","",TODAY()-$K1622)</f>
        <v/>
      </c>
      <c r="M1622">
        <f>IF($A1622="","",IF($H1622="ENGAGE","Engagé",IF(AND($H1622="NON ENGAGE",OR($I1622="INFRUCTUEUX",$I1622="ANNULE")),"Clôturé sans suite","En cours")))</f>
        <v/>
      </c>
      <c r="N1622">
        <f>IF(ISBLANK('ENGAGEMENTS 2026'!B1622),"",'ENGAGEMENTS 2026'!K1622)</f>
        <v/>
      </c>
      <c r="O1622">
        <f>IF(ISBLANK('ENGAGEMENTS 2026'!B1622),"",'ENGAGEMENTS 2026'!L1622)</f>
        <v/>
      </c>
      <c r="P1622">
        <f>IF(ISBLANK('ENGAGEMENTS 2026'!B1622),"",'ENGAGEMENTS 2026'!J1622)</f>
        <v/>
      </c>
      <c r="Q1622">
        <f>IF($A1622="","",IF(OR($E1622="INFRUCTUEUX",$E1622="ANNULE"),$A1622&amp;"|"&amp;(COUNTIFS($A$2:$A1622,$A1622,$E$2:$E1622,"INFRUCTUEUX")+COUNTIFS($A$2:$A1622,$A1622,$E$2:$E1622,"ANNULE")),""))</f>
        <v/>
      </c>
    </row>
    <row r="1623">
      <c r="A1623">
        <f>IF(ISBLANK('ENGAGEMENTS 2026'!B1623),"",IF('ENGAGEMENTS 2026'!B1623="DTSI","DCT",'ENGAGEMENTS 2026'!B1623))</f>
        <v/>
      </c>
      <c r="B1623">
        <f>IF(ISBLANK('ENGAGEMENTS 2026'!B1623),"",'ENGAGEMENTS 2026'!C1623)</f>
        <v/>
      </c>
      <c r="C1623">
        <f>IF(ISBLANK('ENGAGEMENTS 2026'!B1623),"",'ENGAGEMENTS 2026'!D1623)</f>
        <v/>
      </c>
      <c r="D1623">
        <f>IF(ISBLANK('ENGAGEMENTS 2026'!B1623),"",'ENGAGEMENTS 2026'!F1623)</f>
        <v/>
      </c>
      <c r="E1623">
        <f>IF(ISBLANK('ENGAGEMENTS 2026'!B1623),"",'ENGAGEMENTS 2026'!H1623)</f>
        <v/>
      </c>
      <c r="F1623">
        <f>IF(ISBLANK('ENGAGEMENTS 2026'!B1623),"",'ENGAGEMENTS 2026'!I1623)</f>
        <v/>
      </c>
      <c r="G1623">
        <f>IF(ISBLANK('ENGAGEMENTS 2026'!B1623),"",'ENGAGEMENTS 2026'!L1623)</f>
        <v/>
      </c>
      <c r="H1623">
        <f>IF(ISBLANK('ENGAGEMENTS 2026'!B1623),"",'ENGAGEMENTS 2026'!AE1623)</f>
        <v/>
      </c>
      <c r="I1623">
        <f>IF(ISBLANK('ENGAGEMENTS 2026'!B1623),"",'ENGAGEMENTS 2026'!G1623)</f>
        <v/>
      </c>
      <c r="J1623" s="275">
        <f>IF(ISBLANK('ENGAGEMENTS 2026'!B1623),"",IF(AND(OR($E1623="INFRUCTUEUX",$E1623="ANNULE"),$C1623="AOO-M"),'ENGAGEMENTS 2026'!O1623,IF($H1623="EN COURS DE PREENGAGEMENT",'ENGAGEMENTS 2026'!N1623,IF($H1623="PREENGAGE",IF($E1623="ATTRIBUE",'ENGAGEMENTS 2026'!AD1623,'ENGAGEMENTS 2026'!N1623),'ENGAGEMENTS 2026'!AD1623))))</f>
        <v/>
      </c>
      <c r="K1623" s="604">
        <f>IF(ISBLANK('ENGAGEMENTS 2026'!V1623),"",'ENGAGEMENTS 2026'!V1623)</f>
        <v/>
      </c>
      <c r="L1623" s="276">
        <f>IF($K1623="","",TODAY()-$K1623)</f>
        <v/>
      </c>
      <c r="M1623">
        <f>IF($A1623="","",IF($H1623="ENGAGE","Engagé",IF(AND($H1623="NON ENGAGE",OR($I1623="INFRUCTUEUX",$I1623="ANNULE")),"Clôturé sans suite","En cours")))</f>
        <v/>
      </c>
      <c r="N1623">
        <f>IF(ISBLANK('ENGAGEMENTS 2026'!B1623),"",'ENGAGEMENTS 2026'!K1623)</f>
        <v/>
      </c>
      <c r="O1623">
        <f>IF(ISBLANK('ENGAGEMENTS 2026'!B1623),"",'ENGAGEMENTS 2026'!L1623)</f>
        <v/>
      </c>
      <c r="P1623">
        <f>IF(ISBLANK('ENGAGEMENTS 2026'!B1623),"",'ENGAGEMENTS 2026'!J1623)</f>
        <v/>
      </c>
      <c r="Q1623">
        <f>IF($A1623="","",IF(OR($E1623="INFRUCTUEUX",$E1623="ANNULE"),$A1623&amp;"|"&amp;(COUNTIFS($A$2:$A1623,$A1623,$E$2:$E1623,"INFRUCTUEUX")+COUNTIFS($A$2:$A1623,$A1623,$E$2:$E1623,"ANNULE")),""))</f>
        <v/>
      </c>
    </row>
    <row r="1624">
      <c r="A1624">
        <f>IF(ISBLANK('ENGAGEMENTS 2026'!B1624),"",IF('ENGAGEMENTS 2026'!B1624="DTSI","DCT",'ENGAGEMENTS 2026'!B1624))</f>
        <v/>
      </c>
      <c r="B1624">
        <f>IF(ISBLANK('ENGAGEMENTS 2026'!B1624),"",'ENGAGEMENTS 2026'!C1624)</f>
        <v/>
      </c>
      <c r="C1624">
        <f>IF(ISBLANK('ENGAGEMENTS 2026'!B1624),"",'ENGAGEMENTS 2026'!D1624)</f>
        <v/>
      </c>
      <c r="D1624">
        <f>IF(ISBLANK('ENGAGEMENTS 2026'!B1624),"",'ENGAGEMENTS 2026'!F1624)</f>
        <v/>
      </c>
      <c r="E1624">
        <f>IF(ISBLANK('ENGAGEMENTS 2026'!B1624),"",'ENGAGEMENTS 2026'!H1624)</f>
        <v/>
      </c>
      <c r="F1624">
        <f>IF(ISBLANK('ENGAGEMENTS 2026'!B1624),"",'ENGAGEMENTS 2026'!I1624)</f>
        <v/>
      </c>
      <c r="G1624">
        <f>IF(ISBLANK('ENGAGEMENTS 2026'!B1624),"",'ENGAGEMENTS 2026'!L1624)</f>
        <v/>
      </c>
      <c r="H1624">
        <f>IF(ISBLANK('ENGAGEMENTS 2026'!B1624),"",'ENGAGEMENTS 2026'!AE1624)</f>
        <v/>
      </c>
      <c r="I1624">
        <f>IF(ISBLANK('ENGAGEMENTS 2026'!B1624),"",'ENGAGEMENTS 2026'!G1624)</f>
        <v/>
      </c>
      <c r="J1624" s="275">
        <f>IF(ISBLANK('ENGAGEMENTS 2026'!B1624),"",IF(AND(OR($E1624="INFRUCTUEUX",$E1624="ANNULE"),$C1624="AOO-M"),'ENGAGEMENTS 2026'!O1624,IF($H1624="EN COURS DE PREENGAGEMENT",'ENGAGEMENTS 2026'!N1624,IF($H1624="PREENGAGE",IF($E1624="ATTRIBUE",'ENGAGEMENTS 2026'!AD1624,'ENGAGEMENTS 2026'!N1624),'ENGAGEMENTS 2026'!AD1624))))</f>
        <v/>
      </c>
      <c r="K1624" s="604">
        <f>IF(ISBLANK('ENGAGEMENTS 2026'!V1624),"",'ENGAGEMENTS 2026'!V1624)</f>
        <v/>
      </c>
      <c r="L1624" s="276">
        <f>IF($K1624="","",TODAY()-$K1624)</f>
        <v/>
      </c>
      <c r="M1624">
        <f>IF($A1624="","",IF($H1624="ENGAGE","Engagé",IF(AND($H1624="NON ENGAGE",OR($I1624="INFRUCTUEUX",$I1624="ANNULE")),"Clôturé sans suite","En cours")))</f>
        <v/>
      </c>
      <c r="N1624">
        <f>IF(ISBLANK('ENGAGEMENTS 2026'!B1624),"",'ENGAGEMENTS 2026'!K1624)</f>
        <v/>
      </c>
      <c r="O1624">
        <f>IF(ISBLANK('ENGAGEMENTS 2026'!B1624),"",'ENGAGEMENTS 2026'!L1624)</f>
        <v/>
      </c>
      <c r="P1624">
        <f>IF(ISBLANK('ENGAGEMENTS 2026'!B1624),"",'ENGAGEMENTS 2026'!J1624)</f>
        <v/>
      </c>
      <c r="Q1624">
        <f>IF($A1624="","",IF(OR($E1624="INFRUCTUEUX",$E1624="ANNULE"),$A1624&amp;"|"&amp;(COUNTIFS($A$2:$A1624,$A1624,$E$2:$E1624,"INFRUCTUEUX")+COUNTIFS($A$2:$A1624,$A1624,$E$2:$E1624,"ANNULE")),""))</f>
        <v/>
      </c>
    </row>
    <row r="1625">
      <c r="A1625">
        <f>IF(ISBLANK('ENGAGEMENTS 2026'!B1625),"",IF('ENGAGEMENTS 2026'!B1625="DTSI","DCT",'ENGAGEMENTS 2026'!B1625))</f>
        <v/>
      </c>
      <c r="B1625">
        <f>IF(ISBLANK('ENGAGEMENTS 2026'!B1625),"",'ENGAGEMENTS 2026'!C1625)</f>
        <v/>
      </c>
      <c r="C1625">
        <f>IF(ISBLANK('ENGAGEMENTS 2026'!B1625),"",'ENGAGEMENTS 2026'!D1625)</f>
        <v/>
      </c>
      <c r="D1625">
        <f>IF(ISBLANK('ENGAGEMENTS 2026'!B1625),"",'ENGAGEMENTS 2026'!F1625)</f>
        <v/>
      </c>
      <c r="E1625">
        <f>IF(ISBLANK('ENGAGEMENTS 2026'!B1625),"",'ENGAGEMENTS 2026'!H1625)</f>
        <v/>
      </c>
      <c r="F1625">
        <f>IF(ISBLANK('ENGAGEMENTS 2026'!B1625),"",'ENGAGEMENTS 2026'!I1625)</f>
        <v/>
      </c>
      <c r="G1625">
        <f>IF(ISBLANK('ENGAGEMENTS 2026'!B1625),"",'ENGAGEMENTS 2026'!L1625)</f>
        <v/>
      </c>
      <c r="H1625">
        <f>IF(ISBLANK('ENGAGEMENTS 2026'!B1625),"",'ENGAGEMENTS 2026'!AE1625)</f>
        <v/>
      </c>
      <c r="I1625">
        <f>IF(ISBLANK('ENGAGEMENTS 2026'!B1625),"",'ENGAGEMENTS 2026'!G1625)</f>
        <v/>
      </c>
      <c r="J1625" s="275">
        <f>IF(ISBLANK('ENGAGEMENTS 2026'!B1625),"",IF(AND(OR($E1625="INFRUCTUEUX",$E1625="ANNULE"),$C1625="AOO-M"),'ENGAGEMENTS 2026'!O1625,IF($H1625="EN COURS DE PREENGAGEMENT",'ENGAGEMENTS 2026'!N1625,IF($H1625="PREENGAGE",IF($E1625="ATTRIBUE",'ENGAGEMENTS 2026'!AD1625,'ENGAGEMENTS 2026'!N1625),'ENGAGEMENTS 2026'!AD1625))))</f>
        <v/>
      </c>
      <c r="K1625" s="604">
        <f>IF(ISBLANK('ENGAGEMENTS 2026'!V1625),"",'ENGAGEMENTS 2026'!V1625)</f>
        <v/>
      </c>
      <c r="L1625" s="276">
        <f>IF($K1625="","",TODAY()-$K1625)</f>
        <v/>
      </c>
      <c r="M1625">
        <f>IF($A1625="","",IF($H1625="ENGAGE","Engagé",IF(AND($H1625="NON ENGAGE",OR($I1625="INFRUCTUEUX",$I1625="ANNULE")),"Clôturé sans suite","En cours")))</f>
        <v/>
      </c>
      <c r="N1625">
        <f>IF(ISBLANK('ENGAGEMENTS 2026'!B1625),"",'ENGAGEMENTS 2026'!K1625)</f>
        <v/>
      </c>
      <c r="O1625">
        <f>IF(ISBLANK('ENGAGEMENTS 2026'!B1625),"",'ENGAGEMENTS 2026'!L1625)</f>
        <v/>
      </c>
      <c r="P1625">
        <f>IF(ISBLANK('ENGAGEMENTS 2026'!B1625),"",'ENGAGEMENTS 2026'!J1625)</f>
        <v/>
      </c>
      <c r="Q1625">
        <f>IF($A1625="","",IF(OR($E1625="INFRUCTUEUX",$E1625="ANNULE"),$A1625&amp;"|"&amp;(COUNTIFS($A$2:$A1625,$A1625,$E$2:$E1625,"INFRUCTUEUX")+COUNTIFS($A$2:$A1625,$A1625,$E$2:$E1625,"ANNULE")),""))</f>
        <v/>
      </c>
    </row>
    <row r="1626">
      <c r="A1626">
        <f>IF(ISBLANK('ENGAGEMENTS 2026'!B1626),"",IF('ENGAGEMENTS 2026'!B1626="DTSI","DCT",'ENGAGEMENTS 2026'!B1626))</f>
        <v/>
      </c>
      <c r="B1626">
        <f>IF(ISBLANK('ENGAGEMENTS 2026'!B1626),"",'ENGAGEMENTS 2026'!C1626)</f>
        <v/>
      </c>
      <c r="C1626">
        <f>IF(ISBLANK('ENGAGEMENTS 2026'!B1626),"",'ENGAGEMENTS 2026'!D1626)</f>
        <v/>
      </c>
      <c r="D1626">
        <f>IF(ISBLANK('ENGAGEMENTS 2026'!B1626),"",'ENGAGEMENTS 2026'!F1626)</f>
        <v/>
      </c>
      <c r="E1626">
        <f>IF(ISBLANK('ENGAGEMENTS 2026'!B1626),"",'ENGAGEMENTS 2026'!H1626)</f>
        <v/>
      </c>
      <c r="F1626">
        <f>IF(ISBLANK('ENGAGEMENTS 2026'!B1626),"",'ENGAGEMENTS 2026'!I1626)</f>
        <v/>
      </c>
      <c r="G1626">
        <f>IF(ISBLANK('ENGAGEMENTS 2026'!B1626),"",'ENGAGEMENTS 2026'!L1626)</f>
        <v/>
      </c>
      <c r="H1626">
        <f>IF(ISBLANK('ENGAGEMENTS 2026'!B1626),"",'ENGAGEMENTS 2026'!AE1626)</f>
        <v/>
      </c>
      <c r="I1626">
        <f>IF(ISBLANK('ENGAGEMENTS 2026'!B1626),"",'ENGAGEMENTS 2026'!G1626)</f>
        <v/>
      </c>
      <c r="J1626" s="275">
        <f>IF(ISBLANK('ENGAGEMENTS 2026'!B1626),"",IF(AND(OR($E1626="INFRUCTUEUX",$E1626="ANNULE"),$C1626="AOO-M"),'ENGAGEMENTS 2026'!O1626,IF($H1626="EN COURS DE PREENGAGEMENT",'ENGAGEMENTS 2026'!N1626,IF($H1626="PREENGAGE",IF($E1626="ATTRIBUE",'ENGAGEMENTS 2026'!AD1626,'ENGAGEMENTS 2026'!N1626),'ENGAGEMENTS 2026'!AD1626))))</f>
        <v/>
      </c>
      <c r="K1626" s="604">
        <f>IF(ISBLANK('ENGAGEMENTS 2026'!V1626),"",'ENGAGEMENTS 2026'!V1626)</f>
        <v/>
      </c>
      <c r="L1626" s="276">
        <f>IF($K1626="","",TODAY()-$K1626)</f>
        <v/>
      </c>
      <c r="M1626">
        <f>IF($A1626="","",IF($H1626="ENGAGE","Engagé",IF(AND($H1626="NON ENGAGE",OR($I1626="INFRUCTUEUX",$I1626="ANNULE")),"Clôturé sans suite","En cours")))</f>
        <v/>
      </c>
      <c r="N1626">
        <f>IF(ISBLANK('ENGAGEMENTS 2026'!B1626),"",'ENGAGEMENTS 2026'!K1626)</f>
        <v/>
      </c>
      <c r="O1626">
        <f>IF(ISBLANK('ENGAGEMENTS 2026'!B1626),"",'ENGAGEMENTS 2026'!L1626)</f>
        <v/>
      </c>
      <c r="P1626">
        <f>IF(ISBLANK('ENGAGEMENTS 2026'!B1626),"",'ENGAGEMENTS 2026'!J1626)</f>
        <v/>
      </c>
      <c r="Q1626">
        <f>IF($A1626="","",IF(OR($E1626="INFRUCTUEUX",$E1626="ANNULE"),$A1626&amp;"|"&amp;(COUNTIFS($A$2:$A1626,$A1626,$E$2:$E1626,"INFRUCTUEUX")+COUNTIFS($A$2:$A1626,$A1626,$E$2:$E1626,"ANNULE")),""))</f>
        <v/>
      </c>
    </row>
    <row r="1627">
      <c r="A1627">
        <f>IF(ISBLANK('ENGAGEMENTS 2026'!B1627),"",IF('ENGAGEMENTS 2026'!B1627="DTSI","DCT",'ENGAGEMENTS 2026'!B1627))</f>
        <v/>
      </c>
      <c r="B1627">
        <f>IF(ISBLANK('ENGAGEMENTS 2026'!B1627),"",'ENGAGEMENTS 2026'!C1627)</f>
        <v/>
      </c>
      <c r="C1627">
        <f>IF(ISBLANK('ENGAGEMENTS 2026'!B1627),"",'ENGAGEMENTS 2026'!D1627)</f>
        <v/>
      </c>
      <c r="D1627">
        <f>IF(ISBLANK('ENGAGEMENTS 2026'!B1627),"",'ENGAGEMENTS 2026'!F1627)</f>
        <v/>
      </c>
      <c r="E1627">
        <f>IF(ISBLANK('ENGAGEMENTS 2026'!B1627),"",'ENGAGEMENTS 2026'!H1627)</f>
        <v/>
      </c>
      <c r="F1627">
        <f>IF(ISBLANK('ENGAGEMENTS 2026'!B1627),"",'ENGAGEMENTS 2026'!I1627)</f>
        <v/>
      </c>
      <c r="G1627">
        <f>IF(ISBLANK('ENGAGEMENTS 2026'!B1627),"",'ENGAGEMENTS 2026'!L1627)</f>
        <v/>
      </c>
      <c r="H1627">
        <f>IF(ISBLANK('ENGAGEMENTS 2026'!B1627),"",'ENGAGEMENTS 2026'!AE1627)</f>
        <v/>
      </c>
      <c r="I1627">
        <f>IF(ISBLANK('ENGAGEMENTS 2026'!B1627),"",'ENGAGEMENTS 2026'!G1627)</f>
        <v/>
      </c>
      <c r="J1627" s="275">
        <f>IF(ISBLANK('ENGAGEMENTS 2026'!B1627),"",IF(AND(OR($E1627="INFRUCTUEUX",$E1627="ANNULE"),$C1627="AOO-M"),'ENGAGEMENTS 2026'!O1627,IF($H1627="EN COURS DE PREENGAGEMENT",'ENGAGEMENTS 2026'!N1627,IF($H1627="PREENGAGE",IF($E1627="ATTRIBUE",'ENGAGEMENTS 2026'!AD1627,'ENGAGEMENTS 2026'!N1627),'ENGAGEMENTS 2026'!AD1627))))</f>
        <v/>
      </c>
      <c r="K1627" s="604">
        <f>IF(ISBLANK('ENGAGEMENTS 2026'!V1627),"",'ENGAGEMENTS 2026'!V1627)</f>
        <v/>
      </c>
      <c r="L1627" s="276">
        <f>IF($K1627="","",TODAY()-$K1627)</f>
        <v/>
      </c>
      <c r="M1627">
        <f>IF($A1627="","",IF($H1627="ENGAGE","Engagé",IF(AND($H1627="NON ENGAGE",OR($I1627="INFRUCTUEUX",$I1627="ANNULE")),"Clôturé sans suite","En cours")))</f>
        <v/>
      </c>
      <c r="N1627">
        <f>IF(ISBLANK('ENGAGEMENTS 2026'!B1627),"",'ENGAGEMENTS 2026'!K1627)</f>
        <v/>
      </c>
      <c r="O1627">
        <f>IF(ISBLANK('ENGAGEMENTS 2026'!B1627),"",'ENGAGEMENTS 2026'!L1627)</f>
        <v/>
      </c>
      <c r="P1627">
        <f>IF(ISBLANK('ENGAGEMENTS 2026'!B1627),"",'ENGAGEMENTS 2026'!J1627)</f>
        <v/>
      </c>
      <c r="Q1627">
        <f>IF($A1627="","",IF(OR($E1627="INFRUCTUEUX",$E1627="ANNULE"),$A1627&amp;"|"&amp;(COUNTIFS($A$2:$A1627,$A1627,$E$2:$E1627,"INFRUCTUEUX")+COUNTIFS($A$2:$A1627,$A1627,$E$2:$E1627,"ANNULE")),""))</f>
        <v/>
      </c>
    </row>
    <row r="1628">
      <c r="A1628">
        <f>IF(ISBLANK('ENGAGEMENTS 2026'!B1628),"",IF('ENGAGEMENTS 2026'!B1628="DTSI","DCT",'ENGAGEMENTS 2026'!B1628))</f>
        <v/>
      </c>
      <c r="B1628">
        <f>IF(ISBLANK('ENGAGEMENTS 2026'!B1628),"",'ENGAGEMENTS 2026'!C1628)</f>
        <v/>
      </c>
      <c r="C1628">
        <f>IF(ISBLANK('ENGAGEMENTS 2026'!B1628),"",'ENGAGEMENTS 2026'!D1628)</f>
        <v/>
      </c>
      <c r="D1628">
        <f>IF(ISBLANK('ENGAGEMENTS 2026'!B1628),"",'ENGAGEMENTS 2026'!F1628)</f>
        <v/>
      </c>
      <c r="E1628">
        <f>IF(ISBLANK('ENGAGEMENTS 2026'!B1628),"",'ENGAGEMENTS 2026'!H1628)</f>
        <v/>
      </c>
      <c r="F1628">
        <f>IF(ISBLANK('ENGAGEMENTS 2026'!B1628),"",'ENGAGEMENTS 2026'!I1628)</f>
        <v/>
      </c>
      <c r="G1628">
        <f>IF(ISBLANK('ENGAGEMENTS 2026'!B1628),"",'ENGAGEMENTS 2026'!L1628)</f>
        <v/>
      </c>
      <c r="H1628">
        <f>IF(ISBLANK('ENGAGEMENTS 2026'!B1628),"",'ENGAGEMENTS 2026'!AE1628)</f>
        <v/>
      </c>
      <c r="I1628">
        <f>IF(ISBLANK('ENGAGEMENTS 2026'!B1628),"",'ENGAGEMENTS 2026'!G1628)</f>
        <v/>
      </c>
      <c r="J1628" s="275">
        <f>IF(ISBLANK('ENGAGEMENTS 2026'!B1628),"",IF(AND(OR($E1628="INFRUCTUEUX",$E1628="ANNULE"),$C1628="AOO-M"),'ENGAGEMENTS 2026'!O1628,IF($H1628="EN COURS DE PREENGAGEMENT",'ENGAGEMENTS 2026'!N1628,IF($H1628="PREENGAGE",IF($E1628="ATTRIBUE",'ENGAGEMENTS 2026'!AD1628,'ENGAGEMENTS 2026'!N1628),'ENGAGEMENTS 2026'!AD1628))))</f>
        <v/>
      </c>
      <c r="K1628" s="604">
        <f>IF(ISBLANK('ENGAGEMENTS 2026'!V1628),"",'ENGAGEMENTS 2026'!V1628)</f>
        <v/>
      </c>
      <c r="L1628" s="276">
        <f>IF($K1628="","",TODAY()-$K1628)</f>
        <v/>
      </c>
      <c r="M1628">
        <f>IF($A1628="","",IF($H1628="ENGAGE","Engagé",IF(AND($H1628="NON ENGAGE",OR($I1628="INFRUCTUEUX",$I1628="ANNULE")),"Clôturé sans suite","En cours")))</f>
        <v/>
      </c>
      <c r="N1628">
        <f>IF(ISBLANK('ENGAGEMENTS 2026'!B1628),"",'ENGAGEMENTS 2026'!K1628)</f>
        <v/>
      </c>
      <c r="O1628">
        <f>IF(ISBLANK('ENGAGEMENTS 2026'!B1628),"",'ENGAGEMENTS 2026'!L1628)</f>
        <v/>
      </c>
      <c r="P1628">
        <f>IF(ISBLANK('ENGAGEMENTS 2026'!B1628),"",'ENGAGEMENTS 2026'!J1628)</f>
        <v/>
      </c>
      <c r="Q1628">
        <f>IF($A1628="","",IF(OR($E1628="INFRUCTUEUX",$E1628="ANNULE"),$A1628&amp;"|"&amp;(COUNTIFS($A$2:$A1628,$A1628,$E$2:$E1628,"INFRUCTUEUX")+COUNTIFS($A$2:$A1628,$A1628,$E$2:$E1628,"ANNULE")),""))</f>
        <v/>
      </c>
    </row>
    <row r="1629">
      <c r="A1629">
        <f>IF(ISBLANK('ENGAGEMENTS 2026'!B1629),"",IF('ENGAGEMENTS 2026'!B1629="DTSI","DCT",'ENGAGEMENTS 2026'!B1629))</f>
        <v/>
      </c>
      <c r="B1629">
        <f>IF(ISBLANK('ENGAGEMENTS 2026'!B1629),"",'ENGAGEMENTS 2026'!C1629)</f>
        <v/>
      </c>
      <c r="C1629">
        <f>IF(ISBLANK('ENGAGEMENTS 2026'!B1629),"",'ENGAGEMENTS 2026'!D1629)</f>
        <v/>
      </c>
      <c r="D1629">
        <f>IF(ISBLANK('ENGAGEMENTS 2026'!B1629),"",'ENGAGEMENTS 2026'!F1629)</f>
        <v/>
      </c>
      <c r="E1629">
        <f>IF(ISBLANK('ENGAGEMENTS 2026'!B1629),"",'ENGAGEMENTS 2026'!H1629)</f>
        <v/>
      </c>
      <c r="F1629">
        <f>IF(ISBLANK('ENGAGEMENTS 2026'!B1629),"",'ENGAGEMENTS 2026'!I1629)</f>
        <v/>
      </c>
      <c r="G1629">
        <f>IF(ISBLANK('ENGAGEMENTS 2026'!B1629),"",'ENGAGEMENTS 2026'!L1629)</f>
        <v/>
      </c>
      <c r="H1629">
        <f>IF(ISBLANK('ENGAGEMENTS 2026'!B1629),"",'ENGAGEMENTS 2026'!AE1629)</f>
        <v/>
      </c>
      <c r="I1629">
        <f>IF(ISBLANK('ENGAGEMENTS 2026'!B1629),"",'ENGAGEMENTS 2026'!G1629)</f>
        <v/>
      </c>
      <c r="J1629" s="275">
        <f>IF(ISBLANK('ENGAGEMENTS 2026'!B1629),"",IF(AND(OR($E1629="INFRUCTUEUX",$E1629="ANNULE"),$C1629="AOO-M"),'ENGAGEMENTS 2026'!O1629,IF($H1629="EN COURS DE PREENGAGEMENT",'ENGAGEMENTS 2026'!N1629,IF($H1629="PREENGAGE",IF($E1629="ATTRIBUE",'ENGAGEMENTS 2026'!AD1629,'ENGAGEMENTS 2026'!N1629),'ENGAGEMENTS 2026'!AD1629))))</f>
        <v/>
      </c>
      <c r="K1629" s="604">
        <f>IF(ISBLANK('ENGAGEMENTS 2026'!V1629),"",'ENGAGEMENTS 2026'!V1629)</f>
        <v/>
      </c>
      <c r="L1629" s="276">
        <f>IF($K1629="","",TODAY()-$K1629)</f>
        <v/>
      </c>
      <c r="M1629">
        <f>IF($A1629="","",IF($H1629="ENGAGE","Engagé",IF(AND($H1629="NON ENGAGE",OR($I1629="INFRUCTUEUX",$I1629="ANNULE")),"Clôturé sans suite","En cours")))</f>
        <v/>
      </c>
      <c r="N1629">
        <f>IF(ISBLANK('ENGAGEMENTS 2026'!B1629),"",'ENGAGEMENTS 2026'!K1629)</f>
        <v/>
      </c>
      <c r="O1629">
        <f>IF(ISBLANK('ENGAGEMENTS 2026'!B1629),"",'ENGAGEMENTS 2026'!L1629)</f>
        <v/>
      </c>
      <c r="P1629">
        <f>IF(ISBLANK('ENGAGEMENTS 2026'!B1629),"",'ENGAGEMENTS 2026'!J1629)</f>
        <v/>
      </c>
      <c r="Q1629">
        <f>IF($A1629="","",IF(OR($E1629="INFRUCTUEUX",$E1629="ANNULE"),$A1629&amp;"|"&amp;(COUNTIFS($A$2:$A1629,$A1629,$E$2:$E1629,"INFRUCTUEUX")+COUNTIFS($A$2:$A1629,$A1629,$E$2:$E1629,"ANNULE")),""))</f>
        <v/>
      </c>
    </row>
    <row r="1630">
      <c r="A1630">
        <f>IF(ISBLANK('ENGAGEMENTS 2026'!B1630),"",IF('ENGAGEMENTS 2026'!B1630="DTSI","DCT",'ENGAGEMENTS 2026'!B1630))</f>
        <v/>
      </c>
      <c r="B1630">
        <f>IF(ISBLANK('ENGAGEMENTS 2026'!B1630),"",'ENGAGEMENTS 2026'!C1630)</f>
        <v/>
      </c>
      <c r="C1630">
        <f>IF(ISBLANK('ENGAGEMENTS 2026'!B1630),"",'ENGAGEMENTS 2026'!D1630)</f>
        <v/>
      </c>
      <c r="D1630">
        <f>IF(ISBLANK('ENGAGEMENTS 2026'!B1630),"",'ENGAGEMENTS 2026'!F1630)</f>
        <v/>
      </c>
      <c r="E1630">
        <f>IF(ISBLANK('ENGAGEMENTS 2026'!B1630),"",'ENGAGEMENTS 2026'!H1630)</f>
        <v/>
      </c>
      <c r="F1630">
        <f>IF(ISBLANK('ENGAGEMENTS 2026'!B1630),"",'ENGAGEMENTS 2026'!I1630)</f>
        <v/>
      </c>
      <c r="G1630">
        <f>IF(ISBLANK('ENGAGEMENTS 2026'!B1630),"",'ENGAGEMENTS 2026'!L1630)</f>
        <v/>
      </c>
      <c r="H1630">
        <f>IF(ISBLANK('ENGAGEMENTS 2026'!B1630),"",'ENGAGEMENTS 2026'!AE1630)</f>
        <v/>
      </c>
      <c r="I1630">
        <f>IF(ISBLANK('ENGAGEMENTS 2026'!B1630),"",'ENGAGEMENTS 2026'!G1630)</f>
        <v/>
      </c>
      <c r="J1630" s="275">
        <f>IF(ISBLANK('ENGAGEMENTS 2026'!B1630),"",IF(AND(OR($E1630="INFRUCTUEUX",$E1630="ANNULE"),$C1630="AOO-M"),'ENGAGEMENTS 2026'!O1630,IF($H1630="EN COURS DE PREENGAGEMENT",'ENGAGEMENTS 2026'!N1630,IF($H1630="PREENGAGE",IF($E1630="ATTRIBUE",'ENGAGEMENTS 2026'!AD1630,'ENGAGEMENTS 2026'!N1630),'ENGAGEMENTS 2026'!AD1630))))</f>
        <v/>
      </c>
      <c r="K1630" s="604">
        <f>IF(ISBLANK('ENGAGEMENTS 2026'!V1630),"",'ENGAGEMENTS 2026'!V1630)</f>
        <v/>
      </c>
      <c r="L1630" s="276">
        <f>IF($K1630="","",TODAY()-$K1630)</f>
        <v/>
      </c>
      <c r="M1630">
        <f>IF($A1630="","",IF($H1630="ENGAGE","Engagé",IF(AND($H1630="NON ENGAGE",OR($I1630="INFRUCTUEUX",$I1630="ANNULE")),"Clôturé sans suite","En cours")))</f>
        <v/>
      </c>
      <c r="N1630">
        <f>IF(ISBLANK('ENGAGEMENTS 2026'!B1630),"",'ENGAGEMENTS 2026'!K1630)</f>
        <v/>
      </c>
      <c r="O1630">
        <f>IF(ISBLANK('ENGAGEMENTS 2026'!B1630),"",'ENGAGEMENTS 2026'!L1630)</f>
        <v/>
      </c>
      <c r="P1630">
        <f>IF(ISBLANK('ENGAGEMENTS 2026'!B1630),"",'ENGAGEMENTS 2026'!J1630)</f>
        <v/>
      </c>
      <c r="Q1630">
        <f>IF($A1630="","",IF(OR($E1630="INFRUCTUEUX",$E1630="ANNULE"),$A1630&amp;"|"&amp;(COUNTIFS($A$2:$A1630,$A1630,$E$2:$E1630,"INFRUCTUEUX")+COUNTIFS($A$2:$A1630,$A1630,$E$2:$E1630,"ANNULE")),""))</f>
        <v/>
      </c>
    </row>
    <row r="1631">
      <c r="A1631">
        <f>IF(ISBLANK('ENGAGEMENTS 2026'!B1631),"",IF('ENGAGEMENTS 2026'!B1631="DTSI","DCT",'ENGAGEMENTS 2026'!B1631))</f>
        <v/>
      </c>
      <c r="B1631">
        <f>IF(ISBLANK('ENGAGEMENTS 2026'!B1631),"",'ENGAGEMENTS 2026'!C1631)</f>
        <v/>
      </c>
      <c r="C1631">
        <f>IF(ISBLANK('ENGAGEMENTS 2026'!B1631),"",'ENGAGEMENTS 2026'!D1631)</f>
        <v/>
      </c>
      <c r="D1631">
        <f>IF(ISBLANK('ENGAGEMENTS 2026'!B1631),"",'ENGAGEMENTS 2026'!F1631)</f>
        <v/>
      </c>
      <c r="E1631">
        <f>IF(ISBLANK('ENGAGEMENTS 2026'!B1631),"",'ENGAGEMENTS 2026'!H1631)</f>
        <v/>
      </c>
      <c r="F1631">
        <f>IF(ISBLANK('ENGAGEMENTS 2026'!B1631),"",'ENGAGEMENTS 2026'!I1631)</f>
        <v/>
      </c>
      <c r="G1631">
        <f>IF(ISBLANK('ENGAGEMENTS 2026'!B1631),"",'ENGAGEMENTS 2026'!L1631)</f>
        <v/>
      </c>
      <c r="H1631">
        <f>IF(ISBLANK('ENGAGEMENTS 2026'!B1631),"",'ENGAGEMENTS 2026'!AE1631)</f>
        <v/>
      </c>
      <c r="I1631">
        <f>IF(ISBLANK('ENGAGEMENTS 2026'!B1631),"",'ENGAGEMENTS 2026'!G1631)</f>
        <v/>
      </c>
      <c r="J1631" s="275">
        <f>IF(ISBLANK('ENGAGEMENTS 2026'!B1631),"",IF(AND(OR($E1631="INFRUCTUEUX",$E1631="ANNULE"),$C1631="AOO-M"),'ENGAGEMENTS 2026'!O1631,IF($H1631="EN COURS DE PREENGAGEMENT",'ENGAGEMENTS 2026'!N1631,IF($H1631="PREENGAGE",IF($E1631="ATTRIBUE",'ENGAGEMENTS 2026'!AD1631,'ENGAGEMENTS 2026'!N1631),'ENGAGEMENTS 2026'!AD1631))))</f>
        <v/>
      </c>
      <c r="K1631" s="604">
        <f>IF(ISBLANK('ENGAGEMENTS 2026'!V1631),"",'ENGAGEMENTS 2026'!V1631)</f>
        <v/>
      </c>
      <c r="L1631" s="276">
        <f>IF($K1631="","",TODAY()-$K1631)</f>
        <v/>
      </c>
      <c r="M1631">
        <f>IF($A1631="","",IF($H1631="ENGAGE","Engagé",IF(AND($H1631="NON ENGAGE",OR($I1631="INFRUCTUEUX",$I1631="ANNULE")),"Clôturé sans suite","En cours")))</f>
        <v/>
      </c>
      <c r="N1631">
        <f>IF(ISBLANK('ENGAGEMENTS 2026'!B1631),"",'ENGAGEMENTS 2026'!K1631)</f>
        <v/>
      </c>
      <c r="O1631">
        <f>IF(ISBLANK('ENGAGEMENTS 2026'!B1631),"",'ENGAGEMENTS 2026'!L1631)</f>
        <v/>
      </c>
      <c r="P1631">
        <f>IF(ISBLANK('ENGAGEMENTS 2026'!B1631),"",'ENGAGEMENTS 2026'!J1631)</f>
        <v/>
      </c>
      <c r="Q1631">
        <f>IF($A1631="","",IF(OR($E1631="INFRUCTUEUX",$E1631="ANNULE"),$A1631&amp;"|"&amp;(COUNTIFS($A$2:$A1631,$A1631,$E$2:$E1631,"INFRUCTUEUX")+COUNTIFS($A$2:$A1631,$A1631,$E$2:$E1631,"ANNULE")),""))</f>
        <v/>
      </c>
    </row>
    <row r="1632">
      <c r="A1632">
        <f>IF(ISBLANK('ENGAGEMENTS 2026'!B1632),"",IF('ENGAGEMENTS 2026'!B1632="DTSI","DCT",'ENGAGEMENTS 2026'!B1632))</f>
        <v/>
      </c>
      <c r="B1632">
        <f>IF(ISBLANK('ENGAGEMENTS 2026'!B1632),"",'ENGAGEMENTS 2026'!C1632)</f>
        <v/>
      </c>
      <c r="C1632">
        <f>IF(ISBLANK('ENGAGEMENTS 2026'!B1632),"",'ENGAGEMENTS 2026'!D1632)</f>
        <v/>
      </c>
      <c r="D1632">
        <f>IF(ISBLANK('ENGAGEMENTS 2026'!B1632),"",'ENGAGEMENTS 2026'!F1632)</f>
        <v/>
      </c>
      <c r="E1632">
        <f>IF(ISBLANK('ENGAGEMENTS 2026'!B1632),"",'ENGAGEMENTS 2026'!H1632)</f>
        <v/>
      </c>
      <c r="F1632">
        <f>IF(ISBLANK('ENGAGEMENTS 2026'!B1632),"",'ENGAGEMENTS 2026'!I1632)</f>
        <v/>
      </c>
      <c r="G1632">
        <f>IF(ISBLANK('ENGAGEMENTS 2026'!B1632),"",'ENGAGEMENTS 2026'!L1632)</f>
        <v/>
      </c>
      <c r="H1632">
        <f>IF(ISBLANK('ENGAGEMENTS 2026'!B1632),"",'ENGAGEMENTS 2026'!AE1632)</f>
        <v/>
      </c>
      <c r="I1632">
        <f>IF(ISBLANK('ENGAGEMENTS 2026'!B1632),"",'ENGAGEMENTS 2026'!G1632)</f>
        <v/>
      </c>
      <c r="J1632" s="275">
        <f>IF(ISBLANK('ENGAGEMENTS 2026'!B1632),"",IF(AND(OR($E1632="INFRUCTUEUX",$E1632="ANNULE"),$C1632="AOO-M"),'ENGAGEMENTS 2026'!O1632,IF($H1632="EN COURS DE PREENGAGEMENT",'ENGAGEMENTS 2026'!N1632,IF($H1632="PREENGAGE",IF($E1632="ATTRIBUE",'ENGAGEMENTS 2026'!AD1632,'ENGAGEMENTS 2026'!N1632),'ENGAGEMENTS 2026'!AD1632))))</f>
        <v/>
      </c>
      <c r="K1632" s="604">
        <f>IF(ISBLANK('ENGAGEMENTS 2026'!V1632),"",'ENGAGEMENTS 2026'!V1632)</f>
        <v/>
      </c>
      <c r="L1632" s="276">
        <f>IF($K1632="","",TODAY()-$K1632)</f>
        <v/>
      </c>
      <c r="M1632">
        <f>IF($A1632="","",IF($H1632="ENGAGE","Engagé",IF(AND($H1632="NON ENGAGE",OR($I1632="INFRUCTUEUX",$I1632="ANNULE")),"Clôturé sans suite","En cours")))</f>
        <v/>
      </c>
      <c r="N1632">
        <f>IF(ISBLANK('ENGAGEMENTS 2026'!B1632),"",'ENGAGEMENTS 2026'!K1632)</f>
        <v/>
      </c>
      <c r="O1632">
        <f>IF(ISBLANK('ENGAGEMENTS 2026'!B1632),"",'ENGAGEMENTS 2026'!L1632)</f>
        <v/>
      </c>
      <c r="P1632">
        <f>IF(ISBLANK('ENGAGEMENTS 2026'!B1632),"",'ENGAGEMENTS 2026'!J1632)</f>
        <v/>
      </c>
      <c r="Q1632">
        <f>IF($A1632="","",IF(OR($E1632="INFRUCTUEUX",$E1632="ANNULE"),$A1632&amp;"|"&amp;(COUNTIFS($A$2:$A1632,$A1632,$E$2:$E1632,"INFRUCTUEUX")+COUNTIFS($A$2:$A1632,$A1632,$E$2:$E1632,"ANNULE")),""))</f>
        <v/>
      </c>
    </row>
    <row r="1633">
      <c r="A1633">
        <f>IF(ISBLANK('ENGAGEMENTS 2026'!B1633),"",IF('ENGAGEMENTS 2026'!B1633="DTSI","DCT",'ENGAGEMENTS 2026'!B1633))</f>
        <v/>
      </c>
      <c r="B1633">
        <f>IF(ISBLANK('ENGAGEMENTS 2026'!B1633),"",'ENGAGEMENTS 2026'!C1633)</f>
        <v/>
      </c>
      <c r="C1633">
        <f>IF(ISBLANK('ENGAGEMENTS 2026'!B1633),"",'ENGAGEMENTS 2026'!D1633)</f>
        <v/>
      </c>
      <c r="D1633">
        <f>IF(ISBLANK('ENGAGEMENTS 2026'!B1633),"",'ENGAGEMENTS 2026'!F1633)</f>
        <v/>
      </c>
      <c r="E1633">
        <f>IF(ISBLANK('ENGAGEMENTS 2026'!B1633),"",'ENGAGEMENTS 2026'!H1633)</f>
        <v/>
      </c>
      <c r="F1633">
        <f>IF(ISBLANK('ENGAGEMENTS 2026'!B1633),"",'ENGAGEMENTS 2026'!I1633)</f>
        <v/>
      </c>
      <c r="G1633">
        <f>IF(ISBLANK('ENGAGEMENTS 2026'!B1633),"",'ENGAGEMENTS 2026'!L1633)</f>
        <v/>
      </c>
      <c r="H1633">
        <f>IF(ISBLANK('ENGAGEMENTS 2026'!B1633),"",'ENGAGEMENTS 2026'!AE1633)</f>
        <v/>
      </c>
      <c r="I1633">
        <f>IF(ISBLANK('ENGAGEMENTS 2026'!B1633),"",'ENGAGEMENTS 2026'!G1633)</f>
        <v/>
      </c>
      <c r="J1633" s="275">
        <f>IF(ISBLANK('ENGAGEMENTS 2026'!B1633),"",IF(AND(OR($E1633="INFRUCTUEUX",$E1633="ANNULE"),$C1633="AOO-M"),'ENGAGEMENTS 2026'!O1633,IF($H1633="EN COURS DE PREENGAGEMENT",'ENGAGEMENTS 2026'!N1633,IF($H1633="PREENGAGE",IF($E1633="ATTRIBUE",'ENGAGEMENTS 2026'!AD1633,'ENGAGEMENTS 2026'!N1633),'ENGAGEMENTS 2026'!AD1633))))</f>
        <v/>
      </c>
      <c r="K1633" s="604">
        <f>IF(ISBLANK('ENGAGEMENTS 2026'!V1633),"",'ENGAGEMENTS 2026'!V1633)</f>
        <v/>
      </c>
      <c r="L1633" s="276">
        <f>IF($K1633="","",TODAY()-$K1633)</f>
        <v/>
      </c>
      <c r="M1633">
        <f>IF($A1633="","",IF($H1633="ENGAGE","Engagé",IF(AND($H1633="NON ENGAGE",OR($I1633="INFRUCTUEUX",$I1633="ANNULE")),"Clôturé sans suite","En cours")))</f>
        <v/>
      </c>
      <c r="N1633">
        <f>IF(ISBLANK('ENGAGEMENTS 2026'!B1633),"",'ENGAGEMENTS 2026'!K1633)</f>
        <v/>
      </c>
      <c r="O1633">
        <f>IF(ISBLANK('ENGAGEMENTS 2026'!B1633),"",'ENGAGEMENTS 2026'!L1633)</f>
        <v/>
      </c>
      <c r="P1633">
        <f>IF(ISBLANK('ENGAGEMENTS 2026'!B1633),"",'ENGAGEMENTS 2026'!J1633)</f>
        <v/>
      </c>
      <c r="Q1633">
        <f>IF($A1633="","",IF(OR($E1633="INFRUCTUEUX",$E1633="ANNULE"),$A1633&amp;"|"&amp;(COUNTIFS($A$2:$A1633,$A1633,$E$2:$E1633,"INFRUCTUEUX")+COUNTIFS($A$2:$A1633,$A1633,$E$2:$E1633,"ANNULE")),""))</f>
        <v/>
      </c>
    </row>
    <row r="1634">
      <c r="A1634">
        <f>IF(ISBLANK('ENGAGEMENTS 2026'!B1634),"",IF('ENGAGEMENTS 2026'!B1634="DTSI","DCT",'ENGAGEMENTS 2026'!B1634))</f>
        <v/>
      </c>
      <c r="B1634">
        <f>IF(ISBLANK('ENGAGEMENTS 2026'!B1634),"",'ENGAGEMENTS 2026'!C1634)</f>
        <v/>
      </c>
      <c r="C1634">
        <f>IF(ISBLANK('ENGAGEMENTS 2026'!B1634),"",'ENGAGEMENTS 2026'!D1634)</f>
        <v/>
      </c>
      <c r="D1634">
        <f>IF(ISBLANK('ENGAGEMENTS 2026'!B1634),"",'ENGAGEMENTS 2026'!F1634)</f>
        <v/>
      </c>
      <c r="E1634">
        <f>IF(ISBLANK('ENGAGEMENTS 2026'!B1634),"",'ENGAGEMENTS 2026'!H1634)</f>
        <v/>
      </c>
      <c r="F1634">
        <f>IF(ISBLANK('ENGAGEMENTS 2026'!B1634),"",'ENGAGEMENTS 2026'!I1634)</f>
        <v/>
      </c>
      <c r="G1634">
        <f>IF(ISBLANK('ENGAGEMENTS 2026'!B1634),"",'ENGAGEMENTS 2026'!L1634)</f>
        <v/>
      </c>
      <c r="H1634">
        <f>IF(ISBLANK('ENGAGEMENTS 2026'!B1634),"",'ENGAGEMENTS 2026'!AE1634)</f>
        <v/>
      </c>
      <c r="I1634">
        <f>IF(ISBLANK('ENGAGEMENTS 2026'!B1634),"",'ENGAGEMENTS 2026'!G1634)</f>
        <v/>
      </c>
      <c r="J1634" s="275">
        <f>IF(ISBLANK('ENGAGEMENTS 2026'!B1634),"",IF(AND(OR($E1634="INFRUCTUEUX",$E1634="ANNULE"),$C1634="AOO-M"),'ENGAGEMENTS 2026'!O1634,IF($H1634="EN COURS DE PREENGAGEMENT",'ENGAGEMENTS 2026'!N1634,IF($H1634="PREENGAGE",IF($E1634="ATTRIBUE",'ENGAGEMENTS 2026'!AD1634,'ENGAGEMENTS 2026'!N1634),'ENGAGEMENTS 2026'!AD1634))))</f>
        <v/>
      </c>
      <c r="K1634" s="604">
        <f>IF(ISBLANK('ENGAGEMENTS 2026'!V1634),"",'ENGAGEMENTS 2026'!V1634)</f>
        <v/>
      </c>
      <c r="L1634" s="276">
        <f>IF($K1634="","",TODAY()-$K1634)</f>
        <v/>
      </c>
      <c r="M1634">
        <f>IF($A1634="","",IF($H1634="ENGAGE","Engagé",IF(AND($H1634="NON ENGAGE",OR($I1634="INFRUCTUEUX",$I1634="ANNULE")),"Clôturé sans suite","En cours")))</f>
        <v/>
      </c>
      <c r="N1634">
        <f>IF(ISBLANK('ENGAGEMENTS 2026'!B1634),"",'ENGAGEMENTS 2026'!K1634)</f>
        <v/>
      </c>
      <c r="O1634">
        <f>IF(ISBLANK('ENGAGEMENTS 2026'!B1634),"",'ENGAGEMENTS 2026'!L1634)</f>
        <v/>
      </c>
      <c r="P1634">
        <f>IF(ISBLANK('ENGAGEMENTS 2026'!B1634),"",'ENGAGEMENTS 2026'!J1634)</f>
        <v/>
      </c>
      <c r="Q1634">
        <f>IF($A1634="","",IF(OR($E1634="INFRUCTUEUX",$E1634="ANNULE"),$A1634&amp;"|"&amp;(COUNTIFS($A$2:$A1634,$A1634,$E$2:$E1634,"INFRUCTUEUX")+COUNTIFS($A$2:$A1634,$A1634,$E$2:$E1634,"ANNULE")),""))</f>
        <v/>
      </c>
    </row>
    <row r="1635">
      <c r="A1635">
        <f>IF(ISBLANK('ENGAGEMENTS 2026'!B1635),"",IF('ENGAGEMENTS 2026'!B1635="DTSI","DCT",'ENGAGEMENTS 2026'!B1635))</f>
        <v/>
      </c>
      <c r="B1635">
        <f>IF(ISBLANK('ENGAGEMENTS 2026'!B1635),"",'ENGAGEMENTS 2026'!C1635)</f>
        <v/>
      </c>
      <c r="C1635">
        <f>IF(ISBLANK('ENGAGEMENTS 2026'!B1635),"",'ENGAGEMENTS 2026'!D1635)</f>
        <v/>
      </c>
      <c r="D1635">
        <f>IF(ISBLANK('ENGAGEMENTS 2026'!B1635),"",'ENGAGEMENTS 2026'!F1635)</f>
        <v/>
      </c>
      <c r="E1635">
        <f>IF(ISBLANK('ENGAGEMENTS 2026'!B1635),"",'ENGAGEMENTS 2026'!H1635)</f>
        <v/>
      </c>
      <c r="F1635">
        <f>IF(ISBLANK('ENGAGEMENTS 2026'!B1635),"",'ENGAGEMENTS 2026'!I1635)</f>
        <v/>
      </c>
      <c r="G1635">
        <f>IF(ISBLANK('ENGAGEMENTS 2026'!B1635),"",'ENGAGEMENTS 2026'!L1635)</f>
        <v/>
      </c>
      <c r="H1635">
        <f>IF(ISBLANK('ENGAGEMENTS 2026'!B1635),"",'ENGAGEMENTS 2026'!AE1635)</f>
        <v/>
      </c>
      <c r="I1635">
        <f>IF(ISBLANK('ENGAGEMENTS 2026'!B1635),"",'ENGAGEMENTS 2026'!G1635)</f>
        <v/>
      </c>
      <c r="J1635" s="275">
        <f>IF(ISBLANK('ENGAGEMENTS 2026'!B1635),"",IF(AND(OR($E1635="INFRUCTUEUX",$E1635="ANNULE"),$C1635="AOO-M"),'ENGAGEMENTS 2026'!O1635,IF($H1635="EN COURS DE PREENGAGEMENT",'ENGAGEMENTS 2026'!N1635,IF($H1635="PREENGAGE",IF($E1635="ATTRIBUE",'ENGAGEMENTS 2026'!AD1635,'ENGAGEMENTS 2026'!N1635),'ENGAGEMENTS 2026'!AD1635))))</f>
        <v/>
      </c>
      <c r="K1635" s="604">
        <f>IF(ISBLANK('ENGAGEMENTS 2026'!V1635),"",'ENGAGEMENTS 2026'!V1635)</f>
        <v/>
      </c>
      <c r="L1635" s="276">
        <f>IF($K1635="","",TODAY()-$K1635)</f>
        <v/>
      </c>
      <c r="M1635">
        <f>IF($A1635="","",IF($H1635="ENGAGE","Engagé",IF(AND($H1635="NON ENGAGE",OR($I1635="INFRUCTUEUX",$I1635="ANNULE")),"Clôturé sans suite","En cours")))</f>
        <v/>
      </c>
      <c r="N1635">
        <f>IF(ISBLANK('ENGAGEMENTS 2026'!B1635),"",'ENGAGEMENTS 2026'!K1635)</f>
        <v/>
      </c>
      <c r="O1635">
        <f>IF(ISBLANK('ENGAGEMENTS 2026'!B1635),"",'ENGAGEMENTS 2026'!L1635)</f>
        <v/>
      </c>
      <c r="P1635">
        <f>IF(ISBLANK('ENGAGEMENTS 2026'!B1635),"",'ENGAGEMENTS 2026'!J1635)</f>
        <v/>
      </c>
      <c r="Q1635">
        <f>IF($A1635="","",IF(OR($E1635="INFRUCTUEUX",$E1635="ANNULE"),$A1635&amp;"|"&amp;(COUNTIFS($A$2:$A1635,$A1635,$E$2:$E1635,"INFRUCTUEUX")+COUNTIFS($A$2:$A1635,$A1635,$E$2:$E1635,"ANNULE")),""))</f>
        <v/>
      </c>
    </row>
    <row r="1636">
      <c r="A1636">
        <f>IF(ISBLANK('ENGAGEMENTS 2026'!B1636),"",IF('ENGAGEMENTS 2026'!B1636="DTSI","DCT",'ENGAGEMENTS 2026'!B1636))</f>
        <v/>
      </c>
      <c r="B1636">
        <f>IF(ISBLANK('ENGAGEMENTS 2026'!B1636),"",'ENGAGEMENTS 2026'!C1636)</f>
        <v/>
      </c>
      <c r="C1636">
        <f>IF(ISBLANK('ENGAGEMENTS 2026'!B1636),"",'ENGAGEMENTS 2026'!D1636)</f>
        <v/>
      </c>
      <c r="D1636">
        <f>IF(ISBLANK('ENGAGEMENTS 2026'!B1636),"",'ENGAGEMENTS 2026'!F1636)</f>
        <v/>
      </c>
      <c r="E1636">
        <f>IF(ISBLANK('ENGAGEMENTS 2026'!B1636),"",'ENGAGEMENTS 2026'!H1636)</f>
        <v/>
      </c>
      <c r="F1636">
        <f>IF(ISBLANK('ENGAGEMENTS 2026'!B1636),"",'ENGAGEMENTS 2026'!I1636)</f>
        <v/>
      </c>
      <c r="G1636">
        <f>IF(ISBLANK('ENGAGEMENTS 2026'!B1636),"",'ENGAGEMENTS 2026'!L1636)</f>
        <v/>
      </c>
      <c r="H1636">
        <f>IF(ISBLANK('ENGAGEMENTS 2026'!B1636),"",'ENGAGEMENTS 2026'!AE1636)</f>
        <v/>
      </c>
      <c r="I1636">
        <f>IF(ISBLANK('ENGAGEMENTS 2026'!B1636),"",'ENGAGEMENTS 2026'!G1636)</f>
        <v/>
      </c>
      <c r="J1636" s="275">
        <f>IF(ISBLANK('ENGAGEMENTS 2026'!B1636),"",IF(AND(OR($E1636="INFRUCTUEUX",$E1636="ANNULE"),$C1636="AOO-M"),'ENGAGEMENTS 2026'!O1636,IF($H1636="EN COURS DE PREENGAGEMENT",'ENGAGEMENTS 2026'!N1636,IF($H1636="PREENGAGE",IF($E1636="ATTRIBUE",'ENGAGEMENTS 2026'!AD1636,'ENGAGEMENTS 2026'!N1636),'ENGAGEMENTS 2026'!AD1636))))</f>
        <v/>
      </c>
      <c r="K1636" s="604">
        <f>IF(ISBLANK('ENGAGEMENTS 2026'!V1636),"",'ENGAGEMENTS 2026'!V1636)</f>
        <v/>
      </c>
      <c r="L1636" s="276">
        <f>IF($K1636="","",TODAY()-$K1636)</f>
        <v/>
      </c>
      <c r="M1636">
        <f>IF($A1636="","",IF($H1636="ENGAGE","Engagé",IF(AND($H1636="NON ENGAGE",OR($I1636="INFRUCTUEUX",$I1636="ANNULE")),"Clôturé sans suite","En cours")))</f>
        <v/>
      </c>
      <c r="N1636">
        <f>IF(ISBLANK('ENGAGEMENTS 2026'!B1636),"",'ENGAGEMENTS 2026'!K1636)</f>
        <v/>
      </c>
      <c r="O1636">
        <f>IF(ISBLANK('ENGAGEMENTS 2026'!B1636),"",'ENGAGEMENTS 2026'!L1636)</f>
        <v/>
      </c>
      <c r="P1636">
        <f>IF(ISBLANK('ENGAGEMENTS 2026'!B1636),"",'ENGAGEMENTS 2026'!J1636)</f>
        <v/>
      </c>
      <c r="Q1636">
        <f>IF($A1636="","",IF(OR($E1636="INFRUCTUEUX",$E1636="ANNULE"),$A1636&amp;"|"&amp;(COUNTIFS($A$2:$A1636,$A1636,$E$2:$E1636,"INFRUCTUEUX")+COUNTIFS($A$2:$A1636,$A1636,$E$2:$E1636,"ANNULE")),""))</f>
        <v/>
      </c>
    </row>
    <row r="1637">
      <c r="A1637">
        <f>IF(ISBLANK('ENGAGEMENTS 2026'!B1637),"",IF('ENGAGEMENTS 2026'!B1637="DTSI","DCT",'ENGAGEMENTS 2026'!B1637))</f>
        <v/>
      </c>
      <c r="B1637">
        <f>IF(ISBLANK('ENGAGEMENTS 2026'!B1637),"",'ENGAGEMENTS 2026'!C1637)</f>
        <v/>
      </c>
      <c r="C1637">
        <f>IF(ISBLANK('ENGAGEMENTS 2026'!B1637),"",'ENGAGEMENTS 2026'!D1637)</f>
        <v/>
      </c>
      <c r="D1637">
        <f>IF(ISBLANK('ENGAGEMENTS 2026'!B1637),"",'ENGAGEMENTS 2026'!F1637)</f>
        <v/>
      </c>
      <c r="E1637">
        <f>IF(ISBLANK('ENGAGEMENTS 2026'!B1637),"",'ENGAGEMENTS 2026'!H1637)</f>
        <v/>
      </c>
      <c r="F1637">
        <f>IF(ISBLANK('ENGAGEMENTS 2026'!B1637),"",'ENGAGEMENTS 2026'!I1637)</f>
        <v/>
      </c>
      <c r="G1637">
        <f>IF(ISBLANK('ENGAGEMENTS 2026'!B1637),"",'ENGAGEMENTS 2026'!L1637)</f>
        <v/>
      </c>
      <c r="H1637">
        <f>IF(ISBLANK('ENGAGEMENTS 2026'!B1637),"",'ENGAGEMENTS 2026'!AE1637)</f>
        <v/>
      </c>
      <c r="I1637">
        <f>IF(ISBLANK('ENGAGEMENTS 2026'!B1637),"",'ENGAGEMENTS 2026'!G1637)</f>
        <v/>
      </c>
      <c r="J1637" s="275">
        <f>IF(ISBLANK('ENGAGEMENTS 2026'!B1637),"",IF(AND(OR($E1637="INFRUCTUEUX",$E1637="ANNULE"),$C1637="AOO-M"),'ENGAGEMENTS 2026'!O1637,IF($H1637="EN COURS DE PREENGAGEMENT",'ENGAGEMENTS 2026'!N1637,IF($H1637="PREENGAGE",IF($E1637="ATTRIBUE",'ENGAGEMENTS 2026'!AD1637,'ENGAGEMENTS 2026'!N1637),'ENGAGEMENTS 2026'!AD1637))))</f>
        <v/>
      </c>
      <c r="K1637" s="604">
        <f>IF(ISBLANK('ENGAGEMENTS 2026'!V1637),"",'ENGAGEMENTS 2026'!V1637)</f>
        <v/>
      </c>
      <c r="L1637" s="276">
        <f>IF($K1637="","",TODAY()-$K1637)</f>
        <v/>
      </c>
      <c r="M1637">
        <f>IF($A1637="","",IF($H1637="ENGAGE","Engagé",IF(AND($H1637="NON ENGAGE",OR($I1637="INFRUCTUEUX",$I1637="ANNULE")),"Clôturé sans suite","En cours")))</f>
        <v/>
      </c>
      <c r="N1637">
        <f>IF(ISBLANK('ENGAGEMENTS 2026'!B1637),"",'ENGAGEMENTS 2026'!K1637)</f>
        <v/>
      </c>
      <c r="O1637">
        <f>IF(ISBLANK('ENGAGEMENTS 2026'!B1637),"",'ENGAGEMENTS 2026'!L1637)</f>
        <v/>
      </c>
      <c r="P1637">
        <f>IF(ISBLANK('ENGAGEMENTS 2026'!B1637),"",'ENGAGEMENTS 2026'!J1637)</f>
        <v/>
      </c>
      <c r="Q1637">
        <f>IF($A1637="","",IF(OR($E1637="INFRUCTUEUX",$E1637="ANNULE"),$A1637&amp;"|"&amp;(COUNTIFS($A$2:$A1637,$A1637,$E$2:$E1637,"INFRUCTUEUX")+COUNTIFS($A$2:$A1637,$A1637,$E$2:$E1637,"ANNULE")),""))</f>
        <v/>
      </c>
    </row>
    <row r="1638">
      <c r="A1638">
        <f>IF(ISBLANK('ENGAGEMENTS 2026'!B1638),"",IF('ENGAGEMENTS 2026'!B1638="DTSI","DCT",'ENGAGEMENTS 2026'!B1638))</f>
        <v/>
      </c>
      <c r="B1638">
        <f>IF(ISBLANK('ENGAGEMENTS 2026'!B1638),"",'ENGAGEMENTS 2026'!C1638)</f>
        <v/>
      </c>
      <c r="C1638">
        <f>IF(ISBLANK('ENGAGEMENTS 2026'!B1638),"",'ENGAGEMENTS 2026'!D1638)</f>
        <v/>
      </c>
      <c r="D1638">
        <f>IF(ISBLANK('ENGAGEMENTS 2026'!B1638),"",'ENGAGEMENTS 2026'!F1638)</f>
        <v/>
      </c>
      <c r="E1638">
        <f>IF(ISBLANK('ENGAGEMENTS 2026'!B1638),"",'ENGAGEMENTS 2026'!H1638)</f>
        <v/>
      </c>
      <c r="F1638">
        <f>IF(ISBLANK('ENGAGEMENTS 2026'!B1638),"",'ENGAGEMENTS 2026'!I1638)</f>
        <v/>
      </c>
      <c r="G1638">
        <f>IF(ISBLANK('ENGAGEMENTS 2026'!B1638),"",'ENGAGEMENTS 2026'!L1638)</f>
        <v/>
      </c>
      <c r="H1638">
        <f>IF(ISBLANK('ENGAGEMENTS 2026'!B1638),"",'ENGAGEMENTS 2026'!AE1638)</f>
        <v/>
      </c>
      <c r="I1638">
        <f>IF(ISBLANK('ENGAGEMENTS 2026'!B1638),"",'ENGAGEMENTS 2026'!G1638)</f>
        <v/>
      </c>
      <c r="J1638" s="275">
        <f>IF(ISBLANK('ENGAGEMENTS 2026'!B1638),"",IF(AND(OR($E1638="INFRUCTUEUX",$E1638="ANNULE"),$C1638="AOO-M"),'ENGAGEMENTS 2026'!O1638,IF($H1638="EN COURS DE PREENGAGEMENT",'ENGAGEMENTS 2026'!N1638,IF($H1638="PREENGAGE",IF($E1638="ATTRIBUE",'ENGAGEMENTS 2026'!AD1638,'ENGAGEMENTS 2026'!N1638),'ENGAGEMENTS 2026'!AD1638))))</f>
        <v/>
      </c>
      <c r="K1638" s="604">
        <f>IF(ISBLANK('ENGAGEMENTS 2026'!V1638),"",'ENGAGEMENTS 2026'!V1638)</f>
        <v/>
      </c>
      <c r="L1638" s="276">
        <f>IF($K1638="","",TODAY()-$K1638)</f>
        <v/>
      </c>
      <c r="M1638">
        <f>IF($A1638="","",IF($H1638="ENGAGE","Engagé",IF(AND($H1638="NON ENGAGE",OR($I1638="INFRUCTUEUX",$I1638="ANNULE")),"Clôturé sans suite","En cours")))</f>
        <v/>
      </c>
      <c r="N1638">
        <f>IF(ISBLANK('ENGAGEMENTS 2026'!B1638),"",'ENGAGEMENTS 2026'!K1638)</f>
        <v/>
      </c>
      <c r="O1638">
        <f>IF(ISBLANK('ENGAGEMENTS 2026'!B1638),"",'ENGAGEMENTS 2026'!L1638)</f>
        <v/>
      </c>
      <c r="P1638">
        <f>IF(ISBLANK('ENGAGEMENTS 2026'!B1638),"",'ENGAGEMENTS 2026'!J1638)</f>
        <v/>
      </c>
      <c r="Q1638">
        <f>IF($A1638="","",IF(OR($E1638="INFRUCTUEUX",$E1638="ANNULE"),$A1638&amp;"|"&amp;(COUNTIFS($A$2:$A1638,$A1638,$E$2:$E1638,"INFRUCTUEUX")+COUNTIFS($A$2:$A1638,$A1638,$E$2:$E1638,"ANNULE")),""))</f>
        <v/>
      </c>
    </row>
    <row r="1639">
      <c r="A1639">
        <f>IF(ISBLANK('ENGAGEMENTS 2026'!B1639),"",IF('ENGAGEMENTS 2026'!B1639="DTSI","DCT",'ENGAGEMENTS 2026'!B1639))</f>
        <v/>
      </c>
      <c r="B1639">
        <f>IF(ISBLANK('ENGAGEMENTS 2026'!B1639),"",'ENGAGEMENTS 2026'!C1639)</f>
        <v/>
      </c>
      <c r="C1639">
        <f>IF(ISBLANK('ENGAGEMENTS 2026'!B1639),"",'ENGAGEMENTS 2026'!D1639)</f>
        <v/>
      </c>
      <c r="D1639">
        <f>IF(ISBLANK('ENGAGEMENTS 2026'!B1639),"",'ENGAGEMENTS 2026'!F1639)</f>
        <v/>
      </c>
      <c r="E1639">
        <f>IF(ISBLANK('ENGAGEMENTS 2026'!B1639),"",'ENGAGEMENTS 2026'!H1639)</f>
        <v/>
      </c>
      <c r="F1639">
        <f>IF(ISBLANK('ENGAGEMENTS 2026'!B1639),"",'ENGAGEMENTS 2026'!I1639)</f>
        <v/>
      </c>
      <c r="G1639">
        <f>IF(ISBLANK('ENGAGEMENTS 2026'!B1639),"",'ENGAGEMENTS 2026'!L1639)</f>
        <v/>
      </c>
      <c r="H1639">
        <f>IF(ISBLANK('ENGAGEMENTS 2026'!B1639),"",'ENGAGEMENTS 2026'!AE1639)</f>
        <v/>
      </c>
      <c r="I1639">
        <f>IF(ISBLANK('ENGAGEMENTS 2026'!B1639),"",'ENGAGEMENTS 2026'!G1639)</f>
        <v/>
      </c>
      <c r="J1639" s="275">
        <f>IF(ISBLANK('ENGAGEMENTS 2026'!B1639),"",IF(AND(OR($E1639="INFRUCTUEUX",$E1639="ANNULE"),$C1639="AOO-M"),'ENGAGEMENTS 2026'!O1639,IF($H1639="EN COURS DE PREENGAGEMENT",'ENGAGEMENTS 2026'!N1639,IF($H1639="PREENGAGE",IF($E1639="ATTRIBUE",'ENGAGEMENTS 2026'!AD1639,'ENGAGEMENTS 2026'!N1639),'ENGAGEMENTS 2026'!AD1639))))</f>
        <v/>
      </c>
      <c r="K1639" s="604">
        <f>IF(ISBLANK('ENGAGEMENTS 2026'!V1639),"",'ENGAGEMENTS 2026'!V1639)</f>
        <v/>
      </c>
      <c r="L1639" s="276">
        <f>IF($K1639="","",TODAY()-$K1639)</f>
        <v/>
      </c>
      <c r="M1639">
        <f>IF($A1639="","",IF($H1639="ENGAGE","Engagé",IF(AND($H1639="NON ENGAGE",OR($I1639="INFRUCTUEUX",$I1639="ANNULE")),"Clôturé sans suite","En cours")))</f>
        <v/>
      </c>
      <c r="N1639">
        <f>IF(ISBLANK('ENGAGEMENTS 2026'!B1639),"",'ENGAGEMENTS 2026'!K1639)</f>
        <v/>
      </c>
      <c r="O1639">
        <f>IF(ISBLANK('ENGAGEMENTS 2026'!B1639),"",'ENGAGEMENTS 2026'!L1639)</f>
        <v/>
      </c>
      <c r="P1639">
        <f>IF(ISBLANK('ENGAGEMENTS 2026'!B1639),"",'ENGAGEMENTS 2026'!J1639)</f>
        <v/>
      </c>
      <c r="Q1639">
        <f>IF($A1639="","",IF(OR($E1639="INFRUCTUEUX",$E1639="ANNULE"),$A1639&amp;"|"&amp;(COUNTIFS($A$2:$A1639,$A1639,$E$2:$E1639,"INFRUCTUEUX")+COUNTIFS($A$2:$A1639,$A1639,$E$2:$E1639,"ANNULE")),""))</f>
        <v/>
      </c>
    </row>
    <row r="1640">
      <c r="A1640">
        <f>IF(ISBLANK('ENGAGEMENTS 2026'!B1640),"",IF('ENGAGEMENTS 2026'!B1640="DTSI","DCT",'ENGAGEMENTS 2026'!B1640))</f>
        <v/>
      </c>
      <c r="B1640">
        <f>IF(ISBLANK('ENGAGEMENTS 2026'!B1640),"",'ENGAGEMENTS 2026'!C1640)</f>
        <v/>
      </c>
      <c r="C1640">
        <f>IF(ISBLANK('ENGAGEMENTS 2026'!B1640),"",'ENGAGEMENTS 2026'!D1640)</f>
        <v/>
      </c>
      <c r="D1640">
        <f>IF(ISBLANK('ENGAGEMENTS 2026'!B1640),"",'ENGAGEMENTS 2026'!F1640)</f>
        <v/>
      </c>
      <c r="E1640">
        <f>IF(ISBLANK('ENGAGEMENTS 2026'!B1640),"",'ENGAGEMENTS 2026'!H1640)</f>
        <v/>
      </c>
      <c r="F1640">
        <f>IF(ISBLANK('ENGAGEMENTS 2026'!B1640),"",'ENGAGEMENTS 2026'!I1640)</f>
        <v/>
      </c>
      <c r="G1640">
        <f>IF(ISBLANK('ENGAGEMENTS 2026'!B1640),"",'ENGAGEMENTS 2026'!L1640)</f>
        <v/>
      </c>
      <c r="H1640">
        <f>IF(ISBLANK('ENGAGEMENTS 2026'!B1640),"",'ENGAGEMENTS 2026'!AE1640)</f>
        <v/>
      </c>
      <c r="I1640">
        <f>IF(ISBLANK('ENGAGEMENTS 2026'!B1640),"",'ENGAGEMENTS 2026'!G1640)</f>
        <v/>
      </c>
      <c r="J1640" s="275">
        <f>IF(ISBLANK('ENGAGEMENTS 2026'!B1640),"",IF(AND(OR($E1640="INFRUCTUEUX",$E1640="ANNULE"),$C1640="AOO-M"),'ENGAGEMENTS 2026'!O1640,IF($H1640="EN COURS DE PREENGAGEMENT",'ENGAGEMENTS 2026'!N1640,IF($H1640="PREENGAGE",IF($E1640="ATTRIBUE",'ENGAGEMENTS 2026'!AD1640,'ENGAGEMENTS 2026'!N1640),'ENGAGEMENTS 2026'!AD1640))))</f>
        <v/>
      </c>
      <c r="K1640" s="604">
        <f>IF(ISBLANK('ENGAGEMENTS 2026'!V1640),"",'ENGAGEMENTS 2026'!V1640)</f>
        <v/>
      </c>
      <c r="L1640" s="276">
        <f>IF($K1640="","",TODAY()-$K1640)</f>
        <v/>
      </c>
      <c r="M1640">
        <f>IF($A1640="","",IF($H1640="ENGAGE","Engagé",IF(AND($H1640="NON ENGAGE",OR($I1640="INFRUCTUEUX",$I1640="ANNULE")),"Clôturé sans suite","En cours")))</f>
        <v/>
      </c>
      <c r="N1640">
        <f>IF(ISBLANK('ENGAGEMENTS 2026'!B1640),"",'ENGAGEMENTS 2026'!K1640)</f>
        <v/>
      </c>
      <c r="O1640">
        <f>IF(ISBLANK('ENGAGEMENTS 2026'!B1640),"",'ENGAGEMENTS 2026'!L1640)</f>
        <v/>
      </c>
      <c r="P1640">
        <f>IF(ISBLANK('ENGAGEMENTS 2026'!B1640),"",'ENGAGEMENTS 2026'!J1640)</f>
        <v/>
      </c>
      <c r="Q1640">
        <f>IF($A1640="","",IF(OR($E1640="INFRUCTUEUX",$E1640="ANNULE"),$A1640&amp;"|"&amp;(COUNTIFS($A$2:$A1640,$A1640,$E$2:$E1640,"INFRUCTUEUX")+COUNTIFS($A$2:$A1640,$A1640,$E$2:$E1640,"ANNULE")),""))</f>
        <v/>
      </c>
    </row>
    <row r="1641">
      <c r="A1641">
        <f>IF(ISBLANK('ENGAGEMENTS 2026'!B1641),"",IF('ENGAGEMENTS 2026'!B1641="DTSI","DCT",'ENGAGEMENTS 2026'!B1641))</f>
        <v/>
      </c>
      <c r="B1641">
        <f>IF(ISBLANK('ENGAGEMENTS 2026'!B1641),"",'ENGAGEMENTS 2026'!C1641)</f>
        <v/>
      </c>
      <c r="C1641">
        <f>IF(ISBLANK('ENGAGEMENTS 2026'!B1641),"",'ENGAGEMENTS 2026'!D1641)</f>
        <v/>
      </c>
      <c r="D1641">
        <f>IF(ISBLANK('ENGAGEMENTS 2026'!B1641),"",'ENGAGEMENTS 2026'!F1641)</f>
        <v/>
      </c>
      <c r="E1641">
        <f>IF(ISBLANK('ENGAGEMENTS 2026'!B1641),"",'ENGAGEMENTS 2026'!H1641)</f>
        <v/>
      </c>
      <c r="F1641">
        <f>IF(ISBLANK('ENGAGEMENTS 2026'!B1641),"",'ENGAGEMENTS 2026'!I1641)</f>
        <v/>
      </c>
      <c r="G1641">
        <f>IF(ISBLANK('ENGAGEMENTS 2026'!B1641),"",'ENGAGEMENTS 2026'!L1641)</f>
        <v/>
      </c>
      <c r="H1641">
        <f>IF(ISBLANK('ENGAGEMENTS 2026'!B1641),"",'ENGAGEMENTS 2026'!AE1641)</f>
        <v/>
      </c>
      <c r="I1641">
        <f>IF(ISBLANK('ENGAGEMENTS 2026'!B1641),"",'ENGAGEMENTS 2026'!G1641)</f>
        <v/>
      </c>
      <c r="J1641" s="275">
        <f>IF(ISBLANK('ENGAGEMENTS 2026'!B1641),"",IF(AND(OR($E1641="INFRUCTUEUX",$E1641="ANNULE"),$C1641="AOO-M"),'ENGAGEMENTS 2026'!O1641,IF($H1641="EN COURS DE PREENGAGEMENT",'ENGAGEMENTS 2026'!N1641,IF($H1641="PREENGAGE",IF($E1641="ATTRIBUE",'ENGAGEMENTS 2026'!AD1641,'ENGAGEMENTS 2026'!N1641),'ENGAGEMENTS 2026'!AD1641))))</f>
        <v/>
      </c>
      <c r="K1641" s="604">
        <f>IF(ISBLANK('ENGAGEMENTS 2026'!V1641),"",'ENGAGEMENTS 2026'!V1641)</f>
        <v/>
      </c>
      <c r="L1641" s="276">
        <f>IF($K1641="","",TODAY()-$K1641)</f>
        <v/>
      </c>
      <c r="M1641">
        <f>IF($A1641="","",IF($H1641="ENGAGE","Engagé",IF(AND($H1641="NON ENGAGE",OR($I1641="INFRUCTUEUX",$I1641="ANNULE")),"Clôturé sans suite","En cours")))</f>
        <v/>
      </c>
      <c r="N1641">
        <f>IF(ISBLANK('ENGAGEMENTS 2026'!B1641),"",'ENGAGEMENTS 2026'!K1641)</f>
        <v/>
      </c>
      <c r="O1641">
        <f>IF(ISBLANK('ENGAGEMENTS 2026'!B1641),"",'ENGAGEMENTS 2026'!L1641)</f>
        <v/>
      </c>
      <c r="P1641">
        <f>IF(ISBLANK('ENGAGEMENTS 2026'!B1641),"",'ENGAGEMENTS 2026'!J1641)</f>
        <v/>
      </c>
      <c r="Q1641">
        <f>IF($A1641="","",IF(OR($E1641="INFRUCTUEUX",$E1641="ANNULE"),$A1641&amp;"|"&amp;(COUNTIFS($A$2:$A1641,$A1641,$E$2:$E1641,"INFRUCTUEUX")+COUNTIFS($A$2:$A1641,$A1641,$E$2:$E1641,"ANNULE")),""))</f>
        <v/>
      </c>
    </row>
    <row r="1642">
      <c r="A1642">
        <f>IF(ISBLANK('ENGAGEMENTS 2026'!B1642),"",IF('ENGAGEMENTS 2026'!B1642="DTSI","DCT",'ENGAGEMENTS 2026'!B1642))</f>
        <v/>
      </c>
      <c r="B1642">
        <f>IF(ISBLANK('ENGAGEMENTS 2026'!B1642),"",'ENGAGEMENTS 2026'!C1642)</f>
        <v/>
      </c>
      <c r="C1642">
        <f>IF(ISBLANK('ENGAGEMENTS 2026'!B1642),"",'ENGAGEMENTS 2026'!D1642)</f>
        <v/>
      </c>
      <c r="D1642">
        <f>IF(ISBLANK('ENGAGEMENTS 2026'!B1642),"",'ENGAGEMENTS 2026'!F1642)</f>
        <v/>
      </c>
      <c r="E1642">
        <f>IF(ISBLANK('ENGAGEMENTS 2026'!B1642),"",'ENGAGEMENTS 2026'!H1642)</f>
        <v/>
      </c>
      <c r="F1642">
        <f>IF(ISBLANK('ENGAGEMENTS 2026'!B1642),"",'ENGAGEMENTS 2026'!I1642)</f>
        <v/>
      </c>
      <c r="G1642">
        <f>IF(ISBLANK('ENGAGEMENTS 2026'!B1642),"",'ENGAGEMENTS 2026'!L1642)</f>
        <v/>
      </c>
      <c r="H1642">
        <f>IF(ISBLANK('ENGAGEMENTS 2026'!B1642),"",'ENGAGEMENTS 2026'!AE1642)</f>
        <v/>
      </c>
      <c r="I1642">
        <f>IF(ISBLANK('ENGAGEMENTS 2026'!B1642),"",'ENGAGEMENTS 2026'!G1642)</f>
        <v/>
      </c>
      <c r="J1642" s="275">
        <f>IF(ISBLANK('ENGAGEMENTS 2026'!B1642),"",IF(AND(OR($E1642="INFRUCTUEUX",$E1642="ANNULE"),$C1642="AOO-M"),'ENGAGEMENTS 2026'!O1642,IF($H1642="EN COURS DE PREENGAGEMENT",'ENGAGEMENTS 2026'!N1642,IF($H1642="PREENGAGE",IF($E1642="ATTRIBUE",'ENGAGEMENTS 2026'!AD1642,'ENGAGEMENTS 2026'!N1642),'ENGAGEMENTS 2026'!AD1642))))</f>
        <v/>
      </c>
      <c r="K1642" s="604">
        <f>IF(ISBLANK('ENGAGEMENTS 2026'!V1642),"",'ENGAGEMENTS 2026'!V1642)</f>
        <v/>
      </c>
      <c r="L1642" s="276">
        <f>IF($K1642="","",TODAY()-$K1642)</f>
        <v/>
      </c>
      <c r="M1642">
        <f>IF($A1642="","",IF($H1642="ENGAGE","Engagé",IF(AND($H1642="NON ENGAGE",OR($I1642="INFRUCTUEUX",$I1642="ANNULE")),"Clôturé sans suite","En cours")))</f>
        <v/>
      </c>
      <c r="N1642">
        <f>IF(ISBLANK('ENGAGEMENTS 2026'!B1642),"",'ENGAGEMENTS 2026'!K1642)</f>
        <v/>
      </c>
      <c r="O1642">
        <f>IF(ISBLANK('ENGAGEMENTS 2026'!B1642),"",'ENGAGEMENTS 2026'!L1642)</f>
        <v/>
      </c>
      <c r="P1642">
        <f>IF(ISBLANK('ENGAGEMENTS 2026'!B1642),"",'ENGAGEMENTS 2026'!J1642)</f>
        <v/>
      </c>
      <c r="Q1642">
        <f>IF($A1642="","",IF(OR($E1642="INFRUCTUEUX",$E1642="ANNULE"),$A1642&amp;"|"&amp;(COUNTIFS($A$2:$A1642,$A1642,$E$2:$E1642,"INFRUCTUEUX")+COUNTIFS($A$2:$A1642,$A1642,$E$2:$E1642,"ANNULE")),""))</f>
        <v/>
      </c>
    </row>
    <row r="1643">
      <c r="A1643">
        <f>IF(ISBLANK('ENGAGEMENTS 2026'!B1643),"",IF('ENGAGEMENTS 2026'!B1643="DTSI","DCT",'ENGAGEMENTS 2026'!B1643))</f>
        <v/>
      </c>
      <c r="B1643">
        <f>IF(ISBLANK('ENGAGEMENTS 2026'!B1643),"",'ENGAGEMENTS 2026'!C1643)</f>
        <v/>
      </c>
      <c r="C1643">
        <f>IF(ISBLANK('ENGAGEMENTS 2026'!B1643),"",'ENGAGEMENTS 2026'!D1643)</f>
        <v/>
      </c>
      <c r="D1643">
        <f>IF(ISBLANK('ENGAGEMENTS 2026'!B1643),"",'ENGAGEMENTS 2026'!F1643)</f>
        <v/>
      </c>
      <c r="E1643">
        <f>IF(ISBLANK('ENGAGEMENTS 2026'!B1643),"",'ENGAGEMENTS 2026'!H1643)</f>
        <v/>
      </c>
      <c r="F1643">
        <f>IF(ISBLANK('ENGAGEMENTS 2026'!B1643),"",'ENGAGEMENTS 2026'!I1643)</f>
        <v/>
      </c>
      <c r="G1643">
        <f>IF(ISBLANK('ENGAGEMENTS 2026'!B1643),"",'ENGAGEMENTS 2026'!L1643)</f>
        <v/>
      </c>
      <c r="H1643">
        <f>IF(ISBLANK('ENGAGEMENTS 2026'!B1643),"",'ENGAGEMENTS 2026'!AE1643)</f>
        <v/>
      </c>
      <c r="I1643">
        <f>IF(ISBLANK('ENGAGEMENTS 2026'!B1643),"",'ENGAGEMENTS 2026'!G1643)</f>
        <v/>
      </c>
      <c r="J1643" s="275">
        <f>IF(ISBLANK('ENGAGEMENTS 2026'!B1643),"",IF(AND(OR($E1643="INFRUCTUEUX",$E1643="ANNULE"),$C1643="AOO-M"),'ENGAGEMENTS 2026'!O1643,IF($H1643="EN COURS DE PREENGAGEMENT",'ENGAGEMENTS 2026'!N1643,IF($H1643="PREENGAGE",IF($E1643="ATTRIBUE",'ENGAGEMENTS 2026'!AD1643,'ENGAGEMENTS 2026'!N1643),'ENGAGEMENTS 2026'!AD1643))))</f>
        <v/>
      </c>
      <c r="K1643" s="604">
        <f>IF(ISBLANK('ENGAGEMENTS 2026'!V1643),"",'ENGAGEMENTS 2026'!V1643)</f>
        <v/>
      </c>
      <c r="L1643" s="276">
        <f>IF($K1643="","",TODAY()-$K1643)</f>
        <v/>
      </c>
      <c r="M1643">
        <f>IF($A1643="","",IF($H1643="ENGAGE","Engagé",IF(AND($H1643="NON ENGAGE",OR($I1643="INFRUCTUEUX",$I1643="ANNULE")),"Clôturé sans suite","En cours")))</f>
        <v/>
      </c>
      <c r="N1643">
        <f>IF(ISBLANK('ENGAGEMENTS 2026'!B1643),"",'ENGAGEMENTS 2026'!K1643)</f>
        <v/>
      </c>
      <c r="O1643">
        <f>IF(ISBLANK('ENGAGEMENTS 2026'!B1643),"",'ENGAGEMENTS 2026'!L1643)</f>
        <v/>
      </c>
      <c r="P1643">
        <f>IF(ISBLANK('ENGAGEMENTS 2026'!B1643),"",'ENGAGEMENTS 2026'!J1643)</f>
        <v/>
      </c>
      <c r="Q1643">
        <f>IF($A1643="","",IF(OR($E1643="INFRUCTUEUX",$E1643="ANNULE"),$A1643&amp;"|"&amp;(COUNTIFS($A$2:$A1643,$A1643,$E$2:$E1643,"INFRUCTUEUX")+COUNTIFS($A$2:$A1643,$A1643,$E$2:$E1643,"ANNULE")),""))</f>
        <v/>
      </c>
    </row>
    <row r="1644">
      <c r="A1644">
        <f>IF(ISBLANK('ENGAGEMENTS 2026'!B1644),"",IF('ENGAGEMENTS 2026'!B1644="DTSI","DCT",'ENGAGEMENTS 2026'!B1644))</f>
        <v/>
      </c>
      <c r="B1644">
        <f>IF(ISBLANK('ENGAGEMENTS 2026'!B1644),"",'ENGAGEMENTS 2026'!C1644)</f>
        <v/>
      </c>
      <c r="C1644">
        <f>IF(ISBLANK('ENGAGEMENTS 2026'!B1644),"",'ENGAGEMENTS 2026'!D1644)</f>
        <v/>
      </c>
      <c r="D1644">
        <f>IF(ISBLANK('ENGAGEMENTS 2026'!B1644),"",'ENGAGEMENTS 2026'!F1644)</f>
        <v/>
      </c>
      <c r="E1644">
        <f>IF(ISBLANK('ENGAGEMENTS 2026'!B1644),"",'ENGAGEMENTS 2026'!H1644)</f>
        <v/>
      </c>
      <c r="F1644">
        <f>IF(ISBLANK('ENGAGEMENTS 2026'!B1644),"",'ENGAGEMENTS 2026'!I1644)</f>
        <v/>
      </c>
      <c r="G1644">
        <f>IF(ISBLANK('ENGAGEMENTS 2026'!B1644),"",'ENGAGEMENTS 2026'!L1644)</f>
        <v/>
      </c>
      <c r="H1644">
        <f>IF(ISBLANK('ENGAGEMENTS 2026'!B1644),"",'ENGAGEMENTS 2026'!AE1644)</f>
        <v/>
      </c>
      <c r="I1644">
        <f>IF(ISBLANK('ENGAGEMENTS 2026'!B1644),"",'ENGAGEMENTS 2026'!G1644)</f>
        <v/>
      </c>
      <c r="J1644" s="275">
        <f>IF(ISBLANK('ENGAGEMENTS 2026'!B1644),"",IF(AND(OR($E1644="INFRUCTUEUX",$E1644="ANNULE"),$C1644="AOO-M"),'ENGAGEMENTS 2026'!O1644,IF($H1644="EN COURS DE PREENGAGEMENT",'ENGAGEMENTS 2026'!N1644,IF($H1644="PREENGAGE",IF($E1644="ATTRIBUE",'ENGAGEMENTS 2026'!AD1644,'ENGAGEMENTS 2026'!N1644),'ENGAGEMENTS 2026'!AD1644))))</f>
        <v/>
      </c>
      <c r="K1644" s="604">
        <f>IF(ISBLANK('ENGAGEMENTS 2026'!V1644),"",'ENGAGEMENTS 2026'!V1644)</f>
        <v/>
      </c>
      <c r="L1644" s="276">
        <f>IF($K1644="","",TODAY()-$K1644)</f>
        <v/>
      </c>
      <c r="M1644">
        <f>IF($A1644="","",IF($H1644="ENGAGE","Engagé",IF(AND($H1644="NON ENGAGE",OR($I1644="INFRUCTUEUX",$I1644="ANNULE")),"Clôturé sans suite","En cours")))</f>
        <v/>
      </c>
      <c r="N1644">
        <f>IF(ISBLANK('ENGAGEMENTS 2026'!B1644),"",'ENGAGEMENTS 2026'!K1644)</f>
        <v/>
      </c>
      <c r="O1644">
        <f>IF(ISBLANK('ENGAGEMENTS 2026'!B1644),"",'ENGAGEMENTS 2026'!L1644)</f>
        <v/>
      </c>
      <c r="P1644">
        <f>IF(ISBLANK('ENGAGEMENTS 2026'!B1644),"",'ENGAGEMENTS 2026'!J1644)</f>
        <v/>
      </c>
      <c r="Q1644">
        <f>IF($A1644="","",IF(OR($E1644="INFRUCTUEUX",$E1644="ANNULE"),$A1644&amp;"|"&amp;(COUNTIFS($A$2:$A1644,$A1644,$E$2:$E1644,"INFRUCTUEUX")+COUNTIFS($A$2:$A1644,$A1644,$E$2:$E1644,"ANNULE")),""))</f>
        <v/>
      </c>
    </row>
    <row r="1645">
      <c r="A1645">
        <f>IF(ISBLANK('ENGAGEMENTS 2026'!B1645),"",IF('ENGAGEMENTS 2026'!B1645="DTSI","DCT",'ENGAGEMENTS 2026'!B1645))</f>
        <v/>
      </c>
      <c r="B1645">
        <f>IF(ISBLANK('ENGAGEMENTS 2026'!B1645),"",'ENGAGEMENTS 2026'!C1645)</f>
        <v/>
      </c>
      <c r="C1645">
        <f>IF(ISBLANK('ENGAGEMENTS 2026'!B1645),"",'ENGAGEMENTS 2026'!D1645)</f>
        <v/>
      </c>
      <c r="D1645">
        <f>IF(ISBLANK('ENGAGEMENTS 2026'!B1645),"",'ENGAGEMENTS 2026'!F1645)</f>
        <v/>
      </c>
      <c r="E1645">
        <f>IF(ISBLANK('ENGAGEMENTS 2026'!B1645),"",'ENGAGEMENTS 2026'!H1645)</f>
        <v/>
      </c>
      <c r="F1645">
        <f>IF(ISBLANK('ENGAGEMENTS 2026'!B1645),"",'ENGAGEMENTS 2026'!I1645)</f>
        <v/>
      </c>
      <c r="G1645">
        <f>IF(ISBLANK('ENGAGEMENTS 2026'!B1645),"",'ENGAGEMENTS 2026'!L1645)</f>
        <v/>
      </c>
      <c r="H1645">
        <f>IF(ISBLANK('ENGAGEMENTS 2026'!B1645),"",'ENGAGEMENTS 2026'!AE1645)</f>
        <v/>
      </c>
      <c r="I1645">
        <f>IF(ISBLANK('ENGAGEMENTS 2026'!B1645),"",'ENGAGEMENTS 2026'!G1645)</f>
        <v/>
      </c>
      <c r="J1645" s="275">
        <f>IF(ISBLANK('ENGAGEMENTS 2026'!B1645),"",IF(AND(OR($E1645="INFRUCTUEUX",$E1645="ANNULE"),$C1645="AOO-M"),'ENGAGEMENTS 2026'!O1645,IF($H1645="EN COURS DE PREENGAGEMENT",'ENGAGEMENTS 2026'!N1645,IF($H1645="PREENGAGE",IF($E1645="ATTRIBUE",'ENGAGEMENTS 2026'!AD1645,'ENGAGEMENTS 2026'!N1645),'ENGAGEMENTS 2026'!AD1645))))</f>
        <v/>
      </c>
      <c r="K1645" s="604">
        <f>IF(ISBLANK('ENGAGEMENTS 2026'!V1645),"",'ENGAGEMENTS 2026'!V1645)</f>
        <v/>
      </c>
      <c r="L1645" s="276">
        <f>IF($K1645="","",TODAY()-$K1645)</f>
        <v/>
      </c>
      <c r="M1645">
        <f>IF($A1645="","",IF($H1645="ENGAGE","Engagé",IF(AND($H1645="NON ENGAGE",OR($I1645="INFRUCTUEUX",$I1645="ANNULE")),"Clôturé sans suite","En cours")))</f>
        <v/>
      </c>
      <c r="N1645">
        <f>IF(ISBLANK('ENGAGEMENTS 2026'!B1645),"",'ENGAGEMENTS 2026'!K1645)</f>
        <v/>
      </c>
      <c r="O1645">
        <f>IF(ISBLANK('ENGAGEMENTS 2026'!B1645),"",'ENGAGEMENTS 2026'!L1645)</f>
        <v/>
      </c>
      <c r="P1645">
        <f>IF(ISBLANK('ENGAGEMENTS 2026'!B1645),"",'ENGAGEMENTS 2026'!J1645)</f>
        <v/>
      </c>
      <c r="Q1645">
        <f>IF($A1645="","",IF(OR($E1645="INFRUCTUEUX",$E1645="ANNULE"),$A1645&amp;"|"&amp;(COUNTIFS($A$2:$A1645,$A1645,$E$2:$E1645,"INFRUCTUEUX")+COUNTIFS($A$2:$A1645,$A1645,$E$2:$E1645,"ANNULE")),""))</f>
        <v/>
      </c>
    </row>
    <row r="1646">
      <c r="A1646">
        <f>IF(ISBLANK('ENGAGEMENTS 2026'!B1646),"",IF('ENGAGEMENTS 2026'!B1646="DTSI","DCT",'ENGAGEMENTS 2026'!B1646))</f>
        <v/>
      </c>
      <c r="B1646">
        <f>IF(ISBLANK('ENGAGEMENTS 2026'!B1646),"",'ENGAGEMENTS 2026'!C1646)</f>
        <v/>
      </c>
      <c r="C1646">
        <f>IF(ISBLANK('ENGAGEMENTS 2026'!B1646),"",'ENGAGEMENTS 2026'!D1646)</f>
        <v/>
      </c>
      <c r="D1646">
        <f>IF(ISBLANK('ENGAGEMENTS 2026'!B1646),"",'ENGAGEMENTS 2026'!F1646)</f>
        <v/>
      </c>
      <c r="E1646">
        <f>IF(ISBLANK('ENGAGEMENTS 2026'!B1646),"",'ENGAGEMENTS 2026'!H1646)</f>
        <v/>
      </c>
      <c r="F1646">
        <f>IF(ISBLANK('ENGAGEMENTS 2026'!B1646),"",'ENGAGEMENTS 2026'!I1646)</f>
        <v/>
      </c>
      <c r="G1646">
        <f>IF(ISBLANK('ENGAGEMENTS 2026'!B1646),"",'ENGAGEMENTS 2026'!L1646)</f>
        <v/>
      </c>
      <c r="H1646">
        <f>IF(ISBLANK('ENGAGEMENTS 2026'!B1646),"",'ENGAGEMENTS 2026'!AE1646)</f>
        <v/>
      </c>
      <c r="I1646">
        <f>IF(ISBLANK('ENGAGEMENTS 2026'!B1646),"",'ENGAGEMENTS 2026'!G1646)</f>
        <v/>
      </c>
      <c r="J1646" s="275">
        <f>IF(ISBLANK('ENGAGEMENTS 2026'!B1646),"",IF(AND(OR($E1646="INFRUCTUEUX",$E1646="ANNULE"),$C1646="AOO-M"),'ENGAGEMENTS 2026'!O1646,IF($H1646="EN COURS DE PREENGAGEMENT",'ENGAGEMENTS 2026'!N1646,IF($H1646="PREENGAGE",IF($E1646="ATTRIBUE",'ENGAGEMENTS 2026'!AD1646,'ENGAGEMENTS 2026'!N1646),'ENGAGEMENTS 2026'!AD1646))))</f>
        <v/>
      </c>
      <c r="K1646" s="604">
        <f>IF(ISBLANK('ENGAGEMENTS 2026'!V1646),"",'ENGAGEMENTS 2026'!V1646)</f>
        <v/>
      </c>
      <c r="L1646" s="276">
        <f>IF($K1646="","",TODAY()-$K1646)</f>
        <v/>
      </c>
      <c r="M1646">
        <f>IF($A1646="","",IF($H1646="ENGAGE","Engagé",IF(AND($H1646="NON ENGAGE",OR($I1646="INFRUCTUEUX",$I1646="ANNULE")),"Clôturé sans suite","En cours")))</f>
        <v/>
      </c>
      <c r="N1646">
        <f>IF(ISBLANK('ENGAGEMENTS 2026'!B1646),"",'ENGAGEMENTS 2026'!K1646)</f>
        <v/>
      </c>
      <c r="O1646">
        <f>IF(ISBLANK('ENGAGEMENTS 2026'!B1646),"",'ENGAGEMENTS 2026'!L1646)</f>
        <v/>
      </c>
      <c r="P1646">
        <f>IF(ISBLANK('ENGAGEMENTS 2026'!B1646),"",'ENGAGEMENTS 2026'!J1646)</f>
        <v/>
      </c>
      <c r="Q1646">
        <f>IF($A1646="","",IF(OR($E1646="INFRUCTUEUX",$E1646="ANNULE"),$A1646&amp;"|"&amp;(COUNTIFS($A$2:$A1646,$A1646,$E$2:$E1646,"INFRUCTUEUX")+COUNTIFS($A$2:$A1646,$A1646,$E$2:$E1646,"ANNULE")),""))</f>
        <v/>
      </c>
    </row>
    <row r="1647">
      <c r="A1647">
        <f>IF(ISBLANK('ENGAGEMENTS 2026'!B1647),"",IF('ENGAGEMENTS 2026'!B1647="DTSI","DCT",'ENGAGEMENTS 2026'!B1647))</f>
        <v/>
      </c>
      <c r="B1647">
        <f>IF(ISBLANK('ENGAGEMENTS 2026'!B1647),"",'ENGAGEMENTS 2026'!C1647)</f>
        <v/>
      </c>
      <c r="C1647">
        <f>IF(ISBLANK('ENGAGEMENTS 2026'!B1647),"",'ENGAGEMENTS 2026'!D1647)</f>
        <v/>
      </c>
      <c r="D1647">
        <f>IF(ISBLANK('ENGAGEMENTS 2026'!B1647),"",'ENGAGEMENTS 2026'!F1647)</f>
        <v/>
      </c>
      <c r="E1647">
        <f>IF(ISBLANK('ENGAGEMENTS 2026'!B1647),"",'ENGAGEMENTS 2026'!H1647)</f>
        <v/>
      </c>
      <c r="F1647">
        <f>IF(ISBLANK('ENGAGEMENTS 2026'!B1647),"",'ENGAGEMENTS 2026'!I1647)</f>
        <v/>
      </c>
      <c r="G1647">
        <f>IF(ISBLANK('ENGAGEMENTS 2026'!B1647),"",'ENGAGEMENTS 2026'!L1647)</f>
        <v/>
      </c>
      <c r="H1647">
        <f>IF(ISBLANK('ENGAGEMENTS 2026'!B1647),"",'ENGAGEMENTS 2026'!AE1647)</f>
        <v/>
      </c>
      <c r="I1647">
        <f>IF(ISBLANK('ENGAGEMENTS 2026'!B1647),"",'ENGAGEMENTS 2026'!G1647)</f>
        <v/>
      </c>
      <c r="J1647" s="275">
        <f>IF(ISBLANK('ENGAGEMENTS 2026'!B1647),"",IF(AND(OR($E1647="INFRUCTUEUX",$E1647="ANNULE"),$C1647="AOO-M"),'ENGAGEMENTS 2026'!O1647,IF($H1647="EN COURS DE PREENGAGEMENT",'ENGAGEMENTS 2026'!N1647,IF($H1647="PREENGAGE",IF($E1647="ATTRIBUE",'ENGAGEMENTS 2026'!AD1647,'ENGAGEMENTS 2026'!N1647),'ENGAGEMENTS 2026'!AD1647))))</f>
        <v/>
      </c>
      <c r="K1647" s="604">
        <f>IF(ISBLANK('ENGAGEMENTS 2026'!V1647),"",'ENGAGEMENTS 2026'!V1647)</f>
        <v/>
      </c>
      <c r="L1647" s="276">
        <f>IF($K1647="","",TODAY()-$K1647)</f>
        <v/>
      </c>
      <c r="M1647">
        <f>IF($A1647="","",IF($H1647="ENGAGE","Engagé",IF(AND($H1647="NON ENGAGE",OR($I1647="INFRUCTUEUX",$I1647="ANNULE")),"Clôturé sans suite","En cours")))</f>
        <v/>
      </c>
      <c r="N1647">
        <f>IF(ISBLANK('ENGAGEMENTS 2026'!B1647),"",'ENGAGEMENTS 2026'!K1647)</f>
        <v/>
      </c>
      <c r="O1647">
        <f>IF(ISBLANK('ENGAGEMENTS 2026'!B1647),"",'ENGAGEMENTS 2026'!L1647)</f>
        <v/>
      </c>
      <c r="P1647">
        <f>IF(ISBLANK('ENGAGEMENTS 2026'!B1647),"",'ENGAGEMENTS 2026'!J1647)</f>
        <v/>
      </c>
      <c r="Q1647">
        <f>IF($A1647="","",IF(OR($E1647="INFRUCTUEUX",$E1647="ANNULE"),$A1647&amp;"|"&amp;(COUNTIFS($A$2:$A1647,$A1647,$E$2:$E1647,"INFRUCTUEUX")+COUNTIFS($A$2:$A1647,$A1647,$E$2:$E1647,"ANNULE")),""))</f>
        <v/>
      </c>
    </row>
    <row r="1648">
      <c r="A1648">
        <f>IF(ISBLANK('ENGAGEMENTS 2026'!B1648),"",IF('ENGAGEMENTS 2026'!B1648="DTSI","DCT",'ENGAGEMENTS 2026'!B1648))</f>
        <v/>
      </c>
      <c r="B1648">
        <f>IF(ISBLANK('ENGAGEMENTS 2026'!B1648),"",'ENGAGEMENTS 2026'!C1648)</f>
        <v/>
      </c>
      <c r="C1648">
        <f>IF(ISBLANK('ENGAGEMENTS 2026'!B1648),"",'ENGAGEMENTS 2026'!D1648)</f>
        <v/>
      </c>
      <c r="D1648">
        <f>IF(ISBLANK('ENGAGEMENTS 2026'!B1648),"",'ENGAGEMENTS 2026'!F1648)</f>
        <v/>
      </c>
      <c r="E1648">
        <f>IF(ISBLANK('ENGAGEMENTS 2026'!B1648),"",'ENGAGEMENTS 2026'!H1648)</f>
        <v/>
      </c>
      <c r="F1648">
        <f>IF(ISBLANK('ENGAGEMENTS 2026'!B1648),"",'ENGAGEMENTS 2026'!I1648)</f>
        <v/>
      </c>
      <c r="G1648">
        <f>IF(ISBLANK('ENGAGEMENTS 2026'!B1648),"",'ENGAGEMENTS 2026'!L1648)</f>
        <v/>
      </c>
      <c r="H1648">
        <f>IF(ISBLANK('ENGAGEMENTS 2026'!B1648),"",'ENGAGEMENTS 2026'!AE1648)</f>
        <v/>
      </c>
      <c r="I1648">
        <f>IF(ISBLANK('ENGAGEMENTS 2026'!B1648),"",'ENGAGEMENTS 2026'!G1648)</f>
        <v/>
      </c>
      <c r="J1648" s="275">
        <f>IF(ISBLANK('ENGAGEMENTS 2026'!B1648),"",IF(AND(OR($E1648="INFRUCTUEUX",$E1648="ANNULE"),$C1648="AOO-M"),'ENGAGEMENTS 2026'!O1648,IF($H1648="EN COURS DE PREENGAGEMENT",'ENGAGEMENTS 2026'!N1648,IF($H1648="PREENGAGE",IF($E1648="ATTRIBUE",'ENGAGEMENTS 2026'!AD1648,'ENGAGEMENTS 2026'!N1648),'ENGAGEMENTS 2026'!AD1648))))</f>
        <v/>
      </c>
      <c r="K1648" s="604">
        <f>IF(ISBLANK('ENGAGEMENTS 2026'!V1648),"",'ENGAGEMENTS 2026'!V1648)</f>
        <v/>
      </c>
      <c r="L1648" s="276">
        <f>IF($K1648="","",TODAY()-$K1648)</f>
        <v/>
      </c>
      <c r="M1648">
        <f>IF($A1648="","",IF($H1648="ENGAGE","Engagé",IF(AND($H1648="NON ENGAGE",OR($I1648="INFRUCTUEUX",$I1648="ANNULE")),"Clôturé sans suite","En cours")))</f>
        <v/>
      </c>
      <c r="N1648">
        <f>IF(ISBLANK('ENGAGEMENTS 2026'!B1648),"",'ENGAGEMENTS 2026'!K1648)</f>
        <v/>
      </c>
      <c r="O1648">
        <f>IF(ISBLANK('ENGAGEMENTS 2026'!B1648),"",'ENGAGEMENTS 2026'!L1648)</f>
        <v/>
      </c>
      <c r="P1648">
        <f>IF(ISBLANK('ENGAGEMENTS 2026'!B1648),"",'ENGAGEMENTS 2026'!J1648)</f>
        <v/>
      </c>
      <c r="Q1648">
        <f>IF($A1648="","",IF(OR($E1648="INFRUCTUEUX",$E1648="ANNULE"),$A1648&amp;"|"&amp;(COUNTIFS($A$2:$A1648,$A1648,$E$2:$E1648,"INFRUCTUEUX")+COUNTIFS($A$2:$A1648,$A1648,$E$2:$E1648,"ANNULE")),""))</f>
        <v/>
      </c>
    </row>
    <row r="1649">
      <c r="A1649">
        <f>IF(ISBLANK('ENGAGEMENTS 2026'!B1649),"",IF('ENGAGEMENTS 2026'!B1649="DTSI","DCT",'ENGAGEMENTS 2026'!B1649))</f>
        <v/>
      </c>
      <c r="B1649">
        <f>IF(ISBLANK('ENGAGEMENTS 2026'!B1649),"",'ENGAGEMENTS 2026'!C1649)</f>
        <v/>
      </c>
      <c r="C1649">
        <f>IF(ISBLANK('ENGAGEMENTS 2026'!B1649),"",'ENGAGEMENTS 2026'!D1649)</f>
        <v/>
      </c>
      <c r="D1649">
        <f>IF(ISBLANK('ENGAGEMENTS 2026'!B1649),"",'ENGAGEMENTS 2026'!F1649)</f>
        <v/>
      </c>
      <c r="E1649">
        <f>IF(ISBLANK('ENGAGEMENTS 2026'!B1649),"",'ENGAGEMENTS 2026'!H1649)</f>
        <v/>
      </c>
      <c r="F1649">
        <f>IF(ISBLANK('ENGAGEMENTS 2026'!B1649),"",'ENGAGEMENTS 2026'!I1649)</f>
        <v/>
      </c>
      <c r="G1649">
        <f>IF(ISBLANK('ENGAGEMENTS 2026'!B1649),"",'ENGAGEMENTS 2026'!L1649)</f>
        <v/>
      </c>
      <c r="H1649">
        <f>IF(ISBLANK('ENGAGEMENTS 2026'!B1649),"",'ENGAGEMENTS 2026'!AE1649)</f>
        <v/>
      </c>
      <c r="I1649">
        <f>IF(ISBLANK('ENGAGEMENTS 2026'!B1649),"",'ENGAGEMENTS 2026'!G1649)</f>
        <v/>
      </c>
      <c r="J1649" s="275">
        <f>IF(ISBLANK('ENGAGEMENTS 2026'!B1649),"",IF(AND(OR($E1649="INFRUCTUEUX",$E1649="ANNULE"),$C1649="AOO-M"),'ENGAGEMENTS 2026'!O1649,IF($H1649="EN COURS DE PREENGAGEMENT",'ENGAGEMENTS 2026'!N1649,IF($H1649="PREENGAGE",IF($E1649="ATTRIBUE",'ENGAGEMENTS 2026'!AD1649,'ENGAGEMENTS 2026'!N1649),'ENGAGEMENTS 2026'!AD1649))))</f>
        <v/>
      </c>
      <c r="K1649" s="604">
        <f>IF(ISBLANK('ENGAGEMENTS 2026'!V1649),"",'ENGAGEMENTS 2026'!V1649)</f>
        <v/>
      </c>
      <c r="L1649" s="276">
        <f>IF($K1649="","",TODAY()-$K1649)</f>
        <v/>
      </c>
      <c r="M1649">
        <f>IF($A1649="","",IF($H1649="ENGAGE","Engagé",IF(AND($H1649="NON ENGAGE",OR($I1649="INFRUCTUEUX",$I1649="ANNULE")),"Clôturé sans suite","En cours")))</f>
        <v/>
      </c>
      <c r="N1649">
        <f>IF(ISBLANK('ENGAGEMENTS 2026'!B1649),"",'ENGAGEMENTS 2026'!K1649)</f>
        <v/>
      </c>
      <c r="O1649">
        <f>IF(ISBLANK('ENGAGEMENTS 2026'!B1649),"",'ENGAGEMENTS 2026'!L1649)</f>
        <v/>
      </c>
      <c r="P1649">
        <f>IF(ISBLANK('ENGAGEMENTS 2026'!B1649),"",'ENGAGEMENTS 2026'!J1649)</f>
        <v/>
      </c>
      <c r="Q1649">
        <f>IF($A1649="","",IF(OR($E1649="INFRUCTUEUX",$E1649="ANNULE"),$A1649&amp;"|"&amp;(COUNTIFS($A$2:$A1649,$A1649,$E$2:$E1649,"INFRUCTUEUX")+COUNTIFS($A$2:$A1649,$A1649,$E$2:$E1649,"ANNULE")),""))</f>
        <v/>
      </c>
    </row>
    <row r="1650">
      <c r="A1650">
        <f>IF(ISBLANK('ENGAGEMENTS 2026'!B1650),"",IF('ENGAGEMENTS 2026'!B1650="DTSI","DCT",'ENGAGEMENTS 2026'!B1650))</f>
        <v/>
      </c>
      <c r="B1650">
        <f>IF(ISBLANK('ENGAGEMENTS 2026'!B1650),"",'ENGAGEMENTS 2026'!C1650)</f>
        <v/>
      </c>
      <c r="C1650">
        <f>IF(ISBLANK('ENGAGEMENTS 2026'!B1650),"",'ENGAGEMENTS 2026'!D1650)</f>
        <v/>
      </c>
      <c r="D1650">
        <f>IF(ISBLANK('ENGAGEMENTS 2026'!B1650),"",'ENGAGEMENTS 2026'!F1650)</f>
        <v/>
      </c>
      <c r="E1650">
        <f>IF(ISBLANK('ENGAGEMENTS 2026'!B1650),"",'ENGAGEMENTS 2026'!H1650)</f>
        <v/>
      </c>
      <c r="F1650">
        <f>IF(ISBLANK('ENGAGEMENTS 2026'!B1650),"",'ENGAGEMENTS 2026'!I1650)</f>
        <v/>
      </c>
      <c r="G1650">
        <f>IF(ISBLANK('ENGAGEMENTS 2026'!B1650),"",'ENGAGEMENTS 2026'!L1650)</f>
        <v/>
      </c>
      <c r="H1650">
        <f>IF(ISBLANK('ENGAGEMENTS 2026'!B1650),"",'ENGAGEMENTS 2026'!AE1650)</f>
        <v/>
      </c>
      <c r="I1650">
        <f>IF(ISBLANK('ENGAGEMENTS 2026'!B1650),"",'ENGAGEMENTS 2026'!G1650)</f>
        <v/>
      </c>
      <c r="J1650" s="275">
        <f>IF(ISBLANK('ENGAGEMENTS 2026'!B1650),"",IF(AND(OR($E1650="INFRUCTUEUX",$E1650="ANNULE"),$C1650="AOO-M"),'ENGAGEMENTS 2026'!O1650,IF($H1650="EN COURS DE PREENGAGEMENT",'ENGAGEMENTS 2026'!N1650,IF($H1650="PREENGAGE",IF($E1650="ATTRIBUE",'ENGAGEMENTS 2026'!AD1650,'ENGAGEMENTS 2026'!N1650),'ENGAGEMENTS 2026'!AD1650))))</f>
        <v/>
      </c>
      <c r="K1650" s="604">
        <f>IF(ISBLANK('ENGAGEMENTS 2026'!V1650),"",'ENGAGEMENTS 2026'!V1650)</f>
        <v/>
      </c>
      <c r="L1650" s="276">
        <f>IF($K1650="","",TODAY()-$K1650)</f>
        <v/>
      </c>
      <c r="M1650">
        <f>IF($A1650="","",IF($H1650="ENGAGE","Engagé",IF(AND($H1650="NON ENGAGE",OR($I1650="INFRUCTUEUX",$I1650="ANNULE")),"Clôturé sans suite","En cours")))</f>
        <v/>
      </c>
      <c r="N1650">
        <f>IF(ISBLANK('ENGAGEMENTS 2026'!B1650),"",'ENGAGEMENTS 2026'!K1650)</f>
        <v/>
      </c>
      <c r="O1650">
        <f>IF(ISBLANK('ENGAGEMENTS 2026'!B1650),"",'ENGAGEMENTS 2026'!L1650)</f>
        <v/>
      </c>
      <c r="P1650">
        <f>IF(ISBLANK('ENGAGEMENTS 2026'!B1650),"",'ENGAGEMENTS 2026'!J1650)</f>
        <v/>
      </c>
      <c r="Q1650">
        <f>IF($A1650="","",IF(OR($E1650="INFRUCTUEUX",$E1650="ANNULE"),$A1650&amp;"|"&amp;(COUNTIFS($A$2:$A1650,$A1650,$E$2:$E1650,"INFRUCTUEUX")+COUNTIFS($A$2:$A1650,$A1650,$E$2:$E1650,"ANNULE")),""))</f>
        <v/>
      </c>
    </row>
    <row r="1651">
      <c r="A1651">
        <f>IF(ISBLANK('ENGAGEMENTS 2026'!B1651),"",IF('ENGAGEMENTS 2026'!B1651="DTSI","DCT",'ENGAGEMENTS 2026'!B1651))</f>
        <v/>
      </c>
      <c r="B1651">
        <f>IF(ISBLANK('ENGAGEMENTS 2026'!B1651),"",'ENGAGEMENTS 2026'!C1651)</f>
        <v/>
      </c>
      <c r="C1651">
        <f>IF(ISBLANK('ENGAGEMENTS 2026'!B1651),"",'ENGAGEMENTS 2026'!D1651)</f>
        <v/>
      </c>
      <c r="D1651">
        <f>IF(ISBLANK('ENGAGEMENTS 2026'!B1651),"",'ENGAGEMENTS 2026'!F1651)</f>
        <v/>
      </c>
      <c r="E1651">
        <f>IF(ISBLANK('ENGAGEMENTS 2026'!B1651),"",'ENGAGEMENTS 2026'!H1651)</f>
        <v/>
      </c>
      <c r="F1651">
        <f>IF(ISBLANK('ENGAGEMENTS 2026'!B1651),"",'ENGAGEMENTS 2026'!I1651)</f>
        <v/>
      </c>
      <c r="G1651">
        <f>IF(ISBLANK('ENGAGEMENTS 2026'!B1651),"",'ENGAGEMENTS 2026'!L1651)</f>
        <v/>
      </c>
      <c r="H1651">
        <f>IF(ISBLANK('ENGAGEMENTS 2026'!B1651),"",'ENGAGEMENTS 2026'!AE1651)</f>
        <v/>
      </c>
      <c r="I1651">
        <f>IF(ISBLANK('ENGAGEMENTS 2026'!B1651),"",'ENGAGEMENTS 2026'!G1651)</f>
        <v/>
      </c>
      <c r="J1651" s="275">
        <f>IF(ISBLANK('ENGAGEMENTS 2026'!B1651),"",IF(AND(OR($E1651="INFRUCTUEUX",$E1651="ANNULE"),$C1651="AOO-M"),'ENGAGEMENTS 2026'!O1651,IF($H1651="EN COURS DE PREENGAGEMENT",'ENGAGEMENTS 2026'!N1651,IF($H1651="PREENGAGE",IF($E1651="ATTRIBUE",'ENGAGEMENTS 2026'!AD1651,'ENGAGEMENTS 2026'!N1651),'ENGAGEMENTS 2026'!AD1651))))</f>
        <v/>
      </c>
      <c r="K1651" s="604">
        <f>IF(ISBLANK('ENGAGEMENTS 2026'!V1651),"",'ENGAGEMENTS 2026'!V1651)</f>
        <v/>
      </c>
      <c r="L1651" s="276">
        <f>IF($K1651="","",TODAY()-$K1651)</f>
        <v/>
      </c>
      <c r="M1651">
        <f>IF($A1651="","",IF($H1651="ENGAGE","Engagé",IF(AND($H1651="NON ENGAGE",OR($I1651="INFRUCTUEUX",$I1651="ANNULE")),"Clôturé sans suite","En cours")))</f>
        <v/>
      </c>
      <c r="N1651">
        <f>IF(ISBLANK('ENGAGEMENTS 2026'!B1651),"",'ENGAGEMENTS 2026'!K1651)</f>
        <v/>
      </c>
      <c r="O1651">
        <f>IF(ISBLANK('ENGAGEMENTS 2026'!B1651),"",'ENGAGEMENTS 2026'!L1651)</f>
        <v/>
      </c>
      <c r="P1651">
        <f>IF(ISBLANK('ENGAGEMENTS 2026'!B1651),"",'ENGAGEMENTS 2026'!J1651)</f>
        <v/>
      </c>
      <c r="Q1651">
        <f>IF($A1651="","",IF(OR($E1651="INFRUCTUEUX",$E1651="ANNULE"),$A1651&amp;"|"&amp;(COUNTIFS($A$2:$A1651,$A1651,$E$2:$E1651,"INFRUCTUEUX")+COUNTIFS($A$2:$A1651,$A1651,$E$2:$E1651,"ANNULE")),""))</f>
        <v/>
      </c>
    </row>
    <row r="1652">
      <c r="A1652">
        <f>IF(ISBLANK('ENGAGEMENTS 2026'!B1652),"",IF('ENGAGEMENTS 2026'!B1652="DTSI","DCT",'ENGAGEMENTS 2026'!B1652))</f>
        <v/>
      </c>
      <c r="B1652">
        <f>IF(ISBLANK('ENGAGEMENTS 2026'!B1652),"",'ENGAGEMENTS 2026'!C1652)</f>
        <v/>
      </c>
      <c r="C1652">
        <f>IF(ISBLANK('ENGAGEMENTS 2026'!B1652),"",'ENGAGEMENTS 2026'!D1652)</f>
        <v/>
      </c>
      <c r="D1652">
        <f>IF(ISBLANK('ENGAGEMENTS 2026'!B1652),"",'ENGAGEMENTS 2026'!F1652)</f>
        <v/>
      </c>
      <c r="E1652">
        <f>IF(ISBLANK('ENGAGEMENTS 2026'!B1652),"",'ENGAGEMENTS 2026'!H1652)</f>
        <v/>
      </c>
      <c r="F1652">
        <f>IF(ISBLANK('ENGAGEMENTS 2026'!B1652),"",'ENGAGEMENTS 2026'!I1652)</f>
        <v/>
      </c>
      <c r="G1652">
        <f>IF(ISBLANK('ENGAGEMENTS 2026'!B1652),"",'ENGAGEMENTS 2026'!L1652)</f>
        <v/>
      </c>
      <c r="H1652">
        <f>IF(ISBLANK('ENGAGEMENTS 2026'!B1652),"",'ENGAGEMENTS 2026'!AE1652)</f>
        <v/>
      </c>
      <c r="I1652">
        <f>IF(ISBLANK('ENGAGEMENTS 2026'!B1652),"",'ENGAGEMENTS 2026'!G1652)</f>
        <v/>
      </c>
      <c r="J1652" s="275">
        <f>IF(ISBLANK('ENGAGEMENTS 2026'!B1652),"",IF(AND(OR($E1652="INFRUCTUEUX",$E1652="ANNULE"),$C1652="AOO-M"),'ENGAGEMENTS 2026'!O1652,IF($H1652="EN COURS DE PREENGAGEMENT",'ENGAGEMENTS 2026'!N1652,IF($H1652="PREENGAGE",IF($E1652="ATTRIBUE",'ENGAGEMENTS 2026'!AD1652,'ENGAGEMENTS 2026'!N1652),'ENGAGEMENTS 2026'!AD1652))))</f>
        <v/>
      </c>
      <c r="K1652" s="604">
        <f>IF(ISBLANK('ENGAGEMENTS 2026'!V1652),"",'ENGAGEMENTS 2026'!V1652)</f>
        <v/>
      </c>
      <c r="L1652" s="276">
        <f>IF($K1652="","",TODAY()-$K1652)</f>
        <v/>
      </c>
      <c r="M1652">
        <f>IF($A1652="","",IF($H1652="ENGAGE","Engagé",IF(AND($H1652="NON ENGAGE",OR($I1652="INFRUCTUEUX",$I1652="ANNULE")),"Clôturé sans suite","En cours")))</f>
        <v/>
      </c>
      <c r="N1652">
        <f>IF(ISBLANK('ENGAGEMENTS 2026'!B1652),"",'ENGAGEMENTS 2026'!K1652)</f>
        <v/>
      </c>
      <c r="O1652">
        <f>IF(ISBLANK('ENGAGEMENTS 2026'!B1652),"",'ENGAGEMENTS 2026'!L1652)</f>
        <v/>
      </c>
      <c r="P1652">
        <f>IF(ISBLANK('ENGAGEMENTS 2026'!B1652),"",'ENGAGEMENTS 2026'!J1652)</f>
        <v/>
      </c>
      <c r="Q1652">
        <f>IF($A1652="","",IF(OR($E1652="INFRUCTUEUX",$E1652="ANNULE"),$A1652&amp;"|"&amp;(COUNTIFS($A$2:$A1652,$A1652,$E$2:$E1652,"INFRUCTUEUX")+COUNTIFS($A$2:$A1652,$A1652,$E$2:$E1652,"ANNULE")),""))</f>
        <v/>
      </c>
    </row>
    <row r="1653">
      <c r="A1653">
        <f>IF(ISBLANK('ENGAGEMENTS 2026'!B1653),"",IF('ENGAGEMENTS 2026'!B1653="DTSI","DCT",'ENGAGEMENTS 2026'!B1653))</f>
        <v/>
      </c>
      <c r="B1653">
        <f>IF(ISBLANK('ENGAGEMENTS 2026'!B1653),"",'ENGAGEMENTS 2026'!C1653)</f>
        <v/>
      </c>
      <c r="C1653">
        <f>IF(ISBLANK('ENGAGEMENTS 2026'!B1653),"",'ENGAGEMENTS 2026'!D1653)</f>
        <v/>
      </c>
      <c r="D1653">
        <f>IF(ISBLANK('ENGAGEMENTS 2026'!B1653),"",'ENGAGEMENTS 2026'!F1653)</f>
        <v/>
      </c>
      <c r="E1653">
        <f>IF(ISBLANK('ENGAGEMENTS 2026'!B1653),"",'ENGAGEMENTS 2026'!H1653)</f>
        <v/>
      </c>
      <c r="F1653">
        <f>IF(ISBLANK('ENGAGEMENTS 2026'!B1653),"",'ENGAGEMENTS 2026'!I1653)</f>
        <v/>
      </c>
      <c r="G1653">
        <f>IF(ISBLANK('ENGAGEMENTS 2026'!B1653),"",'ENGAGEMENTS 2026'!L1653)</f>
        <v/>
      </c>
      <c r="H1653">
        <f>IF(ISBLANK('ENGAGEMENTS 2026'!B1653),"",'ENGAGEMENTS 2026'!AE1653)</f>
        <v/>
      </c>
      <c r="I1653">
        <f>IF(ISBLANK('ENGAGEMENTS 2026'!B1653),"",'ENGAGEMENTS 2026'!G1653)</f>
        <v/>
      </c>
      <c r="J1653" s="275">
        <f>IF(ISBLANK('ENGAGEMENTS 2026'!B1653),"",IF(AND(OR($E1653="INFRUCTUEUX",$E1653="ANNULE"),$C1653="AOO-M"),'ENGAGEMENTS 2026'!O1653,IF($H1653="EN COURS DE PREENGAGEMENT",'ENGAGEMENTS 2026'!N1653,IF($H1653="PREENGAGE",IF($E1653="ATTRIBUE",'ENGAGEMENTS 2026'!AD1653,'ENGAGEMENTS 2026'!N1653),'ENGAGEMENTS 2026'!AD1653))))</f>
        <v/>
      </c>
      <c r="K1653" s="604">
        <f>IF(ISBLANK('ENGAGEMENTS 2026'!V1653),"",'ENGAGEMENTS 2026'!V1653)</f>
        <v/>
      </c>
      <c r="L1653" s="276">
        <f>IF($K1653="","",TODAY()-$K1653)</f>
        <v/>
      </c>
      <c r="M1653">
        <f>IF($A1653="","",IF($H1653="ENGAGE","Engagé",IF(AND($H1653="NON ENGAGE",OR($I1653="INFRUCTUEUX",$I1653="ANNULE")),"Clôturé sans suite","En cours")))</f>
        <v/>
      </c>
      <c r="N1653">
        <f>IF(ISBLANK('ENGAGEMENTS 2026'!B1653),"",'ENGAGEMENTS 2026'!K1653)</f>
        <v/>
      </c>
      <c r="O1653">
        <f>IF(ISBLANK('ENGAGEMENTS 2026'!B1653),"",'ENGAGEMENTS 2026'!L1653)</f>
        <v/>
      </c>
      <c r="P1653">
        <f>IF(ISBLANK('ENGAGEMENTS 2026'!B1653),"",'ENGAGEMENTS 2026'!J1653)</f>
        <v/>
      </c>
      <c r="Q1653">
        <f>IF($A1653="","",IF(OR($E1653="INFRUCTUEUX",$E1653="ANNULE"),$A1653&amp;"|"&amp;(COUNTIFS($A$2:$A1653,$A1653,$E$2:$E1653,"INFRUCTUEUX")+COUNTIFS($A$2:$A1653,$A1653,$E$2:$E1653,"ANNULE")),""))</f>
        <v/>
      </c>
    </row>
    <row r="1654">
      <c r="A1654">
        <f>IF(ISBLANK('ENGAGEMENTS 2026'!B1654),"",IF('ENGAGEMENTS 2026'!B1654="DTSI","DCT",'ENGAGEMENTS 2026'!B1654))</f>
        <v/>
      </c>
      <c r="B1654">
        <f>IF(ISBLANK('ENGAGEMENTS 2026'!B1654),"",'ENGAGEMENTS 2026'!C1654)</f>
        <v/>
      </c>
      <c r="C1654">
        <f>IF(ISBLANK('ENGAGEMENTS 2026'!B1654),"",'ENGAGEMENTS 2026'!D1654)</f>
        <v/>
      </c>
      <c r="D1654">
        <f>IF(ISBLANK('ENGAGEMENTS 2026'!B1654),"",'ENGAGEMENTS 2026'!F1654)</f>
        <v/>
      </c>
      <c r="E1654">
        <f>IF(ISBLANK('ENGAGEMENTS 2026'!B1654),"",'ENGAGEMENTS 2026'!H1654)</f>
        <v/>
      </c>
      <c r="F1654">
        <f>IF(ISBLANK('ENGAGEMENTS 2026'!B1654),"",'ENGAGEMENTS 2026'!I1654)</f>
        <v/>
      </c>
      <c r="G1654">
        <f>IF(ISBLANK('ENGAGEMENTS 2026'!B1654),"",'ENGAGEMENTS 2026'!L1654)</f>
        <v/>
      </c>
      <c r="H1654">
        <f>IF(ISBLANK('ENGAGEMENTS 2026'!B1654),"",'ENGAGEMENTS 2026'!AE1654)</f>
        <v/>
      </c>
      <c r="I1654">
        <f>IF(ISBLANK('ENGAGEMENTS 2026'!B1654),"",'ENGAGEMENTS 2026'!G1654)</f>
        <v/>
      </c>
      <c r="J1654" s="275">
        <f>IF(ISBLANK('ENGAGEMENTS 2026'!B1654),"",IF(AND(OR($E1654="INFRUCTUEUX",$E1654="ANNULE"),$C1654="AOO-M"),'ENGAGEMENTS 2026'!O1654,IF($H1654="EN COURS DE PREENGAGEMENT",'ENGAGEMENTS 2026'!N1654,IF($H1654="PREENGAGE",IF($E1654="ATTRIBUE",'ENGAGEMENTS 2026'!AD1654,'ENGAGEMENTS 2026'!N1654),'ENGAGEMENTS 2026'!AD1654))))</f>
        <v/>
      </c>
      <c r="K1654" s="604">
        <f>IF(ISBLANK('ENGAGEMENTS 2026'!V1654),"",'ENGAGEMENTS 2026'!V1654)</f>
        <v/>
      </c>
      <c r="L1654" s="276">
        <f>IF($K1654="","",TODAY()-$K1654)</f>
        <v/>
      </c>
      <c r="M1654">
        <f>IF($A1654="","",IF($H1654="ENGAGE","Engagé",IF(AND($H1654="NON ENGAGE",OR($I1654="INFRUCTUEUX",$I1654="ANNULE")),"Clôturé sans suite","En cours")))</f>
        <v/>
      </c>
      <c r="N1654">
        <f>IF(ISBLANK('ENGAGEMENTS 2026'!B1654),"",'ENGAGEMENTS 2026'!K1654)</f>
        <v/>
      </c>
      <c r="O1654">
        <f>IF(ISBLANK('ENGAGEMENTS 2026'!B1654),"",'ENGAGEMENTS 2026'!L1654)</f>
        <v/>
      </c>
      <c r="P1654">
        <f>IF(ISBLANK('ENGAGEMENTS 2026'!B1654),"",'ENGAGEMENTS 2026'!J1654)</f>
        <v/>
      </c>
      <c r="Q1654">
        <f>IF($A1654="","",IF(OR($E1654="INFRUCTUEUX",$E1654="ANNULE"),$A1654&amp;"|"&amp;(COUNTIFS($A$2:$A1654,$A1654,$E$2:$E1654,"INFRUCTUEUX")+COUNTIFS($A$2:$A1654,$A1654,$E$2:$E1654,"ANNULE")),""))</f>
        <v/>
      </c>
    </row>
    <row r="1655">
      <c r="A1655">
        <f>IF(ISBLANK('ENGAGEMENTS 2026'!B1655),"",IF('ENGAGEMENTS 2026'!B1655="DTSI","DCT",'ENGAGEMENTS 2026'!B1655))</f>
        <v/>
      </c>
      <c r="B1655">
        <f>IF(ISBLANK('ENGAGEMENTS 2026'!B1655),"",'ENGAGEMENTS 2026'!C1655)</f>
        <v/>
      </c>
      <c r="C1655">
        <f>IF(ISBLANK('ENGAGEMENTS 2026'!B1655),"",'ENGAGEMENTS 2026'!D1655)</f>
        <v/>
      </c>
      <c r="D1655">
        <f>IF(ISBLANK('ENGAGEMENTS 2026'!B1655),"",'ENGAGEMENTS 2026'!F1655)</f>
        <v/>
      </c>
      <c r="E1655">
        <f>IF(ISBLANK('ENGAGEMENTS 2026'!B1655),"",'ENGAGEMENTS 2026'!H1655)</f>
        <v/>
      </c>
      <c r="F1655">
        <f>IF(ISBLANK('ENGAGEMENTS 2026'!B1655),"",'ENGAGEMENTS 2026'!I1655)</f>
        <v/>
      </c>
      <c r="G1655">
        <f>IF(ISBLANK('ENGAGEMENTS 2026'!B1655),"",'ENGAGEMENTS 2026'!L1655)</f>
        <v/>
      </c>
      <c r="H1655">
        <f>IF(ISBLANK('ENGAGEMENTS 2026'!B1655),"",'ENGAGEMENTS 2026'!AE1655)</f>
        <v/>
      </c>
      <c r="I1655">
        <f>IF(ISBLANK('ENGAGEMENTS 2026'!B1655),"",'ENGAGEMENTS 2026'!G1655)</f>
        <v/>
      </c>
      <c r="J1655" s="275">
        <f>IF(ISBLANK('ENGAGEMENTS 2026'!B1655),"",IF(AND(OR($E1655="INFRUCTUEUX",$E1655="ANNULE"),$C1655="AOO-M"),'ENGAGEMENTS 2026'!O1655,IF($H1655="EN COURS DE PREENGAGEMENT",'ENGAGEMENTS 2026'!N1655,IF($H1655="PREENGAGE",IF($E1655="ATTRIBUE",'ENGAGEMENTS 2026'!AD1655,'ENGAGEMENTS 2026'!N1655),'ENGAGEMENTS 2026'!AD1655))))</f>
        <v/>
      </c>
      <c r="K1655" s="604">
        <f>IF(ISBLANK('ENGAGEMENTS 2026'!V1655),"",'ENGAGEMENTS 2026'!V1655)</f>
        <v/>
      </c>
      <c r="L1655" s="276">
        <f>IF($K1655="","",TODAY()-$K1655)</f>
        <v/>
      </c>
      <c r="M1655">
        <f>IF($A1655="","",IF($H1655="ENGAGE","Engagé",IF(AND($H1655="NON ENGAGE",OR($I1655="INFRUCTUEUX",$I1655="ANNULE")),"Clôturé sans suite","En cours")))</f>
        <v/>
      </c>
      <c r="N1655">
        <f>IF(ISBLANK('ENGAGEMENTS 2026'!B1655),"",'ENGAGEMENTS 2026'!K1655)</f>
        <v/>
      </c>
      <c r="O1655">
        <f>IF(ISBLANK('ENGAGEMENTS 2026'!B1655),"",'ENGAGEMENTS 2026'!L1655)</f>
        <v/>
      </c>
      <c r="P1655">
        <f>IF(ISBLANK('ENGAGEMENTS 2026'!B1655),"",'ENGAGEMENTS 2026'!J1655)</f>
        <v/>
      </c>
      <c r="Q1655">
        <f>IF($A1655="","",IF(OR($E1655="INFRUCTUEUX",$E1655="ANNULE"),$A1655&amp;"|"&amp;(COUNTIFS($A$2:$A1655,$A1655,$E$2:$E1655,"INFRUCTUEUX")+COUNTIFS($A$2:$A1655,$A1655,$E$2:$E1655,"ANNULE")),""))</f>
        <v/>
      </c>
    </row>
    <row r="1656">
      <c r="A1656">
        <f>IF(ISBLANK('ENGAGEMENTS 2026'!B1656),"",IF('ENGAGEMENTS 2026'!B1656="DTSI","DCT",'ENGAGEMENTS 2026'!B1656))</f>
        <v/>
      </c>
      <c r="B1656">
        <f>IF(ISBLANK('ENGAGEMENTS 2026'!B1656),"",'ENGAGEMENTS 2026'!C1656)</f>
        <v/>
      </c>
      <c r="C1656">
        <f>IF(ISBLANK('ENGAGEMENTS 2026'!B1656),"",'ENGAGEMENTS 2026'!D1656)</f>
        <v/>
      </c>
      <c r="D1656">
        <f>IF(ISBLANK('ENGAGEMENTS 2026'!B1656),"",'ENGAGEMENTS 2026'!F1656)</f>
        <v/>
      </c>
      <c r="E1656">
        <f>IF(ISBLANK('ENGAGEMENTS 2026'!B1656),"",'ENGAGEMENTS 2026'!H1656)</f>
        <v/>
      </c>
      <c r="F1656">
        <f>IF(ISBLANK('ENGAGEMENTS 2026'!B1656),"",'ENGAGEMENTS 2026'!I1656)</f>
        <v/>
      </c>
      <c r="G1656">
        <f>IF(ISBLANK('ENGAGEMENTS 2026'!B1656),"",'ENGAGEMENTS 2026'!L1656)</f>
        <v/>
      </c>
      <c r="H1656">
        <f>IF(ISBLANK('ENGAGEMENTS 2026'!B1656),"",'ENGAGEMENTS 2026'!AE1656)</f>
        <v/>
      </c>
      <c r="I1656">
        <f>IF(ISBLANK('ENGAGEMENTS 2026'!B1656),"",'ENGAGEMENTS 2026'!G1656)</f>
        <v/>
      </c>
      <c r="J1656" s="275">
        <f>IF(ISBLANK('ENGAGEMENTS 2026'!B1656),"",IF(AND(OR($E1656="INFRUCTUEUX",$E1656="ANNULE"),$C1656="AOO-M"),'ENGAGEMENTS 2026'!O1656,IF($H1656="EN COURS DE PREENGAGEMENT",'ENGAGEMENTS 2026'!N1656,IF($H1656="PREENGAGE",IF($E1656="ATTRIBUE",'ENGAGEMENTS 2026'!AD1656,'ENGAGEMENTS 2026'!N1656),'ENGAGEMENTS 2026'!AD1656))))</f>
        <v/>
      </c>
      <c r="K1656" s="604">
        <f>IF(ISBLANK('ENGAGEMENTS 2026'!V1656),"",'ENGAGEMENTS 2026'!V1656)</f>
        <v/>
      </c>
      <c r="L1656" s="276">
        <f>IF($K1656="","",TODAY()-$K1656)</f>
        <v/>
      </c>
      <c r="M1656">
        <f>IF($A1656="","",IF($H1656="ENGAGE","Engagé",IF(AND($H1656="NON ENGAGE",OR($I1656="INFRUCTUEUX",$I1656="ANNULE")),"Clôturé sans suite","En cours")))</f>
        <v/>
      </c>
      <c r="N1656">
        <f>IF(ISBLANK('ENGAGEMENTS 2026'!B1656),"",'ENGAGEMENTS 2026'!K1656)</f>
        <v/>
      </c>
      <c r="O1656">
        <f>IF(ISBLANK('ENGAGEMENTS 2026'!B1656),"",'ENGAGEMENTS 2026'!L1656)</f>
        <v/>
      </c>
      <c r="P1656">
        <f>IF(ISBLANK('ENGAGEMENTS 2026'!B1656),"",'ENGAGEMENTS 2026'!J1656)</f>
        <v/>
      </c>
      <c r="Q1656">
        <f>IF($A1656="","",IF(OR($E1656="INFRUCTUEUX",$E1656="ANNULE"),$A1656&amp;"|"&amp;(COUNTIFS($A$2:$A1656,$A1656,$E$2:$E1656,"INFRUCTUEUX")+COUNTIFS($A$2:$A1656,$A1656,$E$2:$E1656,"ANNULE")),""))</f>
        <v/>
      </c>
    </row>
    <row r="1657">
      <c r="A1657">
        <f>IF(ISBLANK('ENGAGEMENTS 2026'!B1657),"",IF('ENGAGEMENTS 2026'!B1657="DTSI","DCT",'ENGAGEMENTS 2026'!B1657))</f>
        <v/>
      </c>
      <c r="B1657">
        <f>IF(ISBLANK('ENGAGEMENTS 2026'!B1657),"",'ENGAGEMENTS 2026'!C1657)</f>
        <v/>
      </c>
      <c r="C1657">
        <f>IF(ISBLANK('ENGAGEMENTS 2026'!B1657),"",'ENGAGEMENTS 2026'!D1657)</f>
        <v/>
      </c>
      <c r="D1657">
        <f>IF(ISBLANK('ENGAGEMENTS 2026'!B1657),"",'ENGAGEMENTS 2026'!F1657)</f>
        <v/>
      </c>
      <c r="E1657">
        <f>IF(ISBLANK('ENGAGEMENTS 2026'!B1657),"",'ENGAGEMENTS 2026'!H1657)</f>
        <v/>
      </c>
      <c r="F1657">
        <f>IF(ISBLANK('ENGAGEMENTS 2026'!B1657),"",'ENGAGEMENTS 2026'!I1657)</f>
        <v/>
      </c>
      <c r="G1657">
        <f>IF(ISBLANK('ENGAGEMENTS 2026'!B1657),"",'ENGAGEMENTS 2026'!L1657)</f>
        <v/>
      </c>
      <c r="H1657">
        <f>IF(ISBLANK('ENGAGEMENTS 2026'!B1657),"",'ENGAGEMENTS 2026'!AE1657)</f>
        <v/>
      </c>
      <c r="I1657">
        <f>IF(ISBLANK('ENGAGEMENTS 2026'!B1657),"",'ENGAGEMENTS 2026'!G1657)</f>
        <v/>
      </c>
      <c r="J1657" s="275">
        <f>IF(ISBLANK('ENGAGEMENTS 2026'!B1657),"",IF(AND(OR($E1657="INFRUCTUEUX",$E1657="ANNULE"),$C1657="AOO-M"),'ENGAGEMENTS 2026'!O1657,IF($H1657="EN COURS DE PREENGAGEMENT",'ENGAGEMENTS 2026'!N1657,IF($H1657="PREENGAGE",IF($E1657="ATTRIBUE",'ENGAGEMENTS 2026'!AD1657,'ENGAGEMENTS 2026'!N1657),'ENGAGEMENTS 2026'!AD1657))))</f>
        <v/>
      </c>
      <c r="K1657" s="604">
        <f>IF(ISBLANK('ENGAGEMENTS 2026'!V1657),"",'ENGAGEMENTS 2026'!V1657)</f>
        <v/>
      </c>
      <c r="L1657" s="276">
        <f>IF($K1657="","",TODAY()-$K1657)</f>
        <v/>
      </c>
      <c r="M1657">
        <f>IF($A1657="","",IF($H1657="ENGAGE","Engagé",IF(AND($H1657="NON ENGAGE",OR($I1657="INFRUCTUEUX",$I1657="ANNULE")),"Clôturé sans suite","En cours")))</f>
        <v/>
      </c>
      <c r="N1657">
        <f>IF(ISBLANK('ENGAGEMENTS 2026'!B1657),"",'ENGAGEMENTS 2026'!K1657)</f>
        <v/>
      </c>
      <c r="O1657">
        <f>IF(ISBLANK('ENGAGEMENTS 2026'!B1657),"",'ENGAGEMENTS 2026'!L1657)</f>
        <v/>
      </c>
      <c r="P1657">
        <f>IF(ISBLANK('ENGAGEMENTS 2026'!B1657),"",'ENGAGEMENTS 2026'!J1657)</f>
        <v/>
      </c>
      <c r="Q1657">
        <f>IF($A1657="","",IF(OR($E1657="INFRUCTUEUX",$E1657="ANNULE"),$A1657&amp;"|"&amp;(COUNTIFS($A$2:$A1657,$A1657,$E$2:$E1657,"INFRUCTUEUX")+COUNTIFS($A$2:$A1657,$A1657,$E$2:$E1657,"ANNULE")),""))</f>
        <v/>
      </c>
    </row>
    <row r="1658">
      <c r="A1658">
        <f>IF(ISBLANK('ENGAGEMENTS 2026'!B1658),"",IF('ENGAGEMENTS 2026'!B1658="DTSI","DCT",'ENGAGEMENTS 2026'!B1658))</f>
        <v/>
      </c>
      <c r="B1658">
        <f>IF(ISBLANK('ENGAGEMENTS 2026'!B1658),"",'ENGAGEMENTS 2026'!C1658)</f>
        <v/>
      </c>
      <c r="C1658">
        <f>IF(ISBLANK('ENGAGEMENTS 2026'!B1658),"",'ENGAGEMENTS 2026'!D1658)</f>
        <v/>
      </c>
      <c r="D1658">
        <f>IF(ISBLANK('ENGAGEMENTS 2026'!B1658),"",'ENGAGEMENTS 2026'!F1658)</f>
        <v/>
      </c>
      <c r="E1658">
        <f>IF(ISBLANK('ENGAGEMENTS 2026'!B1658),"",'ENGAGEMENTS 2026'!H1658)</f>
        <v/>
      </c>
      <c r="F1658">
        <f>IF(ISBLANK('ENGAGEMENTS 2026'!B1658),"",'ENGAGEMENTS 2026'!I1658)</f>
        <v/>
      </c>
      <c r="G1658">
        <f>IF(ISBLANK('ENGAGEMENTS 2026'!B1658),"",'ENGAGEMENTS 2026'!L1658)</f>
        <v/>
      </c>
      <c r="H1658">
        <f>IF(ISBLANK('ENGAGEMENTS 2026'!B1658),"",'ENGAGEMENTS 2026'!AE1658)</f>
        <v/>
      </c>
      <c r="I1658">
        <f>IF(ISBLANK('ENGAGEMENTS 2026'!B1658),"",'ENGAGEMENTS 2026'!G1658)</f>
        <v/>
      </c>
      <c r="J1658" s="275">
        <f>IF(ISBLANK('ENGAGEMENTS 2026'!B1658),"",IF(AND(OR($E1658="INFRUCTUEUX",$E1658="ANNULE"),$C1658="AOO-M"),'ENGAGEMENTS 2026'!O1658,IF($H1658="EN COURS DE PREENGAGEMENT",'ENGAGEMENTS 2026'!N1658,IF($H1658="PREENGAGE",IF($E1658="ATTRIBUE",'ENGAGEMENTS 2026'!AD1658,'ENGAGEMENTS 2026'!N1658),'ENGAGEMENTS 2026'!AD1658))))</f>
        <v/>
      </c>
      <c r="K1658" s="604">
        <f>IF(ISBLANK('ENGAGEMENTS 2026'!V1658),"",'ENGAGEMENTS 2026'!V1658)</f>
        <v/>
      </c>
      <c r="L1658" s="276">
        <f>IF($K1658="","",TODAY()-$K1658)</f>
        <v/>
      </c>
      <c r="M1658">
        <f>IF($A1658="","",IF($H1658="ENGAGE","Engagé",IF(AND($H1658="NON ENGAGE",OR($I1658="INFRUCTUEUX",$I1658="ANNULE")),"Clôturé sans suite","En cours")))</f>
        <v/>
      </c>
      <c r="N1658">
        <f>IF(ISBLANK('ENGAGEMENTS 2026'!B1658),"",'ENGAGEMENTS 2026'!K1658)</f>
        <v/>
      </c>
      <c r="O1658">
        <f>IF(ISBLANK('ENGAGEMENTS 2026'!B1658),"",'ENGAGEMENTS 2026'!L1658)</f>
        <v/>
      </c>
      <c r="P1658">
        <f>IF(ISBLANK('ENGAGEMENTS 2026'!B1658),"",'ENGAGEMENTS 2026'!J1658)</f>
        <v/>
      </c>
      <c r="Q1658">
        <f>IF($A1658="","",IF(OR($E1658="INFRUCTUEUX",$E1658="ANNULE"),$A1658&amp;"|"&amp;(COUNTIFS($A$2:$A1658,$A1658,$E$2:$E1658,"INFRUCTUEUX")+COUNTIFS($A$2:$A1658,$A1658,$E$2:$E1658,"ANNULE")),""))</f>
        <v/>
      </c>
    </row>
    <row r="1659">
      <c r="A1659">
        <f>IF(ISBLANK('ENGAGEMENTS 2026'!B1659),"",IF('ENGAGEMENTS 2026'!B1659="DTSI","DCT",'ENGAGEMENTS 2026'!B1659))</f>
        <v/>
      </c>
      <c r="B1659">
        <f>IF(ISBLANK('ENGAGEMENTS 2026'!B1659),"",'ENGAGEMENTS 2026'!C1659)</f>
        <v/>
      </c>
      <c r="C1659">
        <f>IF(ISBLANK('ENGAGEMENTS 2026'!B1659),"",'ENGAGEMENTS 2026'!D1659)</f>
        <v/>
      </c>
      <c r="D1659">
        <f>IF(ISBLANK('ENGAGEMENTS 2026'!B1659),"",'ENGAGEMENTS 2026'!F1659)</f>
        <v/>
      </c>
      <c r="E1659">
        <f>IF(ISBLANK('ENGAGEMENTS 2026'!B1659),"",'ENGAGEMENTS 2026'!H1659)</f>
        <v/>
      </c>
      <c r="F1659">
        <f>IF(ISBLANK('ENGAGEMENTS 2026'!B1659),"",'ENGAGEMENTS 2026'!I1659)</f>
        <v/>
      </c>
      <c r="G1659">
        <f>IF(ISBLANK('ENGAGEMENTS 2026'!B1659),"",'ENGAGEMENTS 2026'!L1659)</f>
        <v/>
      </c>
      <c r="H1659">
        <f>IF(ISBLANK('ENGAGEMENTS 2026'!B1659),"",'ENGAGEMENTS 2026'!AE1659)</f>
        <v/>
      </c>
      <c r="I1659">
        <f>IF(ISBLANK('ENGAGEMENTS 2026'!B1659),"",'ENGAGEMENTS 2026'!G1659)</f>
        <v/>
      </c>
      <c r="J1659" s="275">
        <f>IF(ISBLANK('ENGAGEMENTS 2026'!B1659),"",IF(AND(OR($E1659="INFRUCTUEUX",$E1659="ANNULE"),$C1659="AOO-M"),'ENGAGEMENTS 2026'!O1659,IF($H1659="EN COURS DE PREENGAGEMENT",'ENGAGEMENTS 2026'!N1659,IF($H1659="PREENGAGE",IF($E1659="ATTRIBUE",'ENGAGEMENTS 2026'!AD1659,'ENGAGEMENTS 2026'!N1659),'ENGAGEMENTS 2026'!AD1659))))</f>
        <v/>
      </c>
      <c r="K1659" s="604">
        <f>IF(ISBLANK('ENGAGEMENTS 2026'!V1659),"",'ENGAGEMENTS 2026'!V1659)</f>
        <v/>
      </c>
      <c r="L1659" s="276">
        <f>IF($K1659="","",TODAY()-$K1659)</f>
        <v/>
      </c>
      <c r="M1659">
        <f>IF($A1659="","",IF($H1659="ENGAGE","Engagé",IF(AND($H1659="NON ENGAGE",OR($I1659="INFRUCTUEUX",$I1659="ANNULE")),"Clôturé sans suite","En cours")))</f>
        <v/>
      </c>
      <c r="N1659">
        <f>IF(ISBLANK('ENGAGEMENTS 2026'!B1659),"",'ENGAGEMENTS 2026'!K1659)</f>
        <v/>
      </c>
      <c r="O1659">
        <f>IF(ISBLANK('ENGAGEMENTS 2026'!B1659),"",'ENGAGEMENTS 2026'!L1659)</f>
        <v/>
      </c>
      <c r="P1659">
        <f>IF(ISBLANK('ENGAGEMENTS 2026'!B1659),"",'ENGAGEMENTS 2026'!J1659)</f>
        <v/>
      </c>
      <c r="Q1659">
        <f>IF($A1659="","",IF(OR($E1659="INFRUCTUEUX",$E1659="ANNULE"),$A1659&amp;"|"&amp;(COUNTIFS($A$2:$A1659,$A1659,$E$2:$E1659,"INFRUCTUEUX")+COUNTIFS($A$2:$A1659,$A1659,$E$2:$E1659,"ANNULE")),""))</f>
        <v/>
      </c>
    </row>
    <row r="1660">
      <c r="A1660">
        <f>IF(ISBLANK('ENGAGEMENTS 2026'!B1660),"",IF('ENGAGEMENTS 2026'!B1660="DTSI","DCT",'ENGAGEMENTS 2026'!B1660))</f>
        <v/>
      </c>
      <c r="B1660">
        <f>IF(ISBLANK('ENGAGEMENTS 2026'!B1660),"",'ENGAGEMENTS 2026'!C1660)</f>
        <v/>
      </c>
      <c r="C1660">
        <f>IF(ISBLANK('ENGAGEMENTS 2026'!B1660),"",'ENGAGEMENTS 2026'!D1660)</f>
        <v/>
      </c>
      <c r="D1660">
        <f>IF(ISBLANK('ENGAGEMENTS 2026'!B1660),"",'ENGAGEMENTS 2026'!F1660)</f>
        <v/>
      </c>
      <c r="E1660">
        <f>IF(ISBLANK('ENGAGEMENTS 2026'!B1660),"",'ENGAGEMENTS 2026'!H1660)</f>
        <v/>
      </c>
      <c r="F1660">
        <f>IF(ISBLANK('ENGAGEMENTS 2026'!B1660),"",'ENGAGEMENTS 2026'!I1660)</f>
        <v/>
      </c>
      <c r="G1660">
        <f>IF(ISBLANK('ENGAGEMENTS 2026'!B1660),"",'ENGAGEMENTS 2026'!L1660)</f>
        <v/>
      </c>
      <c r="H1660">
        <f>IF(ISBLANK('ENGAGEMENTS 2026'!B1660),"",'ENGAGEMENTS 2026'!AE1660)</f>
        <v/>
      </c>
      <c r="I1660">
        <f>IF(ISBLANK('ENGAGEMENTS 2026'!B1660),"",'ENGAGEMENTS 2026'!G1660)</f>
        <v/>
      </c>
      <c r="J1660" s="275">
        <f>IF(ISBLANK('ENGAGEMENTS 2026'!B1660),"",IF(AND(OR($E1660="INFRUCTUEUX",$E1660="ANNULE"),$C1660="AOO-M"),'ENGAGEMENTS 2026'!O1660,IF($H1660="EN COURS DE PREENGAGEMENT",'ENGAGEMENTS 2026'!N1660,IF($H1660="PREENGAGE",IF($E1660="ATTRIBUE",'ENGAGEMENTS 2026'!AD1660,'ENGAGEMENTS 2026'!N1660),'ENGAGEMENTS 2026'!AD1660))))</f>
        <v/>
      </c>
      <c r="K1660" s="604">
        <f>IF(ISBLANK('ENGAGEMENTS 2026'!V1660),"",'ENGAGEMENTS 2026'!V1660)</f>
        <v/>
      </c>
      <c r="L1660" s="276">
        <f>IF($K1660="","",TODAY()-$K1660)</f>
        <v/>
      </c>
      <c r="M1660">
        <f>IF($A1660="","",IF($H1660="ENGAGE","Engagé",IF(AND($H1660="NON ENGAGE",OR($I1660="INFRUCTUEUX",$I1660="ANNULE")),"Clôturé sans suite","En cours")))</f>
        <v/>
      </c>
      <c r="N1660">
        <f>IF(ISBLANK('ENGAGEMENTS 2026'!B1660),"",'ENGAGEMENTS 2026'!K1660)</f>
        <v/>
      </c>
      <c r="O1660">
        <f>IF(ISBLANK('ENGAGEMENTS 2026'!B1660),"",'ENGAGEMENTS 2026'!L1660)</f>
        <v/>
      </c>
      <c r="P1660">
        <f>IF(ISBLANK('ENGAGEMENTS 2026'!B1660),"",'ENGAGEMENTS 2026'!J1660)</f>
        <v/>
      </c>
      <c r="Q1660">
        <f>IF($A1660="","",IF(OR($E1660="INFRUCTUEUX",$E1660="ANNULE"),$A1660&amp;"|"&amp;(COUNTIFS($A$2:$A1660,$A1660,$E$2:$E1660,"INFRUCTUEUX")+COUNTIFS($A$2:$A1660,$A1660,$E$2:$E1660,"ANNULE")),""))</f>
        <v/>
      </c>
    </row>
    <row r="1661">
      <c r="A1661">
        <f>IF(ISBLANK('ENGAGEMENTS 2026'!B1661),"",IF('ENGAGEMENTS 2026'!B1661="DTSI","DCT",'ENGAGEMENTS 2026'!B1661))</f>
        <v/>
      </c>
      <c r="B1661">
        <f>IF(ISBLANK('ENGAGEMENTS 2026'!B1661),"",'ENGAGEMENTS 2026'!C1661)</f>
        <v/>
      </c>
      <c r="C1661">
        <f>IF(ISBLANK('ENGAGEMENTS 2026'!B1661),"",'ENGAGEMENTS 2026'!D1661)</f>
        <v/>
      </c>
      <c r="D1661">
        <f>IF(ISBLANK('ENGAGEMENTS 2026'!B1661),"",'ENGAGEMENTS 2026'!F1661)</f>
        <v/>
      </c>
      <c r="E1661">
        <f>IF(ISBLANK('ENGAGEMENTS 2026'!B1661),"",'ENGAGEMENTS 2026'!H1661)</f>
        <v/>
      </c>
      <c r="F1661">
        <f>IF(ISBLANK('ENGAGEMENTS 2026'!B1661),"",'ENGAGEMENTS 2026'!I1661)</f>
        <v/>
      </c>
      <c r="G1661">
        <f>IF(ISBLANK('ENGAGEMENTS 2026'!B1661),"",'ENGAGEMENTS 2026'!L1661)</f>
        <v/>
      </c>
      <c r="H1661">
        <f>IF(ISBLANK('ENGAGEMENTS 2026'!B1661),"",'ENGAGEMENTS 2026'!AE1661)</f>
        <v/>
      </c>
      <c r="I1661">
        <f>IF(ISBLANK('ENGAGEMENTS 2026'!B1661),"",'ENGAGEMENTS 2026'!G1661)</f>
        <v/>
      </c>
      <c r="J1661" s="275">
        <f>IF(ISBLANK('ENGAGEMENTS 2026'!B1661),"",IF(AND(OR($E1661="INFRUCTUEUX",$E1661="ANNULE"),$C1661="AOO-M"),'ENGAGEMENTS 2026'!O1661,IF($H1661="EN COURS DE PREENGAGEMENT",'ENGAGEMENTS 2026'!N1661,IF($H1661="PREENGAGE",IF($E1661="ATTRIBUE",'ENGAGEMENTS 2026'!AD1661,'ENGAGEMENTS 2026'!N1661),'ENGAGEMENTS 2026'!AD1661))))</f>
        <v/>
      </c>
      <c r="K1661" s="604">
        <f>IF(ISBLANK('ENGAGEMENTS 2026'!V1661),"",'ENGAGEMENTS 2026'!V1661)</f>
        <v/>
      </c>
      <c r="L1661" s="276">
        <f>IF($K1661="","",TODAY()-$K1661)</f>
        <v/>
      </c>
      <c r="M1661">
        <f>IF($A1661="","",IF($H1661="ENGAGE","Engagé",IF(AND($H1661="NON ENGAGE",OR($I1661="INFRUCTUEUX",$I1661="ANNULE")),"Clôturé sans suite","En cours")))</f>
        <v/>
      </c>
      <c r="N1661">
        <f>IF(ISBLANK('ENGAGEMENTS 2026'!B1661),"",'ENGAGEMENTS 2026'!K1661)</f>
        <v/>
      </c>
      <c r="O1661">
        <f>IF(ISBLANK('ENGAGEMENTS 2026'!B1661),"",'ENGAGEMENTS 2026'!L1661)</f>
        <v/>
      </c>
      <c r="P1661">
        <f>IF(ISBLANK('ENGAGEMENTS 2026'!B1661),"",'ENGAGEMENTS 2026'!J1661)</f>
        <v/>
      </c>
      <c r="Q1661">
        <f>IF($A1661="","",IF(OR($E1661="INFRUCTUEUX",$E1661="ANNULE"),$A1661&amp;"|"&amp;(COUNTIFS($A$2:$A1661,$A1661,$E$2:$E1661,"INFRUCTUEUX")+COUNTIFS($A$2:$A1661,$A1661,$E$2:$E1661,"ANNULE")),""))</f>
        <v/>
      </c>
    </row>
    <row r="1662">
      <c r="A1662">
        <f>IF(ISBLANK('ENGAGEMENTS 2026'!B1662),"",IF('ENGAGEMENTS 2026'!B1662="DTSI","DCT",'ENGAGEMENTS 2026'!B1662))</f>
        <v/>
      </c>
      <c r="B1662">
        <f>IF(ISBLANK('ENGAGEMENTS 2026'!B1662),"",'ENGAGEMENTS 2026'!C1662)</f>
        <v/>
      </c>
      <c r="C1662">
        <f>IF(ISBLANK('ENGAGEMENTS 2026'!B1662),"",'ENGAGEMENTS 2026'!D1662)</f>
        <v/>
      </c>
      <c r="D1662">
        <f>IF(ISBLANK('ENGAGEMENTS 2026'!B1662),"",'ENGAGEMENTS 2026'!F1662)</f>
        <v/>
      </c>
      <c r="E1662">
        <f>IF(ISBLANK('ENGAGEMENTS 2026'!B1662),"",'ENGAGEMENTS 2026'!H1662)</f>
        <v/>
      </c>
      <c r="F1662">
        <f>IF(ISBLANK('ENGAGEMENTS 2026'!B1662),"",'ENGAGEMENTS 2026'!I1662)</f>
        <v/>
      </c>
      <c r="G1662">
        <f>IF(ISBLANK('ENGAGEMENTS 2026'!B1662),"",'ENGAGEMENTS 2026'!L1662)</f>
        <v/>
      </c>
      <c r="H1662">
        <f>IF(ISBLANK('ENGAGEMENTS 2026'!B1662),"",'ENGAGEMENTS 2026'!AE1662)</f>
        <v/>
      </c>
      <c r="I1662">
        <f>IF(ISBLANK('ENGAGEMENTS 2026'!B1662),"",'ENGAGEMENTS 2026'!G1662)</f>
        <v/>
      </c>
      <c r="J1662" s="275">
        <f>IF(ISBLANK('ENGAGEMENTS 2026'!B1662),"",IF(AND(OR($E1662="INFRUCTUEUX",$E1662="ANNULE"),$C1662="AOO-M"),'ENGAGEMENTS 2026'!O1662,IF($H1662="EN COURS DE PREENGAGEMENT",'ENGAGEMENTS 2026'!N1662,IF($H1662="PREENGAGE",IF($E1662="ATTRIBUE",'ENGAGEMENTS 2026'!AD1662,'ENGAGEMENTS 2026'!N1662),'ENGAGEMENTS 2026'!AD1662))))</f>
        <v/>
      </c>
      <c r="K1662" s="604">
        <f>IF(ISBLANK('ENGAGEMENTS 2026'!V1662),"",'ENGAGEMENTS 2026'!V1662)</f>
        <v/>
      </c>
      <c r="L1662" s="276">
        <f>IF($K1662="","",TODAY()-$K1662)</f>
        <v/>
      </c>
      <c r="M1662">
        <f>IF($A1662="","",IF($H1662="ENGAGE","Engagé",IF(AND($H1662="NON ENGAGE",OR($I1662="INFRUCTUEUX",$I1662="ANNULE")),"Clôturé sans suite","En cours")))</f>
        <v/>
      </c>
      <c r="N1662">
        <f>IF(ISBLANK('ENGAGEMENTS 2026'!B1662),"",'ENGAGEMENTS 2026'!K1662)</f>
        <v/>
      </c>
      <c r="O1662">
        <f>IF(ISBLANK('ENGAGEMENTS 2026'!B1662),"",'ENGAGEMENTS 2026'!L1662)</f>
        <v/>
      </c>
      <c r="P1662">
        <f>IF(ISBLANK('ENGAGEMENTS 2026'!B1662),"",'ENGAGEMENTS 2026'!J1662)</f>
        <v/>
      </c>
      <c r="Q1662">
        <f>IF($A1662="","",IF(OR($E1662="INFRUCTUEUX",$E1662="ANNULE"),$A1662&amp;"|"&amp;(COUNTIFS($A$2:$A1662,$A1662,$E$2:$E1662,"INFRUCTUEUX")+COUNTIFS($A$2:$A1662,$A1662,$E$2:$E1662,"ANNULE")),""))</f>
        <v/>
      </c>
    </row>
    <row r="1663">
      <c r="A1663">
        <f>IF(ISBLANK('ENGAGEMENTS 2026'!B1663),"",IF('ENGAGEMENTS 2026'!B1663="DTSI","DCT",'ENGAGEMENTS 2026'!B1663))</f>
        <v/>
      </c>
      <c r="B1663">
        <f>IF(ISBLANK('ENGAGEMENTS 2026'!B1663),"",'ENGAGEMENTS 2026'!C1663)</f>
        <v/>
      </c>
      <c r="C1663">
        <f>IF(ISBLANK('ENGAGEMENTS 2026'!B1663),"",'ENGAGEMENTS 2026'!D1663)</f>
        <v/>
      </c>
      <c r="D1663">
        <f>IF(ISBLANK('ENGAGEMENTS 2026'!B1663),"",'ENGAGEMENTS 2026'!F1663)</f>
        <v/>
      </c>
      <c r="E1663">
        <f>IF(ISBLANK('ENGAGEMENTS 2026'!B1663),"",'ENGAGEMENTS 2026'!H1663)</f>
        <v/>
      </c>
      <c r="F1663">
        <f>IF(ISBLANK('ENGAGEMENTS 2026'!B1663),"",'ENGAGEMENTS 2026'!I1663)</f>
        <v/>
      </c>
      <c r="G1663">
        <f>IF(ISBLANK('ENGAGEMENTS 2026'!B1663),"",'ENGAGEMENTS 2026'!L1663)</f>
        <v/>
      </c>
      <c r="H1663">
        <f>IF(ISBLANK('ENGAGEMENTS 2026'!B1663),"",'ENGAGEMENTS 2026'!AE1663)</f>
        <v/>
      </c>
      <c r="I1663">
        <f>IF(ISBLANK('ENGAGEMENTS 2026'!B1663),"",'ENGAGEMENTS 2026'!G1663)</f>
        <v/>
      </c>
      <c r="J1663" s="275">
        <f>IF(ISBLANK('ENGAGEMENTS 2026'!B1663),"",IF(AND(OR($E1663="INFRUCTUEUX",$E1663="ANNULE"),$C1663="AOO-M"),'ENGAGEMENTS 2026'!O1663,IF($H1663="EN COURS DE PREENGAGEMENT",'ENGAGEMENTS 2026'!N1663,IF($H1663="PREENGAGE",IF($E1663="ATTRIBUE",'ENGAGEMENTS 2026'!AD1663,'ENGAGEMENTS 2026'!N1663),'ENGAGEMENTS 2026'!AD1663))))</f>
        <v/>
      </c>
      <c r="K1663" s="604">
        <f>IF(ISBLANK('ENGAGEMENTS 2026'!V1663),"",'ENGAGEMENTS 2026'!V1663)</f>
        <v/>
      </c>
      <c r="L1663" s="276">
        <f>IF($K1663="","",TODAY()-$K1663)</f>
        <v/>
      </c>
      <c r="M1663">
        <f>IF($A1663="","",IF($H1663="ENGAGE","Engagé",IF(AND($H1663="NON ENGAGE",OR($I1663="INFRUCTUEUX",$I1663="ANNULE")),"Clôturé sans suite","En cours")))</f>
        <v/>
      </c>
      <c r="N1663">
        <f>IF(ISBLANK('ENGAGEMENTS 2026'!B1663),"",'ENGAGEMENTS 2026'!K1663)</f>
        <v/>
      </c>
      <c r="O1663">
        <f>IF(ISBLANK('ENGAGEMENTS 2026'!B1663),"",'ENGAGEMENTS 2026'!L1663)</f>
        <v/>
      </c>
      <c r="P1663">
        <f>IF(ISBLANK('ENGAGEMENTS 2026'!B1663),"",'ENGAGEMENTS 2026'!J1663)</f>
        <v/>
      </c>
      <c r="Q1663">
        <f>IF($A1663="","",IF(OR($E1663="INFRUCTUEUX",$E1663="ANNULE"),$A1663&amp;"|"&amp;(COUNTIFS($A$2:$A1663,$A1663,$E$2:$E1663,"INFRUCTUEUX")+COUNTIFS($A$2:$A1663,$A1663,$E$2:$E1663,"ANNULE")),""))</f>
        <v/>
      </c>
    </row>
    <row r="1664">
      <c r="A1664">
        <f>IF(ISBLANK('ENGAGEMENTS 2026'!B1664),"",IF('ENGAGEMENTS 2026'!B1664="DTSI","DCT",'ENGAGEMENTS 2026'!B1664))</f>
        <v/>
      </c>
      <c r="B1664">
        <f>IF(ISBLANK('ENGAGEMENTS 2026'!B1664),"",'ENGAGEMENTS 2026'!C1664)</f>
        <v/>
      </c>
      <c r="C1664">
        <f>IF(ISBLANK('ENGAGEMENTS 2026'!B1664),"",'ENGAGEMENTS 2026'!D1664)</f>
        <v/>
      </c>
      <c r="D1664">
        <f>IF(ISBLANK('ENGAGEMENTS 2026'!B1664),"",'ENGAGEMENTS 2026'!F1664)</f>
        <v/>
      </c>
      <c r="E1664">
        <f>IF(ISBLANK('ENGAGEMENTS 2026'!B1664),"",'ENGAGEMENTS 2026'!H1664)</f>
        <v/>
      </c>
      <c r="F1664">
        <f>IF(ISBLANK('ENGAGEMENTS 2026'!B1664),"",'ENGAGEMENTS 2026'!I1664)</f>
        <v/>
      </c>
      <c r="G1664">
        <f>IF(ISBLANK('ENGAGEMENTS 2026'!B1664),"",'ENGAGEMENTS 2026'!L1664)</f>
        <v/>
      </c>
      <c r="H1664">
        <f>IF(ISBLANK('ENGAGEMENTS 2026'!B1664),"",'ENGAGEMENTS 2026'!AE1664)</f>
        <v/>
      </c>
      <c r="I1664">
        <f>IF(ISBLANK('ENGAGEMENTS 2026'!B1664),"",'ENGAGEMENTS 2026'!G1664)</f>
        <v/>
      </c>
      <c r="J1664" s="275">
        <f>IF(ISBLANK('ENGAGEMENTS 2026'!B1664),"",IF(AND(OR($E1664="INFRUCTUEUX",$E1664="ANNULE"),$C1664="AOO-M"),'ENGAGEMENTS 2026'!O1664,IF($H1664="EN COURS DE PREENGAGEMENT",'ENGAGEMENTS 2026'!N1664,IF($H1664="PREENGAGE",IF($E1664="ATTRIBUE",'ENGAGEMENTS 2026'!AD1664,'ENGAGEMENTS 2026'!N1664),'ENGAGEMENTS 2026'!AD1664))))</f>
        <v/>
      </c>
      <c r="K1664" s="604">
        <f>IF(ISBLANK('ENGAGEMENTS 2026'!V1664),"",'ENGAGEMENTS 2026'!V1664)</f>
        <v/>
      </c>
      <c r="L1664" s="276">
        <f>IF($K1664="","",TODAY()-$K1664)</f>
        <v/>
      </c>
      <c r="M1664">
        <f>IF($A1664="","",IF($H1664="ENGAGE","Engagé",IF(AND($H1664="NON ENGAGE",OR($I1664="INFRUCTUEUX",$I1664="ANNULE")),"Clôturé sans suite","En cours")))</f>
        <v/>
      </c>
      <c r="N1664">
        <f>IF(ISBLANK('ENGAGEMENTS 2026'!B1664),"",'ENGAGEMENTS 2026'!K1664)</f>
        <v/>
      </c>
      <c r="O1664">
        <f>IF(ISBLANK('ENGAGEMENTS 2026'!B1664),"",'ENGAGEMENTS 2026'!L1664)</f>
        <v/>
      </c>
      <c r="P1664">
        <f>IF(ISBLANK('ENGAGEMENTS 2026'!B1664),"",'ENGAGEMENTS 2026'!J1664)</f>
        <v/>
      </c>
      <c r="Q1664">
        <f>IF($A1664="","",IF(OR($E1664="INFRUCTUEUX",$E1664="ANNULE"),$A1664&amp;"|"&amp;(COUNTIFS($A$2:$A1664,$A1664,$E$2:$E1664,"INFRUCTUEUX")+COUNTIFS($A$2:$A1664,$A1664,$E$2:$E1664,"ANNULE")),""))</f>
        <v/>
      </c>
    </row>
    <row r="1665">
      <c r="A1665">
        <f>IF(ISBLANK('ENGAGEMENTS 2026'!B1665),"",IF('ENGAGEMENTS 2026'!B1665="DTSI","DCT",'ENGAGEMENTS 2026'!B1665))</f>
        <v/>
      </c>
      <c r="B1665">
        <f>IF(ISBLANK('ENGAGEMENTS 2026'!B1665),"",'ENGAGEMENTS 2026'!C1665)</f>
        <v/>
      </c>
      <c r="C1665">
        <f>IF(ISBLANK('ENGAGEMENTS 2026'!B1665),"",'ENGAGEMENTS 2026'!D1665)</f>
        <v/>
      </c>
      <c r="D1665">
        <f>IF(ISBLANK('ENGAGEMENTS 2026'!B1665),"",'ENGAGEMENTS 2026'!F1665)</f>
        <v/>
      </c>
      <c r="E1665">
        <f>IF(ISBLANK('ENGAGEMENTS 2026'!B1665),"",'ENGAGEMENTS 2026'!H1665)</f>
        <v/>
      </c>
      <c r="F1665">
        <f>IF(ISBLANK('ENGAGEMENTS 2026'!B1665),"",'ENGAGEMENTS 2026'!I1665)</f>
        <v/>
      </c>
      <c r="G1665">
        <f>IF(ISBLANK('ENGAGEMENTS 2026'!B1665),"",'ENGAGEMENTS 2026'!L1665)</f>
        <v/>
      </c>
      <c r="H1665">
        <f>IF(ISBLANK('ENGAGEMENTS 2026'!B1665),"",'ENGAGEMENTS 2026'!AE1665)</f>
        <v/>
      </c>
      <c r="I1665">
        <f>IF(ISBLANK('ENGAGEMENTS 2026'!B1665),"",'ENGAGEMENTS 2026'!G1665)</f>
        <v/>
      </c>
      <c r="J1665" s="275">
        <f>IF(ISBLANK('ENGAGEMENTS 2026'!B1665),"",IF(AND(OR($E1665="INFRUCTUEUX",$E1665="ANNULE"),$C1665="AOO-M"),'ENGAGEMENTS 2026'!O1665,IF($H1665="EN COURS DE PREENGAGEMENT",'ENGAGEMENTS 2026'!N1665,IF($H1665="PREENGAGE",IF($E1665="ATTRIBUE",'ENGAGEMENTS 2026'!AD1665,'ENGAGEMENTS 2026'!N1665),'ENGAGEMENTS 2026'!AD1665))))</f>
        <v/>
      </c>
      <c r="K1665" s="604">
        <f>IF(ISBLANK('ENGAGEMENTS 2026'!V1665),"",'ENGAGEMENTS 2026'!V1665)</f>
        <v/>
      </c>
      <c r="L1665" s="276">
        <f>IF($K1665="","",TODAY()-$K1665)</f>
        <v/>
      </c>
      <c r="M1665">
        <f>IF($A1665="","",IF($H1665="ENGAGE","Engagé",IF(AND($H1665="NON ENGAGE",OR($I1665="INFRUCTUEUX",$I1665="ANNULE")),"Clôturé sans suite","En cours")))</f>
        <v/>
      </c>
      <c r="N1665">
        <f>IF(ISBLANK('ENGAGEMENTS 2026'!B1665),"",'ENGAGEMENTS 2026'!K1665)</f>
        <v/>
      </c>
      <c r="O1665">
        <f>IF(ISBLANK('ENGAGEMENTS 2026'!B1665),"",'ENGAGEMENTS 2026'!L1665)</f>
        <v/>
      </c>
      <c r="P1665">
        <f>IF(ISBLANK('ENGAGEMENTS 2026'!B1665),"",'ENGAGEMENTS 2026'!J1665)</f>
        <v/>
      </c>
      <c r="Q1665">
        <f>IF($A1665="","",IF(OR($E1665="INFRUCTUEUX",$E1665="ANNULE"),$A1665&amp;"|"&amp;(COUNTIFS($A$2:$A1665,$A1665,$E$2:$E1665,"INFRUCTUEUX")+COUNTIFS($A$2:$A1665,$A1665,$E$2:$E1665,"ANNULE")),""))</f>
        <v/>
      </c>
    </row>
    <row r="1666">
      <c r="A1666">
        <f>IF(ISBLANK('ENGAGEMENTS 2026'!B1666),"",IF('ENGAGEMENTS 2026'!B1666="DTSI","DCT",'ENGAGEMENTS 2026'!B1666))</f>
        <v/>
      </c>
      <c r="B1666">
        <f>IF(ISBLANK('ENGAGEMENTS 2026'!B1666),"",'ENGAGEMENTS 2026'!C1666)</f>
        <v/>
      </c>
      <c r="C1666">
        <f>IF(ISBLANK('ENGAGEMENTS 2026'!B1666),"",'ENGAGEMENTS 2026'!D1666)</f>
        <v/>
      </c>
      <c r="D1666">
        <f>IF(ISBLANK('ENGAGEMENTS 2026'!B1666),"",'ENGAGEMENTS 2026'!F1666)</f>
        <v/>
      </c>
      <c r="E1666">
        <f>IF(ISBLANK('ENGAGEMENTS 2026'!B1666),"",'ENGAGEMENTS 2026'!H1666)</f>
        <v/>
      </c>
      <c r="F1666">
        <f>IF(ISBLANK('ENGAGEMENTS 2026'!B1666),"",'ENGAGEMENTS 2026'!I1666)</f>
        <v/>
      </c>
      <c r="G1666">
        <f>IF(ISBLANK('ENGAGEMENTS 2026'!B1666),"",'ENGAGEMENTS 2026'!L1666)</f>
        <v/>
      </c>
      <c r="H1666">
        <f>IF(ISBLANK('ENGAGEMENTS 2026'!B1666),"",'ENGAGEMENTS 2026'!AE1666)</f>
        <v/>
      </c>
      <c r="I1666">
        <f>IF(ISBLANK('ENGAGEMENTS 2026'!B1666),"",'ENGAGEMENTS 2026'!G1666)</f>
        <v/>
      </c>
      <c r="J1666" s="275">
        <f>IF(ISBLANK('ENGAGEMENTS 2026'!B1666),"",IF(AND(OR($E1666="INFRUCTUEUX",$E1666="ANNULE"),$C1666="AOO-M"),'ENGAGEMENTS 2026'!O1666,IF($H1666="EN COURS DE PREENGAGEMENT",'ENGAGEMENTS 2026'!N1666,IF($H1666="PREENGAGE",IF($E1666="ATTRIBUE",'ENGAGEMENTS 2026'!AD1666,'ENGAGEMENTS 2026'!N1666),'ENGAGEMENTS 2026'!AD1666))))</f>
        <v/>
      </c>
      <c r="K1666" s="604">
        <f>IF(ISBLANK('ENGAGEMENTS 2026'!V1666),"",'ENGAGEMENTS 2026'!V1666)</f>
        <v/>
      </c>
      <c r="L1666" s="276">
        <f>IF($K1666="","",TODAY()-$K1666)</f>
        <v/>
      </c>
      <c r="M1666">
        <f>IF($A1666="","",IF($H1666="ENGAGE","Engagé",IF(AND($H1666="NON ENGAGE",OR($I1666="INFRUCTUEUX",$I1666="ANNULE")),"Clôturé sans suite","En cours")))</f>
        <v/>
      </c>
      <c r="N1666">
        <f>IF(ISBLANK('ENGAGEMENTS 2026'!B1666),"",'ENGAGEMENTS 2026'!K1666)</f>
        <v/>
      </c>
      <c r="O1666">
        <f>IF(ISBLANK('ENGAGEMENTS 2026'!B1666),"",'ENGAGEMENTS 2026'!L1666)</f>
        <v/>
      </c>
      <c r="P1666">
        <f>IF(ISBLANK('ENGAGEMENTS 2026'!B1666),"",'ENGAGEMENTS 2026'!J1666)</f>
        <v/>
      </c>
      <c r="Q1666">
        <f>IF($A1666="","",IF(OR($E1666="INFRUCTUEUX",$E1666="ANNULE"),$A1666&amp;"|"&amp;(COUNTIFS($A$2:$A1666,$A1666,$E$2:$E1666,"INFRUCTUEUX")+COUNTIFS($A$2:$A1666,$A1666,$E$2:$E1666,"ANNULE")),""))</f>
        <v/>
      </c>
    </row>
    <row r="1667">
      <c r="A1667">
        <f>IF(ISBLANK('ENGAGEMENTS 2026'!B1667),"",IF('ENGAGEMENTS 2026'!B1667="DTSI","DCT",'ENGAGEMENTS 2026'!B1667))</f>
        <v/>
      </c>
      <c r="B1667">
        <f>IF(ISBLANK('ENGAGEMENTS 2026'!B1667),"",'ENGAGEMENTS 2026'!C1667)</f>
        <v/>
      </c>
      <c r="C1667">
        <f>IF(ISBLANK('ENGAGEMENTS 2026'!B1667),"",'ENGAGEMENTS 2026'!D1667)</f>
        <v/>
      </c>
      <c r="D1667">
        <f>IF(ISBLANK('ENGAGEMENTS 2026'!B1667),"",'ENGAGEMENTS 2026'!F1667)</f>
        <v/>
      </c>
      <c r="E1667">
        <f>IF(ISBLANK('ENGAGEMENTS 2026'!B1667),"",'ENGAGEMENTS 2026'!H1667)</f>
        <v/>
      </c>
      <c r="F1667">
        <f>IF(ISBLANK('ENGAGEMENTS 2026'!B1667),"",'ENGAGEMENTS 2026'!I1667)</f>
        <v/>
      </c>
      <c r="G1667">
        <f>IF(ISBLANK('ENGAGEMENTS 2026'!B1667),"",'ENGAGEMENTS 2026'!L1667)</f>
        <v/>
      </c>
      <c r="H1667">
        <f>IF(ISBLANK('ENGAGEMENTS 2026'!B1667),"",'ENGAGEMENTS 2026'!AE1667)</f>
        <v/>
      </c>
      <c r="I1667">
        <f>IF(ISBLANK('ENGAGEMENTS 2026'!B1667),"",'ENGAGEMENTS 2026'!G1667)</f>
        <v/>
      </c>
      <c r="J1667" s="275">
        <f>IF(ISBLANK('ENGAGEMENTS 2026'!B1667),"",IF(AND(OR($E1667="INFRUCTUEUX",$E1667="ANNULE"),$C1667="AOO-M"),'ENGAGEMENTS 2026'!O1667,IF($H1667="EN COURS DE PREENGAGEMENT",'ENGAGEMENTS 2026'!N1667,IF($H1667="PREENGAGE",IF($E1667="ATTRIBUE",'ENGAGEMENTS 2026'!AD1667,'ENGAGEMENTS 2026'!N1667),'ENGAGEMENTS 2026'!AD1667))))</f>
        <v/>
      </c>
      <c r="K1667" s="604">
        <f>IF(ISBLANK('ENGAGEMENTS 2026'!V1667),"",'ENGAGEMENTS 2026'!V1667)</f>
        <v/>
      </c>
      <c r="L1667" s="276">
        <f>IF($K1667="","",TODAY()-$K1667)</f>
        <v/>
      </c>
      <c r="M1667">
        <f>IF($A1667="","",IF($H1667="ENGAGE","Engagé",IF(AND($H1667="NON ENGAGE",OR($I1667="INFRUCTUEUX",$I1667="ANNULE")),"Clôturé sans suite","En cours")))</f>
        <v/>
      </c>
      <c r="N1667">
        <f>IF(ISBLANK('ENGAGEMENTS 2026'!B1667),"",'ENGAGEMENTS 2026'!K1667)</f>
        <v/>
      </c>
      <c r="O1667">
        <f>IF(ISBLANK('ENGAGEMENTS 2026'!B1667),"",'ENGAGEMENTS 2026'!L1667)</f>
        <v/>
      </c>
      <c r="P1667">
        <f>IF(ISBLANK('ENGAGEMENTS 2026'!B1667),"",'ENGAGEMENTS 2026'!J1667)</f>
        <v/>
      </c>
      <c r="Q1667">
        <f>IF($A1667="","",IF(OR($E1667="INFRUCTUEUX",$E1667="ANNULE"),$A1667&amp;"|"&amp;(COUNTIFS($A$2:$A1667,$A1667,$E$2:$E1667,"INFRUCTUEUX")+COUNTIFS($A$2:$A1667,$A1667,$E$2:$E1667,"ANNULE")),""))</f>
        <v/>
      </c>
    </row>
    <row r="1668">
      <c r="A1668">
        <f>IF(ISBLANK('ENGAGEMENTS 2026'!B1668),"",IF('ENGAGEMENTS 2026'!B1668="DTSI","DCT",'ENGAGEMENTS 2026'!B1668))</f>
        <v/>
      </c>
      <c r="B1668">
        <f>IF(ISBLANK('ENGAGEMENTS 2026'!B1668),"",'ENGAGEMENTS 2026'!C1668)</f>
        <v/>
      </c>
      <c r="C1668">
        <f>IF(ISBLANK('ENGAGEMENTS 2026'!B1668),"",'ENGAGEMENTS 2026'!D1668)</f>
        <v/>
      </c>
      <c r="D1668">
        <f>IF(ISBLANK('ENGAGEMENTS 2026'!B1668),"",'ENGAGEMENTS 2026'!F1668)</f>
        <v/>
      </c>
      <c r="E1668">
        <f>IF(ISBLANK('ENGAGEMENTS 2026'!B1668),"",'ENGAGEMENTS 2026'!H1668)</f>
        <v/>
      </c>
      <c r="F1668">
        <f>IF(ISBLANK('ENGAGEMENTS 2026'!B1668),"",'ENGAGEMENTS 2026'!I1668)</f>
        <v/>
      </c>
      <c r="G1668">
        <f>IF(ISBLANK('ENGAGEMENTS 2026'!B1668),"",'ENGAGEMENTS 2026'!L1668)</f>
        <v/>
      </c>
      <c r="H1668">
        <f>IF(ISBLANK('ENGAGEMENTS 2026'!B1668),"",'ENGAGEMENTS 2026'!AE1668)</f>
        <v/>
      </c>
      <c r="I1668">
        <f>IF(ISBLANK('ENGAGEMENTS 2026'!B1668),"",'ENGAGEMENTS 2026'!G1668)</f>
        <v/>
      </c>
      <c r="J1668" s="275">
        <f>IF(ISBLANK('ENGAGEMENTS 2026'!B1668),"",IF(AND(OR($E1668="INFRUCTUEUX",$E1668="ANNULE"),$C1668="AOO-M"),'ENGAGEMENTS 2026'!O1668,IF($H1668="EN COURS DE PREENGAGEMENT",'ENGAGEMENTS 2026'!N1668,IF($H1668="PREENGAGE",IF($E1668="ATTRIBUE",'ENGAGEMENTS 2026'!AD1668,'ENGAGEMENTS 2026'!N1668),'ENGAGEMENTS 2026'!AD1668))))</f>
        <v/>
      </c>
      <c r="K1668" s="604">
        <f>IF(ISBLANK('ENGAGEMENTS 2026'!V1668),"",'ENGAGEMENTS 2026'!V1668)</f>
        <v/>
      </c>
      <c r="L1668" s="276">
        <f>IF($K1668="","",TODAY()-$K1668)</f>
        <v/>
      </c>
      <c r="M1668">
        <f>IF($A1668="","",IF($H1668="ENGAGE","Engagé",IF(AND($H1668="NON ENGAGE",OR($I1668="INFRUCTUEUX",$I1668="ANNULE")),"Clôturé sans suite","En cours")))</f>
        <v/>
      </c>
      <c r="N1668">
        <f>IF(ISBLANK('ENGAGEMENTS 2026'!B1668),"",'ENGAGEMENTS 2026'!K1668)</f>
        <v/>
      </c>
      <c r="O1668">
        <f>IF(ISBLANK('ENGAGEMENTS 2026'!B1668),"",'ENGAGEMENTS 2026'!L1668)</f>
        <v/>
      </c>
      <c r="P1668">
        <f>IF(ISBLANK('ENGAGEMENTS 2026'!B1668),"",'ENGAGEMENTS 2026'!J1668)</f>
        <v/>
      </c>
      <c r="Q1668">
        <f>IF($A1668="","",IF(OR($E1668="INFRUCTUEUX",$E1668="ANNULE"),$A1668&amp;"|"&amp;(COUNTIFS($A$2:$A1668,$A1668,$E$2:$E1668,"INFRUCTUEUX")+COUNTIFS($A$2:$A1668,$A1668,$E$2:$E1668,"ANNULE")),""))</f>
        <v/>
      </c>
    </row>
    <row r="1669">
      <c r="A1669">
        <f>IF(ISBLANK('ENGAGEMENTS 2026'!B1669),"",IF('ENGAGEMENTS 2026'!B1669="DTSI","DCT",'ENGAGEMENTS 2026'!B1669))</f>
        <v/>
      </c>
      <c r="B1669">
        <f>IF(ISBLANK('ENGAGEMENTS 2026'!B1669),"",'ENGAGEMENTS 2026'!C1669)</f>
        <v/>
      </c>
      <c r="C1669">
        <f>IF(ISBLANK('ENGAGEMENTS 2026'!B1669),"",'ENGAGEMENTS 2026'!D1669)</f>
        <v/>
      </c>
      <c r="D1669">
        <f>IF(ISBLANK('ENGAGEMENTS 2026'!B1669),"",'ENGAGEMENTS 2026'!F1669)</f>
        <v/>
      </c>
      <c r="E1669">
        <f>IF(ISBLANK('ENGAGEMENTS 2026'!B1669),"",'ENGAGEMENTS 2026'!H1669)</f>
        <v/>
      </c>
      <c r="F1669">
        <f>IF(ISBLANK('ENGAGEMENTS 2026'!B1669),"",'ENGAGEMENTS 2026'!I1669)</f>
        <v/>
      </c>
      <c r="G1669">
        <f>IF(ISBLANK('ENGAGEMENTS 2026'!B1669),"",'ENGAGEMENTS 2026'!L1669)</f>
        <v/>
      </c>
      <c r="H1669">
        <f>IF(ISBLANK('ENGAGEMENTS 2026'!B1669),"",'ENGAGEMENTS 2026'!AE1669)</f>
        <v/>
      </c>
      <c r="I1669">
        <f>IF(ISBLANK('ENGAGEMENTS 2026'!B1669),"",'ENGAGEMENTS 2026'!G1669)</f>
        <v/>
      </c>
      <c r="J1669" s="275">
        <f>IF(ISBLANK('ENGAGEMENTS 2026'!B1669),"",IF(AND(OR($E1669="INFRUCTUEUX",$E1669="ANNULE"),$C1669="AOO-M"),'ENGAGEMENTS 2026'!O1669,IF($H1669="EN COURS DE PREENGAGEMENT",'ENGAGEMENTS 2026'!N1669,IF($H1669="PREENGAGE",IF($E1669="ATTRIBUE",'ENGAGEMENTS 2026'!AD1669,'ENGAGEMENTS 2026'!N1669),'ENGAGEMENTS 2026'!AD1669))))</f>
        <v/>
      </c>
      <c r="K1669" s="604">
        <f>IF(ISBLANK('ENGAGEMENTS 2026'!V1669),"",'ENGAGEMENTS 2026'!V1669)</f>
        <v/>
      </c>
      <c r="L1669" s="276">
        <f>IF($K1669="","",TODAY()-$K1669)</f>
        <v/>
      </c>
      <c r="M1669">
        <f>IF($A1669="","",IF($H1669="ENGAGE","Engagé",IF(AND($H1669="NON ENGAGE",OR($I1669="INFRUCTUEUX",$I1669="ANNULE")),"Clôturé sans suite","En cours")))</f>
        <v/>
      </c>
      <c r="N1669">
        <f>IF(ISBLANK('ENGAGEMENTS 2026'!B1669),"",'ENGAGEMENTS 2026'!K1669)</f>
        <v/>
      </c>
      <c r="O1669">
        <f>IF(ISBLANK('ENGAGEMENTS 2026'!B1669),"",'ENGAGEMENTS 2026'!L1669)</f>
        <v/>
      </c>
      <c r="P1669">
        <f>IF(ISBLANK('ENGAGEMENTS 2026'!B1669),"",'ENGAGEMENTS 2026'!J1669)</f>
        <v/>
      </c>
      <c r="Q1669">
        <f>IF($A1669="","",IF(OR($E1669="INFRUCTUEUX",$E1669="ANNULE"),$A1669&amp;"|"&amp;(COUNTIFS($A$2:$A1669,$A1669,$E$2:$E1669,"INFRUCTUEUX")+COUNTIFS($A$2:$A1669,$A1669,$E$2:$E1669,"ANNULE")),""))</f>
        <v/>
      </c>
    </row>
    <row r="1670">
      <c r="A1670">
        <f>IF(ISBLANK('ENGAGEMENTS 2026'!B1670),"",IF('ENGAGEMENTS 2026'!B1670="DTSI","DCT",'ENGAGEMENTS 2026'!B1670))</f>
        <v/>
      </c>
      <c r="B1670">
        <f>IF(ISBLANK('ENGAGEMENTS 2026'!B1670),"",'ENGAGEMENTS 2026'!C1670)</f>
        <v/>
      </c>
      <c r="C1670">
        <f>IF(ISBLANK('ENGAGEMENTS 2026'!B1670),"",'ENGAGEMENTS 2026'!D1670)</f>
        <v/>
      </c>
      <c r="D1670">
        <f>IF(ISBLANK('ENGAGEMENTS 2026'!B1670),"",'ENGAGEMENTS 2026'!F1670)</f>
        <v/>
      </c>
      <c r="E1670">
        <f>IF(ISBLANK('ENGAGEMENTS 2026'!B1670),"",'ENGAGEMENTS 2026'!H1670)</f>
        <v/>
      </c>
      <c r="F1670">
        <f>IF(ISBLANK('ENGAGEMENTS 2026'!B1670),"",'ENGAGEMENTS 2026'!I1670)</f>
        <v/>
      </c>
      <c r="G1670">
        <f>IF(ISBLANK('ENGAGEMENTS 2026'!B1670),"",'ENGAGEMENTS 2026'!L1670)</f>
        <v/>
      </c>
      <c r="H1670">
        <f>IF(ISBLANK('ENGAGEMENTS 2026'!B1670),"",'ENGAGEMENTS 2026'!AE1670)</f>
        <v/>
      </c>
      <c r="I1670">
        <f>IF(ISBLANK('ENGAGEMENTS 2026'!B1670),"",'ENGAGEMENTS 2026'!G1670)</f>
        <v/>
      </c>
      <c r="J1670" s="275">
        <f>IF(ISBLANK('ENGAGEMENTS 2026'!B1670),"",IF(AND(OR($E1670="INFRUCTUEUX",$E1670="ANNULE"),$C1670="AOO-M"),'ENGAGEMENTS 2026'!O1670,IF($H1670="EN COURS DE PREENGAGEMENT",'ENGAGEMENTS 2026'!N1670,IF($H1670="PREENGAGE",IF($E1670="ATTRIBUE",'ENGAGEMENTS 2026'!AD1670,'ENGAGEMENTS 2026'!N1670),'ENGAGEMENTS 2026'!AD1670))))</f>
        <v/>
      </c>
      <c r="K1670" s="604">
        <f>IF(ISBLANK('ENGAGEMENTS 2026'!V1670),"",'ENGAGEMENTS 2026'!V1670)</f>
        <v/>
      </c>
      <c r="L1670" s="276">
        <f>IF($K1670="","",TODAY()-$K1670)</f>
        <v/>
      </c>
      <c r="M1670">
        <f>IF($A1670="","",IF($H1670="ENGAGE","Engagé",IF(AND($H1670="NON ENGAGE",OR($I1670="INFRUCTUEUX",$I1670="ANNULE")),"Clôturé sans suite","En cours")))</f>
        <v/>
      </c>
      <c r="N1670">
        <f>IF(ISBLANK('ENGAGEMENTS 2026'!B1670),"",'ENGAGEMENTS 2026'!K1670)</f>
        <v/>
      </c>
      <c r="O1670">
        <f>IF(ISBLANK('ENGAGEMENTS 2026'!B1670),"",'ENGAGEMENTS 2026'!L1670)</f>
        <v/>
      </c>
      <c r="P1670">
        <f>IF(ISBLANK('ENGAGEMENTS 2026'!B1670),"",'ENGAGEMENTS 2026'!J1670)</f>
        <v/>
      </c>
      <c r="Q1670">
        <f>IF($A1670="","",IF(OR($E1670="INFRUCTUEUX",$E1670="ANNULE"),$A1670&amp;"|"&amp;(COUNTIFS($A$2:$A1670,$A1670,$E$2:$E1670,"INFRUCTUEUX")+COUNTIFS($A$2:$A1670,$A1670,$E$2:$E1670,"ANNULE")),""))</f>
        <v/>
      </c>
    </row>
    <row r="1671">
      <c r="A1671">
        <f>IF(ISBLANK('ENGAGEMENTS 2026'!B1671),"",IF('ENGAGEMENTS 2026'!B1671="DTSI","DCT",'ENGAGEMENTS 2026'!B1671))</f>
        <v/>
      </c>
      <c r="B1671">
        <f>IF(ISBLANK('ENGAGEMENTS 2026'!B1671),"",'ENGAGEMENTS 2026'!C1671)</f>
        <v/>
      </c>
      <c r="C1671">
        <f>IF(ISBLANK('ENGAGEMENTS 2026'!B1671),"",'ENGAGEMENTS 2026'!D1671)</f>
        <v/>
      </c>
      <c r="D1671">
        <f>IF(ISBLANK('ENGAGEMENTS 2026'!B1671),"",'ENGAGEMENTS 2026'!F1671)</f>
        <v/>
      </c>
      <c r="E1671">
        <f>IF(ISBLANK('ENGAGEMENTS 2026'!B1671),"",'ENGAGEMENTS 2026'!H1671)</f>
        <v/>
      </c>
      <c r="F1671">
        <f>IF(ISBLANK('ENGAGEMENTS 2026'!B1671),"",'ENGAGEMENTS 2026'!I1671)</f>
        <v/>
      </c>
      <c r="G1671">
        <f>IF(ISBLANK('ENGAGEMENTS 2026'!B1671),"",'ENGAGEMENTS 2026'!L1671)</f>
        <v/>
      </c>
      <c r="H1671">
        <f>IF(ISBLANK('ENGAGEMENTS 2026'!B1671),"",'ENGAGEMENTS 2026'!AE1671)</f>
        <v/>
      </c>
      <c r="I1671">
        <f>IF(ISBLANK('ENGAGEMENTS 2026'!B1671),"",'ENGAGEMENTS 2026'!G1671)</f>
        <v/>
      </c>
      <c r="J1671" s="275">
        <f>IF(ISBLANK('ENGAGEMENTS 2026'!B1671),"",IF(AND(OR($E1671="INFRUCTUEUX",$E1671="ANNULE"),$C1671="AOO-M"),'ENGAGEMENTS 2026'!O1671,IF($H1671="EN COURS DE PREENGAGEMENT",'ENGAGEMENTS 2026'!N1671,IF($H1671="PREENGAGE",IF($E1671="ATTRIBUE",'ENGAGEMENTS 2026'!AD1671,'ENGAGEMENTS 2026'!N1671),'ENGAGEMENTS 2026'!AD1671))))</f>
        <v/>
      </c>
      <c r="K1671" s="604">
        <f>IF(ISBLANK('ENGAGEMENTS 2026'!V1671),"",'ENGAGEMENTS 2026'!V1671)</f>
        <v/>
      </c>
      <c r="L1671" s="276">
        <f>IF($K1671="","",TODAY()-$K1671)</f>
        <v/>
      </c>
      <c r="M1671">
        <f>IF($A1671="","",IF($H1671="ENGAGE","Engagé",IF(AND($H1671="NON ENGAGE",OR($I1671="INFRUCTUEUX",$I1671="ANNULE")),"Clôturé sans suite","En cours")))</f>
        <v/>
      </c>
      <c r="N1671">
        <f>IF(ISBLANK('ENGAGEMENTS 2026'!B1671),"",'ENGAGEMENTS 2026'!K1671)</f>
        <v/>
      </c>
      <c r="O1671">
        <f>IF(ISBLANK('ENGAGEMENTS 2026'!B1671),"",'ENGAGEMENTS 2026'!L1671)</f>
        <v/>
      </c>
      <c r="P1671">
        <f>IF(ISBLANK('ENGAGEMENTS 2026'!B1671),"",'ENGAGEMENTS 2026'!J1671)</f>
        <v/>
      </c>
      <c r="Q1671">
        <f>IF($A1671="","",IF(OR($E1671="INFRUCTUEUX",$E1671="ANNULE"),$A1671&amp;"|"&amp;(COUNTIFS($A$2:$A1671,$A1671,$E$2:$E1671,"INFRUCTUEUX")+COUNTIFS($A$2:$A1671,$A1671,$E$2:$E1671,"ANNULE")),""))</f>
        <v/>
      </c>
    </row>
    <row r="1672">
      <c r="A1672">
        <f>IF(ISBLANK('ENGAGEMENTS 2026'!B1672),"",IF('ENGAGEMENTS 2026'!B1672="DTSI","DCT",'ENGAGEMENTS 2026'!B1672))</f>
        <v/>
      </c>
      <c r="B1672">
        <f>IF(ISBLANK('ENGAGEMENTS 2026'!B1672),"",'ENGAGEMENTS 2026'!C1672)</f>
        <v/>
      </c>
      <c r="C1672">
        <f>IF(ISBLANK('ENGAGEMENTS 2026'!B1672),"",'ENGAGEMENTS 2026'!D1672)</f>
        <v/>
      </c>
      <c r="D1672">
        <f>IF(ISBLANK('ENGAGEMENTS 2026'!B1672),"",'ENGAGEMENTS 2026'!F1672)</f>
        <v/>
      </c>
      <c r="E1672">
        <f>IF(ISBLANK('ENGAGEMENTS 2026'!B1672),"",'ENGAGEMENTS 2026'!H1672)</f>
        <v/>
      </c>
      <c r="F1672">
        <f>IF(ISBLANK('ENGAGEMENTS 2026'!B1672),"",'ENGAGEMENTS 2026'!I1672)</f>
        <v/>
      </c>
      <c r="G1672">
        <f>IF(ISBLANK('ENGAGEMENTS 2026'!B1672),"",'ENGAGEMENTS 2026'!L1672)</f>
        <v/>
      </c>
      <c r="H1672">
        <f>IF(ISBLANK('ENGAGEMENTS 2026'!B1672),"",'ENGAGEMENTS 2026'!AE1672)</f>
        <v/>
      </c>
      <c r="I1672">
        <f>IF(ISBLANK('ENGAGEMENTS 2026'!B1672),"",'ENGAGEMENTS 2026'!G1672)</f>
        <v/>
      </c>
      <c r="J1672" s="275">
        <f>IF(ISBLANK('ENGAGEMENTS 2026'!B1672),"",IF(AND(OR($E1672="INFRUCTUEUX",$E1672="ANNULE"),$C1672="AOO-M"),'ENGAGEMENTS 2026'!O1672,IF($H1672="EN COURS DE PREENGAGEMENT",'ENGAGEMENTS 2026'!N1672,IF($H1672="PREENGAGE",IF($E1672="ATTRIBUE",'ENGAGEMENTS 2026'!AD1672,'ENGAGEMENTS 2026'!N1672),'ENGAGEMENTS 2026'!AD1672))))</f>
        <v/>
      </c>
      <c r="K1672" s="604">
        <f>IF(ISBLANK('ENGAGEMENTS 2026'!V1672),"",'ENGAGEMENTS 2026'!V1672)</f>
        <v/>
      </c>
      <c r="L1672" s="276">
        <f>IF($K1672="","",TODAY()-$K1672)</f>
        <v/>
      </c>
      <c r="M1672">
        <f>IF($A1672="","",IF($H1672="ENGAGE","Engagé",IF(AND($H1672="NON ENGAGE",OR($I1672="INFRUCTUEUX",$I1672="ANNULE")),"Clôturé sans suite","En cours")))</f>
        <v/>
      </c>
      <c r="N1672">
        <f>IF(ISBLANK('ENGAGEMENTS 2026'!B1672),"",'ENGAGEMENTS 2026'!K1672)</f>
        <v/>
      </c>
      <c r="O1672">
        <f>IF(ISBLANK('ENGAGEMENTS 2026'!B1672),"",'ENGAGEMENTS 2026'!L1672)</f>
        <v/>
      </c>
      <c r="P1672">
        <f>IF(ISBLANK('ENGAGEMENTS 2026'!B1672),"",'ENGAGEMENTS 2026'!J1672)</f>
        <v/>
      </c>
      <c r="Q1672">
        <f>IF($A1672="","",IF(OR($E1672="INFRUCTUEUX",$E1672="ANNULE"),$A1672&amp;"|"&amp;(COUNTIFS($A$2:$A1672,$A1672,$E$2:$E1672,"INFRUCTUEUX")+COUNTIFS($A$2:$A1672,$A1672,$E$2:$E1672,"ANNULE")),""))</f>
        <v/>
      </c>
    </row>
    <row r="1673">
      <c r="A1673">
        <f>IF(ISBLANK('ENGAGEMENTS 2026'!B1673),"",IF('ENGAGEMENTS 2026'!B1673="DTSI","DCT",'ENGAGEMENTS 2026'!B1673))</f>
        <v/>
      </c>
      <c r="B1673">
        <f>IF(ISBLANK('ENGAGEMENTS 2026'!B1673),"",'ENGAGEMENTS 2026'!C1673)</f>
        <v/>
      </c>
      <c r="C1673">
        <f>IF(ISBLANK('ENGAGEMENTS 2026'!B1673),"",'ENGAGEMENTS 2026'!D1673)</f>
        <v/>
      </c>
      <c r="D1673">
        <f>IF(ISBLANK('ENGAGEMENTS 2026'!B1673),"",'ENGAGEMENTS 2026'!F1673)</f>
        <v/>
      </c>
      <c r="E1673">
        <f>IF(ISBLANK('ENGAGEMENTS 2026'!B1673),"",'ENGAGEMENTS 2026'!H1673)</f>
        <v/>
      </c>
      <c r="F1673">
        <f>IF(ISBLANK('ENGAGEMENTS 2026'!B1673),"",'ENGAGEMENTS 2026'!I1673)</f>
        <v/>
      </c>
      <c r="G1673">
        <f>IF(ISBLANK('ENGAGEMENTS 2026'!B1673),"",'ENGAGEMENTS 2026'!L1673)</f>
        <v/>
      </c>
      <c r="H1673">
        <f>IF(ISBLANK('ENGAGEMENTS 2026'!B1673),"",'ENGAGEMENTS 2026'!AE1673)</f>
        <v/>
      </c>
      <c r="I1673">
        <f>IF(ISBLANK('ENGAGEMENTS 2026'!B1673),"",'ENGAGEMENTS 2026'!G1673)</f>
        <v/>
      </c>
      <c r="J1673" s="275">
        <f>IF(ISBLANK('ENGAGEMENTS 2026'!B1673),"",IF(AND(OR($E1673="INFRUCTUEUX",$E1673="ANNULE"),$C1673="AOO-M"),'ENGAGEMENTS 2026'!O1673,IF($H1673="EN COURS DE PREENGAGEMENT",'ENGAGEMENTS 2026'!N1673,IF($H1673="PREENGAGE",IF($E1673="ATTRIBUE",'ENGAGEMENTS 2026'!AD1673,'ENGAGEMENTS 2026'!N1673),'ENGAGEMENTS 2026'!AD1673))))</f>
        <v/>
      </c>
      <c r="K1673" s="604">
        <f>IF(ISBLANK('ENGAGEMENTS 2026'!V1673),"",'ENGAGEMENTS 2026'!V1673)</f>
        <v/>
      </c>
      <c r="L1673" s="276">
        <f>IF($K1673="","",TODAY()-$K1673)</f>
        <v/>
      </c>
      <c r="M1673">
        <f>IF($A1673="","",IF($H1673="ENGAGE","Engagé",IF(AND($H1673="NON ENGAGE",OR($I1673="INFRUCTUEUX",$I1673="ANNULE")),"Clôturé sans suite","En cours")))</f>
        <v/>
      </c>
      <c r="N1673">
        <f>IF(ISBLANK('ENGAGEMENTS 2026'!B1673),"",'ENGAGEMENTS 2026'!K1673)</f>
        <v/>
      </c>
      <c r="O1673">
        <f>IF(ISBLANK('ENGAGEMENTS 2026'!B1673),"",'ENGAGEMENTS 2026'!L1673)</f>
        <v/>
      </c>
      <c r="P1673">
        <f>IF(ISBLANK('ENGAGEMENTS 2026'!B1673),"",'ENGAGEMENTS 2026'!J1673)</f>
        <v/>
      </c>
      <c r="Q1673">
        <f>IF($A1673="","",IF(OR($E1673="INFRUCTUEUX",$E1673="ANNULE"),$A1673&amp;"|"&amp;(COUNTIFS($A$2:$A1673,$A1673,$E$2:$E1673,"INFRUCTUEUX")+COUNTIFS($A$2:$A1673,$A1673,$E$2:$E1673,"ANNULE")),""))</f>
        <v/>
      </c>
    </row>
    <row r="1674">
      <c r="A1674">
        <f>IF(ISBLANK('ENGAGEMENTS 2026'!B1674),"",IF('ENGAGEMENTS 2026'!B1674="DTSI","DCT",'ENGAGEMENTS 2026'!B1674))</f>
        <v/>
      </c>
      <c r="B1674">
        <f>IF(ISBLANK('ENGAGEMENTS 2026'!B1674),"",'ENGAGEMENTS 2026'!C1674)</f>
        <v/>
      </c>
      <c r="C1674">
        <f>IF(ISBLANK('ENGAGEMENTS 2026'!B1674),"",'ENGAGEMENTS 2026'!D1674)</f>
        <v/>
      </c>
      <c r="D1674">
        <f>IF(ISBLANK('ENGAGEMENTS 2026'!B1674),"",'ENGAGEMENTS 2026'!F1674)</f>
        <v/>
      </c>
      <c r="E1674">
        <f>IF(ISBLANK('ENGAGEMENTS 2026'!B1674),"",'ENGAGEMENTS 2026'!H1674)</f>
        <v/>
      </c>
      <c r="F1674">
        <f>IF(ISBLANK('ENGAGEMENTS 2026'!B1674),"",'ENGAGEMENTS 2026'!I1674)</f>
        <v/>
      </c>
      <c r="G1674">
        <f>IF(ISBLANK('ENGAGEMENTS 2026'!B1674),"",'ENGAGEMENTS 2026'!L1674)</f>
        <v/>
      </c>
      <c r="H1674">
        <f>IF(ISBLANK('ENGAGEMENTS 2026'!B1674),"",'ENGAGEMENTS 2026'!AE1674)</f>
        <v/>
      </c>
      <c r="I1674">
        <f>IF(ISBLANK('ENGAGEMENTS 2026'!B1674),"",'ENGAGEMENTS 2026'!G1674)</f>
        <v/>
      </c>
      <c r="J1674" s="275">
        <f>IF(ISBLANK('ENGAGEMENTS 2026'!B1674),"",IF(AND(OR($E1674="INFRUCTUEUX",$E1674="ANNULE"),$C1674="AOO-M"),'ENGAGEMENTS 2026'!O1674,IF($H1674="EN COURS DE PREENGAGEMENT",'ENGAGEMENTS 2026'!N1674,IF($H1674="PREENGAGE",IF($E1674="ATTRIBUE",'ENGAGEMENTS 2026'!AD1674,'ENGAGEMENTS 2026'!N1674),'ENGAGEMENTS 2026'!AD1674))))</f>
        <v/>
      </c>
      <c r="K1674" s="604">
        <f>IF(ISBLANK('ENGAGEMENTS 2026'!V1674),"",'ENGAGEMENTS 2026'!V1674)</f>
        <v/>
      </c>
      <c r="L1674" s="276">
        <f>IF($K1674="","",TODAY()-$K1674)</f>
        <v/>
      </c>
      <c r="M1674">
        <f>IF($A1674="","",IF($H1674="ENGAGE","Engagé",IF(AND($H1674="NON ENGAGE",OR($I1674="INFRUCTUEUX",$I1674="ANNULE")),"Clôturé sans suite","En cours")))</f>
        <v/>
      </c>
      <c r="N1674">
        <f>IF(ISBLANK('ENGAGEMENTS 2026'!B1674),"",'ENGAGEMENTS 2026'!K1674)</f>
        <v/>
      </c>
      <c r="O1674">
        <f>IF(ISBLANK('ENGAGEMENTS 2026'!B1674),"",'ENGAGEMENTS 2026'!L1674)</f>
        <v/>
      </c>
      <c r="P1674">
        <f>IF(ISBLANK('ENGAGEMENTS 2026'!B1674),"",'ENGAGEMENTS 2026'!J1674)</f>
        <v/>
      </c>
      <c r="Q1674">
        <f>IF($A1674="","",IF(OR($E1674="INFRUCTUEUX",$E1674="ANNULE"),$A1674&amp;"|"&amp;(COUNTIFS($A$2:$A1674,$A1674,$E$2:$E1674,"INFRUCTUEUX")+COUNTIFS($A$2:$A1674,$A1674,$E$2:$E1674,"ANNULE")),""))</f>
        <v/>
      </c>
    </row>
    <row r="1675">
      <c r="A1675">
        <f>IF(ISBLANK('ENGAGEMENTS 2026'!B1675),"",IF('ENGAGEMENTS 2026'!B1675="DTSI","DCT",'ENGAGEMENTS 2026'!B1675))</f>
        <v/>
      </c>
      <c r="B1675">
        <f>IF(ISBLANK('ENGAGEMENTS 2026'!B1675),"",'ENGAGEMENTS 2026'!C1675)</f>
        <v/>
      </c>
      <c r="C1675">
        <f>IF(ISBLANK('ENGAGEMENTS 2026'!B1675),"",'ENGAGEMENTS 2026'!D1675)</f>
        <v/>
      </c>
      <c r="D1675">
        <f>IF(ISBLANK('ENGAGEMENTS 2026'!B1675),"",'ENGAGEMENTS 2026'!F1675)</f>
        <v/>
      </c>
      <c r="E1675">
        <f>IF(ISBLANK('ENGAGEMENTS 2026'!B1675),"",'ENGAGEMENTS 2026'!H1675)</f>
        <v/>
      </c>
      <c r="F1675">
        <f>IF(ISBLANK('ENGAGEMENTS 2026'!B1675),"",'ENGAGEMENTS 2026'!I1675)</f>
        <v/>
      </c>
      <c r="G1675">
        <f>IF(ISBLANK('ENGAGEMENTS 2026'!B1675),"",'ENGAGEMENTS 2026'!L1675)</f>
        <v/>
      </c>
      <c r="H1675">
        <f>IF(ISBLANK('ENGAGEMENTS 2026'!B1675),"",'ENGAGEMENTS 2026'!AE1675)</f>
        <v/>
      </c>
      <c r="I1675">
        <f>IF(ISBLANK('ENGAGEMENTS 2026'!B1675),"",'ENGAGEMENTS 2026'!G1675)</f>
        <v/>
      </c>
      <c r="J1675" s="275">
        <f>IF(ISBLANK('ENGAGEMENTS 2026'!B1675),"",IF(AND(OR($E1675="INFRUCTUEUX",$E1675="ANNULE"),$C1675="AOO-M"),'ENGAGEMENTS 2026'!O1675,IF($H1675="EN COURS DE PREENGAGEMENT",'ENGAGEMENTS 2026'!N1675,IF($H1675="PREENGAGE",IF($E1675="ATTRIBUE",'ENGAGEMENTS 2026'!AD1675,'ENGAGEMENTS 2026'!N1675),'ENGAGEMENTS 2026'!AD1675))))</f>
        <v/>
      </c>
      <c r="K1675" s="604">
        <f>IF(ISBLANK('ENGAGEMENTS 2026'!V1675),"",'ENGAGEMENTS 2026'!V1675)</f>
        <v/>
      </c>
      <c r="L1675" s="276">
        <f>IF($K1675="","",TODAY()-$K1675)</f>
        <v/>
      </c>
      <c r="M1675">
        <f>IF($A1675="","",IF($H1675="ENGAGE","Engagé",IF(AND($H1675="NON ENGAGE",OR($I1675="INFRUCTUEUX",$I1675="ANNULE")),"Clôturé sans suite","En cours")))</f>
        <v/>
      </c>
      <c r="N1675">
        <f>IF(ISBLANK('ENGAGEMENTS 2026'!B1675),"",'ENGAGEMENTS 2026'!K1675)</f>
        <v/>
      </c>
      <c r="O1675">
        <f>IF(ISBLANK('ENGAGEMENTS 2026'!B1675),"",'ENGAGEMENTS 2026'!L1675)</f>
        <v/>
      </c>
      <c r="P1675">
        <f>IF(ISBLANK('ENGAGEMENTS 2026'!B1675),"",'ENGAGEMENTS 2026'!J1675)</f>
        <v/>
      </c>
      <c r="Q1675">
        <f>IF($A1675="","",IF(OR($E1675="INFRUCTUEUX",$E1675="ANNULE"),$A1675&amp;"|"&amp;(COUNTIFS($A$2:$A1675,$A1675,$E$2:$E1675,"INFRUCTUEUX")+COUNTIFS($A$2:$A1675,$A1675,$E$2:$E1675,"ANNULE")),""))</f>
        <v/>
      </c>
    </row>
    <row r="1676">
      <c r="A1676">
        <f>IF(ISBLANK('ENGAGEMENTS 2026'!B1676),"",IF('ENGAGEMENTS 2026'!B1676="DTSI","DCT",'ENGAGEMENTS 2026'!B1676))</f>
        <v/>
      </c>
      <c r="B1676">
        <f>IF(ISBLANK('ENGAGEMENTS 2026'!B1676),"",'ENGAGEMENTS 2026'!C1676)</f>
        <v/>
      </c>
      <c r="C1676">
        <f>IF(ISBLANK('ENGAGEMENTS 2026'!B1676),"",'ENGAGEMENTS 2026'!D1676)</f>
        <v/>
      </c>
      <c r="D1676">
        <f>IF(ISBLANK('ENGAGEMENTS 2026'!B1676),"",'ENGAGEMENTS 2026'!F1676)</f>
        <v/>
      </c>
      <c r="E1676">
        <f>IF(ISBLANK('ENGAGEMENTS 2026'!B1676),"",'ENGAGEMENTS 2026'!H1676)</f>
        <v/>
      </c>
      <c r="F1676">
        <f>IF(ISBLANK('ENGAGEMENTS 2026'!B1676),"",'ENGAGEMENTS 2026'!I1676)</f>
        <v/>
      </c>
      <c r="G1676">
        <f>IF(ISBLANK('ENGAGEMENTS 2026'!B1676),"",'ENGAGEMENTS 2026'!L1676)</f>
        <v/>
      </c>
      <c r="H1676">
        <f>IF(ISBLANK('ENGAGEMENTS 2026'!B1676),"",'ENGAGEMENTS 2026'!AE1676)</f>
        <v/>
      </c>
      <c r="I1676">
        <f>IF(ISBLANK('ENGAGEMENTS 2026'!B1676),"",'ENGAGEMENTS 2026'!G1676)</f>
        <v/>
      </c>
      <c r="J1676" s="275">
        <f>IF(ISBLANK('ENGAGEMENTS 2026'!B1676),"",IF(AND(OR($E1676="INFRUCTUEUX",$E1676="ANNULE"),$C1676="AOO-M"),'ENGAGEMENTS 2026'!O1676,IF($H1676="EN COURS DE PREENGAGEMENT",'ENGAGEMENTS 2026'!N1676,IF($H1676="PREENGAGE",IF($E1676="ATTRIBUE",'ENGAGEMENTS 2026'!AD1676,'ENGAGEMENTS 2026'!N1676),'ENGAGEMENTS 2026'!AD1676))))</f>
        <v/>
      </c>
      <c r="K1676" s="604">
        <f>IF(ISBLANK('ENGAGEMENTS 2026'!V1676),"",'ENGAGEMENTS 2026'!V1676)</f>
        <v/>
      </c>
      <c r="L1676" s="276">
        <f>IF($K1676="","",TODAY()-$K1676)</f>
        <v/>
      </c>
      <c r="M1676">
        <f>IF($A1676="","",IF($H1676="ENGAGE","Engagé",IF(AND($H1676="NON ENGAGE",OR($I1676="INFRUCTUEUX",$I1676="ANNULE")),"Clôturé sans suite","En cours")))</f>
        <v/>
      </c>
      <c r="N1676">
        <f>IF(ISBLANK('ENGAGEMENTS 2026'!B1676),"",'ENGAGEMENTS 2026'!K1676)</f>
        <v/>
      </c>
      <c r="O1676">
        <f>IF(ISBLANK('ENGAGEMENTS 2026'!B1676),"",'ENGAGEMENTS 2026'!L1676)</f>
        <v/>
      </c>
      <c r="P1676">
        <f>IF(ISBLANK('ENGAGEMENTS 2026'!B1676),"",'ENGAGEMENTS 2026'!J1676)</f>
        <v/>
      </c>
      <c r="Q1676">
        <f>IF($A1676="","",IF(OR($E1676="INFRUCTUEUX",$E1676="ANNULE"),$A1676&amp;"|"&amp;(COUNTIFS($A$2:$A1676,$A1676,$E$2:$E1676,"INFRUCTUEUX")+COUNTIFS($A$2:$A1676,$A1676,$E$2:$E1676,"ANNULE")),""))</f>
        <v/>
      </c>
    </row>
    <row r="1677">
      <c r="A1677">
        <f>IF(ISBLANK('ENGAGEMENTS 2026'!B1677),"",IF('ENGAGEMENTS 2026'!B1677="DTSI","DCT",'ENGAGEMENTS 2026'!B1677))</f>
        <v/>
      </c>
      <c r="B1677">
        <f>IF(ISBLANK('ENGAGEMENTS 2026'!B1677),"",'ENGAGEMENTS 2026'!C1677)</f>
        <v/>
      </c>
      <c r="C1677">
        <f>IF(ISBLANK('ENGAGEMENTS 2026'!B1677),"",'ENGAGEMENTS 2026'!D1677)</f>
        <v/>
      </c>
      <c r="D1677">
        <f>IF(ISBLANK('ENGAGEMENTS 2026'!B1677),"",'ENGAGEMENTS 2026'!F1677)</f>
        <v/>
      </c>
      <c r="E1677">
        <f>IF(ISBLANK('ENGAGEMENTS 2026'!B1677),"",'ENGAGEMENTS 2026'!H1677)</f>
        <v/>
      </c>
      <c r="F1677">
        <f>IF(ISBLANK('ENGAGEMENTS 2026'!B1677),"",'ENGAGEMENTS 2026'!I1677)</f>
        <v/>
      </c>
      <c r="G1677">
        <f>IF(ISBLANK('ENGAGEMENTS 2026'!B1677),"",'ENGAGEMENTS 2026'!L1677)</f>
        <v/>
      </c>
      <c r="H1677">
        <f>IF(ISBLANK('ENGAGEMENTS 2026'!B1677),"",'ENGAGEMENTS 2026'!AE1677)</f>
        <v/>
      </c>
      <c r="I1677">
        <f>IF(ISBLANK('ENGAGEMENTS 2026'!B1677),"",'ENGAGEMENTS 2026'!G1677)</f>
        <v/>
      </c>
      <c r="J1677" s="275">
        <f>IF(ISBLANK('ENGAGEMENTS 2026'!B1677),"",IF(AND(OR($E1677="INFRUCTUEUX",$E1677="ANNULE"),$C1677="AOO-M"),'ENGAGEMENTS 2026'!O1677,IF($H1677="EN COURS DE PREENGAGEMENT",'ENGAGEMENTS 2026'!N1677,IF($H1677="PREENGAGE",IF($E1677="ATTRIBUE",'ENGAGEMENTS 2026'!AD1677,'ENGAGEMENTS 2026'!N1677),'ENGAGEMENTS 2026'!AD1677))))</f>
        <v/>
      </c>
      <c r="K1677" s="604">
        <f>IF(ISBLANK('ENGAGEMENTS 2026'!V1677),"",'ENGAGEMENTS 2026'!V1677)</f>
        <v/>
      </c>
      <c r="L1677" s="276">
        <f>IF($K1677="","",TODAY()-$K1677)</f>
        <v/>
      </c>
      <c r="M1677">
        <f>IF($A1677="","",IF($H1677="ENGAGE","Engagé",IF(AND($H1677="NON ENGAGE",OR($I1677="INFRUCTUEUX",$I1677="ANNULE")),"Clôturé sans suite","En cours")))</f>
        <v/>
      </c>
      <c r="N1677">
        <f>IF(ISBLANK('ENGAGEMENTS 2026'!B1677),"",'ENGAGEMENTS 2026'!K1677)</f>
        <v/>
      </c>
      <c r="O1677">
        <f>IF(ISBLANK('ENGAGEMENTS 2026'!B1677),"",'ENGAGEMENTS 2026'!L1677)</f>
        <v/>
      </c>
      <c r="P1677">
        <f>IF(ISBLANK('ENGAGEMENTS 2026'!B1677),"",'ENGAGEMENTS 2026'!J1677)</f>
        <v/>
      </c>
      <c r="Q1677">
        <f>IF($A1677="","",IF(OR($E1677="INFRUCTUEUX",$E1677="ANNULE"),$A1677&amp;"|"&amp;(COUNTIFS($A$2:$A1677,$A1677,$E$2:$E1677,"INFRUCTUEUX")+COUNTIFS($A$2:$A1677,$A1677,$E$2:$E1677,"ANNULE")),""))</f>
        <v/>
      </c>
    </row>
    <row r="1678">
      <c r="A1678">
        <f>IF(ISBLANK('ENGAGEMENTS 2026'!B1678),"",IF('ENGAGEMENTS 2026'!B1678="DTSI","DCT",'ENGAGEMENTS 2026'!B1678))</f>
        <v/>
      </c>
      <c r="B1678">
        <f>IF(ISBLANK('ENGAGEMENTS 2026'!B1678),"",'ENGAGEMENTS 2026'!C1678)</f>
        <v/>
      </c>
      <c r="C1678">
        <f>IF(ISBLANK('ENGAGEMENTS 2026'!B1678),"",'ENGAGEMENTS 2026'!D1678)</f>
        <v/>
      </c>
      <c r="D1678">
        <f>IF(ISBLANK('ENGAGEMENTS 2026'!B1678),"",'ENGAGEMENTS 2026'!F1678)</f>
        <v/>
      </c>
      <c r="E1678">
        <f>IF(ISBLANK('ENGAGEMENTS 2026'!B1678),"",'ENGAGEMENTS 2026'!H1678)</f>
        <v/>
      </c>
      <c r="F1678">
        <f>IF(ISBLANK('ENGAGEMENTS 2026'!B1678),"",'ENGAGEMENTS 2026'!I1678)</f>
        <v/>
      </c>
      <c r="G1678">
        <f>IF(ISBLANK('ENGAGEMENTS 2026'!B1678),"",'ENGAGEMENTS 2026'!L1678)</f>
        <v/>
      </c>
      <c r="H1678">
        <f>IF(ISBLANK('ENGAGEMENTS 2026'!B1678),"",'ENGAGEMENTS 2026'!AE1678)</f>
        <v/>
      </c>
      <c r="I1678">
        <f>IF(ISBLANK('ENGAGEMENTS 2026'!B1678),"",'ENGAGEMENTS 2026'!G1678)</f>
        <v/>
      </c>
      <c r="J1678" s="275">
        <f>IF(ISBLANK('ENGAGEMENTS 2026'!B1678),"",IF(AND(OR($E1678="INFRUCTUEUX",$E1678="ANNULE"),$C1678="AOO-M"),'ENGAGEMENTS 2026'!O1678,IF($H1678="EN COURS DE PREENGAGEMENT",'ENGAGEMENTS 2026'!N1678,IF($H1678="PREENGAGE",IF($E1678="ATTRIBUE",'ENGAGEMENTS 2026'!AD1678,'ENGAGEMENTS 2026'!N1678),'ENGAGEMENTS 2026'!AD1678))))</f>
        <v/>
      </c>
      <c r="K1678" s="604">
        <f>IF(ISBLANK('ENGAGEMENTS 2026'!V1678),"",'ENGAGEMENTS 2026'!V1678)</f>
        <v/>
      </c>
      <c r="L1678" s="276">
        <f>IF($K1678="","",TODAY()-$K1678)</f>
        <v/>
      </c>
      <c r="M1678">
        <f>IF($A1678="","",IF($H1678="ENGAGE","Engagé",IF(AND($H1678="NON ENGAGE",OR($I1678="INFRUCTUEUX",$I1678="ANNULE")),"Clôturé sans suite","En cours")))</f>
        <v/>
      </c>
      <c r="N1678">
        <f>IF(ISBLANK('ENGAGEMENTS 2026'!B1678),"",'ENGAGEMENTS 2026'!K1678)</f>
        <v/>
      </c>
      <c r="O1678">
        <f>IF(ISBLANK('ENGAGEMENTS 2026'!B1678),"",'ENGAGEMENTS 2026'!L1678)</f>
        <v/>
      </c>
      <c r="P1678">
        <f>IF(ISBLANK('ENGAGEMENTS 2026'!B1678),"",'ENGAGEMENTS 2026'!J1678)</f>
        <v/>
      </c>
      <c r="Q1678">
        <f>IF($A1678="","",IF(OR($E1678="INFRUCTUEUX",$E1678="ANNULE"),$A1678&amp;"|"&amp;(COUNTIFS($A$2:$A1678,$A1678,$E$2:$E1678,"INFRUCTUEUX")+COUNTIFS($A$2:$A1678,$A1678,$E$2:$E1678,"ANNULE")),""))</f>
        <v/>
      </c>
    </row>
    <row r="1679">
      <c r="A1679">
        <f>IF(ISBLANK('ENGAGEMENTS 2026'!B1679),"",IF('ENGAGEMENTS 2026'!B1679="DTSI","DCT",'ENGAGEMENTS 2026'!B1679))</f>
        <v/>
      </c>
      <c r="B1679">
        <f>IF(ISBLANK('ENGAGEMENTS 2026'!B1679),"",'ENGAGEMENTS 2026'!C1679)</f>
        <v/>
      </c>
      <c r="C1679">
        <f>IF(ISBLANK('ENGAGEMENTS 2026'!B1679),"",'ENGAGEMENTS 2026'!D1679)</f>
        <v/>
      </c>
      <c r="D1679">
        <f>IF(ISBLANK('ENGAGEMENTS 2026'!B1679),"",'ENGAGEMENTS 2026'!F1679)</f>
        <v/>
      </c>
      <c r="E1679">
        <f>IF(ISBLANK('ENGAGEMENTS 2026'!B1679),"",'ENGAGEMENTS 2026'!H1679)</f>
        <v/>
      </c>
      <c r="F1679">
        <f>IF(ISBLANK('ENGAGEMENTS 2026'!B1679),"",'ENGAGEMENTS 2026'!I1679)</f>
        <v/>
      </c>
      <c r="G1679">
        <f>IF(ISBLANK('ENGAGEMENTS 2026'!B1679),"",'ENGAGEMENTS 2026'!L1679)</f>
        <v/>
      </c>
      <c r="H1679">
        <f>IF(ISBLANK('ENGAGEMENTS 2026'!B1679),"",'ENGAGEMENTS 2026'!AE1679)</f>
        <v/>
      </c>
      <c r="I1679">
        <f>IF(ISBLANK('ENGAGEMENTS 2026'!B1679),"",'ENGAGEMENTS 2026'!G1679)</f>
        <v/>
      </c>
      <c r="J1679" s="275">
        <f>IF(ISBLANK('ENGAGEMENTS 2026'!B1679),"",IF(AND(OR($E1679="INFRUCTUEUX",$E1679="ANNULE"),$C1679="AOO-M"),'ENGAGEMENTS 2026'!O1679,IF($H1679="EN COURS DE PREENGAGEMENT",'ENGAGEMENTS 2026'!N1679,IF($H1679="PREENGAGE",IF($E1679="ATTRIBUE",'ENGAGEMENTS 2026'!AD1679,'ENGAGEMENTS 2026'!N1679),'ENGAGEMENTS 2026'!AD1679))))</f>
        <v/>
      </c>
      <c r="K1679" s="604">
        <f>IF(ISBLANK('ENGAGEMENTS 2026'!V1679),"",'ENGAGEMENTS 2026'!V1679)</f>
        <v/>
      </c>
      <c r="L1679" s="276">
        <f>IF($K1679="","",TODAY()-$K1679)</f>
        <v/>
      </c>
      <c r="M1679">
        <f>IF($A1679="","",IF($H1679="ENGAGE","Engagé",IF(AND($H1679="NON ENGAGE",OR($I1679="INFRUCTUEUX",$I1679="ANNULE")),"Clôturé sans suite","En cours")))</f>
        <v/>
      </c>
      <c r="N1679">
        <f>IF(ISBLANK('ENGAGEMENTS 2026'!B1679),"",'ENGAGEMENTS 2026'!K1679)</f>
        <v/>
      </c>
      <c r="O1679">
        <f>IF(ISBLANK('ENGAGEMENTS 2026'!B1679),"",'ENGAGEMENTS 2026'!L1679)</f>
        <v/>
      </c>
      <c r="P1679">
        <f>IF(ISBLANK('ENGAGEMENTS 2026'!B1679),"",'ENGAGEMENTS 2026'!J1679)</f>
        <v/>
      </c>
      <c r="Q1679">
        <f>IF($A1679="","",IF(OR($E1679="INFRUCTUEUX",$E1679="ANNULE"),$A1679&amp;"|"&amp;(COUNTIFS($A$2:$A1679,$A1679,$E$2:$E1679,"INFRUCTUEUX")+COUNTIFS($A$2:$A1679,$A1679,$E$2:$E1679,"ANNULE")),""))</f>
        <v/>
      </c>
    </row>
    <row r="1680">
      <c r="A1680">
        <f>IF(ISBLANK('ENGAGEMENTS 2026'!B1680),"",IF('ENGAGEMENTS 2026'!B1680="DTSI","DCT",'ENGAGEMENTS 2026'!B1680))</f>
        <v/>
      </c>
      <c r="B1680">
        <f>IF(ISBLANK('ENGAGEMENTS 2026'!B1680),"",'ENGAGEMENTS 2026'!C1680)</f>
        <v/>
      </c>
      <c r="C1680">
        <f>IF(ISBLANK('ENGAGEMENTS 2026'!B1680),"",'ENGAGEMENTS 2026'!D1680)</f>
        <v/>
      </c>
      <c r="D1680">
        <f>IF(ISBLANK('ENGAGEMENTS 2026'!B1680),"",'ENGAGEMENTS 2026'!F1680)</f>
        <v/>
      </c>
      <c r="E1680">
        <f>IF(ISBLANK('ENGAGEMENTS 2026'!B1680),"",'ENGAGEMENTS 2026'!H1680)</f>
        <v/>
      </c>
      <c r="F1680">
        <f>IF(ISBLANK('ENGAGEMENTS 2026'!B1680),"",'ENGAGEMENTS 2026'!I1680)</f>
        <v/>
      </c>
      <c r="G1680">
        <f>IF(ISBLANK('ENGAGEMENTS 2026'!B1680),"",'ENGAGEMENTS 2026'!L1680)</f>
        <v/>
      </c>
      <c r="H1680">
        <f>IF(ISBLANK('ENGAGEMENTS 2026'!B1680),"",'ENGAGEMENTS 2026'!AE1680)</f>
        <v/>
      </c>
      <c r="I1680">
        <f>IF(ISBLANK('ENGAGEMENTS 2026'!B1680),"",'ENGAGEMENTS 2026'!G1680)</f>
        <v/>
      </c>
      <c r="J1680" s="275">
        <f>IF(ISBLANK('ENGAGEMENTS 2026'!B1680),"",IF(AND(OR($E1680="INFRUCTUEUX",$E1680="ANNULE"),$C1680="AOO-M"),'ENGAGEMENTS 2026'!O1680,IF($H1680="EN COURS DE PREENGAGEMENT",'ENGAGEMENTS 2026'!N1680,IF($H1680="PREENGAGE",IF($E1680="ATTRIBUE",'ENGAGEMENTS 2026'!AD1680,'ENGAGEMENTS 2026'!N1680),'ENGAGEMENTS 2026'!AD1680))))</f>
        <v/>
      </c>
      <c r="K1680" s="604">
        <f>IF(ISBLANK('ENGAGEMENTS 2026'!V1680),"",'ENGAGEMENTS 2026'!V1680)</f>
        <v/>
      </c>
      <c r="L1680" s="276">
        <f>IF($K1680="","",TODAY()-$K1680)</f>
        <v/>
      </c>
      <c r="M1680">
        <f>IF($A1680="","",IF($H1680="ENGAGE","Engagé",IF(AND($H1680="NON ENGAGE",OR($I1680="INFRUCTUEUX",$I1680="ANNULE")),"Clôturé sans suite","En cours")))</f>
        <v/>
      </c>
      <c r="N1680">
        <f>IF(ISBLANK('ENGAGEMENTS 2026'!B1680),"",'ENGAGEMENTS 2026'!K1680)</f>
        <v/>
      </c>
      <c r="O1680">
        <f>IF(ISBLANK('ENGAGEMENTS 2026'!B1680),"",'ENGAGEMENTS 2026'!L1680)</f>
        <v/>
      </c>
      <c r="P1680">
        <f>IF(ISBLANK('ENGAGEMENTS 2026'!B1680),"",'ENGAGEMENTS 2026'!J1680)</f>
        <v/>
      </c>
      <c r="Q1680">
        <f>IF($A1680="","",IF(OR($E1680="INFRUCTUEUX",$E1680="ANNULE"),$A1680&amp;"|"&amp;(COUNTIFS($A$2:$A1680,$A1680,$E$2:$E1680,"INFRUCTUEUX")+COUNTIFS($A$2:$A1680,$A1680,$E$2:$E1680,"ANNULE")),""))</f>
        <v/>
      </c>
    </row>
    <row r="1681">
      <c r="A1681">
        <f>IF(ISBLANK('ENGAGEMENTS 2026'!B1681),"",IF('ENGAGEMENTS 2026'!B1681="DTSI","DCT",'ENGAGEMENTS 2026'!B1681))</f>
        <v/>
      </c>
      <c r="B1681">
        <f>IF(ISBLANK('ENGAGEMENTS 2026'!B1681),"",'ENGAGEMENTS 2026'!C1681)</f>
        <v/>
      </c>
      <c r="C1681">
        <f>IF(ISBLANK('ENGAGEMENTS 2026'!B1681),"",'ENGAGEMENTS 2026'!D1681)</f>
        <v/>
      </c>
      <c r="D1681">
        <f>IF(ISBLANK('ENGAGEMENTS 2026'!B1681),"",'ENGAGEMENTS 2026'!F1681)</f>
        <v/>
      </c>
      <c r="E1681">
        <f>IF(ISBLANK('ENGAGEMENTS 2026'!B1681),"",'ENGAGEMENTS 2026'!H1681)</f>
        <v/>
      </c>
      <c r="F1681">
        <f>IF(ISBLANK('ENGAGEMENTS 2026'!B1681),"",'ENGAGEMENTS 2026'!I1681)</f>
        <v/>
      </c>
      <c r="G1681">
        <f>IF(ISBLANK('ENGAGEMENTS 2026'!B1681),"",'ENGAGEMENTS 2026'!L1681)</f>
        <v/>
      </c>
      <c r="H1681">
        <f>IF(ISBLANK('ENGAGEMENTS 2026'!B1681),"",'ENGAGEMENTS 2026'!AE1681)</f>
        <v/>
      </c>
      <c r="I1681">
        <f>IF(ISBLANK('ENGAGEMENTS 2026'!B1681),"",'ENGAGEMENTS 2026'!G1681)</f>
        <v/>
      </c>
      <c r="J1681" s="275">
        <f>IF(ISBLANK('ENGAGEMENTS 2026'!B1681),"",IF(AND(OR($E1681="INFRUCTUEUX",$E1681="ANNULE"),$C1681="AOO-M"),'ENGAGEMENTS 2026'!O1681,IF($H1681="EN COURS DE PREENGAGEMENT",'ENGAGEMENTS 2026'!N1681,IF($H1681="PREENGAGE",IF($E1681="ATTRIBUE",'ENGAGEMENTS 2026'!AD1681,'ENGAGEMENTS 2026'!N1681),'ENGAGEMENTS 2026'!AD1681))))</f>
        <v/>
      </c>
      <c r="K1681" s="604">
        <f>IF(ISBLANK('ENGAGEMENTS 2026'!V1681),"",'ENGAGEMENTS 2026'!V1681)</f>
        <v/>
      </c>
      <c r="L1681" s="276">
        <f>IF($K1681="","",TODAY()-$K1681)</f>
        <v/>
      </c>
      <c r="M1681">
        <f>IF($A1681="","",IF($H1681="ENGAGE","Engagé",IF(AND($H1681="NON ENGAGE",OR($I1681="INFRUCTUEUX",$I1681="ANNULE")),"Clôturé sans suite","En cours")))</f>
        <v/>
      </c>
      <c r="N1681">
        <f>IF(ISBLANK('ENGAGEMENTS 2026'!B1681),"",'ENGAGEMENTS 2026'!K1681)</f>
        <v/>
      </c>
      <c r="O1681">
        <f>IF(ISBLANK('ENGAGEMENTS 2026'!B1681),"",'ENGAGEMENTS 2026'!L1681)</f>
        <v/>
      </c>
      <c r="P1681">
        <f>IF(ISBLANK('ENGAGEMENTS 2026'!B1681),"",'ENGAGEMENTS 2026'!J1681)</f>
        <v/>
      </c>
      <c r="Q1681">
        <f>IF($A1681="","",IF(OR($E1681="INFRUCTUEUX",$E1681="ANNULE"),$A1681&amp;"|"&amp;(COUNTIFS($A$2:$A1681,$A1681,$E$2:$E1681,"INFRUCTUEUX")+COUNTIFS($A$2:$A1681,$A1681,$E$2:$E1681,"ANNULE")),""))</f>
        <v/>
      </c>
    </row>
    <row r="1682">
      <c r="A1682">
        <f>IF(ISBLANK('ENGAGEMENTS 2026'!B1682),"",IF('ENGAGEMENTS 2026'!B1682="DTSI","DCT",'ENGAGEMENTS 2026'!B1682))</f>
        <v/>
      </c>
      <c r="B1682">
        <f>IF(ISBLANK('ENGAGEMENTS 2026'!B1682),"",'ENGAGEMENTS 2026'!C1682)</f>
        <v/>
      </c>
      <c r="C1682">
        <f>IF(ISBLANK('ENGAGEMENTS 2026'!B1682),"",'ENGAGEMENTS 2026'!D1682)</f>
        <v/>
      </c>
      <c r="D1682">
        <f>IF(ISBLANK('ENGAGEMENTS 2026'!B1682),"",'ENGAGEMENTS 2026'!F1682)</f>
        <v/>
      </c>
      <c r="E1682">
        <f>IF(ISBLANK('ENGAGEMENTS 2026'!B1682),"",'ENGAGEMENTS 2026'!H1682)</f>
        <v/>
      </c>
      <c r="F1682">
        <f>IF(ISBLANK('ENGAGEMENTS 2026'!B1682),"",'ENGAGEMENTS 2026'!I1682)</f>
        <v/>
      </c>
      <c r="G1682">
        <f>IF(ISBLANK('ENGAGEMENTS 2026'!B1682),"",'ENGAGEMENTS 2026'!L1682)</f>
        <v/>
      </c>
      <c r="H1682">
        <f>IF(ISBLANK('ENGAGEMENTS 2026'!B1682),"",'ENGAGEMENTS 2026'!AE1682)</f>
        <v/>
      </c>
      <c r="I1682">
        <f>IF(ISBLANK('ENGAGEMENTS 2026'!B1682),"",'ENGAGEMENTS 2026'!G1682)</f>
        <v/>
      </c>
      <c r="J1682" s="275">
        <f>IF(ISBLANK('ENGAGEMENTS 2026'!B1682),"",IF(AND(OR($E1682="INFRUCTUEUX",$E1682="ANNULE"),$C1682="AOO-M"),'ENGAGEMENTS 2026'!O1682,IF($H1682="EN COURS DE PREENGAGEMENT",'ENGAGEMENTS 2026'!N1682,IF($H1682="PREENGAGE",IF($E1682="ATTRIBUE",'ENGAGEMENTS 2026'!AD1682,'ENGAGEMENTS 2026'!N1682),'ENGAGEMENTS 2026'!AD1682))))</f>
        <v/>
      </c>
      <c r="K1682" s="604">
        <f>IF(ISBLANK('ENGAGEMENTS 2026'!V1682),"",'ENGAGEMENTS 2026'!V1682)</f>
        <v/>
      </c>
      <c r="L1682" s="276">
        <f>IF($K1682="","",TODAY()-$K1682)</f>
        <v/>
      </c>
      <c r="M1682">
        <f>IF($A1682="","",IF($H1682="ENGAGE","Engagé",IF(AND($H1682="NON ENGAGE",OR($I1682="INFRUCTUEUX",$I1682="ANNULE")),"Clôturé sans suite","En cours")))</f>
        <v/>
      </c>
      <c r="N1682">
        <f>IF(ISBLANK('ENGAGEMENTS 2026'!B1682),"",'ENGAGEMENTS 2026'!K1682)</f>
        <v/>
      </c>
      <c r="O1682">
        <f>IF(ISBLANK('ENGAGEMENTS 2026'!B1682),"",'ENGAGEMENTS 2026'!L1682)</f>
        <v/>
      </c>
      <c r="P1682">
        <f>IF(ISBLANK('ENGAGEMENTS 2026'!B1682),"",'ENGAGEMENTS 2026'!J1682)</f>
        <v/>
      </c>
      <c r="Q1682">
        <f>IF($A1682="","",IF(OR($E1682="INFRUCTUEUX",$E1682="ANNULE"),$A1682&amp;"|"&amp;(COUNTIFS($A$2:$A1682,$A1682,$E$2:$E1682,"INFRUCTUEUX")+COUNTIFS($A$2:$A1682,$A1682,$E$2:$E1682,"ANNULE")),""))</f>
        <v/>
      </c>
    </row>
    <row r="1683">
      <c r="A1683">
        <f>IF(ISBLANK('ENGAGEMENTS 2026'!B1683),"",IF('ENGAGEMENTS 2026'!B1683="DTSI","DCT",'ENGAGEMENTS 2026'!B1683))</f>
        <v/>
      </c>
      <c r="B1683">
        <f>IF(ISBLANK('ENGAGEMENTS 2026'!B1683),"",'ENGAGEMENTS 2026'!C1683)</f>
        <v/>
      </c>
      <c r="C1683">
        <f>IF(ISBLANK('ENGAGEMENTS 2026'!B1683),"",'ENGAGEMENTS 2026'!D1683)</f>
        <v/>
      </c>
      <c r="D1683">
        <f>IF(ISBLANK('ENGAGEMENTS 2026'!B1683),"",'ENGAGEMENTS 2026'!F1683)</f>
        <v/>
      </c>
      <c r="E1683">
        <f>IF(ISBLANK('ENGAGEMENTS 2026'!B1683),"",'ENGAGEMENTS 2026'!H1683)</f>
        <v/>
      </c>
      <c r="F1683">
        <f>IF(ISBLANK('ENGAGEMENTS 2026'!B1683),"",'ENGAGEMENTS 2026'!I1683)</f>
        <v/>
      </c>
      <c r="G1683">
        <f>IF(ISBLANK('ENGAGEMENTS 2026'!B1683),"",'ENGAGEMENTS 2026'!L1683)</f>
        <v/>
      </c>
      <c r="H1683">
        <f>IF(ISBLANK('ENGAGEMENTS 2026'!B1683),"",'ENGAGEMENTS 2026'!AE1683)</f>
        <v/>
      </c>
      <c r="I1683">
        <f>IF(ISBLANK('ENGAGEMENTS 2026'!B1683),"",'ENGAGEMENTS 2026'!G1683)</f>
        <v/>
      </c>
      <c r="J1683" s="275">
        <f>IF(ISBLANK('ENGAGEMENTS 2026'!B1683),"",IF(AND(OR($E1683="INFRUCTUEUX",$E1683="ANNULE"),$C1683="AOO-M"),'ENGAGEMENTS 2026'!O1683,IF($H1683="EN COURS DE PREENGAGEMENT",'ENGAGEMENTS 2026'!N1683,IF($H1683="PREENGAGE",IF($E1683="ATTRIBUE",'ENGAGEMENTS 2026'!AD1683,'ENGAGEMENTS 2026'!N1683),'ENGAGEMENTS 2026'!AD1683))))</f>
        <v/>
      </c>
      <c r="K1683" s="604">
        <f>IF(ISBLANK('ENGAGEMENTS 2026'!V1683),"",'ENGAGEMENTS 2026'!V1683)</f>
        <v/>
      </c>
      <c r="L1683" s="276">
        <f>IF($K1683="","",TODAY()-$K1683)</f>
        <v/>
      </c>
      <c r="M1683">
        <f>IF($A1683="","",IF($H1683="ENGAGE","Engagé",IF(AND($H1683="NON ENGAGE",OR($I1683="INFRUCTUEUX",$I1683="ANNULE")),"Clôturé sans suite","En cours")))</f>
        <v/>
      </c>
      <c r="N1683">
        <f>IF(ISBLANK('ENGAGEMENTS 2026'!B1683),"",'ENGAGEMENTS 2026'!K1683)</f>
        <v/>
      </c>
      <c r="O1683">
        <f>IF(ISBLANK('ENGAGEMENTS 2026'!B1683),"",'ENGAGEMENTS 2026'!L1683)</f>
        <v/>
      </c>
      <c r="P1683">
        <f>IF(ISBLANK('ENGAGEMENTS 2026'!B1683),"",'ENGAGEMENTS 2026'!J1683)</f>
        <v/>
      </c>
      <c r="Q1683">
        <f>IF($A1683="","",IF(OR($E1683="INFRUCTUEUX",$E1683="ANNULE"),$A1683&amp;"|"&amp;(COUNTIFS($A$2:$A1683,$A1683,$E$2:$E1683,"INFRUCTUEUX")+COUNTIFS($A$2:$A1683,$A1683,$E$2:$E1683,"ANNULE")),""))</f>
        <v/>
      </c>
    </row>
    <row r="1684">
      <c r="A1684">
        <f>IF(ISBLANK('ENGAGEMENTS 2026'!B1684),"",IF('ENGAGEMENTS 2026'!B1684="DTSI","DCT",'ENGAGEMENTS 2026'!B1684))</f>
        <v/>
      </c>
      <c r="B1684">
        <f>IF(ISBLANK('ENGAGEMENTS 2026'!B1684),"",'ENGAGEMENTS 2026'!C1684)</f>
        <v/>
      </c>
      <c r="C1684">
        <f>IF(ISBLANK('ENGAGEMENTS 2026'!B1684),"",'ENGAGEMENTS 2026'!D1684)</f>
        <v/>
      </c>
      <c r="D1684">
        <f>IF(ISBLANK('ENGAGEMENTS 2026'!B1684),"",'ENGAGEMENTS 2026'!F1684)</f>
        <v/>
      </c>
      <c r="E1684">
        <f>IF(ISBLANK('ENGAGEMENTS 2026'!B1684),"",'ENGAGEMENTS 2026'!H1684)</f>
        <v/>
      </c>
      <c r="F1684">
        <f>IF(ISBLANK('ENGAGEMENTS 2026'!B1684),"",'ENGAGEMENTS 2026'!I1684)</f>
        <v/>
      </c>
      <c r="G1684">
        <f>IF(ISBLANK('ENGAGEMENTS 2026'!B1684),"",'ENGAGEMENTS 2026'!L1684)</f>
        <v/>
      </c>
      <c r="H1684">
        <f>IF(ISBLANK('ENGAGEMENTS 2026'!B1684),"",'ENGAGEMENTS 2026'!AE1684)</f>
        <v/>
      </c>
      <c r="I1684">
        <f>IF(ISBLANK('ENGAGEMENTS 2026'!B1684),"",'ENGAGEMENTS 2026'!G1684)</f>
        <v/>
      </c>
      <c r="J1684" s="275">
        <f>IF(ISBLANK('ENGAGEMENTS 2026'!B1684),"",IF(AND(OR($E1684="INFRUCTUEUX",$E1684="ANNULE"),$C1684="AOO-M"),'ENGAGEMENTS 2026'!O1684,IF($H1684="EN COURS DE PREENGAGEMENT",'ENGAGEMENTS 2026'!N1684,IF($H1684="PREENGAGE",IF($E1684="ATTRIBUE",'ENGAGEMENTS 2026'!AD1684,'ENGAGEMENTS 2026'!N1684),'ENGAGEMENTS 2026'!AD1684))))</f>
        <v/>
      </c>
      <c r="K1684" s="604">
        <f>IF(ISBLANK('ENGAGEMENTS 2026'!V1684),"",'ENGAGEMENTS 2026'!V1684)</f>
        <v/>
      </c>
      <c r="L1684" s="276">
        <f>IF($K1684="","",TODAY()-$K1684)</f>
        <v/>
      </c>
      <c r="M1684">
        <f>IF($A1684="","",IF($H1684="ENGAGE","Engagé",IF(AND($H1684="NON ENGAGE",OR($I1684="INFRUCTUEUX",$I1684="ANNULE")),"Clôturé sans suite","En cours")))</f>
        <v/>
      </c>
      <c r="N1684">
        <f>IF(ISBLANK('ENGAGEMENTS 2026'!B1684),"",'ENGAGEMENTS 2026'!K1684)</f>
        <v/>
      </c>
      <c r="O1684">
        <f>IF(ISBLANK('ENGAGEMENTS 2026'!B1684),"",'ENGAGEMENTS 2026'!L1684)</f>
        <v/>
      </c>
      <c r="P1684">
        <f>IF(ISBLANK('ENGAGEMENTS 2026'!B1684),"",'ENGAGEMENTS 2026'!J1684)</f>
        <v/>
      </c>
      <c r="Q1684">
        <f>IF($A1684="","",IF(OR($E1684="INFRUCTUEUX",$E1684="ANNULE"),$A1684&amp;"|"&amp;(COUNTIFS($A$2:$A1684,$A1684,$E$2:$E1684,"INFRUCTUEUX")+COUNTIFS($A$2:$A1684,$A1684,$E$2:$E1684,"ANNULE")),""))</f>
        <v/>
      </c>
    </row>
    <row r="1685">
      <c r="A1685">
        <f>IF(ISBLANK('ENGAGEMENTS 2026'!B1685),"",IF('ENGAGEMENTS 2026'!B1685="DTSI","DCT",'ENGAGEMENTS 2026'!B1685))</f>
        <v/>
      </c>
      <c r="B1685">
        <f>IF(ISBLANK('ENGAGEMENTS 2026'!B1685),"",'ENGAGEMENTS 2026'!C1685)</f>
        <v/>
      </c>
      <c r="C1685">
        <f>IF(ISBLANK('ENGAGEMENTS 2026'!B1685),"",'ENGAGEMENTS 2026'!D1685)</f>
        <v/>
      </c>
      <c r="D1685">
        <f>IF(ISBLANK('ENGAGEMENTS 2026'!B1685),"",'ENGAGEMENTS 2026'!F1685)</f>
        <v/>
      </c>
      <c r="E1685">
        <f>IF(ISBLANK('ENGAGEMENTS 2026'!B1685),"",'ENGAGEMENTS 2026'!H1685)</f>
        <v/>
      </c>
      <c r="F1685">
        <f>IF(ISBLANK('ENGAGEMENTS 2026'!B1685),"",'ENGAGEMENTS 2026'!I1685)</f>
        <v/>
      </c>
      <c r="G1685">
        <f>IF(ISBLANK('ENGAGEMENTS 2026'!B1685),"",'ENGAGEMENTS 2026'!L1685)</f>
        <v/>
      </c>
      <c r="H1685">
        <f>IF(ISBLANK('ENGAGEMENTS 2026'!B1685),"",'ENGAGEMENTS 2026'!AE1685)</f>
        <v/>
      </c>
      <c r="I1685">
        <f>IF(ISBLANK('ENGAGEMENTS 2026'!B1685),"",'ENGAGEMENTS 2026'!G1685)</f>
        <v/>
      </c>
      <c r="J1685" s="275">
        <f>IF(ISBLANK('ENGAGEMENTS 2026'!B1685),"",IF(AND(OR($E1685="INFRUCTUEUX",$E1685="ANNULE"),$C1685="AOO-M"),'ENGAGEMENTS 2026'!O1685,IF($H1685="EN COURS DE PREENGAGEMENT",'ENGAGEMENTS 2026'!N1685,IF($H1685="PREENGAGE",IF($E1685="ATTRIBUE",'ENGAGEMENTS 2026'!AD1685,'ENGAGEMENTS 2026'!N1685),'ENGAGEMENTS 2026'!AD1685))))</f>
        <v/>
      </c>
      <c r="K1685" s="604">
        <f>IF(ISBLANK('ENGAGEMENTS 2026'!V1685),"",'ENGAGEMENTS 2026'!V1685)</f>
        <v/>
      </c>
      <c r="L1685" s="276">
        <f>IF($K1685="","",TODAY()-$K1685)</f>
        <v/>
      </c>
      <c r="M1685">
        <f>IF($A1685="","",IF($H1685="ENGAGE","Engagé",IF(AND($H1685="NON ENGAGE",OR($I1685="INFRUCTUEUX",$I1685="ANNULE")),"Clôturé sans suite","En cours")))</f>
        <v/>
      </c>
      <c r="N1685">
        <f>IF(ISBLANK('ENGAGEMENTS 2026'!B1685),"",'ENGAGEMENTS 2026'!K1685)</f>
        <v/>
      </c>
      <c r="O1685">
        <f>IF(ISBLANK('ENGAGEMENTS 2026'!B1685),"",'ENGAGEMENTS 2026'!L1685)</f>
        <v/>
      </c>
      <c r="P1685">
        <f>IF(ISBLANK('ENGAGEMENTS 2026'!B1685),"",'ENGAGEMENTS 2026'!J1685)</f>
        <v/>
      </c>
      <c r="Q1685">
        <f>IF($A1685="","",IF(OR($E1685="INFRUCTUEUX",$E1685="ANNULE"),$A1685&amp;"|"&amp;(COUNTIFS($A$2:$A1685,$A1685,$E$2:$E1685,"INFRUCTUEUX")+COUNTIFS($A$2:$A1685,$A1685,$E$2:$E1685,"ANNULE")),""))</f>
        <v/>
      </c>
    </row>
    <row r="1686">
      <c r="A1686">
        <f>IF(ISBLANK('ENGAGEMENTS 2026'!B1686),"",IF('ENGAGEMENTS 2026'!B1686="DTSI","DCT",'ENGAGEMENTS 2026'!B1686))</f>
        <v/>
      </c>
      <c r="B1686">
        <f>IF(ISBLANK('ENGAGEMENTS 2026'!B1686),"",'ENGAGEMENTS 2026'!C1686)</f>
        <v/>
      </c>
      <c r="C1686">
        <f>IF(ISBLANK('ENGAGEMENTS 2026'!B1686),"",'ENGAGEMENTS 2026'!D1686)</f>
        <v/>
      </c>
      <c r="D1686">
        <f>IF(ISBLANK('ENGAGEMENTS 2026'!B1686),"",'ENGAGEMENTS 2026'!F1686)</f>
        <v/>
      </c>
      <c r="E1686">
        <f>IF(ISBLANK('ENGAGEMENTS 2026'!B1686),"",'ENGAGEMENTS 2026'!H1686)</f>
        <v/>
      </c>
      <c r="F1686">
        <f>IF(ISBLANK('ENGAGEMENTS 2026'!B1686),"",'ENGAGEMENTS 2026'!I1686)</f>
        <v/>
      </c>
      <c r="G1686">
        <f>IF(ISBLANK('ENGAGEMENTS 2026'!B1686),"",'ENGAGEMENTS 2026'!L1686)</f>
        <v/>
      </c>
      <c r="H1686">
        <f>IF(ISBLANK('ENGAGEMENTS 2026'!B1686),"",'ENGAGEMENTS 2026'!AE1686)</f>
        <v/>
      </c>
      <c r="I1686">
        <f>IF(ISBLANK('ENGAGEMENTS 2026'!B1686),"",'ENGAGEMENTS 2026'!G1686)</f>
        <v/>
      </c>
      <c r="J1686" s="275">
        <f>IF(ISBLANK('ENGAGEMENTS 2026'!B1686),"",IF(AND(OR($E1686="INFRUCTUEUX",$E1686="ANNULE"),$C1686="AOO-M"),'ENGAGEMENTS 2026'!O1686,IF($H1686="EN COURS DE PREENGAGEMENT",'ENGAGEMENTS 2026'!N1686,IF($H1686="PREENGAGE",IF($E1686="ATTRIBUE",'ENGAGEMENTS 2026'!AD1686,'ENGAGEMENTS 2026'!N1686),'ENGAGEMENTS 2026'!AD1686))))</f>
        <v/>
      </c>
      <c r="K1686" s="604">
        <f>IF(ISBLANK('ENGAGEMENTS 2026'!V1686),"",'ENGAGEMENTS 2026'!V1686)</f>
        <v/>
      </c>
      <c r="L1686" s="276">
        <f>IF($K1686="","",TODAY()-$K1686)</f>
        <v/>
      </c>
      <c r="M1686">
        <f>IF($A1686="","",IF($H1686="ENGAGE","Engagé",IF(AND($H1686="NON ENGAGE",OR($I1686="INFRUCTUEUX",$I1686="ANNULE")),"Clôturé sans suite","En cours")))</f>
        <v/>
      </c>
      <c r="N1686">
        <f>IF(ISBLANK('ENGAGEMENTS 2026'!B1686),"",'ENGAGEMENTS 2026'!K1686)</f>
        <v/>
      </c>
      <c r="O1686">
        <f>IF(ISBLANK('ENGAGEMENTS 2026'!B1686),"",'ENGAGEMENTS 2026'!L1686)</f>
        <v/>
      </c>
      <c r="P1686">
        <f>IF(ISBLANK('ENGAGEMENTS 2026'!B1686),"",'ENGAGEMENTS 2026'!J1686)</f>
        <v/>
      </c>
      <c r="Q1686">
        <f>IF($A1686="","",IF(OR($E1686="INFRUCTUEUX",$E1686="ANNULE"),$A1686&amp;"|"&amp;(COUNTIFS($A$2:$A1686,$A1686,$E$2:$E1686,"INFRUCTUEUX")+COUNTIFS($A$2:$A1686,$A1686,$E$2:$E1686,"ANNULE")),""))</f>
        <v/>
      </c>
    </row>
    <row r="1687">
      <c r="A1687">
        <f>IF(ISBLANK('ENGAGEMENTS 2026'!B1687),"",IF('ENGAGEMENTS 2026'!B1687="DTSI","DCT",'ENGAGEMENTS 2026'!B1687))</f>
        <v/>
      </c>
      <c r="B1687">
        <f>IF(ISBLANK('ENGAGEMENTS 2026'!B1687),"",'ENGAGEMENTS 2026'!C1687)</f>
        <v/>
      </c>
      <c r="C1687">
        <f>IF(ISBLANK('ENGAGEMENTS 2026'!B1687),"",'ENGAGEMENTS 2026'!D1687)</f>
        <v/>
      </c>
      <c r="D1687">
        <f>IF(ISBLANK('ENGAGEMENTS 2026'!B1687),"",'ENGAGEMENTS 2026'!F1687)</f>
        <v/>
      </c>
      <c r="E1687">
        <f>IF(ISBLANK('ENGAGEMENTS 2026'!B1687),"",'ENGAGEMENTS 2026'!H1687)</f>
        <v/>
      </c>
      <c r="F1687">
        <f>IF(ISBLANK('ENGAGEMENTS 2026'!B1687),"",'ENGAGEMENTS 2026'!I1687)</f>
        <v/>
      </c>
      <c r="G1687">
        <f>IF(ISBLANK('ENGAGEMENTS 2026'!B1687),"",'ENGAGEMENTS 2026'!L1687)</f>
        <v/>
      </c>
      <c r="H1687">
        <f>IF(ISBLANK('ENGAGEMENTS 2026'!B1687),"",'ENGAGEMENTS 2026'!AE1687)</f>
        <v/>
      </c>
      <c r="I1687">
        <f>IF(ISBLANK('ENGAGEMENTS 2026'!B1687),"",'ENGAGEMENTS 2026'!G1687)</f>
        <v/>
      </c>
      <c r="J1687" s="275">
        <f>IF(ISBLANK('ENGAGEMENTS 2026'!B1687),"",IF(AND(OR($E1687="INFRUCTUEUX",$E1687="ANNULE"),$C1687="AOO-M"),'ENGAGEMENTS 2026'!O1687,IF($H1687="EN COURS DE PREENGAGEMENT",'ENGAGEMENTS 2026'!N1687,IF($H1687="PREENGAGE",IF($E1687="ATTRIBUE",'ENGAGEMENTS 2026'!AD1687,'ENGAGEMENTS 2026'!N1687),'ENGAGEMENTS 2026'!AD1687))))</f>
        <v/>
      </c>
      <c r="K1687" s="604">
        <f>IF(ISBLANK('ENGAGEMENTS 2026'!V1687),"",'ENGAGEMENTS 2026'!V1687)</f>
        <v/>
      </c>
      <c r="L1687" s="276">
        <f>IF($K1687="","",TODAY()-$K1687)</f>
        <v/>
      </c>
      <c r="M1687">
        <f>IF($A1687="","",IF($H1687="ENGAGE","Engagé",IF(AND($H1687="NON ENGAGE",OR($I1687="INFRUCTUEUX",$I1687="ANNULE")),"Clôturé sans suite","En cours")))</f>
        <v/>
      </c>
      <c r="N1687">
        <f>IF(ISBLANK('ENGAGEMENTS 2026'!B1687),"",'ENGAGEMENTS 2026'!K1687)</f>
        <v/>
      </c>
      <c r="O1687">
        <f>IF(ISBLANK('ENGAGEMENTS 2026'!B1687),"",'ENGAGEMENTS 2026'!L1687)</f>
        <v/>
      </c>
      <c r="P1687">
        <f>IF(ISBLANK('ENGAGEMENTS 2026'!B1687),"",'ENGAGEMENTS 2026'!J1687)</f>
        <v/>
      </c>
      <c r="Q1687">
        <f>IF($A1687="","",IF(OR($E1687="INFRUCTUEUX",$E1687="ANNULE"),$A1687&amp;"|"&amp;(COUNTIFS($A$2:$A1687,$A1687,$E$2:$E1687,"INFRUCTUEUX")+COUNTIFS($A$2:$A1687,$A1687,$E$2:$E1687,"ANNULE")),""))</f>
        <v/>
      </c>
    </row>
    <row r="1688">
      <c r="A1688">
        <f>IF(ISBLANK('ENGAGEMENTS 2026'!B1688),"",IF('ENGAGEMENTS 2026'!B1688="DTSI","DCT",'ENGAGEMENTS 2026'!B1688))</f>
        <v/>
      </c>
      <c r="B1688">
        <f>IF(ISBLANK('ENGAGEMENTS 2026'!B1688),"",'ENGAGEMENTS 2026'!C1688)</f>
        <v/>
      </c>
      <c r="C1688">
        <f>IF(ISBLANK('ENGAGEMENTS 2026'!B1688),"",'ENGAGEMENTS 2026'!D1688)</f>
        <v/>
      </c>
      <c r="D1688">
        <f>IF(ISBLANK('ENGAGEMENTS 2026'!B1688),"",'ENGAGEMENTS 2026'!F1688)</f>
        <v/>
      </c>
      <c r="E1688">
        <f>IF(ISBLANK('ENGAGEMENTS 2026'!B1688),"",'ENGAGEMENTS 2026'!H1688)</f>
        <v/>
      </c>
      <c r="F1688">
        <f>IF(ISBLANK('ENGAGEMENTS 2026'!B1688),"",'ENGAGEMENTS 2026'!I1688)</f>
        <v/>
      </c>
      <c r="G1688">
        <f>IF(ISBLANK('ENGAGEMENTS 2026'!B1688),"",'ENGAGEMENTS 2026'!L1688)</f>
        <v/>
      </c>
      <c r="H1688">
        <f>IF(ISBLANK('ENGAGEMENTS 2026'!B1688),"",'ENGAGEMENTS 2026'!AE1688)</f>
        <v/>
      </c>
      <c r="I1688">
        <f>IF(ISBLANK('ENGAGEMENTS 2026'!B1688),"",'ENGAGEMENTS 2026'!G1688)</f>
        <v/>
      </c>
      <c r="J1688" s="275">
        <f>IF(ISBLANK('ENGAGEMENTS 2026'!B1688),"",IF(AND(OR($E1688="INFRUCTUEUX",$E1688="ANNULE"),$C1688="AOO-M"),'ENGAGEMENTS 2026'!O1688,IF($H1688="EN COURS DE PREENGAGEMENT",'ENGAGEMENTS 2026'!N1688,IF($H1688="PREENGAGE",IF($E1688="ATTRIBUE",'ENGAGEMENTS 2026'!AD1688,'ENGAGEMENTS 2026'!N1688),'ENGAGEMENTS 2026'!AD1688))))</f>
        <v/>
      </c>
      <c r="K1688" s="604">
        <f>IF(ISBLANK('ENGAGEMENTS 2026'!V1688),"",'ENGAGEMENTS 2026'!V1688)</f>
        <v/>
      </c>
      <c r="L1688" s="276">
        <f>IF($K1688="","",TODAY()-$K1688)</f>
        <v/>
      </c>
      <c r="M1688">
        <f>IF($A1688="","",IF($H1688="ENGAGE","Engagé",IF(AND($H1688="NON ENGAGE",OR($I1688="INFRUCTUEUX",$I1688="ANNULE")),"Clôturé sans suite","En cours")))</f>
        <v/>
      </c>
      <c r="N1688">
        <f>IF(ISBLANK('ENGAGEMENTS 2026'!B1688),"",'ENGAGEMENTS 2026'!K1688)</f>
        <v/>
      </c>
      <c r="O1688">
        <f>IF(ISBLANK('ENGAGEMENTS 2026'!B1688),"",'ENGAGEMENTS 2026'!L1688)</f>
        <v/>
      </c>
      <c r="P1688">
        <f>IF(ISBLANK('ENGAGEMENTS 2026'!B1688),"",'ENGAGEMENTS 2026'!J1688)</f>
        <v/>
      </c>
      <c r="Q1688">
        <f>IF($A1688="","",IF(OR($E1688="INFRUCTUEUX",$E1688="ANNULE"),$A1688&amp;"|"&amp;(COUNTIFS($A$2:$A1688,$A1688,$E$2:$E1688,"INFRUCTUEUX")+COUNTIFS($A$2:$A1688,$A1688,$E$2:$E1688,"ANNULE")),""))</f>
        <v/>
      </c>
    </row>
    <row r="1689">
      <c r="A1689">
        <f>IF(ISBLANK('ENGAGEMENTS 2026'!B1689),"",IF('ENGAGEMENTS 2026'!B1689="DTSI","DCT",'ENGAGEMENTS 2026'!B1689))</f>
        <v/>
      </c>
      <c r="B1689">
        <f>IF(ISBLANK('ENGAGEMENTS 2026'!B1689),"",'ENGAGEMENTS 2026'!C1689)</f>
        <v/>
      </c>
      <c r="C1689">
        <f>IF(ISBLANK('ENGAGEMENTS 2026'!B1689),"",'ENGAGEMENTS 2026'!D1689)</f>
        <v/>
      </c>
      <c r="D1689">
        <f>IF(ISBLANK('ENGAGEMENTS 2026'!B1689),"",'ENGAGEMENTS 2026'!F1689)</f>
        <v/>
      </c>
      <c r="E1689">
        <f>IF(ISBLANK('ENGAGEMENTS 2026'!B1689),"",'ENGAGEMENTS 2026'!H1689)</f>
        <v/>
      </c>
      <c r="F1689">
        <f>IF(ISBLANK('ENGAGEMENTS 2026'!B1689),"",'ENGAGEMENTS 2026'!I1689)</f>
        <v/>
      </c>
      <c r="G1689">
        <f>IF(ISBLANK('ENGAGEMENTS 2026'!B1689),"",'ENGAGEMENTS 2026'!L1689)</f>
        <v/>
      </c>
      <c r="H1689">
        <f>IF(ISBLANK('ENGAGEMENTS 2026'!B1689),"",'ENGAGEMENTS 2026'!AE1689)</f>
        <v/>
      </c>
      <c r="I1689">
        <f>IF(ISBLANK('ENGAGEMENTS 2026'!B1689),"",'ENGAGEMENTS 2026'!G1689)</f>
        <v/>
      </c>
      <c r="J1689" s="275">
        <f>IF(ISBLANK('ENGAGEMENTS 2026'!B1689),"",IF(AND(OR($E1689="INFRUCTUEUX",$E1689="ANNULE"),$C1689="AOO-M"),'ENGAGEMENTS 2026'!O1689,IF($H1689="EN COURS DE PREENGAGEMENT",'ENGAGEMENTS 2026'!N1689,IF($H1689="PREENGAGE",IF($E1689="ATTRIBUE",'ENGAGEMENTS 2026'!AD1689,'ENGAGEMENTS 2026'!N1689),'ENGAGEMENTS 2026'!AD1689))))</f>
        <v/>
      </c>
      <c r="K1689" s="604">
        <f>IF(ISBLANK('ENGAGEMENTS 2026'!V1689),"",'ENGAGEMENTS 2026'!V1689)</f>
        <v/>
      </c>
      <c r="L1689" s="276">
        <f>IF($K1689="","",TODAY()-$K1689)</f>
        <v/>
      </c>
      <c r="M1689">
        <f>IF($A1689="","",IF($H1689="ENGAGE","Engagé",IF(AND($H1689="NON ENGAGE",OR($I1689="INFRUCTUEUX",$I1689="ANNULE")),"Clôturé sans suite","En cours")))</f>
        <v/>
      </c>
      <c r="N1689">
        <f>IF(ISBLANK('ENGAGEMENTS 2026'!B1689),"",'ENGAGEMENTS 2026'!K1689)</f>
        <v/>
      </c>
      <c r="O1689">
        <f>IF(ISBLANK('ENGAGEMENTS 2026'!B1689),"",'ENGAGEMENTS 2026'!L1689)</f>
        <v/>
      </c>
      <c r="P1689">
        <f>IF(ISBLANK('ENGAGEMENTS 2026'!B1689),"",'ENGAGEMENTS 2026'!J1689)</f>
        <v/>
      </c>
      <c r="Q1689">
        <f>IF($A1689="","",IF(OR($E1689="INFRUCTUEUX",$E1689="ANNULE"),$A1689&amp;"|"&amp;(COUNTIFS($A$2:$A1689,$A1689,$E$2:$E1689,"INFRUCTUEUX")+COUNTIFS($A$2:$A1689,$A1689,$E$2:$E1689,"ANNULE")),""))</f>
        <v/>
      </c>
    </row>
    <row r="1690">
      <c r="A1690">
        <f>IF(ISBLANK('ENGAGEMENTS 2026'!B1690),"",IF('ENGAGEMENTS 2026'!B1690="DTSI","DCT",'ENGAGEMENTS 2026'!B1690))</f>
        <v/>
      </c>
      <c r="B1690">
        <f>IF(ISBLANK('ENGAGEMENTS 2026'!B1690),"",'ENGAGEMENTS 2026'!C1690)</f>
        <v/>
      </c>
      <c r="C1690">
        <f>IF(ISBLANK('ENGAGEMENTS 2026'!B1690),"",'ENGAGEMENTS 2026'!D1690)</f>
        <v/>
      </c>
      <c r="D1690">
        <f>IF(ISBLANK('ENGAGEMENTS 2026'!B1690),"",'ENGAGEMENTS 2026'!F1690)</f>
        <v/>
      </c>
      <c r="E1690">
        <f>IF(ISBLANK('ENGAGEMENTS 2026'!B1690),"",'ENGAGEMENTS 2026'!H1690)</f>
        <v/>
      </c>
      <c r="F1690">
        <f>IF(ISBLANK('ENGAGEMENTS 2026'!B1690),"",'ENGAGEMENTS 2026'!I1690)</f>
        <v/>
      </c>
      <c r="G1690">
        <f>IF(ISBLANK('ENGAGEMENTS 2026'!B1690),"",'ENGAGEMENTS 2026'!L1690)</f>
        <v/>
      </c>
      <c r="H1690">
        <f>IF(ISBLANK('ENGAGEMENTS 2026'!B1690),"",'ENGAGEMENTS 2026'!AE1690)</f>
        <v/>
      </c>
      <c r="I1690">
        <f>IF(ISBLANK('ENGAGEMENTS 2026'!B1690),"",'ENGAGEMENTS 2026'!G1690)</f>
        <v/>
      </c>
      <c r="J1690" s="275">
        <f>IF(ISBLANK('ENGAGEMENTS 2026'!B1690),"",IF(AND(OR($E1690="INFRUCTUEUX",$E1690="ANNULE"),$C1690="AOO-M"),'ENGAGEMENTS 2026'!O1690,IF($H1690="EN COURS DE PREENGAGEMENT",'ENGAGEMENTS 2026'!N1690,IF($H1690="PREENGAGE",IF($E1690="ATTRIBUE",'ENGAGEMENTS 2026'!AD1690,'ENGAGEMENTS 2026'!N1690),'ENGAGEMENTS 2026'!AD1690))))</f>
        <v/>
      </c>
      <c r="K1690" s="604">
        <f>IF(ISBLANK('ENGAGEMENTS 2026'!V1690),"",'ENGAGEMENTS 2026'!V1690)</f>
        <v/>
      </c>
      <c r="L1690" s="276">
        <f>IF($K1690="","",TODAY()-$K1690)</f>
        <v/>
      </c>
      <c r="M1690">
        <f>IF($A1690="","",IF($H1690="ENGAGE","Engagé",IF(AND($H1690="NON ENGAGE",OR($I1690="INFRUCTUEUX",$I1690="ANNULE")),"Clôturé sans suite","En cours")))</f>
        <v/>
      </c>
      <c r="N1690">
        <f>IF(ISBLANK('ENGAGEMENTS 2026'!B1690),"",'ENGAGEMENTS 2026'!K1690)</f>
        <v/>
      </c>
      <c r="O1690">
        <f>IF(ISBLANK('ENGAGEMENTS 2026'!B1690),"",'ENGAGEMENTS 2026'!L1690)</f>
        <v/>
      </c>
      <c r="P1690">
        <f>IF(ISBLANK('ENGAGEMENTS 2026'!B1690),"",'ENGAGEMENTS 2026'!J1690)</f>
        <v/>
      </c>
      <c r="Q1690">
        <f>IF($A1690="","",IF(OR($E1690="INFRUCTUEUX",$E1690="ANNULE"),$A1690&amp;"|"&amp;(COUNTIFS($A$2:$A1690,$A1690,$E$2:$E1690,"INFRUCTUEUX")+COUNTIFS($A$2:$A1690,$A1690,$E$2:$E1690,"ANNULE")),""))</f>
        <v/>
      </c>
    </row>
    <row r="1691">
      <c r="A1691">
        <f>IF(ISBLANK('ENGAGEMENTS 2026'!B1691),"",IF('ENGAGEMENTS 2026'!B1691="DTSI","DCT",'ENGAGEMENTS 2026'!B1691))</f>
        <v/>
      </c>
      <c r="B1691">
        <f>IF(ISBLANK('ENGAGEMENTS 2026'!B1691),"",'ENGAGEMENTS 2026'!C1691)</f>
        <v/>
      </c>
      <c r="C1691">
        <f>IF(ISBLANK('ENGAGEMENTS 2026'!B1691),"",'ENGAGEMENTS 2026'!D1691)</f>
        <v/>
      </c>
      <c r="D1691">
        <f>IF(ISBLANK('ENGAGEMENTS 2026'!B1691),"",'ENGAGEMENTS 2026'!F1691)</f>
        <v/>
      </c>
      <c r="E1691">
        <f>IF(ISBLANK('ENGAGEMENTS 2026'!B1691),"",'ENGAGEMENTS 2026'!H1691)</f>
        <v/>
      </c>
      <c r="F1691">
        <f>IF(ISBLANK('ENGAGEMENTS 2026'!B1691),"",'ENGAGEMENTS 2026'!I1691)</f>
        <v/>
      </c>
      <c r="G1691">
        <f>IF(ISBLANK('ENGAGEMENTS 2026'!B1691),"",'ENGAGEMENTS 2026'!L1691)</f>
        <v/>
      </c>
      <c r="H1691">
        <f>IF(ISBLANK('ENGAGEMENTS 2026'!B1691),"",'ENGAGEMENTS 2026'!AE1691)</f>
        <v/>
      </c>
      <c r="I1691">
        <f>IF(ISBLANK('ENGAGEMENTS 2026'!B1691),"",'ENGAGEMENTS 2026'!G1691)</f>
        <v/>
      </c>
      <c r="J1691" s="275">
        <f>IF(ISBLANK('ENGAGEMENTS 2026'!B1691),"",IF(AND(OR($E1691="INFRUCTUEUX",$E1691="ANNULE"),$C1691="AOO-M"),'ENGAGEMENTS 2026'!O1691,IF($H1691="EN COURS DE PREENGAGEMENT",'ENGAGEMENTS 2026'!N1691,IF($H1691="PREENGAGE",IF($E1691="ATTRIBUE",'ENGAGEMENTS 2026'!AD1691,'ENGAGEMENTS 2026'!N1691),'ENGAGEMENTS 2026'!AD1691))))</f>
        <v/>
      </c>
      <c r="K1691" s="604">
        <f>IF(ISBLANK('ENGAGEMENTS 2026'!V1691),"",'ENGAGEMENTS 2026'!V1691)</f>
        <v/>
      </c>
      <c r="L1691" s="276">
        <f>IF($K1691="","",TODAY()-$K1691)</f>
        <v/>
      </c>
      <c r="M1691">
        <f>IF($A1691="","",IF($H1691="ENGAGE","Engagé",IF(AND($H1691="NON ENGAGE",OR($I1691="INFRUCTUEUX",$I1691="ANNULE")),"Clôturé sans suite","En cours")))</f>
        <v/>
      </c>
      <c r="N1691">
        <f>IF(ISBLANK('ENGAGEMENTS 2026'!B1691),"",'ENGAGEMENTS 2026'!K1691)</f>
        <v/>
      </c>
      <c r="O1691">
        <f>IF(ISBLANK('ENGAGEMENTS 2026'!B1691),"",'ENGAGEMENTS 2026'!L1691)</f>
        <v/>
      </c>
      <c r="P1691">
        <f>IF(ISBLANK('ENGAGEMENTS 2026'!B1691),"",'ENGAGEMENTS 2026'!J1691)</f>
        <v/>
      </c>
      <c r="Q1691">
        <f>IF($A1691="","",IF(OR($E1691="INFRUCTUEUX",$E1691="ANNULE"),$A1691&amp;"|"&amp;(COUNTIFS($A$2:$A1691,$A1691,$E$2:$E1691,"INFRUCTUEUX")+COUNTIFS($A$2:$A1691,$A1691,$E$2:$E1691,"ANNULE")),""))</f>
        <v/>
      </c>
    </row>
    <row r="1692">
      <c r="A1692">
        <f>IF(ISBLANK('ENGAGEMENTS 2026'!B1692),"",IF('ENGAGEMENTS 2026'!B1692="DTSI","DCT",'ENGAGEMENTS 2026'!B1692))</f>
        <v/>
      </c>
      <c r="B1692">
        <f>IF(ISBLANK('ENGAGEMENTS 2026'!B1692),"",'ENGAGEMENTS 2026'!C1692)</f>
        <v/>
      </c>
      <c r="C1692">
        <f>IF(ISBLANK('ENGAGEMENTS 2026'!B1692),"",'ENGAGEMENTS 2026'!D1692)</f>
        <v/>
      </c>
      <c r="D1692">
        <f>IF(ISBLANK('ENGAGEMENTS 2026'!B1692),"",'ENGAGEMENTS 2026'!F1692)</f>
        <v/>
      </c>
      <c r="E1692">
        <f>IF(ISBLANK('ENGAGEMENTS 2026'!B1692),"",'ENGAGEMENTS 2026'!H1692)</f>
        <v/>
      </c>
      <c r="F1692">
        <f>IF(ISBLANK('ENGAGEMENTS 2026'!B1692),"",'ENGAGEMENTS 2026'!I1692)</f>
        <v/>
      </c>
      <c r="G1692">
        <f>IF(ISBLANK('ENGAGEMENTS 2026'!B1692),"",'ENGAGEMENTS 2026'!L1692)</f>
        <v/>
      </c>
      <c r="H1692">
        <f>IF(ISBLANK('ENGAGEMENTS 2026'!B1692),"",'ENGAGEMENTS 2026'!AE1692)</f>
        <v/>
      </c>
      <c r="I1692">
        <f>IF(ISBLANK('ENGAGEMENTS 2026'!B1692),"",'ENGAGEMENTS 2026'!G1692)</f>
        <v/>
      </c>
      <c r="J1692" s="275">
        <f>IF(ISBLANK('ENGAGEMENTS 2026'!B1692),"",IF(AND(OR($E1692="INFRUCTUEUX",$E1692="ANNULE"),$C1692="AOO-M"),'ENGAGEMENTS 2026'!O1692,IF($H1692="EN COURS DE PREENGAGEMENT",'ENGAGEMENTS 2026'!N1692,IF($H1692="PREENGAGE",IF($E1692="ATTRIBUE",'ENGAGEMENTS 2026'!AD1692,'ENGAGEMENTS 2026'!N1692),'ENGAGEMENTS 2026'!AD1692))))</f>
        <v/>
      </c>
      <c r="K1692" s="604">
        <f>IF(ISBLANK('ENGAGEMENTS 2026'!V1692),"",'ENGAGEMENTS 2026'!V1692)</f>
        <v/>
      </c>
      <c r="L1692" s="276">
        <f>IF($K1692="","",TODAY()-$K1692)</f>
        <v/>
      </c>
      <c r="M1692">
        <f>IF($A1692="","",IF($H1692="ENGAGE","Engagé",IF(AND($H1692="NON ENGAGE",OR($I1692="INFRUCTUEUX",$I1692="ANNULE")),"Clôturé sans suite","En cours")))</f>
        <v/>
      </c>
      <c r="N1692">
        <f>IF(ISBLANK('ENGAGEMENTS 2026'!B1692),"",'ENGAGEMENTS 2026'!K1692)</f>
        <v/>
      </c>
      <c r="O1692">
        <f>IF(ISBLANK('ENGAGEMENTS 2026'!B1692),"",'ENGAGEMENTS 2026'!L1692)</f>
        <v/>
      </c>
      <c r="P1692">
        <f>IF(ISBLANK('ENGAGEMENTS 2026'!B1692),"",'ENGAGEMENTS 2026'!J1692)</f>
        <v/>
      </c>
      <c r="Q1692">
        <f>IF($A1692="","",IF(OR($E1692="INFRUCTUEUX",$E1692="ANNULE"),$A1692&amp;"|"&amp;(COUNTIFS($A$2:$A1692,$A1692,$E$2:$E1692,"INFRUCTUEUX")+COUNTIFS($A$2:$A1692,$A1692,$E$2:$E1692,"ANNULE")),""))</f>
        <v/>
      </c>
    </row>
    <row r="1693">
      <c r="A1693">
        <f>IF(ISBLANK('ENGAGEMENTS 2026'!B1693),"",IF('ENGAGEMENTS 2026'!B1693="DTSI","DCT",'ENGAGEMENTS 2026'!B1693))</f>
        <v/>
      </c>
      <c r="B1693">
        <f>IF(ISBLANK('ENGAGEMENTS 2026'!B1693),"",'ENGAGEMENTS 2026'!C1693)</f>
        <v/>
      </c>
      <c r="C1693">
        <f>IF(ISBLANK('ENGAGEMENTS 2026'!B1693),"",'ENGAGEMENTS 2026'!D1693)</f>
        <v/>
      </c>
      <c r="D1693">
        <f>IF(ISBLANK('ENGAGEMENTS 2026'!B1693),"",'ENGAGEMENTS 2026'!F1693)</f>
        <v/>
      </c>
      <c r="E1693">
        <f>IF(ISBLANK('ENGAGEMENTS 2026'!B1693),"",'ENGAGEMENTS 2026'!H1693)</f>
        <v/>
      </c>
      <c r="F1693">
        <f>IF(ISBLANK('ENGAGEMENTS 2026'!B1693),"",'ENGAGEMENTS 2026'!I1693)</f>
        <v/>
      </c>
      <c r="G1693">
        <f>IF(ISBLANK('ENGAGEMENTS 2026'!B1693),"",'ENGAGEMENTS 2026'!L1693)</f>
        <v/>
      </c>
      <c r="H1693">
        <f>IF(ISBLANK('ENGAGEMENTS 2026'!B1693),"",'ENGAGEMENTS 2026'!AE1693)</f>
        <v/>
      </c>
      <c r="I1693">
        <f>IF(ISBLANK('ENGAGEMENTS 2026'!B1693),"",'ENGAGEMENTS 2026'!G1693)</f>
        <v/>
      </c>
      <c r="J1693" s="275">
        <f>IF(ISBLANK('ENGAGEMENTS 2026'!B1693),"",IF(AND(OR($E1693="INFRUCTUEUX",$E1693="ANNULE"),$C1693="AOO-M"),'ENGAGEMENTS 2026'!O1693,IF($H1693="EN COURS DE PREENGAGEMENT",'ENGAGEMENTS 2026'!N1693,IF($H1693="PREENGAGE",IF($E1693="ATTRIBUE",'ENGAGEMENTS 2026'!AD1693,'ENGAGEMENTS 2026'!N1693),'ENGAGEMENTS 2026'!AD1693))))</f>
        <v/>
      </c>
      <c r="K1693" s="604">
        <f>IF(ISBLANK('ENGAGEMENTS 2026'!V1693),"",'ENGAGEMENTS 2026'!V1693)</f>
        <v/>
      </c>
      <c r="L1693" s="276">
        <f>IF($K1693="","",TODAY()-$K1693)</f>
        <v/>
      </c>
      <c r="M1693">
        <f>IF($A1693="","",IF($H1693="ENGAGE","Engagé",IF(AND($H1693="NON ENGAGE",OR($I1693="INFRUCTUEUX",$I1693="ANNULE")),"Clôturé sans suite","En cours")))</f>
        <v/>
      </c>
      <c r="N1693">
        <f>IF(ISBLANK('ENGAGEMENTS 2026'!B1693),"",'ENGAGEMENTS 2026'!K1693)</f>
        <v/>
      </c>
      <c r="O1693">
        <f>IF(ISBLANK('ENGAGEMENTS 2026'!B1693),"",'ENGAGEMENTS 2026'!L1693)</f>
        <v/>
      </c>
      <c r="P1693">
        <f>IF(ISBLANK('ENGAGEMENTS 2026'!B1693),"",'ENGAGEMENTS 2026'!J1693)</f>
        <v/>
      </c>
      <c r="Q1693">
        <f>IF($A1693="","",IF(OR($E1693="INFRUCTUEUX",$E1693="ANNULE"),$A1693&amp;"|"&amp;(COUNTIFS($A$2:$A1693,$A1693,$E$2:$E1693,"INFRUCTUEUX")+COUNTIFS($A$2:$A1693,$A1693,$E$2:$E1693,"ANNULE")),""))</f>
        <v/>
      </c>
    </row>
    <row r="1694">
      <c r="A1694">
        <f>IF(ISBLANK('ENGAGEMENTS 2026'!B1694),"",IF('ENGAGEMENTS 2026'!B1694="DTSI","DCT",'ENGAGEMENTS 2026'!B1694))</f>
        <v/>
      </c>
      <c r="B1694">
        <f>IF(ISBLANK('ENGAGEMENTS 2026'!B1694),"",'ENGAGEMENTS 2026'!C1694)</f>
        <v/>
      </c>
      <c r="C1694">
        <f>IF(ISBLANK('ENGAGEMENTS 2026'!B1694),"",'ENGAGEMENTS 2026'!D1694)</f>
        <v/>
      </c>
      <c r="D1694">
        <f>IF(ISBLANK('ENGAGEMENTS 2026'!B1694),"",'ENGAGEMENTS 2026'!F1694)</f>
        <v/>
      </c>
      <c r="E1694">
        <f>IF(ISBLANK('ENGAGEMENTS 2026'!B1694),"",'ENGAGEMENTS 2026'!H1694)</f>
        <v/>
      </c>
      <c r="F1694">
        <f>IF(ISBLANK('ENGAGEMENTS 2026'!B1694),"",'ENGAGEMENTS 2026'!I1694)</f>
        <v/>
      </c>
      <c r="G1694">
        <f>IF(ISBLANK('ENGAGEMENTS 2026'!B1694),"",'ENGAGEMENTS 2026'!L1694)</f>
        <v/>
      </c>
      <c r="H1694">
        <f>IF(ISBLANK('ENGAGEMENTS 2026'!B1694),"",'ENGAGEMENTS 2026'!AE1694)</f>
        <v/>
      </c>
      <c r="I1694">
        <f>IF(ISBLANK('ENGAGEMENTS 2026'!B1694),"",'ENGAGEMENTS 2026'!G1694)</f>
        <v/>
      </c>
      <c r="J1694" s="275">
        <f>IF(ISBLANK('ENGAGEMENTS 2026'!B1694),"",IF(AND(OR($E1694="INFRUCTUEUX",$E1694="ANNULE"),$C1694="AOO-M"),'ENGAGEMENTS 2026'!O1694,IF($H1694="EN COURS DE PREENGAGEMENT",'ENGAGEMENTS 2026'!N1694,IF($H1694="PREENGAGE",IF($E1694="ATTRIBUE",'ENGAGEMENTS 2026'!AD1694,'ENGAGEMENTS 2026'!N1694),'ENGAGEMENTS 2026'!AD1694))))</f>
        <v/>
      </c>
      <c r="K1694" s="604">
        <f>IF(ISBLANK('ENGAGEMENTS 2026'!V1694),"",'ENGAGEMENTS 2026'!V1694)</f>
        <v/>
      </c>
      <c r="L1694" s="276">
        <f>IF($K1694="","",TODAY()-$K1694)</f>
        <v/>
      </c>
      <c r="M1694">
        <f>IF($A1694="","",IF($H1694="ENGAGE","Engagé",IF(AND($H1694="NON ENGAGE",OR($I1694="INFRUCTUEUX",$I1694="ANNULE")),"Clôturé sans suite","En cours")))</f>
        <v/>
      </c>
      <c r="N1694">
        <f>IF(ISBLANK('ENGAGEMENTS 2026'!B1694),"",'ENGAGEMENTS 2026'!K1694)</f>
        <v/>
      </c>
      <c r="O1694">
        <f>IF(ISBLANK('ENGAGEMENTS 2026'!B1694),"",'ENGAGEMENTS 2026'!L1694)</f>
        <v/>
      </c>
      <c r="P1694">
        <f>IF(ISBLANK('ENGAGEMENTS 2026'!B1694),"",'ENGAGEMENTS 2026'!J1694)</f>
        <v/>
      </c>
      <c r="Q1694">
        <f>IF($A1694="","",IF(OR($E1694="INFRUCTUEUX",$E1694="ANNULE"),$A1694&amp;"|"&amp;(COUNTIFS($A$2:$A1694,$A1694,$E$2:$E1694,"INFRUCTUEUX")+COUNTIFS($A$2:$A1694,$A1694,$E$2:$E1694,"ANNULE")),""))</f>
        <v/>
      </c>
    </row>
    <row r="1695">
      <c r="A1695">
        <f>IF(ISBLANK('ENGAGEMENTS 2026'!B1695),"",IF('ENGAGEMENTS 2026'!B1695="DTSI","DCT",'ENGAGEMENTS 2026'!B1695))</f>
        <v/>
      </c>
      <c r="B1695">
        <f>IF(ISBLANK('ENGAGEMENTS 2026'!B1695),"",'ENGAGEMENTS 2026'!C1695)</f>
        <v/>
      </c>
      <c r="C1695">
        <f>IF(ISBLANK('ENGAGEMENTS 2026'!B1695),"",'ENGAGEMENTS 2026'!D1695)</f>
        <v/>
      </c>
      <c r="D1695">
        <f>IF(ISBLANK('ENGAGEMENTS 2026'!B1695),"",'ENGAGEMENTS 2026'!F1695)</f>
        <v/>
      </c>
      <c r="E1695">
        <f>IF(ISBLANK('ENGAGEMENTS 2026'!B1695),"",'ENGAGEMENTS 2026'!H1695)</f>
        <v/>
      </c>
      <c r="F1695">
        <f>IF(ISBLANK('ENGAGEMENTS 2026'!B1695),"",'ENGAGEMENTS 2026'!I1695)</f>
        <v/>
      </c>
      <c r="G1695">
        <f>IF(ISBLANK('ENGAGEMENTS 2026'!B1695),"",'ENGAGEMENTS 2026'!L1695)</f>
        <v/>
      </c>
      <c r="H1695">
        <f>IF(ISBLANK('ENGAGEMENTS 2026'!B1695),"",'ENGAGEMENTS 2026'!AE1695)</f>
        <v/>
      </c>
      <c r="I1695">
        <f>IF(ISBLANK('ENGAGEMENTS 2026'!B1695),"",'ENGAGEMENTS 2026'!G1695)</f>
        <v/>
      </c>
      <c r="J1695" s="275">
        <f>IF(ISBLANK('ENGAGEMENTS 2026'!B1695),"",IF(AND(OR($E1695="INFRUCTUEUX",$E1695="ANNULE"),$C1695="AOO-M"),'ENGAGEMENTS 2026'!O1695,IF($H1695="EN COURS DE PREENGAGEMENT",'ENGAGEMENTS 2026'!N1695,IF($H1695="PREENGAGE",IF($E1695="ATTRIBUE",'ENGAGEMENTS 2026'!AD1695,'ENGAGEMENTS 2026'!N1695),'ENGAGEMENTS 2026'!AD1695))))</f>
        <v/>
      </c>
      <c r="K1695" s="604">
        <f>IF(ISBLANK('ENGAGEMENTS 2026'!V1695),"",'ENGAGEMENTS 2026'!V1695)</f>
        <v/>
      </c>
      <c r="L1695" s="276">
        <f>IF($K1695="","",TODAY()-$K1695)</f>
        <v/>
      </c>
      <c r="M1695">
        <f>IF($A1695="","",IF($H1695="ENGAGE","Engagé",IF(AND($H1695="NON ENGAGE",OR($I1695="INFRUCTUEUX",$I1695="ANNULE")),"Clôturé sans suite","En cours")))</f>
        <v/>
      </c>
      <c r="N1695">
        <f>IF(ISBLANK('ENGAGEMENTS 2026'!B1695),"",'ENGAGEMENTS 2026'!K1695)</f>
        <v/>
      </c>
      <c r="O1695">
        <f>IF(ISBLANK('ENGAGEMENTS 2026'!B1695),"",'ENGAGEMENTS 2026'!L1695)</f>
        <v/>
      </c>
      <c r="P1695">
        <f>IF(ISBLANK('ENGAGEMENTS 2026'!B1695),"",'ENGAGEMENTS 2026'!J1695)</f>
        <v/>
      </c>
      <c r="Q1695">
        <f>IF($A1695="","",IF(OR($E1695="INFRUCTUEUX",$E1695="ANNULE"),$A1695&amp;"|"&amp;(COUNTIFS($A$2:$A1695,$A1695,$E$2:$E1695,"INFRUCTUEUX")+COUNTIFS($A$2:$A1695,$A1695,$E$2:$E1695,"ANNULE")),""))</f>
        <v/>
      </c>
    </row>
    <row r="1696">
      <c r="A1696">
        <f>IF(ISBLANK('ENGAGEMENTS 2026'!B1696),"",IF('ENGAGEMENTS 2026'!B1696="DTSI","DCT",'ENGAGEMENTS 2026'!B1696))</f>
        <v/>
      </c>
      <c r="B1696">
        <f>IF(ISBLANK('ENGAGEMENTS 2026'!B1696),"",'ENGAGEMENTS 2026'!C1696)</f>
        <v/>
      </c>
      <c r="C1696">
        <f>IF(ISBLANK('ENGAGEMENTS 2026'!B1696),"",'ENGAGEMENTS 2026'!D1696)</f>
        <v/>
      </c>
      <c r="D1696">
        <f>IF(ISBLANK('ENGAGEMENTS 2026'!B1696),"",'ENGAGEMENTS 2026'!F1696)</f>
        <v/>
      </c>
      <c r="E1696">
        <f>IF(ISBLANK('ENGAGEMENTS 2026'!B1696),"",'ENGAGEMENTS 2026'!H1696)</f>
        <v/>
      </c>
      <c r="F1696">
        <f>IF(ISBLANK('ENGAGEMENTS 2026'!B1696),"",'ENGAGEMENTS 2026'!I1696)</f>
        <v/>
      </c>
      <c r="G1696">
        <f>IF(ISBLANK('ENGAGEMENTS 2026'!B1696),"",'ENGAGEMENTS 2026'!L1696)</f>
        <v/>
      </c>
      <c r="H1696">
        <f>IF(ISBLANK('ENGAGEMENTS 2026'!B1696),"",'ENGAGEMENTS 2026'!AE1696)</f>
        <v/>
      </c>
      <c r="I1696">
        <f>IF(ISBLANK('ENGAGEMENTS 2026'!B1696),"",'ENGAGEMENTS 2026'!G1696)</f>
        <v/>
      </c>
      <c r="J1696" s="275">
        <f>IF(ISBLANK('ENGAGEMENTS 2026'!B1696),"",IF(AND(OR($E1696="INFRUCTUEUX",$E1696="ANNULE"),$C1696="AOO-M"),'ENGAGEMENTS 2026'!O1696,IF($H1696="EN COURS DE PREENGAGEMENT",'ENGAGEMENTS 2026'!N1696,IF($H1696="PREENGAGE",IF($E1696="ATTRIBUE",'ENGAGEMENTS 2026'!AD1696,'ENGAGEMENTS 2026'!N1696),'ENGAGEMENTS 2026'!AD1696))))</f>
        <v/>
      </c>
      <c r="K1696" s="604">
        <f>IF(ISBLANK('ENGAGEMENTS 2026'!V1696),"",'ENGAGEMENTS 2026'!V1696)</f>
        <v/>
      </c>
      <c r="L1696" s="276">
        <f>IF($K1696="","",TODAY()-$K1696)</f>
        <v/>
      </c>
      <c r="M1696">
        <f>IF($A1696="","",IF($H1696="ENGAGE","Engagé",IF(AND($H1696="NON ENGAGE",OR($I1696="INFRUCTUEUX",$I1696="ANNULE")),"Clôturé sans suite","En cours")))</f>
        <v/>
      </c>
      <c r="N1696">
        <f>IF(ISBLANK('ENGAGEMENTS 2026'!B1696),"",'ENGAGEMENTS 2026'!K1696)</f>
        <v/>
      </c>
      <c r="O1696">
        <f>IF(ISBLANK('ENGAGEMENTS 2026'!B1696),"",'ENGAGEMENTS 2026'!L1696)</f>
        <v/>
      </c>
      <c r="P1696">
        <f>IF(ISBLANK('ENGAGEMENTS 2026'!B1696),"",'ENGAGEMENTS 2026'!J1696)</f>
        <v/>
      </c>
      <c r="Q1696">
        <f>IF($A1696="","",IF(OR($E1696="INFRUCTUEUX",$E1696="ANNULE"),$A1696&amp;"|"&amp;(COUNTIFS($A$2:$A1696,$A1696,$E$2:$E1696,"INFRUCTUEUX")+COUNTIFS($A$2:$A1696,$A1696,$E$2:$E1696,"ANNULE")),""))</f>
        <v/>
      </c>
    </row>
    <row r="1697">
      <c r="A1697">
        <f>IF(ISBLANK('ENGAGEMENTS 2026'!B1697),"",IF('ENGAGEMENTS 2026'!B1697="DTSI","DCT",'ENGAGEMENTS 2026'!B1697))</f>
        <v/>
      </c>
      <c r="B1697">
        <f>IF(ISBLANK('ENGAGEMENTS 2026'!B1697),"",'ENGAGEMENTS 2026'!C1697)</f>
        <v/>
      </c>
      <c r="C1697">
        <f>IF(ISBLANK('ENGAGEMENTS 2026'!B1697),"",'ENGAGEMENTS 2026'!D1697)</f>
        <v/>
      </c>
      <c r="D1697">
        <f>IF(ISBLANK('ENGAGEMENTS 2026'!B1697),"",'ENGAGEMENTS 2026'!F1697)</f>
        <v/>
      </c>
      <c r="E1697">
        <f>IF(ISBLANK('ENGAGEMENTS 2026'!B1697),"",'ENGAGEMENTS 2026'!H1697)</f>
        <v/>
      </c>
      <c r="F1697">
        <f>IF(ISBLANK('ENGAGEMENTS 2026'!B1697),"",'ENGAGEMENTS 2026'!I1697)</f>
        <v/>
      </c>
      <c r="G1697">
        <f>IF(ISBLANK('ENGAGEMENTS 2026'!B1697),"",'ENGAGEMENTS 2026'!L1697)</f>
        <v/>
      </c>
      <c r="H1697">
        <f>IF(ISBLANK('ENGAGEMENTS 2026'!B1697),"",'ENGAGEMENTS 2026'!AE1697)</f>
        <v/>
      </c>
      <c r="I1697">
        <f>IF(ISBLANK('ENGAGEMENTS 2026'!B1697),"",'ENGAGEMENTS 2026'!G1697)</f>
        <v/>
      </c>
      <c r="J1697" s="275">
        <f>IF(ISBLANK('ENGAGEMENTS 2026'!B1697),"",IF(AND(OR($E1697="INFRUCTUEUX",$E1697="ANNULE"),$C1697="AOO-M"),'ENGAGEMENTS 2026'!O1697,IF($H1697="EN COURS DE PREENGAGEMENT",'ENGAGEMENTS 2026'!N1697,IF($H1697="PREENGAGE",IF($E1697="ATTRIBUE",'ENGAGEMENTS 2026'!AD1697,'ENGAGEMENTS 2026'!N1697),'ENGAGEMENTS 2026'!AD1697))))</f>
        <v/>
      </c>
      <c r="K1697" s="604">
        <f>IF(ISBLANK('ENGAGEMENTS 2026'!V1697),"",'ENGAGEMENTS 2026'!V1697)</f>
        <v/>
      </c>
      <c r="L1697" s="276">
        <f>IF($K1697="","",TODAY()-$K1697)</f>
        <v/>
      </c>
      <c r="M1697">
        <f>IF($A1697="","",IF($H1697="ENGAGE","Engagé",IF(AND($H1697="NON ENGAGE",OR($I1697="INFRUCTUEUX",$I1697="ANNULE")),"Clôturé sans suite","En cours")))</f>
        <v/>
      </c>
      <c r="N1697">
        <f>IF(ISBLANK('ENGAGEMENTS 2026'!B1697),"",'ENGAGEMENTS 2026'!K1697)</f>
        <v/>
      </c>
      <c r="O1697">
        <f>IF(ISBLANK('ENGAGEMENTS 2026'!B1697),"",'ENGAGEMENTS 2026'!L1697)</f>
        <v/>
      </c>
      <c r="P1697">
        <f>IF(ISBLANK('ENGAGEMENTS 2026'!B1697),"",'ENGAGEMENTS 2026'!J1697)</f>
        <v/>
      </c>
      <c r="Q1697">
        <f>IF($A1697="","",IF(OR($E1697="INFRUCTUEUX",$E1697="ANNULE"),$A1697&amp;"|"&amp;(COUNTIFS($A$2:$A1697,$A1697,$E$2:$E1697,"INFRUCTUEUX")+COUNTIFS($A$2:$A1697,$A1697,$E$2:$E1697,"ANNULE")),""))</f>
        <v/>
      </c>
    </row>
    <row r="1698">
      <c r="A1698">
        <f>IF(ISBLANK('ENGAGEMENTS 2026'!B1698),"",IF('ENGAGEMENTS 2026'!B1698="DTSI","DCT",'ENGAGEMENTS 2026'!B1698))</f>
        <v/>
      </c>
      <c r="B1698">
        <f>IF(ISBLANK('ENGAGEMENTS 2026'!B1698),"",'ENGAGEMENTS 2026'!C1698)</f>
        <v/>
      </c>
      <c r="C1698">
        <f>IF(ISBLANK('ENGAGEMENTS 2026'!B1698),"",'ENGAGEMENTS 2026'!D1698)</f>
        <v/>
      </c>
      <c r="D1698">
        <f>IF(ISBLANK('ENGAGEMENTS 2026'!B1698),"",'ENGAGEMENTS 2026'!F1698)</f>
        <v/>
      </c>
      <c r="E1698">
        <f>IF(ISBLANK('ENGAGEMENTS 2026'!B1698),"",'ENGAGEMENTS 2026'!H1698)</f>
        <v/>
      </c>
      <c r="F1698">
        <f>IF(ISBLANK('ENGAGEMENTS 2026'!B1698),"",'ENGAGEMENTS 2026'!I1698)</f>
        <v/>
      </c>
      <c r="G1698">
        <f>IF(ISBLANK('ENGAGEMENTS 2026'!B1698),"",'ENGAGEMENTS 2026'!L1698)</f>
        <v/>
      </c>
      <c r="H1698">
        <f>IF(ISBLANK('ENGAGEMENTS 2026'!B1698),"",'ENGAGEMENTS 2026'!AE1698)</f>
        <v/>
      </c>
      <c r="I1698">
        <f>IF(ISBLANK('ENGAGEMENTS 2026'!B1698),"",'ENGAGEMENTS 2026'!G1698)</f>
        <v/>
      </c>
      <c r="J1698" s="275">
        <f>IF(ISBLANK('ENGAGEMENTS 2026'!B1698),"",IF(AND(OR($E1698="INFRUCTUEUX",$E1698="ANNULE"),$C1698="AOO-M"),'ENGAGEMENTS 2026'!O1698,IF($H1698="EN COURS DE PREENGAGEMENT",'ENGAGEMENTS 2026'!N1698,IF($H1698="PREENGAGE",IF($E1698="ATTRIBUE",'ENGAGEMENTS 2026'!AD1698,'ENGAGEMENTS 2026'!N1698),'ENGAGEMENTS 2026'!AD1698))))</f>
        <v/>
      </c>
      <c r="K1698" s="604">
        <f>IF(ISBLANK('ENGAGEMENTS 2026'!V1698),"",'ENGAGEMENTS 2026'!V1698)</f>
        <v/>
      </c>
      <c r="L1698" s="276">
        <f>IF($K1698="","",TODAY()-$K1698)</f>
        <v/>
      </c>
      <c r="M1698">
        <f>IF($A1698="","",IF($H1698="ENGAGE","Engagé",IF(AND($H1698="NON ENGAGE",OR($I1698="INFRUCTUEUX",$I1698="ANNULE")),"Clôturé sans suite","En cours")))</f>
        <v/>
      </c>
      <c r="N1698">
        <f>IF(ISBLANK('ENGAGEMENTS 2026'!B1698),"",'ENGAGEMENTS 2026'!K1698)</f>
        <v/>
      </c>
      <c r="O1698">
        <f>IF(ISBLANK('ENGAGEMENTS 2026'!B1698),"",'ENGAGEMENTS 2026'!L1698)</f>
        <v/>
      </c>
      <c r="P1698">
        <f>IF(ISBLANK('ENGAGEMENTS 2026'!B1698),"",'ENGAGEMENTS 2026'!J1698)</f>
        <v/>
      </c>
      <c r="Q1698">
        <f>IF($A1698="","",IF(OR($E1698="INFRUCTUEUX",$E1698="ANNULE"),$A1698&amp;"|"&amp;(COUNTIFS($A$2:$A1698,$A1698,$E$2:$E1698,"INFRUCTUEUX")+COUNTIFS($A$2:$A1698,$A1698,$E$2:$E1698,"ANNULE")),""))</f>
        <v/>
      </c>
    </row>
    <row r="1699">
      <c r="A1699">
        <f>IF(ISBLANK('ENGAGEMENTS 2026'!B1699),"",IF('ENGAGEMENTS 2026'!B1699="DTSI","DCT",'ENGAGEMENTS 2026'!B1699))</f>
        <v/>
      </c>
      <c r="B1699">
        <f>IF(ISBLANK('ENGAGEMENTS 2026'!B1699),"",'ENGAGEMENTS 2026'!C1699)</f>
        <v/>
      </c>
      <c r="C1699">
        <f>IF(ISBLANK('ENGAGEMENTS 2026'!B1699),"",'ENGAGEMENTS 2026'!D1699)</f>
        <v/>
      </c>
      <c r="D1699">
        <f>IF(ISBLANK('ENGAGEMENTS 2026'!B1699),"",'ENGAGEMENTS 2026'!F1699)</f>
        <v/>
      </c>
      <c r="E1699">
        <f>IF(ISBLANK('ENGAGEMENTS 2026'!B1699),"",'ENGAGEMENTS 2026'!H1699)</f>
        <v/>
      </c>
      <c r="F1699">
        <f>IF(ISBLANK('ENGAGEMENTS 2026'!B1699),"",'ENGAGEMENTS 2026'!I1699)</f>
        <v/>
      </c>
      <c r="G1699">
        <f>IF(ISBLANK('ENGAGEMENTS 2026'!B1699),"",'ENGAGEMENTS 2026'!L1699)</f>
        <v/>
      </c>
      <c r="H1699">
        <f>IF(ISBLANK('ENGAGEMENTS 2026'!B1699),"",'ENGAGEMENTS 2026'!AE1699)</f>
        <v/>
      </c>
      <c r="I1699">
        <f>IF(ISBLANK('ENGAGEMENTS 2026'!B1699),"",'ENGAGEMENTS 2026'!G1699)</f>
        <v/>
      </c>
      <c r="J1699" s="275">
        <f>IF(ISBLANK('ENGAGEMENTS 2026'!B1699),"",IF(AND(OR($E1699="INFRUCTUEUX",$E1699="ANNULE"),$C1699="AOO-M"),'ENGAGEMENTS 2026'!O1699,IF($H1699="EN COURS DE PREENGAGEMENT",'ENGAGEMENTS 2026'!N1699,IF($H1699="PREENGAGE",IF($E1699="ATTRIBUE",'ENGAGEMENTS 2026'!AD1699,'ENGAGEMENTS 2026'!N1699),'ENGAGEMENTS 2026'!AD1699))))</f>
        <v/>
      </c>
      <c r="K1699" s="604">
        <f>IF(ISBLANK('ENGAGEMENTS 2026'!V1699),"",'ENGAGEMENTS 2026'!V1699)</f>
        <v/>
      </c>
      <c r="L1699" s="276">
        <f>IF($K1699="","",TODAY()-$K1699)</f>
        <v/>
      </c>
      <c r="M1699">
        <f>IF($A1699="","",IF($H1699="ENGAGE","Engagé",IF(AND($H1699="NON ENGAGE",OR($I1699="INFRUCTUEUX",$I1699="ANNULE")),"Clôturé sans suite","En cours")))</f>
        <v/>
      </c>
      <c r="N1699">
        <f>IF(ISBLANK('ENGAGEMENTS 2026'!B1699),"",'ENGAGEMENTS 2026'!K1699)</f>
        <v/>
      </c>
      <c r="O1699">
        <f>IF(ISBLANK('ENGAGEMENTS 2026'!B1699),"",'ENGAGEMENTS 2026'!L1699)</f>
        <v/>
      </c>
      <c r="P1699">
        <f>IF(ISBLANK('ENGAGEMENTS 2026'!B1699),"",'ENGAGEMENTS 2026'!J1699)</f>
        <v/>
      </c>
      <c r="Q1699">
        <f>IF($A1699="","",IF(OR($E1699="INFRUCTUEUX",$E1699="ANNULE"),$A1699&amp;"|"&amp;(COUNTIFS($A$2:$A1699,$A1699,$E$2:$E1699,"INFRUCTUEUX")+COUNTIFS($A$2:$A1699,$A1699,$E$2:$E1699,"ANNULE")),""))</f>
        <v/>
      </c>
    </row>
    <row r="1700">
      <c r="A1700">
        <f>IF(ISBLANK('ENGAGEMENTS 2026'!B1700),"",IF('ENGAGEMENTS 2026'!B1700="DTSI","DCT",'ENGAGEMENTS 2026'!B1700))</f>
        <v/>
      </c>
      <c r="B1700">
        <f>IF(ISBLANK('ENGAGEMENTS 2026'!B1700),"",'ENGAGEMENTS 2026'!C1700)</f>
        <v/>
      </c>
      <c r="C1700">
        <f>IF(ISBLANK('ENGAGEMENTS 2026'!B1700),"",'ENGAGEMENTS 2026'!D1700)</f>
        <v/>
      </c>
      <c r="D1700">
        <f>IF(ISBLANK('ENGAGEMENTS 2026'!B1700),"",'ENGAGEMENTS 2026'!F1700)</f>
        <v/>
      </c>
      <c r="E1700">
        <f>IF(ISBLANK('ENGAGEMENTS 2026'!B1700),"",'ENGAGEMENTS 2026'!H1700)</f>
        <v/>
      </c>
      <c r="F1700">
        <f>IF(ISBLANK('ENGAGEMENTS 2026'!B1700),"",'ENGAGEMENTS 2026'!I1700)</f>
        <v/>
      </c>
      <c r="G1700">
        <f>IF(ISBLANK('ENGAGEMENTS 2026'!B1700),"",'ENGAGEMENTS 2026'!L1700)</f>
        <v/>
      </c>
      <c r="H1700">
        <f>IF(ISBLANK('ENGAGEMENTS 2026'!B1700),"",'ENGAGEMENTS 2026'!AE1700)</f>
        <v/>
      </c>
      <c r="I1700">
        <f>IF(ISBLANK('ENGAGEMENTS 2026'!B1700),"",'ENGAGEMENTS 2026'!G1700)</f>
        <v/>
      </c>
      <c r="J1700" s="275">
        <f>IF(ISBLANK('ENGAGEMENTS 2026'!B1700),"",IF(AND(OR($E1700="INFRUCTUEUX",$E1700="ANNULE"),$C1700="AOO-M"),'ENGAGEMENTS 2026'!O1700,IF($H1700="EN COURS DE PREENGAGEMENT",'ENGAGEMENTS 2026'!N1700,IF($H1700="PREENGAGE",IF($E1700="ATTRIBUE",'ENGAGEMENTS 2026'!AD1700,'ENGAGEMENTS 2026'!N1700),'ENGAGEMENTS 2026'!AD1700))))</f>
        <v/>
      </c>
      <c r="K1700" s="604">
        <f>IF(ISBLANK('ENGAGEMENTS 2026'!V1700),"",'ENGAGEMENTS 2026'!V1700)</f>
        <v/>
      </c>
      <c r="L1700" s="276">
        <f>IF($K1700="","",TODAY()-$K1700)</f>
        <v/>
      </c>
      <c r="M1700">
        <f>IF($A1700="","",IF($H1700="ENGAGE","Engagé",IF(AND($H1700="NON ENGAGE",OR($I1700="INFRUCTUEUX",$I1700="ANNULE")),"Clôturé sans suite","En cours")))</f>
        <v/>
      </c>
      <c r="N1700">
        <f>IF(ISBLANK('ENGAGEMENTS 2026'!B1700),"",'ENGAGEMENTS 2026'!K1700)</f>
        <v/>
      </c>
      <c r="O1700">
        <f>IF(ISBLANK('ENGAGEMENTS 2026'!B1700),"",'ENGAGEMENTS 2026'!L1700)</f>
        <v/>
      </c>
      <c r="P1700">
        <f>IF(ISBLANK('ENGAGEMENTS 2026'!B1700),"",'ENGAGEMENTS 2026'!J1700)</f>
        <v/>
      </c>
      <c r="Q1700">
        <f>IF($A1700="","",IF(OR($E1700="INFRUCTUEUX",$E1700="ANNULE"),$A1700&amp;"|"&amp;(COUNTIFS($A$2:$A1700,$A1700,$E$2:$E1700,"INFRUCTUEUX")+COUNTIFS($A$2:$A1700,$A1700,$E$2:$E1700,"ANNULE")),""))</f>
        <v/>
      </c>
    </row>
    <row r="1701">
      <c r="A1701">
        <f>IF(ISBLANK('ENGAGEMENTS 2026'!B1701),"",IF('ENGAGEMENTS 2026'!B1701="DTSI","DCT",'ENGAGEMENTS 2026'!B1701))</f>
        <v/>
      </c>
      <c r="B1701">
        <f>IF(ISBLANK('ENGAGEMENTS 2026'!B1701),"",'ENGAGEMENTS 2026'!C1701)</f>
        <v/>
      </c>
      <c r="C1701">
        <f>IF(ISBLANK('ENGAGEMENTS 2026'!B1701),"",'ENGAGEMENTS 2026'!D1701)</f>
        <v/>
      </c>
      <c r="D1701">
        <f>IF(ISBLANK('ENGAGEMENTS 2026'!B1701),"",'ENGAGEMENTS 2026'!F1701)</f>
        <v/>
      </c>
      <c r="E1701">
        <f>IF(ISBLANK('ENGAGEMENTS 2026'!B1701),"",'ENGAGEMENTS 2026'!H1701)</f>
        <v/>
      </c>
      <c r="F1701">
        <f>IF(ISBLANK('ENGAGEMENTS 2026'!B1701),"",'ENGAGEMENTS 2026'!I1701)</f>
        <v/>
      </c>
      <c r="G1701">
        <f>IF(ISBLANK('ENGAGEMENTS 2026'!B1701),"",'ENGAGEMENTS 2026'!L1701)</f>
        <v/>
      </c>
      <c r="H1701">
        <f>IF(ISBLANK('ENGAGEMENTS 2026'!B1701),"",'ENGAGEMENTS 2026'!AE1701)</f>
        <v/>
      </c>
      <c r="I1701">
        <f>IF(ISBLANK('ENGAGEMENTS 2026'!B1701),"",'ENGAGEMENTS 2026'!G1701)</f>
        <v/>
      </c>
      <c r="J1701" s="275">
        <f>IF(ISBLANK('ENGAGEMENTS 2026'!B1701),"",IF(AND(OR($E1701="INFRUCTUEUX",$E1701="ANNULE"),$C1701="AOO-M"),'ENGAGEMENTS 2026'!O1701,IF($H1701="EN COURS DE PREENGAGEMENT",'ENGAGEMENTS 2026'!N1701,IF($H1701="PREENGAGE",IF($E1701="ATTRIBUE",'ENGAGEMENTS 2026'!AD1701,'ENGAGEMENTS 2026'!N1701),'ENGAGEMENTS 2026'!AD1701))))</f>
        <v/>
      </c>
      <c r="K1701" s="604">
        <f>IF(ISBLANK('ENGAGEMENTS 2026'!V1701),"",'ENGAGEMENTS 2026'!V1701)</f>
        <v/>
      </c>
      <c r="L1701" s="276">
        <f>IF($K1701="","",TODAY()-$K1701)</f>
        <v/>
      </c>
      <c r="M1701">
        <f>IF($A1701="","",IF($H1701="ENGAGE","Engagé",IF(AND($H1701="NON ENGAGE",OR($I1701="INFRUCTUEUX",$I1701="ANNULE")),"Clôturé sans suite","En cours")))</f>
        <v/>
      </c>
      <c r="N1701">
        <f>IF(ISBLANK('ENGAGEMENTS 2026'!B1701),"",'ENGAGEMENTS 2026'!K1701)</f>
        <v/>
      </c>
      <c r="O1701">
        <f>IF(ISBLANK('ENGAGEMENTS 2026'!B1701),"",'ENGAGEMENTS 2026'!L1701)</f>
        <v/>
      </c>
      <c r="P1701">
        <f>IF(ISBLANK('ENGAGEMENTS 2026'!B1701),"",'ENGAGEMENTS 2026'!J1701)</f>
        <v/>
      </c>
      <c r="Q1701">
        <f>IF($A1701="","",IF(OR($E1701="INFRUCTUEUX",$E1701="ANNULE"),$A1701&amp;"|"&amp;(COUNTIFS($A$2:$A1701,$A1701,$E$2:$E1701,"INFRUCTUEUX")+COUNTIFS($A$2:$A1701,$A1701,$E$2:$E1701,"ANNULE")),""))</f>
        <v/>
      </c>
    </row>
    <row r="1702">
      <c r="A1702">
        <f>IF(ISBLANK('ENGAGEMENTS 2026'!B1702),"",IF('ENGAGEMENTS 2026'!B1702="DTSI","DCT",'ENGAGEMENTS 2026'!B1702))</f>
        <v/>
      </c>
      <c r="B1702">
        <f>IF(ISBLANK('ENGAGEMENTS 2026'!B1702),"",'ENGAGEMENTS 2026'!C1702)</f>
        <v/>
      </c>
      <c r="C1702">
        <f>IF(ISBLANK('ENGAGEMENTS 2026'!B1702),"",'ENGAGEMENTS 2026'!D1702)</f>
        <v/>
      </c>
      <c r="D1702">
        <f>IF(ISBLANK('ENGAGEMENTS 2026'!B1702),"",'ENGAGEMENTS 2026'!F1702)</f>
        <v/>
      </c>
      <c r="E1702">
        <f>IF(ISBLANK('ENGAGEMENTS 2026'!B1702),"",'ENGAGEMENTS 2026'!H1702)</f>
        <v/>
      </c>
      <c r="F1702">
        <f>IF(ISBLANK('ENGAGEMENTS 2026'!B1702),"",'ENGAGEMENTS 2026'!I1702)</f>
        <v/>
      </c>
      <c r="G1702">
        <f>IF(ISBLANK('ENGAGEMENTS 2026'!B1702),"",'ENGAGEMENTS 2026'!L1702)</f>
        <v/>
      </c>
      <c r="H1702">
        <f>IF(ISBLANK('ENGAGEMENTS 2026'!B1702),"",'ENGAGEMENTS 2026'!AE1702)</f>
        <v/>
      </c>
      <c r="I1702">
        <f>IF(ISBLANK('ENGAGEMENTS 2026'!B1702),"",'ENGAGEMENTS 2026'!G1702)</f>
        <v/>
      </c>
      <c r="J1702" s="275">
        <f>IF(ISBLANK('ENGAGEMENTS 2026'!B1702),"",IF(AND(OR($E1702="INFRUCTUEUX",$E1702="ANNULE"),$C1702="AOO-M"),'ENGAGEMENTS 2026'!O1702,IF($H1702="EN COURS DE PREENGAGEMENT",'ENGAGEMENTS 2026'!N1702,IF($H1702="PREENGAGE",IF($E1702="ATTRIBUE",'ENGAGEMENTS 2026'!AD1702,'ENGAGEMENTS 2026'!N1702),'ENGAGEMENTS 2026'!AD1702))))</f>
        <v/>
      </c>
      <c r="K1702" s="604">
        <f>IF(ISBLANK('ENGAGEMENTS 2026'!V1702),"",'ENGAGEMENTS 2026'!V1702)</f>
        <v/>
      </c>
      <c r="L1702" s="276">
        <f>IF($K1702="","",TODAY()-$K1702)</f>
        <v/>
      </c>
      <c r="M1702">
        <f>IF($A1702="","",IF($H1702="ENGAGE","Engagé",IF(AND($H1702="NON ENGAGE",OR($I1702="INFRUCTUEUX",$I1702="ANNULE")),"Clôturé sans suite","En cours")))</f>
        <v/>
      </c>
      <c r="N1702">
        <f>IF(ISBLANK('ENGAGEMENTS 2026'!B1702),"",'ENGAGEMENTS 2026'!K1702)</f>
        <v/>
      </c>
      <c r="O1702">
        <f>IF(ISBLANK('ENGAGEMENTS 2026'!B1702),"",'ENGAGEMENTS 2026'!L1702)</f>
        <v/>
      </c>
      <c r="P1702">
        <f>IF(ISBLANK('ENGAGEMENTS 2026'!B1702),"",'ENGAGEMENTS 2026'!J1702)</f>
        <v/>
      </c>
      <c r="Q1702">
        <f>IF($A1702="","",IF(OR($E1702="INFRUCTUEUX",$E1702="ANNULE"),$A1702&amp;"|"&amp;(COUNTIFS($A$2:$A1702,$A1702,$E$2:$E1702,"INFRUCTUEUX")+COUNTIFS($A$2:$A1702,$A1702,$E$2:$E1702,"ANNULE")),""))</f>
        <v/>
      </c>
    </row>
    <row r="1703">
      <c r="A1703">
        <f>IF(ISBLANK('ENGAGEMENTS 2026'!B1703),"",IF('ENGAGEMENTS 2026'!B1703="DTSI","DCT",'ENGAGEMENTS 2026'!B1703))</f>
        <v/>
      </c>
      <c r="B1703">
        <f>IF(ISBLANK('ENGAGEMENTS 2026'!B1703),"",'ENGAGEMENTS 2026'!C1703)</f>
        <v/>
      </c>
      <c r="C1703">
        <f>IF(ISBLANK('ENGAGEMENTS 2026'!B1703),"",'ENGAGEMENTS 2026'!D1703)</f>
        <v/>
      </c>
      <c r="D1703">
        <f>IF(ISBLANK('ENGAGEMENTS 2026'!B1703),"",'ENGAGEMENTS 2026'!F1703)</f>
        <v/>
      </c>
      <c r="E1703">
        <f>IF(ISBLANK('ENGAGEMENTS 2026'!B1703),"",'ENGAGEMENTS 2026'!H1703)</f>
        <v/>
      </c>
      <c r="F1703">
        <f>IF(ISBLANK('ENGAGEMENTS 2026'!B1703),"",'ENGAGEMENTS 2026'!I1703)</f>
        <v/>
      </c>
      <c r="G1703">
        <f>IF(ISBLANK('ENGAGEMENTS 2026'!B1703),"",'ENGAGEMENTS 2026'!L1703)</f>
        <v/>
      </c>
      <c r="H1703">
        <f>IF(ISBLANK('ENGAGEMENTS 2026'!B1703),"",'ENGAGEMENTS 2026'!AE1703)</f>
        <v/>
      </c>
      <c r="I1703">
        <f>IF(ISBLANK('ENGAGEMENTS 2026'!B1703),"",'ENGAGEMENTS 2026'!G1703)</f>
        <v/>
      </c>
      <c r="J1703" s="275">
        <f>IF(ISBLANK('ENGAGEMENTS 2026'!B1703),"",IF(AND(OR($E1703="INFRUCTUEUX",$E1703="ANNULE"),$C1703="AOO-M"),'ENGAGEMENTS 2026'!O1703,IF($H1703="EN COURS DE PREENGAGEMENT",'ENGAGEMENTS 2026'!N1703,IF($H1703="PREENGAGE",IF($E1703="ATTRIBUE",'ENGAGEMENTS 2026'!AD1703,'ENGAGEMENTS 2026'!N1703),'ENGAGEMENTS 2026'!AD1703))))</f>
        <v/>
      </c>
      <c r="K1703" s="604">
        <f>IF(ISBLANK('ENGAGEMENTS 2026'!V1703),"",'ENGAGEMENTS 2026'!V1703)</f>
        <v/>
      </c>
      <c r="L1703" s="276">
        <f>IF($K1703="","",TODAY()-$K1703)</f>
        <v/>
      </c>
      <c r="M1703">
        <f>IF($A1703="","",IF($H1703="ENGAGE","Engagé",IF(AND($H1703="NON ENGAGE",OR($I1703="INFRUCTUEUX",$I1703="ANNULE")),"Clôturé sans suite","En cours")))</f>
        <v/>
      </c>
      <c r="N1703">
        <f>IF(ISBLANK('ENGAGEMENTS 2026'!B1703),"",'ENGAGEMENTS 2026'!K1703)</f>
        <v/>
      </c>
      <c r="O1703">
        <f>IF(ISBLANK('ENGAGEMENTS 2026'!B1703),"",'ENGAGEMENTS 2026'!L1703)</f>
        <v/>
      </c>
      <c r="P1703">
        <f>IF(ISBLANK('ENGAGEMENTS 2026'!B1703),"",'ENGAGEMENTS 2026'!J1703)</f>
        <v/>
      </c>
      <c r="Q1703">
        <f>IF($A1703="","",IF(OR($E1703="INFRUCTUEUX",$E1703="ANNULE"),$A1703&amp;"|"&amp;(COUNTIFS($A$2:$A1703,$A1703,$E$2:$E1703,"INFRUCTUEUX")+COUNTIFS($A$2:$A1703,$A1703,$E$2:$E1703,"ANNULE")),""))</f>
        <v/>
      </c>
    </row>
    <row r="1704">
      <c r="A1704">
        <f>IF(ISBLANK('ENGAGEMENTS 2026'!B1704),"",IF('ENGAGEMENTS 2026'!B1704="DTSI","DCT",'ENGAGEMENTS 2026'!B1704))</f>
        <v/>
      </c>
      <c r="B1704">
        <f>IF(ISBLANK('ENGAGEMENTS 2026'!B1704),"",'ENGAGEMENTS 2026'!C1704)</f>
        <v/>
      </c>
      <c r="C1704">
        <f>IF(ISBLANK('ENGAGEMENTS 2026'!B1704),"",'ENGAGEMENTS 2026'!D1704)</f>
        <v/>
      </c>
      <c r="D1704">
        <f>IF(ISBLANK('ENGAGEMENTS 2026'!B1704),"",'ENGAGEMENTS 2026'!F1704)</f>
        <v/>
      </c>
      <c r="E1704">
        <f>IF(ISBLANK('ENGAGEMENTS 2026'!B1704),"",'ENGAGEMENTS 2026'!H1704)</f>
        <v/>
      </c>
      <c r="F1704">
        <f>IF(ISBLANK('ENGAGEMENTS 2026'!B1704),"",'ENGAGEMENTS 2026'!I1704)</f>
        <v/>
      </c>
      <c r="G1704">
        <f>IF(ISBLANK('ENGAGEMENTS 2026'!B1704),"",'ENGAGEMENTS 2026'!L1704)</f>
        <v/>
      </c>
      <c r="H1704">
        <f>IF(ISBLANK('ENGAGEMENTS 2026'!B1704),"",'ENGAGEMENTS 2026'!AE1704)</f>
        <v/>
      </c>
      <c r="I1704">
        <f>IF(ISBLANK('ENGAGEMENTS 2026'!B1704),"",'ENGAGEMENTS 2026'!G1704)</f>
        <v/>
      </c>
      <c r="J1704" s="275">
        <f>IF(ISBLANK('ENGAGEMENTS 2026'!B1704),"",IF(AND(OR($E1704="INFRUCTUEUX",$E1704="ANNULE"),$C1704="AOO-M"),'ENGAGEMENTS 2026'!O1704,IF($H1704="EN COURS DE PREENGAGEMENT",'ENGAGEMENTS 2026'!N1704,IF($H1704="PREENGAGE",IF($E1704="ATTRIBUE",'ENGAGEMENTS 2026'!AD1704,'ENGAGEMENTS 2026'!N1704),'ENGAGEMENTS 2026'!AD1704))))</f>
        <v/>
      </c>
      <c r="K1704" s="604">
        <f>IF(ISBLANK('ENGAGEMENTS 2026'!V1704),"",'ENGAGEMENTS 2026'!V1704)</f>
        <v/>
      </c>
      <c r="L1704" s="276">
        <f>IF($K1704="","",TODAY()-$K1704)</f>
        <v/>
      </c>
      <c r="M1704">
        <f>IF($A1704="","",IF($H1704="ENGAGE","Engagé",IF(AND($H1704="NON ENGAGE",OR($I1704="INFRUCTUEUX",$I1704="ANNULE")),"Clôturé sans suite","En cours")))</f>
        <v/>
      </c>
      <c r="N1704">
        <f>IF(ISBLANK('ENGAGEMENTS 2026'!B1704),"",'ENGAGEMENTS 2026'!K1704)</f>
        <v/>
      </c>
      <c r="O1704">
        <f>IF(ISBLANK('ENGAGEMENTS 2026'!B1704),"",'ENGAGEMENTS 2026'!L1704)</f>
        <v/>
      </c>
      <c r="P1704">
        <f>IF(ISBLANK('ENGAGEMENTS 2026'!B1704),"",'ENGAGEMENTS 2026'!J1704)</f>
        <v/>
      </c>
      <c r="Q1704">
        <f>IF($A1704="","",IF(OR($E1704="INFRUCTUEUX",$E1704="ANNULE"),$A1704&amp;"|"&amp;(COUNTIFS($A$2:$A1704,$A1704,$E$2:$E1704,"INFRUCTUEUX")+COUNTIFS($A$2:$A1704,$A1704,$E$2:$E1704,"ANNULE")),""))</f>
        <v/>
      </c>
    </row>
    <row r="1705">
      <c r="A1705">
        <f>IF(ISBLANK('ENGAGEMENTS 2026'!B1705),"",IF('ENGAGEMENTS 2026'!B1705="DTSI","DCT",'ENGAGEMENTS 2026'!B1705))</f>
        <v/>
      </c>
      <c r="B1705">
        <f>IF(ISBLANK('ENGAGEMENTS 2026'!B1705),"",'ENGAGEMENTS 2026'!C1705)</f>
        <v/>
      </c>
      <c r="C1705">
        <f>IF(ISBLANK('ENGAGEMENTS 2026'!B1705),"",'ENGAGEMENTS 2026'!D1705)</f>
        <v/>
      </c>
      <c r="D1705">
        <f>IF(ISBLANK('ENGAGEMENTS 2026'!B1705),"",'ENGAGEMENTS 2026'!F1705)</f>
        <v/>
      </c>
      <c r="E1705">
        <f>IF(ISBLANK('ENGAGEMENTS 2026'!B1705),"",'ENGAGEMENTS 2026'!H1705)</f>
        <v/>
      </c>
      <c r="F1705">
        <f>IF(ISBLANK('ENGAGEMENTS 2026'!B1705),"",'ENGAGEMENTS 2026'!I1705)</f>
        <v/>
      </c>
      <c r="G1705">
        <f>IF(ISBLANK('ENGAGEMENTS 2026'!B1705),"",'ENGAGEMENTS 2026'!L1705)</f>
        <v/>
      </c>
      <c r="H1705">
        <f>IF(ISBLANK('ENGAGEMENTS 2026'!B1705),"",'ENGAGEMENTS 2026'!AE1705)</f>
        <v/>
      </c>
      <c r="I1705">
        <f>IF(ISBLANK('ENGAGEMENTS 2026'!B1705),"",'ENGAGEMENTS 2026'!G1705)</f>
        <v/>
      </c>
      <c r="J1705" s="275">
        <f>IF(ISBLANK('ENGAGEMENTS 2026'!B1705),"",IF(AND(OR($E1705="INFRUCTUEUX",$E1705="ANNULE"),$C1705="AOO-M"),'ENGAGEMENTS 2026'!O1705,IF($H1705="EN COURS DE PREENGAGEMENT",'ENGAGEMENTS 2026'!N1705,IF($H1705="PREENGAGE",IF($E1705="ATTRIBUE",'ENGAGEMENTS 2026'!AD1705,'ENGAGEMENTS 2026'!N1705),'ENGAGEMENTS 2026'!AD1705))))</f>
        <v/>
      </c>
      <c r="K1705" s="604">
        <f>IF(ISBLANK('ENGAGEMENTS 2026'!V1705),"",'ENGAGEMENTS 2026'!V1705)</f>
        <v/>
      </c>
      <c r="L1705" s="276">
        <f>IF($K1705="","",TODAY()-$K1705)</f>
        <v/>
      </c>
      <c r="M1705">
        <f>IF($A1705="","",IF($H1705="ENGAGE","Engagé",IF(AND($H1705="NON ENGAGE",OR($I1705="INFRUCTUEUX",$I1705="ANNULE")),"Clôturé sans suite","En cours")))</f>
        <v/>
      </c>
      <c r="N1705">
        <f>IF(ISBLANK('ENGAGEMENTS 2026'!B1705),"",'ENGAGEMENTS 2026'!K1705)</f>
        <v/>
      </c>
      <c r="O1705">
        <f>IF(ISBLANK('ENGAGEMENTS 2026'!B1705),"",'ENGAGEMENTS 2026'!L1705)</f>
        <v/>
      </c>
      <c r="P1705">
        <f>IF(ISBLANK('ENGAGEMENTS 2026'!B1705),"",'ENGAGEMENTS 2026'!J1705)</f>
        <v/>
      </c>
      <c r="Q1705">
        <f>IF($A1705="","",IF(OR($E1705="INFRUCTUEUX",$E1705="ANNULE"),$A1705&amp;"|"&amp;(COUNTIFS($A$2:$A1705,$A1705,$E$2:$E1705,"INFRUCTUEUX")+COUNTIFS($A$2:$A1705,$A1705,$E$2:$E1705,"ANNULE")),""))</f>
        <v/>
      </c>
    </row>
    <row r="1706">
      <c r="A1706">
        <f>IF(ISBLANK('ENGAGEMENTS 2026'!B1706),"",IF('ENGAGEMENTS 2026'!B1706="DTSI","DCT",'ENGAGEMENTS 2026'!B1706))</f>
        <v/>
      </c>
      <c r="B1706">
        <f>IF(ISBLANK('ENGAGEMENTS 2026'!B1706),"",'ENGAGEMENTS 2026'!C1706)</f>
        <v/>
      </c>
      <c r="C1706">
        <f>IF(ISBLANK('ENGAGEMENTS 2026'!B1706),"",'ENGAGEMENTS 2026'!D1706)</f>
        <v/>
      </c>
      <c r="D1706">
        <f>IF(ISBLANK('ENGAGEMENTS 2026'!B1706),"",'ENGAGEMENTS 2026'!F1706)</f>
        <v/>
      </c>
      <c r="E1706">
        <f>IF(ISBLANK('ENGAGEMENTS 2026'!B1706),"",'ENGAGEMENTS 2026'!H1706)</f>
        <v/>
      </c>
      <c r="F1706">
        <f>IF(ISBLANK('ENGAGEMENTS 2026'!B1706),"",'ENGAGEMENTS 2026'!I1706)</f>
        <v/>
      </c>
      <c r="G1706">
        <f>IF(ISBLANK('ENGAGEMENTS 2026'!B1706),"",'ENGAGEMENTS 2026'!L1706)</f>
        <v/>
      </c>
      <c r="H1706">
        <f>IF(ISBLANK('ENGAGEMENTS 2026'!B1706),"",'ENGAGEMENTS 2026'!AE1706)</f>
        <v/>
      </c>
      <c r="I1706">
        <f>IF(ISBLANK('ENGAGEMENTS 2026'!B1706),"",'ENGAGEMENTS 2026'!G1706)</f>
        <v/>
      </c>
      <c r="J1706" s="275">
        <f>IF(ISBLANK('ENGAGEMENTS 2026'!B1706),"",IF(AND(OR($E1706="INFRUCTUEUX",$E1706="ANNULE"),$C1706="AOO-M"),'ENGAGEMENTS 2026'!O1706,IF($H1706="EN COURS DE PREENGAGEMENT",'ENGAGEMENTS 2026'!N1706,IF($H1706="PREENGAGE",IF($E1706="ATTRIBUE",'ENGAGEMENTS 2026'!AD1706,'ENGAGEMENTS 2026'!N1706),'ENGAGEMENTS 2026'!AD1706))))</f>
        <v/>
      </c>
      <c r="K1706" s="604">
        <f>IF(ISBLANK('ENGAGEMENTS 2026'!V1706),"",'ENGAGEMENTS 2026'!V1706)</f>
        <v/>
      </c>
      <c r="L1706" s="276">
        <f>IF($K1706="","",TODAY()-$K1706)</f>
        <v/>
      </c>
      <c r="M1706">
        <f>IF($A1706="","",IF($H1706="ENGAGE","Engagé",IF(AND($H1706="NON ENGAGE",OR($I1706="INFRUCTUEUX",$I1706="ANNULE")),"Clôturé sans suite","En cours")))</f>
        <v/>
      </c>
      <c r="N1706">
        <f>IF(ISBLANK('ENGAGEMENTS 2026'!B1706),"",'ENGAGEMENTS 2026'!K1706)</f>
        <v/>
      </c>
      <c r="O1706">
        <f>IF(ISBLANK('ENGAGEMENTS 2026'!B1706),"",'ENGAGEMENTS 2026'!L1706)</f>
        <v/>
      </c>
      <c r="P1706">
        <f>IF(ISBLANK('ENGAGEMENTS 2026'!B1706),"",'ENGAGEMENTS 2026'!J1706)</f>
        <v/>
      </c>
      <c r="Q1706">
        <f>IF($A1706="","",IF(OR($E1706="INFRUCTUEUX",$E1706="ANNULE"),$A1706&amp;"|"&amp;(COUNTIFS($A$2:$A1706,$A1706,$E$2:$E1706,"INFRUCTUEUX")+COUNTIFS($A$2:$A1706,$A1706,$E$2:$E1706,"ANNULE")),""))</f>
        <v/>
      </c>
    </row>
    <row r="1707">
      <c r="A1707">
        <f>IF(ISBLANK('ENGAGEMENTS 2026'!B1707),"",IF('ENGAGEMENTS 2026'!B1707="DTSI","DCT",'ENGAGEMENTS 2026'!B1707))</f>
        <v/>
      </c>
      <c r="B1707">
        <f>IF(ISBLANK('ENGAGEMENTS 2026'!B1707),"",'ENGAGEMENTS 2026'!C1707)</f>
        <v/>
      </c>
      <c r="C1707">
        <f>IF(ISBLANK('ENGAGEMENTS 2026'!B1707),"",'ENGAGEMENTS 2026'!D1707)</f>
        <v/>
      </c>
      <c r="D1707">
        <f>IF(ISBLANK('ENGAGEMENTS 2026'!B1707),"",'ENGAGEMENTS 2026'!F1707)</f>
        <v/>
      </c>
      <c r="E1707">
        <f>IF(ISBLANK('ENGAGEMENTS 2026'!B1707),"",'ENGAGEMENTS 2026'!H1707)</f>
        <v/>
      </c>
      <c r="F1707">
        <f>IF(ISBLANK('ENGAGEMENTS 2026'!B1707),"",'ENGAGEMENTS 2026'!I1707)</f>
        <v/>
      </c>
      <c r="G1707">
        <f>IF(ISBLANK('ENGAGEMENTS 2026'!B1707),"",'ENGAGEMENTS 2026'!L1707)</f>
        <v/>
      </c>
      <c r="H1707">
        <f>IF(ISBLANK('ENGAGEMENTS 2026'!B1707),"",'ENGAGEMENTS 2026'!AE1707)</f>
        <v/>
      </c>
      <c r="I1707">
        <f>IF(ISBLANK('ENGAGEMENTS 2026'!B1707),"",'ENGAGEMENTS 2026'!G1707)</f>
        <v/>
      </c>
      <c r="J1707" s="275">
        <f>IF(ISBLANK('ENGAGEMENTS 2026'!B1707),"",IF(AND(OR($E1707="INFRUCTUEUX",$E1707="ANNULE"),$C1707="AOO-M"),'ENGAGEMENTS 2026'!O1707,IF($H1707="EN COURS DE PREENGAGEMENT",'ENGAGEMENTS 2026'!N1707,IF($H1707="PREENGAGE",IF($E1707="ATTRIBUE",'ENGAGEMENTS 2026'!AD1707,'ENGAGEMENTS 2026'!N1707),'ENGAGEMENTS 2026'!AD1707))))</f>
        <v/>
      </c>
      <c r="K1707" s="604">
        <f>IF(ISBLANK('ENGAGEMENTS 2026'!V1707),"",'ENGAGEMENTS 2026'!V1707)</f>
        <v/>
      </c>
      <c r="L1707" s="276">
        <f>IF($K1707="","",TODAY()-$K1707)</f>
        <v/>
      </c>
      <c r="M1707">
        <f>IF($A1707="","",IF($H1707="ENGAGE","Engagé",IF(AND($H1707="NON ENGAGE",OR($I1707="INFRUCTUEUX",$I1707="ANNULE")),"Clôturé sans suite","En cours")))</f>
        <v/>
      </c>
      <c r="N1707">
        <f>IF(ISBLANK('ENGAGEMENTS 2026'!B1707),"",'ENGAGEMENTS 2026'!K1707)</f>
        <v/>
      </c>
      <c r="O1707">
        <f>IF(ISBLANK('ENGAGEMENTS 2026'!B1707),"",'ENGAGEMENTS 2026'!L1707)</f>
        <v/>
      </c>
      <c r="P1707">
        <f>IF(ISBLANK('ENGAGEMENTS 2026'!B1707),"",'ENGAGEMENTS 2026'!J1707)</f>
        <v/>
      </c>
      <c r="Q1707">
        <f>IF($A1707="","",IF(OR($E1707="INFRUCTUEUX",$E1707="ANNULE"),$A1707&amp;"|"&amp;(COUNTIFS($A$2:$A1707,$A1707,$E$2:$E1707,"INFRUCTUEUX")+COUNTIFS($A$2:$A1707,$A1707,$E$2:$E1707,"ANNULE")),""))</f>
        <v/>
      </c>
    </row>
    <row r="1708">
      <c r="A1708">
        <f>IF(ISBLANK('ENGAGEMENTS 2026'!B1708),"",IF('ENGAGEMENTS 2026'!B1708="DTSI","DCT",'ENGAGEMENTS 2026'!B1708))</f>
        <v/>
      </c>
      <c r="B1708">
        <f>IF(ISBLANK('ENGAGEMENTS 2026'!B1708),"",'ENGAGEMENTS 2026'!C1708)</f>
        <v/>
      </c>
      <c r="C1708">
        <f>IF(ISBLANK('ENGAGEMENTS 2026'!B1708),"",'ENGAGEMENTS 2026'!D1708)</f>
        <v/>
      </c>
      <c r="D1708">
        <f>IF(ISBLANK('ENGAGEMENTS 2026'!B1708),"",'ENGAGEMENTS 2026'!F1708)</f>
        <v/>
      </c>
      <c r="E1708">
        <f>IF(ISBLANK('ENGAGEMENTS 2026'!B1708),"",'ENGAGEMENTS 2026'!H1708)</f>
        <v/>
      </c>
      <c r="F1708">
        <f>IF(ISBLANK('ENGAGEMENTS 2026'!B1708),"",'ENGAGEMENTS 2026'!I1708)</f>
        <v/>
      </c>
      <c r="G1708">
        <f>IF(ISBLANK('ENGAGEMENTS 2026'!B1708),"",'ENGAGEMENTS 2026'!L1708)</f>
        <v/>
      </c>
      <c r="H1708">
        <f>IF(ISBLANK('ENGAGEMENTS 2026'!B1708),"",'ENGAGEMENTS 2026'!AE1708)</f>
        <v/>
      </c>
      <c r="I1708">
        <f>IF(ISBLANK('ENGAGEMENTS 2026'!B1708),"",'ENGAGEMENTS 2026'!G1708)</f>
        <v/>
      </c>
      <c r="J1708" s="275">
        <f>IF(ISBLANK('ENGAGEMENTS 2026'!B1708),"",IF(AND(OR($E1708="INFRUCTUEUX",$E1708="ANNULE"),$C1708="AOO-M"),'ENGAGEMENTS 2026'!O1708,IF($H1708="EN COURS DE PREENGAGEMENT",'ENGAGEMENTS 2026'!N1708,IF($H1708="PREENGAGE",IF($E1708="ATTRIBUE",'ENGAGEMENTS 2026'!AD1708,'ENGAGEMENTS 2026'!N1708),'ENGAGEMENTS 2026'!AD1708))))</f>
        <v/>
      </c>
      <c r="K1708" s="604">
        <f>IF(ISBLANK('ENGAGEMENTS 2026'!V1708),"",'ENGAGEMENTS 2026'!V1708)</f>
        <v/>
      </c>
      <c r="L1708" s="276">
        <f>IF($K1708="","",TODAY()-$K1708)</f>
        <v/>
      </c>
      <c r="M1708">
        <f>IF($A1708="","",IF($H1708="ENGAGE","Engagé",IF(AND($H1708="NON ENGAGE",OR($I1708="INFRUCTUEUX",$I1708="ANNULE")),"Clôturé sans suite","En cours")))</f>
        <v/>
      </c>
      <c r="N1708">
        <f>IF(ISBLANK('ENGAGEMENTS 2026'!B1708),"",'ENGAGEMENTS 2026'!K1708)</f>
        <v/>
      </c>
      <c r="O1708">
        <f>IF(ISBLANK('ENGAGEMENTS 2026'!B1708),"",'ENGAGEMENTS 2026'!L1708)</f>
        <v/>
      </c>
      <c r="P1708">
        <f>IF(ISBLANK('ENGAGEMENTS 2026'!B1708),"",'ENGAGEMENTS 2026'!J1708)</f>
        <v/>
      </c>
      <c r="Q1708">
        <f>IF($A1708="","",IF(OR($E1708="INFRUCTUEUX",$E1708="ANNULE"),$A1708&amp;"|"&amp;(COUNTIFS($A$2:$A1708,$A1708,$E$2:$E1708,"INFRUCTUEUX")+COUNTIFS($A$2:$A1708,$A1708,$E$2:$E1708,"ANNULE")),""))</f>
        <v/>
      </c>
    </row>
    <row r="1709">
      <c r="A1709">
        <f>IF(ISBLANK('ENGAGEMENTS 2026'!B1709),"",IF('ENGAGEMENTS 2026'!B1709="DTSI","DCT",'ENGAGEMENTS 2026'!B1709))</f>
        <v/>
      </c>
      <c r="B1709">
        <f>IF(ISBLANK('ENGAGEMENTS 2026'!B1709),"",'ENGAGEMENTS 2026'!C1709)</f>
        <v/>
      </c>
      <c r="C1709">
        <f>IF(ISBLANK('ENGAGEMENTS 2026'!B1709),"",'ENGAGEMENTS 2026'!D1709)</f>
        <v/>
      </c>
      <c r="D1709">
        <f>IF(ISBLANK('ENGAGEMENTS 2026'!B1709),"",'ENGAGEMENTS 2026'!F1709)</f>
        <v/>
      </c>
      <c r="E1709">
        <f>IF(ISBLANK('ENGAGEMENTS 2026'!B1709),"",'ENGAGEMENTS 2026'!H1709)</f>
        <v/>
      </c>
      <c r="F1709">
        <f>IF(ISBLANK('ENGAGEMENTS 2026'!B1709),"",'ENGAGEMENTS 2026'!I1709)</f>
        <v/>
      </c>
      <c r="G1709">
        <f>IF(ISBLANK('ENGAGEMENTS 2026'!B1709),"",'ENGAGEMENTS 2026'!L1709)</f>
        <v/>
      </c>
      <c r="H1709">
        <f>IF(ISBLANK('ENGAGEMENTS 2026'!B1709),"",'ENGAGEMENTS 2026'!AE1709)</f>
        <v/>
      </c>
      <c r="I1709">
        <f>IF(ISBLANK('ENGAGEMENTS 2026'!B1709),"",'ENGAGEMENTS 2026'!G1709)</f>
        <v/>
      </c>
      <c r="J1709" s="275">
        <f>IF(ISBLANK('ENGAGEMENTS 2026'!B1709),"",IF(AND(OR($E1709="INFRUCTUEUX",$E1709="ANNULE"),$C1709="AOO-M"),'ENGAGEMENTS 2026'!O1709,IF($H1709="EN COURS DE PREENGAGEMENT",'ENGAGEMENTS 2026'!N1709,IF($H1709="PREENGAGE",IF($E1709="ATTRIBUE",'ENGAGEMENTS 2026'!AD1709,'ENGAGEMENTS 2026'!N1709),'ENGAGEMENTS 2026'!AD1709))))</f>
        <v/>
      </c>
      <c r="K1709" s="604">
        <f>IF(ISBLANK('ENGAGEMENTS 2026'!V1709),"",'ENGAGEMENTS 2026'!V1709)</f>
        <v/>
      </c>
      <c r="L1709" s="276">
        <f>IF($K1709="","",TODAY()-$K1709)</f>
        <v/>
      </c>
      <c r="M1709">
        <f>IF($A1709="","",IF($H1709="ENGAGE","Engagé",IF(AND($H1709="NON ENGAGE",OR($I1709="INFRUCTUEUX",$I1709="ANNULE")),"Clôturé sans suite","En cours")))</f>
        <v/>
      </c>
      <c r="N1709">
        <f>IF(ISBLANK('ENGAGEMENTS 2026'!B1709),"",'ENGAGEMENTS 2026'!K1709)</f>
        <v/>
      </c>
      <c r="O1709">
        <f>IF(ISBLANK('ENGAGEMENTS 2026'!B1709),"",'ENGAGEMENTS 2026'!L1709)</f>
        <v/>
      </c>
      <c r="P1709">
        <f>IF(ISBLANK('ENGAGEMENTS 2026'!B1709),"",'ENGAGEMENTS 2026'!J1709)</f>
        <v/>
      </c>
      <c r="Q1709">
        <f>IF($A1709="","",IF(OR($E1709="INFRUCTUEUX",$E1709="ANNULE"),$A1709&amp;"|"&amp;(COUNTIFS($A$2:$A1709,$A1709,$E$2:$E1709,"INFRUCTUEUX")+COUNTIFS($A$2:$A1709,$A1709,$E$2:$E1709,"ANNULE")),""))</f>
        <v/>
      </c>
    </row>
    <row r="1710">
      <c r="A1710">
        <f>IF(ISBLANK('ENGAGEMENTS 2026'!B1710),"",IF('ENGAGEMENTS 2026'!B1710="DTSI","DCT",'ENGAGEMENTS 2026'!B1710))</f>
        <v/>
      </c>
      <c r="B1710">
        <f>IF(ISBLANK('ENGAGEMENTS 2026'!B1710),"",'ENGAGEMENTS 2026'!C1710)</f>
        <v/>
      </c>
      <c r="C1710">
        <f>IF(ISBLANK('ENGAGEMENTS 2026'!B1710),"",'ENGAGEMENTS 2026'!D1710)</f>
        <v/>
      </c>
      <c r="D1710">
        <f>IF(ISBLANK('ENGAGEMENTS 2026'!B1710),"",'ENGAGEMENTS 2026'!F1710)</f>
        <v/>
      </c>
      <c r="E1710">
        <f>IF(ISBLANK('ENGAGEMENTS 2026'!B1710),"",'ENGAGEMENTS 2026'!H1710)</f>
        <v/>
      </c>
      <c r="F1710">
        <f>IF(ISBLANK('ENGAGEMENTS 2026'!B1710),"",'ENGAGEMENTS 2026'!I1710)</f>
        <v/>
      </c>
      <c r="G1710">
        <f>IF(ISBLANK('ENGAGEMENTS 2026'!B1710),"",'ENGAGEMENTS 2026'!L1710)</f>
        <v/>
      </c>
      <c r="H1710">
        <f>IF(ISBLANK('ENGAGEMENTS 2026'!B1710),"",'ENGAGEMENTS 2026'!AE1710)</f>
        <v/>
      </c>
      <c r="I1710">
        <f>IF(ISBLANK('ENGAGEMENTS 2026'!B1710),"",'ENGAGEMENTS 2026'!G1710)</f>
        <v/>
      </c>
      <c r="J1710" s="275">
        <f>IF(ISBLANK('ENGAGEMENTS 2026'!B1710),"",IF(AND(OR($E1710="INFRUCTUEUX",$E1710="ANNULE"),$C1710="AOO-M"),'ENGAGEMENTS 2026'!O1710,IF($H1710="EN COURS DE PREENGAGEMENT",'ENGAGEMENTS 2026'!N1710,IF($H1710="PREENGAGE",IF($E1710="ATTRIBUE",'ENGAGEMENTS 2026'!AD1710,'ENGAGEMENTS 2026'!N1710),'ENGAGEMENTS 2026'!AD1710))))</f>
        <v/>
      </c>
      <c r="K1710" s="604">
        <f>IF(ISBLANK('ENGAGEMENTS 2026'!V1710),"",'ENGAGEMENTS 2026'!V1710)</f>
        <v/>
      </c>
      <c r="L1710" s="276">
        <f>IF($K1710="","",TODAY()-$K1710)</f>
        <v/>
      </c>
      <c r="M1710">
        <f>IF($A1710="","",IF($H1710="ENGAGE","Engagé",IF(AND($H1710="NON ENGAGE",OR($I1710="INFRUCTUEUX",$I1710="ANNULE")),"Clôturé sans suite","En cours")))</f>
        <v/>
      </c>
      <c r="N1710">
        <f>IF(ISBLANK('ENGAGEMENTS 2026'!B1710),"",'ENGAGEMENTS 2026'!K1710)</f>
        <v/>
      </c>
      <c r="O1710">
        <f>IF(ISBLANK('ENGAGEMENTS 2026'!B1710),"",'ENGAGEMENTS 2026'!L1710)</f>
        <v/>
      </c>
      <c r="P1710">
        <f>IF(ISBLANK('ENGAGEMENTS 2026'!B1710),"",'ENGAGEMENTS 2026'!J1710)</f>
        <v/>
      </c>
      <c r="Q1710">
        <f>IF($A1710="","",IF(OR($E1710="INFRUCTUEUX",$E1710="ANNULE"),$A1710&amp;"|"&amp;(COUNTIFS($A$2:$A1710,$A1710,$E$2:$E1710,"INFRUCTUEUX")+COUNTIFS($A$2:$A1710,$A1710,$E$2:$E1710,"ANNULE")),""))</f>
        <v/>
      </c>
    </row>
    <row r="1711">
      <c r="A1711">
        <f>IF(ISBLANK('ENGAGEMENTS 2026'!B1711),"",IF('ENGAGEMENTS 2026'!B1711="DTSI","DCT",'ENGAGEMENTS 2026'!B1711))</f>
        <v/>
      </c>
      <c r="B1711">
        <f>IF(ISBLANK('ENGAGEMENTS 2026'!B1711),"",'ENGAGEMENTS 2026'!C1711)</f>
        <v/>
      </c>
      <c r="C1711">
        <f>IF(ISBLANK('ENGAGEMENTS 2026'!B1711),"",'ENGAGEMENTS 2026'!D1711)</f>
        <v/>
      </c>
      <c r="D1711">
        <f>IF(ISBLANK('ENGAGEMENTS 2026'!B1711),"",'ENGAGEMENTS 2026'!F1711)</f>
        <v/>
      </c>
      <c r="E1711">
        <f>IF(ISBLANK('ENGAGEMENTS 2026'!B1711),"",'ENGAGEMENTS 2026'!H1711)</f>
        <v/>
      </c>
      <c r="F1711">
        <f>IF(ISBLANK('ENGAGEMENTS 2026'!B1711),"",'ENGAGEMENTS 2026'!I1711)</f>
        <v/>
      </c>
      <c r="G1711">
        <f>IF(ISBLANK('ENGAGEMENTS 2026'!B1711),"",'ENGAGEMENTS 2026'!L1711)</f>
        <v/>
      </c>
      <c r="H1711">
        <f>IF(ISBLANK('ENGAGEMENTS 2026'!B1711),"",'ENGAGEMENTS 2026'!AE1711)</f>
        <v/>
      </c>
      <c r="I1711">
        <f>IF(ISBLANK('ENGAGEMENTS 2026'!B1711),"",'ENGAGEMENTS 2026'!G1711)</f>
        <v/>
      </c>
      <c r="J1711" s="275">
        <f>IF(ISBLANK('ENGAGEMENTS 2026'!B1711),"",IF(AND(OR($E1711="INFRUCTUEUX",$E1711="ANNULE"),$C1711="AOO-M"),'ENGAGEMENTS 2026'!O1711,IF($H1711="EN COURS DE PREENGAGEMENT",'ENGAGEMENTS 2026'!N1711,IF($H1711="PREENGAGE",IF($E1711="ATTRIBUE",'ENGAGEMENTS 2026'!AD1711,'ENGAGEMENTS 2026'!N1711),'ENGAGEMENTS 2026'!AD1711))))</f>
        <v/>
      </c>
      <c r="K1711" s="604">
        <f>IF(ISBLANK('ENGAGEMENTS 2026'!V1711),"",'ENGAGEMENTS 2026'!V1711)</f>
        <v/>
      </c>
      <c r="L1711" s="276">
        <f>IF($K1711="","",TODAY()-$K1711)</f>
        <v/>
      </c>
      <c r="M1711">
        <f>IF($A1711="","",IF($H1711="ENGAGE","Engagé",IF(AND($H1711="NON ENGAGE",OR($I1711="INFRUCTUEUX",$I1711="ANNULE")),"Clôturé sans suite","En cours")))</f>
        <v/>
      </c>
      <c r="N1711">
        <f>IF(ISBLANK('ENGAGEMENTS 2026'!B1711),"",'ENGAGEMENTS 2026'!K1711)</f>
        <v/>
      </c>
      <c r="O1711">
        <f>IF(ISBLANK('ENGAGEMENTS 2026'!B1711),"",'ENGAGEMENTS 2026'!L1711)</f>
        <v/>
      </c>
      <c r="P1711">
        <f>IF(ISBLANK('ENGAGEMENTS 2026'!B1711),"",'ENGAGEMENTS 2026'!J1711)</f>
        <v/>
      </c>
      <c r="Q1711">
        <f>IF($A1711="","",IF(OR($E1711="INFRUCTUEUX",$E1711="ANNULE"),$A1711&amp;"|"&amp;(COUNTIFS($A$2:$A1711,$A1711,$E$2:$E1711,"INFRUCTUEUX")+COUNTIFS($A$2:$A1711,$A1711,$E$2:$E1711,"ANNULE")),""))</f>
        <v/>
      </c>
    </row>
    <row r="1712">
      <c r="A1712">
        <f>IF(ISBLANK('ENGAGEMENTS 2026'!B1712),"",IF('ENGAGEMENTS 2026'!B1712="DTSI","DCT",'ENGAGEMENTS 2026'!B1712))</f>
        <v/>
      </c>
      <c r="B1712">
        <f>IF(ISBLANK('ENGAGEMENTS 2026'!B1712),"",'ENGAGEMENTS 2026'!C1712)</f>
        <v/>
      </c>
      <c r="C1712">
        <f>IF(ISBLANK('ENGAGEMENTS 2026'!B1712),"",'ENGAGEMENTS 2026'!D1712)</f>
        <v/>
      </c>
      <c r="D1712">
        <f>IF(ISBLANK('ENGAGEMENTS 2026'!B1712),"",'ENGAGEMENTS 2026'!F1712)</f>
        <v/>
      </c>
      <c r="E1712">
        <f>IF(ISBLANK('ENGAGEMENTS 2026'!B1712),"",'ENGAGEMENTS 2026'!H1712)</f>
        <v/>
      </c>
      <c r="F1712">
        <f>IF(ISBLANK('ENGAGEMENTS 2026'!B1712),"",'ENGAGEMENTS 2026'!I1712)</f>
        <v/>
      </c>
      <c r="G1712">
        <f>IF(ISBLANK('ENGAGEMENTS 2026'!B1712),"",'ENGAGEMENTS 2026'!L1712)</f>
        <v/>
      </c>
      <c r="H1712">
        <f>IF(ISBLANK('ENGAGEMENTS 2026'!B1712),"",'ENGAGEMENTS 2026'!AE1712)</f>
        <v/>
      </c>
      <c r="I1712">
        <f>IF(ISBLANK('ENGAGEMENTS 2026'!B1712),"",'ENGAGEMENTS 2026'!G1712)</f>
        <v/>
      </c>
      <c r="J1712" s="275">
        <f>IF(ISBLANK('ENGAGEMENTS 2026'!B1712),"",IF(AND(OR($E1712="INFRUCTUEUX",$E1712="ANNULE"),$C1712="AOO-M"),'ENGAGEMENTS 2026'!O1712,IF($H1712="EN COURS DE PREENGAGEMENT",'ENGAGEMENTS 2026'!N1712,IF($H1712="PREENGAGE",IF($E1712="ATTRIBUE",'ENGAGEMENTS 2026'!AD1712,'ENGAGEMENTS 2026'!N1712),'ENGAGEMENTS 2026'!AD1712))))</f>
        <v/>
      </c>
      <c r="K1712" s="604">
        <f>IF(ISBLANK('ENGAGEMENTS 2026'!V1712),"",'ENGAGEMENTS 2026'!V1712)</f>
        <v/>
      </c>
      <c r="L1712" s="276">
        <f>IF($K1712="","",TODAY()-$K1712)</f>
        <v/>
      </c>
      <c r="M1712">
        <f>IF($A1712="","",IF($H1712="ENGAGE","Engagé",IF(AND($H1712="NON ENGAGE",OR($I1712="INFRUCTUEUX",$I1712="ANNULE")),"Clôturé sans suite","En cours")))</f>
        <v/>
      </c>
      <c r="N1712">
        <f>IF(ISBLANK('ENGAGEMENTS 2026'!B1712),"",'ENGAGEMENTS 2026'!K1712)</f>
        <v/>
      </c>
      <c r="O1712">
        <f>IF(ISBLANK('ENGAGEMENTS 2026'!B1712),"",'ENGAGEMENTS 2026'!L1712)</f>
        <v/>
      </c>
      <c r="P1712">
        <f>IF(ISBLANK('ENGAGEMENTS 2026'!B1712),"",'ENGAGEMENTS 2026'!J1712)</f>
        <v/>
      </c>
      <c r="Q1712">
        <f>IF($A1712="","",IF(OR($E1712="INFRUCTUEUX",$E1712="ANNULE"),$A1712&amp;"|"&amp;(COUNTIFS($A$2:$A1712,$A1712,$E$2:$E1712,"INFRUCTUEUX")+COUNTIFS($A$2:$A1712,$A1712,$E$2:$E1712,"ANNULE")),""))</f>
        <v/>
      </c>
    </row>
    <row r="1713">
      <c r="A1713">
        <f>IF(ISBLANK('ENGAGEMENTS 2026'!B1713),"",IF('ENGAGEMENTS 2026'!B1713="DTSI","DCT",'ENGAGEMENTS 2026'!B1713))</f>
        <v/>
      </c>
      <c r="B1713">
        <f>IF(ISBLANK('ENGAGEMENTS 2026'!B1713),"",'ENGAGEMENTS 2026'!C1713)</f>
        <v/>
      </c>
      <c r="C1713">
        <f>IF(ISBLANK('ENGAGEMENTS 2026'!B1713),"",'ENGAGEMENTS 2026'!D1713)</f>
        <v/>
      </c>
      <c r="D1713">
        <f>IF(ISBLANK('ENGAGEMENTS 2026'!B1713),"",'ENGAGEMENTS 2026'!F1713)</f>
        <v/>
      </c>
      <c r="E1713">
        <f>IF(ISBLANK('ENGAGEMENTS 2026'!B1713),"",'ENGAGEMENTS 2026'!H1713)</f>
        <v/>
      </c>
      <c r="F1713">
        <f>IF(ISBLANK('ENGAGEMENTS 2026'!B1713),"",'ENGAGEMENTS 2026'!I1713)</f>
        <v/>
      </c>
      <c r="G1713">
        <f>IF(ISBLANK('ENGAGEMENTS 2026'!B1713),"",'ENGAGEMENTS 2026'!L1713)</f>
        <v/>
      </c>
      <c r="H1713">
        <f>IF(ISBLANK('ENGAGEMENTS 2026'!B1713),"",'ENGAGEMENTS 2026'!AE1713)</f>
        <v/>
      </c>
      <c r="I1713">
        <f>IF(ISBLANK('ENGAGEMENTS 2026'!B1713),"",'ENGAGEMENTS 2026'!G1713)</f>
        <v/>
      </c>
      <c r="J1713" s="275">
        <f>IF(ISBLANK('ENGAGEMENTS 2026'!B1713),"",IF(AND(OR($E1713="INFRUCTUEUX",$E1713="ANNULE"),$C1713="AOO-M"),'ENGAGEMENTS 2026'!O1713,IF($H1713="EN COURS DE PREENGAGEMENT",'ENGAGEMENTS 2026'!N1713,IF($H1713="PREENGAGE",IF($E1713="ATTRIBUE",'ENGAGEMENTS 2026'!AD1713,'ENGAGEMENTS 2026'!N1713),'ENGAGEMENTS 2026'!AD1713))))</f>
        <v/>
      </c>
      <c r="K1713" s="604">
        <f>IF(ISBLANK('ENGAGEMENTS 2026'!V1713),"",'ENGAGEMENTS 2026'!V1713)</f>
        <v/>
      </c>
      <c r="L1713" s="276">
        <f>IF($K1713="","",TODAY()-$K1713)</f>
        <v/>
      </c>
      <c r="M1713">
        <f>IF($A1713="","",IF($H1713="ENGAGE","Engagé",IF(AND($H1713="NON ENGAGE",OR($I1713="INFRUCTUEUX",$I1713="ANNULE")),"Clôturé sans suite","En cours")))</f>
        <v/>
      </c>
      <c r="N1713">
        <f>IF(ISBLANK('ENGAGEMENTS 2026'!B1713),"",'ENGAGEMENTS 2026'!K1713)</f>
        <v/>
      </c>
      <c r="O1713">
        <f>IF(ISBLANK('ENGAGEMENTS 2026'!B1713),"",'ENGAGEMENTS 2026'!L1713)</f>
        <v/>
      </c>
      <c r="P1713">
        <f>IF(ISBLANK('ENGAGEMENTS 2026'!B1713),"",'ENGAGEMENTS 2026'!J1713)</f>
        <v/>
      </c>
      <c r="Q1713">
        <f>IF($A1713="","",IF(OR($E1713="INFRUCTUEUX",$E1713="ANNULE"),$A1713&amp;"|"&amp;(COUNTIFS($A$2:$A1713,$A1713,$E$2:$E1713,"INFRUCTUEUX")+COUNTIFS($A$2:$A1713,$A1713,$E$2:$E1713,"ANNULE")),""))</f>
        <v/>
      </c>
    </row>
    <row r="1714">
      <c r="A1714">
        <f>IF(ISBLANK('ENGAGEMENTS 2026'!B1714),"",IF('ENGAGEMENTS 2026'!B1714="DTSI","DCT",'ENGAGEMENTS 2026'!B1714))</f>
        <v/>
      </c>
      <c r="B1714">
        <f>IF(ISBLANK('ENGAGEMENTS 2026'!B1714),"",'ENGAGEMENTS 2026'!C1714)</f>
        <v/>
      </c>
      <c r="C1714">
        <f>IF(ISBLANK('ENGAGEMENTS 2026'!B1714),"",'ENGAGEMENTS 2026'!D1714)</f>
        <v/>
      </c>
      <c r="D1714">
        <f>IF(ISBLANK('ENGAGEMENTS 2026'!B1714),"",'ENGAGEMENTS 2026'!F1714)</f>
        <v/>
      </c>
      <c r="E1714">
        <f>IF(ISBLANK('ENGAGEMENTS 2026'!B1714),"",'ENGAGEMENTS 2026'!H1714)</f>
        <v/>
      </c>
      <c r="F1714">
        <f>IF(ISBLANK('ENGAGEMENTS 2026'!B1714),"",'ENGAGEMENTS 2026'!I1714)</f>
        <v/>
      </c>
      <c r="G1714">
        <f>IF(ISBLANK('ENGAGEMENTS 2026'!B1714),"",'ENGAGEMENTS 2026'!L1714)</f>
        <v/>
      </c>
      <c r="H1714">
        <f>IF(ISBLANK('ENGAGEMENTS 2026'!B1714),"",'ENGAGEMENTS 2026'!AE1714)</f>
        <v/>
      </c>
      <c r="I1714">
        <f>IF(ISBLANK('ENGAGEMENTS 2026'!B1714),"",'ENGAGEMENTS 2026'!G1714)</f>
        <v/>
      </c>
      <c r="J1714" s="275">
        <f>IF(ISBLANK('ENGAGEMENTS 2026'!B1714),"",IF(AND(OR($E1714="INFRUCTUEUX",$E1714="ANNULE"),$C1714="AOO-M"),'ENGAGEMENTS 2026'!O1714,IF($H1714="EN COURS DE PREENGAGEMENT",'ENGAGEMENTS 2026'!N1714,IF($H1714="PREENGAGE",IF($E1714="ATTRIBUE",'ENGAGEMENTS 2026'!AD1714,'ENGAGEMENTS 2026'!N1714),'ENGAGEMENTS 2026'!AD1714))))</f>
        <v/>
      </c>
      <c r="K1714" s="604">
        <f>IF(ISBLANK('ENGAGEMENTS 2026'!V1714),"",'ENGAGEMENTS 2026'!V1714)</f>
        <v/>
      </c>
      <c r="L1714" s="276">
        <f>IF($K1714="","",TODAY()-$K1714)</f>
        <v/>
      </c>
      <c r="M1714">
        <f>IF($A1714="","",IF($H1714="ENGAGE","Engagé",IF(AND($H1714="NON ENGAGE",OR($I1714="INFRUCTUEUX",$I1714="ANNULE")),"Clôturé sans suite","En cours")))</f>
        <v/>
      </c>
      <c r="N1714">
        <f>IF(ISBLANK('ENGAGEMENTS 2026'!B1714),"",'ENGAGEMENTS 2026'!K1714)</f>
        <v/>
      </c>
      <c r="O1714">
        <f>IF(ISBLANK('ENGAGEMENTS 2026'!B1714),"",'ENGAGEMENTS 2026'!L1714)</f>
        <v/>
      </c>
      <c r="P1714">
        <f>IF(ISBLANK('ENGAGEMENTS 2026'!B1714),"",'ENGAGEMENTS 2026'!J1714)</f>
        <v/>
      </c>
      <c r="Q1714">
        <f>IF($A1714="","",IF(OR($E1714="INFRUCTUEUX",$E1714="ANNULE"),$A1714&amp;"|"&amp;(COUNTIFS($A$2:$A1714,$A1714,$E$2:$E1714,"INFRUCTUEUX")+COUNTIFS($A$2:$A1714,$A1714,$E$2:$E1714,"ANNULE")),""))</f>
        <v/>
      </c>
    </row>
    <row r="1715">
      <c r="A1715">
        <f>IF(ISBLANK('ENGAGEMENTS 2026'!B1715),"",IF('ENGAGEMENTS 2026'!B1715="DTSI","DCT",'ENGAGEMENTS 2026'!B1715))</f>
        <v/>
      </c>
      <c r="B1715">
        <f>IF(ISBLANK('ENGAGEMENTS 2026'!B1715),"",'ENGAGEMENTS 2026'!C1715)</f>
        <v/>
      </c>
      <c r="C1715">
        <f>IF(ISBLANK('ENGAGEMENTS 2026'!B1715),"",'ENGAGEMENTS 2026'!D1715)</f>
        <v/>
      </c>
      <c r="D1715">
        <f>IF(ISBLANK('ENGAGEMENTS 2026'!B1715),"",'ENGAGEMENTS 2026'!F1715)</f>
        <v/>
      </c>
      <c r="E1715">
        <f>IF(ISBLANK('ENGAGEMENTS 2026'!B1715),"",'ENGAGEMENTS 2026'!H1715)</f>
        <v/>
      </c>
      <c r="F1715">
        <f>IF(ISBLANK('ENGAGEMENTS 2026'!B1715),"",'ENGAGEMENTS 2026'!I1715)</f>
        <v/>
      </c>
      <c r="G1715">
        <f>IF(ISBLANK('ENGAGEMENTS 2026'!B1715),"",'ENGAGEMENTS 2026'!L1715)</f>
        <v/>
      </c>
      <c r="H1715">
        <f>IF(ISBLANK('ENGAGEMENTS 2026'!B1715),"",'ENGAGEMENTS 2026'!AE1715)</f>
        <v/>
      </c>
      <c r="I1715">
        <f>IF(ISBLANK('ENGAGEMENTS 2026'!B1715),"",'ENGAGEMENTS 2026'!G1715)</f>
        <v/>
      </c>
      <c r="J1715" s="275">
        <f>IF(ISBLANK('ENGAGEMENTS 2026'!B1715),"",IF(AND(OR($E1715="INFRUCTUEUX",$E1715="ANNULE"),$C1715="AOO-M"),'ENGAGEMENTS 2026'!O1715,IF($H1715="EN COURS DE PREENGAGEMENT",'ENGAGEMENTS 2026'!N1715,IF($H1715="PREENGAGE",IF($E1715="ATTRIBUE",'ENGAGEMENTS 2026'!AD1715,'ENGAGEMENTS 2026'!N1715),'ENGAGEMENTS 2026'!AD1715))))</f>
        <v/>
      </c>
      <c r="K1715" s="604">
        <f>IF(ISBLANK('ENGAGEMENTS 2026'!V1715),"",'ENGAGEMENTS 2026'!V1715)</f>
        <v/>
      </c>
      <c r="L1715" s="276">
        <f>IF($K1715="","",TODAY()-$K1715)</f>
        <v/>
      </c>
      <c r="M1715">
        <f>IF($A1715="","",IF($H1715="ENGAGE","Engagé",IF(AND($H1715="NON ENGAGE",OR($I1715="INFRUCTUEUX",$I1715="ANNULE")),"Clôturé sans suite","En cours")))</f>
        <v/>
      </c>
      <c r="N1715">
        <f>IF(ISBLANK('ENGAGEMENTS 2026'!B1715),"",'ENGAGEMENTS 2026'!K1715)</f>
        <v/>
      </c>
      <c r="O1715">
        <f>IF(ISBLANK('ENGAGEMENTS 2026'!B1715),"",'ENGAGEMENTS 2026'!L1715)</f>
        <v/>
      </c>
      <c r="P1715">
        <f>IF(ISBLANK('ENGAGEMENTS 2026'!B1715),"",'ENGAGEMENTS 2026'!J1715)</f>
        <v/>
      </c>
      <c r="Q1715">
        <f>IF($A1715="","",IF(OR($E1715="INFRUCTUEUX",$E1715="ANNULE"),$A1715&amp;"|"&amp;(COUNTIFS($A$2:$A1715,$A1715,$E$2:$E1715,"INFRUCTUEUX")+COUNTIFS($A$2:$A1715,$A1715,$E$2:$E1715,"ANNULE")),""))</f>
        <v/>
      </c>
    </row>
    <row r="1716">
      <c r="A1716">
        <f>IF(ISBLANK('ENGAGEMENTS 2026'!B1716),"",IF('ENGAGEMENTS 2026'!B1716="DTSI","DCT",'ENGAGEMENTS 2026'!B1716))</f>
        <v/>
      </c>
      <c r="B1716">
        <f>IF(ISBLANK('ENGAGEMENTS 2026'!B1716),"",'ENGAGEMENTS 2026'!C1716)</f>
        <v/>
      </c>
      <c r="C1716">
        <f>IF(ISBLANK('ENGAGEMENTS 2026'!B1716),"",'ENGAGEMENTS 2026'!D1716)</f>
        <v/>
      </c>
      <c r="D1716">
        <f>IF(ISBLANK('ENGAGEMENTS 2026'!B1716),"",'ENGAGEMENTS 2026'!F1716)</f>
        <v/>
      </c>
      <c r="E1716">
        <f>IF(ISBLANK('ENGAGEMENTS 2026'!B1716),"",'ENGAGEMENTS 2026'!H1716)</f>
        <v/>
      </c>
      <c r="F1716">
        <f>IF(ISBLANK('ENGAGEMENTS 2026'!B1716),"",'ENGAGEMENTS 2026'!I1716)</f>
        <v/>
      </c>
      <c r="G1716">
        <f>IF(ISBLANK('ENGAGEMENTS 2026'!B1716),"",'ENGAGEMENTS 2026'!L1716)</f>
        <v/>
      </c>
      <c r="H1716">
        <f>IF(ISBLANK('ENGAGEMENTS 2026'!B1716),"",'ENGAGEMENTS 2026'!AE1716)</f>
        <v/>
      </c>
      <c r="I1716">
        <f>IF(ISBLANK('ENGAGEMENTS 2026'!B1716),"",'ENGAGEMENTS 2026'!G1716)</f>
        <v/>
      </c>
      <c r="J1716" s="275">
        <f>IF(ISBLANK('ENGAGEMENTS 2026'!B1716),"",IF(AND(OR($E1716="INFRUCTUEUX",$E1716="ANNULE"),$C1716="AOO-M"),'ENGAGEMENTS 2026'!O1716,IF($H1716="EN COURS DE PREENGAGEMENT",'ENGAGEMENTS 2026'!N1716,IF($H1716="PREENGAGE",IF($E1716="ATTRIBUE",'ENGAGEMENTS 2026'!AD1716,'ENGAGEMENTS 2026'!N1716),'ENGAGEMENTS 2026'!AD1716))))</f>
        <v/>
      </c>
      <c r="K1716" s="604">
        <f>IF(ISBLANK('ENGAGEMENTS 2026'!V1716),"",'ENGAGEMENTS 2026'!V1716)</f>
        <v/>
      </c>
      <c r="L1716" s="276">
        <f>IF($K1716="","",TODAY()-$K1716)</f>
        <v/>
      </c>
      <c r="M1716">
        <f>IF($A1716="","",IF($H1716="ENGAGE","Engagé",IF(AND($H1716="NON ENGAGE",OR($I1716="INFRUCTUEUX",$I1716="ANNULE")),"Clôturé sans suite","En cours")))</f>
        <v/>
      </c>
      <c r="N1716">
        <f>IF(ISBLANK('ENGAGEMENTS 2026'!B1716),"",'ENGAGEMENTS 2026'!K1716)</f>
        <v/>
      </c>
      <c r="O1716">
        <f>IF(ISBLANK('ENGAGEMENTS 2026'!B1716),"",'ENGAGEMENTS 2026'!L1716)</f>
        <v/>
      </c>
      <c r="P1716">
        <f>IF(ISBLANK('ENGAGEMENTS 2026'!B1716),"",'ENGAGEMENTS 2026'!J1716)</f>
        <v/>
      </c>
      <c r="Q1716">
        <f>IF($A1716="","",IF(OR($E1716="INFRUCTUEUX",$E1716="ANNULE"),$A1716&amp;"|"&amp;(COUNTIFS($A$2:$A1716,$A1716,$E$2:$E1716,"INFRUCTUEUX")+COUNTIFS($A$2:$A1716,$A1716,$E$2:$E1716,"ANNULE")),""))</f>
        <v/>
      </c>
    </row>
    <row r="1717">
      <c r="A1717">
        <f>IF(ISBLANK('ENGAGEMENTS 2026'!B1717),"",IF('ENGAGEMENTS 2026'!B1717="DTSI","DCT",'ENGAGEMENTS 2026'!B1717))</f>
        <v/>
      </c>
      <c r="B1717">
        <f>IF(ISBLANK('ENGAGEMENTS 2026'!B1717),"",'ENGAGEMENTS 2026'!C1717)</f>
        <v/>
      </c>
      <c r="C1717">
        <f>IF(ISBLANK('ENGAGEMENTS 2026'!B1717),"",'ENGAGEMENTS 2026'!D1717)</f>
        <v/>
      </c>
      <c r="D1717">
        <f>IF(ISBLANK('ENGAGEMENTS 2026'!B1717),"",'ENGAGEMENTS 2026'!F1717)</f>
        <v/>
      </c>
      <c r="E1717">
        <f>IF(ISBLANK('ENGAGEMENTS 2026'!B1717),"",'ENGAGEMENTS 2026'!H1717)</f>
        <v/>
      </c>
      <c r="F1717">
        <f>IF(ISBLANK('ENGAGEMENTS 2026'!B1717),"",'ENGAGEMENTS 2026'!I1717)</f>
        <v/>
      </c>
      <c r="G1717">
        <f>IF(ISBLANK('ENGAGEMENTS 2026'!B1717),"",'ENGAGEMENTS 2026'!L1717)</f>
        <v/>
      </c>
      <c r="H1717">
        <f>IF(ISBLANK('ENGAGEMENTS 2026'!B1717),"",'ENGAGEMENTS 2026'!AE1717)</f>
        <v/>
      </c>
      <c r="I1717">
        <f>IF(ISBLANK('ENGAGEMENTS 2026'!B1717),"",'ENGAGEMENTS 2026'!G1717)</f>
        <v/>
      </c>
      <c r="J1717" s="275">
        <f>IF(ISBLANK('ENGAGEMENTS 2026'!B1717),"",IF(AND(OR($E1717="INFRUCTUEUX",$E1717="ANNULE"),$C1717="AOO-M"),'ENGAGEMENTS 2026'!O1717,IF($H1717="EN COURS DE PREENGAGEMENT",'ENGAGEMENTS 2026'!N1717,IF($H1717="PREENGAGE",IF($E1717="ATTRIBUE",'ENGAGEMENTS 2026'!AD1717,'ENGAGEMENTS 2026'!N1717),'ENGAGEMENTS 2026'!AD1717))))</f>
        <v/>
      </c>
      <c r="K1717" s="604">
        <f>IF(ISBLANK('ENGAGEMENTS 2026'!V1717),"",'ENGAGEMENTS 2026'!V1717)</f>
        <v/>
      </c>
      <c r="L1717" s="276">
        <f>IF($K1717="","",TODAY()-$K1717)</f>
        <v/>
      </c>
      <c r="M1717">
        <f>IF($A1717="","",IF($H1717="ENGAGE","Engagé",IF(AND($H1717="NON ENGAGE",OR($I1717="INFRUCTUEUX",$I1717="ANNULE")),"Clôturé sans suite","En cours")))</f>
        <v/>
      </c>
      <c r="N1717">
        <f>IF(ISBLANK('ENGAGEMENTS 2026'!B1717),"",'ENGAGEMENTS 2026'!K1717)</f>
        <v/>
      </c>
      <c r="O1717">
        <f>IF(ISBLANK('ENGAGEMENTS 2026'!B1717),"",'ENGAGEMENTS 2026'!L1717)</f>
        <v/>
      </c>
      <c r="P1717">
        <f>IF(ISBLANK('ENGAGEMENTS 2026'!B1717),"",'ENGAGEMENTS 2026'!J1717)</f>
        <v/>
      </c>
      <c r="Q1717">
        <f>IF($A1717="","",IF(OR($E1717="INFRUCTUEUX",$E1717="ANNULE"),$A1717&amp;"|"&amp;(COUNTIFS($A$2:$A1717,$A1717,$E$2:$E1717,"INFRUCTUEUX")+COUNTIFS($A$2:$A1717,$A1717,$E$2:$E1717,"ANNULE")),""))</f>
        <v/>
      </c>
    </row>
    <row r="1718">
      <c r="A1718">
        <f>IF(ISBLANK('ENGAGEMENTS 2026'!B1718),"",IF('ENGAGEMENTS 2026'!B1718="DTSI","DCT",'ENGAGEMENTS 2026'!B1718))</f>
        <v/>
      </c>
      <c r="B1718">
        <f>IF(ISBLANK('ENGAGEMENTS 2026'!B1718),"",'ENGAGEMENTS 2026'!C1718)</f>
        <v/>
      </c>
      <c r="C1718">
        <f>IF(ISBLANK('ENGAGEMENTS 2026'!B1718),"",'ENGAGEMENTS 2026'!D1718)</f>
        <v/>
      </c>
      <c r="D1718">
        <f>IF(ISBLANK('ENGAGEMENTS 2026'!B1718),"",'ENGAGEMENTS 2026'!F1718)</f>
        <v/>
      </c>
      <c r="E1718">
        <f>IF(ISBLANK('ENGAGEMENTS 2026'!B1718),"",'ENGAGEMENTS 2026'!H1718)</f>
        <v/>
      </c>
      <c r="F1718">
        <f>IF(ISBLANK('ENGAGEMENTS 2026'!B1718),"",'ENGAGEMENTS 2026'!I1718)</f>
        <v/>
      </c>
      <c r="G1718">
        <f>IF(ISBLANK('ENGAGEMENTS 2026'!B1718),"",'ENGAGEMENTS 2026'!L1718)</f>
        <v/>
      </c>
      <c r="H1718">
        <f>IF(ISBLANK('ENGAGEMENTS 2026'!B1718),"",'ENGAGEMENTS 2026'!AE1718)</f>
        <v/>
      </c>
      <c r="I1718">
        <f>IF(ISBLANK('ENGAGEMENTS 2026'!B1718),"",'ENGAGEMENTS 2026'!G1718)</f>
        <v/>
      </c>
      <c r="J1718" s="275">
        <f>IF(ISBLANK('ENGAGEMENTS 2026'!B1718),"",IF(AND(OR($E1718="INFRUCTUEUX",$E1718="ANNULE"),$C1718="AOO-M"),'ENGAGEMENTS 2026'!O1718,IF($H1718="EN COURS DE PREENGAGEMENT",'ENGAGEMENTS 2026'!N1718,IF($H1718="PREENGAGE",IF($E1718="ATTRIBUE",'ENGAGEMENTS 2026'!AD1718,'ENGAGEMENTS 2026'!N1718),'ENGAGEMENTS 2026'!AD1718))))</f>
        <v/>
      </c>
      <c r="K1718" s="604">
        <f>IF(ISBLANK('ENGAGEMENTS 2026'!V1718),"",'ENGAGEMENTS 2026'!V1718)</f>
        <v/>
      </c>
      <c r="L1718" s="276">
        <f>IF($K1718="","",TODAY()-$K1718)</f>
        <v/>
      </c>
      <c r="M1718">
        <f>IF($A1718="","",IF($H1718="ENGAGE","Engagé",IF(AND($H1718="NON ENGAGE",OR($I1718="INFRUCTUEUX",$I1718="ANNULE")),"Clôturé sans suite","En cours")))</f>
        <v/>
      </c>
      <c r="N1718">
        <f>IF(ISBLANK('ENGAGEMENTS 2026'!B1718),"",'ENGAGEMENTS 2026'!K1718)</f>
        <v/>
      </c>
      <c r="O1718">
        <f>IF(ISBLANK('ENGAGEMENTS 2026'!B1718),"",'ENGAGEMENTS 2026'!L1718)</f>
        <v/>
      </c>
      <c r="P1718">
        <f>IF(ISBLANK('ENGAGEMENTS 2026'!B1718),"",'ENGAGEMENTS 2026'!J1718)</f>
        <v/>
      </c>
      <c r="Q1718">
        <f>IF($A1718="","",IF(OR($E1718="INFRUCTUEUX",$E1718="ANNULE"),$A1718&amp;"|"&amp;(COUNTIFS($A$2:$A1718,$A1718,$E$2:$E1718,"INFRUCTUEUX")+COUNTIFS($A$2:$A1718,$A1718,$E$2:$E1718,"ANNULE")),""))</f>
        <v/>
      </c>
    </row>
    <row r="1719">
      <c r="A1719">
        <f>IF(ISBLANK('ENGAGEMENTS 2026'!B1719),"",IF('ENGAGEMENTS 2026'!B1719="DTSI","DCT",'ENGAGEMENTS 2026'!B1719))</f>
        <v/>
      </c>
      <c r="B1719">
        <f>IF(ISBLANK('ENGAGEMENTS 2026'!B1719),"",'ENGAGEMENTS 2026'!C1719)</f>
        <v/>
      </c>
      <c r="C1719">
        <f>IF(ISBLANK('ENGAGEMENTS 2026'!B1719),"",'ENGAGEMENTS 2026'!D1719)</f>
        <v/>
      </c>
      <c r="D1719">
        <f>IF(ISBLANK('ENGAGEMENTS 2026'!B1719),"",'ENGAGEMENTS 2026'!F1719)</f>
        <v/>
      </c>
      <c r="E1719">
        <f>IF(ISBLANK('ENGAGEMENTS 2026'!B1719),"",'ENGAGEMENTS 2026'!H1719)</f>
        <v/>
      </c>
      <c r="F1719">
        <f>IF(ISBLANK('ENGAGEMENTS 2026'!B1719),"",'ENGAGEMENTS 2026'!I1719)</f>
        <v/>
      </c>
      <c r="G1719">
        <f>IF(ISBLANK('ENGAGEMENTS 2026'!B1719),"",'ENGAGEMENTS 2026'!L1719)</f>
        <v/>
      </c>
      <c r="H1719">
        <f>IF(ISBLANK('ENGAGEMENTS 2026'!B1719),"",'ENGAGEMENTS 2026'!AE1719)</f>
        <v/>
      </c>
      <c r="I1719">
        <f>IF(ISBLANK('ENGAGEMENTS 2026'!B1719),"",'ENGAGEMENTS 2026'!G1719)</f>
        <v/>
      </c>
      <c r="J1719" s="275">
        <f>IF(ISBLANK('ENGAGEMENTS 2026'!B1719),"",IF(AND(OR($E1719="INFRUCTUEUX",$E1719="ANNULE"),$C1719="AOO-M"),'ENGAGEMENTS 2026'!O1719,IF($H1719="EN COURS DE PREENGAGEMENT",'ENGAGEMENTS 2026'!N1719,IF($H1719="PREENGAGE",IF($E1719="ATTRIBUE",'ENGAGEMENTS 2026'!AD1719,'ENGAGEMENTS 2026'!N1719),'ENGAGEMENTS 2026'!AD1719))))</f>
        <v/>
      </c>
      <c r="K1719" s="604">
        <f>IF(ISBLANK('ENGAGEMENTS 2026'!V1719),"",'ENGAGEMENTS 2026'!V1719)</f>
        <v/>
      </c>
      <c r="L1719" s="276">
        <f>IF($K1719="","",TODAY()-$K1719)</f>
        <v/>
      </c>
      <c r="M1719">
        <f>IF($A1719="","",IF($H1719="ENGAGE","Engagé",IF(AND($H1719="NON ENGAGE",OR($I1719="INFRUCTUEUX",$I1719="ANNULE")),"Clôturé sans suite","En cours")))</f>
        <v/>
      </c>
      <c r="N1719">
        <f>IF(ISBLANK('ENGAGEMENTS 2026'!B1719),"",'ENGAGEMENTS 2026'!K1719)</f>
        <v/>
      </c>
      <c r="O1719">
        <f>IF(ISBLANK('ENGAGEMENTS 2026'!B1719),"",'ENGAGEMENTS 2026'!L1719)</f>
        <v/>
      </c>
      <c r="P1719">
        <f>IF(ISBLANK('ENGAGEMENTS 2026'!B1719),"",'ENGAGEMENTS 2026'!J1719)</f>
        <v/>
      </c>
      <c r="Q1719">
        <f>IF($A1719="","",IF(OR($E1719="INFRUCTUEUX",$E1719="ANNULE"),$A1719&amp;"|"&amp;(COUNTIFS($A$2:$A1719,$A1719,$E$2:$E1719,"INFRUCTUEUX")+COUNTIFS($A$2:$A1719,$A1719,$E$2:$E1719,"ANNULE")),""))</f>
        <v/>
      </c>
    </row>
    <row r="1720">
      <c r="A1720">
        <f>IF(ISBLANK('ENGAGEMENTS 2026'!B1720),"",IF('ENGAGEMENTS 2026'!B1720="DTSI","DCT",'ENGAGEMENTS 2026'!B1720))</f>
        <v/>
      </c>
      <c r="B1720">
        <f>IF(ISBLANK('ENGAGEMENTS 2026'!B1720),"",'ENGAGEMENTS 2026'!C1720)</f>
        <v/>
      </c>
      <c r="C1720">
        <f>IF(ISBLANK('ENGAGEMENTS 2026'!B1720),"",'ENGAGEMENTS 2026'!D1720)</f>
        <v/>
      </c>
      <c r="D1720">
        <f>IF(ISBLANK('ENGAGEMENTS 2026'!B1720),"",'ENGAGEMENTS 2026'!F1720)</f>
        <v/>
      </c>
      <c r="E1720">
        <f>IF(ISBLANK('ENGAGEMENTS 2026'!B1720),"",'ENGAGEMENTS 2026'!H1720)</f>
        <v/>
      </c>
      <c r="F1720">
        <f>IF(ISBLANK('ENGAGEMENTS 2026'!B1720),"",'ENGAGEMENTS 2026'!I1720)</f>
        <v/>
      </c>
      <c r="G1720">
        <f>IF(ISBLANK('ENGAGEMENTS 2026'!B1720),"",'ENGAGEMENTS 2026'!L1720)</f>
        <v/>
      </c>
      <c r="H1720">
        <f>IF(ISBLANK('ENGAGEMENTS 2026'!B1720),"",'ENGAGEMENTS 2026'!AE1720)</f>
        <v/>
      </c>
      <c r="I1720">
        <f>IF(ISBLANK('ENGAGEMENTS 2026'!B1720),"",'ENGAGEMENTS 2026'!G1720)</f>
        <v/>
      </c>
      <c r="J1720" s="275">
        <f>IF(ISBLANK('ENGAGEMENTS 2026'!B1720),"",IF(AND(OR($E1720="INFRUCTUEUX",$E1720="ANNULE"),$C1720="AOO-M"),'ENGAGEMENTS 2026'!O1720,IF($H1720="EN COURS DE PREENGAGEMENT",'ENGAGEMENTS 2026'!N1720,IF($H1720="PREENGAGE",IF($E1720="ATTRIBUE",'ENGAGEMENTS 2026'!AD1720,'ENGAGEMENTS 2026'!N1720),'ENGAGEMENTS 2026'!AD1720))))</f>
        <v/>
      </c>
      <c r="K1720" s="604">
        <f>IF(ISBLANK('ENGAGEMENTS 2026'!V1720),"",'ENGAGEMENTS 2026'!V1720)</f>
        <v/>
      </c>
      <c r="L1720" s="276">
        <f>IF($K1720="","",TODAY()-$K1720)</f>
        <v/>
      </c>
      <c r="M1720">
        <f>IF($A1720="","",IF($H1720="ENGAGE","Engagé",IF(AND($H1720="NON ENGAGE",OR($I1720="INFRUCTUEUX",$I1720="ANNULE")),"Clôturé sans suite","En cours")))</f>
        <v/>
      </c>
      <c r="N1720">
        <f>IF(ISBLANK('ENGAGEMENTS 2026'!B1720),"",'ENGAGEMENTS 2026'!K1720)</f>
        <v/>
      </c>
      <c r="O1720">
        <f>IF(ISBLANK('ENGAGEMENTS 2026'!B1720),"",'ENGAGEMENTS 2026'!L1720)</f>
        <v/>
      </c>
      <c r="P1720">
        <f>IF(ISBLANK('ENGAGEMENTS 2026'!B1720),"",'ENGAGEMENTS 2026'!J1720)</f>
        <v/>
      </c>
      <c r="Q1720">
        <f>IF($A1720="","",IF(OR($E1720="INFRUCTUEUX",$E1720="ANNULE"),$A1720&amp;"|"&amp;(COUNTIFS($A$2:$A1720,$A1720,$E$2:$E1720,"INFRUCTUEUX")+COUNTIFS($A$2:$A1720,$A1720,$E$2:$E1720,"ANNULE")),""))</f>
        <v/>
      </c>
    </row>
    <row r="1721">
      <c r="A1721">
        <f>IF(ISBLANK('ENGAGEMENTS 2026'!B1721),"",IF('ENGAGEMENTS 2026'!B1721="DTSI","DCT",'ENGAGEMENTS 2026'!B1721))</f>
        <v/>
      </c>
      <c r="B1721">
        <f>IF(ISBLANK('ENGAGEMENTS 2026'!B1721),"",'ENGAGEMENTS 2026'!C1721)</f>
        <v/>
      </c>
      <c r="C1721">
        <f>IF(ISBLANK('ENGAGEMENTS 2026'!B1721),"",'ENGAGEMENTS 2026'!D1721)</f>
        <v/>
      </c>
      <c r="D1721">
        <f>IF(ISBLANK('ENGAGEMENTS 2026'!B1721),"",'ENGAGEMENTS 2026'!F1721)</f>
        <v/>
      </c>
      <c r="E1721">
        <f>IF(ISBLANK('ENGAGEMENTS 2026'!B1721),"",'ENGAGEMENTS 2026'!H1721)</f>
        <v/>
      </c>
      <c r="F1721">
        <f>IF(ISBLANK('ENGAGEMENTS 2026'!B1721),"",'ENGAGEMENTS 2026'!I1721)</f>
        <v/>
      </c>
      <c r="G1721">
        <f>IF(ISBLANK('ENGAGEMENTS 2026'!B1721),"",'ENGAGEMENTS 2026'!L1721)</f>
        <v/>
      </c>
      <c r="H1721">
        <f>IF(ISBLANK('ENGAGEMENTS 2026'!B1721),"",'ENGAGEMENTS 2026'!AE1721)</f>
        <v/>
      </c>
      <c r="I1721">
        <f>IF(ISBLANK('ENGAGEMENTS 2026'!B1721),"",'ENGAGEMENTS 2026'!G1721)</f>
        <v/>
      </c>
      <c r="J1721" s="275">
        <f>IF(ISBLANK('ENGAGEMENTS 2026'!B1721),"",IF(AND(OR($E1721="INFRUCTUEUX",$E1721="ANNULE"),$C1721="AOO-M"),'ENGAGEMENTS 2026'!O1721,IF($H1721="EN COURS DE PREENGAGEMENT",'ENGAGEMENTS 2026'!N1721,IF($H1721="PREENGAGE",IF($E1721="ATTRIBUE",'ENGAGEMENTS 2026'!AD1721,'ENGAGEMENTS 2026'!N1721),'ENGAGEMENTS 2026'!AD1721))))</f>
        <v/>
      </c>
      <c r="K1721" s="604">
        <f>IF(ISBLANK('ENGAGEMENTS 2026'!V1721),"",'ENGAGEMENTS 2026'!V1721)</f>
        <v/>
      </c>
      <c r="L1721" s="276">
        <f>IF($K1721="","",TODAY()-$K1721)</f>
        <v/>
      </c>
      <c r="M1721">
        <f>IF($A1721="","",IF($H1721="ENGAGE","Engagé",IF(AND($H1721="NON ENGAGE",OR($I1721="INFRUCTUEUX",$I1721="ANNULE")),"Clôturé sans suite","En cours")))</f>
        <v/>
      </c>
      <c r="N1721">
        <f>IF(ISBLANK('ENGAGEMENTS 2026'!B1721),"",'ENGAGEMENTS 2026'!K1721)</f>
        <v/>
      </c>
      <c r="O1721">
        <f>IF(ISBLANK('ENGAGEMENTS 2026'!B1721),"",'ENGAGEMENTS 2026'!L1721)</f>
        <v/>
      </c>
      <c r="P1721">
        <f>IF(ISBLANK('ENGAGEMENTS 2026'!B1721),"",'ENGAGEMENTS 2026'!J1721)</f>
        <v/>
      </c>
      <c r="Q1721">
        <f>IF($A1721="","",IF(OR($E1721="INFRUCTUEUX",$E1721="ANNULE"),$A1721&amp;"|"&amp;(COUNTIFS($A$2:$A1721,$A1721,$E$2:$E1721,"INFRUCTUEUX")+COUNTIFS($A$2:$A1721,$A1721,$E$2:$E1721,"ANNULE")),""))</f>
        <v/>
      </c>
    </row>
    <row r="1722">
      <c r="A1722">
        <f>IF(ISBLANK('ENGAGEMENTS 2026'!B1722),"",IF('ENGAGEMENTS 2026'!B1722="DTSI","DCT",'ENGAGEMENTS 2026'!B1722))</f>
        <v/>
      </c>
      <c r="B1722">
        <f>IF(ISBLANK('ENGAGEMENTS 2026'!B1722),"",'ENGAGEMENTS 2026'!C1722)</f>
        <v/>
      </c>
      <c r="C1722">
        <f>IF(ISBLANK('ENGAGEMENTS 2026'!B1722),"",'ENGAGEMENTS 2026'!D1722)</f>
        <v/>
      </c>
      <c r="D1722">
        <f>IF(ISBLANK('ENGAGEMENTS 2026'!B1722),"",'ENGAGEMENTS 2026'!F1722)</f>
        <v/>
      </c>
      <c r="E1722">
        <f>IF(ISBLANK('ENGAGEMENTS 2026'!B1722),"",'ENGAGEMENTS 2026'!H1722)</f>
        <v/>
      </c>
      <c r="F1722">
        <f>IF(ISBLANK('ENGAGEMENTS 2026'!B1722),"",'ENGAGEMENTS 2026'!I1722)</f>
        <v/>
      </c>
      <c r="G1722">
        <f>IF(ISBLANK('ENGAGEMENTS 2026'!B1722),"",'ENGAGEMENTS 2026'!L1722)</f>
        <v/>
      </c>
      <c r="H1722">
        <f>IF(ISBLANK('ENGAGEMENTS 2026'!B1722),"",'ENGAGEMENTS 2026'!AE1722)</f>
        <v/>
      </c>
      <c r="I1722">
        <f>IF(ISBLANK('ENGAGEMENTS 2026'!B1722),"",'ENGAGEMENTS 2026'!G1722)</f>
        <v/>
      </c>
      <c r="J1722" s="275">
        <f>IF(ISBLANK('ENGAGEMENTS 2026'!B1722),"",IF(AND(OR($E1722="INFRUCTUEUX",$E1722="ANNULE"),$C1722="AOO-M"),'ENGAGEMENTS 2026'!O1722,IF($H1722="EN COURS DE PREENGAGEMENT",'ENGAGEMENTS 2026'!N1722,IF($H1722="PREENGAGE",IF($E1722="ATTRIBUE",'ENGAGEMENTS 2026'!AD1722,'ENGAGEMENTS 2026'!N1722),'ENGAGEMENTS 2026'!AD1722))))</f>
        <v/>
      </c>
      <c r="K1722" s="604">
        <f>IF(ISBLANK('ENGAGEMENTS 2026'!V1722),"",'ENGAGEMENTS 2026'!V1722)</f>
        <v/>
      </c>
      <c r="L1722" s="276">
        <f>IF($K1722="","",TODAY()-$K1722)</f>
        <v/>
      </c>
      <c r="M1722">
        <f>IF($A1722="","",IF($H1722="ENGAGE","Engagé",IF(AND($H1722="NON ENGAGE",OR($I1722="INFRUCTUEUX",$I1722="ANNULE")),"Clôturé sans suite","En cours")))</f>
        <v/>
      </c>
      <c r="N1722">
        <f>IF(ISBLANK('ENGAGEMENTS 2026'!B1722),"",'ENGAGEMENTS 2026'!K1722)</f>
        <v/>
      </c>
      <c r="O1722">
        <f>IF(ISBLANK('ENGAGEMENTS 2026'!B1722),"",'ENGAGEMENTS 2026'!L1722)</f>
        <v/>
      </c>
      <c r="P1722">
        <f>IF(ISBLANK('ENGAGEMENTS 2026'!B1722),"",'ENGAGEMENTS 2026'!J1722)</f>
        <v/>
      </c>
      <c r="Q1722">
        <f>IF($A1722="","",IF(OR($E1722="INFRUCTUEUX",$E1722="ANNULE"),$A1722&amp;"|"&amp;(COUNTIFS($A$2:$A1722,$A1722,$E$2:$E1722,"INFRUCTUEUX")+COUNTIFS($A$2:$A1722,$A1722,$E$2:$E1722,"ANNULE")),""))</f>
        <v/>
      </c>
    </row>
    <row r="1723">
      <c r="A1723">
        <f>IF(ISBLANK('ENGAGEMENTS 2026'!B1723),"",IF('ENGAGEMENTS 2026'!B1723="DTSI","DCT",'ENGAGEMENTS 2026'!B1723))</f>
        <v/>
      </c>
      <c r="B1723">
        <f>IF(ISBLANK('ENGAGEMENTS 2026'!B1723),"",'ENGAGEMENTS 2026'!C1723)</f>
        <v/>
      </c>
      <c r="C1723">
        <f>IF(ISBLANK('ENGAGEMENTS 2026'!B1723),"",'ENGAGEMENTS 2026'!D1723)</f>
        <v/>
      </c>
      <c r="D1723">
        <f>IF(ISBLANK('ENGAGEMENTS 2026'!B1723),"",'ENGAGEMENTS 2026'!F1723)</f>
        <v/>
      </c>
      <c r="E1723">
        <f>IF(ISBLANK('ENGAGEMENTS 2026'!B1723),"",'ENGAGEMENTS 2026'!H1723)</f>
        <v/>
      </c>
      <c r="F1723">
        <f>IF(ISBLANK('ENGAGEMENTS 2026'!B1723),"",'ENGAGEMENTS 2026'!I1723)</f>
        <v/>
      </c>
      <c r="G1723">
        <f>IF(ISBLANK('ENGAGEMENTS 2026'!B1723),"",'ENGAGEMENTS 2026'!L1723)</f>
        <v/>
      </c>
      <c r="H1723">
        <f>IF(ISBLANK('ENGAGEMENTS 2026'!B1723),"",'ENGAGEMENTS 2026'!AE1723)</f>
        <v/>
      </c>
      <c r="I1723">
        <f>IF(ISBLANK('ENGAGEMENTS 2026'!B1723),"",'ENGAGEMENTS 2026'!G1723)</f>
        <v/>
      </c>
      <c r="J1723" s="275">
        <f>IF(ISBLANK('ENGAGEMENTS 2026'!B1723),"",IF(AND(OR($E1723="INFRUCTUEUX",$E1723="ANNULE"),$C1723="AOO-M"),'ENGAGEMENTS 2026'!O1723,IF($H1723="EN COURS DE PREENGAGEMENT",'ENGAGEMENTS 2026'!N1723,IF($H1723="PREENGAGE",IF($E1723="ATTRIBUE",'ENGAGEMENTS 2026'!AD1723,'ENGAGEMENTS 2026'!N1723),'ENGAGEMENTS 2026'!AD1723))))</f>
        <v/>
      </c>
      <c r="K1723" s="604">
        <f>IF(ISBLANK('ENGAGEMENTS 2026'!V1723),"",'ENGAGEMENTS 2026'!V1723)</f>
        <v/>
      </c>
      <c r="L1723" s="276">
        <f>IF($K1723="","",TODAY()-$K1723)</f>
        <v/>
      </c>
      <c r="M1723">
        <f>IF($A1723="","",IF($H1723="ENGAGE","Engagé",IF(AND($H1723="NON ENGAGE",OR($I1723="INFRUCTUEUX",$I1723="ANNULE")),"Clôturé sans suite","En cours")))</f>
        <v/>
      </c>
      <c r="N1723">
        <f>IF(ISBLANK('ENGAGEMENTS 2026'!B1723),"",'ENGAGEMENTS 2026'!K1723)</f>
        <v/>
      </c>
      <c r="O1723">
        <f>IF(ISBLANK('ENGAGEMENTS 2026'!B1723),"",'ENGAGEMENTS 2026'!L1723)</f>
        <v/>
      </c>
      <c r="P1723">
        <f>IF(ISBLANK('ENGAGEMENTS 2026'!B1723),"",'ENGAGEMENTS 2026'!J1723)</f>
        <v/>
      </c>
      <c r="Q1723">
        <f>IF($A1723="","",IF(OR($E1723="INFRUCTUEUX",$E1723="ANNULE"),$A1723&amp;"|"&amp;(COUNTIFS($A$2:$A1723,$A1723,$E$2:$E1723,"INFRUCTUEUX")+COUNTIFS($A$2:$A1723,$A1723,$E$2:$E1723,"ANNULE")),""))</f>
        <v/>
      </c>
    </row>
    <row r="1724">
      <c r="A1724">
        <f>IF(ISBLANK('ENGAGEMENTS 2026'!B1724),"",IF('ENGAGEMENTS 2026'!B1724="DTSI","DCT",'ENGAGEMENTS 2026'!B1724))</f>
        <v/>
      </c>
      <c r="B1724">
        <f>IF(ISBLANK('ENGAGEMENTS 2026'!B1724),"",'ENGAGEMENTS 2026'!C1724)</f>
        <v/>
      </c>
      <c r="C1724">
        <f>IF(ISBLANK('ENGAGEMENTS 2026'!B1724),"",'ENGAGEMENTS 2026'!D1724)</f>
        <v/>
      </c>
      <c r="D1724">
        <f>IF(ISBLANK('ENGAGEMENTS 2026'!B1724),"",'ENGAGEMENTS 2026'!F1724)</f>
        <v/>
      </c>
      <c r="E1724">
        <f>IF(ISBLANK('ENGAGEMENTS 2026'!B1724),"",'ENGAGEMENTS 2026'!H1724)</f>
        <v/>
      </c>
      <c r="F1724">
        <f>IF(ISBLANK('ENGAGEMENTS 2026'!B1724),"",'ENGAGEMENTS 2026'!I1724)</f>
        <v/>
      </c>
      <c r="G1724">
        <f>IF(ISBLANK('ENGAGEMENTS 2026'!B1724),"",'ENGAGEMENTS 2026'!L1724)</f>
        <v/>
      </c>
      <c r="H1724">
        <f>IF(ISBLANK('ENGAGEMENTS 2026'!B1724),"",'ENGAGEMENTS 2026'!AE1724)</f>
        <v/>
      </c>
      <c r="I1724">
        <f>IF(ISBLANK('ENGAGEMENTS 2026'!B1724),"",'ENGAGEMENTS 2026'!G1724)</f>
        <v/>
      </c>
      <c r="J1724" s="275">
        <f>IF(ISBLANK('ENGAGEMENTS 2026'!B1724),"",IF(AND(OR($E1724="INFRUCTUEUX",$E1724="ANNULE"),$C1724="AOO-M"),'ENGAGEMENTS 2026'!O1724,IF($H1724="EN COURS DE PREENGAGEMENT",'ENGAGEMENTS 2026'!N1724,IF($H1724="PREENGAGE",IF($E1724="ATTRIBUE",'ENGAGEMENTS 2026'!AD1724,'ENGAGEMENTS 2026'!N1724),'ENGAGEMENTS 2026'!AD1724))))</f>
        <v/>
      </c>
      <c r="K1724" s="604">
        <f>IF(ISBLANK('ENGAGEMENTS 2026'!V1724),"",'ENGAGEMENTS 2026'!V1724)</f>
        <v/>
      </c>
      <c r="L1724" s="276">
        <f>IF($K1724="","",TODAY()-$K1724)</f>
        <v/>
      </c>
      <c r="M1724">
        <f>IF($A1724="","",IF($H1724="ENGAGE","Engagé",IF(AND($H1724="NON ENGAGE",OR($I1724="INFRUCTUEUX",$I1724="ANNULE")),"Clôturé sans suite","En cours")))</f>
        <v/>
      </c>
      <c r="N1724">
        <f>IF(ISBLANK('ENGAGEMENTS 2026'!B1724),"",'ENGAGEMENTS 2026'!K1724)</f>
        <v/>
      </c>
      <c r="O1724">
        <f>IF(ISBLANK('ENGAGEMENTS 2026'!B1724),"",'ENGAGEMENTS 2026'!L1724)</f>
        <v/>
      </c>
      <c r="P1724">
        <f>IF(ISBLANK('ENGAGEMENTS 2026'!B1724),"",'ENGAGEMENTS 2026'!J1724)</f>
        <v/>
      </c>
      <c r="Q1724">
        <f>IF($A1724="","",IF(OR($E1724="INFRUCTUEUX",$E1724="ANNULE"),$A1724&amp;"|"&amp;(COUNTIFS($A$2:$A1724,$A1724,$E$2:$E1724,"INFRUCTUEUX")+COUNTIFS($A$2:$A1724,$A1724,$E$2:$E1724,"ANNULE")),""))</f>
        <v/>
      </c>
    </row>
    <row r="1725">
      <c r="A1725">
        <f>IF(ISBLANK('ENGAGEMENTS 2026'!B1725),"",IF('ENGAGEMENTS 2026'!B1725="DTSI","DCT",'ENGAGEMENTS 2026'!B1725))</f>
        <v/>
      </c>
      <c r="B1725">
        <f>IF(ISBLANK('ENGAGEMENTS 2026'!B1725),"",'ENGAGEMENTS 2026'!C1725)</f>
        <v/>
      </c>
      <c r="C1725">
        <f>IF(ISBLANK('ENGAGEMENTS 2026'!B1725),"",'ENGAGEMENTS 2026'!D1725)</f>
        <v/>
      </c>
      <c r="D1725">
        <f>IF(ISBLANK('ENGAGEMENTS 2026'!B1725),"",'ENGAGEMENTS 2026'!F1725)</f>
        <v/>
      </c>
      <c r="E1725">
        <f>IF(ISBLANK('ENGAGEMENTS 2026'!B1725),"",'ENGAGEMENTS 2026'!H1725)</f>
        <v/>
      </c>
      <c r="F1725">
        <f>IF(ISBLANK('ENGAGEMENTS 2026'!B1725),"",'ENGAGEMENTS 2026'!I1725)</f>
        <v/>
      </c>
      <c r="G1725">
        <f>IF(ISBLANK('ENGAGEMENTS 2026'!B1725),"",'ENGAGEMENTS 2026'!L1725)</f>
        <v/>
      </c>
      <c r="H1725">
        <f>IF(ISBLANK('ENGAGEMENTS 2026'!B1725),"",'ENGAGEMENTS 2026'!AE1725)</f>
        <v/>
      </c>
      <c r="I1725">
        <f>IF(ISBLANK('ENGAGEMENTS 2026'!B1725),"",'ENGAGEMENTS 2026'!G1725)</f>
        <v/>
      </c>
      <c r="J1725" s="275">
        <f>IF(ISBLANK('ENGAGEMENTS 2026'!B1725),"",IF(AND(OR($E1725="INFRUCTUEUX",$E1725="ANNULE"),$C1725="AOO-M"),'ENGAGEMENTS 2026'!O1725,IF($H1725="EN COURS DE PREENGAGEMENT",'ENGAGEMENTS 2026'!N1725,IF($H1725="PREENGAGE",IF($E1725="ATTRIBUE",'ENGAGEMENTS 2026'!AD1725,'ENGAGEMENTS 2026'!N1725),'ENGAGEMENTS 2026'!AD1725))))</f>
        <v/>
      </c>
      <c r="K1725" s="604">
        <f>IF(ISBLANK('ENGAGEMENTS 2026'!V1725),"",'ENGAGEMENTS 2026'!V1725)</f>
        <v/>
      </c>
      <c r="L1725" s="276">
        <f>IF($K1725="","",TODAY()-$K1725)</f>
        <v/>
      </c>
      <c r="M1725">
        <f>IF($A1725="","",IF($H1725="ENGAGE","Engagé",IF(AND($H1725="NON ENGAGE",OR($I1725="INFRUCTUEUX",$I1725="ANNULE")),"Clôturé sans suite","En cours")))</f>
        <v/>
      </c>
      <c r="N1725">
        <f>IF(ISBLANK('ENGAGEMENTS 2026'!B1725),"",'ENGAGEMENTS 2026'!K1725)</f>
        <v/>
      </c>
      <c r="O1725">
        <f>IF(ISBLANK('ENGAGEMENTS 2026'!B1725),"",'ENGAGEMENTS 2026'!L1725)</f>
        <v/>
      </c>
      <c r="P1725">
        <f>IF(ISBLANK('ENGAGEMENTS 2026'!B1725),"",'ENGAGEMENTS 2026'!J1725)</f>
        <v/>
      </c>
      <c r="Q1725">
        <f>IF($A1725="","",IF(OR($E1725="INFRUCTUEUX",$E1725="ANNULE"),$A1725&amp;"|"&amp;(COUNTIFS($A$2:$A1725,$A1725,$E$2:$E1725,"INFRUCTUEUX")+COUNTIFS($A$2:$A1725,$A1725,$E$2:$E1725,"ANNULE")),""))</f>
        <v/>
      </c>
    </row>
    <row r="1726">
      <c r="A1726">
        <f>IF(ISBLANK('ENGAGEMENTS 2026'!B1726),"",IF('ENGAGEMENTS 2026'!B1726="DTSI","DCT",'ENGAGEMENTS 2026'!B1726))</f>
        <v/>
      </c>
      <c r="B1726">
        <f>IF(ISBLANK('ENGAGEMENTS 2026'!B1726),"",'ENGAGEMENTS 2026'!C1726)</f>
        <v/>
      </c>
      <c r="C1726">
        <f>IF(ISBLANK('ENGAGEMENTS 2026'!B1726),"",'ENGAGEMENTS 2026'!D1726)</f>
        <v/>
      </c>
      <c r="D1726">
        <f>IF(ISBLANK('ENGAGEMENTS 2026'!B1726),"",'ENGAGEMENTS 2026'!F1726)</f>
        <v/>
      </c>
      <c r="E1726">
        <f>IF(ISBLANK('ENGAGEMENTS 2026'!B1726),"",'ENGAGEMENTS 2026'!H1726)</f>
        <v/>
      </c>
      <c r="F1726">
        <f>IF(ISBLANK('ENGAGEMENTS 2026'!B1726),"",'ENGAGEMENTS 2026'!I1726)</f>
        <v/>
      </c>
      <c r="G1726">
        <f>IF(ISBLANK('ENGAGEMENTS 2026'!B1726),"",'ENGAGEMENTS 2026'!L1726)</f>
        <v/>
      </c>
      <c r="H1726">
        <f>IF(ISBLANK('ENGAGEMENTS 2026'!B1726),"",'ENGAGEMENTS 2026'!AE1726)</f>
        <v/>
      </c>
      <c r="I1726">
        <f>IF(ISBLANK('ENGAGEMENTS 2026'!B1726),"",'ENGAGEMENTS 2026'!G1726)</f>
        <v/>
      </c>
      <c r="J1726" s="275">
        <f>IF(ISBLANK('ENGAGEMENTS 2026'!B1726),"",IF(AND(OR($E1726="INFRUCTUEUX",$E1726="ANNULE"),$C1726="AOO-M"),'ENGAGEMENTS 2026'!O1726,IF($H1726="EN COURS DE PREENGAGEMENT",'ENGAGEMENTS 2026'!N1726,IF($H1726="PREENGAGE",IF($E1726="ATTRIBUE",'ENGAGEMENTS 2026'!AD1726,'ENGAGEMENTS 2026'!N1726),'ENGAGEMENTS 2026'!AD1726))))</f>
        <v/>
      </c>
      <c r="K1726" s="604">
        <f>IF(ISBLANK('ENGAGEMENTS 2026'!V1726),"",'ENGAGEMENTS 2026'!V1726)</f>
        <v/>
      </c>
      <c r="L1726" s="276">
        <f>IF($K1726="","",TODAY()-$K1726)</f>
        <v/>
      </c>
      <c r="M1726">
        <f>IF($A1726="","",IF($H1726="ENGAGE","Engagé",IF(AND($H1726="NON ENGAGE",OR($I1726="INFRUCTUEUX",$I1726="ANNULE")),"Clôturé sans suite","En cours")))</f>
        <v/>
      </c>
      <c r="N1726">
        <f>IF(ISBLANK('ENGAGEMENTS 2026'!B1726),"",'ENGAGEMENTS 2026'!K1726)</f>
        <v/>
      </c>
      <c r="O1726">
        <f>IF(ISBLANK('ENGAGEMENTS 2026'!B1726),"",'ENGAGEMENTS 2026'!L1726)</f>
        <v/>
      </c>
      <c r="P1726">
        <f>IF(ISBLANK('ENGAGEMENTS 2026'!B1726),"",'ENGAGEMENTS 2026'!J1726)</f>
        <v/>
      </c>
      <c r="Q1726">
        <f>IF($A1726="","",IF(OR($E1726="INFRUCTUEUX",$E1726="ANNULE"),$A1726&amp;"|"&amp;(COUNTIFS($A$2:$A1726,$A1726,$E$2:$E1726,"INFRUCTUEUX")+COUNTIFS($A$2:$A1726,$A1726,$E$2:$E1726,"ANNULE")),""))</f>
        <v/>
      </c>
    </row>
    <row r="1727">
      <c r="A1727">
        <f>IF(ISBLANK('ENGAGEMENTS 2026'!B1727),"",IF('ENGAGEMENTS 2026'!B1727="DTSI","DCT",'ENGAGEMENTS 2026'!B1727))</f>
        <v/>
      </c>
      <c r="B1727">
        <f>IF(ISBLANK('ENGAGEMENTS 2026'!B1727),"",'ENGAGEMENTS 2026'!C1727)</f>
        <v/>
      </c>
      <c r="C1727">
        <f>IF(ISBLANK('ENGAGEMENTS 2026'!B1727),"",'ENGAGEMENTS 2026'!D1727)</f>
        <v/>
      </c>
      <c r="D1727">
        <f>IF(ISBLANK('ENGAGEMENTS 2026'!B1727),"",'ENGAGEMENTS 2026'!F1727)</f>
        <v/>
      </c>
      <c r="E1727">
        <f>IF(ISBLANK('ENGAGEMENTS 2026'!B1727),"",'ENGAGEMENTS 2026'!H1727)</f>
        <v/>
      </c>
      <c r="F1727">
        <f>IF(ISBLANK('ENGAGEMENTS 2026'!B1727),"",'ENGAGEMENTS 2026'!I1727)</f>
        <v/>
      </c>
      <c r="G1727">
        <f>IF(ISBLANK('ENGAGEMENTS 2026'!B1727),"",'ENGAGEMENTS 2026'!L1727)</f>
        <v/>
      </c>
      <c r="H1727">
        <f>IF(ISBLANK('ENGAGEMENTS 2026'!B1727),"",'ENGAGEMENTS 2026'!AE1727)</f>
        <v/>
      </c>
      <c r="I1727">
        <f>IF(ISBLANK('ENGAGEMENTS 2026'!B1727),"",'ENGAGEMENTS 2026'!G1727)</f>
        <v/>
      </c>
      <c r="J1727" s="275">
        <f>IF(ISBLANK('ENGAGEMENTS 2026'!B1727),"",IF(AND(OR($E1727="INFRUCTUEUX",$E1727="ANNULE"),$C1727="AOO-M"),'ENGAGEMENTS 2026'!O1727,IF($H1727="EN COURS DE PREENGAGEMENT",'ENGAGEMENTS 2026'!N1727,IF($H1727="PREENGAGE",IF($E1727="ATTRIBUE",'ENGAGEMENTS 2026'!AD1727,'ENGAGEMENTS 2026'!N1727),'ENGAGEMENTS 2026'!AD1727))))</f>
        <v/>
      </c>
      <c r="K1727" s="604">
        <f>IF(ISBLANK('ENGAGEMENTS 2026'!V1727),"",'ENGAGEMENTS 2026'!V1727)</f>
        <v/>
      </c>
      <c r="L1727" s="276">
        <f>IF($K1727="","",TODAY()-$K1727)</f>
        <v/>
      </c>
      <c r="M1727">
        <f>IF($A1727="","",IF($H1727="ENGAGE","Engagé",IF(AND($H1727="NON ENGAGE",OR($I1727="INFRUCTUEUX",$I1727="ANNULE")),"Clôturé sans suite","En cours")))</f>
        <v/>
      </c>
      <c r="N1727">
        <f>IF(ISBLANK('ENGAGEMENTS 2026'!B1727),"",'ENGAGEMENTS 2026'!K1727)</f>
        <v/>
      </c>
      <c r="O1727">
        <f>IF(ISBLANK('ENGAGEMENTS 2026'!B1727),"",'ENGAGEMENTS 2026'!L1727)</f>
        <v/>
      </c>
      <c r="P1727">
        <f>IF(ISBLANK('ENGAGEMENTS 2026'!B1727),"",'ENGAGEMENTS 2026'!J1727)</f>
        <v/>
      </c>
      <c r="Q1727">
        <f>IF($A1727="","",IF(OR($E1727="INFRUCTUEUX",$E1727="ANNULE"),$A1727&amp;"|"&amp;(COUNTIFS($A$2:$A1727,$A1727,$E$2:$E1727,"INFRUCTUEUX")+COUNTIFS($A$2:$A1727,$A1727,$E$2:$E1727,"ANNULE")),""))</f>
        <v/>
      </c>
    </row>
    <row r="1728">
      <c r="A1728">
        <f>IF(ISBLANK('ENGAGEMENTS 2026'!B1728),"",IF('ENGAGEMENTS 2026'!B1728="DTSI","DCT",'ENGAGEMENTS 2026'!B1728))</f>
        <v/>
      </c>
      <c r="B1728">
        <f>IF(ISBLANK('ENGAGEMENTS 2026'!B1728),"",'ENGAGEMENTS 2026'!C1728)</f>
        <v/>
      </c>
      <c r="C1728">
        <f>IF(ISBLANK('ENGAGEMENTS 2026'!B1728),"",'ENGAGEMENTS 2026'!D1728)</f>
        <v/>
      </c>
      <c r="D1728">
        <f>IF(ISBLANK('ENGAGEMENTS 2026'!B1728),"",'ENGAGEMENTS 2026'!F1728)</f>
        <v/>
      </c>
      <c r="E1728">
        <f>IF(ISBLANK('ENGAGEMENTS 2026'!B1728),"",'ENGAGEMENTS 2026'!H1728)</f>
        <v/>
      </c>
      <c r="F1728">
        <f>IF(ISBLANK('ENGAGEMENTS 2026'!B1728),"",'ENGAGEMENTS 2026'!I1728)</f>
        <v/>
      </c>
      <c r="G1728">
        <f>IF(ISBLANK('ENGAGEMENTS 2026'!B1728),"",'ENGAGEMENTS 2026'!L1728)</f>
        <v/>
      </c>
      <c r="H1728">
        <f>IF(ISBLANK('ENGAGEMENTS 2026'!B1728),"",'ENGAGEMENTS 2026'!AE1728)</f>
        <v/>
      </c>
      <c r="I1728">
        <f>IF(ISBLANK('ENGAGEMENTS 2026'!B1728),"",'ENGAGEMENTS 2026'!G1728)</f>
        <v/>
      </c>
      <c r="J1728" s="275">
        <f>IF(ISBLANK('ENGAGEMENTS 2026'!B1728),"",IF(AND(OR($E1728="INFRUCTUEUX",$E1728="ANNULE"),$C1728="AOO-M"),'ENGAGEMENTS 2026'!O1728,IF($H1728="EN COURS DE PREENGAGEMENT",'ENGAGEMENTS 2026'!N1728,IF($H1728="PREENGAGE",IF($E1728="ATTRIBUE",'ENGAGEMENTS 2026'!AD1728,'ENGAGEMENTS 2026'!N1728),'ENGAGEMENTS 2026'!AD1728))))</f>
        <v/>
      </c>
      <c r="K1728" s="604">
        <f>IF(ISBLANK('ENGAGEMENTS 2026'!V1728),"",'ENGAGEMENTS 2026'!V1728)</f>
        <v/>
      </c>
      <c r="L1728" s="276">
        <f>IF($K1728="","",TODAY()-$K1728)</f>
        <v/>
      </c>
      <c r="M1728">
        <f>IF($A1728="","",IF($H1728="ENGAGE","Engagé",IF(AND($H1728="NON ENGAGE",OR($I1728="INFRUCTUEUX",$I1728="ANNULE")),"Clôturé sans suite","En cours")))</f>
        <v/>
      </c>
      <c r="N1728">
        <f>IF(ISBLANK('ENGAGEMENTS 2026'!B1728),"",'ENGAGEMENTS 2026'!K1728)</f>
        <v/>
      </c>
      <c r="O1728">
        <f>IF(ISBLANK('ENGAGEMENTS 2026'!B1728),"",'ENGAGEMENTS 2026'!L1728)</f>
        <v/>
      </c>
      <c r="P1728">
        <f>IF(ISBLANK('ENGAGEMENTS 2026'!B1728),"",'ENGAGEMENTS 2026'!J1728)</f>
        <v/>
      </c>
      <c r="Q1728">
        <f>IF($A1728="","",IF(OR($E1728="INFRUCTUEUX",$E1728="ANNULE"),$A1728&amp;"|"&amp;(COUNTIFS($A$2:$A1728,$A1728,$E$2:$E1728,"INFRUCTUEUX")+COUNTIFS($A$2:$A1728,$A1728,$E$2:$E1728,"ANNULE")),""))</f>
        <v/>
      </c>
    </row>
    <row r="1729">
      <c r="A1729">
        <f>IF(ISBLANK('ENGAGEMENTS 2026'!B1729),"",IF('ENGAGEMENTS 2026'!B1729="DTSI","DCT",'ENGAGEMENTS 2026'!B1729))</f>
        <v/>
      </c>
      <c r="B1729">
        <f>IF(ISBLANK('ENGAGEMENTS 2026'!B1729),"",'ENGAGEMENTS 2026'!C1729)</f>
        <v/>
      </c>
      <c r="C1729">
        <f>IF(ISBLANK('ENGAGEMENTS 2026'!B1729),"",'ENGAGEMENTS 2026'!D1729)</f>
        <v/>
      </c>
      <c r="D1729">
        <f>IF(ISBLANK('ENGAGEMENTS 2026'!B1729),"",'ENGAGEMENTS 2026'!F1729)</f>
        <v/>
      </c>
      <c r="E1729">
        <f>IF(ISBLANK('ENGAGEMENTS 2026'!B1729),"",'ENGAGEMENTS 2026'!H1729)</f>
        <v/>
      </c>
      <c r="F1729">
        <f>IF(ISBLANK('ENGAGEMENTS 2026'!B1729),"",'ENGAGEMENTS 2026'!I1729)</f>
        <v/>
      </c>
      <c r="G1729">
        <f>IF(ISBLANK('ENGAGEMENTS 2026'!B1729),"",'ENGAGEMENTS 2026'!L1729)</f>
        <v/>
      </c>
      <c r="H1729">
        <f>IF(ISBLANK('ENGAGEMENTS 2026'!B1729),"",'ENGAGEMENTS 2026'!AE1729)</f>
        <v/>
      </c>
      <c r="I1729">
        <f>IF(ISBLANK('ENGAGEMENTS 2026'!B1729),"",'ENGAGEMENTS 2026'!G1729)</f>
        <v/>
      </c>
      <c r="J1729" s="275">
        <f>IF(ISBLANK('ENGAGEMENTS 2026'!B1729),"",IF(AND(OR($E1729="INFRUCTUEUX",$E1729="ANNULE"),$C1729="AOO-M"),'ENGAGEMENTS 2026'!O1729,IF($H1729="EN COURS DE PREENGAGEMENT",'ENGAGEMENTS 2026'!N1729,IF($H1729="PREENGAGE",IF($E1729="ATTRIBUE",'ENGAGEMENTS 2026'!AD1729,'ENGAGEMENTS 2026'!N1729),'ENGAGEMENTS 2026'!AD1729))))</f>
        <v/>
      </c>
      <c r="K1729" s="604">
        <f>IF(ISBLANK('ENGAGEMENTS 2026'!V1729),"",'ENGAGEMENTS 2026'!V1729)</f>
        <v/>
      </c>
      <c r="L1729" s="276">
        <f>IF($K1729="","",TODAY()-$K1729)</f>
        <v/>
      </c>
      <c r="M1729">
        <f>IF($A1729="","",IF($H1729="ENGAGE","Engagé",IF(AND($H1729="NON ENGAGE",OR($I1729="INFRUCTUEUX",$I1729="ANNULE")),"Clôturé sans suite","En cours")))</f>
        <v/>
      </c>
      <c r="N1729">
        <f>IF(ISBLANK('ENGAGEMENTS 2026'!B1729),"",'ENGAGEMENTS 2026'!K1729)</f>
        <v/>
      </c>
      <c r="O1729">
        <f>IF(ISBLANK('ENGAGEMENTS 2026'!B1729),"",'ENGAGEMENTS 2026'!L1729)</f>
        <v/>
      </c>
      <c r="P1729">
        <f>IF(ISBLANK('ENGAGEMENTS 2026'!B1729),"",'ENGAGEMENTS 2026'!J1729)</f>
        <v/>
      </c>
      <c r="Q1729">
        <f>IF($A1729="","",IF(OR($E1729="INFRUCTUEUX",$E1729="ANNULE"),$A1729&amp;"|"&amp;(COUNTIFS($A$2:$A1729,$A1729,$E$2:$E1729,"INFRUCTUEUX")+COUNTIFS($A$2:$A1729,$A1729,$E$2:$E1729,"ANNULE")),""))</f>
        <v/>
      </c>
    </row>
    <row r="1730">
      <c r="A1730">
        <f>IF(ISBLANK('ENGAGEMENTS 2026'!B1730),"",IF('ENGAGEMENTS 2026'!B1730="DTSI","DCT",'ENGAGEMENTS 2026'!B1730))</f>
        <v/>
      </c>
      <c r="B1730">
        <f>IF(ISBLANK('ENGAGEMENTS 2026'!B1730),"",'ENGAGEMENTS 2026'!C1730)</f>
        <v/>
      </c>
      <c r="C1730">
        <f>IF(ISBLANK('ENGAGEMENTS 2026'!B1730),"",'ENGAGEMENTS 2026'!D1730)</f>
        <v/>
      </c>
      <c r="D1730">
        <f>IF(ISBLANK('ENGAGEMENTS 2026'!B1730),"",'ENGAGEMENTS 2026'!F1730)</f>
        <v/>
      </c>
      <c r="E1730">
        <f>IF(ISBLANK('ENGAGEMENTS 2026'!B1730),"",'ENGAGEMENTS 2026'!H1730)</f>
        <v/>
      </c>
      <c r="F1730">
        <f>IF(ISBLANK('ENGAGEMENTS 2026'!B1730),"",'ENGAGEMENTS 2026'!I1730)</f>
        <v/>
      </c>
      <c r="G1730">
        <f>IF(ISBLANK('ENGAGEMENTS 2026'!B1730),"",'ENGAGEMENTS 2026'!L1730)</f>
        <v/>
      </c>
      <c r="H1730">
        <f>IF(ISBLANK('ENGAGEMENTS 2026'!B1730),"",'ENGAGEMENTS 2026'!AE1730)</f>
        <v/>
      </c>
      <c r="I1730">
        <f>IF(ISBLANK('ENGAGEMENTS 2026'!B1730),"",'ENGAGEMENTS 2026'!G1730)</f>
        <v/>
      </c>
      <c r="J1730" s="275">
        <f>IF(ISBLANK('ENGAGEMENTS 2026'!B1730),"",IF(AND(OR($E1730="INFRUCTUEUX",$E1730="ANNULE"),$C1730="AOO-M"),'ENGAGEMENTS 2026'!O1730,IF($H1730="EN COURS DE PREENGAGEMENT",'ENGAGEMENTS 2026'!N1730,IF($H1730="PREENGAGE",IF($E1730="ATTRIBUE",'ENGAGEMENTS 2026'!AD1730,'ENGAGEMENTS 2026'!N1730),'ENGAGEMENTS 2026'!AD1730))))</f>
        <v/>
      </c>
      <c r="K1730" s="604">
        <f>IF(ISBLANK('ENGAGEMENTS 2026'!V1730),"",'ENGAGEMENTS 2026'!V1730)</f>
        <v/>
      </c>
      <c r="L1730" s="276">
        <f>IF($K1730="","",TODAY()-$K1730)</f>
        <v/>
      </c>
      <c r="M1730">
        <f>IF($A1730="","",IF($H1730="ENGAGE","Engagé",IF(AND($H1730="NON ENGAGE",OR($I1730="INFRUCTUEUX",$I1730="ANNULE")),"Clôturé sans suite","En cours")))</f>
        <v/>
      </c>
      <c r="N1730">
        <f>IF(ISBLANK('ENGAGEMENTS 2026'!B1730),"",'ENGAGEMENTS 2026'!K1730)</f>
        <v/>
      </c>
      <c r="O1730">
        <f>IF(ISBLANK('ENGAGEMENTS 2026'!B1730),"",'ENGAGEMENTS 2026'!L1730)</f>
        <v/>
      </c>
      <c r="P1730">
        <f>IF(ISBLANK('ENGAGEMENTS 2026'!B1730),"",'ENGAGEMENTS 2026'!J1730)</f>
        <v/>
      </c>
      <c r="Q1730">
        <f>IF($A1730="","",IF(OR($E1730="INFRUCTUEUX",$E1730="ANNULE"),$A1730&amp;"|"&amp;(COUNTIFS($A$2:$A1730,$A1730,$E$2:$E1730,"INFRUCTUEUX")+COUNTIFS($A$2:$A1730,$A1730,$E$2:$E1730,"ANNULE")),""))</f>
        <v/>
      </c>
    </row>
    <row r="1731">
      <c r="A1731">
        <f>IF(ISBLANK('ENGAGEMENTS 2026'!B1731),"",IF('ENGAGEMENTS 2026'!B1731="DTSI","DCT",'ENGAGEMENTS 2026'!B1731))</f>
        <v/>
      </c>
      <c r="B1731">
        <f>IF(ISBLANK('ENGAGEMENTS 2026'!B1731),"",'ENGAGEMENTS 2026'!C1731)</f>
        <v/>
      </c>
      <c r="C1731">
        <f>IF(ISBLANK('ENGAGEMENTS 2026'!B1731),"",'ENGAGEMENTS 2026'!D1731)</f>
        <v/>
      </c>
      <c r="D1731">
        <f>IF(ISBLANK('ENGAGEMENTS 2026'!B1731),"",'ENGAGEMENTS 2026'!F1731)</f>
        <v/>
      </c>
      <c r="E1731">
        <f>IF(ISBLANK('ENGAGEMENTS 2026'!B1731),"",'ENGAGEMENTS 2026'!H1731)</f>
        <v/>
      </c>
      <c r="F1731">
        <f>IF(ISBLANK('ENGAGEMENTS 2026'!B1731),"",'ENGAGEMENTS 2026'!I1731)</f>
        <v/>
      </c>
      <c r="G1731">
        <f>IF(ISBLANK('ENGAGEMENTS 2026'!B1731),"",'ENGAGEMENTS 2026'!L1731)</f>
        <v/>
      </c>
      <c r="H1731">
        <f>IF(ISBLANK('ENGAGEMENTS 2026'!B1731),"",'ENGAGEMENTS 2026'!AE1731)</f>
        <v/>
      </c>
      <c r="I1731">
        <f>IF(ISBLANK('ENGAGEMENTS 2026'!B1731),"",'ENGAGEMENTS 2026'!G1731)</f>
        <v/>
      </c>
      <c r="J1731" s="275">
        <f>IF(ISBLANK('ENGAGEMENTS 2026'!B1731),"",IF(AND(OR($E1731="INFRUCTUEUX",$E1731="ANNULE"),$C1731="AOO-M"),'ENGAGEMENTS 2026'!O1731,IF($H1731="EN COURS DE PREENGAGEMENT",'ENGAGEMENTS 2026'!N1731,IF($H1731="PREENGAGE",IF($E1731="ATTRIBUE",'ENGAGEMENTS 2026'!AD1731,'ENGAGEMENTS 2026'!N1731),'ENGAGEMENTS 2026'!AD1731))))</f>
        <v/>
      </c>
      <c r="K1731" s="604">
        <f>IF(ISBLANK('ENGAGEMENTS 2026'!V1731),"",'ENGAGEMENTS 2026'!V1731)</f>
        <v/>
      </c>
      <c r="L1731" s="276">
        <f>IF($K1731="","",TODAY()-$K1731)</f>
        <v/>
      </c>
      <c r="M1731">
        <f>IF($A1731="","",IF($H1731="ENGAGE","Engagé",IF(AND($H1731="NON ENGAGE",OR($I1731="INFRUCTUEUX",$I1731="ANNULE")),"Clôturé sans suite","En cours")))</f>
        <v/>
      </c>
      <c r="N1731">
        <f>IF(ISBLANK('ENGAGEMENTS 2026'!B1731),"",'ENGAGEMENTS 2026'!K1731)</f>
        <v/>
      </c>
      <c r="O1731">
        <f>IF(ISBLANK('ENGAGEMENTS 2026'!B1731),"",'ENGAGEMENTS 2026'!L1731)</f>
        <v/>
      </c>
      <c r="P1731">
        <f>IF(ISBLANK('ENGAGEMENTS 2026'!B1731),"",'ENGAGEMENTS 2026'!J1731)</f>
        <v/>
      </c>
      <c r="Q1731">
        <f>IF($A1731="","",IF(OR($E1731="INFRUCTUEUX",$E1731="ANNULE"),$A1731&amp;"|"&amp;(COUNTIFS($A$2:$A1731,$A1731,$E$2:$E1731,"INFRUCTUEUX")+COUNTIFS($A$2:$A1731,$A1731,$E$2:$E1731,"ANNULE")),""))</f>
        <v/>
      </c>
    </row>
    <row r="1732">
      <c r="A1732">
        <f>IF(ISBLANK('ENGAGEMENTS 2026'!B1732),"",IF('ENGAGEMENTS 2026'!B1732="DTSI","DCT",'ENGAGEMENTS 2026'!B1732))</f>
        <v/>
      </c>
      <c r="B1732">
        <f>IF(ISBLANK('ENGAGEMENTS 2026'!B1732),"",'ENGAGEMENTS 2026'!C1732)</f>
        <v/>
      </c>
      <c r="C1732">
        <f>IF(ISBLANK('ENGAGEMENTS 2026'!B1732),"",'ENGAGEMENTS 2026'!D1732)</f>
        <v/>
      </c>
      <c r="D1732">
        <f>IF(ISBLANK('ENGAGEMENTS 2026'!B1732),"",'ENGAGEMENTS 2026'!F1732)</f>
        <v/>
      </c>
      <c r="E1732">
        <f>IF(ISBLANK('ENGAGEMENTS 2026'!B1732),"",'ENGAGEMENTS 2026'!H1732)</f>
        <v/>
      </c>
      <c r="F1732">
        <f>IF(ISBLANK('ENGAGEMENTS 2026'!B1732),"",'ENGAGEMENTS 2026'!I1732)</f>
        <v/>
      </c>
      <c r="G1732">
        <f>IF(ISBLANK('ENGAGEMENTS 2026'!B1732),"",'ENGAGEMENTS 2026'!L1732)</f>
        <v/>
      </c>
      <c r="H1732">
        <f>IF(ISBLANK('ENGAGEMENTS 2026'!B1732),"",'ENGAGEMENTS 2026'!AE1732)</f>
        <v/>
      </c>
      <c r="I1732">
        <f>IF(ISBLANK('ENGAGEMENTS 2026'!B1732),"",'ENGAGEMENTS 2026'!G1732)</f>
        <v/>
      </c>
      <c r="J1732" s="275">
        <f>IF(ISBLANK('ENGAGEMENTS 2026'!B1732),"",IF(AND(OR($E1732="INFRUCTUEUX",$E1732="ANNULE"),$C1732="AOO-M"),'ENGAGEMENTS 2026'!O1732,IF($H1732="EN COURS DE PREENGAGEMENT",'ENGAGEMENTS 2026'!N1732,IF($H1732="PREENGAGE",IF($E1732="ATTRIBUE",'ENGAGEMENTS 2026'!AD1732,'ENGAGEMENTS 2026'!N1732),'ENGAGEMENTS 2026'!AD1732))))</f>
        <v/>
      </c>
      <c r="K1732" s="604">
        <f>IF(ISBLANK('ENGAGEMENTS 2026'!V1732),"",'ENGAGEMENTS 2026'!V1732)</f>
        <v/>
      </c>
      <c r="L1732" s="276">
        <f>IF($K1732="","",TODAY()-$K1732)</f>
        <v/>
      </c>
      <c r="M1732">
        <f>IF($A1732="","",IF($H1732="ENGAGE","Engagé",IF(AND($H1732="NON ENGAGE",OR($I1732="INFRUCTUEUX",$I1732="ANNULE")),"Clôturé sans suite","En cours")))</f>
        <v/>
      </c>
      <c r="N1732">
        <f>IF(ISBLANK('ENGAGEMENTS 2026'!B1732),"",'ENGAGEMENTS 2026'!K1732)</f>
        <v/>
      </c>
      <c r="O1732">
        <f>IF(ISBLANK('ENGAGEMENTS 2026'!B1732),"",'ENGAGEMENTS 2026'!L1732)</f>
        <v/>
      </c>
      <c r="P1732">
        <f>IF(ISBLANK('ENGAGEMENTS 2026'!B1732),"",'ENGAGEMENTS 2026'!J1732)</f>
        <v/>
      </c>
      <c r="Q1732">
        <f>IF($A1732="","",IF(OR($E1732="INFRUCTUEUX",$E1732="ANNULE"),$A1732&amp;"|"&amp;(COUNTIFS($A$2:$A1732,$A1732,$E$2:$E1732,"INFRUCTUEUX")+COUNTIFS($A$2:$A1732,$A1732,$E$2:$E1732,"ANNULE")),""))</f>
        <v/>
      </c>
    </row>
    <row r="1733">
      <c r="A1733">
        <f>IF(ISBLANK('ENGAGEMENTS 2026'!B1733),"",IF('ENGAGEMENTS 2026'!B1733="DTSI","DCT",'ENGAGEMENTS 2026'!B1733))</f>
        <v/>
      </c>
      <c r="B1733">
        <f>IF(ISBLANK('ENGAGEMENTS 2026'!B1733),"",'ENGAGEMENTS 2026'!C1733)</f>
        <v/>
      </c>
      <c r="C1733">
        <f>IF(ISBLANK('ENGAGEMENTS 2026'!B1733),"",'ENGAGEMENTS 2026'!D1733)</f>
        <v/>
      </c>
      <c r="D1733">
        <f>IF(ISBLANK('ENGAGEMENTS 2026'!B1733),"",'ENGAGEMENTS 2026'!F1733)</f>
        <v/>
      </c>
      <c r="E1733">
        <f>IF(ISBLANK('ENGAGEMENTS 2026'!B1733),"",'ENGAGEMENTS 2026'!H1733)</f>
        <v/>
      </c>
      <c r="F1733">
        <f>IF(ISBLANK('ENGAGEMENTS 2026'!B1733),"",'ENGAGEMENTS 2026'!I1733)</f>
        <v/>
      </c>
      <c r="G1733">
        <f>IF(ISBLANK('ENGAGEMENTS 2026'!B1733),"",'ENGAGEMENTS 2026'!L1733)</f>
        <v/>
      </c>
      <c r="H1733">
        <f>IF(ISBLANK('ENGAGEMENTS 2026'!B1733),"",'ENGAGEMENTS 2026'!AE1733)</f>
        <v/>
      </c>
      <c r="I1733">
        <f>IF(ISBLANK('ENGAGEMENTS 2026'!B1733),"",'ENGAGEMENTS 2026'!G1733)</f>
        <v/>
      </c>
      <c r="J1733" s="275">
        <f>IF(ISBLANK('ENGAGEMENTS 2026'!B1733),"",IF(AND(OR($E1733="INFRUCTUEUX",$E1733="ANNULE"),$C1733="AOO-M"),'ENGAGEMENTS 2026'!O1733,IF($H1733="EN COURS DE PREENGAGEMENT",'ENGAGEMENTS 2026'!N1733,IF($H1733="PREENGAGE",IF($E1733="ATTRIBUE",'ENGAGEMENTS 2026'!AD1733,'ENGAGEMENTS 2026'!N1733),'ENGAGEMENTS 2026'!AD1733))))</f>
        <v/>
      </c>
      <c r="K1733" s="604">
        <f>IF(ISBLANK('ENGAGEMENTS 2026'!V1733),"",'ENGAGEMENTS 2026'!V1733)</f>
        <v/>
      </c>
      <c r="L1733" s="276">
        <f>IF($K1733="","",TODAY()-$K1733)</f>
        <v/>
      </c>
      <c r="M1733">
        <f>IF($A1733="","",IF($H1733="ENGAGE","Engagé",IF(AND($H1733="NON ENGAGE",OR($I1733="INFRUCTUEUX",$I1733="ANNULE")),"Clôturé sans suite","En cours")))</f>
        <v/>
      </c>
      <c r="N1733">
        <f>IF(ISBLANK('ENGAGEMENTS 2026'!B1733),"",'ENGAGEMENTS 2026'!K1733)</f>
        <v/>
      </c>
      <c r="O1733">
        <f>IF(ISBLANK('ENGAGEMENTS 2026'!B1733),"",'ENGAGEMENTS 2026'!L1733)</f>
        <v/>
      </c>
      <c r="P1733">
        <f>IF(ISBLANK('ENGAGEMENTS 2026'!B1733),"",'ENGAGEMENTS 2026'!J1733)</f>
        <v/>
      </c>
      <c r="Q1733">
        <f>IF($A1733="","",IF(OR($E1733="INFRUCTUEUX",$E1733="ANNULE"),$A1733&amp;"|"&amp;(COUNTIFS($A$2:$A1733,$A1733,$E$2:$E1733,"INFRUCTUEUX")+COUNTIFS($A$2:$A1733,$A1733,$E$2:$E1733,"ANNULE")),""))</f>
        <v/>
      </c>
    </row>
    <row r="1734">
      <c r="A1734">
        <f>IF(ISBLANK('ENGAGEMENTS 2026'!B1734),"",IF('ENGAGEMENTS 2026'!B1734="DTSI","DCT",'ENGAGEMENTS 2026'!B1734))</f>
        <v/>
      </c>
      <c r="B1734">
        <f>IF(ISBLANK('ENGAGEMENTS 2026'!B1734),"",'ENGAGEMENTS 2026'!C1734)</f>
        <v/>
      </c>
      <c r="C1734">
        <f>IF(ISBLANK('ENGAGEMENTS 2026'!B1734),"",'ENGAGEMENTS 2026'!D1734)</f>
        <v/>
      </c>
      <c r="D1734">
        <f>IF(ISBLANK('ENGAGEMENTS 2026'!B1734),"",'ENGAGEMENTS 2026'!F1734)</f>
        <v/>
      </c>
      <c r="E1734">
        <f>IF(ISBLANK('ENGAGEMENTS 2026'!B1734),"",'ENGAGEMENTS 2026'!H1734)</f>
        <v/>
      </c>
      <c r="F1734">
        <f>IF(ISBLANK('ENGAGEMENTS 2026'!B1734),"",'ENGAGEMENTS 2026'!I1734)</f>
        <v/>
      </c>
      <c r="G1734">
        <f>IF(ISBLANK('ENGAGEMENTS 2026'!B1734),"",'ENGAGEMENTS 2026'!L1734)</f>
        <v/>
      </c>
      <c r="H1734">
        <f>IF(ISBLANK('ENGAGEMENTS 2026'!B1734),"",'ENGAGEMENTS 2026'!AE1734)</f>
        <v/>
      </c>
      <c r="I1734">
        <f>IF(ISBLANK('ENGAGEMENTS 2026'!B1734),"",'ENGAGEMENTS 2026'!G1734)</f>
        <v/>
      </c>
      <c r="J1734" s="275">
        <f>IF(ISBLANK('ENGAGEMENTS 2026'!B1734),"",IF(AND(OR($E1734="INFRUCTUEUX",$E1734="ANNULE"),$C1734="AOO-M"),'ENGAGEMENTS 2026'!O1734,IF($H1734="EN COURS DE PREENGAGEMENT",'ENGAGEMENTS 2026'!N1734,IF($H1734="PREENGAGE",IF($E1734="ATTRIBUE",'ENGAGEMENTS 2026'!AD1734,'ENGAGEMENTS 2026'!N1734),'ENGAGEMENTS 2026'!AD1734))))</f>
        <v/>
      </c>
      <c r="K1734" s="604">
        <f>IF(ISBLANK('ENGAGEMENTS 2026'!V1734),"",'ENGAGEMENTS 2026'!V1734)</f>
        <v/>
      </c>
      <c r="L1734" s="276">
        <f>IF($K1734="","",TODAY()-$K1734)</f>
        <v/>
      </c>
      <c r="M1734">
        <f>IF($A1734="","",IF($H1734="ENGAGE","Engagé",IF(AND($H1734="NON ENGAGE",OR($I1734="INFRUCTUEUX",$I1734="ANNULE")),"Clôturé sans suite","En cours")))</f>
        <v/>
      </c>
      <c r="N1734">
        <f>IF(ISBLANK('ENGAGEMENTS 2026'!B1734),"",'ENGAGEMENTS 2026'!K1734)</f>
        <v/>
      </c>
      <c r="O1734">
        <f>IF(ISBLANK('ENGAGEMENTS 2026'!B1734),"",'ENGAGEMENTS 2026'!L1734)</f>
        <v/>
      </c>
      <c r="P1734">
        <f>IF(ISBLANK('ENGAGEMENTS 2026'!B1734),"",'ENGAGEMENTS 2026'!J1734)</f>
        <v/>
      </c>
      <c r="Q1734">
        <f>IF($A1734="","",IF(OR($E1734="INFRUCTUEUX",$E1734="ANNULE"),$A1734&amp;"|"&amp;(COUNTIFS($A$2:$A1734,$A1734,$E$2:$E1734,"INFRUCTUEUX")+COUNTIFS($A$2:$A1734,$A1734,$E$2:$E1734,"ANNULE")),""))</f>
        <v/>
      </c>
    </row>
    <row r="1735">
      <c r="A1735">
        <f>IF(ISBLANK('ENGAGEMENTS 2026'!B1735),"",IF('ENGAGEMENTS 2026'!B1735="DTSI","DCT",'ENGAGEMENTS 2026'!B1735))</f>
        <v/>
      </c>
      <c r="B1735">
        <f>IF(ISBLANK('ENGAGEMENTS 2026'!B1735),"",'ENGAGEMENTS 2026'!C1735)</f>
        <v/>
      </c>
      <c r="C1735">
        <f>IF(ISBLANK('ENGAGEMENTS 2026'!B1735),"",'ENGAGEMENTS 2026'!D1735)</f>
        <v/>
      </c>
      <c r="D1735">
        <f>IF(ISBLANK('ENGAGEMENTS 2026'!B1735),"",'ENGAGEMENTS 2026'!F1735)</f>
        <v/>
      </c>
      <c r="E1735">
        <f>IF(ISBLANK('ENGAGEMENTS 2026'!B1735),"",'ENGAGEMENTS 2026'!H1735)</f>
        <v/>
      </c>
      <c r="F1735">
        <f>IF(ISBLANK('ENGAGEMENTS 2026'!B1735),"",'ENGAGEMENTS 2026'!I1735)</f>
        <v/>
      </c>
      <c r="G1735">
        <f>IF(ISBLANK('ENGAGEMENTS 2026'!B1735),"",'ENGAGEMENTS 2026'!L1735)</f>
        <v/>
      </c>
      <c r="H1735">
        <f>IF(ISBLANK('ENGAGEMENTS 2026'!B1735),"",'ENGAGEMENTS 2026'!AE1735)</f>
        <v/>
      </c>
      <c r="I1735">
        <f>IF(ISBLANK('ENGAGEMENTS 2026'!B1735),"",'ENGAGEMENTS 2026'!G1735)</f>
        <v/>
      </c>
      <c r="J1735" s="275">
        <f>IF(ISBLANK('ENGAGEMENTS 2026'!B1735),"",IF(AND(OR($E1735="INFRUCTUEUX",$E1735="ANNULE"),$C1735="AOO-M"),'ENGAGEMENTS 2026'!O1735,IF($H1735="EN COURS DE PREENGAGEMENT",'ENGAGEMENTS 2026'!N1735,IF($H1735="PREENGAGE",IF($E1735="ATTRIBUE",'ENGAGEMENTS 2026'!AD1735,'ENGAGEMENTS 2026'!N1735),'ENGAGEMENTS 2026'!AD1735))))</f>
        <v/>
      </c>
      <c r="K1735" s="604">
        <f>IF(ISBLANK('ENGAGEMENTS 2026'!V1735),"",'ENGAGEMENTS 2026'!V1735)</f>
        <v/>
      </c>
      <c r="L1735" s="276">
        <f>IF($K1735="","",TODAY()-$K1735)</f>
        <v/>
      </c>
      <c r="M1735">
        <f>IF($A1735="","",IF($H1735="ENGAGE","Engagé",IF(AND($H1735="NON ENGAGE",OR($I1735="INFRUCTUEUX",$I1735="ANNULE")),"Clôturé sans suite","En cours")))</f>
        <v/>
      </c>
      <c r="N1735">
        <f>IF(ISBLANK('ENGAGEMENTS 2026'!B1735),"",'ENGAGEMENTS 2026'!K1735)</f>
        <v/>
      </c>
      <c r="O1735">
        <f>IF(ISBLANK('ENGAGEMENTS 2026'!B1735),"",'ENGAGEMENTS 2026'!L1735)</f>
        <v/>
      </c>
      <c r="P1735">
        <f>IF(ISBLANK('ENGAGEMENTS 2026'!B1735),"",'ENGAGEMENTS 2026'!J1735)</f>
        <v/>
      </c>
      <c r="Q1735">
        <f>IF($A1735="","",IF(OR($E1735="INFRUCTUEUX",$E1735="ANNULE"),$A1735&amp;"|"&amp;(COUNTIFS($A$2:$A1735,$A1735,$E$2:$E1735,"INFRUCTUEUX")+COUNTIFS($A$2:$A1735,$A1735,$E$2:$E1735,"ANNULE")),""))</f>
        <v/>
      </c>
    </row>
    <row r="1736">
      <c r="A1736">
        <f>IF(ISBLANK('ENGAGEMENTS 2026'!B1736),"",IF('ENGAGEMENTS 2026'!B1736="DTSI","DCT",'ENGAGEMENTS 2026'!B1736))</f>
        <v/>
      </c>
      <c r="B1736">
        <f>IF(ISBLANK('ENGAGEMENTS 2026'!B1736),"",'ENGAGEMENTS 2026'!C1736)</f>
        <v/>
      </c>
      <c r="C1736">
        <f>IF(ISBLANK('ENGAGEMENTS 2026'!B1736),"",'ENGAGEMENTS 2026'!D1736)</f>
        <v/>
      </c>
      <c r="D1736">
        <f>IF(ISBLANK('ENGAGEMENTS 2026'!B1736),"",'ENGAGEMENTS 2026'!F1736)</f>
        <v/>
      </c>
      <c r="E1736">
        <f>IF(ISBLANK('ENGAGEMENTS 2026'!B1736),"",'ENGAGEMENTS 2026'!H1736)</f>
        <v/>
      </c>
      <c r="F1736">
        <f>IF(ISBLANK('ENGAGEMENTS 2026'!B1736),"",'ENGAGEMENTS 2026'!I1736)</f>
        <v/>
      </c>
      <c r="G1736">
        <f>IF(ISBLANK('ENGAGEMENTS 2026'!B1736),"",'ENGAGEMENTS 2026'!L1736)</f>
        <v/>
      </c>
      <c r="H1736">
        <f>IF(ISBLANK('ENGAGEMENTS 2026'!B1736),"",'ENGAGEMENTS 2026'!AE1736)</f>
        <v/>
      </c>
      <c r="I1736">
        <f>IF(ISBLANK('ENGAGEMENTS 2026'!B1736),"",'ENGAGEMENTS 2026'!G1736)</f>
        <v/>
      </c>
      <c r="J1736" s="275">
        <f>IF(ISBLANK('ENGAGEMENTS 2026'!B1736),"",IF(AND(OR($E1736="INFRUCTUEUX",$E1736="ANNULE"),$C1736="AOO-M"),'ENGAGEMENTS 2026'!O1736,IF($H1736="EN COURS DE PREENGAGEMENT",'ENGAGEMENTS 2026'!N1736,IF($H1736="PREENGAGE",IF($E1736="ATTRIBUE",'ENGAGEMENTS 2026'!AD1736,'ENGAGEMENTS 2026'!N1736),'ENGAGEMENTS 2026'!AD1736))))</f>
        <v/>
      </c>
      <c r="K1736" s="604">
        <f>IF(ISBLANK('ENGAGEMENTS 2026'!V1736),"",'ENGAGEMENTS 2026'!V1736)</f>
        <v/>
      </c>
      <c r="L1736" s="276">
        <f>IF($K1736="","",TODAY()-$K1736)</f>
        <v/>
      </c>
      <c r="M1736">
        <f>IF($A1736="","",IF($H1736="ENGAGE","Engagé",IF(AND($H1736="NON ENGAGE",OR($I1736="INFRUCTUEUX",$I1736="ANNULE")),"Clôturé sans suite","En cours")))</f>
        <v/>
      </c>
      <c r="N1736">
        <f>IF(ISBLANK('ENGAGEMENTS 2026'!B1736),"",'ENGAGEMENTS 2026'!K1736)</f>
        <v/>
      </c>
      <c r="O1736">
        <f>IF(ISBLANK('ENGAGEMENTS 2026'!B1736),"",'ENGAGEMENTS 2026'!L1736)</f>
        <v/>
      </c>
      <c r="P1736">
        <f>IF(ISBLANK('ENGAGEMENTS 2026'!B1736),"",'ENGAGEMENTS 2026'!J1736)</f>
        <v/>
      </c>
      <c r="Q1736">
        <f>IF($A1736="","",IF(OR($E1736="INFRUCTUEUX",$E1736="ANNULE"),$A1736&amp;"|"&amp;(COUNTIFS($A$2:$A1736,$A1736,$E$2:$E1736,"INFRUCTUEUX")+COUNTIFS($A$2:$A1736,$A1736,$E$2:$E1736,"ANNULE")),""))</f>
        <v/>
      </c>
    </row>
    <row r="1737">
      <c r="A1737">
        <f>IF(ISBLANK('ENGAGEMENTS 2026'!B1737),"",IF('ENGAGEMENTS 2026'!B1737="DTSI","DCT",'ENGAGEMENTS 2026'!B1737))</f>
        <v/>
      </c>
      <c r="B1737">
        <f>IF(ISBLANK('ENGAGEMENTS 2026'!B1737),"",'ENGAGEMENTS 2026'!C1737)</f>
        <v/>
      </c>
      <c r="C1737">
        <f>IF(ISBLANK('ENGAGEMENTS 2026'!B1737),"",'ENGAGEMENTS 2026'!D1737)</f>
        <v/>
      </c>
      <c r="D1737">
        <f>IF(ISBLANK('ENGAGEMENTS 2026'!B1737),"",'ENGAGEMENTS 2026'!F1737)</f>
        <v/>
      </c>
      <c r="E1737">
        <f>IF(ISBLANK('ENGAGEMENTS 2026'!B1737),"",'ENGAGEMENTS 2026'!H1737)</f>
        <v/>
      </c>
      <c r="F1737">
        <f>IF(ISBLANK('ENGAGEMENTS 2026'!B1737),"",'ENGAGEMENTS 2026'!I1737)</f>
        <v/>
      </c>
      <c r="G1737">
        <f>IF(ISBLANK('ENGAGEMENTS 2026'!B1737),"",'ENGAGEMENTS 2026'!L1737)</f>
        <v/>
      </c>
      <c r="H1737">
        <f>IF(ISBLANK('ENGAGEMENTS 2026'!B1737),"",'ENGAGEMENTS 2026'!AE1737)</f>
        <v/>
      </c>
      <c r="I1737">
        <f>IF(ISBLANK('ENGAGEMENTS 2026'!B1737),"",'ENGAGEMENTS 2026'!G1737)</f>
        <v/>
      </c>
      <c r="J1737" s="275">
        <f>IF(ISBLANK('ENGAGEMENTS 2026'!B1737),"",IF(AND(OR($E1737="INFRUCTUEUX",$E1737="ANNULE"),$C1737="AOO-M"),'ENGAGEMENTS 2026'!O1737,IF($H1737="EN COURS DE PREENGAGEMENT",'ENGAGEMENTS 2026'!N1737,IF($H1737="PREENGAGE",IF($E1737="ATTRIBUE",'ENGAGEMENTS 2026'!AD1737,'ENGAGEMENTS 2026'!N1737),'ENGAGEMENTS 2026'!AD1737))))</f>
        <v/>
      </c>
      <c r="K1737" s="604">
        <f>IF(ISBLANK('ENGAGEMENTS 2026'!V1737),"",'ENGAGEMENTS 2026'!V1737)</f>
        <v/>
      </c>
      <c r="L1737" s="276">
        <f>IF($K1737="","",TODAY()-$K1737)</f>
        <v/>
      </c>
      <c r="M1737">
        <f>IF($A1737="","",IF($H1737="ENGAGE","Engagé",IF(AND($H1737="NON ENGAGE",OR($I1737="INFRUCTUEUX",$I1737="ANNULE")),"Clôturé sans suite","En cours")))</f>
        <v/>
      </c>
      <c r="N1737">
        <f>IF(ISBLANK('ENGAGEMENTS 2026'!B1737),"",'ENGAGEMENTS 2026'!K1737)</f>
        <v/>
      </c>
      <c r="O1737">
        <f>IF(ISBLANK('ENGAGEMENTS 2026'!B1737),"",'ENGAGEMENTS 2026'!L1737)</f>
        <v/>
      </c>
      <c r="P1737">
        <f>IF(ISBLANK('ENGAGEMENTS 2026'!B1737),"",'ENGAGEMENTS 2026'!J1737)</f>
        <v/>
      </c>
      <c r="Q1737">
        <f>IF($A1737="","",IF(OR($E1737="INFRUCTUEUX",$E1737="ANNULE"),$A1737&amp;"|"&amp;(COUNTIFS($A$2:$A1737,$A1737,$E$2:$E1737,"INFRUCTUEUX")+COUNTIFS($A$2:$A1737,$A1737,$E$2:$E1737,"ANNULE")),""))</f>
        <v/>
      </c>
    </row>
    <row r="1738">
      <c r="A1738">
        <f>IF(ISBLANK('ENGAGEMENTS 2026'!B1738),"",IF('ENGAGEMENTS 2026'!B1738="DTSI","DCT",'ENGAGEMENTS 2026'!B1738))</f>
        <v/>
      </c>
      <c r="B1738">
        <f>IF(ISBLANK('ENGAGEMENTS 2026'!B1738),"",'ENGAGEMENTS 2026'!C1738)</f>
        <v/>
      </c>
      <c r="C1738">
        <f>IF(ISBLANK('ENGAGEMENTS 2026'!B1738),"",'ENGAGEMENTS 2026'!D1738)</f>
        <v/>
      </c>
      <c r="D1738">
        <f>IF(ISBLANK('ENGAGEMENTS 2026'!B1738),"",'ENGAGEMENTS 2026'!F1738)</f>
        <v/>
      </c>
      <c r="E1738">
        <f>IF(ISBLANK('ENGAGEMENTS 2026'!B1738),"",'ENGAGEMENTS 2026'!H1738)</f>
        <v/>
      </c>
      <c r="F1738">
        <f>IF(ISBLANK('ENGAGEMENTS 2026'!B1738),"",'ENGAGEMENTS 2026'!I1738)</f>
        <v/>
      </c>
      <c r="G1738">
        <f>IF(ISBLANK('ENGAGEMENTS 2026'!B1738),"",'ENGAGEMENTS 2026'!L1738)</f>
        <v/>
      </c>
      <c r="H1738">
        <f>IF(ISBLANK('ENGAGEMENTS 2026'!B1738),"",'ENGAGEMENTS 2026'!AE1738)</f>
        <v/>
      </c>
      <c r="I1738">
        <f>IF(ISBLANK('ENGAGEMENTS 2026'!B1738),"",'ENGAGEMENTS 2026'!G1738)</f>
        <v/>
      </c>
      <c r="J1738" s="275">
        <f>IF(ISBLANK('ENGAGEMENTS 2026'!B1738),"",IF(AND(OR($E1738="INFRUCTUEUX",$E1738="ANNULE"),$C1738="AOO-M"),'ENGAGEMENTS 2026'!O1738,IF($H1738="EN COURS DE PREENGAGEMENT",'ENGAGEMENTS 2026'!N1738,IF($H1738="PREENGAGE",IF($E1738="ATTRIBUE",'ENGAGEMENTS 2026'!AD1738,'ENGAGEMENTS 2026'!N1738),'ENGAGEMENTS 2026'!AD1738))))</f>
        <v/>
      </c>
      <c r="K1738" s="604">
        <f>IF(ISBLANK('ENGAGEMENTS 2026'!V1738),"",'ENGAGEMENTS 2026'!V1738)</f>
        <v/>
      </c>
      <c r="L1738" s="276">
        <f>IF($K1738="","",TODAY()-$K1738)</f>
        <v/>
      </c>
      <c r="M1738">
        <f>IF($A1738="","",IF($H1738="ENGAGE","Engagé",IF(AND($H1738="NON ENGAGE",OR($I1738="INFRUCTUEUX",$I1738="ANNULE")),"Clôturé sans suite","En cours")))</f>
        <v/>
      </c>
      <c r="N1738">
        <f>IF(ISBLANK('ENGAGEMENTS 2026'!B1738),"",'ENGAGEMENTS 2026'!K1738)</f>
        <v/>
      </c>
      <c r="O1738">
        <f>IF(ISBLANK('ENGAGEMENTS 2026'!B1738),"",'ENGAGEMENTS 2026'!L1738)</f>
        <v/>
      </c>
      <c r="P1738">
        <f>IF(ISBLANK('ENGAGEMENTS 2026'!B1738),"",'ENGAGEMENTS 2026'!J1738)</f>
        <v/>
      </c>
      <c r="Q1738">
        <f>IF($A1738="","",IF(OR($E1738="INFRUCTUEUX",$E1738="ANNULE"),$A1738&amp;"|"&amp;(COUNTIFS($A$2:$A1738,$A1738,$E$2:$E1738,"INFRUCTUEUX")+COUNTIFS($A$2:$A1738,$A1738,$E$2:$E1738,"ANNULE")),""))</f>
        <v/>
      </c>
    </row>
    <row r="1739">
      <c r="A1739">
        <f>IF(ISBLANK('ENGAGEMENTS 2026'!B1739),"",IF('ENGAGEMENTS 2026'!B1739="DTSI","DCT",'ENGAGEMENTS 2026'!B1739))</f>
        <v/>
      </c>
      <c r="B1739">
        <f>IF(ISBLANK('ENGAGEMENTS 2026'!B1739),"",'ENGAGEMENTS 2026'!C1739)</f>
        <v/>
      </c>
      <c r="C1739">
        <f>IF(ISBLANK('ENGAGEMENTS 2026'!B1739),"",'ENGAGEMENTS 2026'!D1739)</f>
        <v/>
      </c>
      <c r="D1739">
        <f>IF(ISBLANK('ENGAGEMENTS 2026'!B1739),"",'ENGAGEMENTS 2026'!F1739)</f>
        <v/>
      </c>
      <c r="E1739">
        <f>IF(ISBLANK('ENGAGEMENTS 2026'!B1739),"",'ENGAGEMENTS 2026'!H1739)</f>
        <v/>
      </c>
      <c r="F1739">
        <f>IF(ISBLANK('ENGAGEMENTS 2026'!B1739),"",'ENGAGEMENTS 2026'!I1739)</f>
        <v/>
      </c>
      <c r="G1739">
        <f>IF(ISBLANK('ENGAGEMENTS 2026'!B1739),"",'ENGAGEMENTS 2026'!L1739)</f>
        <v/>
      </c>
      <c r="H1739">
        <f>IF(ISBLANK('ENGAGEMENTS 2026'!B1739),"",'ENGAGEMENTS 2026'!AE1739)</f>
        <v/>
      </c>
      <c r="I1739">
        <f>IF(ISBLANK('ENGAGEMENTS 2026'!B1739),"",'ENGAGEMENTS 2026'!G1739)</f>
        <v/>
      </c>
      <c r="J1739" s="275">
        <f>IF(ISBLANK('ENGAGEMENTS 2026'!B1739),"",IF(AND(OR($E1739="INFRUCTUEUX",$E1739="ANNULE"),$C1739="AOO-M"),'ENGAGEMENTS 2026'!O1739,IF($H1739="EN COURS DE PREENGAGEMENT",'ENGAGEMENTS 2026'!N1739,IF($H1739="PREENGAGE",IF($E1739="ATTRIBUE",'ENGAGEMENTS 2026'!AD1739,'ENGAGEMENTS 2026'!N1739),'ENGAGEMENTS 2026'!AD1739))))</f>
        <v/>
      </c>
      <c r="K1739" s="604">
        <f>IF(ISBLANK('ENGAGEMENTS 2026'!V1739),"",'ENGAGEMENTS 2026'!V1739)</f>
        <v/>
      </c>
      <c r="L1739" s="276">
        <f>IF($K1739="","",TODAY()-$K1739)</f>
        <v/>
      </c>
      <c r="M1739">
        <f>IF($A1739="","",IF($H1739="ENGAGE","Engagé",IF(AND($H1739="NON ENGAGE",OR($I1739="INFRUCTUEUX",$I1739="ANNULE")),"Clôturé sans suite","En cours")))</f>
        <v/>
      </c>
      <c r="N1739">
        <f>IF(ISBLANK('ENGAGEMENTS 2026'!B1739),"",'ENGAGEMENTS 2026'!K1739)</f>
        <v/>
      </c>
      <c r="O1739">
        <f>IF(ISBLANK('ENGAGEMENTS 2026'!B1739),"",'ENGAGEMENTS 2026'!L1739)</f>
        <v/>
      </c>
      <c r="P1739">
        <f>IF(ISBLANK('ENGAGEMENTS 2026'!B1739),"",'ENGAGEMENTS 2026'!J1739)</f>
        <v/>
      </c>
      <c r="Q1739">
        <f>IF($A1739="","",IF(OR($E1739="INFRUCTUEUX",$E1739="ANNULE"),$A1739&amp;"|"&amp;(COUNTIFS($A$2:$A1739,$A1739,$E$2:$E1739,"INFRUCTUEUX")+COUNTIFS($A$2:$A1739,$A1739,$E$2:$E1739,"ANNULE")),""))</f>
        <v/>
      </c>
    </row>
    <row r="1740">
      <c r="A1740">
        <f>IF(ISBLANK('ENGAGEMENTS 2026'!B1740),"",IF('ENGAGEMENTS 2026'!B1740="DTSI","DCT",'ENGAGEMENTS 2026'!B1740))</f>
        <v/>
      </c>
      <c r="B1740">
        <f>IF(ISBLANK('ENGAGEMENTS 2026'!B1740),"",'ENGAGEMENTS 2026'!C1740)</f>
        <v/>
      </c>
      <c r="C1740">
        <f>IF(ISBLANK('ENGAGEMENTS 2026'!B1740),"",'ENGAGEMENTS 2026'!D1740)</f>
        <v/>
      </c>
      <c r="D1740">
        <f>IF(ISBLANK('ENGAGEMENTS 2026'!B1740),"",'ENGAGEMENTS 2026'!F1740)</f>
        <v/>
      </c>
      <c r="E1740">
        <f>IF(ISBLANK('ENGAGEMENTS 2026'!B1740),"",'ENGAGEMENTS 2026'!H1740)</f>
        <v/>
      </c>
      <c r="F1740">
        <f>IF(ISBLANK('ENGAGEMENTS 2026'!B1740),"",'ENGAGEMENTS 2026'!I1740)</f>
        <v/>
      </c>
      <c r="G1740">
        <f>IF(ISBLANK('ENGAGEMENTS 2026'!B1740),"",'ENGAGEMENTS 2026'!L1740)</f>
        <v/>
      </c>
      <c r="H1740">
        <f>IF(ISBLANK('ENGAGEMENTS 2026'!B1740),"",'ENGAGEMENTS 2026'!AE1740)</f>
        <v/>
      </c>
      <c r="I1740">
        <f>IF(ISBLANK('ENGAGEMENTS 2026'!B1740),"",'ENGAGEMENTS 2026'!G1740)</f>
        <v/>
      </c>
      <c r="J1740" s="275">
        <f>IF(ISBLANK('ENGAGEMENTS 2026'!B1740),"",IF(AND(OR($E1740="INFRUCTUEUX",$E1740="ANNULE"),$C1740="AOO-M"),'ENGAGEMENTS 2026'!O1740,IF($H1740="EN COURS DE PREENGAGEMENT",'ENGAGEMENTS 2026'!N1740,IF($H1740="PREENGAGE",IF($E1740="ATTRIBUE",'ENGAGEMENTS 2026'!AD1740,'ENGAGEMENTS 2026'!N1740),'ENGAGEMENTS 2026'!AD1740))))</f>
        <v/>
      </c>
      <c r="K1740" s="604">
        <f>IF(ISBLANK('ENGAGEMENTS 2026'!V1740),"",'ENGAGEMENTS 2026'!V1740)</f>
        <v/>
      </c>
      <c r="L1740" s="276">
        <f>IF($K1740="","",TODAY()-$K1740)</f>
        <v/>
      </c>
      <c r="M1740">
        <f>IF($A1740="","",IF($H1740="ENGAGE","Engagé",IF(AND($H1740="NON ENGAGE",OR($I1740="INFRUCTUEUX",$I1740="ANNULE")),"Clôturé sans suite","En cours")))</f>
        <v/>
      </c>
      <c r="N1740">
        <f>IF(ISBLANK('ENGAGEMENTS 2026'!B1740),"",'ENGAGEMENTS 2026'!K1740)</f>
        <v/>
      </c>
      <c r="O1740">
        <f>IF(ISBLANK('ENGAGEMENTS 2026'!B1740),"",'ENGAGEMENTS 2026'!L1740)</f>
        <v/>
      </c>
      <c r="P1740">
        <f>IF(ISBLANK('ENGAGEMENTS 2026'!B1740),"",'ENGAGEMENTS 2026'!J1740)</f>
        <v/>
      </c>
      <c r="Q1740">
        <f>IF($A1740="","",IF(OR($E1740="INFRUCTUEUX",$E1740="ANNULE"),$A1740&amp;"|"&amp;(COUNTIFS($A$2:$A1740,$A1740,$E$2:$E1740,"INFRUCTUEUX")+COUNTIFS($A$2:$A1740,$A1740,$E$2:$E1740,"ANNULE")),""))</f>
        <v/>
      </c>
    </row>
    <row r="1741">
      <c r="A1741">
        <f>IF(ISBLANK('ENGAGEMENTS 2026'!B1741),"",IF('ENGAGEMENTS 2026'!B1741="DTSI","DCT",'ENGAGEMENTS 2026'!B1741))</f>
        <v/>
      </c>
      <c r="B1741">
        <f>IF(ISBLANK('ENGAGEMENTS 2026'!B1741),"",'ENGAGEMENTS 2026'!C1741)</f>
        <v/>
      </c>
      <c r="C1741">
        <f>IF(ISBLANK('ENGAGEMENTS 2026'!B1741),"",'ENGAGEMENTS 2026'!D1741)</f>
        <v/>
      </c>
      <c r="D1741">
        <f>IF(ISBLANK('ENGAGEMENTS 2026'!B1741),"",'ENGAGEMENTS 2026'!F1741)</f>
        <v/>
      </c>
      <c r="E1741">
        <f>IF(ISBLANK('ENGAGEMENTS 2026'!B1741),"",'ENGAGEMENTS 2026'!H1741)</f>
        <v/>
      </c>
      <c r="F1741">
        <f>IF(ISBLANK('ENGAGEMENTS 2026'!B1741),"",'ENGAGEMENTS 2026'!I1741)</f>
        <v/>
      </c>
      <c r="G1741">
        <f>IF(ISBLANK('ENGAGEMENTS 2026'!B1741),"",'ENGAGEMENTS 2026'!L1741)</f>
        <v/>
      </c>
      <c r="H1741">
        <f>IF(ISBLANK('ENGAGEMENTS 2026'!B1741),"",'ENGAGEMENTS 2026'!AE1741)</f>
        <v/>
      </c>
      <c r="I1741">
        <f>IF(ISBLANK('ENGAGEMENTS 2026'!B1741),"",'ENGAGEMENTS 2026'!G1741)</f>
        <v/>
      </c>
      <c r="J1741" s="275">
        <f>IF(ISBLANK('ENGAGEMENTS 2026'!B1741),"",IF(AND(OR($E1741="INFRUCTUEUX",$E1741="ANNULE"),$C1741="AOO-M"),'ENGAGEMENTS 2026'!O1741,IF($H1741="EN COURS DE PREENGAGEMENT",'ENGAGEMENTS 2026'!N1741,IF($H1741="PREENGAGE",IF($E1741="ATTRIBUE",'ENGAGEMENTS 2026'!AD1741,'ENGAGEMENTS 2026'!N1741),'ENGAGEMENTS 2026'!AD1741))))</f>
        <v/>
      </c>
      <c r="K1741" s="604">
        <f>IF(ISBLANK('ENGAGEMENTS 2026'!V1741),"",'ENGAGEMENTS 2026'!V1741)</f>
        <v/>
      </c>
      <c r="L1741" s="276">
        <f>IF($K1741="","",TODAY()-$K1741)</f>
        <v/>
      </c>
      <c r="M1741">
        <f>IF($A1741="","",IF($H1741="ENGAGE","Engagé",IF(AND($H1741="NON ENGAGE",OR($I1741="INFRUCTUEUX",$I1741="ANNULE")),"Clôturé sans suite","En cours")))</f>
        <v/>
      </c>
      <c r="N1741">
        <f>IF(ISBLANK('ENGAGEMENTS 2026'!B1741),"",'ENGAGEMENTS 2026'!K1741)</f>
        <v/>
      </c>
      <c r="O1741">
        <f>IF(ISBLANK('ENGAGEMENTS 2026'!B1741),"",'ENGAGEMENTS 2026'!L1741)</f>
        <v/>
      </c>
      <c r="P1741">
        <f>IF(ISBLANK('ENGAGEMENTS 2026'!B1741),"",'ENGAGEMENTS 2026'!J1741)</f>
        <v/>
      </c>
      <c r="Q1741">
        <f>IF($A1741="","",IF(OR($E1741="INFRUCTUEUX",$E1741="ANNULE"),$A1741&amp;"|"&amp;(COUNTIFS($A$2:$A1741,$A1741,$E$2:$E1741,"INFRUCTUEUX")+COUNTIFS($A$2:$A1741,$A1741,$E$2:$E1741,"ANNULE")),""))</f>
        <v/>
      </c>
    </row>
    <row r="1742">
      <c r="A1742">
        <f>IF(ISBLANK('ENGAGEMENTS 2026'!B1742),"",IF('ENGAGEMENTS 2026'!B1742="DTSI","DCT",'ENGAGEMENTS 2026'!B1742))</f>
        <v/>
      </c>
      <c r="B1742">
        <f>IF(ISBLANK('ENGAGEMENTS 2026'!B1742),"",'ENGAGEMENTS 2026'!C1742)</f>
        <v/>
      </c>
      <c r="C1742">
        <f>IF(ISBLANK('ENGAGEMENTS 2026'!B1742),"",'ENGAGEMENTS 2026'!D1742)</f>
        <v/>
      </c>
      <c r="D1742">
        <f>IF(ISBLANK('ENGAGEMENTS 2026'!B1742),"",'ENGAGEMENTS 2026'!F1742)</f>
        <v/>
      </c>
      <c r="E1742">
        <f>IF(ISBLANK('ENGAGEMENTS 2026'!B1742),"",'ENGAGEMENTS 2026'!H1742)</f>
        <v/>
      </c>
      <c r="F1742">
        <f>IF(ISBLANK('ENGAGEMENTS 2026'!B1742),"",'ENGAGEMENTS 2026'!I1742)</f>
        <v/>
      </c>
      <c r="G1742">
        <f>IF(ISBLANK('ENGAGEMENTS 2026'!B1742),"",'ENGAGEMENTS 2026'!L1742)</f>
        <v/>
      </c>
      <c r="H1742">
        <f>IF(ISBLANK('ENGAGEMENTS 2026'!B1742),"",'ENGAGEMENTS 2026'!AE1742)</f>
        <v/>
      </c>
      <c r="I1742">
        <f>IF(ISBLANK('ENGAGEMENTS 2026'!B1742),"",'ENGAGEMENTS 2026'!G1742)</f>
        <v/>
      </c>
      <c r="J1742" s="275">
        <f>IF(ISBLANK('ENGAGEMENTS 2026'!B1742),"",IF(AND(OR($E1742="INFRUCTUEUX",$E1742="ANNULE"),$C1742="AOO-M"),'ENGAGEMENTS 2026'!O1742,IF($H1742="EN COURS DE PREENGAGEMENT",'ENGAGEMENTS 2026'!N1742,IF($H1742="PREENGAGE",IF($E1742="ATTRIBUE",'ENGAGEMENTS 2026'!AD1742,'ENGAGEMENTS 2026'!N1742),'ENGAGEMENTS 2026'!AD1742))))</f>
        <v/>
      </c>
      <c r="K1742" s="604">
        <f>IF(ISBLANK('ENGAGEMENTS 2026'!V1742),"",'ENGAGEMENTS 2026'!V1742)</f>
        <v/>
      </c>
      <c r="L1742" s="276">
        <f>IF($K1742="","",TODAY()-$K1742)</f>
        <v/>
      </c>
      <c r="M1742">
        <f>IF($A1742="","",IF($H1742="ENGAGE","Engagé",IF(AND($H1742="NON ENGAGE",OR($I1742="INFRUCTUEUX",$I1742="ANNULE")),"Clôturé sans suite","En cours")))</f>
        <v/>
      </c>
      <c r="N1742">
        <f>IF(ISBLANK('ENGAGEMENTS 2026'!B1742),"",'ENGAGEMENTS 2026'!K1742)</f>
        <v/>
      </c>
      <c r="O1742">
        <f>IF(ISBLANK('ENGAGEMENTS 2026'!B1742),"",'ENGAGEMENTS 2026'!L1742)</f>
        <v/>
      </c>
      <c r="P1742">
        <f>IF(ISBLANK('ENGAGEMENTS 2026'!B1742),"",'ENGAGEMENTS 2026'!J1742)</f>
        <v/>
      </c>
      <c r="Q1742">
        <f>IF($A1742="","",IF(OR($E1742="INFRUCTUEUX",$E1742="ANNULE"),$A1742&amp;"|"&amp;(COUNTIFS($A$2:$A1742,$A1742,$E$2:$E1742,"INFRUCTUEUX")+COUNTIFS($A$2:$A1742,$A1742,$E$2:$E1742,"ANNULE")),""))</f>
        <v/>
      </c>
    </row>
    <row r="1743">
      <c r="A1743">
        <f>IF(ISBLANK('ENGAGEMENTS 2026'!B1743),"",IF('ENGAGEMENTS 2026'!B1743="DTSI","DCT",'ENGAGEMENTS 2026'!B1743))</f>
        <v/>
      </c>
      <c r="B1743">
        <f>IF(ISBLANK('ENGAGEMENTS 2026'!B1743),"",'ENGAGEMENTS 2026'!C1743)</f>
        <v/>
      </c>
      <c r="C1743">
        <f>IF(ISBLANK('ENGAGEMENTS 2026'!B1743),"",'ENGAGEMENTS 2026'!D1743)</f>
        <v/>
      </c>
      <c r="D1743">
        <f>IF(ISBLANK('ENGAGEMENTS 2026'!B1743),"",'ENGAGEMENTS 2026'!F1743)</f>
        <v/>
      </c>
      <c r="E1743">
        <f>IF(ISBLANK('ENGAGEMENTS 2026'!B1743),"",'ENGAGEMENTS 2026'!H1743)</f>
        <v/>
      </c>
      <c r="F1743">
        <f>IF(ISBLANK('ENGAGEMENTS 2026'!B1743),"",'ENGAGEMENTS 2026'!I1743)</f>
        <v/>
      </c>
      <c r="G1743">
        <f>IF(ISBLANK('ENGAGEMENTS 2026'!B1743),"",'ENGAGEMENTS 2026'!L1743)</f>
        <v/>
      </c>
      <c r="H1743">
        <f>IF(ISBLANK('ENGAGEMENTS 2026'!B1743),"",'ENGAGEMENTS 2026'!AE1743)</f>
        <v/>
      </c>
      <c r="I1743">
        <f>IF(ISBLANK('ENGAGEMENTS 2026'!B1743),"",'ENGAGEMENTS 2026'!G1743)</f>
        <v/>
      </c>
      <c r="J1743" s="275">
        <f>IF(ISBLANK('ENGAGEMENTS 2026'!B1743),"",IF(AND(OR($E1743="INFRUCTUEUX",$E1743="ANNULE"),$C1743="AOO-M"),'ENGAGEMENTS 2026'!O1743,IF($H1743="EN COURS DE PREENGAGEMENT",'ENGAGEMENTS 2026'!N1743,IF($H1743="PREENGAGE",IF($E1743="ATTRIBUE",'ENGAGEMENTS 2026'!AD1743,'ENGAGEMENTS 2026'!N1743),'ENGAGEMENTS 2026'!AD1743))))</f>
        <v/>
      </c>
      <c r="K1743" s="604">
        <f>IF(ISBLANK('ENGAGEMENTS 2026'!V1743),"",'ENGAGEMENTS 2026'!V1743)</f>
        <v/>
      </c>
      <c r="L1743" s="276">
        <f>IF($K1743="","",TODAY()-$K1743)</f>
        <v/>
      </c>
      <c r="M1743">
        <f>IF($A1743="","",IF($H1743="ENGAGE","Engagé",IF(AND($H1743="NON ENGAGE",OR($I1743="INFRUCTUEUX",$I1743="ANNULE")),"Clôturé sans suite","En cours")))</f>
        <v/>
      </c>
      <c r="N1743">
        <f>IF(ISBLANK('ENGAGEMENTS 2026'!B1743),"",'ENGAGEMENTS 2026'!K1743)</f>
        <v/>
      </c>
      <c r="O1743">
        <f>IF(ISBLANK('ENGAGEMENTS 2026'!B1743),"",'ENGAGEMENTS 2026'!L1743)</f>
        <v/>
      </c>
      <c r="P1743">
        <f>IF(ISBLANK('ENGAGEMENTS 2026'!B1743),"",'ENGAGEMENTS 2026'!J1743)</f>
        <v/>
      </c>
      <c r="Q1743">
        <f>IF($A1743="","",IF(OR($E1743="INFRUCTUEUX",$E1743="ANNULE"),$A1743&amp;"|"&amp;(COUNTIFS($A$2:$A1743,$A1743,$E$2:$E1743,"INFRUCTUEUX")+COUNTIFS($A$2:$A1743,$A1743,$E$2:$E1743,"ANNULE")),""))</f>
        <v/>
      </c>
    </row>
    <row r="1744">
      <c r="A1744">
        <f>IF(ISBLANK('ENGAGEMENTS 2026'!B1744),"",IF('ENGAGEMENTS 2026'!B1744="DTSI","DCT",'ENGAGEMENTS 2026'!B1744))</f>
        <v/>
      </c>
      <c r="B1744">
        <f>IF(ISBLANK('ENGAGEMENTS 2026'!B1744),"",'ENGAGEMENTS 2026'!C1744)</f>
        <v/>
      </c>
      <c r="C1744">
        <f>IF(ISBLANK('ENGAGEMENTS 2026'!B1744),"",'ENGAGEMENTS 2026'!D1744)</f>
        <v/>
      </c>
      <c r="D1744">
        <f>IF(ISBLANK('ENGAGEMENTS 2026'!B1744),"",'ENGAGEMENTS 2026'!F1744)</f>
        <v/>
      </c>
      <c r="E1744">
        <f>IF(ISBLANK('ENGAGEMENTS 2026'!B1744),"",'ENGAGEMENTS 2026'!H1744)</f>
        <v/>
      </c>
      <c r="F1744">
        <f>IF(ISBLANK('ENGAGEMENTS 2026'!B1744),"",'ENGAGEMENTS 2026'!I1744)</f>
        <v/>
      </c>
      <c r="G1744">
        <f>IF(ISBLANK('ENGAGEMENTS 2026'!B1744),"",'ENGAGEMENTS 2026'!L1744)</f>
        <v/>
      </c>
      <c r="H1744">
        <f>IF(ISBLANK('ENGAGEMENTS 2026'!B1744),"",'ENGAGEMENTS 2026'!AE1744)</f>
        <v/>
      </c>
      <c r="I1744">
        <f>IF(ISBLANK('ENGAGEMENTS 2026'!B1744),"",'ENGAGEMENTS 2026'!G1744)</f>
        <v/>
      </c>
      <c r="J1744" s="275">
        <f>IF(ISBLANK('ENGAGEMENTS 2026'!B1744),"",IF(AND(OR($E1744="INFRUCTUEUX",$E1744="ANNULE"),$C1744="AOO-M"),'ENGAGEMENTS 2026'!O1744,IF($H1744="EN COURS DE PREENGAGEMENT",'ENGAGEMENTS 2026'!N1744,IF($H1744="PREENGAGE",IF($E1744="ATTRIBUE",'ENGAGEMENTS 2026'!AD1744,'ENGAGEMENTS 2026'!N1744),'ENGAGEMENTS 2026'!AD1744))))</f>
        <v/>
      </c>
      <c r="K1744" s="604">
        <f>IF(ISBLANK('ENGAGEMENTS 2026'!V1744),"",'ENGAGEMENTS 2026'!V1744)</f>
        <v/>
      </c>
      <c r="L1744" s="276">
        <f>IF($K1744="","",TODAY()-$K1744)</f>
        <v/>
      </c>
      <c r="M1744">
        <f>IF($A1744="","",IF($H1744="ENGAGE","Engagé",IF(AND($H1744="NON ENGAGE",OR($I1744="INFRUCTUEUX",$I1744="ANNULE")),"Clôturé sans suite","En cours")))</f>
        <v/>
      </c>
      <c r="N1744">
        <f>IF(ISBLANK('ENGAGEMENTS 2026'!B1744),"",'ENGAGEMENTS 2026'!K1744)</f>
        <v/>
      </c>
      <c r="O1744">
        <f>IF(ISBLANK('ENGAGEMENTS 2026'!B1744),"",'ENGAGEMENTS 2026'!L1744)</f>
        <v/>
      </c>
      <c r="P1744">
        <f>IF(ISBLANK('ENGAGEMENTS 2026'!B1744),"",'ENGAGEMENTS 2026'!J1744)</f>
        <v/>
      </c>
      <c r="Q1744">
        <f>IF($A1744="","",IF(OR($E1744="INFRUCTUEUX",$E1744="ANNULE"),$A1744&amp;"|"&amp;(COUNTIFS($A$2:$A1744,$A1744,$E$2:$E1744,"INFRUCTUEUX")+COUNTIFS($A$2:$A1744,$A1744,$E$2:$E1744,"ANNULE")),""))</f>
        <v/>
      </c>
    </row>
    <row r="1745">
      <c r="A1745">
        <f>IF(ISBLANK('ENGAGEMENTS 2026'!B1745),"",IF('ENGAGEMENTS 2026'!B1745="DTSI","DCT",'ENGAGEMENTS 2026'!B1745))</f>
        <v/>
      </c>
      <c r="B1745">
        <f>IF(ISBLANK('ENGAGEMENTS 2026'!B1745),"",'ENGAGEMENTS 2026'!C1745)</f>
        <v/>
      </c>
      <c r="C1745">
        <f>IF(ISBLANK('ENGAGEMENTS 2026'!B1745),"",'ENGAGEMENTS 2026'!D1745)</f>
        <v/>
      </c>
      <c r="D1745">
        <f>IF(ISBLANK('ENGAGEMENTS 2026'!B1745),"",'ENGAGEMENTS 2026'!F1745)</f>
        <v/>
      </c>
      <c r="E1745">
        <f>IF(ISBLANK('ENGAGEMENTS 2026'!B1745),"",'ENGAGEMENTS 2026'!H1745)</f>
        <v/>
      </c>
      <c r="F1745">
        <f>IF(ISBLANK('ENGAGEMENTS 2026'!B1745),"",'ENGAGEMENTS 2026'!I1745)</f>
        <v/>
      </c>
      <c r="G1745">
        <f>IF(ISBLANK('ENGAGEMENTS 2026'!B1745),"",'ENGAGEMENTS 2026'!L1745)</f>
        <v/>
      </c>
      <c r="H1745">
        <f>IF(ISBLANK('ENGAGEMENTS 2026'!B1745),"",'ENGAGEMENTS 2026'!AE1745)</f>
        <v/>
      </c>
      <c r="I1745">
        <f>IF(ISBLANK('ENGAGEMENTS 2026'!B1745),"",'ENGAGEMENTS 2026'!G1745)</f>
        <v/>
      </c>
      <c r="J1745" s="275">
        <f>IF(ISBLANK('ENGAGEMENTS 2026'!B1745),"",IF(AND(OR($E1745="INFRUCTUEUX",$E1745="ANNULE"),$C1745="AOO-M"),'ENGAGEMENTS 2026'!O1745,IF($H1745="EN COURS DE PREENGAGEMENT",'ENGAGEMENTS 2026'!N1745,IF($H1745="PREENGAGE",IF($E1745="ATTRIBUE",'ENGAGEMENTS 2026'!AD1745,'ENGAGEMENTS 2026'!N1745),'ENGAGEMENTS 2026'!AD1745))))</f>
        <v/>
      </c>
      <c r="K1745" s="604">
        <f>IF(ISBLANK('ENGAGEMENTS 2026'!V1745),"",'ENGAGEMENTS 2026'!V1745)</f>
        <v/>
      </c>
      <c r="L1745" s="276">
        <f>IF($K1745="","",TODAY()-$K1745)</f>
        <v/>
      </c>
      <c r="M1745">
        <f>IF($A1745="","",IF($H1745="ENGAGE","Engagé",IF(AND($H1745="NON ENGAGE",OR($I1745="INFRUCTUEUX",$I1745="ANNULE")),"Clôturé sans suite","En cours")))</f>
        <v/>
      </c>
      <c r="N1745">
        <f>IF(ISBLANK('ENGAGEMENTS 2026'!B1745),"",'ENGAGEMENTS 2026'!K1745)</f>
        <v/>
      </c>
      <c r="O1745">
        <f>IF(ISBLANK('ENGAGEMENTS 2026'!B1745),"",'ENGAGEMENTS 2026'!L1745)</f>
        <v/>
      </c>
      <c r="P1745">
        <f>IF(ISBLANK('ENGAGEMENTS 2026'!B1745),"",'ENGAGEMENTS 2026'!J1745)</f>
        <v/>
      </c>
      <c r="Q1745">
        <f>IF($A1745="","",IF(OR($E1745="INFRUCTUEUX",$E1745="ANNULE"),$A1745&amp;"|"&amp;(COUNTIFS($A$2:$A1745,$A1745,$E$2:$E1745,"INFRUCTUEUX")+COUNTIFS($A$2:$A1745,$A1745,$E$2:$E1745,"ANNULE")),""))</f>
        <v/>
      </c>
    </row>
    <row r="1746">
      <c r="A1746">
        <f>IF(ISBLANK('ENGAGEMENTS 2026'!B1746),"",IF('ENGAGEMENTS 2026'!B1746="DTSI","DCT",'ENGAGEMENTS 2026'!B1746))</f>
        <v/>
      </c>
      <c r="B1746">
        <f>IF(ISBLANK('ENGAGEMENTS 2026'!B1746),"",'ENGAGEMENTS 2026'!C1746)</f>
        <v/>
      </c>
      <c r="C1746">
        <f>IF(ISBLANK('ENGAGEMENTS 2026'!B1746),"",'ENGAGEMENTS 2026'!D1746)</f>
        <v/>
      </c>
      <c r="D1746">
        <f>IF(ISBLANK('ENGAGEMENTS 2026'!B1746),"",'ENGAGEMENTS 2026'!F1746)</f>
        <v/>
      </c>
      <c r="E1746">
        <f>IF(ISBLANK('ENGAGEMENTS 2026'!B1746),"",'ENGAGEMENTS 2026'!H1746)</f>
        <v/>
      </c>
      <c r="F1746">
        <f>IF(ISBLANK('ENGAGEMENTS 2026'!B1746),"",'ENGAGEMENTS 2026'!I1746)</f>
        <v/>
      </c>
      <c r="G1746">
        <f>IF(ISBLANK('ENGAGEMENTS 2026'!B1746),"",'ENGAGEMENTS 2026'!L1746)</f>
        <v/>
      </c>
      <c r="H1746">
        <f>IF(ISBLANK('ENGAGEMENTS 2026'!B1746),"",'ENGAGEMENTS 2026'!AE1746)</f>
        <v/>
      </c>
      <c r="I1746">
        <f>IF(ISBLANK('ENGAGEMENTS 2026'!B1746),"",'ENGAGEMENTS 2026'!G1746)</f>
        <v/>
      </c>
      <c r="J1746" s="275">
        <f>IF(ISBLANK('ENGAGEMENTS 2026'!B1746),"",IF(AND(OR($E1746="INFRUCTUEUX",$E1746="ANNULE"),$C1746="AOO-M"),'ENGAGEMENTS 2026'!O1746,IF($H1746="EN COURS DE PREENGAGEMENT",'ENGAGEMENTS 2026'!N1746,IF($H1746="PREENGAGE",IF($E1746="ATTRIBUE",'ENGAGEMENTS 2026'!AD1746,'ENGAGEMENTS 2026'!N1746),'ENGAGEMENTS 2026'!AD1746))))</f>
        <v/>
      </c>
      <c r="K1746" s="604">
        <f>IF(ISBLANK('ENGAGEMENTS 2026'!V1746),"",'ENGAGEMENTS 2026'!V1746)</f>
        <v/>
      </c>
      <c r="L1746" s="276">
        <f>IF($K1746="","",TODAY()-$K1746)</f>
        <v/>
      </c>
      <c r="M1746">
        <f>IF($A1746="","",IF($H1746="ENGAGE","Engagé",IF(AND($H1746="NON ENGAGE",OR($I1746="INFRUCTUEUX",$I1746="ANNULE")),"Clôturé sans suite","En cours")))</f>
        <v/>
      </c>
      <c r="N1746">
        <f>IF(ISBLANK('ENGAGEMENTS 2026'!B1746),"",'ENGAGEMENTS 2026'!K1746)</f>
        <v/>
      </c>
      <c r="O1746">
        <f>IF(ISBLANK('ENGAGEMENTS 2026'!B1746),"",'ENGAGEMENTS 2026'!L1746)</f>
        <v/>
      </c>
      <c r="P1746">
        <f>IF(ISBLANK('ENGAGEMENTS 2026'!B1746),"",'ENGAGEMENTS 2026'!J1746)</f>
        <v/>
      </c>
      <c r="Q1746">
        <f>IF($A1746="","",IF(OR($E1746="INFRUCTUEUX",$E1746="ANNULE"),$A1746&amp;"|"&amp;(COUNTIFS($A$2:$A1746,$A1746,$E$2:$E1746,"INFRUCTUEUX")+COUNTIFS($A$2:$A1746,$A1746,$E$2:$E1746,"ANNULE")),""))</f>
        <v/>
      </c>
    </row>
    <row r="1747">
      <c r="A1747">
        <f>IF(ISBLANK('ENGAGEMENTS 2026'!B1747),"",IF('ENGAGEMENTS 2026'!B1747="DTSI","DCT",'ENGAGEMENTS 2026'!B1747))</f>
        <v/>
      </c>
      <c r="B1747">
        <f>IF(ISBLANK('ENGAGEMENTS 2026'!B1747),"",'ENGAGEMENTS 2026'!C1747)</f>
        <v/>
      </c>
      <c r="C1747">
        <f>IF(ISBLANK('ENGAGEMENTS 2026'!B1747),"",'ENGAGEMENTS 2026'!D1747)</f>
        <v/>
      </c>
      <c r="D1747">
        <f>IF(ISBLANK('ENGAGEMENTS 2026'!B1747),"",'ENGAGEMENTS 2026'!F1747)</f>
        <v/>
      </c>
      <c r="E1747">
        <f>IF(ISBLANK('ENGAGEMENTS 2026'!B1747),"",'ENGAGEMENTS 2026'!H1747)</f>
        <v/>
      </c>
      <c r="F1747">
        <f>IF(ISBLANK('ENGAGEMENTS 2026'!B1747),"",'ENGAGEMENTS 2026'!I1747)</f>
        <v/>
      </c>
      <c r="G1747">
        <f>IF(ISBLANK('ENGAGEMENTS 2026'!B1747),"",'ENGAGEMENTS 2026'!L1747)</f>
        <v/>
      </c>
      <c r="H1747">
        <f>IF(ISBLANK('ENGAGEMENTS 2026'!B1747),"",'ENGAGEMENTS 2026'!AE1747)</f>
        <v/>
      </c>
      <c r="I1747">
        <f>IF(ISBLANK('ENGAGEMENTS 2026'!B1747),"",'ENGAGEMENTS 2026'!G1747)</f>
        <v/>
      </c>
      <c r="J1747" s="275">
        <f>IF(ISBLANK('ENGAGEMENTS 2026'!B1747),"",IF(AND(OR($E1747="INFRUCTUEUX",$E1747="ANNULE"),$C1747="AOO-M"),'ENGAGEMENTS 2026'!O1747,IF($H1747="EN COURS DE PREENGAGEMENT",'ENGAGEMENTS 2026'!N1747,IF($H1747="PREENGAGE",IF($E1747="ATTRIBUE",'ENGAGEMENTS 2026'!AD1747,'ENGAGEMENTS 2026'!N1747),'ENGAGEMENTS 2026'!AD1747))))</f>
        <v/>
      </c>
      <c r="K1747" s="604">
        <f>IF(ISBLANK('ENGAGEMENTS 2026'!V1747),"",'ENGAGEMENTS 2026'!V1747)</f>
        <v/>
      </c>
      <c r="L1747" s="276">
        <f>IF($K1747="","",TODAY()-$K1747)</f>
        <v/>
      </c>
      <c r="M1747">
        <f>IF($A1747="","",IF($H1747="ENGAGE","Engagé",IF(AND($H1747="NON ENGAGE",OR($I1747="INFRUCTUEUX",$I1747="ANNULE")),"Clôturé sans suite","En cours")))</f>
        <v/>
      </c>
      <c r="N1747">
        <f>IF(ISBLANK('ENGAGEMENTS 2026'!B1747),"",'ENGAGEMENTS 2026'!K1747)</f>
        <v/>
      </c>
      <c r="O1747">
        <f>IF(ISBLANK('ENGAGEMENTS 2026'!B1747),"",'ENGAGEMENTS 2026'!L1747)</f>
        <v/>
      </c>
      <c r="P1747">
        <f>IF(ISBLANK('ENGAGEMENTS 2026'!B1747),"",'ENGAGEMENTS 2026'!J1747)</f>
        <v/>
      </c>
      <c r="Q1747">
        <f>IF($A1747="","",IF(OR($E1747="INFRUCTUEUX",$E1747="ANNULE"),$A1747&amp;"|"&amp;(COUNTIFS($A$2:$A1747,$A1747,$E$2:$E1747,"INFRUCTUEUX")+COUNTIFS($A$2:$A1747,$A1747,$E$2:$E1747,"ANNULE")),""))</f>
        <v/>
      </c>
    </row>
    <row r="1748">
      <c r="A1748">
        <f>IF(ISBLANK('ENGAGEMENTS 2026'!B1748),"",IF('ENGAGEMENTS 2026'!B1748="DTSI","DCT",'ENGAGEMENTS 2026'!B1748))</f>
        <v/>
      </c>
      <c r="B1748">
        <f>IF(ISBLANK('ENGAGEMENTS 2026'!B1748),"",'ENGAGEMENTS 2026'!C1748)</f>
        <v/>
      </c>
      <c r="C1748">
        <f>IF(ISBLANK('ENGAGEMENTS 2026'!B1748),"",'ENGAGEMENTS 2026'!D1748)</f>
        <v/>
      </c>
      <c r="D1748">
        <f>IF(ISBLANK('ENGAGEMENTS 2026'!B1748),"",'ENGAGEMENTS 2026'!F1748)</f>
        <v/>
      </c>
      <c r="E1748">
        <f>IF(ISBLANK('ENGAGEMENTS 2026'!B1748),"",'ENGAGEMENTS 2026'!H1748)</f>
        <v/>
      </c>
      <c r="F1748">
        <f>IF(ISBLANK('ENGAGEMENTS 2026'!B1748),"",'ENGAGEMENTS 2026'!I1748)</f>
        <v/>
      </c>
      <c r="G1748">
        <f>IF(ISBLANK('ENGAGEMENTS 2026'!B1748),"",'ENGAGEMENTS 2026'!L1748)</f>
        <v/>
      </c>
      <c r="H1748">
        <f>IF(ISBLANK('ENGAGEMENTS 2026'!B1748),"",'ENGAGEMENTS 2026'!AE1748)</f>
        <v/>
      </c>
      <c r="I1748">
        <f>IF(ISBLANK('ENGAGEMENTS 2026'!B1748),"",'ENGAGEMENTS 2026'!G1748)</f>
        <v/>
      </c>
      <c r="J1748" s="275">
        <f>IF(ISBLANK('ENGAGEMENTS 2026'!B1748),"",IF(AND(OR($E1748="INFRUCTUEUX",$E1748="ANNULE"),$C1748="AOO-M"),'ENGAGEMENTS 2026'!O1748,IF($H1748="EN COURS DE PREENGAGEMENT",'ENGAGEMENTS 2026'!N1748,IF($H1748="PREENGAGE",IF($E1748="ATTRIBUE",'ENGAGEMENTS 2026'!AD1748,'ENGAGEMENTS 2026'!N1748),'ENGAGEMENTS 2026'!AD1748))))</f>
        <v/>
      </c>
      <c r="K1748" s="604">
        <f>IF(ISBLANK('ENGAGEMENTS 2026'!V1748),"",'ENGAGEMENTS 2026'!V1748)</f>
        <v/>
      </c>
      <c r="L1748" s="276">
        <f>IF($K1748="","",TODAY()-$K1748)</f>
        <v/>
      </c>
      <c r="M1748">
        <f>IF($A1748="","",IF($H1748="ENGAGE","Engagé",IF(AND($H1748="NON ENGAGE",OR($I1748="INFRUCTUEUX",$I1748="ANNULE")),"Clôturé sans suite","En cours")))</f>
        <v/>
      </c>
      <c r="N1748">
        <f>IF(ISBLANK('ENGAGEMENTS 2026'!B1748),"",'ENGAGEMENTS 2026'!K1748)</f>
        <v/>
      </c>
      <c r="O1748">
        <f>IF(ISBLANK('ENGAGEMENTS 2026'!B1748),"",'ENGAGEMENTS 2026'!L1748)</f>
        <v/>
      </c>
      <c r="P1748">
        <f>IF(ISBLANK('ENGAGEMENTS 2026'!B1748),"",'ENGAGEMENTS 2026'!J1748)</f>
        <v/>
      </c>
      <c r="Q1748">
        <f>IF($A1748="","",IF(OR($E1748="INFRUCTUEUX",$E1748="ANNULE"),$A1748&amp;"|"&amp;(COUNTIFS($A$2:$A1748,$A1748,$E$2:$E1748,"INFRUCTUEUX")+COUNTIFS($A$2:$A1748,$A1748,$E$2:$E1748,"ANNULE")),""))</f>
        <v/>
      </c>
    </row>
    <row r="1749">
      <c r="A1749">
        <f>IF(ISBLANK('ENGAGEMENTS 2026'!B1749),"",IF('ENGAGEMENTS 2026'!B1749="DTSI","DCT",'ENGAGEMENTS 2026'!B1749))</f>
        <v/>
      </c>
      <c r="B1749">
        <f>IF(ISBLANK('ENGAGEMENTS 2026'!B1749),"",'ENGAGEMENTS 2026'!C1749)</f>
        <v/>
      </c>
      <c r="C1749">
        <f>IF(ISBLANK('ENGAGEMENTS 2026'!B1749),"",'ENGAGEMENTS 2026'!D1749)</f>
        <v/>
      </c>
      <c r="D1749">
        <f>IF(ISBLANK('ENGAGEMENTS 2026'!B1749),"",'ENGAGEMENTS 2026'!F1749)</f>
        <v/>
      </c>
      <c r="E1749">
        <f>IF(ISBLANK('ENGAGEMENTS 2026'!B1749),"",'ENGAGEMENTS 2026'!H1749)</f>
        <v/>
      </c>
      <c r="F1749">
        <f>IF(ISBLANK('ENGAGEMENTS 2026'!B1749),"",'ENGAGEMENTS 2026'!I1749)</f>
        <v/>
      </c>
      <c r="G1749">
        <f>IF(ISBLANK('ENGAGEMENTS 2026'!B1749),"",'ENGAGEMENTS 2026'!L1749)</f>
        <v/>
      </c>
      <c r="H1749">
        <f>IF(ISBLANK('ENGAGEMENTS 2026'!B1749),"",'ENGAGEMENTS 2026'!AE1749)</f>
        <v/>
      </c>
      <c r="I1749">
        <f>IF(ISBLANK('ENGAGEMENTS 2026'!B1749),"",'ENGAGEMENTS 2026'!G1749)</f>
        <v/>
      </c>
      <c r="J1749" s="275">
        <f>IF(ISBLANK('ENGAGEMENTS 2026'!B1749),"",IF(AND(OR($E1749="INFRUCTUEUX",$E1749="ANNULE"),$C1749="AOO-M"),'ENGAGEMENTS 2026'!O1749,IF($H1749="EN COURS DE PREENGAGEMENT",'ENGAGEMENTS 2026'!N1749,IF($H1749="PREENGAGE",IF($E1749="ATTRIBUE",'ENGAGEMENTS 2026'!AD1749,'ENGAGEMENTS 2026'!N1749),'ENGAGEMENTS 2026'!AD1749))))</f>
        <v/>
      </c>
      <c r="K1749" s="604">
        <f>IF(ISBLANK('ENGAGEMENTS 2026'!V1749),"",'ENGAGEMENTS 2026'!V1749)</f>
        <v/>
      </c>
      <c r="L1749" s="276">
        <f>IF($K1749="","",TODAY()-$K1749)</f>
        <v/>
      </c>
      <c r="M1749">
        <f>IF($A1749="","",IF($H1749="ENGAGE","Engagé",IF(AND($H1749="NON ENGAGE",OR($I1749="INFRUCTUEUX",$I1749="ANNULE")),"Clôturé sans suite","En cours")))</f>
        <v/>
      </c>
      <c r="N1749">
        <f>IF(ISBLANK('ENGAGEMENTS 2026'!B1749),"",'ENGAGEMENTS 2026'!K1749)</f>
        <v/>
      </c>
      <c r="O1749">
        <f>IF(ISBLANK('ENGAGEMENTS 2026'!B1749),"",'ENGAGEMENTS 2026'!L1749)</f>
        <v/>
      </c>
      <c r="P1749">
        <f>IF(ISBLANK('ENGAGEMENTS 2026'!B1749),"",'ENGAGEMENTS 2026'!J1749)</f>
        <v/>
      </c>
      <c r="Q1749">
        <f>IF($A1749="","",IF(OR($E1749="INFRUCTUEUX",$E1749="ANNULE"),$A1749&amp;"|"&amp;(COUNTIFS($A$2:$A1749,$A1749,$E$2:$E1749,"INFRUCTUEUX")+COUNTIFS($A$2:$A1749,$A1749,$E$2:$E1749,"ANNULE")),""))</f>
        <v/>
      </c>
    </row>
    <row r="1750">
      <c r="A1750">
        <f>IF(ISBLANK('ENGAGEMENTS 2026'!B1750),"",IF('ENGAGEMENTS 2026'!B1750="DTSI","DCT",'ENGAGEMENTS 2026'!B1750))</f>
        <v/>
      </c>
      <c r="B1750">
        <f>IF(ISBLANK('ENGAGEMENTS 2026'!B1750),"",'ENGAGEMENTS 2026'!C1750)</f>
        <v/>
      </c>
      <c r="C1750">
        <f>IF(ISBLANK('ENGAGEMENTS 2026'!B1750),"",'ENGAGEMENTS 2026'!D1750)</f>
        <v/>
      </c>
      <c r="D1750">
        <f>IF(ISBLANK('ENGAGEMENTS 2026'!B1750),"",'ENGAGEMENTS 2026'!F1750)</f>
        <v/>
      </c>
      <c r="E1750">
        <f>IF(ISBLANK('ENGAGEMENTS 2026'!B1750),"",'ENGAGEMENTS 2026'!H1750)</f>
        <v/>
      </c>
      <c r="F1750">
        <f>IF(ISBLANK('ENGAGEMENTS 2026'!B1750),"",'ENGAGEMENTS 2026'!I1750)</f>
        <v/>
      </c>
      <c r="G1750">
        <f>IF(ISBLANK('ENGAGEMENTS 2026'!B1750),"",'ENGAGEMENTS 2026'!L1750)</f>
        <v/>
      </c>
      <c r="H1750">
        <f>IF(ISBLANK('ENGAGEMENTS 2026'!B1750),"",'ENGAGEMENTS 2026'!AE1750)</f>
        <v/>
      </c>
      <c r="I1750">
        <f>IF(ISBLANK('ENGAGEMENTS 2026'!B1750),"",'ENGAGEMENTS 2026'!G1750)</f>
        <v/>
      </c>
      <c r="J1750" s="275">
        <f>IF(ISBLANK('ENGAGEMENTS 2026'!B1750),"",IF(AND(OR($E1750="INFRUCTUEUX",$E1750="ANNULE"),$C1750="AOO-M"),'ENGAGEMENTS 2026'!O1750,IF($H1750="EN COURS DE PREENGAGEMENT",'ENGAGEMENTS 2026'!N1750,IF($H1750="PREENGAGE",IF($E1750="ATTRIBUE",'ENGAGEMENTS 2026'!AD1750,'ENGAGEMENTS 2026'!N1750),'ENGAGEMENTS 2026'!AD1750))))</f>
        <v/>
      </c>
      <c r="K1750" s="604">
        <f>IF(ISBLANK('ENGAGEMENTS 2026'!V1750),"",'ENGAGEMENTS 2026'!V1750)</f>
        <v/>
      </c>
      <c r="L1750" s="276">
        <f>IF($K1750="","",TODAY()-$K1750)</f>
        <v/>
      </c>
      <c r="M1750">
        <f>IF($A1750="","",IF($H1750="ENGAGE","Engagé",IF(AND($H1750="NON ENGAGE",OR($I1750="INFRUCTUEUX",$I1750="ANNULE")),"Clôturé sans suite","En cours")))</f>
        <v/>
      </c>
      <c r="N1750">
        <f>IF(ISBLANK('ENGAGEMENTS 2026'!B1750),"",'ENGAGEMENTS 2026'!K1750)</f>
        <v/>
      </c>
      <c r="O1750">
        <f>IF(ISBLANK('ENGAGEMENTS 2026'!B1750),"",'ENGAGEMENTS 2026'!L1750)</f>
        <v/>
      </c>
      <c r="P1750">
        <f>IF(ISBLANK('ENGAGEMENTS 2026'!B1750),"",'ENGAGEMENTS 2026'!J1750)</f>
        <v/>
      </c>
      <c r="Q1750">
        <f>IF($A1750="","",IF(OR($E1750="INFRUCTUEUX",$E1750="ANNULE"),$A1750&amp;"|"&amp;(COUNTIFS($A$2:$A1750,$A1750,$E$2:$E1750,"INFRUCTUEUX")+COUNTIFS($A$2:$A1750,$A1750,$E$2:$E1750,"ANNULE")),""))</f>
        <v/>
      </c>
    </row>
    <row r="1751">
      <c r="A1751">
        <f>IF(ISBLANK('ENGAGEMENTS 2026'!B1751),"",IF('ENGAGEMENTS 2026'!B1751="DTSI","DCT",'ENGAGEMENTS 2026'!B1751))</f>
        <v/>
      </c>
      <c r="B1751">
        <f>IF(ISBLANK('ENGAGEMENTS 2026'!B1751),"",'ENGAGEMENTS 2026'!C1751)</f>
        <v/>
      </c>
      <c r="C1751">
        <f>IF(ISBLANK('ENGAGEMENTS 2026'!B1751),"",'ENGAGEMENTS 2026'!D1751)</f>
        <v/>
      </c>
      <c r="D1751">
        <f>IF(ISBLANK('ENGAGEMENTS 2026'!B1751),"",'ENGAGEMENTS 2026'!F1751)</f>
        <v/>
      </c>
      <c r="E1751">
        <f>IF(ISBLANK('ENGAGEMENTS 2026'!B1751),"",'ENGAGEMENTS 2026'!H1751)</f>
        <v/>
      </c>
      <c r="F1751">
        <f>IF(ISBLANK('ENGAGEMENTS 2026'!B1751),"",'ENGAGEMENTS 2026'!I1751)</f>
        <v/>
      </c>
      <c r="G1751">
        <f>IF(ISBLANK('ENGAGEMENTS 2026'!B1751),"",'ENGAGEMENTS 2026'!L1751)</f>
        <v/>
      </c>
      <c r="H1751">
        <f>IF(ISBLANK('ENGAGEMENTS 2026'!B1751),"",'ENGAGEMENTS 2026'!AE1751)</f>
        <v/>
      </c>
      <c r="I1751">
        <f>IF(ISBLANK('ENGAGEMENTS 2026'!B1751),"",'ENGAGEMENTS 2026'!G1751)</f>
        <v/>
      </c>
      <c r="J1751" s="275">
        <f>IF(ISBLANK('ENGAGEMENTS 2026'!B1751),"",IF(AND(OR($E1751="INFRUCTUEUX",$E1751="ANNULE"),$C1751="AOO-M"),'ENGAGEMENTS 2026'!O1751,IF($H1751="EN COURS DE PREENGAGEMENT",'ENGAGEMENTS 2026'!N1751,IF($H1751="PREENGAGE",IF($E1751="ATTRIBUE",'ENGAGEMENTS 2026'!AD1751,'ENGAGEMENTS 2026'!N1751),'ENGAGEMENTS 2026'!AD1751))))</f>
        <v/>
      </c>
      <c r="K1751" s="604">
        <f>IF(ISBLANK('ENGAGEMENTS 2026'!V1751),"",'ENGAGEMENTS 2026'!V1751)</f>
        <v/>
      </c>
      <c r="L1751" s="276">
        <f>IF($K1751="","",TODAY()-$K1751)</f>
        <v/>
      </c>
      <c r="M1751">
        <f>IF($A1751="","",IF($H1751="ENGAGE","Engagé",IF(AND($H1751="NON ENGAGE",OR($I1751="INFRUCTUEUX",$I1751="ANNULE")),"Clôturé sans suite","En cours")))</f>
        <v/>
      </c>
      <c r="N1751">
        <f>IF(ISBLANK('ENGAGEMENTS 2026'!B1751),"",'ENGAGEMENTS 2026'!K1751)</f>
        <v/>
      </c>
      <c r="O1751">
        <f>IF(ISBLANK('ENGAGEMENTS 2026'!B1751),"",'ENGAGEMENTS 2026'!L1751)</f>
        <v/>
      </c>
      <c r="P1751">
        <f>IF(ISBLANK('ENGAGEMENTS 2026'!B1751),"",'ENGAGEMENTS 2026'!J1751)</f>
        <v/>
      </c>
      <c r="Q1751">
        <f>IF($A1751="","",IF(OR($E1751="INFRUCTUEUX",$E1751="ANNULE"),$A1751&amp;"|"&amp;(COUNTIFS($A$2:$A1751,$A1751,$E$2:$E1751,"INFRUCTUEUX")+COUNTIFS($A$2:$A1751,$A1751,$E$2:$E1751,"ANNULE")),""))</f>
        <v/>
      </c>
    </row>
    <row r="1752">
      <c r="A1752">
        <f>IF(ISBLANK('ENGAGEMENTS 2026'!B1752),"",IF('ENGAGEMENTS 2026'!B1752="DTSI","DCT",'ENGAGEMENTS 2026'!B1752))</f>
        <v/>
      </c>
      <c r="B1752">
        <f>IF(ISBLANK('ENGAGEMENTS 2026'!B1752),"",'ENGAGEMENTS 2026'!C1752)</f>
        <v/>
      </c>
      <c r="C1752">
        <f>IF(ISBLANK('ENGAGEMENTS 2026'!B1752),"",'ENGAGEMENTS 2026'!D1752)</f>
        <v/>
      </c>
      <c r="D1752">
        <f>IF(ISBLANK('ENGAGEMENTS 2026'!B1752),"",'ENGAGEMENTS 2026'!F1752)</f>
        <v/>
      </c>
      <c r="E1752">
        <f>IF(ISBLANK('ENGAGEMENTS 2026'!B1752),"",'ENGAGEMENTS 2026'!H1752)</f>
        <v/>
      </c>
      <c r="F1752">
        <f>IF(ISBLANK('ENGAGEMENTS 2026'!B1752),"",'ENGAGEMENTS 2026'!I1752)</f>
        <v/>
      </c>
      <c r="G1752">
        <f>IF(ISBLANK('ENGAGEMENTS 2026'!B1752),"",'ENGAGEMENTS 2026'!L1752)</f>
        <v/>
      </c>
      <c r="H1752">
        <f>IF(ISBLANK('ENGAGEMENTS 2026'!B1752),"",'ENGAGEMENTS 2026'!AE1752)</f>
        <v/>
      </c>
      <c r="I1752">
        <f>IF(ISBLANK('ENGAGEMENTS 2026'!B1752),"",'ENGAGEMENTS 2026'!G1752)</f>
        <v/>
      </c>
      <c r="J1752" s="275">
        <f>IF(ISBLANK('ENGAGEMENTS 2026'!B1752),"",IF(AND(OR($E1752="INFRUCTUEUX",$E1752="ANNULE"),$C1752="AOO-M"),'ENGAGEMENTS 2026'!O1752,IF($H1752="EN COURS DE PREENGAGEMENT",'ENGAGEMENTS 2026'!N1752,IF($H1752="PREENGAGE",IF($E1752="ATTRIBUE",'ENGAGEMENTS 2026'!AD1752,'ENGAGEMENTS 2026'!N1752),'ENGAGEMENTS 2026'!AD1752))))</f>
        <v/>
      </c>
      <c r="K1752" s="604">
        <f>IF(ISBLANK('ENGAGEMENTS 2026'!V1752),"",'ENGAGEMENTS 2026'!V1752)</f>
        <v/>
      </c>
      <c r="L1752" s="276">
        <f>IF($K1752="","",TODAY()-$K1752)</f>
        <v/>
      </c>
      <c r="M1752">
        <f>IF($A1752="","",IF($H1752="ENGAGE","Engagé",IF(AND($H1752="NON ENGAGE",OR($I1752="INFRUCTUEUX",$I1752="ANNULE")),"Clôturé sans suite","En cours")))</f>
        <v/>
      </c>
      <c r="N1752">
        <f>IF(ISBLANK('ENGAGEMENTS 2026'!B1752),"",'ENGAGEMENTS 2026'!K1752)</f>
        <v/>
      </c>
      <c r="O1752">
        <f>IF(ISBLANK('ENGAGEMENTS 2026'!B1752),"",'ENGAGEMENTS 2026'!L1752)</f>
        <v/>
      </c>
      <c r="P1752">
        <f>IF(ISBLANK('ENGAGEMENTS 2026'!B1752),"",'ENGAGEMENTS 2026'!J1752)</f>
        <v/>
      </c>
      <c r="Q1752">
        <f>IF($A1752="","",IF(OR($E1752="INFRUCTUEUX",$E1752="ANNULE"),$A1752&amp;"|"&amp;(COUNTIFS($A$2:$A1752,$A1752,$E$2:$E1752,"INFRUCTUEUX")+COUNTIFS($A$2:$A1752,$A1752,$E$2:$E1752,"ANNULE")),""))</f>
        <v/>
      </c>
    </row>
    <row r="1753">
      <c r="A1753">
        <f>IF(ISBLANK('ENGAGEMENTS 2026'!B1753),"",IF('ENGAGEMENTS 2026'!B1753="DTSI","DCT",'ENGAGEMENTS 2026'!B1753))</f>
        <v/>
      </c>
      <c r="B1753">
        <f>IF(ISBLANK('ENGAGEMENTS 2026'!B1753),"",'ENGAGEMENTS 2026'!C1753)</f>
        <v/>
      </c>
      <c r="C1753">
        <f>IF(ISBLANK('ENGAGEMENTS 2026'!B1753),"",'ENGAGEMENTS 2026'!D1753)</f>
        <v/>
      </c>
      <c r="D1753">
        <f>IF(ISBLANK('ENGAGEMENTS 2026'!B1753),"",'ENGAGEMENTS 2026'!F1753)</f>
        <v/>
      </c>
      <c r="E1753">
        <f>IF(ISBLANK('ENGAGEMENTS 2026'!B1753),"",'ENGAGEMENTS 2026'!H1753)</f>
        <v/>
      </c>
      <c r="F1753">
        <f>IF(ISBLANK('ENGAGEMENTS 2026'!B1753),"",'ENGAGEMENTS 2026'!I1753)</f>
        <v/>
      </c>
      <c r="G1753">
        <f>IF(ISBLANK('ENGAGEMENTS 2026'!B1753),"",'ENGAGEMENTS 2026'!L1753)</f>
        <v/>
      </c>
      <c r="H1753">
        <f>IF(ISBLANK('ENGAGEMENTS 2026'!B1753),"",'ENGAGEMENTS 2026'!AE1753)</f>
        <v/>
      </c>
      <c r="I1753">
        <f>IF(ISBLANK('ENGAGEMENTS 2026'!B1753),"",'ENGAGEMENTS 2026'!G1753)</f>
        <v/>
      </c>
      <c r="J1753" s="275">
        <f>IF(ISBLANK('ENGAGEMENTS 2026'!B1753),"",IF(AND(OR($E1753="INFRUCTUEUX",$E1753="ANNULE"),$C1753="AOO-M"),'ENGAGEMENTS 2026'!O1753,IF($H1753="EN COURS DE PREENGAGEMENT",'ENGAGEMENTS 2026'!N1753,IF($H1753="PREENGAGE",IF($E1753="ATTRIBUE",'ENGAGEMENTS 2026'!AD1753,'ENGAGEMENTS 2026'!N1753),'ENGAGEMENTS 2026'!AD1753))))</f>
        <v/>
      </c>
      <c r="K1753" s="604">
        <f>IF(ISBLANK('ENGAGEMENTS 2026'!V1753),"",'ENGAGEMENTS 2026'!V1753)</f>
        <v/>
      </c>
      <c r="L1753" s="276">
        <f>IF($K1753="","",TODAY()-$K1753)</f>
        <v/>
      </c>
      <c r="M1753">
        <f>IF($A1753="","",IF($H1753="ENGAGE","Engagé",IF(AND($H1753="NON ENGAGE",OR($I1753="INFRUCTUEUX",$I1753="ANNULE")),"Clôturé sans suite","En cours")))</f>
        <v/>
      </c>
      <c r="N1753">
        <f>IF(ISBLANK('ENGAGEMENTS 2026'!B1753),"",'ENGAGEMENTS 2026'!K1753)</f>
        <v/>
      </c>
      <c r="O1753">
        <f>IF(ISBLANK('ENGAGEMENTS 2026'!B1753),"",'ENGAGEMENTS 2026'!L1753)</f>
        <v/>
      </c>
      <c r="P1753">
        <f>IF(ISBLANK('ENGAGEMENTS 2026'!B1753),"",'ENGAGEMENTS 2026'!J1753)</f>
        <v/>
      </c>
      <c r="Q1753">
        <f>IF($A1753="","",IF(OR($E1753="INFRUCTUEUX",$E1753="ANNULE"),$A1753&amp;"|"&amp;(COUNTIFS($A$2:$A1753,$A1753,$E$2:$E1753,"INFRUCTUEUX")+COUNTIFS($A$2:$A1753,$A1753,$E$2:$E1753,"ANNULE")),""))</f>
        <v/>
      </c>
    </row>
    <row r="1754">
      <c r="A1754">
        <f>IF(ISBLANK('ENGAGEMENTS 2026'!B1754),"",IF('ENGAGEMENTS 2026'!B1754="DTSI","DCT",'ENGAGEMENTS 2026'!B1754))</f>
        <v/>
      </c>
      <c r="B1754">
        <f>IF(ISBLANK('ENGAGEMENTS 2026'!B1754),"",'ENGAGEMENTS 2026'!C1754)</f>
        <v/>
      </c>
      <c r="C1754">
        <f>IF(ISBLANK('ENGAGEMENTS 2026'!B1754),"",'ENGAGEMENTS 2026'!D1754)</f>
        <v/>
      </c>
      <c r="D1754">
        <f>IF(ISBLANK('ENGAGEMENTS 2026'!B1754),"",'ENGAGEMENTS 2026'!F1754)</f>
        <v/>
      </c>
      <c r="E1754">
        <f>IF(ISBLANK('ENGAGEMENTS 2026'!B1754),"",'ENGAGEMENTS 2026'!H1754)</f>
        <v/>
      </c>
      <c r="F1754">
        <f>IF(ISBLANK('ENGAGEMENTS 2026'!B1754),"",'ENGAGEMENTS 2026'!I1754)</f>
        <v/>
      </c>
      <c r="G1754">
        <f>IF(ISBLANK('ENGAGEMENTS 2026'!B1754),"",'ENGAGEMENTS 2026'!L1754)</f>
        <v/>
      </c>
      <c r="H1754">
        <f>IF(ISBLANK('ENGAGEMENTS 2026'!B1754),"",'ENGAGEMENTS 2026'!AE1754)</f>
        <v/>
      </c>
      <c r="I1754">
        <f>IF(ISBLANK('ENGAGEMENTS 2026'!B1754),"",'ENGAGEMENTS 2026'!G1754)</f>
        <v/>
      </c>
      <c r="J1754" s="275">
        <f>IF(ISBLANK('ENGAGEMENTS 2026'!B1754),"",IF(AND(OR($E1754="INFRUCTUEUX",$E1754="ANNULE"),$C1754="AOO-M"),'ENGAGEMENTS 2026'!O1754,IF($H1754="EN COURS DE PREENGAGEMENT",'ENGAGEMENTS 2026'!N1754,IF($H1754="PREENGAGE",IF($E1754="ATTRIBUE",'ENGAGEMENTS 2026'!AD1754,'ENGAGEMENTS 2026'!N1754),'ENGAGEMENTS 2026'!AD1754))))</f>
        <v/>
      </c>
      <c r="K1754" s="604">
        <f>IF(ISBLANK('ENGAGEMENTS 2026'!V1754),"",'ENGAGEMENTS 2026'!V1754)</f>
        <v/>
      </c>
      <c r="L1754" s="276">
        <f>IF($K1754="","",TODAY()-$K1754)</f>
        <v/>
      </c>
      <c r="M1754">
        <f>IF($A1754="","",IF($H1754="ENGAGE","Engagé",IF(AND($H1754="NON ENGAGE",OR($I1754="INFRUCTUEUX",$I1754="ANNULE")),"Clôturé sans suite","En cours")))</f>
        <v/>
      </c>
      <c r="N1754">
        <f>IF(ISBLANK('ENGAGEMENTS 2026'!B1754),"",'ENGAGEMENTS 2026'!K1754)</f>
        <v/>
      </c>
      <c r="O1754">
        <f>IF(ISBLANK('ENGAGEMENTS 2026'!B1754),"",'ENGAGEMENTS 2026'!L1754)</f>
        <v/>
      </c>
      <c r="P1754">
        <f>IF(ISBLANK('ENGAGEMENTS 2026'!B1754),"",'ENGAGEMENTS 2026'!J1754)</f>
        <v/>
      </c>
      <c r="Q1754">
        <f>IF($A1754="","",IF(OR($E1754="INFRUCTUEUX",$E1754="ANNULE"),$A1754&amp;"|"&amp;(COUNTIFS($A$2:$A1754,$A1754,$E$2:$E1754,"INFRUCTUEUX")+COUNTIFS($A$2:$A1754,$A1754,$E$2:$E1754,"ANNULE")),""))</f>
        <v/>
      </c>
    </row>
    <row r="1755">
      <c r="A1755">
        <f>IF(ISBLANK('ENGAGEMENTS 2026'!B1755),"",IF('ENGAGEMENTS 2026'!B1755="DTSI","DCT",'ENGAGEMENTS 2026'!B1755))</f>
        <v/>
      </c>
      <c r="B1755">
        <f>IF(ISBLANK('ENGAGEMENTS 2026'!B1755),"",'ENGAGEMENTS 2026'!C1755)</f>
        <v/>
      </c>
      <c r="C1755">
        <f>IF(ISBLANK('ENGAGEMENTS 2026'!B1755),"",'ENGAGEMENTS 2026'!D1755)</f>
        <v/>
      </c>
      <c r="D1755">
        <f>IF(ISBLANK('ENGAGEMENTS 2026'!B1755),"",'ENGAGEMENTS 2026'!F1755)</f>
        <v/>
      </c>
      <c r="E1755">
        <f>IF(ISBLANK('ENGAGEMENTS 2026'!B1755),"",'ENGAGEMENTS 2026'!H1755)</f>
        <v/>
      </c>
      <c r="F1755">
        <f>IF(ISBLANK('ENGAGEMENTS 2026'!B1755),"",'ENGAGEMENTS 2026'!I1755)</f>
        <v/>
      </c>
      <c r="G1755">
        <f>IF(ISBLANK('ENGAGEMENTS 2026'!B1755),"",'ENGAGEMENTS 2026'!L1755)</f>
        <v/>
      </c>
      <c r="H1755">
        <f>IF(ISBLANK('ENGAGEMENTS 2026'!B1755),"",'ENGAGEMENTS 2026'!AE1755)</f>
        <v/>
      </c>
      <c r="I1755">
        <f>IF(ISBLANK('ENGAGEMENTS 2026'!B1755),"",'ENGAGEMENTS 2026'!G1755)</f>
        <v/>
      </c>
      <c r="J1755" s="275">
        <f>IF(ISBLANK('ENGAGEMENTS 2026'!B1755),"",IF(AND(OR($E1755="INFRUCTUEUX",$E1755="ANNULE"),$C1755="AOO-M"),'ENGAGEMENTS 2026'!O1755,IF($H1755="EN COURS DE PREENGAGEMENT",'ENGAGEMENTS 2026'!N1755,IF($H1755="PREENGAGE",IF($E1755="ATTRIBUE",'ENGAGEMENTS 2026'!AD1755,'ENGAGEMENTS 2026'!N1755),'ENGAGEMENTS 2026'!AD1755))))</f>
        <v/>
      </c>
      <c r="K1755" s="604">
        <f>IF(ISBLANK('ENGAGEMENTS 2026'!V1755),"",'ENGAGEMENTS 2026'!V1755)</f>
        <v/>
      </c>
      <c r="L1755" s="276">
        <f>IF($K1755="","",TODAY()-$K1755)</f>
        <v/>
      </c>
      <c r="M1755">
        <f>IF($A1755="","",IF($H1755="ENGAGE","Engagé",IF(AND($H1755="NON ENGAGE",OR($I1755="INFRUCTUEUX",$I1755="ANNULE")),"Clôturé sans suite","En cours")))</f>
        <v/>
      </c>
      <c r="N1755">
        <f>IF(ISBLANK('ENGAGEMENTS 2026'!B1755),"",'ENGAGEMENTS 2026'!K1755)</f>
        <v/>
      </c>
      <c r="O1755">
        <f>IF(ISBLANK('ENGAGEMENTS 2026'!B1755),"",'ENGAGEMENTS 2026'!L1755)</f>
        <v/>
      </c>
      <c r="P1755">
        <f>IF(ISBLANK('ENGAGEMENTS 2026'!B1755),"",'ENGAGEMENTS 2026'!J1755)</f>
        <v/>
      </c>
      <c r="Q1755">
        <f>IF($A1755="","",IF(OR($E1755="INFRUCTUEUX",$E1755="ANNULE"),$A1755&amp;"|"&amp;(COUNTIFS($A$2:$A1755,$A1755,$E$2:$E1755,"INFRUCTUEUX")+COUNTIFS($A$2:$A1755,$A1755,$E$2:$E1755,"ANNULE")),""))</f>
        <v/>
      </c>
    </row>
    <row r="1756">
      <c r="A1756">
        <f>IF(ISBLANK('ENGAGEMENTS 2026'!B1756),"",IF('ENGAGEMENTS 2026'!B1756="DTSI","DCT",'ENGAGEMENTS 2026'!B1756))</f>
        <v/>
      </c>
      <c r="B1756">
        <f>IF(ISBLANK('ENGAGEMENTS 2026'!B1756),"",'ENGAGEMENTS 2026'!C1756)</f>
        <v/>
      </c>
      <c r="C1756">
        <f>IF(ISBLANK('ENGAGEMENTS 2026'!B1756),"",'ENGAGEMENTS 2026'!D1756)</f>
        <v/>
      </c>
      <c r="D1756">
        <f>IF(ISBLANK('ENGAGEMENTS 2026'!B1756),"",'ENGAGEMENTS 2026'!F1756)</f>
        <v/>
      </c>
      <c r="E1756">
        <f>IF(ISBLANK('ENGAGEMENTS 2026'!B1756),"",'ENGAGEMENTS 2026'!H1756)</f>
        <v/>
      </c>
      <c r="F1756">
        <f>IF(ISBLANK('ENGAGEMENTS 2026'!B1756),"",'ENGAGEMENTS 2026'!I1756)</f>
        <v/>
      </c>
      <c r="G1756">
        <f>IF(ISBLANK('ENGAGEMENTS 2026'!B1756),"",'ENGAGEMENTS 2026'!L1756)</f>
        <v/>
      </c>
      <c r="H1756">
        <f>IF(ISBLANK('ENGAGEMENTS 2026'!B1756),"",'ENGAGEMENTS 2026'!AE1756)</f>
        <v/>
      </c>
      <c r="I1756">
        <f>IF(ISBLANK('ENGAGEMENTS 2026'!B1756),"",'ENGAGEMENTS 2026'!G1756)</f>
        <v/>
      </c>
      <c r="J1756" s="275">
        <f>IF(ISBLANK('ENGAGEMENTS 2026'!B1756),"",IF(AND(OR($E1756="INFRUCTUEUX",$E1756="ANNULE"),$C1756="AOO-M"),'ENGAGEMENTS 2026'!O1756,IF($H1756="EN COURS DE PREENGAGEMENT",'ENGAGEMENTS 2026'!N1756,IF($H1756="PREENGAGE",IF($E1756="ATTRIBUE",'ENGAGEMENTS 2026'!AD1756,'ENGAGEMENTS 2026'!N1756),'ENGAGEMENTS 2026'!AD1756))))</f>
        <v/>
      </c>
      <c r="K1756" s="604">
        <f>IF(ISBLANK('ENGAGEMENTS 2026'!V1756),"",'ENGAGEMENTS 2026'!V1756)</f>
        <v/>
      </c>
      <c r="L1756" s="276">
        <f>IF($K1756="","",TODAY()-$K1756)</f>
        <v/>
      </c>
      <c r="M1756">
        <f>IF($A1756="","",IF($H1756="ENGAGE","Engagé",IF(AND($H1756="NON ENGAGE",OR($I1756="INFRUCTUEUX",$I1756="ANNULE")),"Clôturé sans suite","En cours")))</f>
        <v/>
      </c>
      <c r="N1756">
        <f>IF(ISBLANK('ENGAGEMENTS 2026'!B1756),"",'ENGAGEMENTS 2026'!K1756)</f>
        <v/>
      </c>
      <c r="O1756">
        <f>IF(ISBLANK('ENGAGEMENTS 2026'!B1756),"",'ENGAGEMENTS 2026'!L1756)</f>
        <v/>
      </c>
      <c r="P1756">
        <f>IF(ISBLANK('ENGAGEMENTS 2026'!B1756),"",'ENGAGEMENTS 2026'!J1756)</f>
        <v/>
      </c>
      <c r="Q1756">
        <f>IF($A1756="","",IF(OR($E1756="INFRUCTUEUX",$E1756="ANNULE"),$A1756&amp;"|"&amp;(COUNTIFS($A$2:$A1756,$A1756,$E$2:$E1756,"INFRUCTUEUX")+COUNTIFS($A$2:$A1756,$A1756,$E$2:$E1756,"ANNULE")),""))</f>
        <v/>
      </c>
    </row>
    <row r="1757">
      <c r="A1757">
        <f>IF(ISBLANK('ENGAGEMENTS 2026'!B1757),"",IF('ENGAGEMENTS 2026'!B1757="DTSI","DCT",'ENGAGEMENTS 2026'!B1757))</f>
        <v/>
      </c>
      <c r="B1757">
        <f>IF(ISBLANK('ENGAGEMENTS 2026'!B1757),"",'ENGAGEMENTS 2026'!C1757)</f>
        <v/>
      </c>
      <c r="C1757">
        <f>IF(ISBLANK('ENGAGEMENTS 2026'!B1757),"",'ENGAGEMENTS 2026'!D1757)</f>
        <v/>
      </c>
      <c r="D1757">
        <f>IF(ISBLANK('ENGAGEMENTS 2026'!B1757),"",'ENGAGEMENTS 2026'!F1757)</f>
        <v/>
      </c>
      <c r="E1757">
        <f>IF(ISBLANK('ENGAGEMENTS 2026'!B1757),"",'ENGAGEMENTS 2026'!H1757)</f>
        <v/>
      </c>
      <c r="F1757">
        <f>IF(ISBLANK('ENGAGEMENTS 2026'!B1757),"",'ENGAGEMENTS 2026'!I1757)</f>
        <v/>
      </c>
      <c r="G1757">
        <f>IF(ISBLANK('ENGAGEMENTS 2026'!B1757),"",'ENGAGEMENTS 2026'!L1757)</f>
        <v/>
      </c>
      <c r="H1757">
        <f>IF(ISBLANK('ENGAGEMENTS 2026'!B1757),"",'ENGAGEMENTS 2026'!AE1757)</f>
        <v/>
      </c>
      <c r="I1757">
        <f>IF(ISBLANK('ENGAGEMENTS 2026'!B1757),"",'ENGAGEMENTS 2026'!G1757)</f>
        <v/>
      </c>
      <c r="J1757" s="275">
        <f>IF(ISBLANK('ENGAGEMENTS 2026'!B1757),"",IF(AND(OR($E1757="INFRUCTUEUX",$E1757="ANNULE"),$C1757="AOO-M"),'ENGAGEMENTS 2026'!O1757,IF($H1757="EN COURS DE PREENGAGEMENT",'ENGAGEMENTS 2026'!N1757,IF($H1757="PREENGAGE",IF($E1757="ATTRIBUE",'ENGAGEMENTS 2026'!AD1757,'ENGAGEMENTS 2026'!N1757),'ENGAGEMENTS 2026'!AD1757))))</f>
        <v/>
      </c>
      <c r="K1757" s="604">
        <f>IF(ISBLANK('ENGAGEMENTS 2026'!V1757),"",'ENGAGEMENTS 2026'!V1757)</f>
        <v/>
      </c>
      <c r="L1757" s="276">
        <f>IF($K1757="","",TODAY()-$K1757)</f>
        <v/>
      </c>
      <c r="M1757">
        <f>IF($A1757="","",IF($H1757="ENGAGE","Engagé",IF(AND($H1757="NON ENGAGE",OR($I1757="INFRUCTUEUX",$I1757="ANNULE")),"Clôturé sans suite","En cours")))</f>
        <v/>
      </c>
      <c r="N1757">
        <f>IF(ISBLANK('ENGAGEMENTS 2026'!B1757),"",'ENGAGEMENTS 2026'!K1757)</f>
        <v/>
      </c>
      <c r="O1757">
        <f>IF(ISBLANK('ENGAGEMENTS 2026'!B1757),"",'ENGAGEMENTS 2026'!L1757)</f>
        <v/>
      </c>
      <c r="P1757">
        <f>IF(ISBLANK('ENGAGEMENTS 2026'!B1757),"",'ENGAGEMENTS 2026'!J1757)</f>
        <v/>
      </c>
      <c r="Q1757">
        <f>IF($A1757="","",IF(OR($E1757="INFRUCTUEUX",$E1757="ANNULE"),$A1757&amp;"|"&amp;(COUNTIFS($A$2:$A1757,$A1757,$E$2:$E1757,"INFRUCTUEUX")+COUNTIFS($A$2:$A1757,$A1757,$E$2:$E1757,"ANNULE")),""))</f>
        <v/>
      </c>
    </row>
    <row r="1758">
      <c r="A1758">
        <f>IF(ISBLANK('ENGAGEMENTS 2026'!B1758),"",IF('ENGAGEMENTS 2026'!B1758="DTSI","DCT",'ENGAGEMENTS 2026'!B1758))</f>
        <v/>
      </c>
      <c r="B1758">
        <f>IF(ISBLANK('ENGAGEMENTS 2026'!B1758),"",'ENGAGEMENTS 2026'!C1758)</f>
        <v/>
      </c>
      <c r="C1758">
        <f>IF(ISBLANK('ENGAGEMENTS 2026'!B1758),"",'ENGAGEMENTS 2026'!D1758)</f>
        <v/>
      </c>
      <c r="D1758">
        <f>IF(ISBLANK('ENGAGEMENTS 2026'!B1758),"",'ENGAGEMENTS 2026'!F1758)</f>
        <v/>
      </c>
      <c r="E1758">
        <f>IF(ISBLANK('ENGAGEMENTS 2026'!B1758),"",'ENGAGEMENTS 2026'!H1758)</f>
        <v/>
      </c>
      <c r="F1758">
        <f>IF(ISBLANK('ENGAGEMENTS 2026'!B1758),"",'ENGAGEMENTS 2026'!I1758)</f>
        <v/>
      </c>
      <c r="G1758">
        <f>IF(ISBLANK('ENGAGEMENTS 2026'!B1758),"",'ENGAGEMENTS 2026'!L1758)</f>
        <v/>
      </c>
      <c r="H1758">
        <f>IF(ISBLANK('ENGAGEMENTS 2026'!B1758),"",'ENGAGEMENTS 2026'!AE1758)</f>
        <v/>
      </c>
      <c r="I1758">
        <f>IF(ISBLANK('ENGAGEMENTS 2026'!B1758),"",'ENGAGEMENTS 2026'!G1758)</f>
        <v/>
      </c>
      <c r="J1758" s="275">
        <f>IF(ISBLANK('ENGAGEMENTS 2026'!B1758),"",IF(AND(OR($E1758="INFRUCTUEUX",$E1758="ANNULE"),$C1758="AOO-M"),'ENGAGEMENTS 2026'!O1758,IF($H1758="EN COURS DE PREENGAGEMENT",'ENGAGEMENTS 2026'!N1758,IF($H1758="PREENGAGE",IF($E1758="ATTRIBUE",'ENGAGEMENTS 2026'!AD1758,'ENGAGEMENTS 2026'!N1758),'ENGAGEMENTS 2026'!AD1758))))</f>
        <v/>
      </c>
      <c r="K1758" s="604">
        <f>IF(ISBLANK('ENGAGEMENTS 2026'!V1758),"",'ENGAGEMENTS 2026'!V1758)</f>
        <v/>
      </c>
      <c r="L1758" s="276">
        <f>IF($K1758="","",TODAY()-$K1758)</f>
        <v/>
      </c>
      <c r="M1758">
        <f>IF($A1758="","",IF($H1758="ENGAGE","Engagé",IF(AND($H1758="NON ENGAGE",OR($I1758="INFRUCTUEUX",$I1758="ANNULE")),"Clôturé sans suite","En cours")))</f>
        <v/>
      </c>
      <c r="N1758">
        <f>IF(ISBLANK('ENGAGEMENTS 2026'!B1758),"",'ENGAGEMENTS 2026'!K1758)</f>
        <v/>
      </c>
      <c r="O1758">
        <f>IF(ISBLANK('ENGAGEMENTS 2026'!B1758),"",'ENGAGEMENTS 2026'!L1758)</f>
        <v/>
      </c>
      <c r="P1758">
        <f>IF(ISBLANK('ENGAGEMENTS 2026'!B1758),"",'ENGAGEMENTS 2026'!J1758)</f>
        <v/>
      </c>
      <c r="Q1758">
        <f>IF($A1758="","",IF(OR($E1758="INFRUCTUEUX",$E1758="ANNULE"),$A1758&amp;"|"&amp;(COUNTIFS($A$2:$A1758,$A1758,$E$2:$E1758,"INFRUCTUEUX")+COUNTIFS($A$2:$A1758,$A1758,$E$2:$E1758,"ANNULE")),""))</f>
        <v/>
      </c>
    </row>
    <row r="1759">
      <c r="A1759">
        <f>IF(ISBLANK('ENGAGEMENTS 2026'!B1759),"",IF('ENGAGEMENTS 2026'!B1759="DTSI","DCT",'ENGAGEMENTS 2026'!B1759))</f>
        <v/>
      </c>
      <c r="B1759">
        <f>IF(ISBLANK('ENGAGEMENTS 2026'!B1759),"",'ENGAGEMENTS 2026'!C1759)</f>
        <v/>
      </c>
      <c r="C1759">
        <f>IF(ISBLANK('ENGAGEMENTS 2026'!B1759),"",'ENGAGEMENTS 2026'!D1759)</f>
        <v/>
      </c>
      <c r="D1759">
        <f>IF(ISBLANK('ENGAGEMENTS 2026'!B1759),"",'ENGAGEMENTS 2026'!F1759)</f>
        <v/>
      </c>
      <c r="E1759">
        <f>IF(ISBLANK('ENGAGEMENTS 2026'!B1759),"",'ENGAGEMENTS 2026'!H1759)</f>
        <v/>
      </c>
      <c r="F1759">
        <f>IF(ISBLANK('ENGAGEMENTS 2026'!B1759),"",'ENGAGEMENTS 2026'!I1759)</f>
        <v/>
      </c>
      <c r="G1759">
        <f>IF(ISBLANK('ENGAGEMENTS 2026'!B1759),"",'ENGAGEMENTS 2026'!L1759)</f>
        <v/>
      </c>
      <c r="H1759">
        <f>IF(ISBLANK('ENGAGEMENTS 2026'!B1759),"",'ENGAGEMENTS 2026'!AE1759)</f>
        <v/>
      </c>
      <c r="I1759">
        <f>IF(ISBLANK('ENGAGEMENTS 2026'!B1759),"",'ENGAGEMENTS 2026'!G1759)</f>
        <v/>
      </c>
      <c r="J1759" s="275">
        <f>IF(ISBLANK('ENGAGEMENTS 2026'!B1759),"",IF(AND(OR($E1759="INFRUCTUEUX",$E1759="ANNULE"),$C1759="AOO-M"),'ENGAGEMENTS 2026'!O1759,IF($H1759="EN COURS DE PREENGAGEMENT",'ENGAGEMENTS 2026'!N1759,IF($H1759="PREENGAGE",IF($E1759="ATTRIBUE",'ENGAGEMENTS 2026'!AD1759,'ENGAGEMENTS 2026'!N1759),'ENGAGEMENTS 2026'!AD1759))))</f>
        <v/>
      </c>
      <c r="K1759" s="604">
        <f>IF(ISBLANK('ENGAGEMENTS 2026'!V1759),"",'ENGAGEMENTS 2026'!V1759)</f>
        <v/>
      </c>
      <c r="L1759" s="276">
        <f>IF($K1759="","",TODAY()-$K1759)</f>
        <v/>
      </c>
      <c r="M1759">
        <f>IF($A1759="","",IF($H1759="ENGAGE","Engagé",IF(AND($H1759="NON ENGAGE",OR($I1759="INFRUCTUEUX",$I1759="ANNULE")),"Clôturé sans suite","En cours")))</f>
        <v/>
      </c>
      <c r="N1759">
        <f>IF(ISBLANK('ENGAGEMENTS 2026'!B1759),"",'ENGAGEMENTS 2026'!K1759)</f>
        <v/>
      </c>
      <c r="O1759">
        <f>IF(ISBLANK('ENGAGEMENTS 2026'!B1759),"",'ENGAGEMENTS 2026'!L1759)</f>
        <v/>
      </c>
      <c r="P1759">
        <f>IF(ISBLANK('ENGAGEMENTS 2026'!B1759),"",'ENGAGEMENTS 2026'!J1759)</f>
        <v/>
      </c>
      <c r="Q1759">
        <f>IF($A1759="","",IF(OR($E1759="INFRUCTUEUX",$E1759="ANNULE"),$A1759&amp;"|"&amp;(COUNTIFS($A$2:$A1759,$A1759,$E$2:$E1759,"INFRUCTUEUX")+COUNTIFS($A$2:$A1759,$A1759,$E$2:$E1759,"ANNULE")),""))</f>
        <v/>
      </c>
    </row>
    <row r="1760">
      <c r="A1760">
        <f>IF(ISBLANK('ENGAGEMENTS 2026'!B1760),"",IF('ENGAGEMENTS 2026'!B1760="DTSI","DCT",'ENGAGEMENTS 2026'!B1760))</f>
        <v/>
      </c>
      <c r="B1760">
        <f>IF(ISBLANK('ENGAGEMENTS 2026'!B1760),"",'ENGAGEMENTS 2026'!C1760)</f>
        <v/>
      </c>
      <c r="C1760">
        <f>IF(ISBLANK('ENGAGEMENTS 2026'!B1760),"",'ENGAGEMENTS 2026'!D1760)</f>
        <v/>
      </c>
      <c r="D1760">
        <f>IF(ISBLANK('ENGAGEMENTS 2026'!B1760),"",'ENGAGEMENTS 2026'!F1760)</f>
        <v/>
      </c>
      <c r="E1760">
        <f>IF(ISBLANK('ENGAGEMENTS 2026'!B1760),"",'ENGAGEMENTS 2026'!H1760)</f>
        <v/>
      </c>
      <c r="F1760">
        <f>IF(ISBLANK('ENGAGEMENTS 2026'!B1760),"",'ENGAGEMENTS 2026'!I1760)</f>
        <v/>
      </c>
      <c r="G1760">
        <f>IF(ISBLANK('ENGAGEMENTS 2026'!B1760),"",'ENGAGEMENTS 2026'!L1760)</f>
        <v/>
      </c>
      <c r="H1760">
        <f>IF(ISBLANK('ENGAGEMENTS 2026'!B1760),"",'ENGAGEMENTS 2026'!AE1760)</f>
        <v/>
      </c>
      <c r="I1760">
        <f>IF(ISBLANK('ENGAGEMENTS 2026'!B1760),"",'ENGAGEMENTS 2026'!G1760)</f>
        <v/>
      </c>
      <c r="J1760" s="275">
        <f>IF(ISBLANK('ENGAGEMENTS 2026'!B1760),"",IF(AND(OR($E1760="INFRUCTUEUX",$E1760="ANNULE"),$C1760="AOO-M"),'ENGAGEMENTS 2026'!O1760,IF($H1760="EN COURS DE PREENGAGEMENT",'ENGAGEMENTS 2026'!N1760,IF($H1760="PREENGAGE",IF($E1760="ATTRIBUE",'ENGAGEMENTS 2026'!AD1760,'ENGAGEMENTS 2026'!N1760),'ENGAGEMENTS 2026'!AD1760))))</f>
        <v/>
      </c>
      <c r="K1760" s="604">
        <f>IF(ISBLANK('ENGAGEMENTS 2026'!V1760),"",'ENGAGEMENTS 2026'!V1760)</f>
        <v/>
      </c>
      <c r="L1760" s="276">
        <f>IF($K1760="","",TODAY()-$K1760)</f>
        <v/>
      </c>
      <c r="M1760">
        <f>IF($A1760="","",IF($H1760="ENGAGE","Engagé",IF(AND($H1760="NON ENGAGE",OR($I1760="INFRUCTUEUX",$I1760="ANNULE")),"Clôturé sans suite","En cours")))</f>
        <v/>
      </c>
      <c r="N1760">
        <f>IF(ISBLANK('ENGAGEMENTS 2026'!B1760),"",'ENGAGEMENTS 2026'!K1760)</f>
        <v/>
      </c>
      <c r="O1760">
        <f>IF(ISBLANK('ENGAGEMENTS 2026'!B1760),"",'ENGAGEMENTS 2026'!L1760)</f>
        <v/>
      </c>
      <c r="P1760">
        <f>IF(ISBLANK('ENGAGEMENTS 2026'!B1760),"",'ENGAGEMENTS 2026'!J1760)</f>
        <v/>
      </c>
      <c r="Q1760">
        <f>IF($A1760="","",IF(OR($E1760="INFRUCTUEUX",$E1760="ANNULE"),$A1760&amp;"|"&amp;(COUNTIFS($A$2:$A1760,$A1760,$E$2:$E1760,"INFRUCTUEUX")+COUNTIFS($A$2:$A1760,$A1760,$E$2:$E1760,"ANNULE")),""))</f>
        <v/>
      </c>
    </row>
    <row r="1761">
      <c r="A1761">
        <f>IF(ISBLANK('ENGAGEMENTS 2026'!B1761),"",IF('ENGAGEMENTS 2026'!B1761="DTSI","DCT",'ENGAGEMENTS 2026'!B1761))</f>
        <v/>
      </c>
      <c r="B1761">
        <f>IF(ISBLANK('ENGAGEMENTS 2026'!B1761),"",'ENGAGEMENTS 2026'!C1761)</f>
        <v/>
      </c>
      <c r="C1761">
        <f>IF(ISBLANK('ENGAGEMENTS 2026'!B1761),"",'ENGAGEMENTS 2026'!D1761)</f>
        <v/>
      </c>
      <c r="D1761">
        <f>IF(ISBLANK('ENGAGEMENTS 2026'!B1761),"",'ENGAGEMENTS 2026'!F1761)</f>
        <v/>
      </c>
      <c r="E1761">
        <f>IF(ISBLANK('ENGAGEMENTS 2026'!B1761),"",'ENGAGEMENTS 2026'!H1761)</f>
        <v/>
      </c>
      <c r="F1761">
        <f>IF(ISBLANK('ENGAGEMENTS 2026'!B1761),"",'ENGAGEMENTS 2026'!I1761)</f>
        <v/>
      </c>
      <c r="G1761">
        <f>IF(ISBLANK('ENGAGEMENTS 2026'!B1761),"",'ENGAGEMENTS 2026'!L1761)</f>
        <v/>
      </c>
      <c r="H1761">
        <f>IF(ISBLANK('ENGAGEMENTS 2026'!B1761),"",'ENGAGEMENTS 2026'!AE1761)</f>
        <v/>
      </c>
      <c r="I1761">
        <f>IF(ISBLANK('ENGAGEMENTS 2026'!B1761),"",'ENGAGEMENTS 2026'!G1761)</f>
        <v/>
      </c>
      <c r="J1761" s="275">
        <f>IF(ISBLANK('ENGAGEMENTS 2026'!B1761),"",IF(AND(OR($E1761="INFRUCTUEUX",$E1761="ANNULE"),$C1761="AOO-M"),'ENGAGEMENTS 2026'!O1761,IF($H1761="EN COURS DE PREENGAGEMENT",'ENGAGEMENTS 2026'!N1761,IF($H1761="PREENGAGE",IF($E1761="ATTRIBUE",'ENGAGEMENTS 2026'!AD1761,'ENGAGEMENTS 2026'!N1761),'ENGAGEMENTS 2026'!AD1761))))</f>
        <v/>
      </c>
      <c r="K1761" s="604">
        <f>IF(ISBLANK('ENGAGEMENTS 2026'!V1761),"",'ENGAGEMENTS 2026'!V1761)</f>
        <v/>
      </c>
      <c r="L1761" s="276">
        <f>IF($K1761="","",TODAY()-$K1761)</f>
        <v/>
      </c>
      <c r="M1761">
        <f>IF($A1761="","",IF($H1761="ENGAGE","Engagé",IF(AND($H1761="NON ENGAGE",OR($I1761="INFRUCTUEUX",$I1761="ANNULE")),"Clôturé sans suite","En cours")))</f>
        <v/>
      </c>
      <c r="N1761">
        <f>IF(ISBLANK('ENGAGEMENTS 2026'!B1761),"",'ENGAGEMENTS 2026'!K1761)</f>
        <v/>
      </c>
      <c r="O1761">
        <f>IF(ISBLANK('ENGAGEMENTS 2026'!B1761),"",'ENGAGEMENTS 2026'!L1761)</f>
        <v/>
      </c>
      <c r="P1761">
        <f>IF(ISBLANK('ENGAGEMENTS 2026'!B1761),"",'ENGAGEMENTS 2026'!J1761)</f>
        <v/>
      </c>
      <c r="Q1761">
        <f>IF($A1761="","",IF(OR($E1761="INFRUCTUEUX",$E1761="ANNULE"),$A1761&amp;"|"&amp;(COUNTIFS($A$2:$A1761,$A1761,$E$2:$E1761,"INFRUCTUEUX")+COUNTIFS($A$2:$A1761,$A1761,$E$2:$E1761,"ANNULE")),""))</f>
        <v/>
      </c>
    </row>
    <row r="1762">
      <c r="A1762">
        <f>IF(ISBLANK('ENGAGEMENTS 2026'!B1762),"",IF('ENGAGEMENTS 2026'!B1762="DTSI","DCT",'ENGAGEMENTS 2026'!B1762))</f>
        <v/>
      </c>
      <c r="B1762">
        <f>IF(ISBLANK('ENGAGEMENTS 2026'!B1762),"",'ENGAGEMENTS 2026'!C1762)</f>
        <v/>
      </c>
      <c r="C1762">
        <f>IF(ISBLANK('ENGAGEMENTS 2026'!B1762),"",'ENGAGEMENTS 2026'!D1762)</f>
        <v/>
      </c>
      <c r="D1762">
        <f>IF(ISBLANK('ENGAGEMENTS 2026'!B1762),"",'ENGAGEMENTS 2026'!F1762)</f>
        <v/>
      </c>
      <c r="E1762">
        <f>IF(ISBLANK('ENGAGEMENTS 2026'!B1762),"",'ENGAGEMENTS 2026'!H1762)</f>
        <v/>
      </c>
      <c r="F1762">
        <f>IF(ISBLANK('ENGAGEMENTS 2026'!B1762),"",'ENGAGEMENTS 2026'!I1762)</f>
        <v/>
      </c>
      <c r="G1762">
        <f>IF(ISBLANK('ENGAGEMENTS 2026'!B1762),"",'ENGAGEMENTS 2026'!L1762)</f>
        <v/>
      </c>
      <c r="H1762">
        <f>IF(ISBLANK('ENGAGEMENTS 2026'!B1762),"",'ENGAGEMENTS 2026'!AE1762)</f>
        <v/>
      </c>
      <c r="I1762">
        <f>IF(ISBLANK('ENGAGEMENTS 2026'!B1762),"",'ENGAGEMENTS 2026'!G1762)</f>
        <v/>
      </c>
      <c r="J1762" s="275">
        <f>IF(ISBLANK('ENGAGEMENTS 2026'!B1762),"",IF(AND(OR($E1762="INFRUCTUEUX",$E1762="ANNULE"),$C1762="AOO-M"),'ENGAGEMENTS 2026'!O1762,IF($H1762="EN COURS DE PREENGAGEMENT",'ENGAGEMENTS 2026'!N1762,IF($H1762="PREENGAGE",IF($E1762="ATTRIBUE",'ENGAGEMENTS 2026'!AD1762,'ENGAGEMENTS 2026'!N1762),'ENGAGEMENTS 2026'!AD1762))))</f>
        <v/>
      </c>
      <c r="K1762" s="604">
        <f>IF(ISBLANK('ENGAGEMENTS 2026'!V1762),"",'ENGAGEMENTS 2026'!V1762)</f>
        <v/>
      </c>
      <c r="L1762" s="276">
        <f>IF($K1762="","",TODAY()-$K1762)</f>
        <v/>
      </c>
      <c r="M1762">
        <f>IF($A1762="","",IF($H1762="ENGAGE","Engagé",IF(AND($H1762="NON ENGAGE",OR($I1762="INFRUCTUEUX",$I1762="ANNULE")),"Clôturé sans suite","En cours")))</f>
        <v/>
      </c>
      <c r="N1762">
        <f>IF(ISBLANK('ENGAGEMENTS 2026'!B1762),"",'ENGAGEMENTS 2026'!K1762)</f>
        <v/>
      </c>
      <c r="O1762">
        <f>IF(ISBLANK('ENGAGEMENTS 2026'!B1762),"",'ENGAGEMENTS 2026'!L1762)</f>
        <v/>
      </c>
      <c r="P1762">
        <f>IF(ISBLANK('ENGAGEMENTS 2026'!B1762),"",'ENGAGEMENTS 2026'!J1762)</f>
        <v/>
      </c>
      <c r="Q1762">
        <f>IF($A1762="","",IF(OR($E1762="INFRUCTUEUX",$E1762="ANNULE"),$A1762&amp;"|"&amp;(COUNTIFS($A$2:$A1762,$A1762,$E$2:$E1762,"INFRUCTUEUX")+COUNTIFS($A$2:$A1762,$A1762,$E$2:$E1762,"ANNULE")),""))</f>
        <v/>
      </c>
    </row>
    <row r="1763">
      <c r="A1763">
        <f>IF(ISBLANK('ENGAGEMENTS 2026'!B1763),"",IF('ENGAGEMENTS 2026'!B1763="DTSI","DCT",'ENGAGEMENTS 2026'!B1763))</f>
        <v/>
      </c>
      <c r="B1763">
        <f>IF(ISBLANK('ENGAGEMENTS 2026'!B1763),"",'ENGAGEMENTS 2026'!C1763)</f>
        <v/>
      </c>
      <c r="C1763">
        <f>IF(ISBLANK('ENGAGEMENTS 2026'!B1763),"",'ENGAGEMENTS 2026'!D1763)</f>
        <v/>
      </c>
      <c r="D1763">
        <f>IF(ISBLANK('ENGAGEMENTS 2026'!B1763),"",'ENGAGEMENTS 2026'!F1763)</f>
        <v/>
      </c>
      <c r="E1763">
        <f>IF(ISBLANK('ENGAGEMENTS 2026'!B1763),"",'ENGAGEMENTS 2026'!H1763)</f>
        <v/>
      </c>
      <c r="F1763">
        <f>IF(ISBLANK('ENGAGEMENTS 2026'!B1763),"",'ENGAGEMENTS 2026'!I1763)</f>
        <v/>
      </c>
      <c r="G1763">
        <f>IF(ISBLANK('ENGAGEMENTS 2026'!B1763),"",'ENGAGEMENTS 2026'!L1763)</f>
        <v/>
      </c>
      <c r="H1763">
        <f>IF(ISBLANK('ENGAGEMENTS 2026'!B1763),"",'ENGAGEMENTS 2026'!AE1763)</f>
        <v/>
      </c>
      <c r="I1763">
        <f>IF(ISBLANK('ENGAGEMENTS 2026'!B1763),"",'ENGAGEMENTS 2026'!G1763)</f>
        <v/>
      </c>
      <c r="J1763" s="275">
        <f>IF(ISBLANK('ENGAGEMENTS 2026'!B1763),"",IF(AND(OR($E1763="INFRUCTUEUX",$E1763="ANNULE"),$C1763="AOO-M"),'ENGAGEMENTS 2026'!O1763,IF($H1763="EN COURS DE PREENGAGEMENT",'ENGAGEMENTS 2026'!N1763,IF($H1763="PREENGAGE",IF($E1763="ATTRIBUE",'ENGAGEMENTS 2026'!AD1763,'ENGAGEMENTS 2026'!N1763),'ENGAGEMENTS 2026'!AD1763))))</f>
        <v/>
      </c>
      <c r="K1763" s="604">
        <f>IF(ISBLANK('ENGAGEMENTS 2026'!V1763),"",'ENGAGEMENTS 2026'!V1763)</f>
        <v/>
      </c>
      <c r="L1763" s="276">
        <f>IF($K1763="","",TODAY()-$K1763)</f>
        <v/>
      </c>
      <c r="M1763">
        <f>IF($A1763="","",IF($H1763="ENGAGE","Engagé",IF(AND($H1763="NON ENGAGE",OR($I1763="INFRUCTUEUX",$I1763="ANNULE")),"Clôturé sans suite","En cours")))</f>
        <v/>
      </c>
      <c r="N1763">
        <f>IF(ISBLANK('ENGAGEMENTS 2026'!B1763),"",'ENGAGEMENTS 2026'!K1763)</f>
        <v/>
      </c>
      <c r="O1763">
        <f>IF(ISBLANK('ENGAGEMENTS 2026'!B1763),"",'ENGAGEMENTS 2026'!L1763)</f>
        <v/>
      </c>
      <c r="P1763">
        <f>IF(ISBLANK('ENGAGEMENTS 2026'!B1763),"",'ENGAGEMENTS 2026'!J1763)</f>
        <v/>
      </c>
      <c r="Q1763">
        <f>IF($A1763="","",IF(OR($E1763="INFRUCTUEUX",$E1763="ANNULE"),$A1763&amp;"|"&amp;(COUNTIFS($A$2:$A1763,$A1763,$E$2:$E1763,"INFRUCTUEUX")+COUNTIFS($A$2:$A1763,$A1763,$E$2:$E1763,"ANNULE")),""))</f>
        <v/>
      </c>
    </row>
    <row r="1764">
      <c r="A1764">
        <f>IF(ISBLANK('ENGAGEMENTS 2026'!B1764),"",IF('ENGAGEMENTS 2026'!B1764="DTSI","DCT",'ENGAGEMENTS 2026'!B1764))</f>
        <v/>
      </c>
      <c r="B1764">
        <f>IF(ISBLANK('ENGAGEMENTS 2026'!B1764),"",'ENGAGEMENTS 2026'!C1764)</f>
        <v/>
      </c>
      <c r="C1764">
        <f>IF(ISBLANK('ENGAGEMENTS 2026'!B1764),"",'ENGAGEMENTS 2026'!D1764)</f>
        <v/>
      </c>
      <c r="D1764">
        <f>IF(ISBLANK('ENGAGEMENTS 2026'!B1764),"",'ENGAGEMENTS 2026'!F1764)</f>
        <v/>
      </c>
      <c r="E1764">
        <f>IF(ISBLANK('ENGAGEMENTS 2026'!B1764),"",'ENGAGEMENTS 2026'!H1764)</f>
        <v/>
      </c>
      <c r="F1764">
        <f>IF(ISBLANK('ENGAGEMENTS 2026'!B1764),"",'ENGAGEMENTS 2026'!I1764)</f>
        <v/>
      </c>
      <c r="G1764">
        <f>IF(ISBLANK('ENGAGEMENTS 2026'!B1764),"",'ENGAGEMENTS 2026'!L1764)</f>
        <v/>
      </c>
      <c r="H1764">
        <f>IF(ISBLANK('ENGAGEMENTS 2026'!B1764),"",'ENGAGEMENTS 2026'!AE1764)</f>
        <v/>
      </c>
      <c r="I1764">
        <f>IF(ISBLANK('ENGAGEMENTS 2026'!B1764),"",'ENGAGEMENTS 2026'!G1764)</f>
        <v/>
      </c>
      <c r="J1764" s="275">
        <f>IF(ISBLANK('ENGAGEMENTS 2026'!B1764),"",IF(AND(OR($E1764="INFRUCTUEUX",$E1764="ANNULE"),$C1764="AOO-M"),'ENGAGEMENTS 2026'!O1764,IF($H1764="EN COURS DE PREENGAGEMENT",'ENGAGEMENTS 2026'!N1764,IF($H1764="PREENGAGE",IF($E1764="ATTRIBUE",'ENGAGEMENTS 2026'!AD1764,'ENGAGEMENTS 2026'!N1764),'ENGAGEMENTS 2026'!AD1764))))</f>
        <v/>
      </c>
      <c r="K1764" s="604">
        <f>IF(ISBLANK('ENGAGEMENTS 2026'!V1764),"",'ENGAGEMENTS 2026'!V1764)</f>
        <v/>
      </c>
      <c r="L1764" s="276">
        <f>IF($K1764="","",TODAY()-$K1764)</f>
        <v/>
      </c>
      <c r="M1764">
        <f>IF($A1764="","",IF($H1764="ENGAGE","Engagé",IF(AND($H1764="NON ENGAGE",OR($I1764="INFRUCTUEUX",$I1764="ANNULE")),"Clôturé sans suite","En cours")))</f>
        <v/>
      </c>
      <c r="N1764">
        <f>IF(ISBLANK('ENGAGEMENTS 2026'!B1764),"",'ENGAGEMENTS 2026'!K1764)</f>
        <v/>
      </c>
      <c r="O1764">
        <f>IF(ISBLANK('ENGAGEMENTS 2026'!B1764),"",'ENGAGEMENTS 2026'!L1764)</f>
        <v/>
      </c>
      <c r="P1764">
        <f>IF(ISBLANK('ENGAGEMENTS 2026'!B1764),"",'ENGAGEMENTS 2026'!J1764)</f>
        <v/>
      </c>
      <c r="Q1764">
        <f>IF($A1764="","",IF(OR($E1764="INFRUCTUEUX",$E1764="ANNULE"),$A1764&amp;"|"&amp;(COUNTIFS($A$2:$A1764,$A1764,$E$2:$E1764,"INFRUCTUEUX")+COUNTIFS($A$2:$A1764,$A1764,$E$2:$E1764,"ANNULE")),""))</f>
        <v/>
      </c>
    </row>
    <row r="1765">
      <c r="A1765">
        <f>IF(ISBLANK('ENGAGEMENTS 2026'!B1765),"",IF('ENGAGEMENTS 2026'!B1765="DTSI","DCT",'ENGAGEMENTS 2026'!B1765))</f>
        <v/>
      </c>
      <c r="B1765">
        <f>IF(ISBLANK('ENGAGEMENTS 2026'!B1765),"",'ENGAGEMENTS 2026'!C1765)</f>
        <v/>
      </c>
      <c r="C1765">
        <f>IF(ISBLANK('ENGAGEMENTS 2026'!B1765),"",'ENGAGEMENTS 2026'!D1765)</f>
        <v/>
      </c>
      <c r="D1765">
        <f>IF(ISBLANK('ENGAGEMENTS 2026'!B1765),"",'ENGAGEMENTS 2026'!F1765)</f>
        <v/>
      </c>
      <c r="E1765">
        <f>IF(ISBLANK('ENGAGEMENTS 2026'!B1765),"",'ENGAGEMENTS 2026'!H1765)</f>
        <v/>
      </c>
      <c r="F1765">
        <f>IF(ISBLANK('ENGAGEMENTS 2026'!B1765),"",'ENGAGEMENTS 2026'!I1765)</f>
        <v/>
      </c>
      <c r="G1765">
        <f>IF(ISBLANK('ENGAGEMENTS 2026'!B1765),"",'ENGAGEMENTS 2026'!L1765)</f>
        <v/>
      </c>
      <c r="H1765">
        <f>IF(ISBLANK('ENGAGEMENTS 2026'!B1765),"",'ENGAGEMENTS 2026'!AE1765)</f>
        <v/>
      </c>
      <c r="I1765">
        <f>IF(ISBLANK('ENGAGEMENTS 2026'!B1765),"",'ENGAGEMENTS 2026'!G1765)</f>
        <v/>
      </c>
      <c r="J1765" s="275">
        <f>IF(ISBLANK('ENGAGEMENTS 2026'!B1765),"",IF(AND(OR($E1765="INFRUCTUEUX",$E1765="ANNULE"),$C1765="AOO-M"),'ENGAGEMENTS 2026'!O1765,IF($H1765="EN COURS DE PREENGAGEMENT",'ENGAGEMENTS 2026'!N1765,IF($H1765="PREENGAGE",IF($E1765="ATTRIBUE",'ENGAGEMENTS 2026'!AD1765,'ENGAGEMENTS 2026'!N1765),'ENGAGEMENTS 2026'!AD1765))))</f>
        <v/>
      </c>
      <c r="K1765" s="604">
        <f>IF(ISBLANK('ENGAGEMENTS 2026'!V1765),"",'ENGAGEMENTS 2026'!V1765)</f>
        <v/>
      </c>
      <c r="L1765" s="276">
        <f>IF($K1765="","",TODAY()-$K1765)</f>
        <v/>
      </c>
      <c r="M1765">
        <f>IF($A1765="","",IF($H1765="ENGAGE","Engagé",IF(AND($H1765="NON ENGAGE",OR($I1765="INFRUCTUEUX",$I1765="ANNULE")),"Clôturé sans suite","En cours")))</f>
        <v/>
      </c>
      <c r="N1765">
        <f>IF(ISBLANK('ENGAGEMENTS 2026'!B1765),"",'ENGAGEMENTS 2026'!K1765)</f>
        <v/>
      </c>
      <c r="O1765">
        <f>IF(ISBLANK('ENGAGEMENTS 2026'!B1765),"",'ENGAGEMENTS 2026'!L1765)</f>
        <v/>
      </c>
      <c r="P1765">
        <f>IF(ISBLANK('ENGAGEMENTS 2026'!B1765),"",'ENGAGEMENTS 2026'!J1765)</f>
        <v/>
      </c>
      <c r="Q1765">
        <f>IF($A1765="","",IF(OR($E1765="INFRUCTUEUX",$E1765="ANNULE"),$A1765&amp;"|"&amp;(COUNTIFS($A$2:$A1765,$A1765,$E$2:$E1765,"INFRUCTUEUX")+COUNTIFS($A$2:$A1765,$A1765,$E$2:$E1765,"ANNULE")),""))</f>
        <v/>
      </c>
    </row>
    <row r="1766">
      <c r="A1766">
        <f>IF(ISBLANK('ENGAGEMENTS 2026'!B1766),"",IF('ENGAGEMENTS 2026'!B1766="DTSI","DCT",'ENGAGEMENTS 2026'!B1766))</f>
        <v/>
      </c>
      <c r="B1766">
        <f>IF(ISBLANK('ENGAGEMENTS 2026'!B1766),"",'ENGAGEMENTS 2026'!C1766)</f>
        <v/>
      </c>
      <c r="C1766">
        <f>IF(ISBLANK('ENGAGEMENTS 2026'!B1766),"",'ENGAGEMENTS 2026'!D1766)</f>
        <v/>
      </c>
      <c r="D1766">
        <f>IF(ISBLANK('ENGAGEMENTS 2026'!B1766),"",'ENGAGEMENTS 2026'!F1766)</f>
        <v/>
      </c>
      <c r="E1766">
        <f>IF(ISBLANK('ENGAGEMENTS 2026'!B1766),"",'ENGAGEMENTS 2026'!H1766)</f>
        <v/>
      </c>
      <c r="F1766">
        <f>IF(ISBLANK('ENGAGEMENTS 2026'!B1766),"",'ENGAGEMENTS 2026'!I1766)</f>
        <v/>
      </c>
      <c r="G1766">
        <f>IF(ISBLANK('ENGAGEMENTS 2026'!B1766),"",'ENGAGEMENTS 2026'!L1766)</f>
        <v/>
      </c>
      <c r="H1766">
        <f>IF(ISBLANK('ENGAGEMENTS 2026'!B1766),"",'ENGAGEMENTS 2026'!AE1766)</f>
        <v/>
      </c>
      <c r="I1766">
        <f>IF(ISBLANK('ENGAGEMENTS 2026'!B1766),"",'ENGAGEMENTS 2026'!G1766)</f>
        <v/>
      </c>
      <c r="J1766" s="275">
        <f>IF(ISBLANK('ENGAGEMENTS 2026'!B1766),"",IF(AND(OR($E1766="INFRUCTUEUX",$E1766="ANNULE"),$C1766="AOO-M"),'ENGAGEMENTS 2026'!O1766,IF($H1766="EN COURS DE PREENGAGEMENT",'ENGAGEMENTS 2026'!N1766,IF($H1766="PREENGAGE",IF($E1766="ATTRIBUE",'ENGAGEMENTS 2026'!AD1766,'ENGAGEMENTS 2026'!N1766),'ENGAGEMENTS 2026'!AD1766))))</f>
        <v/>
      </c>
      <c r="K1766" s="604">
        <f>IF(ISBLANK('ENGAGEMENTS 2026'!V1766),"",'ENGAGEMENTS 2026'!V1766)</f>
        <v/>
      </c>
      <c r="L1766" s="276">
        <f>IF($K1766="","",TODAY()-$K1766)</f>
        <v/>
      </c>
      <c r="M1766">
        <f>IF($A1766="","",IF($H1766="ENGAGE","Engagé",IF(AND($H1766="NON ENGAGE",OR($I1766="INFRUCTUEUX",$I1766="ANNULE")),"Clôturé sans suite","En cours")))</f>
        <v/>
      </c>
      <c r="N1766">
        <f>IF(ISBLANK('ENGAGEMENTS 2026'!B1766),"",'ENGAGEMENTS 2026'!K1766)</f>
        <v/>
      </c>
      <c r="O1766">
        <f>IF(ISBLANK('ENGAGEMENTS 2026'!B1766),"",'ENGAGEMENTS 2026'!L1766)</f>
        <v/>
      </c>
      <c r="P1766">
        <f>IF(ISBLANK('ENGAGEMENTS 2026'!B1766),"",'ENGAGEMENTS 2026'!J1766)</f>
        <v/>
      </c>
      <c r="Q1766">
        <f>IF($A1766="","",IF(OR($E1766="INFRUCTUEUX",$E1766="ANNULE"),$A1766&amp;"|"&amp;(COUNTIFS($A$2:$A1766,$A1766,$E$2:$E1766,"INFRUCTUEUX")+COUNTIFS($A$2:$A1766,$A1766,$E$2:$E1766,"ANNULE")),""))</f>
        <v/>
      </c>
    </row>
    <row r="1767">
      <c r="A1767">
        <f>IF(ISBLANK('ENGAGEMENTS 2026'!B1767),"",IF('ENGAGEMENTS 2026'!B1767="DTSI","DCT",'ENGAGEMENTS 2026'!B1767))</f>
        <v/>
      </c>
      <c r="B1767">
        <f>IF(ISBLANK('ENGAGEMENTS 2026'!B1767),"",'ENGAGEMENTS 2026'!C1767)</f>
        <v/>
      </c>
      <c r="C1767">
        <f>IF(ISBLANK('ENGAGEMENTS 2026'!B1767),"",'ENGAGEMENTS 2026'!D1767)</f>
        <v/>
      </c>
      <c r="D1767">
        <f>IF(ISBLANK('ENGAGEMENTS 2026'!B1767),"",'ENGAGEMENTS 2026'!F1767)</f>
        <v/>
      </c>
      <c r="E1767">
        <f>IF(ISBLANK('ENGAGEMENTS 2026'!B1767),"",'ENGAGEMENTS 2026'!H1767)</f>
        <v/>
      </c>
      <c r="F1767">
        <f>IF(ISBLANK('ENGAGEMENTS 2026'!B1767),"",'ENGAGEMENTS 2026'!I1767)</f>
        <v/>
      </c>
      <c r="G1767">
        <f>IF(ISBLANK('ENGAGEMENTS 2026'!B1767),"",'ENGAGEMENTS 2026'!L1767)</f>
        <v/>
      </c>
      <c r="H1767">
        <f>IF(ISBLANK('ENGAGEMENTS 2026'!B1767),"",'ENGAGEMENTS 2026'!AE1767)</f>
        <v/>
      </c>
      <c r="I1767">
        <f>IF(ISBLANK('ENGAGEMENTS 2026'!B1767),"",'ENGAGEMENTS 2026'!G1767)</f>
        <v/>
      </c>
      <c r="J1767" s="275">
        <f>IF(ISBLANK('ENGAGEMENTS 2026'!B1767),"",IF(AND(OR($E1767="INFRUCTUEUX",$E1767="ANNULE"),$C1767="AOO-M"),'ENGAGEMENTS 2026'!O1767,IF($H1767="EN COURS DE PREENGAGEMENT",'ENGAGEMENTS 2026'!N1767,IF($H1767="PREENGAGE",IF($E1767="ATTRIBUE",'ENGAGEMENTS 2026'!AD1767,'ENGAGEMENTS 2026'!N1767),'ENGAGEMENTS 2026'!AD1767))))</f>
        <v/>
      </c>
      <c r="K1767" s="604">
        <f>IF(ISBLANK('ENGAGEMENTS 2026'!V1767),"",'ENGAGEMENTS 2026'!V1767)</f>
        <v/>
      </c>
      <c r="L1767" s="276">
        <f>IF($K1767="","",TODAY()-$K1767)</f>
        <v/>
      </c>
      <c r="M1767">
        <f>IF($A1767="","",IF($H1767="ENGAGE","Engagé",IF(AND($H1767="NON ENGAGE",OR($I1767="INFRUCTUEUX",$I1767="ANNULE")),"Clôturé sans suite","En cours")))</f>
        <v/>
      </c>
      <c r="N1767">
        <f>IF(ISBLANK('ENGAGEMENTS 2026'!B1767),"",'ENGAGEMENTS 2026'!K1767)</f>
        <v/>
      </c>
      <c r="O1767">
        <f>IF(ISBLANK('ENGAGEMENTS 2026'!B1767),"",'ENGAGEMENTS 2026'!L1767)</f>
        <v/>
      </c>
      <c r="P1767">
        <f>IF(ISBLANK('ENGAGEMENTS 2026'!B1767),"",'ENGAGEMENTS 2026'!J1767)</f>
        <v/>
      </c>
      <c r="Q1767">
        <f>IF($A1767="","",IF(OR($E1767="INFRUCTUEUX",$E1767="ANNULE"),$A1767&amp;"|"&amp;(COUNTIFS($A$2:$A1767,$A1767,$E$2:$E1767,"INFRUCTUEUX")+COUNTIFS($A$2:$A1767,$A1767,$E$2:$E1767,"ANNULE")),""))</f>
        <v/>
      </c>
    </row>
    <row r="1768">
      <c r="A1768">
        <f>IF(ISBLANK('ENGAGEMENTS 2026'!B1768),"",IF('ENGAGEMENTS 2026'!B1768="DTSI","DCT",'ENGAGEMENTS 2026'!B1768))</f>
        <v/>
      </c>
      <c r="B1768">
        <f>IF(ISBLANK('ENGAGEMENTS 2026'!B1768),"",'ENGAGEMENTS 2026'!C1768)</f>
        <v/>
      </c>
      <c r="C1768">
        <f>IF(ISBLANK('ENGAGEMENTS 2026'!B1768),"",'ENGAGEMENTS 2026'!D1768)</f>
        <v/>
      </c>
      <c r="D1768">
        <f>IF(ISBLANK('ENGAGEMENTS 2026'!B1768),"",'ENGAGEMENTS 2026'!F1768)</f>
        <v/>
      </c>
      <c r="E1768">
        <f>IF(ISBLANK('ENGAGEMENTS 2026'!B1768),"",'ENGAGEMENTS 2026'!H1768)</f>
        <v/>
      </c>
      <c r="F1768">
        <f>IF(ISBLANK('ENGAGEMENTS 2026'!B1768),"",'ENGAGEMENTS 2026'!I1768)</f>
        <v/>
      </c>
      <c r="G1768">
        <f>IF(ISBLANK('ENGAGEMENTS 2026'!B1768),"",'ENGAGEMENTS 2026'!L1768)</f>
        <v/>
      </c>
      <c r="H1768">
        <f>IF(ISBLANK('ENGAGEMENTS 2026'!B1768),"",'ENGAGEMENTS 2026'!AE1768)</f>
        <v/>
      </c>
      <c r="I1768">
        <f>IF(ISBLANK('ENGAGEMENTS 2026'!B1768),"",'ENGAGEMENTS 2026'!G1768)</f>
        <v/>
      </c>
      <c r="J1768" s="275">
        <f>IF(ISBLANK('ENGAGEMENTS 2026'!B1768),"",IF(AND(OR($E1768="INFRUCTUEUX",$E1768="ANNULE"),$C1768="AOO-M"),'ENGAGEMENTS 2026'!O1768,IF($H1768="EN COURS DE PREENGAGEMENT",'ENGAGEMENTS 2026'!N1768,IF($H1768="PREENGAGE",IF($E1768="ATTRIBUE",'ENGAGEMENTS 2026'!AD1768,'ENGAGEMENTS 2026'!N1768),'ENGAGEMENTS 2026'!AD1768))))</f>
        <v/>
      </c>
      <c r="K1768" s="604">
        <f>IF(ISBLANK('ENGAGEMENTS 2026'!V1768),"",'ENGAGEMENTS 2026'!V1768)</f>
        <v/>
      </c>
      <c r="L1768" s="276">
        <f>IF($K1768="","",TODAY()-$K1768)</f>
        <v/>
      </c>
      <c r="M1768">
        <f>IF($A1768="","",IF($H1768="ENGAGE","Engagé",IF(AND($H1768="NON ENGAGE",OR($I1768="INFRUCTUEUX",$I1768="ANNULE")),"Clôturé sans suite","En cours")))</f>
        <v/>
      </c>
      <c r="N1768">
        <f>IF(ISBLANK('ENGAGEMENTS 2026'!B1768),"",'ENGAGEMENTS 2026'!K1768)</f>
        <v/>
      </c>
      <c r="O1768">
        <f>IF(ISBLANK('ENGAGEMENTS 2026'!B1768),"",'ENGAGEMENTS 2026'!L1768)</f>
        <v/>
      </c>
      <c r="P1768">
        <f>IF(ISBLANK('ENGAGEMENTS 2026'!B1768),"",'ENGAGEMENTS 2026'!J1768)</f>
        <v/>
      </c>
      <c r="Q1768">
        <f>IF($A1768="","",IF(OR($E1768="INFRUCTUEUX",$E1768="ANNULE"),$A1768&amp;"|"&amp;(COUNTIFS($A$2:$A1768,$A1768,$E$2:$E1768,"INFRUCTUEUX")+COUNTIFS($A$2:$A1768,$A1768,$E$2:$E1768,"ANNULE")),""))</f>
        <v/>
      </c>
    </row>
    <row r="1769">
      <c r="A1769">
        <f>IF(ISBLANK('ENGAGEMENTS 2026'!B1769),"",IF('ENGAGEMENTS 2026'!B1769="DTSI","DCT",'ENGAGEMENTS 2026'!B1769))</f>
        <v/>
      </c>
      <c r="B1769">
        <f>IF(ISBLANK('ENGAGEMENTS 2026'!B1769),"",'ENGAGEMENTS 2026'!C1769)</f>
        <v/>
      </c>
      <c r="C1769">
        <f>IF(ISBLANK('ENGAGEMENTS 2026'!B1769),"",'ENGAGEMENTS 2026'!D1769)</f>
        <v/>
      </c>
      <c r="D1769">
        <f>IF(ISBLANK('ENGAGEMENTS 2026'!B1769),"",'ENGAGEMENTS 2026'!F1769)</f>
        <v/>
      </c>
      <c r="E1769">
        <f>IF(ISBLANK('ENGAGEMENTS 2026'!B1769),"",'ENGAGEMENTS 2026'!H1769)</f>
        <v/>
      </c>
      <c r="F1769">
        <f>IF(ISBLANK('ENGAGEMENTS 2026'!B1769),"",'ENGAGEMENTS 2026'!I1769)</f>
        <v/>
      </c>
      <c r="G1769">
        <f>IF(ISBLANK('ENGAGEMENTS 2026'!B1769),"",'ENGAGEMENTS 2026'!L1769)</f>
        <v/>
      </c>
      <c r="H1769">
        <f>IF(ISBLANK('ENGAGEMENTS 2026'!B1769),"",'ENGAGEMENTS 2026'!AE1769)</f>
        <v/>
      </c>
      <c r="I1769">
        <f>IF(ISBLANK('ENGAGEMENTS 2026'!B1769),"",'ENGAGEMENTS 2026'!G1769)</f>
        <v/>
      </c>
      <c r="J1769" s="275">
        <f>IF(ISBLANK('ENGAGEMENTS 2026'!B1769),"",IF(AND(OR($E1769="INFRUCTUEUX",$E1769="ANNULE"),$C1769="AOO-M"),'ENGAGEMENTS 2026'!O1769,IF($H1769="EN COURS DE PREENGAGEMENT",'ENGAGEMENTS 2026'!N1769,IF($H1769="PREENGAGE",IF($E1769="ATTRIBUE",'ENGAGEMENTS 2026'!AD1769,'ENGAGEMENTS 2026'!N1769),'ENGAGEMENTS 2026'!AD1769))))</f>
        <v/>
      </c>
      <c r="K1769" s="604">
        <f>IF(ISBLANK('ENGAGEMENTS 2026'!V1769),"",'ENGAGEMENTS 2026'!V1769)</f>
        <v/>
      </c>
      <c r="L1769" s="276">
        <f>IF($K1769="","",TODAY()-$K1769)</f>
        <v/>
      </c>
      <c r="M1769">
        <f>IF($A1769="","",IF($H1769="ENGAGE","Engagé",IF(AND($H1769="NON ENGAGE",OR($I1769="INFRUCTUEUX",$I1769="ANNULE")),"Clôturé sans suite","En cours")))</f>
        <v/>
      </c>
      <c r="N1769">
        <f>IF(ISBLANK('ENGAGEMENTS 2026'!B1769),"",'ENGAGEMENTS 2026'!K1769)</f>
        <v/>
      </c>
      <c r="O1769">
        <f>IF(ISBLANK('ENGAGEMENTS 2026'!B1769),"",'ENGAGEMENTS 2026'!L1769)</f>
        <v/>
      </c>
      <c r="P1769">
        <f>IF(ISBLANK('ENGAGEMENTS 2026'!B1769),"",'ENGAGEMENTS 2026'!J1769)</f>
        <v/>
      </c>
      <c r="Q1769">
        <f>IF($A1769="","",IF(OR($E1769="INFRUCTUEUX",$E1769="ANNULE"),$A1769&amp;"|"&amp;(COUNTIFS($A$2:$A1769,$A1769,$E$2:$E1769,"INFRUCTUEUX")+COUNTIFS($A$2:$A1769,$A1769,$E$2:$E1769,"ANNULE")),""))</f>
        <v/>
      </c>
    </row>
    <row r="1770">
      <c r="A1770">
        <f>IF(ISBLANK('ENGAGEMENTS 2026'!B1770),"",IF('ENGAGEMENTS 2026'!B1770="DTSI","DCT",'ENGAGEMENTS 2026'!B1770))</f>
        <v/>
      </c>
      <c r="B1770">
        <f>IF(ISBLANK('ENGAGEMENTS 2026'!B1770),"",'ENGAGEMENTS 2026'!C1770)</f>
        <v/>
      </c>
      <c r="C1770">
        <f>IF(ISBLANK('ENGAGEMENTS 2026'!B1770),"",'ENGAGEMENTS 2026'!D1770)</f>
        <v/>
      </c>
      <c r="D1770">
        <f>IF(ISBLANK('ENGAGEMENTS 2026'!B1770),"",'ENGAGEMENTS 2026'!F1770)</f>
        <v/>
      </c>
      <c r="E1770">
        <f>IF(ISBLANK('ENGAGEMENTS 2026'!B1770),"",'ENGAGEMENTS 2026'!H1770)</f>
        <v/>
      </c>
      <c r="F1770">
        <f>IF(ISBLANK('ENGAGEMENTS 2026'!B1770),"",'ENGAGEMENTS 2026'!I1770)</f>
        <v/>
      </c>
      <c r="G1770">
        <f>IF(ISBLANK('ENGAGEMENTS 2026'!B1770),"",'ENGAGEMENTS 2026'!L1770)</f>
        <v/>
      </c>
      <c r="H1770">
        <f>IF(ISBLANK('ENGAGEMENTS 2026'!B1770),"",'ENGAGEMENTS 2026'!AE1770)</f>
        <v/>
      </c>
      <c r="I1770">
        <f>IF(ISBLANK('ENGAGEMENTS 2026'!B1770),"",'ENGAGEMENTS 2026'!G1770)</f>
        <v/>
      </c>
      <c r="J1770" s="275">
        <f>IF(ISBLANK('ENGAGEMENTS 2026'!B1770),"",IF(AND(OR($E1770="INFRUCTUEUX",$E1770="ANNULE"),$C1770="AOO-M"),'ENGAGEMENTS 2026'!O1770,IF($H1770="EN COURS DE PREENGAGEMENT",'ENGAGEMENTS 2026'!N1770,IF($H1770="PREENGAGE",IF($E1770="ATTRIBUE",'ENGAGEMENTS 2026'!AD1770,'ENGAGEMENTS 2026'!N1770),'ENGAGEMENTS 2026'!AD1770))))</f>
        <v/>
      </c>
      <c r="K1770" s="604">
        <f>IF(ISBLANK('ENGAGEMENTS 2026'!V1770),"",'ENGAGEMENTS 2026'!V1770)</f>
        <v/>
      </c>
      <c r="L1770" s="276">
        <f>IF($K1770="","",TODAY()-$K1770)</f>
        <v/>
      </c>
      <c r="M1770">
        <f>IF($A1770="","",IF($H1770="ENGAGE","Engagé",IF(AND($H1770="NON ENGAGE",OR($I1770="INFRUCTUEUX",$I1770="ANNULE")),"Clôturé sans suite","En cours")))</f>
        <v/>
      </c>
      <c r="N1770">
        <f>IF(ISBLANK('ENGAGEMENTS 2026'!B1770),"",'ENGAGEMENTS 2026'!K1770)</f>
        <v/>
      </c>
      <c r="O1770">
        <f>IF(ISBLANK('ENGAGEMENTS 2026'!B1770),"",'ENGAGEMENTS 2026'!L1770)</f>
        <v/>
      </c>
      <c r="P1770">
        <f>IF(ISBLANK('ENGAGEMENTS 2026'!B1770),"",'ENGAGEMENTS 2026'!J1770)</f>
        <v/>
      </c>
      <c r="Q1770">
        <f>IF($A1770="","",IF(OR($E1770="INFRUCTUEUX",$E1770="ANNULE"),$A1770&amp;"|"&amp;(COUNTIFS($A$2:$A1770,$A1770,$E$2:$E1770,"INFRUCTUEUX")+COUNTIFS($A$2:$A1770,$A1770,$E$2:$E1770,"ANNULE")),""))</f>
        <v/>
      </c>
    </row>
    <row r="1771">
      <c r="A1771">
        <f>IF(ISBLANK('ENGAGEMENTS 2026'!B1771),"",IF('ENGAGEMENTS 2026'!B1771="DTSI","DCT",'ENGAGEMENTS 2026'!B1771))</f>
        <v/>
      </c>
      <c r="B1771">
        <f>IF(ISBLANK('ENGAGEMENTS 2026'!B1771),"",'ENGAGEMENTS 2026'!C1771)</f>
        <v/>
      </c>
      <c r="C1771">
        <f>IF(ISBLANK('ENGAGEMENTS 2026'!B1771),"",'ENGAGEMENTS 2026'!D1771)</f>
        <v/>
      </c>
      <c r="D1771">
        <f>IF(ISBLANK('ENGAGEMENTS 2026'!B1771),"",'ENGAGEMENTS 2026'!F1771)</f>
        <v/>
      </c>
      <c r="E1771">
        <f>IF(ISBLANK('ENGAGEMENTS 2026'!B1771),"",'ENGAGEMENTS 2026'!H1771)</f>
        <v/>
      </c>
      <c r="F1771">
        <f>IF(ISBLANK('ENGAGEMENTS 2026'!B1771),"",'ENGAGEMENTS 2026'!I1771)</f>
        <v/>
      </c>
      <c r="G1771">
        <f>IF(ISBLANK('ENGAGEMENTS 2026'!B1771),"",'ENGAGEMENTS 2026'!L1771)</f>
        <v/>
      </c>
      <c r="H1771">
        <f>IF(ISBLANK('ENGAGEMENTS 2026'!B1771),"",'ENGAGEMENTS 2026'!AE1771)</f>
        <v/>
      </c>
      <c r="I1771">
        <f>IF(ISBLANK('ENGAGEMENTS 2026'!B1771),"",'ENGAGEMENTS 2026'!G1771)</f>
        <v/>
      </c>
      <c r="J1771" s="275">
        <f>IF(ISBLANK('ENGAGEMENTS 2026'!B1771),"",IF(AND(OR($E1771="INFRUCTUEUX",$E1771="ANNULE"),$C1771="AOO-M"),'ENGAGEMENTS 2026'!O1771,IF($H1771="EN COURS DE PREENGAGEMENT",'ENGAGEMENTS 2026'!N1771,IF($H1771="PREENGAGE",IF($E1771="ATTRIBUE",'ENGAGEMENTS 2026'!AD1771,'ENGAGEMENTS 2026'!N1771),'ENGAGEMENTS 2026'!AD1771))))</f>
        <v/>
      </c>
      <c r="K1771" s="604">
        <f>IF(ISBLANK('ENGAGEMENTS 2026'!V1771),"",'ENGAGEMENTS 2026'!V1771)</f>
        <v/>
      </c>
      <c r="L1771" s="276">
        <f>IF($K1771="","",TODAY()-$K1771)</f>
        <v/>
      </c>
      <c r="M1771">
        <f>IF($A1771="","",IF($H1771="ENGAGE","Engagé",IF(AND($H1771="NON ENGAGE",OR($I1771="INFRUCTUEUX",$I1771="ANNULE")),"Clôturé sans suite","En cours")))</f>
        <v/>
      </c>
      <c r="N1771">
        <f>IF(ISBLANK('ENGAGEMENTS 2026'!B1771),"",'ENGAGEMENTS 2026'!K1771)</f>
        <v/>
      </c>
      <c r="O1771">
        <f>IF(ISBLANK('ENGAGEMENTS 2026'!B1771),"",'ENGAGEMENTS 2026'!L1771)</f>
        <v/>
      </c>
      <c r="P1771">
        <f>IF(ISBLANK('ENGAGEMENTS 2026'!B1771),"",'ENGAGEMENTS 2026'!J1771)</f>
        <v/>
      </c>
      <c r="Q1771">
        <f>IF($A1771="","",IF(OR($E1771="INFRUCTUEUX",$E1771="ANNULE"),$A1771&amp;"|"&amp;(COUNTIFS($A$2:$A1771,$A1771,$E$2:$E1771,"INFRUCTUEUX")+COUNTIFS($A$2:$A1771,$A1771,$E$2:$E1771,"ANNULE")),""))</f>
        <v/>
      </c>
    </row>
    <row r="1772">
      <c r="A1772">
        <f>IF(ISBLANK('ENGAGEMENTS 2026'!B1772),"",IF('ENGAGEMENTS 2026'!B1772="DTSI","DCT",'ENGAGEMENTS 2026'!B1772))</f>
        <v/>
      </c>
      <c r="B1772">
        <f>IF(ISBLANK('ENGAGEMENTS 2026'!B1772),"",'ENGAGEMENTS 2026'!C1772)</f>
        <v/>
      </c>
      <c r="C1772">
        <f>IF(ISBLANK('ENGAGEMENTS 2026'!B1772),"",'ENGAGEMENTS 2026'!D1772)</f>
        <v/>
      </c>
      <c r="D1772">
        <f>IF(ISBLANK('ENGAGEMENTS 2026'!B1772),"",'ENGAGEMENTS 2026'!F1772)</f>
        <v/>
      </c>
      <c r="E1772">
        <f>IF(ISBLANK('ENGAGEMENTS 2026'!B1772),"",'ENGAGEMENTS 2026'!H1772)</f>
        <v/>
      </c>
      <c r="F1772">
        <f>IF(ISBLANK('ENGAGEMENTS 2026'!B1772),"",'ENGAGEMENTS 2026'!I1772)</f>
        <v/>
      </c>
      <c r="G1772">
        <f>IF(ISBLANK('ENGAGEMENTS 2026'!B1772),"",'ENGAGEMENTS 2026'!L1772)</f>
        <v/>
      </c>
      <c r="H1772">
        <f>IF(ISBLANK('ENGAGEMENTS 2026'!B1772),"",'ENGAGEMENTS 2026'!AE1772)</f>
        <v/>
      </c>
      <c r="I1772">
        <f>IF(ISBLANK('ENGAGEMENTS 2026'!B1772),"",'ENGAGEMENTS 2026'!G1772)</f>
        <v/>
      </c>
      <c r="J1772" s="275">
        <f>IF(ISBLANK('ENGAGEMENTS 2026'!B1772),"",IF(AND(OR($E1772="INFRUCTUEUX",$E1772="ANNULE"),$C1772="AOO-M"),'ENGAGEMENTS 2026'!O1772,IF($H1772="EN COURS DE PREENGAGEMENT",'ENGAGEMENTS 2026'!N1772,IF($H1772="PREENGAGE",IF($E1772="ATTRIBUE",'ENGAGEMENTS 2026'!AD1772,'ENGAGEMENTS 2026'!N1772),'ENGAGEMENTS 2026'!AD1772))))</f>
        <v/>
      </c>
      <c r="K1772" s="604">
        <f>IF(ISBLANK('ENGAGEMENTS 2026'!V1772),"",'ENGAGEMENTS 2026'!V1772)</f>
        <v/>
      </c>
      <c r="L1772" s="276">
        <f>IF($K1772="","",TODAY()-$K1772)</f>
        <v/>
      </c>
      <c r="M1772">
        <f>IF($A1772="","",IF($H1772="ENGAGE","Engagé",IF(AND($H1772="NON ENGAGE",OR($I1772="INFRUCTUEUX",$I1772="ANNULE")),"Clôturé sans suite","En cours")))</f>
        <v/>
      </c>
      <c r="N1772">
        <f>IF(ISBLANK('ENGAGEMENTS 2026'!B1772),"",'ENGAGEMENTS 2026'!K1772)</f>
        <v/>
      </c>
      <c r="O1772">
        <f>IF(ISBLANK('ENGAGEMENTS 2026'!B1772),"",'ENGAGEMENTS 2026'!L1772)</f>
        <v/>
      </c>
      <c r="P1772">
        <f>IF(ISBLANK('ENGAGEMENTS 2026'!B1772),"",'ENGAGEMENTS 2026'!J1772)</f>
        <v/>
      </c>
      <c r="Q1772">
        <f>IF($A1772="","",IF(OR($E1772="INFRUCTUEUX",$E1772="ANNULE"),$A1772&amp;"|"&amp;(COUNTIFS($A$2:$A1772,$A1772,$E$2:$E1772,"INFRUCTUEUX")+COUNTIFS($A$2:$A1772,$A1772,$E$2:$E1772,"ANNULE")),""))</f>
        <v/>
      </c>
    </row>
    <row r="1773">
      <c r="A1773">
        <f>IF(ISBLANK('ENGAGEMENTS 2026'!B1773),"",IF('ENGAGEMENTS 2026'!B1773="DTSI","DCT",'ENGAGEMENTS 2026'!B1773))</f>
        <v/>
      </c>
      <c r="B1773">
        <f>IF(ISBLANK('ENGAGEMENTS 2026'!B1773),"",'ENGAGEMENTS 2026'!C1773)</f>
        <v/>
      </c>
      <c r="C1773">
        <f>IF(ISBLANK('ENGAGEMENTS 2026'!B1773),"",'ENGAGEMENTS 2026'!D1773)</f>
        <v/>
      </c>
      <c r="D1773">
        <f>IF(ISBLANK('ENGAGEMENTS 2026'!B1773),"",'ENGAGEMENTS 2026'!F1773)</f>
        <v/>
      </c>
      <c r="E1773">
        <f>IF(ISBLANK('ENGAGEMENTS 2026'!B1773),"",'ENGAGEMENTS 2026'!H1773)</f>
        <v/>
      </c>
      <c r="F1773">
        <f>IF(ISBLANK('ENGAGEMENTS 2026'!B1773),"",'ENGAGEMENTS 2026'!I1773)</f>
        <v/>
      </c>
      <c r="G1773">
        <f>IF(ISBLANK('ENGAGEMENTS 2026'!B1773),"",'ENGAGEMENTS 2026'!L1773)</f>
        <v/>
      </c>
      <c r="H1773">
        <f>IF(ISBLANK('ENGAGEMENTS 2026'!B1773),"",'ENGAGEMENTS 2026'!AE1773)</f>
        <v/>
      </c>
      <c r="I1773">
        <f>IF(ISBLANK('ENGAGEMENTS 2026'!B1773),"",'ENGAGEMENTS 2026'!G1773)</f>
        <v/>
      </c>
      <c r="J1773" s="275">
        <f>IF(ISBLANK('ENGAGEMENTS 2026'!B1773),"",IF(AND(OR($E1773="INFRUCTUEUX",$E1773="ANNULE"),$C1773="AOO-M"),'ENGAGEMENTS 2026'!O1773,IF($H1773="EN COURS DE PREENGAGEMENT",'ENGAGEMENTS 2026'!N1773,IF($H1773="PREENGAGE",IF($E1773="ATTRIBUE",'ENGAGEMENTS 2026'!AD1773,'ENGAGEMENTS 2026'!N1773),'ENGAGEMENTS 2026'!AD1773))))</f>
        <v/>
      </c>
      <c r="K1773" s="604">
        <f>IF(ISBLANK('ENGAGEMENTS 2026'!V1773),"",'ENGAGEMENTS 2026'!V1773)</f>
        <v/>
      </c>
      <c r="L1773" s="276">
        <f>IF($K1773="","",TODAY()-$K1773)</f>
        <v/>
      </c>
      <c r="M1773">
        <f>IF($A1773="","",IF($H1773="ENGAGE","Engagé",IF(AND($H1773="NON ENGAGE",OR($I1773="INFRUCTUEUX",$I1773="ANNULE")),"Clôturé sans suite","En cours")))</f>
        <v/>
      </c>
      <c r="N1773">
        <f>IF(ISBLANK('ENGAGEMENTS 2026'!B1773),"",'ENGAGEMENTS 2026'!K1773)</f>
        <v/>
      </c>
      <c r="O1773">
        <f>IF(ISBLANK('ENGAGEMENTS 2026'!B1773),"",'ENGAGEMENTS 2026'!L1773)</f>
        <v/>
      </c>
      <c r="P1773">
        <f>IF(ISBLANK('ENGAGEMENTS 2026'!B1773),"",'ENGAGEMENTS 2026'!J1773)</f>
        <v/>
      </c>
      <c r="Q1773">
        <f>IF($A1773="","",IF(OR($E1773="INFRUCTUEUX",$E1773="ANNULE"),$A1773&amp;"|"&amp;(COUNTIFS($A$2:$A1773,$A1773,$E$2:$E1773,"INFRUCTUEUX")+COUNTIFS($A$2:$A1773,$A1773,$E$2:$E1773,"ANNULE")),""))</f>
        <v/>
      </c>
    </row>
    <row r="1774">
      <c r="A1774">
        <f>IF(ISBLANK('ENGAGEMENTS 2026'!B1774),"",IF('ENGAGEMENTS 2026'!B1774="DTSI","DCT",'ENGAGEMENTS 2026'!B1774))</f>
        <v/>
      </c>
      <c r="B1774">
        <f>IF(ISBLANK('ENGAGEMENTS 2026'!B1774),"",'ENGAGEMENTS 2026'!C1774)</f>
        <v/>
      </c>
      <c r="C1774">
        <f>IF(ISBLANK('ENGAGEMENTS 2026'!B1774),"",'ENGAGEMENTS 2026'!D1774)</f>
        <v/>
      </c>
      <c r="D1774">
        <f>IF(ISBLANK('ENGAGEMENTS 2026'!B1774),"",'ENGAGEMENTS 2026'!F1774)</f>
        <v/>
      </c>
      <c r="E1774">
        <f>IF(ISBLANK('ENGAGEMENTS 2026'!B1774),"",'ENGAGEMENTS 2026'!H1774)</f>
        <v/>
      </c>
      <c r="F1774">
        <f>IF(ISBLANK('ENGAGEMENTS 2026'!B1774),"",'ENGAGEMENTS 2026'!I1774)</f>
        <v/>
      </c>
      <c r="G1774">
        <f>IF(ISBLANK('ENGAGEMENTS 2026'!B1774),"",'ENGAGEMENTS 2026'!L1774)</f>
        <v/>
      </c>
      <c r="H1774">
        <f>IF(ISBLANK('ENGAGEMENTS 2026'!B1774),"",'ENGAGEMENTS 2026'!AE1774)</f>
        <v/>
      </c>
      <c r="I1774">
        <f>IF(ISBLANK('ENGAGEMENTS 2026'!B1774),"",'ENGAGEMENTS 2026'!G1774)</f>
        <v/>
      </c>
      <c r="J1774" s="275">
        <f>IF(ISBLANK('ENGAGEMENTS 2026'!B1774),"",IF(AND(OR($E1774="INFRUCTUEUX",$E1774="ANNULE"),$C1774="AOO-M"),'ENGAGEMENTS 2026'!O1774,IF($H1774="EN COURS DE PREENGAGEMENT",'ENGAGEMENTS 2026'!N1774,IF($H1774="PREENGAGE",IF($E1774="ATTRIBUE",'ENGAGEMENTS 2026'!AD1774,'ENGAGEMENTS 2026'!N1774),'ENGAGEMENTS 2026'!AD1774))))</f>
        <v/>
      </c>
      <c r="K1774" s="604">
        <f>IF(ISBLANK('ENGAGEMENTS 2026'!V1774),"",'ENGAGEMENTS 2026'!V1774)</f>
        <v/>
      </c>
      <c r="L1774" s="276">
        <f>IF($K1774="","",TODAY()-$K1774)</f>
        <v/>
      </c>
      <c r="M1774">
        <f>IF($A1774="","",IF($H1774="ENGAGE","Engagé",IF(AND($H1774="NON ENGAGE",OR($I1774="INFRUCTUEUX",$I1774="ANNULE")),"Clôturé sans suite","En cours")))</f>
        <v/>
      </c>
      <c r="N1774">
        <f>IF(ISBLANK('ENGAGEMENTS 2026'!B1774),"",'ENGAGEMENTS 2026'!K1774)</f>
        <v/>
      </c>
      <c r="O1774">
        <f>IF(ISBLANK('ENGAGEMENTS 2026'!B1774),"",'ENGAGEMENTS 2026'!L1774)</f>
        <v/>
      </c>
      <c r="P1774">
        <f>IF(ISBLANK('ENGAGEMENTS 2026'!B1774),"",'ENGAGEMENTS 2026'!J1774)</f>
        <v/>
      </c>
      <c r="Q1774">
        <f>IF($A1774="","",IF(OR($E1774="INFRUCTUEUX",$E1774="ANNULE"),$A1774&amp;"|"&amp;(COUNTIFS($A$2:$A1774,$A1774,$E$2:$E1774,"INFRUCTUEUX")+COUNTIFS($A$2:$A1774,$A1774,$E$2:$E1774,"ANNULE")),""))</f>
        <v/>
      </c>
    </row>
    <row r="1775">
      <c r="A1775">
        <f>IF(ISBLANK('ENGAGEMENTS 2026'!B1775),"",IF('ENGAGEMENTS 2026'!B1775="DTSI","DCT",'ENGAGEMENTS 2026'!B1775))</f>
        <v/>
      </c>
      <c r="B1775">
        <f>IF(ISBLANK('ENGAGEMENTS 2026'!B1775),"",'ENGAGEMENTS 2026'!C1775)</f>
        <v/>
      </c>
      <c r="C1775">
        <f>IF(ISBLANK('ENGAGEMENTS 2026'!B1775),"",'ENGAGEMENTS 2026'!D1775)</f>
        <v/>
      </c>
      <c r="D1775">
        <f>IF(ISBLANK('ENGAGEMENTS 2026'!B1775),"",'ENGAGEMENTS 2026'!F1775)</f>
        <v/>
      </c>
      <c r="E1775">
        <f>IF(ISBLANK('ENGAGEMENTS 2026'!B1775),"",'ENGAGEMENTS 2026'!H1775)</f>
        <v/>
      </c>
      <c r="F1775">
        <f>IF(ISBLANK('ENGAGEMENTS 2026'!B1775),"",'ENGAGEMENTS 2026'!I1775)</f>
        <v/>
      </c>
      <c r="G1775">
        <f>IF(ISBLANK('ENGAGEMENTS 2026'!B1775),"",'ENGAGEMENTS 2026'!L1775)</f>
        <v/>
      </c>
      <c r="H1775">
        <f>IF(ISBLANK('ENGAGEMENTS 2026'!B1775),"",'ENGAGEMENTS 2026'!AE1775)</f>
        <v/>
      </c>
      <c r="I1775">
        <f>IF(ISBLANK('ENGAGEMENTS 2026'!B1775),"",'ENGAGEMENTS 2026'!G1775)</f>
        <v/>
      </c>
      <c r="J1775" s="275">
        <f>IF(ISBLANK('ENGAGEMENTS 2026'!B1775),"",IF(AND(OR($E1775="INFRUCTUEUX",$E1775="ANNULE"),$C1775="AOO-M"),'ENGAGEMENTS 2026'!O1775,IF($H1775="EN COURS DE PREENGAGEMENT",'ENGAGEMENTS 2026'!N1775,IF($H1775="PREENGAGE",IF($E1775="ATTRIBUE",'ENGAGEMENTS 2026'!AD1775,'ENGAGEMENTS 2026'!N1775),'ENGAGEMENTS 2026'!AD1775))))</f>
        <v/>
      </c>
      <c r="K1775" s="604">
        <f>IF(ISBLANK('ENGAGEMENTS 2026'!V1775),"",'ENGAGEMENTS 2026'!V1775)</f>
        <v/>
      </c>
      <c r="L1775" s="276">
        <f>IF($K1775="","",TODAY()-$K1775)</f>
        <v/>
      </c>
      <c r="M1775">
        <f>IF($A1775="","",IF($H1775="ENGAGE","Engagé",IF(AND($H1775="NON ENGAGE",OR($I1775="INFRUCTUEUX",$I1775="ANNULE")),"Clôturé sans suite","En cours")))</f>
        <v/>
      </c>
      <c r="N1775">
        <f>IF(ISBLANK('ENGAGEMENTS 2026'!B1775),"",'ENGAGEMENTS 2026'!K1775)</f>
        <v/>
      </c>
      <c r="O1775">
        <f>IF(ISBLANK('ENGAGEMENTS 2026'!B1775),"",'ENGAGEMENTS 2026'!L1775)</f>
        <v/>
      </c>
      <c r="P1775">
        <f>IF(ISBLANK('ENGAGEMENTS 2026'!B1775),"",'ENGAGEMENTS 2026'!J1775)</f>
        <v/>
      </c>
      <c r="Q1775">
        <f>IF($A1775="","",IF(OR($E1775="INFRUCTUEUX",$E1775="ANNULE"),$A1775&amp;"|"&amp;(COUNTIFS($A$2:$A1775,$A1775,$E$2:$E1775,"INFRUCTUEUX")+COUNTIFS($A$2:$A1775,$A1775,$E$2:$E1775,"ANNULE")),""))</f>
        <v/>
      </c>
    </row>
    <row r="1776">
      <c r="A1776">
        <f>IF(ISBLANK('ENGAGEMENTS 2026'!B1776),"",IF('ENGAGEMENTS 2026'!B1776="DTSI","DCT",'ENGAGEMENTS 2026'!B1776))</f>
        <v/>
      </c>
      <c r="B1776">
        <f>IF(ISBLANK('ENGAGEMENTS 2026'!B1776),"",'ENGAGEMENTS 2026'!C1776)</f>
        <v/>
      </c>
      <c r="C1776">
        <f>IF(ISBLANK('ENGAGEMENTS 2026'!B1776),"",'ENGAGEMENTS 2026'!D1776)</f>
        <v/>
      </c>
      <c r="D1776">
        <f>IF(ISBLANK('ENGAGEMENTS 2026'!B1776),"",'ENGAGEMENTS 2026'!F1776)</f>
        <v/>
      </c>
      <c r="E1776">
        <f>IF(ISBLANK('ENGAGEMENTS 2026'!B1776),"",'ENGAGEMENTS 2026'!H1776)</f>
        <v/>
      </c>
      <c r="F1776">
        <f>IF(ISBLANK('ENGAGEMENTS 2026'!B1776),"",'ENGAGEMENTS 2026'!I1776)</f>
        <v/>
      </c>
      <c r="G1776">
        <f>IF(ISBLANK('ENGAGEMENTS 2026'!B1776),"",'ENGAGEMENTS 2026'!L1776)</f>
        <v/>
      </c>
      <c r="H1776">
        <f>IF(ISBLANK('ENGAGEMENTS 2026'!B1776),"",'ENGAGEMENTS 2026'!AE1776)</f>
        <v/>
      </c>
      <c r="I1776">
        <f>IF(ISBLANK('ENGAGEMENTS 2026'!B1776),"",'ENGAGEMENTS 2026'!G1776)</f>
        <v/>
      </c>
      <c r="J1776" s="275">
        <f>IF(ISBLANK('ENGAGEMENTS 2026'!B1776),"",IF(AND(OR($E1776="INFRUCTUEUX",$E1776="ANNULE"),$C1776="AOO-M"),'ENGAGEMENTS 2026'!O1776,IF($H1776="EN COURS DE PREENGAGEMENT",'ENGAGEMENTS 2026'!N1776,IF($H1776="PREENGAGE",IF($E1776="ATTRIBUE",'ENGAGEMENTS 2026'!AD1776,'ENGAGEMENTS 2026'!N1776),'ENGAGEMENTS 2026'!AD1776))))</f>
        <v/>
      </c>
      <c r="K1776" s="604">
        <f>IF(ISBLANK('ENGAGEMENTS 2026'!V1776),"",'ENGAGEMENTS 2026'!V1776)</f>
        <v/>
      </c>
      <c r="L1776" s="276">
        <f>IF($K1776="","",TODAY()-$K1776)</f>
        <v/>
      </c>
      <c r="M1776">
        <f>IF($A1776="","",IF($H1776="ENGAGE","Engagé",IF(AND($H1776="NON ENGAGE",OR($I1776="INFRUCTUEUX",$I1776="ANNULE")),"Clôturé sans suite","En cours")))</f>
        <v/>
      </c>
      <c r="N1776">
        <f>IF(ISBLANK('ENGAGEMENTS 2026'!B1776),"",'ENGAGEMENTS 2026'!K1776)</f>
        <v/>
      </c>
      <c r="O1776">
        <f>IF(ISBLANK('ENGAGEMENTS 2026'!B1776),"",'ENGAGEMENTS 2026'!L1776)</f>
        <v/>
      </c>
      <c r="P1776">
        <f>IF(ISBLANK('ENGAGEMENTS 2026'!B1776),"",'ENGAGEMENTS 2026'!J1776)</f>
        <v/>
      </c>
      <c r="Q1776">
        <f>IF($A1776="","",IF(OR($E1776="INFRUCTUEUX",$E1776="ANNULE"),$A1776&amp;"|"&amp;(COUNTIFS($A$2:$A1776,$A1776,$E$2:$E1776,"INFRUCTUEUX")+COUNTIFS($A$2:$A1776,$A1776,$E$2:$E1776,"ANNULE")),""))</f>
        <v/>
      </c>
    </row>
    <row r="1777">
      <c r="A1777">
        <f>IF(ISBLANK('ENGAGEMENTS 2026'!B1777),"",IF('ENGAGEMENTS 2026'!B1777="DTSI","DCT",'ENGAGEMENTS 2026'!B1777))</f>
        <v/>
      </c>
      <c r="B1777">
        <f>IF(ISBLANK('ENGAGEMENTS 2026'!B1777),"",'ENGAGEMENTS 2026'!C1777)</f>
        <v/>
      </c>
      <c r="C1777">
        <f>IF(ISBLANK('ENGAGEMENTS 2026'!B1777),"",'ENGAGEMENTS 2026'!D1777)</f>
        <v/>
      </c>
      <c r="D1777">
        <f>IF(ISBLANK('ENGAGEMENTS 2026'!B1777),"",'ENGAGEMENTS 2026'!F1777)</f>
        <v/>
      </c>
      <c r="E1777">
        <f>IF(ISBLANK('ENGAGEMENTS 2026'!B1777),"",'ENGAGEMENTS 2026'!H1777)</f>
        <v/>
      </c>
      <c r="F1777">
        <f>IF(ISBLANK('ENGAGEMENTS 2026'!B1777),"",'ENGAGEMENTS 2026'!I1777)</f>
        <v/>
      </c>
      <c r="G1777">
        <f>IF(ISBLANK('ENGAGEMENTS 2026'!B1777),"",'ENGAGEMENTS 2026'!L1777)</f>
        <v/>
      </c>
      <c r="H1777">
        <f>IF(ISBLANK('ENGAGEMENTS 2026'!B1777),"",'ENGAGEMENTS 2026'!AE1777)</f>
        <v/>
      </c>
      <c r="I1777">
        <f>IF(ISBLANK('ENGAGEMENTS 2026'!B1777),"",'ENGAGEMENTS 2026'!G1777)</f>
        <v/>
      </c>
      <c r="J1777" s="275">
        <f>IF(ISBLANK('ENGAGEMENTS 2026'!B1777),"",IF(AND(OR($E1777="INFRUCTUEUX",$E1777="ANNULE"),$C1777="AOO-M"),'ENGAGEMENTS 2026'!O1777,IF($H1777="EN COURS DE PREENGAGEMENT",'ENGAGEMENTS 2026'!N1777,IF($H1777="PREENGAGE",IF($E1777="ATTRIBUE",'ENGAGEMENTS 2026'!AD1777,'ENGAGEMENTS 2026'!N1777),'ENGAGEMENTS 2026'!AD1777))))</f>
        <v/>
      </c>
      <c r="K1777" s="604">
        <f>IF(ISBLANK('ENGAGEMENTS 2026'!V1777),"",'ENGAGEMENTS 2026'!V1777)</f>
        <v/>
      </c>
      <c r="L1777" s="276">
        <f>IF($K1777="","",TODAY()-$K1777)</f>
        <v/>
      </c>
      <c r="M1777">
        <f>IF($A1777="","",IF($H1777="ENGAGE","Engagé",IF(AND($H1777="NON ENGAGE",OR($I1777="INFRUCTUEUX",$I1777="ANNULE")),"Clôturé sans suite","En cours")))</f>
        <v/>
      </c>
      <c r="N1777">
        <f>IF(ISBLANK('ENGAGEMENTS 2026'!B1777),"",'ENGAGEMENTS 2026'!K1777)</f>
        <v/>
      </c>
      <c r="O1777">
        <f>IF(ISBLANK('ENGAGEMENTS 2026'!B1777),"",'ENGAGEMENTS 2026'!L1777)</f>
        <v/>
      </c>
      <c r="P1777">
        <f>IF(ISBLANK('ENGAGEMENTS 2026'!B1777),"",'ENGAGEMENTS 2026'!J1777)</f>
        <v/>
      </c>
      <c r="Q1777">
        <f>IF($A1777="","",IF(OR($E1777="INFRUCTUEUX",$E1777="ANNULE"),$A1777&amp;"|"&amp;(COUNTIFS($A$2:$A1777,$A1777,$E$2:$E1777,"INFRUCTUEUX")+COUNTIFS($A$2:$A1777,$A1777,$E$2:$E1777,"ANNULE")),""))</f>
        <v/>
      </c>
    </row>
    <row r="1778">
      <c r="A1778">
        <f>IF(ISBLANK('ENGAGEMENTS 2026'!B1778),"",IF('ENGAGEMENTS 2026'!B1778="DTSI","DCT",'ENGAGEMENTS 2026'!B1778))</f>
        <v/>
      </c>
      <c r="B1778">
        <f>IF(ISBLANK('ENGAGEMENTS 2026'!B1778),"",'ENGAGEMENTS 2026'!C1778)</f>
        <v/>
      </c>
      <c r="C1778">
        <f>IF(ISBLANK('ENGAGEMENTS 2026'!B1778),"",'ENGAGEMENTS 2026'!D1778)</f>
        <v/>
      </c>
      <c r="D1778">
        <f>IF(ISBLANK('ENGAGEMENTS 2026'!B1778),"",'ENGAGEMENTS 2026'!F1778)</f>
        <v/>
      </c>
      <c r="E1778">
        <f>IF(ISBLANK('ENGAGEMENTS 2026'!B1778),"",'ENGAGEMENTS 2026'!H1778)</f>
        <v/>
      </c>
      <c r="F1778">
        <f>IF(ISBLANK('ENGAGEMENTS 2026'!B1778),"",'ENGAGEMENTS 2026'!I1778)</f>
        <v/>
      </c>
      <c r="G1778">
        <f>IF(ISBLANK('ENGAGEMENTS 2026'!B1778),"",'ENGAGEMENTS 2026'!L1778)</f>
        <v/>
      </c>
      <c r="H1778">
        <f>IF(ISBLANK('ENGAGEMENTS 2026'!B1778),"",'ENGAGEMENTS 2026'!AE1778)</f>
        <v/>
      </c>
      <c r="I1778">
        <f>IF(ISBLANK('ENGAGEMENTS 2026'!B1778),"",'ENGAGEMENTS 2026'!G1778)</f>
        <v/>
      </c>
      <c r="J1778" s="275">
        <f>IF(ISBLANK('ENGAGEMENTS 2026'!B1778),"",IF(AND(OR($E1778="INFRUCTUEUX",$E1778="ANNULE"),$C1778="AOO-M"),'ENGAGEMENTS 2026'!O1778,IF($H1778="EN COURS DE PREENGAGEMENT",'ENGAGEMENTS 2026'!N1778,IF($H1778="PREENGAGE",IF($E1778="ATTRIBUE",'ENGAGEMENTS 2026'!AD1778,'ENGAGEMENTS 2026'!N1778),'ENGAGEMENTS 2026'!AD1778))))</f>
        <v/>
      </c>
      <c r="K1778" s="604">
        <f>IF(ISBLANK('ENGAGEMENTS 2026'!V1778),"",'ENGAGEMENTS 2026'!V1778)</f>
        <v/>
      </c>
      <c r="L1778" s="276">
        <f>IF($K1778="","",TODAY()-$K1778)</f>
        <v/>
      </c>
      <c r="M1778">
        <f>IF($A1778="","",IF($H1778="ENGAGE","Engagé",IF(AND($H1778="NON ENGAGE",OR($I1778="INFRUCTUEUX",$I1778="ANNULE")),"Clôturé sans suite","En cours")))</f>
        <v/>
      </c>
      <c r="N1778">
        <f>IF(ISBLANK('ENGAGEMENTS 2026'!B1778),"",'ENGAGEMENTS 2026'!K1778)</f>
        <v/>
      </c>
      <c r="O1778">
        <f>IF(ISBLANK('ENGAGEMENTS 2026'!B1778),"",'ENGAGEMENTS 2026'!L1778)</f>
        <v/>
      </c>
      <c r="P1778">
        <f>IF(ISBLANK('ENGAGEMENTS 2026'!B1778),"",'ENGAGEMENTS 2026'!J1778)</f>
        <v/>
      </c>
      <c r="Q1778">
        <f>IF($A1778="","",IF(OR($E1778="INFRUCTUEUX",$E1778="ANNULE"),$A1778&amp;"|"&amp;(COUNTIFS($A$2:$A1778,$A1778,$E$2:$E1778,"INFRUCTUEUX")+COUNTIFS($A$2:$A1778,$A1778,$E$2:$E1778,"ANNULE")),""))</f>
        <v/>
      </c>
    </row>
    <row r="1779">
      <c r="A1779">
        <f>IF(ISBLANK('ENGAGEMENTS 2026'!B1779),"",IF('ENGAGEMENTS 2026'!B1779="DTSI","DCT",'ENGAGEMENTS 2026'!B1779))</f>
        <v/>
      </c>
      <c r="B1779">
        <f>IF(ISBLANK('ENGAGEMENTS 2026'!B1779),"",'ENGAGEMENTS 2026'!C1779)</f>
        <v/>
      </c>
      <c r="C1779">
        <f>IF(ISBLANK('ENGAGEMENTS 2026'!B1779),"",'ENGAGEMENTS 2026'!D1779)</f>
        <v/>
      </c>
      <c r="D1779">
        <f>IF(ISBLANK('ENGAGEMENTS 2026'!B1779),"",'ENGAGEMENTS 2026'!F1779)</f>
        <v/>
      </c>
      <c r="E1779">
        <f>IF(ISBLANK('ENGAGEMENTS 2026'!B1779),"",'ENGAGEMENTS 2026'!H1779)</f>
        <v/>
      </c>
      <c r="F1779">
        <f>IF(ISBLANK('ENGAGEMENTS 2026'!B1779),"",'ENGAGEMENTS 2026'!I1779)</f>
        <v/>
      </c>
      <c r="G1779">
        <f>IF(ISBLANK('ENGAGEMENTS 2026'!B1779),"",'ENGAGEMENTS 2026'!L1779)</f>
        <v/>
      </c>
      <c r="H1779">
        <f>IF(ISBLANK('ENGAGEMENTS 2026'!B1779),"",'ENGAGEMENTS 2026'!AE1779)</f>
        <v/>
      </c>
      <c r="I1779">
        <f>IF(ISBLANK('ENGAGEMENTS 2026'!B1779),"",'ENGAGEMENTS 2026'!G1779)</f>
        <v/>
      </c>
      <c r="J1779" s="275">
        <f>IF(ISBLANK('ENGAGEMENTS 2026'!B1779),"",IF(AND(OR($E1779="INFRUCTUEUX",$E1779="ANNULE"),$C1779="AOO-M"),'ENGAGEMENTS 2026'!O1779,IF($H1779="EN COURS DE PREENGAGEMENT",'ENGAGEMENTS 2026'!N1779,IF($H1779="PREENGAGE",IF($E1779="ATTRIBUE",'ENGAGEMENTS 2026'!AD1779,'ENGAGEMENTS 2026'!N1779),'ENGAGEMENTS 2026'!AD1779))))</f>
        <v/>
      </c>
      <c r="K1779" s="604">
        <f>IF(ISBLANK('ENGAGEMENTS 2026'!V1779),"",'ENGAGEMENTS 2026'!V1779)</f>
        <v/>
      </c>
      <c r="L1779" s="276">
        <f>IF($K1779="","",TODAY()-$K1779)</f>
        <v/>
      </c>
      <c r="M1779">
        <f>IF($A1779="","",IF($H1779="ENGAGE","Engagé",IF(AND($H1779="NON ENGAGE",OR($I1779="INFRUCTUEUX",$I1779="ANNULE")),"Clôturé sans suite","En cours")))</f>
        <v/>
      </c>
      <c r="N1779">
        <f>IF(ISBLANK('ENGAGEMENTS 2026'!B1779),"",'ENGAGEMENTS 2026'!K1779)</f>
        <v/>
      </c>
      <c r="O1779">
        <f>IF(ISBLANK('ENGAGEMENTS 2026'!B1779),"",'ENGAGEMENTS 2026'!L1779)</f>
        <v/>
      </c>
      <c r="P1779">
        <f>IF(ISBLANK('ENGAGEMENTS 2026'!B1779),"",'ENGAGEMENTS 2026'!J1779)</f>
        <v/>
      </c>
      <c r="Q1779">
        <f>IF($A1779="","",IF(OR($E1779="INFRUCTUEUX",$E1779="ANNULE"),$A1779&amp;"|"&amp;(COUNTIFS($A$2:$A1779,$A1779,$E$2:$E1779,"INFRUCTUEUX")+COUNTIFS($A$2:$A1779,$A1779,$E$2:$E1779,"ANNULE")),""))</f>
        <v/>
      </c>
    </row>
    <row r="1780">
      <c r="A1780">
        <f>IF(ISBLANK('ENGAGEMENTS 2026'!B1780),"",IF('ENGAGEMENTS 2026'!B1780="DTSI","DCT",'ENGAGEMENTS 2026'!B1780))</f>
        <v/>
      </c>
      <c r="B1780">
        <f>IF(ISBLANK('ENGAGEMENTS 2026'!B1780),"",'ENGAGEMENTS 2026'!C1780)</f>
        <v/>
      </c>
      <c r="C1780">
        <f>IF(ISBLANK('ENGAGEMENTS 2026'!B1780),"",'ENGAGEMENTS 2026'!D1780)</f>
        <v/>
      </c>
      <c r="D1780">
        <f>IF(ISBLANK('ENGAGEMENTS 2026'!B1780),"",'ENGAGEMENTS 2026'!F1780)</f>
        <v/>
      </c>
      <c r="E1780">
        <f>IF(ISBLANK('ENGAGEMENTS 2026'!B1780),"",'ENGAGEMENTS 2026'!H1780)</f>
        <v/>
      </c>
      <c r="F1780">
        <f>IF(ISBLANK('ENGAGEMENTS 2026'!B1780),"",'ENGAGEMENTS 2026'!I1780)</f>
        <v/>
      </c>
      <c r="G1780">
        <f>IF(ISBLANK('ENGAGEMENTS 2026'!B1780),"",'ENGAGEMENTS 2026'!L1780)</f>
        <v/>
      </c>
      <c r="H1780">
        <f>IF(ISBLANK('ENGAGEMENTS 2026'!B1780),"",'ENGAGEMENTS 2026'!AE1780)</f>
        <v/>
      </c>
      <c r="I1780">
        <f>IF(ISBLANK('ENGAGEMENTS 2026'!B1780),"",'ENGAGEMENTS 2026'!G1780)</f>
        <v/>
      </c>
      <c r="J1780" s="275">
        <f>IF(ISBLANK('ENGAGEMENTS 2026'!B1780),"",IF(AND(OR($E1780="INFRUCTUEUX",$E1780="ANNULE"),$C1780="AOO-M"),'ENGAGEMENTS 2026'!O1780,IF($H1780="EN COURS DE PREENGAGEMENT",'ENGAGEMENTS 2026'!N1780,IF($H1780="PREENGAGE",IF($E1780="ATTRIBUE",'ENGAGEMENTS 2026'!AD1780,'ENGAGEMENTS 2026'!N1780),'ENGAGEMENTS 2026'!AD1780))))</f>
        <v/>
      </c>
      <c r="K1780" s="604">
        <f>IF(ISBLANK('ENGAGEMENTS 2026'!V1780),"",'ENGAGEMENTS 2026'!V1780)</f>
        <v/>
      </c>
      <c r="L1780" s="276">
        <f>IF($K1780="","",TODAY()-$K1780)</f>
        <v/>
      </c>
      <c r="M1780">
        <f>IF($A1780="","",IF($H1780="ENGAGE","Engagé",IF(AND($H1780="NON ENGAGE",OR($I1780="INFRUCTUEUX",$I1780="ANNULE")),"Clôturé sans suite","En cours")))</f>
        <v/>
      </c>
      <c r="N1780">
        <f>IF(ISBLANK('ENGAGEMENTS 2026'!B1780),"",'ENGAGEMENTS 2026'!K1780)</f>
        <v/>
      </c>
      <c r="O1780">
        <f>IF(ISBLANK('ENGAGEMENTS 2026'!B1780),"",'ENGAGEMENTS 2026'!L1780)</f>
        <v/>
      </c>
      <c r="P1780">
        <f>IF(ISBLANK('ENGAGEMENTS 2026'!B1780),"",'ENGAGEMENTS 2026'!J1780)</f>
        <v/>
      </c>
      <c r="Q1780">
        <f>IF($A1780="","",IF(OR($E1780="INFRUCTUEUX",$E1780="ANNULE"),$A1780&amp;"|"&amp;(COUNTIFS($A$2:$A1780,$A1780,$E$2:$E1780,"INFRUCTUEUX")+COUNTIFS($A$2:$A1780,$A1780,$E$2:$E1780,"ANNULE")),""))</f>
        <v/>
      </c>
    </row>
    <row r="1781">
      <c r="A1781">
        <f>IF(ISBLANK('ENGAGEMENTS 2026'!B1781),"",IF('ENGAGEMENTS 2026'!B1781="DTSI","DCT",'ENGAGEMENTS 2026'!B1781))</f>
        <v/>
      </c>
      <c r="B1781">
        <f>IF(ISBLANK('ENGAGEMENTS 2026'!B1781),"",'ENGAGEMENTS 2026'!C1781)</f>
        <v/>
      </c>
      <c r="C1781">
        <f>IF(ISBLANK('ENGAGEMENTS 2026'!B1781),"",'ENGAGEMENTS 2026'!D1781)</f>
        <v/>
      </c>
      <c r="D1781">
        <f>IF(ISBLANK('ENGAGEMENTS 2026'!B1781),"",'ENGAGEMENTS 2026'!F1781)</f>
        <v/>
      </c>
      <c r="E1781">
        <f>IF(ISBLANK('ENGAGEMENTS 2026'!B1781),"",'ENGAGEMENTS 2026'!H1781)</f>
        <v/>
      </c>
      <c r="F1781">
        <f>IF(ISBLANK('ENGAGEMENTS 2026'!B1781),"",'ENGAGEMENTS 2026'!I1781)</f>
        <v/>
      </c>
      <c r="G1781">
        <f>IF(ISBLANK('ENGAGEMENTS 2026'!B1781),"",'ENGAGEMENTS 2026'!L1781)</f>
        <v/>
      </c>
      <c r="H1781">
        <f>IF(ISBLANK('ENGAGEMENTS 2026'!B1781),"",'ENGAGEMENTS 2026'!AE1781)</f>
        <v/>
      </c>
      <c r="I1781">
        <f>IF(ISBLANK('ENGAGEMENTS 2026'!B1781),"",'ENGAGEMENTS 2026'!G1781)</f>
        <v/>
      </c>
      <c r="J1781" s="275">
        <f>IF(ISBLANK('ENGAGEMENTS 2026'!B1781),"",IF(AND(OR($E1781="INFRUCTUEUX",$E1781="ANNULE"),$C1781="AOO-M"),'ENGAGEMENTS 2026'!O1781,IF($H1781="EN COURS DE PREENGAGEMENT",'ENGAGEMENTS 2026'!N1781,IF($H1781="PREENGAGE",IF($E1781="ATTRIBUE",'ENGAGEMENTS 2026'!AD1781,'ENGAGEMENTS 2026'!N1781),'ENGAGEMENTS 2026'!AD1781))))</f>
        <v/>
      </c>
      <c r="K1781" s="604">
        <f>IF(ISBLANK('ENGAGEMENTS 2026'!V1781),"",'ENGAGEMENTS 2026'!V1781)</f>
        <v/>
      </c>
      <c r="L1781" s="276">
        <f>IF($K1781="","",TODAY()-$K1781)</f>
        <v/>
      </c>
      <c r="M1781">
        <f>IF($A1781="","",IF($H1781="ENGAGE","Engagé",IF(AND($H1781="NON ENGAGE",OR($I1781="INFRUCTUEUX",$I1781="ANNULE")),"Clôturé sans suite","En cours")))</f>
        <v/>
      </c>
      <c r="N1781">
        <f>IF(ISBLANK('ENGAGEMENTS 2026'!B1781),"",'ENGAGEMENTS 2026'!K1781)</f>
        <v/>
      </c>
      <c r="O1781">
        <f>IF(ISBLANK('ENGAGEMENTS 2026'!B1781),"",'ENGAGEMENTS 2026'!L1781)</f>
        <v/>
      </c>
      <c r="P1781">
        <f>IF(ISBLANK('ENGAGEMENTS 2026'!B1781),"",'ENGAGEMENTS 2026'!J1781)</f>
        <v/>
      </c>
      <c r="Q1781">
        <f>IF($A1781="","",IF(OR($E1781="INFRUCTUEUX",$E1781="ANNULE"),$A1781&amp;"|"&amp;(COUNTIFS($A$2:$A1781,$A1781,$E$2:$E1781,"INFRUCTUEUX")+COUNTIFS($A$2:$A1781,$A1781,$E$2:$E1781,"ANNULE")),""))</f>
        <v/>
      </c>
    </row>
    <row r="1782">
      <c r="A1782">
        <f>IF(ISBLANK('ENGAGEMENTS 2026'!B1782),"",IF('ENGAGEMENTS 2026'!B1782="DTSI","DCT",'ENGAGEMENTS 2026'!B1782))</f>
        <v/>
      </c>
      <c r="B1782">
        <f>IF(ISBLANK('ENGAGEMENTS 2026'!B1782),"",'ENGAGEMENTS 2026'!C1782)</f>
        <v/>
      </c>
      <c r="C1782">
        <f>IF(ISBLANK('ENGAGEMENTS 2026'!B1782),"",'ENGAGEMENTS 2026'!D1782)</f>
        <v/>
      </c>
      <c r="D1782">
        <f>IF(ISBLANK('ENGAGEMENTS 2026'!B1782),"",'ENGAGEMENTS 2026'!F1782)</f>
        <v/>
      </c>
      <c r="E1782">
        <f>IF(ISBLANK('ENGAGEMENTS 2026'!B1782),"",'ENGAGEMENTS 2026'!H1782)</f>
        <v/>
      </c>
      <c r="F1782">
        <f>IF(ISBLANK('ENGAGEMENTS 2026'!B1782),"",'ENGAGEMENTS 2026'!I1782)</f>
        <v/>
      </c>
      <c r="G1782">
        <f>IF(ISBLANK('ENGAGEMENTS 2026'!B1782),"",'ENGAGEMENTS 2026'!L1782)</f>
        <v/>
      </c>
      <c r="H1782">
        <f>IF(ISBLANK('ENGAGEMENTS 2026'!B1782),"",'ENGAGEMENTS 2026'!AE1782)</f>
        <v/>
      </c>
      <c r="I1782">
        <f>IF(ISBLANK('ENGAGEMENTS 2026'!B1782),"",'ENGAGEMENTS 2026'!G1782)</f>
        <v/>
      </c>
      <c r="J1782" s="275">
        <f>IF(ISBLANK('ENGAGEMENTS 2026'!B1782),"",IF(AND(OR($E1782="INFRUCTUEUX",$E1782="ANNULE"),$C1782="AOO-M"),'ENGAGEMENTS 2026'!O1782,IF($H1782="EN COURS DE PREENGAGEMENT",'ENGAGEMENTS 2026'!N1782,IF($H1782="PREENGAGE",IF($E1782="ATTRIBUE",'ENGAGEMENTS 2026'!AD1782,'ENGAGEMENTS 2026'!N1782),'ENGAGEMENTS 2026'!AD1782))))</f>
        <v/>
      </c>
      <c r="K1782" s="604">
        <f>IF(ISBLANK('ENGAGEMENTS 2026'!V1782),"",'ENGAGEMENTS 2026'!V1782)</f>
        <v/>
      </c>
      <c r="L1782" s="276">
        <f>IF($K1782="","",TODAY()-$K1782)</f>
        <v/>
      </c>
      <c r="M1782">
        <f>IF($A1782="","",IF($H1782="ENGAGE","Engagé",IF(AND($H1782="NON ENGAGE",OR($I1782="INFRUCTUEUX",$I1782="ANNULE")),"Clôturé sans suite","En cours")))</f>
        <v/>
      </c>
      <c r="N1782">
        <f>IF(ISBLANK('ENGAGEMENTS 2026'!B1782),"",'ENGAGEMENTS 2026'!K1782)</f>
        <v/>
      </c>
      <c r="O1782">
        <f>IF(ISBLANK('ENGAGEMENTS 2026'!B1782),"",'ENGAGEMENTS 2026'!L1782)</f>
        <v/>
      </c>
      <c r="P1782">
        <f>IF(ISBLANK('ENGAGEMENTS 2026'!B1782),"",'ENGAGEMENTS 2026'!J1782)</f>
        <v/>
      </c>
      <c r="Q1782">
        <f>IF($A1782="","",IF(OR($E1782="INFRUCTUEUX",$E1782="ANNULE"),$A1782&amp;"|"&amp;(COUNTIFS($A$2:$A1782,$A1782,$E$2:$E1782,"INFRUCTUEUX")+COUNTIFS($A$2:$A1782,$A1782,$E$2:$E1782,"ANNULE")),""))</f>
        <v/>
      </c>
    </row>
    <row r="1783">
      <c r="A1783">
        <f>IF(ISBLANK('ENGAGEMENTS 2026'!B1783),"",IF('ENGAGEMENTS 2026'!B1783="DTSI","DCT",'ENGAGEMENTS 2026'!B1783))</f>
        <v/>
      </c>
      <c r="B1783">
        <f>IF(ISBLANK('ENGAGEMENTS 2026'!B1783),"",'ENGAGEMENTS 2026'!C1783)</f>
        <v/>
      </c>
      <c r="C1783">
        <f>IF(ISBLANK('ENGAGEMENTS 2026'!B1783),"",'ENGAGEMENTS 2026'!D1783)</f>
        <v/>
      </c>
      <c r="D1783">
        <f>IF(ISBLANK('ENGAGEMENTS 2026'!B1783),"",'ENGAGEMENTS 2026'!F1783)</f>
        <v/>
      </c>
      <c r="E1783">
        <f>IF(ISBLANK('ENGAGEMENTS 2026'!B1783),"",'ENGAGEMENTS 2026'!H1783)</f>
        <v/>
      </c>
      <c r="F1783">
        <f>IF(ISBLANK('ENGAGEMENTS 2026'!B1783),"",'ENGAGEMENTS 2026'!I1783)</f>
        <v/>
      </c>
      <c r="G1783">
        <f>IF(ISBLANK('ENGAGEMENTS 2026'!B1783),"",'ENGAGEMENTS 2026'!L1783)</f>
        <v/>
      </c>
      <c r="H1783">
        <f>IF(ISBLANK('ENGAGEMENTS 2026'!B1783),"",'ENGAGEMENTS 2026'!AE1783)</f>
        <v/>
      </c>
      <c r="I1783">
        <f>IF(ISBLANK('ENGAGEMENTS 2026'!B1783),"",'ENGAGEMENTS 2026'!G1783)</f>
        <v/>
      </c>
      <c r="J1783" s="275">
        <f>IF(ISBLANK('ENGAGEMENTS 2026'!B1783),"",IF(AND(OR($E1783="INFRUCTUEUX",$E1783="ANNULE"),$C1783="AOO-M"),'ENGAGEMENTS 2026'!O1783,IF($H1783="EN COURS DE PREENGAGEMENT",'ENGAGEMENTS 2026'!N1783,IF($H1783="PREENGAGE",IF($E1783="ATTRIBUE",'ENGAGEMENTS 2026'!AD1783,'ENGAGEMENTS 2026'!N1783),'ENGAGEMENTS 2026'!AD1783))))</f>
        <v/>
      </c>
      <c r="K1783" s="604">
        <f>IF(ISBLANK('ENGAGEMENTS 2026'!V1783),"",'ENGAGEMENTS 2026'!V1783)</f>
        <v/>
      </c>
      <c r="L1783" s="276">
        <f>IF($K1783="","",TODAY()-$K1783)</f>
        <v/>
      </c>
      <c r="M1783">
        <f>IF($A1783="","",IF($H1783="ENGAGE","Engagé",IF(AND($H1783="NON ENGAGE",OR($I1783="INFRUCTUEUX",$I1783="ANNULE")),"Clôturé sans suite","En cours")))</f>
        <v/>
      </c>
      <c r="N1783">
        <f>IF(ISBLANK('ENGAGEMENTS 2026'!B1783),"",'ENGAGEMENTS 2026'!K1783)</f>
        <v/>
      </c>
      <c r="O1783">
        <f>IF(ISBLANK('ENGAGEMENTS 2026'!B1783),"",'ENGAGEMENTS 2026'!L1783)</f>
        <v/>
      </c>
      <c r="P1783">
        <f>IF(ISBLANK('ENGAGEMENTS 2026'!B1783),"",'ENGAGEMENTS 2026'!J1783)</f>
        <v/>
      </c>
      <c r="Q1783">
        <f>IF($A1783="","",IF(OR($E1783="INFRUCTUEUX",$E1783="ANNULE"),$A1783&amp;"|"&amp;(COUNTIFS($A$2:$A1783,$A1783,$E$2:$E1783,"INFRUCTUEUX")+COUNTIFS($A$2:$A1783,$A1783,$E$2:$E1783,"ANNULE")),""))</f>
        <v/>
      </c>
    </row>
    <row r="1784">
      <c r="A1784">
        <f>IF(ISBLANK('ENGAGEMENTS 2026'!B1784),"",IF('ENGAGEMENTS 2026'!B1784="DTSI","DCT",'ENGAGEMENTS 2026'!B1784))</f>
        <v/>
      </c>
      <c r="B1784">
        <f>IF(ISBLANK('ENGAGEMENTS 2026'!B1784),"",'ENGAGEMENTS 2026'!C1784)</f>
        <v/>
      </c>
      <c r="C1784">
        <f>IF(ISBLANK('ENGAGEMENTS 2026'!B1784),"",'ENGAGEMENTS 2026'!D1784)</f>
        <v/>
      </c>
      <c r="D1784">
        <f>IF(ISBLANK('ENGAGEMENTS 2026'!B1784),"",'ENGAGEMENTS 2026'!F1784)</f>
        <v/>
      </c>
      <c r="E1784">
        <f>IF(ISBLANK('ENGAGEMENTS 2026'!B1784),"",'ENGAGEMENTS 2026'!H1784)</f>
        <v/>
      </c>
      <c r="F1784">
        <f>IF(ISBLANK('ENGAGEMENTS 2026'!B1784),"",'ENGAGEMENTS 2026'!I1784)</f>
        <v/>
      </c>
      <c r="G1784">
        <f>IF(ISBLANK('ENGAGEMENTS 2026'!B1784),"",'ENGAGEMENTS 2026'!L1784)</f>
        <v/>
      </c>
      <c r="H1784">
        <f>IF(ISBLANK('ENGAGEMENTS 2026'!B1784),"",'ENGAGEMENTS 2026'!AE1784)</f>
        <v/>
      </c>
      <c r="I1784">
        <f>IF(ISBLANK('ENGAGEMENTS 2026'!B1784),"",'ENGAGEMENTS 2026'!G1784)</f>
        <v/>
      </c>
      <c r="J1784" s="275">
        <f>IF(ISBLANK('ENGAGEMENTS 2026'!B1784),"",IF(AND(OR($E1784="INFRUCTUEUX",$E1784="ANNULE"),$C1784="AOO-M"),'ENGAGEMENTS 2026'!O1784,IF($H1784="EN COURS DE PREENGAGEMENT",'ENGAGEMENTS 2026'!N1784,IF($H1784="PREENGAGE",IF($E1784="ATTRIBUE",'ENGAGEMENTS 2026'!AD1784,'ENGAGEMENTS 2026'!N1784),'ENGAGEMENTS 2026'!AD1784))))</f>
        <v/>
      </c>
      <c r="K1784" s="604">
        <f>IF(ISBLANK('ENGAGEMENTS 2026'!V1784),"",'ENGAGEMENTS 2026'!V1784)</f>
        <v/>
      </c>
      <c r="L1784" s="276">
        <f>IF($K1784="","",TODAY()-$K1784)</f>
        <v/>
      </c>
      <c r="M1784">
        <f>IF($A1784="","",IF($H1784="ENGAGE","Engagé",IF(AND($H1784="NON ENGAGE",OR($I1784="INFRUCTUEUX",$I1784="ANNULE")),"Clôturé sans suite","En cours")))</f>
        <v/>
      </c>
      <c r="N1784">
        <f>IF(ISBLANK('ENGAGEMENTS 2026'!B1784),"",'ENGAGEMENTS 2026'!K1784)</f>
        <v/>
      </c>
      <c r="O1784">
        <f>IF(ISBLANK('ENGAGEMENTS 2026'!B1784),"",'ENGAGEMENTS 2026'!L1784)</f>
        <v/>
      </c>
      <c r="P1784">
        <f>IF(ISBLANK('ENGAGEMENTS 2026'!B1784),"",'ENGAGEMENTS 2026'!J1784)</f>
        <v/>
      </c>
      <c r="Q1784">
        <f>IF($A1784="","",IF(OR($E1784="INFRUCTUEUX",$E1784="ANNULE"),$A1784&amp;"|"&amp;(COUNTIFS($A$2:$A1784,$A1784,$E$2:$E1784,"INFRUCTUEUX")+COUNTIFS($A$2:$A1784,$A1784,$E$2:$E1784,"ANNULE")),""))</f>
        <v/>
      </c>
    </row>
    <row r="1785">
      <c r="A1785">
        <f>IF(ISBLANK('ENGAGEMENTS 2026'!B1785),"",IF('ENGAGEMENTS 2026'!B1785="DTSI","DCT",'ENGAGEMENTS 2026'!B1785))</f>
        <v/>
      </c>
      <c r="B1785">
        <f>IF(ISBLANK('ENGAGEMENTS 2026'!B1785),"",'ENGAGEMENTS 2026'!C1785)</f>
        <v/>
      </c>
      <c r="C1785">
        <f>IF(ISBLANK('ENGAGEMENTS 2026'!B1785),"",'ENGAGEMENTS 2026'!D1785)</f>
        <v/>
      </c>
      <c r="D1785">
        <f>IF(ISBLANK('ENGAGEMENTS 2026'!B1785),"",'ENGAGEMENTS 2026'!F1785)</f>
        <v/>
      </c>
      <c r="E1785">
        <f>IF(ISBLANK('ENGAGEMENTS 2026'!B1785),"",'ENGAGEMENTS 2026'!H1785)</f>
        <v/>
      </c>
      <c r="F1785">
        <f>IF(ISBLANK('ENGAGEMENTS 2026'!B1785),"",'ENGAGEMENTS 2026'!I1785)</f>
        <v/>
      </c>
      <c r="G1785">
        <f>IF(ISBLANK('ENGAGEMENTS 2026'!B1785),"",'ENGAGEMENTS 2026'!L1785)</f>
        <v/>
      </c>
      <c r="H1785">
        <f>IF(ISBLANK('ENGAGEMENTS 2026'!B1785),"",'ENGAGEMENTS 2026'!AE1785)</f>
        <v/>
      </c>
      <c r="I1785">
        <f>IF(ISBLANK('ENGAGEMENTS 2026'!B1785),"",'ENGAGEMENTS 2026'!G1785)</f>
        <v/>
      </c>
      <c r="J1785" s="275">
        <f>IF(ISBLANK('ENGAGEMENTS 2026'!B1785),"",IF(AND(OR($E1785="INFRUCTUEUX",$E1785="ANNULE"),$C1785="AOO-M"),'ENGAGEMENTS 2026'!O1785,IF($H1785="EN COURS DE PREENGAGEMENT",'ENGAGEMENTS 2026'!N1785,IF($H1785="PREENGAGE",IF($E1785="ATTRIBUE",'ENGAGEMENTS 2026'!AD1785,'ENGAGEMENTS 2026'!N1785),'ENGAGEMENTS 2026'!AD1785))))</f>
        <v/>
      </c>
      <c r="K1785" s="604">
        <f>IF(ISBLANK('ENGAGEMENTS 2026'!V1785),"",'ENGAGEMENTS 2026'!V1785)</f>
        <v/>
      </c>
      <c r="L1785" s="276">
        <f>IF($K1785="","",TODAY()-$K1785)</f>
        <v/>
      </c>
      <c r="M1785">
        <f>IF($A1785="","",IF($H1785="ENGAGE","Engagé",IF(AND($H1785="NON ENGAGE",OR($I1785="INFRUCTUEUX",$I1785="ANNULE")),"Clôturé sans suite","En cours")))</f>
        <v/>
      </c>
      <c r="N1785">
        <f>IF(ISBLANK('ENGAGEMENTS 2026'!B1785),"",'ENGAGEMENTS 2026'!K1785)</f>
        <v/>
      </c>
      <c r="O1785">
        <f>IF(ISBLANK('ENGAGEMENTS 2026'!B1785),"",'ENGAGEMENTS 2026'!L1785)</f>
        <v/>
      </c>
      <c r="P1785">
        <f>IF(ISBLANK('ENGAGEMENTS 2026'!B1785),"",'ENGAGEMENTS 2026'!J1785)</f>
        <v/>
      </c>
      <c r="Q1785">
        <f>IF($A1785="","",IF(OR($E1785="INFRUCTUEUX",$E1785="ANNULE"),$A1785&amp;"|"&amp;(COUNTIFS($A$2:$A1785,$A1785,$E$2:$E1785,"INFRUCTUEUX")+COUNTIFS($A$2:$A1785,$A1785,$E$2:$E1785,"ANNULE")),""))</f>
        <v/>
      </c>
    </row>
    <row r="1786">
      <c r="A1786">
        <f>IF(ISBLANK('ENGAGEMENTS 2026'!B1786),"",IF('ENGAGEMENTS 2026'!B1786="DTSI","DCT",'ENGAGEMENTS 2026'!B1786))</f>
        <v/>
      </c>
      <c r="B1786">
        <f>IF(ISBLANK('ENGAGEMENTS 2026'!B1786),"",'ENGAGEMENTS 2026'!C1786)</f>
        <v/>
      </c>
      <c r="C1786">
        <f>IF(ISBLANK('ENGAGEMENTS 2026'!B1786),"",'ENGAGEMENTS 2026'!D1786)</f>
        <v/>
      </c>
      <c r="D1786">
        <f>IF(ISBLANK('ENGAGEMENTS 2026'!B1786),"",'ENGAGEMENTS 2026'!F1786)</f>
        <v/>
      </c>
      <c r="E1786">
        <f>IF(ISBLANK('ENGAGEMENTS 2026'!B1786),"",'ENGAGEMENTS 2026'!H1786)</f>
        <v/>
      </c>
      <c r="F1786">
        <f>IF(ISBLANK('ENGAGEMENTS 2026'!B1786),"",'ENGAGEMENTS 2026'!I1786)</f>
        <v/>
      </c>
      <c r="G1786">
        <f>IF(ISBLANK('ENGAGEMENTS 2026'!B1786),"",'ENGAGEMENTS 2026'!L1786)</f>
        <v/>
      </c>
      <c r="H1786">
        <f>IF(ISBLANK('ENGAGEMENTS 2026'!B1786),"",'ENGAGEMENTS 2026'!AE1786)</f>
        <v/>
      </c>
      <c r="I1786">
        <f>IF(ISBLANK('ENGAGEMENTS 2026'!B1786),"",'ENGAGEMENTS 2026'!G1786)</f>
        <v/>
      </c>
      <c r="J1786" s="275">
        <f>IF(ISBLANK('ENGAGEMENTS 2026'!B1786),"",IF(AND(OR($E1786="INFRUCTUEUX",$E1786="ANNULE"),$C1786="AOO-M"),'ENGAGEMENTS 2026'!O1786,IF($H1786="EN COURS DE PREENGAGEMENT",'ENGAGEMENTS 2026'!N1786,IF($H1786="PREENGAGE",IF($E1786="ATTRIBUE",'ENGAGEMENTS 2026'!AD1786,'ENGAGEMENTS 2026'!N1786),'ENGAGEMENTS 2026'!AD1786))))</f>
        <v/>
      </c>
      <c r="K1786" s="604">
        <f>IF(ISBLANK('ENGAGEMENTS 2026'!V1786),"",'ENGAGEMENTS 2026'!V1786)</f>
        <v/>
      </c>
      <c r="L1786" s="276">
        <f>IF($K1786="","",TODAY()-$K1786)</f>
        <v/>
      </c>
      <c r="M1786">
        <f>IF($A1786="","",IF($H1786="ENGAGE","Engagé",IF(AND($H1786="NON ENGAGE",OR($I1786="INFRUCTUEUX",$I1786="ANNULE")),"Clôturé sans suite","En cours")))</f>
        <v/>
      </c>
      <c r="N1786">
        <f>IF(ISBLANK('ENGAGEMENTS 2026'!B1786),"",'ENGAGEMENTS 2026'!K1786)</f>
        <v/>
      </c>
      <c r="O1786">
        <f>IF(ISBLANK('ENGAGEMENTS 2026'!B1786),"",'ENGAGEMENTS 2026'!L1786)</f>
        <v/>
      </c>
      <c r="P1786">
        <f>IF(ISBLANK('ENGAGEMENTS 2026'!B1786),"",'ENGAGEMENTS 2026'!J1786)</f>
        <v/>
      </c>
      <c r="Q1786">
        <f>IF($A1786="","",IF(OR($E1786="INFRUCTUEUX",$E1786="ANNULE"),$A1786&amp;"|"&amp;(COUNTIFS($A$2:$A1786,$A1786,$E$2:$E1786,"INFRUCTUEUX")+COUNTIFS($A$2:$A1786,$A1786,$E$2:$E1786,"ANNULE")),""))</f>
        <v/>
      </c>
    </row>
    <row r="1787">
      <c r="A1787">
        <f>IF(ISBLANK('ENGAGEMENTS 2026'!B1787),"",IF('ENGAGEMENTS 2026'!B1787="DTSI","DCT",'ENGAGEMENTS 2026'!B1787))</f>
        <v/>
      </c>
      <c r="B1787">
        <f>IF(ISBLANK('ENGAGEMENTS 2026'!B1787),"",'ENGAGEMENTS 2026'!C1787)</f>
        <v/>
      </c>
      <c r="C1787">
        <f>IF(ISBLANK('ENGAGEMENTS 2026'!B1787),"",'ENGAGEMENTS 2026'!D1787)</f>
        <v/>
      </c>
      <c r="D1787">
        <f>IF(ISBLANK('ENGAGEMENTS 2026'!B1787),"",'ENGAGEMENTS 2026'!F1787)</f>
        <v/>
      </c>
      <c r="E1787">
        <f>IF(ISBLANK('ENGAGEMENTS 2026'!B1787),"",'ENGAGEMENTS 2026'!H1787)</f>
        <v/>
      </c>
      <c r="F1787">
        <f>IF(ISBLANK('ENGAGEMENTS 2026'!B1787),"",'ENGAGEMENTS 2026'!I1787)</f>
        <v/>
      </c>
      <c r="G1787">
        <f>IF(ISBLANK('ENGAGEMENTS 2026'!B1787),"",'ENGAGEMENTS 2026'!L1787)</f>
        <v/>
      </c>
      <c r="H1787">
        <f>IF(ISBLANK('ENGAGEMENTS 2026'!B1787),"",'ENGAGEMENTS 2026'!AE1787)</f>
        <v/>
      </c>
      <c r="I1787">
        <f>IF(ISBLANK('ENGAGEMENTS 2026'!B1787),"",'ENGAGEMENTS 2026'!G1787)</f>
        <v/>
      </c>
      <c r="J1787" s="275">
        <f>IF(ISBLANK('ENGAGEMENTS 2026'!B1787),"",IF(AND(OR($E1787="INFRUCTUEUX",$E1787="ANNULE"),$C1787="AOO-M"),'ENGAGEMENTS 2026'!O1787,IF($H1787="EN COURS DE PREENGAGEMENT",'ENGAGEMENTS 2026'!N1787,IF($H1787="PREENGAGE",IF($E1787="ATTRIBUE",'ENGAGEMENTS 2026'!AD1787,'ENGAGEMENTS 2026'!N1787),'ENGAGEMENTS 2026'!AD1787))))</f>
        <v/>
      </c>
      <c r="K1787" s="604">
        <f>IF(ISBLANK('ENGAGEMENTS 2026'!V1787),"",'ENGAGEMENTS 2026'!V1787)</f>
        <v/>
      </c>
      <c r="L1787" s="276">
        <f>IF($K1787="","",TODAY()-$K1787)</f>
        <v/>
      </c>
      <c r="M1787">
        <f>IF($A1787="","",IF($H1787="ENGAGE","Engagé",IF(AND($H1787="NON ENGAGE",OR($I1787="INFRUCTUEUX",$I1787="ANNULE")),"Clôturé sans suite","En cours")))</f>
        <v/>
      </c>
      <c r="N1787">
        <f>IF(ISBLANK('ENGAGEMENTS 2026'!B1787),"",'ENGAGEMENTS 2026'!K1787)</f>
        <v/>
      </c>
      <c r="O1787">
        <f>IF(ISBLANK('ENGAGEMENTS 2026'!B1787),"",'ENGAGEMENTS 2026'!L1787)</f>
        <v/>
      </c>
      <c r="P1787">
        <f>IF(ISBLANK('ENGAGEMENTS 2026'!B1787),"",'ENGAGEMENTS 2026'!J1787)</f>
        <v/>
      </c>
      <c r="Q1787">
        <f>IF($A1787="","",IF(OR($E1787="INFRUCTUEUX",$E1787="ANNULE"),$A1787&amp;"|"&amp;(COUNTIFS($A$2:$A1787,$A1787,$E$2:$E1787,"INFRUCTUEUX")+COUNTIFS($A$2:$A1787,$A1787,$E$2:$E1787,"ANNULE")),""))</f>
        <v/>
      </c>
    </row>
    <row r="1788">
      <c r="A1788">
        <f>IF(ISBLANK('ENGAGEMENTS 2026'!B1788),"",IF('ENGAGEMENTS 2026'!B1788="DTSI","DCT",'ENGAGEMENTS 2026'!B1788))</f>
        <v/>
      </c>
      <c r="B1788">
        <f>IF(ISBLANK('ENGAGEMENTS 2026'!B1788),"",'ENGAGEMENTS 2026'!C1788)</f>
        <v/>
      </c>
      <c r="C1788">
        <f>IF(ISBLANK('ENGAGEMENTS 2026'!B1788),"",'ENGAGEMENTS 2026'!D1788)</f>
        <v/>
      </c>
      <c r="D1788">
        <f>IF(ISBLANK('ENGAGEMENTS 2026'!B1788),"",'ENGAGEMENTS 2026'!F1788)</f>
        <v/>
      </c>
      <c r="E1788">
        <f>IF(ISBLANK('ENGAGEMENTS 2026'!B1788),"",'ENGAGEMENTS 2026'!H1788)</f>
        <v/>
      </c>
      <c r="F1788">
        <f>IF(ISBLANK('ENGAGEMENTS 2026'!B1788),"",'ENGAGEMENTS 2026'!I1788)</f>
        <v/>
      </c>
      <c r="G1788">
        <f>IF(ISBLANK('ENGAGEMENTS 2026'!B1788),"",'ENGAGEMENTS 2026'!L1788)</f>
        <v/>
      </c>
      <c r="H1788">
        <f>IF(ISBLANK('ENGAGEMENTS 2026'!B1788),"",'ENGAGEMENTS 2026'!AE1788)</f>
        <v/>
      </c>
      <c r="I1788">
        <f>IF(ISBLANK('ENGAGEMENTS 2026'!B1788),"",'ENGAGEMENTS 2026'!G1788)</f>
        <v/>
      </c>
      <c r="J1788" s="275">
        <f>IF(ISBLANK('ENGAGEMENTS 2026'!B1788),"",IF(AND(OR($E1788="INFRUCTUEUX",$E1788="ANNULE"),$C1788="AOO-M"),'ENGAGEMENTS 2026'!O1788,IF($H1788="EN COURS DE PREENGAGEMENT",'ENGAGEMENTS 2026'!N1788,IF($H1788="PREENGAGE",IF($E1788="ATTRIBUE",'ENGAGEMENTS 2026'!AD1788,'ENGAGEMENTS 2026'!N1788),'ENGAGEMENTS 2026'!AD1788))))</f>
        <v/>
      </c>
      <c r="K1788" s="604">
        <f>IF(ISBLANK('ENGAGEMENTS 2026'!V1788),"",'ENGAGEMENTS 2026'!V1788)</f>
        <v/>
      </c>
      <c r="L1788" s="276">
        <f>IF($K1788="","",TODAY()-$K1788)</f>
        <v/>
      </c>
      <c r="M1788">
        <f>IF($A1788="","",IF($H1788="ENGAGE","Engagé",IF(AND($H1788="NON ENGAGE",OR($I1788="INFRUCTUEUX",$I1788="ANNULE")),"Clôturé sans suite","En cours")))</f>
        <v/>
      </c>
      <c r="N1788">
        <f>IF(ISBLANK('ENGAGEMENTS 2026'!B1788),"",'ENGAGEMENTS 2026'!K1788)</f>
        <v/>
      </c>
      <c r="O1788">
        <f>IF(ISBLANK('ENGAGEMENTS 2026'!B1788),"",'ENGAGEMENTS 2026'!L1788)</f>
        <v/>
      </c>
      <c r="P1788">
        <f>IF(ISBLANK('ENGAGEMENTS 2026'!B1788),"",'ENGAGEMENTS 2026'!J1788)</f>
        <v/>
      </c>
      <c r="Q1788">
        <f>IF($A1788="","",IF(OR($E1788="INFRUCTUEUX",$E1788="ANNULE"),$A1788&amp;"|"&amp;(COUNTIFS($A$2:$A1788,$A1788,$E$2:$E1788,"INFRUCTUEUX")+COUNTIFS($A$2:$A1788,$A1788,$E$2:$E1788,"ANNULE")),""))</f>
        <v/>
      </c>
    </row>
    <row r="1789">
      <c r="A1789">
        <f>IF(ISBLANK('ENGAGEMENTS 2026'!B1789),"",IF('ENGAGEMENTS 2026'!B1789="DTSI","DCT",'ENGAGEMENTS 2026'!B1789))</f>
        <v/>
      </c>
      <c r="B1789">
        <f>IF(ISBLANK('ENGAGEMENTS 2026'!B1789),"",'ENGAGEMENTS 2026'!C1789)</f>
        <v/>
      </c>
      <c r="C1789">
        <f>IF(ISBLANK('ENGAGEMENTS 2026'!B1789),"",'ENGAGEMENTS 2026'!D1789)</f>
        <v/>
      </c>
      <c r="D1789">
        <f>IF(ISBLANK('ENGAGEMENTS 2026'!B1789),"",'ENGAGEMENTS 2026'!F1789)</f>
        <v/>
      </c>
      <c r="E1789">
        <f>IF(ISBLANK('ENGAGEMENTS 2026'!B1789),"",'ENGAGEMENTS 2026'!H1789)</f>
        <v/>
      </c>
      <c r="F1789">
        <f>IF(ISBLANK('ENGAGEMENTS 2026'!B1789),"",'ENGAGEMENTS 2026'!I1789)</f>
        <v/>
      </c>
      <c r="G1789">
        <f>IF(ISBLANK('ENGAGEMENTS 2026'!B1789),"",'ENGAGEMENTS 2026'!L1789)</f>
        <v/>
      </c>
      <c r="H1789">
        <f>IF(ISBLANK('ENGAGEMENTS 2026'!B1789),"",'ENGAGEMENTS 2026'!AE1789)</f>
        <v/>
      </c>
      <c r="I1789">
        <f>IF(ISBLANK('ENGAGEMENTS 2026'!B1789),"",'ENGAGEMENTS 2026'!G1789)</f>
        <v/>
      </c>
      <c r="J1789" s="275">
        <f>IF(ISBLANK('ENGAGEMENTS 2026'!B1789),"",IF(AND(OR($E1789="INFRUCTUEUX",$E1789="ANNULE"),$C1789="AOO-M"),'ENGAGEMENTS 2026'!O1789,IF($H1789="EN COURS DE PREENGAGEMENT",'ENGAGEMENTS 2026'!N1789,IF($H1789="PREENGAGE",IF($E1789="ATTRIBUE",'ENGAGEMENTS 2026'!AD1789,'ENGAGEMENTS 2026'!N1789),'ENGAGEMENTS 2026'!AD1789))))</f>
        <v/>
      </c>
      <c r="K1789" s="604">
        <f>IF(ISBLANK('ENGAGEMENTS 2026'!V1789),"",'ENGAGEMENTS 2026'!V1789)</f>
        <v/>
      </c>
      <c r="L1789" s="276">
        <f>IF($K1789="","",TODAY()-$K1789)</f>
        <v/>
      </c>
      <c r="M1789">
        <f>IF($A1789="","",IF($H1789="ENGAGE","Engagé",IF(AND($H1789="NON ENGAGE",OR($I1789="INFRUCTUEUX",$I1789="ANNULE")),"Clôturé sans suite","En cours")))</f>
        <v/>
      </c>
      <c r="N1789">
        <f>IF(ISBLANK('ENGAGEMENTS 2026'!B1789),"",'ENGAGEMENTS 2026'!K1789)</f>
        <v/>
      </c>
      <c r="O1789">
        <f>IF(ISBLANK('ENGAGEMENTS 2026'!B1789),"",'ENGAGEMENTS 2026'!L1789)</f>
        <v/>
      </c>
      <c r="P1789">
        <f>IF(ISBLANK('ENGAGEMENTS 2026'!B1789),"",'ENGAGEMENTS 2026'!J1789)</f>
        <v/>
      </c>
      <c r="Q1789">
        <f>IF($A1789="","",IF(OR($E1789="INFRUCTUEUX",$E1789="ANNULE"),$A1789&amp;"|"&amp;(COUNTIFS($A$2:$A1789,$A1789,$E$2:$E1789,"INFRUCTUEUX")+COUNTIFS($A$2:$A1789,$A1789,$E$2:$E1789,"ANNULE")),""))</f>
        <v/>
      </c>
    </row>
    <row r="1790">
      <c r="A1790">
        <f>IF(ISBLANK('ENGAGEMENTS 2026'!B1790),"",IF('ENGAGEMENTS 2026'!B1790="DTSI","DCT",'ENGAGEMENTS 2026'!B1790))</f>
        <v/>
      </c>
      <c r="B1790">
        <f>IF(ISBLANK('ENGAGEMENTS 2026'!B1790),"",'ENGAGEMENTS 2026'!C1790)</f>
        <v/>
      </c>
      <c r="C1790">
        <f>IF(ISBLANK('ENGAGEMENTS 2026'!B1790),"",'ENGAGEMENTS 2026'!D1790)</f>
        <v/>
      </c>
      <c r="D1790">
        <f>IF(ISBLANK('ENGAGEMENTS 2026'!B1790),"",'ENGAGEMENTS 2026'!F1790)</f>
        <v/>
      </c>
      <c r="E1790">
        <f>IF(ISBLANK('ENGAGEMENTS 2026'!B1790),"",'ENGAGEMENTS 2026'!H1790)</f>
        <v/>
      </c>
      <c r="F1790">
        <f>IF(ISBLANK('ENGAGEMENTS 2026'!B1790),"",'ENGAGEMENTS 2026'!I1790)</f>
        <v/>
      </c>
      <c r="G1790">
        <f>IF(ISBLANK('ENGAGEMENTS 2026'!B1790),"",'ENGAGEMENTS 2026'!L1790)</f>
        <v/>
      </c>
      <c r="H1790">
        <f>IF(ISBLANK('ENGAGEMENTS 2026'!B1790),"",'ENGAGEMENTS 2026'!AE1790)</f>
        <v/>
      </c>
      <c r="I1790">
        <f>IF(ISBLANK('ENGAGEMENTS 2026'!B1790),"",'ENGAGEMENTS 2026'!G1790)</f>
        <v/>
      </c>
      <c r="J1790" s="275">
        <f>IF(ISBLANK('ENGAGEMENTS 2026'!B1790),"",IF(AND(OR($E1790="INFRUCTUEUX",$E1790="ANNULE"),$C1790="AOO-M"),'ENGAGEMENTS 2026'!O1790,IF($H1790="EN COURS DE PREENGAGEMENT",'ENGAGEMENTS 2026'!N1790,IF($H1790="PREENGAGE",IF($E1790="ATTRIBUE",'ENGAGEMENTS 2026'!AD1790,'ENGAGEMENTS 2026'!N1790),'ENGAGEMENTS 2026'!AD1790))))</f>
        <v/>
      </c>
      <c r="K1790" s="604">
        <f>IF(ISBLANK('ENGAGEMENTS 2026'!V1790),"",'ENGAGEMENTS 2026'!V1790)</f>
        <v/>
      </c>
      <c r="L1790" s="276">
        <f>IF($K1790="","",TODAY()-$K1790)</f>
        <v/>
      </c>
      <c r="M1790">
        <f>IF($A1790="","",IF($H1790="ENGAGE","Engagé",IF(AND($H1790="NON ENGAGE",OR($I1790="INFRUCTUEUX",$I1790="ANNULE")),"Clôturé sans suite","En cours")))</f>
        <v/>
      </c>
      <c r="N1790">
        <f>IF(ISBLANK('ENGAGEMENTS 2026'!B1790),"",'ENGAGEMENTS 2026'!K1790)</f>
        <v/>
      </c>
      <c r="O1790">
        <f>IF(ISBLANK('ENGAGEMENTS 2026'!B1790),"",'ENGAGEMENTS 2026'!L1790)</f>
        <v/>
      </c>
      <c r="P1790">
        <f>IF(ISBLANK('ENGAGEMENTS 2026'!B1790),"",'ENGAGEMENTS 2026'!J1790)</f>
        <v/>
      </c>
      <c r="Q1790">
        <f>IF($A1790="","",IF(OR($E1790="INFRUCTUEUX",$E1790="ANNULE"),$A1790&amp;"|"&amp;(COUNTIFS($A$2:$A1790,$A1790,$E$2:$E1790,"INFRUCTUEUX")+COUNTIFS($A$2:$A1790,$A1790,$E$2:$E1790,"ANNULE")),""))</f>
        <v/>
      </c>
    </row>
    <row r="1791">
      <c r="A1791">
        <f>IF(ISBLANK('ENGAGEMENTS 2026'!B1791),"",IF('ENGAGEMENTS 2026'!B1791="DTSI","DCT",'ENGAGEMENTS 2026'!B1791))</f>
        <v/>
      </c>
      <c r="B1791">
        <f>IF(ISBLANK('ENGAGEMENTS 2026'!B1791),"",'ENGAGEMENTS 2026'!C1791)</f>
        <v/>
      </c>
      <c r="C1791">
        <f>IF(ISBLANK('ENGAGEMENTS 2026'!B1791),"",'ENGAGEMENTS 2026'!D1791)</f>
        <v/>
      </c>
      <c r="D1791">
        <f>IF(ISBLANK('ENGAGEMENTS 2026'!B1791),"",'ENGAGEMENTS 2026'!F1791)</f>
        <v/>
      </c>
      <c r="E1791">
        <f>IF(ISBLANK('ENGAGEMENTS 2026'!B1791),"",'ENGAGEMENTS 2026'!H1791)</f>
        <v/>
      </c>
      <c r="F1791">
        <f>IF(ISBLANK('ENGAGEMENTS 2026'!B1791),"",'ENGAGEMENTS 2026'!I1791)</f>
        <v/>
      </c>
      <c r="G1791">
        <f>IF(ISBLANK('ENGAGEMENTS 2026'!B1791),"",'ENGAGEMENTS 2026'!L1791)</f>
        <v/>
      </c>
      <c r="H1791">
        <f>IF(ISBLANK('ENGAGEMENTS 2026'!B1791),"",'ENGAGEMENTS 2026'!AE1791)</f>
        <v/>
      </c>
      <c r="I1791">
        <f>IF(ISBLANK('ENGAGEMENTS 2026'!B1791),"",'ENGAGEMENTS 2026'!G1791)</f>
        <v/>
      </c>
      <c r="J1791" s="275">
        <f>IF(ISBLANK('ENGAGEMENTS 2026'!B1791),"",IF(AND(OR($E1791="INFRUCTUEUX",$E1791="ANNULE"),$C1791="AOO-M"),'ENGAGEMENTS 2026'!O1791,IF($H1791="EN COURS DE PREENGAGEMENT",'ENGAGEMENTS 2026'!N1791,IF($H1791="PREENGAGE",IF($E1791="ATTRIBUE",'ENGAGEMENTS 2026'!AD1791,'ENGAGEMENTS 2026'!N1791),'ENGAGEMENTS 2026'!AD1791))))</f>
        <v/>
      </c>
      <c r="K1791" s="604">
        <f>IF(ISBLANK('ENGAGEMENTS 2026'!V1791),"",'ENGAGEMENTS 2026'!V1791)</f>
        <v/>
      </c>
      <c r="L1791" s="276">
        <f>IF($K1791="","",TODAY()-$K1791)</f>
        <v/>
      </c>
      <c r="M1791">
        <f>IF($A1791="","",IF($H1791="ENGAGE","Engagé",IF(AND($H1791="NON ENGAGE",OR($I1791="INFRUCTUEUX",$I1791="ANNULE")),"Clôturé sans suite","En cours")))</f>
        <v/>
      </c>
      <c r="N1791">
        <f>IF(ISBLANK('ENGAGEMENTS 2026'!B1791),"",'ENGAGEMENTS 2026'!K1791)</f>
        <v/>
      </c>
      <c r="O1791">
        <f>IF(ISBLANK('ENGAGEMENTS 2026'!B1791),"",'ENGAGEMENTS 2026'!L1791)</f>
        <v/>
      </c>
      <c r="P1791">
        <f>IF(ISBLANK('ENGAGEMENTS 2026'!B1791),"",'ENGAGEMENTS 2026'!J1791)</f>
        <v/>
      </c>
      <c r="Q1791">
        <f>IF($A1791="","",IF(OR($E1791="INFRUCTUEUX",$E1791="ANNULE"),$A1791&amp;"|"&amp;(COUNTIFS($A$2:$A1791,$A1791,$E$2:$E1791,"INFRUCTUEUX")+COUNTIFS($A$2:$A1791,$A1791,$E$2:$E1791,"ANNULE")),""))</f>
        <v/>
      </c>
    </row>
    <row r="1792">
      <c r="A1792">
        <f>IF(ISBLANK('ENGAGEMENTS 2026'!B1792),"",IF('ENGAGEMENTS 2026'!B1792="DTSI","DCT",'ENGAGEMENTS 2026'!B1792))</f>
        <v/>
      </c>
      <c r="B1792">
        <f>IF(ISBLANK('ENGAGEMENTS 2026'!B1792),"",'ENGAGEMENTS 2026'!C1792)</f>
        <v/>
      </c>
      <c r="C1792">
        <f>IF(ISBLANK('ENGAGEMENTS 2026'!B1792),"",'ENGAGEMENTS 2026'!D1792)</f>
        <v/>
      </c>
      <c r="D1792">
        <f>IF(ISBLANK('ENGAGEMENTS 2026'!B1792),"",'ENGAGEMENTS 2026'!F1792)</f>
        <v/>
      </c>
      <c r="E1792">
        <f>IF(ISBLANK('ENGAGEMENTS 2026'!B1792),"",'ENGAGEMENTS 2026'!H1792)</f>
        <v/>
      </c>
      <c r="F1792">
        <f>IF(ISBLANK('ENGAGEMENTS 2026'!B1792),"",'ENGAGEMENTS 2026'!I1792)</f>
        <v/>
      </c>
      <c r="G1792">
        <f>IF(ISBLANK('ENGAGEMENTS 2026'!B1792),"",'ENGAGEMENTS 2026'!L1792)</f>
        <v/>
      </c>
      <c r="H1792">
        <f>IF(ISBLANK('ENGAGEMENTS 2026'!B1792),"",'ENGAGEMENTS 2026'!AE1792)</f>
        <v/>
      </c>
      <c r="I1792">
        <f>IF(ISBLANK('ENGAGEMENTS 2026'!B1792),"",'ENGAGEMENTS 2026'!G1792)</f>
        <v/>
      </c>
      <c r="J1792" s="275">
        <f>IF(ISBLANK('ENGAGEMENTS 2026'!B1792),"",IF(AND(OR($E1792="INFRUCTUEUX",$E1792="ANNULE"),$C1792="AOO-M"),'ENGAGEMENTS 2026'!O1792,IF($H1792="EN COURS DE PREENGAGEMENT",'ENGAGEMENTS 2026'!N1792,IF($H1792="PREENGAGE",IF($E1792="ATTRIBUE",'ENGAGEMENTS 2026'!AD1792,'ENGAGEMENTS 2026'!N1792),'ENGAGEMENTS 2026'!AD1792))))</f>
        <v/>
      </c>
      <c r="K1792" s="604">
        <f>IF(ISBLANK('ENGAGEMENTS 2026'!V1792),"",'ENGAGEMENTS 2026'!V1792)</f>
        <v/>
      </c>
      <c r="L1792" s="276">
        <f>IF($K1792="","",TODAY()-$K1792)</f>
        <v/>
      </c>
      <c r="M1792">
        <f>IF($A1792="","",IF($H1792="ENGAGE","Engagé",IF(AND($H1792="NON ENGAGE",OR($I1792="INFRUCTUEUX",$I1792="ANNULE")),"Clôturé sans suite","En cours")))</f>
        <v/>
      </c>
      <c r="N1792">
        <f>IF(ISBLANK('ENGAGEMENTS 2026'!B1792),"",'ENGAGEMENTS 2026'!K1792)</f>
        <v/>
      </c>
      <c r="O1792">
        <f>IF(ISBLANK('ENGAGEMENTS 2026'!B1792),"",'ENGAGEMENTS 2026'!L1792)</f>
        <v/>
      </c>
      <c r="P1792">
        <f>IF(ISBLANK('ENGAGEMENTS 2026'!B1792),"",'ENGAGEMENTS 2026'!J1792)</f>
        <v/>
      </c>
      <c r="Q1792">
        <f>IF($A1792="","",IF(OR($E1792="INFRUCTUEUX",$E1792="ANNULE"),$A1792&amp;"|"&amp;(COUNTIFS($A$2:$A1792,$A1792,$E$2:$E1792,"INFRUCTUEUX")+COUNTIFS($A$2:$A1792,$A1792,$E$2:$E1792,"ANNULE")),""))</f>
        <v/>
      </c>
    </row>
    <row r="1793">
      <c r="A1793">
        <f>IF(ISBLANK('ENGAGEMENTS 2026'!B1793),"",IF('ENGAGEMENTS 2026'!B1793="DTSI","DCT",'ENGAGEMENTS 2026'!B1793))</f>
        <v/>
      </c>
      <c r="B1793">
        <f>IF(ISBLANK('ENGAGEMENTS 2026'!B1793),"",'ENGAGEMENTS 2026'!C1793)</f>
        <v/>
      </c>
      <c r="C1793">
        <f>IF(ISBLANK('ENGAGEMENTS 2026'!B1793),"",'ENGAGEMENTS 2026'!D1793)</f>
        <v/>
      </c>
      <c r="D1793">
        <f>IF(ISBLANK('ENGAGEMENTS 2026'!B1793),"",'ENGAGEMENTS 2026'!F1793)</f>
        <v/>
      </c>
      <c r="E1793">
        <f>IF(ISBLANK('ENGAGEMENTS 2026'!B1793),"",'ENGAGEMENTS 2026'!H1793)</f>
        <v/>
      </c>
      <c r="F1793">
        <f>IF(ISBLANK('ENGAGEMENTS 2026'!B1793),"",'ENGAGEMENTS 2026'!I1793)</f>
        <v/>
      </c>
      <c r="G1793">
        <f>IF(ISBLANK('ENGAGEMENTS 2026'!B1793),"",'ENGAGEMENTS 2026'!L1793)</f>
        <v/>
      </c>
      <c r="H1793">
        <f>IF(ISBLANK('ENGAGEMENTS 2026'!B1793),"",'ENGAGEMENTS 2026'!AE1793)</f>
        <v/>
      </c>
      <c r="I1793">
        <f>IF(ISBLANK('ENGAGEMENTS 2026'!B1793),"",'ENGAGEMENTS 2026'!G1793)</f>
        <v/>
      </c>
      <c r="J1793" s="275">
        <f>IF(ISBLANK('ENGAGEMENTS 2026'!B1793),"",IF(AND(OR($E1793="INFRUCTUEUX",$E1793="ANNULE"),$C1793="AOO-M"),'ENGAGEMENTS 2026'!O1793,IF($H1793="EN COURS DE PREENGAGEMENT",'ENGAGEMENTS 2026'!N1793,IF($H1793="PREENGAGE",IF($E1793="ATTRIBUE",'ENGAGEMENTS 2026'!AD1793,'ENGAGEMENTS 2026'!N1793),'ENGAGEMENTS 2026'!AD1793))))</f>
        <v/>
      </c>
      <c r="K1793" s="604">
        <f>IF(ISBLANK('ENGAGEMENTS 2026'!V1793),"",'ENGAGEMENTS 2026'!V1793)</f>
        <v/>
      </c>
      <c r="L1793" s="276">
        <f>IF($K1793="","",TODAY()-$K1793)</f>
        <v/>
      </c>
      <c r="M1793">
        <f>IF($A1793="","",IF($H1793="ENGAGE","Engagé",IF(AND($H1793="NON ENGAGE",OR($I1793="INFRUCTUEUX",$I1793="ANNULE")),"Clôturé sans suite","En cours")))</f>
        <v/>
      </c>
      <c r="N1793">
        <f>IF(ISBLANK('ENGAGEMENTS 2026'!B1793),"",'ENGAGEMENTS 2026'!K1793)</f>
        <v/>
      </c>
      <c r="O1793">
        <f>IF(ISBLANK('ENGAGEMENTS 2026'!B1793),"",'ENGAGEMENTS 2026'!L1793)</f>
        <v/>
      </c>
      <c r="P1793">
        <f>IF(ISBLANK('ENGAGEMENTS 2026'!B1793),"",'ENGAGEMENTS 2026'!J1793)</f>
        <v/>
      </c>
      <c r="Q1793">
        <f>IF($A1793="","",IF(OR($E1793="INFRUCTUEUX",$E1793="ANNULE"),$A1793&amp;"|"&amp;(COUNTIFS($A$2:$A1793,$A1793,$E$2:$E1793,"INFRUCTUEUX")+COUNTIFS($A$2:$A1793,$A1793,$E$2:$E1793,"ANNULE")),""))</f>
        <v/>
      </c>
    </row>
    <row r="1794">
      <c r="A1794">
        <f>IF(ISBLANK('ENGAGEMENTS 2026'!B1794),"",IF('ENGAGEMENTS 2026'!B1794="DTSI","DCT",'ENGAGEMENTS 2026'!B1794))</f>
        <v/>
      </c>
      <c r="B1794">
        <f>IF(ISBLANK('ENGAGEMENTS 2026'!B1794),"",'ENGAGEMENTS 2026'!C1794)</f>
        <v/>
      </c>
      <c r="C1794">
        <f>IF(ISBLANK('ENGAGEMENTS 2026'!B1794),"",'ENGAGEMENTS 2026'!D1794)</f>
        <v/>
      </c>
      <c r="D1794">
        <f>IF(ISBLANK('ENGAGEMENTS 2026'!B1794),"",'ENGAGEMENTS 2026'!F1794)</f>
        <v/>
      </c>
      <c r="E1794">
        <f>IF(ISBLANK('ENGAGEMENTS 2026'!B1794),"",'ENGAGEMENTS 2026'!H1794)</f>
        <v/>
      </c>
      <c r="F1794">
        <f>IF(ISBLANK('ENGAGEMENTS 2026'!B1794),"",'ENGAGEMENTS 2026'!I1794)</f>
        <v/>
      </c>
      <c r="G1794">
        <f>IF(ISBLANK('ENGAGEMENTS 2026'!B1794),"",'ENGAGEMENTS 2026'!L1794)</f>
        <v/>
      </c>
      <c r="H1794">
        <f>IF(ISBLANK('ENGAGEMENTS 2026'!B1794),"",'ENGAGEMENTS 2026'!AE1794)</f>
        <v/>
      </c>
      <c r="I1794">
        <f>IF(ISBLANK('ENGAGEMENTS 2026'!B1794),"",'ENGAGEMENTS 2026'!G1794)</f>
        <v/>
      </c>
      <c r="J1794" s="275">
        <f>IF(ISBLANK('ENGAGEMENTS 2026'!B1794),"",IF(AND(OR($E1794="INFRUCTUEUX",$E1794="ANNULE"),$C1794="AOO-M"),'ENGAGEMENTS 2026'!O1794,IF($H1794="EN COURS DE PREENGAGEMENT",'ENGAGEMENTS 2026'!N1794,IF($H1794="PREENGAGE",IF($E1794="ATTRIBUE",'ENGAGEMENTS 2026'!AD1794,'ENGAGEMENTS 2026'!N1794),'ENGAGEMENTS 2026'!AD1794))))</f>
        <v/>
      </c>
      <c r="K1794" s="604">
        <f>IF(ISBLANK('ENGAGEMENTS 2026'!V1794),"",'ENGAGEMENTS 2026'!V1794)</f>
        <v/>
      </c>
      <c r="L1794" s="276">
        <f>IF($K1794="","",TODAY()-$K1794)</f>
        <v/>
      </c>
      <c r="M1794">
        <f>IF($A1794="","",IF($H1794="ENGAGE","Engagé",IF(AND($H1794="NON ENGAGE",OR($I1794="INFRUCTUEUX",$I1794="ANNULE")),"Clôturé sans suite","En cours")))</f>
        <v/>
      </c>
      <c r="N1794">
        <f>IF(ISBLANK('ENGAGEMENTS 2026'!B1794),"",'ENGAGEMENTS 2026'!K1794)</f>
        <v/>
      </c>
      <c r="O1794">
        <f>IF(ISBLANK('ENGAGEMENTS 2026'!B1794),"",'ENGAGEMENTS 2026'!L1794)</f>
        <v/>
      </c>
      <c r="P1794">
        <f>IF(ISBLANK('ENGAGEMENTS 2026'!B1794),"",'ENGAGEMENTS 2026'!J1794)</f>
        <v/>
      </c>
      <c r="Q1794">
        <f>IF($A1794="","",IF(OR($E1794="INFRUCTUEUX",$E1794="ANNULE"),$A1794&amp;"|"&amp;(COUNTIFS($A$2:$A1794,$A1794,$E$2:$E1794,"INFRUCTUEUX")+COUNTIFS($A$2:$A1794,$A1794,$E$2:$E1794,"ANNULE")),""))</f>
        <v/>
      </c>
    </row>
    <row r="1795">
      <c r="A1795">
        <f>IF(ISBLANK('ENGAGEMENTS 2026'!B1795),"",IF('ENGAGEMENTS 2026'!B1795="DTSI","DCT",'ENGAGEMENTS 2026'!B1795))</f>
        <v/>
      </c>
      <c r="B1795">
        <f>IF(ISBLANK('ENGAGEMENTS 2026'!B1795),"",'ENGAGEMENTS 2026'!C1795)</f>
        <v/>
      </c>
      <c r="C1795">
        <f>IF(ISBLANK('ENGAGEMENTS 2026'!B1795),"",'ENGAGEMENTS 2026'!D1795)</f>
        <v/>
      </c>
      <c r="D1795">
        <f>IF(ISBLANK('ENGAGEMENTS 2026'!B1795),"",'ENGAGEMENTS 2026'!F1795)</f>
        <v/>
      </c>
      <c r="E1795">
        <f>IF(ISBLANK('ENGAGEMENTS 2026'!B1795),"",'ENGAGEMENTS 2026'!H1795)</f>
        <v/>
      </c>
      <c r="F1795">
        <f>IF(ISBLANK('ENGAGEMENTS 2026'!B1795),"",'ENGAGEMENTS 2026'!I1795)</f>
        <v/>
      </c>
      <c r="G1795">
        <f>IF(ISBLANK('ENGAGEMENTS 2026'!B1795),"",'ENGAGEMENTS 2026'!L1795)</f>
        <v/>
      </c>
      <c r="H1795">
        <f>IF(ISBLANK('ENGAGEMENTS 2026'!B1795),"",'ENGAGEMENTS 2026'!AE1795)</f>
        <v/>
      </c>
      <c r="I1795">
        <f>IF(ISBLANK('ENGAGEMENTS 2026'!B1795),"",'ENGAGEMENTS 2026'!G1795)</f>
        <v/>
      </c>
      <c r="J1795" s="275">
        <f>IF(ISBLANK('ENGAGEMENTS 2026'!B1795),"",IF(AND(OR($E1795="INFRUCTUEUX",$E1795="ANNULE"),$C1795="AOO-M"),'ENGAGEMENTS 2026'!O1795,IF($H1795="EN COURS DE PREENGAGEMENT",'ENGAGEMENTS 2026'!N1795,IF($H1795="PREENGAGE",IF($E1795="ATTRIBUE",'ENGAGEMENTS 2026'!AD1795,'ENGAGEMENTS 2026'!N1795),'ENGAGEMENTS 2026'!AD1795))))</f>
        <v/>
      </c>
      <c r="K1795" s="604">
        <f>IF(ISBLANK('ENGAGEMENTS 2026'!V1795),"",'ENGAGEMENTS 2026'!V1795)</f>
        <v/>
      </c>
      <c r="L1795" s="276">
        <f>IF($K1795="","",TODAY()-$K1795)</f>
        <v/>
      </c>
      <c r="M1795">
        <f>IF($A1795="","",IF($H1795="ENGAGE","Engagé",IF(AND($H1795="NON ENGAGE",OR($I1795="INFRUCTUEUX",$I1795="ANNULE")),"Clôturé sans suite","En cours")))</f>
        <v/>
      </c>
      <c r="N1795">
        <f>IF(ISBLANK('ENGAGEMENTS 2026'!B1795),"",'ENGAGEMENTS 2026'!K1795)</f>
        <v/>
      </c>
      <c r="O1795">
        <f>IF(ISBLANK('ENGAGEMENTS 2026'!B1795),"",'ENGAGEMENTS 2026'!L1795)</f>
        <v/>
      </c>
      <c r="P1795">
        <f>IF(ISBLANK('ENGAGEMENTS 2026'!B1795),"",'ENGAGEMENTS 2026'!J1795)</f>
        <v/>
      </c>
      <c r="Q1795">
        <f>IF($A1795="","",IF(OR($E1795="INFRUCTUEUX",$E1795="ANNULE"),$A1795&amp;"|"&amp;(COUNTIFS($A$2:$A1795,$A1795,$E$2:$E1795,"INFRUCTUEUX")+COUNTIFS($A$2:$A1795,$A1795,$E$2:$E1795,"ANNULE")),""))</f>
        <v/>
      </c>
    </row>
    <row r="1796">
      <c r="A1796">
        <f>IF(ISBLANK('ENGAGEMENTS 2026'!B1796),"",IF('ENGAGEMENTS 2026'!B1796="DTSI","DCT",'ENGAGEMENTS 2026'!B1796))</f>
        <v/>
      </c>
      <c r="B1796">
        <f>IF(ISBLANK('ENGAGEMENTS 2026'!B1796),"",'ENGAGEMENTS 2026'!C1796)</f>
        <v/>
      </c>
      <c r="C1796">
        <f>IF(ISBLANK('ENGAGEMENTS 2026'!B1796),"",'ENGAGEMENTS 2026'!D1796)</f>
        <v/>
      </c>
      <c r="D1796">
        <f>IF(ISBLANK('ENGAGEMENTS 2026'!B1796),"",'ENGAGEMENTS 2026'!F1796)</f>
        <v/>
      </c>
      <c r="E1796">
        <f>IF(ISBLANK('ENGAGEMENTS 2026'!B1796),"",'ENGAGEMENTS 2026'!H1796)</f>
        <v/>
      </c>
      <c r="F1796">
        <f>IF(ISBLANK('ENGAGEMENTS 2026'!B1796),"",'ENGAGEMENTS 2026'!I1796)</f>
        <v/>
      </c>
      <c r="G1796">
        <f>IF(ISBLANK('ENGAGEMENTS 2026'!B1796),"",'ENGAGEMENTS 2026'!L1796)</f>
        <v/>
      </c>
      <c r="H1796">
        <f>IF(ISBLANK('ENGAGEMENTS 2026'!B1796),"",'ENGAGEMENTS 2026'!AE1796)</f>
        <v/>
      </c>
      <c r="I1796">
        <f>IF(ISBLANK('ENGAGEMENTS 2026'!B1796),"",'ENGAGEMENTS 2026'!G1796)</f>
        <v/>
      </c>
      <c r="J1796" s="275">
        <f>IF(ISBLANK('ENGAGEMENTS 2026'!B1796),"",IF(AND(OR($E1796="INFRUCTUEUX",$E1796="ANNULE"),$C1796="AOO-M"),'ENGAGEMENTS 2026'!O1796,IF($H1796="EN COURS DE PREENGAGEMENT",'ENGAGEMENTS 2026'!N1796,IF($H1796="PREENGAGE",IF($E1796="ATTRIBUE",'ENGAGEMENTS 2026'!AD1796,'ENGAGEMENTS 2026'!N1796),'ENGAGEMENTS 2026'!AD1796))))</f>
        <v/>
      </c>
      <c r="K1796" s="604">
        <f>IF(ISBLANK('ENGAGEMENTS 2026'!V1796),"",'ENGAGEMENTS 2026'!V1796)</f>
        <v/>
      </c>
      <c r="L1796" s="276">
        <f>IF($K1796="","",TODAY()-$K1796)</f>
        <v/>
      </c>
      <c r="M1796">
        <f>IF($A1796="","",IF($H1796="ENGAGE","Engagé",IF(AND($H1796="NON ENGAGE",OR($I1796="INFRUCTUEUX",$I1796="ANNULE")),"Clôturé sans suite","En cours")))</f>
        <v/>
      </c>
      <c r="N1796">
        <f>IF(ISBLANK('ENGAGEMENTS 2026'!B1796),"",'ENGAGEMENTS 2026'!K1796)</f>
        <v/>
      </c>
      <c r="O1796">
        <f>IF(ISBLANK('ENGAGEMENTS 2026'!B1796),"",'ENGAGEMENTS 2026'!L1796)</f>
        <v/>
      </c>
      <c r="P1796">
        <f>IF(ISBLANK('ENGAGEMENTS 2026'!B1796),"",'ENGAGEMENTS 2026'!J1796)</f>
        <v/>
      </c>
      <c r="Q1796">
        <f>IF($A1796="","",IF(OR($E1796="INFRUCTUEUX",$E1796="ANNULE"),$A1796&amp;"|"&amp;(COUNTIFS($A$2:$A1796,$A1796,$E$2:$E1796,"INFRUCTUEUX")+COUNTIFS($A$2:$A1796,$A1796,$E$2:$E1796,"ANNULE")),""))</f>
        <v/>
      </c>
    </row>
    <row r="1797">
      <c r="A1797">
        <f>IF(ISBLANK('ENGAGEMENTS 2026'!B1797),"",IF('ENGAGEMENTS 2026'!B1797="DTSI","DCT",'ENGAGEMENTS 2026'!B1797))</f>
        <v/>
      </c>
      <c r="B1797">
        <f>IF(ISBLANK('ENGAGEMENTS 2026'!B1797),"",'ENGAGEMENTS 2026'!C1797)</f>
        <v/>
      </c>
      <c r="C1797">
        <f>IF(ISBLANK('ENGAGEMENTS 2026'!B1797),"",'ENGAGEMENTS 2026'!D1797)</f>
        <v/>
      </c>
      <c r="D1797">
        <f>IF(ISBLANK('ENGAGEMENTS 2026'!B1797),"",'ENGAGEMENTS 2026'!F1797)</f>
        <v/>
      </c>
      <c r="E1797">
        <f>IF(ISBLANK('ENGAGEMENTS 2026'!B1797),"",'ENGAGEMENTS 2026'!H1797)</f>
        <v/>
      </c>
      <c r="F1797">
        <f>IF(ISBLANK('ENGAGEMENTS 2026'!B1797),"",'ENGAGEMENTS 2026'!I1797)</f>
        <v/>
      </c>
      <c r="G1797">
        <f>IF(ISBLANK('ENGAGEMENTS 2026'!B1797),"",'ENGAGEMENTS 2026'!L1797)</f>
        <v/>
      </c>
      <c r="H1797">
        <f>IF(ISBLANK('ENGAGEMENTS 2026'!B1797),"",'ENGAGEMENTS 2026'!AE1797)</f>
        <v/>
      </c>
      <c r="I1797">
        <f>IF(ISBLANK('ENGAGEMENTS 2026'!B1797),"",'ENGAGEMENTS 2026'!G1797)</f>
        <v/>
      </c>
      <c r="J1797" s="275">
        <f>IF(ISBLANK('ENGAGEMENTS 2026'!B1797),"",IF(AND(OR($E1797="INFRUCTUEUX",$E1797="ANNULE"),$C1797="AOO-M"),'ENGAGEMENTS 2026'!O1797,IF($H1797="EN COURS DE PREENGAGEMENT",'ENGAGEMENTS 2026'!N1797,IF($H1797="PREENGAGE",IF($E1797="ATTRIBUE",'ENGAGEMENTS 2026'!AD1797,'ENGAGEMENTS 2026'!N1797),'ENGAGEMENTS 2026'!AD1797))))</f>
        <v/>
      </c>
      <c r="K1797" s="604">
        <f>IF(ISBLANK('ENGAGEMENTS 2026'!V1797),"",'ENGAGEMENTS 2026'!V1797)</f>
        <v/>
      </c>
      <c r="L1797" s="276">
        <f>IF($K1797="","",TODAY()-$K1797)</f>
        <v/>
      </c>
      <c r="M1797">
        <f>IF($A1797="","",IF($H1797="ENGAGE","Engagé",IF(AND($H1797="NON ENGAGE",OR($I1797="INFRUCTUEUX",$I1797="ANNULE")),"Clôturé sans suite","En cours")))</f>
        <v/>
      </c>
      <c r="N1797">
        <f>IF(ISBLANK('ENGAGEMENTS 2026'!B1797),"",'ENGAGEMENTS 2026'!K1797)</f>
        <v/>
      </c>
      <c r="O1797">
        <f>IF(ISBLANK('ENGAGEMENTS 2026'!B1797),"",'ENGAGEMENTS 2026'!L1797)</f>
        <v/>
      </c>
      <c r="P1797">
        <f>IF(ISBLANK('ENGAGEMENTS 2026'!B1797),"",'ENGAGEMENTS 2026'!J1797)</f>
        <v/>
      </c>
      <c r="Q1797">
        <f>IF($A1797="","",IF(OR($E1797="INFRUCTUEUX",$E1797="ANNULE"),$A1797&amp;"|"&amp;(COUNTIFS($A$2:$A1797,$A1797,$E$2:$E1797,"INFRUCTUEUX")+COUNTIFS($A$2:$A1797,$A1797,$E$2:$E1797,"ANNULE")),""))</f>
        <v/>
      </c>
    </row>
    <row r="1798">
      <c r="A1798">
        <f>IF(ISBLANK('ENGAGEMENTS 2026'!B1798),"",IF('ENGAGEMENTS 2026'!B1798="DTSI","DCT",'ENGAGEMENTS 2026'!B1798))</f>
        <v/>
      </c>
      <c r="B1798">
        <f>IF(ISBLANK('ENGAGEMENTS 2026'!B1798),"",'ENGAGEMENTS 2026'!C1798)</f>
        <v/>
      </c>
      <c r="C1798">
        <f>IF(ISBLANK('ENGAGEMENTS 2026'!B1798),"",'ENGAGEMENTS 2026'!D1798)</f>
        <v/>
      </c>
      <c r="D1798">
        <f>IF(ISBLANK('ENGAGEMENTS 2026'!B1798),"",'ENGAGEMENTS 2026'!F1798)</f>
        <v/>
      </c>
      <c r="E1798">
        <f>IF(ISBLANK('ENGAGEMENTS 2026'!B1798),"",'ENGAGEMENTS 2026'!H1798)</f>
        <v/>
      </c>
      <c r="F1798">
        <f>IF(ISBLANK('ENGAGEMENTS 2026'!B1798),"",'ENGAGEMENTS 2026'!I1798)</f>
        <v/>
      </c>
      <c r="G1798">
        <f>IF(ISBLANK('ENGAGEMENTS 2026'!B1798),"",'ENGAGEMENTS 2026'!L1798)</f>
        <v/>
      </c>
      <c r="H1798">
        <f>IF(ISBLANK('ENGAGEMENTS 2026'!B1798),"",'ENGAGEMENTS 2026'!AE1798)</f>
        <v/>
      </c>
      <c r="I1798">
        <f>IF(ISBLANK('ENGAGEMENTS 2026'!B1798),"",'ENGAGEMENTS 2026'!G1798)</f>
        <v/>
      </c>
      <c r="J1798" s="275">
        <f>IF(ISBLANK('ENGAGEMENTS 2026'!B1798),"",IF(AND(OR($E1798="INFRUCTUEUX",$E1798="ANNULE"),$C1798="AOO-M"),'ENGAGEMENTS 2026'!O1798,IF($H1798="EN COURS DE PREENGAGEMENT",'ENGAGEMENTS 2026'!N1798,IF($H1798="PREENGAGE",IF($E1798="ATTRIBUE",'ENGAGEMENTS 2026'!AD1798,'ENGAGEMENTS 2026'!N1798),'ENGAGEMENTS 2026'!AD1798))))</f>
        <v/>
      </c>
      <c r="K1798" s="604">
        <f>IF(ISBLANK('ENGAGEMENTS 2026'!V1798),"",'ENGAGEMENTS 2026'!V1798)</f>
        <v/>
      </c>
      <c r="L1798" s="276">
        <f>IF($K1798="","",TODAY()-$K1798)</f>
        <v/>
      </c>
      <c r="M1798">
        <f>IF($A1798="","",IF($H1798="ENGAGE","Engagé",IF(AND($H1798="NON ENGAGE",OR($I1798="INFRUCTUEUX",$I1798="ANNULE")),"Clôturé sans suite","En cours")))</f>
        <v/>
      </c>
      <c r="N1798">
        <f>IF(ISBLANK('ENGAGEMENTS 2026'!B1798),"",'ENGAGEMENTS 2026'!K1798)</f>
        <v/>
      </c>
      <c r="O1798">
        <f>IF(ISBLANK('ENGAGEMENTS 2026'!B1798),"",'ENGAGEMENTS 2026'!L1798)</f>
        <v/>
      </c>
      <c r="P1798">
        <f>IF(ISBLANK('ENGAGEMENTS 2026'!B1798),"",'ENGAGEMENTS 2026'!J1798)</f>
        <v/>
      </c>
      <c r="Q1798">
        <f>IF($A1798="","",IF(OR($E1798="INFRUCTUEUX",$E1798="ANNULE"),$A1798&amp;"|"&amp;(COUNTIFS($A$2:$A1798,$A1798,$E$2:$E1798,"INFRUCTUEUX")+COUNTIFS($A$2:$A1798,$A1798,$E$2:$E1798,"ANNULE")),""))</f>
        <v/>
      </c>
    </row>
    <row r="1799">
      <c r="A1799">
        <f>IF(ISBLANK('ENGAGEMENTS 2026'!B1799),"",IF('ENGAGEMENTS 2026'!B1799="DTSI","DCT",'ENGAGEMENTS 2026'!B1799))</f>
        <v/>
      </c>
      <c r="B1799">
        <f>IF(ISBLANK('ENGAGEMENTS 2026'!B1799),"",'ENGAGEMENTS 2026'!C1799)</f>
        <v/>
      </c>
      <c r="C1799">
        <f>IF(ISBLANK('ENGAGEMENTS 2026'!B1799),"",'ENGAGEMENTS 2026'!D1799)</f>
        <v/>
      </c>
      <c r="D1799">
        <f>IF(ISBLANK('ENGAGEMENTS 2026'!B1799),"",'ENGAGEMENTS 2026'!F1799)</f>
        <v/>
      </c>
      <c r="E1799">
        <f>IF(ISBLANK('ENGAGEMENTS 2026'!B1799),"",'ENGAGEMENTS 2026'!H1799)</f>
        <v/>
      </c>
      <c r="F1799">
        <f>IF(ISBLANK('ENGAGEMENTS 2026'!B1799),"",'ENGAGEMENTS 2026'!I1799)</f>
        <v/>
      </c>
      <c r="G1799">
        <f>IF(ISBLANK('ENGAGEMENTS 2026'!B1799),"",'ENGAGEMENTS 2026'!L1799)</f>
        <v/>
      </c>
      <c r="H1799">
        <f>IF(ISBLANK('ENGAGEMENTS 2026'!B1799),"",'ENGAGEMENTS 2026'!AE1799)</f>
        <v/>
      </c>
      <c r="I1799">
        <f>IF(ISBLANK('ENGAGEMENTS 2026'!B1799),"",'ENGAGEMENTS 2026'!G1799)</f>
        <v/>
      </c>
      <c r="J1799" s="275">
        <f>IF(ISBLANK('ENGAGEMENTS 2026'!B1799),"",IF(AND(OR($E1799="INFRUCTUEUX",$E1799="ANNULE"),$C1799="AOO-M"),'ENGAGEMENTS 2026'!O1799,IF($H1799="EN COURS DE PREENGAGEMENT",'ENGAGEMENTS 2026'!N1799,IF($H1799="PREENGAGE",IF($E1799="ATTRIBUE",'ENGAGEMENTS 2026'!AD1799,'ENGAGEMENTS 2026'!N1799),'ENGAGEMENTS 2026'!AD1799))))</f>
        <v/>
      </c>
      <c r="K1799" s="604">
        <f>IF(ISBLANK('ENGAGEMENTS 2026'!V1799),"",'ENGAGEMENTS 2026'!V1799)</f>
        <v/>
      </c>
      <c r="L1799" s="276">
        <f>IF($K1799="","",TODAY()-$K1799)</f>
        <v/>
      </c>
      <c r="M1799">
        <f>IF($A1799="","",IF($H1799="ENGAGE","Engagé",IF(AND($H1799="NON ENGAGE",OR($I1799="INFRUCTUEUX",$I1799="ANNULE")),"Clôturé sans suite","En cours")))</f>
        <v/>
      </c>
      <c r="N1799">
        <f>IF(ISBLANK('ENGAGEMENTS 2026'!B1799),"",'ENGAGEMENTS 2026'!K1799)</f>
        <v/>
      </c>
      <c r="O1799">
        <f>IF(ISBLANK('ENGAGEMENTS 2026'!B1799),"",'ENGAGEMENTS 2026'!L1799)</f>
        <v/>
      </c>
      <c r="P1799">
        <f>IF(ISBLANK('ENGAGEMENTS 2026'!B1799),"",'ENGAGEMENTS 2026'!J1799)</f>
        <v/>
      </c>
      <c r="Q1799">
        <f>IF($A1799="","",IF(OR($E1799="INFRUCTUEUX",$E1799="ANNULE"),$A1799&amp;"|"&amp;(COUNTIFS($A$2:$A1799,$A1799,$E$2:$E1799,"INFRUCTUEUX")+COUNTIFS($A$2:$A1799,$A1799,$E$2:$E1799,"ANNULE")),""))</f>
        <v/>
      </c>
    </row>
    <row r="1800">
      <c r="A1800">
        <f>IF(ISBLANK('ENGAGEMENTS 2026'!B1800),"",IF('ENGAGEMENTS 2026'!B1800="DTSI","DCT",'ENGAGEMENTS 2026'!B1800))</f>
        <v/>
      </c>
      <c r="B1800">
        <f>IF(ISBLANK('ENGAGEMENTS 2026'!B1800),"",'ENGAGEMENTS 2026'!C1800)</f>
        <v/>
      </c>
      <c r="C1800">
        <f>IF(ISBLANK('ENGAGEMENTS 2026'!B1800),"",'ENGAGEMENTS 2026'!D1800)</f>
        <v/>
      </c>
      <c r="D1800">
        <f>IF(ISBLANK('ENGAGEMENTS 2026'!B1800),"",'ENGAGEMENTS 2026'!F1800)</f>
        <v/>
      </c>
      <c r="E1800">
        <f>IF(ISBLANK('ENGAGEMENTS 2026'!B1800),"",'ENGAGEMENTS 2026'!H1800)</f>
        <v/>
      </c>
      <c r="F1800">
        <f>IF(ISBLANK('ENGAGEMENTS 2026'!B1800),"",'ENGAGEMENTS 2026'!I1800)</f>
        <v/>
      </c>
      <c r="G1800">
        <f>IF(ISBLANK('ENGAGEMENTS 2026'!B1800),"",'ENGAGEMENTS 2026'!L1800)</f>
        <v/>
      </c>
      <c r="H1800">
        <f>IF(ISBLANK('ENGAGEMENTS 2026'!B1800),"",'ENGAGEMENTS 2026'!AE1800)</f>
        <v/>
      </c>
      <c r="I1800">
        <f>IF(ISBLANK('ENGAGEMENTS 2026'!B1800),"",'ENGAGEMENTS 2026'!G1800)</f>
        <v/>
      </c>
      <c r="J1800" s="275">
        <f>IF(ISBLANK('ENGAGEMENTS 2026'!B1800),"",IF(AND(OR($E1800="INFRUCTUEUX",$E1800="ANNULE"),$C1800="AOO-M"),'ENGAGEMENTS 2026'!O1800,IF($H1800="EN COURS DE PREENGAGEMENT",'ENGAGEMENTS 2026'!N1800,IF($H1800="PREENGAGE",IF($E1800="ATTRIBUE",'ENGAGEMENTS 2026'!AD1800,'ENGAGEMENTS 2026'!N1800),'ENGAGEMENTS 2026'!AD1800))))</f>
        <v/>
      </c>
      <c r="K1800" s="604">
        <f>IF(ISBLANK('ENGAGEMENTS 2026'!V1800),"",'ENGAGEMENTS 2026'!V1800)</f>
        <v/>
      </c>
      <c r="L1800" s="276">
        <f>IF($K1800="","",TODAY()-$K1800)</f>
        <v/>
      </c>
      <c r="M1800">
        <f>IF($A1800="","",IF($H1800="ENGAGE","Engagé",IF(AND($H1800="NON ENGAGE",OR($I1800="INFRUCTUEUX",$I1800="ANNULE")),"Clôturé sans suite","En cours")))</f>
        <v/>
      </c>
      <c r="N1800">
        <f>IF(ISBLANK('ENGAGEMENTS 2026'!B1800),"",'ENGAGEMENTS 2026'!K1800)</f>
        <v/>
      </c>
      <c r="O1800">
        <f>IF(ISBLANK('ENGAGEMENTS 2026'!B1800),"",'ENGAGEMENTS 2026'!L1800)</f>
        <v/>
      </c>
      <c r="P1800">
        <f>IF(ISBLANK('ENGAGEMENTS 2026'!B1800),"",'ENGAGEMENTS 2026'!J1800)</f>
        <v/>
      </c>
      <c r="Q1800">
        <f>IF($A1800="","",IF(OR($E1800="INFRUCTUEUX",$E1800="ANNULE"),$A1800&amp;"|"&amp;(COUNTIFS($A$2:$A1800,$A1800,$E$2:$E1800,"INFRUCTUEUX")+COUNTIFS($A$2:$A1800,$A1800,$E$2:$E1800,"ANNULE")),""))</f>
        <v/>
      </c>
    </row>
    <row r="1801">
      <c r="A1801">
        <f>IF(ISBLANK('ENGAGEMENTS 2026'!B1801),"",IF('ENGAGEMENTS 2026'!B1801="DTSI","DCT",'ENGAGEMENTS 2026'!B1801))</f>
        <v/>
      </c>
      <c r="B1801">
        <f>IF(ISBLANK('ENGAGEMENTS 2026'!B1801),"",'ENGAGEMENTS 2026'!C1801)</f>
        <v/>
      </c>
      <c r="C1801">
        <f>IF(ISBLANK('ENGAGEMENTS 2026'!B1801),"",'ENGAGEMENTS 2026'!D1801)</f>
        <v/>
      </c>
      <c r="D1801">
        <f>IF(ISBLANK('ENGAGEMENTS 2026'!B1801),"",'ENGAGEMENTS 2026'!F1801)</f>
        <v/>
      </c>
      <c r="E1801">
        <f>IF(ISBLANK('ENGAGEMENTS 2026'!B1801),"",'ENGAGEMENTS 2026'!H1801)</f>
        <v/>
      </c>
      <c r="F1801">
        <f>IF(ISBLANK('ENGAGEMENTS 2026'!B1801),"",'ENGAGEMENTS 2026'!I1801)</f>
        <v/>
      </c>
      <c r="G1801">
        <f>IF(ISBLANK('ENGAGEMENTS 2026'!B1801),"",'ENGAGEMENTS 2026'!L1801)</f>
        <v/>
      </c>
      <c r="H1801">
        <f>IF(ISBLANK('ENGAGEMENTS 2026'!B1801),"",'ENGAGEMENTS 2026'!AE1801)</f>
        <v/>
      </c>
      <c r="I1801">
        <f>IF(ISBLANK('ENGAGEMENTS 2026'!B1801),"",'ENGAGEMENTS 2026'!G1801)</f>
        <v/>
      </c>
      <c r="J1801" s="275">
        <f>IF(ISBLANK('ENGAGEMENTS 2026'!B1801),"",IF(AND(OR($E1801="INFRUCTUEUX",$E1801="ANNULE"),$C1801="AOO-M"),'ENGAGEMENTS 2026'!O1801,IF($H1801="EN COURS DE PREENGAGEMENT",'ENGAGEMENTS 2026'!N1801,IF($H1801="PREENGAGE",IF($E1801="ATTRIBUE",'ENGAGEMENTS 2026'!AD1801,'ENGAGEMENTS 2026'!N1801),'ENGAGEMENTS 2026'!AD1801))))</f>
        <v/>
      </c>
      <c r="K1801" s="604">
        <f>IF(ISBLANK('ENGAGEMENTS 2026'!V1801),"",'ENGAGEMENTS 2026'!V1801)</f>
        <v/>
      </c>
      <c r="L1801" s="276">
        <f>IF($K1801="","",TODAY()-$K1801)</f>
        <v/>
      </c>
      <c r="M1801">
        <f>IF($A1801="","",IF($H1801="ENGAGE","Engagé",IF(AND($H1801="NON ENGAGE",OR($I1801="INFRUCTUEUX",$I1801="ANNULE")),"Clôturé sans suite","En cours")))</f>
        <v/>
      </c>
      <c r="N1801">
        <f>IF(ISBLANK('ENGAGEMENTS 2026'!B1801),"",'ENGAGEMENTS 2026'!K1801)</f>
        <v/>
      </c>
      <c r="O1801">
        <f>IF(ISBLANK('ENGAGEMENTS 2026'!B1801),"",'ENGAGEMENTS 2026'!L1801)</f>
        <v/>
      </c>
      <c r="P1801">
        <f>IF(ISBLANK('ENGAGEMENTS 2026'!B1801),"",'ENGAGEMENTS 2026'!J1801)</f>
        <v/>
      </c>
      <c r="Q1801">
        <f>IF($A1801="","",IF(OR($E1801="INFRUCTUEUX",$E1801="ANNULE"),$A1801&amp;"|"&amp;(COUNTIFS($A$2:$A1801,$A1801,$E$2:$E1801,"INFRUCTUEUX")+COUNTIFS($A$2:$A1801,$A1801,$E$2:$E1801,"ANNULE")),""))</f>
        <v/>
      </c>
    </row>
    <row r="1802">
      <c r="A1802">
        <f>IF(ISBLANK('ENGAGEMENTS 2026'!B1802),"",IF('ENGAGEMENTS 2026'!B1802="DTSI","DCT",'ENGAGEMENTS 2026'!B1802))</f>
        <v/>
      </c>
      <c r="B1802">
        <f>IF(ISBLANK('ENGAGEMENTS 2026'!B1802),"",'ENGAGEMENTS 2026'!C1802)</f>
        <v/>
      </c>
      <c r="C1802">
        <f>IF(ISBLANK('ENGAGEMENTS 2026'!B1802),"",'ENGAGEMENTS 2026'!D1802)</f>
        <v/>
      </c>
      <c r="D1802">
        <f>IF(ISBLANK('ENGAGEMENTS 2026'!B1802),"",'ENGAGEMENTS 2026'!F1802)</f>
        <v/>
      </c>
      <c r="E1802">
        <f>IF(ISBLANK('ENGAGEMENTS 2026'!B1802),"",'ENGAGEMENTS 2026'!H1802)</f>
        <v/>
      </c>
      <c r="F1802">
        <f>IF(ISBLANK('ENGAGEMENTS 2026'!B1802),"",'ENGAGEMENTS 2026'!I1802)</f>
        <v/>
      </c>
      <c r="G1802">
        <f>IF(ISBLANK('ENGAGEMENTS 2026'!B1802),"",'ENGAGEMENTS 2026'!L1802)</f>
        <v/>
      </c>
      <c r="H1802">
        <f>IF(ISBLANK('ENGAGEMENTS 2026'!B1802),"",'ENGAGEMENTS 2026'!AE1802)</f>
        <v/>
      </c>
      <c r="I1802">
        <f>IF(ISBLANK('ENGAGEMENTS 2026'!B1802),"",'ENGAGEMENTS 2026'!G1802)</f>
        <v/>
      </c>
      <c r="J1802" s="275">
        <f>IF(ISBLANK('ENGAGEMENTS 2026'!B1802),"",IF(AND(OR($E1802="INFRUCTUEUX",$E1802="ANNULE"),$C1802="AOO-M"),'ENGAGEMENTS 2026'!O1802,IF($H1802="EN COURS DE PREENGAGEMENT",'ENGAGEMENTS 2026'!N1802,IF($H1802="PREENGAGE",IF($E1802="ATTRIBUE",'ENGAGEMENTS 2026'!AD1802,'ENGAGEMENTS 2026'!N1802),'ENGAGEMENTS 2026'!AD1802))))</f>
        <v/>
      </c>
      <c r="K1802" s="604">
        <f>IF(ISBLANK('ENGAGEMENTS 2026'!V1802),"",'ENGAGEMENTS 2026'!V1802)</f>
        <v/>
      </c>
      <c r="L1802" s="276">
        <f>IF($K1802="","",TODAY()-$K1802)</f>
        <v/>
      </c>
      <c r="M1802">
        <f>IF($A1802="","",IF($H1802="ENGAGE","Engagé",IF(AND($H1802="NON ENGAGE",OR($I1802="INFRUCTUEUX",$I1802="ANNULE")),"Clôturé sans suite","En cours")))</f>
        <v/>
      </c>
      <c r="N1802">
        <f>IF(ISBLANK('ENGAGEMENTS 2026'!B1802),"",'ENGAGEMENTS 2026'!K1802)</f>
        <v/>
      </c>
      <c r="O1802">
        <f>IF(ISBLANK('ENGAGEMENTS 2026'!B1802),"",'ENGAGEMENTS 2026'!L1802)</f>
        <v/>
      </c>
      <c r="P1802">
        <f>IF(ISBLANK('ENGAGEMENTS 2026'!B1802),"",'ENGAGEMENTS 2026'!J1802)</f>
        <v/>
      </c>
      <c r="Q1802">
        <f>IF($A1802="","",IF(OR($E1802="INFRUCTUEUX",$E1802="ANNULE"),$A1802&amp;"|"&amp;(COUNTIFS($A$2:$A1802,$A1802,$E$2:$E1802,"INFRUCTUEUX")+COUNTIFS($A$2:$A1802,$A1802,$E$2:$E1802,"ANNULE")),""))</f>
        <v/>
      </c>
    </row>
    <row r="1803">
      <c r="A1803">
        <f>IF(ISBLANK('ENGAGEMENTS 2026'!B1803),"",IF('ENGAGEMENTS 2026'!B1803="DTSI","DCT",'ENGAGEMENTS 2026'!B1803))</f>
        <v/>
      </c>
      <c r="B1803">
        <f>IF(ISBLANK('ENGAGEMENTS 2026'!B1803),"",'ENGAGEMENTS 2026'!C1803)</f>
        <v/>
      </c>
      <c r="C1803">
        <f>IF(ISBLANK('ENGAGEMENTS 2026'!B1803),"",'ENGAGEMENTS 2026'!D1803)</f>
        <v/>
      </c>
      <c r="D1803">
        <f>IF(ISBLANK('ENGAGEMENTS 2026'!B1803),"",'ENGAGEMENTS 2026'!F1803)</f>
        <v/>
      </c>
      <c r="E1803">
        <f>IF(ISBLANK('ENGAGEMENTS 2026'!B1803),"",'ENGAGEMENTS 2026'!H1803)</f>
        <v/>
      </c>
      <c r="F1803">
        <f>IF(ISBLANK('ENGAGEMENTS 2026'!B1803),"",'ENGAGEMENTS 2026'!I1803)</f>
        <v/>
      </c>
      <c r="G1803">
        <f>IF(ISBLANK('ENGAGEMENTS 2026'!B1803),"",'ENGAGEMENTS 2026'!L1803)</f>
        <v/>
      </c>
      <c r="H1803">
        <f>IF(ISBLANK('ENGAGEMENTS 2026'!B1803),"",'ENGAGEMENTS 2026'!AE1803)</f>
        <v/>
      </c>
      <c r="I1803">
        <f>IF(ISBLANK('ENGAGEMENTS 2026'!B1803),"",'ENGAGEMENTS 2026'!G1803)</f>
        <v/>
      </c>
      <c r="J1803" s="275">
        <f>IF(ISBLANK('ENGAGEMENTS 2026'!B1803),"",IF(AND(OR($E1803="INFRUCTUEUX",$E1803="ANNULE"),$C1803="AOO-M"),'ENGAGEMENTS 2026'!O1803,IF($H1803="EN COURS DE PREENGAGEMENT",'ENGAGEMENTS 2026'!N1803,IF($H1803="PREENGAGE",IF($E1803="ATTRIBUE",'ENGAGEMENTS 2026'!AD1803,'ENGAGEMENTS 2026'!N1803),'ENGAGEMENTS 2026'!AD1803))))</f>
        <v/>
      </c>
      <c r="K1803" s="604">
        <f>IF(ISBLANK('ENGAGEMENTS 2026'!V1803),"",'ENGAGEMENTS 2026'!V1803)</f>
        <v/>
      </c>
      <c r="L1803" s="276">
        <f>IF($K1803="","",TODAY()-$K1803)</f>
        <v/>
      </c>
      <c r="M1803">
        <f>IF($A1803="","",IF($H1803="ENGAGE","Engagé",IF(AND($H1803="NON ENGAGE",OR($I1803="INFRUCTUEUX",$I1803="ANNULE")),"Clôturé sans suite","En cours")))</f>
        <v/>
      </c>
      <c r="N1803">
        <f>IF(ISBLANK('ENGAGEMENTS 2026'!B1803),"",'ENGAGEMENTS 2026'!K1803)</f>
        <v/>
      </c>
      <c r="O1803">
        <f>IF(ISBLANK('ENGAGEMENTS 2026'!B1803),"",'ENGAGEMENTS 2026'!L1803)</f>
        <v/>
      </c>
      <c r="P1803">
        <f>IF(ISBLANK('ENGAGEMENTS 2026'!B1803),"",'ENGAGEMENTS 2026'!J1803)</f>
        <v/>
      </c>
      <c r="Q1803">
        <f>IF($A1803="","",IF(OR($E1803="INFRUCTUEUX",$E1803="ANNULE"),$A1803&amp;"|"&amp;(COUNTIFS($A$2:$A1803,$A1803,$E$2:$E1803,"INFRUCTUEUX")+COUNTIFS($A$2:$A1803,$A1803,$E$2:$E1803,"ANNULE")),""))</f>
        <v/>
      </c>
    </row>
    <row r="1804">
      <c r="A1804">
        <f>IF(ISBLANK('ENGAGEMENTS 2026'!B1804),"",IF('ENGAGEMENTS 2026'!B1804="DTSI","DCT",'ENGAGEMENTS 2026'!B1804))</f>
        <v/>
      </c>
      <c r="B1804">
        <f>IF(ISBLANK('ENGAGEMENTS 2026'!B1804),"",'ENGAGEMENTS 2026'!C1804)</f>
        <v/>
      </c>
      <c r="C1804">
        <f>IF(ISBLANK('ENGAGEMENTS 2026'!B1804),"",'ENGAGEMENTS 2026'!D1804)</f>
        <v/>
      </c>
      <c r="D1804">
        <f>IF(ISBLANK('ENGAGEMENTS 2026'!B1804),"",'ENGAGEMENTS 2026'!F1804)</f>
        <v/>
      </c>
      <c r="E1804">
        <f>IF(ISBLANK('ENGAGEMENTS 2026'!B1804),"",'ENGAGEMENTS 2026'!H1804)</f>
        <v/>
      </c>
      <c r="F1804">
        <f>IF(ISBLANK('ENGAGEMENTS 2026'!B1804),"",'ENGAGEMENTS 2026'!I1804)</f>
        <v/>
      </c>
      <c r="G1804">
        <f>IF(ISBLANK('ENGAGEMENTS 2026'!B1804),"",'ENGAGEMENTS 2026'!L1804)</f>
        <v/>
      </c>
      <c r="H1804">
        <f>IF(ISBLANK('ENGAGEMENTS 2026'!B1804),"",'ENGAGEMENTS 2026'!AE1804)</f>
        <v/>
      </c>
      <c r="I1804">
        <f>IF(ISBLANK('ENGAGEMENTS 2026'!B1804),"",'ENGAGEMENTS 2026'!G1804)</f>
        <v/>
      </c>
      <c r="J1804" s="275">
        <f>IF(ISBLANK('ENGAGEMENTS 2026'!B1804),"",IF(AND(OR($E1804="INFRUCTUEUX",$E1804="ANNULE"),$C1804="AOO-M"),'ENGAGEMENTS 2026'!O1804,IF($H1804="EN COURS DE PREENGAGEMENT",'ENGAGEMENTS 2026'!N1804,IF($H1804="PREENGAGE",IF($E1804="ATTRIBUE",'ENGAGEMENTS 2026'!AD1804,'ENGAGEMENTS 2026'!N1804),'ENGAGEMENTS 2026'!AD1804))))</f>
        <v/>
      </c>
      <c r="K1804" s="604">
        <f>IF(ISBLANK('ENGAGEMENTS 2026'!V1804),"",'ENGAGEMENTS 2026'!V1804)</f>
        <v/>
      </c>
      <c r="L1804" s="276">
        <f>IF($K1804="","",TODAY()-$K1804)</f>
        <v/>
      </c>
      <c r="M1804">
        <f>IF($A1804="","",IF($H1804="ENGAGE","Engagé",IF(AND($H1804="NON ENGAGE",OR($I1804="INFRUCTUEUX",$I1804="ANNULE")),"Clôturé sans suite","En cours")))</f>
        <v/>
      </c>
      <c r="N1804">
        <f>IF(ISBLANK('ENGAGEMENTS 2026'!B1804),"",'ENGAGEMENTS 2026'!K1804)</f>
        <v/>
      </c>
      <c r="O1804">
        <f>IF(ISBLANK('ENGAGEMENTS 2026'!B1804),"",'ENGAGEMENTS 2026'!L1804)</f>
        <v/>
      </c>
      <c r="P1804">
        <f>IF(ISBLANK('ENGAGEMENTS 2026'!B1804),"",'ENGAGEMENTS 2026'!J1804)</f>
        <v/>
      </c>
      <c r="Q1804">
        <f>IF($A1804="","",IF(OR($E1804="INFRUCTUEUX",$E1804="ANNULE"),$A1804&amp;"|"&amp;(COUNTIFS($A$2:$A1804,$A1804,$E$2:$E1804,"INFRUCTUEUX")+COUNTIFS($A$2:$A1804,$A1804,$E$2:$E1804,"ANNULE")),""))</f>
        <v/>
      </c>
    </row>
    <row r="1805">
      <c r="A1805">
        <f>IF(ISBLANK('ENGAGEMENTS 2026'!B1805),"",IF('ENGAGEMENTS 2026'!B1805="DTSI","DCT",'ENGAGEMENTS 2026'!B1805))</f>
        <v/>
      </c>
      <c r="B1805">
        <f>IF(ISBLANK('ENGAGEMENTS 2026'!B1805),"",'ENGAGEMENTS 2026'!C1805)</f>
        <v/>
      </c>
      <c r="C1805">
        <f>IF(ISBLANK('ENGAGEMENTS 2026'!B1805),"",'ENGAGEMENTS 2026'!D1805)</f>
        <v/>
      </c>
      <c r="D1805">
        <f>IF(ISBLANK('ENGAGEMENTS 2026'!B1805),"",'ENGAGEMENTS 2026'!F1805)</f>
        <v/>
      </c>
      <c r="E1805">
        <f>IF(ISBLANK('ENGAGEMENTS 2026'!B1805),"",'ENGAGEMENTS 2026'!H1805)</f>
        <v/>
      </c>
      <c r="F1805">
        <f>IF(ISBLANK('ENGAGEMENTS 2026'!B1805),"",'ENGAGEMENTS 2026'!I1805)</f>
        <v/>
      </c>
      <c r="G1805">
        <f>IF(ISBLANK('ENGAGEMENTS 2026'!B1805),"",'ENGAGEMENTS 2026'!L1805)</f>
        <v/>
      </c>
      <c r="H1805">
        <f>IF(ISBLANK('ENGAGEMENTS 2026'!B1805),"",'ENGAGEMENTS 2026'!AE1805)</f>
        <v/>
      </c>
      <c r="I1805">
        <f>IF(ISBLANK('ENGAGEMENTS 2026'!B1805),"",'ENGAGEMENTS 2026'!G1805)</f>
        <v/>
      </c>
      <c r="J1805" s="275">
        <f>IF(ISBLANK('ENGAGEMENTS 2026'!B1805),"",IF(AND(OR($E1805="INFRUCTUEUX",$E1805="ANNULE"),$C1805="AOO-M"),'ENGAGEMENTS 2026'!O1805,IF($H1805="EN COURS DE PREENGAGEMENT",'ENGAGEMENTS 2026'!N1805,IF($H1805="PREENGAGE",IF($E1805="ATTRIBUE",'ENGAGEMENTS 2026'!AD1805,'ENGAGEMENTS 2026'!N1805),'ENGAGEMENTS 2026'!AD1805))))</f>
        <v/>
      </c>
      <c r="K1805" s="604">
        <f>IF(ISBLANK('ENGAGEMENTS 2026'!V1805),"",'ENGAGEMENTS 2026'!V1805)</f>
        <v/>
      </c>
      <c r="L1805" s="276">
        <f>IF($K1805="","",TODAY()-$K1805)</f>
        <v/>
      </c>
      <c r="M1805">
        <f>IF($A1805="","",IF($H1805="ENGAGE","Engagé",IF(AND($H1805="NON ENGAGE",OR($I1805="INFRUCTUEUX",$I1805="ANNULE")),"Clôturé sans suite","En cours")))</f>
        <v/>
      </c>
      <c r="N1805">
        <f>IF(ISBLANK('ENGAGEMENTS 2026'!B1805),"",'ENGAGEMENTS 2026'!K1805)</f>
        <v/>
      </c>
      <c r="O1805">
        <f>IF(ISBLANK('ENGAGEMENTS 2026'!B1805),"",'ENGAGEMENTS 2026'!L1805)</f>
        <v/>
      </c>
      <c r="P1805">
        <f>IF(ISBLANK('ENGAGEMENTS 2026'!B1805),"",'ENGAGEMENTS 2026'!J1805)</f>
        <v/>
      </c>
      <c r="Q1805">
        <f>IF($A1805="","",IF(OR($E1805="INFRUCTUEUX",$E1805="ANNULE"),$A1805&amp;"|"&amp;(COUNTIFS($A$2:$A1805,$A1805,$E$2:$E1805,"INFRUCTUEUX")+COUNTIFS($A$2:$A1805,$A1805,$E$2:$E1805,"ANNULE")),""))</f>
        <v/>
      </c>
    </row>
    <row r="1806">
      <c r="A1806">
        <f>IF(ISBLANK('ENGAGEMENTS 2026'!B1806),"",IF('ENGAGEMENTS 2026'!B1806="DTSI","DCT",'ENGAGEMENTS 2026'!B1806))</f>
        <v/>
      </c>
      <c r="B1806">
        <f>IF(ISBLANK('ENGAGEMENTS 2026'!B1806),"",'ENGAGEMENTS 2026'!C1806)</f>
        <v/>
      </c>
      <c r="C1806">
        <f>IF(ISBLANK('ENGAGEMENTS 2026'!B1806),"",'ENGAGEMENTS 2026'!D1806)</f>
        <v/>
      </c>
      <c r="D1806">
        <f>IF(ISBLANK('ENGAGEMENTS 2026'!B1806),"",'ENGAGEMENTS 2026'!F1806)</f>
        <v/>
      </c>
      <c r="E1806">
        <f>IF(ISBLANK('ENGAGEMENTS 2026'!B1806),"",'ENGAGEMENTS 2026'!H1806)</f>
        <v/>
      </c>
      <c r="F1806">
        <f>IF(ISBLANK('ENGAGEMENTS 2026'!B1806),"",'ENGAGEMENTS 2026'!I1806)</f>
        <v/>
      </c>
      <c r="G1806">
        <f>IF(ISBLANK('ENGAGEMENTS 2026'!B1806),"",'ENGAGEMENTS 2026'!L1806)</f>
        <v/>
      </c>
      <c r="H1806">
        <f>IF(ISBLANK('ENGAGEMENTS 2026'!B1806),"",'ENGAGEMENTS 2026'!AE1806)</f>
        <v/>
      </c>
      <c r="I1806">
        <f>IF(ISBLANK('ENGAGEMENTS 2026'!B1806),"",'ENGAGEMENTS 2026'!G1806)</f>
        <v/>
      </c>
      <c r="J1806" s="275">
        <f>IF(ISBLANK('ENGAGEMENTS 2026'!B1806),"",IF(AND(OR($E1806="INFRUCTUEUX",$E1806="ANNULE"),$C1806="AOO-M"),'ENGAGEMENTS 2026'!O1806,IF($H1806="EN COURS DE PREENGAGEMENT",'ENGAGEMENTS 2026'!N1806,IF($H1806="PREENGAGE",IF($E1806="ATTRIBUE",'ENGAGEMENTS 2026'!AD1806,'ENGAGEMENTS 2026'!N1806),'ENGAGEMENTS 2026'!AD1806))))</f>
        <v/>
      </c>
      <c r="K1806" s="604">
        <f>IF(ISBLANK('ENGAGEMENTS 2026'!V1806),"",'ENGAGEMENTS 2026'!V1806)</f>
        <v/>
      </c>
      <c r="L1806" s="276">
        <f>IF($K1806="","",TODAY()-$K1806)</f>
        <v/>
      </c>
      <c r="M1806">
        <f>IF($A1806="","",IF($H1806="ENGAGE","Engagé",IF(AND($H1806="NON ENGAGE",OR($I1806="INFRUCTUEUX",$I1806="ANNULE")),"Clôturé sans suite","En cours")))</f>
        <v/>
      </c>
      <c r="N1806">
        <f>IF(ISBLANK('ENGAGEMENTS 2026'!B1806),"",'ENGAGEMENTS 2026'!K1806)</f>
        <v/>
      </c>
      <c r="O1806">
        <f>IF(ISBLANK('ENGAGEMENTS 2026'!B1806),"",'ENGAGEMENTS 2026'!L1806)</f>
        <v/>
      </c>
      <c r="P1806">
        <f>IF(ISBLANK('ENGAGEMENTS 2026'!B1806),"",'ENGAGEMENTS 2026'!J1806)</f>
        <v/>
      </c>
      <c r="Q1806">
        <f>IF($A1806="","",IF(OR($E1806="INFRUCTUEUX",$E1806="ANNULE"),$A1806&amp;"|"&amp;(COUNTIFS($A$2:$A1806,$A1806,$E$2:$E1806,"INFRUCTUEUX")+COUNTIFS($A$2:$A1806,$A1806,$E$2:$E1806,"ANNULE")),""))</f>
        <v/>
      </c>
    </row>
    <row r="1807">
      <c r="A1807">
        <f>IF(ISBLANK('ENGAGEMENTS 2026'!B1807),"",IF('ENGAGEMENTS 2026'!B1807="DTSI","DCT",'ENGAGEMENTS 2026'!B1807))</f>
        <v/>
      </c>
      <c r="B1807">
        <f>IF(ISBLANK('ENGAGEMENTS 2026'!B1807),"",'ENGAGEMENTS 2026'!C1807)</f>
        <v/>
      </c>
      <c r="C1807">
        <f>IF(ISBLANK('ENGAGEMENTS 2026'!B1807),"",'ENGAGEMENTS 2026'!D1807)</f>
        <v/>
      </c>
      <c r="D1807">
        <f>IF(ISBLANK('ENGAGEMENTS 2026'!B1807),"",'ENGAGEMENTS 2026'!F1807)</f>
        <v/>
      </c>
      <c r="E1807">
        <f>IF(ISBLANK('ENGAGEMENTS 2026'!B1807),"",'ENGAGEMENTS 2026'!H1807)</f>
        <v/>
      </c>
      <c r="F1807">
        <f>IF(ISBLANK('ENGAGEMENTS 2026'!B1807),"",'ENGAGEMENTS 2026'!I1807)</f>
        <v/>
      </c>
      <c r="G1807">
        <f>IF(ISBLANK('ENGAGEMENTS 2026'!B1807),"",'ENGAGEMENTS 2026'!L1807)</f>
        <v/>
      </c>
      <c r="H1807">
        <f>IF(ISBLANK('ENGAGEMENTS 2026'!B1807),"",'ENGAGEMENTS 2026'!AE1807)</f>
        <v/>
      </c>
      <c r="I1807">
        <f>IF(ISBLANK('ENGAGEMENTS 2026'!B1807),"",'ENGAGEMENTS 2026'!G1807)</f>
        <v/>
      </c>
      <c r="J1807" s="275">
        <f>IF(ISBLANK('ENGAGEMENTS 2026'!B1807),"",IF(AND(OR($E1807="INFRUCTUEUX",$E1807="ANNULE"),$C1807="AOO-M"),'ENGAGEMENTS 2026'!O1807,IF($H1807="EN COURS DE PREENGAGEMENT",'ENGAGEMENTS 2026'!N1807,IF($H1807="PREENGAGE",IF($E1807="ATTRIBUE",'ENGAGEMENTS 2026'!AD1807,'ENGAGEMENTS 2026'!N1807),'ENGAGEMENTS 2026'!AD1807))))</f>
        <v/>
      </c>
      <c r="K1807" s="604">
        <f>IF(ISBLANK('ENGAGEMENTS 2026'!V1807),"",'ENGAGEMENTS 2026'!V1807)</f>
        <v/>
      </c>
      <c r="L1807" s="276">
        <f>IF($K1807="","",TODAY()-$K1807)</f>
        <v/>
      </c>
      <c r="M1807">
        <f>IF($A1807="","",IF($H1807="ENGAGE","Engagé",IF(AND($H1807="NON ENGAGE",OR($I1807="INFRUCTUEUX",$I1807="ANNULE")),"Clôturé sans suite","En cours")))</f>
        <v/>
      </c>
      <c r="N1807">
        <f>IF(ISBLANK('ENGAGEMENTS 2026'!B1807),"",'ENGAGEMENTS 2026'!K1807)</f>
        <v/>
      </c>
      <c r="O1807">
        <f>IF(ISBLANK('ENGAGEMENTS 2026'!B1807),"",'ENGAGEMENTS 2026'!L1807)</f>
        <v/>
      </c>
      <c r="P1807">
        <f>IF(ISBLANK('ENGAGEMENTS 2026'!B1807),"",'ENGAGEMENTS 2026'!J1807)</f>
        <v/>
      </c>
      <c r="Q1807">
        <f>IF($A1807="","",IF(OR($E1807="INFRUCTUEUX",$E1807="ANNULE"),$A1807&amp;"|"&amp;(COUNTIFS($A$2:$A1807,$A1807,$E$2:$E1807,"INFRUCTUEUX")+COUNTIFS($A$2:$A1807,$A1807,$E$2:$E1807,"ANNULE")),""))</f>
        <v/>
      </c>
    </row>
    <row r="1808">
      <c r="A1808">
        <f>IF(ISBLANK('ENGAGEMENTS 2026'!B1808),"",IF('ENGAGEMENTS 2026'!B1808="DTSI","DCT",'ENGAGEMENTS 2026'!B1808))</f>
        <v/>
      </c>
      <c r="B1808">
        <f>IF(ISBLANK('ENGAGEMENTS 2026'!B1808),"",'ENGAGEMENTS 2026'!C1808)</f>
        <v/>
      </c>
      <c r="C1808">
        <f>IF(ISBLANK('ENGAGEMENTS 2026'!B1808),"",'ENGAGEMENTS 2026'!D1808)</f>
        <v/>
      </c>
      <c r="D1808">
        <f>IF(ISBLANK('ENGAGEMENTS 2026'!B1808),"",'ENGAGEMENTS 2026'!F1808)</f>
        <v/>
      </c>
      <c r="E1808">
        <f>IF(ISBLANK('ENGAGEMENTS 2026'!B1808),"",'ENGAGEMENTS 2026'!H1808)</f>
        <v/>
      </c>
      <c r="F1808">
        <f>IF(ISBLANK('ENGAGEMENTS 2026'!B1808),"",'ENGAGEMENTS 2026'!I1808)</f>
        <v/>
      </c>
      <c r="G1808">
        <f>IF(ISBLANK('ENGAGEMENTS 2026'!B1808),"",'ENGAGEMENTS 2026'!L1808)</f>
        <v/>
      </c>
      <c r="H1808">
        <f>IF(ISBLANK('ENGAGEMENTS 2026'!B1808),"",'ENGAGEMENTS 2026'!AE1808)</f>
        <v/>
      </c>
      <c r="I1808">
        <f>IF(ISBLANK('ENGAGEMENTS 2026'!B1808),"",'ENGAGEMENTS 2026'!G1808)</f>
        <v/>
      </c>
      <c r="J1808" s="275">
        <f>IF(ISBLANK('ENGAGEMENTS 2026'!B1808),"",IF(AND(OR($E1808="INFRUCTUEUX",$E1808="ANNULE"),$C1808="AOO-M"),'ENGAGEMENTS 2026'!O1808,IF($H1808="EN COURS DE PREENGAGEMENT",'ENGAGEMENTS 2026'!N1808,IF($H1808="PREENGAGE",IF($E1808="ATTRIBUE",'ENGAGEMENTS 2026'!AD1808,'ENGAGEMENTS 2026'!N1808),'ENGAGEMENTS 2026'!AD1808))))</f>
        <v/>
      </c>
      <c r="K1808" s="604">
        <f>IF(ISBLANK('ENGAGEMENTS 2026'!V1808),"",'ENGAGEMENTS 2026'!V1808)</f>
        <v/>
      </c>
      <c r="L1808" s="276">
        <f>IF($K1808="","",TODAY()-$K1808)</f>
        <v/>
      </c>
      <c r="M1808">
        <f>IF($A1808="","",IF($H1808="ENGAGE","Engagé",IF(AND($H1808="NON ENGAGE",OR($I1808="INFRUCTUEUX",$I1808="ANNULE")),"Clôturé sans suite","En cours")))</f>
        <v/>
      </c>
      <c r="N1808">
        <f>IF(ISBLANK('ENGAGEMENTS 2026'!B1808),"",'ENGAGEMENTS 2026'!K1808)</f>
        <v/>
      </c>
      <c r="O1808">
        <f>IF(ISBLANK('ENGAGEMENTS 2026'!B1808),"",'ENGAGEMENTS 2026'!L1808)</f>
        <v/>
      </c>
      <c r="P1808">
        <f>IF(ISBLANK('ENGAGEMENTS 2026'!B1808),"",'ENGAGEMENTS 2026'!J1808)</f>
        <v/>
      </c>
      <c r="Q1808">
        <f>IF($A1808="","",IF(OR($E1808="INFRUCTUEUX",$E1808="ANNULE"),$A1808&amp;"|"&amp;(COUNTIFS($A$2:$A1808,$A1808,$E$2:$E1808,"INFRUCTUEUX")+COUNTIFS($A$2:$A1808,$A1808,$E$2:$E1808,"ANNULE")),""))</f>
        <v/>
      </c>
    </row>
    <row r="1809">
      <c r="A1809">
        <f>IF(ISBLANK('ENGAGEMENTS 2026'!B1809),"",IF('ENGAGEMENTS 2026'!B1809="DTSI","DCT",'ENGAGEMENTS 2026'!B1809))</f>
        <v/>
      </c>
      <c r="B1809">
        <f>IF(ISBLANK('ENGAGEMENTS 2026'!B1809),"",'ENGAGEMENTS 2026'!C1809)</f>
        <v/>
      </c>
      <c r="C1809">
        <f>IF(ISBLANK('ENGAGEMENTS 2026'!B1809),"",'ENGAGEMENTS 2026'!D1809)</f>
        <v/>
      </c>
      <c r="D1809">
        <f>IF(ISBLANK('ENGAGEMENTS 2026'!B1809),"",'ENGAGEMENTS 2026'!F1809)</f>
        <v/>
      </c>
      <c r="E1809">
        <f>IF(ISBLANK('ENGAGEMENTS 2026'!B1809),"",'ENGAGEMENTS 2026'!H1809)</f>
        <v/>
      </c>
      <c r="F1809">
        <f>IF(ISBLANK('ENGAGEMENTS 2026'!B1809),"",'ENGAGEMENTS 2026'!I1809)</f>
        <v/>
      </c>
      <c r="G1809">
        <f>IF(ISBLANK('ENGAGEMENTS 2026'!B1809),"",'ENGAGEMENTS 2026'!L1809)</f>
        <v/>
      </c>
      <c r="H1809">
        <f>IF(ISBLANK('ENGAGEMENTS 2026'!B1809),"",'ENGAGEMENTS 2026'!AE1809)</f>
        <v/>
      </c>
      <c r="I1809">
        <f>IF(ISBLANK('ENGAGEMENTS 2026'!B1809),"",'ENGAGEMENTS 2026'!G1809)</f>
        <v/>
      </c>
      <c r="J1809" s="275">
        <f>IF(ISBLANK('ENGAGEMENTS 2026'!B1809),"",IF(AND(OR($E1809="INFRUCTUEUX",$E1809="ANNULE"),$C1809="AOO-M"),'ENGAGEMENTS 2026'!O1809,IF($H1809="EN COURS DE PREENGAGEMENT",'ENGAGEMENTS 2026'!N1809,IF($H1809="PREENGAGE",IF($E1809="ATTRIBUE",'ENGAGEMENTS 2026'!AD1809,'ENGAGEMENTS 2026'!N1809),'ENGAGEMENTS 2026'!AD1809))))</f>
        <v/>
      </c>
      <c r="K1809" s="604">
        <f>IF(ISBLANK('ENGAGEMENTS 2026'!V1809),"",'ENGAGEMENTS 2026'!V1809)</f>
        <v/>
      </c>
      <c r="L1809" s="276">
        <f>IF($K1809="","",TODAY()-$K1809)</f>
        <v/>
      </c>
      <c r="M1809">
        <f>IF($A1809="","",IF($H1809="ENGAGE","Engagé",IF(AND($H1809="NON ENGAGE",OR($I1809="INFRUCTUEUX",$I1809="ANNULE")),"Clôturé sans suite","En cours")))</f>
        <v/>
      </c>
      <c r="N1809">
        <f>IF(ISBLANK('ENGAGEMENTS 2026'!B1809),"",'ENGAGEMENTS 2026'!K1809)</f>
        <v/>
      </c>
      <c r="O1809">
        <f>IF(ISBLANK('ENGAGEMENTS 2026'!B1809),"",'ENGAGEMENTS 2026'!L1809)</f>
        <v/>
      </c>
      <c r="P1809">
        <f>IF(ISBLANK('ENGAGEMENTS 2026'!B1809),"",'ENGAGEMENTS 2026'!J1809)</f>
        <v/>
      </c>
      <c r="Q1809">
        <f>IF($A1809="","",IF(OR($E1809="INFRUCTUEUX",$E1809="ANNULE"),$A1809&amp;"|"&amp;(COUNTIFS($A$2:$A1809,$A1809,$E$2:$E1809,"INFRUCTUEUX")+COUNTIFS($A$2:$A1809,$A1809,$E$2:$E1809,"ANNULE")),""))</f>
        <v/>
      </c>
    </row>
    <row r="1810">
      <c r="A1810">
        <f>IF(ISBLANK('ENGAGEMENTS 2026'!B1810),"",IF('ENGAGEMENTS 2026'!B1810="DTSI","DCT",'ENGAGEMENTS 2026'!B1810))</f>
        <v/>
      </c>
      <c r="B1810">
        <f>IF(ISBLANK('ENGAGEMENTS 2026'!B1810),"",'ENGAGEMENTS 2026'!C1810)</f>
        <v/>
      </c>
      <c r="C1810">
        <f>IF(ISBLANK('ENGAGEMENTS 2026'!B1810),"",'ENGAGEMENTS 2026'!D1810)</f>
        <v/>
      </c>
      <c r="D1810">
        <f>IF(ISBLANK('ENGAGEMENTS 2026'!B1810),"",'ENGAGEMENTS 2026'!F1810)</f>
        <v/>
      </c>
      <c r="E1810">
        <f>IF(ISBLANK('ENGAGEMENTS 2026'!B1810),"",'ENGAGEMENTS 2026'!H1810)</f>
        <v/>
      </c>
      <c r="F1810">
        <f>IF(ISBLANK('ENGAGEMENTS 2026'!B1810),"",'ENGAGEMENTS 2026'!I1810)</f>
        <v/>
      </c>
      <c r="G1810">
        <f>IF(ISBLANK('ENGAGEMENTS 2026'!B1810),"",'ENGAGEMENTS 2026'!L1810)</f>
        <v/>
      </c>
      <c r="H1810">
        <f>IF(ISBLANK('ENGAGEMENTS 2026'!B1810),"",'ENGAGEMENTS 2026'!AE1810)</f>
        <v/>
      </c>
      <c r="I1810">
        <f>IF(ISBLANK('ENGAGEMENTS 2026'!B1810),"",'ENGAGEMENTS 2026'!G1810)</f>
        <v/>
      </c>
      <c r="J1810" s="275">
        <f>IF(ISBLANK('ENGAGEMENTS 2026'!B1810),"",IF(AND(OR($E1810="INFRUCTUEUX",$E1810="ANNULE"),$C1810="AOO-M"),'ENGAGEMENTS 2026'!O1810,IF($H1810="EN COURS DE PREENGAGEMENT",'ENGAGEMENTS 2026'!N1810,IF($H1810="PREENGAGE",IF($E1810="ATTRIBUE",'ENGAGEMENTS 2026'!AD1810,'ENGAGEMENTS 2026'!N1810),'ENGAGEMENTS 2026'!AD1810))))</f>
        <v/>
      </c>
      <c r="K1810" s="604">
        <f>IF(ISBLANK('ENGAGEMENTS 2026'!V1810),"",'ENGAGEMENTS 2026'!V1810)</f>
        <v/>
      </c>
      <c r="L1810" s="276">
        <f>IF($K1810="","",TODAY()-$K1810)</f>
        <v/>
      </c>
      <c r="M1810">
        <f>IF($A1810="","",IF($H1810="ENGAGE","Engagé",IF(AND($H1810="NON ENGAGE",OR($I1810="INFRUCTUEUX",$I1810="ANNULE")),"Clôturé sans suite","En cours")))</f>
        <v/>
      </c>
      <c r="N1810">
        <f>IF(ISBLANK('ENGAGEMENTS 2026'!B1810),"",'ENGAGEMENTS 2026'!K1810)</f>
        <v/>
      </c>
      <c r="O1810">
        <f>IF(ISBLANK('ENGAGEMENTS 2026'!B1810),"",'ENGAGEMENTS 2026'!L1810)</f>
        <v/>
      </c>
      <c r="P1810">
        <f>IF(ISBLANK('ENGAGEMENTS 2026'!B1810),"",'ENGAGEMENTS 2026'!J1810)</f>
        <v/>
      </c>
      <c r="Q1810">
        <f>IF($A1810="","",IF(OR($E1810="INFRUCTUEUX",$E1810="ANNULE"),$A1810&amp;"|"&amp;(COUNTIFS($A$2:$A1810,$A1810,$E$2:$E1810,"INFRUCTUEUX")+COUNTIFS($A$2:$A1810,$A1810,$E$2:$E1810,"ANNULE")),""))</f>
        <v/>
      </c>
    </row>
    <row r="1811">
      <c r="A1811">
        <f>IF(ISBLANK('ENGAGEMENTS 2026'!B1811),"",IF('ENGAGEMENTS 2026'!B1811="DTSI","DCT",'ENGAGEMENTS 2026'!B1811))</f>
        <v/>
      </c>
      <c r="B1811">
        <f>IF(ISBLANK('ENGAGEMENTS 2026'!B1811),"",'ENGAGEMENTS 2026'!C1811)</f>
        <v/>
      </c>
      <c r="C1811">
        <f>IF(ISBLANK('ENGAGEMENTS 2026'!B1811),"",'ENGAGEMENTS 2026'!D1811)</f>
        <v/>
      </c>
      <c r="D1811">
        <f>IF(ISBLANK('ENGAGEMENTS 2026'!B1811),"",'ENGAGEMENTS 2026'!F1811)</f>
        <v/>
      </c>
      <c r="E1811">
        <f>IF(ISBLANK('ENGAGEMENTS 2026'!B1811),"",'ENGAGEMENTS 2026'!H1811)</f>
        <v/>
      </c>
      <c r="F1811">
        <f>IF(ISBLANK('ENGAGEMENTS 2026'!B1811),"",'ENGAGEMENTS 2026'!I1811)</f>
        <v/>
      </c>
      <c r="G1811">
        <f>IF(ISBLANK('ENGAGEMENTS 2026'!B1811),"",'ENGAGEMENTS 2026'!L1811)</f>
        <v/>
      </c>
      <c r="H1811">
        <f>IF(ISBLANK('ENGAGEMENTS 2026'!B1811),"",'ENGAGEMENTS 2026'!AE1811)</f>
        <v/>
      </c>
      <c r="I1811">
        <f>IF(ISBLANK('ENGAGEMENTS 2026'!B1811),"",'ENGAGEMENTS 2026'!G1811)</f>
        <v/>
      </c>
      <c r="J1811" s="275">
        <f>IF(ISBLANK('ENGAGEMENTS 2026'!B1811),"",IF(AND(OR($E1811="INFRUCTUEUX",$E1811="ANNULE"),$C1811="AOO-M"),'ENGAGEMENTS 2026'!O1811,IF($H1811="EN COURS DE PREENGAGEMENT",'ENGAGEMENTS 2026'!N1811,IF($H1811="PREENGAGE",IF($E1811="ATTRIBUE",'ENGAGEMENTS 2026'!AD1811,'ENGAGEMENTS 2026'!N1811),'ENGAGEMENTS 2026'!AD1811))))</f>
        <v/>
      </c>
      <c r="K1811" s="604">
        <f>IF(ISBLANK('ENGAGEMENTS 2026'!V1811),"",'ENGAGEMENTS 2026'!V1811)</f>
        <v/>
      </c>
      <c r="L1811" s="276">
        <f>IF($K1811="","",TODAY()-$K1811)</f>
        <v/>
      </c>
      <c r="M1811">
        <f>IF($A1811="","",IF($H1811="ENGAGE","Engagé",IF(AND($H1811="NON ENGAGE",OR($I1811="INFRUCTUEUX",$I1811="ANNULE")),"Clôturé sans suite","En cours")))</f>
        <v/>
      </c>
      <c r="N1811">
        <f>IF(ISBLANK('ENGAGEMENTS 2026'!B1811),"",'ENGAGEMENTS 2026'!K1811)</f>
        <v/>
      </c>
      <c r="O1811">
        <f>IF(ISBLANK('ENGAGEMENTS 2026'!B1811),"",'ENGAGEMENTS 2026'!L1811)</f>
        <v/>
      </c>
      <c r="P1811">
        <f>IF(ISBLANK('ENGAGEMENTS 2026'!B1811),"",'ENGAGEMENTS 2026'!J1811)</f>
        <v/>
      </c>
      <c r="Q1811">
        <f>IF($A1811="","",IF(OR($E1811="INFRUCTUEUX",$E1811="ANNULE"),$A1811&amp;"|"&amp;(COUNTIFS($A$2:$A1811,$A1811,$E$2:$E1811,"INFRUCTUEUX")+COUNTIFS($A$2:$A1811,$A1811,$E$2:$E1811,"ANNULE")),""))</f>
        <v/>
      </c>
    </row>
    <row r="1812">
      <c r="A1812">
        <f>IF(ISBLANK('ENGAGEMENTS 2026'!B1812),"",IF('ENGAGEMENTS 2026'!B1812="DTSI","DCT",'ENGAGEMENTS 2026'!B1812))</f>
        <v/>
      </c>
      <c r="B1812">
        <f>IF(ISBLANK('ENGAGEMENTS 2026'!B1812),"",'ENGAGEMENTS 2026'!C1812)</f>
        <v/>
      </c>
      <c r="C1812">
        <f>IF(ISBLANK('ENGAGEMENTS 2026'!B1812),"",'ENGAGEMENTS 2026'!D1812)</f>
        <v/>
      </c>
      <c r="D1812">
        <f>IF(ISBLANK('ENGAGEMENTS 2026'!B1812),"",'ENGAGEMENTS 2026'!F1812)</f>
        <v/>
      </c>
      <c r="E1812">
        <f>IF(ISBLANK('ENGAGEMENTS 2026'!B1812),"",'ENGAGEMENTS 2026'!H1812)</f>
        <v/>
      </c>
      <c r="F1812">
        <f>IF(ISBLANK('ENGAGEMENTS 2026'!B1812),"",'ENGAGEMENTS 2026'!I1812)</f>
        <v/>
      </c>
      <c r="G1812">
        <f>IF(ISBLANK('ENGAGEMENTS 2026'!B1812),"",'ENGAGEMENTS 2026'!L1812)</f>
        <v/>
      </c>
      <c r="H1812">
        <f>IF(ISBLANK('ENGAGEMENTS 2026'!B1812),"",'ENGAGEMENTS 2026'!AE1812)</f>
        <v/>
      </c>
      <c r="I1812">
        <f>IF(ISBLANK('ENGAGEMENTS 2026'!B1812),"",'ENGAGEMENTS 2026'!G1812)</f>
        <v/>
      </c>
      <c r="J1812" s="275">
        <f>IF(ISBLANK('ENGAGEMENTS 2026'!B1812),"",IF(AND(OR($E1812="INFRUCTUEUX",$E1812="ANNULE"),$C1812="AOO-M"),'ENGAGEMENTS 2026'!O1812,IF($H1812="EN COURS DE PREENGAGEMENT",'ENGAGEMENTS 2026'!N1812,IF($H1812="PREENGAGE",IF($E1812="ATTRIBUE",'ENGAGEMENTS 2026'!AD1812,'ENGAGEMENTS 2026'!N1812),'ENGAGEMENTS 2026'!AD1812))))</f>
        <v/>
      </c>
      <c r="K1812" s="604">
        <f>IF(ISBLANK('ENGAGEMENTS 2026'!V1812),"",'ENGAGEMENTS 2026'!V1812)</f>
        <v/>
      </c>
      <c r="L1812" s="276">
        <f>IF($K1812="","",TODAY()-$K1812)</f>
        <v/>
      </c>
      <c r="M1812">
        <f>IF($A1812="","",IF($H1812="ENGAGE","Engagé",IF(AND($H1812="NON ENGAGE",OR($I1812="INFRUCTUEUX",$I1812="ANNULE")),"Clôturé sans suite","En cours")))</f>
        <v/>
      </c>
      <c r="N1812">
        <f>IF(ISBLANK('ENGAGEMENTS 2026'!B1812),"",'ENGAGEMENTS 2026'!K1812)</f>
        <v/>
      </c>
      <c r="O1812">
        <f>IF(ISBLANK('ENGAGEMENTS 2026'!B1812),"",'ENGAGEMENTS 2026'!L1812)</f>
        <v/>
      </c>
      <c r="P1812">
        <f>IF(ISBLANK('ENGAGEMENTS 2026'!B1812),"",'ENGAGEMENTS 2026'!J1812)</f>
        <v/>
      </c>
      <c r="Q1812">
        <f>IF($A1812="","",IF(OR($E1812="INFRUCTUEUX",$E1812="ANNULE"),$A1812&amp;"|"&amp;(COUNTIFS($A$2:$A1812,$A1812,$E$2:$E1812,"INFRUCTUEUX")+COUNTIFS($A$2:$A1812,$A1812,$E$2:$E1812,"ANNULE")),""))</f>
        <v/>
      </c>
    </row>
    <row r="1813">
      <c r="A1813">
        <f>IF(ISBLANK('ENGAGEMENTS 2026'!B1813),"",IF('ENGAGEMENTS 2026'!B1813="DTSI","DCT",'ENGAGEMENTS 2026'!B1813))</f>
        <v/>
      </c>
      <c r="B1813">
        <f>IF(ISBLANK('ENGAGEMENTS 2026'!B1813),"",'ENGAGEMENTS 2026'!C1813)</f>
        <v/>
      </c>
      <c r="C1813">
        <f>IF(ISBLANK('ENGAGEMENTS 2026'!B1813),"",'ENGAGEMENTS 2026'!D1813)</f>
        <v/>
      </c>
      <c r="D1813">
        <f>IF(ISBLANK('ENGAGEMENTS 2026'!B1813),"",'ENGAGEMENTS 2026'!F1813)</f>
        <v/>
      </c>
      <c r="E1813">
        <f>IF(ISBLANK('ENGAGEMENTS 2026'!B1813),"",'ENGAGEMENTS 2026'!H1813)</f>
        <v/>
      </c>
      <c r="F1813">
        <f>IF(ISBLANK('ENGAGEMENTS 2026'!B1813),"",'ENGAGEMENTS 2026'!I1813)</f>
        <v/>
      </c>
      <c r="G1813">
        <f>IF(ISBLANK('ENGAGEMENTS 2026'!B1813),"",'ENGAGEMENTS 2026'!L1813)</f>
        <v/>
      </c>
      <c r="H1813">
        <f>IF(ISBLANK('ENGAGEMENTS 2026'!B1813),"",'ENGAGEMENTS 2026'!AE1813)</f>
        <v/>
      </c>
      <c r="I1813">
        <f>IF(ISBLANK('ENGAGEMENTS 2026'!B1813),"",'ENGAGEMENTS 2026'!G1813)</f>
        <v/>
      </c>
      <c r="J1813" s="275">
        <f>IF(ISBLANK('ENGAGEMENTS 2026'!B1813),"",IF(AND(OR($E1813="INFRUCTUEUX",$E1813="ANNULE"),$C1813="AOO-M"),'ENGAGEMENTS 2026'!O1813,IF($H1813="EN COURS DE PREENGAGEMENT",'ENGAGEMENTS 2026'!N1813,IF($H1813="PREENGAGE",IF($E1813="ATTRIBUE",'ENGAGEMENTS 2026'!AD1813,'ENGAGEMENTS 2026'!N1813),'ENGAGEMENTS 2026'!AD1813))))</f>
        <v/>
      </c>
      <c r="K1813" s="604">
        <f>IF(ISBLANK('ENGAGEMENTS 2026'!V1813),"",'ENGAGEMENTS 2026'!V1813)</f>
        <v/>
      </c>
      <c r="L1813" s="276">
        <f>IF($K1813="","",TODAY()-$K1813)</f>
        <v/>
      </c>
      <c r="M1813">
        <f>IF($A1813="","",IF($H1813="ENGAGE","Engagé",IF(AND($H1813="NON ENGAGE",OR($I1813="INFRUCTUEUX",$I1813="ANNULE")),"Clôturé sans suite","En cours")))</f>
        <v/>
      </c>
      <c r="N1813">
        <f>IF(ISBLANK('ENGAGEMENTS 2026'!B1813),"",'ENGAGEMENTS 2026'!K1813)</f>
        <v/>
      </c>
      <c r="O1813">
        <f>IF(ISBLANK('ENGAGEMENTS 2026'!B1813),"",'ENGAGEMENTS 2026'!L1813)</f>
        <v/>
      </c>
      <c r="P1813">
        <f>IF(ISBLANK('ENGAGEMENTS 2026'!B1813),"",'ENGAGEMENTS 2026'!J1813)</f>
        <v/>
      </c>
      <c r="Q1813">
        <f>IF($A1813="","",IF(OR($E1813="INFRUCTUEUX",$E1813="ANNULE"),$A1813&amp;"|"&amp;(COUNTIFS($A$2:$A1813,$A1813,$E$2:$E1813,"INFRUCTUEUX")+COUNTIFS($A$2:$A1813,$A1813,$E$2:$E1813,"ANNULE")),""))</f>
        <v/>
      </c>
    </row>
    <row r="1814">
      <c r="A1814">
        <f>IF(ISBLANK('ENGAGEMENTS 2026'!B1814),"",IF('ENGAGEMENTS 2026'!B1814="DTSI","DCT",'ENGAGEMENTS 2026'!B1814))</f>
        <v/>
      </c>
      <c r="B1814">
        <f>IF(ISBLANK('ENGAGEMENTS 2026'!B1814),"",'ENGAGEMENTS 2026'!C1814)</f>
        <v/>
      </c>
      <c r="C1814">
        <f>IF(ISBLANK('ENGAGEMENTS 2026'!B1814),"",'ENGAGEMENTS 2026'!D1814)</f>
        <v/>
      </c>
      <c r="D1814">
        <f>IF(ISBLANK('ENGAGEMENTS 2026'!B1814),"",'ENGAGEMENTS 2026'!F1814)</f>
        <v/>
      </c>
      <c r="E1814">
        <f>IF(ISBLANK('ENGAGEMENTS 2026'!B1814),"",'ENGAGEMENTS 2026'!H1814)</f>
        <v/>
      </c>
      <c r="F1814">
        <f>IF(ISBLANK('ENGAGEMENTS 2026'!B1814),"",'ENGAGEMENTS 2026'!I1814)</f>
        <v/>
      </c>
      <c r="G1814">
        <f>IF(ISBLANK('ENGAGEMENTS 2026'!B1814),"",'ENGAGEMENTS 2026'!L1814)</f>
        <v/>
      </c>
      <c r="H1814">
        <f>IF(ISBLANK('ENGAGEMENTS 2026'!B1814),"",'ENGAGEMENTS 2026'!AE1814)</f>
        <v/>
      </c>
      <c r="I1814">
        <f>IF(ISBLANK('ENGAGEMENTS 2026'!B1814),"",'ENGAGEMENTS 2026'!G1814)</f>
        <v/>
      </c>
      <c r="J1814" s="275">
        <f>IF(ISBLANK('ENGAGEMENTS 2026'!B1814),"",IF(AND(OR($E1814="INFRUCTUEUX",$E1814="ANNULE"),$C1814="AOO-M"),'ENGAGEMENTS 2026'!O1814,IF($H1814="EN COURS DE PREENGAGEMENT",'ENGAGEMENTS 2026'!N1814,IF($H1814="PREENGAGE",IF($E1814="ATTRIBUE",'ENGAGEMENTS 2026'!AD1814,'ENGAGEMENTS 2026'!N1814),'ENGAGEMENTS 2026'!AD1814))))</f>
        <v/>
      </c>
      <c r="K1814" s="604">
        <f>IF(ISBLANK('ENGAGEMENTS 2026'!V1814),"",'ENGAGEMENTS 2026'!V1814)</f>
        <v/>
      </c>
      <c r="L1814" s="276">
        <f>IF($K1814="","",TODAY()-$K1814)</f>
        <v/>
      </c>
      <c r="M1814">
        <f>IF($A1814="","",IF($H1814="ENGAGE","Engagé",IF(AND($H1814="NON ENGAGE",OR($I1814="INFRUCTUEUX",$I1814="ANNULE")),"Clôturé sans suite","En cours")))</f>
        <v/>
      </c>
      <c r="N1814">
        <f>IF(ISBLANK('ENGAGEMENTS 2026'!B1814),"",'ENGAGEMENTS 2026'!K1814)</f>
        <v/>
      </c>
      <c r="O1814">
        <f>IF(ISBLANK('ENGAGEMENTS 2026'!B1814),"",'ENGAGEMENTS 2026'!L1814)</f>
        <v/>
      </c>
      <c r="P1814">
        <f>IF(ISBLANK('ENGAGEMENTS 2026'!B1814),"",'ENGAGEMENTS 2026'!J1814)</f>
        <v/>
      </c>
      <c r="Q1814">
        <f>IF($A1814="","",IF(OR($E1814="INFRUCTUEUX",$E1814="ANNULE"),$A1814&amp;"|"&amp;(COUNTIFS($A$2:$A1814,$A1814,$E$2:$E1814,"INFRUCTUEUX")+COUNTIFS($A$2:$A1814,$A1814,$E$2:$E1814,"ANNULE")),""))</f>
        <v/>
      </c>
    </row>
    <row r="1815">
      <c r="A1815">
        <f>IF(ISBLANK('ENGAGEMENTS 2026'!B1815),"",IF('ENGAGEMENTS 2026'!B1815="DTSI","DCT",'ENGAGEMENTS 2026'!B1815))</f>
        <v/>
      </c>
      <c r="B1815">
        <f>IF(ISBLANK('ENGAGEMENTS 2026'!B1815),"",'ENGAGEMENTS 2026'!C1815)</f>
        <v/>
      </c>
      <c r="C1815">
        <f>IF(ISBLANK('ENGAGEMENTS 2026'!B1815),"",'ENGAGEMENTS 2026'!D1815)</f>
        <v/>
      </c>
      <c r="D1815">
        <f>IF(ISBLANK('ENGAGEMENTS 2026'!B1815),"",'ENGAGEMENTS 2026'!F1815)</f>
        <v/>
      </c>
      <c r="E1815">
        <f>IF(ISBLANK('ENGAGEMENTS 2026'!B1815),"",'ENGAGEMENTS 2026'!H1815)</f>
        <v/>
      </c>
      <c r="F1815">
        <f>IF(ISBLANK('ENGAGEMENTS 2026'!B1815),"",'ENGAGEMENTS 2026'!I1815)</f>
        <v/>
      </c>
      <c r="G1815">
        <f>IF(ISBLANK('ENGAGEMENTS 2026'!B1815),"",'ENGAGEMENTS 2026'!L1815)</f>
        <v/>
      </c>
      <c r="H1815">
        <f>IF(ISBLANK('ENGAGEMENTS 2026'!B1815),"",'ENGAGEMENTS 2026'!AE1815)</f>
        <v/>
      </c>
      <c r="I1815">
        <f>IF(ISBLANK('ENGAGEMENTS 2026'!B1815),"",'ENGAGEMENTS 2026'!G1815)</f>
        <v/>
      </c>
      <c r="J1815" s="275">
        <f>IF(ISBLANK('ENGAGEMENTS 2026'!B1815),"",IF(AND(OR($E1815="INFRUCTUEUX",$E1815="ANNULE"),$C1815="AOO-M"),'ENGAGEMENTS 2026'!O1815,IF($H1815="EN COURS DE PREENGAGEMENT",'ENGAGEMENTS 2026'!N1815,IF($H1815="PREENGAGE",IF($E1815="ATTRIBUE",'ENGAGEMENTS 2026'!AD1815,'ENGAGEMENTS 2026'!N1815),'ENGAGEMENTS 2026'!AD1815))))</f>
        <v/>
      </c>
      <c r="K1815" s="604">
        <f>IF(ISBLANK('ENGAGEMENTS 2026'!V1815),"",'ENGAGEMENTS 2026'!V1815)</f>
        <v/>
      </c>
      <c r="L1815" s="276">
        <f>IF($K1815="","",TODAY()-$K1815)</f>
        <v/>
      </c>
      <c r="M1815">
        <f>IF($A1815="","",IF($H1815="ENGAGE","Engagé",IF(AND($H1815="NON ENGAGE",OR($I1815="INFRUCTUEUX",$I1815="ANNULE")),"Clôturé sans suite","En cours")))</f>
        <v/>
      </c>
      <c r="N1815">
        <f>IF(ISBLANK('ENGAGEMENTS 2026'!B1815),"",'ENGAGEMENTS 2026'!K1815)</f>
        <v/>
      </c>
      <c r="O1815">
        <f>IF(ISBLANK('ENGAGEMENTS 2026'!B1815),"",'ENGAGEMENTS 2026'!L1815)</f>
        <v/>
      </c>
      <c r="P1815">
        <f>IF(ISBLANK('ENGAGEMENTS 2026'!B1815),"",'ENGAGEMENTS 2026'!J1815)</f>
        <v/>
      </c>
      <c r="Q1815">
        <f>IF($A1815="","",IF(OR($E1815="INFRUCTUEUX",$E1815="ANNULE"),$A1815&amp;"|"&amp;(COUNTIFS($A$2:$A1815,$A1815,$E$2:$E1815,"INFRUCTUEUX")+COUNTIFS($A$2:$A1815,$A1815,$E$2:$E1815,"ANNULE")),""))</f>
        <v/>
      </c>
    </row>
    <row r="1816">
      <c r="A1816">
        <f>IF(ISBLANK('ENGAGEMENTS 2026'!B1816),"",IF('ENGAGEMENTS 2026'!B1816="DTSI","DCT",'ENGAGEMENTS 2026'!B1816))</f>
        <v/>
      </c>
      <c r="B1816">
        <f>IF(ISBLANK('ENGAGEMENTS 2026'!B1816),"",'ENGAGEMENTS 2026'!C1816)</f>
        <v/>
      </c>
      <c r="C1816">
        <f>IF(ISBLANK('ENGAGEMENTS 2026'!B1816),"",'ENGAGEMENTS 2026'!D1816)</f>
        <v/>
      </c>
      <c r="D1816">
        <f>IF(ISBLANK('ENGAGEMENTS 2026'!B1816),"",'ENGAGEMENTS 2026'!F1816)</f>
        <v/>
      </c>
      <c r="E1816">
        <f>IF(ISBLANK('ENGAGEMENTS 2026'!B1816),"",'ENGAGEMENTS 2026'!H1816)</f>
        <v/>
      </c>
      <c r="F1816">
        <f>IF(ISBLANK('ENGAGEMENTS 2026'!B1816),"",'ENGAGEMENTS 2026'!I1816)</f>
        <v/>
      </c>
      <c r="G1816">
        <f>IF(ISBLANK('ENGAGEMENTS 2026'!B1816),"",'ENGAGEMENTS 2026'!L1816)</f>
        <v/>
      </c>
      <c r="H1816">
        <f>IF(ISBLANK('ENGAGEMENTS 2026'!B1816),"",'ENGAGEMENTS 2026'!AE1816)</f>
        <v/>
      </c>
      <c r="I1816">
        <f>IF(ISBLANK('ENGAGEMENTS 2026'!B1816),"",'ENGAGEMENTS 2026'!G1816)</f>
        <v/>
      </c>
      <c r="J1816" s="275">
        <f>IF(ISBLANK('ENGAGEMENTS 2026'!B1816),"",IF(AND(OR($E1816="INFRUCTUEUX",$E1816="ANNULE"),$C1816="AOO-M"),'ENGAGEMENTS 2026'!O1816,IF($H1816="EN COURS DE PREENGAGEMENT",'ENGAGEMENTS 2026'!N1816,IF($H1816="PREENGAGE",IF($E1816="ATTRIBUE",'ENGAGEMENTS 2026'!AD1816,'ENGAGEMENTS 2026'!N1816),'ENGAGEMENTS 2026'!AD1816))))</f>
        <v/>
      </c>
      <c r="K1816" s="604">
        <f>IF(ISBLANK('ENGAGEMENTS 2026'!V1816),"",'ENGAGEMENTS 2026'!V1816)</f>
        <v/>
      </c>
      <c r="L1816" s="276">
        <f>IF($K1816="","",TODAY()-$K1816)</f>
        <v/>
      </c>
      <c r="M1816">
        <f>IF($A1816="","",IF($H1816="ENGAGE","Engagé",IF(AND($H1816="NON ENGAGE",OR($I1816="INFRUCTUEUX",$I1816="ANNULE")),"Clôturé sans suite","En cours")))</f>
        <v/>
      </c>
      <c r="N1816">
        <f>IF(ISBLANK('ENGAGEMENTS 2026'!B1816),"",'ENGAGEMENTS 2026'!K1816)</f>
        <v/>
      </c>
      <c r="O1816">
        <f>IF(ISBLANK('ENGAGEMENTS 2026'!B1816),"",'ENGAGEMENTS 2026'!L1816)</f>
        <v/>
      </c>
      <c r="P1816">
        <f>IF(ISBLANK('ENGAGEMENTS 2026'!B1816),"",'ENGAGEMENTS 2026'!J1816)</f>
        <v/>
      </c>
      <c r="Q1816">
        <f>IF($A1816="","",IF(OR($E1816="INFRUCTUEUX",$E1816="ANNULE"),$A1816&amp;"|"&amp;(COUNTIFS($A$2:$A1816,$A1816,$E$2:$E1816,"INFRUCTUEUX")+COUNTIFS($A$2:$A1816,$A1816,$E$2:$E1816,"ANNULE")),""))</f>
        <v/>
      </c>
    </row>
    <row r="1817">
      <c r="A1817">
        <f>IF(ISBLANK('ENGAGEMENTS 2026'!B1817),"",IF('ENGAGEMENTS 2026'!B1817="DTSI","DCT",'ENGAGEMENTS 2026'!B1817))</f>
        <v/>
      </c>
      <c r="B1817">
        <f>IF(ISBLANK('ENGAGEMENTS 2026'!B1817),"",'ENGAGEMENTS 2026'!C1817)</f>
        <v/>
      </c>
      <c r="C1817">
        <f>IF(ISBLANK('ENGAGEMENTS 2026'!B1817),"",'ENGAGEMENTS 2026'!D1817)</f>
        <v/>
      </c>
      <c r="D1817">
        <f>IF(ISBLANK('ENGAGEMENTS 2026'!B1817),"",'ENGAGEMENTS 2026'!F1817)</f>
        <v/>
      </c>
      <c r="E1817">
        <f>IF(ISBLANK('ENGAGEMENTS 2026'!B1817),"",'ENGAGEMENTS 2026'!H1817)</f>
        <v/>
      </c>
      <c r="F1817">
        <f>IF(ISBLANK('ENGAGEMENTS 2026'!B1817),"",'ENGAGEMENTS 2026'!I1817)</f>
        <v/>
      </c>
      <c r="G1817">
        <f>IF(ISBLANK('ENGAGEMENTS 2026'!B1817),"",'ENGAGEMENTS 2026'!L1817)</f>
        <v/>
      </c>
      <c r="H1817">
        <f>IF(ISBLANK('ENGAGEMENTS 2026'!B1817),"",'ENGAGEMENTS 2026'!AE1817)</f>
        <v/>
      </c>
      <c r="I1817">
        <f>IF(ISBLANK('ENGAGEMENTS 2026'!B1817),"",'ENGAGEMENTS 2026'!G1817)</f>
        <v/>
      </c>
      <c r="J1817" s="275">
        <f>IF(ISBLANK('ENGAGEMENTS 2026'!B1817),"",IF(AND(OR($E1817="INFRUCTUEUX",$E1817="ANNULE"),$C1817="AOO-M"),'ENGAGEMENTS 2026'!O1817,IF($H1817="EN COURS DE PREENGAGEMENT",'ENGAGEMENTS 2026'!N1817,IF($H1817="PREENGAGE",IF($E1817="ATTRIBUE",'ENGAGEMENTS 2026'!AD1817,'ENGAGEMENTS 2026'!N1817),'ENGAGEMENTS 2026'!AD1817))))</f>
        <v/>
      </c>
      <c r="K1817" s="604">
        <f>IF(ISBLANK('ENGAGEMENTS 2026'!V1817),"",'ENGAGEMENTS 2026'!V1817)</f>
        <v/>
      </c>
      <c r="L1817" s="276">
        <f>IF($K1817="","",TODAY()-$K1817)</f>
        <v/>
      </c>
      <c r="M1817">
        <f>IF($A1817="","",IF($H1817="ENGAGE","Engagé",IF(AND($H1817="NON ENGAGE",OR($I1817="INFRUCTUEUX",$I1817="ANNULE")),"Clôturé sans suite","En cours")))</f>
        <v/>
      </c>
      <c r="N1817">
        <f>IF(ISBLANK('ENGAGEMENTS 2026'!B1817),"",'ENGAGEMENTS 2026'!K1817)</f>
        <v/>
      </c>
      <c r="O1817">
        <f>IF(ISBLANK('ENGAGEMENTS 2026'!B1817),"",'ENGAGEMENTS 2026'!L1817)</f>
        <v/>
      </c>
      <c r="P1817">
        <f>IF(ISBLANK('ENGAGEMENTS 2026'!B1817),"",'ENGAGEMENTS 2026'!J1817)</f>
        <v/>
      </c>
      <c r="Q1817">
        <f>IF($A1817="","",IF(OR($E1817="INFRUCTUEUX",$E1817="ANNULE"),$A1817&amp;"|"&amp;(COUNTIFS($A$2:$A1817,$A1817,$E$2:$E1817,"INFRUCTUEUX")+COUNTIFS($A$2:$A1817,$A1817,$E$2:$E1817,"ANNULE")),""))</f>
        <v/>
      </c>
    </row>
    <row r="1818">
      <c r="A1818">
        <f>IF(ISBLANK('ENGAGEMENTS 2026'!B1818),"",IF('ENGAGEMENTS 2026'!B1818="DTSI","DCT",'ENGAGEMENTS 2026'!B1818))</f>
        <v/>
      </c>
      <c r="B1818">
        <f>IF(ISBLANK('ENGAGEMENTS 2026'!B1818),"",'ENGAGEMENTS 2026'!C1818)</f>
        <v/>
      </c>
      <c r="C1818">
        <f>IF(ISBLANK('ENGAGEMENTS 2026'!B1818),"",'ENGAGEMENTS 2026'!D1818)</f>
        <v/>
      </c>
      <c r="D1818">
        <f>IF(ISBLANK('ENGAGEMENTS 2026'!B1818),"",'ENGAGEMENTS 2026'!F1818)</f>
        <v/>
      </c>
      <c r="E1818">
        <f>IF(ISBLANK('ENGAGEMENTS 2026'!B1818),"",'ENGAGEMENTS 2026'!H1818)</f>
        <v/>
      </c>
      <c r="F1818">
        <f>IF(ISBLANK('ENGAGEMENTS 2026'!B1818),"",'ENGAGEMENTS 2026'!I1818)</f>
        <v/>
      </c>
      <c r="G1818">
        <f>IF(ISBLANK('ENGAGEMENTS 2026'!B1818),"",'ENGAGEMENTS 2026'!L1818)</f>
        <v/>
      </c>
      <c r="H1818">
        <f>IF(ISBLANK('ENGAGEMENTS 2026'!B1818),"",'ENGAGEMENTS 2026'!AE1818)</f>
        <v/>
      </c>
      <c r="I1818">
        <f>IF(ISBLANK('ENGAGEMENTS 2026'!B1818),"",'ENGAGEMENTS 2026'!G1818)</f>
        <v/>
      </c>
      <c r="J1818" s="275">
        <f>IF(ISBLANK('ENGAGEMENTS 2026'!B1818),"",IF(AND(OR($E1818="INFRUCTUEUX",$E1818="ANNULE"),$C1818="AOO-M"),'ENGAGEMENTS 2026'!O1818,IF($H1818="EN COURS DE PREENGAGEMENT",'ENGAGEMENTS 2026'!N1818,IF($H1818="PREENGAGE",IF($E1818="ATTRIBUE",'ENGAGEMENTS 2026'!AD1818,'ENGAGEMENTS 2026'!N1818),'ENGAGEMENTS 2026'!AD1818))))</f>
        <v/>
      </c>
      <c r="K1818" s="604">
        <f>IF(ISBLANK('ENGAGEMENTS 2026'!V1818),"",'ENGAGEMENTS 2026'!V1818)</f>
        <v/>
      </c>
      <c r="L1818" s="276">
        <f>IF($K1818="","",TODAY()-$K1818)</f>
        <v/>
      </c>
      <c r="M1818">
        <f>IF($A1818="","",IF($H1818="ENGAGE","Engagé",IF(AND($H1818="NON ENGAGE",OR($I1818="INFRUCTUEUX",$I1818="ANNULE")),"Clôturé sans suite","En cours")))</f>
        <v/>
      </c>
      <c r="N1818">
        <f>IF(ISBLANK('ENGAGEMENTS 2026'!B1818),"",'ENGAGEMENTS 2026'!K1818)</f>
        <v/>
      </c>
      <c r="O1818">
        <f>IF(ISBLANK('ENGAGEMENTS 2026'!B1818),"",'ENGAGEMENTS 2026'!L1818)</f>
        <v/>
      </c>
      <c r="P1818">
        <f>IF(ISBLANK('ENGAGEMENTS 2026'!B1818),"",'ENGAGEMENTS 2026'!J1818)</f>
        <v/>
      </c>
      <c r="Q1818">
        <f>IF($A1818="","",IF(OR($E1818="INFRUCTUEUX",$E1818="ANNULE"),$A1818&amp;"|"&amp;(COUNTIFS($A$2:$A1818,$A1818,$E$2:$E1818,"INFRUCTUEUX")+COUNTIFS($A$2:$A1818,$A1818,$E$2:$E1818,"ANNULE")),""))</f>
        <v/>
      </c>
    </row>
    <row r="1819">
      <c r="A1819">
        <f>IF(ISBLANK('ENGAGEMENTS 2026'!B1819),"",IF('ENGAGEMENTS 2026'!B1819="DTSI","DCT",'ENGAGEMENTS 2026'!B1819))</f>
        <v/>
      </c>
      <c r="B1819">
        <f>IF(ISBLANK('ENGAGEMENTS 2026'!B1819),"",'ENGAGEMENTS 2026'!C1819)</f>
        <v/>
      </c>
      <c r="C1819">
        <f>IF(ISBLANK('ENGAGEMENTS 2026'!B1819),"",'ENGAGEMENTS 2026'!D1819)</f>
        <v/>
      </c>
      <c r="D1819">
        <f>IF(ISBLANK('ENGAGEMENTS 2026'!B1819),"",'ENGAGEMENTS 2026'!F1819)</f>
        <v/>
      </c>
      <c r="E1819">
        <f>IF(ISBLANK('ENGAGEMENTS 2026'!B1819),"",'ENGAGEMENTS 2026'!H1819)</f>
        <v/>
      </c>
      <c r="F1819">
        <f>IF(ISBLANK('ENGAGEMENTS 2026'!B1819),"",'ENGAGEMENTS 2026'!I1819)</f>
        <v/>
      </c>
      <c r="G1819">
        <f>IF(ISBLANK('ENGAGEMENTS 2026'!B1819),"",'ENGAGEMENTS 2026'!L1819)</f>
        <v/>
      </c>
      <c r="H1819">
        <f>IF(ISBLANK('ENGAGEMENTS 2026'!B1819),"",'ENGAGEMENTS 2026'!AE1819)</f>
        <v/>
      </c>
      <c r="I1819">
        <f>IF(ISBLANK('ENGAGEMENTS 2026'!B1819),"",'ENGAGEMENTS 2026'!G1819)</f>
        <v/>
      </c>
      <c r="J1819" s="275">
        <f>IF(ISBLANK('ENGAGEMENTS 2026'!B1819),"",IF(AND(OR($E1819="INFRUCTUEUX",$E1819="ANNULE"),$C1819="AOO-M"),'ENGAGEMENTS 2026'!O1819,IF($H1819="EN COURS DE PREENGAGEMENT",'ENGAGEMENTS 2026'!N1819,IF($H1819="PREENGAGE",IF($E1819="ATTRIBUE",'ENGAGEMENTS 2026'!AD1819,'ENGAGEMENTS 2026'!N1819),'ENGAGEMENTS 2026'!AD1819))))</f>
        <v/>
      </c>
      <c r="K1819" s="604">
        <f>IF(ISBLANK('ENGAGEMENTS 2026'!V1819),"",'ENGAGEMENTS 2026'!V1819)</f>
        <v/>
      </c>
      <c r="L1819" s="276">
        <f>IF($K1819="","",TODAY()-$K1819)</f>
        <v/>
      </c>
      <c r="M1819">
        <f>IF($A1819="","",IF($H1819="ENGAGE","Engagé",IF(AND($H1819="NON ENGAGE",OR($I1819="INFRUCTUEUX",$I1819="ANNULE")),"Clôturé sans suite","En cours")))</f>
        <v/>
      </c>
      <c r="N1819">
        <f>IF(ISBLANK('ENGAGEMENTS 2026'!B1819),"",'ENGAGEMENTS 2026'!K1819)</f>
        <v/>
      </c>
      <c r="O1819">
        <f>IF(ISBLANK('ENGAGEMENTS 2026'!B1819),"",'ENGAGEMENTS 2026'!L1819)</f>
        <v/>
      </c>
      <c r="P1819">
        <f>IF(ISBLANK('ENGAGEMENTS 2026'!B1819),"",'ENGAGEMENTS 2026'!J1819)</f>
        <v/>
      </c>
      <c r="Q1819">
        <f>IF($A1819="","",IF(OR($E1819="INFRUCTUEUX",$E1819="ANNULE"),$A1819&amp;"|"&amp;(COUNTIFS($A$2:$A1819,$A1819,$E$2:$E1819,"INFRUCTUEUX")+COUNTIFS($A$2:$A1819,$A1819,$E$2:$E1819,"ANNULE")),""))</f>
        <v/>
      </c>
    </row>
    <row r="1820">
      <c r="A1820">
        <f>IF(ISBLANK('ENGAGEMENTS 2026'!B1820),"",IF('ENGAGEMENTS 2026'!B1820="DTSI","DCT",'ENGAGEMENTS 2026'!B1820))</f>
        <v/>
      </c>
      <c r="B1820">
        <f>IF(ISBLANK('ENGAGEMENTS 2026'!B1820),"",'ENGAGEMENTS 2026'!C1820)</f>
        <v/>
      </c>
      <c r="C1820">
        <f>IF(ISBLANK('ENGAGEMENTS 2026'!B1820),"",'ENGAGEMENTS 2026'!D1820)</f>
        <v/>
      </c>
      <c r="D1820">
        <f>IF(ISBLANK('ENGAGEMENTS 2026'!B1820),"",'ENGAGEMENTS 2026'!F1820)</f>
        <v/>
      </c>
      <c r="E1820">
        <f>IF(ISBLANK('ENGAGEMENTS 2026'!B1820),"",'ENGAGEMENTS 2026'!H1820)</f>
        <v/>
      </c>
      <c r="F1820">
        <f>IF(ISBLANK('ENGAGEMENTS 2026'!B1820),"",'ENGAGEMENTS 2026'!I1820)</f>
        <v/>
      </c>
      <c r="G1820">
        <f>IF(ISBLANK('ENGAGEMENTS 2026'!B1820),"",'ENGAGEMENTS 2026'!L1820)</f>
        <v/>
      </c>
      <c r="H1820">
        <f>IF(ISBLANK('ENGAGEMENTS 2026'!B1820),"",'ENGAGEMENTS 2026'!AE1820)</f>
        <v/>
      </c>
      <c r="I1820">
        <f>IF(ISBLANK('ENGAGEMENTS 2026'!B1820),"",'ENGAGEMENTS 2026'!G1820)</f>
        <v/>
      </c>
      <c r="J1820" s="275">
        <f>IF(ISBLANK('ENGAGEMENTS 2026'!B1820),"",IF(AND(OR($E1820="INFRUCTUEUX",$E1820="ANNULE"),$C1820="AOO-M"),'ENGAGEMENTS 2026'!O1820,IF($H1820="EN COURS DE PREENGAGEMENT",'ENGAGEMENTS 2026'!N1820,IF($H1820="PREENGAGE",IF($E1820="ATTRIBUE",'ENGAGEMENTS 2026'!AD1820,'ENGAGEMENTS 2026'!N1820),'ENGAGEMENTS 2026'!AD1820))))</f>
        <v/>
      </c>
      <c r="K1820" s="604">
        <f>IF(ISBLANK('ENGAGEMENTS 2026'!V1820),"",'ENGAGEMENTS 2026'!V1820)</f>
        <v/>
      </c>
      <c r="L1820" s="276">
        <f>IF($K1820="","",TODAY()-$K1820)</f>
        <v/>
      </c>
      <c r="M1820">
        <f>IF($A1820="","",IF($H1820="ENGAGE","Engagé",IF(AND($H1820="NON ENGAGE",OR($I1820="INFRUCTUEUX",$I1820="ANNULE")),"Clôturé sans suite","En cours")))</f>
        <v/>
      </c>
      <c r="N1820">
        <f>IF(ISBLANK('ENGAGEMENTS 2026'!B1820),"",'ENGAGEMENTS 2026'!K1820)</f>
        <v/>
      </c>
      <c r="O1820">
        <f>IF(ISBLANK('ENGAGEMENTS 2026'!B1820),"",'ENGAGEMENTS 2026'!L1820)</f>
        <v/>
      </c>
      <c r="P1820">
        <f>IF(ISBLANK('ENGAGEMENTS 2026'!B1820),"",'ENGAGEMENTS 2026'!J1820)</f>
        <v/>
      </c>
      <c r="Q1820">
        <f>IF($A1820="","",IF(OR($E1820="INFRUCTUEUX",$E1820="ANNULE"),$A1820&amp;"|"&amp;(COUNTIFS($A$2:$A1820,$A1820,$E$2:$E1820,"INFRUCTUEUX")+COUNTIFS($A$2:$A1820,$A1820,$E$2:$E1820,"ANNULE")),""))</f>
        <v/>
      </c>
    </row>
    <row r="1821">
      <c r="A1821">
        <f>IF(ISBLANK('ENGAGEMENTS 2026'!B1821),"",IF('ENGAGEMENTS 2026'!B1821="DTSI","DCT",'ENGAGEMENTS 2026'!B1821))</f>
        <v/>
      </c>
      <c r="B1821">
        <f>IF(ISBLANK('ENGAGEMENTS 2026'!B1821),"",'ENGAGEMENTS 2026'!C1821)</f>
        <v/>
      </c>
      <c r="C1821">
        <f>IF(ISBLANK('ENGAGEMENTS 2026'!B1821),"",'ENGAGEMENTS 2026'!D1821)</f>
        <v/>
      </c>
      <c r="D1821">
        <f>IF(ISBLANK('ENGAGEMENTS 2026'!B1821),"",'ENGAGEMENTS 2026'!F1821)</f>
        <v/>
      </c>
      <c r="E1821">
        <f>IF(ISBLANK('ENGAGEMENTS 2026'!B1821),"",'ENGAGEMENTS 2026'!H1821)</f>
        <v/>
      </c>
      <c r="F1821">
        <f>IF(ISBLANK('ENGAGEMENTS 2026'!B1821),"",'ENGAGEMENTS 2026'!I1821)</f>
        <v/>
      </c>
      <c r="G1821">
        <f>IF(ISBLANK('ENGAGEMENTS 2026'!B1821),"",'ENGAGEMENTS 2026'!L1821)</f>
        <v/>
      </c>
      <c r="H1821">
        <f>IF(ISBLANK('ENGAGEMENTS 2026'!B1821),"",'ENGAGEMENTS 2026'!AE1821)</f>
        <v/>
      </c>
      <c r="I1821">
        <f>IF(ISBLANK('ENGAGEMENTS 2026'!B1821),"",'ENGAGEMENTS 2026'!G1821)</f>
        <v/>
      </c>
      <c r="J1821" s="275">
        <f>IF(ISBLANK('ENGAGEMENTS 2026'!B1821),"",IF(AND(OR($E1821="INFRUCTUEUX",$E1821="ANNULE"),$C1821="AOO-M"),'ENGAGEMENTS 2026'!O1821,IF($H1821="EN COURS DE PREENGAGEMENT",'ENGAGEMENTS 2026'!N1821,IF($H1821="PREENGAGE",IF($E1821="ATTRIBUE",'ENGAGEMENTS 2026'!AD1821,'ENGAGEMENTS 2026'!N1821),'ENGAGEMENTS 2026'!AD1821))))</f>
        <v/>
      </c>
      <c r="K1821" s="604">
        <f>IF(ISBLANK('ENGAGEMENTS 2026'!V1821),"",'ENGAGEMENTS 2026'!V1821)</f>
        <v/>
      </c>
      <c r="L1821" s="276">
        <f>IF($K1821="","",TODAY()-$K1821)</f>
        <v/>
      </c>
      <c r="M1821">
        <f>IF($A1821="","",IF($H1821="ENGAGE","Engagé",IF(AND($H1821="NON ENGAGE",OR($I1821="INFRUCTUEUX",$I1821="ANNULE")),"Clôturé sans suite","En cours")))</f>
        <v/>
      </c>
      <c r="N1821">
        <f>IF(ISBLANK('ENGAGEMENTS 2026'!B1821),"",'ENGAGEMENTS 2026'!K1821)</f>
        <v/>
      </c>
      <c r="O1821">
        <f>IF(ISBLANK('ENGAGEMENTS 2026'!B1821),"",'ENGAGEMENTS 2026'!L1821)</f>
        <v/>
      </c>
      <c r="P1821">
        <f>IF(ISBLANK('ENGAGEMENTS 2026'!B1821),"",'ENGAGEMENTS 2026'!J1821)</f>
        <v/>
      </c>
      <c r="Q1821">
        <f>IF($A1821="","",IF(OR($E1821="INFRUCTUEUX",$E1821="ANNULE"),$A1821&amp;"|"&amp;(COUNTIFS($A$2:$A1821,$A1821,$E$2:$E1821,"INFRUCTUEUX")+COUNTIFS($A$2:$A1821,$A1821,$E$2:$E1821,"ANNULE")),""))</f>
        <v/>
      </c>
    </row>
    <row r="1822">
      <c r="A1822">
        <f>IF(ISBLANK('ENGAGEMENTS 2026'!B1822),"",IF('ENGAGEMENTS 2026'!B1822="DTSI","DCT",'ENGAGEMENTS 2026'!B1822))</f>
        <v/>
      </c>
      <c r="B1822">
        <f>IF(ISBLANK('ENGAGEMENTS 2026'!B1822),"",'ENGAGEMENTS 2026'!C1822)</f>
        <v/>
      </c>
      <c r="C1822">
        <f>IF(ISBLANK('ENGAGEMENTS 2026'!B1822),"",'ENGAGEMENTS 2026'!D1822)</f>
        <v/>
      </c>
      <c r="D1822">
        <f>IF(ISBLANK('ENGAGEMENTS 2026'!B1822),"",'ENGAGEMENTS 2026'!F1822)</f>
        <v/>
      </c>
      <c r="E1822">
        <f>IF(ISBLANK('ENGAGEMENTS 2026'!B1822),"",'ENGAGEMENTS 2026'!H1822)</f>
        <v/>
      </c>
      <c r="F1822">
        <f>IF(ISBLANK('ENGAGEMENTS 2026'!B1822),"",'ENGAGEMENTS 2026'!I1822)</f>
        <v/>
      </c>
      <c r="G1822">
        <f>IF(ISBLANK('ENGAGEMENTS 2026'!B1822),"",'ENGAGEMENTS 2026'!L1822)</f>
        <v/>
      </c>
      <c r="H1822">
        <f>IF(ISBLANK('ENGAGEMENTS 2026'!B1822),"",'ENGAGEMENTS 2026'!AE1822)</f>
        <v/>
      </c>
      <c r="I1822">
        <f>IF(ISBLANK('ENGAGEMENTS 2026'!B1822),"",'ENGAGEMENTS 2026'!G1822)</f>
        <v/>
      </c>
      <c r="J1822" s="275">
        <f>IF(ISBLANK('ENGAGEMENTS 2026'!B1822),"",IF(AND(OR($E1822="INFRUCTUEUX",$E1822="ANNULE"),$C1822="AOO-M"),'ENGAGEMENTS 2026'!O1822,IF($H1822="EN COURS DE PREENGAGEMENT",'ENGAGEMENTS 2026'!N1822,IF($H1822="PREENGAGE",IF($E1822="ATTRIBUE",'ENGAGEMENTS 2026'!AD1822,'ENGAGEMENTS 2026'!N1822),'ENGAGEMENTS 2026'!AD1822))))</f>
        <v/>
      </c>
      <c r="K1822" s="604">
        <f>IF(ISBLANK('ENGAGEMENTS 2026'!V1822),"",'ENGAGEMENTS 2026'!V1822)</f>
        <v/>
      </c>
      <c r="L1822" s="276">
        <f>IF($K1822="","",TODAY()-$K1822)</f>
        <v/>
      </c>
      <c r="M1822">
        <f>IF($A1822="","",IF($H1822="ENGAGE","Engagé",IF(AND($H1822="NON ENGAGE",OR($I1822="INFRUCTUEUX",$I1822="ANNULE")),"Clôturé sans suite","En cours")))</f>
        <v/>
      </c>
      <c r="N1822">
        <f>IF(ISBLANK('ENGAGEMENTS 2026'!B1822),"",'ENGAGEMENTS 2026'!K1822)</f>
        <v/>
      </c>
      <c r="O1822">
        <f>IF(ISBLANK('ENGAGEMENTS 2026'!B1822),"",'ENGAGEMENTS 2026'!L1822)</f>
        <v/>
      </c>
      <c r="P1822">
        <f>IF(ISBLANK('ENGAGEMENTS 2026'!B1822),"",'ENGAGEMENTS 2026'!J1822)</f>
        <v/>
      </c>
      <c r="Q1822">
        <f>IF($A1822="","",IF(OR($E1822="INFRUCTUEUX",$E1822="ANNULE"),$A1822&amp;"|"&amp;(COUNTIFS($A$2:$A1822,$A1822,$E$2:$E1822,"INFRUCTUEUX")+COUNTIFS($A$2:$A1822,$A1822,$E$2:$E1822,"ANNULE")),""))</f>
        <v/>
      </c>
    </row>
    <row r="1823">
      <c r="A1823">
        <f>IF(ISBLANK('ENGAGEMENTS 2026'!B1823),"",IF('ENGAGEMENTS 2026'!B1823="DTSI","DCT",'ENGAGEMENTS 2026'!B1823))</f>
        <v/>
      </c>
      <c r="B1823">
        <f>IF(ISBLANK('ENGAGEMENTS 2026'!B1823),"",'ENGAGEMENTS 2026'!C1823)</f>
        <v/>
      </c>
      <c r="C1823">
        <f>IF(ISBLANK('ENGAGEMENTS 2026'!B1823),"",'ENGAGEMENTS 2026'!D1823)</f>
        <v/>
      </c>
      <c r="D1823">
        <f>IF(ISBLANK('ENGAGEMENTS 2026'!B1823),"",'ENGAGEMENTS 2026'!F1823)</f>
        <v/>
      </c>
      <c r="E1823">
        <f>IF(ISBLANK('ENGAGEMENTS 2026'!B1823),"",'ENGAGEMENTS 2026'!H1823)</f>
        <v/>
      </c>
      <c r="F1823">
        <f>IF(ISBLANK('ENGAGEMENTS 2026'!B1823),"",'ENGAGEMENTS 2026'!I1823)</f>
        <v/>
      </c>
      <c r="G1823">
        <f>IF(ISBLANK('ENGAGEMENTS 2026'!B1823),"",'ENGAGEMENTS 2026'!L1823)</f>
        <v/>
      </c>
      <c r="H1823">
        <f>IF(ISBLANK('ENGAGEMENTS 2026'!B1823),"",'ENGAGEMENTS 2026'!AE1823)</f>
        <v/>
      </c>
      <c r="I1823">
        <f>IF(ISBLANK('ENGAGEMENTS 2026'!B1823),"",'ENGAGEMENTS 2026'!G1823)</f>
        <v/>
      </c>
      <c r="J1823" s="275">
        <f>IF(ISBLANK('ENGAGEMENTS 2026'!B1823),"",IF(AND(OR($E1823="INFRUCTUEUX",$E1823="ANNULE"),$C1823="AOO-M"),'ENGAGEMENTS 2026'!O1823,IF($H1823="EN COURS DE PREENGAGEMENT",'ENGAGEMENTS 2026'!N1823,IF($H1823="PREENGAGE",IF($E1823="ATTRIBUE",'ENGAGEMENTS 2026'!AD1823,'ENGAGEMENTS 2026'!N1823),'ENGAGEMENTS 2026'!AD1823))))</f>
        <v/>
      </c>
      <c r="K1823" s="604">
        <f>IF(ISBLANK('ENGAGEMENTS 2026'!V1823),"",'ENGAGEMENTS 2026'!V1823)</f>
        <v/>
      </c>
      <c r="L1823" s="276">
        <f>IF($K1823="","",TODAY()-$K1823)</f>
        <v/>
      </c>
      <c r="M1823">
        <f>IF($A1823="","",IF($H1823="ENGAGE","Engagé",IF(AND($H1823="NON ENGAGE",OR($I1823="INFRUCTUEUX",$I1823="ANNULE")),"Clôturé sans suite","En cours")))</f>
        <v/>
      </c>
      <c r="N1823">
        <f>IF(ISBLANK('ENGAGEMENTS 2026'!B1823),"",'ENGAGEMENTS 2026'!K1823)</f>
        <v/>
      </c>
      <c r="O1823">
        <f>IF(ISBLANK('ENGAGEMENTS 2026'!B1823),"",'ENGAGEMENTS 2026'!L1823)</f>
        <v/>
      </c>
      <c r="P1823">
        <f>IF(ISBLANK('ENGAGEMENTS 2026'!B1823),"",'ENGAGEMENTS 2026'!J1823)</f>
        <v/>
      </c>
      <c r="Q1823">
        <f>IF($A1823="","",IF(OR($E1823="INFRUCTUEUX",$E1823="ANNULE"),$A1823&amp;"|"&amp;(COUNTIFS($A$2:$A1823,$A1823,$E$2:$E1823,"INFRUCTUEUX")+COUNTIFS($A$2:$A1823,$A1823,$E$2:$E1823,"ANNULE")),""))</f>
        <v/>
      </c>
    </row>
    <row r="1824">
      <c r="A1824">
        <f>IF(ISBLANK('ENGAGEMENTS 2026'!B1824),"",IF('ENGAGEMENTS 2026'!B1824="DTSI","DCT",'ENGAGEMENTS 2026'!B1824))</f>
        <v/>
      </c>
      <c r="B1824">
        <f>IF(ISBLANK('ENGAGEMENTS 2026'!B1824),"",'ENGAGEMENTS 2026'!C1824)</f>
        <v/>
      </c>
      <c r="C1824">
        <f>IF(ISBLANK('ENGAGEMENTS 2026'!B1824),"",'ENGAGEMENTS 2026'!D1824)</f>
        <v/>
      </c>
      <c r="D1824">
        <f>IF(ISBLANK('ENGAGEMENTS 2026'!B1824),"",'ENGAGEMENTS 2026'!F1824)</f>
        <v/>
      </c>
      <c r="E1824">
        <f>IF(ISBLANK('ENGAGEMENTS 2026'!B1824),"",'ENGAGEMENTS 2026'!H1824)</f>
        <v/>
      </c>
      <c r="F1824">
        <f>IF(ISBLANK('ENGAGEMENTS 2026'!B1824),"",'ENGAGEMENTS 2026'!I1824)</f>
        <v/>
      </c>
      <c r="G1824">
        <f>IF(ISBLANK('ENGAGEMENTS 2026'!B1824),"",'ENGAGEMENTS 2026'!L1824)</f>
        <v/>
      </c>
      <c r="H1824">
        <f>IF(ISBLANK('ENGAGEMENTS 2026'!B1824),"",'ENGAGEMENTS 2026'!AE1824)</f>
        <v/>
      </c>
      <c r="I1824">
        <f>IF(ISBLANK('ENGAGEMENTS 2026'!B1824),"",'ENGAGEMENTS 2026'!G1824)</f>
        <v/>
      </c>
      <c r="J1824" s="275">
        <f>IF(ISBLANK('ENGAGEMENTS 2026'!B1824),"",IF(AND(OR($E1824="INFRUCTUEUX",$E1824="ANNULE"),$C1824="AOO-M"),'ENGAGEMENTS 2026'!O1824,IF($H1824="EN COURS DE PREENGAGEMENT",'ENGAGEMENTS 2026'!N1824,IF($H1824="PREENGAGE",IF($E1824="ATTRIBUE",'ENGAGEMENTS 2026'!AD1824,'ENGAGEMENTS 2026'!N1824),'ENGAGEMENTS 2026'!AD1824))))</f>
        <v/>
      </c>
      <c r="K1824" s="604">
        <f>IF(ISBLANK('ENGAGEMENTS 2026'!V1824),"",'ENGAGEMENTS 2026'!V1824)</f>
        <v/>
      </c>
      <c r="L1824" s="276">
        <f>IF($K1824="","",TODAY()-$K1824)</f>
        <v/>
      </c>
      <c r="M1824">
        <f>IF($A1824="","",IF($H1824="ENGAGE","Engagé",IF(AND($H1824="NON ENGAGE",OR($I1824="INFRUCTUEUX",$I1824="ANNULE")),"Clôturé sans suite","En cours")))</f>
        <v/>
      </c>
      <c r="N1824">
        <f>IF(ISBLANK('ENGAGEMENTS 2026'!B1824),"",'ENGAGEMENTS 2026'!K1824)</f>
        <v/>
      </c>
      <c r="O1824">
        <f>IF(ISBLANK('ENGAGEMENTS 2026'!B1824),"",'ENGAGEMENTS 2026'!L1824)</f>
        <v/>
      </c>
      <c r="P1824">
        <f>IF(ISBLANK('ENGAGEMENTS 2026'!B1824),"",'ENGAGEMENTS 2026'!J1824)</f>
        <v/>
      </c>
      <c r="Q1824">
        <f>IF($A1824="","",IF(OR($E1824="INFRUCTUEUX",$E1824="ANNULE"),$A1824&amp;"|"&amp;(COUNTIFS($A$2:$A1824,$A1824,$E$2:$E1824,"INFRUCTUEUX")+COUNTIFS($A$2:$A1824,$A1824,$E$2:$E1824,"ANNULE")),""))</f>
        <v/>
      </c>
    </row>
    <row r="1825">
      <c r="A1825">
        <f>IF(ISBLANK('ENGAGEMENTS 2026'!B1825),"",IF('ENGAGEMENTS 2026'!B1825="DTSI","DCT",'ENGAGEMENTS 2026'!B1825))</f>
        <v/>
      </c>
      <c r="B1825">
        <f>IF(ISBLANK('ENGAGEMENTS 2026'!B1825),"",'ENGAGEMENTS 2026'!C1825)</f>
        <v/>
      </c>
      <c r="C1825">
        <f>IF(ISBLANK('ENGAGEMENTS 2026'!B1825),"",'ENGAGEMENTS 2026'!D1825)</f>
        <v/>
      </c>
      <c r="D1825">
        <f>IF(ISBLANK('ENGAGEMENTS 2026'!B1825),"",'ENGAGEMENTS 2026'!F1825)</f>
        <v/>
      </c>
      <c r="E1825">
        <f>IF(ISBLANK('ENGAGEMENTS 2026'!B1825),"",'ENGAGEMENTS 2026'!H1825)</f>
        <v/>
      </c>
      <c r="F1825">
        <f>IF(ISBLANK('ENGAGEMENTS 2026'!B1825),"",'ENGAGEMENTS 2026'!I1825)</f>
        <v/>
      </c>
      <c r="G1825">
        <f>IF(ISBLANK('ENGAGEMENTS 2026'!B1825),"",'ENGAGEMENTS 2026'!L1825)</f>
        <v/>
      </c>
      <c r="H1825">
        <f>IF(ISBLANK('ENGAGEMENTS 2026'!B1825),"",'ENGAGEMENTS 2026'!AE1825)</f>
        <v/>
      </c>
      <c r="I1825">
        <f>IF(ISBLANK('ENGAGEMENTS 2026'!B1825),"",'ENGAGEMENTS 2026'!G1825)</f>
        <v/>
      </c>
      <c r="J1825" s="275">
        <f>IF(ISBLANK('ENGAGEMENTS 2026'!B1825),"",IF(AND(OR($E1825="INFRUCTUEUX",$E1825="ANNULE"),$C1825="AOO-M"),'ENGAGEMENTS 2026'!O1825,IF($H1825="EN COURS DE PREENGAGEMENT",'ENGAGEMENTS 2026'!N1825,IF($H1825="PREENGAGE",IF($E1825="ATTRIBUE",'ENGAGEMENTS 2026'!AD1825,'ENGAGEMENTS 2026'!N1825),'ENGAGEMENTS 2026'!AD1825))))</f>
        <v/>
      </c>
      <c r="K1825" s="604">
        <f>IF(ISBLANK('ENGAGEMENTS 2026'!V1825),"",'ENGAGEMENTS 2026'!V1825)</f>
        <v/>
      </c>
      <c r="L1825" s="276">
        <f>IF($K1825="","",TODAY()-$K1825)</f>
        <v/>
      </c>
      <c r="M1825">
        <f>IF($A1825="","",IF($H1825="ENGAGE","Engagé",IF(AND($H1825="NON ENGAGE",OR($I1825="INFRUCTUEUX",$I1825="ANNULE")),"Clôturé sans suite","En cours")))</f>
        <v/>
      </c>
      <c r="N1825">
        <f>IF(ISBLANK('ENGAGEMENTS 2026'!B1825),"",'ENGAGEMENTS 2026'!K1825)</f>
        <v/>
      </c>
      <c r="O1825">
        <f>IF(ISBLANK('ENGAGEMENTS 2026'!B1825),"",'ENGAGEMENTS 2026'!L1825)</f>
        <v/>
      </c>
      <c r="P1825">
        <f>IF(ISBLANK('ENGAGEMENTS 2026'!B1825),"",'ENGAGEMENTS 2026'!J1825)</f>
        <v/>
      </c>
      <c r="Q1825">
        <f>IF($A1825="","",IF(OR($E1825="INFRUCTUEUX",$E1825="ANNULE"),$A1825&amp;"|"&amp;(COUNTIFS($A$2:$A1825,$A1825,$E$2:$E1825,"INFRUCTUEUX")+COUNTIFS($A$2:$A1825,$A1825,$E$2:$E1825,"ANNULE")),""))</f>
        <v/>
      </c>
    </row>
    <row r="1826">
      <c r="A1826">
        <f>IF(ISBLANK('ENGAGEMENTS 2026'!B1826),"",IF('ENGAGEMENTS 2026'!B1826="DTSI","DCT",'ENGAGEMENTS 2026'!B1826))</f>
        <v/>
      </c>
      <c r="B1826">
        <f>IF(ISBLANK('ENGAGEMENTS 2026'!B1826),"",'ENGAGEMENTS 2026'!C1826)</f>
        <v/>
      </c>
      <c r="C1826">
        <f>IF(ISBLANK('ENGAGEMENTS 2026'!B1826),"",'ENGAGEMENTS 2026'!D1826)</f>
        <v/>
      </c>
      <c r="D1826">
        <f>IF(ISBLANK('ENGAGEMENTS 2026'!B1826),"",'ENGAGEMENTS 2026'!F1826)</f>
        <v/>
      </c>
      <c r="E1826">
        <f>IF(ISBLANK('ENGAGEMENTS 2026'!B1826),"",'ENGAGEMENTS 2026'!H1826)</f>
        <v/>
      </c>
      <c r="F1826">
        <f>IF(ISBLANK('ENGAGEMENTS 2026'!B1826),"",'ENGAGEMENTS 2026'!I1826)</f>
        <v/>
      </c>
      <c r="G1826">
        <f>IF(ISBLANK('ENGAGEMENTS 2026'!B1826),"",'ENGAGEMENTS 2026'!L1826)</f>
        <v/>
      </c>
      <c r="H1826">
        <f>IF(ISBLANK('ENGAGEMENTS 2026'!B1826),"",'ENGAGEMENTS 2026'!AE1826)</f>
        <v/>
      </c>
      <c r="I1826">
        <f>IF(ISBLANK('ENGAGEMENTS 2026'!B1826),"",'ENGAGEMENTS 2026'!G1826)</f>
        <v/>
      </c>
      <c r="J1826" s="275">
        <f>IF(ISBLANK('ENGAGEMENTS 2026'!B1826),"",IF(AND(OR($E1826="INFRUCTUEUX",$E1826="ANNULE"),$C1826="AOO-M"),'ENGAGEMENTS 2026'!O1826,IF($H1826="EN COURS DE PREENGAGEMENT",'ENGAGEMENTS 2026'!N1826,IF($H1826="PREENGAGE",IF($E1826="ATTRIBUE",'ENGAGEMENTS 2026'!AD1826,'ENGAGEMENTS 2026'!N1826),'ENGAGEMENTS 2026'!AD1826))))</f>
        <v/>
      </c>
      <c r="K1826" s="604">
        <f>IF(ISBLANK('ENGAGEMENTS 2026'!V1826),"",'ENGAGEMENTS 2026'!V1826)</f>
        <v/>
      </c>
      <c r="L1826" s="276">
        <f>IF($K1826="","",TODAY()-$K1826)</f>
        <v/>
      </c>
      <c r="M1826">
        <f>IF($A1826="","",IF($H1826="ENGAGE","Engagé",IF(AND($H1826="NON ENGAGE",OR($I1826="INFRUCTUEUX",$I1826="ANNULE")),"Clôturé sans suite","En cours")))</f>
        <v/>
      </c>
      <c r="N1826">
        <f>IF(ISBLANK('ENGAGEMENTS 2026'!B1826),"",'ENGAGEMENTS 2026'!K1826)</f>
        <v/>
      </c>
      <c r="O1826">
        <f>IF(ISBLANK('ENGAGEMENTS 2026'!B1826),"",'ENGAGEMENTS 2026'!L1826)</f>
        <v/>
      </c>
      <c r="P1826">
        <f>IF(ISBLANK('ENGAGEMENTS 2026'!B1826),"",'ENGAGEMENTS 2026'!J1826)</f>
        <v/>
      </c>
      <c r="Q1826">
        <f>IF($A1826="","",IF(OR($E1826="INFRUCTUEUX",$E1826="ANNULE"),$A1826&amp;"|"&amp;(COUNTIFS($A$2:$A1826,$A1826,$E$2:$E1826,"INFRUCTUEUX")+COUNTIFS($A$2:$A1826,$A1826,$E$2:$E1826,"ANNULE")),""))</f>
        <v/>
      </c>
    </row>
    <row r="1827">
      <c r="A1827">
        <f>IF(ISBLANK('ENGAGEMENTS 2026'!B1827),"",IF('ENGAGEMENTS 2026'!B1827="DTSI","DCT",'ENGAGEMENTS 2026'!B1827))</f>
        <v/>
      </c>
      <c r="B1827">
        <f>IF(ISBLANK('ENGAGEMENTS 2026'!B1827),"",'ENGAGEMENTS 2026'!C1827)</f>
        <v/>
      </c>
      <c r="C1827">
        <f>IF(ISBLANK('ENGAGEMENTS 2026'!B1827),"",'ENGAGEMENTS 2026'!D1827)</f>
        <v/>
      </c>
      <c r="D1827">
        <f>IF(ISBLANK('ENGAGEMENTS 2026'!B1827),"",'ENGAGEMENTS 2026'!F1827)</f>
        <v/>
      </c>
      <c r="E1827">
        <f>IF(ISBLANK('ENGAGEMENTS 2026'!B1827),"",'ENGAGEMENTS 2026'!H1827)</f>
        <v/>
      </c>
      <c r="F1827">
        <f>IF(ISBLANK('ENGAGEMENTS 2026'!B1827),"",'ENGAGEMENTS 2026'!I1827)</f>
        <v/>
      </c>
      <c r="G1827">
        <f>IF(ISBLANK('ENGAGEMENTS 2026'!B1827),"",'ENGAGEMENTS 2026'!L1827)</f>
        <v/>
      </c>
      <c r="H1827">
        <f>IF(ISBLANK('ENGAGEMENTS 2026'!B1827),"",'ENGAGEMENTS 2026'!AE1827)</f>
        <v/>
      </c>
      <c r="I1827">
        <f>IF(ISBLANK('ENGAGEMENTS 2026'!B1827),"",'ENGAGEMENTS 2026'!G1827)</f>
        <v/>
      </c>
      <c r="J1827" s="275">
        <f>IF(ISBLANK('ENGAGEMENTS 2026'!B1827),"",IF(AND(OR($E1827="INFRUCTUEUX",$E1827="ANNULE"),$C1827="AOO-M"),'ENGAGEMENTS 2026'!O1827,IF($H1827="EN COURS DE PREENGAGEMENT",'ENGAGEMENTS 2026'!N1827,IF($H1827="PREENGAGE",IF($E1827="ATTRIBUE",'ENGAGEMENTS 2026'!AD1827,'ENGAGEMENTS 2026'!N1827),'ENGAGEMENTS 2026'!AD1827))))</f>
        <v/>
      </c>
      <c r="K1827" s="604">
        <f>IF(ISBLANK('ENGAGEMENTS 2026'!V1827),"",'ENGAGEMENTS 2026'!V1827)</f>
        <v/>
      </c>
      <c r="L1827" s="276">
        <f>IF($K1827="","",TODAY()-$K1827)</f>
        <v/>
      </c>
      <c r="M1827">
        <f>IF($A1827="","",IF($H1827="ENGAGE","Engagé",IF(AND($H1827="NON ENGAGE",OR($I1827="INFRUCTUEUX",$I1827="ANNULE")),"Clôturé sans suite","En cours")))</f>
        <v/>
      </c>
      <c r="N1827">
        <f>IF(ISBLANK('ENGAGEMENTS 2026'!B1827),"",'ENGAGEMENTS 2026'!K1827)</f>
        <v/>
      </c>
      <c r="O1827">
        <f>IF(ISBLANK('ENGAGEMENTS 2026'!B1827),"",'ENGAGEMENTS 2026'!L1827)</f>
        <v/>
      </c>
      <c r="P1827">
        <f>IF(ISBLANK('ENGAGEMENTS 2026'!B1827),"",'ENGAGEMENTS 2026'!J1827)</f>
        <v/>
      </c>
      <c r="Q1827">
        <f>IF($A1827="","",IF(OR($E1827="INFRUCTUEUX",$E1827="ANNULE"),$A1827&amp;"|"&amp;(COUNTIFS($A$2:$A1827,$A1827,$E$2:$E1827,"INFRUCTUEUX")+COUNTIFS($A$2:$A1827,$A1827,$E$2:$E1827,"ANNULE")),""))</f>
        <v/>
      </c>
    </row>
    <row r="1828">
      <c r="A1828">
        <f>IF(ISBLANK('ENGAGEMENTS 2026'!B1828),"",IF('ENGAGEMENTS 2026'!B1828="DTSI","DCT",'ENGAGEMENTS 2026'!B1828))</f>
        <v/>
      </c>
      <c r="B1828">
        <f>IF(ISBLANK('ENGAGEMENTS 2026'!B1828),"",'ENGAGEMENTS 2026'!C1828)</f>
        <v/>
      </c>
      <c r="C1828">
        <f>IF(ISBLANK('ENGAGEMENTS 2026'!B1828),"",'ENGAGEMENTS 2026'!D1828)</f>
        <v/>
      </c>
      <c r="D1828">
        <f>IF(ISBLANK('ENGAGEMENTS 2026'!B1828),"",'ENGAGEMENTS 2026'!F1828)</f>
        <v/>
      </c>
      <c r="E1828">
        <f>IF(ISBLANK('ENGAGEMENTS 2026'!B1828),"",'ENGAGEMENTS 2026'!H1828)</f>
        <v/>
      </c>
      <c r="F1828">
        <f>IF(ISBLANK('ENGAGEMENTS 2026'!B1828),"",'ENGAGEMENTS 2026'!I1828)</f>
        <v/>
      </c>
      <c r="G1828">
        <f>IF(ISBLANK('ENGAGEMENTS 2026'!B1828),"",'ENGAGEMENTS 2026'!L1828)</f>
        <v/>
      </c>
      <c r="H1828">
        <f>IF(ISBLANK('ENGAGEMENTS 2026'!B1828),"",'ENGAGEMENTS 2026'!AE1828)</f>
        <v/>
      </c>
      <c r="I1828">
        <f>IF(ISBLANK('ENGAGEMENTS 2026'!B1828),"",'ENGAGEMENTS 2026'!G1828)</f>
        <v/>
      </c>
      <c r="J1828" s="275">
        <f>IF(ISBLANK('ENGAGEMENTS 2026'!B1828),"",IF(AND(OR($E1828="INFRUCTUEUX",$E1828="ANNULE"),$C1828="AOO-M"),'ENGAGEMENTS 2026'!O1828,IF($H1828="EN COURS DE PREENGAGEMENT",'ENGAGEMENTS 2026'!N1828,IF($H1828="PREENGAGE",IF($E1828="ATTRIBUE",'ENGAGEMENTS 2026'!AD1828,'ENGAGEMENTS 2026'!N1828),'ENGAGEMENTS 2026'!AD1828))))</f>
        <v/>
      </c>
      <c r="K1828" s="604">
        <f>IF(ISBLANK('ENGAGEMENTS 2026'!V1828),"",'ENGAGEMENTS 2026'!V1828)</f>
        <v/>
      </c>
      <c r="L1828" s="276">
        <f>IF($K1828="","",TODAY()-$K1828)</f>
        <v/>
      </c>
      <c r="M1828">
        <f>IF($A1828="","",IF($H1828="ENGAGE","Engagé",IF(AND($H1828="NON ENGAGE",OR($I1828="INFRUCTUEUX",$I1828="ANNULE")),"Clôturé sans suite","En cours")))</f>
        <v/>
      </c>
      <c r="N1828">
        <f>IF(ISBLANK('ENGAGEMENTS 2026'!B1828),"",'ENGAGEMENTS 2026'!K1828)</f>
        <v/>
      </c>
      <c r="O1828">
        <f>IF(ISBLANK('ENGAGEMENTS 2026'!B1828),"",'ENGAGEMENTS 2026'!L1828)</f>
        <v/>
      </c>
      <c r="P1828">
        <f>IF(ISBLANK('ENGAGEMENTS 2026'!B1828),"",'ENGAGEMENTS 2026'!J1828)</f>
        <v/>
      </c>
      <c r="Q1828">
        <f>IF($A1828="","",IF(OR($E1828="INFRUCTUEUX",$E1828="ANNULE"),$A1828&amp;"|"&amp;(COUNTIFS($A$2:$A1828,$A1828,$E$2:$E1828,"INFRUCTUEUX")+COUNTIFS($A$2:$A1828,$A1828,$E$2:$E1828,"ANNULE")),""))</f>
        <v/>
      </c>
    </row>
    <row r="1829">
      <c r="A1829">
        <f>IF(ISBLANK('ENGAGEMENTS 2026'!B1829),"",IF('ENGAGEMENTS 2026'!B1829="DTSI","DCT",'ENGAGEMENTS 2026'!B1829))</f>
        <v/>
      </c>
      <c r="B1829">
        <f>IF(ISBLANK('ENGAGEMENTS 2026'!B1829),"",'ENGAGEMENTS 2026'!C1829)</f>
        <v/>
      </c>
      <c r="C1829">
        <f>IF(ISBLANK('ENGAGEMENTS 2026'!B1829),"",'ENGAGEMENTS 2026'!D1829)</f>
        <v/>
      </c>
      <c r="D1829">
        <f>IF(ISBLANK('ENGAGEMENTS 2026'!B1829),"",'ENGAGEMENTS 2026'!F1829)</f>
        <v/>
      </c>
      <c r="E1829">
        <f>IF(ISBLANK('ENGAGEMENTS 2026'!B1829),"",'ENGAGEMENTS 2026'!H1829)</f>
        <v/>
      </c>
      <c r="F1829">
        <f>IF(ISBLANK('ENGAGEMENTS 2026'!B1829),"",'ENGAGEMENTS 2026'!I1829)</f>
        <v/>
      </c>
      <c r="G1829">
        <f>IF(ISBLANK('ENGAGEMENTS 2026'!B1829),"",'ENGAGEMENTS 2026'!L1829)</f>
        <v/>
      </c>
      <c r="H1829">
        <f>IF(ISBLANK('ENGAGEMENTS 2026'!B1829),"",'ENGAGEMENTS 2026'!AE1829)</f>
        <v/>
      </c>
      <c r="I1829">
        <f>IF(ISBLANK('ENGAGEMENTS 2026'!B1829),"",'ENGAGEMENTS 2026'!G1829)</f>
        <v/>
      </c>
      <c r="J1829" s="275">
        <f>IF(ISBLANK('ENGAGEMENTS 2026'!B1829),"",IF(AND(OR($E1829="INFRUCTUEUX",$E1829="ANNULE"),$C1829="AOO-M"),'ENGAGEMENTS 2026'!O1829,IF($H1829="EN COURS DE PREENGAGEMENT",'ENGAGEMENTS 2026'!N1829,IF($H1829="PREENGAGE",IF($E1829="ATTRIBUE",'ENGAGEMENTS 2026'!AD1829,'ENGAGEMENTS 2026'!N1829),'ENGAGEMENTS 2026'!AD1829))))</f>
        <v/>
      </c>
      <c r="K1829" s="604">
        <f>IF(ISBLANK('ENGAGEMENTS 2026'!V1829),"",'ENGAGEMENTS 2026'!V1829)</f>
        <v/>
      </c>
      <c r="L1829" s="276">
        <f>IF($K1829="","",TODAY()-$K1829)</f>
        <v/>
      </c>
      <c r="M1829">
        <f>IF($A1829="","",IF($H1829="ENGAGE","Engagé",IF(AND($H1829="NON ENGAGE",OR($I1829="INFRUCTUEUX",$I1829="ANNULE")),"Clôturé sans suite","En cours")))</f>
        <v/>
      </c>
      <c r="N1829">
        <f>IF(ISBLANK('ENGAGEMENTS 2026'!B1829),"",'ENGAGEMENTS 2026'!K1829)</f>
        <v/>
      </c>
      <c r="O1829">
        <f>IF(ISBLANK('ENGAGEMENTS 2026'!B1829),"",'ENGAGEMENTS 2026'!L1829)</f>
        <v/>
      </c>
      <c r="P1829">
        <f>IF(ISBLANK('ENGAGEMENTS 2026'!B1829),"",'ENGAGEMENTS 2026'!J1829)</f>
        <v/>
      </c>
      <c r="Q1829">
        <f>IF($A1829="","",IF(OR($E1829="INFRUCTUEUX",$E1829="ANNULE"),$A1829&amp;"|"&amp;(COUNTIFS($A$2:$A1829,$A1829,$E$2:$E1829,"INFRUCTUEUX")+COUNTIFS($A$2:$A1829,$A1829,$E$2:$E1829,"ANNULE")),""))</f>
        <v/>
      </c>
    </row>
    <row r="1830">
      <c r="A1830">
        <f>IF(ISBLANK('ENGAGEMENTS 2026'!B1830),"",IF('ENGAGEMENTS 2026'!B1830="DTSI","DCT",'ENGAGEMENTS 2026'!B1830))</f>
        <v/>
      </c>
      <c r="B1830">
        <f>IF(ISBLANK('ENGAGEMENTS 2026'!B1830),"",'ENGAGEMENTS 2026'!C1830)</f>
        <v/>
      </c>
      <c r="C1830">
        <f>IF(ISBLANK('ENGAGEMENTS 2026'!B1830),"",'ENGAGEMENTS 2026'!D1830)</f>
        <v/>
      </c>
      <c r="D1830">
        <f>IF(ISBLANK('ENGAGEMENTS 2026'!B1830),"",'ENGAGEMENTS 2026'!F1830)</f>
        <v/>
      </c>
      <c r="E1830">
        <f>IF(ISBLANK('ENGAGEMENTS 2026'!B1830),"",'ENGAGEMENTS 2026'!H1830)</f>
        <v/>
      </c>
      <c r="F1830">
        <f>IF(ISBLANK('ENGAGEMENTS 2026'!B1830),"",'ENGAGEMENTS 2026'!I1830)</f>
        <v/>
      </c>
      <c r="G1830">
        <f>IF(ISBLANK('ENGAGEMENTS 2026'!B1830),"",'ENGAGEMENTS 2026'!L1830)</f>
        <v/>
      </c>
      <c r="H1830">
        <f>IF(ISBLANK('ENGAGEMENTS 2026'!B1830),"",'ENGAGEMENTS 2026'!AE1830)</f>
        <v/>
      </c>
      <c r="I1830">
        <f>IF(ISBLANK('ENGAGEMENTS 2026'!B1830),"",'ENGAGEMENTS 2026'!G1830)</f>
        <v/>
      </c>
      <c r="J1830" s="275">
        <f>IF(ISBLANK('ENGAGEMENTS 2026'!B1830),"",IF(AND(OR($E1830="INFRUCTUEUX",$E1830="ANNULE"),$C1830="AOO-M"),'ENGAGEMENTS 2026'!O1830,IF($H1830="EN COURS DE PREENGAGEMENT",'ENGAGEMENTS 2026'!N1830,IF($H1830="PREENGAGE",IF($E1830="ATTRIBUE",'ENGAGEMENTS 2026'!AD1830,'ENGAGEMENTS 2026'!N1830),'ENGAGEMENTS 2026'!AD1830))))</f>
        <v/>
      </c>
      <c r="K1830" s="604">
        <f>IF(ISBLANK('ENGAGEMENTS 2026'!V1830),"",'ENGAGEMENTS 2026'!V1830)</f>
        <v/>
      </c>
      <c r="L1830" s="276">
        <f>IF($K1830="","",TODAY()-$K1830)</f>
        <v/>
      </c>
      <c r="M1830">
        <f>IF($A1830="","",IF($H1830="ENGAGE","Engagé",IF(AND($H1830="NON ENGAGE",OR($I1830="INFRUCTUEUX",$I1830="ANNULE")),"Clôturé sans suite","En cours")))</f>
        <v/>
      </c>
      <c r="N1830">
        <f>IF(ISBLANK('ENGAGEMENTS 2026'!B1830),"",'ENGAGEMENTS 2026'!K1830)</f>
        <v/>
      </c>
      <c r="O1830">
        <f>IF(ISBLANK('ENGAGEMENTS 2026'!B1830),"",'ENGAGEMENTS 2026'!L1830)</f>
        <v/>
      </c>
      <c r="P1830">
        <f>IF(ISBLANK('ENGAGEMENTS 2026'!B1830),"",'ENGAGEMENTS 2026'!J1830)</f>
        <v/>
      </c>
      <c r="Q1830">
        <f>IF($A1830="","",IF(OR($E1830="INFRUCTUEUX",$E1830="ANNULE"),$A1830&amp;"|"&amp;(COUNTIFS($A$2:$A1830,$A1830,$E$2:$E1830,"INFRUCTUEUX")+COUNTIFS($A$2:$A1830,$A1830,$E$2:$E1830,"ANNULE")),""))</f>
        <v/>
      </c>
    </row>
    <row r="1831">
      <c r="A1831">
        <f>IF(ISBLANK('ENGAGEMENTS 2026'!B1831),"",IF('ENGAGEMENTS 2026'!B1831="DTSI","DCT",'ENGAGEMENTS 2026'!B1831))</f>
        <v/>
      </c>
      <c r="B1831">
        <f>IF(ISBLANK('ENGAGEMENTS 2026'!B1831),"",'ENGAGEMENTS 2026'!C1831)</f>
        <v/>
      </c>
      <c r="C1831">
        <f>IF(ISBLANK('ENGAGEMENTS 2026'!B1831),"",'ENGAGEMENTS 2026'!D1831)</f>
        <v/>
      </c>
      <c r="D1831">
        <f>IF(ISBLANK('ENGAGEMENTS 2026'!B1831),"",'ENGAGEMENTS 2026'!F1831)</f>
        <v/>
      </c>
      <c r="E1831">
        <f>IF(ISBLANK('ENGAGEMENTS 2026'!B1831),"",'ENGAGEMENTS 2026'!H1831)</f>
        <v/>
      </c>
      <c r="F1831">
        <f>IF(ISBLANK('ENGAGEMENTS 2026'!B1831),"",'ENGAGEMENTS 2026'!I1831)</f>
        <v/>
      </c>
      <c r="G1831">
        <f>IF(ISBLANK('ENGAGEMENTS 2026'!B1831),"",'ENGAGEMENTS 2026'!L1831)</f>
        <v/>
      </c>
      <c r="H1831">
        <f>IF(ISBLANK('ENGAGEMENTS 2026'!B1831),"",'ENGAGEMENTS 2026'!AE1831)</f>
        <v/>
      </c>
      <c r="I1831">
        <f>IF(ISBLANK('ENGAGEMENTS 2026'!B1831),"",'ENGAGEMENTS 2026'!G1831)</f>
        <v/>
      </c>
      <c r="J1831" s="275">
        <f>IF(ISBLANK('ENGAGEMENTS 2026'!B1831),"",IF(AND(OR($E1831="INFRUCTUEUX",$E1831="ANNULE"),$C1831="AOO-M"),'ENGAGEMENTS 2026'!O1831,IF($H1831="EN COURS DE PREENGAGEMENT",'ENGAGEMENTS 2026'!N1831,IF($H1831="PREENGAGE",IF($E1831="ATTRIBUE",'ENGAGEMENTS 2026'!AD1831,'ENGAGEMENTS 2026'!N1831),'ENGAGEMENTS 2026'!AD1831))))</f>
        <v/>
      </c>
      <c r="K1831" s="604">
        <f>IF(ISBLANK('ENGAGEMENTS 2026'!V1831),"",'ENGAGEMENTS 2026'!V1831)</f>
        <v/>
      </c>
      <c r="L1831" s="276">
        <f>IF($K1831="","",TODAY()-$K1831)</f>
        <v/>
      </c>
      <c r="M1831">
        <f>IF($A1831="","",IF($H1831="ENGAGE","Engagé",IF(AND($H1831="NON ENGAGE",OR($I1831="INFRUCTUEUX",$I1831="ANNULE")),"Clôturé sans suite","En cours")))</f>
        <v/>
      </c>
      <c r="N1831">
        <f>IF(ISBLANK('ENGAGEMENTS 2026'!B1831),"",'ENGAGEMENTS 2026'!K1831)</f>
        <v/>
      </c>
      <c r="O1831">
        <f>IF(ISBLANK('ENGAGEMENTS 2026'!B1831),"",'ENGAGEMENTS 2026'!L1831)</f>
        <v/>
      </c>
      <c r="P1831">
        <f>IF(ISBLANK('ENGAGEMENTS 2026'!B1831),"",'ENGAGEMENTS 2026'!J1831)</f>
        <v/>
      </c>
      <c r="Q1831">
        <f>IF($A1831="","",IF(OR($E1831="INFRUCTUEUX",$E1831="ANNULE"),$A1831&amp;"|"&amp;(COUNTIFS($A$2:$A1831,$A1831,$E$2:$E1831,"INFRUCTUEUX")+COUNTIFS($A$2:$A1831,$A1831,$E$2:$E1831,"ANNULE")),""))</f>
        <v/>
      </c>
    </row>
    <row r="1832">
      <c r="A1832">
        <f>IF(ISBLANK('ENGAGEMENTS 2026'!B1832),"",IF('ENGAGEMENTS 2026'!B1832="DTSI","DCT",'ENGAGEMENTS 2026'!B1832))</f>
        <v/>
      </c>
      <c r="B1832">
        <f>IF(ISBLANK('ENGAGEMENTS 2026'!B1832),"",'ENGAGEMENTS 2026'!C1832)</f>
        <v/>
      </c>
      <c r="C1832">
        <f>IF(ISBLANK('ENGAGEMENTS 2026'!B1832),"",'ENGAGEMENTS 2026'!D1832)</f>
        <v/>
      </c>
      <c r="D1832">
        <f>IF(ISBLANK('ENGAGEMENTS 2026'!B1832),"",'ENGAGEMENTS 2026'!F1832)</f>
        <v/>
      </c>
      <c r="E1832">
        <f>IF(ISBLANK('ENGAGEMENTS 2026'!B1832),"",'ENGAGEMENTS 2026'!H1832)</f>
        <v/>
      </c>
      <c r="F1832">
        <f>IF(ISBLANK('ENGAGEMENTS 2026'!B1832),"",'ENGAGEMENTS 2026'!I1832)</f>
        <v/>
      </c>
      <c r="G1832">
        <f>IF(ISBLANK('ENGAGEMENTS 2026'!B1832),"",'ENGAGEMENTS 2026'!L1832)</f>
        <v/>
      </c>
      <c r="H1832">
        <f>IF(ISBLANK('ENGAGEMENTS 2026'!B1832),"",'ENGAGEMENTS 2026'!AE1832)</f>
        <v/>
      </c>
      <c r="I1832">
        <f>IF(ISBLANK('ENGAGEMENTS 2026'!B1832),"",'ENGAGEMENTS 2026'!G1832)</f>
        <v/>
      </c>
      <c r="J1832" s="275">
        <f>IF(ISBLANK('ENGAGEMENTS 2026'!B1832),"",IF(AND(OR($E1832="INFRUCTUEUX",$E1832="ANNULE"),$C1832="AOO-M"),'ENGAGEMENTS 2026'!O1832,IF($H1832="EN COURS DE PREENGAGEMENT",'ENGAGEMENTS 2026'!N1832,IF($H1832="PREENGAGE",IF($E1832="ATTRIBUE",'ENGAGEMENTS 2026'!AD1832,'ENGAGEMENTS 2026'!N1832),'ENGAGEMENTS 2026'!AD1832))))</f>
        <v/>
      </c>
      <c r="K1832" s="604">
        <f>IF(ISBLANK('ENGAGEMENTS 2026'!V1832),"",'ENGAGEMENTS 2026'!V1832)</f>
        <v/>
      </c>
      <c r="L1832" s="276">
        <f>IF($K1832="","",TODAY()-$K1832)</f>
        <v/>
      </c>
      <c r="M1832">
        <f>IF($A1832="","",IF($H1832="ENGAGE","Engagé",IF(AND($H1832="NON ENGAGE",OR($I1832="INFRUCTUEUX",$I1832="ANNULE")),"Clôturé sans suite","En cours")))</f>
        <v/>
      </c>
      <c r="N1832">
        <f>IF(ISBLANK('ENGAGEMENTS 2026'!B1832),"",'ENGAGEMENTS 2026'!K1832)</f>
        <v/>
      </c>
      <c r="O1832">
        <f>IF(ISBLANK('ENGAGEMENTS 2026'!B1832),"",'ENGAGEMENTS 2026'!L1832)</f>
        <v/>
      </c>
      <c r="P1832">
        <f>IF(ISBLANK('ENGAGEMENTS 2026'!B1832),"",'ENGAGEMENTS 2026'!J1832)</f>
        <v/>
      </c>
      <c r="Q1832">
        <f>IF($A1832="","",IF(OR($E1832="INFRUCTUEUX",$E1832="ANNULE"),$A1832&amp;"|"&amp;(COUNTIFS($A$2:$A1832,$A1832,$E$2:$E1832,"INFRUCTUEUX")+COUNTIFS($A$2:$A1832,$A1832,$E$2:$E1832,"ANNULE")),""))</f>
        <v/>
      </c>
    </row>
    <row r="1833">
      <c r="A1833">
        <f>IF(ISBLANK('ENGAGEMENTS 2026'!B1833),"",IF('ENGAGEMENTS 2026'!B1833="DTSI","DCT",'ENGAGEMENTS 2026'!B1833))</f>
        <v/>
      </c>
      <c r="B1833">
        <f>IF(ISBLANK('ENGAGEMENTS 2026'!B1833),"",'ENGAGEMENTS 2026'!C1833)</f>
        <v/>
      </c>
      <c r="C1833">
        <f>IF(ISBLANK('ENGAGEMENTS 2026'!B1833),"",'ENGAGEMENTS 2026'!D1833)</f>
        <v/>
      </c>
      <c r="D1833">
        <f>IF(ISBLANK('ENGAGEMENTS 2026'!B1833),"",'ENGAGEMENTS 2026'!F1833)</f>
        <v/>
      </c>
      <c r="E1833">
        <f>IF(ISBLANK('ENGAGEMENTS 2026'!B1833),"",'ENGAGEMENTS 2026'!H1833)</f>
        <v/>
      </c>
      <c r="F1833">
        <f>IF(ISBLANK('ENGAGEMENTS 2026'!B1833),"",'ENGAGEMENTS 2026'!I1833)</f>
        <v/>
      </c>
      <c r="G1833">
        <f>IF(ISBLANK('ENGAGEMENTS 2026'!B1833),"",'ENGAGEMENTS 2026'!L1833)</f>
        <v/>
      </c>
      <c r="H1833">
        <f>IF(ISBLANK('ENGAGEMENTS 2026'!B1833),"",'ENGAGEMENTS 2026'!AE1833)</f>
        <v/>
      </c>
      <c r="I1833">
        <f>IF(ISBLANK('ENGAGEMENTS 2026'!B1833),"",'ENGAGEMENTS 2026'!G1833)</f>
        <v/>
      </c>
      <c r="J1833" s="275">
        <f>IF(ISBLANK('ENGAGEMENTS 2026'!B1833),"",IF(AND(OR($E1833="INFRUCTUEUX",$E1833="ANNULE"),$C1833="AOO-M"),'ENGAGEMENTS 2026'!O1833,IF($H1833="EN COURS DE PREENGAGEMENT",'ENGAGEMENTS 2026'!N1833,IF($H1833="PREENGAGE",IF($E1833="ATTRIBUE",'ENGAGEMENTS 2026'!AD1833,'ENGAGEMENTS 2026'!N1833),'ENGAGEMENTS 2026'!AD1833))))</f>
        <v/>
      </c>
      <c r="K1833" s="604">
        <f>IF(ISBLANK('ENGAGEMENTS 2026'!V1833),"",'ENGAGEMENTS 2026'!V1833)</f>
        <v/>
      </c>
      <c r="L1833" s="276">
        <f>IF($K1833="","",TODAY()-$K1833)</f>
        <v/>
      </c>
      <c r="M1833">
        <f>IF($A1833="","",IF($H1833="ENGAGE","Engagé",IF(AND($H1833="NON ENGAGE",OR($I1833="INFRUCTUEUX",$I1833="ANNULE")),"Clôturé sans suite","En cours")))</f>
        <v/>
      </c>
      <c r="N1833">
        <f>IF(ISBLANK('ENGAGEMENTS 2026'!B1833),"",'ENGAGEMENTS 2026'!K1833)</f>
        <v/>
      </c>
      <c r="O1833">
        <f>IF(ISBLANK('ENGAGEMENTS 2026'!B1833),"",'ENGAGEMENTS 2026'!L1833)</f>
        <v/>
      </c>
      <c r="P1833">
        <f>IF(ISBLANK('ENGAGEMENTS 2026'!B1833),"",'ENGAGEMENTS 2026'!J1833)</f>
        <v/>
      </c>
      <c r="Q1833">
        <f>IF($A1833="","",IF(OR($E1833="INFRUCTUEUX",$E1833="ANNULE"),$A1833&amp;"|"&amp;(COUNTIFS($A$2:$A1833,$A1833,$E$2:$E1833,"INFRUCTUEUX")+COUNTIFS($A$2:$A1833,$A1833,$E$2:$E1833,"ANNULE")),""))</f>
        <v/>
      </c>
    </row>
    <row r="1834">
      <c r="A1834">
        <f>IF(ISBLANK('ENGAGEMENTS 2026'!B1834),"",IF('ENGAGEMENTS 2026'!B1834="DTSI","DCT",'ENGAGEMENTS 2026'!B1834))</f>
        <v/>
      </c>
      <c r="B1834">
        <f>IF(ISBLANK('ENGAGEMENTS 2026'!B1834),"",'ENGAGEMENTS 2026'!C1834)</f>
        <v/>
      </c>
      <c r="C1834">
        <f>IF(ISBLANK('ENGAGEMENTS 2026'!B1834),"",'ENGAGEMENTS 2026'!D1834)</f>
        <v/>
      </c>
      <c r="D1834">
        <f>IF(ISBLANK('ENGAGEMENTS 2026'!B1834),"",'ENGAGEMENTS 2026'!F1834)</f>
        <v/>
      </c>
      <c r="E1834">
        <f>IF(ISBLANK('ENGAGEMENTS 2026'!B1834),"",'ENGAGEMENTS 2026'!H1834)</f>
        <v/>
      </c>
      <c r="F1834">
        <f>IF(ISBLANK('ENGAGEMENTS 2026'!B1834),"",'ENGAGEMENTS 2026'!I1834)</f>
        <v/>
      </c>
      <c r="G1834">
        <f>IF(ISBLANK('ENGAGEMENTS 2026'!B1834),"",'ENGAGEMENTS 2026'!L1834)</f>
        <v/>
      </c>
      <c r="H1834">
        <f>IF(ISBLANK('ENGAGEMENTS 2026'!B1834),"",'ENGAGEMENTS 2026'!AE1834)</f>
        <v/>
      </c>
      <c r="I1834">
        <f>IF(ISBLANK('ENGAGEMENTS 2026'!B1834),"",'ENGAGEMENTS 2026'!G1834)</f>
        <v/>
      </c>
      <c r="J1834" s="275">
        <f>IF(ISBLANK('ENGAGEMENTS 2026'!B1834),"",IF(AND(OR($E1834="INFRUCTUEUX",$E1834="ANNULE"),$C1834="AOO-M"),'ENGAGEMENTS 2026'!O1834,IF($H1834="EN COURS DE PREENGAGEMENT",'ENGAGEMENTS 2026'!N1834,IF($H1834="PREENGAGE",IF($E1834="ATTRIBUE",'ENGAGEMENTS 2026'!AD1834,'ENGAGEMENTS 2026'!N1834),'ENGAGEMENTS 2026'!AD1834))))</f>
        <v/>
      </c>
      <c r="K1834" s="604">
        <f>IF(ISBLANK('ENGAGEMENTS 2026'!V1834),"",'ENGAGEMENTS 2026'!V1834)</f>
        <v/>
      </c>
      <c r="L1834" s="276">
        <f>IF($K1834="","",TODAY()-$K1834)</f>
        <v/>
      </c>
      <c r="M1834">
        <f>IF($A1834="","",IF($H1834="ENGAGE","Engagé",IF(AND($H1834="NON ENGAGE",OR($I1834="INFRUCTUEUX",$I1834="ANNULE")),"Clôturé sans suite","En cours")))</f>
        <v/>
      </c>
      <c r="N1834">
        <f>IF(ISBLANK('ENGAGEMENTS 2026'!B1834),"",'ENGAGEMENTS 2026'!K1834)</f>
        <v/>
      </c>
      <c r="O1834">
        <f>IF(ISBLANK('ENGAGEMENTS 2026'!B1834),"",'ENGAGEMENTS 2026'!L1834)</f>
        <v/>
      </c>
      <c r="P1834">
        <f>IF(ISBLANK('ENGAGEMENTS 2026'!B1834),"",'ENGAGEMENTS 2026'!J1834)</f>
        <v/>
      </c>
      <c r="Q1834">
        <f>IF($A1834="","",IF(OR($E1834="INFRUCTUEUX",$E1834="ANNULE"),$A1834&amp;"|"&amp;(COUNTIFS($A$2:$A1834,$A1834,$E$2:$E1834,"INFRUCTUEUX")+COUNTIFS($A$2:$A1834,$A1834,$E$2:$E1834,"ANNULE")),""))</f>
        <v/>
      </c>
    </row>
    <row r="1835">
      <c r="A1835">
        <f>IF(ISBLANK('ENGAGEMENTS 2026'!B1835),"",IF('ENGAGEMENTS 2026'!B1835="DTSI","DCT",'ENGAGEMENTS 2026'!B1835))</f>
        <v/>
      </c>
      <c r="B1835">
        <f>IF(ISBLANK('ENGAGEMENTS 2026'!B1835),"",'ENGAGEMENTS 2026'!C1835)</f>
        <v/>
      </c>
      <c r="C1835">
        <f>IF(ISBLANK('ENGAGEMENTS 2026'!B1835),"",'ENGAGEMENTS 2026'!D1835)</f>
        <v/>
      </c>
      <c r="D1835">
        <f>IF(ISBLANK('ENGAGEMENTS 2026'!B1835),"",'ENGAGEMENTS 2026'!F1835)</f>
        <v/>
      </c>
      <c r="E1835">
        <f>IF(ISBLANK('ENGAGEMENTS 2026'!B1835),"",'ENGAGEMENTS 2026'!H1835)</f>
        <v/>
      </c>
      <c r="F1835">
        <f>IF(ISBLANK('ENGAGEMENTS 2026'!B1835),"",'ENGAGEMENTS 2026'!I1835)</f>
        <v/>
      </c>
      <c r="G1835">
        <f>IF(ISBLANK('ENGAGEMENTS 2026'!B1835),"",'ENGAGEMENTS 2026'!L1835)</f>
        <v/>
      </c>
      <c r="H1835">
        <f>IF(ISBLANK('ENGAGEMENTS 2026'!B1835),"",'ENGAGEMENTS 2026'!AE1835)</f>
        <v/>
      </c>
      <c r="I1835">
        <f>IF(ISBLANK('ENGAGEMENTS 2026'!B1835),"",'ENGAGEMENTS 2026'!G1835)</f>
        <v/>
      </c>
      <c r="J1835" s="275">
        <f>IF(ISBLANK('ENGAGEMENTS 2026'!B1835),"",IF(AND(OR($E1835="INFRUCTUEUX",$E1835="ANNULE"),$C1835="AOO-M"),'ENGAGEMENTS 2026'!O1835,IF($H1835="EN COURS DE PREENGAGEMENT",'ENGAGEMENTS 2026'!N1835,IF($H1835="PREENGAGE",IF($E1835="ATTRIBUE",'ENGAGEMENTS 2026'!AD1835,'ENGAGEMENTS 2026'!N1835),'ENGAGEMENTS 2026'!AD1835))))</f>
        <v/>
      </c>
      <c r="K1835" s="604">
        <f>IF(ISBLANK('ENGAGEMENTS 2026'!V1835),"",'ENGAGEMENTS 2026'!V1835)</f>
        <v/>
      </c>
      <c r="L1835" s="276">
        <f>IF($K1835="","",TODAY()-$K1835)</f>
        <v/>
      </c>
      <c r="M1835">
        <f>IF($A1835="","",IF($H1835="ENGAGE","Engagé",IF(AND($H1835="NON ENGAGE",OR($I1835="INFRUCTUEUX",$I1835="ANNULE")),"Clôturé sans suite","En cours")))</f>
        <v/>
      </c>
      <c r="N1835">
        <f>IF(ISBLANK('ENGAGEMENTS 2026'!B1835),"",'ENGAGEMENTS 2026'!K1835)</f>
        <v/>
      </c>
      <c r="O1835">
        <f>IF(ISBLANK('ENGAGEMENTS 2026'!B1835),"",'ENGAGEMENTS 2026'!L1835)</f>
        <v/>
      </c>
      <c r="P1835">
        <f>IF(ISBLANK('ENGAGEMENTS 2026'!B1835),"",'ENGAGEMENTS 2026'!J1835)</f>
        <v/>
      </c>
      <c r="Q1835">
        <f>IF($A1835="","",IF(OR($E1835="INFRUCTUEUX",$E1835="ANNULE"),$A1835&amp;"|"&amp;(COUNTIFS($A$2:$A1835,$A1835,$E$2:$E1835,"INFRUCTUEUX")+COUNTIFS($A$2:$A1835,$A1835,$E$2:$E1835,"ANNULE")),""))</f>
        <v/>
      </c>
    </row>
    <row r="1836">
      <c r="A1836">
        <f>IF(ISBLANK('ENGAGEMENTS 2026'!B1836),"",IF('ENGAGEMENTS 2026'!B1836="DTSI","DCT",'ENGAGEMENTS 2026'!B1836))</f>
        <v/>
      </c>
      <c r="B1836">
        <f>IF(ISBLANK('ENGAGEMENTS 2026'!B1836),"",'ENGAGEMENTS 2026'!C1836)</f>
        <v/>
      </c>
      <c r="C1836">
        <f>IF(ISBLANK('ENGAGEMENTS 2026'!B1836),"",'ENGAGEMENTS 2026'!D1836)</f>
        <v/>
      </c>
      <c r="D1836">
        <f>IF(ISBLANK('ENGAGEMENTS 2026'!B1836),"",'ENGAGEMENTS 2026'!F1836)</f>
        <v/>
      </c>
      <c r="E1836">
        <f>IF(ISBLANK('ENGAGEMENTS 2026'!B1836),"",'ENGAGEMENTS 2026'!H1836)</f>
        <v/>
      </c>
      <c r="F1836">
        <f>IF(ISBLANK('ENGAGEMENTS 2026'!B1836),"",'ENGAGEMENTS 2026'!I1836)</f>
        <v/>
      </c>
      <c r="G1836">
        <f>IF(ISBLANK('ENGAGEMENTS 2026'!B1836),"",'ENGAGEMENTS 2026'!L1836)</f>
        <v/>
      </c>
      <c r="H1836">
        <f>IF(ISBLANK('ENGAGEMENTS 2026'!B1836),"",'ENGAGEMENTS 2026'!AE1836)</f>
        <v/>
      </c>
      <c r="I1836">
        <f>IF(ISBLANK('ENGAGEMENTS 2026'!B1836),"",'ENGAGEMENTS 2026'!G1836)</f>
        <v/>
      </c>
      <c r="J1836" s="275">
        <f>IF(ISBLANK('ENGAGEMENTS 2026'!B1836),"",IF(AND(OR($E1836="INFRUCTUEUX",$E1836="ANNULE"),$C1836="AOO-M"),'ENGAGEMENTS 2026'!O1836,IF($H1836="EN COURS DE PREENGAGEMENT",'ENGAGEMENTS 2026'!N1836,IF($H1836="PREENGAGE",IF($E1836="ATTRIBUE",'ENGAGEMENTS 2026'!AD1836,'ENGAGEMENTS 2026'!N1836),'ENGAGEMENTS 2026'!AD1836))))</f>
        <v/>
      </c>
      <c r="K1836" s="604">
        <f>IF(ISBLANK('ENGAGEMENTS 2026'!V1836),"",'ENGAGEMENTS 2026'!V1836)</f>
        <v/>
      </c>
      <c r="L1836" s="276">
        <f>IF($K1836="","",TODAY()-$K1836)</f>
        <v/>
      </c>
      <c r="M1836">
        <f>IF($A1836="","",IF($H1836="ENGAGE","Engagé",IF(AND($H1836="NON ENGAGE",OR($I1836="INFRUCTUEUX",$I1836="ANNULE")),"Clôturé sans suite","En cours")))</f>
        <v/>
      </c>
      <c r="N1836">
        <f>IF(ISBLANK('ENGAGEMENTS 2026'!B1836),"",'ENGAGEMENTS 2026'!K1836)</f>
        <v/>
      </c>
      <c r="O1836">
        <f>IF(ISBLANK('ENGAGEMENTS 2026'!B1836),"",'ENGAGEMENTS 2026'!L1836)</f>
        <v/>
      </c>
      <c r="P1836">
        <f>IF(ISBLANK('ENGAGEMENTS 2026'!B1836),"",'ENGAGEMENTS 2026'!J1836)</f>
        <v/>
      </c>
      <c r="Q1836">
        <f>IF($A1836="","",IF(OR($E1836="INFRUCTUEUX",$E1836="ANNULE"),$A1836&amp;"|"&amp;(COUNTIFS($A$2:$A1836,$A1836,$E$2:$E1836,"INFRUCTUEUX")+COUNTIFS($A$2:$A1836,$A1836,$E$2:$E1836,"ANNULE")),""))</f>
        <v/>
      </c>
    </row>
    <row r="1837">
      <c r="A1837">
        <f>IF(ISBLANK('ENGAGEMENTS 2026'!B1837),"",IF('ENGAGEMENTS 2026'!B1837="DTSI","DCT",'ENGAGEMENTS 2026'!B1837))</f>
        <v/>
      </c>
      <c r="B1837">
        <f>IF(ISBLANK('ENGAGEMENTS 2026'!B1837),"",'ENGAGEMENTS 2026'!C1837)</f>
        <v/>
      </c>
      <c r="C1837">
        <f>IF(ISBLANK('ENGAGEMENTS 2026'!B1837),"",'ENGAGEMENTS 2026'!D1837)</f>
        <v/>
      </c>
      <c r="D1837">
        <f>IF(ISBLANK('ENGAGEMENTS 2026'!B1837),"",'ENGAGEMENTS 2026'!F1837)</f>
        <v/>
      </c>
      <c r="E1837">
        <f>IF(ISBLANK('ENGAGEMENTS 2026'!B1837),"",'ENGAGEMENTS 2026'!H1837)</f>
        <v/>
      </c>
      <c r="F1837">
        <f>IF(ISBLANK('ENGAGEMENTS 2026'!B1837),"",'ENGAGEMENTS 2026'!I1837)</f>
        <v/>
      </c>
      <c r="G1837">
        <f>IF(ISBLANK('ENGAGEMENTS 2026'!B1837),"",'ENGAGEMENTS 2026'!L1837)</f>
        <v/>
      </c>
      <c r="H1837">
        <f>IF(ISBLANK('ENGAGEMENTS 2026'!B1837),"",'ENGAGEMENTS 2026'!AE1837)</f>
        <v/>
      </c>
      <c r="I1837">
        <f>IF(ISBLANK('ENGAGEMENTS 2026'!B1837),"",'ENGAGEMENTS 2026'!G1837)</f>
        <v/>
      </c>
      <c r="J1837" s="275">
        <f>IF(ISBLANK('ENGAGEMENTS 2026'!B1837),"",IF(AND(OR($E1837="INFRUCTUEUX",$E1837="ANNULE"),$C1837="AOO-M"),'ENGAGEMENTS 2026'!O1837,IF($H1837="EN COURS DE PREENGAGEMENT",'ENGAGEMENTS 2026'!N1837,IF($H1837="PREENGAGE",IF($E1837="ATTRIBUE",'ENGAGEMENTS 2026'!AD1837,'ENGAGEMENTS 2026'!N1837),'ENGAGEMENTS 2026'!AD1837))))</f>
        <v/>
      </c>
      <c r="K1837" s="604">
        <f>IF(ISBLANK('ENGAGEMENTS 2026'!V1837),"",'ENGAGEMENTS 2026'!V1837)</f>
        <v/>
      </c>
      <c r="L1837" s="276">
        <f>IF($K1837="","",TODAY()-$K1837)</f>
        <v/>
      </c>
      <c r="M1837">
        <f>IF($A1837="","",IF($H1837="ENGAGE","Engagé",IF(AND($H1837="NON ENGAGE",OR($I1837="INFRUCTUEUX",$I1837="ANNULE")),"Clôturé sans suite","En cours")))</f>
        <v/>
      </c>
      <c r="N1837">
        <f>IF(ISBLANK('ENGAGEMENTS 2026'!B1837),"",'ENGAGEMENTS 2026'!K1837)</f>
        <v/>
      </c>
      <c r="O1837">
        <f>IF(ISBLANK('ENGAGEMENTS 2026'!B1837),"",'ENGAGEMENTS 2026'!L1837)</f>
        <v/>
      </c>
      <c r="P1837">
        <f>IF(ISBLANK('ENGAGEMENTS 2026'!B1837),"",'ENGAGEMENTS 2026'!J1837)</f>
        <v/>
      </c>
      <c r="Q1837">
        <f>IF($A1837="","",IF(OR($E1837="INFRUCTUEUX",$E1837="ANNULE"),$A1837&amp;"|"&amp;(COUNTIFS($A$2:$A1837,$A1837,$E$2:$E1837,"INFRUCTUEUX")+COUNTIFS($A$2:$A1837,$A1837,$E$2:$E1837,"ANNULE")),""))</f>
        <v/>
      </c>
    </row>
    <row r="1838">
      <c r="A1838">
        <f>IF(ISBLANK('ENGAGEMENTS 2026'!B1838),"",IF('ENGAGEMENTS 2026'!B1838="DTSI","DCT",'ENGAGEMENTS 2026'!B1838))</f>
        <v/>
      </c>
      <c r="B1838">
        <f>IF(ISBLANK('ENGAGEMENTS 2026'!B1838),"",'ENGAGEMENTS 2026'!C1838)</f>
        <v/>
      </c>
      <c r="C1838">
        <f>IF(ISBLANK('ENGAGEMENTS 2026'!B1838),"",'ENGAGEMENTS 2026'!D1838)</f>
        <v/>
      </c>
      <c r="D1838">
        <f>IF(ISBLANK('ENGAGEMENTS 2026'!B1838),"",'ENGAGEMENTS 2026'!F1838)</f>
        <v/>
      </c>
      <c r="E1838">
        <f>IF(ISBLANK('ENGAGEMENTS 2026'!B1838),"",'ENGAGEMENTS 2026'!H1838)</f>
        <v/>
      </c>
      <c r="F1838">
        <f>IF(ISBLANK('ENGAGEMENTS 2026'!B1838),"",'ENGAGEMENTS 2026'!I1838)</f>
        <v/>
      </c>
      <c r="G1838">
        <f>IF(ISBLANK('ENGAGEMENTS 2026'!B1838),"",'ENGAGEMENTS 2026'!L1838)</f>
        <v/>
      </c>
      <c r="H1838">
        <f>IF(ISBLANK('ENGAGEMENTS 2026'!B1838),"",'ENGAGEMENTS 2026'!AE1838)</f>
        <v/>
      </c>
      <c r="I1838">
        <f>IF(ISBLANK('ENGAGEMENTS 2026'!B1838),"",'ENGAGEMENTS 2026'!G1838)</f>
        <v/>
      </c>
      <c r="J1838" s="275">
        <f>IF(ISBLANK('ENGAGEMENTS 2026'!B1838),"",IF(AND(OR($E1838="INFRUCTUEUX",$E1838="ANNULE"),$C1838="AOO-M"),'ENGAGEMENTS 2026'!O1838,IF($H1838="EN COURS DE PREENGAGEMENT",'ENGAGEMENTS 2026'!N1838,IF($H1838="PREENGAGE",IF($E1838="ATTRIBUE",'ENGAGEMENTS 2026'!AD1838,'ENGAGEMENTS 2026'!N1838),'ENGAGEMENTS 2026'!AD1838))))</f>
        <v/>
      </c>
      <c r="K1838" s="604">
        <f>IF(ISBLANK('ENGAGEMENTS 2026'!V1838),"",'ENGAGEMENTS 2026'!V1838)</f>
        <v/>
      </c>
      <c r="L1838" s="276">
        <f>IF($K1838="","",TODAY()-$K1838)</f>
        <v/>
      </c>
      <c r="M1838">
        <f>IF($A1838="","",IF($H1838="ENGAGE","Engagé",IF(AND($H1838="NON ENGAGE",OR($I1838="INFRUCTUEUX",$I1838="ANNULE")),"Clôturé sans suite","En cours")))</f>
        <v/>
      </c>
      <c r="N1838">
        <f>IF(ISBLANK('ENGAGEMENTS 2026'!B1838),"",'ENGAGEMENTS 2026'!K1838)</f>
        <v/>
      </c>
      <c r="O1838">
        <f>IF(ISBLANK('ENGAGEMENTS 2026'!B1838),"",'ENGAGEMENTS 2026'!L1838)</f>
        <v/>
      </c>
      <c r="P1838">
        <f>IF(ISBLANK('ENGAGEMENTS 2026'!B1838),"",'ENGAGEMENTS 2026'!J1838)</f>
        <v/>
      </c>
      <c r="Q1838">
        <f>IF($A1838="","",IF(OR($E1838="INFRUCTUEUX",$E1838="ANNULE"),$A1838&amp;"|"&amp;(COUNTIFS($A$2:$A1838,$A1838,$E$2:$E1838,"INFRUCTUEUX")+COUNTIFS($A$2:$A1838,$A1838,$E$2:$E1838,"ANNULE")),""))</f>
        <v/>
      </c>
    </row>
    <row r="1839">
      <c r="A1839">
        <f>IF(ISBLANK('ENGAGEMENTS 2026'!B1839),"",IF('ENGAGEMENTS 2026'!B1839="DTSI","DCT",'ENGAGEMENTS 2026'!B1839))</f>
        <v/>
      </c>
      <c r="B1839">
        <f>IF(ISBLANK('ENGAGEMENTS 2026'!B1839),"",'ENGAGEMENTS 2026'!C1839)</f>
        <v/>
      </c>
      <c r="C1839">
        <f>IF(ISBLANK('ENGAGEMENTS 2026'!B1839),"",'ENGAGEMENTS 2026'!D1839)</f>
        <v/>
      </c>
      <c r="D1839">
        <f>IF(ISBLANK('ENGAGEMENTS 2026'!B1839),"",'ENGAGEMENTS 2026'!F1839)</f>
        <v/>
      </c>
      <c r="E1839">
        <f>IF(ISBLANK('ENGAGEMENTS 2026'!B1839),"",'ENGAGEMENTS 2026'!H1839)</f>
        <v/>
      </c>
      <c r="F1839">
        <f>IF(ISBLANK('ENGAGEMENTS 2026'!B1839),"",'ENGAGEMENTS 2026'!I1839)</f>
        <v/>
      </c>
      <c r="G1839">
        <f>IF(ISBLANK('ENGAGEMENTS 2026'!B1839),"",'ENGAGEMENTS 2026'!L1839)</f>
        <v/>
      </c>
      <c r="H1839">
        <f>IF(ISBLANK('ENGAGEMENTS 2026'!B1839),"",'ENGAGEMENTS 2026'!AE1839)</f>
        <v/>
      </c>
      <c r="I1839">
        <f>IF(ISBLANK('ENGAGEMENTS 2026'!B1839),"",'ENGAGEMENTS 2026'!G1839)</f>
        <v/>
      </c>
      <c r="J1839" s="275">
        <f>IF(ISBLANK('ENGAGEMENTS 2026'!B1839),"",IF(AND(OR($E1839="INFRUCTUEUX",$E1839="ANNULE"),$C1839="AOO-M"),'ENGAGEMENTS 2026'!O1839,IF($H1839="EN COURS DE PREENGAGEMENT",'ENGAGEMENTS 2026'!N1839,IF($H1839="PREENGAGE",IF($E1839="ATTRIBUE",'ENGAGEMENTS 2026'!AD1839,'ENGAGEMENTS 2026'!N1839),'ENGAGEMENTS 2026'!AD1839))))</f>
        <v/>
      </c>
      <c r="K1839" s="604">
        <f>IF(ISBLANK('ENGAGEMENTS 2026'!V1839),"",'ENGAGEMENTS 2026'!V1839)</f>
        <v/>
      </c>
      <c r="L1839" s="276">
        <f>IF($K1839="","",TODAY()-$K1839)</f>
        <v/>
      </c>
      <c r="M1839">
        <f>IF($A1839="","",IF($H1839="ENGAGE","Engagé",IF(AND($H1839="NON ENGAGE",OR($I1839="INFRUCTUEUX",$I1839="ANNULE")),"Clôturé sans suite","En cours")))</f>
        <v/>
      </c>
      <c r="N1839">
        <f>IF(ISBLANK('ENGAGEMENTS 2026'!B1839),"",'ENGAGEMENTS 2026'!K1839)</f>
        <v/>
      </c>
      <c r="O1839">
        <f>IF(ISBLANK('ENGAGEMENTS 2026'!B1839),"",'ENGAGEMENTS 2026'!L1839)</f>
        <v/>
      </c>
      <c r="P1839">
        <f>IF(ISBLANK('ENGAGEMENTS 2026'!B1839),"",'ENGAGEMENTS 2026'!J1839)</f>
        <v/>
      </c>
      <c r="Q1839">
        <f>IF($A1839="","",IF(OR($E1839="INFRUCTUEUX",$E1839="ANNULE"),$A1839&amp;"|"&amp;(COUNTIFS($A$2:$A1839,$A1839,$E$2:$E1839,"INFRUCTUEUX")+COUNTIFS($A$2:$A1839,$A1839,$E$2:$E1839,"ANNULE")),""))</f>
        <v/>
      </c>
    </row>
    <row r="1840">
      <c r="A1840">
        <f>IF(ISBLANK('ENGAGEMENTS 2026'!B1840),"",IF('ENGAGEMENTS 2026'!B1840="DTSI","DCT",'ENGAGEMENTS 2026'!B1840))</f>
        <v/>
      </c>
      <c r="B1840">
        <f>IF(ISBLANK('ENGAGEMENTS 2026'!B1840),"",'ENGAGEMENTS 2026'!C1840)</f>
        <v/>
      </c>
      <c r="C1840">
        <f>IF(ISBLANK('ENGAGEMENTS 2026'!B1840),"",'ENGAGEMENTS 2026'!D1840)</f>
        <v/>
      </c>
      <c r="D1840">
        <f>IF(ISBLANK('ENGAGEMENTS 2026'!B1840),"",'ENGAGEMENTS 2026'!F1840)</f>
        <v/>
      </c>
      <c r="E1840">
        <f>IF(ISBLANK('ENGAGEMENTS 2026'!B1840),"",'ENGAGEMENTS 2026'!H1840)</f>
        <v/>
      </c>
      <c r="F1840">
        <f>IF(ISBLANK('ENGAGEMENTS 2026'!B1840),"",'ENGAGEMENTS 2026'!I1840)</f>
        <v/>
      </c>
      <c r="G1840">
        <f>IF(ISBLANK('ENGAGEMENTS 2026'!B1840),"",'ENGAGEMENTS 2026'!L1840)</f>
        <v/>
      </c>
      <c r="H1840">
        <f>IF(ISBLANK('ENGAGEMENTS 2026'!B1840),"",'ENGAGEMENTS 2026'!AE1840)</f>
        <v/>
      </c>
      <c r="I1840">
        <f>IF(ISBLANK('ENGAGEMENTS 2026'!B1840),"",'ENGAGEMENTS 2026'!G1840)</f>
        <v/>
      </c>
      <c r="J1840" s="275">
        <f>IF(ISBLANK('ENGAGEMENTS 2026'!B1840),"",IF(AND(OR($E1840="INFRUCTUEUX",$E1840="ANNULE"),$C1840="AOO-M"),'ENGAGEMENTS 2026'!O1840,IF($H1840="EN COURS DE PREENGAGEMENT",'ENGAGEMENTS 2026'!N1840,IF($H1840="PREENGAGE",IF($E1840="ATTRIBUE",'ENGAGEMENTS 2026'!AD1840,'ENGAGEMENTS 2026'!N1840),'ENGAGEMENTS 2026'!AD1840))))</f>
        <v/>
      </c>
      <c r="K1840" s="604">
        <f>IF(ISBLANK('ENGAGEMENTS 2026'!V1840),"",'ENGAGEMENTS 2026'!V1840)</f>
        <v/>
      </c>
      <c r="L1840" s="276">
        <f>IF($K1840="","",TODAY()-$K1840)</f>
        <v/>
      </c>
      <c r="M1840">
        <f>IF($A1840="","",IF($H1840="ENGAGE","Engagé",IF(AND($H1840="NON ENGAGE",OR($I1840="INFRUCTUEUX",$I1840="ANNULE")),"Clôturé sans suite","En cours")))</f>
        <v/>
      </c>
      <c r="N1840">
        <f>IF(ISBLANK('ENGAGEMENTS 2026'!B1840),"",'ENGAGEMENTS 2026'!K1840)</f>
        <v/>
      </c>
      <c r="O1840">
        <f>IF(ISBLANK('ENGAGEMENTS 2026'!B1840),"",'ENGAGEMENTS 2026'!L1840)</f>
        <v/>
      </c>
      <c r="P1840">
        <f>IF(ISBLANK('ENGAGEMENTS 2026'!B1840),"",'ENGAGEMENTS 2026'!J1840)</f>
        <v/>
      </c>
      <c r="Q1840">
        <f>IF($A1840="","",IF(OR($E1840="INFRUCTUEUX",$E1840="ANNULE"),$A1840&amp;"|"&amp;(COUNTIFS($A$2:$A1840,$A1840,$E$2:$E1840,"INFRUCTUEUX")+COUNTIFS($A$2:$A1840,$A1840,$E$2:$E1840,"ANNULE")),""))</f>
        <v/>
      </c>
    </row>
    <row r="1841">
      <c r="A1841">
        <f>IF(ISBLANK('ENGAGEMENTS 2026'!B1841),"",IF('ENGAGEMENTS 2026'!B1841="DTSI","DCT",'ENGAGEMENTS 2026'!B1841))</f>
        <v/>
      </c>
      <c r="B1841">
        <f>IF(ISBLANK('ENGAGEMENTS 2026'!B1841),"",'ENGAGEMENTS 2026'!C1841)</f>
        <v/>
      </c>
      <c r="C1841">
        <f>IF(ISBLANK('ENGAGEMENTS 2026'!B1841),"",'ENGAGEMENTS 2026'!D1841)</f>
        <v/>
      </c>
      <c r="D1841">
        <f>IF(ISBLANK('ENGAGEMENTS 2026'!B1841),"",'ENGAGEMENTS 2026'!F1841)</f>
        <v/>
      </c>
      <c r="E1841">
        <f>IF(ISBLANK('ENGAGEMENTS 2026'!B1841),"",'ENGAGEMENTS 2026'!H1841)</f>
        <v/>
      </c>
      <c r="F1841">
        <f>IF(ISBLANK('ENGAGEMENTS 2026'!B1841),"",'ENGAGEMENTS 2026'!I1841)</f>
        <v/>
      </c>
      <c r="G1841">
        <f>IF(ISBLANK('ENGAGEMENTS 2026'!B1841),"",'ENGAGEMENTS 2026'!L1841)</f>
        <v/>
      </c>
      <c r="H1841">
        <f>IF(ISBLANK('ENGAGEMENTS 2026'!B1841),"",'ENGAGEMENTS 2026'!AE1841)</f>
        <v/>
      </c>
      <c r="I1841">
        <f>IF(ISBLANK('ENGAGEMENTS 2026'!B1841),"",'ENGAGEMENTS 2026'!G1841)</f>
        <v/>
      </c>
      <c r="J1841" s="275">
        <f>IF(ISBLANK('ENGAGEMENTS 2026'!B1841),"",IF(AND(OR($E1841="INFRUCTUEUX",$E1841="ANNULE"),$C1841="AOO-M"),'ENGAGEMENTS 2026'!O1841,IF($H1841="EN COURS DE PREENGAGEMENT",'ENGAGEMENTS 2026'!N1841,IF($H1841="PREENGAGE",IF($E1841="ATTRIBUE",'ENGAGEMENTS 2026'!AD1841,'ENGAGEMENTS 2026'!N1841),'ENGAGEMENTS 2026'!AD1841))))</f>
        <v/>
      </c>
      <c r="K1841" s="604">
        <f>IF(ISBLANK('ENGAGEMENTS 2026'!V1841),"",'ENGAGEMENTS 2026'!V1841)</f>
        <v/>
      </c>
      <c r="L1841" s="276">
        <f>IF($K1841="","",TODAY()-$K1841)</f>
        <v/>
      </c>
      <c r="M1841">
        <f>IF($A1841="","",IF($H1841="ENGAGE","Engagé",IF(AND($H1841="NON ENGAGE",OR($I1841="INFRUCTUEUX",$I1841="ANNULE")),"Clôturé sans suite","En cours")))</f>
        <v/>
      </c>
      <c r="N1841">
        <f>IF(ISBLANK('ENGAGEMENTS 2026'!B1841),"",'ENGAGEMENTS 2026'!K1841)</f>
        <v/>
      </c>
      <c r="O1841">
        <f>IF(ISBLANK('ENGAGEMENTS 2026'!B1841),"",'ENGAGEMENTS 2026'!L1841)</f>
        <v/>
      </c>
      <c r="P1841">
        <f>IF(ISBLANK('ENGAGEMENTS 2026'!B1841),"",'ENGAGEMENTS 2026'!J1841)</f>
        <v/>
      </c>
      <c r="Q1841">
        <f>IF($A1841="","",IF(OR($E1841="INFRUCTUEUX",$E1841="ANNULE"),$A1841&amp;"|"&amp;(COUNTIFS($A$2:$A1841,$A1841,$E$2:$E1841,"INFRUCTUEUX")+COUNTIFS($A$2:$A1841,$A1841,$E$2:$E1841,"ANNULE")),""))</f>
        <v/>
      </c>
    </row>
    <row r="1842">
      <c r="A1842">
        <f>IF(ISBLANK('ENGAGEMENTS 2026'!B1842),"",IF('ENGAGEMENTS 2026'!B1842="DTSI","DCT",'ENGAGEMENTS 2026'!B1842))</f>
        <v/>
      </c>
      <c r="B1842">
        <f>IF(ISBLANK('ENGAGEMENTS 2026'!B1842),"",'ENGAGEMENTS 2026'!C1842)</f>
        <v/>
      </c>
      <c r="C1842">
        <f>IF(ISBLANK('ENGAGEMENTS 2026'!B1842),"",'ENGAGEMENTS 2026'!D1842)</f>
        <v/>
      </c>
      <c r="D1842">
        <f>IF(ISBLANK('ENGAGEMENTS 2026'!B1842),"",'ENGAGEMENTS 2026'!F1842)</f>
        <v/>
      </c>
      <c r="E1842">
        <f>IF(ISBLANK('ENGAGEMENTS 2026'!B1842),"",'ENGAGEMENTS 2026'!H1842)</f>
        <v/>
      </c>
      <c r="F1842">
        <f>IF(ISBLANK('ENGAGEMENTS 2026'!B1842),"",'ENGAGEMENTS 2026'!I1842)</f>
        <v/>
      </c>
      <c r="G1842">
        <f>IF(ISBLANK('ENGAGEMENTS 2026'!B1842),"",'ENGAGEMENTS 2026'!L1842)</f>
        <v/>
      </c>
      <c r="H1842">
        <f>IF(ISBLANK('ENGAGEMENTS 2026'!B1842),"",'ENGAGEMENTS 2026'!AE1842)</f>
        <v/>
      </c>
      <c r="I1842">
        <f>IF(ISBLANK('ENGAGEMENTS 2026'!B1842),"",'ENGAGEMENTS 2026'!G1842)</f>
        <v/>
      </c>
      <c r="J1842" s="275">
        <f>IF(ISBLANK('ENGAGEMENTS 2026'!B1842),"",IF(AND(OR($E1842="INFRUCTUEUX",$E1842="ANNULE"),$C1842="AOO-M"),'ENGAGEMENTS 2026'!O1842,IF($H1842="EN COURS DE PREENGAGEMENT",'ENGAGEMENTS 2026'!N1842,IF($H1842="PREENGAGE",IF($E1842="ATTRIBUE",'ENGAGEMENTS 2026'!AD1842,'ENGAGEMENTS 2026'!N1842),'ENGAGEMENTS 2026'!AD1842))))</f>
        <v/>
      </c>
      <c r="K1842" s="604">
        <f>IF(ISBLANK('ENGAGEMENTS 2026'!V1842),"",'ENGAGEMENTS 2026'!V1842)</f>
        <v/>
      </c>
      <c r="L1842" s="276">
        <f>IF($K1842="","",TODAY()-$K1842)</f>
        <v/>
      </c>
      <c r="M1842">
        <f>IF($A1842="","",IF($H1842="ENGAGE","Engagé",IF(AND($H1842="NON ENGAGE",OR($I1842="INFRUCTUEUX",$I1842="ANNULE")),"Clôturé sans suite","En cours")))</f>
        <v/>
      </c>
      <c r="N1842">
        <f>IF(ISBLANK('ENGAGEMENTS 2026'!B1842),"",'ENGAGEMENTS 2026'!K1842)</f>
        <v/>
      </c>
      <c r="O1842">
        <f>IF(ISBLANK('ENGAGEMENTS 2026'!B1842),"",'ENGAGEMENTS 2026'!L1842)</f>
        <v/>
      </c>
      <c r="P1842">
        <f>IF(ISBLANK('ENGAGEMENTS 2026'!B1842),"",'ENGAGEMENTS 2026'!J1842)</f>
        <v/>
      </c>
      <c r="Q1842">
        <f>IF($A1842="","",IF(OR($E1842="INFRUCTUEUX",$E1842="ANNULE"),$A1842&amp;"|"&amp;(COUNTIFS($A$2:$A1842,$A1842,$E$2:$E1842,"INFRUCTUEUX")+COUNTIFS($A$2:$A1842,$A1842,$E$2:$E1842,"ANNULE")),""))</f>
        <v/>
      </c>
    </row>
    <row r="1843">
      <c r="A1843">
        <f>IF(ISBLANK('ENGAGEMENTS 2026'!B1843),"",IF('ENGAGEMENTS 2026'!B1843="DTSI","DCT",'ENGAGEMENTS 2026'!B1843))</f>
        <v/>
      </c>
      <c r="B1843">
        <f>IF(ISBLANK('ENGAGEMENTS 2026'!B1843),"",'ENGAGEMENTS 2026'!C1843)</f>
        <v/>
      </c>
      <c r="C1843">
        <f>IF(ISBLANK('ENGAGEMENTS 2026'!B1843),"",'ENGAGEMENTS 2026'!D1843)</f>
        <v/>
      </c>
      <c r="D1843">
        <f>IF(ISBLANK('ENGAGEMENTS 2026'!B1843),"",'ENGAGEMENTS 2026'!F1843)</f>
        <v/>
      </c>
      <c r="E1843">
        <f>IF(ISBLANK('ENGAGEMENTS 2026'!B1843),"",'ENGAGEMENTS 2026'!H1843)</f>
        <v/>
      </c>
      <c r="F1843">
        <f>IF(ISBLANK('ENGAGEMENTS 2026'!B1843),"",'ENGAGEMENTS 2026'!I1843)</f>
        <v/>
      </c>
      <c r="G1843">
        <f>IF(ISBLANK('ENGAGEMENTS 2026'!B1843),"",'ENGAGEMENTS 2026'!L1843)</f>
        <v/>
      </c>
      <c r="H1843">
        <f>IF(ISBLANK('ENGAGEMENTS 2026'!B1843),"",'ENGAGEMENTS 2026'!AE1843)</f>
        <v/>
      </c>
      <c r="I1843">
        <f>IF(ISBLANK('ENGAGEMENTS 2026'!B1843),"",'ENGAGEMENTS 2026'!G1843)</f>
        <v/>
      </c>
      <c r="J1843" s="275">
        <f>IF(ISBLANK('ENGAGEMENTS 2026'!B1843),"",IF(AND(OR($E1843="INFRUCTUEUX",$E1843="ANNULE"),$C1843="AOO-M"),'ENGAGEMENTS 2026'!O1843,IF($H1843="EN COURS DE PREENGAGEMENT",'ENGAGEMENTS 2026'!N1843,IF($H1843="PREENGAGE",IF($E1843="ATTRIBUE",'ENGAGEMENTS 2026'!AD1843,'ENGAGEMENTS 2026'!N1843),'ENGAGEMENTS 2026'!AD1843))))</f>
        <v/>
      </c>
      <c r="K1843" s="604">
        <f>IF(ISBLANK('ENGAGEMENTS 2026'!V1843),"",'ENGAGEMENTS 2026'!V1843)</f>
        <v/>
      </c>
      <c r="L1843" s="276">
        <f>IF($K1843="","",TODAY()-$K1843)</f>
        <v/>
      </c>
      <c r="M1843">
        <f>IF($A1843="","",IF($H1843="ENGAGE","Engagé",IF(AND($H1843="NON ENGAGE",OR($I1843="INFRUCTUEUX",$I1843="ANNULE")),"Clôturé sans suite","En cours")))</f>
        <v/>
      </c>
      <c r="N1843">
        <f>IF(ISBLANK('ENGAGEMENTS 2026'!B1843),"",'ENGAGEMENTS 2026'!K1843)</f>
        <v/>
      </c>
      <c r="O1843">
        <f>IF(ISBLANK('ENGAGEMENTS 2026'!B1843),"",'ENGAGEMENTS 2026'!L1843)</f>
        <v/>
      </c>
      <c r="P1843">
        <f>IF(ISBLANK('ENGAGEMENTS 2026'!B1843),"",'ENGAGEMENTS 2026'!J1843)</f>
        <v/>
      </c>
      <c r="Q1843">
        <f>IF($A1843="","",IF(OR($E1843="INFRUCTUEUX",$E1843="ANNULE"),$A1843&amp;"|"&amp;(COUNTIFS($A$2:$A1843,$A1843,$E$2:$E1843,"INFRUCTUEUX")+COUNTIFS($A$2:$A1843,$A1843,$E$2:$E1843,"ANNULE")),""))</f>
        <v/>
      </c>
    </row>
    <row r="1844">
      <c r="A1844">
        <f>IF(ISBLANK('ENGAGEMENTS 2026'!B1844),"",IF('ENGAGEMENTS 2026'!B1844="DTSI","DCT",'ENGAGEMENTS 2026'!B1844))</f>
        <v/>
      </c>
      <c r="B1844">
        <f>IF(ISBLANK('ENGAGEMENTS 2026'!B1844),"",'ENGAGEMENTS 2026'!C1844)</f>
        <v/>
      </c>
      <c r="C1844">
        <f>IF(ISBLANK('ENGAGEMENTS 2026'!B1844),"",'ENGAGEMENTS 2026'!D1844)</f>
        <v/>
      </c>
      <c r="D1844">
        <f>IF(ISBLANK('ENGAGEMENTS 2026'!B1844),"",'ENGAGEMENTS 2026'!F1844)</f>
        <v/>
      </c>
      <c r="E1844">
        <f>IF(ISBLANK('ENGAGEMENTS 2026'!B1844),"",'ENGAGEMENTS 2026'!H1844)</f>
        <v/>
      </c>
      <c r="F1844">
        <f>IF(ISBLANK('ENGAGEMENTS 2026'!B1844),"",'ENGAGEMENTS 2026'!I1844)</f>
        <v/>
      </c>
      <c r="G1844">
        <f>IF(ISBLANK('ENGAGEMENTS 2026'!B1844),"",'ENGAGEMENTS 2026'!L1844)</f>
        <v/>
      </c>
      <c r="H1844">
        <f>IF(ISBLANK('ENGAGEMENTS 2026'!B1844),"",'ENGAGEMENTS 2026'!AE1844)</f>
        <v/>
      </c>
      <c r="I1844">
        <f>IF(ISBLANK('ENGAGEMENTS 2026'!B1844),"",'ENGAGEMENTS 2026'!G1844)</f>
        <v/>
      </c>
      <c r="J1844" s="275">
        <f>IF(ISBLANK('ENGAGEMENTS 2026'!B1844),"",IF(AND(OR($E1844="INFRUCTUEUX",$E1844="ANNULE"),$C1844="AOO-M"),'ENGAGEMENTS 2026'!O1844,IF($H1844="EN COURS DE PREENGAGEMENT",'ENGAGEMENTS 2026'!N1844,IF($H1844="PREENGAGE",IF($E1844="ATTRIBUE",'ENGAGEMENTS 2026'!AD1844,'ENGAGEMENTS 2026'!N1844),'ENGAGEMENTS 2026'!AD1844))))</f>
        <v/>
      </c>
      <c r="K1844" s="604">
        <f>IF(ISBLANK('ENGAGEMENTS 2026'!V1844),"",'ENGAGEMENTS 2026'!V1844)</f>
        <v/>
      </c>
      <c r="L1844" s="276">
        <f>IF($K1844="","",TODAY()-$K1844)</f>
        <v/>
      </c>
      <c r="M1844">
        <f>IF($A1844="","",IF($H1844="ENGAGE","Engagé",IF(AND($H1844="NON ENGAGE",OR($I1844="INFRUCTUEUX",$I1844="ANNULE")),"Clôturé sans suite","En cours")))</f>
        <v/>
      </c>
      <c r="N1844">
        <f>IF(ISBLANK('ENGAGEMENTS 2026'!B1844),"",'ENGAGEMENTS 2026'!K1844)</f>
        <v/>
      </c>
      <c r="O1844">
        <f>IF(ISBLANK('ENGAGEMENTS 2026'!B1844),"",'ENGAGEMENTS 2026'!L1844)</f>
        <v/>
      </c>
      <c r="P1844">
        <f>IF(ISBLANK('ENGAGEMENTS 2026'!B1844),"",'ENGAGEMENTS 2026'!J1844)</f>
        <v/>
      </c>
      <c r="Q1844">
        <f>IF($A1844="","",IF(OR($E1844="INFRUCTUEUX",$E1844="ANNULE"),$A1844&amp;"|"&amp;(COUNTIFS($A$2:$A1844,$A1844,$E$2:$E1844,"INFRUCTUEUX")+COUNTIFS($A$2:$A1844,$A1844,$E$2:$E1844,"ANNULE")),""))</f>
        <v/>
      </c>
    </row>
    <row r="1845">
      <c r="A1845">
        <f>IF(ISBLANK('ENGAGEMENTS 2026'!B1845),"",IF('ENGAGEMENTS 2026'!B1845="DTSI","DCT",'ENGAGEMENTS 2026'!B1845))</f>
        <v/>
      </c>
      <c r="B1845">
        <f>IF(ISBLANK('ENGAGEMENTS 2026'!B1845),"",'ENGAGEMENTS 2026'!C1845)</f>
        <v/>
      </c>
      <c r="C1845">
        <f>IF(ISBLANK('ENGAGEMENTS 2026'!B1845),"",'ENGAGEMENTS 2026'!D1845)</f>
        <v/>
      </c>
      <c r="D1845">
        <f>IF(ISBLANK('ENGAGEMENTS 2026'!B1845),"",'ENGAGEMENTS 2026'!F1845)</f>
        <v/>
      </c>
      <c r="E1845">
        <f>IF(ISBLANK('ENGAGEMENTS 2026'!B1845),"",'ENGAGEMENTS 2026'!H1845)</f>
        <v/>
      </c>
      <c r="F1845">
        <f>IF(ISBLANK('ENGAGEMENTS 2026'!B1845),"",'ENGAGEMENTS 2026'!I1845)</f>
        <v/>
      </c>
      <c r="G1845">
        <f>IF(ISBLANK('ENGAGEMENTS 2026'!B1845),"",'ENGAGEMENTS 2026'!L1845)</f>
        <v/>
      </c>
      <c r="H1845">
        <f>IF(ISBLANK('ENGAGEMENTS 2026'!B1845),"",'ENGAGEMENTS 2026'!AE1845)</f>
        <v/>
      </c>
      <c r="I1845">
        <f>IF(ISBLANK('ENGAGEMENTS 2026'!B1845),"",'ENGAGEMENTS 2026'!G1845)</f>
        <v/>
      </c>
      <c r="J1845" s="275">
        <f>IF(ISBLANK('ENGAGEMENTS 2026'!B1845),"",IF(AND(OR($E1845="INFRUCTUEUX",$E1845="ANNULE"),$C1845="AOO-M"),'ENGAGEMENTS 2026'!O1845,IF($H1845="EN COURS DE PREENGAGEMENT",'ENGAGEMENTS 2026'!N1845,IF($H1845="PREENGAGE",IF($E1845="ATTRIBUE",'ENGAGEMENTS 2026'!AD1845,'ENGAGEMENTS 2026'!N1845),'ENGAGEMENTS 2026'!AD1845))))</f>
        <v/>
      </c>
      <c r="K1845" s="604">
        <f>IF(ISBLANK('ENGAGEMENTS 2026'!V1845),"",'ENGAGEMENTS 2026'!V1845)</f>
        <v/>
      </c>
      <c r="L1845" s="276">
        <f>IF($K1845="","",TODAY()-$K1845)</f>
        <v/>
      </c>
      <c r="M1845">
        <f>IF($A1845="","",IF($H1845="ENGAGE","Engagé",IF(AND($H1845="NON ENGAGE",OR($I1845="INFRUCTUEUX",$I1845="ANNULE")),"Clôturé sans suite","En cours")))</f>
        <v/>
      </c>
      <c r="N1845">
        <f>IF(ISBLANK('ENGAGEMENTS 2026'!B1845),"",'ENGAGEMENTS 2026'!K1845)</f>
        <v/>
      </c>
      <c r="O1845">
        <f>IF(ISBLANK('ENGAGEMENTS 2026'!B1845),"",'ENGAGEMENTS 2026'!L1845)</f>
        <v/>
      </c>
      <c r="P1845">
        <f>IF(ISBLANK('ENGAGEMENTS 2026'!B1845),"",'ENGAGEMENTS 2026'!J1845)</f>
        <v/>
      </c>
      <c r="Q1845">
        <f>IF($A1845="","",IF(OR($E1845="INFRUCTUEUX",$E1845="ANNULE"),$A1845&amp;"|"&amp;(COUNTIFS($A$2:$A1845,$A1845,$E$2:$E1845,"INFRUCTUEUX")+COUNTIFS($A$2:$A1845,$A1845,$E$2:$E1845,"ANNULE")),""))</f>
        <v/>
      </c>
    </row>
    <row r="1846">
      <c r="A1846">
        <f>IF(ISBLANK('ENGAGEMENTS 2026'!B1846),"",IF('ENGAGEMENTS 2026'!B1846="DTSI","DCT",'ENGAGEMENTS 2026'!B1846))</f>
        <v/>
      </c>
      <c r="B1846">
        <f>IF(ISBLANK('ENGAGEMENTS 2026'!B1846),"",'ENGAGEMENTS 2026'!C1846)</f>
        <v/>
      </c>
      <c r="C1846">
        <f>IF(ISBLANK('ENGAGEMENTS 2026'!B1846),"",'ENGAGEMENTS 2026'!D1846)</f>
        <v/>
      </c>
      <c r="D1846">
        <f>IF(ISBLANK('ENGAGEMENTS 2026'!B1846),"",'ENGAGEMENTS 2026'!F1846)</f>
        <v/>
      </c>
      <c r="E1846">
        <f>IF(ISBLANK('ENGAGEMENTS 2026'!B1846),"",'ENGAGEMENTS 2026'!H1846)</f>
        <v/>
      </c>
      <c r="F1846">
        <f>IF(ISBLANK('ENGAGEMENTS 2026'!B1846),"",'ENGAGEMENTS 2026'!I1846)</f>
        <v/>
      </c>
      <c r="G1846">
        <f>IF(ISBLANK('ENGAGEMENTS 2026'!B1846),"",'ENGAGEMENTS 2026'!L1846)</f>
        <v/>
      </c>
      <c r="H1846">
        <f>IF(ISBLANK('ENGAGEMENTS 2026'!B1846),"",'ENGAGEMENTS 2026'!AE1846)</f>
        <v/>
      </c>
      <c r="I1846">
        <f>IF(ISBLANK('ENGAGEMENTS 2026'!B1846),"",'ENGAGEMENTS 2026'!G1846)</f>
        <v/>
      </c>
      <c r="J1846" s="275">
        <f>IF(ISBLANK('ENGAGEMENTS 2026'!B1846),"",IF(AND(OR($E1846="INFRUCTUEUX",$E1846="ANNULE"),$C1846="AOO-M"),'ENGAGEMENTS 2026'!O1846,IF($H1846="EN COURS DE PREENGAGEMENT",'ENGAGEMENTS 2026'!N1846,IF($H1846="PREENGAGE",IF($E1846="ATTRIBUE",'ENGAGEMENTS 2026'!AD1846,'ENGAGEMENTS 2026'!N1846),'ENGAGEMENTS 2026'!AD1846))))</f>
        <v/>
      </c>
      <c r="K1846" s="604">
        <f>IF(ISBLANK('ENGAGEMENTS 2026'!V1846),"",'ENGAGEMENTS 2026'!V1846)</f>
        <v/>
      </c>
      <c r="L1846" s="276">
        <f>IF($K1846="","",TODAY()-$K1846)</f>
        <v/>
      </c>
      <c r="M1846">
        <f>IF($A1846="","",IF($H1846="ENGAGE","Engagé",IF(AND($H1846="NON ENGAGE",OR($I1846="INFRUCTUEUX",$I1846="ANNULE")),"Clôturé sans suite","En cours")))</f>
        <v/>
      </c>
      <c r="N1846">
        <f>IF(ISBLANK('ENGAGEMENTS 2026'!B1846),"",'ENGAGEMENTS 2026'!K1846)</f>
        <v/>
      </c>
      <c r="O1846">
        <f>IF(ISBLANK('ENGAGEMENTS 2026'!B1846),"",'ENGAGEMENTS 2026'!L1846)</f>
        <v/>
      </c>
      <c r="P1846">
        <f>IF(ISBLANK('ENGAGEMENTS 2026'!B1846),"",'ENGAGEMENTS 2026'!J1846)</f>
        <v/>
      </c>
      <c r="Q1846">
        <f>IF($A1846="","",IF(OR($E1846="INFRUCTUEUX",$E1846="ANNULE"),$A1846&amp;"|"&amp;(COUNTIFS($A$2:$A1846,$A1846,$E$2:$E1846,"INFRUCTUEUX")+COUNTIFS($A$2:$A1846,$A1846,$E$2:$E1846,"ANNULE")),""))</f>
        <v/>
      </c>
    </row>
    <row r="1847">
      <c r="A1847">
        <f>IF(ISBLANK('ENGAGEMENTS 2026'!B1847),"",IF('ENGAGEMENTS 2026'!B1847="DTSI","DCT",'ENGAGEMENTS 2026'!B1847))</f>
        <v/>
      </c>
      <c r="B1847">
        <f>IF(ISBLANK('ENGAGEMENTS 2026'!B1847),"",'ENGAGEMENTS 2026'!C1847)</f>
        <v/>
      </c>
      <c r="C1847">
        <f>IF(ISBLANK('ENGAGEMENTS 2026'!B1847),"",'ENGAGEMENTS 2026'!D1847)</f>
        <v/>
      </c>
      <c r="D1847">
        <f>IF(ISBLANK('ENGAGEMENTS 2026'!B1847),"",'ENGAGEMENTS 2026'!F1847)</f>
        <v/>
      </c>
      <c r="E1847">
        <f>IF(ISBLANK('ENGAGEMENTS 2026'!B1847),"",'ENGAGEMENTS 2026'!H1847)</f>
        <v/>
      </c>
      <c r="F1847">
        <f>IF(ISBLANK('ENGAGEMENTS 2026'!B1847),"",'ENGAGEMENTS 2026'!I1847)</f>
        <v/>
      </c>
      <c r="G1847">
        <f>IF(ISBLANK('ENGAGEMENTS 2026'!B1847),"",'ENGAGEMENTS 2026'!L1847)</f>
        <v/>
      </c>
      <c r="H1847">
        <f>IF(ISBLANK('ENGAGEMENTS 2026'!B1847),"",'ENGAGEMENTS 2026'!AE1847)</f>
        <v/>
      </c>
      <c r="I1847">
        <f>IF(ISBLANK('ENGAGEMENTS 2026'!B1847),"",'ENGAGEMENTS 2026'!G1847)</f>
        <v/>
      </c>
      <c r="J1847" s="275">
        <f>IF(ISBLANK('ENGAGEMENTS 2026'!B1847),"",IF(AND(OR($E1847="INFRUCTUEUX",$E1847="ANNULE"),$C1847="AOO-M"),'ENGAGEMENTS 2026'!O1847,IF($H1847="EN COURS DE PREENGAGEMENT",'ENGAGEMENTS 2026'!N1847,IF($H1847="PREENGAGE",IF($E1847="ATTRIBUE",'ENGAGEMENTS 2026'!AD1847,'ENGAGEMENTS 2026'!N1847),'ENGAGEMENTS 2026'!AD1847))))</f>
        <v/>
      </c>
      <c r="K1847" s="604">
        <f>IF(ISBLANK('ENGAGEMENTS 2026'!V1847),"",'ENGAGEMENTS 2026'!V1847)</f>
        <v/>
      </c>
      <c r="L1847" s="276">
        <f>IF($K1847="","",TODAY()-$K1847)</f>
        <v/>
      </c>
      <c r="M1847">
        <f>IF($A1847="","",IF($H1847="ENGAGE","Engagé",IF(AND($H1847="NON ENGAGE",OR($I1847="INFRUCTUEUX",$I1847="ANNULE")),"Clôturé sans suite","En cours")))</f>
        <v/>
      </c>
      <c r="N1847">
        <f>IF(ISBLANK('ENGAGEMENTS 2026'!B1847),"",'ENGAGEMENTS 2026'!K1847)</f>
        <v/>
      </c>
      <c r="O1847">
        <f>IF(ISBLANK('ENGAGEMENTS 2026'!B1847),"",'ENGAGEMENTS 2026'!L1847)</f>
        <v/>
      </c>
      <c r="P1847">
        <f>IF(ISBLANK('ENGAGEMENTS 2026'!B1847),"",'ENGAGEMENTS 2026'!J1847)</f>
        <v/>
      </c>
      <c r="Q1847">
        <f>IF($A1847="","",IF(OR($E1847="INFRUCTUEUX",$E1847="ANNULE"),$A1847&amp;"|"&amp;(COUNTIFS($A$2:$A1847,$A1847,$E$2:$E1847,"INFRUCTUEUX")+COUNTIFS($A$2:$A1847,$A1847,$E$2:$E1847,"ANNULE")),""))</f>
        <v/>
      </c>
    </row>
    <row r="1848">
      <c r="A1848">
        <f>IF(ISBLANK('ENGAGEMENTS 2026'!B1848),"",IF('ENGAGEMENTS 2026'!B1848="DTSI","DCT",'ENGAGEMENTS 2026'!B1848))</f>
        <v/>
      </c>
      <c r="B1848">
        <f>IF(ISBLANK('ENGAGEMENTS 2026'!B1848),"",'ENGAGEMENTS 2026'!C1848)</f>
        <v/>
      </c>
      <c r="C1848">
        <f>IF(ISBLANK('ENGAGEMENTS 2026'!B1848),"",'ENGAGEMENTS 2026'!D1848)</f>
        <v/>
      </c>
      <c r="D1848">
        <f>IF(ISBLANK('ENGAGEMENTS 2026'!B1848),"",'ENGAGEMENTS 2026'!F1848)</f>
        <v/>
      </c>
      <c r="E1848">
        <f>IF(ISBLANK('ENGAGEMENTS 2026'!B1848),"",'ENGAGEMENTS 2026'!H1848)</f>
        <v/>
      </c>
      <c r="F1848">
        <f>IF(ISBLANK('ENGAGEMENTS 2026'!B1848),"",'ENGAGEMENTS 2026'!I1848)</f>
        <v/>
      </c>
      <c r="G1848">
        <f>IF(ISBLANK('ENGAGEMENTS 2026'!B1848),"",'ENGAGEMENTS 2026'!L1848)</f>
        <v/>
      </c>
      <c r="H1848">
        <f>IF(ISBLANK('ENGAGEMENTS 2026'!B1848),"",'ENGAGEMENTS 2026'!AE1848)</f>
        <v/>
      </c>
      <c r="I1848">
        <f>IF(ISBLANK('ENGAGEMENTS 2026'!B1848),"",'ENGAGEMENTS 2026'!G1848)</f>
        <v/>
      </c>
      <c r="J1848" s="275">
        <f>IF(ISBLANK('ENGAGEMENTS 2026'!B1848),"",IF(AND(OR($E1848="INFRUCTUEUX",$E1848="ANNULE"),$C1848="AOO-M"),'ENGAGEMENTS 2026'!O1848,IF($H1848="EN COURS DE PREENGAGEMENT",'ENGAGEMENTS 2026'!N1848,IF($H1848="PREENGAGE",IF($E1848="ATTRIBUE",'ENGAGEMENTS 2026'!AD1848,'ENGAGEMENTS 2026'!N1848),'ENGAGEMENTS 2026'!AD1848))))</f>
        <v/>
      </c>
      <c r="K1848" s="604">
        <f>IF(ISBLANK('ENGAGEMENTS 2026'!V1848),"",'ENGAGEMENTS 2026'!V1848)</f>
        <v/>
      </c>
      <c r="L1848" s="276">
        <f>IF($K1848="","",TODAY()-$K1848)</f>
        <v/>
      </c>
      <c r="M1848">
        <f>IF($A1848="","",IF($H1848="ENGAGE","Engagé",IF(AND($H1848="NON ENGAGE",OR($I1848="INFRUCTUEUX",$I1848="ANNULE")),"Clôturé sans suite","En cours")))</f>
        <v/>
      </c>
      <c r="N1848">
        <f>IF(ISBLANK('ENGAGEMENTS 2026'!B1848),"",'ENGAGEMENTS 2026'!K1848)</f>
        <v/>
      </c>
      <c r="O1848">
        <f>IF(ISBLANK('ENGAGEMENTS 2026'!B1848),"",'ENGAGEMENTS 2026'!L1848)</f>
        <v/>
      </c>
      <c r="P1848">
        <f>IF(ISBLANK('ENGAGEMENTS 2026'!B1848),"",'ENGAGEMENTS 2026'!J1848)</f>
        <v/>
      </c>
      <c r="Q1848">
        <f>IF($A1848="","",IF(OR($E1848="INFRUCTUEUX",$E1848="ANNULE"),$A1848&amp;"|"&amp;(COUNTIFS($A$2:$A1848,$A1848,$E$2:$E1848,"INFRUCTUEUX")+COUNTIFS($A$2:$A1848,$A1848,$E$2:$E1848,"ANNULE")),""))</f>
        <v/>
      </c>
    </row>
    <row r="1849">
      <c r="A1849">
        <f>IF(ISBLANK('ENGAGEMENTS 2026'!B1849),"",IF('ENGAGEMENTS 2026'!B1849="DTSI","DCT",'ENGAGEMENTS 2026'!B1849))</f>
        <v/>
      </c>
      <c r="B1849">
        <f>IF(ISBLANK('ENGAGEMENTS 2026'!B1849),"",'ENGAGEMENTS 2026'!C1849)</f>
        <v/>
      </c>
      <c r="C1849">
        <f>IF(ISBLANK('ENGAGEMENTS 2026'!B1849),"",'ENGAGEMENTS 2026'!D1849)</f>
        <v/>
      </c>
      <c r="D1849">
        <f>IF(ISBLANK('ENGAGEMENTS 2026'!B1849),"",'ENGAGEMENTS 2026'!F1849)</f>
        <v/>
      </c>
      <c r="E1849">
        <f>IF(ISBLANK('ENGAGEMENTS 2026'!B1849),"",'ENGAGEMENTS 2026'!H1849)</f>
        <v/>
      </c>
      <c r="F1849">
        <f>IF(ISBLANK('ENGAGEMENTS 2026'!B1849),"",'ENGAGEMENTS 2026'!I1849)</f>
        <v/>
      </c>
      <c r="G1849">
        <f>IF(ISBLANK('ENGAGEMENTS 2026'!B1849),"",'ENGAGEMENTS 2026'!L1849)</f>
        <v/>
      </c>
      <c r="H1849">
        <f>IF(ISBLANK('ENGAGEMENTS 2026'!B1849),"",'ENGAGEMENTS 2026'!AE1849)</f>
        <v/>
      </c>
      <c r="I1849">
        <f>IF(ISBLANK('ENGAGEMENTS 2026'!B1849),"",'ENGAGEMENTS 2026'!G1849)</f>
        <v/>
      </c>
      <c r="J1849" s="275">
        <f>IF(ISBLANK('ENGAGEMENTS 2026'!B1849),"",IF(AND(OR($E1849="INFRUCTUEUX",$E1849="ANNULE"),$C1849="AOO-M"),'ENGAGEMENTS 2026'!O1849,IF($H1849="EN COURS DE PREENGAGEMENT",'ENGAGEMENTS 2026'!N1849,IF($H1849="PREENGAGE",IF($E1849="ATTRIBUE",'ENGAGEMENTS 2026'!AD1849,'ENGAGEMENTS 2026'!N1849),'ENGAGEMENTS 2026'!AD1849))))</f>
        <v/>
      </c>
      <c r="K1849" s="604">
        <f>IF(ISBLANK('ENGAGEMENTS 2026'!V1849),"",'ENGAGEMENTS 2026'!V1849)</f>
        <v/>
      </c>
      <c r="L1849" s="276">
        <f>IF($K1849="","",TODAY()-$K1849)</f>
        <v/>
      </c>
      <c r="M1849">
        <f>IF($A1849="","",IF($H1849="ENGAGE","Engagé",IF(AND($H1849="NON ENGAGE",OR($I1849="INFRUCTUEUX",$I1849="ANNULE")),"Clôturé sans suite","En cours")))</f>
        <v/>
      </c>
      <c r="N1849">
        <f>IF(ISBLANK('ENGAGEMENTS 2026'!B1849),"",'ENGAGEMENTS 2026'!K1849)</f>
        <v/>
      </c>
      <c r="O1849">
        <f>IF(ISBLANK('ENGAGEMENTS 2026'!B1849),"",'ENGAGEMENTS 2026'!L1849)</f>
        <v/>
      </c>
      <c r="P1849">
        <f>IF(ISBLANK('ENGAGEMENTS 2026'!B1849),"",'ENGAGEMENTS 2026'!J1849)</f>
        <v/>
      </c>
      <c r="Q1849">
        <f>IF($A1849="","",IF(OR($E1849="INFRUCTUEUX",$E1849="ANNULE"),$A1849&amp;"|"&amp;(COUNTIFS($A$2:$A1849,$A1849,$E$2:$E1849,"INFRUCTUEUX")+COUNTIFS($A$2:$A1849,$A1849,$E$2:$E1849,"ANNULE")),""))</f>
        <v/>
      </c>
    </row>
    <row r="1850">
      <c r="A1850">
        <f>IF(ISBLANK('ENGAGEMENTS 2026'!B1850),"",IF('ENGAGEMENTS 2026'!B1850="DTSI","DCT",'ENGAGEMENTS 2026'!B1850))</f>
        <v/>
      </c>
      <c r="B1850">
        <f>IF(ISBLANK('ENGAGEMENTS 2026'!B1850),"",'ENGAGEMENTS 2026'!C1850)</f>
        <v/>
      </c>
      <c r="C1850">
        <f>IF(ISBLANK('ENGAGEMENTS 2026'!B1850),"",'ENGAGEMENTS 2026'!D1850)</f>
        <v/>
      </c>
      <c r="D1850">
        <f>IF(ISBLANK('ENGAGEMENTS 2026'!B1850),"",'ENGAGEMENTS 2026'!F1850)</f>
        <v/>
      </c>
      <c r="E1850">
        <f>IF(ISBLANK('ENGAGEMENTS 2026'!B1850),"",'ENGAGEMENTS 2026'!H1850)</f>
        <v/>
      </c>
      <c r="F1850">
        <f>IF(ISBLANK('ENGAGEMENTS 2026'!B1850),"",'ENGAGEMENTS 2026'!I1850)</f>
        <v/>
      </c>
      <c r="G1850">
        <f>IF(ISBLANK('ENGAGEMENTS 2026'!B1850),"",'ENGAGEMENTS 2026'!L1850)</f>
        <v/>
      </c>
      <c r="H1850">
        <f>IF(ISBLANK('ENGAGEMENTS 2026'!B1850),"",'ENGAGEMENTS 2026'!AE1850)</f>
        <v/>
      </c>
      <c r="I1850">
        <f>IF(ISBLANK('ENGAGEMENTS 2026'!B1850),"",'ENGAGEMENTS 2026'!G1850)</f>
        <v/>
      </c>
      <c r="J1850" s="275">
        <f>IF(ISBLANK('ENGAGEMENTS 2026'!B1850),"",IF(AND(OR($E1850="INFRUCTUEUX",$E1850="ANNULE"),$C1850="AOO-M"),'ENGAGEMENTS 2026'!O1850,IF($H1850="EN COURS DE PREENGAGEMENT",'ENGAGEMENTS 2026'!N1850,IF($H1850="PREENGAGE",IF($E1850="ATTRIBUE",'ENGAGEMENTS 2026'!AD1850,'ENGAGEMENTS 2026'!N1850),'ENGAGEMENTS 2026'!AD1850))))</f>
        <v/>
      </c>
      <c r="K1850" s="604">
        <f>IF(ISBLANK('ENGAGEMENTS 2026'!V1850),"",'ENGAGEMENTS 2026'!V1850)</f>
        <v/>
      </c>
      <c r="L1850" s="276">
        <f>IF($K1850="","",TODAY()-$K1850)</f>
        <v/>
      </c>
      <c r="M1850">
        <f>IF($A1850="","",IF($H1850="ENGAGE","Engagé",IF(AND($H1850="NON ENGAGE",OR($I1850="INFRUCTUEUX",$I1850="ANNULE")),"Clôturé sans suite","En cours")))</f>
        <v/>
      </c>
      <c r="N1850">
        <f>IF(ISBLANK('ENGAGEMENTS 2026'!B1850),"",'ENGAGEMENTS 2026'!K1850)</f>
        <v/>
      </c>
      <c r="O1850">
        <f>IF(ISBLANK('ENGAGEMENTS 2026'!B1850),"",'ENGAGEMENTS 2026'!L1850)</f>
        <v/>
      </c>
      <c r="P1850">
        <f>IF(ISBLANK('ENGAGEMENTS 2026'!B1850),"",'ENGAGEMENTS 2026'!J1850)</f>
        <v/>
      </c>
      <c r="Q1850">
        <f>IF($A1850="","",IF(OR($E1850="INFRUCTUEUX",$E1850="ANNULE"),$A1850&amp;"|"&amp;(COUNTIFS($A$2:$A1850,$A1850,$E$2:$E1850,"INFRUCTUEUX")+COUNTIFS($A$2:$A1850,$A1850,$E$2:$E1850,"ANNULE")),""))</f>
        <v/>
      </c>
    </row>
    <row r="1851">
      <c r="A1851">
        <f>IF(ISBLANK('ENGAGEMENTS 2026'!B1851),"",IF('ENGAGEMENTS 2026'!B1851="DTSI","DCT",'ENGAGEMENTS 2026'!B1851))</f>
        <v/>
      </c>
      <c r="B1851">
        <f>IF(ISBLANK('ENGAGEMENTS 2026'!B1851),"",'ENGAGEMENTS 2026'!C1851)</f>
        <v/>
      </c>
      <c r="C1851">
        <f>IF(ISBLANK('ENGAGEMENTS 2026'!B1851),"",'ENGAGEMENTS 2026'!D1851)</f>
        <v/>
      </c>
      <c r="D1851">
        <f>IF(ISBLANK('ENGAGEMENTS 2026'!B1851),"",'ENGAGEMENTS 2026'!F1851)</f>
        <v/>
      </c>
      <c r="E1851">
        <f>IF(ISBLANK('ENGAGEMENTS 2026'!B1851),"",'ENGAGEMENTS 2026'!H1851)</f>
        <v/>
      </c>
      <c r="F1851">
        <f>IF(ISBLANK('ENGAGEMENTS 2026'!B1851),"",'ENGAGEMENTS 2026'!I1851)</f>
        <v/>
      </c>
      <c r="G1851">
        <f>IF(ISBLANK('ENGAGEMENTS 2026'!B1851),"",'ENGAGEMENTS 2026'!L1851)</f>
        <v/>
      </c>
      <c r="H1851">
        <f>IF(ISBLANK('ENGAGEMENTS 2026'!B1851),"",'ENGAGEMENTS 2026'!AE1851)</f>
        <v/>
      </c>
      <c r="I1851">
        <f>IF(ISBLANK('ENGAGEMENTS 2026'!B1851),"",'ENGAGEMENTS 2026'!G1851)</f>
        <v/>
      </c>
      <c r="J1851" s="275">
        <f>IF(ISBLANK('ENGAGEMENTS 2026'!B1851),"",IF(AND(OR($E1851="INFRUCTUEUX",$E1851="ANNULE"),$C1851="AOO-M"),'ENGAGEMENTS 2026'!O1851,IF($H1851="EN COURS DE PREENGAGEMENT",'ENGAGEMENTS 2026'!N1851,IF($H1851="PREENGAGE",IF($E1851="ATTRIBUE",'ENGAGEMENTS 2026'!AD1851,'ENGAGEMENTS 2026'!N1851),'ENGAGEMENTS 2026'!AD1851))))</f>
        <v/>
      </c>
      <c r="K1851" s="604">
        <f>IF(ISBLANK('ENGAGEMENTS 2026'!V1851),"",'ENGAGEMENTS 2026'!V1851)</f>
        <v/>
      </c>
      <c r="L1851" s="276">
        <f>IF($K1851="","",TODAY()-$K1851)</f>
        <v/>
      </c>
      <c r="M1851">
        <f>IF($A1851="","",IF($H1851="ENGAGE","Engagé",IF(AND($H1851="NON ENGAGE",OR($I1851="INFRUCTUEUX",$I1851="ANNULE")),"Clôturé sans suite","En cours")))</f>
        <v/>
      </c>
      <c r="N1851">
        <f>IF(ISBLANK('ENGAGEMENTS 2026'!B1851),"",'ENGAGEMENTS 2026'!K1851)</f>
        <v/>
      </c>
      <c r="O1851">
        <f>IF(ISBLANK('ENGAGEMENTS 2026'!B1851),"",'ENGAGEMENTS 2026'!L1851)</f>
        <v/>
      </c>
      <c r="P1851">
        <f>IF(ISBLANK('ENGAGEMENTS 2026'!B1851),"",'ENGAGEMENTS 2026'!J1851)</f>
        <v/>
      </c>
      <c r="Q1851">
        <f>IF($A1851="","",IF(OR($E1851="INFRUCTUEUX",$E1851="ANNULE"),$A1851&amp;"|"&amp;(COUNTIFS($A$2:$A1851,$A1851,$E$2:$E1851,"INFRUCTUEUX")+COUNTIFS($A$2:$A1851,$A1851,$E$2:$E1851,"ANNULE")),""))</f>
        <v/>
      </c>
    </row>
    <row r="1852">
      <c r="A1852">
        <f>IF(ISBLANK('ENGAGEMENTS 2026'!B1852),"",IF('ENGAGEMENTS 2026'!B1852="DTSI","DCT",'ENGAGEMENTS 2026'!B1852))</f>
        <v/>
      </c>
      <c r="B1852">
        <f>IF(ISBLANK('ENGAGEMENTS 2026'!B1852),"",'ENGAGEMENTS 2026'!C1852)</f>
        <v/>
      </c>
      <c r="C1852">
        <f>IF(ISBLANK('ENGAGEMENTS 2026'!B1852),"",'ENGAGEMENTS 2026'!D1852)</f>
        <v/>
      </c>
      <c r="D1852">
        <f>IF(ISBLANK('ENGAGEMENTS 2026'!B1852),"",'ENGAGEMENTS 2026'!F1852)</f>
        <v/>
      </c>
      <c r="E1852">
        <f>IF(ISBLANK('ENGAGEMENTS 2026'!B1852),"",'ENGAGEMENTS 2026'!H1852)</f>
        <v/>
      </c>
      <c r="F1852">
        <f>IF(ISBLANK('ENGAGEMENTS 2026'!B1852),"",'ENGAGEMENTS 2026'!I1852)</f>
        <v/>
      </c>
      <c r="G1852">
        <f>IF(ISBLANK('ENGAGEMENTS 2026'!B1852),"",'ENGAGEMENTS 2026'!L1852)</f>
        <v/>
      </c>
      <c r="H1852">
        <f>IF(ISBLANK('ENGAGEMENTS 2026'!B1852),"",'ENGAGEMENTS 2026'!AE1852)</f>
        <v/>
      </c>
      <c r="I1852">
        <f>IF(ISBLANK('ENGAGEMENTS 2026'!B1852),"",'ENGAGEMENTS 2026'!G1852)</f>
        <v/>
      </c>
      <c r="J1852" s="275">
        <f>IF(ISBLANK('ENGAGEMENTS 2026'!B1852),"",IF(AND(OR($E1852="INFRUCTUEUX",$E1852="ANNULE"),$C1852="AOO-M"),'ENGAGEMENTS 2026'!O1852,IF($H1852="EN COURS DE PREENGAGEMENT",'ENGAGEMENTS 2026'!N1852,IF($H1852="PREENGAGE",IF($E1852="ATTRIBUE",'ENGAGEMENTS 2026'!AD1852,'ENGAGEMENTS 2026'!N1852),'ENGAGEMENTS 2026'!AD1852))))</f>
        <v/>
      </c>
      <c r="K1852" s="604">
        <f>IF(ISBLANK('ENGAGEMENTS 2026'!V1852),"",'ENGAGEMENTS 2026'!V1852)</f>
        <v/>
      </c>
      <c r="L1852" s="276">
        <f>IF($K1852="","",TODAY()-$K1852)</f>
        <v/>
      </c>
      <c r="M1852">
        <f>IF($A1852="","",IF($H1852="ENGAGE","Engagé",IF(AND($H1852="NON ENGAGE",OR($I1852="INFRUCTUEUX",$I1852="ANNULE")),"Clôturé sans suite","En cours")))</f>
        <v/>
      </c>
      <c r="N1852">
        <f>IF(ISBLANK('ENGAGEMENTS 2026'!B1852),"",'ENGAGEMENTS 2026'!K1852)</f>
        <v/>
      </c>
      <c r="O1852">
        <f>IF(ISBLANK('ENGAGEMENTS 2026'!B1852),"",'ENGAGEMENTS 2026'!L1852)</f>
        <v/>
      </c>
      <c r="P1852">
        <f>IF(ISBLANK('ENGAGEMENTS 2026'!B1852),"",'ENGAGEMENTS 2026'!J1852)</f>
        <v/>
      </c>
      <c r="Q1852">
        <f>IF($A1852="","",IF(OR($E1852="INFRUCTUEUX",$E1852="ANNULE"),$A1852&amp;"|"&amp;(COUNTIFS($A$2:$A1852,$A1852,$E$2:$E1852,"INFRUCTUEUX")+COUNTIFS($A$2:$A1852,$A1852,$E$2:$E1852,"ANNULE")),""))</f>
        <v/>
      </c>
    </row>
    <row r="1853">
      <c r="A1853">
        <f>IF(ISBLANK('ENGAGEMENTS 2026'!B1853),"",IF('ENGAGEMENTS 2026'!B1853="DTSI","DCT",'ENGAGEMENTS 2026'!B1853))</f>
        <v/>
      </c>
      <c r="B1853">
        <f>IF(ISBLANK('ENGAGEMENTS 2026'!B1853),"",'ENGAGEMENTS 2026'!C1853)</f>
        <v/>
      </c>
      <c r="C1853">
        <f>IF(ISBLANK('ENGAGEMENTS 2026'!B1853),"",'ENGAGEMENTS 2026'!D1853)</f>
        <v/>
      </c>
      <c r="D1853">
        <f>IF(ISBLANK('ENGAGEMENTS 2026'!B1853),"",'ENGAGEMENTS 2026'!F1853)</f>
        <v/>
      </c>
      <c r="E1853">
        <f>IF(ISBLANK('ENGAGEMENTS 2026'!B1853),"",'ENGAGEMENTS 2026'!H1853)</f>
        <v/>
      </c>
      <c r="F1853">
        <f>IF(ISBLANK('ENGAGEMENTS 2026'!B1853),"",'ENGAGEMENTS 2026'!I1853)</f>
        <v/>
      </c>
      <c r="G1853">
        <f>IF(ISBLANK('ENGAGEMENTS 2026'!B1853),"",'ENGAGEMENTS 2026'!L1853)</f>
        <v/>
      </c>
      <c r="H1853">
        <f>IF(ISBLANK('ENGAGEMENTS 2026'!B1853),"",'ENGAGEMENTS 2026'!AE1853)</f>
        <v/>
      </c>
      <c r="I1853">
        <f>IF(ISBLANK('ENGAGEMENTS 2026'!B1853),"",'ENGAGEMENTS 2026'!G1853)</f>
        <v/>
      </c>
      <c r="J1853" s="275">
        <f>IF(ISBLANK('ENGAGEMENTS 2026'!B1853),"",IF(AND(OR($E1853="INFRUCTUEUX",$E1853="ANNULE"),$C1853="AOO-M"),'ENGAGEMENTS 2026'!O1853,IF($H1853="EN COURS DE PREENGAGEMENT",'ENGAGEMENTS 2026'!N1853,IF($H1853="PREENGAGE",IF($E1853="ATTRIBUE",'ENGAGEMENTS 2026'!AD1853,'ENGAGEMENTS 2026'!N1853),'ENGAGEMENTS 2026'!AD1853))))</f>
        <v/>
      </c>
      <c r="K1853" s="604">
        <f>IF(ISBLANK('ENGAGEMENTS 2026'!V1853),"",'ENGAGEMENTS 2026'!V1853)</f>
        <v/>
      </c>
      <c r="L1853" s="276">
        <f>IF($K1853="","",TODAY()-$K1853)</f>
        <v/>
      </c>
      <c r="M1853">
        <f>IF($A1853="","",IF($H1853="ENGAGE","Engagé",IF(AND($H1853="NON ENGAGE",OR($I1853="INFRUCTUEUX",$I1853="ANNULE")),"Clôturé sans suite","En cours")))</f>
        <v/>
      </c>
      <c r="N1853">
        <f>IF(ISBLANK('ENGAGEMENTS 2026'!B1853),"",'ENGAGEMENTS 2026'!K1853)</f>
        <v/>
      </c>
      <c r="O1853">
        <f>IF(ISBLANK('ENGAGEMENTS 2026'!B1853),"",'ENGAGEMENTS 2026'!L1853)</f>
        <v/>
      </c>
      <c r="P1853">
        <f>IF(ISBLANK('ENGAGEMENTS 2026'!B1853),"",'ENGAGEMENTS 2026'!J1853)</f>
        <v/>
      </c>
      <c r="Q1853">
        <f>IF($A1853="","",IF(OR($E1853="INFRUCTUEUX",$E1853="ANNULE"),$A1853&amp;"|"&amp;(COUNTIFS($A$2:$A1853,$A1853,$E$2:$E1853,"INFRUCTUEUX")+COUNTIFS($A$2:$A1853,$A1853,$E$2:$E1853,"ANNULE")),""))</f>
        <v/>
      </c>
    </row>
    <row r="1854">
      <c r="A1854">
        <f>IF(ISBLANK('ENGAGEMENTS 2026'!B1854),"",IF('ENGAGEMENTS 2026'!B1854="DTSI","DCT",'ENGAGEMENTS 2026'!B1854))</f>
        <v/>
      </c>
      <c r="B1854">
        <f>IF(ISBLANK('ENGAGEMENTS 2026'!B1854),"",'ENGAGEMENTS 2026'!C1854)</f>
        <v/>
      </c>
      <c r="C1854">
        <f>IF(ISBLANK('ENGAGEMENTS 2026'!B1854),"",'ENGAGEMENTS 2026'!D1854)</f>
        <v/>
      </c>
      <c r="D1854">
        <f>IF(ISBLANK('ENGAGEMENTS 2026'!B1854),"",'ENGAGEMENTS 2026'!F1854)</f>
        <v/>
      </c>
      <c r="E1854">
        <f>IF(ISBLANK('ENGAGEMENTS 2026'!B1854),"",'ENGAGEMENTS 2026'!H1854)</f>
        <v/>
      </c>
      <c r="F1854">
        <f>IF(ISBLANK('ENGAGEMENTS 2026'!B1854),"",'ENGAGEMENTS 2026'!I1854)</f>
        <v/>
      </c>
      <c r="G1854">
        <f>IF(ISBLANK('ENGAGEMENTS 2026'!B1854),"",'ENGAGEMENTS 2026'!L1854)</f>
        <v/>
      </c>
      <c r="H1854">
        <f>IF(ISBLANK('ENGAGEMENTS 2026'!B1854),"",'ENGAGEMENTS 2026'!AE1854)</f>
        <v/>
      </c>
      <c r="I1854">
        <f>IF(ISBLANK('ENGAGEMENTS 2026'!B1854),"",'ENGAGEMENTS 2026'!G1854)</f>
        <v/>
      </c>
      <c r="J1854" s="275">
        <f>IF(ISBLANK('ENGAGEMENTS 2026'!B1854),"",IF(AND(OR($E1854="INFRUCTUEUX",$E1854="ANNULE"),$C1854="AOO-M"),'ENGAGEMENTS 2026'!O1854,IF($H1854="EN COURS DE PREENGAGEMENT",'ENGAGEMENTS 2026'!N1854,IF($H1854="PREENGAGE",IF($E1854="ATTRIBUE",'ENGAGEMENTS 2026'!AD1854,'ENGAGEMENTS 2026'!N1854),'ENGAGEMENTS 2026'!AD1854))))</f>
        <v/>
      </c>
      <c r="K1854" s="604">
        <f>IF(ISBLANK('ENGAGEMENTS 2026'!V1854),"",'ENGAGEMENTS 2026'!V1854)</f>
        <v/>
      </c>
      <c r="L1854" s="276">
        <f>IF($K1854="","",TODAY()-$K1854)</f>
        <v/>
      </c>
      <c r="M1854">
        <f>IF($A1854="","",IF($H1854="ENGAGE","Engagé",IF(AND($H1854="NON ENGAGE",OR($I1854="INFRUCTUEUX",$I1854="ANNULE")),"Clôturé sans suite","En cours")))</f>
        <v/>
      </c>
      <c r="N1854">
        <f>IF(ISBLANK('ENGAGEMENTS 2026'!B1854),"",'ENGAGEMENTS 2026'!K1854)</f>
        <v/>
      </c>
      <c r="O1854">
        <f>IF(ISBLANK('ENGAGEMENTS 2026'!B1854),"",'ENGAGEMENTS 2026'!L1854)</f>
        <v/>
      </c>
      <c r="P1854">
        <f>IF(ISBLANK('ENGAGEMENTS 2026'!B1854),"",'ENGAGEMENTS 2026'!J1854)</f>
        <v/>
      </c>
      <c r="Q1854">
        <f>IF($A1854="","",IF(OR($E1854="INFRUCTUEUX",$E1854="ANNULE"),$A1854&amp;"|"&amp;(COUNTIFS($A$2:$A1854,$A1854,$E$2:$E1854,"INFRUCTUEUX")+COUNTIFS($A$2:$A1854,$A1854,$E$2:$E1854,"ANNULE")),""))</f>
        <v/>
      </c>
    </row>
    <row r="1855">
      <c r="A1855">
        <f>IF(ISBLANK('ENGAGEMENTS 2026'!B1855),"",IF('ENGAGEMENTS 2026'!B1855="DTSI","DCT",'ENGAGEMENTS 2026'!B1855))</f>
        <v/>
      </c>
      <c r="B1855">
        <f>IF(ISBLANK('ENGAGEMENTS 2026'!B1855),"",'ENGAGEMENTS 2026'!C1855)</f>
        <v/>
      </c>
      <c r="C1855">
        <f>IF(ISBLANK('ENGAGEMENTS 2026'!B1855),"",'ENGAGEMENTS 2026'!D1855)</f>
        <v/>
      </c>
      <c r="D1855">
        <f>IF(ISBLANK('ENGAGEMENTS 2026'!B1855),"",'ENGAGEMENTS 2026'!F1855)</f>
        <v/>
      </c>
      <c r="E1855">
        <f>IF(ISBLANK('ENGAGEMENTS 2026'!B1855),"",'ENGAGEMENTS 2026'!H1855)</f>
        <v/>
      </c>
      <c r="F1855">
        <f>IF(ISBLANK('ENGAGEMENTS 2026'!B1855),"",'ENGAGEMENTS 2026'!I1855)</f>
        <v/>
      </c>
      <c r="G1855">
        <f>IF(ISBLANK('ENGAGEMENTS 2026'!B1855),"",'ENGAGEMENTS 2026'!L1855)</f>
        <v/>
      </c>
      <c r="H1855">
        <f>IF(ISBLANK('ENGAGEMENTS 2026'!B1855),"",'ENGAGEMENTS 2026'!AE1855)</f>
        <v/>
      </c>
      <c r="I1855">
        <f>IF(ISBLANK('ENGAGEMENTS 2026'!B1855),"",'ENGAGEMENTS 2026'!G1855)</f>
        <v/>
      </c>
      <c r="J1855" s="275">
        <f>IF(ISBLANK('ENGAGEMENTS 2026'!B1855),"",IF(AND(OR($E1855="INFRUCTUEUX",$E1855="ANNULE"),$C1855="AOO-M"),'ENGAGEMENTS 2026'!O1855,IF($H1855="EN COURS DE PREENGAGEMENT",'ENGAGEMENTS 2026'!N1855,IF($H1855="PREENGAGE",IF($E1855="ATTRIBUE",'ENGAGEMENTS 2026'!AD1855,'ENGAGEMENTS 2026'!N1855),'ENGAGEMENTS 2026'!AD1855))))</f>
        <v/>
      </c>
      <c r="K1855" s="604">
        <f>IF(ISBLANK('ENGAGEMENTS 2026'!V1855),"",'ENGAGEMENTS 2026'!V1855)</f>
        <v/>
      </c>
      <c r="L1855" s="276">
        <f>IF($K1855="","",TODAY()-$K1855)</f>
        <v/>
      </c>
      <c r="M1855">
        <f>IF($A1855="","",IF($H1855="ENGAGE","Engagé",IF(AND($H1855="NON ENGAGE",OR($I1855="INFRUCTUEUX",$I1855="ANNULE")),"Clôturé sans suite","En cours")))</f>
        <v/>
      </c>
      <c r="N1855">
        <f>IF(ISBLANK('ENGAGEMENTS 2026'!B1855),"",'ENGAGEMENTS 2026'!K1855)</f>
        <v/>
      </c>
      <c r="O1855">
        <f>IF(ISBLANK('ENGAGEMENTS 2026'!B1855),"",'ENGAGEMENTS 2026'!L1855)</f>
        <v/>
      </c>
      <c r="P1855">
        <f>IF(ISBLANK('ENGAGEMENTS 2026'!B1855),"",'ENGAGEMENTS 2026'!J1855)</f>
        <v/>
      </c>
      <c r="Q1855">
        <f>IF($A1855="","",IF(OR($E1855="INFRUCTUEUX",$E1855="ANNULE"),$A1855&amp;"|"&amp;(COUNTIFS($A$2:$A1855,$A1855,$E$2:$E1855,"INFRUCTUEUX")+COUNTIFS($A$2:$A1855,$A1855,$E$2:$E1855,"ANNULE")),""))</f>
        <v/>
      </c>
    </row>
    <row r="1856">
      <c r="A1856">
        <f>IF(ISBLANK('ENGAGEMENTS 2026'!B1856),"",IF('ENGAGEMENTS 2026'!B1856="DTSI","DCT",'ENGAGEMENTS 2026'!B1856))</f>
        <v/>
      </c>
      <c r="B1856">
        <f>IF(ISBLANK('ENGAGEMENTS 2026'!B1856),"",'ENGAGEMENTS 2026'!C1856)</f>
        <v/>
      </c>
      <c r="C1856">
        <f>IF(ISBLANK('ENGAGEMENTS 2026'!B1856),"",'ENGAGEMENTS 2026'!D1856)</f>
        <v/>
      </c>
      <c r="D1856">
        <f>IF(ISBLANK('ENGAGEMENTS 2026'!B1856),"",'ENGAGEMENTS 2026'!F1856)</f>
        <v/>
      </c>
      <c r="E1856">
        <f>IF(ISBLANK('ENGAGEMENTS 2026'!B1856),"",'ENGAGEMENTS 2026'!H1856)</f>
        <v/>
      </c>
      <c r="F1856">
        <f>IF(ISBLANK('ENGAGEMENTS 2026'!B1856),"",'ENGAGEMENTS 2026'!I1856)</f>
        <v/>
      </c>
      <c r="G1856">
        <f>IF(ISBLANK('ENGAGEMENTS 2026'!B1856),"",'ENGAGEMENTS 2026'!L1856)</f>
        <v/>
      </c>
      <c r="H1856">
        <f>IF(ISBLANK('ENGAGEMENTS 2026'!B1856),"",'ENGAGEMENTS 2026'!AE1856)</f>
        <v/>
      </c>
      <c r="I1856">
        <f>IF(ISBLANK('ENGAGEMENTS 2026'!B1856),"",'ENGAGEMENTS 2026'!G1856)</f>
        <v/>
      </c>
      <c r="J1856" s="275">
        <f>IF(ISBLANK('ENGAGEMENTS 2026'!B1856),"",IF(AND(OR($E1856="INFRUCTUEUX",$E1856="ANNULE"),$C1856="AOO-M"),'ENGAGEMENTS 2026'!O1856,IF($H1856="EN COURS DE PREENGAGEMENT",'ENGAGEMENTS 2026'!N1856,IF($H1856="PREENGAGE",IF($E1856="ATTRIBUE",'ENGAGEMENTS 2026'!AD1856,'ENGAGEMENTS 2026'!N1856),'ENGAGEMENTS 2026'!AD1856))))</f>
        <v/>
      </c>
      <c r="K1856" s="604">
        <f>IF(ISBLANK('ENGAGEMENTS 2026'!V1856),"",'ENGAGEMENTS 2026'!V1856)</f>
        <v/>
      </c>
      <c r="L1856" s="276">
        <f>IF($K1856="","",TODAY()-$K1856)</f>
        <v/>
      </c>
      <c r="M1856">
        <f>IF($A1856="","",IF($H1856="ENGAGE","Engagé",IF(AND($H1856="NON ENGAGE",OR($I1856="INFRUCTUEUX",$I1856="ANNULE")),"Clôturé sans suite","En cours")))</f>
        <v/>
      </c>
      <c r="N1856">
        <f>IF(ISBLANK('ENGAGEMENTS 2026'!B1856),"",'ENGAGEMENTS 2026'!K1856)</f>
        <v/>
      </c>
      <c r="O1856">
        <f>IF(ISBLANK('ENGAGEMENTS 2026'!B1856),"",'ENGAGEMENTS 2026'!L1856)</f>
        <v/>
      </c>
      <c r="P1856">
        <f>IF(ISBLANK('ENGAGEMENTS 2026'!B1856),"",'ENGAGEMENTS 2026'!J1856)</f>
        <v/>
      </c>
      <c r="Q1856">
        <f>IF($A1856="","",IF(OR($E1856="INFRUCTUEUX",$E1856="ANNULE"),$A1856&amp;"|"&amp;(COUNTIFS($A$2:$A1856,$A1856,$E$2:$E1856,"INFRUCTUEUX")+COUNTIFS($A$2:$A1856,$A1856,$E$2:$E1856,"ANNULE")),""))</f>
        <v/>
      </c>
    </row>
    <row r="1857">
      <c r="A1857">
        <f>IF(ISBLANK('ENGAGEMENTS 2026'!B1857),"",IF('ENGAGEMENTS 2026'!B1857="DTSI","DCT",'ENGAGEMENTS 2026'!B1857))</f>
        <v/>
      </c>
      <c r="B1857">
        <f>IF(ISBLANK('ENGAGEMENTS 2026'!B1857),"",'ENGAGEMENTS 2026'!C1857)</f>
        <v/>
      </c>
      <c r="C1857">
        <f>IF(ISBLANK('ENGAGEMENTS 2026'!B1857),"",'ENGAGEMENTS 2026'!D1857)</f>
        <v/>
      </c>
      <c r="D1857">
        <f>IF(ISBLANK('ENGAGEMENTS 2026'!B1857),"",'ENGAGEMENTS 2026'!F1857)</f>
        <v/>
      </c>
      <c r="E1857">
        <f>IF(ISBLANK('ENGAGEMENTS 2026'!B1857),"",'ENGAGEMENTS 2026'!H1857)</f>
        <v/>
      </c>
      <c r="F1857">
        <f>IF(ISBLANK('ENGAGEMENTS 2026'!B1857),"",'ENGAGEMENTS 2026'!I1857)</f>
        <v/>
      </c>
      <c r="G1857">
        <f>IF(ISBLANK('ENGAGEMENTS 2026'!B1857),"",'ENGAGEMENTS 2026'!L1857)</f>
        <v/>
      </c>
      <c r="H1857">
        <f>IF(ISBLANK('ENGAGEMENTS 2026'!B1857),"",'ENGAGEMENTS 2026'!AE1857)</f>
        <v/>
      </c>
      <c r="I1857">
        <f>IF(ISBLANK('ENGAGEMENTS 2026'!B1857),"",'ENGAGEMENTS 2026'!G1857)</f>
        <v/>
      </c>
      <c r="J1857" s="275">
        <f>IF(ISBLANK('ENGAGEMENTS 2026'!B1857),"",IF(AND(OR($E1857="INFRUCTUEUX",$E1857="ANNULE"),$C1857="AOO-M"),'ENGAGEMENTS 2026'!O1857,IF($H1857="EN COURS DE PREENGAGEMENT",'ENGAGEMENTS 2026'!N1857,IF($H1857="PREENGAGE",IF($E1857="ATTRIBUE",'ENGAGEMENTS 2026'!AD1857,'ENGAGEMENTS 2026'!N1857),'ENGAGEMENTS 2026'!AD1857))))</f>
        <v/>
      </c>
      <c r="K1857" s="604">
        <f>IF(ISBLANK('ENGAGEMENTS 2026'!V1857),"",'ENGAGEMENTS 2026'!V1857)</f>
        <v/>
      </c>
      <c r="L1857" s="276">
        <f>IF($K1857="","",TODAY()-$K1857)</f>
        <v/>
      </c>
      <c r="M1857">
        <f>IF($A1857="","",IF($H1857="ENGAGE","Engagé",IF(AND($H1857="NON ENGAGE",OR($I1857="INFRUCTUEUX",$I1857="ANNULE")),"Clôturé sans suite","En cours")))</f>
        <v/>
      </c>
      <c r="N1857">
        <f>IF(ISBLANK('ENGAGEMENTS 2026'!B1857),"",'ENGAGEMENTS 2026'!K1857)</f>
        <v/>
      </c>
      <c r="O1857">
        <f>IF(ISBLANK('ENGAGEMENTS 2026'!B1857),"",'ENGAGEMENTS 2026'!L1857)</f>
        <v/>
      </c>
      <c r="P1857">
        <f>IF(ISBLANK('ENGAGEMENTS 2026'!B1857),"",'ENGAGEMENTS 2026'!J1857)</f>
        <v/>
      </c>
      <c r="Q1857">
        <f>IF($A1857="","",IF(OR($E1857="INFRUCTUEUX",$E1857="ANNULE"),$A1857&amp;"|"&amp;(COUNTIFS($A$2:$A1857,$A1857,$E$2:$E1857,"INFRUCTUEUX")+COUNTIFS($A$2:$A1857,$A1857,$E$2:$E1857,"ANNULE")),""))</f>
        <v/>
      </c>
    </row>
    <row r="1858">
      <c r="A1858">
        <f>IF(ISBLANK('ENGAGEMENTS 2026'!B1858),"",IF('ENGAGEMENTS 2026'!B1858="DTSI","DCT",'ENGAGEMENTS 2026'!B1858))</f>
        <v/>
      </c>
      <c r="B1858">
        <f>IF(ISBLANK('ENGAGEMENTS 2026'!B1858),"",'ENGAGEMENTS 2026'!C1858)</f>
        <v/>
      </c>
      <c r="C1858">
        <f>IF(ISBLANK('ENGAGEMENTS 2026'!B1858),"",'ENGAGEMENTS 2026'!D1858)</f>
        <v/>
      </c>
      <c r="D1858">
        <f>IF(ISBLANK('ENGAGEMENTS 2026'!B1858),"",'ENGAGEMENTS 2026'!F1858)</f>
        <v/>
      </c>
      <c r="E1858">
        <f>IF(ISBLANK('ENGAGEMENTS 2026'!B1858),"",'ENGAGEMENTS 2026'!H1858)</f>
        <v/>
      </c>
      <c r="F1858">
        <f>IF(ISBLANK('ENGAGEMENTS 2026'!B1858),"",'ENGAGEMENTS 2026'!I1858)</f>
        <v/>
      </c>
      <c r="G1858">
        <f>IF(ISBLANK('ENGAGEMENTS 2026'!B1858),"",'ENGAGEMENTS 2026'!L1858)</f>
        <v/>
      </c>
      <c r="H1858">
        <f>IF(ISBLANK('ENGAGEMENTS 2026'!B1858),"",'ENGAGEMENTS 2026'!AE1858)</f>
        <v/>
      </c>
      <c r="I1858">
        <f>IF(ISBLANK('ENGAGEMENTS 2026'!B1858),"",'ENGAGEMENTS 2026'!G1858)</f>
        <v/>
      </c>
      <c r="J1858" s="275">
        <f>IF(ISBLANK('ENGAGEMENTS 2026'!B1858),"",IF(AND(OR($E1858="INFRUCTUEUX",$E1858="ANNULE"),$C1858="AOO-M"),'ENGAGEMENTS 2026'!O1858,IF($H1858="EN COURS DE PREENGAGEMENT",'ENGAGEMENTS 2026'!N1858,IF($H1858="PREENGAGE",IF($E1858="ATTRIBUE",'ENGAGEMENTS 2026'!AD1858,'ENGAGEMENTS 2026'!N1858),'ENGAGEMENTS 2026'!AD1858))))</f>
        <v/>
      </c>
      <c r="K1858" s="604">
        <f>IF(ISBLANK('ENGAGEMENTS 2026'!V1858),"",'ENGAGEMENTS 2026'!V1858)</f>
        <v/>
      </c>
      <c r="L1858" s="276">
        <f>IF($K1858="","",TODAY()-$K1858)</f>
        <v/>
      </c>
      <c r="M1858">
        <f>IF($A1858="","",IF($H1858="ENGAGE","Engagé",IF(AND($H1858="NON ENGAGE",OR($I1858="INFRUCTUEUX",$I1858="ANNULE")),"Clôturé sans suite","En cours")))</f>
        <v/>
      </c>
      <c r="N1858">
        <f>IF(ISBLANK('ENGAGEMENTS 2026'!B1858),"",'ENGAGEMENTS 2026'!K1858)</f>
        <v/>
      </c>
      <c r="O1858">
        <f>IF(ISBLANK('ENGAGEMENTS 2026'!B1858),"",'ENGAGEMENTS 2026'!L1858)</f>
        <v/>
      </c>
      <c r="P1858">
        <f>IF(ISBLANK('ENGAGEMENTS 2026'!B1858),"",'ENGAGEMENTS 2026'!J1858)</f>
        <v/>
      </c>
      <c r="Q1858">
        <f>IF($A1858="","",IF(OR($E1858="INFRUCTUEUX",$E1858="ANNULE"),$A1858&amp;"|"&amp;(COUNTIFS($A$2:$A1858,$A1858,$E$2:$E1858,"INFRUCTUEUX")+COUNTIFS($A$2:$A1858,$A1858,$E$2:$E1858,"ANNULE")),""))</f>
        <v/>
      </c>
    </row>
    <row r="1859">
      <c r="A1859">
        <f>IF(ISBLANK('ENGAGEMENTS 2026'!B1859),"",IF('ENGAGEMENTS 2026'!B1859="DTSI","DCT",'ENGAGEMENTS 2026'!B1859))</f>
        <v/>
      </c>
      <c r="B1859">
        <f>IF(ISBLANK('ENGAGEMENTS 2026'!B1859),"",'ENGAGEMENTS 2026'!C1859)</f>
        <v/>
      </c>
      <c r="C1859">
        <f>IF(ISBLANK('ENGAGEMENTS 2026'!B1859),"",'ENGAGEMENTS 2026'!D1859)</f>
        <v/>
      </c>
      <c r="D1859">
        <f>IF(ISBLANK('ENGAGEMENTS 2026'!B1859),"",'ENGAGEMENTS 2026'!F1859)</f>
        <v/>
      </c>
      <c r="E1859">
        <f>IF(ISBLANK('ENGAGEMENTS 2026'!B1859),"",'ENGAGEMENTS 2026'!H1859)</f>
        <v/>
      </c>
      <c r="F1859">
        <f>IF(ISBLANK('ENGAGEMENTS 2026'!B1859),"",'ENGAGEMENTS 2026'!I1859)</f>
        <v/>
      </c>
      <c r="G1859">
        <f>IF(ISBLANK('ENGAGEMENTS 2026'!B1859),"",'ENGAGEMENTS 2026'!L1859)</f>
        <v/>
      </c>
      <c r="H1859">
        <f>IF(ISBLANK('ENGAGEMENTS 2026'!B1859),"",'ENGAGEMENTS 2026'!AE1859)</f>
        <v/>
      </c>
      <c r="I1859">
        <f>IF(ISBLANK('ENGAGEMENTS 2026'!B1859),"",'ENGAGEMENTS 2026'!G1859)</f>
        <v/>
      </c>
      <c r="J1859" s="275">
        <f>IF(ISBLANK('ENGAGEMENTS 2026'!B1859),"",IF(AND(OR($E1859="INFRUCTUEUX",$E1859="ANNULE"),$C1859="AOO-M"),'ENGAGEMENTS 2026'!O1859,IF($H1859="EN COURS DE PREENGAGEMENT",'ENGAGEMENTS 2026'!N1859,IF($H1859="PREENGAGE",IF($E1859="ATTRIBUE",'ENGAGEMENTS 2026'!AD1859,'ENGAGEMENTS 2026'!N1859),'ENGAGEMENTS 2026'!AD1859))))</f>
        <v/>
      </c>
      <c r="K1859" s="604">
        <f>IF(ISBLANK('ENGAGEMENTS 2026'!V1859),"",'ENGAGEMENTS 2026'!V1859)</f>
        <v/>
      </c>
      <c r="L1859" s="276">
        <f>IF($K1859="","",TODAY()-$K1859)</f>
        <v/>
      </c>
      <c r="M1859">
        <f>IF($A1859="","",IF($H1859="ENGAGE","Engagé",IF(AND($H1859="NON ENGAGE",OR($I1859="INFRUCTUEUX",$I1859="ANNULE")),"Clôturé sans suite","En cours")))</f>
        <v/>
      </c>
      <c r="N1859">
        <f>IF(ISBLANK('ENGAGEMENTS 2026'!B1859),"",'ENGAGEMENTS 2026'!K1859)</f>
        <v/>
      </c>
      <c r="O1859">
        <f>IF(ISBLANK('ENGAGEMENTS 2026'!B1859),"",'ENGAGEMENTS 2026'!L1859)</f>
        <v/>
      </c>
      <c r="P1859">
        <f>IF(ISBLANK('ENGAGEMENTS 2026'!B1859),"",'ENGAGEMENTS 2026'!J1859)</f>
        <v/>
      </c>
      <c r="Q1859">
        <f>IF($A1859="","",IF(OR($E1859="INFRUCTUEUX",$E1859="ANNULE"),$A1859&amp;"|"&amp;(COUNTIFS($A$2:$A1859,$A1859,$E$2:$E1859,"INFRUCTUEUX")+COUNTIFS($A$2:$A1859,$A1859,$E$2:$E1859,"ANNULE")),""))</f>
        <v/>
      </c>
    </row>
    <row r="1860">
      <c r="A1860">
        <f>IF(ISBLANK('ENGAGEMENTS 2026'!B1860),"",IF('ENGAGEMENTS 2026'!B1860="DTSI","DCT",'ENGAGEMENTS 2026'!B1860))</f>
        <v/>
      </c>
      <c r="B1860">
        <f>IF(ISBLANK('ENGAGEMENTS 2026'!B1860),"",'ENGAGEMENTS 2026'!C1860)</f>
        <v/>
      </c>
      <c r="C1860">
        <f>IF(ISBLANK('ENGAGEMENTS 2026'!B1860),"",'ENGAGEMENTS 2026'!D1860)</f>
        <v/>
      </c>
      <c r="D1860">
        <f>IF(ISBLANK('ENGAGEMENTS 2026'!B1860),"",'ENGAGEMENTS 2026'!F1860)</f>
        <v/>
      </c>
      <c r="E1860">
        <f>IF(ISBLANK('ENGAGEMENTS 2026'!B1860),"",'ENGAGEMENTS 2026'!H1860)</f>
        <v/>
      </c>
      <c r="F1860">
        <f>IF(ISBLANK('ENGAGEMENTS 2026'!B1860),"",'ENGAGEMENTS 2026'!I1860)</f>
        <v/>
      </c>
      <c r="G1860">
        <f>IF(ISBLANK('ENGAGEMENTS 2026'!B1860),"",'ENGAGEMENTS 2026'!L1860)</f>
        <v/>
      </c>
      <c r="H1860">
        <f>IF(ISBLANK('ENGAGEMENTS 2026'!B1860),"",'ENGAGEMENTS 2026'!AE1860)</f>
        <v/>
      </c>
      <c r="I1860">
        <f>IF(ISBLANK('ENGAGEMENTS 2026'!B1860),"",'ENGAGEMENTS 2026'!G1860)</f>
        <v/>
      </c>
      <c r="J1860" s="275">
        <f>IF(ISBLANK('ENGAGEMENTS 2026'!B1860),"",IF(AND(OR($E1860="INFRUCTUEUX",$E1860="ANNULE"),$C1860="AOO-M"),'ENGAGEMENTS 2026'!O1860,IF($H1860="EN COURS DE PREENGAGEMENT",'ENGAGEMENTS 2026'!N1860,IF($H1860="PREENGAGE",IF($E1860="ATTRIBUE",'ENGAGEMENTS 2026'!AD1860,'ENGAGEMENTS 2026'!N1860),'ENGAGEMENTS 2026'!AD1860))))</f>
        <v/>
      </c>
      <c r="K1860" s="604">
        <f>IF(ISBLANK('ENGAGEMENTS 2026'!V1860),"",'ENGAGEMENTS 2026'!V1860)</f>
        <v/>
      </c>
      <c r="L1860" s="276">
        <f>IF($K1860="","",TODAY()-$K1860)</f>
        <v/>
      </c>
      <c r="M1860">
        <f>IF($A1860="","",IF($H1860="ENGAGE","Engagé",IF(AND($H1860="NON ENGAGE",OR($I1860="INFRUCTUEUX",$I1860="ANNULE")),"Clôturé sans suite","En cours")))</f>
        <v/>
      </c>
      <c r="N1860">
        <f>IF(ISBLANK('ENGAGEMENTS 2026'!B1860),"",'ENGAGEMENTS 2026'!K1860)</f>
        <v/>
      </c>
      <c r="O1860">
        <f>IF(ISBLANK('ENGAGEMENTS 2026'!B1860),"",'ENGAGEMENTS 2026'!L1860)</f>
        <v/>
      </c>
      <c r="P1860">
        <f>IF(ISBLANK('ENGAGEMENTS 2026'!B1860),"",'ENGAGEMENTS 2026'!J1860)</f>
        <v/>
      </c>
      <c r="Q1860">
        <f>IF($A1860="","",IF(OR($E1860="INFRUCTUEUX",$E1860="ANNULE"),$A1860&amp;"|"&amp;(COUNTIFS($A$2:$A1860,$A1860,$E$2:$E1860,"INFRUCTUEUX")+COUNTIFS($A$2:$A1860,$A1860,$E$2:$E1860,"ANNULE")),""))</f>
        <v/>
      </c>
    </row>
    <row r="1861">
      <c r="A1861">
        <f>IF(ISBLANK('ENGAGEMENTS 2026'!B1861),"",IF('ENGAGEMENTS 2026'!B1861="DTSI","DCT",'ENGAGEMENTS 2026'!B1861))</f>
        <v/>
      </c>
      <c r="B1861">
        <f>IF(ISBLANK('ENGAGEMENTS 2026'!B1861),"",'ENGAGEMENTS 2026'!C1861)</f>
        <v/>
      </c>
      <c r="C1861">
        <f>IF(ISBLANK('ENGAGEMENTS 2026'!B1861),"",'ENGAGEMENTS 2026'!D1861)</f>
        <v/>
      </c>
      <c r="D1861">
        <f>IF(ISBLANK('ENGAGEMENTS 2026'!B1861),"",'ENGAGEMENTS 2026'!F1861)</f>
        <v/>
      </c>
      <c r="E1861">
        <f>IF(ISBLANK('ENGAGEMENTS 2026'!B1861),"",'ENGAGEMENTS 2026'!H1861)</f>
        <v/>
      </c>
      <c r="F1861">
        <f>IF(ISBLANK('ENGAGEMENTS 2026'!B1861),"",'ENGAGEMENTS 2026'!I1861)</f>
        <v/>
      </c>
      <c r="G1861">
        <f>IF(ISBLANK('ENGAGEMENTS 2026'!B1861),"",'ENGAGEMENTS 2026'!L1861)</f>
        <v/>
      </c>
      <c r="H1861">
        <f>IF(ISBLANK('ENGAGEMENTS 2026'!B1861),"",'ENGAGEMENTS 2026'!AE1861)</f>
        <v/>
      </c>
      <c r="I1861">
        <f>IF(ISBLANK('ENGAGEMENTS 2026'!B1861),"",'ENGAGEMENTS 2026'!G1861)</f>
        <v/>
      </c>
      <c r="J1861" s="275">
        <f>IF(ISBLANK('ENGAGEMENTS 2026'!B1861),"",IF(AND(OR($E1861="INFRUCTUEUX",$E1861="ANNULE"),$C1861="AOO-M"),'ENGAGEMENTS 2026'!O1861,IF($H1861="EN COURS DE PREENGAGEMENT",'ENGAGEMENTS 2026'!N1861,IF($H1861="PREENGAGE",IF($E1861="ATTRIBUE",'ENGAGEMENTS 2026'!AD1861,'ENGAGEMENTS 2026'!N1861),'ENGAGEMENTS 2026'!AD1861))))</f>
        <v/>
      </c>
      <c r="K1861" s="604">
        <f>IF(ISBLANK('ENGAGEMENTS 2026'!V1861),"",'ENGAGEMENTS 2026'!V1861)</f>
        <v/>
      </c>
      <c r="L1861" s="276">
        <f>IF($K1861="","",TODAY()-$K1861)</f>
        <v/>
      </c>
      <c r="M1861">
        <f>IF($A1861="","",IF($H1861="ENGAGE","Engagé",IF(AND($H1861="NON ENGAGE",OR($I1861="INFRUCTUEUX",$I1861="ANNULE")),"Clôturé sans suite","En cours")))</f>
        <v/>
      </c>
      <c r="N1861">
        <f>IF(ISBLANK('ENGAGEMENTS 2026'!B1861),"",'ENGAGEMENTS 2026'!K1861)</f>
        <v/>
      </c>
      <c r="O1861">
        <f>IF(ISBLANK('ENGAGEMENTS 2026'!B1861),"",'ENGAGEMENTS 2026'!L1861)</f>
        <v/>
      </c>
      <c r="P1861">
        <f>IF(ISBLANK('ENGAGEMENTS 2026'!B1861),"",'ENGAGEMENTS 2026'!J1861)</f>
        <v/>
      </c>
      <c r="Q1861">
        <f>IF($A1861="","",IF(OR($E1861="INFRUCTUEUX",$E1861="ANNULE"),$A1861&amp;"|"&amp;(COUNTIFS($A$2:$A1861,$A1861,$E$2:$E1861,"INFRUCTUEUX")+COUNTIFS($A$2:$A1861,$A1861,$E$2:$E1861,"ANNULE")),""))</f>
        <v/>
      </c>
    </row>
    <row r="1862">
      <c r="A1862">
        <f>IF(ISBLANK('ENGAGEMENTS 2026'!B1862),"",IF('ENGAGEMENTS 2026'!B1862="DTSI","DCT",'ENGAGEMENTS 2026'!B1862))</f>
        <v/>
      </c>
      <c r="B1862">
        <f>IF(ISBLANK('ENGAGEMENTS 2026'!B1862),"",'ENGAGEMENTS 2026'!C1862)</f>
        <v/>
      </c>
      <c r="C1862">
        <f>IF(ISBLANK('ENGAGEMENTS 2026'!B1862),"",'ENGAGEMENTS 2026'!D1862)</f>
        <v/>
      </c>
      <c r="D1862">
        <f>IF(ISBLANK('ENGAGEMENTS 2026'!B1862),"",'ENGAGEMENTS 2026'!F1862)</f>
        <v/>
      </c>
      <c r="E1862">
        <f>IF(ISBLANK('ENGAGEMENTS 2026'!B1862),"",'ENGAGEMENTS 2026'!H1862)</f>
        <v/>
      </c>
      <c r="F1862">
        <f>IF(ISBLANK('ENGAGEMENTS 2026'!B1862),"",'ENGAGEMENTS 2026'!I1862)</f>
        <v/>
      </c>
      <c r="G1862">
        <f>IF(ISBLANK('ENGAGEMENTS 2026'!B1862),"",'ENGAGEMENTS 2026'!L1862)</f>
        <v/>
      </c>
      <c r="H1862">
        <f>IF(ISBLANK('ENGAGEMENTS 2026'!B1862),"",'ENGAGEMENTS 2026'!AE1862)</f>
        <v/>
      </c>
      <c r="I1862">
        <f>IF(ISBLANK('ENGAGEMENTS 2026'!B1862),"",'ENGAGEMENTS 2026'!G1862)</f>
        <v/>
      </c>
      <c r="J1862" s="275">
        <f>IF(ISBLANK('ENGAGEMENTS 2026'!B1862),"",IF(AND(OR($E1862="INFRUCTUEUX",$E1862="ANNULE"),$C1862="AOO-M"),'ENGAGEMENTS 2026'!O1862,IF($H1862="EN COURS DE PREENGAGEMENT",'ENGAGEMENTS 2026'!N1862,IF($H1862="PREENGAGE",IF($E1862="ATTRIBUE",'ENGAGEMENTS 2026'!AD1862,'ENGAGEMENTS 2026'!N1862),'ENGAGEMENTS 2026'!AD1862))))</f>
        <v/>
      </c>
      <c r="K1862" s="604">
        <f>IF(ISBLANK('ENGAGEMENTS 2026'!V1862),"",'ENGAGEMENTS 2026'!V1862)</f>
        <v/>
      </c>
      <c r="L1862" s="276">
        <f>IF($K1862="","",TODAY()-$K1862)</f>
        <v/>
      </c>
      <c r="M1862">
        <f>IF($A1862="","",IF($H1862="ENGAGE","Engagé",IF(AND($H1862="NON ENGAGE",OR($I1862="INFRUCTUEUX",$I1862="ANNULE")),"Clôturé sans suite","En cours")))</f>
        <v/>
      </c>
      <c r="N1862">
        <f>IF(ISBLANK('ENGAGEMENTS 2026'!B1862),"",'ENGAGEMENTS 2026'!K1862)</f>
        <v/>
      </c>
      <c r="O1862">
        <f>IF(ISBLANK('ENGAGEMENTS 2026'!B1862),"",'ENGAGEMENTS 2026'!L1862)</f>
        <v/>
      </c>
      <c r="P1862">
        <f>IF(ISBLANK('ENGAGEMENTS 2026'!B1862),"",'ENGAGEMENTS 2026'!J1862)</f>
        <v/>
      </c>
      <c r="Q1862">
        <f>IF($A1862="","",IF(OR($E1862="INFRUCTUEUX",$E1862="ANNULE"),$A1862&amp;"|"&amp;(COUNTIFS($A$2:$A1862,$A1862,$E$2:$E1862,"INFRUCTUEUX")+COUNTIFS($A$2:$A1862,$A1862,$E$2:$E1862,"ANNULE")),""))</f>
        <v/>
      </c>
    </row>
    <row r="1863">
      <c r="A1863">
        <f>IF(ISBLANK('ENGAGEMENTS 2026'!B1863),"",IF('ENGAGEMENTS 2026'!B1863="DTSI","DCT",'ENGAGEMENTS 2026'!B1863))</f>
        <v/>
      </c>
      <c r="B1863">
        <f>IF(ISBLANK('ENGAGEMENTS 2026'!B1863),"",'ENGAGEMENTS 2026'!C1863)</f>
        <v/>
      </c>
      <c r="C1863">
        <f>IF(ISBLANK('ENGAGEMENTS 2026'!B1863),"",'ENGAGEMENTS 2026'!D1863)</f>
        <v/>
      </c>
      <c r="D1863">
        <f>IF(ISBLANK('ENGAGEMENTS 2026'!B1863),"",'ENGAGEMENTS 2026'!F1863)</f>
        <v/>
      </c>
      <c r="E1863">
        <f>IF(ISBLANK('ENGAGEMENTS 2026'!B1863),"",'ENGAGEMENTS 2026'!H1863)</f>
        <v/>
      </c>
      <c r="F1863">
        <f>IF(ISBLANK('ENGAGEMENTS 2026'!B1863),"",'ENGAGEMENTS 2026'!I1863)</f>
        <v/>
      </c>
      <c r="G1863">
        <f>IF(ISBLANK('ENGAGEMENTS 2026'!B1863),"",'ENGAGEMENTS 2026'!L1863)</f>
        <v/>
      </c>
      <c r="H1863">
        <f>IF(ISBLANK('ENGAGEMENTS 2026'!B1863),"",'ENGAGEMENTS 2026'!AE1863)</f>
        <v/>
      </c>
      <c r="I1863">
        <f>IF(ISBLANK('ENGAGEMENTS 2026'!B1863),"",'ENGAGEMENTS 2026'!G1863)</f>
        <v/>
      </c>
      <c r="J1863" s="275">
        <f>IF(ISBLANK('ENGAGEMENTS 2026'!B1863),"",IF(AND(OR($E1863="INFRUCTUEUX",$E1863="ANNULE"),$C1863="AOO-M"),'ENGAGEMENTS 2026'!O1863,IF($H1863="EN COURS DE PREENGAGEMENT",'ENGAGEMENTS 2026'!N1863,IF($H1863="PREENGAGE",IF($E1863="ATTRIBUE",'ENGAGEMENTS 2026'!AD1863,'ENGAGEMENTS 2026'!N1863),'ENGAGEMENTS 2026'!AD1863))))</f>
        <v/>
      </c>
      <c r="K1863" s="604">
        <f>IF(ISBLANK('ENGAGEMENTS 2026'!V1863),"",'ENGAGEMENTS 2026'!V1863)</f>
        <v/>
      </c>
      <c r="L1863" s="276">
        <f>IF($K1863="","",TODAY()-$K1863)</f>
        <v/>
      </c>
      <c r="M1863">
        <f>IF($A1863="","",IF($H1863="ENGAGE","Engagé",IF(AND($H1863="NON ENGAGE",OR($I1863="INFRUCTUEUX",$I1863="ANNULE")),"Clôturé sans suite","En cours")))</f>
        <v/>
      </c>
      <c r="N1863">
        <f>IF(ISBLANK('ENGAGEMENTS 2026'!B1863),"",'ENGAGEMENTS 2026'!K1863)</f>
        <v/>
      </c>
      <c r="O1863">
        <f>IF(ISBLANK('ENGAGEMENTS 2026'!B1863),"",'ENGAGEMENTS 2026'!L1863)</f>
        <v/>
      </c>
      <c r="P1863">
        <f>IF(ISBLANK('ENGAGEMENTS 2026'!B1863),"",'ENGAGEMENTS 2026'!J1863)</f>
        <v/>
      </c>
      <c r="Q1863">
        <f>IF($A1863="","",IF(OR($E1863="INFRUCTUEUX",$E1863="ANNULE"),$A1863&amp;"|"&amp;(COUNTIFS($A$2:$A1863,$A1863,$E$2:$E1863,"INFRUCTUEUX")+COUNTIFS($A$2:$A1863,$A1863,$E$2:$E1863,"ANNULE")),""))</f>
        <v/>
      </c>
    </row>
    <row r="1864">
      <c r="A1864">
        <f>IF(ISBLANK('ENGAGEMENTS 2026'!B1864),"",IF('ENGAGEMENTS 2026'!B1864="DTSI","DCT",'ENGAGEMENTS 2026'!B1864))</f>
        <v/>
      </c>
      <c r="B1864">
        <f>IF(ISBLANK('ENGAGEMENTS 2026'!B1864),"",'ENGAGEMENTS 2026'!C1864)</f>
        <v/>
      </c>
      <c r="C1864">
        <f>IF(ISBLANK('ENGAGEMENTS 2026'!B1864),"",'ENGAGEMENTS 2026'!D1864)</f>
        <v/>
      </c>
      <c r="D1864">
        <f>IF(ISBLANK('ENGAGEMENTS 2026'!B1864),"",'ENGAGEMENTS 2026'!F1864)</f>
        <v/>
      </c>
      <c r="E1864">
        <f>IF(ISBLANK('ENGAGEMENTS 2026'!B1864),"",'ENGAGEMENTS 2026'!H1864)</f>
        <v/>
      </c>
      <c r="F1864">
        <f>IF(ISBLANK('ENGAGEMENTS 2026'!B1864),"",'ENGAGEMENTS 2026'!I1864)</f>
        <v/>
      </c>
      <c r="G1864">
        <f>IF(ISBLANK('ENGAGEMENTS 2026'!B1864),"",'ENGAGEMENTS 2026'!L1864)</f>
        <v/>
      </c>
      <c r="H1864">
        <f>IF(ISBLANK('ENGAGEMENTS 2026'!B1864),"",'ENGAGEMENTS 2026'!AE1864)</f>
        <v/>
      </c>
      <c r="I1864">
        <f>IF(ISBLANK('ENGAGEMENTS 2026'!B1864),"",'ENGAGEMENTS 2026'!G1864)</f>
        <v/>
      </c>
      <c r="J1864" s="275">
        <f>IF(ISBLANK('ENGAGEMENTS 2026'!B1864),"",IF(AND(OR($E1864="INFRUCTUEUX",$E1864="ANNULE"),$C1864="AOO-M"),'ENGAGEMENTS 2026'!O1864,IF($H1864="EN COURS DE PREENGAGEMENT",'ENGAGEMENTS 2026'!N1864,IF($H1864="PREENGAGE",IF($E1864="ATTRIBUE",'ENGAGEMENTS 2026'!AD1864,'ENGAGEMENTS 2026'!N1864),'ENGAGEMENTS 2026'!AD1864))))</f>
        <v/>
      </c>
      <c r="K1864" s="604">
        <f>IF(ISBLANK('ENGAGEMENTS 2026'!V1864),"",'ENGAGEMENTS 2026'!V1864)</f>
        <v/>
      </c>
      <c r="L1864" s="276">
        <f>IF($K1864="","",TODAY()-$K1864)</f>
        <v/>
      </c>
      <c r="M1864">
        <f>IF($A1864="","",IF($H1864="ENGAGE","Engagé",IF(AND($H1864="NON ENGAGE",OR($I1864="INFRUCTUEUX",$I1864="ANNULE")),"Clôturé sans suite","En cours")))</f>
        <v/>
      </c>
      <c r="N1864">
        <f>IF(ISBLANK('ENGAGEMENTS 2026'!B1864),"",'ENGAGEMENTS 2026'!K1864)</f>
        <v/>
      </c>
      <c r="O1864">
        <f>IF(ISBLANK('ENGAGEMENTS 2026'!B1864),"",'ENGAGEMENTS 2026'!L1864)</f>
        <v/>
      </c>
      <c r="P1864">
        <f>IF(ISBLANK('ENGAGEMENTS 2026'!B1864),"",'ENGAGEMENTS 2026'!J1864)</f>
        <v/>
      </c>
      <c r="Q1864">
        <f>IF($A1864="","",IF(OR($E1864="INFRUCTUEUX",$E1864="ANNULE"),$A1864&amp;"|"&amp;(COUNTIFS($A$2:$A1864,$A1864,$E$2:$E1864,"INFRUCTUEUX")+COUNTIFS($A$2:$A1864,$A1864,$E$2:$E1864,"ANNULE")),""))</f>
        <v/>
      </c>
    </row>
    <row r="1865">
      <c r="A1865">
        <f>IF(ISBLANK('ENGAGEMENTS 2026'!B1865),"",IF('ENGAGEMENTS 2026'!B1865="DTSI","DCT",'ENGAGEMENTS 2026'!B1865))</f>
        <v/>
      </c>
      <c r="B1865">
        <f>IF(ISBLANK('ENGAGEMENTS 2026'!B1865),"",'ENGAGEMENTS 2026'!C1865)</f>
        <v/>
      </c>
      <c r="C1865">
        <f>IF(ISBLANK('ENGAGEMENTS 2026'!B1865),"",'ENGAGEMENTS 2026'!D1865)</f>
        <v/>
      </c>
      <c r="D1865">
        <f>IF(ISBLANK('ENGAGEMENTS 2026'!B1865),"",'ENGAGEMENTS 2026'!F1865)</f>
        <v/>
      </c>
      <c r="E1865">
        <f>IF(ISBLANK('ENGAGEMENTS 2026'!B1865),"",'ENGAGEMENTS 2026'!H1865)</f>
        <v/>
      </c>
      <c r="F1865">
        <f>IF(ISBLANK('ENGAGEMENTS 2026'!B1865),"",'ENGAGEMENTS 2026'!I1865)</f>
        <v/>
      </c>
      <c r="G1865">
        <f>IF(ISBLANK('ENGAGEMENTS 2026'!B1865),"",'ENGAGEMENTS 2026'!L1865)</f>
        <v/>
      </c>
      <c r="H1865">
        <f>IF(ISBLANK('ENGAGEMENTS 2026'!B1865),"",'ENGAGEMENTS 2026'!AE1865)</f>
        <v/>
      </c>
      <c r="I1865">
        <f>IF(ISBLANK('ENGAGEMENTS 2026'!B1865),"",'ENGAGEMENTS 2026'!G1865)</f>
        <v/>
      </c>
      <c r="J1865" s="275">
        <f>IF(ISBLANK('ENGAGEMENTS 2026'!B1865),"",IF(AND(OR($E1865="INFRUCTUEUX",$E1865="ANNULE"),$C1865="AOO-M"),'ENGAGEMENTS 2026'!O1865,IF($H1865="EN COURS DE PREENGAGEMENT",'ENGAGEMENTS 2026'!N1865,IF($H1865="PREENGAGE",IF($E1865="ATTRIBUE",'ENGAGEMENTS 2026'!AD1865,'ENGAGEMENTS 2026'!N1865),'ENGAGEMENTS 2026'!AD1865))))</f>
        <v/>
      </c>
      <c r="K1865" s="604">
        <f>IF(ISBLANK('ENGAGEMENTS 2026'!V1865),"",'ENGAGEMENTS 2026'!V1865)</f>
        <v/>
      </c>
      <c r="L1865" s="276">
        <f>IF($K1865="","",TODAY()-$K1865)</f>
        <v/>
      </c>
      <c r="M1865">
        <f>IF($A1865="","",IF($H1865="ENGAGE","Engagé",IF(AND($H1865="NON ENGAGE",OR($I1865="INFRUCTUEUX",$I1865="ANNULE")),"Clôturé sans suite","En cours")))</f>
        <v/>
      </c>
      <c r="N1865">
        <f>IF(ISBLANK('ENGAGEMENTS 2026'!B1865),"",'ENGAGEMENTS 2026'!K1865)</f>
        <v/>
      </c>
      <c r="O1865">
        <f>IF(ISBLANK('ENGAGEMENTS 2026'!B1865),"",'ENGAGEMENTS 2026'!L1865)</f>
        <v/>
      </c>
      <c r="P1865">
        <f>IF(ISBLANK('ENGAGEMENTS 2026'!B1865),"",'ENGAGEMENTS 2026'!J1865)</f>
        <v/>
      </c>
      <c r="Q1865">
        <f>IF($A1865="","",IF(OR($E1865="INFRUCTUEUX",$E1865="ANNULE"),$A1865&amp;"|"&amp;(COUNTIFS($A$2:$A1865,$A1865,$E$2:$E1865,"INFRUCTUEUX")+COUNTIFS($A$2:$A1865,$A1865,$E$2:$E1865,"ANNULE")),""))</f>
        <v/>
      </c>
    </row>
    <row r="1866">
      <c r="A1866">
        <f>IF(ISBLANK('ENGAGEMENTS 2026'!B1866),"",IF('ENGAGEMENTS 2026'!B1866="DTSI","DCT",'ENGAGEMENTS 2026'!B1866))</f>
        <v/>
      </c>
      <c r="B1866">
        <f>IF(ISBLANK('ENGAGEMENTS 2026'!B1866),"",'ENGAGEMENTS 2026'!C1866)</f>
        <v/>
      </c>
      <c r="C1866">
        <f>IF(ISBLANK('ENGAGEMENTS 2026'!B1866),"",'ENGAGEMENTS 2026'!D1866)</f>
        <v/>
      </c>
      <c r="D1866">
        <f>IF(ISBLANK('ENGAGEMENTS 2026'!B1866),"",'ENGAGEMENTS 2026'!F1866)</f>
        <v/>
      </c>
      <c r="E1866">
        <f>IF(ISBLANK('ENGAGEMENTS 2026'!B1866),"",'ENGAGEMENTS 2026'!H1866)</f>
        <v/>
      </c>
      <c r="F1866">
        <f>IF(ISBLANK('ENGAGEMENTS 2026'!B1866),"",'ENGAGEMENTS 2026'!I1866)</f>
        <v/>
      </c>
      <c r="G1866">
        <f>IF(ISBLANK('ENGAGEMENTS 2026'!B1866),"",'ENGAGEMENTS 2026'!L1866)</f>
        <v/>
      </c>
      <c r="H1866">
        <f>IF(ISBLANK('ENGAGEMENTS 2026'!B1866),"",'ENGAGEMENTS 2026'!AE1866)</f>
        <v/>
      </c>
      <c r="I1866">
        <f>IF(ISBLANK('ENGAGEMENTS 2026'!B1866),"",'ENGAGEMENTS 2026'!G1866)</f>
        <v/>
      </c>
      <c r="J1866" s="275">
        <f>IF(ISBLANK('ENGAGEMENTS 2026'!B1866),"",IF(AND(OR($E1866="INFRUCTUEUX",$E1866="ANNULE"),$C1866="AOO-M"),'ENGAGEMENTS 2026'!O1866,IF($H1866="EN COURS DE PREENGAGEMENT",'ENGAGEMENTS 2026'!N1866,IF($H1866="PREENGAGE",IF($E1866="ATTRIBUE",'ENGAGEMENTS 2026'!AD1866,'ENGAGEMENTS 2026'!N1866),'ENGAGEMENTS 2026'!AD1866))))</f>
        <v/>
      </c>
      <c r="K1866" s="604">
        <f>IF(ISBLANK('ENGAGEMENTS 2026'!V1866),"",'ENGAGEMENTS 2026'!V1866)</f>
        <v/>
      </c>
      <c r="L1866" s="276">
        <f>IF($K1866="","",TODAY()-$K1866)</f>
        <v/>
      </c>
      <c r="M1866">
        <f>IF($A1866="","",IF($H1866="ENGAGE","Engagé",IF(AND($H1866="NON ENGAGE",OR($I1866="INFRUCTUEUX",$I1866="ANNULE")),"Clôturé sans suite","En cours")))</f>
        <v/>
      </c>
      <c r="N1866">
        <f>IF(ISBLANK('ENGAGEMENTS 2026'!B1866),"",'ENGAGEMENTS 2026'!K1866)</f>
        <v/>
      </c>
      <c r="O1866">
        <f>IF(ISBLANK('ENGAGEMENTS 2026'!B1866),"",'ENGAGEMENTS 2026'!L1866)</f>
        <v/>
      </c>
      <c r="P1866">
        <f>IF(ISBLANK('ENGAGEMENTS 2026'!B1866),"",'ENGAGEMENTS 2026'!J1866)</f>
        <v/>
      </c>
      <c r="Q1866">
        <f>IF($A1866="","",IF(OR($E1866="INFRUCTUEUX",$E1866="ANNULE"),$A1866&amp;"|"&amp;(COUNTIFS($A$2:$A1866,$A1866,$E$2:$E1866,"INFRUCTUEUX")+COUNTIFS($A$2:$A1866,$A1866,$E$2:$E1866,"ANNULE")),""))</f>
        <v/>
      </c>
    </row>
    <row r="1867">
      <c r="A1867">
        <f>IF(ISBLANK('ENGAGEMENTS 2026'!B1867),"",IF('ENGAGEMENTS 2026'!B1867="DTSI","DCT",'ENGAGEMENTS 2026'!B1867))</f>
        <v/>
      </c>
      <c r="B1867">
        <f>IF(ISBLANK('ENGAGEMENTS 2026'!B1867),"",'ENGAGEMENTS 2026'!C1867)</f>
        <v/>
      </c>
      <c r="C1867">
        <f>IF(ISBLANK('ENGAGEMENTS 2026'!B1867),"",'ENGAGEMENTS 2026'!D1867)</f>
        <v/>
      </c>
      <c r="D1867">
        <f>IF(ISBLANK('ENGAGEMENTS 2026'!B1867),"",'ENGAGEMENTS 2026'!F1867)</f>
        <v/>
      </c>
      <c r="E1867">
        <f>IF(ISBLANK('ENGAGEMENTS 2026'!B1867),"",'ENGAGEMENTS 2026'!H1867)</f>
        <v/>
      </c>
      <c r="F1867">
        <f>IF(ISBLANK('ENGAGEMENTS 2026'!B1867),"",'ENGAGEMENTS 2026'!I1867)</f>
        <v/>
      </c>
      <c r="G1867">
        <f>IF(ISBLANK('ENGAGEMENTS 2026'!B1867),"",'ENGAGEMENTS 2026'!L1867)</f>
        <v/>
      </c>
      <c r="H1867">
        <f>IF(ISBLANK('ENGAGEMENTS 2026'!B1867),"",'ENGAGEMENTS 2026'!AE1867)</f>
        <v/>
      </c>
      <c r="I1867">
        <f>IF(ISBLANK('ENGAGEMENTS 2026'!B1867),"",'ENGAGEMENTS 2026'!G1867)</f>
        <v/>
      </c>
      <c r="J1867" s="275">
        <f>IF(ISBLANK('ENGAGEMENTS 2026'!B1867),"",IF(AND(OR($E1867="INFRUCTUEUX",$E1867="ANNULE"),$C1867="AOO-M"),'ENGAGEMENTS 2026'!O1867,IF($H1867="EN COURS DE PREENGAGEMENT",'ENGAGEMENTS 2026'!N1867,IF($H1867="PREENGAGE",IF($E1867="ATTRIBUE",'ENGAGEMENTS 2026'!AD1867,'ENGAGEMENTS 2026'!N1867),'ENGAGEMENTS 2026'!AD1867))))</f>
        <v/>
      </c>
      <c r="K1867" s="604">
        <f>IF(ISBLANK('ENGAGEMENTS 2026'!V1867),"",'ENGAGEMENTS 2026'!V1867)</f>
        <v/>
      </c>
      <c r="L1867" s="276">
        <f>IF($K1867="","",TODAY()-$K1867)</f>
        <v/>
      </c>
      <c r="M1867">
        <f>IF($A1867="","",IF($H1867="ENGAGE","Engagé",IF(AND($H1867="NON ENGAGE",OR($I1867="INFRUCTUEUX",$I1867="ANNULE")),"Clôturé sans suite","En cours")))</f>
        <v/>
      </c>
      <c r="N1867">
        <f>IF(ISBLANK('ENGAGEMENTS 2026'!B1867),"",'ENGAGEMENTS 2026'!K1867)</f>
        <v/>
      </c>
      <c r="O1867">
        <f>IF(ISBLANK('ENGAGEMENTS 2026'!B1867),"",'ENGAGEMENTS 2026'!L1867)</f>
        <v/>
      </c>
      <c r="P1867">
        <f>IF(ISBLANK('ENGAGEMENTS 2026'!B1867),"",'ENGAGEMENTS 2026'!J1867)</f>
        <v/>
      </c>
      <c r="Q1867">
        <f>IF($A1867="","",IF(OR($E1867="INFRUCTUEUX",$E1867="ANNULE"),$A1867&amp;"|"&amp;(COUNTIFS($A$2:$A1867,$A1867,$E$2:$E1867,"INFRUCTUEUX")+COUNTIFS($A$2:$A1867,$A1867,$E$2:$E1867,"ANNULE")),""))</f>
        <v/>
      </c>
    </row>
    <row r="1868">
      <c r="A1868">
        <f>IF(ISBLANK('ENGAGEMENTS 2026'!B1868),"",IF('ENGAGEMENTS 2026'!B1868="DTSI","DCT",'ENGAGEMENTS 2026'!B1868))</f>
        <v/>
      </c>
      <c r="B1868">
        <f>IF(ISBLANK('ENGAGEMENTS 2026'!B1868),"",'ENGAGEMENTS 2026'!C1868)</f>
        <v/>
      </c>
      <c r="C1868">
        <f>IF(ISBLANK('ENGAGEMENTS 2026'!B1868),"",'ENGAGEMENTS 2026'!D1868)</f>
        <v/>
      </c>
      <c r="D1868">
        <f>IF(ISBLANK('ENGAGEMENTS 2026'!B1868),"",'ENGAGEMENTS 2026'!F1868)</f>
        <v/>
      </c>
      <c r="E1868">
        <f>IF(ISBLANK('ENGAGEMENTS 2026'!B1868),"",'ENGAGEMENTS 2026'!H1868)</f>
        <v/>
      </c>
      <c r="F1868">
        <f>IF(ISBLANK('ENGAGEMENTS 2026'!B1868),"",'ENGAGEMENTS 2026'!I1868)</f>
        <v/>
      </c>
      <c r="G1868">
        <f>IF(ISBLANK('ENGAGEMENTS 2026'!B1868),"",'ENGAGEMENTS 2026'!L1868)</f>
        <v/>
      </c>
      <c r="H1868">
        <f>IF(ISBLANK('ENGAGEMENTS 2026'!B1868),"",'ENGAGEMENTS 2026'!AE1868)</f>
        <v/>
      </c>
      <c r="I1868">
        <f>IF(ISBLANK('ENGAGEMENTS 2026'!B1868),"",'ENGAGEMENTS 2026'!G1868)</f>
        <v/>
      </c>
      <c r="J1868" s="275">
        <f>IF(ISBLANK('ENGAGEMENTS 2026'!B1868),"",IF(AND(OR($E1868="INFRUCTUEUX",$E1868="ANNULE"),$C1868="AOO-M"),'ENGAGEMENTS 2026'!O1868,IF($H1868="EN COURS DE PREENGAGEMENT",'ENGAGEMENTS 2026'!N1868,IF($H1868="PREENGAGE",IF($E1868="ATTRIBUE",'ENGAGEMENTS 2026'!AD1868,'ENGAGEMENTS 2026'!N1868),'ENGAGEMENTS 2026'!AD1868))))</f>
        <v/>
      </c>
      <c r="K1868" s="604">
        <f>IF(ISBLANK('ENGAGEMENTS 2026'!V1868),"",'ENGAGEMENTS 2026'!V1868)</f>
        <v/>
      </c>
      <c r="L1868" s="276">
        <f>IF($K1868="","",TODAY()-$K1868)</f>
        <v/>
      </c>
      <c r="M1868">
        <f>IF($A1868="","",IF($H1868="ENGAGE","Engagé",IF(AND($H1868="NON ENGAGE",OR($I1868="INFRUCTUEUX",$I1868="ANNULE")),"Clôturé sans suite","En cours")))</f>
        <v/>
      </c>
      <c r="N1868">
        <f>IF(ISBLANK('ENGAGEMENTS 2026'!B1868),"",'ENGAGEMENTS 2026'!K1868)</f>
        <v/>
      </c>
      <c r="O1868">
        <f>IF(ISBLANK('ENGAGEMENTS 2026'!B1868),"",'ENGAGEMENTS 2026'!L1868)</f>
        <v/>
      </c>
      <c r="P1868">
        <f>IF(ISBLANK('ENGAGEMENTS 2026'!B1868),"",'ENGAGEMENTS 2026'!J1868)</f>
        <v/>
      </c>
      <c r="Q1868">
        <f>IF($A1868="","",IF(OR($E1868="INFRUCTUEUX",$E1868="ANNULE"),$A1868&amp;"|"&amp;(COUNTIFS($A$2:$A1868,$A1868,$E$2:$E1868,"INFRUCTUEUX")+COUNTIFS($A$2:$A1868,$A1868,$E$2:$E1868,"ANNULE")),""))</f>
        <v/>
      </c>
    </row>
    <row r="1869">
      <c r="A1869">
        <f>IF(ISBLANK('ENGAGEMENTS 2026'!B1869),"",IF('ENGAGEMENTS 2026'!B1869="DTSI","DCT",'ENGAGEMENTS 2026'!B1869))</f>
        <v/>
      </c>
      <c r="B1869">
        <f>IF(ISBLANK('ENGAGEMENTS 2026'!B1869),"",'ENGAGEMENTS 2026'!C1869)</f>
        <v/>
      </c>
      <c r="C1869">
        <f>IF(ISBLANK('ENGAGEMENTS 2026'!B1869),"",'ENGAGEMENTS 2026'!D1869)</f>
        <v/>
      </c>
      <c r="D1869">
        <f>IF(ISBLANK('ENGAGEMENTS 2026'!B1869),"",'ENGAGEMENTS 2026'!F1869)</f>
        <v/>
      </c>
      <c r="E1869">
        <f>IF(ISBLANK('ENGAGEMENTS 2026'!B1869),"",'ENGAGEMENTS 2026'!H1869)</f>
        <v/>
      </c>
      <c r="F1869">
        <f>IF(ISBLANK('ENGAGEMENTS 2026'!B1869),"",'ENGAGEMENTS 2026'!I1869)</f>
        <v/>
      </c>
      <c r="G1869">
        <f>IF(ISBLANK('ENGAGEMENTS 2026'!B1869),"",'ENGAGEMENTS 2026'!L1869)</f>
        <v/>
      </c>
      <c r="H1869">
        <f>IF(ISBLANK('ENGAGEMENTS 2026'!B1869),"",'ENGAGEMENTS 2026'!AE1869)</f>
        <v/>
      </c>
      <c r="I1869">
        <f>IF(ISBLANK('ENGAGEMENTS 2026'!B1869),"",'ENGAGEMENTS 2026'!G1869)</f>
        <v/>
      </c>
      <c r="J1869" s="275">
        <f>IF(ISBLANK('ENGAGEMENTS 2026'!B1869),"",IF(AND(OR($E1869="INFRUCTUEUX",$E1869="ANNULE"),$C1869="AOO-M"),'ENGAGEMENTS 2026'!O1869,IF($H1869="EN COURS DE PREENGAGEMENT",'ENGAGEMENTS 2026'!N1869,IF($H1869="PREENGAGE",IF($E1869="ATTRIBUE",'ENGAGEMENTS 2026'!AD1869,'ENGAGEMENTS 2026'!N1869),'ENGAGEMENTS 2026'!AD1869))))</f>
        <v/>
      </c>
      <c r="K1869" s="604">
        <f>IF(ISBLANK('ENGAGEMENTS 2026'!V1869),"",'ENGAGEMENTS 2026'!V1869)</f>
        <v/>
      </c>
      <c r="L1869" s="276">
        <f>IF($K1869="","",TODAY()-$K1869)</f>
        <v/>
      </c>
      <c r="M1869">
        <f>IF($A1869="","",IF($H1869="ENGAGE","Engagé",IF(AND($H1869="NON ENGAGE",OR($I1869="INFRUCTUEUX",$I1869="ANNULE")),"Clôturé sans suite","En cours")))</f>
        <v/>
      </c>
      <c r="N1869">
        <f>IF(ISBLANK('ENGAGEMENTS 2026'!B1869),"",'ENGAGEMENTS 2026'!K1869)</f>
        <v/>
      </c>
      <c r="O1869">
        <f>IF(ISBLANK('ENGAGEMENTS 2026'!B1869),"",'ENGAGEMENTS 2026'!L1869)</f>
        <v/>
      </c>
      <c r="P1869">
        <f>IF(ISBLANK('ENGAGEMENTS 2026'!B1869),"",'ENGAGEMENTS 2026'!J1869)</f>
        <v/>
      </c>
      <c r="Q1869">
        <f>IF($A1869="","",IF(OR($E1869="INFRUCTUEUX",$E1869="ANNULE"),$A1869&amp;"|"&amp;(COUNTIFS($A$2:$A1869,$A1869,$E$2:$E1869,"INFRUCTUEUX")+COUNTIFS($A$2:$A1869,$A1869,$E$2:$E1869,"ANNULE")),""))</f>
        <v/>
      </c>
    </row>
    <row r="1870">
      <c r="A1870">
        <f>IF(ISBLANK('ENGAGEMENTS 2026'!B1870),"",IF('ENGAGEMENTS 2026'!B1870="DTSI","DCT",'ENGAGEMENTS 2026'!B1870))</f>
        <v/>
      </c>
      <c r="B1870">
        <f>IF(ISBLANK('ENGAGEMENTS 2026'!B1870),"",'ENGAGEMENTS 2026'!C1870)</f>
        <v/>
      </c>
      <c r="C1870">
        <f>IF(ISBLANK('ENGAGEMENTS 2026'!B1870),"",'ENGAGEMENTS 2026'!D1870)</f>
        <v/>
      </c>
      <c r="D1870">
        <f>IF(ISBLANK('ENGAGEMENTS 2026'!B1870),"",'ENGAGEMENTS 2026'!F1870)</f>
        <v/>
      </c>
      <c r="E1870">
        <f>IF(ISBLANK('ENGAGEMENTS 2026'!B1870),"",'ENGAGEMENTS 2026'!H1870)</f>
        <v/>
      </c>
      <c r="F1870">
        <f>IF(ISBLANK('ENGAGEMENTS 2026'!B1870),"",'ENGAGEMENTS 2026'!I1870)</f>
        <v/>
      </c>
      <c r="G1870">
        <f>IF(ISBLANK('ENGAGEMENTS 2026'!B1870),"",'ENGAGEMENTS 2026'!L1870)</f>
        <v/>
      </c>
      <c r="H1870">
        <f>IF(ISBLANK('ENGAGEMENTS 2026'!B1870),"",'ENGAGEMENTS 2026'!AE1870)</f>
        <v/>
      </c>
      <c r="I1870">
        <f>IF(ISBLANK('ENGAGEMENTS 2026'!B1870),"",'ENGAGEMENTS 2026'!G1870)</f>
        <v/>
      </c>
      <c r="J1870" s="275">
        <f>IF(ISBLANK('ENGAGEMENTS 2026'!B1870),"",IF(AND(OR($E1870="INFRUCTUEUX",$E1870="ANNULE"),$C1870="AOO-M"),'ENGAGEMENTS 2026'!O1870,IF($H1870="EN COURS DE PREENGAGEMENT",'ENGAGEMENTS 2026'!N1870,IF($H1870="PREENGAGE",IF($E1870="ATTRIBUE",'ENGAGEMENTS 2026'!AD1870,'ENGAGEMENTS 2026'!N1870),'ENGAGEMENTS 2026'!AD1870))))</f>
        <v/>
      </c>
      <c r="K1870" s="604">
        <f>IF(ISBLANK('ENGAGEMENTS 2026'!V1870),"",'ENGAGEMENTS 2026'!V1870)</f>
        <v/>
      </c>
      <c r="L1870" s="276">
        <f>IF($K1870="","",TODAY()-$K1870)</f>
        <v/>
      </c>
      <c r="M1870">
        <f>IF($A1870="","",IF($H1870="ENGAGE","Engagé",IF(AND($H1870="NON ENGAGE",OR($I1870="INFRUCTUEUX",$I1870="ANNULE")),"Clôturé sans suite","En cours")))</f>
        <v/>
      </c>
      <c r="N1870">
        <f>IF(ISBLANK('ENGAGEMENTS 2026'!B1870),"",'ENGAGEMENTS 2026'!K1870)</f>
        <v/>
      </c>
      <c r="O1870">
        <f>IF(ISBLANK('ENGAGEMENTS 2026'!B1870),"",'ENGAGEMENTS 2026'!L1870)</f>
        <v/>
      </c>
      <c r="P1870">
        <f>IF(ISBLANK('ENGAGEMENTS 2026'!B1870),"",'ENGAGEMENTS 2026'!J1870)</f>
        <v/>
      </c>
      <c r="Q1870">
        <f>IF($A1870="","",IF(OR($E1870="INFRUCTUEUX",$E1870="ANNULE"),$A1870&amp;"|"&amp;(COUNTIFS($A$2:$A1870,$A1870,$E$2:$E1870,"INFRUCTUEUX")+COUNTIFS($A$2:$A1870,$A1870,$E$2:$E1870,"ANNULE")),""))</f>
        <v/>
      </c>
    </row>
    <row r="1871">
      <c r="A1871">
        <f>IF(ISBLANK('ENGAGEMENTS 2026'!B1871),"",IF('ENGAGEMENTS 2026'!B1871="DTSI","DCT",'ENGAGEMENTS 2026'!B1871))</f>
        <v/>
      </c>
      <c r="B1871">
        <f>IF(ISBLANK('ENGAGEMENTS 2026'!B1871),"",'ENGAGEMENTS 2026'!C1871)</f>
        <v/>
      </c>
      <c r="C1871">
        <f>IF(ISBLANK('ENGAGEMENTS 2026'!B1871),"",'ENGAGEMENTS 2026'!D1871)</f>
        <v/>
      </c>
      <c r="D1871">
        <f>IF(ISBLANK('ENGAGEMENTS 2026'!B1871),"",'ENGAGEMENTS 2026'!F1871)</f>
        <v/>
      </c>
      <c r="E1871">
        <f>IF(ISBLANK('ENGAGEMENTS 2026'!B1871),"",'ENGAGEMENTS 2026'!H1871)</f>
        <v/>
      </c>
      <c r="F1871">
        <f>IF(ISBLANK('ENGAGEMENTS 2026'!B1871),"",'ENGAGEMENTS 2026'!I1871)</f>
        <v/>
      </c>
      <c r="G1871">
        <f>IF(ISBLANK('ENGAGEMENTS 2026'!B1871),"",'ENGAGEMENTS 2026'!L1871)</f>
        <v/>
      </c>
      <c r="H1871">
        <f>IF(ISBLANK('ENGAGEMENTS 2026'!B1871),"",'ENGAGEMENTS 2026'!AE1871)</f>
        <v/>
      </c>
      <c r="I1871">
        <f>IF(ISBLANK('ENGAGEMENTS 2026'!B1871),"",'ENGAGEMENTS 2026'!G1871)</f>
        <v/>
      </c>
      <c r="J1871" s="275">
        <f>IF(ISBLANK('ENGAGEMENTS 2026'!B1871),"",IF(AND(OR($E1871="INFRUCTUEUX",$E1871="ANNULE"),$C1871="AOO-M"),'ENGAGEMENTS 2026'!O1871,IF($H1871="EN COURS DE PREENGAGEMENT",'ENGAGEMENTS 2026'!N1871,IF($H1871="PREENGAGE",IF($E1871="ATTRIBUE",'ENGAGEMENTS 2026'!AD1871,'ENGAGEMENTS 2026'!N1871),'ENGAGEMENTS 2026'!AD1871))))</f>
        <v/>
      </c>
      <c r="K1871" s="604">
        <f>IF(ISBLANK('ENGAGEMENTS 2026'!V1871),"",'ENGAGEMENTS 2026'!V1871)</f>
        <v/>
      </c>
      <c r="L1871" s="276">
        <f>IF($K1871="","",TODAY()-$K1871)</f>
        <v/>
      </c>
      <c r="M1871">
        <f>IF($A1871="","",IF($H1871="ENGAGE","Engagé",IF(AND($H1871="NON ENGAGE",OR($I1871="INFRUCTUEUX",$I1871="ANNULE")),"Clôturé sans suite","En cours")))</f>
        <v/>
      </c>
      <c r="N1871">
        <f>IF(ISBLANK('ENGAGEMENTS 2026'!B1871),"",'ENGAGEMENTS 2026'!K1871)</f>
        <v/>
      </c>
      <c r="O1871">
        <f>IF(ISBLANK('ENGAGEMENTS 2026'!B1871),"",'ENGAGEMENTS 2026'!L1871)</f>
        <v/>
      </c>
      <c r="P1871">
        <f>IF(ISBLANK('ENGAGEMENTS 2026'!B1871),"",'ENGAGEMENTS 2026'!J1871)</f>
        <v/>
      </c>
      <c r="Q1871">
        <f>IF($A1871="","",IF(OR($E1871="INFRUCTUEUX",$E1871="ANNULE"),$A1871&amp;"|"&amp;(COUNTIFS($A$2:$A1871,$A1871,$E$2:$E1871,"INFRUCTUEUX")+COUNTIFS($A$2:$A1871,$A1871,$E$2:$E1871,"ANNULE")),""))</f>
        <v/>
      </c>
    </row>
    <row r="1872">
      <c r="A1872">
        <f>IF(ISBLANK('ENGAGEMENTS 2026'!B1872),"",IF('ENGAGEMENTS 2026'!B1872="DTSI","DCT",'ENGAGEMENTS 2026'!B1872))</f>
        <v/>
      </c>
      <c r="B1872">
        <f>IF(ISBLANK('ENGAGEMENTS 2026'!B1872),"",'ENGAGEMENTS 2026'!C1872)</f>
        <v/>
      </c>
      <c r="C1872">
        <f>IF(ISBLANK('ENGAGEMENTS 2026'!B1872),"",'ENGAGEMENTS 2026'!D1872)</f>
        <v/>
      </c>
      <c r="D1872">
        <f>IF(ISBLANK('ENGAGEMENTS 2026'!B1872),"",'ENGAGEMENTS 2026'!F1872)</f>
        <v/>
      </c>
      <c r="E1872">
        <f>IF(ISBLANK('ENGAGEMENTS 2026'!B1872),"",'ENGAGEMENTS 2026'!H1872)</f>
        <v/>
      </c>
      <c r="F1872">
        <f>IF(ISBLANK('ENGAGEMENTS 2026'!B1872),"",'ENGAGEMENTS 2026'!I1872)</f>
        <v/>
      </c>
      <c r="G1872">
        <f>IF(ISBLANK('ENGAGEMENTS 2026'!B1872),"",'ENGAGEMENTS 2026'!L1872)</f>
        <v/>
      </c>
      <c r="H1872">
        <f>IF(ISBLANK('ENGAGEMENTS 2026'!B1872),"",'ENGAGEMENTS 2026'!AE1872)</f>
        <v/>
      </c>
      <c r="I1872">
        <f>IF(ISBLANK('ENGAGEMENTS 2026'!B1872),"",'ENGAGEMENTS 2026'!G1872)</f>
        <v/>
      </c>
      <c r="J1872" s="275">
        <f>IF(ISBLANK('ENGAGEMENTS 2026'!B1872),"",IF(AND(OR($E1872="INFRUCTUEUX",$E1872="ANNULE"),$C1872="AOO-M"),'ENGAGEMENTS 2026'!O1872,IF($H1872="EN COURS DE PREENGAGEMENT",'ENGAGEMENTS 2026'!N1872,IF($H1872="PREENGAGE",IF($E1872="ATTRIBUE",'ENGAGEMENTS 2026'!AD1872,'ENGAGEMENTS 2026'!N1872),'ENGAGEMENTS 2026'!AD1872))))</f>
        <v/>
      </c>
      <c r="K1872" s="604">
        <f>IF(ISBLANK('ENGAGEMENTS 2026'!V1872),"",'ENGAGEMENTS 2026'!V1872)</f>
        <v/>
      </c>
      <c r="L1872" s="276">
        <f>IF($K1872="","",TODAY()-$K1872)</f>
        <v/>
      </c>
      <c r="M1872">
        <f>IF($A1872="","",IF($H1872="ENGAGE","Engagé",IF(AND($H1872="NON ENGAGE",OR($I1872="INFRUCTUEUX",$I1872="ANNULE")),"Clôturé sans suite","En cours")))</f>
        <v/>
      </c>
      <c r="N1872">
        <f>IF(ISBLANK('ENGAGEMENTS 2026'!B1872),"",'ENGAGEMENTS 2026'!K1872)</f>
        <v/>
      </c>
      <c r="O1872">
        <f>IF(ISBLANK('ENGAGEMENTS 2026'!B1872),"",'ENGAGEMENTS 2026'!L1872)</f>
        <v/>
      </c>
      <c r="P1872">
        <f>IF(ISBLANK('ENGAGEMENTS 2026'!B1872),"",'ENGAGEMENTS 2026'!J1872)</f>
        <v/>
      </c>
      <c r="Q1872">
        <f>IF($A1872="","",IF(OR($E1872="INFRUCTUEUX",$E1872="ANNULE"),$A1872&amp;"|"&amp;(COUNTIFS($A$2:$A1872,$A1872,$E$2:$E1872,"INFRUCTUEUX")+COUNTIFS($A$2:$A1872,$A1872,$E$2:$E1872,"ANNULE")),""))</f>
        <v/>
      </c>
    </row>
    <row r="1873">
      <c r="A1873">
        <f>IF(ISBLANK('ENGAGEMENTS 2026'!B1873),"",IF('ENGAGEMENTS 2026'!B1873="DTSI","DCT",'ENGAGEMENTS 2026'!B1873))</f>
        <v/>
      </c>
      <c r="B1873">
        <f>IF(ISBLANK('ENGAGEMENTS 2026'!B1873),"",'ENGAGEMENTS 2026'!C1873)</f>
        <v/>
      </c>
      <c r="C1873">
        <f>IF(ISBLANK('ENGAGEMENTS 2026'!B1873),"",'ENGAGEMENTS 2026'!D1873)</f>
        <v/>
      </c>
      <c r="D1873">
        <f>IF(ISBLANK('ENGAGEMENTS 2026'!B1873),"",'ENGAGEMENTS 2026'!F1873)</f>
        <v/>
      </c>
      <c r="E1873">
        <f>IF(ISBLANK('ENGAGEMENTS 2026'!B1873),"",'ENGAGEMENTS 2026'!H1873)</f>
        <v/>
      </c>
      <c r="F1873">
        <f>IF(ISBLANK('ENGAGEMENTS 2026'!B1873),"",'ENGAGEMENTS 2026'!I1873)</f>
        <v/>
      </c>
      <c r="G1873">
        <f>IF(ISBLANK('ENGAGEMENTS 2026'!B1873),"",'ENGAGEMENTS 2026'!L1873)</f>
        <v/>
      </c>
      <c r="H1873">
        <f>IF(ISBLANK('ENGAGEMENTS 2026'!B1873),"",'ENGAGEMENTS 2026'!AE1873)</f>
        <v/>
      </c>
      <c r="I1873">
        <f>IF(ISBLANK('ENGAGEMENTS 2026'!B1873),"",'ENGAGEMENTS 2026'!G1873)</f>
        <v/>
      </c>
      <c r="J1873" s="275">
        <f>IF(ISBLANK('ENGAGEMENTS 2026'!B1873),"",IF(AND(OR($E1873="INFRUCTUEUX",$E1873="ANNULE"),$C1873="AOO-M"),'ENGAGEMENTS 2026'!O1873,IF($H1873="EN COURS DE PREENGAGEMENT",'ENGAGEMENTS 2026'!N1873,IF($H1873="PREENGAGE",IF($E1873="ATTRIBUE",'ENGAGEMENTS 2026'!AD1873,'ENGAGEMENTS 2026'!N1873),'ENGAGEMENTS 2026'!AD1873))))</f>
        <v/>
      </c>
      <c r="K1873" s="604">
        <f>IF(ISBLANK('ENGAGEMENTS 2026'!V1873),"",'ENGAGEMENTS 2026'!V1873)</f>
        <v/>
      </c>
      <c r="L1873" s="276">
        <f>IF($K1873="","",TODAY()-$K1873)</f>
        <v/>
      </c>
      <c r="M1873">
        <f>IF($A1873="","",IF($H1873="ENGAGE","Engagé",IF(AND($H1873="NON ENGAGE",OR($I1873="INFRUCTUEUX",$I1873="ANNULE")),"Clôturé sans suite","En cours")))</f>
        <v/>
      </c>
      <c r="N1873">
        <f>IF(ISBLANK('ENGAGEMENTS 2026'!B1873),"",'ENGAGEMENTS 2026'!K1873)</f>
        <v/>
      </c>
      <c r="O1873">
        <f>IF(ISBLANK('ENGAGEMENTS 2026'!B1873),"",'ENGAGEMENTS 2026'!L1873)</f>
        <v/>
      </c>
      <c r="P1873">
        <f>IF(ISBLANK('ENGAGEMENTS 2026'!B1873),"",'ENGAGEMENTS 2026'!J1873)</f>
        <v/>
      </c>
      <c r="Q1873">
        <f>IF($A1873="","",IF(OR($E1873="INFRUCTUEUX",$E1873="ANNULE"),$A1873&amp;"|"&amp;(COUNTIFS($A$2:$A1873,$A1873,$E$2:$E1873,"INFRUCTUEUX")+COUNTIFS($A$2:$A1873,$A1873,$E$2:$E1873,"ANNULE")),""))</f>
        <v/>
      </c>
    </row>
    <row r="1874">
      <c r="A1874">
        <f>IF(ISBLANK('ENGAGEMENTS 2026'!B1874),"",IF('ENGAGEMENTS 2026'!B1874="DTSI","DCT",'ENGAGEMENTS 2026'!B1874))</f>
        <v/>
      </c>
      <c r="B1874">
        <f>IF(ISBLANK('ENGAGEMENTS 2026'!B1874),"",'ENGAGEMENTS 2026'!C1874)</f>
        <v/>
      </c>
      <c r="C1874">
        <f>IF(ISBLANK('ENGAGEMENTS 2026'!B1874),"",'ENGAGEMENTS 2026'!D1874)</f>
        <v/>
      </c>
      <c r="D1874">
        <f>IF(ISBLANK('ENGAGEMENTS 2026'!B1874),"",'ENGAGEMENTS 2026'!F1874)</f>
        <v/>
      </c>
      <c r="E1874">
        <f>IF(ISBLANK('ENGAGEMENTS 2026'!B1874),"",'ENGAGEMENTS 2026'!H1874)</f>
        <v/>
      </c>
      <c r="F1874">
        <f>IF(ISBLANK('ENGAGEMENTS 2026'!B1874),"",'ENGAGEMENTS 2026'!I1874)</f>
        <v/>
      </c>
      <c r="G1874">
        <f>IF(ISBLANK('ENGAGEMENTS 2026'!B1874),"",'ENGAGEMENTS 2026'!L1874)</f>
        <v/>
      </c>
      <c r="H1874">
        <f>IF(ISBLANK('ENGAGEMENTS 2026'!B1874),"",'ENGAGEMENTS 2026'!AE1874)</f>
        <v/>
      </c>
      <c r="I1874">
        <f>IF(ISBLANK('ENGAGEMENTS 2026'!B1874),"",'ENGAGEMENTS 2026'!G1874)</f>
        <v/>
      </c>
      <c r="J1874" s="275">
        <f>IF(ISBLANK('ENGAGEMENTS 2026'!B1874),"",IF(AND(OR($E1874="INFRUCTUEUX",$E1874="ANNULE"),$C1874="AOO-M"),'ENGAGEMENTS 2026'!O1874,IF($H1874="EN COURS DE PREENGAGEMENT",'ENGAGEMENTS 2026'!N1874,IF($H1874="PREENGAGE",IF($E1874="ATTRIBUE",'ENGAGEMENTS 2026'!AD1874,'ENGAGEMENTS 2026'!N1874),'ENGAGEMENTS 2026'!AD1874))))</f>
        <v/>
      </c>
      <c r="K1874" s="604">
        <f>IF(ISBLANK('ENGAGEMENTS 2026'!V1874),"",'ENGAGEMENTS 2026'!V1874)</f>
        <v/>
      </c>
      <c r="L1874" s="276">
        <f>IF($K1874="","",TODAY()-$K1874)</f>
        <v/>
      </c>
      <c r="M1874">
        <f>IF($A1874="","",IF($H1874="ENGAGE","Engagé",IF(AND($H1874="NON ENGAGE",OR($I1874="INFRUCTUEUX",$I1874="ANNULE")),"Clôturé sans suite","En cours")))</f>
        <v/>
      </c>
      <c r="N1874">
        <f>IF(ISBLANK('ENGAGEMENTS 2026'!B1874),"",'ENGAGEMENTS 2026'!K1874)</f>
        <v/>
      </c>
      <c r="O1874">
        <f>IF(ISBLANK('ENGAGEMENTS 2026'!B1874),"",'ENGAGEMENTS 2026'!L1874)</f>
        <v/>
      </c>
      <c r="P1874">
        <f>IF(ISBLANK('ENGAGEMENTS 2026'!B1874),"",'ENGAGEMENTS 2026'!J1874)</f>
        <v/>
      </c>
      <c r="Q1874">
        <f>IF($A1874="","",IF(OR($E1874="INFRUCTUEUX",$E1874="ANNULE"),$A1874&amp;"|"&amp;(COUNTIFS($A$2:$A1874,$A1874,$E$2:$E1874,"INFRUCTUEUX")+COUNTIFS($A$2:$A1874,$A1874,$E$2:$E1874,"ANNULE")),""))</f>
        <v/>
      </c>
    </row>
    <row r="1875">
      <c r="A1875">
        <f>IF(ISBLANK('ENGAGEMENTS 2026'!B1875),"",IF('ENGAGEMENTS 2026'!B1875="DTSI","DCT",'ENGAGEMENTS 2026'!B1875))</f>
        <v/>
      </c>
      <c r="B1875">
        <f>IF(ISBLANK('ENGAGEMENTS 2026'!B1875),"",'ENGAGEMENTS 2026'!C1875)</f>
        <v/>
      </c>
      <c r="C1875">
        <f>IF(ISBLANK('ENGAGEMENTS 2026'!B1875),"",'ENGAGEMENTS 2026'!D1875)</f>
        <v/>
      </c>
      <c r="D1875">
        <f>IF(ISBLANK('ENGAGEMENTS 2026'!B1875),"",'ENGAGEMENTS 2026'!F1875)</f>
        <v/>
      </c>
      <c r="E1875">
        <f>IF(ISBLANK('ENGAGEMENTS 2026'!B1875),"",'ENGAGEMENTS 2026'!H1875)</f>
        <v/>
      </c>
      <c r="F1875">
        <f>IF(ISBLANK('ENGAGEMENTS 2026'!B1875),"",'ENGAGEMENTS 2026'!I1875)</f>
        <v/>
      </c>
      <c r="G1875">
        <f>IF(ISBLANK('ENGAGEMENTS 2026'!B1875),"",'ENGAGEMENTS 2026'!L1875)</f>
        <v/>
      </c>
      <c r="H1875">
        <f>IF(ISBLANK('ENGAGEMENTS 2026'!B1875),"",'ENGAGEMENTS 2026'!AE1875)</f>
        <v/>
      </c>
      <c r="I1875">
        <f>IF(ISBLANK('ENGAGEMENTS 2026'!B1875),"",'ENGAGEMENTS 2026'!G1875)</f>
        <v/>
      </c>
      <c r="J1875" s="275">
        <f>IF(ISBLANK('ENGAGEMENTS 2026'!B1875),"",IF(AND(OR($E1875="INFRUCTUEUX",$E1875="ANNULE"),$C1875="AOO-M"),'ENGAGEMENTS 2026'!O1875,IF($H1875="EN COURS DE PREENGAGEMENT",'ENGAGEMENTS 2026'!N1875,IF($H1875="PREENGAGE",IF($E1875="ATTRIBUE",'ENGAGEMENTS 2026'!AD1875,'ENGAGEMENTS 2026'!N1875),'ENGAGEMENTS 2026'!AD1875))))</f>
        <v/>
      </c>
      <c r="K1875" s="604">
        <f>IF(ISBLANK('ENGAGEMENTS 2026'!V1875),"",'ENGAGEMENTS 2026'!V1875)</f>
        <v/>
      </c>
      <c r="L1875" s="276">
        <f>IF($K1875="","",TODAY()-$K1875)</f>
        <v/>
      </c>
      <c r="M1875">
        <f>IF($A1875="","",IF($H1875="ENGAGE","Engagé",IF(AND($H1875="NON ENGAGE",OR($I1875="INFRUCTUEUX",$I1875="ANNULE")),"Clôturé sans suite","En cours")))</f>
        <v/>
      </c>
      <c r="N1875">
        <f>IF(ISBLANK('ENGAGEMENTS 2026'!B1875),"",'ENGAGEMENTS 2026'!K1875)</f>
        <v/>
      </c>
      <c r="O1875">
        <f>IF(ISBLANK('ENGAGEMENTS 2026'!B1875),"",'ENGAGEMENTS 2026'!L1875)</f>
        <v/>
      </c>
      <c r="P1875">
        <f>IF(ISBLANK('ENGAGEMENTS 2026'!B1875),"",'ENGAGEMENTS 2026'!J1875)</f>
        <v/>
      </c>
      <c r="Q1875">
        <f>IF($A1875="","",IF(OR($E1875="INFRUCTUEUX",$E1875="ANNULE"),$A1875&amp;"|"&amp;(COUNTIFS($A$2:$A1875,$A1875,$E$2:$E1875,"INFRUCTUEUX")+COUNTIFS($A$2:$A1875,$A1875,$E$2:$E1875,"ANNULE")),""))</f>
        <v/>
      </c>
    </row>
    <row r="1876">
      <c r="A1876">
        <f>IF(ISBLANK('ENGAGEMENTS 2026'!B1876),"",IF('ENGAGEMENTS 2026'!B1876="DTSI","DCT",'ENGAGEMENTS 2026'!B1876))</f>
        <v/>
      </c>
      <c r="B1876">
        <f>IF(ISBLANK('ENGAGEMENTS 2026'!B1876),"",'ENGAGEMENTS 2026'!C1876)</f>
        <v/>
      </c>
      <c r="C1876">
        <f>IF(ISBLANK('ENGAGEMENTS 2026'!B1876),"",'ENGAGEMENTS 2026'!D1876)</f>
        <v/>
      </c>
      <c r="D1876">
        <f>IF(ISBLANK('ENGAGEMENTS 2026'!B1876),"",'ENGAGEMENTS 2026'!F1876)</f>
        <v/>
      </c>
      <c r="E1876">
        <f>IF(ISBLANK('ENGAGEMENTS 2026'!B1876),"",'ENGAGEMENTS 2026'!H1876)</f>
        <v/>
      </c>
      <c r="F1876">
        <f>IF(ISBLANK('ENGAGEMENTS 2026'!B1876),"",'ENGAGEMENTS 2026'!I1876)</f>
        <v/>
      </c>
      <c r="G1876">
        <f>IF(ISBLANK('ENGAGEMENTS 2026'!B1876),"",'ENGAGEMENTS 2026'!L1876)</f>
        <v/>
      </c>
      <c r="H1876">
        <f>IF(ISBLANK('ENGAGEMENTS 2026'!B1876),"",'ENGAGEMENTS 2026'!AE1876)</f>
        <v/>
      </c>
      <c r="I1876">
        <f>IF(ISBLANK('ENGAGEMENTS 2026'!B1876),"",'ENGAGEMENTS 2026'!G1876)</f>
        <v/>
      </c>
      <c r="J1876" s="275">
        <f>IF(ISBLANK('ENGAGEMENTS 2026'!B1876),"",IF(AND(OR($E1876="INFRUCTUEUX",$E1876="ANNULE"),$C1876="AOO-M"),'ENGAGEMENTS 2026'!O1876,IF($H1876="EN COURS DE PREENGAGEMENT",'ENGAGEMENTS 2026'!N1876,IF($H1876="PREENGAGE",IF($E1876="ATTRIBUE",'ENGAGEMENTS 2026'!AD1876,'ENGAGEMENTS 2026'!N1876),'ENGAGEMENTS 2026'!AD1876))))</f>
        <v/>
      </c>
      <c r="K1876" s="604">
        <f>IF(ISBLANK('ENGAGEMENTS 2026'!V1876),"",'ENGAGEMENTS 2026'!V1876)</f>
        <v/>
      </c>
      <c r="L1876" s="276">
        <f>IF($K1876="","",TODAY()-$K1876)</f>
        <v/>
      </c>
      <c r="M1876">
        <f>IF($A1876="","",IF($H1876="ENGAGE","Engagé",IF(AND($H1876="NON ENGAGE",OR($I1876="INFRUCTUEUX",$I1876="ANNULE")),"Clôturé sans suite","En cours")))</f>
        <v/>
      </c>
      <c r="N1876">
        <f>IF(ISBLANK('ENGAGEMENTS 2026'!B1876),"",'ENGAGEMENTS 2026'!K1876)</f>
        <v/>
      </c>
      <c r="O1876">
        <f>IF(ISBLANK('ENGAGEMENTS 2026'!B1876),"",'ENGAGEMENTS 2026'!L1876)</f>
        <v/>
      </c>
      <c r="P1876">
        <f>IF(ISBLANK('ENGAGEMENTS 2026'!B1876),"",'ENGAGEMENTS 2026'!J1876)</f>
        <v/>
      </c>
      <c r="Q1876">
        <f>IF($A1876="","",IF(OR($E1876="INFRUCTUEUX",$E1876="ANNULE"),$A1876&amp;"|"&amp;(COUNTIFS($A$2:$A1876,$A1876,$E$2:$E1876,"INFRUCTUEUX")+COUNTIFS($A$2:$A1876,$A1876,$E$2:$E1876,"ANNULE")),""))</f>
        <v/>
      </c>
    </row>
    <row r="1877">
      <c r="A1877">
        <f>IF(ISBLANK('ENGAGEMENTS 2026'!B1877),"",IF('ENGAGEMENTS 2026'!B1877="DTSI","DCT",'ENGAGEMENTS 2026'!B1877))</f>
        <v/>
      </c>
      <c r="B1877">
        <f>IF(ISBLANK('ENGAGEMENTS 2026'!B1877),"",'ENGAGEMENTS 2026'!C1877)</f>
        <v/>
      </c>
      <c r="C1877">
        <f>IF(ISBLANK('ENGAGEMENTS 2026'!B1877),"",'ENGAGEMENTS 2026'!D1877)</f>
        <v/>
      </c>
      <c r="D1877">
        <f>IF(ISBLANK('ENGAGEMENTS 2026'!B1877),"",'ENGAGEMENTS 2026'!F1877)</f>
        <v/>
      </c>
      <c r="E1877">
        <f>IF(ISBLANK('ENGAGEMENTS 2026'!B1877),"",'ENGAGEMENTS 2026'!H1877)</f>
        <v/>
      </c>
      <c r="F1877">
        <f>IF(ISBLANK('ENGAGEMENTS 2026'!B1877),"",'ENGAGEMENTS 2026'!I1877)</f>
        <v/>
      </c>
      <c r="G1877">
        <f>IF(ISBLANK('ENGAGEMENTS 2026'!B1877),"",'ENGAGEMENTS 2026'!L1877)</f>
        <v/>
      </c>
      <c r="H1877">
        <f>IF(ISBLANK('ENGAGEMENTS 2026'!B1877),"",'ENGAGEMENTS 2026'!AE1877)</f>
        <v/>
      </c>
      <c r="I1877">
        <f>IF(ISBLANK('ENGAGEMENTS 2026'!B1877),"",'ENGAGEMENTS 2026'!G1877)</f>
        <v/>
      </c>
      <c r="J1877" s="275">
        <f>IF(ISBLANK('ENGAGEMENTS 2026'!B1877),"",IF(AND(OR($E1877="INFRUCTUEUX",$E1877="ANNULE"),$C1877="AOO-M"),'ENGAGEMENTS 2026'!O1877,IF($H1877="EN COURS DE PREENGAGEMENT",'ENGAGEMENTS 2026'!N1877,IF($H1877="PREENGAGE",IF($E1877="ATTRIBUE",'ENGAGEMENTS 2026'!AD1877,'ENGAGEMENTS 2026'!N1877),'ENGAGEMENTS 2026'!AD1877))))</f>
        <v/>
      </c>
      <c r="K1877" s="604">
        <f>IF(ISBLANK('ENGAGEMENTS 2026'!V1877),"",'ENGAGEMENTS 2026'!V1877)</f>
        <v/>
      </c>
      <c r="L1877" s="276">
        <f>IF($K1877="","",TODAY()-$K1877)</f>
        <v/>
      </c>
      <c r="M1877">
        <f>IF($A1877="","",IF($H1877="ENGAGE","Engagé",IF(AND($H1877="NON ENGAGE",OR($I1877="INFRUCTUEUX",$I1877="ANNULE")),"Clôturé sans suite","En cours")))</f>
        <v/>
      </c>
      <c r="N1877">
        <f>IF(ISBLANK('ENGAGEMENTS 2026'!B1877),"",'ENGAGEMENTS 2026'!K1877)</f>
        <v/>
      </c>
      <c r="O1877">
        <f>IF(ISBLANK('ENGAGEMENTS 2026'!B1877),"",'ENGAGEMENTS 2026'!L1877)</f>
        <v/>
      </c>
      <c r="P1877">
        <f>IF(ISBLANK('ENGAGEMENTS 2026'!B1877),"",'ENGAGEMENTS 2026'!J1877)</f>
        <v/>
      </c>
      <c r="Q1877">
        <f>IF($A1877="","",IF(OR($E1877="INFRUCTUEUX",$E1877="ANNULE"),$A1877&amp;"|"&amp;(COUNTIFS($A$2:$A1877,$A1877,$E$2:$E1877,"INFRUCTUEUX")+COUNTIFS($A$2:$A1877,$A1877,$E$2:$E1877,"ANNULE")),""))</f>
        <v/>
      </c>
    </row>
    <row r="1878">
      <c r="A1878">
        <f>IF(ISBLANK('ENGAGEMENTS 2026'!B1878),"",IF('ENGAGEMENTS 2026'!B1878="DTSI","DCT",'ENGAGEMENTS 2026'!B1878))</f>
        <v/>
      </c>
      <c r="B1878">
        <f>IF(ISBLANK('ENGAGEMENTS 2026'!B1878),"",'ENGAGEMENTS 2026'!C1878)</f>
        <v/>
      </c>
      <c r="C1878">
        <f>IF(ISBLANK('ENGAGEMENTS 2026'!B1878),"",'ENGAGEMENTS 2026'!D1878)</f>
        <v/>
      </c>
      <c r="D1878">
        <f>IF(ISBLANK('ENGAGEMENTS 2026'!B1878),"",'ENGAGEMENTS 2026'!F1878)</f>
        <v/>
      </c>
      <c r="E1878">
        <f>IF(ISBLANK('ENGAGEMENTS 2026'!B1878),"",'ENGAGEMENTS 2026'!H1878)</f>
        <v/>
      </c>
      <c r="F1878">
        <f>IF(ISBLANK('ENGAGEMENTS 2026'!B1878),"",'ENGAGEMENTS 2026'!I1878)</f>
        <v/>
      </c>
      <c r="G1878">
        <f>IF(ISBLANK('ENGAGEMENTS 2026'!B1878),"",'ENGAGEMENTS 2026'!L1878)</f>
        <v/>
      </c>
      <c r="H1878">
        <f>IF(ISBLANK('ENGAGEMENTS 2026'!B1878),"",'ENGAGEMENTS 2026'!AE1878)</f>
        <v/>
      </c>
      <c r="I1878">
        <f>IF(ISBLANK('ENGAGEMENTS 2026'!B1878),"",'ENGAGEMENTS 2026'!G1878)</f>
        <v/>
      </c>
      <c r="J1878" s="275">
        <f>IF(ISBLANK('ENGAGEMENTS 2026'!B1878),"",IF(AND(OR($E1878="INFRUCTUEUX",$E1878="ANNULE"),$C1878="AOO-M"),'ENGAGEMENTS 2026'!O1878,IF($H1878="EN COURS DE PREENGAGEMENT",'ENGAGEMENTS 2026'!N1878,IF($H1878="PREENGAGE",IF($E1878="ATTRIBUE",'ENGAGEMENTS 2026'!AD1878,'ENGAGEMENTS 2026'!N1878),'ENGAGEMENTS 2026'!AD1878))))</f>
        <v/>
      </c>
      <c r="K1878" s="604">
        <f>IF(ISBLANK('ENGAGEMENTS 2026'!V1878),"",'ENGAGEMENTS 2026'!V1878)</f>
        <v/>
      </c>
      <c r="L1878" s="276">
        <f>IF($K1878="","",TODAY()-$K1878)</f>
        <v/>
      </c>
      <c r="M1878">
        <f>IF($A1878="","",IF($H1878="ENGAGE","Engagé",IF(AND($H1878="NON ENGAGE",OR($I1878="INFRUCTUEUX",$I1878="ANNULE")),"Clôturé sans suite","En cours")))</f>
        <v/>
      </c>
      <c r="N1878">
        <f>IF(ISBLANK('ENGAGEMENTS 2026'!B1878),"",'ENGAGEMENTS 2026'!K1878)</f>
        <v/>
      </c>
      <c r="O1878">
        <f>IF(ISBLANK('ENGAGEMENTS 2026'!B1878),"",'ENGAGEMENTS 2026'!L1878)</f>
        <v/>
      </c>
      <c r="P1878">
        <f>IF(ISBLANK('ENGAGEMENTS 2026'!B1878),"",'ENGAGEMENTS 2026'!J1878)</f>
        <v/>
      </c>
      <c r="Q1878">
        <f>IF($A1878="","",IF(OR($E1878="INFRUCTUEUX",$E1878="ANNULE"),$A1878&amp;"|"&amp;(COUNTIFS($A$2:$A1878,$A1878,$E$2:$E1878,"INFRUCTUEUX")+COUNTIFS($A$2:$A1878,$A1878,$E$2:$E1878,"ANNULE")),""))</f>
        <v/>
      </c>
    </row>
    <row r="1879">
      <c r="A1879">
        <f>IF(ISBLANK('ENGAGEMENTS 2026'!B1879),"",IF('ENGAGEMENTS 2026'!B1879="DTSI","DCT",'ENGAGEMENTS 2026'!B1879))</f>
        <v/>
      </c>
      <c r="B1879">
        <f>IF(ISBLANK('ENGAGEMENTS 2026'!B1879),"",'ENGAGEMENTS 2026'!C1879)</f>
        <v/>
      </c>
      <c r="C1879">
        <f>IF(ISBLANK('ENGAGEMENTS 2026'!B1879),"",'ENGAGEMENTS 2026'!D1879)</f>
        <v/>
      </c>
      <c r="D1879">
        <f>IF(ISBLANK('ENGAGEMENTS 2026'!B1879),"",'ENGAGEMENTS 2026'!F1879)</f>
        <v/>
      </c>
      <c r="E1879">
        <f>IF(ISBLANK('ENGAGEMENTS 2026'!B1879),"",'ENGAGEMENTS 2026'!H1879)</f>
        <v/>
      </c>
      <c r="F1879">
        <f>IF(ISBLANK('ENGAGEMENTS 2026'!B1879),"",'ENGAGEMENTS 2026'!I1879)</f>
        <v/>
      </c>
      <c r="G1879">
        <f>IF(ISBLANK('ENGAGEMENTS 2026'!B1879),"",'ENGAGEMENTS 2026'!L1879)</f>
        <v/>
      </c>
      <c r="H1879">
        <f>IF(ISBLANK('ENGAGEMENTS 2026'!B1879),"",'ENGAGEMENTS 2026'!AE1879)</f>
        <v/>
      </c>
      <c r="I1879">
        <f>IF(ISBLANK('ENGAGEMENTS 2026'!B1879),"",'ENGAGEMENTS 2026'!G1879)</f>
        <v/>
      </c>
      <c r="J1879" s="275">
        <f>IF(ISBLANK('ENGAGEMENTS 2026'!B1879),"",IF(AND(OR($E1879="INFRUCTUEUX",$E1879="ANNULE"),$C1879="AOO-M"),'ENGAGEMENTS 2026'!O1879,IF($H1879="EN COURS DE PREENGAGEMENT",'ENGAGEMENTS 2026'!N1879,IF($H1879="PREENGAGE",IF($E1879="ATTRIBUE",'ENGAGEMENTS 2026'!AD1879,'ENGAGEMENTS 2026'!N1879),'ENGAGEMENTS 2026'!AD1879))))</f>
        <v/>
      </c>
      <c r="K1879" s="604">
        <f>IF(ISBLANK('ENGAGEMENTS 2026'!V1879),"",'ENGAGEMENTS 2026'!V1879)</f>
        <v/>
      </c>
      <c r="L1879" s="276">
        <f>IF($K1879="","",TODAY()-$K1879)</f>
        <v/>
      </c>
      <c r="M1879">
        <f>IF($A1879="","",IF($H1879="ENGAGE","Engagé",IF(AND($H1879="NON ENGAGE",OR($I1879="INFRUCTUEUX",$I1879="ANNULE")),"Clôturé sans suite","En cours")))</f>
        <v/>
      </c>
      <c r="N1879">
        <f>IF(ISBLANK('ENGAGEMENTS 2026'!B1879),"",'ENGAGEMENTS 2026'!K1879)</f>
        <v/>
      </c>
      <c r="O1879">
        <f>IF(ISBLANK('ENGAGEMENTS 2026'!B1879),"",'ENGAGEMENTS 2026'!L1879)</f>
        <v/>
      </c>
      <c r="P1879">
        <f>IF(ISBLANK('ENGAGEMENTS 2026'!B1879),"",'ENGAGEMENTS 2026'!J1879)</f>
        <v/>
      </c>
      <c r="Q1879">
        <f>IF($A1879="","",IF(OR($E1879="INFRUCTUEUX",$E1879="ANNULE"),$A1879&amp;"|"&amp;(COUNTIFS($A$2:$A1879,$A1879,$E$2:$E1879,"INFRUCTUEUX")+COUNTIFS($A$2:$A1879,$A1879,$E$2:$E1879,"ANNULE")),""))</f>
        <v/>
      </c>
    </row>
    <row r="1880">
      <c r="A1880">
        <f>IF(ISBLANK('ENGAGEMENTS 2026'!B1880),"",IF('ENGAGEMENTS 2026'!B1880="DTSI","DCT",'ENGAGEMENTS 2026'!B1880))</f>
        <v/>
      </c>
      <c r="B1880">
        <f>IF(ISBLANK('ENGAGEMENTS 2026'!B1880),"",'ENGAGEMENTS 2026'!C1880)</f>
        <v/>
      </c>
      <c r="C1880">
        <f>IF(ISBLANK('ENGAGEMENTS 2026'!B1880),"",'ENGAGEMENTS 2026'!D1880)</f>
        <v/>
      </c>
      <c r="D1880">
        <f>IF(ISBLANK('ENGAGEMENTS 2026'!B1880),"",'ENGAGEMENTS 2026'!F1880)</f>
        <v/>
      </c>
      <c r="E1880">
        <f>IF(ISBLANK('ENGAGEMENTS 2026'!B1880),"",'ENGAGEMENTS 2026'!H1880)</f>
        <v/>
      </c>
      <c r="F1880">
        <f>IF(ISBLANK('ENGAGEMENTS 2026'!B1880),"",'ENGAGEMENTS 2026'!I1880)</f>
        <v/>
      </c>
      <c r="G1880">
        <f>IF(ISBLANK('ENGAGEMENTS 2026'!B1880),"",'ENGAGEMENTS 2026'!L1880)</f>
        <v/>
      </c>
      <c r="H1880">
        <f>IF(ISBLANK('ENGAGEMENTS 2026'!B1880),"",'ENGAGEMENTS 2026'!AE1880)</f>
        <v/>
      </c>
      <c r="I1880">
        <f>IF(ISBLANK('ENGAGEMENTS 2026'!B1880),"",'ENGAGEMENTS 2026'!G1880)</f>
        <v/>
      </c>
      <c r="J1880" s="275">
        <f>IF(ISBLANK('ENGAGEMENTS 2026'!B1880),"",IF(AND(OR($E1880="INFRUCTUEUX",$E1880="ANNULE"),$C1880="AOO-M"),'ENGAGEMENTS 2026'!O1880,IF($H1880="EN COURS DE PREENGAGEMENT",'ENGAGEMENTS 2026'!N1880,IF($H1880="PREENGAGE",IF($E1880="ATTRIBUE",'ENGAGEMENTS 2026'!AD1880,'ENGAGEMENTS 2026'!N1880),'ENGAGEMENTS 2026'!AD1880))))</f>
        <v/>
      </c>
      <c r="K1880" s="604">
        <f>IF(ISBLANK('ENGAGEMENTS 2026'!V1880),"",'ENGAGEMENTS 2026'!V1880)</f>
        <v/>
      </c>
      <c r="L1880" s="276">
        <f>IF($K1880="","",TODAY()-$K1880)</f>
        <v/>
      </c>
      <c r="M1880">
        <f>IF($A1880="","",IF($H1880="ENGAGE","Engagé",IF(AND($H1880="NON ENGAGE",OR($I1880="INFRUCTUEUX",$I1880="ANNULE")),"Clôturé sans suite","En cours")))</f>
        <v/>
      </c>
      <c r="N1880">
        <f>IF(ISBLANK('ENGAGEMENTS 2026'!B1880),"",'ENGAGEMENTS 2026'!K1880)</f>
        <v/>
      </c>
      <c r="O1880">
        <f>IF(ISBLANK('ENGAGEMENTS 2026'!B1880),"",'ENGAGEMENTS 2026'!L1880)</f>
        <v/>
      </c>
      <c r="P1880">
        <f>IF(ISBLANK('ENGAGEMENTS 2026'!B1880),"",'ENGAGEMENTS 2026'!J1880)</f>
        <v/>
      </c>
      <c r="Q1880">
        <f>IF($A1880="","",IF(OR($E1880="INFRUCTUEUX",$E1880="ANNULE"),$A1880&amp;"|"&amp;(COUNTIFS($A$2:$A1880,$A1880,$E$2:$E1880,"INFRUCTUEUX")+COUNTIFS($A$2:$A1880,$A1880,$E$2:$E1880,"ANNULE")),""))</f>
        <v/>
      </c>
    </row>
    <row r="1881">
      <c r="A1881">
        <f>IF(ISBLANK('ENGAGEMENTS 2026'!B1881),"",IF('ENGAGEMENTS 2026'!B1881="DTSI","DCT",'ENGAGEMENTS 2026'!B1881))</f>
        <v/>
      </c>
      <c r="B1881">
        <f>IF(ISBLANK('ENGAGEMENTS 2026'!B1881),"",'ENGAGEMENTS 2026'!C1881)</f>
        <v/>
      </c>
      <c r="C1881">
        <f>IF(ISBLANK('ENGAGEMENTS 2026'!B1881),"",'ENGAGEMENTS 2026'!D1881)</f>
        <v/>
      </c>
      <c r="D1881">
        <f>IF(ISBLANK('ENGAGEMENTS 2026'!B1881),"",'ENGAGEMENTS 2026'!F1881)</f>
        <v/>
      </c>
      <c r="E1881">
        <f>IF(ISBLANK('ENGAGEMENTS 2026'!B1881),"",'ENGAGEMENTS 2026'!H1881)</f>
        <v/>
      </c>
      <c r="F1881">
        <f>IF(ISBLANK('ENGAGEMENTS 2026'!B1881),"",'ENGAGEMENTS 2026'!I1881)</f>
        <v/>
      </c>
      <c r="G1881">
        <f>IF(ISBLANK('ENGAGEMENTS 2026'!B1881),"",'ENGAGEMENTS 2026'!L1881)</f>
        <v/>
      </c>
      <c r="H1881">
        <f>IF(ISBLANK('ENGAGEMENTS 2026'!B1881),"",'ENGAGEMENTS 2026'!AE1881)</f>
        <v/>
      </c>
      <c r="I1881">
        <f>IF(ISBLANK('ENGAGEMENTS 2026'!B1881),"",'ENGAGEMENTS 2026'!G1881)</f>
        <v/>
      </c>
      <c r="J1881" s="275">
        <f>IF(ISBLANK('ENGAGEMENTS 2026'!B1881),"",IF(AND(OR($E1881="INFRUCTUEUX",$E1881="ANNULE"),$C1881="AOO-M"),'ENGAGEMENTS 2026'!O1881,IF($H1881="EN COURS DE PREENGAGEMENT",'ENGAGEMENTS 2026'!N1881,IF($H1881="PREENGAGE",IF($E1881="ATTRIBUE",'ENGAGEMENTS 2026'!AD1881,'ENGAGEMENTS 2026'!N1881),'ENGAGEMENTS 2026'!AD1881))))</f>
        <v/>
      </c>
      <c r="K1881" s="604">
        <f>IF(ISBLANK('ENGAGEMENTS 2026'!V1881),"",'ENGAGEMENTS 2026'!V1881)</f>
        <v/>
      </c>
      <c r="L1881" s="276">
        <f>IF($K1881="","",TODAY()-$K1881)</f>
        <v/>
      </c>
      <c r="M1881">
        <f>IF($A1881="","",IF($H1881="ENGAGE","Engagé",IF(AND($H1881="NON ENGAGE",OR($I1881="INFRUCTUEUX",$I1881="ANNULE")),"Clôturé sans suite","En cours")))</f>
        <v/>
      </c>
      <c r="N1881">
        <f>IF(ISBLANK('ENGAGEMENTS 2026'!B1881),"",'ENGAGEMENTS 2026'!K1881)</f>
        <v/>
      </c>
      <c r="O1881">
        <f>IF(ISBLANK('ENGAGEMENTS 2026'!B1881),"",'ENGAGEMENTS 2026'!L1881)</f>
        <v/>
      </c>
      <c r="P1881">
        <f>IF(ISBLANK('ENGAGEMENTS 2026'!B1881),"",'ENGAGEMENTS 2026'!J1881)</f>
        <v/>
      </c>
      <c r="Q1881">
        <f>IF($A1881="","",IF(OR($E1881="INFRUCTUEUX",$E1881="ANNULE"),$A1881&amp;"|"&amp;(COUNTIFS($A$2:$A1881,$A1881,$E$2:$E1881,"INFRUCTUEUX")+COUNTIFS($A$2:$A1881,$A1881,$E$2:$E1881,"ANNULE")),""))</f>
        <v/>
      </c>
    </row>
    <row r="1882">
      <c r="A1882">
        <f>IF(ISBLANK('ENGAGEMENTS 2026'!B1882),"",IF('ENGAGEMENTS 2026'!B1882="DTSI","DCT",'ENGAGEMENTS 2026'!B1882))</f>
        <v/>
      </c>
      <c r="B1882">
        <f>IF(ISBLANK('ENGAGEMENTS 2026'!B1882),"",'ENGAGEMENTS 2026'!C1882)</f>
        <v/>
      </c>
      <c r="C1882">
        <f>IF(ISBLANK('ENGAGEMENTS 2026'!B1882),"",'ENGAGEMENTS 2026'!D1882)</f>
        <v/>
      </c>
      <c r="D1882">
        <f>IF(ISBLANK('ENGAGEMENTS 2026'!B1882),"",'ENGAGEMENTS 2026'!F1882)</f>
        <v/>
      </c>
      <c r="E1882">
        <f>IF(ISBLANK('ENGAGEMENTS 2026'!B1882),"",'ENGAGEMENTS 2026'!H1882)</f>
        <v/>
      </c>
      <c r="F1882">
        <f>IF(ISBLANK('ENGAGEMENTS 2026'!B1882),"",'ENGAGEMENTS 2026'!I1882)</f>
        <v/>
      </c>
      <c r="G1882">
        <f>IF(ISBLANK('ENGAGEMENTS 2026'!B1882),"",'ENGAGEMENTS 2026'!L1882)</f>
        <v/>
      </c>
      <c r="H1882">
        <f>IF(ISBLANK('ENGAGEMENTS 2026'!B1882),"",'ENGAGEMENTS 2026'!AE1882)</f>
        <v/>
      </c>
      <c r="I1882">
        <f>IF(ISBLANK('ENGAGEMENTS 2026'!B1882),"",'ENGAGEMENTS 2026'!G1882)</f>
        <v/>
      </c>
      <c r="J1882" s="275">
        <f>IF(ISBLANK('ENGAGEMENTS 2026'!B1882),"",IF(AND(OR($E1882="INFRUCTUEUX",$E1882="ANNULE"),$C1882="AOO-M"),'ENGAGEMENTS 2026'!O1882,IF($H1882="EN COURS DE PREENGAGEMENT",'ENGAGEMENTS 2026'!N1882,IF($H1882="PREENGAGE",IF($E1882="ATTRIBUE",'ENGAGEMENTS 2026'!AD1882,'ENGAGEMENTS 2026'!N1882),'ENGAGEMENTS 2026'!AD1882))))</f>
        <v/>
      </c>
      <c r="K1882" s="604">
        <f>IF(ISBLANK('ENGAGEMENTS 2026'!V1882),"",'ENGAGEMENTS 2026'!V1882)</f>
        <v/>
      </c>
      <c r="L1882" s="276">
        <f>IF($K1882="","",TODAY()-$K1882)</f>
        <v/>
      </c>
      <c r="M1882">
        <f>IF($A1882="","",IF($H1882="ENGAGE","Engagé",IF(AND($H1882="NON ENGAGE",OR($I1882="INFRUCTUEUX",$I1882="ANNULE")),"Clôturé sans suite","En cours")))</f>
        <v/>
      </c>
      <c r="N1882">
        <f>IF(ISBLANK('ENGAGEMENTS 2026'!B1882),"",'ENGAGEMENTS 2026'!K1882)</f>
        <v/>
      </c>
      <c r="O1882">
        <f>IF(ISBLANK('ENGAGEMENTS 2026'!B1882),"",'ENGAGEMENTS 2026'!L1882)</f>
        <v/>
      </c>
      <c r="P1882">
        <f>IF(ISBLANK('ENGAGEMENTS 2026'!B1882),"",'ENGAGEMENTS 2026'!J1882)</f>
        <v/>
      </c>
      <c r="Q1882">
        <f>IF($A1882="","",IF(OR($E1882="INFRUCTUEUX",$E1882="ANNULE"),$A1882&amp;"|"&amp;(COUNTIFS($A$2:$A1882,$A1882,$E$2:$E1882,"INFRUCTUEUX")+COUNTIFS($A$2:$A1882,$A1882,$E$2:$E1882,"ANNULE")),""))</f>
        <v/>
      </c>
    </row>
    <row r="1883">
      <c r="A1883">
        <f>IF(ISBLANK('ENGAGEMENTS 2026'!B1883),"",IF('ENGAGEMENTS 2026'!B1883="DTSI","DCT",'ENGAGEMENTS 2026'!B1883))</f>
        <v/>
      </c>
      <c r="B1883">
        <f>IF(ISBLANK('ENGAGEMENTS 2026'!B1883),"",'ENGAGEMENTS 2026'!C1883)</f>
        <v/>
      </c>
      <c r="C1883">
        <f>IF(ISBLANK('ENGAGEMENTS 2026'!B1883),"",'ENGAGEMENTS 2026'!D1883)</f>
        <v/>
      </c>
      <c r="D1883">
        <f>IF(ISBLANK('ENGAGEMENTS 2026'!B1883),"",'ENGAGEMENTS 2026'!F1883)</f>
        <v/>
      </c>
      <c r="E1883">
        <f>IF(ISBLANK('ENGAGEMENTS 2026'!B1883),"",'ENGAGEMENTS 2026'!H1883)</f>
        <v/>
      </c>
      <c r="F1883">
        <f>IF(ISBLANK('ENGAGEMENTS 2026'!B1883),"",'ENGAGEMENTS 2026'!I1883)</f>
        <v/>
      </c>
      <c r="G1883">
        <f>IF(ISBLANK('ENGAGEMENTS 2026'!B1883),"",'ENGAGEMENTS 2026'!L1883)</f>
        <v/>
      </c>
      <c r="H1883">
        <f>IF(ISBLANK('ENGAGEMENTS 2026'!B1883),"",'ENGAGEMENTS 2026'!AE1883)</f>
        <v/>
      </c>
      <c r="I1883">
        <f>IF(ISBLANK('ENGAGEMENTS 2026'!B1883),"",'ENGAGEMENTS 2026'!G1883)</f>
        <v/>
      </c>
      <c r="J1883" s="275">
        <f>IF(ISBLANK('ENGAGEMENTS 2026'!B1883),"",IF(AND(OR($E1883="INFRUCTUEUX",$E1883="ANNULE"),$C1883="AOO-M"),'ENGAGEMENTS 2026'!O1883,IF($H1883="EN COURS DE PREENGAGEMENT",'ENGAGEMENTS 2026'!N1883,IF($H1883="PREENGAGE",IF($E1883="ATTRIBUE",'ENGAGEMENTS 2026'!AD1883,'ENGAGEMENTS 2026'!N1883),'ENGAGEMENTS 2026'!AD1883))))</f>
        <v/>
      </c>
      <c r="K1883" s="604">
        <f>IF(ISBLANK('ENGAGEMENTS 2026'!V1883),"",'ENGAGEMENTS 2026'!V1883)</f>
        <v/>
      </c>
      <c r="L1883" s="276">
        <f>IF($K1883="","",TODAY()-$K1883)</f>
        <v/>
      </c>
      <c r="M1883">
        <f>IF($A1883="","",IF($H1883="ENGAGE","Engagé",IF(AND($H1883="NON ENGAGE",OR($I1883="INFRUCTUEUX",$I1883="ANNULE")),"Clôturé sans suite","En cours")))</f>
        <v/>
      </c>
      <c r="N1883">
        <f>IF(ISBLANK('ENGAGEMENTS 2026'!B1883),"",'ENGAGEMENTS 2026'!K1883)</f>
        <v/>
      </c>
      <c r="O1883">
        <f>IF(ISBLANK('ENGAGEMENTS 2026'!B1883),"",'ENGAGEMENTS 2026'!L1883)</f>
        <v/>
      </c>
      <c r="P1883">
        <f>IF(ISBLANK('ENGAGEMENTS 2026'!B1883),"",'ENGAGEMENTS 2026'!J1883)</f>
        <v/>
      </c>
      <c r="Q1883">
        <f>IF($A1883="","",IF(OR($E1883="INFRUCTUEUX",$E1883="ANNULE"),$A1883&amp;"|"&amp;(COUNTIFS($A$2:$A1883,$A1883,$E$2:$E1883,"INFRUCTUEUX")+COUNTIFS($A$2:$A1883,$A1883,$E$2:$E1883,"ANNULE")),""))</f>
        <v/>
      </c>
    </row>
    <row r="1884">
      <c r="A1884">
        <f>IF(ISBLANK('ENGAGEMENTS 2026'!B1884),"",IF('ENGAGEMENTS 2026'!B1884="DTSI","DCT",'ENGAGEMENTS 2026'!B1884))</f>
        <v/>
      </c>
      <c r="B1884">
        <f>IF(ISBLANK('ENGAGEMENTS 2026'!B1884),"",'ENGAGEMENTS 2026'!C1884)</f>
        <v/>
      </c>
      <c r="C1884">
        <f>IF(ISBLANK('ENGAGEMENTS 2026'!B1884),"",'ENGAGEMENTS 2026'!D1884)</f>
        <v/>
      </c>
      <c r="D1884">
        <f>IF(ISBLANK('ENGAGEMENTS 2026'!B1884),"",'ENGAGEMENTS 2026'!F1884)</f>
        <v/>
      </c>
      <c r="E1884">
        <f>IF(ISBLANK('ENGAGEMENTS 2026'!B1884),"",'ENGAGEMENTS 2026'!H1884)</f>
        <v/>
      </c>
      <c r="F1884">
        <f>IF(ISBLANK('ENGAGEMENTS 2026'!B1884),"",'ENGAGEMENTS 2026'!I1884)</f>
        <v/>
      </c>
      <c r="G1884">
        <f>IF(ISBLANK('ENGAGEMENTS 2026'!B1884),"",'ENGAGEMENTS 2026'!L1884)</f>
        <v/>
      </c>
      <c r="H1884">
        <f>IF(ISBLANK('ENGAGEMENTS 2026'!B1884),"",'ENGAGEMENTS 2026'!AE1884)</f>
        <v/>
      </c>
      <c r="I1884">
        <f>IF(ISBLANK('ENGAGEMENTS 2026'!B1884),"",'ENGAGEMENTS 2026'!G1884)</f>
        <v/>
      </c>
      <c r="J1884" s="275">
        <f>IF(ISBLANK('ENGAGEMENTS 2026'!B1884),"",IF(AND(OR($E1884="INFRUCTUEUX",$E1884="ANNULE"),$C1884="AOO-M"),'ENGAGEMENTS 2026'!O1884,IF($H1884="EN COURS DE PREENGAGEMENT",'ENGAGEMENTS 2026'!N1884,IF($H1884="PREENGAGE",IF($E1884="ATTRIBUE",'ENGAGEMENTS 2026'!AD1884,'ENGAGEMENTS 2026'!N1884),'ENGAGEMENTS 2026'!AD1884))))</f>
        <v/>
      </c>
      <c r="K1884" s="604">
        <f>IF(ISBLANK('ENGAGEMENTS 2026'!V1884),"",'ENGAGEMENTS 2026'!V1884)</f>
        <v/>
      </c>
      <c r="L1884" s="276">
        <f>IF($K1884="","",TODAY()-$K1884)</f>
        <v/>
      </c>
      <c r="M1884">
        <f>IF($A1884="","",IF($H1884="ENGAGE","Engagé",IF(AND($H1884="NON ENGAGE",OR($I1884="INFRUCTUEUX",$I1884="ANNULE")),"Clôturé sans suite","En cours")))</f>
        <v/>
      </c>
      <c r="N1884">
        <f>IF(ISBLANK('ENGAGEMENTS 2026'!B1884),"",'ENGAGEMENTS 2026'!K1884)</f>
        <v/>
      </c>
      <c r="O1884">
        <f>IF(ISBLANK('ENGAGEMENTS 2026'!B1884),"",'ENGAGEMENTS 2026'!L1884)</f>
        <v/>
      </c>
      <c r="P1884">
        <f>IF(ISBLANK('ENGAGEMENTS 2026'!B1884),"",'ENGAGEMENTS 2026'!J1884)</f>
        <v/>
      </c>
      <c r="Q1884">
        <f>IF($A1884="","",IF(OR($E1884="INFRUCTUEUX",$E1884="ANNULE"),$A1884&amp;"|"&amp;(COUNTIFS($A$2:$A1884,$A1884,$E$2:$E1884,"INFRUCTUEUX")+COUNTIFS($A$2:$A1884,$A1884,$E$2:$E1884,"ANNULE")),""))</f>
        <v/>
      </c>
    </row>
    <row r="1885">
      <c r="A1885">
        <f>IF(ISBLANK('ENGAGEMENTS 2026'!B1885),"",IF('ENGAGEMENTS 2026'!B1885="DTSI","DCT",'ENGAGEMENTS 2026'!B1885))</f>
        <v/>
      </c>
      <c r="B1885">
        <f>IF(ISBLANK('ENGAGEMENTS 2026'!B1885),"",'ENGAGEMENTS 2026'!C1885)</f>
        <v/>
      </c>
      <c r="C1885">
        <f>IF(ISBLANK('ENGAGEMENTS 2026'!B1885),"",'ENGAGEMENTS 2026'!D1885)</f>
        <v/>
      </c>
      <c r="D1885">
        <f>IF(ISBLANK('ENGAGEMENTS 2026'!B1885),"",'ENGAGEMENTS 2026'!F1885)</f>
        <v/>
      </c>
      <c r="E1885">
        <f>IF(ISBLANK('ENGAGEMENTS 2026'!B1885),"",'ENGAGEMENTS 2026'!H1885)</f>
        <v/>
      </c>
      <c r="F1885">
        <f>IF(ISBLANK('ENGAGEMENTS 2026'!B1885),"",'ENGAGEMENTS 2026'!I1885)</f>
        <v/>
      </c>
      <c r="G1885">
        <f>IF(ISBLANK('ENGAGEMENTS 2026'!B1885),"",'ENGAGEMENTS 2026'!L1885)</f>
        <v/>
      </c>
      <c r="H1885">
        <f>IF(ISBLANK('ENGAGEMENTS 2026'!B1885),"",'ENGAGEMENTS 2026'!AE1885)</f>
        <v/>
      </c>
      <c r="I1885">
        <f>IF(ISBLANK('ENGAGEMENTS 2026'!B1885),"",'ENGAGEMENTS 2026'!G1885)</f>
        <v/>
      </c>
      <c r="J1885" s="275">
        <f>IF(ISBLANK('ENGAGEMENTS 2026'!B1885),"",IF(AND(OR($E1885="INFRUCTUEUX",$E1885="ANNULE"),$C1885="AOO-M"),'ENGAGEMENTS 2026'!O1885,IF($H1885="EN COURS DE PREENGAGEMENT",'ENGAGEMENTS 2026'!N1885,IF($H1885="PREENGAGE",IF($E1885="ATTRIBUE",'ENGAGEMENTS 2026'!AD1885,'ENGAGEMENTS 2026'!N1885),'ENGAGEMENTS 2026'!AD1885))))</f>
        <v/>
      </c>
      <c r="K1885" s="604">
        <f>IF(ISBLANK('ENGAGEMENTS 2026'!V1885),"",'ENGAGEMENTS 2026'!V1885)</f>
        <v/>
      </c>
      <c r="L1885" s="276">
        <f>IF($K1885="","",TODAY()-$K1885)</f>
        <v/>
      </c>
      <c r="M1885">
        <f>IF($A1885="","",IF($H1885="ENGAGE","Engagé",IF(AND($H1885="NON ENGAGE",OR($I1885="INFRUCTUEUX",$I1885="ANNULE")),"Clôturé sans suite","En cours")))</f>
        <v/>
      </c>
      <c r="N1885">
        <f>IF(ISBLANK('ENGAGEMENTS 2026'!B1885),"",'ENGAGEMENTS 2026'!K1885)</f>
        <v/>
      </c>
      <c r="O1885">
        <f>IF(ISBLANK('ENGAGEMENTS 2026'!B1885),"",'ENGAGEMENTS 2026'!L1885)</f>
        <v/>
      </c>
      <c r="P1885">
        <f>IF(ISBLANK('ENGAGEMENTS 2026'!B1885),"",'ENGAGEMENTS 2026'!J1885)</f>
        <v/>
      </c>
      <c r="Q1885">
        <f>IF($A1885="","",IF(OR($E1885="INFRUCTUEUX",$E1885="ANNULE"),$A1885&amp;"|"&amp;(COUNTIFS($A$2:$A1885,$A1885,$E$2:$E1885,"INFRUCTUEUX")+COUNTIFS($A$2:$A1885,$A1885,$E$2:$E1885,"ANNULE")),""))</f>
        <v/>
      </c>
    </row>
    <row r="1886">
      <c r="A1886">
        <f>IF(ISBLANK('ENGAGEMENTS 2026'!B1886),"",IF('ENGAGEMENTS 2026'!B1886="DTSI","DCT",'ENGAGEMENTS 2026'!B1886))</f>
        <v/>
      </c>
      <c r="B1886">
        <f>IF(ISBLANK('ENGAGEMENTS 2026'!B1886),"",'ENGAGEMENTS 2026'!C1886)</f>
        <v/>
      </c>
      <c r="C1886">
        <f>IF(ISBLANK('ENGAGEMENTS 2026'!B1886),"",'ENGAGEMENTS 2026'!D1886)</f>
        <v/>
      </c>
      <c r="D1886">
        <f>IF(ISBLANK('ENGAGEMENTS 2026'!B1886),"",'ENGAGEMENTS 2026'!F1886)</f>
        <v/>
      </c>
      <c r="E1886">
        <f>IF(ISBLANK('ENGAGEMENTS 2026'!B1886),"",'ENGAGEMENTS 2026'!H1886)</f>
        <v/>
      </c>
      <c r="F1886">
        <f>IF(ISBLANK('ENGAGEMENTS 2026'!B1886),"",'ENGAGEMENTS 2026'!I1886)</f>
        <v/>
      </c>
      <c r="G1886">
        <f>IF(ISBLANK('ENGAGEMENTS 2026'!B1886),"",'ENGAGEMENTS 2026'!L1886)</f>
        <v/>
      </c>
      <c r="H1886">
        <f>IF(ISBLANK('ENGAGEMENTS 2026'!B1886),"",'ENGAGEMENTS 2026'!AE1886)</f>
        <v/>
      </c>
      <c r="I1886">
        <f>IF(ISBLANK('ENGAGEMENTS 2026'!B1886),"",'ENGAGEMENTS 2026'!G1886)</f>
        <v/>
      </c>
      <c r="J1886" s="275">
        <f>IF(ISBLANK('ENGAGEMENTS 2026'!B1886),"",IF(AND(OR($E1886="INFRUCTUEUX",$E1886="ANNULE"),$C1886="AOO-M"),'ENGAGEMENTS 2026'!O1886,IF($H1886="EN COURS DE PREENGAGEMENT",'ENGAGEMENTS 2026'!N1886,IF($H1886="PREENGAGE",IF($E1886="ATTRIBUE",'ENGAGEMENTS 2026'!AD1886,'ENGAGEMENTS 2026'!N1886),'ENGAGEMENTS 2026'!AD1886))))</f>
        <v/>
      </c>
      <c r="K1886" s="604">
        <f>IF(ISBLANK('ENGAGEMENTS 2026'!V1886),"",'ENGAGEMENTS 2026'!V1886)</f>
        <v/>
      </c>
      <c r="L1886" s="276">
        <f>IF($K1886="","",TODAY()-$K1886)</f>
        <v/>
      </c>
      <c r="M1886">
        <f>IF($A1886="","",IF($H1886="ENGAGE","Engagé",IF(AND($H1886="NON ENGAGE",OR($I1886="INFRUCTUEUX",$I1886="ANNULE")),"Clôturé sans suite","En cours")))</f>
        <v/>
      </c>
      <c r="N1886">
        <f>IF(ISBLANK('ENGAGEMENTS 2026'!B1886),"",'ENGAGEMENTS 2026'!K1886)</f>
        <v/>
      </c>
      <c r="O1886">
        <f>IF(ISBLANK('ENGAGEMENTS 2026'!B1886),"",'ENGAGEMENTS 2026'!L1886)</f>
        <v/>
      </c>
      <c r="P1886">
        <f>IF(ISBLANK('ENGAGEMENTS 2026'!B1886),"",'ENGAGEMENTS 2026'!J1886)</f>
        <v/>
      </c>
      <c r="Q1886">
        <f>IF($A1886="","",IF(OR($E1886="INFRUCTUEUX",$E1886="ANNULE"),$A1886&amp;"|"&amp;(COUNTIFS($A$2:$A1886,$A1886,$E$2:$E1886,"INFRUCTUEUX")+COUNTIFS($A$2:$A1886,$A1886,$E$2:$E1886,"ANNULE")),""))</f>
        <v/>
      </c>
    </row>
    <row r="1887">
      <c r="A1887">
        <f>IF(ISBLANK('ENGAGEMENTS 2026'!B1887),"",IF('ENGAGEMENTS 2026'!B1887="DTSI","DCT",'ENGAGEMENTS 2026'!B1887))</f>
        <v/>
      </c>
      <c r="B1887">
        <f>IF(ISBLANK('ENGAGEMENTS 2026'!B1887),"",'ENGAGEMENTS 2026'!C1887)</f>
        <v/>
      </c>
      <c r="C1887">
        <f>IF(ISBLANK('ENGAGEMENTS 2026'!B1887),"",'ENGAGEMENTS 2026'!D1887)</f>
        <v/>
      </c>
      <c r="D1887">
        <f>IF(ISBLANK('ENGAGEMENTS 2026'!B1887),"",'ENGAGEMENTS 2026'!F1887)</f>
        <v/>
      </c>
      <c r="E1887">
        <f>IF(ISBLANK('ENGAGEMENTS 2026'!B1887),"",'ENGAGEMENTS 2026'!H1887)</f>
        <v/>
      </c>
      <c r="F1887">
        <f>IF(ISBLANK('ENGAGEMENTS 2026'!B1887),"",'ENGAGEMENTS 2026'!I1887)</f>
        <v/>
      </c>
      <c r="G1887">
        <f>IF(ISBLANK('ENGAGEMENTS 2026'!B1887),"",'ENGAGEMENTS 2026'!L1887)</f>
        <v/>
      </c>
      <c r="H1887">
        <f>IF(ISBLANK('ENGAGEMENTS 2026'!B1887),"",'ENGAGEMENTS 2026'!AE1887)</f>
        <v/>
      </c>
      <c r="I1887">
        <f>IF(ISBLANK('ENGAGEMENTS 2026'!B1887),"",'ENGAGEMENTS 2026'!G1887)</f>
        <v/>
      </c>
      <c r="J1887" s="275">
        <f>IF(ISBLANK('ENGAGEMENTS 2026'!B1887),"",IF(AND(OR($E1887="INFRUCTUEUX",$E1887="ANNULE"),$C1887="AOO-M"),'ENGAGEMENTS 2026'!O1887,IF($H1887="EN COURS DE PREENGAGEMENT",'ENGAGEMENTS 2026'!N1887,IF($H1887="PREENGAGE",IF($E1887="ATTRIBUE",'ENGAGEMENTS 2026'!AD1887,'ENGAGEMENTS 2026'!N1887),'ENGAGEMENTS 2026'!AD1887))))</f>
        <v/>
      </c>
      <c r="K1887" s="604">
        <f>IF(ISBLANK('ENGAGEMENTS 2026'!V1887),"",'ENGAGEMENTS 2026'!V1887)</f>
        <v/>
      </c>
      <c r="L1887" s="276">
        <f>IF($K1887="","",TODAY()-$K1887)</f>
        <v/>
      </c>
      <c r="M1887">
        <f>IF($A1887="","",IF($H1887="ENGAGE","Engagé",IF(AND($H1887="NON ENGAGE",OR($I1887="INFRUCTUEUX",$I1887="ANNULE")),"Clôturé sans suite","En cours")))</f>
        <v/>
      </c>
      <c r="N1887">
        <f>IF(ISBLANK('ENGAGEMENTS 2026'!B1887),"",'ENGAGEMENTS 2026'!K1887)</f>
        <v/>
      </c>
      <c r="O1887">
        <f>IF(ISBLANK('ENGAGEMENTS 2026'!B1887),"",'ENGAGEMENTS 2026'!L1887)</f>
        <v/>
      </c>
      <c r="P1887">
        <f>IF(ISBLANK('ENGAGEMENTS 2026'!B1887),"",'ENGAGEMENTS 2026'!J1887)</f>
        <v/>
      </c>
      <c r="Q1887">
        <f>IF($A1887="","",IF(OR($E1887="INFRUCTUEUX",$E1887="ANNULE"),$A1887&amp;"|"&amp;(COUNTIFS($A$2:$A1887,$A1887,$E$2:$E1887,"INFRUCTUEUX")+COUNTIFS($A$2:$A1887,$A1887,$E$2:$E1887,"ANNULE")),""))</f>
        <v/>
      </c>
    </row>
    <row r="1888">
      <c r="A1888">
        <f>IF(ISBLANK('ENGAGEMENTS 2026'!B1888),"",IF('ENGAGEMENTS 2026'!B1888="DTSI","DCT",'ENGAGEMENTS 2026'!B1888))</f>
        <v/>
      </c>
      <c r="B1888">
        <f>IF(ISBLANK('ENGAGEMENTS 2026'!B1888),"",'ENGAGEMENTS 2026'!C1888)</f>
        <v/>
      </c>
      <c r="C1888">
        <f>IF(ISBLANK('ENGAGEMENTS 2026'!B1888),"",'ENGAGEMENTS 2026'!D1888)</f>
        <v/>
      </c>
      <c r="D1888">
        <f>IF(ISBLANK('ENGAGEMENTS 2026'!B1888),"",'ENGAGEMENTS 2026'!F1888)</f>
        <v/>
      </c>
      <c r="E1888">
        <f>IF(ISBLANK('ENGAGEMENTS 2026'!B1888),"",'ENGAGEMENTS 2026'!H1888)</f>
        <v/>
      </c>
      <c r="F1888">
        <f>IF(ISBLANK('ENGAGEMENTS 2026'!B1888),"",'ENGAGEMENTS 2026'!I1888)</f>
        <v/>
      </c>
      <c r="G1888">
        <f>IF(ISBLANK('ENGAGEMENTS 2026'!B1888),"",'ENGAGEMENTS 2026'!L1888)</f>
        <v/>
      </c>
      <c r="H1888">
        <f>IF(ISBLANK('ENGAGEMENTS 2026'!B1888),"",'ENGAGEMENTS 2026'!AE1888)</f>
        <v/>
      </c>
      <c r="I1888">
        <f>IF(ISBLANK('ENGAGEMENTS 2026'!B1888),"",'ENGAGEMENTS 2026'!G1888)</f>
        <v/>
      </c>
      <c r="J1888" s="275">
        <f>IF(ISBLANK('ENGAGEMENTS 2026'!B1888),"",IF(AND(OR($E1888="INFRUCTUEUX",$E1888="ANNULE"),$C1888="AOO-M"),'ENGAGEMENTS 2026'!O1888,IF($H1888="EN COURS DE PREENGAGEMENT",'ENGAGEMENTS 2026'!N1888,IF($H1888="PREENGAGE",IF($E1888="ATTRIBUE",'ENGAGEMENTS 2026'!AD1888,'ENGAGEMENTS 2026'!N1888),'ENGAGEMENTS 2026'!AD1888))))</f>
        <v/>
      </c>
      <c r="K1888" s="604">
        <f>IF(ISBLANK('ENGAGEMENTS 2026'!V1888),"",'ENGAGEMENTS 2026'!V1888)</f>
        <v/>
      </c>
      <c r="L1888" s="276">
        <f>IF($K1888="","",TODAY()-$K1888)</f>
        <v/>
      </c>
      <c r="M1888">
        <f>IF($A1888="","",IF($H1888="ENGAGE","Engagé",IF(AND($H1888="NON ENGAGE",OR($I1888="INFRUCTUEUX",$I1888="ANNULE")),"Clôturé sans suite","En cours")))</f>
        <v/>
      </c>
      <c r="N1888">
        <f>IF(ISBLANK('ENGAGEMENTS 2026'!B1888),"",'ENGAGEMENTS 2026'!K1888)</f>
        <v/>
      </c>
      <c r="O1888">
        <f>IF(ISBLANK('ENGAGEMENTS 2026'!B1888),"",'ENGAGEMENTS 2026'!L1888)</f>
        <v/>
      </c>
      <c r="P1888">
        <f>IF(ISBLANK('ENGAGEMENTS 2026'!B1888),"",'ENGAGEMENTS 2026'!J1888)</f>
        <v/>
      </c>
      <c r="Q1888">
        <f>IF($A1888="","",IF(OR($E1888="INFRUCTUEUX",$E1888="ANNULE"),$A1888&amp;"|"&amp;(COUNTIFS($A$2:$A1888,$A1888,$E$2:$E1888,"INFRUCTUEUX")+COUNTIFS($A$2:$A1888,$A1888,$E$2:$E1888,"ANNULE")),""))</f>
        <v/>
      </c>
    </row>
    <row r="1889">
      <c r="A1889">
        <f>IF(ISBLANK('ENGAGEMENTS 2026'!B1889),"",IF('ENGAGEMENTS 2026'!B1889="DTSI","DCT",'ENGAGEMENTS 2026'!B1889))</f>
        <v/>
      </c>
      <c r="B1889">
        <f>IF(ISBLANK('ENGAGEMENTS 2026'!B1889),"",'ENGAGEMENTS 2026'!C1889)</f>
        <v/>
      </c>
      <c r="C1889">
        <f>IF(ISBLANK('ENGAGEMENTS 2026'!B1889),"",'ENGAGEMENTS 2026'!D1889)</f>
        <v/>
      </c>
      <c r="D1889">
        <f>IF(ISBLANK('ENGAGEMENTS 2026'!B1889),"",'ENGAGEMENTS 2026'!F1889)</f>
        <v/>
      </c>
      <c r="E1889">
        <f>IF(ISBLANK('ENGAGEMENTS 2026'!B1889),"",'ENGAGEMENTS 2026'!H1889)</f>
        <v/>
      </c>
      <c r="F1889">
        <f>IF(ISBLANK('ENGAGEMENTS 2026'!B1889),"",'ENGAGEMENTS 2026'!I1889)</f>
        <v/>
      </c>
      <c r="G1889">
        <f>IF(ISBLANK('ENGAGEMENTS 2026'!B1889),"",'ENGAGEMENTS 2026'!L1889)</f>
        <v/>
      </c>
      <c r="H1889">
        <f>IF(ISBLANK('ENGAGEMENTS 2026'!B1889),"",'ENGAGEMENTS 2026'!AE1889)</f>
        <v/>
      </c>
      <c r="I1889">
        <f>IF(ISBLANK('ENGAGEMENTS 2026'!B1889),"",'ENGAGEMENTS 2026'!G1889)</f>
        <v/>
      </c>
      <c r="J1889" s="275">
        <f>IF(ISBLANK('ENGAGEMENTS 2026'!B1889),"",IF(AND(OR($E1889="INFRUCTUEUX",$E1889="ANNULE"),$C1889="AOO-M"),'ENGAGEMENTS 2026'!O1889,IF($H1889="EN COURS DE PREENGAGEMENT",'ENGAGEMENTS 2026'!N1889,IF($H1889="PREENGAGE",IF($E1889="ATTRIBUE",'ENGAGEMENTS 2026'!AD1889,'ENGAGEMENTS 2026'!N1889),'ENGAGEMENTS 2026'!AD1889))))</f>
        <v/>
      </c>
      <c r="K1889" s="604">
        <f>IF(ISBLANK('ENGAGEMENTS 2026'!V1889),"",'ENGAGEMENTS 2026'!V1889)</f>
        <v/>
      </c>
      <c r="L1889" s="276">
        <f>IF($K1889="","",TODAY()-$K1889)</f>
        <v/>
      </c>
      <c r="M1889">
        <f>IF($A1889="","",IF($H1889="ENGAGE","Engagé",IF(AND($H1889="NON ENGAGE",OR($I1889="INFRUCTUEUX",$I1889="ANNULE")),"Clôturé sans suite","En cours")))</f>
        <v/>
      </c>
      <c r="N1889">
        <f>IF(ISBLANK('ENGAGEMENTS 2026'!B1889),"",'ENGAGEMENTS 2026'!K1889)</f>
        <v/>
      </c>
      <c r="O1889">
        <f>IF(ISBLANK('ENGAGEMENTS 2026'!B1889),"",'ENGAGEMENTS 2026'!L1889)</f>
        <v/>
      </c>
      <c r="P1889">
        <f>IF(ISBLANK('ENGAGEMENTS 2026'!B1889),"",'ENGAGEMENTS 2026'!J1889)</f>
        <v/>
      </c>
      <c r="Q1889">
        <f>IF($A1889="","",IF(OR($E1889="INFRUCTUEUX",$E1889="ANNULE"),$A1889&amp;"|"&amp;(COUNTIFS($A$2:$A1889,$A1889,$E$2:$E1889,"INFRUCTUEUX")+COUNTIFS($A$2:$A1889,$A1889,$E$2:$E1889,"ANNULE")),""))</f>
        <v/>
      </c>
    </row>
    <row r="1890">
      <c r="A1890">
        <f>IF(ISBLANK('ENGAGEMENTS 2026'!B1890),"",IF('ENGAGEMENTS 2026'!B1890="DTSI","DCT",'ENGAGEMENTS 2026'!B1890))</f>
        <v/>
      </c>
      <c r="B1890">
        <f>IF(ISBLANK('ENGAGEMENTS 2026'!B1890),"",'ENGAGEMENTS 2026'!C1890)</f>
        <v/>
      </c>
      <c r="C1890">
        <f>IF(ISBLANK('ENGAGEMENTS 2026'!B1890),"",'ENGAGEMENTS 2026'!D1890)</f>
        <v/>
      </c>
      <c r="D1890">
        <f>IF(ISBLANK('ENGAGEMENTS 2026'!B1890),"",'ENGAGEMENTS 2026'!F1890)</f>
        <v/>
      </c>
      <c r="E1890">
        <f>IF(ISBLANK('ENGAGEMENTS 2026'!B1890),"",'ENGAGEMENTS 2026'!H1890)</f>
        <v/>
      </c>
      <c r="F1890">
        <f>IF(ISBLANK('ENGAGEMENTS 2026'!B1890),"",'ENGAGEMENTS 2026'!I1890)</f>
        <v/>
      </c>
      <c r="G1890">
        <f>IF(ISBLANK('ENGAGEMENTS 2026'!B1890),"",'ENGAGEMENTS 2026'!L1890)</f>
        <v/>
      </c>
      <c r="H1890">
        <f>IF(ISBLANK('ENGAGEMENTS 2026'!B1890),"",'ENGAGEMENTS 2026'!AE1890)</f>
        <v/>
      </c>
      <c r="I1890">
        <f>IF(ISBLANK('ENGAGEMENTS 2026'!B1890),"",'ENGAGEMENTS 2026'!G1890)</f>
        <v/>
      </c>
      <c r="J1890" s="275">
        <f>IF(ISBLANK('ENGAGEMENTS 2026'!B1890),"",IF(AND(OR($E1890="INFRUCTUEUX",$E1890="ANNULE"),$C1890="AOO-M"),'ENGAGEMENTS 2026'!O1890,IF($H1890="EN COURS DE PREENGAGEMENT",'ENGAGEMENTS 2026'!N1890,IF($H1890="PREENGAGE",IF($E1890="ATTRIBUE",'ENGAGEMENTS 2026'!AD1890,'ENGAGEMENTS 2026'!N1890),'ENGAGEMENTS 2026'!AD1890))))</f>
        <v/>
      </c>
      <c r="K1890" s="604">
        <f>IF(ISBLANK('ENGAGEMENTS 2026'!V1890),"",'ENGAGEMENTS 2026'!V1890)</f>
        <v/>
      </c>
      <c r="L1890" s="276">
        <f>IF($K1890="","",TODAY()-$K1890)</f>
        <v/>
      </c>
      <c r="M1890">
        <f>IF($A1890="","",IF($H1890="ENGAGE","Engagé",IF(AND($H1890="NON ENGAGE",OR($I1890="INFRUCTUEUX",$I1890="ANNULE")),"Clôturé sans suite","En cours")))</f>
        <v/>
      </c>
      <c r="N1890">
        <f>IF(ISBLANK('ENGAGEMENTS 2026'!B1890),"",'ENGAGEMENTS 2026'!K1890)</f>
        <v/>
      </c>
      <c r="O1890">
        <f>IF(ISBLANK('ENGAGEMENTS 2026'!B1890),"",'ENGAGEMENTS 2026'!L1890)</f>
        <v/>
      </c>
      <c r="P1890">
        <f>IF(ISBLANK('ENGAGEMENTS 2026'!B1890),"",'ENGAGEMENTS 2026'!J1890)</f>
        <v/>
      </c>
      <c r="Q1890">
        <f>IF($A1890="","",IF(OR($E1890="INFRUCTUEUX",$E1890="ANNULE"),$A1890&amp;"|"&amp;(COUNTIFS($A$2:$A1890,$A1890,$E$2:$E1890,"INFRUCTUEUX")+COUNTIFS($A$2:$A1890,$A1890,$E$2:$E1890,"ANNULE")),""))</f>
        <v/>
      </c>
    </row>
    <row r="1891">
      <c r="A1891">
        <f>IF(ISBLANK('ENGAGEMENTS 2026'!B1891),"",IF('ENGAGEMENTS 2026'!B1891="DTSI","DCT",'ENGAGEMENTS 2026'!B1891))</f>
        <v/>
      </c>
      <c r="B1891">
        <f>IF(ISBLANK('ENGAGEMENTS 2026'!B1891),"",'ENGAGEMENTS 2026'!C1891)</f>
        <v/>
      </c>
      <c r="C1891">
        <f>IF(ISBLANK('ENGAGEMENTS 2026'!B1891),"",'ENGAGEMENTS 2026'!D1891)</f>
        <v/>
      </c>
      <c r="D1891">
        <f>IF(ISBLANK('ENGAGEMENTS 2026'!B1891),"",'ENGAGEMENTS 2026'!F1891)</f>
        <v/>
      </c>
      <c r="E1891">
        <f>IF(ISBLANK('ENGAGEMENTS 2026'!B1891),"",'ENGAGEMENTS 2026'!H1891)</f>
        <v/>
      </c>
      <c r="F1891">
        <f>IF(ISBLANK('ENGAGEMENTS 2026'!B1891),"",'ENGAGEMENTS 2026'!I1891)</f>
        <v/>
      </c>
      <c r="G1891">
        <f>IF(ISBLANK('ENGAGEMENTS 2026'!B1891),"",'ENGAGEMENTS 2026'!L1891)</f>
        <v/>
      </c>
      <c r="H1891">
        <f>IF(ISBLANK('ENGAGEMENTS 2026'!B1891),"",'ENGAGEMENTS 2026'!AE1891)</f>
        <v/>
      </c>
      <c r="I1891">
        <f>IF(ISBLANK('ENGAGEMENTS 2026'!B1891),"",'ENGAGEMENTS 2026'!G1891)</f>
        <v/>
      </c>
      <c r="J1891" s="275">
        <f>IF(ISBLANK('ENGAGEMENTS 2026'!B1891),"",IF(AND(OR($E1891="INFRUCTUEUX",$E1891="ANNULE"),$C1891="AOO-M"),'ENGAGEMENTS 2026'!O1891,IF($H1891="EN COURS DE PREENGAGEMENT",'ENGAGEMENTS 2026'!N1891,IF($H1891="PREENGAGE",IF($E1891="ATTRIBUE",'ENGAGEMENTS 2026'!AD1891,'ENGAGEMENTS 2026'!N1891),'ENGAGEMENTS 2026'!AD1891))))</f>
        <v/>
      </c>
      <c r="K1891" s="604">
        <f>IF(ISBLANK('ENGAGEMENTS 2026'!V1891),"",'ENGAGEMENTS 2026'!V1891)</f>
        <v/>
      </c>
      <c r="L1891" s="276">
        <f>IF($K1891="","",TODAY()-$K1891)</f>
        <v/>
      </c>
      <c r="M1891">
        <f>IF($A1891="","",IF($H1891="ENGAGE","Engagé",IF(AND($H1891="NON ENGAGE",OR($I1891="INFRUCTUEUX",$I1891="ANNULE")),"Clôturé sans suite","En cours")))</f>
        <v/>
      </c>
      <c r="N1891">
        <f>IF(ISBLANK('ENGAGEMENTS 2026'!B1891),"",'ENGAGEMENTS 2026'!K1891)</f>
        <v/>
      </c>
      <c r="O1891">
        <f>IF(ISBLANK('ENGAGEMENTS 2026'!B1891),"",'ENGAGEMENTS 2026'!L1891)</f>
        <v/>
      </c>
      <c r="P1891">
        <f>IF(ISBLANK('ENGAGEMENTS 2026'!B1891),"",'ENGAGEMENTS 2026'!J1891)</f>
        <v/>
      </c>
      <c r="Q1891">
        <f>IF($A1891="","",IF(OR($E1891="INFRUCTUEUX",$E1891="ANNULE"),$A1891&amp;"|"&amp;(COUNTIFS($A$2:$A1891,$A1891,$E$2:$E1891,"INFRUCTUEUX")+COUNTIFS($A$2:$A1891,$A1891,$E$2:$E1891,"ANNULE")),""))</f>
        <v/>
      </c>
    </row>
    <row r="1892">
      <c r="A1892">
        <f>IF(ISBLANK('ENGAGEMENTS 2026'!B1892),"",IF('ENGAGEMENTS 2026'!B1892="DTSI","DCT",'ENGAGEMENTS 2026'!B1892))</f>
        <v/>
      </c>
      <c r="B1892">
        <f>IF(ISBLANK('ENGAGEMENTS 2026'!B1892),"",'ENGAGEMENTS 2026'!C1892)</f>
        <v/>
      </c>
      <c r="C1892">
        <f>IF(ISBLANK('ENGAGEMENTS 2026'!B1892),"",'ENGAGEMENTS 2026'!D1892)</f>
        <v/>
      </c>
      <c r="D1892">
        <f>IF(ISBLANK('ENGAGEMENTS 2026'!B1892),"",'ENGAGEMENTS 2026'!F1892)</f>
        <v/>
      </c>
      <c r="E1892">
        <f>IF(ISBLANK('ENGAGEMENTS 2026'!B1892),"",'ENGAGEMENTS 2026'!H1892)</f>
        <v/>
      </c>
      <c r="F1892">
        <f>IF(ISBLANK('ENGAGEMENTS 2026'!B1892),"",'ENGAGEMENTS 2026'!I1892)</f>
        <v/>
      </c>
      <c r="G1892">
        <f>IF(ISBLANK('ENGAGEMENTS 2026'!B1892),"",'ENGAGEMENTS 2026'!L1892)</f>
        <v/>
      </c>
      <c r="H1892">
        <f>IF(ISBLANK('ENGAGEMENTS 2026'!B1892),"",'ENGAGEMENTS 2026'!AE1892)</f>
        <v/>
      </c>
      <c r="I1892">
        <f>IF(ISBLANK('ENGAGEMENTS 2026'!B1892),"",'ENGAGEMENTS 2026'!G1892)</f>
        <v/>
      </c>
      <c r="J1892" s="275">
        <f>IF(ISBLANK('ENGAGEMENTS 2026'!B1892),"",IF(AND(OR($E1892="INFRUCTUEUX",$E1892="ANNULE"),$C1892="AOO-M"),'ENGAGEMENTS 2026'!O1892,IF($H1892="EN COURS DE PREENGAGEMENT",'ENGAGEMENTS 2026'!N1892,IF($H1892="PREENGAGE",IF($E1892="ATTRIBUE",'ENGAGEMENTS 2026'!AD1892,'ENGAGEMENTS 2026'!N1892),'ENGAGEMENTS 2026'!AD1892))))</f>
        <v/>
      </c>
      <c r="K1892" s="604">
        <f>IF(ISBLANK('ENGAGEMENTS 2026'!V1892),"",'ENGAGEMENTS 2026'!V1892)</f>
        <v/>
      </c>
      <c r="L1892" s="276">
        <f>IF($K1892="","",TODAY()-$K1892)</f>
        <v/>
      </c>
      <c r="M1892">
        <f>IF($A1892="","",IF($H1892="ENGAGE","Engagé",IF(AND($H1892="NON ENGAGE",OR($I1892="INFRUCTUEUX",$I1892="ANNULE")),"Clôturé sans suite","En cours")))</f>
        <v/>
      </c>
      <c r="N1892">
        <f>IF(ISBLANK('ENGAGEMENTS 2026'!B1892),"",'ENGAGEMENTS 2026'!K1892)</f>
        <v/>
      </c>
      <c r="O1892">
        <f>IF(ISBLANK('ENGAGEMENTS 2026'!B1892),"",'ENGAGEMENTS 2026'!L1892)</f>
        <v/>
      </c>
      <c r="P1892">
        <f>IF(ISBLANK('ENGAGEMENTS 2026'!B1892),"",'ENGAGEMENTS 2026'!J1892)</f>
        <v/>
      </c>
      <c r="Q1892">
        <f>IF($A1892="","",IF(OR($E1892="INFRUCTUEUX",$E1892="ANNULE"),$A1892&amp;"|"&amp;(COUNTIFS($A$2:$A1892,$A1892,$E$2:$E1892,"INFRUCTUEUX")+COUNTIFS($A$2:$A1892,$A1892,$E$2:$E1892,"ANNULE")),""))</f>
        <v/>
      </c>
    </row>
    <row r="1893">
      <c r="A1893">
        <f>IF(ISBLANK('ENGAGEMENTS 2026'!B1893),"",IF('ENGAGEMENTS 2026'!B1893="DTSI","DCT",'ENGAGEMENTS 2026'!B1893))</f>
        <v/>
      </c>
      <c r="B1893">
        <f>IF(ISBLANK('ENGAGEMENTS 2026'!B1893),"",'ENGAGEMENTS 2026'!C1893)</f>
        <v/>
      </c>
      <c r="C1893">
        <f>IF(ISBLANK('ENGAGEMENTS 2026'!B1893),"",'ENGAGEMENTS 2026'!D1893)</f>
        <v/>
      </c>
      <c r="D1893">
        <f>IF(ISBLANK('ENGAGEMENTS 2026'!B1893),"",'ENGAGEMENTS 2026'!F1893)</f>
        <v/>
      </c>
      <c r="E1893">
        <f>IF(ISBLANK('ENGAGEMENTS 2026'!B1893),"",'ENGAGEMENTS 2026'!H1893)</f>
        <v/>
      </c>
      <c r="F1893">
        <f>IF(ISBLANK('ENGAGEMENTS 2026'!B1893),"",'ENGAGEMENTS 2026'!I1893)</f>
        <v/>
      </c>
      <c r="G1893">
        <f>IF(ISBLANK('ENGAGEMENTS 2026'!B1893),"",'ENGAGEMENTS 2026'!L1893)</f>
        <v/>
      </c>
      <c r="H1893">
        <f>IF(ISBLANK('ENGAGEMENTS 2026'!B1893),"",'ENGAGEMENTS 2026'!AE1893)</f>
        <v/>
      </c>
      <c r="I1893">
        <f>IF(ISBLANK('ENGAGEMENTS 2026'!B1893),"",'ENGAGEMENTS 2026'!G1893)</f>
        <v/>
      </c>
      <c r="J1893" s="275">
        <f>IF(ISBLANK('ENGAGEMENTS 2026'!B1893),"",IF(AND(OR($E1893="INFRUCTUEUX",$E1893="ANNULE"),$C1893="AOO-M"),'ENGAGEMENTS 2026'!O1893,IF($H1893="EN COURS DE PREENGAGEMENT",'ENGAGEMENTS 2026'!N1893,IF($H1893="PREENGAGE",IF($E1893="ATTRIBUE",'ENGAGEMENTS 2026'!AD1893,'ENGAGEMENTS 2026'!N1893),'ENGAGEMENTS 2026'!AD1893))))</f>
        <v/>
      </c>
      <c r="K1893" s="604">
        <f>IF(ISBLANK('ENGAGEMENTS 2026'!V1893),"",'ENGAGEMENTS 2026'!V1893)</f>
        <v/>
      </c>
      <c r="L1893" s="276">
        <f>IF($K1893="","",TODAY()-$K1893)</f>
        <v/>
      </c>
      <c r="M1893">
        <f>IF($A1893="","",IF($H1893="ENGAGE","Engagé",IF(AND($H1893="NON ENGAGE",OR($I1893="INFRUCTUEUX",$I1893="ANNULE")),"Clôturé sans suite","En cours")))</f>
        <v/>
      </c>
      <c r="N1893">
        <f>IF(ISBLANK('ENGAGEMENTS 2026'!B1893),"",'ENGAGEMENTS 2026'!K1893)</f>
        <v/>
      </c>
      <c r="O1893">
        <f>IF(ISBLANK('ENGAGEMENTS 2026'!B1893),"",'ENGAGEMENTS 2026'!L1893)</f>
        <v/>
      </c>
      <c r="P1893">
        <f>IF(ISBLANK('ENGAGEMENTS 2026'!B1893),"",'ENGAGEMENTS 2026'!J1893)</f>
        <v/>
      </c>
      <c r="Q1893">
        <f>IF($A1893="","",IF(OR($E1893="INFRUCTUEUX",$E1893="ANNULE"),$A1893&amp;"|"&amp;(COUNTIFS($A$2:$A1893,$A1893,$E$2:$E1893,"INFRUCTUEUX")+COUNTIFS($A$2:$A1893,$A1893,$E$2:$E1893,"ANNULE")),""))</f>
        <v/>
      </c>
    </row>
    <row r="1894">
      <c r="A1894">
        <f>IF(ISBLANK('ENGAGEMENTS 2026'!B1894),"",IF('ENGAGEMENTS 2026'!B1894="DTSI","DCT",'ENGAGEMENTS 2026'!B1894))</f>
        <v/>
      </c>
      <c r="B1894">
        <f>IF(ISBLANK('ENGAGEMENTS 2026'!B1894),"",'ENGAGEMENTS 2026'!C1894)</f>
        <v/>
      </c>
      <c r="C1894">
        <f>IF(ISBLANK('ENGAGEMENTS 2026'!B1894),"",'ENGAGEMENTS 2026'!D1894)</f>
        <v/>
      </c>
      <c r="D1894">
        <f>IF(ISBLANK('ENGAGEMENTS 2026'!B1894),"",'ENGAGEMENTS 2026'!F1894)</f>
        <v/>
      </c>
      <c r="E1894">
        <f>IF(ISBLANK('ENGAGEMENTS 2026'!B1894),"",'ENGAGEMENTS 2026'!H1894)</f>
        <v/>
      </c>
      <c r="F1894">
        <f>IF(ISBLANK('ENGAGEMENTS 2026'!B1894),"",'ENGAGEMENTS 2026'!I1894)</f>
        <v/>
      </c>
      <c r="G1894">
        <f>IF(ISBLANK('ENGAGEMENTS 2026'!B1894),"",'ENGAGEMENTS 2026'!L1894)</f>
        <v/>
      </c>
      <c r="H1894">
        <f>IF(ISBLANK('ENGAGEMENTS 2026'!B1894),"",'ENGAGEMENTS 2026'!AE1894)</f>
        <v/>
      </c>
      <c r="I1894">
        <f>IF(ISBLANK('ENGAGEMENTS 2026'!B1894),"",'ENGAGEMENTS 2026'!G1894)</f>
        <v/>
      </c>
      <c r="J1894" s="275">
        <f>IF(ISBLANK('ENGAGEMENTS 2026'!B1894),"",IF(AND(OR($E1894="INFRUCTUEUX",$E1894="ANNULE"),$C1894="AOO-M"),'ENGAGEMENTS 2026'!O1894,IF($H1894="EN COURS DE PREENGAGEMENT",'ENGAGEMENTS 2026'!N1894,IF($H1894="PREENGAGE",IF($E1894="ATTRIBUE",'ENGAGEMENTS 2026'!AD1894,'ENGAGEMENTS 2026'!N1894),'ENGAGEMENTS 2026'!AD1894))))</f>
        <v/>
      </c>
      <c r="K1894" s="604">
        <f>IF(ISBLANK('ENGAGEMENTS 2026'!V1894),"",'ENGAGEMENTS 2026'!V1894)</f>
        <v/>
      </c>
      <c r="L1894" s="276">
        <f>IF($K1894="","",TODAY()-$K1894)</f>
        <v/>
      </c>
      <c r="M1894">
        <f>IF($A1894="","",IF($H1894="ENGAGE","Engagé",IF(AND($H1894="NON ENGAGE",OR($I1894="INFRUCTUEUX",$I1894="ANNULE")),"Clôturé sans suite","En cours")))</f>
        <v/>
      </c>
      <c r="N1894">
        <f>IF(ISBLANK('ENGAGEMENTS 2026'!B1894),"",'ENGAGEMENTS 2026'!K1894)</f>
        <v/>
      </c>
      <c r="O1894">
        <f>IF(ISBLANK('ENGAGEMENTS 2026'!B1894),"",'ENGAGEMENTS 2026'!L1894)</f>
        <v/>
      </c>
      <c r="P1894">
        <f>IF(ISBLANK('ENGAGEMENTS 2026'!B1894),"",'ENGAGEMENTS 2026'!J1894)</f>
        <v/>
      </c>
      <c r="Q1894">
        <f>IF($A1894="","",IF(OR($E1894="INFRUCTUEUX",$E1894="ANNULE"),$A1894&amp;"|"&amp;(COUNTIFS($A$2:$A1894,$A1894,$E$2:$E1894,"INFRUCTUEUX")+COUNTIFS($A$2:$A1894,$A1894,$E$2:$E1894,"ANNULE")),""))</f>
        <v/>
      </c>
    </row>
    <row r="1895">
      <c r="A1895">
        <f>IF(ISBLANK('ENGAGEMENTS 2026'!B1895),"",IF('ENGAGEMENTS 2026'!B1895="DTSI","DCT",'ENGAGEMENTS 2026'!B1895))</f>
        <v/>
      </c>
      <c r="B1895">
        <f>IF(ISBLANK('ENGAGEMENTS 2026'!B1895),"",'ENGAGEMENTS 2026'!C1895)</f>
        <v/>
      </c>
      <c r="C1895">
        <f>IF(ISBLANK('ENGAGEMENTS 2026'!B1895),"",'ENGAGEMENTS 2026'!D1895)</f>
        <v/>
      </c>
      <c r="D1895">
        <f>IF(ISBLANK('ENGAGEMENTS 2026'!B1895),"",'ENGAGEMENTS 2026'!F1895)</f>
        <v/>
      </c>
      <c r="E1895">
        <f>IF(ISBLANK('ENGAGEMENTS 2026'!B1895),"",'ENGAGEMENTS 2026'!H1895)</f>
        <v/>
      </c>
      <c r="F1895">
        <f>IF(ISBLANK('ENGAGEMENTS 2026'!B1895),"",'ENGAGEMENTS 2026'!I1895)</f>
        <v/>
      </c>
      <c r="G1895">
        <f>IF(ISBLANK('ENGAGEMENTS 2026'!B1895),"",'ENGAGEMENTS 2026'!L1895)</f>
        <v/>
      </c>
      <c r="H1895">
        <f>IF(ISBLANK('ENGAGEMENTS 2026'!B1895),"",'ENGAGEMENTS 2026'!AE1895)</f>
        <v/>
      </c>
      <c r="I1895">
        <f>IF(ISBLANK('ENGAGEMENTS 2026'!B1895),"",'ENGAGEMENTS 2026'!G1895)</f>
        <v/>
      </c>
      <c r="J1895" s="275">
        <f>IF(ISBLANK('ENGAGEMENTS 2026'!B1895),"",IF(AND(OR($E1895="INFRUCTUEUX",$E1895="ANNULE"),$C1895="AOO-M"),'ENGAGEMENTS 2026'!O1895,IF($H1895="EN COURS DE PREENGAGEMENT",'ENGAGEMENTS 2026'!N1895,IF($H1895="PREENGAGE",IF($E1895="ATTRIBUE",'ENGAGEMENTS 2026'!AD1895,'ENGAGEMENTS 2026'!N1895),'ENGAGEMENTS 2026'!AD1895))))</f>
        <v/>
      </c>
      <c r="K1895" s="604">
        <f>IF(ISBLANK('ENGAGEMENTS 2026'!V1895),"",'ENGAGEMENTS 2026'!V1895)</f>
        <v/>
      </c>
      <c r="L1895" s="276">
        <f>IF($K1895="","",TODAY()-$K1895)</f>
        <v/>
      </c>
      <c r="M1895">
        <f>IF($A1895="","",IF($H1895="ENGAGE","Engagé",IF(AND($H1895="NON ENGAGE",OR($I1895="INFRUCTUEUX",$I1895="ANNULE")),"Clôturé sans suite","En cours")))</f>
        <v/>
      </c>
      <c r="N1895">
        <f>IF(ISBLANK('ENGAGEMENTS 2026'!B1895),"",'ENGAGEMENTS 2026'!K1895)</f>
        <v/>
      </c>
      <c r="O1895">
        <f>IF(ISBLANK('ENGAGEMENTS 2026'!B1895),"",'ENGAGEMENTS 2026'!L1895)</f>
        <v/>
      </c>
      <c r="P1895">
        <f>IF(ISBLANK('ENGAGEMENTS 2026'!B1895),"",'ENGAGEMENTS 2026'!J1895)</f>
        <v/>
      </c>
      <c r="Q1895">
        <f>IF($A1895="","",IF(OR($E1895="INFRUCTUEUX",$E1895="ANNULE"),$A1895&amp;"|"&amp;(COUNTIFS($A$2:$A1895,$A1895,$E$2:$E1895,"INFRUCTUEUX")+COUNTIFS($A$2:$A1895,$A1895,$E$2:$E1895,"ANNULE")),""))</f>
        <v/>
      </c>
    </row>
    <row r="1896">
      <c r="A1896">
        <f>IF(ISBLANK('ENGAGEMENTS 2026'!B1896),"",IF('ENGAGEMENTS 2026'!B1896="DTSI","DCT",'ENGAGEMENTS 2026'!B1896))</f>
        <v/>
      </c>
      <c r="B1896">
        <f>IF(ISBLANK('ENGAGEMENTS 2026'!B1896),"",'ENGAGEMENTS 2026'!C1896)</f>
        <v/>
      </c>
      <c r="C1896">
        <f>IF(ISBLANK('ENGAGEMENTS 2026'!B1896),"",'ENGAGEMENTS 2026'!D1896)</f>
        <v/>
      </c>
      <c r="D1896">
        <f>IF(ISBLANK('ENGAGEMENTS 2026'!B1896),"",'ENGAGEMENTS 2026'!F1896)</f>
        <v/>
      </c>
      <c r="E1896">
        <f>IF(ISBLANK('ENGAGEMENTS 2026'!B1896),"",'ENGAGEMENTS 2026'!H1896)</f>
        <v/>
      </c>
      <c r="F1896">
        <f>IF(ISBLANK('ENGAGEMENTS 2026'!B1896),"",'ENGAGEMENTS 2026'!I1896)</f>
        <v/>
      </c>
      <c r="G1896">
        <f>IF(ISBLANK('ENGAGEMENTS 2026'!B1896),"",'ENGAGEMENTS 2026'!L1896)</f>
        <v/>
      </c>
      <c r="H1896">
        <f>IF(ISBLANK('ENGAGEMENTS 2026'!B1896),"",'ENGAGEMENTS 2026'!AE1896)</f>
        <v/>
      </c>
      <c r="I1896">
        <f>IF(ISBLANK('ENGAGEMENTS 2026'!B1896),"",'ENGAGEMENTS 2026'!G1896)</f>
        <v/>
      </c>
      <c r="J1896" s="275">
        <f>IF(ISBLANK('ENGAGEMENTS 2026'!B1896),"",IF(AND(OR($E1896="INFRUCTUEUX",$E1896="ANNULE"),$C1896="AOO-M"),'ENGAGEMENTS 2026'!O1896,IF($H1896="EN COURS DE PREENGAGEMENT",'ENGAGEMENTS 2026'!N1896,IF($H1896="PREENGAGE",IF($E1896="ATTRIBUE",'ENGAGEMENTS 2026'!AD1896,'ENGAGEMENTS 2026'!N1896),'ENGAGEMENTS 2026'!AD1896))))</f>
        <v/>
      </c>
      <c r="K1896" s="604">
        <f>IF(ISBLANK('ENGAGEMENTS 2026'!V1896),"",'ENGAGEMENTS 2026'!V1896)</f>
        <v/>
      </c>
      <c r="L1896" s="276">
        <f>IF($K1896="","",TODAY()-$K1896)</f>
        <v/>
      </c>
      <c r="M1896">
        <f>IF($A1896="","",IF($H1896="ENGAGE","Engagé",IF(AND($H1896="NON ENGAGE",OR($I1896="INFRUCTUEUX",$I1896="ANNULE")),"Clôturé sans suite","En cours")))</f>
        <v/>
      </c>
      <c r="N1896">
        <f>IF(ISBLANK('ENGAGEMENTS 2026'!B1896),"",'ENGAGEMENTS 2026'!K1896)</f>
        <v/>
      </c>
      <c r="O1896">
        <f>IF(ISBLANK('ENGAGEMENTS 2026'!B1896),"",'ENGAGEMENTS 2026'!L1896)</f>
        <v/>
      </c>
      <c r="P1896">
        <f>IF(ISBLANK('ENGAGEMENTS 2026'!B1896),"",'ENGAGEMENTS 2026'!J1896)</f>
        <v/>
      </c>
      <c r="Q1896">
        <f>IF($A1896="","",IF(OR($E1896="INFRUCTUEUX",$E1896="ANNULE"),$A1896&amp;"|"&amp;(COUNTIFS($A$2:$A1896,$A1896,$E$2:$E1896,"INFRUCTUEUX")+COUNTIFS($A$2:$A1896,$A1896,$E$2:$E1896,"ANNULE")),""))</f>
        <v/>
      </c>
    </row>
    <row r="1897">
      <c r="A1897">
        <f>IF(ISBLANK('ENGAGEMENTS 2026'!B1897),"",IF('ENGAGEMENTS 2026'!B1897="DTSI","DCT",'ENGAGEMENTS 2026'!B1897))</f>
        <v/>
      </c>
      <c r="B1897">
        <f>IF(ISBLANK('ENGAGEMENTS 2026'!B1897),"",'ENGAGEMENTS 2026'!C1897)</f>
        <v/>
      </c>
      <c r="C1897">
        <f>IF(ISBLANK('ENGAGEMENTS 2026'!B1897),"",'ENGAGEMENTS 2026'!D1897)</f>
        <v/>
      </c>
      <c r="D1897">
        <f>IF(ISBLANK('ENGAGEMENTS 2026'!B1897),"",'ENGAGEMENTS 2026'!F1897)</f>
        <v/>
      </c>
      <c r="E1897">
        <f>IF(ISBLANK('ENGAGEMENTS 2026'!B1897),"",'ENGAGEMENTS 2026'!H1897)</f>
        <v/>
      </c>
      <c r="F1897">
        <f>IF(ISBLANK('ENGAGEMENTS 2026'!B1897),"",'ENGAGEMENTS 2026'!I1897)</f>
        <v/>
      </c>
      <c r="G1897">
        <f>IF(ISBLANK('ENGAGEMENTS 2026'!B1897),"",'ENGAGEMENTS 2026'!L1897)</f>
        <v/>
      </c>
      <c r="H1897">
        <f>IF(ISBLANK('ENGAGEMENTS 2026'!B1897),"",'ENGAGEMENTS 2026'!AE1897)</f>
        <v/>
      </c>
      <c r="I1897">
        <f>IF(ISBLANK('ENGAGEMENTS 2026'!B1897),"",'ENGAGEMENTS 2026'!G1897)</f>
        <v/>
      </c>
      <c r="J1897" s="275">
        <f>IF(ISBLANK('ENGAGEMENTS 2026'!B1897),"",IF(AND(OR($E1897="INFRUCTUEUX",$E1897="ANNULE"),$C1897="AOO-M"),'ENGAGEMENTS 2026'!O1897,IF($H1897="EN COURS DE PREENGAGEMENT",'ENGAGEMENTS 2026'!N1897,IF($H1897="PREENGAGE",IF($E1897="ATTRIBUE",'ENGAGEMENTS 2026'!AD1897,'ENGAGEMENTS 2026'!N1897),'ENGAGEMENTS 2026'!AD1897))))</f>
        <v/>
      </c>
      <c r="K1897" s="604">
        <f>IF(ISBLANK('ENGAGEMENTS 2026'!V1897),"",'ENGAGEMENTS 2026'!V1897)</f>
        <v/>
      </c>
      <c r="L1897" s="276">
        <f>IF($K1897="","",TODAY()-$K1897)</f>
        <v/>
      </c>
      <c r="M1897">
        <f>IF($A1897="","",IF($H1897="ENGAGE","Engagé",IF(AND($H1897="NON ENGAGE",OR($I1897="INFRUCTUEUX",$I1897="ANNULE")),"Clôturé sans suite","En cours")))</f>
        <v/>
      </c>
      <c r="N1897">
        <f>IF(ISBLANK('ENGAGEMENTS 2026'!B1897),"",'ENGAGEMENTS 2026'!K1897)</f>
        <v/>
      </c>
      <c r="O1897">
        <f>IF(ISBLANK('ENGAGEMENTS 2026'!B1897),"",'ENGAGEMENTS 2026'!L1897)</f>
        <v/>
      </c>
      <c r="P1897">
        <f>IF(ISBLANK('ENGAGEMENTS 2026'!B1897),"",'ENGAGEMENTS 2026'!J1897)</f>
        <v/>
      </c>
      <c r="Q1897">
        <f>IF($A1897="","",IF(OR($E1897="INFRUCTUEUX",$E1897="ANNULE"),$A1897&amp;"|"&amp;(COUNTIFS($A$2:$A1897,$A1897,$E$2:$E1897,"INFRUCTUEUX")+COUNTIFS($A$2:$A1897,$A1897,$E$2:$E1897,"ANNULE")),""))</f>
        <v/>
      </c>
    </row>
    <row r="1898">
      <c r="A1898">
        <f>IF(ISBLANK('ENGAGEMENTS 2026'!B1898),"",IF('ENGAGEMENTS 2026'!B1898="DTSI","DCT",'ENGAGEMENTS 2026'!B1898))</f>
        <v/>
      </c>
      <c r="B1898">
        <f>IF(ISBLANK('ENGAGEMENTS 2026'!B1898),"",'ENGAGEMENTS 2026'!C1898)</f>
        <v/>
      </c>
      <c r="C1898">
        <f>IF(ISBLANK('ENGAGEMENTS 2026'!B1898),"",'ENGAGEMENTS 2026'!D1898)</f>
        <v/>
      </c>
      <c r="D1898">
        <f>IF(ISBLANK('ENGAGEMENTS 2026'!B1898),"",'ENGAGEMENTS 2026'!F1898)</f>
        <v/>
      </c>
      <c r="E1898">
        <f>IF(ISBLANK('ENGAGEMENTS 2026'!B1898),"",'ENGAGEMENTS 2026'!H1898)</f>
        <v/>
      </c>
      <c r="F1898">
        <f>IF(ISBLANK('ENGAGEMENTS 2026'!B1898),"",'ENGAGEMENTS 2026'!I1898)</f>
        <v/>
      </c>
      <c r="G1898">
        <f>IF(ISBLANK('ENGAGEMENTS 2026'!B1898),"",'ENGAGEMENTS 2026'!L1898)</f>
        <v/>
      </c>
      <c r="H1898">
        <f>IF(ISBLANK('ENGAGEMENTS 2026'!B1898),"",'ENGAGEMENTS 2026'!AE1898)</f>
        <v/>
      </c>
      <c r="I1898">
        <f>IF(ISBLANK('ENGAGEMENTS 2026'!B1898),"",'ENGAGEMENTS 2026'!G1898)</f>
        <v/>
      </c>
      <c r="J1898" s="275">
        <f>IF(ISBLANK('ENGAGEMENTS 2026'!B1898),"",IF(AND(OR($E1898="INFRUCTUEUX",$E1898="ANNULE"),$C1898="AOO-M"),'ENGAGEMENTS 2026'!O1898,IF($H1898="EN COURS DE PREENGAGEMENT",'ENGAGEMENTS 2026'!N1898,IF($H1898="PREENGAGE",IF($E1898="ATTRIBUE",'ENGAGEMENTS 2026'!AD1898,'ENGAGEMENTS 2026'!N1898),'ENGAGEMENTS 2026'!AD1898))))</f>
        <v/>
      </c>
      <c r="K1898" s="604">
        <f>IF(ISBLANK('ENGAGEMENTS 2026'!V1898),"",'ENGAGEMENTS 2026'!V1898)</f>
        <v/>
      </c>
      <c r="L1898" s="276">
        <f>IF($K1898="","",TODAY()-$K1898)</f>
        <v/>
      </c>
      <c r="M1898">
        <f>IF($A1898="","",IF($H1898="ENGAGE","Engagé",IF(AND($H1898="NON ENGAGE",OR($I1898="INFRUCTUEUX",$I1898="ANNULE")),"Clôturé sans suite","En cours")))</f>
        <v/>
      </c>
      <c r="N1898">
        <f>IF(ISBLANK('ENGAGEMENTS 2026'!B1898),"",'ENGAGEMENTS 2026'!K1898)</f>
        <v/>
      </c>
      <c r="O1898">
        <f>IF(ISBLANK('ENGAGEMENTS 2026'!B1898),"",'ENGAGEMENTS 2026'!L1898)</f>
        <v/>
      </c>
      <c r="P1898">
        <f>IF(ISBLANK('ENGAGEMENTS 2026'!B1898),"",'ENGAGEMENTS 2026'!J1898)</f>
        <v/>
      </c>
      <c r="Q1898">
        <f>IF($A1898="","",IF(OR($E1898="INFRUCTUEUX",$E1898="ANNULE"),$A1898&amp;"|"&amp;(COUNTIFS($A$2:$A1898,$A1898,$E$2:$E1898,"INFRUCTUEUX")+COUNTIFS($A$2:$A1898,$A1898,$E$2:$E1898,"ANNULE")),""))</f>
        <v/>
      </c>
    </row>
    <row r="1899">
      <c r="A1899">
        <f>IF(ISBLANK('ENGAGEMENTS 2026'!B1899),"",IF('ENGAGEMENTS 2026'!B1899="DTSI","DCT",'ENGAGEMENTS 2026'!B1899))</f>
        <v/>
      </c>
      <c r="B1899">
        <f>IF(ISBLANK('ENGAGEMENTS 2026'!B1899),"",'ENGAGEMENTS 2026'!C1899)</f>
        <v/>
      </c>
      <c r="C1899">
        <f>IF(ISBLANK('ENGAGEMENTS 2026'!B1899),"",'ENGAGEMENTS 2026'!D1899)</f>
        <v/>
      </c>
      <c r="D1899">
        <f>IF(ISBLANK('ENGAGEMENTS 2026'!B1899),"",'ENGAGEMENTS 2026'!F1899)</f>
        <v/>
      </c>
      <c r="E1899">
        <f>IF(ISBLANK('ENGAGEMENTS 2026'!B1899),"",'ENGAGEMENTS 2026'!H1899)</f>
        <v/>
      </c>
      <c r="F1899">
        <f>IF(ISBLANK('ENGAGEMENTS 2026'!B1899),"",'ENGAGEMENTS 2026'!I1899)</f>
        <v/>
      </c>
      <c r="G1899">
        <f>IF(ISBLANK('ENGAGEMENTS 2026'!B1899),"",'ENGAGEMENTS 2026'!L1899)</f>
        <v/>
      </c>
      <c r="H1899">
        <f>IF(ISBLANK('ENGAGEMENTS 2026'!B1899),"",'ENGAGEMENTS 2026'!AE1899)</f>
        <v/>
      </c>
      <c r="I1899">
        <f>IF(ISBLANK('ENGAGEMENTS 2026'!B1899),"",'ENGAGEMENTS 2026'!G1899)</f>
        <v/>
      </c>
      <c r="J1899" s="275">
        <f>IF(ISBLANK('ENGAGEMENTS 2026'!B1899),"",IF(AND(OR($E1899="INFRUCTUEUX",$E1899="ANNULE"),$C1899="AOO-M"),'ENGAGEMENTS 2026'!O1899,IF($H1899="EN COURS DE PREENGAGEMENT",'ENGAGEMENTS 2026'!N1899,IF($H1899="PREENGAGE",IF($E1899="ATTRIBUE",'ENGAGEMENTS 2026'!AD1899,'ENGAGEMENTS 2026'!N1899),'ENGAGEMENTS 2026'!AD1899))))</f>
        <v/>
      </c>
      <c r="K1899" s="604">
        <f>IF(ISBLANK('ENGAGEMENTS 2026'!V1899),"",'ENGAGEMENTS 2026'!V1899)</f>
        <v/>
      </c>
      <c r="L1899" s="276">
        <f>IF($K1899="","",TODAY()-$K1899)</f>
        <v/>
      </c>
      <c r="M1899">
        <f>IF($A1899="","",IF($H1899="ENGAGE","Engagé",IF(AND($H1899="NON ENGAGE",OR($I1899="INFRUCTUEUX",$I1899="ANNULE")),"Clôturé sans suite","En cours")))</f>
        <v/>
      </c>
      <c r="N1899">
        <f>IF(ISBLANK('ENGAGEMENTS 2026'!B1899),"",'ENGAGEMENTS 2026'!K1899)</f>
        <v/>
      </c>
      <c r="O1899">
        <f>IF(ISBLANK('ENGAGEMENTS 2026'!B1899),"",'ENGAGEMENTS 2026'!L1899)</f>
        <v/>
      </c>
      <c r="P1899">
        <f>IF(ISBLANK('ENGAGEMENTS 2026'!B1899),"",'ENGAGEMENTS 2026'!J1899)</f>
        <v/>
      </c>
      <c r="Q1899">
        <f>IF($A1899="","",IF(OR($E1899="INFRUCTUEUX",$E1899="ANNULE"),$A1899&amp;"|"&amp;(COUNTIFS($A$2:$A1899,$A1899,$E$2:$E1899,"INFRUCTUEUX")+COUNTIFS($A$2:$A1899,$A1899,$E$2:$E1899,"ANNULE")),""))</f>
        <v/>
      </c>
    </row>
    <row r="1900">
      <c r="A1900">
        <f>IF(ISBLANK('ENGAGEMENTS 2026'!B1900),"",IF('ENGAGEMENTS 2026'!B1900="DTSI","DCT",'ENGAGEMENTS 2026'!B1900))</f>
        <v/>
      </c>
      <c r="B1900">
        <f>IF(ISBLANK('ENGAGEMENTS 2026'!B1900),"",'ENGAGEMENTS 2026'!C1900)</f>
        <v/>
      </c>
      <c r="C1900">
        <f>IF(ISBLANK('ENGAGEMENTS 2026'!B1900),"",'ENGAGEMENTS 2026'!D1900)</f>
        <v/>
      </c>
      <c r="D1900">
        <f>IF(ISBLANK('ENGAGEMENTS 2026'!B1900),"",'ENGAGEMENTS 2026'!F1900)</f>
        <v/>
      </c>
      <c r="E1900">
        <f>IF(ISBLANK('ENGAGEMENTS 2026'!B1900),"",'ENGAGEMENTS 2026'!H1900)</f>
        <v/>
      </c>
      <c r="F1900">
        <f>IF(ISBLANK('ENGAGEMENTS 2026'!B1900),"",'ENGAGEMENTS 2026'!I1900)</f>
        <v/>
      </c>
      <c r="G1900">
        <f>IF(ISBLANK('ENGAGEMENTS 2026'!B1900),"",'ENGAGEMENTS 2026'!L1900)</f>
        <v/>
      </c>
      <c r="H1900">
        <f>IF(ISBLANK('ENGAGEMENTS 2026'!B1900),"",'ENGAGEMENTS 2026'!AE1900)</f>
        <v/>
      </c>
      <c r="I1900">
        <f>IF(ISBLANK('ENGAGEMENTS 2026'!B1900),"",'ENGAGEMENTS 2026'!G1900)</f>
        <v/>
      </c>
      <c r="J1900" s="275">
        <f>IF(ISBLANK('ENGAGEMENTS 2026'!B1900),"",IF(AND(OR($E1900="INFRUCTUEUX",$E1900="ANNULE"),$C1900="AOO-M"),'ENGAGEMENTS 2026'!O1900,IF($H1900="EN COURS DE PREENGAGEMENT",'ENGAGEMENTS 2026'!N1900,IF($H1900="PREENGAGE",IF($E1900="ATTRIBUE",'ENGAGEMENTS 2026'!AD1900,'ENGAGEMENTS 2026'!N1900),'ENGAGEMENTS 2026'!AD1900))))</f>
        <v/>
      </c>
      <c r="K1900" s="604">
        <f>IF(ISBLANK('ENGAGEMENTS 2026'!V1900),"",'ENGAGEMENTS 2026'!V1900)</f>
        <v/>
      </c>
      <c r="L1900" s="276">
        <f>IF($K1900="","",TODAY()-$K1900)</f>
        <v/>
      </c>
      <c r="M1900">
        <f>IF($A1900="","",IF($H1900="ENGAGE","Engagé",IF(AND($H1900="NON ENGAGE",OR($I1900="INFRUCTUEUX",$I1900="ANNULE")),"Clôturé sans suite","En cours")))</f>
        <v/>
      </c>
      <c r="N1900">
        <f>IF(ISBLANK('ENGAGEMENTS 2026'!B1900),"",'ENGAGEMENTS 2026'!K1900)</f>
        <v/>
      </c>
      <c r="O1900">
        <f>IF(ISBLANK('ENGAGEMENTS 2026'!B1900),"",'ENGAGEMENTS 2026'!L1900)</f>
        <v/>
      </c>
      <c r="P1900">
        <f>IF(ISBLANK('ENGAGEMENTS 2026'!B1900),"",'ENGAGEMENTS 2026'!J1900)</f>
        <v/>
      </c>
      <c r="Q1900">
        <f>IF($A1900="","",IF(OR($E1900="INFRUCTUEUX",$E1900="ANNULE"),$A1900&amp;"|"&amp;(COUNTIFS($A$2:$A1900,$A1900,$E$2:$E1900,"INFRUCTUEUX")+COUNTIFS($A$2:$A1900,$A1900,$E$2:$E1900,"ANNULE")),""))</f>
        <v/>
      </c>
    </row>
    <row r="1901">
      <c r="A1901">
        <f>IF(ISBLANK('ENGAGEMENTS 2026'!B1901),"",IF('ENGAGEMENTS 2026'!B1901="DTSI","DCT",'ENGAGEMENTS 2026'!B1901))</f>
        <v/>
      </c>
      <c r="B1901">
        <f>IF(ISBLANK('ENGAGEMENTS 2026'!B1901),"",'ENGAGEMENTS 2026'!C1901)</f>
        <v/>
      </c>
      <c r="C1901">
        <f>IF(ISBLANK('ENGAGEMENTS 2026'!B1901),"",'ENGAGEMENTS 2026'!D1901)</f>
        <v/>
      </c>
      <c r="D1901">
        <f>IF(ISBLANK('ENGAGEMENTS 2026'!B1901),"",'ENGAGEMENTS 2026'!F1901)</f>
        <v/>
      </c>
      <c r="E1901">
        <f>IF(ISBLANK('ENGAGEMENTS 2026'!B1901),"",'ENGAGEMENTS 2026'!H1901)</f>
        <v/>
      </c>
      <c r="F1901">
        <f>IF(ISBLANK('ENGAGEMENTS 2026'!B1901),"",'ENGAGEMENTS 2026'!I1901)</f>
        <v/>
      </c>
      <c r="G1901">
        <f>IF(ISBLANK('ENGAGEMENTS 2026'!B1901),"",'ENGAGEMENTS 2026'!L1901)</f>
        <v/>
      </c>
      <c r="H1901">
        <f>IF(ISBLANK('ENGAGEMENTS 2026'!B1901),"",'ENGAGEMENTS 2026'!AE1901)</f>
        <v/>
      </c>
      <c r="I1901">
        <f>IF(ISBLANK('ENGAGEMENTS 2026'!B1901),"",'ENGAGEMENTS 2026'!G1901)</f>
        <v/>
      </c>
      <c r="J1901" s="275">
        <f>IF(ISBLANK('ENGAGEMENTS 2026'!B1901),"",IF(AND(OR($E1901="INFRUCTUEUX",$E1901="ANNULE"),$C1901="AOO-M"),'ENGAGEMENTS 2026'!O1901,IF($H1901="EN COURS DE PREENGAGEMENT",'ENGAGEMENTS 2026'!N1901,IF($H1901="PREENGAGE",IF($E1901="ATTRIBUE",'ENGAGEMENTS 2026'!AD1901,'ENGAGEMENTS 2026'!N1901),'ENGAGEMENTS 2026'!AD1901))))</f>
        <v/>
      </c>
      <c r="K1901" s="604">
        <f>IF(ISBLANK('ENGAGEMENTS 2026'!V1901),"",'ENGAGEMENTS 2026'!V1901)</f>
        <v/>
      </c>
      <c r="L1901" s="276">
        <f>IF($K1901="","",TODAY()-$K1901)</f>
        <v/>
      </c>
      <c r="M1901">
        <f>IF($A1901="","",IF($H1901="ENGAGE","Engagé",IF(AND($H1901="NON ENGAGE",OR($I1901="INFRUCTUEUX",$I1901="ANNULE")),"Clôturé sans suite","En cours")))</f>
        <v/>
      </c>
      <c r="N1901">
        <f>IF(ISBLANK('ENGAGEMENTS 2026'!B1901),"",'ENGAGEMENTS 2026'!K1901)</f>
        <v/>
      </c>
      <c r="O1901">
        <f>IF(ISBLANK('ENGAGEMENTS 2026'!B1901),"",'ENGAGEMENTS 2026'!L1901)</f>
        <v/>
      </c>
      <c r="P1901">
        <f>IF(ISBLANK('ENGAGEMENTS 2026'!B1901),"",'ENGAGEMENTS 2026'!J1901)</f>
        <v/>
      </c>
      <c r="Q1901">
        <f>IF($A1901="","",IF(OR($E1901="INFRUCTUEUX",$E1901="ANNULE"),$A1901&amp;"|"&amp;(COUNTIFS($A$2:$A1901,$A1901,$E$2:$E1901,"INFRUCTUEUX")+COUNTIFS($A$2:$A1901,$A1901,$E$2:$E1901,"ANNULE")),""))</f>
        <v/>
      </c>
    </row>
    <row r="1902">
      <c r="A1902">
        <f>IF(ISBLANK('ENGAGEMENTS 2026'!B1902),"",IF('ENGAGEMENTS 2026'!B1902="DTSI","DCT",'ENGAGEMENTS 2026'!B1902))</f>
        <v/>
      </c>
      <c r="B1902">
        <f>IF(ISBLANK('ENGAGEMENTS 2026'!B1902),"",'ENGAGEMENTS 2026'!C1902)</f>
        <v/>
      </c>
      <c r="C1902">
        <f>IF(ISBLANK('ENGAGEMENTS 2026'!B1902),"",'ENGAGEMENTS 2026'!D1902)</f>
        <v/>
      </c>
      <c r="D1902">
        <f>IF(ISBLANK('ENGAGEMENTS 2026'!B1902),"",'ENGAGEMENTS 2026'!F1902)</f>
        <v/>
      </c>
      <c r="E1902">
        <f>IF(ISBLANK('ENGAGEMENTS 2026'!B1902),"",'ENGAGEMENTS 2026'!H1902)</f>
        <v/>
      </c>
      <c r="F1902">
        <f>IF(ISBLANK('ENGAGEMENTS 2026'!B1902),"",'ENGAGEMENTS 2026'!I1902)</f>
        <v/>
      </c>
      <c r="G1902">
        <f>IF(ISBLANK('ENGAGEMENTS 2026'!B1902),"",'ENGAGEMENTS 2026'!L1902)</f>
        <v/>
      </c>
      <c r="H1902">
        <f>IF(ISBLANK('ENGAGEMENTS 2026'!B1902),"",'ENGAGEMENTS 2026'!AE1902)</f>
        <v/>
      </c>
      <c r="I1902">
        <f>IF(ISBLANK('ENGAGEMENTS 2026'!B1902),"",'ENGAGEMENTS 2026'!G1902)</f>
        <v/>
      </c>
      <c r="J1902" s="275">
        <f>IF(ISBLANK('ENGAGEMENTS 2026'!B1902),"",IF(AND(OR($E1902="INFRUCTUEUX",$E1902="ANNULE"),$C1902="AOO-M"),'ENGAGEMENTS 2026'!O1902,IF($H1902="EN COURS DE PREENGAGEMENT",'ENGAGEMENTS 2026'!N1902,IF($H1902="PREENGAGE",IF($E1902="ATTRIBUE",'ENGAGEMENTS 2026'!AD1902,'ENGAGEMENTS 2026'!N1902),'ENGAGEMENTS 2026'!AD1902))))</f>
        <v/>
      </c>
      <c r="K1902" s="604">
        <f>IF(ISBLANK('ENGAGEMENTS 2026'!V1902),"",'ENGAGEMENTS 2026'!V1902)</f>
        <v/>
      </c>
      <c r="L1902" s="276">
        <f>IF($K1902="","",TODAY()-$K1902)</f>
        <v/>
      </c>
      <c r="M1902">
        <f>IF($A1902="","",IF($H1902="ENGAGE","Engagé",IF(AND($H1902="NON ENGAGE",OR($I1902="INFRUCTUEUX",$I1902="ANNULE")),"Clôturé sans suite","En cours")))</f>
        <v/>
      </c>
      <c r="N1902">
        <f>IF(ISBLANK('ENGAGEMENTS 2026'!B1902),"",'ENGAGEMENTS 2026'!K1902)</f>
        <v/>
      </c>
      <c r="O1902">
        <f>IF(ISBLANK('ENGAGEMENTS 2026'!B1902),"",'ENGAGEMENTS 2026'!L1902)</f>
        <v/>
      </c>
      <c r="P1902">
        <f>IF(ISBLANK('ENGAGEMENTS 2026'!B1902),"",'ENGAGEMENTS 2026'!J1902)</f>
        <v/>
      </c>
      <c r="Q1902">
        <f>IF($A1902="","",IF(OR($E1902="INFRUCTUEUX",$E1902="ANNULE"),$A1902&amp;"|"&amp;(COUNTIFS($A$2:$A1902,$A1902,$E$2:$E1902,"INFRUCTUEUX")+COUNTIFS($A$2:$A1902,$A1902,$E$2:$E1902,"ANNULE")),""))</f>
        <v/>
      </c>
    </row>
    <row r="1903">
      <c r="A1903">
        <f>IF(ISBLANK('ENGAGEMENTS 2026'!B1903),"",IF('ENGAGEMENTS 2026'!B1903="DTSI","DCT",'ENGAGEMENTS 2026'!B1903))</f>
        <v/>
      </c>
      <c r="B1903">
        <f>IF(ISBLANK('ENGAGEMENTS 2026'!B1903),"",'ENGAGEMENTS 2026'!C1903)</f>
        <v/>
      </c>
      <c r="C1903">
        <f>IF(ISBLANK('ENGAGEMENTS 2026'!B1903),"",'ENGAGEMENTS 2026'!D1903)</f>
        <v/>
      </c>
      <c r="D1903">
        <f>IF(ISBLANK('ENGAGEMENTS 2026'!B1903),"",'ENGAGEMENTS 2026'!F1903)</f>
        <v/>
      </c>
      <c r="E1903">
        <f>IF(ISBLANK('ENGAGEMENTS 2026'!B1903),"",'ENGAGEMENTS 2026'!H1903)</f>
        <v/>
      </c>
      <c r="F1903">
        <f>IF(ISBLANK('ENGAGEMENTS 2026'!B1903),"",'ENGAGEMENTS 2026'!I1903)</f>
        <v/>
      </c>
      <c r="G1903">
        <f>IF(ISBLANK('ENGAGEMENTS 2026'!B1903),"",'ENGAGEMENTS 2026'!L1903)</f>
        <v/>
      </c>
      <c r="H1903">
        <f>IF(ISBLANK('ENGAGEMENTS 2026'!B1903),"",'ENGAGEMENTS 2026'!AE1903)</f>
        <v/>
      </c>
      <c r="I1903">
        <f>IF(ISBLANK('ENGAGEMENTS 2026'!B1903),"",'ENGAGEMENTS 2026'!G1903)</f>
        <v/>
      </c>
      <c r="J1903" s="275">
        <f>IF(ISBLANK('ENGAGEMENTS 2026'!B1903),"",IF(AND(OR($E1903="INFRUCTUEUX",$E1903="ANNULE"),$C1903="AOO-M"),'ENGAGEMENTS 2026'!O1903,IF($H1903="EN COURS DE PREENGAGEMENT",'ENGAGEMENTS 2026'!N1903,IF($H1903="PREENGAGE",IF($E1903="ATTRIBUE",'ENGAGEMENTS 2026'!AD1903,'ENGAGEMENTS 2026'!N1903),'ENGAGEMENTS 2026'!AD1903))))</f>
        <v/>
      </c>
      <c r="K1903" s="604">
        <f>IF(ISBLANK('ENGAGEMENTS 2026'!V1903),"",'ENGAGEMENTS 2026'!V1903)</f>
        <v/>
      </c>
      <c r="L1903" s="276">
        <f>IF($K1903="","",TODAY()-$K1903)</f>
        <v/>
      </c>
      <c r="M1903">
        <f>IF($A1903="","",IF($H1903="ENGAGE","Engagé",IF(AND($H1903="NON ENGAGE",OR($I1903="INFRUCTUEUX",$I1903="ANNULE")),"Clôturé sans suite","En cours")))</f>
        <v/>
      </c>
      <c r="N1903">
        <f>IF(ISBLANK('ENGAGEMENTS 2026'!B1903),"",'ENGAGEMENTS 2026'!K1903)</f>
        <v/>
      </c>
      <c r="O1903">
        <f>IF(ISBLANK('ENGAGEMENTS 2026'!B1903),"",'ENGAGEMENTS 2026'!L1903)</f>
        <v/>
      </c>
      <c r="P1903">
        <f>IF(ISBLANK('ENGAGEMENTS 2026'!B1903),"",'ENGAGEMENTS 2026'!J1903)</f>
        <v/>
      </c>
      <c r="Q1903">
        <f>IF($A1903="","",IF(OR($E1903="INFRUCTUEUX",$E1903="ANNULE"),$A1903&amp;"|"&amp;(COUNTIFS($A$2:$A1903,$A1903,$E$2:$E1903,"INFRUCTUEUX")+COUNTIFS($A$2:$A1903,$A1903,$E$2:$E1903,"ANNULE")),""))</f>
        <v/>
      </c>
    </row>
    <row r="1904">
      <c r="A1904">
        <f>IF(ISBLANK('ENGAGEMENTS 2026'!B1904),"",IF('ENGAGEMENTS 2026'!B1904="DTSI","DCT",'ENGAGEMENTS 2026'!B1904))</f>
        <v/>
      </c>
      <c r="B1904">
        <f>IF(ISBLANK('ENGAGEMENTS 2026'!B1904),"",'ENGAGEMENTS 2026'!C1904)</f>
        <v/>
      </c>
      <c r="C1904">
        <f>IF(ISBLANK('ENGAGEMENTS 2026'!B1904),"",'ENGAGEMENTS 2026'!D1904)</f>
        <v/>
      </c>
      <c r="D1904">
        <f>IF(ISBLANK('ENGAGEMENTS 2026'!B1904),"",'ENGAGEMENTS 2026'!F1904)</f>
        <v/>
      </c>
      <c r="E1904">
        <f>IF(ISBLANK('ENGAGEMENTS 2026'!B1904),"",'ENGAGEMENTS 2026'!H1904)</f>
        <v/>
      </c>
      <c r="F1904">
        <f>IF(ISBLANK('ENGAGEMENTS 2026'!B1904),"",'ENGAGEMENTS 2026'!I1904)</f>
        <v/>
      </c>
      <c r="G1904">
        <f>IF(ISBLANK('ENGAGEMENTS 2026'!B1904),"",'ENGAGEMENTS 2026'!L1904)</f>
        <v/>
      </c>
      <c r="H1904">
        <f>IF(ISBLANK('ENGAGEMENTS 2026'!B1904),"",'ENGAGEMENTS 2026'!AE1904)</f>
        <v/>
      </c>
      <c r="I1904">
        <f>IF(ISBLANK('ENGAGEMENTS 2026'!B1904),"",'ENGAGEMENTS 2026'!G1904)</f>
        <v/>
      </c>
      <c r="J1904" s="275">
        <f>IF(ISBLANK('ENGAGEMENTS 2026'!B1904),"",IF(AND(OR($E1904="INFRUCTUEUX",$E1904="ANNULE"),$C1904="AOO-M"),'ENGAGEMENTS 2026'!O1904,IF($H1904="EN COURS DE PREENGAGEMENT",'ENGAGEMENTS 2026'!N1904,IF($H1904="PREENGAGE",IF($E1904="ATTRIBUE",'ENGAGEMENTS 2026'!AD1904,'ENGAGEMENTS 2026'!N1904),'ENGAGEMENTS 2026'!AD1904))))</f>
        <v/>
      </c>
      <c r="K1904" s="604">
        <f>IF(ISBLANK('ENGAGEMENTS 2026'!V1904),"",'ENGAGEMENTS 2026'!V1904)</f>
        <v/>
      </c>
      <c r="L1904" s="276">
        <f>IF($K1904="","",TODAY()-$K1904)</f>
        <v/>
      </c>
      <c r="M1904">
        <f>IF($A1904="","",IF($H1904="ENGAGE","Engagé",IF(AND($H1904="NON ENGAGE",OR($I1904="INFRUCTUEUX",$I1904="ANNULE")),"Clôturé sans suite","En cours")))</f>
        <v/>
      </c>
      <c r="N1904">
        <f>IF(ISBLANK('ENGAGEMENTS 2026'!B1904),"",'ENGAGEMENTS 2026'!K1904)</f>
        <v/>
      </c>
      <c r="O1904">
        <f>IF(ISBLANK('ENGAGEMENTS 2026'!B1904),"",'ENGAGEMENTS 2026'!L1904)</f>
        <v/>
      </c>
      <c r="P1904">
        <f>IF(ISBLANK('ENGAGEMENTS 2026'!B1904),"",'ENGAGEMENTS 2026'!J1904)</f>
        <v/>
      </c>
      <c r="Q1904">
        <f>IF($A1904="","",IF(OR($E1904="INFRUCTUEUX",$E1904="ANNULE"),$A1904&amp;"|"&amp;(COUNTIFS($A$2:$A1904,$A1904,$E$2:$E1904,"INFRUCTUEUX")+COUNTIFS($A$2:$A1904,$A1904,$E$2:$E1904,"ANNULE")),""))</f>
        <v/>
      </c>
    </row>
    <row r="1905">
      <c r="A1905">
        <f>IF(ISBLANK('ENGAGEMENTS 2026'!B1905),"",IF('ENGAGEMENTS 2026'!B1905="DTSI","DCT",'ENGAGEMENTS 2026'!B1905))</f>
        <v/>
      </c>
      <c r="B1905">
        <f>IF(ISBLANK('ENGAGEMENTS 2026'!B1905),"",'ENGAGEMENTS 2026'!C1905)</f>
        <v/>
      </c>
      <c r="C1905">
        <f>IF(ISBLANK('ENGAGEMENTS 2026'!B1905),"",'ENGAGEMENTS 2026'!D1905)</f>
        <v/>
      </c>
      <c r="D1905">
        <f>IF(ISBLANK('ENGAGEMENTS 2026'!B1905),"",'ENGAGEMENTS 2026'!F1905)</f>
        <v/>
      </c>
      <c r="E1905">
        <f>IF(ISBLANK('ENGAGEMENTS 2026'!B1905),"",'ENGAGEMENTS 2026'!H1905)</f>
        <v/>
      </c>
      <c r="F1905">
        <f>IF(ISBLANK('ENGAGEMENTS 2026'!B1905),"",'ENGAGEMENTS 2026'!I1905)</f>
        <v/>
      </c>
      <c r="G1905">
        <f>IF(ISBLANK('ENGAGEMENTS 2026'!B1905),"",'ENGAGEMENTS 2026'!L1905)</f>
        <v/>
      </c>
      <c r="H1905">
        <f>IF(ISBLANK('ENGAGEMENTS 2026'!B1905),"",'ENGAGEMENTS 2026'!AE1905)</f>
        <v/>
      </c>
      <c r="I1905">
        <f>IF(ISBLANK('ENGAGEMENTS 2026'!B1905),"",'ENGAGEMENTS 2026'!G1905)</f>
        <v/>
      </c>
      <c r="J1905" s="275">
        <f>IF(ISBLANK('ENGAGEMENTS 2026'!B1905),"",IF(AND(OR($E1905="INFRUCTUEUX",$E1905="ANNULE"),$C1905="AOO-M"),'ENGAGEMENTS 2026'!O1905,IF($H1905="EN COURS DE PREENGAGEMENT",'ENGAGEMENTS 2026'!N1905,IF($H1905="PREENGAGE",IF($E1905="ATTRIBUE",'ENGAGEMENTS 2026'!AD1905,'ENGAGEMENTS 2026'!N1905),'ENGAGEMENTS 2026'!AD1905))))</f>
        <v/>
      </c>
      <c r="K1905" s="604">
        <f>IF(ISBLANK('ENGAGEMENTS 2026'!V1905),"",'ENGAGEMENTS 2026'!V1905)</f>
        <v/>
      </c>
      <c r="L1905" s="276">
        <f>IF($K1905="","",TODAY()-$K1905)</f>
        <v/>
      </c>
      <c r="M1905">
        <f>IF($A1905="","",IF($H1905="ENGAGE","Engagé",IF(AND($H1905="NON ENGAGE",OR($I1905="INFRUCTUEUX",$I1905="ANNULE")),"Clôturé sans suite","En cours")))</f>
        <v/>
      </c>
      <c r="N1905">
        <f>IF(ISBLANK('ENGAGEMENTS 2026'!B1905),"",'ENGAGEMENTS 2026'!K1905)</f>
        <v/>
      </c>
      <c r="O1905">
        <f>IF(ISBLANK('ENGAGEMENTS 2026'!B1905),"",'ENGAGEMENTS 2026'!L1905)</f>
        <v/>
      </c>
      <c r="P1905">
        <f>IF(ISBLANK('ENGAGEMENTS 2026'!B1905),"",'ENGAGEMENTS 2026'!J1905)</f>
        <v/>
      </c>
      <c r="Q1905">
        <f>IF($A1905="","",IF(OR($E1905="INFRUCTUEUX",$E1905="ANNULE"),$A1905&amp;"|"&amp;(COUNTIFS($A$2:$A1905,$A1905,$E$2:$E1905,"INFRUCTUEUX")+COUNTIFS($A$2:$A1905,$A1905,$E$2:$E1905,"ANNULE")),""))</f>
        <v/>
      </c>
    </row>
    <row r="1906">
      <c r="A1906">
        <f>IF(ISBLANK('ENGAGEMENTS 2026'!B1906),"",IF('ENGAGEMENTS 2026'!B1906="DTSI","DCT",'ENGAGEMENTS 2026'!B1906))</f>
        <v/>
      </c>
      <c r="B1906">
        <f>IF(ISBLANK('ENGAGEMENTS 2026'!B1906),"",'ENGAGEMENTS 2026'!C1906)</f>
        <v/>
      </c>
      <c r="C1906">
        <f>IF(ISBLANK('ENGAGEMENTS 2026'!B1906),"",'ENGAGEMENTS 2026'!D1906)</f>
        <v/>
      </c>
      <c r="D1906">
        <f>IF(ISBLANK('ENGAGEMENTS 2026'!B1906),"",'ENGAGEMENTS 2026'!F1906)</f>
        <v/>
      </c>
      <c r="E1906">
        <f>IF(ISBLANK('ENGAGEMENTS 2026'!B1906),"",'ENGAGEMENTS 2026'!H1906)</f>
        <v/>
      </c>
      <c r="F1906">
        <f>IF(ISBLANK('ENGAGEMENTS 2026'!B1906),"",'ENGAGEMENTS 2026'!I1906)</f>
        <v/>
      </c>
      <c r="G1906">
        <f>IF(ISBLANK('ENGAGEMENTS 2026'!B1906),"",'ENGAGEMENTS 2026'!L1906)</f>
        <v/>
      </c>
      <c r="H1906">
        <f>IF(ISBLANK('ENGAGEMENTS 2026'!B1906),"",'ENGAGEMENTS 2026'!AE1906)</f>
        <v/>
      </c>
      <c r="I1906">
        <f>IF(ISBLANK('ENGAGEMENTS 2026'!B1906),"",'ENGAGEMENTS 2026'!G1906)</f>
        <v/>
      </c>
      <c r="J1906" s="275">
        <f>IF(ISBLANK('ENGAGEMENTS 2026'!B1906),"",IF(AND(OR($E1906="INFRUCTUEUX",$E1906="ANNULE"),$C1906="AOO-M"),'ENGAGEMENTS 2026'!O1906,IF($H1906="EN COURS DE PREENGAGEMENT",'ENGAGEMENTS 2026'!N1906,IF($H1906="PREENGAGE",IF($E1906="ATTRIBUE",'ENGAGEMENTS 2026'!AD1906,'ENGAGEMENTS 2026'!N1906),'ENGAGEMENTS 2026'!AD1906))))</f>
        <v/>
      </c>
      <c r="K1906" s="604">
        <f>IF(ISBLANK('ENGAGEMENTS 2026'!V1906),"",'ENGAGEMENTS 2026'!V1906)</f>
        <v/>
      </c>
      <c r="L1906" s="276">
        <f>IF($K1906="","",TODAY()-$K1906)</f>
        <v/>
      </c>
      <c r="M1906">
        <f>IF($A1906="","",IF($H1906="ENGAGE","Engagé",IF(AND($H1906="NON ENGAGE",OR($I1906="INFRUCTUEUX",$I1906="ANNULE")),"Clôturé sans suite","En cours")))</f>
        <v/>
      </c>
      <c r="N1906">
        <f>IF(ISBLANK('ENGAGEMENTS 2026'!B1906),"",'ENGAGEMENTS 2026'!K1906)</f>
        <v/>
      </c>
      <c r="O1906">
        <f>IF(ISBLANK('ENGAGEMENTS 2026'!B1906),"",'ENGAGEMENTS 2026'!L1906)</f>
        <v/>
      </c>
      <c r="P1906">
        <f>IF(ISBLANK('ENGAGEMENTS 2026'!B1906),"",'ENGAGEMENTS 2026'!J1906)</f>
        <v/>
      </c>
      <c r="Q1906">
        <f>IF($A1906="","",IF(OR($E1906="INFRUCTUEUX",$E1906="ANNULE"),$A1906&amp;"|"&amp;(COUNTIFS($A$2:$A1906,$A1906,$E$2:$E1906,"INFRUCTUEUX")+COUNTIFS($A$2:$A1906,$A1906,$E$2:$E1906,"ANNULE")),""))</f>
        <v/>
      </c>
    </row>
    <row r="1907">
      <c r="A1907">
        <f>IF(ISBLANK('ENGAGEMENTS 2026'!B1907),"",IF('ENGAGEMENTS 2026'!B1907="DTSI","DCT",'ENGAGEMENTS 2026'!B1907))</f>
        <v/>
      </c>
      <c r="B1907">
        <f>IF(ISBLANK('ENGAGEMENTS 2026'!B1907),"",'ENGAGEMENTS 2026'!C1907)</f>
        <v/>
      </c>
      <c r="C1907">
        <f>IF(ISBLANK('ENGAGEMENTS 2026'!B1907),"",'ENGAGEMENTS 2026'!D1907)</f>
        <v/>
      </c>
      <c r="D1907">
        <f>IF(ISBLANK('ENGAGEMENTS 2026'!B1907),"",'ENGAGEMENTS 2026'!F1907)</f>
        <v/>
      </c>
      <c r="E1907">
        <f>IF(ISBLANK('ENGAGEMENTS 2026'!B1907),"",'ENGAGEMENTS 2026'!H1907)</f>
        <v/>
      </c>
      <c r="F1907">
        <f>IF(ISBLANK('ENGAGEMENTS 2026'!B1907),"",'ENGAGEMENTS 2026'!I1907)</f>
        <v/>
      </c>
      <c r="G1907">
        <f>IF(ISBLANK('ENGAGEMENTS 2026'!B1907),"",'ENGAGEMENTS 2026'!L1907)</f>
        <v/>
      </c>
      <c r="H1907">
        <f>IF(ISBLANK('ENGAGEMENTS 2026'!B1907),"",'ENGAGEMENTS 2026'!AE1907)</f>
        <v/>
      </c>
      <c r="I1907">
        <f>IF(ISBLANK('ENGAGEMENTS 2026'!B1907),"",'ENGAGEMENTS 2026'!G1907)</f>
        <v/>
      </c>
      <c r="J1907" s="275">
        <f>IF(ISBLANK('ENGAGEMENTS 2026'!B1907),"",IF(AND(OR($E1907="INFRUCTUEUX",$E1907="ANNULE"),$C1907="AOO-M"),'ENGAGEMENTS 2026'!O1907,IF($H1907="EN COURS DE PREENGAGEMENT",'ENGAGEMENTS 2026'!N1907,IF($H1907="PREENGAGE",IF($E1907="ATTRIBUE",'ENGAGEMENTS 2026'!AD1907,'ENGAGEMENTS 2026'!N1907),'ENGAGEMENTS 2026'!AD1907))))</f>
        <v/>
      </c>
      <c r="K1907" s="604">
        <f>IF(ISBLANK('ENGAGEMENTS 2026'!V1907),"",'ENGAGEMENTS 2026'!V1907)</f>
        <v/>
      </c>
      <c r="L1907" s="276">
        <f>IF($K1907="","",TODAY()-$K1907)</f>
        <v/>
      </c>
      <c r="M1907">
        <f>IF($A1907="","",IF($H1907="ENGAGE","Engagé",IF(AND($H1907="NON ENGAGE",OR($I1907="INFRUCTUEUX",$I1907="ANNULE")),"Clôturé sans suite","En cours")))</f>
        <v/>
      </c>
      <c r="N1907">
        <f>IF(ISBLANK('ENGAGEMENTS 2026'!B1907),"",'ENGAGEMENTS 2026'!K1907)</f>
        <v/>
      </c>
      <c r="O1907">
        <f>IF(ISBLANK('ENGAGEMENTS 2026'!B1907),"",'ENGAGEMENTS 2026'!L1907)</f>
        <v/>
      </c>
      <c r="P1907">
        <f>IF(ISBLANK('ENGAGEMENTS 2026'!B1907),"",'ENGAGEMENTS 2026'!J1907)</f>
        <v/>
      </c>
      <c r="Q1907">
        <f>IF($A1907="","",IF(OR($E1907="INFRUCTUEUX",$E1907="ANNULE"),$A1907&amp;"|"&amp;(COUNTIFS($A$2:$A1907,$A1907,$E$2:$E1907,"INFRUCTUEUX")+COUNTIFS($A$2:$A1907,$A1907,$E$2:$E1907,"ANNULE")),""))</f>
        <v/>
      </c>
    </row>
    <row r="1908">
      <c r="A1908">
        <f>IF(ISBLANK('ENGAGEMENTS 2026'!B1908),"",IF('ENGAGEMENTS 2026'!B1908="DTSI","DCT",'ENGAGEMENTS 2026'!B1908))</f>
        <v/>
      </c>
      <c r="B1908">
        <f>IF(ISBLANK('ENGAGEMENTS 2026'!B1908),"",'ENGAGEMENTS 2026'!C1908)</f>
        <v/>
      </c>
      <c r="C1908">
        <f>IF(ISBLANK('ENGAGEMENTS 2026'!B1908),"",'ENGAGEMENTS 2026'!D1908)</f>
        <v/>
      </c>
      <c r="D1908">
        <f>IF(ISBLANK('ENGAGEMENTS 2026'!B1908),"",'ENGAGEMENTS 2026'!F1908)</f>
        <v/>
      </c>
      <c r="E1908">
        <f>IF(ISBLANK('ENGAGEMENTS 2026'!B1908),"",'ENGAGEMENTS 2026'!H1908)</f>
        <v/>
      </c>
      <c r="F1908">
        <f>IF(ISBLANK('ENGAGEMENTS 2026'!B1908),"",'ENGAGEMENTS 2026'!I1908)</f>
        <v/>
      </c>
      <c r="G1908">
        <f>IF(ISBLANK('ENGAGEMENTS 2026'!B1908),"",'ENGAGEMENTS 2026'!L1908)</f>
        <v/>
      </c>
      <c r="H1908">
        <f>IF(ISBLANK('ENGAGEMENTS 2026'!B1908),"",'ENGAGEMENTS 2026'!AE1908)</f>
        <v/>
      </c>
      <c r="I1908">
        <f>IF(ISBLANK('ENGAGEMENTS 2026'!B1908),"",'ENGAGEMENTS 2026'!G1908)</f>
        <v/>
      </c>
      <c r="J1908" s="275">
        <f>IF(ISBLANK('ENGAGEMENTS 2026'!B1908),"",IF(AND(OR($E1908="INFRUCTUEUX",$E1908="ANNULE"),$C1908="AOO-M"),'ENGAGEMENTS 2026'!O1908,IF($H1908="EN COURS DE PREENGAGEMENT",'ENGAGEMENTS 2026'!N1908,IF($H1908="PREENGAGE",IF($E1908="ATTRIBUE",'ENGAGEMENTS 2026'!AD1908,'ENGAGEMENTS 2026'!N1908),'ENGAGEMENTS 2026'!AD1908))))</f>
        <v/>
      </c>
      <c r="K1908" s="604">
        <f>IF(ISBLANK('ENGAGEMENTS 2026'!V1908),"",'ENGAGEMENTS 2026'!V1908)</f>
        <v/>
      </c>
      <c r="L1908" s="276">
        <f>IF($K1908="","",TODAY()-$K1908)</f>
        <v/>
      </c>
      <c r="M1908">
        <f>IF($A1908="","",IF($H1908="ENGAGE","Engagé",IF(AND($H1908="NON ENGAGE",OR($I1908="INFRUCTUEUX",$I1908="ANNULE")),"Clôturé sans suite","En cours")))</f>
        <v/>
      </c>
      <c r="N1908">
        <f>IF(ISBLANK('ENGAGEMENTS 2026'!B1908),"",'ENGAGEMENTS 2026'!K1908)</f>
        <v/>
      </c>
      <c r="O1908">
        <f>IF(ISBLANK('ENGAGEMENTS 2026'!B1908),"",'ENGAGEMENTS 2026'!L1908)</f>
        <v/>
      </c>
      <c r="P1908">
        <f>IF(ISBLANK('ENGAGEMENTS 2026'!B1908),"",'ENGAGEMENTS 2026'!J1908)</f>
        <v/>
      </c>
      <c r="Q1908">
        <f>IF($A1908="","",IF(OR($E1908="INFRUCTUEUX",$E1908="ANNULE"),$A1908&amp;"|"&amp;(COUNTIFS($A$2:$A1908,$A1908,$E$2:$E1908,"INFRUCTUEUX")+COUNTIFS($A$2:$A1908,$A1908,$E$2:$E1908,"ANNULE")),""))</f>
        <v/>
      </c>
    </row>
    <row r="1909">
      <c r="A1909">
        <f>IF(ISBLANK('ENGAGEMENTS 2026'!B1909),"",IF('ENGAGEMENTS 2026'!B1909="DTSI","DCT",'ENGAGEMENTS 2026'!B1909))</f>
        <v/>
      </c>
      <c r="B1909">
        <f>IF(ISBLANK('ENGAGEMENTS 2026'!B1909),"",'ENGAGEMENTS 2026'!C1909)</f>
        <v/>
      </c>
      <c r="C1909">
        <f>IF(ISBLANK('ENGAGEMENTS 2026'!B1909),"",'ENGAGEMENTS 2026'!D1909)</f>
        <v/>
      </c>
      <c r="D1909">
        <f>IF(ISBLANK('ENGAGEMENTS 2026'!B1909),"",'ENGAGEMENTS 2026'!F1909)</f>
        <v/>
      </c>
      <c r="E1909">
        <f>IF(ISBLANK('ENGAGEMENTS 2026'!B1909),"",'ENGAGEMENTS 2026'!H1909)</f>
        <v/>
      </c>
      <c r="F1909">
        <f>IF(ISBLANK('ENGAGEMENTS 2026'!B1909),"",'ENGAGEMENTS 2026'!I1909)</f>
        <v/>
      </c>
      <c r="G1909">
        <f>IF(ISBLANK('ENGAGEMENTS 2026'!B1909),"",'ENGAGEMENTS 2026'!L1909)</f>
        <v/>
      </c>
      <c r="H1909">
        <f>IF(ISBLANK('ENGAGEMENTS 2026'!B1909),"",'ENGAGEMENTS 2026'!AE1909)</f>
        <v/>
      </c>
      <c r="I1909">
        <f>IF(ISBLANK('ENGAGEMENTS 2026'!B1909),"",'ENGAGEMENTS 2026'!G1909)</f>
        <v/>
      </c>
      <c r="J1909" s="275">
        <f>IF(ISBLANK('ENGAGEMENTS 2026'!B1909),"",IF(AND(OR($E1909="INFRUCTUEUX",$E1909="ANNULE"),$C1909="AOO-M"),'ENGAGEMENTS 2026'!O1909,IF($H1909="EN COURS DE PREENGAGEMENT",'ENGAGEMENTS 2026'!N1909,IF($H1909="PREENGAGE",IF($E1909="ATTRIBUE",'ENGAGEMENTS 2026'!AD1909,'ENGAGEMENTS 2026'!N1909),'ENGAGEMENTS 2026'!AD1909))))</f>
        <v/>
      </c>
      <c r="K1909" s="604">
        <f>IF(ISBLANK('ENGAGEMENTS 2026'!V1909),"",'ENGAGEMENTS 2026'!V1909)</f>
        <v/>
      </c>
      <c r="L1909" s="276">
        <f>IF($K1909="","",TODAY()-$K1909)</f>
        <v/>
      </c>
      <c r="M1909">
        <f>IF($A1909="","",IF($H1909="ENGAGE","Engagé",IF(AND($H1909="NON ENGAGE",OR($I1909="INFRUCTUEUX",$I1909="ANNULE")),"Clôturé sans suite","En cours")))</f>
        <v/>
      </c>
      <c r="N1909">
        <f>IF(ISBLANK('ENGAGEMENTS 2026'!B1909),"",'ENGAGEMENTS 2026'!K1909)</f>
        <v/>
      </c>
      <c r="O1909">
        <f>IF(ISBLANK('ENGAGEMENTS 2026'!B1909),"",'ENGAGEMENTS 2026'!L1909)</f>
        <v/>
      </c>
      <c r="P1909">
        <f>IF(ISBLANK('ENGAGEMENTS 2026'!B1909),"",'ENGAGEMENTS 2026'!J1909)</f>
        <v/>
      </c>
      <c r="Q1909">
        <f>IF($A1909="","",IF(OR($E1909="INFRUCTUEUX",$E1909="ANNULE"),$A1909&amp;"|"&amp;(COUNTIFS($A$2:$A1909,$A1909,$E$2:$E1909,"INFRUCTUEUX")+COUNTIFS($A$2:$A1909,$A1909,$E$2:$E1909,"ANNULE")),""))</f>
        <v/>
      </c>
    </row>
    <row r="1910">
      <c r="A1910">
        <f>IF(ISBLANK('ENGAGEMENTS 2026'!B1910),"",IF('ENGAGEMENTS 2026'!B1910="DTSI","DCT",'ENGAGEMENTS 2026'!B1910))</f>
        <v/>
      </c>
      <c r="B1910">
        <f>IF(ISBLANK('ENGAGEMENTS 2026'!B1910),"",'ENGAGEMENTS 2026'!C1910)</f>
        <v/>
      </c>
      <c r="C1910">
        <f>IF(ISBLANK('ENGAGEMENTS 2026'!B1910),"",'ENGAGEMENTS 2026'!D1910)</f>
        <v/>
      </c>
      <c r="D1910">
        <f>IF(ISBLANK('ENGAGEMENTS 2026'!B1910),"",'ENGAGEMENTS 2026'!F1910)</f>
        <v/>
      </c>
      <c r="E1910">
        <f>IF(ISBLANK('ENGAGEMENTS 2026'!B1910),"",'ENGAGEMENTS 2026'!H1910)</f>
        <v/>
      </c>
      <c r="F1910">
        <f>IF(ISBLANK('ENGAGEMENTS 2026'!B1910),"",'ENGAGEMENTS 2026'!I1910)</f>
        <v/>
      </c>
      <c r="G1910">
        <f>IF(ISBLANK('ENGAGEMENTS 2026'!B1910),"",'ENGAGEMENTS 2026'!L1910)</f>
        <v/>
      </c>
      <c r="H1910">
        <f>IF(ISBLANK('ENGAGEMENTS 2026'!B1910),"",'ENGAGEMENTS 2026'!AE1910)</f>
        <v/>
      </c>
      <c r="I1910">
        <f>IF(ISBLANK('ENGAGEMENTS 2026'!B1910),"",'ENGAGEMENTS 2026'!G1910)</f>
        <v/>
      </c>
      <c r="J1910" s="275">
        <f>IF(ISBLANK('ENGAGEMENTS 2026'!B1910),"",IF(AND(OR($E1910="INFRUCTUEUX",$E1910="ANNULE"),$C1910="AOO-M"),'ENGAGEMENTS 2026'!O1910,IF($H1910="EN COURS DE PREENGAGEMENT",'ENGAGEMENTS 2026'!N1910,IF($H1910="PREENGAGE",IF($E1910="ATTRIBUE",'ENGAGEMENTS 2026'!AD1910,'ENGAGEMENTS 2026'!N1910),'ENGAGEMENTS 2026'!AD1910))))</f>
        <v/>
      </c>
      <c r="K1910" s="604">
        <f>IF(ISBLANK('ENGAGEMENTS 2026'!V1910),"",'ENGAGEMENTS 2026'!V1910)</f>
        <v/>
      </c>
      <c r="L1910" s="276">
        <f>IF($K1910="","",TODAY()-$K1910)</f>
        <v/>
      </c>
      <c r="M1910">
        <f>IF($A1910="","",IF($H1910="ENGAGE","Engagé",IF(AND($H1910="NON ENGAGE",OR($I1910="INFRUCTUEUX",$I1910="ANNULE")),"Clôturé sans suite","En cours")))</f>
        <v/>
      </c>
      <c r="N1910">
        <f>IF(ISBLANK('ENGAGEMENTS 2026'!B1910),"",'ENGAGEMENTS 2026'!K1910)</f>
        <v/>
      </c>
      <c r="O1910">
        <f>IF(ISBLANK('ENGAGEMENTS 2026'!B1910),"",'ENGAGEMENTS 2026'!L1910)</f>
        <v/>
      </c>
      <c r="P1910">
        <f>IF(ISBLANK('ENGAGEMENTS 2026'!B1910),"",'ENGAGEMENTS 2026'!J1910)</f>
        <v/>
      </c>
      <c r="Q1910">
        <f>IF($A1910="","",IF(OR($E1910="INFRUCTUEUX",$E1910="ANNULE"),$A1910&amp;"|"&amp;(COUNTIFS($A$2:$A1910,$A1910,$E$2:$E1910,"INFRUCTUEUX")+COUNTIFS($A$2:$A1910,$A1910,$E$2:$E1910,"ANNULE")),""))</f>
        <v/>
      </c>
    </row>
    <row r="1911">
      <c r="A1911">
        <f>IF(ISBLANK('ENGAGEMENTS 2026'!B1911),"",IF('ENGAGEMENTS 2026'!B1911="DTSI","DCT",'ENGAGEMENTS 2026'!B1911))</f>
        <v/>
      </c>
      <c r="B1911">
        <f>IF(ISBLANK('ENGAGEMENTS 2026'!B1911),"",'ENGAGEMENTS 2026'!C1911)</f>
        <v/>
      </c>
      <c r="C1911">
        <f>IF(ISBLANK('ENGAGEMENTS 2026'!B1911),"",'ENGAGEMENTS 2026'!D1911)</f>
        <v/>
      </c>
      <c r="D1911">
        <f>IF(ISBLANK('ENGAGEMENTS 2026'!B1911),"",'ENGAGEMENTS 2026'!F1911)</f>
        <v/>
      </c>
      <c r="E1911">
        <f>IF(ISBLANK('ENGAGEMENTS 2026'!B1911),"",'ENGAGEMENTS 2026'!H1911)</f>
        <v/>
      </c>
      <c r="F1911">
        <f>IF(ISBLANK('ENGAGEMENTS 2026'!B1911),"",'ENGAGEMENTS 2026'!I1911)</f>
        <v/>
      </c>
      <c r="G1911">
        <f>IF(ISBLANK('ENGAGEMENTS 2026'!B1911),"",'ENGAGEMENTS 2026'!L1911)</f>
        <v/>
      </c>
      <c r="H1911">
        <f>IF(ISBLANK('ENGAGEMENTS 2026'!B1911),"",'ENGAGEMENTS 2026'!AE1911)</f>
        <v/>
      </c>
      <c r="I1911">
        <f>IF(ISBLANK('ENGAGEMENTS 2026'!B1911),"",'ENGAGEMENTS 2026'!G1911)</f>
        <v/>
      </c>
      <c r="J1911" s="275">
        <f>IF(ISBLANK('ENGAGEMENTS 2026'!B1911),"",IF(AND(OR($E1911="INFRUCTUEUX",$E1911="ANNULE"),$C1911="AOO-M"),'ENGAGEMENTS 2026'!O1911,IF($H1911="EN COURS DE PREENGAGEMENT",'ENGAGEMENTS 2026'!N1911,IF($H1911="PREENGAGE",IF($E1911="ATTRIBUE",'ENGAGEMENTS 2026'!AD1911,'ENGAGEMENTS 2026'!N1911),'ENGAGEMENTS 2026'!AD1911))))</f>
        <v/>
      </c>
      <c r="K1911" s="604">
        <f>IF(ISBLANK('ENGAGEMENTS 2026'!V1911),"",'ENGAGEMENTS 2026'!V1911)</f>
        <v/>
      </c>
      <c r="L1911" s="276">
        <f>IF($K1911="","",TODAY()-$K1911)</f>
        <v/>
      </c>
      <c r="M1911">
        <f>IF($A1911="","",IF($H1911="ENGAGE","Engagé",IF(AND($H1911="NON ENGAGE",OR($I1911="INFRUCTUEUX",$I1911="ANNULE")),"Clôturé sans suite","En cours")))</f>
        <v/>
      </c>
      <c r="N1911">
        <f>IF(ISBLANK('ENGAGEMENTS 2026'!B1911),"",'ENGAGEMENTS 2026'!K1911)</f>
        <v/>
      </c>
      <c r="O1911">
        <f>IF(ISBLANK('ENGAGEMENTS 2026'!B1911),"",'ENGAGEMENTS 2026'!L1911)</f>
        <v/>
      </c>
      <c r="P1911">
        <f>IF(ISBLANK('ENGAGEMENTS 2026'!B1911),"",'ENGAGEMENTS 2026'!J1911)</f>
        <v/>
      </c>
      <c r="Q1911">
        <f>IF($A1911="","",IF(OR($E1911="INFRUCTUEUX",$E1911="ANNULE"),$A1911&amp;"|"&amp;(COUNTIFS($A$2:$A1911,$A1911,$E$2:$E1911,"INFRUCTUEUX")+COUNTIFS($A$2:$A1911,$A1911,$E$2:$E1911,"ANNULE")),""))</f>
        <v/>
      </c>
    </row>
    <row r="1912">
      <c r="A1912">
        <f>IF(ISBLANK('ENGAGEMENTS 2026'!B1912),"",IF('ENGAGEMENTS 2026'!B1912="DTSI","DCT",'ENGAGEMENTS 2026'!B1912))</f>
        <v/>
      </c>
      <c r="B1912">
        <f>IF(ISBLANK('ENGAGEMENTS 2026'!B1912),"",'ENGAGEMENTS 2026'!C1912)</f>
        <v/>
      </c>
      <c r="C1912">
        <f>IF(ISBLANK('ENGAGEMENTS 2026'!B1912),"",'ENGAGEMENTS 2026'!D1912)</f>
        <v/>
      </c>
      <c r="D1912">
        <f>IF(ISBLANK('ENGAGEMENTS 2026'!B1912),"",'ENGAGEMENTS 2026'!F1912)</f>
        <v/>
      </c>
      <c r="E1912">
        <f>IF(ISBLANK('ENGAGEMENTS 2026'!B1912),"",'ENGAGEMENTS 2026'!H1912)</f>
        <v/>
      </c>
      <c r="F1912">
        <f>IF(ISBLANK('ENGAGEMENTS 2026'!B1912),"",'ENGAGEMENTS 2026'!I1912)</f>
        <v/>
      </c>
      <c r="G1912">
        <f>IF(ISBLANK('ENGAGEMENTS 2026'!B1912),"",'ENGAGEMENTS 2026'!L1912)</f>
        <v/>
      </c>
      <c r="H1912">
        <f>IF(ISBLANK('ENGAGEMENTS 2026'!B1912),"",'ENGAGEMENTS 2026'!AE1912)</f>
        <v/>
      </c>
      <c r="I1912">
        <f>IF(ISBLANK('ENGAGEMENTS 2026'!B1912),"",'ENGAGEMENTS 2026'!G1912)</f>
        <v/>
      </c>
      <c r="J1912" s="275">
        <f>IF(ISBLANK('ENGAGEMENTS 2026'!B1912),"",IF(AND(OR($E1912="INFRUCTUEUX",$E1912="ANNULE"),$C1912="AOO-M"),'ENGAGEMENTS 2026'!O1912,IF($H1912="EN COURS DE PREENGAGEMENT",'ENGAGEMENTS 2026'!N1912,IF($H1912="PREENGAGE",IF($E1912="ATTRIBUE",'ENGAGEMENTS 2026'!AD1912,'ENGAGEMENTS 2026'!N1912),'ENGAGEMENTS 2026'!AD1912))))</f>
        <v/>
      </c>
      <c r="K1912" s="604">
        <f>IF(ISBLANK('ENGAGEMENTS 2026'!V1912),"",'ENGAGEMENTS 2026'!V1912)</f>
        <v/>
      </c>
      <c r="L1912" s="276">
        <f>IF($K1912="","",TODAY()-$K1912)</f>
        <v/>
      </c>
      <c r="M1912">
        <f>IF($A1912="","",IF($H1912="ENGAGE","Engagé",IF(AND($H1912="NON ENGAGE",OR($I1912="INFRUCTUEUX",$I1912="ANNULE")),"Clôturé sans suite","En cours")))</f>
        <v/>
      </c>
      <c r="N1912">
        <f>IF(ISBLANK('ENGAGEMENTS 2026'!B1912),"",'ENGAGEMENTS 2026'!K1912)</f>
        <v/>
      </c>
      <c r="O1912">
        <f>IF(ISBLANK('ENGAGEMENTS 2026'!B1912),"",'ENGAGEMENTS 2026'!L1912)</f>
        <v/>
      </c>
      <c r="P1912">
        <f>IF(ISBLANK('ENGAGEMENTS 2026'!B1912),"",'ENGAGEMENTS 2026'!J1912)</f>
        <v/>
      </c>
      <c r="Q1912">
        <f>IF($A1912="","",IF(OR($E1912="INFRUCTUEUX",$E1912="ANNULE"),$A1912&amp;"|"&amp;(COUNTIFS($A$2:$A1912,$A1912,$E$2:$E1912,"INFRUCTUEUX")+COUNTIFS($A$2:$A1912,$A1912,$E$2:$E1912,"ANNULE")),""))</f>
        <v/>
      </c>
    </row>
    <row r="1913">
      <c r="A1913">
        <f>IF(ISBLANK('ENGAGEMENTS 2026'!B1913),"",IF('ENGAGEMENTS 2026'!B1913="DTSI","DCT",'ENGAGEMENTS 2026'!B1913))</f>
        <v/>
      </c>
      <c r="B1913">
        <f>IF(ISBLANK('ENGAGEMENTS 2026'!B1913),"",'ENGAGEMENTS 2026'!C1913)</f>
        <v/>
      </c>
      <c r="C1913">
        <f>IF(ISBLANK('ENGAGEMENTS 2026'!B1913),"",'ENGAGEMENTS 2026'!D1913)</f>
        <v/>
      </c>
      <c r="D1913">
        <f>IF(ISBLANK('ENGAGEMENTS 2026'!B1913),"",'ENGAGEMENTS 2026'!F1913)</f>
        <v/>
      </c>
      <c r="E1913">
        <f>IF(ISBLANK('ENGAGEMENTS 2026'!B1913),"",'ENGAGEMENTS 2026'!H1913)</f>
        <v/>
      </c>
      <c r="F1913">
        <f>IF(ISBLANK('ENGAGEMENTS 2026'!B1913),"",'ENGAGEMENTS 2026'!I1913)</f>
        <v/>
      </c>
      <c r="G1913">
        <f>IF(ISBLANK('ENGAGEMENTS 2026'!B1913),"",'ENGAGEMENTS 2026'!L1913)</f>
        <v/>
      </c>
      <c r="H1913">
        <f>IF(ISBLANK('ENGAGEMENTS 2026'!B1913),"",'ENGAGEMENTS 2026'!AE1913)</f>
        <v/>
      </c>
      <c r="I1913">
        <f>IF(ISBLANK('ENGAGEMENTS 2026'!B1913),"",'ENGAGEMENTS 2026'!G1913)</f>
        <v/>
      </c>
      <c r="J1913" s="275">
        <f>IF(ISBLANK('ENGAGEMENTS 2026'!B1913),"",IF(AND(OR($E1913="INFRUCTUEUX",$E1913="ANNULE"),$C1913="AOO-M"),'ENGAGEMENTS 2026'!O1913,IF($H1913="EN COURS DE PREENGAGEMENT",'ENGAGEMENTS 2026'!N1913,IF($H1913="PREENGAGE",IF($E1913="ATTRIBUE",'ENGAGEMENTS 2026'!AD1913,'ENGAGEMENTS 2026'!N1913),'ENGAGEMENTS 2026'!AD1913))))</f>
        <v/>
      </c>
      <c r="K1913" s="604">
        <f>IF(ISBLANK('ENGAGEMENTS 2026'!V1913),"",'ENGAGEMENTS 2026'!V1913)</f>
        <v/>
      </c>
      <c r="L1913" s="276">
        <f>IF($K1913="","",TODAY()-$K1913)</f>
        <v/>
      </c>
      <c r="M1913">
        <f>IF($A1913="","",IF($H1913="ENGAGE","Engagé",IF(AND($H1913="NON ENGAGE",OR($I1913="INFRUCTUEUX",$I1913="ANNULE")),"Clôturé sans suite","En cours")))</f>
        <v/>
      </c>
      <c r="N1913">
        <f>IF(ISBLANK('ENGAGEMENTS 2026'!B1913),"",'ENGAGEMENTS 2026'!K1913)</f>
        <v/>
      </c>
      <c r="O1913">
        <f>IF(ISBLANK('ENGAGEMENTS 2026'!B1913),"",'ENGAGEMENTS 2026'!L1913)</f>
        <v/>
      </c>
      <c r="P1913">
        <f>IF(ISBLANK('ENGAGEMENTS 2026'!B1913),"",'ENGAGEMENTS 2026'!J1913)</f>
        <v/>
      </c>
      <c r="Q1913">
        <f>IF($A1913="","",IF(OR($E1913="INFRUCTUEUX",$E1913="ANNULE"),$A1913&amp;"|"&amp;(COUNTIFS($A$2:$A1913,$A1913,$E$2:$E1913,"INFRUCTUEUX")+COUNTIFS($A$2:$A1913,$A1913,$E$2:$E1913,"ANNULE")),""))</f>
        <v/>
      </c>
    </row>
    <row r="1914">
      <c r="A1914">
        <f>IF(ISBLANK('ENGAGEMENTS 2026'!B1914),"",IF('ENGAGEMENTS 2026'!B1914="DTSI","DCT",'ENGAGEMENTS 2026'!B1914))</f>
        <v/>
      </c>
      <c r="B1914">
        <f>IF(ISBLANK('ENGAGEMENTS 2026'!B1914),"",'ENGAGEMENTS 2026'!C1914)</f>
        <v/>
      </c>
      <c r="C1914">
        <f>IF(ISBLANK('ENGAGEMENTS 2026'!B1914),"",'ENGAGEMENTS 2026'!D1914)</f>
        <v/>
      </c>
      <c r="D1914">
        <f>IF(ISBLANK('ENGAGEMENTS 2026'!B1914),"",'ENGAGEMENTS 2026'!F1914)</f>
        <v/>
      </c>
      <c r="E1914">
        <f>IF(ISBLANK('ENGAGEMENTS 2026'!B1914),"",'ENGAGEMENTS 2026'!H1914)</f>
        <v/>
      </c>
      <c r="F1914">
        <f>IF(ISBLANK('ENGAGEMENTS 2026'!B1914),"",'ENGAGEMENTS 2026'!I1914)</f>
        <v/>
      </c>
      <c r="G1914">
        <f>IF(ISBLANK('ENGAGEMENTS 2026'!B1914),"",'ENGAGEMENTS 2026'!L1914)</f>
        <v/>
      </c>
      <c r="H1914">
        <f>IF(ISBLANK('ENGAGEMENTS 2026'!B1914),"",'ENGAGEMENTS 2026'!AE1914)</f>
        <v/>
      </c>
      <c r="I1914">
        <f>IF(ISBLANK('ENGAGEMENTS 2026'!B1914),"",'ENGAGEMENTS 2026'!G1914)</f>
        <v/>
      </c>
      <c r="J1914" s="275">
        <f>IF(ISBLANK('ENGAGEMENTS 2026'!B1914),"",IF(AND(OR($E1914="INFRUCTUEUX",$E1914="ANNULE"),$C1914="AOO-M"),'ENGAGEMENTS 2026'!O1914,IF($H1914="EN COURS DE PREENGAGEMENT",'ENGAGEMENTS 2026'!N1914,IF($H1914="PREENGAGE",IF($E1914="ATTRIBUE",'ENGAGEMENTS 2026'!AD1914,'ENGAGEMENTS 2026'!N1914),'ENGAGEMENTS 2026'!AD1914))))</f>
        <v/>
      </c>
      <c r="K1914" s="604">
        <f>IF(ISBLANK('ENGAGEMENTS 2026'!V1914),"",'ENGAGEMENTS 2026'!V1914)</f>
        <v/>
      </c>
      <c r="L1914" s="276">
        <f>IF($K1914="","",TODAY()-$K1914)</f>
        <v/>
      </c>
      <c r="M1914">
        <f>IF($A1914="","",IF($H1914="ENGAGE","Engagé",IF(AND($H1914="NON ENGAGE",OR($I1914="INFRUCTUEUX",$I1914="ANNULE")),"Clôturé sans suite","En cours")))</f>
        <v/>
      </c>
      <c r="N1914">
        <f>IF(ISBLANK('ENGAGEMENTS 2026'!B1914),"",'ENGAGEMENTS 2026'!K1914)</f>
        <v/>
      </c>
      <c r="O1914">
        <f>IF(ISBLANK('ENGAGEMENTS 2026'!B1914),"",'ENGAGEMENTS 2026'!L1914)</f>
        <v/>
      </c>
      <c r="P1914">
        <f>IF(ISBLANK('ENGAGEMENTS 2026'!B1914),"",'ENGAGEMENTS 2026'!J1914)</f>
        <v/>
      </c>
      <c r="Q1914">
        <f>IF($A1914="","",IF(OR($E1914="INFRUCTUEUX",$E1914="ANNULE"),$A1914&amp;"|"&amp;(COUNTIFS($A$2:$A1914,$A1914,$E$2:$E1914,"INFRUCTUEUX")+COUNTIFS($A$2:$A1914,$A1914,$E$2:$E1914,"ANNULE")),""))</f>
        <v/>
      </c>
    </row>
    <row r="1915">
      <c r="A1915">
        <f>IF(ISBLANK('ENGAGEMENTS 2026'!B1915),"",IF('ENGAGEMENTS 2026'!B1915="DTSI","DCT",'ENGAGEMENTS 2026'!B1915))</f>
        <v/>
      </c>
      <c r="B1915">
        <f>IF(ISBLANK('ENGAGEMENTS 2026'!B1915),"",'ENGAGEMENTS 2026'!C1915)</f>
        <v/>
      </c>
      <c r="C1915">
        <f>IF(ISBLANK('ENGAGEMENTS 2026'!B1915),"",'ENGAGEMENTS 2026'!D1915)</f>
        <v/>
      </c>
      <c r="D1915">
        <f>IF(ISBLANK('ENGAGEMENTS 2026'!B1915),"",'ENGAGEMENTS 2026'!F1915)</f>
        <v/>
      </c>
      <c r="E1915">
        <f>IF(ISBLANK('ENGAGEMENTS 2026'!B1915),"",'ENGAGEMENTS 2026'!H1915)</f>
        <v/>
      </c>
      <c r="F1915">
        <f>IF(ISBLANK('ENGAGEMENTS 2026'!B1915),"",'ENGAGEMENTS 2026'!I1915)</f>
        <v/>
      </c>
      <c r="G1915">
        <f>IF(ISBLANK('ENGAGEMENTS 2026'!B1915),"",'ENGAGEMENTS 2026'!L1915)</f>
        <v/>
      </c>
      <c r="H1915">
        <f>IF(ISBLANK('ENGAGEMENTS 2026'!B1915),"",'ENGAGEMENTS 2026'!AE1915)</f>
        <v/>
      </c>
      <c r="I1915">
        <f>IF(ISBLANK('ENGAGEMENTS 2026'!B1915),"",'ENGAGEMENTS 2026'!G1915)</f>
        <v/>
      </c>
      <c r="J1915" s="275">
        <f>IF(ISBLANK('ENGAGEMENTS 2026'!B1915),"",IF(AND(OR($E1915="INFRUCTUEUX",$E1915="ANNULE"),$C1915="AOO-M"),'ENGAGEMENTS 2026'!O1915,IF($H1915="EN COURS DE PREENGAGEMENT",'ENGAGEMENTS 2026'!N1915,IF($H1915="PREENGAGE",IF($E1915="ATTRIBUE",'ENGAGEMENTS 2026'!AD1915,'ENGAGEMENTS 2026'!N1915),'ENGAGEMENTS 2026'!AD1915))))</f>
        <v/>
      </c>
      <c r="K1915" s="604">
        <f>IF(ISBLANK('ENGAGEMENTS 2026'!V1915),"",'ENGAGEMENTS 2026'!V1915)</f>
        <v/>
      </c>
      <c r="L1915" s="276">
        <f>IF($K1915="","",TODAY()-$K1915)</f>
        <v/>
      </c>
      <c r="M1915">
        <f>IF($A1915="","",IF($H1915="ENGAGE","Engagé",IF(AND($H1915="NON ENGAGE",OR($I1915="INFRUCTUEUX",$I1915="ANNULE")),"Clôturé sans suite","En cours")))</f>
        <v/>
      </c>
      <c r="N1915">
        <f>IF(ISBLANK('ENGAGEMENTS 2026'!B1915),"",'ENGAGEMENTS 2026'!K1915)</f>
        <v/>
      </c>
      <c r="O1915">
        <f>IF(ISBLANK('ENGAGEMENTS 2026'!B1915),"",'ENGAGEMENTS 2026'!L1915)</f>
        <v/>
      </c>
      <c r="P1915">
        <f>IF(ISBLANK('ENGAGEMENTS 2026'!B1915),"",'ENGAGEMENTS 2026'!J1915)</f>
        <v/>
      </c>
      <c r="Q1915">
        <f>IF($A1915="","",IF(OR($E1915="INFRUCTUEUX",$E1915="ANNULE"),$A1915&amp;"|"&amp;(COUNTIFS($A$2:$A1915,$A1915,$E$2:$E1915,"INFRUCTUEUX")+COUNTIFS($A$2:$A1915,$A1915,$E$2:$E1915,"ANNULE")),""))</f>
        <v/>
      </c>
    </row>
    <row r="1916">
      <c r="A1916">
        <f>IF(ISBLANK('ENGAGEMENTS 2026'!B1916),"",IF('ENGAGEMENTS 2026'!B1916="DTSI","DCT",'ENGAGEMENTS 2026'!B1916))</f>
        <v/>
      </c>
      <c r="B1916">
        <f>IF(ISBLANK('ENGAGEMENTS 2026'!B1916),"",'ENGAGEMENTS 2026'!C1916)</f>
        <v/>
      </c>
      <c r="C1916">
        <f>IF(ISBLANK('ENGAGEMENTS 2026'!B1916),"",'ENGAGEMENTS 2026'!D1916)</f>
        <v/>
      </c>
      <c r="D1916">
        <f>IF(ISBLANK('ENGAGEMENTS 2026'!B1916),"",'ENGAGEMENTS 2026'!F1916)</f>
        <v/>
      </c>
      <c r="E1916">
        <f>IF(ISBLANK('ENGAGEMENTS 2026'!B1916),"",'ENGAGEMENTS 2026'!H1916)</f>
        <v/>
      </c>
      <c r="F1916">
        <f>IF(ISBLANK('ENGAGEMENTS 2026'!B1916),"",'ENGAGEMENTS 2026'!I1916)</f>
        <v/>
      </c>
      <c r="G1916">
        <f>IF(ISBLANK('ENGAGEMENTS 2026'!B1916),"",'ENGAGEMENTS 2026'!L1916)</f>
        <v/>
      </c>
      <c r="H1916">
        <f>IF(ISBLANK('ENGAGEMENTS 2026'!B1916),"",'ENGAGEMENTS 2026'!AE1916)</f>
        <v/>
      </c>
      <c r="I1916">
        <f>IF(ISBLANK('ENGAGEMENTS 2026'!B1916),"",'ENGAGEMENTS 2026'!G1916)</f>
        <v/>
      </c>
      <c r="J1916" s="275">
        <f>IF(ISBLANK('ENGAGEMENTS 2026'!B1916),"",IF(AND(OR($E1916="INFRUCTUEUX",$E1916="ANNULE"),$C1916="AOO-M"),'ENGAGEMENTS 2026'!O1916,IF($H1916="EN COURS DE PREENGAGEMENT",'ENGAGEMENTS 2026'!N1916,IF($H1916="PREENGAGE",IF($E1916="ATTRIBUE",'ENGAGEMENTS 2026'!AD1916,'ENGAGEMENTS 2026'!N1916),'ENGAGEMENTS 2026'!AD1916))))</f>
        <v/>
      </c>
      <c r="K1916" s="604">
        <f>IF(ISBLANK('ENGAGEMENTS 2026'!V1916),"",'ENGAGEMENTS 2026'!V1916)</f>
        <v/>
      </c>
      <c r="L1916" s="276">
        <f>IF($K1916="","",TODAY()-$K1916)</f>
        <v/>
      </c>
      <c r="M1916">
        <f>IF($A1916="","",IF($H1916="ENGAGE","Engagé",IF(AND($H1916="NON ENGAGE",OR($I1916="INFRUCTUEUX",$I1916="ANNULE")),"Clôturé sans suite","En cours")))</f>
        <v/>
      </c>
      <c r="N1916">
        <f>IF(ISBLANK('ENGAGEMENTS 2026'!B1916),"",'ENGAGEMENTS 2026'!K1916)</f>
        <v/>
      </c>
      <c r="O1916">
        <f>IF(ISBLANK('ENGAGEMENTS 2026'!B1916),"",'ENGAGEMENTS 2026'!L1916)</f>
        <v/>
      </c>
      <c r="P1916">
        <f>IF(ISBLANK('ENGAGEMENTS 2026'!B1916),"",'ENGAGEMENTS 2026'!J1916)</f>
        <v/>
      </c>
      <c r="Q1916">
        <f>IF($A1916="","",IF(OR($E1916="INFRUCTUEUX",$E1916="ANNULE"),$A1916&amp;"|"&amp;(COUNTIFS($A$2:$A1916,$A1916,$E$2:$E1916,"INFRUCTUEUX")+COUNTIFS($A$2:$A1916,$A1916,$E$2:$E1916,"ANNULE")),""))</f>
        <v/>
      </c>
    </row>
    <row r="1917">
      <c r="A1917">
        <f>IF(ISBLANK('ENGAGEMENTS 2026'!B1917),"",IF('ENGAGEMENTS 2026'!B1917="DTSI","DCT",'ENGAGEMENTS 2026'!B1917))</f>
        <v/>
      </c>
      <c r="B1917">
        <f>IF(ISBLANK('ENGAGEMENTS 2026'!B1917),"",'ENGAGEMENTS 2026'!C1917)</f>
        <v/>
      </c>
      <c r="C1917">
        <f>IF(ISBLANK('ENGAGEMENTS 2026'!B1917),"",'ENGAGEMENTS 2026'!D1917)</f>
        <v/>
      </c>
      <c r="D1917">
        <f>IF(ISBLANK('ENGAGEMENTS 2026'!B1917),"",'ENGAGEMENTS 2026'!F1917)</f>
        <v/>
      </c>
      <c r="E1917">
        <f>IF(ISBLANK('ENGAGEMENTS 2026'!B1917),"",'ENGAGEMENTS 2026'!H1917)</f>
        <v/>
      </c>
      <c r="F1917">
        <f>IF(ISBLANK('ENGAGEMENTS 2026'!B1917),"",'ENGAGEMENTS 2026'!I1917)</f>
        <v/>
      </c>
      <c r="G1917">
        <f>IF(ISBLANK('ENGAGEMENTS 2026'!B1917),"",'ENGAGEMENTS 2026'!L1917)</f>
        <v/>
      </c>
      <c r="H1917">
        <f>IF(ISBLANK('ENGAGEMENTS 2026'!B1917),"",'ENGAGEMENTS 2026'!AE1917)</f>
        <v/>
      </c>
      <c r="I1917">
        <f>IF(ISBLANK('ENGAGEMENTS 2026'!B1917),"",'ENGAGEMENTS 2026'!G1917)</f>
        <v/>
      </c>
      <c r="J1917" s="275">
        <f>IF(ISBLANK('ENGAGEMENTS 2026'!B1917),"",IF(AND(OR($E1917="INFRUCTUEUX",$E1917="ANNULE"),$C1917="AOO-M"),'ENGAGEMENTS 2026'!O1917,IF($H1917="EN COURS DE PREENGAGEMENT",'ENGAGEMENTS 2026'!N1917,IF($H1917="PREENGAGE",IF($E1917="ATTRIBUE",'ENGAGEMENTS 2026'!AD1917,'ENGAGEMENTS 2026'!N1917),'ENGAGEMENTS 2026'!AD1917))))</f>
        <v/>
      </c>
      <c r="K1917" s="604">
        <f>IF(ISBLANK('ENGAGEMENTS 2026'!V1917),"",'ENGAGEMENTS 2026'!V1917)</f>
        <v/>
      </c>
      <c r="L1917" s="276">
        <f>IF($K1917="","",TODAY()-$K1917)</f>
        <v/>
      </c>
      <c r="M1917">
        <f>IF($A1917="","",IF($H1917="ENGAGE","Engagé",IF(AND($H1917="NON ENGAGE",OR($I1917="INFRUCTUEUX",$I1917="ANNULE")),"Clôturé sans suite","En cours")))</f>
        <v/>
      </c>
      <c r="N1917">
        <f>IF(ISBLANK('ENGAGEMENTS 2026'!B1917),"",'ENGAGEMENTS 2026'!K1917)</f>
        <v/>
      </c>
      <c r="O1917">
        <f>IF(ISBLANK('ENGAGEMENTS 2026'!B1917),"",'ENGAGEMENTS 2026'!L1917)</f>
        <v/>
      </c>
      <c r="P1917">
        <f>IF(ISBLANK('ENGAGEMENTS 2026'!B1917),"",'ENGAGEMENTS 2026'!J1917)</f>
        <v/>
      </c>
      <c r="Q1917">
        <f>IF($A1917="","",IF(OR($E1917="INFRUCTUEUX",$E1917="ANNULE"),$A1917&amp;"|"&amp;(COUNTIFS($A$2:$A1917,$A1917,$E$2:$E1917,"INFRUCTUEUX")+COUNTIFS($A$2:$A1917,$A1917,$E$2:$E1917,"ANNULE")),""))</f>
        <v/>
      </c>
    </row>
    <row r="1918">
      <c r="A1918">
        <f>IF(ISBLANK('ENGAGEMENTS 2026'!B1918),"",IF('ENGAGEMENTS 2026'!B1918="DTSI","DCT",'ENGAGEMENTS 2026'!B1918))</f>
        <v/>
      </c>
      <c r="B1918">
        <f>IF(ISBLANK('ENGAGEMENTS 2026'!B1918),"",'ENGAGEMENTS 2026'!C1918)</f>
        <v/>
      </c>
      <c r="C1918">
        <f>IF(ISBLANK('ENGAGEMENTS 2026'!B1918),"",'ENGAGEMENTS 2026'!D1918)</f>
        <v/>
      </c>
      <c r="D1918">
        <f>IF(ISBLANK('ENGAGEMENTS 2026'!B1918),"",'ENGAGEMENTS 2026'!F1918)</f>
        <v/>
      </c>
      <c r="E1918">
        <f>IF(ISBLANK('ENGAGEMENTS 2026'!B1918),"",'ENGAGEMENTS 2026'!H1918)</f>
        <v/>
      </c>
      <c r="F1918">
        <f>IF(ISBLANK('ENGAGEMENTS 2026'!B1918),"",'ENGAGEMENTS 2026'!I1918)</f>
        <v/>
      </c>
      <c r="G1918">
        <f>IF(ISBLANK('ENGAGEMENTS 2026'!B1918),"",'ENGAGEMENTS 2026'!L1918)</f>
        <v/>
      </c>
      <c r="H1918">
        <f>IF(ISBLANK('ENGAGEMENTS 2026'!B1918),"",'ENGAGEMENTS 2026'!AE1918)</f>
        <v/>
      </c>
      <c r="I1918">
        <f>IF(ISBLANK('ENGAGEMENTS 2026'!B1918),"",'ENGAGEMENTS 2026'!G1918)</f>
        <v/>
      </c>
      <c r="J1918" s="275">
        <f>IF(ISBLANK('ENGAGEMENTS 2026'!B1918),"",IF(AND(OR($E1918="INFRUCTUEUX",$E1918="ANNULE"),$C1918="AOO-M"),'ENGAGEMENTS 2026'!O1918,IF($H1918="EN COURS DE PREENGAGEMENT",'ENGAGEMENTS 2026'!N1918,IF($H1918="PREENGAGE",IF($E1918="ATTRIBUE",'ENGAGEMENTS 2026'!AD1918,'ENGAGEMENTS 2026'!N1918),'ENGAGEMENTS 2026'!AD1918))))</f>
        <v/>
      </c>
      <c r="K1918" s="604">
        <f>IF(ISBLANK('ENGAGEMENTS 2026'!V1918),"",'ENGAGEMENTS 2026'!V1918)</f>
        <v/>
      </c>
      <c r="L1918" s="276">
        <f>IF($K1918="","",TODAY()-$K1918)</f>
        <v/>
      </c>
      <c r="M1918">
        <f>IF($A1918="","",IF($H1918="ENGAGE","Engagé",IF(AND($H1918="NON ENGAGE",OR($I1918="INFRUCTUEUX",$I1918="ANNULE")),"Clôturé sans suite","En cours")))</f>
        <v/>
      </c>
      <c r="N1918">
        <f>IF(ISBLANK('ENGAGEMENTS 2026'!B1918),"",'ENGAGEMENTS 2026'!K1918)</f>
        <v/>
      </c>
      <c r="O1918">
        <f>IF(ISBLANK('ENGAGEMENTS 2026'!B1918),"",'ENGAGEMENTS 2026'!L1918)</f>
        <v/>
      </c>
      <c r="P1918">
        <f>IF(ISBLANK('ENGAGEMENTS 2026'!B1918),"",'ENGAGEMENTS 2026'!J1918)</f>
        <v/>
      </c>
      <c r="Q1918">
        <f>IF($A1918="","",IF(OR($E1918="INFRUCTUEUX",$E1918="ANNULE"),$A1918&amp;"|"&amp;(COUNTIFS($A$2:$A1918,$A1918,$E$2:$E1918,"INFRUCTUEUX")+COUNTIFS($A$2:$A1918,$A1918,$E$2:$E1918,"ANNULE")),""))</f>
        <v/>
      </c>
    </row>
    <row r="1919">
      <c r="A1919">
        <f>IF(ISBLANK('ENGAGEMENTS 2026'!B1919),"",IF('ENGAGEMENTS 2026'!B1919="DTSI","DCT",'ENGAGEMENTS 2026'!B1919))</f>
        <v/>
      </c>
      <c r="B1919">
        <f>IF(ISBLANK('ENGAGEMENTS 2026'!B1919),"",'ENGAGEMENTS 2026'!C1919)</f>
        <v/>
      </c>
      <c r="C1919">
        <f>IF(ISBLANK('ENGAGEMENTS 2026'!B1919),"",'ENGAGEMENTS 2026'!D1919)</f>
        <v/>
      </c>
      <c r="D1919">
        <f>IF(ISBLANK('ENGAGEMENTS 2026'!B1919),"",'ENGAGEMENTS 2026'!F1919)</f>
        <v/>
      </c>
      <c r="E1919">
        <f>IF(ISBLANK('ENGAGEMENTS 2026'!B1919),"",'ENGAGEMENTS 2026'!H1919)</f>
        <v/>
      </c>
      <c r="F1919">
        <f>IF(ISBLANK('ENGAGEMENTS 2026'!B1919),"",'ENGAGEMENTS 2026'!I1919)</f>
        <v/>
      </c>
      <c r="G1919">
        <f>IF(ISBLANK('ENGAGEMENTS 2026'!B1919),"",'ENGAGEMENTS 2026'!L1919)</f>
        <v/>
      </c>
      <c r="H1919">
        <f>IF(ISBLANK('ENGAGEMENTS 2026'!B1919),"",'ENGAGEMENTS 2026'!AE1919)</f>
        <v/>
      </c>
      <c r="I1919">
        <f>IF(ISBLANK('ENGAGEMENTS 2026'!B1919),"",'ENGAGEMENTS 2026'!G1919)</f>
        <v/>
      </c>
      <c r="J1919" s="275">
        <f>IF(ISBLANK('ENGAGEMENTS 2026'!B1919),"",IF(AND(OR($E1919="INFRUCTUEUX",$E1919="ANNULE"),$C1919="AOO-M"),'ENGAGEMENTS 2026'!O1919,IF($H1919="EN COURS DE PREENGAGEMENT",'ENGAGEMENTS 2026'!N1919,IF($H1919="PREENGAGE",IF($E1919="ATTRIBUE",'ENGAGEMENTS 2026'!AD1919,'ENGAGEMENTS 2026'!N1919),'ENGAGEMENTS 2026'!AD1919))))</f>
        <v/>
      </c>
      <c r="K1919" s="604">
        <f>IF(ISBLANK('ENGAGEMENTS 2026'!V1919),"",'ENGAGEMENTS 2026'!V1919)</f>
        <v/>
      </c>
      <c r="L1919" s="276">
        <f>IF($K1919="","",TODAY()-$K1919)</f>
        <v/>
      </c>
      <c r="M1919">
        <f>IF($A1919="","",IF($H1919="ENGAGE","Engagé",IF(AND($H1919="NON ENGAGE",OR($I1919="INFRUCTUEUX",$I1919="ANNULE")),"Clôturé sans suite","En cours")))</f>
        <v/>
      </c>
      <c r="N1919">
        <f>IF(ISBLANK('ENGAGEMENTS 2026'!B1919),"",'ENGAGEMENTS 2026'!K1919)</f>
        <v/>
      </c>
      <c r="O1919">
        <f>IF(ISBLANK('ENGAGEMENTS 2026'!B1919),"",'ENGAGEMENTS 2026'!L1919)</f>
        <v/>
      </c>
      <c r="P1919">
        <f>IF(ISBLANK('ENGAGEMENTS 2026'!B1919),"",'ENGAGEMENTS 2026'!J1919)</f>
        <v/>
      </c>
      <c r="Q1919">
        <f>IF($A1919="","",IF(OR($E1919="INFRUCTUEUX",$E1919="ANNULE"),$A1919&amp;"|"&amp;(COUNTIFS($A$2:$A1919,$A1919,$E$2:$E1919,"INFRUCTUEUX")+COUNTIFS($A$2:$A1919,$A1919,$E$2:$E1919,"ANNULE")),""))</f>
        <v/>
      </c>
    </row>
    <row r="1920">
      <c r="A1920">
        <f>IF(ISBLANK('ENGAGEMENTS 2026'!B1920),"",IF('ENGAGEMENTS 2026'!B1920="DTSI","DCT",'ENGAGEMENTS 2026'!B1920))</f>
        <v/>
      </c>
      <c r="B1920">
        <f>IF(ISBLANK('ENGAGEMENTS 2026'!B1920),"",'ENGAGEMENTS 2026'!C1920)</f>
        <v/>
      </c>
      <c r="C1920">
        <f>IF(ISBLANK('ENGAGEMENTS 2026'!B1920),"",'ENGAGEMENTS 2026'!D1920)</f>
        <v/>
      </c>
      <c r="D1920">
        <f>IF(ISBLANK('ENGAGEMENTS 2026'!B1920),"",'ENGAGEMENTS 2026'!F1920)</f>
        <v/>
      </c>
      <c r="E1920">
        <f>IF(ISBLANK('ENGAGEMENTS 2026'!B1920),"",'ENGAGEMENTS 2026'!H1920)</f>
        <v/>
      </c>
      <c r="F1920">
        <f>IF(ISBLANK('ENGAGEMENTS 2026'!B1920),"",'ENGAGEMENTS 2026'!I1920)</f>
        <v/>
      </c>
      <c r="G1920">
        <f>IF(ISBLANK('ENGAGEMENTS 2026'!B1920),"",'ENGAGEMENTS 2026'!L1920)</f>
        <v/>
      </c>
      <c r="H1920">
        <f>IF(ISBLANK('ENGAGEMENTS 2026'!B1920),"",'ENGAGEMENTS 2026'!AE1920)</f>
        <v/>
      </c>
      <c r="I1920">
        <f>IF(ISBLANK('ENGAGEMENTS 2026'!B1920),"",'ENGAGEMENTS 2026'!G1920)</f>
        <v/>
      </c>
      <c r="J1920" s="275">
        <f>IF(ISBLANK('ENGAGEMENTS 2026'!B1920),"",IF(AND(OR($E1920="INFRUCTUEUX",$E1920="ANNULE"),$C1920="AOO-M"),'ENGAGEMENTS 2026'!O1920,IF($H1920="EN COURS DE PREENGAGEMENT",'ENGAGEMENTS 2026'!N1920,IF($H1920="PREENGAGE",IF($E1920="ATTRIBUE",'ENGAGEMENTS 2026'!AD1920,'ENGAGEMENTS 2026'!N1920),'ENGAGEMENTS 2026'!AD1920))))</f>
        <v/>
      </c>
      <c r="K1920" s="604">
        <f>IF(ISBLANK('ENGAGEMENTS 2026'!V1920),"",'ENGAGEMENTS 2026'!V1920)</f>
        <v/>
      </c>
      <c r="L1920" s="276">
        <f>IF($K1920="","",TODAY()-$K1920)</f>
        <v/>
      </c>
      <c r="M1920">
        <f>IF($A1920="","",IF($H1920="ENGAGE","Engagé",IF(AND($H1920="NON ENGAGE",OR($I1920="INFRUCTUEUX",$I1920="ANNULE")),"Clôturé sans suite","En cours")))</f>
        <v/>
      </c>
      <c r="N1920">
        <f>IF(ISBLANK('ENGAGEMENTS 2026'!B1920),"",'ENGAGEMENTS 2026'!K1920)</f>
        <v/>
      </c>
      <c r="O1920">
        <f>IF(ISBLANK('ENGAGEMENTS 2026'!B1920),"",'ENGAGEMENTS 2026'!L1920)</f>
        <v/>
      </c>
      <c r="P1920">
        <f>IF(ISBLANK('ENGAGEMENTS 2026'!B1920),"",'ENGAGEMENTS 2026'!J1920)</f>
        <v/>
      </c>
      <c r="Q1920">
        <f>IF($A1920="","",IF(OR($E1920="INFRUCTUEUX",$E1920="ANNULE"),$A1920&amp;"|"&amp;(COUNTIFS($A$2:$A1920,$A1920,$E$2:$E1920,"INFRUCTUEUX")+COUNTIFS($A$2:$A1920,$A1920,$E$2:$E1920,"ANNULE")),""))</f>
        <v/>
      </c>
    </row>
    <row r="1921">
      <c r="A1921">
        <f>IF(ISBLANK('ENGAGEMENTS 2026'!B1921),"",IF('ENGAGEMENTS 2026'!B1921="DTSI","DCT",'ENGAGEMENTS 2026'!B1921))</f>
        <v/>
      </c>
      <c r="B1921">
        <f>IF(ISBLANK('ENGAGEMENTS 2026'!B1921),"",'ENGAGEMENTS 2026'!C1921)</f>
        <v/>
      </c>
      <c r="C1921">
        <f>IF(ISBLANK('ENGAGEMENTS 2026'!B1921),"",'ENGAGEMENTS 2026'!D1921)</f>
        <v/>
      </c>
      <c r="D1921">
        <f>IF(ISBLANK('ENGAGEMENTS 2026'!B1921),"",'ENGAGEMENTS 2026'!F1921)</f>
        <v/>
      </c>
      <c r="E1921">
        <f>IF(ISBLANK('ENGAGEMENTS 2026'!B1921),"",'ENGAGEMENTS 2026'!H1921)</f>
        <v/>
      </c>
      <c r="F1921">
        <f>IF(ISBLANK('ENGAGEMENTS 2026'!B1921),"",'ENGAGEMENTS 2026'!I1921)</f>
        <v/>
      </c>
      <c r="G1921">
        <f>IF(ISBLANK('ENGAGEMENTS 2026'!B1921),"",'ENGAGEMENTS 2026'!L1921)</f>
        <v/>
      </c>
      <c r="H1921">
        <f>IF(ISBLANK('ENGAGEMENTS 2026'!B1921),"",'ENGAGEMENTS 2026'!AE1921)</f>
        <v/>
      </c>
      <c r="I1921">
        <f>IF(ISBLANK('ENGAGEMENTS 2026'!B1921),"",'ENGAGEMENTS 2026'!G1921)</f>
        <v/>
      </c>
      <c r="J1921" s="275">
        <f>IF(ISBLANK('ENGAGEMENTS 2026'!B1921),"",IF(AND(OR($E1921="INFRUCTUEUX",$E1921="ANNULE"),$C1921="AOO-M"),'ENGAGEMENTS 2026'!O1921,IF($H1921="EN COURS DE PREENGAGEMENT",'ENGAGEMENTS 2026'!N1921,IF($H1921="PREENGAGE",IF($E1921="ATTRIBUE",'ENGAGEMENTS 2026'!AD1921,'ENGAGEMENTS 2026'!N1921),'ENGAGEMENTS 2026'!AD1921))))</f>
        <v/>
      </c>
      <c r="K1921" s="604">
        <f>IF(ISBLANK('ENGAGEMENTS 2026'!V1921),"",'ENGAGEMENTS 2026'!V1921)</f>
        <v/>
      </c>
      <c r="L1921" s="276">
        <f>IF($K1921="","",TODAY()-$K1921)</f>
        <v/>
      </c>
      <c r="M1921">
        <f>IF($A1921="","",IF($H1921="ENGAGE","Engagé",IF(AND($H1921="NON ENGAGE",OR($I1921="INFRUCTUEUX",$I1921="ANNULE")),"Clôturé sans suite","En cours")))</f>
        <v/>
      </c>
      <c r="N1921">
        <f>IF(ISBLANK('ENGAGEMENTS 2026'!B1921),"",'ENGAGEMENTS 2026'!K1921)</f>
        <v/>
      </c>
      <c r="O1921">
        <f>IF(ISBLANK('ENGAGEMENTS 2026'!B1921),"",'ENGAGEMENTS 2026'!L1921)</f>
        <v/>
      </c>
      <c r="P1921">
        <f>IF(ISBLANK('ENGAGEMENTS 2026'!B1921),"",'ENGAGEMENTS 2026'!J1921)</f>
        <v/>
      </c>
      <c r="Q1921">
        <f>IF($A1921="","",IF(OR($E1921="INFRUCTUEUX",$E1921="ANNULE"),$A1921&amp;"|"&amp;(COUNTIFS($A$2:$A1921,$A1921,$E$2:$E1921,"INFRUCTUEUX")+COUNTIFS($A$2:$A1921,$A1921,$E$2:$E1921,"ANNULE")),""))</f>
        <v/>
      </c>
    </row>
    <row r="1922">
      <c r="A1922">
        <f>IF(ISBLANK('ENGAGEMENTS 2026'!B1922),"",IF('ENGAGEMENTS 2026'!B1922="DTSI","DCT",'ENGAGEMENTS 2026'!B1922))</f>
        <v/>
      </c>
      <c r="B1922">
        <f>IF(ISBLANK('ENGAGEMENTS 2026'!B1922),"",'ENGAGEMENTS 2026'!C1922)</f>
        <v/>
      </c>
      <c r="C1922">
        <f>IF(ISBLANK('ENGAGEMENTS 2026'!B1922),"",'ENGAGEMENTS 2026'!D1922)</f>
        <v/>
      </c>
      <c r="D1922">
        <f>IF(ISBLANK('ENGAGEMENTS 2026'!B1922),"",'ENGAGEMENTS 2026'!F1922)</f>
        <v/>
      </c>
      <c r="E1922">
        <f>IF(ISBLANK('ENGAGEMENTS 2026'!B1922),"",'ENGAGEMENTS 2026'!H1922)</f>
        <v/>
      </c>
      <c r="F1922">
        <f>IF(ISBLANK('ENGAGEMENTS 2026'!B1922),"",'ENGAGEMENTS 2026'!I1922)</f>
        <v/>
      </c>
      <c r="G1922">
        <f>IF(ISBLANK('ENGAGEMENTS 2026'!B1922),"",'ENGAGEMENTS 2026'!L1922)</f>
        <v/>
      </c>
      <c r="H1922">
        <f>IF(ISBLANK('ENGAGEMENTS 2026'!B1922),"",'ENGAGEMENTS 2026'!AE1922)</f>
        <v/>
      </c>
      <c r="I1922">
        <f>IF(ISBLANK('ENGAGEMENTS 2026'!B1922),"",'ENGAGEMENTS 2026'!G1922)</f>
        <v/>
      </c>
      <c r="J1922" s="275">
        <f>IF(ISBLANK('ENGAGEMENTS 2026'!B1922),"",IF(AND(OR($E1922="INFRUCTUEUX",$E1922="ANNULE"),$C1922="AOO-M"),'ENGAGEMENTS 2026'!O1922,IF($H1922="EN COURS DE PREENGAGEMENT",'ENGAGEMENTS 2026'!N1922,IF($H1922="PREENGAGE",IF($E1922="ATTRIBUE",'ENGAGEMENTS 2026'!AD1922,'ENGAGEMENTS 2026'!N1922),'ENGAGEMENTS 2026'!AD1922))))</f>
        <v/>
      </c>
      <c r="K1922" s="604">
        <f>IF(ISBLANK('ENGAGEMENTS 2026'!V1922),"",'ENGAGEMENTS 2026'!V1922)</f>
        <v/>
      </c>
      <c r="L1922" s="276">
        <f>IF($K1922="","",TODAY()-$K1922)</f>
        <v/>
      </c>
      <c r="M1922">
        <f>IF($A1922="","",IF($H1922="ENGAGE","Engagé",IF(AND($H1922="NON ENGAGE",OR($I1922="INFRUCTUEUX",$I1922="ANNULE")),"Clôturé sans suite","En cours")))</f>
        <v/>
      </c>
      <c r="N1922">
        <f>IF(ISBLANK('ENGAGEMENTS 2026'!B1922),"",'ENGAGEMENTS 2026'!K1922)</f>
        <v/>
      </c>
      <c r="O1922">
        <f>IF(ISBLANK('ENGAGEMENTS 2026'!B1922),"",'ENGAGEMENTS 2026'!L1922)</f>
        <v/>
      </c>
      <c r="P1922">
        <f>IF(ISBLANK('ENGAGEMENTS 2026'!B1922),"",'ENGAGEMENTS 2026'!J1922)</f>
        <v/>
      </c>
      <c r="Q1922">
        <f>IF($A1922="","",IF(OR($E1922="INFRUCTUEUX",$E1922="ANNULE"),$A1922&amp;"|"&amp;(COUNTIFS($A$2:$A1922,$A1922,$E$2:$E1922,"INFRUCTUEUX")+COUNTIFS($A$2:$A1922,$A1922,$E$2:$E1922,"ANNULE")),""))</f>
        <v/>
      </c>
    </row>
    <row r="1923">
      <c r="A1923">
        <f>IF(ISBLANK('ENGAGEMENTS 2026'!B1923),"",IF('ENGAGEMENTS 2026'!B1923="DTSI","DCT",'ENGAGEMENTS 2026'!B1923))</f>
        <v/>
      </c>
      <c r="B1923">
        <f>IF(ISBLANK('ENGAGEMENTS 2026'!B1923),"",'ENGAGEMENTS 2026'!C1923)</f>
        <v/>
      </c>
      <c r="C1923">
        <f>IF(ISBLANK('ENGAGEMENTS 2026'!B1923),"",'ENGAGEMENTS 2026'!D1923)</f>
        <v/>
      </c>
      <c r="D1923">
        <f>IF(ISBLANK('ENGAGEMENTS 2026'!B1923),"",'ENGAGEMENTS 2026'!F1923)</f>
        <v/>
      </c>
      <c r="E1923">
        <f>IF(ISBLANK('ENGAGEMENTS 2026'!B1923),"",'ENGAGEMENTS 2026'!H1923)</f>
        <v/>
      </c>
      <c r="F1923">
        <f>IF(ISBLANK('ENGAGEMENTS 2026'!B1923),"",'ENGAGEMENTS 2026'!I1923)</f>
        <v/>
      </c>
      <c r="G1923">
        <f>IF(ISBLANK('ENGAGEMENTS 2026'!B1923),"",'ENGAGEMENTS 2026'!L1923)</f>
        <v/>
      </c>
      <c r="H1923">
        <f>IF(ISBLANK('ENGAGEMENTS 2026'!B1923),"",'ENGAGEMENTS 2026'!AE1923)</f>
        <v/>
      </c>
      <c r="I1923">
        <f>IF(ISBLANK('ENGAGEMENTS 2026'!B1923),"",'ENGAGEMENTS 2026'!G1923)</f>
        <v/>
      </c>
      <c r="J1923" s="275">
        <f>IF(ISBLANK('ENGAGEMENTS 2026'!B1923),"",IF(AND(OR($E1923="INFRUCTUEUX",$E1923="ANNULE"),$C1923="AOO-M"),'ENGAGEMENTS 2026'!O1923,IF($H1923="EN COURS DE PREENGAGEMENT",'ENGAGEMENTS 2026'!N1923,IF($H1923="PREENGAGE",IF($E1923="ATTRIBUE",'ENGAGEMENTS 2026'!AD1923,'ENGAGEMENTS 2026'!N1923),'ENGAGEMENTS 2026'!AD1923))))</f>
        <v/>
      </c>
      <c r="K1923" s="604">
        <f>IF(ISBLANK('ENGAGEMENTS 2026'!V1923),"",'ENGAGEMENTS 2026'!V1923)</f>
        <v/>
      </c>
      <c r="L1923" s="276">
        <f>IF($K1923="","",TODAY()-$K1923)</f>
        <v/>
      </c>
      <c r="M1923">
        <f>IF($A1923="","",IF($H1923="ENGAGE","Engagé",IF(AND($H1923="NON ENGAGE",OR($I1923="INFRUCTUEUX",$I1923="ANNULE")),"Clôturé sans suite","En cours")))</f>
        <v/>
      </c>
      <c r="N1923">
        <f>IF(ISBLANK('ENGAGEMENTS 2026'!B1923),"",'ENGAGEMENTS 2026'!K1923)</f>
        <v/>
      </c>
      <c r="O1923">
        <f>IF(ISBLANK('ENGAGEMENTS 2026'!B1923),"",'ENGAGEMENTS 2026'!L1923)</f>
        <v/>
      </c>
      <c r="P1923">
        <f>IF(ISBLANK('ENGAGEMENTS 2026'!B1923),"",'ENGAGEMENTS 2026'!J1923)</f>
        <v/>
      </c>
      <c r="Q1923">
        <f>IF($A1923="","",IF(OR($E1923="INFRUCTUEUX",$E1923="ANNULE"),$A1923&amp;"|"&amp;(COUNTIFS($A$2:$A1923,$A1923,$E$2:$E1923,"INFRUCTUEUX")+COUNTIFS($A$2:$A1923,$A1923,$E$2:$E1923,"ANNULE")),""))</f>
        <v/>
      </c>
    </row>
    <row r="1924">
      <c r="A1924">
        <f>IF(ISBLANK('ENGAGEMENTS 2026'!B1924),"",IF('ENGAGEMENTS 2026'!B1924="DTSI","DCT",'ENGAGEMENTS 2026'!B1924))</f>
        <v/>
      </c>
      <c r="B1924">
        <f>IF(ISBLANK('ENGAGEMENTS 2026'!B1924),"",'ENGAGEMENTS 2026'!C1924)</f>
        <v/>
      </c>
      <c r="C1924">
        <f>IF(ISBLANK('ENGAGEMENTS 2026'!B1924),"",'ENGAGEMENTS 2026'!D1924)</f>
        <v/>
      </c>
      <c r="D1924">
        <f>IF(ISBLANK('ENGAGEMENTS 2026'!B1924),"",'ENGAGEMENTS 2026'!F1924)</f>
        <v/>
      </c>
      <c r="E1924">
        <f>IF(ISBLANK('ENGAGEMENTS 2026'!B1924),"",'ENGAGEMENTS 2026'!H1924)</f>
        <v/>
      </c>
      <c r="F1924">
        <f>IF(ISBLANK('ENGAGEMENTS 2026'!B1924),"",'ENGAGEMENTS 2026'!I1924)</f>
        <v/>
      </c>
      <c r="G1924">
        <f>IF(ISBLANK('ENGAGEMENTS 2026'!B1924),"",'ENGAGEMENTS 2026'!L1924)</f>
        <v/>
      </c>
      <c r="H1924">
        <f>IF(ISBLANK('ENGAGEMENTS 2026'!B1924),"",'ENGAGEMENTS 2026'!AE1924)</f>
        <v/>
      </c>
      <c r="I1924">
        <f>IF(ISBLANK('ENGAGEMENTS 2026'!B1924),"",'ENGAGEMENTS 2026'!G1924)</f>
        <v/>
      </c>
      <c r="J1924" s="275">
        <f>IF(ISBLANK('ENGAGEMENTS 2026'!B1924),"",IF(AND(OR($E1924="INFRUCTUEUX",$E1924="ANNULE"),$C1924="AOO-M"),'ENGAGEMENTS 2026'!O1924,IF($H1924="EN COURS DE PREENGAGEMENT",'ENGAGEMENTS 2026'!N1924,IF($H1924="PREENGAGE",IF($E1924="ATTRIBUE",'ENGAGEMENTS 2026'!AD1924,'ENGAGEMENTS 2026'!N1924),'ENGAGEMENTS 2026'!AD1924))))</f>
        <v/>
      </c>
      <c r="K1924" s="604">
        <f>IF(ISBLANK('ENGAGEMENTS 2026'!V1924),"",'ENGAGEMENTS 2026'!V1924)</f>
        <v/>
      </c>
      <c r="L1924" s="276">
        <f>IF($K1924="","",TODAY()-$K1924)</f>
        <v/>
      </c>
      <c r="M1924">
        <f>IF($A1924="","",IF($H1924="ENGAGE","Engagé",IF(AND($H1924="NON ENGAGE",OR($I1924="INFRUCTUEUX",$I1924="ANNULE")),"Clôturé sans suite","En cours")))</f>
        <v/>
      </c>
      <c r="N1924">
        <f>IF(ISBLANK('ENGAGEMENTS 2026'!B1924),"",'ENGAGEMENTS 2026'!K1924)</f>
        <v/>
      </c>
      <c r="O1924">
        <f>IF(ISBLANK('ENGAGEMENTS 2026'!B1924),"",'ENGAGEMENTS 2026'!L1924)</f>
        <v/>
      </c>
      <c r="P1924">
        <f>IF(ISBLANK('ENGAGEMENTS 2026'!B1924),"",'ENGAGEMENTS 2026'!J1924)</f>
        <v/>
      </c>
      <c r="Q1924">
        <f>IF($A1924="","",IF(OR($E1924="INFRUCTUEUX",$E1924="ANNULE"),$A1924&amp;"|"&amp;(COUNTIFS($A$2:$A1924,$A1924,$E$2:$E1924,"INFRUCTUEUX")+COUNTIFS($A$2:$A1924,$A1924,$E$2:$E1924,"ANNULE")),""))</f>
        <v/>
      </c>
    </row>
    <row r="1925">
      <c r="A1925">
        <f>IF(ISBLANK('ENGAGEMENTS 2026'!B1925),"",IF('ENGAGEMENTS 2026'!B1925="DTSI","DCT",'ENGAGEMENTS 2026'!B1925))</f>
        <v/>
      </c>
      <c r="B1925">
        <f>IF(ISBLANK('ENGAGEMENTS 2026'!B1925),"",'ENGAGEMENTS 2026'!C1925)</f>
        <v/>
      </c>
      <c r="C1925">
        <f>IF(ISBLANK('ENGAGEMENTS 2026'!B1925),"",'ENGAGEMENTS 2026'!D1925)</f>
        <v/>
      </c>
      <c r="D1925">
        <f>IF(ISBLANK('ENGAGEMENTS 2026'!B1925),"",'ENGAGEMENTS 2026'!F1925)</f>
        <v/>
      </c>
      <c r="E1925">
        <f>IF(ISBLANK('ENGAGEMENTS 2026'!B1925),"",'ENGAGEMENTS 2026'!H1925)</f>
        <v/>
      </c>
      <c r="F1925">
        <f>IF(ISBLANK('ENGAGEMENTS 2026'!B1925),"",'ENGAGEMENTS 2026'!I1925)</f>
        <v/>
      </c>
      <c r="G1925">
        <f>IF(ISBLANK('ENGAGEMENTS 2026'!B1925),"",'ENGAGEMENTS 2026'!L1925)</f>
        <v/>
      </c>
      <c r="H1925">
        <f>IF(ISBLANK('ENGAGEMENTS 2026'!B1925),"",'ENGAGEMENTS 2026'!AE1925)</f>
        <v/>
      </c>
      <c r="I1925">
        <f>IF(ISBLANK('ENGAGEMENTS 2026'!B1925),"",'ENGAGEMENTS 2026'!G1925)</f>
        <v/>
      </c>
      <c r="J1925" s="275">
        <f>IF(ISBLANK('ENGAGEMENTS 2026'!B1925),"",IF(AND(OR($E1925="INFRUCTUEUX",$E1925="ANNULE"),$C1925="AOO-M"),'ENGAGEMENTS 2026'!O1925,IF($H1925="EN COURS DE PREENGAGEMENT",'ENGAGEMENTS 2026'!N1925,IF($H1925="PREENGAGE",IF($E1925="ATTRIBUE",'ENGAGEMENTS 2026'!AD1925,'ENGAGEMENTS 2026'!N1925),'ENGAGEMENTS 2026'!AD1925))))</f>
        <v/>
      </c>
      <c r="K1925" s="604">
        <f>IF(ISBLANK('ENGAGEMENTS 2026'!V1925),"",'ENGAGEMENTS 2026'!V1925)</f>
        <v/>
      </c>
      <c r="L1925" s="276">
        <f>IF($K1925="","",TODAY()-$K1925)</f>
        <v/>
      </c>
      <c r="M1925">
        <f>IF($A1925="","",IF($H1925="ENGAGE","Engagé",IF(AND($H1925="NON ENGAGE",OR($I1925="INFRUCTUEUX",$I1925="ANNULE")),"Clôturé sans suite","En cours")))</f>
        <v/>
      </c>
      <c r="N1925">
        <f>IF(ISBLANK('ENGAGEMENTS 2026'!B1925),"",'ENGAGEMENTS 2026'!K1925)</f>
        <v/>
      </c>
      <c r="O1925">
        <f>IF(ISBLANK('ENGAGEMENTS 2026'!B1925),"",'ENGAGEMENTS 2026'!L1925)</f>
        <v/>
      </c>
      <c r="P1925">
        <f>IF(ISBLANK('ENGAGEMENTS 2026'!B1925),"",'ENGAGEMENTS 2026'!J1925)</f>
        <v/>
      </c>
      <c r="Q1925">
        <f>IF($A1925="","",IF(OR($E1925="INFRUCTUEUX",$E1925="ANNULE"),$A1925&amp;"|"&amp;(COUNTIFS($A$2:$A1925,$A1925,$E$2:$E1925,"INFRUCTUEUX")+COUNTIFS($A$2:$A1925,$A1925,$E$2:$E1925,"ANNULE")),""))</f>
        <v/>
      </c>
    </row>
    <row r="1926">
      <c r="A1926">
        <f>IF(ISBLANK('ENGAGEMENTS 2026'!B1926),"",IF('ENGAGEMENTS 2026'!B1926="DTSI","DCT",'ENGAGEMENTS 2026'!B1926))</f>
        <v/>
      </c>
      <c r="B1926">
        <f>IF(ISBLANK('ENGAGEMENTS 2026'!B1926),"",'ENGAGEMENTS 2026'!C1926)</f>
        <v/>
      </c>
      <c r="C1926">
        <f>IF(ISBLANK('ENGAGEMENTS 2026'!B1926),"",'ENGAGEMENTS 2026'!D1926)</f>
        <v/>
      </c>
      <c r="D1926">
        <f>IF(ISBLANK('ENGAGEMENTS 2026'!B1926),"",'ENGAGEMENTS 2026'!F1926)</f>
        <v/>
      </c>
      <c r="E1926">
        <f>IF(ISBLANK('ENGAGEMENTS 2026'!B1926),"",'ENGAGEMENTS 2026'!H1926)</f>
        <v/>
      </c>
      <c r="F1926">
        <f>IF(ISBLANK('ENGAGEMENTS 2026'!B1926),"",'ENGAGEMENTS 2026'!I1926)</f>
        <v/>
      </c>
      <c r="G1926">
        <f>IF(ISBLANK('ENGAGEMENTS 2026'!B1926),"",'ENGAGEMENTS 2026'!L1926)</f>
        <v/>
      </c>
      <c r="H1926">
        <f>IF(ISBLANK('ENGAGEMENTS 2026'!B1926),"",'ENGAGEMENTS 2026'!AE1926)</f>
        <v/>
      </c>
      <c r="I1926">
        <f>IF(ISBLANK('ENGAGEMENTS 2026'!B1926),"",'ENGAGEMENTS 2026'!G1926)</f>
        <v/>
      </c>
      <c r="J1926" s="275">
        <f>IF(ISBLANK('ENGAGEMENTS 2026'!B1926),"",IF(AND(OR($E1926="INFRUCTUEUX",$E1926="ANNULE"),$C1926="AOO-M"),'ENGAGEMENTS 2026'!O1926,IF($H1926="EN COURS DE PREENGAGEMENT",'ENGAGEMENTS 2026'!N1926,IF($H1926="PREENGAGE",IF($E1926="ATTRIBUE",'ENGAGEMENTS 2026'!AD1926,'ENGAGEMENTS 2026'!N1926),'ENGAGEMENTS 2026'!AD1926))))</f>
        <v/>
      </c>
      <c r="K1926" s="604">
        <f>IF(ISBLANK('ENGAGEMENTS 2026'!V1926),"",'ENGAGEMENTS 2026'!V1926)</f>
        <v/>
      </c>
      <c r="L1926" s="276">
        <f>IF($K1926="","",TODAY()-$K1926)</f>
        <v/>
      </c>
      <c r="M1926">
        <f>IF($A1926="","",IF($H1926="ENGAGE","Engagé",IF(AND($H1926="NON ENGAGE",OR($I1926="INFRUCTUEUX",$I1926="ANNULE")),"Clôturé sans suite","En cours")))</f>
        <v/>
      </c>
      <c r="N1926">
        <f>IF(ISBLANK('ENGAGEMENTS 2026'!B1926),"",'ENGAGEMENTS 2026'!K1926)</f>
        <v/>
      </c>
      <c r="O1926">
        <f>IF(ISBLANK('ENGAGEMENTS 2026'!B1926),"",'ENGAGEMENTS 2026'!L1926)</f>
        <v/>
      </c>
      <c r="P1926">
        <f>IF(ISBLANK('ENGAGEMENTS 2026'!B1926),"",'ENGAGEMENTS 2026'!J1926)</f>
        <v/>
      </c>
      <c r="Q1926">
        <f>IF($A1926="","",IF(OR($E1926="INFRUCTUEUX",$E1926="ANNULE"),$A1926&amp;"|"&amp;(COUNTIFS($A$2:$A1926,$A1926,$E$2:$E1926,"INFRUCTUEUX")+COUNTIFS($A$2:$A1926,$A1926,$E$2:$E1926,"ANNULE")),""))</f>
        <v/>
      </c>
    </row>
    <row r="1927">
      <c r="A1927">
        <f>IF(ISBLANK('ENGAGEMENTS 2026'!B1927),"",IF('ENGAGEMENTS 2026'!B1927="DTSI","DCT",'ENGAGEMENTS 2026'!B1927))</f>
        <v/>
      </c>
      <c r="B1927">
        <f>IF(ISBLANK('ENGAGEMENTS 2026'!B1927),"",'ENGAGEMENTS 2026'!C1927)</f>
        <v/>
      </c>
      <c r="C1927">
        <f>IF(ISBLANK('ENGAGEMENTS 2026'!B1927),"",'ENGAGEMENTS 2026'!D1927)</f>
        <v/>
      </c>
      <c r="D1927">
        <f>IF(ISBLANK('ENGAGEMENTS 2026'!B1927),"",'ENGAGEMENTS 2026'!F1927)</f>
        <v/>
      </c>
      <c r="E1927">
        <f>IF(ISBLANK('ENGAGEMENTS 2026'!B1927),"",'ENGAGEMENTS 2026'!H1927)</f>
        <v/>
      </c>
      <c r="F1927">
        <f>IF(ISBLANK('ENGAGEMENTS 2026'!B1927),"",'ENGAGEMENTS 2026'!I1927)</f>
        <v/>
      </c>
      <c r="G1927">
        <f>IF(ISBLANK('ENGAGEMENTS 2026'!B1927),"",'ENGAGEMENTS 2026'!L1927)</f>
        <v/>
      </c>
      <c r="H1927">
        <f>IF(ISBLANK('ENGAGEMENTS 2026'!B1927),"",'ENGAGEMENTS 2026'!AE1927)</f>
        <v/>
      </c>
      <c r="I1927">
        <f>IF(ISBLANK('ENGAGEMENTS 2026'!B1927),"",'ENGAGEMENTS 2026'!G1927)</f>
        <v/>
      </c>
      <c r="J1927" s="275">
        <f>IF(ISBLANK('ENGAGEMENTS 2026'!B1927),"",IF(AND(OR($E1927="INFRUCTUEUX",$E1927="ANNULE"),$C1927="AOO-M"),'ENGAGEMENTS 2026'!O1927,IF($H1927="EN COURS DE PREENGAGEMENT",'ENGAGEMENTS 2026'!N1927,IF($H1927="PREENGAGE",IF($E1927="ATTRIBUE",'ENGAGEMENTS 2026'!AD1927,'ENGAGEMENTS 2026'!N1927),'ENGAGEMENTS 2026'!AD1927))))</f>
        <v/>
      </c>
      <c r="K1927" s="604">
        <f>IF(ISBLANK('ENGAGEMENTS 2026'!V1927),"",'ENGAGEMENTS 2026'!V1927)</f>
        <v/>
      </c>
      <c r="L1927" s="276">
        <f>IF($K1927="","",TODAY()-$K1927)</f>
        <v/>
      </c>
      <c r="M1927">
        <f>IF($A1927="","",IF($H1927="ENGAGE","Engagé",IF(AND($H1927="NON ENGAGE",OR($I1927="INFRUCTUEUX",$I1927="ANNULE")),"Clôturé sans suite","En cours")))</f>
        <v/>
      </c>
      <c r="N1927">
        <f>IF(ISBLANK('ENGAGEMENTS 2026'!B1927),"",'ENGAGEMENTS 2026'!K1927)</f>
        <v/>
      </c>
      <c r="O1927">
        <f>IF(ISBLANK('ENGAGEMENTS 2026'!B1927),"",'ENGAGEMENTS 2026'!L1927)</f>
        <v/>
      </c>
      <c r="P1927">
        <f>IF(ISBLANK('ENGAGEMENTS 2026'!B1927),"",'ENGAGEMENTS 2026'!J1927)</f>
        <v/>
      </c>
      <c r="Q1927">
        <f>IF($A1927="","",IF(OR($E1927="INFRUCTUEUX",$E1927="ANNULE"),$A1927&amp;"|"&amp;(COUNTIFS($A$2:$A1927,$A1927,$E$2:$E1927,"INFRUCTUEUX")+COUNTIFS($A$2:$A1927,$A1927,$E$2:$E1927,"ANNULE")),""))</f>
        <v/>
      </c>
    </row>
    <row r="1928">
      <c r="A1928">
        <f>IF(ISBLANK('ENGAGEMENTS 2026'!B1928),"",IF('ENGAGEMENTS 2026'!B1928="DTSI","DCT",'ENGAGEMENTS 2026'!B1928))</f>
        <v/>
      </c>
      <c r="B1928">
        <f>IF(ISBLANK('ENGAGEMENTS 2026'!B1928),"",'ENGAGEMENTS 2026'!C1928)</f>
        <v/>
      </c>
      <c r="C1928">
        <f>IF(ISBLANK('ENGAGEMENTS 2026'!B1928),"",'ENGAGEMENTS 2026'!D1928)</f>
        <v/>
      </c>
      <c r="D1928">
        <f>IF(ISBLANK('ENGAGEMENTS 2026'!B1928),"",'ENGAGEMENTS 2026'!F1928)</f>
        <v/>
      </c>
      <c r="E1928">
        <f>IF(ISBLANK('ENGAGEMENTS 2026'!B1928),"",'ENGAGEMENTS 2026'!H1928)</f>
        <v/>
      </c>
      <c r="F1928">
        <f>IF(ISBLANK('ENGAGEMENTS 2026'!B1928),"",'ENGAGEMENTS 2026'!I1928)</f>
        <v/>
      </c>
      <c r="G1928">
        <f>IF(ISBLANK('ENGAGEMENTS 2026'!B1928),"",'ENGAGEMENTS 2026'!L1928)</f>
        <v/>
      </c>
      <c r="H1928">
        <f>IF(ISBLANK('ENGAGEMENTS 2026'!B1928),"",'ENGAGEMENTS 2026'!AE1928)</f>
        <v/>
      </c>
      <c r="I1928">
        <f>IF(ISBLANK('ENGAGEMENTS 2026'!B1928),"",'ENGAGEMENTS 2026'!G1928)</f>
        <v/>
      </c>
      <c r="J1928" s="275">
        <f>IF(ISBLANK('ENGAGEMENTS 2026'!B1928),"",IF(AND(OR($E1928="INFRUCTUEUX",$E1928="ANNULE"),$C1928="AOO-M"),'ENGAGEMENTS 2026'!O1928,IF($H1928="EN COURS DE PREENGAGEMENT",'ENGAGEMENTS 2026'!N1928,IF($H1928="PREENGAGE",IF($E1928="ATTRIBUE",'ENGAGEMENTS 2026'!AD1928,'ENGAGEMENTS 2026'!N1928),'ENGAGEMENTS 2026'!AD1928))))</f>
        <v/>
      </c>
      <c r="K1928" s="604">
        <f>IF(ISBLANK('ENGAGEMENTS 2026'!V1928),"",'ENGAGEMENTS 2026'!V1928)</f>
        <v/>
      </c>
      <c r="L1928" s="276">
        <f>IF($K1928="","",TODAY()-$K1928)</f>
        <v/>
      </c>
      <c r="M1928">
        <f>IF($A1928="","",IF($H1928="ENGAGE","Engagé",IF(AND($H1928="NON ENGAGE",OR($I1928="INFRUCTUEUX",$I1928="ANNULE")),"Clôturé sans suite","En cours")))</f>
        <v/>
      </c>
      <c r="N1928">
        <f>IF(ISBLANK('ENGAGEMENTS 2026'!B1928),"",'ENGAGEMENTS 2026'!K1928)</f>
        <v/>
      </c>
      <c r="O1928">
        <f>IF(ISBLANK('ENGAGEMENTS 2026'!B1928),"",'ENGAGEMENTS 2026'!L1928)</f>
        <v/>
      </c>
      <c r="P1928">
        <f>IF(ISBLANK('ENGAGEMENTS 2026'!B1928),"",'ENGAGEMENTS 2026'!J1928)</f>
        <v/>
      </c>
      <c r="Q1928">
        <f>IF($A1928="","",IF(OR($E1928="INFRUCTUEUX",$E1928="ANNULE"),$A1928&amp;"|"&amp;(COUNTIFS($A$2:$A1928,$A1928,$E$2:$E1928,"INFRUCTUEUX")+COUNTIFS($A$2:$A1928,$A1928,$E$2:$E1928,"ANNULE")),""))</f>
        <v/>
      </c>
    </row>
    <row r="1929">
      <c r="A1929">
        <f>IF(ISBLANK('ENGAGEMENTS 2026'!B1929),"",IF('ENGAGEMENTS 2026'!B1929="DTSI","DCT",'ENGAGEMENTS 2026'!B1929))</f>
        <v/>
      </c>
      <c r="B1929">
        <f>IF(ISBLANK('ENGAGEMENTS 2026'!B1929),"",'ENGAGEMENTS 2026'!C1929)</f>
        <v/>
      </c>
      <c r="C1929">
        <f>IF(ISBLANK('ENGAGEMENTS 2026'!B1929),"",'ENGAGEMENTS 2026'!D1929)</f>
        <v/>
      </c>
      <c r="D1929">
        <f>IF(ISBLANK('ENGAGEMENTS 2026'!B1929),"",'ENGAGEMENTS 2026'!F1929)</f>
        <v/>
      </c>
      <c r="E1929">
        <f>IF(ISBLANK('ENGAGEMENTS 2026'!B1929),"",'ENGAGEMENTS 2026'!H1929)</f>
        <v/>
      </c>
      <c r="F1929">
        <f>IF(ISBLANK('ENGAGEMENTS 2026'!B1929),"",'ENGAGEMENTS 2026'!I1929)</f>
        <v/>
      </c>
      <c r="G1929">
        <f>IF(ISBLANK('ENGAGEMENTS 2026'!B1929),"",'ENGAGEMENTS 2026'!L1929)</f>
        <v/>
      </c>
      <c r="H1929">
        <f>IF(ISBLANK('ENGAGEMENTS 2026'!B1929),"",'ENGAGEMENTS 2026'!AE1929)</f>
        <v/>
      </c>
      <c r="I1929">
        <f>IF(ISBLANK('ENGAGEMENTS 2026'!B1929),"",'ENGAGEMENTS 2026'!G1929)</f>
        <v/>
      </c>
      <c r="J1929" s="275">
        <f>IF(ISBLANK('ENGAGEMENTS 2026'!B1929),"",IF(AND(OR($E1929="INFRUCTUEUX",$E1929="ANNULE"),$C1929="AOO-M"),'ENGAGEMENTS 2026'!O1929,IF($H1929="EN COURS DE PREENGAGEMENT",'ENGAGEMENTS 2026'!N1929,IF($H1929="PREENGAGE",IF($E1929="ATTRIBUE",'ENGAGEMENTS 2026'!AD1929,'ENGAGEMENTS 2026'!N1929),'ENGAGEMENTS 2026'!AD1929))))</f>
        <v/>
      </c>
      <c r="K1929" s="604">
        <f>IF(ISBLANK('ENGAGEMENTS 2026'!V1929),"",'ENGAGEMENTS 2026'!V1929)</f>
        <v/>
      </c>
      <c r="L1929" s="276">
        <f>IF($K1929="","",TODAY()-$K1929)</f>
        <v/>
      </c>
      <c r="M1929">
        <f>IF($A1929="","",IF($H1929="ENGAGE","Engagé",IF(AND($H1929="NON ENGAGE",OR($I1929="INFRUCTUEUX",$I1929="ANNULE")),"Clôturé sans suite","En cours")))</f>
        <v/>
      </c>
      <c r="N1929">
        <f>IF(ISBLANK('ENGAGEMENTS 2026'!B1929),"",'ENGAGEMENTS 2026'!K1929)</f>
        <v/>
      </c>
      <c r="O1929">
        <f>IF(ISBLANK('ENGAGEMENTS 2026'!B1929),"",'ENGAGEMENTS 2026'!L1929)</f>
        <v/>
      </c>
      <c r="P1929">
        <f>IF(ISBLANK('ENGAGEMENTS 2026'!B1929),"",'ENGAGEMENTS 2026'!J1929)</f>
        <v/>
      </c>
      <c r="Q1929">
        <f>IF($A1929="","",IF(OR($E1929="INFRUCTUEUX",$E1929="ANNULE"),$A1929&amp;"|"&amp;(COUNTIFS($A$2:$A1929,$A1929,$E$2:$E1929,"INFRUCTUEUX")+COUNTIFS($A$2:$A1929,$A1929,$E$2:$E1929,"ANNULE")),""))</f>
        <v/>
      </c>
    </row>
    <row r="1930">
      <c r="A1930">
        <f>IF(ISBLANK('ENGAGEMENTS 2026'!B1930),"",IF('ENGAGEMENTS 2026'!B1930="DTSI","DCT",'ENGAGEMENTS 2026'!B1930))</f>
        <v/>
      </c>
      <c r="B1930">
        <f>IF(ISBLANK('ENGAGEMENTS 2026'!B1930),"",'ENGAGEMENTS 2026'!C1930)</f>
        <v/>
      </c>
      <c r="C1930">
        <f>IF(ISBLANK('ENGAGEMENTS 2026'!B1930),"",'ENGAGEMENTS 2026'!D1930)</f>
        <v/>
      </c>
      <c r="D1930">
        <f>IF(ISBLANK('ENGAGEMENTS 2026'!B1930),"",'ENGAGEMENTS 2026'!F1930)</f>
        <v/>
      </c>
      <c r="E1930">
        <f>IF(ISBLANK('ENGAGEMENTS 2026'!B1930),"",'ENGAGEMENTS 2026'!H1930)</f>
        <v/>
      </c>
      <c r="F1930">
        <f>IF(ISBLANK('ENGAGEMENTS 2026'!B1930),"",'ENGAGEMENTS 2026'!I1930)</f>
        <v/>
      </c>
      <c r="G1930">
        <f>IF(ISBLANK('ENGAGEMENTS 2026'!B1930),"",'ENGAGEMENTS 2026'!L1930)</f>
        <v/>
      </c>
      <c r="H1930">
        <f>IF(ISBLANK('ENGAGEMENTS 2026'!B1930),"",'ENGAGEMENTS 2026'!AE1930)</f>
        <v/>
      </c>
      <c r="I1930">
        <f>IF(ISBLANK('ENGAGEMENTS 2026'!B1930),"",'ENGAGEMENTS 2026'!G1930)</f>
        <v/>
      </c>
      <c r="J1930" s="275">
        <f>IF(ISBLANK('ENGAGEMENTS 2026'!B1930),"",IF(AND(OR($E1930="INFRUCTUEUX",$E1930="ANNULE"),$C1930="AOO-M"),'ENGAGEMENTS 2026'!O1930,IF($H1930="EN COURS DE PREENGAGEMENT",'ENGAGEMENTS 2026'!N1930,IF($H1930="PREENGAGE",IF($E1930="ATTRIBUE",'ENGAGEMENTS 2026'!AD1930,'ENGAGEMENTS 2026'!N1930),'ENGAGEMENTS 2026'!AD1930))))</f>
        <v/>
      </c>
      <c r="K1930" s="604">
        <f>IF(ISBLANK('ENGAGEMENTS 2026'!V1930),"",'ENGAGEMENTS 2026'!V1930)</f>
        <v/>
      </c>
      <c r="L1930" s="276">
        <f>IF($K1930="","",TODAY()-$K1930)</f>
        <v/>
      </c>
      <c r="M1930">
        <f>IF($A1930="","",IF($H1930="ENGAGE","Engagé",IF(AND($H1930="NON ENGAGE",OR($I1930="INFRUCTUEUX",$I1930="ANNULE")),"Clôturé sans suite","En cours")))</f>
        <v/>
      </c>
      <c r="N1930">
        <f>IF(ISBLANK('ENGAGEMENTS 2026'!B1930),"",'ENGAGEMENTS 2026'!K1930)</f>
        <v/>
      </c>
      <c r="O1930">
        <f>IF(ISBLANK('ENGAGEMENTS 2026'!B1930),"",'ENGAGEMENTS 2026'!L1930)</f>
        <v/>
      </c>
      <c r="P1930">
        <f>IF(ISBLANK('ENGAGEMENTS 2026'!B1930),"",'ENGAGEMENTS 2026'!J1930)</f>
        <v/>
      </c>
      <c r="Q1930">
        <f>IF($A1930="","",IF(OR($E1930="INFRUCTUEUX",$E1930="ANNULE"),$A1930&amp;"|"&amp;(COUNTIFS($A$2:$A1930,$A1930,$E$2:$E1930,"INFRUCTUEUX")+COUNTIFS($A$2:$A1930,$A1930,$E$2:$E1930,"ANNULE")),""))</f>
        <v/>
      </c>
    </row>
    <row r="1931">
      <c r="A1931">
        <f>IF(ISBLANK('ENGAGEMENTS 2026'!B1931),"",IF('ENGAGEMENTS 2026'!B1931="DTSI","DCT",'ENGAGEMENTS 2026'!B1931))</f>
        <v/>
      </c>
      <c r="B1931">
        <f>IF(ISBLANK('ENGAGEMENTS 2026'!B1931),"",'ENGAGEMENTS 2026'!C1931)</f>
        <v/>
      </c>
      <c r="C1931">
        <f>IF(ISBLANK('ENGAGEMENTS 2026'!B1931),"",'ENGAGEMENTS 2026'!D1931)</f>
        <v/>
      </c>
      <c r="D1931">
        <f>IF(ISBLANK('ENGAGEMENTS 2026'!B1931),"",'ENGAGEMENTS 2026'!F1931)</f>
        <v/>
      </c>
      <c r="E1931">
        <f>IF(ISBLANK('ENGAGEMENTS 2026'!B1931),"",'ENGAGEMENTS 2026'!H1931)</f>
        <v/>
      </c>
      <c r="F1931">
        <f>IF(ISBLANK('ENGAGEMENTS 2026'!B1931),"",'ENGAGEMENTS 2026'!I1931)</f>
        <v/>
      </c>
      <c r="G1931">
        <f>IF(ISBLANK('ENGAGEMENTS 2026'!B1931),"",'ENGAGEMENTS 2026'!L1931)</f>
        <v/>
      </c>
      <c r="H1931">
        <f>IF(ISBLANK('ENGAGEMENTS 2026'!B1931),"",'ENGAGEMENTS 2026'!AE1931)</f>
        <v/>
      </c>
      <c r="I1931">
        <f>IF(ISBLANK('ENGAGEMENTS 2026'!B1931),"",'ENGAGEMENTS 2026'!G1931)</f>
        <v/>
      </c>
      <c r="J1931" s="275">
        <f>IF(ISBLANK('ENGAGEMENTS 2026'!B1931),"",IF(AND(OR($E1931="INFRUCTUEUX",$E1931="ANNULE"),$C1931="AOO-M"),'ENGAGEMENTS 2026'!O1931,IF($H1931="EN COURS DE PREENGAGEMENT",'ENGAGEMENTS 2026'!N1931,IF($H1931="PREENGAGE",IF($E1931="ATTRIBUE",'ENGAGEMENTS 2026'!AD1931,'ENGAGEMENTS 2026'!N1931),'ENGAGEMENTS 2026'!AD1931))))</f>
        <v/>
      </c>
      <c r="K1931" s="604">
        <f>IF(ISBLANK('ENGAGEMENTS 2026'!V1931),"",'ENGAGEMENTS 2026'!V1931)</f>
        <v/>
      </c>
      <c r="L1931" s="276">
        <f>IF($K1931="","",TODAY()-$K1931)</f>
        <v/>
      </c>
      <c r="M1931">
        <f>IF($A1931="","",IF($H1931="ENGAGE","Engagé",IF(AND($H1931="NON ENGAGE",OR($I1931="INFRUCTUEUX",$I1931="ANNULE")),"Clôturé sans suite","En cours")))</f>
        <v/>
      </c>
      <c r="N1931">
        <f>IF(ISBLANK('ENGAGEMENTS 2026'!B1931),"",'ENGAGEMENTS 2026'!K1931)</f>
        <v/>
      </c>
      <c r="O1931">
        <f>IF(ISBLANK('ENGAGEMENTS 2026'!B1931),"",'ENGAGEMENTS 2026'!L1931)</f>
        <v/>
      </c>
      <c r="P1931">
        <f>IF(ISBLANK('ENGAGEMENTS 2026'!B1931),"",'ENGAGEMENTS 2026'!J1931)</f>
        <v/>
      </c>
      <c r="Q1931">
        <f>IF($A1931="","",IF(OR($E1931="INFRUCTUEUX",$E1931="ANNULE"),$A1931&amp;"|"&amp;(COUNTIFS($A$2:$A1931,$A1931,$E$2:$E1931,"INFRUCTUEUX")+COUNTIFS($A$2:$A1931,$A1931,$E$2:$E1931,"ANNULE")),""))</f>
        <v/>
      </c>
    </row>
    <row r="1932">
      <c r="A1932">
        <f>IF(ISBLANK('ENGAGEMENTS 2026'!B1932),"",IF('ENGAGEMENTS 2026'!B1932="DTSI","DCT",'ENGAGEMENTS 2026'!B1932))</f>
        <v/>
      </c>
      <c r="B1932">
        <f>IF(ISBLANK('ENGAGEMENTS 2026'!B1932),"",'ENGAGEMENTS 2026'!C1932)</f>
        <v/>
      </c>
      <c r="C1932">
        <f>IF(ISBLANK('ENGAGEMENTS 2026'!B1932),"",'ENGAGEMENTS 2026'!D1932)</f>
        <v/>
      </c>
      <c r="D1932">
        <f>IF(ISBLANK('ENGAGEMENTS 2026'!B1932),"",'ENGAGEMENTS 2026'!F1932)</f>
        <v/>
      </c>
      <c r="E1932">
        <f>IF(ISBLANK('ENGAGEMENTS 2026'!B1932),"",'ENGAGEMENTS 2026'!H1932)</f>
        <v/>
      </c>
      <c r="F1932">
        <f>IF(ISBLANK('ENGAGEMENTS 2026'!B1932),"",'ENGAGEMENTS 2026'!I1932)</f>
        <v/>
      </c>
      <c r="G1932">
        <f>IF(ISBLANK('ENGAGEMENTS 2026'!B1932),"",'ENGAGEMENTS 2026'!L1932)</f>
        <v/>
      </c>
      <c r="H1932">
        <f>IF(ISBLANK('ENGAGEMENTS 2026'!B1932),"",'ENGAGEMENTS 2026'!AE1932)</f>
        <v/>
      </c>
      <c r="I1932">
        <f>IF(ISBLANK('ENGAGEMENTS 2026'!B1932),"",'ENGAGEMENTS 2026'!G1932)</f>
        <v/>
      </c>
      <c r="J1932" s="275">
        <f>IF(ISBLANK('ENGAGEMENTS 2026'!B1932),"",IF(AND(OR($E1932="INFRUCTUEUX",$E1932="ANNULE"),$C1932="AOO-M"),'ENGAGEMENTS 2026'!O1932,IF($H1932="EN COURS DE PREENGAGEMENT",'ENGAGEMENTS 2026'!N1932,IF($H1932="PREENGAGE",IF($E1932="ATTRIBUE",'ENGAGEMENTS 2026'!AD1932,'ENGAGEMENTS 2026'!N1932),'ENGAGEMENTS 2026'!AD1932))))</f>
        <v/>
      </c>
      <c r="K1932" s="604">
        <f>IF(ISBLANK('ENGAGEMENTS 2026'!V1932),"",'ENGAGEMENTS 2026'!V1932)</f>
        <v/>
      </c>
      <c r="L1932" s="276">
        <f>IF($K1932="","",TODAY()-$K1932)</f>
        <v/>
      </c>
      <c r="M1932">
        <f>IF($A1932="","",IF($H1932="ENGAGE","Engagé",IF(AND($H1932="NON ENGAGE",OR($I1932="INFRUCTUEUX",$I1932="ANNULE")),"Clôturé sans suite","En cours")))</f>
        <v/>
      </c>
      <c r="N1932">
        <f>IF(ISBLANK('ENGAGEMENTS 2026'!B1932),"",'ENGAGEMENTS 2026'!K1932)</f>
        <v/>
      </c>
      <c r="O1932">
        <f>IF(ISBLANK('ENGAGEMENTS 2026'!B1932),"",'ENGAGEMENTS 2026'!L1932)</f>
        <v/>
      </c>
      <c r="P1932">
        <f>IF(ISBLANK('ENGAGEMENTS 2026'!B1932),"",'ENGAGEMENTS 2026'!J1932)</f>
        <v/>
      </c>
      <c r="Q1932">
        <f>IF($A1932="","",IF(OR($E1932="INFRUCTUEUX",$E1932="ANNULE"),$A1932&amp;"|"&amp;(COUNTIFS($A$2:$A1932,$A1932,$E$2:$E1932,"INFRUCTUEUX")+COUNTIFS($A$2:$A1932,$A1932,$E$2:$E1932,"ANNULE")),""))</f>
        <v/>
      </c>
    </row>
    <row r="1933">
      <c r="A1933">
        <f>IF(ISBLANK('ENGAGEMENTS 2026'!B1933),"",IF('ENGAGEMENTS 2026'!B1933="DTSI","DCT",'ENGAGEMENTS 2026'!B1933))</f>
        <v/>
      </c>
      <c r="B1933">
        <f>IF(ISBLANK('ENGAGEMENTS 2026'!B1933),"",'ENGAGEMENTS 2026'!C1933)</f>
        <v/>
      </c>
      <c r="C1933">
        <f>IF(ISBLANK('ENGAGEMENTS 2026'!B1933),"",'ENGAGEMENTS 2026'!D1933)</f>
        <v/>
      </c>
      <c r="D1933">
        <f>IF(ISBLANK('ENGAGEMENTS 2026'!B1933),"",'ENGAGEMENTS 2026'!F1933)</f>
        <v/>
      </c>
      <c r="E1933">
        <f>IF(ISBLANK('ENGAGEMENTS 2026'!B1933),"",'ENGAGEMENTS 2026'!H1933)</f>
        <v/>
      </c>
      <c r="F1933">
        <f>IF(ISBLANK('ENGAGEMENTS 2026'!B1933),"",'ENGAGEMENTS 2026'!I1933)</f>
        <v/>
      </c>
      <c r="G1933">
        <f>IF(ISBLANK('ENGAGEMENTS 2026'!B1933),"",'ENGAGEMENTS 2026'!L1933)</f>
        <v/>
      </c>
      <c r="H1933">
        <f>IF(ISBLANK('ENGAGEMENTS 2026'!B1933),"",'ENGAGEMENTS 2026'!AE1933)</f>
        <v/>
      </c>
      <c r="I1933">
        <f>IF(ISBLANK('ENGAGEMENTS 2026'!B1933),"",'ENGAGEMENTS 2026'!G1933)</f>
        <v/>
      </c>
      <c r="J1933" s="275">
        <f>IF(ISBLANK('ENGAGEMENTS 2026'!B1933),"",IF(AND(OR($E1933="INFRUCTUEUX",$E1933="ANNULE"),$C1933="AOO-M"),'ENGAGEMENTS 2026'!O1933,IF($H1933="EN COURS DE PREENGAGEMENT",'ENGAGEMENTS 2026'!N1933,IF($H1933="PREENGAGE",IF($E1933="ATTRIBUE",'ENGAGEMENTS 2026'!AD1933,'ENGAGEMENTS 2026'!N1933),'ENGAGEMENTS 2026'!AD1933))))</f>
        <v/>
      </c>
      <c r="K1933" s="604">
        <f>IF(ISBLANK('ENGAGEMENTS 2026'!V1933),"",'ENGAGEMENTS 2026'!V1933)</f>
        <v/>
      </c>
      <c r="L1933" s="276">
        <f>IF($K1933="","",TODAY()-$K1933)</f>
        <v/>
      </c>
      <c r="M1933">
        <f>IF($A1933="","",IF($H1933="ENGAGE","Engagé",IF(AND($H1933="NON ENGAGE",OR($I1933="INFRUCTUEUX",$I1933="ANNULE")),"Clôturé sans suite","En cours")))</f>
        <v/>
      </c>
      <c r="N1933">
        <f>IF(ISBLANK('ENGAGEMENTS 2026'!B1933),"",'ENGAGEMENTS 2026'!K1933)</f>
        <v/>
      </c>
      <c r="O1933">
        <f>IF(ISBLANK('ENGAGEMENTS 2026'!B1933),"",'ENGAGEMENTS 2026'!L1933)</f>
        <v/>
      </c>
      <c r="P1933">
        <f>IF(ISBLANK('ENGAGEMENTS 2026'!B1933),"",'ENGAGEMENTS 2026'!J1933)</f>
        <v/>
      </c>
      <c r="Q1933">
        <f>IF($A1933="","",IF(OR($E1933="INFRUCTUEUX",$E1933="ANNULE"),$A1933&amp;"|"&amp;(COUNTIFS($A$2:$A1933,$A1933,$E$2:$E1933,"INFRUCTUEUX")+COUNTIFS($A$2:$A1933,$A1933,$E$2:$E1933,"ANNULE")),""))</f>
        <v/>
      </c>
    </row>
    <row r="1934">
      <c r="A1934">
        <f>IF(ISBLANK('ENGAGEMENTS 2026'!B1934),"",IF('ENGAGEMENTS 2026'!B1934="DTSI","DCT",'ENGAGEMENTS 2026'!B1934))</f>
        <v/>
      </c>
      <c r="B1934">
        <f>IF(ISBLANK('ENGAGEMENTS 2026'!B1934),"",'ENGAGEMENTS 2026'!C1934)</f>
        <v/>
      </c>
      <c r="C1934">
        <f>IF(ISBLANK('ENGAGEMENTS 2026'!B1934),"",'ENGAGEMENTS 2026'!D1934)</f>
        <v/>
      </c>
      <c r="D1934">
        <f>IF(ISBLANK('ENGAGEMENTS 2026'!B1934),"",'ENGAGEMENTS 2026'!F1934)</f>
        <v/>
      </c>
      <c r="E1934">
        <f>IF(ISBLANK('ENGAGEMENTS 2026'!B1934),"",'ENGAGEMENTS 2026'!H1934)</f>
        <v/>
      </c>
      <c r="F1934">
        <f>IF(ISBLANK('ENGAGEMENTS 2026'!B1934),"",'ENGAGEMENTS 2026'!I1934)</f>
        <v/>
      </c>
      <c r="G1934">
        <f>IF(ISBLANK('ENGAGEMENTS 2026'!B1934),"",'ENGAGEMENTS 2026'!L1934)</f>
        <v/>
      </c>
      <c r="H1934">
        <f>IF(ISBLANK('ENGAGEMENTS 2026'!B1934),"",'ENGAGEMENTS 2026'!AE1934)</f>
        <v/>
      </c>
      <c r="I1934">
        <f>IF(ISBLANK('ENGAGEMENTS 2026'!B1934),"",'ENGAGEMENTS 2026'!G1934)</f>
        <v/>
      </c>
      <c r="J1934" s="275">
        <f>IF(ISBLANK('ENGAGEMENTS 2026'!B1934),"",IF(AND(OR($E1934="INFRUCTUEUX",$E1934="ANNULE"),$C1934="AOO-M"),'ENGAGEMENTS 2026'!O1934,IF($H1934="EN COURS DE PREENGAGEMENT",'ENGAGEMENTS 2026'!N1934,IF($H1934="PREENGAGE",IF($E1934="ATTRIBUE",'ENGAGEMENTS 2026'!AD1934,'ENGAGEMENTS 2026'!N1934),'ENGAGEMENTS 2026'!AD1934))))</f>
        <v/>
      </c>
      <c r="K1934" s="604">
        <f>IF(ISBLANK('ENGAGEMENTS 2026'!V1934),"",'ENGAGEMENTS 2026'!V1934)</f>
        <v/>
      </c>
      <c r="L1934" s="276">
        <f>IF($K1934="","",TODAY()-$K1934)</f>
        <v/>
      </c>
      <c r="M1934">
        <f>IF($A1934="","",IF($H1934="ENGAGE","Engagé",IF(AND($H1934="NON ENGAGE",OR($I1934="INFRUCTUEUX",$I1934="ANNULE")),"Clôturé sans suite","En cours")))</f>
        <v/>
      </c>
      <c r="N1934">
        <f>IF(ISBLANK('ENGAGEMENTS 2026'!B1934),"",'ENGAGEMENTS 2026'!K1934)</f>
        <v/>
      </c>
      <c r="O1934">
        <f>IF(ISBLANK('ENGAGEMENTS 2026'!B1934),"",'ENGAGEMENTS 2026'!L1934)</f>
        <v/>
      </c>
      <c r="P1934">
        <f>IF(ISBLANK('ENGAGEMENTS 2026'!B1934),"",'ENGAGEMENTS 2026'!J1934)</f>
        <v/>
      </c>
      <c r="Q1934">
        <f>IF($A1934="","",IF(OR($E1934="INFRUCTUEUX",$E1934="ANNULE"),$A1934&amp;"|"&amp;(COUNTIFS($A$2:$A1934,$A1934,$E$2:$E1934,"INFRUCTUEUX")+COUNTIFS($A$2:$A1934,$A1934,$E$2:$E1934,"ANNULE")),""))</f>
        <v/>
      </c>
    </row>
    <row r="1935">
      <c r="A1935">
        <f>IF(ISBLANK('ENGAGEMENTS 2026'!B1935),"",IF('ENGAGEMENTS 2026'!B1935="DTSI","DCT",'ENGAGEMENTS 2026'!B1935))</f>
        <v/>
      </c>
      <c r="B1935">
        <f>IF(ISBLANK('ENGAGEMENTS 2026'!B1935),"",'ENGAGEMENTS 2026'!C1935)</f>
        <v/>
      </c>
      <c r="C1935">
        <f>IF(ISBLANK('ENGAGEMENTS 2026'!B1935),"",'ENGAGEMENTS 2026'!D1935)</f>
        <v/>
      </c>
      <c r="D1935">
        <f>IF(ISBLANK('ENGAGEMENTS 2026'!B1935),"",'ENGAGEMENTS 2026'!F1935)</f>
        <v/>
      </c>
      <c r="E1935">
        <f>IF(ISBLANK('ENGAGEMENTS 2026'!B1935),"",'ENGAGEMENTS 2026'!H1935)</f>
        <v/>
      </c>
      <c r="F1935">
        <f>IF(ISBLANK('ENGAGEMENTS 2026'!B1935),"",'ENGAGEMENTS 2026'!I1935)</f>
        <v/>
      </c>
      <c r="G1935">
        <f>IF(ISBLANK('ENGAGEMENTS 2026'!B1935),"",'ENGAGEMENTS 2026'!L1935)</f>
        <v/>
      </c>
      <c r="H1935">
        <f>IF(ISBLANK('ENGAGEMENTS 2026'!B1935),"",'ENGAGEMENTS 2026'!AE1935)</f>
        <v/>
      </c>
      <c r="I1935">
        <f>IF(ISBLANK('ENGAGEMENTS 2026'!B1935),"",'ENGAGEMENTS 2026'!G1935)</f>
        <v/>
      </c>
      <c r="J1935" s="275">
        <f>IF(ISBLANK('ENGAGEMENTS 2026'!B1935),"",IF(AND(OR($E1935="INFRUCTUEUX",$E1935="ANNULE"),$C1935="AOO-M"),'ENGAGEMENTS 2026'!O1935,IF($H1935="EN COURS DE PREENGAGEMENT",'ENGAGEMENTS 2026'!N1935,IF($H1935="PREENGAGE",IF($E1935="ATTRIBUE",'ENGAGEMENTS 2026'!AD1935,'ENGAGEMENTS 2026'!N1935),'ENGAGEMENTS 2026'!AD1935))))</f>
        <v/>
      </c>
      <c r="K1935" s="604">
        <f>IF(ISBLANK('ENGAGEMENTS 2026'!V1935),"",'ENGAGEMENTS 2026'!V1935)</f>
        <v/>
      </c>
      <c r="L1935" s="276">
        <f>IF($K1935="","",TODAY()-$K1935)</f>
        <v/>
      </c>
      <c r="M1935">
        <f>IF($A1935="","",IF($H1935="ENGAGE","Engagé",IF(AND($H1935="NON ENGAGE",OR($I1935="INFRUCTUEUX",$I1935="ANNULE")),"Clôturé sans suite","En cours")))</f>
        <v/>
      </c>
      <c r="N1935">
        <f>IF(ISBLANK('ENGAGEMENTS 2026'!B1935),"",'ENGAGEMENTS 2026'!K1935)</f>
        <v/>
      </c>
      <c r="O1935">
        <f>IF(ISBLANK('ENGAGEMENTS 2026'!B1935),"",'ENGAGEMENTS 2026'!L1935)</f>
        <v/>
      </c>
      <c r="P1935">
        <f>IF(ISBLANK('ENGAGEMENTS 2026'!B1935),"",'ENGAGEMENTS 2026'!J1935)</f>
        <v/>
      </c>
      <c r="Q1935">
        <f>IF($A1935="","",IF(OR($E1935="INFRUCTUEUX",$E1935="ANNULE"),$A1935&amp;"|"&amp;(COUNTIFS($A$2:$A1935,$A1935,$E$2:$E1935,"INFRUCTUEUX")+COUNTIFS($A$2:$A1935,$A1935,$E$2:$E1935,"ANNULE")),""))</f>
        <v/>
      </c>
    </row>
    <row r="1936">
      <c r="A1936">
        <f>IF(ISBLANK('ENGAGEMENTS 2026'!B1936),"",IF('ENGAGEMENTS 2026'!B1936="DTSI","DCT",'ENGAGEMENTS 2026'!B1936))</f>
        <v/>
      </c>
      <c r="B1936">
        <f>IF(ISBLANK('ENGAGEMENTS 2026'!B1936),"",'ENGAGEMENTS 2026'!C1936)</f>
        <v/>
      </c>
      <c r="C1936">
        <f>IF(ISBLANK('ENGAGEMENTS 2026'!B1936),"",'ENGAGEMENTS 2026'!D1936)</f>
        <v/>
      </c>
      <c r="D1936">
        <f>IF(ISBLANK('ENGAGEMENTS 2026'!B1936),"",'ENGAGEMENTS 2026'!F1936)</f>
        <v/>
      </c>
      <c r="E1936">
        <f>IF(ISBLANK('ENGAGEMENTS 2026'!B1936),"",'ENGAGEMENTS 2026'!H1936)</f>
        <v/>
      </c>
      <c r="F1936">
        <f>IF(ISBLANK('ENGAGEMENTS 2026'!B1936),"",'ENGAGEMENTS 2026'!I1936)</f>
        <v/>
      </c>
      <c r="G1936">
        <f>IF(ISBLANK('ENGAGEMENTS 2026'!B1936),"",'ENGAGEMENTS 2026'!L1936)</f>
        <v/>
      </c>
      <c r="H1936">
        <f>IF(ISBLANK('ENGAGEMENTS 2026'!B1936),"",'ENGAGEMENTS 2026'!AE1936)</f>
        <v/>
      </c>
      <c r="I1936">
        <f>IF(ISBLANK('ENGAGEMENTS 2026'!B1936),"",'ENGAGEMENTS 2026'!G1936)</f>
        <v/>
      </c>
      <c r="J1936" s="275">
        <f>IF(ISBLANK('ENGAGEMENTS 2026'!B1936),"",IF(AND(OR($E1936="INFRUCTUEUX",$E1936="ANNULE"),$C1936="AOO-M"),'ENGAGEMENTS 2026'!O1936,IF($H1936="EN COURS DE PREENGAGEMENT",'ENGAGEMENTS 2026'!N1936,IF($H1936="PREENGAGE",IF($E1936="ATTRIBUE",'ENGAGEMENTS 2026'!AD1936,'ENGAGEMENTS 2026'!N1936),'ENGAGEMENTS 2026'!AD1936))))</f>
        <v/>
      </c>
      <c r="K1936" s="604">
        <f>IF(ISBLANK('ENGAGEMENTS 2026'!V1936),"",'ENGAGEMENTS 2026'!V1936)</f>
        <v/>
      </c>
      <c r="L1936" s="276">
        <f>IF($K1936="","",TODAY()-$K1936)</f>
        <v/>
      </c>
      <c r="M1936">
        <f>IF($A1936="","",IF($H1936="ENGAGE","Engagé",IF(AND($H1936="NON ENGAGE",OR($I1936="INFRUCTUEUX",$I1936="ANNULE")),"Clôturé sans suite","En cours")))</f>
        <v/>
      </c>
      <c r="N1936">
        <f>IF(ISBLANK('ENGAGEMENTS 2026'!B1936),"",'ENGAGEMENTS 2026'!K1936)</f>
        <v/>
      </c>
      <c r="O1936">
        <f>IF(ISBLANK('ENGAGEMENTS 2026'!B1936),"",'ENGAGEMENTS 2026'!L1936)</f>
        <v/>
      </c>
      <c r="P1936">
        <f>IF(ISBLANK('ENGAGEMENTS 2026'!B1936),"",'ENGAGEMENTS 2026'!J1936)</f>
        <v/>
      </c>
      <c r="Q1936">
        <f>IF($A1936="","",IF(OR($E1936="INFRUCTUEUX",$E1936="ANNULE"),$A1936&amp;"|"&amp;(COUNTIFS($A$2:$A1936,$A1936,$E$2:$E1936,"INFRUCTUEUX")+COUNTIFS($A$2:$A1936,$A1936,$E$2:$E1936,"ANNULE")),""))</f>
        <v/>
      </c>
    </row>
    <row r="1937">
      <c r="A1937">
        <f>IF(ISBLANK('ENGAGEMENTS 2026'!B1937),"",IF('ENGAGEMENTS 2026'!B1937="DTSI","DCT",'ENGAGEMENTS 2026'!B1937))</f>
        <v/>
      </c>
      <c r="B1937">
        <f>IF(ISBLANK('ENGAGEMENTS 2026'!B1937),"",'ENGAGEMENTS 2026'!C1937)</f>
        <v/>
      </c>
      <c r="C1937">
        <f>IF(ISBLANK('ENGAGEMENTS 2026'!B1937),"",'ENGAGEMENTS 2026'!D1937)</f>
        <v/>
      </c>
      <c r="D1937">
        <f>IF(ISBLANK('ENGAGEMENTS 2026'!B1937),"",'ENGAGEMENTS 2026'!F1937)</f>
        <v/>
      </c>
      <c r="E1937">
        <f>IF(ISBLANK('ENGAGEMENTS 2026'!B1937),"",'ENGAGEMENTS 2026'!H1937)</f>
        <v/>
      </c>
      <c r="F1937">
        <f>IF(ISBLANK('ENGAGEMENTS 2026'!B1937),"",'ENGAGEMENTS 2026'!I1937)</f>
        <v/>
      </c>
      <c r="G1937">
        <f>IF(ISBLANK('ENGAGEMENTS 2026'!B1937),"",'ENGAGEMENTS 2026'!L1937)</f>
        <v/>
      </c>
      <c r="H1937">
        <f>IF(ISBLANK('ENGAGEMENTS 2026'!B1937),"",'ENGAGEMENTS 2026'!AE1937)</f>
        <v/>
      </c>
      <c r="I1937">
        <f>IF(ISBLANK('ENGAGEMENTS 2026'!B1937),"",'ENGAGEMENTS 2026'!G1937)</f>
        <v/>
      </c>
      <c r="J1937" s="275">
        <f>IF(ISBLANK('ENGAGEMENTS 2026'!B1937),"",IF(AND(OR($E1937="INFRUCTUEUX",$E1937="ANNULE"),$C1937="AOO-M"),'ENGAGEMENTS 2026'!O1937,IF($H1937="EN COURS DE PREENGAGEMENT",'ENGAGEMENTS 2026'!N1937,IF($H1937="PREENGAGE",IF($E1937="ATTRIBUE",'ENGAGEMENTS 2026'!AD1937,'ENGAGEMENTS 2026'!N1937),'ENGAGEMENTS 2026'!AD1937))))</f>
        <v/>
      </c>
      <c r="K1937" s="604">
        <f>IF(ISBLANK('ENGAGEMENTS 2026'!V1937),"",'ENGAGEMENTS 2026'!V1937)</f>
        <v/>
      </c>
      <c r="L1937" s="276">
        <f>IF($K1937="","",TODAY()-$K1937)</f>
        <v/>
      </c>
      <c r="M1937">
        <f>IF($A1937="","",IF($H1937="ENGAGE","Engagé",IF(AND($H1937="NON ENGAGE",OR($I1937="INFRUCTUEUX",$I1937="ANNULE")),"Clôturé sans suite","En cours")))</f>
        <v/>
      </c>
      <c r="N1937">
        <f>IF(ISBLANK('ENGAGEMENTS 2026'!B1937),"",'ENGAGEMENTS 2026'!K1937)</f>
        <v/>
      </c>
      <c r="O1937">
        <f>IF(ISBLANK('ENGAGEMENTS 2026'!B1937),"",'ENGAGEMENTS 2026'!L1937)</f>
        <v/>
      </c>
      <c r="P1937">
        <f>IF(ISBLANK('ENGAGEMENTS 2026'!B1937),"",'ENGAGEMENTS 2026'!J1937)</f>
        <v/>
      </c>
      <c r="Q1937">
        <f>IF($A1937="","",IF(OR($E1937="INFRUCTUEUX",$E1937="ANNULE"),$A1937&amp;"|"&amp;(COUNTIFS($A$2:$A1937,$A1937,$E$2:$E1937,"INFRUCTUEUX")+COUNTIFS($A$2:$A1937,$A1937,$E$2:$E1937,"ANNULE")),""))</f>
        <v/>
      </c>
    </row>
    <row r="1938">
      <c r="A1938">
        <f>IF(ISBLANK('ENGAGEMENTS 2026'!B1938),"",IF('ENGAGEMENTS 2026'!B1938="DTSI","DCT",'ENGAGEMENTS 2026'!B1938))</f>
        <v/>
      </c>
      <c r="B1938">
        <f>IF(ISBLANK('ENGAGEMENTS 2026'!B1938),"",'ENGAGEMENTS 2026'!C1938)</f>
        <v/>
      </c>
      <c r="C1938">
        <f>IF(ISBLANK('ENGAGEMENTS 2026'!B1938),"",'ENGAGEMENTS 2026'!D1938)</f>
        <v/>
      </c>
      <c r="D1938">
        <f>IF(ISBLANK('ENGAGEMENTS 2026'!B1938),"",'ENGAGEMENTS 2026'!F1938)</f>
        <v/>
      </c>
      <c r="E1938">
        <f>IF(ISBLANK('ENGAGEMENTS 2026'!B1938),"",'ENGAGEMENTS 2026'!H1938)</f>
        <v/>
      </c>
      <c r="F1938">
        <f>IF(ISBLANK('ENGAGEMENTS 2026'!B1938),"",'ENGAGEMENTS 2026'!I1938)</f>
        <v/>
      </c>
      <c r="G1938">
        <f>IF(ISBLANK('ENGAGEMENTS 2026'!B1938),"",'ENGAGEMENTS 2026'!L1938)</f>
        <v/>
      </c>
      <c r="H1938">
        <f>IF(ISBLANK('ENGAGEMENTS 2026'!B1938),"",'ENGAGEMENTS 2026'!AE1938)</f>
        <v/>
      </c>
      <c r="I1938">
        <f>IF(ISBLANK('ENGAGEMENTS 2026'!B1938),"",'ENGAGEMENTS 2026'!G1938)</f>
        <v/>
      </c>
      <c r="J1938" s="275">
        <f>IF(ISBLANK('ENGAGEMENTS 2026'!B1938),"",IF(AND(OR($E1938="INFRUCTUEUX",$E1938="ANNULE"),$C1938="AOO-M"),'ENGAGEMENTS 2026'!O1938,IF($H1938="EN COURS DE PREENGAGEMENT",'ENGAGEMENTS 2026'!N1938,IF($H1938="PREENGAGE",IF($E1938="ATTRIBUE",'ENGAGEMENTS 2026'!AD1938,'ENGAGEMENTS 2026'!N1938),'ENGAGEMENTS 2026'!AD1938))))</f>
        <v/>
      </c>
      <c r="K1938" s="604">
        <f>IF(ISBLANK('ENGAGEMENTS 2026'!V1938),"",'ENGAGEMENTS 2026'!V1938)</f>
        <v/>
      </c>
      <c r="L1938" s="276">
        <f>IF($K1938="","",TODAY()-$K1938)</f>
        <v/>
      </c>
      <c r="M1938">
        <f>IF($A1938="","",IF($H1938="ENGAGE","Engagé",IF(AND($H1938="NON ENGAGE",OR($I1938="INFRUCTUEUX",$I1938="ANNULE")),"Clôturé sans suite","En cours")))</f>
        <v/>
      </c>
      <c r="N1938">
        <f>IF(ISBLANK('ENGAGEMENTS 2026'!B1938),"",'ENGAGEMENTS 2026'!K1938)</f>
        <v/>
      </c>
      <c r="O1938">
        <f>IF(ISBLANK('ENGAGEMENTS 2026'!B1938),"",'ENGAGEMENTS 2026'!L1938)</f>
        <v/>
      </c>
      <c r="P1938">
        <f>IF(ISBLANK('ENGAGEMENTS 2026'!B1938),"",'ENGAGEMENTS 2026'!J1938)</f>
        <v/>
      </c>
      <c r="Q1938">
        <f>IF($A1938="","",IF(OR($E1938="INFRUCTUEUX",$E1938="ANNULE"),$A1938&amp;"|"&amp;(COUNTIFS($A$2:$A1938,$A1938,$E$2:$E1938,"INFRUCTUEUX")+COUNTIFS($A$2:$A1938,$A1938,$E$2:$E1938,"ANNULE")),""))</f>
        <v/>
      </c>
    </row>
    <row r="1939">
      <c r="A1939">
        <f>IF(ISBLANK('ENGAGEMENTS 2026'!B1939),"",IF('ENGAGEMENTS 2026'!B1939="DTSI","DCT",'ENGAGEMENTS 2026'!B1939))</f>
        <v/>
      </c>
      <c r="B1939">
        <f>IF(ISBLANK('ENGAGEMENTS 2026'!B1939),"",'ENGAGEMENTS 2026'!C1939)</f>
        <v/>
      </c>
      <c r="C1939">
        <f>IF(ISBLANK('ENGAGEMENTS 2026'!B1939),"",'ENGAGEMENTS 2026'!D1939)</f>
        <v/>
      </c>
      <c r="D1939">
        <f>IF(ISBLANK('ENGAGEMENTS 2026'!B1939),"",'ENGAGEMENTS 2026'!F1939)</f>
        <v/>
      </c>
      <c r="E1939">
        <f>IF(ISBLANK('ENGAGEMENTS 2026'!B1939),"",'ENGAGEMENTS 2026'!H1939)</f>
        <v/>
      </c>
      <c r="F1939">
        <f>IF(ISBLANK('ENGAGEMENTS 2026'!B1939),"",'ENGAGEMENTS 2026'!I1939)</f>
        <v/>
      </c>
      <c r="G1939">
        <f>IF(ISBLANK('ENGAGEMENTS 2026'!B1939),"",'ENGAGEMENTS 2026'!L1939)</f>
        <v/>
      </c>
      <c r="H1939">
        <f>IF(ISBLANK('ENGAGEMENTS 2026'!B1939),"",'ENGAGEMENTS 2026'!AE1939)</f>
        <v/>
      </c>
      <c r="I1939">
        <f>IF(ISBLANK('ENGAGEMENTS 2026'!B1939),"",'ENGAGEMENTS 2026'!G1939)</f>
        <v/>
      </c>
      <c r="J1939" s="275">
        <f>IF(ISBLANK('ENGAGEMENTS 2026'!B1939),"",IF(AND(OR($E1939="INFRUCTUEUX",$E1939="ANNULE"),$C1939="AOO-M"),'ENGAGEMENTS 2026'!O1939,IF($H1939="EN COURS DE PREENGAGEMENT",'ENGAGEMENTS 2026'!N1939,IF($H1939="PREENGAGE",IF($E1939="ATTRIBUE",'ENGAGEMENTS 2026'!AD1939,'ENGAGEMENTS 2026'!N1939),'ENGAGEMENTS 2026'!AD1939))))</f>
        <v/>
      </c>
      <c r="K1939" s="604">
        <f>IF(ISBLANK('ENGAGEMENTS 2026'!V1939),"",'ENGAGEMENTS 2026'!V1939)</f>
        <v/>
      </c>
      <c r="L1939" s="276">
        <f>IF($K1939="","",TODAY()-$K1939)</f>
        <v/>
      </c>
      <c r="M1939">
        <f>IF($A1939="","",IF($H1939="ENGAGE","Engagé",IF(AND($H1939="NON ENGAGE",OR($I1939="INFRUCTUEUX",$I1939="ANNULE")),"Clôturé sans suite","En cours")))</f>
        <v/>
      </c>
      <c r="N1939">
        <f>IF(ISBLANK('ENGAGEMENTS 2026'!B1939),"",'ENGAGEMENTS 2026'!K1939)</f>
        <v/>
      </c>
      <c r="O1939">
        <f>IF(ISBLANK('ENGAGEMENTS 2026'!B1939),"",'ENGAGEMENTS 2026'!L1939)</f>
        <v/>
      </c>
      <c r="P1939">
        <f>IF(ISBLANK('ENGAGEMENTS 2026'!B1939),"",'ENGAGEMENTS 2026'!J1939)</f>
        <v/>
      </c>
      <c r="Q1939">
        <f>IF($A1939="","",IF(OR($E1939="INFRUCTUEUX",$E1939="ANNULE"),$A1939&amp;"|"&amp;(COUNTIFS($A$2:$A1939,$A1939,$E$2:$E1939,"INFRUCTUEUX")+COUNTIFS($A$2:$A1939,$A1939,$E$2:$E1939,"ANNULE")),""))</f>
        <v/>
      </c>
    </row>
    <row r="1940">
      <c r="A1940">
        <f>IF(ISBLANK('ENGAGEMENTS 2026'!B1940),"",IF('ENGAGEMENTS 2026'!B1940="DTSI","DCT",'ENGAGEMENTS 2026'!B1940))</f>
        <v/>
      </c>
      <c r="B1940">
        <f>IF(ISBLANK('ENGAGEMENTS 2026'!B1940),"",'ENGAGEMENTS 2026'!C1940)</f>
        <v/>
      </c>
      <c r="C1940">
        <f>IF(ISBLANK('ENGAGEMENTS 2026'!B1940),"",'ENGAGEMENTS 2026'!D1940)</f>
        <v/>
      </c>
      <c r="D1940">
        <f>IF(ISBLANK('ENGAGEMENTS 2026'!B1940),"",'ENGAGEMENTS 2026'!F1940)</f>
        <v/>
      </c>
      <c r="E1940">
        <f>IF(ISBLANK('ENGAGEMENTS 2026'!B1940),"",'ENGAGEMENTS 2026'!H1940)</f>
        <v/>
      </c>
      <c r="F1940">
        <f>IF(ISBLANK('ENGAGEMENTS 2026'!B1940),"",'ENGAGEMENTS 2026'!I1940)</f>
        <v/>
      </c>
      <c r="G1940">
        <f>IF(ISBLANK('ENGAGEMENTS 2026'!B1940),"",'ENGAGEMENTS 2026'!L1940)</f>
        <v/>
      </c>
      <c r="H1940">
        <f>IF(ISBLANK('ENGAGEMENTS 2026'!B1940),"",'ENGAGEMENTS 2026'!AE1940)</f>
        <v/>
      </c>
      <c r="I1940">
        <f>IF(ISBLANK('ENGAGEMENTS 2026'!B1940),"",'ENGAGEMENTS 2026'!G1940)</f>
        <v/>
      </c>
      <c r="J1940" s="275">
        <f>IF(ISBLANK('ENGAGEMENTS 2026'!B1940),"",IF(AND(OR($E1940="INFRUCTUEUX",$E1940="ANNULE"),$C1940="AOO-M"),'ENGAGEMENTS 2026'!O1940,IF($H1940="EN COURS DE PREENGAGEMENT",'ENGAGEMENTS 2026'!N1940,IF($H1940="PREENGAGE",IF($E1940="ATTRIBUE",'ENGAGEMENTS 2026'!AD1940,'ENGAGEMENTS 2026'!N1940),'ENGAGEMENTS 2026'!AD1940))))</f>
        <v/>
      </c>
      <c r="K1940" s="604">
        <f>IF(ISBLANK('ENGAGEMENTS 2026'!V1940),"",'ENGAGEMENTS 2026'!V1940)</f>
        <v/>
      </c>
      <c r="L1940" s="276">
        <f>IF($K1940="","",TODAY()-$K1940)</f>
        <v/>
      </c>
      <c r="M1940">
        <f>IF($A1940="","",IF($H1940="ENGAGE","Engagé",IF(AND($H1940="NON ENGAGE",OR($I1940="INFRUCTUEUX",$I1940="ANNULE")),"Clôturé sans suite","En cours")))</f>
        <v/>
      </c>
      <c r="N1940">
        <f>IF(ISBLANK('ENGAGEMENTS 2026'!B1940),"",'ENGAGEMENTS 2026'!K1940)</f>
        <v/>
      </c>
      <c r="O1940">
        <f>IF(ISBLANK('ENGAGEMENTS 2026'!B1940),"",'ENGAGEMENTS 2026'!L1940)</f>
        <v/>
      </c>
      <c r="P1940">
        <f>IF(ISBLANK('ENGAGEMENTS 2026'!B1940),"",'ENGAGEMENTS 2026'!J1940)</f>
        <v/>
      </c>
      <c r="Q1940">
        <f>IF($A1940="","",IF(OR($E1940="INFRUCTUEUX",$E1940="ANNULE"),$A1940&amp;"|"&amp;(COUNTIFS($A$2:$A1940,$A1940,$E$2:$E1940,"INFRUCTUEUX")+COUNTIFS($A$2:$A1940,$A1940,$E$2:$E1940,"ANNULE")),""))</f>
        <v/>
      </c>
    </row>
    <row r="1941">
      <c r="A1941">
        <f>IF(ISBLANK('ENGAGEMENTS 2026'!B1941),"",IF('ENGAGEMENTS 2026'!B1941="DTSI","DCT",'ENGAGEMENTS 2026'!B1941))</f>
        <v/>
      </c>
      <c r="B1941">
        <f>IF(ISBLANK('ENGAGEMENTS 2026'!B1941),"",'ENGAGEMENTS 2026'!C1941)</f>
        <v/>
      </c>
      <c r="C1941">
        <f>IF(ISBLANK('ENGAGEMENTS 2026'!B1941),"",'ENGAGEMENTS 2026'!D1941)</f>
        <v/>
      </c>
      <c r="D1941">
        <f>IF(ISBLANK('ENGAGEMENTS 2026'!B1941),"",'ENGAGEMENTS 2026'!F1941)</f>
        <v/>
      </c>
      <c r="E1941">
        <f>IF(ISBLANK('ENGAGEMENTS 2026'!B1941),"",'ENGAGEMENTS 2026'!H1941)</f>
        <v/>
      </c>
      <c r="F1941">
        <f>IF(ISBLANK('ENGAGEMENTS 2026'!B1941),"",'ENGAGEMENTS 2026'!I1941)</f>
        <v/>
      </c>
      <c r="G1941">
        <f>IF(ISBLANK('ENGAGEMENTS 2026'!B1941),"",'ENGAGEMENTS 2026'!L1941)</f>
        <v/>
      </c>
      <c r="H1941">
        <f>IF(ISBLANK('ENGAGEMENTS 2026'!B1941),"",'ENGAGEMENTS 2026'!AE1941)</f>
        <v/>
      </c>
      <c r="I1941">
        <f>IF(ISBLANK('ENGAGEMENTS 2026'!B1941),"",'ENGAGEMENTS 2026'!G1941)</f>
        <v/>
      </c>
      <c r="J1941" s="275">
        <f>IF(ISBLANK('ENGAGEMENTS 2026'!B1941),"",IF(AND(OR($E1941="INFRUCTUEUX",$E1941="ANNULE"),$C1941="AOO-M"),'ENGAGEMENTS 2026'!O1941,IF($H1941="EN COURS DE PREENGAGEMENT",'ENGAGEMENTS 2026'!N1941,IF($H1941="PREENGAGE",IF($E1941="ATTRIBUE",'ENGAGEMENTS 2026'!AD1941,'ENGAGEMENTS 2026'!N1941),'ENGAGEMENTS 2026'!AD1941))))</f>
        <v/>
      </c>
      <c r="K1941" s="604">
        <f>IF(ISBLANK('ENGAGEMENTS 2026'!V1941),"",'ENGAGEMENTS 2026'!V1941)</f>
        <v/>
      </c>
      <c r="L1941" s="276">
        <f>IF($K1941="","",TODAY()-$K1941)</f>
        <v/>
      </c>
      <c r="M1941">
        <f>IF($A1941="","",IF($H1941="ENGAGE","Engagé",IF(AND($H1941="NON ENGAGE",OR($I1941="INFRUCTUEUX",$I1941="ANNULE")),"Clôturé sans suite","En cours")))</f>
        <v/>
      </c>
      <c r="N1941">
        <f>IF(ISBLANK('ENGAGEMENTS 2026'!B1941),"",'ENGAGEMENTS 2026'!K1941)</f>
        <v/>
      </c>
      <c r="O1941">
        <f>IF(ISBLANK('ENGAGEMENTS 2026'!B1941),"",'ENGAGEMENTS 2026'!L1941)</f>
        <v/>
      </c>
      <c r="P1941">
        <f>IF(ISBLANK('ENGAGEMENTS 2026'!B1941),"",'ENGAGEMENTS 2026'!J1941)</f>
        <v/>
      </c>
      <c r="Q1941">
        <f>IF($A1941="","",IF(OR($E1941="INFRUCTUEUX",$E1941="ANNULE"),$A1941&amp;"|"&amp;(COUNTIFS($A$2:$A1941,$A1941,$E$2:$E1941,"INFRUCTUEUX")+COUNTIFS($A$2:$A1941,$A1941,$E$2:$E1941,"ANNULE")),""))</f>
        <v/>
      </c>
    </row>
    <row r="1942">
      <c r="A1942">
        <f>IF(ISBLANK('ENGAGEMENTS 2026'!B1942),"",IF('ENGAGEMENTS 2026'!B1942="DTSI","DCT",'ENGAGEMENTS 2026'!B1942))</f>
        <v/>
      </c>
      <c r="B1942">
        <f>IF(ISBLANK('ENGAGEMENTS 2026'!B1942),"",'ENGAGEMENTS 2026'!C1942)</f>
        <v/>
      </c>
      <c r="C1942">
        <f>IF(ISBLANK('ENGAGEMENTS 2026'!B1942),"",'ENGAGEMENTS 2026'!D1942)</f>
        <v/>
      </c>
      <c r="D1942">
        <f>IF(ISBLANK('ENGAGEMENTS 2026'!B1942),"",'ENGAGEMENTS 2026'!F1942)</f>
        <v/>
      </c>
      <c r="E1942">
        <f>IF(ISBLANK('ENGAGEMENTS 2026'!B1942),"",'ENGAGEMENTS 2026'!H1942)</f>
        <v/>
      </c>
      <c r="F1942">
        <f>IF(ISBLANK('ENGAGEMENTS 2026'!B1942),"",'ENGAGEMENTS 2026'!I1942)</f>
        <v/>
      </c>
      <c r="G1942">
        <f>IF(ISBLANK('ENGAGEMENTS 2026'!B1942),"",'ENGAGEMENTS 2026'!L1942)</f>
        <v/>
      </c>
      <c r="H1942">
        <f>IF(ISBLANK('ENGAGEMENTS 2026'!B1942),"",'ENGAGEMENTS 2026'!AE1942)</f>
        <v/>
      </c>
      <c r="I1942">
        <f>IF(ISBLANK('ENGAGEMENTS 2026'!B1942),"",'ENGAGEMENTS 2026'!G1942)</f>
        <v/>
      </c>
      <c r="J1942" s="275">
        <f>IF(ISBLANK('ENGAGEMENTS 2026'!B1942),"",IF(AND(OR($E1942="INFRUCTUEUX",$E1942="ANNULE"),$C1942="AOO-M"),'ENGAGEMENTS 2026'!O1942,IF($H1942="EN COURS DE PREENGAGEMENT",'ENGAGEMENTS 2026'!N1942,IF($H1942="PREENGAGE",IF($E1942="ATTRIBUE",'ENGAGEMENTS 2026'!AD1942,'ENGAGEMENTS 2026'!N1942),'ENGAGEMENTS 2026'!AD1942))))</f>
        <v/>
      </c>
      <c r="K1942" s="604">
        <f>IF(ISBLANK('ENGAGEMENTS 2026'!V1942),"",'ENGAGEMENTS 2026'!V1942)</f>
        <v/>
      </c>
      <c r="L1942" s="276">
        <f>IF($K1942="","",TODAY()-$K1942)</f>
        <v/>
      </c>
      <c r="M1942">
        <f>IF($A1942="","",IF($H1942="ENGAGE","Engagé",IF(AND($H1942="NON ENGAGE",OR($I1942="INFRUCTUEUX",$I1942="ANNULE")),"Clôturé sans suite","En cours")))</f>
        <v/>
      </c>
      <c r="N1942">
        <f>IF(ISBLANK('ENGAGEMENTS 2026'!B1942),"",'ENGAGEMENTS 2026'!K1942)</f>
        <v/>
      </c>
      <c r="O1942">
        <f>IF(ISBLANK('ENGAGEMENTS 2026'!B1942),"",'ENGAGEMENTS 2026'!L1942)</f>
        <v/>
      </c>
      <c r="P1942">
        <f>IF(ISBLANK('ENGAGEMENTS 2026'!B1942),"",'ENGAGEMENTS 2026'!J1942)</f>
        <v/>
      </c>
      <c r="Q1942">
        <f>IF($A1942="","",IF(OR($E1942="INFRUCTUEUX",$E1942="ANNULE"),$A1942&amp;"|"&amp;(COUNTIFS($A$2:$A1942,$A1942,$E$2:$E1942,"INFRUCTUEUX")+COUNTIFS($A$2:$A1942,$A1942,$E$2:$E1942,"ANNULE")),""))</f>
        <v/>
      </c>
    </row>
    <row r="1943">
      <c r="A1943">
        <f>IF(ISBLANK('ENGAGEMENTS 2026'!B1943),"",IF('ENGAGEMENTS 2026'!B1943="DTSI","DCT",'ENGAGEMENTS 2026'!B1943))</f>
        <v/>
      </c>
      <c r="B1943">
        <f>IF(ISBLANK('ENGAGEMENTS 2026'!B1943),"",'ENGAGEMENTS 2026'!C1943)</f>
        <v/>
      </c>
      <c r="C1943">
        <f>IF(ISBLANK('ENGAGEMENTS 2026'!B1943),"",'ENGAGEMENTS 2026'!D1943)</f>
        <v/>
      </c>
      <c r="D1943">
        <f>IF(ISBLANK('ENGAGEMENTS 2026'!B1943),"",'ENGAGEMENTS 2026'!F1943)</f>
        <v/>
      </c>
      <c r="E1943">
        <f>IF(ISBLANK('ENGAGEMENTS 2026'!B1943),"",'ENGAGEMENTS 2026'!H1943)</f>
        <v/>
      </c>
      <c r="F1943">
        <f>IF(ISBLANK('ENGAGEMENTS 2026'!B1943),"",'ENGAGEMENTS 2026'!I1943)</f>
        <v/>
      </c>
      <c r="G1943">
        <f>IF(ISBLANK('ENGAGEMENTS 2026'!B1943),"",'ENGAGEMENTS 2026'!L1943)</f>
        <v/>
      </c>
      <c r="H1943">
        <f>IF(ISBLANK('ENGAGEMENTS 2026'!B1943),"",'ENGAGEMENTS 2026'!AE1943)</f>
        <v/>
      </c>
      <c r="I1943">
        <f>IF(ISBLANK('ENGAGEMENTS 2026'!B1943),"",'ENGAGEMENTS 2026'!G1943)</f>
        <v/>
      </c>
      <c r="J1943" s="275">
        <f>IF(ISBLANK('ENGAGEMENTS 2026'!B1943),"",IF(AND(OR($E1943="INFRUCTUEUX",$E1943="ANNULE"),$C1943="AOO-M"),'ENGAGEMENTS 2026'!O1943,IF($H1943="EN COURS DE PREENGAGEMENT",'ENGAGEMENTS 2026'!N1943,IF($H1943="PREENGAGE",IF($E1943="ATTRIBUE",'ENGAGEMENTS 2026'!AD1943,'ENGAGEMENTS 2026'!N1943),'ENGAGEMENTS 2026'!AD1943))))</f>
        <v/>
      </c>
      <c r="K1943" s="604">
        <f>IF(ISBLANK('ENGAGEMENTS 2026'!V1943),"",'ENGAGEMENTS 2026'!V1943)</f>
        <v/>
      </c>
      <c r="L1943" s="276">
        <f>IF($K1943="","",TODAY()-$K1943)</f>
        <v/>
      </c>
      <c r="M1943">
        <f>IF($A1943="","",IF($H1943="ENGAGE","Engagé",IF(AND($H1943="NON ENGAGE",OR($I1943="INFRUCTUEUX",$I1943="ANNULE")),"Clôturé sans suite","En cours")))</f>
        <v/>
      </c>
      <c r="N1943">
        <f>IF(ISBLANK('ENGAGEMENTS 2026'!B1943),"",'ENGAGEMENTS 2026'!K1943)</f>
        <v/>
      </c>
      <c r="O1943">
        <f>IF(ISBLANK('ENGAGEMENTS 2026'!B1943),"",'ENGAGEMENTS 2026'!L1943)</f>
        <v/>
      </c>
      <c r="P1943">
        <f>IF(ISBLANK('ENGAGEMENTS 2026'!B1943),"",'ENGAGEMENTS 2026'!J1943)</f>
        <v/>
      </c>
      <c r="Q1943">
        <f>IF($A1943="","",IF(OR($E1943="INFRUCTUEUX",$E1943="ANNULE"),$A1943&amp;"|"&amp;(COUNTIFS($A$2:$A1943,$A1943,$E$2:$E1943,"INFRUCTUEUX")+COUNTIFS($A$2:$A1943,$A1943,$E$2:$E1943,"ANNULE")),""))</f>
        <v/>
      </c>
    </row>
    <row r="1944">
      <c r="A1944">
        <f>IF(ISBLANK('ENGAGEMENTS 2026'!B1944),"",IF('ENGAGEMENTS 2026'!B1944="DTSI","DCT",'ENGAGEMENTS 2026'!B1944))</f>
        <v/>
      </c>
      <c r="B1944">
        <f>IF(ISBLANK('ENGAGEMENTS 2026'!B1944),"",'ENGAGEMENTS 2026'!C1944)</f>
        <v/>
      </c>
      <c r="C1944">
        <f>IF(ISBLANK('ENGAGEMENTS 2026'!B1944),"",'ENGAGEMENTS 2026'!D1944)</f>
        <v/>
      </c>
      <c r="D1944">
        <f>IF(ISBLANK('ENGAGEMENTS 2026'!B1944),"",'ENGAGEMENTS 2026'!F1944)</f>
        <v/>
      </c>
      <c r="E1944">
        <f>IF(ISBLANK('ENGAGEMENTS 2026'!B1944),"",'ENGAGEMENTS 2026'!H1944)</f>
        <v/>
      </c>
      <c r="F1944">
        <f>IF(ISBLANK('ENGAGEMENTS 2026'!B1944),"",'ENGAGEMENTS 2026'!I1944)</f>
        <v/>
      </c>
      <c r="G1944">
        <f>IF(ISBLANK('ENGAGEMENTS 2026'!B1944),"",'ENGAGEMENTS 2026'!L1944)</f>
        <v/>
      </c>
      <c r="H1944">
        <f>IF(ISBLANK('ENGAGEMENTS 2026'!B1944),"",'ENGAGEMENTS 2026'!AE1944)</f>
        <v/>
      </c>
      <c r="I1944">
        <f>IF(ISBLANK('ENGAGEMENTS 2026'!B1944),"",'ENGAGEMENTS 2026'!G1944)</f>
        <v/>
      </c>
      <c r="J1944" s="275">
        <f>IF(ISBLANK('ENGAGEMENTS 2026'!B1944),"",IF(AND(OR($E1944="INFRUCTUEUX",$E1944="ANNULE"),$C1944="AOO-M"),'ENGAGEMENTS 2026'!O1944,IF($H1944="EN COURS DE PREENGAGEMENT",'ENGAGEMENTS 2026'!N1944,IF($H1944="PREENGAGE",IF($E1944="ATTRIBUE",'ENGAGEMENTS 2026'!AD1944,'ENGAGEMENTS 2026'!N1944),'ENGAGEMENTS 2026'!AD1944))))</f>
        <v/>
      </c>
      <c r="K1944" s="604">
        <f>IF(ISBLANK('ENGAGEMENTS 2026'!V1944),"",'ENGAGEMENTS 2026'!V1944)</f>
        <v/>
      </c>
      <c r="L1944" s="276">
        <f>IF($K1944="","",TODAY()-$K1944)</f>
        <v/>
      </c>
      <c r="M1944">
        <f>IF($A1944="","",IF($H1944="ENGAGE","Engagé",IF(AND($H1944="NON ENGAGE",OR($I1944="INFRUCTUEUX",$I1944="ANNULE")),"Clôturé sans suite","En cours")))</f>
        <v/>
      </c>
      <c r="N1944">
        <f>IF(ISBLANK('ENGAGEMENTS 2026'!B1944),"",'ENGAGEMENTS 2026'!K1944)</f>
        <v/>
      </c>
      <c r="O1944">
        <f>IF(ISBLANK('ENGAGEMENTS 2026'!B1944),"",'ENGAGEMENTS 2026'!L1944)</f>
        <v/>
      </c>
      <c r="P1944">
        <f>IF(ISBLANK('ENGAGEMENTS 2026'!B1944),"",'ENGAGEMENTS 2026'!J1944)</f>
        <v/>
      </c>
      <c r="Q1944">
        <f>IF($A1944="","",IF(OR($E1944="INFRUCTUEUX",$E1944="ANNULE"),$A1944&amp;"|"&amp;(COUNTIFS($A$2:$A1944,$A1944,$E$2:$E1944,"INFRUCTUEUX")+COUNTIFS($A$2:$A1944,$A1944,$E$2:$E1944,"ANNULE")),""))</f>
        <v/>
      </c>
    </row>
    <row r="1945">
      <c r="A1945">
        <f>IF(ISBLANK('ENGAGEMENTS 2026'!B1945),"",IF('ENGAGEMENTS 2026'!B1945="DTSI","DCT",'ENGAGEMENTS 2026'!B1945))</f>
        <v/>
      </c>
      <c r="B1945">
        <f>IF(ISBLANK('ENGAGEMENTS 2026'!B1945),"",'ENGAGEMENTS 2026'!C1945)</f>
        <v/>
      </c>
      <c r="C1945">
        <f>IF(ISBLANK('ENGAGEMENTS 2026'!B1945),"",'ENGAGEMENTS 2026'!D1945)</f>
        <v/>
      </c>
      <c r="D1945">
        <f>IF(ISBLANK('ENGAGEMENTS 2026'!B1945),"",'ENGAGEMENTS 2026'!F1945)</f>
        <v/>
      </c>
      <c r="E1945">
        <f>IF(ISBLANK('ENGAGEMENTS 2026'!B1945),"",'ENGAGEMENTS 2026'!H1945)</f>
        <v/>
      </c>
      <c r="F1945">
        <f>IF(ISBLANK('ENGAGEMENTS 2026'!B1945),"",'ENGAGEMENTS 2026'!I1945)</f>
        <v/>
      </c>
      <c r="G1945">
        <f>IF(ISBLANK('ENGAGEMENTS 2026'!B1945),"",'ENGAGEMENTS 2026'!L1945)</f>
        <v/>
      </c>
      <c r="H1945">
        <f>IF(ISBLANK('ENGAGEMENTS 2026'!B1945),"",'ENGAGEMENTS 2026'!AE1945)</f>
        <v/>
      </c>
      <c r="I1945">
        <f>IF(ISBLANK('ENGAGEMENTS 2026'!B1945),"",'ENGAGEMENTS 2026'!G1945)</f>
        <v/>
      </c>
      <c r="J1945" s="275">
        <f>IF(ISBLANK('ENGAGEMENTS 2026'!B1945),"",IF(AND(OR($E1945="INFRUCTUEUX",$E1945="ANNULE"),$C1945="AOO-M"),'ENGAGEMENTS 2026'!O1945,IF($H1945="EN COURS DE PREENGAGEMENT",'ENGAGEMENTS 2026'!N1945,IF($H1945="PREENGAGE",IF($E1945="ATTRIBUE",'ENGAGEMENTS 2026'!AD1945,'ENGAGEMENTS 2026'!N1945),'ENGAGEMENTS 2026'!AD1945))))</f>
        <v/>
      </c>
      <c r="K1945" s="604">
        <f>IF(ISBLANK('ENGAGEMENTS 2026'!V1945),"",'ENGAGEMENTS 2026'!V1945)</f>
        <v/>
      </c>
      <c r="L1945" s="276">
        <f>IF($K1945="","",TODAY()-$K1945)</f>
        <v/>
      </c>
      <c r="M1945">
        <f>IF($A1945="","",IF($H1945="ENGAGE","Engagé",IF(AND($H1945="NON ENGAGE",OR($I1945="INFRUCTUEUX",$I1945="ANNULE")),"Clôturé sans suite","En cours")))</f>
        <v/>
      </c>
      <c r="N1945">
        <f>IF(ISBLANK('ENGAGEMENTS 2026'!B1945),"",'ENGAGEMENTS 2026'!K1945)</f>
        <v/>
      </c>
      <c r="O1945">
        <f>IF(ISBLANK('ENGAGEMENTS 2026'!B1945),"",'ENGAGEMENTS 2026'!L1945)</f>
        <v/>
      </c>
      <c r="P1945">
        <f>IF(ISBLANK('ENGAGEMENTS 2026'!B1945),"",'ENGAGEMENTS 2026'!J1945)</f>
        <v/>
      </c>
      <c r="Q1945">
        <f>IF($A1945="","",IF(OR($E1945="INFRUCTUEUX",$E1945="ANNULE"),$A1945&amp;"|"&amp;(COUNTIFS($A$2:$A1945,$A1945,$E$2:$E1945,"INFRUCTUEUX")+COUNTIFS($A$2:$A1945,$A1945,$E$2:$E1945,"ANNULE")),""))</f>
        <v/>
      </c>
    </row>
    <row r="1946">
      <c r="A1946">
        <f>IF(ISBLANK('ENGAGEMENTS 2026'!B1946),"",IF('ENGAGEMENTS 2026'!B1946="DTSI","DCT",'ENGAGEMENTS 2026'!B1946))</f>
        <v/>
      </c>
      <c r="B1946">
        <f>IF(ISBLANK('ENGAGEMENTS 2026'!B1946),"",'ENGAGEMENTS 2026'!C1946)</f>
        <v/>
      </c>
      <c r="C1946">
        <f>IF(ISBLANK('ENGAGEMENTS 2026'!B1946),"",'ENGAGEMENTS 2026'!D1946)</f>
        <v/>
      </c>
      <c r="D1946">
        <f>IF(ISBLANK('ENGAGEMENTS 2026'!B1946),"",'ENGAGEMENTS 2026'!F1946)</f>
        <v/>
      </c>
      <c r="E1946">
        <f>IF(ISBLANK('ENGAGEMENTS 2026'!B1946),"",'ENGAGEMENTS 2026'!H1946)</f>
        <v/>
      </c>
      <c r="F1946">
        <f>IF(ISBLANK('ENGAGEMENTS 2026'!B1946),"",'ENGAGEMENTS 2026'!I1946)</f>
        <v/>
      </c>
      <c r="G1946">
        <f>IF(ISBLANK('ENGAGEMENTS 2026'!B1946),"",'ENGAGEMENTS 2026'!L1946)</f>
        <v/>
      </c>
      <c r="H1946">
        <f>IF(ISBLANK('ENGAGEMENTS 2026'!B1946),"",'ENGAGEMENTS 2026'!AE1946)</f>
        <v/>
      </c>
      <c r="I1946">
        <f>IF(ISBLANK('ENGAGEMENTS 2026'!B1946),"",'ENGAGEMENTS 2026'!G1946)</f>
        <v/>
      </c>
      <c r="J1946" s="275">
        <f>IF(ISBLANK('ENGAGEMENTS 2026'!B1946),"",IF(AND(OR($E1946="INFRUCTUEUX",$E1946="ANNULE"),$C1946="AOO-M"),'ENGAGEMENTS 2026'!O1946,IF($H1946="EN COURS DE PREENGAGEMENT",'ENGAGEMENTS 2026'!N1946,IF($H1946="PREENGAGE",IF($E1946="ATTRIBUE",'ENGAGEMENTS 2026'!AD1946,'ENGAGEMENTS 2026'!N1946),'ENGAGEMENTS 2026'!AD1946))))</f>
        <v/>
      </c>
      <c r="K1946" s="604">
        <f>IF(ISBLANK('ENGAGEMENTS 2026'!V1946),"",'ENGAGEMENTS 2026'!V1946)</f>
        <v/>
      </c>
      <c r="L1946" s="276">
        <f>IF($K1946="","",TODAY()-$K1946)</f>
        <v/>
      </c>
      <c r="M1946">
        <f>IF($A1946="","",IF($H1946="ENGAGE","Engagé",IF(AND($H1946="NON ENGAGE",OR($I1946="INFRUCTUEUX",$I1946="ANNULE")),"Clôturé sans suite","En cours")))</f>
        <v/>
      </c>
      <c r="N1946">
        <f>IF(ISBLANK('ENGAGEMENTS 2026'!B1946),"",'ENGAGEMENTS 2026'!K1946)</f>
        <v/>
      </c>
      <c r="O1946">
        <f>IF(ISBLANK('ENGAGEMENTS 2026'!B1946),"",'ENGAGEMENTS 2026'!L1946)</f>
        <v/>
      </c>
      <c r="P1946">
        <f>IF(ISBLANK('ENGAGEMENTS 2026'!B1946),"",'ENGAGEMENTS 2026'!J1946)</f>
        <v/>
      </c>
      <c r="Q1946">
        <f>IF($A1946="","",IF(OR($E1946="INFRUCTUEUX",$E1946="ANNULE"),$A1946&amp;"|"&amp;(COUNTIFS($A$2:$A1946,$A1946,$E$2:$E1946,"INFRUCTUEUX")+COUNTIFS($A$2:$A1946,$A1946,$E$2:$E1946,"ANNULE")),""))</f>
        <v/>
      </c>
    </row>
    <row r="1947">
      <c r="A1947">
        <f>IF(ISBLANK('ENGAGEMENTS 2026'!B1947),"",IF('ENGAGEMENTS 2026'!B1947="DTSI","DCT",'ENGAGEMENTS 2026'!B1947))</f>
        <v/>
      </c>
      <c r="B1947">
        <f>IF(ISBLANK('ENGAGEMENTS 2026'!B1947),"",'ENGAGEMENTS 2026'!C1947)</f>
        <v/>
      </c>
      <c r="C1947">
        <f>IF(ISBLANK('ENGAGEMENTS 2026'!B1947),"",'ENGAGEMENTS 2026'!D1947)</f>
        <v/>
      </c>
      <c r="D1947">
        <f>IF(ISBLANK('ENGAGEMENTS 2026'!B1947),"",'ENGAGEMENTS 2026'!F1947)</f>
        <v/>
      </c>
      <c r="E1947">
        <f>IF(ISBLANK('ENGAGEMENTS 2026'!B1947),"",'ENGAGEMENTS 2026'!H1947)</f>
        <v/>
      </c>
      <c r="F1947">
        <f>IF(ISBLANK('ENGAGEMENTS 2026'!B1947),"",'ENGAGEMENTS 2026'!I1947)</f>
        <v/>
      </c>
      <c r="G1947">
        <f>IF(ISBLANK('ENGAGEMENTS 2026'!B1947),"",'ENGAGEMENTS 2026'!L1947)</f>
        <v/>
      </c>
      <c r="H1947">
        <f>IF(ISBLANK('ENGAGEMENTS 2026'!B1947),"",'ENGAGEMENTS 2026'!AE1947)</f>
        <v/>
      </c>
      <c r="I1947">
        <f>IF(ISBLANK('ENGAGEMENTS 2026'!B1947),"",'ENGAGEMENTS 2026'!G1947)</f>
        <v/>
      </c>
      <c r="J1947" s="275">
        <f>IF(ISBLANK('ENGAGEMENTS 2026'!B1947),"",IF(AND(OR($E1947="INFRUCTUEUX",$E1947="ANNULE"),$C1947="AOO-M"),'ENGAGEMENTS 2026'!O1947,IF($H1947="EN COURS DE PREENGAGEMENT",'ENGAGEMENTS 2026'!N1947,IF($H1947="PREENGAGE",IF($E1947="ATTRIBUE",'ENGAGEMENTS 2026'!AD1947,'ENGAGEMENTS 2026'!N1947),'ENGAGEMENTS 2026'!AD1947))))</f>
        <v/>
      </c>
      <c r="K1947" s="604">
        <f>IF(ISBLANK('ENGAGEMENTS 2026'!V1947),"",'ENGAGEMENTS 2026'!V1947)</f>
        <v/>
      </c>
      <c r="L1947" s="276">
        <f>IF($K1947="","",TODAY()-$K1947)</f>
        <v/>
      </c>
      <c r="M1947">
        <f>IF($A1947="","",IF($H1947="ENGAGE","Engagé",IF(AND($H1947="NON ENGAGE",OR($I1947="INFRUCTUEUX",$I1947="ANNULE")),"Clôturé sans suite","En cours")))</f>
        <v/>
      </c>
      <c r="N1947">
        <f>IF(ISBLANK('ENGAGEMENTS 2026'!B1947),"",'ENGAGEMENTS 2026'!K1947)</f>
        <v/>
      </c>
      <c r="O1947">
        <f>IF(ISBLANK('ENGAGEMENTS 2026'!B1947),"",'ENGAGEMENTS 2026'!L1947)</f>
        <v/>
      </c>
      <c r="P1947">
        <f>IF(ISBLANK('ENGAGEMENTS 2026'!B1947),"",'ENGAGEMENTS 2026'!J1947)</f>
        <v/>
      </c>
      <c r="Q1947">
        <f>IF($A1947="","",IF(OR($E1947="INFRUCTUEUX",$E1947="ANNULE"),$A1947&amp;"|"&amp;(COUNTIFS($A$2:$A1947,$A1947,$E$2:$E1947,"INFRUCTUEUX")+COUNTIFS($A$2:$A1947,$A1947,$E$2:$E1947,"ANNULE")),""))</f>
        <v/>
      </c>
    </row>
    <row r="1948">
      <c r="A1948">
        <f>IF(ISBLANK('ENGAGEMENTS 2026'!B1948),"",IF('ENGAGEMENTS 2026'!B1948="DTSI","DCT",'ENGAGEMENTS 2026'!B1948))</f>
        <v/>
      </c>
      <c r="B1948">
        <f>IF(ISBLANK('ENGAGEMENTS 2026'!B1948),"",'ENGAGEMENTS 2026'!C1948)</f>
        <v/>
      </c>
      <c r="C1948">
        <f>IF(ISBLANK('ENGAGEMENTS 2026'!B1948),"",'ENGAGEMENTS 2026'!D1948)</f>
        <v/>
      </c>
      <c r="D1948">
        <f>IF(ISBLANK('ENGAGEMENTS 2026'!B1948),"",'ENGAGEMENTS 2026'!F1948)</f>
        <v/>
      </c>
      <c r="E1948">
        <f>IF(ISBLANK('ENGAGEMENTS 2026'!B1948),"",'ENGAGEMENTS 2026'!H1948)</f>
        <v/>
      </c>
      <c r="F1948">
        <f>IF(ISBLANK('ENGAGEMENTS 2026'!B1948),"",'ENGAGEMENTS 2026'!I1948)</f>
        <v/>
      </c>
      <c r="G1948">
        <f>IF(ISBLANK('ENGAGEMENTS 2026'!B1948),"",'ENGAGEMENTS 2026'!L1948)</f>
        <v/>
      </c>
      <c r="H1948">
        <f>IF(ISBLANK('ENGAGEMENTS 2026'!B1948),"",'ENGAGEMENTS 2026'!AE1948)</f>
        <v/>
      </c>
      <c r="I1948">
        <f>IF(ISBLANK('ENGAGEMENTS 2026'!B1948),"",'ENGAGEMENTS 2026'!G1948)</f>
        <v/>
      </c>
      <c r="J1948" s="275">
        <f>IF(ISBLANK('ENGAGEMENTS 2026'!B1948),"",IF(AND(OR($E1948="INFRUCTUEUX",$E1948="ANNULE"),$C1948="AOO-M"),'ENGAGEMENTS 2026'!O1948,IF($H1948="EN COURS DE PREENGAGEMENT",'ENGAGEMENTS 2026'!N1948,IF($H1948="PREENGAGE",IF($E1948="ATTRIBUE",'ENGAGEMENTS 2026'!AD1948,'ENGAGEMENTS 2026'!N1948),'ENGAGEMENTS 2026'!AD1948))))</f>
        <v/>
      </c>
      <c r="K1948" s="604">
        <f>IF(ISBLANK('ENGAGEMENTS 2026'!V1948),"",'ENGAGEMENTS 2026'!V1948)</f>
        <v/>
      </c>
      <c r="L1948" s="276">
        <f>IF($K1948="","",TODAY()-$K1948)</f>
        <v/>
      </c>
      <c r="M1948">
        <f>IF($A1948="","",IF($H1948="ENGAGE","Engagé",IF(AND($H1948="NON ENGAGE",OR($I1948="INFRUCTUEUX",$I1948="ANNULE")),"Clôturé sans suite","En cours")))</f>
        <v/>
      </c>
      <c r="N1948">
        <f>IF(ISBLANK('ENGAGEMENTS 2026'!B1948),"",'ENGAGEMENTS 2026'!K1948)</f>
        <v/>
      </c>
      <c r="O1948">
        <f>IF(ISBLANK('ENGAGEMENTS 2026'!B1948),"",'ENGAGEMENTS 2026'!L1948)</f>
        <v/>
      </c>
      <c r="P1948">
        <f>IF(ISBLANK('ENGAGEMENTS 2026'!B1948),"",'ENGAGEMENTS 2026'!J1948)</f>
        <v/>
      </c>
      <c r="Q1948">
        <f>IF($A1948="","",IF(OR($E1948="INFRUCTUEUX",$E1948="ANNULE"),$A1948&amp;"|"&amp;(COUNTIFS($A$2:$A1948,$A1948,$E$2:$E1948,"INFRUCTUEUX")+COUNTIFS($A$2:$A1948,$A1948,$E$2:$E1948,"ANNULE")),""))</f>
        <v/>
      </c>
    </row>
    <row r="1949">
      <c r="A1949">
        <f>IF(ISBLANK('ENGAGEMENTS 2026'!B1949),"",IF('ENGAGEMENTS 2026'!B1949="DTSI","DCT",'ENGAGEMENTS 2026'!B1949))</f>
        <v/>
      </c>
      <c r="B1949">
        <f>IF(ISBLANK('ENGAGEMENTS 2026'!B1949),"",'ENGAGEMENTS 2026'!C1949)</f>
        <v/>
      </c>
      <c r="C1949">
        <f>IF(ISBLANK('ENGAGEMENTS 2026'!B1949),"",'ENGAGEMENTS 2026'!D1949)</f>
        <v/>
      </c>
      <c r="D1949">
        <f>IF(ISBLANK('ENGAGEMENTS 2026'!B1949),"",'ENGAGEMENTS 2026'!F1949)</f>
        <v/>
      </c>
      <c r="E1949">
        <f>IF(ISBLANK('ENGAGEMENTS 2026'!B1949),"",'ENGAGEMENTS 2026'!H1949)</f>
        <v/>
      </c>
      <c r="F1949">
        <f>IF(ISBLANK('ENGAGEMENTS 2026'!B1949),"",'ENGAGEMENTS 2026'!I1949)</f>
        <v/>
      </c>
      <c r="G1949">
        <f>IF(ISBLANK('ENGAGEMENTS 2026'!B1949),"",'ENGAGEMENTS 2026'!L1949)</f>
        <v/>
      </c>
      <c r="H1949">
        <f>IF(ISBLANK('ENGAGEMENTS 2026'!B1949),"",'ENGAGEMENTS 2026'!AE1949)</f>
        <v/>
      </c>
      <c r="I1949">
        <f>IF(ISBLANK('ENGAGEMENTS 2026'!B1949),"",'ENGAGEMENTS 2026'!G1949)</f>
        <v/>
      </c>
      <c r="J1949" s="275">
        <f>IF(ISBLANK('ENGAGEMENTS 2026'!B1949),"",IF(AND(OR($E1949="INFRUCTUEUX",$E1949="ANNULE"),$C1949="AOO-M"),'ENGAGEMENTS 2026'!O1949,IF($H1949="EN COURS DE PREENGAGEMENT",'ENGAGEMENTS 2026'!N1949,IF($H1949="PREENGAGE",IF($E1949="ATTRIBUE",'ENGAGEMENTS 2026'!AD1949,'ENGAGEMENTS 2026'!N1949),'ENGAGEMENTS 2026'!AD1949))))</f>
        <v/>
      </c>
      <c r="K1949" s="604">
        <f>IF(ISBLANK('ENGAGEMENTS 2026'!V1949),"",'ENGAGEMENTS 2026'!V1949)</f>
        <v/>
      </c>
      <c r="L1949" s="276">
        <f>IF($K1949="","",TODAY()-$K1949)</f>
        <v/>
      </c>
      <c r="M1949">
        <f>IF($A1949="","",IF($H1949="ENGAGE","Engagé",IF(AND($H1949="NON ENGAGE",OR($I1949="INFRUCTUEUX",$I1949="ANNULE")),"Clôturé sans suite","En cours")))</f>
        <v/>
      </c>
      <c r="N1949">
        <f>IF(ISBLANK('ENGAGEMENTS 2026'!B1949),"",'ENGAGEMENTS 2026'!K1949)</f>
        <v/>
      </c>
      <c r="O1949">
        <f>IF(ISBLANK('ENGAGEMENTS 2026'!B1949),"",'ENGAGEMENTS 2026'!L1949)</f>
        <v/>
      </c>
      <c r="P1949">
        <f>IF(ISBLANK('ENGAGEMENTS 2026'!B1949),"",'ENGAGEMENTS 2026'!J1949)</f>
        <v/>
      </c>
      <c r="Q1949">
        <f>IF($A1949="","",IF(OR($E1949="INFRUCTUEUX",$E1949="ANNULE"),$A1949&amp;"|"&amp;(COUNTIFS($A$2:$A1949,$A1949,$E$2:$E1949,"INFRUCTUEUX")+COUNTIFS($A$2:$A1949,$A1949,$E$2:$E1949,"ANNULE")),""))</f>
        <v/>
      </c>
    </row>
    <row r="1950">
      <c r="A1950">
        <f>IF(ISBLANK('ENGAGEMENTS 2026'!B1950),"",IF('ENGAGEMENTS 2026'!B1950="DTSI","DCT",'ENGAGEMENTS 2026'!B1950))</f>
        <v/>
      </c>
      <c r="B1950">
        <f>IF(ISBLANK('ENGAGEMENTS 2026'!B1950),"",'ENGAGEMENTS 2026'!C1950)</f>
        <v/>
      </c>
      <c r="C1950">
        <f>IF(ISBLANK('ENGAGEMENTS 2026'!B1950),"",'ENGAGEMENTS 2026'!D1950)</f>
        <v/>
      </c>
      <c r="D1950">
        <f>IF(ISBLANK('ENGAGEMENTS 2026'!B1950),"",'ENGAGEMENTS 2026'!F1950)</f>
        <v/>
      </c>
      <c r="E1950">
        <f>IF(ISBLANK('ENGAGEMENTS 2026'!B1950),"",'ENGAGEMENTS 2026'!H1950)</f>
        <v/>
      </c>
      <c r="F1950">
        <f>IF(ISBLANK('ENGAGEMENTS 2026'!B1950),"",'ENGAGEMENTS 2026'!I1950)</f>
        <v/>
      </c>
      <c r="G1950">
        <f>IF(ISBLANK('ENGAGEMENTS 2026'!B1950),"",'ENGAGEMENTS 2026'!L1950)</f>
        <v/>
      </c>
      <c r="H1950">
        <f>IF(ISBLANK('ENGAGEMENTS 2026'!B1950),"",'ENGAGEMENTS 2026'!AE1950)</f>
        <v/>
      </c>
      <c r="I1950">
        <f>IF(ISBLANK('ENGAGEMENTS 2026'!B1950),"",'ENGAGEMENTS 2026'!G1950)</f>
        <v/>
      </c>
      <c r="J1950" s="275">
        <f>IF(ISBLANK('ENGAGEMENTS 2026'!B1950),"",IF(AND(OR($E1950="INFRUCTUEUX",$E1950="ANNULE"),$C1950="AOO-M"),'ENGAGEMENTS 2026'!O1950,IF($H1950="EN COURS DE PREENGAGEMENT",'ENGAGEMENTS 2026'!N1950,IF($H1950="PREENGAGE",IF($E1950="ATTRIBUE",'ENGAGEMENTS 2026'!AD1950,'ENGAGEMENTS 2026'!N1950),'ENGAGEMENTS 2026'!AD1950))))</f>
        <v/>
      </c>
      <c r="K1950" s="604">
        <f>IF(ISBLANK('ENGAGEMENTS 2026'!V1950),"",'ENGAGEMENTS 2026'!V1950)</f>
        <v/>
      </c>
      <c r="L1950" s="276">
        <f>IF($K1950="","",TODAY()-$K1950)</f>
        <v/>
      </c>
      <c r="M1950">
        <f>IF($A1950="","",IF($H1950="ENGAGE","Engagé",IF(AND($H1950="NON ENGAGE",OR($I1950="INFRUCTUEUX",$I1950="ANNULE")),"Clôturé sans suite","En cours")))</f>
        <v/>
      </c>
      <c r="N1950">
        <f>IF(ISBLANK('ENGAGEMENTS 2026'!B1950),"",'ENGAGEMENTS 2026'!K1950)</f>
        <v/>
      </c>
      <c r="O1950">
        <f>IF(ISBLANK('ENGAGEMENTS 2026'!B1950),"",'ENGAGEMENTS 2026'!L1950)</f>
        <v/>
      </c>
      <c r="P1950">
        <f>IF(ISBLANK('ENGAGEMENTS 2026'!B1950),"",'ENGAGEMENTS 2026'!J1950)</f>
        <v/>
      </c>
      <c r="Q1950">
        <f>IF($A1950="","",IF(OR($E1950="INFRUCTUEUX",$E1950="ANNULE"),$A1950&amp;"|"&amp;(COUNTIFS($A$2:$A1950,$A1950,$E$2:$E1950,"INFRUCTUEUX")+COUNTIFS($A$2:$A1950,$A1950,$E$2:$E1950,"ANNULE")),""))</f>
        <v/>
      </c>
    </row>
    <row r="1951">
      <c r="A1951">
        <f>IF(ISBLANK('ENGAGEMENTS 2026'!B1951),"",IF('ENGAGEMENTS 2026'!B1951="DTSI","DCT",'ENGAGEMENTS 2026'!B1951))</f>
        <v/>
      </c>
      <c r="B1951">
        <f>IF(ISBLANK('ENGAGEMENTS 2026'!B1951),"",'ENGAGEMENTS 2026'!C1951)</f>
        <v/>
      </c>
      <c r="C1951">
        <f>IF(ISBLANK('ENGAGEMENTS 2026'!B1951),"",'ENGAGEMENTS 2026'!D1951)</f>
        <v/>
      </c>
      <c r="D1951">
        <f>IF(ISBLANK('ENGAGEMENTS 2026'!B1951),"",'ENGAGEMENTS 2026'!F1951)</f>
        <v/>
      </c>
      <c r="E1951">
        <f>IF(ISBLANK('ENGAGEMENTS 2026'!B1951),"",'ENGAGEMENTS 2026'!H1951)</f>
        <v/>
      </c>
      <c r="F1951">
        <f>IF(ISBLANK('ENGAGEMENTS 2026'!B1951),"",'ENGAGEMENTS 2026'!I1951)</f>
        <v/>
      </c>
      <c r="G1951">
        <f>IF(ISBLANK('ENGAGEMENTS 2026'!B1951),"",'ENGAGEMENTS 2026'!L1951)</f>
        <v/>
      </c>
      <c r="H1951">
        <f>IF(ISBLANK('ENGAGEMENTS 2026'!B1951),"",'ENGAGEMENTS 2026'!AE1951)</f>
        <v/>
      </c>
      <c r="I1951">
        <f>IF(ISBLANK('ENGAGEMENTS 2026'!B1951),"",'ENGAGEMENTS 2026'!G1951)</f>
        <v/>
      </c>
      <c r="J1951" s="275">
        <f>IF(ISBLANK('ENGAGEMENTS 2026'!B1951),"",IF(AND(OR($E1951="INFRUCTUEUX",$E1951="ANNULE"),$C1951="AOO-M"),'ENGAGEMENTS 2026'!O1951,IF($H1951="EN COURS DE PREENGAGEMENT",'ENGAGEMENTS 2026'!N1951,IF($H1951="PREENGAGE",IF($E1951="ATTRIBUE",'ENGAGEMENTS 2026'!AD1951,'ENGAGEMENTS 2026'!N1951),'ENGAGEMENTS 2026'!AD1951))))</f>
        <v/>
      </c>
      <c r="K1951" s="604">
        <f>IF(ISBLANK('ENGAGEMENTS 2026'!V1951),"",'ENGAGEMENTS 2026'!V1951)</f>
        <v/>
      </c>
      <c r="L1951" s="276">
        <f>IF($K1951="","",TODAY()-$K1951)</f>
        <v/>
      </c>
      <c r="M1951">
        <f>IF($A1951="","",IF($H1951="ENGAGE","Engagé",IF(AND($H1951="NON ENGAGE",OR($I1951="INFRUCTUEUX",$I1951="ANNULE")),"Clôturé sans suite","En cours")))</f>
        <v/>
      </c>
      <c r="N1951">
        <f>IF(ISBLANK('ENGAGEMENTS 2026'!B1951),"",'ENGAGEMENTS 2026'!K1951)</f>
        <v/>
      </c>
      <c r="O1951">
        <f>IF(ISBLANK('ENGAGEMENTS 2026'!B1951),"",'ENGAGEMENTS 2026'!L1951)</f>
        <v/>
      </c>
      <c r="P1951">
        <f>IF(ISBLANK('ENGAGEMENTS 2026'!B1951),"",'ENGAGEMENTS 2026'!J1951)</f>
        <v/>
      </c>
      <c r="Q1951">
        <f>IF($A1951="","",IF(OR($E1951="INFRUCTUEUX",$E1951="ANNULE"),$A1951&amp;"|"&amp;(COUNTIFS($A$2:$A1951,$A1951,$E$2:$E1951,"INFRUCTUEUX")+COUNTIFS($A$2:$A1951,$A1951,$E$2:$E1951,"ANNULE")),""))</f>
        <v/>
      </c>
    </row>
    <row r="1952">
      <c r="A1952">
        <f>IF(ISBLANK('ENGAGEMENTS 2026'!B1952),"",IF('ENGAGEMENTS 2026'!B1952="DTSI","DCT",'ENGAGEMENTS 2026'!B1952))</f>
        <v/>
      </c>
      <c r="B1952">
        <f>IF(ISBLANK('ENGAGEMENTS 2026'!B1952),"",'ENGAGEMENTS 2026'!C1952)</f>
        <v/>
      </c>
      <c r="C1952">
        <f>IF(ISBLANK('ENGAGEMENTS 2026'!B1952),"",'ENGAGEMENTS 2026'!D1952)</f>
        <v/>
      </c>
      <c r="D1952">
        <f>IF(ISBLANK('ENGAGEMENTS 2026'!B1952),"",'ENGAGEMENTS 2026'!F1952)</f>
        <v/>
      </c>
      <c r="E1952">
        <f>IF(ISBLANK('ENGAGEMENTS 2026'!B1952),"",'ENGAGEMENTS 2026'!H1952)</f>
        <v/>
      </c>
      <c r="F1952">
        <f>IF(ISBLANK('ENGAGEMENTS 2026'!B1952),"",'ENGAGEMENTS 2026'!I1952)</f>
        <v/>
      </c>
      <c r="G1952">
        <f>IF(ISBLANK('ENGAGEMENTS 2026'!B1952),"",'ENGAGEMENTS 2026'!L1952)</f>
        <v/>
      </c>
      <c r="H1952">
        <f>IF(ISBLANK('ENGAGEMENTS 2026'!B1952),"",'ENGAGEMENTS 2026'!AE1952)</f>
        <v/>
      </c>
      <c r="I1952">
        <f>IF(ISBLANK('ENGAGEMENTS 2026'!B1952),"",'ENGAGEMENTS 2026'!G1952)</f>
        <v/>
      </c>
      <c r="J1952" s="275">
        <f>IF(ISBLANK('ENGAGEMENTS 2026'!B1952),"",IF(AND(OR($E1952="INFRUCTUEUX",$E1952="ANNULE"),$C1952="AOO-M"),'ENGAGEMENTS 2026'!O1952,IF($H1952="EN COURS DE PREENGAGEMENT",'ENGAGEMENTS 2026'!N1952,IF($H1952="PREENGAGE",IF($E1952="ATTRIBUE",'ENGAGEMENTS 2026'!AD1952,'ENGAGEMENTS 2026'!N1952),'ENGAGEMENTS 2026'!AD1952))))</f>
        <v/>
      </c>
      <c r="K1952" s="604">
        <f>IF(ISBLANK('ENGAGEMENTS 2026'!V1952),"",'ENGAGEMENTS 2026'!V1952)</f>
        <v/>
      </c>
      <c r="L1952" s="276">
        <f>IF($K1952="","",TODAY()-$K1952)</f>
        <v/>
      </c>
      <c r="M1952">
        <f>IF($A1952="","",IF($H1952="ENGAGE","Engagé",IF(AND($H1952="NON ENGAGE",OR($I1952="INFRUCTUEUX",$I1952="ANNULE")),"Clôturé sans suite","En cours")))</f>
        <v/>
      </c>
      <c r="N1952">
        <f>IF(ISBLANK('ENGAGEMENTS 2026'!B1952),"",'ENGAGEMENTS 2026'!K1952)</f>
        <v/>
      </c>
      <c r="O1952">
        <f>IF(ISBLANK('ENGAGEMENTS 2026'!B1952),"",'ENGAGEMENTS 2026'!L1952)</f>
        <v/>
      </c>
      <c r="P1952">
        <f>IF(ISBLANK('ENGAGEMENTS 2026'!B1952),"",'ENGAGEMENTS 2026'!J1952)</f>
        <v/>
      </c>
      <c r="Q1952">
        <f>IF($A1952="","",IF(OR($E1952="INFRUCTUEUX",$E1952="ANNULE"),$A1952&amp;"|"&amp;(COUNTIFS($A$2:$A1952,$A1952,$E$2:$E1952,"INFRUCTUEUX")+COUNTIFS($A$2:$A1952,$A1952,$E$2:$E1952,"ANNULE")),""))</f>
        <v/>
      </c>
    </row>
    <row r="1953">
      <c r="A1953">
        <f>IF(ISBLANK('ENGAGEMENTS 2026'!B1953),"",IF('ENGAGEMENTS 2026'!B1953="DTSI","DCT",'ENGAGEMENTS 2026'!B1953))</f>
        <v/>
      </c>
      <c r="B1953">
        <f>IF(ISBLANK('ENGAGEMENTS 2026'!B1953),"",'ENGAGEMENTS 2026'!C1953)</f>
        <v/>
      </c>
      <c r="C1953">
        <f>IF(ISBLANK('ENGAGEMENTS 2026'!B1953),"",'ENGAGEMENTS 2026'!D1953)</f>
        <v/>
      </c>
      <c r="D1953">
        <f>IF(ISBLANK('ENGAGEMENTS 2026'!B1953),"",'ENGAGEMENTS 2026'!F1953)</f>
        <v/>
      </c>
      <c r="E1953">
        <f>IF(ISBLANK('ENGAGEMENTS 2026'!B1953),"",'ENGAGEMENTS 2026'!H1953)</f>
        <v/>
      </c>
      <c r="F1953">
        <f>IF(ISBLANK('ENGAGEMENTS 2026'!B1953),"",'ENGAGEMENTS 2026'!I1953)</f>
        <v/>
      </c>
      <c r="G1953">
        <f>IF(ISBLANK('ENGAGEMENTS 2026'!B1953),"",'ENGAGEMENTS 2026'!L1953)</f>
        <v/>
      </c>
      <c r="H1953">
        <f>IF(ISBLANK('ENGAGEMENTS 2026'!B1953),"",'ENGAGEMENTS 2026'!AE1953)</f>
        <v/>
      </c>
      <c r="I1953">
        <f>IF(ISBLANK('ENGAGEMENTS 2026'!B1953),"",'ENGAGEMENTS 2026'!G1953)</f>
        <v/>
      </c>
      <c r="J1953" s="275">
        <f>IF(ISBLANK('ENGAGEMENTS 2026'!B1953),"",IF(AND(OR($E1953="INFRUCTUEUX",$E1953="ANNULE"),$C1953="AOO-M"),'ENGAGEMENTS 2026'!O1953,IF($H1953="EN COURS DE PREENGAGEMENT",'ENGAGEMENTS 2026'!N1953,IF($H1953="PREENGAGE",IF($E1953="ATTRIBUE",'ENGAGEMENTS 2026'!AD1953,'ENGAGEMENTS 2026'!N1953),'ENGAGEMENTS 2026'!AD1953))))</f>
        <v/>
      </c>
      <c r="K1953" s="604">
        <f>IF(ISBLANK('ENGAGEMENTS 2026'!V1953),"",'ENGAGEMENTS 2026'!V1953)</f>
        <v/>
      </c>
      <c r="L1953" s="276">
        <f>IF($K1953="","",TODAY()-$K1953)</f>
        <v/>
      </c>
      <c r="M1953">
        <f>IF($A1953="","",IF($H1953="ENGAGE","Engagé",IF(AND($H1953="NON ENGAGE",OR($I1953="INFRUCTUEUX",$I1953="ANNULE")),"Clôturé sans suite","En cours")))</f>
        <v/>
      </c>
      <c r="N1953">
        <f>IF(ISBLANK('ENGAGEMENTS 2026'!B1953),"",'ENGAGEMENTS 2026'!K1953)</f>
        <v/>
      </c>
      <c r="O1953">
        <f>IF(ISBLANK('ENGAGEMENTS 2026'!B1953),"",'ENGAGEMENTS 2026'!L1953)</f>
        <v/>
      </c>
      <c r="P1953">
        <f>IF(ISBLANK('ENGAGEMENTS 2026'!B1953),"",'ENGAGEMENTS 2026'!J1953)</f>
        <v/>
      </c>
      <c r="Q1953">
        <f>IF($A1953="","",IF(OR($E1953="INFRUCTUEUX",$E1953="ANNULE"),$A1953&amp;"|"&amp;(COUNTIFS($A$2:$A1953,$A1953,$E$2:$E1953,"INFRUCTUEUX")+COUNTIFS($A$2:$A1953,$A1953,$E$2:$E1953,"ANNULE")),""))</f>
        <v/>
      </c>
    </row>
    <row r="1954">
      <c r="A1954">
        <f>IF(ISBLANK('ENGAGEMENTS 2026'!B1954),"",IF('ENGAGEMENTS 2026'!B1954="DTSI","DCT",'ENGAGEMENTS 2026'!B1954))</f>
        <v/>
      </c>
      <c r="B1954">
        <f>IF(ISBLANK('ENGAGEMENTS 2026'!B1954),"",'ENGAGEMENTS 2026'!C1954)</f>
        <v/>
      </c>
      <c r="C1954">
        <f>IF(ISBLANK('ENGAGEMENTS 2026'!B1954),"",'ENGAGEMENTS 2026'!D1954)</f>
        <v/>
      </c>
      <c r="D1954">
        <f>IF(ISBLANK('ENGAGEMENTS 2026'!B1954),"",'ENGAGEMENTS 2026'!F1954)</f>
        <v/>
      </c>
      <c r="E1954">
        <f>IF(ISBLANK('ENGAGEMENTS 2026'!B1954),"",'ENGAGEMENTS 2026'!H1954)</f>
        <v/>
      </c>
      <c r="F1954">
        <f>IF(ISBLANK('ENGAGEMENTS 2026'!B1954),"",'ENGAGEMENTS 2026'!I1954)</f>
        <v/>
      </c>
      <c r="G1954">
        <f>IF(ISBLANK('ENGAGEMENTS 2026'!B1954),"",'ENGAGEMENTS 2026'!L1954)</f>
        <v/>
      </c>
      <c r="H1954">
        <f>IF(ISBLANK('ENGAGEMENTS 2026'!B1954),"",'ENGAGEMENTS 2026'!AE1954)</f>
        <v/>
      </c>
      <c r="I1954">
        <f>IF(ISBLANK('ENGAGEMENTS 2026'!B1954),"",'ENGAGEMENTS 2026'!G1954)</f>
        <v/>
      </c>
      <c r="J1954" s="275">
        <f>IF(ISBLANK('ENGAGEMENTS 2026'!B1954),"",IF(AND(OR($E1954="INFRUCTUEUX",$E1954="ANNULE"),$C1954="AOO-M"),'ENGAGEMENTS 2026'!O1954,IF($H1954="EN COURS DE PREENGAGEMENT",'ENGAGEMENTS 2026'!N1954,IF($H1954="PREENGAGE",IF($E1954="ATTRIBUE",'ENGAGEMENTS 2026'!AD1954,'ENGAGEMENTS 2026'!N1954),'ENGAGEMENTS 2026'!AD1954))))</f>
        <v/>
      </c>
      <c r="K1954" s="604">
        <f>IF(ISBLANK('ENGAGEMENTS 2026'!V1954),"",'ENGAGEMENTS 2026'!V1954)</f>
        <v/>
      </c>
      <c r="L1954" s="276">
        <f>IF($K1954="","",TODAY()-$K1954)</f>
        <v/>
      </c>
      <c r="M1954">
        <f>IF($A1954="","",IF($H1954="ENGAGE","Engagé",IF(AND($H1954="NON ENGAGE",OR($I1954="INFRUCTUEUX",$I1954="ANNULE")),"Clôturé sans suite","En cours")))</f>
        <v/>
      </c>
      <c r="N1954">
        <f>IF(ISBLANK('ENGAGEMENTS 2026'!B1954),"",'ENGAGEMENTS 2026'!K1954)</f>
        <v/>
      </c>
      <c r="O1954">
        <f>IF(ISBLANK('ENGAGEMENTS 2026'!B1954),"",'ENGAGEMENTS 2026'!L1954)</f>
        <v/>
      </c>
      <c r="P1954">
        <f>IF(ISBLANK('ENGAGEMENTS 2026'!B1954),"",'ENGAGEMENTS 2026'!J1954)</f>
        <v/>
      </c>
      <c r="Q1954">
        <f>IF($A1954="","",IF(OR($E1954="INFRUCTUEUX",$E1954="ANNULE"),$A1954&amp;"|"&amp;(COUNTIFS($A$2:$A1954,$A1954,$E$2:$E1954,"INFRUCTUEUX")+COUNTIFS($A$2:$A1954,$A1954,$E$2:$E1954,"ANNULE")),""))</f>
        <v/>
      </c>
    </row>
    <row r="1955">
      <c r="A1955">
        <f>IF(ISBLANK('ENGAGEMENTS 2026'!B1955),"",IF('ENGAGEMENTS 2026'!B1955="DTSI","DCT",'ENGAGEMENTS 2026'!B1955))</f>
        <v/>
      </c>
      <c r="B1955">
        <f>IF(ISBLANK('ENGAGEMENTS 2026'!B1955),"",'ENGAGEMENTS 2026'!C1955)</f>
        <v/>
      </c>
      <c r="C1955">
        <f>IF(ISBLANK('ENGAGEMENTS 2026'!B1955),"",'ENGAGEMENTS 2026'!D1955)</f>
        <v/>
      </c>
      <c r="D1955">
        <f>IF(ISBLANK('ENGAGEMENTS 2026'!B1955),"",'ENGAGEMENTS 2026'!F1955)</f>
        <v/>
      </c>
      <c r="E1955">
        <f>IF(ISBLANK('ENGAGEMENTS 2026'!B1955),"",'ENGAGEMENTS 2026'!H1955)</f>
        <v/>
      </c>
      <c r="F1955">
        <f>IF(ISBLANK('ENGAGEMENTS 2026'!B1955),"",'ENGAGEMENTS 2026'!I1955)</f>
        <v/>
      </c>
      <c r="G1955">
        <f>IF(ISBLANK('ENGAGEMENTS 2026'!B1955),"",'ENGAGEMENTS 2026'!L1955)</f>
        <v/>
      </c>
      <c r="H1955">
        <f>IF(ISBLANK('ENGAGEMENTS 2026'!B1955),"",'ENGAGEMENTS 2026'!AE1955)</f>
        <v/>
      </c>
      <c r="I1955">
        <f>IF(ISBLANK('ENGAGEMENTS 2026'!B1955),"",'ENGAGEMENTS 2026'!G1955)</f>
        <v/>
      </c>
      <c r="J1955" s="275">
        <f>IF(ISBLANK('ENGAGEMENTS 2026'!B1955),"",IF(AND(OR($E1955="INFRUCTUEUX",$E1955="ANNULE"),$C1955="AOO-M"),'ENGAGEMENTS 2026'!O1955,IF($H1955="EN COURS DE PREENGAGEMENT",'ENGAGEMENTS 2026'!N1955,IF($H1955="PREENGAGE",IF($E1955="ATTRIBUE",'ENGAGEMENTS 2026'!AD1955,'ENGAGEMENTS 2026'!N1955),'ENGAGEMENTS 2026'!AD1955))))</f>
        <v/>
      </c>
      <c r="K1955" s="604">
        <f>IF(ISBLANK('ENGAGEMENTS 2026'!V1955),"",'ENGAGEMENTS 2026'!V1955)</f>
        <v/>
      </c>
      <c r="L1955" s="276">
        <f>IF($K1955="","",TODAY()-$K1955)</f>
        <v/>
      </c>
      <c r="M1955">
        <f>IF($A1955="","",IF($H1955="ENGAGE","Engagé",IF(AND($H1955="NON ENGAGE",OR($I1955="INFRUCTUEUX",$I1955="ANNULE")),"Clôturé sans suite","En cours")))</f>
        <v/>
      </c>
      <c r="N1955">
        <f>IF(ISBLANK('ENGAGEMENTS 2026'!B1955),"",'ENGAGEMENTS 2026'!K1955)</f>
        <v/>
      </c>
      <c r="O1955">
        <f>IF(ISBLANK('ENGAGEMENTS 2026'!B1955),"",'ENGAGEMENTS 2026'!L1955)</f>
        <v/>
      </c>
      <c r="P1955">
        <f>IF(ISBLANK('ENGAGEMENTS 2026'!B1955),"",'ENGAGEMENTS 2026'!J1955)</f>
        <v/>
      </c>
      <c r="Q1955">
        <f>IF($A1955="","",IF(OR($E1955="INFRUCTUEUX",$E1955="ANNULE"),$A1955&amp;"|"&amp;(COUNTIFS($A$2:$A1955,$A1955,$E$2:$E1955,"INFRUCTUEUX")+COUNTIFS($A$2:$A1955,$A1955,$E$2:$E1955,"ANNULE")),""))</f>
        <v/>
      </c>
    </row>
    <row r="1956">
      <c r="A1956">
        <f>IF(ISBLANK('ENGAGEMENTS 2026'!B1956),"",IF('ENGAGEMENTS 2026'!B1956="DTSI","DCT",'ENGAGEMENTS 2026'!B1956))</f>
        <v/>
      </c>
      <c r="B1956">
        <f>IF(ISBLANK('ENGAGEMENTS 2026'!B1956),"",'ENGAGEMENTS 2026'!C1956)</f>
        <v/>
      </c>
      <c r="C1956">
        <f>IF(ISBLANK('ENGAGEMENTS 2026'!B1956),"",'ENGAGEMENTS 2026'!D1956)</f>
        <v/>
      </c>
      <c r="D1956">
        <f>IF(ISBLANK('ENGAGEMENTS 2026'!B1956),"",'ENGAGEMENTS 2026'!F1956)</f>
        <v/>
      </c>
      <c r="E1956">
        <f>IF(ISBLANK('ENGAGEMENTS 2026'!B1956),"",'ENGAGEMENTS 2026'!H1956)</f>
        <v/>
      </c>
      <c r="F1956">
        <f>IF(ISBLANK('ENGAGEMENTS 2026'!B1956),"",'ENGAGEMENTS 2026'!I1956)</f>
        <v/>
      </c>
      <c r="G1956">
        <f>IF(ISBLANK('ENGAGEMENTS 2026'!B1956),"",'ENGAGEMENTS 2026'!L1956)</f>
        <v/>
      </c>
      <c r="H1956">
        <f>IF(ISBLANK('ENGAGEMENTS 2026'!B1956),"",'ENGAGEMENTS 2026'!AE1956)</f>
        <v/>
      </c>
      <c r="I1956">
        <f>IF(ISBLANK('ENGAGEMENTS 2026'!B1956),"",'ENGAGEMENTS 2026'!G1956)</f>
        <v/>
      </c>
      <c r="J1956" s="275">
        <f>IF(ISBLANK('ENGAGEMENTS 2026'!B1956),"",IF(AND(OR($E1956="INFRUCTUEUX",$E1956="ANNULE"),$C1956="AOO-M"),'ENGAGEMENTS 2026'!O1956,IF($H1956="EN COURS DE PREENGAGEMENT",'ENGAGEMENTS 2026'!N1956,IF($H1956="PREENGAGE",IF($E1956="ATTRIBUE",'ENGAGEMENTS 2026'!AD1956,'ENGAGEMENTS 2026'!N1956),'ENGAGEMENTS 2026'!AD1956))))</f>
        <v/>
      </c>
      <c r="K1956" s="604">
        <f>IF(ISBLANK('ENGAGEMENTS 2026'!V1956),"",'ENGAGEMENTS 2026'!V1956)</f>
        <v/>
      </c>
      <c r="L1956" s="276">
        <f>IF($K1956="","",TODAY()-$K1956)</f>
        <v/>
      </c>
      <c r="M1956">
        <f>IF($A1956="","",IF($H1956="ENGAGE","Engagé",IF(AND($H1956="NON ENGAGE",OR($I1956="INFRUCTUEUX",$I1956="ANNULE")),"Clôturé sans suite","En cours")))</f>
        <v/>
      </c>
      <c r="N1956">
        <f>IF(ISBLANK('ENGAGEMENTS 2026'!B1956),"",'ENGAGEMENTS 2026'!K1956)</f>
        <v/>
      </c>
      <c r="O1956">
        <f>IF(ISBLANK('ENGAGEMENTS 2026'!B1956),"",'ENGAGEMENTS 2026'!L1956)</f>
        <v/>
      </c>
      <c r="P1956">
        <f>IF(ISBLANK('ENGAGEMENTS 2026'!B1956),"",'ENGAGEMENTS 2026'!J1956)</f>
        <v/>
      </c>
      <c r="Q1956">
        <f>IF($A1956="","",IF(OR($E1956="INFRUCTUEUX",$E1956="ANNULE"),$A1956&amp;"|"&amp;(COUNTIFS($A$2:$A1956,$A1956,$E$2:$E1956,"INFRUCTUEUX")+COUNTIFS($A$2:$A1956,$A1956,$E$2:$E1956,"ANNULE")),""))</f>
        <v/>
      </c>
    </row>
    <row r="1957">
      <c r="A1957">
        <f>IF(ISBLANK('ENGAGEMENTS 2026'!B1957),"",IF('ENGAGEMENTS 2026'!B1957="DTSI","DCT",'ENGAGEMENTS 2026'!B1957))</f>
        <v/>
      </c>
      <c r="B1957">
        <f>IF(ISBLANK('ENGAGEMENTS 2026'!B1957),"",'ENGAGEMENTS 2026'!C1957)</f>
        <v/>
      </c>
      <c r="C1957">
        <f>IF(ISBLANK('ENGAGEMENTS 2026'!B1957),"",'ENGAGEMENTS 2026'!D1957)</f>
        <v/>
      </c>
      <c r="D1957">
        <f>IF(ISBLANK('ENGAGEMENTS 2026'!B1957),"",'ENGAGEMENTS 2026'!F1957)</f>
        <v/>
      </c>
      <c r="E1957">
        <f>IF(ISBLANK('ENGAGEMENTS 2026'!B1957),"",'ENGAGEMENTS 2026'!H1957)</f>
        <v/>
      </c>
      <c r="F1957">
        <f>IF(ISBLANK('ENGAGEMENTS 2026'!B1957),"",'ENGAGEMENTS 2026'!I1957)</f>
        <v/>
      </c>
      <c r="G1957">
        <f>IF(ISBLANK('ENGAGEMENTS 2026'!B1957),"",'ENGAGEMENTS 2026'!L1957)</f>
        <v/>
      </c>
      <c r="H1957">
        <f>IF(ISBLANK('ENGAGEMENTS 2026'!B1957),"",'ENGAGEMENTS 2026'!AE1957)</f>
        <v/>
      </c>
      <c r="I1957">
        <f>IF(ISBLANK('ENGAGEMENTS 2026'!B1957),"",'ENGAGEMENTS 2026'!G1957)</f>
        <v/>
      </c>
      <c r="J1957" s="275">
        <f>IF(ISBLANK('ENGAGEMENTS 2026'!B1957),"",IF(AND(OR($E1957="INFRUCTUEUX",$E1957="ANNULE"),$C1957="AOO-M"),'ENGAGEMENTS 2026'!O1957,IF($H1957="EN COURS DE PREENGAGEMENT",'ENGAGEMENTS 2026'!N1957,IF($H1957="PREENGAGE",IF($E1957="ATTRIBUE",'ENGAGEMENTS 2026'!AD1957,'ENGAGEMENTS 2026'!N1957),'ENGAGEMENTS 2026'!AD1957))))</f>
        <v/>
      </c>
      <c r="K1957" s="604">
        <f>IF(ISBLANK('ENGAGEMENTS 2026'!V1957),"",'ENGAGEMENTS 2026'!V1957)</f>
        <v/>
      </c>
      <c r="L1957" s="276">
        <f>IF($K1957="","",TODAY()-$K1957)</f>
        <v/>
      </c>
      <c r="M1957">
        <f>IF($A1957="","",IF($H1957="ENGAGE","Engagé",IF(AND($H1957="NON ENGAGE",OR($I1957="INFRUCTUEUX",$I1957="ANNULE")),"Clôturé sans suite","En cours")))</f>
        <v/>
      </c>
      <c r="N1957">
        <f>IF(ISBLANK('ENGAGEMENTS 2026'!B1957),"",'ENGAGEMENTS 2026'!K1957)</f>
        <v/>
      </c>
      <c r="O1957">
        <f>IF(ISBLANK('ENGAGEMENTS 2026'!B1957),"",'ENGAGEMENTS 2026'!L1957)</f>
        <v/>
      </c>
      <c r="P1957">
        <f>IF(ISBLANK('ENGAGEMENTS 2026'!B1957),"",'ENGAGEMENTS 2026'!J1957)</f>
        <v/>
      </c>
      <c r="Q1957">
        <f>IF($A1957="","",IF(OR($E1957="INFRUCTUEUX",$E1957="ANNULE"),$A1957&amp;"|"&amp;(COUNTIFS($A$2:$A1957,$A1957,$E$2:$E1957,"INFRUCTUEUX")+COUNTIFS($A$2:$A1957,$A1957,$E$2:$E1957,"ANNULE")),""))</f>
        <v/>
      </c>
    </row>
    <row r="1958">
      <c r="A1958">
        <f>IF(ISBLANK('ENGAGEMENTS 2026'!B1958),"",IF('ENGAGEMENTS 2026'!B1958="DTSI","DCT",'ENGAGEMENTS 2026'!B1958))</f>
        <v/>
      </c>
      <c r="B1958">
        <f>IF(ISBLANK('ENGAGEMENTS 2026'!B1958),"",'ENGAGEMENTS 2026'!C1958)</f>
        <v/>
      </c>
      <c r="C1958">
        <f>IF(ISBLANK('ENGAGEMENTS 2026'!B1958),"",'ENGAGEMENTS 2026'!D1958)</f>
        <v/>
      </c>
      <c r="D1958">
        <f>IF(ISBLANK('ENGAGEMENTS 2026'!B1958),"",'ENGAGEMENTS 2026'!F1958)</f>
        <v/>
      </c>
      <c r="E1958">
        <f>IF(ISBLANK('ENGAGEMENTS 2026'!B1958),"",'ENGAGEMENTS 2026'!H1958)</f>
        <v/>
      </c>
      <c r="F1958">
        <f>IF(ISBLANK('ENGAGEMENTS 2026'!B1958),"",'ENGAGEMENTS 2026'!I1958)</f>
        <v/>
      </c>
      <c r="G1958">
        <f>IF(ISBLANK('ENGAGEMENTS 2026'!B1958),"",'ENGAGEMENTS 2026'!L1958)</f>
        <v/>
      </c>
      <c r="H1958">
        <f>IF(ISBLANK('ENGAGEMENTS 2026'!B1958),"",'ENGAGEMENTS 2026'!AE1958)</f>
        <v/>
      </c>
      <c r="I1958">
        <f>IF(ISBLANK('ENGAGEMENTS 2026'!B1958),"",'ENGAGEMENTS 2026'!G1958)</f>
        <v/>
      </c>
      <c r="J1958" s="275">
        <f>IF(ISBLANK('ENGAGEMENTS 2026'!B1958),"",IF(AND(OR($E1958="INFRUCTUEUX",$E1958="ANNULE"),$C1958="AOO-M"),'ENGAGEMENTS 2026'!O1958,IF($H1958="EN COURS DE PREENGAGEMENT",'ENGAGEMENTS 2026'!N1958,IF($H1958="PREENGAGE",IF($E1958="ATTRIBUE",'ENGAGEMENTS 2026'!AD1958,'ENGAGEMENTS 2026'!N1958),'ENGAGEMENTS 2026'!AD1958))))</f>
        <v/>
      </c>
      <c r="K1958" s="604">
        <f>IF(ISBLANK('ENGAGEMENTS 2026'!V1958),"",'ENGAGEMENTS 2026'!V1958)</f>
        <v/>
      </c>
      <c r="L1958" s="276">
        <f>IF($K1958="","",TODAY()-$K1958)</f>
        <v/>
      </c>
      <c r="M1958">
        <f>IF($A1958="","",IF($H1958="ENGAGE","Engagé",IF(AND($H1958="NON ENGAGE",OR($I1958="INFRUCTUEUX",$I1958="ANNULE")),"Clôturé sans suite","En cours")))</f>
        <v/>
      </c>
      <c r="N1958">
        <f>IF(ISBLANK('ENGAGEMENTS 2026'!B1958),"",'ENGAGEMENTS 2026'!K1958)</f>
        <v/>
      </c>
      <c r="O1958">
        <f>IF(ISBLANK('ENGAGEMENTS 2026'!B1958),"",'ENGAGEMENTS 2026'!L1958)</f>
        <v/>
      </c>
      <c r="P1958">
        <f>IF(ISBLANK('ENGAGEMENTS 2026'!B1958),"",'ENGAGEMENTS 2026'!J1958)</f>
        <v/>
      </c>
      <c r="Q1958">
        <f>IF($A1958="","",IF(OR($E1958="INFRUCTUEUX",$E1958="ANNULE"),$A1958&amp;"|"&amp;(COUNTIFS($A$2:$A1958,$A1958,$E$2:$E1958,"INFRUCTUEUX")+COUNTIFS($A$2:$A1958,$A1958,$E$2:$E1958,"ANNULE")),""))</f>
        <v/>
      </c>
    </row>
    <row r="1959">
      <c r="A1959">
        <f>IF(ISBLANK('ENGAGEMENTS 2026'!B1959),"",IF('ENGAGEMENTS 2026'!B1959="DTSI","DCT",'ENGAGEMENTS 2026'!B1959))</f>
        <v/>
      </c>
      <c r="B1959">
        <f>IF(ISBLANK('ENGAGEMENTS 2026'!B1959),"",'ENGAGEMENTS 2026'!C1959)</f>
        <v/>
      </c>
      <c r="C1959">
        <f>IF(ISBLANK('ENGAGEMENTS 2026'!B1959),"",'ENGAGEMENTS 2026'!D1959)</f>
        <v/>
      </c>
      <c r="D1959">
        <f>IF(ISBLANK('ENGAGEMENTS 2026'!B1959),"",'ENGAGEMENTS 2026'!F1959)</f>
        <v/>
      </c>
      <c r="E1959">
        <f>IF(ISBLANK('ENGAGEMENTS 2026'!B1959),"",'ENGAGEMENTS 2026'!H1959)</f>
        <v/>
      </c>
      <c r="F1959">
        <f>IF(ISBLANK('ENGAGEMENTS 2026'!B1959),"",'ENGAGEMENTS 2026'!I1959)</f>
        <v/>
      </c>
      <c r="G1959">
        <f>IF(ISBLANK('ENGAGEMENTS 2026'!B1959),"",'ENGAGEMENTS 2026'!L1959)</f>
        <v/>
      </c>
      <c r="H1959">
        <f>IF(ISBLANK('ENGAGEMENTS 2026'!B1959),"",'ENGAGEMENTS 2026'!AE1959)</f>
        <v/>
      </c>
      <c r="I1959">
        <f>IF(ISBLANK('ENGAGEMENTS 2026'!B1959),"",'ENGAGEMENTS 2026'!G1959)</f>
        <v/>
      </c>
      <c r="J1959" s="275">
        <f>IF(ISBLANK('ENGAGEMENTS 2026'!B1959),"",IF(AND(OR($E1959="INFRUCTUEUX",$E1959="ANNULE"),$C1959="AOO-M"),'ENGAGEMENTS 2026'!O1959,IF($H1959="EN COURS DE PREENGAGEMENT",'ENGAGEMENTS 2026'!N1959,IF($H1959="PREENGAGE",IF($E1959="ATTRIBUE",'ENGAGEMENTS 2026'!AD1959,'ENGAGEMENTS 2026'!N1959),'ENGAGEMENTS 2026'!AD1959))))</f>
        <v/>
      </c>
      <c r="K1959" s="604">
        <f>IF(ISBLANK('ENGAGEMENTS 2026'!V1959),"",'ENGAGEMENTS 2026'!V1959)</f>
        <v/>
      </c>
      <c r="L1959" s="276">
        <f>IF($K1959="","",TODAY()-$K1959)</f>
        <v/>
      </c>
      <c r="M1959">
        <f>IF($A1959="","",IF($H1959="ENGAGE","Engagé",IF(AND($H1959="NON ENGAGE",OR($I1959="INFRUCTUEUX",$I1959="ANNULE")),"Clôturé sans suite","En cours")))</f>
        <v/>
      </c>
      <c r="N1959">
        <f>IF(ISBLANK('ENGAGEMENTS 2026'!B1959),"",'ENGAGEMENTS 2026'!K1959)</f>
        <v/>
      </c>
      <c r="O1959">
        <f>IF(ISBLANK('ENGAGEMENTS 2026'!B1959),"",'ENGAGEMENTS 2026'!L1959)</f>
        <v/>
      </c>
      <c r="P1959">
        <f>IF(ISBLANK('ENGAGEMENTS 2026'!B1959),"",'ENGAGEMENTS 2026'!J1959)</f>
        <v/>
      </c>
      <c r="Q1959">
        <f>IF($A1959="","",IF(OR($E1959="INFRUCTUEUX",$E1959="ANNULE"),$A1959&amp;"|"&amp;(COUNTIFS($A$2:$A1959,$A1959,$E$2:$E1959,"INFRUCTUEUX")+COUNTIFS($A$2:$A1959,$A1959,$E$2:$E1959,"ANNULE")),""))</f>
        <v/>
      </c>
    </row>
    <row r="1960">
      <c r="A1960">
        <f>IF(ISBLANK('ENGAGEMENTS 2026'!B1960),"",IF('ENGAGEMENTS 2026'!B1960="DTSI","DCT",'ENGAGEMENTS 2026'!B1960))</f>
        <v/>
      </c>
      <c r="B1960">
        <f>IF(ISBLANK('ENGAGEMENTS 2026'!B1960),"",'ENGAGEMENTS 2026'!C1960)</f>
        <v/>
      </c>
      <c r="C1960">
        <f>IF(ISBLANK('ENGAGEMENTS 2026'!B1960),"",'ENGAGEMENTS 2026'!D1960)</f>
        <v/>
      </c>
      <c r="D1960">
        <f>IF(ISBLANK('ENGAGEMENTS 2026'!B1960),"",'ENGAGEMENTS 2026'!F1960)</f>
        <v/>
      </c>
      <c r="E1960">
        <f>IF(ISBLANK('ENGAGEMENTS 2026'!B1960),"",'ENGAGEMENTS 2026'!H1960)</f>
        <v/>
      </c>
      <c r="F1960">
        <f>IF(ISBLANK('ENGAGEMENTS 2026'!B1960),"",'ENGAGEMENTS 2026'!I1960)</f>
        <v/>
      </c>
      <c r="G1960">
        <f>IF(ISBLANK('ENGAGEMENTS 2026'!B1960),"",'ENGAGEMENTS 2026'!L1960)</f>
        <v/>
      </c>
      <c r="H1960">
        <f>IF(ISBLANK('ENGAGEMENTS 2026'!B1960),"",'ENGAGEMENTS 2026'!AE1960)</f>
        <v/>
      </c>
      <c r="I1960">
        <f>IF(ISBLANK('ENGAGEMENTS 2026'!B1960),"",'ENGAGEMENTS 2026'!G1960)</f>
        <v/>
      </c>
      <c r="J1960" s="275">
        <f>IF(ISBLANK('ENGAGEMENTS 2026'!B1960),"",IF(AND(OR($E1960="INFRUCTUEUX",$E1960="ANNULE"),$C1960="AOO-M"),'ENGAGEMENTS 2026'!O1960,IF($H1960="EN COURS DE PREENGAGEMENT",'ENGAGEMENTS 2026'!N1960,IF($H1960="PREENGAGE",IF($E1960="ATTRIBUE",'ENGAGEMENTS 2026'!AD1960,'ENGAGEMENTS 2026'!N1960),'ENGAGEMENTS 2026'!AD1960))))</f>
        <v/>
      </c>
      <c r="K1960" s="604">
        <f>IF(ISBLANK('ENGAGEMENTS 2026'!V1960),"",'ENGAGEMENTS 2026'!V1960)</f>
        <v/>
      </c>
      <c r="L1960" s="276">
        <f>IF($K1960="","",TODAY()-$K1960)</f>
        <v/>
      </c>
      <c r="M1960">
        <f>IF($A1960="","",IF($H1960="ENGAGE","Engagé",IF(AND($H1960="NON ENGAGE",OR($I1960="INFRUCTUEUX",$I1960="ANNULE")),"Clôturé sans suite","En cours")))</f>
        <v/>
      </c>
      <c r="N1960">
        <f>IF(ISBLANK('ENGAGEMENTS 2026'!B1960),"",'ENGAGEMENTS 2026'!K1960)</f>
        <v/>
      </c>
      <c r="O1960">
        <f>IF(ISBLANK('ENGAGEMENTS 2026'!B1960),"",'ENGAGEMENTS 2026'!L1960)</f>
        <v/>
      </c>
      <c r="P1960">
        <f>IF(ISBLANK('ENGAGEMENTS 2026'!B1960),"",'ENGAGEMENTS 2026'!J1960)</f>
        <v/>
      </c>
      <c r="Q1960">
        <f>IF($A1960="","",IF(OR($E1960="INFRUCTUEUX",$E1960="ANNULE"),$A1960&amp;"|"&amp;(COUNTIFS($A$2:$A1960,$A1960,$E$2:$E1960,"INFRUCTUEUX")+COUNTIFS($A$2:$A1960,$A1960,$E$2:$E1960,"ANNULE")),""))</f>
        <v/>
      </c>
    </row>
    <row r="1961">
      <c r="A1961">
        <f>IF(ISBLANK('ENGAGEMENTS 2026'!B1961),"",IF('ENGAGEMENTS 2026'!B1961="DTSI","DCT",'ENGAGEMENTS 2026'!B1961))</f>
        <v/>
      </c>
      <c r="B1961">
        <f>IF(ISBLANK('ENGAGEMENTS 2026'!B1961),"",'ENGAGEMENTS 2026'!C1961)</f>
        <v/>
      </c>
      <c r="C1961">
        <f>IF(ISBLANK('ENGAGEMENTS 2026'!B1961),"",'ENGAGEMENTS 2026'!D1961)</f>
        <v/>
      </c>
      <c r="D1961">
        <f>IF(ISBLANK('ENGAGEMENTS 2026'!B1961),"",'ENGAGEMENTS 2026'!F1961)</f>
        <v/>
      </c>
      <c r="E1961">
        <f>IF(ISBLANK('ENGAGEMENTS 2026'!B1961),"",'ENGAGEMENTS 2026'!H1961)</f>
        <v/>
      </c>
      <c r="F1961">
        <f>IF(ISBLANK('ENGAGEMENTS 2026'!B1961),"",'ENGAGEMENTS 2026'!I1961)</f>
        <v/>
      </c>
      <c r="G1961">
        <f>IF(ISBLANK('ENGAGEMENTS 2026'!B1961),"",'ENGAGEMENTS 2026'!L1961)</f>
        <v/>
      </c>
      <c r="H1961">
        <f>IF(ISBLANK('ENGAGEMENTS 2026'!B1961),"",'ENGAGEMENTS 2026'!AE1961)</f>
        <v/>
      </c>
      <c r="I1961">
        <f>IF(ISBLANK('ENGAGEMENTS 2026'!B1961),"",'ENGAGEMENTS 2026'!G1961)</f>
        <v/>
      </c>
      <c r="J1961" s="275">
        <f>IF(ISBLANK('ENGAGEMENTS 2026'!B1961),"",IF(AND(OR($E1961="INFRUCTUEUX",$E1961="ANNULE"),$C1961="AOO-M"),'ENGAGEMENTS 2026'!O1961,IF($H1961="EN COURS DE PREENGAGEMENT",'ENGAGEMENTS 2026'!N1961,IF($H1961="PREENGAGE",IF($E1961="ATTRIBUE",'ENGAGEMENTS 2026'!AD1961,'ENGAGEMENTS 2026'!N1961),'ENGAGEMENTS 2026'!AD1961))))</f>
        <v/>
      </c>
      <c r="K1961" s="604">
        <f>IF(ISBLANK('ENGAGEMENTS 2026'!V1961),"",'ENGAGEMENTS 2026'!V1961)</f>
        <v/>
      </c>
      <c r="L1961" s="276">
        <f>IF($K1961="","",TODAY()-$K1961)</f>
        <v/>
      </c>
      <c r="M1961">
        <f>IF($A1961="","",IF($H1961="ENGAGE","Engagé",IF(AND($H1961="NON ENGAGE",OR($I1961="INFRUCTUEUX",$I1961="ANNULE")),"Clôturé sans suite","En cours")))</f>
        <v/>
      </c>
      <c r="N1961">
        <f>IF(ISBLANK('ENGAGEMENTS 2026'!B1961),"",'ENGAGEMENTS 2026'!K1961)</f>
        <v/>
      </c>
      <c r="O1961">
        <f>IF(ISBLANK('ENGAGEMENTS 2026'!B1961),"",'ENGAGEMENTS 2026'!L1961)</f>
        <v/>
      </c>
      <c r="P1961">
        <f>IF(ISBLANK('ENGAGEMENTS 2026'!B1961),"",'ENGAGEMENTS 2026'!J1961)</f>
        <v/>
      </c>
      <c r="Q1961">
        <f>IF($A1961="","",IF(OR($E1961="INFRUCTUEUX",$E1961="ANNULE"),$A1961&amp;"|"&amp;(COUNTIFS($A$2:$A1961,$A1961,$E$2:$E1961,"INFRUCTUEUX")+COUNTIFS($A$2:$A1961,$A1961,$E$2:$E1961,"ANNULE")),""))</f>
        <v/>
      </c>
    </row>
    <row r="1962">
      <c r="A1962">
        <f>IF(ISBLANK('ENGAGEMENTS 2026'!B1962),"",IF('ENGAGEMENTS 2026'!B1962="DTSI","DCT",'ENGAGEMENTS 2026'!B1962))</f>
        <v/>
      </c>
      <c r="B1962">
        <f>IF(ISBLANK('ENGAGEMENTS 2026'!B1962),"",'ENGAGEMENTS 2026'!C1962)</f>
        <v/>
      </c>
      <c r="C1962">
        <f>IF(ISBLANK('ENGAGEMENTS 2026'!B1962),"",'ENGAGEMENTS 2026'!D1962)</f>
        <v/>
      </c>
      <c r="D1962">
        <f>IF(ISBLANK('ENGAGEMENTS 2026'!B1962),"",'ENGAGEMENTS 2026'!F1962)</f>
        <v/>
      </c>
      <c r="E1962">
        <f>IF(ISBLANK('ENGAGEMENTS 2026'!B1962),"",'ENGAGEMENTS 2026'!H1962)</f>
        <v/>
      </c>
      <c r="F1962">
        <f>IF(ISBLANK('ENGAGEMENTS 2026'!B1962),"",'ENGAGEMENTS 2026'!I1962)</f>
        <v/>
      </c>
      <c r="G1962">
        <f>IF(ISBLANK('ENGAGEMENTS 2026'!B1962),"",'ENGAGEMENTS 2026'!L1962)</f>
        <v/>
      </c>
      <c r="H1962">
        <f>IF(ISBLANK('ENGAGEMENTS 2026'!B1962),"",'ENGAGEMENTS 2026'!AE1962)</f>
        <v/>
      </c>
      <c r="I1962">
        <f>IF(ISBLANK('ENGAGEMENTS 2026'!B1962),"",'ENGAGEMENTS 2026'!G1962)</f>
        <v/>
      </c>
      <c r="J1962" s="275">
        <f>IF(ISBLANK('ENGAGEMENTS 2026'!B1962),"",IF(AND(OR($E1962="INFRUCTUEUX",$E1962="ANNULE"),$C1962="AOO-M"),'ENGAGEMENTS 2026'!O1962,IF($H1962="EN COURS DE PREENGAGEMENT",'ENGAGEMENTS 2026'!N1962,IF($H1962="PREENGAGE",IF($E1962="ATTRIBUE",'ENGAGEMENTS 2026'!AD1962,'ENGAGEMENTS 2026'!N1962),'ENGAGEMENTS 2026'!AD1962))))</f>
        <v/>
      </c>
      <c r="K1962" s="604">
        <f>IF(ISBLANK('ENGAGEMENTS 2026'!V1962),"",'ENGAGEMENTS 2026'!V1962)</f>
        <v/>
      </c>
      <c r="L1962" s="276">
        <f>IF($K1962="","",TODAY()-$K1962)</f>
        <v/>
      </c>
      <c r="M1962">
        <f>IF($A1962="","",IF($H1962="ENGAGE","Engagé",IF(AND($H1962="NON ENGAGE",OR($I1962="INFRUCTUEUX",$I1962="ANNULE")),"Clôturé sans suite","En cours")))</f>
        <v/>
      </c>
      <c r="N1962">
        <f>IF(ISBLANK('ENGAGEMENTS 2026'!B1962),"",'ENGAGEMENTS 2026'!K1962)</f>
        <v/>
      </c>
      <c r="O1962">
        <f>IF(ISBLANK('ENGAGEMENTS 2026'!B1962),"",'ENGAGEMENTS 2026'!L1962)</f>
        <v/>
      </c>
      <c r="P1962">
        <f>IF(ISBLANK('ENGAGEMENTS 2026'!B1962),"",'ENGAGEMENTS 2026'!J1962)</f>
        <v/>
      </c>
      <c r="Q1962">
        <f>IF($A1962="","",IF(OR($E1962="INFRUCTUEUX",$E1962="ANNULE"),$A1962&amp;"|"&amp;(COUNTIFS($A$2:$A1962,$A1962,$E$2:$E1962,"INFRUCTUEUX")+COUNTIFS($A$2:$A1962,$A1962,$E$2:$E1962,"ANNULE")),""))</f>
        <v/>
      </c>
    </row>
    <row r="1963">
      <c r="A1963">
        <f>IF(ISBLANK('ENGAGEMENTS 2026'!B1963),"",IF('ENGAGEMENTS 2026'!B1963="DTSI","DCT",'ENGAGEMENTS 2026'!B1963))</f>
        <v/>
      </c>
      <c r="B1963">
        <f>IF(ISBLANK('ENGAGEMENTS 2026'!B1963),"",'ENGAGEMENTS 2026'!C1963)</f>
        <v/>
      </c>
      <c r="C1963">
        <f>IF(ISBLANK('ENGAGEMENTS 2026'!B1963),"",'ENGAGEMENTS 2026'!D1963)</f>
        <v/>
      </c>
      <c r="D1963">
        <f>IF(ISBLANK('ENGAGEMENTS 2026'!B1963),"",'ENGAGEMENTS 2026'!F1963)</f>
        <v/>
      </c>
      <c r="E1963">
        <f>IF(ISBLANK('ENGAGEMENTS 2026'!B1963),"",'ENGAGEMENTS 2026'!H1963)</f>
        <v/>
      </c>
      <c r="F1963">
        <f>IF(ISBLANK('ENGAGEMENTS 2026'!B1963),"",'ENGAGEMENTS 2026'!I1963)</f>
        <v/>
      </c>
      <c r="G1963">
        <f>IF(ISBLANK('ENGAGEMENTS 2026'!B1963),"",'ENGAGEMENTS 2026'!L1963)</f>
        <v/>
      </c>
      <c r="H1963">
        <f>IF(ISBLANK('ENGAGEMENTS 2026'!B1963),"",'ENGAGEMENTS 2026'!AE1963)</f>
        <v/>
      </c>
      <c r="I1963">
        <f>IF(ISBLANK('ENGAGEMENTS 2026'!B1963),"",'ENGAGEMENTS 2026'!G1963)</f>
        <v/>
      </c>
      <c r="J1963" s="275">
        <f>IF(ISBLANK('ENGAGEMENTS 2026'!B1963),"",IF(AND(OR($E1963="INFRUCTUEUX",$E1963="ANNULE"),$C1963="AOO-M"),'ENGAGEMENTS 2026'!O1963,IF($H1963="EN COURS DE PREENGAGEMENT",'ENGAGEMENTS 2026'!N1963,IF($H1963="PREENGAGE",IF($E1963="ATTRIBUE",'ENGAGEMENTS 2026'!AD1963,'ENGAGEMENTS 2026'!N1963),'ENGAGEMENTS 2026'!AD1963))))</f>
        <v/>
      </c>
      <c r="K1963" s="604">
        <f>IF(ISBLANK('ENGAGEMENTS 2026'!V1963),"",'ENGAGEMENTS 2026'!V1963)</f>
        <v/>
      </c>
      <c r="L1963" s="276">
        <f>IF($K1963="","",TODAY()-$K1963)</f>
        <v/>
      </c>
      <c r="M1963">
        <f>IF($A1963="","",IF($H1963="ENGAGE","Engagé",IF(AND($H1963="NON ENGAGE",OR($I1963="INFRUCTUEUX",$I1963="ANNULE")),"Clôturé sans suite","En cours")))</f>
        <v/>
      </c>
      <c r="N1963">
        <f>IF(ISBLANK('ENGAGEMENTS 2026'!B1963),"",'ENGAGEMENTS 2026'!K1963)</f>
        <v/>
      </c>
      <c r="O1963">
        <f>IF(ISBLANK('ENGAGEMENTS 2026'!B1963),"",'ENGAGEMENTS 2026'!L1963)</f>
        <v/>
      </c>
      <c r="P1963">
        <f>IF(ISBLANK('ENGAGEMENTS 2026'!B1963),"",'ENGAGEMENTS 2026'!J1963)</f>
        <v/>
      </c>
      <c r="Q1963">
        <f>IF($A1963="","",IF(OR($E1963="INFRUCTUEUX",$E1963="ANNULE"),$A1963&amp;"|"&amp;(COUNTIFS($A$2:$A1963,$A1963,$E$2:$E1963,"INFRUCTUEUX")+COUNTIFS($A$2:$A1963,$A1963,$E$2:$E1963,"ANNULE")),""))</f>
        <v/>
      </c>
    </row>
    <row r="1964">
      <c r="A1964">
        <f>IF(ISBLANK('ENGAGEMENTS 2026'!B1964),"",IF('ENGAGEMENTS 2026'!B1964="DTSI","DCT",'ENGAGEMENTS 2026'!B1964))</f>
        <v/>
      </c>
      <c r="B1964">
        <f>IF(ISBLANK('ENGAGEMENTS 2026'!B1964),"",'ENGAGEMENTS 2026'!C1964)</f>
        <v/>
      </c>
      <c r="C1964">
        <f>IF(ISBLANK('ENGAGEMENTS 2026'!B1964),"",'ENGAGEMENTS 2026'!D1964)</f>
        <v/>
      </c>
      <c r="D1964">
        <f>IF(ISBLANK('ENGAGEMENTS 2026'!B1964),"",'ENGAGEMENTS 2026'!F1964)</f>
        <v/>
      </c>
      <c r="E1964">
        <f>IF(ISBLANK('ENGAGEMENTS 2026'!B1964),"",'ENGAGEMENTS 2026'!H1964)</f>
        <v/>
      </c>
      <c r="F1964">
        <f>IF(ISBLANK('ENGAGEMENTS 2026'!B1964),"",'ENGAGEMENTS 2026'!I1964)</f>
        <v/>
      </c>
      <c r="G1964">
        <f>IF(ISBLANK('ENGAGEMENTS 2026'!B1964),"",'ENGAGEMENTS 2026'!L1964)</f>
        <v/>
      </c>
      <c r="H1964">
        <f>IF(ISBLANK('ENGAGEMENTS 2026'!B1964),"",'ENGAGEMENTS 2026'!AE1964)</f>
        <v/>
      </c>
      <c r="I1964">
        <f>IF(ISBLANK('ENGAGEMENTS 2026'!B1964),"",'ENGAGEMENTS 2026'!G1964)</f>
        <v/>
      </c>
      <c r="J1964" s="275">
        <f>IF(ISBLANK('ENGAGEMENTS 2026'!B1964),"",IF(AND(OR($E1964="INFRUCTUEUX",$E1964="ANNULE"),$C1964="AOO-M"),'ENGAGEMENTS 2026'!O1964,IF($H1964="EN COURS DE PREENGAGEMENT",'ENGAGEMENTS 2026'!N1964,IF($H1964="PREENGAGE",IF($E1964="ATTRIBUE",'ENGAGEMENTS 2026'!AD1964,'ENGAGEMENTS 2026'!N1964),'ENGAGEMENTS 2026'!AD1964))))</f>
        <v/>
      </c>
      <c r="K1964" s="604">
        <f>IF(ISBLANK('ENGAGEMENTS 2026'!V1964),"",'ENGAGEMENTS 2026'!V1964)</f>
        <v/>
      </c>
      <c r="L1964" s="276">
        <f>IF($K1964="","",TODAY()-$K1964)</f>
        <v/>
      </c>
      <c r="M1964">
        <f>IF($A1964="","",IF($H1964="ENGAGE","Engagé",IF(AND($H1964="NON ENGAGE",OR($I1964="INFRUCTUEUX",$I1964="ANNULE")),"Clôturé sans suite","En cours")))</f>
        <v/>
      </c>
      <c r="N1964">
        <f>IF(ISBLANK('ENGAGEMENTS 2026'!B1964),"",'ENGAGEMENTS 2026'!K1964)</f>
        <v/>
      </c>
      <c r="O1964">
        <f>IF(ISBLANK('ENGAGEMENTS 2026'!B1964),"",'ENGAGEMENTS 2026'!L1964)</f>
        <v/>
      </c>
      <c r="P1964">
        <f>IF(ISBLANK('ENGAGEMENTS 2026'!B1964),"",'ENGAGEMENTS 2026'!J1964)</f>
        <v/>
      </c>
      <c r="Q1964">
        <f>IF($A1964="","",IF(OR($E1964="INFRUCTUEUX",$E1964="ANNULE"),$A1964&amp;"|"&amp;(COUNTIFS($A$2:$A1964,$A1964,$E$2:$E1964,"INFRUCTUEUX")+COUNTIFS($A$2:$A1964,$A1964,$E$2:$E1964,"ANNULE")),""))</f>
        <v/>
      </c>
    </row>
    <row r="1965">
      <c r="A1965">
        <f>IF(ISBLANK('ENGAGEMENTS 2026'!B1965),"",IF('ENGAGEMENTS 2026'!B1965="DTSI","DCT",'ENGAGEMENTS 2026'!B1965))</f>
        <v/>
      </c>
      <c r="B1965">
        <f>IF(ISBLANK('ENGAGEMENTS 2026'!B1965),"",'ENGAGEMENTS 2026'!C1965)</f>
        <v/>
      </c>
      <c r="C1965">
        <f>IF(ISBLANK('ENGAGEMENTS 2026'!B1965),"",'ENGAGEMENTS 2026'!D1965)</f>
        <v/>
      </c>
      <c r="D1965">
        <f>IF(ISBLANK('ENGAGEMENTS 2026'!B1965),"",'ENGAGEMENTS 2026'!F1965)</f>
        <v/>
      </c>
      <c r="E1965">
        <f>IF(ISBLANK('ENGAGEMENTS 2026'!B1965),"",'ENGAGEMENTS 2026'!H1965)</f>
        <v/>
      </c>
      <c r="F1965">
        <f>IF(ISBLANK('ENGAGEMENTS 2026'!B1965),"",'ENGAGEMENTS 2026'!I1965)</f>
        <v/>
      </c>
      <c r="G1965">
        <f>IF(ISBLANK('ENGAGEMENTS 2026'!B1965),"",'ENGAGEMENTS 2026'!L1965)</f>
        <v/>
      </c>
      <c r="H1965">
        <f>IF(ISBLANK('ENGAGEMENTS 2026'!B1965),"",'ENGAGEMENTS 2026'!AE1965)</f>
        <v/>
      </c>
      <c r="I1965">
        <f>IF(ISBLANK('ENGAGEMENTS 2026'!B1965),"",'ENGAGEMENTS 2026'!G1965)</f>
        <v/>
      </c>
      <c r="J1965" s="275">
        <f>IF(ISBLANK('ENGAGEMENTS 2026'!B1965),"",IF(AND(OR($E1965="INFRUCTUEUX",$E1965="ANNULE"),$C1965="AOO-M"),'ENGAGEMENTS 2026'!O1965,IF($H1965="EN COURS DE PREENGAGEMENT",'ENGAGEMENTS 2026'!N1965,IF($H1965="PREENGAGE",IF($E1965="ATTRIBUE",'ENGAGEMENTS 2026'!AD1965,'ENGAGEMENTS 2026'!N1965),'ENGAGEMENTS 2026'!AD1965))))</f>
        <v/>
      </c>
      <c r="K1965" s="604">
        <f>IF(ISBLANK('ENGAGEMENTS 2026'!V1965),"",'ENGAGEMENTS 2026'!V1965)</f>
        <v/>
      </c>
      <c r="L1965" s="276">
        <f>IF($K1965="","",TODAY()-$K1965)</f>
        <v/>
      </c>
      <c r="M1965">
        <f>IF($A1965="","",IF($H1965="ENGAGE","Engagé",IF(AND($H1965="NON ENGAGE",OR($I1965="INFRUCTUEUX",$I1965="ANNULE")),"Clôturé sans suite","En cours")))</f>
        <v/>
      </c>
      <c r="N1965">
        <f>IF(ISBLANK('ENGAGEMENTS 2026'!B1965),"",'ENGAGEMENTS 2026'!K1965)</f>
        <v/>
      </c>
      <c r="O1965">
        <f>IF(ISBLANK('ENGAGEMENTS 2026'!B1965),"",'ENGAGEMENTS 2026'!L1965)</f>
        <v/>
      </c>
      <c r="P1965">
        <f>IF(ISBLANK('ENGAGEMENTS 2026'!B1965),"",'ENGAGEMENTS 2026'!J1965)</f>
        <v/>
      </c>
      <c r="Q1965">
        <f>IF($A1965="","",IF(OR($E1965="INFRUCTUEUX",$E1965="ANNULE"),$A1965&amp;"|"&amp;(COUNTIFS($A$2:$A1965,$A1965,$E$2:$E1965,"INFRUCTUEUX")+COUNTIFS($A$2:$A1965,$A1965,$E$2:$E1965,"ANNULE")),""))</f>
        <v/>
      </c>
    </row>
    <row r="1966">
      <c r="A1966">
        <f>IF(ISBLANK('ENGAGEMENTS 2026'!B1966),"",IF('ENGAGEMENTS 2026'!B1966="DTSI","DCT",'ENGAGEMENTS 2026'!B1966))</f>
        <v/>
      </c>
      <c r="B1966">
        <f>IF(ISBLANK('ENGAGEMENTS 2026'!B1966),"",'ENGAGEMENTS 2026'!C1966)</f>
        <v/>
      </c>
      <c r="C1966">
        <f>IF(ISBLANK('ENGAGEMENTS 2026'!B1966),"",'ENGAGEMENTS 2026'!D1966)</f>
        <v/>
      </c>
      <c r="D1966">
        <f>IF(ISBLANK('ENGAGEMENTS 2026'!B1966),"",'ENGAGEMENTS 2026'!F1966)</f>
        <v/>
      </c>
      <c r="E1966">
        <f>IF(ISBLANK('ENGAGEMENTS 2026'!B1966),"",'ENGAGEMENTS 2026'!H1966)</f>
        <v/>
      </c>
      <c r="F1966">
        <f>IF(ISBLANK('ENGAGEMENTS 2026'!B1966),"",'ENGAGEMENTS 2026'!I1966)</f>
        <v/>
      </c>
      <c r="G1966">
        <f>IF(ISBLANK('ENGAGEMENTS 2026'!B1966),"",'ENGAGEMENTS 2026'!L1966)</f>
        <v/>
      </c>
      <c r="H1966">
        <f>IF(ISBLANK('ENGAGEMENTS 2026'!B1966),"",'ENGAGEMENTS 2026'!AE1966)</f>
        <v/>
      </c>
      <c r="I1966">
        <f>IF(ISBLANK('ENGAGEMENTS 2026'!B1966),"",'ENGAGEMENTS 2026'!G1966)</f>
        <v/>
      </c>
      <c r="J1966" s="275">
        <f>IF(ISBLANK('ENGAGEMENTS 2026'!B1966),"",IF(AND(OR($E1966="INFRUCTUEUX",$E1966="ANNULE"),$C1966="AOO-M"),'ENGAGEMENTS 2026'!O1966,IF($H1966="EN COURS DE PREENGAGEMENT",'ENGAGEMENTS 2026'!N1966,IF($H1966="PREENGAGE",IF($E1966="ATTRIBUE",'ENGAGEMENTS 2026'!AD1966,'ENGAGEMENTS 2026'!N1966),'ENGAGEMENTS 2026'!AD1966))))</f>
        <v/>
      </c>
      <c r="K1966" s="604">
        <f>IF(ISBLANK('ENGAGEMENTS 2026'!V1966),"",'ENGAGEMENTS 2026'!V1966)</f>
        <v/>
      </c>
      <c r="L1966" s="276">
        <f>IF($K1966="","",TODAY()-$K1966)</f>
        <v/>
      </c>
      <c r="M1966">
        <f>IF($A1966="","",IF($H1966="ENGAGE","Engagé",IF(AND($H1966="NON ENGAGE",OR($I1966="INFRUCTUEUX",$I1966="ANNULE")),"Clôturé sans suite","En cours")))</f>
        <v/>
      </c>
      <c r="N1966">
        <f>IF(ISBLANK('ENGAGEMENTS 2026'!B1966),"",'ENGAGEMENTS 2026'!K1966)</f>
        <v/>
      </c>
      <c r="O1966">
        <f>IF(ISBLANK('ENGAGEMENTS 2026'!B1966),"",'ENGAGEMENTS 2026'!L1966)</f>
        <v/>
      </c>
      <c r="P1966">
        <f>IF(ISBLANK('ENGAGEMENTS 2026'!B1966),"",'ENGAGEMENTS 2026'!J1966)</f>
        <v/>
      </c>
      <c r="Q1966">
        <f>IF($A1966="","",IF(OR($E1966="INFRUCTUEUX",$E1966="ANNULE"),$A1966&amp;"|"&amp;(COUNTIFS($A$2:$A1966,$A1966,$E$2:$E1966,"INFRUCTUEUX")+COUNTIFS($A$2:$A1966,$A1966,$E$2:$E1966,"ANNULE")),""))</f>
        <v/>
      </c>
    </row>
    <row r="1967">
      <c r="A1967">
        <f>IF(ISBLANK('ENGAGEMENTS 2026'!B1967),"",IF('ENGAGEMENTS 2026'!B1967="DTSI","DCT",'ENGAGEMENTS 2026'!B1967))</f>
        <v/>
      </c>
      <c r="B1967">
        <f>IF(ISBLANK('ENGAGEMENTS 2026'!B1967),"",'ENGAGEMENTS 2026'!C1967)</f>
        <v/>
      </c>
      <c r="C1967">
        <f>IF(ISBLANK('ENGAGEMENTS 2026'!B1967),"",'ENGAGEMENTS 2026'!D1967)</f>
        <v/>
      </c>
      <c r="D1967">
        <f>IF(ISBLANK('ENGAGEMENTS 2026'!B1967),"",'ENGAGEMENTS 2026'!F1967)</f>
        <v/>
      </c>
      <c r="E1967">
        <f>IF(ISBLANK('ENGAGEMENTS 2026'!B1967),"",'ENGAGEMENTS 2026'!H1967)</f>
        <v/>
      </c>
      <c r="F1967">
        <f>IF(ISBLANK('ENGAGEMENTS 2026'!B1967),"",'ENGAGEMENTS 2026'!I1967)</f>
        <v/>
      </c>
      <c r="G1967">
        <f>IF(ISBLANK('ENGAGEMENTS 2026'!B1967),"",'ENGAGEMENTS 2026'!L1967)</f>
        <v/>
      </c>
      <c r="H1967">
        <f>IF(ISBLANK('ENGAGEMENTS 2026'!B1967),"",'ENGAGEMENTS 2026'!AE1967)</f>
        <v/>
      </c>
      <c r="I1967">
        <f>IF(ISBLANK('ENGAGEMENTS 2026'!B1967),"",'ENGAGEMENTS 2026'!G1967)</f>
        <v/>
      </c>
      <c r="J1967" s="275">
        <f>IF(ISBLANK('ENGAGEMENTS 2026'!B1967),"",IF(AND(OR($E1967="INFRUCTUEUX",$E1967="ANNULE"),$C1967="AOO-M"),'ENGAGEMENTS 2026'!O1967,IF($H1967="EN COURS DE PREENGAGEMENT",'ENGAGEMENTS 2026'!N1967,IF($H1967="PREENGAGE",IF($E1967="ATTRIBUE",'ENGAGEMENTS 2026'!AD1967,'ENGAGEMENTS 2026'!N1967),'ENGAGEMENTS 2026'!AD1967))))</f>
        <v/>
      </c>
      <c r="K1967" s="604">
        <f>IF(ISBLANK('ENGAGEMENTS 2026'!V1967),"",'ENGAGEMENTS 2026'!V1967)</f>
        <v/>
      </c>
      <c r="L1967" s="276">
        <f>IF($K1967="","",TODAY()-$K1967)</f>
        <v/>
      </c>
      <c r="M1967">
        <f>IF($A1967="","",IF($H1967="ENGAGE","Engagé",IF(AND($H1967="NON ENGAGE",OR($I1967="INFRUCTUEUX",$I1967="ANNULE")),"Clôturé sans suite","En cours")))</f>
        <v/>
      </c>
      <c r="N1967">
        <f>IF(ISBLANK('ENGAGEMENTS 2026'!B1967),"",'ENGAGEMENTS 2026'!K1967)</f>
        <v/>
      </c>
      <c r="O1967">
        <f>IF(ISBLANK('ENGAGEMENTS 2026'!B1967),"",'ENGAGEMENTS 2026'!L1967)</f>
        <v/>
      </c>
      <c r="P1967">
        <f>IF(ISBLANK('ENGAGEMENTS 2026'!B1967),"",'ENGAGEMENTS 2026'!J1967)</f>
        <v/>
      </c>
      <c r="Q1967">
        <f>IF($A1967="","",IF(OR($E1967="INFRUCTUEUX",$E1967="ANNULE"),$A1967&amp;"|"&amp;(COUNTIFS($A$2:$A1967,$A1967,$E$2:$E1967,"INFRUCTUEUX")+COUNTIFS($A$2:$A1967,$A1967,$E$2:$E1967,"ANNULE")),""))</f>
        <v/>
      </c>
    </row>
    <row r="1968">
      <c r="A1968">
        <f>IF(ISBLANK('ENGAGEMENTS 2026'!B1968),"",IF('ENGAGEMENTS 2026'!B1968="DTSI","DCT",'ENGAGEMENTS 2026'!B1968))</f>
        <v/>
      </c>
      <c r="B1968">
        <f>IF(ISBLANK('ENGAGEMENTS 2026'!B1968),"",'ENGAGEMENTS 2026'!C1968)</f>
        <v/>
      </c>
      <c r="C1968">
        <f>IF(ISBLANK('ENGAGEMENTS 2026'!B1968),"",'ENGAGEMENTS 2026'!D1968)</f>
        <v/>
      </c>
      <c r="D1968">
        <f>IF(ISBLANK('ENGAGEMENTS 2026'!B1968),"",'ENGAGEMENTS 2026'!F1968)</f>
        <v/>
      </c>
      <c r="E1968">
        <f>IF(ISBLANK('ENGAGEMENTS 2026'!B1968),"",'ENGAGEMENTS 2026'!H1968)</f>
        <v/>
      </c>
      <c r="F1968">
        <f>IF(ISBLANK('ENGAGEMENTS 2026'!B1968),"",'ENGAGEMENTS 2026'!I1968)</f>
        <v/>
      </c>
      <c r="G1968">
        <f>IF(ISBLANK('ENGAGEMENTS 2026'!B1968),"",'ENGAGEMENTS 2026'!L1968)</f>
        <v/>
      </c>
      <c r="H1968">
        <f>IF(ISBLANK('ENGAGEMENTS 2026'!B1968),"",'ENGAGEMENTS 2026'!AE1968)</f>
        <v/>
      </c>
      <c r="I1968">
        <f>IF(ISBLANK('ENGAGEMENTS 2026'!B1968),"",'ENGAGEMENTS 2026'!G1968)</f>
        <v/>
      </c>
      <c r="J1968" s="275">
        <f>IF(ISBLANK('ENGAGEMENTS 2026'!B1968),"",IF(AND(OR($E1968="INFRUCTUEUX",$E1968="ANNULE"),$C1968="AOO-M"),'ENGAGEMENTS 2026'!O1968,IF($H1968="EN COURS DE PREENGAGEMENT",'ENGAGEMENTS 2026'!N1968,IF($H1968="PREENGAGE",IF($E1968="ATTRIBUE",'ENGAGEMENTS 2026'!AD1968,'ENGAGEMENTS 2026'!N1968),'ENGAGEMENTS 2026'!AD1968))))</f>
        <v/>
      </c>
      <c r="K1968" s="604">
        <f>IF(ISBLANK('ENGAGEMENTS 2026'!V1968),"",'ENGAGEMENTS 2026'!V1968)</f>
        <v/>
      </c>
      <c r="L1968" s="276">
        <f>IF($K1968="","",TODAY()-$K1968)</f>
        <v/>
      </c>
      <c r="M1968">
        <f>IF($A1968="","",IF($H1968="ENGAGE","Engagé",IF(AND($H1968="NON ENGAGE",OR($I1968="INFRUCTUEUX",$I1968="ANNULE")),"Clôturé sans suite","En cours")))</f>
        <v/>
      </c>
      <c r="N1968">
        <f>IF(ISBLANK('ENGAGEMENTS 2026'!B1968),"",'ENGAGEMENTS 2026'!K1968)</f>
        <v/>
      </c>
      <c r="O1968">
        <f>IF(ISBLANK('ENGAGEMENTS 2026'!B1968),"",'ENGAGEMENTS 2026'!L1968)</f>
        <v/>
      </c>
      <c r="P1968">
        <f>IF(ISBLANK('ENGAGEMENTS 2026'!B1968),"",'ENGAGEMENTS 2026'!J1968)</f>
        <v/>
      </c>
      <c r="Q1968">
        <f>IF($A1968="","",IF(OR($E1968="INFRUCTUEUX",$E1968="ANNULE"),$A1968&amp;"|"&amp;(COUNTIFS($A$2:$A1968,$A1968,$E$2:$E1968,"INFRUCTUEUX")+COUNTIFS($A$2:$A1968,$A1968,$E$2:$E1968,"ANNULE")),""))</f>
        <v/>
      </c>
    </row>
    <row r="1969">
      <c r="A1969">
        <f>IF(ISBLANK('ENGAGEMENTS 2026'!B1969),"",IF('ENGAGEMENTS 2026'!B1969="DTSI","DCT",'ENGAGEMENTS 2026'!B1969))</f>
        <v/>
      </c>
      <c r="B1969">
        <f>IF(ISBLANK('ENGAGEMENTS 2026'!B1969),"",'ENGAGEMENTS 2026'!C1969)</f>
        <v/>
      </c>
      <c r="C1969">
        <f>IF(ISBLANK('ENGAGEMENTS 2026'!B1969),"",'ENGAGEMENTS 2026'!D1969)</f>
        <v/>
      </c>
      <c r="D1969">
        <f>IF(ISBLANK('ENGAGEMENTS 2026'!B1969),"",'ENGAGEMENTS 2026'!F1969)</f>
        <v/>
      </c>
      <c r="E1969">
        <f>IF(ISBLANK('ENGAGEMENTS 2026'!B1969),"",'ENGAGEMENTS 2026'!H1969)</f>
        <v/>
      </c>
      <c r="F1969">
        <f>IF(ISBLANK('ENGAGEMENTS 2026'!B1969),"",'ENGAGEMENTS 2026'!I1969)</f>
        <v/>
      </c>
      <c r="G1969">
        <f>IF(ISBLANK('ENGAGEMENTS 2026'!B1969),"",'ENGAGEMENTS 2026'!L1969)</f>
        <v/>
      </c>
      <c r="H1969">
        <f>IF(ISBLANK('ENGAGEMENTS 2026'!B1969),"",'ENGAGEMENTS 2026'!AE1969)</f>
        <v/>
      </c>
      <c r="I1969">
        <f>IF(ISBLANK('ENGAGEMENTS 2026'!B1969),"",'ENGAGEMENTS 2026'!G1969)</f>
        <v/>
      </c>
      <c r="J1969" s="275">
        <f>IF(ISBLANK('ENGAGEMENTS 2026'!B1969),"",IF(AND(OR($E1969="INFRUCTUEUX",$E1969="ANNULE"),$C1969="AOO-M"),'ENGAGEMENTS 2026'!O1969,IF($H1969="EN COURS DE PREENGAGEMENT",'ENGAGEMENTS 2026'!N1969,IF($H1969="PREENGAGE",IF($E1969="ATTRIBUE",'ENGAGEMENTS 2026'!AD1969,'ENGAGEMENTS 2026'!N1969),'ENGAGEMENTS 2026'!AD1969))))</f>
        <v/>
      </c>
      <c r="K1969" s="604">
        <f>IF(ISBLANK('ENGAGEMENTS 2026'!V1969),"",'ENGAGEMENTS 2026'!V1969)</f>
        <v/>
      </c>
      <c r="L1969" s="276">
        <f>IF($K1969="","",TODAY()-$K1969)</f>
        <v/>
      </c>
      <c r="M1969">
        <f>IF($A1969="","",IF($H1969="ENGAGE","Engagé",IF(AND($H1969="NON ENGAGE",OR($I1969="INFRUCTUEUX",$I1969="ANNULE")),"Clôturé sans suite","En cours")))</f>
        <v/>
      </c>
      <c r="N1969">
        <f>IF(ISBLANK('ENGAGEMENTS 2026'!B1969),"",'ENGAGEMENTS 2026'!K1969)</f>
        <v/>
      </c>
      <c r="O1969">
        <f>IF(ISBLANK('ENGAGEMENTS 2026'!B1969),"",'ENGAGEMENTS 2026'!L1969)</f>
        <v/>
      </c>
      <c r="P1969">
        <f>IF(ISBLANK('ENGAGEMENTS 2026'!B1969),"",'ENGAGEMENTS 2026'!J1969)</f>
        <v/>
      </c>
      <c r="Q1969">
        <f>IF($A1969="","",IF(OR($E1969="INFRUCTUEUX",$E1969="ANNULE"),$A1969&amp;"|"&amp;(COUNTIFS($A$2:$A1969,$A1969,$E$2:$E1969,"INFRUCTUEUX")+COUNTIFS($A$2:$A1969,$A1969,$E$2:$E1969,"ANNULE")),""))</f>
        <v/>
      </c>
    </row>
    <row r="1970">
      <c r="A1970">
        <f>IF(ISBLANK('ENGAGEMENTS 2026'!B1970),"",IF('ENGAGEMENTS 2026'!B1970="DTSI","DCT",'ENGAGEMENTS 2026'!B1970))</f>
        <v/>
      </c>
      <c r="B1970">
        <f>IF(ISBLANK('ENGAGEMENTS 2026'!B1970),"",'ENGAGEMENTS 2026'!C1970)</f>
        <v/>
      </c>
      <c r="C1970">
        <f>IF(ISBLANK('ENGAGEMENTS 2026'!B1970),"",'ENGAGEMENTS 2026'!D1970)</f>
        <v/>
      </c>
      <c r="D1970">
        <f>IF(ISBLANK('ENGAGEMENTS 2026'!B1970),"",'ENGAGEMENTS 2026'!F1970)</f>
        <v/>
      </c>
      <c r="E1970">
        <f>IF(ISBLANK('ENGAGEMENTS 2026'!B1970),"",'ENGAGEMENTS 2026'!H1970)</f>
        <v/>
      </c>
      <c r="F1970">
        <f>IF(ISBLANK('ENGAGEMENTS 2026'!B1970),"",'ENGAGEMENTS 2026'!I1970)</f>
        <v/>
      </c>
      <c r="G1970">
        <f>IF(ISBLANK('ENGAGEMENTS 2026'!B1970),"",'ENGAGEMENTS 2026'!L1970)</f>
        <v/>
      </c>
      <c r="H1970">
        <f>IF(ISBLANK('ENGAGEMENTS 2026'!B1970),"",'ENGAGEMENTS 2026'!AE1970)</f>
        <v/>
      </c>
      <c r="I1970">
        <f>IF(ISBLANK('ENGAGEMENTS 2026'!B1970),"",'ENGAGEMENTS 2026'!G1970)</f>
        <v/>
      </c>
      <c r="J1970" s="275">
        <f>IF(ISBLANK('ENGAGEMENTS 2026'!B1970),"",IF(AND(OR($E1970="INFRUCTUEUX",$E1970="ANNULE"),$C1970="AOO-M"),'ENGAGEMENTS 2026'!O1970,IF($H1970="EN COURS DE PREENGAGEMENT",'ENGAGEMENTS 2026'!N1970,IF($H1970="PREENGAGE",IF($E1970="ATTRIBUE",'ENGAGEMENTS 2026'!AD1970,'ENGAGEMENTS 2026'!N1970),'ENGAGEMENTS 2026'!AD1970))))</f>
        <v/>
      </c>
      <c r="K1970" s="604">
        <f>IF(ISBLANK('ENGAGEMENTS 2026'!V1970),"",'ENGAGEMENTS 2026'!V1970)</f>
        <v/>
      </c>
      <c r="L1970" s="276">
        <f>IF($K1970="","",TODAY()-$K1970)</f>
        <v/>
      </c>
      <c r="M1970">
        <f>IF($A1970="","",IF($H1970="ENGAGE","Engagé",IF(AND($H1970="NON ENGAGE",OR($I1970="INFRUCTUEUX",$I1970="ANNULE")),"Clôturé sans suite","En cours")))</f>
        <v/>
      </c>
      <c r="N1970">
        <f>IF(ISBLANK('ENGAGEMENTS 2026'!B1970),"",'ENGAGEMENTS 2026'!K1970)</f>
        <v/>
      </c>
      <c r="O1970">
        <f>IF(ISBLANK('ENGAGEMENTS 2026'!B1970),"",'ENGAGEMENTS 2026'!L1970)</f>
        <v/>
      </c>
      <c r="P1970">
        <f>IF(ISBLANK('ENGAGEMENTS 2026'!B1970),"",'ENGAGEMENTS 2026'!J1970)</f>
        <v/>
      </c>
      <c r="Q1970">
        <f>IF($A1970="","",IF(OR($E1970="INFRUCTUEUX",$E1970="ANNULE"),$A1970&amp;"|"&amp;(COUNTIFS($A$2:$A1970,$A1970,$E$2:$E1970,"INFRUCTUEUX")+COUNTIFS($A$2:$A1970,$A1970,$E$2:$E1970,"ANNULE")),""))</f>
        <v/>
      </c>
    </row>
    <row r="1971">
      <c r="A1971">
        <f>IF(ISBLANK('ENGAGEMENTS 2026'!B1971),"",IF('ENGAGEMENTS 2026'!B1971="DTSI","DCT",'ENGAGEMENTS 2026'!B1971))</f>
        <v/>
      </c>
      <c r="B1971">
        <f>IF(ISBLANK('ENGAGEMENTS 2026'!B1971),"",'ENGAGEMENTS 2026'!C1971)</f>
        <v/>
      </c>
      <c r="C1971">
        <f>IF(ISBLANK('ENGAGEMENTS 2026'!B1971),"",'ENGAGEMENTS 2026'!D1971)</f>
        <v/>
      </c>
      <c r="D1971">
        <f>IF(ISBLANK('ENGAGEMENTS 2026'!B1971),"",'ENGAGEMENTS 2026'!F1971)</f>
        <v/>
      </c>
      <c r="E1971">
        <f>IF(ISBLANK('ENGAGEMENTS 2026'!B1971),"",'ENGAGEMENTS 2026'!H1971)</f>
        <v/>
      </c>
      <c r="F1971">
        <f>IF(ISBLANK('ENGAGEMENTS 2026'!B1971),"",'ENGAGEMENTS 2026'!I1971)</f>
        <v/>
      </c>
      <c r="G1971">
        <f>IF(ISBLANK('ENGAGEMENTS 2026'!B1971),"",'ENGAGEMENTS 2026'!L1971)</f>
        <v/>
      </c>
      <c r="H1971">
        <f>IF(ISBLANK('ENGAGEMENTS 2026'!B1971),"",'ENGAGEMENTS 2026'!AE1971)</f>
        <v/>
      </c>
      <c r="I1971">
        <f>IF(ISBLANK('ENGAGEMENTS 2026'!B1971),"",'ENGAGEMENTS 2026'!G1971)</f>
        <v/>
      </c>
      <c r="J1971" s="275">
        <f>IF(ISBLANK('ENGAGEMENTS 2026'!B1971),"",IF(AND(OR($E1971="INFRUCTUEUX",$E1971="ANNULE"),$C1971="AOO-M"),'ENGAGEMENTS 2026'!O1971,IF($H1971="EN COURS DE PREENGAGEMENT",'ENGAGEMENTS 2026'!N1971,IF($H1971="PREENGAGE",IF($E1971="ATTRIBUE",'ENGAGEMENTS 2026'!AD1971,'ENGAGEMENTS 2026'!N1971),'ENGAGEMENTS 2026'!AD1971))))</f>
        <v/>
      </c>
      <c r="K1971" s="604">
        <f>IF(ISBLANK('ENGAGEMENTS 2026'!V1971),"",'ENGAGEMENTS 2026'!V1971)</f>
        <v/>
      </c>
      <c r="L1971" s="276">
        <f>IF($K1971="","",TODAY()-$K1971)</f>
        <v/>
      </c>
      <c r="M1971">
        <f>IF($A1971="","",IF($H1971="ENGAGE","Engagé",IF(AND($H1971="NON ENGAGE",OR($I1971="INFRUCTUEUX",$I1971="ANNULE")),"Clôturé sans suite","En cours")))</f>
        <v/>
      </c>
      <c r="N1971">
        <f>IF(ISBLANK('ENGAGEMENTS 2026'!B1971),"",'ENGAGEMENTS 2026'!K1971)</f>
        <v/>
      </c>
      <c r="O1971">
        <f>IF(ISBLANK('ENGAGEMENTS 2026'!B1971),"",'ENGAGEMENTS 2026'!L1971)</f>
        <v/>
      </c>
      <c r="P1971">
        <f>IF(ISBLANK('ENGAGEMENTS 2026'!B1971),"",'ENGAGEMENTS 2026'!J1971)</f>
        <v/>
      </c>
      <c r="Q1971">
        <f>IF($A1971="","",IF(OR($E1971="INFRUCTUEUX",$E1971="ANNULE"),$A1971&amp;"|"&amp;(COUNTIFS($A$2:$A1971,$A1971,$E$2:$E1971,"INFRUCTUEUX")+COUNTIFS($A$2:$A1971,$A1971,$E$2:$E1971,"ANNULE")),""))</f>
        <v/>
      </c>
    </row>
    <row r="1972">
      <c r="A1972">
        <f>IF(ISBLANK('ENGAGEMENTS 2026'!B1972),"",IF('ENGAGEMENTS 2026'!B1972="DTSI","DCT",'ENGAGEMENTS 2026'!B1972))</f>
        <v/>
      </c>
      <c r="B1972">
        <f>IF(ISBLANK('ENGAGEMENTS 2026'!B1972),"",'ENGAGEMENTS 2026'!C1972)</f>
        <v/>
      </c>
      <c r="C1972">
        <f>IF(ISBLANK('ENGAGEMENTS 2026'!B1972),"",'ENGAGEMENTS 2026'!D1972)</f>
        <v/>
      </c>
      <c r="D1972">
        <f>IF(ISBLANK('ENGAGEMENTS 2026'!B1972),"",'ENGAGEMENTS 2026'!F1972)</f>
        <v/>
      </c>
      <c r="E1972">
        <f>IF(ISBLANK('ENGAGEMENTS 2026'!B1972),"",'ENGAGEMENTS 2026'!H1972)</f>
        <v/>
      </c>
      <c r="F1972">
        <f>IF(ISBLANK('ENGAGEMENTS 2026'!B1972),"",'ENGAGEMENTS 2026'!I1972)</f>
        <v/>
      </c>
      <c r="G1972">
        <f>IF(ISBLANK('ENGAGEMENTS 2026'!B1972),"",'ENGAGEMENTS 2026'!L1972)</f>
        <v/>
      </c>
      <c r="H1972">
        <f>IF(ISBLANK('ENGAGEMENTS 2026'!B1972),"",'ENGAGEMENTS 2026'!AE1972)</f>
        <v/>
      </c>
      <c r="I1972">
        <f>IF(ISBLANK('ENGAGEMENTS 2026'!B1972),"",'ENGAGEMENTS 2026'!G1972)</f>
        <v/>
      </c>
      <c r="J1972" s="275">
        <f>IF(ISBLANK('ENGAGEMENTS 2026'!B1972),"",IF(AND(OR($E1972="INFRUCTUEUX",$E1972="ANNULE"),$C1972="AOO-M"),'ENGAGEMENTS 2026'!O1972,IF($H1972="EN COURS DE PREENGAGEMENT",'ENGAGEMENTS 2026'!N1972,IF($H1972="PREENGAGE",IF($E1972="ATTRIBUE",'ENGAGEMENTS 2026'!AD1972,'ENGAGEMENTS 2026'!N1972),'ENGAGEMENTS 2026'!AD1972))))</f>
        <v/>
      </c>
      <c r="K1972" s="604">
        <f>IF(ISBLANK('ENGAGEMENTS 2026'!V1972),"",'ENGAGEMENTS 2026'!V1972)</f>
        <v/>
      </c>
      <c r="L1972" s="276">
        <f>IF($K1972="","",TODAY()-$K1972)</f>
        <v/>
      </c>
      <c r="M1972">
        <f>IF($A1972="","",IF($H1972="ENGAGE","Engagé",IF(AND($H1972="NON ENGAGE",OR($I1972="INFRUCTUEUX",$I1972="ANNULE")),"Clôturé sans suite","En cours")))</f>
        <v/>
      </c>
      <c r="N1972">
        <f>IF(ISBLANK('ENGAGEMENTS 2026'!B1972),"",'ENGAGEMENTS 2026'!K1972)</f>
        <v/>
      </c>
      <c r="O1972">
        <f>IF(ISBLANK('ENGAGEMENTS 2026'!B1972),"",'ENGAGEMENTS 2026'!L1972)</f>
        <v/>
      </c>
      <c r="P1972">
        <f>IF(ISBLANK('ENGAGEMENTS 2026'!B1972),"",'ENGAGEMENTS 2026'!J1972)</f>
        <v/>
      </c>
      <c r="Q1972">
        <f>IF($A1972="","",IF(OR($E1972="INFRUCTUEUX",$E1972="ANNULE"),$A1972&amp;"|"&amp;(COUNTIFS($A$2:$A1972,$A1972,$E$2:$E1972,"INFRUCTUEUX")+COUNTIFS($A$2:$A1972,$A1972,$E$2:$E1972,"ANNULE")),""))</f>
        <v/>
      </c>
    </row>
    <row r="1973">
      <c r="A1973">
        <f>IF(ISBLANK('ENGAGEMENTS 2026'!B1973),"",IF('ENGAGEMENTS 2026'!B1973="DTSI","DCT",'ENGAGEMENTS 2026'!B1973))</f>
        <v/>
      </c>
      <c r="B1973">
        <f>IF(ISBLANK('ENGAGEMENTS 2026'!B1973),"",'ENGAGEMENTS 2026'!C1973)</f>
        <v/>
      </c>
      <c r="C1973">
        <f>IF(ISBLANK('ENGAGEMENTS 2026'!B1973),"",'ENGAGEMENTS 2026'!D1973)</f>
        <v/>
      </c>
      <c r="D1973">
        <f>IF(ISBLANK('ENGAGEMENTS 2026'!B1973),"",'ENGAGEMENTS 2026'!F1973)</f>
        <v/>
      </c>
      <c r="E1973">
        <f>IF(ISBLANK('ENGAGEMENTS 2026'!B1973),"",'ENGAGEMENTS 2026'!H1973)</f>
        <v/>
      </c>
      <c r="F1973">
        <f>IF(ISBLANK('ENGAGEMENTS 2026'!B1973),"",'ENGAGEMENTS 2026'!I1973)</f>
        <v/>
      </c>
      <c r="G1973">
        <f>IF(ISBLANK('ENGAGEMENTS 2026'!B1973),"",'ENGAGEMENTS 2026'!L1973)</f>
        <v/>
      </c>
      <c r="H1973">
        <f>IF(ISBLANK('ENGAGEMENTS 2026'!B1973),"",'ENGAGEMENTS 2026'!AE1973)</f>
        <v/>
      </c>
      <c r="I1973">
        <f>IF(ISBLANK('ENGAGEMENTS 2026'!B1973),"",'ENGAGEMENTS 2026'!G1973)</f>
        <v/>
      </c>
      <c r="J1973" s="275">
        <f>IF(ISBLANK('ENGAGEMENTS 2026'!B1973),"",IF(AND(OR($E1973="INFRUCTUEUX",$E1973="ANNULE"),$C1973="AOO-M"),'ENGAGEMENTS 2026'!O1973,IF($H1973="EN COURS DE PREENGAGEMENT",'ENGAGEMENTS 2026'!N1973,IF($H1973="PREENGAGE",IF($E1973="ATTRIBUE",'ENGAGEMENTS 2026'!AD1973,'ENGAGEMENTS 2026'!N1973),'ENGAGEMENTS 2026'!AD1973))))</f>
        <v/>
      </c>
      <c r="K1973" s="604">
        <f>IF(ISBLANK('ENGAGEMENTS 2026'!V1973),"",'ENGAGEMENTS 2026'!V1973)</f>
        <v/>
      </c>
      <c r="L1973" s="276">
        <f>IF($K1973="","",TODAY()-$K1973)</f>
        <v/>
      </c>
      <c r="M1973">
        <f>IF($A1973="","",IF($H1973="ENGAGE","Engagé",IF(AND($H1973="NON ENGAGE",OR($I1973="INFRUCTUEUX",$I1973="ANNULE")),"Clôturé sans suite","En cours")))</f>
        <v/>
      </c>
      <c r="N1973">
        <f>IF(ISBLANK('ENGAGEMENTS 2026'!B1973),"",'ENGAGEMENTS 2026'!K1973)</f>
        <v/>
      </c>
      <c r="O1973">
        <f>IF(ISBLANK('ENGAGEMENTS 2026'!B1973),"",'ENGAGEMENTS 2026'!L1973)</f>
        <v/>
      </c>
      <c r="P1973">
        <f>IF(ISBLANK('ENGAGEMENTS 2026'!B1973),"",'ENGAGEMENTS 2026'!J1973)</f>
        <v/>
      </c>
      <c r="Q1973">
        <f>IF($A1973="","",IF(OR($E1973="INFRUCTUEUX",$E1973="ANNULE"),$A1973&amp;"|"&amp;(COUNTIFS($A$2:$A1973,$A1973,$E$2:$E1973,"INFRUCTUEUX")+COUNTIFS($A$2:$A1973,$A1973,$E$2:$E1973,"ANNULE")),""))</f>
        <v/>
      </c>
    </row>
    <row r="1974">
      <c r="A1974">
        <f>IF(ISBLANK('ENGAGEMENTS 2026'!B1974),"",IF('ENGAGEMENTS 2026'!B1974="DTSI","DCT",'ENGAGEMENTS 2026'!B1974))</f>
        <v/>
      </c>
      <c r="B1974">
        <f>IF(ISBLANK('ENGAGEMENTS 2026'!B1974),"",'ENGAGEMENTS 2026'!C1974)</f>
        <v/>
      </c>
      <c r="C1974">
        <f>IF(ISBLANK('ENGAGEMENTS 2026'!B1974),"",'ENGAGEMENTS 2026'!D1974)</f>
        <v/>
      </c>
      <c r="D1974">
        <f>IF(ISBLANK('ENGAGEMENTS 2026'!B1974),"",'ENGAGEMENTS 2026'!F1974)</f>
        <v/>
      </c>
      <c r="E1974">
        <f>IF(ISBLANK('ENGAGEMENTS 2026'!B1974),"",'ENGAGEMENTS 2026'!H1974)</f>
        <v/>
      </c>
      <c r="F1974">
        <f>IF(ISBLANK('ENGAGEMENTS 2026'!B1974),"",'ENGAGEMENTS 2026'!I1974)</f>
        <v/>
      </c>
      <c r="G1974">
        <f>IF(ISBLANK('ENGAGEMENTS 2026'!B1974),"",'ENGAGEMENTS 2026'!L1974)</f>
        <v/>
      </c>
      <c r="H1974">
        <f>IF(ISBLANK('ENGAGEMENTS 2026'!B1974),"",'ENGAGEMENTS 2026'!AE1974)</f>
        <v/>
      </c>
      <c r="I1974">
        <f>IF(ISBLANK('ENGAGEMENTS 2026'!B1974),"",'ENGAGEMENTS 2026'!G1974)</f>
        <v/>
      </c>
      <c r="J1974" s="275">
        <f>IF(ISBLANK('ENGAGEMENTS 2026'!B1974),"",IF(AND(OR($E1974="INFRUCTUEUX",$E1974="ANNULE"),$C1974="AOO-M"),'ENGAGEMENTS 2026'!O1974,IF($H1974="EN COURS DE PREENGAGEMENT",'ENGAGEMENTS 2026'!N1974,IF($H1974="PREENGAGE",IF($E1974="ATTRIBUE",'ENGAGEMENTS 2026'!AD1974,'ENGAGEMENTS 2026'!N1974),'ENGAGEMENTS 2026'!AD1974))))</f>
        <v/>
      </c>
      <c r="K1974" s="604">
        <f>IF(ISBLANK('ENGAGEMENTS 2026'!V1974),"",'ENGAGEMENTS 2026'!V1974)</f>
        <v/>
      </c>
      <c r="L1974" s="276">
        <f>IF($K1974="","",TODAY()-$K1974)</f>
        <v/>
      </c>
      <c r="M1974">
        <f>IF($A1974="","",IF($H1974="ENGAGE","Engagé",IF(AND($H1974="NON ENGAGE",OR($I1974="INFRUCTUEUX",$I1974="ANNULE")),"Clôturé sans suite","En cours")))</f>
        <v/>
      </c>
      <c r="N1974">
        <f>IF(ISBLANK('ENGAGEMENTS 2026'!B1974),"",'ENGAGEMENTS 2026'!K1974)</f>
        <v/>
      </c>
      <c r="O1974">
        <f>IF(ISBLANK('ENGAGEMENTS 2026'!B1974),"",'ENGAGEMENTS 2026'!L1974)</f>
        <v/>
      </c>
      <c r="P1974">
        <f>IF(ISBLANK('ENGAGEMENTS 2026'!B1974),"",'ENGAGEMENTS 2026'!J1974)</f>
        <v/>
      </c>
      <c r="Q1974">
        <f>IF($A1974="","",IF(OR($E1974="INFRUCTUEUX",$E1974="ANNULE"),$A1974&amp;"|"&amp;(COUNTIFS($A$2:$A1974,$A1974,$E$2:$E1974,"INFRUCTUEUX")+COUNTIFS($A$2:$A1974,$A1974,$E$2:$E1974,"ANNULE")),""))</f>
        <v/>
      </c>
    </row>
    <row r="1975">
      <c r="A1975">
        <f>IF(ISBLANK('ENGAGEMENTS 2026'!B1975),"",IF('ENGAGEMENTS 2026'!B1975="DTSI","DCT",'ENGAGEMENTS 2026'!B1975))</f>
        <v/>
      </c>
      <c r="B1975">
        <f>IF(ISBLANK('ENGAGEMENTS 2026'!B1975),"",'ENGAGEMENTS 2026'!C1975)</f>
        <v/>
      </c>
      <c r="C1975">
        <f>IF(ISBLANK('ENGAGEMENTS 2026'!B1975),"",'ENGAGEMENTS 2026'!D1975)</f>
        <v/>
      </c>
      <c r="D1975">
        <f>IF(ISBLANK('ENGAGEMENTS 2026'!B1975),"",'ENGAGEMENTS 2026'!F1975)</f>
        <v/>
      </c>
      <c r="E1975">
        <f>IF(ISBLANK('ENGAGEMENTS 2026'!B1975),"",'ENGAGEMENTS 2026'!H1975)</f>
        <v/>
      </c>
      <c r="F1975">
        <f>IF(ISBLANK('ENGAGEMENTS 2026'!B1975),"",'ENGAGEMENTS 2026'!I1975)</f>
        <v/>
      </c>
      <c r="G1975">
        <f>IF(ISBLANK('ENGAGEMENTS 2026'!B1975),"",'ENGAGEMENTS 2026'!L1975)</f>
        <v/>
      </c>
      <c r="H1975">
        <f>IF(ISBLANK('ENGAGEMENTS 2026'!B1975),"",'ENGAGEMENTS 2026'!AE1975)</f>
        <v/>
      </c>
      <c r="I1975">
        <f>IF(ISBLANK('ENGAGEMENTS 2026'!B1975),"",'ENGAGEMENTS 2026'!G1975)</f>
        <v/>
      </c>
      <c r="J1975" s="275">
        <f>IF(ISBLANK('ENGAGEMENTS 2026'!B1975),"",IF(AND(OR($E1975="INFRUCTUEUX",$E1975="ANNULE"),$C1975="AOO-M"),'ENGAGEMENTS 2026'!O1975,IF($H1975="EN COURS DE PREENGAGEMENT",'ENGAGEMENTS 2026'!N1975,IF($H1975="PREENGAGE",IF($E1975="ATTRIBUE",'ENGAGEMENTS 2026'!AD1975,'ENGAGEMENTS 2026'!N1975),'ENGAGEMENTS 2026'!AD1975))))</f>
        <v/>
      </c>
      <c r="K1975" s="604">
        <f>IF(ISBLANK('ENGAGEMENTS 2026'!V1975),"",'ENGAGEMENTS 2026'!V1975)</f>
        <v/>
      </c>
      <c r="L1975" s="276">
        <f>IF($K1975="","",TODAY()-$K1975)</f>
        <v/>
      </c>
      <c r="M1975">
        <f>IF($A1975="","",IF($H1975="ENGAGE","Engagé",IF(AND($H1975="NON ENGAGE",OR($I1975="INFRUCTUEUX",$I1975="ANNULE")),"Clôturé sans suite","En cours")))</f>
        <v/>
      </c>
      <c r="N1975">
        <f>IF(ISBLANK('ENGAGEMENTS 2026'!B1975),"",'ENGAGEMENTS 2026'!K1975)</f>
        <v/>
      </c>
      <c r="O1975">
        <f>IF(ISBLANK('ENGAGEMENTS 2026'!B1975),"",'ENGAGEMENTS 2026'!L1975)</f>
        <v/>
      </c>
      <c r="P1975">
        <f>IF(ISBLANK('ENGAGEMENTS 2026'!B1975),"",'ENGAGEMENTS 2026'!J1975)</f>
        <v/>
      </c>
      <c r="Q1975">
        <f>IF($A1975="","",IF(OR($E1975="INFRUCTUEUX",$E1975="ANNULE"),$A1975&amp;"|"&amp;(COUNTIFS($A$2:$A1975,$A1975,$E$2:$E1975,"INFRUCTUEUX")+COUNTIFS($A$2:$A1975,$A1975,$E$2:$E1975,"ANNULE")),""))</f>
        <v/>
      </c>
    </row>
    <row r="1976">
      <c r="A1976">
        <f>IF(ISBLANK('ENGAGEMENTS 2026'!B1976),"",IF('ENGAGEMENTS 2026'!B1976="DTSI","DCT",'ENGAGEMENTS 2026'!B1976))</f>
        <v/>
      </c>
      <c r="B1976">
        <f>IF(ISBLANK('ENGAGEMENTS 2026'!B1976),"",'ENGAGEMENTS 2026'!C1976)</f>
        <v/>
      </c>
      <c r="C1976">
        <f>IF(ISBLANK('ENGAGEMENTS 2026'!B1976),"",'ENGAGEMENTS 2026'!D1976)</f>
        <v/>
      </c>
      <c r="D1976">
        <f>IF(ISBLANK('ENGAGEMENTS 2026'!B1976),"",'ENGAGEMENTS 2026'!F1976)</f>
        <v/>
      </c>
      <c r="E1976">
        <f>IF(ISBLANK('ENGAGEMENTS 2026'!B1976),"",'ENGAGEMENTS 2026'!H1976)</f>
        <v/>
      </c>
      <c r="F1976">
        <f>IF(ISBLANK('ENGAGEMENTS 2026'!B1976),"",'ENGAGEMENTS 2026'!I1976)</f>
        <v/>
      </c>
      <c r="G1976">
        <f>IF(ISBLANK('ENGAGEMENTS 2026'!B1976),"",'ENGAGEMENTS 2026'!L1976)</f>
        <v/>
      </c>
      <c r="H1976">
        <f>IF(ISBLANK('ENGAGEMENTS 2026'!B1976),"",'ENGAGEMENTS 2026'!AE1976)</f>
        <v/>
      </c>
      <c r="I1976">
        <f>IF(ISBLANK('ENGAGEMENTS 2026'!B1976),"",'ENGAGEMENTS 2026'!G1976)</f>
        <v/>
      </c>
      <c r="J1976" s="275">
        <f>IF(ISBLANK('ENGAGEMENTS 2026'!B1976),"",IF(AND(OR($E1976="INFRUCTUEUX",$E1976="ANNULE"),$C1976="AOO-M"),'ENGAGEMENTS 2026'!O1976,IF($H1976="EN COURS DE PREENGAGEMENT",'ENGAGEMENTS 2026'!N1976,IF($H1976="PREENGAGE",IF($E1976="ATTRIBUE",'ENGAGEMENTS 2026'!AD1976,'ENGAGEMENTS 2026'!N1976),'ENGAGEMENTS 2026'!AD1976))))</f>
        <v/>
      </c>
      <c r="K1976" s="604">
        <f>IF(ISBLANK('ENGAGEMENTS 2026'!V1976),"",'ENGAGEMENTS 2026'!V1976)</f>
        <v/>
      </c>
      <c r="L1976" s="276">
        <f>IF($K1976="","",TODAY()-$K1976)</f>
        <v/>
      </c>
      <c r="M1976">
        <f>IF($A1976="","",IF($H1976="ENGAGE","Engagé",IF(AND($H1976="NON ENGAGE",OR($I1976="INFRUCTUEUX",$I1976="ANNULE")),"Clôturé sans suite","En cours")))</f>
        <v/>
      </c>
      <c r="N1976">
        <f>IF(ISBLANK('ENGAGEMENTS 2026'!B1976),"",'ENGAGEMENTS 2026'!K1976)</f>
        <v/>
      </c>
      <c r="O1976">
        <f>IF(ISBLANK('ENGAGEMENTS 2026'!B1976),"",'ENGAGEMENTS 2026'!L1976)</f>
        <v/>
      </c>
      <c r="P1976">
        <f>IF(ISBLANK('ENGAGEMENTS 2026'!B1976),"",'ENGAGEMENTS 2026'!J1976)</f>
        <v/>
      </c>
      <c r="Q1976">
        <f>IF($A1976="","",IF(OR($E1976="INFRUCTUEUX",$E1976="ANNULE"),$A1976&amp;"|"&amp;(COUNTIFS($A$2:$A1976,$A1976,$E$2:$E1976,"INFRUCTUEUX")+COUNTIFS($A$2:$A1976,$A1976,$E$2:$E1976,"ANNULE")),""))</f>
        <v/>
      </c>
    </row>
    <row r="1977">
      <c r="A1977">
        <f>IF(ISBLANK('ENGAGEMENTS 2026'!B1977),"",IF('ENGAGEMENTS 2026'!B1977="DTSI","DCT",'ENGAGEMENTS 2026'!B1977))</f>
        <v/>
      </c>
      <c r="B1977">
        <f>IF(ISBLANK('ENGAGEMENTS 2026'!B1977),"",'ENGAGEMENTS 2026'!C1977)</f>
        <v/>
      </c>
      <c r="C1977">
        <f>IF(ISBLANK('ENGAGEMENTS 2026'!B1977),"",'ENGAGEMENTS 2026'!D1977)</f>
        <v/>
      </c>
      <c r="D1977">
        <f>IF(ISBLANK('ENGAGEMENTS 2026'!B1977),"",'ENGAGEMENTS 2026'!F1977)</f>
        <v/>
      </c>
      <c r="E1977">
        <f>IF(ISBLANK('ENGAGEMENTS 2026'!B1977),"",'ENGAGEMENTS 2026'!H1977)</f>
        <v/>
      </c>
      <c r="F1977">
        <f>IF(ISBLANK('ENGAGEMENTS 2026'!B1977),"",'ENGAGEMENTS 2026'!I1977)</f>
        <v/>
      </c>
      <c r="G1977">
        <f>IF(ISBLANK('ENGAGEMENTS 2026'!B1977),"",'ENGAGEMENTS 2026'!L1977)</f>
        <v/>
      </c>
      <c r="H1977">
        <f>IF(ISBLANK('ENGAGEMENTS 2026'!B1977),"",'ENGAGEMENTS 2026'!AE1977)</f>
        <v/>
      </c>
      <c r="I1977">
        <f>IF(ISBLANK('ENGAGEMENTS 2026'!B1977),"",'ENGAGEMENTS 2026'!G1977)</f>
        <v/>
      </c>
      <c r="J1977" s="275">
        <f>IF(ISBLANK('ENGAGEMENTS 2026'!B1977),"",IF(AND(OR($E1977="INFRUCTUEUX",$E1977="ANNULE"),$C1977="AOO-M"),'ENGAGEMENTS 2026'!O1977,IF($H1977="EN COURS DE PREENGAGEMENT",'ENGAGEMENTS 2026'!N1977,IF($H1977="PREENGAGE",IF($E1977="ATTRIBUE",'ENGAGEMENTS 2026'!AD1977,'ENGAGEMENTS 2026'!N1977),'ENGAGEMENTS 2026'!AD1977))))</f>
        <v/>
      </c>
      <c r="K1977" s="604">
        <f>IF(ISBLANK('ENGAGEMENTS 2026'!V1977),"",'ENGAGEMENTS 2026'!V1977)</f>
        <v/>
      </c>
      <c r="L1977" s="276">
        <f>IF($K1977="","",TODAY()-$K1977)</f>
        <v/>
      </c>
      <c r="M1977">
        <f>IF($A1977="","",IF($H1977="ENGAGE","Engagé",IF(AND($H1977="NON ENGAGE",OR($I1977="INFRUCTUEUX",$I1977="ANNULE")),"Clôturé sans suite","En cours")))</f>
        <v/>
      </c>
      <c r="N1977">
        <f>IF(ISBLANK('ENGAGEMENTS 2026'!B1977),"",'ENGAGEMENTS 2026'!K1977)</f>
        <v/>
      </c>
      <c r="O1977">
        <f>IF(ISBLANK('ENGAGEMENTS 2026'!B1977),"",'ENGAGEMENTS 2026'!L1977)</f>
        <v/>
      </c>
      <c r="P1977">
        <f>IF(ISBLANK('ENGAGEMENTS 2026'!B1977),"",'ENGAGEMENTS 2026'!J1977)</f>
        <v/>
      </c>
      <c r="Q1977">
        <f>IF($A1977="","",IF(OR($E1977="INFRUCTUEUX",$E1977="ANNULE"),$A1977&amp;"|"&amp;(COUNTIFS($A$2:$A1977,$A1977,$E$2:$E1977,"INFRUCTUEUX")+COUNTIFS($A$2:$A1977,$A1977,$E$2:$E1977,"ANNULE")),""))</f>
        <v/>
      </c>
    </row>
    <row r="1978">
      <c r="A1978">
        <f>IF(ISBLANK('ENGAGEMENTS 2026'!B1978),"",IF('ENGAGEMENTS 2026'!B1978="DTSI","DCT",'ENGAGEMENTS 2026'!B1978))</f>
        <v/>
      </c>
      <c r="B1978">
        <f>IF(ISBLANK('ENGAGEMENTS 2026'!B1978),"",'ENGAGEMENTS 2026'!C1978)</f>
        <v/>
      </c>
      <c r="C1978">
        <f>IF(ISBLANK('ENGAGEMENTS 2026'!B1978),"",'ENGAGEMENTS 2026'!D1978)</f>
        <v/>
      </c>
      <c r="D1978">
        <f>IF(ISBLANK('ENGAGEMENTS 2026'!B1978),"",'ENGAGEMENTS 2026'!F1978)</f>
        <v/>
      </c>
      <c r="E1978">
        <f>IF(ISBLANK('ENGAGEMENTS 2026'!B1978),"",'ENGAGEMENTS 2026'!H1978)</f>
        <v/>
      </c>
      <c r="F1978">
        <f>IF(ISBLANK('ENGAGEMENTS 2026'!B1978),"",'ENGAGEMENTS 2026'!I1978)</f>
        <v/>
      </c>
      <c r="G1978">
        <f>IF(ISBLANK('ENGAGEMENTS 2026'!B1978),"",'ENGAGEMENTS 2026'!L1978)</f>
        <v/>
      </c>
      <c r="H1978">
        <f>IF(ISBLANK('ENGAGEMENTS 2026'!B1978),"",'ENGAGEMENTS 2026'!AE1978)</f>
        <v/>
      </c>
      <c r="I1978">
        <f>IF(ISBLANK('ENGAGEMENTS 2026'!B1978),"",'ENGAGEMENTS 2026'!G1978)</f>
        <v/>
      </c>
      <c r="J1978" s="275">
        <f>IF(ISBLANK('ENGAGEMENTS 2026'!B1978),"",IF(AND(OR($E1978="INFRUCTUEUX",$E1978="ANNULE"),$C1978="AOO-M"),'ENGAGEMENTS 2026'!O1978,IF($H1978="EN COURS DE PREENGAGEMENT",'ENGAGEMENTS 2026'!N1978,IF($H1978="PREENGAGE",IF($E1978="ATTRIBUE",'ENGAGEMENTS 2026'!AD1978,'ENGAGEMENTS 2026'!N1978),'ENGAGEMENTS 2026'!AD1978))))</f>
        <v/>
      </c>
      <c r="K1978" s="604">
        <f>IF(ISBLANK('ENGAGEMENTS 2026'!V1978),"",'ENGAGEMENTS 2026'!V1978)</f>
        <v/>
      </c>
      <c r="L1978" s="276">
        <f>IF($K1978="","",TODAY()-$K1978)</f>
        <v/>
      </c>
      <c r="M1978">
        <f>IF($A1978="","",IF($H1978="ENGAGE","Engagé",IF(AND($H1978="NON ENGAGE",OR($I1978="INFRUCTUEUX",$I1978="ANNULE")),"Clôturé sans suite","En cours")))</f>
        <v/>
      </c>
      <c r="N1978">
        <f>IF(ISBLANK('ENGAGEMENTS 2026'!B1978),"",'ENGAGEMENTS 2026'!K1978)</f>
        <v/>
      </c>
      <c r="O1978">
        <f>IF(ISBLANK('ENGAGEMENTS 2026'!B1978),"",'ENGAGEMENTS 2026'!L1978)</f>
        <v/>
      </c>
      <c r="P1978">
        <f>IF(ISBLANK('ENGAGEMENTS 2026'!B1978),"",'ENGAGEMENTS 2026'!J1978)</f>
        <v/>
      </c>
      <c r="Q1978">
        <f>IF($A1978="","",IF(OR($E1978="INFRUCTUEUX",$E1978="ANNULE"),$A1978&amp;"|"&amp;(COUNTIFS($A$2:$A1978,$A1978,$E$2:$E1978,"INFRUCTUEUX")+COUNTIFS($A$2:$A1978,$A1978,$E$2:$E1978,"ANNULE")),""))</f>
        <v/>
      </c>
    </row>
    <row r="1979">
      <c r="A1979">
        <f>IF(ISBLANK('ENGAGEMENTS 2026'!B1979),"",IF('ENGAGEMENTS 2026'!B1979="DTSI","DCT",'ENGAGEMENTS 2026'!B1979))</f>
        <v/>
      </c>
      <c r="B1979">
        <f>IF(ISBLANK('ENGAGEMENTS 2026'!B1979),"",'ENGAGEMENTS 2026'!C1979)</f>
        <v/>
      </c>
      <c r="C1979">
        <f>IF(ISBLANK('ENGAGEMENTS 2026'!B1979),"",'ENGAGEMENTS 2026'!D1979)</f>
        <v/>
      </c>
      <c r="D1979">
        <f>IF(ISBLANK('ENGAGEMENTS 2026'!B1979),"",'ENGAGEMENTS 2026'!F1979)</f>
        <v/>
      </c>
      <c r="E1979">
        <f>IF(ISBLANK('ENGAGEMENTS 2026'!B1979),"",'ENGAGEMENTS 2026'!H1979)</f>
        <v/>
      </c>
      <c r="F1979">
        <f>IF(ISBLANK('ENGAGEMENTS 2026'!B1979),"",'ENGAGEMENTS 2026'!I1979)</f>
        <v/>
      </c>
      <c r="G1979">
        <f>IF(ISBLANK('ENGAGEMENTS 2026'!B1979),"",'ENGAGEMENTS 2026'!L1979)</f>
        <v/>
      </c>
      <c r="H1979">
        <f>IF(ISBLANK('ENGAGEMENTS 2026'!B1979),"",'ENGAGEMENTS 2026'!AE1979)</f>
        <v/>
      </c>
      <c r="I1979">
        <f>IF(ISBLANK('ENGAGEMENTS 2026'!B1979),"",'ENGAGEMENTS 2026'!G1979)</f>
        <v/>
      </c>
      <c r="J1979" s="275">
        <f>IF(ISBLANK('ENGAGEMENTS 2026'!B1979),"",IF(AND(OR($E1979="INFRUCTUEUX",$E1979="ANNULE"),$C1979="AOO-M"),'ENGAGEMENTS 2026'!O1979,IF($H1979="EN COURS DE PREENGAGEMENT",'ENGAGEMENTS 2026'!N1979,IF($H1979="PREENGAGE",IF($E1979="ATTRIBUE",'ENGAGEMENTS 2026'!AD1979,'ENGAGEMENTS 2026'!N1979),'ENGAGEMENTS 2026'!AD1979))))</f>
        <v/>
      </c>
      <c r="K1979" s="604">
        <f>IF(ISBLANK('ENGAGEMENTS 2026'!V1979),"",'ENGAGEMENTS 2026'!V1979)</f>
        <v/>
      </c>
      <c r="L1979" s="276">
        <f>IF($K1979="","",TODAY()-$K1979)</f>
        <v/>
      </c>
      <c r="M1979">
        <f>IF($A1979="","",IF($H1979="ENGAGE","Engagé",IF(AND($H1979="NON ENGAGE",OR($I1979="INFRUCTUEUX",$I1979="ANNULE")),"Clôturé sans suite","En cours")))</f>
        <v/>
      </c>
      <c r="N1979">
        <f>IF(ISBLANK('ENGAGEMENTS 2026'!B1979),"",'ENGAGEMENTS 2026'!K1979)</f>
        <v/>
      </c>
      <c r="O1979">
        <f>IF(ISBLANK('ENGAGEMENTS 2026'!B1979),"",'ENGAGEMENTS 2026'!L1979)</f>
        <v/>
      </c>
      <c r="P1979">
        <f>IF(ISBLANK('ENGAGEMENTS 2026'!B1979),"",'ENGAGEMENTS 2026'!J1979)</f>
        <v/>
      </c>
      <c r="Q1979">
        <f>IF($A1979="","",IF(OR($E1979="INFRUCTUEUX",$E1979="ANNULE"),$A1979&amp;"|"&amp;(COUNTIFS($A$2:$A1979,$A1979,$E$2:$E1979,"INFRUCTUEUX")+COUNTIFS($A$2:$A1979,$A1979,$E$2:$E1979,"ANNULE")),""))</f>
        <v/>
      </c>
    </row>
    <row r="1980">
      <c r="A1980">
        <f>IF(ISBLANK('ENGAGEMENTS 2026'!B1980),"",IF('ENGAGEMENTS 2026'!B1980="DTSI","DCT",'ENGAGEMENTS 2026'!B1980))</f>
        <v/>
      </c>
      <c r="B1980">
        <f>IF(ISBLANK('ENGAGEMENTS 2026'!B1980),"",'ENGAGEMENTS 2026'!C1980)</f>
        <v/>
      </c>
      <c r="C1980">
        <f>IF(ISBLANK('ENGAGEMENTS 2026'!B1980),"",'ENGAGEMENTS 2026'!D1980)</f>
        <v/>
      </c>
      <c r="D1980">
        <f>IF(ISBLANK('ENGAGEMENTS 2026'!B1980),"",'ENGAGEMENTS 2026'!F1980)</f>
        <v/>
      </c>
      <c r="E1980">
        <f>IF(ISBLANK('ENGAGEMENTS 2026'!B1980),"",'ENGAGEMENTS 2026'!H1980)</f>
        <v/>
      </c>
      <c r="F1980">
        <f>IF(ISBLANK('ENGAGEMENTS 2026'!B1980),"",'ENGAGEMENTS 2026'!I1980)</f>
        <v/>
      </c>
      <c r="G1980">
        <f>IF(ISBLANK('ENGAGEMENTS 2026'!B1980),"",'ENGAGEMENTS 2026'!L1980)</f>
        <v/>
      </c>
      <c r="H1980">
        <f>IF(ISBLANK('ENGAGEMENTS 2026'!B1980),"",'ENGAGEMENTS 2026'!AE1980)</f>
        <v/>
      </c>
      <c r="I1980">
        <f>IF(ISBLANK('ENGAGEMENTS 2026'!B1980),"",'ENGAGEMENTS 2026'!G1980)</f>
        <v/>
      </c>
      <c r="J1980" s="275">
        <f>IF(ISBLANK('ENGAGEMENTS 2026'!B1980),"",IF(AND(OR($E1980="INFRUCTUEUX",$E1980="ANNULE"),$C1980="AOO-M"),'ENGAGEMENTS 2026'!O1980,IF($H1980="EN COURS DE PREENGAGEMENT",'ENGAGEMENTS 2026'!N1980,IF($H1980="PREENGAGE",IF($E1980="ATTRIBUE",'ENGAGEMENTS 2026'!AD1980,'ENGAGEMENTS 2026'!N1980),'ENGAGEMENTS 2026'!AD1980))))</f>
        <v/>
      </c>
      <c r="K1980" s="604">
        <f>IF(ISBLANK('ENGAGEMENTS 2026'!V1980),"",'ENGAGEMENTS 2026'!V1980)</f>
        <v/>
      </c>
      <c r="L1980" s="276">
        <f>IF($K1980="","",TODAY()-$K1980)</f>
        <v/>
      </c>
      <c r="M1980">
        <f>IF($A1980="","",IF($H1980="ENGAGE","Engagé",IF(AND($H1980="NON ENGAGE",OR($I1980="INFRUCTUEUX",$I1980="ANNULE")),"Clôturé sans suite","En cours")))</f>
        <v/>
      </c>
      <c r="N1980">
        <f>IF(ISBLANK('ENGAGEMENTS 2026'!B1980),"",'ENGAGEMENTS 2026'!K1980)</f>
        <v/>
      </c>
      <c r="O1980">
        <f>IF(ISBLANK('ENGAGEMENTS 2026'!B1980),"",'ENGAGEMENTS 2026'!L1980)</f>
        <v/>
      </c>
      <c r="P1980">
        <f>IF(ISBLANK('ENGAGEMENTS 2026'!B1980),"",'ENGAGEMENTS 2026'!J1980)</f>
        <v/>
      </c>
      <c r="Q1980">
        <f>IF($A1980="","",IF(OR($E1980="INFRUCTUEUX",$E1980="ANNULE"),$A1980&amp;"|"&amp;(COUNTIFS($A$2:$A1980,$A1980,$E$2:$E1980,"INFRUCTUEUX")+COUNTIFS($A$2:$A1980,$A1980,$E$2:$E1980,"ANNULE")),""))</f>
        <v/>
      </c>
    </row>
    <row r="1981">
      <c r="A1981">
        <f>IF(ISBLANK('ENGAGEMENTS 2026'!B1981),"",IF('ENGAGEMENTS 2026'!B1981="DTSI","DCT",'ENGAGEMENTS 2026'!B1981))</f>
        <v/>
      </c>
      <c r="B1981">
        <f>IF(ISBLANK('ENGAGEMENTS 2026'!B1981),"",'ENGAGEMENTS 2026'!C1981)</f>
        <v/>
      </c>
      <c r="C1981">
        <f>IF(ISBLANK('ENGAGEMENTS 2026'!B1981),"",'ENGAGEMENTS 2026'!D1981)</f>
        <v/>
      </c>
      <c r="D1981">
        <f>IF(ISBLANK('ENGAGEMENTS 2026'!B1981),"",'ENGAGEMENTS 2026'!F1981)</f>
        <v/>
      </c>
      <c r="E1981">
        <f>IF(ISBLANK('ENGAGEMENTS 2026'!B1981),"",'ENGAGEMENTS 2026'!H1981)</f>
        <v/>
      </c>
      <c r="F1981">
        <f>IF(ISBLANK('ENGAGEMENTS 2026'!B1981),"",'ENGAGEMENTS 2026'!I1981)</f>
        <v/>
      </c>
      <c r="G1981">
        <f>IF(ISBLANK('ENGAGEMENTS 2026'!B1981),"",'ENGAGEMENTS 2026'!L1981)</f>
        <v/>
      </c>
      <c r="H1981">
        <f>IF(ISBLANK('ENGAGEMENTS 2026'!B1981),"",'ENGAGEMENTS 2026'!AE1981)</f>
        <v/>
      </c>
      <c r="I1981">
        <f>IF(ISBLANK('ENGAGEMENTS 2026'!B1981),"",'ENGAGEMENTS 2026'!G1981)</f>
        <v/>
      </c>
      <c r="J1981" s="275">
        <f>IF(ISBLANK('ENGAGEMENTS 2026'!B1981),"",IF(AND(OR($E1981="INFRUCTUEUX",$E1981="ANNULE"),$C1981="AOO-M"),'ENGAGEMENTS 2026'!O1981,IF($H1981="EN COURS DE PREENGAGEMENT",'ENGAGEMENTS 2026'!N1981,IF($H1981="PREENGAGE",IF($E1981="ATTRIBUE",'ENGAGEMENTS 2026'!AD1981,'ENGAGEMENTS 2026'!N1981),'ENGAGEMENTS 2026'!AD1981))))</f>
        <v/>
      </c>
      <c r="K1981" s="604">
        <f>IF(ISBLANK('ENGAGEMENTS 2026'!V1981),"",'ENGAGEMENTS 2026'!V1981)</f>
        <v/>
      </c>
      <c r="L1981" s="276">
        <f>IF($K1981="","",TODAY()-$K1981)</f>
        <v/>
      </c>
      <c r="M1981">
        <f>IF($A1981="","",IF($H1981="ENGAGE","Engagé",IF(AND($H1981="NON ENGAGE",OR($I1981="INFRUCTUEUX",$I1981="ANNULE")),"Clôturé sans suite","En cours")))</f>
        <v/>
      </c>
      <c r="N1981">
        <f>IF(ISBLANK('ENGAGEMENTS 2026'!B1981),"",'ENGAGEMENTS 2026'!K1981)</f>
        <v/>
      </c>
      <c r="O1981">
        <f>IF(ISBLANK('ENGAGEMENTS 2026'!B1981),"",'ENGAGEMENTS 2026'!L1981)</f>
        <v/>
      </c>
      <c r="P1981">
        <f>IF(ISBLANK('ENGAGEMENTS 2026'!B1981),"",'ENGAGEMENTS 2026'!J1981)</f>
        <v/>
      </c>
      <c r="Q1981">
        <f>IF($A1981="","",IF(OR($E1981="INFRUCTUEUX",$E1981="ANNULE"),$A1981&amp;"|"&amp;(COUNTIFS($A$2:$A1981,$A1981,$E$2:$E1981,"INFRUCTUEUX")+COUNTIFS($A$2:$A1981,$A1981,$E$2:$E1981,"ANNULE")),""))</f>
        <v/>
      </c>
    </row>
    <row r="1982">
      <c r="A1982">
        <f>IF(ISBLANK('ENGAGEMENTS 2026'!B1982),"",IF('ENGAGEMENTS 2026'!B1982="DTSI","DCT",'ENGAGEMENTS 2026'!B1982))</f>
        <v/>
      </c>
      <c r="B1982">
        <f>IF(ISBLANK('ENGAGEMENTS 2026'!B1982),"",'ENGAGEMENTS 2026'!C1982)</f>
        <v/>
      </c>
      <c r="C1982">
        <f>IF(ISBLANK('ENGAGEMENTS 2026'!B1982),"",'ENGAGEMENTS 2026'!D1982)</f>
        <v/>
      </c>
      <c r="D1982">
        <f>IF(ISBLANK('ENGAGEMENTS 2026'!B1982),"",'ENGAGEMENTS 2026'!F1982)</f>
        <v/>
      </c>
      <c r="E1982">
        <f>IF(ISBLANK('ENGAGEMENTS 2026'!B1982),"",'ENGAGEMENTS 2026'!H1982)</f>
        <v/>
      </c>
      <c r="F1982">
        <f>IF(ISBLANK('ENGAGEMENTS 2026'!B1982),"",'ENGAGEMENTS 2026'!I1982)</f>
        <v/>
      </c>
      <c r="G1982">
        <f>IF(ISBLANK('ENGAGEMENTS 2026'!B1982),"",'ENGAGEMENTS 2026'!L1982)</f>
        <v/>
      </c>
      <c r="H1982">
        <f>IF(ISBLANK('ENGAGEMENTS 2026'!B1982),"",'ENGAGEMENTS 2026'!AE1982)</f>
        <v/>
      </c>
      <c r="I1982">
        <f>IF(ISBLANK('ENGAGEMENTS 2026'!B1982),"",'ENGAGEMENTS 2026'!G1982)</f>
        <v/>
      </c>
      <c r="J1982" s="275">
        <f>IF(ISBLANK('ENGAGEMENTS 2026'!B1982),"",IF(AND(OR($E1982="INFRUCTUEUX",$E1982="ANNULE"),$C1982="AOO-M"),'ENGAGEMENTS 2026'!O1982,IF($H1982="EN COURS DE PREENGAGEMENT",'ENGAGEMENTS 2026'!N1982,IF($H1982="PREENGAGE",IF($E1982="ATTRIBUE",'ENGAGEMENTS 2026'!AD1982,'ENGAGEMENTS 2026'!N1982),'ENGAGEMENTS 2026'!AD1982))))</f>
        <v/>
      </c>
      <c r="K1982" s="604">
        <f>IF(ISBLANK('ENGAGEMENTS 2026'!V1982),"",'ENGAGEMENTS 2026'!V1982)</f>
        <v/>
      </c>
      <c r="L1982" s="276">
        <f>IF($K1982="","",TODAY()-$K1982)</f>
        <v/>
      </c>
      <c r="M1982">
        <f>IF($A1982="","",IF($H1982="ENGAGE","Engagé",IF(AND($H1982="NON ENGAGE",OR($I1982="INFRUCTUEUX",$I1982="ANNULE")),"Clôturé sans suite","En cours")))</f>
        <v/>
      </c>
      <c r="N1982">
        <f>IF(ISBLANK('ENGAGEMENTS 2026'!B1982),"",'ENGAGEMENTS 2026'!K1982)</f>
        <v/>
      </c>
      <c r="O1982">
        <f>IF(ISBLANK('ENGAGEMENTS 2026'!B1982),"",'ENGAGEMENTS 2026'!L1982)</f>
        <v/>
      </c>
      <c r="P1982">
        <f>IF(ISBLANK('ENGAGEMENTS 2026'!B1982),"",'ENGAGEMENTS 2026'!J1982)</f>
        <v/>
      </c>
      <c r="Q1982">
        <f>IF($A1982="","",IF(OR($E1982="INFRUCTUEUX",$E1982="ANNULE"),$A1982&amp;"|"&amp;(COUNTIFS($A$2:$A1982,$A1982,$E$2:$E1982,"INFRUCTUEUX")+COUNTIFS($A$2:$A1982,$A1982,$E$2:$E1982,"ANNULE")),""))</f>
        <v/>
      </c>
    </row>
    <row r="1983">
      <c r="A1983">
        <f>IF(ISBLANK('ENGAGEMENTS 2026'!B1983),"",IF('ENGAGEMENTS 2026'!B1983="DTSI","DCT",'ENGAGEMENTS 2026'!B1983))</f>
        <v/>
      </c>
      <c r="B1983">
        <f>IF(ISBLANK('ENGAGEMENTS 2026'!B1983),"",'ENGAGEMENTS 2026'!C1983)</f>
        <v/>
      </c>
      <c r="C1983">
        <f>IF(ISBLANK('ENGAGEMENTS 2026'!B1983),"",'ENGAGEMENTS 2026'!D1983)</f>
        <v/>
      </c>
      <c r="D1983">
        <f>IF(ISBLANK('ENGAGEMENTS 2026'!B1983),"",'ENGAGEMENTS 2026'!F1983)</f>
        <v/>
      </c>
      <c r="E1983">
        <f>IF(ISBLANK('ENGAGEMENTS 2026'!B1983),"",'ENGAGEMENTS 2026'!H1983)</f>
        <v/>
      </c>
      <c r="F1983">
        <f>IF(ISBLANK('ENGAGEMENTS 2026'!B1983),"",'ENGAGEMENTS 2026'!I1983)</f>
        <v/>
      </c>
      <c r="G1983">
        <f>IF(ISBLANK('ENGAGEMENTS 2026'!B1983),"",'ENGAGEMENTS 2026'!L1983)</f>
        <v/>
      </c>
      <c r="H1983">
        <f>IF(ISBLANK('ENGAGEMENTS 2026'!B1983),"",'ENGAGEMENTS 2026'!AE1983)</f>
        <v/>
      </c>
      <c r="I1983">
        <f>IF(ISBLANK('ENGAGEMENTS 2026'!B1983),"",'ENGAGEMENTS 2026'!G1983)</f>
        <v/>
      </c>
      <c r="J1983" s="275">
        <f>IF(ISBLANK('ENGAGEMENTS 2026'!B1983),"",IF(AND(OR($E1983="INFRUCTUEUX",$E1983="ANNULE"),$C1983="AOO-M"),'ENGAGEMENTS 2026'!O1983,IF($H1983="EN COURS DE PREENGAGEMENT",'ENGAGEMENTS 2026'!N1983,IF($H1983="PREENGAGE",IF($E1983="ATTRIBUE",'ENGAGEMENTS 2026'!AD1983,'ENGAGEMENTS 2026'!N1983),'ENGAGEMENTS 2026'!AD1983))))</f>
        <v/>
      </c>
      <c r="K1983" s="604">
        <f>IF(ISBLANK('ENGAGEMENTS 2026'!V1983),"",'ENGAGEMENTS 2026'!V1983)</f>
        <v/>
      </c>
      <c r="L1983" s="276">
        <f>IF($K1983="","",TODAY()-$K1983)</f>
        <v/>
      </c>
      <c r="M1983">
        <f>IF($A1983="","",IF($H1983="ENGAGE","Engagé",IF(AND($H1983="NON ENGAGE",OR($I1983="INFRUCTUEUX",$I1983="ANNULE")),"Clôturé sans suite","En cours")))</f>
        <v/>
      </c>
      <c r="N1983">
        <f>IF(ISBLANK('ENGAGEMENTS 2026'!B1983),"",'ENGAGEMENTS 2026'!K1983)</f>
        <v/>
      </c>
      <c r="O1983">
        <f>IF(ISBLANK('ENGAGEMENTS 2026'!B1983),"",'ENGAGEMENTS 2026'!L1983)</f>
        <v/>
      </c>
      <c r="P1983">
        <f>IF(ISBLANK('ENGAGEMENTS 2026'!B1983),"",'ENGAGEMENTS 2026'!J1983)</f>
        <v/>
      </c>
      <c r="Q1983">
        <f>IF($A1983="","",IF(OR($E1983="INFRUCTUEUX",$E1983="ANNULE"),$A1983&amp;"|"&amp;(COUNTIFS($A$2:$A1983,$A1983,$E$2:$E1983,"INFRUCTUEUX")+COUNTIFS($A$2:$A1983,$A1983,$E$2:$E1983,"ANNULE")),""))</f>
        <v/>
      </c>
    </row>
    <row r="1984">
      <c r="A1984">
        <f>IF(ISBLANK('ENGAGEMENTS 2026'!B1984),"",IF('ENGAGEMENTS 2026'!B1984="DTSI","DCT",'ENGAGEMENTS 2026'!B1984))</f>
        <v/>
      </c>
      <c r="B1984">
        <f>IF(ISBLANK('ENGAGEMENTS 2026'!B1984),"",'ENGAGEMENTS 2026'!C1984)</f>
        <v/>
      </c>
      <c r="C1984">
        <f>IF(ISBLANK('ENGAGEMENTS 2026'!B1984),"",'ENGAGEMENTS 2026'!D1984)</f>
        <v/>
      </c>
      <c r="D1984">
        <f>IF(ISBLANK('ENGAGEMENTS 2026'!B1984),"",'ENGAGEMENTS 2026'!F1984)</f>
        <v/>
      </c>
      <c r="E1984">
        <f>IF(ISBLANK('ENGAGEMENTS 2026'!B1984),"",'ENGAGEMENTS 2026'!H1984)</f>
        <v/>
      </c>
      <c r="F1984">
        <f>IF(ISBLANK('ENGAGEMENTS 2026'!B1984),"",'ENGAGEMENTS 2026'!I1984)</f>
        <v/>
      </c>
      <c r="G1984">
        <f>IF(ISBLANK('ENGAGEMENTS 2026'!B1984),"",'ENGAGEMENTS 2026'!L1984)</f>
        <v/>
      </c>
      <c r="H1984">
        <f>IF(ISBLANK('ENGAGEMENTS 2026'!B1984),"",'ENGAGEMENTS 2026'!AE1984)</f>
        <v/>
      </c>
      <c r="I1984">
        <f>IF(ISBLANK('ENGAGEMENTS 2026'!B1984),"",'ENGAGEMENTS 2026'!G1984)</f>
        <v/>
      </c>
      <c r="J1984" s="275">
        <f>IF(ISBLANK('ENGAGEMENTS 2026'!B1984),"",IF(AND(OR($E1984="INFRUCTUEUX",$E1984="ANNULE"),$C1984="AOO-M"),'ENGAGEMENTS 2026'!O1984,IF($H1984="EN COURS DE PREENGAGEMENT",'ENGAGEMENTS 2026'!N1984,IF($H1984="PREENGAGE",IF($E1984="ATTRIBUE",'ENGAGEMENTS 2026'!AD1984,'ENGAGEMENTS 2026'!N1984),'ENGAGEMENTS 2026'!AD1984))))</f>
        <v/>
      </c>
      <c r="K1984" s="604">
        <f>IF(ISBLANK('ENGAGEMENTS 2026'!V1984),"",'ENGAGEMENTS 2026'!V1984)</f>
        <v/>
      </c>
      <c r="L1984" s="276">
        <f>IF($K1984="","",TODAY()-$K1984)</f>
        <v/>
      </c>
      <c r="M1984">
        <f>IF($A1984="","",IF($H1984="ENGAGE","Engagé",IF(AND($H1984="NON ENGAGE",OR($I1984="INFRUCTUEUX",$I1984="ANNULE")),"Clôturé sans suite","En cours")))</f>
        <v/>
      </c>
      <c r="N1984">
        <f>IF(ISBLANK('ENGAGEMENTS 2026'!B1984),"",'ENGAGEMENTS 2026'!K1984)</f>
        <v/>
      </c>
      <c r="O1984">
        <f>IF(ISBLANK('ENGAGEMENTS 2026'!B1984),"",'ENGAGEMENTS 2026'!L1984)</f>
        <v/>
      </c>
      <c r="P1984">
        <f>IF(ISBLANK('ENGAGEMENTS 2026'!B1984),"",'ENGAGEMENTS 2026'!J1984)</f>
        <v/>
      </c>
      <c r="Q1984">
        <f>IF($A1984="","",IF(OR($E1984="INFRUCTUEUX",$E1984="ANNULE"),$A1984&amp;"|"&amp;(COUNTIFS($A$2:$A1984,$A1984,$E$2:$E1984,"INFRUCTUEUX")+COUNTIFS($A$2:$A1984,$A1984,$E$2:$E1984,"ANNULE")),""))</f>
        <v/>
      </c>
    </row>
    <row r="1985">
      <c r="A1985">
        <f>IF(ISBLANK('ENGAGEMENTS 2026'!B1985),"",IF('ENGAGEMENTS 2026'!B1985="DTSI","DCT",'ENGAGEMENTS 2026'!B1985))</f>
        <v/>
      </c>
      <c r="B1985">
        <f>IF(ISBLANK('ENGAGEMENTS 2026'!B1985),"",'ENGAGEMENTS 2026'!C1985)</f>
        <v/>
      </c>
      <c r="C1985">
        <f>IF(ISBLANK('ENGAGEMENTS 2026'!B1985),"",'ENGAGEMENTS 2026'!D1985)</f>
        <v/>
      </c>
      <c r="D1985">
        <f>IF(ISBLANK('ENGAGEMENTS 2026'!B1985),"",'ENGAGEMENTS 2026'!F1985)</f>
        <v/>
      </c>
      <c r="E1985">
        <f>IF(ISBLANK('ENGAGEMENTS 2026'!B1985),"",'ENGAGEMENTS 2026'!H1985)</f>
        <v/>
      </c>
      <c r="F1985">
        <f>IF(ISBLANK('ENGAGEMENTS 2026'!B1985),"",'ENGAGEMENTS 2026'!I1985)</f>
        <v/>
      </c>
      <c r="G1985">
        <f>IF(ISBLANK('ENGAGEMENTS 2026'!B1985),"",'ENGAGEMENTS 2026'!L1985)</f>
        <v/>
      </c>
      <c r="H1985">
        <f>IF(ISBLANK('ENGAGEMENTS 2026'!B1985),"",'ENGAGEMENTS 2026'!AE1985)</f>
        <v/>
      </c>
      <c r="I1985">
        <f>IF(ISBLANK('ENGAGEMENTS 2026'!B1985),"",'ENGAGEMENTS 2026'!G1985)</f>
        <v/>
      </c>
      <c r="J1985" s="275">
        <f>IF(ISBLANK('ENGAGEMENTS 2026'!B1985),"",IF(AND(OR($E1985="INFRUCTUEUX",$E1985="ANNULE"),$C1985="AOO-M"),'ENGAGEMENTS 2026'!O1985,IF($H1985="EN COURS DE PREENGAGEMENT",'ENGAGEMENTS 2026'!N1985,IF($H1985="PREENGAGE",IF($E1985="ATTRIBUE",'ENGAGEMENTS 2026'!AD1985,'ENGAGEMENTS 2026'!N1985),'ENGAGEMENTS 2026'!AD1985))))</f>
        <v/>
      </c>
      <c r="K1985" s="604">
        <f>IF(ISBLANK('ENGAGEMENTS 2026'!V1985),"",'ENGAGEMENTS 2026'!V1985)</f>
        <v/>
      </c>
      <c r="L1985" s="276">
        <f>IF($K1985="","",TODAY()-$K1985)</f>
        <v/>
      </c>
      <c r="M1985">
        <f>IF($A1985="","",IF($H1985="ENGAGE","Engagé",IF(AND($H1985="NON ENGAGE",OR($I1985="INFRUCTUEUX",$I1985="ANNULE")),"Clôturé sans suite","En cours")))</f>
        <v/>
      </c>
      <c r="N1985">
        <f>IF(ISBLANK('ENGAGEMENTS 2026'!B1985),"",'ENGAGEMENTS 2026'!K1985)</f>
        <v/>
      </c>
      <c r="O1985">
        <f>IF(ISBLANK('ENGAGEMENTS 2026'!B1985),"",'ENGAGEMENTS 2026'!L1985)</f>
        <v/>
      </c>
      <c r="P1985">
        <f>IF(ISBLANK('ENGAGEMENTS 2026'!B1985),"",'ENGAGEMENTS 2026'!J1985)</f>
        <v/>
      </c>
      <c r="Q1985">
        <f>IF($A1985="","",IF(OR($E1985="INFRUCTUEUX",$E1985="ANNULE"),$A1985&amp;"|"&amp;(COUNTIFS($A$2:$A1985,$A1985,$E$2:$E1985,"INFRUCTUEUX")+COUNTIFS($A$2:$A1985,$A1985,$E$2:$E1985,"ANNULE")),""))</f>
        <v/>
      </c>
    </row>
    <row r="1986">
      <c r="A1986">
        <f>IF(ISBLANK('ENGAGEMENTS 2026'!B1986),"",IF('ENGAGEMENTS 2026'!B1986="DTSI","DCT",'ENGAGEMENTS 2026'!B1986))</f>
        <v/>
      </c>
      <c r="B1986">
        <f>IF(ISBLANK('ENGAGEMENTS 2026'!B1986),"",'ENGAGEMENTS 2026'!C1986)</f>
        <v/>
      </c>
      <c r="C1986">
        <f>IF(ISBLANK('ENGAGEMENTS 2026'!B1986),"",'ENGAGEMENTS 2026'!D1986)</f>
        <v/>
      </c>
      <c r="D1986">
        <f>IF(ISBLANK('ENGAGEMENTS 2026'!B1986),"",'ENGAGEMENTS 2026'!F1986)</f>
        <v/>
      </c>
      <c r="E1986">
        <f>IF(ISBLANK('ENGAGEMENTS 2026'!B1986),"",'ENGAGEMENTS 2026'!H1986)</f>
        <v/>
      </c>
      <c r="F1986">
        <f>IF(ISBLANK('ENGAGEMENTS 2026'!B1986),"",'ENGAGEMENTS 2026'!I1986)</f>
        <v/>
      </c>
      <c r="G1986">
        <f>IF(ISBLANK('ENGAGEMENTS 2026'!B1986),"",'ENGAGEMENTS 2026'!L1986)</f>
        <v/>
      </c>
      <c r="H1986">
        <f>IF(ISBLANK('ENGAGEMENTS 2026'!B1986),"",'ENGAGEMENTS 2026'!AE1986)</f>
        <v/>
      </c>
      <c r="I1986">
        <f>IF(ISBLANK('ENGAGEMENTS 2026'!B1986),"",'ENGAGEMENTS 2026'!G1986)</f>
        <v/>
      </c>
      <c r="J1986" s="275">
        <f>IF(ISBLANK('ENGAGEMENTS 2026'!B1986),"",IF(AND(OR($E1986="INFRUCTUEUX",$E1986="ANNULE"),$C1986="AOO-M"),'ENGAGEMENTS 2026'!O1986,IF($H1986="EN COURS DE PREENGAGEMENT",'ENGAGEMENTS 2026'!N1986,IF($H1986="PREENGAGE",IF($E1986="ATTRIBUE",'ENGAGEMENTS 2026'!AD1986,'ENGAGEMENTS 2026'!N1986),'ENGAGEMENTS 2026'!AD1986))))</f>
        <v/>
      </c>
      <c r="K1986" s="604">
        <f>IF(ISBLANK('ENGAGEMENTS 2026'!V1986),"",'ENGAGEMENTS 2026'!V1986)</f>
        <v/>
      </c>
      <c r="L1986" s="276">
        <f>IF($K1986="","",TODAY()-$K1986)</f>
        <v/>
      </c>
      <c r="M1986">
        <f>IF($A1986="","",IF($H1986="ENGAGE","Engagé",IF(AND($H1986="NON ENGAGE",OR($I1986="INFRUCTUEUX",$I1986="ANNULE")),"Clôturé sans suite","En cours")))</f>
        <v/>
      </c>
      <c r="N1986">
        <f>IF(ISBLANK('ENGAGEMENTS 2026'!B1986),"",'ENGAGEMENTS 2026'!K1986)</f>
        <v/>
      </c>
      <c r="O1986">
        <f>IF(ISBLANK('ENGAGEMENTS 2026'!B1986),"",'ENGAGEMENTS 2026'!L1986)</f>
        <v/>
      </c>
      <c r="P1986">
        <f>IF(ISBLANK('ENGAGEMENTS 2026'!B1986),"",'ENGAGEMENTS 2026'!J1986)</f>
        <v/>
      </c>
      <c r="Q1986">
        <f>IF($A1986="","",IF(OR($E1986="INFRUCTUEUX",$E1986="ANNULE"),$A1986&amp;"|"&amp;(COUNTIFS($A$2:$A1986,$A1986,$E$2:$E1986,"INFRUCTUEUX")+COUNTIFS($A$2:$A1986,$A1986,$E$2:$E1986,"ANNULE")),""))</f>
        <v/>
      </c>
    </row>
    <row r="1987">
      <c r="A1987">
        <f>IF(ISBLANK('ENGAGEMENTS 2026'!B1987),"",IF('ENGAGEMENTS 2026'!B1987="DTSI","DCT",'ENGAGEMENTS 2026'!B1987))</f>
        <v/>
      </c>
      <c r="B1987">
        <f>IF(ISBLANK('ENGAGEMENTS 2026'!B1987),"",'ENGAGEMENTS 2026'!C1987)</f>
        <v/>
      </c>
      <c r="C1987">
        <f>IF(ISBLANK('ENGAGEMENTS 2026'!B1987),"",'ENGAGEMENTS 2026'!D1987)</f>
        <v/>
      </c>
      <c r="D1987">
        <f>IF(ISBLANK('ENGAGEMENTS 2026'!B1987),"",'ENGAGEMENTS 2026'!F1987)</f>
        <v/>
      </c>
      <c r="E1987">
        <f>IF(ISBLANK('ENGAGEMENTS 2026'!B1987),"",'ENGAGEMENTS 2026'!H1987)</f>
        <v/>
      </c>
      <c r="F1987">
        <f>IF(ISBLANK('ENGAGEMENTS 2026'!B1987),"",'ENGAGEMENTS 2026'!I1987)</f>
        <v/>
      </c>
      <c r="G1987">
        <f>IF(ISBLANK('ENGAGEMENTS 2026'!B1987),"",'ENGAGEMENTS 2026'!L1987)</f>
        <v/>
      </c>
      <c r="H1987">
        <f>IF(ISBLANK('ENGAGEMENTS 2026'!B1987),"",'ENGAGEMENTS 2026'!AE1987)</f>
        <v/>
      </c>
      <c r="I1987">
        <f>IF(ISBLANK('ENGAGEMENTS 2026'!B1987),"",'ENGAGEMENTS 2026'!G1987)</f>
        <v/>
      </c>
      <c r="J1987" s="275">
        <f>IF(ISBLANK('ENGAGEMENTS 2026'!B1987),"",IF(AND(OR($E1987="INFRUCTUEUX",$E1987="ANNULE"),$C1987="AOO-M"),'ENGAGEMENTS 2026'!O1987,IF($H1987="EN COURS DE PREENGAGEMENT",'ENGAGEMENTS 2026'!N1987,IF($H1987="PREENGAGE",IF($E1987="ATTRIBUE",'ENGAGEMENTS 2026'!AD1987,'ENGAGEMENTS 2026'!N1987),'ENGAGEMENTS 2026'!AD1987))))</f>
        <v/>
      </c>
      <c r="K1987" s="604">
        <f>IF(ISBLANK('ENGAGEMENTS 2026'!V1987),"",'ENGAGEMENTS 2026'!V1987)</f>
        <v/>
      </c>
      <c r="L1987" s="276">
        <f>IF($K1987="","",TODAY()-$K1987)</f>
        <v/>
      </c>
      <c r="M1987">
        <f>IF($A1987="","",IF($H1987="ENGAGE","Engagé",IF(AND($H1987="NON ENGAGE",OR($I1987="INFRUCTUEUX",$I1987="ANNULE")),"Clôturé sans suite","En cours")))</f>
        <v/>
      </c>
      <c r="N1987">
        <f>IF(ISBLANK('ENGAGEMENTS 2026'!B1987),"",'ENGAGEMENTS 2026'!K1987)</f>
        <v/>
      </c>
      <c r="O1987">
        <f>IF(ISBLANK('ENGAGEMENTS 2026'!B1987),"",'ENGAGEMENTS 2026'!L1987)</f>
        <v/>
      </c>
      <c r="P1987">
        <f>IF(ISBLANK('ENGAGEMENTS 2026'!B1987),"",'ENGAGEMENTS 2026'!J1987)</f>
        <v/>
      </c>
      <c r="Q1987">
        <f>IF($A1987="","",IF(OR($E1987="INFRUCTUEUX",$E1987="ANNULE"),$A1987&amp;"|"&amp;(COUNTIFS($A$2:$A1987,$A1987,$E$2:$E1987,"INFRUCTUEUX")+COUNTIFS($A$2:$A1987,$A1987,$E$2:$E1987,"ANNULE")),""))</f>
        <v/>
      </c>
    </row>
    <row r="1988">
      <c r="A1988">
        <f>IF(ISBLANK('ENGAGEMENTS 2026'!B1988),"",IF('ENGAGEMENTS 2026'!B1988="DTSI","DCT",'ENGAGEMENTS 2026'!B1988))</f>
        <v/>
      </c>
      <c r="B1988">
        <f>IF(ISBLANK('ENGAGEMENTS 2026'!B1988),"",'ENGAGEMENTS 2026'!C1988)</f>
        <v/>
      </c>
      <c r="C1988">
        <f>IF(ISBLANK('ENGAGEMENTS 2026'!B1988),"",'ENGAGEMENTS 2026'!D1988)</f>
        <v/>
      </c>
      <c r="D1988">
        <f>IF(ISBLANK('ENGAGEMENTS 2026'!B1988),"",'ENGAGEMENTS 2026'!F1988)</f>
        <v/>
      </c>
      <c r="E1988">
        <f>IF(ISBLANK('ENGAGEMENTS 2026'!B1988),"",'ENGAGEMENTS 2026'!H1988)</f>
        <v/>
      </c>
      <c r="F1988">
        <f>IF(ISBLANK('ENGAGEMENTS 2026'!B1988),"",'ENGAGEMENTS 2026'!I1988)</f>
        <v/>
      </c>
      <c r="G1988">
        <f>IF(ISBLANK('ENGAGEMENTS 2026'!B1988),"",'ENGAGEMENTS 2026'!L1988)</f>
        <v/>
      </c>
      <c r="H1988">
        <f>IF(ISBLANK('ENGAGEMENTS 2026'!B1988),"",'ENGAGEMENTS 2026'!AE1988)</f>
        <v/>
      </c>
      <c r="I1988">
        <f>IF(ISBLANK('ENGAGEMENTS 2026'!B1988),"",'ENGAGEMENTS 2026'!G1988)</f>
        <v/>
      </c>
      <c r="J1988" s="275">
        <f>IF(ISBLANK('ENGAGEMENTS 2026'!B1988),"",IF(AND(OR($E1988="INFRUCTUEUX",$E1988="ANNULE"),$C1988="AOO-M"),'ENGAGEMENTS 2026'!O1988,IF($H1988="EN COURS DE PREENGAGEMENT",'ENGAGEMENTS 2026'!N1988,IF($H1988="PREENGAGE",IF($E1988="ATTRIBUE",'ENGAGEMENTS 2026'!AD1988,'ENGAGEMENTS 2026'!N1988),'ENGAGEMENTS 2026'!AD1988))))</f>
        <v/>
      </c>
      <c r="K1988" s="604">
        <f>IF(ISBLANK('ENGAGEMENTS 2026'!V1988),"",'ENGAGEMENTS 2026'!V1988)</f>
        <v/>
      </c>
      <c r="L1988" s="276">
        <f>IF($K1988="","",TODAY()-$K1988)</f>
        <v/>
      </c>
      <c r="M1988">
        <f>IF($A1988="","",IF($H1988="ENGAGE","Engagé",IF(AND($H1988="NON ENGAGE",OR($I1988="INFRUCTUEUX",$I1988="ANNULE")),"Clôturé sans suite","En cours")))</f>
        <v/>
      </c>
      <c r="N1988">
        <f>IF(ISBLANK('ENGAGEMENTS 2026'!B1988),"",'ENGAGEMENTS 2026'!K1988)</f>
        <v/>
      </c>
      <c r="O1988">
        <f>IF(ISBLANK('ENGAGEMENTS 2026'!B1988),"",'ENGAGEMENTS 2026'!L1988)</f>
        <v/>
      </c>
      <c r="P1988">
        <f>IF(ISBLANK('ENGAGEMENTS 2026'!B1988),"",'ENGAGEMENTS 2026'!J1988)</f>
        <v/>
      </c>
      <c r="Q1988">
        <f>IF($A1988="","",IF(OR($E1988="INFRUCTUEUX",$E1988="ANNULE"),$A1988&amp;"|"&amp;(COUNTIFS($A$2:$A1988,$A1988,$E$2:$E1988,"INFRUCTUEUX")+COUNTIFS($A$2:$A1988,$A1988,$E$2:$E1988,"ANNULE")),""))</f>
        <v/>
      </c>
    </row>
    <row r="1989">
      <c r="A1989">
        <f>IF(ISBLANK('ENGAGEMENTS 2026'!B1989),"",IF('ENGAGEMENTS 2026'!B1989="DTSI","DCT",'ENGAGEMENTS 2026'!B1989))</f>
        <v/>
      </c>
      <c r="B1989">
        <f>IF(ISBLANK('ENGAGEMENTS 2026'!B1989),"",'ENGAGEMENTS 2026'!C1989)</f>
        <v/>
      </c>
      <c r="C1989">
        <f>IF(ISBLANK('ENGAGEMENTS 2026'!B1989),"",'ENGAGEMENTS 2026'!D1989)</f>
        <v/>
      </c>
      <c r="D1989">
        <f>IF(ISBLANK('ENGAGEMENTS 2026'!B1989),"",'ENGAGEMENTS 2026'!F1989)</f>
        <v/>
      </c>
      <c r="E1989">
        <f>IF(ISBLANK('ENGAGEMENTS 2026'!B1989),"",'ENGAGEMENTS 2026'!H1989)</f>
        <v/>
      </c>
      <c r="F1989">
        <f>IF(ISBLANK('ENGAGEMENTS 2026'!B1989),"",'ENGAGEMENTS 2026'!I1989)</f>
        <v/>
      </c>
      <c r="G1989">
        <f>IF(ISBLANK('ENGAGEMENTS 2026'!B1989),"",'ENGAGEMENTS 2026'!L1989)</f>
        <v/>
      </c>
      <c r="H1989">
        <f>IF(ISBLANK('ENGAGEMENTS 2026'!B1989),"",'ENGAGEMENTS 2026'!AE1989)</f>
        <v/>
      </c>
      <c r="I1989">
        <f>IF(ISBLANK('ENGAGEMENTS 2026'!B1989),"",'ENGAGEMENTS 2026'!G1989)</f>
        <v/>
      </c>
      <c r="J1989" s="275">
        <f>IF(ISBLANK('ENGAGEMENTS 2026'!B1989),"",IF(AND(OR($E1989="INFRUCTUEUX",$E1989="ANNULE"),$C1989="AOO-M"),'ENGAGEMENTS 2026'!O1989,IF($H1989="EN COURS DE PREENGAGEMENT",'ENGAGEMENTS 2026'!N1989,IF($H1989="PREENGAGE",IF($E1989="ATTRIBUE",'ENGAGEMENTS 2026'!AD1989,'ENGAGEMENTS 2026'!N1989),'ENGAGEMENTS 2026'!AD1989))))</f>
        <v/>
      </c>
      <c r="K1989" s="604">
        <f>IF(ISBLANK('ENGAGEMENTS 2026'!V1989),"",'ENGAGEMENTS 2026'!V1989)</f>
        <v/>
      </c>
      <c r="L1989" s="276">
        <f>IF($K1989="","",TODAY()-$K1989)</f>
        <v/>
      </c>
      <c r="M1989">
        <f>IF($A1989="","",IF($H1989="ENGAGE","Engagé",IF(AND($H1989="NON ENGAGE",OR($I1989="INFRUCTUEUX",$I1989="ANNULE")),"Clôturé sans suite","En cours")))</f>
        <v/>
      </c>
      <c r="N1989">
        <f>IF(ISBLANK('ENGAGEMENTS 2026'!B1989),"",'ENGAGEMENTS 2026'!K1989)</f>
        <v/>
      </c>
      <c r="O1989">
        <f>IF(ISBLANK('ENGAGEMENTS 2026'!B1989),"",'ENGAGEMENTS 2026'!L1989)</f>
        <v/>
      </c>
      <c r="P1989">
        <f>IF(ISBLANK('ENGAGEMENTS 2026'!B1989),"",'ENGAGEMENTS 2026'!J1989)</f>
        <v/>
      </c>
      <c r="Q1989">
        <f>IF($A1989="","",IF(OR($E1989="INFRUCTUEUX",$E1989="ANNULE"),$A1989&amp;"|"&amp;(COUNTIFS($A$2:$A1989,$A1989,$E$2:$E1989,"INFRUCTUEUX")+COUNTIFS($A$2:$A1989,$A1989,$E$2:$E1989,"ANNULE")),""))</f>
        <v/>
      </c>
    </row>
    <row r="1990">
      <c r="A1990">
        <f>IF(ISBLANK('ENGAGEMENTS 2026'!B1990),"",IF('ENGAGEMENTS 2026'!B1990="DTSI","DCT",'ENGAGEMENTS 2026'!B1990))</f>
        <v/>
      </c>
      <c r="B1990">
        <f>IF(ISBLANK('ENGAGEMENTS 2026'!B1990),"",'ENGAGEMENTS 2026'!C1990)</f>
        <v/>
      </c>
      <c r="C1990">
        <f>IF(ISBLANK('ENGAGEMENTS 2026'!B1990),"",'ENGAGEMENTS 2026'!D1990)</f>
        <v/>
      </c>
      <c r="D1990">
        <f>IF(ISBLANK('ENGAGEMENTS 2026'!B1990),"",'ENGAGEMENTS 2026'!F1990)</f>
        <v/>
      </c>
      <c r="E1990">
        <f>IF(ISBLANK('ENGAGEMENTS 2026'!B1990),"",'ENGAGEMENTS 2026'!H1990)</f>
        <v/>
      </c>
      <c r="F1990">
        <f>IF(ISBLANK('ENGAGEMENTS 2026'!B1990),"",'ENGAGEMENTS 2026'!I1990)</f>
        <v/>
      </c>
      <c r="G1990">
        <f>IF(ISBLANK('ENGAGEMENTS 2026'!B1990),"",'ENGAGEMENTS 2026'!L1990)</f>
        <v/>
      </c>
      <c r="H1990">
        <f>IF(ISBLANK('ENGAGEMENTS 2026'!B1990),"",'ENGAGEMENTS 2026'!AE1990)</f>
        <v/>
      </c>
      <c r="I1990">
        <f>IF(ISBLANK('ENGAGEMENTS 2026'!B1990),"",'ENGAGEMENTS 2026'!G1990)</f>
        <v/>
      </c>
      <c r="J1990" s="275">
        <f>IF(ISBLANK('ENGAGEMENTS 2026'!B1990),"",IF(AND(OR($E1990="INFRUCTUEUX",$E1990="ANNULE"),$C1990="AOO-M"),'ENGAGEMENTS 2026'!O1990,IF($H1990="EN COURS DE PREENGAGEMENT",'ENGAGEMENTS 2026'!N1990,IF($H1990="PREENGAGE",IF($E1990="ATTRIBUE",'ENGAGEMENTS 2026'!AD1990,'ENGAGEMENTS 2026'!N1990),'ENGAGEMENTS 2026'!AD1990))))</f>
        <v/>
      </c>
      <c r="K1990" s="604">
        <f>IF(ISBLANK('ENGAGEMENTS 2026'!V1990),"",'ENGAGEMENTS 2026'!V1990)</f>
        <v/>
      </c>
      <c r="L1990" s="276">
        <f>IF($K1990="","",TODAY()-$K1990)</f>
        <v/>
      </c>
      <c r="M1990">
        <f>IF($A1990="","",IF($H1990="ENGAGE","Engagé",IF(AND($H1990="NON ENGAGE",OR($I1990="INFRUCTUEUX",$I1990="ANNULE")),"Clôturé sans suite","En cours")))</f>
        <v/>
      </c>
      <c r="N1990">
        <f>IF(ISBLANK('ENGAGEMENTS 2026'!B1990),"",'ENGAGEMENTS 2026'!K1990)</f>
        <v/>
      </c>
      <c r="O1990">
        <f>IF(ISBLANK('ENGAGEMENTS 2026'!B1990),"",'ENGAGEMENTS 2026'!L1990)</f>
        <v/>
      </c>
      <c r="P1990">
        <f>IF(ISBLANK('ENGAGEMENTS 2026'!B1990),"",'ENGAGEMENTS 2026'!J1990)</f>
        <v/>
      </c>
      <c r="Q1990">
        <f>IF($A1990="","",IF(OR($E1990="INFRUCTUEUX",$E1990="ANNULE"),$A1990&amp;"|"&amp;(COUNTIFS($A$2:$A1990,$A1990,$E$2:$E1990,"INFRUCTUEUX")+COUNTIFS($A$2:$A1990,$A1990,$E$2:$E1990,"ANNULE")),""))</f>
        <v/>
      </c>
    </row>
    <row r="1991">
      <c r="A1991">
        <f>IF(ISBLANK('ENGAGEMENTS 2026'!B1991),"",IF('ENGAGEMENTS 2026'!B1991="DTSI","DCT",'ENGAGEMENTS 2026'!B1991))</f>
        <v/>
      </c>
      <c r="B1991">
        <f>IF(ISBLANK('ENGAGEMENTS 2026'!B1991),"",'ENGAGEMENTS 2026'!C1991)</f>
        <v/>
      </c>
      <c r="C1991">
        <f>IF(ISBLANK('ENGAGEMENTS 2026'!B1991),"",'ENGAGEMENTS 2026'!D1991)</f>
        <v/>
      </c>
      <c r="D1991">
        <f>IF(ISBLANK('ENGAGEMENTS 2026'!B1991),"",'ENGAGEMENTS 2026'!F1991)</f>
        <v/>
      </c>
      <c r="E1991">
        <f>IF(ISBLANK('ENGAGEMENTS 2026'!B1991),"",'ENGAGEMENTS 2026'!H1991)</f>
        <v/>
      </c>
      <c r="F1991">
        <f>IF(ISBLANK('ENGAGEMENTS 2026'!B1991),"",'ENGAGEMENTS 2026'!I1991)</f>
        <v/>
      </c>
      <c r="G1991">
        <f>IF(ISBLANK('ENGAGEMENTS 2026'!B1991),"",'ENGAGEMENTS 2026'!L1991)</f>
        <v/>
      </c>
      <c r="H1991">
        <f>IF(ISBLANK('ENGAGEMENTS 2026'!B1991),"",'ENGAGEMENTS 2026'!AE1991)</f>
        <v/>
      </c>
      <c r="I1991">
        <f>IF(ISBLANK('ENGAGEMENTS 2026'!B1991),"",'ENGAGEMENTS 2026'!G1991)</f>
        <v/>
      </c>
      <c r="J1991" s="275">
        <f>IF(ISBLANK('ENGAGEMENTS 2026'!B1991),"",IF(AND(OR($E1991="INFRUCTUEUX",$E1991="ANNULE"),$C1991="AOO-M"),'ENGAGEMENTS 2026'!O1991,IF($H1991="EN COURS DE PREENGAGEMENT",'ENGAGEMENTS 2026'!N1991,IF($H1991="PREENGAGE",IF($E1991="ATTRIBUE",'ENGAGEMENTS 2026'!AD1991,'ENGAGEMENTS 2026'!N1991),'ENGAGEMENTS 2026'!AD1991))))</f>
        <v/>
      </c>
      <c r="K1991" s="604">
        <f>IF(ISBLANK('ENGAGEMENTS 2026'!V1991),"",'ENGAGEMENTS 2026'!V1991)</f>
        <v/>
      </c>
      <c r="L1991" s="276">
        <f>IF($K1991="","",TODAY()-$K1991)</f>
        <v/>
      </c>
      <c r="M1991">
        <f>IF($A1991="","",IF($H1991="ENGAGE","Engagé",IF(AND($H1991="NON ENGAGE",OR($I1991="INFRUCTUEUX",$I1991="ANNULE")),"Clôturé sans suite","En cours")))</f>
        <v/>
      </c>
      <c r="N1991">
        <f>IF(ISBLANK('ENGAGEMENTS 2026'!B1991),"",'ENGAGEMENTS 2026'!K1991)</f>
        <v/>
      </c>
      <c r="O1991">
        <f>IF(ISBLANK('ENGAGEMENTS 2026'!B1991),"",'ENGAGEMENTS 2026'!L1991)</f>
        <v/>
      </c>
      <c r="P1991">
        <f>IF(ISBLANK('ENGAGEMENTS 2026'!B1991),"",'ENGAGEMENTS 2026'!J1991)</f>
        <v/>
      </c>
      <c r="Q1991">
        <f>IF($A1991="","",IF(OR($E1991="INFRUCTUEUX",$E1991="ANNULE"),$A1991&amp;"|"&amp;(COUNTIFS($A$2:$A1991,$A1991,$E$2:$E1991,"INFRUCTUEUX")+COUNTIFS($A$2:$A1991,$A1991,$E$2:$E1991,"ANNULE")),""))</f>
        <v/>
      </c>
    </row>
    <row r="1992">
      <c r="A1992">
        <f>IF(ISBLANK('ENGAGEMENTS 2026'!B1992),"",IF('ENGAGEMENTS 2026'!B1992="DTSI","DCT",'ENGAGEMENTS 2026'!B1992))</f>
        <v/>
      </c>
      <c r="B1992">
        <f>IF(ISBLANK('ENGAGEMENTS 2026'!B1992),"",'ENGAGEMENTS 2026'!C1992)</f>
        <v/>
      </c>
      <c r="C1992">
        <f>IF(ISBLANK('ENGAGEMENTS 2026'!B1992),"",'ENGAGEMENTS 2026'!D1992)</f>
        <v/>
      </c>
      <c r="D1992">
        <f>IF(ISBLANK('ENGAGEMENTS 2026'!B1992),"",'ENGAGEMENTS 2026'!F1992)</f>
        <v/>
      </c>
      <c r="E1992">
        <f>IF(ISBLANK('ENGAGEMENTS 2026'!B1992),"",'ENGAGEMENTS 2026'!H1992)</f>
        <v/>
      </c>
      <c r="F1992">
        <f>IF(ISBLANK('ENGAGEMENTS 2026'!B1992),"",'ENGAGEMENTS 2026'!I1992)</f>
        <v/>
      </c>
      <c r="G1992">
        <f>IF(ISBLANK('ENGAGEMENTS 2026'!B1992),"",'ENGAGEMENTS 2026'!L1992)</f>
        <v/>
      </c>
      <c r="H1992">
        <f>IF(ISBLANK('ENGAGEMENTS 2026'!B1992),"",'ENGAGEMENTS 2026'!AE1992)</f>
        <v/>
      </c>
      <c r="I1992">
        <f>IF(ISBLANK('ENGAGEMENTS 2026'!B1992),"",'ENGAGEMENTS 2026'!G1992)</f>
        <v/>
      </c>
      <c r="J1992" s="275">
        <f>IF(ISBLANK('ENGAGEMENTS 2026'!B1992),"",IF(AND(OR($E1992="INFRUCTUEUX",$E1992="ANNULE"),$C1992="AOO-M"),'ENGAGEMENTS 2026'!O1992,IF($H1992="EN COURS DE PREENGAGEMENT",'ENGAGEMENTS 2026'!N1992,IF($H1992="PREENGAGE",IF($E1992="ATTRIBUE",'ENGAGEMENTS 2026'!AD1992,'ENGAGEMENTS 2026'!N1992),'ENGAGEMENTS 2026'!AD1992))))</f>
        <v/>
      </c>
      <c r="K1992" s="604">
        <f>IF(ISBLANK('ENGAGEMENTS 2026'!V1992),"",'ENGAGEMENTS 2026'!V1992)</f>
        <v/>
      </c>
      <c r="L1992" s="276">
        <f>IF($K1992="","",TODAY()-$K1992)</f>
        <v/>
      </c>
      <c r="M1992">
        <f>IF($A1992="","",IF($H1992="ENGAGE","Engagé",IF(AND($H1992="NON ENGAGE",OR($I1992="INFRUCTUEUX",$I1992="ANNULE")),"Clôturé sans suite","En cours")))</f>
        <v/>
      </c>
      <c r="N1992">
        <f>IF(ISBLANK('ENGAGEMENTS 2026'!B1992),"",'ENGAGEMENTS 2026'!K1992)</f>
        <v/>
      </c>
      <c r="O1992">
        <f>IF(ISBLANK('ENGAGEMENTS 2026'!B1992),"",'ENGAGEMENTS 2026'!L1992)</f>
        <v/>
      </c>
      <c r="P1992">
        <f>IF(ISBLANK('ENGAGEMENTS 2026'!B1992),"",'ENGAGEMENTS 2026'!J1992)</f>
        <v/>
      </c>
      <c r="Q1992">
        <f>IF($A1992="","",IF(OR($E1992="INFRUCTUEUX",$E1992="ANNULE"),$A1992&amp;"|"&amp;(COUNTIFS($A$2:$A1992,$A1992,$E$2:$E1992,"INFRUCTUEUX")+COUNTIFS($A$2:$A1992,$A1992,$E$2:$E1992,"ANNULE")),""))</f>
        <v/>
      </c>
    </row>
    <row r="1993">
      <c r="A1993">
        <f>IF(ISBLANK('ENGAGEMENTS 2026'!B1993),"",IF('ENGAGEMENTS 2026'!B1993="DTSI","DCT",'ENGAGEMENTS 2026'!B1993))</f>
        <v/>
      </c>
      <c r="B1993">
        <f>IF(ISBLANK('ENGAGEMENTS 2026'!B1993),"",'ENGAGEMENTS 2026'!C1993)</f>
        <v/>
      </c>
      <c r="C1993">
        <f>IF(ISBLANK('ENGAGEMENTS 2026'!B1993),"",'ENGAGEMENTS 2026'!D1993)</f>
        <v/>
      </c>
      <c r="D1993">
        <f>IF(ISBLANK('ENGAGEMENTS 2026'!B1993),"",'ENGAGEMENTS 2026'!F1993)</f>
        <v/>
      </c>
      <c r="E1993">
        <f>IF(ISBLANK('ENGAGEMENTS 2026'!B1993),"",'ENGAGEMENTS 2026'!H1993)</f>
        <v/>
      </c>
      <c r="F1993">
        <f>IF(ISBLANK('ENGAGEMENTS 2026'!B1993),"",'ENGAGEMENTS 2026'!I1993)</f>
        <v/>
      </c>
      <c r="G1993">
        <f>IF(ISBLANK('ENGAGEMENTS 2026'!B1993),"",'ENGAGEMENTS 2026'!L1993)</f>
        <v/>
      </c>
      <c r="H1993">
        <f>IF(ISBLANK('ENGAGEMENTS 2026'!B1993),"",'ENGAGEMENTS 2026'!AE1993)</f>
        <v/>
      </c>
      <c r="I1993">
        <f>IF(ISBLANK('ENGAGEMENTS 2026'!B1993),"",'ENGAGEMENTS 2026'!G1993)</f>
        <v/>
      </c>
      <c r="J1993" s="275">
        <f>IF(ISBLANK('ENGAGEMENTS 2026'!B1993),"",IF(AND(OR($E1993="INFRUCTUEUX",$E1993="ANNULE"),$C1993="AOO-M"),'ENGAGEMENTS 2026'!O1993,IF($H1993="EN COURS DE PREENGAGEMENT",'ENGAGEMENTS 2026'!N1993,IF($H1993="PREENGAGE",IF($E1993="ATTRIBUE",'ENGAGEMENTS 2026'!AD1993,'ENGAGEMENTS 2026'!N1993),'ENGAGEMENTS 2026'!AD1993))))</f>
        <v/>
      </c>
      <c r="K1993" s="604">
        <f>IF(ISBLANK('ENGAGEMENTS 2026'!V1993),"",'ENGAGEMENTS 2026'!V1993)</f>
        <v/>
      </c>
      <c r="L1993" s="276">
        <f>IF($K1993="","",TODAY()-$K1993)</f>
        <v/>
      </c>
      <c r="M1993">
        <f>IF($A1993="","",IF($H1993="ENGAGE","Engagé",IF(AND($H1993="NON ENGAGE",OR($I1993="INFRUCTUEUX",$I1993="ANNULE")),"Clôturé sans suite","En cours")))</f>
        <v/>
      </c>
      <c r="N1993">
        <f>IF(ISBLANK('ENGAGEMENTS 2026'!B1993),"",'ENGAGEMENTS 2026'!K1993)</f>
        <v/>
      </c>
      <c r="O1993">
        <f>IF(ISBLANK('ENGAGEMENTS 2026'!B1993),"",'ENGAGEMENTS 2026'!L1993)</f>
        <v/>
      </c>
      <c r="P1993">
        <f>IF(ISBLANK('ENGAGEMENTS 2026'!B1993),"",'ENGAGEMENTS 2026'!J1993)</f>
        <v/>
      </c>
      <c r="Q1993">
        <f>IF($A1993="","",IF(OR($E1993="INFRUCTUEUX",$E1993="ANNULE"),$A1993&amp;"|"&amp;(COUNTIFS($A$2:$A1993,$A1993,$E$2:$E1993,"INFRUCTUEUX")+COUNTIFS($A$2:$A1993,$A1993,$E$2:$E1993,"ANNULE")),""))</f>
        <v/>
      </c>
    </row>
    <row r="1994">
      <c r="A1994">
        <f>IF(ISBLANK('ENGAGEMENTS 2026'!B1994),"",IF('ENGAGEMENTS 2026'!B1994="DTSI","DCT",'ENGAGEMENTS 2026'!B1994))</f>
        <v/>
      </c>
      <c r="B1994">
        <f>IF(ISBLANK('ENGAGEMENTS 2026'!B1994),"",'ENGAGEMENTS 2026'!C1994)</f>
        <v/>
      </c>
      <c r="C1994">
        <f>IF(ISBLANK('ENGAGEMENTS 2026'!B1994),"",'ENGAGEMENTS 2026'!D1994)</f>
        <v/>
      </c>
      <c r="D1994">
        <f>IF(ISBLANK('ENGAGEMENTS 2026'!B1994),"",'ENGAGEMENTS 2026'!F1994)</f>
        <v/>
      </c>
      <c r="E1994">
        <f>IF(ISBLANK('ENGAGEMENTS 2026'!B1994),"",'ENGAGEMENTS 2026'!H1994)</f>
        <v/>
      </c>
      <c r="F1994">
        <f>IF(ISBLANK('ENGAGEMENTS 2026'!B1994),"",'ENGAGEMENTS 2026'!I1994)</f>
        <v/>
      </c>
      <c r="G1994">
        <f>IF(ISBLANK('ENGAGEMENTS 2026'!B1994),"",'ENGAGEMENTS 2026'!L1994)</f>
        <v/>
      </c>
      <c r="H1994">
        <f>IF(ISBLANK('ENGAGEMENTS 2026'!B1994),"",'ENGAGEMENTS 2026'!AE1994)</f>
        <v/>
      </c>
      <c r="I1994">
        <f>IF(ISBLANK('ENGAGEMENTS 2026'!B1994),"",'ENGAGEMENTS 2026'!G1994)</f>
        <v/>
      </c>
      <c r="J1994" s="275">
        <f>IF(ISBLANK('ENGAGEMENTS 2026'!B1994),"",IF(AND(OR($E1994="INFRUCTUEUX",$E1994="ANNULE"),$C1994="AOO-M"),'ENGAGEMENTS 2026'!O1994,IF($H1994="EN COURS DE PREENGAGEMENT",'ENGAGEMENTS 2026'!N1994,IF($H1994="PREENGAGE",IF($E1994="ATTRIBUE",'ENGAGEMENTS 2026'!AD1994,'ENGAGEMENTS 2026'!N1994),'ENGAGEMENTS 2026'!AD1994))))</f>
        <v/>
      </c>
      <c r="K1994" s="604">
        <f>IF(ISBLANK('ENGAGEMENTS 2026'!V1994),"",'ENGAGEMENTS 2026'!V1994)</f>
        <v/>
      </c>
      <c r="L1994" s="276">
        <f>IF($K1994="","",TODAY()-$K1994)</f>
        <v/>
      </c>
      <c r="M1994">
        <f>IF($A1994="","",IF($H1994="ENGAGE","Engagé",IF(AND($H1994="NON ENGAGE",OR($I1994="INFRUCTUEUX",$I1994="ANNULE")),"Clôturé sans suite","En cours")))</f>
        <v/>
      </c>
      <c r="N1994">
        <f>IF(ISBLANK('ENGAGEMENTS 2026'!B1994),"",'ENGAGEMENTS 2026'!K1994)</f>
        <v/>
      </c>
      <c r="O1994">
        <f>IF(ISBLANK('ENGAGEMENTS 2026'!B1994),"",'ENGAGEMENTS 2026'!L1994)</f>
        <v/>
      </c>
      <c r="P1994">
        <f>IF(ISBLANK('ENGAGEMENTS 2026'!B1994),"",'ENGAGEMENTS 2026'!J1994)</f>
        <v/>
      </c>
      <c r="Q1994">
        <f>IF($A1994="","",IF(OR($E1994="INFRUCTUEUX",$E1994="ANNULE"),$A1994&amp;"|"&amp;(COUNTIFS($A$2:$A1994,$A1994,$E$2:$E1994,"INFRUCTUEUX")+COUNTIFS($A$2:$A1994,$A1994,$E$2:$E1994,"ANNULE")),""))</f>
        <v/>
      </c>
    </row>
    <row r="1995">
      <c r="A1995">
        <f>IF(ISBLANK('ENGAGEMENTS 2026'!B1995),"",IF('ENGAGEMENTS 2026'!B1995="DTSI","DCT",'ENGAGEMENTS 2026'!B1995))</f>
        <v/>
      </c>
      <c r="B1995">
        <f>IF(ISBLANK('ENGAGEMENTS 2026'!B1995),"",'ENGAGEMENTS 2026'!C1995)</f>
        <v/>
      </c>
      <c r="C1995">
        <f>IF(ISBLANK('ENGAGEMENTS 2026'!B1995),"",'ENGAGEMENTS 2026'!D1995)</f>
        <v/>
      </c>
      <c r="D1995">
        <f>IF(ISBLANK('ENGAGEMENTS 2026'!B1995),"",'ENGAGEMENTS 2026'!F1995)</f>
        <v/>
      </c>
      <c r="E1995">
        <f>IF(ISBLANK('ENGAGEMENTS 2026'!B1995),"",'ENGAGEMENTS 2026'!H1995)</f>
        <v/>
      </c>
      <c r="F1995">
        <f>IF(ISBLANK('ENGAGEMENTS 2026'!B1995),"",'ENGAGEMENTS 2026'!I1995)</f>
        <v/>
      </c>
      <c r="G1995">
        <f>IF(ISBLANK('ENGAGEMENTS 2026'!B1995),"",'ENGAGEMENTS 2026'!L1995)</f>
        <v/>
      </c>
      <c r="H1995">
        <f>IF(ISBLANK('ENGAGEMENTS 2026'!B1995),"",'ENGAGEMENTS 2026'!AE1995)</f>
        <v/>
      </c>
      <c r="I1995">
        <f>IF(ISBLANK('ENGAGEMENTS 2026'!B1995),"",'ENGAGEMENTS 2026'!G1995)</f>
        <v/>
      </c>
      <c r="J1995" s="275">
        <f>IF(ISBLANK('ENGAGEMENTS 2026'!B1995),"",IF(AND(OR($E1995="INFRUCTUEUX",$E1995="ANNULE"),$C1995="AOO-M"),'ENGAGEMENTS 2026'!O1995,IF($H1995="EN COURS DE PREENGAGEMENT",'ENGAGEMENTS 2026'!N1995,IF($H1995="PREENGAGE",IF($E1995="ATTRIBUE",'ENGAGEMENTS 2026'!AD1995,'ENGAGEMENTS 2026'!N1995),'ENGAGEMENTS 2026'!AD1995))))</f>
        <v/>
      </c>
      <c r="K1995" s="604">
        <f>IF(ISBLANK('ENGAGEMENTS 2026'!V1995),"",'ENGAGEMENTS 2026'!V1995)</f>
        <v/>
      </c>
      <c r="L1995" s="276">
        <f>IF($K1995="","",TODAY()-$K1995)</f>
        <v/>
      </c>
      <c r="M1995">
        <f>IF($A1995="","",IF($H1995="ENGAGE","Engagé",IF(AND($H1995="NON ENGAGE",OR($I1995="INFRUCTUEUX",$I1995="ANNULE")),"Clôturé sans suite","En cours")))</f>
        <v/>
      </c>
      <c r="N1995">
        <f>IF(ISBLANK('ENGAGEMENTS 2026'!B1995),"",'ENGAGEMENTS 2026'!K1995)</f>
        <v/>
      </c>
      <c r="O1995">
        <f>IF(ISBLANK('ENGAGEMENTS 2026'!B1995),"",'ENGAGEMENTS 2026'!L1995)</f>
        <v/>
      </c>
      <c r="P1995">
        <f>IF(ISBLANK('ENGAGEMENTS 2026'!B1995),"",'ENGAGEMENTS 2026'!J1995)</f>
        <v/>
      </c>
      <c r="Q1995">
        <f>IF($A1995="","",IF(OR($E1995="INFRUCTUEUX",$E1995="ANNULE"),$A1995&amp;"|"&amp;(COUNTIFS($A$2:$A1995,$A1995,$E$2:$E1995,"INFRUCTUEUX")+COUNTIFS($A$2:$A1995,$A1995,$E$2:$E1995,"ANNULE")),""))</f>
        <v/>
      </c>
    </row>
    <row r="1996">
      <c r="A1996">
        <f>IF(ISBLANK('ENGAGEMENTS 2026'!B1996),"",IF('ENGAGEMENTS 2026'!B1996="DTSI","DCT",'ENGAGEMENTS 2026'!B1996))</f>
        <v/>
      </c>
      <c r="B1996">
        <f>IF(ISBLANK('ENGAGEMENTS 2026'!B1996),"",'ENGAGEMENTS 2026'!C1996)</f>
        <v/>
      </c>
      <c r="C1996">
        <f>IF(ISBLANK('ENGAGEMENTS 2026'!B1996),"",'ENGAGEMENTS 2026'!D1996)</f>
        <v/>
      </c>
      <c r="D1996">
        <f>IF(ISBLANK('ENGAGEMENTS 2026'!B1996),"",'ENGAGEMENTS 2026'!F1996)</f>
        <v/>
      </c>
      <c r="E1996">
        <f>IF(ISBLANK('ENGAGEMENTS 2026'!B1996),"",'ENGAGEMENTS 2026'!H1996)</f>
        <v/>
      </c>
      <c r="F1996">
        <f>IF(ISBLANK('ENGAGEMENTS 2026'!B1996),"",'ENGAGEMENTS 2026'!I1996)</f>
        <v/>
      </c>
      <c r="G1996">
        <f>IF(ISBLANK('ENGAGEMENTS 2026'!B1996),"",'ENGAGEMENTS 2026'!L1996)</f>
        <v/>
      </c>
      <c r="H1996">
        <f>IF(ISBLANK('ENGAGEMENTS 2026'!B1996),"",'ENGAGEMENTS 2026'!AE1996)</f>
        <v/>
      </c>
      <c r="I1996">
        <f>IF(ISBLANK('ENGAGEMENTS 2026'!B1996),"",'ENGAGEMENTS 2026'!G1996)</f>
        <v/>
      </c>
      <c r="J1996" s="275">
        <f>IF(ISBLANK('ENGAGEMENTS 2026'!B1996),"",IF(AND(OR($E1996="INFRUCTUEUX",$E1996="ANNULE"),$C1996="AOO-M"),'ENGAGEMENTS 2026'!O1996,IF($H1996="EN COURS DE PREENGAGEMENT",'ENGAGEMENTS 2026'!N1996,IF($H1996="PREENGAGE",IF($E1996="ATTRIBUE",'ENGAGEMENTS 2026'!AD1996,'ENGAGEMENTS 2026'!N1996),'ENGAGEMENTS 2026'!AD1996))))</f>
        <v/>
      </c>
      <c r="K1996" s="604">
        <f>IF(ISBLANK('ENGAGEMENTS 2026'!V1996),"",'ENGAGEMENTS 2026'!V1996)</f>
        <v/>
      </c>
      <c r="L1996" s="276">
        <f>IF($K1996="","",TODAY()-$K1996)</f>
        <v/>
      </c>
      <c r="M1996">
        <f>IF($A1996="","",IF($H1996="ENGAGE","Engagé",IF(AND($H1996="NON ENGAGE",OR($I1996="INFRUCTUEUX",$I1996="ANNULE")),"Clôturé sans suite","En cours")))</f>
        <v/>
      </c>
      <c r="N1996">
        <f>IF(ISBLANK('ENGAGEMENTS 2026'!B1996),"",'ENGAGEMENTS 2026'!K1996)</f>
        <v/>
      </c>
      <c r="O1996">
        <f>IF(ISBLANK('ENGAGEMENTS 2026'!B1996),"",'ENGAGEMENTS 2026'!L1996)</f>
        <v/>
      </c>
      <c r="P1996">
        <f>IF(ISBLANK('ENGAGEMENTS 2026'!B1996),"",'ENGAGEMENTS 2026'!J1996)</f>
        <v/>
      </c>
      <c r="Q1996">
        <f>IF($A1996="","",IF(OR($E1996="INFRUCTUEUX",$E1996="ANNULE"),$A1996&amp;"|"&amp;(COUNTIFS($A$2:$A1996,$A1996,$E$2:$E1996,"INFRUCTUEUX")+COUNTIFS($A$2:$A1996,$A1996,$E$2:$E1996,"ANNULE")),""))</f>
        <v/>
      </c>
    </row>
    <row r="1997">
      <c r="A1997">
        <f>IF(ISBLANK('ENGAGEMENTS 2026'!B1997),"",IF('ENGAGEMENTS 2026'!B1997="DTSI","DCT",'ENGAGEMENTS 2026'!B1997))</f>
        <v/>
      </c>
      <c r="B1997">
        <f>IF(ISBLANK('ENGAGEMENTS 2026'!B1997),"",'ENGAGEMENTS 2026'!C1997)</f>
        <v/>
      </c>
      <c r="C1997">
        <f>IF(ISBLANK('ENGAGEMENTS 2026'!B1997),"",'ENGAGEMENTS 2026'!D1997)</f>
        <v/>
      </c>
      <c r="D1997">
        <f>IF(ISBLANK('ENGAGEMENTS 2026'!B1997),"",'ENGAGEMENTS 2026'!F1997)</f>
        <v/>
      </c>
      <c r="E1997">
        <f>IF(ISBLANK('ENGAGEMENTS 2026'!B1997),"",'ENGAGEMENTS 2026'!H1997)</f>
        <v/>
      </c>
      <c r="F1997">
        <f>IF(ISBLANK('ENGAGEMENTS 2026'!B1997),"",'ENGAGEMENTS 2026'!I1997)</f>
        <v/>
      </c>
      <c r="G1997">
        <f>IF(ISBLANK('ENGAGEMENTS 2026'!B1997),"",'ENGAGEMENTS 2026'!L1997)</f>
        <v/>
      </c>
      <c r="H1997">
        <f>IF(ISBLANK('ENGAGEMENTS 2026'!B1997),"",'ENGAGEMENTS 2026'!AE1997)</f>
        <v/>
      </c>
      <c r="I1997">
        <f>IF(ISBLANK('ENGAGEMENTS 2026'!B1997),"",'ENGAGEMENTS 2026'!G1997)</f>
        <v/>
      </c>
      <c r="J1997" s="275">
        <f>IF(ISBLANK('ENGAGEMENTS 2026'!B1997),"",IF(AND(OR($E1997="INFRUCTUEUX",$E1997="ANNULE"),$C1997="AOO-M"),'ENGAGEMENTS 2026'!O1997,IF($H1997="EN COURS DE PREENGAGEMENT",'ENGAGEMENTS 2026'!N1997,IF($H1997="PREENGAGE",IF($E1997="ATTRIBUE",'ENGAGEMENTS 2026'!AD1997,'ENGAGEMENTS 2026'!N1997),'ENGAGEMENTS 2026'!AD1997))))</f>
        <v/>
      </c>
      <c r="K1997" s="604">
        <f>IF(ISBLANK('ENGAGEMENTS 2026'!V1997),"",'ENGAGEMENTS 2026'!V1997)</f>
        <v/>
      </c>
      <c r="L1997" s="276">
        <f>IF($K1997="","",TODAY()-$K1997)</f>
        <v/>
      </c>
      <c r="M1997">
        <f>IF($A1997="","",IF($H1997="ENGAGE","Engagé",IF(AND($H1997="NON ENGAGE",OR($I1997="INFRUCTUEUX",$I1997="ANNULE")),"Clôturé sans suite","En cours")))</f>
        <v/>
      </c>
      <c r="N1997">
        <f>IF(ISBLANK('ENGAGEMENTS 2026'!B1997),"",'ENGAGEMENTS 2026'!K1997)</f>
        <v/>
      </c>
      <c r="O1997">
        <f>IF(ISBLANK('ENGAGEMENTS 2026'!B1997),"",'ENGAGEMENTS 2026'!L1997)</f>
        <v/>
      </c>
      <c r="P1997">
        <f>IF(ISBLANK('ENGAGEMENTS 2026'!B1997),"",'ENGAGEMENTS 2026'!J1997)</f>
        <v/>
      </c>
      <c r="Q1997">
        <f>IF($A1997="","",IF(OR($E1997="INFRUCTUEUX",$E1997="ANNULE"),$A1997&amp;"|"&amp;(COUNTIFS($A$2:$A1997,$A1997,$E$2:$E1997,"INFRUCTUEUX")+COUNTIFS($A$2:$A1997,$A1997,$E$2:$E1997,"ANNULE")),""))</f>
        <v/>
      </c>
    </row>
    <row r="1998">
      <c r="A1998">
        <f>IF(ISBLANK('ENGAGEMENTS 2026'!B1998),"",IF('ENGAGEMENTS 2026'!B1998="DTSI","DCT",'ENGAGEMENTS 2026'!B1998))</f>
        <v/>
      </c>
      <c r="B1998">
        <f>IF(ISBLANK('ENGAGEMENTS 2026'!B1998),"",'ENGAGEMENTS 2026'!C1998)</f>
        <v/>
      </c>
      <c r="C1998">
        <f>IF(ISBLANK('ENGAGEMENTS 2026'!B1998),"",'ENGAGEMENTS 2026'!D1998)</f>
        <v/>
      </c>
      <c r="D1998">
        <f>IF(ISBLANK('ENGAGEMENTS 2026'!B1998),"",'ENGAGEMENTS 2026'!F1998)</f>
        <v/>
      </c>
      <c r="E1998">
        <f>IF(ISBLANK('ENGAGEMENTS 2026'!B1998),"",'ENGAGEMENTS 2026'!H1998)</f>
        <v/>
      </c>
      <c r="F1998">
        <f>IF(ISBLANK('ENGAGEMENTS 2026'!B1998),"",'ENGAGEMENTS 2026'!I1998)</f>
        <v/>
      </c>
      <c r="G1998">
        <f>IF(ISBLANK('ENGAGEMENTS 2026'!B1998),"",'ENGAGEMENTS 2026'!L1998)</f>
        <v/>
      </c>
      <c r="H1998">
        <f>IF(ISBLANK('ENGAGEMENTS 2026'!B1998),"",'ENGAGEMENTS 2026'!AE1998)</f>
        <v/>
      </c>
      <c r="I1998">
        <f>IF(ISBLANK('ENGAGEMENTS 2026'!B1998),"",'ENGAGEMENTS 2026'!G1998)</f>
        <v/>
      </c>
      <c r="J1998" s="275">
        <f>IF(ISBLANK('ENGAGEMENTS 2026'!B1998),"",IF(AND(OR($E1998="INFRUCTUEUX",$E1998="ANNULE"),$C1998="AOO-M"),'ENGAGEMENTS 2026'!O1998,IF($H1998="EN COURS DE PREENGAGEMENT",'ENGAGEMENTS 2026'!N1998,IF($H1998="PREENGAGE",IF($E1998="ATTRIBUE",'ENGAGEMENTS 2026'!AD1998,'ENGAGEMENTS 2026'!N1998),'ENGAGEMENTS 2026'!AD1998))))</f>
        <v/>
      </c>
      <c r="K1998" s="604">
        <f>IF(ISBLANK('ENGAGEMENTS 2026'!V1998),"",'ENGAGEMENTS 2026'!V1998)</f>
        <v/>
      </c>
      <c r="L1998" s="276">
        <f>IF($K1998="","",TODAY()-$K1998)</f>
        <v/>
      </c>
      <c r="M1998">
        <f>IF($A1998="","",IF($H1998="ENGAGE","Engagé",IF(AND($H1998="NON ENGAGE",OR($I1998="INFRUCTUEUX",$I1998="ANNULE")),"Clôturé sans suite","En cours")))</f>
        <v/>
      </c>
      <c r="N1998">
        <f>IF(ISBLANK('ENGAGEMENTS 2026'!B1998),"",'ENGAGEMENTS 2026'!K1998)</f>
        <v/>
      </c>
      <c r="O1998">
        <f>IF(ISBLANK('ENGAGEMENTS 2026'!B1998),"",'ENGAGEMENTS 2026'!L1998)</f>
        <v/>
      </c>
      <c r="P1998">
        <f>IF(ISBLANK('ENGAGEMENTS 2026'!B1998),"",'ENGAGEMENTS 2026'!J1998)</f>
        <v/>
      </c>
      <c r="Q1998">
        <f>IF($A1998="","",IF(OR($E1998="INFRUCTUEUX",$E1998="ANNULE"),$A1998&amp;"|"&amp;(COUNTIFS($A$2:$A1998,$A1998,$E$2:$E1998,"INFRUCTUEUX")+COUNTIFS($A$2:$A1998,$A1998,$E$2:$E1998,"ANNULE")),""))</f>
        <v/>
      </c>
    </row>
    <row r="1999">
      <c r="A1999">
        <f>IF(ISBLANK('ENGAGEMENTS 2026'!B1999),"",IF('ENGAGEMENTS 2026'!B1999="DTSI","DCT",'ENGAGEMENTS 2026'!B1999))</f>
        <v/>
      </c>
      <c r="B1999">
        <f>IF(ISBLANK('ENGAGEMENTS 2026'!B1999),"",'ENGAGEMENTS 2026'!C1999)</f>
        <v/>
      </c>
      <c r="C1999">
        <f>IF(ISBLANK('ENGAGEMENTS 2026'!B1999),"",'ENGAGEMENTS 2026'!D1999)</f>
        <v/>
      </c>
      <c r="D1999">
        <f>IF(ISBLANK('ENGAGEMENTS 2026'!B1999),"",'ENGAGEMENTS 2026'!F1999)</f>
        <v/>
      </c>
      <c r="E1999">
        <f>IF(ISBLANK('ENGAGEMENTS 2026'!B1999),"",'ENGAGEMENTS 2026'!H1999)</f>
        <v/>
      </c>
      <c r="F1999">
        <f>IF(ISBLANK('ENGAGEMENTS 2026'!B1999),"",'ENGAGEMENTS 2026'!I1999)</f>
        <v/>
      </c>
      <c r="G1999">
        <f>IF(ISBLANK('ENGAGEMENTS 2026'!B1999),"",'ENGAGEMENTS 2026'!L1999)</f>
        <v/>
      </c>
      <c r="H1999">
        <f>IF(ISBLANK('ENGAGEMENTS 2026'!B1999),"",'ENGAGEMENTS 2026'!AE1999)</f>
        <v/>
      </c>
      <c r="I1999">
        <f>IF(ISBLANK('ENGAGEMENTS 2026'!B1999),"",'ENGAGEMENTS 2026'!G1999)</f>
        <v/>
      </c>
      <c r="J1999" s="275">
        <f>IF(ISBLANK('ENGAGEMENTS 2026'!B1999),"",IF(AND(OR($E1999="INFRUCTUEUX",$E1999="ANNULE"),$C1999="AOO-M"),'ENGAGEMENTS 2026'!O1999,IF($H1999="EN COURS DE PREENGAGEMENT",'ENGAGEMENTS 2026'!N1999,IF($H1999="PREENGAGE",IF($E1999="ATTRIBUE",'ENGAGEMENTS 2026'!AD1999,'ENGAGEMENTS 2026'!N1999),'ENGAGEMENTS 2026'!AD1999))))</f>
        <v/>
      </c>
      <c r="K1999" s="604">
        <f>IF(ISBLANK('ENGAGEMENTS 2026'!V1999),"",'ENGAGEMENTS 2026'!V1999)</f>
        <v/>
      </c>
      <c r="L1999" s="276">
        <f>IF($K1999="","",TODAY()-$K1999)</f>
        <v/>
      </c>
      <c r="M1999">
        <f>IF($A1999="","",IF($H1999="ENGAGE","Engagé",IF(AND($H1999="NON ENGAGE",OR($I1999="INFRUCTUEUX",$I1999="ANNULE")),"Clôturé sans suite","En cours")))</f>
        <v/>
      </c>
      <c r="N1999">
        <f>IF(ISBLANK('ENGAGEMENTS 2026'!B1999),"",'ENGAGEMENTS 2026'!K1999)</f>
        <v/>
      </c>
      <c r="O1999">
        <f>IF(ISBLANK('ENGAGEMENTS 2026'!B1999),"",'ENGAGEMENTS 2026'!L1999)</f>
        <v/>
      </c>
      <c r="P1999">
        <f>IF(ISBLANK('ENGAGEMENTS 2026'!B1999),"",'ENGAGEMENTS 2026'!J1999)</f>
        <v/>
      </c>
      <c r="Q1999">
        <f>IF($A1999="","",IF(OR($E1999="INFRUCTUEUX",$E1999="ANNULE"),$A1999&amp;"|"&amp;(COUNTIFS($A$2:$A1999,$A1999,$E$2:$E1999,"INFRUCTUEUX")+COUNTIFS($A$2:$A1999,$A1999,$E$2:$E1999,"ANNULE")),""))</f>
        <v/>
      </c>
    </row>
    <row r="2000">
      <c r="A2000">
        <f>IF(ISBLANK('ENGAGEMENTS 2026'!B2000),"",IF('ENGAGEMENTS 2026'!B2000="DTSI","DCT",'ENGAGEMENTS 2026'!B2000))</f>
        <v/>
      </c>
      <c r="B2000">
        <f>IF(ISBLANK('ENGAGEMENTS 2026'!B2000),"",'ENGAGEMENTS 2026'!C2000)</f>
        <v/>
      </c>
      <c r="C2000">
        <f>IF(ISBLANK('ENGAGEMENTS 2026'!B2000),"",'ENGAGEMENTS 2026'!D2000)</f>
        <v/>
      </c>
      <c r="D2000">
        <f>IF(ISBLANK('ENGAGEMENTS 2026'!B2000),"",'ENGAGEMENTS 2026'!F2000)</f>
        <v/>
      </c>
      <c r="E2000">
        <f>IF(ISBLANK('ENGAGEMENTS 2026'!B2000),"",'ENGAGEMENTS 2026'!H2000)</f>
        <v/>
      </c>
      <c r="F2000">
        <f>IF(ISBLANK('ENGAGEMENTS 2026'!B2000),"",'ENGAGEMENTS 2026'!I2000)</f>
        <v/>
      </c>
      <c r="G2000">
        <f>IF(ISBLANK('ENGAGEMENTS 2026'!B2000),"",'ENGAGEMENTS 2026'!L2000)</f>
        <v/>
      </c>
      <c r="H2000">
        <f>IF(ISBLANK('ENGAGEMENTS 2026'!B2000),"",'ENGAGEMENTS 2026'!AE2000)</f>
        <v/>
      </c>
      <c r="I2000">
        <f>IF(ISBLANK('ENGAGEMENTS 2026'!B2000),"",'ENGAGEMENTS 2026'!G2000)</f>
        <v/>
      </c>
      <c r="J2000" s="275">
        <f>IF(ISBLANK('ENGAGEMENTS 2026'!B2000),"",IF(AND(OR($E2000="INFRUCTUEUX",$E2000="ANNULE"),$C2000="AOO-M"),'ENGAGEMENTS 2026'!O2000,IF($H2000="EN COURS DE PREENGAGEMENT",'ENGAGEMENTS 2026'!N2000,IF($H2000="PREENGAGE",IF($E2000="ATTRIBUE",'ENGAGEMENTS 2026'!AD2000,'ENGAGEMENTS 2026'!N2000),'ENGAGEMENTS 2026'!AD2000))))</f>
        <v/>
      </c>
      <c r="K2000" s="604">
        <f>IF(ISBLANK('ENGAGEMENTS 2026'!V2000),"",'ENGAGEMENTS 2026'!V2000)</f>
        <v/>
      </c>
      <c r="L2000" s="276">
        <f>IF($K2000="","",TODAY()-$K2000)</f>
        <v/>
      </c>
      <c r="M2000">
        <f>IF($A2000="","",IF($H2000="ENGAGE","Engagé",IF(AND($H2000="NON ENGAGE",OR($I2000="INFRUCTUEUX",$I2000="ANNULE")),"Clôturé sans suite","En cours")))</f>
        <v/>
      </c>
      <c r="N2000">
        <f>IF(ISBLANK('ENGAGEMENTS 2026'!B2000),"",'ENGAGEMENTS 2026'!K2000)</f>
        <v/>
      </c>
      <c r="O2000">
        <f>IF(ISBLANK('ENGAGEMENTS 2026'!B2000),"",'ENGAGEMENTS 2026'!L2000)</f>
        <v/>
      </c>
      <c r="P2000">
        <f>IF(ISBLANK('ENGAGEMENTS 2026'!B2000),"",'ENGAGEMENTS 2026'!J2000)</f>
        <v/>
      </c>
      <c r="Q2000">
        <f>IF($A2000="","",IF(OR($E2000="INFRUCTUEUX",$E2000="ANNULE"),$A2000&amp;"|"&amp;(COUNTIFS($A$2:$A2000,$A2000,$E$2:$E2000,"INFRUCTUEUX")+COUNTIFS($A$2:$A2000,$A2000,$E$2:$E2000,"ANNULE")),""))</f>
        <v/>
      </c>
    </row>
    <row r="2001">
      <c r="A2001">
        <f>IF(ISBLANK('ENGAGEMENTS 2026'!B2001),"",IF('ENGAGEMENTS 2026'!B2001="DTSI","DCT",'ENGAGEMENTS 2026'!B2001))</f>
        <v/>
      </c>
      <c r="B2001">
        <f>IF(ISBLANK('ENGAGEMENTS 2026'!B2001),"",'ENGAGEMENTS 2026'!C2001)</f>
        <v/>
      </c>
      <c r="C2001">
        <f>IF(ISBLANK('ENGAGEMENTS 2026'!B2001),"",'ENGAGEMENTS 2026'!D2001)</f>
        <v/>
      </c>
      <c r="D2001">
        <f>IF(ISBLANK('ENGAGEMENTS 2026'!B2001),"",'ENGAGEMENTS 2026'!F2001)</f>
        <v/>
      </c>
      <c r="E2001">
        <f>IF(ISBLANK('ENGAGEMENTS 2026'!B2001),"",'ENGAGEMENTS 2026'!H2001)</f>
        <v/>
      </c>
      <c r="F2001">
        <f>IF(ISBLANK('ENGAGEMENTS 2026'!B2001),"",'ENGAGEMENTS 2026'!I2001)</f>
        <v/>
      </c>
      <c r="G2001">
        <f>IF(ISBLANK('ENGAGEMENTS 2026'!B2001),"",'ENGAGEMENTS 2026'!L2001)</f>
        <v/>
      </c>
      <c r="H2001">
        <f>IF(ISBLANK('ENGAGEMENTS 2026'!B2001),"",'ENGAGEMENTS 2026'!AE2001)</f>
        <v/>
      </c>
      <c r="I2001">
        <f>IF(ISBLANK('ENGAGEMENTS 2026'!B2001),"",'ENGAGEMENTS 2026'!G2001)</f>
        <v/>
      </c>
      <c r="J2001" s="275">
        <f>IF(ISBLANK('ENGAGEMENTS 2026'!B2001),"",IF(AND(OR($E2001="INFRUCTUEUX",$E2001="ANNULE"),$C2001="AOO-M"),'ENGAGEMENTS 2026'!O2001,IF($H2001="EN COURS DE PREENGAGEMENT",'ENGAGEMENTS 2026'!N2001,IF($H2001="PREENGAGE",IF($E2001="ATTRIBUE",'ENGAGEMENTS 2026'!AD2001,'ENGAGEMENTS 2026'!N2001),'ENGAGEMENTS 2026'!AD2001))))</f>
        <v/>
      </c>
      <c r="K2001" s="604">
        <f>IF(ISBLANK('ENGAGEMENTS 2026'!V2001),"",'ENGAGEMENTS 2026'!V2001)</f>
        <v/>
      </c>
      <c r="L2001" s="276">
        <f>IF($K2001="","",TODAY()-$K2001)</f>
        <v/>
      </c>
      <c r="M2001">
        <f>IF($A2001="","",IF($H2001="ENGAGE","Engagé",IF(AND($H2001="NON ENGAGE",OR($I2001="INFRUCTUEUX",$I2001="ANNULE")),"Clôturé sans suite","En cours")))</f>
        <v/>
      </c>
      <c r="N2001">
        <f>IF(ISBLANK('ENGAGEMENTS 2026'!B2001),"",'ENGAGEMENTS 2026'!K2001)</f>
        <v/>
      </c>
      <c r="O2001">
        <f>IF(ISBLANK('ENGAGEMENTS 2026'!B2001),"",'ENGAGEMENTS 2026'!L2001)</f>
        <v/>
      </c>
      <c r="P2001">
        <f>IF(ISBLANK('ENGAGEMENTS 2026'!B2001),"",'ENGAGEMENTS 2026'!J2001)</f>
        <v/>
      </c>
      <c r="Q2001">
        <f>IF($A2001="","",IF(OR($E2001="INFRUCTUEUX",$E2001="ANNULE"),$A2001&amp;"|"&amp;(COUNTIFS($A$2:$A2001,$A2001,$E$2:$E2001,"INFRUCTUEUX")+COUNTIFS($A$2:$A2001,$A2001,$E$2:$E2001,"ANNULE")),""))</f>
        <v/>
      </c>
    </row>
    <row r="2002">
      <c r="A2002">
        <f>IF(ISBLANK('ENGAGEMENTS 2026'!B2002),"",IF('ENGAGEMENTS 2026'!B2002="DTSI","DCT",'ENGAGEMENTS 2026'!B2002))</f>
        <v/>
      </c>
      <c r="B2002">
        <f>IF(ISBLANK('ENGAGEMENTS 2026'!B2002),"",'ENGAGEMENTS 2026'!C2002)</f>
        <v/>
      </c>
      <c r="C2002">
        <f>IF(ISBLANK('ENGAGEMENTS 2026'!B2002),"",'ENGAGEMENTS 2026'!D2002)</f>
        <v/>
      </c>
      <c r="D2002">
        <f>IF(ISBLANK('ENGAGEMENTS 2026'!B2002),"",'ENGAGEMENTS 2026'!F2002)</f>
        <v/>
      </c>
      <c r="E2002">
        <f>IF(ISBLANK('ENGAGEMENTS 2026'!B2002),"",'ENGAGEMENTS 2026'!H2002)</f>
        <v/>
      </c>
      <c r="F2002">
        <f>IF(ISBLANK('ENGAGEMENTS 2026'!B2002),"",'ENGAGEMENTS 2026'!I2002)</f>
        <v/>
      </c>
      <c r="G2002">
        <f>IF(ISBLANK('ENGAGEMENTS 2026'!B2002),"",'ENGAGEMENTS 2026'!L2002)</f>
        <v/>
      </c>
      <c r="H2002">
        <f>IF(ISBLANK('ENGAGEMENTS 2026'!B2002),"",'ENGAGEMENTS 2026'!AE2002)</f>
        <v/>
      </c>
      <c r="I2002">
        <f>IF(ISBLANK('ENGAGEMENTS 2026'!B2002),"",'ENGAGEMENTS 2026'!G2002)</f>
        <v/>
      </c>
      <c r="J2002" s="275">
        <f>IF(ISBLANK('ENGAGEMENTS 2026'!B2002),"",IF(AND(OR($E2002="INFRUCTUEUX",$E2002="ANNULE"),$C2002="AOO-M"),'ENGAGEMENTS 2026'!O2002,IF($H2002="EN COURS DE PREENGAGEMENT",'ENGAGEMENTS 2026'!N2002,IF($H2002="PREENGAGE",IF($E2002="ATTRIBUE",'ENGAGEMENTS 2026'!AD2002,'ENGAGEMENTS 2026'!N2002),'ENGAGEMENTS 2026'!AD2002))))</f>
        <v/>
      </c>
      <c r="K2002" s="604">
        <f>IF(ISBLANK('ENGAGEMENTS 2026'!V2002),"",'ENGAGEMENTS 2026'!V2002)</f>
        <v/>
      </c>
      <c r="L2002" s="276">
        <f>IF($K2002="","",TODAY()-$K2002)</f>
        <v/>
      </c>
      <c r="M2002">
        <f>IF($A2002="","",IF($H2002="ENGAGE","Engagé",IF(AND($H2002="NON ENGAGE",OR($I2002="INFRUCTUEUX",$I2002="ANNULE")),"Clôturé sans suite","En cours")))</f>
        <v/>
      </c>
      <c r="N2002">
        <f>IF(ISBLANK('ENGAGEMENTS 2026'!B2002),"",'ENGAGEMENTS 2026'!K2002)</f>
        <v/>
      </c>
      <c r="O2002">
        <f>IF(ISBLANK('ENGAGEMENTS 2026'!B2002),"",'ENGAGEMENTS 2026'!L2002)</f>
        <v/>
      </c>
      <c r="P2002">
        <f>IF(ISBLANK('ENGAGEMENTS 2026'!B2002),"",'ENGAGEMENTS 2026'!J2002)</f>
        <v/>
      </c>
      <c r="Q2002">
        <f>IF($A2002="","",IF(OR($E2002="INFRUCTUEUX",$E2002="ANNULE"),$A2002&amp;"|"&amp;(COUNTIFS($A$2:$A2002,$A2002,$E$2:$E2002,"INFRUCTUEUX")+COUNTIFS($A$2:$A2002,$A2002,$E$2:$E2002,"ANNULE")),""))</f>
        <v/>
      </c>
    </row>
    <row r="2003">
      <c r="A2003">
        <f>IF(ISBLANK('ENGAGEMENTS 2026'!B2003),"",IF('ENGAGEMENTS 2026'!B2003="DTSI","DCT",'ENGAGEMENTS 2026'!B2003))</f>
        <v/>
      </c>
      <c r="B2003">
        <f>IF(ISBLANK('ENGAGEMENTS 2026'!B2003),"",'ENGAGEMENTS 2026'!C2003)</f>
        <v/>
      </c>
      <c r="C2003">
        <f>IF(ISBLANK('ENGAGEMENTS 2026'!B2003),"",'ENGAGEMENTS 2026'!D2003)</f>
        <v/>
      </c>
      <c r="D2003">
        <f>IF(ISBLANK('ENGAGEMENTS 2026'!B2003),"",'ENGAGEMENTS 2026'!F2003)</f>
        <v/>
      </c>
      <c r="E2003">
        <f>IF(ISBLANK('ENGAGEMENTS 2026'!B2003),"",'ENGAGEMENTS 2026'!H2003)</f>
        <v/>
      </c>
      <c r="F2003">
        <f>IF(ISBLANK('ENGAGEMENTS 2026'!B2003),"",'ENGAGEMENTS 2026'!I2003)</f>
        <v/>
      </c>
      <c r="G2003">
        <f>IF(ISBLANK('ENGAGEMENTS 2026'!B2003),"",'ENGAGEMENTS 2026'!L2003)</f>
        <v/>
      </c>
      <c r="H2003">
        <f>IF(ISBLANK('ENGAGEMENTS 2026'!B2003),"",'ENGAGEMENTS 2026'!AE2003)</f>
        <v/>
      </c>
      <c r="I2003">
        <f>IF(ISBLANK('ENGAGEMENTS 2026'!B2003),"",'ENGAGEMENTS 2026'!G2003)</f>
        <v/>
      </c>
      <c r="J2003" s="275">
        <f>IF(ISBLANK('ENGAGEMENTS 2026'!B2003),"",IF(AND(OR($E2003="INFRUCTUEUX",$E2003="ANNULE"),$C2003="AOO-M"),'ENGAGEMENTS 2026'!O2003,IF($H2003="EN COURS DE PREENGAGEMENT",'ENGAGEMENTS 2026'!N2003,IF($H2003="PREENGAGE",IF($E2003="ATTRIBUE",'ENGAGEMENTS 2026'!AD2003,'ENGAGEMENTS 2026'!N2003),'ENGAGEMENTS 2026'!AD2003))))</f>
        <v/>
      </c>
      <c r="K2003" s="604">
        <f>IF(ISBLANK('ENGAGEMENTS 2026'!V2003),"",'ENGAGEMENTS 2026'!V2003)</f>
        <v/>
      </c>
      <c r="L2003" s="276">
        <f>IF($K2003="","",TODAY()-$K2003)</f>
        <v/>
      </c>
      <c r="M2003">
        <f>IF($A2003="","",IF($H2003="ENGAGE","Engagé",IF(AND($H2003="NON ENGAGE",OR($I2003="INFRUCTUEUX",$I2003="ANNULE")),"Clôturé sans suite","En cours")))</f>
        <v/>
      </c>
      <c r="N2003">
        <f>IF(ISBLANK('ENGAGEMENTS 2026'!B2003),"",'ENGAGEMENTS 2026'!K2003)</f>
        <v/>
      </c>
      <c r="O2003">
        <f>IF(ISBLANK('ENGAGEMENTS 2026'!B2003),"",'ENGAGEMENTS 2026'!L2003)</f>
        <v/>
      </c>
      <c r="P2003">
        <f>IF(ISBLANK('ENGAGEMENTS 2026'!B2003),"",'ENGAGEMENTS 2026'!J2003)</f>
        <v/>
      </c>
      <c r="Q2003">
        <f>IF($A2003="","",IF(OR($E2003="INFRUCTUEUX",$E2003="ANNULE"),$A2003&amp;"|"&amp;(COUNTIFS($A$2:$A2003,$A2003,$E$2:$E2003,"INFRUCTUEUX")+COUNTIFS($A$2:$A2003,$A2003,$E$2:$E2003,"ANNULE")),""))</f>
        <v/>
      </c>
    </row>
    <row r="2004">
      <c r="A2004">
        <f>IF(ISBLANK('ENGAGEMENTS 2026'!B2004),"",IF('ENGAGEMENTS 2026'!B2004="DTSI","DCT",'ENGAGEMENTS 2026'!B2004))</f>
        <v/>
      </c>
      <c r="B2004">
        <f>IF(ISBLANK('ENGAGEMENTS 2026'!B2004),"",'ENGAGEMENTS 2026'!C2004)</f>
        <v/>
      </c>
      <c r="C2004">
        <f>IF(ISBLANK('ENGAGEMENTS 2026'!B2004),"",'ENGAGEMENTS 2026'!D2004)</f>
        <v/>
      </c>
      <c r="D2004">
        <f>IF(ISBLANK('ENGAGEMENTS 2026'!B2004),"",'ENGAGEMENTS 2026'!F2004)</f>
        <v/>
      </c>
      <c r="E2004">
        <f>IF(ISBLANK('ENGAGEMENTS 2026'!B2004),"",'ENGAGEMENTS 2026'!H2004)</f>
        <v/>
      </c>
      <c r="F2004">
        <f>IF(ISBLANK('ENGAGEMENTS 2026'!B2004),"",'ENGAGEMENTS 2026'!I2004)</f>
        <v/>
      </c>
      <c r="G2004">
        <f>IF(ISBLANK('ENGAGEMENTS 2026'!B2004),"",'ENGAGEMENTS 2026'!L2004)</f>
        <v/>
      </c>
      <c r="H2004">
        <f>IF(ISBLANK('ENGAGEMENTS 2026'!B2004),"",'ENGAGEMENTS 2026'!AE2004)</f>
        <v/>
      </c>
      <c r="I2004">
        <f>IF(ISBLANK('ENGAGEMENTS 2026'!B2004),"",'ENGAGEMENTS 2026'!G2004)</f>
        <v/>
      </c>
      <c r="J2004" s="275">
        <f>IF(ISBLANK('ENGAGEMENTS 2026'!B2004),"",IF(AND(OR($E2004="INFRUCTUEUX",$E2004="ANNULE"),$C2004="AOO-M"),'ENGAGEMENTS 2026'!O2004,IF($H2004="EN COURS DE PREENGAGEMENT",'ENGAGEMENTS 2026'!N2004,IF($H2004="PREENGAGE",IF($E2004="ATTRIBUE",'ENGAGEMENTS 2026'!AD2004,'ENGAGEMENTS 2026'!N2004),'ENGAGEMENTS 2026'!AD2004))))</f>
        <v/>
      </c>
      <c r="K2004" s="604">
        <f>IF(ISBLANK('ENGAGEMENTS 2026'!V2004),"",'ENGAGEMENTS 2026'!V2004)</f>
        <v/>
      </c>
      <c r="L2004" s="276">
        <f>IF($K2004="","",TODAY()-$K2004)</f>
        <v/>
      </c>
      <c r="M2004">
        <f>IF($A2004="","",IF($H2004="ENGAGE","Engagé",IF(AND($H2004="NON ENGAGE",OR($I2004="INFRUCTUEUX",$I2004="ANNULE")),"Clôturé sans suite","En cours")))</f>
        <v/>
      </c>
      <c r="N2004">
        <f>IF(ISBLANK('ENGAGEMENTS 2026'!B2004),"",'ENGAGEMENTS 2026'!K2004)</f>
        <v/>
      </c>
      <c r="O2004">
        <f>IF(ISBLANK('ENGAGEMENTS 2026'!B2004),"",'ENGAGEMENTS 2026'!L2004)</f>
        <v/>
      </c>
      <c r="P2004">
        <f>IF(ISBLANK('ENGAGEMENTS 2026'!B2004),"",'ENGAGEMENTS 2026'!J2004)</f>
        <v/>
      </c>
      <c r="Q2004">
        <f>IF($A2004="","",IF(OR($E2004="INFRUCTUEUX",$E2004="ANNULE"),$A2004&amp;"|"&amp;(COUNTIFS($A$2:$A2004,$A2004,$E$2:$E2004,"INFRUCTUEUX")+COUNTIFS($A$2:$A2004,$A2004,$E$2:$E2004,"ANNULE")),""))</f>
        <v/>
      </c>
    </row>
    <row r="2005">
      <c r="A2005">
        <f>IF(ISBLANK('ENGAGEMENTS 2026'!B2005),"",IF('ENGAGEMENTS 2026'!B2005="DTSI","DCT",'ENGAGEMENTS 2026'!B2005))</f>
        <v/>
      </c>
      <c r="B2005">
        <f>IF(ISBLANK('ENGAGEMENTS 2026'!B2005),"",'ENGAGEMENTS 2026'!C2005)</f>
        <v/>
      </c>
      <c r="C2005">
        <f>IF(ISBLANK('ENGAGEMENTS 2026'!B2005),"",'ENGAGEMENTS 2026'!D2005)</f>
        <v/>
      </c>
      <c r="D2005">
        <f>IF(ISBLANK('ENGAGEMENTS 2026'!B2005),"",'ENGAGEMENTS 2026'!F2005)</f>
        <v/>
      </c>
      <c r="E2005">
        <f>IF(ISBLANK('ENGAGEMENTS 2026'!B2005),"",'ENGAGEMENTS 2026'!H2005)</f>
        <v/>
      </c>
      <c r="F2005">
        <f>IF(ISBLANK('ENGAGEMENTS 2026'!B2005),"",'ENGAGEMENTS 2026'!I2005)</f>
        <v/>
      </c>
      <c r="G2005">
        <f>IF(ISBLANK('ENGAGEMENTS 2026'!B2005),"",'ENGAGEMENTS 2026'!L2005)</f>
        <v/>
      </c>
      <c r="H2005">
        <f>IF(ISBLANK('ENGAGEMENTS 2026'!B2005),"",'ENGAGEMENTS 2026'!AE2005)</f>
        <v/>
      </c>
      <c r="I2005">
        <f>IF(ISBLANK('ENGAGEMENTS 2026'!B2005),"",'ENGAGEMENTS 2026'!G2005)</f>
        <v/>
      </c>
      <c r="J2005" s="275">
        <f>IF(ISBLANK('ENGAGEMENTS 2026'!B2005),"",IF(AND(OR($E2005="INFRUCTUEUX",$E2005="ANNULE"),$C2005="AOO-M"),'ENGAGEMENTS 2026'!O2005,IF($H2005="EN COURS DE PREENGAGEMENT",'ENGAGEMENTS 2026'!N2005,IF($H2005="PREENGAGE",IF($E2005="ATTRIBUE",'ENGAGEMENTS 2026'!AD2005,'ENGAGEMENTS 2026'!N2005),'ENGAGEMENTS 2026'!AD2005))))</f>
        <v/>
      </c>
      <c r="K2005" s="604">
        <f>IF(ISBLANK('ENGAGEMENTS 2026'!V2005),"",'ENGAGEMENTS 2026'!V2005)</f>
        <v/>
      </c>
      <c r="L2005" s="276">
        <f>IF($K2005="","",TODAY()-$K2005)</f>
        <v/>
      </c>
      <c r="M2005">
        <f>IF($A2005="","",IF($H2005="ENGAGE","Engagé",IF(AND($H2005="NON ENGAGE",OR($I2005="INFRUCTUEUX",$I2005="ANNULE")),"Clôturé sans suite","En cours")))</f>
        <v/>
      </c>
      <c r="N2005">
        <f>IF(ISBLANK('ENGAGEMENTS 2026'!B2005),"",'ENGAGEMENTS 2026'!K2005)</f>
        <v/>
      </c>
      <c r="O2005">
        <f>IF(ISBLANK('ENGAGEMENTS 2026'!B2005),"",'ENGAGEMENTS 2026'!L2005)</f>
        <v/>
      </c>
      <c r="P2005">
        <f>IF(ISBLANK('ENGAGEMENTS 2026'!B2005),"",'ENGAGEMENTS 2026'!J2005)</f>
        <v/>
      </c>
      <c r="Q2005">
        <f>IF($A2005="","",IF(OR($E2005="INFRUCTUEUX",$E2005="ANNULE"),$A2005&amp;"|"&amp;(COUNTIFS($A$2:$A2005,$A2005,$E$2:$E2005,"INFRUCTUEUX")+COUNTIFS($A$2:$A2005,$A2005,$E$2:$E2005,"ANNULE")),""))</f>
        <v/>
      </c>
    </row>
    <row r="2006">
      <c r="A2006">
        <f>IF(ISBLANK('ENGAGEMENTS 2026'!B2006),"",IF('ENGAGEMENTS 2026'!B2006="DTSI","DCT",'ENGAGEMENTS 2026'!B2006))</f>
        <v/>
      </c>
      <c r="B2006">
        <f>IF(ISBLANK('ENGAGEMENTS 2026'!B2006),"",'ENGAGEMENTS 2026'!C2006)</f>
        <v/>
      </c>
      <c r="C2006">
        <f>IF(ISBLANK('ENGAGEMENTS 2026'!B2006),"",'ENGAGEMENTS 2026'!D2006)</f>
        <v/>
      </c>
      <c r="D2006">
        <f>IF(ISBLANK('ENGAGEMENTS 2026'!B2006),"",'ENGAGEMENTS 2026'!F2006)</f>
        <v/>
      </c>
      <c r="E2006">
        <f>IF(ISBLANK('ENGAGEMENTS 2026'!B2006),"",'ENGAGEMENTS 2026'!H2006)</f>
        <v/>
      </c>
      <c r="F2006">
        <f>IF(ISBLANK('ENGAGEMENTS 2026'!B2006),"",'ENGAGEMENTS 2026'!I2006)</f>
        <v/>
      </c>
      <c r="G2006">
        <f>IF(ISBLANK('ENGAGEMENTS 2026'!B2006),"",'ENGAGEMENTS 2026'!L2006)</f>
        <v/>
      </c>
      <c r="H2006">
        <f>IF(ISBLANK('ENGAGEMENTS 2026'!B2006),"",'ENGAGEMENTS 2026'!AE2006)</f>
        <v/>
      </c>
      <c r="I2006">
        <f>IF(ISBLANK('ENGAGEMENTS 2026'!B2006),"",'ENGAGEMENTS 2026'!G2006)</f>
        <v/>
      </c>
      <c r="J2006" s="275">
        <f>IF(ISBLANK('ENGAGEMENTS 2026'!B2006),"",IF(AND(OR($E2006="INFRUCTUEUX",$E2006="ANNULE"),$C2006="AOO-M"),'ENGAGEMENTS 2026'!O2006,IF($H2006="EN COURS DE PREENGAGEMENT",'ENGAGEMENTS 2026'!N2006,IF($H2006="PREENGAGE",IF($E2006="ATTRIBUE",'ENGAGEMENTS 2026'!AD2006,'ENGAGEMENTS 2026'!N2006),'ENGAGEMENTS 2026'!AD2006))))</f>
        <v/>
      </c>
      <c r="K2006" s="604">
        <f>IF(ISBLANK('ENGAGEMENTS 2026'!V2006),"",'ENGAGEMENTS 2026'!V2006)</f>
        <v/>
      </c>
      <c r="L2006" s="276">
        <f>IF($K2006="","",TODAY()-$K2006)</f>
        <v/>
      </c>
      <c r="M2006">
        <f>IF($A2006="","",IF($H2006="ENGAGE","Engagé",IF(AND($H2006="NON ENGAGE",OR($I2006="INFRUCTUEUX",$I2006="ANNULE")),"Clôturé sans suite","En cours")))</f>
        <v/>
      </c>
      <c r="N2006">
        <f>IF(ISBLANK('ENGAGEMENTS 2026'!B2006),"",'ENGAGEMENTS 2026'!K2006)</f>
        <v/>
      </c>
      <c r="O2006">
        <f>IF(ISBLANK('ENGAGEMENTS 2026'!B2006),"",'ENGAGEMENTS 2026'!L2006)</f>
        <v/>
      </c>
      <c r="P2006">
        <f>IF(ISBLANK('ENGAGEMENTS 2026'!B2006),"",'ENGAGEMENTS 2026'!J2006)</f>
        <v/>
      </c>
      <c r="Q2006">
        <f>IF($A2006="","",IF(OR($E2006="INFRUCTUEUX",$E2006="ANNULE"),$A2006&amp;"|"&amp;(COUNTIFS($A$2:$A2006,$A2006,$E$2:$E2006,"INFRUCTUEUX")+COUNTIFS($A$2:$A2006,$A2006,$E$2:$E2006,"ANNULE")),""))</f>
        <v/>
      </c>
    </row>
    <row r="2007">
      <c r="A2007">
        <f>IF(ISBLANK('ENGAGEMENTS 2026'!B2007),"",IF('ENGAGEMENTS 2026'!B2007="DTSI","DCT",'ENGAGEMENTS 2026'!B2007))</f>
        <v/>
      </c>
      <c r="B2007">
        <f>IF(ISBLANK('ENGAGEMENTS 2026'!B2007),"",'ENGAGEMENTS 2026'!C2007)</f>
        <v/>
      </c>
      <c r="C2007">
        <f>IF(ISBLANK('ENGAGEMENTS 2026'!B2007),"",'ENGAGEMENTS 2026'!D2007)</f>
        <v/>
      </c>
      <c r="D2007">
        <f>IF(ISBLANK('ENGAGEMENTS 2026'!B2007),"",'ENGAGEMENTS 2026'!F2007)</f>
        <v/>
      </c>
      <c r="E2007">
        <f>IF(ISBLANK('ENGAGEMENTS 2026'!B2007),"",'ENGAGEMENTS 2026'!H2007)</f>
        <v/>
      </c>
      <c r="F2007">
        <f>IF(ISBLANK('ENGAGEMENTS 2026'!B2007),"",'ENGAGEMENTS 2026'!I2007)</f>
        <v/>
      </c>
      <c r="G2007">
        <f>IF(ISBLANK('ENGAGEMENTS 2026'!B2007),"",'ENGAGEMENTS 2026'!L2007)</f>
        <v/>
      </c>
      <c r="H2007">
        <f>IF(ISBLANK('ENGAGEMENTS 2026'!B2007),"",'ENGAGEMENTS 2026'!AE2007)</f>
        <v/>
      </c>
      <c r="I2007">
        <f>IF(ISBLANK('ENGAGEMENTS 2026'!B2007),"",'ENGAGEMENTS 2026'!G2007)</f>
        <v/>
      </c>
      <c r="J2007" s="275">
        <f>IF(ISBLANK('ENGAGEMENTS 2026'!B2007),"",IF(AND(OR($E2007="INFRUCTUEUX",$E2007="ANNULE"),$C2007="AOO-M"),'ENGAGEMENTS 2026'!O2007,IF($H2007="EN COURS DE PREENGAGEMENT",'ENGAGEMENTS 2026'!N2007,IF($H2007="PREENGAGE",IF($E2007="ATTRIBUE",'ENGAGEMENTS 2026'!AD2007,'ENGAGEMENTS 2026'!N2007),'ENGAGEMENTS 2026'!AD2007))))</f>
        <v/>
      </c>
      <c r="K2007" s="604">
        <f>IF(ISBLANK('ENGAGEMENTS 2026'!V2007),"",'ENGAGEMENTS 2026'!V2007)</f>
        <v/>
      </c>
      <c r="L2007" s="276">
        <f>IF($K2007="","",TODAY()-$K2007)</f>
        <v/>
      </c>
      <c r="M2007">
        <f>IF($A2007="","",IF($H2007="ENGAGE","Engagé",IF(AND($H2007="NON ENGAGE",OR($I2007="INFRUCTUEUX",$I2007="ANNULE")),"Clôturé sans suite","En cours")))</f>
        <v/>
      </c>
      <c r="N2007">
        <f>IF(ISBLANK('ENGAGEMENTS 2026'!B2007),"",'ENGAGEMENTS 2026'!K2007)</f>
        <v/>
      </c>
      <c r="O2007">
        <f>IF(ISBLANK('ENGAGEMENTS 2026'!B2007),"",'ENGAGEMENTS 2026'!L2007)</f>
        <v/>
      </c>
      <c r="P2007">
        <f>IF(ISBLANK('ENGAGEMENTS 2026'!B2007),"",'ENGAGEMENTS 2026'!J2007)</f>
        <v/>
      </c>
      <c r="Q2007">
        <f>IF($A2007="","",IF(OR($E2007="INFRUCTUEUX",$E2007="ANNULE"),$A2007&amp;"|"&amp;(COUNTIFS($A$2:$A2007,$A2007,$E$2:$E2007,"INFRUCTUEUX")+COUNTIFS($A$2:$A2007,$A2007,$E$2:$E2007,"ANNULE")),""))</f>
        <v/>
      </c>
    </row>
    <row r="2008">
      <c r="A2008">
        <f>IF(ISBLANK('ENGAGEMENTS 2026'!B2008),"",IF('ENGAGEMENTS 2026'!B2008="DTSI","DCT",'ENGAGEMENTS 2026'!B2008))</f>
        <v/>
      </c>
      <c r="B2008">
        <f>IF(ISBLANK('ENGAGEMENTS 2026'!B2008),"",'ENGAGEMENTS 2026'!C2008)</f>
        <v/>
      </c>
      <c r="C2008">
        <f>IF(ISBLANK('ENGAGEMENTS 2026'!B2008),"",'ENGAGEMENTS 2026'!D2008)</f>
        <v/>
      </c>
      <c r="D2008">
        <f>IF(ISBLANK('ENGAGEMENTS 2026'!B2008),"",'ENGAGEMENTS 2026'!F2008)</f>
        <v/>
      </c>
      <c r="E2008">
        <f>IF(ISBLANK('ENGAGEMENTS 2026'!B2008),"",'ENGAGEMENTS 2026'!H2008)</f>
        <v/>
      </c>
      <c r="F2008">
        <f>IF(ISBLANK('ENGAGEMENTS 2026'!B2008),"",'ENGAGEMENTS 2026'!I2008)</f>
        <v/>
      </c>
      <c r="G2008">
        <f>IF(ISBLANK('ENGAGEMENTS 2026'!B2008),"",'ENGAGEMENTS 2026'!L2008)</f>
        <v/>
      </c>
      <c r="H2008">
        <f>IF(ISBLANK('ENGAGEMENTS 2026'!B2008),"",'ENGAGEMENTS 2026'!AE2008)</f>
        <v/>
      </c>
      <c r="I2008">
        <f>IF(ISBLANK('ENGAGEMENTS 2026'!B2008),"",'ENGAGEMENTS 2026'!G2008)</f>
        <v/>
      </c>
      <c r="J2008" s="275">
        <f>IF(ISBLANK('ENGAGEMENTS 2026'!B2008),"",IF(AND(OR($E2008="INFRUCTUEUX",$E2008="ANNULE"),$C2008="AOO-M"),'ENGAGEMENTS 2026'!O2008,IF($H2008="EN COURS DE PREENGAGEMENT",'ENGAGEMENTS 2026'!N2008,IF($H2008="PREENGAGE",IF($E2008="ATTRIBUE",'ENGAGEMENTS 2026'!AD2008,'ENGAGEMENTS 2026'!N2008),'ENGAGEMENTS 2026'!AD2008))))</f>
        <v/>
      </c>
      <c r="K2008" s="604">
        <f>IF(ISBLANK('ENGAGEMENTS 2026'!V2008),"",'ENGAGEMENTS 2026'!V2008)</f>
        <v/>
      </c>
      <c r="L2008" s="276">
        <f>IF($K2008="","",TODAY()-$K2008)</f>
        <v/>
      </c>
      <c r="M2008">
        <f>IF($A2008="","",IF($H2008="ENGAGE","Engagé",IF(AND($H2008="NON ENGAGE",OR($I2008="INFRUCTUEUX",$I2008="ANNULE")),"Clôturé sans suite","En cours")))</f>
        <v/>
      </c>
      <c r="N2008">
        <f>IF(ISBLANK('ENGAGEMENTS 2026'!B2008),"",'ENGAGEMENTS 2026'!K2008)</f>
        <v/>
      </c>
      <c r="O2008">
        <f>IF(ISBLANK('ENGAGEMENTS 2026'!B2008),"",'ENGAGEMENTS 2026'!L2008)</f>
        <v/>
      </c>
      <c r="P2008">
        <f>IF(ISBLANK('ENGAGEMENTS 2026'!B2008),"",'ENGAGEMENTS 2026'!J2008)</f>
        <v/>
      </c>
      <c r="Q2008">
        <f>IF($A2008="","",IF(OR($E2008="INFRUCTUEUX",$E2008="ANNULE"),$A2008&amp;"|"&amp;(COUNTIFS($A$2:$A2008,$A2008,$E$2:$E2008,"INFRUCTUEUX")+COUNTIFS($A$2:$A2008,$A2008,$E$2:$E2008,"ANNULE")),""))</f>
        <v/>
      </c>
    </row>
    <row r="2009">
      <c r="A2009">
        <f>IF(ISBLANK('ENGAGEMENTS 2026'!B2009),"",IF('ENGAGEMENTS 2026'!B2009="DTSI","DCT",'ENGAGEMENTS 2026'!B2009))</f>
        <v/>
      </c>
      <c r="B2009">
        <f>IF(ISBLANK('ENGAGEMENTS 2026'!B2009),"",'ENGAGEMENTS 2026'!C2009)</f>
        <v/>
      </c>
      <c r="C2009">
        <f>IF(ISBLANK('ENGAGEMENTS 2026'!B2009),"",'ENGAGEMENTS 2026'!D2009)</f>
        <v/>
      </c>
      <c r="D2009">
        <f>IF(ISBLANK('ENGAGEMENTS 2026'!B2009),"",'ENGAGEMENTS 2026'!F2009)</f>
        <v/>
      </c>
      <c r="E2009">
        <f>IF(ISBLANK('ENGAGEMENTS 2026'!B2009),"",'ENGAGEMENTS 2026'!H2009)</f>
        <v/>
      </c>
      <c r="F2009">
        <f>IF(ISBLANK('ENGAGEMENTS 2026'!B2009),"",'ENGAGEMENTS 2026'!I2009)</f>
        <v/>
      </c>
      <c r="G2009">
        <f>IF(ISBLANK('ENGAGEMENTS 2026'!B2009),"",'ENGAGEMENTS 2026'!L2009)</f>
        <v/>
      </c>
      <c r="H2009">
        <f>IF(ISBLANK('ENGAGEMENTS 2026'!B2009),"",'ENGAGEMENTS 2026'!AE2009)</f>
        <v/>
      </c>
      <c r="I2009">
        <f>IF(ISBLANK('ENGAGEMENTS 2026'!B2009),"",'ENGAGEMENTS 2026'!G2009)</f>
        <v/>
      </c>
      <c r="J2009" s="275">
        <f>IF(ISBLANK('ENGAGEMENTS 2026'!B2009),"",IF(AND(OR($E2009="INFRUCTUEUX",$E2009="ANNULE"),$C2009="AOO-M"),'ENGAGEMENTS 2026'!O2009,IF($H2009="EN COURS DE PREENGAGEMENT",'ENGAGEMENTS 2026'!N2009,IF($H2009="PREENGAGE",IF($E2009="ATTRIBUE",'ENGAGEMENTS 2026'!AD2009,'ENGAGEMENTS 2026'!N2009),'ENGAGEMENTS 2026'!AD2009))))</f>
        <v/>
      </c>
      <c r="K2009" s="604">
        <f>IF(ISBLANK('ENGAGEMENTS 2026'!V2009),"",'ENGAGEMENTS 2026'!V2009)</f>
        <v/>
      </c>
      <c r="L2009" s="276">
        <f>IF($K2009="","",TODAY()-$K2009)</f>
        <v/>
      </c>
      <c r="M2009">
        <f>IF($A2009="","",IF($H2009="ENGAGE","Engagé",IF(AND($H2009="NON ENGAGE",OR($I2009="INFRUCTUEUX",$I2009="ANNULE")),"Clôturé sans suite","En cours")))</f>
        <v/>
      </c>
      <c r="N2009">
        <f>IF(ISBLANK('ENGAGEMENTS 2026'!B2009),"",'ENGAGEMENTS 2026'!K2009)</f>
        <v/>
      </c>
      <c r="O2009">
        <f>IF(ISBLANK('ENGAGEMENTS 2026'!B2009),"",'ENGAGEMENTS 2026'!L2009)</f>
        <v/>
      </c>
      <c r="P2009">
        <f>IF(ISBLANK('ENGAGEMENTS 2026'!B2009),"",'ENGAGEMENTS 2026'!J2009)</f>
        <v/>
      </c>
      <c r="Q2009">
        <f>IF($A2009="","",IF(OR($E2009="INFRUCTUEUX",$E2009="ANNULE"),$A2009&amp;"|"&amp;(COUNTIFS($A$2:$A2009,$A2009,$E$2:$E2009,"INFRUCTUEUX")+COUNTIFS($A$2:$A2009,$A2009,$E$2:$E2009,"ANNULE")),""))</f>
        <v/>
      </c>
    </row>
    <row r="2010">
      <c r="A2010">
        <f>IF(ISBLANK('ENGAGEMENTS 2026'!B2010),"",IF('ENGAGEMENTS 2026'!B2010="DTSI","DCT",'ENGAGEMENTS 2026'!B2010))</f>
        <v/>
      </c>
      <c r="B2010">
        <f>IF(ISBLANK('ENGAGEMENTS 2026'!B2010),"",'ENGAGEMENTS 2026'!C2010)</f>
        <v/>
      </c>
      <c r="C2010">
        <f>IF(ISBLANK('ENGAGEMENTS 2026'!B2010),"",'ENGAGEMENTS 2026'!D2010)</f>
        <v/>
      </c>
      <c r="D2010">
        <f>IF(ISBLANK('ENGAGEMENTS 2026'!B2010),"",'ENGAGEMENTS 2026'!F2010)</f>
        <v/>
      </c>
      <c r="E2010">
        <f>IF(ISBLANK('ENGAGEMENTS 2026'!B2010),"",'ENGAGEMENTS 2026'!H2010)</f>
        <v/>
      </c>
      <c r="F2010">
        <f>IF(ISBLANK('ENGAGEMENTS 2026'!B2010),"",'ENGAGEMENTS 2026'!I2010)</f>
        <v/>
      </c>
      <c r="G2010">
        <f>IF(ISBLANK('ENGAGEMENTS 2026'!B2010),"",'ENGAGEMENTS 2026'!L2010)</f>
        <v/>
      </c>
      <c r="H2010">
        <f>IF(ISBLANK('ENGAGEMENTS 2026'!B2010),"",'ENGAGEMENTS 2026'!AE2010)</f>
        <v/>
      </c>
      <c r="I2010">
        <f>IF(ISBLANK('ENGAGEMENTS 2026'!B2010),"",'ENGAGEMENTS 2026'!G2010)</f>
        <v/>
      </c>
      <c r="J2010" s="275">
        <f>IF(ISBLANK('ENGAGEMENTS 2026'!B2010),"",IF(AND(OR($E2010="INFRUCTUEUX",$E2010="ANNULE"),$C2010="AOO-M"),'ENGAGEMENTS 2026'!O2010,IF($H2010="EN COURS DE PREENGAGEMENT",'ENGAGEMENTS 2026'!N2010,IF($H2010="PREENGAGE",IF($E2010="ATTRIBUE",'ENGAGEMENTS 2026'!AD2010,'ENGAGEMENTS 2026'!N2010),'ENGAGEMENTS 2026'!AD2010))))</f>
        <v/>
      </c>
      <c r="K2010" s="604">
        <f>IF(ISBLANK('ENGAGEMENTS 2026'!V2010),"",'ENGAGEMENTS 2026'!V2010)</f>
        <v/>
      </c>
      <c r="L2010" s="276">
        <f>IF($K2010="","",TODAY()-$K2010)</f>
        <v/>
      </c>
      <c r="M2010">
        <f>IF($A2010="","",IF($H2010="ENGAGE","Engagé",IF(AND($H2010="NON ENGAGE",OR($I2010="INFRUCTUEUX",$I2010="ANNULE")),"Clôturé sans suite","En cours")))</f>
        <v/>
      </c>
      <c r="N2010">
        <f>IF(ISBLANK('ENGAGEMENTS 2026'!B2010),"",'ENGAGEMENTS 2026'!K2010)</f>
        <v/>
      </c>
      <c r="O2010">
        <f>IF(ISBLANK('ENGAGEMENTS 2026'!B2010),"",'ENGAGEMENTS 2026'!L2010)</f>
        <v/>
      </c>
      <c r="P2010">
        <f>IF(ISBLANK('ENGAGEMENTS 2026'!B2010),"",'ENGAGEMENTS 2026'!J2010)</f>
        <v/>
      </c>
      <c r="Q2010">
        <f>IF($A2010="","",IF(OR($E2010="INFRUCTUEUX",$E2010="ANNULE"),$A2010&amp;"|"&amp;(COUNTIFS($A$2:$A2010,$A2010,$E$2:$E2010,"INFRUCTUEUX")+COUNTIFS($A$2:$A2010,$A2010,$E$2:$E2010,"ANNULE")),""))</f>
        <v/>
      </c>
    </row>
    <row r="2011">
      <c r="A2011">
        <f>IF(ISBLANK('ENGAGEMENTS 2026'!B2011),"",IF('ENGAGEMENTS 2026'!B2011="DTSI","DCT",'ENGAGEMENTS 2026'!B2011))</f>
        <v/>
      </c>
      <c r="B2011">
        <f>IF(ISBLANK('ENGAGEMENTS 2026'!B2011),"",'ENGAGEMENTS 2026'!C2011)</f>
        <v/>
      </c>
      <c r="C2011">
        <f>IF(ISBLANK('ENGAGEMENTS 2026'!B2011),"",'ENGAGEMENTS 2026'!D2011)</f>
        <v/>
      </c>
      <c r="D2011">
        <f>IF(ISBLANK('ENGAGEMENTS 2026'!B2011),"",'ENGAGEMENTS 2026'!F2011)</f>
        <v/>
      </c>
      <c r="E2011">
        <f>IF(ISBLANK('ENGAGEMENTS 2026'!B2011),"",'ENGAGEMENTS 2026'!H2011)</f>
        <v/>
      </c>
      <c r="F2011">
        <f>IF(ISBLANK('ENGAGEMENTS 2026'!B2011),"",'ENGAGEMENTS 2026'!I2011)</f>
        <v/>
      </c>
      <c r="G2011">
        <f>IF(ISBLANK('ENGAGEMENTS 2026'!B2011),"",'ENGAGEMENTS 2026'!L2011)</f>
        <v/>
      </c>
      <c r="H2011">
        <f>IF(ISBLANK('ENGAGEMENTS 2026'!B2011),"",'ENGAGEMENTS 2026'!AE2011)</f>
        <v/>
      </c>
      <c r="I2011">
        <f>IF(ISBLANK('ENGAGEMENTS 2026'!B2011),"",'ENGAGEMENTS 2026'!G2011)</f>
        <v/>
      </c>
      <c r="J2011" s="275">
        <f>IF(ISBLANK('ENGAGEMENTS 2026'!B2011),"",IF(AND(OR($E2011="INFRUCTUEUX",$E2011="ANNULE"),$C2011="AOO-M"),'ENGAGEMENTS 2026'!O2011,IF($H2011="EN COURS DE PREENGAGEMENT",'ENGAGEMENTS 2026'!N2011,IF($H2011="PREENGAGE",IF($E2011="ATTRIBUE",'ENGAGEMENTS 2026'!AD2011,'ENGAGEMENTS 2026'!N2011),'ENGAGEMENTS 2026'!AD2011))))</f>
        <v/>
      </c>
      <c r="K2011" s="604">
        <f>IF(ISBLANK('ENGAGEMENTS 2026'!V2011),"",'ENGAGEMENTS 2026'!V2011)</f>
        <v/>
      </c>
      <c r="L2011" s="276">
        <f>IF($K2011="","",TODAY()-$K2011)</f>
        <v/>
      </c>
      <c r="M2011">
        <f>IF($A2011="","",IF($H2011="ENGAGE","Engagé",IF(AND($H2011="NON ENGAGE",OR($I2011="INFRUCTUEUX",$I2011="ANNULE")),"Clôturé sans suite","En cours")))</f>
        <v/>
      </c>
      <c r="N2011">
        <f>IF(ISBLANK('ENGAGEMENTS 2026'!B2011),"",'ENGAGEMENTS 2026'!K2011)</f>
        <v/>
      </c>
      <c r="O2011">
        <f>IF(ISBLANK('ENGAGEMENTS 2026'!B2011),"",'ENGAGEMENTS 2026'!L2011)</f>
        <v/>
      </c>
      <c r="P2011">
        <f>IF(ISBLANK('ENGAGEMENTS 2026'!B2011),"",'ENGAGEMENTS 2026'!J2011)</f>
        <v/>
      </c>
      <c r="Q2011">
        <f>IF($A2011="","",IF(OR($E2011="INFRUCTUEUX",$E2011="ANNULE"),$A2011&amp;"|"&amp;(COUNTIFS($A$2:$A2011,$A2011,$E$2:$E2011,"INFRUCTUEUX")+COUNTIFS($A$2:$A2011,$A2011,$E$2:$E2011,"ANNULE")),""))</f>
        <v/>
      </c>
    </row>
    <row r="2012">
      <c r="A2012">
        <f>IF(ISBLANK('ENGAGEMENTS 2026'!B2012),"",IF('ENGAGEMENTS 2026'!B2012="DTSI","DCT",'ENGAGEMENTS 2026'!B2012))</f>
        <v/>
      </c>
      <c r="B2012">
        <f>IF(ISBLANK('ENGAGEMENTS 2026'!B2012),"",'ENGAGEMENTS 2026'!C2012)</f>
        <v/>
      </c>
      <c r="C2012">
        <f>IF(ISBLANK('ENGAGEMENTS 2026'!B2012),"",'ENGAGEMENTS 2026'!D2012)</f>
        <v/>
      </c>
      <c r="D2012">
        <f>IF(ISBLANK('ENGAGEMENTS 2026'!B2012),"",'ENGAGEMENTS 2026'!F2012)</f>
        <v/>
      </c>
      <c r="E2012">
        <f>IF(ISBLANK('ENGAGEMENTS 2026'!B2012),"",'ENGAGEMENTS 2026'!H2012)</f>
        <v/>
      </c>
      <c r="F2012">
        <f>IF(ISBLANK('ENGAGEMENTS 2026'!B2012),"",'ENGAGEMENTS 2026'!I2012)</f>
        <v/>
      </c>
      <c r="G2012">
        <f>IF(ISBLANK('ENGAGEMENTS 2026'!B2012),"",'ENGAGEMENTS 2026'!L2012)</f>
        <v/>
      </c>
      <c r="H2012">
        <f>IF(ISBLANK('ENGAGEMENTS 2026'!B2012),"",'ENGAGEMENTS 2026'!AE2012)</f>
        <v/>
      </c>
      <c r="I2012">
        <f>IF(ISBLANK('ENGAGEMENTS 2026'!B2012),"",'ENGAGEMENTS 2026'!G2012)</f>
        <v/>
      </c>
      <c r="J2012" s="275">
        <f>IF(ISBLANK('ENGAGEMENTS 2026'!B2012),"",IF(AND(OR($E2012="INFRUCTUEUX",$E2012="ANNULE"),$C2012="AOO-M"),'ENGAGEMENTS 2026'!O2012,IF($H2012="EN COURS DE PREENGAGEMENT",'ENGAGEMENTS 2026'!N2012,IF($H2012="PREENGAGE",IF($E2012="ATTRIBUE",'ENGAGEMENTS 2026'!AD2012,'ENGAGEMENTS 2026'!N2012),'ENGAGEMENTS 2026'!AD2012))))</f>
        <v/>
      </c>
      <c r="K2012" s="604">
        <f>IF(ISBLANK('ENGAGEMENTS 2026'!V2012),"",'ENGAGEMENTS 2026'!V2012)</f>
        <v/>
      </c>
      <c r="L2012" s="276">
        <f>IF($K2012="","",TODAY()-$K2012)</f>
        <v/>
      </c>
      <c r="M2012">
        <f>IF($A2012="","",IF($H2012="ENGAGE","Engagé",IF(AND($H2012="NON ENGAGE",OR($I2012="INFRUCTUEUX",$I2012="ANNULE")),"Clôturé sans suite","En cours")))</f>
        <v/>
      </c>
      <c r="N2012">
        <f>IF(ISBLANK('ENGAGEMENTS 2026'!B2012),"",'ENGAGEMENTS 2026'!K2012)</f>
        <v/>
      </c>
      <c r="O2012">
        <f>IF(ISBLANK('ENGAGEMENTS 2026'!B2012),"",'ENGAGEMENTS 2026'!L2012)</f>
        <v/>
      </c>
      <c r="P2012">
        <f>IF(ISBLANK('ENGAGEMENTS 2026'!B2012),"",'ENGAGEMENTS 2026'!J2012)</f>
        <v/>
      </c>
      <c r="Q2012">
        <f>IF($A2012="","",IF(OR($E2012="INFRUCTUEUX",$E2012="ANNULE"),$A2012&amp;"|"&amp;(COUNTIFS($A$2:$A2012,$A2012,$E$2:$E2012,"INFRUCTUEUX")+COUNTIFS($A$2:$A2012,$A2012,$E$2:$E2012,"ANNULE")),""))</f>
        <v/>
      </c>
    </row>
    <row r="2013">
      <c r="A2013">
        <f>IF(ISBLANK('ENGAGEMENTS 2026'!B2013),"",IF('ENGAGEMENTS 2026'!B2013="DTSI","DCT",'ENGAGEMENTS 2026'!B2013))</f>
        <v/>
      </c>
      <c r="B2013">
        <f>IF(ISBLANK('ENGAGEMENTS 2026'!B2013),"",'ENGAGEMENTS 2026'!C2013)</f>
        <v/>
      </c>
      <c r="C2013">
        <f>IF(ISBLANK('ENGAGEMENTS 2026'!B2013),"",'ENGAGEMENTS 2026'!D2013)</f>
        <v/>
      </c>
      <c r="D2013">
        <f>IF(ISBLANK('ENGAGEMENTS 2026'!B2013),"",'ENGAGEMENTS 2026'!F2013)</f>
        <v/>
      </c>
      <c r="E2013">
        <f>IF(ISBLANK('ENGAGEMENTS 2026'!B2013),"",'ENGAGEMENTS 2026'!H2013)</f>
        <v/>
      </c>
      <c r="F2013">
        <f>IF(ISBLANK('ENGAGEMENTS 2026'!B2013),"",'ENGAGEMENTS 2026'!I2013)</f>
        <v/>
      </c>
      <c r="G2013">
        <f>IF(ISBLANK('ENGAGEMENTS 2026'!B2013),"",'ENGAGEMENTS 2026'!L2013)</f>
        <v/>
      </c>
      <c r="H2013">
        <f>IF(ISBLANK('ENGAGEMENTS 2026'!B2013),"",'ENGAGEMENTS 2026'!AE2013)</f>
        <v/>
      </c>
      <c r="I2013">
        <f>IF(ISBLANK('ENGAGEMENTS 2026'!B2013),"",'ENGAGEMENTS 2026'!G2013)</f>
        <v/>
      </c>
      <c r="J2013" s="275">
        <f>IF(ISBLANK('ENGAGEMENTS 2026'!B2013),"",IF(AND(OR($E2013="INFRUCTUEUX",$E2013="ANNULE"),$C2013="AOO-M"),'ENGAGEMENTS 2026'!O2013,IF($H2013="EN COURS DE PREENGAGEMENT",'ENGAGEMENTS 2026'!N2013,IF($H2013="PREENGAGE",IF($E2013="ATTRIBUE",'ENGAGEMENTS 2026'!AD2013,'ENGAGEMENTS 2026'!N2013),'ENGAGEMENTS 2026'!AD2013))))</f>
        <v/>
      </c>
      <c r="K2013" s="604">
        <f>IF(ISBLANK('ENGAGEMENTS 2026'!V2013),"",'ENGAGEMENTS 2026'!V2013)</f>
        <v/>
      </c>
      <c r="L2013" s="276">
        <f>IF($K2013="","",TODAY()-$K2013)</f>
        <v/>
      </c>
      <c r="M2013">
        <f>IF($A2013="","",IF($H2013="ENGAGE","Engagé",IF(AND($H2013="NON ENGAGE",OR($I2013="INFRUCTUEUX",$I2013="ANNULE")),"Clôturé sans suite","En cours")))</f>
        <v/>
      </c>
      <c r="N2013">
        <f>IF(ISBLANK('ENGAGEMENTS 2026'!B2013),"",'ENGAGEMENTS 2026'!K2013)</f>
        <v/>
      </c>
      <c r="O2013">
        <f>IF(ISBLANK('ENGAGEMENTS 2026'!B2013),"",'ENGAGEMENTS 2026'!L2013)</f>
        <v/>
      </c>
      <c r="P2013">
        <f>IF(ISBLANK('ENGAGEMENTS 2026'!B2013),"",'ENGAGEMENTS 2026'!J2013)</f>
        <v/>
      </c>
      <c r="Q2013">
        <f>IF($A2013="","",IF(OR($E2013="INFRUCTUEUX",$E2013="ANNULE"),$A2013&amp;"|"&amp;(COUNTIFS($A$2:$A2013,$A2013,$E$2:$E2013,"INFRUCTUEUX")+COUNTIFS($A$2:$A2013,$A2013,$E$2:$E2013,"ANNULE")),""))</f>
        <v/>
      </c>
    </row>
    <row r="2014">
      <c r="A2014">
        <f>IF(ISBLANK('ENGAGEMENTS 2026'!B2014),"",IF('ENGAGEMENTS 2026'!B2014="DTSI","DCT",'ENGAGEMENTS 2026'!B2014))</f>
        <v/>
      </c>
      <c r="B2014">
        <f>IF(ISBLANK('ENGAGEMENTS 2026'!B2014),"",'ENGAGEMENTS 2026'!C2014)</f>
        <v/>
      </c>
      <c r="C2014">
        <f>IF(ISBLANK('ENGAGEMENTS 2026'!B2014),"",'ENGAGEMENTS 2026'!D2014)</f>
        <v/>
      </c>
      <c r="D2014">
        <f>IF(ISBLANK('ENGAGEMENTS 2026'!B2014),"",'ENGAGEMENTS 2026'!F2014)</f>
        <v/>
      </c>
      <c r="E2014">
        <f>IF(ISBLANK('ENGAGEMENTS 2026'!B2014),"",'ENGAGEMENTS 2026'!H2014)</f>
        <v/>
      </c>
      <c r="F2014">
        <f>IF(ISBLANK('ENGAGEMENTS 2026'!B2014),"",'ENGAGEMENTS 2026'!I2014)</f>
        <v/>
      </c>
      <c r="G2014">
        <f>IF(ISBLANK('ENGAGEMENTS 2026'!B2014),"",'ENGAGEMENTS 2026'!L2014)</f>
        <v/>
      </c>
      <c r="H2014">
        <f>IF(ISBLANK('ENGAGEMENTS 2026'!B2014),"",'ENGAGEMENTS 2026'!AE2014)</f>
        <v/>
      </c>
      <c r="I2014">
        <f>IF(ISBLANK('ENGAGEMENTS 2026'!B2014),"",'ENGAGEMENTS 2026'!G2014)</f>
        <v/>
      </c>
      <c r="J2014" s="275">
        <f>IF(ISBLANK('ENGAGEMENTS 2026'!B2014),"",IF(AND(OR($E2014="INFRUCTUEUX",$E2014="ANNULE"),$C2014="AOO-M"),'ENGAGEMENTS 2026'!O2014,IF($H2014="EN COURS DE PREENGAGEMENT",'ENGAGEMENTS 2026'!N2014,IF($H2014="PREENGAGE",IF($E2014="ATTRIBUE",'ENGAGEMENTS 2026'!AD2014,'ENGAGEMENTS 2026'!N2014),'ENGAGEMENTS 2026'!AD2014))))</f>
        <v/>
      </c>
      <c r="K2014" s="604">
        <f>IF(ISBLANK('ENGAGEMENTS 2026'!V2014),"",'ENGAGEMENTS 2026'!V2014)</f>
        <v/>
      </c>
      <c r="L2014" s="276">
        <f>IF($K2014="","",TODAY()-$K2014)</f>
        <v/>
      </c>
      <c r="M2014">
        <f>IF($A2014="","",IF($H2014="ENGAGE","Engagé",IF(AND($H2014="NON ENGAGE",OR($I2014="INFRUCTUEUX",$I2014="ANNULE")),"Clôturé sans suite","En cours")))</f>
        <v/>
      </c>
      <c r="N2014">
        <f>IF(ISBLANK('ENGAGEMENTS 2026'!B2014),"",'ENGAGEMENTS 2026'!K2014)</f>
        <v/>
      </c>
      <c r="O2014">
        <f>IF(ISBLANK('ENGAGEMENTS 2026'!B2014),"",'ENGAGEMENTS 2026'!L2014)</f>
        <v/>
      </c>
      <c r="P2014">
        <f>IF(ISBLANK('ENGAGEMENTS 2026'!B2014),"",'ENGAGEMENTS 2026'!J2014)</f>
        <v/>
      </c>
      <c r="Q2014">
        <f>IF($A2014="","",IF(OR($E2014="INFRUCTUEUX",$E2014="ANNULE"),$A2014&amp;"|"&amp;(COUNTIFS($A$2:$A2014,$A2014,$E$2:$E2014,"INFRUCTUEUX")+COUNTIFS($A$2:$A2014,$A2014,$E$2:$E2014,"ANNULE")),""))</f>
        <v/>
      </c>
    </row>
    <row r="2015">
      <c r="A2015">
        <f>IF(ISBLANK('ENGAGEMENTS 2026'!B2015),"",IF('ENGAGEMENTS 2026'!B2015="DTSI","DCT",'ENGAGEMENTS 2026'!B2015))</f>
        <v/>
      </c>
      <c r="B2015">
        <f>IF(ISBLANK('ENGAGEMENTS 2026'!B2015),"",'ENGAGEMENTS 2026'!C2015)</f>
        <v/>
      </c>
      <c r="C2015">
        <f>IF(ISBLANK('ENGAGEMENTS 2026'!B2015),"",'ENGAGEMENTS 2026'!D2015)</f>
        <v/>
      </c>
      <c r="D2015">
        <f>IF(ISBLANK('ENGAGEMENTS 2026'!B2015),"",'ENGAGEMENTS 2026'!F2015)</f>
        <v/>
      </c>
      <c r="E2015">
        <f>IF(ISBLANK('ENGAGEMENTS 2026'!B2015),"",'ENGAGEMENTS 2026'!H2015)</f>
        <v/>
      </c>
      <c r="F2015">
        <f>IF(ISBLANK('ENGAGEMENTS 2026'!B2015),"",'ENGAGEMENTS 2026'!I2015)</f>
        <v/>
      </c>
      <c r="G2015">
        <f>IF(ISBLANK('ENGAGEMENTS 2026'!B2015),"",'ENGAGEMENTS 2026'!L2015)</f>
        <v/>
      </c>
      <c r="H2015">
        <f>IF(ISBLANK('ENGAGEMENTS 2026'!B2015),"",'ENGAGEMENTS 2026'!AE2015)</f>
        <v/>
      </c>
      <c r="I2015">
        <f>IF(ISBLANK('ENGAGEMENTS 2026'!B2015),"",'ENGAGEMENTS 2026'!G2015)</f>
        <v/>
      </c>
      <c r="J2015" s="275">
        <f>IF(ISBLANK('ENGAGEMENTS 2026'!B2015),"",IF(AND(OR($E2015="INFRUCTUEUX",$E2015="ANNULE"),$C2015="AOO-M"),'ENGAGEMENTS 2026'!O2015,IF($H2015="EN COURS DE PREENGAGEMENT",'ENGAGEMENTS 2026'!N2015,IF($H2015="PREENGAGE",IF($E2015="ATTRIBUE",'ENGAGEMENTS 2026'!AD2015,'ENGAGEMENTS 2026'!N2015),'ENGAGEMENTS 2026'!AD2015))))</f>
        <v/>
      </c>
      <c r="K2015" s="604">
        <f>IF(ISBLANK('ENGAGEMENTS 2026'!V2015),"",'ENGAGEMENTS 2026'!V2015)</f>
        <v/>
      </c>
      <c r="L2015" s="276">
        <f>IF($K2015="","",TODAY()-$K2015)</f>
        <v/>
      </c>
      <c r="M2015">
        <f>IF($A2015="","",IF($H2015="ENGAGE","Engagé",IF(AND($H2015="NON ENGAGE",OR($I2015="INFRUCTUEUX",$I2015="ANNULE")),"Clôturé sans suite","En cours")))</f>
        <v/>
      </c>
      <c r="N2015">
        <f>IF(ISBLANK('ENGAGEMENTS 2026'!B2015),"",'ENGAGEMENTS 2026'!K2015)</f>
        <v/>
      </c>
      <c r="O2015">
        <f>IF(ISBLANK('ENGAGEMENTS 2026'!B2015),"",'ENGAGEMENTS 2026'!L2015)</f>
        <v/>
      </c>
      <c r="P2015">
        <f>IF(ISBLANK('ENGAGEMENTS 2026'!B2015),"",'ENGAGEMENTS 2026'!J2015)</f>
        <v/>
      </c>
      <c r="Q2015">
        <f>IF($A2015="","",IF(OR($E2015="INFRUCTUEUX",$E2015="ANNULE"),$A2015&amp;"|"&amp;(COUNTIFS($A$2:$A2015,$A2015,$E$2:$E2015,"INFRUCTUEUX")+COUNTIFS($A$2:$A2015,$A2015,$E$2:$E2015,"ANNULE")),""))</f>
        <v/>
      </c>
    </row>
    <row r="2016">
      <c r="A2016">
        <f>IF(ISBLANK('ENGAGEMENTS 2026'!B2016),"",IF('ENGAGEMENTS 2026'!B2016="DTSI","DCT",'ENGAGEMENTS 2026'!B2016))</f>
        <v/>
      </c>
      <c r="B2016">
        <f>IF(ISBLANK('ENGAGEMENTS 2026'!B2016),"",'ENGAGEMENTS 2026'!C2016)</f>
        <v/>
      </c>
      <c r="C2016">
        <f>IF(ISBLANK('ENGAGEMENTS 2026'!B2016),"",'ENGAGEMENTS 2026'!D2016)</f>
        <v/>
      </c>
      <c r="D2016">
        <f>IF(ISBLANK('ENGAGEMENTS 2026'!B2016),"",'ENGAGEMENTS 2026'!F2016)</f>
        <v/>
      </c>
      <c r="E2016">
        <f>IF(ISBLANK('ENGAGEMENTS 2026'!B2016),"",'ENGAGEMENTS 2026'!H2016)</f>
        <v/>
      </c>
      <c r="F2016">
        <f>IF(ISBLANK('ENGAGEMENTS 2026'!B2016),"",'ENGAGEMENTS 2026'!I2016)</f>
        <v/>
      </c>
      <c r="G2016">
        <f>IF(ISBLANK('ENGAGEMENTS 2026'!B2016),"",'ENGAGEMENTS 2026'!L2016)</f>
        <v/>
      </c>
      <c r="H2016">
        <f>IF(ISBLANK('ENGAGEMENTS 2026'!B2016),"",'ENGAGEMENTS 2026'!AE2016)</f>
        <v/>
      </c>
      <c r="I2016">
        <f>IF(ISBLANK('ENGAGEMENTS 2026'!B2016),"",'ENGAGEMENTS 2026'!G2016)</f>
        <v/>
      </c>
      <c r="J2016" s="275">
        <f>IF(ISBLANK('ENGAGEMENTS 2026'!B2016),"",IF(AND(OR($E2016="INFRUCTUEUX",$E2016="ANNULE"),$C2016="AOO-M"),'ENGAGEMENTS 2026'!O2016,IF($H2016="EN COURS DE PREENGAGEMENT",'ENGAGEMENTS 2026'!N2016,IF($H2016="PREENGAGE",IF($E2016="ATTRIBUE",'ENGAGEMENTS 2026'!AD2016,'ENGAGEMENTS 2026'!N2016),'ENGAGEMENTS 2026'!AD2016))))</f>
        <v/>
      </c>
      <c r="K2016" s="604">
        <f>IF(ISBLANK('ENGAGEMENTS 2026'!V2016),"",'ENGAGEMENTS 2026'!V2016)</f>
        <v/>
      </c>
      <c r="L2016" s="276">
        <f>IF($K2016="","",TODAY()-$K2016)</f>
        <v/>
      </c>
      <c r="M2016">
        <f>IF($A2016="","",IF($H2016="ENGAGE","Engagé",IF(AND($H2016="NON ENGAGE",OR($I2016="INFRUCTUEUX",$I2016="ANNULE")),"Clôturé sans suite","En cours")))</f>
        <v/>
      </c>
      <c r="N2016">
        <f>IF(ISBLANK('ENGAGEMENTS 2026'!B2016),"",'ENGAGEMENTS 2026'!K2016)</f>
        <v/>
      </c>
      <c r="O2016">
        <f>IF(ISBLANK('ENGAGEMENTS 2026'!B2016),"",'ENGAGEMENTS 2026'!L2016)</f>
        <v/>
      </c>
      <c r="P2016">
        <f>IF(ISBLANK('ENGAGEMENTS 2026'!B2016),"",'ENGAGEMENTS 2026'!J2016)</f>
        <v/>
      </c>
      <c r="Q2016">
        <f>IF($A2016="","",IF(OR($E2016="INFRUCTUEUX",$E2016="ANNULE"),$A2016&amp;"|"&amp;(COUNTIFS($A$2:$A2016,$A2016,$E$2:$E2016,"INFRUCTUEUX")+COUNTIFS($A$2:$A2016,$A2016,$E$2:$E2016,"ANNULE")),""))</f>
        <v/>
      </c>
    </row>
    <row r="2017">
      <c r="A2017">
        <f>IF(ISBLANK('ENGAGEMENTS 2026'!B2017),"",IF('ENGAGEMENTS 2026'!B2017="DTSI","DCT",'ENGAGEMENTS 2026'!B2017))</f>
        <v/>
      </c>
      <c r="B2017">
        <f>IF(ISBLANK('ENGAGEMENTS 2026'!B2017),"",'ENGAGEMENTS 2026'!C2017)</f>
        <v/>
      </c>
      <c r="C2017">
        <f>IF(ISBLANK('ENGAGEMENTS 2026'!B2017),"",'ENGAGEMENTS 2026'!D2017)</f>
        <v/>
      </c>
      <c r="D2017">
        <f>IF(ISBLANK('ENGAGEMENTS 2026'!B2017),"",'ENGAGEMENTS 2026'!F2017)</f>
        <v/>
      </c>
      <c r="E2017">
        <f>IF(ISBLANK('ENGAGEMENTS 2026'!B2017),"",'ENGAGEMENTS 2026'!H2017)</f>
        <v/>
      </c>
      <c r="F2017">
        <f>IF(ISBLANK('ENGAGEMENTS 2026'!B2017),"",'ENGAGEMENTS 2026'!I2017)</f>
        <v/>
      </c>
      <c r="G2017">
        <f>IF(ISBLANK('ENGAGEMENTS 2026'!B2017),"",'ENGAGEMENTS 2026'!L2017)</f>
        <v/>
      </c>
      <c r="H2017">
        <f>IF(ISBLANK('ENGAGEMENTS 2026'!B2017),"",'ENGAGEMENTS 2026'!AE2017)</f>
        <v/>
      </c>
      <c r="I2017">
        <f>IF(ISBLANK('ENGAGEMENTS 2026'!B2017),"",'ENGAGEMENTS 2026'!G2017)</f>
        <v/>
      </c>
      <c r="J2017" s="275">
        <f>IF(ISBLANK('ENGAGEMENTS 2026'!B2017),"",IF(AND(OR($E2017="INFRUCTUEUX",$E2017="ANNULE"),$C2017="AOO-M"),'ENGAGEMENTS 2026'!O2017,IF($H2017="EN COURS DE PREENGAGEMENT",'ENGAGEMENTS 2026'!N2017,IF($H2017="PREENGAGE",IF($E2017="ATTRIBUE",'ENGAGEMENTS 2026'!AD2017,'ENGAGEMENTS 2026'!N2017),'ENGAGEMENTS 2026'!AD2017))))</f>
        <v/>
      </c>
      <c r="K2017" s="604">
        <f>IF(ISBLANK('ENGAGEMENTS 2026'!V2017),"",'ENGAGEMENTS 2026'!V2017)</f>
        <v/>
      </c>
      <c r="L2017" s="276">
        <f>IF($K2017="","",TODAY()-$K2017)</f>
        <v/>
      </c>
      <c r="M2017">
        <f>IF($A2017="","",IF($H2017="ENGAGE","Engagé",IF(AND($H2017="NON ENGAGE",OR($I2017="INFRUCTUEUX",$I2017="ANNULE")),"Clôturé sans suite","En cours")))</f>
        <v/>
      </c>
      <c r="N2017">
        <f>IF(ISBLANK('ENGAGEMENTS 2026'!B2017),"",'ENGAGEMENTS 2026'!K2017)</f>
        <v/>
      </c>
      <c r="O2017">
        <f>IF(ISBLANK('ENGAGEMENTS 2026'!B2017),"",'ENGAGEMENTS 2026'!L2017)</f>
        <v/>
      </c>
      <c r="P2017">
        <f>IF(ISBLANK('ENGAGEMENTS 2026'!B2017),"",'ENGAGEMENTS 2026'!J2017)</f>
        <v/>
      </c>
      <c r="Q2017">
        <f>IF($A2017="","",IF(OR($E2017="INFRUCTUEUX",$E2017="ANNULE"),$A2017&amp;"|"&amp;(COUNTIFS($A$2:$A2017,$A2017,$E$2:$E2017,"INFRUCTUEUX")+COUNTIFS($A$2:$A2017,$A2017,$E$2:$E2017,"ANNULE")),""))</f>
        <v/>
      </c>
    </row>
    <row r="2018">
      <c r="A2018">
        <f>IF(ISBLANK('ENGAGEMENTS 2026'!B2018),"",IF('ENGAGEMENTS 2026'!B2018="DTSI","DCT",'ENGAGEMENTS 2026'!B2018))</f>
        <v/>
      </c>
      <c r="B2018">
        <f>IF(ISBLANK('ENGAGEMENTS 2026'!B2018),"",'ENGAGEMENTS 2026'!C2018)</f>
        <v/>
      </c>
      <c r="C2018">
        <f>IF(ISBLANK('ENGAGEMENTS 2026'!B2018),"",'ENGAGEMENTS 2026'!D2018)</f>
        <v/>
      </c>
      <c r="D2018">
        <f>IF(ISBLANK('ENGAGEMENTS 2026'!B2018),"",'ENGAGEMENTS 2026'!F2018)</f>
        <v/>
      </c>
      <c r="E2018">
        <f>IF(ISBLANK('ENGAGEMENTS 2026'!B2018),"",'ENGAGEMENTS 2026'!H2018)</f>
        <v/>
      </c>
      <c r="F2018">
        <f>IF(ISBLANK('ENGAGEMENTS 2026'!B2018),"",'ENGAGEMENTS 2026'!I2018)</f>
        <v/>
      </c>
      <c r="G2018">
        <f>IF(ISBLANK('ENGAGEMENTS 2026'!B2018),"",'ENGAGEMENTS 2026'!L2018)</f>
        <v/>
      </c>
      <c r="H2018">
        <f>IF(ISBLANK('ENGAGEMENTS 2026'!B2018),"",'ENGAGEMENTS 2026'!AE2018)</f>
        <v/>
      </c>
      <c r="I2018">
        <f>IF(ISBLANK('ENGAGEMENTS 2026'!B2018),"",'ENGAGEMENTS 2026'!G2018)</f>
        <v/>
      </c>
      <c r="J2018" s="275">
        <f>IF(ISBLANK('ENGAGEMENTS 2026'!B2018),"",IF(AND(OR($E2018="INFRUCTUEUX",$E2018="ANNULE"),$C2018="AOO-M"),'ENGAGEMENTS 2026'!O2018,IF($H2018="EN COURS DE PREENGAGEMENT",'ENGAGEMENTS 2026'!N2018,IF($H2018="PREENGAGE",IF($E2018="ATTRIBUE",'ENGAGEMENTS 2026'!AD2018,'ENGAGEMENTS 2026'!N2018),'ENGAGEMENTS 2026'!AD2018))))</f>
        <v/>
      </c>
      <c r="K2018" s="604">
        <f>IF(ISBLANK('ENGAGEMENTS 2026'!V2018),"",'ENGAGEMENTS 2026'!V2018)</f>
        <v/>
      </c>
      <c r="L2018" s="276">
        <f>IF($K2018="","",TODAY()-$K2018)</f>
        <v/>
      </c>
      <c r="M2018">
        <f>IF($A2018="","",IF($H2018="ENGAGE","Engagé",IF(AND($H2018="NON ENGAGE",OR($I2018="INFRUCTUEUX",$I2018="ANNULE")),"Clôturé sans suite","En cours")))</f>
        <v/>
      </c>
      <c r="N2018">
        <f>IF(ISBLANK('ENGAGEMENTS 2026'!B2018),"",'ENGAGEMENTS 2026'!K2018)</f>
        <v/>
      </c>
      <c r="O2018">
        <f>IF(ISBLANK('ENGAGEMENTS 2026'!B2018),"",'ENGAGEMENTS 2026'!L2018)</f>
        <v/>
      </c>
      <c r="P2018">
        <f>IF(ISBLANK('ENGAGEMENTS 2026'!B2018),"",'ENGAGEMENTS 2026'!J2018)</f>
        <v/>
      </c>
      <c r="Q2018">
        <f>IF($A2018="","",IF(OR($E2018="INFRUCTUEUX",$E2018="ANNULE"),$A2018&amp;"|"&amp;(COUNTIFS($A$2:$A2018,$A2018,$E$2:$E2018,"INFRUCTUEUX")+COUNTIFS($A$2:$A2018,$A2018,$E$2:$E2018,"ANNULE")),""))</f>
        <v/>
      </c>
    </row>
    <row r="2019">
      <c r="A2019">
        <f>IF(ISBLANK('ENGAGEMENTS 2026'!B2019),"",IF('ENGAGEMENTS 2026'!B2019="DTSI","DCT",'ENGAGEMENTS 2026'!B2019))</f>
        <v/>
      </c>
      <c r="B2019">
        <f>IF(ISBLANK('ENGAGEMENTS 2026'!B2019),"",'ENGAGEMENTS 2026'!C2019)</f>
        <v/>
      </c>
      <c r="C2019">
        <f>IF(ISBLANK('ENGAGEMENTS 2026'!B2019),"",'ENGAGEMENTS 2026'!D2019)</f>
        <v/>
      </c>
      <c r="D2019">
        <f>IF(ISBLANK('ENGAGEMENTS 2026'!B2019),"",'ENGAGEMENTS 2026'!F2019)</f>
        <v/>
      </c>
      <c r="E2019">
        <f>IF(ISBLANK('ENGAGEMENTS 2026'!B2019),"",'ENGAGEMENTS 2026'!H2019)</f>
        <v/>
      </c>
      <c r="F2019">
        <f>IF(ISBLANK('ENGAGEMENTS 2026'!B2019),"",'ENGAGEMENTS 2026'!I2019)</f>
        <v/>
      </c>
      <c r="G2019">
        <f>IF(ISBLANK('ENGAGEMENTS 2026'!B2019),"",'ENGAGEMENTS 2026'!L2019)</f>
        <v/>
      </c>
      <c r="H2019">
        <f>IF(ISBLANK('ENGAGEMENTS 2026'!B2019),"",'ENGAGEMENTS 2026'!AE2019)</f>
        <v/>
      </c>
      <c r="I2019">
        <f>IF(ISBLANK('ENGAGEMENTS 2026'!B2019),"",'ENGAGEMENTS 2026'!G2019)</f>
        <v/>
      </c>
      <c r="J2019" s="275">
        <f>IF(ISBLANK('ENGAGEMENTS 2026'!B2019),"",IF(AND(OR($E2019="INFRUCTUEUX",$E2019="ANNULE"),$C2019="AOO-M"),'ENGAGEMENTS 2026'!O2019,IF($H2019="EN COURS DE PREENGAGEMENT",'ENGAGEMENTS 2026'!N2019,IF($H2019="PREENGAGE",IF($E2019="ATTRIBUE",'ENGAGEMENTS 2026'!AD2019,'ENGAGEMENTS 2026'!N2019),'ENGAGEMENTS 2026'!AD2019))))</f>
        <v/>
      </c>
      <c r="K2019" s="604">
        <f>IF(ISBLANK('ENGAGEMENTS 2026'!V2019),"",'ENGAGEMENTS 2026'!V2019)</f>
        <v/>
      </c>
      <c r="L2019" s="276">
        <f>IF($K2019="","",TODAY()-$K2019)</f>
        <v/>
      </c>
      <c r="M2019">
        <f>IF($A2019="","",IF($H2019="ENGAGE","Engagé",IF(AND($H2019="NON ENGAGE",OR($I2019="INFRUCTUEUX",$I2019="ANNULE")),"Clôturé sans suite","En cours")))</f>
        <v/>
      </c>
      <c r="N2019">
        <f>IF(ISBLANK('ENGAGEMENTS 2026'!B2019),"",'ENGAGEMENTS 2026'!K2019)</f>
        <v/>
      </c>
      <c r="O2019">
        <f>IF(ISBLANK('ENGAGEMENTS 2026'!B2019),"",'ENGAGEMENTS 2026'!L2019)</f>
        <v/>
      </c>
      <c r="P2019">
        <f>IF(ISBLANK('ENGAGEMENTS 2026'!B2019),"",'ENGAGEMENTS 2026'!J2019)</f>
        <v/>
      </c>
      <c r="Q2019">
        <f>IF($A2019="","",IF(OR($E2019="INFRUCTUEUX",$E2019="ANNULE"),$A2019&amp;"|"&amp;(COUNTIFS($A$2:$A2019,$A2019,$E$2:$E2019,"INFRUCTUEUX")+COUNTIFS($A$2:$A2019,$A2019,$E$2:$E2019,"ANNULE")),""))</f>
        <v/>
      </c>
    </row>
    <row r="2020">
      <c r="A2020">
        <f>IF(ISBLANK('ENGAGEMENTS 2026'!B2020),"",IF('ENGAGEMENTS 2026'!B2020="DTSI","DCT",'ENGAGEMENTS 2026'!B2020))</f>
        <v/>
      </c>
      <c r="B2020">
        <f>IF(ISBLANK('ENGAGEMENTS 2026'!B2020),"",'ENGAGEMENTS 2026'!C2020)</f>
        <v/>
      </c>
      <c r="C2020">
        <f>IF(ISBLANK('ENGAGEMENTS 2026'!B2020),"",'ENGAGEMENTS 2026'!D2020)</f>
        <v/>
      </c>
      <c r="D2020">
        <f>IF(ISBLANK('ENGAGEMENTS 2026'!B2020),"",'ENGAGEMENTS 2026'!F2020)</f>
        <v/>
      </c>
      <c r="E2020">
        <f>IF(ISBLANK('ENGAGEMENTS 2026'!B2020),"",'ENGAGEMENTS 2026'!H2020)</f>
        <v/>
      </c>
      <c r="F2020">
        <f>IF(ISBLANK('ENGAGEMENTS 2026'!B2020),"",'ENGAGEMENTS 2026'!I2020)</f>
        <v/>
      </c>
      <c r="G2020">
        <f>IF(ISBLANK('ENGAGEMENTS 2026'!B2020),"",'ENGAGEMENTS 2026'!L2020)</f>
        <v/>
      </c>
      <c r="H2020">
        <f>IF(ISBLANK('ENGAGEMENTS 2026'!B2020),"",'ENGAGEMENTS 2026'!AE2020)</f>
        <v/>
      </c>
      <c r="I2020">
        <f>IF(ISBLANK('ENGAGEMENTS 2026'!B2020),"",'ENGAGEMENTS 2026'!G2020)</f>
        <v/>
      </c>
      <c r="J2020" s="275">
        <f>IF(ISBLANK('ENGAGEMENTS 2026'!B2020),"",IF(AND(OR($E2020="INFRUCTUEUX",$E2020="ANNULE"),$C2020="AOO-M"),'ENGAGEMENTS 2026'!O2020,IF($H2020="EN COURS DE PREENGAGEMENT",'ENGAGEMENTS 2026'!N2020,IF($H2020="PREENGAGE",IF($E2020="ATTRIBUE",'ENGAGEMENTS 2026'!AD2020,'ENGAGEMENTS 2026'!N2020),'ENGAGEMENTS 2026'!AD2020))))</f>
        <v/>
      </c>
      <c r="K2020" s="604">
        <f>IF(ISBLANK('ENGAGEMENTS 2026'!V2020),"",'ENGAGEMENTS 2026'!V2020)</f>
        <v/>
      </c>
      <c r="L2020" s="276">
        <f>IF($K2020="","",TODAY()-$K2020)</f>
        <v/>
      </c>
      <c r="M2020">
        <f>IF($A2020="","",IF($H2020="ENGAGE","Engagé",IF(AND($H2020="NON ENGAGE",OR($I2020="INFRUCTUEUX",$I2020="ANNULE")),"Clôturé sans suite","En cours")))</f>
        <v/>
      </c>
      <c r="N2020">
        <f>IF(ISBLANK('ENGAGEMENTS 2026'!B2020),"",'ENGAGEMENTS 2026'!K2020)</f>
        <v/>
      </c>
      <c r="O2020">
        <f>IF(ISBLANK('ENGAGEMENTS 2026'!B2020),"",'ENGAGEMENTS 2026'!L2020)</f>
        <v/>
      </c>
      <c r="P2020">
        <f>IF(ISBLANK('ENGAGEMENTS 2026'!B2020),"",'ENGAGEMENTS 2026'!J2020)</f>
        <v/>
      </c>
      <c r="Q2020">
        <f>IF($A2020="","",IF(OR($E2020="INFRUCTUEUX",$E2020="ANNULE"),$A2020&amp;"|"&amp;(COUNTIFS($A$2:$A2020,$A2020,$E$2:$E2020,"INFRUCTUEUX")+COUNTIFS($A$2:$A2020,$A2020,$E$2:$E2020,"ANNULE")),""))</f>
        <v/>
      </c>
    </row>
    <row r="2021">
      <c r="A2021">
        <f>IF(ISBLANK('ENGAGEMENTS 2026'!B2021),"",IF('ENGAGEMENTS 2026'!B2021="DTSI","DCT",'ENGAGEMENTS 2026'!B2021))</f>
        <v/>
      </c>
      <c r="B2021">
        <f>IF(ISBLANK('ENGAGEMENTS 2026'!B2021),"",'ENGAGEMENTS 2026'!C2021)</f>
        <v/>
      </c>
      <c r="C2021">
        <f>IF(ISBLANK('ENGAGEMENTS 2026'!B2021),"",'ENGAGEMENTS 2026'!D2021)</f>
        <v/>
      </c>
      <c r="D2021">
        <f>IF(ISBLANK('ENGAGEMENTS 2026'!B2021),"",'ENGAGEMENTS 2026'!F2021)</f>
        <v/>
      </c>
      <c r="E2021">
        <f>IF(ISBLANK('ENGAGEMENTS 2026'!B2021),"",'ENGAGEMENTS 2026'!H2021)</f>
        <v/>
      </c>
      <c r="F2021">
        <f>IF(ISBLANK('ENGAGEMENTS 2026'!B2021),"",'ENGAGEMENTS 2026'!I2021)</f>
        <v/>
      </c>
      <c r="G2021">
        <f>IF(ISBLANK('ENGAGEMENTS 2026'!B2021),"",'ENGAGEMENTS 2026'!L2021)</f>
        <v/>
      </c>
      <c r="H2021">
        <f>IF(ISBLANK('ENGAGEMENTS 2026'!B2021),"",'ENGAGEMENTS 2026'!AE2021)</f>
        <v/>
      </c>
      <c r="I2021">
        <f>IF(ISBLANK('ENGAGEMENTS 2026'!B2021),"",'ENGAGEMENTS 2026'!G2021)</f>
        <v/>
      </c>
      <c r="J2021" s="275">
        <f>IF(ISBLANK('ENGAGEMENTS 2026'!B2021),"",IF(AND(OR($E2021="INFRUCTUEUX",$E2021="ANNULE"),$C2021="AOO-M"),'ENGAGEMENTS 2026'!O2021,IF($H2021="EN COURS DE PREENGAGEMENT",'ENGAGEMENTS 2026'!N2021,IF($H2021="PREENGAGE",IF($E2021="ATTRIBUE",'ENGAGEMENTS 2026'!AD2021,'ENGAGEMENTS 2026'!N2021),'ENGAGEMENTS 2026'!AD2021))))</f>
        <v/>
      </c>
      <c r="K2021" s="604">
        <f>IF(ISBLANK('ENGAGEMENTS 2026'!V2021),"",'ENGAGEMENTS 2026'!V2021)</f>
        <v/>
      </c>
      <c r="L2021" s="276">
        <f>IF($K2021="","",TODAY()-$K2021)</f>
        <v/>
      </c>
      <c r="M2021">
        <f>IF($A2021="","",IF($H2021="ENGAGE","Engagé",IF(AND($H2021="NON ENGAGE",OR($I2021="INFRUCTUEUX",$I2021="ANNULE")),"Clôturé sans suite","En cours")))</f>
        <v/>
      </c>
      <c r="N2021">
        <f>IF(ISBLANK('ENGAGEMENTS 2026'!B2021),"",'ENGAGEMENTS 2026'!K2021)</f>
        <v/>
      </c>
      <c r="O2021">
        <f>IF(ISBLANK('ENGAGEMENTS 2026'!B2021),"",'ENGAGEMENTS 2026'!L2021)</f>
        <v/>
      </c>
      <c r="P2021">
        <f>IF(ISBLANK('ENGAGEMENTS 2026'!B2021),"",'ENGAGEMENTS 2026'!J2021)</f>
        <v/>
      </c>
      <c r="Q2021">
        <f>IF($A2021="","",IF(OR($E2021="INFRUCTUEUX",$E2021="ANNULE"),$A2021&amp;"|"&amp;(COUNTIFS($A$2:$A2021,$A2021,$E$2:$E2021,"INFRUCTUEUX")+COUNTIFS($A$2:$A2021,$A2021,$E$2:$E2021,"ANNULE")),""))</f>
        <v/>
      </c>
    </row>
    <row r="2022">
      <c r="A2022">
        <f>IF(ISBLANK('ENGAGEMENTS 2026'!B2022),"",IF('ENGAGEMENTS 2026'!B2022="DTSI","DCT",'ENGAGEMENTS 2026'!B2022))</f>
        <v/>
      </c>
      <c r="B2022">
        <f>IF(ISBLANK('ENGAGEMENTS 2026'!B2022),"",'ENGAGEMENTS 2026'!C2022)</f>
        <v/>
      </c>
      <c r="C2022">
        <f>IF(ISBLANK('ENGAGEMENTS 2026'!B2022),"",'ENGAGEMENTS 2026'!D2022)</f>
        <v/>
      </c>
      <c r="D2022">
        <f>IF(ISBLANK('ENGAGEMENTS 2026'!B2022),"",'ENGAGEMENTS 2026'!F2022)</f>
        <v/>
      </c>
      <c r="E2022">
        <f>IF(ISBLANK('ENGAGEMENTS 2026'!B2022),"",'ENGAGEMENTS 2026'!H2022)</f>
        <v/>
      </c>
      <c r="F2022">
        <f>IF(ISBLANK('ENGAGEMENTS 2026'!B2022),"",'ENGAGEMENTS 2026'!I2022)</f>
        <v/>
      </c>
      <c r="G2022">
        <f>IF(ISBLANK('ENGAGEMENTS 2026'!B2022),"",'ENGAGEMENTS 2026'!L2022)</f>
        <v/>
      </c>
      <c r="H2022">
        <f>IF(ISBLANK('ENGAGEMENTS 2026'!B2022),"",'ENGAGEMENTS 2026'!AE2022)</f>
        <v/>
      </c>
      <c r="I2022">
        <f>IF(ISBLANK('ENGAGEMENTS 2026'!B2022),"",'ENGAGEMENTS 2026'!G2022)</f>
        <v/>
      </c>
      <c r="J2022" s="275">
        <f>IF(ISBLANK('ENGAGEMENTS 2026'!B2022),"",IF(AND(OR($E2022="INFRUCTUEUX",$E2022="ANNULE"),$C2022="AOO-M"),'ENGAGEMENTS 2026'!O2022,IF($H2022="EN COURS DE PREENGAGEMENT",'ENGAGEMENTS 2026'!N2022,IF($H2022="PREENGAGE",IF($E2022="ATTRIBUE",'ENGAGEMENTS 2026'!AD2022,'ENGAGEMENTS 2026'!N2022),'ENGAGEMENTS 2026'!AD2022))))</f>
        <v/>
      </c>
      <c r="K2022" s="604">
        <f>IF(ISBLANK('ENGAGEMENTS 2026'!V2022),"",'ENGAGEMENTS 2026'!V2022)</f>
        <v/>
      </c>
      <c r="L2022" s="276">
        <f>IF($K2022="","",TODAY()-$K2022)</f>
        <v/>
      </c>
      <c r="M2022">
        <f>IF($A2022="","",IF($H2022="ENGAGE","Engagé",IF(AND($H2022="NON ENGAGE",OR($I2022="INFRUCTUEUX",$I2022="ANNULE")),"Clôturé sans suite","En cours")))</f>
        <v/>
      </c>
      <c r="N2022">
        <f>IF(ISBLANK('ENGAGEMENTS 2026'!B2022),"",'ENGAGEMENTS 2026'!K2022)</f>
        <v/>
      </c>
      <c r="O2022">
        <f>IF(ISBLANK('ENGAGEMENTS 2026'!B2022),"",'ENGAGEMENTS 2026'!L2022)</f>
        <v/>
      </c>
      <c r="P2022">
        <f>IF(ISBLANK('ENGAGEMENTS 2026'!B2022),"",'ENGAGEMENTS 2026'!J2022)</f>
        <v/>
      </c>
      <c r="Q2022">
        <f>IF($A2022="","",IF(OR($E2022="INFRUCTUEUX",$E2022="ANNULE"),$A2022&amp;"|"&amp;(COUNTIFS($A$2:$A2022,$A2022,$E$2:$E2022,"INFRUCTUEUX")+COUNTIFS($A$2:$A2022,$A2022,$E$2:$E2022,"ANNULE")),""))</f>
        <v/>
      </c>
    </row>
    <row r="2023">
      <c r="A2023">
        <f>IF(ISBLANK('ENGAGEMENTS 2026'!B2023),"",IF('ENGAGEMENTS 2026'!B2023="DTSI","DCT",'ENGAGEMENTS 2026'!B2023))</f>
        <v/>
      </c>
      <c r="B2023">
        <f>IF(ISBLANK('ENGAGEMENTS 2026'!B2023),"",'ENGAGEMENTS 2026'!C2023)</f>
        <v/>
      </c>
      <c r="C2023">
        <f>IF(ISBLANK('ENGAGEMENTS 2026'!B2023),"",'ENGAGEMENTS 2026'!D2023)</f>
        <v/>
      </c>
      <c r="D2023">
        <f>IF(ISBLANK('ENGAGEMENTS 2026'!B2023),"",'ENGAGEMENTS 2026'!F2023)</f>
        <v/>
      </c>
      <c r="E2023">
        <f>IF(ISBLANK('ENGAGEMENTS 2026'!B2023),"",'ENGAGEMENTS 2026'!H2023)</f>
        <v/>
      </c>
      <c r="F2023">
        <f>IF(ISBLANK('ENGAGEMENTS 2026'!B2023),"",'ENGAGEMENTS 2026'!I2023)</f>
        <v/>
      </c>
      <c r="G2023">
        <f>IF(ISBLANK('ENGAGEMENTS 2026'!B2023),"",'ENGAGEMENTS 2026'!L2023)</f>
        <v/>
      </c>
      <c r="H2023">
        <f>IF(ISBLANK('ENGAGEMENTS 2026'!B2023),"",'ENGAGEMENTS 2026'!AE2023)</f>
        <v/>
      </c>
      <c r="I2023">
        <f>IF(ISBLANK('ENGAGEMENTS 2026'!B2023),"",'ENGAGEMENTS 2026'!G2023)</f>
        <v/>
      </c>
      <c r="J2023" s="275">
        <f>IF(ISBLANK('ENGAGEMENTS 2026'!B2023),"",IF(AND(OR($E2023="INFRUCTUEUX",$E2023="ANNULE"),$C2023="AOO-M"),'ENGAGEMENTS 2026'!O2023,IF($H2023="EN COURS DE PREENGAGEMENT",'ENGAGEMENTS 2026'!N2023,IF($H2023="PREENGAGE",IF($E2023="ATTRIBUE",'ENGAGEMENTS 2026'!AD2023,'ENGAGEMENTS 2026'!N2023),'ENGAGEMENTS 2026'!AD2023))))</f>
        <v/>
      </c>
      <c r="K2023" s="604">
        <f>IF(ISBLANK('ENGAGEMENTS 2026'!V2023),"",'ENGAGEMENTS 2026'!V2023)</f>
        <v/>
      </c>
      <c r="L2023" s="276">
        <f>IF($K2023="","",TODAY()-$K2023)</f>
        <v/>
      </c>
      <c r="M2023">
        <f>IF($A2023="","",IF($H2023="ENGAGE","Engagé",IF(AND($H2023="NON ENGAGE",OR($I2023="INFRUCTUEUX",$I2023="ANNULE")),"Clôturé sans suite","En cours")))</f>
        <v/>
      </c>
      <c r="N2023">
        <f>IF(ISBLANK('ENGAGEMENTS 2026'!B2023),"",'ENGAGEMENTS 2026'!K2023)</f>
        <v/>
      </c>
      <c r="O2023">
        <f>IF(ISBLANK('ENGAGEMENTS 2026'!B2023),"",'ENGAGEMENTS 2026'!L2023)</f>
        <v/>
      </c>
      <c r="P2023">
        <f>IF(ISBLANK('ENGAGEMENTS 2026'!B2023),"",'ENGAGEMENTS 2026'!J2023)</f>
        <v/>
      </c>
      <c r="Q2023">
        <f>IF($A2023="","",IF(OR($E2023="INFRUCTUEUX",$E2023="ANNULE"),$A2023&amp;"|"&amp;(COUNTIFS($A$2:$A2023,$A2023,$E$2:$E2023,"INFRUCTUEUX")+COUNTIFS($A$2:$A2023,$A2023,$E$2:$E2023,"ANNULE")),""))</f>
        <v/>
      </c>
    </row>
    <row r="2024">
      <c r="A2024">
        <f>IF(ISBLANK('ENGAGEMENTS 2026'!B2024),"",IF('ENGAGEMENTS 2026'!B2024="DTSI","DCT",'ENGAGEMENTS 2026'!B2024))</f>
        <v/>
      </c>
      <c r="B2024">
        <f>IF(ISBLANK('ENGAGEMENTS 2026'!B2024),"",'ENGAGEMENTS 2026'!C2024)</f>
        <v/>
      </c>
      <c r="C2024">
        <f>IF(ISBLANK('ENGAGEMENTS 2026'!B2024),"",'ENGAGEMENTS 2026'!D2024)</f>
        <v/>
      </c>
      <c r="D2024">
        <f>IF(ISBLANK('ENGAGEMENTS 2026'!B2024),"",'ENGAGEMENTS 2026'!F2024)</f>
        <v/>
      </c>
      <c r="E2024">
        <f>IF(ISBLANK('ENGAGEMENTS 2026'!B2024),"",'ENGAGEMENTS 2026'!H2024)</f>
        <v/>
      </c>
      <c r="F2024">
        <f>IF(ISBLANK('ENGAGEMENTS 2026'!B2024),"",'ENGAGEMENTS 2026'!I2024)</f>
        <v/>
      </c>
      <c r="G2024">
        <f>IF(ISBLANK('ENGAGEMENTS 2026'!B2024),"",'ENGAGEMENTS 2026'!L2024)</f>
        <v/>
      </c>
      <c r="H2024">
        <f>IF(ISBLANK('ENGAGEMENTS 2026'!B2024),"",'ENGAGEMENTS 2026'!AE2024)</f>
        <v/>
      </c>
      <c r="I2024">
        <f>IF(ISBLANK('ENGAGEMENTS 2026'!B2024),"",'ENGAGEMENTS 2026'!G2024)</f>
        <v/>
      </c>
      <c r="J2024" s="275">
        <f>IF(ISBLANK('ENGAGEMENTS 2026'!B2024),"",IF(AND(OR($E2024="INFRUCTUEUX",$E2024="ANNULE"),$C2024="AOO-M"),'ENGAGEMENTS 2026'!O2024,IF($H2024="EN COURS DE PREENGAGEMENT",'ENGAGEMENTS 2026'!N2024,IF($H2024="PREENGAGE",IF($E2024="ATTRIBUE",'ENGAGEMENTS 2026'!AD2024,'ENGAGEMENTS 2026'!N2024),'ENGAGEMENTS 2026'!AD2024))))</f>
        <v/>
      </c>
      <c r="K2024" s="604">
        <f>IF(ISBLANK('ENGAGEMENTS 2026'!V2024),"",'ENGAGEMENTS 2026'!V2024)</f>
        <v/>
      </c>
      <c r="L2024" s="276">
        <f>IF($K2024="","",TODAY()-$K2024)</f>
        <v/>
      </c>
      <c r="M2024">
        <f>IF($A2024="","",IF($H2024="ENGAGE","Engagé",IF(AND($H2024="NON ENGAGE",OR($I2024="INFRUCTUEUX",$I2024="ANNULE")),"Clôturé sans suite","En cours")))</f>
        <v/>
      </c>
      <c r="N2024">
        <f>IF(ISBLANK('ENGAGEMENTS 2026'!B2024),"",'ENGAGEMENTS 2026'!K2024)</f>
        <v/>
      </c>
      <c r="O2024">
        <f>IF(ISBLANK('ENGAGEMENTS 2026'!B2024),"",'ENGAGEMENTS 2026'!L2024)</f>
        <v/>
      </c>
      <c r="P2024">
        <f>IF(ISBLANK('ENGAGEMENTS 2026'!B2024),"",'ENGAGEMENTS 2026'!J2024)</f>
        <v/>
      </c>
      <c r="Q2024">
        <f>IF($A2024="","",IF(OR($E2024="INFRUCTUEUX",$E2024="ANNULE"),$A2024&amp;"|"&amp;(COUNTIFS($A$2:$A2024,$A2024,$E$2:$E2024,"INFRUCTUEUX")+COUNTIFS($A$2:$A2024,$A2024,$E$2:$E2024,"ANNULE")),""))</f>
        <v/>
      </c>
    </row>
    <row r="2025">
      <c r="A2025">
        <f>IF(ISBLANK('ENGAGEMENTS 2026'!B2025),"",IF('ENGAGEMENTS 2026'!B2025="DTSI","DCT",'ENGAGEMENTS 2026'!B2025))</f>
        <v/>
      </c>
      <c r="B2025">
        <f>IF(ISBLANK('ENGAGEMENTS 2026'!B2025),"",'ENGAGEMENTS 2026'!C2025)</f>
        <v/>
      </c>
      <c r="C2025">
        <f>IF(ISBLANK('ENGAGEMENTS 2026'!B2025),"",'ENGAGEMENTS 2026'!D2025)</f>
        <v/>
      </c>
      <c r="D2025">
        <f>IF(ISBLANK('ENGAGEMENTS 2026'!B2025),"",'ENGAGEMENTS 2026'!F2025)</f>
        <v/>
      </c>
      <c r="E2025">
        <f>IF(ISBLANK('ENGAGEMENTS 2026'!B2025),"",'ENGAGEMENTS 2026'!H2025)</f>
        <v/>
      </c>
      <c r="F2025">
        <f>IF(ISBLANK('ENGAGEMENTS 2026'!B2025),"",'ENGAGEMENTS 2026'!I2025)</f>
        <v/>
      </c>
      <c r="G2025">
        <f>IF(ISBLANK('ENGAGEMENTS 2026'!B2025),"",'ENGAGEMENTS 2026'!L2025)</f>
        <v/>
      </c>
      <c r="H2025">
        <f>IF(ISBLANK('ENGAGEMENTS 2026'!B2025),"",'ENGAGEMENTS 2026'!AE2025)</f>
        <v/>
      </c>
      <c r="I2025">
        <f>IF(ISBLANK('ENGAGEMENTS 2026'!B2025),"",'ENGAGEMENTS 2026'!G2025)</f>
        <v/>
      </c>
      <c r="J2025" s="275">
        <f>IF(ISBLANK('ENGAGEMENTS 2026'!B2025),"",IF(AND(OR($E2025="INFRUCTUEUX",$E2025="ANNULE"),$C2025="AOO-M"),'ENGAGEMENTS 2026'!O2025,IF($H2025="EN COURS DE PREENGAGEMENT",'ENGAGEMENTS 2026'!N2025,IF($H2025="PREENGAGE",IF($E2025="ATTRIBUE",'ENGAGEMENTS 2026'!AD2025,'ENGAGEMENTS 2026'!N2025),'ENGAGEMENTS 2026'!AD2025))))</f>
        <v/>
      </c>
      <c r="K2025" s="604">
        <f>IF(ISBLANK('ENGAGEMENTS 2026'!V2025),"",'ENGAGEMENTS 2026'!V2025)</f>
        <v/>
      </c>
      <c r="L2025" s="276">
        <f>IF($K2025="","",TODAY()-$K2025)</f>
        <v/>
      </c>
      <c r="M2025">
        <f>IF($A2025="","",IF($H2025="ENGAGE","Engagé",IF(AND($H2025="NON ENGAGE",OR($I2025="INFRUCTUEUX",$I2025="ANNULE")),"Clôturé sans suite","En cours")))</f>
        <v/>
      </c>
      <c r="N2025">
        <f>IF(ISBLANK('ENGAGEMENTS 2026'!B2025),"",'ENGAGEMENTS 2026'!K2025)</f>
        <v/>
      </c>
      <c r="O2025">
        <f>IF(ISBLANK('ENGAGEMENTS 2026'!B2025),"",'ENGAGEMENTS 2026'!L2025)</f>
        <v/>
      </c>
      <c r="P2025">
        <f>IF(ISBLANK('ENGAGEMENTS 2026'!B2025),"",'ENGAGEMENTS 2026'!J2025)</f>
        <v/>
      </c>
      <c r="Q2025">
        <f>IF($A2025="","",IF(OR($E2025="INFRUCTUEUX",$E2025="ANNULE"),$A2025&amp;"|"&amp;(COUNTIFS($A$2:$A2025,$A2025,$E$2:$E2025,"INFRUCTUEUX")+COUNTIFS($A$2:$A2025,$A2025,$E$2:$E2025,"ANNULE")),""))</f>
        <v/>
      </c>
    </row>
    <row r="2026">
      <c r="A2026">
        <f>IF(ISBLANK('ENGAGEMENTS 2026'!B2026),"",IF('ENGAGEMENTS 2026'!B2026="DTSI","DCT",'ENGAGEMENTS 2026'!B2026))</f>
        <v/>
      </c>
      <c r="B2026">
        <f>IF(ISBLANK('ENGAGEMENTS 2026'!B2026),"",'ENGAGEMENTS 2026'!C2026)</f>
        <v/>
      </c>
      <c r="C2026">
        <f>IF(ISBLANK('ENGAGEMENTS 2026'!B2026),"",'ENGAGEMENTS 2026'!D2026)</f>
        <v/>
      </c>
      <c r="D2026">
        <f>IF(ISBLANK('ENGAGEMENTS 2026'!B2026),"",'ENGAGEMENTS 2026'!F2026)</f>
        <v/>
      </c>
      <c r="E2026">
        <f>IF(ISBLANK('ENGAGEMENTS 2026'!B2026),"",'ENGAGEMENTS 2026'!H2026)</f>
        <v/>
      </c>
      <c r="F2026">
        <f>IF(ISBLANK('ENGAGEMENTS 2026'!B2026),"",'ENGAGEMENTS 2026'!I2026)</f>
        <v/>
      </c>
      <c r="G2026">
        <f>IF(ISBLANK('ENGAGEMENTS 2026'!B2026),"",'ENGAGEMENTS 2026'!L2026)</f>
        <v/>
      </c>
      <c r="H2026">
        <f>IF(ISBLANK('ENGAGEMENTS 2026'!B2026),"",'ENGAGEMENTS 2026'!AE2026)</f>
        <v/>
      </c>
      <c r="I2026">
        <f>IF(ISBLANK('ENGAGEMENTS 2026'!B2026),"",'ENGAGEMENTS 2026'!G2026)</f>
        <v/>
      </c>
      <c r="J2026" s="275">
        <f>IF(ISBLANK('ENGAGEMENTS 2026'!B2026),"",IF(AND(OR($E2026="INFRUCTUEUX",$E2026="ANNULE"),$C2026="AOO-M"),'ENGAGEMENTS 2026'!O2026,IF($H2026="EN COURS DE PREENGAGEMENT",'ENGAGEMENTS 2026'!N2026,IF($H2026="PREENGAGE",IF($E2026="ATTRIBUE",'ENGAGEMENTS 2026'!AD2026,'ENGAGEMENTS 2026'!N2026),'ENGAGEMENTS 2026'!AD2026))))</f>
        <v/>
      </c>
      <c r="K2026" s="604">
        <f>IF(ISBLANK('ENGAGEMENTS 2026'!V2026),"",'ENGAGEMENTS 2026'!V2026)</f>
        <v/>
      </c>
      <c r="L2026" s="276">
        <f>IF($K2026="","",TODAY()-$K2026)</f>
        <v/>
      </c>
      <c r="M2026">
        <f>IF($A2026="","",IF($H2026="ENGAGE","Engagé",IF(AND($H2026="NON ENGAGE",OR($I2026="INFRUCTUEUX",$I2026="ANNULE")),"Clôturé sans suite","En cours")))</f>
        <v/>
      </c>
      <c r="N2026">
        <f>IF(ISBLANK('ENGAGEMENTS 2026'!B2026),"",'ENGAGEMENTS 2026'!K2026)</f>
        <v/>
      </c>
      <c r="O2026">
        <f>IF(ISBLANK('ENGAGEMENTS 2026'!B2026),"",'ENGAGEMENTS 2026'!L2026)</f>
        <v/>
      </c>
      <c r="P2026">
        <f>IF(ISBLANK('ENGAGEMENTS 2026'!B2026),"",'ENGAGEMENTS 2026'!J2026)</f>
        <v/>
      </c>
      <c r="Q2026">
        <f>IF($A2026="","",IF(OR($E2026="INFRUCTUEUX",$E2026="ANNULE"),$A2026&amp;"|"&amp;(COUNTIFS($A$2:$A2026,$A2026,$E$2:$E2026,"INFRUCTUEUX")+COUNTIFS($A$2:$A2026,$A2026,$E$2:$E2026,"ANNULE")),""))</f>
        <v/>
      </c>
    </row>
    <row r="2027">
      <c r="A2027">
        <f>IF(ISBLANK('ENGAGEMENTS 2026'!B2027),"",IF('ENGAGEMENTS 2026'!B2027="DTSI","DCT",'ENGAGEMENTS 2026'!B2027))</f>
        <v/>
      </c>
      <c r="B2027">
        <f>IF(ISBLANK('ENGAGEMENTS 2026'!B2027),"",'ENGAGEMENTS 2026'!C2027)</f>
        <v/>
      </c>
      <c r="C2027">
        <f>IF(ISBLANK('ENGAGEMENTS 2026'!B2027),"",'ENGAGEMENTS 2026'!D2027)</f>
        <v/>
      </c>
      <c r="D2027">
        <f>IF(ISBLANK('ENGAGEMENTS 2026'!B2027),"",'ENGAGEMENTS 2026'!F2027)</f>
        <v/>
      </c>
      <c r="E2027">
        <f>IF(ISBLANK('ENGAGEMENTS 2026'!B2027),"",'ENGAGEMENTS 2026'!H2027)</f>
        <v/>
      </c>
      <c r="F2027">
        <f>IF(ISBLANK('ENGAGEMENTS 2026'!B2027),"",'ENGAGEMENTS 2026'!I2027)</f>
        <v/>
      </c>
      <c r="G2027">
        <f>IF(ISBLANK('ENGAGEMENTS 2026'!B2027),"",'ENGAGEMENTS 2026'!L2027)</f>
        <v/>
      </c>
      <c r="H2027">
        <f>IF(ISBLANK('ENGAGEMENTS 2026'!B2027),"",'ENGAGEMENTS 2026'!AE2027)</f>
        <v/>
      </c>
      <c r="I2027">
        <f>IF(ISBLANK('ENGAGEMENTS 2026'!B2027),"",'ENGAGEMENTS 2026'!G2027)</f>
        <v/>
      </c>
      <c r="J2027" s="275">
        <f>IF(ISBLANK('ENGAGEMENTS 2026'!B2027),"",IF(AND(OR($E2027="INFRUCTUEUX",$E2027="ANNULE"),$C2027="AOO-M"),'ENGAGEMENTS 2026'!O2027,IF($H2027="EN COURS DE PREENGAGEMENT",'ENGAGEMENTS 2026'!N2027,IF($H2027="PREENGAGE",IF($E2027="ATTRIBUE",'ENGAGEMENTS 2026'!AD2027,'ENGAGEMENTS 2026'!N2027),'ENGAGEMENTS 2026'!AD2027))))</f>
        <v/>
      </c>
      <c r="K2027" s="604">
        <f>IF(ISBLANK('ENGAGEMENTS 2026'!V2027),"",'ENGAGEMENTS 2026'!V2027)</f>
        <v/>
      </c>
      <c r="L2027" s="276">
        <f>IF($K2027="","",TODAY()-$K2027)</f>
        <v/>
      </c>
      <c r="M2027">
        <f>IF($A2027="","",IF($H2027="ENGAGE","Engagé",IF(AND($H2027="NON ENGAGE",OR($I2027="INFRUCTUEUX",$I2027="ANNULE")),"Clôturé sans suite","En cours")))</f>
        <v/>
      </c>
      <c r="N2027">
        <f>IF(ISBLANK('ENGAGEMENTS 2026'!B2027),"",'ENGAGEMENTS 2026'!K2027)</f>
        <v/>
      </c>
      <c r="O2027">
        <f>IF(ISBLANK('ENGAGEMENTS 2026'!B2027),"",'ENGAGEMENTS 2026'!L2027)</f>
        <v/>
      </c>
      <c r="P2027">
        <f>IF(ISBLANK('ENGAGEMENTS 2026'!B2027),"",'ENGAGEMENTS 2026'!J2027)</f>
        <v/>
      </c>
      <c r="Q2027">
        <f>IF($A2027="","",IF(OR($E2027="INFRUCTUEUX",$E2027="ANNULE"),$A2027&amp;"|"&amp;(COUNTIFS($A$2:$A2027,$A2027,$E$2:$E2027,"INFRUCTUEUX")+COUNTIFS($A$2:$A2027,$A2027,$E$2:$E2027,"ANNULE")),""))</f>
        <v/>
      </c>
    </row>
    <row r="2028">
      <c r="A2028">
        <f>IF(ISBLANK('ENGAGEMENTS 2026'!B2028),"",IF('ENGAGEMENTS 2026'!B2028="DTSI","DCT",'ENGAGEMENTS 2026'!B2028))</f>
        <v/>
      </c>
      <c r="B2028">
        <f>IF(ISBLANK('ENGAGEMENTS 2026'!B2028),"",'ENGAGEMENTS 2026'!C2028)</f>
        <v/>
      </c>
      <c r="C2028">
        <f>IF(ISBLANK('ENGAGEMENTS 2026'!B2028),"",'ENGAGEMENTS 2026'!D2028)</f>
        <v/>
      </c>
      <c r="D2028">
        <f>IF(ISBLANK('ENGAGEMENTS 2026'!B2028),"",'ENGAGEMENTS 2026'!F2028)</f>
        <v/>
      </c>
      <c r="E2028">
        <f>IF(ISBLANK('ENGAGEMENTS 2026'!B2028),"",'ENGAGEMENTS 2026'!H2028)</f>
        <v/>
      </c>
      <c r="F2028">
        <f>IF(ISBLANK('ENGAGEMENTS 2026'!B2028),"",'ENGAGEMENTS 2026'!I2028)</f>
        <v/>
      </c>
      <c r="G2028">
        <f>IF(ISBLANK('ENGAGEMENTS 2026'!B2028),"",'ENGAGEMENTS 2026'!L2028)</f>
        <v/>
      </c>
      <c r="H2028">
        <f>IF(ISBLANK('ENGAGEMENTS 2026'!B2028),"",'ENGAGEMENTS 2026'!AE2028)</f>
        <v/>
      </c>
      <c r="I2028">
        <f>IF(ISBLANK('ENGAGEMENTS 2026'!B2028),"",'ENGAGEMENTS 2026'!G2028)</f>
        <v/>
      </c>
      <c r="J2028" s="275">
        <f>IF(ISBLANK('ENGAGEMENTS 2026'!B2028),"",IF(AND(OR($E2028="INFRUCTUEUX",$E2028="ANNULE"),$C2028="AOO-M"),'ENGAGEMENTS 2026'!O2028,IF($H2028="EN COURS DE PREENGAGEMENT",'ENGAGEMENTS 2026'!N2028,IF($H2028="PREENGAGE",IF($E2028="ATTRIBUE",'ENGAGEMENTS 2026'!AD2028,'ENGAGEMENTS 2026'!N2028),'ENGAGEMENTS 2026'!AD2028))))</f>
        <v/>
      </c>
      <c r="K2028" s="604">
        <f>IF(ISBLANK('ENGAGEMENTS 2026'!V2028),"",'ENGAGEMENTS 2026'!V2028)</f>
        <v/>
      </c>
      <c r="L2028" s="276">
        <f>IF($K2028="","",TODAY()-$K2028)</f>
        <v/>
      </c>
      <c r="M2028">
        <f>IF($A2028="","",IF($H2028="ENGAGE","Engagé",IF(AND($H2028="NON ENGAGE",OR($I2028="INFRUCTUEUX",$I2028="ANNULE")),"Clôturé sans suite","En cours")))</f>
        <v/>
      </c>
      <c r="N2028">
        <f>IF(ISBLANK('ENGAGEMENTS 2026'!B2028),"",'ENGAGEMENTS 2026'!K2028)</f>
        <v/>
      </c>
      <c r="O2028">
        <f>IF(ISBLANK('ENGAGEMENTS 2026'!B2028),"",'ENGAGEMENTS 2026'!L2028)</f>
        <v/>
      </c>
      <c r="P2028">
        <f>IF(ISBLANK('ENGAGEMENTS 2026'!B2028),"",'ENGAGEMENTS 2026'!J2028)</f>
        <v/>
      </c>
      <c r="Q2028">
        <f>IF($A2028="","",IF(OR($E2028="INFRUCTUEUX",$E2028="ANNULE"),$A2028&amp;"|"&amp;(COUNTIFS($A$2:$A2028,$A2028,$E$2:$E2028,"INFRUCTUEUX")+COUNTIFS($A$2:$A2028,$A2028,$E$2:$E2028,"ANNULE")),""))</f>
        <v/>
      </c>
    </row>
    <row r="2029">
      <c r="A2029">
        <f>IF(ISBLANK('ENGAGEMENTS 2026'!B2029),"",IF('ENGAGEMENTS 2026'!B2029="DTSI","DCT",'ENGAGEMENTS 2026'!B2029))</f>
        <v/>
      </c>
      <c r="B2029">
        <f>IF(ISBLANK('ENGAGEMENTS 2026'!B2029),"",'ENGAGEMENTS 2026'!C2029)</f>
        <v/>
      </c>
      <c r="C2029">
        <f>IF(ISBLANK('ENGAGEMENTS 2026'!B2029),"",'ENGAGEMENTS 2026'!D2029)</f>
        <v/>
      </c>
      <c r="D2029">
        <f>IF(ISBLANK('ENGAGEMENTS 2026'!B2029),"",'ENGAGEMENTS 2026'!F2029)</f>
        <v/>
      </c>
      <c r="E2029">
        <f>IF(ISBLANK('ENGAGEMENTS 2026'!B2029),"",'ENGAGEMENTS 2026'!H2029)</f>
        <v/>
      </c>
      <c r="F2029">
        <f>IF(ISBLANK('ENGAGEMENTS 2026'!B2029),"",'ENGAGEMENTS 2026'!I2029)</f>
        <v/>
      </c>
      <c r="G2029">
        <f>IF(ISBLANK('ENGAGEMENTS 2026'!B2029),"",'ENGAGEMENTS 2026'!L2029)</f>
        <v/>
      </c>
      <c r="H2029">
        <f>IF(ISBLANK('ENGAGEMENTS 2026'!B2029),"",'ENGAGEMENTS 2026'!AE2029)</f>
        <v/>
      </c>
      <c r="I2029">
        <f>IF(ISBLANK('ENGAGEMENTS 2026'!B2029),"",'ENGAGEMENTS 2026'!G2029)</f>
        <v/>
      </c>
      <c r="J2029" s="275">
        <f>IF(ISBLANK('ENGAGEMENTS 2026'!B2029),"",IF(AND(OR($E2029="INFRUCTUEUX",$E2029="ANNULE"),$C2029="AOO-M"),'ENGAGEMENTS 2026'!O2029,IF($H2029="EN COURS DE PREENGAGEMENT",'ENGAGEMENTS 2026'!N2029,IF($H2029="PREENGAGE",IF($E2029="ATTRIBUE",'ENGAGEMENTS 2026'!AD2029,'ENGAGEMENTS 2026'!N2029),'ENGAGEMENTS 2026'!AD2029))))</f>
        <v/>
      </c>
      <c r="K2029" s="604">
        <f>IF(ISBLANK('ENGAGEMENTS 2026'!V2029),"",'ENGAGEMENTS 2026'!V2029)</f>
        <v/>
      </c>
      <c r="L2029" s="276">
        <f>IF($K2029="","",TODAY()-$K2029)</f>
        <v/>
      </c>
      <c r="M2029">
        <f>IF($A2029="","",IF($H2029="ENGAGE","Engagé",IF(AND($H2029="NON ENGAGE",OR($I2029="INFRUCTUEUX",$I2029="ANNULE")),"Clôturé sans suite","En cours")))</f>
        <v/>
      </c>
      <c r="N2029">
        <f>IF(ISBLANK('ENGAGEMENTS 2026'!B2029),"",'ENGAGEMENTS 2026'!K2029)</f>
        <v/>
      </c>
      <c r="O2029">
        <f>IF(ISBLANK('ENGAGEMENTS 2026'!B2029),"",'ENGAGEMENTS 2026'!L2029)</f>
        <v/>
      </c>
      <c r="P2029">
        <f>IF(ISBLANK('ENGAGEMENTS 2026'!B2029),"",'ENGAGEMENTS 2026'!J2029)</f>
        <v/>
      </c>
      <c r="Q2029">
        <f>IF($A2029="","",IF(OR($E2029="INFRUCTUEUX",$E2029="ANNULE"),$A2029&amp;"|"&amp;(COUNTIFS($A$2:$A2029,$A2029,$E$2:$E2029,"INFRUCTUEUX")+COUNTIFS($A$2:$A2029,$A2029,$E$2:$E2029,"ANNULE")),""))</f>
        <v/>
      </c>
    </row>
    <row r="2030">
      <c r="A2030">
        <f>IF(ISBLANK('ENGAGEMENTS 2026'!B2030),"",IF('ENGAGEMENTS 2026'!B2030="DTSI","DCT",'ENGAGEMENTS 2026'!B2030))</f>
        <v/>
      </c>
      <c r="B2030">
        <f>IF(ISBLANK('ENGAGEMENTS 2026'!B2030),"",'ENGAGEMENTS 2026'!C2030)</f>
        <v/>
      </c>
      <c r="C2030">
        <f>IF(ISBLANK('ENGAGEMENTS 2026'!B2030),"",'ENGAGEMENTS 2026'!D2030)</f>
        <v/>
      </c>
      <c r="D2030">
        <f>IF(ISBLANK('ENGAGEMENTS 2026'!B2030),"",'ENGAGEMENTS 2026'!F2030)</f>
        <v/>
      </c>
      <c r="E2030">
        <f>IF(ISBLANK('ENGAGEMENTS 2026'!B2030),"",'ENGAGEMENTS 2026'!H2030)</f>
        <v/>
      </c>
      <c r="F2030">
        <f>IF(ISBLANK('ENGAGEMENTS 2026'!B2030),"",'ENGAGEMENTS 2026'!I2030)</f>
        <v/>
      </c>
      <c r="G2030">
        <f>IF(ISBLANK('ENGAGEMENTS 2026'!B2030),"",'ENGAGEMENTS 2026'!L2030)</f>
        <v/>
      </c>
      <c r="H2030">
        <f>IF(ISBLANK('ENGAGEMENTS 2026'!B2030),"",'ENGAGEMENTS 2026'!AE2030)</f>
        <v/>
      </c>
      <c r="I2030">
        <f>IF(ISBLANK('ENGAGEMENTS 2026'!B2030),"",'ENGAGEMENTS 2026'!G2030)</f>
        <v/>
      </c>
      <c r="J2030" s="275">
        <f>IF(ISBLANK('ENGAGEMENTS 2026'!B2030),"",IF(AND(OR($E2030="INFRUCTUEUX",$E2030="ANNULE"),$C2030="AOO-M"),'ENGAGEMENTS 2026'!O2030,IF($H2030="EN COURS DE PREENGAGEMENT",'ENGAGEMENTS 2026'!N2030,IF($H2030="PREENGAGE",IF($E2030="ATTRIBUE",'ENGAGEMENTS 2026'!AD2030,'ENGAGEMENTS 2026'!N2030),'ENGAGEMENTS 2026'!AD2030))))</f>
        <v/>
      </c>
      <c r="K2030" s="604">
        <f>IF(ISBLANK('ENGAGEMENTS 2026'!V2030),"",'ENGAGEMENTS 2026'!V2030)</f>
        <v/>
      </c>
      <c r="L2030" s="276">
        <f>IF($K2030="","",TODAY()-$K2030)</f>
        <v/>
      </c>
      <c r="M2030">
        <f>IF($A2030="","",IF($H2030="ENGAGE","Engagé",IF(AND($H2030="NON ENGAGE",OR($I2030="INFRUCTUEUX",$I2030="ANNULE")),"Clôturé sans suite","En cours")))</f>
        <v/>
      </c>
      <c r="N2030">
        <f>IF(ISBLANK('ENGAGEMENTS 2026'!B2030),"",'ENGAGEMENTS 2026'!K2030)</f>
        <v/>
      </c>
      <c r="O2030">
        <f>IF(ISBLANK('ENGAGEMENTS 2026'!B2030),"",'ENGAGEMENTS 2026'!L2030)</f>
        <v/>
      </c>
      <c r="P2030">
        <f>IF(ISBLANK('ENGAGEMENTS 2026'!B2030),"",'ENGAGEMENTS 2026'!J2030)</f>
        <v/>
      </c>
      <c r="Q2030">
        <f>IF($A2030="","",IF(OR($E2030="INFRUCTUEUX",$E2030="ANNULE"),$A2030&amp;"|"&amp;(COUNTIFS($A$2:$A2030,$A2030,$E$2:$E2030,"INFRUCTUEUX")+COUNTIFS($A$2:$A2030,$A2030,$E$2:$E2030,"ANNULE")),""))</f>
        <v/>
      </c>
    </row>
    <row r="2031">
      <c r="A2031">
        <f>IF(ISBLANK('ENGAGEMENTS 2026'!B2031),"",IF('ENGAGEMENTS 2026'!B2031="DTSI","DCT",'ENGAGEMENTS 2026'!B2031))</f>
        <v/>
      </c>
      <c r="B2031">
        <f>IF(ISBLANK('ENGAGEMENTS 2026'!B2031),"",'ENGAGEMENTS 2026'!C2031)</f>
        <v/>
      </c>
      <c r="C2031">
        <f>IF(ISBLANK('ENGAGEMENTS 2026'!B2031),"",'ENGAGEMENTS 2026'!D2031)</f>
        <v/>
      </c>
      <c r="D2031">
        <f>IF(ISBLANK('ENGAGEMENTS 2026'!B2031),"",'ENGAGEMENTS 2026'!F2031)</f>
        <v/>
      </c>
      <c r="E2031">
        <f>IF(ISBLANK('ENGAGEMENTS 2026'!B2031),"",'ENGAGEMENTS 2026'!H2031)</f>
        <v/>
      </c>
      <c r="F2031">
        <f>IF(ISBLANK('ENGAGEMENTS 2026'!B2031),"",'ENGAGEMENTS 2026'!I2031)</f>
        <v/>
      </c>
      <c r="G2031">
        <f>IF(ISBLANK('ENGAGEMENTS 2026'!B2031),"",'ENGAGEMENTS 2026'!L2031)</f>
        <v/>
      </c>
      <c r="H2031">
        <f>IF(ISBLANK('ENGAGEMENTS 2026'!B2031),"",'ENGAGEMENTS 2026'!AE2031)</f>
        <v/>
      </c>
      <c r="I2031">
        <f>IF(ISBLANK('ENGAGEMENTS 2026'!B2031),"",'ENGAGEMENTS 2026'!G2031)</f>
        <v/>
      </c>
      <c r="J2031" s="275">
        <f>IF(ISBLANK('ENGAGEMENTS 2026'!B2031),"",IF(AND(OR($E2031="INFRUCTUEUX",$E2031="ANNULE"),$C2031="AOO-M"),'ENGAGEMENTS 2026'!O2031,IF($H2031="EN COURS DE PREENGAGEMENT",'ENGAGEMENTS 2026'!N2031,IF($H2031="PREENGAGE",IF($E2031="ATTRIBUE",'ENGAGEMENTS 2026'!AD2031,'ENGAGEMENTS 2026'!N2031),'ENGAGEMENTS 2026'!AD2031))))</f>
        <v/>
      </c>
      <c r="K2031" s="604">
        <f>IF(ISBLANK('ENGAGEMENTS 2026'!V2031),"",'ENGAGEMENTS 2026'!V2031)</f>
        <v/>
      </c>
      <c r="L2031" s="276">
        <f>IF($K2031="","",TODAY()-$K2031)</f>
        <v/>
      </c>
      <c r="M2031">
        <f>IF($A2031="","",IF($H2031="ENGAGE","Engagé",IF(AND($H2031="NON ENGAGE",OR($I2031="INFRUCTUEUX",$I2031="ANNULE")),"Clôturé sans suite","En cours")))</f>
        <v/>
      </c>
      <c r="N2031">
        <f>IF(ISBLANK('ENGAGEMENTS 2026'!B2031),"",'ENGAGEMENTS 2026'!K2031)</f>
        <v/>
      </c>
      <c r="O2031">
        <f>IF(ISBLANK('ENGAGEMENTS 2026'!B2031),"",'ENGAGEMENTS 2026'!L2031)</f>
        <v/>
      </c>
      <c r="P2031">
        <f>IF(ISBLANK('ENGAGEMENTS 2026'!B2031),"",'ENGAGEMENTS 2026'!J2031)</f>
        <v/>
      </c>
      <c r="Q2031">
        <f>IF($A2031="","",IF(OR($E2031="INFRUCTUEUX",$E2031="ANNULE"),$A2031&amp;"|"&amp;(COUNTIFS($A$2:$A2031,$A2031,$E$2:$E2031,"INFRUCTUEUX")+COUNTIFS($A$2:$A2031,$A2031,$E$2:$E2031,"ANNULE")),""))</f>
        <v/>
      </c>
    </row>
    <row r="2032">
      <c r="A2032">
        <f>IF(ISBLANK('ENGAGEMENTS 2026'!B2032),"",IF('ENGAGEMENTS 2026'!B2032="DTSI","DCT",'ENGAGEMENTS 2026'!B2032))</f>
        <v/>
      </c>
      <c r="B2032">
        <f>IF(ISBLANK('ENGAGEMENTS 2026'!B2032),"",'ENGAGEMENTS 2026'!C2032)</f>
        <v/>
      </c>
      <c r="C2032">
        <f>IF(ISBLANK('ENGAGEMENTS 2026'!B2032),"",'ENGAGEMENTS 2026'!D2032)</f>
        <v/>
      </c>
      <c r="D2032">
        <f>IF(ISBLANK('ENGAGEMENTS 2026'!B2032),"",'ENGAGEMENTS 2026'!F2032)</f>
        <v/>
      </c>
      <c r="E2032">
        <f>IF(ISBLANK('ENGAGEMENTS 2026'!B2032),"",'ENGAGEMENTS 2026'!H2032)</f>
        <v/>
      </c>
      <c r="F2032">
        <f>IF(ISBLANK('ENGAGEMENTS 2026'!B2032),"",'ENGAGEMENTS 2026'!I2032)</f>
        <v/>
      </c>
      <c r="G2032">
        <f>IF(ISBLANK('ENGAGEMENTS 2026'!B2032),"",'ENGAGEMENTS 2026'!L2032)</f>
        <v/>
      </c>
      <c r="H2032">
        <f>IF(ISBLANK('ENGAGEMENTS 2026'!B2032),"",'ENGAGEMENTS 2026'!AE2032)</f>
        <v/>
      </c>
      <c r="I2032">
        <f>IF(ISBLANK('ENGAGEMENTS 2026'!B2032),"",'ENGAGEMENTS 2026'!G2032)</f>
        <v/>
      </c>
      <c r="J2032" s="275">
        <f>IF(ISBLANK('ENGAGEMENTS 2026'!B2032),"",IF(AND(OR($E2032="INFRUCTUEUX",$E2032="ANNULE"),$C2032="AOO-M"),'ENGAGEMENTS 2026'!O2032,IF($H2032="EN COURS DE PREENGAGEMENT",'ENGAGEMENTS 2026'!N2032,IF($H2032="PREENGAGE",IF($E2032="ATTRIBUE",'ENGAGEMENTS 2026'!AD2032,'ENGAGEMENTS 2026'!N2032),'ENGAGEMENTS 2026'!AD2032))))</f>
        <v/>
      </c>
      <c r="K2032" s="604">
        <f>IF(ISBLANK('ENGAGEMENTS 2026'!V2032),"",'ENGAGEMENTS 2026'!V2032)</f>
        <v/>
      </c>
      <c r="L2032" s="276">
        <f>IF($K2032="","",TODAY()-$K2032)</f>
        <v/>
      </c>
      <c r="M2032">
        <f>IF($A2032="","",IF($H2032="ENGAGE","Engagé",IF(AND($H2032="NON ENGAGE",OR($I2032="INFRUCTUEUX",$I2032="ANNULE")),"Clôturé sans suite","En cours")))</f>
        <v/>
      </c>
      <c r="N2032">
        <f>IF(ISBLANK('ENGAGEMENTS 2026'!B2032),"",'ENGAGEMENTS 2026'!K2032)</f>
        <v/>
      </c>
      <c r="O2032">
        <f>IF(ISBLANK('ENGAGEMENTS 2026'!B2032),"",'ENGAGEMENTS 2026'!L2032)</f>
        <v/>
      </c>
      <c r="P2032">
        <f>IF(ISBLANK('ENGAGEMENTS 2026'!B2032),"",'ENGAGEMENTS 2026'!J2032)</f>
        <v/>
      </c>
      <c r="Q2032">
        <f>IF($A2032="","",IF(OR($E2032="INFRUCTUEUX",$E2032="ANNULE"),$A2032&amp;"|"&amp;(COUNTIFS($A$2:$A2032,$A2032,$E$2:$E2032,"INFRUCTUEUX")+COUNTIFS($A$2:$A2032,$A2032,$E$2:$E2032,"ANNULE")),""))</f>
        <v/>
      </c>
    </row>
    <row r="2033">
      <c r="A2033">
        <f>IF(ISBLANK('ENGAGEMENTS 2026'!B2033),"",IF('ENGAGEMENTS 2026'!B2033="DTSI","DCT",'ENGAGEMENTS 2026'!B2033))</f>
        <v/>
      </c>
      <c r="B2033">
        <f>IF(ISBLANK('ENGAGEMENTS 2026'!B2033),"",'ENGAGEMENTS 2026'!C2033)</f>
        <v/>
      </c>
      <c r="C2033">
        <f>IF(ISBLANK('ENGAGEMENTS 2026'!B2033),"",'ENGAGEMENTS 2026'!D2033)</f>
        <v/>
      </c>
      <c r="D2033">
        <f>IF(ISBLANK('ENGAGEMENTS 2026'!B2033),"",'ENGAGEMENTS 2026'!F2033)</f>
        <v/>
      </c>
      <c r="E2033">
        <f>IF(ISBLANK('ENGAGEMENTS 2026'!B2033),"",'ENGAGEMENTS 2026'!H2033)</f>
        <v/>
      </c>
      <c r="F2033">
        <f>IF(ISBLANK('ENGAGEMENTS 2026'!B2033),"",'ENGAGEMENTS 2026'!I2033)</f>
        <v/>
      </c>
      <c r="G2033">
        <f>IF(ISBLANK('ENGAGEMENTS 2026'!B2033),"",'ENGAGEMENTS 2026'!L2033)</f>
        <v/>
      </c>
      <c r="H2033">
        <f>IF(ISBLANK('ENGAGEMENTS 2026'!B2033),"",'ENGAGEMENTS 2026'!AE2033)</f>
        <v/>
      </c>
      <c r="I2033">
        <f>IF(ISBLANK('ENGAGEMENTS 2026'!B2033),"",'ENGAGEMENTS 2026'!G2033)</f>
        <v/>
      </c>
      <c r="J2033" s="275">
        <f>IF(ISBLANK('ENGAGEMENTS 2026'!B2033),"",IF(AND(OR($E2033="INFRUCTUEUX",$E2033="ANNULE"),$C2033="AOO-M"),'ENGAGEMENTS 2026'!O2033,IF($H2033="EN COURS DE PREENGAGEMENT",'ENGAGEMENTS 2026'!N2033,IF($H2033="PREENGAGE",IF($E2033="ATTRIBUE",'ENGAGEMENTS 2026'!AD2033,'ENGAGEMENTS 2026'!N2033),'ENGAGEMENTS 2026'!AD2033))))</f>
        <v/>
      </c>
      <c r="K2033" s="604">
        <f>IF(ISBLANK('ENGAGEMENTS 2026'!V2033),"",'ENGAGEMENTS 2026'!V2033)</f>
        <v/>
      </c>
      <c r="L2033" s="276">
        <f>IF($K2033="","",TODAY()-$K2033)</f>
        <v/>
      </c>
      <c r="M2033">
        <f>IF($A2033="","",IF($H2033="ENGAGE","Engagé",IF(AND($H2033="NON ENGAGE",OR($I2033="INFRUCTUEUX",$I2033="ANNULE")),"Clôturé sans suite","En cours")))</f>
        <v/>
      </c>
      <c r="N2033">
        <f>IF(ISBLANK('ENGAGEMENTS 2026'!B2033),"",'ENGAGEMENTS 2026'!K2033)</f>
        <v/>
      </c>
      <c r="O2033">
        <f>IF(ISBLANK('ENGAGEMENTS 2026'!B2033),"",'ENGAGEMENTS 2026'!L2033)</f>
        <v/>
      </c>
      <c r="P2033">
        <f>IF(ISBLANK('ENGAGEMENTS 2026'!B2033),"",'ENGAGEMENTS 2026'!J2033)</f>
        <v/>
      </c>
      <c r="Q2033">
        <f>IF($A2033="","",IF(OR($E2033="INFRUCTUEUX",$E2033="ANNULE"),$A2033&amp;"|"&amp;(COUNTIFS($A$2:$A2033,$A2033,$E$2:$E2033,"INFRUCTUEUX")+COUNTIFS($A$2:$A2033,$A2033,$E$2:$E2033,"ANNULE")),""))</f>
        <v/>
      </c>
    </row>
    <row r="2034">
      <c r="A2034">
        <f>IF(ISBLANK('ENGAGEMENTS 2026'!B2034),"",IF('ENGAGEMENTS 2026'!B2034="DTSI","DCT",'ENGAGEMENTS 2026'!B2034))</f>
        <v/>
      </c>
      <c r="B2034">
        <f>IF(ISBLANK('ENGAGEMENTS 2026'!B2034),"",'ENGAGEMENTS 2026'!C2034)</f>
        <v/>
      </c>
      <c r="C2034">
        <f>IF(ISBLANK('ENGAGEMENTS 2026'!B2034),"",'ENGAGEMENTS 2026'!D2034)</f>
        <v/>
      </c>
      <c r="D2034">
        <f>IF(ISBLANK('ENGAGEMENTS 2026'!B2034),"",'ENGAGEMENTS 2026'!F2034)</f>
        <v/>
      </c>
      <c r="E2034">
        <f>IF(ISBLANK('ENGAGEMENTS 2026'!B2034),"",'ENGAGEMENTS 2026'!H2034)</f>
        <v/>
      </c>
      <c r="F2034">
        <f>IF(ISBLANK('ENGAGEMENTS 2026'!B2034),"",'ENGAGEMENTS 2026'!I2034)</f>
        <v/>
      </c>
      <c r="G2034">
        <f>IF(ISBLANK('ENGAGEMENTS 2026'!B2034),"",'ENGAGEMENTS 2026'!L2034)</f>
        <v/>
      </c>
      <c r="H2034">
        <f>IF(ISBLANK('ENGAGEMENTS 2026'!B2034),"",'ENGAGEMENTS 2026'!AE2034)</f>
        <v/>
      </c>
      <c r="I2034">
        <f>IF(ISBLANK('ENGAGEMENTS 2026'!B2034),"",'ENGAGEMENTS 2026'!G2034)</f>
        <v/>
      </c>
      <c r="J2034" s="275">
        <f>IF(ISBLANK('ENGAGEMENTS 2026'!B2034),"",IF(AND(OR($E2034="INFRUCTUEUX",$E2034="ANNULE"),$C2034="AOO-M"),'ENGAGEMENTS 2026'!O2034,IF($H2034="EN COURS DE PREENGAGEMENT",'ENGAGEMENTS 2026'!N2034,IF($H2034="PREENGAGE",IF($E2034="ATTRIBUE",'ENGAGEMENTS 2026'!AD2034,'ENGAGEMENTS 2026'!N2034),'ENGAGEMENTS 2026'!AD2034))))</f>
        <v/>
      </c>
      <c r="K2034" s="604">
        <f>IF(ISBLANK('ENGAGEMENTS 2026'!V2034),"",'ENGAGEMENTS 2026'!V2034)</f>
        <v/>
      </c>
      <c r="L2034" s="276">
        <f>IF($K2034="","",TODAY()-$K2034)</f>
        <v/>
      </c>
      <c r="M2034">
        <f>IF($A2034="","",IF($H2034="ENGAGE","Engagé",IF(AND($H2034="NON ENGAGE",OR($I2034="INFRUCTUEUX",$I2034="ANNULE")),"Clôturé sans suite","En cours")))</f>
        <v/>
      </c>
      <c r="N2034">
        <f>IF(ISBLANK('ENGAGEMENTS 2026'!B2034),"",'ENGAGEMENTS 2026'!K2034)</f>
        <v/>
      </c>
      <c r="O2034">
        <f>IF(ISBLANK('ENGAGEMENTS 2026'!B2034),"",'ENGAGEMENTS 2026'!L2034)</f>
        <v/>
      </c>
      <c r="P2034">
        <f>IF(ISBLANK('ENGAGEMENTS 2026'!B2034),"",'ENGAGEMENTS 2026'!J2034)</f>
        <v/>
      </c>
      <c r="Q2034">
        <f>IF($A2034="","",IF(OR($E2034="INFRUCTUEUX",$E2034="ANNULE"),$A2034&amp;"|"&amp;(COUNTIFS($A$2:$A2034,$A2034,$E$2:$E2034,"INFRUCTUEUX")+COUNTIFS($A$2:$A2034,$A2034,$E$2:$E2034,"ANNULE")),""))</f>
        <v/>
      </c>
    </row>
    <row r="2035">
      <c r="A2035">
        <f>IF(ISBLANK('ENGAGEMENTS 2026'!B2035),"",IF('ENGAGEMENTS 2026'!B2035="DTSI","DCT",'ENGAGEMENTS 2026'!B2035))</f>
        <v/>
      </c>
      <c r="B2035">
        <f>IF(ISBLANK('ENGAGEMENTS 2026'!B2035),"",'ENGAGEMENTS 2026'!C2035)</f>
        <v/>
      </c>
      <c r="C2035">
        <f>IF(ISBLANK('ENGAGEMENTS 2026'!B2035),"",'ENGAGEMENTS 2026'!D2035)</f>
        <v/>
      </c>
      <c r="D2035">
        <f>IF(ISBLANK('ENGAGEMENTS 2026'!B2035),"",'ENGAGEMENTS 2026'!F2035)</f>
        <v/>
      </c>
      <c r="E2035">
        <f>IF(ISBLANK('ENGAGEMENTS 2026'!B2035),"",'ENGAGEMENTS 2026'!H2035)</f>
        <v/>
      </c>
      <c r="F2035">
        <f>IF(ISBLANK('ENGAGEMENTS 2026'!B2035),"",'ENGAGEMENTS 2026'!I2035)</f>
        <v/>
      </c>
      <c r="G2035">
        <f>IF(ISBLANK('ENGAGEMENTS 2026'!B2035),"",'ENGAGEMENTS 2026'!L2035)</f>
        <v/>
      </c>
      <c r="H2035">
        <f>IF(ISBLANK('ENGAGEMENTS 2026'!B2035),"",'ENGAGEMENTS 2026'!AE2035)</f>
        <v/>
      </c>
      <c r="I2035">
        <f>IF(ISBLANK('ENGAGEMENTS 2026'!B2035),"",'ENGAGEMENTS 2026'!G2035)</f>
        <v/>
      </c>
      <c r="J2035" s="275">
        <f>IF(ISBLANK('ENGAGEMENTS 2026'!B2035),"",IF(AND(OR($E2035="INFRUCTUEUX",$E2035="ANNULE"),$C2035="AOO-M"),'ENGAGEMENTS 2026'!O2035,IF($H2035="EN COURS DE PREENGAGEMENT",'ENGAGEMENTS 2026'!N2035,IF($H2035="PREENGAGE",IF($E2035="ATTRIBUE",'ENGAGEMENTS 2026'!AD2035,'ENGAGEMENTS 2026'!N2035),'ENGAGEMENTS 2026'!AD2035))))</f>
        <v/>
      </c>
      <c r="K2035" s="604">
        <f>IF(ISBLANK('ENGAGEMENTS 2026'!V2035),"",'ENGAGEMENTS 2026'!V2035)</f>
        <v/>
      </c>
      <c r="L2035" s="276">
        <f>IF($K2035="","",TODAY()-$K2035)</f>
        <v/>
      </c>
      <c r="M2035">
        <f>IF($A2035="","",IF($H2035="ENGAGE","Engagé",IF(AND($H2035="NON ENGAGE",OR($I2035="INFRUCTUEUX",$I2035="ANNULE")),"Clôturé sans suite","En cours")))</f>
        <v/>
      </c>
      <c r="N2035">
        <f>IF(ISBLANK('ENGAGEMENTS 2026'!B2035),"",'ENGAGEMENTS 2026'!K2035)</f>
        <v/>
      </c>
      <c r="O2035">
        <f>IF(ISBLANK('ENGAGEMENTS 2026'!B2035),"",'ENGAGEMENTS 2026'!L2035)</f>
        <v/>
      </c>
      <c r="P2035">
        <f>IF(ISBLANK('ENGAGEMENTS 2026'!B2035),"",'ENGAGEMENTS 2026'!J2035)</f>
        <v/>
      </c>
      <c r="Q2035">
        <f>IF($A2035="","",IF(OR($E2035="INFRUCTUEUX",$E2035="ANNULE"),$A2035&amp;"|"&amp;(COUNTIFS($A$2:$A2035,$A2035,$E$2:$E2035,"INFRUCTUEUX")+COUNTIFS($A$2:$A2035,$A2035,$E$2:$E2035,"ANNULE")),""))</f>
        <v/>
      </c>
    </row>
    <row r="2036">
      <c r="A2036">
        <f>IF(ISBLANK('ENGAGEMENTS 2026'!B2036),"",IF('ENGAGEMENTS 2026'!B2036="DTSI","DCT",'ENGAGEMENTS 2026'!B2036))</f>
        <v/>
      </c>
      <c r="B2036">
        <f>IF(ISBLANK('ENGAGEMENTS 2026'!B2036),"",'ENGAGEMENTS 2026'!C2036)</f>
        <v/>
      </c>
      <c r="C2036">
        <f>IF(ISBLANK('ENGAGEMENTS 2026'!B2036),"",'ENGAGEMENTS 2026'!D2036)</f>
        <v/>
      </c>
      <c r="D2036">
        <f>IF(ISBLANK('ENGAGEMENTS 2026'!B2036),"",'ENGAGEMENTS 2026'!F2036)</f>
        <v/>
      </c>
      <c r="E2036">
        <f>IF(ISBLANK('ENGAGEMENTS 2026'!B2036),"",'ENGAGEMENTS 2026'!H2036)</f>
        <v/>
      </c>
      <c r="F2036">
        <f>IF(ISBLANK('ENGAGEMENTS 2026'!B2036),"",'ENGAGEMENTS 2026'!I2036)</f>
        <v/>
      </c>
      <c r="G2036">
        <f>IF(ISBLANK('ENGAGEMENTS 2026'!B2036),"",'ENGAGEMENTS 2026'!L2036)</f>
        <v/>
      </c>
      <c r="H2036">
        <f>IF(ISBLANK('ENGAGEMENTS 2026'!B2036),"",'ENGAGEMENTS 2026'!AE2036)</f>
        <v/>
      </c>
      <c r="I2036">
        <f>IF(ISBLANK('ENGAGEMENTS 2026'!B2036),"",'ENGAGEMENTS 2026'!G2036)</f>
        <v/>
      </c>
      <c r="J2036" s="275">
        <f>IF(ISBLANK('ENGAGEMENTS 2026'!B2036),"",IF(AND(OR($E2036="INFRUCTUEUX",$E2036="ANNULE"),$C2036="AOO-M"),'ENGAGEMENTS 2026'!O2036,IF($H2036="EN COURS DE PREENGAGEMENT",'ENGAGEMENTS 2026'!N2036,IF($H2036="PREENGAGE",IF($E2036="ATTRIBUE",'ENGAGEMENTS 2026'!AD2036,'ENGAGEMENTS 2026'!N2036),'ENGAGEMENTS 2026'!AD2036))))</f>
        <v/>
      </c>
      <c r="K2036" s="604">
        <f>IF(ISBLANK('ENGAGEMENTS 2026'!V2036),"",'ENGAGEMENTS 2026'!V2036)</f>
        <v/>
      </c>
      <c r="L2036" s="276">
        <f>IF($K2036="","",TODAY()-$K2036)</f>
        <v/>
      </c>
      <c r="M2036">
        <f>IF($A2036="","",IF($H2036="ENGAGE","Engagé",IF(AND($H2036="NON ENGAGE",OR($I2036="INFRUCTUEUX",$I2036="ANNULE")),"Clôturé sans suite","En cours")))</f>
        <v/>
      </c>
      <c r="N2036">
        <f>IF(ISBLANK('ENGAGEMENTS 2026'!B2036),"",'ENGAGEMENTS 2026'!K2036)</f>
        <v/>
      </c>
      <c r="O2036">
        <f>IF(ISBLANK('ENGAGEMENTS 2026'!B2036),"",'ENGAGEMENTS 2026'!L2036)</f>
        <v/>
      </c>
      <c r="P2036">
        <f>IF(ISBLANK('ENGAGEMENTS 2026'!B2036),"",'ENGAGEMENTS 2026'!J2036)</f>
        <v/>
      </c>
      <c r="Q2036">
        <f>IF($A2036="","",IF(OR($E2036="INFRUCTUEUX",$E2036="ANNULE"),$A2036&amp;"|"&amp;(COUNTIFS($A$2:$A2036,$A2036,$E$2:$E2036,"INFRUCTUEUX")+COUNTIFS($A$2:$A2036,$A2036,$E$2:$E2036,"ANNULE")),""))</f>
        <v/>
      </c>
    </row>
    <row r="2037">
      <c r="A2037">
        <f>IF(ISBLANK('ENGAGEMENTS 2026'!B2037),"",IF('ENGAGEMENTS 2026'!B2037="DTSI","DCT",'ENGAGEMENTS 2026'!B2037))</f>
        <v/>
      </c>
      <c r="B2037">
        <f>IF(ISBLANK('ENGAGEMENTS 2026'!B2037),"",'ENGAGEMENTS 2026'!C2037)</f>
        <v/>
      </c>
      <c r="C2037">
        <f>IF(ISBLANK('ENGAGEMENTS 2026'!B2037),"",'ENGAGEMENTS 2026'!D2037)</f>
        <v/>
      </c>
      <c r="D2037">
        <f>IF(ISBLANK('ENGAGEMENTS 2026'!B2037),"",'ENGAGEMENTS 2026'!F2037)</f>
        <v/>
      </c>
      <c r="E2037">
        <f>IF(ISBLANK('ENGAGEMENTS 2026'!B2037),"",'ENGAGEMENTS 2026'!H2037)</f>
        <v/>
      </c>
      <c r="F2037">
        <f>IF(ISBLANK('ENGAGEMENTS 2026'!B2037),"",'ENGAGEMENTS 2026'!I2037)</f>
        <v/>
      </c>
      <c r="G2037">
        <f>IF(ISBLANK('ENGAGEMENTS 2026'!B2037),"",'ENGAGEMENTS 2026'!L2037)</f>
        <v/>
      </c>
      <c r="H2037">
        <f>IF(ISBLANK('ENGAGEMENTS 2026'!B2037),"",'ENGAGEMENTS 2026'!AE2037)</f>
        <v/>
      </c>
      <c r="I2037">
        <f>IF(ISBLANK('ENGAGEMENTS 2026'!B2037),"",'ENGAGEMENTS 2026'!G2037)</f>
        <v/>
      </c>
      <c r="J2037" s="275">
        <f>IF(ISBLANK('ENGAGEMENTS 2026'!B2037),"",IF(AND(OR($E2037="INFRUCTUEUX",$E2037="ANNULE"),$C2037="AOO-M"),'ENGAGEMENTS 2026'!O2037,IF($H2037="EN COURS DE PREENGAGEMENT",'ENGAGEMENTS 2026'!N2037,IF($H2037="PREENGAGE",IF($E2037="ATTRIBUE",'ENGAGEMENTS 2026'!AD2037,'ENGAGEMENTS 2026'!N2037),'ENGAGEMENTS 2026'!AD2037))))</f>
        <v/>
      </c>
      <c r="K2037" s="604">
        <f>IF(ISBLANK('ENGAGEMENTS 2026'!V2037),"",'ENGAGEMENTS 2026'!V2037)</f>
        <v/>
      </c>
      <c r="L2037" s="276">
        <f>IF($K2037="","",TODAY()-$K2037)</f>
        <v/>
      </c>
      <c r="M2037">
        <f>IF($A2037="","",IF($H2037="ENGAGE","Engagé",IF(AND($H2037="NON ENGAGE",OR($I2037="INFRUCTUEUX",$I2037="ANNULE")),"Clôturé sans suite","En cours")))</f>
        <v/>
      </c>
      <c r="N2037">
        <f>IF(ISBLANK('ENGAGEMENTS 2026'!B2037),"",'ENGAGEMENTS 2026'!K2037)</f>
        <v/>
      </c>
      <c r="O2037">
        <f>IF(ISBLANK('ENGAGEMENTS 2026'!B2037),"",'ENGAGEMENTS 2026'!L2037)</f>
        <v/>
      </c>
      <c r="P2037">
        <f>IF(ISBLANK('ENGAGEMENTS 2026'!B2037),"",'ENGAGEMENTS 2026'!J2037)</f>
        <v/>
      </c>
      <c r="Q2037">
        <f>IF($A2037="","",IF(OR($E2037="INFRUCTUEUX",$E2037="ANNULE"),$A2037&amp;"|"&amp;(COUNTIFS($A$2:$A2037,$A2037,$E$2:$E2037,"INFRUCTUEUX")+COUNTIFS($A$2:$A2037,$A2037,$E$2:$E2037,"ANNULE")),""))</f>
        <v/>
      </c>
    </row>
    <row r="2038">
      <c r="A2038">
        <f>IF(ISBLANK('ENGAGEMENTS 2026'!B2038),"",IF('ENGAGEMENTS 2026'!B2038="DTSI","DCT",'ENGAGEMENTS 2026'!B2038))</f>
        <v/>
      </c>
      <c r="B2038">
        <f>IF(ISBLANK('ENGAGEMENTS 2026'!B2038),"",'ENGAGEMENTS 2026'!C2038)</f>
        <v/>
      </c>
      <c r="C2038">
        <f>IF(ISBLANK('ENGAGEMENTS 2026'!B2038),"",'ENGAGEMENTS 2026'!D2038)</f>
        <v/>
      </c>
      <c r="D2038">
        <f>IF(ISBLANK('ENGAGEMENTS 2026'!B2038),"",'ENGAGEMENTS 2026'!F2038)</f>
        <v/>
      </c>
      <c r="E2038">
        <f>IF(ISBLANK('ENGAGEMENTS 2026'!B2038),"",'ENGAGEMENTS 2026'!H2038)</f>
        <v/>
      </c>
      <c r="F2038">
        <f>IF(ISBLANK('ENGAGEMENTS 2026'!B2038),"",'ENGAGEMENTS 2026'!I2038)</f>
        <v/>
      </c>
      <c r="G2038">
        <f>IF(ISBLANK('ENGAGEMENTS 2026'!B2038),"",'ENGAGEMENTS 2026'!L2038)</f>
        <v/>
      </c>
      <c r="H2038">
        <f>IF(ISBLANK('ENGAGEMENTS 2026'!B2038),"",'ENGAGEMENTS 2026'!AE2038)</f>
        <v/>
      </c>
      <c r="I2038">
        <f>IF(ISBLANK('ENGAGEMENTS 2026'!B2038),"",'ENGAGEMENTS 2026'!G2038)</f>
        <v/>
      </c>
      <c r="J2038" s="275">
        <f>IF(ISBLANK('ENGAGEMENTS 2026'!B2038),"",IF(AND(OR($E2038="INFRUCTUEUX",$E2038="ANNULE"),$C2038="AOO-M"),'ENGAGEMENTS 2026'!O2038,IF($H2038="EN COURS DE PREENGAGEMENT",'ENGAGEMENTS 2026'!N2038,IF($H2038="PREENGAGE",IF($E2038="ATTRIBUE",'ENGAGEMENTS 2026'!AD2038,'ENGAGEMENTS 2026'!N2038),'ENGAGEMENTS 2026'!AD2038))))</f>
        <v/>
      </c>
      <c r="K2038" s="604">
        <f>IF(ISBLANK('ENGAGEMENTS 2026'!V2038),"",'ENGAGEMENTS 2026'!V2038)</f>
        <v/>
      </c>
      <c r="L2038" s="276">
        <f>IF($K2038="","",TODAY()-$K2038)</f>
        <v/>
      </c>
      <c r="M2038">
        <f>IF($A2038="","",IF($H2038="ENGAGE","Engagé",IF(AND($H2038="NON ENGAGE",OR($I2038="INFRUCTUEUX",$I2038="ANNULE")),"Clôturé sans suite","En cours")))</f>
        <v/>
      </c>
      <c r="N2038">
        <f>IF(ISBLANK('ENGAGEMENTS 2026'!B2038),"",'ENGAGEMENTS 2026'!K2038)</f>
        <v/>
      </c>
      <c r="O2038">
        <f>IF(ISBLANK('ENGAGEMENTS 2026'!B2038),"",'ENGAGEMENTS 2026'!L2038)</f>
        <v/>
      </c>
      <c r="P2038">
        <f>IF(ISBLANK('ENGAGEMENTS 2026'!B2038),"",'ENGAGEMENTS 2026'!J2038)</f>
        <v/>
      </c>
      <c r="Q2038">
        <f>IF($A2038="","",IF(OR($E2038="INFRUCTUEUX",$E2038="ANNULE"),$A2038&amp;"|"&amp;(COUNTIFS($A$2:$A2038,$A2038,$E$2:$E2038,"INFRUCTUEUX")+COUNTIFS($A$2:$A2038,$A2038,$E$2:$E2038,"ANNULE")),""))</f>
        <v/>
      </c>
    </row>
    <row r="2039">
      <c r="A2039">
        <f>IF(ISBLANK('ENGAGEMENTS 2026'!B2039),"",IF('ENGAGEMENTS 2026'!B2039="DTSI","DCT",'ENGAGEMENTS 2026'!B2039))</f>
        <v/>
      </c>
      <c r="B2039">
        <f>IF(ISBLANK('ENGAGEMENTS 2026'!B2039),"",'ENGAGEMENTS 2026'!C2039)</f>
        <v/>
      </c>
      <c r="C2039">
        <f>IF(ISBLANK('ENGAGEMENTS 2026'!B2039),"",'ENGAGEMENTS 2026'!D2039)</f>
        <v/>
      </c>
      <c r="D2039">
        <f>IF(ISBLANK('ENGAGEMENTS 2026'!B2039),"",'ENGAGEMENTS 2026'!F2039)</f>
        <v/>
      </c>
      <c r="E2039">
        <f>IF(ISBLANK('ENGAGEMENTS 2026'!B2039),"",'ENGAGEMENTS 2026'!H2039)</f>
        <v/>
      </c>
      <c r="F2039">
        <f>IF(ISBLANK('ENGAGEMENTS 2026'!B2039),"",'ENGAGEMENTS 2026'!I2039)</f>
        <v/>
      </c>
      <c r="G2039">
        <f>IF(ISBLANK('ENGAGEMENTS 2026'!B2039),"",'ENGAGEMENTS 2026'!L2039)</f>
        <v/>
      </c>
      <c r="H2039">
        <f>IF(ISBLANK('ENGAGEMENTS 2026'!B2039),"",'ENGAGEMENTS 2026'!AE2039)</f>
        <v/>
      </c>
      <c r="I2039">
        <f>IF(ISBLANK('ENGAGEMENTS 2026'!B2039),"",'ENGAGEMENTS 2026'!G2039)</f>
        <v/>
      </c>
      <c r="J2039" s="275">
        <f>IF(ISBLANK('ENGAGEMENTS 2026'!B2039),"",IF(AND(OR($E2039="INFRUCTUEUX",$E2039="ANNULE"),$C2039="AOO-M"),'ENGAGEMENTS 2026'!O2039,IF($H2039="EN COURS DE PREENGAGEMENT",'ENGAGEMENTS 2026'!N2039,IF($H2039="PREENGAGE",IF($E2039="ATTRIBUE",'ENGAGEMENTS 2026'!AD2039,'ENGAGEMENTS 2026'!N2039),'ENGAGEMENTS 2026'!AD2039))))</f>
        <v/>
      </c>
      <c r="K2039" s="604">
        <f>IF(ISBLANK('ENGAGEMENTS 2026'!V2039),"",'ENGAGEMENTS 2026'!V2039)</f>
        <v/>
      </c>
      <c r="L2039" s="276">
        <f>IF($K2039="","",TODAY()-$K2039)</f>
        <v/>
      </c>
      <c r="M2039">
        <f>IF($A2039="","",IF($H2039="ENGAGE","Engagé",IF(AND($H2039="NON ENGAGE",OR($I2039="INFRUCTUEUX",$I2039="ANNULE")),"Clôturé sans suite","En cours")))</f>
        <v/>
      </c>
      <c r="N2039">
        <f>IF(ISBLANK('ENGAGEMENTS 2026'!B2039),"",'ENGAGEMENTS 2026'!K2039)</f>
        <v/>
      </c>
      <c r="O2039">
        <f>IF(ISBLANK('ENGAGEMENTS 2026'!B2039),"",'ENGAGEMENTS 2026'!L2039)</f>
        <v/>
      </c>
      <c r="P2039">
        <f>IF(ISBLANK('ENGAGEMENTS 2026'!B2039),"",'ENGAGEMENTS 2026'!J2039)</f>
        <v/>
      </c>
      <c r="Q2039">
        <f>IF($A2039="","",IF(OR($E2039="INFRUCTUEUX",$E2039="ANNULE"),$A2039&amp;"|"&amp;(COUNTIFS($A$2:$A2039,$A2039,$E$2:$E2039,"INFRUCTUEUX")+COUNTIFS($A$2:$A2039,$A2039,$E$2:$E2039,"ANNULE")),""))</f>
        <v/>
      </c>
    </row>
    <row r="2040">
      <c r="A2040">
        <f>IF(ISBLANK('ENGAGEMENTS 2026'!B2040),"",IF('ENGAGEMENTS 2026'!B2040="DTSI","DCT",'ENGAGEMENTS 2026'!B2040))</f>
        <v/>
      </c>
      <c r="B2040">
        <f>IF(ISBLANK('ENGAGEMENTS 2026'!B2040),"",'ENGAGEMENTS 2026'!C2040)</f>
        <v/>
      </c>
      <c r="C2040">
        <f>IF(ISBLANK('ENGAGEMENTS 2026'!B2040),"",'ENGAGEMENTS 2026'!D2040)</f>
        <v/>
      </c>
      <c r="D2040">
        <f>IF(ISBLANK('ENGAGEMENTS 2026'!B2040),"",'ENGAGEMENTS 2026'!F2040)</f>
        <v/>
      </c>
      <c r="E2040">
        <f>IF(ISBLANK('ENGAGEMENTS 2026'!B2040),"",'ENGAGEMENTS 2026'!H2040)</f>
        <v/>
      </c>
      <c r="F2040">
        <f>IF(ISBLANK('ENGAGEMENTS 2026'!B2040),"",'ENGAGEMENTS 2026'!I2040)</f>
        <v/>
      </c>
      <c r="G2040">
        <f>IF(ISBLANK('ENGAGEMENTS 2026'!B2040),"",'ENGAGEMENTS 2026'!L2040)</f>
        <v/>
      </c>
      <c r="H2040">
        <f>IF(ISBLANK('ENGAGEMENTS 2026'!B2040),"",'ENGAGEMENTS 2026'!AE2040)</f>
        <v/>
      </c>
      <c r="I2040">
        <f>IF(ISBLANK('ENGAGEMENTS 2026'!B2040),"",'ENGAGEMENTS 2026'!G2040)</f>
        <v/>
      </c>
      <c r="J2040" s="275">
        <f>IF(ISBLANK('ENGAGEMENTS 2026'!B2040),"",IF(AND(OR($E2040="INFRUCTUEUX",$E2040="ANNULE"),$C2040="AOO-M"),'ENGAGEMENTS 2026'!O2040,IF($H2040="EN COURS DE PREENGAGEMENT",'ENGAGEMENTS 2026'!N2040,IF($H2040="PREENGAGE",IF($E2040="ATTRIBUE",'ENGAGEMENTS 2026'!AD2040,'ENGAGEMENTS 2026'!N2040),'ENGAGEMENTS 2026'!AD2040))))</f>
        <v/>
      </c>
      <c r="K2040" s="604">
        <f>IF(ISBLANK('ENGAGEMENTS 2026'!V2040),"",'ENGAGEMENTS 2026'!V2040)</f>
        <v/>
      </c>
      <c r="L2040" s="276">
        <f>IF($K2040="","",TODAY()-$K2040)</f>
        <v/>
      </c>
      <c r="M2040">
        <f>IF($A2040="","",IF($H2040="ENGAGE","Engagé",IF(AND($H2040="NON ENGAGE",OR($I2040="INFRUCTUEUX",$I2040="ANNULE")),"Clôturé sans suite","En cours")))</f>
        <v/>
      </c>
      <c r="N2040">
        <f>IF(ISBLANK('ENGAGEMENTS 2026'!B2040),"",'ENGAGEMENTS 2026'!K2040)</f>
        <v/>
      </c>
      <c r="O2040">
        <f>IF(ISBLANK('ENGAGEMENTS 2026'!B2040),"",'ENGAGEMENTS 2026'!L2040)</f>
        <v/>
      </c>
      <c r="P2040">
        <f>IF(ISBLANK('ENGAGEMENTS 2026'!B2040),"",'ENGAGEMENTS 2026'!J2040)</f>
        <v/>
      </c>
      <c r="Q2040">
        <f>IF($A2040="","",IF(OR($E2040="INFRUCTUEUX",$E2040="ANNULE"),$A2040&amp;"|"&amp;(COUNTIFS($A$2:$A2040,$A2040,$E$2:$E2040,"INFRUCTUEUX")+COUNTIFS($A$2:$A2040,$A2040,$E$2:$E2040,"ANNULE")),""))</f>
        <v/>
      </c>
    </row>
    <row r="2041">
      <c r="A2041">
        <f>IF(ISBLANK('ENGAGEMENTS 2026'!B2041),"",IF('ENGAGEMENTS 2026'!B2041="DTSI","DCT",'ENGAGEMENTS 2026'!B2041))</f>
        <v/>
      </c>
      <c r="B2041">
        <f>IF(ISBLANK('ENGAGEMENTS 2026'!B2041),"",'ENGAGEMENTS 2026'!C2041)</f>
        <v/>
      </c>
      <c r="C2041">
        <f>IF(ISBLANK('ENGAGEMENTS 2026'!B2041),"",'ENGAGEMENTS 2026'!D2041)</f>
        <v/>
      </c>
      <c r="D2041">
        <f>IF(ISBLANK('ENGAGEMENTS 2026'!B2041),"",'ENGAGEMENTS 2026'!F2041)</f>
        <v/>
      </c>
      <c r="E2041">
        <f>IF(ISBLANK('ENGAGEMENTS 2026'!B2041),"",'ENGAGEMENTS 2026'!H2041)</f>
        <v/>
      </c>
      <c r="F2041">
        <f>IF(ISBLANK('ENGAGEMENTS 2026'!B2041),"",'ENGAGEMENTS 2026'!I2041)</f>
        <v/>
      </c>
      <c r="G2041">
        <f>IF(ISBLANK('ENGAGEMENTS 2026'!B2041),"",'ENGAGEMENTS 2026'!L2041)</f>
        <v/>
      </c>
      <c r="H2041">
        <f>IF(ISBLANK('ENGAGEMENTS 2026'!B2041),"",'ENGAGEMENTS 2026'!AE2041)</f>
        <v/>
      </c>
      <c r="I2041">
        <f>IF(ISBLANK('ENGAGEMENTS 2026'!B2041),"",'ENGAGEMENTS 2026'!G2041)</f>
        <v/>
      </c>
      <c r="J2041" s="275">
        <f>IF(ISBLANK('ENGAGEMENTS 2026'!B2041),"",IF(AND(OR($E2041="INFRUCTUEUX",$E2041="ANNULE"),$C2041="AOO-M"),'ENGAGEMENTS 2026'!O2041,IF($H2041="EN COURS DE PREENGAGEMENT",'ENGAGEMENTS 2026'!N2041,IF($H2041="PREENGAGE",IF($E2041="ATTRIBUE",'ENGAGEMENTS 2026'!AD2041,'ENGAGEMENTS 2026'!N2041),'ENGAGEMENTS 2026'!AD2041))))</f>
        <v/>
      </c>
      <c r="K2041" s="604">
        <f>IF(ISBLANK('ENGAGEMENTS 2026'!V2041),"",'ENGAGEMENTS 2026'!V2041)</f>
        <v/>
      </c>
      <c r="L2041" s="276">
        <f>IF($K2041="","",TODAY()-$K2041)</f>
        <v/>
      </c>
      <c r="M2041">
        <f>IF($A2041="","",IF($H2041="ENGAGE","Engagé",IF(AND($H2041="NON ENGAGE",OR($I2041="INFRUCTUEUX",$I2041="ANNULE")),"Clôturé sans suite","En cours")))</f>
        <v/>
      </c>
      <c r="N2041">
        <f>IF(ISBLANK('ENGAGEMENTS 2026'!B2041),"",'ENGAGEMENTS 2026'!K2041)</f>
        <v/>
      </c>
      <c r="O2041">
        <f>IF(ISBLANK('ENGAGEMENTS 2026'!B2041),"",'ENGAGEMENTS 2026'!L2041)</f>
        <v/>
      </c>
      <c r="P2041">
        <f>IF(ISBLANK('ENGAGEMENTS 2026'!B2041),"",'ENGAGEMENTS 2026'!J2041)</f>
        <v/>
      </c>
      <c r="Q2041">
        <f>IF($A2041="","",IF(OR($E2041="INFRUCTUEUX",$E2041="ANNULE"),$A2041&amp;"|"&amp;(COUNTIFS($A$2:$A2041,$A2041,$E$2:$E2041,"INFRUCTUEUX")+COUNTIFS($A$2:$A2041,$A2041,$E$2:$E2041,"ANNULE")),""))</f>
        <v/>
      </c>
    </row>
    <row r="2042">
      <c r="A2042">
        <f>IF(ISBLANK('ENGAGEMENTS 2026'!B2042),"",IF('ENGAGEMENTS 2026'!B2042="DTSI","DCT",'ENGAGEMENTS 2026'!B2042))</f>
        <v/>
      </c>
      <c r="B2042">
        <f>IF(ISBLANK('ENGAGEMENTS 2026'!B2042),"",'ENGAGEMENTS 2026'!C2042)</f>
        <v/>
      </c>
      <c r="C2042">
        <f>IF(ISBLANK('ENGAGEMENTS 2026'!B2042),"",'ENGAGEMENTS 2026'!D2042)</f>
        <v/>
      </c>
      <c r="D2042">
        <f>IF(ISBLANK('ENGAGEMENTS 2026'!B2042),"",'ENGAGEMENTS 2026'!F2042)</f>
        <v/>
      </c>
      <c r="E2042">
        <f>IF(ISBLANK('ENGAGEMENTS 2026'!B2042),"",'ENGAGEMENTS 2026'!H2042)</f>
        <v/>
      </c>
      <c r="F2042">
        <f>IF(ISBLANK('ENGAGEMENTS 2026'!B2042),"",'ENGAGEMENTS 2026'!I2042)</f>
        <v/>
      </c>
      <c r="G2042">
        <f>IF(ISBLANK('ENGAGEMENTS 2026'!B2042),"",'ENGAGEMENTS 2026'!L2042)</f>
        <v/>
      </c>
      <c r="H2042">
        <f>IF(ISBLANK('ENGAGEMENTS 2026'!B2042),"",'ENGAGEMENTS 2026'!AE2042)</f>
        <v/>
      </c>
      <c r="I2042">
        <f>IF(ISBLANK('ENGAGEMENTS 2026'!B2042),"",'ENGAGEMENTS 2026'!G2042)</f>
        <v/>
      </c>
      <c r="J2042" s="275">
        <f>IF(ISBLANK('ENGAGEMENTS 2026'!B2042),"",IF(AND(OR($E2042="INFRUCTUEUX",$E2042="ANNULE"),$C2042="AOO-M"),'ENGAGEMENTS 2026'!O2042,IF($H2042="EN COURS DE PREENGAGEMENT",'ENGAGEMENTS 2026'!N2042,IF($H2042="PREENGAGE",IF($E2042="ATTRIBUE",'ENGAGEMENTS 2026'!AD2042,'ENGAGEMENTS 2026'!N2042),'ENGAGEMENTS 2026'!AD2042))))</f>
        <v/>
      </c>
      <c r="K2042" s="604">
        <f>IF(ISBLANK('ENGAGEMENTS 2026'!V2042),"",'ENGAGEMENTS 2026'!V2042)</f>
        <v/>
      </c>
      <c r="L2042" s="276">
        <f>IF($K2042="","",TODAY()-$K2042)</f>
        <v/>
      </c>
      <c r="M2042">
        <f>IF($A2042="","",IF($H2042="ENGAGE","Engagé",IF(AND($H2042="NON ENGAGE",OR($I2042="INFRUCTUEUX",$I2042="ANNULE")),"Clôturé sans suite","En cours")))</f>
        <v/>
      </c>
      <c r="N2042">
        <f>IF(ISBLANK('ENGAGEMENTS 2026'!B2042),"",'ENGAGEMENTS 2026'!K2042)</f>
        <v/>
      </c>
      <c r="O2042">
        <f>IF(ISBLANK('ENGAGEMENTS 2026'!B2042),"",'ENGAGEMENTS 2026'!L2042)</f>
        <v/>
      </c>
      <c r="P2042">
        <f>IF(ISBLANK('ENGAGEMENTS 2026'!B2042),"",'ENGAGEMENTS 2026'!J2042)</f>
        <v/>
      </c>
      <c r="Q2042">
        <f>IF($A2042="","",IF(OR($E2042="INFRUCTUEUX",$E2042="ANNULE"),$A2042&amp;"|"&amp;(COUNTIFS($A$2:$A2042,$A2042,$E$2:$E2042,"INFRUCTUEUX")+COUNTIFS($A$2:$A2042,$A2042,$E$2:$E2042,"ANNULE")),""))</f>
        <v/>
      </c>
    </row>
    <row r="2043">
      <c r="A2043">
        <f>IF(ISBLANK('ENGAGEMENTS 2026'!B2043),"",IF('ENGAGEMENTS 2026'!B2043="DTSI","DCT",'ENGAGEMENTS 2026'!B2043))</f>
        <v/>
      </c>
      <c r="B2043">
        <f>IF(ISBLANK('ENGAGEMENTS 2026'!B2043),"",'ENGAGEMENTS 2026'!C2043)</f>
        <v/>
      </c>
      <c r="C2043">
        <f>IF(ISBLANK('ENGAGEMENTS 2026'!B2043),"",'ENGAGEMENTS 2026'!D2043)</f>
        <v/>
      </c>
      <c r="D2043">
        <f>IF(ISBLANK('ENGAGEMENTS 2026'!B2043),"",'ENGAGEMENTS 2026'!F2043)</f>
        <v/>
      </c>
      <c r="E2043">
        <f>IF(ISBLANK('ENGAGEMENTS 2026'!B2043),"",'ENGAGEMENTS 2026'!H2043)</f>
        <v/>
      </c>
      <c r="F2043">
        <f>IF(ISBLANK('ENGAGEMENTS 2026'!B2043),"",'ENGAGEMENTS 2026'!I2043)</f>
        <v/>
      </c>
      <c r="G2043">
        <f>IF(ISBLANK('ENGAGEMENTS 2026'!B2043),"",'ENGAGEMENTS 2026'!L2043)</f>
        <v/>
      </c>
      <c r="H2043">
        <f>IF(ISBLANK('ENGAGEMENTS 2026'!B2043),"",'ENGAGEMENTS 2026'!AE2043)</f>
        <v/>
      </c>
      <c r="I2043">
        <f>IF(ISBLANK('ENGAGEMENTS 2026'!B2043),"",'ENGAGEMENTS 2026'!G2043)</f>
        <v/>
      </c>
      <c r="J2043" s="275">
        <f>IF(ISBLANK('ENGAGEMENTS 2026'!B2043),"",IF(AND(OR($E2043="INFRUCTUEUX",$E2043="ANNULE"),$C2043="AOO-M"),'ENGAGEMENTS 2026'!O2043,IF($H2043="EN COURS DE PREENGAGEMENT",'ENGAGEMENTS 2026'!N2043,IF($H2043="PREENGAGE",IF($E2043="ATTRIBUE",'ENGAGEMENTS 2026'!AD2043,'ENGAGEMENTS 2026'!N2043),'ENGAGEMENTS 2026'!AD2043))))</f>
        <v/>
      </c>
      <c r="K2043" s="604">
        <f>IF(ISBLANK('ENGAGEMENTS 2026'!V2043),"",'ENGAGEMENTS 2026'!V2043)</f>
        <v/>
      </c>
      <c r="L2043" s="276">
        <f>IF($K2043="","",TODAY()-$K2043)</f>
        <v/>
      </c>
      <c r="M2043">
        <f>IF($A2043="","",IF($H2043="ENGAGE","Engagé",IF(AND($H2043="NON ENGAGE",OR($I2043="INFRUCTUEUX",$I2043="ANNULE")),"Clôturé sans suite","En cours")))</f>
        <v/>
      </c>
      <c r="N2043">
        <f>IF(ISBLANK('ENGAGEMENTS 2026'!B2043),"",'ENGAGEMENTS 2026'!K2043)</f>
        <v/>
      </c>
      <c r="O2043">
        <f>IF(ISBLANK('ENGAGEMENTS 2026'!B2043),"",'ENGAGEMENTS 2026'!L2043)</f>
        <v/>
      </c>
      <c r="P2043">
        <f>IF(ISBLANK('ENGAGEMENTS 2026'!B2043),"",'ENGAGEMENTS 2026'!J2043)</f>
        <v/>
      </c>
      <c r="Q2043">
        <f>IF($A2043="","",IF(OR($E2043="INFRUCTUEUX",$E2043="ANNULE"),$A2043&amp;"|"&amp;(COUNTIFS($A$2:$A2043,$A2043,$E$2:$E2043,"INFRUCTUEUX")+COUNTIFS($A$2:$A2043,$A2043,$E$2:$E2043,"ANNULE")),""))</f>
        <v/>
      </c>
    </row>
    <row r="2044">
      <c r="A2044">
        <f>IF(ISBLANK('ENGAGEMENTS 2026'!B2044),"",IF('ENGAGEMENTS 2026'!B2044="DTSI","DCT",'ENGAGEMENTS 2026'!B2044))</f>
        <v/>
      </c>
      <c r="B2044">
        <f>IF(ISBLANK('ENGAGEMENTS 2026'!B2044),"",'ENGAGEMENTS 2026'!C2044)</f>
        <v/>
      </c>
      <c r="C2044">
        <f>IF(ISBLANK('ENGAGEMENTS 2026'!B2044),"",'ENGAGEMENTS 2026'!D2044)</f>
        <v/>
      </c>
      <c r="D2044">
        <f>IF(ISBLANK('ENGAGEMENTS 2026'!B2044),"",'ENGAGEMENTS 2026'!F2044)</f>
        <v/>
      </c>
      <c r="E2044">
        <f>IF(ISBLANK('ENGAGEMENTS 2026'!B2044),"",'ENGAGEMENTS 2026'!H2044)</f>
        <v/>
      </c>
      <c r="F2044">
        <f>IF(ISBLANK('ENGAGEMENTS 2026'!B2044),"",'ENGAGEMENTS 2026'!I2044)</f>
        <v/>
      </c>
      <c r="G2044">
        <f>IF(ISBLANK('ENGAGEMENTS 2026'!B2044),"",'ENGAGEMENTS 2026'!L2044)</f>
        <v/>
      </c>
      <c r="H2044">
        <f>IF(ISBLANK('ENGAGEMENTS 2026'!B2044),"",'ENGAGEMENTS 2026'!AE2044)</f>
        <v/>
      </c>
      <c r="I2044">
        <f>IF(ISBLANK('ENGAGEMENTS 2026'!B2044),"",'ENGAGEMENTS 2026'!G2044)</f>
        <v/>
      </c>
      <c r="J2044" s="275">
        <f>IF(ISBLANK('ENGAGEMENTS 2026'!B2044),"",IF(AND(OR($E2044="INFRUCTUEUX",$E2044="ANNULE"),$C2044="AOO-M"),'ENGAGEMENTS 2026'!O2044,IF($H2044="EN COURS DE PREENGAGEMENT",'ENGAGEMENTS 2026'!N2044,IF($H2044="PREENGAGE",IF($E2044="ATTRIBUE",'ENGAGEMENTS 2026'!AD2044,'ENGAGEMENTS 2026'!N2044),'ENGAGEMENTS 2026'!AD2044))))</f>
        <v/>
      </c>
      <c r="K2044" s="604">
        <f>IF(ISBLANK('ENGAGEMENTS 2026'!V2044),"",'ENGAGEMENTS 2026'!V2044)</f>
        <v/>
      </c>
      <c r="L2044" s="276">
        <f>IF($K2044="","",TODAY()-$K2044)</f>
        <v/>
      </c>
      <c r="M2044">
        <f>IF($A2044="","",IF($H2044="ENGAGE","Engagé",IF(AND($H2044="NON ENGAGE",OR($I2044="INFRUCTUEUX",$I2044="ANNULE")),"Clôturé sans suite","En cours")))</f>
        <v/>
      </c>
      <c r="N2044">
        <f>IF(ISBLANK('ENGAGEMENTS 2026'!B2044),"",'ENGAGEMENTS 2026'!K2044)</f>
        <v/>
      </c>
      <c r="O2044">
        <f>IF(ISBLANK('ENGAGEMENTS 2026'!B2044),"",'ENGAGEMENTS 2026'!L2044)</f>
        <v/>
      </c>
      <c r="P2044">
        <f>IF(ISBLANK('ENGAGEMENTS 2026'!B2044),"",'ENGAGEMENTS 2026'!J2044)</f>
        <v/>
      </c>
      <c r="Q2044">
        <f>IF($A2044="","",IF(OR($E2044="INFRUCTUEUX",$E2044="ANNULE"),$A2044&amp;"|"&amp;(COUNTIFS($A$2:$A2044,$A2044,$E$2:$E2044,"INFRUCTUEUX")+COUNTIFS($A$2:$A2044,$A2044,$E$2:$E2044,"ANNULE")),""))</f>
        <v/>
      </c>
    </row>
    <row r="2045">
      <c r="A2045">
        <f>IF(ISBLANK('ENGAGEMENTS 2026'!B2045),"",IF('ENGAGEMENTS 2026'!B2045="DTSI","DCT",'ENGAGEMENTS 2026'!B2045))</f>
        <v/>
      </c>
      <c r="B2045">
        <f>IF(ISBLANK('ENGAGEMENTS 2026'!B2045),"",'ENGAGEMENTS 2026'!C2045)</f>
        <v/>
      </c>
      <c r="C2045">
        <f>IF(ISBLANK('ENGAGEMENTS 2026'!B2045),"",'ENGAGEMENTS 2026'!D2045)</f>
        <v/>
      </c>
      <c r="D2045">
        <f>IF(ISBLANK('ENGAGEMENTS 2026'!B2045),"",'ENGAGEMENTS 2026'!F2045)</f>
        <v/>
      </c>
      <c r="E2045">
        <f>IF(ISBLANK('ENGAGEMENTS 2026'!B2045),"",'ENGAGEMENTS 2026'!H2045)</f>
        <v/>
      </c>
      <c r="F2045">
        <f>IF(ISBLANK('ENGAGEMENTS 2026'!B2045),"",'ENGAGEMENTS 2026'!I2045)</f>
        <v/>
      </c>
      <c r="G2045">
        <f>IF(ISBLANK('ENGAGEMENTS 2026'!B2045),"",'ENGAGEMENTS 2026'!L2045)</f>
        <v/>
      </c>
      <c r="H2045">
        <f>IF(ISBLANK('ENGAGEMENTS 2026'!B2045),"",'ENGAGEMENTS 2026'!AE2045)</f>
        <v/>
      </c>
      <c r="I2045">
        <f>IF(ISBLANK('ENGAGEMENTS 2026'!B2045),"",'ENGAGEMENTS 2026'!G2045)</f>
        <v/>
      </c>
      <c r="J2045" s="275">
        <f>IF(ISBLANK('ENGAGEMENTS 2026'!B2045),"",IF(AND(OR($E2045="INFRUCTUEUX",$E2045="ANNULE"),$C2045="AOO-M"),'ENGAGEMENTS 2026'!O2045,IF($H2045="EN COURS DE PREENGAGEMENT",'ENGAGEMENTS 2026'!N2045,IF($H2045="PREENGAGE",IF($E2045="ATTRIBUE",'ENGAGEMENTS 2026'!AD2045,'ENGAGEMENTS 2026'!N2045),'ENGAGEMENTS 2026'!AD2045))))</f>
        <v/>
      </c>
      <c r="K2045" s="604">
        <f>IF(ISBLANK('ENGAGEMENTS 2026'!V2045),"",'ENGAGEMENTS 2026'!V2045)</f>
        <v/>
      </c>
      <c r="L2045" s="276">
        <f>IF($K2045="","",TODAY()-$K2045)</f>
        <v/>
      </c>
      <c r="M2045">
        <f>IF($A2045="","",IF($H2045="ENGAGE","Engagé",IF(AND($H2045="NON ENGAGE",OR($I2045="INFRUCTUEUX",$I2045="ANNULE")),"Clôturé sans suite","En cours")))</f>
        <v/>
      </c>
      <c r="N2045">
        <f>IF(ISBLANK('ENGAGEMENTS 2026'!B2045),"",'ENGAGEMENTS 2026'!K2045)</f>
        <v/>
      </c>
      <c r="O2045">
        <f>IF(ISBLANK('ENGAGEMENTS 2026'!B2045),"",'ENGAGEMENTS 2026'!L2045)</f>
        <v/>
      </c>
      <c r="P2045">
        <f>IF(ISBLANK('ENGAGEMENTS 2026'!B2045),"",'ENGAGEMENTS 2026'!J2045)</f>
        <v/>
      </c>
      <c r="Q2045">
        <f>IF($A2045="","",IF(OR($E2045="INFRUCTUEUX",$E2045="ANNULE"),$A2045&amp;"|"&amp;(COUNTIFS($A$2:$A2045,$A2045,$E$2:$E2045,"INFRUCTUEUX")+COUNTIFS($A$2:$A2045,$A2045,$E$2:$E2045,"ANNULE")),""))</f>
        <v/>
      </c>
    </row>
    <row r="2046">
      <c r="A2046">
        <f>IF(ISBLANK('ENGAGEMENTS 2026'!B2046),"",IF('ENGAGEMENTS 2026'!B2046="DTSI","DCT",'ENGAGEMENTS 2026'!B2046))</f>
        <v/>
      </c>
      <c r="B2046">
        <f>IF(ISBLANK('ENGAGEMENTS 2026'!B2046),"",'ENGAGEMENTS 2026'!C2046)</f>
        <v/>
      </c>
      <c r="C2046">
        <f>IF(ISBLANK('ENGAGEMENTS 2026'!B2046),"",'ENGAGEMENTS 2026'!D2046)</f>
        <v/>
      </c>
      <c r="D2046">
        <f>IF(ISBLANK('ENGAGEMENTS 2026'!B2046),"",'ENGAGEMENTS 2026'!F2046)</f>
        <v/>
      </c>
      <c r="E2046">
        <f>IF(ISBLANK('ENGAGEMENTS 2026'!B2046),"",'ENGAGEMENTS 2026'!H2046)</f>
        <v/>
      </c>
      <c r="F2046">
        <f>IF(ISBLANK('ENGAGEMENTS 2026'!B2046),"",'ENGAGEMENTS 2026'!I2046)</f>
        <v/>
      </c>
      <c r="G2046">
        <f>IF(ISBLANK('ENGAGEMENTS 2026'!B2046),"",'ENGAGEMENTS 2026'!L2046)</f>
        <v/>
      </c>
      <c r="H2046">
        <f>IF(ISBLANK('ENGAGEMENTS 2026'!B2046),"",'ENGAGEMENTS 2026'!AE2046)</f>
        <v/>
      </c>
      <c r="I2046">
        <f>IF(ISBLANK('ENGAGEMENTS 2026'!B2046),"",'ENGAGEMENTS 2026'!G2046)</f>
        <v/>
      </c>
      <c r="J2046" s="275">
        <f>IF(ISBLANK('ENGAGEMENTS 2026'!B2046),"",IF(AND(OR($E2046="INFRUCTUEUX",$E2046="ANNULE"),$C2046="AOO-M"),'ENGAGEMENTS 2026'!O2046,IF($H2046="EN COURS DE PREENGAGEMENT",'ENGAGEMENTS 2026'!N2046,IF($H2046="PREENGAGE",IF($E2046="ATTRIBUE",'ENGAGEMENTS 2026'!AD2046,'ENGAGEMENTS 2026'!N2046),'ENGAGEMENTS 2026'!AD2046))))</f>
        <v/>
      </c>
      <c r="K2046" s="604">
        <f>IF(ISBLANK('ENGAGEMENTS 2026'!V2046),"",'ENGAGEMENTS 2026'!V2046)</f>
        <v/>
      </c>
      <c r="L2046" s="276">
        <f>IF($K2046="","",TODAY()-$K2046)</f>
        <v/>
      </c>
      <c r="M2046">
        <f>IF($A2046="","",IF($H2046="ENGAGE","Engagé",IF(AND($H2046="NON ENGAGE",OR($I2046="INFRUCTUEUX",$I2046="ANNULE")),"Clôturé sans suite","En cours")))</f>
        <v/>
      </c>
      <c r="N2046">
        <f>IF(ISBLANK('ENGAGEMENTS 2026'!B2046),"",'ENGAGEMENTS 2026'!K2046)</f>
        <v/>
      </c>
      <c r="O2046">
        <f>IF(ISBLANK('ENGAGEMENTS 2026'!B2046),"",'ENGAGEMENTS 2026'!L2046)</f>
        <v/>
      </c>
      <c r="P2046">
        <f>IF(ISBLANK('ENGAGEMENTS 2026'!B2046),"",'ENGAGEMENTS 2026'!J2046)</f>
        <v/>
      </c>
      <c r="Q2046">
        <f>IF($A2046="","",IF(OR($E2046="INFRUCTUEUX",$E2046="ANNULE"),$A2046&amp;"|"&amp;(COUNTIFS($A$2:$A2046,$A2046,$E$2:$E2046,"INFRUCTUEUX")+COUNTIFS($A$2:$A2046,$A2046,$E$2:$E2046,"ANNULE")),""))</f>
        <v/>
      </c>
    </row>
    <row r="2047">
      <c r="A2047">
        <f>IF(ISBLANK('ENGAGEMENTS 2026'!B2047),"",IF('ENGAGEMENTS 2026'!B2047="DTSI","DCT",'ENGAGEMENTS 2026'!B2047))</f>
        <v/>
      </c>
      <c r="B2047">
        <f>IF(ISBLANK('ENGAGEMENTS 2026'!B2047),"",'ENGAGEMENTS 2026'!C2047)</f>
        <v/>
      </c>
      <c r="C2047">
        <f>IF(ISBLANK('ENGAGEMENTS 2026'!B2047),"",'ENGAGEMENTS 2026'!D2047)</f>
        <v/>
      </c>
      <c r="D2047">
        <f>IF(ISBLANK('ENGAGEMENTS 2026'!B2047),"",'ENGAGEMENTS 2026'!F2047)</f>
        <v/>
      </c>
      <c r="E2047">
        <f>IF(ISBLANK('ENGAGEMENTS 2026'!B2047),"",'ENGAGEMENTS 2026'!H2047)</f>
        <v/>
      </c>
      <c r="F2047">
        <f>IF(ISBLANK('ENGAGEMENTS 2026'!B2047),"",'ENGAGEMENTS 2026'!I2047)</f>
        <v/>
      </c>
      <c r="G2047">
        <f>IF(ISBLANK('ENGAGEMENTS 2026'!B2047),"",'ENGAGEMENTS 2026'!L2047)</f>
        <v/>
      </c>
      <c r="H2047">
        <f>IF(ISBLANK('ENGAGEMENTS 2026'!B2047),"",'ENGAGEMENTS 2026'!AE2047)</f>
        <v/>
      </c>
      <c r="I2047">
        <f>IF(ISBLANK('ENGAGEMENTS 2026'!B2047),"",'ENGAGEMENTS 2026'!G2047)</f>
        <v/>
      </c>
      <c r="J2047" s="275">
        <f>IF(ISBLANK('ENGAGEMENTS 2026'!B2047),"",IF(AND(OR($E2047="INFRUCTUEUX",$E2047="ANNULE"),$C2047="AOO-M"),'ENGAGEMENTS 2026'!O2047,IF($H2047="EN COURS DE PREENGAGEMENT",'ENGAGEMENTS 2026'!N2047,IF($H2047="PREENGAGE",IF($E2047="ATTRIBUE",'ENGAGEMENTS 2026'!AD2047,'ENGAGEMENTS 2026'!N2047),'ENGAGEMENTS 2026'!AD2047))))</f>
        <v/>
      </c>
      <c r="K2047" s="604">
        <f>IF(ISBLANK('ENGAGEMENTS 2026'!V2047),"",'ENGAGEMENTS 2026'!V2047)</f>
        <v/>
      </c>
      <c r="L2047" s="276">
        <f>IF($K2047="","",TODAY()-$K2047)</f>
        <v/>
      </c>
      <c r="M2047">
        <f>IF($A2047="","",IF($H2047="ENGAGE","Engagé",IF(AND($H2047="NON ENGAGE",OR($I2047="INFRUCTUEUX",$I2047="ANNULE")),"Clôturé sans suite","En cours")))</f>
        <v/>
      </c>
      <c r="N2047">
        <f>IF(ISBLANK('ENGAGEMENTS 2026'!B2047),"",'ENGAGEMENTS 2026'!K2047)</f>
        <v/>
      </c>
      <c r="O2047">
        <f>IF(ISBLANK('ENGAGEMENTS 2026'!B2047),"",'ENGAGEMENTS 2026'!L2047)</f>
        <v/>
      </c>
      <c r="P2047">
        <f>IF(ISBLANK('ENGAGEMENTS 2026'!B2047),"",'ENGAGEMENTS 2026'!J2047)</f>
        <v/>
      </c>
      <c r="Q2047">
        <f>IF($A2047="","",IF(OR($E2047="INFRUCTUEUX",$E2047="ANNULE"),$A2047&amp;"|"&amp;(COUNTIFS($A$2:$A2047,$A2047,$E$2:$E2047,"INFRUCTUEUX")+COUNTIFS($A$2:$A2047,$A2047,$E$2:$E2047,"ANNULE")),""))</f>
        <v/>
      </c>
    </row>
    <row r="2048">
      <c r="A2048">
        <f>IF(ISBLANK('ENGAGEMENTS 2026'!B2048),"",IF('ENGAGEMENTS 2026'!B2048="DTSI","DCT",'ENGAGEMENTS 2026'!B2048))</f>
        <v/>
      </c>
      <c r="B2048">
        <f>IF(ISBLANK('ENGAGEMENTS 2026'!B2048),"",'ENGAGEMENTS 2026'!C2048)</f>
        <v/>
      </c>
      <c r="C2048">
        <f>IF(ISBLANK('ENGAGEMENTS 2026'!B2048),"",'ENGAGEMENTS 2026'!D2048)</f>
        <v/>
      </c>
      <c r="D2048">
        <f>IF(ISBLANK('ENGAGEMENTS 2026'!B2048),"",'ENGAGEMENTS 2026'!F2048)</f>
        <v/>
      </c>
      <c r="E2048">
        <f>IF(ISBLANK('ENGAGEMENTS 2026'!B2048),"",'ENGAGEMENTS 2026'!H2048)</f>
        <v/>
      </c>
      <c r="F2048">
        <f>IF(ISBLANK('ENGAGEMENTS 2026'!B2048),"",'ENGAGEMENTS 2026'!I2048)</f>
        <v/>
      </c>
      <c r="G2048">
        <f>IF(ISBLANK('ENGAGEMENTS 2026'!B2048),"",'ENGAGEMENTS 2026'!L2048)</f>
        <v/>
      </c>
      <c r="H2048">
        <f>IF(ISBLANK('ENGAGEMENTS 2026'!B2048),"",'ENGAGEMENTS 2026'!AE2048)</f>
        <v/>
      </c>
      <c r="I2048">
        <f>IF(ISBLANK('ENGAGEMENTS 2026'!B2048),"",'ENGAGEMENTS 2026'!G2048)</f>
        <v/>
      </c>
      <c r="J2048" s="275">
        <f>IF(ISBLANK('ENGAGEMENTS 2026'!B2048),"",IF(AND(OR($E2048="INFRUCTUEUX",$E2048="ANNULE"),$C2048="AOO-M"),'ENGAGEMENTS 2026'!O2048,IF($H2048="EN COURS DE PREENGAGEMENT",'ENGAGEMENTS 2026'!N2048,IF($H2048="PREENGAGE",IF($E2048="ATTRIBUE",'ENGAGEMENTS 2026'!AD2048,'ENGAGEMENTS 2026'!N2048),'ENGAGEMENTS 2026'!AD2048))))</f>
        <v/>
      </c>
      <c r="K2048" s="604">
        <f>IF(ISBLANK('ENGAGEMENTS 2026'!V2048),"",'ENGAGEMENTS 2026'!V2048)</f>
        <v/>
      </c>
      <c r="L2048" s="276">
        <f>IF($K2048="","",TODAY()-$K2048)</f>
        <v/>
      </c>
      <c r="M2048">
        <f>IF($A2048="","",IF($H2048="ENGAGE","Engagé",IF(AND($H2048="NON ENGAGE",OR($I2048="INFRUCTUEUX",$I2048="ANNULE")),"Clôturé sans suite","En cours")))</f>
        <v/>
      </c>
      <c r="N2048">
        <f>IF(ISBLANK('ENGAGEMENTS 2026'!B2048),"",'ENGAGEMENTS 2026'!K2048)</f>
        <v/>
      </c>
      <c r="O2048">
        <f>IF(ISBLANK('ENGAGEMENTS 2026'!B2048),"",'ENGAGEMENTS 2026'!L2048)</f>
        <v/>
      </c>
      <c r="P2048">
        <f>IF(ISBLANK('ENGAGEMENTS 2026'!B2048),"",'ENGAGEMENTS 2026'!J2048)</f>
        <v/>
      </c>
      <c r="Q2048">
        <f>IF($A2048="","",IF(OR($E2048="INFRUCTUEUX",$E2048="ANNULE"),$A2048&amp;"|"&amp;(COUNTIFS($A$2:$A2048,$A2048,$E$2:$E2048,"INFRUCTUEUX")+COUNTIFS($A$2:$A2048,$A2048,$E$2:$E2048,"ANNULE")),""))</f>
        <v/>
      </c>
    </row>
    <row r="2049">
      <c r="A2049">
        <f>IF(ISBLANK('ENGAGEMENTS 2026'!B2049),"",IF('ENGAGEMENTS 2026'!B2049="DTSI","DCT",'ENGAGEMENTS 2026'!B2049))</f>
        <v/>
      </c>
      <c r="B2049">
        <f>IF(ISBLANK('ENGAGEMENTS 2026'!B2049),"",'ENGAGEMENTS 2026'!C2049)</f>
        <v/>
      </c>
      <c r="C2049">
        <f>IF(ISBLANK('ENGAGEMENTS 2026'!B2049),"",'ENGAGEMENTS 2026'!D2049)</f>
        <v/>
      </c>
      <c r="D2049">
        <f>IF(ISBLANK('ENGAGEMENTS 2026'!B2049),"",'ENGAGEMENTS 2026'!F2049)</f>
        <v/>
      </c>
      <c r="E2049">
        <f>IF(ISBLANK('ENGAGEMENTS 2026'!B2049),"",'ENGAGEMENTS 2026'!H2049)</f>
        <v/>
      </c>
      <c r="F2049">
        <f>IF(ISBLANK('ENGAGEMENTS 2026'!B2049),"",'ENGAGEMENTS 2026'!I2049)</f>
        <v/>
      </c>
      <c r="G2049">
        <f>IF(ISBLANK('ENGAGEMENTS 2026'!B2049),"",'ENGAGEMENTS 2026'!L2049)</f>
        <v/>
      </c>
      <c r="H2049">
        <f>IF(ISBLANK('ENGAGEMENTS 2026'!B2049),"",'ENGAGEMENTS 2026'!AE2049)</f>
        <v/>
      </c>
      <c r="I2049">
        <f>IF(ISBLANK('ENGAGEMENTS 2026'!B2049),"",'ENGAGEMENTS 2026'!G2049)</f>
        <v/>
      </c>
      <c r="J2049" s="275">
        <f>IF(ISBLANK('ENGAGEMENTS 2026'!B2049),"",IF(AND(OR($E2049="INFRUCTUEUX",$E2049="ANNULE"),$C2049="AOO-M"),'ENGAGEMENTS 2026'!O2049,IF($H2049="EN COURS DE PREENGAGEMENT",'ENGAGEMENTS 2026'!N2049,IF($H2049="PREENGAGE",IF($E2049="ATTRIBUE",'ENGAGEMENTS 2026'!AD2049,'ENGAGEMENTS 2026'!N2049),'ENGAGEMENTS 2026'!AD2049))))</f>
        <v/>
      </c>
      <c r="K2049" s="604">
        <f>IF(ISBLANK('ENGAGEMENTS 2026'!V2049),"",'ENGAGEMENTS 2026'!V2049)</f>
        <v/>
      </c>
      <c r="L2049" s="276">
        <f>IF($K2049="","",TODAY()-$K2049)</f>
        <v/>
      </c>
      <c r="M2049">
        <f>IF($A2049="","",IF($H2049="ENGAGE","Engagé",IF(AND($H2049="NON ENGAGE",OR($I2049="INFRUCTUEUX",$I2049="ANNULE")),"Clôturé sans suite","En cours")))</f>
        <v/>
      </c>
      <c r="N2049">
        <f>IF(ISBLANK('ENGAGEMENTS 2026'!B2049),"",'ENGAGEMENTS 2026'!K2049)</f>
        <v/>
      </c>
      <c r="O2049">
        <f>IF(ISBLANK('ENGAGEMENTS 2026'!B2049),"",'ENGAGEMENTS 2026'!L2049)</f>
        <v/>
      </c>
      <c r="P2049">
        <f>IF(ISBLANK('ENGAGEMENTS 2026'!B2049),"",'ENGAGEMENTS 2026'!J2049)</f>
        <v/>
      </c>
      <c r="Q2049">
        <f>IF($A2049="","",IF(OR($E2049="INFRUCTUEUX",$E2049="ANNULE"),$A2049&amp;"|"&amp;(COUNTIFS($A$2:$A2049,$A2049,$E$2:$E2049,"INFRUCTUEUX")+COUNTIFS($A$2:$A2049,$A2049,$E$2:$E2049,"ANNULE")),""))</f>
        <v/>
      </c>
    </row>
    <row r="2050">
      <c r="A2050">
        <f>IF(ISBLANK('ENGAGEMENTS 2026'!B2050),"",IF('ENGAGEMENTS 2026'!B2050="DTSI","DCT",'ENGAGEMENTS 2026'!B2050))</f>
        <v/>
      </c>
      <c r="B2050">
        <f>IF(ISBLANK('ENGAGEMENTS 2026'!B2050),"",'ENGAGEMENTS 2026'!C2050)</f>
        <v/>
      </c>
      <c r="C2050">
        <f>IF(ISBLANK('ENGAGEMENTS 2026'!B2050),"",'ENGAGEMENTS 2026'!D2050)</f>
        <v/>
      </c>
      <c r="D2050">
        <f>IF(ISBLANK('ENGAGEMENTS 2026'!B2050),"",'ENGAGEMENTS 2026'!F2050)</f>
        <v/>
      </c>
      <c r="E2050">
        <f>IF(ISBLANK('ENGAGEMENTS 2026'!B2050),"",'ENGAGEMENTS 2026'!H2050)</f>
        <v/>
      </c>
      <c r="F2050">
        <f>IF(ISBLANK('ENGAGEMENTS 2026'!B2050),"",'ENGAGEMENTS 2026'!I2050)</f>
        <v/>
      </c>
      <c r="G2050">
        <f>IF(ISBLANK('ENGAGEMENTS 2026'!B2050),"",'ENGAGEMENTS 2026'!L2050)</f>
        <v/>
      </c>
      <c r="H2050">
        <f>IF(ISBLANK('ENGAGEMENTS 2026'!B2050),"",'ENGAGEMENTS 2026'!AE2050)</f>
        <v/>
      </c>
      <c r="I2050">
        <f>IF(ISBLANK('ENGAGEMENTS 2026'!B2050),"",'ENGAGEMENTS 2026'!G2050)</f>
        <v/>
      </c>
      <c r="J2050" s="275">
        <f>IF(ISBLANK('ENGAGEMENTS 2026'!B2050),"",IF(AND(OR($E2050="INFRUCTUEUX",$E2050="ANNULE"),$C2050="AOO-M"),'ENGAGEMENTS 2026'!O2050,IF($H2050="EN COURS DE PREENGAGEMENT",'ENGAGEMENTS 2026'!N2050,IF($H2050="PREENGAGE",IF($E2050="ATTRIBUE",'ENGAGEMENTS 2026'!AD2050,'ENGAGEMENTS 2026'!N2050),'ENGAGEMENTS 2026'!AD2050))))</f>
        <v/>
      </c>
      <c r="K2050" s="604">
        <f>IF(ISBLANK('ENGAGEMENTS 2026'!V2050),"",'ENGAGEMENTS 2026'!V2050)</f>
        <v/>
      </c>
      <c r="L2050" s="276">
        <f>IF($K2050="","",TODAY()-$K2050)</f>
        <v/>
      </c>
      <c r="M2050">
        <f>IF($A2050="","",IF($H2050="ENGAGE","Engagé",IF(AND($H2050="NON ENGAGE",OR($I2050="INFRUCTUEUX",$I2050="ANNULE")),"Clôturé sans suite","En cours")))</f>
        <v/>
      </c>
      <c r="N2050">
        <f>IF(ISBLANK('ENGAGEMENTS 2026'!B2050),"",'ENGAGEMENTS 2026'!K2050)</f>
        <v/>
      </c>
      <c r="O2050">
        <f>IF(ISBLANK('ENGAGEMENTS 2026'!B2050),"",'ENGAGEMENTS 2026'!L2050)</f>
        <v/>
      </c>
      <c r="P2050">
        <f>IF(ISBLANK('ENGAGEMENTS 2026'!B2050),"",'ENGAGEMENTS 2026'!J2050)</f>
        <v/>
      </c>
      <c r="Q2050">
        <f>IF($A2050="","",IF(OR($E2050="INFRUCTUEUX",$E2050="ANNULE"),$A2050&amp;"|"&amp;(COUNTIFS($A$2:$A2050,$A2050,$E$2:$E2050,"INFRUCTUEUX")+COUNTIFS($A$2:$A2050,$A2050,$E$2:$E2050,"ANNULE")),""))</f>
        <v/>
      </c>
    </row>
    <row r="2051">
      <c r="A2051">
        <f>IF(ISBLANK('ENGAGEMENTS 2026'!B2051),"",IF('ENGAGEMENTS 2026'!B2051="DTSI","DCT",'ENGAGEMENTS 2026'!B2051))</f>
        <v/>
      </c>
      <c r="B2051">
        <f>IF(ISBLANK('ENGAGEMENTS 2026'!B2051),"",'ENGAGEMENTS 2026'!C2051)</f>
        <v/>
      </c>
      <c r="C2051">
        <f>IF(ISBLANK('ENGAGEMENTS 2026'!B2051),"",'ENGAGEMENTS 2026'!D2051)</f>
        <v/>
      </c>
      <c r="D2051">
        <f>IF(ISBLANK('ENGAGEMENTS 2026'!B2051),"",'ENGAGEMENTS 2026'!F2051)</f>
        <v/>
      </c>
      <c r="E2051">
        <f>IF(ISBLANK('ENGAGEMENTS 2026'!B2051),"",'ENGAGEMENTS 2026'!H2051)</f>
        <v/>
      </c>
      <c r="F2051">
        <f>IF(ISBLANK('ENGAGEMENTS 2026'!B2051),"",'ENGAGEMENTS 2026'!I2051)</f>
        <v/>
      </c>
      <c r="G2051">
        <f>IF(ISBLANK('ENGAGEMENTS 2026'!B2051),"",'ENGAGEMENTS 2026'!L2051)</f>
        <v/>
      </c>
      <c r="H2051">
        <f>IF(ISBLANK('ENGAGEMENTS 2026'!B2051),"",'ENGAGEMENTS 2026'!AE2051)</f>
        <v/>
      </c>
      <c r="I2051">
        <f>IF(ISBLANK('ENGAGEMENTS 2026'!B2051),"",'ENGAGEMENTS 2026'!G2051)</f>
        <v/>
      </c>
      <c r="J2051" s="275">
        <f>IF(ISBLANK('ENGAGEMENTS 2026'!B2051),"",IF(AND(OR($E2051="INFRUCTUEUX",$E2051="ANNULE"),$C2051="AOO-M"),'ENGAGEMENTS 2026'!O2051,IF($H2051="EN COURS DE PREENGAGEMENT",'ENGAGEMENTS 2026'!N2051,IF($H2051="PREENGAGE",IF($E2051="ATTRIBUE",'ENGAGEMENTS 2026'!AD2051,'ENGAGEMENTS 2026'!N2051),'ENGAGEMENTS 2026'!AD2051))))</f>
        <v/>
      </c>
      <c r="K2051" s="604">
        <f>IF(ISBLANK('ENGAGEMENTS 2026'!V2051),"",'ENGAGEMENTS 2026'!V2051)</f>
        <v/>
      </c>
      <c r="L2051" s="276">
        <f>IF($K2051="","",TODAY()-$K2051)</f>
        <v/>
      </c>
      <c r="M2051">
        <f>IF($A2051="","",IF($H2051="ENGAGE","Engagé",IF(AND($H2051="NON ENGAGE",OR($I2051="INFRUCTUEUX",$I2051="ANNULE")),"Clôturé sans suite","En cours")))</f>
        <v/>
      </c>
      <c r="N2051">
        <f>IF(ISBLANK('ENGAGEMENTS 2026'!B2051),"",'ENGAGEMENTS 2026'!K2051)</f>
        <v/>
      </c>
      <c r="O2051">
        <f>IF(ISBLANK('ENGAGEMENTS 2026'!B2051),"",'ENGAGEMENTS 2026'!L2051)</f>
        <v/>
      </c>
      <c r="P2051">
        <f>IF(ISBLANK('ENGAGEMENTS 2026'!B2051),"",'ENGAGEMENTS 2026'!J2051)</f>
        <v/>
      </c>
      <c r="Q2051">
        <f>IF($A2051="","",IF(OR($E2051="INFRUCTUEUX",$E2051="ANNULE"),$A2051&amp;"|"&amp;(COUNTIFS($A$2:$A2051,$A2051,$E$2:$E2051,"INFRUCTUEUX")+COUNTIFS($A$2:$A2051,$A2051,$E$2:$E2051,"ANNULE")),""))</f>
        <v/>
      </c>
    </row>
    <row r="2052">
      <c r="A2052">
        <f>IF(ISBLANK('ENGAGEMENTS 2026'!B2052),"",IF('ENGAGEMENTS 2026'!B2052="DTSI","DCT",'ENGAGEMENTS 2026'!B2052))</f>
        <v/>
      </c>
      <c r="B2052">
        <f>IF(ISBLANK('ENGAGEMENTS 2026'!B2052),"",'ENGAGEMENTS 2026'!C2052)</f>
        <v/>
      </c>
      <c r="C2052">
        <f>IF(ISBLANK('ENGAGEMENTS 2026'!B2052),"",'ENGAGEMENTS 2026'!D2052)</f>
        <v/>
      </c>
      <c r="D2052">
        <f>IF(ISBLANK('ENGAGEMENTS 2026'!B2052),"",'ENGAGEMENTS 2026'!F2052)</f>
        <v/>
      </c>
      <c r="E2052">
        <f>IF(ISBLANK('ENGAGEMENTS 2026'!B2052),"",'ENGAGEMENTS 2026'!H2052)</f>
        <v/>
      </c>
      <c r="F2052">
        <f>IF(ISBLANK('ENGAGEMENTS 2026'!B2052),"",'ENGAGEMENTS 2026'!I2052)</f>
        <v/>
      </c>
      <c r="G2052">
        <f>IF(ISBLANK('ENGAGEMENTS 2026'!B2052),"",'ENGAGEMENTS 2026'!L2052)</f>
        <v/>
      </c>
      <c r="H2052">
        <f>IF(ISBLANK('ENGAGEMENTS 2026'!B2052),"",'ENGAGEMENTS 2026'!AE2052)</f>
        <v/>
      </c>
      <c r="I2052">
        <f>IF(ISBLANK('ENGAGEMENTS 2026'!B2052),"",'ENGAGEMENTS 2026'!G2052)</f>
        <v/>
      </c>
      <c r="J2052" s="275">
        <f>IF(ISBLANK('ENGAGEMENTS 2026'!B2052),"",IF(AND(OR($E2052="INFRUCTUEUX",$E2052="ANNULE"),$C2052="AOO-M"),'ENGAGEMENTS 2026'!O2052,IF($H2052="EN COURS DE PREENGAGEMENT",'ENGAGEMENTS 2026'!N2052,IF($H2052="PREENGAGE",IF($E2052="ATTRIBUE",'ENGAGEMENTS 2026'!AD2052,'ENGAGEMENTS 2026'!N2052),'ENGAGEMENTS 2026'!AD2052))))</f>
        <v/>
      </c>
      <c r="K2052" s="604">
        <f>IF(ISBLANK('ENGAGEMENTS 2026'!V2052),"",'ENGAGEMENTS 2026'!V2052)</f>
        <v/>
      </c>
      <c r="L2052" s="276">
        <f>IF($K2052="","",TODAY()-$K2052)</f>
        <v/>
      </c>
      <c r="M2052">
        <f>IF($A2052="","",IF($H2052="ENGAGE","Engagé",IF(AND($H2052="NON ENGAGE",OR($I2052="INFRUCTUEUX",$I2052="ANNULE")),"Clôturé sans suite","En cours")))</f>
        <v/>
      </c>
      <c r="N2052">
        <f>IF(ISBLANK('ENGAGEMENTS 2026'!B2052),"",'ENGAGEMENTS 2026'!K2052)</f>
        <v/>
      </c>
      <c r="O2052">
        <f>IF(ISBLANK('ENGAGEMENTS 2026'!B2052),"",'ENGAGEMENTS 2026'!L2052)</f>
        <v/>
      </c>
      <c r="P2052">
        <f>IF(ISBLANK('ENGAGEMENTS 2026'!B2052),"",'ENGAGEMENTS 2026'!J2052)</f>
        <v/>
      </c>
      <c r="Q2052">
        <f>IF($A2052="","",IF(OR($E2052="INFRUCTUEUX",$E2052="ANNULE"),$A2052&amp;"|"&amp;(COUNTIFS($A$2:$A2052,$A2052,$E$2:$E2052,"INFRUCTUEUX")+COUNTIFS($A$2:$A2052,$A2052,$E$2:$E2052,"ANNULE")),""))</f>
        <v/>
      </c>
    </row>
    <row r="2053">
      <c r="A2053">
        <f>IF(ISBLANK('ENGAGEMENTS 2026'!B2053),"",IF('ENGAGEMENTS 2026'!B2053="DTSI","DCT",'ENGAGEMENTS 2026'!B2053))</f>
        <v/>
      </c>
      <c r="B2053">
        <f>IF(ISBLANK('ENGAGEMENTS 2026'!B2053),"",'ENGAGEMENTS 2026'!C2053)</f>
        <v/>
      </c>
      <c r="C2053">
        <f>IF(ISBLANK('ENGAGEMENTS 2026'!B2053),"",'ENGAGEMENTS 2026'!D2053)</f>
        <v/>
      </c>
      <c r="D2053">
        <f>IF(ISBLANK('ENGAGEMENTS 2026'!B2053),"",'ENGAGEMENTS 2026'!F2053)</f>
        <v/>
      </c>
      <c r="E2053">
        <f>IF(ISBLANK('ENGAGEMENTS 2026'!B2053),"",'ENGAGEMENTS 2026'!H2053)</f>
        <v/>
      </c>
      <c r="F2053">
        <f>IF(ISBLANK('ENGAGEMENTS 2026'!B2053),"",'ENGAGEMENTS 2026'!I2053)</f>
        <v/>
      </c>
      <c r="G2053">
        <f>IF(ISBLANK('ENGAGEMENTS 2026'!B2053),"",'ENGAGEMENTS 2026'!L2053)</f>
        <v/>
      </c>
      <c r="H2053">
        <f>IF(ISBLANK('ENGAGEMENTS 2026'!B2053),"",'ENGAGEMENTS 2026'!AE2053)</f>
        <v/>
      </c>
      <c r="I2053">
        <f>IF(ISBLANK('ENGAGEMENTS 2026'!B2053),"",'ENGAGEMENTS 2026'!G2053)</f>
        <v/>
      </c>
      <c r="J2053" s="275">
        <f>IF(ISBLANK('ENGAGEMENTS 2026'!B2053),"",IF(AND(OR($E2053="INFRUCTUEUX",$E2053="ANNULE"),$C2053="AOO-M"),'ENGAGEMENTS 2026'!O2053,IF($H2053="EN COURS DE PREENGAGEMENT",'ENGAGEMENTS 2026'!N2053,IF($H2053="PREENGAGE",IF($E2053="ATTRIBUE",'ENGAGEMENTS 2026'!AD2053,'ENGAGEMENTS 2026'!N2053),'ENGAGEMENTS 2026'!AD2053))))</f>
        <v/>
      </c>
      <c r="K2053" s="604">
        <f>IF(ISBLANK('ENGAGEMENTS 2026'!V2053),"",'ENGAGEMENTS 2026'!V2053)</f>
        <v/>
      </c>
      <c r="L2053" s="276">
        <f>IF($K2053="","",TODAY()-$K2053)</f>
        <v/>
      </c>
      <c r="M2053">
        <f>IF($A2053="","",IF($H2053="ENGAGE","Engagé",IF(AND($H2053="NON ENGAGE",OR($I2053="INFRUCTUEUX",$I2053="ANNULE")),"Clôturé sans suite","En cours")))</f>
        <v/>
      </c>
      <c r="N2053">
        <f>IF(ISBLANK('ENGAGEMENTS 2026'!B2053),"",'ENGAGEMENTS 2026'!K2053)</f>
        <v/>
      </c>
      <c r="O2053">
        <f>IF(ISBLANK('ENGAGEMENTS 2026'!B2053),"",'ENGAGEMENTS 2026'!L2053)</f>
        <v/>
      </c>
      <c r="P2053">
        <f>IF(ISBLANK('ENGAGEMENTS 2026'!B2053),"",'ENGAGEMENTS 2026'!J2053)</f>
        <v/>
      </c>
      <c r="Q2053">
        <f>IF($A2053="","",IF(OR($E2053="INFRUCTUEUX",$E2053="ANNULE"),$A2053&amp;"|"&amp;(COUNTIFS($A$2:$A2053,$A2053,$E$2:$E2053,"INFRUCTUEUX")+COUNTIFS($A$2:$A2053,$A2053,$E$2:$E2053,"ANNULE")),""))</f>
        <v/>
      </c>
    </row>
    <row r="2054">
      <c r="A2054">
        <f>IF(ISBLANK('ENGAGEMENTS 2026'!B2054),"",IF('ENGAGEMENTS 2026'!B2054="DTSI","DCT",'ENGAGEMENTS 2026'!B2054))</f>
        <v/>
      </c>
      <c r="B2054">
        <f>IF(ISBLANK('ENGAGEMENTS 2026'!B2054),"",'ENGAGEMENTS 2026'!C2054)</f>
        <v/>
      </c>
      <c r="C2054">
        <f>IF(ISBLANK('ENGAGEMENTS 2026'!B2054),"",'ENGAGEMENTS 2026'!D2054)</f>
        <v/>
      </c>
      <c r="D2054">
        <f>IF(ISBLANK('ENGAGEMENTS 2026'!B2054),"",'ENGAGEMENTS 2026'!F2054)</f>
        <v/>
      </c>
      <c r="E2054">
        <f>IF(ISBLANK('ENGAGEMENTS 2026'!B2054),"",'ENGAGEMENTS 2026'!H2054)</f>
        <v/>
      </c>
      <c r="F2054">
        <f>IF(ISBLANK('ENGAGEMENTS 2026'!B2054),"",'ENGAGEMENTS 2026'!I2054)</f>
        <v/>
      </c>
      <c r="G2054">
        <f>IF(ISBLANK('ENGAGEMENTS 2026'!B2054),"",'ENGAGEMENTS 2026'!L2054)</f>
        <v/>
      </c>
      <c r="H2054">
        <f>IF(ISBLANK('ENGAGEMENTS 2026'!B2054),"",'ENGAGEMENTS 2026'!AE2054)</f>
        <v/>
      </c>
      <c r="I2054">
        <f>IF(ISBLANK('ENGAGEMENTS 2026'!B2054),"",'ENGAGEMENTS 2026'!G2054)</f>
        <v/>
      </c>
      <c r="J2054" s="275">
        <f>IF(ISBLANK('ENGAGEMENTS 2026'!B2054),"",IF(AND(OR($E2054="INFRUCTUEUX",$E2054="ANNULE"),$C2054="AOO-M"),'ENGAGEMENTS 2026'!O2054,IF($H2054="EN COURS DE PREENGAGEMENT",'ENGAGEMENTS 2026'!N2054,IF($H2054="PREENGAGE",IF($E2054="ATTRIBUE",'ENGAGEMENTS 2026'!AD2054,'ENGAGEMENTS 2026'!N2054),'ENGAGEMENTS 2026'!AD2054))))</f>
        <v/>
      </c>
      <c r="K2054" s="604">
        <f>IF(ISBLANK('ENGAGEMENTS 2026'!V2054),"",'ENGAGEMENTS 2026'!V2054)</f>
        <v/>
      </c>
      <c r="L2054" s="276">
        <f>IF($K2054="","",TODAY()-$K2054)</f>
        <v/>
      </c>
      <c r="M2054">
        <f>IF($A2054="","",IF($H2054="ENGAGE","Engagé",IF(AND($H2054="NON ENGAGE",OR($I2054="INFRUCTUEUX",$I2054="ANNULE")),"Clôturé sans suite","En cours")))</f>
        <v/>
      </c>
      <c r="N2054">
        <f>IF(ISBLANK('ENGAGEMENTS 2026'!B2054),"",'ENGAGEMENTS 2026'!K2054)</f>
        <v/>
      </c>
      <c r="O2054">
        <f>IF(ISBLANK('ENGAGEMENTS 2026'!B2054),"",'ENGAGEMENTS 2026'!L2054)</f>
        <v/>
      </c>
      <c r="P2054">
        <f>IF(ISBLANK('ENGAGEMENTS 2026'!B2054),"",'ENGAGEMENTS 2026'!J2054)</f>
        <v/>
      </c>
      <c r="Q2054">
        <f>IF($A2054="","",IF(OR($E2054="INFRUCTUEUX",$E2054="ANNULE"),$A2054&amp;"|"&amp;(COUNTIFS($A$2:$A2054,$A2054,$E$2:$E2054,"INFRUCTUEUX")+COUNTIFS($A$2:$A2054,$A2054,$E$2:$E2054,"ANNULE")),""))</f>
        <v/>
      </c>
    </row>
    <row r="2055">
      <c r="A2055">
        <f>IF(ISBLANK('ENGAGEMENTS 2026'!B2055),"",IF('ENGAGEMENTS 2026'!B2055="DTSI","DCT",'ENGAGEMENTS 2026'!B2055))</f>
        <v/>
      </c>
      <c r="B2055">
        <f>IF(ISBLANK('ENGAGEMENTS 2026'!B2055),"",'ENGAGEMENTS 2026'!C2055)</f>
        <v/>
      </c>
      <c r="C2055">
        <f>IF(ISBLANK('ENGAGEMENTS 2026'!B2055),"",'ENGAGEMENTS 2026'!D2055)</f>
        <v/>
      </c>
      <c r="D2055">
        <f>IF(ISBLANK('ENGAGEMENTS 2026'!B2055),"",'ENGAGEMENTS 2026'!F2055)</f>
        <v/>
      </c>
      <c r="E2055">
        <f>IF(ISBLANK('ENGAGEMENTS 2026'!B2055),"",'ENGAGEMENTS 2026'!H2055)</f>
        <v/>
      </c>
      <c r="F2055">
        <f>IF(ISBLANK('ENGAGEMENTS 2026'!B2055),"",'ENGAGEMENTS 2026'!I2055)</f>
        <v/>
      </c>
      <c r="G2055">
        <f>IF(ISBLANK('ENGAGEMENTS 2026'!B2055),"",'ENGAGEMENTS 2026'!L2055)</f>
        <v/>
      </c>
      <c r="H2055">
        <f>IF(ISBLANK('ENGAGEMENTS 2026'!B2055),"",'ENGAGEMENTS 2026'!AE2055)</f>
        <v/>
      </c>
      <c r="I2055">
        <f>IF(ISBLANK('ENGAGEMENTS 2026'!B2055),"",'ENGAGEMENTS 2026'!G2055)</f>
        <v/>
      </c>
      <c r="J2055" s="275">
        <f>IF(ISBLANK('ENGAGEMENTS 2026'!B2055),"",IF(AND(OR($E2055="INFRUCTUEUX",$E2055="ANNULE"),$C2055="AOO-M"),'ENGAGEMENTS 2026'!O2055,IF($H2055="EN COURS DE PREENGAGEMENT",'ENGAGEMENTS 2026'!N2055,IF($H2055="PREENGAGE",IF($E2055="ATTRIBUE",'ENGAGEMENTS 2026'!AD2055,'ENGAGEMENTS 2026'!N2055),'ENGAGEMENTS 2026'!AD2055))))</f>
        <v/>
      </c>
      <c r="K2055" s="604">
        <f>IF(ISBLANK('ENGAGEMENTS 2026'!V2055),"",'ENGAGEMENTS 2026'!V2055)</f>
        <v/>
      </c>
      <c r="L2055" s="276">
        <f>IF($K2055="","",TODAY()-$K2055)</f>
        <v/>
      </c>
      <c r="M2055">
        <f>IF($A2055="","",IF($H2055="ENGAGE","Engagé",IF(AND($H2055="NON ENGAGE",OR($I2055="INFRUCTUEUX",$I2055="ANNULE")),"Clôturé sans suite","En cours")))</f>
        <v/>
      </c>
      <c r="N2055">
        <f>IF(ISBLANK('ENGAGEMENTS 2026'!B2055),"",'ENGAGEMENTS 2026'!K2055)</f>
        <v/>
      </c>
      <c r="O2055">
        <f>IF(ISBLANK('ENGAGEMENTS 2026'!B2055),"",'ENGAGEMENTS 2026'!L2055)</f>
        <v/>
      </c>
      <c r="P2055">
        <f>IF(ISBLANK('ENGAGEMENTS 2026'!B2055),"",'ENGAGEMENTS 2026'!J2055)</f>
        <v/>
      </c>
      <c r="Q2055">
        <f>IF($A2055="","",IF(OR($E2055="INFRUCTUEUX",$E2055="ANNULE"),$A2055&amp;"|"&amp;(COUNTIFS($A$2:$A2055,$A2055,$E$2:$E2055,"INFRUCTUEUX")+COUNTIFS($A$2:$A2055,$A2055,$E$2:$E2055,"ANNULE")),""))</f>
        <v/>
      </c>
    </row>
    <row r="2056">
      <c r="A2056">
        <f>IF(ISBLANK('ENGAGEMENTS 2026'!B2056),"",IF('ENGAGEMENTS 2026'!B2056="DTSI","DCT",'ENGAGEMENTS 2026'!B2056))</f>
        <v/>
      </c>
      <c r="B2056">
        <f>IF(ISBLANK('ENGAGEMENTS 2026'!B2056),"",'ENGAGEMENTS 2026'!C2056)</f>
        <v/>
      </c>
      <c r="C2056">
        <f>IF(ISBLANK('ENGAGEMENTS 2026'!B2056),"",'ENGAGEMENTS 2026'!D2056)</f>
        <v/>
      </c>
      <c r="D2056">
        <f>IF(ISBLANK('ENGAGEMENTS 2026'!B2056),"",'ENGAGEMENTS 2026'!F2056)</f>
        <v/>
      </c>
      <c r="E2056">
        <f>IF(ISBLANK('ENGAGEMENTS 2026'!B2056),"",'ENGAGEMENTS 2026'!H2056)</f>
        <v/>
      </c>
      <c r="F2056">
        <f>IF(ISBLANK('ENGAGEMENTS 2026'!B2056),"",'ENGAGEMENTS 2026'!I2056)</f>
        <v/>
      </c>
      <c r="G2056">
        <f>IF(ISBLANK('ENGAGEMENTS 2026'!B2056),"",'ENGAGEMENTS 2026'!L2056)</f>
        <v/>
      </c>
      <c r="H2056">
        <f>IF(ISBLANK('ENGAGEMENTS 2026'!B2056),"",'ENGAGEMENTS 2026'!AE2056)</f>
        <v/>
      </c>
      <c r="I2056">
        <f>IF(ISBLANK('ENGAGEMENTS 2026'!B2056),"",'ENGAGEMENTS 2026'!G2056)</f>
        <v/>
      </c>
      <c r="J2056" s="275">
        <f>IF(ISBLANK('ENGAGEMENTS 2026'!B2056),"",IF(AND(OR($E2056="INFRUCTUEUX",$E2056="ANNULE"),$C2056="AOO-M"),'ENGAGEMENTS 2026'!O2056,IF($H2056="EN COURS DE PREENGAGEMENT",'ENGAGEMENTS 2026'!N2056,IF($H2056="PREENGAGE",IF($E2056="ATTRIBUE",'ENGAGEMENTS 2026'!AD2056,'ENGAGEMENTS 2026'!N2056),'ENGAGEMENTS 2026'!AD2056))))</f>
        <v/>
      </c>
      <c r="K2056" s="604">
        <f>IF(ISBLANK('ENGAGEMENTS 2026'!V2056),"",'ENGAGEMENTS 2026'!V2056)</f>
        <v/>
      </c>
      <c r="L2056" s="276">
        <f>IF($K2056="","",TODAY()-$K2056)</f>
        <v/>
      </c>
      <c r="M2056">
        <f>IF($A2056="","",IF($H2056="ENGAGE","Engagé",IF(AND($H2056="NON ENGAGE",OR($I2056="INFRUCTUEUX",$I2056="ANNULE")),"Clôturé sans suite","En cours")))</f>
        <v/>
      </c>
      <c r="N2056">
        <f>IF(ISBLANK('ENGAGEMENTS 2026'!B2056),"",'ENGAGEMENTS 2026'!K2056)</f>
        <v/>
      </c>
      <c r="O2056">
        <f>IF(ISBLANK('ENGAGEMENTS 2026'!B2056),"",'ENGAGEMENTS 2026'!L2056)</f>
        <v/>
      </c>
      <c r="P2056">
        <f>IF(ISBLANK('ENGAGEMENTS 2026'!B2056),"",'ENGAGEMENTS 2026'!J2056)</f>
        <v/>
      </c>
      <c r="Q2056">
        <f>IF($A2056="","",IF(OR($E2056="INFRUCTUEUX",$E2056="ANNULE"),$A2056&amp;"|"&amp;(COUNTIFS($A$2:$A2056,$A2056,$E$2:$E2056,"INFRUCTUEUX")+COUNTIFS($A$2:$A2056,$A2056,$E$2:$E2056,"ANNULE")),""))</f>
        <v/>
      </c>
    </row>
    <row r="2057">
      <c r="A2057">
        <f>IF(ISBLANK('ENGAGEMENTS 2026'!B2057),"",IF('ENGAGEMENTS 2026'!B2057="DTSI","DCT",'ENGAGEMENTS 2026'!B2057))</f>
        <v/>
      </c>
      <c r="B2057">
        <f>IF(ISBLANK('ENGAGEMENTS 2026'!B2057),"",'ENGAGEMENTS 2026'!C2057)</f>
        <v/>
      </c>
      <c r="C2057">
        <f>IF(ISBLANK('ENGAGEMENTS 2026'!B2057),"",'ENGAGEMENTS 2026'!D2057)</f>
        <v/>
      </c>
      <c r="D2057">
        <f>IF(ISBLANK('ENGAGEMENTS 2026'!B2057),"",'ENGAGEMENTS 2026'!F2057)</f>
        <v/>
      </c>
      <c r="E2057">
        <f>IF(ISBLANK('ENGAGEMENTS 2026'!B2057),"",'ENGAGEMENTS 2026'!H2057)</f>
        <v/>
      </c>
      <c r="F2057">
        <f>IF(ISBLANK('ENGAGEMENTS 2026'!B2057),"",'ENGAGEMENTS 2026'!I2057)</f>
        <v/>
      </c>
      <c r="G2057">
        <f>IF(ISBLANK('ENGAGEMENTS 2026'!B2057),"",'ENGAGEMENTS 2026'!L2057)</f>
        <v/>
      </c>
      <c r="H2057">
        <f>IF(ISBLANK('ENGAGEMENTS 2026'!B2057),"",'ENGAGEMENTS 2026'!AE2057)</f>
        <v/>
      </c>
      <c r="I2057">
        <f>IF(ISBLANK('ENGAGEMENTS 2026'!B2057),"",'ENGAGEMENTS 2026'!G2057)</f>
        <v/>
      </c>
      <c r="J2057" s="275">
        <f>IF(ISBLANK('ENGAGEMENTS 2026'!B2057),"",IF(AND(OR($E2057="INFRUCTUEUX",$E2057="ANNULE"),$C2057="AOO-M"),'ENGAGEMENTS 2026'!O2057,IF($H2057="EN COURS DE PREENGAGEMENT",'ENGAGEMENTS 2026'!N2057,IF($H2057="PREENGAGE",IF($E2057="ATTRIBUE",'ENGAGEMENTS 2026'!AD2057,'ENGAGEMENTS 2026'!N2057),'ENGAGEMENTS 2026'!AD2057))))</f>
        <v/>
      </c>
      <c r="K2057" s="604">
        <f>IF(ISBLANK('ENGAGEMENTS 2026'!V2057),"",'ENGAGEMENTS 2026'!V2057)</f>
        <v/>
      </c>
      <c r="L2057" s="276">
        <f>IF($K2057="","",TODAY()-$K2057)</f>
        <v/>
      </c>
      <c r="M2057">
        <f>IF($A2057="","",IF($H2057="ENGAGE","Engagé",IF(AND($H2057="NON ENGAGE",OR($I2057="INFRUCTUEUX",$I2057="ANNULE")),"Clôturé sans suite","En cours")))</f>
        <v/>
      </c>
      <c r="N2057">
        <f>IF(ISBLANK('ENGAGEMENTS 2026'!B2057),"",'ENGAGEMENTS 2026'!K2057)</f>
        <v/>
      </c>
      <c r="O2057">
        <f>IF(ISBLANK('ENGAGEMENTS 2026'!B2057),"",'ENGAGEMENTS 2026'!L2057)</f>
        <v/>
      </c>
      <c r="P2057">
        <f>IF(ISBLANK('ENGAGEMENTS 2026'!B2057),"",'ENGAGEMENTS 2026'!J2057)</f>
        <v/>
      </c>
      <c r="Q2057">
        <f>IF($A2057="","",IF(OR($E2057="INFRUCTUEUX",$E2057="ANNULE"),$A2057&amp;"|"&amp;(COUNTIFS($A$2:$A2057,$A2057,$E$2:$E2057,"INFRUCTUEUX")+COUNTIFS($A$2:$A2057,$A2057,$E$2:$E2057,"ANNULE")),""))</f>
        <v/>
      </c>
    </row>
    <row r="2058">
      <c r="A2058">
        <f>IF(ISBLANK('ENGAGEMENTS 2026'!B2058),"",IF('ENGAGEMENTS 2026'!B2058="DTSI","DCT",'ENGAGEMENTS 2026'!B2058))</f>
        <v/>
      </c>
      <c r="B2058">
        <f>IF(ISBLANK('ENGAGEMENTS 2026'!B2058),"",'ENGAGEMENTS 2026'!C2058)</f>
        <v/>
      </c>
      <c r="C2058">
        <f>IF(ISBLANK('ENGAGEMENTS 2026'!B2058),"",'ENGAGEMENTS 2026'!D2058)</f>
        <v/>
      </c>
      <c r="D2058">
        <f>IF(ISBLANK('ENGAGEMENTS 2026'!B2058),"",'ENGAGEMENTS 2026'!F2058)</f>
        <v/>
      </c>
      <c r="E2058">
        <f>IF(ISBLANK('ENGAGEMENTS 2026'!B2058),"",'ENGAGEMENTS 2026'!H2058)</f>
        <v/>
      </c>
      <c r="F2058">
        <f>IF(ISBLANK('ENGAGEMENTS 2026'!B2058),"",'ENGAGEMENTS 2026'!I2058)</f>
        <v/>
      </c>
      <c r="G2058">
        <f>IF(ISBLANK('ENGAGEMENTS 2026'!B2058),"",'ENGAGEMENTS 2026'!L2058)</f>
        <v/>
      </c>
      <c r="H2058">
        <f>IF(ISBLANK('ENGAGEMENTS 2026'!B2058),"",'ENGAGEMENTS 2026'!AE2058)</f>
        <v/>
      </c>
      <c r="I2058">
        <f>IF(ISBLANK('ENGAGEMENTS 2026'!B2058),"",'ENGAGEMENTS 2026'!G2058)</f>
        <v/>
      </c>
      <c r="J2058" s="275">
        <f>IF(ISBLANK('ENGAGEMENTS 2026'!B2058),"",IF(AND(OR($E2058="INFRUCTUEUX",$E2058="ANNULE"),$C2058="AOO-M"),'ENGAGEMENTS 2026'!O2058,IF($H2058="EN COURS DE PREENGAGEMENT",'ENGAGEMENTS 2026'!N2058,IF($H2058="PREENGAGE",IF($E2058="ATTRIBUE",'ENGAGEMENTS 2026'!AD2058,'ENGAGEMENTS 2026'!N2058),'ENGAGEMENTS 2026'!AD2058))))</f>
        <v/>
      </c>
      <c r="K2058" s="604">
        <f>IF(ISBLANK('ENGAGEMENTS 2026'!V2058),"",'ENGAGEMENTS 2026'!V2058)</f>
        <v/>
      </c>
      <c r="L2058" s="276">
        <f>IF($K2058="","",TODAY()-$K2058)</f>
        <v/>
      </c>
      <c r="M2058">
        <f>IF($A2058="","",IF($H2058="ENGAGE","Engagé",IF(AND($H2058="NON ENGAGE",OR($I2058="INFRUCTUEUX",$I2058="ANNULE")),"Clôturé sans suite","En cours")))</f>
        <v/>
      </c>
      <c r="N2058">
        <f>IF(ISBLANK('ENGAGEMENTS 2026'!B2058),"",'ENGAGEMENTS 2026'!K2058)</f>
        <v/>
      </c>
      <c r="O2058">
        <f>IF(ISBLANK('ENGAGEMENTS 2026'!B2058),"",'ENGAGEMENTS 2026'!L2058)</f>
        <v/>
      </c>
      <c r="P2058">
        <f>IF(ISBLANK('ENGAGEMENTS 2026'!B2058),"",'ENGAGEMENTS 2026'!J2058)</f>
        <v/>
      </c>
      <c r="Q2058">
        <f>IF($A2058="","",IF(OR($E2058="INFRUCTUEUX",$E2058="ANNULE"),$A2058&amp;"|"&amp;(COUNTIFS($A$2:$A2058,$A2058,$E$2:$E2058,"INFRUCTUEUX")+COUNTIFS($A$2:$A2058,$A2058,$E$2:$E2058,"ANNULE")),""))</f>
        <v/>
      </c>
    </row>
    <row r="2059">
      <c r="A2059">
        <f>IF(ISBLANK('ENGAGEMENTS 2026'!B2059),"",IF('ENGAGEMENTS 2026'!B2059="DTSI","DCT",'ENGAGEMENTS 2026'!B2059))</f>
        <v/>
      </c>
      <c r="B2059">
        <f>IF(ISBLANK('ENGAGEMENTS 2026'!B2059),"",'ENGAGEMENTS 2026'!C2059)</f>
        <v/>
      </c>
      <c r="C2059">
        <f>IF(ISBLANK('ENGAGEMENTS 2026'!B2059),"",'ENGAGEMENTS 2026'!D2059)</f>
        <v/>
      </c>
      <c r="D2059">
        <f>IF(ISBLANK('ENGAGEMENTS 2026'!B2059),"",'ENGAGEMENTS 2026'!F2059)</f>
        <v/>
      </c>
      <c r="E2059">
        <f>IF(ISBLANK('ENGAGEMENTS 2026'!B2059),"",'ENGAGEMENTS 2026'!H2059)</f>
        <v/>
      </c>
      <c r="F2059">
        <f>IF(ISBLANK('ENGAGEMENTS 2026'!B2059),"",'ENGAGEMENTS 2026'!I2059)</f>
        <v/>
      </c>
      <c r="G2059">
        <f>IF(ISBLANK('ENGAGEMENTS 2026'!B2059),"",'ENGAGEMENTS 2026'!L2059)</f>
        <v/>
      </c>
      <c r="H2059">
        <f>IF(ISBLANK('ENGAGEMENTS 2026'!B2059),"",'ENGAGEMENTS 2026'!AE2059)</f>
        <v/>
      </c>
      <c r="I2059">
        <f>IF(ISBLANK('ENGAGEMENTS 2026'!B2059),"",'ENGAGEMENTS 2026'!G2059)</f>
        <v/>
      </c>
      <c r="J2059" s="275">
        <f>IF(ISBLANK('ENGAGEMENTS 2026'!B2059),"",IF(AND(OR($E2059="INFRUCTUEUX",$E2059="ANNULE"),$C2059="AOO-M"),'ENGAGEMENTS 2026'!O2059,IF($H2059="EN COURS DE PREENGAGEMENT",'ENGAGEMENTS 2026'!N2059,IF($H2059="PREENGAGE",IF($E2059="ATTRIBUE",'ENGAGEMENTS 2026'!AD2059,'ENGAGEMENTS 2026'!N2059),'ENGAGEMENTS 2026'!AD2059))))</f>
        <v/>
      </c>
      <c r="K2059" s="604">
        <f>IF(ISBLANK('ENGAGEMENTS 2026'!V2059),"",'ENGAGEMENTS 2026'!V2059)</f>
        <v/>
      </c>
      <c r="L2059" s="276">
        <f>IF($K2059="","",TODAY()-$K2059)</f>
        <v/>
      </c>
      <c r="M2059">
        <f>IF($A2059="","",IF($H2059="ENGAGE","Engagé",IF(AND($H2059="NON ENGAGE",OR($I2059="INFRUCTUEUX",$I2059="ANNULE")),"Clôturé sans suite","En cours")))</f>
        <v/>
      </c>
      <c r="N2059">
        <f>IF(ISBLANK('ENGAGEMENTS 2026'!B2059),"",'ENGAGEMENTS 2026'!K2059)</f>
        <v/>
      </c>
      <c r="O2059">
        <f>IF(ISBLANK('ENGAGEMENTS 2026'!B2059),"",'ENGAGEMENTS 2026'!L2059)</f>
        <v/>
      </c>
      <c r="P2059">
        <f>IF(ISBLANK('ENGAGEMENTS 2026'!B2059),"",'ENGAGEMENTS 2026'!J2059)</f>
        <v/>
      </c>
      <c r="Q2059">
        <f>IF($A2059="","",IF(OR($E2059="INFRUCTUEUX",$E2059="ANNULE"),$A2059&amp;"|"&amp;(COUNTIFS($A$2:$A2059,$A2059,$E$2:$E2059,"INFRUCTUEUX")+COUNTIFS($A$2:$A2059,$A2059,$E$2:$E2059,"ANNULE")),""))</f>
        <v/>
      </c>
    </row>
    <row r="2060">
      <c r="A2060">
        <f>IF(ISBLANK('ENGAGEMENTS 2026'!B2060),"",IF('ENGAGEMENTS 2026'!B2060="DTSI","DCT",'ENGAGEMENTS 2026'!B2060))</f>
        <v/>
      </c>
      <c r="B2060">
        <f>IF(ISBLANK('ENGAGEMENTS 2026'!B2060),"",'ENGAGEMENTS 2026'!C2060)</f>
        <v/>
      </c>
      <c r="C2060">
        <f>IF(ISBLANK('ENGAGEMENTS 2026'!B2060),"",'ENGAGEMENTS 2026'!D2060)</f>
        <v/>
      </c>
      <c r="D2060">
        <f>IF(ISBLANK('ENGAGEMENTS 2026'!B2060),"",'ENGAGEMENTS 2026'!F2060)</f>
        <v/>
      </c>
      <c r="E2060">
        <f>IF(ISBLANK('ENGAGEMENTS 2026'!B2060),"",'ENGAGEMENTS 2026'!H2060)</f>
        <v/>
      </c>
      <c r="F2060">
        <f>IF(ISBLANK('ENGAGEMENTS 2026'!B2060),"",'ENGAGEMENTS 2026'!I2060)</f>
        <v/>
      </c>
      <c r="G2060">
        <f>IF(ISBLANK('ENGAGEMENTS 2026'!B2060),"",'ENGAGEMENTS 2026'!L2060)</f>
        <v/>
      </c>
      <c r="H2060">
        <f>IF(ISBLANK('ENGAGEMENTS 2026'!B2060),"",'ENGAGEMENTS 2026'!AE2060)</f>
        <v/>
      </c>
      <c r="I2060">
        <f>IF(ISBLANK('ENGAGEMENTS 2026'!B2060),"",'ENGAGEMENTS 2026'!G2060)</f>
        <v/>
      </c>
      <c r="J2060" s="275">
        <f>IF(ISBLANK('ENGAGEMENTS 2026'!B2060),"",IF(AND(OR($E2060="INFRUCTUEUX",$E2060="ANNULE"),$C2060="AOO-M"),'ENGAGEMENTS 2026'!O2060,IF($H2060="EN COURS DE PREENGAGEMENT",'ENGAGEMENTS 2026'!N2060,IF($H2060="PREENGAGE",IF($E2060="ATTRIBUE",'ENGAGEMENTS 2026'!AD2060,'ENGAGEMENTS 2026'!N2060),'ENGAGEMENTS 2026'!AD2060))))</f>
        <v/>
      </c>
      <c r="K2060" s="604">
        <f>IF(ISBLANK('ENGAGEMENTS 2026'!V2060),"",'ENGAGEMENTS 2026'!V2060)</f>
        <v/>
      </c>
      <c r="L2060" s="276">
        <f>IF($K2060="","",TODAY()-$K2060)</f>
        <v/>
      </c>
      <c r="M2060">
        <f>IF($A2060="","",IF($H2060="ENGAGE","Engagé",IF(AND($H2060="NON ENGAGE",OR($I2060="INFRUCTUEUX",$I2060="ANNULE")),"Clôturé sans suite","En cours")))</f>
        <v/>
      </c>
      <c r="N2060">
        <f>IF(ISBLANK('ENGAGEMENTS 2026'!B2060),"",'ENGAGEMENTS 2026'!K2060)</f>
        <v/>
      </c>
      <c r="O2060">
        <f>IF(ISBLANK('ENGAGEMENTS 2026'!B2060),"",'ENGAGEMENTS 2026'!L2060)</f>
        <v/>
      </c>
      <c r="P2060">
        <f>IF(ISBLANK('ENGAGEMENTS 2026'!B2060),"",'ENGAGEMENTS 2026'!J2060)</f>
        <v/>
      </c>
      <c r="Q2060">
        <f>IF($A2060="","",IF(OR($E2060="INFRUCTUEUX",$E2060="ANNULE"),$A2060&amp;"|"&amp;(COUNTIFS($A$2:$A2060,$A2060,$E$2:$E2060,"INFRUCTUEUX")+COUNTIFS($A$2:$A2060,$A2060,$E$2:$E2060,"ANNULE")),""))</f>
        <v/>
      </c>
    </row>
    <row r="2061">
      <c r="A2061">
        <f>IF(ISBLANK('ENGAGEMENTS 2026'!B2061),"",IF('ENGAGEMENTS 2026'!B2061="DTSI","DCT",'ENGAGEMENTS 2026'!B2061))</f>
        <v/>
      </c>
      <c r="B2061">
        <f>IF(ISBLANK('ENGAGEMENTS 2026'!B2061),"",'ENGAGEMENTS 2026'!C2061)</f>
        <v/>
      </c>
      <c r="C2061">
        <f>IF(ISBLANK('ENGAGEMENTS 2026'!B2061),"",'ENGAGEMENTS 2026'!D2061)</f>
        <v/>
      </c>
      <c r="D2061">
        <f>IF(ISBLANK('ENGAGEMENTS 2026'!B2061),"",'ENGAGEMENTS 2026'!F2061)</f>
        <v/>
      </c>
      <c r="E2061">
        <f>IF(ISBLANK('ENGAGEMENTS 2026'!B2061),"",'ENGAGEMENTS 2026'!H2061)</f>
        <v/>
      </c>
      <c r="F2061">
        <f>IF(ISBLANK('ENGAGEMENTS 2026'!B2061),"",'ENGAGEMENTS 2026'!I2061)</f>
        <v/>
      </c>
      <c r="G2061">
        <f>IF(ISBLANK('ENGAGEMENTS 2026'!B2061),"",'ENGAGEMENTS 2026'!L2061)</f>
        <v/>
      </c>
      <c r="H2061">
        <f>IF(ISBLANK('ENGAGEMENTS 2026'!B2061),"",'ENGAGEMENTS 2026'!AE2061)</f>
        <v/>
      </c>
      <c r="I2061">
        <f>IF(ISBLANK('ENGAGEMENTS 2026'!B2061),"",'ENGAGEMENTS 2026'!G2061)</f>
        <v/>
      </c>
      <c r="J2061" s="275">
        <f>IF(ISBLANK('ENGAGEMENTS 2026'!B2061),"",IF(AND(OR($E2061="INFRUCTUEUX",$E2061="ANNULE"),$C2061="AOO-M"),'ENGAGEMENTS 2026'!O2061,IF($H2061="EN COURS DE PREENGAGEMENT",'ENGAGEMENTS 2026'!N2061,IF($H2061="PREENGAGE",IF($E2061="ATTRIBUE",'ENGAGEMENTS 2026'!AD2061,'ENGAGEMENTS 2026'!N2061),'ENGAGEMENTS 2026'!AD2061))))</f>
        <v/>
      </c>
      <c r="K2061" s="604">
        <f>IF(ISBLANK('ENGAGEMENTS 2026'!V2061),"",'ENGAGEMENTS 2026'!V2061)</f>
        <v/>
      </c>
      <c r="L2061" s="276">
        <f>IF($K2061="","",TODAY()-$K2061)</f>
        <v/>
      </c>
      <c r="M2061">
        <f>IF($A2061="","",IF($H2061="ENGAGE","Engagé",IF(AND($H2061="NON ENGAGE",OR($I2061="INFRUCTUEUX",$I2061="ANNULE")),"Clôturé sans suite","En cours")))</f>
        <v/>
      </c>
      <c r="N2061">
        <f>IF(ISBLANK('ENGAGEMENTS 2026'!B2061),"",'ENGAGEMENTS 2026'!K2061)</f>
        <v/>
      </c>
      <c r="O2061">
        <f>IF(ISBLANK('ENGAGEMENTS 2026'!B2061),"",'ENGAGEMENTS 2026'!L2061)</f>
        <v/>
      </c>
      <c r="P2061">
        <f>IF(ISBLANK('ENGAGEMENTS 2026'!B2061),"",'ENGAGEMENTS 2026'!J2061)</f>
        <v/>
      </c>
      <c r="Q2061">
        <f>IF($A2061="","",IF(OR($E2061="INFRUCTUEUX",$E2061="ANNULE"),$A2061&amp;"|"&amp;(COUNTIFS($A$2:$A2061,$A2061,$E$2:$E2061,"INFRUCTUEUX")+COUNTIFS($A$2:$A2061,$A2061,$E$2:$E2061,"ANNULE")),""))</f>
        <v/>
      </c>
    </row>
    <row r="2062">
      <c r="A2062">
        <f>IF(ISBLANK('ENGAGEMENTS 2026'!B2062),"",IF('ENGAGEMENTS 2026'!B2062="DTSI","DCT",'ENGAGEMENTS 2026'!B2062))</f>
        <v/>
      </c>
      <c r="B2062">
        <f>IF(ISBLANK('ENGAGEMENTS 2026'!B2062),"",'ENGAGEMENTS 2026'!C2062)</f>
        <v/>
      </c>
      <c r="C2062">
        <f>IF(ISBLANK('ENGAGEMENTS 2026'!B2062),"",'ENGAGEMENTS 2026'!D2062)</f>
        <v/>
      </c>
      <c r="D2062">
        <f>IF(ISBLANK('ENGAGEMENTS 2026'!B2062),"",'ENGAGEMENTS 2026'!F2062)</f>
        <v/>
      </c>
      <c r="E2062">
        <f>IF(ISBLANK('ENGAGEMENTS 2026'!B2062),"",'ENGAGEMENTS 2026'!H2062)</f>
        <v/>
      </c>
      <c r="F2062">
        <f>IF(ISBLANK('ENGAGEMENTS 2026'!B2062),"",'ENGAGEMENTS 2026'!I2062)</f>
        <v/>
      </c>
      <c r="G2062">
        <f>IF(ISBLANK('ENGAGEMENTS 2026'!B2062),"",'ENGAGEMENTS 2026'!L2062)</f>
        <v/>
      </c>
      <c r="H2062">
        <f>IF(ISBLANK('ENGAGEMENTS 2026'!B2062),"",'ENGAGEMENTS 2026'!AE2062)</f>
        <v/>
      </c>
      <c r="I2062">
        <f>IF(ISBLANK('ENGAGEMENTS 2026'!B2062),"",'ENGAGEMENTS 2026'!G2062)</f>
        <v/>
      </c>
      <c r="J2062" s="275">
        <f>IF(ISBLANK('ENGAGEMENTS 2026'!B2062),"",IF(AND(OR($E2062="INFRUCTUEUX",$E2062="ANNULE"),$C2062="AOO-M"),'ENGAGEMENTS 2026'!O2062,IF($H2062="EN COURS DE PREENGAGEMENT",'ENGAGEMENTS 2026'!N2062,IF($H2062="PREENGAGE",IF($E2062="ATTRIBUE",'ENGAGEMENTS 2026'!AD2062,'ENGAGEMENTS 2026'!N2062),'ENGAGEMENTS 2026'!AD2062))))</f>
        <v/>
      </c>
      <c r="K2062" s="604">
        <f>IF(ISBLANK('ENGAGEMENTS 2026'!V2062),"",'ENGAGEMENTS 2026'!V2062)</f>
        <v/>
      </c>
      <c r="L2062" s="276">
        <f>IF($K2062="","",TODAY()-$K2062)</f>
        <v/>
      </c>
      <c r="M2062">
        <f>IF($A2062="","",IF($H2062="ENGAGE","Engagé",IF(AND($H2062="NON ENGAGE",OR($I2062="INFRUCTUEUX",$I2062="ANNULE")),"Clôturé sans suite","En cours")))</f>
        <v/>
      </c>
      <c r="N2062">
        <f>IF(ISBLANK('ENGAGEMENTS 2026'!B2062),"",'ENGAGEMENTS 2026'!K2062)</f>
        <v/>
      </c>
      <c r="O2062">
        <f>IF(ISBLANK('ENGAGEMENTS 2026'!B2062),"",'ENGAGEMENTS 2026'!L2062)</f>
        <v/>
      </c>
      <c r="P2062">
        <f>IF(ISBLANK('ENGAGEMENTS 2026'!B2062),"",'ENGAGEMENTS 2026'!J2062)</f>
        <v/>
      </c>
      <c r="Q2062">
        <f>IF($A2062="","",IF(OR($E2062="INFRUCTUEUX",$E2062="ANNULE"),$A2062&amp;"|"&amp;(COUNTIFS($A$2:$A2062,$A2062,$E$2:$E2062,"INFRUCTUEUX")+COUNTIFS($A$2:$A2062,$A2062,$E$2:$E2062,"ANNULE")),""))</f>
        <v/>
      </c>
    </row>
    <row r="2063">
      <c r="A2063">
        <f>IF(ISBLANK('ENGAGEMENTS 2026'!B2063),"",IF('ENGAGEMENTS 2026'!B2063="DTSI","DCT",'ENGAGEMENTS 2026'!B2063))</f>
        <v/>
      </c>
      <c r="B2063">
        <f>IF(ISBLANK('ENGAGEMENTS 2026'!B2063),"",'ENGAGEMENTS 2026'!C2063)</f>
        <v/>
      </c>
      <c r="C2063">
        <f>IF(ISBLANK('ENGAGEMENTS 2026'!B2063),"",'ENGAGEMENTS 2026'!D2063)</f>
        <v/>
      </c>
      <c r="D2063">
        <f>IF(ISBLANK('ENGAGEMENTS 2026'!B2063),"",'ENGAGEMENTS 2026'!F2063)</f>
        <v/>
      </c>
      <c r="E2063">
        <f>IF(ISBLANK('ENGAGEMENTS 2026'!B2063),"",'ENGAGEMENTS 2026'!H2063)</f>
        <v/>
      </c>
      <c r="F2063">
        <f>IF(ISBLANK('ENGAGEMENTS 2026'!B2063),"",'ENGAGEMENTS 2026'!I2063)</f>
        <v/>
      </c>
      <c r="G2063">
        <f>IF(ISBLANK('ENGAGEMENTS 2026'!B2063),"",'ENGAGEMENTS 2026'!L2063)</f>
        <v/>
      </c>
      <c r="H2063">
        <f>IF(ISBLANK('ENGAGEMENTS 2026'!B2063),"",'ENGAGEMENTS 2026'!AE2063)</f>
        <v/>
      </c>
      <c r="I2063">
        <f>IF(ISBLANK('ENGAGEMENTS 2026'!B2063),"",'ENGAGEMENTS 2026'!G2063)</f>
        <v/>
      </c>
      <c r="J2063" s="275">
        <f>IF(ISBLANK('ENGAGEMENTS 2026'!B2063),"",IF(AND(OR($E2063="INFRUCTUEUX",$E2063="ANNULE"),$C2063="AOO-M"),'ENGAGEMENTS 2026'!O2063,IF($H2063="EN COURS DE PREENGAGEMENT",'ENGAGEMENTS 2026'!N2063,IF($H2063="PREENGAGE",IF($E2063="ATTRIBUE",'ENGAGEMENTS 2026'!AD2063,'ENGAGEMENTS 2026'!N2063),'ENGAGEMENTS 2026'!AD2063))))</f>
        <v/>
      </c>
      <c r="K2063" s="604">
        <f>IF(ISBLANK('ENGAGEMENTS 2026'!V2063),"",'ENGAGEMENTS 2026'!V2063)</f>
        <v/>
      </c>
      <c r="L2063" s="276">
        <f>IF($K2063="","",TODAY()-$K2063)</f>
        <v/>
      </c>
      <c r="M2063">
        <f>IF($A2063="","",IF($H2063="ENGAGE","Engagé",IF(AND($H2063="NON ENGAGE",OR($I2063="INFRUCTUEUX",$I2063="ANNULE")),"Clôturé sans suite","En cours")))</f>
        <v/>
      </c>
      <c r="N2063">
        <f>IF(ISBLANK('ENGAGEMENTS 2026'!B2063),"",'ENGAGEMENTS 2026'!K2063)</f>
        <v/>
      </c>
      <c r="O2063">
        <f>IF(ISBLANK('ENGAGEMENTS 2026'!B2063),"",'ENGAGEMENTS 2026'!L2063)</f>
        <v/>
      </c>
      <c r="P2063">
        <f>IF(ISBLANK('ENGAGEMENTS 2026'!B2063),"",'ENGAGEMENTS 2026'!J2063)</f>
        <v/>
      </c>
      <c r="Q2063">
        <f>IF($A2063="","",IF(OR($E2063="INFRUCTUEUX",$E2063="ANNULE"),$A2063&amp;"|"&amp;(COUNTIFS($A$2:$A2063,$A2063,$E$2:$E2063,"INFRUCTUEUX")+COUNTIFS($A$2:$A2063,$A2063,$E$2:$E2063,"ANNULE")),""))</f>
        <v/>
      </c>
    </row>
    <row r="2064">
      <c r="A2064">
        <f>IF(ISBLANK('ENGAGEMENTS 2026'!B2064),"",IF('ENGAGEMENTS 2026'!B2064="DTSI","DCT",'ENGAGEMENTS 2026'!B2064))</f>
        <v/>
      </c>
      <c r="B2064">
        <f>IF(ISBLANK('ENGAGEMENTS 2026'!B2064),"",'ENGAGEMENTS 2026'!C2064)</f>
        <v/>
      </c>
      <c r="C2064">
        <f>IF(ISBLANK('ENGAGEMENTS 2026'!B2064),"",'ENGAGEMENTS 2026'!D2064)</f>
        <v/>
      </c>
      <c r="D2064">
        <f>IF(ISBLANK('ENGAGEMENTS 2026'!B2064),"",'ENGAGEMENTS 2026'!F2064)</f>
        <v/>
      </c>
      <c r="E2064">
        <f>IF(ISBLANK('ENGAGEMENTS 2026'!B2064),"",'ENGAGEMENTS 2026'!H2064)</f>
        <v/>
      </c>
      <c r="F2064">
        <f>IF(ISBLANK('ENGAGEMENTS 2026'!B2064),"",'ENGAGEMENTS 2026'!I2064)</f>
        <v/>
      </c>
      <c r="G2064">
        <f>IF(ISBLANK('ENGAGEMENTS 2026'!B2064),"",'ENGAGEMENTS 2026'!L2064)</f>
        <v/>
      </c>
      <c r="H2064">
        <f>IF(ISBLANK('ENGAGEMENTS 2026'!B2064),"",'ENGAGEMENTS 2026'!AE2064)</f>
        <v/>
      </c>
      <c r="I2064">
        <f>IF(ISBLANK('ENGAGEMENTS 2026'!B2064),"",'ENGAGEMENTS 2026'!G2064)</f>
        <v/>
      </c>
      <c r="J2064" s="275">
        <f>IF(ISBLANK('ENGAGEMENTS 2026'!B2064),"",IF(AND(OR($E2064="INFRUCTUEUX",$E2064="ANNULE"),$C2064="AOO-M"),'ENGAGEMENTS 2026'!O2064,IF($H2064="EN COURS DE PREENGAGEMENT",'ENGAGEMENTS 2026'!N2064,IF($H2064="PREENGAGE",IF($E2064="ATTRIBUE",'ENGAGEMENTS 2026'!AD2064,'ENGAGEMENTS 2026'!N2064),'ENGAGEMENTS 2026'!AD2064))))</f>
        <v/>
      </c>
      <c r="K2064" s="604">
        <f>IF(ISBLANK('ENGAGEMENTS 2026'!V2064),"",'ENGAGEMENTS 2026'!V2064)</f>
        <v/>
      </c>
      <c r="L2064" s="276">
        <f>IF($K2064="","",TODAY()-$K2064)</f>
        <v/>
      </c>
      <c r="M2064">
        <f>IF($A2064="","",IF($H2064="ENGAGE","Engagé",IF(AND($H2064="NON ENGAGE",OR($I2064="INFRUCTUEUX",$I2064="ANNULE")),"Clôturé sans suite","En cours")))</f>
        <v/>
      </c>
      <c r="N2064">
        <f>IF(ISBLANK('ENGAGEMENTS 2026'!B2064),"",'ENGAGEMENTS 2026'!K2064)</f>
        <v/>
      </c>
      <c r="O2064">
        <f>IF(ISBLANK('ENGAGEMENTS 2026'!B2064),"",'ENGAGEMENTS 2026'!L2064)</f>
        <v/>
      </c>
      <c r="P2064">
        <f>IF(ISBLANK('ENGAGEMENTS 2026'!B2064),"",'ENGAGEMENTS 2026'!J2064)</f>
        <v/>
      </c>
      <c r="Q2064">
        <f>IF($A2064="","",IF(OR($E2064="INFRUCTUEUX",$E2064="ANNULE"),$A2064&amp;"|"&amp;(COUNTIFS($A$2:$A2064,$A2064,$E$2:$E2064,"INFRUCTUEUX")+COUNTIFS($A$2:$A2064,$A2064,$E$2:$E2064,"ANNULE")),""))</f>
        <v/>
      </c>
    </row>
    <row r="2065">
      <c r="A2065">
        <f>IF(ISBLANK('ENGAGEMENTS 2026'!B2065),"",IF('ENGAGEMENTS 2026'!B2065="DTSI","DCT",'ENGAGEMENTS 2026'!B2065))</f>
        <v/>
      </c>
      <c r="B2065">
        <f>IF(ISBLANK('ENGAGEMENTS 2026'!B2065),"",'ENGAGEMENTS 2026'!C2065)</f>
        <v/>
      </c>
      <c r="C2065">
        <f>IF(ISBLANK('ENGAGEMENTS 2026'!B2065),"",'ENGAGEMENTS 2026'!D2065)</f>
        <v/>
      </c>
      <c r="D2065">
        <f>IF(ISBLANK('ENGAGEMENTS 2026'!B2065),"",'ENGAGEMENTS 2026'!F2065)</f>
        <v/>
      </c>
      <c r="E2065">
        <f>IF(ISBLANK('ENGAGEMENTS 2026'!B2065),"",'ENGAGEMENTS 2026'!H2065)</f>
        <v/>
      </c>
      <c r="F2065">
        <f>IF(ISBLANK('ENGAGEMENTS 2026'!B2065),"",'ENGAGEMENTS 2026'!I2065)</f>
        <v/>
      </c>
      <c r="G2065">
        <f>IF(ISBLANK('ENGAGEMENTS 2026'!B2065),"",'ENGAGEMENTS 2026'!L2065)</f>
        <v/>
      </c>
      <c r="H2065">
        <f>IF(ISBLANK('ENGAGEMENTS 2026'!B2065),"",'ENGAGEMENTS 2026'!AE2065)</f>
        <v/>
      </c>
      <c r="I2065">
        <f>IF(ISBLANK('ENGAGEMENTS 2026'!B2065),"",'ENGAGEMENTS 2026'!G2065)</f>
        <v/>
      </c>
      <c r="J2065" s="275">
        <f>IF(ISBLANK('ENGAGEMENTS 2026'!B2065),"",IF(AND(OR($E2065="INFRUCTUEUX",$E2065="ANNULE"),$C2065="AOO-M"),'ENGAGEMENTS 2026'!O2065,IF($H2065="EN COURS DE PREENGAGEMENT",'ENGAGEMENTS 2026'!N2065,IF($H2065="PREENGAGE",IF($E2065="ATTRIBUE",'ENGAGEMENTS 2026'!AD2065,'ENGAGEMENTS 2026'!N2065),'ENGAGEMENTS 2026'!AD2065))))</f>
        <v/>
      </c>
      <c r="K2065" s="604">
        <f>IF(ISBLANK('ENGAGEMENTS 2026'!V2065),"",'ENGAGEMENTS 2026'!V2065)</f>
        <v/>
      </c>
      <c r="L2065" s="276">
        <f>IF($K2065="","",TODAY()-$K2065)</f>
        <v/>
      </c>
      <c r="M2065">
        <f>IF($A2065="","",IF($H2065="ENGAGE","Engagé",IF(AND($H2065="NON ENGAGE",OR($I2065="INFRUCTUEUX",$I2065="ANNULE")),"Clôturé sans suite","En cours")))</f>
        <v/>
      </c>
      <c r="N2065">
        <f>IF(ISBLANK('ENGAGEMENTS 2026'!B2065),"",'ENGAGEMENTS 2026'!K2065)</f>
        <v/>
      </c>
      <c r="O2065">
        <f>IF(ISBLANK('ENGAGEMENTS 2026'!B2065),"",'ENGAGEMENTS 2026'!L2065)</f>
        <v/>
      </c>
      <c r="P2065">
        <f>IF(ISBLANK('ENGAGEMENTS 2026'!B2065),"",'ENGAGEMENTS 2026'!J2065)</f>
        <v/>
      </c>
      <c r="Q2065">
        <f>IF($A2065="","",IF(OR($E2065="INFRUCTUEUX",$E2065="ANNULE"),$A2065&amp;"|"&amp;(COUNTIFS($A$2:$A2065,$A2065,$E$2:$E2065,"INFRUCTUEUX")+COUNTIFS($A$2:$A2065,$A2065,$E$2:$E2065,"ANNULE")),""))</f>
        <v/>
      </c>
    </row>
    <row r="2066">
      <c r="A2066">
        <f>IF(ISBLANK('ENGAGEMENTS 2026'!B2066),"",IF('ENGAGEMENTS 2026'!B2066="DTSI","DCT",'ENGAGEMENTS 2026'!B2066))</f>
        <v/>
      </c>
      <c r="B2066">
        <f>IF(ISBLANK('ENGAGEMENTS 2026'!B2066),"",'ENGAGEMENTS 2026'!C2066)</f>
        <v/>
      </c>
      <c r="C2066">
        <f>IF(ISBLANK('ENGAGEMENTS 2026'!B2066),"",'ENGAGEMENTS 2026'!D2066)</f>
        <v/>
      </c>
      <c r="D2066">
        <f>IF(ISBLANK('ENGAGEMENTS 2026'!B2066),"",'ENGAGEMENTS 2026'!F2066)</f>
        <v/>
      </c>
      <c r="E2066">
        <f>IF(ISBLANK('ENGAGEMENTS 2026'!B2066),"",'ENGAGEMENTS 2026'!H2066)</f>
        <v/>
      </c>
      <c r="F2066">
        <f>IF(ISBLANK('ENGAGEMENTS 2026'!B2066),"",'ENGAGEMENTS 2026'!I2066)</f>
        <v/>
      </c>
      <c r="G2066">
        <f>IF(ISBLANK('ENGAGEMENTS 2026'!B2066),"",'ENGAGEMENTS 2026'!L2066)</f>
        <v/>
      </c>
      <c r="H2066">
        <f>IF(ISBLANK('ENGAGEMENTS 2026'!B2066),"",'ENGAGEMENTS 2026'!AE2066)</f>
        <v/>
      </c>
      <c r="I2066">
        <f>IF(ISBLANK('ENGAGEMENTS 2026'!B2066),"",'ENGAGEMENTS 2026'!G2066)</f>
        <v/>
      </c>
      <c r="J2066" s="275">
        <f>IF(ISBLANK('ENGAGEMENTS 2026'!B2066),"",IF(AND(OR($E2066="INFRUCTUEUX",$E2066="ANNULE"),$C2066="AOO-M"),'ENGAGEMENTS 2026'!O2066,IF($H2066="EN COURS DE PREENGAGEMENT",'ENGAGEMENTS 2026'!N2066,IF($H2066="PREENGAGE",IF($E2066="ATTRIBUE",'ENGAGEMENTS 2026'!AD2066,'ENGAGEMENTS 2026'!N2066),'ENGAGEMENTS 2026'!AD2066))))</f>
        <v/>
      </c>
      <c r="K2066" s="604">
        <f>IF(ISBLANK('ENGAGEMENTS 2026'!V2066),"",'ENGAGEMENTS 2026'!V2066)</f>
        <v/>
      </c>
      <c r="L2066" s="276">
        <f>IF($K2066="","",TODAY()-$K2066)</f>
        <v/>
      </c>
      <c r="M2066">
        <f>IF($A2066="","",IF($H2066="ENGAGE","Engagé",IF(AND($H2066="NON ENGAGE",OR($I2066="INFRUCTUEUX",$I2066="ANNULE")),"Clôturé sans suite","En cours")))</f>
        <v/>
      </c>
      <c r="N2066">
        <f>IF(ISBLANK('ENGAGEMENTS 2026'!B2066),"",'ENGAGEMENTS 2026'!K2066)</f>
        <v/>
      </c>
      <c r="O2066">
        <f>IF(ISBLANK('ENGAGEMENTS 2026'!B2066),"",'ENGAGEMENTS 2026'!L2066)</f>
        <v/>
      </c>
      <c r="P2066">
        <f>IF(ISBLANK('ENGAGEMENTS 2026'!B2066),"",'ENGAGEMENTS 2026'!J2066)</f>
        <v/>
      </c>
      <c r="Q2066">
        <f>IF($A2066="","",IF(OR($E2066="INFRUCTUEUX",$E2066="ANNULE"),$A2066&amp;"|"&amp;(COUNTIFS($A$2:$A2066,$A2066,$E$2:$E2066,"INFRUCTUEUX")+COUNTIFS($A$2:$A2066,$A2066,$E$2:$E2066,"ANNULE")),""))</f>
        <v/>
      </c>
    </row>
    <row r="2067">
      <c r="A2067">
        <f>IF(ISBLANK('ENGAGEMENTS 2026'!B2067),"",IF('ENGAGEMENTS 2026'!B2067="DTSI","DCT",'ENGAGEMENTS 2026'!B2067))</f>
        <v/>
      </c>
      <c r="B2067">
        <f>IF(ISBLANK('ENGAGEMENTS 2026'!B2067),"",'ENGAGEMENTS 2026'!C2067)</f>
        <v/>
      </c>
      <c r="C2067">
        <f>IF(ISBLANK('ENGAGEMENTS 2026'!B2067),"",'ENGAGEMENTS 2026'!D2067)</f>
        <v/>
      </c>
      <c r="D2067">
        <f>IF(ISBLANK('ENGAGEMENTS 2026'!B2067),"",'ENGAGEMENTS 2026'!F2067)</f>
        <v/>
      </c>
      <c r="E2067">
        <f>IF(ISBLANK('ENGAGEMENTS 2026'!B2067),"",'ENGAGEMENTS 2026'!H2067)</f>
        <v/>
      </c>
      <c r="F2067">
        <f>IF(ISBLANK('ENGAGEMENTS 2026'!B2067),"",'ENGAGEMENTS 2026'!I2067)</f>
        <v/>
      </c>
      <c r="G2067">
        <f>IF(ISBLANK('ENGAGEMENTS 2026'!B2067),"",'ENGAGEMENTS 2026'!L2067)</f>
        <v/>
      </c>
      <c r="H2067">
        <f>IF(ISBLANK('ENGAGEMENTS 2026'!B2067),"",'ENGAGEMENTS 2026'!AE2067)</f>
        <v/>
      </c>
      <c r="I2067">
        <f>IF(ISBLANK('ENGAGEMENTS 2026'!B2067),"",'ENGAGEMENTS 2026'!G2067)</f>
        <v/>
      </c>
      <c r="J2067" s="275">
        <f>IF(ISBLANK('ENGAGEMENTS 2026'!B2067),"",IF(AND(OR($E2067="INFRUCTUEUX",$E2067="ANNULE"),$C2067="AOO-M"),'ENGAGEMENTS 2026'!O2067,IF($H2067="EN COURS DE PREENGAGEMENT",'ENGAGEMENTS 2026'!N2067,IF($H2067="PREENGAGE",IF($E2067="ATTRIBUE",'ENGAGEMENTS 2026'!AD2067,'ENGAGEMENTS 2026'!N2067),'ENGAGEMENTS 2026'!AD2067))))</f>
        <v/>
      </c>
      <c r="K2067" s="604">
        <f>IF(ISBLANK('ENGAGEMENTS 2026'!V2067),"",'ENGAGEMENTS 2026'!V2067)</f>
        <v/>
      </c>
      <c r="L2067" s="276">
        <f>IF($K2067="","",TODAY()-$K2067)</f>
        <v/>
      </c>
      <c r="M2067">
        <f>IF($A2067="","",IF($H2067="ENGAGE","Engagé",IF(AND($H2067="NON ENGAGE",OR($I2067="INFRUCTUEUX",$I2067="ANNULE")),"Clôturé sans suite","En cours")))</f>
        <v/>
      </c>
      <c r="N2067">
        <f>IF(ISBLANK('ENGAGEMENTS 2026'!B2067),"",'ENGAGEMENTS 2026'!K2067)</f>
        <v/>
      </c>
      <c r="O2067">
        <f>IF(ISBLANK('ENGAGEMENTS 2026'!B2067),"",'ENGAGEMENTS 2026'!L2067)</f>
        <v/>
      </c>
      <c r="P2067">
        <f>IF(ISBLANK('ENGAGEMENTS 2026'!B2067),"",'ENGAGEMENTS 2026'!J2067)</f>
        <v/>
      </c>
      <c r="Q2067">
        <f>IF($A2067="","",IF(OR($E2067="INFRUCTUEUX",$E2067="ANNULE"),$A2067&amp;"|"&amp;(COUNTIFS($A$2:$A2067,$A2067,$E$2:$E2067,"INFRUCTUEUX")+COUNTIFS($A$2:$A2067,$A2067,$E$2:$E2067,"ANNULE")),""))</f>
        <v/>
      </c>
    </row>
    <row r="2068">
      <c r="A2068">
        <f>IF(ISBLANK('ENGAGEMENTS 2026'!B2068),"",IF('ENGAGEMENTS 2026'!B2068="DTSI","DCT",'ENGAGEMENTS 2026'!B2068))</f>
        <v/>
      </c>
      <c r="B2068">
        <f>IF(ISBLANK('ENGAGEMENTS 2026'!B2068),"",'ENGAGEMENTS 2026'!C2068)</f>
        <v/>
      </c>
      <c r="C2068">
        <f>IF(ISBLANK('ENGAGEMENTS 2026'!B2068),"",'ENGAGEMENTS 2026'!D2068)</f>
        <v/>
      </c>
      <c r="D2068">
        <f>IF(ISBLANK('ENGAGEMENTS 2026'!B2068),"",'ENGAGEMENTS 2026'!F2068)</f>
        <v/>
      </c>
      <c r="E2068">
        <f>IF(ISBLANK('ENGAGEMENTS 2026'!B2068),"",'ENGAGEMENTS 2026'!H2068)</f>
        <v/>
      </c>
      <c r="F2068">
        <f>IF(ISBLANK('ENGAGEMENTS 2026'!B2068),"",'ENGAGEMENTS 2026'!I2068)</f>
        <v/>
      </c>
      <c r="G2068">
        <f>IF(ISBLANK('ENGAGEMENTS 2026'!B2068),"",'ENGAGEMENTS 2026'!L2068)</f>
        <v/>
      </c>
      <c r="H2068">
        <f>IF(ISBLANK('ENGAGEMENTS 2026'!B2068),"",'ENGAGEMENTS 2026'!AE2068)</f>
        <v/>
      </c>
      <c r="I2068">
        <f>IF(ISBLANK('ENGAGEMENTS 2026'!B2068),"",'ENGAGEMENTS 2026'!G2068)</f>
        <v/>
      </c>
      <c r="J2068" s="275">
        <f>IF(ISBLANK('ENGAGEMENTS 2026'!B2068),"",IF(AND(OR($E2068="INFRUCTUEUX",$E2068="ANNULE"),$C2068="AOO-M"),'ENGAGEMENTS 2026'!O2068,IF($H2068="EN COURS DE PREENGAGEMENT",'ENGAGEMENTS 2026'!N2068,IF($H2068="PREENGAGE",IF($E2068="ATTRIBUE",'ENGAGEMENTS 2026'!AD2068,'ENGAGEMENTS 2026'!N2068),'ENGAGEMENTS 2026'!AD2068))))</f>
        <v/>
      </c>
      <c r="K2068" s="604">
        <f>IF(ISBLANK('ENGAGEMENTS 2026'!V2068),"",'ENGAGEMENTS 2026'!V2068)</f>
        <v/>
      </c>
      <c r="L2068" s="276">
        <f>IF($K2068="","",TODAY()-$K2068)</f>
        <v/>
      </c>
      <c r="M2068">
        <f>IF($A2068="","",IF($H2068="ENGAGE","Engagé",IF(AND($H2068="NON ENGAGE",OR($I2068="INFRUCTUEUX",$I2068="ANNULE")),"Clôturé sans suite","En cours")))</f>
        <v/>
      </c>
      <c r="N2068">
        <f>IF(ISBLANK('ENGAGEMENTS 2026'!B2068),"",'ENGAGEMENTS 2026'!K2068)</f>
        <v/>
      </c>
      <c r="O2068">
        <f>IF(ISBLANK('ENGAGEMENTS 2026'!B2068),"",'ENGAGEMENTS 2026'!L2068)</f>
        <v/>
      </c>
      <c r="P2068">
        <f>IF(ISBLANK('ENGAGEMENTS 2026'!B2068),"",'ENGAGEMENTS 2026'!J2068)</f>
        <v/>
      </c>
      <c r="Q2068">
        <f>IF($A2068="","",IF(OR($E2068="INFRUCTUEUX",$E2068="ANNULE"),$A2068&amp;"|"&amp;(COUNTIFS($A$2:$A2068,$A2068,$E$2:$E2068,"INFRUCTUEUX")+COUNTIFS($A$2:$A2068,$A2068,$E$2:$E2068,"ANNULE")),""))</f>
        <v/>
      </c>
    </row>
    <row r="2069">
      <c r="A2069">
        <f>IF(ISBLANK('ENGAGEMENTS 2026'!B2069),"",IF('ENGAGEMENTS 2026'!B2069="DTSI","DCT",'ENGAGEMENTS 2026'!B2069))</f>
        <v/>
      </c>
      <c r="B2069">
        <f>IF(ISBLANK('ENGAGEMENTS 2026'!B2069),"",'ENGAGEMENTS 2026'!C2069)</f>
        <v/>
      </c>
      <c r="C2069">
        <f>IF(ISBLANK('ENGAGEMENTS 2026'!B2069),"",'ENGAGEMENTS 2026'!D2069)</f>
        <v/>
      </c>
      <c r="D2069">
        <f>IF(ISBLANK('ENGAGEMENTS 2026'!B2069),"",'ENGAGEMENTS 2026'!F2069)</f>
        <v/>
      </c>
      <c r="E2069">
        <f>IF(ISBLANK('ENGAGEMENTS 2026'!B2069),"",'ENGAGEMENTS 2026'!H2069)</f>
        <v/>
      </c>
      <c r="F2069">
        <f>IF(ISBLANK('ENGAGEMENTS 2026'!B2069),"",'ENGAGEMENTS 2026'!I2069)</f>
        <v/>
      </c>
      <c r="G2069">
        <f>IF(ISBLANK('ENGAGEMENTS 2026'!B2069),"",'ENGAGEMENTS 2026'!L2069)</f>
        <v/>
      </c>
      <c r="H2069">
        <f>IF(ISBLANK('ENGAGEMENTS 2026'!B2069),"",'ENGAGEMENTS 2026'!AE2069)</f>
        <v/>
      </c>
      <c r="I2069">
        <f>IF(ISBLANK('ENGAGEMENTS 2026'!B2069),"",'ENGAGEMENTS 2026'!G2069)</f>
        <v/>
      </c>
      <c r="J2069" s="275">
        <f>IF(ISBLANK('ENGAGEMENTS 2026'!B2069),"",IF(AND(OR($E2069="INFRUCTUEUX",$E2069="ANNULE"),$C2069="AOO-M"),'ENGAGEMENTS 2026'!O2069,IF($H2069="EN COURS DE PREENGAGEMENT",'ENGAGEMENTS 2026'!N2069,IF($H2069="PREENGAGE",IF($E2069="ATTRIBUE",'ENGAGEMENTS 2026'!AD2069,'ENGAGEMENTS 2026'!N2069),'ENGAGEMENTS 2026'!AD2069))))</f>
        <v/>
      </c>
      <c r="K2069" s="604">
        <f>IF(ISBLANK('ENGAGEMENTS 2026'!V2069),"",'ENGAGEMENTS 2026'!V2069)</f>
        <v/>
      </c>
      <c r="L2069" s="276">
        <f>IF($K2069="","",TODAY()-$K2069)</f>
        <v/>
      </c>
      <c r="M2069">
        <f>IF($A2069="","",IF($H2069="ENGAGE","Engagé",IF(AND($H2069="NON ENGAGE",OR($I2069="INFRUCTUEUX",$I2069="ANNULE")),"Clôturé sans suite","En cours")))</f>
        <v/>
      </c>
      <c r="N2069">
        <f>IF(ISBLANK('ENGAGEMENTS 2026'!B2069),"",'ENGAGEMENTS 2026'!K2069)</f>
        <v/>
      </c>
      <c r="O2069">
        <f>IF(ISBLANK('ENGAGEMENTS 2026'!B2069),"",'ENGAGEMENTS 2026'!L2069)</f>
        <v/>
      </c>
      <c r="P2069">
        <f>IF(ISBLANK('ENGAGEMENTS 2026'!B2069),"",'ENGAGEMENTS 2026'!J2069)</f>
        <v/>
      </c>
      <c r="Q2069">
        <f>IF($A2069="","",IF(OR($E2069="INFRUCTUEUX",$E2069="ANNULE"),$A2069&amp;"|"&amp;(COUNTIFS($A$2:$A2069,$A2069,$E$2:$E2069,"INFRUCTUEUX")+COUNTIFS($A$2:$A2069,$A2069,$E$2:$E2069,"ANNULE")),""))</f>
        <v/>
      </c>
    </row>
    <row r="2070">
      <c r="A2070">
        <f>IF(ISBLANK('ENGAGEMENTS 2026'!B2070),"",IF('ENGAGEMENTS 2026'!B2070="DTSI","DCT",'ENGAGEMENTS 2026'!B2070))</f>
        <v/>
      </c>
      <c r="B2070">
        <f>IF(ISBLANK('ENGAGEMENTS 2026'!B2070),"",'ENGAGEMENTS 2026'!C2070)</f>
        <v/>
      </c>
      <c r="C2070">
        <f>IF(ISBLANK('ENGAGEMENTS 2026'!B2070),"",'ENGAGEMENTS 2026'!D2070)</f>
        <v/>
      </c>
      <c r="D2070">
        <f>IF(ISBLANK('ENGAGEMENTS 2026'!B2070),"",'ENGAGEMENTS 2026'!F2070)</f>
        <v/>
      </c>
      <c r="E2070">
        <f>IF(ISBLANK('ENGAGEMENTS 2026'!B2070),"",'ENGAGEMENTS 2026'!H2070)</f>
        <v/>
      </c>
      <c r="F2070">
        <f>IF(ISBLANK('ENGAGEMENTS 2026'!B2070),"",'ENGAGEMENTS 2026'!I2070)</f>
        <v/>
      </c>
      <c r="G2070">
        <f>IF(ISBLANK('ENGAGEMENTS 2026'!B2070),"",'ENGAGEMENTS 2026'!L2070)</f>
        <v/>
      </c>
      <c r="H2070">
        <f>IF(ISBLANK('ENGAGEMENTS 2026'!B2070),"",'ENGAGEMENTS 2026'!AE2070)</f>
        <v/>
      </c>
      <c r="I2070">
        <f>IF(ISBLANK('ENGAGEMENTS 2026'!B2070),"",'ENGAGEMENTS 2026'!G2070)</f>
        <v/>
      </c>
      <c r="J2070" s="275">
        <f>IF(ISBLANK('ENGAGEMENTS 2026'!B2070),"",IF(AND(OR($E2070="INFRUCTUEUX",$E2070="ANNULE"),$C2070="AOO-M"),'ENGAGEMENTS 2026'!O2070,IF($H2070="EN COURS DE PREENGAGEMENT",'ENGAGEMENTS 2026'!N2070,IF($H2070="PREENGAGE",IF($E2070="ATTRIBUE",'ENGAGEMENTS 2026'!AD2070,'ENGAGEMENTS 2026'!N2070),'ENGAGEMENTS 2026'!AD2070))))</f>
        <v/>
      </c>
      <c r="K2070" s="604">
        <f>IF(ISBLANK('ENGAGEMENTS 2026'!V2070),"",'ENGAGEMENTS 2026'!V2070)</f>
        <v/>
      </c>
      <c r="L2070" s="276">
        <f>IF($K2070="","",TODAY()-$K2070)</f>
        <v/>
      </c>
      <c r="M2070">
        <f>IF($A2070="","",IF($H2070="ENGAGE","Engagé",IF(AND($H2070="NON ENGAGE",OR($I2070="INFRUCTUEUX",$I2070="ANNULE")),"Clôturé sans suite","En cours")))</f>
        <v/>
      </c>
      <c r="N2070">
        <f>IF(ISBLANK('ENGAGEMENTS 2026'!B2070),"",'ENGAGEMENTS 2026'!K2070)</f>
        <v/>
      </c>
      <c r="O2070">
        <f>IF(ISBLANK('ENGAGEMENTS 2026'!B2070),"",'ENGAGEMENTS 2026'!L2070)</f>
        <v/>
      </c>
      <c r="P2070">
        <f>IF(ISBLANK('ENGAGEMENTS 2026'!B2070),"",'ENGAGEMENTS 2026'!J2070)</f>
        <v/>
      </c>
      <c r="Q2070">
        <f>IF($A2070="","",IF(OR($E2070="INFRUCTUEUX",$E2070="ANNULE"),$A2070&amp;"|"&amp;(COUNTIFS($A$2:$A2070,$A2070,$E$2:$E2070,"INFRUCTUEUX")+COUNTIFS($A$2:$A2070,$A2070,$E$2:$E2070,"ANNULE")),""))</f>
        <v/>
      </c>
    </row>
    <row r="2071">
      <c r="A2071">
        <f>IF(ISBLANK('ENGAGEMENTS 2026'!B2071),"",IF('ENGAGEMENTS 2026'!B2071="DTSI","DCT",'ENGAGEMENTS 2026'!B2071))</f>
        <v/>
      </c>
      <c r="B2071">
        <f>IF(ISBLANK('ENGAGEMENTS 2026'!B2071),"",'ENGAGEMENTS 2026'!C2071)</f>
        <v/>
      </c>
      <c r="C2071">
        <f>IF(ISBLANK('ENGAGEMENTS 2026'!B2071),"",'ENGAGEMENTS 2026'!D2071)</f>
        <v/>
      </c>
      <c r="D2071">
        <f>IF(ISBLANK('ENGAGEMENTS 2026'!B2071),"",'ENGAGEMENTS 2026'!F2071)</f>
        <v/>
      </c>
      <c r="E2071">
        <f>IF(ISBLANK('ENGAGEMENTS 2026'!B2071),"",'ENGAGEMENTS 2026'!H2071)</f>
        <v/>
      </c>
      <c r="F2071">
        <f>IF(ISBLANK('ENGAGEMENTS 2026'!B2071),"",'ENGAGEMENTS 2026'!I2071)</f>
        <v/>
      </c>
      <c r="G2071">
        <f>IF(ISBLANK('ENGAGEMENTS 2026'!B2071),"",'ENGAGEMENTS 2026'!L2071)</f>
        <v/>
      </c>
      <c r="H2071">
        <f>IF(ISBLANK('ENGAGEMENTS 2026'!B2071),"",'ENGAGEMENTS 2026'!AE2071)</f>
        <v/>
      </c>
      <c r="I2071">
        <f>IF(ISBLANK('ENGAGEMENTS 2026'!B2071),"",'ENGAGEMENTS 2026'!G2071)</f>
        <v/>
      </c>
      <c r="J2071" s="275">
        <f>IF(ISBLANK('ENGAGEMENTS 2026'!B2071),"",IF(AND(OR($E2071="INFRUCTUEUX",$E2071="ANNULE"),$C2071="AOO-M"),'ENGAGEMENTS 2026'!O2071,IF($H2071="EN COURS DE PREENGAGEMENT",'ENGAGEMENTS 2026'!N2071,IF($H2071="PREENGAGE",IF($E2071="ATTRIBUE",'ENGAGEMENTS 2026'!AD2071,'ENGAGEMENTS 2026'!N2071),'ENGAGEMENTS 2026'!AD2071))))</f>
        <v/>
      </c>
      <c r="K2071" s="604">
        <f>IF(ISBLANK('ENGAGEMENTS 2026'!V2071),"",'ENGAGEMENTS 2026'!V2071)</f>
        <v/>
      </c>
      <c r="L2071" s="276">
        <f>IF($K2071="","",TODAY()-$K2071)</f>
        <v/>
      </c>
      <c r="M2071">
        <f>IF($A2071="","",IF($H2071="ENGAGE","Engagé",IF(AND($H2071="NON ENGAGE",OR($I2071="INFRUCTUEUX",$I2071="ANNULE")),"Clôturé sans suite","En cours")))</f>
        <v/>
      </c>
      <c r="N2071">
        <f>IF(ISBLANK('ENGAGEMENTS 2026'!B2071),"",'ENGAGEMENTS 2026'!K2071)</f>
        <v/>
      </c>
      <c r="O2071">
        <f>IF(ISBLANK('ENGAGEMENTS 2026'!B2071),"",'ENGAGEMENTS 2026'!L2071)</f>
        <v/>
      </c>
      <c r="P2071">
        <f>IF(ISBLANK('ENGAGEMENTS 2026'!B2071),"",'ENGAGEMENTS 2026'!J2071)</f>
        <v/>
      </c>
      <c r="Q2071">
        <f>IF($A2071="","",IF(OR($E2071="INFRUCTUEUX",$E2071="ANNULE"),$A2071&amp;"|"&amp;(COUNTIFS($A$2:$A2071,$A2071,$E$2:$E2071,"INFRUCTUEUX")+COUNTIFS($A$2:$A2071,$A2071,$E$2:$E2071,"ANNULE")),""))</f>
        <v/>
      </c>
    </row>
    <row r="2072">
      <c r="A2072">
        <f>IF(ISBLANK('ENGAGEMENTS 2026'!B2072),"",IF('ENGAGEMENTS 2026'!B2072="DTSI","DCT",'ENGAGEMENTS 2026'!B2072))</f>
        <v/>
      </c>
      <c r="B2072">
        <f>IF(ISBLANK('ENGAGEMENTS 2026'!B2072),"",'ENGAGEMENTS 2026'!C2072)</f>
        <v/>
      </c>
      <c r="C2072">
        <f>IF(ISBLANK('ENGAGEMENTS 2026'!B2072),"",'ENGAGEMENTS 2026'!D2072)</f>
        <v/>
      </c>
      <c r="D2072">
        <f>IF(ISBLANK('ENGAGEMENTS 2026'!B2072),"",'ENGAGEMENTS 2026'!F2072)</f>
        <v/>
      </c>
      <c r="E2072">
        <f>IF(ISBLANK('ENGAGEMENTS 2026'!B2072),"",'ENGAGEMENTS 2026'!H2072)</f>
        <v/>
      </c>
      <c r="F2072">
        <f>IF(ISBLANK('ENGAGEMENTS 2026'!B2072),"",'ENGAGEMENTS 2026'!I2072)</f>
        <v/>
      </c>
      <c r="G2072">
        <f>IF(ISBLANK('ENGAGEMENTS 2026'!B2072),"",'ENGAGEMENTS 2026'!L2072)</f>
        <v/>
      </c>
      <c r="H2072">
        <f>IF(ISBLANK('ENGAGEMENTS 2026'!B2072),"",'ENGAGEMENTS 2026'!AE2072)</f>
        <v/>
      </c>
      <c r="I2072">
        <f>IF(ISBLANK('ENGAGEMENTS 2026'!B2072),"",'ENGAGEMENTS 2026'!G2072)</f>
        <v/>
      </c>
      <c r="J2072" s="275">
        <f>IF(ISBLANK('ENGAGEMENTS 2026'!B2072),"",IF(AND(OR($E2072="INFRUCTUEUX",$E2072="ANNULE"),$C2072="AOO-M"),'ENGAGEMENTS 2026'!O2072,IF($H2072="EN COURS DE PREENGAGEMENT",'ENGAGEMENTS 2026'!N2072,IF($H2072="PREENGAGE",IF($E2072="ATTRIBUE",'ENGAGEMENTS 2026'!AD2072,'ENGAGEMENTS 2026'!N2072),'ENGAGEMENTS 2026'!AD2072))))</f>
        <v/>
      </c>
      <c r="K2072" s="604">
        <f>IF(ISBLANK('ENGAGEMENTS 2026'!V2072),"",'ENGAGEMENTS 2026'!V2072)</f>
        <v/>
      </c>
      <c r="L2072" s="276">
        <f>IF($K2072="","",TODAY()-$K2072)</f>
        <v/>
      </c>
      <c r="M2072">
        <f>IF($A2072="","",IF($H2072="ENGAGE","Engagé",IF(AND($H2072="NON ENGAGE",OR($I2072="INFRUCTUEUX",$I2072="ANNULE")),"Clôturé sans suite","En cours")))</f>
        <v/>
      </c>
      <c r="N2072">
        <f>IF(ISBLANK('ENGAGEMENTS 2026'!B2072),"",'ENGAGEMENTS 2026'!K2072)</f>
        <v/>
      </c>
      <c r="O2072">
        <f>IF(ISBLANK('ENGAGEMENTS 2026'!B2072),"",'ENGAGEMENTS 2026'!L2072)</f>
        <v/>
      </c>
      <c r="P2072">
        <f>IF(ISBLANK('ENGAGEMENTS 2026'!B2072),"",'ENGAGEMENTS 2026'!J2072)</f>
        <v/>
      </c>
      <c r="Q2072">
        <f>IF($A2072="","",IF(OR($E2072="INFRUCTUEUX",$E2072="ANNULE"),$A2072&amp;"|"&amp;(COUNTIFS($A$2:$A2072,$A2072,$E$2:$E2072,"INFRUCTUEUX")+COUNTIFS($A$2:$A2072,$A2072,$E$2:$E2072,"ANNULE")),""))</f>
        <v/>
      </c>
    </row>
    <row r="2073">
      <c r="A2073">
        <f>IF(ISBLANK('ENGAGEMENTS 2026'!B2073),"",IF('ENGAGEMENTS 2026'!B2073="DTSI","DCT",'ENGAGEMENTS 2026'!B2073))</f>
        <v/>
      </c>
      <c r="B2073">
        <f>IF(ISBLANK('ENGAGEMENTS 2026'!B2073),"",'ENGAGEMENTS 2026'!C2073)</f>
        <v/>
      </c>
      <c r="C2073">
        <f>IF(ISBLANK('ENGAGEMENTS 2026'!B2073),"",'ENGAGEMENTS 2026'!D2073)</f>
        <v/>
      </c>
      <c r="D2073">
        <f>IF(ISBLANK('ENGAGEMENTS 2026'!B2073),"",'ENGAGEMENTS 2026'!F2073)</f>
        <v/>
      </c>
      <c r="E2073">
        <f>IF(ISBLANK('ENGAGEMENTS 2026'!B2073),"",'ENGAGEMENTS 2026'!H2073)</f>
        <v/>
      </c>
      <c r="F2073">
        <f>IF(ISBLANK('ENGAGEMENTS 2026'!B2073),"",'ENGAGEMENTS 2026'!I2073)</f>
        <v/>
      </c>
      <c r="G2073">
        <f>IF(ISBLANK('ENGAGEMENTS 2026'!B2073),"",'ENGAGEMENTS 2026'!L2073)</f>
        <v/>
      </c>
      <c r="H2073">
        <f>IF(ISBLANK('ENGAGEMENTS 2026'!B2073),"",'ENGAGEMENTS 2026'!AE2073)</f>
        <v/>
      </c>
      <c r="I2073">
        <f>IF(ISBLANK('ENGAGEMENTS 2026'!B2073),"",'ENGAGEMENTS 2026'!G2073)</f>
        <v/>
      </c>
      <c r="J2073" s="275">
        <f>IF(ISBLANK('ENGAGEMENTS 2026'!B2073),"",IF(AND(OR($E2073="INFRUCTUEUX",$E2073="ANNULE"),$C2073="AOO-M"),'ENGAGEMENTS 2026'!O2073,IF($H2073="EN COURS DE PREENGAGEMENT",'ENGAGEMENTS 2026'!N2073,IF($H2073="PREENGAGE",IF($E2073="ATTRIBUE",'ENGAGEMENTS 2026'!AD2073,'ENGAGEMENTS 2026'!N2073),'ENGAGEMENTS 2026'!AD2073))))</f>
        <v/>
      </c>
      <c r="K2073" s="604">
        <f>IF(ISBLANK('ENGAGEMENTS 2026'!V2073),"",'ENGAGEMENTS 2026'!V2073)</f>
        <v/>
      </c>
      <c r="L2073" s="276">
        <f>IF($K2073="","",TODAY()-$K2073)</f>
        <v/>
      </c>
      <c r="M2073">
        <f>IF($A2073="","",IF($H2073="ENGAGE","Engagé",IF(AND($H2073="NON ENGAGE",OR($I2073="INFRUCTUEUX",$I2073="ANNULE")),"Clôturé sans suite","En cours")))</f>
        <v/>
      </c>
      <c r="N2073">
        <f>IF(ISBLANK('ENGAGEMENTS 2026'!B2073),"",'ENGAGEMENTS 2026'!K2073)</f>
        <v/>
      </c>
      <c r="O2073">
        <f>IF(ISBLANK('ENGAGEMENTS 2026'!B2073),"",'ENGAGEMENTS 2026'!L2073)</f>
        <v/>
      </c>
      <c r="P2073">
        <f>IF(ISBLANK('ENGAGEMENTS 2026'!B2073),"",'ENGAGEMENTS 2026'!J2073)</f>
        <v/>
      </c>
      <c r="Q2073">
        <f>IF($A2073="","",IF(OR($E2073="INFRUCTUEUX",$E2073="ANNULE"),$A2073&amp;"|"&amp;(COUNTIFS($A$2:$A2073,$A2073,$E$2:$E2073,"INFRUCTUEUX")+COUNTIFS($A$2:$A2073,$A2073,$E$2:$E2073,"ANNULE")),""))</f>
        <v/>
      </c>
    </row>
    <row r="2074">
      <c r="A2074">
        <f>IF(ISBLANK('ENGAGEMENTS 2026'!B2074),"",IF('ENGAGEMENTS 2026'!B2074="DTSI","DCT",'ENGAGEMENTS 2026'!B2074))</f>
        <v/>
      </c>
      <c r="B2074">
        <f>IF(ISBLANK('ENGAGEMENTS 2026'!B2074),"",'ENGAGEMENTS 2026'!C2074)</f>
        <v/>
      </c>
      <c r="C2074">
        <f>IF(ISBLANK('ENGAGEMENTS 2026'!B2074),"",'ENGAGEMENTS 2026'!D2074)</f>
        <v/>
      </c>
      <c r="D2074">
        <f>IF(ISBLANK('ENGAGEMENTS 2026'!B2074),"",'ENGAGEMENTS 2026'!F2074)</f>
        <v/>
      </c>
      <c r="E2074">
        <f>IF(ISBLANK('ENGAGEMENTS 2026'!B2074),"",'ENGAGEMENTS 2026'!H2074)</f>
        <v/>
      </c>
      <c r="F2074">
        <f>IF(ISBLANK('ENGAGEMENTS 2026'!B2074),"",'ENGAGEMENTS 2026'!I2074)</f>
        <v/>
      </c>
      <c r="G2074">
        <f>IF(ISBLANK('ENGAGEMENTS 2026'!B2074),"",'ENGAGEMENTS 2026'!L2074)</f>
        <v/>
      </c>
      <c r="H2074">
        <f>IF(ISBLANK('ENGAGEMENTS 2026'!B2074),"",'ENGAGEMENTS 2026'!AE2074)</f>
        <v/>
      </c>
      <c r="I2074">
        <f>IF(ISBLANK('ENGAGEMENTS 2026'!B2074),"",'ENGAGEMENTS 2026'!G2074)</f>
        <v/>
      </c>
      <c r="J2074" s="275">
        <f>IF(ISBLANK('ENGAGEMENTS 2026'!B2074),"",IF(AND(OR($E2074="INFRUCTUEUX",$E2074="ANNULE"),$C2074="AOO-M"),'ENGAGEMENTS 2026'!O2074,IF($H2074="EN COURS DE PREENGAGEMENT",'ENGAGEMENTS 2026'!N2074,IF($H2074="PREENGAGE",IF($E2074="ATTRIBUE",'ENGAGEMENTS 2026'!AD2074,'ENGAGEMENTS 2026'!N2074),'ENGAGEMENTS 2026'!AD2074))))</f>
        <v/>
      </c>
      <c r="K2074" s="604">
        <f>IF(ISBLANK('ENGAGEMENTS 2026'!V2074),"",'ENGAGEMENTS 2026'!V2074)</f>
        <v/>
      </c>
      <c r="L2074" s="276">
        <f>IF($K2074="","",TODAY()-$K2074)</f>
        <v/>
      </c>
      <c r="M2074">
        <f>IF($A2074="","",IF($H2074="ENGAGE","Engagé",IF(AND($H2074="NON ENGAGE",OR($I2074="INFRUCTUEUX",$I2074="ANNULE")),"Clôturé sans suite","En cours")))</f>
        <v/>
      </c>
      <c r="N2074">
        <f>IF(ISBLANK('ENGAGEMENTS 2026'!B2074),"",'ENGAGEMENTS 2026'!K2074)</f>
        <v/>
      </c>
      <c r="O2074">
        <f>IF(ISBLANK('ENGAGEMENTS 2026'!B2074),"",'ENGAGEMENTS 2026'!L2074)</f>
        <v/>
      </c>
      <c r="P2074">
        <f>IF(ISBLANK('ENGAGEMENTS 2026'!B2074),"",'ENGAGEMENTS 2026'!J2074)</f>
        <v/>
      </c>
      <c r="Q2074">
        <f>IF($A2074="","",IF(OR($E2074="INFRUCTUEUX",$E2074="ANNULE"),$A2074&amp;"|"&amp;(COUNTIFS($A$2:$A2074,$A2074,$E$2:$E2074,"INFRUCTUEUX")+COUNTIFS($A$2:$A2074,$A2074,$E$2:$E2074,"ANNULE")),""))</f>
        <v/>
      </c>
    </row>
    <row r="2075">
      <c r="A2075">
        <f>IF(ISBLANK('ENGAGEMENTS 2026'!B2075),"",IF('ENGAGEMENTS 2026'!B2075="DTSI","DCT",'ENGAGEMENTS 2026'!B2075))</f>
        <v/>
      </c>
      <c r="B2075">
        <f>IF(ISBLANK('ENGAGEMENTS 2026'!B2075),"",'ENGAGEMENTS 2026'!C2075)</f>
        <v/>
      </c>
      <c r="C2075">
        <f>IF(ISBLANK('ENGAGEMENTS 2026'!B2075),"",'ENGAGEMENTS 2026'!D2075)</f>
        <v/>
      </c>
      <c r="D2075">
        <f>IF(ISBLANK('ENGAGEMENTS 2026'!B2075),"",'ENGAGEMENTS 2026'!F2075)</f>
        <v/>
      </c>
      <c r="E2075">
        <f>IF(ISBLANK('ENGAGEMENTS 2026'!B2075),"",'ENGAGEMENTS 2026'!H2075)</f>
        <v/>
      </c>
      <c r="F2075">
        <f>IF(ISBLANK('ENGAGEMENTS 2026'!B2075),"",'ENGAGEMENTS 2026'!I2075)</f>
        <v/>
      </c>
      <c r="G2075">
        <f>IF(ISBLANK('ENGAGEMENTS 2026'!B2075),"",'ENGAGEMENTS 2026'!L2075)</f>
        <v/>
      </c>
      <c r="H2075">
        <f>IF(ISBLANK('ENGAGEMENTS 2026'!B2075),"",'ENGAGEMENTS 2026'!AE2075)</f>
        <v/>
      </c>
      <c r="I2075">
        <f>IF(ISBLANK('ENGAGEMENTS 2026'!B2075),"",'ENGAGEMENTS 2026'!G2075)</f>
        <v/>
      </c>
      <c r="J2075" s="275">
        <f>IF(ISBLANK('ENGAGEMENTS 2026'!B2075),"",IF(AND(OR($E2075="INFRUCTUEUX",$E2075="ANNULE"),$C2075="AOO-M"),'ENGAGEMENTS 2026'!O2075,IF($H2075="EN COURS DE PREENGAGEMENT",'ENGAGEMENTS 2026'!N2075,IF($H2075="PREENGAGE",IF($E2075="ATTRIBUE",'ENGAGEMENTS 2026'!AD2075,'ENGAGEMENTS 2026'!N2075),'ENGAGEMENTS 2026'!AD2075))))</f>
        <v/>
      </c>
      <c r="K2075" s="604">
        <f>IF(ISBLANK('ENGAGEMENTS 2026'!V2075),"",'ENGAGEMENTS 2026'!V2075)</f>
        <v/>
      </c>
      <c r="L2075" s="276">
        <f>IF($K2075="","",TODAY()-$K2075)</f>
        <v/>
      </c>
      <c r="M2075">
        <f>IF($A2075="","",IF($H2075="ENGAGE","Engagé",IF(AND($H2075="NON ENGAGE",OR($I2075="INFRUCTUEUX",$I2075="ANNULE")),"Clôturé sans suite","En cours")))</f>
        <v/>
      </c>
      <c r="N2075">
        <f>IF(ISBLANK('ENGAGEMENTS 2026'!B2075),"",'ENGAGEMENTS 2026'!K2075)</f>
        <v/>
      </c>
      <c r="O2075">
        <f>IF(ISBLANK('ENGAGEMENTS 2026'!B2075),"",'ENGAGEMENTS 2026'!L2075)</f>
        <v/>
      </c>
      <c r="P2075">
        <f>IF(ISBLANK('ENGAGEMENTS 2026'!B2075),"",'ENGAGEMENTS 2026'!J2075)</f>
        <v/>
      </c>
      <c r="Q2075">
        <f>IF($A2075="","",IF(OR($E2075="INFRUCTUEUX",$E2075="ANNULE"),$A2075&amp;"|"&amp;(COUNTIFS($A$2:$A2075,$A2075,$E$2:$E2075,"INFRUCTUEUX")+COUNTIFS($A$2:$A2075,$A2075,$E$2:$E2075,"ANNULE")),""))</f>
        <v/>
      </c>
    </row>
    <row r="2076">
      <c r="A2076">
        <f>IF(ISBLANK('ENGAGEMENTS 2026'!B2076),"",IF('ENGAGEMENTS 2026'!B2076="DTSI","DCT",'ENGAGEMENTS 2026'!B2076))</f>
        <v/>
      </c>
      <c r="B2076">
        <f>IF(ISBLANK('ENGAGEMENTS 2026'!B2076),"",'ENGAGEMENTS 2026'!C2076)</f>
        <v/>
      </c>
      <c r="C2076">
        <f>IF(ISBLANK('ENGAGEMENTS 2026'!B2076),"",'ENGAGEMENTS 2026'!D2076)</f>
        <v/>
      </c>
      <c r="D2076">
        <f>IF(ISBLANK('ENGAGEMENTS 2026'!B2076),"",'ENGAGEMENTS 2026'!F2076)</f>
        <v/>
      </c>
      <c r="E2076">
        <f>IF(ISBLANK('ENGAGEMENTS 2026'!B2076),"",'ENGAGEMENTS 2026'!H2076)</f>
        <v/>
      </c>
      <c r="F2076">
        <f>IF(ISBLANK('ENGAGEMENTS 2026'!B2076),"",'ENGAGEMENTS 2026'!I2076)</f>
        <v/>
      </c>
      <c r="G2076">
        <f>IF(ISBLANK('ENGAGEMENTS 2026'!B2076),"",'ENGAGEMENTS 2026'!L2076)</f>
        <v/>
      </c>
      <c r="H2076">
        <f>IF(ISBLANK('ENGAGEMENTS 2026'!B2076),"",'ENGAGEMENTS 2026'!AE2076)</f>
        <v/>
      </c>
      <c r="I2076">
        <f>IF(ISBLANK('ENGAGEMENTS 2026'!B2076),"",'ENGAGEMENTS 2026'!G2076)</f>
        <v/>
      </c>
      <c r="J2076" s="275">
        <f>IF(ISBLANK('ENGAGEMENTS 2026'!B2076),"",IF(AND(OR($E2076="INFRUCTUEUX",$E2076="ANNULE"),$C2076="AOO-M"),'ENGAGEMENTS 2026'!O2076,IF($H2076="EN COURS DE PREENGAGEMENT",'ENGAGEMENTS 2026'!N2076,IF($H2076="PREENGAGE",IF($E2076="ATTRIBUE",'ENGAGEMENTS 2026'!AD2076,'ENGAGEMENTS 2026'!N2076),'ENGAGEMENTS 2026'!AD2076))))</f>
        <v/>
      </c>
      <c r="K2076" s="604">
        <f>IF(ISBLANK('ENGAGEMENTS 2026'!V2076),"",'ENGAGEMENTS 2026'!V2076)</f>
        <v/>
      </c>
      <c r="L2076" s="276">
        <f>IF($K2076="","",TODAY()-$K2076)</f>
        <v/>
      </c>
      <c r="M2076">
        <f>IF($A2076="","",IF($H2076="ENGAGE","Engagé",IF(AND($H2076="NON ENGAGE",OR($I2076="INFRUCTUEUX",$I2076="ANNULE")),"Clôturé sans suite","En cours")))</f>
        <v/>
      </c>
      <c r="N2076">
        <f>IF(ISBLANK('ENGAGEMENTS 2026'!B2076),"",'ENGAGEMENTS 2026'!K2076)</f>
        <v/>
      </c>
      <c r="O2076">
        <f>IF(ISBLANK('ENGAGEMENTS 2026'!B2076),"",'ENGAGEMENTS 2026'!L2076)</f>
        <v/>
      </c>
      <c r="P2076">
        <f>IF(ISBLANK('ENGAGEMENTS 2026'!B2076),"",'ENGAGEMENTS 2026'!J2076)</f>
        <v/>
      </c>
      <c r="Q2076">
        <f>IF($A2076="","",IF(OR($E2076="INFRUCTUEUX",$E2076="ANNULE"),$A2076&amp;"|"&amp;(COUNTIFS($A$2:$A2076,$A2076,$E$2:$E2076,"INFRUCTUEUX")+COUNTIFS($A$2:$A2076,$A2076,$E$2:$E2076,"ANNULE")),""))</f>
        <v/>
      </c>
    </row>
    <row r="2077">
      <c r="A2077">
        <f>IF(ISBLANK('ENGAGEMENTS 2026'!B2077),"",IF('ENGAGEMENTS 2026'!B2077="DTSI","DCT",'ENGAGEMENTS 2026'!B2077))</f>
        <v/>
      </c>
      <c r="B2077">
        <f>IF(ISBLANK('ENGAGEMENTS 2026'!B2077),"",'ENGAGEMENTS 2026'!C2077)</f>
        <v/>
      </c>
      <c r="C2077">
        <f>IF(ISBLANK('ENGAGEMENTS 2026'!B2077),"",'ENGAGEMENTS 2026'!D2077)</f>
        <v/>
      </c>
      <c r="D2077">
        <f>IF(ISBLANK('ENGAGEMENTS 2026'!B2077),"",'ENGAGEMENTS 2026'!F2077)</f>
        <v/>
      </c>
      <c r="E2077">
        <f>IF(ISBLANK('ENGAGEMENTS 2026'!B2077),"",'ENGAGEMENTS 2026'!H2077)</f>
        <v/>
      </c>
      <c r="F2077">
        <f>IF(ISBLANK('ENGAGEMENTS 2026'!B2077),"",'ENGAGEMENTS 2026'!I2077)</f>
        <v/>
      </c>
      <c r="G2077">
        <f>IF(ISBLANK('ENGAGEMENTS 2026'!B2077),"",'ENGAGEMENTS 2026'!L2077)</f>
        <v/>
      </c>
      <c r="H2077">
        <f>IF(ISBLANK('ENGAGEMENTS 2026'!B2077),"",'ENGAGEMENTS 2026'!AE2077)</f>
        <v/>
      </c>
      <c r="I2077">
        <f>IF(ISBLANK('ENGAGEMENTS 2026'!B2077),"",'ENGAGEMENTS 2026'!G2077)</f>
        <v/>
      </c>
      <c r="J2077" s="275">
        <f>IF(ISBLANK('ENGAGEMENTS 2026'!B2077),"",IF(AND(OR($E2077="INFRUCTUEUX",$E2077="ANNULE"),$C2077="AOO-M"),'ENGAGEMENTS 2026'!O2077,IF($H2077="EN COURS DE PREENGAGEMENT",'ENGAGEMENTS 2026'!N2077,IF($H2077="PREENGAGE",IF($E2077="ATTRIBUE",'ENGAGEMENTS 2026'!AD2077,'ENGAGEMENTS 2026'!N2077),'ENGAGEMENTS 2026'!AD2077))))</f>
        <v/>
      </c>
      <c r="K2077" s="604">
        <f>IF(ISBLANK('ENGAGEMENTS 2026'!V2077),"",'ENGAGEMENTS 2026'!V2077)</f>
        <v/>
      </c>
      <c r="L2077" s="276">
        <f>IF($K2077="","",TODAY()-$K2077)</f>
        <v/>
      </c>
      <c r="M2077">
        <f>IF($A2077="","",IF($H2077="ENGAGE","Engagé",IF(AND($H2077="NON ENGAGE",OR($I2077="INFRUCTUEUX",$I2077="ANNULE")),"Clôturé sans suite","En cours")))</f>
        <v/>
      </c>
      <c r="N2077">
        <f>IF(ISBLANK('ENGAGEMENTS 2026'!B2077),"",'ENGAGEMENTS 2026'!K2077)</f>
        <v/>
      </c>
      <c r="O2077">
        <f>IF(ISBLANK('ENGAGEMENTS 2026'!B2077),"",'ENGAGEMENTS 2026'!L2077)</f>
        <v/>
      </c>
      <c r="P2077">
        <f>IF(ISBLANK('ENGAGEMENTS 2026'!B2077),"",'ENGAGEMENTS 2026'!J2077)</f>
        <v/>
      </c>
      <c r="Q2077">
        <f>IF($A2077="","",IF(OR($E2077="INFRUCTUEUX",$E2077="ANNULE"),$A2077&amp;"|"&amp;(COUNTIFS($A$2:$A2077,$A2077,$E$2:$E2077,"INFRUCTUEUX")+COUNTIFS($A$2:$A2077,$A2077,$E$2:$E2077,"ANNULE")),""))</f>
        <v/>
      </c>
    </row>
    <row r="2078">
      <c r="A2078">
        <f>IF(ISBLANK('ENGAGEMENTS 2026'!B2078),"",IF('ENGAGEMENTS 2026'!B2078="DTSI","DCT",'ENGAGEMENTS 2026'!B2078))</f>
        <v/>
      </c>
      <c r="B2078">
        <f>IF(ISBLANK('ENGAGEMENTS 2026'!B2078),"",'ENGAGEMENTS 2026'!C2078)</f>
        <v/>
      </c>
      <c r="C2078">
        <f>IF(ISBLANK('ENGAGEMENTS 2026'!B2078),"",'ENGAGEMENTS 2026'!D2078)</f>
        <v/>
      </c>
      <c r="D2078">
        <f>IF(ISBLANK('ENGAGEMENTS 2026'!B2078),"",'ENGAGEMENTS 2026'!F2078)</f>
        <v/>
      </c>
      <c r="E2078">
        <f>IF(ISBLANK('ENGAGEMENTS 2026'!B2078),"",'ENGAGEMENTS 2026'!H2078)</f>
        <v/>
      </c>
      <c r="F2078">
        <f>IF(ISBLANK('ENGAGEMENTS 2026'!B2078),"",'ENGAGEMENTS 2026'!I2078)</f>
        <v/>
      </c>
      <c r="G2078">
        <f>IF(ISBLANK('ENGAGEMENTS 2026'!B2078),"",'ENGAGEMENTS 2026'!L2078)</f>
        <v/>
      </c>
      <c r="H2078">
        <f>IF(ISBLANK('ENGAGEMENTS 2026'!B2078),"",'ENGAGEMENTS 2026'!AE2078)</f>
        <v/>
      </c>
      <c r="I2078">
        <f>IF(ISBLANK('ENGAGEMENTS 2026'!B2078),"",'ENGAGEMENTS 2026'!G2078)</f>
        <v/>
      </c>
      <c r="J2078" s="275">
        <f>IF(ISBLANK('ENGAGEMENTS 2026'!B2078),"",IF(AND(OR($E2078="INFRUCTUEUX",$E2078="ANNULE"),$C2078="AOO-M"),'ENGAGEMENTS 2026'!O2078,IF($H2078="EN COURS DE PREENGAGEMENT",'ENGAGEMENTS 2026'!N2078,IF($H2078="PREENGAGE",IF($E2078="ATTRIBUE",'ENGAGEMENTS 2026'!AD2078,'ENGAGEMENTS 2026'!N2078),'ENGAGEMENTS 2026'!AD2078))))</f>
        <v/>
      </c>
      <c r="K2078" s="604">
        <f>IF(ISBLANK('ENGAGEMENTS 2026'!V2078),"",'ENGAGEMENTS 2026'!V2078)</f>
        <v/>
      </c>
      <c r="L2078" s="276">
        <f>IF($K2078="","",TODAY()-$K2078)</f>
        <v/>
      </c>
      <c r="M2078">
        <f>IF($A2078="","",IF($H2078="ENGAGE","Engagé",IF(AND($H2078="NON ENGAGE",OR($I2078="INFRUCTUEUX",$I2078="ANNULE")),"Clôturé sans suite","En cours")))</f>
        <v/>
      </c>
      <c r="N2078">
        <f>IF(ISBLANK('ENGAGEMENTS 2026'!B2078),"",'ENGAGEMENTS 2026'!K2078)</f>
        <v/>
      </c>
      <c r="O2078">
        <f>IF(ISBLANK('ENGAGEMENTS 2026'!B2078),"",'ENGAGEMENTS 2026'!L2078)</f>
        <v/>
      </c>
      <c r="P2078">
        <f>IF(ISBLANK('ENGAGEMENTS 2026'!B2078),"",'ENGAGEMENTS 2026'!J2078)</f>
        <v/>
      </c>
      <c r="Q2078">
        <f>IF($A2078="","",IF(OR($E2078="INFRUCTUEUX",$E2078="ANNULE"),$A2078&amp;"|"&amp;(COUNTIFS($A$2:$A2078,$A2078,$E$2:$E2078,"INFRUCTUEUX")+COUNTIFS($A$2:$A2078,$A2078,$E$2:$E2078,"ANNULE")),""))</f>
        <v/>
      </c>
    </row>
    <row r="2079">
      <c r="A2079">
        <f>IF(ISBLANK('ENGAGEMENTS 2026'!B2079),"",IF('ENGAGEMENTS 2026'!B2079="DTSI","DCT",'ENGAGEMENTS 2026'!B2079))</f>
        <v/>
      </c>
      <c r="B2079">
        <f>IF(ISBLANK('ENGAGEMENTS 2026'!B2079),"",'ENGAGEMENTS 2026'!C2079)</f>
        <v/>
      </c>
      <c r="C2079">
        <f>IF(ISBLANK('ENGAGEMENTS 2026'!B2079),"",'ENGAGEMENTS 2026'!D2079)</f>
        <v/>
      </c>
      <c r="D2079">
        <f>IF(ISBLANK('ENGAGEMENTS 2026'!B2079),"",'ENGAGEMENTS 2026'!F2079)</f>
        <v/>
      </c>
      <c r="E2079">
        <f>IF(ISBLANK('ENGAGEMENTS 2026'!B2079),"",'ENGAGEMENTS 2026'!H2079)</f>
        <v/>
      </c>
      <c r="F2079">
        <f>IF(ISBLANK('ENGAGEMENTS 2026'!B2079),"",'ENGAGEMENTS 2026'!I2079)</f>
        <v/>
      </c>
      <c r="G2079">
        <f>IF(ISBLANK('ENGAGEMENTS 2026'!B2079),"",'ENGAGEMENTS 2026'!L2079)</f>
        <v/>
      </c>
      <c r="H2079">
        <f>IF(ISBLANK('ENGAGEMENTS 2026'!B2079),"",'ENGAGEMENTS 2026'!AE2079)</f>
        <v/>
      </c>
      <c r="I2079">
        <f>IF(ISBLANK('ENGAGEMENTS 2026'!B2079),"",'ENGAGEMENTS 2026'!G2079)</f>
        <v/>
      </c>
      <c r="J2079" s="275">
        <f>IF(ISBLANK('ENGAGEMENTS 2026'!B2079),"",IF(AND(OR($E2079="INFRUCTUEUX",$E2079="ANNULE"),$C2079="AOO-M"),'ENGAGEMENTS 2026'!O2079,IF($H2079="EN COURS DE PREENGAGEMENT",'ENGAGEMENTS 2026'!N2079,IF($H2079="PREENGAGE",IF($E2079="ATTRIBUE",'ENGAGEMENTS 2026'!AD2079,'ENGAGEMENTS 2026'!N2079),'ENGAGEMENTS 2026'!AD2079))))</f>
        <v/>
      </c>
      <c r="K2079" s="604">
        <f>IF(ISBLANK('ENGAGEMENTS 2026'!V2079),"",'ENGAGEMENTS 2026'!V2079)</f>
        <v/>
      </c>
      <c r="L2079" s="276">
        <f>IF($K2079="","",TODAY()-$K2079)</f>
        <v/>
      </c>
      <c r="M2079">
        <f>IF($A2079="","",IF($H2079="ENGAGE","Engagé",IF(AND($H2079="NON ENGAGE",OR($I2079="INFRUCTUEUX",$I2079="ANNULE")),"Clôturé sans suite","En cours")))</f>
        <v/>
      </c>
      <c r="N2079">
        <f>IF(ISBLANK('ENGAGEMENTS 2026'!B2079),"",'ENGAGEMENTS 2026'!K2079)</f>
        <v/>
      </c>
      <c r="O2079">
        <f>IF(ISBLANK('ENGAGEMENTS 2026'!B2079),"",'ENGAGEMENTS 2026'!L2079)</f>
        <v/>
      </c>
      <c r="P2079">
        <f>IF(ISBLANK('ENGAGEMENTS 2026'!B2079),"",'ENGAGEMENTS 2026'!J2079)</f>
        <v/>
      </c>
      <c r="Q2079">
        <f>IF($A2079="","",IF(OR($E2079="INFRUCTUEUX",$E2079="ANNULE"),$A2079&amp;"|"&amp;(COUNTIFS($A$2:$A2079,$A2079,$E$2:$E2079,"INFRUCTUEUX")+COUNTIFS($A$2:$A2079,$A2079,$E$2:$E2079,"ANNULE")),""))</f>
        <v/>
      </c>
    </row>
    <row r="2080">
      <c r="A2080">
        <f>IF(ISBLANK('ENGAGEMENTS 2026'!B2080),"",IF('ENGAGEMENTS 2026'!B2080="DTSI","DCT",'ENGAGEMENTS 2026'!B2080))</f>
        <v/>
      </c>
      <c r="B2080">
        <f>IF(ISBLANK('ENGAGEMENTS 2026'!B2080),"",'ENGAGEMENTS 2026'!C2080)</f>
        <v/>
      </c>
      <c r="C2080">
        <f>IF(ISBLANK('ENGAGEMENTS 2026'!B2080),"",'ENGAGEMENTS 2026'!D2080)</f>
        <v/>
      </c>
      <c r="D2080">
        <f>IF(ISBLANK('ENGAGEMENTS 2026'!B2080),"",'ENGAGEMENTS 2026'!F2080)</f>
        <v/>
      </c>
      <c r="E2080">
        <f>IF(ISBLANK('ENGAGEMENTS 2026'!B2080),"",'ENGAGEMENTS 2026'!H2080)</f>
        <v/>
      </c>
      <c r="F2080">
        <f>IF(ISBLANK('ENGAGEMENTS 2026'!B2080),"",'ENGAGEMENTS 2026'!I2080)</f>
        <v/>
      </c>
      <c r="G2080">
        <f>IF(ISBLANK('ENGAGEMENTS 2026'!B2080),"",'ENGAGEMENTS 2026'!L2080)</f>
        <v/>
      </c>
      <c r="H2080">
        <f>IF(ISBLANK('ENGAGEMENTS 2026'!B2080),"",'ENGAGEMENTS 2026'!AE2080)</f>
        <v/>
      </c>
      <c r="I2080">
        <f>IF(ISBLANK('ENGAGEMENTS 2026'!B2080),"",'ENGAGEMENTS 2026'!G2080)</f>
        <v/>
      </c>
      <c r="J2080" s="275">
        <f>IF(ISBLANK('ENGAGEMENTS 2026'!B2080),"",IF(AND(OR($E2080="INFRUCTUEUX",$E2080="ANNULE"),$C2080="AOO-M"),'ENGAGEMENTS 2026'!O2080,IF($H2080="EN COURS DE PREENGAGEMENT",'ENGAGEMENTS 2026'!N2080,IF($H2080="PREENGAGE",IF($E2080="ATTRIBUE",'ENGAGEMENTS 2026'!AD2080,'ENGAGEMENTS 2026'!N2080),'ENGAGEMENTS 2026'!AD2080))))</f>
        <v/>
      </c>
      <c r="K2080" s="604">
        <f>IF(ISBLANK('ENGAGEMENTS 2026'!V2080),"",'ENGAGEMENTS 2026'!V2080)</f>
        <v/>
      </c>
      <c r="L2080" s="276">
        <f>IF($K2080="","",TODAY()-$K2080)</f>
        <v/>
      </c>
      <c r="M2080">
        <f>IF($A2080="","",IF($H2080="ENGAGE","Engagé",IF(AND($H2080="NON ENGAGE",OR($I2080="INFRUCTUEUX",$I2080="ANNULE")),"Clôturé sans suite","En cours")))</f>
        <v/>
      </c>
      <c r="N2080">
        <f>IF(ISBLANK('ENGAGEMENTS 2026'!B2080),"",'ENGAGEMENTS 2026'!K2080)</f>
        <v/>
      </c>
      <c r="O2080">
        <f>IF(ISBLANK('ENGAGEMENTS 2026'!B2080),"",'ENGAGEMENTS 2026'!L2080)</f>
        <v/>
      </c>
      <c r="P2080">
        <f>IF(ISBLANK('ENGAGEMENTS 2026'!B2080),"",'ENGAGEMENTS 2026'!J2080)</f>
        <v/>
      </c>
      <c r="Q2080">
        <f>IF($A2080="","",IF(OR($E2080="INFRUCTUEUX",$E2080="ANNULE"),$A2080&amp;"|"&amp;(COUNTIFS($A$2:$A2080,$A2080,$E$2:$E2080,"INFRUCTUEUX")+COUNTIFS($A$2:$A2080,$A2080,$E$2:$E2080,"ANNULE")),""))</f>
        <v/>
      </c>
    </row>
    <row r="2081">
      <c r="A2081">
        <f>IF(ISBLANK('ENGAGEMENTS 2026'!B2081),"",IF('ENGAGEMENTS 2026'!B2081="DTSI","DCT",'ENGAGEMENTS 2026'!B2081))</f>
        <v/>
      </c>
      <c r="B2081">
        <f>IF(ISBLANK('ENGAGEMENTS 2026'!B2081),"",'ENGAGEMENTS 2026'!C2081)</f>
        <v/>
      </c>
      <c r="C2081">
        <f>IF(ISBLANK('ENGAGEMENTS 2026'!B2081),"",'ENGAGEMENTS 2026'!D2081)</f>
        <v/>
      </c>
      <c r="D2081">
        <f>IF(ISBLANK('ENGAGEMENTS 2026'!B2081),"",'ENGAGEMENTS 2026'!F2081)</f>
        <v/>
      </c>
      <c r="E2081">
        <f>IF(ISBLANK('ENGAGEMENTS 2026'!B2081),"",'ENGAGEMENTS 2026'!H2081)</f>
        <v/>
      </c>
      <c r="F2081">
        <f>IF(ISBLANK('ENGAGEMENTS 2026'!B2081),"",'ENGAGEMENTS 2026'!I2081)</f>
        <v/>
      </c>
      <c r="G2081">
        <f>IF(ISBLANK('ENGAGEMENTS 2026'!B2081),"",'ENGAGEMENTS 2026'!L2081)</f>
        <v/>
      </c>
      <c r="H2081">
        <f>IF(ISBLANK('ENGAGEMENTS 2026'!B2081),"",'ENGAGEMENTS 2026'!AE2081)</f>
        <v/>
      </c>
      <c r="I2081">
        <f>IF(ISBLANK('ENGAGEMENTS 2026'!B2081),"",'ENGAGEMENTS 2026'!G2081)</f>
        <v/>
      </c>
      <c r="J2081" s="275">
        <f>IF(ISBLANK('ENGAGEMENTS 2026'!B2081),"",IF(AND(OR($E2081="INFRUCTUEUX",$E2081="ANNULE"),$C2081="AOO-M"),'ENGAGEMENTS 2026'!O2081,IF($H2081="EN COURS DE PREENGAGEMENT",'ENGAGEMENTS 2026'!N2081,IF($H2081="PREENGAGE",IF($E2081="ATTRIBUE",'ENGAGEMENTS 2026'!AD2081,'ENGAGEMENTS 2026'!N2081),'ENGAGEMENTS 2026'!AD2081))))</f>
        <v/>
      </c>
      <c r="K2081" s="604">
        <f>IF(ISBLANK('ENGAGEMENTS 2026'!V2081),"",'ENGAGEMENTS 2026'!V2081)</f>
        <v/>
      </c>
      <c r="L2081" s="276">
        <f>IF($K2081="","",TODAY()-$K2081)</f>
        <v/>
      </c>
      <c r="M2081">
        <f>IF($A2081="","",IF($H2081="ENGAGE","Engagé",IF(AND($H2081="NON ENGAGE",OR($I2081="INFRUCTUEUX",$I2081="ANNULE")),"Clôturé sans suite","En cours")))</f>
        <v/>
      </c>
      <c r="N2081">
        <f>IF(ISBLANK('ENGAGEMENTS 2026'!B2081),"",'ENGAGEMENTS 2026'!K2081)</f>
        <v/>
      </c>
      <c r="O2081">
        <f>IF(ISBLANK('ENGAGEMENTS 2026'!B2081),"",'ENGAGEMENTS 2026'!L2081)</f>
        <v/>
      </c>
      <c r="P2081">
        <f>IF(ISBLANK('ENGAGEMENTS 2026'!B2081),"",'ENGAGEMENTS 2026'!J2081)</f>
        <v/>
      </c>
      <c r="Q2081">
        <f>IF($A2081="","",IF(OR($E2081="INFRUCTUEUX",$E2081="ANNULE"),$A2081&amp;"|"&amp;(COUNTIFS($A$2:$A2081,$A2081,$E$2:$E2081,"INFRUCTUEUX")+COUNTIFS($A$2:$A2081,$A2081,$E$2:$E2081,"ANNULE")),""))</f>
        <v/>
      </c>
    </row>
    <row r="2082">
      <c r="A2082">
        <f>IF(ISBLANK('ENGAGEMENTS 2026'!B2082),"",IF('ENGAGEMENTS 2026'!B2082="DTSI","DCT",'ENGAGEMENTS 2026'!B2082))</f>
        <v/>
      </c>
      <c r="B2082">
        <f>IF(ISBLANK('ENGAGEMENTS 2026'!B2082),"",'ENGAGEMENTS 2026'!C2082)</f>
        <v/>
      </c>
      <c r="C2082">
        <f>IF(ISBLANK('ENGAGEMENTS 2026'!B2082),"",'ENGAGEMENTS 2026'!D2082)</f>
        <v/>
      </c>
      <c r="D2082">
        <f>IF(ISBLANK('ENGAGEMENTS 2026'!B2082),"",'ENGAGEMENTS 2026'!F2082)</f>
        <v/>
      </c>
      <c r="E2082">
        <f>IF(ISBLANK('ENGAGEMENTS 2026'!B2082),"",'ENGAGEMENTS 2026'!H2082)</f>
        <v/>
      </c>
      <c r="F2082">
        <f>IF(ISBLANK('ENGAGEMENTS 2026'!B2082),"",'ENGAGEMENTS 2026'!I2082)</f>
        <v/>
      </c>
      <c r="G2082">
        <f>IF(ISBLANK('ENGAGEMENTS 2026'!B2082),"",'ENGAGEMENTS 2026'!L2082)</f>
        <v/>
      </c>
      <c r="H2082">
        <f>IF(ISBLANK('ENGAGEMENTS 2026'!B2082),"",'ENGAGEMENTS 2026'!AE2082)</f>
        <v/>
      </c>
      <c r="I2082">
        <f>IF(ISBLANK('ENGAGEMENTS 2026'!B2082),"",'ENGAGEMENTS 2026'!G2082)</f>
        <v/>
      </c>
      <c r="J2082" s="275">
        <f>IF(ISBLANK('ENGAGEMENTS 2026'!B2082),"",IF(AND(OR($E2082="INFRUCTUEUX",$E2082="ANNULE"),$C2082="AOO-M"),'ENGAGEMENTS 2026'!O2082,IF($H2082="EN COURS DE PREENGAGEMENT",'ENGAGEMENTS 2026'!N2082,IF($H2082="PREENGAGE",IF($E2082="ATTRIBUE",'ENGAGEMENTS 2026'!AD2082,'ENGAGEMENTS 2026'!N2082),'ENGAGEMENTS 2026'!AD2082))))</f>
        <v/>
      </c>
      <c r="K2082" s="604">
        <f>IF(ISBLANK('ENGAGEMENTS 2026'!V2082),"",'ENGAGEMENTS 2026'!V2082)</f>
        <v/>
      </c>
      <c r="L2082" s="276">
        <f>IF($K2082="","",TODAY()-$K2082)</f>
        <v/>
      </c>
      <c r="M2082">
        <f>IF($A2082="","",IF($H2082="ENGAGE","Engagé",IF(AND($H2082="NON ENGAGE",OR($I2082="INFRUCTUEUX",$I2082="ANNULE")),"Clôturé sans suite","En cours")))</f>
        <v/>
      </c>
      <c r="N2082">
        <f>IF(ISBLANK('ENGAGEMENTS 2026'!B2082),"",'ENGAGEMENTS 2026'!K2082)</f>
        <v/>
      </c>
      <c r="O2082">
        <f>IF(ISBLANK('ENGAGEMENTS 2026'!B2082),"",'ENGAGEMENTS 2026'!L2082)</f>
        <v/>
      </c>
      <c r="P2082">
        <f>IF(ISBLANK('ENGAGEMENTS 2026'!B2082),"",'ENGAGEMENTS 2026'!J2082)</f>
        <v/>
      </c>
      <c r="Q2082">
        <f>IF($A2082="","",IF(OR($E2082="INFRUCTUEUX",$E2082="ANNULE"),$A2082&amp;"|"&amp;(COUNTIFS($A$2:$A2082,$A2082,$E$2:$E2082,"INFRUCTUEUX")+COUNTIFS($A$2:$A2082,$A2082,$E$2:$E2082,"ANNULE")),""))</f>
        <v/>
      </c>
    </row>
    <row r="2083">
      <c r="A2083">
        <f>IF(ISBLANK('ENGAGEMENTS 2026'!B2083),"",IF('ENGAGEMENTS 2026'!B2083="DTSI","DCT",'ENGAGEMENTS 2026'!B2083))</f>
        <v/>
      </c>
      <c r="B2083">
        <f>IF(ISBLANK('ENGAGEMENTS 2026'!B2083),"",'ENGAGEMENTS 2026'!C2083)</f>
        <v/>
      </c>
      <c r="C2083">
        <f>IF(ISBLANK('ENGAGEMENTS 2026'!B2083),"",'ENGAGEMENTS 2026'!D2083)</f>
        <v/>
      </c>
      <c r="D2083">
        <f>IF(ISBLANK('ENGAGEMENTS 2026'!B2083),"",'ENGAGEMENTS 2026'!F2083)</f>
        <v/>
      </c>
      <c r="E2083">
        <f>IF(ISBLANK('ENGAGEMENTS 2026'!B2083),"",'ENGAGEMENTS 2026'!H2083)</f>
        <v/>
      </c>
      <c r="F2083">
        <f>IF(ISBLANK('ENGAGEMENTS 2026'!B2083),"",'ENGAGEMENTS 2026'!I2083)</f>
        <v/>
      </c>
      <c r="G2083">
        <f>IF(ISBLANK('ENGAGEMENTS 2026'!B2083),"",'ENGAGEMENTS 2026'!L2083)</f>
        <v/>
      </c>
      <c r="H2083">
        <f>IF(ISBLANK('ENGAGEMENTS 2026'!B2083),"",'ENGAGEMENTS 2026'!AE2083)</f>
        <v/>
      </c>
      <c r="I2083">
        <f>IF(ISBLANK('ENGAGEMENTS 2026'!B2083),"",'ENGAGEMENTS 2026'!G2083)</f>
        <v/>
      </c>
      <c r="J2083" s="275">
        <f>IF(ISBLANK('ENGAGEMENTS 2026'!B2083),"",IF(AND(OR($E2083="INFRUCTUEUX",$E2083="ANNULE"),$C2083="AOO-M"),'ENGAGEMENTS 2026'!O2083,IF($H2083="EN COURS DE PREENGAGEMENT",'ENGAGEMENTS 2026'!N2083,IF($H2083="PREENGAGE",IF($E2083="ATTRIBUE",'ENGAGEMENTS 2026'!AD2083,'ENGAGEMENTS 2026'!N2083),'ENGAGEMENTS 2026'!AD2083))))</f>
        <v/>
      </c>
      <c r="K2083" s="604">
        <f>IF(ISBLANK('ENGAGEMENTS 2026'!V2083),"",'ENGAGEMENTS 2026'!V2083)</f>
        <v/>
      </c>
      <c r="L2083" s="276">
        <f>IF($K2083="","",TODAY()-$K2083)</f>
        <v/>
      </c>
      <c r="M2083">
        <f>IF($A2083="","",IF($H2083="ENGAGE","Engagé",IF(AND($H2083="NON ENGAGE",OR($I2083="INFRUCTUEUX",$I2083="ANNULE")),"Clôturé sans suite","En cours")))</f>
        <v/>
      </c>
      <c r="N2083">
        <f>IF(ISBLANK('ENGAGEMENTS 2026'!B2083),"",'ENGAGEMENTS 2026'!K2083)</f>
        <v/>
      </c>
      <c r="O2083">
        <f>IF(ISBLANK('ENGAGEMENTS 2026'!B2083),"",'ENGAGEMENTS 2026'!L2083)</f>
        <v/>
      </c>
      <c r="P2083">
        <f>IF(ISBLANK('ENGAGEMENTS 2026'!B2083),"",'ENGAGEMENTS 2026'!J2083)</f>
        <v/>
      </c>
      <c r="Q2083">
        <f>IF($A2083="","",IF(OR($E2083="INFRUCTUEUX",$E2083="ANNULE"),$A2083&amp;"|"&amp;(COUNTIFS($A$2:$A2083,$A2083,$E$2:$E2083,"INFRUCTUEUX")+COUNTIFS($A$2:$A2083,$A2083,$E$2:$E2083,"ANNULE")),""))</f>
        <v/>
      </c>
    </row>
    <row r="2084">
      <c r="A2084">
        <f>IF(ISBLANK('ENGAGEMENTS 2026'!B2084),"",IF('ENGAGEMENTS 2026'!B2084="DTSI","DCT",'ENGAGEMENTS 2026'!B2084))</f>
        <v/>
      </c>
      <c r="B2084">
        <f>IF(ISBLANK('ENGAGEMENTS 2026'!B2084),"",'ENGAGEMENTS 2026'!C2084)</f>
        <v/>
      </c>
      <c r="C2084">
        <f>IF(ISBLANK('ENGAGEMENTS 2026'!B2084),"",'ENGAGEMENTS 2026'!D2084)</f>
        <v/>
      </c>
      <c r="D2084">
        <f>IF(ISBLANK('ENGAGEMENTS 2026'!B2084),"",'ENGAGEMENTS 2026'!F2084)</f>
        <v/>
      </c>
      <c r="E2084">
        <f>IF(ISBLANK('ENGAGEMENTS 2026'!B2084),"",'ENGAGEMENTS 2026'!H2084)</f>
        <v/>
      </c>
      <c r="F2084">
        <f>IF(ISBLANK('ENGAGEMENTS 2026'!B2084),"",'ENGAGEMENTS 2026'!I2084)</f>
        <v/>
      </c>
      <c r="G2084">
        <f>IF(ISBLANK('ENGAGEMENTS 2026'!B2084),"",'ENGAGEMENTS 2026'!L2084)</f>
        <v/>
      </c>
      <c r="H2084">
        <f>IF(ISBLANK('ENGAGEMENTS 2026'!B2084),"",'ENGAGEMENTS 2026'!AE2084)</f>
        <v/>
      </c>
      <c r="I2084">
        <f>IF(ISBLANK('ENGAGEMENTS 2026'!B2084),"",'ENGAGEMENTS 2026'!G2084)</f>
        <v/>
      </c>
      <c r="J2084" s="275">
        <f>IF(ISBLANK('ENGAGEMENTS 2026'!B2084),"",IF(AND(OR($E2084="INFRUCTUEUX",$E2084="ANNULE"),$C2084="AOO-M"),'ENGAGEMENTS 2026'!O2084,IF($H2084="EN COURS DE PREENGAGEMENT",'ENGAGEMENTS 2026'!N2084,IF($H2084="PREENGAGE",IF($E2084="ATTRIBUE",'ENGAGEMENTS 2026'!AD2084,'ENGAGEMENTS 2026'!N2084),'ENGAGEMENTS 2026'!AD2084))))</f>
        <v/>
      </c>
      <c r="K2084" s="604">
        <f>IF(ISBLANK('ENGAGEMENTS 2026'!V2084),"",'ENGAGEMENTS 2026'!V2084)</f>
        <v/>
      </c>
      <c r="L2084" s="276">
        <f>IF($K2084="","",TODAY()-$K2084)</f>
        <v/>
      </c>
      <c r="M2084">
        <f>IF($A2084="","",IF($H2084="ENGAGE","Engagé",IF(AND($H2084="NON ENGAGE",OR($I2084="INFRUCTUEUX",$I2084="ANNULE")),"Clôturé sans suite","En cours")))</f>
        <v/>
      </c>
      <c r="N2084">
        <f>IF(ISBLANK('ENGAGEMENTS 2026'!B2084),"",'ENGAGEMENTS 2026'!K2084)</f>
        <v/>
      </c>
      <c r="O2084">
        <f>IF(ISBLANK('ENGAGEMENTS 2026'!B2084),"",'ENGAGEMENTS 2026'!L2084)</f>
        <v/>
      </c>
      <c r="P2084">
        <f>IF(ISBLANK('ENGAGEMENTS 2026'!B2084),"",'ENGAGEMENTS 2026'!J2084)</f>
        <v/>
      </c>
      <c r="Q2084">
        <f>IF($A2084="","",IF(OR($E2084="INFRUCTUEUX",$E2084="ANNULE"),$A2084&amp;"|"&amp;(COUNTIFS($A$2:$A2084,$A2084,$E$2:$E2084,"INFRUCTUEUX")+COUNTIFS($A$2:$A2084,$A2084,$E$2:$E2084,"ANNULE")),""))</f>
        <v/>
      </c>
    </row>
    <row r="2085">
      <c r="A2085">
        <f>IF(ISBLANK('ENGAGEMENTS 2026'!B2085),"",IF('ENGAGEMENTS 2026'!B2085="DTSI","DCT",'ENGAGEMENTS 2026'!B2085))</f>
        <v/>
      </c>
      <c r="B2085">
        <f>IF(ISBLANK('ENGAGEMENTS 2026'!B2085),"",'ENGAGEMENTS 2026'!C2085)</f>
        <v/>
      </c>
      <c r="C2085">
        <f>IF(ISBLANK('ENGAGEMENTS 2026'!B2085),"",'ENGAGEMENTS 2026'!D2085)</f>
        <v/>
      </c>
      <c r="D2085">
        <f>IF(ISBLANK('ENGAGEMENTS 2026'!B2085),"",'ENGAGEMENTS 2026'!F2085)</f>
        <v/>
      </c>
      <c r="E2085">
        <f>IF(ISBLANK('ENGAGEMENTS 2026'!B2085),"",'ENGAGEMENTS 2026'!H2085)</f>
        <v/>
      </c>
      <c r="F2085">
        <f>IF(ISBLANK('ENGAGEMENTS 2026'!B2085),"",'ENGAGEMENTS 2026'!I2085)</f>
        <v/>
      </c>
      <c r="G2085">
        <f>IF(ISBLANK('ENGAGEMENTS 2026'!B2085),"",'ENGAGEMENTS 2026'!L2085)</f>
        <v/>
      </c>
      <c r="H2085">
        <f>IF(ISBLANK('ENGAGEMENTS 2026'!B2085),"",'ENGAGEMENTS 2026'!AE2085)</f>
        <v/>
      </c>
      <c r="I2085">
        <f>IF(ISBLANK('ENGAGEMENTS 2026'!B2085),"",'ENGAGEMENTS 2026'!G2085)</f>
        <v/>
      </c>
      <c r="J2085" s="275">
        <f>IF(ISBLANK('ENGAGEMENTS 2026'!B2085),"",IF(AND(OR($E2085="INFRUCTUEUX",$E2085="ANNULE"),$C2085="AOO-M"),'ENGAGEMENTS 2026'!O2085,IF($H2085="EN COURS DE PREENGAGEMENT",'ENGAGEMENTS 2026'!N2085,IF($H2085="PREENGAGE",IF($E2085="ATTRIBUE",'ENGAGEMENTS 2026'!AD2085,'ENGAGEMENTS 2026'!N2085),'ENGAGEMENTS 2026'!AD2085))))</f>
        <v/>
      </c>
      <c r="K2085" s="604">
        <f>IF(ISBLANK('ENGAGEMENTS 2026'!V2085),"",'ENGAGEMENTS 2026'!V2085)</f>
        <v/>
      </c>
      <c r="L2085" s="276">
        <f>IF($K2085="","",TODAY()-$K2085)</f>
        <v/>
      </c>
      <c r="M2085">
        <f>IF($A2085="","",IF($H2085="ENGAGE","Engagé",IF(AND($H2085="NON ENGAGE",OR($I2085="INFRUCTUEUX",$I2085="ANNULE")),"Clôturé sans suite","En cours")))</f>
        <v/>
      </c>
      <c r="N2085">
        <f>IF(ISBLANK('ENGAGEMENTS 2026'!B2085),"",'ENGAGEMENTS 2026'!K2085)</f>
        <v/>
      </c>
      <c r="O2085">
        <f>IF(ISBLANK('ENGAGEMENTS 2026'!B2085),"",'ENGAGEMENTS 2026'!L2085)</f>
        <v/>
      </c>
      <c r="P2085">
        <f>IF(ISBLANK('ENGAGEMENTS 2026'!B2085),"",'ENGAGEMENTS 2026'!J2085)</f>
        <v/>
      </c>
      <c r="Q2085">
        <f>IF($A2085="","",IF(OR($E2085="INFRUCTUEUX",$E2085="ANNULE"),$A2085&amp;"|"&amp;(COUNTIFS($A$2:$A2085,$A2085,$E$2:$E2085,"INFRUCTUEUX")+COUNTIFS($A$2:$A2085,$A2085,$E$2:$E2085,"ANNULE")),""))</f>
        <v/>
      </c>
    </row>
    <row r="2086">
      <c r="A2086">
        <f>IF(ISBLANK('ENGAGEMENTS 2026'!B2086),"",IF('ENGAGEMENTS 2026'!B2086="DTSI","DCT",'ENGAGEMENTS 2026'!B2086))</f>
        <v/>
      </c>
      <c r="B2086">
        <f>IF(ISBLANK('ENGAGEMENTS 2026'!B2086),"",'ENGAGEMENTS 2026'!C2086)</f>
        <v/>
      </c>
      <c r="C2086">
        <f>IF(ISBLANK('ENGAGEMENTS 2026'!B2086),"",'ENGAGEMENTS 2026'!D2086)</f>
        <v/>
      </c>
      <c r="D2086">
        <f>IF(ISBLANK('ENGAGEMENTS 2026'!B2086),"",'ENGAGEMENTS 2026'!F2086)</f>
        <v/>
      </c>
      <c r="E2086">
        <f>IF(ISBLANK('ENGAGEMENTS 2026'!B2086),"",'ENGAGEMENTS 2026'!H2086)</f>
        <v/>
      </c>
      <c r="F2086">
        <f>IF(ISBLANK('ENGAGEMENTS 2026'!B2086),"",'ENGAGEMENTS 2026'!I2086)</f>
        <v/>
      </c>
      <c r="G2086">
        <f>IF(ISBLANK('ENGAGEMENTS 2026'!B2086),"",'ENGAGEMENTS 2026'!L2086)</f>
        <v/>
      </c>
      <c r="H2086">
        <f>IF(ISBLANK('ENGAGEMENTS 2026'!B2086),"",'ENGAGEMENTS 2026'!AE2086)</f>
        <v/>
      </c>
      <c r="I2086">
        <f>IF(ISBLANK('ENGAGEMENTS 2026'!B2086),"",'ENGAGEMENTS 2026'!G2086)</f>
        <v/>
      </c>
      <c r="J2086" s="275">
        <f>IF(ISBLANK('ENGAGEMENTS 2026'!B2086),"",IF(AND(OR($E2086="INFRUCTUEUX",$E2086="ANNULE"),$C2086="AOO-M"),'ENGAGEMENTS 2026'!O2086,IF($H2086="EN COURS DE PREENGAGEMENT",'ENGAGEMENTS 2026'!N2086,IF($H2086="PREENGAGE",IF($E2086="ATTRIBUE",'ENGAGEMENTS 2026'!AD2086,'ENGAGEMENTS 2026'!N2086),'ENGAGEMENTS 2026'!AD2086))))</f>
        <v/>
      </c>
      <c r="K2086" s="604">
        <f>IF(ISBLANK('ENGAGEMENTS 2026'!V2086),"",'ENGAGEMENTS 2026'!V2086)</f>
        <v/>
      </c>
      <c r="L2086" s="276">
        <f>IF($K2086="","",TODAY()-$K2086)</f>
        <v/>
      </c>
      <c r="M2086">
        <f>IF($A2086="","",IF($H2086="ENGAGE","Engagé",IF(AND($H2086="NON ENGAGE",OR($I2086="INFRUCTUEUX",$I2086="ANNULE")),"Clôturé sans suite","En cours")))</f>
        <v/>
      </c>
      <c r="N2086">
        <f>IF(ISBLANK('ENGAGEMENTS 2026'!B2086),"",'ENGAGEMENTS 2026'!K2086)</f>
        <v/>
      </c>
      <c r="O2086">
        <f>IF(ISBLANK('ENGAGEMENTS 2026'!B2086),"",'ENGAGEMENTS 2026'!L2086)</f>
        <v/>
      </c>
      <c r="P2086">
        <f>IF(ISBLANK('ENGAGEMENTS 2026'!B2086),"",'ENGAGEMENTS 2026'!J2086)</f>
        <v/>
      </c>
      <c r="Q2086">
        <f>IF($A2086="","",IF(OR($E2086="INFRUCTUEUX",$E2086="ANNULE"),$A2086&amp;"|"&amp;(COUNTIFS($A$2:$A2086,$A2086,$E$2:$E2086,"INFRUCTUEUX")+COUNTIFS($A$2:$A2086,$A2086,$E$2:$E2086,"ANNULE")),""))</f>
        <v/>
      </c>
    </row>
    <row r="2087">
      <c r="A2087">
        <f>IF(ISBLANK('ENGAGEMENTS 2026'!B2087),"",IF('ENGAGEMENTS 2026'!B2087="DTSI","DCT",'ENGAGEMENTS 2026'!B2087))</f>
        <v/>
      </c>
      <c r="B2087">
        <f>IF(ISBLANK('ENGAGEMENTS 2026'!B2087),"",'ENGAGEMENTS 2026'!C2087)</f>
        <v/>
      </c>
      <c r="C2087">
        <f>IF(ISBLANK('ENGAGEMENTS 2026'!B2087),"",'ENGAGEMENTS 2026'!D2087)</f>
        <v/>
      </c>
      <c r="D2087">
        <f>IF(ISBLANK('ENGAGEMENTS 2026'!B2087),"",'ENGAGEMENTS 2026'!F2087)</f>
        <v/>
      </c>
      <c r="E2087">
        <f>IF(ISBLANK('ENGAGEMENTS 2026'!B2087),"",'ENGAGEMENTS 2026'!H2087)</f>
        <v/>
      </c>
      <c r="F2087">
        <f>IF(ISBLANK('ENGAGEMENTS 2026'!B2087),"",'ENGAGEMENTS 2026'!I2087)</f>
        <v/>
      </c>
      <c r="G2087">
        <f>IF(ISBLANK('ENGAGEMENTS 2026'!B2087),"",'ENGAGEMENTS 2026'!L2087)</f>
        <v/>
      </c>
      <c r="H2087">
        <f>IF(ISBLANK('ENGAGEMENTS 2026'!B2087),"",'ENGAGEMENTS 2026'!AE2087)</f>
        <v/>
      </c>
      <c r="I2087">
        <f>IF(ISBLANK('ENGAGEMENTS 2026'!B2087),"",'ENGAGEMENTS 2026'!G2087)</f>
        <v/>
      </c>
      <c r="J2087" s="275">
        <f>IF(ISBLANK('ENGAGEMENTS 2026'!B2087),"",IF(AND(OR($E2087="INFRUCTUEUX",$E2087="ANNULE"),$C2087="AOO-M"),'ENGAGEMENTS 2026'!O2087,IF($H2087="EN COURS DE PREENGAGEMENT",'ENGAGEMENTS 2026'!N2087,IF($H2087="PREENGAGE",IF($E2087="ATTRIBUE",'ENGAGEMENTS 2026'!AD2087,'ENGAGEMENTS 2026'!N2087),'ENGAGEMENTS 2026'!AD2087))))</f>
        <v/>
      </c>
      <c r="K2087" s="604">
        <f>IF(ISBLANK('ENGAGEMENTS 2026'!V2087),"",'ENGAGEMENTS 2026'!V2087)</f>
        <v/>
      </c>
      <c r="L2087" s="276">
        <f>IF($K2087="","",TODAY()-$K2087)</f>
        <v/>
      </c>
      <c r="M2087">
        <f>IF($A2087="","",IF($H2087="ENGAGE","Engagé",IF(AND($H2087="NON ENGAGE",OR($I2087="INFRUCTUEUX",$I2087="ANNULE")),"Clôturé sans suite","En cours")))</f>
        <v/>
      </c>
      <c r="N2087">
        <f>IF(ISBLANK('ENGAGEMENTS 2026'!B2087),"",'ENGAGEMENTS 2026'!K2087)</f>
        <v/>
      </c>
      <c r="O2087">
        <f>IF(ISBLANK('ENGAGEMENTS 2026'!B2087),"",'ENGAGEMENTS 2026'!L2087)</f>
        <v/>
      </c>
      <c r="P2087">
        <f>IF(ISBLANK('ENGAGEMENTS 2026'!B2087),"",'ENGAGEMENTS 2026'!J2087)</f>
        <v/>
      </c>
      <c r="Q2087">
        <f>IF($A2087="","",IF(OR($E2087="INFRUCTUEUX",$E2087="ANNULE"),$A2087&amp;"|"&amp;(COUNTIFS($A$2:$A2087,$A2087,$E$2:$E2087,"INFRUCTUEUX")+COUNTIFS($A$2:$A2087,$A2087,$E$2:$E2087,"ANNULE")),""))</f>
        <v/>
      </c>
    </row>
    <row r="2088">
      <c r="A2088">
        <f>IF(ISBLANK('ENGAGEMENTS 2026'!B2088),"",IF('ENGAGEMENTS 2026'!B2088="DTSI","DCT",'ENGAGEMENTS 2026'!B2088))</f>
        <v/>
      </c>
      <c r="B2088">
        <f>IF(ISBLANK('ENGAGEMENTS 2026'!B2088),"",'ENGAGEMENTS 2026'!C2088)</f>
        <v/>
      </c>
      <c r="C2088">
        <f>IF(ISBLANK('ENGAGEMENTS 2026'!B2088),"",'ENGAGEMENTS 2026'!D2088)</f>
        <v/>
      </c>
      <c r="D2088">
        <f>IF(ISBLANK('ENGAGEMENTS 2026'!B2088),"",'ENGAGEMENTS 2026'!F2088)</f>
        <v/>
      </c>
      <c r="E2088">
        <f>IF(ISBLANK('ENGAGEMENTS 2026'!B2088),"",'ENGAGEMENTS 2026'!H2088)</f>
        <v/>
      </c>
      <c r="F2088">
        <f>IF(ISBLANK('ENGAGEMENTS 2026'!B2088),"",'ENGAGEMENTS 2026'!I2088)</f>
        <v/>
      </c>
      <c r="G2088">
        <f>IF(ISBLANK('ENGAGEMENTS 2026'!B2088),"",'ENGAGEMENTS 2026'!L2088)</f>
        <v/>
      </c>
      <c r="H2088">
        <f>IF(ISBLANK('ENGAGEMENTS 2026'!B2088),"",'ENGAGEMENTS 2026'!AE2088)</f>
        <v/>
      </c>
      <c r="I2088">
        <f>IF(ISBLANK('ENGAGEMENTS 2026'!B2088),"",'ENGAGEMENTS 2026'!G2088)</f>
        <v/>
      </c>
      <c r="J2088" s="275">
        <f>IF(ISBLANK('ENGAGEMENTS 2026'!B2088),"",IF(AND(OR($E2088="INFRUCTUEUX",$E2088="ANNULE"),$C2088="AOO-M"),'ENGAGEMENTS 2026'!O2088,IF($H2088="EN COURS DE PREENGAGEMENT",'ENGAGEMENTS 2026'!N2088,IF($H2088="PREENGAGE",IF($E2088="ATTRIBUE",'ENGAGEMENTS 2026'!AD2088,'ENGAGEMENTS 2026'!N2088),'ENGAGEMENTS 2026'!AD2088))))</f>
        <v/>
      </c>
      <c r="K2088" s="604">
        <f>IF(ISBLANK('ENGAGEMENTS 2026'!V2088),"",'ENGAGEMENTS 2026'!V2088)</f>
        <v/>
      </c>
      <c r="L2088" s="276">
        <f>IF($K2088="","",TODAY()-$K2088)</f>
        <v/>
      </c>
      <c r="M2088">
        <f>IF($A2088="","",IF($H2088="ENGAGE","Engagé",IF(AND($H2088="NON ENGAGE",OR($I2088="INFRUCTUEUX",$I2088="ANNULE")),"Clôturé sans suite","En cours")))</f>
        <v/>
      </c>
      <c r="N2088">
        <f>IF(ISBLANK('ENGAGEMENTS 2026'!B2088),"",'ENGAGEMENTS 2026'!K2088)</f>
        <v/>
      </c>
      <c r="O2088">
        <f>IF(ISBLANK('ENGAGEMENTS 2026'!B2088),"",'ENGAGEMENTS 2026'!L2088)</f>
        <v/>
      </c>
      <c r="P2088">
        <f>IF(ISBLANK('ENGAGEMENTS 2026'!B2088),"",'ENGAGEMENTS 2026'!J2088)</f>
        <v/>
      </c>
      <c r="Q2088">
        <f>IF($A2088="","",IF(OR($E2088="INFRUCTUEUX",$E2088="ANNULE"),$A2088&amp;"|"&amp;(COUNTIFS($A$2:$A2088,$A2088,$E$2:$E2088,"INFRUCTUEUX")+COUNTIFS($A$2:$A2088,$A2088,$E$2:$E2088,"ANNULE")),""))</f>
        <v/>
      </c>
    </row>
    <row r="2089">
      <c r="A2089">
        <f>IF(ISBLANK('ENGAGEMENTS 2026'!B2089),"",IF('ENGAGEMENTS 2026'!B2089="DTSI","DCT",'ENGAGEMENTS 2026'!B2089))</f>
        <v/>
      </c>
      <c r="B2089">
        <f>IF(ISBLANK('ENGAGEMENTS 2026'!B2089),"",'ENGAGEMENTS 2026'!C2089)</f>
        <v/>
      </c>
      <c r="C2089">
        <f>IF(ISBLANK('ENGAGEMENTS 2026'!B2089),"",'ENGAGEMENTS 2026'!D2089)</f>
        <v/>
      </c>
      <c r="D2089">
        <f>IF(ISBLANK('ENGAGEMENTS 2026'!B2089),"",'ENGAGEMENTS 2026'!F2089)</f>
        <v/>
      </c>
      <c r="E2089">
        <f>IF(ISBLANK('ENGAGEMENTS 2026'!B2089),"",'ENGAGEMENTS 2026'!H2089)</f>
        <v/>
      </c>
      <c r="F2089">
        <f>IF(ISBLANK('ENGAGEMENTS 2026'!B2089),"",'ENGAGEMENTS 2026'!I2089)</f>
        <v/>
      </c>
      <c r="G2089">
        <f>IF(ISBLANK('ENGAGEMENTS 2026'!B2089),"",'ENGAGEMENTS 2026'!L2089)</f>
        <v/>
      </c>
      <c r="H2089">
        <f>IF(ISBLANK('ENGAGEMENTS 2026'!B2089),"",'ENGAGEMENTS 2026'!AE2089)</f>
        <v/>
      </c>
      <c r="I2089">
        <f>IF(ISBLANK('ENGAGEMENTS 2026'!B2089),"",'ENGAGEMENTS 2026'!G2089)</f>
        <v/>
      </c>
      <c r="J2089" s="275">
        <f>IF(ISBLANK('ENGAGEMENTS 2026'!B2089),"",IF(AND(OR($E2089="INFRUCTUEUX",$E2089="ANNULE"),$C2089="AOO-M"),'ENGAGEMENTS 2026'!O2089,IF($H2089="EN COURS DE PREENGAGEMENT",'ENGAGEMENTS 2026'!N2089,IF($H2089="PREENGAGE",IF($E2089="ATTRIBUE",'ENGAGEMENTS 2026'!AD2089,'ENGAGEMENTS 2026'!N2089),'ENGAGEMENTS 2026'!AD2089))))</f>
        <v/>
      </c>
      <c r="K2089" s="604">
        <f>IF(ISBLANK('ENGAGEMENTS 2026'!V2089),"",'ENGAGEMENTS 2026'!V2089)</f>
        <v/>
      </c>
      <c r="L2089" s="276">
        <f>IF($K2089="","",TODAY()-$K2089)</f>
        <v/>
      </c>
      <c r="M2089">
        <f>IF($A2089="","",IF($H2089="ENGAGE","Engagé",IF(AND($H2089="NON ENGAGE",OR($I2089="INFRUCTUEUX",$I2089="ANNULE")),"Clôturé sans suite","En cours")))</f>
        <v/>
      </c>
      <c r="N2089">
        <f>IF(ISBLANK('ENGAGEMENTS 2026'!B2089),"",'ENGAGEMENTS 2026'!K2089)</f>
        <v/>
      </c>
      <c r="O2089">
        <f>IF(ISBLANK('ENGAGEMENTS 2026'!B2089),"",'ENGAGEMENTS 2026'!L2089)</f>
        <v/>
      </c>
      <c r="P2089">
        <f>IF(ISBLANK('ENGAGEMENTS 2026'!B2089),"",'ENGAGEMENTS 2026'!J2089)</f>
        <v/>
      </c>
      <c r="Q2089">
        <f>IF($A2089="","",IF(OR($E2089="INFRUCTUEUX",$E2089="ANNULE"),$A2089&amp;"|"&amp;(COUNTIFS($A$2:$A2089,$A2089,$E$2:$E2089,"INFRUCTUEUX")+COUNTIFS($A$2:$A2089,$A2089,$E$2:$E2089,"ANNULE")),""))</f>
        <v/>
      </c>
    </row>
    <row r="2090">
      <c r="A2090">
        <f>IF(ISBLANK('ENGAGEMENTS 2026'!B2090),"",IF('ENGAGEMENTS 2026'!B2090="DTSI","DCT",'ENGAGEMENTS 2026'!B2090))</f>
        <v/>
      </c>
      <c r="B2090">
        <f>IF(ISBLANK('ENGAGEMENTS 2026'!B2090),"",'ENGAGEMENTS 2026'!C2090)</f>
        <v/>
      </c>
      <c r="C2090">
        <f>IF(ISBLANK('ENGAGEMENTS 2026'!B2090),"",'ENGAGEMENTS 2026'!D2090)</f>
        <v/>
      </c>
      <c r="D2090">
        <f>IF(ISBLANK('ENGAGEMENTS 2026'!B2090),"",'ENGAGEMENTS 2026'!F2090)</f>
        <v/>
      </c>
      <c r="E2090">
        <f>IF(ISBLANK('ENGAGEMENTS 2026'!B2090),"",'ENGAGEMENTS 2026'!H2090)</f>
        <v/>
      </c>
      <c r="F2090">
        <f>IF(ISBLANK('ENGAGEMENTS 2026'!B2090),"",'ENGAGEMENTS 2026'!I2090)</f>
        <v/>
      </c>
      <c r="G2090">
        <f>IF(ISBLANK('ENGAGEMENTS 2026'!B2090),"",'ENGAGEMENTS 2026'!L2090)</f>
        <v/>
      </c>
      <c r="H2090">
        <f>IF(ISBLANK('ENGAGEMENTS 2026'!B2090),"",'ENGAGEMENTS 2026'!AE2090)</f>
        <v/>
      </c>
      <c r="I2090">
        <f>IF(ISBLANK('ENGAGEMENTS 2026'!B2090),"",'ENGAGEMENTS 2026'!G2090)</f>
        <v/>
      </c>
      <c r="J2090" s="275">
        <f>IF(ISBLANK('ENGAGEMENTS 2026'!B2090),"",IF(AND(OR($E2090="INFRUCTUEUX",$E2090="ANNULE"),$C2090="AOO-M"),'ENGAGEMENTS 2026'!O2090,IF($H2090="EN COURS DE PREENGAGEMENT",'ENGAGEMENTS 2026'!N2090,IF($H2090="PREENGAGE",IF($E2090="ATTRIBUE",'ENGAGEMENTS 2026'!AD2090,'ENGAGEMENTS 2026'!N2090),'ENGAGEMENTS 2026'!AD2090))))</f>
        <v/>
      </c>
      <c r="K2090" s="604">
        <f>IF(ISBLANK('ENGAGEMENTS 2026'!V2090),"",'ENGAGEMENTS 2026'!V2090)</f>
        <v/>
      </c>
      <c r="L2090" s="276">
        <f>IF($K2090="","",TODAY()-$K2090)</f>
        <v/>
      </c>
      <c r="M2090">
        <f>IF($A2090="","",IF($H2090="ENGAGE","Engagé",IF(AND($H2090="NON ENGAGE",OR($I2090="INFRUCTUEUX",$I2090="ANNULE")),"Clôturé sans suite","En cours")))</f>
        <v/>
      </c>
      <c r="N2090">
        <f>IF(ISBLANK('ENGAGEMENTS 2026'!B2090),"",'ENGAGEMENTS 2026'!K2090)</f>
        <v/>
      </c>
      <c r="O2090">
        <f>IF(ISBLANK('ENGAGEMENTS 2026'!B2090),"",'ENGAGEMENTS 2026'!L2090)</f>
        <v/>
      </c>
      <c r="P2090">
        <f>IF(ISBLANK('ENGAGEMENTS 2026'!B2090),"",'ENGAGEMENTS 2026'!J2090)</f>
        <v/>
      </c>
      <c r="Q2090">
        <f>IF($A2090="","",IF(OR($E2090="INFRUCTUEUX",$E2090="ANNULE"),$A2090&amp;"|"&amp;(COUNTIFS($A$2:$A2090,$A2090,$E$2:$E2090,"INFRUCTUEUX")+COUNTIFS($A$2:$A2090,$A2090,$E$2:$E2090,"ANNULE")),""))</f>
        <v/>
      </c>
    </row>
    <row r="2091">
      <c r="A2091">
        <f>IF(ISBLANK('ENGAGEMENTS 2026'!B2091),"",IF('ENGAGEMENTS 2026'!B2091="DTSI","DCT",'ENGAGEMENTS 2026'!B2091))</f>
        <v/>
      </c>
      <c r="B2091">
        <f>IF(ISBLANK('ENGAGEMENTS 2026'!B2091),"",'ENGAGEMENTS 2026'!C2091)</f>
        <v/>
      </c>
      <c r="C2091">
        <f>IF(ISBLANK('ENGAGEMENTS 2026'!B2091),"",'ENGAGEMENTS 2026'!D2091)</f>
        <v/>
      </c>
      <c r="D2091">
        <f>IF(ISBLANK('ENGAGEMENTS 2026'!B2091),"",'ENGAGEMENTS 2026'!F2091)</f>
        <v/>
      </c>
      <c r="E2091">
        <f>IF(ISBLANK('ENGAGEMENTS 2026'!B2091),"",'ENGAGEMENTS 2026'!H2091)</f>
        <v/>
      </c>
      <c r="F2091">
        <f>IF(ISBLANK('ENGAGEMENTS 2026'!B2091),"",'ENGAGEMENTS 2026'!I2091)</f>
        <v/>
      </c>
      <c r="G2091">
        <f>IF(ISBLANK('ENGAGEMENTS 2026'!B2091),"",'ENGAGEMENTS 2026'!L2091)</f>
        <v/>
      </c>
      <c r="H2091">
        <f>IF(ISBLANK('ENGAGEMENTS 2026'!B2091),"",'ENGAGEMENTS 2026'!AE2091)</f>
        <v/>
      </c>
      <c r="I2091">
        <f>IF(ISBLANK('ENGAGEMENTS 2026'!B2091),"",'ENGAGEMENTS 2026'!G2091)</f>
        <v/>
      </c>
      <c r="J2091" s="275">
        <f>IF(ISBLANK('ENGAGEMENTS 2026'!B2091),"",IF(AND(OR($E2091="INFRUCTUEUX",$E2091="ANNULE"),$C2091="AOO-M"),'ENGAGEMENTS 2026'!O2091,IF($H2091="EN COURS DE PREENGAGEMENT",'ENGAGEMENTS 2026'!N2091,IF($H2091="PREENGAGE",IF($E2091="ATTRIBUE",'ENGAGEMENTS 2026'!AD2091,'ENGAGEMENTS 2026'!N2091),'ENGAGEMENTS 2026'!AD2091))))</f>
        <v/>
      </c>
      <c r="K2091" s="604">
        <f>IF(ISBLANK('ENGAGEMENTS 2026'!V2091),"",'ENGAGEMENTS 2026'!V2091)</f>
        <v/>
      </c>
      <c r="L2091" s="276">
        <f>IF($K2091="","",TODAY()-$K2091)</f>
        <v/>
      </c>
      <c r="M2091">
        <f>IF($A2091="","",IF($H2091="ENGAGE","Engagé",IF(AND($H2091="NON ENGAGE",OR($I2091="INFRUCTUEUX",$I2091="ANNULE")),"Clôturé sans suite","En cours")))</f>
        <v/>
      </c>
      <c r="N2091">
        <f>IF(ISBLANK('ENGAGEMENTS 2026'!B2091),"",'ENGAGEMENTS 2026'!K2091)</f>
        <v/>
      </c>
      <c r="O2091">
        <f>IF(ISBLANK('ENGAGEMENTS 2026'!B2091),"",'ENGAGEMENTS 2026'!L2091)</f>
        <v/>
      </c>
      <c r="P2091">
        <f>IF(ISBLANK('ENGAGEMENTS 2026'!B2091),"",'ENGAGEMENTS 2026'!J2091)</f>
        <v/>
      </c>
      <c r="Q2091">
        <f>IF($A2091="","",IF(OR($E2091="INFRUCTUEUX",$E2091="ANNULE"),$A2091&amp;"|"&amp;(COUNTIFS($A$2:$A2091,$A2091,$E$2:$E2091,"INFRUCTUEUX")+COUNTIFS($A$2:$A2091,$A2091,$E$2:$E2091,"ANNULE")),""))</f>
        <v/>
      </c>
    </row>
    <row r="2092">
      <c r="A2092">
        <f>IF(ISBLANK('ENGAGEMENTS 2026'!B2092),"",IF('ENGAGEMENTS 2026'!B2092="DTSI","DCT",'ENGAGEMENTS 2026'!B2092))</f>
        <v/>
      </c>
      <c r="B2092">
        <f>IF(ISBLANK('ENGAGEMENTS 2026'!B2092),"",'ENGAGEMENTS 2026'!C2092)</f>
        <v/>
      </c>
      <c r="C2092">
        <f>IF(ISBLANK('ENGAGEMENTS 2026'!B2092),"",'ENGAGEMENTS 2026'!D2092)</f>
        <v/>
      </c>
      <c r="D2092">
        <f>IF(ISBLANK('ENGAGEMENTS 2026'!B2092),"",'ENGAGEMENTS 2026'!F2092)</f>
        <v/>
      </c>
      <c r="E2092">
        <f>IF(ISBLANK('ENGAGEMENTS 2026'!B2092),"",'ENGAGEMENTS 2026'!H2092)</f>
        <v/>
      </c>
      <c r="F2092">
        <f>IF(ISBLANK('ENGAGEMENTS 2026'!B2092),"",'ENGAGEMENTS 2026'!I2092)</f>
        <v/>
      </c>
      <c r="G2092">
        <f>IF(ISBLANK('ENGAGEMENTS 2026'!B2092),"",'ENGAGEMENTS 2026'!L2092)</f>
        <v/>
      </c>
      <c r="H2092">
        <f>IF(ISBLANK('ENGAGEMENTS 2026'!B2092),"",'ENGAGEMENTS 2026'!AE2092)</f>
        <v/>
      </c>
      <c r="I2092">
        <f>IF(ISBLANK('ENGAGEMENTS 2026'!B2092),"",'ENGAGEMENTS 2026'!G2092)</f>
        <v/>
      </c>
      <c r="J2092" s="275">
        <f>IF(ISBLANK('ENGAGEMENTS 2026'!B2092),"",IF(AND(OR($E2092="INFRUCTUEUX",$E2092="ANNULE"),$C2092="AOO-M"),'ENGAGEMENTS 2026'!O2092,IF($H2092="EN COURS DE PREENGAGEMENT",'ENGAGEMENTS 2026'!N2092,IF($H2092="PREENGAGE",IF($E2092="ATTRIBUE",'ENGAGEMENTS 2026'!AD2092,'ENGAGEMENTS 2026'!N2092),'ENGAGEMENTS 2026'!AD2092))))</f>
        <v/>
      </c>
      <c r="K2092" s="604">
        <f>IF(ISBLANK('ENGAGEMENTS 2026'!V2092),"",'ENGAGEMENTS 2026'!V2092)</f>
        <v/>
      </c>
      <c r="L2092" s="276">
        <f>IF($K2092="","",TODAY()-$K2092)</f>
        <v/>
      </c>
      <c r="M2092">
        <f>IF($A2092="","",IF($H2092="ENGAGE","Engagé",IF(AND($H2092="NON ENGAGE",OR($I2092="INFRUCTUEUX",$I2092="ANNULE")),"Clôturé sans suite","En cours")))</f>
        <v/>
      </c>
      <c r="N2092">
        <f>IF(ISBLANK('ENGAGEMENTS 2026'!B2092),"",'ENGAGEMENTS 2026'!K2092)</f>
        <v/>
      </c>
      <c r="O2092">
        <f>IF(ISBLANK('ENGAGEMENTS 2026'!B2092),"",'ENGAGEMENTS 2026'!L2092)</f>
        <v/>
      </c>
      <c r="P2092">
        <f>IF(ISBLANK('ENGAGEMENTS 2026'!B2092),"",'ENGAGEMENTS 2026'!J2092)</f>
        <v/>
      </c>
      <c r="Q2092">
        <f>IF($A2092="","",IF(OR($E2092="INFRUCTUEUX",$E2092="ANNULE"),$A2092&amp;"|"&amp;(COUNTIFS($A$2:$A2092,$A2092,$E$2:$E2092,"INFRUCTUEUX")+COUNTIFS($A$2:$A2092,$A2092,$E$2:$E2092,"ANNULE")),""))</f>
        <v/>
      </c>
    </row>
    <row r="2093">
      <c r="A2093">
        <f>IF(ISBLANK('ENGAGEMENTS 2026'!B2093),"",IF('ENGAGEMENTS 2026'!B2093="DTSI","DCT",'ENGAGEMENTS 2026'!B2093))</f>
        <v/>
      </c>
      <c r="B2093">
        <f>IF(ISBLANK('ENGAGEMENTS 2026'!B2093),"",'ENGAGEMENTS 2026'!C2093)</f>
        <v/>
      </c>
      <c r="C2093">
        <f>IF(ISBLANK('ENGAGEMENTS 2026'!B2093),"",'ENGAGEMENTS 2026'!D2093)</f>
        <v/>
      </c>
      <c r="D2093">
        <f>IF(ISBLANK('ENGAGEMENTS 2026'!B2093),"",'ENGAGEMENTS 2026'!F2093)</f>
        <v/>
      </c>
      <c r="E2093">
        <f>IF(ISBLANK('ENGAGEMENTS 2026'!B2093),"",'ENGAGEMENTS 2026'!H2093)</f>
        <v/>
      </c>
      <c r="F2093">
        <f>IF(ISBLANK('ENGAGEMENTS 2026'!B2093),"",'ENGAGEMENTS 2026'!I2093)</f>
        <v/>
      </c>
      <c r="G2093">
        <f>IF(ISBLANK('ENGAGEMENTS 2026'!B2093),"",'ENGAGEMENTS 2026'!L2093)</f>
        <v/>
      </c>
      <c r="H2093">
        <f>IF(ISBLANK('ENGAGEMENTS 2026'!B2093),"",'ENGAGEMENTS 2026'!AE2093)</f>
        <v/>
      </c>
      <c r="I2093">
        <f>IF(ISBLANK('ENGAGEMENTS 2026'!B2093),"",'ENGAGEMENTS 2026'!G2093)</f>
        <v/>
      </c>
      <c r="J2093" s="275">
        <f>IF(ISBLANK('ENGAGEMENTS 2026'!B2093),"",IF(AND(OR($E2093="INFRUCTUEUX",$E2093="ANNULE"),$C2093="AOO-M"),'ENGAGEMENTS 2026'!O2093,IF($H2093="EN COURS DE PREENGAGEMENT",'ENGAGEMENTS 2026'!N2093,IF($H2093="PREENGAGE",IF($E2093="ATTRIBUE",'ENGAGEMENTS 2026'!AD2093,'ENGAGEMENTS 2026'!N2093),'ENGAGEMENTS 2026'!AD2093))))</f>
        <v/>
      </c>
      <c r="K2093" s="604">
        <f>IF(ISBLANK('ENGAGEMENTS 2026'!V2093),"",'ENGAGEMENTS 2026'!V2093)</f>
        <v/>
      </c>
      <c r="L2093" s="276">
        <f>IF($K2093="","",TODAY()-$K2093)</f>
        <v/>
      </c>
      <c r="M2093">
        <f>IF($A2093="","",IF($H2093="ENGAGE","Engagé",IF(AND($H2093="NON ENGAGE",OR($I2093="INFRUCTUEUX",$I2093="ANNULE")),"Clôturé sans suite","En cours")))</f>
        <v/>
      </c>
      <c r="N2093">
        <f>IF(ISBLANK('ENGAGEMENTS 2026'!B2093),"",'ENGAGEMENTS 2026'!K2093)</f>
        <v/>
      </c>
      <c r="O2093">
        <f>IF(ISBLANK('ENGAGEMENTS 2026'!B2093),"",'ENGAGEMENTS 2026'!L2093)</f>
        <v/>
      </c>
      <c r="P2093">
        <f>IF(ISBLANK('ENGAGEMENTS 2026'!B2093),"",'ENGAGEMENTS 2026'!J2093)</f>
        <v/>
      </c>
      <c r="Q2093">
        <f>IF($A2093="","",IF(OR($E2093="INFRUCTUEUX",$E2093="ANNULE"),$A2093&amp;"|"&amp;(COUNTIFS($A$2:$A2093,$A2093,$E$2:$E2093,"INFRUCTUEUX")+COUNTIFS($A$2:$A2093,$A2093,$E$2:$E2093,"ANNULE")),""))</f>
        <v/>
      </c>
    </row>
    <row r="2094">
      <c r="A2094">
        <f>IF(ISBLANK('ENGAGEMENTS 2026'!B2094),"",IF('ENGAGEMENTS 2026'!B2094="DTSI","DCT",'ENGAGEMENTS 2026'!B2094))</f>
        <v/>
      </c>
      <c r="B2094">
        <f>IF(ISBLANK('ENGAGEMENTS 2026'!B2094),"",'ENGAGEMENTS 2026'!C2094)</f>
        <v/>
      </c>
      <c r="C2094">
        <f>IF(ISBLANK('ENGAGEMENTS 2026'!B2094),"",'ENGAGEMENTS 2026'!D2094)</f>
        <v/>
      </c>
      <c r="D2094">
        <f>IF(ISBLANK('ENGAGEMENTS 2026'!B2094),"",'ENGAGEMENTS 2026'!F2094)</f>
        <v/>
      </c>
      <c r="E2094">
        <f>IF(ISBLANK('ENGAGEMENTS 2026'!B2094),"",'ENGAGEMENTS 2026'!H2094)</f>
        <v/>
      </c>
      <c r="F2094">
        <f>IF(ISBLANK('ENGAGEMENTS 2026'!B2094),"",'ENGAGEMENTS 2026'!I2094)</f>
        <v/>
      </c>
      <c r="G2094">
        <f>IF(ISBLANK('ENGAGEMENTS 2026'!B2094),"",'ENGAGEMENTS 2026'!L2094)</f>
        <v/>
      </c>
      <c r="H2094">
        <f>IF(ISBLANK('ENGAGEMENTS 2026'!B2094),"",'ENGAGEMENTS 2026'!AE2094)</f>
        <v/>
      </c>
      <c r="I2094">
        <f>IF(ISBLANK('ENGAGEMENTS 2026'!B2094),"",'ENGAGEMENTS 2026'!G2094)</f>
        <v/>
      </c>
      <c r="J2094" s="275">
        <f>IF(ISBLANK('ENGAGEMENTS 2026'!B2094),"",IF(AND(OR($E2094="INFRUCTUEUX",$E2094="ANNULE"),$C2094="AOO-M"),'ENGAGEMENTS 2026'!O2094,IF($H2094="EN COURS DE PREENGAGEMENT",'ENGAGEMENTS 2026'!N2094,IF($H2094="PREENGAGE",IF($E2094="ATTRIBUE",'ENGAGEMENTS 2026'!AD2094,'ENGAGEMENTS 2026'!N2094),'ENGAGEMENTS 2026'!AD2094))))</f>
        <v/>
      </c>
      <c r="K2094" s="604">
        <f>IF(ISBLANK('ENGAGEMENTS 2026'!V2094),"",'ENGAGEMENTS 2026'!V2094)</f>
        <v/>
      </c>
      <c r="L2094" s="276">
        <f>IF($K2094="","",TODAY()-$K2094)</f>
        <v/>
      </c>
      <c r="M2094">
        <f>IF($A2094="","",IF($H2094="ENGAGE","Engagé",IF(AND($H2094="NON ENGAGE",OR($I2094="INFRUCTUEUX",$I2094="ANNULE")),"Clôturé sans suite","En cours")))</f>
        <v/>
      </c>
      <c r="N2094">
        <f>IF(ISBLANK('ENGAGEMENTS 2026'!B2094),"",'ENGAGEMENTS 2026'!K2094)</f>
        <v/>
      </c>
      <c r="O2094">
        <f>IF(ISBLANK('ENGAGEMENTS 2026'!B2094),"",'ENGAGEMENTS 2026'!L2094)</f>
        <v/>
      </c>
      <c r="P2094">
        <f>IF(ISBLANK('ENGAGEMENTS 2026'!B2094),"",'ENGAGEMENTS 2026'!J2094)</f>
        <v/>
      </c>
      <c r="Q2094">
        <f>IF($A2094="","",IF(OR($E2094="INFRUCTUEUX",$E2094="ANNULE"),$A2094&amp;"|"&amp;(COUNTIFS($A$2:$A2094,$A2094,$E$2:$E2094,"INFRUCTUEUX")+COUNTIFS($A$2:$A2094,$A2094,$E$2:$E2094,"ANNULE")),""))</f>
        <v/>
      </c>
    </row>
    <row r="2095">
      <c r="A2095">
        <f>IF(ISBLANK('ENGAGEMENTS 2026'!B2095),"",IF('ENGAGEMENTS 2026'!B2095="DTSI","DCT",'ENGAGEMENTS 2026'!B2095))</f>
        <v/>
      </c>
      <c r="B2095">
        <f>IF(ISBLANK('ENGAGEMENTS 2026'!B2095),"",'ENGAGEMENTS 2026'!C2095)</f>
        <v/>
      </c>
      <c r="C2095">
        <f>IF(ISBLANK('ENGAGEMENTS 2026'!B2095),"",'ENGAGEMENTS 2026'!D2095)</f>
        <v/>
      </c>
      <c r="D2095">
        <f>IF(ISBLANK('ENGAGEMENTS 2026'!B2095),"",'ENGAGEMENTS 2026'!F2095)</f>
        <v/>
      </c>
      <c r="E2095">
        <f>IF(ISBLANK('ENGAGEMENTS 2026'!B2095),"",'ENGAGEMENTS 2026'!H2095)</f>
        <v/>
      </c>
      <c r="F2095">
        <f>IF(ISBLANK('ENGAGEMENTS 2026'!B2095),"",'ENGAGEMENTS 2026'!I2095)</f>
        <v/>
      </c>
      <c r="G2095">
        <f>IF(ISBLANK('ENGAGEMENTS 2026'!B2095),"",'ENGAGEMENTS 2026'!L2095)</f>
        <v/>
      </c>
      <c r="H2095">
        <f>IF(ISBLANK('ENGAGEMENTS 2026'!B2095),"",'ENGAGEMENTS 2026'!AE2095)</f>
        <v/>
      </c>
      <c r="I2095">
        <f>IF(ISBLANK('ENGAGEMENTS 2026'!B2095),"",'ENGAGEMENTS 2026'!G2095)</f>
        <v/>
      </c>
      <c r="J2095" s="275">
        <f>IF(ISBLANK('ENGAGEMENTS 2026'!B2095),"",IF(AND(OR($E2095="INFRUCTUEUX",$E2095="ANNULE"),$C2095="AOO-M"),'ENGAGEMENTS 2026'!O2095,IF($H2095="EN COURS DE PREENGAGEMENT",'ENGAGEMENTS 2026'!N2095,IF($H2095="PREENGAGE",IF($E2095="ATTRIBUE",'ENGAGEMENTS 2026'!AD2095,'ENGAGEMENTS 2026'!N2095),'ENGAGEMENTS 2026'!AD2095))))</f>
        <v/>
      </c>
      <c r="K2095" s="604">
        <f>IF(ISBLANK('ENGAGEMENTS 2026'!V2095),"",'ENGAGEMENTS 2026'!V2095)</f>
        <v/>
      </c>
      <c r="L2095" s="276">
        <f>IF($K2095="","",TODAY()-$K2095)</f>
        <v/>
      </c>
      <c r="M2095">
        <f>IF($A2095="","",IF($H2095="ENGAGE","Engagé",IF(AND($H2095="NON ENGAGE",OR($I2095="INFRUCTUEUX",$I2095="ANNULE")),"Clôturé sans suite","En cours")))</f>
        <v/>
      </c>
      <c r="N2095">
        <f>IF(ISBLANK('ENGAGEMENTS 2026'!B2095),"",'ENGAGEMENTS 2026'!K2095)</f>
        <v/>
      </c>
      <c r="O2095">
        <f>IF(ISBLANK('ENGAGEMENTS 2026'!B2095),"",'ENGAGEMENTS 2026'!L2095)</f>
        <v/>
      </c>
      <c r="P2095">
        <f>IF(ISBLANK('ENGAGEMENTS 2026'!B2095),"",'ENGAGEMENTS 2026'!J2095)</f>
        <v/>
      </c>
      <c r="Q2095">
        <f>IF($A2095="","",IF(OR($E2095="INFRUCTUEUX",$E2095="ANNULE"),$A2095&amp;"|"&amp;(COUNTIFS($A$2:$A2095,$A2095,$E$2:$E2095,"INFRUCTUEUX")+COUNTIFS($A$2:$A2095,$A2095,$E$2:$E2095,"ANNULE")),""))</f>
        <v/>
      </c>
    </row>
    <row r="2096">
      <c r="A2096">
        <f>IF(ISBLANK('ENGAGEMENTS 2026'!B2096),"",IF('ENGAGEMENTS 2026'!B2096="DTSI","DCT",'ENGAGEMENTS 2026'!B2096))</f>
        <v/>
      </c>
      <c r="B2096">
        <f>IF(ISBLANK('ENGAGEMENTS 2026'!B2096),"",'ENGAGEMENTS 2026'!C2096)</f>
        <v/>
      </c>
      <c r="C2096">
        <f>IF(ISBLANK('ENGAGEMENTS 2026'!B2096),"",'ENGAGEMENTS 2026'!D2096)</f>
        <v/>
      </c>
      <c r="D2096">
        <f>IF(ISBLANK('ENGAGEMENTS 2026'!B2096),"",'ENGAGEMENTS 2026'!F2096)</f>
        <v/>
      </c>
      <c r="E2096">
        <f>IF(ISBLANK('ENGAGEMENTS 2026'!B2096),"",'ENGAGEMENTS 2026'!H2096)</f>
        <v/>
      </c>
      <c r="F2096">
        <f>IF(ISBLANK('ENGAGEMENTS 2026'!B2096),"",'ENGAGEMENTS 2026'!I2096)</f>
        <v/>
      </c>
      <c r="G2096">
        <f>IF(ISBLANK('ENGAGEMENTS 2026'!B2096),"",'ENGAGEMENTS 2026'!L2096)</f>
        <v/>
      </c>
      <c r="H2096">
        <f>IF(ISBLANK('ENGAGEMENTS 2026'!B2096),"",'ENGAGEMENTS 2026'!AE2096)</f>
        <v/>
      </c>
      <c r="I2096">
        <f>IF(ISBLANK('ENGAGEMENTS 2026'!B2096),"",'ENGAGEMENTS 2026'!G2096)</f>
        <v/>
      </c>
      <c r="J2096" s="275">
        <f>IF(ISBLANK('ENGAGEMENTS 2026'!B2096),"",IF(AND(OR($E2096="INFRUCTUEUX",$E2096="ANNULE"),$C2096="AOO-M"),'ENGAGEMENTS 2026'!O2096,IF($H2096="EN COURS DE PREENGAGEMENT",'ENGAGEMENTS 2026'!N2096,IF($H2096="PREENGAGE",IF($E2096="ATTRIBUE",'ENGAGEMENTS 2026'!AD2096,'ENGAGEMENTS 2026'!N2096),'ENGAGEMENTS 2026'!AD2096))))</f>
        <v/>
      </c>
      <c r="K2096" s="604">
        <f>IF(ISBLANK('ENGAGEMENTS 2026'!V2096),"",'ENGAGEMENTS 2026'!V2096)</f>
        <v/>
      </c>
      <c r="L2096" s="276">
        <f>IF($K2096="","",TODAY()-$K2096)</f>
        <v/>
      </c>
      <c r="M2096">
        <f>IF($A2096="","",IF($H2096="ENGAGE","Engagé",IF(AND($H2096="NON ENGAGE",OR($I2096="INFRUCTUEUX",$I2096="ANNULE")),"Clôturé sans suite","En cours")))</f>
        <v/>
      </c>
      <c r="N2096">
        <f>IF(ISBLANK('ENGAGEMENTS 2026'!B2096),"",'ENGAGEMENTS 2026'!K2096)</f>
        <v/>
      </c>
      <c r="O2096">
        <f>IF(ISBLANK('ENGAGEMENTS 2026'!B2096),"",'ENGAGEMENTS 2026'!L2096)</f>
        <v/>
      </c>
      <c r="P2096">
        <f>IF(ISBLANK('ENGAGEMENTS 2026'!B2096),"",'ENGAGEMENTS 2026'!J2096)</f>
        <v/>
      </c>
      <c r="Q2096">
        <f>IF($A2096="","",IF(OR($E2096="INFRUCTUEUX",$E2096="ANNULE"),$A2096&amp;"|"&amp;(COUNTIFS($A$2:$A2096,$A2096,$E$2:$E2096,"INFRUCTUEUX")+COUNTIFS($A$2:$A2096,$A2096,$E$2:$E2096,"ANNULE")),""))</f>
        <v/>
      </c>
    </row>
    <row r="2097">
      <c r="A2097">
        <f>IF(ISBLANK('ENGAGEMENTS 2026'!B2097),"",IF('ENGAGEMENTS 2026'!B2097="DTSI","DCT",'ENGAGEMENTS 2026'!B2097))</f>
        <v/>
      </c>
      <c r="B2097">
        <f>IF(ISBLANK('ENGAGEMENTS 2026'!B2097),"",'ENGAGEMENTS 2026'!C2097)</f>
        <v/>
      </c>
      <c r="C2097">
        <f>IF(ISBLANK('ENGAGEMENTS 2026'!B2097),"",'ENGAGEMENTS 2026'!D2097)</f>
        <v/>
      </c>
      <c r="D2097">
        <f>IF(ISBLANK('ENGAGEMENTS 2026'!B2097),"",'ENGAGEMENTS 2026'!F2097)</f>
        <v/>
      </c>
      <c r="E2097">
        <f>IF(ISBLANK('ENGAGEMENTS 2026'!B2097),"",'ENGAGEMENTS 2026'!H2097)</f>
        <v/>
      </c>
      <c r="F2097">
        <f>IF(ISBLANK('ENGAGEMENTS 2026'!B2097),"",'ENGAGEMENTS 2026'!I2097)</f>
        <v/>
      </c>
      <c r="G2097">
        <f>IF(ISBLANK('ENGAGEMENTS 2026'!B2097),"",'ENGAGEMENTS 2026'!L2097)</f>
        <v/>
      </c>
      <c r="H2097">
        <f>IF(ISBLANK('ENGAGEMENTS 2026'!B2097),"",'ENGAGEMENTS 2026'!AE2097)</f>
        <v/>
      </c>
      <c r="I2097">
        <f>IF(ISBLANK('ENGAGEMENTS 2026'!B2097),"",'ENGAGEMENTS 2026'!G2097)</f>
        <v/>
      </c>
      <c r="J2097" s="275">
        <f>IF(ISBLANK('ENGAGEMENTS 2026'!B2097),"",IF(AND(OR($E2097="INFRUCTUEUX",$E2097="ANNULE"),$C2097="AOO-M"),'ENGAGEMENTS 2026'!O2097,IF($H2097="EN COURS DE PREENGAGEMENT",'ENGAGEMENTS 2026'!N2097,IF($H2097="PREENGAGE",IF($E2097="ATTRIBUE",'ENGAGEMENTS 2026'!AD2097,'ENGAGEMENTS 2026'!N2097),'ENGAGEMENTS 2026'!AD2097))))</f>
        <v/>
      </c>
      <c r="K2097" s="604">
        <f>IF(ISBLANK('ENGAGEMENTS 2026'!V2097),"",'ENGAGEMENTS 2026'!V2097)</f>
        <v/>
      </c>
      <c r="L2097" s="276">
        <f>IF($K2097="","",TODAY()-$K2097)</f>
        <v/>
      </c>
      <c r="M2097">
        <f>IF($A2097="","",IF($H2097="ENGAGE","Engagé",IF(AND($H2097="NON ENGAGE",OR($I2097="INFRUCTUEUX",$I2097="ANNULE")),"Clôturé sans suite","En cours")))</f>
        <v/>
      </c>
      <c r="N2097">
        <f>IF(ISBLANK('ENGAGEMENTS 2026'!B2097),"",'ENGAGEMENTS 2026'!K2097)</f>
        <v/>
      </c>
      <c r="O2097">
        <f>IF(ISBLANK('ENGAGEMENTS 2026'!B2097),"",'ENGAGEMENTS 2026'!L2097)</f>
        <v/>
      </c>
      <c r="P2097">
        <f>IF(ISBLANK('ENGAGEMENTS 2026'!B2097),"",'ENGAGEMENTS 2026'!J2097)</f>
        <v/>
      </c>
      <c r="Q2097">
        <f>IF($A2097="","",IF(OR($E2097="INFRUCTUEUX",$E2097="ANNULE"),$A2097&amp;"|"&amp;(COUNTIFS($A$2:$A2097,$A2097,$E$2:$E2097,"INFRUCTUEUX")+COUNTIFS($A$2:$A2097,$A2097,$E$2:$E2097,"ANNULE")),""))</f>
        <v/>
      </c>
    </row>
    <row r="2098">
      <c r="A2098">
        <f>IF(ISBLANK('ENGAGEMENTS 2026'!B2098),"",IF('ENGAGEMENTS 2026'!B2098="DTSI","DCT",'ENGAGEMENTS 2026'!B2098))</f>
        <v/>
      </c>
      <c r="B2098">
        <f>IF(ISBLANK('ENGAGEMENTS 2026'!B2098),"",'ENGAGEMENTS 2026'!C2098)</f>
        <v/>
      </c>
      <c r="C2098">
        <f>IF(ISBLANK('ENGAGEMENTS 2026'!B2098),"",'ENGAGEMENTS 2026'!D2098)</f>
        <v/>
      </c>
      <c r="D2098">
        <f>IF(ISBLANK('ENGAGEMENTS 2026'!B2098),"",'ENGAGEMENTS 2026'!F2098)</f>
        <v/>
      </c>
      <c r="E2098">
        <f>IF(ISBLANK('ENGAGEMENTS 2026'!B2098),"",'ENGAGEMENTS 2026'!H2098)</f>
        <v/>
      </c>
      <c r="F2098">
        <f>IF(ISBLANK('ENGAGEMENTS 2026'!B2098),"",'ENGAGEMENTS 2026'!I2098)</f>
        <v/>
      </c>
      <c r="G2098">
        <f>IF(ISBLANK('ENGAGEMENTS 2026'!B2098),"",'ENGAGEMENTS 2026'!L2098)</f>
        <v/>
      </c>
      <c r="H2098">
        <f>IF(ISBLANK('ENGAGEMENTS 2026'!B2098),"",'ENGAGEMENTS 2026'!AE2098)</f>
        <v/>
      </c>
      <c r="I2098">
        <f>IF(ISBLANK('ENGAGEMENTS 2026'!B2098),"",'ENGAGEMENTS 2026'!G2098)</f>
        <v/>
      </c>
      <c r="J2098" s="275">
        <f>IF(ISBLANK('ENGAGEMENTS 2026'!B2098),"",IF(AND(OR($E2098="INFRUCTUEUX",$E2098="ANNULE"),$C2098="AOO-M"),'ENGAGEMENTS 2026'!O2098,IF($H2098="EN COURS DE PREENGAGEMENT",'ENGAGEMENTS 2026'!N2098,IF($H2098="PREENGAGE",IF($E2098="ATTRIBUE",'ENGAGEMENTS 2026'!AD2098,'ENGAGEMENTS 2026'!N2098),'ENGAGEMENTS 2026'!AD2098))))</f>
        <v/>
      </c>
      <c r="K2098" s="604">
        <f>IF(ISBLANK('ENGAGEMENTS 2026'!V2098),"",'ENGAGEMENTS 2026'!V2098)</f>
        <v/>
      </c>
      <c r="L2098" s="276">
        <f>IF($K2098="","",TODAY()-$K2098)</f>
        <v/>
      </c>
      <c r="M2098">
        <f>IF($A2098="","",IF($H2098="ENGAGE","Engagé",IF(AND($H2098="NON ENGAGE",OR($I2098="INFRUCTUEUX",$I2098="ANNULE")),"Clôturé sans suite","En cours")))</f>
        <v/>
      </c>
      <c r="N2098">
        <f>IF(ISBLANK('ENGAGEMENTS 2026'!B2098),"",'ENGAGEMENTS 2026'!K2098)</f>
        <v/>
      </c>
      <c r="O2098">
        <f>IF(ISBLANK('ENGAGEMENTS 2026'!B2098),"",'ENGAGEMENTS 2026'!L2098)</f>
        <v/>
      </c>
      <c r="P2098">
        <f>IF(ISBLANK('ENGAGEMENTS 2026'!B2098),"",'ENGAGEMENTS 2026'!J2098)</f>
        <v/>
      </c>
      <c r="Q2098">
        <f>IF($A2098="","",IF(OR($E2098="INFRUCTUEUX",$E2098="ANNULE"),$A2098&amp;"|"&amp;(COUNTIFS($A$2:$A2098,$A2098,$E$2:$E2098,"INFRUCTUEUX")+COUNTIFS($A$2:$A2098,$A2098,$E$2:$E2098,"ANNULE")),""))</f>
        <v/>
      </c>
    </row>
    <row r="2099">
      <c r="A2099">
        <f>IF(ISBLANK('ENGAGEMENTS 2026'!B2099),"",IF('ENGAGEMENTS 2026'!B2099="DTSI","DCT",'ENGAGEMENTS 2026'!B2099))</f>
        <v/>
      </c>
      <c r="B2099">
        <f>IF(ISBLANK('ENGAGEMENTS 2026'!B2099),"",'ENGAGEMENTS 2026'!C2099)</f>
        <v/>
      </c>
      <c r="C2099">
        <f>IF(ISBLANK('ENGAGEMENTS 2026'!B2099),"",'ENGAGEMENTS 2026'!D2099)</f>
        <v/>
      </c>
      <c r="D2099">
        <f>IF(ISBLANK('ENGAGEMENTS 2026'!B2099),"",'ENGAGEMENTS 2026'!F2099)</f>
        <v/>
      </c>
      <c r="E2099">
        <f>IF(ISBLANK('ENGAGEMENTS 2026'!B2099),"",'ENGAGEMENTS 2026'!H2099)</f>
        <v/>
      </c>
      <c r="F2099">
        <f>IF(ISBLANK('ENGAGEMENTS 2026'!B2099),"",'ENGAGEMENTS 2026'!I2099)</f>
        <v/>
      </c>
      <c r="G2099">
        <f>IF(ISBLANK('ENGAGEMENTS 2026'!B2099),"",'ENGAGEMENTS 2026'!L2099)</f>
        <v/>
      </c>
      <c r="H2099">
        <f>IF(ISBLANK('ENGAGEMENTS 2026'!B2099),"",'ENGAGEMENTS 2026'!AE2099)</f>
        <v/>
      </c>
      <c r="I2099">
        <f>IF(ISBLANK('ENGAGEMENTS 2026'!B2099),"",'ENGAGEMENTS 2026'!G2099)</f>
        <v/>
      </c>
      <c r="J2099" s="275">
        <f>IF(ISBLANK('ENGAGEMENTS 2026'!B2099),"",IF(AND(OR($E2099="INFRUCTUEUX",$E2099="ANNULE"),$C2099="AOO-M"),'ENGAGEMENTS 2026'!O2099,IF($H2099="EN COURS DE PREENGAGEMENT",'ENGAGEMENTS 2026'!N2099,IF($H2099="PREENGAGE",IF($E2099="ATTRIBUE",'ENGAGEMENTS 2026'!AD2099,'ENGAGEMENTS 2026'!N2099),'ENGAGEMENTS 2026'!AD2099))))</f>
        <v/>
      </c>
      <c r="K2099" s="604">
        <f>IF(ISBLANK('ENGAGEMENTS 2026'!V2099),"",'ENGAGEMENTS 2026'!V2099)</f>
        <v/>
      </c>
      <c r="L2099" s="276">
        <f>IF($K2099="","",TODAY()-$K2099)</f>
        <v/>
      </c>
      <c r="M2099">
        <f>IF($A2099="","",IF($H2099="ENGAGE","Engagé",IF(AND($H2099="NON ENGAGE",OR($I2099="INFRUCTUEUX",$I2099="ANNULE")),"Clôturé sans suite","En cours")))</f>
        <v/>
      </c>
      <c r="N2099">
        <f>IF(ISBLANK('ENGAGEMENTS 2026'!B2099),"",'ENGAGEMENTS 2026'!K2099)</f>
        <v/>
      </c>
      <c r="O2099">
        <f>IF(ISBLANK('ENGAGEMENTS 2026'!B2099),"",'ENGAGEMENTS 2026'!L2099)</f>
        <v/>
      </c>
      <c r="P2099">
        <f>IF(ISBLANK('ENGAGEMENTS 2026'!B2099),"",'ENGAGEMENTS 2026'!J2099)</f>
        <v/>
      </c>
      <c r="Q2099">
        <f>IF($A2099="","",IF(OR($E2099="INFRUCTUEUX",$E2099="ANNULE"),$A2099&amp;"|"&amp;(COUNTIFS($A$2:$A2099,$A2099,$E$2:$E2099,"INFRUCTUEUX")+COUNTIFS($A$2:$A2099,$A2099,$E$2:$E2099,"ANNULE")),""))</f>
        <v/>
      </c>
    </row>
    <row r="2100">
      <c r="A2100">
        <f>IF(ISBLANK('ENGAGEMENTS 2026'!B2100),"",IF('ENGAGEMENTS 2026'!B2100="DTSI","DCT",'ENGAGEMENTS 2026'!B2100))</f>
        <v/>
      </c>
      <c r="B2100">
        <f>IF(ISBLANK('ENGAGEMENTS 2026'!B2100),"",'ENGAGEMENTS 2026'!C2100)</f>
        <v/>
      </c>
      <c r="C2100">
        <f>IF(ISBLANK('ENGAGEMENTS 2026'!B2100),"",'ENGAGEMENTS 2026'!D2100)</f>
        <v/>
      </c>
      <c r="D2100">
        <f>IF(ISBLANK('ENGAGEMENTS 2026'!B2100),"",'ENGAGEMENTS 2026'!F2100)</f>
        <v/>
      </c>
      <c r="E2100">
        <f>IF(ISBLANK('ENGAGEMENTS 2026'!B2100),"",'ENGAGEMENTS 2026'!H2100)</f>
        <v/>
      </c>
      <c r="F2100">
        <f>IF(ISBLANK('ENGAGEMENTS 2026'!B2100),"",'ENGAGEMENTS 2026'!I2100)</f>
        <v/>
      </c>
      <c r="G2100">
        <f>IF(ISBLANK('ENGAGEMENTS 2026'!B2100),"",'ENGAGEMENTS 2026'!L2100)</f>
        <v/>
      </c>
      <c r="H2100">
        <f>IF(ISBLANK('ENGAGEMENTS 2026'!B2100),"",'ENGAGEMENTS 2026'!AE2100)</f>
        <v/>
      </c>
      <c r="I2100">
        <f>IF(ISBLANK('ENGAGEMENTS 2026'!B2100),"",'ENGAGEMENTS 2026'!G2100)</f>
        <v/>
      </c>
      <c r="J2100" s="275">
        <f>IF(ISBLANK('ENGAGEMENTS 2026'!B2100),"",IF(AND(OR($E2100="INFRUCTUEUX",$E2100="ANNULE"),$C2100="AOO-M"),'ENGAGEMENTS 2026'!O2100,IF($H2100="EN COURS DE PREENGAGEMENT",'ENGAGEMENTS 2026'!N2100,IF($H2100="PREENGAGE",IF($E2100="ATTRIBUE",'ENGAGEMENTS 2026'!AD2100,'ENGAGEMENTS 2026'!N2100),'ENGAGEMENTS 2026'!AD2100))))</f>
        <v/>
      </c>
      <c r="K2100" s="604">
        <f>IF(ISBLANK('ENGAGEMENTS 2026'!V2100),"",'ENGAGEMENTS 2026'!V2100)</f>
        <v/>
      </c>
      <c r="L2100" s="276">
        <f>IF($K2100="","",TODAY()-$K2100)</f>
        <v/>
      </c>
      <c r="M2100">
        <f>IF($A2100="","",IF($H2100="ENGAGE","Engagé",IF(AND($H2100="NON ENGAGE",OR($I2100="INFRUCTUEUX",$I2100="ANNULE")),"Clôturé sans suite","En cours")))</f>
        <v/>
      </c>
      <c r="N2100">
        <f>IF(ISBLANK('ENGAGEMENTS 2026'!B2100),"",'ENGAGEMENTS 2026'!K2100)</f>
        <v/>
      </c>
      <c r="O2100">
        <f>IF(ISBLANK('ENGAGEMENTS 2026'!B2100),"",'ENGAGEMENTS 2026'!L2100)</f>
        <v/>
      </c>
      <c r="P2100">
        <f>IF(ISBLANK('ENGAGEMENTS 2026'!B2100),"",'ENGAGEMENTS 2026'!J2100)</f>
        <v/>
      </c>
      <c r="Q2100">
        <f>IF($A2100="","",IF(OR($E2100="INFRUCTUEUX",$E2100="ANNULE"),$A2100&amp;"|"&amp;(COUNTIFS($A$2:$A2100,$A2100,$E$2:$E2100,"INFRUCTUEUX")+COUNTIFS($A$2:$A2100,$A2100,$E$2:$E2100,"ANNULE")),""))</f>
        <v/>
      </c>
    </row>
    <row r="2101">
      <c r="A2101">
        <f>IF(ISBLANK('ENGAGEMENTS 2026'!B2101),"",IF('ENGAGEMENTS 2026'!B2101="DTSI","DCT",'ENGAGEMENTS 2026'!B2101))</f>
        <v/>
      </c>
      <c r="B2101">
        <f>IF(ISBLANK('ENGAGEMENTS 2026'!B2101),"",'ENGAGEMENTS 2026'!C2101)</f>
        <v/>
      </c>
      <c r="C2101">
        <f>IF(ISBLANK('ENGAGEMENTS 2026'!B2101),"",'ENGAGEMENTS 2026'!D2101)</f>
        <v/>
      </c>
      <c r="D2101">
        <f>IF(ISBLANK('ENGAGEMENTS 2026'!B2101),"",'ENGAGEMENTS 2026'!F2101)</f>
        <v/>
      </c>
      <c r="E2101">
        <f>IF(ISBLANK('ENGAGEMENTS 2026'!B2101),"",'ENGAGEMENTS 2026'!H2101)</f>
        <v/>
      </c>
      <c r="F2101">
        <f>IF(ISBLANK('ENGAGEMENTS 2026'!B2101),"",'ENGAGEMENTS 2026'!I2101)</f>
        <v/>
      </c>
      <c r="G2101">
        <f>IF(ISBLANK('ENGAGEMENTS 2026'!B2101),"",'ENGAGEMENTS 2026'!L2101)</f>
        <v/>
      </c>
      <c r="H2101">
        <f>IF(ISBLANK('ENGAGEMENTS 2026'!B2101),"",'ENGAGEMENTS 2026'!AE2101)</f>
        <v/>
      </c>
      <c r="I2101">
        <f>IF(ISBLANK('ENGAGEMENTS 2026'!B2101),"",'ENGAGEMENTS 2026'!G2101)</f>
        <v/>
      </c>
      <c r="J2101" s="275">
        <f>IF(ISBLANK('ENGAGEMENTS 2026'!B2101),"",IF(AND(OR($E2101="INFRUCTUEUX",$E2101="ANNULE"),$C2101="AOO-M"),'ENGAGEMENTS 2026'!O2101,IF($H2101="EN COURS DE PREENGAGEMENT",'ENGAGEMENTS 2026'!N2101,IF($H2101="PREENGAGE",IF($E2101="ATTRIBUE",'ENGAGEMENTS 2026'!AD2101,'ENGAGEMENTS 2026'!N2101),'ENGAGEMENTS 2026'!AD2101))))</f>
        <v/>
      </c>
      <c r="K2101" s="604">
        <f>IF(ISBLANK('ENGAGEMENTS 2026'!V2101),"",'ENGAGEMENTS 2026'!V2101)</f>
        <v/>
      </c>
      <c r="L2101" s="276">
        <f>IF($K2101="","",TODAY()-$K2101)</f>
        <v/>
      </c>
      <c r="M2101">
        <f>IF($A2101="","",IF($H2101="ENGAGE","Engagé",IF(AND($H2101="NON ENGAGE",OR($I2101="INFRUCTUEUX",$I2101="ANNULE")),"Clôturé sans suite","En cours")))</f>
        <v/>
      </c>
      <c r="N2101">
        <f>IF(ISBLANK('ENGAGEMENTS 2026'!B2101),"",'ENGAGEMENTS 2026'!K2101)</f>
        <v/>
      </c>
      <c r="O2101">
        <f>IF(ISBLANK('ENGAGEMENTS 2026'!B2101),"",'ENGAGEMENTS 2026'!L2101)</f>
        <v/>
      </c>
      <c r="P2101">
        <f>IF(ISBLANK('ENGAGEMENTS 2026'!B2101),"",'ENGAGEMENTS 2026'!J2101)</f>
        <v/>
      </c>
      <c r="Q2101">
        <f>IF($A2101="","",IF(OR($E2101="INFRUCTUEUX",$E2101="ANNULE"),$A2101&amp;"|"&amp;(COUNTIFS($A$2:$A2101,$A2101,$E$2:$E2101,"INFRUCTUEUX")+COUNTIFS($A$2:$A2101,$A2101,$E$2:$E2101,"ANNULE")),""))</f>
        <v/>
      </c>
    </row>
    <row r="2102">
      <c r="A2102">
        <f>IF(ISBLANK('ENGAGEMENTS 2026'!B2102),"",IF('ENGAGEMENTS 2026'!B2102="DTSI","DCT",'ENGAGEMENTS 2026'!B2102))</f>
        <v/>
      </c>
      <c r="B2102">
        <f>IF(ISBLANK('ENGAGEMENTS 2026'!B2102),"",'ENGAGEMENTS 2026'!C2102)</f>
        <v/>
      </c>
      <c r="C2102">
        <f>IF(ISBLANK('ENGAGEMENTS 2026'!B2102),"",'ENGAGEMENTS 2026'!D2102)</f>
        <v/>
      </c>
      <c r="D2102">
        <f>IF(ISBLANK('ENGAGEMENTS 2026'!B2102),"",'ENGAGEMENTS 2026'!F2102)</f>
        <v/>
      </c>
      <c r="E2102">
        <f>IF(ISBLANK('ENGAGEMENTS 2026'!B2102),"",'ENGAGEMENTS 2026'!H2102)</f>
        <v/>
      </c>
      <c r="F2102">
        <f>IF(ISBLANK('ENGAGEMENTS 2026'!B2102),"",'ENGAGEMENTS 2026'!I2102)</f>
        <v/>
      </c>
      <c r="G2102">
        <f>IF(ISBLANK('ENGAGEMENTS 2026'!B2102),"",'ENGAGEMENTS 2026'!L2102)</f>
        <v/>
      </c>
      <c r="H2102">
        <f>IF(ISBLANK('ENGAGEMENTS 2026'!B2102),"",'ENGAGEMENTS 2026'!AE2102)</f>
        <v/>
      </c>
      <c r="I2102">
        <f>IF(ISBLANK('ENGAGEMENTS 2026'!B2102),"",'ENGAGEMENTS 2026'!G2102)</f>
        <v/>
      </c>
      <c r="J2102" s="275">
        <f>IF(ISBLANK('ENGAGEMENTS 2026'!B2102),"",IF(AND(OR($E2102="INFRUCTUEUX",$E2102="ANNULE"),$C2102="AOO-M"),'ENGAGEMENTS 2026'!O2102,IF($H2102="EN COURS DE PREENGAGEMENT",'ENGAGEMENTS 2026'!N2102,IF($H2102="PREENGAGE",IF($E2102="ATTRIBUE",'ENGAGEMENTS 2026'!AD2102,'ENGAGEMENTS 2026'!N2102),'ENGAGEMENTS 2026'!AD2102))))</f>
        <v/>
      </c>
      <c r="K2102" s="604">
        <f>IF(ISBLANK('ENGAGEMENTS 2026'!V2102),"",'ENGAGEMENTS 2026'!V2102)</f>
        <v/>
      </c>
      <c r="L2102" s="276">
        <f>IF($K2102="","",TODAY()-$K2102)</f>
        <v/>
      </c>
      <c r="M2102">
        <f>IF($A2102="","",IF($H2102="ENGAGE","Engagé",IF(AND($H2102="NON ENGAGE",OR($I2102="INFRUCTUEUX",$I2102="ANNULE")),"Clôturé sans suite","En cours")))</f>
        <v/>
      </c>
      <c r="N2102">
        <f>IF(ISBLANK('ENGAGEMENTS 2026'!B2102),"",'ENGAGEMENTS 2026'!K2102)</f>
        <v/>
      </c>
      <c r="O2102">
        <f>IF(ISBLANK('ENGAGEMENTS 2026'!B2102),"",'ENGAGEMENTS 2026'!L2102)</f>
        <v/>
      </c>
      <c r="P2102">
        <f>IF(ISBLANK('ENGAGEMENTS 2026'!B2102),"",'ENGAGEMENTS 2026'!J2102)</f>
        <v/>
      </c>
      <c r="Q2102">
        <f>IF($A2102="","",IF(OR($E2102="INFRUCTUEUX",$E2102="ANNULE"),$A2102&amp;"|"&amp;(COUNTIFS($A$2:$A2102,$A2102,$E$2:$E2102,"INFRUCTUEUX")+COUNTIFS($A$2:$A2102,$A2102,$E$2:$E2102,"ANNULE")),""))</f>
        <v/>
      </c>
    </row>
    <row r="2103">
      <c r="A2103">
        <f>IF(ISBLANK('ENGAGEMENTS 2026'!B2103),"",IF('ENGAGEMENTS 2026'!B2103="DTSI","DCT",'ENGAGEMENTS 2026'!B2103))</f>
        <v/>
      </c>
      <c r="B2103">
        <f>IF(ISBLANK('ENGAGEMENTS 2026'!B2103),"",'ENGAGEMENTS 2026'!C2103)</f>
        <v/>
      </c>
      <c r="C2103">
        <f>IF(ISBLANK('ENGAGEMENTS 2026'!B2103),"",'ENGAGEMENTS 2026'!D2103)</f>
        <v/>
      </c>
      <c r="D2103">
        <f>IF(ISBLANK('ENGAGEMENTS 2026'!B2103),"",'ENGAGEMENTS 2026'!F2103)</f>
        <v/>
      </c>
      <c r="E2103">
        <f>IF(ISBLANK('ENGAGEMENTS 2026'!B2103),"",'ENGAGEMENTS 2026'!H2103)</f>
        <v/>
      </c>
      <c r="F2103">
        <f>IF(ISBLANK('ENGAGEMENTS 2026'!B2103),"",'ENGAGEMENTS 2026'!I2103)</f>
        <v/>
      </c>
      <c r="G2103">
        <f>IF(ISBLANK('ENGAGEMENTS 2026'!B2103),"",'ENGAGEMENTS 2026'!L2103)</f>
        <v/>
      </c>
      <c r="H2103">
        <f>IF(ISBLANK('ENGAGEMENTS 2026'!B2103),"",'ENGAGEMENTS 2026'!AE2103)</f>
        <v/>
      </c>
      <c r="I2103">
        <f>IF(ISBLANK('ENGAGEMENTS 2026'!B2103),"",'ENGAGEMENTS 2026'!G2103)</f>
        <v/>
      </c>
      <c r="J2103" s="275">
        <f>IF(ISBLANK('ENGAGEMENTS 2026'!B2103),"",IF(AND(OR($E2103="INFRUCTUEUX",$E2103="ANNULE"),$C2103="AOO-M"),'ENGAGEMENTS 2026'!O2103,IF($H2103="EN COURS DE PREENGAGEMENT",'ENGAGEMENTS 2026'!N2103,IF($H2103="PREENGAGE",IF($E2103="ATTRIBUE",'ENGAGEMENTS 2026'!AD2103,'ENGAGEMENTS 2026'!N2103),'ENGAGEMENTS 2026'!AD2103))))</f>
        <v/>
      </c>
      <c r="K2103" s="604">
        <f>IF(ISBLANK('ENGAGEMENTS 2026'!V2103),"",'ENGAGEMENTS 2026'!V2103)</f>
        <v/>
      </c>
      <c r="L2103" s="276">
        <f>IF($K2103="","",TODAY()-$K2103)</f>
        <v/>
      </c>
      <c r="M2103">
        <f>IF($A2103="","",IF($H2103="ENGAGE","Engagé",IF(AND($H2103="NON ENGAGE",OR($I2103="INFRUCTUEUX",$I2103="ANNULE")),"Clôturé sans suite","En cours")))</f>
        <v/>
      </c>
      <c r="N2103">
        <f>IF(ISBLANK('ENGAGEMENTS 2026'!B2103),"",'ENGAGEMENTS 2026'!K2103)</f>
        <v/>
      </c>
      <c r="O2103">
        <f>IF(ISBLANK('ENGAGEMENTS 2026'!B2103),"",'ENGAGEMENTS 2026'!L2103)</f>
        <v/>
      </c>
      <c r="P2103">
        <f>IF(ISBLANK('ENGAGEMENTS 2026'!B2103),"",'ENGAGEMENTS 2026'!J2103)</f>
        <v/>
      </c>
      <c r="Q2103">
        <f>IF($A2103="","",IF(OR($E2103="INFRUCTUEUX",$E2103="ANNULE"),$A2103&amp;"|"&amp;(COUNTIFS($A$2:$A2103,$A2103,$E$2:$E2103,"INFRUCTUEUX")+COUNTIFS($A$2:$A2103,$A2103,$E$2:$E2103,"ANNULE")),""))</f>
        <v/>
      </c>
    </row>
    <row r="2104">
      <c r="A2104">
        <f>IF(ISBLANK('ENGAGEMENTS 2026'!B2104),"",IF('ENGAGEMENTS 2026'!B2104="DTSI","DCT",'ENGAGEMENTS 2026'!B2104))</f>
        <v/>
      </c>
      <c r="B2104">
        <f>IF(ISBLANK('ENGAGEMENTS 2026'!B2104),"",'ENGAGEMENTS 2026'!C2104)</f>
        <v/>
      </c>
      <c r="C2104">
        <f>IF(ISBLANK('ENGAGEMENTS 2026'!B2104),"",'ENGAGEMENTS 2026'!D2104)</f>
        <v/>
      </c>
      <c r="D2104">
        <f>IF(ISBLANK('ENGAGEMENTS 2026'!B2104),"",'ENGAGEMENTS 2026'!F2104)</f>
        <v/>
      </c>
      <c r="E2104">
        <f>IF(ISBLANK('ENGAGEMENTS 2026'!B2104),"",'ENGAGEMENTS 2026'!H2104)</f>
        <v/>
      </c>
      <c r="F2104">
        <f>IF(ISBLANK('ENGAGEMENTS 2026'!B2104),"",'ENGAGEMENTS 2026'!I2104)</f>
        <v/>
      </c>
      <c r="G2104">
        <f>IF(ISBLANK('ENGAGEMENTS 2026'!B2104),"",'ENGAGEMENTS 2026'!L2104)</f>
        <v/>
      </c>
      <c r="H2104">
        <f>IF(ISBLANK('ENGAGEMENTS 2026'!B2104),"",'ENGAGEMENTS 2026'!AE2104)</f>
        <v/>
      </c>
      <c r="I2104">
        <f>IF(ISBLANK('ENGAGEMENTS 2026'!B2104),"",'ENGAGEMENTS 2026'!G2104)</f>
        <v/>
      </c>
      <c r="J2104" s="275">
        <f>IF(ISBLANK('ENGAGEMENTS 2026'!B2104),"",IF(AND(OR($E2104="INFRUCTUEUX",$E2104="ANNULE"),$C2104="AOO-M"),'ENGAGEMENTS 2026'!O2104,IF($H2104="EN COURS DE PREENGAGEMENT",'ENGAGEMENTS 2026'!N2104,IF($H2104="PREENGAGE",IF($E2104="ATTRIBUE",'ENGAGEMENTS 2026'!AD2104,'ENGAGEMENTS 2026'!N2104),'ENGAGEMENTS 2026'!AD2104))))</f>
        <v/>
      </c>
      <c r="K2104" s="604">
        <f>IF(ISBLANK('ENGAGEMENTS 2026'!V2104),"",'ENGAGEMENTS 2026'!V2104)</f>
        <v/>
      </c>
      <c r="L2104" s="276">
        <f>IF($K2104="","",TODAY()-$K2104)</f>
        <v/>
      </c>
      <c r="M2104">
        <f>IF($A2104="","",IF($H2104="ENGAGE","Engagé",IF(AND($H2104="NON ENGAGE",OR($I2104="INFRUCTUEUX",$I2104="ANNULE")),"Clôturé sans suite","En cours")))</f>
        <v/>
      </c>
      <c r="N2104">
        <f>IF(ISBLANK('ENGAGEMENTS 2026'!B2104),"",'ENGAGEMENTS 2026'!K2104)</f>
        <v/>
      </c>
      <c r="O2104">
        <f>IF(ISBLANK('ENGAGEMENTS 2026'!B2104),"",'ENGAGEMENTS 2026'!L2104)</f>
        <v/>
      </c>
      <c r="P2104">
        <f>IF(ISBLANK('ENGAGEMENTS 2026'!B2104),"",'ENGAGEMENTS 2026'!J2104)</f>
        <v/>
      </c>
      <c r="Q2104">
        <f>IF($A2104="","",IF(OR($E2104="INFRUCTUEUX",$E2104="ANNULE"),$A2104&amp;"|"&amp;(COUNTIFS($A$2:$A2104,$A2104,$E$2:$E2104,"INFRUCTUEUX")+COUNTIFS($A$2:$A2104,$A2104,$E$2:$E2104,"ANNULE")),""))</f>
        <v/>
      </c>
    </row>
    <row r="2105">
      <c r="A2105">
        <f>IF(ISBLANK('ENGAGEMENTS 2026'!B2105),"",IF('ENGAGEMENTS 2026'!B2105="DTSI","DCT",'ENGAGEMENTS 2026'!B2105))</f>
        <v/>
      </c>
      <c r="B2105">
        <f>IF(ISBLANK('ENGAGEMENTS 2026'!B2105),"",'ENGAGEMENTS 2026'!C2105)</f>
        <v/>
      </c>
      <c r="C2105">
        <f>IF(ISBLANK('ENGAGEMENTS 2026'!B2105),"",'ENGAGEMENTS 2026'!D2105)</f>
        <v/>
      </c>
      <c r="D2105">
        <f>IF(ISBLANK('ENGAGEMENTS 2026'!B2105),"",'ENGAGEMENTS 2026'!F2105)</f>
        <v/>
      </c>
      <c r="E2105">
        <f>IF(ISBLANK('ENGAGEMENTS 2026'!B2105),"",'ENGAGEMENTS 2026'!H2105)</f>
        <v/>
      </c>
      <c r="F2105">
        <f>IF(ISBLANK('ENGAGEMENTS 2026'!B2105),"",'ENGAGEMENTS 2026'!I2105)</f>
        <v/>
      </c>
      <c r="G2105">
        <f>IF(ISBLANK('ENGAGEMENTS 2026'!B2105),"",'ENGAGEMENTS 2026'!L2105)</f>
        <v/>
      </c>
      <c r="H2105">
        <f>IF(ISBLANK('ENGAGEMENTS 2026'!B2105),"",'ENGAGEMENTS 2026'!AE2105)</f>
        <v/>
      </c>
      <c r="I2105">
        <f>IF(ISBLANK('ENGAGEMENTS 2026'!B2105),"",'ENGAGEMENTS 2026'!G2105)</f>
        <v/>
      </c>
      <c r="J2105" s="275">
        <f>IF(ISBLANK('ENGAGEMENTS 2026'!B2105),"",IF(AND(OR($E2105="INFRUCTUEUX",$E2105="ANNULE"),$C2105="AOO-M"),'ENGAGEMENTS 2026'!O2105,IF($H2105="EN COURS DE PREENGAGEMENT",'ENGAGEMENTS 2026'!N2105,IF($H2105="PREENGAGE",IF($E2105="ATTRIBUE",'ENGAGEMENTS 2026'!AD2105,'ENGAGEMENTS 2026'!N2105),'ENGAGEMENTS 2026'!AD2105))))</f>
        <v/>
      </c>
      <c r="K2105" s="604">
        <f>IF(ISBLANK('ENGAGEMENTS 2026'!V2105),"",'ENGAGEMENTS 2026'!V2105)</f>
        <v/>
      </c>
      <c r="L2105" s="276">
        <f>IF($K2105="","",TODAY()-$K2105)</f>
        <v/>
      </c>
      <c r="M2105">
        <f>IF($A2105="","",IF($H2105="ENGAGE","Engagé",IF(AND($H2105="NON ENGAGE",OR($I2105="INFRUCTUEUX",$I2105="ANNULE")),"Clôturé sans suite","En cours")))</f>
        <v/>
      </c>
      <c r="N2105">
        <f>IF(ISBLANK('ENGAGEMENTS 2026'!B2105),"",'ENGAGEMENTS 2026'!K2105)</f>
        <v/>
      </c>
      <c r="O2105">
        <f>IF(ISBLANK('ENGAGEMENTS 2026'!B2105),"",'ENGAGEMENTS 2026'!L2105)</f>
        <v/>
      </c>
      <c r="P2105">
        <f>IF(ISBLANK('ENGAGEMENTS 2026'!B2105),"",'ENGAGEMENTS 2026'!J2105)</f>
        <v/>
      </c>
      <c r="Q2105">
        <f>IF($A2105="","",IF(OR($E2105="INFRUCTUEUX",$E2105="ANNULE"),$A2105&amp;"|"&amp;(COUNTIFS($A$2:$A2105,$A2105,$E$2:$E2105,"INFRUCTUEUX")+COUNTIFS($A$2:$A2105,$A2105,$E$2:$E2105,"ANNULE")),""))</f>
        <v/>
      </c>
    </row>
    <row r="2106">
      <c r="A2106">
        <f>IF(ISBLANK('ENGAGEMENTS 2026'!B2106),"",IF('ENGAGEMENTS 2026'!B2106="DTSI","DCT",'ENGAGEMENTS 2026'!B2106))</f>
        <v/>
      </c>
      <c r="B2106">
        <f>IF(ISBLANK('ENGAGEMENTS 2026'!B2106),"",'ENGAGEMENTS 2026'!C2106)</f>
        <v/>
      </c>
      <c r="C2106">
        <f>IF(ISBLANK('ENGAGEMENTS 2026'!B2106),"",'ENGAGEMENTS 2026'!D2106)</f>
        <v/>
      </c>
      <c r="D2106">
        <f>IF(ISBLANK('ENGAGEMENTS 2026'!B2106),"",'ENGAGEMENTS 2026'!F2106)</f>
        <v/>
      </c>
      <c r="E2106">
        <f>IF(ISBLANK('ENGAGEMENTS 2026'!B2106),"",'ENGAGEMENTS 2026'!H2106)</f>
        <v/>
      </c>
      <c r="F2106">
        <f>IF(ISBLANK('ENGAGEMENTS 2026'!B2106),"",'ENGAGEMENTS 2026'!I2106)</f>
        <v/>
      </c>
      <c r="G2106">
        <f>IF(ISBLANK('ENGAGEMENTS 2026'!B2106),"",'ENGAGEMENTS 2026'!L2106)</f>
        <v/>
      </c>
      <c r="H2106">
        <f>IF(ISBLANK('ENGAGEMENTS 2026'!B2106),"",'ENGAGEMENTS 2026'!AE2106)</f>
        <v/>
      </c>
      <c r="I2106">
        <f>IF(ISBLANK('ENGAGEMENTS 2026'!B2106),"",'ENGAGEMENTS 2026'!G2106)</f>
        <v/>
      </c>
      <c r="J2106" s="275">
        <f>IF(ISBLANK('ENGAGEMENTS 2026'!B2106),"",IF(AND(OR($E2106="INFRUCTUEUX",$E2106="ANNULE"),$C2106="AOO-M"),'ENGAGEMENTS 2026'!O2106,IF($H2106="EN COURS DE PREENGAGEMENT",'ENGAGEMENTS 2026'!N2106,IF($H2106="PREENGAGE",IF($E2106="ATTRIBUE",'ENGAGEMENTS 2026'!AD2106,'ENGAGEMENTS 2026'!N2106),'ENGAGEMENTS 2026'!AD2106))))</f>
        <v/>
      </c>
      <c r="K2106" s="604">
        <f>IF(ISBLANK('ENGAGEMENTS 2026'!V2106),"",'ENGAGEMENTS 2026'!V2106)</f>
        <v/>
      </c>
      <c r="L2106" s="276">
        <f>IF($K2106="","",TODAY()-$K2106)</f>
        <v/>
      </c>
      <c r="M2106">
        <f>IF($A2106="","",IF($H2106="ENGAGE","Engagé",IF(AND($H2106="NON ENGAGE",OR($I2106="INFRUCTUEUX",$I2106="ANNULE")),"Clôturé sans suite","En cours")))</f>
        <v/>
      </c>
      <c r="N2106">
        <f>IF(ISBLANK('ENGAGEMENTS 2026'!B2106),"",'ENGAGEMENTS 2026'!K2106)</f>
        <v/>
      </c>
      <c r="O2106">
        <f>IF(ISBLANK('ENGAGEMENTS 2026'!B2106),"",'ENGAGEMENTS 2026'!L2106)</f>
        <v/>
      </c>
      <c r="P2106">
        <f>IF(ISBLANK('ENGAGEMENTS 2026'!B2106),"",'ENGAGEMENTS 2026'!J2106)</f>
        <v/>
      </c>
      <c r="Q2106">
        <f>IF($A2106="","",IF(OR($E2106="INFRUCTUEUX",$E2106="ANNULE"),$A2106&amp;"|"&amp;(COUNTIFS($A$2:$A2106,$A2106,$E$2:$E2106,"INFRUCTUEUX")+COUNTIFS($A$2:$A2106,$A2106,$E$2:$E2106,"ANNULE")),""))</f>
        <v/>
      </c>
    </row>
    <row r="2107">
      <c r="A2107">
        <f>IF(ISBLANK('ENGAGEMENTS 2026'!B2107),"",IF('ENGAGEMENTS 2026'!B2107="DTSI","DCT",'ENGAGEMENTS 2026'!B2107))</f>
        <v/>
      </c>
      <c r="B2107">
        <f>IF(ISBLANK('ENGAGEMENTS 2026'!B2107),"",'ENGAGEMENTS 2026'!C2107)</f>
        <v/>
      </c>
      <c r="C2107">
        <f>IF(ISBLANK('ENGAGEMENTS 2026'!B2107),"",'ENGAGEMENTS 2026'!D2107)</f>
        <v/>
      </c>
      <c r="D2107">
        <f>IF(ISBLANK('ENGAGEMENTS 2026'!B2107),"",'ENGAGEMENTS 2026'!F2107)</f>
        <v/>
      </c>
      <c r="E2107">
        <f>IF(ISBLANK('ENGAGEMENTS 2026'!B2107),"",'ENGAGEMENTS 2026'!H2107)</f>
        <v/>
      </c>
      <c r="F2107">
        <f>IF(ISBLANK('ENGAGEMENTS 2026'!B2107),"",'ENGAGEMENTS 2026'!I2107)</f>
        <v/>
      </c>
      <c r="G2107">
        <f>IF(ISBLANK('ENGAGEMENTS 2026'!B2107),"",'ENGAGEMENTS 2026'!L2107)</f>
        <v/>
      </c>
      <c r="H2107">
        <f>IF(ISBLANK('ENGAGEMENTS 2026'!B2107),"",'ENGAGEMENTS 2026'!AE2107)</f>
        <v/>
      </c>
      <c r="I2107">
        <f>IF(ISBLANK('ENGAGEMENTS 2026'!B2107),"",'ENGAGEMENTS 2026'!G2107)</f>
        <v/>
      </c>
      <c r="J2107" s="275">
        <f>IF(ISBLANK('ENGAGEMENTS 2026'!B2107),"",IF(AND(OR($E2107="INFRUCTUEUX",$E2107="ANNULE"),$C2107="AOO-M"),'ENGAGEMENTS 2026'!O2107,IF($H2107="EN COURS DE PREENGAGEMENT",'ENGAGEMENTS 2026'!N2107,IF($H2107="PREENGAGE",IF($E2107="ATTRIBUE",'ENGAGEMENTS 2026'!AD2107,'ENGAGEMENTS 2026'!N2107),'ENGAGEMENTS 2026'!AD2107))))</f>
        <v/>
      </c>
      <c r="K2107" s="604">
        <f>IF(ISBLANK('ENGAGEMENTS 2026'!V2107),"",'ENGAGEMENTS 2026'!V2107)</f>
        <v/>
      </c>
      <c r="L2107" s="276">
        <f>IF($K2107="","",TODAY()-$K2107)</f>
        <v/>
      </c>
      <c r="M2107">
        <f>IF($A2107="","",IF($H2107="ENGAGE","Engagé",IF(AND($H2107="NON ENGAGE",OR($I2107="INFRUCTUEUX",$I2107="ANNULE")),"Clôturé sans suite","En cours")))</f>
        <v/>
      </c>
      <c r="N2107">
        <f>IF(ISBLANK('ENGAGEMENTS 2026'!B2107),"",'ENGAGEMENTS 2026'!K2107)</f>
        <v/>
      </c>
      <c r="O2107">
        <f>IF(ISBLANK('ENGAGEMENTS 2026'!B2107),"",'ENGAGEMENTS 2026'!L2107)</f>
        <v/>
      </c>
      <c r="P2107">
        <f>IF(ISBLANK('ENGAGEMENTS 2026'!B2107),"",'ENGAGEMENTS 2026'!J2107)</f>
        <v/>
      </c>
      <c r="Q2107">
        <f>IF($A2107="","",IF(OR($E2107="INFRUCTUEUX",$E2107="ANNULE"),$A2107&amp;"|"&amp;(COUNTIFS($A$2:$A2107,$A2107,$E$2:$E2107,"INFRUCTUEUX")+COUNTIFS($A$2:$A2107,$A2107,$E$2:$E2107,"ANNULE")),""))</f>
        <v/>
      </c>
    </row>
    <row r="2108">
      <c r="A2108">
        <f>IF(ISBLANK('ENGAGEMENTS 2026'!B2108),"",IF('ENGAGEMENTS 2026'!B2108="DTSI","DCT",'ENGAGEMENTS 2026'!B2108))</f>
        <v/>
      </c>
      <c r="B2108">
        <f>IF(ISBLANK('ENGAGEMENTS 2026'!B2108),"",'ENGAGEMENTS 2026'!C2108)</f>
        <v/>
      </c>
      <c r="C2108">
        <f>IF(ISBLANK('ENGAGEMENTS 2026'!B2108),"",'ENGAGEMENTS 2026'!D2108)</f>
        <v/>
      </c>
      <c r="D2108">
        <f>IF(ISBLANK('ENGAGEMENTS 2026'!B2108),"",'ENGAGEMENTS 2026'!F2108)</f>
        <v/>
      </c>
      <c r="E2108">
        <f>IF(ISBLANK('ENGAGEMENTS 2026'!B2108),"",'ENGAGEMENTS 2026'!H2108)</f>
        <v/>
      </c>
      <c r="F2108">
        <f>IF(ISBLANK('ENGAGEMENTS 2026'!B2108),"",'ENGAGEMENTS 2026'!I2108)</f>
        <v/>
      </c>
      <c r="G2108">
        <f>IF(ISBLANK('ENGAGEMENTS 2026'!B2108),"",'ENGAGEMENTS 2026'!L2108)</f>
        <v/>
      </c>
      <c r="H2108">
        <f>IF(ISBLANK('ENGAGEMENTS 2026'!B2108),"",'ENGAGEMENTS 2026'!AE2108)</f>
        <v/>
      </c>
      <c r="I2108">
        <f>IF(ISBLANK('ENGAGEMENTS 2026'!B2108),"",'ENGAGEMENTS 2026'!G2108)</f>
        <v/>
      </c>
      <c r="J2108" s="275">
        <f>IF(ISBLANK('ENGAGEMENTS 2026'!B2108),"",IF(AND(OR($E2108="INFRUCTUEUX",$E2108="ANNULE"),$C2108="AOO-M"),'ENGAGEMENTS 2026'!O2108,IF($H2108="EN COURS DE PREENGAGEMENT",'ENGAGEMENTS 2026'!N2108,IF($H2108="PREENGAGE",IF($E2108="ATTRIBUE",'ENGAGEMENTS 2026'!AD2108,'ENGAGEMENTS 2026'!N2108),'ENGAGEMENTS 2026'!AD2108))))</f>
        <v/>
      </c>
      <c r="K2108" s="604">
        <f>IF(ISBLANK('ENGAGEMENTS 2026'!V2108),"",'ENGAGEMENTS 2026'!V2108)</f>
        <v/>
      </c>
      <c r="L2108" s="276">
        <f>IF($K2108="","",TODAY()-$K2108)</f>
        <v/>
      </c>
      <c r="M2108">
        <f>IF($A2108="","",IF($H2108="ENGAGE","Engagé",IF(AND($H2108="NON ENGAGE",OR($I2108="INFRUCTUEUX",$I2108="ANNULE")),"Clôturé sans suite","En cours")))</f>
        <v/>
      </c>
      <c r="N2108">
        <f>IF(ISBLANK('ENGAGEMENTS 2026'!B2108),"",'ENGAGEMENTS 2026'!K2108)</f>
        <v/>
      </c>
      <c r="O2108">
        <f>IF(ISBLANK('ENGAGEMENTS 2026'!B2108),"",'ENGAGEMENTS 2026'!L2108)</f>
        <v/>
      </c>
      <c r="P2108">
        <f>IF(ISBLANK('ENGAGEMENTS 2026'!B2108),"",'ENGAGEMENTS 2026'!J2108)</f>
        <v/>
      </c>
      <c r="Q2108">
        <f>IF($A2108="","",IF(OR($E2108="INFRUCTUEUX",$E2108="ANNULE"),$A2108&amp;"|"&amp;(COUNTIFS($A$2:$A2108,$A2108,$E$2:$E2108,"INFRUCTUEUX")+COUNTIFS($A$2:$A2108,$A2108,$E$2:$E2108,"ANNULE")),""))</f>
        <v/>
      </c>
    </row>
    <row r="2109">
      <c r="A2109">
        <f>IF(ISBLANK('ENGAGEMENTS 2026'!B2109),"",IF('ENGAGEMENTS 2026'!B2109="DTSI","DCT",'ENGAGEMENTS 2026'!B2109))</f>
        <v/>
      </c>
      <c r="B2109">
        <f>IF(ISBLANK('ENGAGEMENTS 2026'!B2109),"",'ENGAGEMENTS 2026'!C2109)</f>
        <v/>
      </c>
      <c r="C2109">
        <f>IF(ISBLANK('ENGAGEMENTS 2026'!B2109),"",'ENGAGEMENTS 2026'!D2109)</f>
        <v/>
      </c>
      <c r="D2109">
        <f>IF(ISBLANK('ENGAGEMENTS 2026'!B2109),"",'ENGAGEMENTS 2026'!F2109)</f>
        <v/>
      </c>
      <c r="E2109">
        <f>IF(ISBLANK('ENGAGEMENTS 2026'!B2109),"",'ENGAGEMENTS 2026'!H2109)</f>
        <v/>
      </c>
      <c r="F2109">
        <f>IF(ISBLANK('ENGAGEMENTS 2026'!B2109),"",'ENGAGEMENTS 2026'!I2109)</f>
        <v/>
      </c>
      <c r="G2109">
        <f>IF(ISBLANK('ENGAGEMENTS 2026'!B2109),"",'ENGAGEMENTS 2026'!L2109)</f>
        <v/>
      </c>
      <c r="H2109">
        <f>IF(ISBLANK('ENGAGEMENTS 2026'!B2109),"",'ENGAGEMENTS 2026'!AE2109)</f>
        <v/>
      </c>
      <c r="I2109">
        <f>IF(ISBLANK('ENGAGEMENTS 2026'!B2109),"",'ENGAGEMENTS 2026'!G2109)</f>
        <v/>
      </c>
      <c r="J2109" s="275">
        <f>IF(ISBLANK('ENGAGEMENTS 2026'!B2109),"",IF(AND(OR($E2109="INFRUCTUEUX",$E2109="ANNULE"),$C2109="AOO-M"),'ENGAGEMENTS 2026'!O2109,IF($H2109="EN COURS DE PREENGAGEMENT",'ENGAGEMENTS 2026'!N2109,IF($H2109="PREENGAGE",IF($E2109="ATTRIBUE",'ENGAGEMENTS 2026'!AD2109,'ENGAGEMENTS 2026'!N2109),'ENGAGEMENTS 2026'!AD2109))))</f>
        <v/>
      </c>
      <c r="K2109" s="604">
        <f>IF(ISBLANK('ENGAGEMENTS 2026'!V2109),"",'ENGAGEMENTS 2026'!V2109)</f>
        <v/>
      </c>
      <c r="L2109" s="276">
        <f>IF($K2109="","",TODAY()-$K2109)</f>
        <v/>
      </c>
      <c r="M2109">
        <f>IF($A2109="","",IF($H2109="ENGAGE","Engagé",IF(AND($H2109="NON ENGAGE",OR($I2109="INFRUCTUEUX",$I2109="ANNULE")),"Clôturé sans suite","En cours")))</f>
        <v/>
      </c>
      <c r="N2109">
        <f>IF(ISBLANK('ENGAGEMENTS 2026'!B2109),"",'ENGAGEMENTS 2026'!K2109)</f>
        <v/>
      </c>
      <c r="O2109">
        <f>IF(ISBLANK('ENGAGEMENTS 2026'!B2109),"",'ENGAGEMENTS 2026'!L2109)</f>
        <v/>
      </c>
      <c r="P2109">
        <f>IF(ISBLANK('ENGAGEMENTS 2026'!B2109),"",'ENGAGEMENTS 2026'!J2109)</f>
        <v/>
      </c>
      <c r="Q2109">
        <f>IF($A2109="","",IF(OR($E2109="INFRUCTUEUX",$E2109="ANNULE"),$A2109&amp;"|"&amp;(COUNTIFS($A$2:$A2109,$A2109,$E$2:$E2109,"INFRUCTUEUX")+COUNTIFS($A$2:$A2109,$A2109,$E$2:$E2109,"ANNULE")),""))</f>
        <v/>
      </c>
    </row>
    <row r="2110">
      <c r="A2110">
        <f>IF(ISBLANK('ENGAGEMENTS 2026'!B2110),"",IF('ENGAGEMENTS 2026'!B2110="DTSI","DCT",'ENGAGEMENTS 2026'!B2110))</f>
        <v/>
      </c>
      <c r="B2110">
        <f>IF(ISBLANK('ENGAGEMENTS 2026'!B2110),"",'ENGAGEMENTS 2026'!C2110)</f>
        <v/>
      </c>
      <c r="C2110">
        <f>IF(ISBLANK('ENGAGEMENTS 2026'!B2110),"",'ENGAGEMENTS 2026'!D2110)</f>
        <v/>
      </c>
      <c r="D2110">
        <f>IF(ISBLANK('ENGAGEMENTS 2026'!B2110),"",'ENGAGEMENTS 2026'!F2110)</f>
        <v/>
      </c>
      <c r="E2110">
        <f>IF(ISBLANK('ENGAGEMENTS 2026'!B2110),"",'ENGAGEMENTS 2026'!H2110)</f>
        <v/>
      </c>
      <c r="F2110">
        <f>IF(ISBLANK('ENGAGEMENTS 2026'!B2110),"",'ENGAGEMENTS 2026'!I2110)</f>
        <v/>
      </c>
      <c r="G2110">
        <f>IF(ISBLANK('ENGAGEMENTS 2026'!B2110),"",'ENGAGEMENTS 2026'!L2110)</f>
        <v/>
      </c>
      <c r="H2110">
        <f>IF(ISBLANK('ENGAGEMENTS 2026'!B2110),"",'ENGAGEMENTS 2026'!AE2110)</f>
        <v/>
      </c>
      <c r="I2110">
        <f>IF(ISBLANK('ENGAGEMENTS 2026'!B2110),"",'ENGAGEMENTS 2026'!G2110)</f>
        <v/>
      </c>
      <c r="J2110" s="275">
        <f>IF(ISBLANK('ENGAGEMENTS 2026'!B2110),"",IF(AND(OR($E2110="INFRUCTUEUX",$E2110="ANNULE"),$C2110="AOO-M"),'ENGAGEMENTS 2026'!O2110,IF($H2110="EN COURS DE PREENGAGEMENT",'ENGAGEMENTS 2026'!N2110,IF($H2110="PREENGAGE",IF($E2110="ATTRIBUE",'ENGAGEMENTS 2026'!AD2110,'ENGAGEMENTS 2026'!N2110),'ENGAGEMENTS 2026'!AD2110))))</f>
        <v/>
      </c>
      <c r="K2110" s="604">
        <f>IF(ISBLANK('ENGAGEMENTS 2026'!V2110),"",'ENGAGEMENTS 2026'!V2110)</f>
        <v/>
      </c>
      <c r="L2110" s="276">
        <f>IF($K2110="","",TODAY()-$K2110)</f>
        <v/>
      </c>
      <c r="M2110">
        <f>IF($A2110="","",IF($H2110="ENGAGE","Engagé",IF(AND($H2110="NON ENGAGE",OR($I2110="INFRUCTUEUX",$I2110="ANNULE")),"Clôturé sans suite","En cours")))</f>
        <v/>
      </c>
      <c r="N2110">
        <f>IF(ISBLANK('ENGAGEMENTS 2026'!B2110),"",'ENGAGEMENTS 2026'!K2110)</f>
        <v/>
      </c>
      <c r="O2110">
        <f>IF(ISBLANK('ENGAGEMENTS 2026'!B2110),"",'ENGAGEMENTS 2026'!L2110)</f>
        <v/>
      </c>
      <c r="P2110">
        <f>IF(ISBLANK('ENGAGEMENTS 2026'!B2110),"",'ENGAGEMENTS 2026'!J2110)</f>
        <v/>
      </c>
      <c r="Q2110">
        <f>IF($A2110="","",IF(OR($E2110="INFRUCTUEUX",$E2110="ANNULE"),$A2110&amp;"|"&amp;(COUNTIFS($A$2:$A2110,$A2110,$E$2:$E2110,"INFRUCTUEUX")+COUNTIFS($A$2:$A2110,$A2110,$E$2:$E2110,"ANNULE")),""))</f>
        <v/>
      </c>
    </row>
    <row r="2111">
      <c r="A2111">
        <f>IF(ISBLANK('ENGAGEMENTS 2026'!B2111),"",IF('ENGAGEMENTS 2026'!B2111="DTSI","DCT",'ENGAGEMENTS 2026'!B2111))</f>
        <v/>
      </c>
      <c r="B2111">
        <f>IF(ISBLANK('ENGAGEMENTS 2026'!B2111),"",'ENGAGEMENTS 2026'!C2111)</f>
        <v/>
      </c>
      <c r="C2111">
        <f>IF(ISBLANK('ENGAGEMENTS 2026'!B2111),"",'ENGAGEMENTS 2026'!D2111)</f>
        <v/>
      </c>
      <c r="D2111">
        <f>IF(ISBLANK('ENGAGEMENTS 2026'!B2111),"",'ENGAGEMENTS 2026'!F2111)</f>
        <v/>
      </c>
      <c r="E2111">
        <f>IF(ISBLANK('ENGAGEMENTS 2026'!B2111),"",'ENGAGEMENTS 2026'!H2111)</f>
        <v/>
      </c>
      <c r="F2111">
        <f>IF(ISBLANK('ENGAGEMENTS 2026'!B2111),"",'ENGAGEMENTS 2026'!I2111)</f>
        <v/>
      </c>
      <c r="G2111">
        <f>IF(ISBLANK('ENGAGEMENTS 2026'!B2111),"",'ENGAGEMENTS 2026'!L2111)</f>
        <v/>
      </c>
      <c r="H2111">
        <f>IF(ISBLANK('ENGAGEMENTS 2026'!B2111),"",'ENGAGEMENTS 2026'!AE2111)</f>
        <v/>
      </c>
      <c r="I2111">
        <f>IF(ISBLANK('ENGAGEMENTS 2026'!B2111),"",'ENGAGEMENTS 2026'!G2111)</f>
        <v/>
      </c>
      <c r="J2111" s="275">
        <f>IF(ISBLANK('ENGAGEMENTS 2026'!B2111),"",IF(AND(OR($E2111="INFRUCTUEUX",$E2111="ANNULE"),$C2111="AOO-M"),'ENGAGEMENTS 2026'!O2111,IF($H2111="EN COURS DE PREENGAGEMENT",'ENGAGEMENTS 2026'!N2111,IF($H2111="PREENGAGE",IF($E2111="ATTRIBUE",'ENGAGEMENTS 2026'!AD2111,'ENGAGEMENTS 2026'!N2111),'ENGAGEMENTS 2026'!AD2111))))</f>
        <v/>
      </c>
      <c r="K2111" s="604">
        <f>IF(ISBLANK('ENGAGEMENTS 2026'!V2111),"",'ENGAGEMENTS 2026'!V2111)</f>
        <v/>
      </c>
      <c r="L2111" s="276">
        <f>IF($K2111="","",TODAY()-$K2111)</f>
        <v/>
      </c>
      <c r="M2111">
        <f>IF($A2111="","",IF($H2111="ENGAGE","Engagé",IF(AND($H2111="NON ENGAGE",OR($I2111="INFRUCTUEUX",$I2111="ANNULE")),"Clôturé sans suite","En cours")))</f>
        <v/>
      </c>
      <c r="N2111">
        <f>IF(ISBLANK('ENGAGEMENTS 2026'!B2111),"",'ENGAGEMENTS 2026'!K2111)</f>
        <v/>
      </c>
      <c r="O2111">
        <f>IF(ISBLANK('ENGAGEMENTS 2026'!B2111),"",'ENGAGEMENTS 2026'!L2111)</f>
        <v/>
      </c>
      <c r="P2111">
        <f>IF(ISBLANK('ENGAGEMENTS 2026'!B2111),"",'ENGAGEMENTS 2026'!J2111)</f>
        <v/>
      </c>
      <c r="Q2111">
        <f>IF($A2111="","",IF(OR($E2111="INFRUCTUEUX",$E2111="ANNULE"),$A2111&amp;"|"&amp;(COUNTIFS($A$2:$A2111,$A2111,$E$2:$E2111,"INFRUCTUEUX")+COUNTIFS($A$2:$A2111,$A2111,$E$2:$E2111,"ANNULE")),""))</f>
        <v/>
      </c>
    </row>
    <row r="2112">
      <c r="A2112">
        <f>IF(ISBLANK('ENGAGEMENTS 2026'!B2112),"",IF('ENGAGEMENTS 2026'!B2112="DTSI","DCT",'ENGAGEMENTS 2026'!B2112))</f>
        <v/>
      </c>
      <c r="B2112">
        <f>IF(ISBLANK('ENGAGEMENTS 2026'!B2112),"",'ENGAGEMENTS 2026'!C2112)</f>
        <v/>
      </c>
      <c r="C2112">
        <f>IF(ISBLANK('ENGAGEMENTS 2026'!B2112),"",'ENGAGEMENTS 2026'!D2112)</f>
        <v/>
      </c>
      <c r="D2112">
        <f>IF(ISBLANK('ENGAGEMENTS 2026'!B2112),"",'ENGAGEMENTS 2026'!F2112)</f>
        <v/>
      </c>
      <c r="E2112">
        <f>IF(ISBLANK('ENGAGEMENTS 2026'!B2112),"",'ENGAGEMENTS 2026'!H2112)</f>
        <v/>
      </c>
      <c r="F2112">
        <f>IF(ISBLANK('ENGAGEMENTS 2026'!B2112),"",'ENGAGEMENTS 2026'!I2112)</f>
        <v/>
      </c>
      <c r="G2112">
        <f>IF(ISBLANK('ENGAGEMENTS 2026'!B2112),"",'ENGAGEMENTS 2026'!L2112)</f>
        <v/>
      </c>
      <c r="H2112">
        <f>IF(ISBLANK('ENGAGEMENTS 2026'!B2112),"",'ENGAGEMENTS 2026'!AE2112)</f>
        <v/>
      </c>
      <c r="I2112">
        <f>IF(ISBLANK('ENGAGEMENTS 2026'!B2112),"",'ENGAGEMENTS 2026'!G2112)</f>
        <v/>
      </c>
      <c r="J2112" s="275">
        <f>IF(ISBLANK('ENGAGEMENTS 2026'!B2112),"",IF(AND(OR($E2112="INFRUCTUEUX",$E2112="ANNULE"),$C2112="AOO-M"),'ENGAGEMENTS 2026'!O2112,IF($H2112="EN COURS DE PREENGAGEMENT",'ENGAGEMENTS 2026'!N2112,IF($H2112="PREENGAGE",IF($E2112="ATTRIBUE",'ENGAGEMENTS 2026'!AD2112,'ENGAGEMENTS 2026'!N2112),'ENGAGEMENTS 2026'!AD2112))))</f>
        <v/>
      </c>
      <c r="K2112" s="604">
        <f>IF(ISBLANK('ENGAGEMENTS 2026'!V2112),"",'ENGAGEMENTS 2026'!V2112)</f>
        <v/>
      </c>
      <c r="L2112" s="276">
        <f>IF($K2112="","",TODAY()-$K2112)</f>
        <v/>
      </c>
      <c r="M2112">
        <f>IF($A2112="","",IF($H2112="ENGAGE","Engagé",IF(AND($H2112="NON ENGAGE",OR($I2112="INFRUCTUEUX",$I2112="ANNULE")),"Clôturé sans suite","En cours")))</f>
        <v/>
      </c>
      <c r="N2112">
        <f>IF(ISBLANK('ENGAGEMENTS 2026'!B2112),"",'ENGAGEMENTS 2026'!K2112)</f>
        <v/>
      </c>
      <c r="O2112">
        <f>IF(ISBLANK('ENGAGEMENTS 2026'!B2112),"",'ENGAGEMENTS 2026'!L2112)</f>
        <v/>
      </c>
      <c r="P2112">
        <f>IF(ISBLANK('ENGAGEMENTS 2026'!B2112),"",'ENGAGEMENTS 2026'!J2112)</f>
        <v/>
      </c>
      <c r="Q2112">
        <f>IF($A2112="","",IF(OR($E2112="INFRUCTUEUX",$E2112="ANNULE"),$A2112&amp;"|"&amp;(COUNTIFS($A$2:$A2112,$A2112,$E$2:$E2112,"INFRUCTUEUX")+COUNTIFS($A$2:$A2112,$A2112,$E$2:$E2112,"ANNULE")),""))</f>
        <v/>
      </c>
    </row>
    <row r="2113">
      <c r="A2113">
        <f>IF(ISBLANK('ENGAGEMENTS 2026'!B2113),"",IF('ENGAGEMENTS 2026'!B2113="DTSI","DCT",'ENGAGEMENTS 2026'!B2113))</f>
        <v/>
      </c>
      <c r="B2113">
        <f>IF(ISBLANK('ENGAGEMENTS 2026'!B2113),"",'ENGAGEMENTS 2026'!C2113)</f>
        <v/>
      </c>
      <c r="C2113">
        <f>IF(ISBLANK('ENGAGEMENTS 2026'!B2113),"",'ENGAGEMENTS 2026'!D2113)</f>
        <v/>
      </c>
      <c r="D2113">
        <f>IF(ISBLANK('ENGAGEMENTS 2026'!B2113),"",'ENGAGEMENTS 2026'!F2113)</f>
        <v/>
      </c>
      <c r="E2113">
        <f>IF(ISBLANK('ENGAGEMENTS 2026'!B2113),"",'ENGAGEMENTS 2026'!H2113)</f>
        <v/>
      </c>
      <c r="F2113">
        <f>IF(ISBLANK('ENGAGEMENTS 2026'!B2113),"",'ENGAGEMENTS 2026'!I2113)</f>
        <v/>
      </c>
      <c r="G2113">
        <f>IF(ISBLANK('ENGAGEMENTS 2026'!B2113),"",'ENGAGEMENTS 2026'!L2113)</f>
        <v/>
      </c>
      <c r="H2113">
        <f>IF(ISBLANK('ENGAGEMENTS 2026'!B2113),"",'ENGAGEMENTS 2026'!AE2113)</f>
        <v/>
      </c>
      <c r="I2113">
        <f>IF(ISBLANK('ENGAGEMENTS 2026'!B2113),"",'ENGAGEMENTS 2026'!G2113)</f>
        <v/>
      </c>
      <c r="J2113" s="275">
        <f>IF(ISBLANK('ENGAGEMENTS 2026'!B2113),"",IF(AND(OR($E2113="INFRUCTUEUX",$E2113="ANNULE"),$C2113="AOO-M"),'ENGAGEMENTS 2026'!O2113,IF($H2113="EN COURS DE PREENGAGEMENT",'ENGAGEMENTS 2026'!N2113,IF($H2113="PREENGAGE",IF($E2113="ATTRIBUE",'ENGAGEMENTS 2026'!AD2113,'ENGAGEMENTS 2026'!N2113),'ENGAGEMENTS 2026'!AD2113))))</f>
        <v/>
      </c>
      <c r="K2113" s="604">
        <f>IF(ISBLANK('ENGAGEMENTS 2026'!V2113),"",'ENGAGEMENTS 2026'!V2113)</f>
        <v/>
      </c>
      <c r="L2113" s="276">
        <f>IF($K2113="","",TODAY()-$K2113)</f>
        <v/>
      </c>
      <c r="M2113">
        <f>IF($A2113="","",IF($H2113="ENGAGE","Engagé",IF(AND($H2113="NON ENGAGE",OR($I2113="INFRUCTUEUX",$I2113="ANNULE")),"Clôturé sans suite","En cours")))</f>
        <v/>
      </c>
      <c r="N2113">
        <f>IF(ISBLANK('ENGAGEMENTS 2026'!B2113),"",'ENGAGEMENTS 2026'!K2113)</f>
        <v/>
      </c>
      <c r="O2113">
        <f>IF(ISBLANK('ENGAGEMENTS 2026'!B2113),"",'ENGAGEMENTS 2026'!L2113)</f>
        <v/>
      </c>
      <c r="P2113">
        <f>IF(ISBLANK('ENGAGEMENTS 2026'!B2113),"",'ENGAGEMENTS 2026'!J2113)</f>
        <v/>
      </c>
      <c r="Q2113">
        <f>IF($A2113="","",IF(OR($E2113="INFRUCTUEUX",$E2113="ANNULE"),$A2113&amp;"|"&amp;(COUNTIFS($A$2:$A2113,$A2113,$E$2:$E2113,"INFRUCTUEUX")+COUNTIFS($A$2:$A2113,$A2113,$E$2:$E2113,"ANNULE")),""))</f>
        <v/>
      </c>
    </row>
    <row r="2114">
      <c r="A2114">
        <f>IF(ISBLANK('ENGAGEMENTS 2026'!B2114),"",IF('ENGAGEMENTS 2026'!B2114="DTSI","DCT",'ENGAGEMENTS 2026'!B2114))</f>
        <v/>
      </c>
      <c r="B2114">
        <f>IF(ISBLANK('ENGAGEMENTS 2026'!B2114),"",'ENGAGEMENTS 2026'!C2114)</f>
        <v/>
      </c>
      <c r="C2114">
        <f>IF(ISBLANK('ENGAGEMENTS 2026'!B2114),"",'ENGAGEMENTS 2026'!D2114)</f>
        <v/>
      </c>
      <c r="D2114">
        <f>IF(ISBLANK('ENGAGEMENTS 2026'!B2114),"",'ENGAGEMENTS 2026'!F2114)</f>
        <v/>
      </c>
      <c r="E2114">
        <f>IF(ISBLANK('ENGAGEMENTS 2026'!B2114),"",'ENGAGEMENTS 2026'!H2114)</f>
        <v/>
      </c>
      <c r="F2114">
        <f>IF(ISBLANK('ENGAGEMENTS 2026'!B2114),"",'ENGAGEMENTS 2026'!I2114)</f>
        <v/>
      </c>
      <c r="G2114">
        <f>IF(ISBLANK('ENGAGEMENTS 2026'!B2114),"",'ENGAGEMENTS 2026'!L2114)</f>
        <v/>
      </c>
      <c r="H2114">
        <f>IF(ISBLANK('ENGAGEMENTS 2026'!B2114),"",'ENGAGEMENTS 2026'!AE2114)</f>
        <v/>
      </c>
      <c r="I2114">
        <f>IF(ISBLANK('ENGAGEMENTS 2026'!B2114),"",'ENGAGEMENTS 2026'!G2114)</f>
        <v/>
      </c>
      <c r="J2114" s="275">
        <f>IF(ISBLANK('ENGAGEMENTS 2026'!B2114),"",IF(AND(OR($E2114="INFRUCTUEUX",$E2114="ANNULE"),$C2114="AOO-M"),'ENGAGEMENTS 2026'!O2114,IF($H2114="EN COURS DE PREENGAGEMENT",'ENGAGEMENTS 2026'!N2114,IF($H2114="PREENGAGE",IF($E2114="ATTRIBUE",'ENGAGEMENTS 2026'!AD2114,'ENGAGEMENTS 2026'!N2114),'ENGAGEMENTS 2026'!AD2114))))</f>
        <v/>
      </c>
      <c r="K2114" s="604">
        <f>IF(ISBLANK('ENGAGEMENTS 2026'!V2114),"",'ENGAGEMENTS 2026'!V2114)</f>
        <v/>
      </c>
      <c r="L2114" s="276">
        <f>IF($K2114="","",TODAY()-$K2114)</f>
        <v/>
      </c>
      <c r="M2114">
        <f>IF($A2114="","",IF($H2114="ENGAGE","Engagé",IF(AND($H2114="NON ENGAGE",OR($I2114="INFRUCTUEUX",$I2114="ANNULE")),"Clôturé sans suite","En cours")))</f>
        <v/>
      </c>
      <c r="N2114">
        <f>IF(ISBLANK('ENGAGEMENTS 2026'!B2114),"",'ENGAGEMENTS 2026'!K2114)</f>
        <v/>
      </c>
      <c r="O2114">
        <f>IF(ISBLANK('ENGAGEMENTS 2026'!B2114),"",'ENGAGEMENTS 2026'!L2114)</f>
        <v/>
      </c>
      <c r="P2114">
        <f>IF(ISBLANK('ENGAGEMENTS 2026'!B2114),"",'ENGAGEMENTS 2026'!J2114)</f>
        <v/>
      </c>
      <c r="Q2114">
        <f>IF($A2114="","",IF(OR($E2114="INFRUCTUEUX",$E2114="ANNULE"),$A2114&amp;"|"&amp;(COUNTIFS($A$2:$A2114,$A2114,$E$2:$E2114,"INFRUCTUEUX")+COUNTIFS($A$2:$A2114,$A2114,$E$2:$E2114,"ANNULE")),""))</f>
        <v/>
      </c>
    </row>
    <row r="2115">
      <c r="A2115">
        <f>IF(ISBLANK('ENGAGEMENTS 2026'!B2115),"",IF('ENGAGEMENTS 2026'!B2115="DTSI","DCT",'ENGAGEMENTS 2026'!B2115))</f>
        <v/>
      </c>
      <c r="B2115">
        <f>IF(ISBLANK('ENGAGEMENTS 2026'!B2115),"",'ENGAGEMENTS 2026'!C2115)</f>
        <v/>
      </c>
      <c r="C2115">
        <f>IF(ISBLANK('ENGAGEMENTS 2026'!B2115),"",'ENGAGEMENTS 2026'!D2115)</f>
        <v/>
      </c>
      <c r="D2115">
        <f>IF(ISBLANK('ENGAGEMENTS 2026'!B2115),"",'ENGAGEMENTS 2026'!F2115)</f>
        <v/>
      </c>
      <c r="E2115">
        <f>IF(ISBLANK('ENGAGEMENTS 2026'!B2115),"",'ENGAGEMENTS 2026'!H2115)</f>
        <v/>
      </c>
      <c r="F2115">
        <f>IF(ISBLANK('ENGAGEMENTS 2026'!B2115),"",'ENGAGEMENTS 2026'!I2115)</f>
        <v/>
      </c>
      <c r="G2115">
        <f>IF(ISBLANK('ENGAGEMENTS 2026'!B2115),"",'ENGAGEMENTS 2026'!L2115)</f>
        <v/>
      </c>
      <c r="H2115">
        <f>IF(ISBLANK('ENGAGEMENTS 2026'!B2115),"",'ENGAGEMENTS 2026'!AE2115)</f>
        <v/>
      </c>
      <c r="I2115">
        <f>IF(ISBLANK('ENGAGEMENTS 2026'!B2115),"",'ENGAGEMENTS 2026'!G2115)</f>
        <v/>
      </c>
      <c r="J2115" s="275">
        <f>IF(ISBLANK('ENGAGEMENTS 2026'!B2115),"",IF(AND(OR($E2115="INFRUCTUEUX",$E2115="ANNULE"),$C2115="AOO-M"),'ENGAGEMENTS 2026'!O2115,IF($H2115="EN COURS DE PREENGAGEMENT",'ENGAGEMENTS 2026'!N2115,IF($H2115="PREENGAGE",IF($E2115="ATTRIBUE",'ENGAGEMENTS 2026'!AD2115,'ENGAGEMENTS 2026'!N2115),'ENGAGEMENTS 2026'!AD2115))))</f>
        <v/>
      </c>
      <c r="K2115" s="604">
        <f>IF(ISBLANK('ENGAGEMENTS 2026'!V2115),"",'ENGAGEMENTS 2026'!V2115)</f>
        <v/>
      </c>
      <c r="L2115" s="276">
        <f>IF($K2115="","",TODAY()-$K2115)</f>
        <v/>
      </c>
      <c r="M2115">
        <f>IF($A2115="","",IF($H2115="ENGAGE","Engagé",IF(AND($H2115="NON ENGAGE",OR($I2115="INFRUCTUEUX",$I2115="ANNULE")),"Clôturé sans suite","En cours")))</f>
        <v/>
      </c>
      <c r="N2115">
        <f>IF(ISBLANK('ENGAGEMENTS 2026'!B2115),"",'ENGAGEMENTS 2026'!K2115)</f>
        <v/>
      </c>
      <c r="O2115">
        <f>IF(ISBLANK('ENGAGEMENTS 2026'!B2115),"",'ENGAGEMENTS 2026'!L2115)</f>
        <v/>
      </c>
      <c r="P2115">
        <f>IF(ISBLANK('ENGAGEMENTS 2026'!B2115),"",'ENGAGEMENTS 2026'!J2115)</f>
        <v/>
      </c>
      <c r="Q2115">
        <f>IF($A2115="","",IF(OR($E2115="INFRUCTUEUX",$E2115="ANNULE"),$A2115&amp;"|"&amp;(COUNTIFS($A$2:$A2115,$A2115,$E$2:$E2115,"INFRUCTUEUX")+COUNTIFS($A$2:$A2115,$A2115,$E$2:$E2115,"ANNULE")),""))</f>
        <v/>
      </c>
    </row>
    <row r="2116">
      <c r="A2116">
        <f>IF(ISBLANK('ENGAGEMENTS 2026'!B2116),"",IF('ENGAGEMENTS 2026'!B2116="DTSI","DCT",'ENGAGEMENTS 2026'!B2116))</f>
        <v/>
      </c>
      <c r="B2116">
        <f>IF(ISBLANK('ENGAGEMENTS 2026'!B2116),"",'ENGAGEMENTS 2026'!C2116)</f>
        <v/>
      </c>
      <c r="C2116">
        <f>IF(ISBLANK('ENGAGEMENTS 2026'!B2116),"",'ENGAGEMENTS 2026'!D2116)</f>
        <v/>
      </c>
      <c r="D2116">
        <f>IF(ISBLANK('ENGAGEMENTS 2026'!B2116),"",'ENGAGEMENTS 2026'!F2116)</f>
        <v/>
      </c>
      <c r="E2116">
        <f>IF(ISBLANK('ENGAGEMENTS 2026'!B2116),"",'ENGAGEMENTS 2026'!H2116)</f>
        <v/>
      </c>
      <c r="F2116">
        <f>IF(ISBLANK('ENGAGEMENTS 2026'!B2116),"",'ENGAGEMENTS 2026'!I2116)</f>
        <v/>
      </c>
      <c r="G2116">
        <f>IF(ISBLANK('ENGAGEMENTS 2026'!B2116),"",'ENGAGEMENTS 2026'!L2116)</f>
        <v/>
      </c>
      <c r="H2116">
        <f>IF(ISBLANK('ENGAGEMENTS 2026'!B2116),"",'ENGAGEMENTS 2026'!AE2116)</f>
        <v/>
      </c>
      <c r="I2116">
        <f>IF(ISBLANK('ENGAGEMENTS 2026'!B2116),"",'ENGAGEMENTS 2026'!G2116)</f>
        <v/>
      </c>
      <c r="J2116" s="275">
        <f>IF(ISBLANK('ENGAGEMENTS 2026'!B2116),"",IF(AND(OR($E2116="INFRUCTUEUX",$E2116="ANNULE"),$C2116="AOO-M"),'ENGAGEMENTS 2026'!O2116,IF($H2116="EN COURS DE PREENGAGEMENT",'ENGAGEMENTS 2026'!N2116,IF($H2116="PREENGAGE",IF($E2116="ATTRIBUE",'ENGAGEMENTS 2026'!AD2116,'ENGAGEMENTS 2026'!N2116),'ENGAGEMENTS 2026'!AD2116))))</f>
        <v/>
      </c>
      <c r="K2116" s="604">
        <f>IF(ISBLANK('ENGAGEMENTS 2026'!V2116),"",'ENGAGEMENTS 2026'!V2116)</f>
        <v/>
      </c>
      <c r="L2116" s="276">
        <f>IF($K2116="","",TODAY()-$K2116)</f>
        <v/>
      </c>
      <c r="M2116">
        <f>IF($A2116="","",IF($H2116="ENGAGE","Engagé",IF(AND($H2116="NON ENGAGE",OR($I2116="INFRUCTUEUX",$I2116="ANNULE")),"Clôturé sans suite","En cours")))</f>
        <v/>
      </c>
      <c r="N2116">
        <f>IF(ISBLANK('ENGAGEMENTS 2026'!B2116),"",'ENGAGEMENTS 2026'!K2116)</f>
        <v/>
      </c>
      <c r="O2116">
        <f>IF(ISBLANK('ENGAGEMENTS 2026'!B2116),"",'ENGAGEMENTS 2026'!L2116)</f>
        <v/>
      </c>
      <c r="P2116">
        <f>IF(ISBLANK('ENGAGEMENTS 2026'!B2116),"",'ENGAGEMENTS 2026'!J2116)</f>
        <v/>
      </c>
      <c r="Q2116">
        <f>IF($A2116="","",IF(OR($E2116="INFRUCTUEUX",$E2116="ANNULE"),$A2116&amp;"|"&amp;(COUNTIFS($A$2:$A2116,$A2116,$E$2:$E2116,"INFRUCTUEUX")+COUNTIFS($A$2:$A2116,$A2116,$E$2:$E2116,"ANNULE")),""))</f>
        <v/>
      </c>
    </row>
    <row r="2117">
      <c r="A2117">
        <f>IF(ISBLANK('ENGAGEMENTS 2026'!B2117),"",IF('ENGAGEMENTS 2026'!B2117="DTSI","DCT",'ENGAGEMENTS 2026'!B2117))</f>
        <v/>
      </c>
      <c r="B2117">
        <f>IF(ISBLANK('ENGAGEMENTS 2026'!B2117),"",'ENGAGEMENTS 2026'!C2117)</f>
        <v/>
      </c>
      <c r="C2117">
        <f>IF(ISBLANK('ENGAGEMENTS 2026'!B2117),"",'ENGAGEMENTS 2026'!D2117)</f>
        <v/>
      </c>
      <c r="D2117">
        <f>IF(ISBLANK('ENGAGEMENTS 2026'!B2117),"",'ENGAGEMENTS 2026'!F2117)</f>
        <v/>
      </c>
      <c r="E2117">
        <f>IF(ISBLANK('ENGAGEMENTS 2026'!B2117),"",'ENGAGEMENTS 2026'!H2117)</f>
        <v/>
      </c>
      <c r="F2117">
        <f>IF(ISBLANK('ENGAGEMENTS 2026'!B2117),"",'ENGAGEMENTS 2026'!I2117)</f>
        <v/>
      </c>
      <c r="G2117">
        <f>IF(ISBLANK('ENGAGEMENTS 2026'!B2117),"",'ENGAGEMENTS 2026'!L2117)</f>
        <v/>
      </c>
      <c r="H2117">
        <f>IF(ISBLANK('ENGAGEMENTS 2026'!B2117),"",'ENGAGEMENTS 2026'!AE2117)</f>
        <v/>
      </c>
      <c r="I2117">
        <f>IF(ISBLANK('ENGAGEMENTS 2026'!B2117),"",'ENGAGEMENTS 2026'!G2117)</f>
        <v/>
      </c>
      <c r="J2117" s="275">
        <f>IF(ISBLANK('ENGAGEMENTS 2026'!B2117),"",IF(AND(OR($E2117="INFRUCTUEUX",$E2117="ANNULE"),$C2117="AOO-M"),'ENGAGEMENTS 2026'!O2117,IF($H2117="EN COURS DE PREENGAGEMENT",'ENGAGEMENTS 2026'!N2117,IF($H2117="PREENGAGE",IF($E2117="ATTRIBUE",'ENGAGEMENTS 2026'!AD2117,'ENGAGEMENTS 2026'!N2117),'ENGAGEMENTS 2026'!AD2117))))</f>
        <v/>
      </c>
      <c r="K2117" s="604">
        <f>IF(ISBLANK('ENGAGEMENTS 2026'!V2117),"",'ENGAGEMENTS 2026'!V2117)</f>
        <v/>
      </c>
      <c r="L2117" s="276">
        <f>IF($K2117="","",TODAY()-$K2117)</f>
        <v/>
      </c>
      <c r="M2117">
        <f>IF($A2117="","",IF($H2117="ENGAGE","Engagé",IF(AND($H2117="NON ENGAGE",OR($I2117="INFRUCTUEUX",$I2117="ANNULE")),"Clôturé sans suite","En cours")))</f>
        <v/>
      </c>
      <c r="N2117">
        <f>IF(ISBLANK('ENGAGEMENTS 2026'!B2117),"",'ENGAGEMENTS 2026'!K2117)</f>
        <v/>
      </c>
      <c r="O2117">
        <f>IF(ISBLANK('ENGAGEMENTS 2026'!B2117),"",'ENGAGEMENTS 2026'!L2117)</f>
        <v/>
      </c>
      <c r="P2117">
        <f>IF(ISBLANK('ENGAGEMENTS 2026'!B2117),"",'ENGAGEMENTS 2026'!J2117)</f>
        <v/>
      </c>
      <c r="Q2117">
        <f>IF($A2117="","",IF(OR($E2117="INFRUCTUEUX",$E2117="ANNULE"),$A2117&amp;"|"&amp;(COUNTIFS($A$2:$A2117,$A2117,$E$2:$E2117,"INFRUCTUEUX")+COUNTIFS($A$2:$A2117,$A2117,$E$2:$E2117,"ANNULE")),""))</f>
        <v/>
      </c>
    </row>
    <row r="2118">
      <c r="A2118">
        <f>IF(ISBLANK('ENGAGEMENTS 2026'!B2118),"",IF('ENGAGEMENTS 2026'!B2118="DTSI","DCT",'ENGAGEMENTS 2026'!B2118))</f>
        <v/>
      </c>
      <c r="B2118">
        <f>IF(ISBLANK('ENGAGEMENTS 2026'!B2118),"",'ENGAGEMENTS 2026'!C2118)</f>
        <v/>
      </c>
      <c r="C2118">
        <f>IF(ISBLANK('ENGAGEMENTS 2026'!B2118),"",'ENGAGEMENTS 2026'!D2118)</f>
        <v/>
      </c>
      <c r="D2118">
        <f>IF(ISBLANK('ENGAGEMENTS 2026'!B2118),"",'ENGAGEMENTS 2026'!F2118)</f>
        <v/>
      </c>
      <c r="E2118">
        <f>IF(ISBLANK('ENGAGEMENTS 2026'!B2118),"",'ENGAGEMENTS 2026'!H2118)</f>
        <v/>
      </c>
      <c r="F2118">
        <f>IF(ISBLANK('ENGAGEMENTS 2026'!B2118),"",'ENGAGEMENTS 2026'!I2118)</f>
        <v/>
      </c>
      <c r="G2118">
        <f>IF(ISBLANK('ENGAGEMENTS 2026'!B2118),"",'ENGAGEMENTS 2026'!L2118)</f>
        <v/>
      </c>
      <c r="H2118">
        <f>IF(ISBLANK('ENGAGEMENTS 2026'!B2118),"",'ENGAGEMENTS 2026'!AE2118)</f>
        <v/>
      </c>
      <c r="I2118">
        <f>IF(ISBLANK('ENGAGEMENTS 2026'!B2118),"",'ENGAGEMENTS 2026'!G2118)</f>
        <v/>
      </c>
      <c r="J2118" s="275">
        <f>IF(ISBLANK('ENGAGEMENTS 2026'!B2118),"",IF(AND(OR($E2118="INFRUCTUEUX",$E2118="ANNULE"),$C2118="AOO-M"),'ENGAGEMENTS 2026'!O2118,IF($H2118="EN COURS DE PREENGAGEMENT",'ENGAGEMENTS 2026'!N2118,IF($H2118="PREENGAGE",IF($E2118="ATTRIBUE",'ENGAGEMENTS 2026'!AD2118,'ENGAGEMENTS 2026'!N2118),'ENGAGEMENTS 2026'!AD2118))))</f>
        <v/>
      </c>
      <c r="K2118" s="604">
        <f>IF(ISBLANK('ENGAGEMENTS 2026'!V2118),"",'ENGAGEMENTS 2026'!V2118)</f>
        <v/>
      </c>
      <c r="L2118" s="276">
        <f>IF($K2118="","",TODAY()-$K2118)</f>
        <v/>
      </c>
      <c r="M2118">
        <f>IF($A2118="","",IF($H2118="ENGAGE","Engagé",IF(AND($H2118="NON ENGAGE",OR($I2118="INFRUCTUEUX",$I2118="ANNULE")),"Clôturé sans suite","En cours")))</f>
        <v/>
      </c>
      <c r="N2118">
        <f>IF(ISBLANK('ENGAGEMENTS 2026'!B2118),"",'ENGAGEMENTS 2026'!K2118)</f>
        <v/>
      </c>
      <c r="O2118">
        <f>IF(ISBLANK('ENGAGEMENTS 2026'!B2118),"",'ENGAGEMENTS 2026'!L2118)</f>
        <v/>
      </c>
      <c r="P2118">
        <f>IF(ISBLANK('ENGAGEMENTS 2026'!B2118),"",'ENGAGEMENTS 2026'!J2118)</f>
        <v/>
      </c>
      <c r="Q2118">
        <f>IF($A2118="","",IF(OR($E2118="INFRUCTUEUX",$E2118="ANNULE"),$A2118&amp;"|"&amp;(COUNTIFS($A$2:$A2118,$A2118,$E$2:$E2118,"INFRUCTUEUX")+COUNTIFS($A$2:$A2118,$A2118,$E$2:$E2118,"ANNULE")),""))</f>
        <v/>
      </c>
    </row>
    <row r="2119">
      <c r="A2119">
        <f>IF(ISBLANK('ENGAGEMENTS 2026'!B2119),"",IF('ENGAGEMENTS 2026'!B2119="DTSI","DCT",'ENGAGEMENTS 2026'!B2119))</f>
        <v/>
      </c>
      <c r="B2119">
        <f>IF(ISBLANK('ENGAGEMENTS 2026'!B2119),"",'ENGAGEMENTS 2026'!C2119)</f>
        <v/>
      </c>
      <c r="C2119">
        <f>IF(ISBLANK('ENGAGEMENTS 2026'!B2119),"",'ENGAGEMENTS 2026'!D2119)</f>
        <v/>
      </c>
      <c r="D2119">
        <f>IF(ISBLANK('ENGAGEMENTS 2026'!B2119),"",'ENGAGEMENTS 2026'!F2119)</f>
        <v/>
      </c>
      <c r="E2119">
        <f>IF(ISBLANK('ENGAGEMENTS 2026'!B2119),"",'ENGAGEMENTS 2026'!H2119)</f>
        <v/>
      </c>
      <c r="F2119">
        <f>IF(ISBLANK('ENGAGEMENTS 2026'!B2119),"",'ENGAGEMENTS 2026'!I2119)</f>
        <v/>
      </c>
      <c r="G2119">
        <f>IF(ISBLANK('ENGAGEMENTS 2026'!B2119),"",'ENGAGEMENTS 2026'!L2119)</f>
        <v/>
      </c>
      <c r="H2119">
        <f>IF(ISBLANK('ENGAGEMENTS 2026'!B2119),"",'ENGAGEMENTS 2026'!AE2119)</f>
        <v/>
      </c>
      <c r="I2119">
        <f>IF(ISBLANK('ENGAGEMENTS 2026'!B2119),"",'ENGAGEMENTS 2026'!G2119)</f>
        <v/>
      </c>
      <c r="J2119" s="275">
        <f>IF(ISBLANK('ENGAGEMENTS 2026'!B2119),"",IF(AND(OR($E2119="INFRUCTUEUX",$E2119="ANNULE"),$C2119="AOO-M"),'ENGAGEMENTS 2026'!O2119,IF($H2119="EN COURS DE PREENGAGEMENT",'ENGAGEMENTS 2026'!N2119,IF($H2119="PREENGAGE",IF($E2119="ATTRIBUE",'ENGAGEMENTS 2026'!AD2119,'ENGAGEMENTS 2026'!N2119),'ENGAGEMENTS 2026'!AD2119))))</f>
        <v/>
      </c>
      <c r="K2119" s="604">
        <f>IF(ISBLANK('ENGAGEMENTS 2026'!V2119),"",'ENGAGEMENTS 2026'!V2119)</f>
        <v/>
      </c>
      <c r="L2119" s="276">
        <f>IF($K2119="","",TODAY()-$K2119)</f>
        <v/>
      </c>
      <c r="M2119">
        <f>IF($A2119="","",IF($H2119="ENGAGE","Engagé",IF(AND($H2119="NON ENGAGE",OR($I2119="INFRUCTUEUX",$I2119="ANNULE")),"Clôturé sans suite","En cours")))</f>
        <v/>
      </c>
      <c r="N2119">
        <f>IF(ISBLANK('ENGAGEMENTS 2026'!B2119),"",'ENGAGEMENTS 2026'!K2119)</f>
        <v/>
      </c>
      <c r="O2119">
        <f>IF(ISBLANK('ENGAGEMENTS 2026'!B2119),"",'ENGAGEMENTS 2026'!L2119)</f>
        <v/>
      </c>
      <c r="P2119">
        <f>IF(ISBLANK('ENGAGEMENTS 2026'!B2119),"",'ENGAGEMENTS 2026'!J2119)</f>
        <v/>
      </c>
      <c r="Q2119">
        <f>IF($A2119="","",IF(OR($E2119="INFRUCTUEUX",$E2119="ANNULE"),$A2119&amp;"|"&amp;(COUNTIFS($A$2:$A2119,$A2119,$E$2:$E2119,"INFRUCTUEUX")+COUNTIFS($A$2:$A2119,$A2119,$E$2:$E2119,"ANNULE")),""))</f>
        <v/>
      </c>
    </row>
    <row r="2120">
      <c r="A2120">
        <f>IF(ISBLANK('ENGAGEMENTS 2026'!B2120),"",IF('ENGAGEMENTS 2026'!B2120="DTSI","DCT",'ENGAGEMENTS 2026'!B2120))</f>
        <v/>
      </c>
      <c r="B2120">
        <f>IF(ISBLANK('ENGAGEMENTS 2026'!B2120),"",'ENGAGEMENTS 2026'!C2120)</f>
        <v/>
      </c>
      <c r="C2120">
        <f>IF(ISBLANK('ENGAGEMENTS 2026'!B2120),"",'ENGAGEMENTS 2026'!D2120)</f>
        <v/>
      </c>
      <c r="D2120">
        <f>IF(ISBLANK('ENGAGEMENTS 2026'!B2120),"",'ENGAGEMENTS 2026'!F2120)</f>
        <v/>
      </c>
      <c r="E2120">
        <f>IF(ISBLANK('ENGAGEMENTS 2026'!B2120),"",'ENGAGEMENTS 2026'!H2120)</f>
        <v/>
      </c>
      <c r="F2120">
        <f>IF(ISBLANK('ENGAGEMENTS 2026'!B2120),"",'ENGAGEMENTS 2026'!I2120)</f>
        <v/>
      </c>
      <c r="G2120">
        <f>IF(ISBLANK('ENGAGEMENTS 2026'!B2120),"",'ENGAGEMENTS 2026'!L2120)</f>
        <v/>
      </c>
      <c r="H2120">
        <f>IF(ISBLANK('ENGAGEMENTS 2026'!B2120),"",'ENGAGEMENTS 2026'!AE2120)</f>
        <v/>
      </c>
      <c r="I2120">
        <f>IF(ISBLANK('ENGAGEMENTS 2026'!B2120),"",'ENGAGEMENTS 2026'!G2120)</f>
        <v/>
      </c>
      <c r="J2120" s="275">
        <f>IF(ISBLANK('ENGAGEMENTS 2026'!B2120),"",IF(AND(OR($E2120="INFRUCTUEUX",$E2120="ANNULE"),$C2120="AOO-M"),'ENGAGEMENTS 2026'!O2120,IF($H2120="EN COURS DE PREENGAGEMENT",'ENGAGEMENTS 2026'!N2120,IF($H2120="PREENGAGE",IF($E2120="ATTRIBUE",'ENGAGEMENTS 2026'!AD2120,'ENGAGEMENTS 2026'!N2120),'ENGAGEMENTS 2026'!AD2120))))</f>
        <v/>
      </c>
      <c r="K2120" s="604">
        <f>IF(ISBLANK('ENGAGEMENTS 2026'!V2120),"",'ENGAGEMENTS 2026'!V2120)</f>
        <v/>
      </c>
      <c r="L2120" s="276">
        <f>IF($K2120="","",TODAY()-$K2120)</f>
        <v/>
      </c>
      <c r="M2120">
        <f>IF($A2120="","",IF($H2120="ENGAGE","Engagé",IF(AND($H2120="NON ENGAGE",OR($I2120="INFRUCTUEUX",$I2120="ANNULE")),"Clôturé sans suite","En cours")))</f>
        <v/>
      </c>
      <c r="N2120">
        <f>IF(ISBLANK('ENGAGEMENTS 2026'!B2120),"",'ENGAGEMENTS 2026'!K2120)</f>
        <v/>
      </c>
      <c r="O2120">
        <f>IF(ISBLANK('ENGAGEMENTS 2026'!B2120),"",'ENGAGEMENTS 2026'!L2120)</f>
        <v/>
      </c>
      <c r="P2120">
        <f>IF(ISBLANK('ENGAGEMENTS 2026'!B2120),"",'ENGAGEMENTS 2026'!J2120)</f>
        <v/>
      </c>
      <c r="Q2120">
        <f>IF($A2120="","",IF(OR($E2120="INFRUCTUEUX",$E2120="ANNULE"),$A2120&amp;"|"&amp;(COUNTIFS($A$2:$A2120,$A2120,$E$2:$E2120,"INFRUCTUEUX")+COUNTIFS($A$2:$A2120,$A2120,$E$2:$E2120,"ANNULE")),""))</f>
        <v/>
      </c>
    </row>
    <row r="2121">
      <c r="A2121">
        <f>IF(ISBLANK('ENGAGEMENTS 2026'!B2121),"",IF('ENGAGEMENTS 2026'!B2121="DTSI","DCT",'ENGAGEMENTS 2026'!B2121))</f>
        <v/>
      </c>
      <c r="B2121">
        <f>IF(ISBLANK('ENGAGEMENTS 2026'!B2121),"",'ENGAGEMENTS 2026'!C2121)</f>
        <v/>
      </c>
      <c r="C2121">
        <f>IF(ISBLANK('ENGAGEMENTS 2026'!B2121),"",'ENGAGEMENTS 2026'!D2121)</f>
        <v/>
      </c>
      <c r="D2121">
        <f>IF(ISBLANK('ENGAGEMENTS 2026'!B2121),"",'ENGAGEMENTS 2026'!F2121)</f>
        <v/>
      </c>
      <c r="E2121">
        <f>IF(ISBLANK('ENGAGEMENTS 2026'!B2121),"",'ENGAGEMENTS 2026'!H2121)</f>
        <v/>
      </c>
      <c r="F2121">
        <f>IF(ISBLANK('ENGAGEMENTS 2026'!B2121),"",'ENGAGEMENTS 2026'!I2121)</f>
        <v/>
      </c>
      <c r="G2121">
        <f>IF(ISBLANK('ENGAGEMENTS 2026'!B2121),"",'ENGAGEMENTS 2026'!L2121)</f>
        <v/>
      </c>
      <c r="H2121">
        <f>IF(ISBLANK('ENGAGEMENTS 2026'!B2121),"",'ENGAGEMENTS 2026'!AE2121)</f>
        <v/>
      </c>
      <c r="I2121">
        <f>IF(ISBLANK('ENGAGEMENTS 2026'!B2121),"",'ENGAGEMENTS 2026'!G2121)</f>
        <v/>
      </c>
      <c r="J2121" s="275">
        <f>IF(ISBLANK('ENGAGEMENTS 2026'!B2121),"",IF(AND(OR($E2121="INFRUCTUEUX",$E2121="ANNULE"),$C2121="AOO-M"),'ENGAGEMENTS 2026'!O2121,IF($H2121="EN COURS DE PREENGAGEMENT",'ENGAGEMENTS 2026'!N2121,IF($H2121="PREENGAGE",IF($E2121="ATTRIBUE",'ENGAGEMENTS 2026'!AD2121,'ENGAGEMENTS 2026'!N2121),'ENGAGEMENTS 2026'!AD2121))))</f>
        <v/>
      </c>
      <c r="K2121" s="604">
        <f>IF(ISBLANK('ENGAGEMENTS 2026'!V2121),"",'ENGAGEMENTS 2026'!V2121)</f>
        <v/>
      </c>
      <c r="L2121" s="276">
        <f>IF($K2121="","",TODAY()-$K2121)</f>
        <v/>
      </c>
      <c r="M2121">
        <f>IF($A2121="","",IF($H2121="ENGAGE","Engagé",IF(AND($H2121="NON ENGAGE",OR($I2121="INFRUCTUEUX",$I2121="ANNULE")),"Clôturé sans suite","En cours")))</f>
        <v/>
      </c>
      <c r="N2121">
        <f>IF(ISBLANK('ENGAGEMENTS 2026'!B2121),"",'ENGAGEMENTS 2026'!K2121)</f>
        <v/>
      </c>
      <c r="O2121">
        <f>IF(ISBLANK('ENGAGEMENTS 2026'!B2121),"",'ENGAGEMENTS 2026'!L2121)</f>
        <v/>
      </c>
      <c r="P2121">
        <f>IF(ISBLANK('ENGAGEMENTS 2026'!B2121),"",'ENGAGEMENTS 2026'!J2121)</f>
        <v/>
      </c>
      <c r="Q2121">
        <f>IF($A2121="","",IF(OR($E2121="INFRUCTUEUX",$E2121="ANNULE"),$A2121&amp;"|"&amp;(COUNTIFS($A$2:$A2121,$A2121,$E$2:$E2121,"INFRUCTUEUX")+COUNTIFS($A$2:$A2121,$A2121,$E$2:$E2121,"ANNULE")),""))</f>
        <v/>
      </c>
    </row>
    <row r="2122">
      <c r="A2122">
        <f>IF(ISBLANK('ENGAGEMENTS 2026'!B2122),"",IF('ENGAGEMENTS 2026'!B2122="DTSI","DCT",'ENGAGEMENTS 2026'!B2122))</f>
        <v/>
      </c>
      <c r="B2122">
        <f>IF(ISBLANK('ENGAGEMENTS 2026'!B2122),"",'ENGAGEMENTS 2026'!C2122)</f>
        <v/>
      </c>
      <c r="C2122">
        <f>IF(ISBLANK('ENGAGEMENTS 2026'!B2122),"",'ENGAGEMENTS 2026'!D2122)</f>
        <v/>
      </c>
      <c r="D2122">
        <f>IF(ISBLANK('ENGAGEMENTS 2026'!B2122),"",'ENGAGEMENTS 2026'!F2122)</f>
        <v/>
      </c>
      <c r="E2122">
        <f>IF(ISBLANK('ENGAGEMENTS 2026'!B2122),"",'ENGAGEMENTS 2026'!H2122)</f>
        <v/>
      </c>
      <c r="F2122">
        <f>IF(ISBLANK('ENGAGEMENTS 2026'!B2122),"",'ENGAGEMENTS 2026'!I2122)</f>
        <v/>
      </c>
      <c r="G2122">
        <f>IF(ISBLANK('ENGAGEMENTS 2026'!B2122),"",'ENGAGEMENTS 2026'!L2122)</f>
        <v/>
      </c>
      <c r="H2122">
        <f>IF(ISBLANK('ENGAGEMENTS 2026'!B2122),"",'ENGAGEMENTS 2026'!AE2122)</f>
        <v/>
      </c>
      <c r="I2122">
        <f>IF(ISBLANK('ENGAGEMENTS 2026'!B2122),"",'ENGAGEMENTS 2026'!G2122)</f>
        <v/>
      </c>
      <c r="J2122" s="275">
        <f>IF(ISBLANK('ENGAGEMENTS 2026'!B2122),"",IF(AND(OR($E2122="INFRUCTUEUX",$E2122="ANNULE"),$C2122="AOO-M"),'ENGAGEMENTS 2026'!O2122,IF($H2122="EN COURS DE PREENGAGEMENT",'ENGAGEMENTS 2026'!N2122,IF($H2122="PREENGAGE",IF($E2122="ATTRIBUE",'ENGAGEMENTS 2026'!AD2122,'ENGAGEMENTS 2026'!N2122),'ENGAGEMENTS 2026'!AD2122))))</f>
        <v/>
      </c>
      <c r="K2122" s="604">
        <f>IF(ISBLANK('ENGAGEMENTS 2026'!V2122),"",'ENGAGEMENTS 2026'!V2122)</f>
        <v/>
      </c>
      <c r="L2122" s="276">
        <f>IF($K2122="","",TODAY()-$K2122)</f>
        <v/>
      </c>
      <c r="M2122">
        <f>IF($A2122="","",IF($H2122="ENGAGE","Engagé",IF(AND($H2122="NON ENGAGE",OR($I2122="INFRUCTUEUX",$I2122="ANNULE")),"Clôturé sans suite","En cours")))</f>
        <v/>
      </c>
      <c r="N2122">
        <f>IF(ISBLANK('ENGAGEMENTS 2026'!B2122),"",'ENGAGEMENTS 2026'!K2122)</f>
        <v/>
      </c>
      <c r="O2122">
        <f>IF(ISBLANK('ENGAGEMENTS 2026'!B2122),"",'ENGAGEMENTS 2026'!L2122)</f>
        <v/>
      </c>
      <c r="P2122">
        <f>IF(ISBLANK('ENGAGEMENTS 2026'!B2122),"",'ENGAGEMENTS 2026'!J2122)</f>
        <v/>
      </c>
      <c r="Q2122">
        <f>IF($A2122="","",IF(OR($E2122="INFRUCTUEUX",$E2122="ANNULE"),$A2122&amp;"|"&amp;(COUNTIFS($A$2:$A2122,$A2122,$E$2:$E2122,"INFRUCTUEUX")+COUNTIFS($A$2:$A2122,$A2122,$E$2:$E2122,"ANNULE")),""))</f>
        <v/>
      </c>
    </row>
    <row r="2123">
      <c r="A2123">
        <f>IF(ISBLANK('ENGAGEMENTS 2026'!B2123),"",IF('ENGAGEMENTS 2026'!B2123="DTSI","DCT",'ENGAGEMENTS 2026'!B2123))</f>
        <v/>
      </c>
      <c r="B2123">
        <f>IF(ISBLANK('ENGAGEMENTS 2026'!B2123),"",'ENGAGEMENTS 2026'!C2123)</f>
        <v/>
      </c>
      <c r="C2123">
        <f>IF(ISBLANK('ENGAGEMENTS 2026'!B2123),"",'ENGAGEMENTS 2026'!D2123)</f>
        <v/>
      </c>
      <c r="D2123">
        <f>IF(ISBLANK('ENGAGEMENTS 2026'!B2123),"",'ENGAGEMENTS 2026'!F2123)</f>
        <v/>
      </c>
      <c r="E2123">
        <f>IF(ISBLANK('ENGAGEMENTS 2026'!B2123),"",'ENGAGEMENTS 2026'!H2123)</f>
        <v/>
      </c>
      <c r="F2123">
        <f>IF(ISBLANK('ENGAGEMENTS 2026'!B2123),"",'ENGAGEMENTS 2026'!I2123)</f>
        <v/>
      </c>
      <c r="G2123">
        <f>IF(ISBLANK('ENGAGEMENTS 2026'!B2123),"",'ENGAGEMENTS 2026'!L2123)</f>
        <v/>
      </c>
      <c r="H2123">
        <f>IF(ISBLANK('ENGAGEMENTS 2026'!B2123),"",'ENGAGEMENTS 2026'!AE2123)</f>
        <v/>
      </c>
      <c r="I2123">
        <f>IF(ISBLANK('ENGAGEMENTS 2026'!B2123),"",'ENGAGEMENTS 2026'!G2123)</f>
        <v/>
      </c>
      <c r="J2123" s="275">
        <f>IF(ISBLANK('ENGAGEMENTS 2026'!B2123),"",IF(AND(OR($E2123="INFRUCTUEUX",$E2123="ANNULE"),$C2123="AOO-M"),'ENGAGEMENTS 2026'!O2123,IF($H2123="EN COURS DE PREENGAGEMENT",'ENGAGEMENTS 2026'!N2123,IF($H2123="PREENGAGE",IF($E2123="ATTRIBUE",'ENGAGEMENTS 2026'!AD2123,'ENGAGEMENTS 2026'!N2123),'ENGAGEMENTS 2026'!AD2123))))</f>
        <v/>
      </c>
      <c r="K2123" s="604">
        <f>IF(ISBLANK('ENGAGEMENTS 2026'!V2123),"",'ENGAGEMENTS 2026'!V2123)</f>
        <v/>
      </c>
      <c r="L2123" s="276">
        <f>IF($K2123="","",TODAY()-$K2123)</f>
        <v/>
      </c>
      <c r="M2123">
        <f>IF($A2123="","",IF($H2123="ENGAGE","Engagé",IF(AND($H2123="NON ENGAGE",OR($I2123="INFRUCTUEUX",$I2123="ANNULE")),"Clôturé sans suite","En cours")))</f>
        <v/>
      </c>
      <c r="N2123">
        <f>IF(ISBLANK('ENGAGEMENTS 2026'!B2123),"",'ENGAGEMENTS 2026'!K2123)</f>
        <v/>
      </c>
      <c r="O2123">
        <f>IF(ISBLANK('ENGAGEMENTS 2026'!B2123),"",'ENGAGEMENTS 2026'!L2123)</f>
        <v/>
      </c>
      <c r="P2123">
        <f>IF(ISBLANK('ENGAGEMENTS 2026'!B2123),"",'ENGAGEMENTS 2026'!J2123)</f>
        <v/>
      </c>
      <c r="Q2123">
        <f>IF($A2123="","",IF(OR($E2123="INFRUCTUEUX",$E2123="ANNULE"),$A2123&amp;"|"&amp;(COUNTIFS($A$2:$A2123,$A2123,$E$2:$E2123,"INFRUCTUEUX")+COUNTIFS($A$2:$A2123,$A2123,$E$2:$E2123,"ANNULE")),""))</f>
        <v/>
      </c>
    </row>
    <row r="2124">
      <c r="A2124">
        <f>IF(ISBLANK('ENGAGEMENTS 2026'!B2124),"",IF('ENGAGEMENTS 2026'!B2124="DTSI","DCT",'ENGAGEMENTS 2026'!B2124))</f>
        <v/>
      </c>
      <c r="B2124">
        <f>IF(ISBLANK('ENGAGEMENTS 2026'!B2124),"",'ENGAGEMENTS 2026'!C2124)</f>
        <v/>
      </c>
      <c r="C2124">
        <f>IF(ISBLANK('ENGAGEMENTS 2026'!B2124),"",'ENGAGEMENTS 2026'!D2124)</f>
        <v/>
      </c>
      <c r="D2124">
        <f>IF(ISBLANK('ENGAGEMENTS 2026'!B2124),"",'ENGAGEMENTS 2026'!F2124)</f>
        <v/>
      </c>
      <c r="E2124">
        <f>IF(ISBLANK('ENGAGEMENTS 2026'!B2124),"",'ENGAGEMENTS 2026'!H2124)</f>
        <v/>
      </c>
      <c r="F2124">
        <f>IF(ISBLANK('ENGAGEMENTS 2026'!B2124),"",'ENGAGEMENTS 2026'!I2124)</f>
        <v/>
      </c>
      <c r="G2124">
        <f>IF(ISBLANK('ENGAGEMENTS 2026'!B2124),"",'ENGAGEMENTS 2026'!L2124)</f>
        <v/>
      </c>
      <c r="H2124">
        <f>IF(ISBLANK('ENGAGEMENTS 2026'!B2124),"",'ENGAGEMENTS 2026'!AE2124)</f>
        <v/>
      </c>
      <c r="I2124">
        <f>IF(ISBLANK('ENGAGEMENTS 2026'!B2124),"",'ENGAGEMENTS 2026'!G2124)</f>
        <v/>
      </c>
      <c r="J2124" s="275">
        <f>IF(ISBLANK('ENGAGEMENTS 2026'!B2124),"",IF(AND(OR($E2124="INFRUCTUEUX",$E2124="ANNULE"),$C2124="AOO-M"),'ENGAGEMENTS 2026'!O2124,IF($H2124="EN COURS DE PREENGAGEMENT",'ENGAGEMENTS 2026'!N2124,IF($H2124="PREENGAGE",IF($E2124="ATTRIBUE",'ENGAGEMENTS 2026'!AD2124,'ENGAGEMENTS 2026'!N2124),'ENGAGEMENTS 2026'!AD2124))))</f>
        <v/>
      </c>
      <c r="K2124" s="604">
        <f>IF(ISBLANK('ENGAGEMENTS 2026'!V2124),"",'ENGAGEMENTS 2026'!V2124)</f>
        <v/>
      </c>
      <c r="L2124" s="276">
        <f>IF($K2124="","",TODAY()-$K2124)</f>
        <v/>
      </c>
      <c r="M2124">
        <f>IF($A2124="","",IF($H2124="ENGAGE","Engagé",IF(AND($H2124="NON ENGAGE",OR($I2124="INFRUCTUEUX",$I2124="ANNULE")),"Clôturé sans suite","En cours")))</f>
        <v/>
      </c>
      <c r="N2124">
        <f>IF(ISBLANK('ENGAGEMENTS 2026'!B2124),"",'ENGAGEMENTS 2026'!K2124)</f>
        <v/>
      </c>
      <c r="O2124">
        <f>IF(ISBLANK('ENGAGEMENTS 2026'!B2124),"",'ENGAGEMENTS 2026'!L2124)</f>
        <v/>
      </c>
      <c r="P2124">
        <f>IF(ISBLANK('ENGAGEMENTS 2026'!B2124),"",'ENGAGEMENTS 2026'!J2124)</f>
        <v/>
      </c>
      <c r="Q2124">
        <f>IF($A2124="","",IF(OR($E2124="INFRUCTUEUX",$E2124="ANNULE"),$A2124&amp;"|"&amp;(COUNTIFS($A$2:$A2124,$A2124,$E$2:$E2124,"INFRUCTUEUX")+COUNTIFS($A$2:$A2124,$A2124,$E$2:$E2124,"ANNULE")),""))</f>
        <v/>
      </c>
    </row>
    <row r="2125">
      <c r="A2125">
        <f>IF(ISBLANK('ENGAGEMENTS 2026'!B2125),"",IF('ENGAGEMENTS 2026'!B2125="DTSI","DCT",'ENGAGEMENTS 2026'!B2125))</f>
        <v/>
      </c>
      <c r="B2125">
        <f>IF(ISBLANK('ENGAGEMENTS 2026'!B2125),"",'ENGAGEMENTS 2026'!C2125)</f>
        <v/>
      </c>
      <c r="C2125">
        <f>IF(ISBLANK('ENGAGEMENTS 2026'!B2125),"",'ENGAGEMENTS 2026'!D2125)</f>
        <v/>
      </c>
      <c r="D2125">
        <f>IF(ISBLANK('ENGAGEMENTS 2026'!B2125),"",'ENGAGEMENTS 2026'!F2125)</f>
        <v/>
      </c>
      <c r="E2125">
        <f>IF(ISBLANK('ENGAGEMENTS 2026'!B2125),"",'ENGAGEMENTS 2026'!H2125)</f>
        <v/>
      </c>
      <c r="F2125">
        <f>IF(ISBLANK('ENGAGEMENTS 2026'!B2125),"",'ENGAGEMENTS 2026'!I2125)</f>
        <v/>
      </c>
      <c r="G2125">
        <f>IF(ISBLANK('ENGAGEMENTS 2026'!B2125),"",'ENGAGEMENTS 2026'!L2125)</f>
        <v/>
      </c>
      <c r="H2125">
        <f>IF(ISBLANK('ENGAGEMENTS 2026'!B2125),"",'ENGAGEMENTS 2026'!AE2125)</f>
        <v/>
      </c>
      <c r="I2125">
        <f>IF(ISBLANK('ENGAGEMENTS 2026'!B2125),"",'ENGAGEMENTS 2026'!G2125)</f>
        <v/>
      </c>
      <c r="J2125" s="275">
        <f>IF(ISBLANK('ENGAGEMENTS 2026'!B2125),"",IF(AND(OR($E2125="INFRUCTUEUX",$E2125="ANNULE"),$C2125="AOO-M"),'ENGAGEMENTS 2026'!O2125,IF($H2125="EN COURS DE PREENGAGEMENT",'ENGAGEMENTS 2026'!N2125,IF($H2125="PREENGAGE",IF($E2125="ATTRIBUE",'ENGAGEMENTS 2026'!AD2125,'ENGAGEMENTS 2026'!N2125),'ENGAGEMENTS 2026'!AD2125))))</f>
        <v/>
      </c>
      <c r="K2125" s="604">
        <f>IF(ISBLANK('ENGAGEMENTS 2026'!V2125),"",'ENGAGEMENTS 2026'!V2125)</f>
        <v/>
      </c>
      <c r="L2125" s="276">
        <f>IF($K2125="","",TODAY()-$K2125)</f>
        <v/>
      </c>
      <c r="M2125">
        <f>IF($A2125="","",IF($H2125="ENGAGE","Engagé",IF(AND($H2125="NON ENGAGE",OR($I2125="INFRUCTUEUX",$I2125="ANNULE")),"Clôturé sans suite","En cours")))</f>
        <v/>
      </c>
      <c r="N2125">
        <f>IF(ISBLANK('ENGAGEMENTS 2026'!B2125),"",'ENGAGEMENTS 2026'!K2125)</f>
        <v/>
      </c>
      <c r="O2125">
        <f>IF(ISBLANK('ENGAGEMENTS 2026'!B2125),"",'ENGAGEMENTS 2026'!L2125)</f>
        <v/>
      </c>
      <c r="P2125">
        <f>IF(ISBLANK('ENGAGEMENTS 2026'!B2125),"",'ENGAGEMENTS 2026'!J2125)</f>
        <v/>
      </c>
      <c r="Q2125">
        <f>IF($A2125="","",IF(OR($E2125="INFRUCTUEUX",$E2125="ANNULE"),$A2125&amp;"|"&amp;(COUNTIFS($A$2:$A2125,$A2125,$E$2:$E2125,"INFRUCTUEUX")+COUNTIFS($A$2:$A2125,$A2125,$E$2:$E2125,"ANNULE")),""))</f>
        <v/>
      </c>
    </row>
    <row r="2126">
      <c r="A2126">
        <f>IF(ISBLANK('ENGAGEMENTS 2026'!B2126),"",IF('ENGAGEMENTS 2026'!B2126="DTSI","DCT",'ENGAGEMENTS 2026'!B2126))</f>
        <v/>
      </c>
      <c r="B2126">
        <f>IF(ISBLANK('ENGAGEMENTS 2026'!B2126),"",'ENGAGEMENTS 2026'!C2126)</f>
        <v/>
      </c>
      <c r="C2126">
        <f>IF(ISBLANK('ENGAGEMENTS 2026'!B2126),"",'ENGAGEMENTS 2026'!D2126)</f>
        <v/>
      </c>
      <c r="D2126">
        <f>IF(ISBLANK('ENGAGEMENTS 2026'!B2126),"",'ENGAGEMENTS 2026'!F2126)</f>
        <v/>
      </c>
      <c r="E2126">
        <f>IF(ISBLANK('ENGAGEMENTS 2026'!B2126),"",'ENGAGEMENTS 2026'!H2126)</f>
        <v/>
      </c>
      <c r="F2126">
        <f>IF(ISBLANK('ENGAGEMENTS 2026'!B2126),"",'ENGAGEMENTS 2026'!I2126)</f>
        <v/>
      </c>
      <c r="G2126">
        <f>IF(ISBLANK('ENGAGEMENTS 2026'!B2126),"",'ENGAGEMENTS 2026'!L2126)</f>
        <v/>
      </c>
      <c r="H2126">
        <f>IF(ISBLANK('ENGAGEMENTS 2026'!B2126),"",'ENGAGEMENTS 2026'!AE2126)</f>
        <v/>
      </c>
      <c r="I2126">
        <f>IF(ISBLANK('ENGAGEMENTS 2026'!B2126),"",'ENGAGEMENTS 2026'!G2126)</f>
        <v/>
      </c>
      <c r="J2126" s="275">
        <f>IF(ISBLANK('ENGAGEMENTS 2026'!B2126),"",IF(AND(OR($E2126="INFRUCTUEUX",$E2126="ANNULE"),$C2126="AOO-M"),'ENGAGEMENTS 2026'!O2126,IF($H2126="EN COURS DE PREENGAGEMENT",'ENGAGEMENTS 2026'!N2126,IF($H2126="PREENGAGE",IF($E2126="ATTRIBUE",'ENGAGEMENTS 2026'!AD2126,'ENGAGEMENTS 2026'!N2126),'ENGAGEMENTS 2026'!AD2126))))</f>
        <v/>
      </c>
      <c r="K2126" s="604">
        <f>IF(ISBLANK('ENGAGEMENTS 2026'!V2126),"",'ENGAGEMENTS 2026'!V2126)</f>
        <v/>
      </c>
      <c r="L2126" s="276">
        <f>IF($K2126="","",TODAY()-$K2126)</f>
        <v/>
      </c>
      <c r="M2126">
        <f>IF($A2126="","",IF($H2126="ENGAGE","Engagé",IF(AND($H2126="NON ENGAGE",OR($I2126="INFRUCTUEUX",$I2126="ANNULE")),"Clôturé sans suite","En cours")))</f>
        <v/>
      </c>
      <c r="N2126">
        <f>IF(ISBLANK('ENGAGEMENTS 2026'!B2126),"",'ENGAGEMENTS 2026'!K2126)</f>
        <v/>
      </c>
      <c r="O2126">
        <f>IF(ISBLANK('ENGAGEMENTS 2026'!B2126),"",'ENGAGEMENTS 2026'!L2126)</f>
        <v/>
      </c>
      <c r="P2126">
        <f>IF(ISBLANK('ENGAGEMENTS 2026'!B2126),"",'ENGAGEMENTS 2026'!J2126)</f>
        <v/>
      </c>
      <c r="Q2126">
        <f>IF($A2126="","",IF(OR($E2126="INFRUCTUEUX",$E2126="ANNULE"),$A2126&amp;"|"&amp;(COUNTIFS($A$2:$A2126,$A2126,$E$2:$E2126,"INFRUCTUEUX")+COUNTIFS($A$2:$A2126,$A2126,$E$2:$E2126,"ANNULE")),""))</f>
        <v/>
      </c>
    </row>
    <row r="2127">
      <c r="A2127">
        <f>IF(ISBLANK('ENGAGEMENTS 2026'!B2127),"",IF('ENGAGEMENTS 2026'!B2127="DTSI","DCT",'ENGAGEMENTS 2026'!B2127))</f>
        <v/>
      </c>
      <c r="B2127">
        <f>IF(ISBLANK('ENGAGEMENTS 2026'!B2127),"",'ENGAGEMENTS 2026'!C2127)</f>
        <v/>
      </c>
      <c r="C2127">
        <f>IF(ISBLANK('ENGAGEMENTS 2026'!B2127),"",'ENGAGEMENTS 2026'!D2127)</f>
        <v/>
      </c>
      <c r="D2127">
        <f>IF(ISBLANK('ENGAGEMENTS 2026'!B2127),"",'ENGAGEMENTS 2026'!F2127)</f>
        <v/>
      </c>
      <c r="E2127">
        <f>IF(ISBLANK('ENGAGEMENTS 2026'!B2127),"",'ENGAGEMENTS 2026'!H2127)</f>
        <v/>
      </c>
      <c r="F2127">
        <f>IF(ISBLANK('ENGAGEMENTS 2026'!B2127),"",'ENGAGEMENTS 2026'!I2127)</f>
        <v/>
      </c>
      <c r="G2127">
        <f>IF(ISBLANK('ENGAGEMENTS 2026'!B2127),"",'ENGAGEMENTS 2026'!L2127)</f>
        <v/>
      </c>
      <c r="H2127">
        <f>IF(ISBLANK('ENGAGEMENTS 2026'!B2127),"",'ENGAGEMENTS 2026'!AE2127)</f>
        <v/>
      </c>
      <c r="I2127">
        <f>IF(ISBLANK('ENGAGEMENTS 2026'!B2127),"",'ENGAGEMENTS 2026'!G2127)</f>
        <v/>
      </c>
      <c r="J2127" s="275">
        <f>IF(ISBLANK('ENGAGEMENTS 2026'!B2127),"",IF(AND(OR($E2127="INFRUCTUEUX",$E2127="ANNULE"),$C2127="AOO-M"),'ENGAGEMENTS 2026'!O2127,IF($H2127="EN COURS DE PREENGAGEMENT",'ENGAGEMENTS 2026'!N2127,IF($H2127="PREENGAGE",IF($E2127="ATTRIBUE",'ENGAGEMENTS 2026'!AD2127,'ENGAGEMENTS 2026'!N2127),'ENGAGEMENTS 2026'!AD2127))))</f>
        <v/>
      </c>
      <c r="K2127" s="604">
        <f>IF(ISBLANK('ENGAGEMENTS 2026'!V2127),"",'ENGAGEMENTS 2026'!V2127)</f>
        <v/>
      </c>
      <c r="L2127" s="276">
        <f>IF($K2127="","",TODAY()-$K2127)</f>
        <v/>
      </c>
      <c r="M2127">
        <f>IF($A2127="","",IF($H2127="ENGAGE","Engagé",IF(AND($H2127="NON ENGAGE",OR($I2127="INFRUCTUEUX",$I2127="ANNULE")),"Clôturé sans suite","En cours")))</f>
        <v/>
      </c>
      <c r="N2127">
        <f>IF(ISBLANK('ENGAGEMENTS 2026'!B2127),"",'ENGAGEMENTS 2026'!K2127)</f>
        <v/>
      </c>
      <c r="O2127">
        <f>IF(ISBLANK('ENGAGEMENTS 2026'!B2127),"",'ENGAGEMENTS 2026'!L2127)</f>
        <v/>
      </c>
      <c r="P2127">
        <f>IF(ISBLANK('ENGAGEMENTS 2026'!B2127),"",'ENGAGEMENTS 2026'!J2127)</f>
        <v/>
      </c>
      <c r="Q2127">
        <f>IF($A2127="","",IF(OR($E2127="INFRUCTUEUX",$E2127="ANNULE"),$A2127&amp;"|"&amp;(COUNTIFS($A$2:$A2127,$A2127,$E$2:$E2127,"INFRUCTUEUX")+COUNTIFS($A$2:$A2127,$A2127,$E$2:$E2127,"ANNULE")),""))</f>
        <v/>
      </c>
    </row>
    <row r="2128">
      <c r="A2128">
        <f>IF(ISBLANK('ENGAGEMENTS 2026'!B2128),"",IF('ENGAGEMENTS 2026'!B2128="DTSI","DCT",'ENGAGEMENTS 2026'!B2128))</f>
        <v/>
      </c>
      <c r="B2128">
        <f>IF(ISBLANK('ENGAGEMENTS 2026'!B2128),"",'ENGAGEMENTS 2026'!C2128)</f>
        <v/>
      </c>
      <c r="C2128">
        <f>IF(ISBLANK('ENGAGEMENTS 2026'!B2128),"",'ENGAGEMENTS 2026'!D2128)</f>
        <v/>
      </c>
      <c r="D2128">
        <f>IF(ISBLANK('ENGAGEMENTS 2026'!B2128),"",'ENGAGEMENTS 2026'!F2128)</f>
        <v/>
      </c>
      <c r="E2128">
        <f>IF(ISBLANK('ENGAGEMENTS 2026'!B2128),"",'ENGAGEMENTS 2026'!H2128)</f>
        <v/>
      </c>
      <c r="F2128">
        <f>IF(ISBLANK('ENGAGEMENTS 2026'!B2128),"",'ENGAGEMENTS 2026'!I2128)</f>
        <v/>
      </c>
      <c r="G2128">
        <f>IF(ISBLANK('ENGAGEMENTS 2026'!B2128),"",'ENGAGEMENTS 2026'!L2128)</f>
        <v/>
      </c>
      <c r="H2128">
        <f>IF(ISBLANK('ENGAGEMENTS 2026'!B2128),"",'ENGAGEMENTS 2026'!AE2128)</f>
        <v/>
      </c>
      <c r="I2128">
        <f>IF(ISBLANK('ENGAGEMENTS 2026'!B2128),"",'ENGAGEMENTS 2026'!G2128)</f>
        <v/>
      </c>
      <c r="J2128" s="275">
        <f>IF(ISBLANK('ENGAGEMENTS 2026'!B2128),"",IF(AND(OR($E2128="INFRUCTUEUX",$E2128="ANNULE"),$C2128="AOO-M"),'ENGAGEMENTS 2026'!O2128,IF($H2128="EN COURS DE PREENGAGEMENT",'ENGAGEMENTS 2026'!N2128,IF($H2128="PREENGAGE",IF($E2128="ATTRIBUE",'ENGAGEMENTS 2026'!AD2128,'ENGAGEMENTS 2026'!N2128),'ENGAGEMENTS 2026'!AD2128))))</f>
        <v/>
      </c>
      <c r="K2128" s="604">
        <f>IF(ISBLANK('ENGAGEMENTS 2026'!V2128),"",'ENGAGEMENTS 2026'!V2128)</f>
        <v/>
      </c>
      <c r="L2128" s="276">
        <f>IF($K2128="","",TODAY()-$K2128)</f>
        <v/>
      </c>
      <c r="M2128">
        <f>IF($A2128="","",IF($H2128="ENGAGE","Engagé",IF(AND($H2128="NON ENGAGE",OR($I2128="INFRUCTUEUX",$I2128="ANNULE")),"Clôturé sans suite","En cours")))</f>
        <v/>
      </c>
      <c r="N2128">
        <f>IF(ISBLANK('ENGAGEMENTS 2026'!B2128),"",'ENGAGEMENTS 2026'!K2128)</f>
        <v/>
      </c>
      <c r="O2128">
        <f>IF(ISBLANK('ENGAGEMENTS 2026'!B2128),"",'ENGAGEMENTS 2026'!L2128)</f>
        <v/>
      </c>
      <c r="P2128">
        <f>IF(ISBLANK('ENGAGEMENTS 2026'!B2128),"",'ENGAGEMENTS 2026'!J2128)</f>
        <v/>
      </c>
      <c r="Q2128">
        <f>IF($A2128="","",IF(OR($E2128="INFRUCTUEUX",$E2128="ANNULE"),$A2128&amp;"|"&amp;(COUNTIFS($A$2:$A2128,$A2128,$E$2:$E2128,"INFRUCTUEUX")+COUNTIFS($A$2:$A2128,$A2128,$E$2:$E2128,"ANNULE")),""))</f>
        <v/>
      </c>
    </row>
    <row r="2129">
      <c r="A2129">
        <f>IF(ISBLANK('ENGAGEMENTS 2026'!B2129),"",IF('ENGAGEMENTS 2026'!B2129="DTSI","DCT",'ENGAGEMENTS 2026'!B2129))</f>
        <v/>
      </c>
      <c r="B2129">
        <f>IF(ISBLANK('ENGAGEMENTS 2026'!B2129),"",'ENGAGEMENTS 2026'!C2129)</f>
        <v/>
      </c>
      <c r="C2129">
        <f>IF(ISBLANK('ENGAGEMENTS 2026'!B2129),"",'ENGAGEMENTS 2026'!D2129)</f>
        <v/>
      </c>
      <c r="D2129">
        <f>IF(ISBLANK('ENGAGEMENTS 2026'!B2129),"",'ENGAGEMENTS 2026'!F2129)</f>
        <v/>
      </c>
      <c r="E2129">
        <f>IF(ISBLANK('ENGAGEMENTS 2026'!B2129),"",'ENGAGEMENTS 2026'!H2129)</f>
        <v/>
      </c>
      <c r="F2129">
        <f>IF(ISBLANK('ENGAGEMENTS 2026'!B2129),"",'ENGAGEMENTS 2026'!I2129)</f>
        <v/>
      </c>
      <c r="G2129">
        <f>IF(ISBLANK('ENGAGEMENTS 2026'!B2129),"",'ENGAGEMENTS 2026'!L2129)</f>
        <v/>
      </c>
      <c r="H2129">
        <f>IF(ISBLANK('ENGAGEMENTS 2026'!B2129),"",'ENGAGEMENTS 2026'!AE2129)</f>
        <v/>
      </c>
      <c r="I2129">
        <f>IF(ISBLANK('ENGAGEMENTS 2026'!B2129),"",'ENGAGEMENTS 2026'!G2129)</f>
        <v/>
      </c>
      <c r="J2129" s="275">
        <f>IF(ISBLANK('ENGAGEMENTS 2026'!B2129),"",IF(AND(OR($E2129="INFRUCTUEUX",$E2129="ANNULE"),$C2129="AOO-M"),'ENGAGEMENTS 2026'!O2129,IF($H2129="EN COURS DE PREENGAGEMENT",'ENGAGEMENTS 2026'!N2129,IF($H2129="PREENGAGE",IF($E2129="ATTRIBUE",'ENGAGEMENTS 2026'!AD2129,'ENGAGEMENTS 2026'!N2129),'ENGAGEMENTS 2026'!AD2129))))</f>
        <v/>
      </c>
      <c r="K2129" s="604">
        <f>IF(ISBLANK('ENGAGEMENTS 2026'!V2129),"",'ENGAGEMENTS 2026'!V2129)</f>
        <v/>
      </c>
      <c r="L2129" s="276">
        <f>IF($K2129="","",TODAY()-$K2129)</f>
        <v/>
      </c>
      <c r="M2129">
        <f>IF($A2129="","",IF($H2129="ENGAGE","Engagé",IF(AND($H2129="NON ENGAGE",OR($I2129="INFRUCTUEUX",$I2129="ANNULE")),"Clôturé sans suite","En cours")))</f>
        <v/>
      </c>
      <c r="N2129">
        <f>IF(ISBLANK('ENGAGEMENTS 2026'!B2129),"",'ENGAGEMENTS 2026'!K2129)</f>
        <v/>
      </c>
      <c r="O2129">
        <f>IF(ISBLANK('ENGAGEMENTS 2026'!B2129),"",'ENGAGEMENTS 2026'!L2129)</f>
        <v/>
      </c>
      <c r="P2129">
        <f>IF(ISBLANK('ENGAGEMENTS 2026'!B2129),"",'ENGAGEMENTS 2026'!J2129)</f>
        <v/>
      </c>
      <c r="Q2129">
        <f>IF($A2129="","",IF(OR($E2129="INFRUCTUEUX",$E2129="ANNULE"),$A2129&amp;"|"&amp;(COUNTIFS($A$2:$A2129,$A2129,$E$2:$E2129,"INFRUCTUEUX")+COUNTIFS($A$2:$A2129,$A2129,$E$2:$E2129,"ANNULE")),""))</f>
        <v/>
      </c>
    </row>
    <row r="2130">
      <c r="A2130">
        <f>IF(ISBLANK('ENGAGEMENTS 2026'!B2130),"",IF('ENGAGEMENTS 2026'!B2130="DTSI","DCT",'ENGAGEMENTS 2026'!B2130))</f>
        <v/>
      </c>
      <c r="B2130">
        <f>IF(ISBLANK('ENGAGEMENTS 2026'!B2130),"",'ENGAGEMENTS 2026'!C2130)</f>
        <v/>
      </c>
      <c r="C2130">
        <f>IF(ISBLANK('ENGAGEMENTS 2026'!B2130),"",'ENGAGEMENTS 2026'!D2130)</f>
        <v/>
      </c>
      <c r="D2130">
        <f>IF(ISBLANK('ENGAGEMENTS 2026'!B2130),"",'ENGAGEMENTS 2026'!F2130)</f>
        <v/>
      </c>
      <c r="E2130">
        <f>IF(ISBLANK('ENGAGEMENTS 2026'!B2130),"",'ENGAGEMENTS 2026'!H2130)</f>
        <v/>
      </c>
      <c r="F2130">
        <f>IF(ISBLANK('ENGAGEMENTS 2026'!B2130),"",'ENGAGEMENTS 2026'!I2130)</f>
        <v/>
      </c>
      <c r="G2130">
        <f>IF(ISBLANK('ENGAGEMENTS 2026'!B2130),"",'ENGAGEMENTS 2026'!L2130)</f>
        <v/>
      </c>
      <c r="H2130">
        <f>IF(ISBLANK('ENGAGEMENTS 2026'!B2130),"",'ENGAGEMENTS 2026'!AE2130)</f>
        <v/>
      </c>
      <c r="I2130">
        <f>IF(ISBLANK('ENGAGEMENTS 2026'!B2130),"",'ENGAGEMENTS 2026'!G2130)</f>
        <v/>
      </c>
      <c r="J2130" s="275">
        <f>IF(ISBLANK('ENGAGEMENTS 2026'!B2130),"",IF(AND(OR($E2130="INFRUCTUEUX",$E2130="ANNULE"),$C2130="AOO-M"),'ENGAGEMENTS 2026'!O2130,IF($H2130="EN COURS DE PREENGAGEMENT",'ENGAGEMENTS 2026'!N2130,IF($H2130="PREENGAGE",IF($E2130="ATTRIBUE",'ENGAGEMENTS 2026'!AD2130,'ENGAGEMENTS 2026'!N2130),'ENGAGEMENTS 2026'!AD2130))))</f>
        <v/>
      </c>
      <c r="K2130" s="604">
        <f>IF(ISBLANK('ENGAGEMENTS 2026'!V2130),"",'ENGAGEMENTS 2026'!V2130)</f>
        <v/>
      </c>
      <c r="L2130" s="276">
        <f>IF($K2130="","",TODAY()-$K2130)</f>
        <v/>
      </c>
      <c r="M2130">
        <f>IF($A2130="","",IF($H2130="ENGAGE","Engagé",IF(AND($H2130="NON ENGAGE",OR($I2130="INFRUCTUEUX",$I2130="ANNULE")),"Clôturé sans suite","En cours")))</f>
        <v/>
      </c>
      <c r="N2130">
        <f>IF(ISBLANK('ENGAGEMENTS 2026'!B2130),"",'ENGAGEMENTS 2026'!K2130)</f>
        <v/>
      </c>
      <c r="O2130">
        <f>IF(ISBLANK('ENGAGEMENTS 2026'!B2130),"",'ENGAGEMENTS 2026'!L2130)</f>
        <v/>
      </c>
      <c r="P2130">
        <f>IF(ISBLANK('ENGAGEMENTS 2026'!B2130),"",'ENGAGEMENTS 2026'!J2130)</f>
        <v/>
      </c>
      <c r="Q2130">
        <f>IF($A2130="","",IF(OR($E2130="INFRUCTUEUX",$E2130="ANNULE"),$A2130&amp;"|"&amp;(COUNTIFS($A$2:$A2130,$A2130,$E$2:$E2130,"INFRUCTUEUX")+COUNTIFS($A$2:$A2130,$A2130,$E$2:$E2130,"ANNULE")),""))</f>
        <v/>
      </c>
    </row>
    <row r="2131">
      <c r="A2131">
        <f>IF(ISBLANK('ENGAGEMENTS 2026'!B2131),"",IF('ENGAGEMENTS 2026'!B2131="DTSI","DCT",'ENGAGEMENTS 2026'!B2131))</f>
        <v/>
      </c>
      <c r="B2131">
        <f>IF(ISBLANK('ENGAGEMENTS 2026'!B2131),"",'ENGAGEMENTS 2026'!C2131)</f>
        <v/>
      </c>
      <c r="C2131">
        <f>IF(ISBLANK('ENGAGEMENTS 2026'!B2131),"",'ENGAGEMENTS 2026'!D2131)</f>
        <v/>
      </c>
      <c r="D2131">
        <f>IF(ISBLANK('ENGAGEMENTS 2026'!B2131),"",'ENGAGEMENTS 2026'!F2131)</f>
        <v/>
      </c>
      <c r="E2131">
        <f>IF(ISBLANK('ENGAGEMENTS 2026'!B2131),"",'ENGAGEMENTS 2026'!H2131)</f>
        <v/>
      </c>
      <c r="F2131">
        <f>IF(ISBLANK('ENGAGEMENTS 2026'!B2131),"",'ENGAGEMENTS 2026'!I2131)</f>
        <v/>
      </c>
      <c r="G2131">
        <f>IF(ISBLANK('ENGAGEMENTS 2026'!B2131),"",'ENGAGEMENTS 2026'!L2131)</f>
        <v/>
      </c>
      <c r="H2131">
        <f>IF(ISBLANK('ENGAGEMENTS 2026'!B2131),"",'ENGAGEMENTS 2026'!AE2131)</f>
        <v/>
      </c>
      <c r="I2131">
        <f>IF(ISBLANK('ENGAGEMENTS 2026'!B2131),"",'ENGAGEMENTS 2026'!G2131)</f>
        <v/>
      </c>
      <c r="J2131" s="275">
        <f>IF(ISBLANK('ENGAGEMENTS 2026'!B2131),"",IF(AND(OR($E2131="INFRUCTUEUX",$E2131="ANNULE"),$C2131="AOO-M"),'ENGAGEMENTS 2026'!O2131,IF($H2131="EN COURS DE PREENGAGEMENT",'ENGAGEMENTS 2026'!N2131,IF($H2131="PREENGAGE",IF($E2131="ATTRIBUE",'ENGAGEMENTS 2026'!AD2131,'ENGAGEMENTS 2026'!N2131),'ENGAGEMENTS 2026'!AD2131))))</f>
        <v/>
      </c>
      <c r="K2131" s="604">
        <f>IF(ISBLANK('ENGAGEMENTS 2026'!V2131),"",'ENGAGEMENTS 2026'!V2131)</f>
        <v/>
      </c>
      <c r="L2131" s="276">
        <f>IF($K2131="","",TODAY()-$K2131)</f>
        <v/>
      </c>
      <c r="M2131">
        <f>IF($A2131="","",IF($H2131="ENGAGE","Engagé",IF(AND($H2131="NON ENGAGE",OR($I2131="INFRUCTUEUX",$I2131="ANNULE")),"Clôturé sans suite","En cours")))</f>
        <v/>
      </c>
      <c r="N2131">
        <f>IF(ISBLANK('ENGAGEMENTS 2026'!B2131),"",'ENGAGEMENTS 2026'!K2131)</f>
        <v/>
      </c>
      <c r="O2131">
        <f>IF(ISBLANK('ENGAGEMENTS 2026'!B2131),"",'ENGAGEMENTS 2026'!L2131)</f>
        <v/>
      </c>
      <c r="P2131">
        <f>IF(ISBLANK('ENGAGEMENTS 2026'!B2131),"",'ENGAGEMENTS 2026'!J2131)</f>
        <v/>
      </c>
      <c r="Q2131">
        <f>IF($A2131="","",IF(OR($E2131="INFRUCTUEUX",$E2131="ANNULE"),$A2131&amp;"|"&amp;(COUNTIFS($A$2:$A2131,$A2131,$E$2:$E2131,"INFRUCTUEUX")+COUNTIFS($A$2:$A2131,$A2131,$E$2:$E2131,"ANNULE")),""))</f>
        <v/>
      </c>
    </row>
    <row r="2132">
      <c r="A2132">
        <f>IF(ISBLANK('ENGAGEMENTS 2026'!B2132),"",IF('ENGAGEMENTS 2026'!B2132="DTSI","DCT",'ENGAGEMENTS 2026'!B2132))</f>
        <v/>
      </c>
      <c r="B2132">
        <f>IF(ISBLANK('ENGAGEMENTS 2026'!B2132),"",'ENGAGEMENTS 2026'!C2132)</f>
        <v/>
      </c>
      <c r="C2132">
        <f>IF(ISBLANK('ENGAGEMENTS 2026'!B2132),"",'ENGAGEMENTS 2026'!D2132)</f>
        <v/>
      </c>
      <c r="D2132">
        <f>IF(ISBLANK('ENGAGEMENTS 2026'!B2132),"",'ENGAGEMENTS 2026'!F2132)</f>
        <v/>
      </c>
      <c r="E2132">
        <f>IF(ISBLANK('ENGAGEMENTS 2026'!B2132),"",'ENGAGEMENTS 2026'!H2132)</f>
        <v/>
      </c>
      <c r="F2132">
        <f>IF(ISBLANK('ENGAGEMENTS 2026'!B2132),"",'ENGAGEMENTS 2026'!I2132)</f>
        <v/>
      </c>
      <c r="G2132">
        <f>IF(ISBLANK('ENGAGEMENTS 2026'!B2132),"",'ENGAGEMENTS 2026'!L2132)</f>
        <v/>
      </c>
      <c r="H2132">
        <f>IF(ISBLANK('ENGAGEMENTS 2026'!B2132),"",'ENGAGEMENTS 2026'!AE2132)</f>
        <v/>
      </c>
      <c r="I2132">
        <f>IF(ISBLANK('ENGAGEMENTS 2026'!B2132),"",'ENGAGEMENTS 2026'!G2132)</f>
        <v/>
      </c>
      <c r="J2132" s="275">
        <f>IF(ISBLANK('ENGAGEMENTS 2026'!B2132),"",IF(AND(OR($E2132="INFRUCTUEUX",$E2132="ANNULE"),$C2132="AOO-M"),'ENGAGEMENTS 2026'!O2132,IF($H2132="EN COURS DE PREENGAGEMENT",'ENGAGEMENTS 2026'!N2132,IF($H2132="PREENGAGE",IF($E2132="ATTRIBUE",'ENGAGEMENTS 2026'!AD2132,'ENGAGEMENTS 2026'!N2132),'ENGAGEMENTS 2026'!AD2132))))</f>
        <v/>
      </c>
      <c r="K2132" s="604">
        <f>IF(ISBLANK('ENGAGEMENTS 2026'!V2132),"",'ENGAGEMENTS 2026'!V2132)</f>
        <v/>
      </c>
      <c r="L2132" s="276">
        <f>IF($K2132="","",TODAY()-$K2132)</f>
        <v/>
      </c>
      <c r="M2132">
        <f>IF($A2132="","",IF($H2132="ENGAGE","Engagé",IF(AND($H2132="NON ENGAGE",OR($I2132="INFRUCTUEUX",$I2132="ANNULE")),"Clôturé sans suite","En cours")))</f>
        <v/>
      </c>
      <c r="N2132">
        <f>IF(ISBLANK('ENGAGEMENTS 2026'!B2132),"",'ENGAGEMENTS 2026'!K2132)</f>
        <v/>
      </c>
      <c r="O2132">
        <f>IF(ISBLANK('ENGAGEMENTS 2026'!B2132),"",'ENGAGEMENTS 2026'!L2132)</f>
        <v/>
      </c>
      <c r="P2132">
        <f>IF(ISBLANK('ENGAGEMENTS 2026'!B2132),"",'ENGAGEMENTS 2026'!J2132)</f>
        <v/>
      </c>
      <c r="Q2132">
        <f>IF($A2132="","",IF(OR($E2132="INFRUCTUEUX",$E2132="ANNULE"),$A2132&amp;"|"&amp;(COUNTIFS($A$2:$A2132,$A2132,$E$2:$E2132,"INFRUCTUEUX")+COUNTIFS($A$2:$A2132,$A2132,$E$2:$E2132,"ANNULE")),""))</f>
        <v/>
      </c>
    </row>
    <row r="2133">
      <c r="A2133">
        <f>IF(ISBLANK('ENGAGEMENTS 2026'!B2133),"",IF('ENGAGEMENTS 2026'!B2133="DTSI","DCT",'ENGAGEMENTS 2026'!B2133))</f>
        <v/>
      </c>
      <c r="B2133">
        <f>IF(ISBLANK('ENGAGEMENTS 2026'!B2133),"",'ENGAGEMENTS 2026'!C2133)</f>
        <v/>
      </c>
      <c r="C2133">
        <f>IF(ISBLANK('ENGAGEMENTS 2026'!B2133),"",'ENGAGEMENTS 2026'!D2133)</f>
        <v/>
      </c>
      <c r="D2133">
        <f>IF(ISBLANK('ENGAGEMENTS 2026'!B2133),"",'ENGAGEMENTS 2026'!F2133)</f>
        <v/>
      </c>
      <c r="E2133">
        <f>IF(ISBLANK('ENGAGEMENTS 2026'!B2133),"",'ENGAGEMENTS 2026'!H2133)</f>
        <v/>
      </c>
      <c r="F2133">
        <f>IF(ISBLANK('ENGAGEMENTS 2026'!B2133),"",'ENGAGEMENTS 2026'!I2133)</f>
        <v/>
      </c>
      <c r="G2133">
        <f>IF(ISBLANK('ENGAGEMENTS 2026'!B2133),"",'ENGAGEMENTS 2026'!L2133)</f>
        <v/>
      </c>
      <c r="H2133">
        <f>IF(ISBLANK('ENGAGEMENTS 2026'!B2133),"",'ENGAGEMENTS 2026'!AE2133)</f>
        <v/>
      </c>
      <c r="I2133">
        <f>IF(ISBLANK('ENGAGEMENTS 2026'!B2133),"",'ENGAGEMENTS 2026'!G2133)</f>
        <v/>
      </c>
      <c r="J2133" s="275">
        <f>IF(ISBLANK('ENGAGEMENTS 2026'!B2133),"",IF(AND(OR($E2133="INFRUCTUEUX",$E2133="ANNULE"),$C2133="AOO-M"),'ENGAGEMENTS 2026'!O2133,IF($H2133="EN COURS DE PREENGAGEMENT",'ENGAGEMENTS 2026'!N2133,IF($H2133="PREENGAGE",IF($E2133="ATTRIBUE",'ENGAGEMENTS 2026'!AD2133,'ENGAGEMENTS 2026'!N2133),'ENGAGEMENTS 2026'!AD2133))))</f>
        <v/>
      </c>
      <c r="K2133" s="604">
        <f>IF(ISBLANK('ENGAGEMENTS 2026'!V2133),"",'ENGAGEMENTS 2026'!V2133)</f>
        <v/>
      </c>
      <c r="L2133" s="276">
        <f>IF($K2133="","",TODAY()-$K2133)</f>
        <v/>
      </c>
      <c r="M2133">
        <f>IF($A2133="","",IF($H2133="ENGAGE","Engagé",IF(AND($H2133="NON ENGAGE",OR($I2133="INFRUCTUEUX",$I2133="ANNULE")),"Clôturé sans suite","En cours")))</f>
        <v/>
      </c>
      <c r="N2133">
        <f>IF(ISBLANK('ENGAGEMENTS 2026'!B2133),"",'ENGAGEMENTS 2026'!K2133)</f>
        <v/>
      </c>
      <c r="O2133">
        <f>IF(ISBLANK('ENGAGEMENTS 2026'!B2133),"",'ENGAGEMENTS 2026'!L2133)</f>
        <v/>
      </c>
      <c r="P2133">
        <f>IF(ISBLANK('ENGAGEMENTS 2026'!B2133),"",'ENGAGEMENTS 2026'!J2133)</f>
        <v/>
      </c>
      <c r="Q2133">
        <f>IF($A2133="","",IF(OR($E2133="INFRUCTUEUX",$E2133="ANNULE"),$A2133&amp;"|"&amp;(COUNTIFS($A$2:$A2133,$A2133,$E$2:$E2133,"INFRUCTUEUX")+COUNTIFS($A$2:$A2133,$A2133,$E$2:$E2133,"ANNULE")),""))</f>
        <v/>
      </c>
    </row>
    <row r="2134">
      <c r="A2134">
        <f>IF(ISBLANK('ENGAGEMENTS 2026'!B2134),"",IF('ENGAGEMENTS 2026'!B2134="DTSI","DCT",'ENGAGEMENTS 2026'!B2134))</f>
        <v/>
      </c>
      <c r="B2134">
        <f>IF(ISBLANK('ENGAGEMENTS 2026'!B2134),"",'ENGAGEMENTS 2026'!C2134)</f>
        <v/>
      </c>
      <c r="C2134">
        <f>IF(ISBLANK('ENGAGEMENTS 2026'!B2134),"",'ENGAGEMENTS 2026'!D2134)</f>
        <v/>
      </c>
      <c r="D2134">
        <f>IF(ISBLANK('ENGAGEMENTS 2026'!B2134),"",'ENGAGEMENTS 2026'!F2134)</f>
        <v/>
      </c>
      <c r="E2134">
        <f>IF(ISBLANK('ENGAGEMENTS 2026'!B2134),"",'ENGAGEMENTS 2026'!H2134)</f>
        <v/>
      </c>
      <c r="F2134">
        <f>IF(ISBLANK('ENGAGEMENTS 2026'!B2134),"",'ENGAGEMENTS 2026'!I2134)</f>
        <v/>
      </c>
      <c r="G2134">
        <f>IF(ISBLANK('ENGAGEMENTS 2026'!B2134),"",'ENGAGEMENTS 2026'!L2134)</f>
        <v/>
      </c>
      <c r="H2134">
        <f>IF(ISBLANK('ENGAGEMENTS 2026'!B2134),"",'ENGAGEMENTS 2026'!AE2134)</f>
        <v/>
      </c>
      <c r="I2134">
        <f>IF(ISBLANK('ENGAGEMENTS 2026'!B2134),"",'ENGAGEMENTS 2026'!G2134)</f>
        <v/>
      </c>
      <c r="J2134" s="275">
        <f>IF(ISBLANK('ENGAGEMENTS 2026'!B2134),"",IF(AND(OR($E2134="INFRUCTUEUX",$E2134="ANNULE"),$C2134="AOO-M"),'ENGAGEMENTS 2026'!O2134,IF($H2134="EN COURS DE PREENGAGEMENT",'ENGAGEMENTS 2026'!N2134,IF($H2134="PREENGAGE",IF($E2134="ATTRIBUE",'ENGAGEMENTS 2026'!AD2134,'ENGAGEMENTS 2026'!N2134),'ENGAGEMENTS 2026'!AD2134))))</f>
        <v/>
      </c>
      <c r="K2134" s="604">
        <f>IF(ISBLANK('ENGAGEMENTS 2026'!V2134),"",'ENGAGEMENTS 2026'!V2134)</f>
        <v/>
      </c>
      <c r="L2134" s="276">
        <f>IF($K2134="","",TODAY()-$K2134)</f>
        <v/>
      </c>
      <c r="M2134">
        <f>IF($A2134="","",IF($H2134="ENGAGE","Engagé",IF(AND($H2134="NON ENGAGE",OR($I2134="INFRUCTUEUX",$I2134="ANNULE")),"Clôturé sans suite","En cours")))</f>
        <v/>
      </c>
      <c r="N2134">
        <f>IF(ISBLANK('ENGAGEMENTS 2026'!B2134),"",'ENGAGEMENTS 2026'!K2134)</f>
        <v/>
      </c>
      <c r="O2134">
        <f>IF(ISBLANK('ENGAGEMENTS 2026'!B2134),"",'ENGAGEMENTS 2026'!L2134)</f>
        <v/>
      </c>
      <c r="P2134">
        <f>IF(ISBLANK('ENGAGEMENTS 2026'!B2134),"",'ENGAGEMENTS 2026'!J2134)</f>
        <v/>
      </c>
      <c r="Q2134">
        <f>IF($A2134="","",IF(OR($E2134="INFRUCTUEUX",$E2134="ANNULE"),$A2134&amp;"|"&amp;(COUNTIFS($A$2:$A2134,$A2134,$E$2:$E2134,"INFRUCTUEUX")+COUNTIFS($A$2:$A2134,$A2134,$E$2:$E2134,"ANNULE")),""))</f>
        <v/>
      </c>
    </row>
    <row r="2135">
      <c r="A2135">
        <f>IF(ISBLANK('ENGAGEMENTS 2026'!B2135),"",IF('ENGAGEMENTS 2026'!B2135="DTSI","DCT",'ENGAGEMENTS 2026'!B2135))</f>
        <v/>
      </c>
      <c r="B2135">
        <f>IF(ISBLANK('ENGAGEMENTS 2026'!B2135),"",'ENGAGEMENTS 2026'!C2135)</f>
        <v/>
      </c>
      <c r="C2135">
        <f>IF(ISBLANK('ENGAGEMENTS 2026'!B2135),"",'ENGAGEMENTS 2026'!D2135)</f>
        <v/>
      </c>
      <c r="D2135">
        <f>IF(ISBLANK('ENGAGEMENTS 2026'!B2135),"",'ENGAGEMENTS 2026'!F2135)</f>
        <v/>
      </c>
      <c r="E2135">
        <f>IF(ISBLANK('ENGAGEMENTS 2026'!B2135),"",'ENGAGEMENTS 2026'!H2135)</f>
        <v/>
      </c>
      <c r="F2135">
        <f>IF(ISBLANK('ENGAGEMENTS 2026'!B2135),"",'ENGAGEMENTS 2026'!I2135)</f>
        <v/>
      </c>
      <c r="G2135">
        <f>IF(ISBLANK('ENGAGEMENTS 2026'!B2135),"",'ENGAGEMENTS 2026'!L2135)</f>
        <v/>
      </c>
      <c r="H2135">
        <f>IF(ISBLANK('ENGAGEMENTS 2026'!B2135),"",'ENGAGEMENTS 2026'!AE2135)</f>
        <v/>
      </c>
      <c r="I2135">
        <f>IF(ISBLANK('ENGAGEMENTS 2026'!B2135),"",'ENGAGEMENTS 2026'!G2135)</f>
        <v/>
      </c>
      <c r="J2135" s="275">
        <f>IF(ISBLANK('ENGAGEMENTS 2026'!B2135),"",IF(AND(OR($E2135="INFRUCTUEUX",$E2135="ANNULE"),$C2135="AOO-M"),'ENGAGEMENTS 2026'!O2135,IF($H2135="EN COURS DE PREENGAGEMENT",'ENGAGEMENTS 2026'!N2135,IF($H2135="PREENGAGE",IF($E2135="ATTRIBUE",'ENGAGEMENTS 2026'!AD2135,'ENGAGEMENTS 2026'!N2135),'ENGAGEMENTS 2026'!AD2135))))</f>
        <v/>
      </c>
      <c r="K2135" s="604">
        <f>IF(ISBLANK('ENGAGEMENTS 2026'!V2135),"",'ENGAGEMENTS 2026'!V2135)</f>
        <v/>
      </c>
      <c r="L2135" s="276">
        <f>IF($K2135="","",TODAY()-$K2135)</f>
        <v/>
      </c>
      <c r="M2135">
        <f>IF($A2135="","",IF($H2135="ENGAGE","Engagé",IF(AND($H2135="NON ENGAGE",OR($I2135="INFRUCTUEUX",$I2135="ANNULE")),"Clôturé sans suite","En cours")))</f>
        <v/>
      </c>
      <c r="N2135">
        <f>IF(ISBLANK('ENGAGEMENTS 2026'!B2135),"",'ENGAGEMENTS 2026'!K2135)</f>
        <v/>
      </c>
      <c r="O2135">
        <f>IF(ISBLANK('ENGAGEMENTS 2026'!B2135),"",'ENGAGEMENTS 2026'!L2135)</f>
        <v/>
      </c>
      <c r="P2135">
        <f>IF(ISBLANK('ENGAGEMENTS 2026'!B2135),"",'ENGAGEMENTS 2026'!J2135)</f>
        <v/>
      </c>
      <c r="Q2135">
        <f>IF($A2135="","",IF(OR($E2135="INFRUCTUEUX",$E2135="ANNULE"),$A2135&amp;"|"&amp;(COUNTIFS($A$2:$A2135,$A2135,$E$2:$E2135,"INFRUCTUEUX")+COUNTIFS($A$2:$A2135,$A2135,$E$2:$E2135,"ANNULE")),""))</f>
        <v/>
      </c>
    </row>
    <row r="2136">
      <c r="A2136">
        <f>IF(ISBLANK('ENGAGEMENTS 2026'!B2136),"",IF('ENGAGEMENTS 2026'!B2136="DTSI","DCT",'ENGAGEMENTS 2026'!B2136))</f>
        <v/>
      </c>
      <c r="B2136">
        <f>IF(ISBLANK('ENGAGEMENTS 2026'!B2136),"",'ENGAGEMENTS 2026'!C2136)</f>
        <v/>
      </c>
      <c r="C2136">
        <f>IF(ISBLANK('ENGAGEMENTS 2026'!B2136),"",'ENGAGEMENTS 2026'!D2136)</f>
        <v/>
      </c>
      <c r="D2136">
        <f>IF(ISBLANK('ENGAGEMENTS 2026'!B2136),"",'ENGAGEMENTS 2026'!F2136)</f>
        <v/>
      </c>
      <c r="E2136">
        <f>IF(ISBLANK('ENGAGEMENTS 2026'!B2136),"",'ENGAGEMENTS 2026'!H2136)</f>
        <v/>
      </c>
      <c r="F2136">
        <f>IF(ISBLANK('ENGAGEMENTS 2026'!B2136),"",'ENGAGEMENTS 2026'!I2136)</f>
        <v/>
      </c>
      <c r="G2136">
        <f>IF(ISBLANK('ENGAGEMENTS 2026'!B2136),"",'ENGAGEMENTS 2026'!L2136)</f>
        <v/>
      </c>
      <c r="H2136">
        <f>IF(ISBLANK('ENGAGEMENTS 2026'!B2136),"",'ENGAGEMENTS 2026'!AE2136)</f>
        <v/>
      </c>
      <c r="I2136">
        <f>IF(ISBLANK('ENGAGEMENTS 2026'!B2136),"",'ENGAGEMENTS 2026'!G2136)</f>
        <v/>
      </c>
      <c r="J2136" s="275">
        <f>IF(ISBLANK('ENGAGEMENTS 2026'!B2136),"",IF(AND(OR($E2136="INFRUCTUEUX",$E2136="ANNULE"),$C2136="AOO-M"),'ENGAGEMENTS 2026'!O2136,IF($H2136="EN COURS DE PREENGAGEMENT",'ENGAGEMENTS 2026'!N2136,IF($H2136="PREENGAGE",IF($E2136="ATTRIBUE",'ENGAGEMENTS 2026'!AD2136,'ENGAGEMENTS 2026'!N2136),'ENGAGEMENTS 2026'!AD2136))))</f>
        <v/>
      </c>
      <c r="K2136" s="604">
        <f>IF(ISBLANK('ENGAGEMENTS 2026'!V2136),"",'ENGAGEMENTS 2026'!V2136)</f>
        <v/>
      </c>
      <c r="L2136" s="276">
        <f>IF($K2136="","",TODAY()-$K2136)</f>
        <v/>
      </c>
      <c r="M2136">
        <f>IF($A2136="","",IF($H2136="ENGAGE","Engagé",IF(AND($H2136="NON ENGAGE",OR($I2136="INFRUCTUEUX",$I2136="ANNULE")),"Clôturé sans suite","En cours")))</f>
        <v/>
      </c>
      <c r="N2136">
        <f>IF(ISBLANK('ENGAGEMENTS 2026'!B2136),"",'ENGAGEMENTS 2026'!K2136)</f>
        <v/>
      </c>
      <c r="O2136">
        <f>IF(ISBLANK('ENGAGEMENTS 2026'!B2136),"",'ENGAGEMENTS 2026'!L2136)</f>
        <v/>
      </c>
      <c r="P2136">
        <f>IF(ISBLANK('ENGAGEMENTS 2026'!B2136),"",'ENGAGEMENTS 2026'!J2136)</f>
        <v/>
      </c>
      <c r="Q2136">
        <f>IF($A2136="","",IF(OR($E2136="INFRUCTUEUX",$E2136="ANNULE"),$A2136&amp;"|"&amp;(COUNTIFS($A$2:$A2136,$A2136,$E$2:$E2136,"INFRUCTUEUX")+COUNTIFS($A$2:$A2136,$A2136,$E$2:$E2136,"ANNULE")),""))</f>
        <v/>
      </c>
    </row>
    <row r="2137">
      <c r="A2137">
        <f>IF(ISBLANK('ENGAGEMENTS 2026'!B2137),"",IF('ENGAGEMENTS 2026'!B2137="DTSI","DCT",'ENGAGEMENTS 2026'!B2137))</f>
        <v/>
      </c>
      <c r="B2137">
        <f>IF(ISBLANK('ENGAGEMENTS 2026'!B2137),"",'ENGAGEMENTS 2026'!C2137)</f>
        <v/>
      </c>
      <c r="C2137">
        <f>IF(ISBLANK('ENGAGEMENTS 2026'!B2137),"",'ENGAGEMENTS 2026'!D2137)</f>
        <v/>
      </c>
      <c r="D2137">
        <f>IF(ISBLANK('ENGAGEMENTS 2026'!B2137),"",'ENGAGEMENTS 2026'!F2137)</f>
        <v/>
      </c>
      <c r="E2137">
        <f>IF(ISBLANK('ENGAGEMENTS 2026'!B2137),"",'ENGAGEMENTS 2026'!H2137)</f>
        <v/>
      </c>
      <c r="F2137">
        <f>IF(ISBLANK('ENGAGEMENTS 2026'!B2137),"",'ENGAGEMENTS 2026'!I2137)</f>
        <v/>
      </c>
      <c r="G2137">
        <f>IF(ISBLANK('ENGAGEMENTS 2026'!B2137),"",'ENGAGEMENTS 2026'!L2137)</f>
        <v/>
      </c>
      <c r="H2137">
        <f>IF(ISBLANK('ENGAGEMENTS 2026'!B2137),"",'ENGAGEMENTS 2026'!AE2137)</f>
        <v/>
      </c>
      <c r="I2137">
        <f>IF(ISBLANK('ENGAGEMENTS 2026'!B2137),"",'ENGAGEMENTS 2026'!G2137)</f>
        <v/>
      </c>
      <c r="J2137" s="275">
        <f>IF(ISBLANK('ENGAGEMENTS 2026'!B2137),"",IF(AND(OR($E2137="INFRUCTUEUX",$E2137="ANNULE"),$C2137="AOO-M"),'ENGAGEMENTS 2026'!O2137,IF($H2137="EN COURS DE PREENGAGEMENT",'ENGAGEMENTS 2026'!N2137,IF($H2137="PREENGAGE",IF($E2137="ATTRIBUE",'ENGAGEMENTS 2026'!AD2137,'ENGAGEMENTS 2026'!N2137),'ENGAGEMENTS 2026'!AD2137))))</f>
        <v/>
      </c>
      <c r="K2137" s="604">
        <f>IF(ISBLANK('ENGAGEMENTS 2026'!V2137),"",'ENGAGEMENTS 2026'!V2137)</f>
        <v/>
      </c>
      <c r="L2137" s="276">
        <f>IF($K2137="","",TODAY()-$K2137)</f>
        <v/>
      </c>
      <c r="M2137">
        <f>IF($A2137="","",IF($H2137="ENGAGE","Engagé",IF(AND($H2137="NON ENGAGE",OR($I2137="INFRUCTUEUX",$I2137="ANNULE")),"Clôturé sans suite","En cours")))</f>
        <v/>
      </c>
      <c r="N2137">
        <f>IF(ISBLANK('ENGAGEMENTS 2026'!B2137),"",'ENGAGEMENTS 2026'!K2137)</f>
        <v/>
      </c>
      <c r="O2137">
        <f>IF(ISBLANK('ENGAGEMENTS 2026'!B2137),"",'ENGAGEMENTS 2026'!L2137)</f>
        <v/>
      </c>
      <c r="P2137">
        <f>IF(ISBLANK('ENGAGEMENTS 2026'!B2137),"",'ENGAGEMENTS 2026'!J2137)</f>
        <v/>
      </c>
      <c r="Q2137">
        <f>IF($A2137="","",IF(OR($E2137="INFRUCTUEUX",$E2137="ANNULE"),$A2137&amp;"|"&amp;(COUNTIFS($A$2:$A2137,$A2137,$E$2:$E2137,"INFRUCTUEUX")+COUNTIFS($A$2:$A2137,$A2137,$E$2:$E2137,"ANNULE")),""))</f>
        <v/>
      </c>
    </row>
    <row r="2138">
      <c r="A2138">
        <f>IF(ISBLANK('ENGAGEMENTS 2026'!B2138),"",IF('ENGAGEMENTS 2026'!B2138="DTSI","DCT",'ENGAGEMENTS 2026'!B2138))</f>
        <v/>
      </c>
      <c r="B2138">
        <f>IF(ISBLANK('ENGAGEMENTS 2026'!B2138),"",'ENGAGEMENTS 2026'!C2138)</f>
        <v/>
      </c>
      <c r="C2138">
        <f>IF(ISBLANK('ENGAGEMENTS 2026'!B2138),"",'ENGAGEMENTS 2026'!D2138)</f>
        <v/>
      </c>
      <c r="D2138">
        <f>IF(ISBLANK('ENGAGEMENTS 2026'!B2138),"",'ENGAGEMENTS 2026'!F2138)</f>
        <v/>
      </c>
      <c r="E2138">
        <f>IF(ISBLANK('ENGAGEMENTS 2026'!B2138),"",'ENGAGEMENTS 2026'!H2138)</f>
        <v/>
      </c>
      <c r="F2138">
        <f>IF(ISBLANK('ENGAGEMENTS 2026'!B2138),"",'ENGAGEMENTS 2026'!I2138)</f>
        <v/>
      </c>
      <c r="G2138">
        <f>IF(ISBLANK('ENGAGEMENTS 2026'!B2138),"",'ENGAGEMENTS 2026'!L2138)</f>
        <v/>
      </c>
      <c r="H2138">
        <f>IF(ISBLANK('ENGAGEMENTS 2026'!B2138),"",'ENGAGEMENTS 2026'!AE2138)</f>
        <v/>
      </c>
      <c r="I2138">
        <f>IF(ISBLANK('ENGAGEMENTS 2026'!B2138),"",'ENGAGEMENTS 2026'!G2138)</f>
        <v/>
      </c>
      <c r="J2138" s="275">
        <f>IF(ISBLANK('ENGAGEMENTS 2026'!B2138),"",IF(AND(OR($E2138="INFRUCTUEUX",$E2138="ANNULE"),$C2138="AOO-M"),'ENGAGEMENTS 2026'!O2138,IF($H2138="EN COURS DE PREENGAGEMENT",'ENGAGEMENTS 2026'!N2138,IF($H2138="PREENGAGE",IF($E2138="ATTRIBUE",'ENGAGEMENTS 2026'!AD2138,'ENGAGEMENTS 2026'!N2138),'ENGAGEMENTS 2026'!AD2138))))</f>
        <v/>
      </c>
      <c r="K2138" s="604">
        <f>IF(ISBLANK('ENGAGEMENTS 2026'!V2138),"",'ENGAGEMENTS 2026'!V2138)</f>
        <v/>
      </c>
      <c r="L2138" s="276">
        <f>IF($K2138="","",TODAY()-$K2138)</f>
        <v/>
      </c>
      <c r="M2138">
        <f>IF($A2138="","",IF($H2138="ENGAGE","Engagé",IF(AND($H2138="NON ENGAGE",OR($I2138="INFRUCTUEUX",$I2138="ANNULE")),"Clôturé sans suite","En cours")))</f>
        <v/>
      </c>
      <c r="N2138">
        <f>IF(ISBLANK('ENGAGEMENTS 2026'!B2138),"",'ENGAGEMENTS 2026'!K2138)</f>
        <v/>
      </c>
      <c r="O2138">
        <f>IF(ISBLANK('ENGAGEMENTS 2026'!B2138),"",'ENGAGEMENTS 2026'!L2138)</f>
        <v/>
      </c>
      <c r="P2138">
        <f>IF(ISBLANK('ENGAGEMENTS 2026'!B2138),"",'ENGAGEMENTS 2026'!J2138)</f>
        <v/>
      </c>
      <c r="Q2138">
        <f>IF($A2138="","",IF(OR($E2138="INFRUCTUEUX",$E2138="ANNULE"),$A2138&amp;"|"&amp;(COUNTIFS($A$2:$A2138,$A2138,$E$2:$E2138,"INFRUCTUEUX")+COUNTIFS($A$2:$A2138,$A2138,$E$2:$E2138,"ANNULE")),""))</f>
        <v/>
      </c>
    </row>
    <row r="2139">
      <c r="A2139">
        <f>IF(ISBLANK('ENGAGEMENTS 2026'!B2139),"",IF('ENGAGEMENTS 2026'!B2139="DTSI","DCT",'ENGAGEMENTS 2026'!B2139))</f>
        <v/>
      </c>
      <c r="B2139">
        <f>IF(ISBLANK('ENGAGEMENTS 2026'!B2139),"",'ENGAGEMENTS 2026'!C2139)</f>
        <v/>
      </c>
      <c r="C2139">
        <f>IF(ISBLANK('ENGAGEMENTS 2026'!B2139),"",'ENGAGEMENTS 2026'!D2139)</f>
        <v/>
      </c>
      <c r="D2139">
        <f>IF(ISBLANK('ENGAGEMENTS 2026'!B2139),"",'ENGAGEMENTS 2026'!F2139)</f>
        <v/>
      </c>
      <c r="E2139">
        <f>IF(ISBLANK('ENGAGEMENTS 2026'!B2139),"",'ENGAGEMENTS 2026'!H2139)</f>
        <v/>
      </c>
      <c r="F2139">
        <f>IF(ISBLANK('ENGAGEMENTS 2026'!B2139),"",'ENGAGEMENTS 2026'!I2139)</f>
        <v/>
      </c>
      <c r="G2139">
        <f>IF(ISBLANK('ENGAGEMENTS 2026'!B2139),"",'ENGAGEMENTS 2026'!L2139)</f>
        <v/>
      </c>
      <c r="H2139">
        <f>IF(ISBLANK('ENGAGEMENTS 2026'!B2139),"",'ENGAGEMENTS 2026'!AE2139)</f>
        <v/>
      </c>
      <c r="I2139">
        <f>IF(ISBLANK('ENGAGEMENTS 2026'!B2139),"",'ENGAGEMENTS 2026'!G2139)</f>
        <v/>
      </c>
      <c r="J2139" s="275">
        <f>IF(ISBLANK('ENGAGEMENTS 2026'!B2139),"",IF(AND(OR($E2139="INFRUCTUEUX",$E2139="ANNULE"),$C2139="AOO-M"),'ENGAGEMENTS 2026'!O2139,IF($H2139="EN COURS DE PREENGAGEMENT",'ENGAGEMENTS 2026'!N2139,IF($H2139="PREENGAGE",IF($E2139="ATTRIBUE",'ENGAGEMENTS 2026'!AD2139,'ENGAGEMENTS 2026'!N2139),'ENGAGEMENTS 2026'!AD2139))))</f>
        <v/>
      </c>
      <c r="K2139" s="604">
        <f>IF(ISBLANK('ENGAGEMENTS 2026'!V2139),"",'ENGAGEMENTS 2026'!V2139)</f>
        <v/>
      </c>
      <c r="L2139" s="276">
        <f>IF($K2139="","",TODAY()-$K2139)</f>
        <v/>
      </c>
      <c r="M2139">
        <f>IF($A2139="","",IF($H2139="ENGAGE","Engagé",IF(AND($H2139="NON ENGAGE",OR($I2139="INFRUCTUEUX",$I2139="ANNULE")),"Clôturé sans suite","En cours")))</f>
        <v/>
      </c>
      <c r="N2139">
        <f>IF(ISBLANK('ENGAGEMENTS 2026'!B2139),"",'ENGAGEMENTS 2026'!K2139)</f>
        <v/>
      </c>
      <c r="O2139">
        <f>IF(ISBLANK('ENGAGEMENTS 2026'!B2139),"",'ENGAGEMENTS 2026'!L2139)</f>
        <v/>
      </c>
      <c r="P2139">
        <f>IF(ISBLANK('ENGAGEMENTS 2026'!B2139),"",'ENGAGEMENTS 2026'!J2139)</f>
        <v/>
      </c>
      <c r="Q2139">
        <f>IF($A2139="","",IF(OR($E2139="INFRUCTUEUX",$E2139="ANNULE"),$A2139&amp;"|"&amp;(COUNTIFS($A$2:$A2139,$A2139,$E$2:$E2139,"INFRUCTUEUX")+COUNTIFS($A$2:$A2139,$A2139,$E$2:$E2139,"ANNULE")),""))</f>
        <v/>
      </c>
    </row>
    <row r="2140">
      <c r="A2140">
        <f>IF(ISBLANK('ENGAGEMENTS 2026'!B2140),"",IF('ENGAGEMENTS 2026'!B2140="DTSI","DCT",'ENGAGEMENTS 2026'!B2140))</f>
        <v/>
      </c>
      <c r="B2140">
        <f>IF(ISBLANK('ENGAGEMENTS 2026'!B2140),"",'ENGAGEMENTS 2026'!C2140)</f>
        <v/>
      </c>
      <c r="C2140">
        <f>IF(ISBLANK('ENGAGEMENTS 2026'!B2140),"",'ENGAGEMENTS 2026'!D2140)</f>
        <v/>
      </c>
      <c r="D2140">
        <f>IF(ISBLANK('ENGAGEMENTS 2026'!B2140),"",'ENGAGEMENTS 2026'!F2140)</f>
        <v/>
      </c>
      <c r="E2140">
        <f>IF(ISBLANK('ENGAGEMENTS 2026'!B2140),"",'ENGAGEMENTS 2026'!H2140)</f>
        <v/>
      </c>
      <c r="F2140">
        <f>IF(ISBLANK('ENGAGEMENTS 2026'!B2140),"",'ENGAGEMENTS 2026'!I2140)</f>
        <v/>
      </c>
      <c r="G2140">
        <f>IF(ISBLANK('ENGAGEMENTS 2026'!B2140),"",'ENGAGEMENTS 2026'!L2140)</f>
        <v/>
      </c>
      <c r="H2140">
        <f>IF(ISBLANK('ENGAGEMENTS 2026'!B2140),"",'ENGAGEMENTS 2026'!AE2140)</f>
        <v/>
      </c>
      <c r="I2140">
        <f>IF(ISBLANK('ENGAGEMENTS 2026'!B2140),"",'ENGAGEMENTS 2026'!G2140)</f>
        <v/>
      </c>
      <c r="J2140" s="275">
        <f>IF(ISBLANK('ENGAGEMENTS 2026'!B2140),"",IF(AND(OR($E2140="INFRUCTUEUX",$E2140="ANNULE"),$C2140="AOO-M"),'ENGAGEMENTS 2026'!O2140,IF($H2140="EN COURS DE PREENGAGEMENT",'ENGAGEMENTS 2026'!N2140,IF($H2140="PREENGAGE",IF($E2140="ATTRIBUE",'ENGAGEMENTS 2026'!AD2140,'ENGAGEMENTS 2026'!N2140),'ENGAGEMENTS 2026'!AD2140))))</f>
        <v/>
      </c>
      <c r="K2140" s="604">
        <f>IF(ISBLANK('ENGAGEMENTS 2026'!V2140),"",'ENGAGEMENTS 2026'!V2140)</f>
        <v/>
      </c>
      <c r="L2140" s="276">
        <f>IF($K2140="","",TODAY()-$K2140)</f>
        <v/>
      </c>
      <c r="M2140">
        <f>IF($A2140="","",IF($H2140="ENGAGE","Engagé",IF(AND($H2140="NON ENGAGE",OR($I2140="INFRUCTUEUX",$I2140="ANNULE")),"Clôturé sans suite","En cours")))</f>
        <v/>
      </c>
      <c r="N2140">
        <f>IF(ISBLANK('ENGAGEMENTS 2026'!B2140),"",'ENGAGEMENTS 2026'!K2140)</f>
        <v/>
      </c>
      <c r="O2140">
        <f>IF(ISBLANK('ENGAGEMENTS 2026'!B2140),"",'ENGAGEMENTS 2026'!L2140)</f>
        <v/>
      </c>
      <c r="P2140">
        <f>IF(ISBLANK('ENGAGEMENTS 2026'!B2140),"",'ENGAGEMENTS 2026'!J2140)</f>
        <v/>
      </c>
      <c r="Q2140">
        <f>IF($A2140="","",IF(OR($E2140="INFRUCTUEUX",$E2140="ANNULE"),$A2140&amp;"|"&amp;(COUNTIFS($A$2:$A2140,$A2140,$E$2:$E2140,"INFRUCTUEUX")+COUNTIFS($A$2:$A2140,$A2140,$E$2:$E2140,"ANNULE")),""))</f>
        <v/>
      </c>
    </row>
    <row r="2141">
      <c r="A2141">
        <f>IF(ISBLANK('ENGAGEMENTS 2026'!B2141),"",IF('ENGAGEMENTS 2026'!B2141="DTSI","DCT",'ENGAGEMENTS 2026'!B2141))</f>
        <v/>
      </c>
      <c r="B2141">
        <f>IF(ISBLANK('ENGAGEMENTS 2026'!B2141),"",'ENGAGEMENTS 2026'!C2141)</f>
        <v/>
      </c>
      <c r="C2141">
        <f>IF(ISBLANK('ENGAGEMENTS 2026'!B2141),"",'ENGAGEMENTS 2026'!D2141)</f>
        <v/>
      </c>
      <c r="D2141">
        <f>IF(ISBLANK('ENGAGEMENTS 2026'!B2141),"",'ENGAGEMENTS 2026'!F2141)</f>
        <v/>
      </c>
      <c r="E2141">
        <f>IF(ISBLANK('ENGAGEMENTS 2026'!B2141),"",'ENGAGEMENTS 2026'!H2141)</f>
        <v/>
      </c>
      <c r="F2141">
        <f>IF(ISBLANK('ENGAGEMENTS 2026'!B2141),"",'ENGAGEMENTS 2026'!I2141)</f>
        <v/>
      </c>
      <c r="G2141">
        <f>IF(ISBLANK('ENGAGEMENTS 2026'!B2141),"",'ENGAGEMENTS 2026'!L2141)</f>
        <v/>
      </c>
      <c r="H2141">
        <f>IF(ISBLANK('ENGAGEMENTS 2026'!B2141),"",'ENGAGEMENTS 2026'!AE2141)</f>
        <v/>
      </c>
      <c r="I2141">
        <f>IF(ISBLANK('ENGAGEMENTS 2026'!B2141),"",'ENGAGEMENTS 2026'!G2141)</f>
        <v/>
      </c>
      <c r="J2141" s="275">
        <f>IF(ISBLANK('ENGAGEMENTS 2026'!B2141),"",IF(AND(OR($E2141="INFRUCTUEUX",$E2141="ANNULE"),$C2141="AOO-M"),'ENGAGEMENTS 2026'!O2141,IF($H2141="EN COURS DE PREENGAGEMENT",'ENGAGEMENTS 2026'!N2141,IF($H2141="PREENGAGE",IF($E2141="ATTRIBUE",'ENGAGEMENTS 2026'!AD2141,'ENGAGEMENTS 2026'!N2141),'ENGAGEMENTS 2026'!AD2141))))</f>
        <v/>
      </c>
      <c r="K2141" s="604">
        <f>IF(ISBLANK('ENGAGEMENTS 2026'!V2141),"",'ENGAGEMENTS 2026'!V2141)</f>
        <v/>
      </c>
      <c r="L2141" s="276">
        <f>IF($K2141="","",TODAY()-$K2141)</f>
        <v/>
      </c>
      <c r="M2141">
        <f>IF($A2141="","",IF($H2141="ENGAGE","Engagé",IF(AND($H2141="NON ENGAGE",OR($I2141="INFRUCTUEUX",$I2141="ANNULE")),"Clôturé sans suite","En cours")))</f>
        <v/>
      </c>
      <c r="N2141">
        <f>IF(ISBLANK('ENGAGEMENTS 2026'!B2141),"",'ENGAGEMENTS 2026'!K2141)</f>
        <v/>
      </c>
      <c r="O2141">
        <f>IF(ISBLANK('ENGAGEMENTS 2026'!B2141),"",'ENGAGEMENTS 2026'!L2141)</f>
        <v/>
      </c>
      <c r="P2141">
        <f>IF(ISBLANK('ENGAGEMENTS 2026'!B2141),"",'ENGAGEMENTS 2026'!J2141)</f>
        <v/>
      </c>
      <c r="Q2141">
        <f>IF($A2141="","",IF(OR($E2141="INFRUCTUEUX",$E2141="ANNULE"),$A2141&amp;"|"&amp;(COUNTIFS($A$2:$A2141,$A2141,$E$2:$E2141,"INFRUCTUEUX")+COUNTIFS($A$2:$A2141,$A2141,$E$2:$E2141,"ANNULE")),""))</f>
        <v/>
      </c>
    </row>
    <row r="2142">
      <c r="A2142">
        <f>IF(ISBLANK('ENGAGEMENTS 2026'!B2142),"",IF('ENGAGEMENTS 2026'!B2142="DTSI","DCT",'ENGAGEMENTS 2026'!B2142))</f>
        <v/>
      </c>
      <c r="B2142">
        <f>IF(ISBLANK('ENGAGEMENTS 2026'!B2142),"",'ENGAGEMENTS 2026'!C2142)</f>
        <v/>
      </c>
      <c r="C2142">
        <f>IF(ISBLANK('ENGAGEMENTS 2026'!B2142),"",'ENGAGEMENTS 2026'!D2142)</f>
        <v/>
      </c>
      <c r="D2142">
        <f>IF(ISBLANK('ENGAGEMENTS 2026'!B2142),"",'ENGAGEMENTS 2026'!F2142)</f>
        <v/>
      </c>
      <c r="E2142">
        <f>IF(ISBLANK('ENGAGEMENTS 2026'!B2142),"",'ENGAGEMENTS 2026'!H2142)</f>
        <v/>
      </c>
      <c r="F2142">
        <f>IF(ISBLANK('ENGAGEMENTS 2026'!B2142),"",'ENGAGEMENTS 2026'!I2142)</f>
        <v/>
      </c>
      <c r="G2142">
        <f>IF(ISBLANK('ENGAGEMENTS 2026'!B2142),"",'ENGAGEMENTS 2026'!L2142)</f>
        <v/>
      </c>
      <c r="H2142">
        <f>IF(ISBLANK('ENGAGEMENTS 2026'!B2142),"",'ENGAGEMENTS 2026'!AE2142)</f>
        <v/>
      </c>
      <c r="I2142">
        <f>IF(ISBLANK('ENGAGEMENTS 2026'!B2142),"",'ENGAGEMENTS 2026'!G2142)</f>
        <v/>
      </c>
      <c r="J2142" s="275">
        <f>IF(ISBLANK('ENGAGEMENTS 2026'!B2142),"",IF(AND(OR($E2142="INFRUCTUEUX",$E2142="ANNULE"),$C2142="AOO-M"),'ENGAGEMENTS 2026'!O2142,IF($H2142="EN COURS DE PREENGAGEMENT",'ENGAGEMENTS 2026'!N2142,IF($H2142="PREENGAGE",IF($E2142="ATTRIBUE",'ENGAGEMENTS 2026'!AD2142,'ENGAGEMENTS 2026'!N2142),'ENGAGEMENTS 2026'!AD2142))))</f>
        <v/>
      </c>
      <c r="K2142" s="604">
        <f>IF(ISBLANK('ENGAGEMENTS 2026'!V2142),"",'ENGAGEMENTS 2026'!V2142)</f>
        <v/>
      </c>
      <c r="L2142" s="276">
        <f>IF($K2142="","",TODAY()-$K2142)</f>
        <v/>
      </c>
      <c r="M2142">
        <f>IF($A2142="","",IF($H2142="ENGAGE","Engagé",IF(AND($H2142="NON ENGAGE",OR($I2142="INFRUCTUEUX",$I2142="ANNULE")),"Clôturé sans suite","En cours")))</f>
        <v/>
      </c>
      <c r="N2142">
        <f>IF(ISBLANK('ENGAGEMENTS 2026'!B2142),"",'ENGAGEMENTS 2026'!K2142)</f>
        <v/>
      </c>
      <c r="O2142">
        <f>IF(ISBLANK('ENGAGEMENTS 2026'!B2142),"",'ENGAGEMENTS 2026'!L2142)</f>
        <v/>
      </c>
      <c r="P2142">
        <f>IF(ISBLANK('ENGAGEMENTS 2026'!B2142),"",'ENGAGEMENTS 2026'!J2142)</f>
        <v/>
      </c>
      <c r="Q2142">
        <f>IF($A2142="","",IF(OR($E2142="INFRUCTUEUX",$E2142="ANNULE"),$A2142&amp;"|"&amp;(COUNTIFS($A$2:$A2142,$A2142,$E$2:$E2142,"INFRUCTUEUX")+COUNTIFS($A$2:$A2142,$A2142,$E$2:$E2142,"ANNULE")),""))</f>
        <v/>
      </c>
    </row>
    <row r="2143">
      <c r="A2143">
        <f>IF(ISBLANK('ENGAGEMENTS 2026'!B2143),"",IF('ENGAGEMENTS 2026'!B2143="DTSI","DCT",'ENGAGEMENTS 2026'!B2143))</f>
        <v/>
      </c>
      <c r="B2143">
        <f>IF(ISBLANK('ENGAGEMENTS 2026'!B2143),"",'ENGAGEMENTS 2026'!C2143)</f>
        <v/>
      </c>
      <c r="C2143">
        <f>IF(ISBLANK('ENGAGEMENTS 2026'!B2143),"",'ENGAGEMENTS 2026'!D2143)</f>
        <v/>
      </c>
      <c r="D2143">
        <f>IF(ISBLANK('ENGAGEMENTS 2026'!B2143),"",'ENGAGEMENTS 2026'!F2143)</f>
        <v/>
      </c>
      <c r="E2143">
        <f>IF(ISBLANK('ENGAGEMENTS 2026'!B2143),"",'ENGAGEMENTS 2026'!H2143)</f>
        <v/>
      </c>
      <c r="F2143">
        <f>IF(ISBLANK('ENGAGEMENTS 2026'!B2143),"",'ENGAGEMENTS 2026'!I2143)</f>
        <v/>
      </c>
      <c r="G2143">
        <f>IF(ISBLANK('ENGAGEMENTS 2026'!B2143),"",'ENGAGEMENTS 2026'!L2143)</f>
        <v/>
      </c>
      <c r="H2143">
        <f>IF(ISBLANK('ENGAGEMENTS 2026'!B2143),"",'ENGAGEMENTS 2026'!AE2143)</f>
        <v/>
      </c>
      <c r="I2143">
        <f>IF(ISBLANK('ENGAGEMENTS 2026'!B2143),"",'ENGAGEMENTS 2026'!G2143)</f>
        <v/>
      </c>
      <c r="J2143" s="275">
        <f>IF(ISBLANK('ENGAGEMENTS 2026'!B2143),"",IF(AND(OR($E2143="INFRUCTUEUX",$E2143="ANNULE"),$C2143="AOO-M"),'ENGAGEMENTS 2026'!O2143,IF($H2143="EN COURS DE PREENGAGEMENT",'ENGAGEMENTS 2026'!N2143,IF($H2143="PREENGAGE",IF($E2143="ATTRIBUE",'ENGAGEMENTS 2026'!AD2143,'ENGAGEMENTS 2026'!N2143),'ENGAGEMENTS 2026'!AD2143))))</f>
        <v/>
      </c>
      <c r="K2143" s="604">
        <f>IF(ISBLANK('ENGAGEMENTS 2026'!V2143),"",'ENGAGEMENTS 2026'!V2143)</f>
        <v/>
      </c>
      <c r="L2143" s="276">
        <f>IF($K2143="","",TODAY()-$K2143)</f>
        <v/>
      </c>
      <c r="M2143">
        <f>IF($A2143="","",IF($H2143="ENGAGE","Engagé",IF(AND($H2143="NON ENGAGE",OR($I2143="INFRUCTUEUX",$I2143="ANNULE")),"Clôturé sans suite","En cours")))</f>
        <v/>
      </c>
      <c r="N2143">
        <f>IF(ISBLANK('ENGAGEMENTS 2026'!B2143),"",'ENGAGEMENTS 2026'!K2143)</f>
        <v/>
      </c>
      <c r="O2143">
        <f>IF(ISBLANK('ENGAGEMENTS 2026'!B2143),"",'ENGAGEMENTS 2026'!L2143)</f>
        <v/>
      </c>
      <c r="P2143">
        <f>IF(ISBLANK('ENGAGEMENTS 2026'!B2143),"",'ENGAGEMENTS 2026'!J2143)</f>
        <v/>
      </c>
      <c r="Q2143">
        <f>IF($A2143="","",IF(OR($E2143="INFRUCTUEUX",$E2143="ANNULE"),$A2143&amp;"|"&amp;(COUNTIFS($A$2:$A2143,$A2143,$E$2:$E2143,"INFRUCTUEUX")+COUNTIFS($A$2:$A2143,$A2143,$E$2:$E2143,"ANNULE")),""))</f>
        <v/>
      </c>
    </row>
    <row r="2144">
      <c r="A2144">
        <f>IF(ISBLANK('ENGAGEMENTS 2026'!B2144),"",IF('ENGAGEMENTS 2026'!B2144="DTSI","DCT",'ENGAGEMENTS 2026'!B2144))</f>
        <v/>
      </c>
      <c r="B2144">
        <f>IF(ISBLANK('ENGAGEMENTS 2026'!B2144),"",'ENGAGEMENTS 2026'!C2144)</f>
        <v/>
      </c>
      <c r="C2144">
        <f>IF(ISBLANK('ENGAGEMENTS 2026'!B2144),"",'ENGAGEMENTS 2026'!D2144)</f>
        <v/>
      </c>
      <c r="D2144">
        <f>IF(ISBLANK('ENGAGEMENTS 2026'!B2144),"",'ENGAGEMENTS 2026'!F2144)</f>
        <v/>
      </c>
      <c r="E2144">
        <f>IF(ISBLANK('ENGAGEMENTS 2026'!B2144),"",'ENGAGEMENTS 2026'!H2144)</f>
        <v/>
      </c>
      <c r="F2144">
        <f>IF(ISBLANK('ENGAGEMENTS 2026'!B2144),"",'ENGAGEMENTS 2026'!I2144)</f>
        <v/>
      </c>
      <c r="G2144">
        <f>IF(ISBLANK('ENGAGEMENTS 2026'!B2144),"",'ENGAGEMENTS 2026'!L2144)</f>
        <v/>
      </c>
      <c r="H2144">
        <f>IF(ISBLANK('ENGAGEMENTS 2026'!B2144),"",'ENGAGEMENTS 2026'!AE2144)</f>
        <v/>
      </c>
      <c r="I2144">
        <f>IF(ISBLANK('ENGAGEMENTS 2026'!B2144),"",'ENGAGEMENTS 2026'!G2144)</f>
        <v/>
      </c>
      <c r="J2144" s="275">
        <f>IF(ISBLANK('ENGAGEMENTS 2026'!B2144),"",IF(AND(OR($E2144="INFRUCTUEUX",$E2144="ANNULE"),$C2144="AOO-M"),'ENGAGEMENTS 2026'!O2144,IF($H2144="EN COURS DE PREENGAGEMENT",'ENGAGEMENTS 2026'!N2144,IF($H2144="PREENGAGE",IF($E2144="ATTRIBUE",'ENGAGEMENTS 2026'!AD2144,'ENGAGEMENTS 2026'!N2144),'ENGAGEMENTS 2026'!AD2144))))</f>
        <v/>
      </c>
      <c r="K2144" s="604">
        <f>IF(ISBLANK('ENGAGEMENTS 2026'!V2144),"",'ENGAGEMENTS 2026'!V2144)</f>
        <v/>
      </c>
      <c r="L2144" s="276">
        <f>IF($K2144="","",TODAY()-$K2144)</f>
        <v/>
      </c>
      <c r="M2144">
        <f>IF($A2144="","",IF($H2144="ENGAGE","Engagé",IF(AND($H2144="NON ENGAGE",OR($I2144="INFRUCTUEUX",$I2144="ANNULE")),"Clôturé sans suite","En cours")))</f>
        <v/>
      </c>
      <c r="N2144">
        <f>IF(ISBLANK('ENGAGEMENTS 2026'!B2144),"",'ENGAGEMENTS 2026'!K2144)</f>
        <v/>
      </c>
      <c r="O2144">
        <f>IF(ISBLANK('ENGAGEMENTS 2026'!B2144),"",'ENGAGEMENTS 2026'!L2144)</f>
        <v/>
      </c>
      <c r="P2144">
        <f>IF(ISBLANK('ENGAGEMENTS 2026'!B2144),"",'ENGAGEMENTS 2026'!J2144)</f>
        <v/>
      </c>
      <c r="Q2144">
        <f>IF($A2144="","",IF(OR($E2144="INFRUCTUEUX",$E2144="ANNULE"),$A2144&amp;"|"&amp;(COUNTIFS($A$2:$A2144,$A2144,$E$2:$E2144,"INFRUCTUEUX")+COUNTIFS($A$2:$A2144,$A2144,$E$2:$E2144,"ANNULE")),""))</f>
        <v/>
      </c>
    </row>
    <row r="2145">
      <c r="A2145">
        <f>IF(ISBLANK('ENGAGEMENTS 2026'!B2145),"",IF('ENGAGEMENTS 2026'!B2145="DTSI","DCT",'ENGAGEMENTS 2026'!B2145))</f>
        <v/>
      </c>
      <c r="B2145">
        <f>IF(ISBLANK('ENGAGEMENTS 2026'!B2145),"",'ENGAGEMENTS 2026'!C2145)</f>
        <v/>
      </c>
      <c r="C2145">
        <f>IF(ISBLANK('ENGAGEMENTS 2026'!B2145),"",'ENGAGEMENTS 2026'!D2145)</f>
        <v/>
      </c>
      <c r="D2145">
        <f>IF(ISBLANK('ENGAGEMENTS 2026'!B2145),"",'ENGAGEMENTS 2026'!F2145)</f>
        <v/>
      </c>
      <c r="E2145">
        <f>IF(ISBLANK('ENGAGEMENTS 2026'!B2145),"",'ENGAGEMENTS 2026'!H2145)</f>
        <v/>
      </c>
      <c r="F2145">
        <f>IF(ISBLANK('ENGAGEMENTS 2026'!B2145),"",'ENGAGEMENTS 2026'!I2145)</f>
        <v/>
      </c>
      <c r="G2145">
        <f>IF(ISBLANK('ENGAGEMENTS 2026'!B2145),"",'ENGAGEMENTS 2026'!L2145)</f>
        <v/>
      </c>
      <c r="H2145">
        <f>IF(ISBLANK('ENGAGEMENTS 2026'!B2145),"",'ENGAGEMENTS 2026'!AE2145)</f>
        <v/>
      </c>
      <c r="I2145">
        <f>IF(ISBLANK('ENGAGEMENTS 2026'!B2145),"",'ENGAGEMENTS 2026'!G2145)</f>
        <v/>
      </c>
      <c r="J2145" s="275">
        <f>IF(ISBLANK('ENGAGEMENTS 2026'!B2145),"",IF(AND(OR($E2145="INFRUCTUEUX",$E2145="ANNULE"),$C2145="AOO-M"),'ENGAGEMENTS 2026'!O2145,IF($H2145="EN COURS DE PREENGAGEMENT",'ENGAGEMENTS 2026'!N2145,IF($H2145="PREENGAGE",IF($E2145="ATTRIBUE",'ENGAGEMENTS 2026'!AD2145,'ENGAGEMENTS 2026'!N2145),'ENGAGEMENTS 2026'!AD2145))))</f>
        <v/>
      </c>
      <c r="K2145" s="604">
        <f>IF(ISBLANK('ENGAGEMENTS 2026'!V2145),"",'ENGAGEMENTS 2026'!V2145)</f>
        <v/>
      </c>
      <c r="L2145" s="276">
        <f>IF($K2145="","",TODAY()-$K2145)</f>
        <v/>
      </c>
      <c r="M2145">
        <f>IF($A2145="","",IF($H2145="ENGAGE","Engagé",IF(AND($H2145="NON ENGAGE",OR($I2145="INFRUCTUEUX",$I2145="ANNULE")),"Clôturé sans suite","En cours")))</f>
        <v/>
      </c>
      <c r="N2145">
        <f>IF(ISBLANK('ENGAGEMENTS 2026'!B2145),"",'ENGAGEMENTS 2026'!K2145)</f>
        <v/>
      </c>
      <c r="O2145">
        <f>IF(ISBLANK('ENGAGEMENTS 2026'!B2145),"",'ENGAGEMENTS 2026'!L2145)</f>
        <v/>
      </c>
      <c r="P2145">
        <f>IF(ISBLANK('ENGAGEMENTS 2026'!B2145),"",'ENGAGEMENTS 2026'!J2145)</f>
        <v/>
      </c>
      <c r="Q2145">
        <f>IF($A2145="","",IF(OR($E2145="INFRUCTUEUX",$E2145="ANNULE"),$A2145&amp;"|"&amp;(COUNTIFS($A$2:$A2145,$A2145,$E$2:$E2145,"INFRUCTUEUX")+COUNTIFS($A$2:$A2145,$A2145,$E$2:$E2145,"ANNULE")),""))</f>
        <v/>
      </c>
    </row>
    <row r="2146">
      <c r="A2146">
        <f>IF(ISBLANK('ENGAGEMENTS 2026'!B2146),"",IF('ENGAGEMENTS 2026'!B2146="DTSI","DCT",'ENGAGEMENTS 2026'!B2146))</f>
        <v/>
      </c>
      <c r="B2146">
        <f>IF(ISBLANK('ENGAGEMENTS 2026'!B2146),"",'ENGAGEMENTS 2026'!C2146)</f>
        <v/>
      </c>
      <c r="C2146">
        <f>IF(ISBLANK('ENGAGEMENTS 2026'!B2146),"",'ENGAGEMENTS 2026'!D2146)</f>
        <v/>
      </c>
      <c r="D2146">
        <f>IF(ISBLANK('ENGAGEMENTS 2026'!B2146),"",'ENGAGEMENTS 2026'!F2146)</f>
        <v/>
      </c>
      <c r="E2146">
        <f>IF(ISBLANK('ENGAGEMENTS 2026'!B2146),"",'ENGAGEMENTS 2026'!H2146)</f>
        <v/>
      </c>
      <c r="F2146">
        <f>IF(ISBLANK('ENGAGEMENTS 2026'!B2146),"",'ENGAGEMENTS 2026'!I2146)</f>
        <v/>
      </c>
      <c r="G2146">
        <f>IF(ISBLANK('ENGAGEMENTS 2026'!B2146),"",'ENGAGEMENTS 2026'!L2146)</f>
        <v/>
      </c>
      <c r="H2146">
        <f>IF(ISBLANK('ENGAGEMENTS 2026'!B2146),"",'ENGAGEMENTS 2026'!AE2146)</f>
        <v/>
      </c>
      <c r="I2146">
        <f>IF(ISBLANK('ENGAGEMENTS 2026'!B2146),"",'ENGAGEMENTS 2026'!G2146)</f>
        <v/>
      </c>
      <c r="J2146" s="275">
        <f>IF(ISBLANK('ENGAGEMENTS 2026'!B2146),"",IF(AND(OR($E2146="INFRUCTUEUX",$E2146="ANNULE"),$C2146="AOO-M"),'ENGAGEMENTS 2026'!O2146,IF($H2146="EN COURS DE PREENGAGEMENT",'ENGAGEMENTS 2026'!N2146,IF($H2146="PREENGAGE",IF($E2146="ATTRIBUE",'ENGAGEMENTS 2026'!AD2146,'ENGAGEMENTS 2026'!N2146),'ENGAGEMENTS 2026'!AD2146))))</f>
        <v/>
      </c>
      <c r="K2146" s="604">
        <f>IF(ISBLANK('ENGAGEMENTS 2026'!V2146),"",'ENGAGEMENTS 2026'!V2146)</f>
        <v/>
      </c>
      <c r="L2146" s="276">
        <f>IF($K2146="","",TODAY()-$K2146)</f>
        <v/>
      </c>
      <c r="M2146">
        <f>IF($A2146="","",IF($H2146="ENGAGE","Engagé",IF(AND($H2146="NON ENGAGE",OR($I2146="INFRUCTUEUX",$I2146="ANNULE")),"Clôturé sans suite","En cours")))</f>
        <v/>
      </c>
      <c r="N2146">
        <f>IF(ISBLANK('ENGAGEMENTS 2026'!B2146),"",'ENGAGEMENTS 2026'!K2146)</f>
        <v/>
      </c>
      <c r="O2146">
        <f>IF(ISBLANK('ENGAGEMENTS 2026'!B2146),"",'ENGAGEMENTS 2026'!L2146)</f>
        <v/>
      </c>
      <c r="P2146">
        <f>IF(ISBLANK('ENGAGEMENTS 2026'!B2146),"",'ENGAGEMENTS 2026'!J2146)</f>
        <v/>
      </c>
      <c r="Q2146">
        <f>IF($A2146="","",IF(OR($E2146="INFRUCTUEUX",$E2146="ANNULE"),$A2146&amp;"|"&amp;(COUNTIFS($A$2:$A2146,$A2146,$E$2:$E2146,"INFRUCTUEUX")+COUNTIFS($A$2:$A2146,$A2146,$E$2:$E2146,"ANNULE")),""))</f>
        <v/>
      </c>
    </row>
    <row r="2147">
      <c r="A2147">
        <f>IF(ISBLANK('ENGAGEMENTS 2026'!B2147),"",IF('ENGAGEMENTS 2026'!B2147="DTSI","DCT",'ENGAGEMENTS 2026'!B2147))</f>
        <v/>
      </c>
      <c r="B2147">
        <f>IF(ISBLANK('ENGAGEMENTS 2026'!B2147),"",'ENGAGEMENTS 2026'!C2147)</f>
        <v/>
      </c>
      <c r="C2147">
        <f>IF(ISBLANK('ENGAGEMENTS 2026'!B2147),"",'ENGAGEMENTS 2026'!D2147)</f>
        <v/>
      </c>
      <c r="D2147">
        <f>IF(ISBLANK('ENGAGEMENTS 2026'!B2147),"",'ENGAGEMENTS 2026'!F2147)</f>
        <v/>
      </c>
      <c r="E2147">
        <f>IF(ISBLANK('ENGAGEMENTS 2026'!B2147),"",'ENGAGEMENTS 2026'!H2147)</f>
        <v/>
      </c>
      <c r="F2147">
        <f>IF(ISBLANK('ENGAGEMENTS 2026'!B2147),"",'ENGAGEMENTS 2026'!I2147)</f>
        <v/>
      </c>
      <c r="G2147">
        <f>IF(ISBLANK('ENGAGEMENTS 2026'!B2147),"",'ENGAGEMENTS 2026'!L2147)</f>
        <v/>
      </c>
      <c r="H2147">
        <f>IF(ISBLANK('ENGAGEMENTS 2026'!B2147),"",'ENGAGEMENTS 2026'!AE2147)</f>
        <v/>
      </c>
      <c r="I2147">
        <f>IF(ISBLANK('ENGAGEMENTS 2026'!B2147),"",'ENGAGEMENTS 2026'!G2147)</f>
        <v/>
      </c>
      <c r="J2147" s="275">
        <f>IF(ISBLANK('ENGAGEMENTS 2026'!B2147),"",IF(AND(OR($E2147="INFRUCTUEUX",$E2147="ANNULE"),$C2147="AOO-M"),'ENGAGEMENTS 2026'!O2147,IF($H2147="EN COURS DE PREENGAGEMENT",'ENGAGEMENTS 2026'!N2147,IF($H2147="PREENGAGE",IF($E2147="ATTRIBUE",'ENGAGEMENTS 2026'!AD2147,'ENGAGEMENTS 2026'!N2147),'ENGAGEMENTS 2026'!AD2147))))</f>
        <v/>
      </c>
      <c r="K2147" s="604">
        <f>IF(ISBLANK('ENGAGEMENTS 2026'!V2147),"",'ENGAGEMENTS 2026'!V2147)</f>
        <v/>
      </c>
      <c r="L2147" s="276">
        <f>IF($K2147="","",TODAY()-$K2147)</f>
        <v/>
      </c>
      <c r="M2147">
        <f>IF($A2147="","",IF($H2147="ENGAGE","Engagé",IF(AND($H2147="NON ENGAGE",OR($I2147="INFRUCTUEUX",$I2147="ANNULE")),"Clôturé sans suite","En cours")))</f>
        <v/>
      </c>
      <c r="N2147">
        <f>IF(ISBLANK('ENGAGEMENTS 2026'!B2147),"",'ENGAGEMENTS 2026'!K2147)</f>
        <v/>
      </c>
      <c r="O2147">
        <f>IF(ISBLANK('ENGAGEMENTS 2026'!B2147),"",'ENGAGEMENTS 2026'!L2147)</f>
        <v/>
      </c>
      <c r="P2147">
        <f>IF(ISBLANK('ENGAGEMENTS 2026'!B2147),"",'ENGAGEMENTS 2026'!J2147)</f>
        <v/>
      </c>
      <c r="Q2147">
        <f>IF($A2147="","",IF(OR($E2147="INFRUCTUEUX",$E2147="ANNULE"),$A2147&amp;"|"&amp;(COUNTIFS($A$2:$A2147,$A2147,$E$2:$E2147,"INFRUCTUEUX")+COUNTIFS($A$2:$A2147,$A2147,$E$2:$E2147,"ANNULE")),""))</f>
        <v/>
      </c>
    </row>
    <row r="2148">
      <c r="A2148">
        <f>IF(ISBLANK('ENGAGEMENTS 2026'!B2148),"",IF('ENGAGEMENTS 2026'!B2148="DTSI","DCT",'ENGAGEMENTS 2026'!B2148))</f>
        <v/>
      </c>
      <c r="B2148">
        <f>IF(ISBLANK('ENGAGEMENTS 2026'!B2148),"",'ENGAGEMENTS 2026'!C2148)</f>
        <v/>
      </c>
      <c r="C2148">
        <f>IF(ISBLANK('ENGAGEMENTS 2026'!B2148),"",'ENGAGEMENTS 2026'!D2148)</f>
        <v/>
      </c>
      <c r="D2148">
        <f>IF(ISBLANK('ENGAGEMENTS 2026'!B2148),"",'ENGAGEMENTS 2026'!F2148)</f>
        <v/>
      </c>
      <c r="E2148">
        <f>IF(ISBLANK('ENGAGEMENTS 2026'!B2148),"",'ENGAGEMENTS 2026'!H2148)</f>
        <v/>
      </c>
      <c r="F2148">
        <f>IF(ISBLANK('ENGAGEMENTS 2026'!B2148),"",'ENGAGEMENTS 2026'!I2148)</f>
        <v/>
      </c>
      <c r="G2148">
        <f>IF(ISBLANK('ENGAGEMENTS 2026'!B2148),"",'ENGAGEMENTS 2026'!L2148)</f>
        <v/>
      </c>
      <c r="H2148">
        <f>IF(ISBLANK('ENGAGEMENTS 2026'!B2148),"",'ENGAGEMENTS 2026'!AE2148)</f>
        <v/>
      </c>
      <c r="I2148">
        <f>IF(ISBLANK('ENGAGEMENTS 2026'!B2148),"",'ENGAGEMENTS 2026'!G2148)</f>
        <v/>
      </c>
      <c r="J2148" s="275">
        <f>IF(ISBLANK('ENGAGEMENTS 2026'!B2148),"",IF(AND(OR($E2148="INFRUCTUEUX",$E2148="ANNULE"),$C2148="AOO-M"),'ENGAGEMENTS 2026'!O2148,IF($H2148="EN COURS DE PREENGAGEMENT",'ENGAGEMENTS 2026'!N2148,IF($H2148="PREENGAGE",IF($E2148="ATTRIBUE",'ENGAGEMENTS 2026'!AD2148,'ENGAGEMENTS 2026'!N2148),'ENGAGEMENTS 2026'!AD2148))))</f>
        <v/>
      </c>
      <c r="K2148" s="604">
        <f>IF(ISBLANK('ENGAGEMENTS 2026'!V2148),"",'ENGAGEMENTS 2026'!V2148)</f>
        <v/>
      </c>
      <c r="L2148" s="276">
        <f>IF($K2148="","",TODAY()-$K2148)</f>
        <v/>
      </c>
      <c r="M2148">
        <f>IF($A2148="","",IF($H2148="ENGAGE","Engagé",IF(AND($H2148="NON ENGAGE",OR($I2148="INFRUCTUEUX",$I2148="ANNULE")),"Clôturé sans suite","En cours")))</f>
        <v/>
      </c>
      <c r="N2148">
        <f>IF(ISBLANK('ENGAGEMENTS 2026'!B2148),"",'ENGAGEMENTS 2026'!K2148)</f>
        <v/>
      </c>
      <c r="O2148">
        <f>IF(ISBLANK('ENGAGEMENTS 2026'!B2148),"",'ENGAGEMENTS 2026'!L2148)</f>
        <v/>
      </c>
      <c r="P2148">
        <f>IF(ISBLANK('ENGAGEMENTS 2026'!B2148),"",'ENGAGEMENTS 2026'!J2148)</f>
        <v/>
      </c>
      <c r="Q2148">
        <f>IF($A2148="","",IF(OR($E2148="INFRUCTUEUX",$E2148="ANNULE"),$A2148&amp;"|"&amp;(COUNTIFS($A$2:$A2148,$A2148,$E$2:$E2148,"INFRUCTUEUX")+COUNTIFS($A$2:$A2148,$A2148,$E$2:$E2148,"ANNULE")),""))</f>
        <v/>
      </c>
    </row>
    <row r="2149">
      <c r="A2149">
        <f>IF(ISBLANK('ENGAGEMENTS 2026'!B2149),"",IF('ENGAGEMENTS 2026'!B2149="DTSI","DCT",'ENGAGEMENTS 2026'!B2149))</f>
        <v/>
      </c>
      <c r="B2149">
        <f>IF(ISBLANK('ENGAGEMENTS 2026'!B2149),"",'ENGAGEMENTS 2026'!C2149)</f>
        <v/>
      </c>
      <c r="C2149">
        <f>IF(ISBLANK('ENGAGEMENTS 2026'!B2149),"",'ENGAGEMENTS 2026'!D2149)</f>
        <v/>
      </c>
      <c r="D2149">
        <f>IF(ISBLANK('ENGAGEMENTS 2026'!B2149),"",'ENGAGEMENTS 2026'!F2149)</f>
        <v/>
      </c>
      <c r="E2149">
        <f>IF(ISBLANK('ENGAGEMENTS 2026'!B2149),"",'ENGAGEMENTS 2026'!H2149)</f>
        <v/>
      </c>
      <c r="F2149">
        <f>IF(ISBLANK('ENGAGEMENTS 2026'!B2149),"",'ENGAGEMENTS 2026'!I2149)</f>
        <v/>
      </c>
      <c r="G2149">
        <f>IF(ISBLANK('ENGAGEMENTS 2026'!B2149),"",'ENGAGEMENTS 2026'!L2149)</f>
        <v/>
      </c>
      <c r="H2149">
        <f>IF(ISBLANK('ENGAGEMENTS 2026'!B2149),"",'ENGAGEMENTS 2026'!AE2149)</f>
        <v/>
      </c>
      <c r="I2149">
        <f>IF(ISBLANK('ENGAGEMENTS 2026'!B2149),"",'ENGAGEMENTS 2026'!G2149)</f>
        <v/>
      </c>
      <c r="J2149" s="275">
        <f>IF(ISBLANK('ENGAGEMENTS 2026'!B2149),"",IF(AND(OR($E2149="INFRUCTUEUX",$E2149="ANNULE"),$C2149="AOO-M"),'ENGAGEMENTS 2026'!O2149,IF($H2149="EN COURS DE PREENGAGEMENT",'ENGAGEMENTS 2026'!N2149,IF($H2149="PREENGAGE",IF($E2149="ATTRIBUE",'ENGAGEMENTS 2026'!AD2149,'ENGAGEMENTS 2026'!N2149),'ENGAGEMENTS 2026'!AD2149))))</f>
        <v/>
      </c>
      <c r="K2149" s="604">
        <f>IF(ISBLANK('ENGAGEMENTS 2026'!V2149),"",'ENGAGEMENTS 2026'!V2149)</f>
        <v/>
      </c>
      <c r="L2149" s="276">
        <f>IF($K2149="","",TODAY()-$K2149)</f>
        <v/>
      </c>
      <c r="M2149">
        <f>IF($A2149="","",IF($H2149="ENGAGE","Engagé",IF(AND($H2149="NON ENGAGE",OR($I2149="INFRUCTUEUX",$I2149="ANNULE")),"Clôturé sans suite","En cours")))</f>
        <v/>
      </c>
      <c r="N2149">
        <f>IF(ISBLANK('ENGAGEMENTS 2026'!B2149),"",'ENGAGEMENTS 2026'!K2149)</f>
        <v/>
      </c>
      <c r="O2149">
        <f>IF(ISBLANK('ENGAGEMENTS 2026'!B2149),"",'ENGAGEMENTS 2026'!L2149)</f>
        <v/>
      </c>
      <c r="P2149">
        <f>IF(ISBLANK('ENGAGEMENTS 2026'!B2149),"",'ENGAGEMENTS 2026'!J2149)</f>
        <v/>
      </c>
      <c r="Q2149">
        <f>IF($A2149="","",IF(OR($E2149="INFRUCTUEUX",$E2149="ANNULE"),$A2149&amp;"|"&amp;(COUNTIFS($A$2:$A2149,$A2149,$E$2:$E2149,"INFRUCTUEUX")+COUNTIFS($A$2:$A2149,$A2149,$E$2:$E2149,"ANNULE")),""))</f>
        <v/>
      </c>
    </row>
    <row r="2150">
      <c r="A2150">
        <f>IF(ISBLANK('ENGAGEMENTS 2026'!B2150),"",IF('ENGAGEMENTS 2026'!B2150="DTSI","DCT",'ENGAGEMENTS 2026'!B2150))</f>
        <v/>
      </c>
      <c r="B2150">
        <f>IF(ISBLANK('ENGAGEMENTS 2026'!B2150),"",'ENGAGEMENTS 2026'!C2150)</f>
        <v/>
      </c>
      <c r="C2150">
        <f>IF(ISBLANK('ENGAGEMENTS 2026'!B2150),"",'ENGAGEMENTS 2026'!D2150)</f>
        <v/>
      </c>
      <c r="D2150">
        <f>IF(ISBLANK('ENGAGEMENTS 2026'!B2150),"",'ENGAGEMENTS 2026'!F2150)</f>
        <v/>
      </c>
      <c r="E2150">
        <f>IF(ISBLANK('ENGAGEMENTS 2026'!B2150),"",'ENGAGEMENTS 2026'!H2150)</f>
        <v/>
      </c>
      <c r="F2150">
        <f>IF(ISBLANK('ENGAGEMENTS 2026'!B2150),"",'ENGAGEMENTS 2026'!I2150)</f>
        <v/>
      </c>
      <c r="G2150">
        <f>IF(ISBLANK('ENGAGEMENTS 2026'!B2150),"",'ENGAGEMENTS 2026'!L2150)</f>
        <v/>
      </c>
      <c r="H2150">
        <f>IF(ISBLANK('ENGAGEMENTS 2026'!B2150),"",'ENGAGEMENTS 2026'!AE2150)</f>
        <v/>
      </c>
      <c r="I2150">
        <f>IF(ISBLANK('ENGAGEMENTS 2026'!B2150),"",'ENGAGEMENTS 2026'!G2150)</f>
        <v/>
      </c>
      <c r="J2150" s="275">
        <f>IF(ISBLANK('ENGAGEMENTS 2026'!B2150),"",IF(AND(OR($E2150="INFRUCTUEUX",$E2150="ANNULE"),$C2150="AOO-M"),'ENGAGEMENTS 2026'!O2150,IF($H2150="EN COURS DE PREENGAGEMENT",'ENGAGEMENTS 2026'!N2150,IF($H2150="PREENGAGE",IF($E2150="ATTRIBUE",'ENGAGEMENTS 2026'!AD2150,'ENGAGEMENTS 2026'!N2150),'ENGAGEMENTS 2026'!AD2150))))</f>
        <v/>
      </c>
      <c r="K2150" s="604">
        <f>IF(ISBLANK('ENGAGEMENTS 2026'!V2150),"",'ENGAGEMENTS 2026'!V2150)</f>
        <v/>
      </c>
      <c r="L2150" s="276">
        <f>IF($K2150="","",TODAY()-$K2150)</f>
        <v/>
      </c>
      <c r="M2150">
        <f>IF($A2150="","",IF($H2150="ENGAGE","Engagé",IF(AND($H2150="NON ENGAGE",OR($I2150="INFRUCTUEUX",$I2150="ANNULE")),"Clôturé sans suite","En cours")))</f>
        <v/>
      </c>
      <c r="N2150">
        <f>IF(ISBLANK('ENGAGEMENTS 2026'!B2150),"",'ENGAGEMENTS 2026'!K2150)</f>
        <v/>
      </c>
      <c r="O2150">
        <f>IF(ISBLANK('ENGAGEMENTS 2026'!B2150),"",'ENGAGEMENTS 2026'!L2150)</f>
        <v/>
      </c>
      <c r="P2150">
        <f>IF(ISBLANK('ENGAGEMENTS 2026'!B2150),"",'ENGAGEMENTS 2026'!J2150)</f>
        <v/>
      </c>
      <c r="Q2150">
        <f>IF($A2150="","",IF(OR($E2150="INFRUCTUEUX",$E2150="ANNULE"),$A2150&amp;"|"&amp;(COUNTIFS($A$2:$A2150,$A2150,$E$2:$E2150,"INFRUCTUEUX")+COUNTIFS($A$2:$A2150,$A2150,$E$2:$E2150,"ANNULE")),""))</f>
        <v/>
      </c>
    </row>
    <row r="2151">
      <c r="A2151">
        <f>IF(ISBLANK('ENGAGEMENTS 2026'!B2151),"",IF('ENGAGEMENTS 2026'!B2151="DTSI","DCT",'ENGAGEMENTS 2026'!B2151))</f>
        <v/>
      </c>
      <c r="B2151">
        <f>IF(ISBLANK('ENGAGEMENTS 2026'!B2151),"",'ENGAGEMENTS 2026'!C2151)</f>
        <v/>
      </c>
      <c r="C2151">
        <f>IF(ISBLANK('ENGAGEMENTS 2026'!B2151),"",'ENGAGEMENTS 2026'!D2151)</f>
        <v/>
      </c>
      <c r="D2151">
        <f>IF(ISBLANK('ENGAGEMENTS 2026'!B2151),"",'ENGAGEMENTS 2026'!F2151)</f>
        <v/>
      </c>
      <c r="E2151">
        <f>IF(ISBLANK('ENGAGEMENTS 2026'!B2151),"",'ENGAGEMENTS 2026'!H2151)</f>
        <v/>
      </c>
      <c r="F2151">
        <f>IF(ISBLANK('ENGAGEMENTS 2026'!B2151),"",'ENGAGEMENTS 2026'!I2151)</f>
        <v/>
      </c>
      <c r="G2151">
        <f>IF(ISBLANK('ENGAGEMENTS 2026'!B2151),"",'ENGAGEMENTS 2026'!L2151)</f>
        <v/>
      </c>
      <c r="H2151">
        <f>IF(ISBLANK('ENGAGEMENTS 2026'!B2151),"",'ENGAGEMENTS 2026'!AE2151)</f>
        <v/>
      </c>
      <c r="I2151">
        <f>IF(ISBLANK('ENGAGEMENTS 2026'!B2151),"",'ENGAGEMENTS 2026'!G2151)</f>
        <v/>
      </c>
      <c r="J2151" s="275">
        <f>IF(ISBLANK('ENGAGEMENTS 2026'!B2151),"",IF(AND(OR($E2151="INFRUCTUEUX",$E2151="ANNULE"),$C2151="AOO-M"),'ENGAGEMENTS 2026'!O2151,IF($H2151="EN COURS DE PREENGAGEMENT",'ENGAGEMENTS 2026'!N2151,IF($H2151="PREENGAGE",IF($E2151="ATTRIBUE",'ENGAGEMENTS 2026'!AD2151,'ENGAGEMENTS 2026'!N2151),'ENGAGEMENTS 2026'!AD2151))))</f>
        <v/>
      </c>
      <c r="K2151" s="604">
        <f>IF(ISBLANK('ENGAGEMENTS 2026'!V2151),"",'ENGAGEMENTS 2026'!V2151)</f>
        <v/>
      </c>
      <c r="L2151" s="276">
        <f>IF($K2151="","",TODAY()-$K2151)</f>
        <v/>
      </c>
      <c r="M2151">
        <f>IF($A2151="","",IF($H2151="ENGAGE","Engagé",IF(AND($H2151="NON ENGAGE",OR($I2151="INFRUCTUEUX",$I2151="ANNULE")),"Clôturé sans suite","En cours")))</f>
        <v/>
      </c>
      <c r="N2151">
        <f>IF(ISBLANK('ENGAGEMENTS 2026'!B2151),"",'ENGAGEMENTS 2026'!K2151)</f>
        <v/>
      </c>
      <c r="O2151">
        <f>IF(ISBLANK('ENGAGEMENTS 2026'!B2151),"",'ENGAGEMENTS 2026'!L2151)</f>
        <v/>
      </c>
      <c r="P2151">
        <f>IF(ISBLANK('ENGAGEMENTS 2026'!B2151),"",'ENGAGEMENTS 2026'!J2151)</f>
        <v/>
      </c>
      <c r="Q2151">
        <f>IF($A2151="","",IF(OR($E2151="INFRUCTUEUX",$E2151="ANNULE"),$A2151&amp;"|"&amp;(COUNTIFS($A$2:$A2151,$A2151,$E$2:$E2151,"INFRUCTUEUX")+COUNTIFS($A$2:$A2151,$A2151,$E$2:$E2151,"ANNULE")),""))</f>
        <v/>
      </c>
    </row>
    <row r="2152">
      <c r="A2152">
        <f>IF(ISBLANK('ENGAGEMENTS 2026'!B2152),"",IF('ENGAGEMENTS 2026'!B2152="DTSI","DCT",'ENGAGEMENTS 2026'!B2152))</f>
        <v/>
      </c>
      <c r="B2152">
        <f>IF(ISBLANK('ENGAGEMENTS 2026'!B2152),"",'ENGAGEMENTS 2026'!C2152)</f>
        <v/>
      </c>
      <c r="C2152">
        <f>IF(ISBLANK('ENGAGEMENTS 2026'!B2152),"",'ENGAGEMENTS 2026'!D2152)</f>
        <v/>
      </c>
      <c r="D2152">
        <f>IF(ISBLANK('ENGAGEMENTS 2026'!B2152),"",'ENGAGEMENTS 2026'!F2152)</f>
        <v/>
      </c>
      <c r="E2152">
        <f>IF(ISBLANK('ENGAGEMENTS 2026'!B2152),"",'ENGAGEMENTS 2026'!H2152)</f>
        <v/>
      </c>
      <c r="F2152">
        <f>IF(ISBLANK('ENGAGEMENTS 2026'!B2152),"",'ENGAGEMENTS 2026'!I2152)</f>
        <v/>
      </c>
      <c r="G2152">
        <f>IF(ISBLANK('ENGAGEMENTS 2026'!B2152),"",'ENGAGEMENTS 2026'!L2152)</f>
        <v/>
      </c>
      <c r="H2152">
        <f>IF(ISBLANK('ENGAGEMENTS 2026'!B2152),"",'ENGAGEMENTS 2026'!AE2152)</f>
        <v/>
      </c>
      <c r="I2152">
        <f>IF(ISBLANK('ENGAGEMENTS 2026'!B2152),"",'ENGAGEMENTS 2026'!G2152)</f>
        <v/>
      </c>
      <c r="J2152" s="275">
        <f>IF(ISBLANK('ENGAGEMENTS 2026'!B2152),"",IF(AND(OR($E2152="INFRUCTUEUX",$E2152="ANNULE"),$C2152="AOO-M"),'ENGAGEMENTS 2026'!O2152,IF($H2152="EN COURS DE PREENGAGEMENT",'ENGAGEMENTS 2026'!N2152,IF($H2152="PREENGAGE",IF($E2152="ATTRIBUE",'ENGAGEMENTS 2026'!AD2152,'ENGAGEMENTS 2026'!N2152),'ENGAGEMENTS 2026'!AD2152))))</f>
        <v/>
      </c>
      <c r="K2152" s="604">
        <f>IF(ISBLANK('ENGAGEMENTS 2026'!V2152),"",'ENGAGEMENTS 2026'!V2152)</f>
        <v/>
      </c>
      <c r="L2152" s="276">
        <f>IF($K2152="","",TODAY()-$K2152)</f>
        <v/>
      </c>
      <c r="M2152">
        <f>IF($A2152="","",IF($H2152="ENGAGE","Engagé",IF(AND($H2152="NON ENGAGE",OR($I2152="INFRUCTUEUX",$I2152="ANNULE")),"Clôturé sans suite","En cours")))</f>
        <v/>
      </c>
      <c r="N2152">
        <f>IF(ISBLANK('ENGAGEMENTS 2026'!B2152),"",'ENGAGEMENTS 2026'!K2152)</f>
        <v/>
      </c>
      <c r="O2152">
        <f>IF(ISBLANK('ENGAGEMENTS 2026'!B2152),"",'ENGAGEMENTS 2026'!L2152)</f>
        <v/>
      </c>
      <c r="P2152">
        <f>IF(ISBLANK('ENGAGEMENTS 2026'!B2152),"",'ENGAGEMENTS 2026'!J2152)</f>
        <v/>
      </c>
      <c r="Q2152">
        <f>IF($A2152="","",IF(OR($E2152="INFRUCTUEUX",$E2152="ANNULE"),$A2152&amp;"|"&amp;(COUNTIFS($A$2:$A2152,$A2152,$E$2:$E2152,"INFRUCTUEUX")+COUNTIFS($A$2:$A2152,$A2152,$E$2:$E2152,"ANNULE")),""))</f>
        <v/>
      </c>
    </row>
    <row r="2153">
      <c r="A2153">
        <f>IF(ISBLANK('ENGAGEMENTS 2026'!B2153),"",IF('ENGAGEMENTS 2026'!B2153="DTSI","DCT",'ENGAGEMENTS 2026'!B2153))</f>
        <v/>
      </c>
      <c r="B2153">
        <f>IF(ISBLANK('ENGAGEMENTS 2026'!B2153),"",'ENGAGEMENTS 2026'!C2153)</f>
        <v/>
      </c>
      <c r="C2153">
        <f>IF(ISBLANK('ENGAGEMENTS 2026'!B2153),"",'ENGAGEMENTS 2026'!D2153)</f>
        <v/>
      </c>
      <c r="D2153">
        <f>IF(ISBLANK('ENGAGEMENTS 2026'!B2153),"",'ENGAGEMENTS 2026'!F2153)</f>
        <v/>
      </c>
      <c r="E2153">
        <f>IF(ISBLANK('ENGAGEMENTS 2026'!B2153),"",'ENGAGEMENTS 2026'!H2153)</f>
        <v/>
      </c>
      <c r="F2153">
        <f>IF(ISBLANK('ENGAGEMENTS 2026'!B2153),"",'ENGAGEMENTS 2026'!I2153)</f>
        <v/>
      </c>
      <c r="G2153">
        <f>IF(ISBLANK('ENGAGEMENTS 2026'!B2153),"",'ENGAGEMENTS 2026'!L2153)</f>
        <v/>
      </c>
      <c r="H2153">
        <f>IF(ISBLANK('ENGAGEMENTS 2026'!B2153),"",'ENGAGEMENTS 2026'!AE2153)</f>
        <v/>
      </c>
      <c r="I2153">
        <f>IF(ISBLANK('ENGAGEMENTS 2026'!B2153),"",'ENGAGEMENTS 2026'!G2153)</f>
        <v/>
      </c>
      <c r="J2153" s="275">
        <f>IF(ISBLANK('ENGAGEMENTS 2026'!B2153),"",IF(AND(OR($E2153="INFRUCTUEUX",$E2153="ANNULE"),$C2153="AOO-M"),'ENGAGEMENTS 2026'!O2153,IF($H2153="EN COURS DE PREENGAGEMENT",'ENGAGEMENTS 2026'!N2153,IF($H2153="PREENGAGE",IF($E2153="ATTRIBUE",'ENGAGEMENTS 2026'!AD2153,'ENGAGEMENTS 2026'!N2153),'ENGAGEMENTS 2026'!AD2153))))</f>
        <v/>
      </c>
      <c r="K2153" s="604">
        <f>IF(ISBLANK('ENGAGEMENTS 2026'!V2153),"",'ENGAGEMENTS 2026'!V2153)</f>
        <v/>
      </c>
      <c r="L2153" s="276">
        <f>IF($K2153="","",TODAY()-$K2153)</f>
        <v/>
      </c>
      <c r="M2153">
        <f>IF($A2153="","",IF($H2153="ENGAGE","Engagé",IF(AND($H2153="NON ENGAGE",OR($I2153="INFRUCTUEUX",$I2153="ANNULE")),"Clôturé sans suite","En cours")))</f>
        <v/>
      </c>
      <c r="N2153">
        <f>IF(ISBLANK('ENGAGEMENTS 2026'!B2153),"",'ENGAGEMENTS 2026'!K2153)</f>
        <v/>
      </c>
      <c r="O2153">
        <f>IF(ISBLANK('ENGAGEMENTS 2026'!B2153),"",'ENGAGEMENTS 2026'!L2153)</f>
        <v/>
      </c>
      <c r="P2153">
        <f>IF(ISBLANK('ENGAGEMENTS 2026'!B2153),"",'ENGAGEMENTS 2026'!J2153)</f>
        <v/>
      </c>
      <c r="Q2153">
        <f>IF($A2153="","",IF(OR($E2153="INFRUCTUEUX",$E2153="ANNULE"),$A2153&amp;"|"&amp;(COUNTIFS($A$2:$A2153,$A2153,$E$2:$E2153,"INFRUCTUEUX")+COUNTIFS($A$2:$A2153,$A2153,$E$2:$E2153,"ANNULE")),""))</f>
        <v/>
      </c>
    </row>
    <row r="2154">
      <c r="A2154">
        <f>IF(ISBLANK('ENGAGEMENTS 2026'!B2154),"",IF('ENGAGEMENTS 2026'!B2154="DTSI","DCT",'ENGAGEMENTS 2026'!B2154))</f>
        <v/>
      </c>
      <c r="B2154">
        <f>IF(ISBLANK('ENGAGEMENTS 2026'!B2154),"",'ENGAGEMENTS 2026'!C2154)</f>
        <v/>
      </c>
      <c r="C2154">
        <f>IF(ISBLANK('ENGAGEMENTS 2026'!B2154),"",'ENGAGEMENTS 2026'!D2154)</f>
        <v/>
      </c>
      <c r="D2154">
        <f>IF(ISBLANK('ENGAGEMENTS 2026'!B2154),"",'ENGAGEMENTS 2026'!F2154)</f>
        <v/>
      </c>
      <c r="E2154">
        <f>IF(ISBLANK('ENGAGEMENTS 2026'!B2154),"",'ENGAGEMENTS 2026'!H2154)</f>
        <v/>
      </c>
      <c r="F2154">
        <f>IF(ISBLANK('ENGAGEMENTS 2026'!B2154),"",'ENGAGEMENTS 2026'!I2154)</f>
        <v/>
      </c>
      <c r="G2154">
        <f>IF(ISBLANK('ENGAGEMENTS 2026'!B2154),"",'ENGAGEMENTS 2026'!L2154)</f>
        <v/>
      </c>
      <c r="H2154">
        <f>IF(ISBLANK('ENGAGEMENTS 2026'!B2154),"",'ENGAGEMENTS 2026'!AE2154)</f>
        <v/>
      </c>
      <c r="I2154">
        <f>IF(ISBLANK('ENGAGEMENTS 2026'!B2154),"",'ENGAGEMENTS 2026'!G2154)</f>
        <v/>
      </c>
      <c r="J2154" s="275">
        <f>IF(ISBLANK('ENGAGEMENTS 2026'!B2154),"",IF(AND(OR($E2154="INFRUCTUEUX",$E2154="ANNULE"),$C2154="AOO-M"),'ENGAGEMENTS 2026'!O2154,IF($H2154="EN COURS DE PREENGAGEMENT",'ENGAGEMENTS 2026'!N2154,IF($H2154="PREENGAGE",IF($E2154="ATTRIBUE",'ENGAGEMENTS 2026'!AD2154,'ENGAGEMENTS 2026'!N2154),'ENGAGEMENTS 2026'!AD2154))))</f>
        <v/>
      </c>
      <c r="K2154" s="604">
        <f>IF(ISBLANK('ENGAGEMENTS 2026'!V2154),"",'ENGAGEMENTS 2026'!V2154)</f>
        <v/>
      </c>
      <c r="L2154" s="276">
        <f>IF($K2154="","",TODAY()-$K2154)</f>
        <v/>
      </c>
      <c r="M2154">
        <f>IF($A2154="","",IF($H2154="ENGAGE","Engagé",IF(AND($H2154="NON ENGAGE",OR($I2154="INFRUCTUEUX",$I2154="ANNULE")),"Clôturé sans suite","En cours")))</f>
        <v/>
      </c>
      <c r="N2154">
        <f>IF(ISBLANK('ENGAGEMENTS 2026'!B2154),"",'ENGAGEMENTS 2026'!K2154)</f>
        <v/>
      </c>
      <c r="O2154">
        <f>IF(ISBLANK('ENGAGEMENTS 2026'!B2154),"",'ENGAGEMENTS 2026'!L2154)</f>
        <v/>
      </c>
      <c r="P2154">
        <f>IF(ISBLANK('ENGAGEMENTS 2026'!B2154),"",'ENGAGEMENTS 2026'!J2154)</f>
        <v/>
      </c>
      <c r="Q2154">
        <f>IF($A2154="","",IF(OR($E2154="INFRUCTUEUX",$E2154="ANNULE"),$A2154&amp;"|"&amp;(COUNTIFS($A$2:$A2154,$A2154,$E$2:$E2154,"INFRUCTUEUX")+COUNTIFS($A$2:$A2154,$A2154,$E$2:$E2154,"ANNULE")),""))</f>
        <v/>
      </c>
    </row>
    <row r="2155">
      <c r="A2155">
        <f>IF(ISBLANK('ENGAGEMENTS 2026'!B2155),"",IF('ENGAGEMENTS 2026'!B2155="DTSI","DCT",'ENGAGEMENTS 2026'!B2155))</f>
        <v/>
      </c>
      <c r="B2155">
        <f>IF(ISBLANK('ENGAGEMENTS 2026'!B2155),"",'ENGAGEMENTS 2026'!C2155)</f>
        <v/>
      </c>
      <c r="C2155">
        <f>IF(ISBLANK('ENGAGEMENTS 2026'!B2155),"",'ENGAGEMENTS 2026'!D2155)</f>
        <v/>
      </c>
      <c r="D2155">
        <f>IF(ISBLANK('ENGAGEMENTS 2026'!B2155),"",'ENGAGEMENTS 2026'!F2155)</f>
        <v/>
      </c>
      <c r="E2155">
        <f>IF(ISBLANK('ENGAGEMENTS 2026'!B2155),"",'ENGAGEMENTS 2026'!H2155)</f>
        <v/>
      </c>
      <c r="F2155">
        <f>IF(ISBLANK('ENGAGEMENTS 2026'!B2155),"",'ENGAGEMENTS 2026'!I2155)</f>
        <v/>
      </c>
      <c r="G2155">
        <f>IF(ISBLANK('ENGAGEMENTS 2026'!B2155),"",'ENGAGEMENTS 2026'!L2155)</f>
        <v/>
      </c>
      <c r="H2155">
        <f>IF(ISBLANK('ENGAGEMENTS 2026'!B2155),"",'ENGAGEMENTS 2026'!AE2155)</f>
        <v/>
      </c>
      <c r="I2155">
        <f>IF(ISBLANK('ENGAGEMENTS 2026'!B2155),"",'ENGAGEMENTS 2026'!G2155)</f>
        <v/>
      </c>
      <c r="J2155" s="275">
        <f>IF(ISBLANK('ENGAGEMENTS 2026'!B2155),"",IF(AND(OR($E2155="INFRUCTUEUX",$E2155="ANNULE"),$C2155="AOO-M"),'ENGAGEMENTS 2026'!O2155,IF($H2155="EN COURS DE PREENGAGEMENT",'ENGAGEMENTS 2026'!N2155,IF($H2155="PREENGAGE",IF($E2155="ATTRIBUE",'ENGAGEMENTS 2026'!AD2155,'ENGAGEMENTS 2026'!N2155),'ENGAGEMENTS 2026'!AD2155))))</f>
        <v/>
      </c>
      <c r="K2155" s="604">
        <f>IF(ISBLANK('ENGAGEMENTS 2026'!V2155),"",'ENGAGEMENTS 2026'!V2155)</f>
        <v/>
      </c>
      <c r="L2155" s="276">
        <f>IF($K2155="","",TODAY()-$K2155)</f>
        <v/>
      </c>
      <c r="M2155">
        <f>IF($A2155="","",IF($H2155="ENGAGE","Engagé",IF(AND($H2155="NON ENGAGE",OR($I2155="INFRUCTUEUX",$I2155="ANNULE")),"Clôturé sans suite","En cours")))</f>
        <v/>
      </c>
      <c r="N2155">
        <f>IF(ISBLANK('ENGAGEMENTS 2026'!B2155),"",'ENGAGEMENTS 2026'!K2155)</f>
        <v/>
      </c>
      <c r="O2155">
        <f>IF(ISBLANK('ENGAGEMENTS 2026'!B2155),"",'ENGAGEMENTS 2026'!L2155)</f>
        <v/>
      </c>
      <c r="P2155">
        <f>IF(ISBLANK('ENGAGEMENTS 2026'!B2155),"",'ENGAGEMENTS 2026'!J2155)</f>
        <v/>
      </c>
      <c r="Q2155">
        <f>IF($A2155="","",IF(OR($E2155="INFRUCTUEUX",$E2155="ANNULE"),$A2155&amp;"|"&amp;(COUNTIFS($A$2:$A2155,$A2155,$E$2:$E2155,"INFRUCTUEUX")+COUNTIFS($A$2:$A2155,$A2155,$E$2:$E2155,"ANNULE")),""))</f>
        <v/>
      </c>
    </row>
    <row r="2156">
      <c r="A2156">
        <f>IF(ISBLANK('ENGAGEMENTS 2026'!B2156),"",IF('ENGAGEMENTS 2026'!B2156="DTSI","DCT",'ENGAGEMENTS 2026'!B2156))</f>
        <v/>
      </c>
      <c r="B2156">
        <f>IF(ISBLANK('ENGAGEMENTS 2026'!B2156),"",'ENGAGEMENTS 2026'!C2156)</f>
        <v/>
      </c>
      <c r="C2156">
        <f>IF(ISBLANK('ENGAGEMENTS 2026'!B2156),"",'ENGAGEMENTS 2026'!D2156)</f>
        <v/>
      </c>
      <c r="D2156">
        <f>IF(ISBLANK('ENGAGEMENTS 2026'!B2156),"",'ENGAGEMENTS 2026'!F2156)</f>
        <v/>
      </c>
      <c r="E2156">
        <f>IF(ISBLANK('ENGAGEMENTS 2026'!B2156),"",'ENGAGEMENTS 2026'!H2156)</f>
        <v/>
      </c>
      <c r="F2156">
        <f>IF(ISBLANK('ENGAGEMENTS 2026'!B2156),"",'ENGAGEMENTS 2026'!I2156)</f>
        <v/>
      </c>
      <c r="G2156">
        <f>IF(ISBLANK('ENGAGEMENTS 2026'!B2156),"",'ENGAGEMENTS 2026'!L2156)</f>
        <v/>
      </c>
      <c r="H2156">
        <f>IF(ISBLANK('ENGAGEMENTS 2026'!B2156),"",'ENGAGEMENTS 2026'!AE2156)</f>
        <v/>
      </c>
      <c r="I2156">
        <f>IF(ISBLANK('ENGAGEMENTS 2026'!B2156),"",'ENGAGEMENTS 2026'!G2156)</f>
        <v/>
      </c>
      <c r="J2156" s="275">
        <f>IF(ISBLANK('ENGAGEMENTS 2026'!B2156),"",IF(AND(OR($E2156="INFRUCTUEUX",$E2156="ANNULE"),$C2156="AOO-M"),'ENGAGEMENTS 2026'!O2156,IF($H2156="EN COURS DE PREENGAGEMENT",'ENGAGEMENTS 2026'!N2156,IF($H2156="PREENGAGE",IF($E2156="ATTRIBUE",'ENGAGEMENTS 2026'!AD2156,'ENGAGEMENTS 2026'!N2156),'ENGAGEMENTS 2026'!AD2156))))</f>
        <v/>
      </c>
      <c r="K2156" s="604">
        <f>IF(ISBLANK('ENGAGEMENTS 2026'!V2156),"",'ENGAGEMENTS 2026'!V2156)</f>
        <v/>
      </c>
      <c r="L2156" s="276">
        <f>IF($K2156="","",TODAY()-$K2156)</f>
        <v/>
      </c>
      <c r="M2156">
        <f>IF($A2156="","",IF($H2156="ENGAGE","Engagé",IF(AND($H2156="NON ENGAGE",OR($I2156="INFRUCTUEUX",$I2156="ANNULE")),"Clôturé sans suite","En cours")))</f>
        <v/>
      </c>
      <c r="N2156">
        <f>IF(ISBLANK('ENGAGEMENTS 2026'!B2156),"",'ENGAGEMENTS 2026'!K2156)</f>
        <v/>
      </c>
      <c r="O2156">
        <f>IF(ISBLANK('ENGAGEMENTS 2026'!B2156),"",'ENGAGEMENTS 2026'!L2156)</f>
        <v/>
      </c>
      <c r="P2156">
        <f>IF(ISBLANK('ENGAGEMENTS 2026'!B2156),"",'ENGAGEMENTS 2026'!J2156)</f>
        <v/>
      </c>
      <c r="Q2156">
        <f>IF($A2156="","",IF(OR($E2156="INFRUCTUEUX",$E2156="ANNULE"),$A2156&amp;"|"&amp;(COUNTIFS($A$2:$A2156,$A2156,$E$2:$E2156,"INFRUCTUEUX")+COUNTIFS($A$2:$A2156,$A2156,$E$2:$E2156,"ANNULE")),""))</f>
        <v/>
      </c>
    </row>
    <row r="2157">
      <c r="A2157">
        <f>IF(ISBLANK('ENGAGEMENTS 2026'!B2157),"",IF('ENGAGEMENTS 2026'!B2157="DTSI","DCT",'ENGAGEMENTS 2026'!B2157))</f>
        <v/>
      </c>
      <c r="B2157">
        <f>IF(ISBLANK('ENGAGEMENTS 2026'!B2157),"",'ENGAGEMENTS 2026'!C2157)</f>
        <v/>
      </c>
      <c r="C2157">
        <f>IF(ISBLANK('ENGAGEMENTS 2026'!B2157),"",'ENGAGEMENTS 2026'!D2157)</f>
        <v/>
      </c>
      <c r="D2157">
        <f>IF(ISBLANK('ENGAGEMENTS 2026'!B2157),"",'ENGAGEMENTS 2026'!F2157)</f>
        <v/>
      </c>
      <c r="E2157">
        <f>IF(ISBLANK('ENGAGEMENTS 2026'!B2157),"",'ENGAGEMENTS 2026'!H2157)</f>
        <v/>
      </c>
      <c r="F2157">
        <f>IF(ISBLANK('ENGAGEMENTS 2026'!B2157),"",'ENGAGEMENTS 2026'!I2157)</f>
        <v/>
      </c>
      <c r="G2157">
        <f>IF(ISBLANK('ENGAGEMENTS 2026'!B2157),"",'ENGAGEMENTS 2026'!L2157)</f>
        <v/>
      </c>
      <c r="H2157">
        <f>IF(ISBLANK('ENGAGEMENTS 2026'!B2157),"",'ENGAGEMENTS 2026'!AE2157)</f>
        <v/>
      </c>
      <c r="I2157">
        <f>IF(ISBLANK('ENGAGEMENTS 2026'!B2157),"",'ENGAGEMENTS 2026'!G2157)</f>
        <v/>
      </c>
      <c r="J2157" s="275">
        <f>IF(ISBLANK('ENGAGEMENTS 2026'!B2157),"",IF(AND(OR($E2157="INFRUCTUEUX",$E2157="ANNULE"),$C2157="AOO-M"),'ENGAGEMENTS 2026'!O2157,IF($H2157="EN COURS DE PREENGAGEMENT",'ENGAGEMENTS 2026'!N2157,IF($H2157="PREENGAGE",IF($E2157="ATTRIBUE",'ENGAGEMENTS 2026'!AD2157,'ENGAGEMENTS 2026'!N2157),'ENGAGEMENTS 2026'!AD2157))))</f>
        <v/>
      </c>
      <c r="K2157" s="604">
        <f>IF(ISBLANK('ENGAGEMENTS 2026'!V2157),"",'ENGAGEMENTS 2026'!V2157)</f>
        <v/>
      </c>
      <c r="L2157" s="276">
        <f>IF($K2157="","",TODAY()-$K2157)</f>
        <v/>
      </c>
      <c r="M2157">
        <f>IF($A2157="","",IF($H2157="ENGAGE","Engagé",IF(AND($H2157="NON ENGAGE",OR($I2157="INFRUCTUEUX",$I2157="ANNULE")),"Clôturé sans suite","En cours")))</f>
        <v/>
      </c>
      <c r="N2157">
        <f>IF(ISBLANK('ENGAGEMENTS 2026'!B2157),"",'ENGAGEMENTS 2026'!K2157)</f>
        <v/>
      </c>
      <c r="O2157">
        <f>IF(ISBLANK('ENGAGEMENTS 2026'!B2157),"",'ENGAGEMENTS 2026'!L2157)</f>
        <v/>
      </c>
      <c r="P2157">
        <f>IF(ISBLANK('ENGAGEMENTS 2026'!B2157),"",'ENGAGEMENTS 2026'!J2157)</f>
        <v/>
      </c>
      <c r="Q2157">
        <f>IF($A2157="","",IF(OR($E2157="INFRUCTUEUX",$E2157="ANNULE"),$A2157&amp;"|"&amp;(COUNTIFS($A$2:$A2157,$A2157,$E$2:$E2157,"INFRUCTUEUX")+COUNTIFS($A$2:$A2157,$A2157,$E$2:$E2157,"ANNULE")),""))</f>
        <v/>
      </c>
    </row>
    <row r="2158">
      <c r="A2158">
        <f>IF(ISBLANK('ENGAGEMENTS 2026'!B2158),"",IF('ENGAGEMENTS 2026'!B2158="DTSI","DCT",'ENGAGEMENTS 2026'!B2158))</f>
        <v/>
      </c>
      <c r="B2158">
        <f>IF(ISBLANK('ENGAGEMENTS 2026'!B2158),"",'ENGAGEMENTS 2026'!C2158)</f>
        <v/>
      </c>
      <c r="C2158">
        <f>IF(ISBLANK('ENGAGEMENTS 2026'!B2158),"",'ENGAGEMENTS 2026'!D2158)</f>
        <v/>
      </c>
      <c r="D2158">
        <f>IF(ISBLANK('ENGAGEMENTS 2026'!B2158),"",'ENGAGEMENTS 2026'!F2158)</f>
        <v/>
      </c>
      <c r="E2158">
        <f>IF(ISBLANK('ENGAGEMENTS 2026'!B2158),"",'ENGAGEMENTS 2026'!H2158)</f>
        <v/>
      </c>
      <c r="F2158">
        <f>IF(ISBLANK('ENGAGEMENTS 2026'!B2158),"",'ENGAGEMENTS 2026'!I2158)</f>
        <v/>
      </c>
      <c r="G2158">
        <f>IF(ISBLANK('ENGAGEMENTS 2026'!B2158),"",'ENGAGEMENTS 2026'!L2158)</f>
        <v/>
      </c>
      <c r="H2158">
        <f>IF(ISBLANK('ENGAGEMENTS 2026'!B2158),"",'ENGAGEMENTS 2026'!AE2158)</f>
        <v/>
      </c>
      <c r="I2158">
        <f>IF(ISBLANK('ENGAGEMENTS 2026'!B2158),"",'ENGAGEMENTS 2026'!G2158)</f>
        <v/>
      </c>
      <c r="J2158" s="275">
        <f>IF(ISBLANK('ENGAGEMENTS 2026'!B2158),"",IF(AND(OR($E2158="INFRUCTUEUX",$E2158="ANNULE"),$C2158="AOO-M"),'ENGAGEMENTS 2026'!O2158,IF($H2158="EN COURS DE PREENGAGEMENT",'ENGAGEMENTS 2026'!N2158,IF($H2158="PREENGAGE",IF($E2158="ATTRIBUE",'ENGAGEMENTS 2026'!AD2158,'ENGAGEMENTS 2026'!N2158),'ENGAGEMENTS 2026'!AD2158))))</f>
        <v/>
      </c>
      <c r="K2158" s="604">
        <f>IF(ISBLANK('ENGAGEMENTS 2026'!V2158),"",'ENGAGEMENTS 2026'!V2158)</f>
        <v/>
      </c>
      <c r="L2158" s="276">
        <f>IF($K2158="","",TODAY()-$K2158)</f>
        <v/>
      </c>
      <c r="M2158">
        <f>IF($A2158="","",IF($H2158="ENGAGE","Engagé",IF(AND($H2158="NON ENGAGE",OR($I2158="INFRUCTUEUX",$I2158="ANNULE")),"Clôturé sans suite","En cours")))</f>
        <v/>
      </c>
      <c r="N2158">
        <f>IF(ISBLANK('ENGAGEMENTS 2026'!B2158),"",'ENGAGEMENTS 2026'!K2158)</f>
        <v/>
      </c>
      <c r="O2158">
        <f>IF(ISBLANK('ENGAGEMENTS 2026'!B2158),"",'ENGAGEMENTS 2026'!L2158)</f>
        <v/>
      </c>
      <c r="P2158">
        <f>IF(ISBLANK('ENGAGEMENTS 2026'!B2158),"",'ENGAGEMENTS 2026'!J2158)</f>
        <v/>
      </c>
      <c r="Q2158">
        <f>IF($A2158="","",IF(OR($E2158="INFRUCTUEUX",$E2158="ANNULE"),$A2158&amp;"|"&amp;(COUNTIFS($A$2:$A2158,$A2158,$E$2:$E2158,"INFRUCTUEUX")+COUNTIFS($A$2:$A2158,$A2158,$E$2:$E2158,"ANNULE")),""))</f>
        <v/>
      </c>
    </row>
    <row r="2159">
      <c r="A2159">
        <f>IF(ISBLANK('ENGAGEMENTS 2026'!B2159),"",IF('ENGAGEMENTS 2026'!B2159="DTSI","DCT",'ENGAGEMENTS 2026'!B2159))</f>
        <v/>
      </c>
      <c r="B2159">
        <f>IF(ISBLANK('ENGAGEMENTS 2026'!B2159),"",'ENGAGEMENTS 2026'!C2159)</f>
        <v/>
      </c>
      <c r="C2159">
        <f>IF(ISBLANK('ENGAGEMENTS 2026'!B2159),"",'ENGAGEMENTS 2026'!D2159)</f>
        <v/>
      </c>
      <c r="D2159">
        <f>IF(ISBLANK('ENGAGEMENTS 2026'!B2159),"",'ENGAGEMENTS 2026'!F2159)</f>
        <v/>
      </c>
      <c r="E2159">
        <f>IF(ISBLANK('ENGAGEMENTS 2026'!B2159),"",'ENGAGEMENTS 2026'!H2159)</f>
        <v/>
      </c>
      <c r="F2159">
        <f>IF(ISBLANK('ENGAGEMENTS 2026'!B2159),"",'ENGAGEMENTS 2026'!I2159)</f>
        <v/>
      </c>
      <c r="G2159">
        <f>IF(ISBLANK('ENGAGEMENTS 2026'!B2159),"",'ENGAGEMENTS 2026'!L2159)</f>
        <v/>
      </c>
      <c r="H2159">
        <f>IF(ISBLANK('ENGAGEMENTS 2026'!B2159),"",'ENGAGEMENTS 2026'!AE2159)</f>
        <v/>
      </c>
      <c r="I2159">
        <f>IF(ISBLANK('ENGAGEMENTS 2026'!B2159),"",'ENGAGEMENTS 2026'!G2159)</f>
        <v/>
      </c>
      <c r="J2159" s="275">
        <f>IF(ISBLANK('ENGAGEMENTS 2026'!B2159),"",IF(AND(OR($E2159="INFRUCTUEUX",$E2159="ANNULE"),$C2159="AOO-M"),'ENGAGEMENTS 2026'!O2159,IF($H2159="EN COURS DE PREENGAGEMENT",'ENGAGEMENTS 2026'!N2159,IF($H2159="PREENGAGE",IF($E2159="ATTRIBUE",'ENGAGEMENTS 2026'!AD2159,'ENGAGEMENTS 2026'!N2159),'ENGAGEMENTS 2026'!AD2159))))</f>
        <v/>
      </c>
      <c r="K2159" s="604">
        <f>IF(ISBLANK('ENGAGEMENTS 2026'!V2159),"",'ENGAGEMENTS 2026'!V2159)</f>
        <v/>
      </c>
      <c r="L2159" s="276">
        <f>IF($K2159="","",TODAY()-$K2159)</f>
        <v/>
      </c>
      <c r="M2159">
        <f>IF($A2159="","",IF($H2159="ENGAGE","Engagé",IF(AND($H2159="NON ENGAGE",OR($I2159="INFRUCTUEUX",$I2159="ANNULE")),"Clôturé sans suite","En cours")))</f>
        <v/>
      </c>
      <c r="N2159">
        <f>IF(ISBLANK('ENGAGEMENTS 2026'!B2159),"",'ENGAGEMENTS 2026'!K2159)</f>
        <v/>
      </c>
      <c r="O2159">
        <f>IF(ISBLANK('ENGAGEMENTS 2026'!B2159),"",'ENGAGEMENTS 2026'!L2159)</f>
        <v/>
      </c>
      <c r="P2159">
        <f>IF(ISBLANK('ENGAGEMENTS 2026'!B2159),"",'ENGAGEMENTS 2026'!J2159)</f>
        <v/>
      </c>
      <c r="Q2159">
        <f>IF($A2159="","",IF(OR($E2159="INFRUCTUEUX",$E2159="ANNULE"),$A2159&amp;"|"&amp;(COUNTIFS($A$2:$A2159,$A2159,$E$2:$E2159,"INFRUCTUEUX")+COUNTIFS($A$2:$A2159,$A2159,$E$2:$E2159,"ANNULE")),""))</f>
        <v/>
      </c>
    </row>
    <row r="2160">
      <c r="A2160">
        <f>IF(ISBLANK('ENGAGEMENTS 2026'!B2160),"",IF('ENGAGEMENTS 2026'!B2160="DTSI","DCT",'ENGAGEMENTS 2026'!B2160))</f>
        <v/>
      </c>
      <c r="B2160">
        <f>IF(ISBLANK('ENGAGEMENTS 2026'!B2160),"",'ENGAGEMENTS 2026'!C2160)</f>
        <v/>
      </c>
      <c r="C2160">
        <f>IF(ISBLANK('ENGAGEMENTS 2026'!B2160),"",'ENGAGEMENTS 2026'!D2160)</f>
        <v/>
      </c>
      <c r="D2160">
        <f>IF(ISBLANK('ENGAGEMENTS 2026'!B2160),"",'ENGAGEMENTS 2026'!F2160)</f>
        <v/>
      </c>
      <c r="E2160">
        <f>IF(ISBLANK('ENGAGEMENTS 2026'!B2160),"",'ENGAGEMENTS 2026'!H2160)</f>
        <v/>
      </c>
      <c r="F2160">
        <f>IF(ISBLANK('ENGAGEMENTS 2026'!B2160),"",'ENGAGEMENTS 2026'!I2160)</f>
        <v/>
      </c>
      <c r="G2160">
        <f>IF(ISBLANK('ENGAGEMENTS 2026'!B2160),"",'ENGAGEMENTS 2026'!L2160)</f>
        <v/>
      </c>
      <c r="H2160">
        <f>IF(ISBLANK('ENGAGEMENTS 2026'!B2160),"",'ENGAGEMENTS 2026'!AE2160)</f>
        <v/>
      </c>
      <c r="I2160">
        <f>IF(ISBLANK('ENGAGEMENTS 2026'!B2160),"",'ENGAGEMENTS 2026'!G2160)</f>
        <v/>
      </c>
      <c r="J2160" s="275">
        <f>IF(ISBLANK('ENGAGEMENTS 2026'!B2160),"",IF(AND(OR($E2160="INFRUCTUEUX",$E2160="ANNULE"),$C2160="AOO-M"),'ENGAGEMENTS 2026'!O2160,IF($H2160="EN COURS DE PREENGAGEMENT",'ENGAGEMENTS 2026'!N2160,IF($H2160="PREENGAGE",IF($E2160="ATTRIBUE",'ENGAGEMENTS 2026'!AD2160,'ENGAGEMENTS 2026'!N2160),'ENGAGEMENTS 2026'!AD2160))))</f>
        <v/>
      </c>
      <c r="K2160" s="604">
        <f>IF(ISBLANK('ENGAGEMENTS 2026'!V2160),"",'ENGAGEMENTS 2026'!V2160)</f>
        <v/>
      </c>
      <c r="L2160" s="276">
        <f>IF($K2160="","",TODAY()-$K2160)</f>
        <v/>
      </c>
      <c r="M2160">
        <f>IF($A2160="","",IF($H2160="ENGAGE","Engagé",IF(AND($H2160="NON ENGAGE",OR($I2160="INFRUCTUEUX",$I2160="ANNULE")),"Clôturé sans suite","En cours")))</f>
        <v/>
      </c>
      <c r="N2160">
        <f>IF(ISBLANK('ENGAGEMENTS 2026'!B2160),"",'ENGAGEMENTS 2026'!K2160)</f>
        <v/>
      </c>
      <c r="O2160">
        <f>IF(ISBLANK('ENGAGEMENTS 2026'!B2160),"",'ENGAGEMENTS 2026'!L2160)</f>
        <v/>
      </c>
      <c r="P2160">
        <f>IF(ISBLANK('ENGAGEMENTS 2026'!B2160),"",'ENGAGEMENTS 2026'!J2160)</f>
        <v/>
      </c>
      <c r="Q2160">
        <f>IF($A2160="","",IF(OR($E2160="INFRUCTUEUX",$E2160="ANNULE"),$A2160&amp;"|"&amp;(COUNTIFS($A$2:$A2160,$A2160,$E$2:$E2160,"INFRUCTUEUX")+COUNTIFS($A$2:$A2160,$A2160,$E$2:$E2160,"ANNULE")),""))</f>
        <v/>
      </c>
    </row>
    <row r="2161">
      <c r="A2161">
        <f>IF(ISBLANK('ENGAGEMENTS 2026'!B2161),"",IF('ENGAGEMENTS 2026'!B2161="DTSI","DCT",'ENGAGEMENTS 2026'!B2161))</f>
        <v/>
      </c>
      <c r="B2161">
        <f>IF(ISBLANK('ENGAGEMENTS 2026'!B2161),"",'ENGAGEMENTS 2026'!C2161)</f>
        <v/>
      </c>
      <c r="C2161">
        <f>IF(ISBLANK('ENGAGEMENTS 2026'!B2161),"",'ENGAGEMENTS 2026'!D2161)</f>
        <v/>
      </c>
      <c r="D2161">
        <f>IF(ISBLANK('ENGAGEMENTS 2026'!B2161),"",'ENGAGEMENTS 2026'!F2161)</f>
        <v/>
      </c>
      <c r="E2161">
        <f>IF(ISBLANK('ENGAGEMENTS 2026'!B2161),"",'ENGAGEMENTS 2026'!H2161)</f>
        <v/>
      </c>
      <c r="F2161">
        <f>IF(ISBLANK('ENGAGEMENTS 2026'!B2161),"",'ENGAGEMENTS 2026'!I2161)</f>
        <v/>
      </c>
      <c r="G2161">
        <f>IF(ISBLANK('ENGAGEMENTS 2026'!B2161),"",'ENGAGEMENTS 2026'!L2161)</f>
        <v/>
      </c>
      <c r="H2161">
        <f>IF(ISBLANK('ENGAGEMENTS 2026'!B2161),"",'ENGAGEMENTS 2026'!AE2161)</f>
        <v/>
      </c>
      <c r="I2161">
        <f>IF(ISBLANK('ENGAGEMENTS 2026'!B2161),"",'ENGAGEMENTS 2026'!G2161)</f>
        <v/>
      </c>
      <c r="J2161" s="275">
        <f>IF(ISBLANK('ENGAGEMENTS 2026'!B2161),"",IF(AND(OR($E2161="INFRUCTUEUX",$E2161="ANNULE"),$C2161="AOO-M"),'ENGAGEMENTS 2026'!O2161,IF($H2161="EN COURS DE PREENGAGEMENT",'ENGAGEMENTS 2026'!N2161,IF($H2161="PREENGAGE",IF($E2161="ATTRIBUE",'ENGAGEMENTS 2026'!AD2161,'ENGAGEMENTS 2026'!N2161),'ENGAGEMENTS 2026'!AD2161))))</f>
        <v/>
      </c>
      <c r="K2161" s="604">
        <f>IF(ISBLANK('ENGAGEMENTS 2026'!V2161),"",'ENGAGEMENTS 2026'!V2161)</f>
        <v/>
      </c>
      <c r="L2161" s="276">
        <f>IF($K2161="","",TODAY()-$K2161)</f>
        <v/>
      </c>
      <c r="M2161">
        <f>IF($A2161="","",IF($H2161="ENGAGE","Engagé",IF(AND($H2161="NON ENGAGE",OR($I2161="INFRUCTUEUX",$I2161="ANNULE")),"Clôturé sans suite","En cours")))</f>
        <v/>
      </c>
      <c r="N2161">
        <f>IF(ISBLANK('ENGAGEMENTS 2026'!B2161),"",'ENGAGEMENTS 2026'!K2161)</f>
        <v/>
      </c>
      <c r="O2161">
        <f>IF(ISBLANK('ENGAGEMENTS 2026'!B2161),"",'ENGAGEMENTS 2026'!L2161)</f>
        <v/>
      </c>
      <c r="P2161">
        <f>IF(ISBLANK('ENGAGEMENTS 2026'!B2161),"",'ENGAGEMENTS 2026'!J2161)</f>
        <v/>
      </c>
      <c r="Q2161">
        <f>IF($A2161="","",IF(OR($E2161="INFRUCTUEUX",$E2161="ANNULE"),$A2161&amp;"|"&amp;(COUNTIFS($A$2:$A2161,$A2161,$E$2:$E2161,"INFRUCTUEUX")+COUNTIFS($A$2:$A2161,$A2161,$E$2:$E2161,"ANNULE")),""))</f>
        <v/>
      </c>
    </row>
    <row r="2162">
      <c r="A2162">
        <f>IF(ISBLANK('ENGAGEMENTS 2026'!B2162),"",IF('ENGAGEMENTS 2026'!B2162="DTSI","DCT",'ENGAGEMENTS 2026'!B2162))</f>
        <v/>
      </c>
      <c r="B2162">
        <f>IF(ISBLANK('ENGAGEMENTS 2026'!B2162),"",'ENGAGEMENTS 2026'!C2162)</f>
        <v/>
      </c>
      <c r="C2162">
        <f>IF(ISBLANK('ENGAGEMENTS 2026'!B2162),"",'ENGAGEMENTS 2026'!D2162)</f>
        <v/>
      </c>
      <c r="D2162">
        <f>IF(ISBLANK('ENGAGEMENTS 2026'!B2162),"",'ENGAGEMENTS 2026'!F2162)</f>
        <v/>
      </c>
      <c r="E2162">
        <f>IF(ISBLANK('ENGAGEMENTS 2026'!B2162),"",'ENGAGEMENTS 2026'!H2162)</f>
        <v/>
      </c>
      <c r="F2162">
        <f>IF(ISBLANK('ENGAGEMENTS 2026'!B2162),"",'ENGAGEMENTS 2026'!I2162)</f>
        <v/>
      </c>
      <c r="G2162">
        <f>IF(ISBLANK('ENGAGEMENTS 2026'!B2162),"",'ENGAGEMENTS 2026'!L2162)</f>
        <v/>
      </c>
      <c r="H2162">
        <f>IF(ISBLANK('ENGAGEMENTS 2026'!B2162),"",'ENGAGEMENTS 2026'!AE2162)</f>
        <v/>
      </c>
      <c r="I2162">
        <f>IF(ISBLANK('ENGAGEMENTS 2026'!B2162),"",'ENGAGEMENTS 2026'!G2162)</f>
        <v/>
      </c>
      <c r="J2162" s="275">
        <f>IF(ISBLANK('ENGAGEMENTS 2026'!B2162),"",IF(AND(OR($E2162="INFRUCTUEUX",$E2162="ANNULE"),$C2162="AOO-M"),'ENGAGEMENTS 2026'!O2162,IF($H2162="EN COURS DE PREENGAGEMENT",'ENGAGEMENTS 2026'!N2162,IF($H2162="PREENGAGE",IF($E2162="ATTRIBUE",'ENGAGEMENTS 2026'!AD2162,'ENGAGEMENTS 2026'!N2162),'ENGAGEMENTS 2026'!AD2162))))</f>
        <v/>
      </c>
      <c r="K2162" s="604">
        <f>IF(ISBLANK('ENGAGEMENTS 2026'!V2162),"",'ENGAGEMENTS 2026'!V2162)</f>
        <v/>
      </c>
      <c r="L2162" s="276">
        <f>IF($K2162="","",TODAY()-$K2162)</f>
        <v/>
      </c>
      <c r="M2162">
        <f>IF($A2162="","",IF($H2162="ENGAGE","Engagé",IF(AND($H2162="NON ENGAGE",OR($I2162="INFRUCTUEUX",$I2162="ANNULE")),"Clôturé sans suite","En cours")))</f>
        <v/>
      </c>
      <c r="N2162">
        <f>IF(ISBLANK('ENGAGEMENTS 2026'!B2162),"",'ENGAGEMENTS 2026'!K2162)</f>
        <v/>
      </c>
      <c r="O2162">
        <f>IF(ISBLANK('ENGAGEMENTS 2026'!B2162),"",'ENGAGEMENTS 2026'!L2162)</f>
        <v/>
      </c>
      <c r="P2162">
        <f>IF(ISBLANK('ENGAGEMENTS 2026'!B2162),"",'ENGAGEMENTS 2026'!J2162)</f>
        <v/>
      </c>
      <c r="Q2162">
        <f>IF($A2162="","",IF(OR($E2162="INFRUCTUEUX",$E2162="ANNULE"),$A2162&amp;"|"&amp;(COUNTIFS($A$2:$A2162,$A2162,$E$2:$E2162,"INFRUCTUEUX")+COUNTIFS($A$2:$A2162,$A2162,$E$2:$E2162,"ANNULE")),""))</f>
        <v/>
      </c>
    </row>
    <row r="2163">
      <c r="A2163">
        <f>IF(ISBLANK('ENGAGEMENTS 2026'!B2163),"",IF('ENGAGEMENTS 2026'!B2163="DTSI","DCT",'ENGAGEMENTS 2026'!B2163))</f>
        <v/>
      </c>
      <c r="B2163">
        <f>IF(ISBLANK('ENGAGEMENTS 2026'!B2163),"",'ENGAGEMENTS 2026'!C2163)</f>
        <v/>
      </c>
      <c r="C2163">
        <f>IF(ISBLANK('ENGAGEMENTS 2026'!B2163),"",'ENGAGEMENTS 2026'!D2163)</f>
        <v/>
      </c>
      <c r="D2163">
        <f>IF(ISBLANK('ENGAGEMENTS 2026'!B2163),"",'ENGAGEMENTS 2026'!F2163)</f>
        <v/>
      </c>
      <c r="E2163">
        <f>IF(ISBLANK('ENGAGEMENTS 2026'!B2163),"",'ENGAGEMENTS 2026'!H2163)</f>
        <v/>
      </c>
      <c r="F2163">
        <f>IF(ISBLANK('ENGAGEMENTS 2026'!B2163),"",'ENGAGEMENTS 2026'!I2163)</f>
        <v/>
      </c>
      <c r="G2163">
        <f>IF(ISBLANK('ENGAGEMENTS 2026'!B2163),"",'ENGAGEMENTS 2026'!L2163)</f>
        <v/>
      </c>
      <c r="H2163">
        <f>IF(ISBLANK('ENGAGEMENTS 2026'!B2163),"",'ENGAGEMENTS 2026'!AE2163)</f>
        <v/>
      </c>
      <c r="I2163">
        <f>IF(ISBLANK('ENGAGEMENTS 2026'!B2163),"",'ENGAGEMENTS 2026'!G2163)</f>
        <v/>
      </c>
      <c r="J2163" s="275">
        <f>IF(ISBLANK('ENGAGEMENTS 2026'!B2163),"",IF(AND(OR($E2163="INFRUCTUEUX",$E2163="ANNULE"),$C2163="AOO-M"),'ENGAGEMENTS 2026'!O2163,IF($H2163="EN COURS DE PREENGAGEMENT",'ENGAGEMENTS 2026'!N2163,IF($H2163="PREENGAGE",IF($E2163="ATTRIBUE",'ENGAGEMENTS 2026'!AD2163,'ENGAGEMENTS 2026'!N2163),'ENGAGEMENTS 2026'!AD2163))))</f>
        <v/>
      </c>
      <c r="K2163" s="604">
        <f>IF(ISBLANK('ENGAGEMENTS 2026'!V2163),"",'ENGAGEMENTS 2026'!V2163)</f>
        <v/>
      </c>
      <c r="L2163" s="276">
        <f>IF($K2163="","",TODAY()-$K2163)</f>
        <v/>
      </c>
      <c r="M2163">
        <f>IF($A2163="","",IF($H2163="ENGAGE","Engagé",IF(AND($H2163="NON ENGAGE",OR($I2163="INFRUCTUEUX",$I2163="ANNULE")),"Clôturé sans suite","En cours")))</f>
        <v/>
      </c>
      <c r="N2163">
        <f>IF(ISBLANK('ENGAGEMENTS 2026'!B2163),"",'ENGAGEMENTS 2026'!K2163)</f>
        <v/>
      </c>
      <c r="O2163">
        <f>IF(ISBLANK('ENGAGEMENTS 2026'!B2163),"",'ENGAGEMENTS 2026'!L2163)</f>
        <v/>
      </c>
      <c r="P2163">
        <f>IF(ISBLANK('ENGAGEMENTS 2026'!B2163),"",'ENGAGEMENTS 2026'!J2163)</f>
        <v/>
      </c>
      <c r="Q2163">
        <f>IF($A2163="","",IF(OR($E2163="INFRUCTUEUX",$E2163="ANNULE"),$A2163&amp;"|"&amp;(COUNTIFS($A$2:$A2163,$A2163,$E$2:$E2163,"INFRUCTUEUX")+COUNTIFS($A$2:$A2163,$A2163,$E$2:$E2163,"ANNULE")),""))</f>
        <v/>
      </c>
    </row>
    <row r="2164">
      <c r="A2164">
        <f>IF(ISBLANK('ENGAGEMENTS 2026'!B2164),"",IF('ENGAGEMENTS 2026'!B2164="DTSI","DCT",'ENGAGEMENTS 2026'!B2164))</f>
        <v/>
      </c>
      <c r="B2164">
        <f>IF(ISBLANK('ENGAGEMENTS 2026'!B2164),"",'ENGAGEMENTS 2026'!C2164)</f>
        <v/>
      </c>
      <c r="C2164">
        <f>IF(ISBLANK('ENGAGEMENTS 2026'!B2164),"",'ENGAGEMENTS 2026'!D2164)</f>
        <v/>
      </c>
      <c r="D2164">
        <f>IF(ISBLANK('ENGAGEMENTS 2026'!B2164),"",'ENGAGEMENTS 2026'!F2164)</f>
        <v/>
      </c>
      <c r="E2164">
        <f>IF(ISBLANK('ENGAGEMENTS 2026'!B2164),"",'ENGAGEMENTS 2026'!H2164)</f>
        <v/>
      </c>
      <c r="F2164">
        <f>IF(ISBLANK('ENGAGEMENTS 2026'!B2164),"",'ENGAGEMENTS 2026'!I2164)</f>
        <v/>
      </c>
      <c r="G2164">
        <f>IF(ISBLANK('ENGAGEMENTS 2026'!B2164),"",'ENGAGEMENTS 2026'!L2164)</f>
        <v/>
      </c>
      <c r="H2164">
        <f>IF(ISBLANK('ENGAGEMENTS 2026'!B2164),"",'ENGAGEMENTS 2026'!AE2164)</f>
        <v/>
      </c>
      <c r="I2164">
        <f>IF(ISBLANK('ENGAGEMENTS 2026'!B2164),"",'ENGAGEMENTS 2026'!G2164)</f>
        <v/>
      </c>
      <c r="J2164" s="275">
        <f>IF(ISBLANK('ENGAGEMENTS 2026'!B2164),"",IF(AND(OR($E2164="INFRUCTUEUX",$E2164="ANNULE"),$C2164="AOO-M"),'ENGAGEMENTS 2026'!O2164,IF($H2164="EN COURS DE PREENGAGEMENT",'ENGAGEMENTS 2026'!N2164,IF($H2164="PREENGAGE",IF($E2164="ATTRIBUE",'ENGAGEMENTS 2026'!AD2164,'ENGAGEMENTS 2026'!N2164),'ENGAGEMENTS 2026'!AD2164))))</f>
        <v/>
      </c>
      <c r="K2164" s="604">
        <f>IF(ISBLANK('ENGAGEMENTS 2026'!V2164),"",'ENGAGEMENTS 2026'!V2164)</f>
        <v/>
      </c>
      <c r="L2164" s="276">
        <f>IF($K2164="","",TODAY()-$K2164)</f>
        <v/>
      </c>
      <c r="M2164">
        <f>IF($A2164="","",IF($H2164="ENGAGE","Engagé",IF(AND($H2164="NON ENGAGE",OR($I2164="INFRUCTUEUX",$I2164="ANNULE")),"Clôturé sans suite","En cours")))</f>
        <v/>
      </c>
      <c r="N2164">
        <f>IF(ISBLANK('ENGAGEMENTS 2026'!B2164),"",'ENGAGEMENTS 2026'!K2164)</f>
        <v/>
      </c>
      <c r="O2164">
        <f>IF(ISBLANK('ENGAGEMENTS 2026'!B2164),"",'ENGAGEMENTS 2026'!L2164)</f>
        <v/>
      </c>
      <c r="P2164">
        <f>IF(ISBLANK('ENGAGEMENTS 2026'!B2164),"",'ENGAGEMENTS 2026'!J2164)</f>
        <v/>
      </c>
      <c r="Q2164">
        <f>IF($A2164="","",IF(OR($E2164="INFRUCTUEUX",$E2164="ANNULE"),$A2164&amp;"|"&amp;(COUNTIFS($A$2:$A2164,$A2164,$E$2:$E2164,"INFRUCTUEUX")+COUNTIFS($A$2:$A2164,$A2164,$E$2:$E2164,"ANNULE")),""))</f>
        <v/>
      </c>
    </row>
    <row r="2165">
      <c r="A2165">
        <f>IF(ISBLANK('ENGAGEMENTS 2026'!B2165),"",IF('ENGAGEMENTS 2026'!B2165="DTSI","DCT",'ENGAGEMENTS 2026'!B2165))</f>
        <v/>
      </c>
      <c r="B2165">
        <f>IF(ISBLANK('ENGAGEMENTS 2026'!B2165),"",'ENGAGEMENTS 2026'!C2165)</f>
        <v/>
      </c>
      <c r="C2165">
        <f>IF(ISBLANK('ENGAGEMENTS 2026'!B2165),"",'ENGAGEMENTS 2026'!D2165)</f>
        <v/>
      </c>
      <c r="D2165">
        <f>IF(ISBLANK('ENGAGEMENTS 2026'!B2165),"",'ENGAGEMENTS 2026'!F2165)</f>
        <v/>
      </c>
      <c r="E2165">
        <f>IF(ISBLANK('ENGAGEMENTS 2026'!B2165),"",'ENGAGEMENTS 2026'!H2165)</f>
        <v/>
      </c>
      <c r="F2165">
        <f>IF(ISBLANK('ENGAGEMENTS 2026'!B2165),"",'ENGAGEMENTS 2026'!I2165)</f>
        <v/>
      </c>
      <c r="G2165">
        <f>IF(ISBLANK('ENGAGEMENTS 2026'!B2165),"",'ENGAGEMENTS 2026'!L2165)</f>
        <v/>
      </c>
      <c r="H2165">
        <f>IF(ISBLANK('ENGAGEMENTS 2026'!B2165),"",'ENGAGEMENTS 2026'!AE2165)</f>
        <v/>
      </c>
      <c r="I2165">
        <f>IF(ISBLANK('ENGAGEMENTS 2026'!B2165),"",'ENGAGEMENTS 2026'!G2165)</f>
        <v/>
      </c>
      <c r="J2165" s="275">
        <f>IF(ISBLANK('ENGAGEMENTS 2026'!B2165),"",IF(AND(OR($E2165="INFRUCTUEUX",$E2165="ANNULE"),$C2165="AOO-M"),'ENGAGEMENTS 2026'!O2165,IF($H2165="EN COURS DE PREENGAGEMENT",'ENGAGEMENTS 2026'!N2165,IF($H2165="PREENGAGE",IF($E2165="ATTRIBUE",'ENGAGEMENTS 2026'!AD2165,'ENGAGEMENTS 2026'!N2165),'ENGAGEMENTS 2026'!AD2165))))</f>
        <v/>
      </c>
      <c r="K2165" s="604">
        <f>IF(ISBLANK('ENGAGEMENTS 2026'!V2165),"",'ENGAGEMENTS 2026'!V2165)</f>
        <v/>
      </c>
      <c r="L2165" s="276">
        <f>IF($K2165="","",TODAY()-$K2165)</f>
        <v/>
      </c>
      <c r="M2165">
        <f>IF($A2165="","",IF($H2165="ENGAGE","Engagé",IF(AND($H2165="NON ENGAGE",OR($I2165="INFRUCTUEUX",$I2165="ANNULE")),"Clôturé sans suite","En cours")))</f>
        <v/>
      </c>
      <c r="N2165">
        <f>IF(ISBLANK('ENGAGEMENTS 2026'!B2165),"",'ENGAGEMENTS 2026'!K2165)</f>
        <v/>
      </c>
      <c r="O2165">
        <f>IF(ISBLANK('ENGAGEMENTS 2026'!B2165),"",'ENGAGEMENTS 2026'!L2165)</f>
        <v/>
      </c>
      <c r="P2165">
        <f>IF(ISBLANK('ENGAGEMENTS 2026'!B2165),"",'ENGAGEMENTS 2026'!J2165)</f>
        <v/>
      </c>
      <c r="Q2165">
        <f>IF($A2165="","",IF(OR($E2165="INFRUCTUEUX",$E2165="ANNULE"),$A2165&amp;"|"&amp;(COUNTIFS($A$2:$A2165,$A2165,$E$2:$E2165,"INFRUCTUEUX")+COUNTIFS($A$2:$A2165,$A2165,$E$2:$E2165,"ANNULE")),""))</f>
        <v/>
      </c>
    </row>
    <row r="2166">
      <c r="A2166">
        <f>IF(ISBLANK('ENGAGEMENTS 2026'!B2166),"",IF('ENGAGEMENTS 2026'!B2166="DTSI","DCT",'ENGAGEMENTS 2026'!B2166))</f>
        <v/>
      </c>
      <c r="B2166">
        <f>IF(ISBLANK('ENGAGEMENTS 2026'!B2166),"",'ENGAGEMENTS 2026'!C2166)</f>
        <v/>
      </c>
      <c r="C2166">
        <f>IF(ISBLANK('ENGAGEMENTS 2026'!B2166),"",'ENGAGEMENTS 2026'!D2166)</f>
        <v/>
      </c>
      <c r="D2166">
        <f>IF(ISBLANK('ENGAGEMENTS 2026'!B2166),"",'ENGAGEMENTS 2026'!F2166)</f>
        <v/>
      </c>
      <c r="E2166">
        <f>IF(ISBLANK('ENGAGEMENTS 2026'!B2166),"",'ENGAGEMENTS 2026'!H2166)</f>
        <v/>
      </c>
      <c r="F2166">
        <f>IF(ISBLANK('ENGAGEMENTS 2026'!B2166),"",'ENGAGEMENTS 2026'!I2166)</f>
        <v/>
      </c>
      <c r="G2166">
        <f>IF(ISBLANK('ENGAGEMENTS 2026'!B2166),"",'ENGAGEMENTS 2026'!L2166)</f>
        <v/>
      </c>
      <c r="H2166">
        <f>IF(ISBLANK('ENGAGEMENTS 2026'!B2166),"",'ENGAGEMENTS 2026'!AE2166)</f>
        <v/>
      </c>
      <c r="I2166">
        <f>IF(ISBLANK('ENGAGEMENTS 2026'!B2166),"",'ENGAGEMENTS 2026'!G2166)</f>
        <v/>
      </c>
      <c r="J2166" s="275">
        <f>IF(ISBLANK('ENGAGEMENTS 2026'!B2166),"",IF(AND(OR($E2166="INFRUCTUEUX",$E2166="ANNULE"),$C2166="AOO-M"),'ENGAGEMENTS 2026'!O2166,IF($H2166="EN COURS DE PREENGAGEMENT",'ENGAGEMENTS 2026'!N2166,IF($H2166="PREENGAGE",IF($E2166="ATTRIBUE",'ENGAGEMENTS 2026'!AD2166,'ENGAGEMENTS 2026'!N2166),'ENGAGEMENTS 2026'!AD2166))))</f>
        <v/>
      </c>
      <c r="K2166" s="604">
        <f>IF(ISBLANK('ENGAGEMENTS 2026'!V2166),"",'ENGAGEMENTS 2026'!V2166)</f>
        <v/>
      </c>
      <c r="L2166" s="276">
        <f>IF($K2166="","",TODAY()-$K2166)</f>
        <v/>
      </c>
      <c r="M2166">
        <f>IF($A2166="","",IF($H2166="ENGAGE","Engagé",IF(AND($H2166="NON ENGAGE",OR($I2166="INFRUCTUEUX",$I2166="ANNULE")),"Clôturé sans suite","En cours")))</f>
        <v/>
      </c>
      <c r="N2166">
        <f>IF(ISBLANK('ENGAGEMENTS 2026'!B2166),"",'ENGAGEMENTS 2026'!K2166)</f>
        <v/>
      </c>
      <c r="O2166">
        <f>IF(ISBLANK('ENGAGEMENTS 2026'!B2166),"",'ENGAGEMENTS 2026'!L2166)</f>
        <v/>
      </c>
      <c r="P2166">
        <f>IF(ISBLANK('ENGAGEMENTS 2026'!B2166),"",'ENGAGEMENTS 2026'!J2166)</f>
        <v/>
      </c>
      <c r="Q2166">
        <f>IF($A2166="","",IF(OR($E2166="INFRUCTUEUX",$E2166="ANNULE"),$A2166&amp;"|"&amp;(COUNTIFS($A$2:$A2166,$A2166,$E$2:$E2166,"INFRUCTUEUX")+COUNTIFS($A$2:$A2166,$A2166,$E$2:$E2166,"ANNULE")),""))</f>
        <v/>
      </c>
    </row>
    <row r="2167">
      <c r="A2167">
        <f>IF(ISBLANK('ENGAGEMENTS 2026'!B2167),"",IF('ENGAGEMENTS 2026'!B2167="DTSI","DCT",'ENGAGEMENTS 2026'!B2167))</f>
        <v/>
      </c>
      <c r="B2167">
        <f>IF(ISBLANK('ENGAGEMENTS 2026'!B2167),"",'ENGAGEMENTS 2026'!C2167)</f>
        <v/>
      </c>
      <c r="C2167">
        <f>IF(ISBLANK('ENGAGEMENTS 2026'!B2167),"",'ENGAGEMENTS 2026'!D2167)</f>
        <v/>
      </c>
      <c r="D2167">
        <f>IF(ISBLANK('ENGAGEMENTS 2026'!B2167),"",'ENGAGEMENTS 2026'!F2167)</f>
        <v/>
      </c>
      <c r="E2167">
        <f>IF(ISBLANK('ENGAGEMENTS 2026'!B2167),"",'ENGAGEMENTS 2026'!H2167)</f>
        <v/>
      </c>
      <c r="F2167">
        <f>IF(ISBLANK('ENGAGEMENTS 2026'!B2167),"",'ENGAGEMENTS 2026'!I2167)</f>
        <v/>
      </c>
      <c r="G2167">
        <f>IF(ISBLANK('ENGAGEMENTS 2026'!B2167),"",'ENGAGEMENTS 2026'!L2167)</f>
        <v/>
      </c>
      <c r="H2167">
        <f>IF(ISBLANK('ENGAGEMENTS 2026'!B2167),"",'ENGAGEMENTS 2026'!AE2167)</f>
        <v/>
      </c>
      <c r="I2167">
        <f>IF(ISBLANK('ENGAGEMENTS 2026'!B2167),"",'ENGAGEMENTS 2026'!G2167)</f>
        <v/>
      </c>
      <c r="J2167" s="275">
        <f>IF(ISBLANK('ENGAGEMENTS 2026'!B2167),"",IF(AND(OR($E2167="INFRUCTUEUX",$E2167="ANNULE"),$C2167="AOO-M"),'ENGAGEMENTS 2026'!O2167,IF($H2167="EN COURS DE PREENGAGEMENT",'ENGAGEMENTS 2026'!N2167,IF($H2167="PREENGAGE",IF($E2167="ATTRIBUE",'ENGAGEMENTS 2026'!AD2167,'ENGAGEMENTS 2026'!N2167),'ENGAGEMENTS 2026'!AD2167))))</f>
        <v/>
      </c>
      <c r="K2167" s="604">
        <f>IF(ISBLANK('ENGAGEMENTS 2026'!V2167),"",'ENGAGEMENTS 2026'!V2167)</f>
        <v/>
      </c>
      <c r="L2167" s="276">
        <f>IF($K2167="","",TODAY()-$K2167)</f>
        <v/>
      </c>
      <c r="M2167">
        <f>IF($A2167="","",IF($H2167="ENGAGE","Engagé",IF(AND($H2167="NON ENGAGE",OR($I2167="INFRUCTUEUX",$I2167="ANNULE")),"Clôturé sans suite","En cours")))</f>
        <v/>
      </c>
      <c r="N2167">
        <f>IF(ISBLANK('ENGAGEMENTS 2026'!B2167),"",'ENGAGEMENTS 2026'!K2167)</f>
        <v/>
      </c>
      <c r="O2167">
        <f>IF(ISBLANK('ENGAGEMENTS 2026'!B2167),"",'ENGAGEMENTS 2026'!L2167)</f>
        <v/>
      </c>
      <c r="P2167">
        <f>IF(ISBLANK('ENGAGEMENTS 2026'!B2167),"",'ENGAGEMENTS 2026'!J2167)</f>
        <v/>
      </c>
      <c r="Q2167">
        <f>IF($A2167="","",IF(OR($E2167="INFRUCTUEUX",$E2167="ANNULE"),$A2167&amp;"|"&amp;(COUNTIFS($A$2:$A2167,$A2167,$E$2:$E2167,"INFRUCTUEUX")+COUNTIFS($A$2:$A2167,$A2167,$E$2:$E2167,"ANNULE")),""))</f>
        <v/>
      </c>
    </row>
    <row r="2168">
      <c r="A2168">
        <f>IF(ISBLANK('ENGAGEMENTS 2026'!B2168),"",IF('ENGAGEMENTS 2026'!B2168="DTSI","DCT",'ENGAGEMENTS 2026'!B2168))</f>
        <v/>
      </c>
      <c r="B2168">
        <f>IF(ISBLANK('ENGAGEMENTS 2026'!B2168),"",'ENGAGEMENTS 2026'!C2168)</f>
        <v/>
      </c>
      <c r="C2168">
        <f>IF(ISBLANK('ENGAGEMENTS 2026'!B2168),"",'ENGAGEMENTS 2026'!D2168)</f>
        <v/>
      </c>
      <c r="D2168">
        <f>IF(ISBLANK('ENGAGEMENTS 2026'!B2168),"",'ENGAGEMENTS 2026'!F2168)</f>
        <v/>
      </c>
      <c r="E2168">
        <f>IF(ISBLANK('ENGAGEMENTS 2026'!B2168),"",'ENGAGEMENTS 2026'!H2168)</f>
        <v/>
      </c>
      <c r="F2168">
        <f>IF(ISBLANK('ENGAGEMENTS 2026'!B2168),"",'ENGAGEMENTS 2026'!I2168)</f>
        <v/>
      </c>
      <c r="G2168">
        <f>IF(ISBLANK('ENGAGEMENTS 2026'!B2168),"",'ENGAGEMENTS 2026'!L2168)</f>
        <v/>
      </c>
      <c r="H2168">
        <f>IF(ISBLANK('ENGAGEMENTS 2026'!B2168),"",'ENGAGEMENTS 2026'!AE2168)</f>
        <v/>
      </c>
      <c r="I2168">
        <f>IF(ISBLANK('ENGAGEMENTS 2026'!B2168),"",'ENGAGEMENTS 2026'!G2168)</f>
        <v/>
      </c>
      <c r="J2168" s="275">
        <f>IF(ISBLANK('ENGAGEMENTS 2026'!B2168),"",IF(AND(OR($E2168="INFRUCTUEUX",$E2168="ANNULE"),$C2168="AOO-M"),'ENGAGEMENTS 2026'!O2168,IF($H2168="EN COURS DE PREENGAGEMENT",'ENGAGEMENTS 2026'!N2168,IF($H2168="PREENGAGE",IF($E2168="ATTRIBUE",'ENGAGEMENTS 2026'!AD2168,'ENGAGEMENTS 2026'!N2168),'ENGAGEMENTS 2026'!AD2168))))</f>
        <v/>
      </c>
      <c r="K2168" s="604">
        <f>IF(ISBLANK('ENGAGEMENTS 2026'!V2168),"",'ENGAGEMENTS 2026'!V2168)</f>
        <v/>
      </c>
      <c r="L2168" s="276">
        <f>IF($K2168="","",TODAY()-$K2168)</f>
        <v/>
      </c>
      <c r="M2168">
        <f>IF($A2168="","",IF($H2168="ENGAGE","Engagé",IF(AND($H2168="NON ENGAGE",OR($I2168="INFRUCTUEUX",$I2168="ANNULE")),"Clôturé sans suite","En cours")))</f>
        <v/>
      </c>
      <c r="N2168">
        <f>IF(ISBLANK('ENGAGEMENTS 2026'!B2168),"",'ENGAGEMENTS 2026'!K2168)</f>
        <v/>
      </c>
      <c r="O2168">
        <f>IF(ISBLANK('ENGAGEMENTS 2026'!B2168),"",'ENGAGEMENTS 2026'!L2168)</f>
        <v/>
      </c>
      <c r="P2168">
        <f>IF(ISBLANK('ENGAGEMENTS 2026'!B2168),"",'ENGAGEMENTS 2026'!J2168)</f>
        <v/>
      </c>
      <c r="Q2168">
        <f>IF($A2168="","",IF(OR($E2168="INFRUCTUEUX",$E2168="ANNULE"),$A2168&amp;"|"&amp;(COUNTIFS($A$2:$A2168,$A2168,$E$2:$E2168,"INFRUCTUEUX")+COUNTIFS($A$2:$A2168,$A2168,$E$2:$E2168,"ANNULE")),""))</f>
        <v/>
      </c>
    </row>
    <row r="2169">
      <c r="A2169">
        <f>IF(ISBLANK('ENGAGEMENTS 2026'!B2169),"",IF('ENGAGEMENTS 2026'!B2169="DTSI","DCT",'ENGAGEMENTS 2026'!B2169))</f>
        <v/>
      </c>
      <c r="B2169">
        <f>IF(ISBLANK('ENGAGEMENTS 2026'!B2169),"",'ENGAGEMENTS 2026'!C2169)</f>
        <v/>
      </c>
      <c r="C2169">
        <f>IF(ISBLANK('ENGAGEMENTS 2026'!B2169),"",'ENGAGEMENTS 2026'!D2169)</f>
        <v/>
      </c>
      <c r="D2169">
        <f>IF(ISBLANK('ENGAGEMENTS 2026'!B2169),"",'ENGAGEMENTS 2026'!F2169)</f>
        <v/>
      </c>
      <c r="E2169">
        <f>IF(ISBLANK('ENGAGEMENTS 2026'!B2169),"",'ENGAGEMENTS 2026'!H2169)</f>
        <v/>
      </c>
      <c r="F2169">
        <f>IF(ISBLANK('ENGAGEMENTS 2026'!B2169),"",'ENGAGEMENTS 2026'!I2169)</f>
        <v/>
      </c>
      <c r="G2169">
        <f>IF(ISBLANK('ENGAGEMENTS 2026'!B2169),"",'ENGAGEMENTS 2026'!L2169)</f>
        <v/>
      </c>
      <c r="H2169">
        <f>IF(ISBLANK('ENGAGEMENTS 2026'!B2169),"",'ENGAGEMENTS 2026'!AE2169)</f>
        <v/>
      </c>
      <c r="I2169">
        <f>IF(ISBLANK('ENGAGEMENTS 2026'!B2169),"",'ENGAGEMENTS 2026'!G2169)</f>
        <v/>
      </c>
      <c r="J2169" s="275">
        <f>IF(ISBLANK('ENGAGEMENTS 2026'!B2169),"",IF(AND(OR($E2169="INFRUCTUEUX",$E2169="ANNULE"),$C2169="AOO-M"),'ENGAGEMENTS 2026'!O2169,IF($H2169="EN COURS DE PREENGAGEMENT",'ENGAGEMENTS 2026'!N2169,IF($H2169="PREENGAGE",IF($E2169="ATTRIBUE",'ENGAGEMENTS 2026'!AD2169,'ENGAGEMENTS 2026'!N2169),'ENGAGEMENTS 2026'!AD2169))))</f>
        <v/>
      </c>
      <c r="K2169" s="604">
        <f>IF(ISBLANK('ENGAGEMENTS 2026'!V2169),"",'ENGAGEMENTS 2026'!V2169)</f>
        <v/>
      </c>
      <c r="L2169" s="276">
        <f>IF($K2169="","",TODAY()-$K2169)</f>
        <v/>
      </c>
      <c r="M2169">
        <f>IF($A2169="","",IF($H2169="ENGAGE","Engagé",IF(AND($H2169="NON ENGAGE",OR($I2169="INFRUCTUEUX",$I2169="ANNULE")),"Clôturé sans suite","En cours")))</f>
        <v/>
      </c>
      <c r="N2169">
        <f>IF(ISBLANK('ENGAGEMENTS 2026'!B2169),"",'ENGAGEMENTS 2026'!K2169)</f>
        <v/>
      </c>
      <c r="O2169">
        <f>IF(ISBLANK('ENGAGEMENTS 2026'!B2169),"",'ENGAGEMENTS 2026'!L2169)</f>
        <v/>
      </c>
      <c r="P2169">
        <f>IF(ISBLANK('ENGAGEMENTS 2026'!B2169),"",'ENGAGEMENTS 2026'!J2169)</f>
        <v/>
      </c>
      <c r="Q2169">
        <f>IF($A2169="","",IF(OR($E2169="INFRUCTUEUX",$E2169="ANNULE"),$A2169&amp;"|"&amp;(COUNTIFS($A$2:$A2169,$A2169,$E$2:$E2169,"INFRUCTUEUX")+COUNTIFS($A$2:$A2169,$A2169,$E$2:$E2169,"ANNULE")),""))</f>
        <v/>
      </c>
    </row>
    <row r="2170">
      <c r="A2170">
        <f>IF(ISBLANK('ENGAGEMENTS 2026'!B2170),"",IF('ENGAGEMENTS 2026'!B2170="DTSI","DCT",'ENGAGEMENTS 2026'!B2170))</f>
        <v/>
      </c>
      <c r="B2170">
        <f>IF(ISBLANK('ENGAGEMENTS 2026'!B2170),"",'ENGAGEMENTS 2026'!C2170)</f>
        <v/>
      </c>
      <c r="C2170">
        <f>IF(ISBLANK('ENGAGEMENTS 2026'!B2170),"",'ENGAGEMENTS 2026'!D2170)</f>
        <v/>
      </c>
      <c r="D2170">
        <f>IF(ISBLANK('ENGAGEMENTS 2026'!B2170),"",'ENGAGEMENTS 2026'!F2170)</f>
        <v/>
      </c>
      <c r="E2170">
        <f>IF(ISBLANK('ENGAGEMENTS 2026'!B2170),"",'ENGAGEMENTS 2026'!H2170)</f>
        <v/>
      </c>
      <c r="F2170">
        <f>IF(ISBLANK('ENGAGEMENTS 2026'!B2170),"",'ENGAGEMENTS 2026'!I2170)</f>
        <v/>
      </c>
      <c r="G2170">
        <f>IF(ISBLANK('ENGAGEMENTS 2026'!B2170),"",'ENGAGEMENTS 2026'!L2170)</f>
        <v/>
      </c>
      <c r="H2170">
        <f>IF(ISBLANK('ENGAGEMENTS 2026'!B2170),"",'ENGAGEMENTS 2026'!AE2170)</f>
        <v/>
      </c>
      <c r="I2170">
        <f>IF(ISBLANK('ENGAGEMENTS 2026'!B2170),"",'ENGAGEMENTS 2026'!G2170)</f>
        <v/>
      </c>
      <c r="J2170" s="275">
        <f>IF(ISBLANK('ENGAGEMENTS 2026'!B2170),"",IF(AND(OR($E2170="INFRUCTUEUX",$E2170="ANNULE"),$C2170="AOO-M"),'ENGAGEMENTS 2026'!O2170,IF($H2170="EN COURS DE PREENGAGEMENT",'ENGAGEMENTS 2026'!N2170,IF($H2170="PREENGAGE",IF($E2170="ATTRIBUE",'ENGAGEMENTS 2026'!AD2170,'ENGAGEMENTS 2026'!N2170),'ENGAGEMENTS 2026'!AD2170))))</f>
        <v/>
      </c>
      <c r="K2170" s="604">
        <f>IF(ISBLANK('ENGAGEMENTS 2026'!V2170),"",'ENGAGEMENTS 2026'!V2170)</f>
        <v/>
      </c>
      <c r="L2170" s="276">
        <f>IF($K2170="","",TODAY()-$K2170)</f>
        <v/>
      </c>
      <c r="M2170">
        <f>IF($A2170="","",IF($H2170="ENGAGE","Engagé",IF(AND($H2170="NON ENGAGE",OR($I2170="INFRUCTUEUX",$I2170="ANNULE")),"Clôturé sans suite","En cours")))</f>
        <v/>
      </c>
      <c r="N2170">
        <f>IF(ISBLANK('ENGAGEMENTS 2026'!B2170),"",'ENGAGEMENTS 2026'!K2170)</f>
        <v/>
      </c>
      <c r="O2170">
        <f>IF(ISBLANK('ENGAGEMENTS 2026'!B2170),"",'ENGAGEMENTS 2026'!L2170)</f>
        <v/>
      </c>
      <c r="P2170">
        <f>IF(ISBLANK('ENGAGEMENTS 2026'!B2170),"",'ENGAGEMENTS 2026'!J2170)</f>
        <v/>
      </c>
      <c r="Q2170">
        <f>IF($A2170="","",IF(OR($E2170="INFRUCTUEUX",$E2170="ANNULE"),$A2170&amp;"|"&amp;(COUNTIFS($A$2:$A2170,$A2170,$E$2:$E2170,"INFRUCTUEUX")+COUNTIFS($A$2:$A2170,$A2170,$E$2:$E2170,"ANNULE")),""))</f>
        <v/>
      </c>
    </row>
    <row r="2171">
      <c r="A2171">
        <f>IF(ISBLANK('ENGAGEMENTS 2026'!B2171),"",IF('ENGAGEMENTS 2026'!B2171="DTSI","DCT",'ENGAGEMENTS 2026'!B2171))</f>
        <v/>
      </c>
      <c r="B2171">
        <f>IF(ISBLANK('ENGAGEMENTS 2026'!B2171),"",'ENGAGEMENTS 2026'!C2171)</f>
        <v/>
      </c>
      <c r="C2171">
        <f>IF(ISBLANK('ENGAGEMENTS 2026'!B2171),"",'ENGAGEMENTS 2026'!D2171)</f>
        <v/>
      </c>
      <c r="D2171">
        <f>IF(ISBLANK('ENGAGEMENTS 2026'!B2171),"",'ENGAGEMENTS 2026'!F2171)</f>
        <v/>
      </c>
      <c r="E2171">
        <f>IF(ISBLANK('ENGAGEMENTS 2026'!B2171),"",'ENGAGEMENTS 2026'!H2171)</f>
        <v/>
      </c>
      <c r="F2171">
        <f>IF(ISBLANK('ENGAGEMENTS 2026'!B2171),"",'ENGAGEMENTS 2026'!I2171)</f>
        <v/>
      </c>
      <c r="G2171">
        <f>IF(ISBLANK('ENGAGEMENTS 2026'!B2171),"",'ENGAGEMENTS 2026'!L2171)</f>
        <v/>
      </c>
      <c r="H2171">
        <f>IF(ISBLANK('ENGAGEMENTS 2026'!B2171),"",'ENGAGEMENTS 2026'!AE2171)</f>
        <v/>
      </c>
      <c r="I2171">
        <f>IF(ISBLANK('ENGAGEMENTS 2026'!B2171),"",'ENGAGEMENTS 2026'!G2171)</f>
        <v/>
      </c>
      <c r="J2171" s="275">
        <f>IF(ISBLANK('ENGAGEMENTS 2026'!B2171),"",IF(AND(OR($E2171="INFRUCTUEUX",$E2171="ANNULE"),$C2171="AOO-M"),'ENGAGEMENTS 2026'!O2171,IF($H2171="EN COURS DE PREENGAGEMENT",'ENGAGEMENTS 2026'!N2171,IF($H2171="PREENGAGE",IF($E2171="ATTRIBUE",'ENGAGEMENTS 2026'!AD2171,'ENGAGEMENTS 2026'!N2171),'ENGAGEMENTS 2026'!AD2171))))</f>
        <v/>
      </c>
      <c r="K2171" s="604">
        <f>IF(ISBLANK('ENGAGEMENTS 2026'!V2171),"",'ENGAGEMENTS 2026'!V2171)</f>
        <v/>
      </c>
      <c r="L2171" s="276">
        <f>IF($K2171="","",TODAY()-$K2171)</f>
        <v/>
      </c>
      <c r="M2171">
        <f>IF($A2171="","",IF($H2171="ENGAGE","Engagé",IF(AND($H2171="NON ENGAGE",OR($I2171="INFRUCTUEUX",$I2171="ANNULE")),"Clôturé sans suite","En cours")))</f>
        <v/>
      </c>
      <c r="N2171">
        <f>IF(ISBLANK('ENGAGEMENTS 2026'!B2171),"",'ENGAGEMENTS 2026'!K2171)</f>
        <v/>
      </c>
      <c r="O2171">
        <f>IF(ISBLANK('ENGAGEMENTS 2026'!B2171),"",'ENGAGEMENTS 2026'!L2171)</f>
        <v/>
      </c>
      <c r="P2171">
        <f>IF(ISBLANK('ENGAGEMENTS 2026'!B2171),"",'ENGAGEMENTS 2026'!J2171)</f>
        <v/>
      </c>
      <c r="Q2171">
        <f>IF($A2171="","",IF(OR($E2171="INFRUCTUEUX",$E2171="ANNULE"),$A2171&amp;"|"&amp;(COUNTIFS($A$2:$A2171,$A2171,$E$2:$E2171,"INFRUCTUEUX")+COUNTIFS($A$2:$A2171,$A2171,$E$2:$E2171,"ANNULE")),""))</f>
        <v/>
      </c>
    </row>
    <row r="2172">
      <c r="A2172">
        <f>IF(ISBLANK('ENGAGEMENTS 2026'!B2172),"",IF('ENGAGEMENTS 2026'!B2172="DTSI","DCT",'ENGAGEMENTS 2026'!B2172))</f>
        <v/>
      </c>
      <c r="B2172">
        <f>IF(ISBLANK('ENGAGEMENTS 2026'!B2172),"",'ENGAGEMENTS 2026'!C2172)</f>
        <v/>
      </c>
      <c r="C2172">
        <f>IF(ISBLANK('ENGAGEMENTS 2026'!B2172),"",'ENGAGEMENTS 2026'!D2172)</f>
        <v/>
      </c>
      <c r="D2172">
        <f>IF(ISBLANK('ENGAGEMENTS 2026'!B2172),"",'ENGAGEMENTS 2026'!F2172)</f>
        <v/>
      </c>
      <c r="E2172">
        <f>IF(ISBLANK('ENGAGEMENTS 2026'!B2172),"",'ENGAGEMENTS 2026'!H2172)</f>
        <v/>
      </c>
      <c r="F2172">
        <f>IF(ISBLANK('ENGAGEMENTS 2026'!B2172),"",'ENGAGEMENTS 2026'!I2172)</f>
        <v/>
      </c>
      <c r="G2172">
        <f>IF(ISBLANK('ENGAGEMENTS 2026'!B2172),"",'ENGAGEMENTS 2026'!L2172)</f>
        <v/>
      </c>
      <c r="H2172">
        <f>IF(ISBLANK('ENGAGEMENTS 2026'!B2172),"",'ENGAGEMENTS 2026'!AE2172)</f>
        <v/>
      </c>
      <c r="I2172">
        <f>IF(ISBLANK('ENGAGEMENTS 2026'!B2172),"",'ENGAGEMENTS 2026'!G2172)</f>
        <v/>
      </c>
      <c r="J2172" s="275">
        <f>IF(ISBLANK('ENGAGEMENTS 2026'!B2172),"",IF(AND(OR($E2172="INFRUCTUEUX",$E2172="ANNULE"),$C2172="AOO-M"),'ENGAGEMENTS 2026'!O2172,IF($H2172="EN COURS DE PREENGAGEMENT",'ENGAGEMENTS 2026'!N2172,IF($H2172="PREENGAGE",IF($E2172="ATTRIBUE",'ENGAGEMENTS 2026'!AD2172,'ENGAGEMENTS 2026'!N2172),'ENGAGEMENTS 2026'!AD2172))))</f>
        <v/>
      </c>
      <c r="K2172" s="604">
        <f>IF(ISBLANK('ENGAGEMENTS 2026'!V2172),"",'ENGAGEMENTS 2026'!V2172)</f>
        <v/>
      </c>
      <c r="L2172" s="276">
        <f>IF($K2172="","",TODAY()-$K2172)</f>
        <v/>
      </c>
      <c r="M2172">
        <f>IF($A2172="","",IF($H2172="ENGAGE","Engagé",IF(AND($H2172="NON ENGAGE",OR($I2172="INFRUCTUEUX",$I2172="ANNULE")),"Clôturé sans suite","En cours")))</f>
        <v/>
      </c>
      <c r="N2172">
        <f>IF(ISBLANK('ENGAGEMENTS 2026'!B2172),"",'ENGAGEMENTS 2026'!K2172)</f>
        <v/>
      </c>
      <c r="O2172">
        <f>IF(ISBLANK('ENGAGEMENTS 2026'!B2172),"",'ENGAGEMENTS 2026'!L2172)</f>
        <v/>
      </c>
      <c r="P2172">
        <f>IF(ISBLANK('ENGAGEMENTS 2026'!B2172),"",'ENGAGEMENTS 2026'!J2172)</f>
        <v/>
      </c>
      <c r="Q2172">
        <f>IF($A2172="","",IF(OR($E2172="INFRUCTUEUX",$E2172="ANNULE"),$A2172&amp;"|"&amp;(COUNTIFS($A$2:$A2172,$A2172,$E$2:$E2172,"INFRUCTUEUX")+COUNTIFS($A$2:$A2172,$A2172,$E$2:$E2172,"ANNULE")),""))</f>
        <v/>
      </c>
    </row>
    <row r="2173">
      <c r="A2173">
        <f>IF(ISBLANK('ENGAGEMENTS 2026'!B2173),"",IF('ENGAGEMENTS 2026'!B2173="DTSI","DCT",'ENGAGEMENTS 2026'!B2173))</f>
        <v/>
      </c>
      <c r="B2173">
        <f>IF(ISBLANK('ENGAGEMENTS 2026'!B2173),"",'ENGAGEMENTS 2026'!C2173)</f>
        <v/>
      </c>
      <c r="C2173">
        <f>IF(ISBLANK('ENGAGEMENTS 2026'!B2173),"",'ENGAGEMENTS 2026'!D2173)</f>
        <v/>
      </c>
      <c r="D2173">
        <f>IF(ISBLANK('ENGAGEMENTS 2026'!B2173),"",'ENGAGEMENTS 2026'!F2173)</f>
        <v/>
      </c>
      <c r="E2173">
        <f>IF(ISBLANK('ENGAGEMENTS 2026'!B2173),"",'ENGAGEMENTS 2026'!H2173)</f>
        <v/>
      </c>
      <c r="F2173">
        <f>IF(ISBLANK('ENGAGEMENTS 2026'!B2173),"",'ENGAGEMENTS 2026'!I2173)</f>
        <v/>
      </c>
      <c r="G2173">
        <f>IF(ISBLANK('ENGAGEMENTS 2026'!B2173),"",'ENGAGEMENTS 2026'!L2173)</f>
        <v/>
      </c>
      <c r="H2173">
        <f>IF(ISBLANK('ENGAGEMENTS 2026'!B2173),"",'ENGAGEMENTS 2026'!AE2173)</f>
        <v/>
      </c>
      <c r="I2173">
        <f>IF(ISBLANK('ENGAGEMENTS 2026'!B2173),"",'ENGAGEMENTS 2026'!G2173)</f>
        <v/>
      </c>
      <c r="J2173" s="275">
        <f>IF(ISBLANK('ENGAGEMENTS 2026'!B2173),"",IF(AND(OR($E2173="INFRUCTUEUX",$E2173="ANNULE"),$C2173="AOO-M"),'ENGAGEMENTS 2026'!O2173,IF($H2173="EN COURS DE PREENGAGEMENT",'ENGAGEMENTS 2026'!N2173,IF($H2173="PREENGAGE",IF($E2173="ATTRIBUE",'ENGAGEMENTS 2026'!AD2173,'ENGAGEMENTS 2026'!N2173),'ENGAGEMENTS 2026'!AD2173))))</f>
        <v/>
      </c>
      <c r="K2173" s="604">
        <f>IF(ISBLANK('ENGAGEMENTS 2026'!V2173),"",'ENGAGEMENTS 2026'!V2173)</f>
        <v/>
      </c>
      <c r="L2173" s="276">
        <f>IF($K2173="","",TODAY()-$K2173)</f>
        <v/>
      </c>
      <c r="M2173">
        <f>IF($A2173="","",IF($H2173="ENGAGE","Engagé",IF(AND($H2173="NON ENGAGE",OR($I2173="INFRUCTUEUX",$I2173="ANNULE")),"Clôturé sans suite","En cours")))</f>
        <v/>
      </c>
      <c r="N2173">
        <f>IF(ISBLANK('ENGAGEMENTS 2026'!B2173),"",'ENGAGEMENTS 2026'!K2173)</f>
        <v/>
      </c>
      <c r="O2173">
        <f>IF(ISBLANK('ENGAGEMENTS 2026'!B2173),"",'ENGAGEMENTS 2026'!L2173)</f>
        <v/>
      </c>
      <c r="P2173">
        <f>IF(ISBLANK('ENGAGEMENTS 2026'!B2173),"",'ENGAGEMENTS 2026'!J2173)</f>
        <v/>
      </c>
      <c r="Q2173">
        <f>IF($A2173="","",IF(OR($E2173="INFRUCTUEUX",$E2173="ANNULE"),$A2173&amp;"|"&amp;(COUNTIFS($A$2:$A2173,$A2173,$E$2:$E2173,"INFRUCTUEUX")+COUNTIFS($A$2:$A2173,$A2173,$E$2:$E2173,"ANNULE")),""))</f>
        <v/>
      </c>
    </row>
    <row r="2174">
      <c r="A2174">
        <f>IF(ISBLANK('ENGAGEMENTS 2026'!B2174),"",IF('ENGAGEMENTS 2026'!B2174="DTSI","DCT",'ENGAGEMENTS 2026'!B2174))</f>
        <v/>
      </c>
      <c r="B2174">
        <f>IF(ISBLANK('ENGAGEMENTS 2026'!B2174),"",'ENGAGEMENTS 2026'!C2174)</f>
        <v/>
      </c>
      <c r="C2174">
        <f>IF(ISBLANK('ENGAGEMENTS 2026'!B2174),"",'ENGAGEMENTS 2026'!D2174)</f>
        <v/>
      </c>
      <c r="D2174">
        <f>IF(ISBLANK('ENGAGEMENTS 2026'!B2174),"",'ENGAGEMENTS 2026'!F2174)</f>
        <v/>
      </c>
      <c r="E2174">
        <f>IF(ISBLANK('ENGAGEMENTS 2026'!B2174),"",'ENGAGEMENTS 2026'!H2174)</f>
        <v/>
      </c>
      <c r="F2174">
        <f>IF(ISBLANK('ENGAGEMENTS 2026'!B2174),"",'ENGAGEMENTS 2026'!I2174)</f>
        <v/>
      </c>
      <c r="G2174">
        <f>IF(ISBLANK('ENGAGEMENTS 2026'!B2174),"",'ENGAGEMENTS 2026'!L2174)</f>
        <v/>
      </c>
      <c r="H2174">
        <f>IF(ISBLANK('ENGAGEMENTS 2026'!B2174),"",'ENGAGEMENTS 2026'!AE2174)</f>
        <v/>
      </c>
      <c r="I2174">
        <f>IF(ISBLANK('ENGAGEMENTS 2026'!B2174),"",'ENGAGEMENTS 2026'!G2174)</f>
        <v/>
      </c>
      <c r="J2174" s="275">
        <f>IF(ISBLANK('ENGAGEMENTS 2026'!B2174),"",IF(AND(OR($E2174="INFRUCTUEUX",$E2174="ANNULE"),$C2174="AOO-M"),'ENGAGEMENTS 2026'!O2174,IF($H2174="EN COURS DE PREENGAGEMENT",'ENGAGEMENTS 2026'!N2174,IF($H2174="PREENGAGE",IF($E2174="ATTRIBUE",'ENGAGEMENTS 2026'!AD2174,'ENGAGEMENTS 2026'!N2174),'ENGAGEMENTS 2026'!AD2174))))</f>
        <v/>
      </c>
      <c r="K2174" s="604">
        <f>IF(ISBLANK('ENGAGEMENTS 2026'!V2174),"",'ENGAGEMENTS 2026'!V2174)</f>
        <v/>
      </c>
      <c r="L2174" s="276">
        <f>IF($K2174="","",TODAY()-$K2174)</f>
        <v/>
      </c>
      <c r="M2174">
        <f>IF($A2174="","",IF($H2174="ENGAGE","Engagé",IF(AND($H2174="NON ENGAGE",OR($I2174="INFRUCTUEUX",$I2174="ANNULE")),"Clôturé sans suite","En cours")))</f>
        <v/>
      </c>
      <c r="N2174">
        <f>IF(ISBLANK('ENGAGEMENTS 2026'!B2174),"",'ENGAGEMENTS 2026'!K2174)</f>
        <v/>
      </c>
      <c r="O2174">
        <f>IF(ISBLANK('ENGAGEMENTS 2026'!B2174),"",'ENGAGEMENTS 2026'!L2174)</f>
        <v/>
      </c>
      <c r="P2174">
        <f>IF(ISBLANK('ENGAGEMENTS 2026'!B2174),"",'ENGAGEMENTS 2026'!J2174)</f>
        <v/>
      </c>
      <c r="Q2174">
        <f>IF($A2174="","",IF(OR($E2174="INFRUCTUEUX",$E2174="ANNULE"),$A2174&amp;"|"&amp;(COUNTIFS($A$2:$A2174,$A2174,$E$2:$E2174,"INFRUCTUEUX")+COUNTIFS($A$2:$A2174,$A2174,$E$2:$E2174,"ANNULE")),""))</f>
        <v/>
      </c>
    </row>
    <row r="2175">
      <c r="A2175">
        <f>IF(ISBLANK('ENGAGEMENTS 2026'!B2175),"",IF('ENGAGEMENTS 2026'!B2175="DTSI","DCT",'ENGAGEMENTS 2026'!B2175))</f>
        <v/>
      </c>
      <c r="B2175">
        <f>IF(ISBLANK('ENGAGEMENTS 2026'!B2175),"",'ENGAGEMENTS 2026'!C2175)</f>
        <v/>
      </c>
      <c r="C2175">
        <f>IF(ISBLANK('ENGAGEMENTS 2026'!B2175),"",'ENGAGEMENTS 2026'!D2175)</f>
        <v/>
      </c>
      <c r="D2175">
        <f>IF(ISBLANK('ENGAGEMENTS 2026'!B2175),"",'ENGAGEMENTS 2026'!F2175)</f>
        <v/>
      </c>
      <c r="E2175">
        <f>IF(ISBLANK('ENGAGEMENTS 2026'!B2175),"",'ENGAGEMENTS 2026'!H2175)</f>
        <v/>
      </c>
      <c r="F2175">
        <f>IF(ISBLANK('ENGAGEMENTS 2026'!B2175),"",'ENGAGEMENTS 2026'!I2175)</f>
        <v/>
      </c>
      <c r="G2175">
        <f>IF(ISBLANK('ENGAGEMENTS 2026'!B2175),"",'ENGAGEMENTS 2026'!L2175)</f>
        <v/>
      </c>
      <c r="H2175">
        <f>IF(ISBLANK('ENGAGEMENTS 2026'!B2175),"",'ENGAGEMENTS 2026'!AE2175)</f>
        <v/>
      </c>
      <c r="I2175">
        <f>IF(ISBLANK('ENGAGEMENTS 2026'!B2175),"",'ENGAGEMENTS 2026'!G2175)</f>
        <v/>
      </c>
      <c r="J2175" s="275">
        <f>IF(ISBLANK('ENGAGEMENTS 2026'!B2175),"",IF(AND(OR($E2175="INFRUCTUEUX",$E2175="ANNULE"),$C2175="AOO-M"),'ENGAGEMENTS 2026'!O2175,IF($H2175="EN COURS DE PREENGAGEMENT",'ENGAGEMENTS 2026'!N2175,IF($H2175="PREENGAGE",IF($E2175="ATTRIBUE",'ENGAGEMENTS 2026'!AD2175,'ENGAGEMENTS 2026'!N2175),'ENGAGEMENTS 2026'!AD2175))))</f>
        <v/>
      </c>
      <c r="K2175" s="604">
        <f>IF(ISBLANK('ENGAGEMENTS 2026'!V2175),"",'ENGAGEMENTS 2026'!V2175)</f>
        <v/>
      </c>
      <c r="L2175" s="276">
        <f>IF($K2175="","",TODAY()-$K2175)</f>
        <v/>
      </c>
      <c r="M2175">
        <f>IF($A2175="","",IF($H2175="ENGAGE","Engagé",IF(AND($H2175="NON ENGAGE",OR($I2175="INFRUCTUEUX",$I2175="ANNULE")),"Clôturé sans suite","En cours")))</f>
        <v/>
      </c>
      <c r="N2175">
        <f>IF(ISBLANK('ENGAGEMENTS 2026'!B2175),"",'ENGAGEMENTS 2026'!K2175)</f>
        <v/>
      </c>
      <c r="O2175">
        <f>IF(ISBLANK('ENGAGEMENTS 2026'!B2175),"",'ENGAGEMENTS 2026'!L2175)</f>
        <v/>
      </c>
      <c r="P2175">
        <f>IF(ISBLANK('ENGAGEMENTS 2026'!B2175),"",'ENGAGEMENTS 2026'!J2175)</f>
        <v/>
      </c>
      <c r="Q2175">
        <f>IF($A2175="","",IF(OR($E2175="INFRUCTUEUX",$E2175="ANNULE"),$A2175&amp;"|"&amp;(COUNTIFS($A$2:$A2175,$A2175,$E$2:$E2175,"INFRUCTUEUX")+COUNTIFS($A$2:$A2175,$A2175,$E$2:$E2175,"ANNULE")),""))</f>
        <v/>
      </c>
    </row>
    <row r="2176">
      <c r="A2176">
        <f>IF(ISBLANK('ENGAGEMENTS 2026'!B2176),"",IF('ENGAGEMENTS 2026'!B2176="DTSI","DCT",'ENGAGEMENTS 2026'!B2176))</f>
        <v/>
      </c>
      <c r="B2176">
        <f>IF(ISBLANK('ENGAGEMENTS 2026'!B2176),"",'ENGAGEMENTS 2026'!C2176)</f>
        <v/>
      </c>
      <c r="C2176">
        <f>IF(ISBLANK('ENGAGEMENTS 2026'!B2176),"",'ENGAGEMENTS 2026'!D2176)</f>
        <v/>
      </c>
      <c r="D2176">
        <f>IF(ISBLANK('ENGAGEMENTS 2026'!B2176),"",'ENGAGEMENTS 2026'!F2176)</f>
        <v/>
      </c>
      <c r="E2176">
        <f>IF(ISBLANK('ENGAGEMENTS 2026'!B2176),"",'ENGAGEMENTS 2026'!H2176)</f>
        <v/>
      </c>
      <c r="F2176">
        <f>IF(ISBLANK('ENGAGEMENTS 2026'!B2176),"",'ENGAGEMENTS 2026'!I2176)</f>
        <v/>
      </c>
      <c r="G2176">
        <f>IF(ISBLANK('ENGAGEMENTS 2026'!B2176),"",'ENGAGEMENTS 2026'!L2176)</f>
        <v/>
      </c>
      <c r="H2176">
        <f>IF(ISBLANK('ENGAGEMENTS 2026'!B2176),"",'ENGAGEMENTS 2026'!AE2176)</f>
        <v/>
      </c>
      <c r="I2176">
        <f>IF(ISBLANK('ENGAGEMENTS 2026'!B2176),"",'ENGAGEMENTS 2026'!G2176)</f>
        <v/>
      </c>
      <c r="J2176" s="275">
        <f>IF(ISBLANK('ENGAGEMENTS 2026'!B2176),"",IF(AND(OR($E2176="INFRUCTUEUX",$E2176="ANNULE"),$C2176="AOO-M"),'ENGAGEMENTS 2026'!O2176,IF($H2176="EN COURS DE PREENGAGEMENT",'ENGAGEMENTS 2026'!N2176,IF($H2176="PREENGAGE",IF($E2176="ATTRIBUE",'ENGAGEMENTS 2026'!AD2176,'ENGAGEMENTS 2026'!N2176),'ENGAGEMENTS 2026'!AD2176))))</f>
        <v/>
      </c>
      <c r="K2176" s="604">
        <f>IF(ISBLANK('ENGAGEMENTS 2026'!V2176),"",'ENGAGEMENTS 2026'!V2176)</f>
        <v/>
      </c>
      <c r="L2176" s="276">
        <f>IF($K2176="","",TODAY()-$K2176)</f>
        <v/>
      </c>
      <c r="M2176">
        <f>IF($A2176="","",IF($H2176="ENGAGE","Engagé",IF(AND($H2176="NON ENGAGE",OR($I2176="INFRUCTUEUX",$I2176="ANNULE")),"Clôturé sans suite","En cours")))</f>
        <v/>
      </c>
      <c r="N2176">
        <f>IF(ISBLANK('ENGAGEMENTS 2026'!B2176),"",'ENGAGEMENTS 2026'!K2176)</f>
        <v/>
      </c>
      <c r="O2176">
        <f>IF(ISBLANK('ENGAGEMENTS 2026'!B2176),"",'ENGAGEMENTS 2026'!L2176)</f>
        <v/>
      </c>
      <c r="P2176">
        <f>IF(ISBLANK('ENGAGEMENTS 2026'!B2176),"",'ENGAGEMENTS 2026'!J2176)</f>
        <v/>
      </c>
      <c r="Q2176">
        <f>IF($A2176="","",IF(OR($E2176="INFRUCTUEUX",$E2176="ANNULE"),$A2176&amp;"|"&amp;(COUNTIFS($A$2:$A2176,$A2176,$E$2:$E2176,"INFRUCTUEUX")+COUNTIFS($A$2:$A2176,$A2176,$E$2:$E2176,"ANNULE")),""))</f>
        <v/>
      </c>
    </row>
    <row r="2177">
      <c r="A2177">
        <f>IF(ISBLANK('ENGAGEMENTS 2026'!B2177),"",IF('ENGAGEMENTS 2026'!B2177="DTSI","DCT",'ENGAGEMENTS 2026'!B2177))</f>
        <v/>
      </c>
      <c r="B2177">
        <f>IF(ISBLANK('ENGAGEMENTS 2026'!B2177),"",'ENGAGEMENTS 2026'!C2177)</f>
        <v/>
      </c>
      <c r="C2177">
        <f>IF(ISBLANK('ENGAGEMENTS 2026'!B2177),"",'ENGAGEMENTS 2026'!D2177)</f>
        <v/>
      </c>
      <c r="D2177">
        <f>IF(ISBLANK('ENGAGEMENTS 2026'!B2177),"",'ENGAGEMENTS 2026'!F2177)</f>
        <v/>
      </c>
      <c r="E2177">
        <f>IF(ISBLANK('ENGAGEMENTS 2026'!B2177),"",'ENGAGEMENTS 2026'!H2177)</f>
        <v/>
      </c>
      <c r="F2177">
        <f>IF(ISBLANK('ENGAGEMENTS 2026'!B2177),"",'ENGAGEMENTS 2026'!I2177)</f>
        <v/>
      </c>
      <c r="G2177">
        <f>IF(ISBLANK('ENGAGEMENTS 2026'!B2177),"",'ENGAGEMENTS 2026'!L2177)</f>
        <v/>
      </c>
      <c r="H2177">
        <f>IF(ISBLANK('ENGAGEMENTS 2026'!B2177),"",'ENGAGEMENTS 2026'!AE2177)</f>
        <v/>
      </c>
      <c r="I2177">
        <f>IF(ISBLANK('ENGAGEMENTS 2026'!B2177),"",'ENGAGEMENTS 2026'!G2177)</f>
        <v/>
      </c>
      <c r="J2177" s="275">
        <f>IF(ISBLANK('ENGAGEMENTS 2026'!B2177),"",IF(AND(OR($E2177="INFRUCTUEUX",$E2177="ANNULE"),$C2177="AOO-M"),'ENGAGEMENTS 2026'!O2177,IF($H2177="EN COURS DE PREENGAGEMENT",'ENGAGEMENTS 2026'!N2177,IF($H2177="PREENGAGE",IF($E2177="ATTRIBUE",'ENGAGEMENTS 2026'!AD2177,'ENGAGEMENTS 2026'!N2177),'ENGAGEMENTS 2026'!AD2177))))</f>
        <v/>
      </c>
      <c r="K2177" s="604">
        <f>IF(ISBLANK('ENGAGEMENTS 2026'!V2177),"",'ENGAGEMENTS 2026'!V2177)</f>
        <v/>
      </c>
      <c r="L2177" s="276">
        <f>IF($K2177="","",TODAY()-$K2177)</f>
        <v/>
      </c>
      <c r="M2177">
        <f>IF($A2177="","",IF($H2177="ENGAGE","Engagé",IF(AND($H2177="NON ENGAGE",OR($I2177="INFRUCTUEUX",$I2177="ANNULE")),"Clôturé sans suite","En cours")))</f>
        <v/>
      </c>
      <c r="N2177">
        <f>IF(ISBLANK('ENGAGEMENTS 2026'!B2177),"",'ENGAGEMENTS 2026'!K2177)</f>
        <v/>
      </c>
      <c r="O2177">
        <f>IF(ISBLANK('ENGAGEMENTS 2026'!B2177),"",'ENGAGEMENTS 2026'!L2177)</f>
        <v/>
      </c>
      <c r="P2177">
        <f>IF(ISBLANK('ENGAGEMENTS 2026'!B2177),"",'ENGAGEMENTS 2026'!J2177)</f>
        <v/>
      </c>
      <c r="Q2177">
        <f>IF($A2177="","",IF(OR($E2177="INFRUCTUEUX",$E2177="ANNULE"),$A2177&amp;"|"&amp;(COUNTIFS($A$2:$A2177,$A2177,$E$2:$E2177,"INFRUCTUEUX")+COUNTIFS($A$2:$A2177,$A2177,$E$2:$E2177,"ANNULE")),""))</f>
        <v/>
      </c>
    </row>
    <row r="2178">
      <c r="A2178">
        <f>IF(ISBLANK('ENGAGEMENTS 2026'!B2178),"",IF('ENGAGEMENTS 2026'!B2178="DTSI","DCT",'ENGAGEMENTS 2026'!B2178))</f>
        <v/>
      </c>
      <c r="B2178">
        <f>IF(ISBLANK('ENGAGEMENTS 2026'!B2178),"",'ENGAGEMENTS 2026'!C2178)</f>
        <v/>
      </c>
      <c r="C2178">
        <f>IF(ISBLANK('ENGAGEMENTS 2026'!B2178),"",'ENGAGEMENTS 2026'!D2178)</f>
        <v/>
      </c>
      <c r="D2178">
        <f>IF(ISBLANK('ENGAGEMENTS 2026'!B2178),"",'ENGAGEMENTS 2026'!F2178)</f>
        <v/>
      </c>
      <c r="E2178">
        <f>IF(ISBLANK('ENGAGEMENTS 2026'!B2178),"",'ENGAGEMENTS 2026'!H2178)</f>
        <v/>
      </c>
      <c r="F2178">
        <f>IF(ISBLANK('ENGAGEMENTS 2026'!B2178),"",'ENGAGEMENTS 2026'!I2178)</f>
        <v/>
      </c>
      <c r="G2178">
        <f>IF(ISBLANK('ENGAGEMENTS 2026'!B2178),"",'ENGAGEMENTS 2026'!L2178)</f>
        <v/>
      </c>
      <c r="H2178">
        <f>IF(ISBLANK('ENGAGEMENTS 2026'!B2178),"",'ENGAGEMENTS 2026'!AE2178)</f>
        <v/>
      </c>
      <c r="I2178">
        <f>IF(ISBLANK('ENGAGEMENTS 2026'!B2178),"",'ENGAGEMENTS 2026'!G2178)</f>
        <v/>
      </c>
      <c r="J2178" s="275">
        <f>IF(ISBLANK('ENGAGEMENTS 2026'!B2178),"",IF(AND(OR($E2178="INFRUCTUEUX",$E2178="ANNULE"),$C2178="AOO-M"),'ENGAGEMENTS 2026'!O2178,IF($H2178="EN COURS DE PREENGAGEMENT",'ENGAGEMENTS 2026'!N2178,IF($H2178="PREENGAGE",IF($E2178="ATTRIBUE",'ENGAGEMENTS 2026'!AD2178,'ENGAGEMENTS 2026'!N2178),'ENGAGEMENTS 2026'!AD2178))))</f>
        <v/>
      </c>
      <c r="K2178" s="604">
        <f>IF(ISBLANK('ENGAGEMENTS 2026'!V2178),"",'ENGAGEMENTS 2026'!V2178)</f>
        <v/>
      </c>
      <c r="L2178" s="276">
        <f>IF($K2178="","",TODAY()-$K2178)</f>
        <v/>
      </c>
      <c r="M2178">
        <f>IF($A2178="","",IF($H2178="ENGAGE","Engagé",IF(AND($H2178="NON ENGAGE",OR($I2178="INFRUCTUEUX",$I2178="ANNULE")),"Clôturé sans suite","En cours")))</f>
        <v/>
      </c>
      <c r="N2178">
        <f>IF(ISBLANK('ENGAGEMENTS 2026'!B2178),"",'ENGAGEMENTS 2026'!K2178)</f>
        <v/>
      </c>
      <c r="O2178">
        <f>IF(ISBLANK('ENGAGEMENTS 2026'!B2178),"",'ENGAGEMENTS 2026'!L2178)</f>
        <v/>
      </c>
      <c r="P2178">
        <f>IF(ISBLANK('ENGAGEMENTS 2026'!B2178),"",'ENGAGEMENTS 2026'!J2178)</f>
        <v/>
      </c>
      <c r="Q2178">
        <f>IF($A2178="","",IF(OR($E2178="INFRUCTUEUX",$E2178="ANNULE"),$A2178&amp;"|"&amp;(COUNTIFS($A$2:$A2178,$A2178,$E$2:$E2178,"INFRUCTUEUX")+COUNTIFS($A$2:$A2178,$A2178,$E$2:$E2178,"ANNULE")),""))</f>
        <v/>
      </c>
    </row>
    <row r="2179">
      <c r="A2179">
        <f>IF(ISBLANK('ENGAGEMENTS 2026'!B2179),"",IF('ENGAGEMENTS 2026'!B2179="DTSI","DCT",'ENGAGEMENTS 2026'!B2179))</f>
        <v/>
      </c>
      <c r="B2179">
        <f>IF(ISBLANK('ENGAGEMENTS 2026'!B2179),"",'ENGAGEMENTS 2026'!C2179)</f>
        <v/>
      </c>
      <c r="C2179">
        <f>IF(ISBLANK('ENGAGEMENTS 2026'!B2179),"",'ENGAGEMENTS 2026'!D2179)</f>
        <v/>
      </c>
      <c r="D2179">
        <f>IF(ISBLANK('ENGAGEMENTS 2026'!B2179),"",'ENGAGEMENTS 2026'!F2179)</f>
        <v/>
      </c>
      <c r="E2179">
        <f>IF(ISBLANK('ENGAGEMENTS 2026'!B2179),"",'ENGAGEMENTS 2026'!H2179)</f>
        <v/>
      </c>
      <c r="F2179">
        <f>IF(ISBLANK('ENGAGEMENTS 2026'!B2179),"",'ENGAGEMENTS 2026'!I2179)</f>
        <v/>
      </c>
      <c r="G2179">
        <f>IF(ISBLANK('ENGAGEMENTS 2026'!B2179),"",'ENGAGEMENTS 2026'!L2179)</f>
        <v/>
      </c>
      <c r="H2179">
        <f>IF(ISBLANK('ENGAGEMENTS 2026'!B2179),"",'ENGAGEMENTS 2026'!AE2179)</f>
        <v/>
      </c>
      <c r="I2179">
        <f>IF(ISBLANK('ENGAGEMENTS 2026'!B2179),"",'ENGAGEMENTS 2026'!G2179)</f>
        <v/>
      </c>
      <c r="J2179" s="275">
        <f>IF(ISBLANK('ENGAGEMENTS 2026'!B2179),"",IF(AND(OR($E2179="INFRUCTUEUX",$E2179="ANNULE"),$C2179="AOO-M"),'ENGAGEMENTS 2026'!O2179,IF($H2179="EN COURS DE PREENGAGEMENT",'ENGAGEMENTS 2026'!N2179,IF($H2179="PREENGAGE",IF($E2179="ATTRIBUE",'ENGAGEMENTS 2026'!AD2179,'ENGAGEMENTS 2026'!N2179),'ENGAGEMENTS 2026'!AD2179))))</f>
        <v/>
      </c>
      <c r="K2179" s="604">
        <f>IF(ISBLANK('ENGAGEMENTS 2026'!V2179),"",'ENGAGEMENTS 2026'!V2179)</f>
        <v/>
      </c>
      <c r="L2179" s="276">
        <f>IF($K2179="","",TODAY()-$K2179)</f>
        <v/>
      </c>
      <c r="M2179">
        <f>IF($A2179="","",IF($H2179="ENGAGE","Engagé",IF(AND($H2179="NON ENGAGE",OR($I2179="INFRUCTUEUX",$I2179="ANNULE")),"Clôturé sans suite","En cours")))</f>
        <v/>
      </c>
      <c r="N2179">
        <f>IF(ISBLANK('ENGAGEMENTS 2026'!B2179),"",'ENGAGEMENTS 2026'!K2179)</f>
        <v/>
      </c>
      <c r="O2179">
        <f>IF(ISBLANK('ENGAGEMENTS 2026'!B2179),"",'ENGAGEMENTS 2026'!L2179)</f>
        <v/>
      </c>
      <c r="P2179">
        <f>IF(ISBLANK('ENGAGEMENTS 2026'!B2179),"",'ENGAGEMENTS 2026'!J2179)</f>
        <v/>
      </c>
      <c r="Q2179">
        <f>IF($A2179="","",IF(OR($E2179="INFRUCTUEUX",$E2179="ANNULE"),$A2179&amp;"|"&amp;(COUNTIFS($A$2:$A2179,$A2179,$E$2:$E2179,"INFRUCTUEUX")+COUNTIFS($A$2:$A2179,$A2179,$E$2:$E2179,"ANNULE")),""))</f>
        <v/>
      </c>
    </row>
    <row r="2180">
      <c r="A2180">
        <f>IF(ISBLANK('ENGAGEMENTS 2026'!B2180),"",IF('ENGAGEMENTS 2026'!B2180="DTSI","DCT",'ENGAGEMENTS 2026'!B2180))</f>
        <v/>
      </c>
      <c r="B2180">
        <f>IF(ISBLANK('ENGAGEMENTS 2026'!B2180),"",'ENGAGEMENTS 2026'!C2180)</f>
        <v/>
      </c>
      <c r="C2180">
        <f>IF(ISBLANK('ENGAGEMENTS 2026'!B2180),"",'ENGAGEMENTS 2026'!D2180)</f>
        <v/>
      </c>
      <c r="D2180">
        <f>IF(ISBLANK('ENGAGEMENTS 2026'!B2180),"",'ENGAGEMENTS 2026'!F2180)</f>
        <v/>
      </c>
      <c r="E2180">
        <f>IF(ISBLANK('ENGAGEMENTS 2026'!B2180),"",'ENGAGEMENTS 2026'!H2180)</f>
        <v/>
      </c>
      <c r="F2180">
        <f>IF(ISBLANK('ENGAGEMENTS 2026'!B2180),"",'ENGAGEMENTS 2026'!I2180)</f>
        <v/>
      </c>
      <c r="G2180">
        <f>IF(ISBLANK('ENGAGEMENTS 2026'!B2180),"",'ENGAGEMENTS 2026'!L2180)</f>
        <v/>
      </c>
      <c r="H2180">
        <f>IF(ISBLANK('ENGAGEMENTS 2026'!B2180),"",'ENGAGEMENTS 2026'!AE2180)</f>
        <v/>
      </c>
      <c r="I2180">
        <f>IF(ISBLANK('ENGAGEMENTS 2026'!B2180),"",'ENGAGEMENTS 2026'!G2180)</f>
        <v/>
      </c>
      <c r="J2180" s="275">
        <f>IF(ISBLANK('ENGAGEMENTS 2026'!B2180),"",IF(AND(OR($E2180="INFRUCTUEUX",$E2180="ANNULE"),$C2180="AOO-M"),'ENGAGEMENTS 2026'!O2180,IF($H2180="EN COURS DE PREENGAGEMENT",'ENGAGEMENTS 2026'!N2180,IF($H2180="PREENGAGE",IF($E2180="ATTRIBUE",'ENGAGEMENTS 2026'!AD2180,'ENGAGEMENTS 2026'!N2180),'ENGAGEMENTS 2026'!AD2180))))</f>
        <v/>
      </c>
      <c r="K2180" s="604">
        <f>IF(ISBLANK('ENGAGEMENTS 2026'!V2180),"",'ENGAGEMENTS 2026'!V2180)</f>
        <v/>
      </c>
      <c r="L2180" s="276">
        <f>IF($K2180="","",TODAY()-$K2180)</f>
        <v/>
      </c>
      <c r="M2180">
        <f>IF($A2180="","",IF($H2180="ENGAGE","Engagé",IF(AND($H2180="NON ENGAGE",OR($I2180="INFRUCTUEUX",$I2180="ANNULE")),"Clôturé sans suite","En cours")))</f>
        <v/>
      </c>
      <c r="N2180">
        <f>IF(ISBLANK('ENGAGEMENTS 2026'!B2180),"",'ENGAGEMENTS 2026'!K2180)</f>
        <v/>
      </c>
      <c r="O2180">
        <f>IF(ISBLANK('ENGAGEMENTS 2026'!B2180),"",'ENGAGEMENTS 2026'!L2180)</f>
        <v/>
      </c>
      <c r="P2180">
        <f>IF(ISBLANK('ENGAGEMENTS 2026'!B2180),"",'ENGAGEMENTS 2026'!J2180)</f>
        <v/>
      </c>
      <c r="Q2180">
        <f>IF($A2180="","",IF(OR($E2180="INFRUCTUEUX",$E2180="ANNULE"),$A2180&amp;"|"&amp;(COUNTIFS($A$2:$A2180,$A2180,$E$2:$E2180,"INFRUCTUEUX")+COUNTIFS($A$2:$A2180,$A2180,$E$2:$E2180,"ANNULE")),""))</f>
        <v/>
      </c>
    </row>
    <row r="2181">
      <c r="A2181">
        <f>IF(ISBLANK('ENGAGEMENTS 2026'!B2181),"",IF('ENGAGEMENTS 2026'!B2181="DTSI","DCT",'ENGAGEMENTS 2026'!B2181))</f>
        <v/>
      </c>
      <c r="B2181">
        <f>IF(ISBLANK('ENGAGEMENTS 2026'!B2181),"",'ENGAGEMENTS 2026'!C2181)</f>
        <v/>
      </c>
      <c r="C2181">
        <f>IF(ISBLANK('ENGAGEMENTS 2026'!B2181),"",'ENGAGEMENTS 2026'!D2181)</f>
        <v/>
      </c>
      <c r="D2181">
        <f>IF(ISBLANK('ENGAGEMENTS 2026'!B2181),"",'ENGAGEMENTS 2026'!F2181)</f>
        <v/>
      </c>
      <c r="E2181">
        <f>IF(ISBLANK('ENGAGEMENTS 2026'!B2181),"",'ENGAGEMENTS 2026'!H2181)</f>
        <v/>
      </c>
      <c r="F2181">
        <f>IF(ISBLANK('ENGAGEMENTS 2026'!B2181),"",'ENGAGEMENTS 2026'!I2181)</f>
        <v/>
      </c>
      <c r="G2181">
        <f>IF(ISBLANK('ENGAGEMENTS 2026'!B2181),"",'ENGAGEMENTS 2026'!L2181)</f>
        <v/>
      </c>
      <c r="H2181">
        <f>IF(ISBLANK('ENGAGEMENTS 2026'!B2181),"",'ENGAGEMENTS 2026'!AE2181)</f>
        <v/>
      </c>
      <c r="I2181">
        <f>IF(ISBLANK('ENGAGEMENTS 2026'!B2181),"",'ENGAGEMENTS 2026'!G2181)</f>
        <v/>
      </c>
      <c r="J2181" s="275">
        <f>IF(ISBLANK('ENGAGEMENTS 2026'!B2181),"",IF(AND(OR($E2181="INFRUCTUEUX",$E2181="ANNULE"),$C2181="AOO-M"),'ENGAGEMENTS 2026'!O2181,IF($H2181="EN COURS DE PREENGAGEMENT",'ENGAGEMENTS 2026'!N2181,IF($H2181="PREENGAGE",IF($E2181="ATTRIBUE",'ENGAGEMENTS 2026'!AD2181,'ENGAGEMENTS 2026'!N2181),'ENGAGEMENTS 2026'!AD2181))))</f>
        <v/>
      </c>
      <c r="K2181" s="604">
        <f>IF(ISBLANK('ENGAGEMENTS 2026'!V2181),"",'ENGAGEMENTS 2026'!V2181)</f>
        <v/>
      </c>
      <c r="L2181" s="276">
        <f>IF($K2181="","",TODAY()-$K2181)</f>
        <v/>
      </c>
      <c r="M2181">
        <f>IF($A2181="","",IF($H2181="ENGAGE","Engagé",IF(AND($H2181="NON ENGAGE",OR($I2181="INFRUCTUEUX",$I2181="ANNULE")),"Clôturé sans suite","En cours")))</f>
        <v/>
      </c>
      <c r="N2181">
        <f>IF(ISBLANK('ENGAGEMENTS 2026'!B2181),"",'ENGAGEMENTS 2026'!K2181)</f>
        <v/>
      </c>
      <c r="O2181">
        <f>IF(ISBLANK('ENGAGEMENTS 2026'!B2181),"",'ENGAGEMENTS 2026'!L2181)</f>
        <v/>
      </c>
      <c r="P2181">
        <f>IF(ISBLANK('ENGAGEMENTS 2026'!B2181),"",'ENGAGEMENTS 2026'!J2181)</f>
        <v/>
      </c>
      <c r="Q2181">
        <f>IF($A2181="","",IF(OR($E2181="INFRUCTUEUX",$E2181="ANNULE"),$A2181&amp;"|"&amp;(COUNTIFS($A$2:$A2181,$A2181,$E$2:$E2181,"INFRUCTUEUX")+COUNTIFS($A$2:$A2181,$A2181,$E$2:$E2181,"ANNULE")),""))</f>
        <v/>
      </c>
    </row>
    <row r="2182">
      <c r="A2182">
        <f>IF(ISBLANK('ENGAGEMENTS 2026'!B2182),"",IF('ENGAGEMENTS 2026'!B2182="DTSI","DCT",'ENGAGEMENTS 2026'!B2182))</f>
        <v/>
      </c>
      <c r="B2182">
        <f>IF(ISBLANK('ENGAGEMENTS 2026'!B2182),"",'ENGAGEMENTS 2026'!C2182)</f>
        <v/>
      </c>
      <c r="C2182">
        <f>IF(ISBLANK('ENGAGEMENTS 2026'!B2182),"",'ENGAGEMENTS 2026'!D2182)</f>
        <v/>
      </c>
      <c r="D2182">
        <f>IF(ISBLANK('ENGAGEMENTS 2026'!B2182),"",'ENGAGEMENTS 2026'!F2182)</f>
        <v/>
      </c>
      <c r="E2182">
        <f>IF(ISBLANK('ENGAGEMENTS 2026'!B2182),"",'ENGAGEMENTS 2026'!H2182)</f>
        <v/>
      </c>
      <c r="F2182">
        <f>IF(ISBLANK('ENGAGEMENTS 2026'!B2182),"",'ENGAGEMENTS 2026'!I2182)</f>
        <v/>
      </c>
      <c r="G2182">
        <f>IF(ISBLANK('ENGAGEMENTS 2026'!B2182),"",'ENGAGEMENTS 2026'!L2182)</f>
        <v/>
      </c>
      <c r="H2182">
        <f>IF(ISBLANK('ENGAGEMENTS 2026'!B2182),"",'ENGAGEMENTS 2026'!AE2182)</f>
        <v/>
      </c>
      <c r="I2182">
        <f>IF(ISBLANK('ENGAGEMENTS 2026'!B2182),"",'ENGAGEMENTS 2026'!G2182)</f>
        <v/>
      </c>
      <c r="J2182" s="275">
        <f>IF(ISBLANK('ENGAGEMENTS 2026'!B2182),"",IF(AND(OR($E2182="INFRUCTUEUX",$E2182="ANNULE"),$C2182="AOO-M"),'ENGAGEMENTS 2026'!O2182,IF($H2182="EN COURS DE PREENGAGEMENT",'ENGAGEMENTS 2026'!N2182,IF($H2182="PREENGAGE",IF($E2182="ATTRIBUE",'ENGAGEMENTS 2026'!AD2182,'ENGAGEMENTS 2026'!N2182),'ENGAGEMENTS 2026'!AD2182))))</f>
        <v/>
      </c>
      <c r="K2182" s="604">
        <f>IF(ISBLANK('ENGAGEMENTS 2026'!V2182),"",'ENGAGEMENTS 2026'!V2182)</f>
        <v/>
      </c>
      <c r="L2182" s="276">
        <f>IF($K2182="","",TODAY()-$K2182)</f>
        <v/>
      </c>
      <c r="M2182">
        <f>IF($A2182="","",IF($H2182="ENGAGE","Engagé",IF(AND($H2182="NON ENGAGE",OR($I2182="INFRUCTUEUX",$I2182="ANNULE")),"Clôturé sans suite","En cours")))</f>
        <v/>
      </c>
      <c r="N2182">
        <f>IF(ISBLANK('ENGAGEMENTS 2026'!B2182),"",'ENGAGEMENTS 2026'!K2182)</f>
        <v/>
      </c>
      <c r="O2182">
        <f>IF(ISBLANK('ENGAGEMENTS 2026'!B2182),"",'ENGAGEMENTS 2026'!L2182)</f>
        <v/>
      </c>
      <c r="P2182">
        <f>IF(ISBLANK('ENGAGEMENTS 2026'!B2182),"",'ENGAGEMENTS 2026'!J2182)</f>
        <v/>
      </c>
      <c r="Q2182">
        <f>IF($A2182="","",IF(OR($E2182="INFRUCTUEUX",$E2182="ANNULE"),$A2182&amp;"|"&amp;(COUNTIFS($A$2:$A2182,$A2182,$E$2:$E2182,"INFRUCTUEUX")+COUNTIFS($A$2:$A2182,$A2182,$E$2:$E2182,"ANNULE")),""))</f>
        <v/>
      </c>
    </row>
    <row r="2183">
      <c r="A2183">
        <f>IF(ISBLANK('ENGAGEMENTS 2026'!B2183),"",IF('ENGAGEMENTS 2026'!B2183="DTSI","DCT",'ENGAGEMENTS 2026'!B2183))</f>
        <v/>
      </c>
      <c r="B2183">
        <f>IF(ISBLANK('ENGAGEMENTS 2026'!B2183),"",'ENGAGEMENTS 2026'!C2183)</f>
        <v/>
      </c>
      <c r="C2183">
        <f>IF(ISBLANK('ENGAGEMENTS 2026'!B2183),"",'ENGAGEMENTS 2026'!D2183)</f>
        <v/>
      </c>
      <c r="D2183">
        <f>IF(ISBLANK('ENGAGEMENTS 2026'!B2183),"",'ENGAGEMENTS 2026'!F2183)</f>
        <v/>
      </c>
      <c r="E2183">
        <f>IF(ISBLANK('ENGAGEMENTS 2026'!B2183),"",'ENGAGEMENTS 2026'!H2183)</f>
        <v/>
      </c>
      <c r="F2183">
        <f>IF(ISBLANK('ENGAGEMENTS 2026'!B2183),"",'ENGAGEMENTS 2026'!I2183)</f>
        <v/>
      </c>
      <c r="G2183">
        <f>IF(ISBLANK('ENGAGEMENTS 2026'!B2183),"",'ENGAGEMENTS 2026'!L2183)</f>
        <v/>
      </c>
      <c r="H2183">
        <f>IF(ISBLANK('ENGAGEMENTS 2026'!B2183),"",'ENGAGEMENTS 2026'!AE2183)</f>
        <v/>
      </c>
      <c r="I2183">
        <f>IF(ISBLANK('ENGAGEMENTS 2026'!B2183),"",'ENGAGEMENTS 2026'!G2183)</f>
        <v/>
      </c>
      <c r="J2183" s="275">
        <f>IF(ISBLANK('ENGAGEMENTS 2026'!B2183),"",IF(AND(OR($E2183="INFRUCTUEUX",$E2183="ANNULE"),$C2183="AOO-M"),'ENGAGEMENTS 2026'!O2183,IF($H2183="EN COURS DE PREENGAGEMENT",'ENGAGEMENTS 2026'!N2183,IF($H2183="PREENGAGE",IF($E2183="ATTRIBUE",'ENGAGEMENTS 2026'!AD2183,'ENGAGEMENTS 2026'!N2183),'ENGAGEMENTS 2026'!AD2183))))</f>
        <v/>
      </c>
      <c r="K2183" s="604">
        <f>IF(ISBLANK('ENGAGEMENTS 2026'!V2183),"",'ENGAGEMENTS 2026'!V2183)</f>
        <v/>
      </c>
      <c r="L2183" s="276">
        <f>IF($K2183="","",TODAY()-$K2183)</f>
        <v/>
      </c>
      <c r="M2183">
        <f>IF($A2183="","",IF($H2183="ENGAGE","Engagé",IF(AND($H2183="NON ENGAGE",OR($I2183="INFRUCTUEUX",$I2183="ANNULE")),"Clôturé sans suite","En cours")))</f>
        <v/>
      </c>
      <c r="N2183">
        <f>IF(ISBLANK('ENGAGEMENTS 2026'!B2183),"",'ENGAGEMENTS 2026'!K2183)</f>
        <v/>
      </c>
      <c r="O2183">
        <f>IF(ISBLANK('ENGAGEMENTS 2026'!B2183),"",'ENGAGEMENTS 2026'!L2183)</f>
        <v/>
      </c>
      <c r="P2183">
        <f>IF(ISBLANK('ENGAGEMENTS 2026'!B2183),"",'ENGAGEMENTS 2026'!J2183)</f>
        <v/>
      </c>
      <c r="Q2183">
        <f>IF($A2183="","",IF(OR($E2183="INFRUCTUEUX",$E2183="ANNULE"),$A2183&amp;"|"&amp;(COUNTIFS($A$2:$A2183,$A2183,$E$2:$E2183,"INFRUCTUEUX")+COUNTIFS($A$2:$A2183,$A2183,$E$2:$E2183,"ANNULE")),""))</f>
        <v/>
      </c>
    </row>
    <row r="2184">
      <c r="A2184">
        <f>IF(ISBLANK('ENGAGEMENTS 2026'!B2184),"",IF('ENGAGEMENTS 2026'!B2184="DTSI","DCT",'ENGAGEMENTS 2026'!B2184))</f>
        <v/>
      </c>
      <c r="B2184">
        <f>IF(ISBLANK('ENGAGEMENTS 2026'!B2184),"",'ENGAGEMENTS 2026'!C2184)</f>
        <v/>
      </c>
      <c r="C2184">
        <f>IF(ISBLANK('ENGAGEMENTS 2026'!B2184),"",'ENGAGEMENTS 2026'!D2184)</f>
        <v/>
      </c>
      <c r="D2184">
        <f>IF(ISBLANK('ENGAGEMENTS 2026'!B2184),"",'ENGAGEMENTS 2026'!F2184)</f>
        <v/>
      </c>
      <c r="E2184">
        <f>IF(ISBLANK('ENGAGEMENTS 2026'!B2184),"",'ENGAGEMENTS 2026'!H2184)</f>
        <v/>
      </c>
      <c r="F2184">
        <f>IF(ISBLANK('ENGAGEMENTS 2026'!B2184),"",'ENGAGEMENTS 2026'!I2184)</f>
        <v/>
      </c>
      <c r="G2184">
        <f>IF(ISBLANK('ENGAGEMENTS 2026'!B2184),"",'ENGAGEMENTS 2026'!L2184)</f>
        <v/>
      </c>
      <c r="H2184">
        <f>IF(ISBLANK('ENGAGEMENTS 2026'!B2184),"",'ENGAGEMENTS 2026'!AE2184)</f>
        <v/>
      </c>
      <c r="I2184">
        <f>IF(ISBLANK('ENGAGEMENTS 2026'!B2184),"",'ENGAGEMENTS 2026'!G2184)</f>
        <v/>
      </c>
      <c r="J2184" s="275">
        <f>IF(ISBLANK('ENGAGEMENTS 2026'!B2184),"",IF(AND(OR($E2184="INFRUCTUEUX",$E2184="ANNULE"),$C2184="AOO-M"),'ENGAGEMENTS 2026'!O2184,IF($H2184="EN COURS DE PREENGAGEMENT",'ENGAGEMENTS 2026'!N2184,IF($H2184="PREENGAGE",IF($E2184="ATTRIBUE",'ENGAGEMENTS 2026'!AD2184,'ENGAGEMENTS 2026'!N2184),'ENGAGEMENTS 2026'!AD2184))))</f>
        <v/>
      </c>
      <c r="K2184" s="604">
        <f>IF(ISBLANK('ENGAGEMENTS 2026'!V2184),"",'ENGAGEMENTS 2026'!V2184)</f>
        <v/>
      </c>
      <c r="L2184" s="276">
        <f>IF($K2184="","",TODAY()-$K2184)</f>
        <v/>
      </c>
      <c r="M2184">
        <f>IF($A2184="","",IF($H2184="ENGAGE","Engagé",IF(AND($H2184="NON ENGAGE",OR($I2184="INFRUCTUEUX",$I2184="ANNULE")),"Clôturé sans suite","En cours")))</f>
        <v/>
      </c>
      <c r="N2184">
        <f>IF(ISBLANK('ENGAGEMENTS 2026'!B2184),"",'ENGAGEMENTS 2026'!K2184)</f>
        <v/>
      </c>
      <c r="O2184">
        <f>IF(ISBLANK('ENGAGEMENTS 2026'!B2184),"",'ENGAGEMENTS 2026'!L2184)</f>
        <v/>
      </c>
      <c r="P2184">
        <f>IF(ISBLANK('ENGAGEMENTS 2026'!B2184),"",'ENGAGEMENTS 2026'!J2184)</f>
        <v/>
      </c>
      <c r="Q2184">
        <f>IF($A2184="","",IF(OR($E2184="INFRUCTUEUX",$E2184="ANNULE"),$A2184&amp;"|"&amp;(COUNTIFS($A$2:$A2184,$A2184,$E$2:$E2184,"INFRUCTUEUX")+COUNTIFS($A$2:$A2184,$A2184,$E$2:$E2184,"ANNULE")),""))</f>
        <v/>
      </c>
    </row>
    <row r="2185">
      <c r="A2185">
        <f>IF(ISBLANK('ENGAGEMENTS 2026'!B2185),"",IF('ENGAGEMENTS 2026'!B2185="DTSI","DCT",'ENGAGEMENTS 2026'!B2185))</f>
        <v/>
      </c>
      <c r="B2185">
        <f>IF(ISBLANK('ENGAGEMENTS 2026'!B2185),"",'ENGAGEMENTS 2026'!C2185)</f>
        <v/>
      </c>
      <c r="C2185">
        <f>IF(ISBLANK('ENGAGEMENTS 2026'!B2185),"",'ENGAGEMENTS 2026'!D2185)</f>
        <v/>
      </c>
      <c r="D2185">
        <f>IF(ISBLANK('ENGAGEMENTS 2026'!B2185),"",'ENGAGEMENTS 2026'!F2185)</f>
        <v/>
      </c>
      <c r="E2185">
        <f>IF(ISBLANK('ENGAGEMENTS 2026'!B2185),"",'ENGAGEMENTS 2026'!H2185)</f>
        <v/>
      </c>
      <c r="F2185">
        <f>IF(ISBLANK('ENGAGEMENTS 2026'!B2185),"",'ENGAGEMENTS 2026'!I2185)</f>
        <v/>
      </c>
      <c r="G2185">
        <f>IF(ISBLANK('ENGAGEMENTS 2026'!B2185),"",'ENGAGEMENTS 2026'!L2185)</f>
        <v/>
      </c>
      <c r="H2185">
        <f>IF(ISBLANK('ENGAGEMENTS 2026'!B2185),"",'ENGAGEMENTS 2026'!AE2185)</f>
        <v/>
      </c>
      <c r="I2185">
        <f>IF(ISBLANK('ENGAGEMENTS 2026'!B2185),"",'ENGAGEMENTS 2026'!G2185)</f>
        <v/>
      </c>
      <c r="J2185" s="275">
        <f>IF(ISBLANK('ENGAGEMENTS 2026'!B2185),"",IF(AND(OR($E2185="INFRUCTUEUX",$E2185="ANNULE"),$C2185="AOO-M"),'ENGAGEMENTS 2026'!O2185,IF($H2185="EN COURS DE PREENGAGEMENT",'ENGAGEMENTS 2026'!N2185,IF($H2185="PREENGAGE",IF($E2185="ATTRIBUE",'ENGAGEMENTS 2026'!AD2185,'ENGAGEMENTS 2026'!N2185),'ENGAGEMENTS 2026'!AD2185))))</f>
        <v/>
      </c>
      <c r="K2185" s="604">
        <f>IF(ISBLANK('ENGAGEMENTS 2026'!V2185),"",'ENGAGEMENTS 2026'!V2185)</f>
        <v/>
      </c>
      <c r="L2185" s="276">
        <f>IF($K2185="","",TODAY()-$K2185)</f>
        <v/>
      </c>
      <c r="M2185">
        <f>IF($A2185="","",IF($H2185="ENGAGE","Engagé",IF(AND($H2185="NON ENGAGE",OR($I2185="INFRUCTUEUX",$I2185="ANNULE")),"Clôturé sans suite","En cours")))</f>
        <v/>
      </c>
      <c r="N2185">
        <f>IF(ISBLANK('ENGAGEMENTS 2026'!B2185),"",'ENGAGEMENTS 2026'!K2185)</f>
        <v/>
      </c>
      <c r="O2185">
        <f>IF(ISBLANK('ENGAGEMENTS 2026'!B2185),"",'ENGAGEMENTS 2026'!L2185)</f>
        <v/>
      </c>
      <c r="P2185">
        <f>IF(ISBLANK('ENGAGEMENTS 2026'!B2185),"",'ENGAGEMENTS 2026'!J2185)</f>
        <v/>
      </c>
      <c r="Q2185">
        <f>IF($A2185="","",IF(OR($E2185="INFRUCTUEUX",$E2185="ANNULE"),$A2185&amp;"|"&amp;(COUNTIFS($A$2:$A2185,$A2185,$E$2:$E2185,"INFRUCTUEUX")+COUNTIFS($A$2:$A2185,$A2185,$E$2:$E2185,"ANNULE")),""))</f>
        <v/>
      </c>
    </row>
    <row r="2186">
      <c r="A2186">
        <f>IF(ISBLANK('ENGAGEMENTS 2026'!B2186),"",IF('ENGAGEMENTS 2026'!B2186="DTSI","DCT",'ENGAGEMENTS 2026'!B2186))</f>
        <v/>
      </c>
      <c r="B2186">
        <f>IF(ISBLANK('ENGAGEMENTS 2026'!B2186),"",'ENGAGEMENTS 2026'!C2186)</f>
        <v/>
      </c>
      <c r="C2186">
        <f>IF(ISBLANK('ENGAGEMENTS 2026'!B2186),"",'ENGAGEMENTS 2026'!D2186)</f>
        <v/>
      </c>
      <c r="D2186">
        <f>IF(ISBLANK('ENGAGEMENTS 2026'!B2186),"",'ENGAGEMENTS 2026'!F2186)</f>
        <v/>
      </c>
      <c r="E2186">
        <f>IF(ISBLANK('ENGAGEMENTS 2026'!B2186),"",'ENGAGEMENTS 2026'!H2186)</f>
        <v/>
      </c>
      <c r="F2186">
        <f>IF(ISBLANK('ENGAGEMENTS 2026'!B2186),"",'ENGAGEMENTS 2026'!I2186)</f>
        <v/>
      </c>
      <c r="G2186">
        <f>IF(ISBLANK('ENGAGEMENTS 2026'!B2186),"",'ENGAGEMENTS 2026'!L2186)</f>
        <v/>
      </c>
      <c r="H2186">
        <f>IF(ISBLANK('ENGAGEMENTS 2026'!B2186),"",'ENGAGEMENTS 2026'!AE2186)</f>
        <v/>
      </c>
      <c r="I2186">
        <f>IF(ISBLANK('ENGAGEMENTS 2026'!B2186),"",'ENGAGEMENTS 2026'!G2186)</f>
        <v/>
      </c>
      <c r="J2186" s="275">
        <f>IF(ISBLANK('ENGAGEMENTS 2026'!B2186),"",IF(AND(OR($E2186="INFRUCTUEUX",$E2186="ANNULE"),$C2186="AOO-M"),'ENGAGEMENTS 2026'!O2186,IF($H2186="EN COURS DE PREENGAGEMENT",'ENGAGEMENTS 2026'!N2186,IF($H2186="PREENGAGE",IF($E2186="ATTRIBUE",'ENGAGEMENTS 2026'!AD2186,'ENGAGEMENTS 2026'!N2186),'ENGAGEMENTS 2026'!AD2186))))</f>
        <v/>
      </c>
      <c r="K2186" s="604">
        <f>IF(ISBLANK('ENGAGEMENTS 2026'!V2186),"",'ENGAGEMENTS 2026'!V2186)</f>
        <v/>
      </c>
      <c r="L2186" s="276">
        <f>IF($K2186="","",TODAY()-$K2186)</f>
        <v/>
      </c>
      <c r="M2186">
        <f>IF($A2186="","",IF($H2186="ENGAGE","Engagé",IF(AND($H2186="NON ENGAGE",OR($I2186="INFRUCTUEUX",$I2186="ANNULE")),"Clôturé sans suite","En cours")))</f>
        <v/>
      </c>
      <c r="N2186">
        <f>IF(ISBLANK('ENGAGEMENTS 2026'!B2186),"",'ENGAGEMENTS 2026'!K2186)</f>
        <v/>
      </c>
      <c r="O2186">
        <f>IF(ISBLANK('ENGAGEMENTS 2026'!B2186),"",'ENGAGEMENTS 2026'!L2186)</f>
        <v/>
      </c>
      <c r="P2186">
        <f>IF(ISBLANK('ENGAGEMENTS 2026'!B2186),"",'ENGAGEMENTS 2026'!J2186)</f>
        <v/>
      </c>
      <c r="Q2186">
        <f>IF($A2186="","",IF(OR($E2186="INFRUCTUEUX",$E2186="ANNULE"),$A2186&amp;"|"&amp;(COUNTIFS($A$2:$A2186,$A2186,$E$2:$E2186,"INFRUCTUEUX")+COUNTIFS($A$2:$A2186,$A2186,$E$2:$E2186,"ANNULE")),""))</f>
        <v/>
      </c>
    </row>
    <row r="2187">
      <c r="A2187">
        <f>IF(ISBLANK('ENGAGEMENTS 2026'!B2187),"",IF('ENGAGEMENTS 2026'!B2187="DTSI","DCT",'ENGAGEMENTS 2026'!B2187))</f>
        <v/>
      </c>
      <c r="B2187">
        <f>IF(ISBLANK('ENGAGEMENTS 2026'!B2187),"",'ENGAGEMENTS 2026'!C2187)</f>
        <v/>
      </c>
      <c r="C2187">
        <f>IF(ISBLANK('ENGAGEMENTS 2026'!B2187),"",'ENGAGEMENTS 2026'!D2187)</f>
        <v/>
      </c>
      <c r="D2187">
        <f>IF(ISBLANK('ENGAGEMENTS 2026'!B2187),"",'ENGAGEMENTS 2026'!F2187)</f>
        <v/>
      </c>
      <c r="E2187">
        <f>IF(ISBLANK('ENGAGEMENTS 2026'!B2187),"",'ENGAGEMENTS 2026'!H2187)</f>
        <v/>
      </c>
      <c r="F2187">
        <f>IF(ISBLANK('ENGAGEMENTS 2026'!B2187),"",'ENGAGEMENTS 2026'!I2187)</f>
        <v/>
      </c>
      <c r="G2187">
        <f>IF(ISBLANK('ENGAGEMENTS 2026'!B2187),"",'ENGAGEMENTS 2026'!L2187)</f>
        <v/>
      </c>
      <c r="H2187">
        <f>IF(ISBLANK('ENGAGEMENTS 2026'!B2187),"",'ENGAGEMENTS 2026'!AE2187)</f>
        <v/>
      </c>
      <c r="I2187">
        <f>IF(ISBLANK('ENGAGEMENTS 2026'!B2187),"",'ENGAGEMENTS 2026'!G2187)</f>
        <v/>
      </c>
      <c r="J2187" s="275">
        <f>IF(ISBLANK('ENGAGEMENTS 2026'!B2187),"",IF(AND(OR($E2187="INFRUCTUEUX",$E2187="ANNULE"),$C2187="AOO-M"),'ENGAGEMENTS 2026'!O2187,IF($H2187="EN COURS DE PREENGAGEMENT",'ENGAGEMENTS 2026'!N2187,IF($H2187="PREENGAGE",IF($E2187="ATTRIBUE",'ENGAGEMENTS 2026'!AD2187,'ENGAGEMENTS 2026'!N2187),'ENGAGEMENTS 2026'!AD2187))))</f>
        <v/>
      </c>
      <c r="K2187" s="604">
        <f>IF(ISBLANK('ENGAGEMENTS 2026'!V2187),"",'ENGAGEMENTS 2026'!V2187)</f>
        <v/>
      </c>
      <c r="L2187" s="276">
        <f>IF($K2187="","",TODAY()-$K2187)</f>
        <v/>
      </c>
      <c r="M2187">
        <f>IF($A2187="","",IF($H2187="ENGAGE","Engagé",IF(AND($H2187="NON ENGAGE",OR($I2187="INFRUCTUEUX",$I2187="ANNULE")),"Clôturé sans suite","En cours")))</f>
        <v/>
      </c>
      <c r="N2187">
        <f>IF(ISBLANK('ENGAGEMENTS 2026'!B2187),"",'ENGAGEMENTS 2026'!K2187)</f>
        <v/>
      </c>
      <c r="O2187">
        <f>IF(ISBLANK('ENGAGEMENTS 2026'!B2187),"",'ENGAGEMENTS 2026'!L2187)</f>
        <v/>
      </c>
      <c r="P2187">
        <f>IF(ISBLANK('ENGAGEMENTS 2026'!B2187),"",'ENGAGEMENTS 2026'!J2187)</f>
        <v/>
      </c>
      <c r="Q2187">
        <f>IF($A2187="","",IF(OR($E2187="INFRUCTUEUX",$E2187="ANNULE"),$A2187&amp;"|"&amp;(COUNTIFS($A$2:$A2187,$A2187,$E$2:$E2187,"INFRUCTUEUX")+COUNTIFS($A$2:$A2187,$A2187,$E$2:$E2187,"ANNULE")),""))</f>
        <v/>
      </c>
    </row>
    <row r="2188">
      <c r="A2188">
        <f>IF(ISBLANK('ENGAGEMENTS 2026'!B2188),"",IF('ENGAGEMENTS 2026'!B2188="DTSI","DCT",'ENGAGEMENTS 2026'!B2188))</f>
        <v/>
      </c>
      <c r="B2188">
        <f>IF(ISBLANK('ENGAGEMENTS 2026'!B2188),"",'ENGAGEMENTS 2026'!C2188)</f>
        <v/>
      </c>
      <c r="C2188">
        <f>IF(ISBLANK('ENGAGEMENTS 2026'!B2188),"",'ENGAGEMENTS 2026'!D2188)</f>
        <v/>
      </c>
      <c r="D2188">
        <f>IF(ISBLANK('ENGAGEMENTS 2026'!B2188),"",'ENGAGEMENTS 2026'!F2188)</f>
        <v/>
      </c>
      <c r="E2188">
        <f>IF(ISBLANK('ENGAGEMENTS 2026'!B2188),"",'ENGAGEMENTS 2026'!H2188)</f>
        <v/>
      </c>
      <c r="F2188">
        <f>IF(ISBLANK('ENGAGEMENTS 2026'!B2188),"",'ENGAGEMENTS 2026'!I2188)</f>
        <v/>
      </c>
      <c r="G2188">
        <f>IF(ISBLANK('ENGAGEMENTS 2026'!B2188),"",'ENGAGEMENTS 2026'!L2188)</f>
        <v/>
      </c>
      <c r="H2188">
        <f>IF(ISBLANK('ENGAGEMENTS 2026'!B2188),"",'ENGAGEMENTS 2026'!AE2188)</f>
        <v/>
      </c>
      <c r="I2188">
        <f>IF(ISBLANK('ENGAGEMENTS 2026'!B2188),"",'ENGAGEMENTS 2026'!G2188)</f>
        <v/>
      </c>
      <c r="J2188" s="275">
        <f>IF(ISBLANK('ENGAGEMENTS 2026'!B2188),"",IF(AND(OR($E2188="INFRUCTUEUX",$E2188="ANNULE"),$C2188="AOO-M"),'ENGAGEMENTS 2026'!O2188,IF($H2188="EN COURS DE PREENGAGEMENT",'ENGAGEMENTS 2026'!N2188,IF($H2188="PREENGAGE",IF($E2188="ATTRIBUE",'ENGAGEMENTS 2026'!AD2188,'ENGAGEMENTS 2026'!N2188),'ENGAGEMENTS 2026'!AD2188))))</f>
        <v/>
      </c>
      <c r="K2188" s="604">
        <f>IF(ISBLANK('ENGAGEMENTS 2026'!V2188),"",'ENGAGEMENTS 2026'!V2188)</f>
        <v/>
      </c>
      <c r="L2188" s="276">
        <f>IF($K2188="","",TODAY()-$K2188)</f>
        <v/>
      </c>
      <c r="M2188">
        <f>IF($A2188="","",IF($H2188="ENGAGE","Engagé",IF(AND($H2188="NON ENGAGE",OR($I2188="INFRUCTUEUX",$I2188="ANNULE")),"Clôturé sans suite","En cours")))</f>
        <v/>
      </c>
      <c r="N2188">
        <f>IF(ISBLANK('ENGAGEMENTS 2026'!B2188),"",'ENGAGEMENTS 2026'!K2188)</f>
        <v/>
      </c>
      <c r="O2188">
        <f>IF(ISBLANK('ENGAGEMENTS 2026'!B2188),"",'ENGAGEMENTS 2026'!L2188)</f>
        <v/>
      </c>
      <c r="P2188">
        <f>IF(ISBLANK('ENGAGEMENTS 2026'!B2188),"",'ENGAGEMENTS 2026'!J2188)</f>
        <v/>
      </c>
      <c r="Q2188">
        <f>IF($A2188="","",IF(OR($E2188="INFRUCTUEUX",$E2188="ANNULE"),$A2188&amp;"|"&amp;(COUNTIFS($A$2:$A2188,$A2188,$E$2:$E2188,"INFRUCTUEUX")+COUNTIFS($A$2:$A2188,$A2188,$E$2:$E2188,"ANNULE")),""))</f>
        <v/>
      </c>
    </row>
    <row r="2189">
      <c r="A2189">
        <f>IF(ISBLANK('ENGAGEMENTS 2026'!B2189),"",IF('ENGAGEMENTS 2026'!B2189="DTSI","DCT",'ENGAGEMENTS 2026'!B2189))</f>
        <v/>
      </c>
      <c r="B2189">
        <f>IF(ISBLANK('ENGAGEMENTS 2026'!B2189),"",'ENGAGEMENTS 2026'!C2189)</f>
        <v/>
      </c>
      <c r="C2189">
        <f>IF(ISBLANK('ENGAGEMENTS 2026'!B2189),"",'ENGAGEMENTS 2026'!D2189)</f>
        <v/>
      </c>
      <c r="D2189">
        <f>IF(ISBLANK('ENGAGEMENTS 2026'!B2189),"",'ENGAGEMENTS 2026'!F2189)</f>
        <v/>
      </c>
      <c r="E2189">
        <f>IF(ISBLANK('ENGAGEMENTS 2026'!B2189),"",'ENGAGEMENTS 2026'!H2189)</f>
        <v/>
      </c>
      <c r="F2189">
        <f>IF(ISBLANK('ENGAGEMENTS 2026'!B2189),"",'ENGAGEMENTS 2026'!I2189)</f>
        <v/>
      </c>
      <c r="G2189">
        <f>IF(ISBLANK('ENGAGEMENTS 2026'!B2189),"",'ENGAGEMENTS 2026'!L2189)</f>
        <v/>
      </c>
      <c r="H2189">
        <f>IF(ISBLANK('ENGAGEMENTS 2026'!B2189),"",'ENGAGEMENTS 2026'!AE2189)</f>
        <v/>
      </c>
      <c r="I2189">
        <f>IF(ISBLANK('ENGAGEMENTS 2026'!B2189),"",'ENGAGEMENTS 2026'!G2189)</f>
        <v/>
      </c>
      <c r="J2189" s="275">
        <f>IF(ISBLANK('ENGAGEMENTS 2026'!B2189),"",IF(AND(OR($E2189="INFRUCTUEUX",$E2189="ANNULE"),$C2189="AOO-M"),'ENGAGEMENTS 2026'!O2189,IF($H2189="EN COURS DE PREENGAGEMENT",'ENGAGEMENTS 2026'!N2189,IF($H2189="PREENGAGE",IF($E2189="ATTRIBUE",'ENGAGEMENTS 2026'!AD2189,'ENGAGEMENTS 2026'!N2189),'ENGAGEMENTS 2026'!AD2189))))</f>
        <v/>
      </c>
      <c r="K2189" s="604">
        <f>IF(ISBLANK('ENGAGEMENTS 2026'!V2189),"",'ENGAGEMENTS 2026'!V2189)</f>
        <v/>
      </c>
      <c r="L2189" s="276">
        <f>IF($K2189="","",TODAY()-$K2189)</f>
        <v/>
      </c>
      <c r="M2189">
        <f>IF($A2189="","",IF($H2189="ENGAGE","Engagé",IF(AND($H2189="NON ENGAGE",OR($I2189="INFRUCTUEUX",$I2189="ANNULE")),"Clôturé sans suite","En cours")))</f>
        <v/>
      </c>
      <c r="N2189">
        <f>IF(ISBLANK('ENGAGEMENTS 2026'!B2189),"",'ENGAGEMENTS 2026'!K2189)</f>
        <v/>
      </c>
      <c r="O2189">
        <f>IF(ISBLANK('ENGAGEMENTS 2026'!B2189),"",'ENGAGEMENTS 2026'!L2189)</f>
        <v/>
      </c>
      <c r="P2189">
        <f>IF(ISBLANK('ENGAGEMENTS 2026'!B2189),"",'ENGAGEMENTS 2026'!J2189)</f>
        <v/>
      </c>
      <c r="Q2189">
        <f>IF($A2189="","",IF(OR($E2189="INFRUCTUEUX",$E2189="ANNULE"),$A2189&amp;"|"&amp;(COUNTIFS($A$2:$A2189,$A2189,$E$2:$E2189,"INFRUCTUEUX")+COUNTIFS($A$2:$A2189,$A2189,$E$2:$E2189,"ANNULE")),""))</f>
        <v/>
      </c>
    </row>
    <row r="2190">
      <c r="A2190">
        <f>IF(ISBLANK('ENGAGEMENTS 2026'!B2190),"",IF('ENGAGEMENTS 2026'!B2190="DTSI","DCT",'ENGAGEMENTS 2026'!B2190))</f>
        <v/>
      </c>
      <c r="B2190">
        <f>IF(ISBLANK('ENGAGEMENTS 2026'!B2190),"",'ENGAGEMENTS 2026'!C2190)</f>
        <v/>
      </c>
      <c r="C2190">
        <f>IF(ISBLANK('ENGAGEMENTS 2026'!B2190),"",'ENGAGEMENTS 2026'!D2190)</f>
        <v/>
      </c>
      <c r="D2190">
        <f>IF(ISBLANK('ENGAGEMENTS 2026'!B2190),"",'ENGAGEMENTS 2026'!F2190)</f>
        <v/>
      </c>
      <c r="E2190">
        <f>IF(ISBLANK('ENGAGEMENTS 2026'!B2190),"",'ENGAGEMENTS 2026'!H2190)</f>
        <v/>
      </c>
      <c r="F2190">
        <f>IF(ISBLANK('ENGAGEMENTS 2026'!B2190),"",'ENGAGEMENTS 2026'!I2190)</f>
        <v/>
      </c>
      <c r="G2190">
        <f>IF(ISBLANK('ENGAGEMENTS 2026'!B2190),"",'ENGAGEMENTS 2026'!L2190)</f>
        <v/>
      </c>
      <c r="H2190">
        <f>IF(ISBLANK('ENGAGEMENTS 2026'!B2190),"",'ENGAGEMENTS 2026'!AE2190)</f>
        <v/>
      </c>
      <c r="I2190">
        <f>IF(ISBLANK('ENGAGEMENTS 2026'!B2190),"",'ENGAGEMENTS 2026'!G2190)</f>
        <v/>
      </c>
      <c r="J2190" s="275">
        <f>IF(ISBLANK('ENGAGEMENTS 2026'!B2190),"",IF(AND(OR($E2190="INFRUCTUEUX",$E2190="ANNULE"),$C2190="AOO-M"),'ENGAGEMENTS 2026'!O2190,IF($H2190="EN COURS DE PREENGAGEMENT",'ENGAGEMENTS 2026'!N2190,IF($H2190="PREENGAGE",IF($E2190="ATTRIBUE",'ENGAGEMENTS 2026'!AD2190,'ENGAGEMENTS 2026'!N2190),'ENGAGEMENTS 2026'!AD2190))))</f>
        <v/>
      </c>
      <c r="K2190" s="604">
        <f>IF(ISBLANK('ENGAGEMENTS 2026'!V2190),"",'ENGAGEMENTS 2026'!V2190)</f>
        <v/>
      </c>
      <c r="L2190" s="276">
        <f>IF($K2190="","",TODAY()-$K2190)</f>
        <v/>
      </c>
      <c r="M2190">
        <f>IF($A2190="","",IF($H2190="ENGAGE","Engagé",IF(AND($H2190="NON ENGAGE",OR($I2190="INFRUCTUEUX",$I2190="ANNULE")),"Clôturé sans suite","En cours")))</f>
        <v/>
      </c>
      <c r="N2190">
        <f>IF(ISBLANK('ENGAGEMENTS 2026'!B2190),"",'ENGAGEMENTS 2026'!K2190)</f>
        <v/>
      </c>
      <c r="O2190">
        <f>IF(ISBLANK('ENGAGEMENTS 2026'!B2190),"",'ENGAGEMENTS 2026'!L2190)</f>
        <v/>
      </c>
      <c r="P2190">
        <f>IF(ISBLANK('ENGAGEMENTS 2026'!B2190),"",'ENGAGEMENTS 2026'!J2190)</f>
        <v/>
      </c>
      <c r="Q2190">
        <f>IF($A2190="","",IF(OR($E2190="INFRUCTUEUX",$E2190="ANNULE"),$A2190&amp;"|"&amp;(COUNTIFS($A$2:$A2190,$A2190,$E$2:$E2190,"INFRUCTUEUX")+COUNTIFS($A$2:$A2190,$A2190,$E$2:$E2190,"ANNULE")),""))</f>
        <v/>
      </c>
    </row>
    <row r="2191">
      <c r="A2191">
        <f>IF(ISBLANK('ENGAGEMENTS 2026'!B2191),"",IF('ENGAGEMENTS 2026'!B2191="DTSI","DCT",'ENGAGEMENTS 2026'!B2191))</f>
        <v/>
      </c>
      <c r="B2191">
        <f>IF(ISBLANK('ENGAGEMENTS 2026'!B2191),"",'ENGAGEMENTS 2026'!C2191)</f>
        <v/>
      </c>
      <c r="C2191">
        <f>IF(ISBLANK('ENGAGEMENTS 2026'!B2191),"",'ENGAGEMENTS 2026'!D2191)</f>
        <v/>
      </c>
      <c r="D2191">
        <f>IF(ISBLANK('ENGAGEMENTS 2026'!B2191),"",'ENGAGEMENTS 2026'!F2191)</f>
        <v/>
      </c>
      <c r="E2191">
        <f>IF(ISBLANK('ENGAGEMENTS 2026'!B2191),"",'ENGAGEMENTS 2026'!H2191)</f>
        <v/>
      </c>
      <c r="F2191">
        <f>IF(ISBLANK('ENGAGEMENTS 2026'!B2191),"",'ENGAGEMENTS 2026'!I2191)</f>
        <v/>
      </c>
      <c r="G2191">
        <f>IF(ISBLANK('ENGAGEMENTS 2026'!B2191),"",'ENGAGEMENTS 2026'!L2191)</f>
        <v/>
      </c>
      <c r="H2191">
        <f>IF(ISBLANK('ENGAGEMENTS 2026'!B2191),"",'ENGAGEMENTS 2026'!AE2191)</f>
        <v/>
      </c>
      <c r="I2191">
        <f>IF(ISBLANK('ENGAGEMENTS 2026'!B2191),"",'ENGAGEMENTS 2026'!G2191)</f>
        <v/>
      </c>
      <c r="J2191" s="275">
        <f>IF(ISBLANK('ENGAGEMENTS 2026'!B2191),"",IF(AND(OR($E2191="INFRUCTUEUX",$E2191="ANNULE"),$C2191="AOO-M"),'ENGAGEMENTS 2026'!O2191,IF($H2191="EN COURS DE PREENGAGEMENT",'ENGAGEMENTS 2026'!N2191,IF($H2191="PREENGAGE",IF($E2191="ATTRIBUE",'ENGAGEMENTS 2026'!AD2191,'ENGAGEMENTS 2026'!N2191),'ENGAGEMENTS 2026'!AD2191))))</f>
        <v/>
      </c>
      <c r="K2191" s="604">
        <f>IF(ISBLANK('ENGAGEMENTS 2026'!V2191),"",'ENGAGEMENTS 2026'!V2191)</f>
        <v/>
      </c>
      <c r="L2191" s="276">
        <f>IF($K2191="","",TODAY()-$K2191)</f>
        <v/>
      </c>
      <c r="M2191">
        <f>IF($A2191="","",IF($H2191="ENGAGE","Engagé",IF(AND($H2191="NON ENGAGE",OR($I2191="INFRUCTUEUX",$I2191="ANNULE")),"Clôturé sans suite","En cours")))</f>
        <v/>
      </c>
      <c r="N2191">
        <f>IF(ISBLANK('ENGAGEMENTS 2026'!B2191),"",'ENGAGEMENTS 2026'!K2191)</f>
        <v/>
      </c>
      <c r="O2191">
        <f>IF(ISBLANK('ENGAGEMENTS 2026'!B2191),"",'ENGAGEMENTS 2026'!L2191)</f>
        <v/>
      </c>
      <c r="P2191">
        <f>IF(ISBLANK('ENGAGEMENTS 2026'!B2191),"",'ENGAGEMENTS 2026'!J2191)</f>
        <v/>
      </c>
      <c r="Q2191">
        <f>IF($A2191="","",IF(OR($E2191="INFRUCTUEUX",$E2191="ANNULE"),$A2191&amp;"|"&amp;(COUNTIFS($A$2:$A2191,$A2191,$E$2:$E2191,"INFRUCTUEUX")+COUNTIFS($A$2:$A2191,$A2191,$E$2:$E2191,"ANNULE")),""))</f>
        <v/>
      </c>
    </row>
    <row r="2192">
      <c r="A2192">
        <f>IF(ISBLANK('ENGAGEMENTS 2026'!B2192),"",IF('ENGAGEMENTS 2026'!B2192="DTSI","DCT",'ENGAGEMENTS 2026'!B2192))</f>
        <v/>
      </c>
      <c r="B2192">
        <f>IF(ISBLANK('ENGAGEMENTS 2026'!B2192),"",'ENGAGEMENTS 2026'!C2192)</f>
        <v/>
      </c>
      <c r="C2192">
        <f>IF(ISBLANK('ENGAGEMENTS 2026'!B2192),"",'ENGAGEMENTS 2026'!D2192)</f>
        <v/>
      </c>
      <c r="D2192">
        <f>IF(ISBLANK('ENGAGEMENTS 2026'!B2192),"",'ENGAGEMENTS 2026'!F2192)</f>
        <v/>
      </c>
      <c r="E2192">
        <f>IF(ISBLANK('ENGAGEMENTS 2026'!B2192),"",'ENGAGEMENTS 2026'!H2192)</f>
        <v/>
      </c>
      <c r="F2192">
        <f>IF(ISBLANK('ENGAGEMENTS 2026'!B2192),"",'ENGAGEMENTS 2026'!I2192)</f>
        <v/>
      </c>
      <c r="G2192">
        <f>IF(ISBLANK('ENGAGEMENTS 2026'!B2192),"",'ENGAGEMENTS 2026'!L2192)</f>
        <v/>
      </c>
      <c r="H2192">
        <f>IF(ISBLANK('ENGAGEMENTS 2026'!B2192),"",'ENGAGEMENTS 2026'!AE2192)</f>
        <v/>
      </c>
      <c r="I2192">
        <f>IF(ISBLANK('ENGAGEMENTS 2026'!B2192),"",'ENGAGEMENTS 2026'!G2192)</f>
        <v/>
      </c>
      <c r="J2192" s="275">
        <f>IF(ISBLANK('ENGAGEMENTS 2026'!B2192),"",IF(AND(OR($E2192="INFRUCTUEUX",$E2192="ANNULE"),$C2192="AOO-M"),'ENGAGEMENTS 2026'!O2192,IF($H2192="EN COURS DE PREENGAGEMENT",'ENGAGEMENTS 2026'!N2192,IF($H2192="PREENGAGE",IF($E2192="ATTRIBUE",'ENGAGEMENTS 2026'!AD2192,'ENGAGEMENTS 2026'!N2192),'ENGAGEMENTS 2026'!AD2192))))</f>
        <v/>
      </c>
      <c r="K2192" s="604">
        <f>IF(ISBLANK('ENGAGEMENTS 2026'!V2192),"",'ENGAGEMENTS 2026'!V2192)</f>
        <v/>
      </c>
      <c r="L2192" s="276">
        <f>IF($K2192="","",TODAY()-$K2192)</f>
        <v/>
      </c>
      <c r="M2192">
        <f>IF($A2192="","",IF($H2192="ENGAGE","Engagé",IF(AND($H2192="NON ENGAGE",OR($I2192="INFRUCTUEUX",$I2192="ANNULE")),"Clôturé sans suite","En cours")))</f>
        <v/>
      </c>
      <c r="N2192">
        <f>IF(ISBLANK('ENGAGEMENTS 2026'!B2192),"",'ENGAGEMENTS 2026'!K2192)</f>
        <v/>
      </c>
      <c r="O2192">
        <f>IF(ISBLANK('ENGAGEMENTS 2026'!B2192),"",'ENGAGEMENTS 2026'!L2192)</f>
        <v/>
      </c>
      <c r="P2192">
        <f>IF(ISBLANK('ENGAGEMENTS 2026'!B2192),"",'ENGAGEMENTS 2026'!J2192)</f>
        <v/>
      </c>
      <c r="Q2192">
        <f>IF($A2192="","",IF(OR($E2192="INFRUCTUEUX",$E2192="ANNULE"),$A2192&amp;"|"&amp;(COUNTIFS($A$2:$A2192,$A2192,$E$2:$E2192,"INFRUCTUEUX")+COUNTIFS($A$2:$A2192,$A2192,$E$2:$E2192,"ANNULE")),""))</f>
        <v/>
      </c>
    </row>
    <row r="2193">
      <c r="A2193">
        <f>IF(ISBLANK('ENGAGEMENTS 2026'!B2193),"",IF('ENGAGEMENTS 2026'!B2193="DTSI","DCT",'ENGAGEMENTS 2026'!B2193))</f>
        <v/>
      </c>
      <c r="B2193">
        <f>IF(ISBLANK('ENGAGEMENTS 2026'!B2193),"",'ENGAGEMENTS 2026'!C2193)</f>
        <v/>
      </c>
      <c r="C2193">
        <f>IF(ISBLANK('ENGAGEMENTS 2026'!B2193),"",'ENGAGEMENTS 2026'!D2193)</f>
        <v/>
      </c>
      <c r="D2193">
        <f>IF(ISBLANK('ENGAGEMENTS 2026'!B2193),"",'ENGAGEMENTS 2026'!F2193)</f>
        <v/>
      </c>
      <c r="E2193">
        <f>IF(ISBLANK('ENGAGEMENTS 2026'!B2193),"",'ENGAGEMENTS 2026'!H2193)</f>
        <v/>
      </c>
      <c r="F2193">
        <f>IF(ISBLANK('ENGAGEMENTS 2026'!B2193),"",'ENGAGEMENTS 2026'!I2193)</f>
        <v/>
      </c>
      <c r="G2193">
        <f>IF(ISBLANK('ENGAGEMENTS 2026'!B2193),"",'ENGAGEMENTS 2026'!L2193)</f>
        <v/>
      </c>
      <c r="H2193">
        <f>IF(ISBLANK('ENGAGEMENTS 2026'!B2193),"",'ENGAGEMENTS 2026'!AE2193)</f>
        <v/>
      </c>
      <c r="I2193">
        <f>IF(ISBLANK('ENGAGEMENTS 2026'!B2193),"",'ENGAGEMENTS 2026'!G2193)</f>
        <v/>
      </c>
      <c r="J2193" s="275">
        <f>IF(ISBLANK('ENGAGEMENTS 2026'!B2193),"",IF(AND(OR($E2193="INFRUCTUEUX",$E2193="ANNULE"),$C2193="AOO-M"),'ENGAGEMENTS 2026'!O2193,IF($H2193="EN COURS DE PREENGAGEMENT",'ENGAGEMENTS 2026'!N2193,IF($H2193="PREENGAGE",IF($E2193="ATTRIBUE",'ENGAGEMENTS 2026'!AD2193,'ENGAGEMENTS 2026'!N2193),'ENGAGEMENTS 2026'!AD2193))))</f>
        <v/>
      </c>
      <c r="K2193" s="604">
        <f>IF(ISBLANK('ENGAGEMENTS 2026'!V2193),"",'ENGAGEMENTS 2026'!V2193)</f>
        <v/>
      </c>
      <c r="L2193" s="276">
        <f>IF($K2193="","",TODAY()-$K2193)</f>
        <v/>
      </c>
      <c r="M2193">
        <f>IF($A2193="","",IF($H2193="ENGAGE","Engagé",IF(AND($H2193="NON ENGAGE",OR($I2193="INFRUCTUEUX",$I2193="ANNULE")),"Clôturé sans suite","En cours")))</f>
        <v/>
      </c>
      <c r="N2193">
        <f>IF(ISBLANK('ENGAGEMENTS 2026'!B2193),"",'ENGAGEMENTS 2026'!K2193)</f>
        <v/>
      </c>
      <c r="O2193">
        <f>IF(ISBLANK('ENGAGEMENTS 2026'!B2193),"",'ENGAGEMENTS 2026'!L2193)</f>
        <v/>
      </c>
      <c r="P2193">
        <f>IF(ISBLANK('ENGAGEMENTS 2026'!B2193),"",'ENGAGEMENTS 2026'!J2193)</f>
        <v/>
      </c>
      <c r="Q2193">
        <f>IF($A2193="","",IF(OR($E2193="INFRUCTUEUX",$E2193="ANNULE"),$A2193&amp;"|"&amp;(COUNTIFS($A$2:$A2193,$A2193,$E$2:$E2193,"INFRUCTUEUX")+COUNTIFS($A$2:$A2193,$A2193,$E$2:$E2193,"ANNULE")),""))</f>
        <v/>
      </c>
    </row>
    <row r="2194">
      <c r="A2194">
        <f>IF(ISBLANK('ENGAGEMENTS 2026'!B2194),"",IF('ENGAGEMENTS 2026'!B2194="DTSI","DCT",'ENGAGEMENTS 2026'!B2194))</f>
        <v/>
      </c>
      <c r="B2194">
        <f>IF(ISBLANK('ENGAGEMENTS 2026'!B2194),"",'ENGAGEMENTS 2026'!C2194)</f>
        <v/>
      </c>
      <c r="C2194">
        <f>IF(ISBLANK('ENGAGEMENTS 2026'!B2194),"",'ENGAGEMENTS 2026'!D2194)</f>
        <v/>
      </c>
      <c r="D2194">
        <f>IF(ISBLANK('ENGAGEMENTS 2026'!B2194),"",'ENGAGEMENTS 2026'!F2194)</f>
        <v/>
      </c>
      <c r="E2194">
        <f>IF(ISBLANK('ENGAGEMENTS 2026'!B2194),"",'ENGAGEMENTS 2026'!H2194)</f>
        <v/>
      </c>
      <c r="F2194">
        <f>IF(ISBLANK('ENGAGEMENTS 2026'!B2194),"",'ENGAGEMENTS 2026'!I2194)</f>
        <v/>
      </c>
      <c r="G2194">
        <f>IF(ISBLANK('ENGAGEMENTS 2026'!B2194),"",'ENGAGEMENTS 2026'!L2194)</f>
        <v/>
      </c>
      <c r="H2194">
        <f>IF(ISBLANK('ENGAGEMENTS 2026'!B2194),"",'ENGAGEMENTS 2026'!AE2194)</f>
        <v/>
      </c>
      <c r="I2194">
        <f>IF(ISBLANK('ENGAGEMENTS 2026'!B2194),"",'ENGAGEMENTS 2026'!G2194)</f>
        <v/>
      </c>
      <c r="J2194" s="275">
        <f>IF(ISBLANK('ENGAGEMENTS 2026'!B2194),"",IF(AND(OR($E2194="INFRUCTUEUX",$E2194="ANNULE"),$C2194="AOO-M"),'ENGAGEMENTS 2026'!O2194,IF($H2194="EN COURS DE PREENGAGEMENT",'ENGAGEMENTS 2026'!N2194,IF($H2194="PREENGAGE",IF($E2194="ATTRIBUE",'ENGAGEMENTS 2026'!AD2194,'ENGAGEMENTS 2026'!N2194),'ENGAGEMENTS 2026'!AD2194))))</f>
        <v/>
      </c>
      <c r="K2194" s="604">
        <f>IF(ISBLANK('ENGAGEMENTS 2026'!V2194),"",'ENGAGEMENTS 2026'!V2194)</f>
        <v/>
      </c>
      <c r="L2194" s="276">
        <f>IF($K2194="","",TODAY()-$K2194)</f>
        <v/>
      </c>
      <c r="M2194">
        <f>IF($A2194="","",IF($H2194="ENGAGE","Engagé",IF(AND($H2194="NON ENGAGE",OR($I2194="INFRUCTUEUX",$I2194="ANNULE")),"Clôturé sans suite","En cours")))</f>
        <v/>
      </c>
      <c r="N2194">
        <f>IF(ISBLANK('ENGAGEMENTS 2026'!B2194),"",'ENGAGEMENTS 2026'!K2194)</f>
        <v/>
      </c>
      <c r="O2194">
        <f>IF(ISBLANK('ENGAGEMENTS 2026'!B2194),"",'ENGAGEMENTS 2026'!L2194)</f>
        <v/>
      </c>
      <c r="P2194">
        <f>IF(ISBLANK('ENGAGEMENTS 2026'!B2194),"",'ENGAGEMENTS 2026'!J2194)</f>
        <v/>
      </c>
      <c r="Q2194">
        <f>IF($A2194="","",IF(OR($E2194="INFRUCTUEUX",$E2194="ANNULE"),$A2194&amp;"|"&amp;(COUNTIFS($A$2:$A2194,$A2194,$E$2:$E2194,"INFRUCTUEUX")+COUNTIFS($A$2:$A2194,$A2194,$E$2:$E2194,"ANNULE")),""))</f>
        <v/>
      </c>
    </row>
    <row r="2195">
      <c r="A2195">
        <f>IF(ISBLANK('ENGAGEMENTS 2026'!B2195),"",IF('ENGAGEMENTS 2026'!B2195="DTSI","DCT",'ENGAGEMENTS 2026'!B2195))</f>
        <v/>
      </c>
      <c r="B2195">
        <f>IF(ISBLANK('ENGAGEMENTS 2026'!B2195),"",'ENGAGEMENTS 2026'!C2195)</f>
        <v/>
      </c>
      <c r="C2195">
        <f>IF(ISBLANK('ENGAGEMENTS 2026'!B2195),"",'ENGAGEMENTS 2026'!D2195)</f>
        <v/>
      </c>
      <c r="D2195">
        <f>IF(ISBLANK('ENGAGEMENTS 2026'!B2195),"",'ENGAGEMENTS 2026'!F2195)</f>
        <v/>
      </c>
      <c r="E2195">
        <f>IF(ISBLANK('ENGAGEMENTS 2026'!B2195),"",'ENGAGEMENTS 2026'!H2195)</f>
        <v/>
      </c>
      <c r="F2195">
        <f>IF(ISBLANK('ENGAGEMENTS 2026'!B2195),"",'ENGAGEMENTS 2026'!I2195)</f>
        <v/>
      </c>
      <c r="G2195">
        <f>IF(ISBLANK('ENGAGEMENTS 2026'!B2195),"",'ENGAGEMENTS 2026'!L2195)</f>
        <v/>
      </c>
      <c r="H2195">
        <f>IF(ISBLANK('ENGAGEMENTS 2026'!B2195),"",'ENGAGEMENTS 2026'!AE2195)</f>
        <v/>
      </c>
      <c r="I2195">
        <f>IF(ISBLANK('ENGAGEMENTS 2026'!B2195),"",'ENGAGEMENTS 2026'!G2195)</f>
        <v/>
      </c>
      <c r="J2195" s="275">
        <f>IF(ISBLANK('ENGAGEMENTS 2026'!B2195),"",IF(AND(OR($E2195="INFRUCTUEUX",$E2195="ANNULE"),$C2195="AOO-M"),'ENGAGEMENTS 2026'!O2195,IF($H2195="EN COURS DE PREENGAGEMENT",'ENGAGEMENTS 2026'!N2195,IF($H2195="PREENGAGE",IF($E2195="ATTRIBUE",'ENGAGEMENTS 2026'!AD2195,'ENGAGEMENTS 2026'!N2195),'ENGAGEMENTS 2026'!AD2195))))</f>
        <v/>
      </c>
      <c r="K2195" s="604">
        <f>IF(ISBLANK('ENGAGEMENTS 2026'!V2195),"",'ENGAGEMENTS 2026'!V2195)</f>
        <v/>
      </c>
      <c r="L2195" s="276">
        <f>IF($K2195="","",TODAY()-$K2195)</f>
        <v/>
      </c>
      <c r="M2195">
        <f>IF($A2195="","",IF($H2195="ENGAGE","Engagé",IF(AND($H2195="NON ENGAGE",OR($I2195="INFRUCTUEUX",$I2195="ANNULE")),"Clôturé sans suite","En cours")))</f>
        <v/>
      </c>
      <c r="N2195">
        <f>IF(ISBLANK('ENGAGEMENTS 2026'!B2195),"",'ENGAGEMENTS 2026'!K2195)</f>
        <v/>
      </c>
      <c r="O2195">
        <f>IF(ISBLANK('ENGAGEMENTS 2026'!B2195),"",'ENGAGEMENTS 2026'!L2195)</f>
        <v/>
      </c>
      <c r="P2195">
        <f>IF(ISBLANK('ENGAGEMENTS 2026'!B2195),"",'ENGAGEMENTS 2026'!J2195)</f>
        <v/>
      </c>
      <c r="Q2195">
        <f>IF($A2195="","",IF(OR($E2195="INFRUCTUEUX",$E2195="ANNULE"),$A2195&amp;"|"&amp;(COUNTIFS($A$2:$A2195,$A2195,$E$2:$E2195,"INFRUCTUEUX")+COUNTIFS($A$2:$A2195,$A2195,$E$2:$E2195,"ANNULE")),""))</f>
        <v/>
      </c>
    </row>
    <row r="2196">
      <c r="A2196">
        <f>IF(ISBLANK('ENGAGEMENTS 2026'!B2196),"",IF('ENGAGEMENTS 2026'!B2196="DTSI","DCT",'ENGAGEMENTS 2026'!B2196))</f>
        <v/>
      </c>
      <c r="B2196">
        <f>IF(ISBLANK('ENGAGEMENTS 2026'!B2196),"",'ENGAGEMENTS 2026'!C2196)</f>
        <v/>
      </c>
      <c r="C2196">
        <f>IF(ISBLANK('ENGAGEMENTS 2026'!B2196),"",'ENGAGEMENTS 2026'!D2196)</f>
        <v/>
      </c>
      <c r="D2196">
        <f>IF(ISBLANK('ENGAGEMENTS 2026'!B2196),"",'ENGAGEMENTS 2026'!F2196)</f>
        <v/>
      </c>
      <c r="E2196">
        <f>IF(ISBLANK('ENGAGEMENTS 2026'!B2196),"",'ENGAGEMENTS 2026'!H2196)</f>
        <v/>
      </c>
      <c r="F2196">
        <f>IF(ISBLANK('ENGAGEMENTS 2026'!B2196),"",'ENGAGEMENTS 2026'!I2196)</f>
        <v/>
      </c>
      <c r="G2196">
        <f>IF(ISBLANK('ENGAGEMENTS 2026'!B2196),"",'ENGAGEMENTS 2026'!L2196)</f>
        <v/>
      </c>
      <c r="H2196">
        <f>IF(ISBLANK('ENGAGEMENTS 2026'!B2196),"",'ENGAGEMENTS 2026'!AE2196)</f>
        <v/>
      </c>
      <c r="I2196">
        <f>IF(ISBLANK('ENGAGEMENTS 2026'!B2196),"",'ENGAGEMENTS 2026'!G2196)</f>
        <v/>
      </c>
      <c r="J2196" s="275">
        <f>IF(ISBLANK('ENGAGEMENTS 2026'!B2196),"",IF(AND(OR($E2196="INFRUCTUEUX",$E2196="ANNULE"),$C2196="AOO-M"),'ENGAGEMENTS 2026'!O2196,IF($H2196="EN COURS DE PREENGAGEMENT",'ENGAGEMENTS 2026'!N2196,IF($H2196="PREENGAGE",IF($E2196="ATTRIBUE",'ENGAGEMENTS 2026'!AD2196,'ENGAGEMENTS 2026'!N2196),'ENGAGEMENTS 2026'!AD2196))))</f>
        <v/>
      </c>
      <c r="K2196" s="604">
        <f>IF(ISBLANK('ENGAGEMENTS 2026'!V2196),"",'ENGAGEMENTS 2026'!V2196)</f>
        <v/>
      </c>
      <c r="L2196" s="276">
        <f>IF($K2196="","",TODAY()-$K2196)</f>
        <v/>
      </c>
      <c r="M2196">
        <f>IF($A2196="","",IF($H2196="ENGAGE","Engagé",IF(AND($H2196="NON ENGAGE",OR($I2196="INFRUCTUEUX",$I2196="ANNULE")),"Clôturé sans suite","En cours")))</f>
        <v/>
      </c>
      <c r="N2196">
        <f>IF(ISBLANK('ENGAGEMENTS 2026'!B2196),"",'ENGAGEMENTS 2026'!K2196)</f>
        <v/>
      </c>
      <c r="O2196">
        <f>IF(ISBLANK('ENGAGEMENTS 2026'!B2196),"",'ENGAGEMENTS 2026'!L2196)</f>
        <v/>
      </c>
      <c r="P2196">
        <f>IF(ISBLANK('ENGAGEMENTS 2026'!B2196),"",'ENGAGEMENTS 2026'!J2196)</f>
        <v/>
      </c>
      <c r="Q2196">
        <f>IF($A2196="","",IF(OR($E2196="INFRUCTUEUX",$E2196="ANNULE"),$A2196&amp;"|"&amp;(COUNTIFS($A$2:$A2196,$A2196,$E$2:$E2196,"INFRUCTUEUX")+COUNTIFS($A$2:$A2196,$A2196,$E$2:$E2196,"ANNULE")),""))</f>
        <v/>
      </c>
    </row>
    <row r="2197">
      <c r="A2197">
        <f>IF(ISBLANK('ENGAGEMENTS 2026'!B2197),"",IF('ENGAGEMENTS 2026'!B2197="DTSI","DCT",'ENGAGEMENTS 2026'!B2197))</f>
        <v/>
      </c>
      <c r="B2197">
        <f>IF(ISBLANK('ENGAGEMENTS 2026'!B2197),"",'ENGAGEMENTS 2026'!C2197)</f>
        <v/>
      </c>
      <c r="C2197">
        <f>IF(ISBLANK('ENGAGEMENTS 2026'!B2197),"",'ENGAGEMENTS 2026'!D2197)</f>
        <v/>
      </c>
      <c r="D2197">
        <f>IF(ISBLANK('ENGAGEMENTS 2026'!B2197),"",'ENGAGEMENTS 2026'!F2197)</f>
        <v/>
      </c>
      <c r="E2197">
        <f>IF(ISBLANK('ENGAGEMENTS 2026'!B2197),"",'ENGAGEMENTS 2026'!H2197)</f>
        <v/>
      </c>
      <c r="F2197">
        <f>IF(ISBLANK('ENGAGEMENTS 2026'!B2197),"",'ENGAGEMENTS 2026'!I2197)</f>
        <v/>
      </c>
      <c r="G2197">
        <f>IF(ISBLANK('ENGAGEMENTS 2026'!B2197),"",'ENGAGEMENTS 2026'!L2197)</f>
        <v/>
      </c>
      <c r="H2197">
        <f>IF(ISBLANK('ENGAGEMENTS 2026'!B2197),"",'ENGAGEMENTS 2026'!AE2197)</f>
        <v/>
      </c>
      <c r="I2197">
        <f>IF(ISBLANK('ENGAGEMENTS 2026'!B2197),"",'ENGAGEMENTS 2026'!G2197)</f>
        <v/>
      </c>
      <c r="J2197" s="275">
        <f>IF(ISBLANK('ENGAGEMENTS 2026'!B2197),"",IF(AND(OR($E2197="INFRUCTUEUX",$E2197="ANNULE"),$C2197="AOO-M"),'ENGAGEMENTS 2026'!O2197,IF($H2197="EN COURS DE PREENGAGEMENT",'ENGAGEMENTS 2026'!N2197,IF($H2197="PREENGAGE",IF($E2197="ATTRIBUE",'ENGAGEMENTS 2026'!AD2197,'ENGAGEMENTS 2026'!N2197),'ENGAGEMENTS 2026'!AD2197))))</f>
        <v/>
      </c>
      <c r="K2197" s="604">
        <f>IF(ISBLANK('ENGAGEMENTS 2026'!V2197),"",'ENGAGEMENTS 2026'!V2197)</f>
        <v/>
      </c>
      <c r="L2197" s="276">
        <f>IF($K2197="","",TODAY()-$K2197)</f>
        <v/>
      </c>
      <c r="M2197">
        <f>IF($A2197="","",IF($H2197="ENGAGE","Engagé",IF(AND($H2197="NON ENGAGE",OR($I2197="INFRUCTUEUX",$I2197="ANNULE")),"Clôturé sans suite","En cours")))</f>
        <v/>
      </c>
      <c r="N2197">
        <f>IF(ISBLANK('ENGAGEMENTS 2026'!B2197),"",'ENGAGEMENTS 2026'!K2197)</f>
        <v/>
      </c>
      <c r="O2197">
        <f>IF(ISBLANK('ENGAGEMENTS 2026'!B2197),"",'ENGAGEMENTS 2026'!L2197)</f>
        <v/>
      </c>
      <c r="P2197">
        <f>IF(ISBLANK('ENGAGEMENTS 2026'!B2197),"",'ENGAGEMENTS 2026'!J2197)</f>
        <v/>
      </c>
      <c r="Q2197">
        <f>IF($A2197="","",IF(OR($E2197="INFRUCTUEUX",$E2197="ANNULE"),$A2197&amp;"|"&amp;(COUNTIFS($A$2:$A2197,$A2197,$E$2:$E2197,"INFRUCTUEUX")+COUNTIFS($A$2:$A2197,$A2197,$E$2:$E2197,"ANNULE")),""))</f>
        <v/>
      </c>
    </row>
    <row r="2198">
      <c r="A2198">
        <f>IF(ISBLANK('ENGAGEMENTS 2026'!B2198),"",IF('ENGAGEMENTS 2026'!B2198="DTSI","DCT",'ENGAGEMENTS 2026'!B2198))</f>
        <v/>
      </c>
      <c r="B2198">
        <f>IF(ISBLANK('ENGAGEMENTS 2026'!B2198),"",'ENGAGEMENTS 2026'!C2198)</f>
        <v/>
      </c>
      <c r="C2198">
        <f>IF(ISBLANK('ENGAGEMENTS 2026'!B2198),"",'ENGAGEMENTS 2026'!D2198)</f>
        <v/>
      </c>
      <c r="D2198">
        <f>IF(ISBLANK('ENGAGEMENTS 2026'!B2198),"",'ENGAGEMENTS 2026'!F2198)</f>
        <v/>
      </c>
      <c r="E2198">
        <f>IF(ISBLANK('ENGAGEMENTS 2026'!B2198),"",'ENGAGEMENTS 2026'!H2198)</f>
        <v/>
      </c>
      <c r="F2198">
        <f>IF(ISBLANK('ENGAGEMENTS 2026'!B2198),"",'ENGAGEMENTS 2026'!I2198)</f>
        <v/>
      </c>
      <c r="G2198">
        <f>IF(ISBLANK('ENGAGEMENTS 2026'!B2198),"",'ENGAGEMENTS 2026'!L2198)</f>
        <v/>
      </c>
      <c r="H2198">
        <f>IF(ISBLANK('ENGAGEMENTS 2026'!B2198),"",'ENGAGEMENTS 2026'!AE2198)</f>
        <v/>
      </c>
      <c r="I2198">
        <f>IF(ISBLANK('ENGAGEMENTS 2026'!B2198),"",'ENGAGEMENTS 2026'!G2198)</f>
        <v/>
      </c>
      <c r="J2198" s="275">
        <f>IF(ISBLANK('ENGAGEMENTS 2026'!B2198),"",IF(AND(OR($E2198="INFRUCTUEUX",$E2198="ANNULE"),$C2198="AOO-M"),'ENGAGEMENTS 2026'!O2198,IF($H2198="EN COURS DE PREENGAGEMENT",'ENGAGEMENTS 2026'!N2198,IF($H2198="PREENGAGE",IF($E2198="ATTRIBUE",'ENGAGEMENTS 2026'!AD2198,'ENGAGEMENTS 2026'!N2198),'ENGAGEMENTS 2026'!AD2198))))</f>
        <v/>
      </c>
      <c r="K2198" s="604">
        <f>IF(ISBLANK('ENGAGEMENTS 2026'!V2198),"",'ENGAGEMENTS 2026'!V2198)</f>
        <v/>
      </c>
      <c r="L2198" s="276">
        <f>IF($K2198="","",TODAY()-$K2198)</f>
        <v/>
      </c>
      <c r="M2198">
        <f>IF($A2198="","",IF($H2198="ENGAGE","Engagé",IF(AND($H2198="NON ENGAGE",OR($I2198="INFRUCTUEUX",$I2198="ANNULE")),"Clôturé sans suite","En cours")))</f>
        <v/>
      </c>
      <c r="N2198">
        <f>IF(ISBLANK('ENGAGEMENTS 2026'!B2198),"",'ENGAGEMENTS 2026'!K2198)</f>
        <v/>
      </c>
      <c r="O2198">
        <f>IF(ISBLANK('ENGAGEMENTS 2026'!B2198),"",'ENGAGEMENTS 2026'!L2198)</f>
        <v/>
      </c>
      <c r="P2198">
        <f>IF(ISBLANK('ENGAGEMENTS 2026'!B2198),"",'ENGAGEMENTS 2026'!J2198)</f>
        <v/>
      </c>
      <c r="Q2198">
        <f>IF($A2198="","",IF(OR($E2198="INFRUCTUEUX",$E2198="ANNULE"),$A2198&amp;"|"&amp;(COUNTIFS($A$2:$A2198,$A2198,$E$2:$E2198,"INFRUCTUEUX")+COUNTIFS($A$2:$A2198,$A2198,$E$2:$E2198,"ANNULE")),""))</f>
        <v/>
      </c>
    </row>
    <row r="2199">
      <c r="A2199">
        <f>IF(ISBLANK('ENGAGEMENTS 2026'!B2199),"",IF('ENGAGEMENTS 2026'!B2199="DTSI","DCT",'ENGAGEMENTS 2026'!B2199))</f>
        <v/>
      </c>
      <c r="B2199">
        <f>IF(ISBLANK('ENGAGEMENTS 2026'!B2199),"",'ENGAGEMENTS 2026'!C2199)</f>
        <v/>
      </c>
      <c r="C2199">
        <f>IF(ISBLANK('ENGAGEMENTS 2026'!B2199),"",'ENGAGEMENTS 2026'!D2199)</f>
        <v/>
      </c>
      <c r="D2199">
        <f>IF(ISBLANK('ENGAGEMENTS 2026'!B2199),"",'ENGAGEMENTS 2026'!F2199)</f>
        <v/>
      </c>
      <c r="E2199">
        <f>IF(ISBLANK('ENGAGEMENTS 2026'!B2199),"",'ENGAGEMENTS 2026'!H2199)</f>
        <v/>
      </c>
      <c r="F2199">
        <f>IF(ISBLANK('ENGAGEMENTS 2026'!B2199),"",'ENGAGEMENTS 2026'!I2199)</f>
        <v/>
      </c>
      <c r="G2199">
        <f>IF(ISBLANK('ENGAGEMENTS 2026'!B2199),"",'ENGAGEMENTS 2026'!L2199)</f>
        <v/>
      </c>
      <c r="H2199">
        <f>IF(ISBLANK('ENGAGEMENTS 2026'!B2199),"",'ENGAGEMENTS 2026'!AE2199)</f>
        <v/>
      </c>
      <c r="I2199">
        <f>IF(ISBLANK('ENGAGEMENTS 2026'!B2199),"",'ENGAGEMENTS 2026'!G2199)</f>
        <v/>
      </c>
      <c r="J2199" s="275">
        <f>IF(ISBLANK('ENGAGEMENTS 2026'!B2199),"",IF(AND(OR($E2199="INFRUCTUEUX",$E2199="ANNULE"),$C2199="AOO-M"),'ENGAGEMENTS 2026'!O2199,IF($H2199="EN COURS DE PREENGAGEMENT",'ENGAGEMENTS 2026'!N2199,IF($H2199="PREENGAGE",IF($E2199="ATTRIBUE",'ENGAGEMENTS 2026'!AD2199,'ENGAGEMENTS 2026'!N2199),'ENGAGEMENTS 2026'!AD2199))))</f>
        <v/>
      </c>
      <c r="K2199" s="604">
        <f>IF(ISBLANK('ENGAGEMENTS 2026'!V2199),"",'ENGAGEMENTS 2026'!V2199)</f>
        <v/>
      </c>
      <c r="L2199" s="276">
        <f>IF($K2199="","",TODAY()-$K2199)</f>
        <v/>
      </c>
      <c r="M2199">
        <f>IF($A2199="","",IF($H2199="ENGAGE","Engagé",IF(AND($H2199="NON ENGAGE",OR($I2199="INFRUCTUEUX",$I2199="ANNULE")),"Clôturé sans suite","En cours")))</f>
        <v/>
      </c>
      <c r="N2199">
        <f>IF(ISBLANK('ENGAGEMENTS 2026'!B2199),"",'ENGAGEMENTS 2026'!K2199)</f>
        <v/>
      </c>
      <c r="O2199">
        <f>IF(ISBLANK('ENGAGEMENTS 2026'!B2199),"",'ENGAGEMENTS 2026'!L2199)</f>
        <v/>
      </c>
      <c r="P2199">
        <f>IF(ISBLANK('ENGAGEMENTS 2026'!B2199),"",'ENGAGEMENTS 2026'!J2199)</f>
        <v/>
      </c>
      <c r="Q2199">
        <f>IF($A2199="","",IF(OR($E2199="INFRUCTUEUX",$E2199="ANNULE"),$A2199&amp;"|"&amp;(COUNTIFS($A$2:$A2199,$A2199,$E$2:$E2199,"INFRUCTUEUX")+COUNTIFS($A$2:$A2199,$A2199,$E$2:$E2199,"ANNULE")),""))</f>
        <v/>
      </c>
    </row>
    <row r="2200">
      <c r="A2200">
        <f>IF(ISBLANK('ENGAGEMENTS 2026'!B2200),"",IF('ENGAGEMENTS 2026'!B2200="DTSI","DCT",'ENGAGEMENTS 2026'!B2200))</f>
        <v/>
      </c>
      <c r="B2200">
        <f>IF(ISBLANK('ENGAGEMENTS 2026'!B2200),"",'ENGAGEMENTS 2026'!C2200)</f>
        <v/>
      </c>
      <c r="C2200">
        <f>IF(ISBLANK('ENGAGEMENTS 2026'!B2200),"",'ENGAGEMENTS 2026'!D2200)</f>
        <v/>
      </c>
      <c r="D2200">
        <f>IF(ISBLANK('ENGAGEMENTS 2026'!B2200),"",'ENGAGEMENTS 2026'!F2200)</f>
        <v/>
      </c>
      <c r="E2200">
        <f>IF(ISBLANK('ENGAGEMENTS 2026'!B2200),"",'ENGAGEMENTS 2026'!H2200)</f>
        <v/>
      </c>
      <c r="F2200">
        <f>IF(ISBLANK('ENGAGEMENTS 2026'!B2200),"",'ENGAGEMENTS 2026'!I2200)</f>
        <v/>
      </c>
      <c r="G2200">
        <f>IF(ISBLANK('ENGAGEMENTS 2026'!B2200),"",'ENGAGEMENTS 2026'!L2200)</f>
        <v/>
      </c>
      <c r="H2200">
        <f>IF(ISBLANK('ENGAGEMENTS 2026'!B2200),"",'ENGAGEMENTS 2026'!AE2200)</f>
        <v/>
      </c>
      <c r="I2200">
        <f>IF(ISBLANK('ENGAGEMENTS 2026'!B2200),"",'ENGAGEMENTS 2026'!G2200)</f>
        <v/>
      </c>
      <c r="J2200" s="275">
        <f>IF(ISBLANK('ENGAGEMENTS 2026'!B2200),"",IF(AND(OR($E2200="INFRUCTUEUX",$E2200="ANNULE"),$C2200="AOO-M"),'ENGAGEMENTS 2026'!O2200,IF($H2200="EN COURS DE PREENGAGEMENT",'ENGAGEMENTS 2026'!N2200,IF($H2200="PREENGAGE",IF($E2200="ATTRIBUE",'ENGAGEMENTS 2026'!AD2200,'ENGAGEMENTS 2026'!N2200),'ENGAGEMENTS 2026'!AD2200))))</f>
        <v/>
      </c>
      <c r="K2200" s="604">
        <f>IF(ISBLANK('ENGAGEMENTS 2026'!V2200),"",'ENGAGEMENTS 2026'!V2200)</f>
        <v/>
      </c>
      <c r="L2200" s="276">
        <f>IF($K2200="","",TODAY()-$K2200)</f>
        <v/>
      </c>
      <c r="M2200">
        <f>IF($A2200="","",IF($H2200="ENGAGE","Engagé",IF(AND($H2200="NON ENGAGE",OR($I2200="INFRUCTUEUX",$I2200="ANNULE")),"Clôturé sans suite","En cours")))</f>
        <v/>
      </c>
      <c r="N2200">
        <f>IF(ISBLANK('ENGAGEMENTS 2026'!B2200),"",'ENGAGEMENTS 2026'!K2200)</f>
        <v/>
      </c>
      <c r="O2200">
        <f>IF(ISBLANK('ENGAGEMENTS 2026'!B2200),"",'ENGAGEMENTS 2026'!L2200)</f>
        <v/>
      </c>
      <c r="P2200">
        <f>IF(ISBLANK('ENGAGEMENTS 2026'!B2200),"",'ENGAGEMENTS 2026'!J2200)</f>
        <v/>
      </c>
      <c r="Q2200">
        <f>IF($A2200="","",IF(OR($E2200="INFRUCTUEUX",$E2200="ANNULE"),$A2200&amp;"|"&amp;(COUNTIFS($A$2:$A2200,$A2200,$E$2:$E2200,"INFRUCTUEUX")+COUNTIFS($A$2:$A2200,$A2200,$E$2:$E2200,"ANNULE")),""))</f>
        <v/>
      </c>
    </row>
    <row r="2201">
      <c r="A2201">
        <f>IF(ISBLANK('ENGAGEMENTS 2026'!B2201),"",IF('ENGAGEMENTS 2026'!B2201="DTSI","DCT",'ENGAGEMENTS 2026'!B2201))</f>
        <v/>
      </c>
      <c r="B2201">
        <f>IF(ISBLANK('ENGAGEMENTS 2026'!B2201),"",'ENGAGEMENTS 2026'!C2201)</f>
        <v/>
      </c>
      <c r="C2201">
        <f>IF(ISBLANK('ENGAGEMENTS 2026'!B2201),"",'ENGAGEMENTS 2026'!D2201)</f>
        <v/>
      </c>
      <c r="D2201">
        <f>IF(ISBLANK('ENGAGEMENTS 2026'!B2201),"",'ENGAGEMENTS 2026'!F2201)</f>
        <v/>
      </c>
      <c r="E2201">
        <f>IF(ISBLANK('ENGAGEMENTS 2026'!B2201),"",'ENGAGEMENTS 2026'!H2201)</f>
        <v/>
      </c>
      <c r="F2201">
        <f>IF(ISBLANK('ENGAGEMENTS 2026'!B2201),"",'ENGAGEMENTS 2026'!I2201)</f>
        <v/>
      </c>
      <c r="G2201">
        <f>IF(ISBLANK('ENGAGEMENTS 2026'!B2201),"",'ENGAGEMENTS 2026'!L2201)</f>
        <v/>
      </c>
      <c r="H2201">
        <f>IF(ISBLANK('ENGAGEMENTS 2026'!B2201),"",'ENGAGEMENTS 2026'!AE2201)</f>
        <v/>
      </c>
      <c r="I2201">
        <f>IF(ISBLANK('ENGAGEMENTS 2026'!B2201),"",'ENGAGEMENTS 2026'!G2201)</f>
        <v/>
      </c>
      <c r="J2201" s="275">
        <f>IF(ISBLANK('ENGAGEMENTS 2026'!B2201),"",IF(AND(OR($E2201="INFRUCTUEUX",$E2201="ANNULE"),$C2201="AOO-M"),'ENGAGEMENTS 2026'!O2201,IF($H2201="EN COURS DE PREENGAGEMENT",'ENGAGEMENTS 2026'!N2201,IF($H2201="PREENGAGE",IF($E2201="ATTRIBUE",'ENGAGEMENTS 2026'!AD2201,'ENGAGEMENTS 2026'!N2201),'ENGAGEMENTS 2026'!AD2201))))</f>
        <v/>
      </c>
      <c r="K2201" s="604">
        <f>IF(ISBLANK('ENGAGEMENTS 2026'!V2201),"",'ENGAGEMENTS 2026'!V2201)</f>
        <v/>
      </c>
      <c r="L2201" s="276">
        <f>IF($K2201="","",TODAY()-$K2201)</f>
        <v/>
      </c>
      <c r="M2201">
        <f>IF($A2201="","",IF($H2201="ENGAGE","Engagé",IF(AND($H2201="NON ENGAGE",OR($I2201="INFRUCTUEUX",$I2201="ANNULE")),"Clôturé sans suite","En cours")))</f>
        <v/>
      </c>
      <c r="N2201">
        <f>IF(ISBLANK('ENGAGEMENTS 2026'!B2201),"",'ENGAGEMENTS 2026'!K2201)</f>
        <v/>
      </c>
      <c r="O2201">
        <f>IF(ISBLANK('ENGAGEMENTS 2026'!B2201),"",'ENGAGEMENTS 2026'!L2201)</f>
        <v/>
      </c>
      <c r="P2201">
        <f>IF(ISBLANK('ENGAGEMENTS 2026'!B2201),"",'ENGAGEMENTS 2026'!J2201)</f>
        <v/>
      </c>
      <c r="Q2201">
        <f>IF($A2201="","",IF(OR($E2201="INFRUCTUEUX",$E2201="ANNULE"),$A2201&amp;"|"&amp;(COUNTIFS($A$2:$A2201,$A2201,$E$2:$E2201,"INFRUCTUEUX")+COUNTIFS($A$2:$A2201,$A2201,$E$2:$E2201,"ANNULE")),""))</f>
        <v/>
      </c>
    </row>
    <row r="2202">
      <c r="A2202">
        <f>IF(ISBLANK('ENGAGEMENTS 2026'!B2202),"",IF('ENGAGEMENTS 2026'!B2202="DTSI","DCT",'ENGAGEMENTS 2026'!B2202))</f>
        <v/>
      </c>
      <c r="B2202">
        <f>IF(ISBLANK('ENGAGEMENTS 2026'!B2202),"",'ENGAGEMENTS 2026'!C2202)</f>
        <v/>
      </c>
      <c r="C2202">
        <f>IF(ISBLANK('ENGAGEMENTS 2026'!B2202),"",'ENGAGEMENTS 2026'!D2202)</f>
        <v/>
      </c>
      <c r="D2202">
        <f>IF(ISBLANK('ENGAGEMENTS 2026'!B2202),"",'ENGAGEMENTS 2026'!F2202)</f>
        <v/>
      </c>
      <c r="E2202">
        <f>IF(ISBLANK('ENGAGEMENTS 2026'!B2202),"",'ENGAGEMENTS 2026'!H2202)</f>
        <v/>
      </c>
      <c r="F2202">
        <f>IF(ISBLANK('ENGAGEMENTS 2026'!B2202),"",'ENGAGEMENTS 2026'!I2202)</f>
        <v/>
      </c>
      <c r="G2202">
        <f>IF(ISBLANK('ENGAGEMENTS 2026'!B2202),"",'ENGAGEMENTS 2026'!L2202)</f>
        <v/>
      </c>
      <c r="H2202">
        <f>IF(ISBLANK('ENGAGEMENTS 2026'!B2202),"",'ENGAGEMENTS 2026'!AE2202)</f>
        <v/>
      </c>
      <c r="I2202">
        <f>IF(ISBLANK('ENGAGEMENTS 2026'!B2202),"",'ENGAGEMENTS 2026'!G2202)</f>
        <v/>
      </c>
      <c r="J2202" s="275">
        <f>IF(ISBLANK('ENGAGEMENTS 2026'!B2202),"",IF(AND(OR($E2202="INFRUCTUEUX",$E2202="ANNULE"),$C2202="AOO-M"),'ENGAGEMENTS 2026'!O2202,IF($H2202="EN COURS DE PREENGAGEMENT",'ENGAGEMENTS 2026'!N2202,IF($H2202="PREENGAGE",IF($E2202="ATTRIBUE",'ENGAGEMENTS 2026'!AD2202,'ENGAGEMENTS 2026'!N2202),'ENGAGEMENTS 2026'!AD2202))))</f>
        <v/>
      </c>
      <c r="K2202" s="604">
        <f>IF(ISBLANK('ENGAGEMENTS 2026'!V2202),"",'ENGAGEMENTS 2026'!V2202)</f>
        <v/>
      </c>
      <c r="L2202" s="276">
        <f>IF($K2202="","",TODAY()-$K2202)</f>
        <v/>
      </c>
      <c r="M2202">
        <f>IF($A2202="","",IF($H2202="ENGAGE","Engagé",IF(AND($H2202="NON ENGAGE",OR($I2202="INFRUCTUEUX",$I2202="ANNULE")),"Clôturé sans suite","En cours")))</f>
        <v/>
      </c>
      <c r="N2202">
        <f>IF(ISBLANK('ENGAGEMENTS 2026'!B2202),"",'ENGAGEMENTS 2026'!K2202)</f>
        <v/>
      </c>
      <c r="O2202">
        <f>IF(ISBLANK('ENGAGEMENTS 2026'!B2202),"",'ENGAGEMENTS 2026'!L2202)</f>
        <v/>
      </c>
      <c r="P2202">
        <f>IF(ISBLANK('ENGAGEMENTS 2026'!B2202),"",'ENGAGEMENTS 2026'!J2202)</f>
        <v/>
      </c>
      <c r="Q2202">
        <f>IF($A2202="","",IF(OR($E2202="INFRUCTUEUX",$E2202="ANNULE"),$A2202&amp;"|"&amp;(COUNTIFS($A$2:$A2202,$A2202,$E$2:$E2202,"INFRUCTUEUX")+COUNTIFS($A$2:$A2202,$A2202,$E$2:$E2202,"ANNULE")),""))</f>
        <v/>
      </c>
    </row>
    <row r="2203">
      <c r="A2203">
        <f>IF(ISBLANK('ENGAGEMENTS 2026'!B2203),"",IF('ENGAGEMENTS 2026'!B2203="DTSI","DCT",'ENGAGEMENTS 2026'!B2203))</f>
        <v/>
      </c>
      <c r="B2203">
        <f>IF(ISBLANK('ENGAGEMENTS 2026'!B2203),"",'ENGAGEMENTS 2026'!C2203)</f>
        <v/>
      </c>
      <c r="C2203">
        <f>IF(ISBLANK('ENGAGEMENTS 2026'!B2203),"",'ENGAGEMENTS 2026'!D2203)</f>
        <v/>
      </c>
      <c r="D2203">
        <f>IF(ISBLANK('ENGAGEMENTS 2026'!B2203),"",'ENGAGEMENTS 2026'!F2203)</f>
        <v/>
      </c>
      <c r="E2203">
        <f>IF(ISBLANK('ENGAGEMENTS 2026'!B2203),"",'ENGAGEMENTS 2026'!H2203)</f>
        <v/>
      </c>
      <c r="F2203">
        <f>IF(ISBLANK('ENGAGEMENTS 2026'!B2203),"",'ENGAGEMENTS 2026'!I2203)</f>
        <v/>
      </c>
      <c r="G2203">
        <f>IF(ISBLANK('ENGAGEMENTS 2026'!B2203),"",'ENGAGEMENTS 2026'!L2203)</f>
        <v/>
      </c>
      <c r="H2203">
        <f>IF(ISBLANK('ENGAGEMENTS 2026'!B2203),"",'ENGAGEMENTS 2026'!AE2203)</f>
        <v/>
      </c>
      <c r="I2203">
        <f>IF(ISBLANK('ENGAGEMENTS 2026'!B2203),"",'ENGAGEMENTS 2026'!G2203)</f>
        <v/>
      </c>
      <c r="J2203" s="275">
        <f>IF(ISBLANK('ENGAGEMENTS 2026'!B2203),"",IF(AND(OR($E2203="INFRUCTUEUX",$E2203="ANNULE"),$C2203="AOO-M"),'ENGAGEMENTS 2026'!O2203,IF($H2203="EN COURS DE PREENGAGEMENT",'ENGAGEMENTS 2026'!N2203,IF($H2203="PREENGAGE",IF($E2203="ATTRIBUE",'ENGAGEMENTS 2026'!AD2203,'ENGAGEMENTS 2026'!N2203),'ENGAGEMENTS 2026'!AD2203))))</f>
        <v/>
      </c>
      <c r="K2203" s="604">
        <f>IF(ISBLANK('ENGAGEMENTS 2026'!V2203),"",'ENGAGEMENTS 2026'!V2203)</f>
        <v/>
      </c>
      <c r="L2203" s="276">
        <f>IF($K2203="","",TODAY()-$K2203)</f>
        <v/>
      </c>
      <c r="M2203">
        <f>IF($A2203="","",IF($H2203="ENGAGE","Engagé",IF(AND($H2203="NON ENGAGE",OR($I2203="INFRUCTUEUX",$I2203="ANNULE")),"Clôturé sans suite","En cours")))</f>
        <v/>
      </c>
      <c r="N2203">
        <f>IF(ISBLANK('ENGAGEMENTS 2026'!B2203),"",'ENGAGEMENTS 2026'!K2203)</f>
        <v/>
      </c>
      <c r="O2203">
        <f>IF(ISBLANK('ENGAGEMENTS 2026'!B2203),"",'ENGAGEMENTS 2026'!L2203)</f>
        <v/>
      </c>
      <c r="P2203">
        <f>IF(ISBLANK('ENGAGEMENTS 2026'!B2203),"",'ENGAGEMENTS 2026'!J2203)</f>
        <v/>
      </c>
      <c r="Q2203">
        <f>IF($A2203="","",IF(OR($E2203="INFRUCTUEUX",$E2203="ANNULE"),$A2203&amp;"|"&amp;(COUNTIFS($A$2:$A2203,$A2203,$E$2:$E2203,"INFRUCTUEUX")+COUNTIFS($A$2:$A2203,$A2203,$E$2:$E2203,"ANNULE")),""))</f>
        <v/>
      </c>
    </row>
    <row r="2204">
      <c r="A2204">
        <f>IF(ISBLANK('ENGAGEMENTS 2026'!B2204),"",IF('ENGAGEMENTS 2026'!B2204="DTSI","DCT",'ENGAGEMENTS 2026'!B2204))</f>
        <v/>
      </c>
      <c r="B2204">
        <f>IF(ISBLANK('ENGAGEMENTS 2026'!B2204),"",'ENGAGEMENTS 2026'!C2204)</f>
        <v/>
      </c>
      <c r="C2204">
        <f>IF(ISBLANK('ENGAGEMENTS 2026'!B2204),"",'ENGAGEMENTS 2026'!D2204)</f>
        <v/>
      </c>
      <c r="D2204">
        <f>IF(ISBLANK('ENGAGEMENTS 2026'!B2204),"",'ENGAGEMENTS 2026'!F2204)</f>
        <v/>
      </c>
      <c r="E2204">
        <f>IF(ISBLANK('ENGAGEMENTS 2026'!B2204),"",'ENGAGEMENTS 2026'!H2204)</f>
        <v/>
      </c>
      <c r="F2204">
        <f>IF(ISBLANK('ENGAGEMENTS 2026'!B2204),"",'ENGAGEMENTS 2026'!I2204)</f>
        <v/>
      </c>
      <c r="G2204">
        <f>IF(ISBLANK('ENGAGEMENTS 2026'!B2204),"",'ENGAGEMENTS 2026'!L2204)</f>
        <v/>
      </c>
      <c r="H2204">
        <f>IF(ISBLANK('ENGAGEMENTS 2026'!B2204),"",'ENGAGEMENTS 2026'!AE2204)</f>
        <v/>
      </c>
      <c r="I2204">
        <f>IF(ISBLANK('ENGAGEMENTS 2026'!B2204),"",'ENGAGEMENTS 2026'!G2204)</f>
        <v/>
      </c>
      <c r="J2204" s="275">
        <f>IF(ISBLANK('ENGAGEMENTS 2026'!B2204),"",IF(AND(OR($E2204="INFRUCTUEUX",$E2204="ANNULE"),$C2204="AOO-M"),'ENGAGEMENTS 2026'!O2204,IF($H2204="EN COURS DE PREENGAGEMENT",'ENGAGEMENTS 2026'!N2204,IF($H2204="PREENGAGE",IF($E2204="ATTRIBUE",'ENGAGEMENTS 2026'!AD2204,'ENGAGEMENTS 2026'!N2204),'ENGAGEMENTS 2026'!AD2204))))</f>
        <v/>
      </c>
      <c r="K2204" s="604">
        <f>IF(ISBLANK('ENGAGEMENTS 2026'!V2204),"",'ENGAGEMENTS 2026'!V2204)</f>
        <v/>
      </c>
      <c r="L2204" s="276">
        <f>IF($K2204="","",TODAY()-$K2204)</f>
        <v/>
      </c>
      <c r="M2204">
        <f>IF($A2204="","",IF($H2204="ENGAGE","Engagé",IF(AND($H2204="NON ENGAGE",OR($I2204="INFRUCTUEUX",$I2204="ANNULE")),"Clôturé sans suite","En cours")))</f>
        <v/>
      </c>
      <c r="N2204">
        <f>IF(ISBLANK('ENGAGEMENTS 2026'!B2204),"",'ENGAGEMENTS 2026'!K2204)</f>
        <v/>
      </c>
      <c r="O2204">
        <f>IF(ISBLANK('ENGAGEMENTS 2026'!B2204),"",'ENGAGEMENTS 2026'!L2204)</f>
        <v/>
      </c>
      <c r="P2204">
        <f>IF(ISBLANK('ENGAGEMENTS 2026'!B2204),"",'ENGAGEMENTS 2026'!J2204)</f>
        <v/>
      </c>
      <c r="Q2204">
        <f>IF($A2204="","",IF(OR($E2204="INFRUCTUEUX",$E2204="ANNULE"),$A2204&amp;"|"&amp;(COUNTIFS($A$2:$A2204,$A2204,$E$2:$E2204,"INFRUCTUEUX")+COUNTIFS($A$2:$A2204,$A2204,$E$2:$E2204,"ANNULE")),""))</f>
        <v/>
      </c>
    </row>
    <row r="2205">
      <c r="A2205">
        <f>IF(ISBLANK('ENGAGEMENTS 2026'!B2205),"",IF('ENGAGEMENTS 2026'!B2205="DTSI","DCT",'ENGAGEMENTS 2026'!B2205))</f>
        <v/>
      </c>
      <c r="B2205">
        <f>IF(ISBLANK('ENGAGEMENTS 2026'!B2205),"",'ENGAGEMENTS 2026'!C2205)</f>
        <v/>
      </c>
      <c r="C2205">
        <f>IF(ISBLANK('ENGAGEMENTS 2026'!B2205),"",'ENGAGEMENTS 2026'!D2205)</f>
        <v/>
      </c>
      <c r="D2205">
        <f>IF(ISBLANK('ENGAGEMENTS 2026'!B2205),"",'ENGAGEMENTS 2026'!F2205)</f>
        <v/>
      </c>
      <c r="E2205">
        <f>IF(ISBLANK('ENGAGEMENTS 2026'!B2205),"",'ENGAGEMENTS 2026'!H2205)</f>
        <v/>
      </c>
      <c r="F2205">
        <f>IF(ISBLANK('ENGAGEMENTS 2026'!B2205),"",'ENGAGEMENTS 2026'!I2205)</f>
        <v/>
      </c>
      <c r="G2205">
        <f>IF(ISBLANK('ENGAGEMENTS 2026'!B2205),"",'ENGAGEMENTS 2026'!L2205)</f>
        <v/>
      </c>
      <c r="H2205">
        <f>IF(ISBLANK('ENGAGEMENTS 2026'!B2205),"",'ENGAGEMENTS 2026'!AE2205)</f>
        <v/>
      </c>
      <c r="I2205">
        <f>IF(ISBLANK('ENGAGEMENTS 2026'!B2205),"",'ENGAGEMENTS 2026'!G2205)</f>
        <v/>
      </c>
      <c r="J2205" s="275">
        <f>IF(ISBLANK('ENGAGEMENTS 2026'!B2205),"",IF(AND(OR($E2205="INFRUCTUEUX",$E2205="ANNULE"),$C2205="AOO-M"),'ENGAGEMENTS 2026'!O2205,IF($H2205="EN COURS DE PREENGAGEMENT",'ENGAGEMENTS 2026'!N2205,IF($H2205="PREENGAGE",IF($E2205="ATTRIBUE",'ENGAGEMENTS 2026'!AD2205,'ENGAGEMENTS 2026'!N2205),'ENGAGEMENTS 2026'!AD2205))))</f>
        <v/>
      </c>
      <c r="K2205" s="604">
        <f>IF(ISBLANK('ENGAGEMENTS 2026'!V2205),"",'ENGAGEMENTS 2026'!V2205)</f>
        <v/>
      </c>
      <c r="L2205" s="276">
        <f>IF($K2205="","",TODAY()-$K2205)</f>
        <v/>
      </c>
      <c r="M2205">
        <f>IF($A2205="","",IF($H2205="ENGAGE","Engagé",IF(AND($H2205="NON ENGAGE",OR($I2205="INFRUCTUEUX",$I2205="ANNULE")),"Clôturé sans suite","En cours")))</f>
        <v/>
      </c>
      <c r="N2205">
        <f>IF(ISBLANK('ENGAGEMENTS 2026'!B2205),"",'ENGAGEMENTS 2026'!K2205)</f>
        <v/>
      </c>
      <c r="O2205">
        <f>IF(ISBLANK('ENGAGEMENTS 2026'!B2205),"",'ENGAGEMENTS 2026'!L2205)</f>
        <v/>
      </c>
      <c r="P2205">
        <f>IF(ISBLANK('ENGAGEMENTS 2026'!B2205),"",'ENGAGEMENTS 2026'!J2205)</f>
        <v/>
      </c>
      <c r="Q2205">
        <f>IF($A2205="","",IF(OR($E2205="INFRUCTUEUX",$E2205="ANNULE"),$A2205&amp;"|"&amp;(COUNTIFS($A$2:$A2205,$A2205,$E$2:$E2205,"INFRUCTUEUX")+COUNTIFS($A$2:$A2205,$A2205,$E$2:$E2205,"ANNULE")),""))</f>
        <v/>
      </c>
    </row>
    <row r="2206">
      <c r="A2206">
        <f>IF(ISBLANK('ENGAGEMENTS 2026'!B2206),"",IF('ENGAGEMENTS 2026'!B2206="DTSI","DCT",'ENGAGEMENTS 2026'!B2206))</f>
        <v/>
      </c>
      <c r="B2206">
        <f>IF(ISBLANK('ENGAGEMENTS 2026'!B2206),"",'ENGAGEMENTS 2026'!C2206)</f>
        <v/>
      </c>
      <c r="C2206">
        <f>IF(ISBLANK('ENGAGEMENTS 2026'!B2206),"",'ENGAGEMENTS 2026'!D2206)</f>
        <v/>
      </c>
      <c r="D2206">
        <f>IF(ISBLANK('ENGAGEMENTS 2026'!B2206),"",'ENGAGEMENTS 2026'!F2206)</f>
        <v/>
      </c>
      <c r="E2206">
        <f>IF(ISBLANK('ENGAGEMENTS 2026'!B2206),"",'ENGAGEMENTS 2026'!H2206)</f>
        <v/>
      </c>
      <c r="F2206">
        <f>IF(ISBLANK('ENGAGEMENTS 2026'!B2206),"",'ENGAGEMENTS 2026'!I2206)</f>
        <v/>
      </c>
      <c r="G2206">
        <f>IF(ISBLANK('ENGAGEMENTS 2026'!B2206),"",'ENGAGEMENTS 2026'!L2206)</f>
        <v/>
      </c>
      <c r="H2206">
        <f>IF(ISBLANK('ENGAGEMENTS 2026'!B2206),"",'ENGAGEMENTS 2026'!AE2206)</f>
        <v/>
      </c>
      <c r="I2206">
        <f>IF(ISBLANK('ENGAGEMENTS 2026'!B2206),"",'ENGAGEMENTS 2026'!G2206)</f>
        <v/>
      </c>
      <c r="J2206" s="275">
        <f>IF(ISBLANK('ENGAGEMENTS 2026'!B2206),"",IF(AND(OR($E2206="INFRUCTUEUX",$E2206="ANNULE"),$C2206="AOO-M"),'ENGAGEMENTS 2026'!O2206,IF($H2206="EN COURS DE PREENGAGEMENT",'ENGAGEMENTS 2026'!N2206,IF($H2206="PREENGAGE",IF($E2206="ATTRIBUE",'ENGAGEMENTS 2026'!AD2206,'ENGAGEMENTS 2026'!N2206),'ENGAGEMENTS 2026'!AD2206))))</f>
        <v/>
      </c>
      <c r="K2206" s="604">
        <f>IF(ISBLANK('ENGAGEMENTS 2026'!V2206),"",'ENGAGEMENTS 2026'!V2206)</f>
        <v/>
      </c>
      <c r="L2206" s="276">
        <f>IF($K2206="","",TODAY()-$K2206)</f>
        <v/>
      </c>
      <c r="M2206">
        <f>IF($A2206="","",IF($H2206="ENGAGE","Engagé",IF(AND($H2206="NON ENGAGE",OR($I2206="INFRUCTUEUX",$I2206="ANNULE")),"Clôturé sans suite","En cours")))</f>
        <v/>
      </c>
      <c r="N2206">
        <f>IF(ISBLANK('ENGAGEMENTS 2026'!B2206),"",'ENGAGEMENTS 2026'!K2206)</f>
        <v/>
      </c>
      <c r="O2206">
        <f>IF(ISBLANK('ENGAGEMENTS 2026'!B2206),"",'ENGAGEMENTS 2026'!L2206)</f>
        <v/>
      </c>
      <c r="P2206">
        <f>IF(ISBLANK('ENGAGEMENTS 2026'!B2206),"",'ENGAGEMENTS 2026'!J2206)</f>
        <v/>
      </c>
      <c r="Q2206">
        <f>IF($A2206="","",IF(OR($E2206="INFRUCTUEUX",$E2206="ANNULE"),$A2206&amp;"|"&amp;(COUNTIFS($A$2:$A2206,$A2206,$E$2:$E2206,"INFRUCTUEUX")+COUNTIFS($A$2:$A2206,$A2206,$E$2:$E2206,"ANNULE")),""))</f>
        <v/>
      </c>
    </row>
    <row r="2207">
      <c r="A2207">
        <f>IF(ISBLANK('ENGAGEMENTS 2026'!B2207),"",IF('ENGAGEMENTS 2026'!B2207="DTSI","DCT",'ENGAGEMENTS 2026'!B2207))</f>
        <v/>
      </c>
      <c r="B2207">
        <f>IF(ISBLANK('ENGAGEMENTS 2026'!B2207),"",'ENGAGEMENTS 2026'!C2207)</f>
        <v/>
      </c>
      <c r="C2207">
        <f>IF(ISBLANK('ENGAGEMENTS 2026'!B2207),"",'ENGAGEMENTS 2026'!D2207)</f>
        <v/>
      </c>
      <c r="D2207">
        <f>IF(ISBLANK('ENGAGEMENTS 2026'!B2207),"",'ENGAGEMENTS 2026'!F2207)</f>
        <v/>
      </c>
      <c r="E2207">
        <f>IF(ISBLANK('ENGAGEMENTS 2026'!B2207),"",'ENGAGEMENTS 2026'!H2207)</f>
        <v/>
      </c>
      <c r="F2207">
        <f>IF(ISBLANK('ENGAGEMENTS 2026'!B2207),"",'ENGAGEMENTS 2026'!I2207)</f>
        <v/>
      </c>
      <c r="G2207">
        <f>IF(ISBLANK('ENGAGEMENTS 2026'!B2207),"",'ENGAGEMENTS 2026'!L2207)</f>
        <v/>
      </c>
      <c r="H2207">
        <f>IF(ISBLANK('ENGAGEMENTS 2026'!B2207),"",'ENGAGEMENTS 2026'!AE2207)</f>
        <v/>
      </c>
      <c r="I2207">
        <f>IF(ISBLANK('ENGAGEMENTS 2026'!B2207),"",'ENGAGEMENTS 2026'!G2207)</f>
        <v/>
      </c>
      <c r="J2207" s="275">
        <f>IF(ISBLANK('ENGAGEMENTS 2026'!B2207),"",IF(AND(OR($E2207="INFRUCTUEUX",$E2207="ANNULE"),$C2207="AOO-M"),'ENGAGEMENTS 2026'!O2207,IF($H2207="EN COURS DE PREENGAGEMENT",'ENGAGEMENTS 2026'!N2207,IF($H2207="PREENGAGE",IF($E2207="ATTRIBUE",'ENGAGEMENTS 2026'!AD2207,'ENGAGEMENTS 2026'!N2207),'ENGAGEMENTS 2026'!AD2207))))</f>
        <v/>
      </c>
      <c r="K2207" s="604">
        <f>IF(ISBLANK('ENGAGEMENTS 2026'!V2207),"",'ENGAGEMENTS 2026'!V2207)</f>
        <v/>
      </c>
      <c r="L2207" s="276">
        <f>IF($K2207="","",TODAY()-$K2207)</f>
        <v/>
      </c>
      <c r="M2207">
        <f>IF($A2207="","",IF($H2207="ENGAGE","Engagé",IF(AND($H2207="NON ENGAGE",OR($I2207="INFRUCTUEUX",$I2207="ANNULE")),"Clôturé sans suite","En cours")))</f>
        <v/>
      </c>
      <c r="N2207">
        <f>IF(ISBLANK('ENGAGEMENTS 2026'!B2207),"",'ENGAGEMENTS 2026'!K2207)</f>
        <v/>
      </c>
      <c r="O2207">
        <f>IF(ISBLANK('ENGAGEMENTS 2026'!B2207),"",'ENGAGEMENTS 2026'!L2207)</f>
        <v/>
      </c>
      <c r="P2207">
        <f>IF(ISBLANK('ENGAGEMENTS 2026'!B2207),"",'ENGAGEMENTS 2026'!J2207)</f>
        <v/>
      </c>
      <c r="Q2207">
        <f>IF($A2207="","",IF(OR($E2207="INFRUCTUEUX",$E2207="ANNULE"),$A2207&amp;"|"&amp;(COUNTIFS($A$2:$A2207,$A2207,$E$2:$E2207,"INFRUCTUEUX")+COUNTIFS($A$2:$A2207,$A2207,$E$2:$E2207,"ANNULE")),""))</f>
        <v/>
      </c>
    </row>
    <row r="2208">
      <c r="A2208">
        <f>IF(ISBLANK('ENGAGEMENTS 2026'!B2208),"",IF('ENGAGEMENTS 2026'!B2208="DTSI","DCT",'ENGAGEMENTS 2026'!B2208))</f>
        <v/>
      </c>
      <c r="B2208">
        <f>IF(ISBLANK('ENGAGEMENTS 2026'!B2208),"",'ENGAGEMENTS 2026'!C2208)</f>
        <v/>
      </c>
      <c r="C2208">
        <f>IF(ISBLANK('ENGAGEMENTS 2026'!B2208),"",'ENGAGEMENTS 2026'!D2208)</f>
        <v/>
      </c>
      <c r="D2208">
        <f>IF(ISBLANK('ENGAGEMENTS 2026'!B2208),"",'ENGAGEMENTS 2026'!F2208)</f>
        <v/>
      </c>
      <c r="E2208">
        <f>IF(ISBLANK('ENGAGEMENTS 2026'!B2208),"",'ENGAGEMENTS 2026'!H2208)</f>
        <v/>
      </c>
      <c r="F2208">
        <f>IF(ISBLANK('ENGAGEMENTS 2026'!B2208),"",'ENGAGEMENTS 2026'!I2208)</f>
        <v/>
      </c>
      <c r="G2208">
        <f>IF(ISBLANK('ENGAGEMENTS 2026'!B2208),"",'ENGAGEMENTS 2026'!L2208)</f>
        <v/>
      </c>
      <c r="H2208">
        <f>IF(ISBLANK('ENGAGEMENTS 2026'!B2208),"",'ENGAGEMENTS 2026'!AE2208)</f>
        <v/>
      </c>
      <c r="I2208">
        <f>IF(ISBLANK('ENGAGEMENTS 2026'!B2208),"",'ENGAGEMENTS 2026'!G2208)</f>
        <v/>
      </c>
      <c r="J2208" s="275">
        <f>IF(ISBLANK('ENGAGEMENTS 2026'!B2208),"",IF(AND(OR($E2208="INFRUCTUEUX",$E2208="ANNULE"),$C2208="AOO-M"),'ENGAGEMENTS 2026'!O2208,IF($H2208="EN COURS DE PREENGAGEMENT",'ENGAGEMENTS 2026'!N2208,IF($H2208="PREENGAGE",IF($E2208="ATTRIBUE",'ENGAGEMENTS 2026'!AD2208,'ENGAGEMENTS 2026'!N2208),'ENGAGEMENTS 2026'!AD2208))))</f>
        <v/>
      </c>
      <c r="K2208" s="604">
        <f>IF(ISBLANK('ENGAGEMENTS 2026'!V2208),"",'ENGAGEMENTS 2026'!V2208)</f>
        <v/>
      </c>
      <c r="L2208" s="276">
        <f>IF($K2208="","",TODAY()-$K2208)</f>
        <v/>
      </c>
      <c r="M2208">
        <f>IF($A2208="","",IF($H2208="ENGAGE","Engagé",IF(AND($H2208="NON ENGAGE",OR($I2208="INFRUCTUEUX",$I2208="ANNULE")),"Clôturé sans suite","En cours")))</f>
        <v/>
      </c>
      <c r="N2208">
        <f>IF(ISBLANK('ENGAGEMENTS 2026'!B2208),"",'ENGAGEMENTS 2026'!K2208)</f>
        <v/>
      </c>
      <c r="O2208">
        <f>IF(ISBLANK('ENGAGEMENTS 2026'!B2208),"",'ENGAGEMENTS 2026'!L2208)</f>
        <v/>
      </c>
      <c r="P2208">
        <f>IF(ISBLANK('ENGAGEMENTS 2026'!B2208),"",'ENGAGEMENTS 2026'!J2208)</f>
        <v/>
      </c>
      <c r="Q2208">
        <f>IF($A2208="","",IF(OR($E2208="INFRUCTUEUX",$E2208="ANNULE"),$A2208&amp;"|"&amp;(COUNTIFS($A$2:$A2208,$A2208,$E$2:$E2208,"INFRUCTUEUX")+COUNTIFS($A$2:$A2208,$A2208,$E$2:$E2208,"ANNULE")),""))</f>
        <v/>
      </c>
    </row>
    <row r="2209">
      <c r="A2209">
        <f>IF(ISBLANK('ENGAGEMENTS 2026'!B2209),"",IF('ENGAGEMENTS 2026'!B2209="DTSI","DCT",'ENGAGEMENTS 2026'!B2209))</f>
        <v/>
      </c>
      <c r="B2209">
        <f>IF(ISBLANK('ENGAGEMENTS 2026'!B2209),"",'ENGAGEMENTS 2026'!C2209)</f>
        <v/>
      </c>
      <c r="C2209">
        <f>IF(ISBLANK('ENGAGEMENTS 2026'!B2209),"",'ENGAGEMENTS 2026'!D2209)</f>
        <v/>
      </c>
      <c r="D2209">
        <f>IF(ISBLANK('ENGAGEMENTS 2026'!B2209),"",'ENGAGEMENTS 2026'!F2209)</f>
        <v/>
      </c>
      <c r="E2209">
        <f>IF(ISBLANK('ENGAGEMENTS 2026'!B2209),"",'ENGAGEMENTS 2026'!H2209)</f>
        <v/>
      </c>
      <c r="F2209">
        <f>IF(ISBLANK('ENGAGEMENTS 2026'!B2209),"",'ENGAGEMENTS 2026'!I2209)</f>
        <v/>
      </c>
      <c r="G2209">
        <f>IF(ISBLANK('ENGAGEMENTS 2026'!B2209),"",'ENGAGEMENTS 2026'!L2209)</f>
        <v/>
      </c>
      <c r="H2209">
        <f>IF(ISBLANK('ENGAGEMENTS 2026'!B2209),"",'ENGAGEMENTS 2026'!AE2209)</f>
        <v/>
      </c>
      <c r="I2209">
        <f>IF(ISBLANK('ENGAGEMENTS 2026'!B2209),"",'ENGAGEMENTS 2026'!G2209)</f>
        <v/>
      </c>
      <c r="J2209" s="275">
        <f>IF(ISBLANK('ENGAGEMENTS 2026'!B2209),"",IF(AND(OR($E2209="INFRUCTUEUX",$E2209="ANNULE"),$C2209="AOO-M"),'ENGAGEMENTS 2026'!O2209,IF($H2209="EN COURS DE PREENGAGEMENT",'ENGAGEMENTS 2026'!N2209,IF($H2209="PREENGAGE",IF($E2209="ATTRIBUE",'ENGAGEMENTS 2026'!AD2209,'ENGAGEMENTS 2026'!N2209),'ENGAGEMENTS 2026'!AD2209))))</f>
        <v/>
      </c>
      <c r="K2209" s="604">
        <f>IF(ISBLANK('ENGAGEMENTS 2026'!V2209),"",'ENGAGEMENTS 2026'!V2209)</f>
        <v/>
      </c>
      <c r="L2209" s="276">
        <f>IF($K2209="","",TODAY()-$K2209)</f>
        <v/>
      </c>
      <c r="M2209">
        <f>IF($A2209="","",IF($H2209="ENGAGE","Engagé",IF(AND($H2209="NON ENGAGE",OR($I2209="INFRUCTUEUX",$I2209="ANNULE")),"Clôturé sans suite","En cours")))</f>
        <v/>
      </c>
      <c r="N2209">
        <f>IF(ISBLANK('ENGAGEMENTS 2026'!B2209),"",'ENGAGEMENTS 2026'!K2209)</f>
        <v/>
      </c>
      <c r="O2209">
        <f>IF(ISBLANK('ENGAGEMENTS 2026'!B2209),"",'ENGAGEMENTS 2026'!L2209)</f>
        <v/>
      </c>
      <c r="P2209">
        <f>IF(ISBLANK('ENGAGEMENTS 2026'!B2209),"",'ENGAGEMENTS 2026'!J2209)</f>
        <v/>
      </c>
      <c r="Q2209">
        <f>IF($A2209="","",IF(OR($E2209="INFRUCTUEUX",$E2209="ANNULE"),$A2209&amp;"|"&amp;(COUNTIFS($A$2:$A2209,$A2209,$E$2:$E2209,"INFRUCTUEUX")+COUNTIFS($A$2:$A2209,$A2209,$E$2:$E2209,"ANNULE")),""))</f>
        <v/>
      </c>
    </row>
    <row r="2210">
      <c r="A2210">
        <f>IF(ISBLANK('ENGAGEMENTS 2026'!B2210),"",IF('ENGAGEMENTS 2026'!B2210="DTSI","DCT",'ENGAGEMENTS 2026'!B2210))</f>
        <v/>
      </c>
      <c r="B2210">
        <f>IF(ISBLANK('ENGAGEMENTS 2026'!B2210),"",'ENGAGEMENTS 2026'!C2210)</f>
        <v/>
      </c>
      <c r="C2210">
        <f>IF(ISBLANK('ENGAGEMENTS 2026'!B2210),"",'ENGAGEMENTS 2026'!D2210)</f>
        <v/>
      </c>
      <c r="D2210">
        <f>IF(ISBLANK('ENGAGEMENTS 2026'!B2210),"",'ENGAGEMENTS 2026'!F2210)</f>
        <v/>
      </c>
      <c r="E2210">
        <f>IF(ISBLANK('ENGAGEMENTS 2026'!B2210),"",'ENGAGEMENTS 2026'!H2210)</f>
        <v/>
      </c>
      <c r="F2210">
        <f>IF(ISBLANK('ENGAGEMENTS 2026'!B2210),"",'ENGAGEMENTS 2026'!I2210)</f>
        <v/>
      </c>
      <c r="G2210">
        <f>IF(ISBLANK('ENGAGEMENTS 2026'!B2210),"",'ENGAGEMENTS 2026'!L2210)</f>
        <v/>
      </c>
      <c r="H2210">
        <f>IF(ISBLANK('ENGAGEMENTS 2026'!B2210),"",'ENGAGEMENTS 2026'!AE2210)</f>
        <v/>
      </c>
      <c r="I2210">
        <f>IF(ISBLANK('ENGAGEMENTS 2026'!B2210),"",'ENGAGEMENTS 2026'!G2210)</f>
        <v/>
      </c>
      <c r="J2210" s="275">
        <f>IF(ISBLANK('ENGAGEMENTS 2026'!B2210),"",IF(AND(OR($E2210="INFRUCTUEUX",$E2210="ANNULE"),$C2210="AOO-M"),'ENGAGEMENTS 2026'!O2210,IF($H2210="EN COURS DE PREENGAGEMENT",'ENGAGEMENTS 2026'!N2210,IF($H2210="PREENGAGE",IF($E2210="ATTRIBUE",'ENGAGEMENTS 2026'!AD2210,'ENGAGEMENTS 2026'!N2210),'ENGAGEMENTS 2026'!AD2210))))</f>
        <v/>
      </c>
      <c r="K2210" s="604">
        <f>IF(ISBLANK('ENGAGEMENTS 2026'!V2210),"",'ENGAGEMENTS 2026'!V2210)</f>
        <v/>
      </c>
      <c r="L2210" s="276">
        <f>IF($K2210="","",TODAY()-$K2210)</f>
        <v/>
      </c>
      <c r="M2210">
        <f>IF($A2210="","",IF($H2210="ENGAGE","Engagé",IF(AND($H2210="NON ENGAGE",OR($I2210="INFRUCTUEUX",$I2210="ANNULE")),"Clôturé sans suite","En cours")))</f>
        <v/>
      </c>
      <c r="N2210">
        <f>IF(ISBLANK('ENGAGEMENTS 2026'!B2210),"",'ENGAGEMENTS 2026'!K2210)</f>
        <v/>
      </c>
      <c r="O2210">
        <f>IF(ISBLANK('ENGAGEMENTS 2026'!B2210),"",'ENGAGEMENTS 2026'!L2210)</f>
        <v/>
      </c>
      <c r="P2210">
        <f>IF(ISBLANK('ENGAGEMENTS 2026'!B2210),"",'ENGAGEMENTS 2026'!J2210)</f>
        <v/>
      </c>
      <c r="Q2210">
        <f>IF($A2210="","",IF(OR($E2210="INFRUCTUEUX",$E2210="ANNULE"),$A2210&amp;"|"&amp;(COUNTIFS($A$2:$A2210,$A2210,$E$2:$E2210,"INFRUCTUEUX")+COUNTIFS($A$2:$A2210,$A2210,$E$2:$E2210,"ANNULE")),""))</f>
        <v/>
      </c>
    </row>
    <row r="2211">
      <c r="A2211">
        <f>IF(ISBLANK('ENGAGEMENTS 2026'!B2211),"",IF('ENGAGEMENTS 2026'!B2211="DTSI","DCT",'ENGAGEMENTS 2026'!B2211))</f>
        <v/>
      </c>
      <c r="B2211">
        <f>IF(ISBLANK('ENGAGEMENTS 2026'!B2211),"",'ENGAGEMENTS 2026'!C2211)</f>
        <v/>
      </c>
      <c r="C2211">
        <f>IF(ISBLANK('ENGAGEMENTS 2026'!B2211),"",'ENGAGEMENTS 2026'!D2211)</f>
        <v/>
      </c>
      <c r="D2211">
        <f>IF(ISBLANK('ENGAGEMENTS 2026'!B2211),"",'ENGAGEMENTS 2026'!F2211)</f>
        <v/>
      </c>
      <c r="E2211">
        <f>IF(ISBLANK('ENGAGEMENTS 2026'!B2211),"",'ENGAGEMENTS 2026'!H2211)</f>
        <v/>
      </c>
      <c r="F2211">
        <f>IF(ISBLANK('ENGAGEMENTS 2026'!B2211),"",'ENGAGEMENTS 2026'!I2211)</f>
        <v/>
      </c>
      <c r="G2211">
        <f>IF(ISBLANK('ENGAGEMENTS 2026'!B2211),"",'ENGAGEMENTS 2026'!L2211)</f>
        <v/>
      </c>
      <c r="H2211">
        <f>IF(ISBLANK('ENGAGEMENTS 2026'!B2211),"",'ENGAGEMENTS 2026'!AE2211)</f>
        <v/>
      </c>
      <c r="I2211">
        <f>IF(ISBLANK('ENGAGEMENTS 2026'!B2211),"",'ENGAGEMENTS 2026'!G2211)</f>
        <v/>
      </c>
      <c r="J2211" s="275">
        <f>IF(ISBLANK('ENGAGEMENTS 2026'!B2211),"",IF(AND(OR($E2211="INFRUCTUEUX",$E2211="ANNULE"),$C2211="AOO-M"),'ENGAGEMENTS 2026'!O2211,IF($H2211="EN COURS DE PREENGAGEMENT",'ENGAGEMENTS 2026'!N2211,IF($H2211="PREENGAGE",IF($E2211="ATTRIBUE",'ENGAGEMENTS 2026'!AD2211,'ENGAGEMENTS 2026'!N2211),'ENGAGEMENTS 2026'!AD2211))))</f>
        <v/>
      </c>
      <c r="K2211" s="604">
        <f>IF(ISBLANK('ENGAGEMENTS 2026'!V2211),"",'ENGAGEMENTS 2026'!V2211)</f>
        <v/>
      </c>
      <c r="L2211" s="276">
        <f>IF($K2211="","",TODAY()-$K2211)</f>
        <v/>
      </c>
      <c r="M2211">
        <f>IF($A2211="","",IF($H2211="ENGAGE","Engagé",IF(AND($H2211="NON ENGAGE",OR($I2211="INFRUCTUEUX",$I2211="ANNULE")),"Clôturé sans suite","En cours")))</f>
        <v/>
      </c>
      <c r="N2211">
        <f>IF(ISBLANK('ENGAGEMENTS 2026'!B2211),"",'ENGAGEMENTS 2026'!K2211)</f>
        <v/>
      </c>
      <c r="O2211">
        <f>IF(ISBLANK('ENGAGEMENTS 2026'!B2211),"",'ENGAGEMENTS 2026'!L2211)</f>
        <v/>
      </c>
      <c r="P2211">
        <f>IF(ISBLANK('ENGAGEMENTS 2026'!B2211),"",'ENGAGEMENTS 2026'!J2211)</f>
        <v/>
      </c>
      <c r="Q2211">
        <f>IF($A2211="","",IF(OR($E2211="INFRUCTUEUX",$E2211="ANNULE"),$A2211&amp;"|"&amp;(COUNTIFS($A$2:$A2211,$A2211,$E$2:$E2211,"INFRUCTUEUX")+COUNTIFS($A$2:$A2211,$A2211,$E$2:$E2211,"ANNULE")),""))</f>
        <v/>
      </c>
    </row>
    <row r="2212">
      <c r="A2212">
        <f>IF(ISBLANK('ENGAGEMENTS 2026'!B2212),"",IF('ENGAGEMENTS 2026'!B2212="DTSI","DCT",'ENGAGEMENTS 2026'!B2212))</f>
        <v/>
      </c>
      <c r="B2212">
        <f>IF(ISBLANK('ENGAGEMENTS 2026'!B2212),"",'ENGAGEMENTS 2026'!C2212)</f>
        <v/>
      </c>
      <c r="C2212">
        <f>IF(ISBLANK('ENGAGEMENTS 2026'!B2212),"",'ENGAGEMENTS 2026'!D2212)</f>
        <v/>
      </c>
      <c r="D2212">
        <f>IF(ISBLANK('ENGAGEMENTS 2026'!B2212),"",'ENGAGEMENTS 2026'!F2212)</f>
        <v/>
      </c>
      <c r="E2212">
        <f>IF(ISBLANK('ENGAGEMENTS 2026'!B2212),"",'ENGAGEMENTS 2026'!H2212)</f>
        <v/>
      </c>
      <c r="F2212">
        <f>IF(ISBLANK('ENGAGEMENTS 2026'!B2212),"",'ENGAGEMENTS 2026'!I2212)</f>
        <v/>
      </c>
      <c r="G2212">
        <f>IF(ISBLANK('ENGAGEMENTS 2026'!B2212),"",'ENGAGEMENTS 2026'!L2212)</f>
        <v/>
      </c>
      <c r="H2212">
        <f>IF(ISBLANK('ENGAGEMENTS 2026'!B2212),"",'ENGAGEMENTS 2026'!AE2212)</f>
        <v/>
      </c>
      <c r="I2212">
        <f>IF(ISBLANK('ENGAGEMENTS 2026'!B2212),"",'ENGAGEMENTS 2026'!G2212)</f>
        <v/>
      </c>
      <c r="J2212" s="275">
        <f>IF(ISBLANK('ENGAGEMENTS 2026'!B2212),"",IF(AND(OR($E2212="INFRUCTUEUX",$E2212="ANNULE"),$C2212="AOO-M"),'ENGAGEMENTS 2026'!O2212,IF($H2212="EN COURS DE PREENGAGEMENT",'ENGAGEMENTS 2026'!N2212,IF($H2212="PREENGAGE",IF($E2212="ATTRIBUE",'ENGAGEMENTS 2026'!AD2212,'ENGAGEMENTS 2026'!N2212),'ENGAGEMENTS 2026'!AD2212))))</f>
        <v/>
      </c>
      <c r="K2212" s="604">
        <f>IF(ISBLANK('ENGAGEMENTS 2026'!V2212),"",'ENGAGEMENTS 2026'!V2212)</f>
        <v/>
      </c>
      <c r="L2212" s="276">
        <f>IF($K2212="","",TODAY()-$K2212)</f>
        <v/>
      </c>
      <c r="M2212">
        <f>IF($A2212="","",IF($H2212="ENGAGE","Engagé",IF(AND($H2212="NON ENGAGE",OR($I2212="INFRUCTUEUX",$I2212="ANNULE")),"Clôturé sans suite","En cours")))</f>
        <v/>
      </c>
      <c r="N2212">
        <f>IF(ISBLANK('ENGAGEMENTS 2026'!B2212),"",'ENGAGEMENTS 2026'!K2212)</f>
        <v/>
      </c>
      <c r="O2212">
        <f>IF(ISBLANK('ENGAGEMENTS 2026'!B2212),"",'ENGAGEMENTS 2026'!L2212)</f>
        <v/>
      </c>
      <c r="P2212">
        <f>IF(ISBLANK('ENGAGEMENTS 2026'!B2212),"",'ENGAGEMENTS 2026'!J2212)</f>
        <v/>
      </c>
      <c r="Q2212">
        <f>IF($A2212="","",IF(OR($E2212="INFRUCTUEUX",$E2212="ANNULE"),$A2212&amp;"|"&amp;(COUNTIFS($A$2:$A2212,$A2212,$E$2:$E2212,"INFRUCTUEUX")+COUNTIFS($A$2:$A2212,$A2212,$E$2:$E2212,"ANNULE")),""))</f>
        <v/>
      </c>
    </row>
    <row r="2213">
      <c r="A2213">
        <f>IF(ISBLANK('ENGAGEMENTS 2026'!B2213),"",IF('ENGAGEMENTS 2026'!B2213="DTSI","DCT",'ENGAGEMENTS 2026'!B2213))</f>
        <v/>
      </c>
      <c r="B2213">
        <f>IF(ISBLANK('ENGAGEMENTS 2026'!B2213),"",'ENGAGEMENTS 2026'!C2213)</f>
        <v/>
      </c>
      <c r="C2213">
        <f>IF(ISBLANK('ENGAGEMENTS 2026'!B2213),"",'ENGAGEMENTS 2026'!D2213)</f>
        <v/>
      </c>
      <c r="D2213">
        <f>IF(ISBLANK('ENGAGEMENTS 2026'!B2213),"",'ENGAGEMENTS 2026'!F2213)</f>
        <v/>
      </c>
      <c r="E2213">
        <f>IF(ISBLANK('ENGAGEMENTS 2026'!B2213),"",'ENGAGEMENTS 2026'!H2213)</f>
        <v/>
      </c>
      <c r="F2213">
        <f>IF(ISBLANK('ENGAGEMENTS 2026'!B2213),"",'ENGAGEMENTS 2026'!I2213)</f>
        <v/>
      </c>
      <c r="G2213">
        <f>IF(ISBLANK('ENGAGEMENTS 2026'!B2213),"",'ENGAGEMENTS 2026'!L2213)</f>
        <v/>
      </c>
      <c r="H2213">
        <f>IF(ISBLANK('ENGAGEMENTS 2026'!B2213),"",'ENGAGEMENTS 2026'!AE2213)</f>
        <v/>
      </c>
      <c r="I2213">
        <f>IF(ISBLANK('ENGAGEMENTS 2026'!B2213),"",'ENGAGEMENTS 2026'!G2213)</f>
        <v/>
      </c>
      <c r="J2213" s="275">
        <f>IF(ISBLANK('ENGAGEMENTS 2026'!B2213),"",IF(AND(OR($E2213="INFRUCTUEUX",$E2213="ANNULE"),$C2213="AOO-M"),'ENGAGEMENTS 2026'!O2213,IF($H2213="EN COURS DE PREENGAGEMENT",'ENGAGEMENTS 2026'!N2213,IF($H2213="PREENGAGE",IF($E2213="ATTRIBUE",'ENGAGEMENTS 2026'!AD2213,'ENGAGEMENTS 2026'!N2213),'ENGAGEMENTS 2026'!AD2213))))</f>
        <v/>
      </c>
      <c r="K2213" s="604">
        <f>IF(ISBLANK('ENGAGEMENTS 2026'!V2213),"",'ENGAGEMENTS 2026'!V2213)</f>
        <v/>
      </c>
      <c r="L2213" s="276">
        <f>IF($K2213="","",TODAY()-$K2213)</f>
        <v/>
      </c>
      <c r="M2213">
        <f>IF($A2213="","",IF($H2213="ENGAGE","Engagé",IF(AND($H2213="NON ENGAGE",OR($I2213="INFRUCTUEUX",$I2213="ANNULE")),"Clôturé sans suite","En cours")))</f>
        <v/>
      </c>
      <c r="N2213">
        <f>IF(ISBLANK('ENGAGEMENTS 2026'!B2213),"",'ENGAGEMENTS 2026'!K2213)</f>
        <v/>
      </c>
      <c r="O2213">
        <f>IF(ISBLANK('ENGAGEMENTS 2026'!B2213),"",'ENGAGEMENTS 2026'!L2213)</f>
        <v/>
      </c>
      <c r="P2213">
        <f>IF(ISBLANK('ENGAGEMENTS 2026'!B2213),"",'ENGAGEMENTS 2026'!J2213)</f>
        <v/>
      </c>
      <c r="Q2213">
        <f>IF($A2213="","",IF(OR($E2213="INFRUCTUEUX",$E2213="ANNULE"),$A2213&amp;"|"&amp;(COUNTIFS($A$2:$A2213,$A2213,$E$2:$E2213,"INFRUCTUEUX")+COUNTIFS($A$2:$A2213,$A2213,$E$2:$E2213,"ANNULE")),""))</f>
        <v/>
      </c>
    </row>
    <row r="2214">
      <c r="A2214">
        <f>IF(ISBLANK('ENGAGEMENTS 2026'!B2214),"",IF('ENGAGEMENTS 2026'!B2214="DTSI","DCT",'ENGAGEMENTS 2026'!B2214))</f>
        <v/>
      </c>
      <c r="B2214">
        <f>IF(ISBLANK('ENGAGEMENTS 2026'!B2214),"",'ENGAGEMENTS 2026'!C2214)</f>
        <v/>
      </c>
      <c r="C2214">
        <f>IF(ISBLANK('ENGAGEMENTS 2026'!B2214),"",'ENGAGEMENTS 2026'!D2214)</f>
        <v/>
      </c>
      <c r="D2214">
        <f>IF(ISBLANK('ENGAGEMENTS 2026'!B2214),"",'ENGAGEMENTS 2026'!F2214)</f>
        <v/>
      </c>
      <c r="E2214">
        <f>IF(ISBLANK('ENGAGEMENTS 2026'!B2214),"",'ENGAGEMENTS 2026'!H2214)</f>
        <v/>
      </c>
      <c r="F2214">
        <f>IF(ISBLANK('ENGAGEMENTS 2026'!B2214),"",'ENGAGEMENTS 2026'!I2214)</f>
        <v/>
      </c>
      <c r="G2214">
        <f>IF(ISBLANK('ENGAGEMENTS 2026'!B2214),"",'ENGAGEMENTS 2026'!L2214)</f>
        <v/>
      </c>
      <c r="H2214">
        <f>IF(ISBLANK('ENGAGEMENTS 2026'!B2214),"",'ENGAGEMENTS 2026'!AE2214)</f>
        <v/>
      </c>
      <c r="I2214">
        <f>IF(ISBLANK('ENGAGEMENTS 2026'!B2214),"",'ENGAGEMENTS 2026'!G2214)</f>
        <v/>
      </c>
      <c r="J2214" s="275">
        <f>IF(ISBLANK('ENGAGEMENTS 2026'!B2214),"",IF(AND(OR($E2214="INFRUCTUEUX",$E2214="ANNULE"),$C2214="AOO-M"),'ENGAGEMENTS 2026'!O2214,IF($H2214="EN COURS DE PREENGAGEMENT",'ENGAGEMENTS 2026'!N2214,IF($H2214="PREENGAGE",IF($E2214="ATTRIBUE",'ENGAGEMENTS 2026'!AD2214,'ENGAGEMENTS 2026'!N2214),'ENGAGEMENTS 2026'!AD2214))))</f>
        <v/>
      </c>
      <c r="K2214" s="604">
        <f>IF(ISBLANK('ENGAGEMENTS 2026'!V2214),"",'ENGAGEMENTS 2026'!V2214)</f>
        <v/>
      </c>
      <c r="L2214" s="276">
        <f>IF($K2214="","",TODAY()-$K2214)</f>
        <v/>
      </c>
      <c r="M2214">
        <f>IF($A2214="","",IF($H2214="ENGAGE","Engagé",IF(AND($H2214="NON ENGAGE",OR($I2214="INFRUCTUEUX",$I2214="ANNULE")),"Clôturé sans suite","En cours")))</f>
        <v/>
      </c>
      <c r="N2214">
        <f>IF(ISBLANK('ENGAGEMENTS 2026'!B2214),"",'ENGAGEMENTS 2026'!K2214)</f>
        <v/>
      </c>
      <c r="O2214">
        <f>IF(ISBLANK('ENGAGEMENTS 2026'!B2214),"",'ENGAGEMENTS 2026'!L2214)</f>
        <v/>
      </c>
      <c r="P2214">
        <f>IF(ISBLANK('ENGAGEMENTS 2026'!B2214),"",'ENGAGEMENTS 2026'!J2214)</f>
        <v/>
      </c>
      <c r="Q2214">
        <f>IF($A2214="","",IF(OR($E2214="INFRUCTUEUX",$E2214="ANNULE"),$A2214&amp;"|"&amp;(COUNTIFS($A$2:$A2214,$A2214,$E$2:$E2214,"INFRUCTUEUX")+COUNTIFS($A$2:$A2214,$A2214,$E$2:$E2214,"ANNULE")),""))</f>
        <v/>
      </c>
    </row>
    <row r="2215">
      <c r="A2215">
        <f>IF(ISBLANK('ENGAGEMENTS 2026'!B2215),"",IF('ENGAGEMENTS 2026'!B2215="DTSI","DCT",'ENGAGEMENTS 2026'!B2215))</f>
        <v/>
      </c>
      <c r="B2215">
        <f>IF(ISBLANK('ENGAGEMENTS 2026'!B2215),"",'ENGAGEMENTS 2026'!C2215)</f>
        <v/>
      </c>
      <c r="C2215">
        <f>IF(ISBLANK('ENGAGEMENTS 2026'!B2215),"",'ENGAGEMENTS 2026'!D2215)</f>
        <v/>
      </c>
      <c r="D2215">
        <f>IF(ISBLANK('ENGAGEMENTS 2026'!B2215),"",'ENGAGEMENTS 2026'!F2215)</f>
        <v/>
      </c>
      <c r="E2215">
        <f>IF(ISBLANK('ENGAGEMENTS 2026'!B2215),"",'ENGAGEMENTS 2026'!H2215)</f>
        <v/>
      </c>
      <c r="F2215">
        <f>IF(ISBLANK('ENGAGEMENTS 2026'!B2215),"",'ENGAGEMENTS 2026'!I2215)</f>
        <v/>
      </c>
      <c r="G2215">
        <f>IF(ISBLANK('ENGAGEMENTS 2026'!B2215),"",'ENGAGEMENTS 2026'!L2215)</f>
        <v/>
      </c>
      <c r="H2215">
        <f>IF(ISBLANK('ENGAGEMENTS 2026'!B2215),"",'ENGAGEMENTS 2026'!AE2215)</f>
        <v/>
      </c>
      <c r="I2215">
        <f>IF(ISBLANK('ENGAGEMENTS 2026'!B2215),"",'ENGAGEMENTS 2026'!G2215)</f>
        <v/>
      </c>
      <c r="J2215" s="275">
        <f>IF(ISBLANK('ENGAGEMENTS 2026'!B2215),"",IF(AND(OR($E2215="INFRUCTUEUX",$E2215="ANNULE"),$C2215="AOO-M"),'ENGAGEMENTS 2026'!O2215,IF($H2215="EN COURS DE PREENGAGEMENT",'ENGAGEMENTS 2026'!N2215,IF($H2215="PREENGAGE",IF($E2215="ATTRIBUE",'ENGAGEMENTS 2026'!AD2215,'ENGAGEMENTS 2026'!N2215),'ENGAGEMENTS 2026'!AD2215))))</f>
        <v/>
      </c>
      <c r="K2215" s="604">
        <f>IF(ISBLANK('ENGAGEMENTS 2026'!V2215),"",'ENGAGEMENTS 2026'!V2215)</f>
        <v/>
      </c>
      <c r="L2215" s="276">
        <f>IF($K2215="","",TODAY()-$K2215)</f>
        <v/>
      </c>
      <c r="M2215">
        <f>IF($A2215="","",IF($H2215="ENGAGE","Engagé",IF(AND($H2215="NON ENGAGE",OR($I2215="INFRUCTUEUX",$I2215="ANNULE")),"Clôturé sans suite","En cours")))</f>
        <v/>
      </c>
      <c r="N2215">
        <f>IF(ISBLANK('ENGAGEMENTS 2026'!B2215),"",'ENGAGEMENTS 2026'!K2215)</f>
        <v/>
      </c>
      <c r="O2215">
        <f>IF(ISBLANK('ENGAGEMENTS 2026'!B2215),"",'ENGAGEMENTS 2026'!L2215)</f>
        <v/>
      </c>
      <c r="P2215">
        <f>IF(ISBLANK('ENGAGEMENTS 2026'!B2215),"",'ENGAGEMENTS 2026'!J2215)</f>
        <v/>
      </c>
      <c r="Q2215">
        <f>IF($A2215="","",IF(OR($E2215="INFRUCTUEUX",$E2215="ANNULE"),$A2215&amp;"|"&amp;(COUNTIFS($A$2:$A2215,$A2215,$E$2:$E2215,"INFRUCTUEUX")+COUNTIFS($A$2:$A2215,$A2215,$E$2:$E2215,"ANNULE")),""))</f>
        <v/>
      </c>
    </row>
    <row r="2216">
      <c r="A2216">
        <f>IF(ISBLANK('ENGAGEMENTS 2026'!B2216),"",IF('ENGAGEMENTS 2026'!B2216="DTSI","DCT",'ENGAGEMENTS 2026'!B2216))</f>
        <v/>
      </c>
      <c r="B2216">
        <f>IF(ISBLANK('ENGAGEMENTS 2026'!B2216),"",'ENGAGEMENTS 2026'!C2216)</f>
        <v/>
      </c>
      <c r="C2216">
        <f>IF(ISBLANK('ENGAGEMENTS 2026'!B2216),"",'ENGAGEMENTS 2026'!D2216)</f>
        <v/>
      </c>
      <c r="D2216">
        <f>IF(ISBLANK('ENGAGEMENTS 2026'!B2216),"",'ENGAGEMENTS 2026'!F2216)</f>
        <v/>
      </c>
      <c r="E2216">
        <f>IF(ISBLANK('ENGAGEMENTS 2026'!B2216),"",'ENGAGEMENTS 2026'!H2216)</f>
        <v/>
      </c>
      <c r="F2216">
        <f>IF(ISBLANK('ENGAGEMENTS 2026'!B2216),"",'ENGAGEMENTS 2026'!I2216)</f>
        <v/>
      </c>
      <c r="G2216">
        <f>IF(ISBLANK('ENGAGEMENTS 2026'!B2216),"",'ENGAGEMENTS 2026'!L2216)</f>
        <v/>
      </c>
      <c r="H2216">
        <f>IF(ISBLANK('ENGAGEMENTS 2026'!B2216),"",'ENGAGEMENTS 2026'!AE2216)</f>
        <v/>
      </c>
      <c r="I2216">
        <f>IF(ISBLANK('ENGAGEMENTS 2026'!B2216),"",'ENGAGEMENTS 2026'!G2216)</f>
        <v/>
      </c>
      <c r="J2216" s="275">
        <f>IF(ISBLANK('ENGAGEMENTS 2026'!B2216),"",IF(AND(OR($E2216="INFRUCTUEUX",$E2216="ANNULE"),$C2216="AOO-M"),'ENGAGEMENTS 2026'!O2216,IF($H2216="EN COURS DE PREENGAGEMENT",'ENGAGEMENTS 2026'!N2216,IF($H2216="PREENGAGE",IF($E2216="ATTRIBUE",'ENGAGEMENTS 2026'!AD2216,'ENGAGEMENTS 2026'!N2216),'ENGAGEMENTS 2026'!AD2216))))</f>
        <v/>
      </c>
      <c r="K2216" s="604">
        <f>IF(ISBLANK('ENGAGEMENTS 2026'!V2216),"",'ENGAGEMENTS 2026'!V2216)</f>
        <v/>
      </c>
      <c r="L2216" s="276">
        <f>IF($K2216="","",TODAY()-$K2216)</f>
        <v/>
      </c>
      <c r="M2216">
        <f>IF($A2216="","",IF($H2216="ENGAGE","Engagé",IF(AND($H2216="NON ENGAGE",OR($I2216="INFRUCTUEUX",$I2216="ANNULE")),"Clôturé sans suite","En cours")))</f>
        <v/>
      </c>
      <c r="N2216">
        <f>IF(ISBLANK('ENGAGEMENTS 2026'!B2216),"",'ENGAGEMENTS 2026'!K2216)</f>
        <v/>
      </c>
      <c r="O2216">
        <f>IF(ISBLANK('ENGAGEMENTS 2026'!B2216),"",'ENGAGEMENTS 2026'!L2216)</f>
        <v/>
      </c>
      <c r="P2216">
        <f>IF(ISBLANK('ENGAGEMENTS 2026'!B2216),"",'ENGAGEMENTS 2026'!J2216)</f>
        <v/>
      </c>
      <c r="Q2216">
        <f>IF($A2216="","",IF(OR($E2216="INFRUCTUEUX",$E2216="ANNULE"),$A2216&amp;"|"&amp;(COUNTIFS($A$2:$A2216,$A2216,$E$2:$E2216,"INFRUCTUEUX")+COUNTIFS($A$2:$A2216,$A2216,$E$2:$E2216,"ANNULE")),""))</f>
        <v/>
      </c>
    </row>
    <row r="2217">
      <c r="A2217">
        <f>IF(ISBLANK('ENGAGEMENTS 2026'!B2217),"",IF('ENGAGEMENTS 2026'!B2217="DTSI","DCT",'ENGAGEMENTS 2026'!B2217))</f>
        <v/>
      </c>
      <c r="B2217">
        <f>IF(ISBLANK('ENGAGEMENTS 2026'!B2217),"",'ENGAGEMENTS 2026'!C2217)</f>
        <v/>
      </c>
      <c r="C2217">
        <f>IF(ISBLANK('ENGAGEMENTS 2026'!B2217),"",'ENGAGEMENTS 2026'!D2217)</f>
        <v/>
      </c>
      <c r="D2217">
        <f>IF(ISBLANK('ENGAGEMENTS 2026'!B2217),"",'ENGAGEMENTS 2026'!F2217)</f>
        <v/>
      </c>
      <c r="E2217">
        <f>IF(ISBLANK('ENGAGEMENTS 2026'!B2217),"",'ENGAGEMENTS 2026'!H2217)</f>
        <v/>
      </c>
      <c r="F2217">
        <f>IF(ISBLANK('ENGAGEMENTS 2026'!B2217),"",'ENGAGEMENTS 2026'!I2217)</f>
        <v/>
      </c>
      <c r="G2217">
        <f>IF(ISBLANK('ENGAGEMENTS 2026'!B2217),"",'ENGAGEMENTS 2026'!L2217)</f>
        <v/>
      </c>
      <c r="H2217">
        <f>IF(ISBLANK('ENGAGEMENTS 2026'!B2217),"",'ENGAGEMENTS 2026'!AE2217)</f>
        <v/>
      </c>
      <c r="I2217">
        <f>IF(ISBLANK('ENGAGEMENTS 2026'!B2217),"",'ENGAGEMENTS 2026'!G2217)</f>
        <v/>
      </c>
      <c r="J2217" s="275">
        <f>IF(ISBLANK('ENGAGEMENTS 2026'!B2217),"",IF(AND(OR($E2217="INFRUCTUEUX",$E2217="ANNULE"),$C2217="AOO-M"),'ENGAGEMENTS 2026'!O2217,IF($H2217="EN COURS DE PREENGAGEMENT",'ENGAGEMENTS 2026'!N2217,IF($H2217="PREENGAGE",IF($E2217="ATTRIBUE",'ENGAGEMENTS 2026'!AD2217,'ENGAGEMENTS 2026'!N2217),'ENGAGEMENTS 2026'!AD2217))))</f>
        <v/>
      </c>
      <c r="K2217" s="604">
        <f>IF(ISBLANK('ENGAGEMENTS 2026'!V2217),"",'ENGAGEMENTS 2026'!V2217)</f>
        <v/>
      </c>
      <c r="L2217" s="276">
        <f>IF($K2217="","",TODAY()-$K2217)</f>
        <v/>
      </c>
      <c r="M2217">
        <f>IF($A2217="","",IF($H2217="ENGAGE","Engagé",IF(AND($H2217="NON ENGAGE",OR($I2217="INFRUCTUEUX",$I2217="ANNULE")),"Clôturé sans suite","En cours")))</f>
        <v/>
      </c>
      <c r="N2217">
        <f>IF(ISBLANK('ENGAGEMENTS 2026'!B2217),"",'ENGAGEMENTS 2026'!K2217)</f>
        <v/>
      </c>
      <c r="O2217">
        <f>IF(ISBLANK('ENGAGEMENTS 2026'!B2217),"",'ENGAGEMENTS 2026'!L2217)</f>
        <v/>
      </c>
      <c r="P2217">
        <f>IF(ISBLANK('ENGAGEMENTS 2026'!B2217),"",'ENGAGEMENTS 2026'!J2217)</f>
        <v/>
      </c>
      <c r="Q2217">
        <f>IF($A2217="","",IF(OR($E2217="INFRUCTUEUX",$E2217="ANNULE"),$A2217&amp;"|"&amp;(COUNTIFS($A$2:$A2217,$A2217,$E$2:$E2217,"INFRUCTUEUX")+COUNTIFS($A$2:$A2217,$A2217,$E$2:$E2217,"ANNULE")),""))</f>
        <v/>
      </c>
    </row>
    <row r="2218">
      <c r="A2218">
        <f>IF(ISBLANK('ENGAGEMENTS 2026'!B2218),"",IF('ENGAGEMENTS 2026'!B2218="DTSI","DCT",'ENGAGEMENTS 2026'!B2218))</f>
        <v/>
      </c>
      <c r="B2218">
        <f>IF(ISBLANK('ENGAGEMENTS 2026'!B2218),"",'ENGAGEMENTS 2026'!C2218)</f>
        <v/>
      </c>
      <c r="C2218">
        <f>IF(ISBLANK('ENGAGEMENTS 2026'!B2218),"",'ENGAGEMENTS 2026'!D2218)</f>
        <v/>
      </c>
      <c r="D2218">
        <f>IF(ISBLANK('ENGAGEMENTS 2026'!B2218),"",'ENGAGEMENTS 2026'!F2218)</f>
        <v/>
      </c>
      <c r="E2218">
        <f>IF(ISBLANK('ENGAGEMENTS 2026'!B2218),"",'ENGAGEMENTS 2026'!H2218)</f>
        <v/>
      </c>
      <c r="F2218">
        <f>IF(ISBLANK('ENGAGEMENTS 2026'!B2218),"",'ENGAGEMENTS 2026'!I2218)</f>
        <v/>
      </c>
      <c r="G2218">
        <f>IF(ISBLANK('ENGAGEMENTS 2026'!B2218),"",'ENGAGEMENTS 2026'!L2218)</f>
        <v/>
      </c>
      <c r="H2218">
        <f>IF(ISBLANK('ENGAGEMENTS 2026'!B2218),"",'ENGAGEMENTS 2026'!AE2218)</f>
        <v/>
      </c>
      <c r="I2218">
        <f>IF(ISBLANK('ENGAGEMENTS 2026'!B2218),"",'ENGAGEMENTS 2026'!G2218)</f>
        <v/>
      </c>
      <c r="J2218" s="275">
        <f>IF(ISBLANK('ENGAGEMENTS 2026'!B2218),"",IF(AND(OR($E2218="INFRUCTUEUX",$E2218="ANNULE"),$C2218="AOO-M"),'ENGAGEMENTS 2026'!O2218,IF($H2218="EN COURS DE PREENGAGEMENT",'ENGAGEMENTS 2026'!N2218,IF($H2218="PREENGAGE",IF($E2218="ATTRIBUE",'ENGAGEMENTS 2026'!AD2218,'ENGAGEMENTS 2026'!N2218),'ENGAGEMENTS 2026'!AD2218))))</f>
        <v/>
      </c>
      <c r="K2218" s="604">
        <f>IF(ISBLANK('ENGAGEMENTS 2026'!V2218),"",'ENGAGEMENTS 2026'!V2218)</f>
        <v/>
      </c>
      <c r="L2218" s="276">
        <f>IF($K2218="","",TODAY()-$K2218)</f>
        <v/>
      </c>
      <c r="M2218">
        <f>IF($A2218="","",IF($H2218="ENGAGE","Engagé",IF(AND($H2218="NON ENGAGE",OR($I2218="INFRUCTUEUX",$I2218="ANNULE")),"Clôturé sans suite","En cours")))</f>
        <v/>
      </c>
      <c r="N2218">
        <f>IF(ISBLANK('ENGAGEMENTS 2026'!B2218),"",'ENGAGEMENTS 2026'!K2218)</f>
        <v/>
      </c>
      <c r="O2218">
        <f>IF(ISBLANK('ENGAGEMENTS 2026'!B2218),"",'ENGAGEMENTS 2026'!L2218)</f>
        <v/>
      </c>
      <c r="P2218">
        <f>IF(ISBLANK('ENGAGEMENTS 2026'!B2218),"",'ENGAGEMENTS 2026'!J2218)</f>
        <v/>
      </c>
      <c r="Q2218">
        <f>IF($A2218="","",IF(OR($E2218="INFRUCTUEUX",$E2218="ANNULE"),$A2218&amp;"|"&amp;(COUNTIFS($A$2:$A2218,$A2218,$E$2:$E2218,"INFRUCTUEUX")+COUNTIFS($A$2:$A2218,$A2218,$E$2:$E2218,"ANNULE")),""))</f>
        <v/>
      </c>
    </row>
    <row r="2219">
      <c r="A2219">
        <f>IF(ISBLANK('ENGAGEMENTS 2026'!B2219),"",IF('ENGAGEMENTS 2026'!B2219="DTSI","DCT",'ENGAGEMENTS 2026'!B2219))</f>
        <v/>
      </c>
      <c r="B2219">
        <f>IF(ISBLANK('ENGAGEMENTS 2026'!B2219),"",'ENGAGEMENTS 2026'!C2219)</f>
        <v/>
      </c>
      <c r="C2219">
        <f>IF(ISBLANK('ENGAGEMENTS 2026'!B2219),"",'ENGAGEMENTS 2026'!D2219)</f>
        <v/>
      </c>
      <c r="D2219">
        <f>IF(ISBLANK('ENGAGEMENTS 2026'!B2219),"",'ENGAGEMENTS 2026'!F2219)</f>
        <v/>
      </c>
      <c r="E2219">
        <f>IF(ISBLANK('ENGAGEMENTS 2026'!B2219),"",'ENGAGEMENTS 2026'!H2219)</f>
        <v/>
      </c>
      <c r="F2219">
        <f>IF(ISBLANK('ENGAGEMENTS 2026'!B2219),"",'ENGAGEMENTS 2026'!I2219)</f>
        <v/>
      </c>
      <c r="G2219">
        <f>IF(ISBLANK('ENGAGEMENTS 2026'!B2219),"",'ENGAGEMENTS 2026'!L2219)</f>
        <v/>
      </c>
      <c r="H2219">
        <f>IF(ISBLANK('ENGAGEMENTS 2026'!B2219),"",'ENGAGEMENTS 2026'!AE2219)</f>
        <v/>
      </c>
      <c r="I2219">
        <f>IF(ISBLANK('ENGAGEMENTS 2026'!B2219),"",'ENGAGEMENTS 2026'!G2219)</f>
        <v/>
      </c>
      <c r="J2219" s="275">
        <f>IF(ISBLANK('ENGAGEMENTS 2026'!B2219),"",IF(AND(OR($E2219="INFRUCTUEUX",$E2219="ANNULE"),$C2219="AOO-M"),'ENGAGEMENTS 2026'!O2219,IF($H2219="EN COURS DE PREENGAGEMENT",'ENGAGEMENTS 2026'!N2219,IF($H2219="PREENGAGE",IF($E2219="ATTRIBUE",'ENGAGEMENTS 2026'!AD2219,'ENGAGEMENTS 2026'!N2219),'ENGAGEMENTS 2026'!AD2219))))</f>
        <v/>
      </c>
      <c r="K2219" s="604">
        <f>IF(ISBLANK('ENGAGEMENTS 2026'!V2219),"",'ENGAGEMENTS 2026'!V2219)</f>
        <v/>
      </c>
      <c r="L2219" s="276">
        <f>IF($K2219="","",TODAY()-$K2219)</f>
        <v/>
      </c>
      <c r="M2219">
        <f>IF($A2219="","",IF($H2219="ENGAGE","Engagé",IF(AND($H2219="NON ENGAGE",OR($I2219="INFRUCTUEUX",$I2219="ANNULE")),"Clôturé sans suite","En cours")))</f>
        <v/>
      </c>
      <c r="N2219">
        <f>IF(ISBLANK('ENGAGEMENTS 2026'!B2219),"",'ENGAGEMENTS 2026'!K2219)</f>
        <v/>
      </c>
      <c r="O2219">
        <f>IF(ISBLANK('ENGAGEMENTS 2026'!B2219),"",'ENGAGEMENTS 2026'!L2219)</f>
        <v/>
      </c>
      <c r="P2219">
        <f>IF(ISBLANK('ENGAGEMENTS 2026'!B2219),"",'ENGAGEMENTS 2026'!J2219)</f>
        <v/>
      </c>
      <c r="Q2219">
        <f>IF($A2219="","",IF(OR($E2219="INFRUCTUEUX",$E2219="ANNULE"),$A2219&amp;"|"&amp;(COUNTIFS($A$2:$A2219,$A2219,$E$2:$E2219,"INFRUCTUEUX")+COUNTIFS($A$2:$A2219,$A2219,$E$2:$E2219,"ANNULE")),""))</f>
        <v/>
      </c>
    </row>
    <row r="2220">
      <c r="A2220">
        <f>IF(ISBLANK('ENGAGEMENTS 2026'!B2220),"",IF('ENGAGEMENTS 2026'!B2220="DTSI","DCT",'ENGAGEMENTS 2026'!B2220))</f>
        <v/>
      </c>
      <c r="B2220">
        <f>IF(ISBLANK('ENGAGEMENTS 2026'!B2220),"",'ENGAGEMENTS 2026'!C2220)</f>
        <v/>
      </c>
      <c r="C2220">
        <f>IF(ISBLANK('ENGAGEMENTS 2026'!B2220),"",'ENGAGEMENTS 2026'!D2220)</f>
        <v/>
      </c>
      <c r="D2220">
        <f>IF(ISBLANK('ENGAGEMENTS 2026'!B2220),"",'ENGAGEMENTS 2026'!F2220)</f>
        <v/>
      </c>
      <c r="E2220">
        <f>IF(ISBLANK('ENGAGEMENTS 2026'!B2220),"",'ENGAGEMENTS 2026'!H2220)</f>
        <v/>
      </c>
      <c r="F2220">
        <f>IF(ISBLANK('ENGAGEMENTS 2026'!B2220),"",'ENGAGEMENTS 2026'!I2220)</f>
        <v/>
      </c>
      <c r="G2220">
        <f>IF(ISBLANK('ENGAGEMENTS 2026'!B2220),"",'ENGAGEMENTS 2026'!L2220)</f>
        <v/>
      </c>
      <c r="H2220">
        <f>IF(ISBLANK('ENGAGEMENTS 2026'!B2220),"",'ENGAGEMENTS 2026'!AE2220)</f>
        <v/>
      </c>
      <c r="I2220">
        <f>IF(ISBLANK('ENGAGEMENTS 2026'!B2220),"",'ENGAGEMENTS 2026'!G2220)</f>
        <v/>
      </c>
      <c r="J2220" s="275">
        <f>IF(ISBLANK('ENGAGEMENTS 2026'!B2220),"",IF(AND(OR($E2220="INFRUCTUEUX",$E2220="ANNULE"),$C2220="AOO-M"),'ENGAGEMENTS 2026'!O2220,IF($H2220="EN COURS DE PREENGAGEMENT",'ENGAGEMENTS 2026'!N2220,IF($H2220="PREENGAGE",IF($E2220="ATTRIBUE",'ENGAGEMENTS 2026'!AD2220,'ENGAGEMENTS 2026'!N2220),'ENGAGEMENTS 2026'!AD2220))))</f>
        <v/>
      </c>
      <c r="K2220" s="604">
        <f>IF(ISBLANK('ENGAGEMENTS 2026'!V2220),"",'ENGAGEMENTS 2026'!V2220)</f>
        <v/>
      </c>
      <c r="L2220" s="276">
        <f>IF($K2220="","",TODAY()-$K2220)</f>
        <v/>
      </c>
      <c r="M2220">
        <f>IF($A2220="","",IF($H2220="ENGAGE","Engagé",IF(AND($H2220="NON ENGAGE",OR($I2220="INFRUCTUEUX",$I2220="ANNULE")),"Clôturé sans suite","En cours")))</f>
        <v/>
      </c>
      <c r="N2220">
        <f>IF(ISBLANK('ENGAGEMENTS 2026'!B2220),"",'ENGAGEMENTS 2026'!K2220)</f>
        <v/>
      </c>
      <c r="O2220">
        <f>IF(ISBLANK('ENGAGEMENTS 2026'!B2220),"",'ENGAGEMENTS 2026'!L2220)</f>
        <v/>
      </c>
      <c r="P2220">
        <f>IF(ISBLANK('ENGAGEMENTS 2026'!B2220),"",'ENGAGEMENTS 2026'!J2220)</f>
        <v/>
      </c>
      <c r="Q2220">
        <f>IF($A2220="","",IF(OR($E2220="INFRUCTUEUX",$E2220="ANNULE"),$A2220&amp;"|"&amp;(COUNTIFS($A$2:$A2220,$A2220,$E$2:$E2220,"INFRUCTUEUX")+COUNTIFS($A$2:$A2220,$A2220,$E$2:$E2220,"ANNULE")),""))</f>
        <v/>
      </c>
    </row>
    <row r="2221">
      <c r="A2221">
        <f>IF(ISBLANK('ENGAGEMENTS 2026'!B2221),"",IF('ENGAGEMENTS 2026'!B2221="DTSI","DCT",'ENGAGEMENTS 2026'!B2221))</f>
        <v/>
      </c>
      <c r="B2221">
        <f>IF(ISBLANK('ENGAGEMENTS 2026'!B2221),"",'ENGAGEMENTS 2026'!C2221)</f>
        <v/>
      </c>
      <c r="C2221">
        <f>IF(ISBLANK('ENGAGEMENTS 2026'!B2221),"",'ENGAGEMENTS 2026'!D2221)</f>
        <v/>
      </c>
      <c r="D2221">
        <f>IF(ISBLANK('ENGAGEMENTS 2026'!B2221),"",'ENGAGEMENTS 2026'!F2221)</f>
        <v/>
      </c>
      <c r="E2221">
        <f>IF(ISBLANK('ENGAGEMENTS 2026'!B2221),"",'ENGAGEMENTS 2026'!H2221)</f>
        <v/>
      </c>
      <c r="F2221">
        <f>IF(ISBLANK('ENGAGEMENTS 2026'!B2221),"",'ENGAGEMENTS 2026'!I2221)</f>
        <v/>
      </c>
      <c r="G2221">
        <f>IF(ISBLANK('ENGAGEMENTS 2026'!B2221),"",'ENGAGEMENTS 2026'!L2221)</f>
        <v/>
      </c>
      <c r="H2221">
        <f>IF(ISBLANK('ENGAGEMENTS 2026'!B2221),"",'ENGAGEMENTS 2026'!AE2221)</f>
        <v/>
      </c>
      <c r="I2221">
        <f>IF(ISBLANK('ENGAGEMENTS 2026'!B2221),"",'ENGAGEMENTS 2026'!G2221)</f>
        <v/>
      </c>
      <c r="J2221" s="275">
        <f>IF(ISBLANK('ENGAGEMENTS 2026'!B2221),"",IF(AND(OR($E2221="INFRUCTUEUX",$E2221="ANNULE"),$C2221="AOO-M"),'ENGAGEMENTS 2026'!O2221,IF($H2221="EN COURS DE PREENGAGEMENT",'ENGAGEMENTS 2026'!N2221,IF($H2221="PREENGAGE",IF($E2221="ATTRIBUE",'ENGAGEMENTS 2026'!AD2221,'ENGAGEMENTS 2026'!N2221),'ENGAGEMENTS 2026'!AD2221))))</f>
        <v/>
      </c>
      <c r="K2221" s="604">
        <f>IF(ISBLANK('ENGAGEMENTS 2026'!V2221),"",'ENGAGEMENTS 2026'!V2221)</f>
        <v/>
      </c>
      <c r="L2221" s="276">
        <f>IF($K2221="","",TODAY()-$K2221)</f>
        <v/>
      </c>
      <c r="M2221">
        <f>IF($A2221="","",IF($H2221="ENGAGE","Engagé",IF(AND($H2221="NON ENGAGE",OR($I2221="INFRUCTUEUX",$I2221="ANNULE")),"Clôturé sans suite","En cours")))</f>
        <v/>
      </c>
      <c r="N2221">
        <f>IF(ISBLANK('ENGAGEMENTS 2026'!B2221),"",'ENGAGEMENTS 2026'!K2221)</f>
        <v/>
      </c>
      <c r="O2221">
        <f>IF(ISBLANK('ENGAGEMENTS 2026'!B2221),"",'ENGAGEMENTS 2026'!L2221)</f>
        <v/>
      </c>
      <c r="P2221">
        <f>IF(ISBLANK('ENGAGEMENTS 2026'!B2221),"",'ENGAGEMENTS 2026'!J2221)</f>
        <v/>
      </c>
      <c r="Q2221">
        <f>IF($A2221="","",IF(OR($E2221="INFRUCTUEUX",$E2221="ANNULE"),$A2221&amp;"|"&amp;(COUNTIFS($A$2:$A2221,$A2221,$E$2:$E2221,"INFRUCTUEUX")+COUNTIFS($A$2:$A2221,$A2221,$E$2:$E2221,"ANNULE")),""))</f>
        <v/>
      </c>
    </row>
    <row r="2222">
      <c r="A2222">
        <f>IF(ISBLANK('ENGAGEMENTS 2026'!B2222),"",IF('ENGAGEMENTS 2026'!B2222="DTSI","DCT",'ENGAGEMENTS 2026'!B2222))</f>
        <v/>
      </c>
      <c r="B2222">
        <f>IF(ISBLANK('ENGAGEMENTS 2026'!B2222),"",'ENGAGEMENTS 2026'!C2222)</f>
        <v/>
      </c>
      <c r="C2222">
        <f>IF(ISBLANK('ENGAGEMENTS 2026'!B2222),"",'ENGAGEMENTS 2026'!D2222)</f>
        <v/>
      </c>
      <c r="D2222">
        <f>IF(ISBLANK('ENGAGEMENTS 2026'!B2222),"",'ENGAGEMENTS 2026'!F2222)</f>
        <v/>
      </c>
      <c r="E2222">
        <f>IF(ISBLANK('ENGAGEMENTS 2026'!B2222),"",'ENGAGEMENTS 2026'!H2222)</f>
        <v/>
      </c>
      <c r="F2222">
        <f>IF(ISBLANK('ENGAGEMENTS 2026'!B2222),"",'ENGAGEMENTS 2026'!I2222)</f>
        <v/>
      </c>
      <c r="G2222">
        <f>IF(ISBLANK('ENGAGEMENTS 2026'!B2222),"",'ENGAGEMENTS 2026'!L2222)</f>
        <v/>
      </c>
      <c r="H2222">
        <f>IF(ISBLANK('ENGAGEMENTS 2026'!B2222),"",'ENGAGEMENTS 2026'!AE2222)</f>
        <v/>
      </c>
      <c r="I2222">
        <f>IF(ISBLANK('ENGAGEMENTS 2026'!B2222),"",'ENGAGEMENTS 2026'!G2222)</f>
        <v/>
      </c>
      <c r="J2222" s="275">
        <f>IF(ISBLANK('ENGAGEMENTS 2026'!B2222),"",IF(AND(OR($E2222="INFRUCTUEUX",$E2222="ANNULE"),$C2222="AOO-M"),'ENGAGEMENTS 2026'!O2222,IF($H2222="EN COURS DE PREENGAGEMENT",'ENGAGEMENTS 2026'!N2222,IF($H2222="PREENGAGE",IF($E2222="ATTRIBUE",'ENGAGEMENTS 2026'!AD2222,'ENGAGEMENTS 2026'!N2222),'ENGAGEMENTS 2026'!AD2222))))</f>
        <v/>
      </c>
      <c r="K2222" s="604">
        <f>IF(ISBLANK('ENGAGEMENTS 2026'!V2222),"",'ENGAGEMENTS 2026'!V2222)</f>
        <v/>
      </c>
      <c r="L2222" s="276">
        <f>IF($K2222="","",TODAY()-$K2222)</f>
        <v/>
      </c>
      <c r="M2222">
        <f>IF($A2222="","",IF($H2222="ENGAGE","Engagé",IF(AND($H2222="NON ENGAGE",OR($I2222="INFRUCTUEUX",$I2222="ANNULE")),"Clôturé sans suite","En cours")))</f>
        <v/>
      </c>
      <c r="N2222">
        <f>IF(ISBLANK('ENGAGEMENTS 2026'!B2222),"",'ENGAGEMENTS 2026'!K2222)</f>
        <v/>
      </c>
      <c r="O2222">
        <f>IF(ISBLANK('ENGAGEMENTS 2026'!B2222),"",'ENGAGEMENTS 2026'!L2222)</f>
        <v/>
      </c>
      <c r="P2222">
        <f>IF(ISBLANK('ENGAGEMENTS 2026'!B2222),"",'ENGAGEMENTS 2026'!J2222)</f>
        <v/>
      </c>
      <c r="Q2222">
        <f>IF($A2222="","",IF(OR($E2222="INFRUCTUEUX",$E2222="ANNULE"),$A2222&amp;"|"&amp;(COUNTIFS($A$2:$A2222,$A2222,$E$2:$E2222,"INFRUCTUEUX")+COUNTIFS($A$2:$A2222,$A2222,$E$2:$E2222,"ANNULE")),""))</f>
        <v/>
      </c>
    </row>
    <row r="2223">
      <c r="A2223">
        <f>IF(ISBLANK('ENGAGEMENTS 2026'!B2223),"",IF('ENGAGEMENTS 2026'!B2223="DTSI","DCT",'ENGAGEMENTS 2026'!B2223))</f>
        <v/>
      </c>
      <c r="B2223">
        <f>IF(ISBLANK('ENGAGEMENTS 2026'!B2223),"",'ENGAGEMENTS 2026'!C2223)</f>
        <v/>
      </c>
      <c r="C2223">
        <f>IF(ISBLANK('ENGAGEMENTS 2026'!B2223),"",'ENGAGEMENTS 2026'!D2223)</f>
        <v/>
      </c>
      <c r="D2223">
        <f>IF(ISBLANK('ENGAGEMENTS 2026'!B2223),"",'ENGAGEMENTS 2026'!F2223)</f>
        <v/>
      </c>
      <c r="E2223">
        <f>IF(ISBLANK('ENGAGEMENTS 2026'!B2223),"",'ENGAGEMENTS 2026'!H2223)</f>
        <v/>
      </c>
      <c r="F2223">
        <f>IF(ISBLANK('ENGAGEMENTS 2026'!B2223),"",'ENGAGEMENTS 2026'!I2223)</f>
        <v/>
      </c>
      <c r="G2223">
        <f>IF(ISBLANK('ENGAGEMENTS 2026'!B2223),"",'ENGAGEMENTS 2026'!L2223)</f>
        <v/>
      </c>
      <c r="H2223">
        <f>IF(ISBLANK('ENGAGEMENTS 2026'!B2223),"",'ENGAGEMENTS 2026'!AE2223)</f>
        <v/>
      </c>
      <c r="I2223">
        <f>IF(ISBLANK('ENGAGEMENTS 2026'!B2223),"",'ENGAGEMENTS 2026'!G2223)</f>
        <v/>
      </c>
      <c r="J2223" s="275">
        <f>IF(ISBLANK('ENGAGEMENTS 2026'!B2223),"",IF(AND(OR($E2223="INFRUCTUEUX",$E2223="ANNULE"),$C2223="AOO-M"),'ENGAGEMENTS 2026'!O2223,IF($H2223="EN COURS DE PREENGAGEMENT",'ENGAGEMENTS 2026'!N2223,IF($H2223="PREENGAGE",IF($E2223="ATTRIBUE",'ENGAGEMENTS 2026'!AD2223,'ENGAGEMENTS 2026'!N2223),'ENGAGEMENTS 2026'!AD2223))))</f>
        <v/>
      </c>
      <c r="K2223" s="604">
        <f>IF(ISBLANK('ENGAGEMENTS 2026'!V2223),"",'ENGAGEMENTS 2026'!V2223)</f>
        <v/>
      </c>
      <c r="L2223" s="276">
        <f>IF($K2223="","",TODAY()-$K2223)</f>
        <v/>
      </c>
      <c r="M2223">
        <f>IF($A2223="","",IF($H2223="ENGAGE","Engagé",IF(AND($H2223="NON ENGAGE",OR($I2223="INFRUCTUEUX",$I2223="ANNULE")),"Clôturé sans suite","En cours")))</f>
        <v/>
      </c>
      <c r="N2223">
        <f>IF(ISBLANK('ENGAGEMENTS 2026'!B2223),"",'ENGAGEMENTS 2026'!K2223)</f>
        <v/>
      </c>
      <c r="O2223">
        <f>IF(ISBLANK('ENGAGEMENTS 2026'!B2223),"",'ENGAGEMENTS 2026'!L2223)</f>
        <v/>
      </c>
      <c r="P2223">
        <f>IF(ISBLANK('ENGAGEMENTS 2026'!B2223),"",'ENGAGEMENTS 2026'!J2223)</f>
        <v/>
      </c>
      <c r="Q2223">
        <f>IF($A2223="","",IF(OR($E2223="INFRUCTUEUX",$E2223="ANNULE"),$A2223&amp;"|"&amp;(COUNTIFS($A$2:$A2223,$A2223,$E$2:$E2223,"INFRUCTUEUX")+COUNTIFS($A$2:$A2223,$A2223,$E$2:$E2223,"ANNULE")),""))</f>
        <v/>
      </c>
    </row>
    <row r="2224">
      <c r="A2224">
        <f>IF(ISBLANK('ENGAGEMENTS 2026'!B2224),"",IF('ENGAGEMENTS 2026'!B2224="DTSI","DCT",'ENGAGEMENTS 2026'!B2224))</f>
        <v/>
      </c>
      <c r="B2224">
        <f>IF(ISBLANK('ENGAGEMENTS 2026'!B2224),"",'ENGAGEMENTS 2026'!C2224)</f>
        <v/>
      </c>
      <c r="C2224">
        <f>IF(ISBLANK('ENGAGEMENTS 2026'!B2224),"",'ENGAGEMENTS 2026'!D2224)</f>
        <v/>
      </c>
      <c r="D2224">
        <f>IF(ISBLANK('ENGAGEMENTS 2026'!B2224),"",'ENGAGEMENTS 2026'!F2224)</f>
        <v/>
      </c>
      <c r="E2224">
        <f>IF(ISBLANK('ENGAGEMENTS 2026'!B2224),"",'ENGAGEMENTS 2026'!H2224)</f>
        <v/>
      </c>
      <c r="F2224">
        <f>IF(ISBLANK('ENGAGEMENTS 2026'!B2224),"",'ENGAGEMENTS 2026'!I2224)</f>
        <v/>
      </c>
      <c r="G2224">
        <f>IF(ISBLANK('ENGAGEMENTS 2026'!B2224),"",'ENGAGEMENTS 2026'!L2224)</f>
        <v/>
      </c>
      <c r="H2224">
        <f>IF(ISBLANK('ENGAGEMENTS 2026'!B2224),"",'ENGAGEMENTS 2026'!AE2224)</f>
        <v/>
      </c>
      <c r="I2224">
        <f>IF(ISBLANK('ENGAGEMENTS 2026'!B2224),"",'ENGAGEMENTS 2026'!G2224)</f>
        <v/>
      </c>
      <c r="J2224" s="275">
        <f>IF(ISBLANK('ENGAGEMENTS 2026'!B2224),"",IF(AND(OR($E2224="INFRUCTUEUX",$E2224="ANNULE"),$C2224="AOO-M"),'ENGAGEMENTS 2026'!O2224,IF($H2224="EN COURS DE PREENGAGEMENT",'ENGAGEMENTS 2026'!N2224,IF($H2224="PREENGAGE",IF($E2224="ATTRIBUE",'ENGAGEMENTS 2026'!AD2224,'ENGAGEMENTS 2026'!N2224),'ENGAGEMENTS 2026'!AD2224))))</f>
        <v/>
      </c>
      <c r="K2224" s="604">
        <f>IF(ISBLANK('ENGAGEMENTS 2026'!V2224),"",'ENGAGEMENTS 2026'!V2224)</f>
        <v/>
      </c>
      <c r="L2224" s="276">
        <f>IF($K2224="","",TODAY()-$K2224)</f>
        <v/>
      </c>
      <c r="M2224">
        <f>IF($A2224="","",IF($H2224="ENGAGE","Engagé",IF(AND($H2224="NON ENGAGE",OR($I2224="INFRUCTUEUX",$I2224="ANNULE")),"Clôturé sans suite","En cours")))</f>
        <v/>
      </c>
      <c r="N2224">
        <f>IF(ISBLANK('ENGAGEMENTS 2026'!B2224),"",'ENGAGEMENTS 2026'!K2224)</f>
        <v/>
      </c>
      <c r="O2224">
        <f>IF(ISBLANK('ENGAGEMENTS 2026'!B2224),"",'ENGAGEMENTS 2026'!L2224)</f>
        <v/>
      </c>
      <c r="P2224">
        <f>IF(ISBLANK('ENGAGEMENTS 2026'!B2224),"",'ENGAGEMENTS 2026'!J2224)</f>
        <v/>
      </c>
      <c r="Q2224">
        <f>IF($A2224="","",IF(OR($E2224="INFRUCTUEUX",$E2224="ANNULE"),$A2224&amp;"|"&amp;(COUNTIFS($A$2:$A2224,$A2224,$E$2:$E2224,"INFRUCTUEUX")+COUNTIFS($A$2:$A2224,$A2224,$E$2:$E2224,"ANNULE")),""))</f>
        <v/>
      </c>
    </row>
    <row r="2225">
      <c r="A2225">
        <f>IF(ISBLANK('ENGAGEMENTS 2026'!B2225),"",IF('ENGAGEMENTS 2026'!B2225="DTSI","DCT",'ENGAGEMENTS 2026'!B2225))</f>
        <v/>
      </c>
      <c r="B2225">
        <f>IF(ISBLANK('ENGAGEMENTS 2026'!B2225),"",'ENGAGEMENTS 2026'!C2225)</f>
        <v/>
      </c>
      <c r="C2225">
        <f>IF(ISBLANK('ENGAGEMENTS 2026'!B2225),"",'ENGAGEMENTS 2026'!D2225)</f>
        <v/>
      </c>
      <c r="D2225">
        <f>IF(ISBLANK('ENGAGEMENTS 2026'!B2225),"",'ENGAGEMENTS 2026'!F2225)</f>
        <v/>
      </c>
      <c r="E2225">
        <f>IF(ISBLANK('ENGAGEMENTS 2026'!B2225),"",'ENGAGEMENTS 2026'!H2225)</f>
        <v/>
      </c>
      <c r="F2225">
        <f>IF(ISBLANK('ENGAGEMENTS 2026'!B2225),"",'ENGAGEMENTS 2026'!I2225)</f>
        <v/>
      </c>
      <c r="G2225">
        <f>IF(ISBLANK('ENGAGEMENTS 2026'!B2225),"",'ENGAGEMENTS 2026'!L2225)</f>
        <v/>
      </c>
      <c r="H2225">
        <f>IF(ISBLANK('ENGAGEMENTS 2026'!B2225),"",'ENGAGEMENTS 2026'!AE2225)</f>
        <v/>
      </c>
      <c r="I2225">
        <f>IF(ISBLANK('ENGAGEMENTS 2026'!B2225),"",'ENGAGEMENTS 2026'!G2225)</f>
        <v/>
      </c>
      <c r="J2225" s="275">
        <f>IF(ISBLANK('ENGAGEMENTS 2026'!B2225),"",IF(AND(OR($E2225="INFRUCTUEUX",$E2225="ANNULE"),$C2225="AOO-M"),'ENGAGEMENTS 2026'!O2225,IF($H2225="EN COURS DE PREENGAGEMENT",'ENGAGEMENTS 2026'!N2225,IF($H2225="PREENGAGE",IF($E2225="ATTRIBUE",'ENGAGEMENTS 2026'!AD2225,'ENGAGEMENTS 2026'!N2225),'ENGAGEMENTS 2026'!AD2225))))</f>
        <v/>
      </c>
      <c r="K2225" s="604">
        <f>IF(ISBLANK('ENGAGEMENTS 2026'!V2225),"",'ENGAGEMENTS 2026'!V2225)</f>
        <v/>
      </c>
      <c r="L2225" s="276">
        <f>IF($K2225="","",TODAY()-$K2225)</f>
        <v/>
      </c>
      <c r="M2225">
        <f>IF($A2225="","",IF($H2225="ENGAGE","Engagé",IF(AND($H2225="NON ENGAGE",OR($I2225="INFRUCTUEUX",$I2225="ANNULE")),"Clôturé sans suite","En cours")))</f>
        <v/>
      </c>
      <c r="N2225">
        <f>IF(ISBLANK('ENGAGEMENTS 2026'!B2225),"",'ENGAGEMENTS 2026'!K2225)</f>
        <v/>
      </c>
      <c r="O2225">
        <f>IF(ISBLANK('ENGAGEMENTS 2026'!B2225),"",'ENGAGEMENTS 2026'!L2225)</f>
        <v/>
      </c>
      <c r="P2225">
        <f>IF(ISBLANK('ENGAGEMENTS 2026'!B2225),"",'ENGAGEMENTS 2026'!J2225)</f>
        <v/>
      </c>
      <c r="Q2225">
        <f>IF($A2225="","",IF(OR($E2225="INFRUCTUEUX",$E2225="ANNULE"),$A2225&amp;"|"&amp;(COUNTIFS($A$2:$A2225,$A2225,$E$2:$E2225,"INFRUCTUEUX")+COUNTIFS($A$2:$A2225,$A2225,$E$2:$E2225,"ANNULE")),""))</f>
        <v/>
      </c>
    </row>
    <row r="2226">
      <c r="A2226">
        <f>IF(ISBLANK('ENGAGEMENTS 2026'!B2226),"",IF('ENGAGEMENTS 2026'!B2226="DTSI","DCT",'ENGAGEMENTS 2026'!B2226))</f>
        <v/>
      </c>
      <c r="B2226">
        <f>IF(ISBLANK('ENGAGEMENTS 2026'!B2226),"",'ENGAGEMENTS 2026'!C2226)</f>
        <v/>
      </c>
      <c r="C2226">
        <f>IF(ISBLANK('ENGAGEMENTS 2026'!B2226),"",'ENGAGEMENTS 2026'!D2226)</f>
        <v/>
      </c>
      <c r="D2226">
        <f>IF(ISBLANK('ENGAGEMENTS 2026'!B2226),"",'ENGAGEMENTS 2026'!F2226)</f>
        <v/>
      </c>
      <c r="E2226">
        <f>IF(ISBLANK('ENGAGEMENTS 2026'!B2226),"",'ENGAGEMENTS 2026'!H2226)</f>
        <v/>
      </c>
      <c r="F2226">
        <f>IF(ISBLANK('ENGAGEMENTS 2026'!B2226),"",'ENGAGEMENTS 2026'!I2226)</f>
        <v/>
      </c>
      <c r="G2226">
        <f>IF(ISBLANK('ENGAGEMENTS 2026'!B2226),"",'ENGAGEMENTS 2026'!L2226)</f>
        <v/>
      </c>
      <c r="H2226">
        <f>IF(ISBLANK('ENGAGEMENTS 2026'!B2226),"",'ENGAGEMENTS 2026'!AE2226)</f>
        <v/>
      </c>
      <c r="I2226">
        <f>IF(ISBLANK('ENGAGEMENTS 2026'!B2226),"",'ENGAGEMENTS 2026'!G2226)</f>
        <v/>
      </c>
      <c r="J2226" s="275">
        <f>IF(ISBLANK('ENGAGEMENTS 2026'!B2226),"",IF(AND(OR($E2226="INFRUCTUEUX",$E2226="ANNULE"),$C2226="AOO-M"),'ENGAGEMENTS 2026'!O2226,IF($H2226="EN COURS DE PREENGAGEMENT",'ENGAGEMENTS 2026'!N2226,IF($H2226="PREENGAGE",IF($E2226="ATTRIBUE",'ENGAGEMENTS 2026'!AD2226,'ENGAGEMENTS 2026'!N2226),'ENGAGEMENTS 2026'!AD2226))))</f>
        <v/>
      </c>
      <c r="K2226" s="604">
        <f>IF(ISBLANK('ENGAGEMENTS 2026'!V2226),"",'ENGAGEMENTS 2026'!V2226)</f>
        <v/>
      </c>
      <c r="L2226" s="276">
        <f>IF($K2226="","",TODAY()-$K2226)</f>
        <v/>
      </c>
      <c r="M2226">
        <f>IF($A2226="","",IF($H2226="ENGAGE","Engagé",IF(AND($H2226="NON ENGAGE",OR($I2226="INFRUCTUEUX",$I2226="ANNULE")),"Clôturé sans suite","En cours")))</f>
        <v/>
      </c>
      <c r="N2226">
        <f>IF(ISBLANK('ENGAGEMENTS 2026'!B2226),"",'ENGAGEMENTS 2026'!K2226)</f>
        <v/>
      </c>
      <c r="O2226">
        <f>IF(ISBLANK('ENGAGEMENTS 2026'!B2226),"",'ENGAGEMENTS 2026'!L2226)</f>
        <v/>
      </c>
      <c r="P2226">
        <f>IF(ISBLANK('ENGAGEMENTS 2026'!B2226),"",'ENGAGEMENTS 2026'!J2226)</f>
        <v/>
      </c>
      <c r="Q2226">
        <f>IF($A2226="","",IF(OR($E2226="INFRUCTUEUX",$E2226="ANNULE"),$A2226&amp;"|"&amp;(COUNTIFS($A$2:$A2226,$A2226,$E$2:$E2226,"INFRUCTUEUX")+COUNTIFS($A$2:$A2226,$A2226,$E$2:$E2226,"ANNULE")),""))</f>
        <v/>
      </c>
    </row>
    <row r="2227">
      <c r="A2227">
        <f>IF(ISBLANK('ENGAGEMENTS 2026'!B2227),"",IF('ENGAGEMENTS 2026'!B2227="DTSI","DCT",'ENGAGEMENTS 2026'!B2227))</f>
        <v/>
      </c>
      <c r="B2227">
        <f>IF(ISBLANK('ENGAGEMENTS 2026'!B2227),"",'ENGAGEMENTS 2026'!C2227)</f>
        <v/>
      </c>
      <c r="C2227">
        <f>IF(ISBLANK('ENGAGEMENTS 2026'!B2227),"",'ENGAGEMENTS 2026'!D2227)</f>
        <v/>
      </c>
      <c r="D2227">
        <f>IF(ISBLANK('ENGAGEMENTS 2026'!B2227),"",'ENGAGEMENTS 2026'!F2227)</f>
        <v/>
      </c>
      <c r="E2227">
        <f>IF(ISBLANK('ENGAGEMENTS 2026'!B2227),"",'ENGAGEMENTS 2026'!H2227)</f>
        <v/>
      </c>
      <c r="F2227">
        <f>IF(ISBLANK('ENGAGEMENTS 2026'!B2227),"",'ENGAGEMENTS 2026'!I2227)</f>
        <v/>
      </c>
      <c r="G2227">
        <f>IF(ISBLANK('ENGAGEMENTS 2026'!B2227),"",'ENGAGEMENTS 2026'!L2227)</f>
        <v/>
      </c>
      <c r="H2227">
        <f>IF(ISBLANK('ENGAGEMENTS 2026'!B2227),"",'ENGAGEMENTS 2026'!AE2227)</f>
        <v/>
      </c>
      <c r="I2227">
        <f>IF(ISBLANK('ENGAGEMENTS 2026'!B2227),"",'ENGAGEMENTS 2026'!G2227)</f>
        <v/>
      </c>
      <c r="J2227" s="275">
        <f>IF(ISBLANK('ENGAGEMENTS 2026'!B2227),"",IF(AND(OR($E2227="INFRUCTUEUX",$E2227="ANNULE"),$C2227="AOO-M"),'ENGAGEMENTS 2026'!O2227,IF($H2227="EN COURS DE PREENGAGEMENT",'ENGAGEMENTS 2026'!N2227,IF($H2227="PREENGAGE",IF($E2227="ATTRIBUE",'ENGAGEMENTS 2026'!AD2227,'ENGAGEMENTS 2026'!N2227),'ENGAGEMENTS 2026'!AD2227))))</f>
        <v/>
      </c>
      <c r="K2227" s="604">
        <f>IF(ISBLANK('ENGAGEMENTS 2026'!V2227),"",'ENGAGEMENTS 2026'!V2227)</f>
        <v/>
      </c>
      <c r="L2227" s="276">
        <f>IF($K2227="","",TODAY()-$K2227)</f>
        <v/>
      </c>
      <c r="M2227">
        <f>IF($A2227="","",IF($H2227="ENGAGE","Engagé",IF(AND($H2227="NON ENGAGE",OR($I2227="INFRUCTUEUX",$I2227="ANNULE")),"Clôturé sans suite","En cours")))</f>
        <v/>
      </c>
      <c r="N2227">
        <f>IF(ISBLANK('ENGAGEMENTS 2026'!B2227),"",'ENGAGEMENTS 2026'!K2227)</f>
        <v/>
      </c>
      <c r="O2227">
        <f>IF(ISBLANK('ENGAGEMENTS 2026'!B2227),"",'ENGAGEMENTS 2026'!L2227)</f>
        <v/>
      </c>
      <c r="P2227">
        <f>IF(ISBLANK('ENGAGEMENTS 2026'!B2227),"",'ENGAGEMENTS 2026'!J2227)</f>
        <v/>
      </c>
      <c r="Q2227">
        <f>IF($A2227="","",IF(OR($E2227="INFRUCTUEUX",$E2227="ANNULE"),$A2227&amp;"|"&amp;(COUNTIFS($A$2:$A2227,$A2227,$E$2:$E2227,"INFRUCTUEUX")+COUNTIFS($A$2:$A2227,$A2227,$E$2:$E2227,"ANNULE")),""))</f>
        <v/>
      </c>
    </row>
    <row r="2228">
      <c r="A2228">
        <f>IF(ISBLANK('ENGAGEMENTS 2026'!B2228),"",IF('ENGAGEMENTS 2026'!B2228="DTSI","DCT",'ENGAGEMENTS 2026'!B2228))</f>
        <v/>
      </c>
      <c r="B2228">
        <f>IF(ISBLANK('ENGAGEMENTS 2026'!B2228),"",'ENGAGEMENTS 2026'!C2228)</f>
        <v/>
      </c>
      <c r="C2228">
        <f>IF(ISBLANK('ENGAGEMENTS 2026'!B2228),"",'ENGAGEMENTS 2026'!D2228)</f>
        <v/>
      </c>
      <c r="D2228">
        <f>IF(ISBLANK('ENGAGEMENTS 2026'!B2228),"",'ENGAGEMENTS 2026'!F2228)</f>
        <v/>
      </c>
      <c r="E2228">
        <f>IF(ISBLANK('ENGAGEMENTS 2026'!B2228),"",'ENGAGEMENTS 2026'!H2228)</f>
        <v/>
      </c>
      <c r="F2228">
        <f>IF(ISBLANK('ENGAGEMENTS 2026'!B2228),"",'ENGAGEMENTS 2026'!I2228)</f>
        <v/>
      </c>
      <c r="G2228">
        <f>IF(ISBLANK('ENGAGEMENTS 2026'!B2228),"",'ENGAGEMENTS 2026'!L2228)</f>
        <v/>
      </c>
      <c r="H2228">
        <f>IF(ISBLANK('ENGAGEMENTS 2026'!B2228),"",'ENGAGEMENTS 2026'!AE2228)</f>
        <v/>
      </c>
      <c r="I2228">
        <f>IF(ISBLANK('ENGAGEMENTS 2026'!B2228),"",'ENGAGEMENTS 2026'!G2228)</f>
        <v/>
      </c>
      <c r="J2228" s="275">
        <f>IF(ISBLANK('ENGAGEMENTS 2026'!B2228),"",IF(AND(OR($E2228="INFRUCTUEUX",$E2228="ANNULE"),$C2228="AOO-M"),'ENGAGEMENTS 2026'!O2228,IF($H2228="EN COURS DE PREENGAGEMENT",'ENGAGEMENTS 2026'!N2228,IF($H2228="PREENGAGE",IF($E2228="ATTRIBUE",'ENGAGEMENTS 2026'!AD2228,'ENGAGEMENTS 2026'!N2228),'ENGAGEMENTS 2026'!AD2228))))</f>
        <v/>
      </c>
      <c r="K2228" s="604">
        <f>IF(ISBLANK('ENGAGEMENTS 2026'!V2228),"",'ENGAGEMENTS 2026'!V2228)</f>
        <v/>
      </c>
      <c r="L2228" s="276">
        <f>IF($K2228="","",TODAY()-$K2228)</f>
        <v/>
      </c>
      <c r="M2228">
        <f>IF($A2228="","",IF($H2228="ENGAGE","Engagé",IF(AND($H2228="NON ENGAGE",OR($I2228="INFRUCTUEUX",$I2228="ANNULE")),"Clôturé sans suite","En cours")))</f>
        <v/>
      </c>
      <c r="N2228">
        <f>IF(ISBLANK('ENGAGEMENTS 2026'!B2228),"",'ENGAGEMENTS 2026'!K2228)</f>
        <v/>
      </c>
      <c r="O2228">
        <f>IF(ISBLANK('ENGAGEMENTS 2026'!B2228),"",'ENGAGEMENTS 2026'!L2228)</f>
        <v/>
      </c>
      <c r="P2228">
        <f>IF(ISBLANK('ENGAGEMENTS 2026'!B2228),"",'ENGAGEMENTS 2026'!J2228)</f>
        <v/>
      </c>
      <c r="Q2228">
        <f>IF($A2228="","",IF(OR($E2228="INFRUCTUEUX",$E2228="ANNULE"),$A2228&amp;"|"&amp;(COUNTIFS($A$2:$A2228,$A2228,$E$2:$E2228,"INFRUCTUEUX")+COUNTIFS($A$2:$A2228,$A2228,$E$2:$E2228,"ANNULE")),""))</f>
        <v/>
      </c>
    </row>
    <row r="2229">
      <c r="A2229">
        <f>IF(ISBLANK('ENGAGEMENTS 2026'!B2229),"",IF('ENGAGEMENTS 2026'!B2229="DTSI","DCT",'ENGAGEMENTS 2026'!B2229))</f>
        <v/>
      </c>
      <c r="B2229">
        <f>IF(ISBLANK('ENGAGEMENTS 2026'!B2229),"",'ENGAGEMENTS 2026'!C2229)</f>
        <v/>
      </c>
      <c r="C2229">
        <f>IF(ISBLANK('ENGAGEMENTS 2026'!B2229),"",'ENGAGEMENTS 2026'!D2229)</f>
        <v/>
      </c>
      <c r="D2229">
        <f>IF(ISBLANK('ENGAGEMENTS 2026'!B2229),"",'ENGAGEMENTS 2026'!F2229)</f>
        <v/>
      </c>
      <c r="E2229">
        <f>IF(ISBLANK('ENGAGEMENTS 2026'!B2229),"",'ENGAGEMENTS 2026'!H2229)</f>
        <v/>
      </c>
      <c r="F2229">
        <f>IF(ISBLANK('ENGAGEMENTS 2026'!B2229),"",'ENGAGEMENTS 2026'!I2229)</f>
        <v/>
      </c>
      <c r="G2229">
        <f>IF(ISBLANK('ENGAGEMENTS 2026'!B2229),"",'ENGAGEMENTS 2026'!L2229)</f>
        <v/>
      </c>
      <c r="H2229">
        <f>IF(ISBLANK('ENGAGEMENTS 2026'!B2229),"",'ENGAGEMENTS 2026'!AE2229)</f>
        <v/>
      </c>
      <c r="I2229">
        <f>IF(ISBLANK('ENGAGEMENTS 2026'!B2229),"",'ENGAGEMENTS 2026'!G2229)</f>
        <v/>
      </c>
      <c r="J2229" s="275">
        <f>IF(ISBLANK('ENGAGEMENTS 2026'!B2229),"",IF(AND(OR($E2229="INFRUCTUEUX",$E2229="ANNULE"),$C2229="AOO-M"),'ENGAGEMENTS 2026'!O2229,IF($H2229="EN COURS DE PREENGAGEMENT",'ENGAGEMENTS 2026'!N2229,IF($H2229="PREENGAGE",IF($E2229="ATTRIBUE",'ENGAGEMENTS 2026'!AD2229,'ENGAGEMENTS 2026'!N2229),'ENGAGEMENTS 2026'!AD2229))))</f>
        <v/>
      </c>
      <c r="K2229" s="604">
        <f>IF(ISBLANK('ENGAGEMENTS 2026'!V2229),"",'ENGAGEMENTS 2026'!V2229)</f>
        <v/>
      </c>
      <c r="L2229" s="276">
        <f>IF($K2229="","",TODAY()-$K2229)</f>
        <v/>
      </c>
      <c r="M2229">
        <f>IF($A2229="","",IF($H2229="ENGAGE","Engagé",IF(AND($H2229="NON ENGAGE",OR($I2229="INFRUCTUEUX",$I2229="ANNULE")),"Clôturé sans suite","En cours")))</f>
        <v/>
      </c>
      <c r="N2229">
        <f>IF(ISBLANK('ENGAGEMENTS 2026'!B2229),"",'ENGAGEMENTS 2026'!K2229)</f>
        <v/>
      </c>
      <c r="O2229">
        <f>IF(ISBLANK('ENGAGEMENTS 2026'!B2229),"",'ENGAGEMENTS 2026'!L2229)</f>
        <v/>
      </c>
      <c r="P2229">
        <f>IF(ISBLANK('ENGAGEMENTS 2026'!B2229),"",'ENGAGEMENTS 2026'!J2229)</f>
        <v/>
      </c>
      <c r="Q2229">
        <f>IF($A2229="","",IF(OR($E2229="INFRUCTUEUX",$E2229="ANNULE"),$A2229&amp;"|"&amp;(COUNTIFS($A$2:$A2229,$A2229,$E$2:$E2229,"INFRUCTUEUX")+COUNTIFS($A$2:$A2229,$A2229,$E$2:$E2229,"ANNULE")),""))</f>
        <v/>
      </c>
    </row>
    <row r="2230">
      <c r="A2230">
        <f>IF(ISBLANK('ENGAGEMENTS 2026'!B2230),"",IF('ENGAGEMENTS 2026'!B2230="DTSI","DCT",'ENGAGEMENTS 2026'!B2230))</f>
        <v/>
      </c>
      <c r="B2230">
        <f>IF(ISBLANK('ENGAGEMENTS 2026'!B2230),"",'ENGAGEMENTS 2026'!C2230)</f>
        <v/>
      </c>
      <c r="C2230">
        <f>IF(ISBLANK('ENGAGEMENTS 2026'!B2230),"",'ENGAGEMENTS 2026'!D2230)</f>
        <v/>
      </c>
      <c r="D2230">
        <f>IF(ISBLANK('ENGAGEMENTS 2026'!B2230),"",'ENGAGEMENTS 2026'!F2230)</f>
        <v/>
      </c>
      <c r="E2230">
        <f>IF(ISBLANK('ENGAGEMENTS 2026'!B2230),"",'ENGAGEMENTS 2026'!H2230)</f>
        <v/>
      </c>
      <c r="F2230">
        <f>IF(ISBLANK('ENGAGEMENTS 2026'!B2230),"",'ENGAGEMENTS 2026'!I2230)</f>
        <v/>
      </c>
      <c r="G2230">
        <f>IF(ISBLANK('ENGAGEMENTS 2026'!B2230),"",'ENGAGEMENTS 2026'!L2230)</f>
        <v/>
      </c>
      <c r="H2230">
        <f>IF(ISBLANK('ENGAGEMENTS 2026'!B2230),"",'ENGAGEMENTS 2026'!AE2230)</f>
        <v/>
      </c>
      <c r="I2230">
        <f>IF(ISBLANK('ENGAGEMENTS 2026'!B2230),"",'ENGAGEMENTS 2026'!G2230)</f>
        <v/>
      </c>
      <c r="J2230" s="275">
        <f>IF(ISBLANK('ENGAGEMENTS 2026'!B2230),"",IF(AND(OR($E2230="INFRUCTUEUX",$E2230="ANNULE"),$C2230="AOO-M"),'ENGAGEMENTS 2026'!O2230,IF($H2230="EN COURS DE PREENGAGEMENT",'ENGAGEMENTS 2026'!N2230,IF($H2230="PREENGAGE",IF($E2230="ATTRIBUE",'ENGAGEMENTS 2026'!AD2230,'ENGAGEMENTS 2026'!N2230),'ENGAGEMENTS 2026'!AD2230))))</f>
        <v/>
      </c>
      <c r="K2230" s="604">
        <f>IF(ISBLANK('ENGAGEMENTS 2026'!V2230),"",'ENGAGEMENTS 2026'!V2230)</f>
        <v/>
      </c>
      <c r="L2230" s="276">
        <f>IF($K2230="","",TODAY()-$K2230)</f>
        <v/>
      </c>
      <c r="M2230">
        <f>IF($A2230="","",IF($H2230="ENGAGE","Engagé",IF(AND($H2230="NON ENGAGE",OR($I2230="INFRUCTUEUX",$I2230="ANNULE")),"Clôturé sans suite","En cours")))</f>
        <v/>
      </c>
      <c r="N2230">
        <f>IF(ISBLANK('ENGAGEMENTS 2026'!B2230),"",'ENGAGEMENTS 2026'!K2230)</f>
        <v/>
      </c>
      <c r="O2230">
        <f>IF(ISBLANK('ENGAGEMENTS 2026'!B2230),"",'ENGAGEMENTS 2026'!L2230)</f>
        <v/>
      </c>
      <c r="P2230">
        <f>IF(ISBLANK('ENGAGEMENTS 2026'!B2230),"",'ENGAGEMENTS 2026'!J2230)</f>
        <v/>
      </c>
      <c r="Q2230">
        <f>IF($A2230="","",IF(OR($E2230="INFRUCTUEUX",$E2230="ANNULE"),$A2230&amp;"|"&amp;(COUNTIFS($A$2:$A2230,$A2230,$E$2:$E2230,"INFRUCTUEUX")+COUNTIFS($A$2:$A2230,$A2230,$E$2:$E2230,"ANNULE")),""))</f>
        <v/>
      </c>
    </row>
    <row r="2231">
      <c r="A2231">
        <f>IF(ISBLANK('ENGAGEMENTS 2026'!B2231),"",IF('ENGAGEMENTS 2026'!B2231="DTSI","DCT",'ENGAGEMENTS 2026'!B2231))</f>
        <v/>
      </c>
      <c r="B2231">
        <f>IF(ISBLANK('ENGAGEMENTS 2026'!B2231),"",'ENGAGEMENTS 2026'!C2231)</f>
        <v/>
      </c>
      <c r="C2231">
        <f>IF(ISBLANK('ENGAGEMENTS 2026'!B2231),"",'ENGAGEMENTS 2026'!D2231)</f>
        <v/>
      </c>
      <c r="D2231">
        <f>IF(ISBLANK('ENGAGEMENTS 2026'!B2231),"",'ENGAGEMENTS 2026'!F2231)</f>
        <v/>
      </c>
      <c r="E2231">
        <f>IF(ISBLANK('ENGAGEMENTS 2026'!B2231),"",'ENGAGEMENTS 2026'!H2231)</f>
        <v/>
      </c>
      <c r="F2231">
        <f>IF(ISBLANK('ENGAGEMENTS 2026'!B2231),"",'ENGAGEMENTS 2026'!I2231)</f>
        <v/>
      </c>
      <c r="G2231">
        <f>IF(ISBLANK('ENGAGEMENTS 2026'!B2231),"",'ENGAGEMENTS 2026'!L2231)</f>
        <v/>
      </c>
      <c r="H2231">
        <f>IF(ISBLANK('ENGAGEMENTS 2026'!B2231),"",'ENGAGEMENTS 2026'!AE2231)</f>
        <v/>
      </c>
      <c r="I2231">
        <f>IF(ISBLANK('ENGAGEMENTS 2026'!B2231),"",'ENGAGEMENTS 2026'!G2231)</f>
        <v/>
      </c>
      <c r="J2231" s="275">
        <f>IF(ISBLANK('ENGAGEMENTS 2026'!B2231),"",IF(AND(OR($E2231="INFRUCTUEUX",$E2231="ANNULE"),$C2231="AOO-M"),'ENGAGEMENTS 2026'!O2231,IF($H2231="EN COURS DE PREENGAGEMENT",'ENGAGEMENTS 2026'!N2231,IF($H2231="PREENGAGE",IF($E2231="ATTRIBUE",'ENGAGEMENTS 2026'!AD2231,'ENGAGEMENTS 2026'!N2231),'ENGAGEMENTS 2026'!AD2231))))</f>
        <v/>
      </c>
      <c r="K2231" s="604">
        <f>IF(ISBLANK('ENGAGEMENTS 2026'!V2231),"",'ENGAGEMENTS 2026'!V2231)</f>
        <v/>
      </c>
      <c r="L2231" s="276">
        <f>IF($K2231="","",TODAY()-$K2231)</f>
        <v/>
      </c>
      <c r="M2231">
        <f>IF($A2231="","",IF($H2231="ENGAGE","Engagé",IF(AND($H2231="NON ENGAGE",OR($I2231="INFRUCTUEUX",$I2231="ANNULE")),"Clôturé sans suite","En cours")))</f>
        <v/>
      </c>
      <c r="N2231">
        <f>IF(ISBLANK('ENGAGEMENTS 2026'!B2231),"",'ENGAGEMENTS 2026'!K2231)</f>
        <v/>
      </c>
      <c r="O2231">
        <f>IF(ISBLANK('ENGAGEMENTS 2026'!B2231),"",'ENGAGEMENTS 2026'!L2231)</f>
        <v/>
      </c>
      <c r="P2231">
        <f>IF(ISBLANK('ENGAGEMENTS 2026'!B2231),"",'ENGAGEMENTS 2026'!J2231)</f>
        <v/>
      </c>
      <c r="Q2231">
        <f>IF($A2231="","",IF(OR($E2231="INFRUCTUEUX",$E2231="ANNULE"),$A2231&amp;"|"&amp;(COUNTIFS($A$2:$A2231,$A2231,$E$2:$E2231,"INFRUCTUEUX")+COUNTIFS($A$2:$A2231,$A2231,$E$2:$E2231,"ANNULE")),""))</f>
        <v/>
      </c>
    </row>
    <row r="2232">
      <c r="A2232">
        <f>IF(ISBLANK('ENGAGEMENTS 2026'!B2232),"",IF('ENGAGEMENTS 2026'!B2232="DTSI","DCT",'ENGAGEMENTS 2026'!B2232))</f>
        <v/>
      </c>
      <c r="B2232">
        <f>IF(ISBLANK('ENGAGEMENTS 2026'!B2232),"",'ENGAGEMENTS 2026'!C2232)</f>
        <v/>
      </c>
      <c r="C2232">
        <f>IF(ISBLANK('ENGAGEMENTS 2026'!B2232),"",'ENGAGEMENTS 2026'!D2232)</f>
        <v/>
      </c>
      <c r="D2232">
        <f>IF(ISBLANK('ENGAGEMENTS 2026'!B2232),"",'ENGAGEMENTS 2026'!F2232)</f>
        <v/>
      </c>
      <c r="E2232">
        <f>IF(ISBLANK('ENGAGEMENTS 2026'!B2232),"",'ENGAGEMENTS 2026'!H2232)</f>
        <v/>
      </c>
      <c r="F2232">
        <f>IF(ISBLANK('ENGAGEMENTS 2026'!B2232),"",'ENGAGEMENTS 2026'!I2232)</f>
        <v/>
      </c>
      <c r="G2232">
        <f>IF(ISBLANK('ENGAGEMENTS 2026'!B2232),"",'ENGAGEMENTS 2026'!L2232)</f>
        <v/>
      </c>
      <c r="H2232">
        <f>IF(ISBLANK('ENGAGEMENTS 2026'!B2232),"",'ENGAGEMENTS 2026'!AE2232)</f>
        <v/>
      </c>
      <c r="I2232">
        <f>IF(ISBLANK('ENGAGEMENTS 2026'!B2232),"",'ENGAGEMENTS 2026'!G2232)</f>
        <v/>
      </c>
      <c r="J2232" s="275">
        <f>IF(ISBLANK('ENGAGEMENTS 2026'!B2232),"",IF(AND(OR($E2232="INFRUCTUEUX",$E2232="ANNULE"),$C2232="AOO-M"),'ENGAGEMENTS 2026'!O2232,IF($H2232="EN COURS DE PREENGAGEMENT",'ENGAGEMENTS 2026'!N2232,IF($H2232="PREENGAGE",IF($E2232="ATTRIBUE",'ENGAGEMENTS 2026'!AD2232,'ENGAGEMENTS 2026'!N2232),'ENGAGEMENTS 2026'!AD2232))))</f>
        <v/>
      </c>
      <c r="K2232" s="604">
        <f>IF(ISBLANK('ENGAGEMENTS 2026'!V2232),"",'ENGAGEMENTS 2026'!V2232)</f>
        <v/>
      </c>
      <c r="L2232" s="276">
        <f>IF($K2232="","",TODAY()-$K2232)</f>
        <v/>
      </c>
      <c r="M2232">
        <f>IF($A2232="","",IF($H2232="ENGAGE","Engagé",IF(AND($H2232="NON ENGAGE",OR($I2232="INFRUCTUEUX",$I2232="ANNULE")),"Clôturé sans suite","En cours")))</f>
        <v/>
      </c>
      <c r="N2232">
        <f>IF(ISBLANK('ENGAGEMENTS 2026'!B2232),"",'ENGAGEMENTS 2026'!K2232)</f>
        <v/>
      </c>
      <c r="O2232">
        <f>IF(ISBLANK('ENGAGEMENTS 2026'!B2232),"",'ENGAGEMENTS 2026'!L2232)</f>
        <v/>
      </c>
      <c r="P2232">
        <f>IF(ISBLANK('ENGAGEMENTS 2026'!B2232),"",'ENGAGEMENTS 2026'!J2232)</f>
        <v/>
      </c>
      <c r="Q2232">
        <f>IF($A2232="","",IF(OR($E2232="INFRUCTUEUX",$E2232="ANNULE"),$A2232&amp;"|"&amp;(COUNTIFS($A$2:$A2232,$A2232,$E$2:$E2232,"INFRUCTUEUX")+COUNTIFS($A$2:$A2232,$A2232,$E$2:$E2232,"ANNULE")),""))</f>
        <v/>
      </c>
    </row>
    <row r="2233">
      <c r="A2233">
        <f>IF(ISBLANK('ENGAGEMENTS 2026'!B2233),"",IF('ENGAGEMENTS 2026'!B2233="DTSI","DCT",'ENGAGEMENTS 2026'!B2233))</f>
        <v/>
      </c>
      <c r="B2233">
        <f>IF(ISBLANK('ENGAGEMENTS 2026'!B2233),"",'ENGAGEMENTS 2026'!C2233)</f>
        <v/>
      </c>
      <c r="C2233">
        <f>IF(ISBLANK('ENGAGEMENTS 2026'!B2233),"",'ENGAGEMENTS 2026'!D2233)</f>
        <v/>
      </c>
      <c r="D2233">
        <f>IF(ISBLANK('ENGAGEMENTS 2026'!B2233),"",'ENGAGEMENTS 2026'!F2233)</f>
        <v/>
      </c>
      <c r="E2233">
        <f>IF(ISBLANK('ENGAGEMENTS 2026'!B2233),"",'ENGAGEMENTS 2026'!H2233)</f>
        <v/>
      </c>
      <c r="F2233">
        <f>IF(ISBLANK('ENGAGEMENTS 2026'!B2233),"",'ENGAGEMENTS 2026'!I2233)</f>
        <v/>
      </c>
      <c r="G2233">
        <f>IF(ISBLANK('ENGAGEMENTS 2026'!B2233),"",'ENGAGEMENTS 2026'!L2233)</f>
        <v/>
      </c>
      <c r="H2233">
        <f>IF(ISBLANK('ENGAGEMENTS 2026'!B2233),"",'ENGAGEMENTS 2026'!AE2233)</f>
        <v/>
      </c>
      <c r="I2233">
        <f>IF(ISBLANK('ENGAGEMENTS 2026'!B2233),"",'ENGAGEMENTS 2026'!G2233)</f>
        <v/>
      </c>
      <c r="J2233" s="275">
        <f>IF(ISBLANK('ENGAGEMENTS 2026'!B2233),"",IF(AND(OR($E2233="INFRUCTUEUX",$E2233="ANNULE"),$C2233="AOO-M"),'ENGAGEMENTS 2026'!O2233,IF($H2233="EN COURS DE PREENGAGEMENT",'ENGAGEMENTS 2026'!N2233,IF($H2233="PREENGAGE",IF($E2233="ATTRIBUE",'ENGAGEMENTS 2026'!AD2233,'ENGAGEMENTS 2026'!N2233),'ENGAGEMENTS 2026'!AD2233))))</f>
        <v/>
      </c>
      <c r="K2233" s="604">
        <f>IF(ISBLANK('ENGAGEMENTS 2026'!V2233),"",'ENGAGEMENTS 2026'!V2233)</f>
        <v/>
      </c>
      <c r="L2233" s="276">
        <f>IF($K2233="","",TODAY()-$K2233)</f>
        <v/>
      </c>
      <c r="M2233">
        <f>IF($A2233="","",IF($H2233="ENGAGE","Engagé",IF(AND($H2233="NON ENGAGE",OR($I2233="INFRUCTUEUX",$I2233="ANNULE")),"Clôturé sans suite","En cours")))</f>
        <v/>
      </c>
      <c r="N2233">
        <f>IF(ISBLANK('ENGAGEMENTS 2026'!B2233),"",'ENGAGEMENTS 2026'!K2233)</f>
        <v/>
      </c>
      <c r="O2233">
        <f>IF(ISBLANK('ENGAGEMENTS 2026'!B2233),"",'ENGAGEMENTS 2026'!L2233)</f>
        <v/>
      </c>
      <c r="P2233">
        <f>IF(ISBLANK('ENGAGEMENTS 2026'!B2233),"",'ENGAGEMENTS 2026'!J2233)</f>
        <v/>
      </c>
      <c r="Q2233">
        <f>IF($A2233="","",IF(OR($E2233="INFRUCTUEUX",$E2233="ANNULE"),$A2233&amp;"|"&amp;(COUNTIFS($A$2:$A2233,$A2233,$E$2:$E2233,"INFRUCTUEUX")+COUNTIFS($A$2:$A2233,$A2233,$E$2:$E2233,"ANNULE")),""))</f>
        <v/>
      </c>
    </row>
    <row r="2234">
      <c r="A2234">
        <f>IF(ISBLANK('ENGAGEMENTS 2026'!B2234),"",IF('ENGAGEMENTS 2026'!B2234="DTSI","DCT",'ENGAGEMENTS 2026'!B2234))</f>
        <v/>
      </c>
      <c r="B2234">
        <f>IF(ISBLANK('ENGAGEMENTS 2026'!B2234),"",'ENGAGEMENTS 2026'!C2234)</f>
        <v/>
      </c>
      <c r="C2234">
        <f>IF(ISBLANK('ENGAGEMENTS 2026'!B2234),"",'ENGAGEMENTS 2026'!D2234)</f>
        <v/>
      </c>
      <c r="D2234">
        <f>IF(ISBLANK('ENGAGEMENTS 2026'!B2234),"",'ENGAGEMENTS 2026'!F2234)</f>
        <v/>
      </c>
      <c r="E2234">
        <f>IF(ISBLANK('ENGAGEMENTS 2026'!B2234),"",'ENGAGEMENTS 2026'!H2234)</f>
        <v/>
      </c>
      <c r="F2234">
        <f>IF(ISBLANK('ENGAGEMENTS 2026'!B2234),"",'ENGAGEMENTS 2026'!I2234)</f>
        <v/>
      </c>
      <c r="G2234">
        <f>IF(ISBLANK('ENGAGEMENTS 2026'!B2234),"",'ENGAGEMENTS 2026'!L2234)</f>
        <v/>
      </c>
      <c r="H2234">
        <f>IF(ISBLANK('ENGAGEMENTS 2026'!B2234),"",'ENGAGEMENTS 2026'!AE2234)</f>
        <v/>
      </c>
      <c r="I2234">
        <f>IF(ISBLANK('ENGAGEMENTS 2026'!B2234),"",'ENGAGEMENTS 2026'!G2234)</f>
        <v/>
      </c>
      <c r="J2234" s="275">
        <f>IF(ISBLANK('ENGAGEMENTS 2026'!B2234),"",IF(AND(OR($E2234="INFRUCTUEUX",$E2234="ANNULE"),$C2234="AOO-M"),'ENGAGEMENTS 2026'!O2234,IF($H2234="EN COURS DE PREENGAGEMENT",'ENGAGEMENTS 2026'!N2234,IF($H2234="PREENGAGE",IF($E2234="ATTRIBUE",'ENGAGEMENTS 2026'!AD2234,'ENGAGEMENTS 2026'!N2234),'ENGAGEMENTS 2026'!AD2234))))</f>
        <v/>
      </c>
      <c r="K2234" s="604">
        <f>IF(ISBLANK('ENGAGEMENTS 2026'!V2234),"",'ENGAGEMENTS 2026'!V2234)</f>
        <v/>
      </c>
      <c r="L2234" s="276">
        <f>IF($K2234="","",TODAY()-$K2234)</f>
        <v/>
      </c>
      <c r="M2234">
        <f>IF($A2234="","",IF($H2234="ENGAGE","Engagé",IF(AND($H2234="NON ENGAGE",OR($I2234="INFRUCTUEUX",$I2234="ANNULE")),"Clôturé sans suite","En cours")))</f>
        <v/>
      </c>
      <c r="N2234">
        <f>IF(ISBLANK('ENGAGEMENTS 2026'!B2234),"",'ENGAGEMENTS 2026'!K2234)</f>
        <v/>
      </c>
      <c r="O2234">
        <f>IF(ISBLANK('ENGAGEMENTS 2026'!B2234),"",'ENGAGEMENTS 2026'!L2234)</f>
        <v/>
      </c>
      <c r="P2234">
        <f>IF(ISBLANK('ENGAGEMENTS 2026'!B2234),"",'ENGAGEMENTS 2026'!J2234)</f>
        <v/>
      </c>
      <c r="Q2234">
        <f>IF($A2234="","",IF(OR($E2234="INFRUCTUEUX",$E2234="ANNULE"),$A2234&amp;"|"&amp;(COUNTIFS($A$2:$A2234,$A2234,$E$2:$E2234,"INFRUCTUEUX")+COUNTIFS($A$2:$A2234,$A2234,$E$2:$E2234,"ANNULE")),""))</f>
        <v/>
      </c>
    </row>
    <row r="2235">
      <c r="A2235">
        <f>IF(ISBLANK('ENGAGEMENTS 2026'!B2235),"",IF('ENGAGEMENTS 2026'!B2235="DTSI","DCT",'ENGAGEMENTS 2026'!B2235))</f>
        <v/>
      </c>
      <c r="B2235">
        <f>IF(ISBLANK('ENGAGEMENTS 2026'!B2235),"",'ENGAGEMENTS 2026'!C2235)</f>
        <v/>
      </c>
      <c r="C2235">
        <f>IF(ISBLANK('ENGAGEMENTS 2026'!B2235),"",'ENGAGEMENTS 2026'!D2235)</f>
        <v/>
      </c>
      <c r="D2235">
        <f>IF(ISBLANK('ENGAGEMENTS 2026'!B2235),"",'ENGAGEMENTS 2026'!F2235)</f>
        <v/>
      </c>
      <c r="E2235">
        <f>IF(ISBLANK('ENGAGEMENTS 2026'!B2235),"",'ENGAGEMENTS 2026'!H2235)</f>
        <v/>
      </c>
      <c r="F2235">
        <f>IF(ISBLANK('ENGAGEMENTS 2026'!B2235),"",'ENGAGEMENTS 2026'!I2235)</f>
        <v/>
      </c>
      <c r="G2235">
        <f>IF(ISBLANK('ENGAGEMENTS 2026'!B2235),"",'ENGAGEMENTS 2026'!L2235)</f>
        <v/>
      </c>
      <c r="H2235">
        <f>IF(ISBLANK('ENGAGEMENTS 2026'!B2235),"",'ENGAGEMENTS 2026'!AE2235)</f>
        <v/>
      </c>
      <c r="I2235">
        <f>IF(ISBLANK('ENGAGEMENTS 2026'!B2235),"",'ENGAGEMENTS 2026'!G2235)</f>
        <v/>
      </c>
      <c r="J2235" s="275">
        <f>IF(ISBLANK('ENGAGEMENTS 2026'!B2235),"",IF(AND(OR($E2235="INFRUCTUEUX",$E2235="ANNULE"),$C2235="AOO-M"),'ENGAGEMENTS 2026'!O2235,IF($H2235="EN COURS DE PREENGAGEMENT",'ENGAGEMENTS 2026'!N2235,IF($H2235="PREENGAGE",IF($E2235="ATTRIBUE",'ENGAGEMENTS 2026'!AD2235,'ENGAGEMENTS 2026'!N2235),'ENGAGEMENTS 2026'!AD2235))))</f>
        <v/>
      </c>
      <c r="K2235" s="604">
        <f>IF(ISBLANK('ENGAGEMENTS 2026'!V2235),"",'ENGAGEMENTS 2026'!V2235)</f>
        <v/>
      </c>
      <c r="L2235" s="276">
        <f>IF($K2235="","",TODAY()-$K2235)</f>
        <v/>
      </c>
      <c r="M2235">
        <f>IF($A2235="","",IF($H2235="ENGAGE","Engagé",IF(AND($H2235="NON ENGAGE",OR($I2235="INFRUCTUEUX",$I2235="ANNULE")),"Clôturé sans suite","En cours")))</f>
        <v/>
      </c>
      <c r="N2235">
        <f>IF(ISBLANK('ENGAGEMENTS 2026'!B2235),"",'ENGAGEMENTS 2026'!K2235)</f>
        <v/>
      </c>
      <c r="O2235">
        <f>IF(ISBLANK('ENGAGEMENTS 2026'!B2235),"",'ENGAGEMENTS 2026'!L2235)</f>
        <v/>
      </c>
      <c r="P2235">
        <f>IF(ISBLANK('ENGAGEMENTS 2026'!B2235),"",'ENGAGEMENTS 2026'!J2235)</f>
        <v/>
      </c>
      <c r="Q2235">
        <f>IF($A2235="","",IF(OR($E2235="INFRUCTUEUX",$E2235="ANNULE"),$A2235&amp;"|"&amp;(COUNTIFS($A$2:$A2235,$A2235,$E$2:$E2235,"INFRUCTUEUX")+COUNTIFS($A$2:$A2235,$A2235,$E$2:$E2235,"ANNULE")),""))</f>
        <v/>
      </c>
    </row>
    <row r="2236">
      <c r="A2236">
        <f>IF(ISBLANK('ENGAGEMENTS 2026'!B2236),"",IF('ENGAGEMENTS 2026'!B2236="DTSI","DCT",'ENGAGEMENTS 2026'!B2236))</f>
        <v/>
      </c>
      <c r="B2236">
        <f>IF(ISBLANK('ENGAGEMENTS 2026'!B2236),"",'ENGAGEMENTS 2026'!C2236)</f>
        <v/>
      </c>
      <c r="C2236">
        <f>IF(ISBLANK('ENGAGEMENTS 2026'!B2236),"",'ENGAGEMENTS 2026'!D2236)</f>
        <v/>
      </c>
      <c r="D2236">
        <f>IF(ISBLANK('ENGAGEMENTS 2026'!B2236),"",'ENGAGEMENTS 2026'!F2236)</f>
        <v/>
      </c>
      <c r="E2236">
        <f>IF(ISBLANK('ENGAGEMENTS 2026'!B2236),"",'ENGAGEMENTS 2026'!H2236)</f>
        <v/>
      </c>
      <c r="F2236">
        <f>IF(ISBLANK('ENGAGEMENTS 2026'!B2236),"",'ENGAGEMENTS 2026'!I2236)</f>
        <v/>
      </c>
      <c r="G2236">
        <f>IF(ISBLANK('ENGAGEMENTS 2026'!B2236),"",'ENGAGEMENTS 2026'!L2236)</f>
        <v/>
      </c>
      <c r="H2236">
        <f>IF(ISBLANK('ENGAGEMENTS 2026'!B2236),"",'ENGAGEMENTS 2026'!AE2236)</f>
        <v/>
      </c>
      <c r="I2236">
        <f>IF(ISBLANK('ENGAGEMENTS 2026'!B2236),"",'ENGAGEMENTS 2026'!G2236)</f>
        <v/>
      </c>
      <c r="J2236" s="275">
        <f>IF(ISBLANK('ENGAGEMENTS 2026'!B2236),"",IF(AND(OR($E2236="INFRUCTUEUX",$E2236="ANNULE"),$C2236="AOO-M"),'ENGAGEMENTS 2026'!O2236,IF($H2236="EN COURS DE PREENGAGEMENT",'ENGAGEMENTS 2026'!N2236,IF($H2236="PREENGAGE",IF($E2236="ATTRIBUE",'ENGAGEMENTS 2026'!AD2236,'ENGAGEMENTS 2026'!N2236),'ENGAGEMENTS 2026'!AD2236))))</f>
        <v/>
      </c>
      <c r="K2236" s="604">
        <f>IF(ISBLANK('ENGAGEMENTS 2026'!V2236),"",'ENGAGEMENTS 2026'!V2236)</f>
        <v/>
      </c>
      <c r="L2236" s="276">
        <f>IF($K2236="","",TODAY()-$K2236)</f>
        <v/>
      </c>
      <c r="M2236">
        <f>IF($A2236="","",IF($H2236="ENGAGE","Engagé",IF(AND($H2236="NON ENGAGE",OR($I2236="INFRUCTUEUX",$I2236="ANNULE")),"Clôturé sans suite","En cours")))</f>
        <v/>
      </c>
      <c r="N2236">
        <f>IF(ISBLANK('ENGAGEMENTS 2026'!B2236),"",'ENGAGEMENTS 2026'!K2236)</f>
        <v/>
      </c>
      <c r="O2236">
        <f>IF(ISBLANK('ENGAGEMENTS 2026'!B2236),"",'ENGAGEMENTS 2026'!L2236)</f>
        <v/>
      </c>
      <c r="P2236">
        <f>IF(ISBLANK('ENGAGEMENTS 2026'!B2236),"",'ENGAGEMENTS 2026'!J2236)</f>
        <v/>
      </c>
      <c r="Q2236">
        <f>IF($A2236="","",IF(OR($E2236="INFRUCTUEUX",$E2236="ANNULE"),$A2236&amp;"|"&amp;(COUNTIFS($A$2:$A2236,$A2236,$E$2:$E2236,"INFRUCTUEUX")+COUNTIFS($A$2:$A2236,$A2236,$E$2:$E2236,"ANNULE")),""))</f>
        <v/>
      </c>
    </row>
    <row r="2237">
      <c r="A2237">
        <f>IF(ISBLANK('ENGAGEMENTS 2026'!B2237),"",IF('ENGAGEMENTS 2026'!B2237="DTSI","DCT",'ENGAGEMENTS 2026'!B2237))</f>
        <v/>
      </c>
      <c r="B2237">
        <f>IF(ISBLANK('ENGAGEMENTS 2026'!B2237),"",'ENGAGEMENTS 2026'!C2237)</f>
        <v/>
      </c>
      <c r="C2237">
        <f>IF(ISBLANK('ENGAGEMENTS 2026'!B2237),"",'ENGAGEMENTS 2026'!D2237)</f>
        <v/>
      </c>
      <c r="D2237">
        <f>IF(ISBLANK('ENGAGEMENTS 2026'!B2237),"",'ENGAGEMENTS 2026'!F2237)</f>
        <v/>
      </c>
      <c r="E2237">
        <f>IF(ISBLANK('ENGAGEMENTS 2026'!B2237),"",'ENGAGEMENTS 2026'!H2237)</f>
        <v/>
      </c>
      <c r="F2237">
        <f>IF(ISBLANK('ENGAGEMENTS 2026'!B2237),"",'ENGAGEMENTS 2026'!I2237)</f>
        <v/>
      </c>
      <c r="G2237">
        <f>IF(ISBLANK('ENGAGEMENTS 2026'!B2237),"",'ENGAGEMENTS 2026'!L2237)</f>
        <v/>
      </c>
      <c r="H2237">
        <f>IF(ISBLANK('ENGAGEMENTS 2026'!B2237),"",'ENGAGEMENTS 2026'!AE2237)</f>
        <v/>
      </c>
      <c r="I2237">
        <f>IF(ISBLANK('ENGAGEMENTS 2026'!B2237),"",'ENGAGEMENTS 2026'!G2237)</f>
        <v/>
      </c>
      <c r="J2237" s="275">
        <f>IF(ISBLANK('ENGAGEMENTS 2026'!B2237),"",IF(AND(OR($E2237="INFRUCTUEUX",$E2237="ANNULE"),$C2237="AOO-M"),'ENGAGEMENTS 2026'!O2237,IF($H2237="EN COURS DE PREENGAGEMENT",'ENGAGEMENTS 2026'!N2237,IF($H2237="PREENGAGE",IF($E2237="ATTRIBUE",'ENGAGEMENTS 2026'!AD2237,'ENGAGEMENTS 2026'!N2237),'ENGAGEMENTS 2026'!AD2237))))</f>
        <v/>
      </c>
      <c r="K2237" s="604">
        <f>IF(ISBLANK('ENGAGEMENTS 2026'!V2237),"",'ENGAGEMENTS 2026'!V2237)</f>
        <v/>
      </c>
      <c r="L2237" s="276">
        <f>IF($K2237="","",TODAY()-$K2237)</f>
        <v/>
      </c>
      <c r="M2237">
        <f>IF($A2237="","",IF($H2237="ENGAGE","Engagé",IF(AND($H2237="NON ENGAGE",OR($I2237="INFRUCTUEUX",$I2237="ANNULE")),"Clôturé sans suite","En cours")))</f>
        <v/>
      </c>
      <c r="N2237">
        <f>IF(ISBLANK('ENGAGEMENTS 2026'!B2237),"",'ENGAGEMENTS 2026'!K2237)</f>
        <v/>
      </c>
      <c r="O2237">
        <f>IF(ISBLANK('ENGAGEMENTS 2026'!B2237),"",'ENGAGEMENTS 2026'!L2237)</f>
        <v/>
      </c>
      <c r="P2237">
        <f>IF(ISBLANK('ENGAGEMENTS 2026'!B2237),"",'ENGAGEMENTS 2026'!J2237)</f>
        <v/>
      </c>
      <c r="Q2237">
        <f>IF($A2237="","",IF(OR($E2237="INFRUCTUEUX",$E2237="ANNULE"),$A2237&amp;"|"&amp;(COUNTIFS($A$2:$A2237,$A2237,$E$2:$E2237,"INFRUCTUEUX")+COUNTIFS($A$2:$A2237,$A2237,$E$2:$E2237,"ANNULE")),""))</f>
        <v/>
      </c>
    </row>
    <row r="2238">
      <c r="A2238">
        <f>IF(ISBLANK('ENGAGEMENTS 2026'!B2238),"",IF('ENGAGEMENTS 2026'!B2238="DTSI","DCT",'ENGAGEMENTS 2026'!B2238))</f>
        <v/>
      </c>
      <c r="B2238">
        <f>IF(ISBLANK('ENGAGEMENTS 2026'!B2238),"",'ENGAGEMENTS 2026'!C2238)</f>
        <v/>
      </c>
      <c r="C2238">
        <f>IF(ISBLANK('ENGAGEMENTS 2026'!B2238),"",'ENGAGEMENTS 2026'!D2238)</f>
        <v/>
      </c>
      <c r="D2238">
        <f>IF(ISBLANK('ENGAGEMENTS 2026'!B2238),"",'ENGAGEMENTS 2026'!F2238)</f>
        <v/>
      </c>
      <c r="E2238">
        <f>IF(ISBLANK('ENGAGEMENTS 2026'!B2238),"",'ENGAGEMENTS 2026'!H2238)</f>
        <v/>
      </c>
      <c r="F2238">
        <f>IF(ISBLANK('ENGAGEMENTS 2026'!B2238),"",'ENGAGEMENTS 2026'!I2238)</f>
        <v/>
      </c>
      <c r="G2238">
        <f>IF(ISBLANK('ENGAGEMENTS 2026'!B2238),"",'ENGAGEMENTS 2026'!L2238)</f>
        <v/>
      </c>
      <c r="H2238">
        <f>IF(ISBLANK('ENGAGEMENTS 2026'!B2238),"",'ENGAGEMENTS 2026'!AE2238)</f>
        <v/>
      </c>
      <c r="I2238">
        <f>IF(ISBLANK('ENGAGEMENTS 2026'!B2238),"",'ENGAGEMENTS 2026'!G2238)</f>
        <v/>
      </c>
      <c r="J2238" s="275">
        <f>IF(ISBLANK('ENGAGEMENTS 2026'!B2238),"",IF(AND(OR($E2238="INFRUCTUEUX",$E2238="ANNULE"),$C2238="AOO-M"),'ENGAGEMENTS 2026'!O2238,IF($H2238="EN COURS DE PREENGAGEMENT",'ENGAGEMENTS 2026'!N2238,IF($H2238="PREENGAGE",IF($E2238="ATTRIBUE",'ENGAGEMENTS 2026'!AD2238,'ENGAGEMENTS 2026'!N2238),'ENGAGEMENTS 2026'!AD2238))))</f>
        <v/>
      </c>
      <c r="K2238" s="604">
        <f>IF(ISBLANK('ENGAGEMENTS 2026'!V2238),"",'ENGAGEMENTS 2026'!V2238)</f>
        <v/>
      </c>
      <c r="L2238" s="276">
        <f>IF($K2238="","",TODAY()-$K2238)</f>
        <v/>
      </c>
      <c r="M2238">
        <f>IF($A2238="","",IF($H2238="ENGAGE","Engagé",IF(AND($H2238="NON ENGAGE",OR($I2238="INFRUCTUEUX",$I2238="ANNULE")),"Clôturé sans suite","En cours")))</f>
        <v/>
      </c>
      <c r="N2238">
        <f>IF(ISBLANK('ENGAGEMENTS 2026'!B2238),"",'ENGAGEMENTS 2026'!K2238)</f>
        <v/>
      </c>
      <c r="O2238">
        <f>IF(ISBLANK('ENGAGEMENTS 2026'!B2238),"",'ENGAGEMENTS 2026'!L2238)</f>
        <v/>
      </c>
      <c r="P2238">
        <f>IF(ISBLANK('ENGAGEMENTS 2026'!B2238),"",'ENGAGEMENTS 2026'!J2238)</f>
        <v/>
      </c>
      <c r="Q2238">
        <f>IF($A2238="","",IF(OR($E2238="INFRUCTUEUX",$E2238="ANNULE"),$A2238&amp;"|"&amp;(COUNTIFS($A$2:$A2238,$A2238,$E$2:$E2238,"INFRUCTUEUX")+COUNTIFS($A$2:$A2238,$A2238,$E$2:$E2238,"ANNULE")),""))</f>
        <v/>
      </c>
    </row>
    <row r="2239">
      <c r="A2239">
        <f>IF(ISBLANK('ENGAGEMENTS 2026'!B2239),"",IF('ENGAGEMENTS 2026'!B2239="DTSI","DCT",'ENGAGEMENTS 2026'!B2239))</f>
        <v/>
      </c>
      <c r="B2239">
        <f>IF(ISBLANK('ENGAGEMENTS 2026'!B2239),"",'ENGAGEMENTS 2026'!C2239)</f>
        <v/>
      </c>
      <c r="C2239">
        <f>IF(ISBLANK('ENGAGEMENTS 2026'!B2239),"",'ENGAGEMENTS 2026'!D2239)</f>
        <v/>
      </c>
      <c r="D2239">
        <f>IF(ISBLANK('ENGAGEMENTS 2026'!B2239),"",'ENGAGEMENTS 2026'!F2239)</f>
        <v/>
      </c>
      <c r="E2239">
        <f>IF(ISBLANK('ENGAGEMENTS 2026'!B2239),"",'ENGAGEMENTS 2026'!H2239)</f>
        <v/>
      </c>
      <c r="F2239">
        <f>IF(ISBLANK('ENGAGEMENTS 2026'!B2239),"",'ENGAGEMENTS 2026'!I2239)</f>
        <v/>
      </c>
      <c r="G2239">
        <f>IF(ISBLANK('ENGAGEMENTS 2026'!B2239),"",'ENGAGEMENTS 2026'!L2239)</f>
        <v/>
      </c>
      <c r="H2239">
        <f>IF(ISBLANK('ENGAGEMENTS 2026'!B2239),"",'ENGAGEMENTS 2026'!AE2239)</f>
        <v/>
      </c>
      <c r="I2239">
        <f>IF(ISBLANK('ENGAGEMENTS 2026'!B2239),"",'ENGAGEMENTS 2026'!G2239)</f>
        <v/>
      </c>
      <c r="J2239" s="275">
        <f>IF(ISBLANK('ENGAGEMENTS 2026'!B2239),"",IF(AND(OR($E2239="INFRUCTUEUX",$E2239="ANNULE"),$C2239="AOO-M"),'ENGAGEMENTS 2026'!O2239,IF($H2239="EN COURS DE PREENGAGEMENT",'ENGAGEMENTS 2026'!N2239,IF($H2239="PREENGAGE",IF($E2239="ATTRIBUE",'ENGAGEMENTS 2026'!AD2239,'ENGAGEMENTS 2026'!N2239),'ENGAGEMENTS 2026'!AD2239))))</f>
        <v/>
      </c>
      <c r="K2239" s="604">
        <f>IF(ISBLANK('ENGAGEMENTS 2026'!V2239),"",'ENGAGEMENTS 2026'!V2239)</f>
        <v/>
      </c>
      <c r="L2239" s="276">
        <f>IF($K2239="","",TODAY()-$K2239)</f>
        <v/>
      </c>
      <c r="M2239">
        <f>IF($A2239="","",IF($H2239="ENGAGE","Engagé",IF(AND($H2239="NON ENGAGE",OR($I2239="INFRUCTUEUX",$I2239="ANNULE")),"Clôturé sans suite","En cours")))</f>
        <v/>
      </c>
      <c r="N2239">
        <f>IF(ISBLANK('ENGAGEMENTS 2026'!B2239),"",'ENGAGEMENTS 2026'!K2239)</f>
        <v/>
      </c>
      <c r="O2239">
        <f>IF(ISBLANK('ENGAGEMENTS 2026'!B2239),"",'ENGAGEMENTS 2026'!L2239)</f>
        <v/>
      </c>
      <c r="P2239">
        <f>IF(ISBLANK('ENGAGEMENTS 2026'!B2239),"",'ENGAGEMENTS 2026'!J2239)</f>
        <v/>
      </c>
      <c r="Q2239">
        <f>IF($A2239="","",IF(OR($E2239="INFRUCTUEUX",$E2239="ANNULE"),$A2239&amp;"|"&amp;(COUNTIFS($A$2:$A2239,$A2239,$E$2:$E2239,"INFRUCTUEUX")+COUNTIFS($A$2:$A2239,$A2239,$E$2:$E2239,"ANNULE")),""))</f>
        <v/>
      </c>
    </row>
    <row r="2240">
      <c r="A2240">
        <f>IF(ISBLANK('ENGAGEMENTS 2026'!B2240),"",IF('ENGAGEMENTS 2026'!B2240="DTSI","DCT",'ENGAGEMENTS 2026'!B2240))</f>
        <v/>
      </c>
      <c r="B2240">
        <f>IF(ISBLANK('ENGAGEMENTS 2026'!B2240),"",'ENGAGEMENTS 2026'!C2240)</f>
        <v/>
      </c>
      <c r="C2240">
        <f>IF(ISBLANK('ENGAGEMENTS 2026'!B2240),"",'ENGAGEMENTS 2026'!D2240)</f>
        <v/>
      </c>
      <c r="D2240">
        <f>IF(ISBLANK('ENGAGEMENTS 2026'!B2240),"",'ENGAGEMENTS 2026'!F2240)</f>
        <v/>
      </c>
      <c r="E2240">
        <f>IF(ISBLANK('ENGAGEMENTS 2026'!B2240),"",'ENGAGEMENTS 2026'!H2240)</f>
        <v/>
      </c>
      <c r="F2240">
        <f>IF(ISBLANK('ENGAGEMENTS 2026'!B2240),"",'ENGAGEMENTS 2026'!I2240)</f>
        <v/>
      </c>
      <c r="G2240">
        <f>IF(ISBLANK('ENGAGEMENTS 2026'!B2240),"",'ENGAGEMENTS 2026'!L2240)</f>
        <v/>
      </c>
      <c r="H2240">
        <f>IF(ISBLANK('ENGAGEMENTS 2026'!B2240),"",'ENGAGEMENTS 2026'!AE2240)</f>
        <v/>
      </c>
      <c r="I2240">
        <f>IF(ISBLANK('ENGAGEMENTS 2026'!B2240),"",'ENGAGEMENTS 2026'!G2240)</f>
        <v/>
      </c>
      <c r="J2240" s="275">
        <f>IF(ISBLANK('ENGAGEMENTS 2026'!B2240),"",IF(AND(OR($E2240="INFRUCTUEUX",$E2240="ANNULE"),$C2240="AOO-M"),'ENGAGEMENTS 2026'!O2240,IF($H2240="EN COURS DE PREENGAGEMENT",'ENGAGEMENTS 2026'!N2240,IF($H2240="PREENGAGE",IF($E2240="ATTRIBUE",'ENGAGEMENTS 2026'!AD2240,'ENGAGEMENTS 2026'!N2240),'ENGAGEMENTS 2026'!AD2240))))</f>
        <v/>
      </c>
      <c r="K2240" s="604">
        <f>IF(ISBLANK('ENGAGEMENTS 2026'!V2240),"",'ENGAGEMENTS 2026'!V2240)</f>
        <v/>
      </c>
      <c r="L2240" s="276">
        <f>IF($K2240="","",TODAY()-$K2240)</f>
        <v/>
      </c>
      <c r="M2240">
        <f>IF($A2240="","",IF($H2240="ENGAGE","Engagé",IF(AND($H2240="NON ENGAGE",OR($I2240="INFRUCTUEUX",$I2240="ANNULE")),"Clôturé sans suite","En cours")))</f>
        <v/>
      </c>
      <c r="N2240">
        <f>IF(ISBLANK('ENGAGEMENTS 2026'!B2240),"",'ENGAGEMENTS 2026'!K2240)</f>
        <v/>
      </c>
      <c r="O2240">
        <f>IF(ISBLANK('ENGAGEMENTS 2026'!B2240),"",'ENGAGEMENTS 2026'!L2240)</f>
        <v/>
      </c>
      <c r="P2240">
        <f>IF(ISBLANK('ENGAGEMENTS 2026'!B2240),"",'ENGAGEMENTS 2026'!J2240)</f>
        <v/>
      </c>
      <c r="Q2240">
        <f>IF($A2240="","",IF(OR($E2240="INFRUCTUEUX",$E2240="ANNULE"),$A2240&amp;"|"&amp;(COUNTIFS($A$2:$A2240,$A2240,$E$2:$E2240,"INFRUCTUEUX")+COUNTIFS($A$2:$A2240,$A2240,$E$2:$E2240,"ANNULE")),""))</f>
        <v/>
      </c>
    </row>
    <row r="2241">
      <c r="A2241">
        <f>IF(ISBLANK('ENGAGEMENTS 2026'!B2241),"",IF('ENGAGEMENTS 2026'!B2241="DTSI","DCT",'ENGAGEMENTS 2026'!B2241))</f>
        <v/>
      </c>
      <c r="B2241">
        <f>IF(ISBLANK('ENGAGEMENTS 2026'!B2241),"",'ENGAGEMENTS 2026'!C2241)</f>
        <v/>
      </c>
      <c r="C2241">
        <f>IF(ISBLANK('ENGAGEMENTS 2026'!B2241),"",'ENGAGEMENTS 2026'!D2241)</f>
        <v/>
      </c>
      <c r="D2241">
        <f>IF(ISBLANK('ENGAGEMENTS 2026'!B2241),"",'ENGAGEMENTS 2026'!F2241)</f>
        <v/>
      </c>
      <c r="E2241">
        <f>IF(ISBLANK('ENGAGEMENTS 2026'!B2241),"",'ENGAGEMENTS 2026'!H2241)</f>
        <v/>
      </c>
      <c r="F2241">
        <f>IF(ISBLANK('ENGAGEMENTS 2026'!B2241),"",'ENGAGEMENTS 2026'!I2241)</f>
        <v/>
      </c>
      <c r="G2241">
        <f>IF(ISBLANK('ENGAGEMENTS 2026'!B2241),"",'ENGAGEMENTS 2026'!L2241)</f>
        <v/>
      </c>
      <c r="H2241">
        <f>IF(ISBLANK('ENGAGEMENTS 2026'!B2241),"",'ENGAGEMENTS 2026'!AE2241)</f>
        <v/>
      </c>
      <c r="I2241">
        <f>IF(ISBLANK('ENGAGEMENTS 2026'!B2241),"",'ENGAGEMENTS 2026'!G2241)</f>
        <v/>
      </c>
      <c r="J2241" s="275">
        <f>IF(ISBLANK('ENGAGEMENTS 2026'!B2241),"",IF(AND(OR($E2241="INFRUCTUEUX",$E2241="ANNULE"),$C2241="AOO-M"),'ENGAGEMENTS 2026'!O2241,IF($H2241="EN COURS DE PREENGAGEMENT",'ENGAGEMENTS 2026'!N2241,IF($H2241="PREENGAGE",IF($E2241="ATTRIBUE",'ENGAGEMENTS 2026'!AD2241,'ENGAGEMENTS 2026'!N2241),'ENGAGEMENTS 2026'!AD2241))))</f>
        <v/>
      </c>
      <c r="K2241" s="604">
        <f>IF(ISBLANK('ENGAGEMENTS 2026'!V2241),"",'ENGAGEMENTS 2026'!V2241)</f>
        <v/>
      </c>
      <c r="L2241" s="276">
        <f>IF($K2241="","",TODAY()-$K2241)</f>
        <v/>
      </c>
      <c r="M2241">
        <f>IF($A2241="","",IF($H2241="ENGAGE","Engagé",IF(AND($H2241="NON ENGAGE",OR($I2241="INFRUCTUEUX",$I2241="ANNULE")),"Clôturé sans suite","En cours")))</f>
        <v/>
      </c>
      <c r="N2241">
        <f>IF(ISBLANK('ENGAGEMENTS 2026'!B2241),"",'ENGAGEMENTS 2026'!K2241)</f>
        <v/>
      </c>
      <c r="O2241">
        <f>IF(ISBLANK('ENGAGEMENTS 2026'!B2241),"",'ENGAGEMENTS 2026'!L2241)</f>
        <v/>
      </c>
      <c r="P2241">
        <f>IF(ISBLANK('ENGAGEMENTS 2026'!B2241),"",'ENGAGEMENTS 2026'!J2241)</f>
        <v/>
      </c>
      <c r="Q2241">
        <f>IF($A2241="","",IF(OR($E2241="INFRUCTUEUX",$E2241="ANNULE"),$A2241&amp;"|"&amp;(COUNTIFS($A$2:$A2241,$A2241,$E$2:$E2241,"INFRUCTUEUX")+COUNTIFS($A$2:$A2241,$A2241,$E$2:$E2241,"ANNULE")),""))</f>
        <v/>
      </c>
    </row>
    <row r="2242">
      <c r="A2242">
        <f>IF(ISBLANK('ENGAGEMENTS 2026'!B2242),"",IF('ENGAGEMENTS 2026'!B2242="DTSI","DCT",'ENGAGEMENTS 2026'!B2242))</f>
        <v/>
      </c>
      <c r="B2242">
        <f>IF(ISBLANK('ENGAGEMENTS 2026'!B2242),"",'ENGAGEMENTS 2026'!C2242)</f>
        <v/>
      </c>
      <c r="C2242">
        <f>IF(ISBLANK('ENGAGEMENTS 2026'!B2242),"",'ENGAGEMENTS 2026'!D2242)</f>
        <v/>
      </c>
      <c r="D2242">
        <f>IF(ISBLANK('ENGAGEMENTS 2026'!B2242),"",'ENGAGEMENTS 2026'!F2242)</f>
        <v/>
      </c>
      <c r="E2242">
        <f>IF(ISBLANK('ENGAGEMENTS 2026'!B2242),"",'ENGAGEMENTS 2026'!H2242)</f>
        <v/>
      </c>
      <c r="F2242">
        <f>IF(ISBLANK('ENGAGEMENTS 2026'!B2242),"",'ENGAGEMENTS 2026'!I2242)</f>
        <v/>
      </c>
      <c r="G2242">
        <f>IF(ISBLANK('ENGAGEMENTS 2026'!B2242),"",'ENGAGEMENTS 2026'!L2242)</f>
        <v/>
      </c>
      <c r="H2242">
        <f>IF(ISBLANK('ENGAGEMENTS 2026'!B2242),"",'ENGAGEMENTS 2026'!AE2242)</f>
        <v/>
      </c>
      <c r="I2242">
        <f>IF(ISBLANK('ENGAGEMENTS 2026'!B2242),"",'ENGAGEMENTS 2026'!G2242)</f>
        <v/>
      </c>
      <c r="J2242" s="275">
        <f>IF(ISBLANK('ENGAGEMENTS 2026'!B2242),"",IF(AND(OR($E2242="INFRUCTUEUX",$E2242="ANNULE"),$C2242="AOO-M"),'ENGAGEMENTS 2026'!O2242,IF($H2242="EN COURS DE PREENGAGEMENT",'ENGAGEMENTS 2026'!N2242,IF($H2242="PREENGAGE",IF($E2242="ATTRIBUE",'ENGAGEMENTS 2026'!AD2242,'ENGAGEMENTS 2026'!N2242),'ENGAGEMENTS 2026'!AD2242))))</f>
        <v/>
      </c>
      <c r="K2242" s="604">
        <f>IF(ISBLANK('ENGAGEMENTS 2026'!V2242),"",'ENGAGEMENTS 2026'!V2242)</f>
        <v/>
      </c>
      <c r="L2242" s="276">
        <f>IF($K2242="","",TODAY()-$K2242)</f>
        <v/>
      </c>
      <c r="M2242">
        <f>IF($A2242="","",IF($H2242="ENGAGE","Engagé",IF(AND($H2242="NON ENGAGE",OR($I2242="INFRUCTUEUX",$I2242="ANNULE")),"Clôturé sans suite","En cours")))</f>
        <v/>
      </c>
      <c r="N2242">
        <f>IF(ISBLANK('ENGAGEMENTS 2026'!B2242),"",'ENGAGEMENTS 2026'!K2242)</f>
        <v/>
      </c>
      <c r="O2242">
        <f>IF(ISBLANK('ENGAGEMENTS 2026'!B2242),"",'ENGAGEMENTS 2026'!L2242)</f>
        <v/>
      </c>
      <c r="P2242">
        <f>IF(ISBLANK('ENGAGEMENTS 2026'!B2242),"",'ENGAGEMENTS 2026'!J2242)</f>
        <v/>
      </c>
      <c r="Q2242">
        <f>IF($A2242="","",IF(OR($E2242="INFRUCTUEUX",$E2242="ANNULE"),$A2242&amp;"|"&amp;(COUNTIFS($A$2:$A2242,$A2242,$E$2:$E2242,"INFRUCTUEUX")+COUNTIFS($A$2:$A2242,$A2242,$E$2:$E2242,"ANNULE")),""))</f>
        <v/>
      </c>
    </row>
    <row r="2243">
      <c r="A2243">
        <f>IF(ISBLANK('ENGAGEMENTS 2026'!B2243),"",IF('ENGAGEMENTS 2026'!B2243="DTSI","DCT",'ENGAGEMENTS 2026'!B2243))</f>
        <v/>
      </c>
      <c r="B2243">
        <f>IF(ISBLANK('ENGAGEMENTS 2026'!B2243),"",'ENGAGEMENTS 2026'!C2243)</f>
        <v/>
      </c>
      <c r="C2243">
        <f>IF(ISBLANK('ENGAGEMENTS 2026'!B2243),"",'ENGAGEMENTS 2026'!D2243)</f>
        <v/>
      </c>
      <c r="D2243">
        <f>IF(ISBLANK('ENGAGEMENTS 2026'!B2243),"",'ENGAGEMENTS 2026'!F2243)</f>
        <v/>
      </c>
      <c r="E2243">
        <f>IF(ISBLANK('ENGAGEMENTS 2026'!B2243),"",'ENGAGEMENTS 2026'!H2243)</f>
        <v/>
      </c>
      <c r="F2243">
        <f>IF(ISBLANK('ENGAGEMENTS 2026'!B2243),"",'ENGAGEMENTS 2026'!I2243)</f>
        <v/>
      </c>
      <c r="G2243">
        <f>IF(ISBLANK('ENGAGEMENTS 2026'!B2243),"",'ENGAGEMENTS 2026'!L2243)</f>
        <v/>
      </c>
      <c r="H2243">
        <f>IF(ISBLANK('ENGAGEMENTS 2026'!B2243),"",'ENGAGEMENTS 2026'!AE2243)</f>
        <v/>
      </c>
      <c r="I2243">
        <f>IF(ISBLANK('ENGAGEMENTS 2026'!B2243),"",'ENGAGEMENTS 2026'!G2243)</f>
        <v/>
      </c>
      <c r="J2243" s="275">
        <f>IF(ISBLANK('ENGAGEMENTS 2026'!B2243),"",IF(AND(OR($E2243="INFRUCTUEUX",$E2243="ANNULE"),$C2243="AOO-M"),'ENGAGEMENTS 2026'!O2243,IF($H2243="EN COURS DE PREENGAGEMENT",'ENGAGEMENTS 2026'!N2243,IF($H2243="PREENGAGE",IF($E2243="ATTRIBUE",'ENGAGEMENTS 2026'!AD2243,'ENGAGEMENTS 2026'!N2243),'ENGAGEMENTS 2026'!AD2243))))</f>
        <v/>
      </c>
      <c r="K2243" s="604">
        <f>IF(ISBLANK('ENGAGEMENTS 2026'!V2243),"",'ENGAGEMENTS 2026'!V2243)</f>
        <v/>
      </c>
      <c r="L2243" s="276">
        <f>IF($K2243="","",TODAY()-$K2243)</f>
        <v/>
      </c>
      <c r="M2243">
        <f>IF($A2243="","",IF($H2243="ENGAGE","Engagé",IF(AND($H2243="NON ENGAGE",OR($I2243="INFRUCTUEUX",$I2243="ANNULE")),"Clôturé sans suite","En cours")))</f>
        <v/>
      </c>
      <c r="N2243">
        <f>IF(ISBLANK('ENGAGEMENTS 2026'!B2243),"",'ENGAGEMENTS 2026'!K2243)</f>
        <v/>
      </c>
      <c r="O2243">
        <f>IF(ISBLANK('ENGAGEMENTS 2026'!B2243),"",'ENGAGEMENTS 2026'!L2243)</f>
        <v/>
      </c>
      <c r="P2243">
        <f>IF(ISBLANK('ENGAGEMENTS 2026'!B2243),"",'ENGAGEMENTS 2026'!J2243)</f>
        <v/>
      </c>
      <c r="Q2243">
        <f>IF($A2243="","",IF(OR($E2243="INFRUCTUEUX",$E2243="ANNULE"),$A2243&amp;"|"&amp;(COUNTIFS($A$2:$A2243,$A2243,$E$2:$E2243,"INFRUCTUEUX")+COUNTIFS($A$2:$A2243,$A2243,$E$2:$E2243,"ANNULE")),""))</f>
        <v/>
      </c>
    </row>
    <row r="2244">
      <c r="A2244">
        <f>IF(ISBLANK('ENGAGEMENTS 2026'!B2244),"",IF('ENGAGEMENTS 2026'!B2244="DTSI","DCT",'ENGAGEMENTS 2026'!B2244))</f>
        <v/>
      </c>
      <c r="B2244">
        <f>IF(ISBLANK('ENGAGEMENTS 2026'!B2244),"",'ENGAGEMENTS 2026'!C2244)</f>
        <v/>
      </c>
      <c r="C2244">
        <f>IF(ISBLANK('ENGAGEMENTS 2026'!B2244),"",'ENGAGEMENTS 2026'!D2244)</f>
        <v/>
      </c>
      <c r="D2244">
        <f>IF(ISBLANK('ENGAGEMENTS 2026'!B2244),"",'ENGAGEMENTS 2026'!F2244)</f>
        <v/>
      </c>
      <c r="E2244">
        <f>IF(ISBLANK('ENGAGEMENTS 2026'!B2244),"",'ENGAGEMENTS 2026'!H2244)</f>
        <v/>
      </c>
      <c r="F2244">
        <f>IF(ISBLANK('ENGAGEMENTS 2026'!B2244),"",'ENGAGEMENTS 2026'!I2244)</f>
        <v/>
      </c>
      <c r="G2244">
        <f>IF(ISBLANK('ENGAGEMENTS 2026'!B2244),"",'ENGAGEMENTS 2026'!L2244)</f>
        <v/>
      </c>
      <c r="H2244">
        <f>IF(ISBLANK('ENGAGEMENTS 2026'!B2244),"",'ENGAGEMENTS 2026'!AE2244)</f>
        <v/>
      </c>
      <c r="I2244">
        <f>IF(ISBLANK('ENGAGEMENTS 2026'!B2244),"",'ENGAGEMENTS 2026'!G2244)</f>
        <v/>
      </c>
      <c r="J2244" s="275">
        <f>IF(ISBLANK('ENGAGEMENTS 2026'!B2244),"",IF(AND(OR($E2244="INFRUCTUEUX",$E2244="ANNULE"),$C2244="AOO-M"),'ENGAGEMENTS 2026'!O2244,IF($H2244="EN COURS DE PREENGAGEMENT",'ENGAGEMENTS 2026'!N2244,IF($H2244="PREENGAGE",IF($E2244="ATTRIBUE",'ENGAGEMENTS 2026'!AD2244,'ENGAGEMENTS 2026'!N2244),'ENGAGEMENTS 2026'!AD2244))))</f>
        <v/>
      </c>
      <c r="K2244" s="604">
        <f>IF(ISBLANK('ENGAGEMENTS 2026'!V2244),"",'ENGAGEMENTS 2026'!V2244)</f>
        <v/>
      </c>
      <c r="L2244" s="276">
        <f>IF($K2244="","",TODAY()-$K2244)</f>
        <v/>
      </c>
      <c r="M2244">
        <f>IF($A2244="","",IF($H2244="ENGAGE","Engagé",IF(AND($H2244="NON ENGAGE",OR($I2244="INFRUCTUEUX",$I2244="ANNULE")),"Clôturé sans suite","En cours")))</f>
        <v/>
      </c>
      <c r="N2244">
        <f>IF(ISBLANK('ENGAGEMENTS 2026'!B2244),"",'ENGAGEMENTS 2026'!K2244)</f>
        <v/>
      </c>
      <c r="O2244">
        <f>IF(ISBLANK('ENGAGEMENTS 2026'!B2244),"",'ENGAGEMENTS 2026'!L2244)</f>
        <v/>
      </c>
      <c r="P2244">
        <f>IF(ISBLANK('ENGAGEMENTS 2026'!B2244),"",'ENGAGEMENTS 2026'!J2244)</f>
        <v/>
      </c>
      <c r="Q2244">
        <f>IF($A2244="","",IF(OR($E2244="INFRUCTUEUX",$E2244="ANNULE"),$A2244&amp;"|"&amp;(COUNTIFS($A$2:$A2244,$A2244,$E$2:$E2244,"INFRUCTUEUX")+COUNTIFS($A$2:$A2244,$A2244,$E$2:$E2244,"ANNULE")),""))</f>
        <v/>
      </c>
    </row>
    <row r="2245">
      <c r="A2245">
        <f>IF(ISBLANK('ENGAGEMENTS 2026'!B2245),"",IF('ENGAGEMENTS 2026'!B2245="DTSI","DCT",'ENGAGEMENTS 2026'!B2245))</f>
        <v/>
      </c>
      <c r="B2245">
        <f>IF(ISBLANK('ENGAGEMENTS 2026'!B2245),"",'ENGAGEMENTS 2026'!C2245)</f>
        <v/>
      </c>
      <c r="C2245">
        <f>IF(ISBLANK('ENGAGEMENTS 2026'!B2245),"",'ENGAGEMENTS 2026'!D2245)</f>
        <v/>
      </c>
      <c r="D2245">
        <f>IF(ISBLANK('ENGAGEMENTS 2026'!B2245),"",'ENGAGEMENTS 2026'!F2245)</f>
        <v/>
      </c>
      <c r="E2245">
        <f>IF(ISBLANK('ENGAGEMENTS 2026'!B2245),"",'ENGAGEMENTS 2026'!H2245)</f>
        <v/>
      </c>
      <c r="F2245">
        <f>IF(ISBLANK('ENGAGEMENTS 2026'!B2245),"",'ENGAGEMENTS 2026'!I2245)</f>
        <v/>
      </c>
      <c r="G2245">
        <f>IF(ISBLANK('ENGAGEMENTS 2026'!B2245),"",'ENGAGEMENTS 2026'!L2245)</f>
        <v/>
      </c>
      <c r="H2245">
        <f>IF(ISBLANK('ENGAGEMENTS 2026'!B2245),"",'ENGAGEMENTS 2026'!AE2245)</f>
        <v/>
      </c>
      <c r="I2245">
        <f>IF(ISBLANK('ENGAGEMENTS 2026'!B2245),"",'ENGAGEMENTS 2026'!G2245)</f>
        <v/>
      </c>
      <c r="J2245" s="275">
        <f>IF(ISBLANK('ENGAGEMENTS 2026'!B2245),"",IF(AND(OR($E2245="INFRUCTUEUX",$E2245="ANNULE"),$C2245="AOO-M"),'ENGAGEMENTS 2026'!O2245,IF($H2245="EN COURS DE PREENGAGEMENT",'ENGAGEMENTS 2026'!N2245,IF($H2245="PREENGAGE",IF($E2245="ATTRIBUE",'ENGAGEMENTS 2026'!AD2245,'ENGAGEMENTS 2026'!N2245),'ENGAGEMENTS 2026'!AD2245))))</f>
        <v/>
      </c>
      <c r="K2245" s="604">
        <f>IF(ISBLANK('ENGAGEMENTS 2026'!V2245),"",'ENGAGEMENTS 2026'!V2245)</f>
        <v/>
      </c>
      <c r="L2245" s="276">
        <f>IF($K2245="","",TODAY()-$K2245)</f>
        <v/>
      </c>
      <c r="M2245">
        <f>IF($A2245="","",IF($H2245="ENGAGE","Engagé",IF(AND($H2245="NON ENGAGE",OR($I2245="INFRUCTUEUX",$I2245="ANNULE")),"Clôturé sans suite","En cours")))</f>
        <v/>
      </c>
      <c r="N2245">
        <f>IF(ISBLANK('ENGAGEMENTS 2026'!B2245),"",'ENGAGEMENTS 2026'!K2245)</f>
        <v/>
      </c>
      <c r="O2245">
        <f>IF(ISBLANK('ENGAGEMENTS 2026'!B2245),"",'ENGAGEMENTS 2026'!L2245)</f>
        <v/>
      </c>
      <c r="P2245">
        <f>IF(ISBLANK('ENGAGEMENTS 2026'!B2245),"",'ENGAGEMENTS 2026'!J2245)</f>
        <v/>
      </c>
      <c r="Q2245">
        <f>IF($A2245="","",IF(OR($E2245="INFRUCTUEUX",$E2245="ANNULE"),$A2245&amp;"|"&amp;(COUNTIFS($A$2:$A2245,$A2245,$E$2:$E2245,"INFRUCTUEUX")+COUNTIFS($A$2:$A2245,$A2245,$E$2:$E2245,"ANNULE")),""))</f>
        <v/>
      </c>
    </row>
    <row r="2246">
      <c r="A2246">
        <f>IF(ISBLANK('ENGAGEMENTS 2026'!B2246),"",IF('ENGAGEMENTS 2026'!B2246="DTSI","DCT",'ENGAGEMENTS 2026'!B2246))</f>
        <v/>
      </c>
      <c r="B2246">
        <f>IF(ISBLANK('ENGAGEMENTS 2026'!B2246),"",'ENGAGEMENTS 2026'!C2246)</f>
        <v/>
      </c>
      <c r="C2246">
        <f>IF(ISBLANK('ENGAGEMENTS 2026'!B2246),"",'ENGAGEMENTS 2026'!D2246)</f>
        <v/>
      </c>
      <c r="D2246">
        <f>IF(ISBLANK('ENGAGEMENTS 2026'!B2246),"",'ENGAGEMENTS 2026'!F2246)</f>
        <v/>
      </c>
      <c r="E2246">
        <f>IF(ISBLANK('ENGAGEMENTS 2026'!B2246),"",'ENGAGEMENTS 2026'!H2246)</f>
        <v/>
      </c>
      <c r="F2246">
        <f>IF(ISBLANK('ENGAGEMENTS 2026'!B2246),"",'ENGAGEMENTS 2026'!I2246)</f>
        <v/>
      </c>
      <c r="G2246">
        <f>IF(ISBLANK('ENGAGEMENTS 2026'!B2246),"",'ENGAGEMENTS 2026'!L2246)</f>
        <v/>
      </c>
      <c r="H2246">
        <f>IF(ISBLANK('ENGAGEMENTS 2026'!B2246),"",'ENGAGEMENTS 2026'!AE2246)</f>
        <v/>
      </c>
      <c r="I2246">
        <f>IF(ISBLANK('ENGAGEMENTS 2026'!B2246),"",'ENGAGEMENTS 2026'!G2246)</f>
        <v/>
      </c>
      <c r="J2246" s="275">
        <f>IF(ISBLANK('ENGAGEMENTS 2026'!B2246),"",IF(AND(OR($E2246="INFRUCTUEUX",$E2246="ANNULE"),$C2246="AOO-M"),'ENGAGEMENTS 2026'!O2246,IF($H2246="EN COURS DE PREENGAGEMENT",'ENGAGEMENTS 2026'!N2246,IF($H2246="PREENGAGE",IF($E2246="ATTRIBUE",'ENGAGEMENTS 2026'!AD2246,'ENGAGEMENTS 2026'!N2246),'ENGAGEMENTS 2026'!AD2246))))</f>
        <v/>
      </c>
      <c r="K2246" s="604">
        <f>IF(ISBLANK('ENGAGEMENTS 2026'!V2246),"",'ENGAGEMENTS 2026'!V2246)</f>
        <v/>
      </c>
      <c r="L2246" s="276">
        <f>IF($K2246="","",TODAY()-$K2246)</f>
        <v/>
      </c>
      <c r="M2246">
        <f>IF($A2246="","",IF($H2246="ENGAGE","Engagé",IF(AND($H2246="NON ENGAGE",OR($I2246="INFRUCTUEUX",$I2246="ANNULE")),"Clôturé sans suite","En cours")))</f>
        <v/>
      </c>
      <c r="N2246">
        <f>IF(ISBLANK('ENGAGEMENTS 2026'!B2246),"",'ENGAGEMENTS 2026'!K2246)</f>
        <v/>
      </c>
      <c r="O2246">
        <f>IF(ISBLANK('ENGAGEMENTS 2026'!B2246),"",'ENGAGEMENTS 2026'!L2246)</f>
        <v/>
      </c>
      <c r="P2246">
        <f>IF(ISBLANK('ENGAGEMENTS 2026'!B2246),"",'ENGAGEMENTS 2026'!J2246)</f>
        <v/>
      </c>
      <c r="Q2246">
        <f>IF($A2246="","",IF(OR($E2246="INFRUCTUEUX",$E2246="ANNULE"),$A2246&amp;"|"&amp;(COUNTIFS($A$2:$A2246,$A2246,$E$2:$E2246,"INFRUCTUEUX")+COUNTIFS($A$2:$A2246,$A2246,$E$2:$E2246,"ANNULE")),""))</f>
        <v/>
      </c>
    </row>
    <row r="2247">
      <c r="A2247">
        <f>IF(ISBLANK('ENGAGEMENTS 2026'!B2247),"",IF('ENGAGEMENTS 2026'!B2247="DTSI","DCT",'ENGAGEMENTS 2026'!B2247))</f>
        <v/>
      </c>
      <c r="B2247">
        <f>IF(ISBLANK('ENGAGEMENTS 2026'!B2247),"",'ENGAGEMENTS 2026'!C2247)</f>
        <v/>
      </c>
      <c r="C2247">
        <f>IF(ISBLANK('ENGAGEMENTS 2026'!B2247),"",'ENGAGEMENTS 2026'!D2247)</f>
        <v/>
      </c>
      <c r="D2247">
        <f>IF(ISBLANK('ENGAGEMENTS 2026'!B2247),"",'ENGAGEMENTS 2026'!F2247)</f>
        <v/>
      </c>
      <c r="E2247">
        <f>IF(ISBLANK('ENGAGEMENTS 2026'!B2247),"",'ENGAGEMENTS 2026'!H2247)</f>
        <v/>
      </c>
      <c r="F2247">
        <f>IF(ISBLANK('ENGAGEMENTS 2026'!B2247),"",'ENGAGEMENTS 2026'!I2247)</f>
        <v/>
      </c>
      <c r="G2247">
        <f>IF(ISBLANK('ENGAGEMENTS 2026'!B2247),"",'ENGAGEMENTS 2026'!L2247)</f>
        <v/>
      </c>
      <c r="H2247">
        <f>IF(ISBLANK('ENGAGEMENTS 2026'!B2247),"",'ENGAGEMENTS 2026'!AE2247)</f>
        <v/>
      </c>
      <c r="I2247">
        <f>IF(ISBLANK('ENGAGEMENTS 2026'!B2247),"",'ENGAGEMENTS 2026'!G2247)</f>
        <v/>
      </c>
      <c r="J2247" s="275">
        <f>IF(ISBLANK('ENGAGEMENTS 2026'!B2247),"",IF(AND(OR($E2247="INFRUCTUEUX",$E2247="ANNULE"),$C2247="AOO-M"),'ENGAGEMENTS 2026'!O2247,IF($H2247="EN COURS DE PREENGAGEMENT",'ENGAGEMENTS 2026'!N2247,IF($H2247="PREENGAGE",IF($E2247="ATTRIBUE",'ENGAGEMENTS 2026'!AD2247,'ENGAGEMENTS 2026'!N2247),'ENGAGEMENTS 2026'!AD2247))))</f>
        <v/>
      </c>
      <c r="K2247" s="604">
        <f>IF(ISBLANK('ENGAGEMENTS 2026'!V2247),"",'ENGAGEMENTS 2026'!V2247)</f>
        <v/>
      </c>
      <c r="L2247" s="276">
        <f>IF($K2247="","",TODAY()-$K2247)</f>
        <v/>
      </c>
      <c r="M2247">
        <f>IF($A2247="","",IF($H2247="ENGAGE","Engagé",IF(AND($H2247="NON ENGAGE",OR($I2247="INFRUCTUEUX",$I2247="ANNULE")),"Clôturé sans suite","En cours")))</f>
        <v/>
      </c>
      <c r="N2247">
        <f>IF(ISBLANK('ENGAGEMENTS 2026'!B2247),"",'ENGAGEMENTS 2026'!K2247)</f>
        <v/>
      </c>
      <c r="O2247">
        <f>IF(ISBLANK('ENGAGEMENTS 2026'!B2247),"",'ENGAGEMENTS 2026'!L2247)</f>
        <v/>
      </c>
      <c r="P2247">
        <f>IF(ISBLANK('ENGAGEMENTS 2026'!B2247),"",'ENGAGEMENTS 2026'!J2247)</f>
        <v/>
      </c>
      <c r="Q2247">
        <f>IF($A2247="","",IF(OR($E2247="INFRUCTUEUX",$E2247="ANNULE"),$A2247&amp;"|"&amp;(COUNTIFS($A$2:$A2247,$A2247,$E$2:$E2247,"INFRUCTUEUX")+COUNTIFS($A$2:$A2247,$A2247,$E$2:$E2247,"ANNULE")),""))</f>
        <v/>
      </c>
    </row>
    <row r="2248">
      <c r="A2248">
        <f>IF(ISBLANK('ENGAGEMENTS 2026'!B2248),"",IF('ENGAGEMENTS 2026'!B2248="DTSI","DCT",'ENGAGEMENTS 2026'!B2248))</f>
        <v/>
      </c>
      <c r="B2248">
        <f>IF(ISBLANK('ENGAGEMENTS 2026'!B2248),"",'ENGAGEMENTS 2026'!C2248)</f>
        <v/>
      </c>
      <c r="C2248">
        <f>IF(ISBLANK('ENGAGEMENTS 2026'!B2248),"",'ENGAGEMENTS 2026'!D2248)</f>
        <v/>
      </c>
      <c r="D2248">
        <f>IF(ISBLANK('ENGAGEMENTS 2026'!B2248),"",'ENGAGEMENTS 2026'!F2248)</f>
        <v/>
      </c>
      <c r="E2248">
        <f>IF(ISBLANK('ENGAGEMENTS 2026'!B2248),"",'ENGAGEMENTS 2026'!H2248)</f>
        <v/>
      </c>
      <c r="F2248">
        <f>IF(ISBLANK('ENGAGEMENTS 2026'!B2248),"",'ENGAGEMENTS 2026'!I2248)</f>
        <v/>
      </c>
      <c r="G2248">
        <f>IF(ISBLANK('ENGAGEMENTS 2026'!B2248),"",'ENGAGEMENTS 2026'!L2248)</f>
        <v/>
      </c>
      <c r="H2248">
        <f>IF(ISBLANK('ENGAGEMENTS 2026'!B2248),"",'ENGAGEMENTS 2026'!AE2248)</f>
        <v/>
      </c>
      <c r="I2248">
        <f>IF(ISBLANK('ENGAGEMENTS 2026'!B2248),"",'ENGAGEMENTS 2026'!G2248)</f>
        <v/>
      </c>
      <c r="J2248" s="275">
        <f>IF(ISBLANK('ENGAGEMENTS 2026'!B2248),"",IF(AND(OR($E2248="INFRUCTUEUX",$E2248="ANNULE"),$C2248="AOO-M"),'ENGAGEMENTS 2026'!O2248,IF($H2248="EN COURS DE PREENGAGEMENT",'ENGAGEMENTS 2026'!N2248,IF($H2248="PREENGAGE",IF($E2248="ATTRIBUE",'ENGAGEMENTS 2026'!AD2248,'ENGAGEMENTS 2026'!N2248),'ENGAGEMENTS 2026'!AD2248))))</f>
        <v/>
      </c>
      <c r="K2248" s="604">
        <f>IF(ISBLANK('ENGAGEMENTS 2026'!V2248),"",'ENGAGEMENTS 2026'!V2248)</f>
        <v/>
      </c>
      <c r="L2248" s="276">
        <f>IF($K2248="","",TODAY()-$K2248)</f>
        <v/>
      </c>
      <c r="M2248">
        <f>IF($A2248="","",IF($H2248="ENGAGE","Engagé",IF(AND($H2248="NON ENGAGE",OR($I2248="INFRUCTUEUX",$I2248="ANNULE")),"Clôturé sans suite","En cours")))</f>
        <v/>
      </c>
      <c r="N2248">
        <f>IF(ISBLANK('ENGAGEMENTS 2026'!B2248),"",'ENGAGEMENTS 2026'!K2248)</f>
        <v/>
      </c>
      <c r="O2248">
        <f>IF(ISBLANK('ENGAGEMENTS 2026'!B2248),"",'ENGAGEMENTS 2026'!L2248)</f>
        <v/>
      </c>
      <c r="P2248">
        <f>IF(ISBLANK('ENGAGEMENTS 2026'!B2248),"",'ENGAGEMENTS 2026'!J2248)</f>
        <v/>
      </c>
      <c r="Q2248">
        <f>IF($A2248="","",IF(OR($E2248="INFRUCTUEUX",$E2248="ANNULE"),$A2248&amp;"|"&amp;(COUNTIFS($A$2:$A2248,$A2248,$E$2:$E2248,"INFRUCTUEUX")+COUNTIFS($A$2:$A2248,$A2248,$E$2:$E2248,"ANNULE")),""))</f>
        <v/>
      </c>
    </row>
    <row r="2249">
      <c r="A2249">
        <f>IF(ISBLANK('ENGAGEMENTS 2026'!B2249),"",IF('ENGAGEMENTS 2026'!B2249="DTSI","DCT",'ENGAGEMENTS 2026'!B2249))</f>
        <v/>
      </c>
      <c r="B2249">
        <f>IF(ISBLANK('ENGAGEMENTS 2026'!B2249),"",'ENGAGEMENTS 2026'!C2249)</f>
        <v/>
      </c>
      <c r="C2249">
        <f>IF(ISBLANK('ENGAGEMENTS 2026'!B2249),"",'ENGAGEMENTS 2026'!D2249)</f>
        <v/>
      </c>
      <c r="D2249">
        <f>IF(ISBLANK('ENGAGEMENTS 2026'!B2249),"",'ENGAGEMENTS 2026'!F2249)</f>
        <v/>
      </c>
      <c r="E2249">
        <f>IF(ISBLANK('ENGAGEMENTS 2026'!B2249),"",'ENGAGEMENTS 2026'!H2249)</f>
        <v/>
      </c>
      <c r="F2249">
        <f>IF(ISBLANK('ENGAGEMENTS 2026'!B2249),"",'ENGAGEMENTS 2026'!I2249)</f>
        <v/>
      </c>
      <c r="G2249">
        <f>IF(ISBLANK('ENGAGEMENTS 2026'!B2249),"",'ENGAGEMENTS 2026'!L2249)</f>
        <v/>
      </c>
      <c r="H2249">
        <f>IF(ISBLANK('ENGAGEMENTS 2026'!B2249),"",'ENGAGEMENTS 2026'!AE2249)</f>
        <v/>
      </c>
      <c r="I2249">
        <f>IF(ISBLANK('ENGAGEMENTS 2026'!B2249),"",'ENGAGEMENTS 2026'!G2249)</f>
        <v/>
      </c>
      <c r="J2249" s="275">
        <f>IF(ISBLANK('ENGAGEMENTS 2026'!B2249),"",IF(AND(OR($E2249="INFRUCTUEUX",$E2249="ANNULE"),$C2249="AOO-M"),'ENGAGEMENTS 2026'!O2249,IF($H2249="EN COURS DE PREENGAGEMENT",'ENGAGEMENTS 2026'!N2249,IF($H2249="PREENGAGE",IF($E2249="ATTRIBUE",'ENGAGEMENTS 2026'!AD2249,'ENGAGEMENTS 2026'!N2249),'ENGAGEMENTS 2026'!AD2249))))</f>
        <v/>
      </c>
      <c r="K2249" s="604">
        <f>IF(ISBLANK('ENGAGEMENTS 2026'!V2249),"",'ENGAGEMENTS 2026'!V2249)</f>
        <v/>
      </c>
      <c r="L2249" s="276">
        <f>IF($K2249="","",TODAY()-$K2249)</f>
        <v/>
      </c>
      <c r="M2249">
        <f>IF($A2249="","",IF($H2249="ENGAGE","Engagé",IF(AND($H2249="NON ENGAGE",OR($I2249="INFRUCTUEUX",$I2249="ANNULE")),"Clôturé sans suite","En cours")))</f>
        <v/>
      </c>
      <c r="N2249">
        <f>IF(ISBLANK('ENGAGEMENTS 2026'!B2249),"",'ENGAGEMENTS 2026'!K2249)</f>
        <v/>
      </c>
      <c r="O2249">
        <f>IF(ISBLANK('ENGAGEMENTS 2026'!B2249),"",'ENGAGEMENTS 2026'!L2249)</f>
        <v/>
      </c>
      <c r="P2249">
        <f>IF(ISBLANK('ENGAGEMENTS 2026'!B2249),"",'ENGAGEMENTS 2026'!J2249)</f>
        <v/>
      </c>
      <c r="Q2249">
        <f>IF($A2249="","",IF(OR($E2249="INFRUCTUEUX",$E2249="ANNULE"),$A2249&amp;"|"&amp;(COUNTIFS($A$2:$A2249,$A2249,$E$2:$E2249,"INFRUCTUEUX")+COUNTIFS($A$2:$A2249,$A2249,$E$2:$E2249,"ANNULE")),""))</f>
        <v/>
      </c>
    </row>
    <row r="2250">
      <c r="A2250">
        <f>IF(ISBLANK('ENGAGEMENTS 2026'!B2250),"",IF('ENGAGEMENTS 2026'!B2250="DTSI","DCT",'ENGAGEMENTS 2026'!B2250))</f>
        <v/>
      </c>
      <c r="B2250">
        <f>IF(ISBLANK('ENGAGEMENTS 2026'!B2250),"",'ENGAGEMENTS 2026'!C2250)</f>
        <v/>
      </c>
      <c r="C2250">
        <f>IF(ISBLANK('ENGAGEMENTS 2026'!B2250),"",'ENGAGEMENTS 2026'!D2250)</f>
        <v/>
      </c>
      <c r="D2250">
        <f>IF(ISBLANK('ENGAGEMENTS 2026'!B2250),"",'ENGAGEMENTS 2026'!F2250)</f>
        <v/>
      </c>
      <c r="E2250">
        <f>IF(ISBLANK('ENGAGEMENTS 2026'!B2250),"",'ENGAGEMENTS 2026'!H2250)</f>
        <v/>
      </c>
      <c r="F2250">
        <f>IF(ISBLANK('ENGAGEMENTS 2026'!B2250),"",'ENGAGEMENTS 2026'!I2250)</f>
        <v/>
      </c>
      <c r="G2250">
        <f>IF(ISBLANK('ENGAGEMENTS 2026'!B2250),"",'ENGAGEMENTS 2026'!L2250)</f>
        <v/>
      </c>
      <c r="H2250">
        <f>IF(ISBLANK('ENGAGEMENTS 2026'!B2250),"",'ENGAGEMENTS 2026'!AE2250)</f>
        <v/>
      </c>
      <c r="I2250">
        <f>IF(ISBLANK('ENGAGEMENTS 2026'!B2250),"",'ENGAGEMENTS 2026'!G2250)</f>
        <v/>
      </c>
      <c r="J2250" s="275">
        <f>IF(ISBLANK('ENGAGEMENTS 2026'!B2250),"",IF(AND(OR($E2250="INFRUCTUEUX",$E2250="ANNULE"),$C2250="AOO-M"),'ENGAGEMENTS 2026'!O2250,IF($H2250="EN COURS DE PREENGAGEMENT",'ENGAGEMENTS 2026'!N2250,IF($H2250="PREENGAGE",IF($E2250="ATTRIBUE",'ENGAGEMENTS 2026'!AD2250,'ENGAGEMENTS 2026'!N2250),'ENGAGEMENTS 2026'!AD2250))))</f>
        <v/>
      </c>
      <c r="K2250" s="604">
        <f>IF(ISBLANK('ENGAGEMENTS 2026'!V2250),"",'ENGAGEMENTS 2026'!V2250)</f>
        <v/>
      </c>
      <c r="L2250" s="276">
        <f>IF($K2250="","",TODAY()-$K2250)</f>
        <v/>
      </c>
      <c r="M2250">
        <f>IF($A2250="","",IF($H2250="ENGAGE","Engagé",IF(AND($H2250="NON ENGAGE",OR($I2250="INFRUCTUEUX",$I2250="ANNULE")),"Clôturé sans suite","En cours")))</f>
        <v/>
      </c>
      <c r="N2250">
        <f>IF(ISBLANK('ENGAGEMENTS 2026'!B2250),"",'ENGAGEMENTS 2026'!K2250)</f>
        <v/>
      </c>
      <c r="O2250">
        <f>IF(ISBLANK('ENGAGEMENTS 2026'!B2250),"",'ENGAGEMENTS 2026'!L2250)</f>
        <v/>
      </c>
      <c r="P2250">
        <f>IF(ISBLANK('ENGAGEMENTS 2026'!B2250),"",'ENGAGEMENTS 2026'!J2250)</f>
        <v/>
      </c>
      <c r="Q2250">
        <f>IF($A2250="","",IF(OR($E2250="INFRUCTUEUX",$E2250="ANNULE"),$A2250&amp;"|"&amp;(COUNTIFS($A$2:$A2250,$A2250,$E$2:$E2250,"INFRUCTUEUX")+COUNTIFS($A$2:$A2250,$A2250,$E$2:$E2250,"ANNULE")),""))</f>
        <v/>
      </c>
    </row>
    <row r="2251">
      <c r="A2251">
        <f>IF(ISBLANK('ENGAGEMENTS 2026'!B2251),"",IF('ENGAGEMENTS 2026'!B2251="DTSI","DCT",'ENGAGEMENTS 2026'!B2251))</f>
        <v/>
      </c>
      <c r="B2251">
        <f>IF(ISBLANK('ENGAGEMENTS 2026'!B2251),"",'ENGAGEMENTS 2026'!C2251)</f>
        <v/>
      </c>
      <c r="C2251">
        <f>IF(ISBLANK('ENGAGEMENTS 2026'!B2251),"",'ENGAGEMENTS 2026'!D2251)</f>
        <v/>
      </c>
      <c r="D2251">
        <f>IF(ISBLANK('ENGAGEMENTS 2026'!B2251),"",'ENGAGEMENTS 2026'!F2251)</f>
        <v/>
      </c>
      <c r="E2251">
        <f>IF(ISBLANK('ENGAGEMENTS 2026'!B2251),"",'ENGAGEMENTS 2026'!H2251)</f>
        <v/>
      </c>
      <c r="F2251">
        <f>IF(ISBLANK('ENGAGEMENTS 2026'!B2251),"",'ENGAGEMENTS 2026'!I2251)</f>
        <v/>
      </c>
      <c r="G2251">
        <f>IF(ISBLANK('ENGAGEMENTS 2026'!B2251),"",'ENGAGEMENTS 2026'!L2251)</f>
        <v/>
      </c>
      <c r="H2251">
        <f>IF(ISBLANK('ENGAGEMENTS 2026'!B2251),"",'ENGAGEMENTS 2026'!AE2251)</f>
        <v/>
      </c>
      <c r="I2251">
        <f>IF(ISBLANK('ENGAGEMENTS 2026'!B2251),"",'ENGAGEMENTS 2026'!G2251)</f>
        <v/>
      </c>
      <c r="J2251" s="275">
        <f>IF(ISBLANK('ENGAGEMENTS 2026'!B2251),"",IF(AND(OR($E2251="INFRUCTUEUX",$E2251="ANNULE"),$C2251="AOO-M"),'ENGAGEMENTS 2026'!O2251,IF($H2251="EN COURS DE PREENGAGEMENT",'ENGAGEMENTS 2026'!N2251,IF($H2251="PREENGAGE",IF($E2251="ATTRIBUE",'ENGAGEMENTS 2026'!AD2251,'ENGAGEMENTS 2026'!N2251),'ENGAGEMENTS 2026'!AD2251))))</f>
        <v/>
      </c>
      <c r="K2251" s="604">
        <f>IF(ISBLANK('ENGAGEMENTS 2026'!V2251),"",'ENGAGEMENTS 2026'!V2251)</f>
        <v/>
      </c>
      <c r="L2251" s="276">
        <f>IF($K2251="","",TODAY()-$K2251)</f>
        <v/>
      </c>
      <c r="M2251">
        <f>IF($A2251="","",IF($H2251="ENGAGE","Engagé",IF(AND($H2251="NON ENGAGE",OR($I2251="INFRUCTUEUX",$I2251="ANNULE")),"Clôturé sans suite","En cours")))</f>
        <v/>
      </c>
      <c r="N2251">
        <f>IF(ISBLANK('ENGAGEMENTS 2026'!B2251),"",'ENGAGEMENTS 2026'!K2251)</f>
        <v/>
      </c>
      <c r="O2251">
        <f>IF(ISBLANK('ENGAGEMENTS 2026'!B2251),"",'ENGAGEMENTS 2026'!L2251)</f>
        <v/>
      </c>
      <c r="P2251">
        <f>IF(ISBLANK('ENGAGEMENTS 2026'!B2251),"",'ENGAGEMENTS 2026'!J2251)</f>
        <v/>
      </c>
      <c r="Q2251">
        <f>IF($A2251="","",IF(OR($E2251="INFRUCTUEUX",$E2251="ANNULE"),$A2251&amp;"|"&amp;(COUNTIFS($A$2:$A2251,$A2251,$E$2:$E2251,"INFRUCTUEUX")+COUNTIFS($A$2:$A2251,$A2251,$E$2:$E2251,"ANNULE")),""))</f>
        <v/>
      </c>
    </row>
    <row r="2252">
      <c r="A2252">
        <f>IF(ISBLANK('ENGAGEMENTS 2026'!B2252),"",IF('ENGAGEMENTS 2026'!B2252="DTSI","DCT",'ENGAGEMENTS 2026'!B2252))</f>
        <v/>
      </c>
      <c r="B2252">
        <f>IF(ISBLANK('ENGAGEMENTS 2026'!B2252),"",'ENGAGEMENTS 2026'!C2252)</f>
        <v/>
      </c>
      <c r="C2252">
        <f>IF(ISBLANK('ENGAGEMENTS 2026'!B2252),"",'ENGAGEMENTS 2026'!D2252)</f>
        <v/>
      </c>
      <c r="D2252">
        <f>IF(ISBLANK('ENGAGEMENTS 2026'!B2252),"",'ENGAGEMENTS 2026'!F2252)</f>
        <v/>
      </c>
      <c r="E2252">
        <f>IF(ISBLANK('ENGAGEMENTS 2026'!B2252),"",'ENGAGEMENTS 2026'!H2252)</f>
        <v/>
      </c>
      <c r="F2252">
        <f>IF(ISBLANK('ENGAGEMENTS 2026'!B2252),"",'ENGAGEMENTS 2026'!I2252)</f>
        <v/>
      </c>
      <c r="G2252">
        <f>IF(ISBLANK('ENGAGEMENTS 2026'!B2252),"",'ENGAGEMENTS 2026'!L2252)</f>
        <v/>
      </c>
      <c r="H2252">
        <f>IF(ISBLANK('ENGAGEMENTS 2026'!B2252),"",'ENGAGEMENTS 2026'!AE2252)</f>
        <v/>
      </c>
      <c r="I2252">
        <f>IF(ISBLANK('ENGAGEMENTS 2026'!B2252),"",'ENGAGEMENTS 2026'!G2252)</f>
        <v/>
      </c>
      <c r="J2252" s="275">
        <f>IF(ISBLANK('ENGAGEMENTS 2026'!B2252),"",IF(AND(OR($E2252="INFRUCTUEUX",$E2252="ANNULE"),$C2252="AOO-M"),'ENGAGEMENTS 2026'!O2252,IF($H2252="EN COURS DE PREENGAGEMENT",'ENGAGEMENTS 2026'!N2252,IF($H2252="PREENGAGE",IF($E2252="ATTRIBUE",'ENGAGEMENTS 2026'!AD2252,'ENGAGEMENTS 2026'!N2252),'ENGAGEMENTS 2026'!AD2252))))</f>
        <v/>
      </c>
      <c r="K2252" s="604">
        <f>IF(ISBLANK('ENGAGEMENTS 2026'!V2252),"",'ENGAGEMENTS 2026'!V2252)</f>
        <v/>
      </c>
      <c r="L2252" s="276">
        <f>IF($K2252="","",TODAY()-$K2252)</f>
        <v/>
      </c>
      <c r="M2252">
        <f>IF($A2252="","",IF($H2252="ENGAGE","Engagé",IF(AND($H2252="NON ENGAGE",OR($I2252="INFRUCTUEUX",$I2252="ANNULE")),"Clôturé sans suite","En cours")))</f>
        <v/>
      </c>
      <c r="N2252">
        <f>IF(ISBLANK('ENGAGEMENTS 2026'!B2252),"",'ENGAGEMENTS 2026'!K2252)</f>
        <v/>
      </c>
      <c r="O2252">
        <f>IF(ISBLANK('ENGAGEMENTS 2026'!B2252),"",'ENGAGEMENTS 2026'!L2252)</f>
        <v/>
      </c>
      <c r="P2252">
        <f>IF(ISBLANK('ENGAGEMENTS 2026'!B2252),"",'ENGAGEMENTS 2026'!J2252)</f>
        <v/>
      </c>
      <c r="Q2252">
        <f>IF($A2252="","",IF(OR($E2252="INFRUCTUEUX",$E2252="ANNULE"),$A2252&amp;"|"&amp;(COUNTIFS($A$2:$A2252,$A2252,$E$2:$E2252,"INFRUCTUEUX")+COUNTIFS($A$2:$A2252,$A2252,$E$2:$E2252,"ANNULE")),""))</f>
        <v/>
      </c>
    </row>
    <row r="2253">
      <c r="A2253">
        <f>IF(ISBLANK('ENGAGEMENTS 2026'!B2253),"",IF('ENGAGEMENTS 2026'!B2253="DTSI","DCT",'ENGAGEMENTS 2026'!B2253))</f>
        <v/>
      </c>
      <c r="B2253">
        <f>IF(ISBLANK('ENGAGEMENTS 2026'!B2253),"",'ENGAGEMENTS 2026'!C2253)</f>
        <v/>
      </c>
      <c r="C2253">
        <f>IF(ISBLANK('ENGAGEMENTS 2026'!B2253),"",'ENGAGEMENTS 2026'!D2253)</f>
        <v/>
      </c>
      <c r="D2253">
        <f>IF(ISBLANK('ENGAGEMENTS 2026'!B2253),"",'ENGAGEMENTS 2026'!F2253)</f>
        <v/>
      </c>
      <c r="E2253">
        <f>IF(ISBLANK('ENGAGEMENTS 2026'!B2253),"",'ENGAGEMENTS 2026'!H2253)</f>
        <v/>
      </c>
      <c r="F2253">
        <f>IF(ISBLANK('ENGAGEMENTS 2026'!B2253),"",'ENGAGEMENTS 2026'!I2253)</f>
        <v/>
      </c>
      <c r="G2253">
        <f>IF(ISBLANK('ENGAGEMENTS 2026'!B2253),"",'ENGAGEMENTS 2026'!L2253)</f>
        <v/>
      </c>
      <c r="H2253">
        <f>IF(ISBLANK('ENGAGEMENTS 2026'!B2253),"",'ENGAGEMENTS 2026'!AE2253)</f>
        <v/>
      </c>
      <c r="I2253">
        <f>IF(ISBLANK('ENGAGEMENTS 2026'!B2253),"",'ENGAGEMENTS 2026'!G2253)</f>
        <v/>
      </c>
      <c r="J2253" s="275">
        <f>IF(ISBLANK('ENGAGEMENTS 2026'!B2253),"",IF(AND(OR($E2253="INFRUCTUEUX",$E2253="ANNULE"),$C2253="AOO-M"),'ENGAGEMENTS 2026'!O2253,IF($H2253="EN COURS DE PREENGAGEMENT",'ENGAGEMENTS 2026'!N2253,IF($H2253="PREENGAGE",IF($E2253="ATTRIBUE",'ENGAGEMENTS 2026'!AD2253,'ENGAGEMENTS 2026'!N2253),'ENGAGEMENTS 2026'!AD2253))))</f>
        <v/>
      </c>
      <c r="K2253" s="604">
        <f>IF(ISBLANK('ENGAGEMENTS 2026'!V2253),"",'ENGAGEMENTS 2026'!V2253)</f>
        <v/>
      </c>
      <c r="L2253" s="276">
        <f>IF($K2253="","",TODAY()-$K2253)</f>
        <v/>
      </c>
      <c r="M2253">
        <f>IF($A2253="","",IF($H2253="ENGAGE","Engagé",IF(AND($H2253="NON ENGAGE",OR($I2253="INFRUCTUEUX",$I2253="ANNULE")),"Clôturé sans suite","En cours")))</f>
        <v/>
      </c>
      <c r="N2253">
        <f>IF(ISBLANK('ENGAGEMENTS 2026'!B2253),"",'ENGAGEMENTS 2026'!K2253)</f>
        <v/>
      </c>
      <c r="O2253">
        <f>IF(ISBLANK('ENGAGEMENTS 2026'!B2253),"",'ENGAGEMENTS 2026'!L2253)</f>
        <v/>
      </c>
      <c r="P2253">
        <f>IF(ISBLANK('ENGAGEMENTS 2026'!B2253),"",'ENGAGEMENTS 2026'!J2253)</f>
        <v/>
      </c>
      <c r="Q2253">
        <f>IF($A2253="","",IF(OR($E2253="INFRUCTUEUX",$E2253="ANNULE"),$A2253&amp;"|"&amp;(COUNTIFS($A$2:$A2253,$A2253,$E$2:$E2253,"INFRUCTUEUX")+COUNTIFS($A$2:$A2253,$A2253,$E$2:$E2253,"ANNULE")),""))</f>
        <v/>
      </c>
    </row>
    <row r="2254">
      <c r="A2254">
        <f>IF(ISBLANK('ENGAGEMENTS 2026'!B2254),"",IF('ENGAGEMENTS 2026'!B2254="DTSI","DCT",'ENGAGEMENTS 2026'!B2254))</f>
        <v/>
      </c>
      <c r="B2254">
        <f>IF(ISBLANK('ENGAGEMENTS 2026'!B2254),"",'ENGAGEMENTS 2026'!C2254)</f>
        <v/>
      </c>
      <c r="C2254">
        <f>IF(ISBLANK('ENGAGEMENTS 2026'!B2254),"",'ENGAGEMENTS 2026'!D2254)</f>
        <v/>
      </c>
      <c r="D2254">
        <f>IF(ISBLANK('ENGAGEMENTS 2026'!B2254),"",'ENGAGEMENTS 2026'!F2254)</f>
        <v/>
      </c>
      <c r="E2254">
        <f>IF(ISBLANK('ENGAGEMENTS 2026'!B2254),"",'ENGAGEMENTS 2026'!H2254)</f>
        <v/>
      </c>
      <c r="F2254">
        <f>IF(ISBLANK('ENGAGEMENTS 2026'!B2254),"",'ENGAGEMENTS 2026'!I2254)</f>
        <v/>
      </c>
      <c r="G2254">
        <f>IF(ISBLANK('ENGAGEMENTS 2026'!B2254),"",'ENGAGEMENTS 2026'!L2254)</f>
        <v/>
      </c>
      <c r="H2254">
        <f>IF(ISBLANK('ENGAGEMENTS 2026'!B2254),"",'ENGAGEMENTS 2026'!AE2254)</f>
        <v/>
      </c>
      <c r="I2254">
        <f>IF(ISBLANK('ENGAGEMENTS 2026'!B2254),"",'ENGAGEMENTS 2026'!G2254)</f>
        <v/>
      </c>
      <c r="J2254" s="275">
        <f>IF(ISBLANK('ENGAGEMENTS 2026'!B2254),"",IF(AND(OR($E2254="INFRUCTUEUX",$E2254="ANNULE"),$C2254="AOO-M"),'ENGAGEMENTS 2026'!O2254,IF($H2254="EN COURS DE PREENGAGEMENT",'ENGAGEMENTS 2026'!N2254,IF($H2254="PREENGAGE",IF($E2254="ATTRIBUE",'ENGAGEMENTS 2026'!AD2254,'ENGAGEMENTS 2026'!N2254),'ENGAGEMENTS 2026'!AD2254))))</f>
        <v/>
      </c>
      <c r="K2254" s="604">
        <f>IF(ISBLANK('ENGAGEMENTS 2026'!V2254),"",'ENGAGEMENTS 2026'!V2254)</f>
        <v/>
      </c>
      <c r="L2254" s="276">
        <f>IF($K2254="","",TODAY()-$K2254)</f>
        <v/>
      </c>
      <c r="M2254">
        <f>IF($A2254="","",IF($H2254="ENGAGE","Engagé",IF(AND($H2254="NON ENGAGE",OR($I2254="INFRUCTUEUX",$I2254="ANNULE")),"Clôturé sans suite","En cours")))</f>
        <v/>
      </c>
      <c r="N2254">
        <f>IF(ISBLANK('ENGAGEMENTS 2026'!B2254),"",'ENGAGEMENTS 2026'!K2254)</f>
        <v/>
      </c>
      <c r="O2254">
        <f>IF(ISBLANK('ENGAGEMENTS 2026'!B2254),"",'ENGAGEMENTS 2026'!L2254)</f>
        <v/>
      </c>
      <c r="P2254">
        <f>IF(ISBLANK('ENGAGEMENTS 2026'!B2254),"",'ENGAGEMENTS 2026'!J2254)</f>
        <v/>
      </c>
      <c r="Q2254">
        <f>IF($A2254="","",IF(OR($E2254="INFRUCTUEUX",$E2254="ANNULE"),$A2254&amp;"|"&amp;(COUNTIFS($A$2:$A2254,$A2254,$E$2:$E2254,"INFRUCTUEUX")+COUNTIFS($A$2:$A2254,$A2254,$E$2:$E2254,"ANNULE")),""))</f>
        <v/>
      </c>
    </row>
    <row r="2255">
      <c r="A2255">
        <f>IF(ISBLANK('ENGAGEMENTS 2026'!B2255),"",IF('ENGAGEMENTS 2026'!B2255="DTSI","DCT",'ENGAGEMENTS 2026'!B2255))</f>
        <v/>
      </c>
      <c r="B2255">
        <f>IF(ISBLANK('ENGAGEMENTS 2026'!B2255),"",'ENGAGEMENTS 2026'!C2255)</f>
        <v/>
      </c>
      <c r="C2255">
        <f>IF(ISBLANK('ENGAGEMENTS 2026'!B2255),"",'ENGAGEMENTS 2026'!D2255)</f>
        <v/>
      </c>
      <c r="D2255">
        <f>IF(ISBLANK('ENGAGEMENTS 2026'!B2255),"",'ENGAGEMENTS 2026'!F2255)</f>
        <v/>
      </c>
      <c r="E2255">
        <f>IF(ISBLANK('ENGAGEMENTS 2026'!B2255),"",'ENGAGEMENTS 2026'!H2255)</f>
        <v/>
      </c>
      <c r="F2255">
        <f>IF(ISBLANK('ENGAGEMENTS 2026'!B2255),"",'ENGAGEMENTS 2026'!I2255)</f>
        <v/>
      </c>
      <c r="G2255">
        <f>IF(ISBLANK('ENGAGEMENTS 2026'!B2255),"",'ENGAGEMENTS 2026'!L2255)</f>
        <v/>
      </c>
      <c r="H2255">
        <f>IF(ISBLANK('ENGAGEMENTS 2026'!B2255),"",'ENGAGEMENTS 2026'!AE2255)</f>
        <v/>
      </c>
      <c r="I2255">
        <f>IF(ISBLANK('ENGAGEMENTS 2026'!B2255),"",'ENGAGEMENTS 2026'!G2255)</f>
        <v/>
      </c>
      <c r="J2255" s="275">
        <f>IF(ISBLANK('ENGAGEMENTS 2026'!B2255),"",IF(AND(OR($E2255="INFRUCTUEUX",$E2255="ANNULE"),$C2255="AOO-M"),'ENGAGEMENTS 2026'!O2255,IF($H2255="EN COURS DE PREENGAGEMENT",'ENGAGEMENTS 2026'!N2255,IF($H2255="PREENGAGE",IF($E2255="ATTRIBUE",'ENGAGEMENTS 2026'!AD2255,'ENGAGEMENTS 2026'!N2255),'ENGAGEMENTS 2026'!AD2255))))</f>
        <v/>
      </c>
      <c r="K2255" s="604">
        <f>IF(ISBLANK('ENGAGEMENTS 2026'!V2255),"",'ENGAGEMENTS 2026'!V2255)</f>
        <v/>
      </c>
      <c r="L2255" s="276">
        <f>IF($K2255="","",TODAY()-$K2255)</f>
        <v/>
      </c>
      <c r="M2255">
        <f>IF($A2255="","",IF($H2255="ENGAGE","Engagé",IF(AND($H2255="NON ENGAGE",OR($I2255="INFRUCTUEUX",$I2255="ANNULE")),"Clôturé sans suite","En cours")))</f>
        <v/>
      </c>
      <c r="N2255">
        <f>IF(ISBLANK('ENGAGEMENTS 2026'!B2255),"",'ENGAGEMENTS 2026'!K2255)</f>
        <v/>
      </c>
      <c r="O2255">
        <f>IF(ISBLANK('ENGAGEMENTS 2026'!B2255),"",'ENGAGEMENTS 2026'!L2255)</f>
        <v/>
      </c>
      <c r="P2255">
        <f>IF(ISBLANK('ENGAGEMENTS 2026'!B2255),"",'ENGAGEMENTS 2026'!J2255)</f>
        <v/>
      </c>
      <c r="Q2255">
        <f>IF($A2255="","",IF(OR($E2255="INFRUCTUEUX",$E2255="ANNULE"),$A2255&amp;"|"&amp;(COUNTIFS($A$2:$A2255,$A2255,$E$2:$E2255,"INFRUCTUEUX")+COUNTIFS($A$2:$A2255,$A2255,$E$2:$E2255,"ANNULE")),""))</f>
        <v/>
      </c>
    </row>
    <row r="2256">
      <c r="A2256">
        <f>IF(ISBLANK('ENGAGEMENTS 2026'!B2256),"",IF('ENGAGEMENTS 2026'!B2256="DTSI","DCT",'ENGAGEMENTS 2026'!B2256))</f>
        <v/>
      </c>
      <c r="B2256">
        <f>IF(ISBLANK('ENGAGEMENTS 2026'!B2256),"",'ENGAGEMENTS 2026'!C2256)</f>
        <v/>
      </c>
      <c r="C2256">
        <f>IF(ISBLANK('ENGAGEMENTS 2026'!B2256),"",'ENGAGEMENTS 2026'!D2256)</f>
        <v/>
      </c>
      <c r="D2256">
        <f>IF(ISBLANK('ENGAGEMENTS 2026'!B2256),"",'ENGAGEMENTS 2026'!F2256)</f>
        <v/>
      </c>
      <c r="E2256">
        <f>IF(ISBLANK('ENGAGEMENTS 2026'!B2256),"",'ENGAGEMENTS 2026'!H2256)</f>
        <v/>
      </c>
      <c r="F2256">
        <f>IF(ISBLANK('ENGAGEMENTS 2026'!B2256),"",'ENGAGEMENTS 2026'!I2256)</f>
        <v/>
      </c>
      <c r="G2256">
        <f>IF(ISBLANK('ENGAGEMENTS 2026'!B2256),"",'ENGAGEMENTS 2026'!L2256)</f>
        <v/>
      </c>
      <c r="H2256">
        <f>IF(ISBLANK('ENGAGEMENTS 2026'!B2256),"",'ENGAGEMENTS 2026'!AE2256)</f>
        <v/>
      </c>
      <c r="I2256">
        <f>IF(ISBLANK('ENGAGEMENTS 2026'!B2256),"",'ENGAGEMENTS 2026'!G2256)</f>
        <v/>
      </c>
      <c r="J2256" s="275">
        <f>IF(ISBLANK('ENGAGEMENTS 2026'!B2256),"",IF(AND(OR($E2256="INFRUCTUEUX",$E2256="ANNULE"),$C2256="AOO-M"),'ENGAGEMENTS 2026'!O2256,IF($H2256="EN COURS DE PREENGAGEMENT",'ENGAGEMENTS 2026'!N2256,IF($H2256="PREENGAGE",IF($E2256="ATTRIBUE",'ENGAGEMENTS 2026'!AD2256,'ENGAGEMENTS 2026'!N2256),'ENGAGEMENTS 2026'!AD2256))))</f>
        <v/>
      </c>
      <c r="K2256" s="604">
        <f>IF(ISBLANK('ENGAGEMENTS 2026'!V2256),"",'ENGAGEMENTS 2026'!V2256)</f>
        <v/>
      </c>
      <c r="L2256" s="276">
        <f>IF($K2256="","",TODAY()-$K2256)</f>
        <v/>
      </c>
      <c r="M2256">
        <f>IF($A2256="","",IF($H2256="ENGAGE","Engagé",IF(AND($H2256="NON ENGAGE",OR($I2256="INFRUCTUEUX",$I2256="ANNULE")),"Clôturé sans suite","En cours")))</f>
        <v/>
      </c>
      <c r="N2256">
        <f>IF(ISBLANK('ENGAGEMENTS 2026'!B2256),"",'ENGAGEMENTS 2026'!K2256)</f>
        <v/>
      </c>
      <c r="O2256">
        <f>IF(ISBLANK('ENGAGEMENTS 2026'!B2256),"",'ENGAGEMENTS 2026'!L2256)</f>
        <v/>
      </c>
      <c r="P2256">
        <f>IF(ISBLANK('ENGAGEMENTS 2026'!B2256),"",'ENGAGEMENTS 2026'!J2256)</f>
        <v/>
      </c>
      <c r="Q2256">
        <f>IF($A2256="","",IF(OR($E2256="INFRUCTUEUX",$E2256="ANNULE"),$A2256&amp;"|"&amp;(COUNTIFS($A$2:$A2256,$A2256,$E$2:$E2256,"INFRUCTUEUX")+COUNTIFS($A$2:$A2256,$A2256,$E$2:$E2256,"ANNULE")),""))</f>
        <v/>
      </c>
    </row>
    <row r="2257">
      <c r="A2257">
        <f>IF(ISBLANK('ENGAGEMENTS 2026'!B2257),"",IF('ENGAGEMENTS 2026'!B2257="DTSI","DCT",'ENGAGEMENTS 2026'!B2257))</f>
        <v/>
      </c>
      <c r="B2257">
        <f>IF(ISBLANK('ENGAGEMENTS 2026'!B2257),"",'ENGAGEMENTS 2026'!C2257)</f>
        <v/>
      </c>
      <c r="C2257">
        <f>IF(ISBLANK('ENGAGEMENTS 2026'!B2257),"",'ENGAGEMENTS 2026'!D2257)</f>
        <v/>
      </c>
      <c r="D2257">
        <f>IF(ISBLANK('ENGAGEMENTS 2026'!B2257),"",'ENGAGEMENTS 2026'!F2257)</f>
        <v/>
      </c>
      <c r="E2257">
        <f>IF(ISBLANK('ENGAGEMENTS 2026'!B2257),"",'ENGAGEMENTS 2026'!H2257)</f>
        <v/>
      </c>
      <c r="F2257">
        <f>IF(ISBLANK('ENGAGEMENTS 2026'!B2257),"",'ENGAGEMENTS 2026'!I2257)</f>
        <v/>
      </c>
      <c r="G2257">
        <f>IF(ISBLANK('ENGAGEMENTS 2026'!B2257),"",'ENGAGEMENTS 2026'!L2257)</f>
        <v/>
      </c>
      <c r="H2257">
        <f>IF(ISBLANK('ENGAGEMENTS 2026'!B2257),"",'ENGAGEMENTS 2026'!AE2257)</f>
        <v/>
      </c>
      <c r="I2257">
        <f>IF(ISBLANK('ENGAGEMENTS 2026'!B2257),"",'ENGAGEMENTS 2026'!G2257)</f>
        <v/>
      </c>
      <c r="J2257" s="275">
        <f>IF(ISBLANK('ENGAGEMENTS 2026'!B2257),"",IF(AND(OR($E2257="INFRUCTUEUX",$E2257="ANNULE"),$C2257="AOO-M"),'ENGAGEMENTS 2026'!O2257,IF($H2257="EN COURS DE PREENGAGEMENT",'ENGAGEMENTS 2026'!N2257,IF($H2257="PREENGAGE",IF($E2257="ATTRIBUE",'ENGAGEMENTS 2026'!AD2257,'ENGAGEMENTS 2026'!N2257),'ENGAGEMENTS 2026'!AD2257))))</f>
        <v/>
      </c>
      <c r="K2257" s="604">
        <f>IF(ISBLANK('ENGAGEMENTS 2026'!V2257),"",'ENGAGEMENTS 2026'!V2257)</f>
        <v/>
      </c>
      <c r="L2257" s="276">
        <f>IF($K2257="","",TODAY()-$K2257)</f>
        <v/>
      </c>
      <c r="M2257">
        <f>IF($A2257="","",IF($H2257="ENGAGE","Engagé",IF(AND($H2257="NON ENGAGE",OR($I2257="INFRUCTUEUX",$I2257="ANNULE")),"Clôturé sans suite","En cours")))</f>
        <v/>
      </c>
      <c r="N2257">
        <f>IF(ISBLANK('ENGAGEMENTS 2026'!B2257),"",'ENGAGEMENTS 2026'!K2257)</f>
        <v/>
      </c>
      <c r="O2257">
        <f>IF(ISBLANK('ENGAGEMENTS 2026'!B2257),"",'ENGAGEMENTS 2026'!L2257)</f>
        <v/>
      </c>
      <c r="P2257">
        <f>IF(ISBLANK('ENGAGEMENTS 2026'!B2257),"",'ENGAGEMENTS 2026'!J2257)</f>
        <v/>
      </c>
      <c r="Q2257">
        <f>IF($A2257="","",IF(OR($E2257="INFRUCTUEUX",$E2257="ANNULE"),$A2257&amp;"|"&amp;(COUNTIFS($A$2:$A2257,$A2257,$E$2:$E2257,"INFRUCTUEUX")+COUNTIFS($A$2:$A2257,$A2257,$E$2:$E2257,"ANNULE")),""))</f>
        <v/>
      </c>
    </row>
    <row r="2258">
      <c r="A2258">
        <f>IF(ISBLANK('ENGAGEMENTS 2026'!B2258),"",IF('ENGAGEMENTS 2026'!B2258="DTSI","DCT",'ENGAGEMENTS 2026'!B2258))</f>
        <v/>
      </c>
      <c r="B2258">
        <f>IF(ISBLANK('ENGAGEMENTS 2026'!B2258),"",'ENGAGEMENTS 2026'!C2258)</f>
        <v/>
      </c>
      <c r="C2258">
        <f>IF(ISBLANK('ENGAGEMENTS 2026'!B2258),"",'ENGAGEMENTS 2026'!D2258)</f>
        <v/>
      </c>
      <c r="D2258">
        <f>IF(ISBLANK('ENGAGEMENTS 2026'!B2258),"",'ENGAGEMENTS 2026'!F2258)</f>
        <v/>
      </c>
      <c r="E2258">
        <f>IF(ISBLANK('ENGAGEMENTS 2026'!B2258),"",'ENGAGEMENTS 2026'!H2258)</f>
        <v/>
      </c>
      <c r="F2258">
        <f>IF(ISBLANK('ENGAGEMENTS 2026'!B2258),"",'ENGAGEMENTS 2026'!I2258)</f>
        <v/>
      </c>
      <c r="G2258">
        <f>IF(ISBLANK('ENGAGEMENTS 2026'!B2258),"",'ENGAGEMENTS 2026'!L2258)</f>
        <v/>
      </c>
      <c r="H2258">
        <f>IF(ISBLANK('ENGAGEMENTS 2026'!B2258),"",'ENGAGEMENTS 2026'!AE2258)</f>
        <v/>
      </c>
      <c r="I2258">
        <f>IF(ISBLANK('ENGAGEMENTS 2026'!B2258),"",'ENGAGEMENTS 2026'!G2258)</f>
        <v/>
      </c>
      <c r="J2258" s="275">
        <f>IF(ISBLANK('ENGAGEMENTS 2026'!B2258),"",IF(AND(OR($E2258="INFRUCTUEUX",$E2258="ANNULE"),$C2258="AOO-M"),'ENGAGEMENTS 2026'!O2258,IF($H2258="EN COURS DE PREENGAGEMENT",'ENGAGEMENTS 2026'!N2258,IF($H2258="PREENGAGE",IF($E2258="ATTRIBUE",'ENGAGEMENTS 2026'!AD2258,'ENGAGEMENTS 2026'!N2258),'ENGAGEMENTS 2026'!AD2258))))</f>
        <v/>
      </c>
      <c r="K2258" s="604">
        <f>IF(ISBLANK('ENGAGEMENTS 2026'!V2258),"",'ENGAGEMENTS 2026'!V2258)</f>
        <v/>
      </c>
      <c r="L2258" s="276">
        <f>IF($K2258="","",TODAY()-$K2258)</f>
        <v/>
      </c>
      <c r="M2258">
        <f>IF($A2258="","",IF($H2258="ENGAGE","Engagé",IF(AND($H2258="NON ENGAGE",OR($I2258="INFRUCTUEUX",$I2258="ANNULE")),"Clôturé sans suite","En cours")))</f>
        <v/>
      </c>
      <c r="N2258">
        <f>IF(ISBLANK('ENGAGEMENTS 2026'!B2258),"",'ENGAGEMENTS 2026'!K2258)</f>
        <v/>
      </c>
      <c r="O2258">
        <f>IF(ISBLANK('ENGAGEMENTS 2026'!B2258),"",'ENGAGEMENTS 2026'!L2258)</f>
        <v/>
      </c>
      <c r="P2258">
        <f>IF(ISBLANK('ENGAGEMENTS 2026'!B2258),"",'ENGAGEMENTS 2026'!J2258)</f>
        <v/>
      </c>
      <c r="Q2258">
        <f>IF($A2258="","",IF(OR($E2258="INFRUCTUEUX",$E2258="ANNULE"),$A2258&amp;"|"&amp;(COUNTIFS($A$2:$A2258,$A2258,$E$2:$E2258,"INFRUCTUEUX")+COUNTIFS($A$2:$A2258,$A2258,$E$2:$E2258,"ANNULE")),""))</f>
        <v/>
      </c>
    </row>
    <row r="2259">
      <c r="A2259">
        <f>IF(ISBLANK('ENGAGEMENTS 2026'!B2259),"",IF('ENGAGEMENTS 2026'!B2259="DTSI","DCT",'ENGAGEMENTS 2026'!B2259))</f>
        <v/>
      </c>
      <c r="B2259">
        <f>IF(ISBLANK('ENGAGEMENTS 2026'!B2259),"",'ENGAGEMENTS 2026'!C2259)</f>
        <v/>
      </c>
      <c r="C2259">
        <f>IF(ISBLANK('ENGAGEMENTS 2026'!B2259),"",'ENGAGEMENTS 2026'!D2259)</f>
        <v/>
      </c>
      <c r="D2259">
        <f>IF(ISBLANK('ENGAGEMENTS 2026'!B2259),"",'ENGAGEMENTS 2026'!F2259)</f>
        <v/>
      </c>
      <c r="E2259">
        <f>IF(ISBLANK('ENGAGEMENTS 2026'!B2259),"",'ENGAGEMENTS 2026'!H2259)</f>
        <v/>
      </c>
      <c r="F2259">
        <f>IF(ISBLANK('ENGAGEMENTS 2026'!B2259),"",'ENGAGEMENTS 2026'!I2259)</f>
        <v/>
      </c>
      <c r="G2259">
        <f>IF(ISBLANK('ENGAGEMENTS 2026'!B2259),"",'ENGAGEMENTS 2026'!L2259)</f>
        <v/>
      </c>
      <c r="H2259">
        <f>IF(ISBLANK('ENGAGEMENTS 2026'!B2259),"",'ENGAGEMENTS 2026'!AE2259)</f>
        <v/>
      </c>
      <c r="I2259">
        <f>IF(ISBLANK('ENGAGEMENTS 2026'!B2259),"",'ENGAGEMENTS 2026'!G2259)</f>
        <v/>
      </c>
      <c r="J2259" s="275">
        <f>IF(ISBLANK('ENGAGEMENTS 2026'!B2259),"",IF(AND(OR($E2259="INFRUCTUEUX",$E2259="ANNULE"),$C2259="AOO-M"),'ENGAGEMENTS 2026'!O2259,IF($H2259="EN COURS DE PREENGAGEMENT",'ENGAGEMENTS 2026'!N2259,IF($H2259="PREENGAGE",IF($E2259="ATTRIBUE",'ENGAGEMENTS 2026'!AD2259,'ENGAGEMENTS 2026'!N2259),'ENGAGEMENTS 2026'!AD2259))))</f>
        <v/>
      </c>
      <c r="K2259" s="604">
        <f>IF(ISBLANK('ENGAGEMENTS 2026'!V2259),"",'ENGAGEMENTS 2026'!V2259)</f>
        <v/>
      </c>
      <c r="L2259" s="276">
        <f>IF($K2259="","",TODAY()-$K2259)</f>
        <v/>
      </c>
      <c r="M2259">
        <f>IF($A2259="","",IF($H2259="ENGAGE","Engagé",IF(AND($H2259="NON ENGAGE",OR($I2259="INFRUCTUEUX",$I2259="ANNULE")),"Clôturé sans suite","En cours")))</f>
        <v/>
      </c>
      <c r="N2259">
        <f>IF(ISBLANK('ENGAGEMENTS 2026'!B2259),"",'ENGAGEMENTS 2026'!K2259)</f>
        <v/>
      </c>
      <c r="O2259">
        <f>IF(ISBLANK('ENGAGEMENTS 2026'!B2259),"",'ENGAGEMENTS 2026'!L2259)</f>
        <v/>
      </c>
      <c r="P2259">
        <f>IF(ISBLANK('ENGAGEMENTS 2026'!B2259),"",'ENGAGEMENTS 2026'!J2259)</f>
        <v/>
      </c>
      <c r="Q2259">
        <f>IF($A2259="","",IF(OR($E2259="INFRUCTUEUX",$E2259="ANNULE"),$A2259&amp;"|"&amp;(COUNTIFS($A$2:$A2259,$A2259,$E$2:$E2259,"INFRUCTUEUX")+COUNTIFS($A$2:$A2259,$A2259,$E$2:$E2259,"ANNULE")),""))</f>
        <v/>
      </c>
    </row>
    <row r="2260">
      <c r="A2260">
        <f>IF(ISBLANK('ENGAGEMENTS 2026'!B2260),"",IF('ENGAGEMENTS 2026'!B2260="DTSI","DCT",'ENGAGEMENTS 2026'!B2260))</f>
        <v/>
      </c>
      <c r="B2260">
        <f>IF(ISBLANK('ENGAGEMENTS 2026'!B2260),"",'ENGAGEMENTS 2026'!C2260)</f>
        <v/>
      </c>
      <c r="C2260">
        <f>IF(ISBLANK('ENGAGEMENTS 2026'!B2260),"",'ENGAGEMENTS 2026'!D2260)</f>
        <v/>
      </c>
      <c r="D2260">
        <f>IF(ISBLANK('ENGAGEMENTS 2026'!B2260),"",'ENGAGEMENTS 2026'!F2260)</f>
        <v/>
      </c>
      <c r="E2260">
        <f>IF(ISBLANK('ENGAGEMENTS 2026'!B2260),"",'ENGAGEMENTS 2026'!H2260)</f>
        <v/>
      </c>
      <c r="F2260">
        <f>IF(ISBLANK('ENGAGEMENTS 2026'!B2260),"",'ENGAGEMENTS 2026'!I2260)</f>
        <v/>
      </c>
      <c r="G2260">
        <f>IF(ISBLANK('ENGAGEMENTS 2026'!B2260),"",'ENGAGEMENTS 2026'!L2260)</f>
        <v/>
      </c>
      <c r="H2260">
        <f>IF(ISBLANK('ENGAGEMENTS 2026'!B2260),"",'ENGAGEMENTS 2026'!AE2260)</f>
        <v/>
      </c>
      <c r="I2260">
        <f>IF(ISBLANK('ENGAGEMENTS 2026'!B2260),"",'ENGAGEMENTS 2026'!G2260)</f>
        <v/>
      </c>
      <c r="J2260" s="275">
        <f>IF(ISBLANK('ENGAGEMENTS 2026'!B2260),"",IF(AND(OR($E2260="INFRUCTUEUX",$E2260="ANNULE"),$C2260="AOO-M"),'ENGAGEMENTS 2026'!O2260,IF($H2260="EN COURS DE PREENGAGEMENT",'ENGAGEMENTS 2026'!N2260,IF($H2260="PREENGAGE",IF($E2260="ATTRIBUE",'ENGAGEMENTS 2026'!AD2260,'ENGAGEMENTS 2026'!N2260),'ENGAGEMENTS 2026'!AD2260))))</f>
        <v/>
      </c>
      <c r="K2260" s="604">
        <f>IF(ISBLANK('ENGAGEMENTS 2026'!V2260),"",'ENGAGEMENTS 2026'!V2260)</f>
        <v/>
      </c>
      <c r="L2260" s="276">
        <f>IF($K2260="","",TODAY()-$K2260)</f>
        <v/>
      </c>
      <c r="M2260">
        <f>IF($A2260="","",IF($H2260="ENGAGE","Engagé",IF(AND($H2260="NON ENGAGE",OR($I2260="INFRUCTUEUX",$I2260="ANNULE")),"Clôturé sans suite","En cours")))</f>
        <v/>
      </c>
      <c r="N2260">
        <f>IF(ISBLANK('ENGAGEMENTS 2026'!B2260),"",'ENGAGEMENTS 2026'!K2260)</f>
        <v/>
      </c>
      <c r="O2260">
        <f>IF(ISBLANK('ENGAGEMENTS 2026'!B2260),"",'ENGAGEMENTS 2026'!L2260)</f>
        <v/>
      </c>
      <c r="P2260">
        <f>IF(ISBLANK('ENGAGEMENTS 2026'!B2260),"",'ENGAGEMENTS 2026'!J2260)</f>
        <v/>
      </c>
      <c r="Q2260">
        <f>IF($A2260="","",IF(OR($E2260="INFRUCTUEUX",$E2260="ANNULE"),$A2260&amp;"|"&amp;(COUNTIFS($A$2:$A2260,$A2260,$E$2:$E2260,"INFRUCTUEUX")+COUNTIFS($A$2:$A2260,$A2260,$E$2:$E2260,"ANNULE")),""))</f>
        <v/>
      </c>
    </row>
    <row r="2261">
      <c r="A2261">
        <f>IF(ISBLANK('ENGAGEMENTS 2026'!B2261),"",IF('ENGAGEMENTS 2026'!B2261="DTSI","DCT",'ENGAGEMENTS 2026'!B2261))</f>
        <v/>
      </c>
      <c r="B2261">
        <f>IF(ISBLANK('ENGAGEMENTS 2026'!B2261),"",'ENGAGEMENTS 2026'!C2261)</f>
        <v/>
      </c>
      <c r="C2261">
        <f>IF(ISBLANK('ENGAGEMENTS 2026'!B2261),"",'ENGAGEMENTS 2026'!D2261)</f>
        <v/>
      </c>
      <c r="D2261">
        <f>IF(ISBLANK('ENGAGEMENTS 2026'!B2261),"",'ENGAGEMENTS 2026'!F2261)</f>
        <v/>
      </c>
      <c r="E2261">
        <f>IF(ISBLANK('ENGAGEMENTS 2026'!B2261),"",'ENGAGEMENTS 2026'!H2261)</f>
        <v/>
      </c>
      <c r="F2261">
        <f>IF(ISBLANK('ENGAGEMENTS 2026'!B2261),"",'ENGAGEMENTS 2026'!I2261)</f>
        <v/>
      </c>
      <c r="G2261">
        <f>IF(ISBLANK('ENGAGEMENTS 2026'!B2261),"",'ENGAGEMENTS 2026'!L2261)</f>
        <v/>
      </c>
      <c r="H2261">
        <f>IF(ISBLANK('ENGAGEMENTS 2026'!B2261),"",'ENGAGEMENTS 2026'!AE2261)</f>
        <v/>
      </c>
      <c r="I2261">
        <f>IF(ISBLANK('ENGAGEMENTS 2026'!B2261),"",'ENGAGEMENTS 2026'!G2261)</f>
        <v/>
      </c>
      <c r="J2261" s="275">
        <f>IF(ISBLANK('ENGAGEMENTS 2026'!B2261),"",IF(AND(OR($E2261="INFRUCTUEUX",$E2261="ANNULE"),$C2261="AOO-M"),'ENGAGEMENTS 2026'!O2261,IF($H2261="EN COURS DE PREENGAGEMENT",'ENGAGEMENTS 2026'!N2261,IF($H2261="PREENGAGE",IF($E2261="ATTRIBUE",'ENGAGEMENTS 2026'!AD2261,'ENGAGEMENTS 2026'!N2261),'ENGAGEMENTS 2026'!AD2261))))</f>
        <v/>
      </c>
      <c r="K2261" s="604">
        <f>IF(ISBLANK('ENGAGEMENTS 2026'!V2261),"",'ENGAGEMENTS 2026'!V2261)</f>
        <v/>
      </c>
      <c r="L2261" s="276">
        <f>IF($K2261="","",TODAY()-$K2261)</f>
        <v/>
      </c>
      <c r="M2261">
        <f>IF($A2261="","",IF($H2261="ENGAGE","Engagé",IF(AND($H2261="NON ENGAGE",OR($I2261="INFRUCTUEUX",$I2261="ANNULE")),"Clôturé sans suite","En cours")))</f>
        <v/>
      </c>
      <c r="N2261">
        <f>IF(ISBLANK('ENGAGEMENTS 2026'!B2261),"",'ENGAGEMENTS 2026'!K2261)</f>
        <v/>
      </c>
      <c r="O2261">
        <f>IF(ISBLANK('ENGAGEMENTS 2026'!B2261),"",'ENGAGEMENTS 2026'!L2261)</f>
        <v/>
      </c>
      <c r="P2261">
        <f>IF(ISBLANK('ENGAGEMENTS 2026'!B2261),"",'ENGAGEMENTS 2026'!J2261)</f>
        <v/>
      </c>
      <c r="Q2261">
        <f>IF($A2261="","",IF(OR($E2261="INFRUCTUEUX",$E2261="ANNULE"),$A2261&amp;"|"&amp;(COUNTIFS($A$2:$A2261,$A2261,$E$2:$E2261,"INFRUCTUEUX")+COUNTIFS($A$2:$A2261,$A2261,$E$2:$E2261,"ANNULE")),""))</f>
        <v/>
      </c>
    </row>
    <row r="2262">
      <c r="A2262">
        <f>IF(ISBLANK('ENGAGEMENTS 2026'!B2262),"",IF('ENGAGEMENTS 2026'!B2262="DTSI","DCT",'ENGAGEMENTS 2026'!B2262))</f>
        <v/>
      </c>
      <c r="B2262">
        <f>IF(ISBLANK('ENGAGEMENTS 2026'!B2262),"",'ENGAGEMENTS 2026'!C2262)</f>
        <v/>
      </c>
      <c r="C2262">
        <f>IF(ISBLANK('ENGAGEMENTS 2026'!B2262),"",'ENGAGEMENTS 2026'!D2262)</f>
        <v/>
      </c>
      <c r="D2262">
        <f>IF(ISBLANK('ENGAGEMENTS 2026'!B2262),"",'ENGAGEMENTS 2026'!F2262)</f>
        <v/>
      </c>
      <c r="E2262">
        <f>IF(ISBLANK('ENGAGEMENTS 2026'!B2262),"",'ENGAGEMENTS 2026'!H2262)</f>
        <v/>
      </c>
      <c r="F2262">
        <f>IF(ISBLANK('ENGAGEMENTS 2026'!B2262),"",'ENGAGEMENTS 2026'!I2262)</f>
        <v/>
      </c>
      <c r="G2262">
        <f>IF(ISBLANK('ENGAGEMENTS 2026'!B2262),"",'ENGAGEMENTS 2026'!L2262)</f>
        <v/>
      </c>
      <c r="H2262">
        <f>IF(ISBLANK('ENGAGEMENTS 2026'!B2262),"",'ENGAGEMENTS 2026'!AE2262)</f>
        <v/>
      </c>
      <c r="I2262">
        <f>IF(ISBLANK('ENGAGEMENTS 2026'!B2262),"",'ENGAGEMENTS 2026'!G2262)</f>
        <v/>
      </c>
      <c r="J2262" s="275">
        <f>IF(ISBLANK('ENGAGEMENTS 2026'!B2262),"",IF(AND(OR($E2262="INFRUCTUEUX",$E2262="ANNULE"),$C2262="AOO-M"),'ENGAGEMENTS 2026'!O2262,IF($H2262="EN COURS DE PREENGAGEMENT",'ENGAGEMENTS 2026'!N2262,IF($H2262="PREENGAGE",IF($E2262="ATTRIBUE",'ENGAGEMENTS 2026'!AD2262,'ENGAGEMENTS 2026'!N2262),'ENGAGEMENTS 2026'!AD2262))))</f>
        <v/>
      </c>
      <c r="K2262" s="604">
        <f>IF(ISBLANK('ENGAGEMENTS 2026'!V2262),"",'ENGAGEMENTS 2026'!V2262)</f>
        <v/>
      </c>
      <c r="L2262" s="276">
        <f>IF($K2262="","",TODAY()-$K2262)</f>
        <v/>
      </c>
      <c r="M2262">
        <f>IF($A2262="","",IF($H2262="ENGAGE","Engagé",IF(AND($H2262="NON ENGAGE",OR($I2262="INFRUCTUEUX",$I2262="ANNULE")),"Clôturé sans suite","En cours")))</f>
        <v/>
      </c>
      <c r="N2262">
        <f>IF(ISBLANK('ENGAGEMENTS 2026'!B2262),"",'ENGAGEMENTS 2026'!K2262)</f>
        <v/>
      </c>
      <c r="O2262">
        <f>IF(ISBLANK('ENGAGEMENTS 2026'!B2262),"",'ENGAGEMENTS 2026'!L2262)</f>
        <v/>
      </c>
      <c r="P2262">
        <f>IF(ISBLANK('ENGAGEMENTS 2026'!B2262),"",'ENGAGEMENTS 2026'!J2262)</f>
        <v/>
      </c>
      <c r="Q2262">
        <f>IF($A2262="","",IF(OR($E2262="INFRUCTUEUX",$E2262="ANNULE"),$A2262&amp;"|"&amp;(COUNTIFS($A$2:$A2262,$A2262,$E$2:$E2262,"INFRUCTUEUX")+COUNTIFS($A$2:$A2262,$A2262,$E$2:$E2262,"ANNULE")),""))</f>
        <v/>
      </c>
    </row>
    <row r="2263">
      <c r="A2263">
        <f>IF(ISBLANK('ENGAGEMENTS 2026'!B2263),"",IF('ENGAGEMENTS 2026'!B2263="DTSI","DCT",'ENGAGEMENTS 2026'!B2263))</f>
        <v/>
      </c>
      <c r="B2263">
        <f>IF(ISBLANK('ENGAGEMENTS 2026'!B2263),"",'ENGAGEMENTS 2026'!C2263)</f>
        <v/>
      </c>
      <c r="C2263">
        <f>IF(ISBLANK('ENGAGEMENTS 2026'!B2263),"",'ENGAGEMENTS 2026'!D2263)</f>
        <v/>
      </c>
      <c r="D2263">
        <f>IF(ISBLANK('ENGAGEMENTS 2026'!B2263),"",'ENGAGEMENTS 2026'!F2263)</f>
        <v/>
      </c>
      <c r="E2263">
        <f>IF(ISBLANK('ENGAGEMENTS 2026'!B2263),"",'ENGAGEMENTS 2026'!H2263)</f>
        <v/>
      </c>
      <c r="F2263">
        <f>IF(ISBLANK('ENGAGEMENTS 2026'!B2263),"",'ENGAGEMENTS 2026'!I2263)</f>
        <v/>
      </c>
      <c r="G2263">
        <f>IF(ISBLANK('ENGAGEMENTS 2026'!B2263),"",'ENGAGEMENTS 2026'!L2263)</f>
        <v/>
      </c>
      <c r="H2263">
        <f>IF(ISBLANK('ENGAGEMENTS 2026'!B2263),"",'ENGAGEMENTS 2026'!AE2263)</f>
        <v/>
      </c>
      <c r="I2263">
        <f>IF(ISBLANK('ENGAGEMENTS 2026'!B2263),"",'ENGAGEMENTS 2026'!G2263)</f>
        <v/>
      </c>
      <c r="J2263" s="275">
        <f>IF(ISBLANK('ENGAGEMENTS 2026'!B2263),"",IF(AND(OR($E2263="INFRUCTUEUX",$E2263="ANNULE"),$C2263="AOO-M"),'ENGAGEMENTS 2026'!O2263,IF($H2263="EN COURS DE PREENGAGEMENT",'ENGAGEMENTS 2026'!N2263,IF($H2263="PREENGAGE",IF($E2263="ATTRIBUE",'ENGAGEMENTS 2026'!AD2263,'ENGAGEMENTS 2026'!N2263),'ENGAGEMENTS 2026'!AD2263))))</f>
        <v/>
      </c>
      <c r="K2263" s="604">
        <f>IF(ISBLANK('ENGAGEMENTS 2026'!V2263),"",'ENGAGEMENTS 2026'!V2263)</f>
        <v/>
      </c>
      <c r="L2263" s="276">
        <f>IF($K2263="","",TODAY()-$K2263)</f>
        <v/>
      </c>
      <c r="M2263">
        <f>IF($A2263="","",IF($H2263="ENGAGE","Engagé",IF(AND($H2263="NON ENGAGE",OR($I2263="INFRUCTUEUX",$I2263="ANNULE")),"Clôturé sans suite","En cours")))</f>
        <v/>
      </c>
      <c r="N2263">
        <f>IF(ISBLANK('ENGAGEMENTS 2026'!B2263),"",'ENGAGEMENTS 2026'!K2263)</f>
        <v/>
      </c>
      <c r="O2263">
        <f>IF(ISBLANK('ENGAGEMENTS 2026'!B2263),"",'ENGAGEMENTS 2026'!L2263)</f>
        <v/>
      </c>
      <c r="P2263">
        <f>IF(ISBLANK('ENGAGEMENTS 2026'!B2263),"",'ENGAGEMENTS 2026'!J2263)</f>
        <v/>
      </c>
      <c r="Q2263">
        <f>IF($A2263="","",IF(OR($E2263="INFRUCTUEUX",$E2263="ANNULE"),$A2263&amp;"|"&amp;(COUNTIFS($A$2:$A2263,$A2263,$E$2:$E2263,"INFRUCTUEUX")+COUNTIFS($A$2:$A2263,$A2263,$E$2:$E2263,"ANNULE")),""))</f>
        <v/>
      </c>
    </row>
    <row r="2264">
      <c r="A2264">
        <f>IF(ISBLANK('ENGAGEMENTS 2026'!B2264),"",IF('ENGAGEMENTS 2026'!B2264="DTSI","DCT",'ENGAGEMENTS 2026'!B2264))</f>
        <v/>
      </c>
      <c r="B2264">
        <f>IF(ISBLANK('ENGAGEMENTS 2026'!B2264),"",'ENGAGEMENTS 2026'!C2264)</f>
        <v/>
      </c>
      <c r="C2264">
        <f>IF(ISBLANK('ENGAGEMENTS 2026'!B2264),"",'ENGAGEMENTS 2026'!D2264)</f>
        <v/>
      </c>
      <c r="D2264">
        <f>IF(ISBLANK('ENGAGEMENTS 2026'!B2264),"",'ENGAGEMENTS 2026'!F2264)</f>
        <v/>
      </c>
      <c r="E2264">
        <f>IF(ISBLANK('ENGAGEMENTS 2026'!B2264),"",'ENGAGEMENTS 2026'!H2264)</f>
        <v/>
      </c>
      <c r="F2264">
        <f>IF(ISBLANK('ENGAGEMENTS 2026'!B2264),"",'ENGAGEMENTS 2026'!I2264)</f>
        <v/>
      </c>
      <c r="G2264">
        <f>IF(ISBLANK('ENGAGEMENTS 2026'!B2264),"",'ENGAGEMENTS 2026'!L2264)</f>
        <v/>
      </c>
      <c r="H2264">
        <f>IF(ISBLANK('ENGAGEMENTS 2026'!B2264),"",'ENGAGEMENTS 2026'!AE2264)</f>
        <v/>
      </c>
      <c r="I2264">
        <f>IF(ISBLANK('ENGAGEMENTS 2026'!B2264),"",'ENGAGEMENTS 2026'!G2264)</f>
        <v/>
      </c>
      <c r="J2264" s="275">
        <f>IF(ISBLANK('ENGAGEMENTS 2026'!B2264),"",IF(AND(OR($E2264="INFRUCTUEUX",$E2264="ANNULE"),$C2264="AOO-M"),'ENGAGEMENTS 2026'!O2264,IF($H2264="EN COURS DE PREENGAGEMENT",'ENGAGEMENTS 2026'!N2264,IF($H2264="PREENGAGE",IF($E2264="ATTRIBUE",'ENGAGEMENTS 2026'!AD2264,'ENGAGEMENTS 2026'!N2264),'ENGAGEMENTS 2026'!AD2264))))</f>
        <v/>
      </c>
      <c r="K2264" s="604">
        <f>IF(ISBLANK('ENGAGEMENTS 2026'!V2264),"",'ENGAGEMENTS 2026'!V2264)</f>
        <v/>
      </c>
      <c r="L2264" s="276">
        <f>IF($K2264="","",TODAY()-$K2264)</f>
        <v/>
      </c>
      <c r="M2264">
        <f>IF($A2264="","",IF($H2264="ENGAGE","Engagé",IF(AND($H2264="NON ENGAGE",OR($I2264="INFRUCTUEUX",$I2264="ANNULE")),"Clôturé sans suite","En cours")))</f>
        <v/>
      </c>
      <c r="N2264">
        <f>IF(ISBLANK('ENGAGEMENTS 2026'!B2264),"",'ENGAGEMENTS 2026'!K2264)</f>
        <v/>
      </c>
      <c r="O2264">
        <f>IF(ISBLANK('ENGAGEMENTS 2026'!B2264),"",'ENGAGEMENTS 2026'!L2264)</f>
        <v/>
      </c>
      <c r="P2264">
        <f>IF(ISBLANK('ENGAGEMENTS 2026'!B2264),"",'ENGAGEMENTS 2026'!J2264)</f>
        <v/>
      </c>
      <c r="Q2264">
        <f>IF($A2264="","",IF(OR($E2264="INFRUCTUEUX",$E2264="ANNULE"),$A2264&amp;"|"&amp;(COUNTIFS($A$2:$A2264,$A2264,$E$2:$E2264,"INFRUCTUEUX")+COUNTIFS($A$2:$A2264,$A2264,$E$2:$E2264,"ANNULE")),""))</f>
        <v/>
      </c>
    </row>
    <row r="2265">
      <c r="A2265">
        <f>IF(ISBLANK('ENGAGEMENTS 2026'!B2265),"",IF('ENGAGEMENTS 2026'!B2265="DTSI","DCT",'ENGAGEMENTS 2026'!B2265))</f>
        <v/>
      </c>
      <c r="B2265">
        <f>IF(ISBLANK('ENGAGEMENTS 2026'!B2265),"",'ENGAGEMENTS 2026'!C2265)</f>
        <v/>
      </c>
      <c r="C2265">
        <f>IF(ISBLANK('ENGAGEMENTS 2026'!B2265),"",'ENGAGEMENTS 2026'!D2265)</f>
        <v/>
      </c>
      <c r="D2265">
        <f>IF(ISBLANK('ENGAGEMENTS 2026'!B2265),"",'ENGAGEMENTS 2026'!F2265)</f>
        <v/>
      </c>
      <c r="E2265">
        <f>IF(ISBLANK('ENGAGEMENTS 2026'!B2265),"",'ENGAGEMENTS 2026'!H2265)</f>
        <v/>
      </c>
      <c r="F2265">
        <f>IF(ISBLANK('ENGAGEMENTS 2026'!B2265),"",'ENGAGEMENTS 2026'!I2265)</f>
        <v/>
      </c>
      <c r="G2265">
        <f>IF(ISBLANK('ENGAGEMENTS 2026'!B2265),"",'ENGAGEMENTS 2026'!L2265)</f>
        <v/>
      </c>
      <c r="H2265">
        <f>IF(ISBLANK('ENGAGEMENTS 2026'!B2265),"",'ENGAGEMENTS 2026'!AE2265)</f>
        <v/>
      </c>
      <c r="I2265">
        <f>IF(ISBLANK('ENGAGEMENTS 2026'!B2265),"",'ENGAGEMENTS 2026'!G2265)</f>
        <v/>
      </c>
      <c r="J2265" s="275">
        <f>IF(ISBLANK('ENGAGEMENTS 2026'!B2265),"",IF(AND(OR($E2265="INFRUCTUEUX",$E2265="ANNULE"),$C2265="AOO-M"),'ENGAGEMENTS 2026'!O2265,IF($H2265="EN COURS DE PREENGAGEMENT",'ENGAGEMENTS 2026'!N2265,IF($H2265="PREENGAGE",IF($E2265="ATTRIBUE",'ENGAGEMENTS 2026'!AD2265,'ENGAGEMENTS 2026'!N2265),'ENGAGEMENTS 2026'!AD2265))))</f>
        <v/>
      </c>
      <c r="K2265" s="604">
        <f>IF(ISBLANK('ENGAGEMENTS 2026'!V2265),"",'ENGAGEMENTS 2026'!V2265)</f>
        <v/>
      </c>
      <c r="L2265" s="276">
        <f>IF($K2265="","",TODAY()-$K2265)</f>
        <v/>
      </c>
      <c r="M2265">
        <f>IF($A2265="","",IF($H2265="ENGAGE","Engagé",IF(AND($H2265="NON ENGAGE",OR($I2265="INFRUCTUEUX",$I2265="ANNULE")),"Clôturé sans suite","En cours")))</f>
        <v/>
      </c>
      <c r="N2265">
        <f>IF(ISBLANK('ENGAGEMENTS 2026'!B2265),"",'ENGAGEMENTS 2026'!K2265)</f>
        <v/>
      </c>
      <c r="O2265">
        <f>IF(ISBLANK('ENGAGEMENTS 2026'!B2265),"",'ENGAGEMENTS 2026'!L2265)</f>
        <v/>
      </c>
      <c r="P2265">
        <f>IF(ISBLANK('ENGAGEMENTS 2026'!B2265),"",'ENGAGEMENTS 2026'!J2265)</f>
        <v/>
      </c>
      <c r="Q2265">
        <f>IF($A2265="","",IF(OR($E2265="INFRUCTUEUX",$E2265="ANNULE"),$A2265&amp;"|"&amp;(COUNTIFS($A$2:$A2265,$A2265,$E$2:$E2265,"INFRUCTUEUX")+COUNTIFS($A$2:$A2265,$A2265,$E$2:$E2265,"ANNULE")),""))</f>
        <v/>
      </c>
    </row>
    <row r="2266">
      <c r="A2266">
        <f>IF(ISBLANK('ENGAGEMENTS 2026'!B2266),"",IF('ENGAGEMENTS 2026'!B2266="DTSI","DCT",'ENGAGEMENTS 2026'!B2266))</f>
        <v/>
      </c>
      <c r="B2266">
        <f>IF(ISBLANK('ENGAGEMENTS 2026'!B2266),"",'ENGAGEMENTS 2026'!C2266)</f>
        <v/>
      </c>
      <c r="C2266">
        <f>IF(ISBLANK('ENGAGEMENTS 2026'!B2266),"",'ENGAGEMENTS 2026'!D2266)</f>
        <v/>
      </c>
      <c r="D2266">
        <f>IF(ISBLANK('ENGAGEMENTS 2026'!B2266),"",'ENGAGEMENTS 2026'!F2266)</f>
        <v/>
      </c>
      <c r="E2266">
        <f>IF(ISBLANK('ENGAGEMENTS 2026'!B2266),"",'ENGAGEMENTS 2026'!H2266)</f>
        <v/>
      </c>
      <c r="F2266">
        <f>IF(ISBLANK('ENGAGEMENTS 2026'!B2266),"",'ENGAGEMENTS 2026'!I2266)</f>
        <v/>
      </c>
      <c r="G2266">
        <f>IF(ISBLANK('ENGAGEMENTS 2026'!B2266),"",'ENGAGEMENTS 2026'!L2266)</f>
        <v/>
      </c>
      <c r="H2266">
        <f>IF(ISBLANK('ENGAGEMENTS 2026'!B2266),"",'ENGAGEMENTS 2026'!AE2266)</f>
        <v/>
      </c>
      <c r="I2266">
        <f>IF(ISBLANK('ENGAGEMENTS 2026'!B2266),"",'ENGAGEMENTS 2026'!G2266)</f>
        <v/>
      </c>
      <c r="J2266" s="275">
        <f>IF(ISBLANK('ENGAGEMENTS 2026'!B2266),"",IF(AND(OR($E2266="INFRUCTUEUX",$E2266="ANNULE"),$C2266="AOO-M"),'ENGAGEMENTS 2026'!O2266,IF($H2266="EN COURS DE PREENGAGEMENT",'ENGAGEMENTS 2026'!N2266,IF($H2266="PREENGAGE",IF($E2266="ATTRIBUE",'ENGAGEMENTS 2026'!AD2266,'ENGAGEMENTS 2026'!N2266),'ENGAGEMENTS 2026'!AD2266))))</f>
        <v/>
      </c>
      <c r="K2266" s="604">
        <f>IF(ISBLANK('ENGAGEMENTS 2026'!V2266),"",'ENGAGEMENTS 2026'!V2266)</f>
        <v/>
      </c>
      <c r="L2266" s="276">
        <f>IF($K2266="","",TODAY()-$K2266)</f>
        <v/>
      </c>
      <c r="M2266">
        <f>IF($A2266="","",IF($H2266="ENGAGE","Engagé",IF(AND($H2266="NON ENGAGE",OR($I2266="INFRUCTUEUX",$I2266="ANNULE")),"Clôturé sans suite","En cours")))</f>
        <v/>
      </c>
      <c r="N2266">
        <f>IF(ISBLANK('ENGAGEMENTS 2026'!B2266),"",'ENGAGEMENTS 2026'!K2266)</f>
        <v/>
      </c>
      <c r="O2266">
        <f>IF(ISBLANK('ENGAGEMENTS 2026'!B2266),"",'ENGAGEMENTS 2026'!L2266)</f>
        <v/>
      </c>
      <c r="P2266">
        <f>IF(ISBLANK('ENGAGEMENTS 2026'!B2266),"",'ENGAGEMENTS 2026'!J2266)</f>
        <v/>
      </c>
      <c r="Q2266">
        <f>IF($A2266="","",IF(OR($E2266="INFRUCTUEUX",$E2266="ANNULE"),$A2266&amp;"|"&amp;(COUNTIFS($A$2:$A2266,$A2266,$E$2:$E2266,"INFRUCTUEUX")+COUNTIFS($A$2:$A2266,$A2266,$E$2:$E2266,"ANNULE")),""))</f>
        <v/>
      </c>
    </row>
    <row r="2267">
      <c r="A2267">
        <f>IF(ISBLANK('ENGAGEMENTS 2026'!B2267),"",IF('ENGAGEMENTS 2026'!B2267="DTSI","DCT",'ENGAGEMENTS 2026'!B2267))</f>
        <v/>
      </c>
      <c r="B2267">
        <f>IF(ISBLANK('ENGAGEMENTS 2026'!B2267),"",'ENGAGEMENTS 2026'!C2267)</f>
        <v/>
      </c>
      <c r="C2267">
        <f>IF(ISBLANK('ENGAGEMENTS 2026'!B2267),"",'ENGAGEMENTS 2026'!D2267)</f>
        <v/>
      </c>
      <c r="D2267">
        <f>IF(ISBLANK('ENGAGEMENTS 2026'!B2267),"",'ENGAGEMENTS 2026'!F2267)</f>
        <v/>
      </c>
      <c r="E2267">
        <f>IF(ISBLANK('ENGAGEMENTS 2026'!B2267),"",'ENGAGEMENTS 2026'!H2267)</f>
        <v/>
      </c>
      <c r="F2267">
        <f>IF(ISBLANK('ENGAGEMENTS 2026'!B2267),"",'ENGAGEMENTS 2026'!I2267)</f>
        <v/>
      </c>
      <c r="G2267">
        <f>IF(ISBLANK('ENGAGEMENTS 2026'!B2267),"",'ENGAGEMENTS 2026'!L2267)</f>
        <v/>
      </c>
      <c r="H2267">
        <f>IF(ISBLANK('ENGAGEMENTS 2026'!B2267),"",'ENGAGEMENTS 2026'!AE2267)</f>
        <v/>
      </c>
      <c r="I2267">
        <f>IF(ISBLANK('ENGAGEMENTS 2026'!B2267),"",'ENGAGEMENTS 2026'!G2267)</f>
        <v/>
      </c>
      <c r="J2267" s="275">
        <f>IF(ISBLANK('ENGAGEMENTS 2026'!B2267),"",IF(AND(OR($E2267="INFRUCTUEUX",$E2267="ANNULE"),$C2267="AOO-M"),'ENGAGEMENTS 2026'!O2267,IF($H2267="EN COURS DE PREENGAGEMENT",'ENGAGEMENTS 2026'!N2267,IF($H2267="PREENGAGE",IF($E2267="ATTRIBUE",'ENGAGEMENTS 2026'!AD2267,'ENGAGEMENTS 2026'!N2267),'ENGAGEMENTS 2026'!AD2267))))</f>
        <v/>
      </c>
      <c r="K2267" s="604">
        <f>IF(ISBLANK('ENGAGEMENTS 2026'!V2267),"",'ENGAGEMENTS 2026'!V2267)</f>
        <v/>
      </c>
      <c r="L2267" s="276">
        <f>IF($K2267="","",TODAY()-$K2267)</f>
        <v/>
      </c>
      <c r="M2267">
        <f>IF($A2267="","",IF($H2267="ENGAGE","Engagé",IF(AND($H2267="NON ENGAGE",OR($I2267="INFRUCTUEUX",$I2267="ANNULE")),"Clôturé sans suite","En cours")))</f>
        <v/>
      </c>
      <c r="N2267">
        <f>IF(ISBLANK('ENGAGEMENTS 2026'!B2267),"",'ENGAGEMENTS 2026'!K2267)</f>
        <v/>
      </c>
      <c r="O2267">
        <f>IF(ISBLANK('ENGAGEMENTS 2026'!B2267),"",'ENGAGEMENTS 2026'!L2267)</f>
        <v/>
      </c>
      <c r="P2267">
        <f>IF(ISBLANK('ENGAGEMENTS 2026'!B2267),"",'ENGAGEMENTS 2026'!J2267)</f>
        <v/>
      </c>
      <c r="Q2267">
        <f>IF($A2267="","",IF(OR($E2267="INFRUCTUEUX",$E2267="ANNULE"),$A2267&amp;"|"&amp;(COUNTIFS($A$2:$A2267,$A2267,$E$2:$E2267,"INFRUCTUEUX")+COUNTIFS($A$2:$A2267,$A2267,$E$2:$E2267,"ANNULE")),""))</f>
        <v/>
      </c>
    </row>
    <row r="2268">
      <c r="A2268">
        <f>IF(ISBLANK('ENGAGEMENTS 2026'!B2268),"",IF('ENGAGEMENTS 2026'!B2268="DTSI","DCT",'ENGAGEMENTS 2026'!B2268))</f>
        <v/>
      </c>
      <c r="B2268">
        <f>IF(ISBLANK('ENGAGEMENTS 2026'!B2268),"",'ENGAGEMENTS 2026'!C2268)</f>
        <v/>
      </c>
      <c r="C2268">
        <f>IF(ISBLANK('ENGAGEMENTS 2026'!B2268),"",'ENGAGEMENTS 2026'!D2268)</f>
        <v/>
      </c>
      <c r="D2268">
        <f>IF(ISBLANK('ENGAGEMENTS 2026'!B2268),"",'ENGAGEMENTS 2026'!F2268)</f>
        <v/>
      </c>
      <c r="E2268">
        <f>IF(ISBLANK('ENGAGEMENTS 2026'!B2268),"",'ENGAGEMENTS 2026'!H2268)</f>
        <v/>
      </c>
      <c r="F2268">
        <f>IF(ISBLANK('ENGAGEMENTS 2026'!B2268),"",'ENGAGEMENTS 2026'!I2268)</f>
        <v/>
      </c>
      <c r="G2268">
        <f>IF(ISBLANK('ENGAGEMENTS 2026'!B2268),"",'ENGAGEMENTS 2026'!L2268)</f>
        <v/>
      </c>
      <c r="H2268">
        <f>IF(ISBLANK('ENGAGEMENTS 2026'!B2268),"",'ENGAGEMENTS 2026'!AE2268)</f>
        <v/>
      </c>
      <c r="I2268">
        <f>IF(ISBLANK('ENGAGEMENTS 2026'!B2268),"",'ENGAGEMENTS 2026'!G2268)</f>
        <v/>
      </c>
      <c r="J2268" s="275">
        <f>IF(ISBLANK('ENGAGEMENTS 2026'!B2268),"",IF(AND(OR($E2268="INFRUCTUEUX",$E2268="ANNULE"),$C2268="AOO-M"),'ENGAGEMENTS 2026'!O2268,IF($H2268="EN COURS DE PREENGAGEMENT",'ENGAGEMENTS 2026'!N2268,IF($H2268="PREENGAGE",IF($E2268="ATTRIBUE",'ENGAGEMENTS 2026'!AD2268,'ENGAGEMENTS 2026'!N2268),'ENGAGEMENTS 2026'!AD2268))))</f>
        <v/>
      </c>
      <c r="K2268" s="604">
        <f>IF(ISBLANK('ENGAGEMENTS 2026'!V2268),"",'ENGAGEMENTS 2026'!V2268)</f>
        <v/>
      </c>
      <c r="L2268" s="276">
        <f>IF($K2268="","",TODAY()-$K2268)</f>
        <v/>
      </c>
      <c r="M2268">
        <f>IF($A2268="","",IF($H2268="ENGAGE","Engagé",IF(AND($H2268="NON ENGAGE",OR($I2268="INFRUCTUEUX",$I2268="ANNULE")),"Clôturé sans suite","En cours")))</f>
        <v/>
      </c>
      <c r="N2268">
        <f>IF(ISBLANK('ENGAGEMENTS 2026'!B2268),"",'ENGAGEMENTS 2026'!K2268)</f>
        <v/>
      </c>
      <c r="O2268">
        <f>IF(ISBLANK('ENGAGEMENTS 2026'!B2268),"",'ENGAGEMENTS 2026'!L2268)</f>
        <v/>
      </c>
      <c r="P2268">
        <f>IF(ISBLANK('ENGAGEMENTS 2026'!B2268),"",'ENGAGEMENTS 2026'!J2268)</f>
        <v/>
      </c>
      <c r="Q2268">
        <f>IF($A2268="","",IF(OR($E2268="INFRUCTUEUX",$E2268="ANNULE"),$A2268&amp;"|"&amp;(COUNTIFS($A$2:$A2268,$A2268,$E$2:$E2268,"INFRUCTUEUX")+COUNTIFS($A$2:$A2268,$A2268,$E$2:$E2268,"ANNULE")),""))</f>
        <v/>
      </c>
    </row>
    <row r="2269">
      <c r="A2269">
        <f>IF(ISBLANK('ENGAGEMENTS 2026'!B2269),"",IF('ENGAGEMENTS 2026'!B2269="DTSI","DCT",'ENGAGEMENTS 2026'!B2269))</f>
        <v/>
      </c>
      <c r="B2269">
        <f>IF(ISBLANK('ENGAGEMENTS 2026'!B2269),"",'ENGAGEMENTS 2026'!C2269)</f>
        <v/>
      </c>
      <c r="C2269">
        <f>IF(ISBLANK('ENGAGEMENTS 2026'!B2269),"",'ENGAGEMENTS 2026'!D2269)</f>
        <v/>
      </c>
      <c r="D2269">
        <f>IF(ISBLANK('ENGAGEMENTS 2026'!B2269),"",'ENGAGEMENTS 2026'!F2269)</f>
        <v/>
      </c>
      <c r="E2269">
        <f>IF(ISBLANK('ENGAGEMENTS 2026'!B2269),"",'ENGAGEMENTS 2026'!H2269)</f>
        <v/>
      </c>
      <c r="F2269">
        <f>IF(ISBLANK('ENGAGEMENTS 2026'!B2269),"",'ENGAGEMENTS 2026'!I2269)</f>
        <v/>
      </c>
      <c r="G2269">
        <f>IF(ISBLANK('ENGAGEMENTS 2026'!B2269),"",'ENGAGEMENTS 2026'!L2269)</f>
        <v/>
      </c>
      <c r="H2269">
        <f>IF(ISBLANK('ENGAGEMENTS 2026'!B2269),"",'ENGAGEMENTS 2026'!AE2269)</f>
        <v/>
      </c>
      <c r="I2269">
        <f>IF(ISBLANK('ENGAGEMENTS 2026'!B2269),"",'ENGAGEMENTS 2026'!G2269)</f>
        <v/>
      </c>
      <c r="J2269" s="275">
        <f>IF(ISBLANK('ENGAGEMENTS 2026'!B2269),"",IF(AND(OR($E2269="INFRUCTUEUX",$E2269="ANNULE"),$C2269="AOO-M"),'ENGAGEMENTS 2026'!O2269,IF($H2269="EN COURS DE PREENGAGEMENT",'ENGAGEMENTS 2026'!N2269,IF($H2269="PREENGAGE",IF($E2269="ATTRIBUE",'ENGAGEMENTS 2026'!AD2269,'ENGAGEMENTS 2026'!N2269),'ENGAGEMENTS 2026'!AD2269))))</f>
        <v/>
      </c>
      <c r="K2269" s="604">
        <f>IF(ISBLANK('ENGAGEMENTS 2026'!V2269),"",'ENGAGEMENTS 2026'!V2269)</f>
        <v/>
      </c>
      <c r="L2269" s="276">
        <f>IF($K2269="","",TODAY()-$K2269)</f>
        <v/>
      </c>
      <c r="M2269">
        <f>IF($A2269="","",IF($H2269="ENGAGE","Engagé",IF(AND($H2269="NON ENGAGE",OR($I2269="INFRUCTUEUX",$I2269="ANNULE")),"Clôturé sans suite","En cours")))</f>
        <v/>
      </c>
      <c r="N2269">
        <f>IF(ISBLANK('ENGAGEMENTS 2026'!B2269),"",'ENGAGEMENTS 2026'!K2269)</f>
        <v/>
      </c>
      <c r="O2269">
        <f>IF(ISBLANK('ENGAGEMENTS 2026'!B2269),"",'ENGAGEMENTS 2026'!L2269)</f>
        <v/>
      </c>
      <c r="P2269">
        <f>IF(ISBLANK('ENGAGEMENTS 2026'!B2269),"",'ENGAGEMENTS 2026'!J2269)</f>
        <v/>
      </c>
      <c r="Q2269">
        <f>IF($A2269="","",IF(OR($E2269="INFRUCTUEUX",$E2269="ANNULE"),$A2269&amp;"|"&amp;(COUNTIFS($A$2:$A2269,$A2269,$E$2:$E2269,"INFRUCTUEUX")+COUNTIFS($A$2:$A2269,$A2269,$E$2:$E2269,"ANNULE")),""))</f>
        <v/>
      </c>
    </row>
    <row r="2270">
      <c r="A2270">
        <f>IF(ISBLANK('ENGAGEMENTS 2026'!B2270),"",IF('ENGAGEMENTS 2026'!B2270="DTSI","DCT",'ENGAGEMENTS 2026'!B2270))</f>
        <v/>
      </c>
      <c r="B2270">
        <f>IF(ISBLANK('ENGAGEMENTS 2026'!B2270),"",'ENGAGEMENTS 2026'!C2270)</f>
        <v/>
      </c>
      <c r="C2270">
        <f>IF(ISBLANK('ENGAGEMENTS 2026'!B2270),"",'ENGAGEMENTS 2026'!D2270)</f>
        <v/>
      </c>
      <c r="D2270">
        <f>IF(ISBLANK('ENGAGEMENTS 2026'!B2270),"",'ENGAGEMENTS 2026'!F2270)</f>
        <v/>
      </c>
      <c r="E2270">
        <f>IF(ISBLANK('ENGAGEMENTS 2026'!B2270),"",'ENGAGEMENTS 2026'!H2270)</f>
        <v/>
      </c>
      <c r="F2270">
        <f>IF(ISBLANK('ENGAGEMENTS 2026'!B2270),"",'ENGAGEMENTS 2026'!I2270)</f>
        <v/>
      </c>
      <c r="G2270">
        <f>IF(ISBLANK('ENGAGEMENTS 2026'!B2270),"",'ENGAGEMENTS 2026'!L2270)</f>
        <v/>
      </c>
      <c r="H2270">
        <f>IF(ISBLANK('ENGAGEMENTS 2026'!B2270),"",'ENGAGEMENTS 2026'!AE2270)</f>
        <v/>
      </c>
      <c r="I2270">
        <f>IF(ISBLANK('ENGAGEMENTS 2026'!B2270),"",'ENGAGEMENTS 2026'!G2270)</f>
        <v/>
      </c>
      <c r="J2270" s="275">
        <f>IF(ISBLANK('ENGAGEMENTS 2026'!B2270),"",IF(AND(OR($E2270="INFRUCTUEUX",$E2270="ANNULE"),$C2270="AOO-M"),'ENGAGEMENTS 2026'!O2270,IF($H2270="EN COURS DE PREENGAGEMENT",'ENGAGEMENTS 2026'!N2270,IF($H2270="PREENGAGE",IF($E2270="ATTRIBUE",'ENGAGEMENTS 2026'!AD2270,'ENGAGEMENTS 2026'!N2270),'ENGAGEMENTS 2026'!AD2270))))</f>
        <v/>
      </c>
      <c r="K2270" s="604">
        <f>IF(ISBLANK('ENGAGEMENTS 2026'!V2270),"",'ENGAGEMENTS 2026'!V2270)</f>
        <v/>
      </c>
      <c r="L2270" s="276">
        <f>IF($K2270="","",TODAY()-$K2270)</f>
        <v/>
      </c>
      <c r="M2270">
        <f>IF($A2270="","",IF($H2270="ENGAGE","Engagé",IF(AND($H2270="NON ENGAGE",OR($I2270="INFRUCTUEUX",$I2270="ANNULE")),"Clôturé sans suite","En cours")))</f>
        <v/>
      </c>
      <c r="N2270">
        <f>IF(ISBLANK('ENGAGEMENTS 2026'!B2270),"",'ENGAGEMENTS 2026'!K2270)</f>
        <v/>
      </c>
      <c r="O2270">
        <f>IF(ISBLANK('ENGAGEMENTS 2026'!B2270),"",'ENGAGEMENTS 2026'!L2270)</f>
        <v/>
      </c>
      <c r="P2270">
        <f>IF(ISBLANK('ENGAGEMENTS 2026'!B2270),"",'ENGAGEMENTS 2026'!J2270)</f>
        <v/>
      </c>
      <c r="Q2270">
        <f>IF($A2270="","",IF(OR($E2270="INFRUCTUEUX",$E2270="ANNULE"),$A2270&amp;"|"&amp;(COUNTIFS($A$2:$A2270,$A2270,$E$2:$E2270,"INFRUCTUEUX")+COUNTIFS($A$2:$A2270,$A2270,$E$2:$E2270,"ANNULE")),""))</f>
        <v/>
      </c>
    </row>
    <row r="2271">
      <c r="A2271">
        <f>IF(ISBLANK('ENGAGEMENTS 2026'!B2271),"",IF('ENGAGEMENTS 2026'!B2271="DTSI","DCT",'ENGAGEMENTS 2026'!B2271))</f>
        <v/>
      </c>
      <c r="B2271">
        <f>IF(ISBLANK('ENGAGEMENTS 2026'!B2271),"",'ENGAGEMENTS 2026'!C2271)</f>
        <v/>
      </c>
      <c r="C2271">
        <f>IF(ISBLANK('ENGAGEMENTS 2026'!B2271),"",'ENGAGEMENTS 2026'!D2271)</f>
        <v/>
      </c>
      <c r="D2271">
        <f>IF(ISBLANK('ENGAGEMENTS 2026'!B2271),"",'ENGAGEMENTS 2026'!F2271)</f>
        <v/>
      </c>
      <c r="E2271">
        <f>IF(ISBLANK('ENGAGEMENTS 2026'!B2271),"",'ENGAGEMENTS 2026'!H2271)</f>
        <v/>
      </c>
      <c r="F2271">
        <f>IF(ISBLANK('ENGAGEMENTS 2026'!B2271),"",'ENGAGEMENTS 2026'!I2271)</f>
        <v/>
      </c>
      <c r="G2271">
        <f>IF(ISBLANK('ENGAGEMENTS 2026'!B2271),"",'ENGAGEMENTS 2026'!L2271)</f>
        <v/>
      </c>
      <c r="H2271">
        <f>IF(ISBLANK('ENGAGEMENTS 2026'!B2271),"",'ENGAGEMENTS 2026'!AE2271)</f>
        <v/>
      </c>
      <c r="I2271">
        <f>IF(ISBLANK('ENGAGEMENTS 2026'!B2271),"",'ENGAGEMENTS 2026'!G2271)</f>
        <v/>
      </c>
      <c r="J2271" s="275">
        <f>IF(ISBLANK('ENGAGEMENTS 2026'!B2271),"",IF(AND(OR($E2271="INFRUCTUEUX",$E2271="ANNULE"),$C2271="AOO-M"),'ENGAGEMENTS 2026'!O2271,IF($H2271="EN COURS DE PREENGAGEMENT",'ENGAGEMENTS 2026'!N2271,IF($H2271="PREENGAGE",IF($E2271="ATTRIBUE",'ENGAGEMENTS 2026'!AD2271,'ENGAGEMENTS 2026'!N2271),'ENGAGEMENTS 2026'!AD2271))))</f>
        <v/>
      </c>
      <c r="K2271" s="604">
        <f>IF(ISBLANK('ENGAGEMENTS 2026'!V2271),"",'ENGAGEMENTS 2026'!V2271)</f>
        <v/>
      </c>
      <c r="L2271" s="276">
        <f>IF($K2271="","",TODAY()-$K2271)</f>
        <v/>
      </c>
      <c r="M2271">
        <f>IF($A2271="","",IF($H2271="ENGAGE","Engagé",IF(AND($H2271="NON ENGAGE",OR($I2271="INFRUCTUEUX",$I2271="ANNULE")),"Clôturé sans suite","En cours")))</f>
        <v/>
      </c>
      <c r="N2271">
        <f>IF(ISBLANK('ENGAGEMENTS 2026'!B2271),"",'ENGAGEMENTS 2026'!K2271)</f>
        <v/>
      </c>
      <c r="O2271">
        <f>IF(ISBLANK('ENGAGEMENTS 2026'!B2271),"",'ENGAGEMENTS 2026'!L2271)</f>
        <v/>
      </c>
      <c r="P2271">
        <f>IF(ISBLANK('ENGAGEMENTS 2026'!B2271),"",'ENGAGEMENTS 2026'!J2271)</f>
        <v/>
      </c>
      <c r="Q2271">
        <f>IF($A2271="","",IF(OR($E2271="INFRUCTUEUX",$E2271="ANNULE"),$A2271&amp;"|"&amp;(COUNTIFS($A$2:$A2271,$A2271,$E$2:$E2271,"INFRUCTUEUX")+COUNTIFS($A$2:$A2271,$A2271,$E$2:$E2271,"ANNULE")),""))</f>
        <v/>
      </c>
    </row>
    <row r="2272">
      <c r="A2272">
        <f>IF(ISBLANK('ENGAGEMENTS 2026'!B2272),"",IF('ENGAGEMENTS 2026'!B2272="DTSI","DCT",'ENGAGEMENTS 2026'!B2272))</f>
        <v/>
      </c>
      <c r="B2272">
        <f>IF(ISBLANK('ENGAGEMENTS 2026'!B2272),"",'ENGAGEMENTS 2026'!C2272)</f>
        <v/>
      </c>
      <c r="C2272">
        <f>IF(ISBLANK('ENGAGEMENTS 2026'!B2272),"",'ENGAGEMENTS 2026'!D2272)</f>
        <v/>
      </c>
      <c r="D2272">
        <f>IF(ISBLANK('ENGAGEMENTS 2026'!B2272),"",'ENGAGEMENTS 2026'!F2272)</f>
        <v/>
      </c>
      <c r="E2272">
        <f>IF(ISBLANK('ENGAGEMENTS 2026'!B2272),"",'ENGAGEMENTS 2026'!H2272)</f>
        <v/>
      </c>
      <c r="F2272">
        <f>IF(ISBLANK('ENGAGEMENTS 2026'!B2272),"",'ENGAGEMENTS 2026'!I2272)</f>
        <v/>
      </c>
      <c r="G2272">
        <f>IF(ISBLANK('ENGAGEMENTS 2026'!B2272),"",'ENGAGEMENTS 2026'!L2272)</f>
        <v/>
      </c>
      <c r="H2272">
        <f>IF(ISBLANK('ENGAGEMENTS 2026'!B2272),"",'ENGAGEMENTS 2026'!AE2272)</f>
        <v/>
      </c>
      <c r="I2272">
        <f>IF(ISBLANK('ENGAGEMENTS 2026'!B2272),"",'ENGAGEMENTS 2026'!G2272)</f>
        <v/>
      </c>
      <c r="J2272" s="275">
        <f>IF(ISBLANK('ENGAGEMENTS 2026'!B2272),"",IF(AND(OR($E2272="INFRUCTUEUX",$E2272="ANNULE"),$C2272="AOO-M"),'ENGAGEMENTS 2026'!O2272,IF($H2272="EN COURS DE PREENGAGEMENT",'ENGAGEMENTS 2026'!N2272,IF($H2272="PREENGAGE",IF($E2272="ATTRIBUE",'ENGAGEMENTS 2026'!AD2272,'ENGAGEMENTS 2026'!N2272),'ENGAGEMENTS 2026'!AD2272))))</f>
        <v/>
      </c>
      <c r="K2272" s="604">
        <f>IF(ISBLANK('ENGAGEMENTS 2026'!V2272),"",'ENGAGEMENTS 2026'!V2272)</f>
        <v/>
      </c>
      <c r="L2272" s="276">
        <f>IF($K2272="","",TODAY()-$K2272)</f>
        <v/>
      </c>
      <c r="M2272">
        <f>IF($A2272="","",IF($H2272="ENGAGE","Engagé",IF(AND($H2272="NON ENGAGE",OR($I2272="INFRUCTUEUX",$I2272="ANNULE")),"Clôturé sans suite","En cours")))</f>
        <v/>
      </c>
      <c r="N2272">
        <f>IF(ISBLANK('ENGAGEMENTS 2026'!B2272),"",'ENGAGEMENTS 2026'!K2272)</f>
        <v/>
      </c>
      <c r="O2272">
        <f>IF(ISBLANK('ENGAGEMENTS 2026'!B2272),"",'ENGAGEMENTS 2026'!L2272)</f>
        <v/>
      </c>
      <c r="P2272">
        <f>IF(ISBLANK('ENGAGEMENTS 2026'!B2272),"",'ENGAGEMENTS 2026'!J2272)</f>
        <v/>
      </c>
      <c r="Q2272">
        <f>IF($A2272="","",IF(OR($E2272="INFRUCTUEUX",$E2272="ANNULE"),$A2272&amp;"|"&amp;(COUNTIFS($A$2:$A2272,$A2272,$E$2:$E2272,"INFRUCTUEUX")+COUNTIFS($A$2:$A2272,$A2272,$E$2:$E2272,"ANNULE")),""))</f>
        <v/>
      </c>
    </row>
    <row r="2273">
      <c r="A2273">
        <f>IF(ISBLANK('ENGAGEMENTS 2026'!B2273),"",IF('ENGAGEMENTS 2026'!B2273="DTSI","DCT",'ENGAGEMENTS 2026'!B2273))</f>
        <v/>
      </c>
      <c r="B2273">
        <f>IF(ISBLANK('ENGAGEMENTS 2026'!B2273),"",'ENGAGEMENTS 2026'!C2273)</f>
        <v/>
      </c>
      <c r="C2273">
        <f>IF(ISBLANK('ENGAGEMENTS 2026'!B2273),"",'ENGAGEMENTS 2026'!D2273)</f>
        <v/>
      </c>
      <c r="D2273">
        <f>IF(ISBLANK('ENGAGEMENTS 2026'!B2273),"",'ENGAGEMENTS 2026'!F2273)</f>
        <v/>
      </c>
      <c r="E2273">
        <f>IF(ISBLANK('ENGAGEMENTS 2026'!B2273),"",'ENGAGEMENTS 2026'!H2273)</f>
        <v/>
      </c>
      <c r="F2273">
        <f>IF(ISBLANK('ENGAGEMENTS 2026'!B2273),"",'ENGAGEMENTS 2026'!I2273)</f>
        <v/>
      </c>
      <c r="G2273">
        <f>IF(ISBLANK('ENGAGEMENTS 2026'!B2273),"",'ENGAGEMENTS 2026'!L2273)</f>
        <v/>
      </c>
      <c r="H2273">
        <f>IF(ISBLANK('ENGAGEMENTS 2026'!B2273),"",'ENGAGEMENTS 2026'!AE2273)</f>
        <v/>
      </c>
      <c r="I2273">
        <f>IF(ISBLANK('ENGAGEMENTS 2026'!B2273),"",'ENGAGEMENTS 2026'!G2273)</f>
        <v/>
      </c>
      <c r="J2273" s="275">
        <f>IF(ISBLANK('ENGAGEMENTS 2026'!B2273),"",IF(AND(OR($E2273="INFRUCTUEUX",$E2273="ANNULE"),$C2273="AOO-M"),'ENGAGEMENTS 2026'!O2273,IF($H2273="EN COURS DE PREENGAGEMENT",'ENGAGEMENTS 2026'!N2273,IF($H2273="PREENGAGE",IF($E2273="ATTRIBUE",'ENGAGEMENTS 2026'!AD2273,'ENGAGEMENTS 2026'!N2273),'ENGAGEMENTS 2026'!AD2273))))</f>
        <v/>
      </c>
      <c r="K2273" s="604">
        <f>IF(ISBLANK('ENGAGEMENTS 2026'!V2273),"",'ENGAGEMENTS 2026'!V2273)</f>
        <v/>
      </c>
      <c r="L2273" s="276">
        <f>IF($K2273="","",TODAY()-$K2273)</f>
        <v/>
      </c>
      <c r="M2273">
        <f>IF($A2273="","",IF($H2273="ENGAGE","Engagé",IF(AND($H2273="NON ENGAGE",OR($I2273="INFRUCTUEUX",$I2273="ANNULE")),"Clôturé sans suite","En cours")))</f>
        <v/>
      </c>
      <c r="N2273">
        <f>IF(ISBLANK('ENGAGEMENTS 2026'!B2273),"",'ENGAGEMENTS 2026'!K2273)</f>
        <v/>
      </c>
      <c r="O2273">
        <f>IF(ISBLANK('ENGAGEMENTS 2026'!B2273),"",'ENGAGEMENTS 2026'!L2273)</f>
        <v/>
      </c>
      <c r="P2273">
        <f>IF(ISBLANK('ENGAGEMENTS 2026'!B2273),"",'ENGAGEMENTS 2026'!J2273)</f>
        <v/>
      </c>
      <c r="Q2273">
        <f>IF($A2273="","",IF(OR($E2273="INFRUCTUEUX",$E2273="ANNULE"),$A2273&amp;"|"&amp;(COUNTIFS($A$2:$A2273,$A2273,$E$2:$E2273,"INFRUCTUEUX")+COUNTIFS($A$2:$A2273,$A2273,$E$2:$E2273,"ANNULE")),""))</f>
        <v/>
      </c>
    </row>
    <row r="2274">
      <c r="A2274">
        <f>IF(ISBLANK('ENGAGEMENTS 2026'!B2274),"",IF('ENGAGEMENTS 2026'!B2274="DTSI","DCT",'ENGAGEMENTS 2026'!B2274))</f>
        <v/>
      </c>
      <c r="B2274">
        <f>IF(ISBLANK('ENGAGEMENTS 2026'!B2274),"",'ENGAGEMENTS 2026'!C2274)</f>
        <v/>
      </c>
      <c r="C2274">
        <f>IF(ISBLANK('ENGAGEMENTS 2026'!B2274),"",'ENGAGEMENTS 2026'!D2274)</f>
        <v/>
      </c>
      <c r="D2274">
        <f>IF(ISBLANK('ENGAGEMENTS 2026'!B2274),"",'ENGAGEMENTS 2026'!F2274)</f>
        <v/>
      </c>
      <c r="E2274">
        <f>IF(ISBLANK('ENGAGEMENTS 2026'!B2274),"",'ENGAGEMENTS 2026'!H2274)</f>
        <v/>
      </c>
      <c r="F2274">
        <f>IF(ISBLANK('ENGAGEMENTS 2026'!B2274),"",'ENGAGEMENTS 2026'!I2274)</f>
        <v/>
      </c>
      <c r="G2274">
        <f>IF(ISBLANK('ENGAGEMENTS 2026'!B2274),"",'ENGAGEMENTS 2026'!L2274)</f>
        <v/>
      </c>
      <c r="H2274">
        <f>IF(ISBLANK('ENGAGEMENTS 2026'!B2274),"",'ENGAGEMENTS 2026'!AE2274)</f>
        <v/>
      </c>
      <c r="I2274">
        <f>IF(ISBLANK('ENGAGEMENTS 2026'!B2274),"",'ENGAGEMENTS 2026'!G2274)</f>
        <v/>
      </c>
      <c r="J2274" s="275">
        <f>IF(ISBLANK('ENGAGEMENTS 2026'!B2274),"",IF(AND(OR($E2274="INFRUCTUEUX",$E2274="ANNULE"),$C2274="AOO-M"),'ENGAGEMENTS 2026'!O2274,IF($H2274="EN COURS DE PREENGAGEMENT",'ENGAGEMENTS 2026'!N2274,IF($H2274="PREENGAGE",IF($E2274="ATTRIBUE",'ENGAGEMENTS 2026'!AD2274,'ENGAGEMENTS 2026'!N2274),'ENGAGEMENTS 2026'!AD2274))))</f>
        <v/>
      </c>
      <c r="K2274" s="604">
        <f>IF(ISBLANK('ENGAGEMENTS 2026'!V2274),"",'ENGAGEMENTS 2026'!V2274)</f>
        <v/>
      </c>
      <c r="L2274" s="276">
        <f>IF($K2274="","",TODAY()-$K2274)</f>
        <v/>
      </c>
      <c r="M2274">
        <f>IF($A2274="","",IF($H2274="ENGAGE","Engagé",IF(AND($H2274="NON ENGAGE",OR($I2274="INFRUCTUEUX",$I2274="ANNULE")),"Clôturé sans suite","En cours")))</f>
        <v/>
      </c>
      <c r="N2274">
        <f>IF(ISBLANK('ENGAGEMENTS 2026'!B2274),"",'ENGAGEMENTS 2026'!K2274)</f>
        <v/>
      </c>
      <c r="O2274">
        <f>IF(ISBLANK('ENGAGEMENTS 2026'!B2274),"",'ENGAGEMENTS 2026'!L2274)</f>
        <v/>
      </c>
      <c r="P2274">
        <f>IF(ISBLANK('ENGAGEMENTS 2026'!B2274),"",'ENGAGEMENTS 2026'!J2274)</f>
        <v/>
      </c>
      <c r="Q2274">
        <f>IF($A2274="","",IF(OR($E2274="INFRUCTUEUX",$E2274="ANNULE"),$A2274&amp;"|"&amp;(COUNTIFS($A$2:$A2274,$A2274,$E$2:$E2274,"INFRUCTUEUX")+COUNTIFS($A$2:$A2274,$A2274,$E$2:$E2274,"ANNULE")),""))</f>
        <v/>
      </c>
    </row>
    <row r="2275">
      <c r="A2275">
        <f>IF(ISBLANK('ENGAGEMENTS 2026'!B2275),"",IF('ENGAGEMENTS 2026'!B2275="DTSI","DCT",'ENGAGEMENTS 2026'!B2275))</f>
        <v/>
      </c>
      <c r="B2275">
        <f>IF(ISBLANK('ENGAGEMENTS 2026'!B2275),"",'ENGAGEMENTS 2026'!C2275)</f>
        <v/>
      </c>
      <c r="C2275">
        <f>IF(ISBLANK('ENGAGEMENTS 2026'!B2275),"",'ENGAGEMENTS 2026'!D2275)</f>
        <v/>
      </c>
      <c r="D2275">
        <f>IF(ISBLANK('ENGAGEMENTS 2026'!B2275),"",'ENGAGEMENTS 2026'!F2275)</f>
        <v/>
      </c>
      <c r="E2275">
        <f>IF(ISBLANK('ENGAGEMENTS 2026'!B2275),"",'ENGAGEMENTS 2026'!H2275)</f>
        <v/>
      </c>
      <c r="F2275">
        <f>IF(ISBLANK('ENGAGEMENTS 2026'!B2275),"",'ENGAGEMENTS 2026'!I2275)</f>
        <v/>
      </c>
      <c r="G2275">
        <f>IF(ISBLANK('ENGAGEMENTS 2026'!B2275),"",'ENGAGEMENTS 2026'!L2275)</f>
        <v/>
      </c>
      <c r="H2275">
        <f>IF(ISBLANK('ENGAGEMENTS 2026'!B2275),"",'ENGAGEMENTS 2026'!AE2275)</f>
        <v/>
      </c>
      <c r="I2275">
        <f>IF(ISBLANK('ENGAGEMENTS 2026'!B2275),"",'ENGAGEMENTS 2026'!G2275)</f>
        <v/>
      </c>
      <c r="J2275" s="275">
        <f>IF(ISBLANK('ENGAGEMENTS 2026'!B2275),"",IF(AND(OR($E2275="INFRUCTUEUX",$E2275="ANNULE"),$C2275="AOO-M"),'ENGAGEMENTS 2026'!O2275,IF($H2275="EN COURS DE PREENGAGEMENT",'ENGAGEMENTS 2026'!N2275,IF($H2275="PREENGAGE",IF($E2275="ATTRIBUE",'ENGAGEMENTS 2026'!AD2275,'ENGAGEMENTS 2026'!N2275),'ENGAGEMENTS 2026'!AD2275))))</f>
        <v/>
      </c>
      <c r="K2275" s="604">
        <f>IF(ISBLANK('ENGAGEMENTS 2026'!V2275),"",'ENGAGEMENTS 2026'!V2275)</f>
        <v/>
      </c>
      <c r="L2275" s="276">
        <f>IF($K2275="","",TODAY()-$K2275)</f>
        <v/>
      </c>
      <c r="M2275">
        <f>IF($A2275="","",IF($H2275="ENGAGE","Engagé",IF(AND($H2275="NON ENGAGE",OR($I2275="INFRUCTUEUX",$I2275="ANNULE")),"Clôturé sans suite","En cours")))</f>
        <v/>
      </c>
      <c r="N2275">
        <f>IF(ISBLANK('ENGAGEMENTS 2026'!B2275),"",'ENGAGEMENTS 2026'!K2275)</f>
        <v/>
      </c>
      <c r="O2275">
        <f>IF(ISBLANK('ENGAGEMENTS 2026'!B2275),"",'ENGAGEMENTS 2026'!L2275)</f>
        <v/>
      </c>
      <c r="P2275">
        <f>IF(ISBLANK('ENGAGEMENTS 2026'!B2275),"",'ENGAGEMENTS 2026'!J2275)</f>
        <v/>
      </c>
      <c r="Q2275">
        <f>IF($A2275="","",IF(OR($E2275="INFRUCTUEUX",$E2275="ANNULE"),$A2275&amp;"|"&amp;(COUNTIFS($A$2:$A2275,$A2275,$E$2:$E2275,"INFRUCTUEUX")+COUNTIFS($A$2:$A2275,$A2275,$E$2:$E2275,"ANNULE")),""))</f>
        <v/>
      </c>
    </row>
    <row r="2276">
      <c r="A2276">
        <f>IF(ISBLANK('ENGAGEMENTS 2026'!B2276),"",IF('ENGAGEMENTS 2026'!B2276="DTSI","DCT",'ENGAGEMENTS 2026'!B2276))</f>
        <v/>
      </c>
      <c r="B2276">
        <f>IF(ISBLANK('ENGAGEMENTS 2026'!B2276),"",'ENGAGEMENTS 2026'!C2276)</f>
        <v/>
      </c>
      <c r="C2276">
        <f>IF(ISBLANK('ENGAGEMENTS 2026'!B2276),"",'ENGAGEMENTS 2026'!D2276)</f>
        <v/>
      </c>
      <c r="D2276">
        <f>IF(ISBLANK('ENGAGEMENTS 2026'!B2276),"",'ENGAGEMENTS 2026'!F2276)</f>
        <v/>
      </c>
      <c r="E2276">
        <f>IF(ISBLANK('ENGAGEMENTS 2026'!B2276),"",'ENGAGEMENTS 2026'!H2276)</f>
        <v/>
      </c>
      <c r="F2276">
        <f>IF(ISBLANK('ENGAGEMENTS 2026'!B2276),"",'ENGAGEMENTS 2026'!I2276)</f>
        <v/>
      </c>
      <c r="G2276">
        <f>IF(ISBLANK('ENGAGEMENTS 2026'!B2276),"",'ENGAGEMENTS 2026'!L2276)</f>
        <v/>
      </c>
      <c r="H2276">
        <f>IF(ISBLANK('ENGAGEMENTS 2026'!B2276),"",'ENGAGEMENTS 2026'!AE2276)</f>
        <v/>
      </c>
      <c r="I2276">
        <f>IF(ISBLANK('ENGAGEMENTS 2026'!B2276),"",'ENGAGEMENTS 2026'!G2276)</f>
        <v/>
      </c>
      <c r="J2276" s="275">
        <f>IF(ISBLANK('ENGAGEMENTS 2026'!B2276),"",IF(AND(OR($E2276="INFRUCTUEUX",$E2276="ANNULE"),$C2276="AOO-M"),'ENGAGEMENTS 2026'!O2276,IF($H2276="EN COURS DE PREENGAGEMENT",'ENGAGEMENTS 2026'!N2276,IF($H2276="PREENGAGE",IF($E2276="ATTRIBUE",'ENGAGEMENTS 2026'!AD2276,'ENGAGEMENTS 2026'!N2276),'ENGAGEMENTS 2026'!AD2276))))</f>
        <v/>
      </c>
      <c r="K2276" s="604">
        <f>IF(ISBLANK('ENGAGEMENTS 2026'!V2276),"",'ENGAGEMENTS 2026'!V2276)</f>
        <v/>
      </c>
      <c r="L2276" s="276">
        <f>IF($K2276="","",TODAY()-$K2276)</f>
        <v/>
      </c>
      <c r="M2276">
        <f>IF($A2276="","",IF($H2276="ENGAGE","Engagé",IF(AND($H2276="NON ENGAGE",OR($I2276="INFRUCTUEUX",$I2276="ANNULE")),"Clôturé sans suite","En cours")))</f>
        <v/>
      </c>
      <c r="N2276">
        <f>IF(ISBLANK('ENGAGEMENTS 2026'!B2276),"",'ENGAGEMENTS 2026'!K2276)</f>
        <v/>
      </c>
      <c r="O2276">
        <f>IF(ISBLANK('ENGAGEMENTS 2026'!B2276),"",'ENGAGEMENTS 2026'!L2276)</f>
        <v/>
      </c>
      <c r="P2276">
        <f>IF(ISBLANK('ENGAGEMENTS 2026'!B2276),"",'ENGAGEMENTS 2026'!J2276)</f>
        <v/>
      </c>
      <c r="Q2276">
        <f>IF($A2276="","",IF(OR($E2276="INFRUCTUEUX",$E2276="ANNULE"),$A2276&amp;"|"&amp;(COUNTIFS($A$2:$A2276,$A2276,$E$2:$E2276,"INFRUCTUEUX")+COUNTIFS($A$2:$A2276,$A2276,$E$2:$E2276,"ANNULE")),""))</f>
        <v/>
      </c>
    </row>
    <row r="2277">
      <c r="A2277">
        <f>IF(ISBLANK('ENGAGEMENTS 2026'!B2277),"",IF('ENGAGEMENTS 2026'!B2277="DTSI","DCT",'ENGAGEMENTS 2026'!B2277))</f>
        <v/>
      </c>
      <c r="B2277">
        <f>IF(ISBLANK('ENGAGEMENTS 2026'!B2277),"",'ENGAGEMENTS 2026'!C2277)</f>
        <v/>
      </c>
      <c r="C2277">
        <f>IF(ISBLANK('ENGAGEMENTS 2026'!B2277),"",'ENGAGEMENTS 2026'!D2277)</f>
        <v/>
      </c>
      <c r="D2277">
        <f>IF(ISBLANK('ENGAGEMENTS 2026'!B2277),"",'ENGAGEMENTS 2026'!F2277)</f>
        <v/>
      </c>
      <c r="E2277">
        <f>IF(ISBLANK('ENGAGEMENTS 2026'!B2277),"",'ENGAGEMENTS 2026'!H2277)</f>
        <v/>
      </c>
      <c r="F2277">
        <f>IF(ISBLANK('ENGAGEMENTS 2026'!B2277),"",'ENGAGEMENTS 2026'!I2277)</f>
        <v/>
      </c>
      <c r="G2277">
        <f>IF(ISBLANK('ENGAGEMENTS 2026'!B2277),"",'ENGAGEMENTS 2026'!L2277)</f>
        <v/>
      </c>
      <c r="H2277">
        <f>IF(ISBLANK('ENGAGEMENTS 2026'!B2277),"",'ENGAGEMENTS 2026'!AE2277)</f>
        <v/>
      </c>
      <c r="I2277">
        <f>IF(ISBLANK('ENGAGEMENTS 2026'!B2277),"",'ENGAGEMENTS 2026'!G2277)</f>
        <v/>
      </c>
      <c r="J2277" s="275">
        <f>IF(ISBLANK('ENGAGEMENTS 2026'!B2277),"",IF(AND(OR($E2277="INFRUCTUEUX",$E2277="ANNULE"),$C2277="AOO-M"),'ENGAGEMENTS 2026'!O2277,IF($H2277="EN COURS DE PREENGAGEMENT",'ENGAGEMENTS 2026'!N2277,IF($H2277="PREENGAGE",IF($E2277="ATTRIBUE",'ENGAGEMENTS 2026'!AD2277,'ENGAGEMENTS 2026'!N2277),'ENGAGEMENTS 2026'!AD2277))))</f>
        <v/>
      </c>
      <c r="K2277" s="604">
        <f>IF(ISBLANK('ENGAGEMENTS 2026'!V2277),"",'ENGAGEMENTS 2026'!V2277)</f>
        <v/>
      </c>
      <c r="L2277" s="276">
        <f>IF($K2277="","",TODAY()-$K2277)</f>
        <v/>
      </c>
      <c r="M2277">
        <f>IF($A2277="","",IF($H2277="ENGAGE","Engagé",IF(AND($H2277="NON ENGAGE",OR($I2277="INFRUCTUEUX",$I2277="ANNULE")),"Clôturé sans suite","En cours")))</f>
        <v/>
      </c>
      <c r="N2277">
        <f>IF(ISBLANK('ENGAGEMENTS 2026'!B2277),"",'ENGAGEMENTS 2026'!K2277)</f>
        <v/>
      </c>
      <c r="O2277">
        <f>IF(ISBLANK('ENGAGEMENTS 2026'!B2277),"",'ENGAGEMENTS 2026'!L2277)</f>
        <v/>
      </c>
      <c r="P2277">
        <f>IF(ISBLANK('ENGAGEMENTS 2026'!B2277),"",'ENGAGEMENTS 2026'!J2277)</f>
        <v/>
      </c>
      <c r="Q2277">
        <f>IF($A2277="","",IF(OR($E2277="INFRUCTUEUX",$E2277="ANNULE"),$A2277&amp;"|"&amp;(COUNTIFS($A$2:$A2277,$A2277,$E$2:$E2277,"INFRUCTUEUX")+COUNTIFS($A$2:$A2277,$A2277,$E$2:$E2277,"ANNULE")),""))</f>
        <v/>
      </c>
    </row>
    <row r="2278">
      <c r="A2278">
        <f>IF(ISBLANK('ENGAGEMENTS 2026'!B2278),"",IF('ENGAGEMENTS 2026'!B2278="DTSI","DCT",'ENGAGEMENTS 2026'!B2278))</f>
        <v/>
      </c>
      <c r="B2278">
        <f>IF(ISBLANK('ENGAGEMENTS 2026'!B2278),"",'ENGAGEMENTS 2026'!C2278)</f>
        <v/>
      </c>
      <c r="C2278">
        <f>IF(ISBLANK('ENGAGEMENTS 2026'!B2278),"",'ENGAGEMENTS 2026'!D2278)</f>
        <v/>
      </c>
      <c r="D2278">
        <f>IF(ISBLANK('ENGAGEMENTS 2026'!B2278),"",'ENGAGEMENTS 2026'!F2278)</f>
        <v/>
      </c>
      <c r="E2278">
        <f>IF(ISBLANK('ENGAGEMENTS 2026'!B2278),"",'ENGAGEMENTS 2026'!H2278)</f>
        <v/>
      </c>
      <c r="F2278">
        <f>IF(ISBLANK('ENGAGEMENTS 2026'!B2278),"",'ENGAGEMENTS 2026'!I2278)</f>
        <v/>
      </c>
      <c r="G2278">
        <f>IF(ISBLANK('ENGAGEMENTS 2026'!B2278),"",'ENGAGEMENTS 2026'!L2278)</f>
        <v/>
      </c>
      <c r="H2278">
        <f>IF(ISBLANK('ENGAGEMENTS 2026'!B2278),"",'ENGAGEMENTS 2026'!AE2278)</f>
        <v/>
      </c>
      <c r="I2278">
        <f>IF(ISBLANK('ENGAGEMENTS 2026'!B2278),"",'ENGAGEMENTS 2026'!G2278)</f>
        <v/>
      </c>
      <c r="J2278" s="275">
        <f>IF(ISBLANK('ENGAGEMENTS 2026'!B2278),"",IF(AND(OR($E2278="INFRUCTUEUX",$E2278="ANNULE"),$C2278="AOO-M"),'ENGAGEMENTS 2026'!O2278,IF($H2278="EN COURS DE PREENGAGEMENT",'ENGAGEMENTS 2026'!N2278,IF($H2278="PREENGAGE",IF($E2278="ATTRIBUE",'ENGAGEMENTS 2026'!AD2278,'ENGAGEMENTS 2026'!N2278),'ENGAGEMENTS 2026'!AD2278))))</f>
        <v/>
      </c>
      <c r="K2278" s="604">
        <f>IF(ISBLANK('ENGAGEMENTS 2026'!V2278),"",'ENGAGEMENTS 2026'!V2278)</f>
        <v/>
      </c>
      <c r="L2278" s="276">
        <f>IF($K2278="","",TODAY()-$K2278)</f>
        <v/>
      </c>
      <c r="M2278">
        <f>IF($A2278="","",IF($H2278="ENGAGE","Engagé",IF(AND($H2278="NON ENGAGE",OR($I2278="INFRUCTUEUX",$I2278="ANNULE")),"Clôturé sans suite","En cours")))</f>
        <v/>
      </c>
      <c r="N2278">
        <f>IF(ISBLANK('ENGAGEMENTS 2026'!B2278),"",'ENGAGEMENTS 2026'!K2278)</f>
        <v/>
      </c>
      <c r="O2278">
        <f>IF(ISBLANK('ENGAGEMENTS 2026'!B2278),"",'ENGAGEMENTS 2026'!L2278)</f>
        <v/>
      </c>
      <c r="P2278">
        <f>IF(ISBLANK('ENGAGEMENTS 2026'!B2278),"",'ENGAGEMENTS 2026'!J2278)</f>
        <v/>
      </c>
      <c r="Q2278">
        <f>IF($A2278="","",IF(OR($E2278="INFRUCTUEUX",$E2278="ANNULE"),$A2278&amp;"|"&amp;(COUNTIFS($A$2:$A2278,$A2278,$E$2:$E2278,"INFRUCTUEUX")+COUNTIFS($A$2:$A2278,$A2278,$E$2:$E2278,"ANNULE")),""))</f>
        <v/>
      </c>
    </row>
    <row r="2279">
      <c r="A2279">
        <f>IF(ISBLANK('ENGAGEMENTS 2026'!B2279),"",IF('ENGAGEMENTS 2026'!B2279="DTSI","DCT",'ENGAGEMENTS 2026'!B2279))</f>
        <v/>
      </c>
      <c r="B2279">
        <f>IF(ISBLANK('ENGAGEMENTS 2026'!B2279),"",'ENGAGEMENTS 2026'!C2279)</f>
        <v/>
      </c>
      <c r="C2279">
        <f>IF(ISBLANK('ENGAGEMENTS 2026'!B2279),"",'ENGAGEMENTS 2026'!D2279)</f>
        <v/>
      </c>
      <c r="D2279">
        <f>IF(ISBLANK('ENGAGEMENTS 2026'!B2279),"",'ENGAGEMENTS 2026'!F2279)</f>
        <v/>
      </c>
      <c r="E2279">
        <f>IF(ISBLANK('ENGAGEMENTS 2026'!B2279),"",'ENGAGEMENTS 2026'!H2279)</f>
        <v/>
      </c>
      <c r="F2279">
        <f>IF(ISBLANK('ENGAGEMENTS 2026'!B2279),"",'ENGAGEMENTS 2026'!I2279)</f>
        <v/>
      </c>
      <c r="G2279">
        <f>IF(ISBLANK('ENGAGEMENTS 2026'!B2279),"",'ENGAGEMENTS 2026'!L2279)</f>
        <v/>
      </c>
      <c r="H2279">
        <f>IF(ISBLANK('ENGAGEMENTS 2026'!B2279),"",'ENGAGEMENTS 2026'!AE2279)</f>
        <v/>
      </c>
      <c r="I2279">
        <f>IF(ISBLANK('ENGAGEMENTS 2026'!B2279),"",'ENGAGEMENTS 2026'!G2279)</f>
        <v/>
      </c>
      <c r="J2279" s="275">
        <f>IF(ISBLANK('ENGAGEMENTS 2026'!B2279),"",IF(AND(OR($E2279="INFRUCTUEUX",$E2279="ANNULE"),$C2279="AOO-M"),'ENGAGEMENTS 2026'!O2279,IF($H2279="EN COURS DE PREENGAGEMENT",'ENGAGEMENTS 2026'!N2279,IF($H2279="PREENGAGE",IF($E2279="ATTRIBUE",'ENGAGEMENTS 2026'!AD2279,'ENGAGEMENTS 2026'!N2279),'ENGAGEMENTS 2026'!AD2279))))</f>
        <v/>
      </c>
      <c r="K2279" s="604">
        <f>IF(ISBLANK('ENGAGEMENTS 2026'!V2279),"",'ENGAGEMENTS 2026'!V2279)</f>
        <v/>
      </c>
      <c r="L2279" s="276">
        <f>IF($K2279="","",TODAY()-$K2279)</f>
        <v/>
      </c>
      <c r="M2279">
        <f>IF($A2279="","",IF($H2279="ENGAGE","Engagé",IF(AND($H2279="NON ENGAGE",OR($I2279="INFRUCTUEUX",$I2279="ANNULE")),"Clôturé sans suite","En cours")))</f>
        <v/>
      </c>
      <c r="N2279">
        <f>IF(ISBLANK('ENGAGEMENTS 2026'!B2279),"",'ENGAGEMENTS 2026'!K2279)</f>
        <v/>
      </c>
      <c r="O2279">
        <f>IF(ISBLANK('ENGAGEMENTS 2026'!B2279),"",'ENGAGEMENTS 2026'!L2279)</f>
        <v/>
      </c>
      <c r="P2279">
        <f>IF(ISBLANK('ENGAGEMENTS 2026'!B2279),"",'ENGAGEMENTS 2026'!J2279)</f>
        <v/>
      </c>
      <c r="Q2279">
        <f>IF($A2279="","",IF(OR($E2279="INFRUCTUEUX",$E2279="ANNULE"),$A2279&amp;"|"&amp;(COUNTIFS($A$2:$A2279,$A2279,$E$2:$E2279,"INFRUCTUEUX")+COUNTIFS($A$2:$A2279,$A2279,$E$2:$E2279,"ANNULE")),""))</f>
        <v/>
      </c>
    </row>
    <row r="2280">
      <c r="A2280">
        <f>IF(ISBLANK('ENGAGEMENTS 2026'!B2280),"",IF('ENGAGEMENTS 2026'!B2280="DTSI","DCT",'ENGAGEMENTS 2026'!B2280))</f>
        <v/>
      </c>
      <c r="B2280">
        <f>IF(ISBLANK('ENGAGEMENTS 2026'!B2280),"",'ENGAGEMENTS 2026'!C2280)</f>
        <v/>
      </c>
      <c r="C2280">
        <f>IF(ISBLANK('ENGAGEMENTS 2026'!B2280),"",'ENGAGEMENTS 2026'!D2280)</f>
        <v/>
      </c>
      <c r="D2280">
        <f>IF(ISBLANK('ENGAGEMENTS 2026'!B2280),"",'ENGAGEMENTS 2026'!F2280)</f>
        <v/>
      </c>
      <c r="E2280">
        <f>IF(ISBLANK('ENGAGEMENTS 2026'!B2280),"",'ENGAGEMENTS 2026'!H2280)</f>
        <v/>
      </c>
      <c r="F2280">
        <f>IF(ISBLANK('ENGAGEMENTS 2026'!B2280),"",'ENGAGEMENTS 2026'!I2280)</f>
        <v/>
      </c>
      <c r="G2280">
        <f>IF(ISBLANK('ENGAGEMENTS 2026'!B2280),"",'ENGAGEMENTS 2026'!L2280)</f>
        <v/>
      </c>
      <c r="H2280">
        <f>IF(ISBLANK('ENGAGEMENTS 2026'!B2280),"",'ENGAGEMENTS 2026'!AE2280)</f>
        <v/>
      </c>
      <c r="I2280">
        <f>IF(ISBLANK('ENGAGEMENTS 2026'!B2280),"",'ENGAGEMENTS 2026'!G2280)</f>
        <v/>
      </c>
      <c r="J2280" s="275">
        <f>IF(ISBLANK('ENGAGEMENTS 2026'!B2280),"",IF(AND(OR($E2280="INFRUCTUEUX",$E2280="ANNULE"),$C2280="AOO-M"),'ENGAGEMENTS 2026'!O2280,IF($H2280="EN COURS DE PREENGAGEMENT",'ENGAGEMENTS 2026'!N2280,IF($H2280="PREENGAGE",IF($E2280="ATTRIBUE",'ENGAGEMENTS 2026'!AD2280,'ENGAGEMENTS 2026'!N2280),'ENGAGEMENTS 2026'!AD2280))))</f>
        <v/>
      </c>
      <c r="K2280" s="604">
        <f>IF(ISBLANK('ENGAGEMENTS 2026'!V2280),"",'ENGAGEMENTS 2026'!V2280)</f>
        <v/>
      </c>
      <c r="L2280" s="276">
        <f>IF($K2280="","",TODAY()-$K2280)</f>
        <v/>
      </c>
      <c r="M2280">
        <f>IF($A2280="","",IF($H2280="ENGAGE","Engagé",IF(AND($H2280="NON ENGAGE",OR($I2280="INFRUCTUEUX",$I2280="ANNULE")),"Clôturé sans suite","En cours")))</f>
        <v/>
      </c>
      <c r="N2280">
        <f>IF(ISBLANK('ENGAGEMENTS 2026'!B2280),"",'ENGAGEMENTS 2026'!K2280)</f>
        <v/>
      </c>
      <c r="O2280">
        <f>IF(ISBLANK('ENGAGEMENTS 2026'!B2280),"",'ENGAGEMENTS 2026'!L2280)</f>
        <v/>
      </c>
      <c r="P2280">
        <f>IF(ISBLANK('ENGAGEMENTS 2026'!B2280),"",'ENGAGEMENTS 2026'!J2280)</f>
        <v/>
      </c>
      <c r="Q2280">
        <f>IF($A2280="","",IF(OR($E2280="INFRUCTUEUX",$E2280="ANNULE"),$A2280&amp;"|"&amp;(COUNTIFS($A$2:$A2280,$A2280,$E$2:$E2280,"INFRUCTUEUX")+COUNTIFS($A$2:$A2280,$A2280,$E$2:$E2280,"ANNULE")),""))</f>
        <v/>
      </c>
    </row>
    <row r="2281">
      <c r="A2281">
        <f>IF(ISBLANK('ENGAGEMENTS 2026'!B2281),"",IF('ENGAGEMENTS 2026'!B2281="DTSI","DCT",'ENGAGEMENTS 2026'!B2281))</f>
        <v/>
      </c>
      <c r="B2281">
        <f>IF(ISBLANK('ENGAGEMENTS 2026'!B2281),"",'ENGAGEMENTS 2026'!C2281)</f>
        <v/>
      </c>
      <c r="C2281">
        <f>IF(ISBLANK('ENGAGEMENTS 2026'!B2281),"",'ENGAGEMENTS 2026'!D2281)</f>
        <v/>
      </c>
      <c r="D2281">
        <f>IF(ISBLANK('ENGAGEMENTS 2026'!B2281),"",'ENGAGEMENTS 2026'!F2281)</f>
        <v/>
      </c>
      <c r="E2281">
        <f>IF(ISBLANK('ENGAGEMENTS 2026'!B2281),"",'ENGAGEMENTS 2026'!H2281)</f>
        <v/>
      </c>
      <c r="F2281">
        <f>IF(ISBLANK('ENGAGEMENTS 2026'!B2281),"",'ENGAGEMENTS 2026'!I2281)</f>
        <v/>
      </c>
      <c r="G2281">
        <f>IF(ISBLANK('ENGAGEMENTS 2026'!B2281),"",'ENGAGEMENTS 2026'!L2281)</f>
        <v/>
      </c>
      <c r="H2281">
        <f>IF(ISBLANK('ENGAGEMENTS 2026'!B2281),"",'ENGAGEMENTS 2026'!AE2281)</f>
        <v/>
      </c>
      <c r="I2281">
        <f>IF(ISBLANK('ENGAGEMENTS 2026'!B2281),"",'ENGAGEMENTS 2026'!G2281)</f>
        <v/>
      </c>
      <c r="J2281" s="275">
        <f>IF(ISBLANK('ENGAGEMENTS 2026'!B2281),"",IF(AND(OR($E2281="INFRUCTUEUX",$E2281="ANNULE"),$C2281="AOO-M"),'ENGAGEMENTS 2026'!O2281,IF($H2281="EN COURS DE PREENGAGEMENT",'ENGAGEMENTS 2026'!N2281,IF($H2281="PREENGAGE",IF($E2281="ATTRIBUE",'ENGAGEMENTS 2026'!AD2281,'ENGAGEMENTS 2026'!N2281),'ENGAGEMENTS 2026'!AD2281))))</f>
        <v/>
      </c>
      <c r="K2281" s="604">
        <f>IF(ISBLANK('ENGAGEMENTS 2026'!V2281),"",'ENGAGEMENTS 2026'!V2281)</f>
        <v/>
      </c>
      <c r="L2281" s="276">
        <f>IF($K2281="","",TODAY()-$K2281)</f>
        <v/>
      </c>
      <c r="M2281">
        <f>IF($A2281="","",IF($H2281="ENGAGE","Engagé",IF(AND($H2281="NON ENGAGE",OR($I2281="INFRUCTUEUX",$I2281="ANNULE")),"Clôturé sans suite","En cours")))</f>
        <v/>
      </c>
      <c r="N2281">
        <f>IF(ISBLANK('ENGAGEMENTS 2026'!B2281),"",'ENGAGEMENTS 2026'!K2281)</f>
        <v/>
      </c>
      <c r="O2281">
        <f>IF(ISBLANK('ENGAGEMENTS 2026'!B2281),"",'ENGAGEMENTS 2026'!L2281)</f>
        <v/>
      </c>
      <c r="P2281">
        <f>IF(ISBLANK('ENGAGEMENTS 2026'!B2281),"",'ENGAGEMENTS 2026'!J2281)</f>
        <v/>
      </c>
      <c r="Q2281">
        <f>IF($A2281="","",IF(OR($E2281="INFRUCTUEUX",$E2281="ANNULE"),$A2281&amp;"|"&amp;(COUNTIFS($A$2:$A2281,$A2281,$E$2:$E2281,"INFRUCTUEUX")+COUNTIFS($A$2:$A2281,$A2281,$E$2:$E2281,"ANNULE")),""))</f>
        <v/>
      </c>
    </row>
    <row r="2282">
      <c r="A2282">
        <f>IF(ISBLANK('ENGAGEMENTS 2026'!B2282),"",IF('ENGAGEMENTS 2026'!B2282="DTSI","DCT",'ENGAGEMENTS 2026'!B2282))</f>
        <v/>
      </c>
      <c r="B2282">
        <f>IF(ISBLANK('ENGAGEMENTS 2026'!B2282),"",'ENGAGEMENTS 2026'!C2282)</f>
        <v/>
      </c>
      <c r="C2282">
        <f>IF(ISBLANK('ENGAGEMENTS 2026'!B2282),"",'ENGAGEMENTS 2026'!D2282)</f>
        <v/>
      </c>
      <c r="D2282">
        <f>IF(ISBLANK('ENGAGEMENTS 2026'!B2282),"",'ENGAGEMENTS 2026'!F2282)</f>
        <v/>
      </c>
      <c r="E2282">
        <f>IF(ISBLANK('ENGAGEMENTS 2026'!B2282),"",'ENGAGEMENTS 2026'!H2282)</f>
        <v/>
      </c>
      <c r="F2282">
        <f>IF(ISBLANK('ENGAGEMENTS 2026'!B2282),"",'ENGAGEMENTS 2026'!I2282)</f>
        <v/>
      </c>
      <c r="G2282">
        <f>IF(ISBLANK('ENGAGEMENTS 2026'!B2282),"",'ENGAGEMENTS 2026'!L2282)</f>
        <v/>
      </c>
      <c r="H2282">
        <f>IF(ISBLANK('ENGAGEMENTS 2026'!B2282),"",'ENGAGEMENTS 2026'!AE2282)</f>
        <v/>
      </c>
      <c r="I2282">
        <f>IF(ISBLANK('ENGAGEMENTS 2026'!B2282),"",'ENGAGEMENTS 2026'!G2282)</f>
        <v/>
      </c>
      <c r="J2282" s="275">
        <f>IF(ISBLANK('ENGAGEMENTS 2026'!B2282),"",IF(AND(OR($E2282="INFRUCTUEUX",$E2282="ANNULE"),$C2282="AOO-M"),'ENGAGEMENTS 2026'!O2282,IF($H2282="EN COURS DE PREENGAGEMENT",'ENGAGEMENTS 2026'!N2282,IF($H2282="PREENGAGE",IF($E2282="ATTRIBUE",'ENGAGEMENTS 2026'!AD2282,'ENGAGEMENTS 2026'!N2282),'ENGAGEMENTS 2026'!AD2282))))</f>
        <v/>
      </c>
      <c r="K2282" s="604">
        <f>IF(ISBLANK('ENGAGEMENTS 2026'!V2282),"",'ENGAGEMENTS 2026'!V2282)</f>
        <v/>
      </c>
      <c r="L2282" s="276">
        <f>IF($K2282="","",TODAY()-$K2282)</f>
        <v/>
      </c>
      <c r="M2282">
        <f>IF($A2282="","",IF($H2282="ENGAGE","Engagé",IF(AND($H2282="NON ENGAGE",OR($I2282="INFRUCTUEUX",$I2282="ANNULE")),"Clôturé sans suite","En cours")))</f>
        <v/>
      </c>
      <c r="N2282">
        <f>IF(ISBLANK('ENGAGEMENTS 2026'!B2282),"",'ENGAGEMENTS 2026'!K2282)</f>
        <v/>
      </c>
      <c r="O2282">
        <f>IF(ISBLANK('ENGAGEMENTS 2026'!B2282),"",'ENGAGEMENTS 2026'!L2282)</f>
        <v/>
      </c>
      <c r="P2282">
        <f>IF(ISBLANK('ENGAGEMENTS 2026'!B2282),"",'ENGAGEMENTS 2026'!J2282)</f>
        <v/>
      </c>
      <c r="Q2282">
        <f>IF($A2282="","",IF(OR($E2282="INFRUCTUEUX",$E2282="ANNULE"),$A2282&amp;"|"&amp;(COUNTIFS($A$2:$A2282,$A2282,$E$2:$E2282,"INFRUCTUEUX")+COUNTIFS($A$2:$A2282,$A2282,$E$2:$E2282,"ANNULE")),""))</f>
        <v/>
      </c>
    </row>
    <row r="2283">
      <c r="A2283">
        <f>IF(ISBLANK('ENGAGEMENTS 2026'!B2283),"",IF('ENGAGEMENTS 2026'!B2283="DTSI","DCT",'ENGAGEMENTS 2026'!B2283))</f>
        <v/>
      </c>
      <c r="B2283">
        <f>IF(ISBLANK('ENGAGEMENTS 2026'!B2283),"",'ENGAGEMENTS 2026'!C2283)</f>
        <v/>
      </c>
      <c r="C2283">
        <f>IF(ISBLANK('ENGAGEMENTS 2026'!B2283),"",'ENGAGEMENTS 2026'!D2283)</f>
        <v/>
      </c>
      <c r="D2283">
        <f>IF(ISBLANK('ENGAGEMENTS 2026'!B2283),"",'ENGAGEMENTS 2026'!F2283)</f>
        <v/>
      </c>
      <c r="E2283">
        <f>IF(ISBLANK('ENGAGEMENTS 2026'!B2283),"",'ENGAGEMENTS 2026'!H2283)</f>
        <v/>
      </c>
      <c r="F2283">
        <f>IF(ISBLANK('ENGAGEMENTS 2026'!B2283),"",'ENGAGEMENTS 2026'!I2283)</f>
        <v/>
      </c>
      <c r="G2283">
        <f>IF(ISBLANK('ENGAGEMENTS 2026'!B2283),"",'ENGAGEMENTS 2026'!L2283)</f>
        <v/>
      </c>
      <c r="H2283">
        <f>IF(ISBLANK('ENGAGEMENTS 2026'!B2283),"",'ENGAGEMENTS 2026'!AE2283)</f>
        <v/>
      </c>
      <c r="I2283">
        <f>IF(ISBLANK('ENGAGEMENTS 2026'!B2283),"",'ENGAGEMENTS 2026'!G2283)</f>
        <v/>
      </c>
      <c r="J2283" s="275">
        <f>IF(ISBLANK('ENGAGEMENTS 2026'!B2283),"",IF(AND(OR($E2283="INFRUCTUEUX",$E2283="ANNULE"),$C2283="AOO-M"),'ENGAGEMENTS 2026'!O2283,IF($H2283="EN COURS DE PREENGAGEMENT",'ENGAGEMENTS 2026'!N2283,IF($H2283="PREENGAGE",IF($E2283="ATTRIBUE",'ENGAGEMENTS 2026'!AD2283,'ENGAGEMENTS 2026'!N2283),'ENGAGEMENTS 2026'!AD2283))))</f>
        <v/>
      </c>
      <c r="K2283" s="604">
        <f>IF(ISBLANK('ENGAGEMENTS 2026'!V2283),"",'ENGAGEMENTS 2026'!V2283)</f>
        <v/>
      </c>
      <c r="L2283" s="276">
        <f>IF($K2283="","",TODAY()-$K2283)</f>
        <v/>
      </c>
      <c r="M2283">
        <f>IF($A2283="","",IF($H2283="ENGAGE","Engagé",IF(AND($H2283="NON ENGAGE",OR($I2283="INFRUCTUEUX",$I2283="ANNULE")),"Clôturé sans suite","En cours")))</f>
        <v/>
      </c>
      <c r="N2283">
        <f>IF(ISBLANK('ENGAGEMENTS 2026'!B2283),"",'ENGAGEMENTS 2026'!K2283)</f>
        <v/>
      </c>
      <c r="O2283">
        <f>IF(ISBLANK('ENGAGEMENTS 2026'!B2283),"",'ENGAGEMENTS 2026'!L2283)</f>
        <v/>
      </c>
      <c r="P2283">
        <f>IF(ISBLANK('ENGAGEMENTS 2026'!B2283),"",'ENGAGEMENTS 2026'!J2283)</f>
        <v/>
      </c>
      <c r="Q2283">
        <f>IF($A2283="","",IF(OR($E2283="INFRUCTUEUX",$E2283="ANNULE"),$A2283&amp;"|"&amp;(COUNTIFS($A$2:$A2283,$A2283,$E$2:$E2283,"INFRUCTUEUX")+COUNTIFS($A$2:$A2283,$A2283,$E$2:$E2283,"ANNULE")),""))</f>
        <v/>
      </c>
    </row>
    <row r="2284">
      <c r="A2284">
        <f>IF(ISBLANK('ENGAGEMENTS 2026'!B2284),"",IF('ENGAGEMENTS 2026'!B2284="DTSI","DCT",'ENGAGEMENTS 2026'!B2284))</f>
        <v/>
      </c>
      <c r="B2284">
        <f>IF(ISBLANK('ENGAGEMENTS 2026'!B2284),"",'ENGAGEMENTS 2026'!C2284)</f>
        <v/>
      </c>
      <c r="C2284">
        <f>IF(ISBLANK('ENGAGEMENTS 2026'!B2284),"",'ENGAGEMENTS 2026'!D2284)</f>
        <v/>
      </c>
      <c r="D2284">
        <f>IF(ISBLANK('ENGAGEMENTS 2026'!B2284),"",'ENGAGEMENTS 2026'!F2284)</f>
        <v/>
      </c>
      <c r="E2284">
        <f>IF(ISBLANK('ENGAGEMENTS 2026'!B2284),"",'ENGAGEMENTS 2026'!H2284)</f>
        <v/>
      </c>
      <c r="F2284">
        <f>IF(ISBLANK('ENGAGEMENTS 2026'!B2284),"",'ENGAGEMENTS 2026'!I2284)</f>
        <v/>
      </c>
      <c r="G2284">
        <f>IF(ISBLANK('ENGAGEMENTS 2026'!B2284),"",'ENGAGEMENTS 2026'!L2284)</f>
        <v/>
      </c>
      <c r="H2284">
        <f>IF(ISBLANK('ENGAGEMENTS 2026'!B2284),"",'ENGAGEMENTS 2026'!AE2284)</f>
        <v/>
      </c>
      <c r="I2284">
        <f>IF(ISBLANK('ENGAGEMENTS 2026'!B2284),"",'ENGAGEMENTS 2026'!G2284)</f>
        <v/>
      </c>
      <c r="J2284" s="275">
        <f>IF(ISBLANK('ENGAGEMENTS 2026'!B2284),"",IF(AND(OR($E2284="INFRUCTUEUX",$E2284="ANNULE"),$C2284="AOO-M"),'ENGAGEMENTS 2026'!O2284,IF($H2284="EN COURS DE PREENGAGEMENT",'ENGAGEMENTS 2026'!N2284,IF($H2284="PREENGAGE",IF($E2284="ATTRIBUE",'ENGAGEMENTS 2026'!AD2284,'ENGAGEMENTS 2026'!N2284),'ENGAGEMENTS 2026'!AD2284))))</f>
        <v/>
      </c>
      <c r="K2284" s="604">
        <f>IF(ISBLANK('ENGAGEMENTS 2026'!V2284),"",'ENGAGEMENTS 2026'!V2284)</f>
        <v/>
      </c>
      <c r="L2284" s="276">
        <f>IF($K2284="","",TODAY()-$K2284)</f>
        <v/>
      </c>
      <c r="M2284">
        <f>IF($A2284="","",IF($H2284="ENGAGE","Engagé",IF(AND($H2284="NON ENGAGE",OR($I2284="INFRUCTUEUX",$I2284="ANNULE")),"Clôturé sans suite","En cours")))</f>
        <v/>
      </c>
      <c r="N2284">
        <f>IF(ISBLANK('ENGAGEMENTS 2026'!B2284),"",'ENGAGEMENTS 2026'!K2284)</f>
        <v/>
      </c>
      <c r="O2284">
        <f>IF(ISBLANK('ENGAGEMENTS 2026'!B2284),"",'ENGAGEMENTS 2026'!L2284)</f>
        <v/>
      </c>
      <c r="P2284">
        <f>IF(ISBLANK('ENGAGEMENTS 2026'!B2284),"",'ENGAGEMENTS 2026'!J2284)</f>
        <v/>
      </c>
      <c r="Q2284">
        <f>IF($A2284="","",IF(OR($E2284="INFRUCTUEUX",$E2284="ANNULE"),$A2284&amp;"|"&amp;(COUNTIFS($A$2:$A2284,$A2284,$E$2:$E2284,"INFRUCTUEUX")+COUNTIFS($A$2:$A2284,$A2284,$E$2:$E2284,"ANNULE")),""))</f>
        <v/>
      </c>
    </row>
    <row r="2285">
      <c r="A2285">
        <f>IF(ISBLANK('ENGAGEMENTS 2026'!B2285),"",IF('ENGAGEMENTS 2026'!B2285="DTSI","DCT",'ENGAGEMENTS 2026'!B2285))</f>
        <v/>
      </c>
      <c r="B2285">
        <f>IF(ISBLANK('ENGAGEMENTS 2026'!B2285),"",'ENGAGEMENTS 2026'!C2285)</f>
        <v/>
      </c>
      <c r="C2285">
        <f>IF(ISBLANK('ENGAGEMENTS 2026'!B2285),"",'ENGAGEMENTS 2026'!D2285)</f>
        <v/>
      </c>
      <c r="D2285">
        <f>IF(ISBLANK('ENGAGEMENTS 2026'!B2285),"",'ENGAGEMENTS 2026'!F2285)</f>
        <v/>
      </c>
      <c r="E2285">
        <f>IF(ISBLANK('ENGAGEMENTS 2026'!B2285),"",'ENGAGEMENTS 2026'!H2285)</f>
        <v/>
      </c>
      <c r="F2285">
        <f>IF(ISBLANK('ENGAGEMENTS 2026'!B2285),"",'ENGAGEMENTS 2026'!I2285)</f>
        <v/>
      </c>
      <c r="G2285">
        <f>IF(ISBLANK('ENGAGEMENTS 2026'!B2285),"",'ENGAGEMENTS 2026'!L2285)</f>
        <v/>
      </c>
      <c r="H2285">
        <f>IF(ISBLANK('ENGAGEMENTS 2026'!B2285),"",'ENGAGEMENTS 2026'!AE2285)</f>
        <v/>
      </c>
      <c r="I2285">
        <f>IF(ISBLANK('ENGAGEMENTS 2026'!B2285),"",'ENGAGEMENTS 2026'!G2285)</f>
        <v/>
      </c>
      <c r="J2285" s="275">
        <f>IF(ISBLANK('ENGAGEMENTS 2026'!B2285),"",IF(AND(OR($E2285="INFRUCTUEUX",$E2285="ANNULE"),$C2285="AOO-M"),'ENGAGEMENTS 2026'!O2285,IF($H2285="EN COURS DE PREENGAGEMENT",'ENGAGEMENTS 2026'!N2285,IF($H2285="PREENGAGE",IF($E2285="ATTRIBUE",'ENGAGEMENTS 2026'!AD2285,'ENGAGEMENTS 2026'!N2285),'ENGAGEMENTS 2026'!AD2285))))</f>
        <v/>
      </c>
      <c r="K2285" s="604">
        <f>IF(ISBLANK('ENGAGEMENTS 2026'!V2285),"",'ENGAGEMENTS 2026'!V2285)</f>
        <v/>
      </c>
      <c r="L2285" s="276">
        <f>IF($K2285="","",TODAY()-$K2285)</f>
        <v/>
      </c>
      <c r="M2285">
        <f>IF($A2285="","",IF($H2285="ENGAGE","Engagé",IF(AND($H2285="NON ENGAGE",OR($I2285="INFRUCTUEUX",$I2285="ANNULE")),"Clôturé sans suite","En cours")))</f>
        <v/>
      </c>
      <c r="N2285">
        <f>IF(ISBLANK('ENGAGEMENTS 2026'!B2285),"",'ENGAGEMENTS 2026'!K2285)</f>
        <v/>
      </c>
      <c r="O2285">
        <f>IF(ISBLANK('ENGAGEMENTS 2026'!B2285),"",'ENGAGEMENTS 2026'!L2285)</f>
        <v/>
      </c>
      <c r="P2285">
        <f>IF(ISBLANK('ENGAGEMENTS 2026'!B2285),"",'ENGAGEMENTS 2026'!J2285)</f>
        <v/>
      </c>
      <c r="Q2285">
        <f>IF($A2285="","",IF(OR($E2285="INFRUCTUEUX",$E2285="ANNULE"),$A2285&amp;"|"&amp;(COUNTIFS($A$2:$A2285,$A2285,$E$2:$E2285,"INFRUCTUEUX")+COUNTIFS($A$2:$A2285,$A2285,$E$2:$E2285,"ANNULE")),""))</f>
        <v/>
      </c>
    </row>
    <row r="2286">
      <c r="A2286">
        <f>IF(ISBLANK('ENGAGEMENTS 2026'!B2286),"",IF('ENGAGEMENTS 2026'!B2286="DTSI","DCT",'ENGAGEMENTS 2026'!B2286))</f>
        <v/>
      </c>
      <c r="B2286">
        <f>IF(ISBLANK('ENGAGEMENTS 2026'!B2286),"",'ENGAGEMENTS 2026'!C2286)</f>
        <v/>
      </c>
      <c r="C2286">
        <f>IF(ISBLANK('ENGAGEMENTS 2026'!B2286),"",'ENGAGEMENTS 2026'!D2286)</f>
        <v/>
      </c>
      <c r="D2286">
        <f>IF(ISBLANK('ENGAGEMENTS 2026'!B2286),"",'ENGAGEMENTS 2026'!F2286)</f>
        <v/>
      </c>
      <c r="E2286">
        <f>IF(ISBLANK('ENGAGEMENTS 2026'!B2286),"",'ENGAGEMENTS 2026'!H2286)</f>
        <v/>
      </c>
      <c r="F2286">
        <f>IF(ISBLANK('ENGAGEMENTS 2026'!B2286),"",'ENGAGEMENTS 2026'!I2286)</f>
        <v/>
      </c>
      <c r="G2286">
        <f>IF(ISBLANK('ENGAGEMENTS 2026'!B2286),"",'ENGAGEMENTS 2026'!L2286)</f>
        <v/>
      </c>
      <c r="H2286">
        <f>IF(ISBLANK('ENGAGEMENTS 2026'!B2286),"",'ENGAGEMENTS 2026'!AE2286)</f>
        <v/>
      </c>
      <c r="I2286">
        <f>IF(ISBLANK('ENGAGEMENTS 2026'!B2286),"",'ENGAGEMENTS 2026'!G2286)</f>
        <v/>
      </c>
      <c r="J2286" s="275">
        <f>IF(ISBLANK('ENGAGEMENTS 2026'!B2286),"",IF(AND(OR($E2286="INFRUCTUEUX",$E2286="ANNULE"),$C2286="AOO-M"),'ENGAGEMENTS 2026'!O2286,IF($H2286="EN COURS DE PREENGAGEMENT",'ENGAGEMENTS 2026'!N2286,IF($H2286="PREENGAGE",IF($E2286="ATTRIBUE",'ENGAGEMENTS 2026'!AD2286,'ENGAGEMENTS 2026'!N2286),'ENGAGEMENTS 2026'!AD2286))))</f>
        <v/>
      </c>
      <c r="K2286" s="604">
        <f>IF(ISBLANK('ENGAGEMENTS 2026'!V2286),"",'ENGAGEMENTS 2026'!V2286)</f>
        <v/>
      </c>
      <c r="L2286" s="276">
        <f>IF($K2286="","",TODAY()-$K2286)</f>
        <v/>
      </c>
      <c r="M2286">
        <f>IF($A2286="","",IF($H2286="ENGAGE","Engagé",IF(AND($H2286="NON ENGAGE",OR($I2286="INFRUCTUEUX",$I2286="ANNULE")),"Clôturé sans suite","En cours")))</f>
        <v/>
      </c>
      <c r="N2286">
        <f>IF(ISBLANK('ENGAGEMENTS 2026'!B2286),"",'ENGAGEMENTS 2026'!K2286)</f>
        <v/>
      </c>
      <c r="O2286">
        <f>IF(ISBLANK('ENGAGEMENTS 2026'!B2286),"",'ENGAGEMENTS 2026'!L2286)</f>
        <v/>
      </c>
      <c r="P2286">
        <f>IF(ISBLANK('ENGAGEMENTS 2026'!B2286),"",'ENGAGEMENTS 2026'!J2286)</f>
        <v/>
      </c>
      <c r="Q2286">
        <f>IF($A2286="","",IF(OR($E2286="INFRUCTUEUX",$E2286="ANNULE"),$A2286&amp;"|"&amp;(COUNTIFS($A$2:$A2286,$A2286,$E$2:$E2286,"INFRUCTUEUX")+COUNTIFS($A$2:$A2286,$A2286,$E$2:$E2286,"ANNULE")),""))</f>
        <v/>
      </c>
    </row>
    <row r="2287">
      <c r="A2287">
        <f>IF(ISBLANK('ENGAGEMENTS 2026'!B2287),"",IF('ENGAGEMENTS 2026'!B2287="DTSI","DCT",'ENGAGEMENTS 2026'!B2287))</f>
        <v/>
      </c>
      <c r="B2287">
        <f>IF(ISBLANK('ENGAGEMENTS 2026'!B2287),"",'ENGAGEMENTS 2026'!C2287)</f>
        <v/>
      </c>
      <c r="C2287">
        <f>IF(ISBLANK('ENGAGEMENTS 2026'!B2287),"",'ENGAGEMENTS 2026'!D2287)</f>
        <v/>
      </c>
      <c r="D2287">
        <f>IF(ISBLANK('ENGAGEMENTS 2026'!B2287),"",'ENGAGEMENTS 2026'!F2287)</f>
        <v/>
      </c>
      <c r="E2287">
        <f>IF(ISBLANK('ENGAGEMENTS 2026'!B2287),"",'ENGAGEMENTS 2026'!H2287)</f>
        <v/>
      </c>
      <c r="F2287">
        <f>IF(ISBLANK('ENGAGEMENTS 2026'!B2287),"",'ENGAGEMENTS 2026'!I2287)</f>
        <v/>
      </c>
      <c r="G2287">
        <f>IF(ISBLANK('ENGAGEMENTS 2026'!B2287),"",'ENGAGEMENTS 2026'!L2287)</f>
        <v/>
      </c>
      <c r="H2287">
        <f>IF(ISBLANK('ENGAGEMENTS 2026'!B2287),"",'ENGAGEMENTS 2026'!AE2287)</f>
        <v/>
      </c>
      <c r="I2287">
        <f>IF(ISBLANK('ENGAGEMENTS 2026'!B2287),"",'ENGAGEMENTS 2026'!G2287)</f>
        <v/>
      </c>
      <c r="J2287" s="275">
        <f>IF(ISBLANK('ENGAGEMENTS 2026'!B2287),"",IF(AND(OR($E2287="INFRUCTUEUX",$E2287="ANNULE"),$C2287="AOO-M"),'ENGAGEMENTS 2026'!O2287,IF($H2287="EN COURS DE PREENGAGEMENT",'ENGAGEMENTS 2026'!N2287,IF($H2287="PREENGAGE",IF($E2287="ATTRIBUE",'ENGAGEMENTS 2026'!AD2287,'ENGAGEMENTS 2026'!N2287),'ENGAGEMENTS 2026'!AD2287))))</f>
        <v/>
      </c>
      <c r="K2287" s="604">
        <f>IF(ISBLANK('ENGAGEMENTS 2026'!V2287),"",'ENGAGEMENTS 2026'!V2287)</f>
        <v/>
      </c>
      <c r="L2287" s="276">
        <f>IF($K2287="","",TODAY()-$K2287)</f>
        <v/>
      </c>
      <c r="M2287">
        <f>IF($A2287="","",IF($H2287="ENGAGE","Engagé",IF(AND($H2287="NON ENGAGE",OR($I2287="INFRUCTUEUX",$I2287="ANNULE")),"Clôturé sans suite","En cours")))</f>
        <v/>
      </c>
      <c r="N2287">
        <f>IF(ISBLANK('ENGAGEMENTS 2026'!B2287),"",'ENGAGEMENTS 2026'!K2287)</f>
        <v/>
      </c>
      <c r="O2287">
        <f>IF(ISBLANK('ENGAGEMENTS 2026'!B2287),"",'ENGAGEMENTS 2026'!L2287)</f>
        <v/>
      </c>
      <c r="P2287">
        <f>IF(ISBLANK('ENGAGEMENTS 2026'!B2287),"",'ENGAGEMENTS 2026'!J2287)</f>
        <v/>
      </c>
      <c r="Q2287">
        <f>IF($A2287="","",IF(OR($E2287="INFRUCTUEUX",$E2287="ANNULE"),$A2287&amp;"|"&amp;(COUNTIFS($A$2:$A2287,$A2287,$E$2:$E2287,"INFRUCTUEUX")+COUNTIFS($A$2:$A2287,$A2287,$E$2:$E2287,"ANNULE")),""))</f>
        <v/>
      </c>
    </row>
    <row r="2288">
      <c r="A2288">
        <f>IF(ISBLANK('ENGAGEMENTS 2026'!B2288),"",IF('ENGAGEMENTS 2026'!B2288="DTSI","DCT",'ENGAGEMENTS 2026'!B2288))</f>
        <v/>
      </c>
      <c r="B2288">
        <f>IF(ISBLANK('ENGAGEMENTS 2026'!B2288),"",'ENGAGEMENTS 2026'!C2288)</f>
        <v/>
      </c>
      <c r="C2288">
        <f>IF(ISBLANK('ENGAGEMENTS 2026'!B2288),"",'ENGAGEMENTS 2026'!D2288)</f>
        <v/>
      </c>
      <c r="D2288">
        <f>IF(ISBLANK('ENGAGEMENTS 2026'!B2288),"",'ENGAGEMENTS 2026'!F2288)</f>
        <v/>
      </c>
      <c r="E2288">
        <f>IF(ISBLANK('ENGAGEMENTS 2026'!B2288),"",'ENGAGEMENTS 2026'!H2288)</f>
        <v/>
      </c>
      <c r="F2288">
        <f>IF(ISBLANK('ENGAGEMENTS 2026'!B2288),"",'ENGAGEMENTS 2026'!I2288)</f>
        <v/>
      </c>
      <c r="G2288">
        <f>IF(ISBLANK('ENGAGEMENTS 2026'!B2288),"",'ENGAGEMENTS 2026'!L2288)</f>
        <v/>
      </c>
      <c r="H2288">
        <f>IF(ISBLANK('ENGAGEMENTS 2026'!B2288),"",'ENGAGEMENTS 2026'!AE2288)</f>
        <v/>
      </c>
      <c r="I2288">
        <f>IF(ISBLANK('ENGAGEMENTS 2026'!B2288),"",'ENGAGEMENTS 2026'!G2288)</f>
        <v/>
      </c>
      <c r="J2288" s="275">
        <f>IF(ISBLANK('ENGAGEMENTS 2026'!B2288),"",IF(AND(OR($E2288="INFRUCTUEUX",$E2288="ANNULE"),$C2288="AOO-M"),'ENGAGEMENTS 2026'!O2288,IF($H2288="EN COURS DE PREENGAGEMENT",'ENGAGEMENTS 2026'!N2288,IF($H2288="PREENGAGE",IF($E2288="ATTRIBUE",'ENGAGEMENTS 2026'!AD2288,'ENGAGEMENTS 2026'!N2288),'ENGAGEMENTS 2026'!AD2288))))</f>
        <v/>
      </c>
      <c r="K2288" s="604">
        <f>IF(ISBLANK('ENGAGEMENTS 2026'!V2288),"",'ENGAGEMENTS 2026'!V2288)</f>
        <v/>
      </c>
      <c r="L2288" s="276">
        <f>IF($K2288="","",TODAY()-$K2288)</f>
        <v/>
      </c>
      <c r="M2288">
        <f>IF($A2288="","",IF($H2288="ENGAGE","Engagé",IF(AND($H2288="NON ENGAGE",OR($I2288="INFRUCTUEUX",$I2288="ANNULE")),"Clôturé sans suite","En cours")))</f>
        <v/>
      </c>
      <c r="N2288">
        <f>IF(ISBLANK('ENGAGEMENTS 2026'!B2288),"",'ENGAGEMENTS 2026'!K2288)</f>
        <v/>
      </c>
      <c r="O2288">
        <f>IF(ISBLANK('ENGAGEMENTS 2026'!B2288),"",'ENGAGEMENTS 2026'!L2288)</f>
        <v/>
      </c>
      <c r="P2288">
        <f>IF(ISBLANK('ENGAGEMENTS 2026'!B2288),"",'ENGAGEMENTS 2026'!J2288)</f>
        <v/>
      </c>
      <c r="Q2288">
        <f>IF($A2288="","",IF(OR($E2288="INFRUCTUEUX",$E2288="ANNULE"),$A2288&amp;"|"&amp;(COUNTIFS($A$2:$A2288,$A2288,$E$2:$E2288,"INFRUCTUEUX")+COUNTIFS($A$2:$A2288,$A2288,$E$2:$E2288,"ANNULE")),""))</f>
        <v/>
      </c>
    </row>
    <row r="2289">
      <c r="A2289">
        <f>IF(ISBLANK('ENGAGEMENTS 2026'!B2289),"",IF('ENGAGEMENTS 2026'!B2289="DTSI","DCT",'ENGAGEMENTS 2026'!B2289))</f>
        <v/>
      </c>
      <c r="B2289">
        <f>IF(ISBLANK('ENGAGEMENTS 2026'!B2289),"",'ENGAGEMENTS 2026'!C2289)</f>
        <v/>
      </c>
      <c r="C2289">
        <f>IF(ISBLANK('ENGAGEMENTS 2026'!B2289),"",'ENGAGEMENTS 2026'!D2289)</f>
        <v/>
      </c>
      <c r="D2289">
        <f>IF(ISBLANK('ENGAGEMENTS 2026'!B2289),"",'ENGAGEMENTS 2026'!F2289)</f>
        <v/>
      </c>
      <c r="E2289">
        <f>IF(ISBLANK('ENGAGEMENTS 2026'!B2289),"",'ENGAGEMENTS 2026'!H2289)</f>
        <v/>
      </c>
      <c r="F2289">
        <f>IF(ISBLANK('ENGAGEMENTS 2026'!B2289),"",'ENGAGEMENTS 2026'!I2289)</f>
        <v/>
      </c>
      <c r="G2289">
        <f>IF(ISBLANK('ENGAGEMENTS 2026'!B2289),"",'ENGAGEMENTS 2026'!L2289)</f>
        <v/>
      </c>
      <c r="H2289">
        <f>IF(ISBLANK('ENGAGEMENTS 2026'!B2289),"",'ENGAGEMENTS 2026'!AE2289)</f>
        <v/>
      </c>
      <c r="I2289">
        <f>IF(ISBLANK('ENGAGEMENTS 2026'!B2289),"",'ENGAGEMENTS 2026'!G2289)</f>
        <v/>
      </c>
      <c r="J2289" s="275">
        <f>IF(ISBLANK('ENGAGEMENTS 2026'!B2289),"",IF(AND(OR($E2289="INFRUCTUEUX",$E2289="ANNULE"),$C2289="AOO-M"),'ENGAGEMENTS 2026'!O2289,IF($H2289="EN COURS DE PREENGAGEMENT",'ENGAGEMENTS 2026'!N2289,IF($H2289="PREENGAGE",IF($E2289="ATTRIBUE",'ENGAGEMENTS 2026'!AD2289,'ENGAGEMENTS 2026'!N2289),'ENGAGEMENTS 2026'!AD2289))))</f>
        <v/>
      </c>
      <c r="K2289" s="604">
        <f>IF(ISBLANK('ENGAGEMENTS 2026'!V2289),"",'ENGAGEMENTS 2026'!V2289)</f>
        <v/>
      </c>
      <c r="L2289" s="276">
        <f>IF($K2289="","",TODAY()-$K2289)</f>
        <v/>
      </c>
      <c r="M2289">
        <f>IF($A2289="","",IF($H2289="ENGAGE","Engagé",IF(AND($H2289="NON ENGAGE",OR($I2289="INFRUCTUEUX",$I2289="ANNULE")),"Clôturé sans suite","En cours")))</f>
        <v/>
      </c>
      <c r="N2289">
        <f>IF(ISBLANK('ENGAGEMENTS 2026'!B2289),"",'ENGAGEMENTS 2026'!K2289)</f>
        <v/>
      </c>
      <c r="O2289">
        <f>IF(ISBLANK('ENGAGEMENTS 2026'!B2289),"",'ENGAGEMENTS 2026'!L2289)</f>
        <v/>
      </c>
      <c r="P2289">
        <f>IF(ISBLANK('ENGAGEMENTS 2026'!B2289),"",'ENGAGEMENTS 2026'!J2289)</f>
        <v/>
      </c>
      <c r="Q2289">
        <f>IF($A2289="","",IF(OR($E2289="INFRUCTUEUX",$E2289="ANNULE"),$A2289&amp;"|"&amp;(COUNTIFS($A$2:$A2289,$A2289,$E$2:$E2289,"INFRUCTUEUX")+COUNTIFS($A$2:$A2289,$A2289,$E$2:$E2289,"ANNULE")),""))</f>
        <v/>
      </c>
    </row>
    <row r="2290">
      <c r="A2290">
        <f>IF(ISBLANK('ENGAGEMENTS 2026'!B2290),"",IF('ENGAGEMENTS 2026'!B2290="DTSI","DCT",'ENGAGEMENTS 2026'!B2290))</f>
        <v/>
      </c>
      <c r="B2290">
        <f>IF(ISBLANK('ENGAGEMENTS 2026'!B2290),"",'ENGAGEMENTS 2026'!C2290)</f>
        <v/>
      </c>
      <c r="C2290">
        <f>IF(ISBLANK('ENGAGEMENTS 2026'!B2290),"",'ENGAGEMENTS 2026'!D2290)</f>
        <v/>
      </c>
      <c r="D2290">
        <f>IF(ISBLANK('ENGAGEMENTS 2026'!B2290),"",'ENGAGEMENTS 2026'!F2290)</f>
        <v/>
      </c>
      <c r="E2290">
        <f>IF(ISBLANK('ENGAGEMENTS 2026'!B2290),"",'ENGAGEMENTS 2026'!H2290)</f>
        <v/>
      </c>
      <c r="F2290">
        <f>IF(ISBLANK('ENGAGEMENTS 2026'!B2290),"",'ENGAGEMENTS 2026'!I2290)</f>
        <v/>
      </c>
      <c r="G2290">
        <f>IF(ISBLANK('ENGAGEMENTS 2026'!B2290),"",'ENGAGEMENTS 2026'!L2290)</f>
        <v/>
      </c>
      <c r="H2290">
        <f>IF(ISBLANK('ENGAGEMENTS 2026'!B2290),"",'ENGAGEMENTS 2026'!AE2290)</f>
        <v/>
      </c>
      <c r="I2290">
        <f>IF(ISBLANK('ENGAGEMENTS 2026'!B2290),"",'ENGAGEMENTS 2026'!G2290)</f>
        <v/>
      </c>
      <c r="J2290" s="275">
        <f>IF(ISBLANK('ENGAGEMENTS 2026'!B2290),"",IF(AND(OR($E2290="INFRUCTUEUX",$E2290="ANNULE"),$C2290="AOO-M"),'ENGAGEMENTS 2026'!O2290,IF($H2290="EN COURS DE PREENGAGEMENT",'ENGAGEMENTS 2026'!N2290,IF($H2290="PREENGAGE",IF($E2290="ATTRIBUE",'ENGAGEMENTS 2026'!AD2290,'ENGAGEMENTS 2026'!N2290),'ENGAGEMENTS 2026'!AD2290))))</f>
        <v/>
      </c>
      <c r="K2290" s="604">
        <f>IF(ISBLANK('ENGAGEMENTS 2026'!V2290),"",'ENGAGEMENTS 2026'!V2290)</f>
        <v/>
      </c>
      <c r="L2290" s="276">
        <f>IF($K2290="","",TODAY()-$K2290)</f>
        <v/>
      </c>
      <c r="M2290">
        <f>IF($A2290="","",IF($H2290="ENGAGE","Engagé",IF(AND($H2290="NON ENGAGE",OR($I2290="INFRUCTUEUX",$I2290="ANNULE")),"Clôturé sans suite","En cours")))</f>
        <v/>
      </c>
      <c r="N2290">
        <f>IF(ISBLANK('ENGAGEMENTS 2026'!B2290),"",'ENGAGEMENTS 2026'!K2290)</f>
        <v/>
      </c>
      <c r="O2290">
        <f>IF(ISBLANK('ENGAGEMENTS 2026'!B2290),"",'ENGAGEMENTS 2026'!L2290)</f>
        <v/>
      </c>
      <c r="P2290">
        <f>IF(ISBLANK('ENGAGEMENTS 2026'!B2290),"",'ENGAGEMENTS 2026'!J2290)</f>
        <v/>
      </c>
      <c r="Q2290">
        <f>IF($A2290="","",IF(OR($E2290="INFRUCTUEUX",$E2290="ANNULE"),$A2290&amp;"|"&amp;(COUNTIFS($A$2:$A2290,$A2290,$E$2:$E2290,"INFRUCTUEUX")+COUNTIFS($A$2:$A2290,$A2290,$E$2:$E2290,"ANNULE")),""))</f>
        <v/>
      </c>
    </row>
    <row r="2291">
      <c r="A2291">
        <f>IF(ISBLANK('ENGAGEMENTS 2026'!B2291),"",IF('ENGAGEMENTS 2026'!B2291="DTSI","DCT",'ENGAGEMENTS 2026'!B2291))</f>
        <v/>
      </c>
      <c r="B2291">
        <f>IF(ISBLANK('ENGAGEMENTS 2026'!B2291),"",'ENGAGEMENTS 2026'!C2291)</f>
        <v/>
      </c>
      <c r="C2291">
        <f>IF(ISBLANK('ENGAGEMENTS 2026'!B2291),"",'ENGAGEMENTS 2026'!D2291)</f>
        <v/>
      </c>
      <c r="D2291">
        <f>IF(ISBLANK('ENGAGEMENTS 2026'!B2291),"",'ENGAGEMENTS 2026'!F2291)</f>
        <v/>
      </c>
      <c r="E2291">
        <f>IF(ISBLANK('ENGAGEMENTS 2026'!B2291),"",'ENGAGEMENTS 2026'!H2291)</f>
        <v/>
      </c>
      <c r="F2291">
        <f>IF(ISBLANK('ENGAGEMENTS 2026'!B2291),"",'ENGAGEMENTS 2026'!I2291)</f>
        <v/>
      </c>
      <c r="G2291">
        <f>IF(ISBLANK('ENGAGEMENTS 2026'!B2291),"",'ENGAGEMENTS 2026'!L2291)</f>
        <v/>
      </c>
      <c r="H2291">
        <f>IF(ISBLANK('ENGAGEMENTS 2026'!B2291),"",'ENGAGEMENTS 2026'!AE2291)</f>
        <v/>
      </c>
      <c r="I2291">
        <f>IF(ISBLANK('ENGAGEMENTS 2026'!B2291),"",'ENGAGEMENTS 2026'!G2291)</f>
        <v/>
      </c>
      <c r="J2291" s="275">
        <f>IF(ISBLANK('ENGAGEMENTS 2026'!B2291),"",IF(AND(OR($E2291="INFRUCTUEUX",$E2291="ANNULE"),$C2291="AOO-M"),'ENGAGEMENTS 2026'!O2291,IF($H2291="EN COURS DE PREENGAGEMENT",'ENGAGEMENTS 2026'!N2291,IF($H2291="PREENGAGE",IF($E2291="ATTRIBUE",'ENGAGEMENTS 2026'!AD2291,'ENGAGEMENTS 2026'!N2291),'ENGAGEMENTS 2026'!AD2291))))</f>
        <v/>
      </c>
      <c r="K2291" s="604">
        <f>IF(ISBLANK('ENGAGEMENTS 2026'!V2291),"",'ENGAGEMENTS 2026'!V2291)</f>
        <v/>
      </c>
      <c r="L2291" s="276">
        <f>IF($K2291="","",TODAY()-$K2291)</f>
        <v/>
      </c>
      <c r="M2291">
        <f>IF($A2291="","",IF($H2291="ENGAGE","Engagé",IF(AND($H2291="NON ENGAGE",OR($I2291="INFRUCTUEUX",$I2291="ANNULE")),"Clôturé sans suite","En cours")))</f>
        <v/>
      </c>
      <c r="N2291">
        <f>IF(ISBLANK('ENGAGEMENTS 2026'!B2291),"",'ENGAGEMENTS 2026'!K2291)</f>
        <v/>
      </c>
      <c r="O2291">
        <f>IF(ISBLANK('ENGAGEMENTS 2026'!B2291),"",'ENGAGEMENTS 2026'!L2291)</f>
        <v/>
      </c>
      <c r="P2291">
        <f>IF(ISBLANK('ENGAGEMENTS 2026'!B2291),"",'ENGAGEMENTS 2026'!J2291)</f>
        <v/>
      </c>
      <c r="Q2291">
        <f>IF($A2291="","",IF(OR($E2291="INFRUCTUEUX",$E2291="ANNULE"),$A2291&amp;"|"&amp;(COUNTIFS($A$2:$A2291,$A2291,$E$2:$E2291,"INFRUCTUEUX")+COUNTIFS($A$2:$A2291,$A2291,$E$2:$E2291,"ANNULE")),""))</f>
        <v/>
      </c>
    </row>
    <row r="2292">
      <c r="A2292">
        <f>IF(ISBLANK('ENGAGEMENTS 2026'!B2292),"",IF('ENGAGEMENTS 2026'!B2292="DTSI","DCT",'ENGAGEMENTS 2026'!B2292))</f>
        <v/>
      </c>
      <c r="B2292">
        <f>IF(ISBLANK('ENGAGEMENTS 2026'!B2292),"",'ENGAGEMENTS 2026'!C2292)</f>
        <v/>
      </c>
      <c r="C2292">
        <f>IF(ISBLANK('ENGAGEMENTS 2026'!B2292),"",'ENGAGEMENTS 2026'!D2292)</f>
        <v/>
      </c>
      <c r="D2292">
        <f>IF(ISBLANK('ENGAGEMENTS 2026'!B2292),"",'ENGAGEMENTS 2026'!F2292)</f>
        <v/>
      </c>
      <c r="E2292">
        <f>IF(ISBLANK('ENGAGEMENTS 2026'!B2292),"",'ENGAGEMENTS 2026'!H2292)</f>
        <v/>
      </c>
      <c r="F2292">
        <f>IF(ISBLANK('ENGAGEMENTS 2026'!B2292),"",'ENGAGEMENTS 2026'!I2292)</f>
        <v/>
      </c>
      <c r="G2292">
        <f>IF(ISBLANK('ENGAGEMENTS 2026'!B2292),"",'ENGAGEMENTS 2026'!L2292)</f>
        <v/>
      </c>
      <c r="H2292">
        <f>IF(ISBLANK('ENGAGEMENTS 2026'!B2292),"",'ENGAGEMENTS 2026'!AE2292)</f>
        <v/>
      </c>
      <c r="I2292">
        <f>IF(ISBLANK('ENGAGEMENTS 2026'!B2292),"",'ENGAGEMENTS 2026'!G2292)</f>
        <v/>
      </c>
      <c r="J2292" s="275">
        <f>IF(ISBLANK('ENGAGEMENTS 2026'!B2292),"",IF(AND(OR($E2292="INFRUCTUEUX",$E2292="ANNULE"),$C2292="AOO-M"),'ENGAGEMENTS 2026'!O2292,IF($H2292="EN COURS DE PREENGAGEMENT",'ENGAGEMENTS 2026'!N2292,IF($H2292="PREENGAGE",IF($E2292="ATTRIBUE",'ENGAGEMENTS 2026'!AD2292,'ENGAGEMENTS 2026'!N2292),'ENGAGEMENTS 2026'!AD2292))))</f>
        <v/>
      </c>
      <c r="K2292" s="604">
        <f>IF(ISBLANK('ENGAGEMENTS 2026'!V2292),"",'ENGAGEMENTS 2026'!V2292)</f>
        <v/>
      </c>
      <c r="L2292" s="276">
        <f>IF($K2292="","",TODAY()-$K2292)</f>
        <v/>
      </c>
      <c r="M2292">
        <f>IF($A2292="","",IF($H2292="ENGAGE","Engagé",IF(AND($H2292="NON ENGAGE",OR($I2292="INFRUCTUEUX",$I2292="ANNULE")),"Clôturé sans suite","En cours")))</f>
        <v/>
      </c>
      <c r="N2292">
        <f>IF(ISBLANK('ENGAGEMENTS 2026'!B2292),"",'ENGAGEMENTS 2026'!K2292)</f>
        <v/>
      </c>
      <c r="O2292">
        <f>IF(ISBLANK('ENGAGEMENTS 2026'!B2292),"",'ENGAGEMENTS 2026'!L2292)</f>
        <v/>
      </c>
      <c r="P2292">
        <f>IF(ISBLANK('ENGAGEMENTS 2026'!B2292),"",'ENGAGEMENTS 2026'!J2292)</f>
        <v/>
      </c>
      <c r="Q2292">
        <f>IF($A2292="","",IF(OR($E2292="INFRUCTUEUX",$E2292="ANNULE"),$A2292&amp;"|"&amp;(COUNTIFS($A$2:$A2292,$A2292,$E$2:$E2292,"INFRUCTUEUX")+COUNTIFS($A$2:$A2292,$A2292,$E$2:$E2292,"ANNULE")),""))</f>
        <v/>
      </c>
    </row>
    <row r="2293">
      <c r="A2293">
        <f>IF(ISBLANK('ENGAGEMENTS 2026'!B2293),"",IF('ENGAGEMENTS 2026'!B2293="DTSI","DCT",'ENGAGEMENTS 2026'!B2293))</f>
        <v/>
      </c>
      <c r="B2293">
        <f>IF(ISBLANK('ENGAGEMENTS 2026'!B2293),"",'ENGAGEMENTS 2026'!C2293)</f>
        <v/>
      </c>
      <c r="C2293">
        <f>IF(ISBLANK('ENGAGEMENTS 2026'!B2293),"",'ENGAGEMENTS 2026'!D2293)</f>
        <v/>
      </c>
      <c r="D2293">
        <f>IF(ISBLANK('ENGAGEMENTS 2026'!B2293),"",'ENGAGEMENTS 2026'!F2293)</f>
        <v/>
      </c>
      <c r="E2293">
        <f>IF(ISBLANK('ENGAGEMENTS 2026'!B2293),"",'ENGAGEMENTS 2026'!H2293)</f>
        <v/>
      </c>
      <c r="F2293">
        <f>IF(ISBLANK('ENGAGEMENTS 2026'!B2293),"",'ENGAGEMENTS 2026'!I2293)</f>
        <v/>
      </c>
      <c r="G2293">
        <f>IF(ISBLANK('ENGAGEMENTS 2026'!B2293),"",'ENGAGEMENTS 2026'!L2293)</f>
        <v/>
      </c>
      <c r="H2293">
        <f>IF(ISBLANK('ENGAGEMENTS 2026'!B2293),"",'ENGAGEMENTS 2026'!AE2293)</f>
        <v/>
      </c>
      <c r="I2293">
        <f>IF(ISBLANK('ENGAGEMENTS 2026'!B2293),"",'ENGAGEMENTS 2026'!G2293)</f>
        <v/>
      </c>
      <c r="J2293" s="275">
        <f>IF(ISBLANK('ENGAGEMENTS 2026'!B2293),"",IF(AND(OR($E2293="INFRUCTUEUX",$E2293="ANNULE"),$C2293="AOO-M"),'ENGAGEMENTS 2026'!O2293,IF($H2293="EN COURS DE PREENGAGEMENT",'ENGAGEMENTS 2026'!N2293,IF($H2293="PREENGAGE",IF($E2293="ATTRIBUE",'ENGAGEMENTS 2026'!AD2293,'ENGAGEMENTS 2026'!N2293),'ENGAGEMENTS 2026'!AD2293))))</f>
        <v/>
      </c>
      <c r="K2293" s="604">
        <f>IF(ISBLANK('ENGAGEMENTS 2026'!V2293),"",'ENGAGEMENTS 2026'!V2293)</f>
        <v/>
      </c>
      <c r="L2293" s="276">
        <f>IF($K2293="","",TODAY()-$K2293)</f>
        <v/>
      </c>
      <c r="M2293">
        <f>IF($A2293="","",IF($H2293="ENGAGE","Engagé",IF(AND($H2293="NON ENGAGE",OR($I2293="INFRUCTUEUX",$I2293="ANNULE")),"Clôturé sans suite","En cours")))</f>
        <v/>
      </c>
      <c r="N2293">
        <f>IF(ISBLANK('ENGAGEMENTS 2026'!B2293),"",'ENGAGEMENTS 2026'!K2293)</f>
        <v/>
      </c>
      <c r="O2293">
        <f>IF(ISBLANK('ENGAGEMENTS 2026'!B2293),"",'ENGAGEMENTS 2026'!L2293)</f>
        <v/>
      </c>
      <c r="P2293">
        <f>IF(ISBLANK('ENGAGEMENTS 2026'!B2293),"",'ENGAGEMENTS 2026'!J2293)</f>
        <v/>
      </c>
      <c r="Q2293">
        <f>IF($A2293="","",IF(OR($E2293="INFRUCTUEUX",$E2293="ANNULE"),$A2293&amp;"|"&amp;(COUNTIFS($A$2:$A2293,$A2293,$E$2:$E2293,"INFRUCTUEUX")+COUNTIFS($A$2:$A2293,$A2293,$E$2:$E2293,"ANNULE")),""))</f>
        <v/>
      </c>
    </row>
    <row r="2294">
      <c r="A2294">
        <f>IF(ISBLANK('ENGAGEMENTS 2026'!B2294),"",IF('ENGAGEMENTS 2026'!B2294="DTSI","DCT",'ENGAGEMENTS 2026'!B2294))</f>
        <v/>
      </c>
      <c r="B2294">
        <f>IF(ISBLANK('ENGAGEMENTS 2026'!B2294),"",'ENGAGEMENTS 2026'!C2294)</f>
        <v/>
      </c>
      <c r="C2294">
        <f>IF(ISBLANK('ENGAGEMENTS 2026'!B2294),"",'ENGAGEMENTS 2026'!D2294)</f>
        <v/>
      </c>
      <c r="D2294">
        <f>IF(ISBLANK('ENGAGEMENTS 2026'!B2294),"",'ENGAGEMENTS 2026'!F2294)</f>
        <v/>
      </c>
      <c r="E2294">
        <f>IF(ISBLANK('ENGAGEMENTS 2026'!B2294),"",'ENGAGEMENTS 2026'!H2294)</f>
        <v/>
      </c>
      <c r="F2294">
        <f>IF(ISBLANK('ENGAGEMENTS 2026'!B2294),"",'ENGAGEMENTS 2026'!I2294)</f>
        <v/>
      </c>
      <c r="G2294">
        <f>IF(ISBLANK('ENGAGEMENTS 2026'!B2294),"",'ENGAGEMENTS 2026'!L2294)</f>
        <v/>
      </c>
      <c r="H2294">
        <f>IF(ISBLANK('ENGAGEMENTS 2026'!B2294),"",'ENGAGEMENTS 2026'!AE2294)</f>
        <v/>
      </c>
      <c r="I2294">
        <f>IF(ISBLANK('ENGAGEMENTS 2026'!B2294),"",'ENGAGEMENTS 2026'!G2294)</f>
        <v/>
      </c>
      <c r="J2294" s="275">
        <f>IF(ISBLANK('ENGAGEMENTS 2026'!B2294),"",IF(AND(OR($E2294="INFRUCTUEUX",$E2294="ANNULE"),$C2294="AOO-M"),'ENGAGEMENTS 2026'!O2294,IF($H2294="EN COURS DE PREENGAGEMENT",'ENGAGEMENTS 2026'!N2294,IF($H2294="PREENGAGE",IF($E2294="ATTRIBUE",'ENGAGEMENTS 2026'!AD2294,'ENGAGEMENTS 2026'!N2294),'ENGAGEMENTS 2026'!AD2294))))</f>
        <v/>
      </c>
      <c r="K2294" s="604">
        <f>IF(ISBLANK('ENGAGEMENTS 2026'!V2294),"",'ENGAGEMENTS 2026'!V2294)</f>
        <v/>
      </c>
      <c r="L2294" s="276">
        <f>IF($K2294="","",TODAY()-$K2294)</f>
        <v/>
      </c>
      <c r="M2294">
        <f>IF($A2294="","",IF($H2294="ENGAGE","Engagé",IF(AND($H2294="NON ENGAGE",OR($I2294="INFRUCTUEUX",$I2294="ANNULE")),"Clôturé sans suite","En cours")))</f>
        <v/>
      </c>
      <c r="N2294">
        <f>IF(ISBLANK('ENGAGEMENTS 2026'!B2294),"",'ENGAGEMENTS 2026'!K2294)</f>
        <v/>
      </c>
      <c r="O2294">
        <f>IF(ISBLANK('ENGAGEMENTS 2026'!B2294),"",'ENGAGEMENTS 2026'!L2294)</f>
        <v/>
      </c>
      <c r="P2294">
        <f>IF(ISBLANK('ENGAGEMENTS 2026'!B2294),"",'ENGAGEMENTS 2026'!J2294)</f>
        <v/>
      </c>
      <c r="Q2294">
        <f>IF($A2294="","",IF(OR($E2294="INFRUCTUEUX",$E2294="ANNULE"),$A2294&amp;"|"&amp;(COUNTIFS($A$2:$A2294,$A2294,$E$2:$E2294,"INFRUCTUEUX")+COUNTIFS($A$2:$A2294,$A2294,$E$2:$E2294,"ANNULE")),""))</f>
        <v/>
      </c>
    </row>
    <row r="2295">
      <c r="A2295">
        <f>IF(ISBLANK('ENGAGEMENTS 2026'!B2295),"",IF('ENGAGEMENTS 2026'!B2295="DTSI","DCT",'ENGAGEMENTS 2026'!B2295))</f>
        <v/>
      </c>
      <c r="B2295">
        <f>IF(ISBLANK('ENGAGEMENTS 2026'!B2295),"",'ENGAGEMENTS 2026'!C2295)</f>
        <v/>
      </c>
      <c r="C2295">
        <f>IF(ISBLANK('ENGAGEMENTS 2026'!B2295),"",'ENGAGEMENTS 2026'!D2295)</f>
        <v/>
      </c>
      <c r="D2295">
        <f>IF(ISBLANK('ENGAGEMENTS 2026'!B2295),"",'ENGAGEMENTS 2026'!F2295)</f>
        <v/>
      </c>
      <c r="E2295">
        <f>IF(ISBLANK('ENGAGEMENTS 2026'!B2295),"",'ENGAGEMENTS 2026'!H2295)</f>
        <v/>
      </c>
      <c r="F2295">
        <f>IF(ISBLANK('ENGAGEMENTS 2026'!B2295),"",'ENGAGEMENTS 2026'!I2295)</f>
        <v/>
      </c>
      <c r="G2295">
        <f>IF(ISBLANK('ENGAGEMENTS 2026'!B2295),"",'ENGAGEMENTS 2026'!L2295)</f>
        <v/>
      </c>
      <c r="H2295">
        <f>IF(ISBLANK('ENGAGEMENTS 2026'!B2295),"",'ENGAGEMENTS 2026'!AE2295)</f>
        <v/>
      </c>
      <c r="I2295">
        <f>IF(ISBLANK('ENGAGEMENTS 2026'!B2295),"",'ENGAGEMENTS 2026'!G2295)</f>
        <v/>
      </c>
      <c r="J2295" s="275">
        <f>IF(ISBLANK('ENGAGEMENTS 2026'!B2295),"",IF(AND(OR($E2295="INFRUCTUEUX",$E2295="ANNULE"),$C2295="AOO-M"),'ENGAGEMENTS 2026'!O2295,IF($H2295="EN COURS DE PREENGAGEMENT",'ENGAGEMENTS 2026'!N2295,IF($H2295="PREENGAGE",IF($E2295="ATTRIBUE",'ENGAGEMENTS 2026'!AD2295,'ENGAGEMENTS 2026'!N2295),'ENGAGEMENTS 2026'!AD2295))))</f>
        <v/>
      </c>
      <c r="K2295" s="604">
        <f>IF(ISBLANK('ENGAGEMENTS 2026'!V2295),"",'ENGAGEMENTS 2026'!V2295)</f>
        <v/>
      </c>
      <c r="L2295" s="276">
        <f>IF($K2295="","",TODAY()-$K2295)</f>
        <v/>
      </c>
      <c r="M2295">
        <f>IF($A2295="","",IF($H2295="ENGAGE","Engagé",IF(AND($H2295="NON ENGAGE",OR($I2295="INFRUCTUEUX",$I2295="ANNULE")),"Clôturé sans suite","En cours")))</f>
        <v/>
      </c>
      <c r="N2295">
        <f>IF(ISBLANK('ENGAGEMENTS 2026'!B2295),"",'ENGAGEMENTS 2026'!K2295)</f>
        <v/>
      </c>
      <c r="O2295">
        <f>IF(ISBLANK('ENGAGEMENTS 2026'!B2295),"",'ENGAGEMENTS 2026'!L2295)</f>
        <v/>
      </c>
      <c r="P2295">
        <f>IF(ISBLANK('ENGAGEMENTS 2026'!B2295),"",'ENGAGEMENTS 2026'!J2295)</f>
        <v/>
      </c>
      <c r="Q2295">
        <f>IF($A2295="","",IF(OR($E2295="INFRUCTUEUX",$E2295="ANNULE"),$A2295&amp;"|"&amp;(COUNTIFS($A$2:$A2295,$A2295,$E$2:$E2295,"INFRUCTUEUX")+COUNTIFS($A$2:$A2295,$A2295,$E$2:$E2295,"ANNULE")),""))</f>
        <v/>
      </c>
    </row>
    <row r="2296">
      <c r="A2296">
        <f>IF(ISBLANK('ENGAGEMENTS 2026'!B2296),"",IF('ENGAGEMENTS 2026'!B2296="DTSI","DCT",'ENGAGEMENTS 2026'!B2296))</f>
        <v/>
      </c>
      <c r="B2296">
        <f>IF(ISBLANK('ENGAGEMENTS 2026'!B2296),"",'ENGAGEMENTS 2026'!C2296)</f>
        <v/>
      </c>
      <c r="C2296">
        <f>IF(ISBLANK('ENGAGEMENTS 2026'!B2296),"",'ENGAGEMENTS 2026'!D2296)</f>
        <v/>
      </c>
      <c r="D2296">
        <f>IF(ISBLANK('ENGAGEMENTS 2026'!B2296),"",'ENGAGEMENTS 2026'!F2296)</f>
        <v/>
      </c>
      <c r="E2296">
        <f>IF(ISBLANK('ENGAGEMENTS 2026'!B2296),"",'ENGAGEMENTS 2026'!H2296)</f>
        <v/>
      </c>
      <c r="F2296">
        <f>IF(ISBLANK('ENGAGEMENTS 2026'!B2296),"",'ENGAGEMENTS 2026'!I2296)</f>
        <v/>
      </c>
      <c r="G2296">
        <f>IF(ISBLANK('ENGAGEMENTS 2026'!B2296),"",'ENGAGEMENTS 2026'!L2296)</f>
        <v/>
      </c>
      <c r="H2296">
        <f>IF(ISBLANK('ENGAGEMENTS 2026'!B2296),"",'ENGAGEMENTS 2026'!AE2296)</f>
        <v/>
      </c>
      <c r="I2296">
        <f>IF(ISBLANK('ENGAGEMENTS 2026'!B2296),"",'ENGAGEMENTS 2026'!G2296)</f>
        <v/>
      </c>
      <c r="J2296" s="275">
        <f>IF(ISBLANK('ENGAGEMENTS 2026'!B2296),"",IF(AND(OR($E2296="INFRUCTUEUX",$E2296="ANNULE"),$C2296="AOO-M"),'ENGAGEMENTS 2026'!O2296,IF($H2296="EN COURS DE PREENGAGEMENT",'ENGAGEMENTS 2026'!N2296,IF($H2296="PREENGAGE",IF($E2296="ATTRIBUE",'ENGAGEMENTS 2026'!AD2296,'ENGAGEMENTS 2026'!N2296),'ENGAGEMENTS 2026'!AD2296))))</f>
        <v/>
      </c>
      <c r="K2296" s="604">
        <f>IF(ISBLANK('ENGAGEMENTS 2026'!V2296),"",'ENGAGEMENTS 2026'!V2296)</f>
        <v/>
      </c>
      <c r="L2296" s="276">
        <f>IF($K2296="","",TODAY()-$K2296)</f>
        <v/>
      </c>
      <c r="M2296">
        <f>IF($A2296="","",IF($H2296="ENGAGE","Engagé",IF(AND($H2296="NON ENGAGE",OR($I2296="INFRUCTUEUX",$I2296="ANNULE")),"Clôturé sans suite","En cours")))</f>
        <v/>
      </c>
      <c r="N2296">
        <f>IF(ISBLANK('ENGAGEMENTS 2026'!B2296),"",'ENGAGEMENTS 2026'!K2296)</f>
        <v/>
      </c>
      <c r="O2296">
        <f>IF(ISBLANK('ENGAGEMENTS 2026'!B2296),"",'ENGAGEMENTS 2026'!L2296)</f>
        <v/>
      </c>
      <c r="P2296">
        <f>IF(ISBLANK('ENGAGEMENTS 2026'!B2296),"",'ENGAGEMENTS 2026'!J2296)</f>
        <v/>
      </c>
      <c r="Q2296">
        <f>IF($A2296="","",IF(OR($E2296="INFRUCTUEUX",$E2296="ANNULE"),$A2296&amp;"|"&amp;(COUNTIFS($A$2:$A2296,$A2296,$E$2:$E2296,"INFRUCTUEUX")+COUNTIFS($A$2:$A2296,$A2296,$E$2:$E2296,"ANNULE")),""))</f>
        <v/>
      </c>
    </row>
    <row r="2297">
      <c r="A2297">
        <f>IF(ISBLANK('ENGAGEMENTS 2026'!B2297),"",IF('ENGAGEMENTS 2026'!B2297="DTSI","DCT",'ENGAGEMENTS 2026'!B2297))</f>
        <v/>
      </c>
      <c r="B2297">
        <f>IF(ISBLANK('ENGAGEMENTS 2026'!B2297),"",'ENGAGEMENTS 2026'!C2297)</f>
        <v/>
      </c>
      <c r="C2297">
        <f>IF(ISBLANK('ENGAGEMENTS 2026'!B2297),"",'ENGAGEMENTS 2026'!D2297)</f>
        <v/>
      </c>
      <c r="D2297">
        <f>IF(ISBLANK('ENGAGEMENTS 2026'!B2297),"",'ENGAGEMENTS 2026'!F2297)</f>
        <v/>
      </c>
      <c r="E2297">
        <f>IF(ISBLANK('ENGAGEMENTS 2026'!B2297),"",'ENGAGEMENTS 2026'!H2297)</f>
        <v/>
      </c>
      <c r="F2297">
        <f>IF(ISBLANK('ENGAGEMENTS 2026'!B2297),"",'ENGAGEMENTS 2026'!I2297)</f>
        <v/>
      </c>
      <c r="G2297">
        <f>IF(ISBLANK('ENGAGEMENTS 2026'!B2297),"",'ENGAGEMENTS 2026'!L2297)</f>
        <v/>
      </c>
      <c r="H2297">
        <f>IF(ISBLANK('ENGAGEMENTS 2026'!B2297),"",'ENGAGEMENTS 2026'!AE2297)</f>
        <v/>
      </c>
      <c r="I2297">
        <f>IF(ISBLANK('ENGAGEMENTS 2026'!B2297),"",'ENGAGEMENTS 2026'!G2297)</f>
        <v/>
      </c>
      <c r="J2297" s="275">
        <f>IF(ISBLANK('ENGAGEMENTS 2026'!B2297),"",IF(AND(OR($E2297="INFRUCTUEUX",$E2297="ANNULE"),$C2297="AOO-M"),'ENGAGEMENTS 2026'!O2297,IF($H2297="EN COURS DE PREENGAGEMENT",'ENGAGEMENTS 2026'!N2297,IF($H2297="PREENGAGE",IF($E2297="ATTRIBUE",'ENGAGEMENTS 2026'!AD2297,'ENGAGEMENTS 2026'!N2297),'ENGAGEMENTS 2026'!AD2297))))</f>
        <v/>
      </c>
      <c r="K2297" s="604">
        <f>IF(ISBLANK('ENGAGEMENTS 2026'!V2297),"",'ENGAGEMENTS 2026'!V2297)</f>
        <v/>
      </c>
      <c r="L2297" s="276">
        <f>IF($K2297="","",TODAY()-$K2297)</f>
        <v/>
      </c>
      <c r="M2297">
        <f>IF($A2297="","",IF($H2297="ENGAGE","Engagé",IF(AND($H2297="NON ENGAGE",OR($I2297="INFRUCTUEUX",$I2297="ANNULE")),"Clôturé sans suite","En cours")))</f>
        <v/>
      </c>
      <c r="N2297">
        <f>IF(ISBLANK('ENGAGEMENTS 2026'!B2297),"",'ENGAGEMENTS 2026'!K2297)</f>
        <v/>
      </c>
      <c r="O2297">
        <f>IF(ISBLANK('ENGAGEMENTS 2026'!B2297),"",'ENGAGEMENTS 2026'!L2297)</f>
        <v/>
      </c>
      <c r="P2297">
        <f>IF(ISBLANK('ENGAGEMENTS 2026'!B2297),"",'ENGAGEMENTS 2026'!J2297)</f>
        <v/>
      </c>
      <c r="Q2297">
        <f>IF($A2297="","",IF(OR($E2297="INFRUCTUEUX",$E2297="ANNULE"),$A2297&amp;"|"&amp;(COUNTIFS($A$2:$A2297,$A2297,$E$2:$E2297,"INFRUCTUEUX")+COUNTIFS($A$2:$A2297,$A2297,$E$2:$E2297,"ANNULE")),""))</f>
        <v/>
      </c>
    </row>
    <row r="2298">
      <c r="A2298">
        <f>IF(ISBLANK('ENGAGEMENTS 2026'!B2298),"",IF('ENGAGEMENTS 2026'!B2298="DTSI","DCT",'ENGAGEMENTS 2026'!B2298))</f>
        <v/>
      </c>
      <c r="B2298">
        <f>IF(ISBLANK('ENGAGEMENTS 2026'!B2298),"",'ENGAGEMENTS 2026'!C2298)</f>
        <v/>
      </c>
      <c r="C2298">
        <f>IF(ISBLANK('ENGAGEMENTS 2026'!B2298),"",'ENGAGEMENTS 2026'!D2298)</f>
        <v/>
      </c>
      <c r="D2298">
        <f>IF(ISBLANK('ENGAGEMENTS 2026'!B2298),"",'ENGAGEMENTS 2026'!F2298)</f>
        <v/>
      </c>
      <c r="E2298">
        <f>IF(ISBLANK('ENGAGEMENTS 2026'!B2298),"",'ENGAGEMENTS 2026'!H2298)</f>
        <v/>
      </c>
      <c r="F2298">
        <f>IF(ISBLANK('ENGAGEMENTS 2026'!B2298),"",'ENGAGEMENTS 2026'!I2298)</f>
        <v/>
      </c>
      <c r="G2298">
        <f>IF(ISBLANK('ENGAGEMENTS 2026'!B2298),"",'ENGAGEMENTS 2026'!L2298)</f>
        <v/>
      </c>
      <c r="H2298">
        <f>IF(ISBLANK('ENGAGEMENTS 2026'!B2298),"",'ENGAGEMENTS 2026'!AE2298)</f>
        <v/>
      </c>
      <c r="I2298">
        <f>IF(ISBLANK('ENGAGEMENTS 2026'!B2298),"",'ENGAGEMENTS 2026'!G2298)</f>
        <v/>
      </c>
      <c r="J2298" s="275">
        <f>IF(ISBLANK('ENGAGEMENTS 2026'!B2298),"",IF(AND(OR($E2298="INFRUCTUEUX",$E2298="ANNULE"),$C2298="AOO-M"),'ENGAGEMENTS 2026'!O2298,IF($H2298="EN COURS DE PREENGAGEMENT",'ENGAGEMENTS 2026'!N2298,IF($H2298="PREENGAGE",IF($E2298="ATTRIBUE",'ENGAGEMENTS 2026'!AD2298,'ENGAGEMENTS 2026'!N2298),'ENGAGEMENTS 2026'!AD2298))))</f>
        <v/>
      </c>
      <c r="K2298" s="604">
        <f>IF(ISBLANK('ENGAGEMENTS 2026'!V2298),"",'ENGAGEMENTS 2026'!V2298)</f>
        <v/>
      </c>
      <c r="L2298" s="276">
        <f>IF($K2298="","",TODAY()-$K2298)</f>
        <v/>
      </c>
      <c r="M2298">
        <f>IF($A2298="","",IF($H2298="ENGAGE","Engagé",IF(AND($H2298="NON ENGAGE",OR($I2298="INFRUCTUEUX",$I2298="ANNULE")),"Clôturé sans suite","En cours")))</f>
        <v/>
      </c>
      <c r="N2298">
        <f>IF(ISBLANK('ENGAGEMENTS 2026'!B2298),"",'ENGAGEMENTS 2026'!K2298)</f>
        <v/>
      </c>
      <c r="O2298">
        <f>IF(ISBLANK('ENGAGEMENTS 2026'!B2298),"",'ENGAGEMENTS 2026'!L2298)</f>
        <v/>
      </c>
      <c r="P2298">
        <f>IF(ISBLANK('ENGAGEMENTS 2026'!B2298),"",'ENGAGEMENTS 2026'!J2298)</f>
        <v/>
      </c>
      <c r="Q2298">
        <f>IF($A2298="","",IF(OR($E2298="INFRUCTUEUX",$E2298="ANNULE"),$A2298&amp;"|"&amp;(COUNTIFS($A$2:$A2298,$A2298,$E$2:$E2298,"INFRUCTUEUX")+COUNTIFS($A$2:$A2298,$A2298,$E$2:$E2298,"ANNULE")),""))</f>
        <v/>
      </c>
    </row>
    <row r="2299">
      <c r="A2299">
        <f>IF(ISBLANK('ENGAGEMENTS 2026'!B2299),"",IF('ENGAGEMENTS 2026'!B2299="DTSI","DCT",'ENGAGEMENTS 2026'!B2299))</f>
        <v/>
      </c>
      <c r="B2299">
        <f>IF(ISBLANK('ENGAGEMENTS 2026'!B2299),"",'ENGAGEMENTS 2026'!C2299)</f>
        <v/>
      </c>
      <c r="C2299">
        <f>IF(ISBLANK('ENGAGEMENTS 2026'!B2299),"",'ENGAGEMENTS 2026'!D2299)</f>
        <v/>
      </c>
      <c r="D2299">
        <f>IF(ISBLANK('ENGAGEMENTS 2026'!B2299),"",'ENGAGEMENTS 2026'!F2299)</f>
        <v/>
      </c>
      <c r="E2299">
        <f>IF(ISBLANK('ENGAGEMENTS 2026'!B2299),"",'ENGAGEMENTS 2026'!H2299)</f>
        <v/>
      </c>
      <c r="F2299">
        <f>IF(ISBLANK('ENGAGEMENTS 2026'!B2299),"",'ENGAGEMENTS 2026'!I2299)</f>
        <v/>
      </c>
      <c r="G2299">
        <f>IF(ISBLANK('ENGAGEMENTS 2026'!B2299),"",'ENGAGEMENTS 2026'!L2299)</f>
        <v/>
      </c>
      <c r="H2299">
        <f>IF(ISBLANK('ENGAGEMENTS 2026'!B2299),"",'ENGAGEMENTS 2026'!AE2299)</f>
        <v/>
      </c>
      <c r="I2299">
        <f>IF(ISBLANK('ENGAGEMENTS 2026'!B2299),"",'ENGAGEMENTS 2026'!G2299)</f>
        <v/>
      </c>
      <c r="J2299" s="275">
        <f>IF(ISBLANK('ENGAGEMENTS 2026'!B2299),"",IF(AND(OR($E2299="INFRUCTUEUX",$E2299="ANNULE"),$C2299="AOO-M"),'ENGAGEMENTS 2026'!O2299,IF($H2299="EN COURS DE PREENGAGEMENT",'ENGAGEMENTS 2026'!N2299,IF($H2299="PREENGAGE",IF($E2299="ATTRIBUE",'ENGAGEMENTS 2026'!AD2299,'ENGAGEMENTS 2026'!N2299),'ENGAGEMENTS 2026'!AD2299))))</f>
        <v/>
      </c>
      <c r="K2299" s="604">
        <f>IF(ISBLANK('ENGAGEMENTS 2026'!V2299),"",'ENGAGEMENTS 2026'!V2299)</f>
        <v/>
      </c>
      <c r="L2299" s="276">
        <f>IF($K2299="","",TODAY()-$K2299)</f>
        <v/>
      </c>
      <c r="M2299">
        <f>IF($A2299="","",IF($H2299="ENGAGE","Engagé",IF(AND($H2299="NON ENGAGE",OR($I2299="INFRUCTUEUX",$I2299="ANNULE")),"Clôturé sans suite","En cours")))</f>
        <v/>
      </c>
      <c r="N2299">
        <f>IF(ISBLANK('ENGAGEMENTS 2026'!B2299),"",'ENGAGEMENTS 2026'!K2299)</f>
        <v/>
      </c>
      <c r="O2299">
        <f>IF(ISBLANK('ENGAGEMENTS 2026'!B2299),"",'ENGAGEMENTS 2026'!L2299)</f>
        <v/>
      </c>
      <c r="P2299">
        <f>IF(ISBLANK('ENGAGEMENTS 2026'!B2299),"",'ENGAGEMENTS 2026'!J2299)</f>
        <v/>
      </c>
      <c r="Q2299">
        <f>IF($A2299="","",IF(OR($E2299="INFRUCTUEUX",$E2299="ANNULE"),$A2299&amp;"|"&amp;(COUNTIFS($A$2:$A2299,$A2299,$E$2:$E2299,"INFRUCTUEUX")+COUNTIFS($A$2:$A2299,$A2299,$E$2:$E2299,"ANNULE")),""))</f>
        <v/>
      </c>
    </row>
    <row r="2300">
      <c r="A2300">
        <f>IF(ISBLANK('ENGAGEMENTS 2026'!B2300),"",IF('ENGAGEMENTS 2026'!B2300="DTSI","DCT",'ENGAGEMENTS 2026'!B2300))</f>
        <v/>
      </c>
      <c r="B2300">
        <f>IF(ISBLANK('ENGAGEMENTS 2026'!B2300),"",'ENGAGEMENTS 2026'!C2300)</f>
        <v/>
      </c>
      <c r="C2300">
        <f>IF(ISBLANK('ENGAGEMENTS 2026'!B2300),"",'ENGAGEMENTS 2026'!D2300)</f>
        <v/>
      </c>
      <c r="D2300">
        <f>IF(ISBLANK('ENGAGEMENTS 2026'!B2300),"",'ENGAGEMENTS 2026'!F2300)</f>
        <v/>
      </c>
      <c r="E2300">
        <f>IF(ISBLANK('ENGAGEMENTS 2026'!B2300),"",'ENGAGEMENTS 2026'!H2300)</f>
        <v/>
      </c>
      <c r="F2300">
        <f>IF(ISBLANK('ENGAGEMENTS 2026'!B2300),"",'ENGAGEMENTS 2026'!I2300)</f>
        <v/>
      </c>
      <c r="G2300">
        <f>IF(ISBLANK('ENGAGEMENTS 2026'!B2300),"",'ENGAGEMENTS 2026'!L2300)</f>
        <v/>
      </c>
      <c r="H2300">
        <f>IF(ISBLANK('ENGAGEMENTS 2026'!B2300),"",'ENGAGEMENTS 2026'!AE2300)</f>
        <v/>
      </c>
      <c r="I2300">
        <f>IF(ISBLANK('ENGAGEMENTS 2026'!B2300),"",'ENGAGEMENTS 2026'!G2300)</f>
        <v/>
      </c>
      <c r="J2300" s="275">
        <f>IF(ISBLANK('ENGAGEMENTS 2026'!B2300),"",IF(AND(OR($E2300="INFRUCTUEUX",$E2300="ANNULE"),$C2300="AOO-M"),'ENGAGEMENTS 2026'!O2300,IF($H2300="EN COURS DE PREENGAGEMENT",'ENGAGEMENTS 2026'!N2300,IF($H2300="PREENGAGE",IF($E2300="ATTRIBUE",'ENGAGEMENTS 2026'!AD2300,'ENGAGEMENTS 2026'!N2300),'ENGAGEMENTS 2026'!AD2300))))</f>
        <v/>
      </c>
      <c r="K2300" s="604">
        <f>IF(ISBLANK('ENGAGEMENTS 2026'!V2300),"",'ENGAGEMENTS 2026'!V2300)</f>
        <v/>
      </c>
      <c r="L2300" s="276">
        <f>IF($K2300="","",TODAY()-$K2300)</f>
        <v/>
      </c>
      <c r="M2300">
        <f>IF($A2300="","",IF($H2300="ENGAGE","Engagé",IF(AND($H2300="NON ENGAGE",OR($I2300="INFRUCTUEUX",$I2300="ANNULE")),"Clôturé sans suite","En cours")))</f>
        <v/>
      </c>
      <c r="N2300">
        <f>IF(ISBLANK('ENGAGEMENTS 2026'!B2300),"",'ENGAGEMENTS 2026'!K2300)</f>
        <v/>
      </c>
      <c r="O2300">
        <f>IF(ISBLANK('ENGAGEMENTS 2026'!B2300),"",'ENGAGEMENTS 2026'!L2300)</f>
        <v/>
      </c>
      <c r="P2300">
        <f>IF(ISBLANK('ENGAGEMENTS 2026'!B2300),"",'ENGAGEMENTS 2026'!J2300)</f>
        <v/>
      </c>
      <c r="Q2300">
        <f>IF($A2300="","",IF(OR($E2300="INFRUCTUEUX",$E2300="ANNULE"),$A2300&amp;"|"&amp;(COUNTIFS($A$2:$A2300,$A2300,$E$2:$E2300,"INFRUCTUEUX")+COUNTIFS($A$2:$A2300,$A2300,$E$2:$E2300,"ANNULE")),""))</f>
        <v/>
      </c>
    </row>
    <row r="2301">
      <c r="A2301">
        <f>IF(ISBLANK('ENGAGEMENTS 2026'!B2301),"",IF('ENGAGEMENTS 2026'!B2301="DTSI","DCT",'ENGAGEMENTS 2026'!B2301))</f>
        <v/>
      </c>
      <c r="B2301">
        <f>IF(ISBLANK('ENGAGEMENTS 2026'!B2301),"",'ENGAGEMENTS 2026'!C2301)</f>
        <v/>
      </c>
      <c r="C2301">
        <f>IF(ISBLANK('ENGAGEMENTS 2026'!B2301),"",'ENGAGEMENTS 2026'!D2301)</f>
        <v/>
      </c>
      <c r="D2301">
        <f>IF(ISBLANK('ENGAGEMENTS 2026'!B2301),"",'ENGAGEMENTS 2026'!F2301)</f>
        <v/>
      </c>
      <c r="E2301">
        <f>IF(ISBLANK('ENGAGEMENTS 2026'!B2301),"",'ENGAGEMENTS 2026'!H2301)</f>
        <v/>
      </c>
      <c r="F2301">
        <f>IF(ISBLANK('ENGAGEMENTS 2026'!B2301),"",'ENGAGEMENTS 2026'!I2301)</f>
        <v/>
      </c>
      <c r="G2301">
        <f>IF(ISBLANK('ENGAGEMENTS 2026'!B2301),"",'ENGAGEMENTS 2026'!L2301)</f>
        <v/>
      </c>
      <c r="H2301">
        <f>IF(ISBLANK('ENGAGEMENTS 2026'!B2301),"",'ENGAGEMENTS 2026'!AE2301)</f>
        <v/>
      </c>
      <c r="I2301">
        <f>IF(ISBLANK('ENGAGEMENTS 2026'!B2301),"",'ENGAGEMENTS 2026'!G2301)</f>
        <v/>
      </c>
      <c r="J2301" s="275">
        <f>IF(ISBLANK('ENGAGEMENTS 2026'!B2301),"",IF(AND(OR($E2301="INFRUCTUEUX",$E2301="ANNULE"),$C2301="AOO-M"),'ENGAGEMENTS 2026'!O2301,IF($H2301="EN COURS DE PREENGAGEMENT",'ENGAGEMENTS 2026'!N2301,IF($H2301="PREENGAGE",IF($E2301="ATTRIBUE",'ENGAGEMENTS 2026'!AD2301,'ENGAGEMENTS 2026'!N2301),'ENGAGEMENTS 2026'!AD2301))))</f>
        <v/>
      </c>
      <c r="K2301" s="604">
        <f>IF(ISBLANK('ENGAGEMENTS 2026'!V2301),"",'ENGAGEMENTS 2026'!V2301)</f>
        <v/>
      </c>
      <c r="L2301" s="276">
        <f>IF($K2301="","",TODAY()-$K2301)</f>
        <v/>
      </c>
      <c r="M2301">
        <f>IF($A2301="","",IF($H2301="ENGAGE","Engagé",IF(AND($H2301="NON ENGAGE",OR($I2301="INFRUCTUEUX",$I2301="ANNULE")),"Clôturé sans suite","En cours")))</f>
        <v/>
      </c>
      <c r="N2301">
        <f>IF(ISBLANK('ENGAGEMENTS 2026'!B2301),"",'ENGAGEMENTS 2026'!K2301)</f>
        <v/>
      </c>
      <c r="O2301">
        <f>IF(ISBLANK('ENGAGEMENTS 2026'!B2301),"",'ENGAGEMENTS 2026'!L2301)</f>
        <v/>
      </c>
      <c r="P2301">
        <f>IF(ISBLANK('ENGAGEMENTS 2026'!B2301),"",'ENGAGEMENTS 2026'!J2301)</f>
        <v/>
      </c>
      <c r="Q2301">
        <f>IF($A2301="","",IF(OR($E2301="INFRUCTUEUX",$E2301="ANNULE"),$A2301&amp;"|"&amp;(COUNTIFS($A$2:$A2301,$A2301,$E$2:$E2301,"INFRUCTUEUX")+COUNTIFS($A$2:$A2301,$A2301,$E$2:$E2301,"ANNULE")),""))</f>
        <v/>
      </c>
    </row>
    <row r="2302">
      <c r="A2302">
        <f>IF(ISBLANK('ENGAGEMENTS 2026'!B2302),"",IF('ENGAGEMENTS 2026'!B2302="DTSI","DCT",'ENGAGEMENTS 2026'!B2302))</f>
        <v/>
      </c>
      <c r="B2302">
        <f>IF(ISBLANK('ENGAGEMENTS 2026'!B2302),"",'ENGAGEMENTS 2026'!C2302)</f>
        <v/>
      </c>
      <c r="C2302">
        <f>IF(ISBLANK('ENGAGEMENTS 2026'!B2302),"",'ENGAGEMENTS 2026'!D2302)</f>
        <v/>
      </c>
      <c r="D2302">
        <f>IF(ISBLANK('ENGAGEMENTS 2026'!B2302),"",'ENGAGEMENTS 2026'!F2302)</f>
        <v/>
      </c>
      <c r="E2302">
        <f>IF(ISBLANK('ENGAGEMENTS 2026'!B2302),"",'ENGAGEMENTS 2026'!H2302)</f>
        <v/>
      </c>
      <c r="F2302">
        <f>IF(ISBLANK('ENGAGEMENTS 2026'!B2302),"",'ENGAGEMENTS 2026'!I2302)</f>
        <v/>
      </c>
      <c r="G2302">
        <f>IF(ISBLANK('ENGAGEMENTS 2026'!B2302),"",'ENGAGEMENTS 2026'!L2302)</f>
        <v/>
      </c>
      <c r="H2302">
        <f>IF(ISBLANK('ENGAGEMENTS 2026'!B2302),"",'ENGAGEMENTS 2026'!AE2302)</f>
        <v/>
      </c>
      <c r="I2302">
        <f>IF(ISBLANK('ENGAGEMENTS 2026'!B2302),"",'ENGAGEMENTS 2026'!G2302)</f>
        <v/>
      </c>
      <c r="J2302" s="275">
        <f>IF(ISBLANK('ENGAGEMENTS 2026'!B2302),"",IF(AND(OR($E2302="INFRUCTUEUX",$E2302="ANNULE"),$C2302="AOO-M"),'ENGAGEMENTS 2026'!O2302,IF($H2302="EN COURS DE PREENGAGEMENT",'ENGAGEMENTS 2026'!N2302,IF($H2302="PREENGAGE",IF($E2302="ATTRIBUE",'ENGAGEMENTS 2026'!AD2302,'ENGAGEMENTS 2026'!N2302),'ENGAGEMENTS 2026'!AD2302))))</f>
        <v/>
      </c>
      <c r="K2302" s="604">
        <f>IF(ISBLANK('ENGAGEMENTS 2026'!V2302),"",'ENGAGEMENTS 2026'!V2302)</f>
        <v/>
      </c>
      <c r="L2302" s="276">
        <f>IF($K2302="","",TODAY()-$K2302)</f>
        <v/>
      </c>
      <c r="M2302">
        <f>IF($A2302="","",IF($H2302="ENGAGE","Engagé",IF(AND($H2302="NON ENGAGE",OR($I2302="INFRUCTUEUX",$I2302="ANNULE")),"Clôturé sans suite","En cours")))</f>
        <v/>
      </c>
      <c r="N2302">
        <f>IF(ISBLANK('ENGAGEMENTS 2026'!B2302),"",'ENGAGEMENTS 2026'!K2302)</f>
        <v/>
      </c>
      <c r="O2302">
        <f>IF(ISBLANK('ENGAGEMENTS 2026'!B2302),"",'ENGAGEMENTS 2026'!L2302)</f>
        <v/>
      </c>
      <c r="P2302">
        <f>IF(ISBLANK('ENGAGEMENTS 2026'!B2302),"",'ENGAGEMENTS 2026'!J2302)</f>
        <v/>
      </c>
      <c r="Q2302">
        <f>IF($A2302="","",IF(OR($E2302="INFRUCTUEUX",$E2302="ANNULE"),$A2302&amp;"|"&amp;(COUNTIFS($A$2:$A2302,$A2302,$E$2:$E2302,"INFRUCTUEUX")+COUNTIFS($A$2:$A2302,$A2302,$E$2:$E2302,"ANNULE")),""))</f>
        <v/>
      </c>
    </row>
    <row r="2303">
      <c r="A2303">
        <f>IF(ISBLANK('ENGAGEMENTS 2026'!B2303),"",IF('ENGAGEMENTS 2026'!B2303="DTSI","DCT",'ENGAGEMENTS 2026'!B2303))</f>
        <v/>
      </c>
      <c r="B2303">
        <f>IF(ISBLANK('ENGAGEMENTS 2026'!B2303),"",'ENGAGEMENTS 2026'!C2303)</f>
        <v/>
      </c>
      <c r="C2303">
        <f>IF(ISBLANK('ENGAGEMENTS 2026'!B2303),"",'ENGAGEMENTS 2026'!D2303)</f>
        <v/>
      </c>
      <c r="D2303">
        <f>IF(ISBLANK('ENGAGEMENTS 2026'!B2303),"",'ENGAGEMENTS 2026'!F2303)</f>
        <v/>
      </c>
      <c r="E2303">
        <f>IF(ISBLANK('ENGAGEMENTS 2026'!B2303),"",'ENGAGEMENTS 2026'!H2303)</f>
        <v/>
      </c>
      <c r="F2303">
        <f>IF(ISBLANK('ENGAGEMENTS 2026'!B2303),"",'ENGAGEMENTS 2026'!I2303)</f>
        <v/>
      </c>
      <c r="G2303">
        <f>IF(ISBLANK('ENGAGEMENTS 2026'!B2303),"",'ENGAGEMENTS 2026'!L2303)</f>
        <v/>
      </c>
      <c r="H2303">
        <f>IF(ISBLANK('ENGAGEMENTS 2026'!B2303),"",'ENGAGEMENTS 2026'!AE2303)</f>
        <v/>
      </c>
      <c r="I2303">
        <f>IF(ISBLANK('ENGAGEMENTS 2026'!B2303),"",'ENGAGEMENTS 2026'!G2303)</f>
        <v/>
      </c>
      <c r="J2303" s="275">
        <f>IF(ISBLANK('ENGAGEMENTS 2026'!B2303),"",IF(AND(OR($E2303="INFRUCTUEUX",$E2303="ANNULE"),$C2303="AOO-M"),'ENGAGEMENTS 2026'!O2303,IF($H2303="EN COURS DE PREENGAGEMENT",'ENGAGEMENTS 2026'!N2303,IF($H2303="PREENGAGE",IF($E2303="ATTRIBUE",'ENGAGEMENTS 2026'!AD2303,'ENGAGEMENTS 2026'!N2303),'ENGAGEMENTS 2026'!AD2303))))</f>
        <v/>
      </c>
      <c r="K2303" s="604">
        <f>IF(ISBLANK('ENGAGEMENTS 2026'!V2303),"",'ENGAGEMENTS 2026'!V2303)</f>
        <v/>
      </c>
      <c r="L2303" s="276">
        <f>IF($K2303="","",TODAY()-$K2303)</f>
        <v/>
      </c>
      <c r="M2303">
        <f>IF($A2303="","",IF($H2303="ENGAGE","Engagé",IF(AND($H2303="NON ENGAGE",OR($I2303="INFRUCTUEUX",$I2303="ANNULE")),"Clôturé sans suite","En cours")))</f>
        <v/>
      </c>
      <c r="N2303">
        <f>IF(ISBLANK('ENGAGEMENTS 2026'!B2303),"",'ENGAGEMENTS 2026'!K2303)</f>
        <v/>
      </c>
      <c r="O2303">
        <f>IF(ISBLANK('ENGAGEMENTS 2026'!B2303),"",'ENGAGEMENTS 2026'!L2303)</f>
        <v/>
      </c>
      <c r="P2303">
        <f>IF(ISBLANK('ENGAGEMENTS 2026'!B2303),"",'ENGAGEMENTS 2026'!J2303)</f>
        <v/>
      </c>
      <c r="Q2303">
        <f>IF($A2303="","",IF(OR($E2303="INFRUCTUEUX",$E2303="ANNULE"),$A2303&amp;"|"&amp;(COUNTIFS($A$2:$A2303,$A2303,$E$2:$E2303,"INFRUCTUEUX")+COUNTIFS($A$2:$A2303,$A2303,$E$2:$E2303,"ANNULE")),""))</f>
        <v/>
      </c>
    </row>
    <row r="2304">
      <c r="A2304">
        <f>IF(ISBLANK('ENGAGEMENTS 2026'!B2304),"",IF('ENGAGEMENTS 2026'!B2304="DTSI","DCT",'ENGAGEMENTS 2026'!B2304))</f>
        <v/>
      </c>
      <c r="B2304">
        <f>IF(ISBLANK('ENGAGEMENTS 2026'!B2304),"",'ENGAGEMENTS 2026'!C2304)</f>
        <v/>
      </c>
      <c r="C2304">
        <f>IF(ISBLANK('ENGAGEMENTS 2026'!B2304),"",'ENGAGEMENTS 2026'!D2304)</f>
        <v/>
      </c>
      <c r="D2304">
        <f>IF(ISBLANK('ENGAGEMENTS 2026'!B2304),"",'ENGAGEMENTS 2026'!F2304)</f>
        <v/>
      </c>
      <c r="E2304">
        <f>IF(ISBLANK('ENGAGEMENTS 2026'!B2304),"",'ENGAGEMENTS 2026'!H2304)</f>
        <v/>
      </c>
      <c r="F2304">
        <f>IF(ISBLANK('ENGAGEMENTS 2026'!B2304),"",'ENGAGEMENTS 2026'!I2304)</f>
        <v/>
      </c>
      <c r="G2304">
        <f>IF(ISBLANK('ENGAGEMENTS 2026'!B2304),"",'ENGAGEMENTS 2026'!L2304)</f>
        <v/>
      </c>
      <c r="H2304">
        <f>IF(ISBLANK('ENGAGEMENTS 2026'!B2304),"",'ENGAGEMENTS 2026'!AE2304)</f>
        <v/>
      </c>
      <c r="I2304">
        <f>IF(ISBLANK('ENGAGEMENTS 2026'!B2304),"",'ENGAGEMENTS 2026'!G2304)</f>
        <v/>
      </c>
      <c r="J2304" s="275">
        <f>IF(ISBLANK('ENGAGEMENTS 2026'!B2304),"",IF(AND(OR($E2304="INFRUCTUEUX",$E2304="ANNULE"),$C2304="AOO-M"),'ENGAGEMENTS 2026'!O2304,IF($H2304="EN COURS DE PREENGAGEMENT",'ENGAGEMENTS 2026'!N2304,IF($H2304="PREENGAGE",IF($E2304="ATTRIBUE",'ENGAGEMENTS 2026'!AD2304,'ENGAGEMENTS 2026'!N2304),'ENGAGEMENTS 2026'!AD2304))))</f>
        <v/>
      </c>
      <c r="K2304" s="604">
        <f>IF(ISBLANK('ENGAGEMENTS 2026'!V2304),"",'ENGAGEMENTS 2026'!V2304)</f>
        <v/>
      </c>
      <c r="L2304" s="276">
        <f>IF($K2304="","",TODAY()-$K2304)</f>
        <v/>
      </c>
      <c r="M2304">
        <f>IF($A2304="","",IF($H2304="ENGAGE","Engagé",IF(AND($H2304="NON ENGAGE",OR($I2304="INFRUCTUEUX",$I2304="ANNULE")),"Clôturé sans suite","En cours")))</f>
        <v/>
      </c>
      <c r="N2304">
        <f>IF(ISBLANK('ENGAGEMENTS 2026'!B2304),"",'ENGAGEMENTS 2026'!K2304)</f>
        <v/>
      </c>
      <c r="O2304">
        <f>IF(ISBLANK('ENGAGEMENTS 2026'!B2304),"",'ENGAGEMENTS 2026'!L2304)</f>
        <v/>
      </c>
      <c r="P2304">
        <f>IF(ISBLANK('ENGAGEMENTS 2026'!B2304),"",'ENGAGEMENTS 2026'!J2304)</f>
        <v/>
      </c>
      <c r="Q2304">
        <f>IF($A2304="","",IF(OR($E2304="INFRUCTUEUX",$E2304="ANNULE"),$A2304&amp;"|"&amp;(COUNTIFS($A$2:$A2304,$A2304,$E$2:$E2304,"INFRUCTUEUX")+COUNTIFS($A$2:$A2304,$A2304,$E$2:$E2304,"ANNULE")),""))</f>
        <v/>
      </c>
    </row>
    <row r="2305">
      <c r="A2305">
        <f>IF(ISBLANK('ENGAGEMENTS 2026'!B2305),"",IF('ENGAGEMENTS 2026'!B2305="DTSI","DCT",'ENGAGEMENTS 2026'!B2305))</f>
        <v/>
      </c>
      <c r="B2305">
        <f>IF(ISBLANK('ENGAGEMENTS 2026'!B2305),"",'ENGAGEMENTS 2026'!C2305)</f>
        <v/>
      </c>
      <c r="C2305">
        <f>IF(ISBLANK('ENGAGEMENTS 2026'!B2305),"",'ENGAGEMENTS 2026'!D2305)</f>
        <v/>
      </c>
      <c r="D2305">
        <f>IF(ISBLANK('ENGAGEMENTS 2026'!B2305),"",'ENGAGEMENTS 2026'!F2305)</f>
        <v/>
      </c>
      <c r="E2305">
        <f>IF(ISBLANK('ENGAGEMENTS 2026'!B2305),"",'ENGAGEMENTS 2026'!H2305)</f>
        <v/>
      </c>
      <c r="F2305">
        <f>IF(ISBLANK('ENGAGEMENTS 2026'!B2305),"",'ENGAGEMENTS 2026'!I2305)</f>
        <v/>
      </c>
      <c r="G2305">
        <f>IF(ISBLANK('ENGAGEMENTS 2026'!B2305),"",'ENGAGEMENTS 2026'!L2305)</f>
        <v/>
      </c>
      <c r="H2305">
        <f>IF(ISBLANK('ENGAGEMENTS 2026'!B2305),"",'ENGAGEMENTS 2026'!AE2305)</f>
        <v/>
      </c>
      <c r="I2305">
        <f>IF(ISBLANK('ENGAGEMENTS 2026'!B2305),"",'ENGAGEMENTS 2026'!G2305)</f>
        <v/>
      </c>
      <c r="J2305" s="275">
        <f>IF(ISBLANK('ENGAGEMENTS 2026'!B2305),"",IF(AND(OR($E2305="INFRUCTUEUX",$E2305="ANNULE"),$C2305="AOO-M"),'ENGAGEMENTS 2026'!O2305,IF($H2305="EN COURS DE PREENGAGEMENT",'ENGAGEMENTS 2026'!N2305,IF($H2305="PREENGAGE",IF($E2305="ATTRIBUE",'ENGAGEMENTS 2026'!AD2305,'ENGAGEMENTS 2026'!N2305),'ENGAGEMENTS 2026'!AD2305))))</f>
        <v/>
      </c>
      <c r="K2305" s="604">
        <f>IF(ISBLANK('ENGAGEMENTS 2026'!V2305),"",'ENGAGEMENTS 2026'!V2305)</f>
        <v/>
      </c>
      <c r="L2305" s="276">
        <f>IF($K2305="","",TODAY()-$K2305)</f>
        <v/>
      </c>
      <c r="M2305">
        <f>IF($A2305="","",IF($H2305="ENGAGE","Engagé",IF(AND($H2305="NON ENGAGE",OR($I2305="INFRUCTUEUX",$I2305="ANNULE")),"Clôturé sans suite","En cours")))</f>
        <v/>
      </c>
      <c r="N2305">
        <f>IF(ISBLANK('ENGAGEMENTS 2026'!B2305),"",'ENGAGEMENTS 2026'!K2305)</f>
        <v/>
      </c>
      <c r="O2305">
        <f>IF(ISBLANK('ENGAGEMENTS 2026'!B2305),"",'ENGAGEMENTS 2026'!L2305)</f>
        <v/>
      </c>
      <c r="P2305">
        <f>IF(ISBLANK('ENGAGEMENTS 2026'!B2305),"",'ENGAGEMENTS 2026'!J2305)</f>
        <v/>
      </c>
      <c r="Q2305">
        <f>IF($A2305="","",IF(OR($E2305="INFRUCTUEUX",$E2305="ANNULE"),$A2305&amp;"|"&amp;(COUNTIFS($A$2:$A2305,$A2305,$E$2:$E2305,"INFRUCTUEUX")+COUNTIFS($A$2:$A2305,$A2305,$E$2:$E2305,"ANNULE")),""))</f>
        <v/>
      </c>
    </row>
    <row r="2306">
      <c r="A2306">
        <f>IF(ISBLANK('ENGAGEMENTS 2026'!B2306),"",IF('ENGAGEMENTS 2026'!B2306="DTSI","DCT",'ENGAGEMENTS 2026'!B2306))</f>
        <v/>
      </c>
      <c r="B2306">
        <f>IF(ISBLANK('ENGAGEMENTS 2026'!B2306),"",'ENGAGEMENTS 2026'!C2306)</f>
        <v/>
      </c>
      <c r="C2306">
        <f>IF(ISBLANK('ENGAGEMENTS 2026'!B2306),"",'ENGAGEMENTS 2026'!D2306)</f>
        <v/>
      </c>
      <c r="D2306">
        <f>IF(ISBLANK('ENGAGEMENTS 2026'!B2306),"",'ENGAGEMENTS 2026'!F2306)</f>
        <v/>
      </c>
      <c r="E2306">
        <f>IF(ISBLANK('ENGAGEMENTS 2026'!B2306),"",'ENGAGEMENTS 2026'!H2306)</f>
        <v/>
      </c>
      <c r="F2306">
        <f>IF(ISBLANK('ENGAGEMENTS 2026'!B2306),"",'ENGAGEMENTS 2026'!I2306)</f>
        <v/>
      </c>
      <c r="G2306">
        <f>IF(ISBLANK('ENGAGEMENTS 2026'!B2306),"",'ENGAGEMENTS 2026'!L2306)</f>
        <v/>
      </c>
      <c r="H2306">
        <f>IF(ISBLANK('ENGAGEMENTS 2026'!B2306),"",'ENGAGEMENTS 2026'!AE2306)</f>
        <v/>
      </c>
      <c r="I2306">
        <f>IF(ISBLANK('ENGAGEMENTS 2026'!B2306),"",'ENGAGEMENTS 2026'!G2306)</f>
        <v/>
      </c>
      <c r="J2306" s="275">
        <f>IF(ISBLANK('ENGAGEMENTS 2026'!B2306),"",IF(AND(OR($E2306="INFRUCTUEUX",$E2306="ANNULE"),$C2306="AOO-M"),'ENGAGEMENTS 2026'!O2306,IF($H2306="EN COURS DE PREENGAGEMENT",'ENGAGEMENTS 2026'!N2306,IF($H2306="PREENGAGE",IF($E2306="ATTRIBUE",'ENGAGEMENTS 2026'!AD2306,'ENGAGEMENTS 2026'!N2306),'ENGAGEMENTS 2026'!AD2306))))</f>
        <v/>
      </c>
      <c r="K2306" s="604">
        <f>IF(ISBLANK('ENGAGEMENTS 2026'!V2306),"",'ENGAGEMENTS 2026'!V2306)</f>
        <v/>
      </c>
      <c r="L2306" s="276">
        <f>IF($K2306="","",TODAY()-$K2306)</f>
        <v/>
      </c>
      <c r="M2306">
        <f>IF($A2306="","",IF($H2306="ENGAGE","Engagé",IF(AND($H2306="NON ENGAGE",OR($I2306="INFRUCTUEUX",$I2306="ANNULE")),"Clôturé sans suite","En cours")))</f>
        <v/>
      </c>
      <c r="N2306">
        <f>IF(ISBLANK('ENGAGEMENTS 2026'!B2306),"",'ENGAGEMENTS 2026'!K2306)</f>
        <v/>
      </c>
      <c r="O2306">
        <f>IF(ISBLANK('ENGAGEMENTS 2026'!B2306),"",'ENGAGEMENTS 2026'!L2306)</f>
        <v/>
      </c>
      <c r="P2306">
        <f>IF(ISBLANK('ENGAGEMENTS 2026'!B2306),"",'ENGAGEMENTS 2026'!J2306)</f>
        <v/>
      </c>
      <c r="Q2306">
        <f>IF($A2306="","",IF(OR($E2306="INFRUCTUEUX",$E2306="ANNULE"),$A2306&amp;"|"&amp;(COUNTIFS($A$2:$A2306,$A2306,$E$2:$E2306,"INFRUCTUEUX")+COUNTIFS($A$2:$A2306,$A2306,$E$2:$E2306,"ANNULE")),""))</f>
        <v/>
      </c>
    </row>
    <row r="2307">
      <c r="A2307">
        <f>IF(ISBLANK('ENGAGEMENTS 2026'!B2307),"",IF('ENGAGEMENTS 2026'!B2307="DTSI","DCT",'ENGAGEMENTS 2026'!B2307))</f>
        <v/>
      </c>
      <c r="B2307">
        <f>IF(ISBLANK('ENGAGEMENTS 2026'!B2307),"",'ENGAGEMENTS 2026'!C2307)</f>
        <v/>
      </c>
      <c r="C2307">
        <f>IF(ISBLANK('ENGAGEMENTS 2026'!B2307),"",'ENGAGEMENTS 2026'!D2307)</f>
        <v/>
      </c>
      <c r="D2307">
        <f>IF(ISBLANK('ENGAGEMENTS 2026'!B2307),"",'ENGAGEMENTS 2026'!F2307)</f>
        <v/>
      </c>
      <c r="E2307">
        <f>IF(ISBLANK('ENGAGEMENTS 2026'!B2307),"",'ENGAGEMENTS 2026'!H2307)</f>
        <v/>
      </c>
      <c r="F2307">
        <f>IF(ISBLANK('ENGAGEMENTS 2026'!B2307),"",'ENGAGEMENTS 2026'!I2307)</f>
        <v/>
      </c>
      <c r="G2307">
        <f>IF(ISBLANK('ENGAGEMENTS 2026'!B2307),"",'ENGAGEMENTS 2026'!L2307)</f>
        <v/>
      </c>
      <c r="H2307">
        <f>IF(ISBLANK('ENGAGEMENTS 2026'!B2307),"",'ENGAGEMENTS 2026'!AE2307)</f>
        <v/>
      </c>
      <c r="I2307">
        <f>IF(ISBLANK('ENGAGEMENTS 2026'!B2307),"",'ENGAGEMENTS 2026'!G2307)</f>
        <v/>
      </c>
      <c r="J2307" s="275">
        <f>IF(ISBLANK('ENGAGEMENTS 2026'!B2307),"",IF(AND(OR($E2307="INFRUCTUEUX",$E2307="ANNULE"),$C2307="AOO-M"),'ENGAGEMENTS 2026'!O2307,IF($H2307="EN COURS DE PREENGAGEMENT",'ENGAGEMENTS 2026'!N2307,IF($H2307="PREENGAGE",IF($E2307="ATTRIBUE",'ENGAGEMENTS 2026'!AD2307,'ENGAGEMENTS 2026'!N2307),'ENGAGEMENTS 2026'!AD2307))))</f>
        <v/>
      </c>
      <c r="K2307" s="604">
        <f>IF(ISBLANK('ENGAGEMENTS 2026'!V2307),"",'ENGAGEMENTS 2026'!V2307)</f>
        <v/>
      </c>
      <c r="L2307" s="276">
        <f>IF($K2307="","",TODAY()-$K2307)</f>
        <v/>
      </c>
      <c r="M2307">
        <f>IF($A2307="","",IF($H2307="ENGAGE","Engagé",IF(AND($H2307="NON ENGAGE",OR($I2307="INFRUCTUEUX",$I2307="ANNULE")),"Clôturé sans suite","En cours")))</f>
        <v/>
      </c>
      <c r="N2307">
        <f>IF(ISBLANK('ENGAGEMENTS 2026'!B2307),"",'ENGAGEMENTS 2026'!K2307)</f>
        <v/>
      </c>
      <c r="O2307">
        <f>IF(ISBLANK('ENGAGEMENTS 2026'!B2307),"",'ENGAGEMENTS 2026'!L2307)</f>
        <v/>
      </c>
      <c r="P2307">
        <f>IF(ISBLANK('ENGAGEMENTS 2026'!B2307),"",'ENGAGEMENTS 2026'!J2307)</f>
        <v/>
      </c>
      <c r="Q2307">
        <f>IF($A2307="","",IF(OR($E2307="INFRUCTUEUX",$E2307="ANNULE"),$A2307&amp;"|"&amp;(COUNTIFS($A$2:$A2307,$A2307,$E$2:$E2307,"INFRUCTUEUX")+COUNTIFS($A$2:$A2307,$A2307,$E$2:$E2307,"ANNULE")),""))</f>
        <v/>
      </c>
    </row>
    <row r="2308">
      <c r="A2308">
        <f>IF(ISBLANK('ENGAGEMENTS 2026'!B2308),"",IF('ENGAGEMENTS 2026'!B2308="DTSI","DCT",'ENGAGEMENTS 2026'!B2308))</f>
        <v/>
      </c>
      <c r="B2308">
        <f>IF(ISBLANK('ENGAGEMENTS 2026'!B2308),"",'ENGAGEMENTS 2026'!C2308)</f>
        <v/>
      </c>
      <c r="C2308">
        <f>IF(ISBLANK('ENGAGEMENTS 2026'!B2308),"",'ENGAGEMENTS 2026'!D2308)</f>
        <v/>
      </c>
      <c r="D2308">
        <f>IF(ISBLANK('ENGAGEMENTS 2026'!B2308),"",'ENGAGEMENTS 2026'!F2308)</f>
        <v/>
      </c>
      <c r="E2308">
        <f>IF(ISBLANK('ENGAGEMENTS 2026'!B2308),"",'ENGAGEMENTS 2026'!H2308)</f>
        <v/>
      </c>
      <c r="F2308">
        <f>IF(ISBLANK('ENGAGEMENTS 2026'!B2308),"",'ENGAGEMENTS 2026'!I2308)</f>
        <v/>
      </c>
      <c r="G2308">
        <f>IF(ISBLANK('ENGAGEMENTS 2026'!B2308),"",'ENGAGEMENTS 2026'!L2308)</f>
        <v/>
      </c>
      <c r="H2308">
        <f>IF(ISBLANK('ENGAGEMENTS 2026'!B2308),"",'ENGAGEMENTS 2026'!AE2308)</f>
        <v/>
      </c>
      <c r="I2308">
        <f>IF(ISBLANK('ENGAGEMENTS 2026'!B2308),"",'ENGAGEMENTS 2026'!G2308)</f>
        <v/>
      </c>
      <c r="J2308" s="275">
        <f>IF(ISBLANK('ENGAGEMENTS 2026'!B2308),"",IF(AND(OR($E2308="INFRUCTUEUX",$E2308="ANNULE"),$C2308="AOO-M"),'ENGAGEMENTS 2026'!O2308,IF($H2308="EN COURS DE PREENGAGEMENT",'ENGAGEMENTS 2026'!N2308,IF($H2308="PREENGAGE",IF($E2308="ATTRIBUE",'ENGAGEMENTS 2026'!AD2308,'ENGAGEMENTS 2026'!N2308),'ENGAGEMENTS 2026'!AD2308))))</f>
        <v/>
      </c>
      <c r="K2308" s="604">
        <f>IF(ISBLANK('ENGAGEMENTS 2026'!V2308),"",'ENGAGEMENTS 2026'!V2308)</f>
        <v/>
      </c>
      <c r="L2308" s="276">
        <f>IF($K2308="","",TODAY()-$K2308)</f>
        <v/>
      </c>
      <c r="M2308">
        <f>IF($A2308="","",IF($H2308="ENGAGE","Engagé",IF(AND($H2308="NON ENGAGE",OR($I2308="INFRUCTUEUX",$I2308="ANNULE")),"Clôturé sans suite","En cours")))</f>
        <v/>
      </c>
      <c r="N2308">
        <f>IF(ISBLANK('ENGAGEMENTS 2026'!B2308),"",'ENGAGEMENTS 2026'!K2308)</f>
        <v/>
      </c>
      <c r="O2308">
        <f>IF(ISBLANK('ENGAGEMENTS 2026'!B2308),"",'ENGAGEMENTS 2026'!L2308)</f>
        <v/>
      </c>
      <c r="P2308">
        <f>IF(ISBLANK('ENGAGEMENTS 2026'!B2308),"",'ENGAGEMENTS 2026'!J2308)</f>
        <v/>
      </c>
      <c r="Q2308">
        <f>IF($A2308="","",IF(OR($E2308="INFRUCTUEUX",$E2308="ANNULE"),$A2308&amp;"|"&amp;(COUNTIFS($A$2:$A2308,$A2308,$E$2:$E2308,"INFRUCTUEUX")+COUNTIFS($A$2:$A2308,$A2308,$E$2:$E2308,"ANNULE")),""))</f>
        <v/>
      </c>
    </row>
    <row r="2309">
      <c r="A2309">
        <f>IF(ISBLANK('ENGAGEMENTS 2026'!B2309),"",IF('ENGAGEMENTS 2026'!B2309="DTSI","DCT",'ENGAGEMENTS 2026'!B2309))</f>
        <v/>
      </c>
      <c r="B2309">
        <f>IF(ISBLANK('ENGAGEMENTS 2026'!B2309),"",'ENGAGEMENTS 2026'!C2309)</f>
        <v/>
      </c>
      <c r="C2309">
        <f>IF(ISBLANK('ENGAGEMENTS 2026'!B2309),"",'ENGAGEMENTS 2026'!D2309)</f>
        <v/>
      </c>
      <c r="D2309">
        <f>IF(ISBLANK('ENGAGEMENTS 2026'!B2309),"",'ENGAGEMENTS 2026'!F2309)</f>
        <v/>
      </c>
      <c r="E2309">
        <f>IF(ISBLANK('ENGAGEMENTS 2026'!B2309),"",'ENGAGEMENTS 2026'!H2309)</f>
        <v/>
      </c>
      <c r="F2309">
        <f>IF(ISBLANK('ENGAGEMENTS 2026'!B2309),"",'ENGAGEMENTS 2026'!I2309)</f>
        <v/>
      </c>
      <c r="G2309">
        <f>IF(ISBLANK('ENGAGEMENTS 2026'!B2309),"",'ENGAGEMENTS 2026'!L2309)</f>
        <v/>
      </c>
      <c r="H2309">
        <f>IF(ISBLANK('ENGAGEMENTS 2026'!B2309),"",'ENGAGEMENTS 2026'!AE2309)</f>
        <v/>
      </c>
      <c r="I2309">
        <f>IF(ISBLANK('ENGAGEMENTS 2026'!B2309),"",'ENGAGEMENTS 2026'!G2309)</f>
        <v/>
      </c>
      <c r="J2309" s="275">
        <f>IF(ISBLANK('ENGAGEMENTS 2026'!B2309),"",IF(AND(OR($E2309="INFRUCTUEUX",$E2309="ANNULE"),$C2309="AOO-M"),'ENGAGEMENTS 2026'!O2309,IF($H2309="EN COURS DE PREENGAGEMENT",'ENGAGEMENTS 2026'!N2309,IF($H2309="PREENGAGE",IF($E2309="ATTRIBUE",'ENGAGEMENTS 2026'!AD2309,'ENGAGEMENTS 2026'!N2309),'ENGAGEMENTS 2026'!AD2309))))</f>
        <v/>
      </c>
      <c r="K2309" s="604">
        <f>IF(ISBLANK('ENGAGEMENTS 2026'!V2309),"",'ENGAGEMENTS 2026'!V2309)</f>
        <v/>
      </c>
      <c r="L2309" s="276">
        <f>IF($K2309="","",TODAY()-$K2309)</f>
        <v/>
      </c>
      <c r="M2309">
        <f>IF($A2309="","",IF($H2309="ENGAGE","Engagé",IF(AND($H2309="NON ENGAGE",OR($I2309="INFRUCTUEUX",$I2309="ANNULE")),"Clôturé sans suite","En cours")))</f>
        <v/>
      </c>
      <c r="N2309">
        <f>IF(ISBLANK('ENGAGEMENTS 2026'!B2309),"",'ENGAGEMENTS 2026'!K2309)</f>
        <v/>
      </c>
      <c r="O2309">
        <f>IF(ISBLANK('ENGAGEMENTS 2026'!B2309),"",'ENGAGEMENTS 2026'!L2309)</f>
        <v/>
      </c>
      <c r="P2309">
        <f>IF(ISBLANK('ENGAGEMENTS 2026'!B2309),"",'ENGAGEMENTS 2026'!J2309)</f>
        <v/>
      </c>
      <c r="Q2309">
        <f>IF($A2309="","",IF(OR($E2309="INFRUCTUEUX",$E2309="ANNULE"),$A2309&amp;"|"&amp;(COUNTIFS($A$2:$A2309,$A2309,$E$2:$E2309,"INFRUCTUEUX")+COUNTIFS($A$2:$A2309,$A2309,$E$2:$E2309,"ANNULE")),""))</f>
        <v/>
      </c>
    </row>
    <row r="2310">
      <c r="A2310">
        <f>IF(ISBLANK('ENGAGEMENTS 2026'!B2310),"",IF('ENGAGEMENTS 2026'!B2310="DTSI","DCT",'ENGAGEMENTS 2026'!B2310))</f>
        <v/>
      </c>
      <c r="B2310">
        <f>IF(ISBLANK('ENGAGEMENTS 2026'!B2310),"",'ENGAGEMENTS 2026'!C2310)</f>
        <v/>
      </c>
      <c r="C2310">
        <f>IF(ISBLANK('ENGAGEMENTS 2026'!B2310),"",'ENGAGEMENTS 2026'!D2310)</f>
        <v/>
      </c>
      <c r="D2310">
        <f>IF(ISBLANK('ENGAGEMENTS 2026'!B2310),"",'ENGAGEMENTS 2026'!F2310)</f>
        <v/>
      </c>
      <c r="E2310">
        <f>IF(ISBLANK('ENGAGEMENTS 2026'!B2310),"",'ENGAGEMENTS 2026'!H2310)</f>
        <v/>
      </c>
      <c r="F2310">
        <f>IF(ISBLANK('ENGAGEMENTS 2026'!B2310),"",'ENGAGEMENTS 2026'!I2310)</f>
        <v/>
      </c>
      <c r="G2310">
        <f>IF(ISBLANK('ENGAGEMENTS 2026'!B2310),"",'ENGAGEMENTS 2026'!L2310)</f>
        <v/>
      </c>
      <c r="H2310">
        <f>IF(ISBLANK('ENGAGEMENTS 2026'!B2310),"",'ENGAGEMENTS 2026'!AE2310)</f>
        <v/>
      </c>
      <c r="I2310">
        <f>IF(ISBLANK('ENGAGEMENTS 2026'!B2310),"",'ENGAGEMENTS 2026'!G2310)</f>
        <v/>
      </c>
      <c r="J2310" s="275">
        <f>IF(ISBLANK('ENGAGEMENTS 2026'!B2310),"",IF(AND(OR($E2310="INFRUCTUEUX",$E2310="ANNULE"),$C2310="AOO-M"),'ENGAGEMENTS 2026'!O2310,IF($H2310="EN COURS DE PREENGAGEMENT",'ENGAGEMENTS 2026'!N2310,IF($H2310="PREENGAGE",IF($E2310="ATTRIBUE",'ENGAGEMENTS 2026'!AD2310,'ENGAGEMENTS 2026'!N2310),'ENGAGEMENTS 2026'!AD2310))))</f>
        <v/>
      </c>
      <c r="K2310" s="604">
        <f>IF(ISBLANK('ENGAGEMENTS 2026'!V2310),"",'ENGAGEMENTS 2026'!V2310)</f>
        <v/>
      </c>
      <c r="L2310" s="276">
        <f>IF($K2310="","",TODAY()-$K2310)</f>
        <v/>
      </c>
      <c r="M2310">
        <f>IF($A2310="","",IF($H2310="ENGAGE","Engagé",IF(AND($H2310="NON ENGAGE",OR($I2310="INFRUCTUEUX",$I2310="ANNULE")),"Clôturé sans suite","En cours")))</f>
        <v/>
      </c>
      <c r="N2310">
        <f>IF(ISBLANK('ENGAGEMENTS 2026'!B2310),"",'ENGAGEMENTS 2026'!K2310)</f>
        <v/>
      </c>
      <c r="O2310">
        <f>IF(ISBLANK('ENGAGEMENTS 2026'!B2310),"",'ENGAGEMENTS 2026'!L2310)</f>
        <v/>
      </c>
      <c r="P2310">
        <f>IF(ISBLANK('ENGAGEMENTS 2026'!B2310),"",'ENGAGEMENTS 2026'!J2310)</f>
        <v/>
      </c>
      <c r="Q2310">
        <f>IF($A2310="","",IF(OR($E2310="INFRUCTUEUX",$E2310="ANNULE"),$A2310&amp;"|"&amp;(COUNTIFS($A$2:$A2310,$A2310,$E$2:$E2310,"INFRUCTUEUX")+COUNTIFS($A$2:$A2310,$A2310,$E$2:$E2310,"ANNULE")),""))</f>
        <v/>
      </c>
    </row>
    <row r="2311">
      <c r="A2311">
        <f>IF(ISBLANK('ENGAGEMENTS 2026'!B2311),"",IF('ENGAGEMENTS 2026'!B2311="DTSI","DCT",'ENGAGEMENTS 2026'!B2311))</f>
        <v/>
      </c>
      <c r="B2311">
        <f>IF(ISBLANK('ENGAGEMENTS 2026'!B2311),"",'ENGAGEMENTS 2026'!C2311)</f>
        <v/>
      </c>
      <c r="C2311">
        <f>IF(ISBLANK('ENGAGEMENTS 2026'!B2311),"",'ENGAGEMENTS 2026'!D2311)</f>
        <v/>
      </c>
      <c r="D2311">
        <f>IF(ISBLANK('ENGAGEMENTS 2026'!B2311),"",'ENGAGEMENTS 2026'!F2311)</f>
        <v/>
      </c>
      <c r="E2311">
        <f>IF(ISBLANK('ENGAGEMENTS 2026'!B2311),"",'ENGAGEMENTS 2026'!H2311)</f>
        <v/>
      </c>
      <c r="F2311">
        <f>IF(ISBLANK('ENGAGEMENTS 2026'!B2311),"",'ENGAGEMENTS 2026'!I2311)</f>
        <v/>
      </c>
      <c r="G2311">
        <f>IF(ISBLANK('ENGAGEMENTS 2026'!B2311),"",'ENGAGEMENTS 2026'!L2311)</f>
        <v/>
      </c>
      <c r="H2311">
        <f>IF(ISBLANK('ENGAGEMENTS 2026'!B2311),"",'ENGAGEMENTS 2026'!AE2311)</f>
        <v/>
      </c>
      <c r="I2311">
        <f>IF(ISBLANK('ENGAGEMENTS 2026'!B2311),"",'ENGAGEMENTS 2026'!G2311)</f>
        <v/>
      </c>
      <c r="J2311" s="275">
        <f>IF(ISBLANK('ENGAGEMENTS 2026'!B2311),"",IF(AND(OR($E2311="INFRUCTUEUX",$E2311="ANNULE"),$C2311="AOO-M"),'ENGAGEMENTS 2026'!O2311,IF($H2311="EN COURS DE PREENGAGEMENT",'ENGAGEMENTS 2026'!N2311,IF($H2311="PREENGAGE",IF($E2311="ATTRIBUE",'ENGAGEMENTS 2026'!AD2311,'ENGAGEMENTS 2026'!N2311),'ENGAGEMENTS 2026'!AD2311))))</f>
        <v/>
      </c>
      <c r="K2311" s="604">
        <f>IF(ISBLANK('ENGAGEMENTS 2026'!V2311),"",'ENGAGEMENTS 2026'!V2311)</f>
        <v/>
      </c>
      <c r="L2311" s="276">
        <f>IF($K2311="","",TODAY()-$K2311)</f>
        <v/>
      </c>
      <c r="M2311">
        <f>IF($A2311="","",IF($H2311="ENGAGE","Engagé",IF(AND($H2311="NON ENGAGE",OR($I2311="INFRUCTUEUX",$I2311="ANNULE")),"Clôturé sans suite","En cours")))</f>
        <v/>
      </c>
      <c r="N2311">
        <f>IF(ISBLANK('ENGAGEMENTS 2026'!B2311),"",'ENGAGEMENTS 2026'!K2311)</f>
        <v/>
      </c>
      <c r="O2311">
        <f>IF(ISBLANK('ENGAGEMENTS 2026'!B2311),"",'ENGAGEMENTS 2026'!L2311)</f>
        <v/>
      </c>
      <c r="P2311">
        <f>IF(ISBLANK('ENGAGEMENTS 2026'!B2311),"",'ENGAGEMENTS 2026'!J2311)</f>
        <v/>
      </c>
      <c r="Q2311">
        <f>IF($A2311="","",IF(OR($E2311="INFRUCTUEUX",$E2311="ANNULE"),$A2311&amp;"|"&amp;(COUNTIFS($A$2:$A2311,$A2311,$E$2:$E2311,"INFRUCTUEUX")+COUNTIFS($A$2:$A2311,$A2311,$E$2:$E2311,"ANNULE")),""))</f>
        <v/>
      </c>
    </row>
    <row r="2312">
      <c r="A2312">
        <f>IF(ISBLANK('ENGAGEMENTS 2026'!B2312),"",IF('ENGAGEMENTS 2026'!B2312="DTSI","DCT",'ENGAGEMENTS 2026'!B2312))</f>
        <v/>
      </c>
      <c r="B2312">
        <f>IF(ISBLANK('ENGAGEMENTS 2026'!B2312),"",'ENGAGEMENTS 2026'!C2312)</f>
        <v/>
      </c>
      <c r="C2312">
        <f>IF(ISBLANK('ENGAGEMENTS 2026'!B2312),"",'ENGAGEMENTS 2026'!D2312)</f>
        <v/>
      </c>
      <c r="D2312">
        <f>IF(ISBLANK('ENGAGEMENTS 2026'!B2312),"",'ENGAGEMENTS 2026'!F2312)</f>
        <v/>
      </c>
      <c r="E2312">
        <f>IF(ISBLANK('ENGAGEMENTS 2026'!B2312),"",'ENGAGEMENTS 2026'!H2312)</f>
        <v/>
      </c>
      <c r="F2312">
        <f>IF(ISBLANK('ENGAGEMENTS 2026'!B2312),"",'ENGAGEMENTS 2026'!I2312)</f>
        <v/>
      </c>
      <c r="G2312">
        <f>IF(ISBLANK('ENGAGEMENTS 2026'!B2312),"",'ENGAGEMENTS 2026'!L2312)</f>
        <v/>
      </c>
      <c r="H2312">
        <f>IF(ISBLANK('ENGAGEMENTS 2026'!B2312),"",'ENGAGEMENTS 2026'!AE2312)</f>
        <v/>
      </c>
      <c r="I2312">
        <f>IF(ISBLANK('ENGAGEMENTS 2026'!B2312),"",'ENGAGEMENTS 2026'!G2312)</f>
        <v/>
      </c>
      <c r="J2312" s="275">
        <f>IF(ISBLANK('ENGAGEMENTS 2026'!B2312),"",IF(AND(OR($E2312="INFRUCTUEUX",$E2312="ANNULE"),$C2312="AOO-M"),'ENGAGEMENTS 2026'!O2312,IF($H2312="EN COURS DE PREENGAGEMENT",'ENGAGEMENTS 2026'!N2312,IF($H2312="PREENGAGE",IF($E2312="ATTRIBUE",'ENGAGEMENTS 2026'!AD2312,'ENGAGEMENTS 2026'!N2312),'ENGAGEMENTS 2026'!AD2312))))</f>
        <v/>
      </c>
      <c r="K2312" s="604">
        <f>IF(ISBLANK('ENGAGEMENTS 2026'!V2312),"",'ENGAGEMENTS 2026'!V2312)</f>
        <v/>
      </c>
      <c r="L2312" s="276">
        <f>IF($K2312="","",TODAY()-$K2312)</f>
        <v/>
      </c>
      <c r="M2312">
        <f>IF($A2312="","",IF($H2312="ENGAGE","Engagé",IF(AND($H2312="NON ENGAGE",OR($I2312="INFRUCTUEUX",$I2312="ANNULE")),"Clôturé sans suite","En cours")))</f>
        <v/>
      </c>
      <c r="N2312">
        <f>IF(ISBLANK('ENGAGEMENTS 2026'!B2312),"",'ENGAGEMENTS 2026'!K2312)</f>
        <v/>
      </c>
      <c r="O2312">
        <f>IF(ISBLANK('ENGAGEMENTS 2026'!B2312),"",'ENGAGEMENTS 2026'!L2312)</f>
        <v/>
      </c>
      <c r="P2312">
        <f>IF(ISBLANK('ENGAGEMENTS 2026'!B2312),"",'ENGAGEMENTS 2026'!J2312)</f>
        <v/>
      </c>
      <c r="Q2312">
        <f>IF($A2312="","",IF(OR($E2312="INFRUCTUEUX",$E2312="ANNULE"),$A2312&amp;"|"&amp;(COUNTIFS($A$2:$A2312,$A2312,$E$2:$E2312,"INFRUCTUEUX")+COUNTIFS($A$2:$A2312,$A2312,$E$2:$E2312,"ANNULE")),""))</f>
        <v/>
      </c>
    </row>
    <row r="2313">
      <c r="A2313">
        <f>IF(ISBLANK('ENGAGEMENTS 2026'!B2313),"",IF('ENGAGEMENTS 2026'!B2313="DTSI","DCT",'ENGAGEMENTS 2026'!B2313))</f>
        <v/>
      </c>
      <c r="B2313">
        <f>IF(ISBLANK('ENGAGEMENTS 2026'!B2313),"",'ENGAGEMENTS 2026'!C2313)</f>
        <v/>
      </c>
      <c r="C2313">
        <f>IF(ISBLANK('ENGAGEMENTS 2026'!B2313),"",'ENGAGEMENTS 2026'!D2313)</f>
        <v/>
      </c>
      <c r="D2313">
        <f>IF(ISBLANK('ENGAGEMENTS 2026'!B2313),"",'ENGAGEMENTS 2026'!F2313)</f>
        <v/>
      </c>
      <c r="E2313">
        <f>IF(ISBLANK('ENGAGEMENTS 2026'!B2313),"",'ENGAGEMENTS 2026'!H2313)</f>
        <v/>
      </c>
      <c r="F2313">
        <f>IF(ISBLANK('ENGAGEMENTS 2026'!B2313),"",'ENGAGEMENTS 2026'!I2313)</f>
        <v/>
      </c>
      <c r="G2313">
        <f>IF(ISBLANK('ENGAGEMENTS 2026'!B2313),"",'ENGAGEMENTS 2026'!L2313)</f>
        <v/>
      </c>
      <c r="H2313">
        <f>IF(ISBLANK('ENGAGEMENTS 2026'!B2313),"",'ENGAGEMENTS 2026'!AE2313)</f>
        <v/>
      </c>
      <c r="I2313">
        <f>IF(ISBLANK('ENGAGEMENTS 2026'!B2313),"",'ENGAGEMENTS 2026'!G2313)</f>
        <v/>
      </c>
      <c r="J2313" s="275">
        <f>IF(ISBLANK('ENGAGEMENTS 2026'!B2313),"",IF(AND(OR($E2313="INFRUCTUEUX",$E2313="ANNULE"),$C2313="AOO-M"),'ENGAGEMENTS 2026'!O2313,IF($H2313="EN COURS DE PREENGAGEMENT",'ENGAGEMENTS 2026'!N2313,IF($H2313="PREENGAGE",IF($E2313="ATTRIBUE",'ENGAGEMENTS 2026'!AD2313,'ENGAGEMENTS 2026'!N2313),'ENGAGEMENTS 2026'!AD2313))))</f>
        <v/>
      </c>
      <c r="K2313" s="604">
        <f>IF(ISBLANK('ENGAGEMENTS 2026'!V2313),"",'ENGAGEMENTS 2026'!V2313)</f>
        <v/>
      </c>
      <c r="L2313" s="276">
        <f>IF($K2313="","",TODAY()-$K2313)</f>
        <v/>
      </c>
      <c r="M2313">
        <f>IF($A2313="","",IF($H2313="ENGAGE","Engagé",IF(AND($H2313="NON ENGAGE",OR($I2313="INFRUCTUEUX",$I2313="ANNULE")),"Clôturé sans suite","En cours")))</f>
        <v/>
      </c>
      <c r="N2313">
        <f>IF(ISBLANK('ENGAGEMENTS 2026'!B2313),"",'ENGAGEMENTS 2026'!K2313)</f>
        <v/>
      </c>
      <c r="O2313">
        <f>IF(ISBLANK('ENGAGEMENTS 2026'!B2313),"",'ENGAGEMENTS 2026'!L2313)</f>
        <v/>
      </c>
      <c r="P2313">
        <f>IF(ISBLANK('ENGAGEMENTS 2026'!B2313),"",'ENGAGEMENTS 2026'!J2313)</f>
        <v/>
      </c>
      <c r="Q2313">
        <f>IF($A2313="","",IF(OR($E2313="INFRUCTUEUX",$E2313="ANNULE"),$A2313&amp;"|"&amp;(COUNTIFS($A$2:$A2313,$A2313,$E$2:$E2313,"INFRUCTUEUX")+COUNTIFS($A$2:$A2313,$A2313,$E$2:$E2313,"ANNULE")),""))</f>
        <v/>
      </c>
    </row>
    <row r="2314">
      <c r="A2314">
        <f>IF(ISBLANK('ENGAGEMENTS 2026'!B2314),"",IF('ENGAGEMENTS 2026'!B2314="DTSI","DCT",'ENGAGEMENTS 2026'!B2314))</f>
        <v/>
      </c>
      <c r="B2314">
        <f>IF(ISBLANK('ENGAGEMENTS 2026'!B2314),"",'ENGAGEMENTS 2026'!C2314)</f>
        <v/>
      </c>
      <c r="C2314">
        <f>IF(ISBLANK('ENGAGEMENTS 2026'!B2314),"",'ENGAGEMENTS 2026'!D2314)</f>
        <v/>
      </c>
      <c r="D2314">
        <f>IF(ISBLANK('ENGAGEMENTS 2026'!B2314),"",'ENGAGEMENTS 2026'!F2314)</f>
        <v/>
      </c>
      <c r="E2314">
        <f>IF(ISBLANK('ENGAGEMENTS 2026'!B2314),"",'ENGAGEMENTS 2026'!H2314)</f>
        <v/>
      </c>
      <c r="F2314">
        <f>IF(ISBLANK('ENGAGEMENTS 2026'!B2314),"",'ENGAGEMENTS 2026'!I2314)</f>
        <v/>
      </c>
      <c r="G2314">
        <f>IF(ISBLANK('ENGAGEMENTS 2026'!B2314),"",'ENGAGEMENTS 2026'!L2314)</f>
        <v/>
      </c>
      <c r="H2314">
        <f>IF(ISBLANK('ENGAGEMENTS 2026'!B2314),"",'ENGAGEMENTS 2026'!AE2314)</f>
        <v/>
      </c>
      <c r="I2314">
        <f>IF(ISBLANK('ENGAGEMENTS 2026'!B2314),"",'ENGAGEMENTS 2026'!G2314)</f>
        <v/>
      </c>
      <c r="J2314" s="275">
        <f>IF(ISBLANK('ENGAGEMENTS 2026'!B2314),"",IF(AND(OR($E2314="INFRUCTUEUX",$E2314="ANNULE"),$C2314="AOO-M"),'ENGAGEMENTS 2026'!O2314,IF($H2314="EN COURS DE PREENGAGEMENT",'ENGAGEMENTS 2026'!N2314,IF($H2314="PREENGAGE",IF($E2314="ATTRIBUE",'ENGAGEMENTS 2026'!AD2314,'ENGAGEMENTS 2026'!N2314),'ENGAGEMENTS 2026'!AD2314))))</f>
        <v/>
      </c>
      <c r="K2314" s="604">
        <f>IF(ISBLANK('ENGAGEMENTS 2026'!V2314),"",'ENGAGEMENTS 2026'!V2314)</f>
        <v/>
      </c>
      <c r="L2314" s="276">
        <f>IF($K2314="","",TODAY()-$K2314)</f>
        <v/>
      </c>
      <c r="M2314">
        <f>IF($A2314="","",IF($H2314="ENGAGE","Engagé",IF(AND($H2314="NON ENGAGE",OR($I2314="INFRUCTUEUX",$I2314="ANNULE")),"Clôturé sans suite","En cours")))</f>
        <v/>
      </c>
      <c r="N2314">
        <f>IF(ISBLANK('ENGAGEMENTS 2026'!B2314),"",'ENGAGEMENTS 2026'!K2314)</f>
        <v/>
      </c>
      <c r="O2314">
        <f>IF(ISBLANK('ENGAGEMENTS 2026'!B2314),"",'ENGAGEMENTS 2026'!L2314)</f>
        <v/>
      </c>
      <c r="P2314">
        <f>IF(ISBLANK('ENGAGEMENTS 2026'!B2314),"",'ENGAGEMENTS 2026'!J2314)</f>
        <v/>
      </c>
      <c r="Q2314">
        <f>IF($A2314="","",IF(OR($E2314="INFRUCTUEUX",$E2314="ANNULE"),$A2314&amp;"|"&amp;(COUNTIFS($A$2:$A2314,$A2314,$E$2:$E2314,"INFRUCTUEUX")+COUNTIFS($A$2:$A2314,$A2314,$E$2:$E2314,"ANNULE")),""))</f>
        <v/>
      </c>
    </row>
    <row r="2315">
      <c r="A2315">
        <f>IF(ISBLANK('ENGAGEMENTS 2026'!B2315),"",IF('ENGAGEMENTS 2026'!B2315="DTSI","DCT",'ENGAGEMENTS 2026'!B2315))</f>
        <v/>
      </c>
      <c r="B2315">
        <f>IF(ISBLANK('ENGAGEMENTS 2026'!B2315),"",'ENGAGEMENTS 2026'!C2315)</f>
        <v/>
      </c>
      <c r="C2315">
        <f>IF(ISBLANK('ENGAGEMENTS 2026'!B2315),"",'ENGAGEMENTS 2026'!D2315)</f>
        <v/>
      </c>
      <c r="D2315">
        <f>IF(ISBLANK('ENGAGEMENTS 2026'!B2315),"",'ENGAGEMENTS 2026'!F2315)</f>
        <v/>
      </c>
      <c r="E2315">
        <f>IF(ISBLANK('ENGAGEMENTS 2026'!B2315),"",'ENGAGEMENTS 2026'!H2315)</f>
        <v/>
      </c>
      <c r="F2315">
        <f>IF(ISBLANK('ENGAGEMENTS 2026'!B2315),"",'ENGAGEMENTS 2026'!I2315)</f>
        <v/>
      </c>
      <c r="G2315">
        <f>IF(ISBLANK('ENGAGEMENTS 2026'!B2315),"",'ENGAGEMENTS 2026'!L2315)</f>
        <v/>
      </c>
      <c r="H2315">
        <f>IF(ISBLANK('ENGAGEMENTS 2026'!B2315),"",'ENGAGEMENTS 2026'!AE2315)</f>
        <v/>
      </c>
      <c r="I2315">
        <f>IF(ISBLANK('ENGAGEMENTS 2026'!B2315),"",'ENGAGEMENTS 2026'!G2315)</f>
        <v/>
      </c>
      <c r="J2315" s="275">
        <f>IF(ISBLANK('ENGAGEMENTS 2026'!B2315),"",IF(AND(OR($E2315="INFRUCTUEUX",$E2315="ANNULE"),$C2315="AOO-M"),'ENGAGEMENTS 2026'!O2315,IF($H2315="EN COURS DE PREENGAGEMENT",'ENGAGEMENTS 2026'!N2315,IF($H2315="PREENGAGE",IF($E2315="ATTRIBUE",'ENGAGEMENTS 2026'!AD2315,'ENGAGEMENTS 2026'!N2315),'ENGAGEMENTS 2026'!AD2315))))</f>
        <v/>
      </c>
      <c r="K2315" s="604">
        <f>IF(ISBLANK('ENGAGEMENTS 2026'!V2315),"",'ENGAGEMENTS 2026'!V2315)</f>
        <v/>
      </c>
      <c r="L2315" s="276">
        <f>IF($K2315="","",TODAY()-$K2315)</f>
        <v/>
      </c>
      <c r="M2315">
        <f>IF($A2315="","",IF($H2315="ENGAGE","Engagé",IF(AND($H2315="NON ENGAGE",OR($I2315="INFRUCTUEUX",$I2315="ANNULE")),"Clôturé sans suite","En cours")))</f>
        <v/>
      </c>
      <c r="N2315">
        <f>IF(ISBLANK('ENGAGEMENTS 2026'!B2315),"",'ENGAGEMENTS 2026'!K2315)</f>
        <v/>
      </c>
      <c r="O2315">
        <f>IF(ISBLANK('ENGAGEMENTS 2026'!B2315),"",'ENGAGEMENTS 2026'!L2315)</f>
        <v/>
      </c>
      <c r="P2315">
        <f>IF(ISBLANK('ENGAGEMENTS 2026'!B2315),"",'ENGAGEMENTS 2026'!J2315)</f>
        <v/>
      </c>
      <c r="Q2315">
        <f>IF($A2315="","",IF(OR($E2315="INFRUCTUEUX",$E2315="ANNULE"),$A2315&amp;"|"&amp;(COUNTIFS($A$2:$A2315,$A2315,$E$2:$E2315,"INFRUCTUEUX")+COUNTIFS($A$2:$A2315,$A2315,$E$2:$E2315,"ANNULE")),""))</f>
        <v/>
      </c>
    </row>
    <row r="2316">
      <c r="A2316">
        <f>IF(ISBLANK('ENGAGEMENTS 2026'!B2316),"",IF('ENGAGEMENTS 2026'!B2316="DTSI","DCT",'ENGAGEMENTS 2026'!B2316))</f>
        <v/>
      </c>
      <c r="B2316">
        <f>IF(ISBLANK('ENGAGEMENTS 2026'!B2316),"",'ENGAGEMENTS 2026'!C2316)</f>
        <v/>
      </c>
      <c r="C2316">
        <f>IF(ISBLANK('ENGAGEMENTS 2026'!B2316),"",'ENGAGEMENTS 2026'!D2316)</f>
        <v/>
      </c>
      <c r="D2316">
        <f>IF(ISBLANK('ENGAGEMENTS 2026'!B2316),"",'ENGAGEMENTS 2026'!F2316)</f>
        <v/>
      </c>
      <c r="E2316">
        <f>IF(ISBLANK('ENGAGEMENTS 2026'!B2316),"",'ENGAGEMENTS 2026'!H2316)</f>
        <v/>
      </c>
      <c r="F2316">
        <f>IF(ISBLANK('ENGAGEMENTS 2026'!B2316),"",'ENGAGEMENTS 2026'!I2316)</f>
        <v/>
      </c>
      <c r="G2316">
        <f>IF(ISBLANK('ENGAGEMENTS 2026'!B2316),"",'ENGAGEMENTS 2026'!L2316)</f>
        <v/>
      </c>
      <c r="H2316">
        <f>IF(ISBLANK('ENGAGEMENTS 2026'!B2316),"",'ENGAGEMENTS 2026'!AE2316)</f>
        <v/>
      </c>
      <c r="I2316">
        <f>IF(ISBLANK('ENGAGEMENTS 2026'!B2316),"",'ENGAGEMENTS 2026'!G2316)</f>
        <v/>
      </c>
      <c r="J2316" s="275">
        <f>IF(ISBLANK('ENGAGEMENTS 2026'!B2316),"",IF(AND(OR($E2316="INFRUCTUEUX",$E2316="ANNULE"),$C2316="AOO-M"),'ENGAGEMENTS 2026'!O2316,IF($H2316="EN COURS DE PREENGAGEMENT",'ENGAGEMENTS 2026'!N2316,IF($H2316="PREENGAGE",IF($E2316="ATTRIBUE",'ENGAGEMENTS 2026'!AD2316,'ENGAGEMENTS 2026'!N2316),'ENGAGEMENTS 2026'!AD2316))))</f>
        <v/>
      </c>
      <c r="K2316" s="604">
        <f>IF(ISBLANK('ENGAGEMENTS 2026'!V2316),"",'ENGAGEMENTS 2026'!V2316)</f>
        <v/>
      </c>
      <c r="L2316" s="276">
        <f>IF($K2316="","",TODAY()-$K2316)</f>
        <v/>
      </c>
      <c r="M2316">
        <f>IF($A2316="","",IF($H2316="ENGAGE","Engagé",IF(AND($H2316="NON ENGAGE",OR($I2316="INFRUCTUEUX",$I2316="ANNULE")),"Clôturé sans suite","En cours")))</f>
        <v/>
      </c>
      <c r="N2316">
        <f>IF(ISBLANK('ENGAGEMENTS 2026'!B2316),"",'ENGAGEMENTS 2026'!K2316)</f>
        <v/>
      </c>
      <c r="O2316">
        <f>IF(ISBLANK('ENGAGEMENTS 2026'!B2316),"",'ENGAGEMENTS 2026'!L2316)</f>
        <v/>
      </c>
      <c r="P2316">
        <f>IF(ISBLANK('ENGAGEMENTS 2026'!B2316),"",'ENGAGEMENTS 2026'!J2316)</f>
        <v/>
      </c>
      <c r="Q2316">
        <f>IF($A2316="","",IF(OR($E2316="INFRUCTUEUX",$E2316="ANNULE"),$A2316&amp;"|"&amp;(COUNTIFS($A$2:$A2316,$A2316,$E$2:$E2316,"INFRUCTUEUX")+COUNTIFS($A$2:$A2316,$A2316,$E$2:$E2316,"ANNULE")),""))</f>
        <v/>
      </c>
    </row>
    <row r="2317">
      <c r="A2317">
        <f>IF(ISBLANK('ENGAGEMENTS 2026'!B2317),"",IF('ENGAGEMENTS 2026'!B2317="DTSI","DCT",'ENGAGEMENTS 2026'!B2317))</f>
        <v/>
      </c>
      <c r="B2317">
        <f>IF(ISBLANK('ENGAGEMENTS 2026'!B2317),"",'ENGAGEMENTS 2026'!C2317)</f>
        <v/>
      </c>
      <c r="C2317">
        <f>IF(ISBLANK('ENGAGEMENTS 2026'!B2317),"",'ENGAGEMENTS 2026'!D2317)</f>
        <v/>
      </c>
      <c r="D2317">
        <f>IF(ISBLANK('ENGAGEMENTS 2026'!B2317),"",'ENGAGEMENTS 2026'!F2317)</f>
        <v/>
      </c>
      <c r="E2317">
        <f>IF(ISBLANK('ENGAGEMENTS 2026'!B2317),"",'ENGAGEMENTS 2026'!H2317)</f>
        <v/>
      </c>
      <c r="F2317">
        <f>IF(ISBLANK('ENGAGEMENTS 2026'!B2317),"",'ENGAGEMENTS 2026'!I2317)</f>
        <v/>
      </c>
      <c r="G2317">
        <f>IF(ISBLANK('ENGAGEMENTS 2026'!B2317),"",'ENGAGEMENTS 2026'!L2317)</f>
        <v/>
      </c>
      <c r="H2317">
        <f>IF(ISBLANK('ENGAGEMENTS 2026'!B2317),"",'ENGAGEMENTS 2026'!AE2317)</f>
        <v/>
      </c>
      <c r="I2317">
        <f>IF(ISBLANK('ENGAGEMENTS 2026'!B2317),"",'ENGAGEMENTS 2026'!G2317)</f>
        <v/>
      </c>
      <c r="J2317" s="275">
        <f>IF(ISBLANK('ENGAGEMENTS 2026'!B2317),"",IF(AND(OR($E2317="INFRUCTUEUX",$E2317="ANNULE"),$C2317="AOO-M"),'ENGAGEMENTS 2026'!O2317,IF($H2317="EN COURS DE PREENGAGEMENT",'ENGAGEMENTS 2026'!N2317,IF($H2317="PREENGAGE",IF($E2317="ATTRIBUE",'ENGAGEMENTS 2026'!AD2317,'ENGAGEMENTS 2026'!N2317),'ENGAGEMENTS 2026'!AD2317))))</f>
        <v/>
      </c>
      <c r="K2317" s="604">
        <f>IF(ISBLANK('ENGAGEMENTS 2026'!V2317),"",'ENGAGEMENTS 2026'!V2317)</f>
        <v/>
      </c>
      <c r="L2317" s="276">
        <f>IF($K2317="","",TODAY()-$K2317)</f>
        <v/>
      </c>
      <c r="M2317">
        <f>IF($A2317="","",IF($H2317="ENGAGE","Engagé",IF(AND($H2317="NON ENGAGE",OR($I2317="INFRUCTUEUX",$I2317="ANNULE")),"Clôturé sans suite","En cours")))</f>
        <v/>
      </c>
      <c r="N2317">
        <f>IF(ISBLANK('ENGAGEMENTS 2026'!B2317),"",'ENGAGEMENTS 2026'!K2317)</f>
        <v/>
      </c>
      <c r="O2317">
        <f>IF(ISBLANK('ENGAGEMENTS 2026'!B2317),"",'ENGAGEMENTS 2026'!L2317)</f>
        <v/>
      </c>
      <c r="P2317">
        <f>IF(ISBLANK('ENGAGEMENTS 2026'!B2317),"",'ENGAGEMENTS 2026'!J2317)</f>
        <v/>
      </c>
      <c r="Q2317">
        <f>IF($A2317="","",IF(OR($E2317="INFRUCTUEUX",$E2317="ANNULE"),$A2317&amp;"|"&amp;(COUNTIFS($A$2:$A2317,$A2317,$E$2:$E2317,"INFRUCTUEUX")+COUNTIFS($A$2:$A2317,$A2317,$E$2:$E2317,"ANNULE")),""))</f>
        <v/>
      </c>
    </row>
    <row r="2318">
      <c r="A2318">
        <f>IF(ISBLANK('ENGAGEMENTS 2026'!B2318),"",IF('ENGAGEMENTS 2026'!B2318="DTSI","DCT",'ENGAGEMENTS 2026'!B2318))</f>
        <v/>
      </c>
      <c r="B2318">
        <f>IF(ISBLANK('ENGAGEMENTS 2026'!B2318),"",'ENGAGEMENTS 2026'!C2318)</f>
        <v/>
      </c>
      <c r="C2318">
        <f>IF(ISBLANK('ENGAGEMENTS 2026'!B2318),"",'ENGAGEMENTS 2026'!D2318)</f>
        <v/>
      </c>
      <c r="D2318">
        <f>IF(ISBLANK('ENGAGEMENTS 2026'!B2318),"",'ENGAGEMENTS 2026'!F2318)</f>
        <v/>
      </c>
      <c r="E2318">
        <f>IF(ISBLANK('ENGAGEMENTS 2026'!B2318),"",'ENGAGEMENTS 2026'!H2318)</f>
        <v/>
      </c>
      <c r="F2318">
        <f>IF(ISBLANK('ENGAGEMENTS 2026'!B2318),"",'ENGAGEMENTS 2026'!I2318)</f>
        <v/>
      </c>
      <c r="G2318">
        <f>IF(ISBLANK('ENGAGEMENTS 2026'!B2318),"",'ENGAGEMENTS 2026'!L2318)</f>
        <v/>
      </c>
      <c r="H2318">
        <f>IF(ISBLANK('ENGAGEMENTS 2026'!B2318),"",'ENGAGEMENTS 2026'!AE2318)</f>
        <v/>
      </c>
      <c r="I2318">
        <f>IF(ISBLANK('ENGAGEMENTS 2026'!B2318),"",'ENGAGEMENTS 2026'!G2318)</f>
        <v/>
      </c>
      <c r="J2318" s="275">
        <f>IF(ISBLANK('ENGAGEMENTS 2026'!B2318),"",IF(AND(OR($E2318="INFRUCTUEUX",$E2318="ANNULE"),$C2318="AOO-M"),'ENGAGEMENTS 2026'!O2318,IF($H2318="EN COURS DE PREENGAGEMENT",'ENGAGEMENTS 2026'!N2318,IF($H2318="PREENGAGE",IF($E2318="ATTRIBUE",'ENGAGEMENTS 2026'!AD2318,'ENGAGEMENTS 2026'!N2318),'ENGAGEMENTS 2026'!AD2318))))</f>
        <v/>
      </c>
      <c r="K2318" s="604">
        <f>IF(ISBLANK('ENGAGEMENTS 2026'!V2318),"",'ENGAGEMENTS 2026'!V2318)</f>
        <v/>
      </c>
      <c r="L2318" s="276">
        <f>IF($K2318="","",TODAY()-$K2318)</f>
        <v/>
      </c>
      <c r="M2318">
        <f>IF($A2318="","",IF($H2318="ENGAGE","Engagé",IF(AND($H2318="NON ENGAGE",OR($I2318="INFRUCTUEUX",$I2318="ANNULE")),"Clôturé sans suite","En cours")))</f>
        <v/>
      </c>
      <c r="N2318">
        <f>IF(ISBLANK('ENGAGEMENTS 2026'!B2318),"",'ENGAGEMENTS 2026'!K2318)</f>
        <v/>
      </c>
      <c r="O2318">
        <f>IF(ISBLANK('ENGAGEMENTS 2026'!B2318),"",'ENGAGEMENTS 2026'!L2318)</f>
        <v/>
      </c>
      <c r="P2318">
        <f>IF(ISBLANK('ENGAGEMENTS 2026'!B2318),"",'ENGAGEMENTS 2026'!J2318)</f>
        <v/>
      </c>
      <c r="Q2318">
        <f>IF($A2318="","",IF(OR($E2318="INFRUCTUEUX",$E2318="ANNULE"),$A2318&amp;"|"&amp;(COUNTIFS($A$2:$A2318,$A2318,$E$2:$E2318,"INFRUCTUEUX")+COUNTIFS($A$2:$A2318,$A2318,$E$2:$E2318,"ANNULE")),""))</f>
        <v/>
      </c>
    </row>
    <row r="2319">
      <c r="A2319">
        <f>IF(ISBLANK('ENGAGEMENTS 2026'!B2319),"",IF('ENGAGEMENTS 2026'!B2319="DTSI","DCT",'ENGAGEMENTS 2026'!B2319))</f>
        <v/>
      </c>
      <c r="B2319">
        <f>IF(ISBLANK('ENGAGEMENTS 2026'!B2319),"",'ENGAGEMENTS 2026'!C2319)</f>
        <v/>
      </c>
      <c r="C2319">
        <f>IF(ISBLANK('ENGAGEMENTS 2026'!B2319),"",'ENGAGEMENTS 2026'!D2319)</f>
        <v/>
      </c>
      <c r="D2319">
        <f>IF(ISBLANK('ENGAGEMENTS 2026'!B2319),"",'ENGAGEMENTS 2026'!F2319)</f>
        <v/>
      </c>
      <c r="E2319">
        <f>IF(ISBLANK('ENGAGEMENTS 2026'!B2319),"",'ENGAGEMENTS 2026'!H2319)</f>
        <v/>
      </c>
      <c r="F2319">
        <f>IF(ISBLANK('ENGAGEMENTS 2026'!B2319),"",'ENGAGEMENTS 2026'!I2319)</f>
        <v/>
      </c>
      <c r="G2319">
        <f>IF(ISBLANK('ENGAGEMENTS 2026'!B2319),"",'ENGAGEMENTS 2026'!L2319)</f>
        <v/>
      </c>
      <c r="H2319">
        <f>IF(ISBLANK('ENGAGEMENTS 2026'!B2319),"",'ENGAGEMENTS 2026'!AE2319)</f>
        <v/>
      </c>
      <c r="I2319">
        <f>IF(ISBLANK('ENGAGEMENTS 2026'!B2319),"",'ENGAGEMENTS 2026'!G2319)</f>
        <v/>
      </c>
      <c r="J2319" s="275">
        <f>IF(ISBLANK('ENGAGEMENTS 2026'!B2319),"",IF(AND(OR($E2319="INFRUCTUEUX",$E2319="ANNULE"),$C2319="AOO-M"),'ENGAGEMENTS 2026'!O2319,IF($H2319="EN COURS DE PREENGAGEMENT",'ENGAGEMENTS 2026'!N2319,IF($H2319="PREENGAGE",IF($E2319="ATTRIBUE",'ENGAGEMENTS 2026'!AD2319,'ENGAGEMENTS 2026'!N2319),'ENGAGEMENTS 2026'!AD2319))))</f>
        <v/>
      </c>
      <c r="K2319" s="604">
        <f>IF(ISBLANK('ENGAGEMENTS 2026'!V2319),"",'ENGAGEMENTS 2026'!V2319)</f>
        <v/>
      </c>
      <c r="L2319" s="276">
        <f>IF($K2319="","",TODAY()-$K2319)</f>
        <v/>
      </c>
      <c r="M2319">
        <f>IF($A2319="","",IF($H2319="ENGAGE","Engagé",IF(AND($H2319="NON ENGAGE",OR($I2319="INFRUCTUEUX",$I2319="ANNULE")),"Clôturé sans suite","En cours")))</f>
        <v/>
      </c>
      <c r="N2319">
        <f>IF(ISBLANK('ENGAGEMENTS 2026'!B2319),"",'ENGAGEMENTS 2026'!K2319)</f>
        <v/>
      </c>
      <c r="O2319">
        <f>IF(ISBLANK('ENGAGEMENTS 2026'!B2319),"",'ENGAGEMENTS 2026'!L2319)</f>
        <v/>
      </c>
      <c r="P2319">
        <f>IF(ISBLANK('ENGAGEMENTS 2026'!B2319),"",'ENGAGEMENTS 2026'!J2319)</f>
        <v/>
      </c>
      <c r="Q2319">
        <f>IF($A2319="","",IF(OR($E2319="INFRUCTUEUX",$E2319="ANNULE"),$A2319&amp;"|"&amp;(COUNTIFS($A$2:$A2319,$A2319,$E$2:$E2319,"INFRUCTUEUX")+COUNTIFS($A$2:$A2319,$A2319,$E$2:$E2319,"ANNULE")),""))</f>
        <v/>
      </c>
    </row>
    <row r="2320">
      <c r="A2320">
        <f>IF(ISBLANK('ENGAGEMENTS 2026'!B2320),"",IF('ENGAGEMENTS 2026'!B2320="DTSI","DCT",'ENGAGEMENTS 2026'!B2320))</f>
        <v/>
      </c>
      <c r="B2320">
        <f>IF(ISBLANK('ENGAGEMENTS 2026'!B2320),"",'ENGAGEMENTS 2026'!C2320)</f>
        <v/>
      </c>
      <c r="C2320">
        <f>IF(ISBLANK('ENGAGEMENTS 2026'!B2320),"",'ENGAGEMENTS 2026'!D2320)</f>
        <v/>
      </c>
      <c r="D2320">
        <f>IF(ISBLANK('ENGAGEMENTS 2026'!B2320),"",'ENGAGEMENTS 2026'!F2320)</f>
        <v/>
      </c>
      <c r="E2320">
        <f>IF(ISBLANK('ENGAGEMENTS 2026'!B2320),"",'ENGAGEMENTS 2026'!H2320)</f>
        <v/>
      </c>
      <c r="F2320">
        <f>IF(ISBLANK('ENGAGEMENTS 2026'!B2320),"",'ENGAGEMENTS 2026'!I2320)</f>
        <v/>
      </c>
      <c r="G2320">
        <f>IF(ISBLANK('ENGAGEMENTS 2026'!B2320),"",'ENGAGEMENTS 2026'!L2320)</f>
        <v/>
      </c>
      <c r="H2320">
        <f>IF(ISBLANK('ENGAGEMENTS 2026'!B2320),"",'ENGAGEMENTS 2026'!AE2320)</f>
        <v/>
      </c>
      <c r="I2320">
        <f>IF(ISBLANK('ENGAGEMENTS 2026'!B2320),"",'ENGAGEMENTS 2026'!G2320)</f>
        <v/>
      </c>
      <c r="J2320" s="275">
        <f>IF(ISBLANK('ENGAGEMENTS 2026'!B2320),"",IF(AND(OR($E2320="INFRUCTUEUX",$E2320="ANNULE"),$C2320="AOO-M"),'ENGAGEMENTS 2026'!O2320,IF($H2320="EN COURS DE PREENGAGEMENT",'ENGAGEMENTS 2026'!N2320,IF($H2320="PREENGAGE",IF($E2320="ATTRIBUE",'ENGAGEMENTS 2026'!AD2320,'ENGAGEMENTS 2026'!N2320),'ENGAGEMENTS 2026'!AD2320))))</f>
        <v/>
      </c>
      <c r="K2320" s="604">
        <f>IF(ISBLANK('ENGAGEMENTS 2026'!V2320),"",'ENGAGEMENTS 2026'!V2320)</f>
        <v/>
      </c>
      <c r="L2320" s="276">
        <f>IF($K2320="","",TODAY()-$K2320)</f>
        <v/>
      </c>
      <c r="M2320">
        <f>IF($A2320="","",IF($H2320="ENGAGE","Engagé",IF(AND($H2320="NON ENGAGE",OR($I2320="INFRUCTUEUX",$I2320="ANNULE")),"Clôturé sans suite","En cours")))</f>
        <v/>
      </c>
      <c r="N2320">
        <f>IF(ISBLANK('ENGAGEMENTS 2026'!B2320),"",'ENGAGEMENTS 2026'!K2320)</f>
        <v/>
      </c>
      <c r="O2320">
        <f>IF(ISBLANK('ENGAGEMENTS 2026'!B2320),"",'ENGAGEMENTS 2026'!L2320)</f>
        <v/>
      </c>
      <c r="P2320">
        <f>IF(ISBLANK('ENGAGEMENTS 2026'!B2320),"",'ENGAGEMENTS 2026'!J2320)</f>
        <v/>
      </c>
      <c r="Q2320">
        <f>IF($A2320="","",IF(OR($E2320="INFRUCTUEUX",$E2320="ANNULE"),$A2320&amp;"|"&amp;(COUNTIFS($A$2:$A2320,$A2320,$E$2:$E2320,"INFRUCTUEUX")+COUNTIFS($A$2:$A2320,$A2320,$E$2:$E2320,"ANNULE")),""))</f>
        <v/>
      </c>
    </row>
    <row r="2321">
      <c r="A2321">
        <f>IF(ISBLANK('ENGAGEMENTS 2026'!B2321),"",IF('ENGAGEMENTS 2026'!B2321="DTSI","DCT",'ENGAGEMENTS 2026'!B2321))</f>
        <v/>
      </c>
      <c r="B2321">
        <f>IF(ISBLANK('ENGAGEMENTS 2026'!B2321),"",'ENGAGEMENTS 2026'!C2321)</f>
        <v/>
      </c>
      <c r="C2321">
        <f>IF(ISBLANK('ENGAGEMENTS 2026'!B2321),"",'ENGAGEMENTS 2026'!D2321)</f>
        <v/>
      </c>
      <c r="D2321">
        <f>IF(ISBLANK('ENGAGEMENTS 2026'!B2321),"",'ENGAGEMENTS 2026'!F2321)</f>
        <v/>
      </c>
      <c r="E2321">
        <f>IF(ISBLANK('ENGAGEMENTS 2026'!B2321),"",'ENGAGEMENTS 2026'!H2321)</f>
        <v/>
      </c>
      <c r="F2321">
        <f>IF(ISBLANK('ENGAGEMENTS 2026'!B2321),"",'ENGAGEMENTS 2026'!I2321)</f>
        <v/>
      </c>
      <c r="G2321">
        <f>IF(ISBLANK('ENGAGEMENTS 2026'!B2321),"",'ENGAGEMENTS 2026'!L2321)</f>
        <v/>
      </c>
      <c r="H2321">
        <f>IF(ISBLANK('ENGAGEMENTS 2026'!B2321),"",'ENGAGEMENTS 2026'!AE2321)</f>
        <v/>
      </c>
      <c r="I2321">
        <f>IF(ISBLANK('ENGAGEMENTS 2026'!B2321),"",'ENGAGEMENTS 2026'!G2321)</f>
        <v/>
      </c>
      <c r="J2321" s="275">
        <f>IF(ISBLANK('ENGAGEMENTS 2026'!B2321),"",IF(AND(OR($E2321="INFRUCTUEUX",$E2321="ANNULE"),$C2321="AOO-M"),'ENGAGEMENTS 2026'!O2321,IF($H2321="EN COURS DE PREENGAGEMENT",'ENGAGEMENTS 2026'!N2321,IF($H2321="PREENGAGE",IF($E2321="ATTRIBUE",'ENGAGEMENTS 2026'!AD2321,'ENGAGEMENTS 2026'!N2321),'ENGAGEMENTS 2026'!AD2321))))</f>
        <v/>
      </c>
      <c r="K2321" s="604">
        <f>IF(ISBLANK('ENGAGEMENTS 2026'!V2321),"",'ENGAGEMENTS 2026'!V2321)</f>
        <v/>
      </c>
      <c r="L2321" s="276">
        <f>IF($K2321="","",TODAY()-$K2321)</f>
        <v/>
      </c>
      <c r="M2321">
        <f>IF($A2321="","",IF($H2321="ENGAGE","Engagé",IF(AND($H2321="NON ENGAGE",OR($I2321="INFRUCTUEUX",$I2321="ANNULE")),"Clôturé sans suite","En cours")))</f>
        <v/>
      </c>
      <c r="N2321">
        <f>IF(ISBLANK('ENGAGEMENTS 2026'!B2321),"",'ENGAGEMENTS 2026'!K2321)</f>
        <v/>
      </c>
      <c r="O2321">
        <f>IF(ISBLANK('ENGAGEMENTS 2026'!B2321),"",'ENGAGEMENTS 2026'!L2321)</f>
        <v/>
      </c>
      <c r="P2321">
        <f>IF(ISBLANK('ENGAGEMENTS 2026'!B2321),"",'ENGAGEMENTS 2026'!J2321)</f>
        <v/>
      </c>
      <c r="Q2321">
        <f>IF($A2321="","",IF(OR($E2321="INFRUCTUEUX",$E2321="ANNULE"),$A2321&amp;"|"&amp;(COUNTIFS($A$2:$A2321,$A2321,$E$2:$E2321,"INFRUCTUEUX")+COUNTIFS($A$2:$A2321,$A2321,$E$2:$E2321,"ANNULE")),""))</f>
        <v/>
      </c>
    </row>
    <row r="2322">
      <c r="A2322">
        <f>IF(ISBLANK('ENGAGEMENTS 2026'!B2322),"",IF('ENGAGEMENTS 2026'!B2322="DTSI","DCT",'ENGAGEMENTS 2026'!B2322))</f>
        <v/>
      </c>
      <c r="B2322">
        <f>IF(ISBLANK('ENGAGEMENTS 2026'!B2322),"",'ENGAGEMENTS 2026'!C2322)</f>
        <v/>
      </c>
      <c r="C2322">
        <f>IF(ISBLANK('ENGAGEMENTS 2026'!B2322),"",'ENGAGEMENTS 2026'!D2322)</f>
        <v/>
      </c>
      <c r="D2322">
        <f>IF(ISBLANK('ENGAGEMENTS 2026'!B2322),"",'ENGAGEMENTS 2026'!F2322)</f>
        <v/>
      </c>
      <c r="E2322">
        <f>IF(ISBLANK('ENGAGEMENTS 2026'!B2322),"",'ENGAGEMENTS 2026'!H2322)</f>
        <v/>
      </c>
      <c r="F2322">
        <f>IF(ISBLANK('ENGAGEMENTS 2026'!B2322),"",'ENGAGEMENTS 2026'!I2322)</f>
        <v/>
      </c>
      <c r="G2322">
        <f>IF(ISBLANK('ENGAGEMENTS 2026'!B2322),"",'ENGAGEMENTS 2026'!L2322)</f>
        <v/>
      </c>
      <c r="H2322">
        <f>IF(ISBLANK('ENGAGEMENTS 2026'!B2322),"",'ENGAGEMENTS 2026'!AE2322)</f>
        <v/>
      </c>
      <c r="I2322">
        <f>IF(ISBLANK('ENGAGEMENTS 2026'!B2322),"",'ENGAGEMENTS 2026'!G2322)</f>
        <v/>
      </c>
      <c r="J2322" s="275">
        <f>IF(ISBLANK('ENGAGEMENTS 2026'!B2322),"",IF(AND(OR($E2322="INFRUCTUEUX",$E2322="ANNULE"),$C2322="AOO-M"),'ENGAGEMENTS 2026'!O2322,IF($H2322="EN COURS DE PREENGAGEMENT",'ENGAGEMENTS 2026'!N2322,IF($H2322="PREENGAGE",IF($E2322="ATTRIBUE",'ENGAGEMENTS 2026'!AD2322,'ENGAGEMENTS 2026'!N2322),'ENGAGEMENTS 2026'!AD2322))))</f>
        <v/>
      </c>
      <c r="K2322" s="604">
        <f>IF(ISBLANK('ENGAGEMENTS 2026'!V2322),"",'ENGAGEMENTS 2026'!V2322)</f>
        <v/>
      </c>
      <c r="L2322" s="276">
        <f>IF($K2322="","",TODAY()-$K2322)</f>
        <v/>
      </c>
      <c r="M2322">
        <f>IF($A2322="","",IF($H2322="ENGAGE","Engagé",IF(AND($H2322="NON ENGAGE",OR($I2322="INFRUCTUEUX",$I2322="ANNULE")),"Clôturé sans suite","En cours")))</f>
        <v/>
      </c>
      <c r="N2322">
        <f>IF(ISBLANK('ENGAGEMENTS 2026'!B2322),"",'ENGAGEMENTS 2026'!K2322)</f>
        <v/>
      </c>
      <c r="O2322">
        <f>IF(ISBLANK('ENGAGEMENTS 2026'!B2322),"",'ENGAGEMENTS 2026'!L2322)</f>
        <v/>
      </c>
      <c r="P2322">
        <f>IF(ISBLANK('ENGAGEMENTS 2026'!B2322),"",'ENGAGEMENTS 2026'!J2322)</f>
        <v/>
      </c>
      <c r="Q2322">
        <f>IF($A2322="","",IF(OR($E2322="INFRUCTUEUX",$E2322="ANNULE"),$A2322&amp;"|"&amp;(COUNTIFS($A$2:$A2322,$A2322,$E$2:$E2322,"INFRUCTUEUX")+COUNTIFS($A$2:$A2322,$A2322,$E$2:$E2322,"ANNULE")),""))</f>
        <v/>
      </c>
    </row>
    <row r="2323">
      <c r="A2323">
        <f>IF(ISBLANK('ENGAGEMENTS 2026'!B2323),"",IF('ENGAGEMENTS 2026'!B2323="DTSI","DCT",'ENGAGEMENTS 2026'!B2323))</f>
        <v/>
      </c>
      <c r="B2323">
        <f>IF(ISBLANK('ENGAGEMENTS 2026'!B2323),"",'ENGAGEMENTS 2026'!C2323)</f>
        <v/>
      </c>
      <c r="C2323">
        <f>IF(ISBLANK('ENGAGEMENTS 2026'!B2323),"",'ENGAGEMENTS 2026'!D2323)</f>
        <v/>
      </c>
      <c r="D2323">
        <f>IF(ISBLANK('ENGAGEMENTS 2026'!B2323),"",'ENGAGEMENTS 2026'!F2323)</f>
        <v/>
      </c>
      <c r="E2323">
        <f>IF(ISBLANK('ENGAGEMENTS 2026'!B2323),"",'ENGAGEMENTS 2026'!H2323)</f>
        <v/>
      </c>
      <c r="F2323">
        <f>IF(ISBLANK('ENGAGEMENTS 2026'!B2323),"",'ENGAGEMENTS 2026'!I2323)</f>
        <v/>
      </c>
      <c r="G2323">
        <f>IF(ISBLANK('ENGAGEMENTS 2026'!B2323),"",'ENGAGEMENTS 2026'!L2323)</f>
        <v/>
      </c>
      <c r="H2323">
        <f>IF(ISBLANK('ENGAGEMENTS 2026'!B2323),"",'ENGAGEMENTS 2026'!AE2323)</f>
        <v/>
      </c>
      <c r="I2323">
        <f>IF(ISBLANK('ENGAGEMENTS 2026'!B2323),"",'ENGAGEMENTS 2026'!G2323)</f>
        <v/>
      </c>
      <c r="J2323" s="275">
        <f>IF(ISBLANK('ENGAGEMENTS 2026'!B2323),"",IF(AND(OR($E2323="INFRUCTUEUX",$E2323="ANNULE"),$C2323="AOO-M"),'ENGAGEMENTS 2026'!O2323,IF($H2323="EN COURS DE PREENGAGEMENT",'ENGAGEMENTS 2026'!N2323,IF($H2323="PREENGAGE",IF($E2323="ATTRIBUE",'ENGAGEMENTS 2026'!AD2323,'ENGAGEMENTS 2026'!N2323),'ENGAGEMENTS 2026'!AD2323))))</f>
        <v/>
      </c>
      <c r="K2323" s="604">
        <f>IF(ISBLANK('ENGAGEMENTS 2026'!V2323),"",'ENGAGEMENTS 2026'!V2323)</f>
        <v/>
      </c>
      <c r="L2323" s="276">
        <f>IF($K2323="","",TODAY()-$K2323)</f>
        <v/>
      </c>
      <c r="M2323">
        <f>IF($A2323="","",IF($H2323="ENGAGE","Engagé",IF(AND($H2323="NON ENGAGE",OR($I2323="INFRUCTUEUX",$I2323="ANNULE")),"Clôturé sans suite","En cours")))</f>
        <v/>
      </c>
      <c r="N2323">
        <f>IF(ISBLANK('ENGAGEMENTS 2026'!B2323),"",'ENGAGEMENTS 2026'!K2323)</f>
        <v/>
      </c>
      <c r="O2323">
        <f>IF(ISBLANK('ENGAGEMENTS 2026'!B2323),"",'ENGAGEMENTS 2026'!L2323)</f>
        <v/>
      </c>
      <c r="P2323">
        <f>IF(ISBLANK('ENGAGEMENTS 2026'!B2323),"",'ENGAGEMENTS 2026'!J2323)</f>
        <v/>
      </c>
      <c r="Q2323">
        <f>IF($A2323="","",IF(OR($E2323="INFRUCTUEUX",$E2323="ANNULE"),$A2323&amp;"|"&amp;(COUNTIFS($A$2:$A2323,$A2323,$E$2:$E2323,"INFRUCTUEUX")+COUNTIFS($A$2:$A2323,$A2323,$E$2:$E2323,"ANNULE")),""))</f>
        <v/>
      </c>
    </row>
    <row r="2324">
      <c r="A2324">
        <f>IF(ISBLANK('ENGAGEMENTS 2026'!B2324),"",IF('ENGAGEMENTS 2026'!B2324="DTSI","DCT",'ENGAGEMENTS 2026'!B2324))</f>
        <v/>
      </c>
      <c r="B2324">
        <f>IF(ISBLANK('ENGAGEMENTS 2026'!B2324),"",'ENGAGEMENTS 2026'!C2324)</f>
        <v/>
      </c>
      <c r="C2324">
        <f>IF(ISBLANK('ENGAGEMENTS 2026'!B2324),"",'ENGAGEMENTS 2026'!D2324)</f>
        <v/>
      </c>
      <c r="D2324">
        <f>IF(ISBLANK('ENGAGEMENTS 2026'!B2324),"",'ENGAGEMENTS 2026'!F2324)</f>
        <v/>
      </c>
      <c r="E2324">
        <f>IF(ISBLANK('ENGAGEMENTS 2026'!B2324),"",'ENGAGEMENTS 2026'!H2324)</f>
        <v/>
      </c>
      <c r="F2324">
        <f>IF(ISBLANK('ENGAGEMENTS 2026'!B2324),"",'ENGAGEMENTS 2026'!I2324)</f>
        <v/>
      </c>
      <c r="G2324">
        <f>IF(ISBLANK('ENGAGEMENTS 2026'!B2324),"",'ENGAGEMENTS 2026'!L2324)</f>
        <v/>
      </c>
      <c r="H2324">
        <f>IF(ISBLANK('ENGAGEMENTS 2026'!B2324),"",'ENGAGEMENTS 2026'!AE2324)</f>
        <v/>
      </c>
      <c r="I2324">
        <f>IF(ISBLANK('ENGAGEMENTS 2026'!B2324),"",'ENGAGEMENTS 2026'!G2324)</f>
        <v/>
      </c>
      <c r="J2324" s="275">
        <f>IF(ISBLANK('ENGAGEMENTS 2026'!B2324),"",IF(AND(OR($E2324="INFRUCTUEUX",$E2324="ANNULE"),$C2324="AOO-M"),'ENGAGEMENTS 2026'!O2324,IF($H2324="EN COURS DE PREENGAGEMENT",'ENGAGEMENTS 2026'!N2324,IF($H2324="PREENGAGE",IF($E2324="ATTRIBUE",'ENGAGEMENTS 2026'!AD2324,'ENGAGEMENTS 2026'!N2324),'ENGAGEMENTS 2026'!AD2324))))</f>
        <v/>
      </c>
      <c r="K2324" s="604">
        <f>IF(ISBLANK('ENGAGEMENTS 2026'!V2324),"",'ENGAGEMENTS 2026'!V2324)</f>
        <v/>
      </c>
      <c r="L2324" s="276">
        <f>IF($K2324="","",TODAY()-$K2324)</f>
        <v/>
      </c>
      <c r="M2324">
        <f>IF($A2324="","",IF($H2324="ENGAGE","Engagé",IF(AND($H2324="NON ENGAGE",OR($I2324="INFRUCTUEUX",$I2324="ANNULE")),"Clôturé sans suite","En cours")))</f>
        <v/>
      </c>
      <c r="N2324">
        <f>IF(ISBLANK('ENGAGEMENTS 2026'!B2324),"",'ENGAGEMENTS 2026'!K2324)</f>
        <v/>
      </c>
      <c r="O2324">
        <f>IF(ISBLANK('ENGAGEMENTS 2026'!B2324),"",'ENGAGEMENTS 2026'!L2324)</f>
        <v/>
      </c>
      <c r="P2324">
        <f>IF(ISBLANK('ENGAGEMENTS 2026'!B2324),"",'ENGAGEMENTS 2026'!J2324)</f>
        <v/>
      </c>
      <c r="Q2324">
        <f>IF($A2324="","",IF(OR($E2324="INFRUCTUEUX",$E2324="ANNULE"),$A2324&amp;"|"&amp;(COUNTIFS($A$2:$A2324,$A2324,$E$2:$E2324,"INFRUCTUEUX")+COUNTIFS($A$2:$A2324,$A2324,$E$2:$E2324,"ANNULE")),""))</f>
        <v/>
      </c>
    </row>
    <row r="2325">
      <c r="A2325">
        <f>IF(ISBLANK('ENGAGEMENTS 2026'!B2325),"",IF('ENGAGEMENTS 2026'!B2325="DTSI","DCT",'ENGAGEMENTS 2026'!B2325))</f>
        <v/>
      </c>
      <c r="B2325">
        <f>IF(ISBLANK('ENGAGEMENTS 2026'!B2325),"",'ENGAGEMENTS 2026'!C2325)</f>
        <v/>
      </c>
      <c r="C2325">
        <f>IF(ISBLANK('ENGAGEMENTS 2026'!B2325),"",'ENGAGEMENTS 2026'!D2325)</f>
        <v/>
      </c>
      <c r="D2325">
        <f>IF(ISBLANK('ENGAGEMENTS 2026'!B2325),"",'ENGAGEMENTS 2026'!F2325)</f>
        <v/>
      </c>
      <c r="E2325">
        <f>IF(ISBLANK('ENGAGEMENTS 2026'!B2325),"",'ENGAGEMENTS 2026'!H2325)</f>
        <v/>
      </c>
      <c r="F2325">
        <f>IF(ISBLANK('ENGAGEMENTS 2026'!B2325),"",'ENGAGEMENTS 2026'!I2325)</f>
        <v/>
      </c>
      <c r="G2325">
        <f>IF(ISBLANK('ENGAGEMENTS 2026'!B2325),"",'ENGAGEMENTS 2026'!L2325)</f>
        <v/>
      </c>
      <c r="H2325">
        <f>IF(ISBLANK('ENGAGEMENTS 2026'!B2325),"",'ENGAGEMENTS 2026'!AE2325)</f>
        <v/>
      </c>
      <c r="I2325">
        <f>IF(ISBLANK('ENGAGEMENTS 2026'!B2325),"",'ENGAGEMENTS 2026'!G2325)</f>
        <v/>
      </c>
      <c r="J2325" s="275">
        <f>IF(ISBLANK('ENGAGEMENTS 2026'!B2325),"",IF(AND(OR($E2325="INFRUCTUEUX",$E2325="ANNULE"),$C2325="AOO-M"),'ENGAGEMENTS 2026'!O2325,IF($H2325="EN COURS DE PREENGAGEMENT",'ENGAGEMENTS 2026'!N2325,IF($H2325="PREENGAGE",IF($E2325="ATTRIBUE",'ENGAGEMENTS 2026'!AD2325,'ENGAGEMENTS 2026'!N2325),'ENGAGEMENTS 2026'!AD2325))))</f>
        <v/>
      </c>
      <c r="K2325" s="604">
        <f>IF(ISBLANK('ENGAGEMENTS 2026'!V2325),"",'ENGAGEMENTS 2026'!V2325)</f>
        <v/>
      </c>
      <c r="L2325" s="276">
        <f>IF($K2325="","",TODAY()-$K2325)</f>
        <v/>
      </c>
      <c r="M2325">
        <f>IF($A2325="","",IF($H2325="ENGAGE","Engagé",IF(AND($H2325="NON ENGAGE",OR($I2325="INFRUCTUEUX",$I2325="ANNULE")),"Clôturé sans suite","En cours")))</f>
        <v/>
      </c>
      <c r="N2325">
        <f>IF(ISBLANK('ENGAGEMENTS 2026'!B2325),"",'ENGAGEMENTS 2026'!K2325)</f>
        <v/>
      </c>
      <c r="O2325">
        <f>IF(ISBLANK('ENGAGEMENTS 2026'!B2325),"",'ENGAGEMENTS 2026'!L2325)</f>
        <v/>
      </c>
      <c r="P2325">
        <f>IF(ISBLANK('ENGAGEMENTS 2026'!B2325),"",'ENGAGEMENTS 2026'!J2325)</f>
        <v/>
      </c>
      <c r="Q2325">
        <f>IF($A2325="","",IF(OR($E2325="INFRUCTUEUX",$E2325="ANNULE"),$A2325&amp;"|"&amp;(COUNTIFS($A$2:$A2325,$A2325,$E$2:$E2325,"INFRUCTUEUX")+COUNTIFS($A$2:$A2325,$A2325,$E$2:$E2325,"ANNULE")),""))</f>
        <v/>
      </c>
    </row>
    <row r="2326">
      <c r="A2326">
        <f>IF(ISBLANK('ENGAGEMENTS 2026'!B2326),"",IF('ENGAGEMENTS 2026'!B2326="DTSI","DCT",'ENGAGEMENTS 2026'!B2326))</f>
        <v/>
      </c>
      <c r="B2326">
        <f>IF(ISBLANK('ENGAGEMENTS 2026'!B2326),"",'ENGAGEMENTS 2026'!C2326)</f>
        <v/>
      </c>
      <c r="C2326">
        <f>IF(ISBLANK('ENGAGEMENTS 2026'!B2326),"",'ENGAGEMENTS 2026'!D2326)</f>
        <v/>
      </c>
      <c r="D2326">
        <f>IF(ISBLANK('ENGAGEMENTS 2026'!B2326),"",'ENGAGEMENTS 2026'!F2326)</f>
        <v/>
      </c>
      <c r="E2326">
        <f>IF(ISBLANK('ENGAGEMENTS 2026'!B2326),"",'ENGAGEMENTS 2026'!H2326)</f>
        <v/>
      </c>
      <c r="F2326">
        <f>IF(ISBLANK('ENGAGEMENTS 2026'!B2326),"",'ENGAGEMENTS 2026'!I2326)</f>
        <v/>
      </c>
      <c r="G2326">
        <f>IF(ISBLANK('ENGAGEMENTS 2026'!B2326),"",'ENGAGEMENTS 2026'!L2326)</f>
        <v/>
      </c>
      <c r="H2326">
        <f>IF(ISBLANK('ENGAGEMENTS 2026'!B2326),"",'ENGAGEMENTS 2026'!AE2326)</f>
        <v/>
      </c>
      <c r="I2326">
        <f>IF(ISBLANK('ENGAGEMENTS 2026'!B2326),"",'ENGAGEMENTS 2026'!G2326)</f>
        <v/>
      </c>
      <c r="J2326" s="275">
        <f>IF(ISBLANK('ENGAGEMENTS 2026'!B2326),"",IF(AND(OR($E2326="INFRUCTUEUX",$E2326="ANNULE"),$C2326="AOO-M"),'ENGAGEMENTS 2026'!O2326,IF($H2326="EN COURS DE PREENGAGEMENT",'ENGAGEMENTS 2026'!N2326,IF($H2326="PREENGAGE",IF($E2326="ATTRIBUE",'ENGAGEMENTS 2026'!AD2326,'ENGAGEMENTS 2026'!N2326),'ENGAGEMENTS 2026'!AD2326))))</f>
        <v/>
      </c>
      <c r="K2326" s="604">
        <f>IF(ISBLANK('ENGAGEMENTS 2026'!V2326),"",'ENGAGEMENTS 2026'!V2326)</f>
        <v/>
      </c>
      <c r="L2326" s="276">
        <f>IF($K2326="","",TODAY()-$K2326)</f>
        <v/>
      </c>
      <c r="M2326">
        <f>IF($A2326="","",IF($H2326="ENGAGE","Engagé",IF(AND($H2326="NON ENGAGE",OR($I2326="INFRUCTUEUX",$I2326="ANNULE")),"Clôturé sans suite","En cours")))</f>
        <v/>
      </c>
      <c r="N2326">
        <f>IF(ISBLANK('ENGAGEMENTS 2026'!B2326),"",'ENGAGEMENTS 2026'!K2326)</f>
        <v/>
      </c>
      <c r="O2326">
        <f>IF(ISBLANK('ENGAGEMENTS 2026'!B2326),"",'ENGAGEMENTS 2026'!L2326)</f>
        <v/>
      </c>
      <c r="P2326">
        <f>IF(ISBLANK('ENGAGEMENTS 2026'!B2326),"",'ENGAGEMENTS 2026'!J2326)</f>
        <v/>
      </c>
      <c r="Q2326">
        <f>IF($A2326="","",IF(OR($E2326="INFRUCTUEUX",$E2326="ANNULE"),$A2326&amp;"|"&amp;(COUNTIFS($A$2:$A2326,$A2326,$E$2:$E2326,"INFRUCTUEUX")+COUNTIFS($A$2:$A2326,$A2326,$E$2:$E2326,"ANNULE")),""))</f>
        <v/>
      </c>
    </row>
    <row r="2327">
      <c r="A2327">
        <f>IF(ISBLANK('ENGAGEMENTS 2026'!B2327),"",IF('ENGAGEMENTS 2026'!B2327="DTSI","DCT",'ENGAGEMENTS 2026'!B2327))</f>
        <v/>
      </c>
      <c r="B2327">
        <f>IF(ISBLANK('ENGAGEMENTS 2026'!B2327),"",'ENGAGEMENTS 2026'!C2327)</f>
        <v/>
      </c>
      <c r="C2327">
        <f>IF(ISBLANK('ENGAGEMENTS 2026'!B2327),"",'ENGAGEMENTS 2026'!D2327)</f>
        <v/>
      </c>
      <c r="D2327">
        <f>IF(ISBLANK('ENGAGEMENTS 2026'!B2327),"",'ENGAGEMENTS 2026'!F2327)</f>
        <v/>
      </c>
      <c r="E2327">
        <f>IF(ISBLANK('ENGAGEMENTS 2026'!B2327),"",'ENGAGEMENTS 2026'!H2327)</f>
        <v/>
      </c>
      <c r="F2327">
        <f>IF(ISBLANK('ENGAGEMENTS 2026'!B2327),"",'ENGAGEMENTS 2026'!I2327)</f>
        <v/>
      </c>
      <c r="G2327">
        <f>IF(ISBLANK('ENGAGEMENTS 2026'!B2327),"",'ENGAGEMENTS 2026'!L2327)</f>
        <v/>
      </c>
      <c r="H2327">
        <f>IF(ISBLANK('ENGAGEMENTS 2026'!B2327),"",'ENGAGEMENTS 2026'!AE2327)</f>
        <v/>
      </c>
      <c r="I2327">
        <f>IF(ISBLANK('ENGAGEMENTS 2026'!B2327),"",'ENGAGEMENTS 2026'!G2327)</f>
        <v/>
      </c>
      <c r="J2327" s="275">
        <f>IF(ISBLANK('ENGAGEMENTS 2026'!B2327),"",IF(AND(OR($E2327="INFRUCTUEUX",$E2327="ANNULE"),$C2327="AOO-M"),'ENGAGEMENTS 2026'!O2327,IF($H2327="EN COURS DE PREENGAGEMENT",'ENGAGEMENTS 2026'!N2327,IF($H2327="PREENGAGE",IF($E2327="ATTRIBUE",'ENGAGEMENTS 2026'!AD2327,'ENGAGEMENTS 2026'!N2327),'ENGAGEMENTS 2026'!AD2327))))</f>
        <v/>
      </c>
      <c r="K2327" s="604">
        <f>IF(ISBLANK('ENGAGEMENTS 2026'!V2327),"",'ENGAGEMENTS 2026'!V2327)</f>
        <v/>
      </c>
      <c r="L2327" s="276">
        <f>IF($K2327="","",TODAY()-$K2327)</f>
        <v/>
      </c>
      <c r="M2327">
        <f>IF($A2327="","",IF($H2327="ENGAGE","Engagé",IF(AND($H2327="NON ENGAGE",OR($I2327="INFRUCTUEUX",$I2327="ANNULE")),"Clôturé sans suite","En cours")))</f>
        <v/>
      </c>
      <c r="N2327">
        <f>IF(ISBLANK('ENGAGEMENTS 2026'!B2327),"",'ENGAGEMENTS 2026'!K2327)</f>
        <v/>
      </c>
      <c r="O2327">
        <f>IF(ISBLANK('ENGAGEMENTS 2026'!B2327),"",'ENGAGEMENTS 2026'!L2327)</f>
        <v/>
      </c>
      <c r="P2327">
        <f>IF(ISBLANK('ENGAGEMENTS 2026'!B2327),"",'ENGAGEMENTS 2026'!J2327)</f>
        <v/>
      </c>
      <c r="Q2327">
        <f>IF($A2327="","",IF(OR($E2327="INFRUCTUEUX",$E2327="ANNULE"),$A2327&amp;"|"&amp;(COUNTIFS($A$2:$A2327,$A2327,$E$2:$E2327,"INFRUCTUEUX")+COUNTIFS($A$2:$A2327,$A2327,$E$2:$E2327,"ANNULE")),""))</f>
        <v/>
      </c>
    </row>
    <row r="2328">
      <c r="A2328">
        <f>IF(ISBLANK('ENGAGEMENTS 2026'!B2328),"",IF('ENGAGEMENTS 2026'!B2328="DTSI","DCT",'ENGAGEMENTS 2026'!B2328))</f>
        <v/>
      </c>
      <c r="B2328">
        <f>IF(ISBLANK('ENGAGEMENTS 2026'!B2328),"",'ENGAGEMENTS 2026'!C2328)</f>
        <v/>
      </c>
      <c r="C2328">
        <f>IF(ISBLANK('ENGAGEMENTS 2026'!B2328),"",'ENGAGEMENTS 2026'!D2328)</f>
        <v/>
      </c>
      <c r="D2328">
        <f>IF(ISBLANK('ENGAGEMENTS 2026'!B2328),"",'ENGAGEMENTS 2026'!F2328)</f>
        <v/>
      </c>
      <c r="E2328">
        <f>IF(ISBLANK('ENGAGEMENTS 2026'!B2328),"",'ENGAGEMENTS 2026'!H2328)</f>
        <v/>
      </c>
      <c r="F2328">
        <f>IF(ISBLANK('ENGAGEMENTS 2026'!B2328),"",'ENGAGEMENTS 2026'!I2328)</f>
        <v/>
      </c>
      <c r="G2328">
        <f>IF(ISBLANK('ENGAGEMENTS 2026'!B2328),"",'ENGAGEMENTS 2026'!L2328)</f>
        <v/>
      </c>
      <c r="H2328">
        <f>IF(ISBLANK('ENGAGEMENTS 2026'!B2328),"",'ENGAGEMENTS 2026'!AE2328)</f>
        <v/>
      </c>
      <c r="I2328">
        <f>IF(ISBLANK('ENGAGEMENTS 2026'!B2328),"",'ENGAGEMENTS 2026'!G2328)</f>
        <v/>
      </c>
      <c r="J2328" s="275">
        <f>IF(ISBLANK('ENGAGEMENTS 2026'!B2328),"",IF(AND(OR($E2328="INFRUCTUEUX",$E2328="ANNULE"),$C2328="AOO-M"),'ENGAGEMENTS 2026'!O2328,IF($H2328="EN COURS DE PREENGAGEMENT",'ENGAGEMENTS 2026'!N2328,IF($H2328="PREENGAGE",IF($E2328="ATTRIBUE",'ENGAGEMENTS 2026'!AD2328,'ENGAGEMENTS 2026'!N2328),'ENGAGEMENTS 2026'!AD2328))))</f>
        <v/>
      </c>
      <c r="K2328" s="604">
        <f>IF(ISBLANK('ENGAGEMENTS 2026'!V2328),"",'ENGAGEMENTS 2026'!V2328)</f>
        <v/>
      </c>
      <c r="L2328" s="276">
        <f>IF($K2328="","",TODAY()-$K2328)</f>
        <v/>
      </c>
      <c r="M2328">
        <f>IF($A2328="","",IF($H2328="ENGAGE","Engagé",IF(AND($H2328="NON ENGAGE",OR($I2328="INFRUCTUEUX",$I2328="ANNULE")),"Clôturé sans suite","En cours")))</f>
        <v/>
      </c>
      <c r="N2328">
        <f>IF(ISBLANK('ENGAGEMENTS 2026'!B2328),"",'ENGAGEMENTS 2026'!K2328)</f>
        <v/>
      </c>
      <c r="O2328">
        <f>IF(ISBLANK('ENGAGEMENTS 2026'!B2328),"",'ENGAGEMENTS 2026'!L2328)</f>
        <v/>
      </c>
      <c r="P2328">
        <f>IF(ISBLANK('ENGAGEMENTS 2026'!B2328),"",'ENGAGEMENTS 2026'!J2328)</f>
        <v/>
      </c>
      <c r="Q2328">
        <f>IF($A2328="","",IF(OR($E2328="INFRUCTUEUX",$E2328="ANNULE"),$A2328&amp;"|"&amp;(COUNTIFS($A$2:$A2328,$A2328,$E$2:$E2328,"INFRUCTUEUX")+COUNTIFS($A$2:$A2328,$A2328,$E$2:$E2328,"ANNULE")),""))</f>
        <v/>
      </c>
    </row>
    <row r="2329">
      <c r="A2329">
        <f>IF(ISBLANK('ENGAGEMENTS 2026'!B2329),"",IF('ENGAGEMENTS 2026'!B2329="DTSI","DCT",'ENGAGEMENTS 2026'!B2329))</f>
        <v/>
      </c>
      <c r="B2329">
        <f>IF(ISBLANK('ENGAGEMENTS 2026'!B2329),"",'ENGAGEMENTS 2026'!C2329)</f>
        <v/>
      </c>
      <c r="C2329">
        <f>IF(ISBLANK('ENGAGEMENTS 2026'!B2329),"",'ENGAGEMENTS 2026'!D2329)</f>
        <v/>
      </c>
      <c r="D2329">
        <f>IF(ISBLANK('ENGAGEMENTS 2026'!B2329),"",'ENGAGEMENTS 2026'!F2329)</f>
        <v/>
      </c>
      <c r="E2329">
        <f>IF(ISBLANK('ENGAGEMENTS 2026'!B2329),"",'ENGAGEMENTS 2026'!H2329)</f>
        <v/>
      </c>
      <c r="F2329">
        <f>IF(ISBLANK('ENGAGEMENTS 2026'!B2329),"",'ENGAGEMENTS 2026'!I2329)</f>
        <v/>
      </c>
      <c r="G2329">
        <f>IF(ISBLANK('ENGAGEMENTS 2026'!B2329),"",'ENGAGEMENTS 2026'!L2329)</f>
        <v/>
      </c>
      <c r="H2329">
        <f>IF(ISBLANK('ENGAGEMENTS 2026'!B2329),"",'ENGAGEMENTS 2026'!AE2329)</f>
        <v/>
      </c>
      <c r="I2329">
        <f>IF(ISBLANK('ENGAGEMENTS 2026'!B2329),"",'ENGAGEMENTS 2026'!G2329)</f>
        <v/>
      </c>
      <c r="J2329" s="275">
        <f>IF(ISBLANK('ENGAGEMENTS 2026'!B2329),"",IF(AND(OR($E2329="INFRUCTUEUX",$E2329="ANNULE"),$C2329="AOO-M"),'ENGAGEMENTS 2026'!O2329,IF($H2329="EN COURS DE PREENGAGEMENT",'ENGAGEMENTS 2026'!N2329,IF($H2329="PREENGAGE",IF($E2329="ATTRIBUE",'ENGAGEMENTS 2026'!AD2329,'ENGAGEMENTS 2026'!N2329),'ENGAGEMENTS 2026'!AD2329))))</f>
        <v/>
      </c>
      <c r="K2329" s="604">
        <f>IF(ISBLANK('ENGAGEMENTS 2026'!V2329),"",'ENGAGEMENTS 2026'!V2329)</f>
        <v/>
      </c>
      <c r="L2329" s="276">
        <f>IF($K2329="","",TODAY()-$K2329)</f>
        <v/>
      </c>
      <c r="M2329">
        <f>IF($A2329="","",IF($H2329="ENGAGE","Engagé",IF(AND($H2329="NON ENGAGE",OR($I2329="INFRUCTUEUX",$I2329="ANNULE")),"Clôturé sans suite","En cours")))</f>
        <v/>
      </c>
      <c r="N2329">
        <f>IF(ISBLANK('ENGAGEMENTS 2026'!B2329),"",'ENGAGEMENTS 2026'!K2329)</f>
        <v/>
      </c>
      <c r="O2329">
        <f>IF(ISBLANK('ENGAGEMENTS 2026'!B2329),"",'ENGAGEMENTS 2026'!L2329)</f>
        <v/>
      </c>
      <c r="P2329">
        <f>IF(ISBLANK('ENGAGEMENTS 2026'!B2329),"",'ENGAGEMENTS 2026'!J2329)</f>
        <v/>
      </c>
      <c r="Q2329">
        <f>IF($A2329="","",IF(OR($E2329="INFRUCTUEUX",$E2329="ANNULE"),$A2329&amp;"|"&amp;(COUNTIFS($A$2:$A2329,$A2329,$E$2:$E2329,"INFRUCTUEUX")+COUNTIFS($A$2:$A2329,$A2329,$E$2:$E2329,"ANNULE")),""))</f>
        <v/>
      </c>
    </row>
    <row r="2330">
      <c r="A2330">
        <f>IF(ISBLANK('ENGAGEMENTS 2026'!B2330),"",IF('ENGAGEMENTS 2026'!B2330="DTSI","DCT",'ENGAGEMENTS 2026'!B2330))</f>
        <v/>
      </c>
      <c r="B2330">
        <f>IF(ISBLANK('ENGAGEMENTS 2026'!B2330),"",'ENGAGEMENTS 2026'!C2330)</f>
        <v/>
      </c>
      <c r="C2330">
        <f>IF(ISBLANK('ENGAGEMENTS 2026'!B2330),"",'ENGAGEMENTS 2026'!D2330)</f>
        <v/>
      </c>
      <c r="D2330">
        <f>IF(ISBLANK('ENGAGEMENTS 2026'!B2330),"",'ENGAGEMENTS 2026'!F2330)</f>
        <v/>
      </c>
      <c r="E2330">
        <f>IF(ISBLANK('ENGAGEMENTS 2026'!B2330),"",'ENGAGEMENTS 2026'!H2330)</f>
        <v/>
      </c>
      <c r="F2330">
        <f>IF(ISBLANK('ENGAGEMENTS 2026'!B2330),"",'ENGAGEMENTS 2026'!I2330)</f>
        <v/>
      </c>
      <c r="G2330">
        <f>IF(ISBLANK('ENGAGEMENTS 2026'!B2330),"",'ENGAGEMENTS 2026'!L2330)</f>
        <v/>
      </c>
      <c r="H2330">
        <f>IF(ISBLANK('ENGAGEMENTS 2026'!B2330),"",'ENGAGEMENTS 2026'!AE2330)</f>
        <v/>
      </c>
      <c r="I2330">
        <f>IF(ISBLANK('ENGAGEMENTS 2026'!B2330),"",'ENGAGEMENTS 2026'!G2330)</f>
        <v/>
      </c>
      <c r="J2330" s="275">
        <f>IF(ISBLANK('ENGAGEMENTS 2026'!B2330),"",IF(AND(OR($E2330="INFRUCTUEUX",$E2330="ANNULE"),$C2330="AOO-M"),'ENGAGEMENTS 2026'!O2330,IF($H2330="EN COURS DE PREENGAGEMENT",'ENGAGEMENTS 2026'!N2330,IF($H2330="PREENGAGE",IF($E2330="ATTRIBUE",'ENGAGEMENTS 2026'!AD2330,'ENGAGEMENTS 2026'!N2330),'ENGAGEMENTS 2026'!AD2330))))</f>
        <v/>
      </c>
      <c r="K2330" s="604">
        <f>IF(ISBLANK('ENGAGEMENTS 2026'!V2330),"",'ENGAGEMENTS 2026'!V2330)</f>
        <v/>
      </c>
      <c r="L2330" s="276">
        <f>IF($K2330="","",TODAY()-$K2330)</f>
        <v/>
      </c>
      <c r="M2330">
        <f>IF($A2330="","",IF($H2330="ENGAGE","Engagé",IF(AND($H2330="NON ENGAGE",OR($I2330="INFRUCTUEUX",$I2330="ANNULE")),"Clôturé sans suite","En cours")))</f>
        <v/>
      </c>
      <c r="N2330">
        <f>IF(ISBLANK('ENGAGEMENTS 2026'!B2330),"",'ENGAGEMENTS 2026'!K2330)</f>
        <v/>
      </c>
      <c r="O2330">
        <f>IF(ISBLANK('ENGAGEMENTS 2026'!B2330),"",'ENGAGEMENTS 2026'!L2330)</f>
        <v/>
      </c>
      <c r="P2330">
        <f>IF(ISBLANK('ENGAGEMENTS 2026'!B2330),"",'ENGAGEMENTS 2026'!J2330)</f>
        <v/>
      </c>
      <c r="Q2330">
        <f>IF($A2330="","",IF(OR($E2330="INFRUCTUEUX",$E2330="ANNULE"),$A2330&amp;"|"&amp;(COUNTIFS($A$2:$A2330,$A2330,$E$2:$E2330,"INFRUCTUEUX")+COUNTIFS($A$2:$A2330,$A2330,$E$2:$E2330,"ANNULE")),""))</f>
        <v/>
      </c>
    </row>
    <row r="2331">
      <c r="A2331">
        <f>IF(ISBLANK('ENGAGEMENTS 2026'!B2331),"",IF('ENGAGEMENTS 2026'!B2331="DTSI","DCT",'ENGAGEMENTS 2026'!B2331))</f>
        <v/>
      </c>
      <c r="B2331">
        <f>IF(ISBLANK('ENGAGEMENTS 2026'!B2331),"",'ENGAGEMENTS 2026'!C2331)</f>
        <v/>
      </c>
      <c r="C2331">
        <f>IF(ISBLANK('ENGAGEMENTS 2026'!B2331),"",'ENGAGEMENTS 2026'!D2331)</f>
        <v/>
      </c>
      <c r="D2331">
        <f>IF(ISBLANK('ENGAGEMENTS 2026'!B2331),"",'ENGAGEMENTS 2026'!F2331)</f>
        <v/>
      </c>
      <c r="E2331">
        <f>IF(ISBLANK('ENGAGEMENTS 2026'!B2331),"",'ENGAGEMENTS 2026'!H2331)</f>
        <v/>
      </c>
      <c r="F2331">
        <f>IF(ISBLANK('ENGAGEMENTS 2026'!B2331),"",'ENGAGEMENTS 2026'!I2331)</f>
        <v/>
      </c>
      <c r="G2331">
        <f>IF(ISBLANK('ENGAGEMENTS 2026'!B2331),"",'ENGAGEMENTS 2026'!L2331)</f>
        <v/>
      </c>
      <c r="H2331">
        <f>IF(ISBLANK('ENGAGEMENTS 2026'!B2331),"",'ENGAGEMENTS 2026'!AE2331)</f>
        <v/>
      </c>
      <c r="I2331">
        <f>IF(ISBLANK('ENGAGEMENTS 2026'!B2331),"",'ENGAGEMENTS 2026'!G2331)</f>
        <v/>
      </c>
      <c r="J2331" s="275">
        <f>IF(ISBLANK('ENGAGEMENTS 2026'!B2331),"",IF(AND(OR($E2331="INFRUCTUEUX",$E2331="ANNULE"),$C2331="AOO-M"),'ENGAGEMENTS 2026'!O2331,IF($H2331="EN COURS DE PREENGAGEMENT",'ENGAGEMENTS 2026'!N2331,IF($H2331="PREENGAGE",IF($E2331="ATTRIBUE",'ENGAGEMENTS 2026'!AD2331,'ENGAGEMENTS 2026'!N2331),'ENGAGEMENTS 2026'!AD2331))))</f>
        <v/>
      </c>
      <c r="K2331" s="604">
        <f>IF(ISBLANK('ENGAGEMENTS 2026'!V2331),"",'ENGAGEMENTS 2026'!V2331)</f>
        <v/>
      </c>
      <c r="L2331" s="276">
        <f>IF($K2331="","",TODAY()-$K2331)</f>
        <v/>
      </c>
      <c r="M2331">
        <f>IF($A2331="","",IF($H2331="ENGAGE","Engagé",IF(AND($H2331="NON ENGAGE",OR($I2331="INFRUCTUEUX",$I2331="ANNULE")),"Clôturé sans suite","En cours")))</f>
        <v/>
      </c>
      <c r="N2331">
        <f>IF(ISBLANK('ENGAGEMENTS 2026'!B2331),"",'ENGAGEMENTS 2026'!K2331)</f>
        <v/>
      </c>
      <c r="O2331">
        <f>IF(ISBLANK('ENGAGEMENTS 2026'!B2331),"",'ENGAGEMENTS 2026'!L2331)</f>
        <v/>
      </c>
      <c r="P2331">
        <f>IF(ISBLANK('ENGAGEMENTS 2026'!B2331),"",'ENGAGEMENTS 2026'!J2331)</f>
        <v/>
      </c>
      <c r="Q2331">
        <f>IF($A2331="","",IF(OR($E2331="INFRUCTUEUX",$E2331="ANNULE"),$A2331&amp;"|"&amp;(COUNTIFS($A$2:$A2331,$A2331,$E$2:$E2331,"INFRUCTUEUX")+COUNTIFS($A$2:$A2331,$A2331,$E$2:$E2331,"ANNULE")),""))</f>
        <v/>
      </c>
    </row>
    <row r="2332">
      <c r="A2332">
        <f>IF(ISBLANK('ENGAGEMENTS 2026'!B2332),"",IF('ENGAGEMENTS 2026'!B2332="DTSI","DCT",'ENGAGEMENTS 2026'!B2332))</f>
        <v/>
      </c>
      <c r="B2332">
        <f>IF(ISBLANK('ENGAGEMENTS 2026'!B2332),"",'ENGAGEMENTS 2026'!C2332)</f>
        <v/>
      </c>
      <c r="C2332">
        <f>IF(ISBLANK('ENGAGEMENTS 2026'!B2332),"",'ENGAGEMENTS 2026'!D2332)</f>
        <v/>
      </c>
      <c r="D2332">
        <f>IF(ISBLANK('ENGAGEMENTS 2026'!B2332),"",'ENGAGEMENTS 2026'!F2332)</f>
        <v/>
      </c>
      <c r="E2332">
        <f>IF(ISBLANK('ENGAGEMENTS 2026'!B2332),"",'ENGAGEMENTS 2026'!H2332)</f>
        <v/>
      </c>
      <c r="F2332">
        <f>IF(ISBLANK('ENGAGEMENTS 2026'!B2332),"",'ENGAGEMENTS 2026'!I2332)</f>
        <v/>
      </c>
      <c r="G2332">
        <f>IF(ISBLANK('ENGAGEMENTS 2026'!B2332),"",'ENGAGEMENTS 2026'!L2332)</f>
        <v/>
      </c>
      <c r="H2332">
        <f>IF(ISBLANK('ENGAGEMENTS 2026'!B2332),"",'ENGAGEMENTS 2026'!AE2332)</f>
        <v/>
      </c>
      <c r="I2332">
        <f>IF(ISBLANK('ENGAGEMENTS 2026'!B2332),"",'ENGAGEMENTS 2026'!G2332)</f>
        <v/>
      </c>
      <c r="J2332" s="275">
        <f>IF(ISBLANK('ENGAGEMENTS 2026'!B2332),"",IF(AND(OR($E2332="INFRUCTUEUX",$E2332="ANNULE"),$C2332="AOO-M"),'ENGAGEMENTS 2026'!O2332,IF($H2332="EN COURS DE PREENGAGEMENT",'ENGAGEMENTS 2026'!N2332,IF($H2332="PREENGAGE",IF($E2332="ATTRIBUE",'ENGAGEMENTS 2026'!AD2332,'ENGAGEMENTS 2026'!N2332),'ENGAGEMENTS 2026'!AD2332))))</f>
        <v/>
      </c>
      <c r="K2332" s="604">
        <f>IF(ISBLANK('ENGAGEMENTS 2026'!V2332),"",'ENGAGEMENTS 2026'!V2332)</f>
        <v/>
      </c>
      <c r="L2332" s="276">
        <f>IF($K2332="","",TODAY()-$K2332)</f>
        <v/>
      </c>
      <c r="M2332">
        <f>IF($A2332="","",IF($H2332="ENGAGE","Engagé",IF(AND($H2332="NON ENGAGE",OR($I2332="INFRUCTUEUX",$I2332="ANNULE")),"Clôturé sans suite","En cours")))</f>
        <v/>
      </c>
      <c r="N2332">
        <f>IF(ISBLANK('ENGAGEMENTS 2026'!B2332),"",'ENGAGEMENTS 2026'!K2332)</f>
        <v/>
      </c>
      <c r="O2332">
        <f>IF(ISBLANK('ENGAGEMENTS 2026'!B2332),"",'ENGAGEMENTS 2026'!L2332)</f>
        <v/>
      </c>
      <c r="P2332">
        <f>IF(ISBLANK('ENGAGEMENTS 2026'!B2332),"",'ENGAGEMENTS 2026'!J2332)</f>
        <v/>
      </c>
      <c r="Q2332">
        <f>IF($A2332="","",IF(OR($E2332="INFRUCTUEUX",$E2332="ANNULE"),$A2332&amp;"|"&amp;(COUNTIFS($A$2:$A2332,$A2332,$E$2:$E2332,"INFRUCTUEUX")+COUNTIFS($A$2:$A2332,$A2332,$E$2:$E2332,"ANNULE")),""))</f>
        <v/>
      </c>
    </row>
    <row r="2333">
      <c r="A2333">
        <f>IF(ISBLANK('ENGAGEMENTS 2026'!B2333),"",IF('ENGAGEMENTS 2026'!B2333="DTSI","DCT",'ENGAGEMENTS 2026'!B2333))</f>
        <v/>
      </c>
      <c r="B2333">
        <f>IF(ISBLANK('ENGAGEMENTS 2026'!B2333),"",'ENGAGEMENTS 2026'!C2333)</f>
        <v/>
      </c>
      <c r="C2333">
        <f>IF(ISBLANK('ENGAGEMENTS 2026'!B2333),"",'ENGAGEMENTS 2026'!D2333)</f>
        <v/>
      </c>
      <c r="D2333">
        <f>IF(ISBLANK('ENGAGEMENTS 2026'!B2333),"",'ENGAGEMENTS 2026'!F2333)</f>
        <v/>
      </c>
      <c r="E2333">
        <f>IF(ISBLANK('ENGAGEMENTS 2026'!B2333),"",'ENGAGEMENTS 2026'!H2333)</f>
        <v/>
      </c>
      <c r="F2333">
        <f>IF(ISBLANK('ENGAGEMENTS 2026'!B2333),"",'ENGAGEMENTS 2026'!I2333)</f>
        <v/>
      </c>
      <c r="G2333">
        <f>IF(ISBLANK('ENGAGEMENTS 2026'!B2333),"",'ENGAGEMENTS 2026'!L2333)</f>
        <v/>
      </c>
      <c r="H2333">
        <f>IF(ISBLANK('ENGAGEMENTS 2026'!B2333),"",'ENGAGEMENTS 2026'!AE2333)</f>
        <v/>
      </c>
      <c r="I2333">
        <f>IF(ISBLANK('ENGAGEMENTS 2026'!B2333),"",'ENGAGEMENTS 2026'!G2333)</f>
        <v/>
      </c>
      <c r="J2333" s="275">
        <f>IF(ISBLANK('ENGAGEMENTS 2026'!B2333),"",IF(AND(OR($E2333="INFRUCTUEUX",$E2333="ANNULE"),$C2333="AOO-M"),'ENGAGEMENTS 2026'!O2333,IF($H2333="EN COURS DE PREENGAGEMENT",'ENGAGEMENTS 2026'!N2333,IF($H2333="PREENGAGE",IF($E2333="ATTRIBUE",'ENGAGEMENTS 2026'!AD2333,'ENGAGEMENTS 2026'!N2333),'ENGAGEMENTS 2026'!AD2333))))</f>
        <v/>
      </c>
      <c r="K2333" s="604">
        <f>IF(ISBLANK('ENGAGEMENTS 2026'!V2333),"",'ENGAGEMENTS 2026'!V2333)</f>
        <v/>
      </c>
      <c r="L2333" s="276">
        <f>IF($K2333="","",TODAY()-$K2333)</f>
        <v/>
      </c>
      <c r="M2333">
        <f>IF($A2333="","",IF($H2333="ENGAGE","Engagé",IF(AND($H2333="NON ENGAGE",OR($I2333="INFRUCTUEUX",$I2333="ANNULE")),"Clôturé sans suite","En cours")))</f>
        <v/>
      </c>
      <c r="N2333">
        <f>IF(ISBLANK('ENGAGEMENTS 2026'!B2333),"",'ENGAGEMENTS 2026'!K2333)</f>
        <v/>
      </c>
      <c r="O2333">
        <f>IF(ISBLANK('ENGAGEMENTS 2026'!B2333),"",'ENGAGEMENTS 2026'!L2333)</f>
        <v/>
      </c>
      <c r="P2333">
        <f>IF(ISBLANK('ENGAGEMENTS 2026'!B2333),"",'ENGAGEMENTS 2026'!J2333)</f>
        <v/>
      </c>
      <c r="Q2333">
        <f>IF($A2333="","",IF(OR($E2333="INFRUCTUEUX",$E2333="ANNULE"),$A2333&amp;"|"&amp;(COUNTIFS($A$2:$A2333,$A2333,$E$2:$E2333,"INFRUCTUEUX")+COUNTIFS($A$2:$A2333,$A2333,$E$2:$E2333,"ANNULE")),""))</f>
        <v/>
      </c>
    </row>
    <row r="2334">
      <c r="A2334">
        <f>IF(ISBLANK('ENGAGEMENTS 2026'!B2334),"",IF('ENGAGEMENTS 2026'!B2334="DTSI","DCT",'ENGAGEMENTS 2026'!B2334))</f>
        <v/>
      </c>
      <c r="B2334">
        <f>IF(ISBLANK('ENGAGEMENTS 2026'!B2334),"",'ENGAGEMENTS 2026'!C2334)</f>
        <v/>
      </c>
      <c r="C2334">
        <f>IF(ISBLANK('ENGAGEMENTS 2026'!B2334),"",'ENGAGEMENTS 2026'!D2334)</f>
        <v/>
      </c>
      <c r="D2334">
        <f>IF(ISBLANK('ENGAGEMENTS 2026'!B2334),"",'ENGAGEMENTS 2026'!F2334)</f>
        <v/>
      </c>
      <c r="E2334">
        <f>IF(ISBLANK('ENGAGEMENTS 2026'!B2334),"",'ENGAGEMENTS 2026'!H2334)</f>
        <v/>
      </c>
      <c r="F2334">
        <f>IF(ISBLANK('ENGAGEMENTS 2026'!B2334),"",'ENGAGEMENTS 2026'!I2334)</f>
        <v/>
      </c>
      <c r="G2334">
        <f>IF(ISBLANK('ENGAGEMENTS 2026'!B2334),"",'ENGAGEMENTS 2026'!L2334)</f>
        <v/>
      </c>
      <c r="H2334">
        <f>IF(ISBLANK('ENGAGEMENTS 2026'!B2334),"",'ENGAGEMENTS 2026'!AE2334)</f>
        <v/>
      </c>
      <c r="I2334">
        <f>IF(ISBLANK('ENGAGEMENTS 2026'!B2334),"",'ENGAGEMENTS 2026'!G2334)</f>
        <v/>
      </c>
      <c r="J2334" s="275">
        <f>IF(ISBLANK('ENGAGEMENTS 2026'!B2334),"",IF(AND(OR($E2334="INFRUCTUEUX",$E2334="ANNULE"),$C2334="AOO-M"),'ENGAGEMENTS 2026'!O2334,IF($H2334="EN COURS DE PREENGAGEMENT",'ENGAGEMENTS 2026'!N2334,IF($H2334="PREENGAGE",IF($E2334="ATTRIBUE",'ENGAGEMENTS 2026'!AD2334,'ENGAGEMENTS 2026'!N2334),'ENGAGEMENTS 2026'!AD2334))))</f>
        <v/>
      </c>
      <c r="K2334" s="604">
        <f>IF(ISBLANK('ENGAGEMENTS 2026'!V2334),"",'ENGAGEMENTS 2026'!V2334)</f>
        <v/>
      </c>
      <c r="L2334" s="276">
        <f>IF($K2334="","",TODAY()-$K2334)</f>
        <v/>
      </c>
      <c r="M2334">
        <f>IF($A2334="","",IF($H2334="ENGAGE","Engagé",IF(AND($H2334="NON ENGAGE",OR($I2334="INFRUCTUEUX",$I2334="ANNULE")),"Clôturé sans suite","En cours")))</f>
        <v/>
      </c>
      <c r="N2334">
        <f>IF(ISBLANK('ENGAGEMENTS 2026'!B2334),"",'ENGAGEMENTS 2026'!K2334)</f>
        <v/>
      </c>
      <c r="O2334">
        <f>IF(ISBLANK('ENGAGEMENTS 2026'!B2334),"",'ENGAGEMENTS 2026'!L2334)</f>
        <v/>
      </c>
      <c r="P2334">
        <f>IF(ISBLANK('ENGAGEMENTS 2026'!B2334),"",'ENGAGEMENTS 2026'!J2334)</f>
        <v/>
      </c>
      <c r="Q2334">
        <f>IF($A2334="","",IF(OR($E2334="INFRUCTUEUX",$E2334="ANNULE"),$A2334&amp;"|"&amp;(COUNTIFS($A$2:$A2334,$A2334,$E$2:$E2334,"INFRUCTUEUX")+COUNTIFS($A$2:$A2334,$A2334,$E$2:$E2334,"ANNULE")),""))</f>
        <v/>
      </c>
    </row>
    <row r="2335">
      <c r="A2335">
        <f>IF(ISBLANK('ENGAGEMENTS 2026'!B2335),"",IF('ENGAGEMENTS 2026'!B2335="DTSI","DCT",'ENGAGEMENTS 2026'!B2335))</f>
        <v/>
      </c>
      <c r="B2335">
        <f>IF(ISBLANK('ENGAGEMENTS 2026'!B2335),"",'ENGAGEMENTS 2026'!C2335)</f>
        <v/>
      </c>
      <c r="C2335">
        <f>IF(ISBLANK('ENGAGEMENTS 2026'!B2335),"",'ENGAGEMENTS 2026'!D2335)</f>
        <v/>
      </c>
      <c r="D2335">
        <f>IF(ISBLANK('ENGAGEMENTS 2026'!B2335),"",'ENGAGEMENTS 2026'!F2335)</f>
        <v/>
      </c>
      <c r="E2335">
        <f>IF(ISBLANK('ENGAGEMENTS 2026'!B2335),"",'ENGAGEMENTS 2026'!H2335)</f>
        <v/>
      </c>
      <c r="F2335">
        <f>IF(ISBLANK('ENGAGEMENTS 2026'!B2335),"",'ENGAGEMENTS 2026'!I2335)</f>
        <v/>
      </c>
      <c r="G2335">
        <f>IF(ISBLANK('ENGAGEMENTS 2026'!B2335),"",'ENGAGEMENTS 2026'!L2335)</f>
        <v/>
      </c>
      <c r="H2335">
        <f>IF(ISBLANK('ENGAGEMENTS 2026'!B2335),"",'ENGAGEMENTS 2026'!AE2335)</f>
        <v/>
      </c>
      <c r="I2335">
        <f>IF(ISBLANK('ENGAGEMENTS 2026'!B2335),"",'ENGAGEMENTS 2026'!G2335)</f>
        <v/>
      </c>
      <c r="J2335" s="275">
        <f>IF(ISBLANK('ENGAGEMENTS 2026'!B2335),"",IF(AND(OR($E2335="INFRUCTUEUX",$E2335="ANNULE"),$C2335="AOO-M"),'ENGAGEMENTS 2026'!O2335,IF($H2335="EN COURS DE PREENGAGEMENT",'ENGAGEMENTS 2026'!N2335,IF($H2335="PREENGAGE",IF($E2335="ATTRIBUE",'ENGAGEMENTS 2026'!AD2335,'ENGAGEMENTS 2026'!N2335),'ENGAGEMENTS 2026'!AD2335))))</f>
        <v/>
      </c>
      <c r="K2335" s="604">
        <f>IF(ISBLANK('ENGAGEMENTS 2026'!V2335),"",'ENGAGEMENTS 2026'!V2335)</f>
        <v/>
      </c>
      <c r="L2335" s="276">
        <f>IF($K2335="","",TODAY()-$K2335)</f>
        <v/>
      </c>
      <c r="M2335">
        <f>IF($A2335="","",IF($H2335="ENGAGE","Engagé",IF(AND($H2335="NON ENGAGE",OR($I2335="INFRUCTUEUX",$I2335="ANNULE")),"Clôturé sans suite","En cours")))</f>
        <v/>
      </c>
      <c r="N2335">
        <f>IF(ISBLANK('ENGAGEMENTS 2026'!B2335),"",'ENGAGEMENTS 2026'!K2335)</f>
        <v/>
      </c>
      <c r="O2335">
        <f>IF(ISBLANK('ENGAGEMENTS 2026'!B2335),"",'ENGAGEMENTS 2026'!L2335)</f>
        <v/>
      </c>
      <c r="P2335">
        <f>IF(ISBLANK('ENGAGEMENTS 2026'!B2335),"",'ENGAGEMENTS 2026'!J2335)</f>
        <v/>
      </c>
      <c r="Q2335">
        <f>IF($A2335="","",IF(OR($E2335="INFRUCTUEUX",$E2335="ANNULE"),$A2335&amp;"|"&amp;(COUNTIFS($A$2:$A2335,$A2335,$E$2:$E2335,"INFRUCTUEUX")+COUNTIFS($A$2:$A2335,$A2335,$E$2:$E2335,"ANNULE")),""))</f>
        <v/>
      </c>
    </row>
    <row r="2336">
      <c r="A2336">
        <f>IF(ISBLANK('ENGAGEMENTS 2026'!B2336),"",IF('ENGAGEMENTS 2026'!B2336="DTSI","DCT",'ENGAGEMENTS 2026'!B2336))</f>
        <v/>
      </c>
      <c r="B2336">
        <f>IF(ISBLANK('ENGAGEMENTS 2026'!B2336),"",'ENGAGEMENTS 2026'!C2336)</f>
        <v/>
      </c>
      <c r="C2336">
        <f>IF(ISBLANK('ENGAGEMENTS 2026'!B2336),"",'ENGAGEMENTS 2026'!D2336)</f>
        <v/>
      </c>
      <c r="D2336">
        <f>IF(ISBLANK('ENGAGEMENTS 2026'!B2336),"",'ENGAGEMENTS 2026'!F2336)</f>
        <v/>
      </c>
      <c r="E2336">
        <f>IF(ISBLANK('ENGAGEMENTS 2026'!B2336),"",'ENGAGEMENTS 2026'!H2336)</f>
        <v/>
      </c>
      <c r="F2336">
        <f>IF(ISBLANK('ENGAGEMENTS 2026'!B2336),"",'ENGAGEMENTS 2026'!I2336)</f>
        <v/>
      </c>
      <c r="G2336">
        <f>IF(ISBLANK('ENGAGEMENTS 2026'!B2336),"",'ENGAGEMENTS 2026'!L2336)</f>
        <v/>
      </c>
      <c r="H2336">
        <f>IF(ISBLANK('ENGAGEMENTS 2026'!B2336),"",'ENGAGEMENTS 2026'!AE2336)</f>
        <v/>
      </c>
      <c r="I2336">
        <f>IF(ISBLANK('ENGAGEMENTS 2026'!B2336),"",'ENGAGEMENTS 2026'!G2336)</f>
        <v/>
      </c>
      <c r="J2336" s="275">
        <f>IF(ISBLANK('ENGAGEMENTS 2026'!B2336),"",IF(AND(OR($E2336="INFRUCTUEUX",$E2336="ANNULE"),$C2336="AOO-M"),'ENGAGEMENTS 2026'!O2336,IF($H2336="EN COURS DE PREENGAGEMENT",'ENGAGEMENTS 2026'!N2336,IF($H2336="PREENGAGE",IF($E2336="ATTRIBUE",'ENGAGEMENTS 2026'!AD2336,'ENGAGEMENTS 2026'!N2336),'ENGAGEMENTS 2026'!AD2336))))</f>
        <v/>
      </c>
      <c r="K2336" s="604">
        <f>IF(ISBLANK('ENGAGEMENTS 2026'!V2336),"",'ENGAGEMENTS 2026'!V2336)</f>
        <v/>
      </c>
      <c r="L2336" s="276">
        <f>IF($K2336="","",TODAY()-$K2336)</f>
        <v/>
      </c>
      <c r="M2336">
        <f>IF($A2336="","",IF($H2336="ENGAGE","Engagé",IF(AND($H2336="NON ENGAGE",OR($I2336="INFRUCTUEUX",$I2336="ANNULE")),"Clôturé sans suite","En cours")))</f>
        <v/>
      </c>
      <c r="N2336">
        <f>IF(ISBLANK('ENGAGEMENTS 2026'!B2336),"",'ENGAGEMENTS 2026'!K2336)</f>
        <v/>
      </c>
      <c r="O2336">
        <f>IF(ISBLANK('ENGAGEMENTS 2026'!B2336),"",'ENGAGEMENTS 2026'!L2336)</f>
        <v/>
      </c>
      <c r="P2336">
        <f>IF(ISBLANK('ENGAGEMENTS 2026'!B2336),"",'ENGAGEMENTS 2026'!J2336)</f>
        <v/>
      </c>
      <c r="Q2336">
        <f>IF($A2336="","",IF(OR($E2336="INFRUCTUEUX",$E2336="ANNULE"),$A2336&amp;"|"&amp;(COUNTIFS($A$2:$A2336,$A2336,$E$2:$E2336,"INFRUCTUEUX")+COUNTIFS($A$2:$A2336,$A2336,$E$2:$E2336,"ANNULE")),""))</f>
        <v/>
      </c>
    </row>
    <row r="2337">
      <c r="A2337">
        <f>IF(ISBLANK('ENGAGEMENTS 2026'!B2337),"",IF('ENGAGEMENTS 2026'!B2337="DTSI","DCT",'ENGAGEMENTS 2026'!B2337))</f>
        <v/>
      </c>
      <c r="B2337">
        <f>IF(ISBLANK('ENGAGEMENTS 2026'!B2337),"",'ENGAGEMENTS 2026'!C2337)</f>
        <v/>
      </c>
      <c r="C2337">
        <f>IF(ISBLANK('ENGAGEMENTS 2026'!B2337),"",'ENGAGEMENTS 2026'!D2337)</f>
        <v/>
      </c>
      <c r="D2337">
        <f>IF(ISBLANK('ENGAGEMENTS 2026'!B2337),"",'ENGAGEMENTS 2026'!F2337)</f>
        <v/>
      </c>
      <c r="E2337">
        <f>IF(ISBLANK('ENGAGEMENTS 2026'!B2337),"",'ENGAGEMENTS 2026'!H2337)</f>
        <v/>
      </c>
      <c r="F2337">
        <f>IF(ISBLANK('ENGAGEMENTS 2026'!B2337),"",'ENGAGEMENTS 2026'!I2337)</f>
        <v/>
      </c>
      <c r="G2337">
        <f>IF(ISBLANK('ENGAGEMENTS 2026'!B2337),"",'ENGAGEMENTS 2026'!L2337)</f>
        <v/>
      </c>
      <c r="H2337">
        <f>IF(ISBLANK('ENGAGEMENTS 2026'!B2337),"",'ENGAGEMENTS 2026'!AE2337)</f>
        <v/>
      </c>
      <c r="I2337">
        <f>IF(ISBLANK('ENGAGEMENTS 2026'!B2337),"",'ENGAGEMENTS 2026'!G2337)</f>
        <v/>
      </c>
      <c r="J2337" s="275">
        <f>IF(ISBLANK('ENGAGEMENTS 2026'!B2337),"",IF(AND(OR($E2337="INFRUCTUEUX",$E2337="ANNULE"),$C2337="AOO-M"),'ENGAGEMENTS 2026'!O2337,IF($H2337="EN COURS DE PREENGAGEMENT",'ENGAGEMENTS 2026'!N2337,IF($H2337="PREENGAGE",IF($E2337="ATTRIBUE",'ENGAGEMENTS 2026'!AD2337,'ENGAGEMENTS 2026'!N2337),'ENGAGEMENTS 2026'!AD2337))))</f>
        <v/>
      </c>
      <c r="K2337" s="604">
        <f>IF(ISBLANK('ENGAGEMENTS 2026'!V2337),"",'ENGAGEMENTS 2026'!V2337)</f>
        <v/>
      </c>
      <c r="L2337" s="276">
        <f>IF($K2337="","",TODAY()-$K2337)</f>
        <v/>
      </c>
      <c r="M2337">
        <f>IF($A2337="","",IF($H2337="ENGAGE","Engagé",IF(AND($H2337="NON ENGAGE",OR($I2337="INFRUCTUEUX",$I2337="ANNULE")),"Clôturé sans suite","En cours")))</f>
        <v/>
      </c>
      <c r="N2337">
        <f>IF(ISBLANK('ENGAGEMENTS 2026'!B2337),"",'ENGAGEMENTS 2026'!K2337)</f>
        <v/>
      </c>
      <c r="O2337">
        <f>IF(ISBLANK('ENGAGEMENTS 2026'!B2337),"",'ENGAGEMENTS 2026'!L2337)</f>
        <v/>
      </c>
      <c r="P2337">
        <f>IF(ISBLANK('ENGAGEMENTS 2026'!B2337),"",'ENGAGEMENTS 2026'!J2337)</f>
        <v/>
      </c>
      <c r="Q2337">
        <f>IF($A2337="","",IF(OR($E2337="INFRUCTUEUX",$E2337="ANNULE"),$A2337&amp;"|"&amp;(COUNTIFS($A$2:$A2337,$A2337,$E$2:$E2337,"INFRUCTUEUX")+COUNTIFS($A$2:$A2337,$A2337,$E$2:$E2337,"ANNULE")),""))</f>
        <v/>
      </c>
    </row>
    <row r="2338">
      <c r="A2338">
        <f>IF(ISBLANK('ENGAGEMENTS 2026'!B2338),"",IF('ENGAGEMENTS 2026'!B2338="DTSI","DCT",'ENGAGEMENTS 2026'!B2338))</f>
        <v/>
      </c>
      <c r="B2338">
        <f>IF(ISBLANK('ENGAGEMENTS 2026'!B2338),"",'ENGAGEMENTS 2026'!C2338)</f>
        <v/>
      </c>
      <c r="C2338">
        <f>IF(ISBLANK('ENGAGEMENTS 2026'!B2338),"",'ENGAGEMENTS 2026'!D2338)</f>
        <v/>
      </c>
      <c r="D2338">
        <f>IF(ISBLANK('ENGAGEMENTS 2026'!B2338),"",'ENGAGEMENTS 2026'!F2338)</f>
        <v/>
      </c>
      <c r="E2338">
        <f>IF(ISBLANK('ENGAGEMENTS 2026'!B2338),"",'ENGAGEMENTS 2026'!H2338)</f>
        <v/>
      </c>
      <c r="F2338">
        <f>IF(ISBLANK('ENGAGEMENTS 2026'!B2338),"",'ENGAGEMENTS 2026'!I2338)</f>
        <v/>
      </c>
      <c r="G2338">
        <f>IF(ISBLANK('ENGAGEMENTS 2026'!B2338),"",'ENGAGEMENTS 2026'!L2338)</f>
        <v/>
      </c>
      <c r="H2338">
        <f>IF(ISBLANK('ENGAGEMENTS 2026'!B2338),"",'ENGAGEMENTS 2026'!AE2338)</f>
        <v/>
      </c>
      <c r="I2338">
        <f>IF(ISBLANK('ENGAGEMENTS 2026'!B2338),"",'ENGAGEMENTS 2026'!G2338)</f>
        <v/>
      </c>
      <c r="J2338" s="275">
        <f>IF(ISBLANK('ENGAGEMENTS 2026'!B2338),"",IF(AND(OR($E2338="INFRUCTUEUX",$E2338="ANNULE"),$C2338="AOO-M"),'ENGAGEMENTS 2026'!O2338,IF($H2338="EN COURS DE PREENGAGEMENT",'ENGAGEMENTS 2026'!N2338,IF($H2338="PREENGAGE",IF($E2338="ATTRIBUE",'ENGAGEMENTS 2026'!AD2338,'ENGAGEMENTS 2026'!N2338),'ENGAGEMENTS 2026'!AD2338))))</f>
        <v/>
      </c>
      <c r="K2338" s="604">
        <f>IF(ISBLANK('ENGAGEMENTS 2026'!V2338),"",'ENGAGEMENTS 2026'!V2338)</f>
        <v/>
      </c>
      <c r="L2338" s="276">
        <f>IF($K2338="","",TODAY()-$K2338)</f>
        <v/>
      </c>
      <c r="M2338">
        <f>IF($A2338="","",IF($H2338="ENGAGE","Engagé",IF(AND($H2338="NON ENGAGE",OR($I2338="INFRUCTUEUX",$I2338="ANNULE")),"Clôturé sans suite","En cours")))</f>
        <v/>
      </c>
      <c r="N2338">
        <f>IF(ISBLANK('ENGAGEMENTS 2026'!B2338),"",'ENGAGEMENTS 2026'!K2338)</f>
        <v/>
      </c>
      <c r="O2338">
        <f>IF(ISBLANK('ENGAGEMENTS 2026'!B2338),"",'ENGAGEMENTS 2026'!L2338)</f>
        <v/>
      </c>
      <c r="P2338">
        <f>IF(ISBLANK('ENGAGEMENTS 2026'!B2338),"",'ENGAGEMENTS 2026'!J2338)</f>
        <v/>
      </c>
      <c r="Q2338">
        <f>IF($A2338="","",IF(OR($E2338="INFRUCTUEUX",$E2338="ANNULE"),$A2338&amp;"|"&amp;(COUNTIFS($A$2:$A2338,$A2338,$E$2:$E2338,"INFRUCTUEUX")+COUNTIFS($A$2:$A2338,$A2338,$E$2:$E2338,"ANNULE")),""))</f>
        <v/>
      </c>
    </row>
    <row r="2339">
      <c r="A2339">
        <f>IF(ISBLANK('ENGAGEMENTS 2026'!B2339),"",IF('ENGAGEMENTS 2026'!B2339="DTSI","DCT",'ENGAGEMENTS 2026'!B2339))</f>
        <v/>
      </c>
      <c r="B2339">
        <f>IF(ISBLANK('ENGAGEMENTS 2026'!B2339),"",'ENGAGEMENTS 2026'!C2339)</f>
        <v/>
      </c>
      <c r="C2339">
        <f>IF(ISBLANK('ENGAGEMENTS 2026'!B2339),"",'ENGAGEMENTS 2026'!D2339)</f>
        <v/>
      </c>
      <c r="D2339">
        <f>IF(ISBLANK('ENGAGEMENTS 2026'!B2339),"",'ENGAGEMENTS 2026'!F2339)</f>
        <v/>
      </c>
      <c r="E2339">
        <f>IF(ISBLANK('ENGAGEMENTS 2026'!B2339),"",'ENGAGEMENTS 2026'!H2339)</f>
        <v/>
      </c>
      <c r="F2339">
        <f>IF(ISBLANK('ENGAGEMENTS 2026'!B2339),"",'ENGAGEMENTS 2026'!I2339)</f>
        <v/>
      </c>
      <c r="G2339">
        <f>IF(ISBLANK('ENGAGEMENTS 2026'!B2339),"",'ENGAGEMENTS 2026'!L2339)</f>
        <v/>
      </c>
      <c r="H2339">
        <f>IF(ISBLANK('ENGAGEMENTS 2026'!B2339),"",'ENGAGEMENTS 2026'!AE2339)</f>
        <v/>
      </c>
      <c r="I2339">
        <f>IF(ISBLANK('ENGAGEMENTS 2026'!B2339),"",'ENGAGEMENTS 2026'!G2339)</f>
        <v/>
      </c>
      <c r="J2339" s="275">
        <f>IF(ISBLANK('ENGAGEMENTS 2026'!B2339),"",IF(AND(OR($E2339="INFRUCTUEUX",$E2339="ANNULE"),$C2339="AOO-M"),'ENGAGEMENTS 2026'!O2339,IF($H2339="EN COURS DE PREENGAGEMENT",'ENGAGEMENTS 2026'!N2339,IF($H2339="PREENGAGE",IF($E2339="ATTRIBUE",'ENGAGEMENTS 2026'!AD2339,'ENGAGEMENTS 2026'!N2339),'ENGAGEMENTS 2026'!AD2339))))</f>
        <v/>
      </c>
      <c r="K2339" s="604">
        <f>IF(ISBLANK('ENGAGEMENTS 2026'!V2339),"",'ENGAGEMENTS 2026'!V2339)</f>
        <v/>
      </c>
      <c r="L2339" s="276">
        <f>IF($K2339="","",TODAY()-$K2339)</f>
        <v/>
      </c>
      <c r="M2339">
        <f>IF($A2339="","",IF($H2339="ENGAGE","Engagé",IF(AND($H2339="NON ENGAGE",OR($I2339="INFRUCTUEUX",$I2339="ANNULE")),"Clôturé sans suite","En cours")))</f>
        <v/>
      </c>
      <c r="N2339">
        <f>IF(ISBLANK('ENGAGEMENTS 2026'!B2339),"",'ENGAGEMENTS 2026'!K2339)</f>
        <v/>
      </c>
      <c r="O2339">
        <f>IF(ISBLANK('ENGAGEMENTS 2026'!B2339),"",'ENGAGEMENTS 2026'!L2339)</f>
        <v/>
      </c>
      <c r="P2339">
        <f>IF(ISBLANK('ENGAGEMENTS 2026'!B2339),"",'ENGAGEMENTS 2026'!J2339)</f>
        <v/>
      </c>
      <c r="Q2339">
        <f>IF($A2339="","",IF(OR($E2339="INFRUCTUEUX",$E2339="ANNULE"),$A2339&amp;"|"&amp;(COUNTIFS($A$2:$A2339,$A2339,$E$2:$E2339,"INFRUCTUEUX")+COUNTIFS($A$2:$A2339,$A2339,$E$2:$E2339,"ANNULE")),""))</f>
        <v/>
      </c>
    </row>
    <row r="2340">
      <c r="A2340">
        <f>IF(ISBLANK('ENGAGEMENTS 2026'!B2340),"",IF('ENGAGEMENTS 2026'!B2340="DTSI","DCT",'ENGAGEMENTS 2026'!B2340))</f>
        <v/>
      </c>
      <c r="B2340">
        <f>IF(ISBLANK('ENGAGEMENTS 2026'!B2340),"",'ENGAGEMENTS 2026'!C2340)</f>
        <v/>
      </c>
      <c r="C2340">
        <f>IF(ISBLANK('ENGAGEMENTS 2026'!B2340),"",'ENGAGEMENTS 2026'!D2340)</f>
        <v/>
      </c>
      <c r="D2340">
        <f>IF(ISBLANK('ENGAGEMENTS 2026'!B2340),"",'ENGAGEMENTS 2026'!F2340)</f>
        <v/>
      </c>
      <c r="E2340">
        <f>IF(ISBLANK('ENGAGEMENTS 2026'!B2340),"",'ENGAGEMENTS 2026'!H2340)</f>
        <v/>
      </c>
      <c r="F2340">
        <f>IF(ISBLANK('ENGAGEMENTS 2026'!B2340),"",'ENGAGEMENTS 2026'!I2340)</f>
        <v/>
      </c>
      <c r="G2340">
        <f>IF(ISBLANK('ENGAGEMENTS 2026'!B2340),"",'ENGAGEMENTS 2026'!L2340)</f>
        <v/>
      </c>
      <c r="H2340">
        <f>IF(ISBLANK('ENGAGEMENTS 2026'!B2340),"",'ENGAGEMENTS 2026'!AE2340)</f>
        <v/>
      </c>
      <c r="I2340">
        <f>IF(ISBLANK('ENGAGEMENTS 2026'!B2340),"",'ENGAGEMENTS 2026'!G2340)</f>
        <v/>
      </c>
      <c r="J2340" s="275">
        <f>IF(ISBLANK('ENGAGEMENTS 2026'!B2340),"",IF(AND(OR($E2340="INFRUCTUEUX",$E2340="ANNULE"),$C2340="AOO-M"),'ENGAGEMENTS 2026'!O2340,IF($H2340="EN COURS DE PREENGAGEMENT",'ENGAGEMENTS 2026'!N2340,IF($H2340="PREENGAGE",IF($E2340="ATTRIBUE",'ENGAGEMENTS 2026'!AD2340,'ENGAGEMENTS 2026'!N2340),'ENGAGEMENTS 2026'!AD2340))))</f>
        <v/>
      </c>
      <c r="K2340" s="604">
        <f>IF(ISBLANK('ENGAGEMENTS 2026'!V2340),"",'ENGAGEMENTS 2026'!V2340)</f>
        <v/>
      </c>
      <c r="L2340" s="276">
        <f>IF($K2340="","",TODAY()-$K2340)</f>
        <v/>
      </c>
      <c r="M2340">
        <f>IF($A2340="","",IF($H2340="ENGAGE","Engagé",IF(AND($H2340="NON ENGAGE",OR($I2340="INFRUCTUEUX",$I2340="ANNULE")),"Clôturé sans suite","En cours")))</f>
        <v/>
      </c>
      <c r="N2340">
        <f>IF(ISBLANK('ENGAGEMENTS 2026'!B2340),"",'ENGAGEMENTS 2026'!K2340)</f>
        <v/>
      </c>
      <c r="O2340">
        <f>IF(ISBLANK('ENGAGEMENTS 2026'!B2340),"",'ENGAGEMENTS 2026'!L2340)</f>
        <v/>
      </c>
      <c r="P2340">
        <f>IF(ISBLANK('ENGAGEMENTS 2026'!B2340),"",'ENGAGEMENTS 2026'!J2340)</f>
        <v/>
      </c>
      <c r="Q2340">
        <f>IF($A2340="","",IF(OR($E2340="INFRUCTUEUX",$E2340="ANNULE"),$A2340&amp;"|"&amp;(COUNTIFS($A$2:$A2340,$A2340,$E$2:$E2340,"INFRUCTUEUX")+COUNTIFS($A$2:$A2340,$A2340,$E$2:$E2340,"ANNULE")),""))</f>
        <v/>
      </c>
    </row>
    <row r="2341">
      <c r="A2341">
        <f>IF(ISBLANK('ENGAGEMENTS 2026'!B2341),"",IF('ENGAGEMENTS 2026'!B2341="DTSI","DCT",'ENGAGEMENTS 2026'!B2341))</f>
        <v/>
      </c>
      <c r="B2341">
        <f>IF(ISBLANK('ENGAGEMENTS 2026'!B2341),"",'ENGAGEMENTS 2026'!C2341)</f>
        <v/>
      </c>
      <c r="C2341">
        <f>IF(ISBLANK('ENGAGEMENTS 2026'!B2341),"",'ENGAGEMENTS 2026'!D2341)</f>
        <v/>
      </c>
      <c r="D2341">
        <f>IF(ISBLANK('ENGAGEMENTS 2026'!B2341),"",'ENGAGEMENTS 2026'!F2341)</f>
        <v/>
      </c>
      <c r="E2341">
        <f>IF(ISBLANK('ENGAGEMENTS 2026'!B2341),"",'ENGAGEMENTS 2026'!H2341)</f>
        <v/>
      </c>
      <c r="F2341">
        <f>IF(ISBLANK('ENGAGEMENTS 2026'!B2341),"",'ENGAGEMENTS 2026'!I2341)</f>
        <v/>
      </c>
      <c r="G2341">
        <f>IF(ISBLANK('ENGAGEMENTS 2026'!B2341),"",'ENGAGEMENTS 2026'!L2341)</f>
        <v/>
      </c>
      <c r="H2341">
        <f>IF(ISBLANK('ENGAGEMENTS 2026'!B2341),"",'ENGAGEMENTS 2026'!AE2341)</f>
        <v/>
      </c>
      <c r="I2341">
        <f>IF(ISBLANK('ENGAGEMENTS 2026'!B2341),"",'ENGAGEMENTS 2026'!G2341)</f>
        <v/>
      </c>
      <c r="J2341" s="275">
        <f>IF(ISBLANK('ENGAGEMENTS 2026'!B2341),"",IF(AND(OR($E2341="INFRUCTUEUX",$E2341="ANNULE"),$C2341="AOO-M"),'ENGAGEMENTS 2026'!O2341,IF($H2341="EN COURS DE PREENGAGEMENT",'ENGAGEMENTS 2026'!N2341,IF($H2341="PREENGAGE",IF($E2341="ATTRIBUE",'ENGAGEMENTS 2026'!AD2341,'ENGAGEMENTS 2026'!N2341),'ENGAGEMENTS 2026'!AD2341))))</f>
        <v/>
      </c>
      <c r="K2341" s="604">
        <f>IF(ISBLANK('ENGAGEMENTS 2026'!V2341),"",'ENGAGEMENTS 2026'!V2341)</f>
        <v/>
      </c>
      <c r="L2341" s="276">
        <f>IF($K2341="","",TODAY()-$K2341)</f>
        <v/>
      </c>
      <c r="M2341">
        <f>IF($A2341="","",IF($H2341="ENGAGE","Engagé",IF(AND($H2341="NON ENGAGE",OR($I2341="INFRUCTUEUX",$I2341="ANNULE")),"Clôturé sans suite","En cours")))</f>
        <v/>
      </c>
      <c r="N2341">
        <f>IF(ISBLANK('ENGAGEMENTS 2026'!B2341),"",'ENGAGEMENTS 2026'!K2341)</f>
        <v/>
      </c>
      <c r="O2341">
        <f>IF(ISBLANK('ENGAGEMENTS 2026'!B2341),"",'ENGAGEMENTS 2026'!L2341)</f>
        <v/>
      </c>
      <c r="P2341">
        <f>IF(ISBLANK('ENGAGEMENTS 2026'!B2341),"",'ENGAGEMENTS 2026'!J2341)</f>
        <v/>
      </c>
      <c r="Q2341">
        <f>IF($A2341="","",IF(OR($E2341="INFRUCTUEUX",$E2341="ANNULE"),$A2341&amp;"|"&amp;(COUNTIFS($A$2:$A2341,$A2341,$E$2:$E2341,"INFRUCTUEUX")+COUNTIFS($A$2:$A2341,$A2341,$E$2:$E2341,"ANNULE")),""))</f>
        <v/>
      </c>
    </row>
    <row r="2342">
      <c r="A2342">
        <f>IF(ISBLANK('ENGAGEMENTS 2026'!B2342),"",IF('ENGAGEMENTS 2026'!B2342="DTSI","DCT",'ENGAGEMENTS 2026'!B2342))</f>
        <v/>
      </c>
      <c r="B2342">
        <f>IF(ISBLANK('ENGAGEMENTS 2026'!B2342),"",'ENGAGEMENTS 2026'!C2342)</f>
        <v/>
      </c>
      <c r="C2342">
        <f>IF(ISBLANK('ENGAGEMENTS 2026'!B2342),"",'ENGAGEMENTS 2026'!D2342)</f>
        <v/>
      </c>
      <c r="D2342">
        <f>IF(ISBLANK('ENGAGEMENTS 2026'!B2342),"",'ENGAGEMENTS 2026'!F2342)</f>
        <v/>
      </c>
      <c r="E2342">
        <f>IF(ISBLANK('ENGAGEMENTS 2026'!B2342),"",'ENGAGEMENTS 2026'!H2342)</f>
        <v/>
      </c>
      <c r="F2342">
        <f>IF(ISBLANK('ENGAGEMENTS 2026'!B2342),"",'ENGAGEMENTS 2026'!I2342)</f>
        <v/>
      </c>
      <c r="G2342">
        <f>IF(ISBLANK('ENGAGEMENTS 2026'!B2342),"",'ENGAGEMENTS 2026'!L2342)</f>
        <v/>
      </c>
      <c r="H2342">
        <f>IF(ISBLANK('ENGAGEMENTS 2026'!B2342),"",'ENGAGEMENTS 2026'!AE2342)</f>
        <v/>
      </c>
      <c r="I2342">
        <f>IF(ISBLANK('ENGAGEMENTS 2026'!B2342),"",'ENGAGEMENTS 2026'!G2342)</f>
        <v/>
      </c>
      <c r="J2342" s="275">
        <f>IF(ISBLANK('ENGAGEMENTS 2026'!B2342),"",IF(AND(OR($E2342="INFRUCTUEUX",$E2342="ANNULE"),$C2342="AOO-M"),'ENGAGEMENTS 2026'!O2342,IF($H2342="EN COURS DE PREENGAGEMENT",'ENGAGEMENTS 2026'!N2342,IF($H2342="PREENGAGE",IF($E2342="ATTRIBUE",'ENGAGEMENTS 2026'!AD2342,'ENGAGEMENTS 2026'!N2342),'ENGAGEMENTS 2026'!AD2342))))</f>
        <v/>
      </c>
      <c r="K2342" s="604">
        <f>IF(ISBLANK('ENGAGEMENTS 2026'!V2342),"",'ENGAGEMENTS 2026'!V2342)</f>
        <v/>
      </c>
      <c r="L2342" s="276">
        <f>IF($K2342="","",TODAY()-$K2342)</f>
        <v/>
      </c>
      <c r="M2342">
        <f>IF($A2342="","",IF($H2342="ENGAGE","Engagé",IF(AND($H2342="NON ENGAGE",OR($I2342="INFRUCTUEUX",$I2342="ANNULE")),"Clôturé sans suite","En cours")))</f>
        <v/>
      </c>
      <c r="N2342">
        <f>IF(ISBLANK('ENGAGEMENTS 2026'!B2342),"",'ENGAGEMENTS 2026'!K2342)</f>
        <v/>
      </c>
      <c r="O2342">
        <f>IF(ISBLANK('ENGAGEMENTS 2026'!B2342),"",'ENGAGEMENTS 2026'!L2342)</f>
        <v/>
      </c>
      <c r="P2342">
        <f>IF(ISBLANK('ENGAGEMENTS 2026'!B2342),"",'ENGAGEMENTS 2026'!J2342)</f>
        <v/>
      </c>
      <c r="Q2342">
        <f>IF($A2342="","",IF(OR($E2342="INFRUCTUEUX",$E2342="ANNULE"),$A2342&amp;"|"&amp;(COUNTIFS($A$2:$A2342,$A2342,$E$2:$E2342,"INFRUCTUEUX")+COUNTIFS($A$2:$A2342,$A2342,$E$2:$E2342,"ANNULE")),""))</f>
        <v/>
      </c>
    </row>
    <row r="2343">
      <c r="A2343">
        <f>IF(ISBLANK('ENGAGEMENTS 2026'!B2343),"",IF('ENGAGEMENTS 2026'!B2343="DTSI","DCT",'ENGAGEMENTS 2026'!B2343))</f>
        <v/>
      </c>
      <c r="B2343">
        <f>IF(ISBLANK('ENGAGEMENTS 2026'!B2343),"",'ENGAGEMENTS 2026'!C2343)</f>
        <v/>
      </c>
      <c r="C2343">
        <f>IF(ISBLANK('ENGAGEMENTS 2026'!B2343),"",'ENGAGEMENTS 2026'!D2343)</f>
        <v/>
      </c>
      <c r="D2343">
        <f>IF(ISBLANK('ENGAGEMENTS 2026'!B2343),"",'ENGAGEMENTS 2026'!F2343)</f>
        <v/>
      </c>
      <c r="E2343">
        <f>IF(ISBLANK('ENGAGEMENTS 2026'!B2343),"",'ENGAGEMENTS 2026'!H2343)</f>
        <v/>
      </c>
      <c r="F2343">
        <f>IF(ISBLANK('ENGAGEMENTS 2026'!B2343),"",'ENGAGEMENTS 2026'!I2343)</f>
        <v/>
      </c>
      <c r="G2343">
        <f>IF(ISBLANK('ENGAGEMENTS 2026'!B2343),"",'ENGAGEMENTS 2026'!L2343)</f>
        <v/>
      </c>
      <c r="H2343">
        <f>IF(ISBLANK('ENGAGEMENTS 2026'!B2343),"",'ENGAGEMENTS 2026'!AE2343)</f>
        <v/>
      </c>
      <c r="I2343">
        <f>IF(ISBLANK('ENGAGEMENTS 2026'!B2343),"",'ENGAGEMENTS 2026'!G2343)</f>
        <v/>
      </c>
      <c r="J2343" s="275">
        <f>IF(ISBLANK('ENGAGEMENTS 2026'!B2343),"",IF(AND(OR($E2343="INFRUCTUEUX",$E2343="ANNULE"),$C2343="AOO-M"),'ENGAGEMENTS 2026'!O2343,IF($H2343="EN COURS DE PREENGAGEMENT",'ENGAGEMENTS 2026'!N2343,IF($H2343="PREENGAGE",IF($E2343="ATTRIBUE",'ENGAGEMENTS 2026'!AD2343,'ENGAGEMENTS 2026'!N2343),'ENGAGEMENTS 2026'!AD2343))))</f>
        <v/>
      </c>
      <c r="K2343" s="604">
        <f>IF(ISBLANK('ENGAGEMENTS 2026'!V2343),"",'ENGAGEMENTS 2026'!V2343)</f>
        <v/>
      </c>
      <c r="L2343" s="276">
        <f>IF($K2343="","",TODAY()-$K2343)</f>
        <v/>
      </c>
      <c r="M2343">
        <f>IF($A2343="","",IF($H2343="ENGAGE","Engagé",IF(AND($H2343="NON ENGAGE",OR($I2343="INFRUCTUEUX",$I2343="ANNULE")),"Clôturé sans suite","En cours")))</f>
        <v/>
      </c>
      <c r="N2343">
        <f>IF(ISBLANK('ENGAGEMENTS 2026'!B2343),"",'ENGAGEMENTS 2026'!K2343)</f>
        <v/>
      </c>
      <c r="O2343">
        <f>IF(ISBLANK('ENGAGEMENTS 2026'!B2343),"",'ENGAGEMENTS 2026'!L2343)</f>
        <v/>
      </c>
      <c r="P2343">
        <f>IF(ISBLANK('ENGAGEMENTS 2026'!B2343),"",'ENGAGEMENTS 2026'!J2343)</f>
        <v/>
      </c>
      <c r="Q2343">
        <f>IF($A2343="","",IF(OR($E2343="INFRUCTUEUX",$E2343="ANNULE"),$A2343&amp;"|"&amp;(COUNTIFS($A$2:$A2343,$A2343,$E$2:$E2343,"INFRUCTUEUX")+COUNTIFS($A$2:$A2343,$A2343,$E$2:$E2343,"ANNULE")),""))</f>
        <v/>
      </c>
    </row>
    <row r="2344">
      <c r="A2344">
        <f>IF(ISBLANK('ENGAGEMENTS 2026'!B2344),"",IF('ENGAGEMENTS 2026'!B2344="DTSI","DCT",'ENGAGEMENTS 2026'!B2344))</f>
        <v/>
      </c>
      <c r="B2344">
        <f>IF(ISBLANK('ENGAGEMENTS 2026'!B2344),"",'ENGAGEMENTS 2026'!C2344)</f>
        <v/>
      </c>
      <c r="C2344">
        <f>IF(ISBLANK('ENGAGEMENTS 2026'!B2344),"",'ENGAGEMENTS 2026'!D2344)</f>
        <v/>
      </c>
      <c r="D2344">
        <f>IF(ISBLANK('ENGAGEMENTS 2026'!B2344),"",'ENGAGEMENTS 2026'!F2344)</f>
        <v/>
      </c>
      <c r="E2344">
        <f>IF(ISBLANK('ENGAGEMENTS 2026'!B2344),"",'ENGAGEMENTS 2026'!H2344)</f>
        <v/>
      </c>
      <c r="F2344">
        <f>IF(ISBLANK('ENGAGEMENTS 2026'!B2344),"",'ENGAGEMENTS 2026'!I2344)</f>
        <v/>
      </c>
      <c r="G2344">
        <f>IF(ISBLANK('ENGAGEMENTS 2026'!B2344),"",'ENGAGEMENTS 2026'!L2344)</f>
        <v/>
      </c>
      <c r="H2344">
        <f>IF(ISBLANK('ENGAGEMENTS 2026'!B2344),"",'ENGAGEMENTS 2026'!AE2344)</f>
        <v/>
      </c>
      <c r="I2344">
        <f>IF(ISBLANK('ENGAGEMENTS 2026'!B2344),"",'ENGAGEMENTS 2026'!G2344)</f>
        <v/>
      </c>
      <c r="J2344" s="275">
        <f>IF(ISBLANK('ENGAGEMENTS 2026'!B2344),"",IF(AND(OR($E2344="INFRUCTUEUX",$E2344="ANNULE"),$C2344="AOO-M"),'ENGAGEMENTS 2026'!O2344,IF($H2344="EN COURS DE PREENGAGEMENT",'ENGAGEMENTS 2026'!N2344,IF($H2344="PREENGAGE",IF($E2344="ATTRIBUE",'ENGAGEMENTS 2026'!AD2344,'ENGAGEMENTS 2026'!N2344),'ENGAGEMENTS 2026'!AD2344))))</f>
        <v/>
      </c>
      <c r="K2344" s="604">
        <f>IF(ISBLANK('ENGAGEMENTS 2026'!V2344),"",'ENGAGEMENTS 2026'!V2344)</f>
        <v/>
      </c>
      <c r="L2344" s="276">
        <f>IF($K2344="","",TODAY()-$K2344)</f>
        <v/>
      </c>
      <c r="M2344">
        <f>IF($A2344="","",IF($H2344="ENGAGE","Engagé",IF(AND($H2344="NON ENGAGE",OR($I2344="INFRUCTUEUX",$I2344="ANNULE")),"Clôturé sans suite","En cours")))</f>
        <v/>
      </c>
      <c r="N2344">
        <f>IF(ISBLANK('ENGAGEMENTS 2026'!B2344),"",'ENGAGEMENTS 2026'!K2344)</f>
        <v/>
      </c>
      <c r="O2344">
        <f>IF(ISBLANK('ENGAGEMENTS 2026'!B2344),"",'ENGAGEMENTS 2026'!L2344)</f>
        <v/>
      </c>
      <c r="P2344">
        <f>IF(ISBLANK('ENGAGEMENTS 2026'!B2344),"",'ENGAGEMENTS 2026'!J2344)</f>
        <v/>
      </c>
      <c r="Q2344">
        <f>IF($A2344="","",IF(OR($E2344="INFRUCTUEUX",$E2344="ANNULE"),$A2344&amp;"|"&amp;(COUNTIFS($A$2:$A2344,$A2344,$E$2:$E2344,"INFRUCTUEUX")+COUNTIFS($A$2:$A2344,$A2344,$E$2:$E2344,"ANNULE")),""))</f>
        <v/>
      </c>
    </row>
    <row r="2345">
      <c r="A2345">
        <f>IF(ISBLANK('ENGAGEMENTS 2026'!B2345),"",IF('ENGAGEMENTS 2026'!B2345="DTSI","DCT",'ENGAGEMENTS 2026'!B2345))</f>
        <v/>
      </c>
      <c r="B2345">
        <f>IF(ISBLANK('ENGAGEMENTS 2026'!B2345),"",'ENGAGEMENTS 2026'!C2345)</f>
        <v/>
      </c>
      <c r="C2345">
        <f>IF(ISBLANK('ENGAGEMENTS 2026'!B2345),"",'ENGAGEMENTS 2026'!D2345)</f>
        <v/>
      </c>
      <c r="D2345">
        <f>IF(ISBLANK('ENGAGEMENTS 2026'!B2345),"",'ENGAGEMENTS 2026'!F2345)</f>
        <v/>
      </c>
      <c r="E2345">
        <f>IF(ISBLANK('ENGAGEMENTS 2026'!B2345),"",'ENGAGEMENTS 2026'!H2345)</f>
        <v/>
      </c>
      <c r="F2345">
        <f>IF(ISBLANK('ENGAGEMENTS 2026'!B2345),"",'ENGAGEMENTS 2026'!I2345)</f>
        <v/>
      </c>
      <c r="G2345">
        <f>IF(ISBLANK('ENGAGEMENTS 2026'!B2345),"",'ENGAGEMENTS 2026'!L2345)</f>
        <v/>
      </c>
      <c r="H2345">
        <f>IF(ISBLANK('ENGAGEMENTS 2026'!B2345),"",'ENGAGEMENTS 2026'!AE2345)</f>
        <v/>
      </c>
      <c r="I2345">
        <f>IF(ISBLANK('ENGAGEMENTS 2026'!B2345),"",'ENGAGEMENTS 2026'!G2345)</f>
        <v/>
      </c>
      <c r="J2345" s="275">
        <f>IF(ISBLANK('ENGAGEMENTS 2026'!B2345),"",IF(AND(OR($E2345="INFRUCTUEUX",$E2345="ANNULE"),$C2345="AOO-M"),'ENGAGEMENTS 2026'!O2345,IF($H2345="EN COURS DE PREENGAGEMENT",'ENGAGEMENTS 2026'!N2345,IF($H2345="PREENGAGE",IF($E2345="ATTRIBUE",'ENGAGEMENTS 2026'!AD2345,'ENGAGEMENTS 2026'!N2345),'ENGAGEMENTS 2026'!AD2345))))</f>
        <v/>
      </c>
      <c r="K2345" s="604">
        <f>IF(ISBLANK('ENGAGEMENTS 2026'!V2345),"",'ENGAGEMENTS 2026'!V2345)</f>
        <v/>
      </c>
      <c r="L2345" s="276">
        <f>IF($K2345="","",TODAY()-$K2345)</f>
        <v/>
      </c>
      <c r="M2345">
        <f>IF($A2345="","",IF($H2345="ENGAGE","Engagé",IF(AND($H2345="NON ENGAGE",OR($I2345="INFRUCTUEUX",$I2345="ANNULE")),"Clôturé sans suite","En cours")))</f>
        <v/>
      </c>
      <c r="N2345">
        <f>IF(ISBLANK('ENGAGEMENTS 2026'!B2345),"",'ENGAGEMENTS 2026'!K2345)</f>
        <v/>
      </c>
      <c r="O2345">
        <f>IF(ISBLANK('ENGAGEMENTS 2026'!B2345),"",'ENGAGEMENTS 2026'!L2345)</f>
        <v/>
      </c>
      <c r="P2345">
        <f>IF(ISBLANK('ENGAGEMENTS 2026'!B2345),"",'ENGAGEMENTS 2026'!J2345)</f>
        <v/>
      </c>
      <c r="Q2345">
        <f>IF($A2345="","",IF(OR($E2345="INFRUCTUEUX",$E2345="ANNULE"),$A2345&amp;"|"&amp;(COUNTIFS($A$2:$A2345,$A2345,$E$2:$E2345,"INFRUCTUEUX")+COUNTIFS($A$2:$A2345,$A2345,$E$2:$E2345,"ANNULE")),""))</f>
        <v/>
      </c>
    </row>
    <row r="2346">
      <c r="A2346">
        <f>IF(ISBLANK('ENGAGEMENTS 2026'!B2346),"",IF('ENGAGEMENTS 2026'!B2346="DTSI","DCT",'ENGAGEMENTS 2026'!B2346))</f>
        <v/>
      </c>
      <c r="B2346">
        <f>IF(ISBLANK('ENGAGEMENTS 2026'!B2346),"",'ENGAGEMENTS 2026'!C2346)</f>
        <v/>
      </c>
      <c r="C2346">
        <f>IF(ISBLANK('ENGAGEMENTS 2026'!B2346),"",'ENGAGEMENTS 2026'!D2346)</f>
        <v/>
      </c>
      <c r="D2346">
        <f>IF(ISBLANK('ENGAGEMENTS 2026'!B2346),"",'ENGAGEMENTS 2026'!F2346)</f>
        <v/>
      </c>
      <c r="E2346">
        <f>IF(ISBLANK('ENGAGEMENTS 2026'!B2346),"",'ENGAGEMENTS 2026'!H2346)</f>
        <v/>
      </c>
      <c r="F2346">
        <f>IF(ISBLANK('ENGAGEMENTS 2026'!B2346),"",'ENGAGEMENTS 2026'!I2346)</f>
        <v/>
      </c>
      <c r="G2346">
        <f>IF(ISBLANK('ENGAGEMENTS 2026'!B2346),"",'ENGAGEMENTS 2026'!L2346)</f>
        <v/>
      </c>
      <c r="H2346">
        <f>IF(ISBLANK('ENGAGEMENTS 2026'!B2346),"",'ENGAGEMENTS 2026'!AE2346)</f>
        <v/>
      </c>
      <c r="I2346">
        <f>IF(ISBLANK('ENGAGEMENTS 2026'!B2346),"",'ENGAGEMENTS 2026'!G2346)</f>
        <v/>
      </c>
      <c r="J2346" s="275">
        <f>IF(ISBLANK('ENGAGEMENTS 2026'!B2346),"",IF(AND(OR($E2346="INFRUCTUEUX",$E2346="ANNULE"),$C2346="AOO-M"),'ENGAGEMENTS 2026'!O2346,IF($H2346="EN COURS DE PREENGAGEMENT",'ENGAGEMENTS 2026'!N2346,IF($H2346="PREENGAGE",IF($E2346="ATTRIBUE",'ENGAGEMENTS 2026'!AD2346,'ENGAGEMENTS 2026'!N2346),'ENGAGEMENTS 2026'!AD2346))))</f>
        <v/>
      </c>
      <c r="K2346" s="604">
        <f>IF(ISBLANK('ENGAGEMENTS 2026'!V2346),"",'ENGAGEMENTS 2026'!V2346)</f>
        <v/>
      </c>
      <c r="L2346" s="276">
        <f>IF($K2346="","",TODAY()-$K2346)</f>
        <v/>
      </c>
      <c r="M2346">
        <f>IF($A2346="","",IF($H2346="ENGAGE","Engagé",IF(AND($H2346="NON ENGAGE",OR($I2346="INFRUCTUEUX",$I2346="ANNULE")),"Clôturé sans suite","En cours")))</f>
        <v/>
      </c>
      <c r="N2346">
        <f>IF(ISBLANK('ENGAGEMENTS 2026'!B2346),"",'ENGAGEMENTS 2026'!K2346)</f>
        <v/>
      </c>
      <c r="O2346">
        <f>IF(ISBLANK('ENGAGEMENTS 2026'!B2346),"",'ENGAGEMENTS 2026'!L2346)</f>
        <v/>
      </c>
      <c r="P2346">
        <f>IF(ISBLANK('ENGAGEMENTS 2026'!B2346),"",'ENGAGEMENTS 2026'!J2346)</f>
        <v/>
      </c>
      <c r="Q2346">
        <f>IF($A2346="","",IF(OR($E2346="INFRUCTUEUX",$E2346="ANNULE"),$A2346&amp;"|"&amp;(COUNTIFS($A$2:$A2346,$A2346,$E$2:$E2346,"INFRUCTUEUX")+COUNTIFS($A$2:$A2346,$A2346,$E$2:$E2346,"ANNULE")),""))</f>
        <v/>
      </c>
    </row>
    <row r="2347">
      <c r="A2347">
        <f>IF(ISBLANK('ENGAGEMENTS 2026'!B2347),"",IF('ENGAGEMENTS 2026'!B2347="DTSI","DCT",'ENGAGEMENTS 2026'!B2347))</f>
        <v/>
      </c>
      <c r="B2347">
        <f>IF(ISBLANK('ENGAGEMENTS 2026'!B2347),"",'ENGAGEMENTS 2026'!C2347)</f>
        <v/>
      </c>
      <c r="C2347">
        <f>IF(ISBLANK('ENGAGEMENTS 2026'!B2347),"",'ENGAGEMENTS 2026'!D2347)</f>
        <v/>
      </c>
      <c r="D2347">
        <f>IF(ISBLANK('ENGAGEMENTS 2026'!B2347),"",'ENGAGEMENTS 2026'!F2347)</f>
        <v/>
      </c>
      <c r="E2347">
        <f>IF(ISBLANK('ENGAGEMENTS 2026'!B2347),"",'ENGAGEMENTS 2026'!H2347)</f>
        <v/>
      </c>
      <c r="F2347">
        <f>IF(ISBLANK('ENGAGEMENTS 2026'!B2347),"",'ENGAGEMENTS 2026'!I2347)</f>
        <v/>
      </c>
      <c r="G2347">
        <f>IF(ISBLANK('ENGAGEMENTS 2026'!B2347),"",'ENGAGEMENTS 2026'!L2347)</f>
        <v/>
      </c>
      <c r="H2347">
        <f>IF(ISBLANK('ENGAGEMENTS 2026'!B2347),"",'ENGAGEMENTS 2026'!AE2347)</f>
        <v/>
      </c>
      <c r="I2347">
        <f>IF(ISBLANK('ENGAGEMENTS 2026'!B2347),"",'ENGAGEMENTS 2026'!G2347)</f>
        <v/>
      </c>
      <c r="J2347" s="275">
        <f>IF(ISBLANK('ENGAGEMENTS 2026'!B2347),"",IF(AND(OR($E2347="INFRUCTUEUX",$E2347="ANNULE"),$C2347="AOO-M"),'ENGAGEMENTS 2026'!O2347,IF($H2347="EN COURS DE PREENGAGEMENT",'ENGAGEMENTS 2026'!N2347,IF($H2347="PREENGAGE",IF($E2347="ATTRIBUE",'ENGAGEMENTS 2026'!AD2347,'ENGAGEMENTS 2026'!N2347),'ENGAGEMENTS 2026'!AD2347))))</f>
        <v/>
      </c>
      <c r="K2347" s="604">
        <f>IF(ISBLANK('ENGAGEMENTS 2026'!V2347),"",'ENGAGEMENTS 2026'!V2347)</f>
        <v/>
      </c>
      <c r="L2347" s="276">
        <f>IF($K2347="","",TODAY()-$K2347)</f>
        <v/>
      </c>
      <c r="M2347">
        <f>IF($A2347="","",IF($H2347="ENGAGE","Engagé",IF(AND($H2347="NON ENGAGE",OR($I2347="INFRUCTUEUX",$I2347="ANNULE")),"Clôturé sans suite","En cours")))</f>
        <v/>
      </c>
      <c r="N2347">
        <f>IF(ISBLANK('ENGAGEMENTS 2026'!B2347),"",'ENGAGEMENTS 2026'!K2347)</f>
        <v/>
      </c>
      <c r="O2347">
        <f>IF(ISBLANK('ENGAGEMENTS 2026'!B2347),"",'ENGAGEMENTS 2026'!L2347)</f>
        <v/>
      </c>
      <c r="P2347">
        <f>IF(ISBLANK('ENGAGEMENTS 2026'!B2347),"",'ENGAGEMENTS 2026'!J2347)</f>
        <v/>
      </c>
      <c r="Q2347">
        <f>IF($A2347="","",IF(OR($E2347="INFRUCTUEUX",$E2347="ANNULE"),$A2347&amp;"|"&amp;(COUNTIFS($A$2:$A2347,$A2347,$E$2:$E2347,"INFRUCTUEUX")+COUNTIFS($A$2:$A2347,$A2347,$E$2:$E2347,"ANNULE")),""))</f>
        <v/>
      </c>
    </row>
    <row r="2348">
      <c r="A2348">
        <f>IF(ISBLANK('ENGAGEMENTS 2026'!B2348),"",IF('ENGAGEMENTS 2026'!B2348="DTSI","DCT",'ENGAGEMENTS 2026'!B2348))</f>
        <v/>
      </c>
      <c r="B2348">
        <f>IF(ISBLANK('ENGAGEMENTS 2026'!B2348),"",'ENGAGEMENTS 2026'!C2348)</f>
        <v/>
      </c>
      <c r="C2348">
        <f>IF(ISBLANK('ENGAGEMENTS 2026'!B2348),"",'ENGAGEMENTS 2026'!D2348)</f>
        <v/>
      </c>
      <c r="D2348">
        <f>IF(ISBLANK('ENGAGEMENTS 2026'!B2348),"",'ENGAGEMENTS 2026'!F2348)</f>
        <v/>
      </c>
      <c r="E2348">
        <f>IF(ISBLANK('ENGAGEMENTS 2026'!B2348),"",'ENGAGEMENTS 2026'!H2348)</f>
        <v/>
      </c>
      <c r="F2348">
        <f>IF(ISBLANK('ENGAGEMENTS 2026'!B2348),"",'ENGAGEMENTS 2026'!I2348)</f>
        <v/>
      </c>
      <c r="G2348">
        <f>IF(ISBLANK('ENGAGEMENTS 2026'!B2348),"",'ENGAGEMENTS 2026'!L2348)</f>
        <v/>
      </c>
      <c r="H2348">
        <f>IF(ISBLANK('ENGAGEMENTS 2026'!B2348),"",'ENGAGEMENTS 2026'!AE2348)</f>
        <v/>
      </c>
      <c r="I2348">
        <f>IF(ISBLANK('ENGAGEMENTS 2026'!B2348),"",'ENGAGEMENTS 2026'!G2348)</f>
        <v/>
      </c>
      <c r="J2348" s="275">
        <f>IF(ISBLANK('ENGAGEMENTS 2026'!B2348),"",IF(AND(OR($E2348="INFRUCTUEUX",$E2348="ANNULE"),$C2348="AOO-M"),'ENGAGEMENTS 2026'!O2348,IF($H2348="EN COURS DE PREENGAGEMENT",'ENGAGEMENTS 2026'!N2348,IF($H2348="PREENGAGE",IF($E2348="ATTRIBUE",'ENGAGEMENTS 2026'!AD2348,'ENGAGEMENTS 2026'!N2348),'ENGAGEMENTS 2026'!AD2348))))</f>
        <v/>
      </c>
      <c r="K2348" s="604">
        <f>IF(ISBLANK('ENGAGEMENTS 2026'!V2348),"",'ENGAGEMENTS 2026'!V2348)</f>
        <v/>
      </c>
      <c r="L2348" s="276">
        <f>IF($K2348="","",TODAY()-$K2348)</f>
        <v/>
      </c>
      <c r="M2348">
        <f>IF($A2348="","",IF($H2348="ENGAGE","Engagé",IF(AND($H2348="NON ENGAGE",OR($I2348="INFRUCTUEUX",$I2348="ANNULE")),"Clôturé sans suite","En cours")))</f>
        <v/>
      </c>
      <c r="N2348">
        <f>IF(ISBLANK('ENGAGEMENTS 2026'!B2348),"",'ENGAGEMENTS 2026'!K2348)</f>
        <v/>
      </c>
      <c r="O2348">
        <f>IF(ISBLANK('ENGAGEMENTS 2026'!B2348),"",'ENGAGEMENTS 2026'!L2348)</f>
        <v/>
      </c>
      <c r="P2348">
        <f>IF(ISBLANK('ENGAGEMENTS 2026'!B2348),"",'ENGAGEMENTS 2026'!J2348)</f>
        <v/>
      </c>
      <c r="Q2348">
        <f>IF($A2348="","",IF(OR($E2348="INFRUCTUEUX",$E2348="ANNULE"),$A2348&amp;"|"&amp;(COUNTIFS($A$2:$A2348,$A2348,$E$2:$E2348,"INFRUCTUEUX")+COUNTIFS($A$2:$A2348,$A2348,$E$2:$E2348,"ANNULE")),""))</f>
        <v/>
      </c>
    </row>
    <row r="2349">
      <c r="A2349">
        <f>IF(ISBLANK('ENGAGEMENTS 2026'!B2349),"",IF('ENGAGEMENTS 2026'!B2349="DTSI","DCT",'ENGAGEMENTS 2026'!B2349))</f>
        <v/>
      </c>
      <c r="B2349">
        <f>IF(ISBLANK('ENGAGEMENTS 2026'!B2349),"",'ENGAGEMENTS 2026'!C2349)</f>
        <v/>
      </c>
      <c r="C2349">
        <f>IF(ISBLANK('ENGAGEMENTS 2026'!B2349),"",'ENGAGEMENTS 2026'!D2349)</f>
        <v/>
      </c>
      <c r="D2349">
        <f>IF(ISBLANK('ENGAGEMENTS 2026'!B2349),"",'ENGAGEMENTS 2026'!F2349)</f>
        <v/>
      </c>
      <c r="E2349">
        <f>IF(ISBLANK('ENGAGEMENTS 2026'!B2349),"",'ENGAGEMENTS 2026'!H2349)</f>
        <v/>
      </c>
      <c r="F2349">
        <f>IF(ISBLANK('ENGAGEMENTS 2026'!B2349),"",'ENGAGEMENTS 2026'!I2349)</f>
        <v/>
      </c>
      <c r="G2349">
        <f>IF(ISBLANK('ENGAGEMENTS 2026'!B2349),"",'ENGAGEMENTS 2026'!L2349)</f>
        <v/>
      </c>
      <c r="H2349">
        <f>IF(ISBLANK('ENGAGEMENTS 2026'!B2349),"",'ENGAGEMENTS 2026'!AE2349)</f>
        <v/>
      </c>
      <c r="I2349">
        <f>IF(ISBLANK('ENGAGEMENTS 2026'!B2349),"",'ENGAGEMENTS 2026'!G2349)</f>
        <v/>
      </c>
      <c r="J2349" s="275">
        <f>IF(ISBLANK('ENGAGEMENTS 2026'!B2349),"",IF(AND(OR($E2349="INFRUCTUEUX",$E2349="ANNULE"),$C2349="AOO-M"),'ENGAGEMENTS 2026'!O2349,IF($H2349="EN COURS DE PREENGAGEMENT",'ENGAGEMENTS 2026'!N2349,IF($H2349="PREENGAGE",IF($E2349="ATTRIBUE",'ENGAGEMENTS 2026'!AD2349,'ENGAGEMENTS 2026'!N2349),'ENGAGEMENTS 2026'!AD2349))))</f>
        <v/>
      </c>
      <c r="K2349" s="604">
        <f>IF(ISBLANK('ENGAGEMENTS 2026'!V2349),"",'ENGAGEMENTS 2026'!V2349)</f>
        <v/>
      </c>
      <c r="L2349" s="276">
        <f>IF($K2349="","",TODAY()-$K2349)</f>
        <v/>
      </c>
      <c r="M2349">
        <f>IF($A2349="","",IF($H2349="ENGAGE","Engagé",IF(AND($H2349="NON ENGAGE",OR($I2349="INFRUCTUEUX",$I2349="ANNULE")),"Clôturé sans suite","En cours")))</f>
        <v/>
      </c>
      <c r="N2349">
        <f>IF(ISBLANK('ENGAGEMENTS 2026'!B2349),"",'ENGAGEMENTS 2026'!K2349)</f>
        <v/>
      </c>
      <c r="O2349">
        <f>IF(ISBLANK('ENGAGEMENTS 2026'!B2349),"",'ENGAGEMENTS 2026'!L2349)</f>
        <v/>
      </c>
      <c r="P2349">
        <f>IF(ISBLANK('ENGAGEMENTS 2026'!B2349),"",'ENGAGEMENTS 2026'!J2349)</f>
        <v/>
      </c>
      <c r="Q2349">
        <f>IF($A2349="","",IF(OR($E2349="INFRUCTUEUX",$E2349="ANNULE"),$A2349&amp;"|"&amp;(COUNTIFS($A$2:$A2349,$A2349,$E$2:$E2349,"INFRUCTUEUX")+COUNTIFS($A$2:$A2349,$A2349,$E$2:$E2349,"ANNULE")),""))</f>
        <v/>
      </c>
    </row>
    <row r="2350">
      <c r="A2350">
        <f>IF(ISBLANK('ENGAGEMENTS 2026'!B2350),"",IF('ENGAGEMENTS 2026'!B2350="DTSI","DCT",'ENGAGEMENTS 2026'!B2350))</f>
        <v/>
      </c>
      <c r="B2350">
        <f>IF(ISBLANK('ENGAGEMENTS 2026'!B2350),"",'ENGAGEMENTS 2026'!C2350)</f>
        <v/>
      </c>
      <c r="C2350">
        <f>IF(ISBLANK('ENGAGEMENTS 2026'!B2350),"",'ENGAGEMENTS 2026'!D2350)</f>
        <v/>
      </c>
      <c r="D2350">
        <f>IF(ISBLANK('ENGAGEMENTS 2026'!B2350),"",'ENGAGEMENTS 2026'!F2350)</f>
        <v/>
      </c>
      <c r="E2350">
        <f>IF(ISBLANK('ENGAGEMENTS 2026'!B2350),"",'ENGAGEMENTS 2026'!H2350)</f>
        <v/>
      </c>
      <c r="F2350">
        <f>IF(ISBLANK('ENGAGEMENTS 2026'!B2350),"",'ENGAGEMENTS 2026'!I2350)</f>
        <v/>
      </c>
      <c r="G2350">
        <f>IF(ISBLANK('ENGAGEMENTS 2026'!B2350),"",'ENGAGEMENTS 2026'!L2350)</f>
        <v/>
      </c>
      <c r="H2350">
        <f>IF(ISBLANK('ENGAGEMENTS 2026'!B2350),"",'ENGAGEMENTS 2026'!AE2350)</f>
        <v/>
      </c>
      <c r="I2350">
        <f>IF(ISBLANK('ENGAGEMENTS 2026'!B2350),"",'ENGAGEMENTS 2026'!G2350)</f>
        <v/>
      </c>
      <c r="J2350" s="275">
        <f>IF(ISBLANK('ENGAGEMENTS 2026'!B2350),"",IF(AND(OR($E2350="INFRUCTUEUX",$E2350="ANNULE"),$C2350="AOO-M"),'ENGAGEMENTS 2026'!O2350,IF($H2350="EN COURS DE PREENGAGEMENT",'ENGAGEMENTS 2026'!N2350,IF($H2350="PREENGAGE",IF($E2350="ATTRIBUE",'ENGAGEMENTS 2026'!AD2350,'ENGAGEMENTS 2026'!N2350),'ENGAGEMENTS 2026'!AD2350))))</f>
        <v/>
      </c>
      <c r="K2350" s="604">
        <f>IF(ISBLANK('ENGAGEMENTS 2026'!V2350),"",'ENGAGEMENTS 2026'!V2350)</f>
        <v/>
      </c>
      <c r="L2350" s="276">
        <f>IF($K2350="","",TODAY()-$K2350)</f>
        <v/>
      </c>
      <c r="M2350">
        <f>IF($A2350="","",IF($H2350="ENGAGE","Engagé",IF(AND($H2350="NON ENGAGE",OR($I2350="INFRUCTUEUX",$I2350="ANNULE")),"Clôturé sans suite","En cours")))</f>
        <v/>
      </c>
      <c r="N2350">
        <f>IF(ISBLANK('ENGAGEMENTS 2026'!B2350),"",'ENGAGEMENTS 2026'!K2350)</f>
        <v/>
      </c>
      <c r="O2350">
        <f>IF(ISBLANK('ENGAGEMENTS 2026'!B2350),"",'ENGAGEMENTS 2026'!L2350)</f>
        <v/>
      </c>
      <c r="P2350">
        <f>IF(ISBLANK('ENGAGEMENTS 2026'!B2350),"",'ENGAGEMENTS 2026'!J2350)</f>
        <v/>
      </c>
      <c r="Q2350">
        <f>IF($A2350="","",IF(OR($E2350="INFRUCTUEUX",$E2350="ANNULE"),$A2350&amp;"|"&amp;(COUNTIFS($A$2:$A2350,$A2350,$E$2:$E2350,"INFRUCTUEUX")+COUNTIFS($A$2:$A2350,$A2350,$E$2:$E2350,"ANNULE")),""))</f>
        <v/>
      </c>
    </row>
    <row r="2351">
      <c r="A2351">
        <f>IF(ISBLANK('ENGAGEMENTS 2026'!B2351),"",IF('ENGAGEMENTS 2026'!B2351="DTSI","DCT",'ENGAGEMENTS 2026'!B2351))</f>
        <v/>
      </c>
      <c r="B2351">
        <f>IF(ISBLANK('ENGAGEMENTS 2026'!B2351),"",'ENGAGEMENTS 2026'!C2351)</f>
        <v/>
      </c>
      <c r="C2351">
        <f>IF(ISBLANK('ENGAGEMENTS 2026'!B2351),"",'ENGAGEMENTS 2026'!D2351)</f>
        <v/>
      </c>
      <c r="D2351">
        <f>IF(ISBLANK('ENGAGEMENTS 2026'!B2351),"",'ENGAGEMENTS 2026'!F2351)</f>
        <v/>
      </c>
      <c r="E2351">
        <f>IF(ISBLANK('ENGAGEMENTS 2026'!B2351),"",'ENGAGEMENTS 2026'!H2351)</f>
        <v/>
      </c>
      <c r="F2351">
        <f>IF(ISBLANK('ENGAGEMENTS 2026'!B2351),"",'ENGAGEMENTS 2026'!I2351)</f>
        <v/>
      </c>
      <c r="G2351">
        <f>IF(ISBLANK('ENGAGEMENTS 2026'!B2351),"",'ENGAGEMENTS 2026'!L2351)</f>
        <v/>
      </c>
      <c r="H2351">
        <f>IF(ISBLANK('ENGAGEMENTS 2026'!B2351),"",'ENGAGEMENTS 2026'!AE2351)</f>
        <v/>
      </c>
      <c r="I2351">
        <f>IF(ISBLANK('ENGAGEMENTS 2026'!B2351),"",'ENGAGEMENTS 2026'!G2351)</f>
        <v/>
      </c>
      <c r="J2351" s="275">
        <f>IF(ISBLANK('ENGAGEMENTS 2026'!B2351),"",IF(AND(OR($E2351="INFRUCTUEUX",$E2351="ANNULE"),$C2351="AOO-M"),'ENGAGEMENTS 2026'!O2351,IF($H2351="EN COURS DE PREENGAGEMENT",'ENGAGEMENTS 2026'!N2351,IF($H2351="PREENGAGE",IF($E2351="ATTRIBUE",'ENGAGEMENTS 2026'!AD2351,'ENGAGEMENTS 2026'!N2351),'ENGAGEMENTS 2026'!AD2351))))</f>
        <v/>
      </c>
      <c r="K2351" s="604">
        <f>IF(ISBLANK('ENGAGEMENTS 2026'!V2351),"",'ENGAGEMENTS 2026'!V2351)</f>
        <v/>
      </c>
      <c r="L2351" s="276">
        <f>IF($K2351="","",TODAY()-$K2351)</f>
        <v/>
      </c>
      <c r="M2351">
        <f>IF($A2351="","",IF($H2351="ENGAGE","Engagé",IF(AND($H2351="NON ENGAGE",OR($I2351="INFRUCTUEUX",$I2351="ANNULE")),"Clôturé sans suite","En cours")))</f>
        <v/>
      </c>
      <c r="N2351">
        <f>IF(ISBLANK('ENGAGEMENTS 2026'!B2351),"",'ENGAGEMENTS 2026'!K2351)</f>
        <v/>
      </c>
      <c r="O2351">
        <f>IF(ISBLANK('ENGAGEMENTS 2026'!B2351),"",'ENGAGEMENTS 2026'!L2351)</f>
        <v/>
      </c>
      <c r="P2351">
        <f>IF(ISBLANK('ENGAGEMENTS 2026'!B2351),"",'ENGAGEMENTS 2026'!J2351)</f>
        <v/>
      </c>
      <c r="Q2351">
        <f>IF($A2351="","",IF(OR($E2351="INFRUCTUEUX",$E2351="ANNULE"),$A2351&amp;"|"&amp;(COUNTIFS($A$2:$A2351,$A2351,$E$2:$E2351,"INFRUCTUEUX")+COUNTIFS($A$2:$A2351,$A2351,$E$2:$E2351,"ANNULE")),""))</f>
        <v/>
      </c>
    </row>
    <row r="2352">
      <c r="A2352">
        <f>IF(ISBLANK('ENGAGEMENTS 2026'!B2352),"",IF('ENGAGEMENTS 2026'!B2352="DTSI","DCT",'ENGAGEMENTS 2026'!B2352))</f>
        <v/>
      </c>
      <c r="B2352">
        <f>IF(ISBLANK('ENGAGEMENTS 2026'!B2352),"",'ENGAGEMENTS 2026'!C2352)</f>
        <v/>
      </c>
      <c r="C2352">
        <f>IF(ISBLANK('ENGAGEMENTS 2026'!B2352),"",'ENGAGEMENTS 2026'!D2352)</f>
        <v/>
      </c>
      <c r="D2352">
        <f>IF(ISBLANK('ENGAGEMENTS 2026'!B2352),"",'ENGAGEMENTS 2026'!F2352)</f>
        <v/>
      </c>
      <c r="E2352">
        <f>IF(ISBLANK('ENGAGEMENTS 2026'!B2352),"",'ENGAGEMENTS 2026'!H2352)</f>
        <v/>
      </c>
      <c r="F2352">
        <f>IF(ISBLANK('ENGAGEMENTS 2026'!B2352),"",'ENGAGEMENTS 2026'!I2352)</f>
        <v/>
      </c>
      <c r="G2352">
        <f>IF(ISBLANK('ENGAGEMENTS 2026'!B2352),"",'ENGAGEMENTS 2026'!L2352)</f>
        <v/>
      </c>
      <c r="H2352">
        <f>IF(ISBLANK('ENGAGEMENTS 2026'!B2352),"",'ENGAGEMENTS 2026'!AE2352)</f>
        <v/>
      </c>
      <c r="I2352">
        <f>IF(ISBLANK('ENGAGEMENTS 2026'!B2352),"",'ENGAGEMENTS 2026'!G2352)</f>
        <v/>
      </c>
      <c r="J2352" s="275">
        <f>IF(ISBLANK('ENGAGEMENTS 2026'!B2352),"",IF(AND(OR($E2352="INFRUCTUEUX",$E2352="ANNULE"),$C2352="AOO-M"),'ENGAGEMENTS 2026'!O2352,IF($H2352="EN COURS DE PREENGAGEMENT",'ENGAGEMENTS 2026'!N2352,IF($H2352="PREENGAGE",IF($E2352="ATTRIBUE",'ENGAGEMENTS 2026'!AD2352,'ENGAGEMENTS 2026'!N2352),'ENGAGEMENTS 2026'!AD2352))))</f>
        <v/>
      </c>
      <c r="K2352" s="604">
        <f>IF(ISBLANK('ENGAGEMENTS 2026'!V2352),"",'ENGAGEMENTS 2026'!V2352)</f>
        <v/>
      </c>
      <c r="L2352" s="276">
        <f>IF($K2352="","",TODAY()-$K2352)</f>
        <v/>
      </c>
      <c r="M2352">
        <f>IF($A2352="","",IF($H2352="ENGAGE","Engagé",IF(AND($H2352="NON ENGAGE",OR($I2352="INFRUCTUEUX",$I2352="ANNULE")),"Clôturé sans suite","En cours")))</f>
        <v/>
      </c>
      <c r="N2352">
        <f>IF(ISBLANK('ENGAGEMENTS 2026'!B2352),"",'ENGAGEMENTS 2026'!K2352)</f>
        <v/>
      </c>
      <c r="O2352">
        <f>IF(ISBLANK('ENGAGEMENTS 2026'!B2352),"",'ENGAGEMENTS 2026'!L2352)</f>
        <v/>
      </c>
      <c r="P2352">
        <f>IF(ISBLANK('ENGAGEMENTS 2026'!B2352),"",'ENGAGEMENTS 2026'!J2352)</f>
        <v/>
      </c>
      <c r="Q2352">
        <f>IF($A2352="","",IF(OR($E2352="INFRUCTUEUX",$E2352="ANNULE"),$A2352&amp;"|"&amp;(COUNTIFS($A$2:$A2352,$A2352,$E$2:$E2352,"INFRUCTUEUX")+COUNTIFS($A$2:$A2352,$A2352,$E$2:$E2352,"ANNULE")),""))</f>
        <v/>
      </c>
    </row>
    <row r="2353">
      <c r="A2353">
        <f>IF(ISBLANK('ENGAGEMENTS 2026'!B2353),"",IF('ENGAGEMENTS 2026'!B2353="DTSI","DCT",'ENGAGEMENTS 2026'!B2353))</f>
        <v/>
      </c>
      <c r="B2353">
        <f>IF(ISBLANK('ENGAGEMENTS 2026'!B2353),"",'ENGAGEMENTS 2026'!C2353)</f>
        <v/>
      </c>
      <c r="C2353">
        <f>IF(ISBLANK('ENGAGEMENTS 2026'!B2353),"",'ENGAGEMENTS 2026'!D2353)</f>
        <v/>
      </c>
      <c r="D2353">
        <f>IF(ISBLANK('ENGAGEMENTS 2026'!B2353),"",'ENGAGEMENTS 2026'!F2353)</f>
        <v/>
      </c>
      <c r="E2353">
        <f>IF(ISBLANK('ENGAGEMENTS 2026'!B2353),"",'ENGAGEMENTS 2026'!H2353)</f>
        <v/>
      </c>
      <c r="F2353">
        <f>IF(ISBLANK('ENGAGEMENTS 2026'!B2353),"",'ENGAGEMENTS 2026'!I2353)</f>
        <v/>
      </c>
      <c r="G2353">
        <f>IF(ISBLANK('ENGAGEMENTS 2026'!B2353),"",'ENGAGEMENTS 2026'!L2353)</f>
        <v/>
      </c>
      <c r="H2353">
        <f>IF(ISBLANK('ENGAGEMENTS 2026'!B2353),"",'ENGAGEMENTS 2026'!AE2353)</f>
        <v/>
      </c>
      <c r="I2353">
        <f>IF(ISBLANK('ENGAGEMENTS 2026'!B2353),"",'ENGAGEMENTS 2026'!G2353)</f>
        <v/>
      </c>
      <c r="J2353" s="275">
        <f>IF(ISBLANK('ENGAGEMENTS 2026'!B2353),"",IF(AND(OR($E2353="INFRUCTUEUX",$E2353="ANNULE"),$C2353="AOO-M"),'ENGAGEMENTS 2026'!O2353,IF($H2353="EN COURS DE PREENGAGEMENT",'ENGAGEMENTS 2026'!N2353,IF($H2353="PREENGAGE",IF($E2353="ATTRIBUE",'ENGAGEMENTS 2026'!AD2353,'ENGAGEMENTS 2026'!N2353),'ENGAGEMENTS 2026'!AD2353))))</f>
        <v/>
      </c>
      <c r="K2353" s="604">
        <f>IF(ISBLANK('ENGAGEMENTS 2026'!V2353),"",'ENGAGEMENTS 2026'!V2353)</f>
        <v/>
      </c>
      <c r="L2353" s="276">
        <f>IF($K2353="","",TODAY()-$K2353)</f>
        <v/>
      </c>
      <c r="M2353">
        <f>IF($A2353="","",IF($H2353="ENGAGE","Engagé",IF(AND($H2353="NON ENGAGE",OR($I2353="INFRUCTUEUX",$I2353="ANNULE")),"Clôturé sans suite","En cours")))</f>
        <v/>
      </c>
      <c r="N2353">
        <f>IF(ISBLANK('ENGAGEMENTS 2026'!B2353),"",'ENGAGEMENTS 2026'!K2353)</f>
        <v/>
      </c>
      <c r="O2353">
        <f>IF(ISBLANK('ENGAGEMENTS 2026'!B2353),"",'ENGAGEMENTS 2026'!L2353)</f>
        <v/>
      </c>
      <c r="P2353">
        <f>IF(ISBLANK('ENGAGEMENTS 2026'!B2353),"",'ENGAGEMENTS 2026'!J2353)</f>
        <v/>
      </c>
      <c r="Q2353">
        <f>IF($A2353="","",IF(OR($E2353="INFRUCTUEUX",$E2353="ANNULE"),$A2353&amp;"|"&amp;(COUNTIFS($A$2:$A2353,$A2353,$E$2:$E2353,"INFRUCTUEUX")+COUNTIFS($A$2:$A2353,$A2353,$E$2:$E2353,"ANNULE")),""))</f>
        <v/>
      </c>
    </row>
    <row r="2354">
      <c r="A2354">
        <f>IF(ISBLANK('ENGAGEMENTS 2026'!B2354),"",IF('ENGAGEMENTS 2026'!B2354="DTSI","DCT",'ENGAGEMENTS 2026'!B2354))</f>
        <v/>
      </c>
      <c r="B2354">
        <f>IF(ISBLANK('ENGAGEMENTS 2026'!B2354),"",'ENGAGEMENTS 2026'!C2354)</f>
        <v/>
      </c>
      <c r="C2354">
        <f>IF(ISBLANK('ENGAGEMENTS 2026'!B2354),"",'ENGAGEMENTS 2026'!D2354)</f>
        <v/>
      </c>
      <c r="D2354">
        <f>IF(ISBLANK('ENGAGEMENTS 2026'!B2354),"",'ENGAGEMENTS 2026'!F2354)</f>
        <v/>
      </c>
      <c r="E2354">
        <f>IF(ISBLANK('ENGAGEMENTS 2026'!B2354),"",'ENGAGEMENTS 2026'!H2354)</f>
        <v/>
      </c>
      <c r="F2354">
        <f>IF(ISBLANK('ENGAGEMENTS 2026'!B2354),"",'ENGAGEMENTS 2026'!I2354)</f>
        <v/>
      </c>
      <c r="G2354">
        <f>IF(ISBLANK('ENGAGEMENTS 2026'!B2354),"",'ENGAGEMENTS 2026'!L2354)</f>
        <v/>
      </c>
      <c r="H2354">
        <f>IF(ISBLANK('ENGAGEMENTS 2026'!B2354),"",'ENGAGEMENTS 2026'!AE2354)</f>
        <v/>
      </c>
      <c r="I2354">
        <f>IF(ISBLANK('ENGAGEMENTS 2026'!B2354),"",'ENGAGEMENTS 2026'!G2354)</f>
        <v/>
      </c>
      <c r="J2354" s="275">
        <f>IF(ISBLANK('ENGAGEMENTS 2026'!B2354),"",IF(AND(OR($E2354="INFRUCTUEUX",$E2354="ANNULE"),$C2354="AOO-M"),'ENGAGEMENTS 2026'!O2354,IF($H2354="EN COURS DE PREENGAGEMENT",'ENGAGEMENTS 2026'!N2354,IF($H2354="PREENGAGE",IF($E2354="ATTRIBUE",'ENGAGEMENTS 2026'!AD2354,'ENGAGEMENTS 2026'!N2354),'ENGAGEMENTS 2026'!AD2354))))</f>
        <v/>
      </c>
      <c r="K2354" s="604">
        <f>IF(ISBLANK('ENGAGEMENTS 2026'!V2354),"",'ENGAGEMENTS 2026'!V2354)</f>
        <v/>
      </c>
      <c r="L2354" s="276">
        <f>IF($K2354="","",TODAY()-$K2354)</f>
        <v/>
      </c>
      <c r="M2354">
        <f>IF($A2354="","",IF($H2354="ENGAGE","Engagé",IF(AND($H2354="NON ENGAGE",OR($I2354="INFRUCTUEUX",$I2354="ANNULE")),"Clôturé sans suite","En cours")))</f>
        <v/>
      </c>
      <c r="N2354">
        <f>IF(ISBLANK('ENGAGEMENTS 2026'!B2354),"",'ENGAGEMENTS 2026'!K2354)</f>
        <v/>
      </c>
      <c r="O2354">
        <f>IF(ISBLANK('ENGAGEMENTS 2026'!B2354),"",'ENGAGEMENTS 2026'!L2354)</f>
        <v/>
      </c>
      <c r="P2354">
        <f>IF(ISBLANK('ENGAGEMENTS 2026'!B2354),"",'ENGAGEMENTS 2026'!J2354)</f>
        <v/>
      </c>
      <c r="Q2354">
        <f>IF($A2354="","",IF(OR($E2354="INFRUCTUEUX",$E2354="ANNULE"),$A2354&amp;"|"&amp;(COUNTIFS($A$2:$A2354,$A2354,$E$2:$E2354,"INFRUCTUEUX")+COUNTIFS($A$2:$A2354,$A2354,$E$2:$E2354,"ANNULE")),""))</f>
        <v/>
      </c>
    </row>
    <row r="2355">
      <c r="A2355">
        <f>IF(ISBLANK('ENGAGEMENTS 2026'!B2355),"",IF('ENGAGEMENTS 2026'!B2355="DTSI","DCT",'ENGAGEMENTS 2026'!B2355))</f>
        <v/>
      </c>
      <c r="B2355">
        <f>IF(ISBLANK('ENGAGEMENTS 2026'!B2355),"",'ENGAGEMENTS 2026'!C2355)</f>
        <v/>
      </c>
      <c r="C2355">
        <f>IF(ISBLANK('ENGAGEMENTS 2026'!B2355),"",'ENGAGEMENTS 2026'!D2355)</f>
        <v/>
      </c>
      <c r="D2355">
        <f>IF(ISBLANK('ENGAGEMENTS 2026'!B2355),"",'ENGAGEMENTS 2026'!F2355)</f>
        <v/>
      </c>
      <c r="E2355">
        <f>IF(ISBLANK('ENGAGEMENTS 2026'!B2355),"",'ENGAGEMENTS 2026'!H2355)</f>
        <v/>
      </c>
      <c r="F2355">
        <f>IF(ISBLANK('ENGAGEMENTS 2026'!B2355),"",'ENGAGEMENTS 2026'!I2355)</f>
        <v/>
      </c>
      <c r="G2355">
        <f>IF(ISBLANK('ENGAGEMENTS 2026'!B2355),"",'ENGAGEMENTS 2026'!L2355)</f>
        <v/>
      </c>
      <c r="H2355">
        <f>IF(ISBLANK('ENGAGEMENTS 2026'!B2355),"",'ENGAGEMENTS 2026'!AE2355)</f>
        <v/>
      </c>
      <c r="I2355">
        <f>IF(ISBLANK('ENGAGEMENTS 2026'!B2355),"",'ENGAGEMENTS 2026'!G2355)</f>
        <v/>
      </c>
      <c r="J2355" s="275">
        <f>IF(ISBLANK('ENGAGEMENTS 2026'!B2355),"",IF(AND(OR($E2355="INFRUCTUEUX",$E2355="ANNULE"),$C2355="AOO-M"),'ENGAGEMENTS 2026'!O2355,IF($H2355="EN COURS DE PREENGAGEMENT",'ENGAGEMENTS 2026'!N2355,IF($H2355="PREENGAGE",IF($E2355="ATTRIBUE",'ENGAGEMENTS 2026'!AD2355,'ENGAGEMENTS 2026'!N2355),'ENGAGEMENTS 2026'!AD2355))))</f>
        <v/>
      </c>
      <c r="K2355" s="604">
        <f>IF(ISBLANK('ENGAGEMENTS 2026'!V2355),"",'ENGAGEMENTS 2026'!V2355)</f>
        <v/>
      </c>
      <c r="L2355" s="276">
        <f>IF($K2355="","",TODAY()-$K2355)</f>
        <v/>
      </c>
      <c r="M2355">
        <f>IF($A2355="","",IF($H2355="ENGAGE","Engagé",IF(AND($H2355="NON ENGAGE",OR($I2355="INFRUCTUEUX",$I2355="ANNULE")),"Clôturé sans suite","En cours")))</f>
        <v/>
      </c>
      <c r="N2355">
        <f>IF(ISBLANK('ENGAGEMENTS 2026'!B2355),"",'ENGAGEMENTS 2026'!K2355)</f>
        <v/>
      </c>
      <c r="O2355">
        <f>IF(ISBLANK('ENGAGEMENTS 2026'!B2355),"",'ENGAGEMENTS 2026'!L2355)</f>
        <v/>
      </c>
      <c r="P2355">
        <f>IF(ISBLANK('ENGAGEMENTS 2026'!B2355),"",'ENGAGEMENTS 2026'!J2355)</f>
        <v/>
      </c>
      <c r="Q2355">
        <f>IF($A2355="","",IF(OR($E2355="INFRUCTUEUX",$E2355="ANNULE"),$A2355&amp;"|"&amp;(COUNTIFS($A$2:$A2355,$A2355,$E$2:$E2355,"INFRUCTUEUX")+COUNTIFS($A$2:$A2355,$A2355,$E$2:$E2355,"ANNULE")),""))</f>
        <v/>
      </c>
    </row>
    <row r="2356">
      <c r="A2356">
        <f>IF(ISBLANK('ENGAGEMENTS 2026'!B2356),"",IF('ENGAGEMENTS 2026'!B2356="DTSI","DCT",'ENGAGEMENTS 2026'!B2356))</f>
        <v/>
      </c>
      <c r="B2356">
        <f>IF(ISBLANK('ENGAGEMENTS 2026'!B2356),"",'ENGAGEMENTS 2026'!C2356)</f>
        <v/>
      </c>
      <c r="C2356">
        <f>IF(ISBLANK('ENGAGEMENTS 2026'!B2356),"",'ENGAGEMENTS 2026'!D2356)</f>
        <v/>
      </c>
      <c r="D2356">
        <f>IF(ISBLANK('ENGAGEMENTS 2026'!B2356),"",'ENGAGEMENTS 2026'!F2356)</f>
        <v/>
      </c>
      <c r="E2356">
        <f>IF(ISBLANK('ENGAGEMENTS 2026'!B2356),"",'ENGAGEMENTS 2026'!H2356)</f>
        <v/>
      </c>
      <c r="F2356">
        <f>IF(ISBLANK('ENGAGEMENTS 2026'!B2356),"",'ENGAGEMENTS 2026'!I2356)</f>
        <v/>
      </c>
      <c r="G2356">
        <f>IF(ISBLANK('ENGAGEMENTS 2026'!B2356),"",'ENGAGEMENTS 2026'!L2356)</f>
        <v/>
      </c>
      <c r="H2356">
        <f>IF(ISBLANK('ENGAGEMENTS 2026'!B2356),"",'ENGAGEMENTS 2026'!AE2356)</f>
        <v/>
      </c>
      <c r="I2356">
        <f>IF(ISBLANK('ENGAGEMENTS 2026'!B2356),"",'ENGAGEMENTS 2026'!G2356)</f>
        <v/>
      </c>
      <c r="J2356" s="275">
        <f>IF(ISBLANK('ENGAGEMENTS 2026'!B2356),"",IF(AND(OR($E2356="INFRUCTUEUX",$E2356="ANNULE"),$C2356="AOO-M"),'ENGAGEMENTS 2026'!O2356,IF($H2356="EN COURS DE PREENGAGEMENT",'ENGAGEMENTS 2026'!N2356,IF($H2356="PREENGAGE",IF($E2356="ATTRIBUE",'ENGAGEMENTS 2026'!AD2356,'ENGAGEMENTS 2026'!N2356),'ENGAGEMENTS 2026'!AD2356))))</f>
        <v/>
      </c>
      <c r="K2356" s="604">
        <f>IF(ISBLANK('ENGAGEMENTS 2026'!V2356),"",'ENGAGEMENTS 2026'!V2356)</f>
        <v/>
      </c>
      <c r="L2356" s="276">
        <f>IF($K2356="","",TODAY()-$K2356)</f>
        <v/>
      </c>
      <c r="M2356">
        <f>IF($A2356="","",IF($H2356="ENGAGE","Engagé",IF(AND($H2356="NON ENGAGE",OR($I2356="INFRUCTUEUX",$I2356="ANNULE")),"Clôturé sans suite","En cours")))</f>
        <v/>
      </c>
      <c r="N2356">
        <f>IF(ISBLANK('ENGAGEMENTS 2026'!B2356),"",'ENGAGEMENTS 2026'!K2356)</f>
        <v/>
      </c>
      <c r="O2356">
        <f>IF(ISBLANK('ENGAGEMENTS 2026'!B2356),"",'ENGAGEMENTS 2026'!L2356)</f>
        <v/>
      </c>
      <c r="P2356">
        <f>IF(ISBLANK('ENGAGEMENTS 2026'!B2356),"",'ENGAGEMENTS 2026'!J2356)</f>
        <v/>
      </c>
      <c r="Q2356">
        <f>IF($A2356="","",IF(OR($E2356="INFRUCTUEUX",$E2356="ANNULE"),$A2356&amp;"|"&amp;(COUNTIFS($A$2:$A2356,$A2356,$E$2:$E2356,"INFRUCTUEUX")+COUNTIFS($A$2:$A2356,$A2356,$E$2:$E2356,"ANNULE")),""))</f>
        <v/>
      </c>
    </row>
    <row r="2357">
      <c r="A2357">
        <f>IF(ISBLANK('ENGAGEMENTS 2026'!B2357),"",IF('ENGAGEMENTS 2026'!B2357="DTSI","DCT",'ENGAGEMENTS 2026'!B2357))</f>
        <v/>
      </c>
      <c r="B2357">
        <f>IF(ISBLANK('ENGAGEMENTS 2026'!B2357),"",'ENGAGEMENTS 2026'!C2357)</f>
        <v/>
      </c>
      <c r="C2357">
        <f>IF(ISBLANK('ENGAGEMENTS 2026'!B2357),"",'ENGAGEMENTS 2026'!D2357)</f>
        <v/>
      </c>
      <c r="D2357">
        <f>IF(ISBLANK('ENGAGEMENTS 2026'!B2357),"",'ENGAGEMENTS 2026'!F2357)</f>
        <v/>
      </c>
      <c r="E2357">
        <f>IF(ISBLANK('ENGAGEMENTS 2026'!B2357),"",'ENGAGEMENTS 2026'!H2357)</f>
        <v/>
      </c>
      <c r="F2357">
        <f>IF(ISBLANK('ENGAGEMENTS 2026'!B2357),"",'ENGAGEMENTS 2026'!I2357)</f>
        <v/>
      </c>
      <c r="G2357">
        <f>IF(ISBLANK('ENGAGEMENTS 2026'!B2357),"",'ENGAGEMENTS 2026'!L2357)</f>
        <v/>
      </c>
      <c r="H2357">
        <f>IF(ISBLANK('ENGAGEMENTS 2026'!B2357),"",'ENGAGEMENTS 2026'!AE2357)</f>
        <v/>
      </c>
      <c r="I2357">
        <f>IF(ISBLANK('ENGAGEMENTS 2026'!B2357),"",'ENGAGEMENTS 2026'!G2357)</f>
        <v/>
      </c>
      <c r="J2357" s="275">
        <f>IF(ISBLANK('ENGAGEMENTS 2026'!B2357),"",IF(AND(OR($E2357="INFRUCTUEUX",$E2357="ANNULE"),$C2357="AOO-M"),'ENGAGEMENTS 2026'!O2357,IF($H2357="EN COURS DE PREENGAGEMENT",'ENGAGEMENTS 2026'!N2357,IF($H2357="PREENGAGE",IF($E2357="ATTRIBUE",'ENGAGEMENTS 2026'!AD2357,'ENGAGEMENTS 2026'!N2357),'ENGAGEMENTS 2026'!AD2357))))</f>
        <v/>
      </c>
      <c r="K2357" s="604">
        <f>IF(ISBLANK('ENGAGEMENTS 2026'!V2357),"",'ENGAGEMENTS 2026'!V2357)</f>
        <v/>
      </c>
      <c r="L2357" s="276">
        <f>IF($K2357="","",TODAY()-$K2357)</f>
        <v/>
      </c>
      <c r="M2357">
        <f>IF($A2357="","",IF($H2357="ENGAGE","Engagé",IF(AND($H2357="NON ENGAGE",OR($I2357="INFRUCTUEUX",$I2357="ANNULE")),"Clôturé sans suite","En cours")))</f>
        <v/>
      </c>
      <c r="N2357">
        <f>IF(ISBLANK('ENGAGEMENTS 2026'!B2357),"",'ENGAGEMENTS 2026'!K2357)</f>
        <v/>
      </c>
      <c r="O2357">
        <f>IF(ISBLANK('ENGAGEMENTS 2026'!B2357),"",'ENGAGEMENTS 2026'!L2357)</f>
        <v/>
      </c>
      <c r="P2357">
        <f>IF(ISBLANK('ENGAGEMENTS 2026'!B2357),"",'ENGAGEMENTS 2026'!J2357)</f>
        <v/>
      </c>
      <c r="Q2357">
        <f>IF($A2357="","",IF(OR($E2357="INFRUCTUEUX",$E2357="ANNULE"),$A2357&amp;"|"&amp;(COUNTIFS($A$2:$A2357,$A2357,$E$2:$E2357,"INFRUCTUEUX")+COUNTIFS($A$2:$A2357,$A2357,$E$2:$E2357,"ANNULE")),""))</f>
        <v/>
      </c>
    </row>
    <row r="2358">
      <c r="A2358">
        <f>IF(ISBLANK('ENGAGEMENTS 2026'!B2358),"",IF('ENGAGEMENTS 2026'!B2358="DTSI","DCT",'ENGAGEMENTS 2026'!B2358))</f>
        <v/>
      </c>
      <c r="B2358">
        <f>IF(ISBLANK('ENGAGEMENTS 2026'!B2358),"",'ENGAGEMENTS 2026'!C2358)</f>
        <v/>
      </c>
      <c r="C2358">
        <f>IF(ISBLANK('ENGAGEMENTS 2026'!B2358),"",'ENGAGEMENTS 2026'!D2358)</f>
        <v/>
      </c>
      <c r="D2358">
        <f>IF(ISBLANK('ENGAGEMENTS 2026'!B2358),"",'ENGAGEMENTS 2026'!F2358)</f>
        <v/>
      </c>
      <c r="E2358">
        <f>IF(ISBLANK('ENGAGEMENTS 2026'!B2358),"",'ENGAGEMENTS 2026'!H2358)</f>
        <v/>
      </c>
      <c r="F2358">
        <f>IF(ISBLANK('ENGAGEMENTS 2026'!B2358),"",'ENGAGEMENTS 2026'!I2358)</f>
        <v/>
      </c>
      <c r="G2358">
        <f>IF(ISBLANK('ENGAGEMENTS 2026'!B2358),"",'ENGAGEMENTS 2026'!L2358)</f>
        <v/>
      </c>
      <c r="H2358">
        <f>IF(ISBLANK('ENGAGEMENTS 2026'!B2358),"",'ENGAGEMENTS 2026'!AE2358)</f>
        <v/>
      </c>
      <c r="I2358">
        <f>IF(ISBLANK('ENGAGEMENTS 2026'!B2358),"",'ENGAGEMENTS 2026'!G2358)</f>
        <v/>
      </c>
      <c r="J2358" s="275">
        <f>IF(ISBLANK('ENGAGEMENTS 2026'!B2358),"",IF(AND(OR($E2358="INFRUCTUEUX",$E2358="ANNULE"),$C2358="AOO-M"),'ENGAGEMENTS 2026'!O2358,IF($H2358="EN COURS DE PREENGAGEMENT",'ENGAGEMENTS 2026'!N2358,IF($H2358="PREENGAGE",IF($E2358="ATTRIBUE",'ENGAGEMENTS 2026'!AD2358,'ENGAGEMENTS 2026'!N2358),'ENGAGEMENTS 2026'!AD2358))))</f>
        <v/>
      </c>
      <c r="K2358" s="604">
        <f>IF(ISBLANK('ENGAGEMENTS 2026'!V2358),"",'ENGAGEMENTS 2026'!V2358)</f>
        <v/>
      </c>
      <c r="L2358" s="276">
        <f>IF($K2358="","",TODAY()-$K2358)</f>
        <v/>
      </c>
      <c r="M2358">
        <f>IF($A2358="","",IF($H2358="ENGAGE","Engagé",IF(AND($H2358="NON ENGAGE",OR($I2358="INFRUCTUEUX",$I2358="ANNULE")),"Clôturé sans suite","En cours")))</f>
        <v/>
      </c>
      <c r="N2358">
        <f>IF(ISBLANK('ENGAGEMENTS 2026'!B2358),"",'ENGAGEMENTS 2026'!K2358)</f>
        <v/>
      </c>
      <c r="O2358">
        <f>IF(ISBLANK('ENGAGEMENTS 2026'!B2358),"",'ENGAGEMENTS 2026'!L2358)</f>
        <v/>
      </c>
      <c r="P2358">
        <f>IF(ISBLANK('ENGAGEMENTS 2026'!B2358),"",'ENGAGEMENTS 2026'!J2358)</f>
        <v/>
      </c>
      <c r="Q2358">
        <f>IF($A2358="","",IF(OR($E2358="INFRUCTUEUX",$E2358="ANNULE"),$A2358&amp;"|"&amp;(COUNTIFS($A$2:$A2358,$A2358,$E$2:$E2358,"INFRUCTUEUX")+COUNTIFS($A$2:$A2358,$A2358,$E$2:$E2358,"ANNULE")),""))</f>
        <v/>
      </c>
    </row>
    <row r="2359">
      <c r="A2359">
        <f>IF(ISBLANK('ENGAGEMENTS 2026'!B2359),"",IF('ENGAGEMENTS 2026'!B2359="DTSI","DCT",'ENGAGEMENTS 2026'!B2359))</f>
        <v/>
      </c>
      <c r="B2359">
        <f>IF(ISBLANK('ENGAGEMENTS 2026'!B2359),"",'ENGAGEMENTS 2026'!C2359)</f>
        <v/>
      </c>
      <c r="C2359">
        <f>IF(ISBLANK('ENGAGEMENTS 2026'!B2359),"",'ENGAGEMENTS 2026'!D2359)</f>
        <v/>
      </c>
      <c r="D2359">
        <f>IF(ISBLANK('ENGAGEMENTS 2026'!B2359),"",'ENGAGEMENTS 2026'!F2359)</f>
        <v/>
      </c>
      <c r="E2359">
        <f>IF(ISBLANK('ENGAGEMENTS 2026'!B2359),"",'ENGAGEMENTS 2026'!H2359)</f>
        <v/>
      </c>
      <c r="F2359">
        <f>IF(ISBLANK('ENGAGEMENTS 2026'!B2359),"",'ENGAGEMENTS 2026'!I2359)</f>
        <v/>
      </c>
      <c r="G2359">
        <f>IF(ISBLANK('ENGAGEMENTS 2026'!B2359),"",'ENGAGEMENTS 2026'!L2359)</f>
        <v/>
      </c>
      <c r="H2359">
        <f>IF(ISBLANK('ENGAGEMENTS 2026'!B2359),"",'ENGAGEMENTS 2026'!AE2359)</f>
        <v/>
      </c>
      <c r="I2359">
        <f>IF(ISBLANK('ENGAGEMENTS 2026'!B2359),"",'ENGAGEMENTS 2026'!G2359)</f>
        <v/>
      </c>
      <c r="J2359" s="275">
        <f>IF(ISBLANK('ENGAGEMENTS 2026'!B2359),"",IF(AND(OR($E2359="INFRUCTUEUX",$E2359="ANNULE"),$C2359="AOO-M"),'ENGAGEMENTS 2026'!O2359,IF($H2359="EN COURS DE PREENGAGEMENT",'ENGAGEMENTS 2026'!N2359,IF($H2359="PREENGAGE",IF($E2359="ATTRIBUE",'ENGAGEMENTS 2026'!AD2359,'ENGAGEMENTS 2026'!N2359),'ENGAGEMENTS 2026'!AD2359))))</f>
        <v/>
      </c>
      <c r="K2359" s="604">
        <f>IF(ISBLANK('ENGAGEMENTS 2026'!V2359),"",'ENGAGEMENTS 2026'!V2359)</f>
        <v/>
      </c>
      <c r="L2359" s="276">
        <f>IF($K2359="","",TODAY()-$K2359)</f>
        <v/>
      </c>
      <c r="M2359">
        <f>IF($A2359="","",IF($H2359="ENGAGE","Engagé",IF(AND($H2359="NON ENGAGE",OR($I2359="INFRUCTUEUX",$I2359="ANNULE")),"Clôturé sans suite","En cours")))</f>
        <v/>
      </c>
      <c r="N2359">
        <f>IF(ISBLANK('ENGAGEMENTS 2026'!B2359),"",'ENGAGEMENTS 2026'!K2359)</f>
        <v/>
      </c>
      <c r="O2359">
        <f>IF(ISBLANK('ENGAGEMENTS 2026'!B2359),"",'ENGAGEMENTS 2026'!L2359)</f>
        <v/>
      </c>
      <c r="P2359">
        <f>IF(ISBLANK('ENGAGEMENTS 2026'!B2359),"",'ENGAGEMENTS 2026'!J2359)</f>
        <v/>
      </c>
      <c r="Q2359">
        <f>IF($A2359="","",IF(OR($E2359="INFRUCTUEUX",$E2359="ANNULE"),$A2359&amp;"|"&amp;(COUNTIFS($A$2:$A2359,$A2359,$E$2:$E2359,"INFRUCTUEUX")+COUNTIFS($A$2:$A2359,$A2359,$E$2:$E2359,"ANNULE")),""))</f>
        <v/>
      </c>
    </row>
    <row r="2360">
      <c r="A2360">
        <f>IF(ISBLANK('ENGAGEMENTS 2026'!B2360),"",IF('ENGAGEMENTS 2026'!B2360="DTSI","DCT",'ENGAGEMENTS 2026'!B2360))</f>
        <v/>
      </c>
      <c r="B2360">
        <f>IF(ISBLANK('ENGAGEMENTS 2026'!B2360),"",'ENGAGEMENTS 2026'!C2360)</f>
        <v/>
      </c>
      <c r="C2360">
        <f>IF(ISBLANK('ENGAGEMENTS 2026'!B2360),"",'ENGAGEMENTS 2026'!D2360)</f>
        <v/>
      </c>
      <c r="D2360">
        <f>IF(ISBLANK('ENGAGEMENTS 2026'!B2360),"",'ENGAGEMENTS 2026'!F2360)</f>
        <v/>
      </c>
      <c r="E2360">
        <f>IF(ISBLANK('ENGAGEMENTS 2026'!B2360),"",'ENGAGEMENTS 2026'!H2360)</f>
        <v/>
      </c>
      <c r="F2360">
        <f>IF(ISBLANK('ENGAGEMENTS 2026'!B2360),"",'ENGAGEMENTS 2026'!I2360)</f>
        <v/>
      </c>
      <c r="G2360">
        <f>IF(ISBLANK('ENGAGEMENTS 2026'!B2360),"",'ENGAGEMENTS 2026'!L2360)</f>
        <v/>
      </c>
      <c r="H2360">
        <f>IF(ISBLANK('ENGAGEMENTS 2026'!B2360),"",'ENGAGEMENTS 2026'!AE2360)</f>
        <v/>
      </c>
      <c r="I2360">
        <f>IF(ISBLANK('ENGAGEMENTS 2026'!B2360),"",'ENGAGEMENTS 2026'!G2360)</f>
        <v/>
      </c>
      <c r="J2360" s="275">
        <f>IF(ISBLANK('ENGAGEMENTS 2026'!B2360),"",IF(AND(OR($E2360="INFRUCTUEUX",$E2360="ANNULE"),$C2360="AOO-M"),'ENGAGEMENTS 2026'!O2360,IF($H2360="EN COURS DE PREENGAGEMENT",'ENGAGEMENTS 2026'!N2360,IF($H2360="PREENGAGE",IF($E2360="ATTRIBUE",'ENGAGEMENTS 2026'!AD2360,'ENGAGEMENTS 2026'!N2360),'ENGAGEMENTS 2026'!AD2360))))</f>
        <v/>
      </c>
      <c r="K2360" s="604">
        <f>IF(ISBLANK('ENGAGEMENTS 2026'!V2360),"",'ENGAGEMENTS 2026'!V2360)</f>
        <v/>
      </c>
      <c r="L2360" s="276">
        <f>IF($K2360="","",TODAY()-$K2360)</f>
        <v/>
      </c>
      <c r="M2360">
        <f>IF($A2360="","",IF($H2360="ENGAGE","Engagé",IF(AND($H2360="NON ENGAGE",OR($I2360="INFRUCTUEUX",$I2360="ANNULE")),"Clôturé sans suite","En cours")))</f>
        <v/>
      </c>
      <c r="N2360">
        <f>IF(ISBLANK('ENGAGEMENTS 2026'!B2360),"",'ENGAGEMENTS 2026'!K2360)</f>
        <v/>
      </c>
      <c r="O2360">
        <f>IF(ISBLANK('ENGAGEMENTS 2026'!B2360),"",'ENGAGEMENTS 2026'!L2360)</f>
        <v/>
      </c>
      <c r="P2360">
        <f>IF(ISBLANK('ENGAGEMENTS 2026'!B2360),"",'ENGAGEMENTS 2026'!J2360)</f>
        <v/>
      </c>
      <c r="Q2360">
        <f>IF($A2360="","",IF(OR($E2360="INFRUCTUEUX",$E2360="ANNULE"),$A2360&amp;"|"&amp;(COUNTIFS($A$2:$A2360,$A2360,$E$2:$E2360,"INFRUCTUEUX")+COUNTIFS($A$2:$A2360,$A2360,$E$2:$E2360,"ANNULE")),""))</f>
        <v/>
      </c>
    </row>
    <row r="2361">
      <c r="A2361">
        <f>IF(ISBLANK('ENGAGEMENTS 2026'!B2361),"",IF('ENGAGEMENTS 2026'!B2361="DTSI","DCT",'ENGAGEMENTS 2026'!B2361))</f>
        <v/>
      </c>
      <c r="B2361">
        <f>IF(ISBLANK('ENGAGEMENTS 2026'!B2361),"",'ENGAGEMENTS 2026'!C2361)</f>
        <v/>
      </c>
      <c r="C2361">
        <f>IF(ISBLANK('ENGAGEMENTS 2026'!B2361),"",'ENGAGEMENTS 2026'!D2361)</f>
        <v/>
      </c>
      <c r="D2361">
        <f>IF(ISBLANK('ENGAGEMENTS 2026'!B2361),"",'ENGAGEMENTS 2026'!F2361)</f>
        <v/>
      </c>
      <c r="E2361">
        <f>IF(ISBLANK('ENGAGEMENTS 2026'!B2361),"",'ENGAGEMENTS 2026'!H2361)</f>
        <v/>
      </c>
      <c r="F2361">
        <f>IF(ISBLANK('ENGAGEMENTS 2026'!B2361),"",'ENGAGEMENTS 2026'!I2361)</f>
        <v/>
      </c>
      <c r="G2361">
        <f>IF(ISBLANK('ENGAGEMENTS 2026'!B2361),"",'ENGAGEMENTS 2026'!L2361)</f>
        <v/>
      </c>
      <c r="H2361">
        <f>IF(ISBLANK('ENGAGEMENTS 2026'!B2361),"",'ENGAGEMENTS 2026'!AE2361)</f>
        <v/>
      </c>
      <c r="I2361">
        <f>IF(ISBLANK('ENGAGEMENTS 2026'!B2361),"",'ENGAGEMENTS 2026'!G2361)</f>
        <v/>
      </c>
      <c r="J2361" s="275">
        <f>IF(ISBLANK('ENGAGEMENTS 2026'!B2361),"",IF(AND(OR($E2361="INFRUCTUEUX",$E2361="ANNULE"),$C2361="AOO-M"),'ENGAGEMENTS 2026'!O2361,IF($H2361="EN COURS DE PREENGAGEMENT",'ENGAGEMENTS 2026'!N2361,IF($H2361="PREENGAGE",IF($E2361="ATTRIBUE",'ENGAGEMENTS 2026'!AD2361,'ENGAGEMENTS 2026'!N2361),'ENGAGEMENTS 2026'!AD2361))))</f>
        <v/>
      </c>
      <c r="K2361" s="604">
        <f>IF(ISBLANK('ENGAGEMENTS 2026'!V2361),"",'ENGAGEMENTS 2026'!V2361)</f>
        <v/>
      </c>
      <c r="L2361" s="276">
        <f>IF($K2361="","",TODAY()-$K2361)</f>
        <v/>
      </c>
      <c r="M2361">
        <f>IF($A2361="","",IF($H2361="ENGAGE","Engagé",IF(AND($H2361="NON ENGAGE",OR($I2361="INFRUCTUEUX",$I2361="ANNULE")),"Clôturé sans suite","En cours")))</f>
        <v/>
      </c>
      <c r="N2361">
        <f>IF(ISBLANK('ENGAGEMENTS 2026'!B2361),"",'ENGAGEMENTS 2026'!K2361)</f>
        <v/>
      </c>
      <c r="O2361">
        <f>IF(ISBLANK('ENGAGEMENTS 2026'!B2361),"",'ENGAGEMENTS 2026'!L2361)</f>
        <v/>
      </c>
      <c r="P2361">
        <f>IF(ISBLANK('ENGAGEMENTS 2026'!B2361),"",'ENGAGEMENTS 2026'!J2361)</f>
        <v/>
      </c>
      <c r="Q2361">
        <f>IF($A2361="","",IF(OR($E2361="INFRUCTUEUX",$E2361="ANNULE"),$A2361&amp;"|"&amp;(COUNTIFS($A$2:$A2361,$A2361,$E$2:$E2361,"INFRUCTUEUX")+COUNTIFS($A$2:$A2361,$A2361,$E$2:$E2361,"ANNULE")),""))</f>
        <v/>
      </c>
    </row>
    <row r="2362">
      <c r="A2362">
        <f>IF(ISBLANK('ENGAGEMENTS 2026'!B2362),"",IF('ENGAGEMENTS 2026'!B2362="DTSI","DCT",'ENGAGEMENTS 2026'!B2362))</f>
        <v/>
      </c>
      <c r="B2362">
        <f>IF(ISBLANK('ENGAGEMENTS 2026'!B2362),"",'ENGAGEMENTS 2026'!C2362)</f>
        <v/>
      </c>
      <c r="C2362">
        <f>IF(ISBLANK('ENGAGEMENTS 2026'!B2362),"",'ENGAGEMENTS 2026'!D2362)</f>
        <v/>
      </c>
      <c r="D2362">
        <f>IF(ISBLANK('ENGAGEMENTS 2026'!B2362),"",'ENGAGEMENTS 2026'!F2362)</f>
        <v/>
      </c>
      <c r="E2362">
        <f>IF(ISBLANK('ENGAGEMENTS 2026'!B2362),"",'ENGAGEMENTS 2026'!H2362)</f>
        <v/>
      </c>
      <c r="F2362">
        <f>IF(ISBLANK('ENGAGEMENTS 2026'!B2362),"",'ENGAGEMENTS 2026'!I2362)</f>
        <v/>
      </c>
      <c r="G2362">
        <f>IF(ISBLANK('ENGAGEMENTS 2026'!B2362),"",'ENGAGEMENTS 2026'!L2362)</f>
        <v/>
      </c>
      <c r="H2362">
        <f>IF(ISBLANK('ENGAGEMENTS 2026'!B2362),"",'ENGAGEMENTS 2026'!AE2362)</f>
        <v/>
      </c>
      <c r="I2362">
        <f>IF(ISBLANK('ENGAGEMENTS 2026'!B2362),"",'ENGAGEMENTS 2026'!G2362)</f>
        <v/>
      </c>
      <c r="J2362" s="275">
        <f>IF(ISBLANK('ENGAGEMENTS 2026'!B2362),"",IF(AND(OR($E2362="INFRUCTUEUX",$E2362="ANNULE"),$C2362="AOO-M"),'ENGAGEMENTS 2026'!O2362,IF($H2362="EN COURS DE PREENGAGEMENT",'ENGAGEMENTS 2026'!N2362,IF($H2362="PREENGAGE",IF($E2362="ATTRIBUE",'ENGAGEMENTS 2026'!AD2362,'ENGAGEMENTS 2026'!N2362),'ENGAGEMENTS 2026'!AD2362))))</f>
        <v/>
      </c>
      <c r="K2362" s="604">
        <f>IF(ISBLANK('ENGAGEMENTS 2026'!V2362),"",'ENGAGEMENTS 2026'!V2362)</f>
        <v/>
      </c>
      <c r="L2362" s="276">
        <f>IF($K2362="","",TODAY()-$K2362)</f>
        <v/>
      </c>
      <c r="M2362">
        <f>IF($A2362="","",IF($H2362="ENGAGE","Engagé",IF(AND($H2362="NON ENGAGE",OR($I2362="INFRUCTUEUX",$I2362="ANNULE")),"Clôturé sans suite","En cours")))</f>
        <v/>
      </c>
      <c r="N2362">
        <f>IF(ISBLANK('ENGAGEMENTS 2026'!B2362),"",'ENGAGEMENTS 2026'!K2362)</f>
        <v/>
      </c>
      <c r="O2362">
        <f>IF(ISBLANK('ENGAGEMENTS 2026'!B2362),"",'ENGAGEMENTS 2026'!L2362)</f>
        <v/>
      </c>
      <c r="P2362">
        <f>IF(ISBLANK('ENGAGEMENTS 2026'!B2362),"",'ENGAGEMENTS 2026'!J2362)</f>
        <v/>
      </c>
      <c r="Q2362">
        <f>IF($A2362="","",IF(OR($E2362="INFRUCTUEUX",$E2362="ANNULE"),$A2362&amp;"|"&amp;(COUNTIFS($A$2:$A2362,$A2362,$E$2:$E2362,"INFRUCTUEUX")+COUNTIFS($A$2:$A2362,$A2362,$E$2:$E2362,"ANNULE")),""))</f>
        <v/>
      </c>
    </row>
    <row r="2363">
      <c r="A2363">
        <f>IF(ISBLANK('ENGAGEMENTS 2026'!B2363),"",IF('ENGAGEMENTS 2026'!B2363="DTSI","DCT",'ENGAGEMENTS 2026'!B2363))</f>
        <v/>
      </c>
      <c r="B2363">
        <f>IF(ISBLANK('ENGAGEMENTS 2026'!B2363),"",'ENGAGEMENTS 2026'!C2363)</f>
        <v/>
      </c>
      <c r="C2363">
        <f>IF(ISBLANK('ENGAGEMENTS 2026'!B2363),"",'ENGAGEMENTS 2026'!D2363)</f>
        <v/>
      </c>
      <c r="D2363">
        <f>IF(ISBLANK('ENGAGEMENTS 2026'!B2363),"",'ENGAGEMENTS 2026'!F2363)</f>
        <v/>
      </c>
      <c r="E2363">
        <f>IF(ISBLANK('ENGAGEMENTS 2026'!B2363),"",'ENGAGEMENTS 2026'!H2363)</f>
        <v/>
      </c>
      <c r="F2363">
        <f>IF(ISBLANK('ENGAGEMENTS 2026'!B2363),"",'ENGAGEMENTS 2026'!I2363)</f>
        <v/>
      </c>
      <c r="G2363">
        <f>IF(ISBLANK('ENGAGEMENTS 2026'!B2363),"",'ENGAGEMENTS 2026'!L2363)</f>
        <v/>
      </c>
      <c r="H2363">
        <f>IF(ISBLANK('ENGAGEMENTS 2026'!B2363),"",'ENGAGEMENTS 2026'!AE2363)</f>
        <v/>
      </c>
      <c r="I2363">
        <f>IF(ISBLANK('ENGAGEMENTS 2026'!B2363),"",'ENGAGEMENTS 2026'!G2363)</f>
        <v/>
      </c>
      <c r="J2363" s="275">
        <f>IF(ISBLANK('ENGAGEMENTS 2026'!B2363),"",IF(AND(OR($E2363="INFRUCTUEUX",$E2363="ANNULE"),$C2363="AOO-M"),'ENGAGEMENTS 2026'!O2363,IF($H2363="EN COURS DE PREENGAGEMENT",'ENGAGEMENTS 2026'!N2363,IF($H2363="PREENGAGE",IF($E2363="ATTRIBUE",'ENGAGEMENTS 2026'!AD2363,'ENGAGEMENTS 2026'!N2363),'ENGAGEMENTS 2026'!AD2363))))</f>
        <v/>
      </c>
      <c r="K2363" s="604">
        <f>IF(ISBLANK('ENGAGEMENTS 2026'!V2363),"",'ENGAGEMENTS 2026'!V2363)</f>
        <v/>
      </c>
      <c r="L2363" s="276">
        <f>IF($K2363="","",TODAY()-$K2363)</f>
        <v/>
      </c>
      <c r="M2363">
        <f>IF($A2363="","",IF($H2363="ENGAGE","Engagé",IF(AND($H2363="NON ENGAGE",OR($I2363="INFRUCTUEUX",$I2363="ANNULE")),"Clôturé sans suite","En cours")))</f>
        <v/>
      </c>
      <c r="N2363">
        <f>IF(ISBLANK('ENGAGEMENTS 2026'!B2363),"",'ENGAGEMENTS 2026'!K2363)</f>
        <v/>
      </c>
      <c r="O2363">
        <f>IF(ISBLANK('ENGAGEMENTS 2026'!B2363),"",'ENGAGEMENTS 2026'!L2363)</f>
        <v/>
      </c>
      <c r="P2363">
        <f>IF(ISBLANK('ENGAGEMENTS 2026'!B2363),"",'ENGAGEMENTS 2026'!J2363)</f>
        <v/>
      </c>
      <c r="Q2363">
        <f>IF($A2363="","",IF(OR($E2363="INFRUCTUEUX",$E2363="ANNULE"),$A2363&amp;"|"&amp;(COUNTIFS($A$2:$A2363,$A2363,$E$2:$E2363,"INFRUCTUEUX")+COUNTIFS($A$2:$A2363,$A2363,$E$2:$E2363,"ANNULE")),""))</f>
        <v/>
      </c>
    </row>
    <row r="2364">
      <c r="A2364">
        <f>IF(ISBLANK('ENGAGEMENTS 2026'!B2364),"",IF('ENGAGEMENTS 2026'!B2364="DTSI","DCT",'ENGAGEMENTS 2026'!B2364))</f>
        <v/>
      </c>
      <c r="B2364">
        <f>IF(ISBLANK('ENGAGEMENTS 2026'!B2364),"",'ENGAGEMENTS 2026'!C2364)</f>
        <v/>
      </c>
      <c r="C2364">
        <f>IF(ISBLANK('ENGAGEMENTS 2026'!B2364),"",'ENGAGEMENTS 2026'!D2364)</f>
        <v/>
      </c>
      <c r="D2364">
        <f>IF(ISBLANK('ENGAGEMENTS 2026'!B2364),"",'ENGAGEMENTS 2026'!F2364)</f>
        <v/>
      </c>
      <c r="E2364">
        <f>IF(ISBLANK('ENGAGEMENTS 2026'!B2364),"",'ENGAGEMENTS 2026'!H2364)</f>
        <v/>
      </c>
      <c r="F2364">
        <f>IF(ISBLANK('ENGAGEMENTS 2026'!B2364),"",'ENGAGEMENTS 2026'!I2364)</f>
        <v/>
      </c>
      <c r="G2364">
        <f>IF(ISBLANK('ENGAGEMENTS 2026'!B2364),"",'ENGAGEMENTS 2026'!L2364)</f>
        <v/>
      </c>
      <c r="H2364">
        <f>IF(ISBLANK('ENGAGEMENTS 2026'!B2364),"",'ENGAGEMENTS 2026'!AE2364)</f>
        <v/>
      </c>
      <c r="I2364">
        <f>IF(ISBLANK('ENGAGEMENTS 2026'!B2364),"",'ENGAGEMENTS 2026'!G2364)</f>
        <v/>
      </c>
      <c r="J2364" s="275">
        <f>IF(ISBLANK('ENGAGEMENTS 2026'!B2364),"",IF(AND(OR($E2364="INFRUCTUEUX",$E2364="ANNULE"),$C2364="AOO-M"),'ENGAGEMENTS 2026'!O2364,IF($H2364="EN COURS DE PREENGAGEMENT",'ENGAGEMENTS 2026'!N2364,IF($H2364="PREENGAGE",IF($E2364="ATTRIBUE",'ENGAGEMENTS 2026'!AD2364,'ENGAGEMENTS 2026'!N2364),'ENGAGEMENTS 2026'!AD2364))))</f>
        <v/>
      </c>
      <c r="K2364" s="604">
        <f>IF(ISBLANK('ENGAGEMENTS 2026'!V2364),"",'ENGAGEMENTS 2026'!V2364)</f>
        <v/>
      </c>
      <c r="L2364" s="276">
        <f>IF($K2364="","",TODAY()-$K2364)</f>
        <v/>
      </c>
      <c r="M2364">
        <f>IF($A2364="","",IF($H2364="ENGAGE","Engagé",IF(AND($H2364="NON ENGAGE",OR($I2364="INFRUCTUEUX",$I2364="ANNULE")),"Clôturé sans suite","En cours")))</f>
        <v/>
      </c>
      <c r="N2364">
        <f>IF(ISBLANK('ENGAGEMENTS 2026'!B2364),"",'ENGAGEMENTS 2026'!K2364)</f>
        <v/>
      </c>
      <c r="O2364">
        <f>IF(ISBLANK('ENGAGEMENTS 2026'!B2364),"",'ENGAGEMENTS 2026'!L2364)</f>
        <v/>
      </c>
      <c r="P2364">
        <f>IF(ISBLANK('ENGAGEMENTS 2026'!B2364),"",'ENGAGEMENTS 2026'!J2364)</f>
        <v/>
      </c>
      <c r="Q2364">
        <f>IF($A2364="","",IF(OR($E2364="INFRUCTUEUX",$E2364="ANNULE"),$A2364&amp;"|"&amp;(COUNTIFS($A$2:$A2364,$A2364,$E$2:$E2364,"INFRUCTUEUX")+COUNTIFS($A$2:$A2364,$A2364,$E$2:$E2364,"ANNULE")),""))</f>
        <v/>
      </c>
    </row>
    <row r="2365">
      <c r="A2365">
        <f>IF(ISBLANK('ENGAGEMENTS 2026'!B2365),"",IF('ENGAGEMENTS 2026'!B2365="DTSI","DCT",'ENGAGEMENTS 2026'!B2365))</f>
        <v/>
      </c>
      <c r="B2365">
        <f>IF(ISBLANK('ENGAGEMENTS 2026'!B2365),"",'ENGAGEMENTS 2026'!C2365)</f>
        <v/>
      </c>
      <c r="C2365">
        <f>IF(ISBLANK('ENGAGEMENTS 2026'!B2365),"",'ENGAGEMENTS 2026'!D2365)</f>
        <v/>
      </c>
      <c r="D2365">
        <f>IF(ISBLANK('ENGAGEMENTS 2026'!B2365),"",'ENGAGEMENTS 2026'!F2365)</f>
        <v/>
      </c>
      <c r="E2365">
        <f>IF(ISBLANK('ENGAGEMENTS 2026'!B2365),"",'ENGAGEMENTS 2026'!H2365)</f>
        <v/>
      </c>
      <c r="F2365">
        <f>IF(ISBLANK('ENGAGEMENTS 2026'!B2365),"",'ENGAGEMENTS 2026'!I2365)</f>
        <v/>
      </c>
      <c r="G2365">
        <f>IF(ISBLANK('ENGAGEMENTS 2026'!B2365),"",'ENGAGEMENTS 2026'!L2365)</f>
        <v/>
      </c>
      <c r="H2365">
        <f>IF(ISBLANK('ENGAGEMENTS 2026'!B2365),"",'ENGAGEMENTS 2026'!AE2365)</f>
        <v/>
      </c>
      <c r="I2365">
        <f>IF(ISBLANK('ENGAGEMENTS 2026'!B2365),"",'ENGAGEMENTS 2026'!G2365)</f>
        <v/>
      </c>
      <c r="J2365" s="275">
        <f>IF(ISBLANK('ENGAGEMENTS 2026'!B2365),"",IF(AND(OR($E2365="INFRUCTUEUX",$E2365="ANNULE"),$C2365="AOO-M"),'ENGAGEMENTS 2026'!O2365,IF($H2365="EN COURS DE PREENGAGEMENT",'ENGAGEMENTS 2026'!N2365,IF($H2365="PREENGAGE",IF($E2365="ATTRIBUE",'ENGAGEMENTS 2026'!AD2365,'ENGAGEMENTS 2026'!N2365),'ENGAGEMENTS 2026'!AD2365))))</f>
        <v/>
      </c>
      <c r="K2365" s="604">
        <f>IF(ISBLANK('ENGAGEMENTS 2026'!V2365),"",'ENGAGEMENTS 2026'!V2365)</f>
        <v/>
      </c>
      <c r="L2365" s="276">
        <f>IF($K2365="","",TODAY()-$K2365)</f>
        <v/>
      </c>
      <c r="M2365">
        <f>IF($A2365="","",IF($H2365="ENGAGE","Engagé",IF(AND($H2365="NON ENGAGE",OR($I2365="INFRUCTUEUX",$I2365="ANNULE")),"Clôturé sans suite","En cours")))</f>
        <v/>
      </c>
      <c r="N2365">
        <f>IF(ISBLANK('ENGAGEMENTS 2026'!B2365),"",'ENGAGEMENTS 2026'!K2365)</f>
        <v/>
      </c>
      <c r="O2365">
        <f>IF(ISBLANK('ENGAGEMENTS 2026'!B2365),"",'ENGAGEMENTS 2026'!L2365)</f>
        <v/>
      </c>
      <c r="P2365">
        <f>IF(ISBLANK('ENGAGEMENTS 2026'!B2365),"",'ENGAGEMENTS 2026'!J2365)</f>
        <v/>
      </c>
      <c r="Q2365">
        <f>IF($A2365="","",IF(OR($E2365="INFRUCTUEUX",$E2365="ANNULE"),$A2365&amp;"|"&amp;(COUNTIFS($A$2:$A2365,$A2365,$E$2:$E2365,"INFRUCTUEUX")+COUNTIFS($A$2:$A2365,$A2365,$E$2:$E2365,"ANNULE")),""))</f>
        <v/>
      </c>
    </row>
    <row r="2366">
      <c r="A2366">
        <f>IF(ISBLANK('ENGAGEMENTS 2026'!B2366),"",IF('ENGAGEMENTS 2026'!B2366="DTSI","DCT",'ENGAGEMENTS 2026'!B2366))</f>
        <v/>
      </c>
      <c r="B2366">
        <f>IF(ISBLANK('ENGAGEMENTS 2026'!B2366),"",'ENGAGEMENTS 2026'!C2366)</f>
        <v/>
      </c>
      <c r="C2366">
        <f>IF(ISBLANK('ENGAGEMENTS 2026'!B2366),"",'ENGAGEMENTS 2026'!D2366)</f>
        <v/>
      </c>
      <c r="D2366">
        <f>IF(ISBLANK('ENGAGEMENTS 2026'!B2366),"",'ENGAGEMENTS 2026'!F2366)</f>
        <v/>
      </c>
      <c r="E2366">
        <f>IF(ISBLANK('ENGAGEMENTS 2026'!B2366),"",'ENGAGEMENTS 2026'!H2366)</f>
        <v/>
      </c>
      <c r="F2366">
        <f>IF(ISBLANK('ENGAGEMENTS 2026'!B2366),"",'ENGAGEMENTS 2026'!I2366)</f>
        <v/>
      </c>
      <c r="G2366">
        <f>IF(ISBLANK('ENGAGEMENTS 2026'!B2366),"",'ENGAGEMENTS 2026'!L2366)</f>
        <v/>
      </c>
      <c r="H2366">
        <f>IF(ISBLANK('ENGAGEMENTS 2026'!B2366),"",'ENGAGEMENTS 2026'!AE2366)</f>
        <v/>
      </c>
      <c r="I2366">
        <f>IF(ISBLANK('ENGAGEMENTS 2026'!B2366),"",'ENGAGEMENTS 2026'!G2366)</f>
        <v/>
      </c>
      <c r="J2366" s="275">
        <f>IF(ISBLANK('ENGAGEMENTS 2026'!B2366),"",IF(AND(OR($E2366="INFRUCTUEUX",$E2366="ANNULE"),$C2366="AOO-M"),'ENGAGEMENTS 2026'!O2366,IF($H2366="EN COURS DE PREENGAGEMENT",'ENGAGEMENTS 2026'!N2366,IF($H2366="PREENGAGE",IF($E2366="ATTRIBUE",'ENGAGEMENTS 2026'!AD2366,'ENGAGEMENTS 2026'!N2366),'ENGAGEMENTS 2026'!AD2366))))</f>
        <v/>
      </c>
      <c r="K2366" s="604">
        <f>IF(ISBLANK('ENGAGEMENTS 2026'!V2366),"",'ENGAGEMENTS 2026'!V2366)</f>
        <v/>
      </c>
      <c r="L2366" s="276">
        <f>IF($K2366="","",TODAY()-$K2366)</f>
        <v/>
      </c>
      <c r="M2366">
        <f>IF($A2366="","",IF($H2366="ENGAGE","Engagé",IF(AND($H2366="NON ENGAGE",OR($I2366="INFRUCTUEUX",$I2366="ANNULE")),"Clôturé sans suite","En cours")))</f>
        <v/>
      </c>
      <c r="N2366">
        <f>IF(ISBLANK('ENGAGEMENTS 2026'!B2366),"",'ENGAGEMENTS 2026'!K2366)</f>
        <v/>
      </c>
      <c r="O2366">
        <f>IF(ISBLANK('ENGAGEMENTS 2026'!B2366),"",'ENGAGEMENTS 2026'!L2366)</f>
        <v/>
      </c>
      <c r="P2366">
        <f>IF(ISBLANK('ENGAGEMENTS 2026'!B2366),"",'ENGAGEMENTS 2026'!J2366)</f>
        <v/>
      </c>
      <c r="Q2366">
        <f>IF($A2366="","",IF(OR($E2366="INFRUCTUEUX",$E2366="ANNULE"),$A2366&amp;"|"&amp;(COUNTIFS($A$2:$A2366,$A2366,$E$2:$E2366,"INFRUCTUEUX")+COUNTIFS($A$2:$A2366,$A2366,$E$2:$E2366,"ANNULE")),""))</f>
        <v/>
      </c>
    </row>
    <row r="2367">
      <c r="A2367">
        <f>IF(ISBLANK('ENGAGEMENTS 2026'!B2367),"",IF('ENGAGEMENTS 2026'!B2367="DTSI","DCT",'ENGAGEMENTS 2026'!B2367))</f>
        <v/>
      </c>
      <c r="B2367">
        <f>IF(ISBLANK('ENGAGEMENTS 2026'!B2367),"",'ENGAGEMENTS 2026'!C2367)</f>
        <v/>
      </c>
      <c r="C2367">
        <f>IF(ISBLANK('ENGAGEMENTS 2026'!B2367),"",'ENGAGEMENTS 2026'!D2367)</f>
        <v/>
      </c>
      <c r="D2367">
        <f>IF(ISBLANK('ENGAGEMENTS 2026'!B2367),"",'ENGAGEMENTS 2026'!F2367)</f>
        <v/>
      </c>
      <c r="E2367">
        <f>IF(ISBLANK('ENGAGEMENTS 2026'!B2367),"",'ENGAGEMENTS 2026'!H2367)</f>
        <v/>
      </c>
      <c r="F2367">
        <f>IF(ISBLANK('ENGAGEMENTS 2026'!B2367),"",'ENGAGEMENTS 2026'!I2367)</f>
        <v/>
      </c>
      <c r="G2367">
        <f>IF(ISBLANK('ENGAGEMENTS 2026'!B2367),"",'ENGAGEMENTS 2026'!L2367)</f>
        <v/>
      </c>
      <c r="H2367">
        <f>IF(ISBLANK('ENGAGEMENTS 2026'!B2367),"",'ENGAGEMENTS 2026'!AE2367)</f>
        <v/>
      </c>
      <c r="I2367">
        <f>IF(ISBLANK('ENGAGEMENTS 2026'!B2367),"",'ENGAGEMENTS 2026'!G2367)</f>
        <v/>
      </c>
      <c r="J2367" s="275">
        <f>IF(ISBLANK('ENGAGEMENTS 2026'!B2367),"",IF(AND(OR($E2367="INFRUCTUEUX",$E2367="ANNULE"),$C2367="AOO-M"),'ENGAGEMENTS 2026'!O2367,IF($H2367="EN COURS DE PREENGAGEMENT",'ENGAGEMENTS 2026'!N2367,IF($H2367="PREENGAGE",IF($E2367="ATTRIBUE",'ENGAGEMENTS 2026'!AD2367,'ENGAGEMENTS 2026'!N2367),'ENGAGEMENTS 2026'!AD2367))))</f>
        <v/>
      </c>
      <c r="K2367" s="604">
        <f>IF(ISBLANK('ENGAGEMENTS 2026'!V2367),"",'ENGAGEMENTS 2026'!V2367)</f>
        <v/>
      </c>
      <c r="L2367" s="276">
        <f>IF($K2367="","",TODAY()-$K2367)</f>
        <v/>
      </c>
      <c r="M2367">
        <f>IF($A2367="","",IF($H2367="ENGAGE","Engagé",IF(AND($H2367="NON ENGAGE",OR($I2367="INFRUCTUEUX",$I2367="ANNULE")),"Clôturé sans suite","En cours")))</f>
        <v/>
      </c>
      <c r="N2367">
        <f>IF(ISBLANK('ENGAGEMENTS 2026'!B2367),"",'ENGAGEMENTS 2026'!K2367)</f>
        <v/>
      </c>
      <c r="O2367">
        <f>IF(ISBLANK('ENGAGEMENTS 2026'!B2367),"",'ENGAGEMENTS 2026'!L2367)</f>
        <v/>
      </c>
      <c r="P2367">
        <f>IF(ISBLANK('ENGAGEMENTS 2026'!B2367),"",'ENGAGEMENTS 2026'!J2367)</f>
        <v/>
      </c>
      <c r="Q2367">
        <f>IF($A2367="","",IF(OR($E2367="INFRUCTUEUX",$E2367="ANNULE"),$A2367&amp;"|"&amp;(COUNTIFS($A$2:$A2367,$A2367,$E$2:$E2367,"INFRUCTUEUX")+COUNTIFS($A$2:$A2367,$A2367,$E$2:$E2367,"ANNULE")),""))</f>
        <v/>
      </c>
    </row>
    <row r="2368">
      <c r="A2368">
        <f>IF(ISBLANK('ENGAGEMENTS 2026'!B2368),"",IF('ENGAGEMENTS 2026'!B2368="DTSI","DCT",'ENGAGEMENTS 2026'!B2368))</f>
        <v/>
      </c>
      <c r="B2368">
        <f>IF(ISBLANK('ENGAGEMENTS 2026'!B2368),"",'ENGAGEMENTS 2026'!C2368)</f>
        <v/>
      </c>
      <c r="C2368">
        <f>IF(ISBLANK('ENGAGEMENTS 2026'!B2368),"",'ENGAGEMENTS 2026'!D2368)</f>
        <v/>
      </c>
      <c r="D2368">
        <f>IF(ISBLANK('ENGAGEMENTS 2026'!B2368),"",'ENGAGEMENTS 2026'!F2368)</f>
        <v/>
      </c>
      <c r="E2368">
        <f>IF(ISBLANK('ENGAGEMENTS 2026'!B2368),"",'ENGAGEMENTS 2026'!H2368)</f>
        <v/>
      </c>
      <c r="F2368">
        <f>IF(ISBLANK('ENGAGEMENTS 2026'!B2368),"",'ENGAGEMENTS 2026'!I2368)</f>
        <v/>
      </c>
      <c r="G2368">
        <f>IF(ISBLANK('ENGAGEMENTS 2026'!B2368),"",'ENGAGEMENTS 2026'!L2368)</f>
        <v/>
      </c>
      <c r="H2368">
        <f>IF(ISBLANK('ENGAGEMENTS 2026'!B2368),"",'ENGAGEMENTS 2026'!AE2368)</f>
        <v/>
      </c>
      <c r="I2368">
        <f>IF(ISBLANK('ENGAGEMENTS 2026'!B2368),"",'ENGAGEMENTS 2026'!G2368)</f>
        <v/>
      </c>
      <c r="J2368" s="275">
        <f>IF(ISBLANK('ENGAGEMENTS 2026'!B2368),"",IF(AND(OR($E2368="INFRUCTUEUX",$E2368="ANNULE"),$C2368="AOO-M"),'ENGAGEMENTS 2026'!O2368,IF($H2368="EN COURS DE PREENGAGEMENT",'ENGAGEMENTS 2026'!N2368,IF($H2368="PREENGAGE",IF($E2368="ATTRIBUE",'ENGAGEMENTS 2026'!AD2368,'ENGAGEMENTS 2026'!N2368),'ENGAGEMENTS 2026'!AD2368))))</f>
        <v/>
      </c>
      <c r="K2368" s="604">
        <f>IF(ISBLANK('ENGAGEMENTS 2026'!V2368),"",'ENGAGEMENTS 2026'!V2368)</f>
        <v/>
      </c>
      <c r="L2368" s="276">
        <f>IF($K2368="","",TODAY()-$K2368)</f>
        <v/>
      </c>
      <c r="M2368">
        <f>IF($A2368="","",IF($H2368="ENGAGE","Engagé",IF(AND($H2368="NON ENGAGE",OR($I2368="INFRUCTUEUX",$I2368="ANNULE")),"Clôturé sans suite","En cours")))</f>
        <v/>
      </c>
      <c r="N2368">
        <f>IF(ISBLANK('ENGAGEMENTS 2026'!B2368),"",'ENGAGEMENTS 2026'!K2368)</f>
        <v/>
      </c>
      <c r="O2368">
        <f>IF(ISBLANK('ENGAGEMENTS 2026'!B2368),"",'ENGAGEMENTS 2026'!L2368)</f>
        <v/>
      </c>
      <c r="P2368">
        <f>IF(ISBLANK('ENGAGEMENTS 2026'!B2368),"",'ENGAGEMENTS 2026'!J2368)</f>
        <v/>
      </c>
      <c r="Q2368">
        <f>IF($A2368="","",IF(OR($E2368="INFRUCTUEUX",$E2368="ANNULE"),$A2368&amp;"|"&amp;(COUNTIFS($A$2:$A2368,$A2368,$E$2:$E2368,"INFRUCTUEUX")+COUNTIFS($A$2:$A2368,$A2368,$E$2:$E2368,"ANNULE")),""))</f>
        <v/>
      </c>
    </row>
    <row r="2369">
      <c r="A2369">
        <f>IF(ISBLANK('ENGAGEMENTS 2026'!B2369),"",IF('ENGAGEMENTS 2026'!B2369="DTSI","DCT",'ENGAGEMENTS 2026'!B2369))</f>
        <v/>
      </c>
      <c r="B2369">
        <f>IF(ISBLANK('ENGAGEMENTS 2026'!B2369),"",'ENGAGEMENTS 2026'!C2369)</f>
        <v/>
      </c>
      <c r="C2369">
        <f>IF(ISBLANK('ENGAGEMENTS 2026'!B2369),"",'ENGAGEMENTS 2026'!D2369)</f>
        <v/>
      </c>
      <c r="D2369">
        <f>IF(ISBLANK('ENGAGEMENTS 2026'!B2369),"",'ENGAGEMENTS 2026'!F2369)</f>
        <v/>
      </c>
      <c r="E2369">
        <f>IF(ISBLANK('ENGAGEMENTS 2026'!B2369),"",'ENGAGEMENTS 2026'!H2369)</f>
        <v/>
      </c>
      <c r="F2369">
        <f>IF(ISBLANK('ENGAGEMENTS 2026'!B2369),"",'ENGAGEMENTS 2026'!I2369)</f>
        <v/>
      </c>
      <c r="G2369">
        <f>IF(ISBLANK('ENGAGEMENTS 2026'!B2369),"",'ENGAGEMENTS 2026'!L2369)</f>
        <v/>
      </c>
      <c r="H2369">
        <f>IF(ISBLANK('ENGAGEMENTS 2026'!B2369),"",'ENGAGEMENTS 2026'!AE2369)</f>
        <v/>
      </c>
      <c r="I2369">
        <f>IF(ISBLANK('ENGAGEMENTS 2026'!B2369),"",'ENGAGEMENTS 2026'!G2369)</f>
        <v/>
      </c>
      <c r="J2369" s="275">
        <f>IF(ISBLANK('ENGAGEMENTS 2026'!B2369),"",IF(AND(OR($E2369="INFRUCTUEUX",$E2369="ANNULE"),$C2369="AOO-M"),'ENGAGEMENTS 2026'!O2369,IF($H2369="EN COURS DE PREENGAGEMENT",'ENGAGEMENTS 2026'!N2369,IF($H2369="PREENGAGE",IF($E2369="ATTRIBUE",'ENGAGEMENTS 2026'!AD2369,'ENGAGEMENTS 2026'!N2369),'ENGAGEMENTS 2026'!AD2369))))</f>
        <v/>
      </c>
      <c r="K2369" s="604">
        <f>IF(ISBLANK('ENGAGEMENTS 2026'!V2369),"",'ENGAGEMENTS 2026'!V2369)</f>
        <v/>
      </c>
      <c r="L2369" s="276">
        <f>IF($K2369="","",TODAY()-$K2369)</f>
        <v/>
      </c>
      <c r="M2369">
        <f>IF($A2369="","",IF($H2369="ENGAGE","Engagé",IF(AND($H2369="NON ENGAGE",OR($I2369="INFRUCTUEUX",$I2369="ANNULE")),"Clôturé sans suite","En cours")))</f>
        <v/>
      </c>
      <c r="N2369">
        <f>IF(ISBLANK('ENGAGEMENTS 2026'!B2369),"",'ENGAGEMENTS 2026'!K2369)</f>
        <v/>
      </c>
      <c r="O2369">
        <f>IF(ISBLANK('ENGAGEMENTS 2026'!B2369),"",'ENGAGEMENTS 2026'!L2369)</f>
        <v/>
      </c>
      <c r="P2369">
        <f>IF(ISBLANK('ENGAGEMENTS 2026'!B2369),"",'ENGAGEMENTS 2026'!J2369)</f>
        <v/>
      </c>
      <c r="Q2369">
        <f>IF($A2369="","",IF(OR($E2369="INFRUCTUEUX",$E2369="ANNULE"),$A2369&amp;"|"&amp;(COUNTIFS($A$2:$A2369,$A2369,$E$2:$E2369,"INFRUCTUEUX")+COUNTIFS($A$2:$A2369,$A2369,$E$2:$E2369,"ANNULE")),""))</f>
        <v/>
      </c>
    </row>
    <row r="2370">
      <c r="A2370">
        <f>IF(ISBLANK('ENGAGEMENTS 2026'!B2370),"",IF('ENGAGEMENTS 2026'!B2370="DTSI","DCT",'ENGAGEMENTS 2026'!B2370))</f>
        <v/>
      </c>
      <c r="B2370">
        <f>IF(ISBLANK('ENGAGEMENTS 2026'!B2370),"",'ENGAGEMENTS 2026'!C2370)</f>
        <v/>
      </c>
      <c r="C2370">
        <f>IF(ISBLANK('ENGAGEMENTS 2026'!B2370),"",'ENGAGEMENTS 2026'!D2370)</f>
        <v/>
      </c>
      <c r="D2370">
        <f>IF(ISBLANK('ENGAGEMENTS 2026'!B2370),"",'ENGAGEMENTS 2026'!F2370)</f>
        <v/>
      </c>
      <c r="E2370">
        <f>IF(ISBLANK('ENGAGEMENTS 2026'!B2370),"",'ENGAGEMENTS 2026'!H2370)</f>
        <v/>
      </c>
      <c r="F2370">
        <f>IF(ISBLANK('ENGAGEMENTS 2026'!B2370),"",'ENGAGEMENTS 2026'!I2370)</f>
        <v/>
      </c>
      <c r="G2370">
        <f>IF(ISBLANK('ENGAGEMENTS 2026'!B2370),"",'ENGAGEMENTS 2026'!L2370)</f>
        <v/>
      </c>
      <c r="H2370">
        <f>IF(ISBLANK('ENGAGEMENTS 2026'!B2370),"",'ENGAGEMENTS 2026'!AE2370)</f>
        <v/>
      </c>
      <c r="I2370">
        <f>IF(ISBLANK('ENGAGEMENTS 2026'!B2370),"",'ENGAGEMENTS 2026'!G2370)</f>
        <v/>
      </c>
      <c r="J2370" s="275">
        <f>IF(ISBLANK('ENGAGEMENTS 2026'!B2370),"",IF(AND(OR($E2370="INFRUCTUEUX",$E2370="ANNULE"),$C2370="AOO-M"),'ENGAGEMENTS 2026'!O2370,IF($H2370="EN COURS DE PREENGAGEMENT",'ENGAGEMENTS 2026'!N2370,IF($H2370="PREENGAGE",IF($E2370="ATTRIBUE",'ENGAGEMENTS 2026'!AD2370,'ENGAGEMENTS 2026'!N2370),'ENGAGEMENTS 2026'!AD2370))))</f>
        <v/>
      </c>
      <c r="K2370" s="604">
        <f>IF(ISBLANK('ENGAGEMENTS 2026'!V2370),"",'ENGAGEMENTS 2026'!V2370)</f>
        <v/>
      </c>
      <c r="L2370" s="276">
        <f>IF($K2370="","",TODAY()-$K2370)</f>
        <v/>
      </c>
      <c r="M2370">
        <f>IF($A2370="","",IF($H2370="ENGAGE","Engagé",IF(AND($H2370="NON ENGAGE",OR($I2370="INFRUCTUEUX",$I2370="ANNULE")),"Clôturé sans suite","En cours")))</f>
        <v/>
      </c>
      <c r="N2370">
        <f>IF(ISBLANK('ENGAGEMENTS 2026'!B2370),"",'ENGAGEMENTS 2026'!K2370)</f>
        <v/>
      </c>
      <c r="O2370">
        <f>IF(ISBLANK('ENGAGEMENTS 2026'!B2370),"",'ENGAGEMENTS 2026'!L2370)</f>
        <v/>
      </c>
      <c r="P2370">
        <f>IF(ISBLANK('ENGAGEMENTS 2026'!B2370),"",'ENGAGEMENTS 2026'!J2370)</f>
        <v/>
      </c>
      <c r="Q2370">
        <f>IF($A2370="","",IF(OR($E2370="INFRUCTUEUX",$E2370="ANNULE"),$A2370&amp;"|"&amp;(COUNTIFS($A$2:$A2370,$A2370,$E$2:$E2370,"INFRUCTUEUX")+COUNTIFS($A$2:$A2370,$A2370,$E$2:$E2370,"ANNULE")),""))</f>
        <v/>
      </c>
    </row>
    <row r="2371">
      <c r="A2371">
        <f>IF(ISBLANK('ENGAGEMENTS 2026'!B2371),"",IF('ENGAGEMENTS 2026'!B2371="DTSI","DCT",'ENGAGEMENTS 2026'!B2371))</f>
        <v/>
      </c>
      <c r="B2371">
        <f>IF(ISBLANK('ENGAGEMENTS 2026'!B2371),"",'ENGAGEMENTS 2026'!C2371)</f>
        <v/>
      </c>
      <c r="C2371">
        <f>IF(ISBLANK('ENGAGEMENTS 2026'!B2371),"",'ENGAGEMENTS 2026'!D2371)</f>
        <v/>
      </c>
      <c r="D2371">
        <f>IF(ISBLANK('ENGAGEMENTS 2026'!B2371),"",'ENGAGEMENTS 2026'!F2371)</f>
        <v/>
      </c>
      <c r="E2371">
        <f>IF(ISBLANK('ENGAGEMENTS 2026'!B2371),"",'ENGAGEMENTS 2026'!H2371)</f>
        <v/>
      </c>
      <c r="F2371">
        <f>IF(ISBLANK('ENGAGEMENTS 2026'!B2371),"",'ENGAGEMENTS 2026'!I2371)</f>
        <v/>
      </c>
      <c r="G2371">
        <f>IF(ISBLANK('ENGAGEMENTS 2026'!B2371),"",'ENGAGEMENTS 2026'!L2371)</f>
        <v/>
      </c>
      <c r="H2371">
        <f>IF(ISBLANK('ENGAGEMENTS 2026'!B2371),"",'ENGAGEMENTS 2026'!AE2371)</f>
        <v/>
      </c>
      <c r="I2371">
        <f>IF(ISBLANK('ENGAGEMENTS 2026'!B2371),"",'ENGAGEMENTS 2026'!G2371)</f>
        <v/>
      </c>
      <c r="J2371" s="275">
        <f>IF(ISBLANK('ENGAGEMENTS 2026'!B2371),"",IF(AND(OR($E2371="INFRUCTUEUX",$E2371="ANNULE"),$C2371="AOO-M"),'ENGAGEMENTS 2026'!O2371,IF($H2371="EN COURS DE PREENGAGEMENT",'ENGAGEMENTS 2026'!N2371,IF($H2371="PREENGAGE",IF($E2371="ATTRIBUE",'ENGAGEMENTS 2026'!AD2371,'ENGAGEMENTS 2026'!N2371),'ENGAGEMENTS 2026'!AD2371))))</f>
        <v/>
      </c>
      <c r="K2371" s="604">
        <f>IF(ISBLANK('ENGAGEMENTS 2026'!V2371),"",'ENGAGEMENTS 2026'!V2371)</f>
        <v/>
      </c>
      <c r="L2371" s="276">
        <f>IF($K2371="","",TODAY()-$K2371)</f>
        <v/>
      </c>
      <c r="M2371">
        <f>IF($A2371="","",IF($H2371="ENGAGE","Engagé",IF(AND($H2371="NON ENGAGE",OR($I2371="INFRUCTUEUX",$I2371="ANNULE")),"Clôturé sans suite","En cours")))</f>
        <v/>
      </c>
      <c r="N2371">
        <f>IF(ISBLANK('ENGAGEMENTS 2026'!B2371),"",'ENGAGEMENTS 2026'!K2371)</f>
        <v/>
      </c>
      <c r="O2371">
        <f>IF(ISBLANK('ENGAGEMENTS 2026'!B2371),"",'ENGAGEMENTS 2026'!L2371)</f>
        <v/>
      </c>
      <c r="P2371">
        <f>IF(ISBLANK('ENGAGEMENTS 2026'!B2371),"",'ENGAGEMENTS 2026'!J2371)</f>
        <v/>
      </c>
      <c r="Q2371">
        <f>IF($A2371="","",IF(OR($E2371="INFRUCTUEUX",$E2371="ANNULE"),$A2371&amp;"|"&amp;(COUNTIFS($A$2:$A2371,$A2371,$E$2:$E2371,"INFRUCTUEUX")+COUNTIFS($A$2:$A2371,$A2371,$E$2:$E2371,"ANNULE")),""))</f>
        <v/>
      </c>
    </row>
    <row r="2372">
      <c r="A2372">
        <f>IF(ISBLANK('ENGAGEMENTS 2026'!B2372),"",IF('ENGAGEMENTS 2026'!B2372="DTSI","DCT",'ENGAGEMENTS 2026'!B2372))</f>
        <v/>
      </c>
      <c r="B2372">
        <f>IF(ISBLANK('ENGAGEMENTS 2026'!B2372),"",'ENGAGEMENTS 2026'!C2372)</f>
        <v/>
      </c>
      <c r="C2372">
        <f>IF(ISBLANK('ENGAGEMENTS 2026'!B2372),"",'ENGAGEMENTS 2026'!D2372)</f>
        <v/>
      </c>
      <c r="D2372">
        <f>IF(ISBLANK('ENGAGEMENTS 2026'!B2372),"",'ENGAGEMENTS 2026'!F2372)</f>
        <v/>
      </c>
      <c r="E2372">
        <f>IF(ISBLANK('ENGAGEMENTS 2026'!B2372),"",'ENGAGEMENTS 2026'!H2372)</f>
        <v/>
      </c>
      <c r="F2372">
        <f>IF(ISBLANK('ENGAGEMENTS 2026'!B2372),"",'ENGAGEMENTS 2026'!I2372)</f>
        <v/>
      </c>
      <c r="G2372">
        <f>IF(ISBLANK('ENGAGEMENTS 2026'!B2372),"",'ENGAGEMENTS 2026'!L2372)</f>
        <v/>
      </c>
      <c r="H2372">
        <f>IF(ISBLANK('ENGAGEMENTS 2026'!B2372),"",'ENGAGEMENTS 2026'!AE2372)</f>
        <v/>
      </c>
      <c r="I2372">
        <f>IF(ISBLANK('ENGAGEMENTS 2026'!B2372),"",'ENGAGEMENTS 2026'!G2372)</f>
        <v/>
      </c>
      <c r="J2372" s="275">
        <f>IF(ISBLANK('ENGAGEMENTS 2026'!B2372),"",IF(AND(OR($E2372="INFRUCTUEUX",$E2372="ANNULE"),$C2372="AOO-M"),'ENGAGEMENTS 2026'!O2372,IF($H2372="EN COURS DE PREENGAGEMENT",'ENGAGEMENTS 2026'!N2372,IF($H2372="PREENGAGE",IF($E2372="ATTRIBUE",'ENGAGEMENTS 2026'!AD2372,'ENGAGEMENTS 2026'!N2372),'ENGAGEMENTS 2026'!AD2372))))</f>
        <v/>
      </c>
      <c r="K2372" s="604">
        <f>IF(ISBLANK('ENGAGEMENTS 2026'!V2372),"",'ENGAGEMENTS 2026'!V2372)</f>
        <v/>
      </c>
      <c r="L2372" s="276">
        <f>IF($K2372="","",TODAY()-$K2372)</f>
        <v/>
      </c>
      <c r="M2372">
        <f>IF($A2372="","",IF($H2372="ENGAGE","Engagé",IF(AND($H2372="NON ENGAGE",OR($I2372="INFRUCTUEUX",$I2372="ANNULE")),"Clôturé sans suite","En cours")))</f>
        <v/>
      </c>
      <c r="N2372">
        <f>IF(ISBLANK('ENGAGEMENTS 2026'!B2372),"",'ENGAGEMENTS 2026'!K2372)</f>
        <v/>
      </c>
      <c r="O2372">
        <f>IF(ISBLANK('ENGAGEMENTS 2026'!B2372),"",'ENGAGEMENTS 2026'!L2372)</f>
        <v/>
      </c>
      <c r="P2372">
        <f>IF(ISBLANK('ENGAGEMENTS 2026'!B2372),"",'ENGAGEMENTS 2026'!J2372)</f>
        <v/>
      </c>
      <c r="Q2372">
        <f>IF($A2372="","",IF(OR($E2372="INFRUCTUEUX",$E2372="ANNULE"),$A2372&amp;"|"&amp;(COUNTIFS($A$2:$A2372,$A2372,$E$2:$E2372,"INFRUCTUEUX")+COUNTIFS($A$2:$A2372,$A2372,$E$2:$E2372,"ANNULE")),""))</f>
        <v/>
      </c>
    </row>
    <row r="2373">
      <c r="A2373">
        <f>IF(ISBLANK('ENGAGEMENTS 2026'!B2373),"",IF('ENGAGEMENTS 2026'!B2373="DTSI","DCT",'ENGAGEMENTS 2026'!B2373))</f>
        <v/>
      </c>
      <c r="B2373">
        <f>IF(ISBLANK('ENGAGEMENTS 2026'!B2373),"",'ENGAGEMENTS 2026'!C2373)</f>
        <v/>
      </c>
      <c r="C2373">
        <f>IF(ISBLANK('ENGAGEMENTS 2026'!B2373),"",'ENGAGEMENTS 2026'!D2373)</f>
        <v/>
      </c>
      <c r="D2373">
        <f>IF(ISBLANK('ENGAGEMENTS 2026'!B2373),"",'ENGAGEMENTS 2026'!F2373)</f>
        <v/>
      </c>
      <c r="E2373">
        <f>IF(ISBLANK('ENGAGEMENTS 2026'!B2373),"",'ENGAGEMENTS 2026'!H2373)</f>
        <v/>
      </c>
      <c r="F2373">
        <f>IF(ISBLANK('ENGAGEMENTS 2026'!B2373),"",'ENGAGEMENTS 2026'!I2373)</f>
        <v/>
      </c>
      <c r="G2373">
        <f>IF(ISBLANK('ENGAGEMENTS 2026'!B2373),"",'ENGAGEMENTS 2026'!L2373)</f>
        <v/>
      </c>
      <c r="H2373">
        <f>IF(ISBLANK('ENGAGEMENTS 2026'!B2373),"",'ENGAGEMENTS 2026'!AE2373)</f>
        <v/>
      </c>
      <c r="I2373">
        <f>IF(ISBLANK('ENGAGEMENTS 2026'!B2373),"",'ENGAGEMENTS 2026'!G2373)</f>
        <v/>
      </c>
      <c r="J2373" s="275">
        <f>IF(ISBLANK('ENGAGEMENTS 2026'!B2373),"",IF(AND(OR($E2373="INFRUCTUEUX",$E2373="ANNULE"),$C2373="AOO-M"),'ENGAGEMENTS 2026'!O2373,IF($H2373="EN COURS DE PREENGAGEMENT",'ENGAGEMENTS 2026'!N2373,IF($H2373="PREENGAGE",IF($E2373="ATTRIBUE",'ENGAGEMENTS 2026'!AD2373,'ENGAGEMENTS 2026'!N2373),'ENGAGEMENTS 2026'!AD2373))))</f>
        <v/>
      </c>
      <c r="K2373" s="604">
        <f>IF(ISBLANK('ENGAGEMENTS 2026'!V2373),"",'ENGAGEMENTS 2026'!V2373)</f>
        <v/>
      </c>
      <c r="L2373" s="276">
        <f>IF($K2373="","",TODAY()-$K2373)</f>
        <v/>
      </c>
      <c r="M2373">
        <f>IF($A2373="","",IF($H2373="ENGAGE","Engagé",IF(AND($H2373="NON ENGAGE",OR($I2373="INFRUCTUEUX",$I2373="ANNULE")),"Clôturé sans suite","En cours")))</f>
        <v/>
      </c>
      <c r="N2373">
        <f>IF(ISBLANK('ENGAGEMENTS 2026'!B2373),"",'ENGAGEMENTS 2026'!K2373)</f>
        <v/>
      </c>
      <c r="O2373">
        <f>IF(ISBLANK('ENGAGEMENTS 2026'!B2373),"",'ENGAGEMENTS 2026'!L2373)</f>
        <v/>
      </c>
      <c r="P2373">
        <f>IF(ISBLANK('ENGAGEMENTS 2026'!B2373),"",'ENGAGEMENTS 2026'!J2373)</f>
        <v/>
      </c>
      <c r="Q2373">
        <f>IF($A2373="","",IF(OR($E2373="INFRUCTUEUX",$E2373="ANNULE"),$A2373&amp;"|"&amp;(COUNTIFS($A$2:$A2373,$A2373,$E$2:$E2373,"INFRUCTUEUX")+COUNTIFS($A$2:$A2373,$A2373,$E$2:$E2373,"ANNULE")),""))</f>
        <v/>
      </c>
    </row>
    <row r="2374">
      <c r="A2374">
        <f>IF(ISBLANK('ENGAGEMENTS 2026'!B2374),"",IF('ENGAGEMENTS 2026'!B2374="DTSI","DCT",'ENGAGEMENTS 2026'!B2374))</f>
        <v/>
      </c>
      <c r="B2374">
        <f>IF(ISBLANK('ENGAGEMENTS 2026'!B2374),"",'ENGAGEMENTS 2026'!C2374)</f>
        <v/>
      </c>
      <c r="C2374">
        <f>IF(ISBLANK('ENGAGEMENTS 2026'!B2374),"",'ENGAGEMENTS 2026'!D2374)</f>
        <v/>
      </c>
      <c r="D2374">
        <f>IF(ISBLANK('ENGAGEMENTS 2026'!B2374),"",'ENGAGEMENTS 2026'!F2374)</f>
        <v/>
      </c>
      <c r="E2374">
        <f>IF(ISBLANK('ENGAGEMENTS 2026'!B2374),"",'ENGAGEMENTS 2026'!H2374)</f>
        <v/>
      </c>
      <c r="F2374">
        <f>IF(ISBLANK('ENGAGEMENTS 2026'!B2374),"",'ENGAGEMENTS 2026'!I2374)</f>
        <v/>
      </c>
      <c r="G2374">
        <f>IF(ISBLANK('ENGAGEMENTS 2026'!B2374),"",'ENGAGEMENTS 2026'!L2374)</f>
        <v/>
      </c>
      <c r="H2374">
        <f>IF(ISBLANK('ENGAGEMENTS 2026'!B2374),"",'ENGAGEMENTS 2026'!AE2374)</f>
        <v/>
      </c>
      <c r="I2374">
        <f>IF(ISBLANK('ENGAGEMENTS 2026'!B2374),"",'ENGAGEMENTS 2026'!G2374)</f>
        <v/>
      </c>
      <c r="J2374" s="275">
        <f>IF(ISBLANK('ENGAGEMENTS 2026'!B2374),"",IF(AND(OR($E2374="INFRUCTUEUX",$E2374="ANNULE"),$C2374="AOO-M"),'ENGAGEMENTS 2026'!O2374,IF($H2374="EN COURS DE PREENGAGEMENT",'ENGAGEMENTS 2026'!N2374,IF($H2374="PREENGAGE",IF($E2374="ATTRIBUE",'ENGAGEMENTS 2026'!AD2374,'ENGAGEMENTS 2026'!N2374),'ENGAGEMENTS 2026'!AD2374))))</f>
        <v/>
      </c>
      <c r="K2374" s="604">
        <f>IF(ISBLANK('ENGAGEMENTS 2026'!V2374),"",'ENGAGEMENTS 2026'!V2374)</f>
        <v/>
      </c>
      <c r="L2374" s="276">
        <f>IF($K2374="","",TODAY()-$K2374)</f>
        <v/>
      </c>
      <c r="M2374">
        <f>IF($A2374="","",IF($H2374="ENGAGE","Engagé",IF(AND($H2374="NON ENGAGE",OR($I2374="INFRUCTUEUX",$I2374="ANNULE")),"Clôturé sans suite","En cours")))</f>
        <v/>
      </c>
      <c r="N2374">
        <f>IF(ISBLANK('ENGAGEMENTS 2026'!B2374),"",'ENGAGEMENTS 2026'!K2374)</f>
        <v/>
      </c>
      <c r="O2374">
        <f>IF(ISBLANK('ENGAGEMENTS 2026'!B2374),"",'ENGAGEMENTS 2026'!L2374)</f>
        <v/>
      </c>
      <c r="P2374">
        <f>IF(ISBLANK('ENGAGEMENTS 2026'!B2374),"",'ENGAGEMENTS 2026'!J2374)</f>
        <v/>
      </c>
      <c r="Q2374">
        <f>IF($A2374="","",IF(OR($E2374="INFRUCTUEUX",$E2374="ANNULE"),$A2374&amp;"|"&amp;(COUNTIFS($A$2:$A2374,$A2374,$E$2:$E2374,"INFRUCTUEUX")+COUNTIFS($A$2:$A2374,$A2374,$E$2:$E2374,"ANNULE")),""))</f>
        <v/>
      </c>
    </row>
    <row r="2375">
      <c r="A2375">
        <f>IF(ISBLANK('ENGAGEMENTS 2026'!B2375),"",IF('ENGAGEMENTS 2026'!B2375="DTSI","DCT",'ENGAGEMENTS 2026'!B2375))</f>
        <v/>
      </c>
      <c r="B2375">
        <f>IF(ISBLANK('ENGAGEMENTS 2026'!B2375),"",'ENGAGEMENTS 2026'!C2375)</f>
        <v/>
      </c>
      <c r="C2375">
        <f>IF(ISBLANK('ENGAGEMENTS 2026'!B2375),"",'ENGAGEMENTS 2026'!D2375)</f>
        <v/>
      </c>
      <c r="D2375">
        <f>IF(ISBLANK('ENGAGEMENTS 2026'!B2375),"",'ENGAGEMENTS 2026'!F2375)</f>
        <v/>
      </c>
      <c r="E2375">
        <f>IF(ISBLANK('ENGAGEMENTS 2026'!B2375),"",'ENGAGEMENTS 2026'!H2375)</f>
        <v/>
      </c>
      <c r="F2375">
        <f>IF(ISBLANK('ENGAGEMENTS 2026'!B2375),"",'ENGAGEMENTS 2026'!I2375)</f>
        <v/>
      </c>
      <c r="G2375">
        <f>IF(ISBLANK('ENGAGEMENTS 2026'!B2375),"",'ENGAGEMENTS 2026'!L2375)</f>
        <v/>
      </c>
      <c r="H2375">
        <f>IF(ISBLANK('ENGAGEMENTS 2026'!B2375),"",'ENGAGEMENTS 2026'!AE2375)</f>
        <v/>
      </c>
      <c r="I2375">
        <f>IF(ISBLANK('ENGAGEMENTS 2026'!B2375),"",'ENGAGEMENTS 2026'!G2375)</f>
        <v/>
      </c>
      <c r="J2375" s="275">
        <f>IF(ISBLANK('ENGAGEMENTS 2026'!B2375),"",IF(AND(OR($E2375="INFRUCTUEUX",$E2375="ANNULE"),$C2375="AOO-M"),'ENGAGEMENTS 2026'!O2375,IF($H2375="EN COURS DE PREENGAGEMENT",'ENGAGEMENTS 2026'!N2375,IF($H2375="PREENGAGE",IF($E2375="ATTRIBUE",'ENGAGEMENTS 2026'!AD2375,'ENGAGEMENTS 2026'!N2375),'ENGAGEMENTS 2026'!AD2375))))</f>
        <v/>
      </c>
      <c r="K2375" s="604">
        <f>IF(ISBLANK('ENGAGEMENTS 2026'!V2375),"",'ENGAGEMENTS 2026'!V2375)</f>
        <v/>
      </c>
      <c r="L2375" s="276">
        <f>IF($K2375="","",TODAY()-$K2375)</f>
        <v/>
      </c>
      <c r="M2375">
        <f>IF($A2375="","",IF($H2375="ENGAGE","Engagé",IF(AND($H2375="NON ENGAGE",OR($I2375="INFRUCTUEUX",$I2375="ANNULE")),"Clôturé sans suite","En cours")))</f>
        <v/>
      </c>
      <c r="N2375">
        <f>IF(ISBLANK('ENGAGEMENTS 2026'!B2375),"",'ENGAGEMENTS 2026'!K2375)</f>
        <v/>
      </c>
      <c r="O2375">
        <f>IF(ISBLANK('ENGAGEMENTS 2026'!B2375),"",'ENGAGEMENTS 2026'!L2375)</f>
        <v/>
      </c>
      <c r="P2375">
        <f>IF(ISBLANK('ENGAGEMENTS 2026'!B2375),"",'ENGAGEMENTS 2026'!J2375)</f>
        <v/>
      </c>
      <c r="Q2375">
        <f>IF($A2375="","",IF(OR($E2375="INFRUCTUEUX",$E2375="ANNULE"),$A2375&amp;"|"&amp;(COUNTIFS($A$2:$A2375,$A2375,$E$2:$E2375,"INFRUCTUEUX")+COUNTIFS($A$2:$A2375,$A2375,$E$2:$E2375,"ANNULE")),""))</f>
        <v/>
      </c>
    </row>
    <row r="2376">
      <c r="A2376">
        <f>IF(ISBLANK('ENGAGEMENTS 2026'!B2376),"",IF('ENGAGEMENTS 2026'!B2376="DTSI","DCT",'ENGAGEMENTS 2026'!B2376))</f>
        <v/>
      </c>
      <c r="B2376">
        <f>IF(ISBLANK('ENGAGEMENTS 2026'!B2376),"",'ENGAGEMENTS 2026'!C2376)</f>
        <v/>
      </c>
      <c r="C2376">
        <f>IF(ISBLANK('ENGAGEMENTS 2026'!B2376),"",'ENGAGEMENTS 2026'!D2376)</f>
        <v/>
      </c>
      <c r="D2376">
        <f>IF(ISBLANK('ENGAGEMENTS 2026'!B2376),"",'ENGAGEMENTS 2026'!F2376)</f>
        <v/>
      </c>
      <c r="E2376">
        <f>IF(ISBLANK('ENGAGEMENTS 2026'!B2376),"",'ENGAGEMENTS 2026'!H2376)</f>
        <v/>
      </c>
      <c r="F2376">
        <f>IF(ISBLANK('ENGAGEMENTS 2026'!B2376),"",'ENGAGEMENTS 2026'!I2376)</f>
        <v/>
      </c>
      <c r="G2376">
        <f>IF(ISBLANK('ENGAGEMENTS 2026'!B2376),"",'ENGAGEMENTS 2026'!L2376)</f>
        <v/>
      </c>
      <c r="H2376">
        <f>IF(ISBLANK('ENGAGEMENTS 2026'!B2376),"",'ENGAGEMENTS 2026'!AE2376)</f>
        <v/>
      </c>
      <c r="I2376">
        <f>IF(ISBLANK('ENGAGEMENTS 2026'!B2376),"",'ENGAGEMENTS 2026'!G2376)</f>
        <v/>
      </c>
      <c r="J2376" s="275">
        <f>IF(ISBLANK('ENGAGEMENTS 2026'!B2376),"",IF(AND(OR($E2376="INFRUCTUEUX",$E2376="ANNULE"),$C2376="AOO-M"),'ENGAGEMENTS 2026'!O2376,IF($H2376="EN COURS DE PREENGAGEMENT",'ENGAGEMENTS 2026'!N2376,IF($H2376="PREENGAGE",IF($E2376="ATTRIBUE",'ENGAGEMENTS 2026'!AD2376,'ENGAGEMENTS 2026'!N2376),'ENGAGEMENTS 2026'!AD2376))))</f>
        <v/>
      </c>
      <c r="K2376" s="604">
        <f>IF(ISBLANK('ENGAGEMENTS 2026'!V2376),"",'ENGAGEMENTS 2026'!V2376)</f>
        <v/>
      </c>
      <c r="L2376" s="276">
        <f>IF($K2376="","",TODAY()-$K2376)</f>
        <v/>
      </c>
      <c r="M2376">
        <f>IF($A2376="","",IF($H2376="ENGAGE","Engagé",IF(AND($H2376="NON ENGAGE",OR($I2376="INFRUCTUEUX",$I2376="ANNULE")),"Clôturé sans suite","En cours")))</f>
        <v/>
      </c>
      <c r="N2376">
        <f>IF(ISBLANK('ENGAGEMENTS 2026'!B2376),"",'ENGAGEMENTS 2026'!K2376)</f>
        <v/>
      </c>
      <c r="O2376">
        <f>IF(ISBLANK('ENGAGEMENTS 2026'!B2376),"",'ENGAGEMENTS 2026'!L2376)</f>
        <v/>
      </c>
      <c r="P2376">
        <f>IF(ISBLANK('ENGAGEMENTS 2026'!B2376),"",'ENGAGEMENTS 2026'!J2376)</f>
        <v/>
      </c>
      <c r="Q2376">
        <f>IF($A2376="","",IF(OR($E2376="INFRUCTUEUX",$E2376="ANNULE"),$A2376&amp;"|"&amp;(COUNTIFS($A$2:$A2376,$A2376,$E$2:$E2376,"INFRUCTUEUX")+COUNTIFS($A$2:$A2376,$A2376,$E$2:$E2376,"ANNULE")),""))</f>
        <v/>
      </c>
    </row>
    <row r="2377">
      <c r="A2377">
        <f>IF(ISBLANK('ENGAGEMENTS 2026'!B2377),"",IF('ENGAGEMENTS 2026'!B2377="DTSI","DCT",'ENGAGEMENTS 2026'!B2377))</f>
        <v/>
      </c>
      <c r="B2377">
        <f>IF(ISBLANK('ENGAGEMENTS 2026'!B2377),"",'ENGAGEMENTS 2026'!C2377)</f>
        <v/>
      </c>
      <c r="C2377">
        <f>IF(ISBLANK('ENGAGEMENTS 2026'!B2377),"",'ENGAGEMENTS 2026'!D2377)</f>
        <v/>
      </c>
      <c r="D2377">
        <f>IF(ISBLANK('ENGAGEMENTS 2026'!B2377),"",'ENGAGEMENTS 2026'!F2377)</f>
        <v/>
      </c>
      <c r="E2377">
        <f>IF(ISBLANK('ENGAGEMENTS 2026'!B2377),"",'ENGAGEMENTS 2026'!H2377)</f>
        <v/>
      </c>
      <c r="F2377">
        <f>IF(ISBLANK('ENGAGEMENTS 2026'!B2377),"",'ENGAGEMENTS 2026'!I2377)</f>
        <v/>
      </c>
      <c r="G2377">
        <f>IF(ISBLANK('ENGAGEMENTS 2026'!B2377),"",'ENGAGEMENTS 2026'!L2377)</f>
        <v/>
      </c>
      <c r="H2377">
        <f>IF(ISBLANK('ENGAGEMENTS 2026'!B2377),"",'ENGAGEMENTS 2026'!AE2377)</f>
        <v/>
      </c>
      <c r="I2377">
        <f>IF(ISBLANK('ENGAGEMENTS 2026'!B2377),"",'ENGAGEMENTS 2026'!G2377)</f>
        <v/>
      </c>
      <c r="J2377" s="275">
        <f>IF(ISBLANK('ENGAGEMENTS 2026'!B2377),"",IF(AND(OR($E2377="INFRUCTUEUX",$E2377="ANNULE"),$C2377="AOO-M"),'ENGAGEMENTS 2026'!O2377,IF($H2377="EN COURS DE PREENGAGEMENT",'ENGAGEMENTS 2026'!N2377,IF($H2377="PREENGAGE",IF($E2377="ATTRIBUE",'ENGAGEMENTS 2026'!AD2377,'ENGAGEMENTS 2026'!N2377),'ENGAGEMENTS 2026'!AD2377))))</f>
        <v/>
      </c>
      <c r="K2377" s="604">
        <f>IF(ISBLANK('ENGAGEMENTS 2026'!V2377),"",'ENGAGEMENTS 2026'!V2377)</f>
        <v/>
      </c>
      <c r="L2377" s="276">
        <f>IF($K2377="","",TODAY()-$K2377)</f>
        <v/>
      </c>
      <c r="M2377">
        <f>IF($A2377="","",IF($H2377="ENGAGE","Engagé",IF(AND($H2377="NON ENGAGE",OR($I2377="INFRUCTUEUX",$I2377="ANNULE")),"Clôturé sans suite","En cours")))</f>
        <v/>
      </c>
      <c r="N2377">
        <f>IF(ISBLANK('ENGAGEMENTS 2026'!B2377),"",'ENGAGEMENTS 2026'!K2377)</f>
        <v/>
      </c>
      <c r="O2377">
        <f>IF(ISBLANK('ENGAGEMENTS 2026'!B2377),"",'ENGAGEMENTS 2026'!L2377)</f>
        <v/>
      </c>
      <c r="P2377">
        <f>IF(ISBLANK('ENGAGEMENTS 2026'!B2377),"",'ENGAGEMENTS 2026'!J2377)</f>
        <v/>
      </c>
      <c r="Q2377">
        <f>IF($A2377="","",IF(OR($E2377="INFRUCTUEUX",$E2377="ANNULE"),$A2377&amp;"|"&amp;(COUNTIFS($A$2:$A2377,$A2377,$E$2:$E2377,"INFRUCTUEUX")+COUNTIFS($A$2:$A2377,$A2377,$E$2:$E2377,"ANNULE")),""))</f>
        <v/>
      </c>
    </row>
    <row r="2378">
      <c r="A2378">
        <f>IF(ISBLANK('ENGAGEMENTS 2026'!B2378),"",IF('ENGAGEMENTS 2026'!B2378="DTSI","DCT",'ENGAGEMENTS 2026'!B2378))</f>
        <v/>
      </c>
      <c r="B2378">
        <f>IF(ISBLANK('ENGAGEMENTS 2026'!B2378),"",'ENGAGEMENTS 2026'!C2378)</f>
        <v/>
      </c>
      <c r="C2378">
        <f>IF(ISBLANK('ENGAGEMENTS 2026'!B2378),"",'ENGAGEMENTS 2026'!D2378)</f>
        <v/>
      </c>
      <c r="D2378">
        <f>IF(ISBLANK('ENGAGEMENTS 2026'!B2378),"",'ENGAGEMENTS 2026'!F2378)</f>
        <v/>
      </c>
      <c r="E2378">
        <f>IF(ISBLANK('ENGAGEMENTS 2026'!B2378),"",'ENGAGEMENTS 2026'!H2378)</f>
        <v/>
      </c>
      <c r="F2378">
        <f>IF(ISBLANK('ENGAGEMENTS 2026'!B2378),"",'ENGAGEMENTS 2026'!I2378)</f>
        <v/>
      </c>
      <c r="G2378">
        <f>IF(ISBLANK('ENGAGEMENTS 2026'!B2378),"",'ENGAGEMENTS 2026'!L2378)</f>
        <v/>
      </c>
      <c r="H2378">
        <f>IF(ISBLANK('ENGAGEMENTS 2026'!B2378),"",'ENGAGEMENTS 2026'!AE2378)</f>
        <v/>
      </c>
      <c r="I2378">
        <f>IF(ISBLANK('ENGAGEMENTS 2026'!B2378),"",'ENGAGEMENTS 2026'!G2378)</f>
        <v/>
      </c>
      <c r="J2378" s="275">
        <f>IF(ISBLANK('ENGAGEMENTS 2026'!B2378),"",IF(AND(OR($E2378="INFRUCTUEUX",$E2378="ANNULE"),$C2378="AOO-M"),'ENGAGEMENTS 2026'!O2378,IF($H2378="EN COURS DE PREENGAGEMENT",'ENGAGEMENTS 2026'!N2378,IF($H2378="PREENGAGE",IF($E2378="ATTRIBUE",'ENGAGEMENTS 2026'!AD2378,'ENGAGEMENTS 2026'!N2378),'ENGAGEMENTS 2026'!AD2378))))</f>
        <v/>
      </c>
      <c r="K2378" s="604">
        <f>IF(ISBLANK('ENGAGEMENTS 2026'!V2378),"",'ENGAGEMENTS 2026'!V2378)</f>
        <v/>
      </c>
      <c r="L2378" s="276">
        <f>IF($K2378="","",TODAY()-$K2378)</f>
        <v/>
      </c>
      <c r="M2378">
        <f>IF($A2378="","",IF($H2378="ENGAGE","Engagé",IF(AND($H2378="NON ENGAGE",OR($I2378="INFRUCTUEUX",$I2378="ANNULE")),"Clôturé sans suite","En cours")))</f>
        <v/>
      </c>
      <c r="N2378">
        <f>IF(ISBLANK('ENGAGEMENTS 2026'!B2378),"",'ENGAGEMENTS 2026'!K2378)</f>
        <v/>
      </c>
      <c r="O2378">
        <f>IF(ISBLANK('ENGAGEMENTS 2026'!B2378),"",'ENGAGEMENTS 2026'!L2378)</f>
        <v/>
      </c>
      <c r="P2378">
        <f>IF(ISBLANK('ENGAGEMENTS 2026'!B2378),"",'ENGAGEMENTS 2026'!J2378)</f>
        <v/>
      </c>
      <c r="Q2378">
        <f>IF($A2378="","",IF(OR($E2378="INFRUCTUEUX",$E2378="ANNULE"),$A2378&amp;"|"&amp;(COUNTIFS($A$2:$A2378,$A2378,$E$2:$E2378,"INFRUCTUEUX")+COUNTIFS($A$2:$A2378,$A2378,$E$2:$E2378,"ANNULE")),""))</f>
        <v/>
      </c>
    </row>
    <row r="2379">
      <c r="A2379">
        <f>IF(ISBLANK('ENGAGEMENTS 2026'!B2379),"",IF('ENGAGEMENTS 2026'!B2379="DTSI","DCT",'ENGAGEMENTS 2026'!B2379))</f>
        <v/>
      </c>
      <c r="B2379">
        <f>IF(ISBLANK('ENGAGEMENTS 2026'!B2379),"",'ENGAGEMENTS 2026'!C2379)</f>
        <v/>
      </c>
      <c r="C2379">
        <f>IF(ISBLANK('ENGAGEMENTS 2026'!B2379),"",'ENGAGEMENTS 2026'!D2379)</f>
        <v/>
      </c>
      <c r="D2379">
        <f>IF(ISBLANK('ENGAGEMENTS 2026'!B2379),"",'ENGAGEMENTS 2026'!F2379)</f>
        <v/>
      </c>
      <c r="E2379">
        <f>IF(ISBLANK('ENGAGEMENTS 2026'!B2379),"",'ENGAGEMENTS 2026'!H2379)</f>
        <v/>
      </c>
      <c r="F2379">
        <f>IF(ISBLANK('ENGAGEMENTS 2026'!B2379),"",'ENGAGEMENTS 2026'!I2379)</f>
        <v/>
      </c>
      <c r="G2379">
        <f>IF(ISBLANK('ENGAGEMENTS 2026'!B2379),"",'ENGAGEMENTS 2026'!L2379)</f>
        <v/>
      </c>
      <c r="H2379">
        <f>IF(ISBLANK('ENGAGEMENTS 2026'!B2379),"",'ENGAGEMENTS 2026'!AE2379)</f>
        <v/>
      </c>
      <c r="I2379">
        <f>IF(ISBLANK('ENGAGEMENTS 2026'!B2379),"",'ENGAGEMENTS 2026'!G2379)</f>
        <v/>
      </c>
      <c r="J2379" s="275">
        <f>IF(ISBLANK('ENGAGEMENTS 2026'!B2379),"",IF(AND(OR($E2379="INFRUCTUEUX",$E2379="ANNULE"),$C2379="AOO-M"),'ENGAGEMENTS 2026'!O2379,IF($H2379="EN COURS DE PREENGAGEMENT",'ENGAGEMENTS 2026'!N2379,IF($H2379="PREENGAGE",IF($E2379="ATTRIBUE",'ENGAGEMENTS 2026'!AD2379,'ENGAGEMENTS 2026'!N2379),'ENGAGEMENTS 2026'!AD2379))))</f>
        <v/>
      </c>
      <c r="K2379" s="604">
        <f>IF(ISBLANK('ENGAGEMENTS 2026'!V2379),"",'ENGAGEMENTS 2026'!V2379)</f>
        <v/>
      </c>
      <c r="L2379" s="276">
        <f>IF($K2379="","",TODAY()-$K2379)</f>
        <v/>
      </c>
      <c r="M2379">
        <f>IF($A2379="","",IF($H2379="ENGAGE","Engagé",IF(AND($H2379="NON ENGAGE",OR($I2379="INFRUCTUEUX",$I2379="ANNULE")),"Clôturé sans suite","En cours")))</f>
        <v/>
      </c>
      <c r="N2379">
        <f>IF(ISBLANK('ENGAGEMENTS 2026'!B2379),"",'ENGAGEMENTS 2026'!K2379)</f>
        <v/>
      </c>
      <c r="O2379">
        <f>IF(ISBLANK('ENGAGEMENTS 2026'!B2379),"",'ENGAGEMENTS 2026'!L2379)</f>
        <v/>
      </c>
      <c r="P2379">
        <f>IF(ISBLANK('ENGAGEMENTS 2026'!B2379),"",'ENGAGEMENTS 2026'!J2379)</f>
        <v/>
      </c>
      <c r="Q2379">
        <f>IF($A2379="","",IF(OR($E2379="INFRUCTUEUX",$E2379="ANNULE"),$A2379&amp;"|"&amp;(COUNTIFS($A$2:$A2379,$A2379,$E$2:$E2379,"INFRUCTUEUX")+COUNTIFS($A$2:$A2379,$A2379,$E$2:$E2379,"ANNULE")),""))</f>
        <v/>
      </c>
    </row>
    <row r="2380">
      <c r="A2380">
        <f>IF(ISBLANK('ENGAGEMENTS 2026'!B2380),"",IF('ENGAGEMENTS 2026'!B2380="DTSI","DCT",'ENGAGEMENTS 2026'!B2380))</f>
        <v/>
      </c>
      <c r="B2380">
        <f>IF(ISBLANK('ENGAGEMENTS 2026'!B2380),"",'ENGAGEMENTS 2026'!C2380)</f>
        <v/>
      </c>
      <c r="C2380">
        <f>IF(ISBLANK('ENGAGEMENTS 2026'!B2380),"",'ENGAGEMENTS 2026'!D2380)</f>
        <v/>
      </c>
      <c r="D2380">
        <f>IF(ISBLANK('ENGAGEMENTS 2026'!B2380),"",'ENGAGEMENTS 2026'!F2380)</f>
        <v/>
      </c>
      <c r="E2380">
        <f>IF(ISBLANK('ENGAGEMENTS 2026'!B2380),"",'ENGAGEMENTS 2026'!H2380)</f>
        <v/>
      </c>
      <c r="F2380">
        <f>IF(ISBLANK('ENGAGEMENTS 2026'!B2380),"",'ENGAGEMENTS 2026'!I2380)</f>
        <v/>
      </c>
      <c r="G2380">
        <f>IF(ISBLANK('ENGAGEMENTS 2026'!B2380),"",'ENGAGEMENTS 2026'!L2380)</f>
        <v/>
      </c>
      <c r="H2380">
        <f>IF(ISBLANK('ENGAGEMENTS 2026'!B2380),"",'ENGAGEMENTS 2026'!AE2380)</f>
        <v/>
      </c>
      <c r="I2380">
        <f>IF(ISBLANK('ENGAGEMENTS 2026'!B2380),"",'ENGAGEMENTS 2026'!G2380)</f>
        <v/>
      </c>
      <c r="J2380" s="275">
        <f>IF(ISBLANK('ENGAGEMENTS 2026'!B2380),"",IF(AND(OR($E2380="INFRUCTUEUX",$E2380="ANNULE"),$C2380="AOO-M"),'ENGAGEMENTS 2026'!O2380,IF($H2380="EN COURS DE PREENGAGEMENT",'ENGAGEMENTS 2026'!N2380,IF($H2380="PREENGAGE",IF($E2380="ATTRIBUE",'ENGAGEMENTS 2026'!AD2380,'ENGAGEMENTS 2026'!N2380),'ENGAGEMENTS 2026'!AD2380))))</f>
        <v/>
      </c>
      <c r="K2380" s="604">
        <f>IF(ISBLANK('ENGAGEMENTS 2026'!V2380),"",'ENGAGEMENTS 2026'!V2380)</f>
        <v/>
      </c>
      <c r="L2380" s="276">
        <f>IF($K2380="","",TODAY()-$K2380)</f>
        <v/>
      </c>
      <c r="M2380">
        <f>IF($A2380="","",IF($H2380="ENGAGE","Engagé",IF(AND($H2380="NON ENGAGE",OR($I2380="INFRUCTUEUX",$I2380="ANNULE")),"Clôturé sans suite","En cours")))</f>
        <v/>
      </c>
      <c r="N2380">
        <f>IF(ISBLANK('ENGAGEMENTS 2026'!B2380),"",'ENGAGEMENTS 2026'!K2380)</f>
        <v/>
      </c>
      <c r="O2380">
        <f>IF(ISBLANK('ENGAGEMENTS 2026'!B2380),"",'ENGAGEMENTS 2026'!L2380)</f>
        <v/>
      </c>
      <c r="P2380">
        <f>IF(ISBLANK('ENGAGEMENTS 2026'!B2380),"",'ENGAGEMENTS 2026'!J2380)</f>
        <v/>
      </c>
      <c r="Q2380">
        <f>IF($A2380="","",IF(OR($E2380="INFRUCTUEUX",$E2380="ANNULE"),$A2380&amp;"|"&amp;(COUNTIFS($A$2:$A2380,$A2380,$E$2:$E2380,"INFRUCTUEUX")+COUNTIFS($A$2:$A2380,$A2380,$E$2:$E2380,"ANNULE")),""))</f>
        <v/>
      </c>
    </row>
    <row r="2381">
      <c r="A2381">
        <f>IF(ISBLANK('ENGAGEMENTS 2026'!B2381),"",IF('ENGAGEMENTS 2026'!B2381="DTSI","DCT",'ENGAGEMENTS 2026'!B2381))</f>
        <v/>
      </c>
      <c r="B2381">
        <f>IF(ISBLANK('ENGAGEMENTS 2026'!B2381),"",'ENGAGEMENTS 2026'!C2381)</f>
        <v/>
      </c>
      <c r="C2381">
        <f>IF(ISBLANK('ENGAGEMENTS 2026'!B2381),"",'ENGAGEMENTS 2026'!D2381)</f>
        <v/>
      </c>
      <c r="D2381">
        <f>IF(ISBLANK('ENGAGEMENTS 2026'!B2381),"",'ENGAGEMENTS 2026'!F2381)</f>
        <v/>
      </c>
      <c r="E2381">
        <f>IF(ISBLANK('ENGAGEMENTS 2026'!B2381),"",'ENGAGEMENTS 2026'!H2381)</f>
        <v/>
      </c>
      <c r="F2381">
        <f>IF(ISBLANK('ENGAGEMENTS 2026'!B2381),"",'ENGAGEMENTS 2026'!I2381)</f>
        <v/>
      </c>
      <c r="G2381">
        <f>IF(ISBLANK('ENGAGEMENTS 2026'!B2381),"",'ENGAGEMENTS 2026'!L2381)</f>
        <v/>
      </c>
      <c r="H2381">
        <f>IF(ISBLANK('ENGAGEMENTS 2026'!B2381),"",'ENGAGEMENTS 2026'!AE2381)</f>
        <v/>
      </c>
      <c r="I2381">
        <f>IF(ISBLANK('ENGAGEMENTS 2026'!B2381),"",'ENGAGEMENTS 2026'!G2381)</f>
        <v/>
      </c>
      <c r="J2381" s="275">
        <f>IF(ISBLANK('ENGAGEMENTS 2026'!B2381),"",IF(AND(OR($E2381="INFRUCTUEUX",$E2381="ANNULE"),$C2381="AOO-M"),'ENGAGEMENTS 2026'!O2381,IF($H2381="EN COURS DE PREENGAGEMENT",'ENGAGEMENTS 2026'!N2381,IF($H2381="PREENGAGE",IF($E2381="ATTRIBUE",'ENGAGEMENTS 2026'!AD2381,'ENGAGEMENTS 2026'!N2381),'ENGAGEMENTS 2026'!AD2381))))</f>
        <v/>
      </c>
      <c r="K2381" s="604">
        <f>IF(ISBLANK('ENGAGEMENTS 2026'!V2381),"",'ENGAGEMENTS 2026'!V2381)</f>
        <v/>
      </c>
      <c r="L2381" s="276">
        <f>IF($K2381="","",TODAY()-$K2381)</f>
        <v/>
      </c>
      <c r="M2381">
        <f>IF($A2381="","",IF($H2381="ENGAGE","Engagé",IF(AND($H2381="NON ENGAGE",OR($I2381="INFRUCTUEUX",$I2381="ANNULE")),"Clôturé sans suite","En cours")))</f>
        <v/>
      </c>
      <c r="N2381">
        <f>IF(ISBLANK('ENGAGEMENTS 2026'!B2381),"",'ENGAGEMENTS 2026'!K2381)</f>
        <v/>
      </c>
      <c r="O2381">
        <f>IF(ISBLANK('ENGAGEMENTS 2026'!B2381),"",'ENGAGEMENTS 2026'!L2381)</f>
        <v/>
      </c>
      <c r="P2381">
        <f>IF(ISBLANK('ENGAGEMENTS 2026'!B2381),"",'ENGAGEMENTS 2026'!J2381)</f>
        <v/>
      </c>
      <c r="Q2381">
        <f>IF($A2381="","",IF(OR($E2381="INFRUCTUEUX",$E2381="ANNULE"),$A2381&amp;"|"&amp;(COUNTIFS($A$2:$A2381,$A2381,$E$2:$E2381,"INFRUCTUEUX")+COUNTIFS($A$2:$A2381,$A2381,$E$2:$E2381,"ANNULE")),""))</f>
        <v/>
      </c>
    </row>
    <row r="2382">
      <c r="A2382">
        <f>IF(ISBLANK('ENGAGEMENTS 2026'!B2382),"",IF('ENGAGEMENTS 2026'!B2382="DTSI","DCT",'ENGAGEMENTS 2026'!B2382))</f>
        <v/>
      </c>
      <c r="B2382">
        <f>IF(ISBLANK('ENGAGEMENTS 2026'!B2382),"",'ENGAGEMENTS 2026'!C2382)</f>
        <v/>
      </c>
      <c r="C2382">
        <f>IF(ISBLANK('ENGAGEMENTS 2026'!B2382),"",'ENGAGEMENTS 2026'!D2382)</f>
        <v/>
      </c>
      <c r="D2382">
        <f>IF(ISBLANK('ENGAGEMENTS 2026'!B2382),"",'ENGAGEMENTS 2026'!F2382)</f>
        <v/>
      </c>
      <c r="E2382">
        <f>IF(ISBLANK('ENGAGEMENTS 2026'!B2382),"",'ENGAGEMENTS 2026'!H2382)</f>
        <v/>
      </c>
      <c r="F2382">
        <f>IF(ISBLANK('ENGAGEMENTS 2026'!B2382),"",'ENGAGEMENTS 2026'!I2382)</f>
        <v/>
      </c>
      <c r="G2382">
        <f>IF(ISBLANK('ENGAGEMENTS 2026'!B2382),"",'ENGAGEMENTS 2026'!L2382)</f>
        <v/>
      </c>
      <c r="H2382">
        <f>IF(ISBLANK('ENGAGEMENTS 2026'!B2382),"",'ENGAGEMENTS 2026'!AE2382)</f>
        <v/>
      </c>
      <c r="I2382">
        <f>IF(ISBLANK('ENGAGEMENTS 2026'!B2382),"",'ENGAGEMENTS 2026'!G2382)</f>
        <v/>
      </c>
      <c r="J2382" s="275">
        <f>IF(ISBLANK('ENGAGEMENTS 2026'!B2382),"",IF(AND(OR($E2382="INFRUCTUEUX",$E2382="ANNULE"),$C2382="AOO-M"),'ENGAGEMENTS 2026'!O2382,IF($H2382="EN COURS DE PREENGAGEMENT",'ENGAGEMENTS 2026'!N2382,IF($H2382="PREENGAGE",IF($E2382="ATTRIBUE",'ENGAGEMENTS 2026'!AD2382,'ENGAGEMENTS 2026'!N2382),'ENGAGEMENTS 2026'!AD2382))))</f>
        <v/>
      </c>
      <c r="K2382" s="604">
        <f>IF(ISBLANK('ENGAGEMENTS 2026'!V2382),"",'ENGAGEMENTS 2026'!V2382)</f>
        <v/>
      </c>
      <c r="L2382" s="276">
        <f>IF($K2382="","",TODAY()-$K2382)</f>
        <v/>
      </c>
      <c r="M2382">
        <f>IF($A2382="","",IF($H2382="ENGAGE","Engagé",IF(AND($H2382="NON ENGAGE",OR($I2382="INFRUCTUEUX",$I2382="ANNULE")),"Clôturé sans suite","En cours")))</f>
        <v/>
      </c>
      <c r="N2382">
        <f>IF(ISBLANK('ENGAGEMENTS 2026'!B2382),"",'ENGAGEMENTS 2026'!K2382)</f>
        <v/>
      </c>
      <c r="O2382">
        <f>IF(ISBLANK('ENGAGEMENTS 2026'!B2382),"",'ENGAGEMENTS 2026'!L2382)</f>
        <v/>
      </c>
      <c r="P2382">
        <f>IF(ISBLANK('ENGAGEMENTS 2026'!B2382),"",'ENGAGEMENTS 2026'!J2382)</f>
        <v/>
      </c>
      <c r="Q2382">
        <f>IF($A2382="","",IF(OR($E2382="INFRUCTUEUX",$E2382="ANNULE"),$A2382&amp;"|"&amp;(COUNTIFS($A$2:$A2382,$A2382,$E$2:$E2382,"INFRUCTUEUX")+COUNTIFS($A$2:$A2382,$A2382,$E$2:$E2382,"ANNULE")),""))</f>
        <v/>
      </c>
    </row>
    <row r="2383">
      <c r="A2383">
        <f>IF(ISBLANK('ENGAGEMENTS 2026'!B2383),"",IF('ENGAGEMENTS 2026'!B2383="DTSI","DCT",'ENGAGEMENTS 2026'!B2383))</f>
        <v/>
      </c>
      <c r="B2383">
        <f>IF(ISBLANK('ENGAGEMENTS 2026'!B2383),"",'ENGAGEMENTS 2026'!C2383)</f>
        <v/>
      </c>
      <c r="C2383">
        <f>IF(ISBLANK('ENGAGEMENTS 2026'!B2383),"",'ENGAGEMENTS 2026'!D2383)</f>
        <v/>
      </c>
      <c r="D2383">
        <f>IF(ISBLANK('ENGAGEMENTS 2026'!B2383),"",'ENGAGEMENTS 2026'!F2383)</f>
        <v/>
      </c>
      <c r="E2383">
        <f>IF(ISBLANK('ENGAGEMENTS 2026'!B2383),"",'ENGAGEMENTS 2026'!H2383)</f>
        <v/>
      </c>
      <c r="F2383">
        <f>IF(ISBLANK('ENGAGEMENTS 2026'!B2383),"",'ENGAGEMENTS 2026'!I2383)</f>
        <v/>
      </c>
      <c r="G2383">
        <f>IF(ISBLANK('ENGAGEMENTS 2026'!B2383),"",'ENGAGEMENTS 2026'!L2383)</f>
        <v/>
      </c>
      <c r="H2383">
        <f>IF(ISBLANK('ENGAGEMENTS 2026'!B2383),"",'ENGAGEMENTS 2026'!AE2383)</f>
        <v/>
      </c>
      <c r="I2383">
        <f>IF(ISBLANK('ENGAGEMENTS 2026'!B2383),"",'ENGAGEMENTS 2026'!G2383)</f>
        <v/>
      </c>
      <c r="J2383" s="275">
        <f>IF(ISBLANK('ENGAGEMENTS 2026'!B2383),"",IF(AND(OR($E2383="INFRUCTUEUX",$E2383="ANNULE"),$C2383="AOO-M"),'ENGAGEMENTS 2026'!O2383,IF($H2383="EN COURS DE PREENGAGEMENT",'ENGAGEMENTS 2026'!N2383,IF($H2383="PREENGAGE",IF($E2383="ATTRIBUE",'ENGAGEMENTS 2026'!AD2383,'ENGAGEMENTS 2026'!N2383),'ENGAGEMENTS 2026'!AD2383))))</f>
        <v/>
      </c>
      <c r="K2383" s="604">
        <f>IF(ISBLANK('ENGAGEMENTS 2026'!V2383),"",'ENGAGEMENTS 2026'!V2383)</f>
        <v/>
      </c>
      <c r="L2383" s="276">
        <f>IF($K2383="","",TODAY()-$K2383)</f>
        <v/>
      </c>
      <c r="M2383">
        <f>IF($A2383="","",IF($H2383="ENGAGE","Engagé",IF(AND($H2383="NON ENGAGE",OR($I2383="INFRUCTUEUX",$I2383="ANNULE")),"Clôturé sans suite","En cours")))</f>
        <v/>
      </c>
      <c r="N2383">
        <f>IF(ISBLANK('ENGAGEMENTS 2026'!B2383),"",'ENGAGEMENTS 2026'!K2383)</f>
        <v/>
      </c>
      <c r="O2383">
        <f>IF(ISBLANK('ENGAGEMENTS 2026'!B2383),"",'ENGAGEMENTS 2026'!L2383)</f>
        <v/>
      </c>
      <c r="P2383">
        <f>IF(ISBLANK('ENGAGEMENTS 2026'!B2383),"",'ENGAGEMENTS 2026'!J2383)</f>
        <v/>
      </c>
      <c r="Q2383">
        <f>IF($A2383="","",IF(OR($E2383="INFRUCTUEUX",$E2383="ANNULE"),$A2383&amp;"|"&amp;(COUNTIFS($A$2:$A2383,$A2383,$E$2:$E2383,"INFRUCTUEUX")+COUNTIFS($A$2:$A2383,$A2383,$E$2:$E2383,"ANNULE")),""))</f>
        <v/>
      </c>
    </row>
    <row r="2384">
      <c r="A2384">
        <f>IF(ISBLANK('ENGAGEMENTS 2026'!B2384),"",IF('ENGAGEMENTS 2026'!B2384="DTSI","DCT",'ENGAGEMENTS 2026'!B2384))</f>
        <v/>
      </c>
      <c r="B2384">
        <f>IF(ISBLANK('ENGAGEMENTS 2026'!B2384),"",'ENGAGEMENTS 2026'!C2384)</f>
        <v/>
      </c>
      <c r="C2384">
        <f>IF(ISBLANK('ENGAGEMENTS 2026'!B2384),"",'ENGAGEMENTS 2026'!D2384)</f>
        <v/>
      </c>
      <c r="D2384">
        <f>IF(ISBLANK('ENGAGEMENTS 2026'!B2384),"",'ENGAGEMENTS 2026'!F2384)</f>
        <v/>
      </c>
      <c r="E2384">
        <f>IF(ISBLANK('ENGAGEMENTS 2026'!B2384),"",'ENGAGEMENTS 2026'!H2384)</f>
        <v/>
      </c>
      <c r="F2384">
        <f>IF(ISBLANK('ENGAGEMENTS 2026'!B2384),"",'ENGAGEMENTS 2026'!I2384)</f>
        <v/>
      </c>
      <c r="G2384">
        <f>IF(ISBLANK('ENGAGEMENTS 2026'!B2384),"",'ENGAGEMENTS 2026'!L2384)</f>
        <v/>
      </c>
      <c r="H2384">
        <f>IF(ISBLANK('ENGAGEMENTS 2026'!B2384),"",'ENGAGEMENTS 2026'!AE2384)</f>
        <v/>
      </c>
      <c r="I2384">
        <f>IF(ISBLANK('ENGAGEMENTS 2026'!B2384),"",'ENGAGEMENTS 2026'!G2384)</f>
        <v/>
      </c>
      <c r="J2384" s="275">
        <f>IF(ISBLANK('ENGAGEMENTS 2026'!B2384),"",IF(AND(OR($E2384="INFRUCTUEUX",$E2384="ANNULE"),$C2384="AOO-M"),'ENGAGEMENTS 2026'!O2384,IF($H2384="EN COURS DE PREENGAGEMENT",'ENGAGEMENTS 2026'!N2384,IF($H2384="PREENGAGE",IF($E2384="ATTRIBUE",'ENGAGEMENTS 2026'!AD2384,'ENGAGEMENTS 2026'!N2384),'ENGAGEMENTS 2026'!AD2384))))</f>
        <v/>
      </c>
      <c r="K2384" s="604">
        <f>IF(ISBLANK('ENGAGEMENTS 2026'!V2384),"",'ENGAGEMENTS 2026'!V2384)</f>
        <v/>
      </c>
      <c r="L2384" s="276">
        <f>IF($K2384="","",TODAY()-$K2384)</f>
        <v/>
      </c>
      <c r="M2384">
        <f>IF($A2384="","",IF($H2384="ENGAGE","Engagé",IF(AND($H2384="NON ENGAGE",OR($I2384="INFRUCTUEUX",$I2384="ANNULE")),"Clôturé sans suite","En cours")))</f>
        <v/>
      </c>
      <c r="N2384">
        <f>IF(ISBLANK('ENGAGEMENTS 2026'!B2384),"",'ENGAGEMENTS 2026'!K2384)</f>
        <v/>
      </c>
      <c r="O2384">
        <f>IF(ISBLANK('ENGAGEMENTS 2026'!B2384),"",'ENGAGEMENTS 2026'!L2384)</f>
        <v/>
      </c>
      <c r="P2384">
        <f>IF(ISBLANK('ENGAGEMENTS 2026'!B2384),"",'ENGAGEMENTS 2026'!J2384)</f>
        <v/>
      </c>
      <c r="Q2384">
        <f>IF($A2384="","",IF(OR($E2384="INFRUCTUEUX",$E2384="ANNULE"),$A2384&amp;"|"&amp;(COUNTIFS($A$2:$A2384,$A2384,$E$2:$E2384,"INFRUCTUEUX")+COUNTIFS($A$2:$A2384,$A2384,$E$2:$E2384,"ANNULE")),""))</f>
        <v/>
      </c>
    </row>
    <row r="2385">
      <c r="A2385">
        <f>IF(ISBLANK('ENGAGEMENTS 2026'!B2385),"",IF('ENGAGEMENTS 2026'!B2385="DTSI","DCT",'ENGAGEMENTS 2026'!B2385))</f>
        <v/>
      </c>
      <c r="B2385">
        <f>IF(ISBLANK('ENGAGEMENTS 2026'!B2385),"",'ENGAGEMENTS 2026'!C2385)</f>
        <v/>
      </c>
      <c r="C2385">
        <f>IF(ISBLANK('ENGAGEMENTS 2026'!B2385),"",'ENGAGEMENTS 2026'!D2385)</f>
        <v/>
      </c>
      <c r="D2385">
        <f>IF(ISBLANK('ENGAGEMENTS 2026'!B2385),"",'ENGAGEMENTS 2026'!F2385)</f>
        <v/>
      </c>
      <c r="E2385">
        <f>IF(ISBLANK('ENGAGEMENTS 2026'!B2385),"",'ENGAGEMENTS 2026'!H2385)</f>
        <v/>
      </c>
      <c r="F2385">
        <f>IF(ISBLANK('ENGAGEMENTS 2026'!B2385),"",'ENGAGEMENTS 2026'!I2385)</f>
        <v/>
      </c>
      <c r="G2385">
        <f>IF(ISBLANK('ENGAGEMENTS 2026'!B2385),"",'ENGAGEMENTS 2026'!L2385)</f>
        <v/>
      </c>
      <c r="H2385">
        <f>IF(ISBLANK('ENGAGEMENTS 2026'!B2385),"",'ENGAGEMENTS 2026'!AE2385)</f>
        <v/>
      </c>
      <c r="I2385">
        <f>IF(ISBLANK('ENGAGEMENTS 2026'!B2385),"",'ENGAGEMENTS 2026'!G2385)</f>
        <v/>
      </c>
      <c r="J2385" s="275">
        <f>IF(ISBLANK('ENGAGEMENTS 2026'!B2385),"",IF(AND(OR($E2385="INFRUCTUEUX",$E2385="ANNULE"),$C2385="AOO-M"),'ENGAGEMENTS 2026'!O2385,IF($H2385="EN COURS DE PREENGAGEMENT",'ENGAGEMENTS 2026'!N2385,IF($H2385="PREENGAGE",IF($E2385="ATTRIBUE",'ENGAGEMENTS 2026'!AD2385,'ENGAGEMENTS 2026'!N2385),'ENGAGEMENTS 2026'!AD2385))))</f>
        <v/>
      </c>
      <c r="K2385" s="604">
        <f>IF(ISBLANK('ENGAGEMENTS 2026'!V2385),"",'ENGAGEMENTS 2026'!V2385)</f>
        <v/>
      </c>
      <c r="L2385" s="276">
        <f>IF($K2385="","",TODAY()-$K2385)</f>
        <v/>
      </c>
      <c r="M2385">
        <f>IF($A2385="","",IF($H2385="ENGAGE","Engagé",IF(AND($H2385="NON ENGAGE",OR($I2385="INFRUCTUEUX",$I2385="ANNULE")),"Clôturé sans suite","En cours")))</f>
        <v/>
      </c>
      <c r="N2385">
        <f>IF(ISBLANK('ENGAGEMENTS 2026'!B2385),"",'ENGAGEMENTS 2026'!K2385)</f>
        <v/>
      </c>
      <c r="O2385">
        <f>IF(ISBLANK('ENGAGEMENTS 2026'!B2385),"",'ENGAGEMENTS 2026'!L2385)</f>
        <v/>
      </c>
      <c r="P2385">
        <f>IF(ISBLANK('ENGAGEMENTS 2026'!B2385),"",'ENGAGEMENTS 2026'!J2385)</f>
        <v/>
      </c>
      <c r="Q2385">
        <f>IF($A2385="","",IF(OR($E2385="INFRUCTUEUX",$E2385="ANNULE"),$A2385&amp;"|"&amp;(COUNTIFS($A$2:$A2385,$A2385,$E$2:$E2385,"INFRUCTUEUX")+COUNTIFS($A$2:$A2385,$A2385,$E$2:$E2385,"ANNULE")),""))</f>
        <v/>
      </c>
    </row>
    <row r="2386">
      <c r="A2386">
        <f>IF(ISBLANK('ENGAGEMENTS 2026'!B2386),"",IF('ENGAGEMENTS 2026'!B2386="DTSI","DCT",'ENGAGEMENTS 2026'!B2386))</f>
        <v/>
      </c>
      <c r="B2386">
        <f>IF(ISBLANK('ENGAGEMENTS 2026'!B2386),"",'ENGAGEMENTS 2026'!C2386)</f>
        <v/>
      </c>
      <c r="C2386">
        <f>IF(ISBLANK('ENGAGEMENTS 2026'!B2386),"",'ENGAGEMENTS 2026'!D2386)</f>
        <v/>
      </c>
      <c r="D2386">
        <f>IF(ISBLANK('ENGAGEMENTS 2026'!B2386),"",'ENGAGEMENTS 2026'!F2386)</f>
        <v/>
      </c>
      <c r="E2386">
        <f>IF(ISBLANK('ENGAGEMENTS 2026'!B2386),"",'ENGAGEMENTS 2026'!H2386)</f>
        <v/>
      </c>
      <c r="F2386">
        <f>IF(ISBLANK('ENGAGEMENTS 2026'!B2386),"",'ENGAGEMENTS 2026'!I2386)</f>
        <v/>
      </c>
      <c r="G2386">
        <f>IF(ISBLANK('ENGAGEMENTS 2026'!B2386),"",'ENGAGEMENTS 2026'!L2386)</f>
        <v/>
      </c>
      <c r="H2386">
        <f>IF(ISBLANK('ENGAGEMENTS 2026'!B2386),"",'ENGAGEMENTS 2026'!AE2386)</f>
        <v/>
      </c>
      <c r="I2386">
        <f>IF(ISBLANK('ENGAGEMENTS 2026'!B2386),"",'ENGAGEMENTS 2026'!G2386)</f>
        <v/>
      </c>
      <c r="J2386" s="275">
        <f>IF(ISBLANK('ENGAGEMENTS 2026'!B2386),"",IF(AND(OR($E2386="INFRUCTUEUX",$E2386="ANNULE"),$C2386="AOO-M"),'ENGAGEMENTS 2026'!O2386,IF($H2386="EN COURS DE PREENGAGEMENT",'ENGAGEMENTS 2026'!N2386,IF($H2386="PREENGAGE",IF($E2386="ATTRIBUE",'ENGAGEMENTS 2026'!AD2386,'ENGAGEMENTS 2026'!N2386),'ENGAGEMENTS 2026'!AD2386))))</f>
        <v/>
      </c>
      <c r="K2386" s="604">
        <f>IF(ISBLANK('ENGAGEMENTS 2026'!V2386),"",'ENGAGEMENTS 2026'!V2386)</f>
        <v/>
      </c>
      <c r="L2386" s="276">
        <f>IF($K2386="","",TODAY()-$K2386)</f>
        <v/>
      </c>
      <c r="M2386">
        <f>IF($A2386="","",IF($H2386="ENGAGE","Engagé",IF(AND($H2386="NON ENGAGE",OR($I2386="INFRUCTUEUX",$I2386="ANNULE")),"Clôturé sans suite","En cours")))</f>
        <v/>
      </c>
      <c r="N2386">
        <f>IF(ISBLANK('ENGAGEMENTS 2026'!B2386),"",'ENGAGEMENTS 2026'!K2386)</f>
        <v/>
      </c>
      <c r="O2386">
        <f>IF(ISBLANK('ENGAGEMENTS 2026'!B2386),"",'ENGAGEMENTS 2026'!L2386)</f>
        <v/>
      </c>
      <c r="P2386">
        <f>IF(ISBLANK('ENGAGEMENTS 2026'!B2386),"",'ENGAGEMENTS 2026'!J2386)</f>
        <v/>
      </c>
      <c r="Q2386">
        <f>IF($A2386="","",IF(OR($E2386="INFRUCTUEUX",$E2386="ANNULE"),$A2386&amp;"|"&amp;(COUNTIFS($A$2:$A2386,$A2386,$E$2:$E2386,"INFRUCTUEUX")+COUNTIFS($A$2:$A2386,$A2386,$E$2:$E2386,"ANNULE")),""))</f>
        <v/>
      </c>
    </row>
    <row r="2387">
      <c r="A2387">
        <f>IF(ISBLANK('ENGAGEMENTS 2026'!B2387),"",IF('ENGAGEMENTS 2026'!B2387="DTSI","DCT",'ENGAGEMENTS 2026'!B2387))</f>
        <v/>
      </c>
      <c r="B2387">
        <f>IF(ISBLANK('ENGAGEMENTS 2026'!B2387),"",'ENGAGEMENTS 2026'!C2387)</f>
        <v/>
      </c>
      <c r="C2387">
        <f>IF(ISBLANK('ENGAGEMENTS 2026'!B2387),"",'ENGAGEMENTS 2026'!D2387)</f>
        <v/>
      </c>
      <c r="D2387">
        <f>IF(ISBLANK('ENGAGEMENTS 2026'!B2387),"",'ENGAGEMENTS 2026'!F2387)</f>
        <v/>
      </c>
      <c r="E2387">
        <f>IF(ISBLANK('ENGAGEMENTS 2026'!B2387),"",'ENGAGEMENTS 2026'!H2387)</f>
        <v/>
      </c>
      <c r="F2387">
        <f>IF(ISBLANK('ENGAGEMENTS 2026'!B2387),"",'ENGAGEMENTS 2026'!I2387)</f>
        <v/>
      </c>
      <c r="G2387">
        <f>IF(ISBLANK('ENGAGEMENTS 2026'!B2387),"",'ENGAGEMENTS 2026'!L2387)</f>
        <v/>
      </c>
      <c r="H2387">
        <f>IF(ISBLANK('ENGAGEMENTS 2026'!B2387),"",'ENGAGEMENTS 2026'!AE2387)</f>
        <v/>
      </c>
      <c r="I2387">
        <f>IF(ISBLANK('ENGAGEMENTS 2026'!B2387),"",'ENGAGEMENTS 2026'!G2387)</f>
        <v/>
      </c>
      <c r="J2387" s="275">
        <f>IF(ISBLANK('ENGAGEMENTS 2026'!B2387),"",IF(AND(OR($E2387="INFRUCTUEUX",$E2387="ANNULE"),$C2387="AOO-M"),'ENGAGEMENTS 2026'!O2387,IF($H2387="EN COURS DE PREENGAGEMENT",'ENGAGEMENTS 2026'!N2387,IF($H2387="PREENGAGE",IF($E2387="ATTRIBUE",'ENGAGEMENTS 2026'!AD2387,'ENGAGEMENTS 2026'!N2387),'ENGAGEMENTS 2026'!AD2387))))</f>
        <v/>
      </c>
      <c r="K2387" s="604">
        <f>IF(ISBLANK('ENGAGEMENTS 2026'!V2387),"",'ENGAGEMENTS 2026'!V2387)</f>
        <v/>
      </c>
      <c r="L2387" s="276">
        <f>IF($K2387="","",TODAY()-$K2387)</f>
        <v/>
      </c>
      <c r="M2387">
        <f>IF($A2387="","",IF($H2387="ENGAGE","Engagé",IF(AND($H2387="NON ENGAGE",OR($I2387="INFRUCTUEUX",$I2387="ANNULE")),"Clôturé sans suite","En cours")))</f>
        <v/>
      </c>
      <c r="N2387">
        <f>IF(ISBLANK('ENGAGEMENTS 2026'!B2387),"",'ENGAGEMENTS 2026'!K2387)</f>
        <v/>
      </c>
      <c r="O2387">
        <f>IF(ISBLANK('ENGAGEMENTS 2026'!B2387),"",'ENGAGEMENTS 2026'!L2387)</f>
        <v/>
      </c>
      <c r="P2387">
        <f>IF(ISBLANK('ENGAGEMENTS 2026'!B2387),"",'ENGAGEMENTS 2026'!J2387)</f>
        <v/>
      </c>
      <c r="Q2387">
        <f>IF($A2387="","",IF(OR($E2387="INFRUCTUEUX",$E2387="ANNULE"),$A2387&amp;"|"&amp;(COUNTIFS($A$2:$A2387,$A2387,$E$2:$E2387,"INFRUCTUEUX")+COUNTIFS($A$2:$A2387,$A2387,$E$2:$E2387,"ANNULE")),""))</f>
        <v/>
      </c>
    </row>
    <row r="2388">
      <c r="A2388">
        <f>IF(ISBLANK('ENGAGEMENTS 2026'!B2388),"",IF('ENGAGEMENTS 2026'!B2388="DTSI","DCT",'ENGAGEMENTS 2026'!B2388))</f>
        <v/>
      </c>
      <c r="B2388">
        <f>IF(ISBLANK('ENGAGEMENTS 2026'!B2388),"",'ENGAGEMENTS 2026'!C2388)</f>
        <v/>
      </c>
      <c r="C2388">
        <f>IF(ISBLANK('ENGAGEMENTS 2026'!B2388),"",'ENGAGEMENTS 2026'!D2388)</f>
        <v/>
      </c>
      <c r="D2388">
        <f>IF(ISBLANK('ENGAGEMENTS 2026'!B2388),"",'ENGAGEMENTS 2026'!F2388)</f>
        <v/>
      </c>
      <c r="E2388">
        <f>IF(ISBLANK('ENGAGEMENTS 2026'!B2388),"",'ENGAGEMENTS 2026'!H2388)</f>
        <v/>
      </c>
      <c r="F2388">
        <f>IF(ISBLANK('ENGAGEMENTS 2026'!B2388),"",'ENGAGEMENTS 2026'!I2388)</f>
        <v/>
      </c>
      <c r="G2388">
        <f>IF(ISBLANK('ENGAGEMENTS 2026'!B2388),"",'ENGAGEMENTS 2026'!L2388)</f>
        <v/>
      </c>
      <c r="H2388">
        <f>IF(ISBLANK('ENGAGEMENTS 2026'!B2388),"",'ENGAGEMENTS 2026'!AE2388)</f>
        <v/>
      </c>
      <c r="I2388">
        <f>IF(ISBLANK('ENGAGEMENTS 2026'!B2388),"",'ENGAGEMENTS 2026'!G2388)</f>
        <v/>
      </c>
      <c r="J2388" s="275">
        <f>IF(ISBLANK('ENGAGEMENTS 2026'!B2388),"",IF(AND(OR($E2388="INFRUCTUEUX",$E2388="ANNULE"),$C2388="AOO-M"),'ENGAGEMENTS 2026'!O2388,IF($H2388="EN COURS DE PREENGAGEMENT",'ENGAGEMENTS 2026'!N2388,IF($H2388="PREENGAGE",IF($E2388="ATTRIBUE",'ENGAGEMENTS 2026'!AD2388,'ENGAGEMENTS 2026'!N2388),'ENGAGEMENTS 2026'!AD2388))))</f>
        <v/>
      </c>
      <c r="K2388" s="604">
        <f>IF(ISBLANK('ENGAGEMENTS 2026'!V2388),"",'ENGAGEMENTS 2026'!V2388)</f>
        <v/>
      </c>
      <c r="L2388" s="276">
        <f>IF($K2388="","",TODAY()-$K2388)</f>
        <v/>
      </c>
      <c r="M2388">
        <f>IF($A2388="","",IF($H2388="ENGAGE","Engagé",IF(AND($H2388="NON ENGAGE",OR($I2388="INFRUCTUEUX",$I2388="ANNULE")),"Clôturé sans suite","En cours")))</f>
        <v/>
      </c>
      <c r="N2388">
        <f>IF(ISBLANK('ENGAGEMENTS 2026'!B2388),"",'ENGAGEMENTS 2026'!K2388)</f>
        <v/>
      </c>
      <c r="O2388">
        <f>IF(ISBLANK('ENGAGEMENTS 2026'!B2388),"",'ENGAGEMENTS 2026'!L2388)</f>
        <v/>
      </c>
      <c r="P2388">
        <f>IF(ISBLANK('ENGAGEMENTS 2026'!B2388),"",'ENGAGEMENTS 2026'!J2388)</f>
        <v/>
      </c>
      <c r="Q2388">
        <f>IF($A2388="","",IF(OR($E2388="INFRUCTUEUX",$E2388="ANNULE"),$A2388&amp;"|"&amp;(COUNTIFS($A$2:$A2388,$A2388,$E$2:$E2388,"INFRUCTUEUX")+COUNTIFS($A$2:$A2388,$A2388,$E$2:$E2388,"ANNULE")),""))</f>
        <v/>
      </c>
    </row>
    <row r="2389">
      <c r="A2389">
        <f>IF(ISBLANK('ENGAGEMENTS 2026'!B2389),"",IF('ENGAGEMENTS 2026'!B2389="DTSI","DCT",'ENGAGEMENTS 2026'!B2389))</f>
        <v/>
      </c>
      <c r="B2389">
        <f>IF(ISBLANK('ENGAGEMENTS 2026'!B2389),"",'ENGAGEMENTS 2026'!C2389)</f>
        <v/>
      </c>
      <c r="C2389">
        <f>IF(ISBLANK('ENGAGEMENTS 2026'!B2389),"",'ENGAGEMENTS 2026'!D2389)</f>
        <v/>
      </c>
      <c r="D2389">
        <f>IF(ISBLANK('ENGAGEMENTS 2026'!B2389),"",'ENGAGEMENTS 2026'!F2389)</f>
        <v/>
      </c>
      <c r="E2389">
        <f>IF(ISBLANK('ENGAGEMENTS 2026'!B2389),"",'ENGAGEMENTS 2026'!H2389)</f>
        <v/>
      </c>
      <c r="F2389">
        <f>IF(ISBLANK('ENGAGEMENTS 2026'!B2389),"",'ENGAGEMENTS 2026'!I2389)</f>
        <v/>
      </c>
      <c r="G2389">
        <f>IF(ISBLANK('ENGAGEMENTS 2026'!B2389),"",'ENGAGEMENTS 2026'!L2389)</f>
        <v/>
      </c>
      <c r="H2389">
        <f>IF(ISBLANK('ENGAGEMENTS 2026'!B2389),"",'ENGAGEMENTS 2026'!AE2389)</f>
        <v/>
      </c>
      <c r="I2389">
        <f>IF(ISBLANK('ENGAGEMENTS 2026'!B2389),"",'ENGAGEMENTS 2026'!G2389)</f>
        <v/>
      </c>
      <c r="J2389" s="275">
        <f>IF(ISBLANK('ENGAGEMENTS 2026'!B2389),"",IF(AND(OR($E2389="INFRUCTUEUX",$E2389="ANNULE"),$C2389="AOO-M"),'ENGAGEMENTS 2026'!O2389,IF($H2389="EN COURS DE PREENGAGEMENT",'ENGAGEMENTS 2026'!N2389,IF($H2389="PREENGAGE",IF($E2389="ATTRIBUE",'ENGAGEMENTS 2026'!AD2389,'ENGAGEMENTS 2026'!N2389),'ENGAGEMENTS 2026'!AD2389))))</f>
        <v/>
      </c>
      <c r="K2389" s="604">
        <f>IF(ISBLANK('ENGAGEMENTS 2026'!V2389),"",'ENGAGEMENTS 2026'!V2389)</f>
        <v/>
      </c>
      <c r="L2389" s="276">
        <f>IF($K2389="","",TODAY()-$K2389)</f>
        <v/>
      </c>
      <c r="M2389">
        <f>IF($A2389="","",IF($H2389="ENGAGE","Engagé",IF(AND($H2389="NON ENGAGE",OR($I2389="INFRUCTUEUX",$I2389="ANNULE")),"Clôturé sans suite","En cours")))</f>
        <v/>
      </c>
      <c r="N2389">
        <f>IF(ISBLANK('ENGAGEMENTS 2026'!B2389),"",'ENGAGEMENTS 2026'!K2389)</f>
        <v/>
      </c>
      <c r="O2389">
        <f>IF(ISBLANK('ENGAGEMENTS 2026'!B2389),"",'ENGAGEMENTS 2026'!L2389)</f>
        <v/>
      </c>
      <c r="P2389">
        <f>IF(ISBLANK('ENGAGEMENTS 2026'!B2389),"",'ENGAGEMENTS 2026'!J2389)</f>
        <v/>
      </c>
      <c r="Q2389">
        <f>IF($A2389="","",IF(OR($E2389="INFRUCTUEUX",$E2389="ANNULE"),$A2389&amp;"|"&amp;(COUNTIFS($A$2:$A2389,$A2389,$E$2:$E2389,"INFRUCTUEUX")+COUNTIFS($A$2:$A2389,$A2389,$E$2:$E2389,"ANNULE")),""))</f>
        <v/>
      </c>
    </row>
    <row r="2390">
      <c r="A2390">
        <f>IF(ISBLANK('ENGAGEMENTS 2026'!B2390),"",IF('ENGAGEMENTS 2026'!B2390="DTSI","DCT",'ENGAGEMENTS 2026'!B2390))</f>
        <v/>
      </c>
      <c r="B2390">
        <f>IF(ISBLANK('ENGAGEMENTS 2026'!B2390),"",'ENGAGEMENTS 2026'!C2390)</f>
        <v/>
      </c>
      <c r="C2390">
        <f>IF(ISBLANK('ENGAGEMENTS 2026'!B2390),"",'ENGAGEMENTS 2026'!D2390)</f>
        <v/>
      </c>
      <c r="D2390">
        <f>IF(ISBLANK('ENGAGEMENTS 2026'!B2390),"",'ENGAGEMENTS 2026'!F2390)</f>
        <v/>
      </c>
      <c r="E2390">
        <f>IF(ISBLANK('ENGAGEMENTS 2026'!B2390),"",'ENGAGEMENTS 2026'!H2390)</f>
        <v/>
      </c>
      <c r="F2390">
        <f>IF(ISBLANK('ENGAGEMENTS 2026'!B2390),"",'ENGAGEMENTS 2026'!I2390)</f>
        <v/>
      </c>
      <c r="G2390">
        <f>IF(ISBLANK('ENGAGEMENTS 2026'!B2390),"",'ENGAGEMENTS 2026'!L2390)</f>
        <v/>
      </c>
      <c r="H2390">
        <f>IF(ISBLANK('ENGAGEMENTS 2026'!B2390),"",'ENGAGEMENTS 2026'!AE2390)</f>
        <v/>
      </c>
      <c r="I2390">
        <f>IF(ISBLANK('ENGAGEMENTS 2026'!B2390),"",'ENGAGEMENTS 2026'!G2390)</f>
        <v/>
      </c>
      <c r="J2390" s="275">
        <f>IF(ISBLANK('ENGAGEMENTS 2026'!B2390),"",IF(AND(OR($E2390="INFRUCTUEUX",$E2390="ANNULE"),$C2390="AOO-M"),'ENGAGEMENTS 2026'!O2390,IF($H2390="EN COURS DE PREENGAGEMENT",'ENGAGEMENTS 2026'!N2390,IF($H2390="PREENGAGE",IF($E2390="ATTRIBUE",'ENGAGEMENTS 2026'!AD2390,'ENGAGEMENTS 2026'!N2390),'ENGAGEMENTS 2026'!AD2390))))</f>
        <v/>
      </c>
      <c r="K2390" s="604">
        <f>IF(ISBLANK('ENGAGEMENTS 2026'!V2390),"",'ENGAGEMENTS 2026'!V2390)</f>
        <v/>
      </c>
      <c r="L2390" s="276">
        <f>IF($K2390="","",TODAY()-$K2390)</f>
        <v/>
      </c>
      <c r="M2390">
        <f>IF($A2390="","",IF($H2390="ENGAGE","Engagé",IF(AND($H2390="NON ENGAGE",OR($I2390="INFRUCTUEUX",$I2390="ANNULE")),"Clôturé sans suite","En cours")))</f>
        <v/>
      </c>
      <c r="N2390">
        <f>IF(ISBLANK('ENGAGEMENTS 2026'!B2390),"",'ENGAGEMENTS 2026'!K2390)</f>
        <v/>
      </c>
      <c r="O2390">
        <f>IF(ISBLANK('ENGAGEMENTS 2026'!B2390),"",'ENGAGEMENTS 2026'!L2390)</f>
        <v/>
      </c>
      <c r="P2390">
        <f>IF(ISBLANK('ENGAGEMENTS 2026'!B2390),"",'ENGAGEMENTS 2026'!J2390)</f>
        <v/>
      </c>
      <c r="Q2390">
        <f>IF($A2390="","",IF(OR($E2390="INFRUCTUEUX",$E2390="ANNULE"),$A2390&amp;"|"&amp;(COUNTIFS($A$2:$A2390,$A2390,$E$2:$E2390,"INFRUCTUEUX")+COUNTIFS($A$2:$A2390,$A2390,$E$2:$E2390,"ANNULE")),""))</f>
        <v/>
      </c>
    </row>
    <row r="2391">
      <c r="A2391">
        <f>IF(ISBLANK('ENGAGEMENTS 2026'!B2391),"",IF('ENGAGEMENTS 2026'!B2391="DTSI","DCT",'ENGAGEMENTS 2026'!B2391))</f>
        <v/>
      </c>
      <c r="B2391">
        <f>IF(ISBLANK('ENGAGEMENTS 2026'!B2391),"",'ENGAGEMENTS 2026'!C2391)</f>
        <v/>
      </c>
      <c r="C2391">
        <f>IF(ISBLANK('ENGAGEMENTS 2026'!B2391),"",'ENGAGEMENTS 2026'!D2391)</f>
        <v/>
      </c>
      <c r="D2391">
        <f>IF(ISBLANK('ENGAGEMENTS 2026'!B2391),"",'ENGAGEMENTS 2026'!F2391)</f>
        <v/>
      </c>
      <c r="E2391">
        <f>IF(ISBLANK('ENGAGEMENTS 2026'!B2391),"",'ENGAGEMENTS 2026'!H2391)</f>
        <v/>
      </c>
      <c r="F2391">
        <f>IF(ISBLANK('ENGAGEMENTS 2026'!B2391),"",'ENGAGEMENTS 2026'!I2391)</f>
        <v/>
      </c>
      <c r="G2391">
        <f>IF(ISBLANK('ENGAGEMENTS 2026'!B2391),"",'ENGAGEMENTS 2026'!L2391)</f>
        <v/>
      </c>
      <c r="H2391">
        <f>IF(ISBLANK('ENGAGEMENTS 2026'!B2391),"",'ENGAGEMENTS 2026'!AE2391)</f>
        <v/>
      </c>
      <c r="I2391">
        <f>IF(ISBLANK('ENGAGEMENTS 2026'!B2391),"",'ENGAGEMENTS 2026'!G2391)</f>
        <v/>
      </c>
      <c r="J2391" s="275">
        <f>IF(ISBLANK('ENGAGEMENTS 2026'!B2391),"",IF(AND(OR($E2391="INFRUCTUEUX",$E2391="ANNULE"),$C2391="AOO-M"),'ENGAGEMENTS 2026'!O2391,IF($H2391="EN COURS DE PREENGAGEMENT",'ENGAGEMENTS 2026'!N2391,IF($H2391="PREENGAGE",IF($E2391="ATTRIBUE",'ENGAGEMENTS 2026'!AD2391,'ENGAGEMENTS 2026'!N2391),'ENGAGEMENTS 2026'!AD2391))))</f>
        <v/>
      </c>
      <c r="K2391" s="604">
        <f>IF(ISBLANK('ENGAGEMENTS 2026'!V2391),"",'ENGAGEMENTS 2026'!V2391)</f>
        <v/>
      </c>
      <c r="L2391" s="276">
        <f>IF($K2391="","",TODAY()-$K2391)</f>
        <v/>
      </c>
      <c r="M2391">
        <f>IF($A2391="","",IF($H2391="ENGAGE","Engagé",IF(AND($H2391="NON ENGAGE",OR($I2391="INFRUCTUEUX",$I2391="ANNULE")),"Clôturé sans suite","En cours")))</f>
        <v/>
      </c>
      <c r="N2391">
        <f>IF(ISBLANK('ENGAGEMENTS 2026'!B2391),"",'ENGAGEMENTS 2026'!K2391)</f>
        <v/>
      </c>
      <c r="O2391">
        <f>IF(ISBLANK('ENGAGEMENTS 2026'!B2391),"",'ENGAGEMENTS 2026'!L2391)</f>
        <v/>
      </c>
      <c r="P2391">
        <f>IF(ISBLANK('ENGAGEMENTS 2026'!B2391),"",'ENGAGEMENTS 2026'!J2391)</f>
        <v/>
      </c>
      <c r="Q2391">
        <f>IF($A2391="","",IF(OR($E2391="INFRUCTUEUX",$E2391="ANNULE"),$A2391&amp;"|"&amp;(COUNTIFS($A$2:$A2391,$A2391,$E$2:$E2391,"INFRUCTUEUX")+COUNTIFS($A$2:$A2391,$A2391,$E$2:$E2391,"ANNULE")),""))</f>
        <v/>
      </c>
    </row>
    <row r="2392">
      <c r="A2392">
        <f>IF(ISBLANK('ENGAGEMENTS 2026'!B2392),"",IF('ENGAGEMENTS 2026'!B2392="DTSI","DCT",'ENGAGEMENTS 2026'!B2392))</f>
        <v/>
      </c>
      <c r="B2392">
        <f>IF(ISBLANK('ENGAGEMENTS 2026'!B2392),"",'ENGAGEMENTS 2026'!C2392)</f>
        <v/>
      </c>
      <c r="C2392">
        <f>IF(ISBLANK('ENGAGEMENTS 2026'!B2392),"",'ENGAGEMENTS 2026'!D2392)</f>
        <v/>
      </c>
      <c r="D2392">
        <f>IF(ISBLANK('ENGAGEMENTS 2026'!B2392),"",'ENGAGEMENTS 2026'!F2392)</f>
        <v/>
      </c>
      <c r="E2392">
        <f>IF(ISBLANK('ENGAGEMENTS 2026'!B2392),"",'ENGAGEMENTS 2026'!H2392)</f>
        <v/>
      </c>
      <c r="F2392">
        <f>IF(ISBLANK('ENGAGEMENTS 2026'!B2392),"",'ENGAGEMENTS 2026'!I2392)</f>
        <v/>
      </c>
      <c r="G2392">
        <f>IF(ISBLANK('ENGAGEMENTS 2026'!B2392),"",'ENGAGEMENTS 2026'!L2392)</f>
        <v/>
      </c>
      <c r="H2392">
        <f>IF(ISBLANK('ENGAGEMENTS 2026'!B2392),"",'ENGAGEMENTS 2026'!AE2392)</f>
        <v/>
      </c>
      <c r="I2392">
        <f>IF(ISBLANK('ENGAGEMENTS 2026'!B2392),"",'ENGAGEMENTS 2026'!G2392)</f>
        <v/>
      </c>
      <c r="J2392" s="275">
        <f>IF(ISBLANK('ENGAGEMENTS 2026'!B2392),"",IF(AND(OR($E2392="INFRUCTUEUX",$E2392="ANNULE"),$C2392="AOO-M"),'ENGAGEMENTS 2026'!O2392,IF($H2392="EN COURS DE PREENGAGEMENT",'ENGAGEMENTS 2026'!N2392,IF($H2392="PREENGAGE",IF($E2392="ATTRIBUE",'ENGAGEMENTS 2026'!AD2392,'ENGAGEMENTS 2026'!N2392),'ENGAGEMENTS 2026'!AD2392))))</f>
        <v/>
      </c>
      <c r="K2392" s="604">
        <f>IF(ISBLANK('ENGAGEMENTS 2026'!V2392),"",'ENGAGEMENTS 2026'!V2392)</f>
        <v/>
      </c>
      <c r="L2392" s="276">
        <f>IF($K2392="","",TODAY()-$K2392)</f>
        <v/>
      </c>
      <c r="M2392">
        <f>IF($A2392="","",IF($H2392="ENGAGE","Engagé",IF(AND($H2392="NON ENGAGE",OR($I2392="INFRUCTUEUX",$I2392="ANNULE")),"Clôturé sans suite","En cours")))</f>
        <v/>
      </c>
      <c r="N2392">
        <f>IF(ISBLANK('ENGAGEMENTS 2026'!B2392),"",'ENGAGEMENTS 2026'!K2392)</f>
        <v/>
      </c>
      <c r="O2392">
        <f>IF(ISBLANK('ENGAGEMENTS 2026'!B2392),"",'ENGAGEMENTS 2026'!L2392)</f>
        <v/>
      </c>
      <c r="P2392">
        <f>IF(ISBLANK('ENGAGEMENTS 2026'!B2392),"",'ENGAGEMENTS 2026'!J2392)</f>
        <v/>
      </c>
      <c r="Q2392">
        <f>IF($A2392="","",IF(OR($E2392="INFRUCTUEUX",$E2392="ANNULE"),$A2392&amp;"|"&amp;(COUNTIFS($A$2:$A2392,$A2392,$E$2:$E2392,"INFRUCTUEUX")+COUNTIFS($A$2:$A2392,$A2392,$E$2:$E2392,"ANNULE")),""))</f>
        <v/>
      </c>
    </row>
    <row r="2393">
      <c r="A2393">
        <f>IF(ISBLANK('ENGAGEMENTS 2026'!B2393),"",IF('ENGAGEMENTS 2026'!B2393="DTSI","DCT",'ENGAGEMENTS 2026'!B2393))</f>
        <v/>
      </c>
      <c r="B2393">
        <f>IF(ISBLANK('ENGAGEMENTS 2026'!B2393),"",'ENGAGEMENTS 2026'!C2393)</f>
        <v/>
      </c>
      <c r="C2393">
        <f>IF(ISBLANK('ENGAGEMENTS 2026'!B2393),"",'ENGAGEMENTS 2026'!D2393)</f>
        <v/>
      </c>
      <c r="D2393">
        <f>IF(ISBLANK('ENGAGEMENTS 2026'!B2393),"",'ENGAGEMENTS 2026'!F2393)</f>
        <v/>
      </c>
      <c r="E2393">
        <f>IF(ISBLANK('ENGAGEMENTS 2026'!B2393),"",'ENGAGEMENTS 2026'!H2393)</f>
        <v/>
      </c>
      <c r="F2393">
        <f>IF(ISBLANK('ENGAGEMENTS 2026'!B2393),"",'ENGAGEMENTS 2026'!I2393)</f>
        <v/>
      </c>
      <c r="G2393">
        <f>IF(ISBLANK('ENGAGEMENTS 2026'!B2393),"",'ENGAGEMENTS 2026'!L2393)</f>
        <v/>
      </c>
      <c r="H2393">
        <f>IF(ISBLANK('ENGAGEMENTS 2026'!B2393),"",'ENGAGEMENTS 2026'!AE2393)</f>
        <v/>
      </c>
      <c r="I2393">
        <f>IF(ISBLANK('ENGAGEMENTS 2026'!B2393),"",'ENGAGEMENTS 2026'!G2393)</f>
        <v/>
      </c>
      <c r="J2393" s="275">
        <f>IF(ISBLANK('ENGAGEMENTS 2026'!B2393),"",IF(AND(OR($E2393="INFRUCTUEUX",$E2393="ANNULE"),$C2393="AOO-M"),'ENGAGEMENTS 2026'!O2393,IF($H2393="EN COURS DE PREENGAGEMENT",'ENGAGEMENTS 2026'!N2393,IF($H2393="PREENGAGE",IF($E2393="ATTRIBUE",'ENGAGEMENTS 2026'!AD2393,'ENGAGEMENTS 2026'!N2393),'ENGAGEMENTS 2026'!AD2393))))</f>
        <v/>
      </c>
      <c r="K2393" s="604">
        <f>IF(ISBLANK('ENGAGEMENTS 2026'!V2393),"",'ENGAGEMENTS 2026'!V2393)</f>
        <v/>
      </c>
      <c r="L2393" s="276">
        <f>IF($K2393="","",TODAY()-$K2393)</f>
        <v/>
      </c>
      <c r="M2393">
        <f>IF($A2393="","",IF($H2393="ENGAGE","Engagé",IF(AND($H2393="NON ENGAGE",OR($I2393="INFRUCTUEUX",$I2393="ANNULE")),"Clôturé sans suite","En cours")))</f>
        <v/>
      </c>
      <c r="N2393">
        <f>IF(ISBLANK('ENGAGEMENTS 2026'!B2393),"",'ENGAGEMENTS 2026'!K2393)</f>
        <v/>
      </c>
      <c r="O2393">
        <f>IF(ISBLANK('ENGAGEMENTS 2026'!B2393),"",'ENGAGEMENTS 2026'!L2393)</f>
        <v/>
      </c>
      <c r="P2393">
        <f>IF(ISBLANK('ENGAGEMENTS 2026'!B2393),"",'ENGAGEMENTS 2026'!J2393)</f>
        <v/>
      </c>
      <c r="Q2393">
        <f>IF($A2393="","",IF(OR($E2393="INFRUCTUEUX",$E2393="ANNULE"),$A2393&amp;"|"&amp;(COUNTIFS($A$2:$A2393,$A2393,$E$2:$E2393,"INFRUCTUEUX")+COUNTIFS($A$2:$A2393,$A2393,$E$2:$E2393,"ANNULE")),""))</f>
        <v/>
      </c>
    </row>
    <row r="2394">
      <c r="A2394">
        <f>IF(ISBLANK('ENGAGEMENTS 2026'!B2394),"",IF('ENGAGEMENTS 2026'!B2394="DTSI","DCT",'ENGAGEMENTS 2026'!B2394))</f>
        <v/>
      </c>
      <c r="B2394">
        <f>IF(ISBLANK('ENGAGEMENTS 2026'!B2394),"",'ENGAGEMENTS 2026'!C2394)</f>
        <v/>
      </c>
      <c r="C2394">
        <f>IF(ISBLANK('ENGAGEMENTS 2026'!B2394),"",'ENGAGEMENTS 2026'!D2394)</f>
        <v/>
      </c>
      <c r="D2394">
        <f>IF(ISBLANK('ENGAGEMENTS 2026'!B2394),"",'ENGAGEMENTS 2026'!F2394)</f>
        <v/>
      </c>
      <c r="E2394">
        <f>IF(ISBLANK('ENGAGEMENTS 2026'!B2394),"",'ENGAGEMENTS 2026'!H2394)</f>
        <v/>
      </c>
      <c r="F2394">
        <f>IF(ISBLANK('ENGAGEMENTS 2026'!B2394),"",'ENGAGEMENTS 2026'!I2394)</f>
        <v/>
      </c>
      <c r="G2394">
        <f>IF(ISBLANK('ENGAGEMENTS 2026'!B2394),"",'ENGAGEMENTS 2026'!L2394)</f>
        <v/>
      </c>
      <c r="H2394">
        <f>IF(ISBLANK('ENGAGEMENTS 2026'!B2394),"",'ENGAGEMENTS 2026'!AE2394)</f>
        <v/>
      </c>
      <c r="I2394">
        <f>IF(ISBLANK('ENGAGEMENTS 2026'!B2394),"",'ENGAGEMENTS 2026'!G2394)</f>
        <v/>
      </c>
      <c r="J2394" s="275">
        <f>IF(ISBLANK('ENGAGEMENTS 2026'!B2394),"",IF(AND(OR($E2394="INFRUCTUEUX",$E2394="ANNULE"),$C2394="AOO-M"),'ENGAGEMENTS 2026'!O2394,IF($H2394="EN COURS DE PREENGAGEMENT",'ENGAGEMENTS 2026'!N2394,IF($H2394="PREENGAGE",IF($E2394="ATTRIBUE",'ENGAGEMENTS 2026'!AD2394,'ENGAGEMENTS 2026'!N2394),'ENGAGEMENTS 2026'!AD2394))))</f>
        <v/>
      </c>
      <c r="K2394" s="604">
        <f>IF(ISBLANK('ENGAGEMENTS 2026'!V2394),"",'ENGAGEMENTS 2026'!V2394)</f>
        <v/>
      </c>
      <c r="L2394" s="276">
        <f>IF($K2394="","",TODAY()-$K2394)</f>
        <v/>
      </c>
      <c r="M2394">
        <f>IF($A2394="","",IF($H2394="ENGAGE","Engagé",IF(AND($H2394="NON ENGAGE",OR($I2394="INFRUCTUEUX",$I2394="ANNULE")),"Clôturé sans suite","En cours")))</f>
        <v/>
      </c>
      <c r="N2394">
        <f>IF(ISBLANK('ENGAGEMENTS 2026'!B2394),"",'ENGAGEMENTS 2026'!K2394)</f>
        <v/>
      </c>
      <c r="O2394">
        <f>IF(ISBLANK('ENGAGEMENTS 2026'!B2394),"",'ENGAGEMENTS 2026'!L2394)</f>
        <v/>
      </c>
      <c r="P2394">
        <f>IF(ISBLANK('ENGAGEMENTS 2026'!B2394),"",'ENGAGEMENTS 2026'!J2394)</f>
        <v/>
      </c>
      <c r="Q2394">
        <f>IF($A2394="","",IF(OR($E2394="INFRUCTUEUX",$E2394="ANNULE"),$A2394&amp;"|"&amp;(COUNTIFS($A$2:$A2394,$A2394,$E$2:$E2394,"INFRUCTUEUX")+COUNTIFS($A$2:$A2394,$A2394,$E$2:$E2394,"ANNULE")),""))</f>
        <v/>
      </c>
    </row>
    <row r="2395">
      <c r="A2395">
        <f>IF(ISBLANK('ENGAGEMENTS 2026'!B2395),"",IF('ENGAGEMENTS 2026'!B2395="DTSI","DCT",'ENGAGEMENTS 2026'!B2395))</f>
        <v/>
      </c>
      <c r="B2395">
        <f>IF(ISBLANK('ENGAGEMENTS 2026'!B2395),"",'ENGAGEMENTS 2026'!C2395)</f>
        <v/>
      </c>
      <c r="C2395">
        <f>IF(ISBLANK('ENGAGEMENTS 2026'!B2395),"",'ENGAGEMENTS 2026'!D2395)</f>
        <v/>
      </c>
      <c r="D2395">
        <f>IF(ISBLANK('ENGAGEMENTS 2026'!B2395),"",'ENGAGEMENTS 2026'!F2395)</f>
        <v/>
      </c>
      <c r="E2395">
        <f>IF(ISBLANK('ENGAGEMENTS 2026'!B2395),"",'ENGAGEMENTS 2026'!H2395)</f>
        <v/>
      </c>
      <c r="F2395">
        <f>IF(ISBLANK('ENGAGEMENTS 2026'!B2395),"",'ENGAGEMENTS 2026'!I2395)</f>
        <v/>
      </c>
      <c r="G2395">
        <f>IF(ISBLANK('ENGAGEMENTS 2026'!B2395),"",'ENGAGEMENTS 2026'!L2395)</f>
        <v/>
      </c>
      <c r="H2395">
        <f>IF(ISBLANK('ENGAGEMENTS 2026'!B2395),"",'ENGAGEMENTS 2026'!AE2395)</f>
        <v/>
      </c>
      <c r="I2395">
        <f>IF(ISBLANK('ENGAGEMENTS 2026'!B2395),"",'ENGAGEMENTS 2026'!G2395)</f>
        <v/>
      </c>
      <c r="J2395" s="275">
        <f>IF(ISBLANK('ENGAGEMENTS 2026'!B2395),"",IF(AND(OR($E2395="INFRUCTUEUX",$E2395="ANNULE"),$C2395="AOO-M"),'ENGAGEMENTS 2026'!O2395,IF($H2395="EN COURS DE PREENGAGEMENT",'ENGAGEMENTS 2026'!N2395,IF($H2395="PREENGAGE",IF($E2395="ATTRIBUE",'ENGAGEMENTS 2026'!AD2395,'ENGAGEMENTS 2026'!N2395),'ENGAGEMENTS 2026'!AD2395))))</f>
        <v/>
      </c>
      <c r="K2395" s="604">
        <f>IF(ISBLANK('ENGAGEMENTS 2026'!V2395),"",'ENGAGEMENTS 2026'!V2395)</f>
        <v/>
      </c>
      <c r="L2395" s="276">
        <f>IF($K2395="","",TODAY()-$K2395)</f>
        <v/>
      </c>
      <c r="M2395">
        <f>IF($A2395="","",IF($H2395="ENGAGE","Engagé",IF(AND($H2395="NON ENGAGE",OR($I2395="INFRUCTUEUX",$I2395="ANNULE")),"Clôturé sans suite","En cours")))</f>
        <v/>
      </c>
      <c r="N2395">
        <f>IF(ISBLANK('ENGAGEMENTS 2026'!B2395),"",'ENGAGEMENTS 2026'!K2395)</f>
        <v/>
      </c>
      <c r="O2395">
        <f>IF(ISBLANK('ENGAGEMENTS 2026'!B2395),"",'ENGAGEMENTS 2026'!L2395)</f>
        <v/>
      </c>
      <c r="P2395">
        <f>IF(ISBLANK('ENGAGEMENTS 2026'!B2395),"",'ENGAGEMENTS 2026'!J2395)</f>
        <v/>
      </c>
      <c r="Q2395">
        <f>IF($A2395="","",IF(OR($E2395="INFRUCTUEUX",$E2395="ANNULE"),$A2395&amp;"|"&amp;(COUNTIFS($A$2:$A2395,$A2395,$E$2:$E2395,"INFRUCTUEUX")+COUNTIFS($A$2:$A2395,$A2395,$E$2:$E2395,"ANNULE")),""))</f>
        <v/>
      </c>
    </row>
    <row r="2396">
      <c r="A2396">
        <f>IF(ISBLANK('ENGAGEMENTS 2026'!B2396),"",IF('ENGAGEMENTS 2026'!B2396="DTSI","DCT",'ENGAGEMENTS 2026'!B2396))</f>
        <v/>
      </c>
      <c r="B2396">
        <f>IF(ISBLANK('ENGAGEMENTS 2026'!B2396),"",'ENGAGEMENTS 2026'!C2396)</f>
        <v/>
      </c>
      <c r="C2396">
        <f>IF(ISBLANK('ENGAGEMENTS 2026'!B2396),"",'ENGAGEMENTS 2026'!D2396)</f>
        <v/>
      </c>
      <c r="D2396">
        <f>IF(ISBLANK('ENGAGEMENTS 2026'!B2396),"",'ENGAGEMENTS 2026'!F2396)</f>
        <v/>
      </c>
      <c r="E2396">
        <f>IF(ISBLANK('ENGAGEMENTS 2026'!B2396),"",'ENGAGEMENTS 2026'!H2396)</f>
        <v/>
      </c>
      <c r="F2396">
        <f>IF(ISBLANK('ENGAGEMENTS 2026'!B2396),"",'ENGAGEMENTS 2026'!I2396)</f>
        <v/>
      </c>
      <c r="G2396">
        <f>IF(ISBLANK('ENGAGEMENTS 2026'!B2396),"",'ENGAGEMENTS 2026'!L2396)</f>
        <v/>
      </c>
      <c r="H2396">
        <f>IF(ISBLANK('ENGAGEMENTS 2026'!B2396),"",'ENGAGEMENTS 2026'!AE2396)</f>
        <v/>
      </c>
      <c r="I2396">
        <f>IF(ISBLANK('ENGAGEMENTS 2026'!B2396),"",'ENGAGEMENTS 2026'!G2396)</f>
        <v/>
      </c>
      <c r="J2396" s="275">
        <f>IF(ISBLANK('ENGAGEMENTS 2026'!B2396),"",IF(AND(OR($E2396="INFRUCTUEUX",$E2396="ANNULE"),$C2396="AOO-M"),'ENGAGEMENTS 2026'!O2396,IF($H2396="EN COURS DE PREENGAGEMENT",'ENGAGEMENTS 2026'!N2396,IF($H2396="PREENGAGE",IF($E2396="ATTRIBUE",'ENGAGEMENTS 2026'!AD2396,'ENGAGEMENTS 2026'!N2396),'ENGAGEMENTS 2026'!AD2396))))</f>
        <v/>
      </c>
      <c r="K2396" s="604">
        <f>IF(ISBLANK('ENGAGEMENTS 2026'!V2396),"",'ENGAGEMENTS 2026'!V2396)</f>
        <v/>
      </c>
      <c r="L2396" s="276">
        <f>IF($K2396="","",TODAY()-$K2396)</f>
        <v/>
      </c>
      <c r="M2396">
        <f>IF($A2396="","",IF($H2396="ENGAGE","Engagé",IF(AND($H2396="NON ENGAGE",OR($I2396="INFRUCTUEUX",$I2396="ANNULE")),"Clôturé sans suite","En cours")))</f>
        <v/>
      </c>
      <c r="N2396">
        <f>IF(ISBLANK('ENGAGEMENTS 2026'!B2396),"",'ENGAGEMENTS 2026'!K2396)</f>
        <v/>
      </c>
      <c r="O2396">
        <f>IF(ISBLANK('ENGAGEMENTS 2026'!B2396),"",'ENGAGEMENTS 2026'!L2396)</f>
        <v/>
      </c>
      <c r="P2396">
        <f>IF(ISBLANK('ENGAGEMENTS 2026'!B2396),"",'ENGAGEMENTS 2026'!J2396)</f>
        <v/>
      </c>
      <c r="Q2396">
        <f>IF($A2396="","",IF(OR($E2396="INFRUCTUEUX",$E2396="ANNULE"),$A2396&amp;"|"&amp;(COUNTIFS($A$2:$A2396,$A2396,$E$2:$E2396,"INFRUCTUEUX")+COUNTIFS($A$2:$A2396,$A2396,$E$2:$E2396,"ANNULE")),""))</f>
        <v/>
      </c>
    </row>
    <row r="2397">
      <c r="A2397">
        <f>IF(ISBLANK('ENGAGEMENTS 2026'!B2397),"",IF('ENGAGEMENTS 2026'!B2397="DTSI","DCT",'ENGAGEMENTS 2026'!B2397))</f>
        <v/>
      </c>
      <c r="B2397">
        <f>IF(ISBLANK('ENGAGEMENTS 2026'!B2397),"",'ENGAGEMENTS 2026'!C2397)</f>
        <v/>
      </c>
      <c r="C2397">
        <f>IF(ISBLANK('ENGAGEMENTS 2026'!B2397),"",'ENGAGEMENTS 2026'!D2397)</f>
        <v/>
      </c>
      <c r="D2397">
        <f>IF(ISBLANK('ENGAGEMENTS 2026'!B2397),"",'ENGAGEMENTS 2026'!F2397)</f>
        <v/>
      </c>
      <c r="E2397">
        <f>IF(ISBLANK('ENGAGEMENTS 2026'!B2397),"",'ENGAGEMENTS 2026'!H2397)</f>
        <v/>
      </c>
      <c r="F2397">
        <f>IF(ISBLANK('ENGAGEMENTS 2026'!B2397),"",'ENGAGEMENTS 2026'!I2397)</f>
        <v/>
      </c>
      <c r="G2397">
        <f>IF(ISBLANK('ENGAGEMENTS 2026'!B2397),"",'ENGAGEMENTS 2026'!L2397)</f>
        <v/>
      </c>
      <c r="H2397">
        <f>IF(ISBLANK('ENGAGEMENTS 2026'!B2397),"",'ENGAGEMENTS 2026'!AE2397)</f>
        <v/>
      </c>
      <c r="I2397">
        <f>IF(ISBLANK('ENGAGEMENTS 2026'!B2397),"",'ENGAGEMENTS 2026'!G2397)</f>
        <v/>
      </c>
      <c r="J2397" s="275">
        <f>IF(ISBLANK('ENGAGEMENTS 2026'!B2397),"",IF(AND(OR($E2397="INFRUCTUEUX",$E2397="ANNULE"),$C2397="AOO-M"),'ENGAGEMENTS 2026'!O2397,IF($H2397="EN COURS DE PREENGAGEMENT",'ENGAGEMENTS 2026'!N2397,IF($H2397="PREENGAGE",IF($E2397="ATTRIBUE",'ENGAGEMENTS 2026'!AD2397,'ENGAGEMENTS 2026'!N2397),'ENGAGEMENTS 2026'!AD2397))))</f>
        <v/>
      </c>
      <c r="K2397" s="604">
        <f>IF(ISBLANK('ENGAGEMENTS 2026'!V2397),"",'ENGAGEMENTS 2026'!V2397)</f>
        <v/>
      </c>
      <c r="L2397" s="276">
        <f>IF($K2397="","",TODAY()-$K2397)</f>
        <v/>
      </c>
      <c r="M2397">
        <f>IF($A2397="","",IF($H2397="ENGAGE","Engagé",IF(AND($H2397="NON ENGAGE",OR($I2397="INFRUCTUEUX",$I2397="ANNULE")),"Clôturé sans suite","En cours")))</f>
        <v/>
      </c>
      <c r="N2397">
        <f>IF(ISBLANK('ENGAGEMENTS 2026'!B2397),"",'ENGAGEMENTS 2026'!K2397)</f>
        <v/>
      </c>
      <c r="O2397">
        <f>IF(ISBLANK('ENGAGEMENTS 2026'!B2397),"",'ENGAGEMENTS 2026'!L2397)</f>
        <v/>
      </c>
      <c r="P2397">
        <f>IF(ISBLANK('ENGAGEMENTS 2026'!B2397),"",'ENGAGEMENTS 2026'!J2397)</f>
        <v/>
      </c>
      <c r="Q2397">
        <f>IF($A2397="","",IF(OR($E2397="INFRUCTUEUX",$E2397="ANNULE"),$A2397&amp;"|"&amp;(COUNTIFS($A$2:$A2397,$A2397,$E$2:$E2397,"INFRUCTUEUX")+COUNTIFS($A$2:$A2397,$A2397,$E$2:$E2397,"ANNULE")),""))</f>
        <v/>
      </c>
    </row>
    <row r="2398">
      <c r="A2398">
        <f>IF(ISBLANK('ENGAGEMENTS 2026'!B2398),"",IF('ENGAGEMENTS 2026'!B2398="DTSI","DCT",'ENGAGEMENTS 2026'!B2398))</f>
        <v/>
      </c>
      <c r="B2398">
        <f>IF(ISBLANK('ENGAGEMENTS 2026'!B2398),"",'ENGAGEMENTS 2026'!C2398)</f>
        <v/>
      </c>
      <c r="C2398">
        <f>IF(ISBLANK('ENGAGEMENTS 2026'!B2398),"",'ENGAGEMENTS 2026'!D2398)</f>
        <v/>
      </c>
      <c r="D2398">
        <f>IF(ISBLANK('ENGAGEMENTS 2026'!B2398),"",'ENGAGEMENTS 2026'!F2398)</f>
        <v/>
      </c>
      <c r="E2398">
        <f>IF(ISBLANK('ENGAGEMENTS 2026'!B2398),"",'ENGAGEMENTS 2026'!H2398)</f>
        <v/>
      </c>
      <c r="F2398">
        <f>IF(ISBLANK('ENGAGEMENTS 2026'!B2398),"",'ENGAGEMENTS 2026'!I2398)</f>
        <v/>
      </c>
      <c r="G2398">
        <f>IF(ISBLANK('ENGAGEMENTS 2026'!B2398),"",'ENGAGEMENTS 2026'!L2398)</f>
        <v/>
      </c>
      <c r="H2398">
        <f>IF(ISBLANK('ENGAGEMENTS 2026'!B2398),"",'ENGAGEMENTS 2026'!AE2398)</f>
        <v/>
      </c>
      <c r="I2398">
        <f>IF(ISBLANK('ENGAGEMENTS 2026'!B2398),"",'ENGAGEMENTS 2026'!G2398)</f>
        <v/>
      </c>
      <c r="J2398" s="275">
        <f>IF(ISBLANK('ENGAGEMENTS 2026'!B2398),"",IF(AND(OR($E2398="INFRUCTUEUX",$E2398="ANNULE"),$C2398="AOO-M"),'ENGAGEMENTS 2026'!O2398,IF($H2398="EN COURS DE PREENGAGEMENT",'ENGAGEMENTS 2026'!N2398,IF($H2398="PREENGAGE",IF($E2398="ATTRIBUE",'ENGAGEMENTS 2026'!AD2398,'ENGAGEMENTS 2026'!N2398),'ENGAGEMENTS 2026'!AD2398))))</f>
        <v/>
      </c>
      <c r="K2398" s="604">
        <f>IF(ISBLANK('ENGAGEMENTS 2026'!V2398),"",'ENGAGEMENTS 2026'!V2398)</f>
        <v/>
      </c>
      <c r="L2398" s="276">
        <f>IF($K2398="","",TODAY()-$K2398)</f>
        <v/>
      </c>
      <c r="M2398">
        <f>IF($A2398="","",IF($H2398="ENGAGE","Engagé",IF(AND($H2398="NON ENGAGE",OR($I2398="INFRUCTUEUX",$I2398="ANNULE")),"Clôturé sans suite","En cours")))</f>
        <v/>
      </c>
      <c r="N2398">
        <f>IF(ISBLANK('ENGAGEMENTS 2026'!B2398),"",'ENGAGEMENTS 2026'!K2398)</f>
        <v/>
      </c>
      <c r="O2398">
        <f>IF(ISBLANK('ENGAGEMENTS 2026'!B2398),"",'ENGAGEMENTS 2026'!L2398)</f>
        <v/>
      </c>
      <c r="P2398">
        <f>IF(ISBLANK('ENGAGEMENTS 2026'!B2398),"",'ENGAGEMENTS 2026'!J2398)</f>
        <v/>
      </c>
      <c r="Q2398">
        <f>IF($A2398="","",IF(OR($E2398="INFRUCTUEUX",$E2398="ANNULE"),$A2398&amp;"|"&amp;(COUNTIFS($A$2:$A2398,$A2398,$E$2:$E2398,"INFRUCTUEUX")+COUNTIFS($A$2:$A2398,$A2398,$E$2:$E2398,"ANNULE")),""))</f>
        <v/>
      </c>
    </row>
    <row r="2399">
      <c r="A2399">
        <f>IF(ISBLANK('ENGAGEMENTS 2026'!B2399),"",IF('ENGAGEMENTS 2026'!B2399="DTSI","DCT",'ENGAGEMENTS 2026'!B2399))</f>
        <v/>
      </c>
      <c r="B2399">
        <f>IF(ISBLANK('ENGAGEMENTS 2026'!B2399),"",'ENGAGEMENTS 2026'!C2399)</f>
        <v/>
      </c>
      <c r="C2399">
        <f>IF(ISBLANK('ENGAGEMENTS 2026'!B2399),"",'ENGAGEMENTS 2026'!D2399)</f>
        <v/>
      </c>
      <c r="D2399">
        <f>IF(ISBLANK('ENGAGEMENTS 2026'!B2399),"",'ENGAGEMENTS 2026'!F2399)</f>
        <v/>
      </c>
      <c r="E2399">
        <f>IF(ISBLANK('ENGAGEMENTS 2026'!B2399),"",'ENGAGEMENTS 2026'!H2399)</f>
        <v/>
      </c>
      <c r="F2399">
        <f>IF(ISBLANK('ENGAGEMENTS 2026'!B2399),"",'ENGAGEMENTS 2026'!I2399)</f>
        <v/>
      </c>
      <c r="G2399">
        <f>IF(ISBLANK('ENGAGEMENTS 2026'!B2399),"",'ENGAGEMENTS 2026'!L2399)</f>
        <v/>
      </c>
      <c r="H2399">
        <f>IF(ISBLANK('ENGAGEMENTS 2026'!B2399),"",'ENGAGEMENTS 2026'!AE2399)</f>
        <v/>
      </c>
      <c r="I2399">
        <f>IF(ISBLANK('ENGAGEMENTS 2026'!B2399),"",'ENGAGEMENTS 2026'!G2399)</f>
        <v/>
      </c>
      <c r="J2399" s="275">
        <f>IF(ISBLANK('ENGAGEMENTS 2026'!B2399),"",IF(AND(OR($E2399="INFRUCTUEUX",$E2399="ANNULE"),$C2399="AOO-M"),'ENGAGEMENTS 2026'!O2399,IF($H2399="EN COURS DE PREENGAGEMENT",'ENGAGEMENTS 2026'!N2399,IF($H2399="PREENGAGE",IF($E2399="ATTRIBUE",'ENGAGEMENTS 2026'!AD2399,'ENGAGEMENTS 2026'!N2399),'ENGAGEMENTS 2026'!AD2399))))</f>
        <v/>
      </c>
      <c r="K2399" s="604">
        <f>IF(ISBLANK('ENGAGEMENTS 2026'!V2399),"",'ENGAGEMENTS 2026'!V2399)</f>
        <v/>
      </c>
      <c r="L2399" s="276">
        <f>IF($K2399="","",TODAY()-$K2399)</f>
        <v/>
      </c>
      <c r="M2399">
        <f>IF($A2399="","",IF($H2399="ENGAGE","Engagé",IF(AND($H2399="NON ENGAGE",OR($I2399="INFRUCTUEUX",$I2399="ANNULE")),"Clôturé sans suite","En cours")))</f>
        <v/>
      </c>
      <c r="N2399">
        <f>IF(ISBLANK('ENGAGEMENTS 2026'!B2399),"",'ENGAGEMENTS 2026'!K2399)</f>
        <v/>
      </c>
      <c r="O2399">
        <f>IF(ISBLANK('ENGAGEMENTS 2026'!B2399),"",'ENGAGEMENTS 2026'!L2399)</f>
        <v/>
      </c>
      <c r="P2399">
        <f>IF(ISBLANK('ENGAGEMENTS 2026'!B2399),"",'ENGAGEMENTS 2026'!J2399)</f>
        <v/>
      </c>
      <c r="Q2399">
        <f>IF($A2399="","",IF(OR($E2399="INFRUCTUEUX",$E2399="ANNULE"),$A2399&amp;"|"&amp;(COUNTIFS($A$2:$A2399,$A2399,$E$2:$E2399,"INFRUCTUEUX")+COUNTIFS($A$2:$A2399,$A2399,$E$2:$E2399,"ANNULE")),""))</f>
        <v/>
      </c>
    </row>
    <row r="2400">
      <c r="A2400">
        <f>IF(ISBLANK('ENGAGEMENTS 2026'!B2400),"",IF('ENGAGEMENTS 2026'!B2400="DTSI","DCT",'ENGAGEMENTS 2026'!B2400))</f>
        <v/>
      </c>
      <c r="B2400">
        <f>IF(ISBLANK('ENGAGEMENTS 2026'!B2400),"",'ENGAGEMENTS 2026'!C2400)</f>
        <v/>
      </c>
      <c r="C2400">
        <f>IF(ISBLANK('ENGAGEMENTS 2026'!B2400),"",'ENGAGEMENTS 2026'!D2400)</f>
        <v/>
      </c>
      <c r="D2400">
        <f>IF(ISBLANK('ENGAGEMENTS 2026'!B2400),"",'ENGAGEMENTS 2026'!F2400)</f>
        <v/>
      </c>
      <c r="E2400">
        <f>IF(ISBLANK('ENGAGEMENTS 2026'!B2400),"",'ENGAGEMENTS 2026'!H2400)</f>
        <v/>
      </c>
      <c r="F2400">
        <f>IF(ISBLANK('ENGAGEMENTS 2026'!B2400),"",'ENGAGEMENTS 2026'!I2400)</f>
        <v/>
      </c>
      <c r="G2400">
        <f>IF(ISBLANK('ENGAGEMENTS 2026'!B2400),"",'ENGAGEMENTS 2026'!L2400)</f>
        <v/>
      </c>
      <c r="H2400">
        <f>IF(ISBLANK('ENGAGEMENTS 2026'!B2400),"",'ENGAGEMENTS 2026'!AE2400)</f>
        <v/>
      </c>
      <c r="I2400">
        <f>IF(ISBLANK('ENGAGEMENTS 2026'!B2400),"",'ENGAGEMENTS 2026'!G2400)</f>
        <v/>
      </c>
      <c r="J2400" s="275">
        <f>IF(ISBLANK('ENGAGEMENTS 2026'!B2400),"",IF(AND(OR($E2400="INFRUCTUEUX",$E2400="ANNULE"),$C2400="AOO-M"),'ENGAGEMENTS 2026'!O2400,IF($H2400="EN COURS DE PREENGAGEMENT",'ENGAGEMENTS 2026'!N2400,IF($H2400="PREENGAGE",IF($E2400="ATTRIBUE",'ENGAGEMENTS 2026'!AD2400,'ENGAGEMENTS 2026'!N2400),'ENGAGEMENTS 2026'!AD2400))))</f>
        <v/>
      </c>
      <c r="K2400" s="604">
        <f>IF(ISBLANK('ENGAGEMENTS 2026'!V2400),"",'ENGAGEMENTS 2026'!V2400)</f>
        <v/>
      </c>
      <c r="L2400" s="276">
        <f>IF($K2400="","",TODAY()-$K2400)</f>
        <v/>
      </c>
      <c r="M2400">
        <f>IF($A2400="","",IF($H2400="ENGAGE","Engagé",IF(AND($H2400="NON ENGAGE",OR($I2400="INFRUCTUEUX",$I2400="ANNULE")),"Clôturé sans suite","En cours")))</f>
        <v/>
      </c>
      <c r="N2400">
        <f>IF(ISBLANK('ENGAGEMENTS 2026'!B2400),"",'ENGAGEMENTS 2026'!K2400)</f>
        <v/>
      </c>
      <c r="O2400">
        <f>IF(ISBLANK('ENGAGEMENTS 2026'!B2400),"",'ENGAGEMENTS 2026'!L2400)</f>
        <v/>
      </c>
      <c r="P2400">
        <f>IF(ISBLANK('ENGAGEMENTS 2026'!B2400),"",'ENGAGEMENTS 2026'!J2400)</f>
        <v/>
      </c>
      <c r="Q2400">
        <f>IF($A2400="","",IF(OR($E2400="INFRUCTUEUX",$E2400="ANNULE"),$A2400&amp;"|"&amp;(COUNTIFS($A$2:$A2400,$A2400,$E$2:$E2400,"INFRUCTUEUX")+COUNTIFS($A$2:$A2400,$A2400,$E$2:$E2400,"ANNULE")),""))</f>
        <v/>
      </c>
    </row>
    <row r="2401">
      <c r="A2401">
        <f>IF(ISBLANK('ENGAGEMENTS 2026'!B2401),"",IF('ENGAGEMENTS 2026'!B2401="DTSI","DCT",'ENGAGEMENTS 2026'!B2401))</f>
        <v/>
      </c>
      <c r="B2401">
        <f>IF(ISBLANK('ENGAGEMENTS 2026'!B2401),"",'ENGAGEMENTS 2026'!C2401)</f>
        <v/>
      </c>
      <c r="C2401">
        <f>IF(ISBLANK('ENGAGEMENTS 2026'!B2401),"",'ENGAGEMENTS 2026'!D2401)</f>
        <v/>
      </c>
      <c r="D2401">
        <f>IF(ISBLANK('ENGAGEMENTS 2026'!B2401),"",'ENGAGEMENTS 2026'!F2401)</f>
        <v/>
      </c>
      <c r="E2401">
        <f>IF(ISBLANK('ENGAGEMENTS 2026'!B2401),"",'ENGAGEMENTS 2026'!H2401)</f>
        <v/>
      </c>
      <c r="F2401">
        <f>IF(ISBLANK('ENGAGEMENTS 2026'!B2401),"",'ENGAGEMENTS 2026'!I2401)</f>
        <v/>
      </c>
      <c r="G2401">
        <f>IF(ISBLANK('ENGAGEMENTS 2026'!B2401),"",'ENGAGEMENTS 2026'!L2401)</f>
        <v/>
      </c>
      <c r="H2401">
        <f>IF(ISBLANK('ENGAGEMENTS 2026'!B2401),"",'ENGAGEMENTS 2026'!AE2401)</f>
        <v/>
      </c>
      <c r="I2401">
        <f>IF(ISBLANK('ENGAGEMENTS 2026'!B2401),"",'ENGAGEMENTS 2026'!G2401)</f>
        <v/>
      </c>
      <c r="J2401" s="275">
        <f>IF(ISBLANK('ENGAGEMENTS 2026'!B2401),"",IF(AND(OR($E2401="INFRUCTUEUX",$E2401="ANNULE"),$C2401="AOO-M"),'ENGAGEMENTS 2026'!O2401,IF($H2401="EN COURS DE PREENGAGEMENT",'ENGAGEMENTS 2026'!N2401,IF($H2401="PREENGAGE",IF($E2401="ATTRIBUE",'ENGAGEMENTS 2026'!AD2401,'ENGAGEMENTS 2026'!N2401),'ENGAGEMENTS 2026'!AD2401))))</f>
        <v/>
      </c>
      <c r="K2401" s="604">
        <f>IF(ISBLANK('ENGAGEMENTS 2026'!V2401),"",'ENGAGEMENTS 2026'!V2401)</f>
        <v/>
      </c>
      <c r="L2401" s="276">
        <f>IF($K2401="","",TODAY()-$K2401)</f>
        <v/>
      </c>
      <c r="M2401">
        <f>IF($A2401="","",IF($H2401="ENGAGE","Engagé",IF(AND($H2401="NON ENGAGE",OR($I2401="INFRUCTUEUX",$I2401="ANNULE")),"Clôturé sans suite","En cours")))</f>
        <v/>
      </c>
      <c r="N2401">
        <f>IF(ISBLANK('ENGAGEMENTS 2026'!B2401),"",'ENGAGEMENTS 2026'!K2401)</f>
        <v/>
      </c>
      <c r="O2401">
        <f>IF(ISBLANK('ENGAGEMENTS 2026'!B2401),"",'ENGAGEMENTS 2026'!L2401)</f>
        <v/>
      </c>
      <c r="P2401">
        <f>IF(ISBLANK('ENGAGEMENTS 2026'!B2401),"",'ENGAGEMENTS 2026'!J2401)</f>
        <v/>
      </c>
      <c r="Q2401">
        <f>IF($A2401="","",IF(OR($E2401="INFRUCTUEUX",$E2401="ANNULE"),$A2401&amp;"|"&amp;(COUNTIFS($A$2:$A2401,$A2401,$E$2:$E2401,"INFRUCTUEUX")+COUNTIFS($A$2:$A2401,$A2401,$E$2:$E2401,"ANNULE")),""))</f>
        <v/>
      </c>
    </row>
    <row r="2402">
      <c r="A2402">
        <f>IF(ISBLANK('ENGAGEMENTS 2026'!B2402),"",IF('ENGAGEMENTS 2026'!B2402="DTSI","DCT",'ENGAGEMENTS 2026'!B2402))</f>
        <v/>
      </c>
      <c r="B2402">
        <f>IF(ISBLANK('ENGAGEMENTS 2026'!B2402),"",'ENGAGEMENTS 2026'!C2402)</f>
        <v/>
      </c>
      <c r="C2402">
        <f>IF(ISBLANK('ENGAGEMENTS 2026'!B2402),"",'ENGAGEMENTS 2026'!D2402)</f>
        <v/>
      </c>
      <c r="D2402">
        <f>IF(ISBLANK('ENGAGEMENTS 2026'!B2402),"",'ENGAGEMENTS 2026'!F2402)</f>
        <v/>
      </c>
      <c r="E2402">
        <f>IF(ISBLANK('ENGAGEMENTS 2026'!B2402),"",'ENGAGEMENTS 2026'!H2402)</f>
        <v/>
      </c>
      <c r="F2402">
        <f>IF(ISBLANK('ENGAGEMENTS 2026'!B2402),"",'ENGAGEMENTS 2026'!I2402)</f>
        <v/>
      </c>
      <c r="G2402">
        <f>IF(ISBLANK('ENGAGEMENTS 2026'!B2402),"",'ENGAGEMENTS 2026'!L2402)</f>
        <v/>
      </c>
      <c r="H2402">
        <f>IF(ISBLANK('ENGAGEMENTS 2026'!B2402),"",'ENGAGEMENTS 2026'!AE2402)</f>
        <v/>
      </c>
      <c r="I2402">
        <f>IF(ISBLANK('ENGAGEMENTS 2026'!B2402),"",'ENGAGEMENTS 2026'!G2402)</f>
        <v/>
      </c>
      <c r="J2402" s="275">
        <f>IF(ISBLANK('ENGAGEMENTS 2026'!B2402),"",IF(AND(OR($E2402="INFRUCTUEUX",$E2402="ANNULE"),$C2402="AOO-M"),'ENGAGEMENTS 2026'!O2402,IF($H2402="EN COURS DE PREENGAGEMENT",'ENGAGEMENTS 2026'!N2402,IF($H2402="PREENGAGE",IF($E2402="ATTRIBUE",'ENGAGEMENTS 2026'!AD2402,'ENGAGEMENTS 2026'!N2402),'ENGAGEMENTS 2026'!AD2402))))</f>
        <v/>
      </c>
      <c r="K2402" s="604">
        <f>IF(ISBLANK('ENGAGEMENTS 2026'!V2402),"",'ENGAGEMENTS 2026'!V2402)</f>
        <v/>
      </c>
      <c r="L2402" s="276">
        <f>IF($K2402="","",TODAY()-$K2402)</f>
        <v/>
      </c>
      <c r="M2402">
        <f>IF($A2402="","",IF($H2402="ENGAGE","Engagé",IF(AND($H2402="NON ENGAGE",OR($I2402="INFRUCTUEUX",$I2402="ANNULE")),"Clôturé sans suite","En cours")))</f>
        <v/>
      </c>
      <c r="N2402">
        <f>IF(ISBLANK('ENGAGEMENTS 2026'!B2402),"",'ENGAGEMENTS 2026'!K2402)</f>
        <v/>
      </c>
      <c r="O2402">
        <f>IF(ISBLANK('ENGAGEMENTS 2026'!B2402),"",'ENGAGEMENTS 2026'!L2402)</f>
        <v/>
      </c>
      <c r="P2402">
        <f>IF(ISBLANK('ENGAGEMENTS 2026'!B2402),"",'ENGAGEMENTS 2026'!J2402)</f>
        <v/>
      </c>
      <c r="Q2402">
        <f>IF($A2402="","",IF(OR($E2402="INFRUCTUEUX",$E2402="ANNULE"),$A2402&amp;"|"&amp;(COUNTIFS($A$2:$A2402,$A2402,$E$2:$E2402,"INFRUCTUEUX")+COUNTIFS($A$2:$A2402,$A2402,$E$2:$E2402,"ANNULE")),""))</f>
        <v/>
      </c>
    </row>
    <row r="2403">
      <c r="A2403">
        <f>IF(ISBLANK('ENGAGEMENTS 2026'!B2403),"",IF('ENGAGEMENTS 2026'!B2403="DTSI","DCT",'ENGAGEMENTS 2026'!B2403))</f>
        <v/>
      </c>
      <c r="B2403">
        <f>IF(ISBLANK('ENGAGEMENTS 2026'!B2403),"",'ENGAGEMENTS 2026'!C2403)</f>
        <v/>
      </c>
      <c r="C2403">
        <f>IF(ISBLANK('ENGAGEMENTS 2026'!B2403),"",'ENGAGEMENTS 2026'!D2403)</f>
        <v/>
      </c>
      <c r="D2403">
        <f>IF(ISBLANK('ENGAGEMENTS 2026'!B2403),"",'ENGAGEMENTS 2026'!F2403)</f>
        <v/>
      </c>
      <c r="E2403">
        <f>IF(ISBLANK('ENGAGEMENTS 2026'!B2403),"",'ENGAGEMENTS 2026'!H2403)</f>
        <v/>
      </c>
      <c r="F2403">
        <f>IF(ISBLANK('ENGAGEMENTS 2026'!B2403),"",'ENGAGEMENTS 2026'!I2403)</f>
        <v/>
      </c>
      <c r="G2403">
        <f>IF(ISBLANK('ENGAGEMENTS 2026'!B2403),"",'ENGAGEMENTS 2026'!L2403)</f>
        <v/>
      </c>
      <c r="H2403">
        <f>IF(ISBLANK('ENGAGEMENTS 2026'!B2403),"",'ENGAGEMENTS 2026'!AE2403)</f>
        <v/>
      </c>
      <c r="I2403">
        <f>IF(ISBLANK('ENGAGEMENTS 2026'!B2403),"",'ENGAGEMENTS 2026'!G2403)</f>
        <v/>
      </c>
      <c r="J2403" s="275">
        <f>IF(ISBLANK('ENGAGEMENTS 2026'!B2403),"",IF(AND(OR($E2403="INFRUCTUEUX",$E2403="ANNULE"),$C2403="AOO-M"),'ENGAGEMENTS 2026'!O2403,IF($H2403="EN COURS DE PREENGAGEMENT",'ENGAGEMENTS 2026'!N2403,IF($H2403="PREENGAGE",IF($E2403="ATTRIBUE",'ENGAGEMENTS 2026'!AD2403,'ENGAGEMENTS 2026'!N2403),'ENGAGEMENTS 2026'!AD2403))))</f>
        <v/>
      </c>
      <c r="K2403" s="604">
        <f>IF(ISBLANK('ENGAGEMENTS 2026'!V2403),"",'ENGAGEMENTS 2026'!V2403)</f>
        <v/>
      </c>
      <c r="L2403" s="276">
        <f>IF($K2403="","",TODAY()-$K2403)</f>
        <v/>
      </c>
      <c r="M2403">
        <f>IF($A2403="","",IF($H2403="ENGAGE","Engagé",IF(AND($H2403="NON ENGAGE",OR($I2403="INFRUCTUEUX",$I2403="ANNULE")),"Clôturé sans suite","En cours")))</f>
        <v/>
      </c>
      <c r="N2403">
        <f>IF(ISBLANK('ENGAGEMENTS 2026'!B2403),"",'ENGAGEMENTS 2026'!K2403)</f>
        <v/>
      </c>
      <c r="O2403">
        <f>IF(ISBLANK('ENGAGEMENTS 2026'!B2403),"",'ENGAGEMENTS 2026'!L2403)</f>
        <v/>
      </c>
      <c r="P2403">
        <f>IF(ISBLANK('ENGAGEMENTS 2026'!B2403),"",'ENGAGEMENTS 2026'!J2403)</f>
        <v/>
      </c>
      <c r="Q2403">
        <f>IF($A2403="","",IF(OR($E2403="INFRUCTUEUX",$E2403="ANNULE"),$A2403&amp;"|"&amp;(COUNTIFS($A$2:$A2403,$A2403,$E$2:$E2403,"INFRUCTUEUX")+COUNTIFS($A$2:$A2403,$A2403,$E$2:$E2403,"ANNULE")),""))</f>
        <v/>
      </c>
    </row>
    <row r="2404">
      <c r="A2404">
        <f>IF(ISBLANK('ENGAGEMENTS 2026'!B2404),"",IF('ENGAGEMENTS 2026'!B2404="DTSI","DCT",'ENGAGEMENTS 2026'!B2404))</f>
        <v/>
      </c>
      <c r="B2404">
        <f>IF(ISBLANK('ENGAGEMENTS 2026'!B2404),"",'ENGAGEMENTS 2026'!C2404)</f>
        <v/>
      </c>
      <c r="C2404">
        <f>IF(ISBLANK('ENGAGEMENTS 2026'!B2404),"",'ENGAGEMENTS 2026'!D2404)</f>
        <v/>
      </c>
      <c r="D2404">
        <f>IF(ISBLANK('ENGAGEMENTS 2026'!B2404),"",'ENGAGEMENTS 2026'!F2404)</f>
        <v/>
      </c>
      <c r="E2404">
        <f>IF(ISBLANK('ENGAGEMENTS 2026'!B2404),"",'ENGAGEMENTS 2026'!H2404)</f>
        <v/>
      </c>
      <c r="F2404">
        <f>IF(ISBLANK('ENGAGEMENTS 2026'!B2404),"",'ENGAGEMENTS 2026'!I2404)</f>
        <v/>
      </c>
      <c r="G2404">
        <f>IF(ISBLANK('ENGAGEMENTS 2026'!B2404),"",'ENGAGEMENTS 2026'!L2404)</f>
        <v/>
      </c>
      <c r="H2404">
        <f>IF(ISBLANK('ENGAGEMENTS 2026'!B2404),"",'ENGAGEMENTS 2026'!AE2404)</f>
        <v/>
      </c>
      <c r="I2404">
        <f>IF(ISBLANK('ENGAGEMENTS 2026'!B2404),"",'ENGAGEMENTS 2026'!G2404)</f>
        <v/>
      </c>
      <c r="J2404" s="275">
        <f>IF(ISBLANK('ENGAGEMENTS 2026'!B2404),"",IF(AND(OR($E2404="INFRUCTUEUX",$E2404="ANNULE"),$C2404="AOO-M"),'ENGAGEMENTS 2026'!O2404,IF($H2404="EN COURS DE PREENGAGEMENT",'ENGAGEMENTS 2026'!N2404,IF($H2404="PREENGAGE",IF($E2404="ATTRIBUE",'ENGAGEMENTS 2026'!AD2404,'ENGAGEMENTS 2026'!N2404),'ENGAGEMENTS 2026'!AD2404))))</f>
        <v/>
      </c>
      <c r="K2404" s="604">
        <f>IF(ISBLANK('ENGAGEMENTS 2026'!V2404),"",'ENGAGEMENTS 2026'!V2404)</f>
        <v/>
      </c>
      <c r="L2404" s="276">
        <f>IF($K2404="","",TODAY()-$K2404)</f>
        <v/>
      </c>
      <c r="M2404">
        <f>IF($A2404="","",IF($H2404="ENGAGE","Engagé",IF(AND($H2404="NON ENGAGE",OR($I2404="INFRUCTUEUX",$I2404="ANNULE")),"Clôturé sans suite","En cours")))</f>
        <v/>
      </c>
      <c r="N2404">
        <f>IF(ISBLANK('ENGAGEMENTS 2026'!B2404),"",'ENGAGEMENTS 2026'!K2404)</f>
        <v/>
      </c>
      <c r="O2404">
        <f>IF(ISBLANK('ENGAGEMENTS 2026'!B2404),"",'ENGAGEMENTS 2026'!L2404)</f>
        <v/>
      </c>
      <c r="P2404">
        <f>IF(ISBLANK('ENGAGEMENTS 2026'!B2404),"",'ENGAGEMENTS 2026'!J2404)</f>
        <v/>
      </c>
      <c r="Q2404">
        <f>IF($A2404="","",IF(OR($E2404="INFRUCTUEUX",$E2404="ANNULE"),$A2404&amp;"|"&amp;(COUNTIFS($A$2:$A2404,$A2404,$E$2:$E2404,"INFRUCTUEUX")+COUNTIFS($A$2:$A2404,$A2404,$E$2:$E2404,"ANNULE")),""))</f>
        <v/>
      </c>
    </row>
    <row r="2405">
      <c r="A2405">
        <f>IF(ISBLANK('ENGAGEMENTS 2026'!B2405),"",IF('ENGAGEMENTS 2026'!B2405="DTSI","DCT",'ENGAGEMENTS 2026'!B2405))</f>
        <v/>
      </c>
      <c r="B2405">
        <f>IF(ISBLANK('ENGAGEMENTS 2026'!B2405),"",'ENGAGEMENTS 2026'!C2405)</f>
        <v/>
      </c>
      <c r="C2405">
        <f>IF(ISBLANK('ENGAGEMENTS 2026'!B2405),"",'ENGAGEMENTS 2026'!D2405)</f>
        <v/>
      </c>
      <c r="D2405">
        <f>IF(ISBLANK('ENGAGEMENTS 2026'!B2405),"",'ENGAGEMENTS 2026'!F2405)</f>
        <v/>
      </c>
      <c r="E2405">
        <f>IF(ISBLANK('ENGAGEMENTS 2026'!B2405),"",'ENGAGEMENTS 2026'!H2405)</f>
        <v/>
      </c>
      <c r="F2405">
        <f>IF(ISBLANK('ENGAGEMENTS 2026'!B2405),"",'ENGAGEMENTS 2026'!I2405)</f>
        <v/>
      </c>
      <c r="G2405">
        <f>IF(ISBLANK('ENGAGEMENTS 2026'!B2405),"",'ENGAGEMENTS 2026'!L2405)</f>
        <v/>
      </c>
      <c r="H2405">
        <f>IF(ISBLANK('ENGAGEMENTS 2026'!B2405),"",'ENGAGEMENTS 2026'!AE2405)</f>
        <v/>
      </c>
      <c r="I2405">
        <f>IF(ISBLANK('ENGAGEMENTS 2026'!B2405),"",'ENGAGEMENTS 2026'!G2405)</f>
        <v/>
      </c>
      <c r="J2405" s="275">
        <f>IF(ISBLANK('ENGAGEMENTS 2026'!B2405),"",IF(AND(OR($E2405="INFRUCTUEUX",$E2405="ANNULE"),$C2405="AOO-M"),'ENGAGEMENTS 2026'!O2405,IF($H2405="EN COURS DE PREENGAGEMENT",'ENGAGEMENTS 2026'!N2405,IF($H2405="PREENGAGE",IF($E2405="ATTRIBUE",'ENGAGEMENTS 2026'!AD2405,'ENGAGEMENTS 2026'!N2405),'ENGAGEMENTS 2026'!AD2405))))</f>
        <v/>
      </c>
      <c r="K2405" s="604">
        <f>IF(ISBLANK('ENGAGEMENTS 2026'!V2405),"",'ENGAGEMENTS 2026'!V2405)</f>
        <v/>
      </c>
      <c r="L2405" s="276">
        <f>IF($K2405="","",TODAY()-$K2405)</f>
        <v/>
      </c>
      <c r="M2405">
        <f>IF($A2405="","",IF($H2405="ENGAGE","Engagé",IF(AND($H2405="NON ENGAGE",OR($I2405="INFRUCTUEUX",$I2405="ANNULE")),"Clôturé sans suite","En cours")))</f>
        <v/>
      </c>
      <c r="N2405">
        <f>IF(ISBLANK('ENGAGEMENTS 2026'!B2405),"",'ENGAGEMENTS 2026'!K2405)</f>
        <v/>
      </c>
      <c r="O2405">
        <f>IF(ISBLANK('ENGAGEMENTS 2026'!B2405),"",'ENGAGEMENTS 2026'!L2405)</f>
        <v/>
      </c>
      <c r="P2405">
        <f>IF(ISBLANK('ENGAGEMENTS 2026'!B2405),"",'ENGAGEMENTS 2026'!J2405)</f>
        <v/>
      </c>
      <c r="Q2405">
        <f>IF($A2405="","",IF(OR($E2405="INFRUCTUEUX",$E2405="ANNULE"),$A2405&amp;"|"&amp;(COUNTIFS($A$2:$A2405,$A2405,$E$2:$E2405,"INFRUCTUEUX")+COUNTIFS($A$2:$A2405,$A2405,$E$2:$E2405,"ANNULE")),""))</f>
        <v/>
      </c>
    </row>
    <row r="2406">
      <c r="A2406">
        <f>IF(ISBLANK('ENGAGEMENTS 2026'!B2406),"",IF('ENGAGEMENTS 2026'!B2406="DTSI","DCT",'ENGAGEMENTS 2026'!B2406))</f>
        <v/>
      </c>
      <c r="B2406">
        <f>IF(ISBLANK('ENGAGEMENTS 2026'!B2406),"",'ENGAGEMENTS 2026'!C2406)</f>
        <v/>
      </c>
      <c r="C2406">
        <f>IF(ISBLANK('ENGAGEMENTS 2026'!B2406),"",'ENGAGEMENTS 2026'!D2406)</f>
        <v/>
      </c>
      <c r="D2406">
        <f>IF(ISBLANK('ENGAGEMENTS 2026'!B2406),"",'ENGAGEMENTS 2026'!F2406)</f>
        <v/>
      </c>
      <c r="E2406">
        <f>IF(ISBLANK('ENGAGEMENTS 2026'!B2406),"",'ENGAGEMENTS 2026'!H2406)</f>
        <v/>
      </c>
      <c r="F2406">
        <f>IF(ISBLANK('ENGAGEMENTS 2026'!B2406),"",'ENGAGEMENTS 2026'!I2406)</f>
        <v/>
      </c>
      <c r="G2406">
        <f>IF(ISBLANK('ENGAGEMENTS 2026'!B2406),"",'ENGAGEMENTS 2026'!L2406)</f>
        <v/>
      </c>
      <c r="H2406">
        <f>IF(ISBLANK('ENGAGEMENTS 2026'!B2406),"",'ENGAGEMENTS 2026'!AE2406)</f>
        <v/>
      </c>
      <c r="I2406">
        <f>IF(ISBLANK('ENGAGEMENTS 2026'!B2406),"",'ENGAGEMENTS 2026'!G2406)</f>
        <v/>
      </c>
      <c r="J2406" s="275">
        <f>IF(ISBLANK('ENGAGEMENTS 2026'!B2406),"",IF(AND(OR($E2406="INFRUCTUEUX",$E2406="ANNULE"),$C2406="AOO-M"),'ENGAGEMENTS 2026'!O2406,IF($H2406="EN COURS DE PREENGAGEMENT",'ENGAGEMENTS 2026'!N2406,IF($H2406="PREENGAGE",IF($E2406="ATTRIBUE",'ENGAGEMENTS 2026'!AD2406,'ENGAGEMENTS 2026'!N2406),'ENGAGEMENTS 2026'!AD2406))))</f>
        <v/>
      </c>
      <c r="K2406" s="604">
        <f>IF(ISBLANK('ENGAGEMENTS 2026'!V2406),"",'ENGAGEMENTS 2026'!V2406)</f>
        <v/>
      </c>
      <c r="L2406" s="276">
        <f>IF($K2406="","",TODAY()-$K2406)</f>
        <v/>
      </c>
      <c r="M2406">
        <f>IF($A2406="","",IF($H2406="ENGAGE","Engagé",IF(AND($H2406="NON ENGAGE",OR($I2406="INFRUCTUEUX",$I2406="ANNULE")),"Clôturé sans suite","En cours")))</f>
        <v/>
      </c>
      <c r="N2406">
        <f>IF(ISBLANK('ENGAGEMENTS 2026'!B2406),"",'ENGAGEMENTS 2026'!K2406)</f>
        <v/>
      </c>
      <c r="O2406">
        <f>IF(ISBLANK('ENGAGEMENTS 2026'!B2406),"",'ENGAGEMENTS 2026'!L2406)</f>
        <v/>
      </c>
      <c r="P2406">
        <f>IF(ISBLANK('ENGAGEMENTS 2026'!B2406),"",'ENGAGEMENTS 2026'!J2406)</f>
        <v/>
      </c>
      <c r="Q2406">
        <f>IF($A2406="","",IF(OR($E2406="INFRUCTUEUX",$E2406="ANNULE"),$A2406&amp;"|"&amp;(COUNTIFS($A$2:$A2406,$A2406,$E$2:$E2406,"INFRUCTUEUX")+COUNTIFS($A$2:$A2406,$A2406,$E$2:$E2406,"ANNULE")),""))</f>
        <v/>
      </c>
    </row>
    <row r="2407">
      <c r="A2407">
        <f>IF(ISBLANK('ENGAGEMENTS 2026'!B2407),"",IF('ENGAGEMENTS 2026'!B2407="DTSI","DCT",'ENGAGEMENTS 2026'!B2407))</f>
        <v/>
      </c>
      <c r="B2407">
        <f>IF(ISBLANK('ENGAGEMENTS 2026'!B2407),"",'ENGAGEMENTS 2026'!C2407)</f>
        <v/>
      </c>
      <c r="C2407">
        <f>IF(ISBLANK('ENGAGEMENTS 2026'!B2407),"",'ENGAGEMENTS 2026'!D2407)</f>
        <v/>
      </c>
      <c r="D2407">
        <f>IF(ISBLANK('ENGAGEMENTS 2026'!B2407),"",'ENGAGEMENTS 2026'!F2407)</f>
        <v/>
      </c>
      <c r="E2407">
        <f>IF(ISBLANK('ENGAGEMENTS 2026'!B2407),"",'ENGAGEMENTS 2026'!H2407)</f>
        <v/>
      </c>
      <c r="F2407">
        <f>IF(ISBLANK('ENGAGEMENTS 2026'!B2407),"",'ENGAGEMENTS 2026'!I2407)</f>
        <v/>
      </c>
      <c r="G2407">
        <f>IF(ISBLANK('ENGAGEMENTS 2026'!B2407),"",'ENGAGEMENTS 2026'!L2407)</f>
        <v/>
      </c>
      <c r="H2407">
        <f>IF(ISBLANK('ENGAGEMENTS 2026'!B2407),"",'ENGAGEMENTS 2026'!AE2407)</f>
        <v/>
      </c>
      <c r="I2407">
        <f>IF(ISBLANK('ENGAGEMENTS 2026'!B2407),"",'ENGAGEMENTS 2026'!G2407)</f>
        <v/>
      </c>
      <c r="J2407" s="275">
        <f>IF(ISBLANK('ENGAGEMENTS 2026'!B2407),"",IF(AND(OR($E2407="INFRUCTUEUX",$E2407="ANNULE"),$C2407="AOO-M"),'ENGAGEMENTS 2026'!O2407,IF($H2407="EN COURS DE PREENGAGEMENT",'ENGAGEMENTS 2026'!N2407,IF($H2407="PREENGAGE",IF($E2407="ATTRIBUE",'ENGAGEMENTS 2026'!AD2407,'ENGAGEMENTS 2026'!N2407),'ENGAGEMENTS 2026'!AD2407))))</f>
        <v/>
      </c>
      <c r="K2407" s="604">
        <f>IF(ISBLANK('ENGAGEMENTS 2026'!V2407),"",'ENGAGEMENTS 2026'!V2407)</f>
        <v/>
      </c>
      <c r="L2407" s="276">
        <f>IF($K2407="","",TODAY()-$K2407)</f>
        <v/>
      </c>
      <c r="M2407">
        <f>IF($A2407="","",IF($H2407="ENGAGE","Engagé",IF(AND($H2407="NON ENGAGE",OR($I2407="INFRUCTUEUX",$I2407="ANNULE")),"Clôturé sans suite","En cours")))</f>
        <v/>
      </c>
      <c r="N2407">
        <f>IF(ISBLANK('ENGAGEMENTS 2026'!B2407),"",'ENGAGEMENTS 2026'!K2407)</f>
        <v/>
      </c>
      <c r="O2407">
        <f>IF(ISBLANK('ENGAGEMENTS 2026'!B2407),"",'ENGAGEMENTS 2026'!L2407)</f>
        <v/>
      </c>
      <c r="P2407">
        <f>IF(ISBLANK('ENGAGEMENTS 2026'!B2407),"",'ENGAGEMENTS 2026'!J2407)</f>
        <v/>
      </c>
      <c r="Q2407">
        <f>IF($A2407="","",IF(OR($E2407="INFRUCTUEUX",$E2407="ANNULE"),$A2407&amp;"|"&amp;(COUNTIFS($A$2:$A2407,$A2407,$E$2:$E2407,"INFRUCTUEUX")+COUNTIFS($A$2:$A2407,$A2407,$E$2:$E2407,"ANNULE")),""))</f>
        <v/>
      </c>
    </row>
    <row r="2408">
      <c r="A2408">
        <f>IF(ISBLANK('ENGAGEMENTS 2026'!B2408),"",IF('ENGAGEMENTS 2026'!B2408="DTSI","DCT",'ENGAGEMENTS 2026'!B2408))</f>
        <v/>
      </c>
      <c r="B2408">
        <f>IF(ISBLANK('ENGAGEMENTS 2026'!B2408),"",'ENGAGEMENTS 2026'!C2408)</f>
        <v/>
      </c>
      <c r="C2408">
        <f>IF(ISBLANK('ENGAGEMENTS 2026'!B2408),"",'ENGAGEMENTS 2026'!D2408)</f>
        <v/>
      </c>
      <c r="D2408">
        <f>IF(ISBLANK('ENGAGEMENTS 2026'!B2408),"",'ENGAGEMENTS 2026'!F2408)</f>
        <v/>
      </c>
      <c r="E2408">
        <f>IF(ISBLANK('ENGAGEMENTS 2026'!B2408),"",'ENGAGEMENTS 2026'!H2408)</f>
        <v/>
      </c>
      <c r="F2408">
        <f>IF(ISBLANK('ENGAGEMENTS 2026'!B2408),"",'ENGAGEMENTS 2026'!I2408)</f>
        <v/>
      </c>
      <c r="G2408">
        <f>IF(ISBLANK('ENGAGEMENTS 2026'!B2408),"",'ENGAGEMENTS 2026'!L2408)</f>
        <v/>
      </c>
      <c r="H2408">
        <f>IF(ISBLANK('ENGAGEMENTS 2026'!B2408),"",'ENGAGEMENTS 2026'!AE2408)</f>
        <v/>
      </c>
      <c r="I2408">
        <f>IF(ISBLANK('ENGAGEMENTS 2026'!B2408),"",'ENGAGEMENTS 2026'!G2408)</f>
        <v/>
      </c>
      <c r="J2408" s="275">
        <f>IF(ISBLANK('ENGAGEMENTS 2026'!B2408),"",IF(AND(OR($E2408="INFRUCTUEUX",$E2408="ANNULE"),$C2408="AOO-M"),'ENGAGEMENTS 2026'!O2408,IF($H2408="EN COURS DE PREENGAGEMENT",'ENGAGEMENTS 2026'!N2408,IF($H2408="PREENGAGE",IF($E2408="ATTRIBUE",'ENGAGEMENTS 2026'!AD2408,'ENGAGEMENTS 2026'!N2408),'ENGAGEMENTS 2026'!AD2408))))</f>
        <v/>
      </c>
      <c r="K2408" s="604">
        <f>IF(ISBLANK('ENGAGEMENTS 2026'!V2408),"",'ENGAGEMENTS 2026'!V2408)</f>
        <v/>
      </c>
      <c r="L2408" s="276">
        <f>IF($K2408="","",TODAY()-$K2408)</f>
        <v/>
      </c>
      <c r="M2408">
        <f>IF($A2408="","",IF($H2408="ENGAGE","Engagé",IF(AND($H2408="NON ENGAGE",OR($I2408="INFRUCTUEUX",$I2408="ANNULE")),"Clôturé sans suite","En cours")))</f>
        <v/>
      </c>
      <c r="N2408">
        <f>IF(ISBLANK('ENGAGEMENTS 2026'!B2408),"",'ENGAGEMENTS 2026'!K2408)</f>
        <v/>
      </c>
      <c r="O2408">
        <f>IF(ISBLANK('ENGAGEMENTS 2026'!B2408),"",'ENGAGEMENTS 2026'!L2408)</f>
        <v/>
      </c>
      <c r="P2408">
        <f>IF(ISBLANK('ENGAGEMENTS 2026'!B2408),"",'ENGAGEMENTS 2026'!J2408)</f>
        <v/>
      </c>
      <c r="Q2408">
        <f>IF($A2408="","",IF(OR($E2408="INFRUCTUEUX",$E2408="ANNULE"),$A2408&amp;"|"&amp;(COUNTIFS($A$2:$A2408,$A2408,$E$2:$E2408,"INFRUCTUEUX")+COUNTIFS($A$2:$A2408,$A2408,$E$2:$E2408,"ANNULE")),""))</f>
        <v/>
      </c>
    </row>
    <row r="2409">
      <c r="A2409">
        <f>IF(ISBLANK('ENGAGEMENTS 2026'!B2409),"",IF('ENGAGEMENTS 2026'!B2409="DTSI","DCT",'ENGAGEMENTS 2026'!B2409))</f>
        <v/>
      </c>
      <c r="B2409">
        <f>IF(ISBLANK('ENGAGEMENTS 2026'!B2409),"",'ENGAGEMENTS 2026'!C2409)</f>
        <v/>
      </c>
      <c r="C2409">
        <f>IF(ISBLANK('ENGAGEMENTS 2026'!B2409),"",'ENGAGEMENTS 2026'!D2409)</f>
        <v/>
      </c>
      <c r="D2409">
        <f>IF(ISBLANK('ENGAGEMENTS 2026'!B2409),"",'ENGAGEMENTS 2026'!F2409)</f>
        <v/>
      </c>
      <c r="E2409">
        <f>IF(ISBLANK('ENGAGEMENTS 2026'!B2409),"",'ENGAGEMENTS 2026'!H2409)</f>
        <v/>
      </c>
      <c r="F2409">
        <f>IF(ISBLANK('ENGAGEMENTS 2026'!B2409),"",'ENGAGEMENTS 2026'!I2409)</f>
        <v/>
      </c>
      <c r="G2409">
        <f>IF(ISBLANK('ENGAGEMENTS 2026'!B2409),"",'ENGAGEMENTS 2026'!L2409)</f>
        <v/>
      </c>
      <c r="H2409">
        <f>IF(ISBLANK('ENGAGEMENTS 2026'!B2409),"",'ENGAGEMENTS 2026'!AE2409)</f>
        <v/>
      </c>
      <c r="I2409">
        <f>IF(ISBLANK('ENGAGEMENTS 2026'!B2409),"",'ENGAGEMENTS 2026'!G2409)</f>
        <v/>
      </c>
      <c r="J2409" s="275">
        <f>IF(ISBLANK('ENGAGEMENTS 2026'!B2409),"",IF(AND(OR($E2409="INFRUCTUEUX",$E2409="ANNULE"),$C2409="AOO-M"),'ENGAGEMENTS 2026'!O2409,IF($H2409="EN COURS DE PREENGAGEMENT",'ENGAGEMENTS 2026'!N2409,IF($H2409="PREENGAGE",IF($E2409="ATTRIBUE",'ENGAGEMENTS 2026'!AD2409,'ENGAGEMENTS 2026'!N2409),'ENGAGEMENTS 2026'!AD2409))))</f>
        <v/>
      </c>
      <c r="K2409" s="604">
        <f>IF(ISBLANK('ENGAGEMENTS 2026'!V2409),"",'ENGAGEMENTS 2026'!V2409)</f>
        <v/>
      </c>
      <c r="L2409" s="276">
        <f>IF($K2409="","",TODAY()-$K2409)</f>
        <v/>
      </c>
      <c r="M2409">
        <f>IF($A2409="","",IF($H2409="ENGAGE","Engagé",IF(AND($H2409="NON ENGAGE",OR($I2409="INFRUCTUEUX",$I2409="ANNULE")),"Clôturé sans suite","En cours")))</f>
        <v/>
      </c>
      <c r="N2409">
        <f>IF(ISBLANK('ENGAGEMENTS 2026'!B2409),"",'ENGAGEMENTS 2026'!K2409)</f>
        <v/>
      </c>
      <c r="O2409">
        <f>IF(ISBLANK('ENGAGEMENTS 2026'!B2409),"",'ENGAGEMENTS 2026'!L2409)</f>
        <v/>
      </c>
      <c r="P2409">
        <f>IF(ISBLANK('ENGAGEMENTS 2026'!B2409),"",'ENGAGEMENTS 2026'!J2409)</f>
        <v/>
      </c>
      <c r="Q2409">
        <f>IF($A2409="","",IF(OR($E2409="INFRUCTUEUX",$E2409="ANNULE"),$A2409&amp;"|"&amp;(COUNTIFS($A$2:$A2409,$A2409,$E$2:$E2409,"INFRUCTUEUX")+COUNTIFS($A$2:$A2409,$A2409,$E$2:$E2409,"ANNULE")),""))</f>
        <v/>
      </c>
    </row>
    <row r="2410">
      <c r="A2410">
        <f>IF(ISBLANK('ENGAGEMENTS 2026'!B2410),"",IF('ENGAGEMENTS 2026'!B2410="DTSI","DCT",'ENGAGEMENTS 2026'!B2410))</f>
        <v/>
      </c>
      <c r="B2410">
        <f>IF(ISBLANK('ENGAGEMENTS 2026'!B2410),"",'ENGAGEMENTS 2026'!C2410)</f>
        <v/>
      </c>
      <c r="C2410">
        <f>IF(ISBLANK('ENGAGEMENTS 2026'!B2410),"",'ENGAGEMENTS 2026'!D2410)</f>
        <v/>
      </c>
      <c r="D2410">
        <f>IF(ISBLANK('ENGAGEMENTS 2026'!B2410),"",'ENGAGEMENTS 2026'!F2410)</f>
        <v/>
      </c>
      <c r="E2410">
        <f>IF(ISBLANK('ENGAGEMENTS 2026'!B2410),"",'ENGAGEMENTS 2026'!H2410)</f>
        <v/>
      </c>
      <c r="F2410">
        <f>IF(ISBLANK('ENGAGEMENTS 2026'!B2410),"",'ENGAGEMENTS 2026'!I2410)</f>
        <v/>
      </c>
      <c r="G2410">
        <f>IF(ISBLANK('ENGAGEMENTS 2026'!B2410),"",'ENGAGEMENTS 2026'!L2410)</f>
        <v/>
      </c>
      <c r="H2410">
        <f>IF(ISBLANK('ENGAGEMENTS 2026'!B2410),"",'ENGAGEMENTS 2026'!AE2410)</f>
        <v/>
      </c>
      <c r="I2410">
        <f>IF(ISBLANK('ENGAGEMENTS 2026'!B2410),"",'ENGAGEMENTS 2026'!G2410)</f>
        <v/>
      </c>
      <c r="J2410" s="275">
        <f>IF(ISBLANK('ENGAGEMENTS 2026'!B2410),"",IF(AND(OR($E2410="INFRUCTUEUX",$E2410="ANNULE"),$C2410="AOO-M"),'ENGAGEMENTS 2026'!O2410,IF($H2410="EN COURS DE PREENGAGEMENT",'ENGAGEMENTS 2026'!N2410,IF($H2410="PREENGAGE",IF($E2410="ATTRIBUE",'ENGAGEMENTS 2026'!AD2410,'ENGAGEMENTS 2026'!N2410),'ENGAGEMENTS 2026'!AD2410))))</f>
        <v/>
      </c>
      <c r="K2410" s="604">
        <f>IF(ISBLANK('ENGAGEMENTS 2026'!V2410),"",'ENGAGEMENTS 2026'!V2410)</f>
        <v/>
      </c>
      <c r="L2410" s="276">
        <f>IF($K2410="","",TODAY()-$K2410)</f>
        <v/>
      </c>
      <c r="M2410">
        <f>IF($A2410="","",IF($H2410="ENGAGE","Engagé",IF(AND($H2410="NON ENGAGE",OR($I2410="INFRUCTUEUX",$I2410="ANNULE")),"Clôturé sans suite","En cours")))</f>
        <v/>
      </c>
      <c r="N2410">
        <f>IF(ISBLANK('ENGAGEMENTS 2026'!B2410),"",'ENGAGEMENTS 2026'!K2410)</f>
        <v/>
      </c>
      <c r="O2410">
        <f>IF(ISBLANK('ENGAGEMENTS 2026'!B2410),"",'ENGAGEMENTS 2026'!L2410)</f>
        <v/>
      </c>
      <c r="P2410">
        <f>IF(ISBLANK('ENGAGEMENTS 2026'!B2410),"",'ENGAGEMENTS 2026'!J2410)</f>
        <v/>
      </c>
      <c r="Q2410">
        <f>IF($A2410="","",IF(OR($E2410="INFRUCTUEUX",$E2410="ANNULE"),$A2410&amp;"|"&amp;(COUNTIFS($A$2:$A2410,$A2410,$E$2:$E2410,"INFRUCTUEUX")+COUNTIFS($A$2:$A2410,$A2410,$E$2:$E2410,"ANNULE")),""))</f>
        <v/>
      </c>
    </row>
    <row r="2411">
      <c r="A2411">
        <f>IF(ISBLANK('ENGAGEMENTS 2026'!B2411),"",IF('ENGAGEMENTS 2026'!B2411="DTSI","DCT",'ENGAGEMENTS 2026'!B2411))</f>
        <v/>
      </c>
      <c r="B2411">
        <f>IF(ISBLANK('ENGAGEMENTS 2026'!B2411),"",'ENGAGEMENTS 2026'!C2411)</f>
        <v/>
      </c>
      <c r="C2411">
        <f>IF(ISBLANK('ENGAGEMENTS 2026'!B2411),"",'ENGAGEMENTS 2026'!D2411)</f>
        <v/>
      </c>
      <c r="D2411">
        <f>IF(ISBLANK('ENGAGEMENTS 2026'!B2411),"",'ENGAGEMENTS 2026'!F2411)</f>
        <v/>
      </c>
      <c r="E2411">
        <f>IF(ISBLANK('ENGAGEMENTS 2026'!B2411),"",'ENGAGEMENTS 2026'!H2411)</f>
        <v/>
      </c>
      <c r="F2411">
        <f>IF(ISBLANK('ENGAGEMENTS 2026'!B2411),"",'ENGAGEMENTS 2026'!I2411)</f>
        <v/>
      </c>
      <c r="G2411">
        <f>IF(ISBLANK('ENGAGEMENTS 2026'!B2411),"",'ENGAGEMENTS 2026'!L2411)</f>
        <v/>
      </c>
      <c r="H2411">
        <f>IF(ISBLANK('ENGAGEMENTS 2026'!B2411),"",'ENGAGEMENTS 2026'!AE2411)</f>
        <v/>
      </c>
      <c r="I2411">
        <f>IF(ISBLANK('ENGAGEMENTS 2026'!B2411),"",'ENGAGEMENTS 2026'!G2411)</f>
        <v/>
      </c>
      <c r="J2411" s="275">
        <f>IF(ISBLANK('ENGAGEMENTS 2026'!B2411),"",IF(AND(OR($E2411="INFRUCTUEUX",$E2411="ANNULE"),$C2411="AOO-M"),'ENGAGEMENTS 2026'!O2411,IF($H2411="EN COURS DE PREENGAGEMENT",'ENGAGEMENTS 2026'!N2411,IF($H2411="PREENGAGE",IF($E2411="ATTRIBUE",'ENGAGEMENTS 2026'!AD2411,'ENGAGEMENTS 2026'!N2411),'ENGAGEMENTS 2026'!AD2411))))</f>
        <v/>
      </c>
      <c r="K2411" s="604">
        <f>IF(ISBLANK('ENGAGEMENTS 2026'!V2411),"",'ENGAGEMENTS 2026'!V2411)</f>
        <v/>
      </c>
      <c r="L2411" s="276">
        <f>IF($K2411="","",TODAY()-$K2411)</f>
        <v/>
      </c>
      <c r="M2411">
        <f>IF($A2411="","",IF($H2411="ENGAGE","Engagé",IF(AND($H2411="NON ENGAGE",OR($I2411="INFRUCTUEUX",$I2411="ANNULE")),"Clôturé sans suite","En cours")))</f>
        <v/>
      </c>
      <c r="N2411">
        <f>IF(ISBLANK('ENGAGEMENTS 2026'!B2411),"",'ENGAGEMENTS 2026'!K2411)</f>
        <v/>
      </c>
      <c r="O2411">
        <f>IF(ISBLANK('ENGAGEMENTS 2026'!B2411),"",'ENGAGEMENTS 2026'!L2411)</f>
        <v/>
      </c>
      <c r="P2411">
        <f>IF(ISBLANK('ENGAGEMENTS 2026'!B2411),"",'ENGAGEMENTS 2026'!J2411)</f>
        <v/>
      </c>
      <c r="Q2411">
        <f>IF($A2411="","",IF(OR($E2411="INFRUCTUEUX",$E2411="ANNULE"),$A2411&amp;"|"&amp;(COUNTIFS($A$2:$A2411,$A2411,$E$2:$E2411,"INFRUCTUEUX")+COUNTIFS($A$2:$A2411,$A2411,$E$2:$E2411,"ANNULE")),""))</f>
        <v/>
      </c>
    </row>
    <row r="2412">
      <c r="A2412">
        <f>IF(ISBLANK('ENGAGEMENTS 2026'!B2412),"",IF('ENGAGEMENTS 2026'!B2412="DTSI","DCT",'ENGAGEMENTS 2026'!B2412))</f>
        <v/>
      </c>
      <c r="B2412">
        <f>IF(ISBLANK('ENGAGEMENTS 2026'!B2412),"",'ENGAGEMENTS 2026'!C2412)</f>
        <v/>
      </c>
      <c r="C2412">
        <f>IF(ISBLANK('ENGAGEMENTS 2026'!B2412),"",'ENGAGEMENTS 2026'!D2412)</f>
        <v/>
      </c>
      <c r="D2412">
        <f>IF(ISBLANK('ENGAGEMENTS 2026'!B2412),"",'ENGAGEMENTS 2026'!F2412)</f>
        <v/>
      </c>
      <c r="E2412">
        <f>IF(ISBLANK('ENGAGEMENTS 2026'!B2412),"",'ENGAGEMENTS 2026'!H2412)</f>
        <v/>
      </c>
      <c r="F2412">
        <f>IF(ISBLANK('ENGAGEMENTS 2026'!B2412),"",'ENGAGEMENTS 2026'!I2412)</f>
        <v/>
      </c>
      <c r="G2412">
        <f>IF(ISBLANK('ENGAGEMENTS 2026'!B2412),"",'ENGAGEMENTS 2026'!L2412)</f>
        <v/>
      </c>
      <c r="H2412">
        <f>IF(ISBLANK('ENGAGEMENTS 2026'!B2412),"",'ENGAGEMENTS 2026'!AE2412)</f>
        <v/>
      </c>
      <c r="I2412">
        <f>IF(ISBLANK('ENGAGEMENTS 2026'!B2412),"",'ENGAGEMENTS 2026'!G2412)</f>
        <v/>
      </c>
      <c r="J2412" s="275">
        <f>IF(ISBLANK('ENGAGEMENTS 2026'!B2412),"",IF(AND(OR($E2412="INFRUCTUEUX",$E2412="ANNULE"),$C2412="AOO-M"),'ENGAGEMENTS 2026'!O2412,IF($H2412="EN COURS DE PREENGAGEMENT",'ENGAGEMENTS 2026'!N2412,IF($H2412="PREENGAGE",IF($E2412="ATTRIBUE",'ENGAGEMENTS 2026'!AD2412,'ENGAGEMENTS 2026'!N2412),'ENGAGEMENTS 2026'!AD2412))))</f>
        <v/>
      </c>
      <c r="K2412" s="604">
        <f>IF(ISBLANK('ENGAGEMENTS 2026'!V2412),"",'ENGAGEMENTS 2026'!V2412)</f>
        <v/>
      </c>
      <c r="L2412" s="276">
        <f>IF($K2412="","",TODAY()-$K2412)</f>
        <v/>
      </c>
      <c r="M2412">
        <f>IF($A2412="","",IF($H2412="ENGAGE","Engagé",IF(AND($H2412="NON ENGAGE",OR($I2412="INFRUCTUEUX",$I2412="ANNULE")),"Clôturé sans suite","En cours")))</f>
        <v/>
      </c>
      <c r="N2412">
        <f>IF(ISBLANK('ENGAGEMENTS 2026'!B2412),"",'ENGAGEMENTS 2026'!K2412)</f>
        <v/>
      </c>
      <c r="O2412">
        <f>IF(ISBLANK('ENGAGEMENTS 2026'!B2412),"",'ENGAGEMENTS 2026'!L2412)</f>
        <v/>
      </c>
      <c r="P2412">
        <f>IF(ISBLANK('ENGAGEMENTS 2026'!B2412),"",'ENGAGEMENTS 2026'!J2412)</f>
        <v/>
      </c>
      <c r="Q2412">
        <f>IF($A2412="","",IF(OR($E2412="INFRUCTUEUX",$E2412="ANNULE"),$A2412&amp;"|"&amp;(COUNTIFS($A$2:$A2412,$A2412,$E$2:$E2412,"INFRUCTUEUX")+COUNTIFS($A$2:$A2412,$A2412,$E$2:$E2412,"ANNULE")),""))</f>
        <v/>
      </c>
    </row>
    <row r="2413">
      <c r="A2413">
        <f>IF(ISBLANK('ENGAGEMENTS 2026'!B2413),"",IF('ENGAGEMENTS 2026'!B2413="DTSI","DCT",'ENGAGEMENTS 2026'!B2413))</f>
        <v/>
      </c>
      <c r="B2413">
        <f>IF(ISBLANK('ENGAGEMENTS 2026'!B2413),"",'ENGAGEMENTS 2026'!C2413)</f>
        <v/>
      </c>
      <c r="C2413">
        <f>IF(ISBLANK('ENGAGEMENTS 2026'!B2413),"",'ENGAGEMENTS 2026'!D2413)</f>
        <v/>
      </c>
      <c r="D2413">
        <f>IF(ISBLANK('ENGAGEMENTS 2026'!B2413),"",'ENGAGEMENTS 2026'!F2413)</f>
        <v/>
      </c>
      <c r="E2413">
        <f>IF(ISBLANK('ENGAGEMENTS 2026'!B2413),"",'ENGAGEMENTS 2026'!H2413)</f>
        <v/>
      </c>
      <c r="F2413">
        <f>IF(ISBLANK('ENGAGEMENTS 2026'!B2413),"",'ENGAGEMENTS 2026'!I2413)</f>
        <v/>
      </c>
      <c r="G2413">
        <f>IF(ISBLANK('ENGAGEMENTS 2026'!B2413),"",'ENGAGEMENTS 2026'!L2413)</f>
        <v/>
      </c>
      <c r="H2413">
        <f>IF(ISBLANK('ENGAGEMENTS 2026'!B2413),"",'ENGAGEMENTS 2026'!AE2413)</f>
        <v/>
      </c>
      <c r="I2413">
        <f>IF(ISBLANK('ENGAGEMENTS 2026'!B2413),"",'ENGAGEMENTS 2026'!G2413)</f>
        <v/>
      </c>
      <c r="J2413" s="275">
        <f>IF(ISBLANK('ENGAGEMENTS 2026'!B2413),"",IF(AND(OR($E2413="INFRUCTUEUX",$E2413="ANNULE"),$C2413="AOO-M"),'ENGAGEMENTS 2026'!O2413,IF($H2413="EN COURS DE PREENGAGEMENT",'ENGAGEMENTS 2026'!N2413,IF($H2413="PREENGAGE",IF($E2413="ATTRIBUE",'ENGAGEMENTS 2026'!AD2413,'ENGAGEMENTS 2026'!N2413),'ENGAGEMENTS 2026'!AD2413))))</f>
        <v/>
      </c>
      <c r="K2413" s="604">
        <f>IF(ISBLANK('ENGAGEMENTS 2026'!V2413),"",'ENGAGEMENTS 2026'!V2413)</f>
        <v/>
      </c>
      <c r="L2413" s="276">
        <f>IF($K2413="","",TODAY()-$K2413)</f>
        <v/>
      </c>
      <c r="M2413">
        <f>IF($A2413="","",IF($H2413="ENGAGE","Engagé",IF(AND($H2413="NON ENGAGE",OR($I2413="INFRUCTUEUX",$I2413="ANNULE")),"Clôturé sans suite","En cours")))</f>
        <v/>
      </c>
      <c r="N2413">
        <f>IF(ISBLANK('ENGAGEMENTS 2026'!B2413),"",'ENGAGEMENTS 2026'!K2413)</f>
        <v/>
      </c>
      <c r="O2413">
        <f>IF(ISBLANK('ENGAGEMENTS 2026'!B2413),"",'ENGAGEMENTS 2026'!L2413)</f>
        <v/>
      </c>
      <c r="P2413">
        <f>IF(ISBLANK('ENGAGEMENTS 2026'!B2413),"",'ENGAGEMENTS 2026'!J2413)</f>
        <v/>
      </c>
      <c r="Q2413">
        <f>IF($A2413="","",IF(OR($E2413="INFRUCTUEUX",$E2413="ANNULE"),$A2413&amp;"|"&amp;(COUNTIFS($A$2:$A2413,$A2413,$E$2:$E2413,"INFRUCTUEUX")+COUNTIFS($A$2:$A2413,$A2413,$E$2:$E2413,"ANNULE")),""))</f>
        <v/>
      </c>
    </row>
    <row r="2414">
      <c r="A2414">
        <f>IF(ISBLANK('ENGAGEMENTS 2026'!B2414),"",IF('ENGAGEMENTS 2026'!B2414="DTSI","DCT",'ENGAGEMENTS 2026'!B2414))</f>
        <v/>
      </c>
      <c r="B2414">
        <f>IF(ISBLANK('ENGAGEMENTS 2026'!B2414),"",'ENGAGEMENTS 2026'!C2414)</f>
        <v/>
      </c>
      <c r="C2414">
        <f>IF(ISBLANK('ENGAGEMENTS 2026'!B2414),"",'ENGAGEMENTS 2026'!D2414)</f>
        <v/>
      </c>
      <c r="D2414">
        <f>IF(ISBLANK('ENGAGEMENTS 2026'!B2414),"",'ENGAGEMENTS 2026'!F2414)</f>
        <v/>
      </c>
      <c r="E2414">
        <f>IF(ISBLANK('ENGAGEMENTS 2026'!B2414),"",'ENGAGEMENTS 2026'!H2414)</f>
        <v/>
      </c>
      <c r="F2414">
        <f>IF(ISBLANK('ENGAGEMENTS 2026'!B2414),"",'ENGAGEMENTS 2026'!I2414)</f>
        <v/>
      </c>
      <c r="G2414">
        <f>IF(ISBLANK('ENGAGEMENTS 2026'!B2414),"",'ENGAGEMENTS 2026'!L2414)</f>
        <v/>
      </c>
      <c r="H2414">
        <f>IF(ISBLANK('ENGAGEMENTS 2026'!B2414),"",'ENGAGEMENTS 2026'!AE2414)</f>
        <v/>
      </c>
      <c r="I2414">
        <f>IF(ISBLANK('ENGAGEMENTS 2026'!B2414),"",'ENGAGEMENTS 2026'!G2414)</f>
        <v/>
      </c>
      <c r="J2414" s="275">
        <f>IF(ISBLANK('ENGAGEMENTS 2026'!B2414),"",IF(AND(OR($E2414="INFRUCTUEUX",$E2414="ANNULE"),$C2414="AOO-M"),'ENGAGEMENTS 2026'!O2414,IF($H2414="EN COURS DE PREENGAGEMENT",'ENGAGEMENTS 2026'!N2414,IF($H2414="PREENGAGE",IF($E2414="ATTRIBUE",'ENGAGEMENTS 2026'!AD2414,'ENGAGEMENTS 2026'!N2414),'ENGAGEMENTS 2026'!AD2414))))</f>
        <v/>
      </c>
      <c r="K2414" s="604">
        <f>IF(ISBLANK('ENGAGEMENTS 2026'!V2414),"",'ENGAGEMENTS 2026'!V2414)</f>
        <v/>
      </c>
      <c r="L2414" s="276">
        <f>IF($K2414="","",TODAY()-$K2414)</f>
        <v/>
      </c>
      <c r="M2414">
        <f>IF($A2414="","",IF($H2414="ENGAGE","Engagé",IF(AND($H2414="NON ENGAGE",OR($I2414="INFRUCTUEUX",$I2414="ANNULE")),"Clôturé sans suite","En cours")))</f>
        <v/>
      </c>
      <c r="N2414">
        <f>IF(ISBLANK('ENGAGEMENTS 2026'!B2414),"",'ENGAGEMENTS 2026'!K2414)</f>
        <v/>
      </c>
      <c r="O2414">
        <f>IF(ISBLANK('ENGAGEMENTS 2026'!B2414),"",'ENGAGEMENTS 2026'!L2414)</f>
        <v/>
      </c>
      <c r="P2414">
        <f>IF(ISBLANK('ENGAGEMENTS 2026'!B2414),"",'ENGAGEMENTS 2026'!J2414)</f>
        <v/>
      </c>
      <c r="Q2414">
        <f>IF($A2414="","",IF(OR($E2414="INFRUCTUEUX",$E2414="ANNULE"),$A2414&amp;"|"&amp;(COUNTIFS($A$2:$A2414,$A2414,$E$2:$E2414,"INFRUCTUEUX")+COUNTIFS($A$2:$A2414,$A2414,$E$2:$E2414,"ANNULE")),""))</f>
        <v/>
      </c>
    </row>
    <row r="2415">
      <c r="A2415">
        <f>IF(ISBLANK('ENGAGEMENTS 2026'!B2415),"",IF('ENGAGEMENTS 2026'!B2415="DTSI","DCT",'ENGAGEMENTS 2026'!B2415))</f>
        <v/>
      </c>
      <c r="B2415">
        <f>IF(ISBLANK('ENGAGEMENTS 2026'!B2415),"",'ENGAGEMENTS 2026'!C2415)</f>
        <v/>
      </c>
      <c r="C2415">
        <f>IF(ISBLANK('ENGAGEMENTS 2026'!B2415),"",'ENGAGEMENTS 2026'!D2415)</f>
        <v/>
      </c>
      <c r="D2415">
        <f>IF(ISBLANK('ENGAGEMENTS 2026'!B2415),"",'ENGAGEMENTS 2026'!F2415)</f>
        <v/>
      </c>
      <c r="E2415">
        <f>IF(ISBLANK('ENGAGEMENTS 2026'!B2415),"",'ENGAGEMENTS 2026'!H2415)</f>
        <v/>
      </c>
      <c r="F2415">
        <f>IF(ISBLANK('ENGAGEMENTS 2026'!B2415),"",'ENGAGEMENTS 2026'!I2415)</f>
        <v/>
      </c>
      <c r="G2415">
        <f>IF(ISBLANK('ENGAGEMENTS 2026'!B2415),"",'ENGAGEMENTS 2026'!L2415)</f>
        <v/>
      </c>
      <c r="H2415">
        <f>IF(ISBLANK('ENGAGEMENTS 2026'!B2415),"",'ENGAGEMENTS 2026'!AE2415)</f>
        <v/>
      </c>
      <c r="I2415">
        <f>IF(ISBLANK('ENGAGEMENTS 2026'!B2415),"",'ENGAGEMENTS 2026'!G2415)</f>
        <v/>
      </c>
      <c r="J2415" s="275">
        <f>IF(ISBLANK('ENGAGEMENTS 2026'!B2415),"",IF(AND(OR($E2415="INFRUCTUEUX",$E2415="ANNULE"),$C2415="AOO-M"),'ENGAGEMENTS 2026'!O2415,IF($H2415="EN COURS DE PREENGAGEMENT",'ENGAGEMENTS 2026'!N2415,IF($H2415="PREENGAGE",IF($E2415="ATTRIBUE",'ENGAGEMENTS 2026'!AD2415,'ENGAGEMENTS 2026'!N2415),'ENGAGEMENTS 2026'!AD2415))))</f>
        <v/>
      </c>
      <c r="K2415" s="604">
        <f>IF(ISBLANK('ENGAGEMENTS 2026'!V2415),"",'ENGAGEMENTS 2026'!V2415)</f>
        <v/>
      </c>
      <c r="L2415" s="276">
        <f>IF($K2415="","",TODAY()-$K2415)</f>
        <v/>
      </c>
      <c r="M2415">
        <f>IF($A2415="","",IF($H2415="ENGAGE","Engagé",IF(AND($H2415="NON ENGAGE",OR($I2415="INFRUCTUEUX",$I2415="ANNULE")),"Clôturé sans suite","En cours")))</f>
        <v/>
      </c>
      <c r="N2415">
        <f>IF(ISBLANK('ENGAGEMENTS 2026'!B2415),"",'ENGAGEMENTS 2026'!K2415)</f>
        <v/>
      </c>
      <c r="O2415">
        <f>IF(ISBLANK('ENGAGEMENTS 2026'!B2415),"",'ENGAGEMENTS 2026'!L2415)</f>
        <v/>
      </c>
      <c r="P2415">
        <f>IF(ISBLANK('ENGAGEMENTS 2026'!B2415),"",'ENGAGEMENTS 2026'!J2415)</f>
        <v/>
      </c>
      <c r="Q2415">
        <f>IF($A2415="","",IF(OR($E2415="INFRUCTUEUX",$E2415="ANNULE"),$A2415&amp;"|"&amp;(COUNTIFS($A$2:$A2415,$A2415,$E$2:$E2415,"INFRUCTUEUX")+COUNTIFS($A$2:$A2415,$A2415,$E$2:$E2415,"ANNULE")),""))</f>
        <v/>
      </c>
    </row>
    <row r="2416">
      <c r="A2416">
        <f>IF(ISBLANK('ENGAGEMENTS 2026'!B2416),"",IF('ENGAGEMENTS 2026'!B2416="DTSI","DCT",'ENGAGEMENTS 2026'!B2416))</f>
        <v/>
      </c>
      <c r="B2416">
        <f>IF(ISBLANK('ENGAGEMENTS 2026'!B2416),"",'ENGAGEMENTS 2026'!C2416)</f>
        <v/>
      </c>
      <c r="C2416">
        <f>IF(ISBLANK('ENGAGEMENTS 2026'!B2416),"",'ENGAGEMENTS 2026'!D2416)</f>
        <v/>
      </c>
      <c r="D2416">
        <f>IF(ISBLANK('ENGAGEMENTS 2026'!B2416),"",'ENGAGEMENTS 2026'!F2416)</f>
        <v/>
      </c>
      <c r="E2416">
        <f>IF(ISBLANK('ENGAGEMENTS 2026'!B2416),"",'ENGAGEMENTS 2026'!H2416)</f>
        <v/>
      </c>
      <c r="F2416">
        <f>IF(ISBLANK('ENGAGEMENTS 2026'!B2416),"",'ENGAGEMENTS 2026'!I2416)</f>
        <v/>
      </c>
      <c r="G2416">
        <f>IF(ISBLANK('ENGAGEMENTS 2026'!B2416),"",'ENGAGEMENTS 2026'!L2416)</f>
        <v/>
      </c>
      <c r="H2416">
        <f>IF(ISBLANK('ENGAGEMENTS 2026'!B2416),"",'ENGAGEMENTS 2026'!AE2416)</f>
        <v/>
      </c>
      <c r="I2416">
        <f>IF(ISBLANK('ENGAGEMENTS 2026'!B2416),"",'ENGAGEMENTS 2026'!G2416)</f>
        <v/>
      </c>
      <c r="J2416" s="275">
        <f>IF(ISBLANK('ENGAGEMENTS 2026'!B2416),"",IF(AND(OR($E2416="INFRUCTUEUX",$E2416="ANNULE"),$C2416="AOO-M"),'ENGAGEMENTS 2026'!O2416,IF($H2416="EN COURS DE PREENGAGEMENT",'ENGAGEMENTS 2026'!N2416,IF($H2416="PREENGAGE",IF($E2416="ATTRIBUE",'ENGAGEMENTS 2026'!AD2416,'ENGAGEMENTS 2026'!N2416),'ENGAGEMENTS 2026'!AD2416))))</f>
        <v/>
      </c>
      <c r="K2416" s="604">
        <f>IF(ISBLANK('ENGAGEMENTS 2026'!V2416),"",'ENGAGEMENTS 2026'!V2416)</f>
        <v/>
      </c>
      <c r="L2416" s="276">
        <f>IF($K2416="","",TODAY()-$K2416)</f>
        <v/>
      </c>
      <c r="M2416">
        <f>IF($A2416="","",IF($H2416="ENGAGE","Engagé",IF(AND($H2416="NON ENGAGE",OR($I2416="INFRUCTUEUX",$I2416="ANNULE")),"Clôturé sans suite","En cours")))</f>
        <v/>
      </c>
      <c r="N2416">
        <f>IF(ISBLANK('ENGAGEMENTS 2026'!B2416),"",'ENGAGEMENTS 2026'!K2416)</f>
        <v/>
      </c>
      <c r="O2416">
        <f>IF(ISBLANK('ENGAGEMENTS 2026'!B2416),"",'ENGAGEMENTS 2026'!L2416)</f>
        <v/>
      </c>
      <c r="P2416">
        <f>IF(ISBLANK('ENGAGEMENTS 2026'!B2416),"",'ENGAGEMENTS 2026'!J2416)</f>
        <v/>
      </c>
      <c r="Q2416">
        <f>IF($A2416="","",IF(OR($E2416="INFRUCTUEUX",$E2416="ANNULE"),$A2416&amp;"|"&amp;(COUNTIFS($A$2:$A2416,$A2416,$E$2:$E2416,"INFRUCTUEUX")+COUNTIFS($A$2:$A2416,$A2416,$E$2:$E2416,"ANNULE")),""))</f>
        <v/>
      </c>
    </row>
    <row r="2417">
      <c r="A2417">
        <f>IF(ISBLANK('ENGAGEMENTS 2026'!B2417),"",IF('ENGAGEMENTS 2026'!B2417="DTSI","DCT",'ENGAGEMENTS 2026'!B2417))</f>
        <v/>
      </c>
      <c r="B2417">
        <f>IF(ISBLANK('ENGAGEMENTS 2026'!B2417),"",'ENGAGEMENTS 2026'!C2417)</f>
        <v/>
      </c>
      <c r="C2417">
        <f>IF(ISBLANK('ENGAGEMENTS 2026'!B2417),"",'ENGAGEMENTS 2026'!D2417)</f>
        <v/>
      </c>
      <c r="D2417">
        <f>IF(ISBLANK('ENGAGEMENTS 2026'!B2417),"",'ENGAGEMENTS 2026'!F2417)</f>
        <v/>
      </c>
      <c r="E2417">
        <f>IF(ISBLANK('ENGAGEMENTS 2026'!B2417),"",'ENGAGEMENTS 2026'!H2417)</f>
        <v/>
      </c>
      <c r="F2417">
        <f>IF(ISBLANK('ENGAGEMENTS 2026'!B2417),"",'ENGAGEMENTS 2026'!I2417)</f>
        <v/>
      </c>
      <c r="G2417">
        <f>IF(ISBLANK('ENGAGEMENTS 2026'!B2417),"",'ENGAGEMENTS 2026'!L2417)</f>
        <v/>
      </c>
      <c r="H2417">
        <f>IF(ISBLANK('ENGAGEMENTS 2026'!B2417),"",'ENGAGEMENTS 2026'!AE2417)</f>
        <v/>
      </c>
      <c r="I2417">
        <f>IF(ISBLANK('ENGAGEMENTS 2026'!B2417),"",'ENGAGEMENTS 2026'!G2417)</f>
        <v/>
      </c>
      <c r="J2417" s="275">
        <f>IF(ISBLANK('ENGAGEMENTS 2026'!B2417),"",IF(AND(OR($E2417="INFRUCTUEUX",$E2417="ANNULE"),$C2417="AOO-M"),'ENGAGEMENTS 2026'!O2417,IF($H2417="EN COURS DE PREENGAGEMENT",'ENGAGEMENTS 2026'!N2417,IF($H2417="PREENGAGE",IF($E2417="ATTRIBUE",'ENGAGEMENTS 2026'!AD2417,'ENGAGEMENTS 2026'!N2417),'ENGAGEMENTS 2026'!AD2417))))</f>
        <v/>
      </c>
      <c r="K2417" s="604">
        <f>IF(ISBLANK('ENGAGEMENTS 2026'!V2417),"",'ENGAGEMENTS 2026'!V2417)</f>
        <v/>
      </c>
      <c r="L2417" s="276">
        <f>IF($K2417="","",TODAY()-$K2417)</f>
        <v/>
      </c>
      <c r="M2417">
        <f>IF($A2417="","",IF($H2417="ENGAGE","Engagé",IF(AND($H2417="NON ENGAGE",OR($I2417="INFRUCTUEUX",$I2417="ANNULE")),"Clôturé sans suite","En cours")))</f>
        <v/>
      </c>
      <c r="N2417">
        <f>IF(ISBLANK('ENGAGEMENTS 2026'!B2417),"",'ENGAGEMENTS 2026'!K2417)</f>
        <v/>
      </c>
      <c r="O2417">
        <f>IF(ISBLANK('ENGAGEMENTS 2026'!B2417),"",'ENGAGEMENTS 2026'!L2417)</f>
        <v/>
      </c>
      <c r="P2417">
        <f>IF(ISBLANK('ENGAGEMENTS 2026'!B2417),"",'ENGAGEMENTS 2026'!J2417)</f>
        <v/>
      </c>
      <c r="Q2417">
        <f>IF($A2417="","",IF(OR($E2417="INFRUCTUEUX",$E2417="ANNULE"),$A2417&amp;"|"&amp;(COUNTIFS($A$2:$A2417,$A2417,$E$2:$E2417,"INFRUCTUEUX")+COUNTIFS($A$2:$A2417,$A2417,$E$2:$E2417,"ANNULE")),""))</f>
        <v/>
      </c>
    </row>
    <row r="2418">
      <c r="A2418">
        <f>IF(ISBLANK('ENGAGEMENTS 2026'!B2418),"",IF('ENGAGEMENTS 2026'!B2418="DTSI","DCT",'ENGAGEMENTS 2026'!B2418))</f>
        <v/>
      </c>
      <c r="B2418">
        <f>IF(ISBLANK('ENGAGEMENTS 2026'!B2418),"",'ENGAGEMENTS 2026'!C2418)</f>
        <v/>
      </c>
      <c r="C2418">
        <f>IF(ISBLANK('ENGAGEMENTS 2026'!B2418),"",'ENGAGEMENTS 2026'!D2418)</f>
        <v/>
      </c>
      <c r="D2418">
        <f>IF(ISBLANK('ENGAGEMENTS 2026'!B2418),"",'ENGAGEMENTS 2026'!F2418)</f>
        <v/>
      </c>
      <c r="E2418">
        <f>IF(ISBLANK('ENGAGEMENTS 2026'!B2418),"",'ENGAGEMENTS 2026'!H2418)</f>
        <v/>
      </c>
      <c r="F2418">
        <f>IF(ISBLANK('ENGAGEMENTS 2026'!B2418),"",'ENGAGEMENTS 2026'!I2418)</f>
        <v/>
      </c>
      <c r="G2418">
        <f>IF(ISBLANK('ENGAGEMENTS 2026'!B2418),"",'ENGAGEMENTS 2026'!L2418)</f>
        <v/>
      </c>
      <c r="H2418">
        <f>IF(ISBLANK('ENGAGEMENTS 2026'!B2418),"",'ENGAGEMENTS 2026'!AE2418)</f>
        <v/>
      </c>
      <c r="I2418">
        <f>IF(ISBLANK('ENGAGEMENTS 2026'!B2418),"",'ENGAGEMENTS 2026'!G2418)</f>
        <v/>
      </c>
      <c r="J2418" s="275">
        <f>IF(ISBLANK('ENGAGEMENTS 2026'!B2418),"",IF(AND(OR($E2418="INFRUCTUEUX",$E2418="ANNULE"),$C2418="AOO-M"),'ENGAGEMENTS 2026'!O2418,IF($H2418="EN COURS DE PREENGAGEMENT",'ENGAGEMENTS 2026'!N2418,IF($H2418="PREENGAGE",IF($E2418="ATTRIBUE",'ENGAGEMENTS 2026'!AD2418,'ENGAGEMENTS 2026'!N2418),'ENGAGEMENTS 2026'!AD2418))))</f>
        <v/>
      </c>
      <c r="K2418" s="604">
        <f>IF(ISBLANK('ENGAGEMENTS 2026'!V2418),"",'ENGAGEMENTS 2026'!V2418)</f>
        <v/>
      </c>
      <c r="L2418" s="276">
        <f>IF($K2418="","",TODAY()-$K2418)</f>
        <v/>
      </c>
      <c r="M2418">
        <f>IF($A2418="","",IF($H2418="ENGAGE","Engagé",IF(AND($H2418="NON ENGAGE",OR($I2418="INFRUCTUEUX",$I2418="ANNULE")),"Clôturé sans suite","En cours")))</f>
        <v/>
      </c>
      <c r="N2418">
        <f>IF(ISBLANK('ENGAGEMENTS 2026'!B2418),"",'ENGAGEMENTS 2026'!K2418)</f>
        <v/>
      </c>
      <c r="O2418">
        <f>IF(ISBLANK('ENGAGEMENTS 2026'!B2418),"",'ENGAGEMENTS 2026'!L2418)</f>
        <v/>
      </c>
      <c r="P2418">
        <f>IF(ISBLANK('ENGAGEMENTS 2026'!B2418),"",'ENGAGEMENTS 2026'!J2418)</f>
        <v/>
      </c>
      <c r="Q2418">
        <f>IF($A2418="","",IF(OR($E2418="INFRUCTUEUX",$E2418="ANNULE"),$A2418&amp;"|"&amp;(COUNTIFS($A$2:$A2418,$A2418,$E$2:$E2418,"INFRUCTUEUX")+COUNTIFS($A$2:$A2418,$A2418,$E$2:$E2418,"ANNULE")),""))</f>
        <v/>
      </c>
    </row>
    <row r="2419">
      <c r="A2419">
        <f>IF(ISBLANK('ENGAGEMENTS 2026'!B2419),"",IF('ENGAGEMENTS 2026'!B2419="DTSI","DCT",'ENGAGEMENTS 2026'!B2419))</f>
        <v/>
      </c>
      <c r="B2419">
        <f>IF(ISBLANK('ENGAGEMENTS 2026'!B2419),"",'ENGAGEMENTS 2026'!C2419)</f>
        <v/>
      </c>
      <c r="C2419">
        <f>IF(ISBLANK('ENGAGEMENTS 2026'!B2419),"",'ENGAGEMENTS 2026'!D2419)</f>
        <v/>
      </c>
      <c r="D2419">
        <f>IF(ISBLANK('ENGAGEMENTS 2026'!B2419),"",'ENGAGEMENTS 2026'!F2419)</f>
        <v/>
      </c>
      <c r="E2419">
        <f>IF(ISBLANK('ENGAGEMENTS 2026'!B2419),"",'ENGAGEMENTS 2026'!H2419)</f>
        <v/>
      </c>
      <c r="F2419">
        <f>IF(ISBLANK('ENGAGEMENTS 2026'!B2419),"",'ENGAGEMENTS 2026'!I2419)</f>
        <v/>
      </c>
      <c r="G2419">
        <f>IF(ISBLANK('ENGAGEMENTS 2026'!B2419),"",'ENGAGEMENTS 2026'!L2419)</f>
        <v/>
      </c>
      <c r="H2419">
        <f>IF(ISBLANK('ENGAGEMENTS 2026'!B2419),"",'ENGAGEMENTS 2026'!AE2419)</f>
        <v/>
      </c>
      <c r="I2419">
        <f>IF(ISBLANK('ENGAGEMENTS 2026'!B2419),"",'ENGAGEMENTS 2026'!G2419)</f>
        <v/>
      </c>
      <c r="J2419" s="275">
        <f>IF(ISBLANK('ENGAGEMENTS 2026'!B2419),"",IF(AND(OR($E2419="INFRUCTUEUX",$E2419="ANNULE"),$C2419="AOO-M"),'ENGAGEMENTS 2026'!O2419,IF($H2419="EN COURS DE PREENGAGEMENT",'ENGAGEMENTS 2026'!N2419,IF($H2419="PREENGAGE",IF($E2419="ATTRIBUE",'ENGAGEMENTS 2026'!AD2419,'ENGAGEMENTS 2026'!N2419),'ENGAGEMENTS 2026'!AD2419))))</f>
        <v/>
      </c>
      <c r="K2419" s="604">
        <f>IF(ISBLANK('ENGAGEMENTS 2026'!V2419),"",'ENGAGEMENTS 2026'!V2419)</f>
        <v/>
      </c>
      <c r="L2419" s="276">
        <f>IF($K2419="","",TODAY()-$K2419)</f>
        <v/>
      </c>
      <c r="M2419">
        <f>IF($A2419="","",IF($H2419="ENGAGE","Engagé",IF(AND($H2419="NON ENGAGE",OR($I2419="INFRUCTUEUX",$I2419="ANNULE")),"Clôturé sans suite","En cours")))</f>
        <v/>
      </c>
      <c r="N2419">
        <f>IF(ISBLANK('ENGAGEMENTS 2026'!B2419),"",'ENGAGEMENTS 2026'!K2419)</f>
        <v/>
      </c>
      <c r="O2419">
        <f>IF(ISBLANK('ENGAGEMENTS 2026'!B2419),"",'ENGAGEMENTS 2026'!L2419)</f>
        <v/>
      </c>
      <c r="P2419">
        <f>IF(ISBLANK('ENGAGEMENTS 2026'!B2419),"",'ENGAGEMENTS 2026'!J2419)</f>
        <v/>
      </c>
      <c r="Q2419">
        <f>IF($A2419="","",IF(OR($E2419="INFRUCTUEUX",$E2419="ANNULE"),$A2419&amp;"|"&amp;(COUNTIFS($A$2:$A2419,$A2419,$E$2:$E2419,"INFRUCTUEUX")+COUNTIFS($A$2:$A2419,$A2419,$E$2:$E2419,"ANNULE")),""))</f>
        <v/>
      </c>
    </row>
    <row r="2420">
      <c r="A2420">
        <f>IF(ISBLANK('ENGAGEMENTS 2026'!B2420),"",IF('ENGAGEMENTS 2026'!B2420="DTSI","DCT",'ENGAGEMENTS 2026'!B2420))</f>
        <v/>
      </c>
      <c r="B2420">
        <f>IF(ISBLANK('ENGAGEMENTS 2026'!B2420),"",'ENGAGEMENTS 2026'!C2420)</f>
        <v/>
      </c>
      <c r="C2420">
        <f>IF(ISBLANK('ENGAGEMENTS 2026'!B2420),"",'ENGAGEMENTS 2026'!D2420)</f>
        <v/>
      </c>
      <c r="D2420">
        <f>IF(ISBLANK('ENGAGEMENTS 2026'!B2420),"",'ENGAGEMENTS 2026'!F2420)</f>
        <v/>
      </c>
      <c r="E2420">
        <f>IF(ISBLANK('ENGAGEMENTS 2026'!B2420),"",'ENGAGEMENTS 2026'!H2420)</f>
        <v/>
      </c>
      <c r="F2420">
        <f>IF(ISBLANK('ENGAGEMENTS 2026'!B2420),"",'ENGAGEMENTS 2026'!I2420)</f>
        <v/>
      </c>
      <c r="G2420">
        <f>IF(ISBLANK('ENGAGEMENTS 2026'!B2420),"",'ENGAGEMENTS 2026'!L2420)</f>
        <v/>
      </c>
      <c r="H2420">
        <f>IF(ISBLANK('ENGAGEMENTS 2026'!B2420),"",'ENGAGEMENTS 2026'!AE2420)</f>
        <v/>
      </c>
      <c r="I2420">
        <f>IF(ISBLANK('ENGAGEMENTS 2026'!B2420),"",'ENGAGEMENTS 2026'!G2420)</f>
        <v/>
      </c>
      <c r="J2420" s="275">
        <f>IF(ISBLANK('ENGAGEMENTS 2026'!B2420),"",IF(AND(OR($E2420="INFRUCTUEUX",$E2420="ANNULE"),$C2420="AOO-M"),'ENGAGEMENTS 2026'!O2420,IF($H2420="EN COURS DE PREENGAGEMENT",'ENGAGEMENTS 2026'!N2420,IF($H2420="PREENGAGE",IF($E2420="ATTRIBUE",'ENGAGEMENTS 2026'!AD2420,'ENGAGEMENTS 2026'!N2420),'ENGAGEMENTS 2026'!AD2420))))</f>
        <v/>
      </c>
      <c r="K2420" s="604">
        <f>IF(ISBLANK('ENGAGEMENTS 2026'!V2420),"",'ENGAGEMENTS 2026'!V2420)</f>
        <v/>
      </c>
      <c r="L2420" s="276">
        <f>IF($K2420="","",TODAY()-$K2420)</f>
        <v/>
      </c>
      <c r="M2420">
        <f>IF($A2420="","",IF($H2420="ENGAGE","Engagé",IF(AND($H2420="NON ENGAGE",OR($I2420="INFRUCTUEUX",$I2420="ANNULE")),"Clôturé sans suite","En cours")))</f>
        <v/>
      </c>
      <c r="N2420">
        <f>IF(ISBLANK('ENGAGEMENTS 2026'!B2420),"",'ENGAGEMENTS 2026'!K2420)</f>
        <v/>
      </c>
      <c r="O2420">
        <f>IF(ISBLANK('ENGAGEMENTS 2026'!B2420),"",'ENGAGEMENTS 2026'!L2420)</f>
        <v/>
      </c>
      <c r="P2420">
        <f>IF(ISBLANK('ENGAGEMENTS 2026'!B2420),"",'ENGAGEMENTS 2026'!J2420)</f>
        <v/>
      </c>
      <c r="Q2420">
        <f>IF($A2420="","",IF(OR($E2420="INFRUCTUEUX",$E2420="ANNULE"),$A2420&amp;"|"&amp;(COUNTIFS($A$2:$A2420,$A2420,$E$2:$E2420,"INFRUCTUEUX")+COUNTIFS($A$2:$A2420,$A2420,$E$2:$E2420,"ANNULE")),""))</f>
        <v/>
      </c>
    </row>
    <row r="2421">
      <c r="A2421">
        <f>IF(ISBLANK('ENGAGEMENTS 2026'!B2421),"",IF('ENGAGEMENTS 2026'!B2421="DTSI","DCT",'ENGAGEMENTS 2026'!B2421))</f>
        <v/>
      </c>
      <c r="B2421">
        <f>IF(ISBLANK('ENGAGEMENTS 2026'!B2421),"",'ENGAGEMENTS 2026'!C2421)</f>
        <v/>
      </c>
      <c r="C2421">
        <f>IF(ISBLANK('ENGAGEMENTS 2026'!B2421),"",'ENGAGEMENTS 2026'!D2421)</f>
        <v/>
      </c>
      <c r="D2421">
        <f>IF(ISBLANK('ENGAGEMENTS 2026'!B2421),"",'ENGAGEMENTS 2026'!F2421)</f>
        <v/>
      </c>
      <c r="E2421">
        <f>IF(ISBLANK('ENGAGEMENTS 2026'!B2421),"",'ENGAGEMENTS 2026'!H2421)</f>
        <v/>
      </c>
      <c r="F2421">
        <f>IF(ISBLANK('ENGAGEMENTS 2026'!B2421),"",'ENGAGEMENTS 2026'!I2421)</f>
        <v/>
      </c>
      <c r="G2421">
        <f>IF(ISBLANK('ENGAGEMENTS 2026'!B2421),"",'ENGAGEMENTS 2026'!L2421)</f>
        <v/>
      </c>
      <c r="H2421">
        <f>IF(ISBLANK('ENGAGEMENTS 2026'!B2421),"",'ENGAGEMENTS 2026'!AE2421)</f>
        <v/>
      </c>
      <c r="I2421">
        <f>IF(ISBLANK('ENGAGEMENTS 2026'!B2421),"",'ENGAGEMENTS 2026'!G2421)</f>
        <v/>
      </c>
      <c r="J2421" s="275">
        <f>IF(ISBLANK('ENGAGEMENTS 2026'!B2421),"",IF(AND(OR($E2421="INFRUCTUEUX",$E2421="ANNULE"),$C2421="AOO-M"),'ENGAGEMENTS 2026'!O2421,IF($H2421="EN COURS DE PREENGAGEMENT",'ENGAGEMENTS 2026'!N2421,IF($H2421="PREENGAGE",IF($E2421="ATTRIBUE",'ENGAGEMENTS 2026'!AD2421,'ENGAGEMENTS 2026'!N2421),'ENGAGEMENTS 2026'!AD2421))))</f>
        <v/>
      </c>
      <c r="K2421" s="604">
        <f>IF(ISBLANK('ENGAGEMENTS 2026'!V2421),"",'ENGAGEMENTS 2026'!V2421)</f>
        <v/>
      </c>
      <c r="L2421" s="276">
        <f>IF($K2421="","",TODAY()-$K2421)</f>
        <v/>
      </c>
      <c r="M2421">
        <f>IF($A2421="","",IF($H2421="ENGAGE","Engagé",IF(AND($H2421="NON ENGAGE",OR($I2421="INFRUCTUEUX",$I2421="ANNULE")),"Clôturé sans suite","En cours")))</f>
        <v/>
      </c>
      <c r="N2421">
        <f>IF(ISBLANK('ENGAGEMENTS 2026'!B2421),"",'ENGAGEMENTS 2026'!K2421)</f>
        <v/>
      </c>
      <c r="O2421">
        <f>IF(ISBLANK('ENGAGEMENTS 2026'!B2421),"",'ENGAGEMENTS 2026'!L2421)</f>
        <v/>
      </c>
      <c r="P2421">
        <f>IF(ISBLANK('ENGAGEMENTS 2026'!B2421),"",'ENGAGEMENTS 2026'!J2421)</f>
        <v/>
      </c>
      <c r="Q2421">
        <f>IF($A2421="","",IF(OR($E2421="INFRUCTUEUX",$E2421="ANNULE"),$A2421&amp;"|"&amp;(COUNTIFS($A$2:$A2421,$A2421,$E$2:$E2421,"INFRUCTUEUX")+COUNTIFS($A$2:$A2421,$A2421,$E$2:$E2421,"ANNULE")),""))</f>
        <v/>
      </c>
    </row>
    <row r="2422">
      <c r="A2422">
        <f>IF(ISBLANK('ENGAGEMENTS 2026'!B2422),"",IF('ENGAGEMENTS 2026'!B2422="DTSI","DCT",'ENGAGEMENTS 2026'!B2422))</f>
        <v/>
      </c>
      <c r="B2422">
        <f>IF(ISBLANK('ENGAGEMENTS 2026'!B2422),"",'ENGAGEMENTS 2026'!C2422)</f>
        <v/>
      </c>
      <c r="C2422">
        <f>IF(ISBLANK('ENGAGEMENTS 2026'!B2422),"",'ENGAGEMENTS 2026'!D2422)</f>
        <v/>
      </c>
      <c r="D2422">
        <f>IF(ISBLANK('ENGAGEMENTS 2026'!B2422),"",'ENGAGEMENTS 2026'!F2422)</f>
        <v/>
      </c>
      <c r="E2422">
        <f>IF(ISBLANK('ENGAGEMENTS 2026'!B2422),"",'ENGAGEMENTS 2026'!H2422)</f>
        <v/>
      </c>
      <c r="F2422">
        <f>IF(ISBLANK('ENGAGEMENTS 2026'!B2422),"",'ENGAGEMENTS 2026'!I2422)</f>
        <v/>
      </c>
      <c r="G2422">
        <f>IF(ISBLANK('ENGAGEMENTS 2026'!B2422),"",'ENGAGEMENTS 2026'!L2422)</f>
        <v/>
      </c>
      <c r="H2422">
        <f>IF(ISBLANK('ENGAGEMENTS 2026'!B2422),"",'ENGAGEMENTS 2026'!AE2422)</f>
        <v/>
      </c>
      <c r="I2422">
        <f>IF(ISBLANK('ENGAGEMENTS 2026'!B2422),"",'ENGAGEMENTS 2026'!G2422)</f>
        <v/>
      </c>
      <c r="J2422" s="275">
        <f>IF(ISBLANK('ENGAGEMENTS 2026'!B2422),"",IF(AND(OR($E2422="INFRUCTUEUX",$E2422="ANNULE"),$C2422="AOO-M"),'ENGAGEMENTS 2026'!O2422,IF($H2422="EN COURS DE PREENGAGEMENT",'ENGAGEMENTS 2026'!N2422,IF($H2422="PREENGAGE",IF($E2422="ATTRIBUE",'ENGAGEMENTS 2026'!AD2422,'ENGAGEMENTS 2026'!N2422),'ENGAGEMENTS 2026'!AD2422))))</f>
        <v/>
      </c>
      <c r="K2422" s="604">
        <f>IF(ISBLANK('ENGAGEMENTS 2026'!V2422),"",'ENGAGEMENTS 2026'!V2422)</f>
        <v/>
      </c>
      <c r="L2422" s="276">
        <f>IF($K2422="","",TODAY()-$K2422)</f>
        <v/>
      </c>
      <c r="M2422">
        <f>IF($A2422="","",IF($H2422="ENGAGE","Engagé",IF(AND($H2422="NON ENGAGE",OR($I2422="INFRUCTUEUX",$I2422="ANNULE")),"Clôturé sans suite","En cours")))</f>
        <v/>
      </c>
      <c r="N2422">
        <f>IF(ISBLANK('ENGAGEMENTS 2026'!B2422),"",'ENGAGEMENTS 2026'!K2422)</f>
        <v/>
      </c>
      <c r="O2422">
        <f>IF(ISBLANK('ENGAGEMENTS 2026'!B2422),"",'ENGAGEMENTS 2026'!L2422)</f>
        <v/>
      </c>
      <c r="P2422">
        <f>IF(ISBLANK('ENGAGEMENTS 2026'!B2422),"",'ENGAGEMENTS 2026'!J2422)</f>
        <v/>
      </c>
      <c r="Q2422">
        <f>IF($A2422="","",IF(OR($E2422="INFRUCTUEUX",$E2422="ANNULE"),$A2422&amp;"|"&amp;(COUNTIFS($A$2:$A2422,$A2422,$E$2:$E2422,"INFRUCTUEUX")+COUNTIFS($A$2:$A2422,$A2422,$E$2:$E2422,"ANNULE")),""))</f>
        <v/>
      </c>
    </row>
    <row r="2423">
      <c r="A2423">
        <f>IF(ISBLANK('ENGAGEMENTS 2026'!B2423),"",IF('ENGAGEMENTS 2026'!B2423="DTSI","DCT",'ENGAGEMENTS 2026'!B2423))</f>
        <v/>
      </c>
      <c r="B2423">
        <f>IF(ISBLANK('ENGAGEMENTS 2026'!B2423),"",'ENGAGEMENTS 2026'!C2423)</f>
        <v/>
      </c>
      <c r="C2423">
        <f>IF(ISBLANK('ENGAGEMENTS 2026'!B2423),"",'ENGAGEMENTS 2026'!D2423)</f>
        <v/>
      </c>
      <c r="D2423">
        <f>IF(ISBLANK('ENGAGEMENTS 2026'!B2423),"",'ENGAGEMENTS 2026'!F2423)</f>
        <v/>
      </c>
      <c r="E2423">
        <f>IF(ISBLANK('ENGAGEMENTS 2026'!B2423),"",'ENGAGEMENTS 2026'!H2423)</f>
        <v/>
      </c>
      <c r="F2423">
        <f>IF(ISBLANK('ENGAGEMENTS 2026'!B2423),"",'ENGAGEMENTS 2026'!I2423)</f>
        <v/>
      </c>
      <c r="G2423">
        <f>IF(ISBLANK('ENGAGEMENTS 2026'!B2423),"",'ENGAGEMENTS 2026'!L2423)</f>
        <v/>
      </c>
      <c r="H2423">
        <f>IF(ISBLANK('ENGAGEMENTS 2026'!B2423),"",'ENGAGEMENTS 2026'!AE2423)</f>
        <v/>
      </c>
      <c r="I2423">
        <f>IF(ISBLANK('ENGAGEMENTS 2026'!B2423),"",'ENGAGEMENTS 2026'!G2423)</f>
        <v/>
      </c>
      <c r="J2423" s="275">
        <f>IF(ISBLANK('ENGAGEMENTS 2026'!B2423),"",IF(AND(OR($E2423="INFRUCTUEUX",$E2423="ANNULE"),$C2423="AOO-M"),'ENGAGEMENTS 2026'!O2423,IF($H2423="EN COURS DE PREENGAGEMENT",'ENGAGEMENTS 2026'!N2423,IF($H2423="PREENGAGE",IF($E2423="ATTRIBUE",'ENGAGEMENTS 2026'!AD2423,'ENGAGEMENTS 2026'!N2423),'ENGAGEMENTS 2026'!AD2423))))</f>
        <v/>
      </c>
      <c r="K2423" s="604">
        <f>IF(ISBLANK('ENGAGEMENTS 2026'!V2423),"",'ENGAGEMENTS 2026'!V2423)</f>
        <v/>
      </c>
      <c r="L2423" s="276">
        <f>IF($K2423="","",TODAY()-$K2423)</f>
        <v/>
      </c>
      <c r="M2423">
        <f>IF($A2423="","",IF($H2423="ENGAGE","Engagé",IF(AND($H2423="NON ENGAGE",OR($I2423="INFRUCTUEUX",$I2423="ANNULE")),"Clôturé sans suite","En cours")))</f>
        <v/>
      </c>
      <c r="N2423">
        <f>IF(ISBLANK('ENGAGEMENTS 2026'!B2423),"",'ENGAGEMENTS 2026'!K2423)</f>
        <v/>
      </c>
      <c r="O2423">
        <f>IF(ISBLANK('ENGAGEMENTS 2026'!B2423),"",'ENGAGEMENTS 2026'!L2423)</f>
        <v/>
      </c>
      <c r="P2423">
        <f>IF(ISBLANK('ENGAGEMENTS 2026'!B2423),"",'ENGAGEMENTS 2026'!J2423)</f>
        <v/>
      </c>
      <c r="Q2423">
        <f>IF($A2423="","",IF(OR($E2423="INFRUCTUEUX",$E2423="ANNULE"),$A2423&amp;"|"&amp;(COUNTIFS($A$2:$A2423,$A2423,$E$2:$E2423,"INFRUCTUEUX")+COUNTIFS($A$2:$A2423,$A2423,$E$2:$E2423,"ANNULE")),""))</f>
        <v/>
      </c>
    </row>
    <row r="2424">
      <c r="A2424">
        <f>IF(ISBLANK('ENGAGEMENTS 2026'!B2424),"",IF('ENGAGEMENTS 2026'!B2424="DTSI","DCT",'ENGAGEMENTS 2026'!B2424))</f>
        <v/>
      </c>
      <c r="B2424">
        <f>IF(ISBLANK('ENGAGEMENTS 2026'!B2424),"",'ENGAGEMENTS 2026'!C2424)</f>
        <v/>
      </c>
      <c r="C2424">
        <f>IF(ISBLANK('ENGAGEMENTS 2026'!B2424),"",'ENGAGEMENTS 2026'!D2424)</f>
        <v/>
      </c>
      <c r="D2424">
        <f>IF(ISBLANK('ENGAGEMENTS 2026'!B2424),"",'ENGAGEMENTS 2026'!F2424)</f>
        <v/>
      </c>
      <c r="E2424">
        <f>IF(ISBLANK('ENGAGEMENTS 2026'!B2424),"",'ENGAGEMENTS 2026'!H2424)</f>
        <v/>
      </c>
      <c r="F2424">
        <f>IF(ISBLANK('ENGAGEMENTS 2026'!B2424),"",'ENGAGEMENTS 2026'!I2424)</f>
        <v/>
      </c>
      <c r="G2424">
        <f>IF(ISBLANK('ENGAGEMENTS 2026'!B2424),"",'ENGAGEMENTS 2026'!L2424)</f>
        <v/>
      </c>
      <c r="H2424">
        <f>IF(ISBLANK('ENGAGEMENTS 2026'!B2424),"",'ENGAGEMENTS 2026'!AE2424)</f>
        <v/>
      </c>
      <c r="I2424">
        <f>IF(ISBLANK('ENGAGEMENTS 2026'!B2424),"",'ENGAGEMENTS 2026'!G2424)</f>
        <v/>
      </c>
      <c r="J2424" s="275">
        <f>IF(ISBLANK('ENGAGEMENTS 2026'!B2424),"",IF(AND(OR($E2424="INFRUCTUEUX",$E2424="ANNULE"),$C2424="AOO-M"),'ENGAGEMENTS 2026'!O2424,IF($H2424="EN COURS DE PREENGAGEMENT",'ENGAGEMENTS 2026'!N2424,IF($H2424="PREENGAGE",IF($E2424="ATTRIBUE",'ENGAGEMENTS 2026'!AD2424,'ENGAGEMENTS 2026'!N2424),'ENGAGEMENTS 2026'!AD2424))))</f>
        <v/>
      </c>
      <c r="K2424" s="604">
        <f>IF(ISBLANK('ENGAGEMENTS 2026'!V2424),"",'ENGAGEMENTS 2026'!V2424)</f>
        <v/>
      </c>
      <c r="L2424" s="276">
        <f>IF($K2424="","",TODAY()-$K2424)</f>
        <v/>
      </c>
      <c r="M2424">
        <f>IF($A2424="","",IF($H2424="ENGAGE","Engagé",IF(AND($H2424="NON ENGAGE",OR($I2424="INFRUCTUEUX",$I2424="ANNULE")),"Clôturé sans suite","En cours")))</f>
        <v/>
      </c>
      <c r="N2424">
        <f>IF(ISBLANK('ENGAGEMENTS 2026'!B2424),"",'ENGAGEMENTS 2026'!K2424)</f>
        <v/>
      </c>
      <c r="O2424">
        <f>IF(ISBLANK('ENGAGEMENTS 2026'!B2424),"",'ENGAGEMENTS 2026'!L2424)</f>
        <v/>
      </c>
      <c r="P2424">
        <f>IF(ISBLANK('ENGAGEMENTS 2026'!B2424),"",'ENGAGEMENTS 2026'!J2424)</f>
        <v/>
      </c>
      <c r="Q2424">
        <f>IF($A2424="","",IF(OR($E2424="INFRUCTUEUX",$E2424="ANNULE"),$A2424&amp;"|"&amp;(COUNTIFS($A$2:$A2424,$A2424,$E$2:$E2424,"INFRUCTUEUX")+COUNTIFS($A$2:$A2424,$A2424,$E$2:$E2424,"ANNULE")),""))</f>
        <v/>
      </c>
    </row>
    <row r="2425">
      <c r="A2425">
        <f>IF(ISBLANK('ENGAGEMENTS 2026'!B2425),"",IF('ENGAGEMENTS 2026'!B2425="DTSI","DCT",'ENGAGEMENTS 2026'!B2425))</f>
        <v/>
      </c>
      <c r="B2425">
        <f>IF(ISBLANK('ENGAGEMENTS 2026'!B2425),"",'ENGAGEMENTS 2026'!C2425)</f>
        <v/>
      </c>
      <c r="C2425">
        <f>IF(ISBLANK('ENGAGEMENTS 2026'!B2425),"",'ENGAGEMENTS 2026'!D2425)</f>
        <v/>
      </c>
      <c r="D2425">
        <f>IF(ISBLANK('ENGAGEMENTS 2026'!B2425),"",'ENGAGEMENTS 2026'!F2425)</f>
        <v/>
      </c>
      <c r="E2425">
        <f>IF(ISBLANK('ENGAGEMENTS 2026'!B2425),"",'ENGAGEMENTS 2026'!H2425)</f>
        <v/>
      </c>
      <c r="F2425">
        <f>IF(ISBLANK('ENGAGEMENTS 2026'!B2425),"",'ENGAGEMENTS 2026'!I2425)</f>
        <v/>
      </c>
      <c r="G2425">
        <f>IF(ISBLANK('ENGAGEMENTS 2026'!B2425),"",'ENGAGEMENTS 2026'!L2425)</f>
        <v/>
      </c>
      <c r="H2425">
        <f>IF(ISBLANK('ENGAGEMENTS 2026'!B2425),"",'ENGAGEMENTS 2026'!AE2425)</f>
        <v/>
      </c>
      <c r="I2425">
        <f>IF(ISBLANK('ENGAGEMENTS 2026'!B2425),"",'ENGAGEMENTS 2026'!G2425)</f>
        <v/>
      </c>
      <c r="J2425" s="275">
        <f>IF(ISBLANK('ENGAGEMENTS 2026'!B2425),"",IF(AND(OR($E2425="INFRUCTUEUX",$E2425="ANNULE"),$C2425="AOO-M"),'ENGAGEMENTS 2026'!O2425,IF($H2425="EN COURS DE PREENGAGEMENT",'ENGAGEMENTS 2026'!N2425,IF($H2425="PREENGAGE",IF($E2425="ATTRIBUE",'ENGAGEMENTS 2026'!AD2425,'ENGAGEMENTS 2026'!N2425),'ENGAGEMENTS 2026'!AD2425))))</f>
        <v/>
      </c>
      <c r="K2425" s="604">
        <f>IF(ISBLANK('ENGAGEMENTS 2026'!V2425),"",'ENGAGEMENTS 2026'!V2425)</f>
        <v/>
      </c>
      <c r="L2425" s="276">
        <f>IF($K2425="","",TODAY()-$K2425)</f>
        <v/>
      </c>
      <c r="M2425">
        <f>IF($A2425="","",IF($H2425="ENGAGE","Engagé",IF(AND($H2425="NON ENGAGE",OR($I2425="INFRUCTUEUX",$I2425="ANNULE")),"Clôturé sans suite","En cours")))</f>
        <v/>
      </c>
      <c r="N2425">
        <f>IF(ISBLANK('ENGAGEMENTS 2026'!B2425),"",'ENGAGEMENTS 2026'!K2425)</f>
        <v/>
      </c>
      <c r="O2425">
        <f>IF(ISBLANK('ENGAGEMENTS 2026'!B2425),"",'ENGAGEMENTS 2026'!L2425)</f>
        <v/>
      </c>
      <c r="P2425">
        <f>IF(ISBLANK('ENGAGEMENTS 2026'!B2425),"",'ENGAGEMENTS 2026'!J2425)</f>
        <v/>
      </c>
      <c r="Q2425">
        <f>IF($A2425="","",IF(OR($E2425="INFRUCTUEUX",$E2425="ANNULE"),$A2425&amp;"|"&amp;(COUNTIFS($A$2:$A2425,$A2425,$E$2:$E2425,"INFRUCTUEUX")+COUNTIFS($A$2:$A2425,$A2425,$E$2:$E2425,"ANNULE")),""))</f>
        <v/>
      </c>
    </row>
    <row r="2426">
      <c r="A2426">
        <f>IF(ISBLANK('ENGAGEMENTS 2026'!B2426),"",IF('ENGAGEMENTS 2026'!B2426="DTSI","DCT",'ENGAGEMENTS 2026'!B2426))</f>
        <v/>
      </c>
      <c r="B2426">
        <f>IF(ISBLANK('ENGAGEMENTS 2026'!B2426),"",'ENGAGEMENTS 2026'!C2426)</f>
        <v/>
      </c>
      <c r="C2426">
        <f>IF(ISBLANK('ENGAGEMENTS 2026'!B2426),"",'ENGAGEMENTS 2026'!D2426)</f>
        <v/>
      </c>
      <c r="D2426">
        <f>IF(ISBLANK('ENGAGEMENTS 2026'!B2426),"",'ENGAGEMENTS 2026'!F2426)</f>
        <v/>
      </c>
      <c r="E2426">
        <f>IF(ISBLANK('ENGAGEMENTS 2026'!B2426),"",'ENGAGEMENTS 2026'!H2426)</f>
        <v/>
      </c>
      <c r="F2426">
        <f>IF(ISBLANK('ENGAGEMENTS 2026'!B2426),"",'ENGAGEMENTS 2026'!I2426)</f>
        <v/>
      </c>
      <c r="G2426">
        <f>IF(ISBLANK('ENGAGEMENTS 2026'!B2426),"",'ENGAGEMENTS 2026'!L2426)</f>
        <v/>
      </c>
      <c r="H2426">
        <f>IF(ISBLANK('ENGAGEMENTS 2026'!B2426),"",'ENGAGEMENTS 2026'!AE2426)</f>
        <v/>
      </c>
      <c r="I2426">
        <f>IF(ISBLANK('ENGAGEMENTS 2026'!B2426),"",'ENGAGEMENTS 2026'!G2426)</f>
        <v/>
      </c>
      <c r="J2426" s="275">
        <f>IF(ISBLANK('ENGAGEMENTS 2026'!B2426),"",IF(AND(OR($E2426="INFRUCTUEUX",$E2426="ANNULE"),$C2426="AOO-M"),'ENGAGEMENTS 2026'!O2426,IF($H2426="EN COURS DE PREENGAGEMENT",'ENGAGEMENTS 2026'!N2426,IF($H2426="PREENGAGE",IF($E2426="ATTRIBUE",'ENGAGEMENTS 2026'!AD2426,'ENGAGEMENTS 2026'!N2426),'ENGAGEMENTS 2026'!AD2426))))</f>
        <v/>
      </c>
      <c r="K2426" s="604">
        <f>IF(ISBLANK('ENGAGEMENTS 2026'!V2426),"",'ENGAGEMENTS 2026'!V2426)</f>
        <v/>
      </c>
      <c r="L2426" s="276">
        <f>IF($K2426="","",TODAY()-$K2426)</f>
        <v/>
      </c>
      <c r="M2426">
        <f>IF($A2426="","",IF($H2426="ENGAGE","Engagé",IF(AND($H2426="NON ENGAGE",OR($I2426="INFRUCTUEUX",$I2426="ANNULE")),"Clôturé sans suite","En cours")))</f>
        <v/>
      </c>
      <c r="N2426">
        <f>IF(ISBLANK('ENGAGEMENTS 2026'!B2426),"",'ENGAGEMENTS 2026'!K2426)</f>
        <v/>
      </c>
      <c r="O2426">
        <f>IF(ISBLANK('ENGAGEMENTS 2026'!B2426),"",'ENGAGEMENTS 2026'!L2426)</f>
        <v/>
      </c>
      <c r="P2426">
        <f>IF(ISBLANK('ENGAGEMENTS 2026'!B2426),"",'ENGAGEMENTS 2026'!J2426)</f>
        <v/>
      </c>
      <c r="Q2426">
        <f>IF($A2426="","",IF(OR($E2426="INFRUCTUEUX",$E2426="ANNULE"),$A2426&amp;"|"&amp;(COUNTIFS($A$2:$A2426,$A2426,$E$2:$E2426,"INFRUCTUEUX")+COUNTIFS($A$2:$A2426,$A2426,$E$2:$E2426,"ANNULE")),""))</f>
        <v/>
      </c>
    </row>
    <row r="2427">
      <c r="A2427">
        <f>IF(ISBLANK('ENGAGEMENTS 2026'!B2427),"",IF('ENGAGEMENTS 2026'!B2427="DTSI","DCT",'ENGAGEMENTS 2026'!B2427))</f>
        <v/>
      </c>
      <c r="B2427">
        <f>IF(ISBLANK('ENGAGEMENTS 2026'!B2427),"",'ENGAGEMENTS 2026'!C2427)</f>
        <v/>
      </c>
      <c r="C2427">
        <f>IF(ISBLANK('ENGAGEMENTS 2026'!B2427),"",'ENGAGEMENTS 2026'!D2427)</f>
        <v/>
      </c>
      <c r="D2427">
        <f>IF(ISBLANK('ENGAGEMENTS 2026'!B2427),"",'ENGAGEMENTS 2026'!F2427)</f>
        <v/>
      </c>
      <c r="E2427">
        <f>IF(ISBLANK('ENGAGEMENTS 2026'!B2427),"",'ENGAGEMENTS 2026'!H2427)</f>
        <v/>
      </c>
      <c r="F2427">
        <f>IF(ISBLANK('ENGAGEMENTS 2026'!B2427),"",'ENGAGEMENTS 2026'!I2427)</f>
        <v/>
      </c>
      <c r="G2427">
        <f>IF(ISBLANK('ENGAGEMENTS 2026'!B2427),"",'ENGAGEMENTS 2026'!L2427)</f>
        <v/>
      </c>
      <c r="H2427">
        <f>IF(ISBLANK('ENGAGEMENTS 2026'!B2427),"",'ENGAGEMENTS 2026'!AE2427)</f>
        <v/>
      </c>
      <c r="I2427">
        <f>IF(ISBLANK('ENGAGEMENTS 2026'!B2427),"",'ENGAGEMENTS 2026'!G2427)</f>
        <v/>
      </c>
      <c r="J2427" s="275">
        <f>IF(ISBLANK('ENGAGEMENTS 2026'!B2427),"",IF(AND(OR($E2427="INFRUCTUEUX",$E2427="ANNULE"),$C2427="AOO-M"),'ENGAGEMENTS 2026'!O2427,IF($H2427="EN COURS DE PREENGAGEMENT",'ENGAGEMENTS 2026'!N2427,IF($H2427="PREENGAGE",IF($E2427="ATTRIBUE",'ENGAGEMENTS 2026'!AD2427,'ENGAGEMENTS 2026'!N2427),'ENGAGEMENTS 2026'!AD2427))))</f>
        <v/>
      </c>
      <c r="K2427" s="604">
        <f>IF(ISBLANK('ENGAGEMENTS 2026'!V2427),"",'ENGAGEMENTS 2026'!V2427)</f>
        <v/>
      </c>
      <c r="L2427" s="276">
        <f>IF($K2427="","",TODAY()-$K2427)</f>
        <v/>
      </c>
      <c r="M2427">
        <f>IF($A2427="","",IF($H2427="ENGAGE","Engagé",IF(AND($H2427="NON ENGAGE",OR($I2427="INFRUCTUEUX",$I2427="ANNULE")),"Clôturé sans suite","En cours")))</f>
        <v/>
      </c>
      <c r="N2427">
        <f>IF(ISBLANK('ENGAGEMENTS 2026'!B2427),"",'ENGAGEMENTS 2026'!K2427)</f>
        <v/>
      </c>
      <c r="O2427">
        <f>IF(ISBLANK('ENGAGEMENTS 2026'!B2427),"",'ENGAGEMENTS 2026'!L2427)</f>
        <v/>
      </c>
      <c r="P2427">
        <f>IF(ISBLANK('ENGAGEMENTS 2026'!B2427),"",'ENGAGEMENTS 2026'!J2427)</f>
        <v/>
      </c>
      <c r="Q2427">
        <f>IF($A2427="","",IF(OR($E2427="INFRUCTUEUX",$E2427="ANNULE"),$A2427&amp;"|"&amp;(COUNTIFS($A$2:$A2427,$A2427,$E$2:$E2427,"INFRUCTUEUX")+COUNTIFS($A$2:$A2427,$A2427,$E$2:$E2427,"ANNULE")),""))</f>
        <v/>
      </c>
    </row>
    <row r="2428">
      <c r="A2428">
        <f>IF(ISBLANK('ENGAGEMENTS 2026'!B2428),"",IF('ENGAGEMENTS 2026'!B2428="DTSI","DCT",'ENGAGEMENTS 2026'!B2428))</f>
        <v/>
      </c>
      <c r="B2428">
        <f>IF(ISBLANK('ENGAGEMENTS 2026'!B2428),"",'ENGAGEMENTS 2026'!C2428)</f>
        <v/>
      </c>
      <c r="C2428">
        <f>IF(ISBLANK('ENGAGEMENTS 2026'!B2428),"",'ENGAGEMENTS 2026'!D2428)</f>
        <v/>
      </c>
      <c r="D2428">
        <f>IF(ISBLANK('ENGAGEMENTS 2026'!B2428),"",'ENGAGEMENTS 2026'!F2428)</f>
        <v/>
      </c>
      <c r="E2428">
        <f>IF(ISBLANK('ENGAGEMENTS 2026'!B2428),"",'ENGAGEMENTS 2026'!H2428)</f>
        <v/>
      </c>
      <c r="F2428">
        <f>IF(ISBLANK('ENGAGEMENTS 2026'!B2428),"",'ENGAGEMENTS 2026'!I2428)</f>
        <v/>
      </c>
      <c r="G2428">
        <f>IF(ISBLANK('ENGAGEMENTS 2026'!B2428),"",'ENGAGEMENTS 2026'!L2428)</f>
        <v/>
      </c>
      <c r="H2428">
        <f>IF(ISBLANK('ENGAGEMENTS 2026'!B2428),"",'ENGAGEMENTS 2026'!AE2428)</f>
        <v/>
      </c>
      <c r="I2428">
        <f>IF(ISBLANK('ENGAGEMENTS 2026'!B2428),"",'ENGAGEMENTS 2026'!G2428)</f>
        <v/>
      </c>
      <c r="J2428" s="275">
        <f>IF(ISBLANK('ENGAGEMENTS 2026'!B2428),"",IF(AND(OR($E2428="INFRUCTUEUX",$E2428="ANNULE"),$C2428="AOO-M"),'ENGAGEMENTS 2026'!O2428,IF($H2428="EN COURS DE PREENGAGEMENT",'ENGAGEMENTS 2026'!N2428,IF($H2428="PREENGAGE",IF($E2428="ATTRIBUE",'ENGAGEMENTS 2026'!AD2428,'ENGAGEMENTS 2026'!N2428),'ENGAGEMENTS 2026'!AD2428))))</f>
        <v/>
      </c>
      <c r="K2428" s="604">
        <f>IF(ISBLANK('ENGAGEMENTS 2026'!V2428),"",'ENGAGEMENTS 2026'!V2428)</f>
        <v/>
      </c>
      <c r="L2428" s="276">
        <f>IF($K2428="","",TODAY()-$K2428)</f>
        <v/>
      </c>
      <c r="M2428">
        <f>IF($A2428="","",IF($H2428="ENGAGE","Engagé",IF(AND($H2428="NON ENGAGE",OR($I2428="INFRUCTUEUX",$I2428="ANNULE")),"Clôturé sans suite","En cours")))</f>
        <v/>
      </c>
      <c r="N2428">
        <f>IF(ISBLANK('ENGAGEMENTS 2026'!B2428),"",'ENGAGEMENTS 2026'!K2428)</f>
        <v/>
      </c>
      <c r="O2428">
        <f>IF(ISBLANK('ENGAGEMENTS 2026'!B2428),"",'ENGAGEMENTS 2026'!L2428)</f>
        <v/>
      </c>
      <c r="P2428">
        <f>IF(ISBLANK('ENGAGEMENTS 2026'!B2428),"",'ENGAGEMENTS 2026'!J2428)</f>
        <v/>
      </c>
      <c r="Q2428">
        <f>IF($A2428="","",IF(OR($E2428="INFRUCTUEUX",$E2428="ANNULE"),$A2428&amp;"|"&amp;(COUNTIFS($A$2:$A2428,$A2428,$E$2:$E2428,"INFRUCTUEUX")+COUNTIFS($A$2:$A2428,$A2428,$E$2:$E2428,"ANNULE")),""))</f>
        <v/>
      </c>
    </row>
    <row r="2429">
      <c r="A2429">
        <f>IF(ISBLANK('ENGAGEMENTS 2026'!B2429),"",IF('ENGAGEMENTS 2026'!B2429="DTSI","DCT",'ENGAGEMENTS 2026'!B2429))</f>
        <v/>
      </c>
      <c r="B2429">
        <f>IF(ISBLANK('ENGAGEMENTS 2026'!B2429),"",'ENGAGEMENTS 2026'!C2429)</f>
        <v/>
      </c>
      <c r="C2429">
        <f>IF(ISBLANK('ENGAGEMENTS 2026'!B2429),"",'ENGAGEMENTS 2026'!D2429)</f>
        <v/>
      </c>
      <c r="D2429">
        <f>IF(ISBLANK('ENGAGEMENTS 2026'!B2429),"",'ENGAGEMENTS 2026'!F2429)</f>
        <v/>
      </c>
      <c r="E2429">
        <f>IF(ISBLANK('ENGAGEMENTS 2026'!B2429),"",'ENGAGEMENTS 2026'!H2429)</f>
        <v/>
      </c>
      <c r="F2429">
        <f>IF(ISBLANK('ENGAGEMENTS 2026'!B2429),"",'ENGAGEMENTS 2026'!I2429)</f>
        <v/>
      </c>
      <c r="G2429">
        <f>IF(ISBLANK('ENGAGEMENTS 2026'!B2429),"",'ENGAGEMENTS 2026'!L2429)</f>
        <v/>
      </c>
      <c r="H2429">
        <f>IF(ISBLANK('ENGAGEMENTS 2026'!B2429),"",'ENGAGEMENTS 2026'!AE2429)</f>
        <v/>
      </c>
      <c r="I2429">
        <f>IF(ISBLANK('ENGAGEMENTS 2026'!B2429),"",'ENGAGEMENTS 2026'!G2429)</f>
        <v/>
      </c>
      <c r="J2429" s="275">
        <f>IF(ISBLANK('ENGAGEMENTS 2026'!B2429),"",IF(AND(OR($E2429="INFRUCTUEUX",$E2429="ANNULE"),$C2429="AOO-M"),'ENGAGEMENTS 2026'!O2429,IF($H2429="EN COURS DE PREENGAGEMENT",'ENGAGEMENTS 2026'!N2429,IF($H2429="PREENGAGE",IF($E2429="ATTRIBUE",'ENGAGEMENTS 2026'!AD2429,'ENGAGEMENTS 2026'!N2429),'ENGAGEMENTS 2026'!AD2429))))</f>
        <v/>
      </c>
      <c r="K2429" s="604">
        <f>IF(ISBLANK('ENGAGEMENTS 2026'!V2429),"",'ENGAGEMENTS 2026'!V2429)</f>
        <v/>
      </c>
      <c r="L2429" s="276">
        <f>IF($K2429="","",TODAY()-$K2429)</f>
        <v/>
      </c>
      <c r="M2429">
        <f>IF($A2429="","",IF($H2429="ENGAGE","Engagé",IF(AND($H2429="NON ENGAGE",OR($I2429="INFRUCTUEUX",$I2429="ANNULE")),"Clôturé sans suite","En cours")))</f>
        <v/>
      </c>
      <c r="N2429">
        <f>IF(ISBLANK('ENGAGEMENTS 2026'!B2429),"",'ENGAGEMENTS 2026'!K2429)</f>
        <v/>
      </c>
      <c r="O2429">
        <f>IF(ISBLANK('ENGAGEMENTS 2026'!B2429),"",'ENGAGEMENTS 2026'!L2429)</f>
        <v/>
      </c>
      <c r="P2429">
        <f>IF(ISBLANK('ENGAGEMENTS 2026'!B2429),"",'ENGAGEMENTS 2026'!J2429)</f>
        <v/>
      </c>
      <c r="Q2429">
        <f>IF($A2429="","",IF(OR($E2429="INFRUCTUEUX",$E2429="ANNULE"),$A2429&amp;"|"&amp;(COUNTIFS($A$2:$A2429,$A2429,$E$2:$E2429,"INFRUCTUEUX")+COUNTIFS($A$2:$A2429,$A2429,$E$2:$E2429,"ANNULE")),""))</f>
        <v/>
      </c>
    </row>
    <row r="2430">
      <c r="A2430">
        <f>IF(ISBLANK('ENGAGEMENTS 2026'!B2430),"",IF('ENGAGEMENTS 2026'!B2430="DTSI","DCT",'ENGAGEMENTS 2026'!B2430))</f>
        <v/>
      </c>
      <c r="B2430">
        <f>IF(ISBLANK('ENGAGEMENTS 2026'!B2430),"",'ENGAGEMENTS 2026'!C2430)</f>
        <v/>
      </c>
      <c r="C2430">
        <f>IF(ISBLANK('ENGAGEMENTS 2026'!B2430),"",'ENGAGEMENTS 2026'!D2430)</f>
        <v/>
      </c>
      <c r="D2430">
        <f>IF(ISBLANK('ENGAGEMENTS 2026'!B2430),"",'ENGAGEMENTS 2026'!F2430)</f>
        <v/>
      </c>
      <c r="E2430">
        <f>IF(ISBLANK('ENGAGEMENTS 2026'!B2430),"",'ENGAGEMENTS 2026'!H2430)</f>
        <v/>
      </c>
      <c r="F2430">
        <f>IF(ISBLANK('ENGAGEMENTS 2026'!B2430),"",'ENGAGEMENTS 2026'!I2430)</f>
        <v/>
      </c>
      <c r="G2430">
        <f>IF(ISBLANK('ENGAGEMENTS 2026'!B2430),"",'ENGAGEMENTS 2026'!L2430)</f>
        <v/>
      </c>
      <c r="H2430">
        <f>IF(ISBLANK('ENGAGEMENTS 2026'!B2430),"",'ENGAGEMENTS 2026'!AE2430)</f>
        <v/>
      </c>
      <c r="I2430">
        <f>IF(ISBLANK('ENGAGEMENTS 2026'!B2430),"",'ENGAGEMENTS 2026'!G2430)</f>
        <v/>
      </c>
      <c r="J2430" s="275">
        <f>IF(ISBLANK('ENGAGEMENTS 2026'!B2430),"",IF(AND(OR($E2430="INFRUCTUEUX",$E2430="ANNULE"),$C2430="AOO-M"),'ENGAGEMENTS 2026'!O2430,IF($H2430="EN COURS DE PREENGAGEMENT",'ENGAGEMENTS 2026'!N2430,IF($H2430="PREENGAGE",IF($E2430="ATTRIBUE",'ENGAGEMENTS 2026'!AD2430,'ENGAGEMENTS 2026'!N2430),'ENGAGEMENTS 2026'!AD2430))))</f>
        <v/>
      </c>
      <c r="K2430" s="604">
        <f>IF(ISBLANK('ENGAGEMENTS 2026'!V2430),"",'ENGAGEMENTS 2026'!V2430)</f>
        <v/>
      </c>
      <c r="L2430" s="276">
        <f>IF($K2430="","",TODAY()-$K2430)</f>
        <v/>
      </c>
      <c r="M2430">
        <f>IF($A2430="","",IF($H2430="ENGAGE","Engagé",IF(AND($H2430="NON ENGAGE",OR($I2430="INFRUCTUEUX",$I2430="ANNULE")),"Clôturé sans suite","En cours")))</f>
        <v/>
      </c>
      <c r="N2430">
        <f>IF(ISBLANK('ENGAGEMENTS 2026'!B2430),"",'ENGAGEMENTS 2026'!K2430)</f>
        <v/>
      </c>
      <c r="O2430">
        <f>IF(ISBLANK('ENGAGEMENTS 2026'!B2430),"",'ENGAGEMENTS 2026'!L2430)</f>
        <v/>
      </c>
      <c r="P2430">
        <f>IF(ISBLANK('ENGAGEMENTS 2026'!B2430),"",'ENGAGEMENTS 2026'!J2430)</f>
        <v/>
      </c>
      <c r="Q2430">
        <f>IF($A2430="","",IF(OR($E2430="INFRUCTUEUX",$E2430="ANNULE"),$A2430&amp;"|"&amp;(COUNTIFS($A$2:$A2430,$A2430,$E$2:$E2430,"INFRUCTUEUX")+COUNTIFS($A$2:$A2430,$A2430,$E$2:$E2430,"ANNULE")),""))</f>
        <v/>
      </c>
    </row>
    <row r="2431">
      <c r="A2431">
        <f>IF(ISBLANK('ENGAGEMENTS 2026'!B2431),"",IF('ENGAGEMENTS 2026'!B2431="DTSI","DCT",'ENGAGEMENTS 2026'!B2431))</f>
        <v/>
      </c>
      <c r="B2431">
        <f>IF(ISBLANK('ENGAGEMENTS 2026'!B2431),"",'ENGAGEMENTS 2026'!C2431)</f>
        <v/>
      </c>
      <c r="C2431">
        <f>IF(ISBLANK('ENGAGEMENTS 2026'!B2431),"",'ENGAGEMENTS 2026'!D2431)</f>
        <v/>
      </c>
      <c r="D2431">
        <f>IF(ISBLANK('ENGAGEMENTS 2026'!B2431),"",'ENGAGEMENTS 2026'!F2431)</f>
        <v/>
      </c>
      <c r="E2431">
        <f>IF(ISBLANK('ENGAGEMENTS 2026'!B2431),"",'ENGAGEMENTS 2026'!H2431)</f>
        <v/>
      </c>
      <c r="F2431">
        <f>IF(ISBLANK('ENGAGEMENTS 2026'!B2431),"",'ENGAGEMENTS 2026'!I2431)</f>
        <v/>
      </c>
      <c r="G2431">
        <f>IF(ISBLANK('ENGAGEMENTS 2026'!B2431),"",'ENGAGEMENTS 2026'!L2431)</f>
        <v/>
      </c>
      <c r="H2431">
        <f>IF(ISBLANK('ENGAGEMENTS 2026'!B2431),"",'ENGAGEMENTS 2026'!AE2431)</f>
        <v/>
      </c>
      <c r="I2431">
        <f>IF(ISBLANK('ENGAGEMENTS 2026'!B2431),"",'ENGAGEMENTS 2026'!G2431)</f>
        <v/>
      </c>
      <c r="J2431" s="275">
        <f>IF(ISBLANK('ENGAGEMENTS 2026'!B2431),"",IF(AND(OR($E2431="INFRUCTUEUX",$E2431="ANNULE"),$C2431="AOO-M"),'ENGAGEMENTS 2026'!O2431,IF($H2431="EN COURS DE PREENGAGEMENT",'ENGAGEMENTS 2026'!N2431,IF($H2431="PREENGAGE",IF($E2431="ATTRIBUE",'ENGAGEMENTS 2026'!AD2431,'ENGAGEMENTS 2026'!N2431),'ENGAGEMENTS 2026'!AD2431))))</f>
        <v/>
      </c>
      <c r="K2431" s="604">
        <f>IF(ISBLANK('ENGAGEMENTS 2026'!V2431),"",'ENGAGEMENTS 2026'!V2431)</f>
        <v/>
      </c>
      <c r="L2431" s="276">
        <f>IF($K2431="","",TODAY()-$K2431)</f>
        <v/>
      </c>
      <c r="M2431">
        <f>IF($A2431="","",IF($H2431="ENGAGE","Engagé",IF(AND($H2431="NON ENGAGE",OR($I2431="INFRUCTUEUX",$I2431="ANNULE")),"Clôturé sans suite","En cours")))</f>
        <v/>
      </c>
      <c r="N2431">
        <f>IF(ISBLANK('ENGAGEMENTS 2026'!B2431),"",'ENGAGEMENTS 2026'!K2431)</f>
        <v/>
      </c>
      <c r="O2431">
        <f>IF(ISBLANK('ENGAGEMENTS 2026'!B2431),"",'ENGAGEMENTS 2026'!L2431)</f>
        <v/>
      </c>
      <c r="P2431">
        <f>IF(ISBLANK('ENGAGEMENTS 2026'!B2431),"",'ENGAGEMENTS 2026'!J2431)</f>
        <v/>
      </c>
      <c r="Q2431">
        <f>IF($A2431="","",IF(OR($E2431="INFRUCTUEUX",$E2431="ANNULE"),$A2431&amp;"|"&amp;(COUNTIFS($A$2:$A2431,$A2431,$E$2:$E2431,"INFRUCTUEUX")+COUNTIFS($A$2:$A2431,$A2431,$E$2:$E2431,"ANNULE")),""))</f>
        <v/>
      </c>
    </row>
    <row r="2432">
      <c r="A2432">
        <f>IF(ISBLANK('ENGAGEMENTS 2026'!B2432),"",IF('ENGAGEMENTS 2026'!B2432="DTSI","DCT",'ENGAGEMENTS 2026'!B2432))</f>
        <v/>
      </c>
      <c r="B2432">
        <f>IF(ISBLANK('ENGAGEMENTS 2026'!B2432),"",'ENGAGEMENTS 2026'!C2432)</f>
        <v/>
      </c>
      <c r="C2432">
        <f>IF(ISBLANK('ENGAGEMENTS 2026'!B2432),"",'ENGAGEMENTS 2026'!D2432)</f>
        <v/>
      </c>
      <c r="D2432">
        <f>IF(ISBLANK('ENGAGEMENTS 2026'!B2432),"",'ENGAGEMENTS 2026'!F2432)</f>
        <v/>
      </c>
      <c r="E2432">
        <f>IF(ISBLANK('ENGAGEMENTS 2026'!B2432),"",'ENGAGEMENTS 2026'!H2432)</f>
        <v/>
      </c>
      <c r="F2432">
        <f>IF(ISBLANK('ENGAGEMENTS 2026'!B2432),"",'ENGAGEMENTS 2026'!I2432)</f>
        <v/>
      </c>
      <c r="G2432">
        <f>IF(ISBLANK('ENGAGEMENTS 2026'!B2432),"",'ENGAGEMENTS 2026'!L2432)</f>
        <v/>
      </c>
      <c r="H2432">
        <f>IF(ISBLANK('ENGAGEMENTS 2026'!B2432),"",'ENGAGEMENTS 2026'!AE2432)</f>
        <v/>
      </c>
      <c r="I2432">
        <f>IF(ISBLANK('ENGAGEMENTS 2026'!B2432),"",'ENGAGEMENTS 2026'!G2432)</f>
        <v/>
      </c>
      <c r="J2432" s="275">
        <f>IF(ISBLANK('ENGAGEMENTS 2026'!B2432),"",IF(AND(OR($E2432="INFRUCTUEUX",$E2432="ANNULE"),$C2432="AOO-M"),'ENGAGEMENTS 2026'!O2432,IF($H2432="EN COURS DE PREENGAGEMENT",'ENGAGEMENTS 2026'!N2432,IF($H2432="PREENGAGE",IF($E2432="ATTRIBUE",'ENGAGEMENTS 2026'!AD2432,'ENGAGEMENTS 2026'!N2432),'ENGAGEMENTS 2026'!AD2432))))</f>
        <v/>
      </c>
      <c r="K2432" s="604">
        <f>IF(ISBLANK('ENGAGEMENTS 2026'!V2432),"",'ENGAGEMENTS 2026'!V2432)</f>
        <v/>
      </c>
      <c r="L2432" s="276">
        <f>IF($K2432="","",TODAY()-$K2432)</f>
        <v/>
      </c>
      <c r="M2432">
        <f>IF($A2432="","",IF($H2432="ENGAGE","Engagé",IF(AND($H2432="NON ENGAGE",OR($I2432="INFRUCTUEUX",$I2432="ANNULE")),"Clôturé sans suite","En cours")))</f>
        <v/>
      </c>
      <c r="N2432">
        <f>IF(ISBLANK('ENGAGEMENTS 2026'!B2432),"",'ENGAGEMENTS 2026'!K2432)</f>
        <v/>
      </c>
      <c r="O2432">
        <f>IF(ISBLANK('ENGAGEMENTS 2026'!B2432),"",'ENGAGEMENTS 2026'!L2432)</f>
        <v/>
      </c>
      <c r="P2432">
        <f>IF(ISBLANK('ENGAGEMENTS 2026'!B2432),"",'ENGAGEMENTS 2026'!J2432)</f>
        <v/>
      </c>
      <c r="Q2432">
        <f>IF($A2432="","",IF(OR($E2432="INFRUCTUEUX",$E2432="ANNULE"),$A2432&amp;"|"&amp;(COUNTIFS($A$2:$A2432,$A2432,$E$2:$E2432,"INFRUCTUEUX")+COUNTIFS($A$2:$A2432,$A2432,$E$2:$E2432,"ANNULE")),""))</f>
        <v/>
      </c>
    </row>
    <row r="2433">
      <c r="A2433">
        <f>IF(ISBLANK('ENGAGEMENTS 2026'!B2433),"",IF('ENGAGEMENTS 2026'!B2433="DTSI","DCT",'ENGAGEMENTS 2026'!B2433))</f>
        <v/>
      </c>
      <c r="B2433">
        <f>IF(ISBLANK('ENGAGEMENTS 2026'!B2433),"",'ENGAGEMENTS 2026'!C2433)</f>
        <v/>
      </c>
      <c r="C2433">
        <f>IF(ISBLANK('ENGAGEMENTS 2026'!B2433),"",'ENGAGEMENTS 2026'!D2433)</f>
        <v/>
      </c>
      <c r="D2433">
        <f>IF(ISBLANK('ENGAGEMENTS 2026'!B2433),"",'ENGAGEMENTS 2026'!F2433)</f>
        <v/>
      </c>
      <c r="E2433">
        <f>IF(ISBLANK('ENGAGEMENTS 2026'!B2433),"",'ENGAGEMENTS 2026'!H2433)</f>
        <v/>
      </c>
      <c r="F2433">
        <f>IF(ISBLANK('ENGAGEMENTS 2026'!B2433),"",'ENGAGEMENTS 2026'!I2433)</f>
        <v/>
      </c>
      <c r="G2433">
        <f>IF(ISBLANK('ENGAGEMENTS 2026'!B2433),"",'ENGAGEMENTS 2026'!L2433)</f>
        <v/>
      </c>
      <c r="H2433">
        <f>IF(ISBLANK('ENGAGEMENTS 2026'!B2433),"",'ENGAGEMENTS 2026'!AE2433)</f>
        <v/>
      </c>
      <c r="I2433">
        <f>IF(ISBLANK('ENGAGEMENTS 2026'!B2433),"",'ENGAGEMENTS 2026'!G2433)</f>
        <v/>
      </c>
      <c r="J2433" s="275">
        <f>IF(ISBLANK('ENGAGEMENTS 2026'!B2433),"",IF(AND(OR($E2433="INFRUCTUEUX",$E2433="ANNULE"),$C2433="AOO-M"),'ENGAGEMENTS 2026'!O2433,IF($H2433="EN COURS DE PREENGAGEMENT",'ENGAGEMENTS 2026'!N2433,IF($H2433="PREENGAGE",IF($E2433="ATTRIBUE",'ENGAGEMENTS 2026'!AD2433,'ENGAGEMENTS 2026'!N2433),'ENGAGEMENTS 2026'!AD2433))))</f>
        <v/>
      </c>
      <c r="K2433" s="604">
        <f>IF(ISBLANK('ENGAGEMENTS 2026'!V2433),"",'ENGAGEMENTS 2026'!V2433)</f>
        <v/>
      </c>
      <c r="L2433" s="276">
        <f>IF($K2433="","",TODAY()-$K2433)</f>
        <v/>
      </c>
      <c r="M2433">
        <f>IF($A2433="","",IF($H2433="ENGAGE","Engagé",IF(AND($H2433="NON ENGAGE",OR($I2433="INFRUCTUEUX",$I2433="ANNULE")),"Clôturé sans suite","En cours")))</f>
        <v/>
      </c>
      <c r="N2433">
        <f>IF(ISBLANK('ENGAGEMENTS 2026'!B2433),"",'ENGAGEMENTS 2026'!K2433)</f>
        <v/>
      </c>
      <c r="O2433">
        <f>IF(ISBLANK('ENGAGEMENTS 2026'!B2433),"",'ENGAGEMENTS 2026'!L2433)</f>
        <v/>
      </c>
      <c r="P2433">
        <f>IF(ISBLANK('ENGAGEMENTS 2026'!B2433),"",'ENGAGEMENTS 2026'!J2433)</f>
        <v/>
      </c>
      <c r="Q2433">
        <f>IF($A2433="","",IF(OR($E2433="INFRUCTUEUX",$E2433="ANNULE"),$A2433&amp;"|"&amp;(COUNTIFS($A$2:$A2433,$A2433,$E$2:$E2433,"INFRUCTUEUX")+COUNTIFS($A$2:$A2433,$A2433,$E$2:$E2433,"ANNULE")),""))</f>
        <v/>
      </c>
    </row>
    <row r="2434">
      <c r="A2434">
        <f>IF(ISBLANK('ENGAGEMENTS 2026'!B2434),"",IF('ENGAGEMENTS 2026'!B2434="DTSI","DCT",'ENGAGEMENTS 2026'!B2434))</f>
        <v/>
      </c>
      <c r="B2434">
        <f>IF(ISBLANK('ENGAGEMENTS 2026'!B2434),"",'ENGAGEMENTS 2026'!C2434)</f>
        <v/>
      </c>
      <c r="C2434">
        <f>IF(ISBLANK('ENGAGEMENTS 2026'!B2434),"",'ENGAGEMENTS 2026'!D2434)</f>
        <v/>
      </c>
      <c r="D2434">
        <f>IF(ISBLANK('ENGAGEMENTS 2026'!B2434),"",'ENGAGEMENTS 2026'!F2434)</f>
        <v/>
      </c>
      <c r="E2434">
        <f>IF(ISBLANK('ENGAGEMENTS 2026'!B2434),"",'ENGAGEMENTS 2026'!H2434)</f>
        <v/>
      </c>
      <c r="F2434">
        <f>IF(ISBLANK('ENGAGEMENTS 2026'!B2434),"",'ENGAGEMENTS 2026'!I2434)</f>
        <v/>
      </c>
      <c r="G2434">
        <f>IF(ISBLANK('ENGAGEMENTS 2026'!B2434),"",'ENGAGEMENTS 2026'!L2434)</f>
        <v/>
      </c>
      <c r="H2434">
        <f>IF(ISBLANK('ENGAGEMENTS 2026'!B2434),"",'ENGAGEMENTS 2026'!AE2434)</f>
        <v/>
      </c>
      <c r="I2434">
        <f>IF(ISBLANK('ENGAGEMENTS 2026'!B2434),"",'ENGAGEMENTS 2026'!G2434)</f>
        <v/>
      </c>
      <c r="J2434" s="275">
        <f>IF(ISBLANK('ENGAGEMENTS 2026'!B2434),"",IF(AND(OR($E2434="INFRUCTUEUX",$E2434="ANNULE"),$C2434="AOO-M"),'ENGAGEMENTS 2026'!O2434,IF($H2434="EN COURS DE PREENGAGEMENT",'ENGAGEMENTS 2026'!N2434,IF($H2434="PREENGAGE",IF($E2434="ATTRIBUE",'ENGAGEMENTS 2026'!AD2434,'ENGAGEMENTS 2026'!N2434),'ENGAGEMENTS 2026'!AD2434))))</f>
        <v/>
      </c>
      <c r="K2434" s="604">
        <f>IF(ISBLANK('ENGAGEMENTS 2026'!V2434),"",'ENGAGEMENTS 2026'!V2434)</f>
        <v/>
      </c>
      <c r="L2434" s="276">
        <f>IF($K2434="","",TODAY()-$K2434)</f>
        <v/>
      </c>
      <c r="M2434">
        <f>IF($A2434="","",IF($H2434="ENGAGE","Engagé",IF(AND($H2434="NON ENGAGE",OR($I2434="INFRUCTUEUX",$I2434="ANNULE")),"Clôturé sans suite","En cours")))</f>
        <v/>
      </c>
      <c r="N2434">
        <f>IF(ISBLANK('ENGAGEMENTS 2026'!B2434),"",'ENGAGEMENTS 2026'!K2434)</f>
        <v/>
      </c>
      <c r="O2434">
        <f>IF(ISBLANK('ENGAGEMENTS 2026'!B2434),"",'ENGAGEMENTS 2026'!L2434)</f>
        <v/>
      </c>
      <c r="P2434">
        <f>IF(ISBLANK('ENGAGEMENTS 2026'!B2434),"",'ENGAGEMENTS 2026'!J2434)</f>
        <v/>
      </c>
      <c r="Q2434">
        <f>IF($A2434="","",IF(OR($E2434="INFRUCTUEUX",$E2434="ANNULE"),$A2434&amp;"|"&amp;(COUNTIFS($A$2:$A2434,$A2434,$E$2:$E2434,"INFRUCTUEUX")+COUNTIFS($A$2:$A2434,$A2434,$E$2:$E2434,"ANNULE")),""))</f>
        <v/>
      </c>
    </row>
    <row r="2435">
      <c r="A2435">
        <f>IF(ISBLANK('ENGAGEMENTS 2026'!B2435),"",IF('ENGAGEMENTS 2026'!B2435="DTSI","DCT",'ENGAGEMENTS 2026'!B2435))</f>
        <v/>
      </c>
      <c r="B2435">
        <f>IF(ISBLANK('ENGAGEMENTS 2026'!B2435),"",'ENGAGEMENTS 2026'!C2435)</f>
        <v/>
      </c>
      <c r="C2435">
        <f>IF(ISBLANK('ENGAGEMENTS 2026'!B2435),"",'ENGAGEMENTS 2026'!D2435)</f>
        <v/>
      </c>
      <c r="D2435">
        <f>IF(ISBLANK('ENGAGEMENTS 2026'!B2435),"",'ENGAGEMENTS 2026'!F2435)</f>
        <v/>
      </c>
      <c r="E2435">
        <f>IF(ISBLANK('ENGAGEMENTS 2026'!B2435),"",'ENGAGEMENTS 2026'!H2435)</f>
        <v/>
      </c>
      <c r="F2435">
        <f>IF(ISBLANK('ENGAGEMENTS 2026'!B2435),"",'ENGAGEMENTS 2026'!I2435)</f>
        <v/>
      </c>
      <c r="G2435">
        <f>IF(ISBLANK('ENGAGEMENTS 2026'!B2435),"",'ENGAGEMENTS 2026'!L2435)</f>
        <v/>
      </c>
      <c r="H2435">
        <f>IF(ISBLANK('ENGAGEMENTS 2026'!B2435),"",'ENGAGEMENTS 2026'!AE2435)</f>
        <v/>
      </c>
      <c r="I2435">
        <f>IF(ISBLANK('ENGAGEMENTS 2026'!B2435),"",'ENGAGEMENTS 2026'!G2435)</f>
        <v/>
      </c>
      <c r="J2435" s="275">
        <f>IF(ISBLANK('ENGAGEMENTS 2026'!B2435),"",IF(AND(OR($E2435="INFRUCTUEUX",$E2435="ANNULE"),$C2435="AOO-M"),'ENGAGEMENTS 2026'!O2435,IF($H2435="EN COURS DE PREENGAGEMENT",'ENGAGEMENTS 2026'!N2435,IF($H2435="PREENGAGE",IF($E2435="ATTRIBUE",'ENGAGEMENTS 2026'!AD2435,'ENGAGEMENTS 2026'!N2435),'ENGAGEMENTS 2026'!AD2435))))</f>
        <v/>
      </c>
      <c r="K2435" s="604">
        <f>IF(ISBLANK('ENGAGEMENTS 2026'!V2435),"",'ENGAGEMENTS 2026'!V2435)</f>
        <v/>
      </c>
      <c r="L2435" s="276">
        <f>IF($K2435="","",TODAY()-$K2435)</f>
        <v/>
      </c>
      <c r="M2435">
        <f>IF($A2435="","",IF($H2435="ENGAGE","Engagé",IF(AND($H2435="NON ENGAGE",OR($I2435="INFRUCTUEUX",$I2435="ANNULE")),"Clôturé sans suite","En cours")))</f>
        <v/>
      </c>
      <c r="N2435">
        <f>IF(ISBLANK('ENGAGEMENTS 2026'!B2435),"",'ENGAGEMENTS 2026'!K2435)</f>
        <v/>
      </c>
      <c r="O2435">
        <f>IF(ISBLANK('ENGAGEMENTS 2026'!B2435),"",'ENGAGEMENTS 2026'!L2435)</f>
        <v/>
      </c>
      <c r="P2435">
        <f>IF(ISBLANK('ENGAGEMENTS 2026'!B2435),"",'ENGAGEMENTS 2026'!J2435)</f>
        <v/>
      </c>
      <c r="Q2435">
        <f>IF($A2435="","",IF(OR($E2435="INFRUCTUEUX",$E2435="ANNULE"),$A2435&amp;"|"&amp;(COUNTIFS($A$2:$A2435,$A2435,$E$2:$E2435,"INFRUCTUEUX")+COUNTIFS($A$2:$A2435,$A2435,$E$2:$E2435,"ANNULE")),""))</f>
        <v/>
      </c>
    </row>
    <row r="2436">
      <c r="A2436">
        <f>IF(ISBLANK('ENGAGEMENTS 2026'!B2436),"",IF('ENGAGEMENTS 2026'!B2436="DTSI","DCT",'ENGAGEMENTS 2026'!B2436))</f>
        <v/>
      </c>
      <c r="B2436">
        <f>IF(ISBLANK('ENGAGEMENTS 2026'!B2436),"",'ENGAGEMENTS 2026'!C2436)</f>
        <v/>
      </c>
      <c r="C2436">
        <f>IF(ISBLANK('ENGAGEMENTS 2026'!B2436),"",'ENGAGEMENTS 2026'!D2436)</f>
        <v/>
      </c>
      <c r="D2436">
        <f>IF(ISBLANK('ENGAGEMENTS 2026'!B2436),"",'ENGAGEMENTS 2026'!F2436)</f>
        <v/>
      </c>
      <c r="E2436">
        <f>IF(ISBLANK('ENGAGEMENTS 2026'!B2436),"",'ENGAGEMENTS 2026'!H2436)</f>
        <v/>
      </c>
      <c r="F2436">
        <f>IF(ISBLANK('ENGAGEMENTS 2026'!B2436),"",'ENGAGEMENTS 2026'!I2436)</f>
        <v/>
      </c>
      <c r="G2436">
        <f>IF(ISBLANK('ENGAGEMENTS 2026'!B2436),"",'ENGAGEMENTS 2026'!L2436)</f>
        <v/>
      </c>
      <c r="H2436">
        <f>IF(ISBLANK('ENGAGEMENTS 2026'!B2436),"",'ENGAGEMENTS 2026'!AE2436)</f>
        <v/>
      </c>
      <c r="I2436">
        <f>IF(ISBLANK('ENGAGEMENTS 2026'!B2436),"",'ENGAGEMENTS 2026'!G2436)</f>
        <v/>
      </c>
      <c r="J2436" s="275">
        <f>IF(ISBLANK('ENGAGEMENTS 2026'!B2436),"",IF(AND(OR($E2436="INFRUCTUEUX",$E2436="ANNULE"),$C2436="AOO-M"),'ENGAGEMENTS 2026'!O2436,IF($H2436="EN COURS DE PREENGAGEMENT",'ENGAGEMENTS 2026'!N2436,IF($H2436="PREENGAGE",IF($E2436="ATTRIBUE",'ENGAGEMENTS 2026'!AD2436,'ENGAGEMENTS 2026'!N2436),'ENGAGEMENTS 2026'!AD2436))))</f>
        <v/>
      </c>
      <c r="K2436" s="604">
        <f>IF(ISBLANK('ENGAGEMENTS 2026'!V2436),"",'ENGAGEMENTS 2026'!V2436)</f>
        <v/>
      </c>
      <c r="L2436" s="276">
        <f>IF($K2436="","",TODAY()-$K2436)</f>
        <v/>
      </c>
      <c r="M2436">
        <f>IF($A2436="","",IF($H2436="ENGAGE","Engagé",IF(AND($H2436="NON ENGAGE",OR($I2436="INFRUCTUEUX",$I2436="ANNULE")),"Clôturé sans suite","En cours")))</f>
        <v/>
      </c>
      <c r="N2436">
        <f>IF(ISBLANK('ENGAGEMENTS 2026'!B2436),"",'ENGAGEMENTS 2026'!K2436)</f>
        <v/>
      </c>
      <c r="O2436">
        <f>IF(ISBLANK('ENGAGEMENTS 2026'!B2436),"",'ENGAGEMENTS 2026'!L2436)</f>
        <v/>
      </c>
      <c r="P2436">
        <f>IF(ISBLANK('ENGAGEMENTS 2026'!B2436),"",'ENGAGEMENTS 2026'!J2436)</f>
        <v/>
      </c>
      <c r="Q2436">
        <f>IF($A2436="","",IF(OR($E2436="INFRUCTUEUX",$E2436="ANNULE"),$A2436&amp;"|"&amp;(COUNTIFS($A$2:$A2436,$A2436,$E$2:$E2436,"INFRUCTUEUX")+COUNTIFS($A$2:$A2436,$A2436,$E$2:$E2436,"ANNULE")),""))</f>
        <v/>
      </c>
    </row>
    <row r="2437">
      <c r="A2437">
        <f>IF(ISBLANK('ENGAGEMENTS 2026'!B2437),"",IF('ENGAGEMENTS 2026'!B2437="DTSI","DCT",'ENGAGEMENTS 2026'!B2437))</f>
        <v/>
      </c>
      <c r="B2437">
        <f>IF(ISBLANK('ENGAGEMENTS 2026'!B2437),"",'ENGAGEMENTS 2026'!C2437)</f>
        <v/>
      </c>
      <c r="C2437">
        <f>IF(ISBLANK('ENGAGEMENTS 2026'!B2437),"",'ENGAGEMENTS 2026'!D2437)</f>
        <v/>
      </c>
      <c r="D2437">
        <f>IF(ISBLANK('ENGAGEMENTS 2026'!B2437),"",'ENGAGEMENTS 2026'!F2437)</f>
        <v/>
      </c>
      <c r="E2437">
        <f>IF(ISBLANK('ENGAGEMENTS 2026'!B2437),"",'ENGAGEMENTS 2026'!H2437)</f>
        <v/>
      </c>
      <c r="F2437">
        <f>IF(ISBLANK('ENGAGEMENTS 2026'!B2437),"",'ENGAGEMENTS 2026'!I2437)</f>
        <v/>
      </c>
      <c r="G2437">
        <f>IF(ISBLANK('ENGAGEMENTS 2026'!B2437),"",'ENGAGEMENTS 2026'!L2437)</f>
        <v/>
      </c>
      <c r="H2437">
        <f>IF(ISBLANK('ENGAGEMENTS 2026'!B2437),"",'ENGAGEMENTS 2026'!AE2437)</f>
        <v/>
      </c>
      <c r="I2437">
        <f>IF(ISBLANK('ENGAGEMENTS 2026'!B2437),"",'ENGAGEMENTS 2026'!G2437)</f>
        <v/>
      </c>
      <c r="J2437" s="275">
        <f>IF(ISBLANK('ENGAGEMENTS 2026'!B2437),"",IF(AND(OR($E2437="INFRUCTUEUX",$E2437="ANNULE"),$C2437="AOO-M"),'ENGAGEMENTS 2026'!O2437,IF($H2437="EN COURS DE PREENGAGEMENT",'ENGAGEMENTS 2026'!N2437,IF($H2437="PREENGAGE",IF($E2437="ATTRIBUE",'ENGAGEMENTS 2026'!AD2437,'ENGAGEMENTS 2026'!N2437),'ENGAGEMENTS 2026'!AD2437))))</f>
        <v/>
      </c>
      <c r="K2437" s="604">
        <f>IF(ISBLANK('ENGAGEMENTS 2026'!V2437),"",'ENGAGEMENTS 2026'!V2437)</f>
        <v/>
      </c>
      <c r="L2437" s="276">
        <f>IF($K2437="","",TODAY()-$K2437)</f>
        <v/>
      </c>
      <c r="M2437">
        <f>IF($A2437="","",IF($H2437="ENGAGE","Engagé",IF(AND($H2437="NON ENGAGE",OR($I2437="INFRUCTUEUX",$I2437="ANNULE")),"Clôturé sans suite","En cours")))</f>
        <v/>
      </c>
      <c r="N2437">
        <f>IF(ISBLANK('ENGAGEMENTS 2026'!B2437),"",'ENGAGEMENTS 2026'!K2437)</f>
        <v/>
      </c>
      <c r="O2437">
        <f>IF(ISBLANK('ENGAGEMENTS 2026'!B2437),"",'ENGAGEMENTS 2026'!L2437)</f>
        <v/>
      </c>
      <c r="P2437">
        <f>IF(ISBLANK('ENGAGEMENTS 2026'!B2437),"",'ENGAGEMENTS 2026'!J2437)</f>
        <v/>
      </c>
      <c r="Q2437">
        <f>IF($A2437="","",IF(OR($E2437="INFRUCTUEUX",$E2437="ANNULE"),$A2437&amp;"|"&amp;(COUNTIFS($A$2:$A2437,$A2437,$E$2:$E2437,"INFRUCTUEUX")+COUNTIFS($A$2:$A2437,$A2437,$E$2:$E2437,"ANNULE")),""))</f>
        <v/>
      </c>
    </row>
    <row r="2438">
      <c r="A2438">
        <f>IF(ISBLANK('ENGAGEMENTS 2026'!B2438),"",IF('ENGAGEMENTS 2026'!B2438="DTSI","DCT",'ENGAGEMENTS 2026'!B2438))</f>
        <v/>
      </c>
      <c r="B2438">
        <f>IF(ISBLANK('ENGAGEMENTS 2026'!B2438),"",'ENGAGEMENTS 2026'!C2438)</f>
        <v/>
      </c>
      <c r="C2438">
        <f>IF(ISBLANK('ENGAGEMENTS 2026'!B2438),"",'ENGAGEMENTS 2026'!D2438)</f>
        <v/>
      </c>
      <c r="D2438">
        <f>IF(ISBLANK('ENGAGEMENTS 2026'!B2438),"",'ENGAGEMENTS 2026'!F2438)</f>
        <v/>
      </c>
      <c r="E2438">
        <f>IF(ISBLANK('ENGAGEMENTS 2026'!B2438),"",'ENGAGEMENTS 2026'!H2438)</f>
        <v/>
      </c>
      <c r="F2438">
        <f>IF(ISBLANK('ENGAGEMENTS 2026'!B2438),"",'ENGAGEMENTS 2026'!I2438)</f>
        <v/>
      </c>
      <c r="G2438">
        <f>IF(ISBLANK('ENGAGEMENTS 2026'!B2438),"",'ENGAGEMENTS 2026'!L2438)</f>
        <v/>
      </c>
      <c r="H2438">
        <f>IF(ISBLANK('ENGAGEMENTS 2026'!B2438),"",'ENGAGEMENTS 2026'!AE2438)</f>
        <v/>
      </c>
      <c r="I2438">
        <f>IF(ISBLANK('ENGAGEMENTS 2026'!B2438),"",'ENGAGEMENTS 2026'!G2438)</f>
        <v/>
      </c>
      <c r="J2438" s="275">
        <f>IF(ISBLANK('ENGAGEMENTS 2026'!B2438),"",IF(AND(OR($E2438="INFRUCTUEUX",$E2438="ANNULE"),$C2438="AOO-M"),'ENGAGEMENTS 2026'!O2438,IF($H2438="EN COURS DE PREENGAGEMENT",'ENGAGEMENTS 2026'!N2438,IF($H2438="PREENGAGE",IF($E2438="ATTRIBUE",'ENGAGEMENTS 2026'!AD2438,'ENGAGEMENTS 2026'!N2438),'ENGAGEMENTS 2026'!AD2438))))</f>
        <v/>
      </c>
      <c r="K2438" s="604">
        <f>IF(ISBLANK('ENGAGEMENTS 2026'!V2438),"",'ENGAGEMENTS 2026'!V2438)</f>
        <v/>
      </c>
      <c r="L2438" s="276">
        <f>IF($K2438="","",TODAY()-$K2438)</f>
        <v/>
      </c>
      <c r="M2438">
        <f>IF($A2438="","",IF($H2438="ENGAGE","Engagé",IF(AND($H2438="NON ENGAGE",OR($I2438="INFRUCTUEUX",$I2438="ANNULE")),"Clôturé sans suite","En cours")))</f>
        <v/>
      </c>
      <c r="N2438">
        <f>IF(ISBLANK('ENGAGEMENTS 2026'!B2438),"",'ENGAGEMENTS 2026'!K2438)</f>
        <v/>
      </c>
      <c r="O2438">
        <f>IF(ISBLANK('ENGAGEMENTS 2026'!B2438),"",'ENGAGEMENTS 2026'!L2438)</f>
        <v/>
      </c>
      <c r="P2438">
        <f>IF(ISBLANK('ENGAGEMENTS 2026'!B2438),"",'ENGAGEMENTS 2026'!J2438)</f>
        <v/>
      </c>
      <c r="Q2438">
        <f>IF($A2438="","",IF(OR($E2438="INFRUCTUEUX",$E2438="ANNULE"),$A2438&amp;"|"&amp;(COUNTIFS($A$2:$A2438,$A2438,$E$2:$E2438,"INFRUCTUEUX")+COUNTIFS($A$2:$A2438,$A2438,$E$2:$E2438,"ANNULE")),""))</f>
        <v/>
      </c>
    </row>
    <row r="2439">
      <c r="A2439">
        <f>IF(ISBLANK('ENGAGEMENTS 2026'!B2439),"",IF('ENGAGEMENTS 2026'!B2439="DTSI","DCT",'ENGAGEMENTS 2026'!B2439))</f>
        <v/>
      </c>
      <c r="B2439">
        <f>IF(ISBLANK('ENGAGEMENTS 2026'!B2439),"",'ENGAGEMENTS 2026'!C2439)</f>
        <v/>
      </c>
      <c r="C2439">
        <f>IF(ISBLANK('ENGAGEMENTS 2026'!B2439),"",'ENGAGEMENTS 2026'!D2439)</f>
        <v/>
      </c>
      <c r="D2439">
        <f>IF(ISBLANK('ENGAGEMENTS 2026'!B2439),"",'ENGAGEMENTS 2026'!F2439)</f>
        <v/>
      </c>
      <c r="E2439">
        <f>IF(ISBLANK('ENGAGEMENTS 2026'!B2439),"",'ENGAGEMENTS 2026'!H2439)</f>
        <v/>
      </c>
      <c r="F2439">
        <f>IF(ISBLANK('ENGAGEMENTS 2026'!B2439),"",'ENGAGEMENTS 2026'!I2439)</f>
        <v/>
      </c>
      <c r="G2439">
        <f>IF(ISBLANK('ENGAGEMENTS 2026'!B2439),"",'ENGAGEMENTS 2026'!L2439)</f>
        <v/>
      </c>
      <c r="H2439">
        <f>IF(ISBLANK('ENGAGEMENTS 2026'!B2439),"",'ENGAGEMENTS 2026'!AE2439)</f>
        <v/>
      </c>
      <c r="I2439">
        <f>IF(ISBLANK('ENGAGEMENTS 2026'!B2439),"",'ENGAGEMENTS 2026'!G2439)</f>
        <v/>
      </c>
      <c r="J2439" s="275">
        <f>IF(ISBLANK('ENGAGEMENTS 2026'!B2439),"",IF(AND(OR($E2439="INFRUCTUEUX",$E2439="ANNULE"),$C2439="AOO-M"),'ENGAGEMENTS 2026'!O2439,IF($H2439="EN COURS DE PREENGAGEMENT",'ENGAGEMENTS 2026'!N2439,IF($H2439="PREENGAGE",IF($E2439="ATTRIBUE",'ENGAGEMENTS 2026'!AD2439,'ENGAGEMENTS 2026'!N2439),'ENGAGEMENTS 2026'!AD2439))))</f>
        <v/>
      </c>
      <c r="K2439" s="604">
        <f>IF(ISBLANK('ENGAGEMENTS 2026'!V2439),"",'ENGAGEMENTS 2026'!V2439)</f>
        <v/>
      </c>
      <c r="L2439" s="276">
        <f>IF($K2439="","",TODAY()-$K2439)</f>
        <v/>
      </c>
      <c r="M2439">
        <f>IF($A2439="","",IF($H2439="ENGAGE","Engagé",IF(AND($H2439="NON ENGAGE",OR($I2439="INFRUCTUEUX",$I2439="ANNULE")),"Clôturé sans suite","En cours")))</f>
        <v/>
      </c>
      <c r="N2439">
        <f>IF(ISBLANK('ENGAGEMENTS 2026'!B2439),"",'ENGAGEMENTS 2026'!K2439)</f>
        <v/>
      </c>
      <c r="O2439">
        <f>IF(ISBLANK('ENGAGEMENTS 2026'!B2439),"",'ENGAGEMENTS 2026'!L2439)</f>
        <v/>
      </c>
      <c r="P2439">
        <f>IF(ISBLANK('ENGAGEMENTS 2026'!B2439),"",'ENGAGEMENTS 2026'!J2439)</f>
        <v/>
      </c>
      <c r="Q2439">
        <f>IF($A2439="","",IF(OR($E2439="INFRUCTUEUX",$E2439="ANNULE"),$A2439&amp;"|"&amp;(COUNTIFS($A$2:$A2439,$A2439,$E$2:$E2439,"INFRUCTUEUX")+COUNTIFS($A$2:$A2439,$A2439,$E$2:$E2439,"ANNULE")),""))</f>
        <v/>
      </c>
    </row>
    <row r="2440">
      <c r="A2440">
        <f>IF(ISBLANK('ENGAGEMENTS 2026'!B2440),"",IF('ENGAGEMENTS 2026'!B2440="DTSI","DCT",'ENGAGEMENTS 2026'!B2440))</f>
        <v/>
      </c>
      <c r="B2440">
        <f>IF(ISBLANK('ENGAGEMENTS 2026'!B2440),"",'ENGAGEMENTS 2026'!C2440)</f>
        <v/>
      </c>
      <c r="C2440">
        <f>IF(ISBLANK('ENGAGEMENTS 2026'!B2440),"",'ENGAGEMENTS 2026'!D2440)</f>
        <v/>
      </c>
      <c r="D2440">
        <f>IF(ISBLANK('ENGAGEMENTS 2026'!B2440),"",'ENGAGEMENTS 2026'!F2440)</f>
        <v/>
      </c>
      <c r="E2440">
        <f>IF(ISBLANK('ENGAGEMENTS 2026'!B2440),"",'ENGAGEMENTS 2026'!H2440)</f>
        <v/>
      </c>
      <c r="F2440">
        <f>IF(ISBLANK('ENGAGEMENTS 2026'!B2440),"",'ENGAGEMENTS 2026'!I2440)</f>
        <v/>
      </c>
      <c r="G2440">
        <f>IF(ISBLANK('ENGAGEMENTS 2026'!B2440),"",'ENGAGEMENTS 2026'!L2440)</f>
        <v/>
      </c>
      <c r="H2440">
        <f>IF(ISBLANK('ENGAGEMENTS 2026'!B2440),"",'ENGAGEMENTS 2026'!AE2440)</f>
        <v/>
      </c>
      <c r="I2440">
        <f>IF(ISBLANK('ENGAGEMENTS 2026'!B2440),"",'ENGAGEMENTS 2026'!G2440)</f>
        <v/>
      </c>
      <c r="J2440" s="275">
        <f>IF(ISBLANK('ENGAGEMENTS 2026'!B2440),"",IF(AND(OR($E2440="INFRUCTUEUX",$E2440="ANNULE"),$C2440="AOO-M"),'ENGAGEMENTS 2026'!O2440,IF($H2440="EN COURS DE PREENGAGEMENT",'ENGAGEMENTS 2026'!N2440,IF($H2440="PREENGAGE",IF($E2440="ATTRIBUE",'ENGAGEMENTS 2026'!AD2440,'ENGAGEMENTS 2026'!N2440),'ENGAGEMENTS 2026'!AD2440))))</f>
        <v/>
      </c>
      <c r="K2440" s="604">
        <f>IF(ISBLANK('ENGAGEMENTS 2026'!V2440),"",'ENGAGEMENTS 2026'!V2440)</f>
        <v/>
      </c>
      <c r="L2440" s="276">
        <f>IF($K2440="","",TODAY()-$K2440)</f>
        <v/>
      </c>
      <c r="M2440">
        <f>IF($A2440="","",IF($H2440="ENGAGE","Engagé",IF(AND($H2440="NON ENGAGE",OR($I2440="INFRUCTUEUX",$I2440="ANNULE")),"Clôturé sans suite","En cours")))</f>
        <v/>
      </c>
      <c r="N2440">
        <f>IF(ISBLANK('ENGAGEMENTS 2026'!B2440),"",'ENGAGEMENTS 2026'!K2440)</f>
        <v/>
      </c>
      <c r="O2440">
        <f>IF(ISBLANK('ENGAGEMENTS 2026'!B2440),"",'ENGAGEMENTS 2026'!L2440)</f>
        <v/>
      </c>
      <c r="P2440">
        <f>IF(ISBLANK('ENGAGEMENTS 2026'!B2440),"",'ENGAGEMENTS 2026'!J2440)</f>
        <v/>
      </c>
      <c r="Q2440">
        <f>IF($A2440="","",IF(OR($E2440="INFRUCTUEUX",$E2440="ANNULE"),$A2440&amp;"|"&amp;(COUNTIFS($A$2:$A2440,$A2440,$E$2:$E2440,"INFRUCTUEUX")+COUNTIFS($A$2:$A2440,$A2440,$E$2:$E2440,"ANNULE")),""))</f>
        <v/>
      </c>
    </row>
    <row r="2441">
      <c r="A2441">
        <f>IF(ISBLANK('ENGAGEMENTS 2026'!B2441),"",IF('ENGAGEMENTS 2026'!B2441="DTSI","DCT",'ENGAGEMENTS 2026'!B2441))</f>
        <v/>
      </c>
      <c r="B2441">
        <f>IF(ISBLANK('ENGAGEMENTS 2026'!B2441),"",'ENGAGEMENTS 2026'!C2441)</f>
        <v/>
      </c>
      <c r="C2441">
        <f>IF(ISBLANK('ENGAGEMENTS 2026'!B2441),"",'ENGAGEMENTS 2026'!D2441)</f>
        <v/>
      </c>
      <c r="D2441">
        <f>IF(ISBLANK('ENGAGEMENTS 2026'!B2441),"",'ENGAGEMENTS 2026'!F2441)</f>
        <v/>
      </c>
      <c r="E2441">
        <f>IF(ISBLANK('ENGAGEMENTS 2026'!B2441),"",'ENGAGEMENTS 2026'!H2441)</f>
        <v/>
      </c>
      <c r="F2441">
        <f>IF(ISBLANK('ENGAGEMENTS 2026'!B2441),"",'ENGAGEMENTS 2026'!I2441)</f>
        <v/>
      </c>
      <c r="G2441">
        <f>IF(ISBLANK('ENGAGEMENTS 2026'!B2441),"",'ENGAGEMENTS 2026'!L2441)</f>
        <v/>
      </c>
      <c r="H2441">
        <f>IF(ISBLANK('ENGAGEMENTS 2026'!B2441),"",'ENGAGEMENTS 2026'!AE2441)</f>
        <v/>
      </c>
      <c r="I2441">
        <f>IF(ISBLANK('ENGAGEMENTS 2026'!B2441),"",'ENGAGEMENTS 2026'!G2441)</f>
        <v/>
      </c>
      <c r="J2441" s="275">
        <f>IF(ISBLANK('ENGAGEMENTS 2026'!B2441),"",IF(AND(OR($E2441="INFRUCTUEUX",$E2441="ANNULE"),$C2441="AOO-M"),'ENGAGEMENTS 2026'!O2441,IF($H2441="EN COURS DE PREENGAGEMENT",'ENGAGEMENTS 2026'!N2441,IF($H2441="PREENGAGE",IF($E2441="ATTRIBUE",'ENGAGEMENTS 2026'!AD2441,'ENGAGEMENTS 2026'!N2441),'ENGAGEMENTS 2026'!AD2441))))</f>
        <v/>
      </c>
      <c r="K2441" s="604">
        <f>IF(ISBLANK('ENGAGEMENTS 2026'!V2441),"",'ENGAGEMENTS 2026'!V2441)</f>
        <v/>
      </c>
      <c r="L2441" s="276">
        <f>IF($K2441="","",TODAY()-$K2441)</f>
        <v/>
      </c>
      <c r="M2441">
        <f>IF($A2441="","",IF($H2441="ENGAGE","Engagé",IF(AND($H2441="NON ENGAGE",OR($I2441="INFRUCTUEUX",$I2441="ANNULE")),"Clôturé sans suite","En cours")))</f>
        <v/>
      </c>
      <c r="N2441">
        <f>IF(ISBLANK('ENGAGEMENTS 2026'!B2441),"",'ENGAGEMENTS 2026'!K2441)</f>
        <v/>
      </c>
      <c r="O2441">
        <f>IF(ISBLANK('ENGAGEMENTS 2026'!B2441),"",'ENGAGEMENTS 2026'!L2441)</f>
        <v/>
      </c>
      <c r="P2441">
        <f>IF(ISBLANK('ENGAGEMENTS 2026'!B2441),"",'ENGAGEMENTS 2026'!J2441)</f>
        <v/>
      </c>
      <c r="Q2441">
        <f>IF($A2441="","",IF(OR($E2441="INFRUCTUEUX",$E2441="ANNULE"),$A2441&amp;"|"&amp;(COUNTIFS($A$2:$A2441,$A2441,$E$2:$E2441,"INFRUCTUEUX")+COUNTIFS($A$2:$A2441,$A2441,$E$2:$E2441,"ANNULE")),""))</f>
        <v/>
      </c>
    </row>
    <row r="2442">
      <c r="A2442">
        <f>IF(ISBLANK('ENGAGEMENTS 2026'!B2442),"",IF('ENGAGEMENTS 2026'!B2442="DTSI","DCT",'ENGAGEMENTS 2026'!B2442))</f>
        <v/>
      </c>
      <c r="B2442">
        <f>IF(ISBLANK('ENGAGEMENTS 2026'!B2442),"",'ENGAGEMENTS 2026'!C2442)</f>
        <v/>
      </c>
      <c r="C2442">
        <f>IF(ISBLANK('ENGAGEMENTS 2026'!B2442),"",'ENGAGEMENTS 2026'!D2442)</f>
        <v/>
      </c>
      <c r="D2442">
        <f>IF(ISBLANK('ENGAGEMENTS 2026'!B2442),"",'ENGAGEMENTS 2026'!F2442)</f>
        <v/>
      </c>
      <c r="E2442">
        <f>IF(ISBLANK('ENGAGEMENTS 2026'!B2442),"",'ENGAGEMENTS 2026'!H2442)</f>
        <v/>
      </c>
      <c r="F2442">
        <f>IF(ISBLANK('ENGAGEMENTS 2026'!B2442),"",'ENGAGEMENTS 2026'!I2442)</f>
        <v/>
      </c>
      <c r="G2442">
        <f>IF(ISBLANK('ENGAGEMENTS 2026'!B2442),"",'ENGAGEMENTS 2026'!L2442)</f>
        <v/>
      </c>
      <c r="H2442">
        <f>IF(ISBLANK('ENGAGEMENTS 2026'!B2442),"",'ENGAGEMENTS 2026'!AE2442)</f>
        <v/>
      </c>
      <c r="I2442">
        <f>IF(ISBLANK('ENGAGEMENTS 2026'!B2442),"",'ENGAGEMENTS 2026'!G2442)</f>
        <v/>
      </c>
      <c r="J2442" s="275">
        <f>IF(ISBLANK('ENGAGEMENTS 2026'!B2442),"",IF(AND(OR($E2442="INFRUCTUEUX",$E2442="ANNULE"),$C2442="AOO-M"),'ENGAGEMENTS 2026'!O2442,IF($H2442="EN COURS DE PREENGAGEMENT",'ENGAGEMENTS 2026'!N2442,IF($H2442="PREENGAGE",IF($E2442="ATTRIBUE",'ENGAGEMENTS 2026'!AD2442,'ENGAGEMENTS 2026'!N2442),'ENGAGEMENTS 2026'!AD2442))))</f>
        <v/>
      </c>
      <c r="K2442" s="604">
        <f>IF(ISBLANK('ENGAGEMENTS 2026'!V2442),"",'ENGAGEMENTS 2026'!V2442)</f>
        <v/>
      </c>
      <c r="L2442" s="276">
        <f>IF($K2442="","",TODAY()-$K2442)</f>
        <v/>
      </c>
      <c r="M2442">
        <f>IF($A2442="","",IF($H2442="ENGAGE","Engagé",IF(AND($H2442="NON ENGAGE",OR($I2442="INFRUCTUEUX",$I2442="ANNULE")),"Clôturé sans suite","En cours")))</f>
        <v/>
      </c>
      <c r="N2442">
        <f>IF(ISBLANK('ENGAGEMENTS 2026'!B2442),"",'ENGAGEMENTS 2026'!K2442)</f>
        <v/>
      </c>
      <c r="O2442">
        <f>IF(ISBLANK('ENGAGEMENTS 2026'!B2442),"",'ENGAGEMENTS 2026'!L2442)</f>
        <v/>
      </c>
      <c r="P2442">
        <f>IF(ISBLANK('ENGAGEMENTS 2026'!B2442),"",'ENGAGEMENTS 2026'!J2442)</f>
        <v/>
      </c>
      <c r="Q2442">
        <f>IF($A2442="","",IF(OR($E2442="INFRUCTUEUX",$E2442="ANNULE"),$A2442&amp;"|"&amp;(COUNTIFS($A$2:$A2442,$A2442,$E$2:$E2442,"INFRUCTUEUX")+COUNTIFS($A$2:$A2442,$A2442,$E$2:$E2442,"ANNULE")),""))</f>
        <v/>
      </c>
    </row>
    <row r="2443">
      <c r="A2443">
        <f>IF(ISBLANK('ENGAGEMENTS 2026'!B2443),"",IF('ENGAGEMENTS 2026'!B2443="DTSI","DCT",'ENGAGEMENTS 2026'!B2443))</f>
        <v/>
      </c>
      <c r="B2443">
        <f>IF(ISBLANK('ENGAGEMENTS 2026'!B2443),"",'ENGAGEMENTS 2026'!C2443)</f>
        <v/>
      </c>
      <c r="C2443">
        <f>IF(ISBLANK('ENGAGEMENTS 2026'!B2443),"",'ENGAGEMENTS 2026'!D2443)</f>
        <v/>
      </c>
      <c r="D2443">
        <f>IF(ISBLANK('ENGAGEMENTS 2026'!B2443),"",'ENGAGEMENTS 2026'!F2443)</f>
        <v/>
      </c>
      <c r="E2443">
        <f>IF(ISBLANK('ENGAGEMENTS 2026'!B2443),"",'ENGAGEMENTS 2026'!H2443)</f>
        <v/>
      </c>
      <c r="F2443">
        <f>IF(ISBLANK('ENGAGEMENTS 2026'!B2443),"",'ENGAGEMENTS 2026'!I2443)</f>
        <v/>
      </c>
      <c r="G2443">
        <f>IF(ISBLANK('ENGAGEMENTS 2026'!B2443),"",'ENGAGEMENTS 2026'!L2443)</f>
        <v/>
      </c>
      <c r="H2443">
        <f>IF(ISBLANK('ENGAGEMENTS 2026'!B2443),"",'ENGAGEMENTS 2026'!AE2443)</f>
        <v/>
      </c>
      <c r="I2443">
        <f>IF(ISBLANK('ENGAGEMENTS 2026'!B2443),"",'ENGAGEMENTS 2026'!G2443)</f>
        <v/>
      </c>
      <c r="J2443" s="275">
        <f>IF(ISBLANK('ENGAGEMENTS 2026'!B2443),"",IF(AND(OR($E2443="INFRUCTUEUX",$E2443="ANNULE"),$C2443="AOO-M"),'ENGAGEMENTS 2026'!O2443,IF($H2443="EN COURS DE PREENGAGEMENT",'ENGAGEMENTS 2026'!N2443,IF($H2443="PREENGAGE",IF($E2443="ATTRIBUE",'ENGAGEMENTS 2026'!AD2443,'ENGAGEMENTS 2026'!N2443),'ENGAGEMENTS 2026'!AD2443))))</f>
        <v/>
      </c>
      <c r="K2443" s="604">
        <f>IF(ISBLANK('ENGAGEMENTS 2026'!V2443),"",'ENGAGEMENTS 2026'!V2443)</f>
        <v/>
      </c>
      <c r="L2443" s="276">
        <f>IF($K2443="","",TODAY()-$K2443)</f>
        <v/>
      </c>
      <c r="M2443">
        <f>IF($A2443="","",IF($H2443="ENGAGE","Engagé",IF(AND($H2443="NON ENGAGE",OR($I2443="INFRUCTUEUX",$I2443="ANNULE")),"Clôturé sans suite","En cours")))</f>
        <v/>
      </c>
      <c r="N2443">
        <f>IF(ISBLANK('ENGAGEMENTS 2026'!B2443),"",'ENGAGEMENTS 2026'!K2443)</f>
        <v/>
      </c>
      <c r="O2443">
        <f>IF(ISBLANK('ENGAGEMENTS 2026'!B2443),"",'ENGAGEMENTS 2026'!L2443)</f>
        <v/>
      </c>
      <c r="P2443">
        <f>IF(ISBLANK('ENGAGEMENTS 2026'!B2443),"",'ENGAGEMENTS 2026'!J2443)</f>
        <v/>
      </c>
      <c r="Q2443">
        <f>IF($A2443="","",IF(OR($E2443="INFRUCTUEUX",$E2443="ANNULE"),$A2443&amp;"|"&amp;(COUNTIFS($A$2:$A2443,$A2443,$E$2:$E2443,"INFRUCTUEUX")+COUNTIFS($A$2:$A2443,$A2443,$E$2:$E2443,"ANNULE")),""))</f>
        <v/>
      </c>
    </row>
    <row r="2444">
      <c r="A2444">
        <f>IF(ISBLANK('ENGAGEMENTS 2026'!B2444),"",IF('ENGAGEMENTS 2026'!B2444="DTSI","DCT",'ENGAGEMENTS 2026'!B2444))</f>
        <v/>
      </c>
      <c r="B2444">
        <f>IF(ISBLANK('ENGAGEMENTS 2026'!B2444),"",'ENGAGEMENTS 2026'!C2444)</f>
        <v/>
      </c>
      <c r="C2444">
        <f>IF(ISBLANK('ENGAGEMENTS 2026'!B2444),"",'ENGAGEMENTS 2026'!D2444)</f>
        <v/>
      </c>
      <c r="D2444">
        <f>IF(ISBLANK('ENGAGEMENTS 2026'!B2444),"",'ENGAGEMENTS 2026'!F2444)</f>
        <v/>
      </c>
      <c r="E2444">
        <f>IF(ISBLANK('ENGAGEMENTS 2026'!B2444),"",'ENGAGEMENTS 2026'!H2444)</f>
        <v/>
      </c>
      <c r="F2444">
        <f>IF(ISBLANK('ENGAGEMENTS 2026'!B2444),"",'ENGAGEMENTS 2026'!I2444)</f>
        <v/>
      </c>
      <c r="G2444">
        <f>IF(ISBLANK('ENGAGEMENTS 2026'!B2444),"",'ENGAGEMENTS 2026'!L2444)</f>
        <v/>
      </c>
      <c r="H2444">
        <f>IF(ISBLANK('ENGAGEMENTS 2026'!B2444),"",'ENGAGEMENTS 2026'!AE2444)</f>
        <v/>
      </c>
      <c r="I2444">
        <f>IF(ISBLANK('ENGAGEMENTS 2026'!B2444),"",'ENGAGEMENTS 2026'!G2444)</f>
        <v/>
      </c>
      <c r="J2444" s="275">
        <f>IF(ISBLANK('ENGAGEMENTS 2026'!B2444),"",IF(AND(OR($E2444="INFRUCTUEUX",$E2444="ANNULE"),$C2444="AOO-M"),'ENGAGEMENTS 2026'!O2444,IF($H2444="EN COURS DE PREENGAGEMENT",'ENGAGEMENTS 2026'!N2444,IF($H2444="PREENGAGE",IF($E2444="ATTRIBUE",'ENGAGEMENTS 2026'!AD2444,'ENGAGEMENTS 2026'!N2444),'ENGAGEMENTS 2026'!AD2444))))</f>
        <v/>
      </c>
      <c r="K2444" s="604">
        <f>IF(ISBLANK('ENGAGEMENTS 2026'!V2444),"",'ENGAGEMENTS 2026'!V2444)</f>
        <v/>
      </c>
      <c r="L2444" s="276">
        <f>IF($K2444="","",TODAY()-$K2444)</f>
        <v/>
      </c>
      <c r="M2444">
        <f>IF($A2444="","",IF($H2444="ENGAGE","Engagé",IF(AND($H2444="NON ENGAGE",OR($I2444="INFRUCTUEUX",$I2444="ANNULE")),"Clôturé sans suite","En cours")))</f>
        <v/>
      </c>
      <c r="N2444">
        <f>IF(ISBLANK('ENGAGEMENTS 2026'!B2444),"",'ENGAGEMENTS 2026'!K2444)</f>
        <v/>
      </c>
      <c r="O2444">
        <f>IF(ISBLANK('ENGAGEMENTS 2026'!B2444),"",'ENGAGEMENTS 2026'!L2444)</f>
        <v/>
      </c>
      <c r="P2444">
        <f>IF(ISBLANK('ENGAGEMENTS 2026'!B2444),"",'ENGAGEMENTS 2026'!J2444)</f>
        <v/>
      </c>
      <c r="Q2444">
        <f>IF($A2444="","",IF(OR($E2444="INFRUCTUEUX",$E2444="ANNULE"),$A2444&amp;"|"&amp;(COUNTIFS($A$2:$A2444,$A2444,$E$2:$E2444,"INFRUCTUEUX")+COUNTIFS($A$2:$A2444,$A2444,$E$2:$E2444,"ANNULE")),""))</f>
        <v/>
      </c>
    </row>
    <row r="2445">
      <c r="A2445">
        <f>IF(ISBLANK('ENGAGEMENTS 2026'!B2445),"",IF('ENGAGEMENTS 2026'!B2445="DTSI","DCT",'ENGAGEMENTS 2026'!B2445))</f>
        <v/>
      </c>
      <c r="B2445">
        <f>IF(ISBLANK('ENGAGEMENTS 2026'!B2445),"",'ENGAGEMENTS 2026'!C2445)</f>
        <v/>
      </c>
      <c r="C2445">
        <f>IF(ISBLANK('ENGAGEMENTS 2026'!B2445),"",'ENGAGEMENTS 2026'!D2445)</f>
        <v/>
      </c>
      <c r="D2445">
        <f>IF(ISBLANK('ENGAGEMENTS 2026'!B2445),"",'ENGAGEMENTS 2026'!F2445)</f>
        <v/>
      </c>
      <c r="E2445">
        <f>IF(ISBLANK('ENGAGEMENTS 2026'!B2445),"",'ENGAGEMENTS 2026'!H2445)</f>
        <v/>
      </c>
      <c r="F2445">
        <f>IF(ISBLANK('ENGAGEMENTS 2026'!B2445),"",'ENGAGEMENTS 2026'!I2445)</f>
        <v/>
      </c>
      <c r="G2445">
        <f>IF(ISBLANK('ENGAGEMENTS 2026'!B2445),"",'ENGAGEMENTS 2026'!L2445)</f>
        <v/>
      </c>
      <c r="H2445">
        <f>IF(ISBLANK('ENGAGEMENTS 2026'!B2445),"",'ENGAGEMENTS 2026'!AE2445)</f>
        <v/>
      </c>
      <c r="I2445">
        <f>IF(ISBLANK('ENGAGEMENTS 2026'!B2445),"",'ENGAGEMENTS 2026'!G2445)</f>
        <v/>
      </c>
      <c r="J2445" s="275">
        <f>IF(ISBLANK('ENGAGEMENTS 2026'!B2445),"",IF(AND(OR($E2445="INFRUCTUEUX",$E2445="ANNULE"),$C2445="AOO-M"),'ENGAGEMENTS 2026'!O2445,IF($H2445="EN COURS DE PREENGAGEMENT",'ENGAGEMENTS 2026'!N2445,IF($H2445="PREENGAGE",IF($E2445="ATTRIBUE",'ENGAGEMENTS 2026'!AD2445,'ENGAGEMENTS 2026'!N2445),'ENGAGEMENTS 2026'!AD2445))))</f>
        <v/>
      </c>
      <c r="K2445" s="604">
        <f>IF(ISBLANK('ENGAGEMENTS 2026'!V2445),"",'ENGAGEMENTS 2026'!V2445)</f>
        <v/>
      </c>
      <c r="L2445" s="276">
        <f>IF($K2445="","",TODAY()-$K2445)</f>
        <v/>
      </c>
      <c r="M2445">
        <f>IF($A2445="","",IF($H2445="ENGAGE","Engagé",IF(AND($H2445="NON ENGAGE",OR($I2445="INFRUCTUEUX",$I2445="ANNULE")),"Clôturé sans suite","En cours")))</f>
        <v/>
      </c>
      <c r="N2445">
        <f>IF(ISBLANK('ENGAGEMENTS 2026'!B2445),"",'ENGAGEMENTS 2026'!K2445)</f>
        <v/>
      </c>
      <c r="O2445">
        <f>IF(ISBLANK('ENGAGEMENTS 2026'!B2445),"",'ENGAGEMENTS 2026'!L2445)</f>
        <v/>
      </c>
      <c r="P2445">
        <f>IF(ISBLANK('ENGAGEMENTS 2026'!B2445),"",'ENGAGEMENTS 2026'!J2445)</f>
        <v/>
      </c>
      <c r="Q2445">
        <f>IF($A2445="","",IF(OR($E2445="INFRUCTUEUX",$E2445="ANNULE"),$A2445&amp;"|"&amp;(COUNTIFS($A$2:$A2445,$A2445,$E$2:$E2445,"INFRUCTUEUX")+COUNTIFS($A$2:$A2445,$A2445,$E$2:$E2445,"ANNULE")),""))</f>
        <v/>
      </c>
    </row>
    <row r="2446">
      <c r="A2446">
        <f>IF(ISBLANK('ENGAGEMENTS 2026'!B2446),"",IF('ENGAGEMENTS 2026'!B2446="DTSI","DCT",'ENGAGEMENTS 2026'!B2446))</f>
        <v/>
      </c>
      <c r="B2446">
        <f>IF(ISBLANK('ENGAGEMENTS 2026'!B2446),"",'ENGAGEMENTS 2026'!C2446)</f>
        <v/>
      </c>
      <c r="C2446">
        <f>IF(ISBLANK('ENGAGEMENTS 2026'!B2446),"",'ENGAGEMENTS 2026'!D2446)</f>
        <v/>
      </c>
      <c r="D2446">
        <f>IF(ISBLANK('ENGAGEMENTS 2026'!B2446),"",'ENGAGEMENTS 2026'!F2446)</f>
        <v/>
      </c>
      <c r="E2446">
        <f>IF(ISBLANK('ENGAGEMENTS 2026'!B2446),"",'ENGAGEMENTS 2026'!H2446)</f>
        <v/>
      </c>
      <c r="F2446">
        <f>IF(ISBLANK('ENGAGEMENTS 2026'!B2446),"",'ENGAGEMENTS 2026'!I2446)</f>
        <v/>
      </c>
      <c r="G2446">
        <f>IF(ISBLANK('ENGAGEMENTS 2026'!B2446),"",'ENGAGEMENTS 2026'!L2446)</f>
        <v/>
      </c>
      <c r="H2446">
        <f>IF(ISBLANK('ENGAGEMENTS 2026'!B2446),"",'ENGAGEMENTS 2026'!AE2446)</f>
        <v/>
      </c>
      <c r="I2446">
        <f>IF(ISBLANK('ENGAGEMENTS 2026'!B2446),"",'ENGAGEMENTS 2026'!G2446)</f>
        <v/>
      </c>
      <c r="J2446" s="275">
        <f>IF(ISBLANK('ENGAGEMENTS 2026'!B2446),"",IF(AND(OR($E2446="INFRUCTUEUX",$E2446="ANNULE"),$C2446="AOO-M"),'ENGAGEMENTS 2026'!O2446,IF($H2446="EN COURS DE PREENGAGEMENT",'ENGAGEMENTS 2026'!N2446,IF($H2446="PREENGAGE",IF($E2446="ATTRIBUE",'ENGAGEMENTS 2026'!AD2446,'ENGAGEMENTS 2026'!N2446),'ENGAGEMENTS 2026'!AD2446))))</f>
        <v/>
      </c>
      <c r="K2446" s="604">
        <f>IF(ISBLANK('ENGAGEMENTS 2026'!V2446),"",'ENGAGEMENTS 2026'!V2446)</f>
        <v/>
      </c>
      <c r="L2446" s="276">
        <f>IF($K2446="","",TODAY()-$K2446)</f>
        <v/>
      </c>
      <c r="M2446">
        <f>IF($A2446="","",IF($H2446="ENGAGE","Engagé",IF(AND($H2446="NON ENGAGE",OR($I2446="INFRUCTUEUX",$I2446="ANNULE")),"Clôturé sans suite","En cours")))</f>
        <v/>
      </c>
      <c r="N2446">
        <f>IF(ISBLANK('ENGAGEMENTS 2026'!B2446),"",'ENGAGEMENTS 2026'!K2446)</f>
        <v/>
      </c>
      <c r="O2446">
        <f>IF(ISBLANK('ENGAGEMENTS 2026'!B2446),"",'ENGAGEMENTS 2026'!L2446)</f>
        <v/>
      </c>
      <c r="P2446">
        <f>IF(ISBLANK('ENGAGEMENTS 2026'!B2446),"",'ENGAGEMENTS 2026'!J2446)</f>
        <v/>
      </c>
      <c r="Q2446">
        <f>IF($A2446="","",IF(OR($E2446="INFRUCTUEUX",$E2446="ANNULE"),$A2446&amp;"|"&amp;(COUNTIFS($A$2:$A2446,$A2446,$E$2:$E2446,"INFRUCTUEUX")+COUNTIFS($A$2:$A2446,$A2446,$E$2:$E2446,"ANNULE")),""))</f>
        <v/>
      </c>
    </row>
    <row r="2447">
      <c r="A2447">
        <f>IF(ISBLANK('ENGAGEMENTS 2026'!B2447),"",IF('ENGAGEMENTS 2026'!B2447="DTSI","DCT",'ENGAGEMENTS 2026'!B2447))</f>
        <v/>
      </c>
      <c r="B2447">
        <f>IF(ISBLANK('ENGAGEMENTS 2026'!B2447),"",'ENGAGEMENTS 2026'!C2447)</f>
        <v/>
      </c>
      <c r="C2447">
        <f>IF(ISBLANK('ENGAGEMENTS 2026'!B2447),"",'ENGAGEMENTS 2026'!D2447)</f>
        <v/>
      </c>
      <c r="D2447">
        <f>IF(ISBLANK('ENGAGEMENTS 2026'!B2447),"",'ENGAGEMENTS 2026'!F2447)</f>
        <v/>
      </c>
      <c r="E2447">
        <f>IF(ISBLANK('ENGAGEMENTS 2026'!B2447),"",'ENGAGEMENTS 2026'!H2447)</f>
        <v/>
      </c>
      <c r="F2447">
        <f>IF(ISBLANK('ENGAGEMENTS 2026'!B2447),"",'ENGAGEMENTS 2026'!I2447)</f>
        <v/>
      </c>
      <c r="G2447">
        <f>IF(ISBLANK('ENGAGEMENTS 2026'!B2447),"",'ENGAGEMENTS 2026'!L2447)</f>
        <v/>
      </c>
      <c r="H2447">
        <f>IF(ISBLANK('ENGAGEMENTS 2026'!B2447),"",'ENGAGEMENTS 2026'!AE2447)</f>
        <v/>
      </c>
      <c r="I2447">
        <f>IF(ISBLANK('ENGAGEMENTS 2026'!B2447),"",'ENGAGEMENTS 2026'!G2447)</f>
        <v/>
      </c>
      <c r="J2447" s="275">
        <f>IF(ISBLANK('ENGAGEMENTS 2026'!B2447),"",IF(AND(OR($E2447="INFRUCTUEUX",$E2447="ANNULE"),$C2447="AOO-M"),'ENGAGEMENTS 2026'!O2447,IF($H2447="EN COURS DE PREENGAGEMENT",'ENGAGEMENTS 2026'!N2447,IF($H2447="PREENGAGE",IF($E2447="ATTRIBUE",'ENGAGEMENTS 2026'!AD2447,'ENGAGEMENTS 2026'!N2447),'ENGAGEMENTS 2026'!AD2447))))</f>
        <v/>
      </c>
      <c r="K2447" s="604">
        <f>IF(ISBLANK('ENGAGEMENTS 2026'!V2447),"",'ENGAGEMENTS 2026'!V2447)</f>
        <v/>
      </c>
      <c r="L2447" s="276">
        <f>IF($K2447="","",TODAY()-$K2447)</f>
        <v/>
      </c>
      <c r="M2447">
        <f>IF($A2447="","",IF($H2447="ENGAGE","Engagé",IF(AND($H2447="NON ENGAGE",OR($I2447="INFRUCTUEUX",$I2447="ANNULE")),"Clôturé sans suite","En cours")))</f>
        <v/>
      </c>
      <c r="N2447">
        <f>IF(ISBLANK('ENGAGEMENTS 2026'!B2447),"",'ENGAGEMENTS 2026'!K2447)</f>
        <v/>
      </c>
      <c r="O2447">
        <f>IF(ISBLANK('ENGAGEMENTS 2026'!B2447),"",'ENGAGEMENTS 2026'!L2447)</f>
        <v/>
      </c>
      <c r="P2447">
        <f>IF(ISBLANK('ENGAGEMENTS 2026'!B2447),"",'ENGAGEMENTS 2026'!J2447)</f>
        <v/>
      </c>
      <c r="Q2447">
        <f>IF($A2447="","",IF(OR($E2447="INFRUCTUEUX",$E2447="ANNULE"),$A2447&amp;"|"&amp;(COUNTIFS($A$2:$A2447,$A2447,$E$2:$E2447,"INFRUCTUEUX")+COUNTIFS($A$2:$A2447,$A2447,$E$2:$E2447,"ANNULE")),""))</f>
        <v/>
      </c>
    </row>
    <row r="2448">
      <c r="A2448">
        <f>IF(ISBLANK('ENGAGEMENTS 2026'!B2448),"",IF('ENGAGEMENTS 2026'!B2448="DTSI","DCT",'ENGAGEMENTS 2026'!B2448))</f>
        <v/>
      </c>
      <c r="B2448">
        <f>IF(ISBLANK('ENGAGEMENTS 2026'!B2448),"",'ENGAGEMENTS 2026'!C2448)</f>
        <v/>
      </c>
      <c r="C2448">
        <f>IF(ISBLANK('ENGAGEMENTS 2026'!B2448),"",'ENGAGEMENTS 2026'!D2448)</f>
        <v/>
      </c>
      <c r="D2448">
        <f>IF(ISBLANK('ENGAGEMENTS 2026'!B2448),"",'ENGAGEMENTS 2026'!F2448)</f>
        <v/>
      </c>
      <c r="E2448">
        <f>IF(ISBLANK('ENGAGEMENTS 2026'!B2448),"",'ENGAGEMENTS 2026'!H2448)</f>
        <v/>
      </c>
      <c r="F2448">
        <f>IF(ISBLANK('ENGAGEMENTS 2026'!B2448),"",'ENGAGEMENTS 2026'!I2448)</f>
        <v/>
      </c>
      <c r="G2448">
        <f>IF(ISBLANK('ENGAGEMENTS 2026'!B2448),"",'ENGAGEMENTS 2026'!L2448)</f>
        <v/>
      </c>
      <c r="H2448">
        <f>IF(ISBLANK('ENGAGEMENTS 2026'!B2448),"",'ENGAGEMENTS 2026'!AE2448)</f>
        <v/>
      </c>
      <c r="I2448">
        <f>IF(ISBLANK('ENGAGEMENTS 2026'!B2448),"",'ENGAGEMENTS 2026'!G2448)</f>
        <v/>
      </c>
      <c r="J2448" s="275">
        <f>IF(ISBLANK('ENGAGEMENTS 2026'!B2448),"",IF(AND(OR($E2448="INFRUCTUEUX",$E2448="ANNULE"),$C2448="AOO-M"),'ENGAGEMENTS 2026'!O2448,IF($H2448="EN COURS DE PREENGAGEMENT",'ENGAGEMENTS 2026'!N2448,IF($H2448="PREENGAGE",IF($E2448="ATTRIBUE",'ENGAGEMENTS 2026'!AD2448,'ENGAGEMENTS 2026'!N2448),'ENGAGEMENTS 2026'!AD2448))))</f>
        <v/>
      </c>
      <c r="K2448" s="604">
        <f>IF(ISBLANK('ENGAGEMENTS 2026'!V2448),"",'ENGAGEMENTS 2026'!V2448)</f>
        <v/>
      </c>
      <c r="L2448" s="276">
        <f>IF($K2448="","",TODAY()-$K2448)</f>
        <v/>
      </c>
      <c r="M2448">
        <f>IF($A2448="","",IF($H2448="ENGAGE","Engagé",IF(AND($H2448="NON ENGAGE",OR($I2448="INFRUCTUEUX",$I2448="ANNULE")),"Clôturé sans suite","En cours")))</f>
        <v/>
      </c>
      <c r="N2448">
        <f>IF(ISBLANK('ENGAGEMENTS 2026'!B2448),"",'ENGAGEMENTS 2026'!K2448)</f>
        <v/>
      </c>
      <c r="O2448">
        <f>IF(ISBLANK('ENGAGEMENTS 2026'!B2448),"",'ENGAGEMENTS 2026'!L2448)</f>
        <v/>
      </c>
      <c r="P2448">
        <f>IF(ISBLANK('ENGAGEMENTS 2026'!B2448),"",'ENGAGEMENTS 2026'!J2448)</f>
        <v/>
      </c>
      <c r="Q2448">
        <f>IF($A2448="","",IF(OR($E2448="INFRUCTUEUX",$E2448="ANNULE"),$A2448&amp;"|"&amp;(COUNTIFS($A$2:$A2448,$A2448,$E$2:$E2448,"INFRUCTUEUX")+COUNTIFS($A$2:$A2448,$A2448,$E$2:$E2448,"ANNULE")),""))</f>
        <v/>
      </c>
    </row>
    <row r="2449">
      <c r="A2449">
        <f>IF(ISBLANK('ENGAGEMENTS 2026'!B2449),"",IF('ENGAGEMENTS 2026'!B2449="DTSI","DCT",'ENGAGEMENTS 2026'!B2449))</f>
        <v/>
      </c>
      <c r="B2449">
        <f>IF(ISBLANK('ENGAGEMENTS 2026'!B2449),"",'ENGAGEMENTS 2026'!C2449)</f>
        <v/>
      </c>
      <c r="C2449">
        <f>IF(ISBLANK('ENGAGEMENTS 2026'!B2449),"",'ENGAGEMENTS 2026'!D2449)</f>
        <v/>
      </c>
      <c r="D2449">
        <f>IF(ISBLANK('ENGAGEMENTS 2026'!B2449),"",'ENGAGEMENTS 2026'!F2449)</f>
        <v/>
      </c>
      <c r="E2449">
        <f>IF(ISBLANK('ENGAGEMENTS 2026'!B2449),"",'ENGAGEMENTS 2026'!H2449)</f>
        <v/>
      </c>
      <c r="F2449">
        <f>IF(ISBLANK('ENGAGEMENTS 2026'!B2449),"",'ENGAGEMENTS 2026'!I2449)</f>
        <v/>
      </c>
      <c r="G2449">
        <f>IF(ISBLANK('ENGAGEMENTS 2026'!B2449),"",'ENGAGEMENTS 2026'!L2449)</f>
        <v/>
      </c>
      <c r="H2449">
        <f>IF(ISBLANK('ENGAGEMENTS 2026'!B2449),"",'ENGAGEMENTS 2026'!AE2449)</f>
        <v/>
      </c>
      <c r="I2449">
        <f>IF(ISBLANK('ENGAGEMENTS 2026'!B2449),"",'ENGAGEMENTS 2026'!G2449)</f>
        <v/>
      </c>
      <c r="J2449" s="275">
        <f>IF(ISBLANK('ENGAGEMENTS 2026'!B2449),"",IF(AND(OR($E2449="INFRUCTUEUX",$E2449="ANNULE"),$C2449="AOO-M"),'ENGAGEMENTS 2026'!O2449,IF($H2449="EN COURS DE PREENGAGEMENT",'ENGAGEMENTS 2026'!N2449,IF($H2449="PREENGAGE",IF($E2449="ATTRIBUE",'ENGAGEMENTS 2026'!AD2449,'ENGAGEMENTS 2026'!N2449),'ENGAGEMENTS 2026'!AD2449))))</f>
        <v/>
      </c>
      <c r="K2449" s="604">
        <f>IF(ISBLANK('ENGAGEMENTS 2026'!V2449),"",'ENGAGEMENTS 2026'!V2449)</f>
        <v/>
      </c>
      <c r="L2449" s="276">
        <f>IF($K2449="","",TODAY()-$K2449)</f>
        <v/>
      </c>
      <c r="M2449">
        <f>IF($A2449="","",IF($H2449="ENGAGE","Engagé",IF(AND($H2449="NON ENGAGE",OR($I2449="INFRUCTUEUX",$I2449="ANNULE")),"Clôturé sans suite","En cours")))</f>
        <v/>
      </c>
      <c r="N2449">
        <f>IF(ISBLANK('ENGAGEMENTS 2026'!B2449),"",'ENGAGEMENTS 2026'!K2449)</f>
        <v/>
      </c>
      <c r="O2449">
        <f>IF(ISBLANK('ENGAGEMENTS 2026'!B2449),"",'ENGAGEMENTS 2026'!L2449)</f>
        <v/>
      </c>
      <c r="P2449">
        <f>IF(ISBLANK('ENGAGEMENTS 2026'!B2449),"",'ENGAGEMENTS 2026'!J2449)</f>
        <v/>
      </c>
      <c r="Q2449">
        <f>IF($A2449="","",IF(OR($E2449="INFRUCTUEUX",$E2449="ANNULE"),$A2449&amp;"|"&amp;(COUNTIFS($A$2:$A2449,$A2449,$E$2:$E2449,"INFRUCTUEUX")+COUNTIFS($A$2:$A2449,$A2449,$E$2:$E2449,"ANNULE")),""))</f>
        <v/>
      </c>
    </row>
    <row r="2450">
      <c r="A2450">
        <f>IF(ISBLANK('ENGAGEMENTS 2026'!B2450),"",IF('ENGAGEMENTS 2026'!B2450="DTSI","DCT",'ENGAGEMENTS 2026'!B2450))</f>
        <v/>
      </c>
      <c r="B2450">
        <f>IF(ISBLANK('ENGAGEMENTS 2026'!B2450),"",'ENGAGEMENTS 2026'!C2450)</f>
        <v/>
      </c>
      <c r="C2450">
        <f>IF(ISBLANK('ENGAGEMENTS 2026'!B2450),"",'ENGAGEMENTS 2026'!D2450)</f>
        <v/>
      </c>
      <c r="D2450">
        <f>IF(ISBLANK('ENGAGEMENTS 2026'!B2450),"",'ENGAGEMENTS 2026'!F2450)</f>
        <v/>
      </c>
      <c r="E2450">
        <f>IF(ISBLANK('ENGAGEMENTS 2026'!B2450),"",'ENGAGEMENTS 2026'!H2450)</f>
        <v/>
      </c>
      <c r="F2450">
        <f>IF(ISBLANK('ENGAGEMENTS 2026'!B2450),"",'ENGAGEMENTS 2026'!I2450)</f>
        <v/>
      </c>
      <c r="G2450">
        <f>IF(ISBLANK('ENGAGEMENTS 2026'!B2450),"",'ENGAGEMENTS 2026'!L2450)</f>
        <v/>
      </c>
      <c r="H2450">
        <f>IF(ISBLANK('ENGAGEMENTS 2026'!B2450),"",'ENGAGEMENTS 2026'!AE2450)</f>
        <v/>
      </c>
      <c r="I2450">
        <f>IF(ISBLANK('ENGAGEMENTS 2026'!B2450),"",'ENGAGEMENTS 2026'!G2450)</f>
        <v/>
      </c>
      <c r="J2450" s="275">
        <f>IF(ISBLANK('ENGAGEMENTS 2026'!B2450),"",IF(AND(OR($E2450="INFRUCTUEUX",$E2450="ANNULE"),$C2450="AOO-M"),'ENGAGEMENTS 2026'!O2450,IF($H2450="EN COURS DE PREENGAGEMENT",'ENGAGEMENTS 2026'!N2450,IF($H2450="PREENGAGE",IF($E2450="ATTRIBUE",'ENGAGEMENTS 2026'!AD2450,'ENGAGEMENTS 2026'!N2450),'ENGAGEMENTS 2026'!AD2450))))</f>
        <v/>
      </c>
      <c r="K2450" s="604">
        <f>IF(ISBLANK('ENGAGEMENTS 2026'!V2450),"",'ENGAGEMENTS 2026'!V2450)</f>
        <v/>
      </c>
      <c r="L2450" s="276">
        <f>IF($K2450="","",TODAY()-$K2450)</f>
        <v/>
      </c>
      <c r="M2450">
        <f>IF($A2450="","",IF($H2450="ENGAGE","Engagé",IF(AND($H2450="NON ENGAGE",OR($I2450="INFRUCTUEUX",$I2450="ANNULE")),"Clôturé sans suite","En cours")))</f>
        <v/>
      </c>
      <c r="N2450">
        <f>IF(ISBLANK('ENGAGEMENTS 2026'!B2450),"",'ENGAGEMENTS 2026'!K2450)</f>
        <v/>
      </c>
      <c r="O2450">
        <f>IF(ISBLANK('ENGAGEMENTS 2026'!B2450),"",'ENGAGEMENTS 2026'!L2450)</f>
        <v/>
      </c>
      <c r="P2450">
        <f>IF(ISBLANK('ENGAGEMENTS 2026'!B2450),"",'ENGAGEMENTS 2026'!J2450)</f>
        <v/>
      </c>
      <c r="Q2450">
        <f>IF($A2450="","",IF(OR($E2450="INFRUCTUEUX",$E2450="ANNULE"),$A2450&amp;"|"&amp;(COUNTIFS($A$2:$A2450,$A2450,$E$2:$E2450,"INFRUCTUEUX")+COUNTIFS($A$2:$A2450,$A2450,$E$2:$E2450,"ANNULE")),""))</f>
        <v/>
      </c>
    </row>
    <row r="2451">
      <c r="A2451">
        <f>IF(ISBLANK('ENGAGEMENTS 2026'!B2451),"",IF('ENGAGEMENTS 2026'!B2451="DTSI","DCT",'ENGAGEMENTS 2026'!B2451))</f>
        <v/>
      </c>
      <c r="B2451">
        <f>IF(ISBLANK('ENGAGEMENTS 2026'!B2451),"",'ENGAGEMENTS 2026'!C2451)</f>
        <v/>
      </c>
      <c r="C2451">
        <f>IF(ISBLANK('ENGAGEMENTS 2026'!B2451),"",'ENGAGEMENTS 2026'!D2451)</f>
        <v/>
      </c>
      <c r="D2451">
        <f>IF(ISBLANK('ENGAGEMENTS 2026'!B2451),"",'ENGAGEMENTS 2026'!F2451)</f>
        <v/>
      </c>
      <c r="E2451">
        <f>IF(ISBLANK('ENGAGEMENTS 2026'!B2451),"",'ENGAGEMENTS 2026'!H2451)</f>
        <v/>
      </c>
      <c r="F2451">
        <f>IF(ISBLANK('ENGAGEMENTS 2026'!B2451),"",'ENGAGEMENTS 2026'!I2451)</f>
        <v/>
      </c>
      <c r="G2451">
        <f>IF(ISBLANK('ENGAGEMENTS 2026'!B2451),"",'ENGAGEMENTS 2026'!L2451)</f>
        <v/>
      </c>
      <c r="H2451">
        <f>IF(ISBLANK('ENGAGEMENTS 2026'!B2451),"",'ENGAGEMENTS 2026'!AE2451)</f>
        <v/>
      </c>
      <c r="I2451">
        <f>IF(ISBLANK('ENGAGEMENTS 2026'!B2451),"",'ENGAGEMENTS 2026'!G2451)</f>
        <v/>
      </c>
      <c r="J2451" s="275">
        <f>IF(ISBLANK('ENGAGEMENTS 2026'!B2451),"",IF(AND(OR($E2451="INFRUCTUEUX",$E2451="ANNULE"),$C2451="AOO-M"),'ENGAGEMENTS 2026'!O2451,IF($H2451="EN COURS DE PREENGAGEMENT",'ENGAGEMENTS 2026'!N2451,IF($H2451="PREENGAGE",IF($E2451="ATTRIBUE",'ENGAGEMENTS 2026'!AD2451,'ENGAGEMENTS 2026'!N2451),'ENGAGEMENTS 2026'!AD2451))))</f>
        <v/>
      </c>
      <c r="K2451" s="604">
        <f>IF(ISBLANK('ENGAGEMENTS 2026'!V2451),"",'ENGAGEMENTS 2026'!V2451)</f>
        <v/>
      </c>
      <c r="L2451" s="276">
        <f>IF($K2451="","",TODAY()-$K2451)</f>
        <v/>
      </c>
      <c r="M2451">
        <f>IF($A2451="","",IF($H2451="ENGAGE","Engagé",IF(AND($H2451="NON ENGAGE",OR($I2451="INFRUCTUEUX",$I2451="ANNULE")),"Clôturé sans suite","En cours")))</f>
        <v/>
      </c>
      <c r="N2451">
        <f>IF(ISBLANK('ENGAGEMENTS 2026'!B2451),"",'ENGAGEMENTS 2026'!K2451)</f>
        <v/>
      </c>
      <c r="O2451">
        <f>IF(ISBLANK('ENGAGEMENTS 2026'!B2451),"",'ENGAGEMENTS 2026'!L2451)</f>
        <v/>
      </c>
      <c r="P2451">
        <f>IF(ISBLANK('ENGAGEMENTS 2026'!B2451),"",'ENGAGEMENTS 2026'!J2451)</f>
        <v/>
      </c>
      <c r="Q2451">
        <f>IF($A2451="","",IF(OR($E2451="INFRUCTUEUX",$E2451="ANNULE"),$A2451&amp;"|"&amp;(COUNTIFS($A$2:$A2451,$A2451,$E$2:$E2451,"INFRUCTUEUX")+COUNTIFS($A$2:$A2451,$A2451,$E$2:$E2451,"ANNULE")),""))</f>
        <v/>
      </c>
    </row>
    <row r="2452">
      <c r="A2452">
        <f>IF(ISBLANK('ENGAGEMENTS 2026'!B2452),"",IF('ENGAGEMENTS 2026'!B2452="DTSI","DCT",'ENGAGEMENTS 2026'!B2452))</f>
        <v/>
      </c>
      <c r="B2452">
        <f>IF(ISBLANK('ENGAGEMENTS 2026'!B2452),"",'ENGAGEMENTS 2026'!C2452)</f>
        <v/>
      </c>
      <c r="C2452">
        <f>IF(ISBLANK('ENGAGEMENTS 2026'!B2452),"",'ENGAGEMENTS 2026'!D2452)</f>
        <v/>
      </c>
      <c r="D2452">
        <f>IF(ISBLANK('ENGAGEMENTS 2026'!B2452),"",'ENGAGEMENTS 2026'!F2452)</f>
        <v/>
      </c>
      <c r="E2452">
        <f>IF(ISBLANK('ENGAGEMENTS 2026'!B2452),"",'ENGAGEMENTS 2026'!H2452)</f>
        <v/>
      </c>
      <c r="F2452">
        <f>IF(ISBLANK('ENGAGEMENTS 2026'!B2452),"",'ENGAGEMENTS 2026'!I2452)</f>
        <v/>
      </c>
      <c r="G2452">
        <f>IF(ISBLANK('ENGAGEMENTS 2026'!B2452),"",'ENGAGEMENTS 2026'!L2452)</f>
        <v/>
      </c>
      <c r="H2452">
        <f>IF(ISBLANK('ENGAGEMENTS 2026'!B2452),"",'ENGAGEMENTS 2026'!AE2452)</f>
        <v/>
      </c>
      <c r="I2452">
        <f>IF(ISBLANK('ENGAGEMENTS 2026'!B2452),"",'ENGAGEMENTS 2026'!G2452)</f>
        <v/>
      </c>
      <c r="J2452" s="275">
        <f>IF(ISBLANK('ENGAGEMENTS 2026'!B2452),"",IF(AND(OR($E2452="INFRUCTUEUX",$E2452="ANNULE"),$C2452="AOO-M"),'ENGAGEMENTS 2026'!O2452,IF($H2452="EN COURS DE PREENGAGEMENT",'ENGAGEMENTS 2026'!N2452,IF($H2452="PREENGAGE",IF($E2452="ATTRIBUE",'ENGAGEMENTS 2026'!AD2452,'ENGAGEMENTS 2026'!N2452),'ENGAGEMENTS 2026'!AD2452))))</f>
        <v/>
      </c>
      <c r="K2452" s="604">
        <f>IF(ISBLANK('ENGAGEMENTS 2026'!V2452),"",'ENGAGEMENTS 2026'!V2452)</f>
        <v/>
      </c>
      <c r="L2452" s="276">
        <f>IF($K2452="","",TODAY()-$K2452)</f>
        <v/>
      </c>
      <c r="M2452">
        <f>IF($A2452="","",IF($H2452="ENGAGE","Engagé",IF(AND($H2452="NON ENGAGE",OR($I2452="INFRUCTUEUX",$I2452="ANNULE")),"Clôturé sans suite","En cours")))</f>
        <v/>
      </c>
      <c r="N2452">
        <f>IF(ISBLANK('ENGAGEMENTS 2026'!B2452),"",'ENGAGEMENTS 2026'!K2452)</f>
        <v/>
      </c>
      <c r="O2452">
        <f>IF(ISBLANK('ENGAGEMENTS 2026'!B2452),"",'ENGAGEMENTS 2026'!L2452)</f>
        <v/>
      </c>
      <c r="P2452">
        <f>IF(ISBLANK('ENGAGEMENTS 2026'!B2452),"",'ENGAGEMENTS 2026'!J2452)</f>
        <v/>
      </c>
      <c r="Q2452">
        <f>IF($A2452="","",IF(OR($E2452="INFRUCTUEUX",$E2452="ANNULE"),$A2452&amp;"|"&amp;(COUNTIFS($A$2:$A2452,$A2452,$E$2:$E2452,"INFRUCTUEUX")+COUNTIFS($A$2:$A2452,$A2452,$E$2:$E2452,"ANNULE")),""))</f>
        <v/>
      </c>
    </row>
    <row r="2453">
      <c r="A2453">
        <f>IF(ISBLANK('ENGAGEMENTS 2026'!B2453),"",IF('ENGAGEMENTS 2026'!B2453="DTSI","DCT",'ENGAGEMENTS 2026'!B2453))</f>
        <v/>
      </c>
      <c r="B2453">
        <f>IF(ISBLANK('ENGAGEMENTS 2026'!B2453),"",'ENGAGEMENTS 2026'!C2453)</f>
        <v/>
      </c>
      <c r="C2453">
        <f>IF(ISBLANK('ENGAGEMENTS 2026'!B2453),"",'ENGAGEMENTS 2026'!D2453)</f>
        <v/>
      </c>
      <c r="D2453">
        <f>IF(ISBLANK('ENGAGEMENTS 2026'!B2453),"",'ENGAGEMENTS 2026'!F2453)</f>
        <v/>
      </c>
      <c r="E2453">
        <f>IF(ISBLANK('ENGAGEMENTS 2026'!B2453),"",'ENGAGEMENTS 2026'!H2453)</f>
        <v/>
      </c>
      <c r="F2453">
        <f>IF(ISBLANK('ENGAGEMENTS 2026'!B2453),"",'ENGAGEMENTS 2026'!I2453)</f>
        <v/>
      </c>
      <c r="G2453">
        <f>IF(ISBLANK('ENGAGEMENTS 2026'!B2453),"",'ENGAGEMENTS 2026'!L2453)</f>
        <v/>
      </c>
      <c r="H2453">
        <f>IF(ISBLANK('ENGAGEMENTS 2026'!B2453),"",'ENGAGEMENTS 2026'!AE2453)</f>
        <v/>
      </c>
      <c r="I2453">
        <f>IF(ISBLANK('ENGAGEMENTS 2026'!B2453),"",'ENGAGEMENTS 2026'!G2453)</f>
        <v/>
      </c>
      <c r="J2453" s="275">
        <f>IF(ISBLANK('ENGAGEMENTS 2026'!B2453),"",IF(AND(OR($E2453="INFRUCTUEUX",$E2453="ANNULE"),$C2453="AOO-M"),'ENGAGEMENTS 2026'!O2453,IF($H2453="EN COURS DE PREENGAGEMENT",'ENGAGEMENTS 2026'!N2453,IF($H2453="PREENGAGE",IF($E2453="ATTRIBUE",'ENGAGEMENTS 2026'!AD2453,'ENGAGEMENTS 2026'!N2453),'ENGAGEMENTS 2026'!AD2453))))</f>
        <v/>
      </c>
      <c r="K2453" s="604">
        <f>IF(ISBLANK('ENGAGEMENTS 2026'!V2453),"",'ENGAGEMENTS 2026'!V2453)</f>
        <v/>
      </c>
      <c r="L2453" s="276">
        <f>IF($K2453="","",TODAY()-$K2453)</f>
        <v/>
      </c>
      <c r="M2453">
        <f>IF($A2453="","",IF($H2453="ENGAGE","Engagé",IF(AND($H2453="NON ENGAGE",OR($I2453="INFRUCTUEUX",$I2453="ANNULE")),"Clôturé sans suite","En cours")))</f>
        <v/>
      </c>
      <c r="N2453">
        <f>IF(ISBLANK('ENGAGEMENTS 2026'!B2453),"",'ENGAGEMENTS 2026'!K2453)</f>
        <v/>
      </c>
      <c r="O2453">
        <f>IF(ISBLANK('ENGAGEMENTS 2026'!B2453),"",'ENGAGEMENTS 2026'!L2453)</f>
        <v/>
      </c>
      <c r="P2453">
        <f>IF(ISBLANK('ENGAGEMENTS 2026'!B2453),"",'ENGAGEMENTS 2026'!J2453)</f>
        <v/>
      </c>
      <c r="Q2453">
        <f>IF($A2453="","",IF(OR($E2453="INFRUCTUEUX",$E2453="ANNULE"),$A2453&amp;"|"&amp;(COUNTIFS($A$2:$A2453,$A2453,$E$2:$E2453,"INFRUCTUEUX")+COUNTIFS($A$2:$A2453,$A2453,$E$2:$E2453,"ANNULE")),""))</f>
        <v/>
      </c>
    </row>
    <row r="2454">
      <c r="A2454">
        <f>IF(ISBLANK('ENGAGEMENTS 2026'!B2454),"",IF('ENGAGEMENTS 2026'!B2454="DTSI","DCT",'ENGAGEMENTS 2026'!B2454))</f>
        <v/>
      </c>
      <c r="B2454">
        <f>IF(ISBLANK('ENGAGEMENTS 2026'!B2454),"",'ENGAGEMENTS 2026'!C2454)</f>
        <v/>
      </c>
      <c r="C2454">
        <f>IF(ISBLANK('ENGAGEMENTS 2026'!B2454),"",'ENGAGEMENTS 2026'!D2454)</f>
        <v/>
      </c>
      <c r="D2454">
        <f>IF(ISBLANK('ENGAGEMENTS 2026'!B2454),"",'ENGAGEMENTS 2026'!F2454)</f>
        <v/>
      </c>
      <c r="E2454">
        <f>IF(ISBLANK('ENGAGEMENTS 2026'!B2454),"",'ENGAGEMENTS 2026'!H2454)</f>
        <v/>
      </c>
      <c r="F2454">
        <f>IF(ISBLANK('ENGAGEMENTS 2026'!B2454),"",'ENGAGEMENTS 2026'!I2454)</f>
        <v/>
      </c>
      <c r="G2454">
        <f>IF(ISBLANK('ENGAGEMENTS 2026'!B2454),"",'ENGAGEMENTS 2026'!L2454)</f>
        <v/>
      </c>
      <c r="H2454">
        <f>IF(ISBLANK('ENGAGEMENTS 2026'!B2454),"",'ENGAGEMENTS 2026'!AE2454)</f>
        <v/>
      </c>
      <c r="I2454">
        <f>IF(ISBLANK('ENGAGEMENTS 2026'!B2454),"",'ENGAGEMENTS 2026'!G2454)</f>
        <v/>
      </c>
      <c r="J2454" s="275">
        <f>IF(ISBLANK('ENGAGEMENTS 2026'!B2454),"",IF(AND(OR($E2454="INFRUCTUEUX",$E2454="ANNULE"),$C2454="AOO-M"),'ENGAGEMENTS 2026'!O2454,IF($H2454="EN COURS DE PREENGAGEMENT",'ENGAGEMENTS 2026'!N2454,IF($H2454="PREENGAGE",IF($E2454="ATTRIBUE",'ENGAGEMENTS 2026'!AD2454,'ENGAGEMENTS 2026'!N2454),'ENGAGEMENTS 2026'!AD2454))))</f>
        <v/>
      </c>
      <c r="K2454" s="604">
        <f>IF(ISBLANK('ENGAGEMENTS 2026'!V2454),"",'ENGAGEMENTS 2026'!V2454)</f>
        <v/>
      </c>
      <c r="L2454" s="276">
        <f>IF($K2454="","",TODAY()-$K2454)</f>
        <v/>
      </c>
      <c r="M2454">
        <f>IF($A2454="","",IF($H2454="ENGAGE","Engagé",IF(AND($H2454="NON ENGAGE",OR($I2454="INFRUCTUEUX",$I2454="ANNULE")),"Clôturé sans suite","En cours")))</f>
        <v/>
      </c>
      <c r="N2454">
        <f>IF(ISBLANK('ENGAGEMENTS 2026'!B2454),"",'ENGAGEMENTS 2026'!K2454)</f>
        <v/>
      </c>
      <c r="O2454">
        <f>IF(ISBLANK('ENGAGEMENTS 2026'!B2454),"",'ENGAGEMENTS 2026'!L2454)</f>
        <v/>
      </c>
      <c r="P2454">
        <f>IF(ISBLANK('ENGAGEMENTS 2026'!B2454),"",'ENGAGEMENTS 2026'!J2454)</f>
        <v/>
      </c>
      <c r="Q2454">
        <f>IF($A2454="","",IF(OR($E2454="INFRUCTUEUX",$E2454="ANNULE"),$A2454&amp;"|"&amp;(COUNTIFS($A$2:$A2454,$A2454,$E$2:$E2454,"INFRUCTUEUX")+COUNTIFS($A$2:$A2454,$A2454,$E$2:$E2454,"ANNULE")),""))</f>
        <v/>
      </c>
    </row>
    <row r="2455">
      <c r="A2455">
        <f>IF(ISBLANK('ENGAGEMENTS 2026'!B2455),"",IF('ENGAGEMENTS 2026'!B2455="DTSI","DCT",'ENGAGEMENTS 2026'!B2455))</f>
        <v/>
      </c>
      <c r="B2455">
        <f>IF(ISBLANK('ENGAGEMENTS 2026'!B2455),"",'ENGAGEMENTS 2026'!C2455)</f>
        <v/>
      </c>
      <c r="C2455">
        <f>IF(ISBLANK('ENGAGEMENTS 2026'!B2455),"",'ENGAGEMENTS 2026'!D2455)</f>
        <v/>
      </c>
      <c r="D2455">
        <f>IF(ISBLANK('ENGAGEMENTS 2026'!B2455),"",'ENGAGEMENTS 2026'!F2455)</f>
        <v/>
      </c>
      <c r="E2455">
        <f>IF(ISBLANK('ENGAGEMENTS 2026'!B2455),"",'ENGAGEMENTS 2026'!H2455)</f>
        <v/>
      </c>
      <c r="F2455">
        <f>IF(ISBLANK('ENGAGEMENTS 2026'!B2455),"",'ENGAGEMENTS 2026'!I2455)</f>
        <v/>
      </c>
      <c r="G2455">
        <f>IF(ISBLANK('ENGAGEMENTS 2026'!B2455),"",'ENGAGEMENTS 2026'!L2455)</f>
        <v/>
      </c>
      <c r="H2455">
        <f>IF(ISBLANK('ENGAGEMENTS 2026'!B2455),"",'ENGAGEMENTS 2026'!AE2455)</f>
        <v/>
      </c>
      <c r="I2455">
        <f>IF(ISBLANK('ENGAGEMENTS 2026'!B2455),"",'ENGAGEMENTS 2026'!G2455)</f>
        <v/>
      </c>
      <c r="J2455" s="275">
        <f>IF(ISBLANK('ENGAGEMENTS 2026'!B2455),"",IF(AND(OR($E2455="INFRUCTUEUX",$E2455="ANNULE"),$C2455="AOO-M"),'ENGAGEMENTS 2026'!O2455,IF($H2455="EN COURS DE PREENGAGEMENT",'ENGAGEMENTS 2026'!N2455,IF($H2455="PREENGAGE",IF($E2455="ATTRIBUE",'ENGAGEMENTS 2026'!AD2455,'ENGAGEMENTS 2026'!N2455),'ENGAGEMENTS 2026'!AD2455))))</f>
        <v/>
      </c>
      <c r="K2455" s="604">
        <f>IF(ISBLANK('ENGAGEMENTS 2026'!V2455),"",'ENGAGEMENTS 2026'!V2455)</f>
        <v/>
      </c>
      <c r="L2455" s="276">
        <f>IF($K2455="","",TODAY()-$K2455)</f>
        <v/>
      </c>
      <c r="M2455">
        <f>IF($A2455="","",IF($H2455="ENGAGE","Engagé",IF(AND($H2455="NON ENGAGE",OR($I2455="INFRUCTUEUX",$I2455="ANNULE")),"Clôturé sans suite","En cours")))</f>
        <v/>
      </c>
      <c r="N2455">
        <f>IF(ISBLANK('ENGAGEMENTS 2026'!B2455),"",'ENGAGEMENTS 2026'!K2455)</f>
        <v/>
      </c>
      <c r="O2455">
        <f>IF(ISBLANK('ENGAGEMENTS 2026'!B2455),"",'ENGAGEMENTS 2026'!L2455)</f>
        <v/>
      </c>
      <c r="P2455">
        <f>IF(ISBLANK('ENGAGEMENTS 2026'!B2455),"",'ENGAGEMENTS 2026'!J2455)</f>
        <v/>
      </c>
      <c r="Q2455">
        <f>IF($A2455="","",IF(OR($E2455="INFRUCTUEUX",$E2455="ANNULE"),$A2455&amp;"|"&amp;(COUNTIFS($A$2:$A2455,$A2455,$E$2:$E2455,"INFRUCTUEUX")+COUNTIFS($A$2:$A2455,$A2455,$E$2:$E2455,"ANNULE")),""))</f>
        <v/>
      </c>
    </row>
    <row r="2456">
      <c r="A2456">
        <f>IF(ISBLANK('ENGAGEMENTS 2026'!B2456),"",IF('ENGAGEMENTS 2026'!B2456="DTSI","DCT",'ENGAGEMENTS 2026'!B2456))</f>
        <v/>
      </c>
      <c r="B2456">
        <f>IF(ISBLANK('ENGAGEMENTS 2026'!B2456),"",'ENGAGEMENTS 2026'!C2456)</f>
        <v/>
      </c>
      <c r="C2456">
        <f>IF(ISBLANK('ENGAGEMENTS 2026'!B2456),"",'ENGAGEMENTS 2026'!D2456)</f>
        <v/>
      </c>
      <c r="D2456">
        <f>IF(ISBLANK('ENGAGEMENTS 2026'!B2456),"",'ENGAGEMENTS 2026'!F2456)</f>
        <v/>
      </c>
      <c r="E2456">
        <f>IF(ISBLANK('ENGAGEMENTS 2026'!B2456),"",'ENGAGEMENTS 2026'!H2456)</f>
        <v/>
      </c>
      <c r="F2456">
        <f>IF(ISBLANK('ENGAGEMENTS 2026'!B2456),"",'ENGAGEMENTS 2026'!I2456)</f>
        <v/>
      </c>
      <c r="G2456">
        <f>IF(ISBLANK('ENGAGEMENTS 2026'!B2456),"",'ENGAGEMENTS 2026'!L2456)</f>
        <v/>
      </c>
      <c r="H2456">
        <f>IF(ISBLANK('ENGAGEMENTS 2026'!B2456),"",'ENGAGEMENTS 2026'!AE2456)</f>
        <v/>
      </c>
      <c r="I2456">
        <f>IF(ISBLANK('ENGAGEMENTS 2026'!B2456),"",'ENGAGEMENTS 2026'!G2456)</f>
        <v/>
      </c>
      <c r="J2456" s="275">
        <f>IF(ISBLANK('ENGAGEMENTS 2026'!B2456),"",IF(AND(OR($E2456="INFRUCTUEUX",$E2456="ANNULE"),$C2456="AOO-M"),'ENGAGEMENTS 2026'!O2456,IF($H2456="EN COURS DE PREENGAGEMENT",'ENGAGEMENTS 2026'!N2456,IF($H2456="PREENGAGE",IF($E2456="ATTRIBUE",'ENGAGEMENTS 2026'!AD2456,'ENGAGEMENTS 2026'!N2456),'ENGAGEMENTS 2026'!AD2456))))</f>
        <v/>
      </c>
      <c r="K2456" s="604">
        <f>IF(ISBLANK('ENGAGEMENTS 2026'!V2456),"",'ENGAGEMENTS 2026'!V2456)</f>
        <v/>
      </c>
      <c r="L2456" s="276">
        <f>IF($K2456="","",TODAY()-$K2456)</f>
        <v/>
      </c>
      <c r="M2456">
        <f>IF($A2456="","",IF($H2456="ENGAGE","Engagé",IF(AND($H2456="NON ENGAGE",OR($I2456="INFRUCTUEUX",$I2456="ANNULE")),"Clôturé sans suite","En cours")))</f>
        <v/>
      </c>
      <c r="N2456">
        <f>IF(ISBLANK('ENGAGEMENTS 2026'!B2456),"",'ENGAGEMENTS 2026'!K2456)</f>
        <v/>
      </c>
      <c r="O2456">
        <f>IF(ISBLANK('ENGAGEMENTS 2026'!B2456),"",'ENGAGEMENTS 2026'!L2456)</f>
        <v/>
      </c>
      <c r="P2456">
        <f>IF(ISBLANK('ENGAGEMENTS 2026'!B2456),"",'ENGAGEMENTS 2026'!J2456)</f>
        <v/>
      </c>
      <c r="Q2456">
        <f>IF($A2456="","",IF(OR($E2456="INFRUCTUEUX",$E2456="ANNULE"),$A2456&amp;"|"&amp;(COUNTIFS($A$2:$A2456,$A2456,$E$2:$E2456,"INFRUCTUEUX")+COUNTIFS($A$2:$A2456,$A2456,$E$2:$E2456,"ANNULE")),""))</f>
        <v/>
      </c>
    </row>
    <row r="2457">
      <c r="A2457">
        <f>IF(ISBLANK('ENGAGEMENTS 2026'!B2457),"",IF('ENGAGEMENTS 2026'!B2457="DTSI","DCT",'ENGAGEMENTS 2026'!B2457))</f>
        <v/>
      </c>
      <c r="B2457">
        <f>IF(ISBLANK('ENGAGEMENTS 2026'!B2457),"",'ENGAGEMENTS 2026'!C2457)</f>
        <v/>
      </c>
      <c r="C2457">
        <f>IF(ISBLANK('ENGAGEMENTS 2026'!B2457),"",'ENGAGEMENTS 2026'!D2457)</f>
        <v/>
      </c>
      <c r="D2457">
        <f>IF(ISBLANK('ENGAGEMENTS 2026'!B2457),"",'ENGAGEMENTS 2026'!F2457)</f>
        <v/>
      </c>
      <c r="E2457">
        <f>IF(ISBLANK('ENGAGEMENTS 2026'!B2457),"",'ENGAGEMENTS 2026'!H2457)</f>
        <v/>
      </c>
      <c r="F2457">
        <f>IF(ISBLANK('ENGAGEMENTS 2026'!B2457),"",'ENGAGEMENTS 2026'!I2457)</f>
        <v/>
      </c>
      <c r="G2457">
        <f>IF(ISBLANK('ENGAGEMENTS 2026'!B2457),"",'ENGAGEMENTS 2026'!L2457)</f>
        <v/>
      </c>
      <c r="H2457">
        <f>IF(ISBLANK('ENGAGEMENTS 2026'!B2457),"",'ENGAGEMENTS 2026'!AE2457)</f>
        <v/>
      </c>
      <c r="I2457">
        <f>IF(ISBLANK('ENGAGEMENTS 2026'!B2457),"",'ENGAGEMENTS 2026'!G2457)</f>
        <v/>
      </c>
      <c r="J2457" s="275">
        <f>IF(ISBLANK('ENGAGEMENTS 2026'!B2457),"",IF(AND(OR($E2457="INFRUCTUEUX",$E2457="ANNULE"),$C2457="AOO-M"),'ENGAGEMENTS 2026'!O2457,IF($H2457="EN COURS DE PREENGAGEMENT",'ENGAGEMENTS 2026'!N2457,IF($H2457="PREENGAGE",IF($E2457="ATTRIBUE",'ENGAGEMENTS 2026'!AD2457,'ENGAGEMENTS 2026'!N2457),'ENGAGEMENTS 2026'!AD2457))))</f>
        <v/>
      </c>
      <c r="K2457" s="604">
        <f>IF(ISBLANK('ENGAGEMENTS 2026'!V2457),"",'ENGAGEMENTS 2026'!V2457)</f>
        <v/>
      </c>
      <c r="L2457" s="276">
        <f>IF($K2457="","",TODAY()-$K2457)</f>
        <v/>
      </c>
      <c r="M2457">
        <f>IF($A2457="","",IF($H2457="ENGAGE","Engagé",IF(AND($H2457="NON ENGAGE",OR($I2457="INFRUCTUEUX",$I2457="ANNULE")),"Clôturé sans suite","En cours")))</f>
        <v/>
      </c>
      <c r="N2457">
        <f>IF(ISBLANK('ENGAGEMENTS 2026'!B2457),"",'ENGAGEMENTS 2026'!K2457)</f>
        <v/>
      </c>
      <c r="O2457">
        <f>IF(ISBLANK('ENGAGEMENTS 2026'!B2457),"",'ENGAGEMENTS 2026'!L2457)</f>
        <v/>
      </c>
      <c r="P2457">
        <f>IF(ISBLANK('ENGAGEMENTS 2026'!B2457),"",'ENGAGEMENTS 2026'!J2457)</f>
        <v/>
      </c>
      <c r="Q2457">
        <f>IF($A2457="","",IF(OR($E2457="INFRUCTUEUX",$E2457="ANNULE"),$A2457&amp;"|"&amp;(COUNTIFS($A$2:$A2457,$A2457,$E$2:$E2457,"INFRUCTUEUX")+COUNTIFS($A$2:$A2457,$A2457,$E$2:$E2457,"ANNULE")),""))</f>
        <v/>
      </c>
    </row>
    <row r="2458">
      <c r="A2458">
        <f>IF(ISBLANK('ENGAGEMENTS 2026'!B2458),"",IF('ENGAGEMENTS 2026'!B2458="DTSI","DCT",'ENGAGEMENTS 2026'!B2458))</f>
        <v/>
      </c>
      <c r="B2458">
        <f>IF(ISBLANK('ENGAGEMENTS 2026'!B2458),"",'ENGAGEMENTS 2026'!C2458)</f>
        <v/>
      </c>
      <c r="C2458">
        <f>IF(ISBLANK('ENGAGEMENTS 2026'!B2458),"",'ENGAGEMENTS 2026'!D2458)</f>
        <v/>
      </c>
      <c r="D2458">
        <f>IF(ISBLANK('ENGAGEMENTS 2026'!B2458),"",'ENGAGEMENTS 2026'!F2458)</f>
        <v/>
      </c>
      <c r="E2458">
        <f>IF(ISBLANK('ENGAGEMENTS 2026'!B2458),"",'ENGAGEMENTS 2026'!H2458)</f>
        <v/>
      </c>
      <c r="F2458">
        <f>IF(ISBLANK('ENGAGEMENTS 2026'!B2458),"",'ENGAGEMENTS 2026'!I2458)</f>
        <v/>
      </c>
      <c r="G2458">
        <f>IF(ISBLANK('ENGAGEMENTS 2026'!B2458),"",'ENGAGEMENTS 2026'!L2458)</f>
        <v/>
      </c>
      <c r="H2458">
        <f>IF(ISBLANK('ENGAGEMENTS 2026'!B2458),"",'ENGAGEMENTS 2026'!AE2458)</f>
        <v/>
      </c>
      <c r="I2458">
        <f>IF(ISBLANK('ENGAGEMENTS 2026'!B2458),"",'ENGAGEMENTS 2026'!G2458)</f>
        <v/>
      </c>
      <c r="J2458" s="275">
        <f>IF(ISBLANK('ENGAGEMENTS 2026'!B2458),"",IF(AND(OR($E2458="INFRUCTUEUX",$E2458="ANNULE"),$C2458="AOO-M"),'ENGAGEMENTS 2026'!O2458,IF($H2458="EN COURS DE PREENGAGEMENT",'ENGAGEMENTS 2026'!N2458,IF($H2458="PREENGAGE",IF($E2458="ATTRIBUE",'ENGAGEMENTS 2026'!AD2458,'ENGAGEMENTS 2026'!N2458),'ENGAGEMENTS 2026'!AD2458))))</f>
        <v/>
      </c>
      <c r="K2458" s="604">
        <f>IF(ISBLANK('ENGAGEMENTS 2026'!V2458),"",'ENGAGEMENTS 2026'!V2458)</f>
        <v/>
      </c>
      <c r="L2458" s="276">
        <f>IF($K2458="","",TODAY()-$K2458)</f>
        <v/>
      </c>
      <c r="M2458">
        <f>IF($A2458="","",IF($H2458="ENGAGE","Engagé",IF(AND($H2458="NON ENGAGE",OR($I2458="INFRUCTUEUX",$I2458="ANNULE")),"Clôturé sans suite","En cours")))</f>
        <v/>
      </c>
      <c r="N2458">
        <f>IF(ISBLANK('ENGAGEMENTS 2026'!B2458),"",'ENGAGEMENTS 2026'!K2458)</f>
        <v/>
      </c>
      <c r="O2458">
        <f>IF(ISBLANK('ENGAGEMENTS 2026'!B2458),"",'ENGAGEMENTS 2026'!L2458)</f>
        <v/>
      </c>
      <c r="P2458">
        <f>IF(ISBLANK('ENGAGEMENTS 2026'!B2458),"",'ENGAGEMENTS 2026'!J2458)</f>
        <v/>
      </c>
      <c r="Q2458">
        <f>IF($A2458="","",IF(OR($E2458="INFRUCTUEUX",$E2458="ANNULE"),$A2458&amp;"|"&amp;(COUNTIFS($A$2:$A2458,$A2458,$E$2:$E2458,"INFRUCTUEUX")+COUNTIFS($A$2:$A2458,$A2458,$E$2:$E2458,"ANNULE")),""))</f>
        <v/>
      </c>
    </row>
    <row r="2459">
      <c r="A2459">
        <f>IF(ISBLANK('ENGAGEMENTS 2026'!B2459),"",IF('ENGAGEMENTS 2026'!B2459="DTSI","DCT",'ENGAGEMENTS 2026'!B2459))</f>
        <v/>
      </c>
      <c r="B2459">
        <f>IF(ISBLANK('ENGAGEMENTS 2026'!B2459),"",'ENGAGEMENTS 2026'!C2459)</f>
        <v/>
      </c>
      <c r="C2459">
        <f>IF(ISBLANK('ENGAGEMENTS 2026'!B2459),"",'ENGAGEMENTS 2026'!D2459)</f>
        <v/>
      </c>
      <c r="D2459">
        <f>IF(ISBLANK('ENGAGEMENTS 2026'!B2459),"",'ENGAGEMENTS 2026'!F2459)</f>
        <v/>
      </c>
      <c r="E2459">
        <f>IF(ISBLANK('ENGAGEMENTS 2026'!B2459),"",'ENGAGEMENTS 2026'!H2459)</f>
        <v/>
      </c>
      <c r="F2459">
        <f>IF(ISBLANK('ENGAGEMENTS 2026'!B2459),"",'ENGAGEMENTS 2026'!I2459)</f>
        <v/>
      </c>
      <c r="G2459">
        <f>IF(ISBLANK('ENGAGEMENTS 2026'!B2459),"",'ENGAGEMENTS 2026'!L2459)</f>
        <v/>
      </c>
      <c r="H2459">
        <f>IF(ISBLANK('ENGAGEMENTS 2026'!B2459),"",'ENGAGEMENTS 2026'!AE2459)</f>
        <v/>
      </c>
      <c r="I2459">
        <f>IF(ISBLANK('ENGAGEMENTS 2026'!B2459),"",'ENGAGEMENTS 2026'!G2459)</f>
        <v/>
      </c>
      <c r="J2459" s="275">
        <f>IF(ISBLANK('ENGAGEMENTS 2026'!B2459),"",IF(AND(OR($E2459="INFRUCTUEUX",$E2459="ANNULE"),$C2459="AOO-M"),'ENGAGEMENTS 2026'!O2459,IF($H2459="EN COURS DE PREENGAGEMENT",'ENGAGEMENTS 2026'!N2459,IF($H2459="PREENGAGE",IF($E2459="ATTRIBUE",'ENGAGEMENTS 2026'!AD2459,'ENGAGEMENTS 2026'!N2459),'ENGAGEMENTS 2026'!AD2459))))</f>
        <v/>
      </c>
      <c r="K2459" s="604">
        <f>IF(ISBLANK('ENGAGEMENTS 2026'!V2459),"",'ENGAGEMENTS 2026'!V2459)</f>
        <v/>
      </c>
      <c r="L2459" s="276">
        <f>IF($K2459="","",TODAY()-$K2459)</f>
        <v/>
      </c>
      <c r="M2459">
        <f>IF($A2459="","",IF($H2459="ENGAGE","Engagé",IF(AND($H2459="NON ENGAGE",OR($I2459="INFRUCTUEUX",$I2459="ANNULE")),"Clôturé sans suite","En cours")))</f>
        <v/>
      </c>
      <c r="N2459">
        <f>IF(ISBLANK('ENGAGEMENTS 2026'!B2459),"",'ENGAGEMENTS 2026'!K2459)</f>
        <v/>
      </c>
      <c r="O2459">
        <f>IF(ISBLANK('ENGAGEMENTS 2026'!B2459),"",'ENGAGEMENTS 2026'!L2459)</f>
        <v/>
      </c>
      <c r="P2459">
        <f>IF(ISBLANK('ENGAGEMENTS 2026'!B2459),"",'ENGAGEMENTS 2026'!J2459)</f>
        <v/>
      </c>
      <c r="Q2459">
        <f>IF($A2459="","",IF(OR($E2459="INFRUCTUEUX",$E2459="ANNULE"),$A2459&amp;"|"&amp;(COUNTIFS($A$2:$A2459,$A2459,$E$2:$E2459,"INFRUCTUEUX")+COUNTIFS($A$2:$A2459,$A2459,$E$2:$E2459,"ANNULE")),""))</f>
        <v/>
      </c>
    </row>
    <row r="2460">
      <c r="A2460">
        <f>IF(ISBLANK('ENGAGEMENTS 2026'!B2460),"",IF('ENGAGEMENTS 2026'!B2460="DTSI","DCT",'ENGAGEMENTS 2026'!B2460))</f>
        <v/>
      </c>
      <c r="B2460">
        <f>IF(ISBLANK('ENGAGEMENTS 2026'!B2460),"",'ENGAGEMENTS 2026'!C2460)</f>
        <v/>
      </c>
      <c r="C2460">
        <f>IF(ISBLANK('ENGAGEMENTS 2026'!B2460),"",'ENGAGEMENTS 2026'!D2460)</f>
        <v/>
      </c>
      <c r="D2460">
        <f>IF(ISBLANK('ENGAGEMENTS 2026'!B2460),"",'ENGAGEMENTS 2026'!F2460)</f>
        <v/>
      </c>
      <c r="E2460">
        <f>IF(ISBLANK('ENGAGEMENTS 2026'!B2460),"",'ENGAGEMENTS 2026'!H2460)</f>
        <v/>
      </c>
      <c r="F2460">
        <f>IF(ISBLANK('ENGAGEMENTS 2026'!B2460),"",'ENGAGEMENTS 2026'!I2460)</f>
        <v/>
      </c>
      <c r="G2460">
        <f>IF(ISBLANK('ENGAGEMENTS 2026'!B2460),"",'ENGAGEMENTS 2026'!L2460)</f>
        <v/>
      </c>
      <c r="H2460">
        <f>IF(ISBLANK('ENGAGEMENTS 2026'!B2460),"",'ENGAGEMENTS 2026'!AE2460)</f>
        <v/>
      </c>
      <c r="I2460">
        <f>IF(ISBLANK('ENGAGEMENTS 2026'!B2460),"",'ENGAGEMENTS 2026'!G2460)</f>
        <v/>
      </c>
      <c r="J2460" s="275">
        <f>IF(ISBLANK('ENGAGEMENTS 2026'!B2460),"",IF(AND(OR($E2460="INFRUCTUEUX",$E2460="ANNULE"),$C2460="AOO-M"),'ENGAGEMENTS 2026'!O2460,IF($H2460="EN COURS DE PREENGAGEMENT",'ENGAGEMENTS 2026'!N2460,IF($H2460="PREENGAGE",IF($E2460="ATTRIBUE",'ENGAGEMENTS 2026'!AD2460,'ENGAGEMENTS 2026'!N2460),'ENGAGEMENTS 2026'!AD2460))))</f>
        <v/>
      </c>
      <c r="K2460" s="604">
        <f>IF(ISBLANK('ENGAGEMENTS 2026'!V2460),"",'ENGAGEMENTS 2026'!V2460)</f>
        <v/>
      </c>
      <c r="L2460" s="276">
        <f>IF($K2460="","",TODAY()-$K2460)</f>
        <v/>
      </c>
      <c r="M2460">
        <f>IF($A2460="","",IF($H2460="ENGAGE","Engagé",IF(AND($H2460="NON ENGAGE",OR($I2460="INFRUCTUEUX",$I2460="ANNULE")),"Clôturé sans suite","En cours")))</f>
        <v/>
      </c>
      <c r="N2460">
        <f>IF(ISBLANK('ENGAGEMENTS 2026'!B2460),"",'ENGAGEMENTS 2026'!K2460)</f>
        <v/>
      </c>
      <c r="O2460">
        <f>IF(ISBLANK('ENGAGEMENTS 2026'!B2460),"",'ENGAGEMENTS 2026'!L2460)</f>
        <v/>
      </c>
      <c r="P2460">
        <f>IF(ISBLANK('ENGAGEMENTS 2026'!B2460),"",'ENGAGEMENTS 2026'!J2460)</f>
        <v/>
      </c>
      <c r="Q2460">
        <f>IF($A2460="","",IF(OR($E2460="INFRUCTUEUX",$E2460="ANNULE"),$A2460&amp;"|"&amp;(COUNTIFS($A$2:$A2460,$A2460,$E$2:$E2460,"INFRUCTUEUX")+COUNTIFS($A$2:$A2460,$A2460,$E$2:$E2460,"ANNULE")),""))</f>
        <v/>
      </c>
    </row>
    <row r="2461">
      <c r="A2461">
        <f>IF(ISBLANK('ENGAGEMENTS 2026'!B2461),"",IF('ENGAGEMENTS 2026'!B2461="DTSI","DCT",'ENGAGEMENTS 2026'!B2461))</f>
        <v/>
      </c>
      <c r="B2461">
        <f>IF(ISBLANK('ENGAGEMENTS 2026'!B2461),"",'ENGAGEMENTS 2026'!C2461)</f>
        <v/>
      </c>
      <c r="C2461">
        <f>IF(ISBLANK('ENGAGEMENTS 2026'!B2461),"",'ENGAGEMENTS 2026'!D2461)</f>
        <v/>
      </c>
      <c r="D2461">
        <f>IF(ISBLANK('ENGAGEMENTS 2026'!B2461),"",'ENGAGEMENTS 2026'!F2461)</f>
        <v/>
      </c>
      <c r="E2461">
        <f>IF(ISBLANK('ENGAGEMENTS 2026'!B2461),"",'ENGAGEMENTS 2026'!H2461)</f>
        <v/>
      </c>
      <c r="F2461">
        <f>IF(ISBLANK('ENGAGEMENTS 2026'!B2461),"",'ENGAGEMENTS 2026'!I2461)</f>
        <v/>
      </c>
      <c r="G2461">
        <f>IF(ISBLANK('ENGAGEMENTS 2026'!B2461),"",'ENGAGEMENTS 2026'!L2461)</f>
        <v/>
      </c>
      <c r="H2461">
        <f>IF(ISBLANK('ENGAGEMENTS 2026'!B2461),"",'ENGAGEMENTS 2026'!AE2461)</f>
        <v/>
      </c>
      <c r="I2461">
        <f>IF(ISBLANK('ENGAGEMENTS 2026'!B2461),"",'ENGAGEMENTS 2026'!G2461)</f>
        <v/>
      </c>
      <c r="J2461" s="275">
        <f>IF(ISBLANK('ENGAGEMENTS 2026'!B2461),"",IF(AND(OR($E2461="INFRUCTUEUX",$E2461="ANNULE"),$C2461="AOO-M"),'ENGAGEMENTS 2026'!O2461,IF($H2461="EN COURS DE PREENGAGEMENT",'ENGAGEMENTS 2026'!N2461,IF($H2461="PREENGAGE",IF($E2461="ATTRIBUE",'ENGAGEMENTS 2026'!AD2461,'ENGAGEMENTS 2026'!N2461),'ENGAGEMENTS 2026'!AD2461))))</f>
        <v/>
      </c>
      <c r="K2461" s="604">
        <f>IF(ISBLANK('ENGAGEMENTS 2026'!V2461),"",'ENGAGEMENTS 2026'!V2461)</f>
        <v/>
      </c>
      <c r="L2461" s="276">
        <f>IF($K2461="","",TODAY()-$K2461)</f>
        <v/>
      </c>
      <c r="M2461">
        <f>IF($A2461="","",IF($H2461="ENGAGE","Engagé",IF(AND($H2461="NON ENGAGE",OR($I2461="INFRUCTUEUX",$I2461="ANNULE")),"Clôturé sans suite","En cours")))</f>
        <v/>
      </c>
      <c r="N2461">
        <f>IF(ISBLANK('ENGAGEMENTS 2026'!B2461),"",'ENGAGEMENTS 2026'!K2461)</f>
        <v/>
      </c>
      <c r="O2461">
        <f>IF(ISBLANK('ENGAGEMENTS 2026'!B2461),"",'ENGAGEMENTS 2026'!L2461)</f>
        <v/>
      </c>
      <c r="P2461">
        <f>IF(ISBLANK('ENGAGEMENTS 2026'!B2461),"",'ENGAGEMENTS 2026'!J2461)</f>
        <v/>
      </c>
      <c r="Q2461">
        <f>IF($A2461="","",IF(OR($E2461="INFRUCTUEUX",$E2461="ANNULE"),$A2461&amp;"|"&amp;(COUNTIFS($A$2:$A2461,$A2461,$E$2:$E2461,"INFRUCTUEUX")+COUNTIFS($A$2:$A2461,$A2461,$E$2:$E2461,"ANNULE")),""))</f>
        <v/>
      </c>
    </row>
    <row r="2462">
      <c r="A2462">
        <f>IF(ISBLANK('ENGAGEMENTS 2026'!B2462),"",IF('ENGAGEMENTS 2026'!B2462="DTSI","DCT",'ENGAGEMENTS 2026'!B2462))</f>
        <v/>
      </c>
      <c r="B2462">
        <f>IF(ISBLANK('ENGAGEMENTS 2026'!B2462),"",'ENGAGEMENTS 2026'!C2462)</f>
        <v/>
      </c>
      <c r="C2462">
        <f>IF(ISBLANK('ENGAGEMENTS 2026'!B2462),"",'ENGAGEMENTS 2026'!D2462)</f>
        <v/>
      </c>
      <c r="D2462">
        <f>IF(ISBLANK('ENGAGEMENTS 2026'!B2462),"",'ENGAGEMENTS 2026'!F2462)</f>
        <v/>
      </c>
      <c r="E2462">
        <f>IF(ISBLANK('ENGAGEMENTS 2026'!B2462),"",'ENGAGEMENTS 2026'!H2462)</f>
        <v/>
      </c>
      <c r="F2462">
        <f>IF(ISBLANK('ENGAGEMENTS 2026'!B2462),"",'ENGAGEMENTS 2026'!I2462)</f>
        <v/>
      </c>
      <c r="G2462">
        <f>IF(ISBLANK('ENGAGEMENTS 2026'!B2462),"",'ENGAGEMENTS 2026'!L2462)</f>
        <v/>
      </c>
      <c r="H2462">
        <f>IF(ISBLANK('ENGAGEMENTS 2026'!B2462),"",'ENGAGEMENTS 2026'!AE2462)</f>
        <v/>
      </c>
      <c r="I2462">
        <f>IF(ISBLANK('ENGAGEMENTS 2026'!B2462),"",'ENGAGEMENTS 2026'!G2462)</f>
        <v/>
      </c>
      <c r="J2462" s="275">
        <f>IF(ISBLANK('ENGAGEMENTS 2026'!B2462),"",IF(AND(OR($E2462="INFRUCTUEUX",$E2462="ANNULE"),$C2462="AOO-M"),'ENGAGEMENTS 2026'!O2462,IF($H2462="EN COURS DE PREENGAGEMENT",'ENGAGEMENTS 2026'!N2462,IF($H2462="PREENGAGE",IF($E2462="ATTRIBUE",'ENGAGEMENTS 2026'!AD2462,'ENGAGEMENTS 2026'!N2462),'ENGAGEMENTS 2026'!AD2462))))</f>
        <v/>
      </c>
      <c r="K2462" s="604">
        <f>IF(ISBLANK('ENGAGEMENTS 2026'!V2462),"",'ENGAGEMENTS 2026'!V2462)</f>
        <v/>
      </c>
      <c r="L2462" s="276">
        <f>IF($K2462="","",TODAY()-$K2462)</f>
        <v/>
      </c>
      <c r="M2462">
        <f>IF($A2462="","",IF($H2462="ENGAGE","Engagé",IF(AND($H2462="NON ENGAGE",OR($I2462="INFRUCTUEUX",$I2462="ANNULE")),"Clôturé sans suite","En cours")))</f>
        <v/>
      </c>
      <c r="N2462">
        <f>IF(ISBLANK('ENGAGEMENTS 2026'!B2462),"",'ENGAGEMENTS 2026'!K2462)</f>
        <v/>
      </c>
      <c r="O2462">
        <f>IF(ISBLANK('ENGAGEMENTS 2026'!B2462),"",'ENGAGEMENTS 2026'!L2462)</f>
        <v/>
      </c>
      <c r="P2462">
        <f>IF(ISBLANK('ENGAGEMENTS 2026'!B2462),"",'ENGAGEMENTS 2026'!J2462)</f>
        <v/>
      </c>
      <c r="Q2462">
        <f>IF($A2462="","",IF(OR($E2462="INFRUCTUEUX",$E2462="ANNULE"),$A2462&amp;"|"&amp;(COUNTIFS($A$2:$A2462,$A2462,$E$2:$E2462,"INFRUCTUEUX")+COUNTIFS($A$2:$A2462,$A2462,$E$2:$E2462,"ANNULE")),""))</f>
        <v/>
      </c>
    </row>
    <row r="2463">
      <c r="A2463">
        <f>IF(ISBLANK('ENGAGEMENTS 2026'!B2463),"",IF('ENGAGEMENTS 2026'!B2463="DTSI","DCT",'ENGAGEMENTS 2026'!B2463))</f>
        <v/>
      </c>
      <c r="B2463">
        <f>IF(ISBLANK('ENGAGEMENTS 2026'!B2463),"",'ENGAGEMENTS 2026'!C2463)</f>
        <v/>
      </c>
      <c r="C2463">
        <f>IF(ISBLANK('ENGAGEMENTS 2026'!B2463),"",'ENGAGEMENTS 2026'!D2463)</f>
        <v/>
      </c>
      <c r="D2463">
        <f>IF(ISBLANK('ENGAGEMENTS 2026'!B2463),"",'ENGAGEMENTS 2026'!F2463)</f>
        <v/>
      </c>
      <c r="E2463">
        <f>IF(ISBLANK('ENGAGEMENTS 2026'!B2463),"",'ENGAGEMENTS 2026'!H2463)</f>
        <v/>
      </c>
      <c r="F2463">
        <f>IF(ISBLANK('ENGAGEMENTS 2026'!B2463),"",'ENGAGEMENTS 2026'!I2463)</f>
        <v/>
      </c>
      <c r="G2463">
        <f>IF(ISBLANK('ENGAGEMENTS 2026'!B2463),"",'ENGAGEMENTS 2026'!L2463)</f>
        <v/>
      </c>
      <c r="H2463">
        <f>IF(ISBLANK('ENGAGEMENTS 2026'!B2463),"",'ENGAGEMENTS 2026'!AE2463)</f>
        <v/>
      </c>
      <c r="I2463">
        <f>IF(ISBLANK('ENGAGEMENTS 2026'!B2463),"",'ENGAGEMENTS 2026'!G2463)</f>
        <v/>
      </c>
      <c r="J2463" s="275">
        <f>IF(ISBLANK('ENGAGEMENTS 2026'!B2463),"",IF(AND(OR($E2463="INFRUCTUEUX",$E2463="ANNULE"),$C2463="AOO-M"),'ENGAGEMENTS 2026'!O2463,IF($H2463="EN COURS DE PREENGAGEMENT",'ENGAGEMENTS 2026'!N2463,IF($H2463="PREENGAGE",IF($E2463="ATTRIBUE",'ENGAGEMENTS 2026'!AD2463,'ENGAGEMENTS 2026'!N2463),'ENGAGEMENTS 2026'!AD2463))))</f>
        <v/>
      </c>
      <c r="K2463" s="604">
        <f>IF(ISBLANK('ENGAGEMENTS 2026'!V2463),"",'ENGAGEMENTS 2026'!V2463)</f>
        <v/>
      </c>
      <c r="L2463" s="276">
        <f>IF($K2463="","",TODAY()-$K2463)</f>
        <v/>
      </c>
      <c r="M2463">
        <f>IF($A2463="","",IF($H2463="ENGAGE","Engagé",IF(AND($H2463="NON ENGAGE",OR($I2463="INFRUCTUEUX",$I2463="ANNULE")),"Clôturé sans suite","En cours")))</f>
        <v/>
      </c>
      <c r="N2463">
        <f>IF(ISBLANK('ENGAGEMENTS 2026'!B2463),"",'ENGAGEMENTS 2026'!K2463)</f>
        <v/>
      </c>
      <c r="O2463">
        <f>IF(ISBLANK('ENGAGEMENTS 2026'!B2463),"",'ENGAGEMENTS 2026'!L2463)</f>
        <v/>
      </c>
      <c r="P2463">
        <f>IF(ISBLANK('ENGAGEMENTS 2026'!B2463),"",'ENGAGEMENTS 2026'!J2463)</f>
        <v/>
      </c>
      <c r="Q2463">
        <f>IF($A2463="","",IF(OR($E2463="INFRUCTUEUX",$E2463="ANNULE"),$A2463&amp;"|"&amp;(COUNTIFS($A$2:$A2463,$A2463,$E$2:$E2463,"INFRUCTUEUX")+COUNTIFS($A$2:$A2463,$A2463,$E$2:$E2463,"ANNULE")),""))</f>
        <v/>
      </c>
    </row>
    <row r="2464">
      <c r="A2464">
        <f>IF(ISBLANK('ENGAGEMENTS 2026'!B2464),"",IF('ENGAGEMENTS 2026'!B2464="DTSI","DCT",'ENGAGEMENTS 2026'!B2464))</f>
        <v/>
      </c>
      <c r="B2464">
        <f>IF(ISBLANK('ENGAGEMENTS 2026'!B2464),"",'ENGAGEMENTS 2026'!C2464)</f>
        <v/>
      </c>
      <c r="C2464">
        <f>IF(ISBLANK('ENGAGEMENTS 2026'!B2464),"",'ENGAGEMENTS 2026'!D2464)</f>
        <v/>
      </c>
      <c r="D2464">
        <f>IF(ISBLANK('ENGAGEMENTS 2026'!B2464),"",'ENGAGEMENTS 2026'!F2464)</f>
        <v/>
      </c>
      <c r="E2464">
        <f>IF(ISBLANK('ENGAGEMENTS 2026'!B2464),"",'ENGAGEMENTS 2026'!H2464)</f>
        <v/>
      </c>
      <c r="F2464">
        <f>IF(ISBLANK('ENGAGEMENTS 2026'!B2464),"",'ENGAGEMENTS 2026'!I2464)</f>
        <v/>
      </c>
      <c r="G2464">
        <f>IF(ISBLANK('ENGAGEMENTS 2026'!B2464),"",'ENGAGEMENTS 2026'!L2464)</f>
        <v/>
      </c>
      <c r="H2464">
        <f>IF(ISBLANK('ENGAGEMENTS 2026'!B2464),"",'ENGAGEMENTS 2026'!AE2464)</f>
        <v/>
      </c>
      <c r="I2464">
        <f>IF(ISBLANK('ENGAGEMENTS 2026'!B2464),"",'ENGAGEMENTS 2026'!G2464)</f>
        <v/>
      </c>
      <c r="J2464" s="275">
        <f>IF(ISBLANK('ENGAGEMENTS 2026'!B2464),"",IF(AND(OR($E2464="INFRUCTUEUX",$E2464="ANNULE"),$C2464="AOO-M"),'ENGAGEMENTS 2026'!O2464,IF($H2464="EN COURS DE PREENGAGEMENT",'ENGAGEMENTS 2026'!N2464,IF($H2464="PREENGAGE",IF($E2464="ATTRIBUE",'ENGAGEMENTS 2026'!AD2464,'ENGAGEMENTS 2026'!N2464),'ENGAGEMENTS 2026'!AD2464))))</f>
        <v/>
      </c>
      <c r="K2464" s="604">
        <f>IF(ISBLANK('ENGAGEMENTS 2026'!V2464),"",'ENGAGEMENTS 2026'!V2464)</f>
        <v/>
      </c>
      <c r="L2464" s="276">
        <f>IF($K2464="","",TODAY()-$K2464)</f>
        <v/>
      </c>
      <c r="M2464">
        <f>IF($A2464="","",IF($H2464="ENGAGE","Engagé",IF(AND($H2464="NON ENGAGE",OR($I2464="INFRUCTUEUX",$I2464="ANNULE")),"Clôturé sans suite","En cours")))</f>
        <v/>
      </c>
      <c r="N2464">
        <f>IF(ISBLANK('ENGAGEMENTS 2026'!B2464),"",'ENGAGEMENTS 2026'!K2464)</f>
        <v/>
      </c>
      <c r="O2464">
        <f>IF(ISBLANK('ENGAGEMENTS 2026'!B2464),"",'ENGAGEMENTS 2026'!L2464)</f>
        <v/>
      </c>
      <c r="P2464">
        <f>IF(ISBLANK('ENGAGEMENTS 2026'!B2464),"",'ENGAGEMENTS 2026'!J2464)</f>
        <v/>
      </c>
      <c r="Q2464">
        <f>IF($A2464="","",IF(OR($E2464="INFRUCTUEUX",$E2464="ANNULE"),$A2464&amp;"|"&amp;(COUNTIFS($A$2:$A2464,$A2464,$E$2:$E2464,"INFRUCTUEUX")+COUNTIFS($A$2:$A2464,$A2464,$E$2:$E2464,"ANNULE")),""))</f>
        <v/>
      </c>
    </row>
    <row r="2465">
      <c r="A2465">
        <f>IF(ISBLANK('ENGAGEMENTS 2026'!B2465),"",IF('ENGAGEMENTS 2026'!B2465="DTSI","DCT",'ENGAGEMENTS 2026'!B2465))</f>
        <v/>
      </c>
      <c r="B2465">
        <f>IF(ISBLANK('ENGAGEMENTS 2026'!B2465),"",'ENGAGEMENTS 2026'!C2465)</f>
        <v/>
      </c>
      <c r="C2465">
        <f>IF(ISBLANK('ENGAGEMENTS 2026'!B2465),"",'ENGAGEMENTS 2026'!D2465)</f>
        <v/>
      </c>
      <c r="D2465">
        <f>IF(ISBLANK('ENGAGEMENTS 2026'!B2465),"",'ENGAGEMENTS 2026'!F2465)</f>
        <v/>
      </c>
      <c r="E2465">
        <f>IF(ISBLANK('ENGAGEMENTS 2026'!B2465),"",'ENGAGEMENTS 2026'!H2465)</f>
        <v/>
      </c>
      <c r="F2465">
        <f>IF(ISBLANK('ENGAGEMENTS 2026'!B2465),"",'ENGAGEMENTS 2026'!I2465)</f>
        <v/>
      </c>
      <c r="G2465">
        <f>IF(ISBLANK('ENGAGEMENTS 2026'!B2465),"",'ENGAGEMENTS 2026'!L2465)</f>
        <v/>
      </c>
      <c r="H2465">
        <f>IF(ISBLANK('ENGAGEMENTS 2026'!B2465),"",'ENGAGEMENTS 2026'!AE2465)</f>
        <v/>
      </c>
      <c r="I2465">
        <f>IF(ISBLANK('ENGAGEMENTS 2026'!B2465),"",'ENGAGEMENTS 2026'!G2465)</f>
        <v/>
      </c>
      <c r="J2465" s="275">
        <f>IF(ISBLANK('ENGAGEMENTS 2026'!B2465),"",IF(AND(OR($E2465="INFRUCTUEUX",$E2465="ANNULE"),$C2465="AOO-M"),'ENGAGEMENTS 2026'!O2465,IF($H2465="EN COURS DE PREENGAGEMENT",'ENGAGEMENTS 2026'!N2465,IF($H2465="PREENGAGE",IF($E2465="ATTRIBUE",'ENGAGEMENTS 2026'!AD2465,'ENGAGEMENTS 2026'!N2465),'ENGAGEMENTS 2026'!AD2465))))</f>
        <v/>
      </c>
      <c r="K2465" s="604">
        <f>IF(ISBLANK('ENGAGEMENTS 2026'!V2465),"",'ENGAGEMENTS 2026'!V2465)</f>
        <v/>
      </c>
      <c r="L2465" s="276">
        <f>IF($K2465="","",TODAY()-$K2465)</f>
        <v/>
      </c>
      <c r="M2465">
        <f>IF($A2465="","",IF($H2465="ENGAGE","Engagé",IF(AND($H2465="NON ENGAGE",OR($I2465="INFRUCTUEUX",$I2465="ANNULE")),"Clôturé sans suite","En cours")))</f>
        <v/>
      </c>
      <c r="N2465">
        <f>IF(ISBLANK('ENGAGEMENTS 2026'!B2465),"",'ENGAGEMENTS 2026'!K2465)</f>
        <v/>
      </c>
      <c r="O2465">
        <f>IF(ISBLANK('ENGAGEMENTS 2026'!B2465),"",'ENGAGEMENTS 2026'!L2465)</f>
        <v/>
      </c>
      <c r="P2465">
        <f>IF(ISBLANK('ENGAGEMENTS 2026'!B2465),"",'ENGAGEMENTS 2026'!J2465)</f>
        <v/>
      </c>
      <c r="Q2465">
        <f>IF($A2465="","",IF(OR($E2465="INFRUCTUEUX",$E2465="ANNULE"),$A2465&amp;"|"&amp;(COUNTIFS($A$2:$A2465,$A2465,$E$2:$E2465,"INFRUCTUEUX")+COUNTIFS($A$2:$A2465,$A2465,$E$2:$E2465,"ANNULE")),""))</f>
        <v/>
      </c>
    </row>
    <row r="2466">
      <c r="A2466">
        <f>IF(ISBLANK('ENGAGEMENTS 2026'!B2466),"",IF('ENGAGEMENTS 2026'!B2466="DTSI","DCT",'ENGAGEMENTS 2026'!B2466))</f>
        <v/>
      </c>
      <c r="B2466">
        <f>IF(ISBLANK('ENGAGEMENTS 2026'!B2466),"",'ENGAGEMENTS 2026'!C2466)</f>
        <v/>
      </c>
      <c r="C2466">
        <f>IF(ISBLANK('ENGAGEMENTS 2026'!B2466),"",'ENGAGEMENTS 2026'!D2466)</f>
        <v/>
      </c>
      <c r="D2466">
        <f>IF(ISBLANK('ENGAGEMENTS 2026'!B2466),"",'ENGAGEMENTS 2026'!F2466)</f>
        <v/>
      </c>
      <c r="E2466">
        <f>IF(ISBLANK('ENGAGEMENTS 2026'!B2466),"",'ENGAGEMENTS 2026'!H2466)</f>
        <v/>
      </c>
      <c r="F2466">
        <f>IF(ISBLANK('ENGAGEMENTS 2026'!B2466),"",'ENGAGEMENTS 2026'!I2466)</f>
        <v/>
      </c>
      <c r="G2466">
        <f>IF(ISBLANK('ENGAGEMENTS 2026'!B2466),"",'ENGAGEMENTS 2026'!L2466)</f>
        <v/>
      </c>
      <c r="H2466">
        <f>IF(ISBLANK('ENGAGEMENTS 2026'!B2466),"",'ENGAGEMENTS 2026'!AE2466)</f>
        <v/>
      </c>
      <c r="I2466">
        <f>IF(ISBLANK('ENGAGEMENTS 2026'!B2466),"",'ENGAGEMENTS 2026'!G2466)</f>
        <v/>
      </c>
      <c r="J2466" s="275">
        <f>IF(ISBLANK('ENGAGEMENTS 2026'!B2466),"",IF(AND(OR($E2466="INFRUCTUEUX",$E2466="ANNULE"),$C2466="AOO-M"),'ENGAGEMENTS 2026'!O2466,IF($H2466="EN COURS DE PREENGAGEMENT",'ENGAGEMENTS 2026'!N2466,IF($H2466="PREENGAGE",IF($E2466="ATTRIBUE",'ENGAGEMENTS 2026'!AD2466,'ENGAGEMENTS 2026'!N2466),'ENGAGEMENTS 2026'!AD2466))))</f>
        <v/>
      </c>
      <c r="K2466" s="604">
        <f>IF(ISBLANK('ENGAGEMENTS 2026'!V2466),"",'ENGAGEMENTS 2026'!V2466)</f>
        <v/>
      </c>
      <c r="L2466" s="276">
        <f>IF($K2466="","",TODAY()-$K2466)</f>
        <v/>
      </c>
      <c r="M2466">
        <f>IF($A2466="","",IF($H2466="ENGAGE","Engagé",IF(AND($H2466="NON ENGAGE",OR($I2466="INFRUCTUEUX",$I2466="ANNULE")),"Clôturé sans suite","En cours")))</f>
        <v/>
      </c>
      <c r="N2466">
        <f>IF(ISBLANK('ENGAGEMENTS 2026'!B2466),"",'ENGAGEMENTS 2026'!K2466)</f>
        <v/>
      </c>
      <c r="O2466">
        <f>IF(ISBLANK('ENGAGEMENTS 2026'!B2466),"",'ENGAGEMENTS 2026'!L2466)</f>
        <v/>
      </c>
      <c r="P2466">
        <f>IF(ISBLANK('ENGAGEMENTS 2026'!B2466),"",'ENGAGEMENTS 2026'!J2466)</f>
        <v/>
      </c>
      <c r="Q2466">
        <f>IF($A2466="","",IF(OR($E2466="INFRUCTUEUX",$E2466="ANNULE"),$A2466&amp;"|"&amp;(COUNTIFS($A$2:$A2466,$A2466,$E$2:$E2466,"INFRUCTUEUX")+COUNTIFS($A$2:$A2466,$A2466,$E$2:$E2466,"ANNULE")),""))</f>
        <v/>
      </c>
    </row>
    <row r="2467">
      <c r="A2467">
        <f>IF(ISBLANK('ENGAGEMENTS 2026'!B2467),"",IF('ENGAGEMENTS 2026'!B2467="DTSI","DCT",'ENGAGEMENTS 2026'!B2467))</f>
        <v/>
      </c>
      <c r="B2467">
        <f>IF(ISBLANK('ENGAGEMENTS 2026'!B2467),"",'ENGAGEMENTS 2026'!C2467)</f>
        <v/>
      </c>
      <c r="C2467">
        <f>IF(ISBLANK('ENGAGEMENTS 2026'!B2467),"",'ENGAGEMENTS 2026'!D2467)</f>
        <v/>
      </c>
      <c r="D2467">
        <f>IF(ISBLANK('ENGAGEMENTS 2026'!B2467),"",'ENGAGEMENTS 2026'!F2467)</f>
        <v/>
      </c>
      <c r="E2467">
        <f>IF(ISBLANK('ENGAGEMENTS 2026'!B2467),"",'ENGAGEMENTS 2026'!H2467)</f>
        <v/>
      </c>
      <c r="F2467">
        <f>IF(ISBLANK('ENGAGEMENTS 2026'!B2467),"",'ENGAGEMENTS 2026'!I2467)</f>
        <v/>
      </c>
      <c r="G2467">
        <f>IF(ISBLANK('ENGAGEMENTS 2026'!B2467),"",'ENGAGEMENTS 2026'!L2467)</f>
        <v/>
      </c>
      <c r="H2467">
        <f>IF(ISBLANK('ENGAGEMENTS 2026'!B2467),"",'ENGAGEMENTS 2026'!AE2467)</f>
        <v/>
      </c>
      <c r="I2467">
        <f>IF(ISBLANK('ENGAGEMENTS 2026'!B2467),"",'ENGAGEMENTS 2026'!G2467)</f>
        <v/>
      </c>
      <c r="J2467" s="275">
        <f>IF(ISBLANK('ENGAGEMENTS 2026'!B2467),"",IF(AND(OR($E2467="INFRUCTUEUX",$E2467="ANNULE"),$C2467="AOO-M"),'ENGAGEMENTS 2026'!O2467,IF($H2467="EN COURS DE PREENGAGEMENT",'ENGAGEMENTS 2026'!N2467,IF($H2467="PREENGAGE",IF($E2467="ATTRIBUE",'ENGAGEMENTS 2026'!AD2467,'ENGAGEMENTS 2026'!N2467),'ENGAGEMENTS 2026'!AD2467))))</f>
        <v/>
      </c>
      <c r="K2467" s="604">
        <f>IF(ISBLANK('ENGAGEMENTS 2026'!V2467),"",'ENGAGEMENTS 2026'!V2467)</f>
        <v/>
      </c>
      <c r="L2467" s="276">
        <f>IF($K2467="","",TODAY()-$K2467)</f>
        <v/>
      </c>
      <c r="M2467">
        <f>IF($A2467="","",IF($H2467="ENGAGE","Engagé",IF(AND($H2467="NON ENGAGE",OR($I2467="INFRUCTUEUX",$I2467="ANNULE")),"Clôturé sans suite","En cours")))</f>
        <v/>
      </c>
      <c r="N2467">
        <f>IF(ISBLANK('ENGAGEMENTS 2026'!B2467),"",'ENGAGEMENTS 2026'!K2467)</f>
        <v/>
      </c>
      <c r="O2467">
        <f>IF(ISBLANK('ENGAGEMENTS 2026'!B2467),"",'ENGAGEMENTS 2026'!L2467)</f>
        <v/>
      </c>
      <c r="P2467">
        <f>IF(ISBLANK('ENGAGEMENTS 2026'!B2467),"",'ENGAGEMENTS 2026'!J2467)</f>
        <v/>
      </c>
      <c r="Q2467">
        <f>IF($A2467="","",IF(OR($E2467="INFRUCTUEUX",$E2467="ANNULE"),$A2467&amp;"|"&amp;(COUNTIFS($A$2:$A2467,$A2467,$E$2:$E2467,"INFRUCTUEUX")+COUNTIFS($A$2:$A2467,$A2467,$E$2:$E2467,"ANNULE")),""))</f>
        <v/>
      </c>
    </row>
    <row r="2468">
      <c r="A2468">
        <f>IF(ISBLANK('ENGAGEMENTS 2026'!B2468),"",IF('ENGAGEMENTS 2026'!B2468="DTSI","DCT",'ENGAGEMENTS 2026'!B2468))</f>
        <v/>
      </c>
      <c r="B2468">
        <f>IF(ISBLANK('ENGAGEMENTS 2026'!B2468),"",'ENGAGEMENTS 2026'!C2468)</f>
        <v/>
      </c>
      <c r="C2468">
        <f>IF(ISBLANK('ENGAGEMENTS 2026'!B2468),"",'ENGAGEMENTS 2026'!D2468)</f>
        <v/>
      </c>
      <c r="D2468">
        <f>IF(ISBLANK('ENGAGEMENTS 2026'!B2468),"",'ENGAGEMENTS 2026'!F2468)</f>
        <v/>
      </c>
      <c r="E2468">
        <f>IF(ISBLANK('ENGAGEMENTS 2026'!B2468),"",'ENGAGEMENTS 2026'!H2468)</f>
        <v/>
      </c>
      <c r="F2468">
        <f>IF(ISBLANK('ENGAGEMENTS 2026'!B2468),"",'ENGAGEMENTS 2026'!I2468)</f>
        <v/>
      </c>
      <c r="G2468">
        <f>IF(ISBLANK('ENGAGEMENTS 2026'!B2468),"",'ENGAGEMENTS 2026'!L2468)</f>
        <v/>
      </c>
      <c r="H2468">
        <f>IF(ISBLANK('ENGAGEMENTS 2026'!B2468),"",'ENGAGEMENTS 2026'!AE2468)</f>
        <v/>
      </c>
      <c r="I2468">
        <f>IF(ISBLANK('ENGAGEMENTS 2026'!B2468),"",'ENGAGEMENTS 2026'!G2468)</f>
        <v/>
      </c>
      <c r="J2468" s="275">
        <f>IF(ISBLANK('ENGAGEMENTS 2026'!B2468),"",IF(AND(OR($E2468="INFRUCTUEUX",$E2468="ANNULE"),$C2468="AOO-M"),'ENGAGEMENTS 2026'!O2468,IF($H2468="EN COURS DE PREENGAGEMENT",'ENGAGEMENTS 2026'!N2468,IF($H2468="PREENGAGE",IF($E2468="ATTRIBUE",'ENGAGEMENTS 2026'!AD2468,'ENGAGEMENTS 2026'!N2468),'ENGAGEMENTS 2026'!AD2468))))</f>
        <v/>
      </c>
      <c r="K2468" s="604">
        <f>IF(ISBLANK('ENGAGEMENTS 2026'!V2468),"",'ENGAGEMENTS 2026'!V2468)</f>
        <v/>
      </c>
      <c r="L2468" s="276">
        <f>IF($K2468="","",TODAY()-$K2468)</f>
        <v/>
      </c>
      <c r="M2468">
        <f>IF($A2468="","",IF($H2468="ENGAGE","Engagé",IF(AND($H2468="NON ENGAGE",OR($I2468="INFRUCTUEUX",$I2468="ANNULE")),"Clôturé sans suite","En cours")))</f>
        <v/>
      </c>
      <c r="N2468">
        <f>IF(ISBLANK('ENGAGEMENTS 2026'!B2468),"",'ENGAGEMENTS 2026'!K2468)</f>
        <v/>
      </c>
      <c r="O2468">
        <f>IF(ISBLANK('ENGAGEMENTS 2026'!B2468),"",'ENGAGEMENTS 2026'!L2468)</f>
        <v/>
      </c>
      <c r="P2468">
        <f>IF(ISBLANK('ENGAGEMENTS 2026'!B2468),"",'ENGAGEMENTS 2026'!J2468)</f>
        <v/>
      </c>
      <c r="Q2468">
        <f>IF($A2468="","",IF(OR($E2468="INFRUCTUEUX",$E2468="ANNULE"),$A2468&amp;"|"&amp;(COUNTIFS($A$2:$A2468,$A2468,$E$2:$E2468,"INFRUCTUEUX")+COUNTIFS($A$2:$A2468,$A2468,$E$2:$E2468,"ANNULE")),""))</f>
        <v/>
      </c>
    </row>
    <row r="2469">
      <c r="A2469">
        <f>IF(ISBLANK('ENGAGEMENTS 2026'!B2469),"",IF('ENGAGEMENTS 2026'!B2469="DTSI","DCT",'ENGAGEMENTS 2026'!B2469))</f>
        <v/>
      </c>
      <c r="B2469">
        <f>IF(ISBLANK('ENGAGEMENTS 2026'!B2469),"",'ENGAGEMENTS 2026'!C2469)</f>
        <v/>
      </c>
      <c r="C2469">
        <f>IF(ISBLANK('ENGAGEMENTS 2026'!B2469),"",'ENGAGEMENTS 2026'!D2469)</f>
        <v/>
      </c>
      <c r="D2469">
        <f>IF(ISBLANK('ENGAGEMENTS 2026'!B2469),"",'ENGAGEMENTS 2026'!F2469)</f>
        <v/>
      </c>
      <c r="E2469">
        <f>IF(ISBLANK('ENGAGEMENTS 2026'!B2469),"",'ENGAGEMENTS 2026'!H2469)</f>
        <v/>
      </c>
      <c r="F2469">
        <f>IF(ISBLANK('ENGAGEMENTS 2026'!B2469),"",'ENGAGEMENTS 2026'!I2469)</f>
        <v/>
      </c>
      <c r="G2469">
        <f>IF(ISBLANK('ENGAGEMENTS 2026'!B2469),"",'ENGAGEMENTS 2026'!L2469)</f>
        <v/>
      </c>
      <c r="H2469">
        <f>IF(ISBLANK('ENGAGEMENTS 2026'!B2469),"",'ENGAGEMENTS 2026'!AE2469)</f>
        <v/>
      </c>
      <c r="I2469">
        <f>IF(ISBLANK('ENGAGEMENTS 2026'!B2469),"",'ENGAGEMENTS 2026'!G2469)</f>
        <v/>
      </c>
      <c r="J2469" s="275">
        <f>IF(ISBLANK('ENGAGEMENTS 2026'!B2469),"",IF(AND(OR($E2469="INFRUCTUEUX",$E2469="ANNULE"),$C2469="AOO-M"),'ENGAGEMENTS 2026'!O2469,IF($H2469="EN COURS DE PREENGAGEMENT",'ENGAGEMENTS 2026'!N2469,IF($H2469="PREENGAGE",IF($E2469="ATTRIBUE",'ENGAGEMENTS 2026'!AD2469,'ENGAGEMENTS 2026'!N2469),'ENGAGEMENTS 2026'!AD2469))))</f>
        <v/>
      </c>
      <c r="K2469" s="604">
        <f>IF(ISBLANK('ENGAGEMENTS 2026'!V2469),"",'ENGAGEMENTS 2026'!V2469)</f>
        <v/>
      </c>
      <c r="L2469" s="276">
        <f>IF($K2469="","",TODAY()-$K2469)</f>
        <v/>
      </c>
      <c r="M2469">
        <f>IF($A2469="","",IF($H2469="ENGAGE","Engagé",IF(AND($H2469="NON ENGAGE",OR($I2469="INFRUCTUEUX",$I2469="ANNULE")),"Clôturé sans suite","En cours")))</f>
        <v/>
      </c>
      <c r="N2469">
        <f>IF(ISBLANK('ENGAGEMENTS 2026'!B2469),"",'ENGAGEMENTS 2026'!K2469)</f>
        <v/>
      </c>
      <c r="O2469">
        <f>IF(ISBLANK('ENGAGEMENTS 2026'!B2469),"",'ENGAGEMENTS 2026'!L2469)</f>
        <v/>
      </c>
      <c r="P2469">
        <f>IF(ISBLANK('ENGAGEMENTS 2026'!B2469),"",'ENGAGEMENTS 2026'!J2469)</f>
        <v/>
      </c>
      <c r="Q2469">
        <f>IF($A2469="","",IF(OR($E2469="INFRUCTUEUX",$E2469="ANNULE"),$A2469&amp;"|"&amp;(COUNTIFS($A$2:$A2469,$A2469,$E$2:$E2469,"INFRUCTUEUX")+COUNTIFS($A$2:$A2469,$A2469,$E$2:$E2469,"ANNULE")),""))</f>
        <v/>
      </c>
    </row>
    <row r="2470">
      <c r="A2470">
        <f>IF(ISBLANK('ENGAGEMENTS 2026'!B2470),"",IF('ENGAGEMENTS 2026'!B2470="DTSI","DCT",'ENGAGEMENTS 2026'!B2470))</f>
        <v/>
      </c>
      <c r="B2470">
        <f>IF(ISBLANK('ENGAGEMENTS 2026'!B2470),"",'ENGAGEMENTS 2026'!C2470)</f>
        <v/>
      </c>
      <c r="C2470">
        <f>IF(ISBLANK('ENGAGEMENTS 2026'!B2470),"",'ENGAGEMENTS 2026'!D2470)</f>
        <v/>
      </c>
      <c r="D2470">
        <f>IF(ISBLANK('ENGAGEMENTS 2026'!B2470),"",'ENGAGEMENTS 2026'!F2470)</f>
        <v/>
      </c>
      <c r="E2470">
        <f>IF(ISBLANK('ENGAGEMENTS 2026'!B2470),"",'ENGAGEMENTS 2026'!H2470)</f>
        <v/>
      </c>
      <c r="F2470">
        <f>IF(ISBLANK('ENGAGEMENTS 2026'!B2470),"",'ENGAGEMENTS 2026'!I2470)</f>
        <v/>
      </c>
      <c r="G2470">
        <f>IF(ISBLANK('ENGAGEMENTS 2026'!B2470),"",'ENGAGEMENTS 2026'!L2470)</f>
        <v/>
      </c>
      <c r="H2470">
        <f>IF(ISBLANK('ENGAGEMENTS 2026'!B2470),"",'ENGAGEMENTS 2026'!AE2470)</f>
        <v/>
      </c>
      <c r="I2470">
        <f>IF(ISBLANK('ENGAGEMENTS 2026'!B2470),"",'ENGAGEMENTS 2026'!G2470)</f>
        <v/>
      </c>
      <c r="J2470" s="275">
        <f>IF(ISBLANK('ENGAGEMENTS 2026'!B2470),"",IF(AND(OR($E2470="INFRUCTUEUX",$E2470="ANNULE"),$C2470="AOO-M"),'ENGAGEMENTS 2026'!O2470,IF($H2470="EN COURS DE PREENGAGEMENT",'ENGAGEMENTS 2026'!N2470,IF($H2470="PREENGAGE",IF($E2470="ATTRIBUE",'ENGAGEMENTS 2026'!AD2470,'ENGAGEMENTS 2026'!N2470),'ENGAGEMENTS 2026'!AD2470))))</f>
        <v/>
      </c>
      <c r="K2470" s="604">
        <f>IF(ISBLANK('ENGAGEMENTS 2026'!V2470),"",'ENGAGEMENTS 2026'!V2470)</f>
        <v/>
      </c>
      <c r="L2470" s="276">
        <f>IF($K2470="","",TODAY()-$K2470)</f>
        <v/>
      </c>
      <c r="M2470">
        <f>IF($A2470="","",IF($H2470="ENGAGE","Engagé",IF(AND($H2470="NON ENGAGE",OR($I2470="INFRUCTUEUX",$I2470="ANNULE")),"Clôturé sans suite","En cours")))</f>
        <v/>
      </c>
      <c r="N2470">
        <f>IF(ISBLANK('ENGAGEMENTS 2026'!B2470),"",'ENGAGEMENTS 2026'!K2470)</f>
        <v/>
      </c>
      <c r="O2470">
        <f>IF(ISBLANK('ENGAGEMENTS 2026'!B2470),"",'ENGAGEMENTS 2026'!L2470)</f>
        <v/>
      </c>
      <c r="P2470">
        <f>IF(ISBLANK('ENGAGEMENTS 2026'!B2470),"",'ENGAGEMENTS 2026'!J2470)</f>
        <v/>
      </c>
      <c r="Q2470">
        <f>IF($A2470="","",IF(OR($E2470="INFRUCTUEUX",$E2470="ANNULE"),$A2470&amp;"|"&amp;(COUNTIFS($A$2:$A2470,$A2470,$E$2:$E2470,"INFRUCTUEUX")+COUNTIFS($A$2:$A2470,$A2470,$E$2:$E2470,"ANNULE")),""))</f>
        <v/>
      </c>
    </row>
    <row r="2471">
      <c r="A2471">
        <f>IF(ISBLANK('ENGAGEMENTS 2026'!B2471),"",IF('ENGAGEMENTS 2026'!B2471="DTSI","DCT",'ENGAGEMENTS 2026'!B2471))</f>
        <v/>
      </c>
      <c r="B2471">
        <f>IF(ISBLANK('ENGAGEMENTS 2026'!B2471),"",'ENGAGEMENTS 2026'!C2471)</f>
        <v/>
      </c>
      <c r="C2471">
        <f>IF(ISBLANK('ENGAGEMENTS 2026'!B2471),"",'ENGAGEMENTS 2026'!D2471)</f>
        <v/>
      </c>
      <c r="D2471">
        <f>IF(ISBLANK('ENGAGEMENTS 2026'!B2471),"",'ENGAGEMENTS 2026'!F2471)</f>
        <v/>
      </c>
      <c r="E2471">
        <f>IF(ISBLANK('ENGAGEMENTS 2026'!B2471),"",'ENGAGEMENTS 2026'!H2471)</f>
        <v/>
      </c>
      <c r="F2471">
        <f>IF(ISBLANK('ENGAGEMENTS 2026'!B2471),"",'ENGAGEMENTS 2026'!I2471)</f>
        <v/>
      </c>
      <c r="G2471">
        <f>IF(ISBLANK('ENGAGEMENTS 2026'!B2471),"",'ENGAGEMENTS 2026'!L2471)</f>
        <v/>
      </c>
      <c r="H2471">
        <f>IF(ISBLANK('ENGAGEMENTS 2026'!B2471),"",'ENGAGEMENTS 2026'!AE2471)</f>
        <v/>
      </c>
      <c r="I2471">
        <f>IF(ISBLANK('ENGAGEMENTS 2026'!B2471),"",'ENGAGEMENTS 2026'!G2471)</f>
        <v/>
      </c>
      <c r="J2471" s="275">
        <f>IF(ISBLANK('ENGAGEMENTS 2026'!B2471),"",IF(AND(OR($E2471="INFRUCTUEUX",$E2471="ANNULE"),$C2471="AOO-M"),'ENGAGEMENTS 2026'!O2471,IF($H2471="EN COURS DE PREENGAGEMENT",'ENGAGEMENTS 2026'!N2471,IF($H2471="PREENGAGE",IF($E2471="ATTRIBUE",'ENGAGEMENTS 2026'!AD2471,'ENGAGEMENTS 2026'!N2471),'ENGAGEMENTS 2026'!AD2471))))</f>
        <v/>
      </c>
      <c r="K2471" s="604">
        <f>IF(ISBLANK('ENGAGEMENTS 2026'!V2471),"",'ENGAGEMENTS 2026'!V2471)</f>
        <v/>
      </c>
      <c r="L2471" s="276">
        <f>IF($K2471="","",TODAY()-$K2471)</f>
        <v/>
      </c>
      <c r="M2471">
        <f>IF($A2471="","",IF($H2471="ENGAGE","Engagé",IF(AND($H2471="NON ENGAGE",OR($I2471="INFRUCTUEUX",$I2471="ANNULE")),"Clôturé sans suite","En cours")))</f>
        <v/>
      </c>
      <c r="N2471">
        <f>IF(ISBLANK('ENGAGEMENTS 2026'!B2471),"",'ENGAGEMENTS 2026'!K2471)</f>
        <v/>
      </c>
      <c r="O2471">
        <f>IF(ISBLANK('ENGAGEMENTS 2026'!B2471),"",'ENGAGEMENTS 2026'!L2471)</f>
        <v/>
      </c>
      <c r="P2471">
        <f>IF(ISBLANK('ENGAGEMENTS 2026'!B2471),"",'ENGAGEMENTS 2026'!J2471)</f>
        <v/>
      </c>
      <c r="Q2471">
        <f>IF($A2471="","",IF(OR($E2471="INFRUCTUEUX",$E2471="ANNULE"),$A2471&amp;"|"&amp;(COUNTIFS($A$2:$A2471,$A2471,$E$2:$E2471,"INFRUCTUEUX")+COUNTIFS($A$2:$A2471,$A2471,$E$2:$E2471,"ANNULE")),""))</f>
        <v/>
      </c>
    </row>
    <row r="2472">
      <c r="A2472">
        <f>IF(ISBLANK('ENGAGEMENTS 2026'!B2472),"",IF('ENGAGEMENTS 2026'!B2472="DTSI","DCT",'ENGAGEMENTS 2026'!B2472))</f>
        <v/>
      </c>
      <c r="B2472">
        <f>IF(ISBLANK('ENGAGEMENTS 2026'!B2472),"",'ENGAGEMENTS 2026'!C2472)</f>
        <v/>
      </c>
      <c r="C2472">
        <f>IF(ISBLANK('ENGAGEMENTS 2026'!B2472),"",'ENGAGEMENTS 2026'!D2472)</f>
        <v/>
      </c>
      <c r="D2472">
        <f>IF(ISBLANK('ENGAGEMENTS 2026'!B2472),"",'ENGAGEMENTS 2026'!F2472)</f>
        <v/>
      </c>
      <c r="E2472">
        <f>IF(ISBLANK('ENGAGEMENTS 2026'!B2472),"",'ENGAGEMENTS 2026'!H2472)</f>
        <v/>
      </c>
      <c r="F2472">
        <f>IF(ISBLANK('ENGAGEMENTS 2026'!B2472),"",'ENGAGEMENTS 2026'!I2472)</f>
        <v/>
      </c>
      <c r="G2472">
        <f>IF(ISBLANK('ENGAGEMENTS 2026'!B2472),"",'ENGAGEMENTS 2026'!L2472)</f>
        <v/>
      </c>
      <c r="H2472">
        <f>IF(ISBLANK('ENGAGEMENTS 2026'!B2472),"",'ENGAGEMENTS 2026'!AE2472)</f>
        <v/>
      </c>
      <c r="I2472">
        <f>IF(ISBLANK('ENGAGEMENTS 2026'!B2472),"",'ENGAGEMENTS 2026'!G2472)</f>
        <v/>
      </c>
      <c r="J2472" s="275">
        <f>IF(ISBLANK('ENGAGEMENTS 2026'!B2472),"",IF(AND(OR($E2472="INFRUCTUEUX",$E2472="ANNULE"),$C2472="AOO-M"),'ENGAGEMENTS 2026'!O2472,IF($H2472="EN COURS DE PREENGAGEMENT",'ENGAGEMENTS 2026'!N2472,IF($H2472="PREENGAGE",IF($E2472="ATTRIBUE",'ENGAGEMENTS 2026'!AD2472,'ENGAGEMENTS 2026'!N2472),'ENGAGEMENTS 2026'!AD2472))))</f>
        <v/>
      </c>
      <c r="K2472" s="604">
        <f>IF(ISBLANK('ENGAGEMENTS 2026'!V2472),"",'ENGAGEMENTS 2026'!V2472)</f>
        <v/>
      </c>
      <c r="L2472" s="276">
        <f>IF($K2472="","",TODAY()-$K2472)</f>
        <v/>
      </c>
      <c r="M2472">
        <f>IF($A2472="","",IF($H2472="ENGAGE","Engagé",IF(AND($H2472="NON ENGAGE",OR($I2472="INFRUCTUEUX",$I2472="ANNULE")),"Clôturé sans suite","En cours")))</f>
        <v/>
      </c>
      <c r="N2472">
        <f>IF(ISBLANK('ENGAGEMENTS 2026'!B2472),"",'ENGAGEMENTS 2026'!K2472)</f>
        <v/>
      </c>
      <c r="O2472">
        <f>IF(ISBLANK('ENGAGEMENTS 2026'!B2472),"",'ENGAGEMENTS 2026'!L2472)</f>
        <v/>
      </c>
      <c r="P2472">
        <f>IF(ISBLANK('ENGAGEMENTS 2026'!B2472),"",'ENGAGEMENTS 2026'!J2472)</f>
        <v/>
      </c>
      <c r="Q2472">
        <f>IF($A2472="","",IF(OR($E2472="INFRUCTUEUX",$E2472="ANNULE"),$A2472&amp;"|"&amp;(COUNTIFS($A$2:$A2472,$A2472,$E$2:$E2472,"INFRUCTUEUX")+COUNTIFS($A$2:$A2472,$A2472,$E$2:$E2472,"ANNULE")),""))</f>
        <v/>
      </c>
    </row>
    <row r="2473">
      <c r="A2473">
        <f>IF(ISBLANK('ENGAGEMENTS 2026'!B2473),"",IF('ENGAGEMENTS 2026'!B2473="DTSI","DCT",'ENGAGEMENTS 2026'!B2473))</f>
        <v/>
      </c>
      <c r="B2473">
        <f>IF(ISBLANK('ENGAGEMENTS 2026'!B2473),"",'ENGAGEMENTS 2026'!C2473)</f>
        <v/>
      </c>
      <c r="C2473">
        <f>IF(ISBLANK('ENGAGEMENTS 2026'!B2473),"",'ENGAGEMENTS 2026'!D2473)</f>
        <v/>
      </c>
      <c r="D2473">
        <f>IF(ISBLANK('ENGAGEMENTS 2026'!B2473),"",'ENGAGEMENTS 2026'!F2473)</f>
        <v/>
      </c>
      <c r="E2473">
        <f>IF(ISBLANK('ENGAGEMENTS 2026'!B2473),"",'ENGAGEMENTS 2026'!H2473)</f>
        <v/>
      </c>
      <c r="F2473">
        <f>IF(ISBLANK('ENGAGEMENTS 2026'!B2473),"",'ENGAGEMENTS 2026'!I2473)</f>
        <v/>
      </c>
      <c r="G2473">
        <f>IF(ISBLANK('ENGAGEMENTS 2026'!B2473),"",'ENGAGEMENTS 2026'!L2473)</f>
        <v/>
      </c>
      <c r="H2473">
        <f>IF(ISBLANK('ENGAGEMENTS 2026'!B2473),"",'ENGAGEMENTS 2026'!AE2473)</f>
        <v/>
      </c>
      <c r="I2473">
        <f>IF(ISBLANK('ENGAGEMENTS 2026'!B2473),"",'ENGAGEMENTS 2026'!G2473)</f>
        <v/>
      </c>
      <c r="J2473" s="275">
        <f>IF(ISBLANK('ENGAGEMENTS 2026'!B2473),"",IF(AND(OR($E2473="INFRUCTUEUX",$E2473="ANNULE"),$C2473="AOO-M"),'ENGAGEMENTS 2026'!O2473,IF($H2473="EN COURS DE PREENGAGEMENT",'ENGAGEMENTS 2026'!N2473,IF($H2473="PREENGAGE",IF($E2473="ATTRIBUE",'ENGAGEMENTS 2026'!AD2473,'ENGAGEMENTS 2026'!N2473),'ENGAGEMENTS 2026'!AD2473))))</f>
        <v/>
      </c>
      <c r="K2473" s="604">
        <f>IF(ISBLANK('ENGAGEMENTS 2026'!V2473),"",'ENGAGEMENTS 2026'!V2473)</f>
        <v/>
      </c>
      <c r="L2473" s="276">
        <f>IF($K2473="","",TODAY()-$K2473)</f>
        <v/>
      </c>
      <c r="M2473">
        <f>IF($A2473="","",IF($H2473="ENGAGE","Engagé",IF(AND($H2473="NON ENGAGE",OR($I2473="INFRUCTUEUX",$I2473="ANNULE")),"Clôturé sans suite","En cours")))</f>
        <v/>
      </c>
      <c r="N2473">
        <f>IF(ISBLANK('ENGAGEMENTS 2026'!B2473),"",'ENGAGEMENTS 2026'!K2473)</f>
        <v/>
      </c>
      <c r="O2473">
        <f>IF(ISBLANK('ENGAGEMENTS 2026'!B2473),"",'ENGAGEMENTS 2026'!L2473)</f>
        <v/>
      </c>
      <c r="P2473">
        <f>IF(ISBLANK('ENGAGEMENTS 2026'!B2473),"",'ENGAGEMENTS 2026'!J2473)</f>
        <v/>
      </c>
      <c r="Q2473">
        <f>IF($A2473="","",IF(OR($E2473="INFRUCTUEUX",$E2473="ANNULE"),$A2473&amp;"|"&amp;(COUNTIFS($A$2:$A2473,$A2473,$E$2:$E2473,"INFRUCTUEUX")+COUNTIFS($A$2:$A2473,$A2473,$E$2:$E2473,"ANNULE")),""))</f>
        <v/>
      </c>
    </row>
    <row r="2474">
      <c r="A2474">
        <f>IF(ISBLANK('ENGAGEMENTS 2026'!B2474),"",IF('ENGAGEMENTS 2026'!B2474="DTSI","DCT",'ENGAGEMENTS 2026'!B2474))</f>
        <v/>
      </c>
      <c r="B2474">
        <f>IF(ISBLANK('ENGAGEMENTS 2026'!B2474),"",'ENGAGEMENTS 2026'!C2474)</f>
        <v/>
      </c>
      <c r="C2474">
        <f>IF(ISBLANK('ENGAGEMENTS 2026'!B2474),"",'ENGAGEMENTS 2026'!D2474)</f>
        <v/>
      </c>
      <c r="D2474">
        <f>IF(ISBLANK('ENGAGEMENTS 2026'!B2474),"",'ENGAGEMENTS 2026'!F2474)</f>
        <v/>
      </c>
      <c r="E2474">
        <f>IF(ISBLANK('ENGAGEMENTS 2026'!B2474),"",'ENGAGEMENTS 2026'!H2474)</f>
        <v/>
      </c>
      <c r="F2474">
        <f>IF(ISBLANK('ENGAGEMENTS 2026'!B2474),"",'ENGAGEMENTS 2026'!I2474)</f>
        <v/>
      </c>
      <c r="G2474">
        <f>IF(ISBLANK('ENGAGEMENTS 2026'!B2474),"",'ENGAGEMENTS 2026'!L2474)</f>
        <v/>
      </c>
      <c r="H2474">
        <f>IF(ISBLANK('ENGAGEMENTS 2026'!B2474),"",'ENGAGEMENTS 2026'!AE2474)</f>
        <v/>
      </c>
      <c r="I2474">
        <f>IF(ISBLANK('ENGAGEMENTS 2026'!B2474),"",'ENGAGEMENTS 2026'!G2474)</f>
        <v/>
      </c>
      <c r="J2474" s="275">
        <f>IF(ISBLANK('ENGAGEMENTS 2026'!B2474),"",IF(AND(OR($E2474="INFRUCTUEUX",$E2474="ANNULE"),$C2474="AOO-M"),'ENGAGEMENTS 2026'!O2474,IF($H2474="EN COURS DE PREENGAGEMENT",'ENGAGEMENTS 2026'!N2474,IF($H2474="PREENGAGE",IF($E2474="ATTRIBUE",'ENGAGEMENTS 2026'!AD2474,'ENGAGEMENTS 2026'!N2474),'ENGAGEMENTS 2026'!AD2474))))</f>
        <v/>
      </c>
      <c r="K2474" s="604">
        <f>IF(ISBLANK('ENGAGEMENTS 2026'!V2474),"",'ENGAGEMENTS 2026'!V2474)</f>
        <v/>
      </c>
      <c r="L2474" s="276">
        <f>IF($K2474="","",TODAY()-$K2474)</f>
        <v/>
      </c>
      <c r="M2474">
        <f>IF($A2474="","",IF($H2474="ENGAGE","Engagé",IF(AND($H2474="NON ENGAGE",OR($I2474="INFRUCTUEUX",$I2474="ANNULE")),"Clôturé sans suite","En cours")))</f>
        <v/>
      </c>
      <c r="N2474">
        <f>IF(ISBLANK('ENGAGEMENTS 2026'!B2474),"",'ENGAGEMENTS 2026'!K2474)</f>
        <v/>
      </c>
      <c r="O2474">
        <f>IF(ISBLANK('ENGAGEMENTS 2026'!B2474),"",'ENGAGEMENTS 2026'!L2474)</f>
        <v/>
      </c>
      <c r="P2474">
        <f>IF(ISBLANK('ENGAGEMENTS 2026'!B2474),"",'ENGAGEMENTS 2026'!J2474)</f>
        <v/>
      </c>
      <c r="Q2474">
        <f>IF($A2474="","",IF(OR($E2474="INFRUCTUEUX",$E2474="ANNULE"),$A2474&amp;"|"&amp;(COUNTIFS($A$2:$A2474,$A2474,$E$2:$E2474,"INFRUCTUEUX")+COUNTIFS($A$2:$A2474,$A2474,$E$2:$E2474,"ANNULE")),""))</f>
        <v/>
      </c>
    </row>
    <row r="2475">
      <c r="A2475">
        <f>IF(ISBLANK('ENGAGEMENTS 2026'!B2475),"",IF('ENGAGEMENTS 2026'!B2475="DTSI","DCT",'ENGAGEMENTS 2026'!B2475))</f>
        <v/>
      </c>
      <c r="B2475">
        <f>IF(ISBLANK('ENGAGEMENTS 2026'!B2475),"",'ENGAGEMENTS 2026'!C2475)</f>
        <v/>
      </c>
      <c r="C2475">
        <f>IF(ISBLANK('ENGAGEMENTS 2026'!B2475),"",'ENGAGEMENTS 2026'!D2475)</f>
        <v/>
      </c>
      <c r="D2475">
        <f>IF(ISBLANK('ENGAGEMENTS 2026'!B2475),"",'ENGAGEMENTS 2026'!F2475)</f>
        <v/>
      </c>
      <c r="E2475">
        <f>IF(ISBLANK('ENGAGEMENTS 2026'!B2475),"",'ENGAGEMENTS 2026'!H2475)</f>
        <v/>
      </c>
      <c r="F2475">
        <f>IF(ISBLANK('ENGAGEMENTS 2026'!B2475),"",'ENGAGEMENTS 2026'!I2475)</f>
        <v/>
      </c>
      <c r="G2475">
        <f>IF(ISBLANK('ENGAGEMENTS 2026'!B2475),"",'ENGAGEMENTS 2026'!L2475)</f>
        <v/>
      </c>
      <c r="H2475">
        <f>IF(ISBLANK('ENGAGEMENTS 2026'!B2475),"",'ENGAGEMENTS 2026'!AE2475)</f>
        <v/>
      </c>
      <c r="I2475">
        <f>IF(ISBLANK('ENGAGEMENTS 2026'!B2475),"",'ENGAGEMENTS 2026'!G2475)</f>
        <v/>
      </c>
      <c r="J2475" s="275">
        <f>IF(ISBLANK('ENGAGEMENTS 2026'!B2475),"",IF(AND(OR($E2475="INFRUCTUEUX",$E2475="ANNULE"),$C2475="AOO-M"),'ENGAGEMENTS 2026'!O2475,IF($H2475="EN COURS DE PREENGAGEMENT",'ENGAGEMENTS 2026'!N2475,IF($H2475="PREENGAGE",IF($E2475="ATTRIBUE",'ENGAGEMENTS 2026'!AD2475,'ENGAGEMENTS 2026'!N2475),'ENGAGEMENTS 2026'!AD2475))))</f>
        <v/>
      </c>
      <c r="K2475" s="604">
        <f>IF(ISBLANK('ENGAGEMENTS 2026'!V2475),"",'ENGAGEMENTS 2026'!V2475)</f>
        <v/>
      </c>
      <c r="L2475" s="276">
        <f>IF($K2475="","",TODAY()-$K2475)</f>
        <v/>
      </c>
      <c r="M2475">
        <f>IF($A2475="","",IF($H2475="ENGAGE","Engagé",IF(AND($H2475="NON ENGAGE",OR($I2475="INFRUCTUEUX",$I2475="ANNULE")),"Clôturé sans suite","En cours")))</f>
        <v/>
      </c>
      <c r="N2475">
        <f>IF(ISBLANK('ENGAGEMENTS 2026'!B2475),"",'ENGAGEMENTS 2026'!K2475)</f>
        <v/>
      </c>
      <c r="O2475">
        <f>IF(ISBLANK('ENGAGEMENTS 2026'!B2475),"",'ENGAGEMENTS 2026'!L2475)</f>
        <v/>
      </c>
      <c r="P2475">
        <f>IF(ISBLANK('ENGAGEMENTS 2026'!B2475),"",'ENGAGEMENTS 2026'!J2475)</f>
        <v/>
      </c>
      <c r="Q2475">
        <f>IF($A2475="","",IF(OR($E2475="INFRUCTUEUX",$E2475="ANNULE"),$A2475&amp;"|"&amp;(COUNTIFS($A$2:$A2475,$A2475,$E$2:$E2475,"INFRUCTUEUX")+COUNTIFS($A$2:$A2475,$A2475,$E$2:$E2475,"ANNULE")),""))</f>
        <v/>
      </c>
    </row>
    <row r="2476">
      <c r="A2476">
        <f>IF(ISBLANK('ENGAGEMENTS 2026'!B2476),"",IF('ENGAGEMENTS 2026'!B2476="DTSI","DCT",'ENGAGEMENTS 2026'!B2476))</f>
        <v/>
      </c>
      <c r="B2476">
        <f>IF(ISBLANK('ENGAGEMENTS 2026'!B2476),"",'ENGAGEMENTS 2026'!C2476)</f>
        <v/>
      </c>
      <c r="C2476">
        <f>IF(ISBLANK('ENGAGEMENTS 2026'!B2476),"",'ENGAGEMENTS 2026'!D2476)</f>
        <v/>
      </c>
      <c r="D2476">
        <f>IF(ISBLANK('ENGAGEMENTS 2026'!B2476),"",'ENGAGEMENTS 2026'!F2476)</f>
        <v/>
      </c>
      <c r="E2476">
        <f>IF(ISBLANK('ENGAGEMENTS 2026'!B2476),"",'ENGAGEMENTS 2026'!H2476)</f>
        <v/>
      </c>
      <c r="F2476">
        <f>IF(ISBLANK('ENGAGEMENTS 2026'!B2476),"",'ENGAGEMENTS 2026'!I2476)</f>
        <v/>
      </c>
      <c r="G2476">
        <f>IF(ISBLANK('ENGAGEMENTS 2026'!B2476),"",'ENGAGEMENTS 2026'!L2476)</f>
        <v/>
      </c>
      <c r="H2476">
        <f>IF(ISBLANK('ENGAGEMENTS 2026'!B2476),"",'ENGAGEMENTS 2026'!AE2476)</f>
        <v/>
      </c>
      <c r="I2476">
        <f>IF(ISBLANK('ENGAGEMENTS 2026'!B2476),"",'ENGAGEMENTS 2026'!G2476)</f>
        <v/>
      </c>
      <c r="J2476" s="275">
        <f>IF(ISBLANK('ENGAGEMENTS 2026'!B2476),"",IF(AND(OR($E2476="INFRUCTUEUX",$E2476="ANNULE"),$C2476="AOO-M"),'ENGAGEMENTS 2026'!O2476,IF($H2476="EN COURS DE PREENGAGEMENT",'ENGAGEMENTS 2026'!N2476,IF($H2476="PREENGAGE",IF($E2476="ATTRIBUE",'ENGAGEMENTS 2026'!AD2476,'ENGAGEMENTS 2026'!N2476),'ENGAGEMENTS 2026'!AD2476))))</f>
        <v/>
      </c>
      <c r="K2476" s="604">
        <f>IF(ISBLANK('ENGAGEMENTS 2026'!V2476),"",'ENGAGEMENTS 2026'!V2476)</f>
        <v/>
      </c>
      <c r="L2476" s="276">
        <f>IF($K2476="","",TODAY()-$K2476)</f>
        <v/>
      </c>
      <c r="M2476">
        <f>IF($A2476="","",IF($H2476="ENGAGE","Engagé",IF(AND($H2476="NON ENGAGE",OR($I2476="INFRUCTUEUX",$I2476="ANNULE")),"Clôturé sans suite","En cours")))</f>
        <v/>
      </c>
      <c r="N2476">
        <f>IF(ISBLANK('ENGAGEMENTS 2026'!B2476),"",'ENGAGEMENTS 2026'!K2476)</f>
        <v/>
      </c>
      <c r="O2476">
        <f>IF(ISBLANK('ENGAGEMENTS 2026'!B2476),"",'ENGAGEMENTS 2026'!L2476)</f>
        <v/>
      </c>
      <c r="P2476">
        <f>IF(ISBLANK('ENGAGEMENTS 2026'!B2476),"",'ENGAGEMENTS 2026'!J2476)</f>
        <v/>
      </c>
      <c r="Q2476">
        <f>IF($A2476="","",IF(OR($E2476="INFRUCTUEUX",$E2476="ANNULE"),$A2476&amp;"|"&amp;(COUNTIFS($A$2:$A2476,$A2476,$E$2:$E2476,"INFRUCTUEUX")+COUNTIFS($A$2:$A2476,$A2476,$E$2:$E2476,"ANNULE")),""))</f>
        <v/>
      </c>
    </row>
    <row r="2477">
      <c r="A2477">
        <f>IF(ISBLANK('ENGAGEMENTS 2026'!B2477),"",IF('ENGAGEMENTS 2026'!B2477="DTSI","DCT",'ENGAGEMENTS 2026'!B2477))</f>
        <v/>
      </c>
      <c r="B2477">
        <f>IF(ISBLANK('ENGAGEMENTS 2026'!B2477),"",'ENGAGEMENTS 2026'!C2477)</f>
        <v/>
      </c>
      <c r="C2477">
        <f>IF(ISBLANK('ENGAGEMENTS 2026'!B2477),"",'ENGAGEMENTS 2026'!D2477)</f>
        <v/>
      </c>
      <c r="D2477">
        <f>IF(ISBLANK('ENGAGEMENTS 2026'!B2477),"",'ENGAGEMENTS 2026'!F2477)</f>
        <v/>
      </c>
      <c r="E2477">
        <f>IF(ISBLANK('ENGAGEMENTS 2026'!B2477),"",'ENGAGEMENTS 2026'!H2477)</f>
        <v/>
      </c>
      <c r="F2477">
        <f>IF(ISBLANK('ENGAGEMENTS 2026'!B2477),"",'ENGAGEMENTS 2026'!I2477)</f>
        <v/>
      </c>
      <c r="G2477">
        <f>IF(ISBLANK('ENGAGEMENTS 2026'!B2477),"",'ENGAGEMENTS 2026'!L2477)</f>
        <v/>
      </c>
      <c r="H2477">
        <f>IF(ISBLANK('ENGAGEMENTS 2026'!B2477),"",'ENGAGEMENTS 2026'!AE2477)</f>
        <v/>
      </c>
      <c r="I2477">
        <f>IF(ISBLANK('ENGAGEMENTS 2026'!B2477),"",'ENGAGEMENTS 2026'!G2477)</f>
        <v/>
      </c>
      <c r="J2477" s="275">
        <f>IF(ISBLANK('ENGAGEMENTS 2026'!B2477),"",IF(AND(OR($E2477="INFRUCTUEUX",$E2477="ANNULE"),$C2477="AOO-M"),'ENGAGEMENTS 2026'!O2477,IF($H2477="EN COURS DE PREENGAGEMENT",'ENGAGEMENTS 2026'!N2477,IF($H2477="PREENGAGE",IF($E2477="ATTRIBUE",'ENGAGEMENTS 2026'!AD2477,'ENGAGEMENTS 2026'!N2477),'ENGAGEMENTS 2026'!AD2477))))</f>
        <v/>
      </c>
      <c r="K2477" s="604">
        <f>IF(ISBLANK('ENGAGEMENTS 2026'!V2477),"",'ENGAGEMENTS 2026'!V2477)</f>
        <v/>
      </c>
      <c r="L2477" s="276">
        <f>IF($K2477="","",TODAY()-$K2477)</f>
        <v/>
      </c>
      <c r="M2477">
        <f>IF($A2477="","",IF($H2477="ENGAGE","Engagé",IF(AND($H2477="NON ENGAGE",OR($I2477="INFRUCTUEUX",$I2477="ANNULE")),"Clôturé sans suite","En cours")))</f>
        <v/>
      </c>
      <c r="N2477">
        <f>IF(ISBLANK('ENGAGEMENTS 2026'!B2477),"",'ENGAGEMENTS 2026'!K2477)</f>
        <v/>
      </c>
      <c r="O2477">
        <f>IF(ISBLANK('ENGAGEMENTS 2026'!B2477),"",'ENGAGEMENTS 2026'!L2477)</f>
        <v/>
      </c>
      <c r="P2477">
        <f>IF(ISBLANK('ENGAGEMENTS 2026'!B2477),"",'ENGAGEMENTS 2026'!J2477)</f>
        <v/>
      </c>
      <c r="Q2477">
        <f>IF($A2477="","",IF(OR($E2477="INFRUCTUEUX",$E2477="ANNULE"),$A2477&amp;"|"&amp;(COUNTIFS($A$2:$A2477,$A2477,$E$2:$E2477,"INFRUCTUEUX")+COUNTIFS($A$2:$A2477,$A2477,$E$2:$E2477,"ANNULE")),""))</f>
        <v/>
      </c>
    </row>
    <row r="2478">
      <c r="A2478">
        <f>IF(ISBLANK('ENGAGEMENTS 2026'!B2478),"",IF('ENGAGEMENTS 2026'!B2478="DTSI","DCT",'ENGAGEMENTS 2026'!B2478))</f>
        <v/>
      </c>
      <c r="B2478">
        <f>IF(ISBLANK('ENGAGEMENTS 2026'!B2478),"",'ENGAGEMENTS 2026'!C2478)</f>
        <v/>
      </c>
      <c r="C2478">
        <f>IF(ISBLANK('ENGAGEMENTS 2026'!B2478),"",'ENGAGEMENTS 2026'!D2478)</f>
        <v/>
      </c>
      <c r="D2478">
        <f>IF(ISBLANK('ENGAGEMENTS 2026'!B2478),"",'ENGAGEMENTS 2026'!F2478)</f>
        <v/>
      </c>
      <c r="E2478">
        <f>IF(ISBLANK('ENGAGEMENTS 2026'!B2478),"",'ENGAGEMENTS 2026'!H2478)</f>
        <v/>
      </c>
      <c r="F2478">
        <f>IF(ISBLANK('ENGAGEMENTS 2026'!B2478),"",'ENGAGEMENTS 2026'!I2478)</f>
        <v/>
      </c>
      <c r="G2478">
        <f>IF(ISBLANK('ENGAGEMENTS 2026'!B2478),"",'ENGAGEMENTS 2026'!L2478)</f>
        <v/>
      </c>
      <c r="H2478">
        <f>IF(ISBLANK('ENGAGEMENTS 2026'!B2478),"",'ENGAGEMENTS 2026'!AE2478)</f>
        <v/>
      </c>
      <c r="I2478">
        <f>IF(ISBLANK('ENGAGEMENTS 2026'!B2478),"",'ENGAGEMENTS 2026'!G2478)</f>
        <v/>
      </c>
      <c r="J2478" s="275">
        <f>IF(ISBLANK('ENGAGEMENTS 2026'!B2478),"",IF(AND(OR($E2478="INFRUCTUEUX",$E2478="ANNULE"),$C2478="AOO-M"),'ENGAGEMENTS 2026'!O2478,IF($H2478="EN COURS DE PREENGAGEMENT",'ENGAGEMENTS 2026'!N2478,IF($H2478="PREENGAGE",IF($E2478="ATTRIBUE",'ENGAGEMENTS 2026'!AD2478,'ENGAGEMENTS 2026'!N2478),'ENGAGEMENTS 2026'!AD2478))))</f>
        <v/>
      </c>
      <c r="K2478" s="604">
        <f>IF(ISBLANK('ENGAGEMENTS 2026'!V2478),"",'ENGAGEMENTS 2026'!V2478)</f>
        <v/>
      </c>
      <c r="L2478" s="276">
        <f>IF($K2478="","",TODAY()-$K2478)</f>
        <v/>
      </c>
      <c r="M2478">
        <f>IF($A2478="","",IF($H2478="ENGAGE","Engagé",IF(AND($H2478="NON ENGAGE",OR($I2478="INFRUCTUEUX",$I2478="ANNULE")),"Clôturé sans suite","En cours")))</f>
        <v/>
      </c>
      <c r="N2478">
        <f>IF(ISBLANK('ENGAGEMENTS 2026'!B2478),"",'ENGAGEMENTS 2026'!K2478)</f>
        <v/>
      </c>
      <c r="O2478">
        <f>IF(ISBLANK('ENGAGEMENTS 2026'!B2478),"",'ENGAGEMENTS 2026'!L2478)</f>
        <v/>
      </c>
      <c r="P2478">
        <f>IF(ISBLANK('ENGAGEMENTS 2026'!B2478),"",'ENGAGEMENTS 2026'!J2478)</f>
        <v/>
      </c>
      <c r="Q2478">
        <f>IF($A2478="","",IF(OR($E2478="INFRUCTUEUX",$E2478="ANNULE"),$A2478&amp;"|"&amp;(COUNTIFS($A$2:$A2478,$A2478,$E$2:$E2478,"INFRUCTUEUX")+COUNTIFS($A$2:$A2478,$A2478,$E$2:$E2478,"ANNULE")),""))</f>
        <v/>
      </c>
    </row>
    <row r="2479">
      <c r="A2479">
        <f>IF(ISBLANK('ENGAGEMENTS 2026'!B2479),"",IF('ENGAGEMENTS 2026'!B2479="DTSI","DCT",'ENGAGEMENTS 2026'!B2479))</f>
        <v/>
      </c>
      <c r="B2479">
        <f>IF(ISBLANK('ENGAGEMENTS 2026'!B2479),"",'ENGAGEMENTS 2026'!C2479)</f>
        <v/>
      </c>
      <c r="C2479">
        <f>IF(ISBLANK('ENGAGEMENTS 2026'!B2479),"",'ENGAGEMENTS 2026'!D2479)</f>
        <v/>
      </c>
      <c r="D2479">
        <f>IF(ISBLANK('ENGAGEMENTS 2026'!B2479),"",'ENGAGEMENTS 2026'!F2479)</f>
        <v/>
      </c>
      <c r="E2479">
        <f>IF(ISBLANK('ENGAGEMENTS 2026'!B2479),"",'ENGAGEMENTS 2026'!H2479)</f>
        <v/>
      </c>
      <c r="F2479">
        <f>IF(ISBLANK('ENGAGEMENTS 2026'!B2479),"",'ENGAGEMENTS 2026'!I2479)</f>
        <v/>
      </c>
      <c r="G2479">
        <f>IF(ISBLANK('ENGAGEMENTS 2026'!B2479),"",'ENGAGEMENTS 2026'!L2479)</f>
        <v/>
      </c>
      <c r="H2479">
        <f>IF(ISBLANK('ENGAGEMENTS 2026'!B2479),"",'ENGAGEMENTS 2026'!AE2479)</f>
        <v/>
      </c>
      <c r="I2479">
        <f>IF(ISBLANK('ENGAGEMENTS 2026'!B2479),"",'ENGAGEMENTS 2026'!G2479)</f>
        <v/>
      </c>
      <c r="J2479" s="275">
        <f>IF(ISBLANK('ENGAGEMENTS 2026'!B2479),"",IF(AND(OR($E2479="INFRUCTUEUX",$E2479="ANNULE"),$C2479="AOO-M"),'ENGAGEMENTS 2026'!O2479,IF($H2479="EN COURS DE PREENGAGEMENT",'ENGAGEMENTS 2026'!N2479,IF($H2479="PREENGAGE",IF($E2479="ATTRIBUE",'ENGAGEMENTS 2026'!AD2479,'ENGAGEMENTS 2026'!N2479),'ENGAGEMENTS 2026'!AD2479))))</f>
        <v/>
      </c>
      <c r="K2479" s="604">
        <f>IF(ISBLANK('ENGAGEMENTS 2026'!V2479),"",'ENGAGEMENTS 2026'!V2479)</f>
        <v/>
      </c>
      <c r="L2479" s="276">
        <f>IF($K2479="","",TODAY()-$K2479)</f>
        <v/>
      </c>
      <c r="M2479">
        <f>IF($A2479="","",IF($H2479="ENGAGE","Engagé",IF(AND($H2479="NON ENGAGE",OR($I2479="INFRUCTUEUX",$I2479="ANNULE")),"Clôturé sans suite","En cours")))</f>
        <v/>
      </c>
      <c r="N2479">
        <f>IF(ISBLANK('ENGAGEMENTS 2026'!B2479),"",'ENGAGEMENTS 2026'!K2479)</f>
        <v/>
      </c>
      <c r="O2479">
        <f>IF(ISBLANK('ENGAGEMENTS 2026'!B2479),"",'ENGAGEMENTS 2026'!L2479)</f>
        <v/>
      </c>
      <c r="P2479">
        <f>IF(ISBLANK('ENGAGEMENTS 2026'!B2479),"",'ENGAGEMENTS 2026'!J2479)</f>
        <v/>
      </c>
      <c r="Q2479">
        <f>IF($A2479="","",IF(OR($E2479="INFRUCTUEUX",$E2479="ANNULE"),$A2479&amp;"|"&amp;(COUNTIFS($A$2:$A2479,$A2479,$E$2:$E2479,"INFRUCTUEUX")+COUNTIFS($A$2:$A2479,$A2479,$E$2:$E2479,"ANNULE")),""))</f>
        <v/>
      </c>
    </row>
    <row r="2480">
      <c r="A2480">
        <f>IF(ISBLANK('ENGAGEMENTS 2026'!B2480),"",IF('ENGAGEMENTS 2026'!B2480="DTSI","DCT",'ENGAGEMENTS 2026'!B2480))</f>
        <v/>
      </c>
      <c r="B2480">
        <f>IF(ISBLANK('ENGAGEMENTS 2026'!B2480),"",'ENGAGEMENTS 2026'!C2480)</f>
        <v/>
      </c>
      <c r="C2480">
        <f>IF(ISBLANK('ENGAGEMENTS 2026'!B2480),"",'ENGAGEMENTS 2026'!D2480)</f>
        <v/>
      </c>
      <c r="D2480">
        <f>IF(ISBLANK('ENGAGEMENTS 2026'!B2480),"",'ENGAGEMENTS 2026'!F2480)</f>
        <v/>
      </c>
      <c r="E2480">
        <f>IF(ISBLANK('ENGAGEMENTS 2026'!B2480),"",'ENGAGEMENTS 2026'!H2480)</f>
        <v/>
      </c>
      <c r="F2480">
        <f>IF(ISBLANK('ENGAGEMENTS 2026'!B2480),"",'ENGAGEMENTS 2026'!I2480)</f>
        <v/>
      </c>
      <c r="G2480">
        <f>IF(ISBLANK('ENGAGEMENTS 2026'!B2480),"",'ENGAGEMENTS 2026'!L2480)</f>
        <v/>
      </c>
      <c r="H2480">
        <f>IF(ISBLANK('ENGAGEMENTS 2026'!B2480),"",'ENGAGEMENTS 2026'!AE2480)</f>
        <v/>
      </c>
      <c r="I2480">
        <f>IF(ISBLANK('ENGAGEMENTS 2026'!B2480),"",'ENGAGEMENTS 2026'!G2480)</f>
        <v/>
      </c>
      <c r="J2480" s="275">
        <f>IF(ISBLANK('ENGAGEMENTS 2026'!B2480),"",IF(AND(OR($E2480="INFRUCTUEUX",$E2480="ANNULE"),$C2480="AOO-M"),'ENGAGEMENTS 2026'!O2480,IF($H2480="EN COURS DE PREENGAGEMENT",'ENGAGEMENTS 2026'!N2480,IF($H2480="PREENGAGE",IF($E2480="ATTRIBUE",'ENGAGEMENTS 2026'!AD2480,'ENGAGEMENTS 2026'!N2480),'ENGAGEMENTS 2026'!AD2480))))</f>
        <v/>
      </c>
      <c r="K2480" s="604">
        <f>IF(ISBLANK('ENGAGEMENTS 2026'!V2480),"",'ENGAGEMENTS 2026'!V2480)</f>
        <v/>
      </c>
      <c r="L2480" s="276">
        <f>IF($K2480="","",TODAY()-$K2480)</f>
        <v/>
      </c>
      <c r="M2480">
        <f>IF($A2480="","",IF($H2480="ENGAGE","Engagé",IF(AND($H2480="NON ENGAGE",OR($I2480="INFRUCTUEUX",$I2480="ANNULE")),"Clôturé sans suite","En cours")))</f>
        <v/>
      </c>
      <c r="N2480">
        <f>IF(ISBLANK('ENGAGEMENTS 2026'!B2480),"",'ENGAGEMENTS 2026'!K2480)</f>
        <v/>
      </c>
      <c r="O2480">
        <f>IF(ISBLANK('ENGAGEMENTS 2026'!B2480),"",'ENGAGEMENTS 2026'!L2480)</f>
        <v/>
      </c>
      <c r="P2480">
        <f>IF(ISBLANK('ENGAGEMENTS 2026'!B2480),"",'ENGAGEMENTS 2026'!J2480)</f>
        <v/>
      </c>
      <c r="Q2480">
        <f>IF($A2480="","",IF(OR($E2480="INFRUCTUEUX",$E2480="ANNULE"),$A2480&amp;"|"&amp;(COUNTIFS($A$2:$A2480,$A2480,$E$2:$E2480,"INFRUCTUEUX")+COUNTIFS($A$2:$A2480,$A2480,$E$2:$E2480,"ANNULE")),""))</f>
        <v/>
      </c>
    </row>
    <row r="2481">
      <c r="A2481">
        <f>IF(ISBLANK('ENGAGEMENTS 2026'!B2481),"",IF('ENGAGEMENTS 2026'!B2481="DTSI","DCT",'ENGAGEMENTS 2026'!B2481))</f>
        <v/>
      </c>
      <c r="B2481">
        <f>IF(ISBLANK('ENGAGEMENTS 2026'!B2481),"",'ENGAGEMENTS 2026'!C2481)</f>
        <v/>
      </c>
      <c r="C2481">
        <f>IF(ISBLANK('ENGAGEMENTS 2026'!B2481),"",'ENGAGEMENTS 2026'!D2481)</f>
        <v/>
      </c>
      <c r="D2481">
        <f>IF(ISBLANK('ENGAGEMENTS 2026'!B2481),"",'ENGAGEMENTS 2026'!F2481)</f>
        <v/>
      </c>
      <c r="E2481">
        <f>IF(ISBLANK('ENGAGEMENTS 2026'!B2481),"",'ENGAGEMENTS 2026'!H2481)</f>
        <v/>
      </c>
      <c r="F2481">
        <f>IF(ISBLANK('ENGAGEMENTS 2026'!B2481),"",'ENGAGEMENTS 2026'!I2481)</f>
        <v/>
      </c>
      <c r="G2481">
        <f>IF(ISBLANK('ENGAGEMENTS 2026'!B2481),"",'ENGAGEMENTS 2026'!L2481)</f>
        <v/>
      </c>
      <c r="H2481">
        <f>IF(ISBLANK('ENGAGEMENTS 2026'!B2481),"",'ENGAGEMENTS 2026'!AE2481)</f>
        <v/>
      </c>
      <c r="I2481">
        <f>IF(ISBLANK('ENGAGEMENTS 2026'!B2481),"",'ENGAGEMENTS 2026'!G2481)</f>
        <v/>
      </c>
      <c r="J2481" s="275">
        <f>IF(ISBLANK('ENGAGEMENTS 2026'!B2481),"",IF(AND(OR($E2481="INFRUCTUEUX",$E2481="ANNULE"),$C2481="AOO-M"),'ENGAGEMENTS 2026'!O2481,IF($H2481="EN COURS DE PREENGAGEMENT",'ENGAGEMENTS 2026'!N2481,IF($H2481="PREENGAGE",IF($E2481="ATTRIBUE",'ENGAGEMENTS 2026'!AD2481,'ENGAGEMENTS 2026'!N2481),'ENGAGEMENTS 2026'!AD2481))))</f>
        <v/>
      </c>
      <c r="K2481" s="604">
        <f>IF(ISBLANK('ENGAGEMENTS 2026'!V2481),"",'ENGAGEMENTS 2026'!V2481)</f>
        <v/>
      </c>
      <c r="L2481" s="276">
        <f>IF($K2481="","",TODAY()-$K2481)</f>
        <v/>
      </c>
      <c r="M2481">
        <f>IF($A2481="","",IF($H2481="ENGAGE","Engagé",IF(AND($H2481="NON ENGAGE",OR($I2481="INFRUCTUEUX",$I2481="ANNULE")),"Clôturé sans suite","En cours")))</f>
        <v/>
      </c>
      <c r="N2481">
        <f>IF(ISBLANK('ENGAGEMENTS 2026'!B2481),"",'ENGAGEMENTS 2026'!K2481)</f>
        <v/>
      </c>
      <c r="O2481">
        <f>IF(ISBLANK('ENGAGEMENTS 2026'!B2481),"",'ENGAGEMENTS 2026'!L2481)</f>
        <v/>
      </c>
      <c r="P2481">
        <f>IF(ISBLANK('ENGAGEMENTS 2026'!B2481),"",'ENGAGEMENTS 2026'!J2481)</f>
        <v/>
      </c>
      <c r="Q2481">
        <f>IF($A2481="","",IF(OR($E2481="INFRUCTUEUX",$E2481="ANNULE"),$A2481&amp;"|"&amp;(COUNTIFS($A$2:$A2481,$A2481,$E$2:$E2481,"INFRUCTUEUX")+COUNTIFS($A$2:$A2481,$A2481,$E$2:$E2481,"ANNULE")),""))</f>
        <v/>
      </c>
    </row>
    <row r="2482">
      <c r="A2482">
        <f>IF(ISBLANK('ENGAGEMENTS 2026'!B2482),"",IF('ENGAGEMENTS 2026'!B2482="DTSI","DCT",'ENGAGEMENTS 2026'!B2482))</f>
        <v/>
      </c>
      <c r="B2482">
        <f>IF(ISBLANK('ENGAGEMENTS 2026'!B2482),"",'ENGAGEMENTS 2026'!C2482)</f>
        <v/>
      </c>
      <c r="C2482">
        <f>IF(ISBLANK('ENGAGEMENTS 2026'!B2482),"",'ENGAGEMENTS 2026'!D2482)</f>
        <v/>
      </c>
      <c r="D2482">
        <f>IF(ISBLANK('ENGAGEMENTS 2026'!B2482),"",'ENGAGEMENTS 2026'!F2482)</f>
        <v/>
      </c>
      <c r="E2482">
        <f>IF(ISBLANK('ENGAGEMENTS 2026'!B2482),"",'ENGAGEMENTS 2026'!H2482)</f>
        <v/>
      </c>
      <c r="F2482">
        <f>IF(ISBLANK('ENGAGEMENTS 2026'!B2482),"",'ENGAGEMENTS 2026'!I2482)</f>
        <v/>
      </c>
      <c r="G2482">
        <f>IF(ISBLANK('ENGAGEMENTS 2026'!B2482),"",'ENGAGEMENTS 2026'!L2482)</f>
        <v/>
      </c>
      <c r="H2482">
        <f>IF(ISBLANK('ENGAGEMENTS 2026'!B2482),"",'ENGAGEMENTS 2026'!AE2482)</f>
        <v/>
      </c>
      <c r="I2482">
        <f>IF(ISBLANK('ENGAGEMENTS 2026'!B2482),"",'ENGAGEMENTS 2026'!G2482)</f>
        <v/>
      </c>
      <c r="J2482" s="275">
        <f>IF(ISBLANK('ENGAGEMENTS 2026'!B2482),"",IF(AND(OR($E2482="INFRUCTUEUX",$E2482="ANNULE"),$C2482="AOO-M"),'ENGAGEMENTS 2026'!O2482,IF($H2482="EN COURS DE PREENGAGEMENT",'ENGAGEMENTS 2026'!N2482,IF($H2482="PREENGAGE",IF($E2482="ATTRIBUE",'ENGAGEMENTS 2026'!AD2482,'ENGAGEMENTS 2026'!N2482),'ENGAGEMENTS 2026'!AD2482))))</f>
        <v/>
      </c>
      <c r="K2482" s="604">
        <f>IF(ISBLANK('ENGAGEMENTS 2026'!V2482),"",'ENGAGEMENTS 2026'!V2482)</f>
        <v/>
      </c>
      <c r="L2482" s="276">
        <f>IF($K2482="","",TODAY()-$K2482)</f>
        <v/>
      </c>
      <c r="M2482">
        <f>IF($A2482="","",IF($H2482="ENGAGE","Engagé",IF(AND($H2482="NON ENGAGE",OR($I2482="INFRUCTUEUX",$I2482="ANNULE")),"Clôturé sans suite","En cours")))</f>
        <v/>
      </c>
      <c r="N2482">
        <f>IF(ISBLANK('ENGAGEMENTS 2026'!B2482),"",'ENGAGEMENTS 2026'!K2482)</f>
        <v/>
      </c>
      <c r="O2482">
        <f>IF(ISBLANK('ENGAGEMENTS 2026'!B2482),"",'ENGAGEMENTS 2026'!L2482)</f>
        <v/>
      </c>
      <c r="P2482">
        <f>IF(ISBLANK('ENGAGEMENTS 2026'!B2482),"",'ENGAGEMENTS 2026'!J2482)</f>
        <v/>
      </c>
      <c r="Q2482">
        <f>IF($A2482="","",IF(OR($E2482="INFRUCTUEUX",$E2482="ANNULE"),$A2482&amp;"|"&amp;(COUNTIFS($A$2:$A2482,$A2482,$E$2:$E2482,"INFRUCTUEUX")+COUNTIFS($A$2:$A2482,$A2482,$E$2:$E2482,"ANNULE")),""))</f>
        <v/>
      </c>
    </row>
    <row r="2483">
      <c r="A2483">
        <f>IF(ISBLANK('ENGAGEMENTS 2026'!B2483),"",IF('ENGAGEMENTS 2026'!B2483="DTSI","DCT",'ENGAGEMENTS 2026'!B2483))</f>
        <v/>
      </c>
      <c r="B2483">
        <f>IF(ISBLANK('ENGAGEMENTS 2026'!B2483),"",'ENGAGEMENTS 2026'!C2483)</f>
        <v/>
      </c>
      <c r="C2483">
        <f>IF(ISBLANK('ENGAGEMENTS 2026'!B2483),"",'ENGAGEMENTS 2026'!D2483)</f>
        <v/>
      </c>
      <c r="D2483">
        <f>IF(ISBLANK('ENGAGEMENTS 2026'!B2483),"",'ENGAGEMENTS 2026'!F2483)</f>
        <v/>
      </c>
      <c r="E2483">
        <f>IF(ISBLANK('ENGAGEMENTS 2026'!B2483),"",'ENGAGEMENTS 2026'!H2483)</f>
        <v/>
      </c>
      <c r="F2483">
        <f>IF(ISBLANK('ENGAGEMENTS 2026'!B2483),"",'ENGAGEMENTS 2026'!I2483)</f>
        <v/>
      </c>
      <c r="G2483">
        <f>IF(ISBLANK('ENGAGEMENTS 2026'!B2483),"",'ENGAGEMENTS 2026'!L2483)</f>
        <v/>
      </c>
      <c r="H2483">
        <f>IF(ISBLANK('ENGAGEMENTS 2026'!B2483),"",'ENGAGEMENTS 2026'!AE2483)</f>
        <v/>
      </c>
      <c r="I2483">
        <f>IF(ISBLANK('ENGAGEMENTS 2026'!B2483),"",'ENGAGEMENTS 2026'!G2483)</f>
        <v/>
      </c>
      <c r="J2483" s="275">
        <f>IF(ISBLANK('ENGAGEMENTS 2026'!B2483),"",IF(AND(OR($E2483="INFRUCTUEUX",$E2483="ANNULE"),$C2483="AOO-M"),'ENGAGEMENTS 2026'!O2483,IF($H2483="EN COURS DE PREENGAGEMENT",'ENGAGEMENTS 2026'!N2483,IF($H2483="PREENGAGE",IF($E2483="ATTRIBUE",'ENGAGEMENTS 2026'!AD2483,'ENGAGEMENTS 2026'!N2483),'ENGAGEMENTS 2026'!AD2483))))</f>
        <v/>
      </c>
      <c r="K2483" s="604">
        <f>IF(ISBLANK('ENGAGEMENTS 2026'!V2483),"",'ENGAGEMENTS 2026'!V2483)</f>
        <v/>
      </c>
      <c r="L2483" s="276">
        <f>IF($K2483="","",TODAY()-$K2483)</f>
        <v/>
      </c>
      <c r="M2483">
        <f>IF($A2483="","",IF($H2483="ENGAGE","Engagé",IF(AND($H2483="NON ENGAGE",OR($I2483="INFRUCTUEUX",$I2483="ANNULE")),"Clôturé sans suite","En cours")))</f>
        <v/>
      </c>
      <c r="N2483">
        <f>IF(ISBLANK('ENGAGEMENTS 2026'!B2483),"",'ENGAGEMENTS 2026'!K2483)</f>
        <v/>
      </c>
      <c r="O2483">
        <f>IF(ISBLANK('ENGAGEMENTS 2026'!B2483),"",'ENGAGEMENTS 2026'!L2483)</f>
        <v/>
      </c>
      <c r="P2483">
        <f>IF(ISBLANK('ENGAGEMENTS 2026'!B2483),"",'ENGAGEMENTS 2026'!J2483)</f>
        <v/>
      </c>
      <c r="Q2483">
        <f>IF($A2483="","",IF(OR($E2483="INFRUCTUEUX",$E2483="ANNULE"),$A2483&amp;"|"&amp;(COUNTIFS($A$2:$A2483,$A2483,$E$2:$E2483,"INFRUCTUEUX")+COUNTIFS($A$2:$A2483,$A2483,$E$2:$E2483,"ANNULE")),""))</f>
        <v/>
      </c>
    </row>
    <row r="2484">
      <c r="A2484">
        <f>IF(ISBLANK('ENGAGEMENTS 2026'!B2484),"",IF('ENGAGEMENTS 2026'!B2484="DTSI","DCT",'ENGAGEMENTS 2026'!B2484))</f>
        <v/>
      </c>
      <c r="B2484">
        <f>IF(ISBLANK('ENGAGEMENTS 2026'!B2484),"",'ENGAGEMENTS 2026'!C2484)</f>
        <v/>
      </c>
      <c r="C2484">
        <f>IF(ISBLANK('ENGAGEMENTS 2026'!B2484),"",'ENGAGEMENTS 2026'!D2484)</f>
        <v/>
      </c>
      <c r="D2484">
        <f>IF(ISBLANK('ENGAGEMENTS 2026'!B2484),"",'ENGAGEMENTS 2026'!F2484)</f>
        <v/>
      </c>
      <c r="E2484">
        <f>IF(ISBLANK('ENGAGEMENTS 2026'!B2484),"",'ENGAGEMENTS 2026'!H2484)</f>
        <v/>
      </c>
      <c r="F2484">
        <f>IF(ISBLANK('ENGAGEMENTS 2026'!B2484),"",'ENGAGEMENTS 2026'!I2484)</f>
        <v/>
      </c>
      <c r="G2484">
        <f>IF(ISBLANK('ENGAGEMENTS 2026'!B2484),"",'ENGAGEMENTS 2026'!L2484)</f>
        <v/>
      </c>
      <c r="H2484">
        <f>IF(ISBLANK('ENGAGEMENTS 2026'!B2484),"",'ENGAGEMENTS 2026'!AE2484)</f>
        <v/>
      </c>
      <c r="I2484">
        <f>IF(ISBLANK('ENGAGEMENTS 2026'!B2484),"",'ENGAGEMENTS 2026'!G2484)</f>
        <v/>
      </c>
      <c r="J2484" s="275">
        <f>IF(ISBLANK('ENGAGEMENTS 2026'!B2484),"",IF(AND(OR($E2484="INFRUCTUEUX",$E2484="ANNULE"),$C2484="AOO-M"),'ENGAGEMENTS 2026'!O2484,IF($H2484="EN COURS DE PREENGAGEMENT",'ENGAGEMENTS 2026'!N2484,IF($H2484="PREENGAGE",IF($E2484="ATTRIBUE",'ENGAGEMENTS 2026'!AD2484,'ENGAGEMENTS 2026'!N2484),'ENGAGEMENTS 2026'!AD2484))))</f>
        <v/>
      </c>
      <c r="K2484" s="604">
        <f>IF(ISBLANK('ENGAGEMENTS 2026'!V2484),"",'ENGAGEMENTS 2026'!V2484)</f>
        <v/>
      </c>
      <c r="L2484" s="276">
        <f>IF($K2484="","",TODAY()-$K2484)</f>
        <v/>
      </c>
      <c r="M2484">
        <f>IF($A2484="","",IF($H2484="ENGAGE","Engagé",IF(AND($H2484="NON ENGAGE",OR($I2484="INFRUCTUEUX",$I2484="ANNULE")),"Clôturé sans suite","En cours")))</f>
        <v/>
      </c>
      <c r="N2484">
        <f>IF(ISBLANK('ENGAGEMENTS 2026'!B2484),"",'ENGAGEMENTS 2026'!K2484)</f>
        <v/>
      </c>
      <c r="O2484">
        <f>IF(ISBLANK('ENGAGEMENTS 2026'!B2484),"",'ENGAGEMENTS 2026'!L2484)</f>
        <v/>
      </c>
      <c r="P2484">
        <f>IF(ISBLANK('ENGAGEMENTS 2026'!B2484),"",'ENGAGEMENTS 2026'!J2484)</f>
        <v/>
      </c>
      <c r="Q2484">
        <f>IF($A2484="","",IF(OR($E2484="INFRUCTUEUX",$E2484="ANNULE"),$A2484&amp;"|"&amp;(COUNTIFS($A$2:$A2484,$A2484,$E$2:$E2484,"INFRUCTUEUX")+COUNTIFS($A$2:$A2484,$A2484,$E$2:$E2484,"ANNULE")),""))</f>
        <v/>
      </c>
    </row>
    <row r="2485">
      <c r="A2485">
        <f>IF(ISBLANK('ENGAGEMENTS 2026'!B2485),"",IF('ENGAGEMENTS 2026'!B2485="DTSI","DCT",'ENGAGEMENTS 2026'!B2485))</f>
        <v/>
      </c>
      <c r="B2485">
        <f>IF(ISBLANK('ENGAGEMENTS 2026'!B2485),"",'ENGAGEMENTS 2026'!C2485)</f>
        <v/>
      </c>
      <c r="C2485">
        <f>IF(ISBLANK('ENGAGEMENTS 2026'!B2485),"",'ENGAGEMENTS 2026'!D2485)</f>
        <v/>
      </c>
      <c r="D2485">
        <f>IF(ISBLANK('ENGAGEMENTS 2026'!B2485),"",'ENGAGEMENTS 2026'!F2485)</f>
        <v/>
      </c>
      <c r="E2485">
        <f>IF(ISBLANK('ENGAGEMENTS 2026'!B2485),"",'ENGAGEMENTS 2026'!H2485)</f>
        <v/>
      </c>
      <c r="F2485">
        <f>IF(ISBLANK('ENGAGEMENTS 2026'!B2485),"",'ENGAGEMENTS 2026'!I2485)</f>
        <v/>
      </c>
      <c r="G2485">
        <f>IF(ISBLANK('ENGAGEMENTS 2026'!B2485),"",'ENGAGEMENTS 2026'!L2485)</f>
        <v/>
      </c>
      <c r="H2485">
        <f>IF(ISBLANK('ENGAGEMENTS 2026'!B2485),"",'ENGAGEMENTS 2026'!AE2485)</f>
        <v/>
      </c>
      <c r="I2485">
        <f>IF(ISBLANK('ENGAGEMENTS 2026'!B2485),"",'ENGAGEMENTS 2026'!G2485)</f>
        <v/>
      </c>
      <c r="J2485" s="275">
        <f>IF(ISBLANK('ENGAGEMENTS 2026'!B2485),"",IF(AND(OR($E2485="INFRUCTUEUX",$E2485="ANNULE"),$C2485="AOO-M"),'ENGAGEMENTS 2026'!O2485,IF($H2485="EN COURS DE PREENGAGEMENT",'ENGAGEMENTS 2026'!N2485,IF($H2485="PREENGAGE",IF($E2485="ATTRIBUE",'ENGAGEMENTS 2026'!AD2485,'ENGAGEMENTS 2026'!N2485),'ENGAGEMENTS 2026'!AD2485))))</f>
        <v/>
      </c>
      <c r="K2485" s="604">
        <f>IF(ISBLANK('ENGAGEMENTS 2026'!V2485),"",'ENGAGEMENTS 2026'!V2485)</f>
        <v/>
      </c>
      <c r="L2485" s="276">
        <f>IF($K2485="","",TODAY()-$K2485)</f>
        <v/>
      </c>
      <c r="M2485">
        <f>IF($A2485="","",IF($H2485="ENGAGE","Engagé",IF(AND($H2485="NON ENGAGE",OR($I2485="INFRUCTUEUX",$I2485="ANNULE")),"Clôturé sans suite","En cours")))</f>
        <v/>
      </c>
      <c r="N2485">
        <f>IF(ISBLANK('ENGAGEMENTS 2026'!B2485),"",'ENGAGEMENTS 2026'!K2485)</f>
        <v/>
      </c>
      <c r="O2485">
        <f>IF(ISBLANK('ENGAGEMENTS 2026'!B2485),"",'ENGAGEMENTS 2026'!L2485)</f>
        <v/>
      </c>
      <c r="P2485">
        <f>IF(ISBLANK('ENGAGEMENTS 2026'!B2485),"",'ENGAGEMENTS 2026'!J2485)</f>
        <v/>
      </c>
      <c r="Q2485">
        <f>IF($A2485="","",IF(OR($E2485="INFRUCTUEUX",$E2485="ANNULE"),$A2485&amp;"|"&amp;(COUNTIFS($A$2:$A2485,$A2485,$E$2:$E2485,"INFRUCTUEUX")+COUNTIFS($A$2:$A2485,$A2485,$E$2:$E2485,"ANNULE")),""))</f>
        <v/>
      </c>
    </row>
    <row r="2486">
      <c r="A2486">
        <f>IF(ISBLANK('ENGAGEMENTS 2026'!B2486),"",IF('ENGAGEMENTS 2026'!B2486="DTSI","DCT",'ENGAGEMENTS 2026'!B2486))</f>
        <v/>
      </c>
      <c r="B2486">
        <f>IF(ISBLANK('ENGAGEMENTS 2026'!B2486),"",'ENGAGEMENTS 2026'!C2486)</f>
        <v/>
      </c>
      <c r="C2486">
        <f>IF(ISBLANK('ENGAGEMENTS 2026'!B2486),"",'ENGAGEMENTS 2026'!D2486)</f>
        <v/>
      </c>
      <c r="D2486">
        <f>IF(ISBLANK('ENGAGEMENTS 2026'!B2486),"",'ENGAGEMENTS 2026'!F2486)</f>
        <v/>
      </c>
      <c r="E2486">
        <f>IF(ISBLANK('ENGAGEMENTS 2026'!B2486),"",'ENGAGEMENTS 2026'!H2486)</f>
        <v/>
      </c>
      <c r="F2486">
        <f>IF(ISBLANK('ENGAGEMENTS 2026'!B2486),"",'ENGAGEMENTS 2026'!I2486)</f>
        <v/>
      </c>
      <c r="G2486">
        <f>IF(ISBLANK('ENGAGEMENTS 2026'!B2486),"",'ENGAGEMENTS 2026'!L2486)</f>
        <v/>
      </c>
      <c r="H2486">
        <f>IF(ISBLANK('ENGAGEMENTS 2026'!B2486),"",'ENGAGEMENTS 2026'!AE2486)</f>
        <v/>
      </c>
      <c r="I2486">
        <f>IF(ISBLANK('ENGAGEMENTS 2026'!B2486),"",'ENGAGEMENTS 2026'!G2486)</f>
        <v/>
      </c>
      <c r="J2486" s="275">
        <f>IF(ISBLANK('ENGAGEMENTS 2026'!B2486),"",IF(AND(OR($E2486="INFRUCTUEUX",$E2486="ANNULE"),$C2486="AOO-M"),'ENGAGEMENTS 2026'!O2486,IF($H2486="EN COURS DE PREENGAGEMENT",'ENGAGEMENTS 2026'!N2486,IF($H2486="PREENGAGE",IF($E2486="ATTRIBUE",'ENGAGEMENTS 2026'!AD2486,'ENGAGEMENTS 2026'!N2486),'ENGAGEMENTS 2026'!AD2486))))</f>
        <v/>
      </c>
      <c r="K2486" s="604">
        <f>IF(ISBLANK('ENGAGEMENTS 2026'!V2486),"",'ENGAGEMENTS 2026'!V2486)</f>
        <v/>
      </c>
      <c r="L2486" s="276">
        <f>IF($K2486="","",TODAY()-$K2486)</f>
        <v/>
      </c>
      <c r="M2486">
        <f>IF($A2486="","",IF($H2486="ENGAGE","Engagé",IF(AND($H2486="NON ENGAGE",OR($I2486="INFRUCTUEUX",$I2486="ANNULE")),"Clôturé sans suite","En cours")))</f>
        <v/>
      </c>
      <c r="N2486">
        <f>IF(ISBLANK('ENGAGEMENTS 2026'!B2486),"",'ENGAGEMENTS 2026'!K2486)</f>
        <v/>
      </c>
      <c r="O2486">
        <f>IF(ISBLANK('ENGAGEMENTS 2026'!B2486),"",'ENGAGEMENTS 2026'!L2486)</f>
        <v/>
      </c>
      <c r="P2486">
        <f>IF(ISBLANK('ENGAGEMENTS 2026'!B2486),"",'ENGAGEMENTS 2026'!J2486)</f>
        <v/>
      </c>
      <c r="Q2486">
        <f>IF($A2486="","",IF(OR($E2486="INFRUCTUEUX",$E2486="ANNULE"),$A2486&amp;"|"&amp;(COUNTIFS($A$2:$A2486,$A2486,$E$2:$E2486,"INFRUCTUEUX")+COUNTIFS($A$2:$A2486,$A2486,$E$2:$E2486,"ANNULE")),""))</f>
        <v/>
      </c>
    </row>
    <row r="2487">
      <c r="A2487">
        <f>IF(ISBLANK('ENGAGEMENTS 2026'!B2487),"",IF('ENGAGEMENTS 2026'!B2487="DTSI","DCT",'ENGAGEMENTS 2026'!B2487))</f>
        <v/>
      </c>
      <c r="B2487">
        <f>IF(ISBLANK('ENGAGEMENTS 2026'!B2487),"",'ENGAGEMENTS 2026'!C2487)</f>
        <v/>
      </c>
      <c r="C2487">
        <f>IF(ISBLANK('ENGAGEMENTS 2026'!B2487),"",'ENGAGEMENTS 2026'!D2487)</f>
        <v/>
      </c>
      <c r="D2487">
        <f>IF(ISBLANK('ENGAGEMENTS 2026'!B2487),"",'ENGAGEMENTS 2026'!F2487)</f>
        <v/>
      </c>
      <c r="E2487">
        <f>IF(ISBLANK('ENGAGEMENTS 2026'!B2487),"",'ENGAGEMENTS 2026'!H2487)</f>
        <v/>
      </c>
      <c r="F2487">
        <f>IF(ISBLANK('ENGAGEMENTS 2026'!B2487),"",'ENGAGEMENTS 2026'!I2487)</f>
        <v/>
      </c>
      <c r="G2487">
        <f>IF(ISBLANK('ENGAGEMENTS 2026'!B2487),"",'ENGAGEMENTS 2026'!L2487)</f>
        <v/>
      </c>
      <c r="H2487">
        <f>IF(ISBLANK('ENGAGEMENTS 2026'!B2487),"",'ENGAGEMENTS 2026'!AE2487)</f>
        <v/>
      </c>
      <c r="I2487">
        <f>IF(ISBLANK('ENGAGEMENTS 2026'!B2487),"",'ENGAGEMENTS 2026'!G2487)</f>
        <v/>
      </c>
      <c r="J2487" s="275">
        <f>IF(ISBLANK('ENGAGEMENTS 2026'!B2487),"",IF(AND(OR($E2487="INFRUCTUEUX",$E2487="ANNULE"),$C2487="AOO-M"),'ENGAGEMENTS 2026'!O2487,IF($H2487="EN COURS DE PREENGAGEMENT",'ENGAGEMENTS 2026'!N2487,IF($H2487="PREENGAGE",IF($E2487="ATTRIBUE",'ENGAGEMENTS 2026'!AD2487,'ENGAGEMENTS 2026'!N2487),'ENGAGEMENTS 2026'!AD2487))))</f>
        <v/>
      </c>
      <c r="K2487" s="604">
        <f>IF(ISBLANK('ENGAGEMENTS 2026'!V2487),"",'ENGAGEMENTS 2026'!V2487)</f>
        <v/>
      </c>
      <c r="L2487" s="276">
        <f>IF($K2487="","",TODAY()-$K2487)</f>
        <v/>
      </c>
      <c r="M2487">
        <f>IF($A2487="","",IF($H2487="ENGAGE","Engagé",IF(AND($H2487="NON ENGAGE",OR($I2487="INFRUCTUEUX",$I2487="ANNULE")),"Clôturé sans suite","En cours")))</f>
        <v/>
      </c>
      <c r="N2487">
        <f>IF(ISBLANK('ENGAGEMENTS 2026'!B2487),"",'ENGAGEMENTS 2026'!K2487)</f>
        <v/>
      </c>
      <c r="O2487">
        <f>IF(ISBLANK('ENGAGEMENTS 2026'!B2487),"",'ENGAGEMENTS 2026'!L2487)</f>
        <v/>
      </c>
      <c r="P2487">
        <f>IF(ISBLANK('ENGAGEMENTS 2026'!B2487),"",'ENGAGEMENTS 2026'!J2487)</f>
        <v/>
      </c>
      <c r="Q2487">
        <f>IF($A2487="","",IF(OR($E2487="INFRUCTUEUX",$E2487="ANNULE"),$A2487&amp;"|"&amp;(COUNTIFS($A$2:$A2487,$A2487,$E$2:$E2487,"INFRUCTUEUX")+COUNTIFS($A$2:$A2487,$A2487,$E$2:$E2487,"ANNULE")),""))</f>
        <v/>
      </c>
    </row>
    <row r="2488">
      <c r="A2488">
        <f>IF(ISBLANK('ENGAGEMENTS 2026'!B2488),"",IF('ENGAGEMENTS 2026'!B2488="DTSI","DCT",'ENGAGEMENTS 2026'!B2488))</f>
        <v/>
      </c>
      <c r="B2488">
        <f>IF(ISBLANK('ENGAGEMENTS 2026'!B2488),"",'ENGAGEMENTS 2026'!C2488)</f>
        <v/>
      </c>
      <c r="C2488">
        <f>IF(ISBLANK('ENGAGEMENTS 2026'!B2488),"",'ENGAGEMENTS 2026'!D2488)</f>
        <v/>
      </c>
      <c r="D2488">
        <f>IF(ISBLANK('ENGAGEMENTS 2026'!B2488),"",'ENGAGEMENTS 2026'!F2488)</f>
        <v/>
      </c>
      <c r="E2488">
        <f>IF(ISBLANK('ENGAGEMENTS 2026'!B2488),"",'ENGAGEMENTS 2026'!H2488)</f>
        <v/>
      </c>
      <c r="F2488">
        <f>IF(ISBLANK('ENGAGEMENTS 2026'!B2488),"",'ENGAGEMENTS 2026'!I2488)</f>
        <v/>
      </c>
      <c r="G2488">
        <f>IF(ISBLANK('ENGAGEMENTS 2026'!B2488),"",'ENGAGEMENTS 2026'!L2488)</f>
        <v/>
      </c>
      <c r="H2488">
        <f>IF(ISBLANK('ENGAGEMENTS 2026'!B2488),"",'ENGAGEMENTS 2026'!AE2488)</f>
        <v/>
      </c>
      <c r="I2488">
        <f>IF(ISBLANK('ENGAGEMENTS 2026'!B2488),"",'ENGAGEMENTS 2026'!G2488)</f>
        <v/>
      </c>
      <c r="J2488" s="275">
        <f>IF(ISBLANK('ENGAGEMENTS 2026'!B2488),"",IF(AND(OR($E2488="INFRUCTUEUX",$E2488="ANNULE"),$C2488="AOO-M"),'ENGAGEMENTS 2026'!O2488,IF($H2488="EN COURS DE PREENGAGEMENT",'ENGAGEMENTS 2026'!N2488,IF($H2488="PREENGAGE",IF($E2488="ATTRIBUE",'ENGAGEMENTS 2026'!AD2488,'ENGAGEMENTS 2026'!N2488),'ENGAGEMENTS 2026'!AD2488))))</f>
        <v/>
      </c>
      <c r="K2488" s="604">
        <f>IF(ISBLANK('ENGAGEMENTS 2026'!V2488),"",'ENGAGEMENTS 2026'!V2488)</f>
        <v/>
      </c>
      <c r="L2488" s="276">
        <f>IF($K2488="","",TODAY()-$K2488)</f>
        <v/>
      </c>
      <c r="M2488">
        <f>IF($A2488="","",IF($H2488="ENGAGE","Engagé",IF(AND($H2488="NON ENGAGE",OR($I2488="INFRUCTUEUX",$I2488="ANNULE")),"Clôturé sans suite","En cours")))</f>
        <v/>
      </c>
      <c r="N2488">
        <f>IF(ISBLANK('ENGAGEMENTS 2026'!B2488),"",'ENGAGEMENTS 2026'!K2488)</f>
        <v/>
      </c>
      <c r="O2488">
        <f>IF(ISBLANK('ENGAGEMENTS 2026'!B2488),"",'ENGAGEMENTS 2026'!L2488)</f>
        <v/>
      </c>
      <c r="P2488">
        <f>IF(ISBLANK('ENGAGEMENTS 2026'!B2488),"",'ENGAGEMENTS 2026'!J2488)</f>
        <v/>
      </c>
      <c r="Q2488">
        <f>IF($A2488="","",IF(OR($E2488="INFRUCTUEUX",$E2488="ANNULE"),$A2488&amp;"|"&amp;(COUNTIFS($A$2:$A2488,$A2488,$E$2:$E2488,"INFRUCTUEUX")+COUNTIFS($A$2:$A2488,$A2488,$E$2:$E2488,"ANNULE")),""))</f>
        <v/>
      </c>
    </row>
    <row r="2489">
      <c r="A2489">
        <f>IF(ISBLANK('ENGAGEMENTS 2026'!B2489),"",IF('ENGAGEMENTS 2026'!B2489="DTSI","DCT",'ENGAGEMENTS 2026'!B2489))</f>
        <v/>
      </c>
      <c r="B2489">
        <f>IF(ISBLANK('ENGAGEMENTS 2026'!B2489),"",'ENGAGEMENTS 2026'!C2489)</f>
        <v/>
      </c>
      <c r="C2489">
        <f>IF(ISBLANK('ENGAGEMENTS 2026'!B2489),"",'ENGAGEMENTS 2026'!D2489)</f>
        <v/>
      </c>
      <c r="D2489">
        <f>IF(ISBLANK('ENGAGEMENTS 2026'!B2489),"",'ENGAGEMENTS 2026'!F2489)</f>
        <v/>
      </c>
      <c r="E2489">
        <f>IF(ISBLANK('ENGAGEMENTS 2026'!B2489),"",'ENGAGEMENTS 2026'!H2489)</f>
        <v/>
      </c>
      <c r="F2489">
        <f>IF(ISBLANK('ENGAGEMENTS 2026'!B2489),"",'ENGAGEMENTS 2026'!I2489)</f>
        <v/>
      </c>
      <c r="G2489">
        <f>IF(ISBLANK('ENGAGEMENTS 2026'!B2489),"",'ENGAGEMENTS 2026'!L2489)</f>
        <v/>
      </c>
      <c r="H2489">
        <f>IF(ISBLANK('ENGAGEMENTS 2026'!B2489),"",'ENGAGEMENTS 2026'!AE2489)</f>
        <v/>
      </c>
      <c r="I2489">
        <f>IF(ISBLANK('ENGAGEMENTS 2026'!B2489),"",'ENGAGEMENTS 2026'!G2489)</f>
        <v/>
      </c>
      <c r="J2489" s="275">
        <f>IF(ISBLANK('ENGAGEMENTS 2026'!B2489),"",IF(AND(OR($E2489="INFRUCTUEUX",$E2489="ANNULE"),$C2489="AOO-M"),'ENGAGEMENTS 2026'!O2489,IF($H2489="EN COURS DE PREENGAGEMENT",'ENGAGEMENTS 2026'!N2489,IF($H2489="PREENGAGE",IF($E2489="ATTRIBUE",'ENGAGEMENTS 2026'!AD2489,'ENGAGEMENTS 2026'!N2489),'ENGAGEMENTS 2026'!AD2489))))</f>
        <v/>
      </c>
      <c r="K2489" s="604">
        <f>IF(ISBLANK('ENGAGEMENTS 2026'!V2489),"",'ENGAGEMENTS 2026'!V2489)</f>
        <v/>
      </c>
      <c r="L2489" s="276">
        <f>IF($K2489="","",TODAY()-$K2489)</f>
        <v/>
      </c>
      <c r="M2489">
        <f>IF($A2489="","",IF($H2489="ENGAGE","Engagé",IF(AND($H2489="NON ENGAGE",OR($I2489="INFRUCTUEUX",$I2489="ANNULE")),"Clôturé sans suite","En cours")))</f>
        <v/>
      </c>
      <c r="N2489">
        <f>IF(ISBLANK('ENGAGEMENTS 2026'!B2489),"",'ENGAGEMENTS 2026'!K2489)</f>
        <v/>
      </c>
      <c r="O2489">
        <f>IF(ISBLANK('ENGAGEMENTS 2026'!B2489),"",'ENGAGEMENTS 2026'!L2489)</f>
        <v/>
      </c>
      <c r="P2489">
        <f>IF(ISBLANK('ENGAGEMENTS 2026'!B2489),"",'ENGAGEMENTS 2026'!J2489)</f>
        <v/>
      </c>
      <c r="Q2489">
        <f>IF($A2489="","",IF(OR($E2489="INFRUCTUEUX",$E2489="ANNULE"),$A2489&amp;"|"&amp;(COUNTIFS($A$2:$A2489,$A2489,$E$2:$E2489,"INFRUCTUEUX")+COUNTIFS($A$2:$A2489,$A2489,$E$2:$E2489,"ANNULE")),""))</f>
        <v/>
      </c>
    </row>
    <row r="2490">
      <c r="A2490">
        <f>IF(ISBLANK('ENGAGEMENTS 2026'!B2490),"",IF('ENGAGEMENTS 2026'!B2490="DTSI","DCT",'ENGAGEMENTS 2026'!B2490))</f>
        <v/>
      </c>
      <c r="B2490">
        <f>IF(ISBLANK('ENGAGEMENTS 2026'!B2490),"",'ENGAGEMENTS 2026'!C2490)</f>
        <v/>
      </c>
      <c r="C2490">
        <f>IF(ISBLANK('ENGAGEMENTS 2026'!B2490),"",'ENGAGEMENTS 2026'!D2490)</f>
        <v/>
      </c>
      <c r="D2490">
        <f>IF(ISBLANK('ENGAGEMENTS 2026'!B2490),"",'ENGAGEMENTS 2026'!F2490)</f>
        <v/>
      </c>
      <c r="E2490">
        <f>IF(ISBLANK('ENGAGEMENTS 2026'!B2490),"",'ENGAGEMENTS 2026'!H2490)</f>
        <v/>
      </c>
      <c r="F2490">
        <f>IF(ISBLANK('ENGAGEMENTS 2026'!B2490),"",'ENGAGEMENTS 2026'!I2490)</f>
        <v/>
      </c>
      <c r="G2490">
        <f>IF(ISBLANK('ENGAGEMENTS 2026'!B2490),"",'ENGAGEMENTS 2026'!L2490)</f>
        <v/>
      </c>
      <c r="H2490">
        <f>IF(ISBLANK('ENGAGEMENTS 2026'!B2490),"",'ENGAGEMENTS 2026'!AE2490)</f>
        <v/>
      </c>
      <c r="I2490">
        <f>IF(ISBLANK('ENGAGEMENTS 2026'!B2490),"",'ENGAGEMENTS 2026'!G2490)</f>
        <v/>
      </c>
      <c r="J2490" s="275">
        <f>IF(ISBLANK('ENGAGEMENTS 2026'!B2490),"",IF(AND(OR($E2490="INFRUCTUEUX",$E2490="ANNULE"),$C2490="AOO-M"),'ENGAGEMENTS 2026'!O2490,IF($H2490="EN COURS DE PREENGAGEMENT",'ENGAGEMENTS 2026'!N2490,IF($H2490="PREENGAGE",IF($E2490="ATTRIBUE",'ENGAGEMENTS 2026'!AD2490,'ENGAGEMENTS 2026'!N2490),'ENGAGEMENTS 2026'!AD2490))))</f>
        <v/>
      </c>
      <c r="K2490" s="604">
        <f>IF(ISBLANK('ENGAGEMENTS 2026'!V2490),"",'ENGAGEMENTS 2026'!V2490)</f>
        <v/>
      </c>
      <c r="L2490" s="276">
        <f>IF($K2490="","",TODAY()-$K2490)</f>
        <v/>
      </c>
      <c r="M2490">
        <f>IF($A2490="","",IF($H2490="ENGAGE","Engagé",IF(AND($H2490="NON ENGAGE",OR($I2490="INFRUCTUEUX",$I2490="ANNULE")),"Clôturé sans suite","En cours")))</f>
        <v/>
      </c>
      <c r="N2490">
        <f>IF(ISBLANK('ENGAGEMENTS 2026'!B2490),"",'ENGAGEMENTS 2026'!K2490)</f>
        <v/>
      </c>
      <c r="O2490">
        <f>IF(ISBLANK('ENGAGEMENTS 2026'!B2490),"",'ENGAGEMENTS 2026'!L2490)</f>
        <v/>
      </c>
      <c r="P2490">
        <f>IF(ISBLANK('ENGAGEMENTS 2026'!B2490),"",'ENGAGEMENTS 2026'!J2490)</f>
        <v/>
      </c>
      <c r="Q2490">
        <f>IF($A2490="","",IF(OR($E2490="INFRUCTUEUX",$E2490="ANNULE"),$A2490&amp;"|"&amp;(COUNTIFS($A$2:$A2490,$A2490,$E$2:$E2490,"INFRUCTUEUX")+COUNTIFS($A$2:$A2490,$A2490,$E$2:$E2490,"ANNULE")),""))</f>
        <v/>
      </c>
    </row>
    <row r="2491">
      <c r="A2491">
        <f>IF(ISBLANK('ENGAGEMENTS 2026'!B2491),"",IF('ENGAGEMENTS 2026'!B2491="DTSI","DCT",'ENGAGEMENTS 2026'!B2491))</f>
        <v/>
      </c>
      <c r="B2491">
        <f>IF(ISBLANK('ENGAGEMENTS 2026'!B2491),"",'ENGAGEMENTS 2026'!C2491)</f>
        <v/>
      </c>
      <c r="C2491">
        <f>IF(ISBLANK('ENGAGEMENTS 2026'!B2491),"",'ENGAGEMENTS 2026'!D2491)</f>
        <v/>
      </c>
      <c r="D2491">
        <f>IF(ISBLANK('ENGAGEMENTS 2026'!B2491),"",'ENGAGEMENTS 2026'!F2491)</f>
        <v/>
      </c>
      <c r="E2491">
        <f>IF(ISBLANK('ENGAGEMENTS 2026'!B2491),"",'ENGAGEMENTS 2026'!H2491)</f>
        <v/>
      </c>
      <c r="F2491">
        <f>IF(ISBLANK('ENGAGEMENTS 2026'!B2491),"",'ENGAGEMENTS 2026'!I2491)</f>
        <v/>
      </c>
      <c r="G2491">
        <f>IF(ISBLANK('ENGAGEMENTS 2026'!B2491),"",'ENGAGEMENTS 2026'!L2491)</f>
        <v/>
      </c>
      <c r="H2491">
        <f>IF(ISBLANK('ENGAGEMENTS 2026'!B2491),"",'ENGAGEMENTS 2026'!AE2491)</f>
        <v/>
      </c>
      <c r="I2491">
        <f>IF(ISBLANK('ENGAGEMENTS 2026'!B2491),"",'ENGAGEMENTS 2026'!G2491)</f>
        <v/>
      </c>
      <c r="J2491" s="275">
        <f>IF(ISBLANK('ENGAGEMENTS 2026'!B2491),"",IF(AND(OR($E2491="INFRUCTUEUX",$E2491="ANNULE"),$C2491="AOO-M"),'ENGAGEMENTS 2026'!O2491,IF($H2491="EN COURS DE PREENGAGEMENT",'ENGAGEMENTS 2026'!N2491,IF($H2491="PREENGAGE",IF($E2491="ATTRIBUE",'ENGAGEMENTS 2026'!AD2491,'ENGAGEMENTS 2026'!N2491),'ENGAGEMENTS 2026'!AD2491))))</f>
        <v/>
      </c>
      <c r="K2491" s="604">
        <f>IF(ISBLANK('ENGAGEMENTS 2026'!V2491),"",'ENGAGEMENTS 2026'!V2491)</f>
        <v/>
      </c>
      <c r="L2491" s="276">
        <f>IF($K2491="","",TODAY()-$K2491)</f>
        <v/>
      </c>
      <c r="M2491">
        <f>IF($A2491="","",IF($H2491="ENGAGE","Engagé",IF(AND($H2491="NON ENGAGE",OR($I2491="INFRUCTUEUX",$I2491="ANNULE")),"Clôturé sans suite","En cours")))</f>
        <v/>
      </c>
      <c r="N2491">
        <f>IF(ISBLANK('ENGAGEMENTS 2026'!B2491),"",'ENGAGEMENTS 2026'!K2491)</f>
        <v/>
      </c>
      <c r="O2491">
        <f>IF(ISBLANK('ENGAGEMENTS 2026'!B2491),"",'ENGAGEMENTS 2026'!L2491)</f>
        <v/>
      </c>
      <c r="P2491">
        <f>IF(ISBLANK('ENGAGEMENTS 2026'!B2491),"",'ENGAGEMENTS 2026'!J2491)</f>
        <v/>
      </c>
      <c r="Q2491">
        <f>IF($A2491="","",IF(OR($E2491="INFRUCTUEUX",$E2491="ANNULE"),$A2491&amp;"|"&amp;(COUNTIFS($A$2:$A2491,$A2491,$E$2:$E2491,"INFRUCTUEUX")+COUNTIFS($A$2:$A2491,$A2491,$E$2:$E2491,"ANNULE")),""))</f>
        <v/>
      </c>
    </row>
    <row r="2492">
      <c r="A2492">
        <f>IF(ISBLANK('ENGAGEMENTS 2026'!B2492),"",IF('ENGAGEMENTS 2026'!B2492="DTSI","DCT",'ENGAGEMENTS 2026'!B2492))</f>
        <v/>
      </c>
      <c r="B2492">
        <f>IF(ISBLANK('ENGAGEMENTS 2026'!B2492),"",'ENGAGEMENTS 2026'!C2492)</f>
        <v/>
      </c>
      <c r="C2492">
        <f>IF(ISBLANK('ENGAGEMENTS 2026'!B2492),"",'ENGAGEMENTS 2026'!D2492)</f>
        <v/>
      </c>
      <c r="D2492">
        <f>IF(ISBLANK('ENGAGEMENTS 2026'!B2492),"",'ENGAGEMENTS 2026'!F2492)</f>
        <v/>
      </c>
      <c r="E2492">
        <f>IF(ISBLANK('ENGAGEMENTS 2026'!B2492),"",'ENGAGEMENTS 2026'!H2492)</f>
        <v/>
      </c>
      <c r="F2492">
        <f>IF(ISBLANK('ENGAGEMENTS 2026'!B2492),"",'ENGAGEMENTS 2026'!I2492)</f>
        <v/>
      </c>
      <c r="G2492">
        <f>IF(ISBLANK('ENGAGEMENTS 2026'!B2492),"",'ENGAGEMENTS 2026'!L2492)</f>
        <v/>
      </c>
      <c r="H2492">
        <f>IF(ISBLANK('ENGAGEMENTS 2026'!B2492),"",'ENGAGEMENTS 2026'!AE2492)</f>
        <v/>
      </c>
      <c r="I2492">
        <f>IF(ISBLANK('ENGAGEMENTS 2026'!B2492),"",'ENGAGEMENTS 2026'!G2492)</f>
        <v/>
      </c>
      <c r="J2492" s="275">
        <f>IF(ISBLANK('ENGAGEMENTS 2026'!B2492),"",IF(AND(OR($E2492="INFRUCTUEUX",$E2492="ANNULE"),$C2492="AOO-M"),'ENGAGEMENTS 2026'!O2492,IF($H2492="EN COURS DE PREENGAGEMENT",'ENGAGEMENTS 2026'!N2492,IF($H2492="PREENGAGE",IF($E2492="ATTRIBUE",'ENGAGEMENTS 2026'!AD2492,'ENGAGEMENTS 2026'!N2492),'ENGAGEMENTS 2026'!AD2492))))</f>
        <v/>
      </c>
      <c r="K2492" s="604">
        <f>IF(ISBLANK('ENGAGEMENTS 2026'!V2492),"",'ENGAGEMENTS 2026'!V2492)</f>
        <v/>
      </c>
      <c r="L2492" s="276">
        <f>IF($K2492="","",TODAY()-$K2492)</f>
        <v/>
      </c>
      <c r="M2492">
        <f>IF($A2492="","",IF($H2492="ENGAGE","Engagé",IF(AND($H2492="NON ENGAGE",OR($I2492="INFRUCTUEUX",$I2492="ANNULE")),"Clôturé sans suite","En cours")))</f>
        <v/>
      </c>
      <c r="N2492">
        <f>IF(ISBLANK('ENGAGEMENTS 2026'!B2492),"",'ENGAGEMENTS 2026'!K2492)</f>
        <v/>
      </c>
      <c r="O2492">
        <f>IF(ISBLANK('ENGAGEMENTS 2026'!B2492),"",'ENGAGEMENTS 2026'!L2492)</f>
        <v/>
      </c>
      <c r="P2492">
        <f>IF(ISBLANK('ENGAGEMENTS 2026'!B2492),"",'ENGAGEMENTS 2026'!J2492)</f>
        <v/>
      </c>
      <c r="Q2492">
        <f>IF($A2492="","",IF(OR($E2492="INFRUCTUEUX",$E2492="ANNULE"),$A2492&amp;"|"&amp;(COUNTIFS($A$2:$A2492,$A2492,$E$2:$E2492,"INFRUCTUEUX")+COUNTIFS($A$2:$A2492,$A2492,$E$2:$E2492,"ANNULE")),""))</f>
        <v/>
      </c>
    </row>
    <row r="2493">
      <c r="A2493">
        <f>IF(ISBLANK('ENGAGEMENTS 2026'!B2493),"",IF('ENGAGEMENTS 2026'!B2493="DTSI","DCT",'ENGAGEMENTS 2026'!B2493))</f>
        <v/>
      </c>
      <c r="B2493">
        <f>IF(ISBLANK('ENGAGEMENTS 2026'!B2493),"",'ENGAGEMENTS 2026'!C2493)</f>
        <v/>
      </c>
      <c r="C2493">
        <f>IF(ISBLANK('ENGAGEMENTS 2026'!B2493),"",'ENGAGEMENTS 2026'!D2493)</f>
        <v/>
      </c>
      <c r="D2493">
        <f>IF(ISBLANK('ENGAGEMENTS 2026'!B2493),"",'ENGAGEMENTS 2026'!F2493)</f>
        <v/>
      </c>
      <c r="E2493">
        <f>IF(ISBLANK('ENGAGEMENTS 2026'!B2493),"",'ENGAGEMENTS 2026'!H2493)</f>
        <v/>
      </c>
      <c r="F2493">
        <f>IF(ISBLANK('ENGAGEMENTS 2026'!B2493),"",'ENGAGEMENTS 2026'!I2493)</f>
        <v/>
      </c>
      <c r="G2493">
        <f>IF(ISBLANK('ENGAGEMENTS 2026'!B2493),"",'ENGAGEMENTS 2026'!L2493)</f>
        <v/>
      </c>
      <c r="H2493">
        <f>IF(ISBLANK('ENGAGEMENTS 2026'!B2493),"",'ENGAGEMENTS 2026'!AE2493)</f>
        <v/>
      </c>
      <c r="I2493">
        <f>IF(ISBLANK('ENGAGEMENTS 2026'!B2493),"",'ENGAGEMENTS 2026'!G2493)</f>
        <v/>
      </c>
      <c r="J2493" s="275">
        <f>IF(ISBLANK('ENGAGEMENTS 2026'!B2493),"",IF(AND(OR($E2493="INFRUCTUEUX",$E2493="ANNULE"),$C2493="AOO-M"),'ENGAGEMENTS 2026'!O2493,IF($H2493="EN COURS DE PREENGAGEMENT",'ENGAGEMENTS 2026'!N2493,IF($H2493="PREENGAGE",IF($E2493="ATTRIBUE",'ENGAGEMENTS 2026'!AD2493,'ENGAGEMENTS 2026'!N2493),'ENGAGEMENTS 2026'!AD2493))))</f>
        <v/>
      </c>
      <c r="K2493" s="604">
        <f>IF(ISBLANK('ENGAGEMENTS 2026'!V2493),"",'ENGAGEMENTS 2026'!V2493)</f>
        <v/>
      </c>
      <c r="L2493" s="276">
        <f>IF($K2493="","",TODAY()-$K2493)</f>
        <v/>
      </c>
      <c r="M2493">
        <f>IF($A2493="","",IF($H2493="ENGAGE","Engagé",IF(AND($H2493="NON ENGAGE",OR($I2493="INFRUCTUEUX",$I2493="ANNULE")),"Clôturé sans suite","En cours")))</f>
        <v/>
      </c>
      <c r="N2493">
        <f>IF(ISBLANK('ENGAGEMENTS 2026'!B2493),"",'ENGAGEMENTS 2026'!K2493)</f>
        <v/>
      </c>
      <c r="O2493">
        <f>IF(ISBLANK('ENGAGEMENTS 2026'!B2493),"",'ENGAGEMENTS 2026'!L2493)</f>
        <v/>
      </c>
      <c r="P2493">
        <f>IF(ISBLANK('ENGAGEMENTS 2026'!B2493),"",'ENGAGEMENTS 2026'!J2493)</f>
        <v/>
      </c>
      <c r="Q2493">
        <f>IF($A2493="","",IF(OR($E2493="INFRUCTUEUX",$E2493="ANNULE"),$A2493&amp;"|"&amp;(COUNTIFS($A$2:$A2493,$A2493,$E$2:$E2493,"INFRUCTUEUX")+COUNTIFS($A$2:$A2493,$A2493,$E$2:$E2493,"ANNULE")),""))</f>
        <v/>
      </c>
    </row>
    <row r="2494">
      <c r="A2494">
        <f>IF(ISBLANK('ENGAGEMENTS 2026'!B2494),"",IF('ENGAGEMENTS 2026'!B2494="DTSI","DCT",'ENGAGEMENTS 2026'!B2494))</f>
        <v/>
      </c>
      <c r="B2494">
        <f>IF(ISBLANK('ENGAGEMENTS 2026'!B2494),"",'ENGAGEMENTS 2026'!C2494)</f>
        <v/>
      </c>
      <c r="C2494">
        <f>IF(ISBLANK('ENGAGEMENTS 2026'!B2494),"",'ENGAGEMENTS 2026'!D2494)</f>
        <v/>
      </c>
      <c r="D2494">
        <f>IF(ISBLANK('ENGAGEMENTS 2026'!B2494),"",'ENGAGEMENTS 2026'!F2494)</f>
        <v/>
      </c>
      <c r="E2494">
        <f>IF(ISBLANK('ENGAGEMENTS 2026'!B2494),"",'ENGAGEMENTS 2026'!H2494)</f>
        <v/>
      </c>
      <c r="F2494">
        <f>IF(ISBLANK('ENGAGEMENTS 2026'!B2494),"",'ENGAGEMENTS 2026'!I2494)</f>
        <v/>
      </c>
      <c r="G2494">
        <f>IF(ISBLANK('ENGAGEMENTS 2026'!B2494),"",'ENGAGEMENTS 2026'!L2494)</f>
        <v/>
      </c>
      <c r="H2494">
        <f>IF(ISBLANK('ENGAGEMENTS 2026'!B2494),"",'ENGAGEMENTS 2026'!AE2494)</f>
        <v/>
      </c>
      <c r="I2494">
        <f>IF(ISBLANK('ENGAGEMENTS 2026'!B2494),"",'ENGAGEMENTS 2026'!G2494)</f>
        <v/>
      </c>
      <c r="J2494" s="275">
        <f>IF(ISBLANK('ENGAGEMENTS 2026'!B2494),"",IF(AND(OR($E2494="INFRUCTUEUX",$E2494="ANNULE"),$C2494="AOO-M"),'ENGAGEMENTS 2026'!O2494,IF($H2494="EN COURS DE PREENGAGEMENT",'ENGAGEMENTS 2026'!N2494,IF($H2494="PREENGAGE",IF($E2494="ATTRIBUE",'ENGAGEMENTS 2026'!AD2494,'ENGAGEMENTS 2026'!N2494),'ENGAGEMENTS 2026'!AD2494))))</f>
        <v/>
      </c>
      <c r="K2494" s="604">
        <f>IF(ISBLANK('ENGAGEMENTS 2026'!V2494),"",'ENGAGEMENTS 2026'!V2494)</f>
        <v/>
      </c>
      <c r="L2494" s="276">
        <f>IF($K2494="","",TODAY()-$K2494)</f>
        <v/>
      </c>
      <c r="M2494">
        <f>IF($A2494="","",IF($H2494="ENGAGE","Engagé",IF(AND($H2494="NON ENGAGE",OR($I2494="INFRUCTUEUX",$I2494="ANNULE")),"Clôturé sans suite","En cours")))</f>
        <v/>
      </c>
      <c r="N2494">
        <f>IF(ISBLANK('ENGAGEMENTS 2026'!B2494),"",'ENGAGEMENTS 2026'!K2494)</f>
        <v/>
      </c>
      <c r="O2494">
        <f>IF(ISBLANK('ENGAGEMENTS 2026'!B2494),"",'ENGAGEMENTS 2026'!L2494)</f>
        <v/>
      </c>
      <c r="P2494">
        <f>IF(ISBLANK('ENGAGEMENTS 2026'!B2494),"",'ENGAGEMENTS 2026'!J2494)</f>
        <v/>
      </c>
      <c r="Q2494">
        <f>IF($A2494="","",IF(OR($E2494="INFRUCTUEUX",$E2494="ANNULE"),$A2494&amp;"|"&amp;(COUNTIFS($A$2:$A2494,$A2494,$E$2:$E2494,"INFRUCTUEUX")+COUNTIFS($A$2:$A2494,$A2494,$E$2:$E2494,"ANNULE")),""))</f>
        <v/>
      </c>
    </row>
    <row r="2495">
      <c r="A2495">
        <f>IF(ISBLANK('ENGAGEMENTS 2026'!B2495),"",IF('ENGAGEMENTS 2026'!B2495="DTSI","DCT",'ENGAGEMENTS 2026'!B2495))</f>
        <v/>
      </c>
      <c r="B2495">
        <f>IF(ISBLANK('ENGAGEMENTS 2026'!B2495),"",'ENGAGEMENTS 2026'!C2495)</f>
        <v/>
      </c>
      <c r="C2495">
        <f>IF(ISBLANK('ENGAGEMENTS 2026'!B2495),"",'ENGAGEMENTS 2026'!D2495)</f>
        <v/>
      </c>
      <c r="D2495">
        <f>IF(ISBLANK('ENGAGEMENTS 2026'!B2495),"",'ENGAGEMENTS 2026'!F2495)</f>
        <v/>
      </c>
      <c r="E2495">
        <f>IF(ISBLANK('ENGAGEMENTS 2026'!B2495),"",'ENGAGEMENTS 2026'!H2495)</f>
        <v/>
      </c>
      <c r="F2495">
        <f>IF(ISBLANK('ENGAGEMENTS 2026'!B2495),"",'ENGAGEMENTS 2026'!I2495)</f>
        <v/>
      </c>
      <c r="G2495">
        <f>IF(ISBLANK('ENGAGEMENTS 2026'!B2495),"",'ENGAGEMENTS 2026'!L2495)</f>
        <v/>
      </c>
      <c r="H2495">
        <f>IF(ISBLANK('ENGAGEMENTS 2026'!B2495),"",'ENGAGEMENTS 2026'!AE2495)</f>
        <v/>
      </c>
      <c r="I2495">
        <f>IF(ISBLANK('ENGAGEMENTS 2026'!B2495),"",'ENGAGEMENTS 2026'!G2495)</f>
        <v/>
      </c>
      <c r="J2495" s="275">
        <f>IF(ISBLANK('ENGAGEMENTS 2026'!B2495),"",IF(AND(OR($E2495="INFRUCTUEUX",$E2495="ANNULE"),$C2495="AOO-M"),'ENGAGEMENTS 2026'!O2495,IF($H2495="EN COURS DE PREENGAGEMENT",'ENGAGEMENTS 2026'!N2495,IF($H2495="PREENGAGE",IF($E2495="ATTRIBUE",'ENGAGEMENTS 2026'!AD2495,'ENGAGEMENTS 2026'!N2495),'ENGAGEMENTS 2026'!AD2495))))</f>
        <v/>
      </c>
      <c r="K2495" s="604">
        <f>IF(ISBLANK('ENGAGEMENTS 2026'!V2495),"",'ENGAGEMENTS 2026'!V2495)</f>
        <v/>
      </c>
      <c r="L2495" s="276">
        <f>IF($K2495="","",TODAY()-$K2495)</f>
        <v/>
      </c>
      <c r="M2495">
        <f>IF($A2495="","",IF($H2495="ENGAGE","Engagé",IF(AND($H2495="NON ENGAGE",OR($I2495="INFRUCTUEUX",$I2495="ANNULE")),"Clôturé sans suite","En cours")))</f>
        <v/>
      </c>
      <c r="N2495">
        <f>IF(ISBLANK('ENGAGEMENTS 2026'!B2495),"",'ENGAGEMENTS 2026'!K2495)</f>
        <v/>
      </c>
      <c r="O2495">
        <f>IF(ISBLANK('ENGAGEMENTS 2026'!B2495),"",'ENGAGEMENTS 2026'!L2495)</f>
        <v/>
      </c>
      <c r="P2495">
        <f>IF(ISBLANK('ENGAGEMENTS 2026'!B2495),"",'ENGAGEMENTS 2026'!J2495)</f>
        <v/>
      </c>
      <c r="Q2495">
        <f>IF($A2495="","",IF(OR($E2495="INFRUCTUEUX",$E2495="ANNULE"),$A2495&amp;"|"&amp;(COUNTIFS($A$2:$A2495,$A2495,$E$2:$E2495,"INFRUCTUEUX")+COUNTIFS($A$2:$A2495,$A2495,$E$2:$E2495,"ANNULE")),""))</f>
        <v/>
      </c>
    </row>
    <row r="2496">
      <c r="A2496">
        <f>IF(ISBLANK('ENGAGEMENTS 2026'!B2496),"",IF('ENGAGEMENTS 2026'!B2496="DTSI","DCT",'ENGAGEMENTS 2026'!B2496))</f>
        <v/>
      </c>
      <c r="B2496">
        <f>IF(ISBLANK('ENGAGEMENTS 2026'!B2496),"",'ENGAGEMENTS 2026'!C2496)</f>
        <v/>
      </c>
      <c r="C2496">
        <f>IF(ISBLANK('ENGAGEMENTS 2026'!B2496),"",'ENGAGEMENTS 2026'!D2496)</f>
        <v/>
      </c>
      <c r="D2496">
        <f>IF(ISBLANK('ENGAGEMENTS 2026'!B2496),"",'ENGAGEMENTS 2026'!F2496)</f>
        <v/>
      </c>
      <c r="E2496">
        <f>IF(ISBLANK('ENGAGEMENTS 2026'!B2496),"",'ENGAGEMENTS 2026'!H2496)</f>
        <v/>
      </c>
      <c r="F2496">
        <f>IF(ISBLANK('ENGAGEMENTS 2026'!B2496),"",'ENGAGEMENTS 2026'!I2496)</f>
        <v/>
      </c>
      <c r="G2496">
        <f>IF(ISBLANK('ENGAGEMENTS 2026'!B2496),"",'ENGAGEMENTS 2026'!L2496)</f>
        <v/>
      </c>
      <c r="H2496">
        <f>IF(ISBLANK('ENGAGEMENTS 2026'!B2496),"",'ENGAGEMENTS 2026'!AE2496)</f>
        <v/>
      </c>
      <c r="I2496">
        <f>IF(ISBLANK('ENGAGEMENTS 2026'!B2496),"",'ENGAGEMENTS 2026'!G2496)</f>
        <v/>
      </c>
      <c r="J2496" s="275">
        <f>IF(ISBLANK('ENGAGEMENTS 2026'!B2496),"",IF(AND(OR($E2496="INFRUCTUEUX",$E2496="ANNULE"),$C2496="AOO-M"),'ENGAGEMENTS 2026'!O2496,IF($H2496="EN COURS DE PREENGAGEMENT",'ENGAGEMENTS 2026'!N2496,IF($H2496="PREENGAGE",IF($E2496="ATTRIBUE",'ENGAGEMENTS 2026'!AD2496,'ENGAGEMENTS 2026'!N2496),'ENGAGEMENTS 2026'!AD2496))))</f>
        <v/>
      </c>
      <c r="K2496" s="604">
        <f>IF(ISBLANK('ENGAGEMENTS 2026'!V2496),"",'ENGAGEMENTS 2026'!V2496)</f>
        <v/>
      </c>
      <c r="L2496" s="276">
        <f>IF($K2496="","",TODAY()-$K2496)</f>
        <v/>
      </c>
      <c r="M2496">
        <f>IF($A2496="","",IF($H2496="ENGAGE","Engagé",IF(AND($H2496="NON ENGAGE",OR($I2496="INFRUCTUEUX",$I2496="ANNULE")),"Clôturé sans suite","En cours")))</f>
        <v/>
      </c>
      <c r="N2496">
        <f>IF(ISBLANK('ENGAGEMENTS 2026'!B2496),"",'ENGAGEMENTS 2026'!K2496)</f>
        <v/>
      </c>
      <c r="O2496">
        <f>IF(ISBLANK('ENGAGEMENTS 2026'!B2496),"",'ENGAGEMENTS 2026'!L2496)</f>
        <v/>
      </c>
      <c r="P2496">
        <f>IF(ISBLANK('ENGAGEMENTS 2026'!B2496),"",'ENGAGEMENTS 2026'!J2496)</f>
        <v/>
      </c>
      <c r="Q2496">
        <f>IF($A2496="","",IF(OR($E2496="INFRUCTUEUX",$E2496="ANNULE"),$A2496&amp;"|"&amp;(COUNTIFS($A$2:$A2496,$A2496,$E$2:$E2496,"INFRUCTUEUX")+COUNTIFS($A$2:$A2496,$A2496,$E$2:$E2496,"ANNULE")),""))</f>
        <v/>
      </c>
    </row>
    <row r="2497">
      <c r="A2497">
        <f>IF(ISBLANK('ENGAGEMENTS 2026'!B2497),"",IF('ENGAGEMENTS 2026'!B2497="DTSI","DCT",'ENGAGEMENTS 2026'!B2497))</f>
        <v/>
      </c>
      <c r="B2497">
        <f>IF(ISBLANK('ENGAGEMENTS 2026'!B2497),"",'ENGAGEMENTS 2026'!C2497)</f>
        <v/>
      </c>
      <c r="C2497">
        <f>IF(ISBLANK('ENGAGEMENTS 2026'!B2497),"",'ENGAGEMENTS 2026'!D2497)</f>
        <v/>
      </c>
      <c r="D2497">
        <f>IF(ISBLANK('ENGAGEMENTS 2026'!B2497),"",'ENGAGEMENTS 2026'!F2497)</f>
        <v/>
      </c>
      <c r="E2497">
        <f>IF(ISBLANK('ENGAGEMENTS 2026'!B2497),"",'ENGAGEMENTS 2026'!H2497)</f>
        <v/>
      </c>
      <c r="F2497">
        <f>IF(ISBLANK('ENGAGEMENTS 2026'!B2497),"",'ENGAGEMENTS 2026'!I2497)</f>
        <v/>
      </c>
      <c r="G2497">
        <f>IF(ISBLANK('ENGAGEMENTS 2026'!B2497),"",'ENGAGEMENTS 2026'!L2497)</f>
        <v/>
      </c>
      <c r="H2497">
        <f>IF(ISBLANK('ENGAGEMENTS 2026'!B2497),"",'ENGAGEMENTS 2026'!AE2497)</f>
        <v/>
      </c>
      <c r="I2497">
        <f>IF(ISBLANK('ENGAGEMENTS 2026'!B2497),"",'ENGAGEMENTS 2026'!G2497)</f>
        <v/>
      </c>
      <c r="J2497" s="275">
        <f>IF(ISBLANK('ENGAGEMENTS 2026'!B2497),"",IF(AND(OR($E2497="INFRUCTUEUX",$E2497="ANNULE"),$C2497="AOO-M"),'ENGAGEMENTS 2026'!O2497,IF($H2497="EN COURS DE PREENGAGEMENT",'ENGAGEMENTS 2026'!N2497,IF($H2497="PREENGAGE",IF($E2497="ATTRIBUE",'ENGAGEMENTS 2026'!AD2497,'ENGAGEMENTS 2026'!N2497),'ENGAGEMENTS 2026'!AD2497))))</f>
        <v/>
      </c>
      <c r="K2497" s="604">
        <f>IF(ISBLANK('ENGAGEMENTS 2026'!V2497),"",'ENGAGEMENTS 2026'!V2497)</f>
        <v/>
      </c>
      <c r="L2497" s="276">
        <f>IF($K2497="","",TODAY()-$K2497)</f>
        <v/>
      </c>
      <c r="M2497">
        <f>IF($A2497="","",IF($H2497="ENGAGE","Engagé",IF(AND($H2497="NON ENGAGE",OR($I2497="INFRUCTUEUX",$I2497="ANNULE")),"Clôturé sans suite","En cours")))</f>
        <v/>
      </c>
      <c r="N2497">
        <f>IF(ISBLANK('ENGAGEMENTS 2026'!B2497),"",'ENGAGEMENTS 2026'!K2497)</f>
        <v/>
      </c>
      <c r="O2497">
        <f>IF(ISBLANK('ENGAGEMENTS 2026'!B2497),"",'ENGAGEMENTS 2026'!L2497)</f>
        <v/>
      </c>
      <c r="P2497">
        <f>IF(ISBLANK('ENGAGEMENTS 2026'!B2497),"",'ENGAGEMENTS 2026'!J2497)</f>
        <v/>
      </c>
      <c r="Q2497">
        <f>IF($A2497="","",IF(OR($E2497="INFRUCTUEUX",$E2497="ANNULE"),$A2497&amp;"|"&amp;(COUNTIFS($A$2:$A2497,$A2497,$E$2:$E2497,"INFRUCTUEUX")+COUNTIFS($A$2:$A2497,$A2497,$E$2:$E2497,"ANNULE")),""))</f>
        <v/>
      </c>
    </row>
    <row r="2498">
      <c r="A2498">
        <f>IF(ISBLANK('ENGAGEMENTS 2026'!B2498),"",IF('ENGAGEMENTS 2026'!B2498="DTSI","DCT",'ENGAGEMENTS 2026'!B2498))</f>
        <v/>
      </c>
      <c r="B2498">
        <f>IF(ISBLANK('ENGAGEMENTS 2026'!B2498),"",'ENGAGEMENTS 2026'!C2498)</f>
        <v/>
      </c>
      <c r="C2498">
        <f>IF(ISBLANK('ENGAGEMENTS 2026'!B2498),"",'ENGAGEMENTS 2026'!D2498)</f>
        <v/>
      </c>
      <c r="D2498">
        <f>IF(ISBLANK('ENGAGEMENTS 2026'!B2498),"",'ENGAGEMENTS 2026'!F2498)</f>
        <v/>
      </c>
      <c r="E2498">
        <f>IF(ISBLANK('ENGAGEMENTS 2026'!B2498),"",'ENGAGEMENTS 2026'!H2498)</f>
        <v/>
      </c>
      <c r="F2498">
        <f>IF(ISBLANK('ENGAGEMENTS 2026'!B2498),"",'ENGAGEMENTS 2026'!I2498)</f>
        <v/>
      </c>
      <c r="G2498">
        <f>IF(ISBLANK('ENGAGEMENTS 2026'!B2498),"",'ENGAGEMENTS 2026'!L2498)</f>
        <v/>
      </c>
      <c r="H2498">
        <f>IF(ISBLANK('ENGAGEMENTS 2026'!B2498),"",'ENGAGEMENTS 2026'!AE2498)</f>
        <v/>
      </c>
      <c r="I2498">
        <f>IF(ISBLANK('ENGAGEMENTS 2026'!B2498),"",'ENGAGEMENTS 2026'!G2498)</f>
        <v/>
      </c>
      <c r="J2498" s="275">
        <f>IF(ISBLANK('ENGAGEMENTS 2026'!B2498),"",IF(AND(OR($E2498="INFRUCTUEUX",$E2498="ANNULE"),$C2498="AOO-M"),'ENGAGEMENTS 2026'!O2498,IF($H2498="EN COURS DE PREENGAGEMENT",'ENGAGEMENTS 2026'!N2498,IF($H2498="PREENGAGE",IF($E2498="ATTRIBUE",'ENGAGEMENTS 2026'!AD2498,'ENGAGEMENTS 2026'!N2498),'ENGAGEMENTS 2026'!AD2498))))</f>
        <v/>
      </c>
      <c r="K2498" s="604">
        <f>IF(ISBLANK('ENGAGEMENTS 2026'!V2498),"",'ENGAGEMENTS 2026'!V2498)</f>
        <v/>
      </c>
      <c r="L2498" s="276">
        <f>IF($K2498="","",TODAY()-$K2498)</f>
        <v/>
      </c>
      <c r="M2498">
        <f>IF($A2498="","",IF($H2498="ENGAGE","Engagé",IF(AND($H2498="NON ENGAGE",OR($I2498="INFRUCTUEUX",$I2498="ANNULE")),"Clôturé sans suite","En cours")))</f>
        <v/>
      </c>
      <c r="N2498">
        <f>IF(ISBLANK('ENGAGEMENTS 2026'!B2498),"",'ENGAGEMENTS 2026'!K2498)</f>
        <v/>
      </c>
      <c r="O2498">
        <f>IF(ISBLANK('ENGAGEMENTS 2026'!B2498),"",'ENGAGEMENTS 2026'!L2498)</f>
        <v/>
      </c>
      <c r="P2498">
        <f>IF(ISBLANK('ENGAGEMENTS 2026'!B2498),"",'ENGAGEMENTS 2026'!J2498)</f>
        <v/>
      </c>
      <c r="Q2498">
        <f>IF($A2498="","",IF(OR($E2498="INFRUCTUEUX",$E2498="ANNULE"),$A2498&amp;"|"&amp;(COUNTIFS($A$2:$A2498,$A2498,$E$2:$E2498,"INFRUCTUEUX")+COUNTIFS($A$2:$A2498,$A2498,$E$2:$E2498,"ANNULE")),""))</f>
        <v/>
      </c>
    </row>
    <row r="2499">
      <c r="A2499">
        <f>IF(ISBLANK('ENGAGEMENTS 2026'!B2499),"",IF('ENGAGEMENTS 2026'!B2499="DTSI","DCT",'ENGAGEMENTS 2026'!B2499))</f>
        <v/>
      </c>
      <c r="B2499">
        <f>IF(ISBLANK('ENGAGEMENTS 2026'!B2499),"",'ENGAGEMENTS 2026'!C2499)</f>
        <v/>
      </c>
      <c r="C2499">
        <f>IF(ISBLANK('ENGAGEMENTS 2026'!B2499),"",'ENGAGEMENTS 2026'!D2499)</f>
        <v/>
      </c>
      <c r="D2499">
        <f>IF(ISBLANK('ENGAGEMENTS 2026'!B2499),"",'ENGAGEMENTS 2026'!F2499)</f>
        <v/>
      </c>
      <c r="E2499">
        <f>IF(ISBLANK('ENGAGEMENTS 2026'!B2499),"",'ENGAGEMENTS 2026'!H2499)</f>
        <v/>
      </c>
      <c r="F2499">
        <f>IF(ISBLANK('ENGAGEMENTS 2026'!B2499),"",'ENGAGEMENTS 2026'!I2499)</f>
        <v/>
      </c>
      <c r="G2499">
        <f>IF(ISBLANK('ENGAGEMENTS 2026'!B2499),"",'ENGAGEMENTS 2026'!L2499)</f>
        <v/>
      </c>
      <c r="H2499">
        <f>IF(ISBLANK('ENGAGEMENTS 2026'!B2499),"",'ENGAGEMENTS 2026'!AE2499)</f>
        <v/>
      </c>
      <c r="I2499">
        <f>IF(ISBLANK('ENGAGEMENTS 2026'!B2499),"",'ENGAGEMENTS 2026'!G2499)</f>
        <v/>
      </c>
      <c r="J2499" s="275">
        <f>IF(ISBLANK('ENGAGEMENTS 2026'!B2499),"",IF(AND(OR($E2499="INFRUCTUEUX",$E2499="ANNULE"),$C2499="AOO-M"),'ENGAGEMENTS 2026'!O2499,IF($H2499="EN COURS DE PREENGAGEMENT",'ENGAGEMENTS 2026'!N2499,IF($H2499="PREENGAGE",IF($E2499="ATTRIBUE",'ENGAGEMENTS 2026'!AD2499,'ENGAGEMENTS 2026'!N2499),'ENGAGEMENTS 2026'!AD2499))))</f>
        <v/>
      </c>
      <c r="K2499" s="604">
        <f>IF(ISBLANK('ENGAGEMENTS 2026'!V2499),"",'ENGAGEMENTS 2026'!V2499)</f>
        <v/>
      </c>
      <c r="L2499" s="276">
        <f>IF($K2499="","",TODAY()-$K2499)</f>
        <v/>
      </c>
      <c r="M2499">
        <f>IF($A2499="","",IF($H2499="ENGAGE","Engagé",IF(AND($H2499="NON ENGAGE",OR($I2499="INFRUCTUEUX",$I2499="ANNULE")),"Clôturé sans suite","En cours")))</f>
        <v/>
      </c>
      <c r="N2499">
        <f>IF(ISBLANK('ENGAGEMENTS 2026'!B2499),"",'ENGAGEMENTS 2026'!K2499)</f>
        <v/>
      </c>
      <c r="O2499">
        <f>IF(ISBLANK('ENGAGEMENTS 2026'!B2499),"",'ENGAGEMENTS 2026'!L2499)</f>
        <v/>
      </c>
      <c r="P2499">
        <f>IF(ISBLANK('ENGAGEMENTS 2026'!B2499),"",'ENGAGEMENTS 2026'!J2499)</f>
        <v/>
      </c>
      <c r="Q2499">
        <f>IF($A2499="","",IF(OR($E2499="INFRUCTUEUX",$E2499="ANNULE"),$A2499&amp;"|"&amp;(COUNTIFS($A$2:$A2499,$A2499,$E$2:$E2499,"INFRUCTUEUX")+COUNTIFS($A$2:$A2499,$A2499,$E$2:$E2499,"ANNULE")),""))</f>
        <v/>
      </c>
    </row>
    <row r="2500">
      <c r="A2500">
        <f>IF(ISBLANK('ENGAGEMENTS 2026'!B2500),"",IF('ENGAGEMENTS 2026'!B2500="DTSI","DCT",'ENGAGEMENTS 2026'!B2500))</f>
        <v/>
      </c>
      <c r="B2500">
        <f>IF(ISBLANK('ENGAGEMENTS 2026'!B2500),"",'ENGAGEMENTS 2026'!C2500)</f>
        <v/>
      </c>
      <c r="C2500">
        <f>IF(ISBLANK('ENGAGEMENTS 2026'!B2500),"",'ENGAGEMENTS 2026'!D2500)</f>
        <v/>
      </c>
      <c r="D2500">
        <f>IF(ISBLANK('ENGAGEMENTS 2026'!B2500),"",'ENGAGEMENTS 2026'!F2500)</f>
        <v/>
      </c>
      <c r="E2500">
        <f>IF(ISBLANK('ENGAGEMENTS 2026'!B2500),"",'ENGAGEMENTS 2026'!H2500)</f>
        <v/>
      </c>
      <c r="F2500">
        <f>IF(ISBLANK('ENGAGEMENTS 2026'!B2500),"",'ENGAGEMENTS 2026'!I2500)</f>
        <v/>
      </c>
      <c r="G2500">
        <f>IF(ISBLANK('ENGAGEMENTS 2026'!B2500),"",'ENGAGEMENTS 2026'!L2500)</f>
        <v/>
      </c>
      <c r="H2500">
        <f>IF(ISBLANK('ENGAGEMENTS 2026'!B2500),"",'ENGAGEMENTS 2026'!AE2500)</f>
        <v/>
      </c>
      <c r="I2500">
        <f>IF(ISBLANK('ENGAGEMENTS 2026'!B2500),"",'ENGAGEMENTS 2026'!G2500)</f>
        <v/>
      </c>
      <c r="J2500" s="275">
        <f>IF(ISBLANK('ENGAGEMENTS 2026'!B2500),"",IF(AND(OR($E2500="INFRUCTUEUX",$E2500="ANNULE"),$C2500="AOO-M"),'ENGAGEMENTS 2026'!O2500,IF($H2500="EN COURS DE PREENGAGEMENT",'ENGAGEMENTS 2026'!N2500,IF($H2500="PREENGAGE",IF($E2500="ATTRIBUE",'ENGAGEMENTS 2026'!AD2500,'ENGAGEMENTS 2026'!N2500),'ENGAGEMENTS 2026'!AD2500))))</f>
        <v/>
      </c>
      <c r="K2500" s="604">
        <f>IF(ISBLANK('ENGAGEMENTS 2026'!V2500),"",'ENGAGEMENTS 2026'!V2500)</f>
        <v/>
      </c>
      <c r="L2500" s="276">
        <f>IF($K2500="","",TODAY()-$K2500)</f>
        <v/>
      </c>
      <c r="M2500">
        <f>IF($A2500="","",IF($H2500="ENGAGE","Engagé",IF(AND($H2500="NON ENGAGE",OR($I2500="INFRUCTUEUX",$I2500="ANNULE")),"Clôturé sans suite","En cours")))</f>
        <v/>
      </c>
      <c r="N2500">
        <f>IF(ISBLANK('ENGAGEMENTS 2026'!B2500),"",'ENGAGEMENTS 2026'!K2500)</f>
        <v/>
      </c>
      <c r="O2500">
        <f>IF(ISBLANK('ENGAGEMENTS 2026'!B2500),"",'ENGAGEMENTS 2026'!L2500)</f>
        <v/>
      </c>
      <c r="P2500">
        <f>IF(ISBLANK('ENGAGEMENTS 2026'!B2500),"",'ENGAGEMENTS 2026'!J2500)</f>
        <v/>
      </c>
      <c r="Q2500">
        <f>IF($A2500="","",IF(OR($E2500="INFRUCTUEUX",$E2500="ANNULE"),$A2500&amp;"|"&amp;(COUNTIFS($A$2:$A2500,$A2500,$E$2:$E2500,"INFRUCTUEUX")+COUNTIFS($A$2:$A2500,$A2500,$E$2:$E2500,"ANNULE")),""))</f>
        <v/>
      </c>
    </row>
    <row r="2501">
      <c r="A2501">
        <f>IF(ISBLANK('ENGAGEMENTS 2026'!B2501),"",IF('ENGAGEMENTS 2026'!B2501="DTSI","DCT",'ENGAGEMENTS 2026'!B2501))</f>
        <v/>
      </c>
      <c r="B2501">
        <f>IF(ISBLANK('ENGAGEMENTS 2026'!B2501),"",'ENGAGEMENTS 2026'!C2501)</f>
        <v/>
      </c>
      <c r="C2501">
        <f>IF(ISBLANK('ENGAGEMENTS 2026'!B2501),"",'ENGAGEMENTS 2026'!D2501)</f>
        <v/>
      </c>
      <c r="D2501">
        <f>IF(ISBLANK('ENGAGEMENTS 2026'!B2501),"",'ENGAGEMENTS 2026'!F2501)</f>
        <v/>
      </c>
      <c r="E2501">
        <f>IF(ISBLANK('ENGAGEMENTS 2026'!B2501),"",'ENGAGEMENTS 2026'!H2501)</f>
        <v/>
      </c>
      <c r="F2501">
        <f>IF(ISBLANK('ENGAGEMENTS 2026'!B2501),"",'ENGAGEMENTS 2026'!I2501)</f>
        <v/>
      </c>
      <c r="G2501">
        <f>IF(ISBLANK('ENGAGEMENTS 2026'!B2501),"",'ENGAGEMENTS 2026'!L2501)</f>
        <v/>
      </c>
      <c r="H2501">
        <f>IF(ISBLANK('ENGAGEMENTS 2026'!B2501),"",'ENGAGEMENTS 2026'!AE2501)</f>
        <v/>
      </c>
      <c r="I2501">
        <f>IF(ISBLANK('ENGAGEMENTS 2026'!B2501),"",'ENGAGEMENTS 2026'!G2501)</f>
        <v/>
      </c>
      <c r="J2501" s="275">
        <f>IF(ISBLANK('ENGAGEMENTS 2026'!B2501),"",IF(AND(OR($E2501="INFRUCTUEUX",$E2501="ANNULE"),$C2501="AOO-M"),'ENGAGEMENTS 2026'!O2501,IF($H2501="EN COURS DE PREENGAGEMENT",'ENGAGEMENTS 2026'!N2501,IF($H2501="PREENGAGE",IF($E2501="ATTRIBUE",'ENGAGEMENTS 2026'!AD2501,'ENGAGEMENTS 2026'!N2501),'ENGAGEMENTS 2026'!AD2501))))</f>
        <v/>
      </c>
      <c r="K2501" s="604">
        <f>IF(ISBLANK('ENGAGEMENTS 2026'!V2501),"",'ENGAGEMENTS 2026'!V2501)</f>
        <v/>
      </c>
      <c r="L2501" s="276">
        <f>IF($K2501="","",TODAY()-$K2501)</f>
        <v/>
      </c>
      <c r="M2501">
        <f>IF($A2501="","",IF($H2501="ENGAGE","Engagé",IF(AND($H2501="NON ENGAGE",OR($I2501="INFRUCTUEUX",$I2501="ANNULE")),"Clôturé sans suite","En cours")))</f>
        <v/>
      </c>
      <c r="N2501">
        <f>IF(ISBLANK('ENGAGEMENTS 2026'!B2501),"",'ENGAGEMENTS 2026'!K2501)</f>
        <v/>
      </c>
      <c r="O2501">
        <f>IF(ISBLANK('ENGAGEMENTS 2026'!B2501),"",'ENGAGEMENTS 2026'!L2501)</f>
        <v/>
      </c>
      <c r="P2501">
        <f>IF(ISBLANK('ENGAGEMENTS 2026'!B2501),"",'ENGAGEMENTS 2026'!J2501)</f>
        <v/>
      </c>
      <c r="Q2501">
        <f>IF($A2501="","",IF(OR($E2501="INFRUCTUEUX",$E2501="ANNULE"),$A2501&amp;"|"&amp;(COUNTIFS($A$2:$A2501,$A2501,$E$2:$E2501,"INFRUCTUEUX")+COUNTIFS($A$2:$A2501,$A2501,$E$2:$E2501,"ANNULE")),""))</f>
        <v/>
      </c>
    </row>
    <row r="2502">
      <c r="A2502">
        <f>IF(ISBLANK('ENGAGEMENTS 2026'!B2502),"",IF('ENGAGEMENTS 2026'!B2502="DTSI","DCT",'ENGAGEMENTS 2026'!B2502))</f>
        <v/>
      </c>
      <c r="B2502">
        <f>IF(ISBLANK('ENGAGEMENTS 2026'!B2502),"",'ENGAGEMENTS 2026'!C2502)</f>
        <v/>
      </c>
      <c r="C2502">
        <f>IF(ISBLANK('ENGAGEMENTS 2026'!B2502),"",'ENGAGEMENTS 2026'!D2502)</f>
        <v/>
      </c>
      <c r="D2502">
        <f>IF(ISBLANK('ENGAGEMENTS 2026'!B2502),"",'ENGAGEMENTS 2026'!F2502)</f>
        <v/>
      </c>
      <c r="E2502">
        <f>IF(ISBLANK('ENGAGEMENTS 2026'!B2502),"",'ENGAGEMENTS 2026'!H2502)</f>
        <v/>
      </c>
      <c r="F2502">
        <f>IF(ISBLANK('ENGAGEMENTS 2026'!B2502),"",'ENGAGEMENTS 2026'!I2502)</f>
        <v/>
      </c>
      <c r="G2502">
        <f>IF(ISBLANK('ENGAGEMENTS 2026'!B2502),"",'ENGAGEMENTS 2026'!L2502)</f>
        <v/>
      </c>
      <c r="H2502">
        <f>IF(ISBLANK('ENGAGEMENTS 2026'!B2502),"",'ENGAGEMENTS 2026'!AE2502)</f>
        <v/>
      </c>
      <c r="I2502">
        <f>IF(ISBLANK('ENGAGEMENTS 2026'!B2502),"",'ENGAGEMENTS 2026'!G2502)</f>
        <v/>
      </c>
      <c r="J2502" s="275">
        <f>IF(ISBLANK('ENGAGEMENTS 2026'!B2502),"",IF(AND(OR($E2502="INFRUCTUEUX",$E2502="ANNULE"),$C2502="AOO-M"),'ENGAGEMENTS 2026'!O2502,IF($H2502="EN COURS DE PREENGAGEMENT",'ENGAGEMENTS 2026'!N2502,IF($H2502="PREENGAGE",IF($E2502="ATTRIBUE",'ENGAGEMENTS 2026'!AD2502,'ENGAGEMENTS 2026'!N2502),'ENGAGEMENTS 2026'!AD2502))))</f>
        <v/>
      </c>
      <c r="K2502" s="604">
        <f>IF(ISBLANK('ENGAGEMENTS 2026'!V2502),"",'ENGAGEMENTS 2026'!V2502)</f>
        <v/>
      </c>
      <c r="L2502" s="276">
        <f>IF($K2502="","",TODAY()-$K2502)</f>
        <v/>
      </c>
      <c r="M2502">
        <f>IF($A2502="","",IF($H2502="ENGAGE","Engagé",IF(AND($H2502="NON ENGAGE",OR($I2502="INFRUCTUEUX",$I2502="ANNULE")),"Clôturé sans suite","En cours")))</f>
        <v/>
      </c>
      <c r="N2502">
        <f>IF(ISBLANK('ENGAGEMENTS 2026'!B2502),"",'ENGAGEMENTS 2026'!K2502)</f>
        <v/>
      </c>
      <c r="O2502">
        <f>IF(ISBLANK('ENGAGEMENTS 2026'!B2502),"",'ENGAGEMENTS 2026'!L2502)</f>
        <v/>
      </c>
      <c r="P2502">
        <f>IF(ISBLANK('ENGAGEMENTS 2026'!B2502),"",'ENGAGEMENTS 2026'!J2502)</f>
        <v/>
      </c>
      <c r="Q2502">
        <f>IF($A2502="","",IF(OR($E2502="INFRUCTUEUX",$E2502="ANNULE"),$A2502&amp;"|"&amp;(COUNTIFS($A$2:$A2502,$A2502,$E$2:$E2502,"INFRUCTUEUX")+COUNTIFS($A$2:$A2502,$A2502,$E$2:$E2502,"ANNULE")),""))</f>
        <v/>
      </c>
    </row>
    <row r="2503">
      <c r="A2503">
        <f>IF(ISBLANK('ENGAGEMENTS 2026'!B2503),"",IF('ENGAGEMENTS 2026'!B2503="DTSI","DCT",'ENGAGEMENTS 2026'!B2503))</f>
        <v/>
      </c>
      <c r="B2503">
        <f>IF(ISBLANK('ENGAGEMENTS 2026'!B2503),"",'ENGAGEMENTS 2026'!C2503)</f>
        <v/>
      </c>
      <c r="C2503">
        <f>IF(ISBLANK('ENGAGEMENTS 2026'!B2503),"",'ENGAGEMENTS 2026'!D2503)</f>
        <v/>
      </c>
      <c r="D2503">
        <f>IF(ISBLANK('ENGAGEMENTS 2026'!B2503),"",'ENGAGEMENTS 2026'!F2503)</f>
        <v/>
      </c>
      <c r="E2503">
        <f>IF(ISBLANK('ENGAGEMENTS 2026'!B2503),"",'ENGAGEMENTS 2026'!H2503)</f>
        <v/>
      </c>
      <c r="F2503">
        <f>IF(ISBLANK('ENGAGEMENTS 2026'!B2503),"",'ENGAGEMENTS 2026'!I2503)</f>
        <v/>
      </c>
      <c r="G2503">
        <f>IF(ISBLANK('ENGAGEMENTS 2026'!B2503),"",'ENGAGEMENTS 2026'!L2503)</f>
        <v/>
      </c>
      <c r="H2503">
        <f>IF(ISBLANK('ENGAGEMENTS 2026'!B2503),"",'ENGAGEMENTS 2026'!AE2503)</f>
        <v/>
      </c>
      <c r="I2503">
        <f>IF(ISBLANK('ENGAGEMENTS 2026'!B2503),"",'ENGAGEMENTS 2026'!G2503)</f>
        <v/>
      </c>
      <c r="J2503" s="275">
        <f>IF(ISBLANK('ENGAGEMENTS 2026'!B2503),"",IF(AND(OR($E2503="INFRUCTUEUX",$E2503="ANNULE"),$C2503="AOO-M"),'ENGAGEMENTS 2026'!O2503,IF($H2503="EN COURS DE PREENGAGEMENT",'ENGAGEMENTS 2026'!N2503,IF($H2503="PREENGAGE",IF($E2503="ATTRIBUE",'ENGAGEMENTS 2026'!AD2503,'ENGAGEMENTS 2026'!N2503),'ENGAGEMENTS 2026'!AD2503))))</f>
        <v/>
      </c>
      <c r="K2503" s="604">
        <f>IF(ISBLANK('ENGAGEMENTS 2026'!V2503),"",'ENGAGEMENTS 2026'!V2503)</f>
        <v/>
      </c>
      <c r="L2503" s="276">
        <f>IF($K2503="","",TODAY()-$K2503)</f>
        <v/>
      </c>
      <c r="M2503">
        <f>IF($A2503="","",IF($H2503="ENGAGE","Engagé",IF(AND($H2503="NON ENGAGE",OR($I2503="INFRUCTUEUX",$I2503="ANNULE")),"Clôturé sans suite","En cours")))</f>
        <v/>
      </c>
      <c r="N2503">
        <f>IF(ISBLANK('ENGAGEMENTS 2026'!B2503),"",'ENGAGEMENTS 2026'!K2503)</f>
        <v/>
      </c>
      <c r="O2503">
        <f>IF(ISBLANK('ENGAGEMENTS 2026'!B2503),"",'ENGAGEMENTS 2026'!L2503)</f>
        <v/>
      </c>
      <c r="P2503">
        <f>IF(ISBLANK('ENGAGEMENTS 2026'!B2503),"",'ENGAGEMENTS 2026'!J2503)</f>
        <v/>
      </c>
      <c r="Q2503">
        <f>IF($A2503="","",IF(OR($E2503="INFRUCTUEUX",$E2503="ANNULE"),$A2503&amp;"|"&amp;(COUNTIFS($A$2:$A2503,$A2503,$E$2:$E2503,"INFRUCTUEUX")+COUNTIFS($A$2:$A2503,$A2503,$E$2:$E2503,"ANNULE")),""))</f>
        <v/>
      </c>
    </row>
    <row r="2504">
      <c r="A2504">
        <f>IF(ISBLANK('ENGAGEMENTS 2026'!B2504),"",IF('ENGAGEMENTS 2026'!B2504="DTSI","DCT",'ENGAGEMENTS 2026'!B2504))</f>
        <v/>
      </c>
      <c r="B2504">
        <f>IF(ISBLANK('ENGAGEMENTS 2026'!B2504),"",'ENGAGEMENTS 2026'!C2504)</f>
        <v/>
      </c>
      <c r="C2504">
        <f>IF(ISBLANK('ENGAGEMENTS 2026'!B2504),"",'ENGAGEMENTS 2026'!D2504)</f>
        <v/>
      </c>
      <c r="D2504">
        <f>IF(ISBLANK('ENGAGEMENTS 2026'!B2504),"",'ENGAGEMENTS 2026'!F2504)</f>
        <v/>
      </c>
      <c r="E2504">
        <f>IF(ISBLANK('ENGAGEMENTS 2026'!B2504),"",'ENGAGEMENTS 2026'!H2504)</f>
        <v/>
      </c>
      <c r="F2504">
        <f>IF(ISBLANK('ENGAGEMENTS 2026'!B2504),"",'ENGAGEMENTS 2026'!I2504)</f>
        <v/>
      </c>
      <c r="G2504">
        <f>IF(ISBLANK('ENGAGEMENTS 2026'!B2504),"",'ENGAGEMENTS 2026'!L2504)</f>
        <v/>
      </c>
      <c r="H2504">
        <f>IF(ISBLANK('ENGAGEMENTS 2026'!B2504),"",'ENGAGEMENTS 2026'!AE2504)</f>
        <v/>
      </c>
      <c r="I2504">
        <f>IF(ISBLANK('ENGAGEMENTS 2026'!B2504),"",'ENGAGEMENTS 2026'!G2504)</f>
        <v/>
      </c>
      <c r="J2504" s="275">
        <f>IF(ISBLANK('ENGAGEMENTS 2026'!B2504),"",IF(AND(OR($E2504="INFRUCTUEUX",$E2504="ANNULE"),$C2504="AOO-M"),'ENGAGEMENTS 2026'!O2504,IF($H2504="EN COURS DE PREENGAGEMENT",'ENGAGEMENTS 2026'!N2504,IF($H2504="PREENGAGE",IF($E2504="ATTRIBUE",'ENGAGEMENTS 2026'!AD2504,'ENGAGEMENTS 2026'!N2504),'ENGAGEMENTS 2026'!AD2504))))</f>
        <v/>
      </c>
      <c r="K2504" s="604">
        <f>IF(ISBLANK('ENGAGEMENTS 2026'!V2504),"",'ENGAGEMENTS 2026'!V2504)</f>
        <v/>
      </c>
      <c r="L2504" s="276">
        <f>IF($K2504="","",TODAY()-$K2504)</f>
        <v/>
      </c>
      <c r="M2504">
        <f>IF($A2504="","",IF($H2504="ENGAGE","Engagé",IF(AND($H2504="NON ENGAGE",OR($I2504="INFRUCTUEUX",$I2504="ANNULE")),"Clôturé sans suite","En cours")))</f>
        <v/>
      </c>
      <c r="N2504">
        <f>IF(ISBLANK('ENGAGEMENTS 2026'!B2504),"",'ENGAGEMENTS 2026'!K2504)</f>
        <v/>
      </c>
      <c r="O2504">
        <f>IF(ISBLANK('ENGAGEMENTS 2026'!B2504),"",'ENGAGEMENTS 2026'!L2504)</f>
        <v/>
      </c>
      <c r="P2504">
        <f>IF(ISBLANK('ENGAGEMENTS 2026'!B2504),"",'ENGAGEMENTS 2026'!J2504)</f>
        <v/>
      </c>
      <c r="Q2504">
        <f>IF($A2504="","",IF(OR($E2504="INFRUCTUEUX",$E2504="ANNULE"),$A2504&amp;"|"&amp;(COUNTIFS($A$2:$A2504,$A2504,$E$2:$E2504,"INFRUCTUEUX")+COUNTIFS($A$2:$A2504,$A2504,$E$2:$E2504,"ANNULE")),""))</f>
        <v/>
      </c>
    </row>
    <row r="2505">
      <c r="A2505">
        <f>IF(ISBLANK('ENGAGEMENTS 2026'!B2505),"",IF('ENGAGEMENTS 2026'!B2505="DTSI","DCT",'ENGAGEMENTS 2026'!B2505))</f>
        <v/>
      </c>
      <c r="B2505">
        <f>IF(ISBLANK('ENGAGEMENTS 2026'!B2505),"",'ENGAGEMENTS 2026'!C2505)</f>
        <v/>
      </c>
      <c r="C2505">
        <f>IF(ISBLANK('ENGAGEMENTS 2026'!B2505),"",'ENGAGEMENTS 2026'!D2505)</f>
        <v/>
      </c>
      <c r="D2505">
        <f>IF(ISBLANK('ENGAGEMENTS 2026'!B2505),"",'ENGAGEMENTS 2026'!F2505)</f>
        <v/>
      </c>
      <c r="E2505">
        <f>IF(ISBLANK('ENGAGEMENTS 2026'!B2505),"",'ENGAGEMENTS 2026'!H2505)</f>
        <v/>
      </c>
      <c r="F2505">
        <f>IF(ISBLANK('ENGAGEMENTS 2026'!B2505),"",'ENGAGEMENTS 2026'!I2505)</f>
        <v/>
      </c>
      <c r="G2505">
        <f>IF(ISBLANK('ENGAGEMENTS 2026'!B2505),"",'ENGAGEMENTS 2026'!L2505)</f>
        <v/>
      </c>
      <c r="H2505">
        <f>IF(ISBLANK('ENGAGEMENTS 2026'!B2505),"",'ENGAGEMENTS 2026'!AE2505)</f>
        <v/>
      </c>
      <c r="I2505">
        <f>IF(ISBLANK('ENGAGEMENTS 2026'!B2505),"",'ENGAGEMENTS 2026'!G2505)</f>
        <v/>
      </c>
      <c r="J2505" s="275">
        <f>IF(ISBLANK('ENGAGEMENTS 2026'!B2505),"",IF(AND(OR($E2505="INFRUCTUEUX",$E2505="ANNULE"),$C2505="AOO-M"),'ENGAGEMENTS 2026'!O2505,IF($H2505="EN COURS DE PREENGAGEMENT",'ENGAGEMENTS 2026'!N2505,IF($H2505="PREENGAGE",IF($E2505="ATTRIBUE",'ENGAGEMENTS 2026'!AD2505,'ENGAGEMENTS 2026'!N2505),'ENGAGEMENTS 2026'!AD2505))))</f>
        <v/>
      </c>
      <c r="K2505" s="604">
        <f>IF(ISBLANK('ENGAGEMENTS 2026'!V2505),"",'ENGAGEMENTS 2026'!V2505)</f>
        <v/>
      </c>
      <c r="L2505" s="276">
        <f>IF($K2505="","",TODAY()-$K2505)</f>
        <v/>
      </c>
      <c r="M2505">
        <f>IF($A2505="","",IF($H2505="ENGAGE","Engagé",IF(AND($H2505="NON ENGAGE",OR($I2505="INFRUCTUEUX",$I2505="ANNULE")),"Clôturé sans suite","En cours")))</f>
        <v/>
      </c>
      <c r="N2505">
        <f>IF(ISBLANK('ENGAGEMENTS 2026'!B2505),"",'ENGAGEMENTS 2026'!K2505)</f>
        <v/>
      </c>
      <c r="O2505">
        <f>IF(ISBLANK('ENGAGEMENTS 2026'!B2505),"",'ENGAGEMENTS 2026'!L2505)</f>
        <v/>
      </c>
      <c r="P2505">
        <f>IF(ISBLANK('ENGAGEMENTS 2026'!B2505),"",'ENGAGEMENTS 2026'!J2505)</f>
        <v/>
      </c>
      <c r="Q2505">
        <f>IF($A2505="","",IF(OR($E2505="INFRUCTUEUX",$E2505="ANNULE"),$A2505&amp;"|"&amp;(COUNTIFS($A$2:$A2505,$A2505,$E$2:$E2505,"INFRUCTUEUX")+COUNTIFS($A$2:$A2505,$A2505,$E$2:$E2505,"ANNULE")),""))</f>
        <v/>
      </c>
    </row>
    <row r="2506">
      <c r="A2506">
        <f>IF(ISBLANK('ENGAGEMENTS 2026'!B2506),"",IF('ENGAGEMENTS 2026'!B2506="DTSI","DCT",'ENGAGEMENTS 2026'!B2506))</f>
        <v/>
      </c>
      <c r="B2506">
        <f>IF(ISBLANK('ENGAGEMENTS 2026'!B2506),"",'ENGAGEMENTS 2026'!C2506)</f>
        <v/>
      </c>
      <c r="C2506">
        <f>IF(ISBLANK('ENGAGEMENTS 2026'!B2506),"",'ENGAGEMENTS 2026'!D2506)</f>
        <v/>
      </c>
      <c r="D2506">
        <f>IF(ISBLANK('ENGAGEMENTS 2026'!B2506),"",'ENGAGEMENTS 2026'!F2506)</f>
        <v/>
      </c>
      <c r="E2506">
        <f>IF(ISBLANK('ENGAGEMENTS 2026'!B2506),"",'ENGAGEMENTS 2026'!H2506)</f>
        <v/>
      </c>
      <c r="F2506">
        <f>IF(ISBLANK('ENGAGEMENTS 2026'!B2506),"",'ENGAGEMENTS 2026'!I2506)</f>
        <v/>
      </c>
      <c r="G2506">
        <f>IF(ISBLANK('ENGAGEMENTS 2026'!B2506),"",'ENGAGEMENTS 2026'!L2506)</f>
        <v/>
      </c>
      <c r="H2506">
        <f>IF(ISBLANK('ENGAGEMENTS 2026'!B2506),"",'ENGAGEMENTS 2026'!AE2506)</f>
        <v/>
      </c>
      <c r="I2506">
        <f>IF(ISBLANK('ENGAGEMENTS 2026'!B2506),"",'ENGAGEMENTS 2026'!G2506)</f>
        <v/>
      </c>
      <c r="J2506" s="275">
        <f>IF(ISBLANK('ENGAGEMENTS 2026'!B2506),"",IF(AND(OR($E2506="INFRUCTUEUX",$E2506="ANNULE"),$C2506="AOO-M"),'ENGAGEMENTS 2026'!O2506,IF($H2506="EN COURS DE PREENGAGEMENT",'ENGAGEMENTS 2026'!N2506,IF($H2506="PREENGAGE",IF($E2506="ATTRIBUE",'ENGAGEMENTS 2026'!AD2506,'ENGAGEMENTS 2026'!N2506),'ENGAGEMENTS 2026'!AD2506))))</f>
        <v/>
      </c>
      <c r="K2506" s="604">
        <f>IF(ISBLANK('ENGAGEMENTS 2026'!V2506),"",'ENGAGEMENTS 2026'!V2506)</f>
        <v/>
      </c>
      <c r="L2506" s="276">
        <f>IF($K2506="","",TODAY()-$K2506)</f>
        <v/>
      </c>
      <c r="M2506">
        <f>IF($A2506="","",IF($H2506="ENGAGE","Engagé",IF(AND($H2506="NON ENGAGE",OR($I2506="INFRUCTUEUX",$I2506="ANNULE")),"Clôturé sans suite","En cours")))</f>
        <v/>
      </c>
      <c r="N2506">
        <f>IF(ISBLANK('ENGAGEMENTS 2026'!B2506),"",'ENGAGEMENTS 2026'!K2506)</f>
        <v/>
      </c>
      <c r="O2506">
        <f>IF(ISBLANK('ENGAGEMENTS 2026'!B2506),"",'ENGAGEMENTS 2026'!L2506)</f>
        <v/>
      </c>
      <c r="P2506">
        <f>IF(ISBLANK('ENGAGEMENTS 2026'!B2506),"",'ENGAGEMENTS 2026'!J2506)</f>
        <v/>
      </c>
      <c r="Q2506">
        <f>IF($A2506="","",IF(OR($E2506="INFRUCTUEUX",$E2506="ANNULE"),$A2506&amp;"|"&amp;(COUNTIFS($A$2:$A2506,$A2506,$E$2:$E2506,"INFRUCTUEUX")+COUNTIFS($A$2:$A2506,$A2506,$E$2:$E2506,"ANNULE")),""))</f>
        <v/>
      </c>
    </row>
    <row r="2507">
      <c r="A2507">
        <f>IF(ISBLANK('ENGAGEMENTS 2026'!B2507),"",IF('ENGAGEMENTS 2026'!B2507="DTSI","DCT",'ENGAGEMENTS 2026'!B2507))</f>
        <v/>
      </c>
      <c r="B2507">
        <f>IF(ISBLANK('ENGAGEMENTS 2026'!B2507),"",'ENGAGEMENTS 2026'!C2507)</f>
        <v/>
      </c>
      <c r="C2507">
        <f>IF(ISBLANK('ENGAGEMENTS 2026'!B2507),"",'ENGAGEMENTS 2026'!D2507)</f>
        <v/>
      </c>
      <c r="D2507">
        <f>IF(ISBLANK('ENGAGEMENTS 2026'!B2507),"",'ENGAGEMENTS 2026'!F2507)</f>
        <v/>
      </c>
      <c r="E2507">
        <f>IF(ISBLANK('ENGAGEMENTS 2026'!B2507),"",'ENGAGEMENTS 2026'!H2507)</f>
        <v/>
      </c>
      <c r="F2507">
        <f>IF(ISBLANK('ENGAGEMENTS 2026'!B2507),"",'ENGAGEMENTS 2026'!I2507)</f>
        <v/>
      </c>
      <c r="G2507">
        <f>IF(ISBLANK('ENGAGEMENTS 2026'!B2507),"",'ENGAGEMENTS 2026'!L2507)</f>
        <v/>
      </c>
      <c r="H2507">
        <f>IF(ISBLANK('ENGAGEMENTS 2026'!B2507),"",'ENGAGEMENTS 2026'!AE2507)</f>
        <v/>
      </c>
      <c r="I2507">
        <f>IF(ISBLANK('ENGAGEMENTS 2026'!B2507),"",'ENGAGEMENTS 2026'!G2507)</f>
        <v/>
      </c>
      <c r="J2507" s="275">
        <f>IF(ISBLANK('ENGAGEMENTS 2026'!B2507),"",IF(AND(OR($E2507="INFRUCTUEUX",$E2507="ANNULE"),$C2507="AOO-M"),'ENGAGEMENTS 2026'!O2507,IF($H2507="EN COURS DE PREENGAGEMENT",'ENGAGEMENTS 2026'!N2507,IF($H2507="PREENGAGE",IF($E2507="ATTRIBUE",'ENGAGEMENTS 2026'!AD2507,'ENGAGEMENTS 2026'!N2507),'ENGAGEMENTS 2026'!AD2507))))</f>
        <v/>
      </c>
      <c r="K2507" s="604">
        <f>IF(ISBLANK('ENGAGEMENTS 2026'!V2507),"",'ENGAGEMENTS 2026'!V2507)</f>
        <v/>
      </c>
      <c r="L2507" s="276">
        <f>IF($K2507="","",TODAY()-$K2507)</f>
        <v/>
      </c>
      <c r="M2507">
        <f>IF($A2507="","",IF($H2507="ENGAGE","Engagé",IF(AND($H2507="NON ENGAGE",OR($I2507="INFRUCTUEUX",$I2507="ANNULE")),"Clôturé sans suite","En cours")))</f>
        <v/>
      </c>
      <c r="N2507">
        <f>IF(ISBLANK('ENGAGEMENTS 2026'!B2507),"",'ENGAGEMENTS 2026'!K2507)</f>
        <v/>
      </c>
      <c r="O2507">
        <f>IF(ISBLANK('ENGAGEMENTS 2026'!B2507),"",'ENGAGEMENTS 2026'!L2507)</f>
        <v/>
      </c>
      <c r="P2507">
        <f>IF(ISBLANK('ENGAGEMENTS 2026'!B2507),"",'ENGAGEMENTS 2026'!J2507)</f>
        <v/>
      </c>
      <c r="Q2507">
        <f>IF($A2507="","",IF(OR($E2507="INFRUCTUEUX",$E2507="ANNULE"),$A2507&amp;"|"&amp;(COUNTIFS($A$2:$A2507,$A2507,$E$2:$E2507,"INFRUCTUEUX")+COUNTIFS($A$2:$A2507,$A2507,$E$2:$E2507,"ANNULE")),""))</f>
        <v/>
      </c>
    </row>
    <row r="2508">
      <c r="A2508">
        <f>IF(ISBLANK('ENGAGEMENTS 2026'!B2508),"",IF('ENGAGEMENTS 2026'!B2508="DTSI","DCT",'ENGAGEMENTS 2026'!B2508))</f>
        <v/>
      </c>
      <c r="B2508">
        <f>IF(ISBLANK('ENGAGEMENTS 2026'!B2508),"",'ENGAGEMENTS 2026'!C2508)</f>
        <v/>
      </c>
      <c r="C2508">
        <f>IF(ISBLANK('ENGAGEMENTS 2026'!B2508),"",'ENGAGEMENTS 2026'!D2508)</f>
        <v/>
      </c>
      <c r="D2508">
        <f>IF(ISBLANK('ENGAGEMENTS 2026'!B2508),"",'ENGAGEMENTS 2026'!F2508)</f>
        <v/>
      </c>
      <c r="E2508">
        <f>IF(ISBLANK('ENGAGEMENTS 2026'!B2508),"",'ENGAGEMENTS 2026'!H2508)</f>
        <v/>
      </c>
      <c r="F2508">
        <f>IF(ISBLANK('ENGAGEMENTS 2026'!B2508),"",'ENGAGEMENTS 2026'!I2508)</f>
        <v/>
      </c>
      <c r="G2508">
        <f>IF(ISBLANK('ENGAGEMENTS 2026'!B2508),"",'ENGAGEMENTS 2026'!L2508)</f>
        <v/>
      </c>
      <c r="H2508">
        <f>IF(ISBLANK('ENGAGEMENTS 2026'!B2508),"",'ENGAGEMENTS 2026'!AE2508)</f>
        <v/>
      </c>
      <c r="I2508">
        <f>IF(ISBLANK('ENGAGEMENTS 2026'!B2508),"",'ENGAGEMENTS 2026'!G2508)</f>
        <v/>
      </c>
      <c r="J2508" s="275">
        <f>IF(ISBLANK('ENGAGEMENTS 2026'!B2508),"",IF(AND(OR($E2508="INFRUCTUEUX",$E2508="ANNULE"),$C2508="AOO-M"),'ENGAGEMENTS 2026'!O2508,IF($H2508="EN COURS DE PREENGAGEMENT",'ENGAGEMENTS 2026'!N2508,IF($H2508="PREENGAGE",IF($E2508="ATTRIBUE",'ENGAGEMENTS 2026'!AD2508,'ENGAGEMENTS 2026'!N2508),'ENGAGEMENTS 2026'!AD2508))))</f>
        <v/>
      </c>
      <c r="K2508" s="604">
        <f>IF(ISBLANK('ENGAGEMENTS 2026'!V2508),"",'ENGAGEMENTS 2026'!V2508)</f>
        <v/>
      </c>
      <c r="L2508" s="276">
        <f>IF($K2508="","",TODAY()-$K2508)</f>
        <v/>
      </c>
      <c r="M2508">
        <f>IF($A2508="","",IF($H2508="ENGAGE","Engagé",IF(AND($H2508="NON ENGAGE",OR($I2508="INFRUCTUEUX",$I2508="ANNULE")),"Clôturé sans suite","En cours")))</f>
        <v/>
      </c>
      <c r="N2508">
        <f>IF(ISBLANK('ENGAGEMENTS 2026'!B2508),"",'ENGAGEMENTS 2026'!K2508)</f>
        <v/>
      </c>
      <c r="O2508">
        <f>IF(ISBLANK('ENGAGEMENTS 2026'!B2508),"",'ENGAGEMENTS 2026'!L2508)</f>
        <v/>
      </c>
      <c r="P2508">
        <f>IF(ISBLANK('ENGAGEMENTS 2026'!B2508),"",'ENGAGEMENTS 2026'!J2508)</f>
        <v/>
      </c>
      <c r="Q2508">
        <f>IF($A2508="","",IF(OR($E2508="INFRUCTUEUX",$E2508="ANNULE"),$A2508&amp;"|"&amp;(COUNTIFS($A$2:$A2508,$A2508,$E$2:$E2508,"INFRUCTUEUX")+COUNTIFS($A$2:$A2508,$A2508,$E$2:$E2508,"ANNULE")),""))</f>
        <v/>
      </c>
    </row>
    <row r="2509">
      <c r="A2509">
        <f>IF(ISBLANK('ENGAGEMENTS 2026'!B2509),"",IF('ENGAGEMENTS 2026'!B2509="DTSI","DCT",'ENGAGEMENTS 2026'!B2509))</f>
        <v/>
      </c>
      <c r="B2509">
        <f>IF(ISBLANK('ENGAGEMENTS 2026'!B2509),"",'ENGAGEMENTS 2026'!C2509)</f>
        <v/>
      </c>
      <c r="C2509">
        <f>IF(ISBLANK('ENGAGEMENTS 2026'!B2509),"",'ENGAGEMENTS 2026'!D2509)</f>
        <v/>
      </c>
      <c r="D2509">
        <f>IF(ISBLANK('ENGAGEMENTS 2026'!B2509),"",'ENGAGEMENTS 2026'!F2509)</f>
        <v/>
      </c>
      <c r="E2509">
        <f>IF(ISBLANK('ENGAGEMENTS 2026'!B2509),"",'ENGAGEMENTS 2026'!H2509)</f>
        <v/>
      </c>
      <c r="F2509">
        <f>IF(ISBLANK('ENGAGEMENTS 2026'!B2509),"",'ENGAGEMENTS 2026'!I2509)</f>
        <v/>
      </c>
      <c r="G2509">
        <f>IF(ISBLANK('ENGAGEMENTS 2026'!B2509),"",'ENGAGEMENTS 2026'!L2509)</f>
        <v/>
      </c>
      <c r="H2509">
        <f>IF(ISBLANK('ENGAGEMENTS 2026'!B2509),"",'ENGAGEMENTS 2026'!AE2509)</f>
        <v/>
      </c>
      <c r="I2509">
        <f>IF(ISBLANK('ENGAGEMENTS 2026'!B2509),"",'ENGAGEMENTS 2026'!G2509)</f>
        <v/>
      </c>
      <c r="J2509" s="275">
        <f>IF(ISBLANK('ENGAGEMENTS 2026'!B2509),"",IF(AND(OR($E2509="INFRUCTUEUX",$E2509="ANNULE"),$C2509="AOO-M"),'ENGAGEMENTS 2026'!O2509,IF($H2509="EN COURS DE PREENGAGEMENT",'ENGAGEMENTS 2026'!N2509,IF($H2509="PREENGAGE",IF($E2509="ATTRIBUE",'ENGAGEMENTS 2026'!AD2509,'ENGAGEMENTS 2026'!N2509),'ENGAGEMENTS 2026'!AD2509))))</f>
        <v/>
      </c>
      <c r="K2509" s="604">
        <f>IF(ISBLANK('ENGAGEMENTS 2026'!V2509),"",'ENGAGEMENTS 2026'!V2509)</f>
        <v/>
      </c>
      <c r="L2509" s="276">
        <f>IF($K2509="","",TODAY()-$K2509)</f>
        <v/>
      </c>
      <c r="M2509">
        <f>IF($A2509="","",IF($H2509="ENGAGE","Engagé",IF(AND($H2509="NON ENGAGE",OR($I2509="INFRUCTUEUX",$I2509="ANNULE")),"Clôturé sans suite","En cours")))</f>
        <v/>
      </c>
      <c r="N2509">
        <f>IF(ISBLANK('ENGAGEMENTS 2026'!B2509),"",'ENGAGEMENTS 2026'!K2509)</f>
        <v/>
      </c>
      <c r="O2509">
        <f>IF(ISBLANK('ENGAGEMENTS 2026'!B2509),"",'ENGAGEMENTS 2026'!L2509)</f>
        <v/>
      </c>
      <c r="P2509">
        <f>IF(ISBLANK('ENGAGEMENTS 2026'!B2509),"",'ENGAGEMENTS 2026'!J2509)</f>
        <v/>
      </c>
      <c r="Q2509">
        <f>IF($A2509="","",IF(OR($E2509="INFRUCTUEUX",$E2509="ANNULE"),$A2509&amp;"|"&amp;(COUNTIFS($A$2:$A2509,$A2509,$E$2:$E2509,"INFRUCTUEUX")+COUNTIFS($A$2:$A2509,$A2509,$E$2:$E2509,"ANNULE")),""))</f>
        <v/>
      </c>
    </row>
    <row r="2510">
      <c r="A2510">
        <f>IF(ISBLANK('ENGAGEMENTS 2026'!B2510),"",IF('ENGAGEMENTS 2026'!B2510="DTSI","DCT",'ENGAGEMENTS 2026'!B2510))</f>
        <v/>
      </c>
      <c r="B2510">
        <f>IF(ISBLANK('ENGAGEMENTS 2026'!B2510),"",'ENGAGEMENTS 2026'!C2510)</f>
        <v/>
      </c>
      <c r="C2510">
        <f>IF(ISBLANK('ENGAGEMENTS 2026'!B2510),"",'ENGAGEMENTS 2026'!D2510)</f>
        <v/>
      </c>
      <c r="D2510">
        <f>IF(ISBLANK('ENGAGEMENTS 2026'!B2510),"",'ENGAGEMENTS 2026'!F2510)</f>
        <v/>
      </c>
      <c r="E2510">
        <f>IF(ISBLANK('ENGAGEMENTS 2026'!B2510),"",'ENGAGEMENTS 2026'!H2510)</f>
        <v/>
      </c>
      <c r="F2510">
        <f>IF(ISBLANK('ENGAGEMENTS 2026'!B2510),"",'ENGAGEMENTS 2026'!I2510)</f>
        <v/>
      </c>
      <c r="G2510">
        <f>IF(ISBLANK('ENGAGEMENTS 2026'!B2510),"",'ENGAGEMENTS 2026'!L2510)</f>
        <v/>
      </c>
      <c r="H2510">
        <f>IF(ISBLANK('ENGAGEMENTS 2026'!B2510),"",'ENGAGEMENTS 2026'!AE2510)</f>
        <v/>
      </c>
      <c r="I2510">
        <f>IF(ISBLANK('ENGAGEMENTS 2026'!B2510),"",'ENGAGEMENTS 2026'!G2510)</f>
        <v/>
      </c>
      <c r="J2510" s="275">
        <f>IF(ISBLANK('ENGAGEMENTS 2026'!B2510),"",IF(AND(OR($E2510="INFRUCTUEUX",$E2510="ANNULE"),$C2510="AOO-M"),'ENGAGEMENTS 2026'!O2510,IF($H2510="EN COURS DE PREENGAGEMENT",'ENGAGEMENTS 2026'!N2510,IF($H2510="PREENGAGE",IF($E2510="ATTRIBUE",'ENGAGEMENTS 2026'!AD2510,'ENGAGEMENTS 2026'!N2510),'ENGAGEMENTS 2026'!AD2510))))</f>
        <v/>
      </c>
      <c r="K2510" s="604">
        <f>IF(ISBLANK('ENGAGEMENTS 2026'!V2510),"",'ENGAGEMENTS 2026'!V2510)</f>
        <v/>
      </c>
      <c r="L2510" s="276">
        <f>IF($K2510="","",TODAY()-$K2510)</f>
        <v/>
      </c>
      <c r="M2510">
        <f>IF($A2510="","",IF($H2510="ENGAGE","Engagé",IF(AND($H2510="NON ENGAGE",OR($I2510="INFRUCTUEUX",$I2510="ANNULE")),"Clôturé sans suite","En cours")))</f>
        <v/>
      </c>
      <c r="N2510">
        <f>IF(ISBLANK('ENGAGEMENTS 2026'!B2510),"",'ENGAGEMENTS 2026'!K2510)</f>
        <v/>
      </c>
      <c r="O2510">
        <f>IF(ISBLANK('ENGAGEMENTS 2026'!B2510),"",'ENGAGEMENTS 2026'!L2510)</f>
        <v/>
      </c>
      <c r="P2510">
        <f>IF(ISBLANK('ENGAGEMENTS 2026'!B2510),"",'ENGAGEMENTS 2026'!J2510)</f>
        <v/>
      </c>
      <c r="Q2510">
        <f>IF($A2510="","",IF(OR($E2510="INFRUCTUEUX",$E2510="ANNULE"),$A2510&amp;"|"&amp;(COUNTIFS($A$2:$A2510,$A2510,$E$2:$E2510,"INFRUCTUEUX")+COUNTIFS($A$2:$A2510,$A2510,$E$2:$E2510,"ANNULE")),""))</f>
        <v/>
      </c>
    </row>
    <row r="2511">
      <c r="A2511">
        <f>IF(ISBLANK('ENGAGEMENTS 2026'!B2511),"",IF('ENGAGEMENTS 2026'!B2511="DTSI","DCT",'ENGAGEMENTS 2026'!B2511))</f>
        <v/>
      </c>
      <c r="B2511">
        <f>IF(ISBLANK('ENGAGEMENTS 2026'!B2511),"",'ENGAGEMENTS 2026'!C2511)</f>
        <v/>
      </c>
      <c r="C2511">
        <f>IF(ISBLANK('ENGAGEMENTS 2026'!B2511),"",'ENGAGEMENTS 2026'!D2511)</f>
        <v/>
      </c>
      <c r="D2511">
        <f>IF(ISBLANK('ENGAGEMENTS 2026'!B2511),"",'ENGAGEMENTS 2026'!F2511)</f>
        <v/>
      </c>
      <c r="E2511">
        <f>IF(ISBLANK('ENGAGEMENTS 2026'!B2511),"",'ENGAGEMENTS 2026'!H2511)</f>
        <v/>
      </c>
      <c r="F2511">
        <f>IF(ISBLANK('ENGAGEMENTS 2026'!B2511),"",'ENGAGEMENTS 2026'!I2511)</f>
        <v/>
      </c>
      <c r="G2511">
        <f>IF(ISBLANK('ENGAGEMENTS 2026'!B2511),"",'ENGAGEMENTS 2026'!L2511)</f>
        <v/>
      </c>
      <c r="H2511">
        <f>IF(ISBLANK('ENGAGEMENTS 2026'!B2511),"",'ENGAGEMENTS 2026'!AE2511)</f>
        <v/>
      </c>
      <c r="I2511">
        <f>IF(ISBLANK('ENGAGEMENTS 2026'!B2511),"",'ENGAGEMENTS 2026'!G2511)</f>
        <v/>
      </c>
      <c r="J2511" s="275">
        <f>IF(ISBLANK('ENGAGEMENTS 2026'!B2511),"",IF(AND(OR($E2511="INFRUCTUEUX",$E2511="ANNULE"),$C2511="AOO-M"),'ENGAGEMENTS 2026'!O2511,IF($H2511="EN COURS DE PREENGAGEMENT",'ENGAGEMENTS 2026'!N2511,IF($H2511="PREENGAGE",IF($E2511="ATTRIBUE",'ENGAGEMENTS 2026'!AD2511,'ENGAGEMENTS 2026'!N2511),'ENGAGEMENTS 2026'!AD2511))))</f>
        <v/>
      </c>
      <c r="K2511" s="604">
        <f>IF(ISBLANK('ENGAGEMENTS 2026'!V2511),"",'ENGAGEMENTS 2026'!V2511)</f>
        <v/>
      </c>
      <c r="L2511" s="276">
        <f>IF($K2511="","",TODAY()-$K2511)</f>
        <v/>
      </c>
      <c r="M2511">
        <f>IF($A2511="","",IF($H2511="ENGAGE","Engagé",IF(AND($H2511="NON ENGAGE",OR($I2511="INFRUCTUEUX",$I2511="ANNULE")),"Clôturé sans suite","En cours")))</f>
        <v/>
      </c>
      <c r="N2511">
        <f>IF(ISBLANK('ENGAGEMENTS 2026'!B2511),"",'ENGAGEMENTS 2026'!K2511)</f>
        <v/>
      </c>
      <c r="O2511">
        <f>IF(ISBLANK('ENGAGEMENTS 2026'!B2511),"",'ENGAGEMENTS 2026'!L2511)</f>
        <v/>
      </c>
      <c r="P2511">
        <f>IF(ISBLANK('ENGAGEMENTS 2026'!B2511),"",'ENGAGEMENTS 2026'!J2511)</f>
        <v/>
      </c>
      <c r="Q2511">
        <f>IF($A2511="","",IF(OR($E2511="INFRUCTUEUX",$E2511="ANNULE"),$A2511&amp;"|"&amp;(COUNTIFS($A$2:$A2511,$A2511,$E$2:$E2511,"INFRUCTUEUX")+COUNTIFS($A$2:$A2511,$A2511,$E$2:$E2511,"ANNULE")),""))</f>
        <v/>
      </c>
    </row>
    <row r="2512">
      <c r="A2512">
        <f>IF(ISBLANK('ENGAGEMENTS 2026'!B2512),"",IF('ENGAGEMENTS 2026'!B2512="DTSI","DCT",'ENGAGEMENTS 2026'!B2512))</f>
        <v/>
      </c>
      <c r="B2512">
        <f>IF(ISBLANK('ENGAGEMENTS 2026'!B2512),"",'ENGAGEMENTS 2026'!C2512)</f>
        <v/>
      </c>
      <c r="C2512">
        <f>IF(ISBLANK('ENGAGEMENTS 2026'!B2512),"",'ENGAGEMENTS 2026'!D2512)</f>
        <v/>
      </c>
      <c r="D2512">
        <f>IF(ISBLANK('ENGAGEMENTS 2026'!B2512),"",'ENGAGEMENTS 2026'!F2512)</f>
        <v/>
      </c>
      <c r="E2512">
        <f>IF(ISBLANK('ENGAGEMENTS 2026'!B2512),"",'ENGAGEMENTS 2026'!H2512)</f>
        <v/>
      </c>
      <c r="F2512">
        <f>IF(ISBLANK('ENGAGEMENTS 2026'!B2512),"",'ENGAGEMENTS 2026'!I2512)</f>
        <v/>
      </c>
      <c r="G2512">
        <f>IF(ISBLANK('ENGAGEMENTS 2026'!B2512),"",'ENGAGEMENTS 2026'!L2512)</f>
        <v/>
      </c>
      <c r="H2512">
        <f>IF(ISBLANK('ENGAGEMENTS 2026'!B2512),"",'ENGAGEMENTS 2026'!AE2512)</f>
        <v/>
      </c>
      <c r="I2512">
        <f>IF(ISBLANK('ENGAGEMENTS 2026'!B2512),"",'ENGAGEMENTS 2026'!G2512)</f>
        <v/>
      </c>
      <c r="J2512" s="275">
        <f>IF(ISBLANK('ENGAGEMENTS 2026'!B2512),"",IF(AND(OR($E2512="INFRUCTUEUX",$E2512="ANNULE"),$C2512="AOO-M"),'ENGAGEMENTS 2026'!O2512,IF($H2512="EN COURS DE PREENGAGEMENT",'ENGAGEMENTS 2026'!N2512,IF($H2512="PREENGAGE",IF($E2512="ATTRIBUE",'ENGAGEMENTS 2026'!AD2512,'ENGAGEMENTS 2026'!N2512),'ENGAGEMENTS 2026'!AD2512))))</f>
        <v/>
      </c>
      <c r="K2512" s="604">
        <f>IF(ISBLANK('ENGAGEMENTS 2026'!V2512),"",'ENGAGEMENTS 2026'!V2512)</f>
        <v/>
      </c>
      <c r="L2512" s="276">
        <f>IF($K2512="","",TODAY()-$K2512)</f>
        <v/>
      </c>
      <c r="M2512">
        <f>IF($A2512="","",IF($H2512="ENGAGE","Engagé",IF(AND($H2512="NON ENGAGE",OR($I2512="INFRUCTUEUX",$I2512="ANNULE")),"Clôturé sans suite","En cours")))</f>
        <v/>
      </c>
      <c r="N2512">
        <f>IF(ISBLANK('ENGAGEMENTS 2026'!B2512),"",'ENGAGEMENTS 2026'!K2512)</f>
        <v/>
      </c>
      <c r="O2512">
        <f>IF(ISBLANK('ENGAGEMENTS 2026'!B2512),"",'ENGAGEMENTS 2026'!L2512)</f>
        <v/>
      </c>
      <c r="P2512">
        <f>IF(ISBLANK('ENGAGEMENTS 2026'!B2512),"",'ENGAGEMENTS 2026'!J2512)</f>
        <v/>
      </c>
      <c r="Q2512">
        <f>IF($A2512="","",IF(OR($E2512="INFRUCTUEUX",$E2512="ANNULE"),$A2512&amp;"|"&amp;(COUNTIFS($A$2:$A2512,$A2512,$E$2:$E2512,"INFRUCTUEUX")+COUNTIFS($A$2:$A2512,$A2512,$E$2:$E2512,"ANNULE")),""))</f>
        <v/>
      </c>
    </row>
    <row r="2513">
      <c r="A2513">
        <f>IF(ISBLANK('ENGAGEMENTS 2026'!B2513),"",IF('ENGAGEMENTS 2026'!B2513="DTSI","DCT",'ENGAGEMENTS 2026'!B2513))</f>
        <v/>
      </c>
      <c r="B2513">
        <f>IF(ISBLANK('ENGAGEMENTS 2026'!B2513),"",'ENGAGEMENTS 2026'!C2513)</f>
        <v/>
      </c>
      <c r="C2513">
        <f>IF(ISBLANK('ENGAGEMENTS 2026'!B2513),"",'ENGAGEMENTS 2026'!D2513)</f>
        <v/>
      </c>
      <c r="D2513">
        <f>IF(ISBLANK('ENGAGEMENTS 2026'!B2513),"",'ENGAGEMENTS 2026'!F2513)</f>
        <v/>
      </c>
      <c r="E2513">
        <f>IF(ISBLANK('ENGAGEMENTS 2026'!B2513),"",'ENGAGEMENTS 2026'!H2513)</f>
        <v/>
      </c>
      <c r="F2513">
        <f>IF(ISBLANK('ENGAGEMENTS 2026'!B2513),"",'ENGAGEMENTS 2026'!I2513)</f>
        <v/>
      </c>
      <c r="G2513">
        <f>IF(ISBLANK('ENGAGEMENTS 2026'!B2513),"",'ENGAGEMENTS 2026'!L2513)</f>
        <v/>
      </c>
      <c r="H2513">
        <f>IF(ISBLANK('ENGAGEMENTS 2026'!B2513),"",'ENGAGEMENTS 2026'!AE2513)</f>
        <v/>
      </c>
      <c r="I2513">
        <f>IF(ISBLANK('ENGAGEMENTS 2026'!B2513),"",'ENGAGEMENTS 2026'!G2513)</f>
        <v/>
      </c>
      <c r="J2513" s="275">
        <f>IF(ISBLANK('ENGAGEMENTS 2026'!B2513),"",IF(AND(OR($E2513="INFRUCTUEUX",$E2513="ANNULE"),$C2513="AOO-M"),'ENGAGEMENTS 2026'!O2513,IF($H2513="EN COURS DE PREENGAGEMENT",'ENGAGEMENTS 2026'!N2513,IF($H2513="PREENGAGE",IF($E2513="ATTRIBUE",'ENGAGEMENTS 2026'!AD2513,'ENGAGEMENTS 2026'!N2513),'ENGAGEMENTS 2026'!AD2513))))</f>
        <v/>
      </c>
      <c r="K2513" s="604">
        <f>IF(ISBLANK('ENGAGEMENTS 2026'!V2513),"",'ENGAGEMENTS 2026'!V2513)</f>
        <v/>
      </c>
      <c r="L2513" s="276">
        <f>IF($K2513="","",TODAY()-$K2513)</f>
        <v/>
      </c>
      <c r="M2513">
        <f>IF($A2513="","",IF($H2513="ENGAGE","Engagé",IF(AND($H2513="NON ENGAGE",OR($I2513="INFRUCTUEUX",$I2513="ANNULE")),"Clôturé sans suite","En cours")))</f>
        <v/>
      </c>
      <c r="N2513">
        <f>IF(ISBLANK('ENGAGEMENTS 2026'!B2513),"",'ENGAGEMENTS 2026'!K2513)</f>
        <v/>
      </c>
      <c r="O2513">
        <f>IF(ISBLANK('ENGAGEMENTS 2026'!B2513),"",'ENGAGEMENTS 2026'!L2513)</f>
        <v/>
      </c>
      <c r="P2513">
        <f>IF(ISBLANK('ENGAGEMENTS 2026'!B2513),"",'ENGAGEMENTS 2026'!J2513)</f>
        <v/>
      </c>
      <c r="Q2513">
        <f>IF($A2513="","",IF(OR($E2513="INFRUCTUEUX",$E2513="ANNULE"),$A2513&amp;"|"&amp;(COUNTIFS($A$2:$A2513,$A2513,$E$2:$E2513,"INFRUCTUEUX")+COUNTIFS($A$2:$A2513,$A2513,$E$2:$E2513,"ANNULE")),""))</f>
        <v/>
      </c>
    </row>
    <row r="2514">
      <c r="A2514">
        <f>IF(ISBLANK('ENGAGEMENTS 2026'!B2514),"",IF('ENGAGEMENTS 2026'!B2514="DTSI","DCT",'ENGAGEMENTS 2026'!B2514))</f>
        <v/>
      </c>
      <c r="B2514">
        <f>IF(ISBLANK('ENGAGEMENTS 2026'!B2514),"",'ENGAGEMENTS 2026'!C2514)</f>
        <v/>
      </c>
      <c r="C2514">
        <f>IF(ISBLANK('ENGAGEMENTS 2026'!B2514),"",'ENGAGEMENTS 2026'!D2514)</f>
        <v/>
      </c>
      <c r="D2514">
        <f>IF(ISBLANK('ENGAGEMENTS 2026'!B2514),"",'ENGAGEMENTS 2026'!F2514)</f>
        <v/>
      </c>
      <c r="E2514">
        <f>IF(ISBLANK('ENGAGEMENTS 2026'!B2514),"",'ENGAGEMENTS 2026'!H2514)</f>
        <v/>
      </c>
      <c r="F2514">
        <f>IF(ISBLANK('ENGAGEMENTS 2026'!B2514),"",'ENGAGEMENTS 2026'!I2514)</f>
        <v/>
      </c>
      <c r="G2514">
        <f>IF(ISBLANK('ENGAGEMENTS 2026'!B2514),"",'ENGAGEMENTS 2026'!L2514)</f>
        <v/>
      </c>
      <c r="H2514">
        <f>IF(ISBLANK('ENGAGEMENTS 2026'!B2514),"",'ENGAGEMENTS 2026'!AE2514)</f>
        <v/>
      </c>
      <c r="I2514">
        <f>IF(ISBLANK('ENGAGEMENTS 2026'!B2514),"",'ENGAGEMENTS 2026'!G2514)</f>
        <v/>
      </c>
      <c r="J2514" s="275">
        <f>IF(ISBLANK('ENGAGEMENTS 2026'!B2514),"",IF(AND(OR($E2514="INFRUCTUEUX",$E2514="ANNULE"),$C2514="AOO-M"),'ENGAGEMENTS 2026'!O2514,IF($H2514="EN COURS DE PREENGAGEMENT",'ENGAGEMENTS 2026'!N2514,IF($H2514="PREENGAGE",IF($E2514="ATTRIBUE",'ENGAGEMENTS 2026'!AD2514,'ENGAGEMENTS 2026'!N2514),'ENGAGEMENTS 2026'!AD2514))))</f>
        <v/>
      </c>
      <c r="K2514" s="604">
        <f>IF(ISBLANK('ENGAGEMENTS 2026'!V2514),"",'ENGAGEMENTS 2026'!V2514)</f>
        <v/>
      </c>
      <c r="L2514" s="276">
        <f>IF($K2514="","",TODAY()-$K2514)</f>
        <v/>
      </c>
      <c r="M2514">
        <f>IF($A2514="","",IF($H2514="ENGAGE","Engagé",IF(AND($H2514="NON ENGAGE",OR($I2514="INFRUCTUEUX",$I2514="ANNULE")),"Clôturé sans suite","En cours")))</f>
        <v/>
      </c>
      <c r="N2514">
        <f>IF(ISBLANK('ENGAGEMENTS 2026'!B2514),"",'ENGAGEMENTS 2026'!K2514)</f>
        <v/>
      </c>
      <c r="O2514">
        <f>IF(ISBLANK('ENGAGEMENTS 2026'!B2514),"",'ENGAGEMENTS 2026'!L2514)</f>
        <v/>
      </c>
      <c r="P2514">
        <f>IF(ISBLANK('ENGAGEMENTS 2026'!B2514),"",'ENGAGEMENTS 2026'!J2514)</f>
        <v/>
      </c>
      <c r="Q2514">
        <f>IF($A2514="","",IF(OR($E2514="INFRUCTUEUX",$E2514="ANNULE"),$A2514&amp;"|"&amp;(COUNTIFS($A$2:$A2514,$A2514,$E$2:$E2514,"INFRUCTUEUX")+COUNTIFS($A$2:$A2514,$A2514,$E$2:$E2514,"ANNULE")),""))</f>
        <v/>
      </c>
    </row>
    <row r="2515">
      <c r="A2515">
        <f>IF(ISBLANK('ENGAGEMENTS 2026'!B2515),"",IF('ENGAGEMENTS 2026'!B2515="DTSI","DCT",'ENGAGEMENTS 2026'!B2515))</f>
        <v/>
      </c>
      <c r="B2515">
        <f>IF(ISBLANK('ENGAGEMENTS 2026'!B2515),"",'ENGAGEMENTS 2026'!C2515)</f>
        <v/>
      </c>
      <c r="C2515">
        <f>IF(ISBLANK('ENGAGEMENTS 2026'!B2515),"",'ENGAGEMENTS 2026'!D2515)</f>
        <v/>
      </c>
      <c r="D2515">
        <f>IF(ISBLANK('ENGAGEMENTS 2026'!B2515),"",'ENGAGEMENTS 2026'!F2515)</f>
        <v/>
      </c>
      <c r="E2515">
        <f>IF(ISBLANK('ENGAGEMENTS 2026'!B2515),"",'ENGAGEMENTS 2026'!H2515)</f>
        <v/>
      </c>
      <c r="F2515">
        <f>IF(ISBLANK('ENGAGEMENTS 2026'!B2515),"",'ENGAGEMENTS 2026'!I2515)</f>
        <v/>
      </c>
      <c r="G2515">
        <f>IF(ISBLANK('ENGAGEMENTS 2026'!B2515),"",'ENGAGEMENTS 2026'!L2515)</f>
        <v/>
      </c>
      <c r="H2515">
        <f>IF(ISBLANK('ENGAGEMENTS 2026'!B2515),"",'ENGAGEMENTS 2026'!AE2515)</f>
        <v/>
      </c>
      <c r="I2515">
        <f>IF(ISBLANK('ENGAGEMENTS 2026'!B2515),"",'ENGAGEMENTS 2026'!G2515)</f>
        <v/>
      </c>
      <c r="J2515" s="275">
        <f>IF(ISBLANK('ENGAGEMENTS 2026'!B2515),"",IF(AND(OR($E2515="INFRUCTUEUX",$E2515="ANNULE"),$C2515="AOO-M"),'ENGAGEMENTS 2026'!O2515,IF($H2515="EN COURS DE PREENGAGEMENT",'ENGAGEMENTS 2026'!N2515,IF($H2515="PREENGAGE",IF($E2515="ATTRIBUE",'ENGAGEMENTS 2026'!AD2515,'ENGAGEMENTS 2026'!N2515),'ENGAGEMENTS 2026'!AD2515))))</f>
        <v/>
      </c>
      <c r="K2515" s="604">
        <f>IF(ISBLANK('ENGAGEMENTS 2026'!V2515),"",'ENGAGEMENTS 2026'!V2515)</f>
        <v/>
      </c>
      <c r="L2515" s="276">
        <f>IF($K2515="","",TODAY()-$K2515)</f>
        <v/>
      </c>
      <c r="M2515">
        <f>IF($A2515="","",IF($H2515="ENGAGE","Engagé",IF(AND($H2515="NON ENGAGE",OR($I2515="INFRUCTUEUX",$I2515="ANNULE")),"Clôturé sans suite","En cours")))</f>
        <v/>
      </c>
      <c r="N2515">
        <f>IF(ISBLANK('ENGAGEMENTS 2026'!B2515),"",'ENGAGEMENTS 2026'!K2515)</f>
        <v/>
      </c>
      <c r="O2515">
        <f>IF(ISBLANK('ENGAGEMENTS 2026'!B2515),"",'ENGAGEMENTS 2026'!L2515)</f>
        <v/>
      </c>
      <c r="P2515">
        <f>IF(ISBLANK('ENGAGEMENTS 2026'!B2515),"",'ENGAGEMENTS 2026'!J2515)</f>
        <v/>
      </c>
      <c r="Q2515">
        <f>IF($A2515="","",IF(OR($E2515="INFRUCTUEUX",$E2515="ANNULE"),$A2515&amp;"|"&amp;(COUNTIFS($A$2:$A2515,$A2515,$E$2:$E2515,"INFRUCTUEUX")+COUNTIFS($A$2:$A2515,$A2515,$E$2:$E2515,"ANNULE")),""))</f>
        <v/>
      </c>
    </row>
    <row r="2516">
      <c r="A2516">
        <f>IF(ISBLANK('ENGAGEMENTS 2026'!B2516),"",IF('ENGAGEMENTS 2026'!B2516="DTSI","DCT",'ENGAGEMENTS 2026'!B2516))</f>
        <v/>
      </c>
      <c r="B2516">
        <f>IF(ISBLANK('ENGAGEMENTS 2026'!B2516),"",'ENGAGEMENTS 2026'!C2516)</f>
        <v/>
      </c>
      <c r="C2516">
        <f>IF(ISBLANK('ENGAGEMENTS 2026'!B2516),"",'ENGAGEMENTS 2026'!D2516)</f>
        <v/>
      </c>
      <c r="D2516">
        <f>IF(ISBLANK('ENGAGEMENTS 2026'!B2516),"",'ENGAGEMENTS 2026'!F2516)</f>
        <v/>
      </c>
      <c r="E2516">
        <f>IF(ISBLANK('ENGAGEMENTS 2026'!B2516),"",'ENGAGEMENTS 2026'!H2516)</f>
        <v/>
      </c>
      <c r="F2516">
        <f>IF(ISBLANK('ENGAGEMENTS 2026'!B2516),"",'ENGAGEMENTS 2026'!I2516)</f>
        <v/>
      </c>
      <c r="G2516">
        <f>IF(ISBLANK('ENGAGEMENTS 2026'!B2516),"",'ENGAGEMENTS 2026'!L2516)</f>
        <v/>
      </c>
      <c r="H2516">
        <f>IF(ISBLANK('ENGAGEMENTS 2026'!B2516),"",'ENGAGEMENTS 2026'!AE2516)</f>
        <v/>
      </c>
      <c r="I2516">
        <f>IF(ISBLANK('ENGAGEMENTS 2026'!B2516),"",'ENGAGEMENTS 2026'!G2516)</f>
        <v/>
      </c>
      <c r="J2516" s="275">
        <f>IF(ISBLANK('ENGAGEMENTS 2026'!B2516),"",IF(AND(OR($E2516="INFRUCTUEUX",$E2516="ANNULE"),$C2516="AOO-M"),'ENGAGEMENTS 2026'!O2516,IF($H2516="EN COURS DE PREENGAGEMENT",'ENGAGEMENTS 2026'!N2516,IF($H2516="PREENGAGE",IF($E2516="ATTRIBUE",'ENGAGEMENTS 2026'!AD2516,'ENGAGEMENTS 2026'!N2516),'ENGAGEMENTS 2026'!AD2516))))</f>
        <v/>
      </c>
      <c r="K2516" s="604">
        <f>IF(ISBLANK('ENGAGEMENTS 2026'!V2516),"",'ENGAGEMENTS 2026'!V2516)</f>
        <v/>
      </c>
      <c r="L2516" s="276">
        <f>IF($K2516="","",TODAY()-$K2516)</f>
        <v/>
      </c>
      <c r="M2516">
        <f>IF($A2516="","",IF($H2516="ENGAGE","Engagé",IF(AND($H2516="NON ENGAGE",OR($I2516="INFRUCTUEUX",$I2516="ANNULE")),"Clôturé sans suite","En cours")))</f>
        <v/>
      </c>
      <c r="N2516">
        <f>IF(ISBLANK('ENGAGEMENTS 2026'!B2516),"",'ENGAGEMENTS 2026'!K2516)</f>
        <v/>
      </c>
      <c r="O2516">
        <f>IF(ISBLANK('ENGAGEMENTS 2026'!B2516),"",'ENGAGEMENTS 2026'!L2516)</f>
        <v/>
      </c>
      <c r="P2516">
        <f>IF(ISBLANK('ENGAGEMENTS 2026'!B2516),"",'ENGAGEMENTS 2026'!J2516)</f>
        <v/>
      </c>
      <c r="Q2516">
        <f>IF($A2516="","",IF(OR($E2516="INFRUCTUEUX",$E2516="ANNULE"),$A2516&amp;"|"&amp;(COUNTIFS($A$2:$A2516,$A2516,$E$2:$E2516,"INFRUCTUEUX")+COUNTIFS($A$2:$A2516,$A2516,$E$2:$E2516,"ANNULE")),""))</f>
        <v/>
      </c>
    </row>
    <row r="2517">
      <c r="A2517">
        <f>IF(ISBLANK('ENGAGEMENTS 2026'!B2517),"",IF('ENGAGEMENTS 2026'!B2517="DTSI","DCT",'ENGAGEMENTS 2026'!B2517))</f>
        <v/>
      </c>
      <c r="B2517">
        <f>IF(ISBLANK('ENGAGEMENTS 2026'!B2517),"",'ENGAGEMENTS 2026'!C2517)</f>
        <v/>
      </c>
      <c r="C2517">
        <f>IF(ISBLANK('ENGAGEMENTS 2026'!B2517),"",'ENGAGEMENTS 2026'!D2517)</f>
        <v/>
      </c>
      <c r="D2517">
        <f>IF(ISBLANK('ENGAGEMENTS 2026'!B2517),"",'ENGAGEMENTS 2026'!F2517)</f>
        <v/>
      </c>
      <c r="E2517">
        <f>IF(ISBLANK('ENGAGEMENTS 2026'!B2517),"",'ENGAGEMENTS 2026'!H2517)</f>
        <v/>
      </c>
      <c r="F2517">
        <f>IF(ISBLANK('ENGAGEMENTS 2026'!B2517),"",'ENGAGEMENTS 2026'!I2517)</f>
        <v/>
      </c>
      <c r="G2517">
        <f>IF(ISBLANK('ENGAGEMENTS 2026'!B2517),"",'ENGAGEMENTS 2026'!L2517)</f>
        <v/>
      </c>
      <c r="H2517">
        <f>IF(ISBLANK('ENGAGEMENTS 2026'!B2517),"",'ENGAGEMENTS 2026'!AE2517)</f>
        <v/>
      </c>
      <c r="I2517">
        <f>IF(ISBLANK('ENGAGEMENTS 2026'!B2517),"",'ENGAGEMENTS 2026'!G2517)</f>
        <v/>
      </c>
      <c r="J2517" s="275">
        <f>IF(ISBLANK('ENGAGEMENTS 2026'!B2517),"",IF(AND(OR($E2517="INFRUCTUEUX",$E2517="ANNULE"),$C2517="AOO-M"),'ENGAGEMENTS 2026'!O2517,IF($H2517="EN COURS DE PREENGAGEMENT",'ENGAGEMENTS 2026'!N2517,IF($H2517="PREENGAGE",IF($E2517="ATTRIBUE",'ENGAGEMENTS 2026'!AD2517,'ENGAGEMENTS 2026'!N2517),'ENGAGEMENTS 2026'!AD2517))))</f>
        <v/>
      </c>
      <c r="K2517" s="604">
        <f>IF(ISBLANK('ENGAGEMENTS 2026'!V2517),"",'ENGAGEMENTS 2026'!V2517)</f>
        <v/>
      </c>
      <c r="L2517" s="276">
        <f>IF($K2517="","",TODAY()-$K2517)</f>
        <v/>
      </c>
      <c r="M2517">
        <f>IF($A2517="","",IF($H2517="ENGAGE","Engagé",IF(AND($H2517="NON ENGAGE",OR($I2517="INFRUCTUEUX",$I2517="ANNULE")),"Clôturé sans suite","En cours")))</f>
        <v/>
      </c>
      <c r="N2517">
        <f>IF(ISBLANK('ENGAGEMENTS 2026'!B2517),"",'ENGAGEMENTS 2026'!K2517)</f>
        <v/>
      </c>
      <c r="O2517">
        <f>IF(ISBLANK('ENGAGEMENTS 2026'!B2517),"",'ENGAGEMENTS 2026'!L2517)</f>
        <v/>
      </c>
      <c r="P2517">
        <f>IF(ISBLANK('ENGAGEMENTS 2026'!B2517),"",'ENGAGEMENTS 2026'!J2517)</f>
        <v/>
      </c>
      <c r="Q2517">
        <f>IF($A2517="","",IF(OR($E2517="INFRUCTUEUX",$E2517="ANNULE"),$A2517&amp;"|"&amp;(COUNTIFS($A$2:$A2517,$A2517,$E$2:$E2517,"INFRUCTUEUX")+COUNTIFS($A$2:$A2517,$A2517,$E$2:$E2517,"ANNULE")),""))</f>
        <v/>
      </c>
    </row>
    <row r="2518">
      <c r="A2518">
        <f>IF(ISBLANK('ENGAGEMENTS 2026'!B2518),"",IF('ENGAGEMENTS 2026'!B2518="DTSI","DCT",'ENGAGEMENTS 2026'!B2518))</f>
        <v/>
      </c>
      <c r="B2518">
        <f>IF(ISBLANK('ENGAGEMENTS 2026'!B2518),"",'ENGAGEMENTS 2026'!C2518)</f>
        <v/>
      </c>
      <c r="C2518">
        <f>IF(ISBLANK('ENGAGEMENTS 2026'!B2518),"",'ENGAGEMENTS 2026'!D2518)</f>
        <v/>
      </c>
      <c r="D2518">
        <f>IF(ISBLANK('ENGAGEMENTS 2026'!B2518),"",'ENGAGEMENTS 2026'!F2518)</f>
        <v/>
      </c>
      <c r="E2518">
        <f>IF(ISBLANK('ENGAGEMENTS 2026'!B2518),"",'ENGAGEMENTS 2026'!H2518)</f>
        <v/>
      </c>
      <c r="F2518">
        <f>IF(ISBLANK('ENGAGEMENTS 2026'!B2518),"",'ENGAGEMENTS 2026'!I2518)</f>
        <v/>
      </c>
      <c r="G2518">
        <f>IF(ISBLANK('ENGAGEMENTS 2026'!B2518),"",'ENGAGEMENTS 2026'!L2518)</f>
        <v/>
      </c>
      <c r="H2518">
        <f>IF(ISBLANK('ENGAGEMENTS 2026'!B2518),"",'ENGAGEMENTS 2026'!AE2518)</f>
        <v/>
      </c>
      <c r="I2518">
        <f>IF(ISBLANK('ENGAGEMENTS 2026'!B2518),"",'ENGAGEMENTS 2026'!G2518)</f>
        <v/>
      </c>
      <c r="J2518" s="275">
        <f>IF(ISBLANK('ENGAGEMENTS 2026'!B2518),"",IF(AND(OR($E2518="INFRUCTUEUX",$E2518="ANNULE"),$C2518="AOO-M"),'ENGAGEMENTS 2026'!O2518,IF($H2518="EN COURS DE PREENGAGEMENT",'ENGAGEMENTS 2026'!N2518,IF($H2518="PREENGAGE",IF($E2518="ATTRIBUE",'ENGAGEMENTS 2026'!AD2518,'ENGAGEMENTS 2026'!N2518),'ENGAGEMENTS 2026'!AD2518))))</f>
        <v/>
      </c>
      <c r="K2518" s="604">
        <f>IF(ISBLANK('ENGAGEMENTS 2026'!V2518),"",'ENGAGEMENTS 2026'!V2518)</f>
        <v/>
      </c>
      <c r="L2518" s="276">
        <f>IF($K2518="","",TODAY()-$K2518)</f>
        <v/>
      </c>
      <c r="M2518">
        <f>IF($A2518="","",IF($H2518="ENGAGE","Engagé",IF(AND($H2518="NON ENGAGE",OR($I2518="INFRUCTUEUX",$I2518="ANNULE")),"Clôturé sans suite","En cours")))</f>
        <v/>
      </c>
      <c r="N2518">
        <f>IF(ISBLANK('ENGAGEMENTS 2026'!B2518),"",'ENGAGEMENTS 2026'!K2518)</f>
        <v/>
      </c>
      <c r="O2518">
        <f>IF(ISBLANK('ENGAGEMENTS 2026'!B2518),"",'ENGAGEMENTS 2026'!L2518)</f>
        <v/>
      </c>
      <c r="P2518">
        <f>IF(ISBLANK('ENGAGEMENTS 2026'!B2518),"",'ENGAGEMENTS 2026'!J2518)</f>
        <v/>
      </c>
      <c r="Q2518">
        <f>IF($A2518="","",IF(OR($E2518="INFRUCTUEUX",$E2518="ANNULE"),$A2518&amp;"|"&amp;(COUNTIFS($A$2:$A2518,$A2518,$E$2:$E2518,"INFRUCTUEUX")+COUNTIFS($A$2:$A2518,$A2518,$E$2:$E2518,"ANNULE")),""))</f>
        <v/>
      </c>
    </row>
    <row r="2519">
      <c r="A2519">
        <f>IF(ISBLANK('ENGAGEMENTS 2026'!B2519),"",IF('ENGAGEMENTS 2026'!B2519="DTSI","DCT",'ENGAGEMENTS 2026'!B2519))</f>
        <v/>
      </c>
      <c r="B2519">
        <f>IF(ISBLANK('ENGAGEMENTS 2026'!B2519),"",'ENGAGEMENTS 2026'!C2519)</f>
        <v/>
      </c>
      <c r="C2519">
        <f>IF(ISBLANK('ENGAGEMENTS 2026'!B2519),"",'ENGAGEMENTS 2026'!D2519)</f>
        <v/>
      </c>
      <c r="D2519">
        <f>IF(ISBLANK('ENGAGEMENTS 2026'!B2519),"",'ENGAGEMENTS 2026'!F2519)</f>
        <v/>
      </c>
      <c r="E2519">
        <f>IF(ISBLANK('ENGAGEMENTS 2026'!B2519),"",'ENGAGEMENTS 2026'!H2519)</f>
        <v/>
      </c>
      <c r="F2519">
        <f>IF(ISBLANK('ENGAGEMENTS 2026'!B2519),"",'ENGAGEMENTS 2026'!I2519)</f>
        <v/>
      </c>
      <c r="G2519">
        <f>IF(ISBLANK('ENGAGEMENTS 2026'!B2519),"",'ENGAGEMENTS 2026'!L2519)</f>
        <v/>
      </c>
      <c r="H2519">
        <f>IF(ISBLANK('ENGAGEMENTS 2026'!B2519),"",'ENGAGEMENTS 2026'!AE2519)</f>
        <v/>
      </c>
      <c r="I2519">
        <f>IF(ISBLANK('ENGAGEMENTS 2026'!B2519),"",'ENGAGEMENTS 2026'!G2519)</f>
        <v/>
      </c>
      <c r="J2519" s="275">
        <f>IF(ISBLANK('ENGAGEMENTS 2026'!B2519),"",IF(AND(OR($E2519="INFRUCTUEUX",$E2519="ANNULE"),$C2519="AOO-M"),'ENGAGEMENTS 2026'!O2519,IF($H2519="EN COURS DE PREENGAGEMENT",'ENGAGEMENTS 2026'!N2519,IF($H2519="PREENGAGE",IF($E2519="ATTRIBUE",'ENGAGEMENTS 2026'!AD2519,'ENGAGEMENTS 2026'!N2519),'ENGAGEMENTS 2026'!AD2519))))</f>
        <v/>
      </c>
      <c r="K2519" s="604">
        <f>IF(ISBLANK('ENGAGEMENTS 2026'!V2519),"",'ENGAGEMENTS 2026'!V2519)</f>
        <v/>
      </c>
      <c r="L2519" s="276">
        <f>IF($K2519="","",TODAY()-$K2519)</f>
        <v/>
      </c>
      <c r="M2519">
        <f>IF($A2519="","",IF($H2519="ENGAGE","Engagé",IF(AND($H2519="NON ENGAGE",OR($I2519="INFRUCTUEUX",$I2519="ANNULE")),"Clôturé sans suite","En cours")))</f>
        <v/>
      </c>
      <c r="N2519">
        <f>IF(ISBLANK('ENGAGEMENTS 2026'!B2519),"",'ENGAGEMENTS 2026'!K2519)</f>
        <v/>
      </c>
      <c r="O2519">
        <f>IF(ISBLANK('ENGAGEMENTS 2026'!B2519),"",'ENGAGEMENTS 2026'!L2519)</f>
        <v/>
      </c>
      <c r="P2519">
        <f>IF(ISBLANK('ENGAGEMENTS 2026'!B2519),"",'ENGAGEMENTS 2026'!J2519)</f>
        <v/>
      </c>
      <c r="Q2519">
        <f>IF($A2519="","",IF(OR($E2519="INFRUCTUEUX",$E2519="ANNULE"),$A2519&amp;"|"&amp;(COUNTIFS($A$2:$A2519,$A2519,$E$2:$E2519,"INFRUCTUEUX")+COUNTIFS($A$2:$A2519,$A2519,$E$2:$E2519,"ANNULE")),""))</f>
        <v/>
      </c>
    </row>
    <row r="2520">
      <c r="A2520">
        <f>IF(ISBLANK('ENGAGEMENTS 2026'!B2520),"",IF('ENGAGEMENTS 2026'!B2520="DTSI","DCT",'ENGAGEMENTS 2026'!B2520))</f>
        <v/>
      </c>
      <c r="B2520">
        <f>IF(ISBLANK('ENGAGEMENTS 2026'!B2520),"",'ENGAGEMENTS 2026'!C2520)</f>
        <v/>
      </c>
      <c r="C2520">
        <f>IF(ISBLANK('ENGAGEMENTS 2026'!B2520),"",'ENGAGEMENTS 2026'!D2520)</f>
        <v/>
      </c>
      <c r="D2520">
        <f>IF(ISBLANK('ENGAGEMENTS 2026'!B2520),"",'ENGAGEMENTS 2026'!F2520)</f>
        <v/>
      </c>
      <c r="E2520">
        <f>IF(ISBLANK('ENGAGEMENTS 2026'!B2520),"",'ENGAGEMENTS 2026'!H2520)</f>
        <v/>
      </c>
      <c r="F2520">
        <f>IF(ISBLANK('ENGAGEMENTS 2026'!B2520),"",'ENGAGEMENTS 2026'!I2520)</f>
        <v/>
      </c>
      <c r="G2520">
        <f>IF(ISBLANK('ENGAGEMENTS 2026'!B2520),"",'ENGAGEMENTS 2026'!L2520)</f>
        <v/>
      </c>
      <c r="H2520">
        <f>IF(ISBLANK('ENGAGEMENTS 2026'!B2520),"",'ENGAGEMENTS 2026'!AE2520)</f>
        <v/>
      </c>
      <c r="I2520">
        <f>IF(ISBLANK('ENGAGEMENTS 2026'!B2520),"",'ENGAGEMENTS 2026'!G2520)</f>
        <v/>
      </c>
      <c r="J2520" s="275">
        <f>IF(ISBLANK('ENGAGEMENTS 2026'!B2520),"",IF(AND(OR($E2520="INFRUCTUEUX",$E2520="ANNULE"),$C2520="AOO-M"),'ENGAGEMENTS 2026'!O2520,IF($H2520="EN COURS DE PREENGAGEMENT",'ENGAGEMENTS 2026'!N2520,IF($H2520="PREENGAGE",IF($E2520="ATTRIBUE",'ENGAGEMENTS 2026'!AD2520,'ENGAGEMENTS 2026'!N2520),'ENGAGEMENTS 2026'!AD2520))))</f>
        <v/>
      </c>
      <c r="K2520" s="604">
        <f>IF(ISBLANK('ENGAGEMENTS 2026'!V2520),"",'ENGAGEMENTS 2026'!V2520)</f>
        <v/>
      </c>
      <c r="L2520" s="276">
        <f>IF($K2520="","",TODAY()-$K2520)</f>
        <v/>
      </c>
      <c r="M2520">
        <f>IF($A2520="","",IF($H2520="ENGAGE","Engagé",IF(AND($H2520="NON ENGAGE",OR($I2520="INFRUCTUEUX",$I2520="ANNULE")),"Clôturé sans suite","En cours")))</f>
        <v/>
      </c>
      <c r="N2520">
        <f>IF(ISBLANK('ENGAGEMENTS 2026'!B2520),"",'ENGAGEMENTS 2026'!K2520)</f>
        <v/>
      </c>
      <c r="O2520">
        <f>IF(ISBLANK('ENGAGEMENTS 2026'!B2520),"",'ENGAGEMENTS 2026'!L2520)</f>
        <v/>
      </c>
      <c r="P2520">
        <f>IF(ISBLANK('ENGAGEMENTS 2026'!B2520),"",'ENGAGEMENTS 2026'!J2520)</f>
        <v/>
      </c>
      <c r="Q2520">
        <f>IF($A2520="","",IF(OR($E2520="INFRUCTUEUX",$E2520="ANNULE"),$A2520&amp;"|"&amp;(COUNTIFS($A$2:$A2520,$A2520,$E$2:$E2520,"INFRUCTUEUX")+COUNTIFS($A$2:$A2520,$A2520,$E$2:$E2520,"ANNULE")),""))</f>
        <v/>
      </c>
    </row>
    <row r="2521">
      <c r="A2521">
        <f>IF(ISBLANK('ENGAGEMENTS 2026'!B2521),"",IF('ENGAGEMENTS 2026'!B2521="DTSI","DCT",'ENGAGEMENTS 2026'!B2521))</f>
        <v/>
      </c>
      <c r="B2521">
        <f>IF(ISBLANK('ENGAGEMENTS 2026'!B2521),"",'ENGAGEMENTS 2026'!C2521)</f>
        <v/>
      </c>
      <c r="C2521">
        <f>IF(ISBLANK('ENGAGEMENTS 2026'!B2521),"",'ENGAGEMENTS 2026'!D2521)</f>
        <v/>
      </c>
      <c r="D2521">
        <f>IF(ISBLANK('ENGAGEMENTS 2026'!B2521),"",'ENGAGEMENTS 2026'!F2521)</f>
        <v/>
      </c>
      <c r="E2521">
        <f>IF(ISBLANK('ENGAGEMENTS 2026'!B2521),"",'ENGAGEMENTS 2026'!H2521)</f>
        <v/>
      </c>
      <c r="F2521">
        <f>IF(ISBLANK('ENGAGEMENTS 2026'!B2521),"",'ENGAGEMENTS 2026'!I2521)</f>
        <v/>
      </c>
      <c r="G2521">
        <f>IF(ISBLANK('ENGAGEMENTS 2026'!B2521),"",'ENGAGEMENTS 2026'!L2521)</f>
        <v/>
      </c>
      <c r="H2521">
        <f>IF(ISBLANK('ENGAGEMENTS 2026'!B2521),"",'ENGAGEMENTS 2026'!AE2521)</f>
        <v/>
      </c>
      <c r="I2521">
        <f>IF(ISBLANK('ENGAGEMENTS 2026'!B2521),"",'ENGAGEMENTS 2026'!G2521)</f>
        <v/>
      </c>
      <c r="J2521" s="275">
        <f>IF(ISBLANK('ENGAGEMENTS 2026'!B2521),"",IF(AND(OR($E2521="INFRUCTUEUX",$E2521="ANNULE"),$C2521="AOO-M"),'ENGAGEMENTS 2026'!O2521,IF($H2521="EN COURS DE PREENGAGEMENT",'ENGAGEMENTS 2026'!N2521,IF($H2521="PREENGAGE",IF($E2521="ATTRIBUE",'ENGAGEMENTS 2026'!AD2521,'ENGAGEMENTS 2026'!N2521),'ENGAGEMENTS 2026'!AD2521))))</f>
        <v/>
      </c>
      <c r="K2521" s="604">
        <f>IF(ISBLANK('ENGAGEMENTS 2026'!V2521),"",'ENGAGEMENTS 2026'!V2521)</f>
        <v/>
      </c>
      <c r="L2521" s="276">
        <f>IF($K2521="","",TODAY()-$K2521)</f>
        <v/>
      </c>
      <c r="M2521">
        <f>IF($A2521="","",IF($H2521="ENGAGE","Engagé",IF(AND($H2521="NON ENGAGE",OR($I2521="INFRUCTUEUX",$I2521="ANNULE")),"Clôturé sans suite","En cours")))</f>
        <v/>
      </c>
      <c r="N2521">
        <f>IF(ISBLANK('ENGAGEMENTS 2026'!B2521),"",'ENGAGEMENTS 2026'!K2521)</f>
        <v/>
      </c>
      <c r="O2521">
        <f>IF(ISBLANK('ENGAGEMENTS 2026'!B2521),"",'ENGAGEMENTS 2026'!L2521)</f>
        <v/>
      </c>
      <c r="P2521">
        <f>IF(ISBLANK('ENGAGEMENTS 2026'!B2521),"",'ENGAGEMENTS 2026'!J2521)</f>
        <v/>
      </c>
      <c r="Q2521">
        <f>IF($A2521="","",IF(OR($E2521="INFRUCTUEUX",$E2521="ANNULE"),$A2521&amp;"|"&amp;(COUNTIFS($A$2:$A2521,$A2521,$E$2:$E2521,"INFRUCTUEUX")+COUNTIFS($A$2:$A2521,$A2521,$E$2:$E2521,"ANNULE")),""))</f>
        <v/>
      </c>
    </row>
    <row r="2522">
      <c r="A2522">
        <f>IF(ISBLANK('ENGAGEMENTS 2026'!B2522),"",IF('ENGAGEMENTS 2026'!B2522="DTSI","DCT",'ENGAGEMENTS 2026'!B2522))</f>
        <v/>
      </c>
      <c r="B2522">
        <f>IF(ISBLANK('ENGAGEMENTS 2026'!B2522),"",'ENGAGEMENTS 2026'!C2522)</f>
        <v/>
      </c>
      <c r="C2522">
        <f>IF(ISBLANK('ENGAGEMENTS 2026'!B2522),"",'ENGAGEMENTS 2026'!D2522)</f>
        <v/>
      </c>
      <c r="D2522">
        <f>IF(ISBLANK('ENGAGEMENTS 2026'!B2522),"",'ENGAGEMENTS 2026'!F2522)</f>
        <v/>
      </c>
      <c r="E2522">
        <f>IF(ISBLANK('ENGAGEMENTS 2026'!B2522),"",'ENGAGEMENTS 2026'!H2522)</f>
        <v/>
      </c>
      <c r="F2522">
        <f>IF(ISBLANK('ENGAGEMENTS 2026'!B2522),"",'ENGAGEMENTS 2026'!I2522)</f>
        <v/>
      </c>
      <c r="G2522">
        <f>IF(ISBLANK('ENGAGEMENTS 2026'!B2522),"",'ENGAGEMENTS 2026'!L2522)</f>
        <v/>
      </c>
      <c r="H2522">
        <f>IF(ISBLANK('ENGAGEMENTS 2026'!B2522),"",'ENGAGEMENTS 2026'!AE2522)</f>
        <v/>
      </c>
      <c r="I2522">
        <f>IF(ISBLANK('ENGAGEMENTS 2026'!B2522),"",'ENGAGEMENTS 2026'!G2522)</f>
        <v/>
      </c>
      <c r="J2522" s="275">
        <f>IF(ISBLANK('ENGAGEMENTS 2026'!B2522),"",IF(AND(OR($E2522="INFRUCTUEUX",$E2522="ANNULE"),$C2522="AOO-M"),'ENGAGEMENTS 2026'!O2522,IF($H2522="EN COURS DE PREENGAGEMENT",'ENGAGEMENTS 2026'!N2522,IF($H2522="PREENGAGE",IF($E2522="ATTRIBUE",'ENGAGEMENTS 2026'!AD2522,'ENGAGEMENTS 2026'!N2522),'ENGAGEMENTS 2026'!AD2522))))</f>
        <v/>
      </c>
      <c r="K2522" s="604">
        <f>IF(ISBLANK('ENGAGEMENTS 2026'!V2522),"",'ENGAGEMENTS 2026'!V2522)</f>
        <v/>
      </c>
      <c r="L2522" s="276">
        <f>IF($K2522="","",TODAY()-$K2522)</f>
        <v/>
      </c>
      <c r="M2522">
        <f>IF($A2522="","",IF($H2522="ENGAGE","Engagé",IF(AND($H2522="NON ENGAGE",OR($I2522="INFRUCTUEUX",$I2522="ANNULE")),"Clôturé sans suite","En cours")))</f>
        <v/>
      </c>
      <c r="N2522">
        <f>IF(ISBLANK('ENGAGEMENTS 2026'!B2522),"",'ENGAGEMENTS 2026'!K2522)</f>
        <v/>
      </c>
      <c r="O2522">
        <f>IF(ISBLANK('ENGAGEMENTS 2026'!B2522),"",'ENGAGEMENTS 2026'!L2522)</f>
        <v/>
      </c>
      <c r="P2522">
        <f>IF(ISBLANK('ENGAGEMENTS 2026'!B2522),"",'ENGAGEMENTS 2026'!J2522)</f>
        <v/>
      </c>
      <c r="Q2522">
        <f>IF($A2522="","",IF(OR($E2522="INFRUCTUEUX",$E2522="ANNULE"),$A2522&amp;"|"&amp;(COUNTIFS($A$2:$A2522,$A2522,$E$2:$E2522,"INFRUCTUEUX")+COUNTIFS($A$2:$A2522,$A2522,$E$2:$E2522,"ANNULE")),""))</f>
        <v/>
      </c>
    </row>
    <row r="2523">
      <c r="A2523">
        <f>IF(ISBLANK('ENGAGEMENTS 2026'!B2523),"",IF('ENGAGEMENTS 2026'!B2523="DTSI","DCT",'ENGAGEMENTS 2026'!B2523))</f>
        <v/>
      </c>
      <c r="B2523">
        <f>IF(ISBLANK('ENGAGEMENTS 2026'!B2523),"",'ENGAGEMENTS 2026'!C2523)</f>
        <v/>
      </c>
      <c r="C2523">
        <f>IF(ISBLANK('ENGAGEMENTS 2026'!B2523),"",'ENGAGEMENTS 2026'!D2523)</f>
        <v/>
      </c>
      <c r="D2523">
        <f>IF(ISBLANK('ENGAGEMENTS 2026'!B2523),"",'ENGAGEMENTS 2026'!F2523)</f>
        <v/>
      </c>
      <c r="E2523">
        <f>IF(ISBLANK('ENGAGEMENTS 2026'!B2523),"",'ENGAGEMENTS 2026'!H2523)</f>
        <v/>
      </c>
      <c r="F2523">
        <f>IF(ISBLANK('ENGAGEMENTS 2026'!B2523),"",'ENGAGEMENTS 2026'!I2523)</f>
        <v/>
      </c>
      <c r="G2523">
        <f>IF(ISBLANK('ENGAGEMENTS 2026'!B2523),"",'ENGAGEMENTS 2026'!L2523)</f>
        <v/>
      </c>
      <c r="H2523">
        <f>IF(ISBLANK('ENGAGEMENTS 2026'!B2523),"",'ENGAGEMENTS 2026'!AE2523)</f>
        <v/>
      </c>
      <c r="I2523">
        <f>IF(ISBLANK('ENGAGEMENTS 2026'!B2523),"",'ENGAGEMENTS 2026'!G2523)</f>
        <v/>
      </c>
      <c r="J2523" s="275">
        <f>IF(ISBLANK('ENGAGEMENTS 2026'!B2523),"",IF(AND(OR($E2523="INFRUCTUEUX",$E2523="ANNULE"),$C2523="AOO-M"),'ENGAGEMENTS 2026'!O2523,IF($H2523="EN COURS DE PREENGAGEMENT",'ENGAGEMENTS 2026'!N2523,IF($H2523="PREENGAGE",IF($E2523="ATTRIBUE",'ENGAGEMENTS 2026'!AD2523,'ENGAGEMENTS 2026'!N2523),'ENGAGEMENTS 2026'!AD2523))))</f>
        <v/>
      </c>
      <c r="K2523" s="604">
        <f>IF(ISBLANK('ENGAGEMENTS 2026'!V2523),"",'ENGAGEMENTS 2026'!V2523)</f>
        <v/>
      </c>
      <c r="L2523" s="276">
        <f>IF($K2523="","",TODAY()-$K2523)</f>
        <v/>
      </c>
      <c r="M2523">
        <f>IF($A2523="","",IF($H2523="ENGAGE","Engagé",IF(AND($H2523="NON ENGAGE",OR($I2523="INFRUCTUEUX",$I2523="ANNULE")),"Clôturé sans suite","En cours")))</f>
        <v/>
      </c>
      <c r="N2523">
        <f>IF(ISBLANK('ENGAGEMENTS 2026'!B2523),"",'ENGAGEMENTS 2026'!K2523)</f>
        <v/>
      </c>
      <c r="O2523">
        <f>IF(ISBLANK('ENGAGEMENTS 2026'!B2523),"",'ENGAGEMENTS 2026'!L2523)</f>
        <v/>
      </c>
      <c r="P2523">
        <f>IF(ISBLANK('ENGAGEMENTS 2026'!B2523),"",'ENGAGEMENTS 2026'!J2523)</f>
        <v/>
      </c>
      <c r="Q2523">
        <f>IF($A2523="","",IF(OR($E2523="INFRUCTUEUX",$E2523="ANNULE"),$A2523&amp;"|"&amp;(COUNTIFS($A$2:$A2523,$A2523,$E$2:$E2523,"INFRUCTUEUX")+COUNTIFS($A$2:$A2523,$A2523,$E$2:$E2523,"ANNULE")),""))</f>
        <v/>
      </c>
    </row>
    <row r="2524">
      <c r="A2524">
        <f>IF(ISBLANK('ENGAGEMENTS 2026'!B2524),"",IF('ENGAGEMENTS 2026'!B2524="DTSI","DCT",'ENGAGEMENTS 2026'!B2524))</f>
        <v/>
      </c>
      <c r="B2524">
        <f>IF(ISBLANK('ENGAGEMENTS 2026'!B2524),"",'ENGAGEMENTS 2026'!C2524)</f>
        <v/>
      </c>
      <c r="C2524">
        <f>IF(ISBLANK('ENGAGEMENTS 2026'!B2524),"",'ENGAGEMENTS 2026'!D2524)</f>
        <v/>
      </c>
      <c r="D2524">
        <f>IF(ISBLANK('ENGAGEMENTS 2026'!B2524),"",'ENGAGEMENTS 2026'!F2524)</f>
        <v/>
      </c>
      <c r="E2524">
        <f>IF(ISBLANK('ENGAGEMENTS 2026'!B2524),"",'ENGAGEMENTS 2026'!H2524)</f>
        <v/>
      </c>
      <c r="F2524">
        <f>IF(ISBLANK('ENGAGEMENTS 2026'!B2524),"",'ENGAGEMENTS 2026'!I2524)</f>
        <v/>
      </c>
      <c r="G2524">
        <f>IF(ISBLANK('ENGAGEMENTS 2026'!B2524),"",'ENGAGEMENTS 2026'!L2524)</f>
        <v/>
      </c>
      <c r="H2524">
        <f>IF(ISBLANK('ENGAGEMENTS 2026'!B2524),"",'ENGAGEMENTS 2026'!AE2524)</f>
        <v/>
      </c>
      <c r="I2524">
        <f>IF(ISBLANK('ENGAGEMENTS 2026'!B2524),"",'ENGAGEMENTS 2026'!G2524)</f>
        <v/>
      </c>
      <c r="J2524" s="275">
        <f>IF(ISBLANK('ENGAGEMENTS 2026'!B2524),"",IF(AND(OR($E2524="INFRUCTUEUX",$E2524="ANNULE"),$C2524="AOO-M"),'ENGAGEMENTS 2026'!O2524,IF($H2524="EN COURS DE PREENGAGEMENT",'ENGAGEMENTS 2026'!N2524,IF($H2524="PREENGAGE",IF($E2524="ATTRIBUE",'ENGAGEMENTS 2026'!AD2524,'ENGAGEMENTS 2026'!N2524),'ENGAGEMENTS 2026'!AD2524))))</f>
        <v/>
      </c>
      <c r="K2524" s="604">
        <f>IF(ISBLANK('ENGAGEMENTS 2026'!V2524),"",'ENGAGEMENTS 2026'!V2524)</f>
        <v/>
      </c>
      <c r="L2524" s="276">
        <f>IF($K2524="","",TODAY()-$K2524)</f>
        <v/>
      </c>
      <c r="M2524">
        <f>IF($A2524="","",IF($H2524="ENGAGE","Engagé",IF(AND($H2524="NON ENGAGE",OR($I2524="INFRUCTUEUX",$I2524="ANNULE")),"Clôturé sans suite","En cours")))</f>
        <v/>
      </c>
      <c r="N2524">
        <f>IF(ISBLANK('ENGAGEMENTS 2026'!B2524),"",'ENGAGEMENTS 2026'!K2524)</f>
        <v/>
      </c>
      <c r="O2524">
        <f>IF(ISBLANK('ENGAGEMENTS 2026'!B2524),"",'ENGAGEMENTS 2026'!L2524)</f>
        <v/>
      </c>
      <c r="P2524">
        <f>IF(ISBLANK('ENGAGEMENTS 2026'!B2524),"",'ENGAGEMENTS 2026'!J2524)</f>
        <v/>
      </c>
      <c r="Q2524">
        <f>IF($A2524="","",IF(OR($E2524="INFRUCTUEUX",$E2524="ANNULE"),$A2524&amp;"|"&amp;(COUNTIFS($A$2:$A2524,$A2524,$E$2:$E2524,"INFRUCTUEUX")+COUNTIFS($A$2:$A2524,$A2524,$E$2:$E2524,"ANNULE")),""))</f>
        <v/>
      </c>
    </row>
    <row r="2525">
      <c r="A2525">
        <f>IF(ISBLANK('ENGAGEMENTS 2026'!B2525),"",IF('ENGAGEMENTS 2026'!B2525="DTSI","DCT",'ENGAGEMENTS 2026'!B2525))</f>
        <v/>
      </c>
      <c r="B2525">
        <f>IF(ISBLANK('ENGAGEMENTS 2026'!B2525),"",'ENGAGEMENTS 2026'!C2525)</f>
        <v/>
      </c>
      <c r="C2525">
        <f>IF(ISBLANK('ENGAGEMENTS 2026'!B2525),"",'ENGAGEMENTS 2026'!D2525)</f>
        <v/>
      </c>
      <c r="D2525">
        <f>IF(ISBLANK('ENGAGEMENTS 2026'!B2525),"",'ENGAGEMENTS 2026'!F2525)</f>
        <v/>
      </c>
      <c r="E2525">
        <f>IF(ISBLANK('ENGAGEMENTS 2026'!B2525),"",'ENGAGEMENTS 2026'!H2525)</f>
        <v/>
      </c>
      <c r="F2525">
        <f>IF(ISBLANK('ENGAGEMENTS 2026'!B2525),"",'ENGAGEMENTS 2026'!I2525)</f>
        <v/>
      </c>
      <c r="G2525">
        <f>IF(ISBLANK('ENGAGEMENTS 2026'!B2525),"",'ENGAGEMENTS 2026'!L2525)</f>
        <v/>
      </c>
      <c r="H2525">
        <f>IF(ISBLANK('ENGAGEMENTS 2026'!B2525),"",'ENGAGEMENTS 2026'!AE2525)</f>
        <v/>
      </c>
      <c r="I2525">
        <f>IF(ISBLANK('ENGAGEMENTS 2026'!B2525),"",'ENGAGEMENTS 2026'!G2525)</f>
        <v/>
      </c>
      <c r="J2525" s="275">
        <f>IF(ISBLANK('ENGAGEMENTS 2026'!B2525),"",IF(AND(OR($E2525="INFRUCTUEUX",$E2525="ANNULE"),$C2525="AOO-M"),'ENGAGEMENTS 2026'!O2525,IF($H2525="EN COURS DE PREENGAGEMENT",'ENGAGEMENTS 2026'!N2525,IF($H2525="PREENGAGE",IF($E2525="ATTRIBUE",'ENGAGEMENTS 2026'!AD2525,'ENGAGEMENTS 2026'!N2525),'ENGAGEMENTS 2026'!AD2525))))</f>
        <v/>
      </c>
      <c r="K2525" s="604">
        <f>IF(ISBLANK('ENGAGEMENTS 2026'!V2525),"",'ENGAGEMENTS 2026'!V2525)</f>
        <v/>
      </c>
      <c r="L2525" s="276">
        <f>IF($K2525="","",TODAY()-$K2525)</f>
        <v/>
      </c>
      <c r="M2525">
        <f>IF($A2525="","",IF($H2525="ENGAGE","Engagé",IF(AND($H2525="NON ENGAGE",OR($I2525="INFRUCTUEUX",$I2525="ANNULE")),"Clôturé sans suite","En cours")))</f>
        <v/>
      </c>
      <c r="N2525">
        <f>IF(ISBLANK('ENGAGEMENTS 2026'!B2525),"",'ENGAGEMENTS 2026'!K2525)</f>
        <v/>
      </c>
      <c r="O2525">
        <f>IF(ISBLANK('ENGAGEMENTS 2026'!B2525),"",'ENGAGEMENTS 2026'!L2525)</f>
        <v/>
      </c>
      <c r="P2525">
        <f>IF(ISBLANK('ENGAGEMENTS 2026'!B2525),"",'ENGAGEMENTS 2026'!J2525)</f>
        <v/>
      </c>
      <c r="Q2525">
        <f>IF($A2525="","",IF(OR($E2525="INFRUCTUEUX",$E2525="ANNULE"),$A2525&amp;"|"&amp;(COUNTIFS($A$2:$A2525,$A2525,$E$2:$E2525,"INFRUCTUEUX")+COUNTIFS($A$2:$A2525,$A2525,$E$2:$E2525,"ANNULE")),""))</f>
        <v/>
      </c>
    </row>
    <row r="2526">
      <c r="A2526">
        <f>IF(ISBLANK('ENGAGEMENTS 2026'!B2526),"",IF('ENGAGEMENTS 2026'!B2526="DTSI","DCT",'ENGAGEMENTS 2026'!B2526))</f>
        <v/>
      </c>
      <c r="B2526">
        <f>IF(ISBLANK('ENGAGEMENTS 2026'!B2526),"",'ENGAGEMENTS 2026'!C2526)</f>
        <v/>
      </c>
      <c r="C2526">
        <f>IF(ISBLANK('ENGAGEMENTS 2026'!B2526),"",'ENGAGEMENTS 2026'!D2526)</f>
        <v/>
      </c>
      <c r="D2526">
        <f>IF(ISBLANK('ENGAGEMENTS 2026'!B2526),"",'ENGAGEMENTS 2026'!F2526)</f>
        <v/>
      </c>
      <c r="E2526">
        <f>IF(ISBLANK('ENGAGEMENTS 2026'!B2526),"",'ENGAGEMENTS 2026'!H2526)</f>
        <v/>
      </c>
      <c r="F2526">
        <f>IF(ISBLANK('ENGAGEMENTS 2026'!B2526),"",'ENGAGEMENTS 2026'!I2526)</f>
        <v/>
      </c>
      <c r="G2526">
        <f>IF(ISBLANK('ENGAGEMENTS 2026'!B2526),"",'ENGAGEMENTS 2026'!L2526)</f>
        <v/>
      </c>
      <c r="H2526">
        <f>IF(ISBLANK('ENGAGEMENTS 2026'!B2526),"",'ENGAGEMENTS 2026'!AE2526)</f>
        <v/>
      </c>
      <c r="I2526">
        <f>IF(ISBLANK('ENGAGEMENTS 2026'!B2526),"",'ENGAGEMENTS 2026'!G2526)</f>
        <v/>
      </c>
      <c r="J2526" s="275">
        <f>IF(ISBLANK('ENGAGEMENTS 2026'!B2526),"",IF(AND(OR($E2526="INFRUCTUEUX",$E2526="ANNULE"),$C2526="AOO-M"),'ENGAGEMENTS 2026'!O2526,IF($H2526="EN COURS DE PREENGAGEMENT",'ENGAGEMENTS 2026'!N2526,IF($H2526="PREENGAGE",IF($E2526="ATTRIBUE",'ENGAGEMENTS 2026'!AD2526,'ENGAGEMENTS 2026'!N2526),'ENGAGEMENTS 2026'!AD2526))))</f>
        <v/>
      </c>
      <c r="K2526" s="604">
        <f>IF(ISBLANK('ENGAGEMENTS 2026'!V2526),"",'ENGAGEMENTS 2026'!V2526)</f>
        <v/>
      </c>
      <c r="L2526" s="276">
        <f>IF($K2526="","",TODAY()-$K2526)</f>
        <v/>
      </c>
      <c r="M2526">
        <f>IF($A2526="","",IF($H2526="ENGAGE","Engagé",IF(AND($H2526="NON ENGAGE",OR($I2526="INFRUCTUEUX",$I2526="ANNULE")),"Clôturé sans suite","En cours")))</f>
        <v/>
      </c>
      <c r="N2526">
        <f>IF(ISBLANK('ENGAGEMENTS 2026'!B2526),"",'ENGAGEMENTS 2026'!K2526)</f>
        <v/>
      </c>
      <c r="O2526">
        <f>IF(ISBLANK('ENGAGEMENTS 2026'!B2526),"",'ENGAGEMENTS 2026'!L2526)</f>
        <v/>
      </c>
      <c r="P2526">
        <f>IF(ISBLANK('ENGAGEMENTS 2026'!B2526),"",'ENGAGEMENTS 2026'!J2526)</f>
        <v/>
      </c>
      <c r="Q2526">
        <f>IF($A2526="","",IF(OR($E2526="INFRUCTUEUX",$E2526="ANNULE"),$A2526&amp;"|"&amp;(COUNTIFS($A$2:$A2526,$A2526,$E$2:$E2526,"INFRUCTUEUX")+COUNTIFS($A$2:$A2526,$A2526,$E$2:$E2526,"ANNULE")),""))</f>
        <v/>
      </c>
    </row>
    <row r="2527">
      <c r="A2527">
        <f>IF(ISBLANK('ENGAGEMENTS 2026'!B2527),"",IF('ENGAGEMENTS 2026'!B2527="DTSI","DCT",'ENGAGEMENTS 2026'!B2527))</f>
        <v/>
      </c>
      <c r="B2527">
        <f>IF(ISBLANK('ENGAGEMENTS 2026'!B2527),"",'ENGAGEMENTS 2026'!C2527)</f>
        <v/>
      </c>
      <c r="C2527">
        <f>IF(ISBLANK('ENGAGEMENTS 2026'!B2527),"",'ENGAGEMENTS 2026'!D2527)</f>
        <v/>
      </c>
      <c r="D2527">
        <f>IF(ISBLANK('ENGAGEMENTS 2026'!B2527),"",'ENGAGEMENTS 2026'!F2527)</f>
        <v/>
      </c>
      <c r="E2527">
        <f>IF(ISBLANK('ENGAGEMENTS 2026'!B2527),"",'ENGAGEMENTS 2026'!H2527)</f>
        <v/>
      </c>
      <c r="F2527">
        <f>IF(ISBLANK('ENGAGEMENTS 2026'!B2527),"",'ENGAGEMENTS 2026'!I2527)</f>
        <v/>
      </c>
      <c r="G2527">
        <f>IF(ISBLANK('ENGAGEMENTS 2026'!B2527),"",'ENGAGEMENTS 2026'!L2527)</f>
        <v/>
      </c>
      <c r="H2527">
        <f>IF(ISBLANK('ENGAGEMENTS 2026'!B2527),"",'ENGAGEMENTS 2026'!AE2527)</f>
        <v/>
      </c>
      <c r="I2527">
        <f>IF(ISBLANK('ENGAGEMENTS 2026'!B2527),"",'ENGAGEMENTS 2026'!G2527)</f>
        <v/>
      </c>
      <c r="J2527" s="275">
        <f>IF(ISBLANK('ENGAGEMENTS 2026'!B2527),"",IF(AND(OR($E2527="INFRUCTUEUX",$E2527="ANNULE"),$C2527="AOO-M"),'ENGAGEMENTS 2026'!O2527,IF($H2527="EN COURS DE PREENGAGEMENT",'ENGAGEMENTS 2026'!N2527,IF($H2527="PREENGAGE",IF($E2527="ATTRIBUE",'ENGAGEMENTS 2026'!AD2527,'ENGAGEMENTS 2026'!N2527),'ENGAGEMENTS 2026'!AD2527))))</f>
        <v/>
      </c>
      <c r="K2527" s="604">
        <f>IF(ISBLANK('ENGAGEMENTS 2026'!V2527),"",'ENGAGEMENTS 2026'!V2527)</f>
        <v/>
      </c>
      <c r="L2527" s="276">
        <f>IF($K2527="","",TODAY()-$K2527)</f>
        <v/>
      </c>
      <c r="M2527">
        <f>IF($A2527="","",IF($H2527="ENGAGE","Engagé",IF(AND($H2527="NON ENGAGE",OR($I2527="INFRUCTUEUX",$I2527="ANNULE")),"Clôturé sans suite","En cours")))</f>
        <v/>
      </c>
      <c r="N2527">
        <f>IF(ISBLANK('ENGAGEMENTS 2026'!B2527),"",'ENGAGEMENTS 2026'!K2527)</f>
        <v/>
      </c>
      <c r="O2527">
        <f>IF(ISBLANK('ENGAGEMENTS 2026'!B2527),"",'ENGAGEMENTS 2026'!L2527)</f>
        <v/>
      </c>
      <c r="P2527">
        <f>IF(ISBLANK('ENGAGEMENTS 2026'!B2527),"",'ENGAGEMENTS 2026'!J2527)</f>
        <v/>
      </c>
      <c r="Q2527">
        <f>IF($A2527="","",IF(OR($E2527="INFRUCTUEUX",$E2527="ANNULE"),$A2527&amp;"|"&amp;(COUNTIFS($A$2:$A2527,$A2527,$E$2:$E2527,"INFRUCTUEUX")+COUNTIFS($A$2:$A2527,$A2527,$E$2:$E2527,"ANNULE")),""))</f>
        <v/>
      </c>
    </row>
    <row r="2528">
      <c r="A2528">
        <f>IF(ISBLANK('ENGAGEMENTS 2026'!B2528),"",IF('ENGAGEMENTS 2026'!B2528="DTSI","DCT",'ENGAGEMENTS 2026'!B2528))</f>
        <v/>
      </c>
      <c r="B2528">
        <f>IF(ISBLANK('ENGAGEMENTS 2026'!B2528),"",'ENGAGEMENTS 2026'!C2528)</f>
        <v/>
      </c>
      <c r="C2528">
        <f>IF(ISBLANK('ENGAGEMENTS 2026'!B2528),"",'ENGAGEMENTS 2026'!D2528)</f>
        <v/>
      </c>
      <c r="D2528">
        <f>IF(ISBLANK('ENGAGEMENTS 2026'!B2528),"",'ENGAGEMENTS 2026'!F2528)</f>
        <v/>
      </c>
      <c r="E2528">
        <f>IF(ISBLANK('ENGAGEMENTS 2026'!B2528),"",'ENGAGEMENTS 2026'!H2528)</f>
        <v/>
      </c>
      <c r="F2528">
        <f>IF(ISBLANK('ENGAGEMENTS 2026'!B2528),"",'ENGAGEMENTS 2026'!I2528)</f>
        <v/>
      </c>
      <c r="G2528">
        <f>IF(ISBLANK('ENGAGEMENTS 2026'!B2528),"",'ENGAGEMENTS 2026'!L2528)</f>
        <v/>
      </c>
      <c r="H2528">
        <f>IF(ISBLANK('ENGAGEMENTS 2026'!B2528),"",'ENGAGEMENTS 2026'!AE2528)</f>
        <v/>
      </c>
      <c r="I2528">
        <f>IF(ISBLANK('ENGAGEMENTS 2026'!B2528),"",'ENGAGEMENTS 2026'!G2528)</f>
        <v/>
      </c>
      <c r="J2528" s="275">
        <f>IF(ISBLANK('ENGAGEMENTS 2026'!B2528),"",IF(AND(OR($E2528="INFRUCTUEUX",$E2528="ANNULE"),$C2528="AOO-M"),'ENGAGEMENTS 2026'!O2528,IF($H2528="EN COURS DE PREENGAGEMENT",'ENGAGEMENTS 2026'!N2528,IF($H2528="PREENGAGE",IF($E2528="ATTRIBUE",'ENGAGEMENTS 2026'!AD2528,'ENGAGEMENTS 2026'!N2528),'ENGAGEMENTS 2026'!AD2528))))</f>
        <v/>
      </c>
      <c r="K2528" s="604">
        <f>IF(ISBLANK('ENGAGEMENTS 2026'!V2528),"",'ENGAGEMENTS 2026'!V2528)</f>
        <v/>
      </c>
      <c r="L2528" s="276">
        <f>IF($K2528="","",TODAY()-$K2528)</f>
        <v/>
      </c>
      <c r="M2528">
        <f>IF($A2528="","",IF($H2528="ENGAGE","Engagé",IF(AND($H2528="NON ENGAGE",OR($I2528="INFRUCTUEUX",$I2528="ANNULE")),"Clôturé sans suite","En cours")))</f>
        <v/>
      </c>
      <c r="N2528">
        <f>IF(ISBLANK('ENGAGEMENTS 2026'!B2528),"",'ENGAGEMENTS 2026'!K2528)</f>
        <v/>
      </c>
      <c r="O2528">
        <f>IF(ISBLANK('ENGAGEMENTS 2026'!B2528),"",'ENGAGEMENTS 2026'!L2528)</f>
        <v/>
      </c>
      <c r="P2528">
        <f>IF(ISBLANK('ENGAGEMENTS 2026'!B2528),"",'ENGAGEMENTS 2026'!J2528)</f>
        <v/>
      </c>
      <c r="Q2528">
        <f>IF($A2528="","",IF(OR($E2528="INFRUCTUEUX",$E2528="ANNULE"),$A2528&amp;"|"&amp;(COUNTIFS($A$2:$A2528,$A2528,$E$2:$E2528,"INFRUCTUEUX")+COUNTIFS($A$2:$A2528,$A2528,$E$2:$E2528,"ANNULE")),""))</f>
        <v/>
      </c>
    </row>
    <row r="2529">
      <c r="A2529">
        <f>IF(ISBLANK('ENGAGEMENTS 2026'!B2529),"",IF('ENGAGEMENTS 2026'!B2529="DTSI","DCT",'ENGAGEMENTS 2026'!B2529))</f>
        <v/>
      </c>
      <c r="B2529">
        <f>IF(ISBLANK('ENGAGEMENTS 2026'!B2529),"",'ENGAGEMENTS 2026'!C2529)</f>
        <v/>
      </c>
      <c r="C2529">
        <f>IF(ISBLANK('ENGAGEMENTS 2026'!B2529),"",'ENGAGEMENTS 2026'!D2529)</f>
        <v/>
      </c>
      <c r="D2529">
        <f>IF(ISBLANK('ENGAGEMENTS 2026'!B2529),"",'ENGAGEMENTS 2026'!F2529)</f>
        <v/>
      </c>
      <c r="E2529">
        <f>IF(ISBLANK('ENGAGEMENTS 2026'!B2529),"",'ENGAGEMENTS 2026'!H2529)</f>
        <v/>
      </c>
      <c r="F2529">
        <f>IF(ISBLANK('ENGAGEMENTS 2026'!B2529),"",'ENGAGEMENTS 2026'!I2529)</f>
        <v/>
      </c>
      <c r="G2529">
        <f>IF(ISBLANK('ENGAGEMENTS 2026'!B2529),"",'ENGAGEMENTS 2026'!L2529)</f>
        <v/>
      </c>
      <c r="H2529">
        <f>IF(ISBLANK('ENGAGEMENTS 2026'!B2529),"",'ENGAGEMENTS 2026'!AE2529)</f>
        <v/>
      </c>
      <c r="I2529">
        <f>IF(ISBLANK('ENGAGEMENTS 2026'!B2529),"",'ENGAGEMENTS 2026'!G2529)</f>
        <v/>
      </c>
      <c r="J2529" s="275">
        <f>IF(ISBLANK('ENGAGEMENTS 2026'!B2529),"",IF(AND(OR($E2529="INFRUCTUEUX",$E2529="ANNULE"),$C2529="AOO-M"),'ENGAGEMENTS 2026'!O2529,IF($H2529="EN COURS DE PREENGAGEMENT",'ENGAGEMENTS 2026'!N2529,IF($H2529="PREENGAGE",IF($E2529="ATTRIBUE",'ENGAGEMENTS 2026'!AD2529,'ENGAGEMENTS 2026'!N2529),'ENGAGEMENTS 2026'!AD2529))))</f>
        <v/>
      </c>
      <c r="K2529" s="604">
        <f>IF(ISBLANK('ENGAGEMENTS 2026'!V2529),"",'ENGAGEMENTS 2026'!V2529)</f>
        <v/>
      </c>
      <c r="L2529" s="276">
        <f>IF($K2529="","",TODAY()-$K2529)</f>
        <v/>
      </c>
      <c r="M2529">
        <f>IF($A2529="","",IF($H2529="ENGAGE","Engagé",IF(AND($H2529="NON ENGAGE",OR($I2529="INFRUCTUEUX",$I2529="ANNULE")),"Clôturé sans suite","En cours")))</f>
        <v/>
      </c>
      <c r="N2529">
        <f>IF(ISBLANK('ENGAGEMENTS 2026'!B2529),"",'ENGAGEMENTS 2026'!K2529)</f>
        <v/>
      </c>
      <c r="O2529">
        <f>IF(ISBLANK('ENGAGEMENTS 2026'!B2529),"",'ENGAGEMENTS 2026'!L2529)</f>
        <v/>
      </c>
      <c r="P2529">
        <f>IF(ISBLANK('ENGAGEMENTS 2026'!B2529),"",'ENGAGEMENTS 2026'!J2529)</f>
        <v/>
      </c>
      <c r="Q2529">
        <f>IF($A2529="","",IF(OR($E2529="INFRUCTUEUX",$E2529="ANNULE"),$A2529&amp;"|"&amp;(COUNTIFS($A$2:$A2529,$A2529,$E$2:$E2529,"INFRUCTUEUX")+COUNTIFS($A$2:$A2529,$A2529,$E$2:$E2529,"ANNULE")),""))</f>
        <v/>
      </c>
    </row>
    <row r="2530">
      <c r="A2530">
        <f>IF(ISBLANK('ENGAGEMENTS 2026'!B2530),"",IF('ENGAGEMENTS 2026'!B2530="DTSI","DCT",'ENGAGEMENTS 2026'!B2530))</f>
        <v/>
      </c>
      <c r="B2530">
        <f>IF(ISBLANK('ENGAGEMENTS 2026'!B2530),"",'ENGAGEMENTS 2026'!C2530)</f>
        <v/>
      </c>
      <c r="C2530">
        <f>IF(ISBLANK('ENGAGEMENTS 2026'!B2530),"",'ENGAGEMENTS 2026'!D2530)</f>
        <v/>
      </c>
      <c r="D2530">
        <f>IF(ISBLANK('ENGAGEMENTS 2026'!B2530),"",'ENGAGEMENTS 2026'!F2530)</f>
        <v/>
      </c>
      <c r="E2530">
        <f>IF(ISBLANK('ENGAGEMENTS 2026'!B2530),"",'ENGAGEMENTS 2026'!H2530)</f>
        <v/>
      </c>
      <c r="F2530">
        <f>IF(ISBLANK('ENGAGEMENTS 2026'!B2530),"",'ENGAGEMENTS 2026'!I2530)</f>
        <v/>
      </c>
      <c r="G2530">
        <f>IF(ISBLANK('ENGAGEMENTS 2026'!B2530),"",'ENGAGEMENTS 2026'!L2530)</f>
        <v/>
      </c>
      <c r="H2530">
        <f>IF(ISBLANK('ENGAGEMENTS 2026'!B2530),"",'ENGAGEMENTS 2026'!AE2530)</f>
        <v/>
      </c>
      <c r="I2530">
        <f>IF(ISBLANK('ENGAGEMENTS 2026'!B2530),"",'ENGAGEMENTS 2026'!G2530)</f>
        <v/>
      </c>
      <c r="J2530" s="275">
        <f>IF(ISBLANK('ENGAGEMENTS 2026'!B2530),"",IF(AND(OR($E2530="INFRUCTUEUX",$E2530="ANNULE"),$C2530="AOO-M"),'ENGAGEMENTS 2026'!O2530,IF($H2530="EN COURS DE PREENGAGEMENT",'ENGAGEMENTS 2026'!N2530,IF($H2530="PREENGAGE",IF($E2530="ATTRIBUE",'ENGAGEMENTS 2026'!AD2530,'ENGAGEMENTS 2026'!N2530),'ENGAGEMENTS 2026'!AD2530))))</f>
        <v/>
      </c>
      <c r="K2530" s="604">
        <f>IF(ISBLANK('ENGAGEMENTS 2026'!V2530),"",'ENGAGEMENTS 2026'!V2530)</f>
        <v/>
      </c>
      <c r="L2530" s="276">
        <f>IF($K2530="","",TODAY()-$K2530)</f>
        <v/>
      </c>
      <c r="M2530">
        <f>IF($A2530="","",IF($H2530="ENGAGE","Engagé",IF(AND($H2530="NON ENGAGE",OR($I2530="INFRUCTUEUX",$I2530="ANNULE")),"Clôturé sans suite","En cours")))</f>
        <v/>
      </c>
      <c r="N2530">
        <f>IF(ISBLANK('ENGAGEMENTS 2026'!B2530),"",'ENGAGEMENTS 2026'!K2530)</f>
        <v/>
      </c>
      <c r="O2530">
        <f>IF(ISBLANK('ENGAGEMENTS 2026'!B2530),"",'ENGAGEMENTS 2026'!L2530)</f>
        <v/>
      </c>
      <c r="P2530">
        <f>IF(ISBLANK('ENGAGEMENTS 2026'!B2530),"",'ENGAGEMENTS 2026'!J2530)</f>
        <v/>
      </c>
      <c r="Q2530">
        <f>IF($A2530="","",IF(OR($E2530="INFRUCTUEUX",$E2530="ANNULE"),$A2530&amp;"|"&amp;(COUNTIFS($A$2:$A2530,$A2530,$E$2:$E2530,"INFRUCTUEUX")+COUNTIFS($A$2:$A2530,$A2530,$E$2:$E2530,"ANNULE")),""))</f>
        <v/>
      </c>
    </row>
    <row r="2531">
      <c r="A2531">
        <f>IF(ISBLANK('ENGAGEMENTS 2026'!B2531),"",IF('ENGAGEMENTS 2026'!B2531="DTSI","DCT",'ENGAGEMENTS 2026'!B2531))</f>
        <v/>
      </c>
      <c r="B2531">
        <f>IF(ISBLANK('ENGAGEMENTS 2026'!B2531),"",'ENGAGEMENTS 2026'!C2531)</f>
        <v/>
      </c>
      <c r="C2531">
        <f>IF(ISBLANK('ENGAGEMENTS 2026'!B2531),"",'ENGAGEMENTS 2026'!D2531)</f>
        <v/>
      </c>
      <c r="D2531">
        <f>IF(ISBLANK('ENGAGEMENTS 2026'!B2531),"",'ENGAGEMENTS 2026'!F2531)</f>
        <v/>
      </c>
      <c r="E2531">
        <f>IF(ISBLANK('ENGAGEMENTS 2026'!B2531),"",'ENGAGEMENTS 2026'!H2531)</f>
        <v/>
      </c>
      <c r="F2531">
        <f>IF(ISBLANK('ENGAGEMENTS 2026'!B2531),"",'ENGAGEMENTS 2026'!I2531)</f>
        <v/>
      </c>
      <c r="G2531">
        <f>IF(ISBLANK('ENGAGEMENTS 2026'!B2531),"",'ENGAGEMENTS 2026'!L2531)</f>
        <v/>
      </c>
      <c r="H2531">
        <f>IF(ISBLANK('ENGAGEMENTS 2026'!B2531),"",'ENGAGEMENTS 2026'!AE2531)</f>
        <v/>
      </c>
      <c r="I2531">
        <f>IF(ISBLANK('ENGAGEMENTS 2026'!B2531),"",'ENGAGEMENTS 2026'!G2531)</f>
        <v/>
      </c>
      <c r="J2531" s="275">
        <f>IF(ISBLANK('ENGAGEMENTS 2026'!B2531),"",IF(AND(OR($E2531="INFRUCTUEUX",$E2531="ANNULE"),$C2531="AOO-M"),'ENGAGEMENTS 2026'!O2531,IF($H2531="EN COURS DE PREENGAGEMENT",'ENGAGEMENTS 2026'!N2531,IF($H2531="PREENGAGE",IF($E2531="ATTRIBUE",'ENGAGEMENTS 2026'!AD2531,'ENGAGEMENTS 2026'!N2531),'ENGAGEMENTS 2026'!AD2531))))</f>
        <v/>
      </c>
      <c r="K2531" s="604">
        <f>IF(ISBLANK('ENGAGEMENTS 2026'!V2531),"",'ENGAGEMENTS 2026'!V2531)</f>
        <v/>
      </c>
      <c r="L2531" s="276">
        <f>IF($K2531="","",TODAY()-$K2531)</f>
        <v/>
      </c>
      <c r="M2531">
        <f>IF($A2531="","",IF($H2531="ENGAGE","Engagé",IF(AND($H2531="NON ENGAGE",OR($I2531="INFRUCTUEUX",$I2531="ANNULE")),"Clôturé sans suite","En cours")))</f>
        <v/>
      </c>
      <c r="N2531">
        <f>IF(ISBLANK('ENGAGEMENTS 2026'!B2531),"",'ENGAGEMENTS 2026'!K2531)</f>
        <v/>
      </c>
      <c r="O2531">
        <f>IF(ISBLANK('ENGAGEMENTS 2026'!B2531),"",'ENGAGEMENTS 2026'!L2531)</f>
        <v/>
      </c>
      <c r="P2531">
        <f>IF(ISBLANK('ENGAGEMENTS 2026'!B2531),"",'ENGAGEMENTS 2026'!J2531)</f>
        <v/>
      </c>
      <c r="Q2531">
        <f>IF($A2531="","",IF(OR($E2531="INFRUCTUEUX",$E2531="ANNULE"),$A2531&amp;"|"&amp;(COUNTIFS($A$2:$A2531,$A2531,$E$2:$E2531,"INFRUCTUEUX")+COUNTIFS($A$2:$A2531,$A2531,$E$2:$E2531,"ANNULE")),""))</f>
        <v/>
      </c>
    </row>
    <row r="2532">
      <c r="A2532">
        <f>IF(ISBLANK('ENGAGEMENTS 2026'!B2532),"",IF('ENGAGEMENTS 2026'!B2532="DTSI","DCT",'ENGAGEMENTS 2026'!B2532))</f>
        <v/>
      </c>
      <c r="B2532">
        <f>IF(ISBLANK('ENGAGEMENTS 2026'!B2532),"",'ENGAGEMENTS 2026'!C2532)</f>
        <v/>
      </c>
      <c r="C2532">
        <f>IF(ISBLANK('ENGAGEMENTS 2026'!B2532),"",'ENGAGEMENTS 2026'!D2532)</f>
        <v/>
      </c>
      <c r="D2532">
        <f>IF(ISBLANK('ENGAGEMENTS 2026'!B2532),"",'ENGAGEMENTS 2026'!F2532)</f>
        <v/>
      </c>
      <c r="E2532">
        <f>IF(ISBLANK('ENGAGEMENTS 2026'!B2532),"",'ENGAGEMENTS 2026'!H2532)</f>
        <v/>
      </c>
      <c r="F2532">
        <f>IF(ISBLANK('ENGAGEMENTS 2026'!B2532),"",'ENGAGEMENTS 2026'!I2532)</f>
        <v/>
      </c>
      <c r="G2532">
        <f>IF(ISBLANK('ENGAGEMENTS 2026'!B2532),"",'ENGAGEMENTS 2026'!L2532)</f>
        <v/>
      </c>
      <c r="H2532">
        <f>IF(ISBLANK('ENGAGEMENTS 2026'!B2532),"",'ENGAGEMENTS 2026'!AE2532)</f>
        <v/>
      </c>
      <c r="I2532">
        <f>IF(ISBLANK('ENGAGEMENTS 2026'!B2532),"",'ENGAGEMENTS 2026'!G2532)</f>
        <v/>
      </c>
      <c r="J2532" s="275">
        <f>IF(ISBLANK('ENGAGEMENTS 2026'!B2532),"",IF(AND(OR($E2532="INFRUCTUEUX",$E2532="ANNULE"),$C2532="AOO-M"),'ENGAGEMENTS 2026'!O2532,IF($H2532="EN COURS DE PREENGAGEMENT",'ENGAGEMENTS 2026'!N2532,IF($H2532="PREENGAGE",IF($E2532="ATTRIBUE",'ENGAGEMENTS 2026'!AD2532,'ENGAGEMENTS 2026'!N2532),'ENGAGEMENTS 2026'!AD2532))))</f>
        <v/>
      </c>
      <c r="K2532" s="604">
        <f>IF(ISBLANK('ENGAGEMENTS 2026'!V2532),"",'ENGAGEMENTS 2026'!V2532)</f>
        <v/>
      </c>
      <c r="L2532" s="276">
        <f>IF($K2532="","",TODAY()-$K2532)</f>
        <v/>
      </c>
      <c r="M2532">
        <f>IF($A2532="","",IF($H2532="ENGAGE","Engagé",IF(AND($H2532="NON ENGAGE",OR($I2532="INFRUCTUEUX",$I2532="ANNULE")),"Clôturé sans suite","En cours")))</f>
        <v/>
      </c>
      <c r="N2532">
        <f>IF(ISBLANK('ENGAGEMENTS 2026'!B2532),"",'ENGAGEMENTS 2026'!K2532)</f>
        <v/>
      </c>
      <c r="O2532">
        <f>IF(ISBLANK('ENGAGEMENTS 2026'!B2532),"",'ENGAGEMENTS 2026'!L2532)</f>
        <v/>
      </c>
      <c r="P2532">
        <f>IF(ISBLANK('ENGAGEMENTS 2026'!B2532),"",'ENGAGEMENTS 2026'!J2532)</f>
        <v/>
      </c>
      <c r="Q2532">
        <f>IF($A2532="","",IF(OR($E2532="INFRUCTUEUX",$E2532="ANNULE"),$A2532&amp;"|"&amp;(COUNTIFS($A$2:$A2532,$A2532,$E$2:$E2532,"INFRUCTUEUX")+COUNTIFS($A$2:$A2532,$A2532,$E$2:$E2532,"ANNULE")),""))</f>
        <v/>
      </c>
    </row>
    <row r="2533">
      <c r="A2533">
        <f>IF(ISBLANK('ENGAGEMENTS 2026'!B2533),"",IF('ENGAGEMENTS 2026'!B2533="DTSI","DCT",'ENGAGEMENTS 2026'!B2533))</f>
        <v/>
      </c>
      <c r="B2533">
        <f>IF(ISBLANK('ENGAGEMENTS 2026'!B2533),"",'ENGAGEMENTS 2026'!C2533)</f>
        <v/>
      </c>
      <c r="C2533">
        <f>IF(ISBLANK('ENGAGEMENTS 2026'!B2533),"",'ENGAGEMENTS 2026'!D2533)</f>
        <v/>
      </c>
      <c r="D2533">
        <f>IF(ISBLANK('ENGAGEMENTS 2026'!B2533),"",'ENGAGEMENTS 2026'!F2533)</f>
        <v/>
      </c>
      <c r="E2533">
        <f>IF(ISBLANK('ENGAGEMENTS 2026'!B2533),"",'ENGAGEMENTS 2026'!H2533)</f>
        <v/>
      </c>
      <c r="F2533">
        <f>IF(ISBLANK('ENGAGEMENTS 2026'!B2533),"",'ENGAGEMENTS 2026'!I2533)</f>
        <v/>
      </c>
      <c r="G2533">
        <f>IF(ISBLANK('ENGAGEMENTS 2026'!B2533),"",'ENGAGEMENTS 2026'!L2533)</f>
        <v/>
      </c>
      <c r="H2533">
        <f>IF(ISBLANK('ENGAGEMENTS 2026'!B2533),"",'ENGAGEMENTS 2026'!AE2533)</f>
        <v/>
      </c>
      <c r="I2533">
        <f>IF(ISBLANK('ENGAGEMENTS 2026'!B2533),"",'ENGAGEMENTS 2026'!G2533)</f>
        <v/>
      </c>
      <c r="J2533" s="275">
        <f>IF(ISBLANK('ENGAGEMENTS 2026'!B2533),"",IF(AND(OR($E2533="INFRUCTUEUX",$E2533="ANNULE"),$C2533="AOO-M"),'ENGAGEMENTS 2026'!O2533,IF($H2533="EN COURS DE PREENGAGEMENT",'ENGAGEMENTS 2026'!N2533,IF($H2533="PREENGAGE",IF($E2533="ATTRIBUE",'ENGAGEMENTS 2026'!AD2533,'ENGAGEMENTS 2026'!N2533),'ENGAGEMENTS 2026'!AD2533))))</f>
        <v/>
      </c>
      <c r="K2533" s="604">
        <f>IF(ISBLANK('ENGAGEMENTS 2026'!V2533),"",'ENGAGEMENTS 2026'!V2533)</f>
        <v/>
      </c>
      <c r="L2533" s="276">
        <f>IF($K2533="","",TODAY()-$K2533)</f>
        <v/>
      </c>
      <c r="M2533">
        <f>IF($A2533="","",IF($H2533="ENGAGE","Engagé",IF(AND($H2533="NON ENGAGE",OR($I2533="INFRUCTUEUX",$I2533="ANNULE")),"Clôturé sans suite","En cours")))</f>
        <v/>
      </c>
      <c r="N2533">
        <f>IF(ISBLANK('ENGAGEMENTS 2026'!B2533),"",'ENGAGEMENTS 2026'!K2533)</f>
        <v/>
      </c>
      <c r="O2533">
        <f>IF(ISBLANK('ENGAGEMENTS 2026'!B2533),"",'ENGAGEMENTS 2026'!L2533)</f>
        <v/>
      </c>
      <c r="P2533">
        <f>IF(ISBLANK('ENGAGEMENTS 2026'!B2533),"",'ENGAGEMENTS 2026'!J2533)</f>
        <v/>
      </c>
      <c r="Q2533">
        <f>IF($A2533="","",IF(OR($E2533="INFRUCTUEUX",$E2533="ANNULE"),$A2533&amp;"|"&amp;(COUNTIFS($A$2:$A2533,$A2533,$E$2:$E2533,"INFRUCTUEUX")+COUNTIFS($A$2:$A2533,$A2533,$E$2:$E2533,"ANNULE")),""))</f>
        <v/>
      </c>
    </row>
    <row r="2534">
      <c r="A2534">
        <f>IF(ISBLANK('ENGAGEMENTS 2026'!B2534),"",IF('ENGAGEMENTS 2026'!B2534="DTSI","DCT",'ENGAGEMENTS 2026'!B2534))</f>
        <v/>
      </c>
      <c r="B2534">
        <f>IF(ISBLANK('ENGAGEMENTS 2026'!B2534),"",'ENGAGEMENTS 2026'!C2534)</f>
        <v/>
      </c>
      <c r="C2534">
        <f>IF(ISBLANK('ENGAGEMENTS 2026'!B2534),"",'ENGAGEMENTS 2026'!D2534)</f>
        <v/>
      </c>
      <c r="D2534">
        <f>IF(ISBLANK('ENGAGEMENTS 2026'!B2534),"",'ENGAGEMENTS 2026'!F2534)</f>
        <v/>
      </c>
      <c r="E2534">
        <f>IF(ISBLANK('ENGAGEMENTS 2026'!B2534),"",'ENGAGEMENTS 2026'!H2534)</f>
        <v/>
      </c>
      <c r="F2534">
        <f>IF(ISBLANK('ENGAGEMENTS 2026'!B2534),"",'ENGAGEMENTS 2026'!I2534)</f>
        <v/>
      </c>
      <c r="G2534">
        <f>IF(ISBLANK('ENGAGEMENTS 2026'!B2534),"",'ENGAGEMENTS 2026'!L2534)</f>
        <v/>
      </c>
      <c r="H2534">
        <f>IF(ISBLANK('ENGAGEMENTS 2026'!B2534),"",'ENGAGEMENTS 2026'!AE2534)</f>
        <v/>
      </c>
      <c r="I2534">
        <f>IF(ISBLANK('ENGAGEMENTS 2026'!B2534),"",'ENGAGEMENTS 2026'!G2534)</f>
        <v/>
      </c>
      <c r="J2534" s="275">
        <f>IF(ISBLANK('ENGAGEMENTS 2026'!B2534),"",IF(AND(OR($E2534="INFRUCTUEUX",$E2534="ANNULE"),$C2534="AOO-M"),'ENGAGEMENTS 2026'!O2534,IF($H2534="EN COURS DE PREENGAGEMENT",'ENGAGEMENTS 2026'!N2534,IF($H2534="PREENGAGE",IF($E2534="ATTRIBUE",'ENGAGEMENTS 2026'!AD2534,'ENGAGEMENTS 2026'!N2534),'ENGAGEMENTS 2026'!AD2534))))</f>
        <v/>
      </c>
      <c r="K2534" s="604">
        <f>IF(ISBLANK('ENGAGEMENTS 2026'!V2534),"",'ENGAGEMENTS 2026'!V2534)</f>
        <v/>
      </c>
      <c r="L2534" s="276">
        <f>IF($K2534="","",TODAY()-$K2534)</f>
        <v/>
      </c>
      <c r="M2534">
        <f>IF($A2534="","",IF($H2534="ENGAGE","Engagé",IF(AND($H2534="NON ENGAGE",OR($I2534="INFRUCTUEUX",$I2534="ANNULE")),"Clôturé sans suite","En cours")))</f>
        <v/>
      </c>
      <c r="N2534">
        <f>IF(ISBLANK('ENGAGEMENTS 2026'!B2534),"",'ENGAGEMENTS 2026'!K2534)</f>
        <v/>
      </c>
      <c r="O2534">
        <f>IF(ISBLANK('ENGAGEMENTS 2026'!B2534),"",'ENGAGEMENTS 2026'!L2534)</f>
        <v/>
      </c>
      <c r="P2534">
        <f>IF(ISBLANK('ENGAGEMENTS 2026'!B2534),"",'ENGAGEMENTS 2026'!J2534)</f>
        <v/>
      </c>
      <c r="Q2534">
        <f>IF($A2534="","",IF(OR($E2534="INFRUCTUEUX",$E2534="ANNULE"),$A2534&amp;"|"&amp;(COUNTIFS($A$2:$A2534,$A2534,$E$2:$E2534,"INFRUCTUEUX")+COUNTIFS($A$2:$A2534,$A2534,$E$2:$E2534,"ANNULE")),""))</f>
        <v/>
      </c>
    </row>
    <row r="2535">
      <c r="A2535">
        <f>IF(ISBLANK('ENGAGEMENTS 2026'!B2535),"",IF('ENGAGEMENTS 2026'!B2535="DTSI","DCT",'ENGAGEMENTS 2026'!B2535))</f>
        <v/>
      </c>
      <c r="B2535">
        <f>IF(ISBLANK('ENGAGEMENTS 2026'!B2535),"",'ENGAGEMENTS 2026'!C2535)</f>
        <v/>
      </c>
      <c r="C2535">
        <f>IF(ISBLANK('ENGAGEMENTS 2026'!B2535),"",'ENGAGEMENTS 2026'!D2535)</f>
        <v/>
      </c>
      <c r="D2535">
        <f>IF(ISBLANK('ENGAGEMENTS 2026'!B2535),"",'ENGAGEMENTS 2026'!F2535)</f>
        <v/>
      </c>
      <c r="E2535">
        <f>IF(ISBLANK('ENGAGEMENTS 2026'!B2535),"",'ENGAGEMENTS 2026'!H2535)</f>
        <v/>
      </c>
      <c r="F2535">
        <f>IF(ISBLANK('ENGAGEMENTS 2026'!B2535),"",'ENGAGEMENTS 2026'!I2535)</f>
        <v/>
      </c>
      <c r="G2535">
        <f>IF(ISBLANK('ENGAGEMENTS 2026'!B2535),"",'ENGAGEMENTS 2026'!L2535)</f>
        <v/>
      </c>
      <c r="H2535">
        <f>IF(ISBLANK('ENGAGEMENTS 2026'!B2535),"",'ENGAGEMENTS 2026'!AE2535)</f>
        <v/>
      </c>
      <c r="I2535">
        <f>IF(ISBLANK('ENGAGEMENTS 2026'!B2535),"",'ENGAGEMENTS 2026'!G2535)</f>
        <v/>
      </c>
      <c r="J2535" s="275">
        <f>IF(ISBLANK('ENGAGEMENTS 2026'!B2535),"",IF(AND(OR($E2535="INFRUCTUEUX",$E2535="ANNULE"),$C2535="AOO-M"),'ENGAGEMENTS 2026'!O2535,IF($H2535="EN COURS DE PREENGAGEMENT",'ENGAGEMENTS 2026'!N2535,IF($H2535="PREENGAGE",IF($E2535="ATTRIBUE",'ENGAGEMENTS 2026'!AD2535,'ENGAGEMENTS 2026'!N2535),'ENGAGEMENTS 2026'!AD2535))))</f>
        <v/>
      </c>
      <c r="K2535" s="604">
        <f>IF(ISBLANK('ENGAGEMENTS 2026'!V2535),"",'ENGAGEMENTS 2026'!V2535)</f>
        <v/>
      </c>
      <c r="L2535" s="276">
        <f>IF($K2535="","",TODAY()-$K2535)</f>
        <v/>
      </c>
      <c r="M2535">
        <f>IF($A2535="","",IF($H2535="ENGAGE","Engagé",IF(AND($H2535="NON ENGAGE",OR($I2535="INFRUCTUEUX",$I2535="ANNULE")),"Clôturé sans suite","En cours")))</f>
        <v/>
      </c>
      <c r="N2535">
        <f>IF(ISBLANK('ENGAGEMENTS 2026'!B2535),"",'ENGAGEMENTS 2026'!K2535)</f>
        <v/>
      </c>
      <c r="O2535">
        <f>IF(ISBLANK('ENGAGEMENTS 2026'!B2535),"",'ENGAGEMENTS 2026'!L2535)</f>
        <v/>
      </c>
      <c r="P2535">
        <f>IF(ISBLANK('ENGAGEMENTS 2026'!B2535),"",'ENGAGEMENTS 2026'!J2535)</f>
        <v/>
      </c>
      <c r="Q2535">
        <f>IF($A2535="","",IF(OR($E2535="INFRUCTUEUX",$E2535="ANNULE"),$A2535&amp;"|"&amp;(COUNTIFS($A$2:$A2535,$A2535,$E$2:$E2535,"INFRUCTUEUX")+COUNTIFS($A$2:$A2535,$A2535,$E$2:$E2535,"ANNULE")),""))</f>
        <v/>
      </c>
    </row>
    <row r="2536">
      <c r="A2536">
        <f>IF(ISBLANK('ENGAGEMENTS 2026'!B2536),"",IF('ENGAGEMENTS 2026'!B2536="DTSI","DCT",'ENGAGEMENTS 2026'!B2536))</f>
        <v/>
      </c>
      <c r="B2536">
        <f>IF(ISBLANK('ENGAGEMENTS 2026'!B2536),"",'ENGAGEMENTS 2026'!C2536)</f>
        <v/>
      </c>
      <c r="C2536">
        <f>IF(ISBLANK('ENGAGEMENTS 2026'!B2536),"",'ENGAGEMENTS 2026'!D2536)</f>
        <v/>
      </c>
      <c r="D2536">
        <f>IF(ISBLANK('ENGAGEMENTS 2026'!B2536),"",'ENGAGEMENTS 2026'!F2536)</f>
        <v/>
      </c>
      <c r="E2536">
        <f>IF(ISBLANK('ENGAGEMENTS 2026'!B2536),"",'ENGAGEMENTS 2026'!H2536)</f>
        <v/>
      </c>
      <c r="F2536">
        <f>IF(ISBLANK('ENGAGEMENTS 2026'!B2536),"",'ENGAGEMENTS 2026'!I2536)</f>
        <v/>
      </c>
      <c r="G2536">
        <f>IF(ISBLANK('ENGAGEMENTS 2026'!B2536),"",'ENGAGEMENTS 2026'!L2536)</f>
        <v/>
      </c>
      <c r="H2536">
        <f>IF(ISBLANK('ENGAGEMENTS 2026'!B2536),"",'ENGAGEMENTS 2026'!AE2536)</f>
        <v/>
      </c>
      <c r="I2536">
        <f>IF(ISBLANK('ENGAGEMENTS 2026'!B2536),"",'ENGAGEMENTS 2026'!G2536)</f>
        <v/>
      </c>
      <c r="J2536" s="275">
        <f>IF(ISBLANK('ENGAGEMENTS 2026'!B2536),"",IF(AND(OR($E2536="INFRUCTUEUX",$E2536="ANNULE"),$C2536="AOO-M"),'ENGAGEMENTS 2026'!O2536,IF($H2536="EN COURS DE PREENGAGEMENT",'ENGAGEMENTS 2026'!N2536,IF($H2536="PREENGAGE",IF($E2536="ATTRIBUE",'ENGAGEMENTS 2026'!AD2536,'ENGAGEMENTS 2026'!N2536),'ENGAGEMENTS 2026'!AD2536))))</f>
        <v/>
      </c>
      <c r="K2536" s="604">
        <f>IF(ISBLANK('ENGAGEMENTS 2026'!V2536),"",'ENGAGEMENTS 2026'!V2536)</f>
        <v/>
      </c>
      <c r="L2536" s="276">
        <f>IF($K2536="","",TODAY()-$K2536)</f>
        <v/>
      </c>
      <c r="M2536">
        <f>IF($A2536="","",IF($H2536="ENGAGE","Engagé",IF(AND($H2536="NON ENGAGE",OR($I2536="INFRUCTUEUX",$I2536="ANNULE")),"Clôturé sans suite","En cours")))</f>
        <v/>
      </c>
      <c r="N2536">
        <f>IF(ISBLANK('ENGAGEMENTS 2026'!B2536),"",'ENGAGEMENTS 2026'!K2536)</f>
        <v/>
      </c>
      <c r="O2536">
        <f>IF(ISBLANK('ENGAGEMENTS 2026'!B2536),"",'ENGAGEMENTS 2026'!L2536)</f>
        <v/>
      </c>
      <c r="P2536">
        <f>IF(ISBLANK('ENGAGEMENTS 2026'!B2536),"",'ENGAGEMENTS 2026'!J2536)</f>
        <v/>
      </c>
      <c r="Q2536">
        <f>IF($A2536="","",IF(OR($E2536="INFRUCTUEUX",$E2536="ANNULE"),$A2536&amp;"|"&amp;(COUNTIFS($A$2:$A2536,$A2536,$E$2:$E2536,"INFRUCTUEUX")+COUNTIFS($A$2:$A2536,$A2536,$E$2:$E2536,"ANNULE")),""))</f>
        <v/>
      </c>
    </row>
    <row r="2537">
      <c r="A2537">
        <f>IF(ISBLANK('ENGAGEMENTS 2026'!B2537),"",IF('ENGAGEMENTS 2026'!B2537="DTSI","DCT",'ENGAGEMENTS 2026'!B2537))</f>
        <v/>
      </c>
      <c r="B2537">
        <f>IF(ISBLANK('ENGAGEMENTS 2026'!B2537),"",'ENGAGEMENTS 2026'!C2537)</f>
        <v/>
      </c>
      <c r="C2537">
        <f>IF(ISBLANK('ENGAGEMENTS 2026'!B2537),"",'ENGAGEMENTS 2026'!D2537)</f>
        <v/>
      </c>
      <c r="D2537">
        <f>IF(ISBLANK('ENGAGEMENTS 2026'!B2537),"",'ENGAGEMENTS 2026'!F2537)</f>
        <v/>
      </c>
      <c r="E2537">
        <f>IF(ISBLANK('ENGAGEMENTS 2026'!B2537),"",'ENGAGEMENTS 2026'!H2537)</f>
        <v/>
      </c>
      <c r="F2537">
        <f>IF(ISBLANK('ENGAGEMENTS 2026'!B2537),"",'ENGAGEMENTS 2026'!I2537)</f>
        <v/>
      </c>
      <c r="G2537">
        <f>IF(ISBLANK('ENGAGEMENTS 2026'!B2537),"",'ENGAGEMENTS 2026'!L2537)</f>
        <v/>
      </c>
      <c r="H2537">
        <f>IF(ISBLANK('ENGAGEMENTS 2026'!B2537),"",'ENGAGEMENTS 2026'!AE2537)</f>
        <v/>
      </c>
      <c r="I2537">
        <f>IF(ISBLANK('ENGAGEMENTS 2026'!B2537),"",'ENGAGEMENTS 2026'!G2537)</f>
        <v/>
      </c>
      <c r="J2537" s="275">
        <f>IF(ISBLANK('ENGAGEMENTS 2026'!B2537),"",IF(AND(OR($E2537="INFRUCTUEUX",$E2537="ANNULE"),$C2537="AOO-M"),'ENGAGEMENTS 2026'!O2537,IF($H2537="EN COURS DE PREENGAGEMENT",'ENGAGEMENTS 2026'!N2537,IF($H2537="PREENGAGE",IF($E2537="ATTRIBUE",'ENGAGEMENTS 2026'!AD2537,'ENGAGEMENTS 2026'!N2537),'ENGAGEMENTS 2026'!AD2537))))</f>
        <v/>
      </c>
      <c r="K2537" s="604">
        <f>IF(ISBLANK('ENGAGEMENTS 2026'!V2537),"",'ENGAGEMENTS 2026'!V2537)</f>
        <v/>
      </c>
      <c r="L2537" s="276">
        <f>IF($K2537="","",TODAY()-$K2537)</f>
        <v/>
      </c>
      <c r="M2537">
        <f>IF($A2537="","",IF($H2537="ENGAGE","Engagé",IF(AND($H2537="NON ENGAGE",OR($I2537="INFRUCTUEUX",$I2537="ANNULE")),"Clôturé sans suite","En cours")))</f>
        <v/>
      </c>
      <c r="N2537">
        <f>IF(ISBLANK('ENGAGEMENTS 2026'!B2537),"",'ENGAGEMENTS 2026'!K2537)</f>
        <v/>
      </c>
      <c r="O2537">
        <f>IF(ISBLANK('ENGAGEMENTS 2026'!B2537),"",'ENGAGEMENTS 2026'!L2537)</f>
        <v/>
      </c>
      <c r="P2537">
        <f>IF(ISBLANK('ENGAGEMENTS 2026'!B2537),"",'ENGAGEMENTS 2026'!J2537)</f>
        <v/>
      </c>
      <c r="Q2537">
        <f>IF($A2537="","",IF(OR($E2537="INFRUCTUEUX",$E2537="ANNULE"),$A2537&amp;"|"&amp;(COUNTIFS($A$2:$A2537,$A2537,$E$2:$E2537,"INFRUCTUEUX")+COUNTIFS($A$2:$A2537,$A2537,$E$2:$E2537,"ANNULE")),""))</f>
        <v/>
      </c>
    </row>
    <row r="2538">
      <c r="A2538">
        <f>IF(ISBLANK('ENGAGEMENTS 2026'!B2538),"",IF('ENGAGEMENTS 2026'!B2538="DTSI","DCT",'ENGAGEMENTS 2026'!B2538))</f>
        <v/>
      </c>
      <c r="B2538">
        <f>IF(ISBLANK('ENGAGEMENTS 2026'!B2538),"",'ENGAGEMENTS 2026'!C2538)</f>
        <v/>
      </c>
      <c r="C2538">
        <f>IF(ISBLANK('ENGAGEMENTS 2026'!B2538),"",'ENGAGEMENTS 2026'!D2538)</f>
        <v/>
      </c>
      <c r="D2538">
        <f>IF(ISBLANK('ENGAGEMENTS 2026'!B2538),"",'ENGAGEMENTS 2026'!F2538)</f>
        <v/>
      </c>
      <c r="E2538">
        <f>IF(ISBLANK('ENGAGEMENTS 2026'!B2538),"",'ENGAGEMENTS 2026'!H2538)</f>
        <v/>
      </c>
      <c r="F2538">
        <f>IF(ISBLANK('ENGAGEMENTS 2026'!B2538),"",'ENGAGEMENTS 2026'!I2538)</f>
        <v/>
      </c>
      <c r="G2538">
        <f>IF(ISBLANK('ENGAGEMENTS 2026'!B2538),"",'ENGAGEMENTS 2026'!L2538)</f>
        <v/>
      </c>
      <c r="H2538">
        <f>IF(ISBLANK('ENGAGEMENTS 2026'!B2538),"",'ENGAGEMENTS 2026'!AE2538)</f>
        <v/>
      </c>
      <c r="I2538">
        <f>IF(ISBLANK('ENGAGEMENTS 2026'!B2538),"",'ENGAGEMENTS 2026'!G2538)</f>
        <v/>
      </c>
      <c r="J2538" s="275">
        <f>IF(ISBLANK('ENGAGEMENTS 2026'!B2538),"",IF(AND(OR($E2538="INFRUCTUEUX",$E2538="ANNULE"),$C2538="AOO-M"),'ENGAGEMENTS 2026'!O2538,IF($H2538="EN COURS DE PREENGAGEMENT",'ENGAGEMENTS 2026'!N2538,IF($H2538="PREENGAGE",IF($E2538="ATTRIBUE",'ENGAGEMENTS 2026'!AD2538,'ENGAGEMENTS 2026'!N2538),'ENGAGEMENTS 2026'!AD2538))))</f>
        <v/>
      </c>
      <c r="K2538" s="604">
        <f>IF(ISBLANK('ENGAGEMENTS 2026'!V2538),"",'ENGAGEMENTS 2026'!V2538)</f>
        <v/>
      </c>
      <c r="L2538" s="276">
        <f>IF($K2538="","",TODAY()-$K2538)</f>
        <v/>
      </c>
      <c r="M2538">
        <f>IF($A2538="","",IF($H2538="ENGAGE","Engagé",IF(AND($H2538="NON ENGAGE",OR($I2538="INFRUCTUEUX",$I2538="ANNULE")),"Clôturé sans suite","En cours")))</f>
        <v/>
      </c>
      <c r="N2538">
        <f>IF(ISBLANK('ENGAGEMENTS 2026'!B2538),"",'ENGAGEMENTS 2026'!K2538)</f>
        <v/>
      </c>
      <c r="O2538">
        <f>IF(ISBLANK('ENGAGEMENTS 2026'!B2538),"",'ENGAGEMENTS 2026'!L2538)</f>
        <v/>
      </c>
      <c r="P2538">
        <f>IF(ISBLANK('ENGAGEMENTS 2026'!B2538),"",'ENGAGEMENTS 2026'!J2538)</f>
        <v/>
      </c>
      <c r="Q2538">
        <f>IF($A2538="","",IF(OR($E2538="INFRUCTUEUX",$E2538="ANNULE"),$A2538&amp;"|"&amp;(COUNTIFS($A$2:$A2538,$A2538,$E$2:$E2538,"INFRUCTUEUX")+COUNTIFS($A$2:$A2538,$A2538,$E$2:$E2538,"ANNULE")),""))</f>
        <v/>
      </c>
    </row>
    <row r="2539">
      <c r="A2539">
        <f>IF(ISBLANK('ENGAGEMENTS 2026'!B2539),"",IF('ENGAGEMENTS 2026'!B2539="DTSI","DCT",'ENGAGEMENTS 2026'!B2539))</f>
        <v/>
      </c>
      <c r="B2539">
        <f>IF(ISBLANK('ENGAGEMENTS 2026'!B2539),"",'ENGAGEMENTS 2026'!C2539)</f>
        <v/>
      </c>
      <c r="C2539">
        <f>IF(ISBLANK('ENGAGEMENTS 2026'!B2539),"",'ENGAGEMENTS 2026'!D2539)</f>
        <v/>
      </c>
      <c r="D2539">
        <f>IF(ISBLANK('ENGAGEMENTS 2026'!B2539),"",'ENGAGEMENTS 2026'!F2539)</f>
        <v/>
      </c>
      <c r="E2539">
        <f>IF(ISBLANK('ENGAGEMENTS 2026'!B2539),"",'ENGAGEMENTS 2026'!H2539)</f>
        <v/>
      </c>
      <c r="F2539">
        <f>IF(ISBLANK('ENGAGEMENTS 2026'!B2539),"",'ENGAGEMENTS 2026'!I2539)</f>
        <v/>
      </c>
      <c r="G2539">
        <f>IF(ISBLANK('ENGAGEMENTS 2026'!B2539),"",'ENGAGEMENTS 2026'!L2539)</f>
        <v/>
      </c>
      <c r="H2539">
        <f>IF(ISBLANK('ENGAGEMENTS 2026'!B2539),"",'ENGAGEMENTS 2026'!AE2539)</f>
        <v/>
      </c>
      <c r="I2539">
        <f>IF(ISBLANK('ENGAGEMENTS 2026'!B2539),"",'ENGAGEMENTS 2026'!G2539)</f>
        <v/>
      </c>
      <c r="J2539" s="275">
        <f>IF(ISBLANK('ENGAGEMENTS 2026'!B2539),"",IF(AND(OR($E2539="INFRUCTUEUX",$E2539="ANNULE"),$C2539="AOO-M"),'ENGAGEMENTS 2026'!O2539,IF($H2539="EN COURS DE PREENGAGEMENT",'ENGAGEMENTS 2026'!N2539,IF($H2539="PREENGAGE",IF($E2539="ATTRIBUE",'ENGAGEMENTS 2026'!AD2539,'ENGAGEMENTS 2026'!N2539),'ENGAGEMENTS 2026'!AD2539))))</f>
        <v/>
      </c>
      <c r="K2539" s="604">
        <f>IF(ISBLANK('ENGAGEMENTS 2026'!V2539),"",'ENGAGEMENTS 2026'!V2539)</f>
        <v/>
      </c>
      <c r="L2539" s="276">
        <f>IF($K2539="","",TODAY()-$K2539)</f>
        <v/>
      </c>
      <c r="M2539">
        <f>IF($A2539="","",IF($H2539="ENGAGE","Engagé",IF(AND($H2539="NON ENGAGE",OR($I2539="INFRUCTUEUX",$I2539="ANNULE")),"Clôturé sans suite","En cours")))</f>
        <v/>
      </c>
      <c r="N2539">
        <f>IF(ISBLANK('ENGAGEMENTS 2026'!B2539),"",'ENGAGEMENTS 2026'!K2539)</f>
        <v/>
      </c>
      <c r="O2539">
        <f>IF(ISBLANK('ENGAGEMENTS 2026'!B2539),"",'ENGAGEMENTS 2026'!L2539)</f>
        <v/>
      </c>
      <c r="P2539">
        <f>IF(ISBLANK('ENGAGEMENTS 2026'!B2539),"",'ENGAGEMENTS 2026'!J2539)</f>
        <v/>
      </c>
      <c r="Q2539">
        <f>IF($A2539="","",IF(OR($E2539="INFRUCTUEUX",$E2539="ANNULE"),$A2539&amp;"|"&amp;(COUNTIFS($A$2:$A2539,$A2539,$E$2:$E2539,"INFRUCTUEUX")+COUNTIFS($A$2:$A2539,$A2539,$E$2:$E2539,"ANNULE")),""))</f>
        <v/>
      </c>
    </row>
    <row r="2540">
      <c r="A2540">
        <f>IF(ISBLANK('ENGAGEMENTS 2026'!B2540),"",IF('ENGAGEMENTS 2026'!B2540="DTSI","DCT",'ENGAGEMENTS 2026'!B2540))</f>
        <v/>
      </c>
      <c r="B2540">
        <f>IF(ISBLANK('ENGAGEMENTS 2026'!B2540),"",'ENGAGEMENTS 2026'!C2540)</f>
        <v/>
      </c>
      <c r="C2540">
        <f>IF(ISBLANK('ENGAGEMENTS 2026'!B2540),"",'ENGAGEMENTS 2026'!D2540)</f>
        <v/>
      </c>
      <c r="D2540">
        <f>IF(ISBLANK('ENGAGEMENTS 2026'!B2540),"",'ENGAGEMENTS 2026'!F2540)</f>
        <v/>
      </c>
      <c r="E2540">
        <f>IF(ISBLANK('ENGAGEMENTS 2026'!B2540),"",'ENGAGEMENTS 2026'!H2540)</f>
        <v/>
      </c>
      <c r="F2540">
        <f>IF(ISBLANK('ENGAGEMENTS 2026'!B2540),"",'ENGAGEMENTS 2026'!I2540)</f>
        <v/>
      </c>
      <c r="G2540">
        <f>IF(ISBLANK('ENGAGEMENTS 2026'!B2540),"",'ENGAGEMENTS 2026'!L2540)</f>
        <v/>
      </c>
      <c r="H2540">
        <f>IF(ISBLANK('ENGAGEMENTS 2026'!B2540),"",'ENGAGEMENTS 2026'!AE2540)</f>
        <v/>
      </c>
      <c r="I2540">
        <f>IF(ISBLANK('ENGAGEMENTS 2026'!B2540),"",'ENGAGEMENTS 2026'!G2540)</f>
        <v/>
      </c>
      <c r="J2540" s="275">
        <f>IF(ISBLANK('ENGAGEMENTS 2026'!B2540),"",IF(AND(OR($E2540="INFRUCTUEUX",$E2540="ANNULE"),$C2540="AOO-M"),'ENGAGEMENTS 2026'!O2540,IF($H2540="EN COURS DE PREENGAGEMENT",'ENGAGEMENTS 2026'!N2540,IF($H2540="PREENGAGE",IF($E2540="ATTRIBUE",'ENGAGEMENTS 2026'!AD2540,'ENGAGEMENTS 2026'!N2540),'ENGAGEMENTS 2026'!AD2540))))</f>
        <v/>
      </c>
      <c r="K2540" s="604">
        <f>IF(ISBLANK('ENGAGEMENTS 2026'!V2540),"",'ENGAGEMENTS 2026'!V2540)</f>
        <v/>
      </c>
      <c r="L2540" s="276">
        <f>IF($K2540="","",TODAY()-$K2540)</f>
        <v/>
      </c>
      <c r="M2540">
        <f>IF($A2540="","",IF($H2540="ENGAGE","Engagé",IF(AND($H2540="NON ENGAGE",OR($I2540="INFRUCTUEUX",$I2540="ANNULE")),"Clôturé sans suite","En cours")))</f>
        <v/>
      </c>
      <c r="N2540">
        <f>IF(ISBLANK('ENGAGEMENTS 2026'!B2540),"",'ENGAGEMENTS 2026'!K2540)</f>
        <v/>
      </c>
      <c r="O2540">
        <f>IF(ISBLANK('ENGAGEMENTS 2026'!B2540),"",'ENGAGEMENTS 2026'!L2540)</f>
        <v/>
      </c>
      <c r="P2540">
        <f>IF(ISBLANK('ENGAGEMENTS 2026'!B2540),"",'ENGAGEMENTS 2026'!J2540)</f>
        <v/>
      </c>
      <c r="Q2540">
        <f>IF($A2540="","",IF(OR($E2540="INFRUCTUEUX",$E2540="ANNULE"),$A2540&amp;"|"&amp;(COUNTIFS($A$2:$A2540,$A2540,$E$2:$E2540,"INFRUCTUEUX")+COUNTIFS($A$2:$A2540,$A2540,$E$2:$E2540,"ANNULE")),""))</f>
        <v/>
      </c>
    </row>
    <row r="2541">
      <c r="A2541">
        <f>IF(ISBLANK('ENGAGEMENTS 2026'!B2541),"",IF('ENGAGEMENTS 2026'!B2541="DTSI","DCT",'ENGAGEMENTS 2026'!B2541))</f>
        <v/>
      </c>
      <c r="B2541">
        <f>IF(ISBLANK('ENGAGEMENTS 2026'!B2541),"",'ENGAGEMENTS 2026'!C2541)</f>
        <v/>
      </c>
      <c r="C2541">
        <f>IF(ISBLANK('ENGAGEMENTS 2026'!B2541),"",'ENGAGEMENTS 2026'!D2541)</f>
        <v/>
      </c>
      <c r="D2541">
        <f>IF(ISBLANK('ENGAGEMENTS 2026'!B2541),"",'ENGAGEMENTS 2026'!F2541)</f>
        <v/>
      </c>
      <c r="E2541">
        <f>IF(ISBLANK('ENGAGEMENTS 2026'!B2541),"",'ENGAGEMENTS 2026'!H2541)</f>
        <v/>
      </c>
      <c r="F2541">
        <f>IF(ISBLANK('ENGAGEMENTS 2026'!B2541),"",'ENGAGEMENTS 2026'!I2541)</f>
        <v/>
      </c>
      <c r="G2541">
        <f>IF(ISBLANK('ENGAGEMENTS 2026'!B2541),"",'ENGAGEMENTS 2026'!L2541)</f>
        <v/>
      </c>
      <c r="H2541">
        <f>IF(ISBLANK('ENGAGEMENTS 2026'!B2541),"",'ENGAGEMENTS 2026'!AE2541)</f>
        <v/>
      </c>
      <c r="I2541">
        <f>IF(ISBLANK('ENGAGEMENTS 2026'!B2541),"",'ENGAGEMENTS 2026'!G2541)</f>
        <v/>
      </c>
      <c r="J2541" s="275">
        <f>IF(ISBLANK('ENGAGEMENTS 2026'!B2541),"",IF(AND(OR($E2541="INFRUCTUEUX",$E2541="ANNULE"),$C2541="AOO-M"),'ENGAGEMENTS 2026'!O2541,IF($H2541="EN COURS DE PREENGAGEMENT",'ENGAGEMENTS 2026'!N2541,IF($H2541="PREENGAGE",IF($E2541="ATTRIBUE",'ENGAGEMENTS 2026'!AD2541,'ENGAGEMENTS 2026'!N2541),'ENGAGEMENTS 2026'!AD2541))))</f>
        <v/>
      </c>
      <c r="K2541" s="604">
        <f>IF(ISBLANK('ENGAGEMENTS 2026'!V2541),"",'ENGAGEMENTS 2026'!V2541)</f>
        <v/>
      </c>
      <c r="L2541" s="276">
        <f>IF($K2541="","",TODAY()-$K2541)</f>
        <v/>
      </c>
      <c r="M2541">
        <f>IF($A2541="","",IF($H2541="ENGAGE","Engagé",IF(AND($H2541="NON ENGAGE",OR($I2541="INFRUCTUEUX",$I2541="ANNULE")),"Clôturé sans suite","En cours")))</f>
        <v/>
      </c>
      <c r="N2541">
        <f>IF(ISBLANK('ENGAGEMENTS 2026'!B2541),"",'ENGAGEMENTS 2026'!K2541)</f>
        <v/>
      </c>
      <c r="O2541">
        <f>IF(ISBLANK('ENGAGEMENTS 2026'!B2541),"",'ENGAGEMENTS 2026'!L2541)</f>
        <v/>
      </c>
      <c r="P2541">
        <f>IF(ISBLANK('ENGAGEMENTS 2026'!B2541),"",'ENGAGEMENTS 2026'!J2541)</f>
        <v/>
      </c>
      <c r="Q2541">
        <f>IF($A2541="","",IF(OR($E2541="INFRUCTUEUX",$E2541="ANNULE"),$A2541&amp;"|"&amp;(COUNTIFS($A$2:$A2541,$A2541,$E$2:$E2541,"INFRUCTUEUX")+COUNTIFS($A$2:$A2541,$A2541,$E$2:$E2541,"ANNULE")),""))</f>
        <v/>
      </c>
    </row>
    <row r="2542">
      <c r="A2542">
        <f>IF(ISBLANK('ENGAGEMENTS 2026'!B2542),"",IF('ENGAGEMENTS 2026'!B2542="DTSI","DCT",'ENGAGEMENTS 2026'!B2542))</f>
        <v/>
      </c>
      <c r="B2542">
        <f>IF(ISBLANK('ENGAGEMENTS 2026'!B2542),"",'ENGAGEMENTS 2026'!C2542)</f>
        <v/>
      </c>
      <c r="C2542">
        <f>IF(ISBLANK('ENGAGEMENTS 2026'!B2542),"",'ENGAGEMENTS 2026'!D2542)</f>
        <v/>
      </c>
      <c r="D2542">
        <f>IF(ISBLANK('ENGAGEMENTS 2026'!B2542),"",'ENGAGEMENTS 2026'!F2542)</f>
        <v/>
      </c>
      <c r="E2542">
        <f>IF(ISBLANK('ENGAGEMENTS 2026'!B2542),"",'ENGAGEMENTS 2026'!H2542)</f>
        <v/>
      </c>
      <c r="F2542">
        <f>IF(ISBLANK('ENGAGEMENTS 2026'!B2542),"",'ENGAGEMENTS 2026'!I2542)</f>
        <v/>
      </c>
      <c r="G2542">
        <f>IF(ISBLANK('ENGAGEMENTS 2026'!B2542),"",'ENGAGEMENTS 2026'!L2542)</f>
        <v/>
      </c>
      <c r="H2542">
        <f>IF(ISBLANK('ENGAGEMENTS 2026'!B2542),"",'ENGAGEMENTS 2026'!AE2542)</f>
        <v/>
      </c>
      <c r="I2542">
        <f>IF(ISBLANK('ENGAGEMENTS 2026'!B2542),"",'ENGAGEMENTS 2026'!G2542)</f>
        <v/>
      </c>
      <c r="J2542" s="275">
        <f>IF(ISBLANK('ENGAGEMENTS 2026'!B2542),"",IF(AND(OR($E2542="INFRUCTUEUX",$E2542="ANNULE"),$C2542="AOO-M"),'ENGAGEMENTS 2026'!O2542,IF($H2542="EN COURS DE PREENGAGEMENT",'ENGAGEMENTS 2026'!N2542,IF($H2542="PREENGAGE",IF($E2542="ATTRIBUE",'ENGAGEMENTS 2026'!AD2542,'ENGAGEMENTS 2026'!N2542),'ENGAGEMENTS 2026'!AD2542))))</f>
        <v/>
      </c>
      <c r="K2542" s="604">
        <f>IF(ISBLANK('ENGAGEMENTS 2026'!V2542),"",'ENGAGEMENTS 2026'!V2542)</f>
        <v/>
      </c>
      <c r="L2542" s="276">
        <f>IF($K2542="","",TODAY()-$K2542)</f>
        <v/>
      </c>
      <c r="M2542">
        <f>IF($A2542="","",IF($H2542="ENGAGE","Engagé",IF(AND($H2542="NON ENGAGE",OR($I2542="INFRUCTUEUX",$I2542="ANNULE")),"Clôturé sans suite","En cours")))</f>
        <v/>
      </c>
      <c r="N2542">
        <f>IF(ISBLANK('ENGAGEMENTS 2026'!B2542),"",'ENGAGEMENTS 2026'!K2542)</f>
        <v/>
      </c>
      <c r="O2542">
        <f>IF(ISBLANK('ENGAGEMENTS 2026'!B2542),"",'ENGAGEMENTS 2026'!L2542)</f>
        <v/>
      </c>
      <c r="P2542">
        <f>IF(ISBLANK('ENGAGEMENTS 2026'!B2542),"",'ENGAGEMENTS 2026'!J2542)</f>
        <v/>
      </c>
      <c r="Q2542">
        <f>IF($A2542="","",IF(OR($E2542="INFRUCTUEUX",$E2542="ANNULE"),$A2542&amp;"|"&amp;(COUNTIFS($A$2:$A2542,$A2542,$E$2:$E2542,"INFRUCTUEUX")+COUNTIFS($A$2:$A2542,$A2542,$E$2:$E2542,"ANNULE")),""))</f>
        <v/>
      </c>
    </row>
    <row r="2543">
      <c r="A2543">
        <f>IF(ISBLANK('ENGAGEMENTS 2026'!B2543),"",IF('ENGAGEMENTS 2026'!B2543="DTSI","DCT",'ENGAGEMENTS 2026'!B2543))</f>
        <v/>
      </c>
      <c r="B2543">
        <f>IF(ISBLANK('ENGAGEMENTS 2026'!B2543),"",'ENGAGEMENTS 2026'!C2543)</f>
        <v/>
      </c>
      <c r="C2543">
        <f>IF(ISBLANK('ENGAGEMENTS 2026'!B2543),"",'ENGAGEMENTS 2026'!D2543)</f>
        <v/>
      </c>
      <c r="D2543">
        <f>IF(ISBLANK('ENGAGEMENTS 2026'!B2543),"",'ENGAGEMENTS 2026'!F2543)</f>
        <v/>
      </c>
      <c r="E2543">
        <f>IF(ISBLANK('ENGAGEMENTS 2026'!B2543),"",'ENGAGEMENTS 2026'!H2543)</f>
        <v/>
      </c>
      <c r="F2543">
        <f>IF(ISBLANK('ENGAGEMENTS 2026'!B2543),"",'ENGAGEMENTS 2026'!I2543)</f>
        <v/>
      </c>
      <c r="G2543">
        <f>IF(ISBLANK('ENGAGEMENTS 2026'!B2543),"",'ENGAGEMENTS 2026'!L2543)</f>
        <v/>
      </c>
      <c r="H2543">
        <f>IF(ISBLANK('ENGAGEMENTS 2026'!B2543),"",'ENGAGEMENTS 2026'!AE2543)</f>
        <v/>
      </c>
      <c r="I2543">
        <f>IF(ISBLANK('ENGAGEMENTS 2026'!B2543),"",'ENGAGEMENTS 2026'!G2543)</f>
        <v/>
      </c>
      <c r="J2543" s="275">
        <f>IF(ISBLANK('ENGAGEMENTS 2026'!B2543),"",IF(AND(OR($E2543="INFRUCTUEUX",$E2543="ANNULE"),$C2543="AOO-M"),'ENGAGEMENTS 2026'!O2543,IF($H2543="EN COURS DE PREENGAGEMENT",'ENGAGEMENTS 2026'!N2543,IF($H2543="PREENGAGE",IF($E2543="ATTRIBUE",'ENGAGEMENTS 2026'!AD2543,'ENGAGEMENTS 2026'!N2543),'ENGAGEMENTS 2026'!AD2543))))</f>
        <v/>
      </c>
      <c r="K2543" s="604">
        <f>IF(ISBLANK('ENGAGEMENTS 2026'!V2543),"",'ENGAGEMENTS 2026'!V2543)</f>
        <v/>
      </c>
      <c r="L2543" s="276">
        <f>IF($K2543="","",TODAY()-$K2543)</f>
        <v/>
      </c>
      <c r="M2543">
        <f>IF($A2543="","",IF($H2543="ENGAGE","Engagé",IF(AND($H2543="NON ENGAGE",OR($I2543="INFRUCTUEUX",$I2543="ANNULE")),"Clôturé sans suite","En cours")))</f>
        <v/>
      </c>
      <c r="N2543">
        <f>IF(ISBLANK('ENGAGEMENTS 2026'!B2543),"",'ENGAGEMENTS 2026'!K2543)</f>
        <v/>
      </c>
      <c r="O2543">
        <f>IF(ISBLANK('ENGAGEMENTS 2026'!B2543),"",'ENGAGEMENTS 2026'!L2543)</f>
        <v/>
      </c>
      <c r="P2543">
        <f>IF(ISBLANK('ENGAGEMENTS 2026'!B2543),"",'ENGAGEMENTS 2026'!J2543)</f>
        <v/>
      </c>
      <c r="Q2543">
        <f>IF($A2543="","",IF(OR($E2543="INFRUCTUEUX",$E2543="ANNULE"),$A2543&amp;"|"&amp;(COUNTIFS($A$2:$A2543,$A2543,$E$2:$E2543,"INFRUCTUEUX")+COUNTIFS($A$2:$A2543,$A2543,$E$2:$E2543,"ANNULE")),""))</f>
        <v/>
      </c>
    </row>
    <row r="2544">
      <c r="A2544">
        <f>IF(ISBLANK('ENGAGEMENTS 2026'!B2544),"",IF('ENGAGEMENTS 2026'!B2544="DTSI","DCT",'ENGAGEMENTS 2026'!B2544))</f>
        <v/>
      </c>
      <c r="B2544">
        <f>IF(ISBLANK('ENGAGEMENTS 2026'!B2544),"",'ENGAGEMENTS 2026'!C2544)</f>
        <v/>
      </c>
      <c r="C2544">
        <f>IF(ISBLANK('ENGAGEMENTS 2026'!B2544),"",'ENGAGEMENTS 2026'!D2544)</f>
        <v/>
      </c>
      <c r="D2544">
        <f>IF(ISBLANK('ENGAGEMENTS 2026'!B2544),"",'ENGAGEMENTS 2026'!F2544)</f>
        <v/>
      </c>
      <c r="E2544">
        <f>IF(ISBLANK('ENGAGEMENTS 2026'!B2544),"",'ENGAGEMENTS 2026'!H2544)</f>
        <v/>
      </c>
      <c r="F2544">
        <f>IF(ISBLANK('ENGAGEMENTS 2026'!B2544),"",'ENGAGEMENTS 2026'!I2544)</f>
        <v/>
      </c>
      <c r="G2544">
        <f>IF(ISBLANK('ENGAGEMENTS 2026'!B2544),"",'ENGAGEMENTS 2026'!L2544)</f>
        <v/>
      </c>
      <c r="H2544">
        <f>IF(ISBLANK('ENGAGEMENTS 2026'!B2544),"",'ENGAGEMENTS 2026'!AE2544)</f>
        <v/>
      </c>
      <c r="I2544">
        <f>IF(ISBLANK('ENGAGEMENTS 2026'!B2544),"",'ENGAGEMENTS 2026'!G2544)</f>
        <v/>
      </c>
      <c r="J2544" s="275">
        <f>IF(ISBLANK('ENGAGEMENTS 2026'!B2544),"",IF(AND(OR($E2544="INFRUCTUEUX",$E2544="ANNULE"),$C2544="AOO-M"),'ENGAGEMENTS 2026'!O2544,IF($H2544="EN COURS DE PREENGAGEMENT",'ENGAGEMENTS 2026'!N2544,IF($H2544="PREENGAGE",IF($E2544="ATTRIBUE",'ENGAGEMENTS 2026'!AD2544,'ENGAGEMENTS 2026'!N2544),'ENGAGEMENTS 2026'!AD2544))))</f>
        <v/>
      </c>
      <c r="K2544" s="604">
        <f>IF(ISBLANK('ENGAGEMENTS 2026'!V2544),"",'ENGAGEMENTS 2026'!V2544)</f>
        <v/>
      </c>
      <c r="L2544" s="276">
        <f>IF($K2544="","",TODAY()-$K2544)</f>
        <v/>
      </c>
      <c r="M2544">
        <f>IF($A2544="","",IF($H2544="ENGAGE","Engagé",IF(AND($H2544="NON ENGAGE",OR($I2544="INFRUCTUEUX",$I2544="ANNULE")),"Clôturé sans suite","En cours")))</f>
        <v/>
      </c>
      <c r="N2544">
        <f>IF(ISBLANK('ENGAGEMENTS 2026'!B2544),"",'ENGAGEMENTS 2026'!K2544)</f>
        <v/>
      </c>
      <c r="O2544">
        <f>IF(ISBLANK('ENGAGEMENTS 2026'!B2544),"",'ENGAGEMENTS 2026'!L2544)</f>
        <v/>
      </c>
      <c r="P2544">
        <f>IF(ISBLANK('ENGAGEMENTS 2026'!B2544),"",'ENGAGEMENTS 2026'!J2544)</f>
        <v/>
      </c>
      <c r="Q2544">
        <f>IF($A2544="","",IF(OR($E2544="INFRUCTUEUX",$E2544="ANNULE"),$A2544&amp;"|"&amp;(COUNTIFS($A$2:$A2544,$A2544,$E$2:$E2544,"INFRUCTUEUX")+COUNTIFS($A$2:$A2544,$A2544,$E$2:$E2544,"ANNULE")),""))</f>
        <v/>
      </c>
    </row>
    <row r="2545">
      <c r="A2545">
        <f>IF(ISBLANK('ENGAGEMENTS 2026'!B2545),"",IF('ENGAGEMENTS 2026'!B2545="DTSI","DCT",'ENGAGEMENTS 2026'!B2545))</f>
        <v/>
      </c>
      <c r="B2545">
        <f>IF(ISBLANK('ENGAGEMENTS 2026'!B2545),"",'ENGAGEMENTS 2026'!C2545)</f>
        <v/>
      </c>
      <c r="C2545">
        <f>IF(ISBLANK('ENGAGEMENTS 2026'!B2545),"",'ENGAGEMENTS 2026'!D2545)</f>
        <v/>
      </c>
      <c r="D2545">
        <f>IF(ISBLANK('ENGAGEMENTS 2026'!B2545),"",'ENGAGEMENTS 2026'!F2545)</f>
        <v/>
      </c>
      <c r="E2545">
        <f>IF(ISBLANK('ENGAGEMENTS 2026'!B2545),"",'ENGAGEMENTS 2026'!H2545)</f>
        <v/>
      </c>
      <c r="F2545">
        <f>IF(ISBLANK('ENGAGEMENTS 2026'!B2545),"",'ENGAGEMENTS 2026'!I2545)</f>
        <v/>
      </c>
      <c r="G2545">
        <f>IF(ISBLANK('ENGAGEMENTS 2026'!B2545),"",'ENGAGEMENTS 2026'!L2545)</f>
        <v/>
      </c>
      <c r="H2545">
        <f>IF(ISBLANK('ENGAGEMENTS 2026'!B2545),"",'ENGAGEMENTS 2026'!AE2545)</f>
        <v/>
      </c>
      <c r="I2545">
        <f>IF(ISBLANK('ENGAGEMENTS 2026'!B2545),"",'ENGAGEMENTS 2026'!G2545)</f>
        <v/>
      </c>
      <c r="J2545" s="275">
        <f>IF(ISBLANK('ENGAGEMENTS 2026'!B2545),"",IF(AND(OR($E2545="INFRUCTUEUX",$E2545="ANNULE"),$C2545="AOO-M"),'ENGAGEMENTS 2026'!O2545,IF($H2545="EN COURS DE PREENGAGEMENT",'ENGAGEMENTS 2026'!N2545,IF($H2545="PREENGAGE",IF($E2545="ATTRIBUE",'ENGAGEMENTS 2026'!AD2545,'ENGAGEMENTS 2026'!N2545),'ENGAGEMENTS 2026'!AD2545))))</f>
        <v/>
      </c>
      <c r="K2545" s="604">
        <f>IF(ISBLANK('ENGAGEMENTS 2026'!V2545),"",'ENGAGEMENTS 2026'!V2545)</f>
        <v/>
      </c>
      <c r="L2545" s="276">
        <f>IF($K2545="","",TODAY()-$K2545)</f>
        <v/>
      </c>
      <c r="M2545">
        <f>IF($A2545="","",IF($H2545="ENGAGE","Engagé",IF(AND($H2545="NON ENGAGE",OR($I2545="INFRUCTUEUX",$I2545="ANNULE")),"Clôturé sans suite","En cours")))</f>
        <v/>
      </c>
      <c r="N2545">
        <f>IF(ISBLANK('ENGAGEMENTS 2026'!B2545),"",'ENGAGEMENTS 2026'!K2545)</f>
        <v/>
      </c>
      <c r="O2545">
        <f>IF(ISBLANK('ENGAGEMENTS 2026'!B2545),"",'ENGAGEMENTS 2026'!L2545)</f>
        <v/>
      </c>
      <c r="P2545">
        <f>IF(ISBLANK('ENGAGEMENTS 2026'!B2545),"",'ENGAGEMENTS 2026'!J2545)</f>
        <v/>
      </c>
      <c r="Q2545">
        <f>IF($A2545="","",IF(OR($E2545="INFRUCTUEUX",$E2545="ANNULE"),$A2545&amp;"|"&amp;(COUNTIFS($A$2:$A2545,$A2545,$E$2:$E2545,"INFRUCTUEUX")+COUNTIFS($A$2:$A2545,$A2545,$E$2:$E2545,"ANNULE")),""))</f>
        <v/>
      </c>
    </row>
    <row r="2546">
      <c r="A2546">
        <f>IF(ISBLANK('ENGAGEMENTS 2026'!B2546),"",IF('ENGAGEMENTS 2026'!B2546="DTSI","DCT",'ENGAGEMENTS 2026'!B2546))</f>
        <v/>
      </c>
      <c r="B2546">
        <f>IF(ISBLANK('ENGAGEMENTS 2026'!B2546),"",'ENGAGEMENTS 2026'!C2546)</f>
        <v/>
      </c>
      <c r="C2546">
        <f>IF(ISBLANK('ENGAGEMENTS 2026'!B2546),"",'ENGAGEMENTS 2026'!D2546)</f>
        <v/>
      </c>
      <c r="D2546">
        <f>IF(ISBLANK('ENGAGEMENTS 2026'!B2546),"",'ENGAGEMENTS 2026'!F2546)</f>
        <v/>
      </c>
      <c r="E2546">
        <f>IF(ISBLANK('ENGAGEMENTS 2026'!B2546),"",'ENGAGEMENTS 2026'!H2546)</f>
        <v/>
      </c>
      <c r="F2546">
        <f>IF(ISBLANK('ENGAGEMENTS 2026'!B2546),"",'ENGAGEMENTS 2026'!I2546)</f>
        <v/>
      </c>
      <c r="G2546">
        <f>IF(ISBLANK('ENGAGEMENTS 2026'!B2546),"",'ENGAGEMENTS 2026'!L2546)</f>
        <v/>
      </c>
      <c r="H2546">
        <f>IF(ISBLANK('ENGAGEMENTS 2026'!B2546),"",'ENGAGEMENTS 2026'!AE2546)</f>
        <v/>
      </c>
      <c r="I2546">
        <f>IF(ISBLANK('ENGAGEMENTS 2026'!B2546),"",'ENGAGEMENTS 2026'!G2546)</f>
        <v/>
      </c>
      <c r="J2546" s="275">
        <f>IF(ISBLANK('ENGAGEMENTS 2026'!B2546),"",IF(AND(OR($E2546="INFRUCTUEUX",$E2546="ANNULE"),$C2546="AOO-M"),'ENGAGEMENTS 2026'!O2546,IF($H2546="EN COURS DE PREENGAGEMENT",'ENGAGEMENTS 2026'!N2546,IF($H2546="PREENGAGE",IF($E2546="ATTRIBUE",'ENGAGEMENTS 2026'!AD2546,'ENGAGEMENTS 2026'!N2546),'ENGAGEMENTS 2026'!AD2546))))</f>
        <v/>
      </c>
      <c r="K2546" s="604">
        <f>IF(ISBLANK('ENGAGEMENTS 2026'!V2546),"",'ENGAGEMENTS 2026'!V2546)</f>
        <v/>
      </c>
      <c r="L2546" s="276">
        <f>IF($K2546="","",TODAY()-$K2546)</f>
        <v/>
      </c>
      <c r="M2546">
        <f>IF($A2546="","",IF($H2546="ENGAGE","Engagé",IF(AND($H2546="NON ENGAGE",OR($I2546="INFRUCTUEUX",$I2546="ANNULE")),"Clôturé sans suite","En cours")))</f>
        <v/>
      </c>
      <c r="N2546">
        <f>IF(ISBLANK('ENGAGEMENTS 2026'!B2546),"",'ENGAGEMENTS 2026'!K2546)</f>
        <v/>
      </c>
      <c r="O2546">
        <f>IF(ISBLANK('ENGAGEMENTS 2026'!B2546),"",'ENGAGEMENTS 2026'!L2546)</f>
        <v/>
      </c>
      <c r="P2546">
        <f>IF(ISBLANK('ENGAGEMENTS 2026'!B2546),"",'ENGAGEMENTS 2026'!J2546)</f>
        <v/>
      </c>
      <c r="Q2546">
        <f>IF($A2546="","",IF(OR($E2546="INFRUCTUEUX",$E2546="ANNULE"),$A2546&amp;"|"&amp;(COUNTIFS($A$2:$A2546,$A2546,$E$2:$E2546,"INFRUCTUEUX")+COUNTIFS($A$2:$A2546,$A2546,$E$2:$E2546,"ANNULE")),""))</f>
        <v/>
      </c>
    </row>
    <row r="2547">
      <c r="A2547">
        <f>IF(ISBLANK('ENGAGEMENTS 2026'!B2547),"",IF('ENGAGEMENTS 2026'!B2547="DTSI","DCT",'ENGAGEMENTS 2026'!B2547))</f>
        <v/>
      </c>
      <c r="B2547">
        <f>IF(ISBLANK('ENGAGEMENTS 2026'!B2547),"",'ENGAGEMENTS 2026'!C2547)</f>
        <v/>
      </c>
      <c r="C2547">
        <f>IF(ISBLANK('ENGAGEMENTS 2026'!B2547),"",'ENGAGEMENTS 2026'!D2547)</f>
        <v/>
      </c>
      <c r="D2547">
        <f>IF(ISBLANK('ENGAGEMENTS 2026'!B2547),"",'ENGAGEMENTS 2026'!F2547)</f>
        <v/>
      </c>
      <c r="E2547">
        <f>IF(ISBLANK('ENGAGEMENTS 2026'!B2547),"",'ENGAGEMENTS 2026'!H2547)</f>
        <v/>
      </c>
      <c r="F2547">
        <f>IF(ISBLANK('ENGAGEMENTS 2026'!B2547),"",'ENGAGEMENTS 2026'!I2547)</f>
        <v/>
      </c>
      <c r="G2547">
        <f>IF(ISBLANK('ENGAGEMENTS 2026'!B2547),"",'ENGAGEMENTS 2026'!L2547)</f>
        <v/>
      </c>
      <c r="H2547">
        <f>IF(ISBLANK('ENGAGEMENTS 2026'!B2547),"",'ENGAGEMENTS 2026'!AE2547)</f>
        <v/>
      </c>
      <c r="I2547">
        <f>IF(ISBLANK('ENGAGEMENTS 2026'!B2547),"",'ENGAGEMENTS 2026'!G2547)</f>
        <v/>
      </c>
      <c r="J2547" s="275">
        <f>IF(ISBLANK('ENGAGEMENTS 2026'!B2547),"",IF(AND(OR($E2547="INFRUCTUEUX",$E2547="ANNULE"),$C2547="AOO-M"),'ENGAGEMENTS 2026'!O2547,IF($H2547="EN COURS DE PREENGAGEMENT",'ENGAGEMENTS 2026'!N2547,IF($H2547="PREENGAGE",IF($E2547="ATTRIBUE",'ENGAGEMENTS 2026'!AD2547,'ENGAGEMENTS 2026'!N2547),'ENGAGEMENTS 2026'!AD2547))))</f>
        <v/>
      </c>
      <c r="K2547" s="604">
        <f>IF(ISBLANK('ENGAGEMENTS 2026'!V2547),"",'ENGAGEMENTS 2026'!V2547)</f>
        <v/>
      </c>
      <c r="L2547" s="276">
        <f>IF($K2547="","",TODAY()-$K2547)</f>
        <v/>
      </c>
      <c r="M2547">
        <f>IF($A2547="","",IF($H2547="ENGAGE","Engagé",IF(AND($H2547="NON ENGAGE",OR($I2547="INFRUCTUEUX",$I2547="ANNULE")),"Clôturé sans suite","En cours")))</f>
        <v/>
      </c>
      <c r="N2547">
        <f>IF(ISBLANK('ENGAGEMENTS 2026'!B2547),"",'ENGAGEMENTS 2026'!K2547)</f>
        <v/>
      </c>
      <c r="O2547">
        <f>IF(ISBLANK('ENGAGEMENTS 2026'!B2547),"",'ENGAGEMENTS 2026'!L2547)</f>
        <v/>
      </c>
      <c r="P2547">
        <f>IF(ISBLANK('ENGAGEMENTS 2026'!B2547),"",'ENGAGEMENTS 2026'!J2547)</f>
        <v/>
      </c>
      <c r="Q2547">
        <f>IF($A2547="","",IF(OR($E2547="INFRUCTUEUX",$E2547="ANNULE"),$A2547&amp;"|"&amp;(COUNTIFS($A$2:$A2547,$A2547,$E$2:$E2547,"INFRUCTUEUX")+COUNTIFS($A$2:$A2547,$A2547,$E$2:$E2547,"ANNULE")),""))</f>
        <v/>
      </c>
    </row>
    <row r="2548">
      <c r="A2548">
        <f>IF(ISBLANK('ENGAGEMENTS 2026'!B2548),"",IF('ENGAGEMENTS 2026'!B2548="DTSI","DCT",'ENGAGEMENTS 2026'!B2548))</f>
        <v/>
      </c>
      <c r="B2548">
        <f>IF(ISBLANK('ENGAGEMENTS 2026'!B2548),"",'ENGAGEMENTS 2026'!C2548)</f>
        <v/>
      </c>
      <c r="C2548">
        <f>IF(ISBLANK('ENGAGEMENTS 2026'!B2548),"",'ENGAGEMENTS 2026'!D2548)</f>
        <v/>
      </c>
      <c r="D2548">
        <f>IF(ISBLANK('ENGAGEMENTS 2026'!B2548),"",'ENGAGEMENTS 2026'!F2548)</f>
        <v/>
      </c>
      <c r="E2548">
        <f>IF(ISBLANK('ENGAGEMENTS 2026'!B2548),"",'ENGAGEMENTS 2026'!H2548)</f>
        <v/>
      </c>
      <c r="F2548">
        <f>IF(ISBLANK('ENGAGEMENTS 2026'!B2548),"",'ENGAGEMENTS 2026'!I2548)</f>
        <v/>
      </c>
      <c r="G2548">
        <f>IF(ISBLANK('ENGAGEMENTS 2026'!B2548),"",'ENGAGEMENTS 2026'!L2548)</f>
        <v/>
      </c>
      <c r="H2548">
        <f>IF(ISBLANK('ENGAGEMENTS 2026'!B2548),"",'ENGAGEMENTS 2026'!AE2548)</f>
        <v/>
      </c>
      <c r="I2548">
        <f>IF(ISBLANK('ENGAGEMENTS 2026'!B2548),"",'ENGAGEMENTS 2026'!G2548)</f>
        <v/>
      </c>
      <c r="J2548" s="275">
        <f>IF(ISBLANK('ENGAGEMENTS 2026'!B2548),"",IF(AND(OR($E2548="INFRUCTUEUX",$E2548="ANNULE"),$C2548="AOO-M"),'ENGAGEMENTS 2026'!O2548,IF($H2548="EN COURS DE PREENGAGEMENT",'ENGAGEMENTS 2026'!N2548,IF($H2548="PREENGAGE",IF($E2548="ATTRIBUE",'ENGAGEMENTS 2026'!AD2548,'ENGAGEMENTS 2026'!N2548),'ENGAGEMENTS 2026'!AD2548))))</f>
        <v/>
      </c>
      <c r="K2548" s="604">
        <f>IF(ISBLANK('ENGAGEMENTS 2026'!V2548),"",'ENGAGEMENTS 2026'!V2548)</f>
        <v/>
      </c>
      <c r="L2548" s="276">
        <f>IF($K2548="","",TODAY()-$K2548)</f>
        <v/>
      </c>
      <c r="M2548">
        <f>IF($A2548="","",IF($H2548="ENGAGE","Engagé",IF(AND($H2548="NON ENGAGE",OR($I2548="INFRUCTUEUX",$I2548="ANNULE")),"Clôturé sans suite","En cours")))</f>
        <v/>
      </c>
      <c r="N2548">
        <f>IF(ISBLANK('ENGAGEMENTS 2026'!B2548),"",'ENGAGEMENTS 2026'!K2548)</f>
        <v/>
      </c>
      <c r="O2548">
        <f>IF(ISBLANK('ENGAGEMENTS 2026'!B2548),"",'ENGAGEMENTS 2026'!L2548)</f>
        <v/>
      </c>
      <c r="P2548">
        <f>IF(ISBLANK('ENGAGEMENTS 2026'!B2548),"",'ENGAGEMENTS 2026'!J2548)</f>
        <v/>
      </c>
      <c r="Q2548">
        <f>IF($A2548="","",IF(OR($E2548="INFRUCTUEUX",$E2548="ANNULE"),$A2548&amp;"|"&amp;(COUNTIFS($A$2:$A2548,$A2548,$E$2:$E2548,"INFRUCTUEUX")+COUNTIFS($A$2:$A2548,$A2548,$E$2:$E2548,"ANNULE")),""))</f>
        <v/>
      </c>
    </row>
    <row r="2549">
      <c r="A2549">
        <f>IF(ISBLANK('ENGAGEMENTS 2026'!B2549),"",IF('ENGAGEMENTS 2026'!B2549="DTSI","DCT",'ENGAGEMENTS 2026'!B2549))</f>
        <v/>
      </c>
      <c r="B2549">
        <f>IF(ISBLANK('ENGAGEMENTS 2026'!B2549),"",'ENGAGEMENTS 2026'!C2549)</f>
        <v/>
      </c>
      <c r="C2549">
        <f>IF(ISBLANK('ENGAGEMENTS 2026'!B2549),"",'ENGAGEMENTS 2026'!D2549)</f>
        <v/>
      </c>
      <c r="D2549">
        <f>IF(ISBLANK('ENGAGEMENTS 2026'!B2549),"",'ENGAGEMENTS 2026'!F2549)</f>
        <v/>
      </c>
      <c r="E2549">
        <f>IF(ISBLANK('ENGAGEMENTS 2026'!B2549),"",'ENGAGEMENTS 2026'!H2549)</f>
        <v/>
      </c>
      <c r="F2549">
        <f>IF(ISBLANK('ENGAGEMENTS 2026'!B2549),"",'ENGAGEMENTS 2026'!I2549)</f>
        <v/>
      </c>
      <c r="G2549">
        <f>IF(ISBLANK('ENGAGEMENTS 2026'!B2549),"",'ENGAGEMENTS 2026'!L2549)</f>
        <v/>
      </c>
      <c r="H2549">
        <f>IF(ISBLANK('ENGAGEMENTS 2026'!B2549),"",'ENGAGEMENTS 2026'!AE2549)</f>
        <v/>
      </c>
      <c r="I2549">
        <f>IF(ISBLANK('ENGAGEMENTS 2026'!B2549),"",'ENGAGEMENTS 2026'!G2549)</f>
        <v/>
      </c>
      <c r="J2549" s="275">
        <f>IF(ISBLANK('ENGAGEMENTS 2026'!B2549),"",IF(AND(OR($E2549="INFRUCTUEUX",$E2549="ANNULE"),$C2549="AOO-M"),'ENGAGEMENTS 2026'!O2549,IF($H2549="EN COURS DE PREENGAGEMENT",'ENGAGEMENTS 2026'!N2549,IF($H2549="PREENGAGE",IF($E2549="ATTRIBUE",'ENGAGEMENTS 2026'!AD2549,'ENGAGEMENTS 2026'!N2549),'ENGAGEMENTS 2026'!AD2549))))</f>
        <v/>
      </c>
      <c r="K2549" s="604">
        <f>IF(ISBLANK('ENGAGEMENTS 2026'!V2549),"",'ENGAGEMENTS 2026'!V2549)</f>
        <v/>
      </c>
      <c r="L2549" s="276">
        <f>IF($K2549="","",TODAY()-$K2549)</f>
        <v/>
      </c>
      <c r="M2549">
        <f>IF($A2549="","",IF($H2549="ENGAGE","Engagé",IF(AND($H2549="NON ENGAGE",OR($I2549="INFRUCTUEUX",$I2549="ANNULE")),"Clôturé sans suite","En cours")))</f>
        <v/>
      </c>
      <c r="N2549">
        <f>IF(ISBLANK('ENGAGEMENTS 2026'!B2549),"",'ENGAGEMENTS 2026'!K2549)</f>
        <v/>
      </c>
      <c r="O2549">
        <f>IF(ISBLANK('ENGAGEMENTS 2026'!B2549),"",'ENGAGEMENTS 2026'!L2549)</f>
        <v/>
      </c>
      <c r="P2549">
        <f>IF(ISBLANK('ENGAGEMENTS 2026'!B2549),"",'ENGAGEMENTS 2026'!J2549)</f>
        <v/>
      </c>
      <c r="Q2549">
        <f>IF($A2549="","",IF(OR($E2549="INFRUCTUEUX",$E2549="ANNULE"),$A2549&amp;"|"&amp;(COUNTIFS($A$2:$A2549,$A2549,$E$2:$E2549,"INFRUCTUEUX")+COUNTIFS($A$2:$A2549,$A2549,$E$2:$E2549,"ANNULE")),""))</f>
        <v/>
      </c>
    </row>
    <row r="2550">
      <c r="A2550">
        <f>IF(ISBLANK('ENGAGEMENTS 2026'!B2550),"",IF('ENGAGEMENTS 2026'!B2550="DTSI","DCT",'ENGAGEMENTS 2026'!B2550))</f>
        <v/>
      </c>
      <c r="B2550">
        <f>IF(ISBLANK('ENGAGEMENTS 2026'!B2550),"",'ENGAGEMENTS 2026'!C2550)</f>
        <v/>
      </c>
      <c r="C2550">
        <f>IF(ISBLANK('ENGAGEMENTS 2026'!B2550),"",'ENGAGEMENTS 2026'!D2550)</f>
        <v/>
      </c>
      <c r="D2550">
        <f>IF(ISBLANK('ENGAGEMENTS 2026'!B2550),"",'ENGAGEMENTS 2026'!F2550)</f>
        <v/>
      </c>
      <c r="E2550">
        <f>IF(ISBLANK('ENGAGEMENTS 2026'!B2550),"",'ENGAGEMENTS 2026'!H2550)</f>
        <v/>
      </c>
      <c r="F2550">
        <f>IF(ISBLANK('ENGAGEMENTS 2026'!B2550),"",'ENGAGEMENTS 2026'!I2550)</f>
        <v/>
      </c>
      <c r="G2550">
        <f>IF(ISBLANK('ENGAGEMENTS 2026'!B2550),"",'ENGAGEMENTS 2026'!L2550)</f>
        <v/>
      </c>
      <c r="H2550">
        <f>IF(ISBLANK('ENGAGEMENTS 2026'!B2550),"",'ENGAGEMENTS 2026'!AE2550)</f>
        <v/>
      </c>
      <c r="I2550">
        <f>IF(ISBLANK('ENGAGEMENTS 2026'!B2550),"",'ENGAGEMENTS 2026'!G2550)</f>
        <v/>
      </c>
      <c r="J2550" s="275">
        <f>IF(ISBLANK('ENGAGEMENTS 2026'!B2550),"",IF(AND(OR($E2550="INFRUCTUEUX",$E2550="ANNULE"),$C2550="AOO-M"),'ENGAGEMENTS 2026'!O2550,IF($H2550="EN COURS DE PREENGAGEMENT",'ENGAGEMENTS 2026'!N2550,IF($H2550="PREENGAGE",IF($E2550="ATTRIBUE",'ENGAGEMENTS 2026'!AD2550,'ENGAGEMENTS 2026'!N2550),'ENGAGEMENTS 2026'!AD2550))))</f>
        <v/>
      </c>
      <c r="K2550" s="604">
        <f>IF(ISBLANK('ENGAGEMENTS 2026'!V2550),"",'ENGAGEMENTS 2026'!V2550)</f>
        <v/>
      </c>
      <c r="L2550" s="276">
        <f>IF($K2550="","",TODAY()-$K2550)</f>
        <v/>
      </c>
      <c r="M2550">
        <f>IF($A2550="","",IF($H2550="ENGAGE","Engagé",IF(AND($H2550="NON ENGAGE",OR($I2550="INFRUCTUEUX",$I2550="ANNULE")),"Clôturé sans suite","En cours")))</f>
        <v/>
      </c>
      <c r="N2550">
        <f>IF(ISBLANK('ENGAGEMENTS 2026'!B2550),"",'ENGAGEMENTS 2026'!K2550)</f>
        <v/>
      </c>
      <c r="O2550">
        <f>IF(ISBLANK('ENGAGEMENTS 2026'!B2550),"",'ENGAGEMENTS 2026'!L2550)</f>
        <v/>
      </c>
      <c r="P2550">
        <f>IF(ISBLANK('ENGAGEMENTS 2026'!B2550),"",'ENGAGEMENTS 2026'!J2550)</f>
        <v/>
      </c>
      <c r="Q2550">
        <f>IF($A2550="","",IF(OR($E2550="INFRUCTUEUX",$E2550="ANNULE"),$A2550&amp;"|"&amp;(COUNTIFS($A$2:$A2550,$A2550,$E$2:$E2550,"INFRUCTUEUX")+COUNTIFS($A$2:$A2550,$A2550,$E$2:$E2550,"ANNULE")),""))</f>
        <v/>
      </c>
    </row>
    <row r="2551">
      <c r="A2551">
        <f>IF(ISBLANK('ENGAGEMENTS 2026'!B2551),"",IF('ENGAGEMENTS 2026'!B2551="DTSI","DCT",'ENGAGEMENTS 2026'!B2551))</f>
        <v/>
      </c>
      <c r="B2551">
        <f>IF(ISBLANK('ENGAGEMENTS 2026'!B2551),"",'ENGAGEMENTS 2026'!C2551)</f>
        <v/>
      </c>
      <c r="C2551">
        <f>IF(ISBLANK('ENGAGEMENTS 2026'!B2551),"",'ENGAGEMENTS 2026'!D2551)</f>
        <v/>
      </c>
      <c r="D2551">
        <f>IF(ISBLANK('ENGAGEMENTS 2026'!B2551),"",'ENGAGEMENTS 2026'!F2551)</f>
        <v/>
      </c>
      <c r="E2551">
        <f>IF(ISBLANK('ENGAGEMENTS 2026'!B2551),"",'ENGAGEMENTS 2026'!H2551)</f>
        <v/>
      </c>
      <c r="F2551">
        <f>IF(ISBLANK('ENGAGEMENTS 2026'!B2551),"",'ENGAGEMENTS 2026'!I2551)</f>
        <v/>
      </c>
      <c r="G2551">
        <f>IF(ISBLANK('ENGAGEMENTS 2026'!B2551),"",'ENGAGEMENTS 2026'!L2551)</f>
        <v/>
      </c>
      <c r="H2551">
        <f>IF(ISBLANK('ENGAGEMENTS 2026'!B2551),"",'ENGAGEMENTS 2026'!AE2551)</f>
        <v/>
      </c>
      <c r="I2551">
        <f>IF(ISBLANK('ENGAGEMENTS 2026'!B2551),"",'ENGAGEMENTS 2026'!G2551)</f>
        <v/>
      </c>
      <c r="J2551" s="275">
        <f>IF(ISBLANK('ENGAGEMENTS 2026'!B2551),"",IF(AND(OR($E2551="INFRUCTUEUX",$E2551="ANNULE"),$C2551="AOO-M"),'ENGAGEMENTS 2026'!O2551,IF($H2551="EN COURS DE PREENGAGEMENT",'ENGAGEMENTS 2026'!N2551,IF($H2551="PREENGAGE",IF($E2551="ATTRIBUE",'ENGAGEMENTS 2026'!AD2551,'ENGAGEMENTS 2026'!N2551),'ENGAGEMENTS 2026'!AD2551))))</f>
        <v/>
      </c>
      <c r="K2551" s="604">
        <f>IF(ISBLANK('ENGAGEMENTS 2026'!V2551),"",'ENGAGEMENTS 2026'!V2551)</f>
        <v/>
      </c>
      <c r="L2551" s="276">
        <f>IF($K2551="","",TODAY()-$K2551)</f>
        <v/>
      </c>
      <c r="M2551">
        <f>IF($A2551="","",IF($H2551="ENGAGE","Engagé",IF(AND($H2551="NON ENGAGE",OR($I2551="INFRUCTUEUX",$I2551="ANNULE")),"Clôturé sans suite","En cours")))</f>
        <v/>
      </c>
      <c r="N2551">
        <f>IF(ISBLANK('ENGAGEMENTS 2026'!B2551),"",'ENGAGEMENTS 2026'!K2551)</f>
        <v/>
      </c>
      <c r="O2551">
        <f>IF(ISBLANK('ENGAGEMENTS 2026'!B2551),"",'ENGAGEMENTS 2026'!L2551)</f>
        <v/>
      </c>
      <c r="P2551">
        <f>IF(ISBLANK('ENGAGEMENTS 2026'!B2551),"",'ENGAGEMENTS 2026'!J2551)</f>
        <v/>
      </c>
      <c r="Q2551">
        <f>IF($A2551="","",IF(OR($E2551="INFRUCTUEUX",$E2551="ANNULE"),$A2551&amp;"|"&amp;(COUNTIFS($A$2:$A2551,$A2551,$E$2:$E2551,"INFRUCTUEUX")+COUNTIFS($A$2:$A2551,$A2551,$E$2:$E2551,"ANNULE")),""))</f>
        <v/>
      </c>
    </row>
    <row r="2552">
      <c r="A2552">
        <f>IF(ISBLANK('ENGAGEMENTS 2026'!B2552),"",IF('ENGAGEMENTS 2026'!B2552="DTSI","DCT",'ENGAGEMENTS 2026'!B2552))</f>
        <v/>
      </c>
      <c r="B2552">
        <f>IF(ISBLANK('ENGAGEMENTS 2026'!B2552),"",'ENGAGEMENTS 2026'!C2552)</f>
        <v/>
      </c>
      <c r="C2552">
        <f>IF(ISBLANK('ENGAGEMENTS 2026'!B2552),"",'ENGAGEMENTS 2026'!D2552)</f>
        <v/>
      </c>
      <c r="D2552">
        <f>IF(ISBLANK('ENGAGEMENTS 2026'!B2552),"",'ENGAGEMENTS 2026'!F2552)</f>
        <v/>
      </c>
      <c r="E2552">
        <f>IF(ISBLANK('ENGAGEMENTS 2026'!B2552),"",'ENGAGEMENTS 2026'!H2552)</f>
        <v/>
      </c>
      <c r="F2552">
        <f>IF(ISBLANK('ENGAGEMENTS 2026'!B2552),"",'ENGAGEMENTS 2026'!I2552)</f>
        <v/>
      </c>
      <c r="G2552">
        <f>IF(ISBLANK('ENGAGEMENTS 2026'!B2552),"",'ENGAGEMENTS 2026'!L2552)</f>
        <v/>
      </c>
      <c r="H2552">
        <f>IF(ISBLANK('ENGAGEMENTS 2026'!B2552),"",'ENGAGEMENTS 2026'!AE2552)</f>
        <v/>
      </c>
      <c r="I2552">
        <f>IF(ISBLANK('ENGAGEMENTS 2026'!B2552),"",'ENGAGEMENTS 2026'!G2552)</f>
        <v/>
      </c>
      <c r="J2552" s="275">
        <f>IF(ISBLANK('ENGAGEMENTS 2026'!B2552),"",IF(AND(OR($E2552="INFRUCTUEUX",$E2552="ANNULE"),$C2552="AOO-M"),'ENGAGEMENTS 2026'!O2552,IF($H2552="EN COURS DE PREENGAGEMENT",'ENGAGEMENTS 2026'!N2552,IF($H2552="PREENGAGE",IF($E2552="ATTRIBUE",'ENGAGEMENTS 2026'!AD2552,'ENGAGEMENTS 2026'!N2552),'ENGAGEMENTS 2026'!AD2552))))</f>
        <v/>
      </c>
      <c r="K2552" s="604">
        <f>IF(ISBLANK('ENGAGEMENTS 2026'!V2552),"",'ENGAGEMENTS 2026'!V2552)</f>
        <v/>
      </c>
      <c r="L2552" s="276">
        <f>IF($K2552="","",TODAY()-$K2552)</f>
        <v/>
      </c>
      <c r="M2552">
        <f>IF($A2552="","",IF($H2552="ENGAGE","Engagé",IF(AND($H2552="NON ENGAGE",OR($I2552="INFRUCTUEUX",$I2552="ANNULE")),"Clôturé sans suite","En cours")))</f>
        <v/>
      </c>
      <c r="N2552">
        <f>IF(ISBLANK('ENGAGEMENTS 2026'!B2552),"",'ENGAGEMENTS 2026'!K2552)</f>
        <v/>
      </c>
      <c r="O2552">
        <f>IF(ISBLANK('ENGAGEMENTS 2026'!B2552),"",'ENGAGEMENTS 2026'!L2552)</f>
        <v/>
      </c>
      <c r="P2552">
        <f>IF(ISBLANK('ENGAGEMENTS 2026'!B2552),"",'ENGAGEMENTS 2026'!J2552)</f>
        <v/>
      </c>
      <c r="Q2552">
        <f>IF($A2552="","",IF(OR($E2552="INFRUCTUEUX",$E2552="ANNULE"),$A2552&amp;"|"&amp;(COUNTIFS($A$2:$A2552,$A2552,$E$2:$E2552,"INFRUCTUEUX")+COUNTIFS($A$2:$A2552,$A2552,$E$2:$E2552,"ANNULE")),""))</f>
        <v/>
      </c>
    </row>
    <row r="2553">
      <c r="A2553">
        <f>IF(ISBLANK('ENGAGEMENTS 2026'!B2553),"",IF('ENGAGEMENTS 2026'!B2553="DTSI","DCT",'ENGAGEMENTS 2026'!B2553))</f>
        <v/>
      </c>
      <c r="B2553">
        <f>IF(ISBLANK('ENGAGEMENTS 2026'!B2553),"",'ENGAGEMENTS 2026'!C2553)</f>
        <v/>
      </c>
      <c r="C2553">
        <f>IF(ISBLANK('ENGAGEMENTS 2026'!B2553),"",'ENGAGEMENTS 2026'!D2553)</f>
        <v/>
      </c>
      <c r="D2553">
        <f>IF(ISBLANK('ENGAGEMENTS 2026'!B2553),"",'ENGAGEMENTS 2026'!F2553)</f>
        <v/>
      </c>
      <c r="E2553">
        <f>IF(ISBLANK('ENGAGEMENTS 2026'!B2553),"",'ENGAGEMENTS 2026'!H2553)</f>
        <v/>
      </c>
      <c r="F2553">
        <f>IF(ISBLANK('ENGAGEMENTS 2026'!B2553),"",'ENGAGEMENTS 2026'!I2553)</f>
        <v/>
      </c>
      <c r="G2553">
        <f>IF(ISBLANK('ENGAGEMENTS 2026'!B2553),"",'ENGAGEMENTS 2026'!L2553)</f>
        <v/>
      </c>
      <c r="H2553">
        <f>IF(ISBLANK('ENGAGEMENTS 2026'!B2553),"",'ENGAGEMENTS 2026'!AE2553)</f>
        <v/>
      </c>
      <c r="I2553">
        <f>IF(ISBLANK('ENGAGEMENTS 2026'!B2553),"",'ENGAGEMENTS 2026'!G2553)</f>
        <v/>
      </c>
      <c r="J2553" s="275">
        <f>IF(ISBLANK('ENGAGEMENTS 2026'!B2553),"",IF(AND(OR($E2553="INFRUCTUEUX",$E2553="ANNULE"),$C2553="AOO-M"),'ENGAGEMENTS 2026'!O2553,IF($H2553="EN COURS DE PREENGAGEMENT",'ENGAGEMENTS 2026'!N2553,IF($H2553="PREENGAGE",IF($E2553="ATTRIBUE",'ENGAGEMENTS 2026'!AD2553,'ENGAGEMENTS 2026'!N2553),'ENGAGEMENTS 2026'!AD2553))))</f>
        <v/>
      </c>
      <c r="K2553" s="604">
        <f>IF(ISBLANK('ENGAGEMENTS 2026'!V2553),"",'ENGAGEMENTS 2026'!V2553)</f>
        <v/>
      </c>
      <c r="L2553" s="276">
        <f>IF($K2553="","",TODAY()-$K2553)</f>
        <v/>
      </c>
      <c r="M2553">
        <f>IF($A2553="","",IF($H2553="ENGAGE","Engagé",IF(AND($H2553="NON ENGAGE",OR($I2553="INFRUCTUEUX",$I2553="ANNULE")),"Clôturé sans suite","En cours")))</f>
        <v/>
      </c>
      <c r="N2553">
        <f>IF(ISBLANK('ENGAGEMENTS 2026'!B2553),"",'ENGAGEMENTS 2026'!K2553)</f>
        <v/>
      </c>
      <c r="O2553">
        <f>IF(ISBLANK('ENGAGEMENTS 2026'!B2553),"",'ENGAGEMENTS 2026'!L2553)</f>
        <v/>
      </c>
      <c r="P2553">
        <f>IF(ISBLANK('ENGAGEMENTS 2026'!B2553),"",'ENGAGEMENTS 2026'!J2553)</f>
        <v/>
      </c>
      <c r="Q2553">
        <f>IF($A2553="","",IF(OR($E2553="INFRUCTUEUX",$E2553="ANNULE"),$A2553&amp;"|"&amp;(COUNTIFS($A$2:$A2553,$A2553,$E$2:$E2553,"INFRUCTUEUX")+COUNTIFS($A$2:$A2553,$A2553,$E$2:$E2553,"ANNULE")),""))</f>
        <v/>
      </c>
    </row>
    <row r="2554">
      <c r="A2554">
        <f>IF(ISBLANK('ENGAGEMENTS 2026'!B2554),"",IF('ENGAGEMENTS 2026'!B2554="DTSI","DCT",'ENGAGEMENTS 2026'!B2554))</f>
        <v/>
      </c>
      <c r="B2554">
        <f>IF(ISBLANK('ENGAGEMENTS 2026'!B2554),"",'ENGAGEMENTS 2026'!C2554)</f>
        <v/>
      </c>
      <c r="C2554">
        <f>IF(ISBLANK('ENGAGEMENTS 2026'!B2554),"",'ENGAGEMENTS 2026'!D2554)</f>
        <v/>
      </c>
      <c r="D2554">
        <f>IF(ISBLANK('ENGAGEMENTS 2026'!B2554),"",'ENGAGEMENTS 2026'!F2554)</f>
        <v/>
      </c>
      <c r="E2554">
        <f>IF(ISBLANK('ENGAGEMENTS 2026'!B2554),"",'ENGAGEMENTS 2026'!H2554)</f>
        <v/>
      </c>
      <c r="F2554">
        <f>IF(ISBLANK('ENGAGEMENTS 2026'!B2554),"",'ENGAGEMENTS 2026'!I2554)</f>
        <v/>
      </c>
      <c r="G2554">
        <f>IF(ISBLANK('ENGAGEMENTS 2026'!B2554),"",'ENGAGEMENTS 2026'!L2554)</f>
        <v/>
      </c>
      <c r="H2554">
        <f>IF(ISBLANK('ENGAGEMENTS 2026'!B2554),"",'ENGAGEMENTS 2026'!AE2554)</f>
        <v/>
      </c>
      <c r="I2554">
        <f>IF(ISBLANK('ENGAGEMENTS 2026'!B2554),"",'ENGAGEMENTS 2026'!G2554)</f>
        <v/>
      </c>
      <c r="J2554" s="275">
        <f>IF(ISBLANK('ENGAGEMENTS 2026'!B2554),"",IF(AND(OR($E2554="INFRUCTUEUX",$E2554="ANNULE"),$C2554="AOO-M"),'ENGAGEMENTS 2026'!O2554,IF($H2554="EN COURS DE PREENGAGEMENT",'ENGAGEMENTS 2026'!N2554,IF($H2554="PREENGAGE",IF($E2554="ATTRIBUE",'ENGAGEMENTS 2026'!AD2554,'ENGAGEMENTS 2026'!N2554),'ENGAGEMENTS 2026'!AD2554))))</f>
        <v/>
      </c>
      <c r="K2554" s="604">
        <f>IF(ISBLANK('ENGAGEMENTS 2026'!V2554),"",'ENGAGEMENTS 2026'!V2554)</f>
        <v/>
      </c>
      <c r="L2554" s="276">
        <f>IF($K2554="","",TODAY()-$K2554)</f>
        <v/>
      </c>
      <c r="M2554">
        <f>IF($A2554="","",IF($H2554="ENGAGE","Engagé",IF(AND($H2554="NON ENGAGE",OR($I2554="INFRUCTUEUX",$I2554="ANNULE")),"Clôturé sans suite","En cours")))</f>
        <v/>
      </c>
      <c r="N2554">
        <f>IF(ISBLANK('ENGAGEMENTS 2026'!B2554),"",'ENGAGEMENTS 2026'!K2554)</f>
        <v/>
      </c>
      <c r="O2554">
        <f>IF(ISBLANK('ENGAGEMENTS 2026'!B2554),"",'ENGAGEMENTS 2026'!L2554)</f>
        <v/>
      </c>
      <c r="P2554">
        <f>IF(ISBLANK('ENGAGEMENTS 2026'!B2554),"",'ENGAGEMENTS 2026'!J2554)</f>
        <v/>
      </c>
      <c r="Q2554">
        <f>IF($A2554="","",IF(OR($E2554="INFRUCTUEUX",$E2554="ANNULE"),$A2554&amp;"|"&amp;(COUNTIFS($A$2:$A2554,$A2554,$E$2:$E2554,"INFRUCTUEUX")+COUNTIFS($A$2:$A2554,$A2554,$E$2:$E2554,"ANNULE")),""))</f>
        <v/>
      </c>
    </row>
    <row r="2555">
      <c r="A2555">
        <f>IF(ISBLANK('ENGAGEMENTS 2026'!B2555),"",IF('ENGAGEMENTS 2026'!B2555="DTSI","DCT",'ENGAGEMENTS 2026'!B2555))</f>
        <v/>
      </c>
      <c r="B2555">
        <f>IF(ISBLANK('ENGAGEMENTS 2026'!B2555),"",'ENGAGEMENTS 2026'!C2555)</f>
        <v/>
      </c>
      <c r="C2555">
        <f>IF(ISBLANK('ENGAGEMENTS 2026'!B2555),"",'ENGAGEMENTS 2026'!D2555)</f>
        <v/>
      </c>
      <c r="D2555">
        <f>IF(ISBLANK('ENGAGEMENTS 2026'!B2555),"",'ENGAGEMENTS 2026'!F2555)</f>
        <v/>
      </c>
      <c r="E2555">
        <f>IF(ISBLANK('ENGAGEMENTS 2026'!B2555),"",'ENGAGEMENTS 2026'!H2555)</f>
        <v/>
      </c>
      <c r="F2555">
        <f>IF(ISBLANK('ENGAGEMENTS 2026'!B2555),"",'ENGAGEMENTS 2026'!I2555)</f>
        <v/>
      </c>
      <c r="G2555">
        <f>IF(ISBLANK('ENGAGEMENTS 2026'!B2555),"",'ENGAGEMENTS 2026'!L2555)</f>
        <v/>
      </c>
      <c r="H2555">
        <f>IF(ISBLANK('ENGAGEMENTS 2026'!B2555),"",'ENGAGEMENTS 2026'!AE2555)</f>
        <v/>
      </c>
      <c r="I2555">
        <f>IF(ISBLANK('ENGAGEMENTS 2026'!B2555),"",'ENGAGEMENTS 2026'!G2555)</f>
        <v/>
      </c>
      <c r="J2555" s="275">
        <f>IF(ISBLANK('ENGAGEMENTS 2026'!B2555),"",IF(AND(OR($E2555="INFRUCTUEUX",$E2555="ANNULE"),$C2555="AOO-M"),'ENGAGEMENTS 2026'!O2555,IF($H2555="EN COURS DE PREENGAGEMENT",'ENGAGEMENTS 2026'!N2555,IF($H2555="PREENGAGE",IF($E2555="ATTRIBUE",'ENGAGEMENTS 2026'!AD2555,'ENGAGEMENTS 2026'!N2555),'ENGAGEMENTS 2026'!AD2555))))</f>
        <v/>
      </c>
      <c r="K2555" s="604">
        <f>IF(ISBLANK('ENGAGEMENTS 2026'!V2555),"",'ENGAGEMENTS 2026'!V2555)</f>
        <v/>
      </c>
      <c r="L2555" s="276">
        <f>IF($K2555="","",TODAY()-$K2555)</f>
        <v/>
      </c>
      <c r="M2555">
        <f>IF($A2555="","",IF($H2555="ENGAGE","Engagé",IF(AND($H2555="NON ENGAGE",OR($I2555="INFRUCTUEUX",$I2555="ANNULE")),"Clôturé sans suite","En cours")))</f>
        <v/>
      </c>
      <c r="N2555">
        <f>IF(ISBLANK('ENGAGEMENTS 2026'!B2555),"",'ENGAGEMENTS 2026'!K2555)</f>
        <v/>
      </c>
      <c r="O2555">
        <f>IF(ISBLANK('ENGAGEMENTS 2026'!B2555),"",'ENGAGEMENTS 2026'!L2555)</f>
        <v/>
      </c>
      <c r="P2555">
        <f>IF(ISBLANK('ENGAGEMENTS 2026'!B2555),"",'ENGAGEMENTS 2026'!J2555)</f>
        <v/>
      </c>
      <c r="Q2555">
        <f>IF($A2555="","",IF(OR($E2555="INFRUCTUEUX",$E2555="ANNULE"),$A2555&amp;"|"&amp;(COUNTIFS($A$2:$A2555,$A2555,$E$2:$E2555,"INFRUCTUEUX")+COUNTIFS($A$2:$A2555,$A2555,$E$2:$E2555,"ANNULE")),""))</f>
        <v/>
      </c>
    </row>
    <row r="2556">
      <c r="A2556">
        <f>IF(ISBLANK('ENGAGEMENTS 2026'!B2556),"",IF('ENGAGEMENTS 2026'!B2556="DTSI","DCT",'ENGAGEMENTS 2026'!B2556))</f>
        <v/>
      </c>
      <c r="B2556">
        <f>IF(ISBLANK('ENGAGEMENTS 2026'!B2556),"",'ENGAGEMENTS 2026'!C2556)</f>
        <v/>
      </c>
      <c r="C2556">
        <f>IF(ISBLANK('ENGAGEMENTS 2026'!B2556),"",'ENGAGEMENTS 2026'!D2556)</f>
        <v/>
      </c>
      <c r="D2556">
        <f>IF(ISBLANK('ENGAGEMENTS 2026'!B2556),"",'ENGAGEMENTS 2026'!F2556)</f>
        <v/>
      </c>
      <c r="E2556">
        <f>IF(ISBLANK('ENGAGEMENTS 2026'!B2556),"",'ENGAGEMENTS 2026'!H2556)</f>
        <v/>
      </c>
      <c r="F2556">
        <f>IF(ISBLANK('ENGAGEMENTS 2026'!B2556),"",'ENGAGEMENTS 2026'!I2556)</f>
        <v/>
      </c>
      <c r="G2556">
        <f>IF(ISBLANK('ENGAGEMENTS 2026'!B2556),"",'ENGAGEMENTS 2026'!L2556)</f>
        <v/>
      </c>
      <c r="H2556">
        <f>IF(ISBLANK('ENGAGEMENTS 2026'!B2556),"",'ENGAGEMENTS 2026'!AE2556)</f>
        <v/>
      </c>
      <c r="I2556">
        <f>IF(ISBLANK('ENGAGEMENTS 2026'!B2556),"",'ENGAGEMENTS 2026'!G2556)</f>
        <v/>
      </c>
      <c r="J2556" s="275">
        <f>IF(ISBLANK('ENGAGEMENTS 2026'!B2556),"",IF(AND(OR($E2556="INFRUCTUEUX",$E2556="ANNULE"),$C2556="AOO-M"),'ENGAGEMENTS 2026'!O2556,IF($H2556="EN COURS DE PREENGAGEMENT",'ENGAGEMENTS 2026'!N2556,IF($H2556="PREENGAGE",IF($E2556="ATTRIBUE",'ENGAGEMENTS 2026'!AD2556,'ENGAGEMENTS 2026'!N2556),'ENGAGEMENTS 2026'!AD2556))))</f>
        <v/>
      </c>
      <c r="K2556" s="604">
        <f>IF(ISBLANK('ENGAGEMENTS 2026'!V2556),"",'ENGAGEMENTS 2026'!V2556)</f>
        <v/>
      </c>
      <c r="L2556" s="276">
        <f>IF($K2556="","",TODAY()-$K2556)</f>
        <v/>
      </c>
      <c r="M2556">
        <f>IF($A2556="","",IF($H2556="ENGAGE","Engagé",IF(AND($H2556="NON ENGAGE",OR($I2556="INFRUCTUEUX",$I2556="ANNULE")),"Clôturé sans suite","En cours")))</f>
        <v/>
      </c>
      <c r="N2556">
        <f>IF(ISBLANK('ENGAGEMENTS 2026'!B2556),"",'ENGAGEMENTS 2026'!K2556)</f>
        <v/>
      </c>
      <c r="O2556">
        <f>IF(ISBLANK('ENGAGEMENTS 2026'!B2556),"",'ENGAGEMENTS 2026'!L2556)</f>
        <v/>
      </c>
      <c r="P2556">
        <f>IF(ISBLANK('ENGAGEMENTS 2026'!B2556),"",'ENGAGEMENTS 2026'!J2556)</f>
        <v/>
      </c>
      <c r="Q2556">
        <f>IF($A2556="","",IF(OR($E2556="INFRUCTUEUX",$E2556="ANNULE"),$A2556&amp;"|"&amp;(COUNTIFS($A$2:$A2556,$A2556,$E$2:$E2556,"INFRUCTUEUX")+COUNTIFS($A$2:$A2556,$A2556,$E$2:$E2556,"ANNULE")),""))</f>
        <v/>
      </c>
    </row>
    <row r="2557">
      <c r="A2557">
        <f>IF(ISBLANK('ENGAGEMENTS 2026'!B2557),"",IF('ENGAGEMENTS 2026'!B2557="DTSI","DCT",'ENGAGEMENTS 2026'!B2557))</f>
        <v/>
      </c>
      <c r="B2557">
        <f>IF(ISBLANK('ENGAGEMENTS 2026'!B2557),"",'ENGAGEMENTS 2026'!C2557)</f>
        <v/>
      </c>
      <c r="C2557">
        <f>IF(ISBLANK('ENGAGEMENTS 2026'!B2557),"",'ENGAGEMENTS 2026'!D2557)</f>
        <v/>
      </c>
      <c r="D2557">
        <f>IF(ISBLANK('ENGAGEMENTS 2026'!B2557),"",'ENGAGEMENTS 2026'!F2557)</f>
        <v/>
      </c>
      <c r="E2557">
        <f>IF(ISBLANK('ENGAGEMENTS 2026'!B2557),"",'ENGAGEMENTS 2026'!H2557)</f>
        <v/>
      </c>
      <c r="F2557">
        <f>IF(ISBLANK('ENGAGEMENTS 2026'!B2557),"",'ENGAGEMENTS 2026'!I2557)</f>
        <v/>
      </c>
      <c r="G2557">
        <f>IF(ISBLANK('ENGAGEMENTS 2026'!B2557),"",'ENGAGEMENTS 2026'!L2557)</f>
        <v/>
      </c>
      <c r="H2557">
        <f>IF(ISBLANK('ENGAGEMENTS 2026'!B2557),"",'ENGAGEMENTS 2026'!AE2557)</f>
        <v/>
      </c>
      <c r="I2557">
        <f>IF(ISBLANK('ENGAGEMENTS 2026'!B2557),"",'ENGAGEMENTS 2026'!G2557)</f>
        <v/>
      </c>
      <c r="J2557" s="275">
        <f>IF(ISBLANK('ENGAGEMENTS 2026'!B2557),"",IF(AND(OR($E2557="INFRUCTUEUX",$E2557="ANNULE"),$C2557="AOO-M"),'ENGAGEMENTS 2026'!O2557,IF($H2557="EN COURS DE PREENGAGEMENT",'ENGAGEMENTS 2026'!N2557,IF($H2557="PREENGAGE",IF($E2557="ATTRIBUE",'ENGAGEMENTS 2026'!AD2557,'ENGAGEMENTS 2026'!N2557),'ENGAGEMENTS 2026'!AD2557))))</f>
        <v/>
      </c>
      <c r="K2557" s="604">
        <f>IF(ISBLANK('ENGAGEMENTS 2026'!V2557),"",'ENGAGEMENTS 2026'!V2557)</f>
        <v/>
      </c>
      <c r="L2557" s="276">
        <f>IF($K2557="","",TODAY()-$K2557)</f>
        <v/>
      </c>
      <c r="M2557">
        <f>IF($A2557="","",IF($H2557="ENGAGE","Engagé",IF(AND($H2557="NON ENGAGE",OR($I2557="INFRUCTUEUX",$I2557="ANNULE")),"Clôturé sans suite","En cours")))</f>
        <v/>
      </c>
      <c r="N2557">
        <f>IF(ISBLANK('ENGAGEMENTS 2026'!B2557),"",'ENGAGEMENTS 2026'!K2557)</f>
        <v/>
      </c>
      <c r="O2557">
        <f>IF(ISBLANK('ENGAGEMENTS 2026'!B2557),"",'ENGAGEMENTS 2026'!L2557)</f>
        <v/>
      </c>
      <c r="P2557">
        <f>IF(ISBLANK('ENGAGEMENTS 2026'!B2557),"",'ENGAGEMENTS 2026'!J2557)</f>
        <v/>
      </c>
      <c r="Q2557">
        <f>IF($A2557="","",IF(OR($E2557="INFRUCTUEUX",$E2557="ANNULE"),$A2557&amp;"|"&amp;(COUNTIFS($A$2:$A2557,$A2557,$E$2:$E2557,"INFRUCTUEUX")+COUNTIFS($A$2:$A2557,$A2557,$E$2:$E2557,"ANNULE")),""))</f>
        <v/>
      </c>
    </row>
    <row r="2558">
      <c r="A2558">
        <f>IF(ISBLANK('ENGAGEMENTS 2026'!B2558),"",IF('ENGAGEMENTS 2026'!B2558="DTSI","DCT",'ENGAGEMENTS 2026'!B2558))</f>
        <v/>
      </c>
      <c r="B2558">
        <f>IF(ISBLANK('ENGAGEMENTS 2026'!B2558),"",'ENGAGEMENTS 2026'!C2558)</f>
        <v/>
      </c>
      <c r="C2558">
        <f>IF(ISBLANK('ENGAGEMENTS 2026'!B2558),"",'ENGAGEMENTS 2026'!D2558)</f>
        <v/>
      </c>
      <c r="D2558">
        <f>IF(ISBLANK('ENGAGEMENTS 2026'!B2558),"",'ENGAGEMENTS 2026'!F2558)</f>
        <v/>
      </c>
      <c r="E2558">
        <f>IF(ISBLANK('ENGAGEMENTS 2026'!B2558),"",'ENGAGEMENTS 2026'!H2558)</f>
        <v/>
      </c>
      <c r="F2558">
        <f>IF(ISBLANK('ENGAGEMENTS 2026'!B2558),"",'ENGAGEMENTS 2026'!I2558)</f>
        <v/>
      </c>
      <c r="G2558">
        <f>IF(ISBLANK('ENGAGEMENTS 2026'!B2558),"",'ENGAGEMENTS 2026'!L2558)</f>
        <v/>
      </c>
      <c r="H2558">
        <f>IF(ISBLANK('ENGAGEMENTS 2026'!B2558),"",'ENGAGEMENTS 2026'!AE2558)</f>
        <v/>
      </c>
      <c r="I2558">
        <f>IF(ISBLANK('ENGAGEMENTS 2026'!B2558),"",'ENGAGEMENTS 2026'!G2558)</f>
        <v/>
      </c>
      <c r="J2558" s="275">
        <f>IF(ISBLANK('ENGAGEMENTS 2026'!B2558),"",IF(AND(OR($E2558="INFRUCTUEUX",$E2558="ANNULE"),$C2558="AOO-M"),'ENGAGEMENTS 2026'!O2558,IF($H2558="EN COURS DE PREENGAGEMENT",'ENGAGEMENTS 2026'!N2558,IF($H2558="PREENGAGE",IF($E2558="ATTRIBUE",'ENGAGEMENTS 2026'!AD2558,'ENGAGEMENTS 2026'!N2558),'ENGAGEMENTS 2026'!AD2558))))</f>
        <v/>
      </c>
      <c r="K2558" s="604">
        <f>IF(ISBLANK('ENGAGEMENTS 2026'!V2558),"",'ENGAGEMENTS 2026'!V2558)</f>
        <v/>
      </c>
      <c r="L2558" s="276">
        <f>IF($K2558="","",TODAY()-$K2558)</f>
        <v/>
      </c>
      <c r="M2558">
        <f>IF($A2558="","",IF($H2558="ENGAGE","Engagé",IF(AND($H2558="NON ENGAGE",OR($I2558="INFRUCTUEUX",$I2558="ANNULE")),"Clôturé sans suite","En cours")))</f>
        <v/>
      </c>
      <c r="N2558">
        <f>IF(ISBLANK('ENGAGEMENTS 2026'!B2558),"",'ENGAGEMENTS 2026'!K2558)</f>
        <v/>
      </c>
      <c r="O2558">
        <f>IF(ISBLANK('ENGAGEMENTS 2026'!B2558),"",'ENGAGEMENTS 2026'!L2558)</f>
        <v/>
      </c>
      <c r="P2558">
        <f>IF(ISBLANK('ENGAGEMENTS 2026'!B2558),"",'ENGAGEMENTS 2026'!J2558)</f>
        <v/>
      </c>
      <c r="Q2558">
        <f>IF($A2558="","",IF(OR($E2558="INFRUCTUEUX",$E2558="ANNULE"),$A2558&amp;"|"&amp;(COUNTIFS($A$2:$A2558,$A2558,$E$2:$E2558,"INFRUCTUEUX")+COUNTIFS($A$2:$A2558,$A2558,$E$2:$E2558,"ANNULE")),""))</f>
        <v/>
      </c>
    </row>
    <row r="2559">
      <c r="A2559">
        <f>IF(ISBLANK('ENGAGEMENTS 2026'!B2559),"",IF('ENGAGEMENTS 2026'!B2559="DTSI","DCT",'ENGAGEMENTS 2026'!B2559))</f>
        <v/>
      </c>
      <c r="B2559">
        <f>IF(ISBLANK('ENGAGEMENTS 2026'!B2559),"",'ENGAGEMENTS 2026'!C2559)</f>
        <v/>
      </c>
      <c r="C2559">
        <f>IF(ISBLANK('ENGAGEMENTS 2026'!B2559),"",'ENGAGEMENTS 2026'!D2559)</f>
        <v/>
      </c>
      <c r="D2559">
        <f>IF(ISBLANK('ENGAGEMENTS 2026'!B2559),"",'ENGAGEMENTS 2026'!F2559)</f>
        <v/>
      </c>
      <c r="E2559">
        <f>IF(ISBLANK('ENGAGEMENTS 2026'!B2559),"",'ENGAGEMENTS 2026'!H2559)</f>
        <v/>
      </c>
      <c r="F2559">
        <f>IF(ISBLANK('ENGAGEMENTS 2026'!B2559),"",'ENGAGEMENTS 2026'!I2559)</f>
        <v/>
      </c>
      <c r="G2559">
        <f>IF(ISBLANK('ENGAGEMENTS 2026'!B2559),"",'ENGAGEMENTS 2026'!L2559)</f>
        <v/>
      </c>
      <c r="H2559">
        <f>IF(ISBLANK('ENGAGEMENTS 2026'!B2559),"",'ENGAGEMENTS 2026'!AE2559)</f>
        <v/>
      </c>
      <c r="I2559">
        <f>IF(ISBLANK('ENGAGEMENTS 2026'!B2559),"",'ENGAGEMENTS 2026'!G2559)</f>
        <v/>
      </c>
      <c r="J2559" s="275">
        <f>IF(ISBLANK('ENGAGEMENTS 2026'!B2559),"",IF(AND(OR($E2559="INFRUCTUEUX",$E2559="ANNULE"),$C2559="AOO-M"),'ENGAGEMENTS 2026'!O2559,IF($H2559="EN COURS DE PREENGAGEMENT",'ENGAGEMENTS 2026'!N2559,IF($H2559="PREENGAGE",IF($E2559="ATTRIBUE",'ENGAGEMENTS 2026'!AD2559,'ENGAGEMENTS 2026'!N2559),'ENGAGEMENTS 2026'!AD2559))))</f>
        <v/>
      </c>
      <c r="K2559" s="604">
        <f>IF(ISBLANK('ENGAGEMENTS 2026'!V2559),"",'ENGAGEMENTS 2026'!V2559)</f>
        <v/>
      </c>
      <c r="L2559" s="276">
        <f>IF($K2559="","",TODAY()-$K2559)</f>
        <v/>
      </c>
      <c r="M2559">
        <f>IF($A2559="","",IF($H2559="ENGAGE","Engagé",IF(AND($H2559="NON ENGAGE",OR($I2559="INFRUCTUEUX",$I2559="ANNULE")),"Clôturé sans suite","En cours")))</f>
        <v/>
      </c>
      <c r="N2559">
        <f>IF(ISBLANK('ENGAGEMENTS 2026'!B2559),"",'ENGAGEMENTS 2026'!K2559)</f>
        <v/>
      </c>
      <c r="O2559">
        <f>IF(ISBLANK('ENGAGEMENTS 2026'!B2559),"",'ENGAGEMENTS 2026'!L2559)</f>
        <v/>
      </c>
      <c r="P2559">
        <f>IF(ISBLANK('ENGAGEMENTS 2026'!B2559),"",'ENGAGEMENTS 2026'!J2559)</f>
        <v/>
      </c>
      <c r="Q2559">
        <f>IF($A2559="","",IF(OR($E2559="INFRUCTUEUX",$E2559="ANNULE"),$A2559&amp;"|"&amp;(COUNTIFS($A$2:$A2559,$A2559,$E$2:$E2559,"INFRUCTUEUX")+COUNTIFS($A$2:$A2559,$A2559,$E$2:$E2559,"ANNULE")),""))</f>
        <v/>
      </c>
    </row>
    <row r="2560">
      <c r="A2560">
        <f>IF(ISBLANK('ENGAGEMENTS 2026'!B2560),"",IF('ENGAGEMENTS 2026'!B2560="DTSI","DCT",'ENGAGEMENTS 2026'!B2560))</f>
        <v/>
      </c>
      <c r="B2560">
        <f>IF(ISBLANK('ENGAGEMENTS 2026'!B2560),"",'ENGAGEMENTS 2026'!C2560)</f>
        <v/>
      </c>
      <c r="C2560">
        <f>IF(ISBLANK('ENGAGEMENTS 2026'!B2560),"",'ENGAGEMENTS 2026'!D2560)</f>
        <v/>
      </c>
      <c r="D2560">
        <f>IF(ISBLANK('ENGAGEMENTS 2026'!B2560),"",'ENGAGEMENTS 2026'!F2560)</f>
        <v/>
      </c>
      <c r="E2560">
        <f>IF(ISBLANK('ENGAGEMENTS 2026'!B2560),"",'ENGAGEMENTS 2026'!H2560)</f>
        <v/>
      </c>
      <c r="F2560">
        <f>IF(ISBLANK('ENGAGEMENTS 2026'!B2560),"",'ENGAGEMENTS 2026'!I2560)</f>
        <v/>
      </c>
      <c r="G2560">
        <f>IF(ISBLANK('ENGAGEMENTS 2026'!B2560),"",'ENGAGEMENTS 2026'!L2560)</f>
        <v/>
      </c>
      <c r="H2560">
        <f>IF(ISBLANK('ENGAGEMENTS 2026'!B2560),"",'ENGAGEMENTS 2026'!AE2560)</f>
        <v/>
      </c>
      <c r="I2560">
        <f>IF(ISBLANK('ENGAGEMENTS 2026'!B2560),"",'ENGAGEMENTS 2026'!G2560)</f>
        <v/>
      </c>
      <c r="J2560" s="275">
        <f>IF(ISBLANK('ENGAGEMENTS 2026'!B2560),"",IF(AND(OR($E2560="INFRUCTUEUX",$E2560="ANNULE"),$C2560="AOO-M"),'ENGAGEMENTS 2026'!O2560,IF($H2560="EN COURS DE PREENGAGEMENT",'ENGAGEMENTS 2026'!N2560,IF($H2560="PREENGAGE",IF($E2560="ATTRIBUE",'ENGAGEMENTS 2026'!AD2560,'ENGAGEMENTS 2026'!N2560),'ENGAGEMENTS 2026'!AD2560))))</f>
        <v/>
      </c>
      <c r="K2560" s="604">
        <f>IF(ISBLANK('ENGAGEMENTS 2026'!V2560),"",'ENGAGEMENTS 2026'!V2560)</f>
        <v/>
      </c>
      <c r="L2560" s="276">
        <f>IF($K2560="","",TODAY()-$K2560)</f>
        <v/>
      </c>
      <c r="M2560">
        <f>IF($A2560="","",IF($H2560="ENGAGE","Engagé",IF(AND($H2560="NON ENGAGE",OR($I2560="INFRUCTUEUX",$I2560="ANNULE")),"Clôturé sans suite","En cours")))</f>
        <v/>
      </c>
      <c r="N2560">
        <f>IF(ISBLANK('ENGAGEMENTS 2026'!B2560),"",'ENGAGEMENTS 2026'!K2560)</f>
        <v/>
      </c>
      <c r="O2560">
        <f>IF(ISBLANK('ENGAGEMENTS 2026'!B2560),"",'ENGAGEMENTS 2026'!L2560)</f>
        <v/>
      </c>
      <c r="P2560">
        <f>IF(ISBLANK('ENGAGEMENTS 2026'!B2560),"",'ENGAGEMENTS 2026'!J2560)</f>
        <v/>
      </c>
      <c r="Q2560">
        <f>IF($A2560="","",IF(OR($E2560="INFRUCTUEUX",$E2560="ANNULE"),$A2560&amp;"|"&amp;(COUNTIFS($A$2:$A2560,$A2560,$E$2:$E2560,"INFRUCTUEUX")+COUNTIFS($A$2:$A2560,$A2560,$E$2:$E2560,"ANNULE")),""))</f>
        <v/>
      </c>
    </row>
    <row r="2561">
      <c r="A2561">
        <f>IF(ISBLANK('ENGAGEMENTS 2026'!B2561),"",IF('ENGAGEMENTS 2026'!B2561="DTSI","DCT",'ENGAGEMENTS 2026'!B2561))</f>
        <v/>
      </c>
      <c r="B2561">
        <f>IF(ISBLANK('ENGAGEMENTS 2026'!B2561),"",'ENGAGEMENTS 2026'!C2561)</f>
        <v/>
      </c>
      <c r="C2561">
        <f>IF(ISBLANK('ENGAGEMENTS 2026'!B2561),"",'ENGAGEMENTS 2026'!D2561)</f>
        <v/>
      </c>
      <c r="D2561">
        <f>IF(ISBLANK('ENGAGEMENTS 2026'!B2561),"",'ENGAGEMENTS 2026'!F2561)</f>
        <v/>
      </c>
      <c r="E2561">
        <f>IF(ISBLANK('ENGAGEMENTS 2026'!B2561),"",'ENGAGEMENTS 2026'!H2561)</f>
        <v/>
      </c>
      <c r="F2561">
        <f>IF(ISBLANK('ENGAGEMENTS 2026'!B2561),"",'ENGAGEMENTS 2026'!I2561)</f>
        <v/>
      </c>
      <c r="G2561">
        <f>IF(ISBLANK('ENGAGEMENTS 2026'!B2561),"",'ENGAGEMENTS 2026'!L2561)</f>
        <v/>
      </c>
      <c r="H2561">
        <f>IF(ISBLANK('ENGAGEMENTS 2026'!B2561),"",'ENGAGEMENTS 2026'!AE2561)</f>
        <v/>
      </c>
      <c r="I2561">
        <f>IF(ISBLANK('ENGAGEMENTS 2026'!B2561),"",'ENGAGEMENTS 2026'!G2561)</f>
        <v/>
      </c>
      <c r="J2561" s="275">
        <f>IF(ISBLANK('ENGAGEMENTS 2026'!B2561),"",IF(AND(OR($E2561="INFRUCTUEUX",$E2561="ANNULE"),$C2561="AOO-M"),'ENGAGEMENTS 2026'!O2561,IF($H2561="EN COURS DE PREENGAGEMENT",'ENGAGEMENTS 2026'!N2561,IF($H2561="PREENGAGE",IF($E2561="ATTRIBUE",'ENGAGEMENTS 2026'!AD2561,'ENGAGEMENTS 2026'!N2561),'ENGAGEMENTS 2026'!AD2561))))</f>
        <v/>
      </c>
      <c r="K2561" s="604">
        <f>IF(ISBLANK('ENGAGEMENTS 2026'!V2561),"",'ENGAGEMENTS 2026'!V2561)</f>
        <v/>
      </c>
      <c r="L2561" s="276">
        <f>IF($K2561="","",TODAY()-$K2561)</f>
        <v/>
      </c>
      <c r="M2561">
        <f>IF($A2561="","",IF($H2561="ENGAGE","Engagé",IF(AND($H2561="NON ENGAGE",OR($I2561="INFRUCTUEUX",$I2561="ANNULE")),"Clôturé sans suite","En cours")))</f>
        <v/>
      </c>
      <c r="N2561">
        <f>IF(ISBLANK('ENGAGEMENTS 2026'!B2561),"",'ENGAGEMENTS 2026'!K2561)</f>
        <v/>
      </c>
      <c r="O2561">
        <f>IF(ISBLANK('ENGAGEMENTS 2026'!B2561),"",'ENGAGEMENTS 2026'!L2561)</f>
        <v/>
      </c>
      <c r="P2561">
        <f>IF(ISBLANK('ENGAGEMENTS 2026'!B2561),"",'ENGAGEMENTS 2026'!J2561)</f>
        <v/>
      </c>
      <c r="Q2561">
        <f>IF($A2561="","",IF(OR($E2561="INFRUCTUEUX",$E2561="ANNULE"),$A2561&amp;"|"&amp;(COUNTIFS($A$2:$A2561,$A2561,$E$2:$E2561,"INFRUCTUEUX")+COUNTIFS($A$2:$A2561,$A2561,$E$2:$E2561,"ANNULE")),""))</f>
        <v/>
      </c>
    </row>
    <row r="2562">
      <c r="A2562">
        <f>IF(ISBLANK('ENGAGEMENTS 2026'!B2562),"",IF('ENGAGEMENTS 2026'!B2562="DTSI","DCT",'ENGAGEMENTS 2026'!B2562))</f>
        <v/>
      </c>
      <c r="B2562">
        <f>IF(ISBLANK('ENGAGEMENTS 2026'!B2562),"",'ENGAGEMENTS 2026'!C2562)</f>
        <v/>
      </c>
      <c r="C2562">
        <f>IF(ISBLANK('ENGAGEMENTS 2026'!B2562),"",'ENGAGEMENTS 2026'!D2562)</f>
        <v/>
      </c>
      <c r="D2562">
        <f>IF(ISBLANK('ENGAGEMENTS 2026'!B2562),"",'ENGAGEMENTS 2026'!F2562)</f>
        <v/>
      </c>
      <c r="E2562">
        <f>IF(ISBLANK('ENGAGEMENTS 2026'!B2562),"",'ENGAGEMENTS 2026'!H2562)</f>
        <v/>
      </c>
      <c r="F2562">
        <f>IF(ISBLANK('ENGAGEMENTS 2026'!B2562),"",'ENGAGEMENTS 2026'!I2562)</f>
        <v/>
      </c>
      <c r="G2562">
        <f>IF(ISBLANK('ENGAGEMENTS 2026'!B2562),"",'ENGAGEMENTS 2026'!L2562)</f>
        <v/>
      </c>
      <c r="H2562">
        <f>IF(ISBLANK('ENGAGEMENTS 2026'!B2562),"",'ENGAGEMENTS 2026'!AE2562)</f>
        <v/>
      </c>
      <c r="I2562">
        <f>IF(ISBLANK('ENGAGEMENTS 2026'!B2562),"",'ENGAGEMENTS 2026'!G2562)</f>
        <v/>
      </c>
      <c r="J2562" s="275">
        <f>IF(ISBLANK('ENGAGEMENTS 2026'!B2562),"",IF(AND(OR($E2562="INFRUCTUEUX",$E2562="ANNULE"),$C2562="AOO-M"),'ENGAGEMENTS 2026'!O2562,IF($H2562="EN COURS DE PREENGAGEMENT",'ENGAGEMENTS 2026'!N2562,IF($H2562="PREENGAGE",IF($E2562="ATTRIBUE",'ENGAGEMENTS 2026'!AD2562,'ENGAGEMENTS 2026'!N2562),'ENGAGEMENTS 2026'!AD2562))))</f>
        <v/>
      </c>
      <c r="K2562" s="604">
        <f>IF(ISBLANK('ENGAGEMENTS 2026'!V2562),"",'ENGAGEMENTS 2026'!V2562)</f>
        <v/>
      </c>
      <c r="L2562" s="276">
        <f>IF($K2562="","",TODAY()-$K2562)</f>
        <v/>
      </c>
      <c r="M2562">
        <f>IF($A2562="","",IF($H2562="ENGAGE","Engagé",IF(AND($H2562="NON ENGAGE",OR($I2562="INFRUCTUEUX",$I2562="ANNULE")),"Clôturé sans suite","En cours")))</f>
        <v/>
      </c>
      <c r="N2562">
        <f>IF(ISBLANK('ENGAGEMENTS 2026'!B2562),"",'ENGAGEMENTS 2026'!K2562)</f>
        <v/>
      </c>
      <c r="O2562">
        <f>IF(ISBLANK('ENGAGEMENTS 2026'!B2562),"",'ENGAGEMENTS 2026'!L2562)</f>
        <v/>
      </c>
      <c r="P2562">
        <f>IF(ISBLANK('ENGAGEMENTS 2026'!B2562),"",'ENGAGEMENTS 2026'!J2562)</f>
        <v/>
      </c>
      <c r="Q2562">
        <f>IF($A2562="","",IF(OR($E2562="INFRUCTUEUX",$E2562="ANNULE"),$A2562&amp;"|"&amp;(COUNTIFS($A$2:$A2562,$A2562,$E$2:$E2562,"INFRUCTUEUX")+COUNTIFS($A$2:$A2562,$A2562,$E$2:$E2562,"ANNULE")),""))</f>
        <v/>
      </c>
    </row>
    <row r="2563">
      <c r="A2563">
        <f>IF(ISBLANK('ENGAGEMENTS 2026'!B2563),"",IF('ENGAGEMENTS 2026'!B2563="DTSI","DCT",'ENGAGEMENTS 2026'!B2563))</f>
        <v/>
      </c>
      <c r="B2563">
        <f>IF(ISBLANK('ENGAGEMENTS 2026'!B2563),"",'ENGAGEMENTS 2026'!C2563)</f>
        <v/>
      </c>
      <c r="C2563">
        <f>IF(ISBLANK('ENGAGEMENTS 2026'!B2563),"",'ENGAGEMENTS 2026'!D2563)</f>
        <v/>
      </c>
      <c r="D2563">
        <f>IF(ISBLANK('ENGAGEMENTS 2026'!B2563),"",'ENGAGEMENTS 2026'!F2563)</f>
        <v/>
      </c>
      <c r="E2563">
        <f>IF(ISBLANK('ENGAGEMENTS 2026'!B2563),"",'ENGAGEMENTS 2026'!H2563)</f>
        <v/>
      </c>
      <c r="F2563">
        <f>IF(ISBLANK('ENGAGEMENTS 2026'!B2563),"",'ENGAGEMENTS 2026'!I2563)</f>
        <v/>
      </c>
      <c r="G2563">
        <f>IF(ISBLANK('ENGAGEMENTS 2026'!B2563),"",'ENGAGEMENTS 2026'!L2563)</f>
        <v/>
      </c>
      <c r="H2563">
        <f>IF(ISBLANK('ENGAGEMENTS 2026'!B2563),"",'ENGAGEMENTS 2026'!AE2563)</f>
        <v/>
      </c>
      <c r="I2563">
        <f>IF(ISBLANK('ENGAGEMENTS 2026'!B2563),"",'ENGAGEMENTS 2026'!G2563)</f>
        <v/>
      </c>
      <c r="J2563" s="275">
        <f>IF(ISBLANK('ENGAGEMENTS 2026'!B2563),"",IF(AND(OR($E2563="INFRUCTUEUX",$E2563="ANNULE"),$C2563="AOO-M"),'ENGAGEMENTS 2026'!O2563,IF($H2563="EN COURS DE PREENGAGEMENT",'ENGAGEMENTS 2026'!N2563,IF($H2563="PREENGAGE",IF($E2563="ATTRIBUE",'ENGAGEMENTS 2026'!AD2563,'ENGAGEMENTS 2026'!N2563),'ENGAGEMENTS 2026'!AD2563))))</f>
        <v/>
      </c>
      <c r="K2563" s="604">
        <f>IF(ISBLANK('ENGAGEMENTS 2026'!V2563),"",'ENGAGEMENTS 2026'!V2563)</f>
        <v/>
      </c>
      <c r="L2563" s="276">
        <f>IF($K2563="","",TODAY()-$K2563)</f>
        <v/>
      </c>
      <c r="M2563">
        <f>IF($A2563="","",IF($H2563="ENGAGE","Engagé",IF(AND($H2563="NON ENGAGE",OR($I2563="INFRUCTUEUX",$I2563="ANNULE")),"Clôturé sans suite","En cours")))</f>
        <v/>
      </c>
      <c r="N2563">
        <f>IF(ISBLANK('ENGAGEMENTS 2026'!B2563),"",'ENGAGEMENTS 2026'!K2563)</f>
        <v/>
      </c>
      <c r="O2563">
        <f>IF(ISBLANK('ENGAGEMENTS 2026'!B2563),"",'ENGAGEMENTS 2026'!L2563)</f>
        <v/>
      </c>
      <c r="P2563">
        <f>IF(ISBLANK('ENGAGEMENTS 2026'!B2563),"",'ENGAGEMENTS 2026'!J2563)</f>
        <v/>
      </c>
      <c r="Q2563">
        <f>IF($A2563="","",IF(OR($E2563="INFRUCTUEUX",$E2563="ANNULE"),$A2563&amp;"|"&amp;(COUNTIFS($A$2:$A2563,$A2563,$E$2:$E2563,"INFRUCTUEUX")+COUNTIFS($A$2:$A2563,$A2563,$E$2:$E2563,"ANNULE")),""))</f>
        <v/>
      </c>
    </row>
    <row r="2564">
      <c r="A2564">
        <f>IF(ISBLANK('ENGAGEMENTS 2026'!B2564),"",IF('ENGAGEMENTS 2026'!B2564="DTSI","DCT",'ENGAGEMENTS 2026'!B2564))</f>
        <v/>
      </c>
      <c r="B2564">
        <f>IF(ISBLANK('ENGAGEMENTS 2026'!B2564),"",'ENGAGEMENTS 2026'!C2564)</f>
        <v/>
      </c>
      <c r="C2564">
        <f>IF(ISBLANK('ENGAGEMENTS 2026'!B2564),"",'ENGAGEMENTS 2026'!D2564)</f>
        <v/>
      </c>
      <c r="D2564">
        <f>IF(ISBLANK('ENGAGEMENTS 2026'!B2564),"",'ENGAGEMENTS 2026'!F2564)</f>
        <v/>
      </c>
      <c r="E2564">
        <f>IF(ISBLANK('ENGAGEMENTS 2026'!B2564),"",'ENGAGEMENTS 2026'!H2564)</f>
        <v/>
      </c>
      <c r="F2564">
        <f>IF(ISBLANK('ENGAGEMENTS 2026'!B2564),"",'ENGAGEMENTS 2026'!I2564)</f>
        <v/>
      </c>
      <c r="G2564">
        <f>IF(ISBLANK('ENGAGEMENTS 2026'!B2564),"",'ENGAGEMENTS 2026'!L2564)</f>
        <v/>
      </c>
      <c r="H2564">
        <f>IF(ISBLANK('ENGAGEMENTS 2026'!B2564),"",'ENGAGEMENTS 2026'!AE2564)</f>
        <v/>
      </c>
      <c r="I2564">
        <f>IF(ISBLANK('ENGAGEMENTS 2026'!B2564),"",'ENGAGEMENTS 2026'!G2564)</f>
        <v/>
      </c>
      <c r="J2564" s="275">
        <f>IF(ISBLANK('ENGAGEMENTS 2026'!B2564),"",IF(AND(OR($E2564="INFRUCTUEUX",$E2564="ANNULE"),$C2564="AOO-M"),'ENGAGEMENTS 2026'!O2564,IF($H2564="EN COURS DE PREENGAGEMENT",'ENGAGEMENTS 2026'!N2564,IF($H2564="PREENGAGE",IF($E2564="ATTRIBUE",'ENGAGEMENTS 2026'!AD2564,'ENGAGEMENTS 2026'!N2564),'ENGAGEMENTS 2026'!AD2564))))</f>
        <v/>
      </c>
      <c r="K2564" s="604">
        <f>IF(ISBLANK('ENGAGEMENTS 2026'!V2564),"",'ENGAGEMENTS 2026'!V2564)</f>
        <v/>
      </c>
      <c r="L2564" s="276">
        <f>IF($K2564="","",TODAY()-$K2564)</f>
        <v/>
      </c>
      <c r="M2564">
        <f>IF($A2564="","",IF($H2564="ENGAGE","Engagé",IF(AND($H2564="NON ENGAGE",OR($I2564="INFRUCTUEUX",$I2564="ANNULE")),"Clôturé sans suite","En cours")))</f>
        <v/>
      </c>
      <c r="N2564">
        <f>IF(ISBLANK('ENGAGEMENTS 2026'!B2564),"",'ENGAGEMENTS 2026'!K2564)</f>
        <v/>
      </c>
      <c r="O2564">
        <f>IF(ISBLANK('ENGAGEMENTS 2026'!B2564),"",'ENGAGEMENTS 2026'!L2564)</f>
        <v/>
      </c>
      <c r="P2564">
        <f>IF(ISBLANK('ENGAGEMENTS 2026'!B2564),"",'ENGAGEMENTS 2026'!J2564)</f>
        <v/>
      </c>
      <c r="Q2564">
        <f>IF($A2564="","",IF(OR($E2564="INFRUCTUEUX",$E2564="ANNULE"),$A2564&amp;"|"&amp;(COUNTIFS($A$2:$A2564,$A2564,$E$2:$E2564,"INFRUCTUEUX")+COUNTIFS($A$2:$A2564,$A2564,$E$2:$E2564,"ANNULE")),""))</f>
        <v/>
      </c>
    </row>
    <row r="2565">
      <c r="A2565">
        <f>IF(ISBLANK('ENGAGEMENTS 2026'!B2565),"",IF('ENGAGEMENTS 2026'!B2565="DTSI","DCT",'ENGAGEMENTS 2026'!B2565))</f>
        <v/>
      </c>
      <c r="B2565">
        <f>IF(ISBLANK('ENGAGEMENTS 2026'!B2565),"",'ENGAGEMENTS 2026'!C2565)</f>
        <v/>
      </c>
      <c r="C2565">
        <f>IF(ISBLANK('ENGAGEMENTS 2026'!B2565),"",'ENGAGEMENTS 2026'!D2565)</f>
        <v/>
      </c>
      <c r="D2565">
        <f>IF(ISBLANK('ENGAGEMENTS 2026'!B2565),"",'ENGAGEMENTS 2026'!F2565)</f>
        <v/>
      </c>
      <c r="E2565">
        <f>IF(ISBLANK('ENGAGEMENTS 2026'!B2565),"",'ENGAGEMENTS 2026'!H2565)</f>
        <v/>
      </c>
      <c r="F2565">
        <f>IF(ISBLANK('ENGAGEMENTS 2026'!B2565),"",'ENGAGEMENTS 2026'!I2565)</f>
        <v/>
      </c>
      <c r="G2565">
        <f>IF(ISBLANK('ENGAGEMENTS 2026'!B2565),"",'ENGAGEMENTS 2026'!L2565)</f>
        <v/>
      </c>
      <c r="H2565">
        <f>IF(ISBLANK('ENGAGEMENTS 2026'!B2565),"",'ENGAGEMENTS 2026'!AE2565)</f>
        <v/>
      </c>
      <c r="I2565">
        <f>IF(ISBLANK('ENGAGEMENTS 2026'!B2565),"",'ENGAGEMENTS 2026'!G2565)</f>
        <v/>
      </c>
      <c r="J2565" s="275">
        <f>IF(ISBLANK('ENGAGEMENTS 2026'!B2565),"",IF(AND(OR($E2565="INFRUCTUEUX",$E2565="ANNULE"),$C2565="AOO-M"),'ENGAGEMENTS 2026'!O2565,IF($H2565="EN COURS DE PREENGAGEMENT",'ENGAGEMENTS 2026'!N2565,IF($H2565="PREENGAGE",IF($E2565="ATTRIBUE",'ENGAGEMENTS 2026'!AD2565,'ENGAGEMENTS 2026'!N2565),'ENGAGEMENTS 2026'!AD2565))))</f>
        <v/>
      </c>
      <c r="K2565" s="604">
        <f>IF(ISBLANK('ENGAGEMENTS 2026'!V2565),"",'ENGAGEMENTS 2026'!V2565)</f>
        <v/>
      </c>
      <c r="L2565" s="276">
        <f>IF($K2565="","",TODAY()-$K2565)</f>
        <v/>
      </c>
      <c r="M2565">
        <f>IF($A2565="","",IF($H2565="ENGAGE","Engagé",IF(AND($H2565="NON ENGAGE",OR($I2565="INFRUCTUEUX",$I2565="ANNULE")),"Clôturé sans suite","En cours")))</f>
        <v/>
      </c>
      <c r="N2565">
        <f>IF(ISBLANK('ENGAGEMENTS 2026'!B2565),"",'ENGAGEMENTS 2026'!K2565)</f>
        <v/>
      </c>
      <c r="O2565">
        <f>IF(ISBLANK('ENGAGEMENTS 2026'!B2565),"",'ENGAGEMENTS 2026'!L2565)</f>
        <v/>
      </c>
      <c r="P2565">
        <f>IF(ISBLANK('ENGAGEMENTS 2026'!B2565),"",'ENGAGEMENTS 2026'!J2565)</f>
        <v/>
      </c>
      <c r="Q2565">
        <f>IF($A2565="","",IF(OR($E2565="INFRUCTUEUX",$E2565="ANNULE"),$A2565&amp;"|"&amp;(COUNTIFS($A$2:$A2565,$A2565,$E$2:$E2565,"INFRUCTUEUX")+COUNTIFS($A$2:$A2565,$A2565,$E$2:$E2565,"ANNULE")),""))</f>
        <v/>
      </c>
    </row>
    <row r="2566">
      <c r="A2566">
        <f>IF(ISBLANK('ENGAGEMENTS 2026'!B2566),"",IF('ENGAGEMENTS 2026'!B2566="DTSI","DCT",'ENGAGEMENTS 2026'!B2566))</f>
        <v/>
      </c>
      <c r="B2566">
        <f>IF(ISBLANK('ENGAGEMENTS 2026'!B2566),"",'ENGAGEMENTS 2026'!C2566)</f>
        <v/>
      </c>
      <c r="C2566">
        <f>IF(ISBLANK('ENGAGEMENTS 2026'!B2566),"",'ENGAGEMENTS 2026'!D2566)</f>
        <v/>
      </c>
      <c r="D2566">
        <f>IF(ISBLANK('ENGAGEMENTS 2026'!B2566),"",'ENGAGEMENTS 2026'!F2566)</f>
        <v/>
      </c>
      <c r="E2566">
        <f>IF(ISBLANK('ENGAGEMENTS 2026'!B2566),"",'ENGAGEMENTS 2026'!H2566)</f>
        <v/>
      </c>
      <c r="F2566">
        <f>IF(ISBLANK('ENGAGEMENTS 2026'!B2566),"",'ENGAGEMENTS 2026'!I2566)</f>
        <v/>
      </c>
      <c r="G2566">
        <f>IF(ISBLANK('ENGAGEMENTS 2026'!B2566),"",'ENGAGEMENTS 2026'!L2566)</f>
        <v/>
      </c>
      <c r="H2566">
        <f>IF(ISBLANK('ENGAGEMENTS 2026'!B2566),"",'ENGAGEMENTS 2026'!AE2566)</f>
        <v/>
      </c>
      <c r="I2566">
        <f>IF(ISBLANK('ENGAGEMENTS 2026'!B2566),"",'ENGAGEMENTS 2026'!G2566)</f>
        <v/>
      </c>
      <c r="J2566" s="275">
        <f>IF(ISBLANK('ENGAGEMENTS 2026'!B2566),"",IF(AND(OR($E2566="INFRUCTUEUX",$E2566="ANNULE"),$C2566="AOO-M"),'ENGAGEMENTS 2026'!O2566,IF($H2566="EN COURS DE PREENGAGEMENT",'ENGAGEMENTS 2026'!N2566,IF($H2566="PREENGAGE",IF($E2566="ATTRIBUE",'ENGAGEMENTS 2026'!AD2566,'ENGAGEMENTS 2026'!N2566),'ENGAGEMENTS 2026'!AD2566))))</f>
        <v/>
      </c>
      <c r="K2566" s="604">
        <f>IF(ISBLANK('ENGAGEMENTS 2026'!V2566),"",'ENGAGEMENTS 2026'!V2566)</f>
        <v/>
      </c>
      <c r="L2566" s="276">
        <f>IF($K2566="","",TODAY()-$K2566)</f>
        <v/>
      </c>
      <c r="M2566">
        <f>IF($A2566="","",IF($H2566="ENGAGE","Engagé",IF(AND($H2566="NON ENGAGE",OR($I2566="INFRUCTUEUX",$I2566="ANNULE")),"Clôturé sans suite","En cours")))</f>
        <v/>
      </c>
      <c r="N2566">
        <f>IF(ISBLANK('ENGAGEMENTS 2026'!B2566),"",'ENGAGEMENTS 2026'!K2566)</f>
        <v/>
      </c>
      <c r="O2566">
        <f>IF(ISBLANK('ENGAGEMENTS 2026'!B2566),"",'ENGAGEMENTS 2026'!L2566)</f>
        <v/>
      </c>
      <c r="P2566">
        <f>IF(ISBLANK('ENGAGEMENTS 2026'!B2566),"",'ENGAGEMENTS 2026'!J2566)</f>
        <v/>
      </c>
      <c r="Q2566">
        <f>IF($A2566="","",IF(OR($E2566="INFRUCTUEUX",$E2566="ANNULE"),$A2566&amp;"|"&amp;(COUNTIFS($A$2:$A2566,$A2566,$E$2:$E2566,"INFRUCTUEUX")+COUNTIFS($A$2:$A2566,$A2566,$E$2:$E2566,"ANNULE")),""))</f>
        <v/>
      </c>
    </row>
    <row r="2567">
      <c r="A2567">
        <f>IF(ISBLANK('ENGAGEMENTS 2026'!B2567),"",IF('ENGAGEMENTS 2026'!B2567="DTSI","DCT",'ENGAGEMENTS 2026'!B2567))</f>
        <v/>
      </c>
      <c r="B2567">
        <f>IF(ISBLANK('ENGAGEMENTS 2026'!B2567),"",'ENGAGEMENTS 2026'!C2567)</f>
        <v/>
      </c>
      <c r="C2567">
        <f>IF(ISBLANK('ENGAGEMENTS 2026'!B2567),"",'ENGAGEMENTS 2026'!D2567)</f>
        <v/>
      </c>
      <c r="D2567">
        <f>IF(ISBLANK('ENGAGEMENTS 2026'!B2567),"",'ENGAGEMENTS 2026'!F2567)</f>
        <v/>
      </c>
      <c r="E2567">
        <f>IF(ISBLANK('ENGAGEMENTS 2026'!B2567),"",'ENGAGEMENTS 2026'!H2567)</f>
        <v/>
      </c>
      <c r="F2567">
        <f>IF(ISBLANK('ENGAGEMENTS 2026'!B2567),"",'ENGAGEMENTS 2026'!I2567)</f>
        <v/>
      </c>
      <c r="G2567">
        <f>IF(ISBLANK('ENGAGEMENTS 2026'!B2567),"",'ENGAGEMENTS 2026'!L2567)</f>
        <v/>
      </c>
      <c r="H2567">
        <f>IF(ISBLANK('ENGAGEMENTS 2026'!B2567),"",'ENGAGEMENTS 2026'!AE2567)</f>
        <v/>
      </c>
      <c r="I2567">
        <f>IF(ISBLANK('ENGAGEMENTS 2026'!B2567),"",'ENGAGEMENTS 2026'!G2567)</f>
        <v/>
      </c>
      <c r="J2567" s="275">
        <f>IF(ISBLANK('ENGAGEMENTS 2026'!B2567),"",IF(AND(OR($E2567="INFRUCTUEUX",$E2567="ANNULE"),$C2567="AOO-M"),'ENGAGEMENTS 2026'!O2567,IF($H2567="EN COURS DE PREENGAGEMENT",'ENGAGEMENTS 2026'!N2567,IF($H2567="PREENGAGE",IF($E2567="ATTRIBUE",'ENGAGEMENTS 2026'!AD2567,'ENGAGEMENTS 2026'!N2567),'ENGAGEMENTS 2026'!AD2567))))</f>
        <v/>
      </c>
      <c r="K2567" s="604">
        <f>IF(ISBLANK('ENGAGEMENTS 2026'!V2567),"",'ENGAGEMENTS 2026'!V2567)</f>
        <v/>
      </c>
      <c r="L2567" s="276">
        <f>IF($K2567="","",TODAY()-$K2567)</f>
        <v/>
      </c>
      <c r="M2567">
        <f>IF($A2567="","",IF($H2567="ENGAGE","Engagé",IF(AND($H2567="NON ENGAGE",OR($I2567="INFRUCTUEUX",$I2567="ANNULE")),"Clôturé sans suite","En cours")))</f>
        <v/>
      </c>
      <c r="N2567">
        <f>IF(ISBLANK('ENGAGEMENTS 2026'!B2567),"",'ENGAGEMENTS 2026'!K2567)</f>
        <v/>
      </c>
      <c r="O2567">
        <f>IF(ISBLANK('ENGAGEMENTS 2026'!B2567),"",'ENGAGEMENTS 2026'!L2567)</f>
        <v/>
      </c>
      <c r="P2567">
        <f>IF(ISBLANK('ENGAGEMENTS 2026'!B2567),"",'ENGAGEMENTS 2026'!J2567)</f>
        <v/>
      </c>
      <c r="Q2567">
        <f>IF($A2567="","",IF(OR($E2567="INFRUCTUEUX",$E2567="ANNULE"),$A2567&amp;"|"&amp;(COUNTIFS($A$2:$A2567,$A2567,$E$2:$E2567,"INFRUCTUEUX")+COUNTIFS($A$2:$A2567,$A2567,$E$2:$E2567,"ANNULE")),""))</f>
        <v/>
      </c>
    </row>
    <row r="2568">
      <c r="A2568">
        <f>IF(ISBLANK('ENGAGEMENTS 2026'!B2568),"",IF('ENGAGEMENTS 2026'!B2568="DTSI","DCT",'ENGAGEMENTS 2026'!B2568))</f>
        <v/>
      </c>
      <c r="B2568">
        <f>IF(ISBLANK('ENGAGEMENTS 2026'!B2568),"",'ENGAGEMENTS 2026'!C2568)</f>
        <v/>
      </c>
      <c r="C2568">
        <f>IF(ISBLANK('ENGAGEMENTS 2026'!B2568),"",'ENGAGEMENTS 2026'!D2568)</f>
        <v/>
      </c>
      <c r="D2568">
        <f>IF(ISBLANK('ENGAGEMENTS 2026'!B2568),"",'ENGAGEMENTS 2026'!F2568)</f>
        <v/>
      </c>
      <c r="E2568">
        <f>IF(ISBLANK('ENGAGEMENTS 2026'!B2568),"",'ENGAGEMENTS 2026'!H2568)</f>
        <v/>
      </c>
      <c r="F2568">
        <f>IF(ISBLANK('ENGAGEMENTS 2026'!B2568),"",'ENGAGEMENTS 2026'!I2568)</f>
        <v/>
      </c>
      <c r="G2568">
        <f>IF(ISBLANK('ENGAGEMENTS 2026'!B2568),"",'ENGAGEMENTS 2026'!L2568)</f>
        <v/>
      </c>
      <c r="H2568">
        <f>IF(ISBLANK('ENGAGEMENTS 2026'!B2568),"",'ENGAGEMENTS 2026'!AE2568)</f>
        <v/>
      </c>
      <c r="I2568">
        <f>IF(ISBLANK('ENGAGEMENTS 2026'!B2568),"",'ENGAGEMENTS 2026'!G2568)</f>
        <v/>
      </c>
      <c r="J2568" s="275">
        <f>IF(ISBLANK('ENGAGEMENTS 2026'!B2568),"",IF(AND(OR($E2568="INFRUCTUEUX",$E2568="ANNULE"),$C2568="AOO-M"),'ENGAGEMENTS 2026'!O2568,IF($H2568="EN COURS DE PREENGAGEMENT",'ENGAGEMENTS 2026'!N2568,IF($H2568="PREENGAGE",IF($E2568="ATTRIBUE",'ENGAGEMENTS 2026'!AD2568,'ENGAGEMENTS 2026'!N2568),'ENGAGEMENTS 2026'!AD2568))))</f>
        <v/>
      </c>
      <c r="K2568" s="604">
        <f>IF(ISBLANK('ENGAGEMENTS 2026'!V2568),"",'ENGAGEMENTS 2026'!V2568)</f>
        <v/>
      </c>
      <c r="L2568" s="276">
        <f>IF($K2568="","",TODAY()-$K2568)</f>
        <v/>
      </c>
      <c r="M2568">
        <f>IF($A2568="","",IF($H2568="ENGAGE","Engagé",IF(AND($H2568="NON ENGAGE",OR($I2568="INFRUCTUEUX",$I2568="ANNULE")),"Clôturé sans suite","En cours")))</f>
        <v/>
      </c>
      <c r="N2568">
        <f>IF(ISBLANK('ENGAGEMENTS 2026'!B2568),"",'ENGAGEMENTS 2026'!K2568)</f>
        <v/>
      </c>
      <c r="O2568">
        <f>IF(ISBLANK('ENGAGEMENTS 2026'!B2568),"",'ENGAGEMENTS 2026'!L2568)</f>
        <v/>
      </c>
      <c r="P2568">
        <f>IF(ISBLANK('ENGAGEMENTS 2026'!B2568),"",'ENGAGEMENTS 2026'!J2568)</f>
        <v/>
      </c>
      <c r="Q2568">
        <f>IF($A2568="","",IF(OR($E2568="INFRUCTUEUX",$E2568="ANNULE"),$A2568&amp;"|"&amp;(COUNTIFS($A$2:$A2568,$A2568,$E$2:$E2568,"INFRUCTUEUX")+COUNTIFS($A$2:$A2568,$A2568,$E$2:$E2568,"ANNULE")),""))</f>
        <v/>
      </c>
    </row>
    <row r="2569">
      <c r="A2569">
        <f>IF(ISBLANK('ENGAGEMENTS 2026'!B2569),"",IF('ENGAGEMENTS 2026'!B2569="DTSI","DCT",'ENGAGEMENTS 2026'!B2569))</f>
        <v/>
      </c>
      <c r="B2569">
        <f>IF(ISBLANK('ENGAGEMENTS 2026'!B2569),"",'ENGAGEMENTS 2026'!C2569)</f>
        <v/>
      </c>
      <c r="C2569">
        <f>IF(ISBLANK('ENGAGEMENTS 2026'!B2569),"",'ENGAGEMENTS 2026'!D2569)</f>
        <v/>
      </c>
      <c r="D2569">
        <f>IF(ISBLANK('ENGAGEMENTS 2026'!B2569),"",'ENGAGEMENTS 2026'!F2569)</f>
        <v/>
      </c>
      <c r="E2569">
        <f>IF(ISBLANK('ENGAGEMENTS 2026'!B2569),"",'ENGAGEMENTS 2026'!H2569)</f>
        <v/>
      </c>
      <c r="F2569">
        <f>IF(ISBLANK('ENGAGEMENTS 2026'!B2569),"",'ENGAGEMENTS 2026'!I2569)</f>
        <v/>
      </c>
      <c r="G2569">
        <f>IF(ISBLANK('ENGAGEMENTS 2026'!B2569),"",'ENGAGEMENTS 2026'!L2569)</f>
        <v/>
      </c>
      <c r="H2569">
        <f>IF(ISBLANK('ENGAGEMENTS 2026'!B2569),"",'ENGAGEMENTS 2026'!AE2569)</f>
        <v/>
      </c>
      <c r="I2569">
        <f>IF(ISBLANK('ENGAGEMENTS 2026'!B2569),"",'ENGAGEMENTS 2026'!G2569)</f>
        <v/>
      </c>
      <c r="J2569" s="275">
        <f>IF(ISBLANK('ENGAGEMENTS 2026'!B2569),"",IF(AND(OR($E2569="INFRUCTUEUX",$E2569="ANNULE"),$C2569="AOO-M"),'ENGAGEMENTS 2026'!O2569,IF($H2569="EN COURS DE PREENGAGEMENT",'ENGAGEMENTS 2026'!N2569,IF($H2569="PREENGAGE",IF($E2569="ATTRIBUE",'ENGAGEMENTS 2026'!AD2569,'ENGAGEMENTS 2026'!N2569),'ENGAGEMENTS 2026'!AD2569))))</f>
        <v/>
      </c>
      <c r="K2569" s="604">
        <f>IF(ISBLANK('ENGAGEMENTS 2026'!V2569),"",'ENGAGEMENTS 2026'!V2569)</f>
        <v/>
      </c>
      <c r="L2569" s="276">
        <f>IF($K2569="","",TODAY()-$K2569)</f>
        <v/>
      </c>
      <c r="M2569">
        <f>IF($A2569="","",IF($H2569="ENGAGE","Engagé",IF(AND($H2569="NON ENGAGE",OR($I2569="INFRUCTUEUX",$I2569="ANNULE")),"Clôturé sans suite","En cours")))</f>
        <v/>
      </c>
      <c r="N2569">
        <f>IF(ISBLANK('ENGAGEMENTS 2026'!B2569),"",'ENGAGEMENTS 2026'!K2569)</f>
        <v/>
      </c>
      <c r="O2569">
        <f>IF(ISBLANK('ENGAGEMENTS 2026'!B2569),"",'ENGAGEMENTS 2026'!L2569)</f>
        <v/>
      </c>
      <c r="P2569">
        <f>IF(ISBLANK('ENGAGEMENTS 2026'!B2569),"",'ENGAGEMENTS 2026'!J2569)</f>
        <v/>
      </c>
      <c r="Q2569">
        <f>IF($A2569="","",IF(OR($E2569="INFRUCTUEUX",$E2569="ANNULE"),$A2569&amp;"|"&amp;(COUNTIFS($A$2:$A2569,$A2569,$E$2:$E2569,"INFRUCTUEUX")+COUNTIFS($A$2:$A2569,$A2569,$E$2:$E2569,"ANNULE")),""))</f>
        <v/>
      </c>
    </row>
    <row r="2570">
      <c r="A2570">
        <f>IF(ISBLANK('ENGAGEMENTS 2026'!B2570),"",IF('ENGAGEMENTS 2026'!B2570="DTSI","DCT",'ENGAGEMENTS 2026'!B2570))</f>
        <v/>
      </c>
      <c r="B2570">
        <f>IF(ISBLANK('ENGAGEMENTS 2026'!B2570),"",'ENGAGEMENTS 2026'!C2570)</f>
        <v/>
      </c>
      <c r="C2570">
        <f>IF(ISBLANK('ENGAGEMENTS 2026'!B2570),"",'ENGAGEMENTS 2026'!D2570)</f>
        <v/>
      </c>
      <c r="D2570">
        <f>IF(ISBLANK('ENGAGEMENTS 2026'!B2570),"",'ENGAGEMENTS 2026'!F2570)</f>
        <v/>
      </c>
      <c r="E2570">
        <f>IF(ISBLANK('ENGAGEMENTS 2026'!B2570),"",'ENGAGEMENTS 2026'!H2570)</f>
        <v/>
      </c>
      <c r="F2570">
        <f>IF(ISBLANK('ENGAGEMENTS 2026'!B2570),"",'ENGAGEMENTS 2026'!I2570)</f>
        <v/>
      </c>
      <c r="G2570">
        <f>IF(ISBLANK('ENGAGEMENTS 2026'!B2570),"",'ENGAGEMENTS 2026'!L2570)</f>
        <v/>
      </c>
      <c r="H2570">
        <f>IF(ISBLANK('ENGAGEMENTS 2026'!B2570),"",'ENGAGEMENTS 2026'!AE2570)</f>
        <v/>
      </c>
      <c r="I2570">
        <f>IF(ISBLANK('ENGAGEMENTS 2026'!B2570),"",'ENGAGEMENTS 2026'!G2570)</f>
        <v/>
      </c>
      <c r="J2570" s="275">
        <f>IF(ISBLANK('ENGAGEMENTS 2026'!B2570),"",IF(AND(OR($E2570="INFRUCTUEUX",$E2570="ANNULE"),$C2570="AOO-M"),'ENGAGEMENTS 2026'!O2570,IF($H2570="EN COURS DE PREENGAGEMENT",'ENGAGEMENTS 2026'!N2570,IF($H2570="PREENGAGE",IF($E2570="ATTRIBUE",'ENGAGEMENTS 2026'!AD2570,'ENGAGEMENTS 2026'!N2570),'ENGAGEMENTS 2026'!AD2570))))</f>
        <v/>
      </c>
      <c r="K2570" s="604">
        <f>IF(ISBLANK('ENGAGEMENTS 2026'!V2570),"",'ENGAGEMENTS 2026'!V2570)</f>
        <v/>
      </c>
      <c r="L2570" s="276">
        <f>IF($K2570="","",TODAY()-$K2570)</f>
        <v/>
      </c>
      <c r="M2570">
        <f>IF($A2570="","",IF($H2570="ENGAGE","Engagé",IF(AND($H2570="NON ENGAGE",OR($I2570="INFRUCTUEUX",$I2570="ANNULE")),"Clôturé sans suite","En cours")))</f>
        <v/>
      </c>
      <c r="N2570">
        <f>IF(ISBLANK('ENGAGEMENTS 2026'!B2570),"",'ENGAGEMENTS 2026'!K2570)</f>
        <v/>
      </c>
      <c r="O2570">
        <f>IF(ISBLANK('ENGAGEMENTS 2026'!B2570),"",'ENGAGEMENTS 2026'!L2570)</f>
        <v/>
      </c>
      <c r="P2570">
        <f>IF(ISBLANK('ENGAGEMENTS 2026'!B2570),"",'ENGAGEMENTS 2026'!J2570)</f>
        <v/>
      </c>
      <c r="Q2570">
        <f>IF($A2570="","",IF(OR($E2570="INFRUCTUEUX",$E2570="ANNULE"),$A2570&amp;"|"&amp;(COUNTIFS($A$2:$A2570,$A2570,$E$2:$E2570,"INFRUCTUEUX")+COUNTIFS($A$2:$A2570,$A2570,$E$2:$E2570,"ANNULE")),""))</f>
        <v/>
      </c>
    </row>
    <row r="2571">
      <c r="A2571">
        <f>IF(ISBLANK('ENGAGEMENTS 2026'!B2571),"",IF('ENGAGEMENTS 2026'!B2571="DTSI","DCT",'ENGAGEMENTS 2026'!B2571))</f>
        <v/>
      </c>
      <c r="B2571">
        <f>IF(ISBLANK('ENGAGEMENTS 2026'!B2571),"",'ENGAGEMENTS 2026'!C2571)</f>
        <v/>
      </c>
      <c r="C2571">
        <f>IF(ISBLANK('ENGAGEMENTS 2026'!B2571),"",'ENGAGEMENTS 2026'!D2571)</f>
        <v/>
      </c>
      <c r="D2571">
        <f>IF(ISBLANK('ENGAGEMENTS 2026'!B2571),"",'ENGAGEMENTS 2026'!F2571)</f>
        <v/>
      </c>
      <c r="E2571">
        <f>IF(ISBLANK('ENGAGEMENTS 2026'!B2571),"",'ENGAGEMENTS 2026'!H2571)</f>
        <v/>
      </c>
      <c r="F2571">
        <f>IF(ISBLANK('ENGAGEMENTS 2026'!B2571),"",'ENGAGEMENTS 2026'!I2571)</f>
        <v/>
      </c>
      <c r="G2571">
        <f>IF(ISBLANK('ENGAGEMENTS 2026'!B2571),"",'ENGAGEMENTS 2026'!L2571)</f>
        <v/>
      </c>
      <c r="H2571">
        <f>IF(ISBLANK('ENGAGEMENTS 2026'!B2571),"",'ENGAGEMENTS 2026'!AE2571)</f>
        <v/>
      </c>
      <c r="I2571">
        <f>IF(ISBLANK('ENGAGEMENTS 2026'!B2571),"",'ENGAGEMENTS 2026'!G2571)</f>
        <v/>
      </c>
      <c r="J2571" s="275">
        <f>IF(ISBLANK('ENGAGEMENTS 2026'!B2571),"",IF(AND(OR($E2571="INFRUCTUEUX",$E2571="ANNULE"),$C2571="AOO-M"),'ENGAGEMENTS 2026'!O2571,IF($H2571="EN COURS DE PREENGAGEMENT",'ENGAGEMENTS 2026'!N2571,IF($H2571="PREENGAGE",IF($E2571="ATTRIBUE",'ENGAGEMENTS 2026'!AD2571,'ENGAGEMENTS 2026'!N2571),'ENGAGEMENTS 2026'!AD2571))))</f>
        <v/>
      </c>
      <c r="K2571" s="604">
        <f>IF(ISBLANK('ENGAGEMENTS 2026'!V2571),"",'ENGAGEMENTS 2026'!V2571)</f>
        <v/>
      </c>
      <c r="L2571" s="276">
        <f>IF($K2571="","",TODAY()-$K2571)</f>
        <v/>
      </c>
      <c r="M2571">
        <f>IF($A2571="","",IF($H2571="ENGAGE","Engagé",IF(AND($H2571="NON ENGAGE",OR($I2571="INFRUCTUEUX",$I2571="ANNULE")),"Clôturé sans suite","En cours")))</f>
        <v/>
      </c>
      <c r="N2571">
        <f>IF(ISBLANK('ENGAGEMENTS 2026'!B2571),"",'ENGAGEMENTS 2026'!K2571)</f>
        <v/>
      </c>
      <c r="O2571">
        <f>IF(ISBLANK('ENGAGEMENTS 2026'!B2571),"",'ENGAGEMENTS 2026'!L2571)</f>
        <v/>
      </c>
      <c r="P2571">
        <f>IF(ISBLANK('ENGAGEMENTS 2026'!B2571),"",'ENGAGEMENTS 2026'!J2571)</f>
        <v/>
      </c>
      <c r="Q2571">
        <f>IF($A2571="","",IF(OR($E2571="INFRUCTUEUX",$E2571="ANNULE"),$A2571&amp;"|"&amp;(COUNTIFS($A$2:$A2571,$A2571,$E$2:$E2571,"INFRUCTUEUX")+COUNTIFS($A$2:$A2571,$A2571,$E$2:$E2571,"ANNULE")),""))</f>
        <v/>
      </c>
    </row>
    <row r="2572">
      <c r="A2572">
        <f>IF(ISBLANK('ENGAGEMENTS 2026'!B2572),"",IF('ENGAGEMENTS 2026'!B2572="DTSI","DCT",'ENGAGEMENTS 2026'!B2572))</f>
        <v/>
      </c>
      <c r="B2572">
        <f>IF(ISBLANK('ENGAGEMENTS 2026'!B2572),"",'ENGAGEMENTS 2026'!C2572)</f>
        <v/>
      </c>
      <c r="C2572">
        <f>IF(ISBLANK('ENGAGEMENTS 2026'!B2572),"",'ENGAGEMENTS 2026'!D2572)</f>
        <v/>
      </c>
      <c r="D2572">
        <f>IF(ISBLANK('ENGAGEMENTS 2026'!B2572),"",'ENGAGEMENTS 2026'!F2572)</f>
        <v/>
      </c>
      <c r="E2572">
        <f>IF(ISBLANK('ENGAGEMENTS 2026'!B2572),"",'ENGAGEMENTS 2026'!H2572)</f>
        <v/>
      </c>
      <c r="F2572">
        <f>IF(ISBLANK('ENGAGEMENTS 2026'!B2572),"",'ENGAGEMENTS 2026'!I2572)</f>
        <v/>
      </c>
      <c r="G2572">
        <f>IF(ISBLANK('ENGAGEMENTS 2026'!B2572),"",'ENGAGEMENTS 2026'!L2572)</f>
        <v/>
      </c>
      <c r="H2572">
        <f>IF(ISBLANK('ENGAGEMENTS 2026'!B2572),"",'ENGAGEMENTS 2026'!AE2572)</f>
        <v/>
      </c>
      <c r="I2572">
        <f>IF(ISBLANK('ENGAGEMENTS 2026'!B2572),"",'ENGAGEMENTS 2026'!G2572)</f>
        <v/>
      </c>
      <c r="J2572" s="275">
        <f>IF(ISBLANK('ENGAGEMENTS 2026'!B2572),"",IF(AND(OR($E2572="INFRUCTUEUX",$E2572="ANNULE"),$C2572="AOO-M"),'ENGAGEMENTS 2026'!O2572,IF($H2572="EN COURS DE PREENGAGEMENT",'ENGAGEMENTS 2026'!N2572,IF($H2572="PREENGAGE",IF($E2572="ATTRIBUE",'ENGAGEMENTS 2026'!AD2572,'ENGAGEMENTS 2026'!N2572),'ENGAGEMENTS 2026'!AD2572))))</f>
        <v/>
      </c>
      <c r="K2572" s="604">
        <f>IF(ISBLANK('ENGAGEMENTS 2026'!V2572),"",'ENGAGEMENTS 2026'!V2572)</f>
        <v/>
      </c>
      <c r="L2572" s="276">
        <f>IF($K2572="","",TODAY()-$K2572)</f>
        <v/>
      </c>
      <c r="M2572">
        <f>IF($A2572="","",IF($H2572="ENGAGE","Engagé",IF(AND($H2572="NON ENGAGE",OR($I2572="INFRUCTUEUX",$I2572="ANNULE")),"Clôturé sans suite","En cours")))</f>
        <v/>
      </c>
      <c r="N2572">
        <f>IF(ISBLANK('ENGAGEMENTS 2026'!B2572),"",'ENGAGEMENTS 2026'!K2572)</f>
        <v/>
      </c>
      <c r="O2572">
        <f>IF(ISBLANK('ENGAGEMENTS 2026'!B2572),"",'ENGAGEMENTS 2026'!L2572)</f>
        <v/>
      </c>
      <c r="P2572">
        <f>IF(ISBLANK('ENGAGEMENTS 2026'!B2572),"",'ENGAGEMENTS 2026'!J2572)</f>
        <v/>
      </c>
      <c r="Q2572">
        <f>IF($A2572="","",IF(OR($E2572="INFRUCTUEUX",$E2572="ANNULE"),$A2572&amp;"|"&amp;(COUNTIFS($A$2:$A2572,$A2572,$E$2:$E2572,"INFRUCTUEUX")+COUNTIFS($A$2:$A2572,$A2572,$E$2:$E2572,"ANNULE")),""))</f>
        <v/>
      </c>
    </row>
    <row r="2573">
      <c r="A2573">
        <f>IF(ISBLANK('ENGAGEMENTS 2026'!B2573),"",IF('ENGAGEMENTS 2026'!B2573="DTSI","DCT",'ENGAGEMENTS 2026'!B2573))</f>
        <v/>
      </c>
      <c r="B2573">
        <f>IF(ISBLANK('ENGAGEMENTS 2026'!B2573),"",'ENGAGEMENTS 2026'!C2573)</f>
        <v/>
      </c>
      <c r="C2573">
        <f>IF(ISBLANK('ENGAGEMENTS 2026'!B2573),"",'ENGAGEMENTS 2026'!D2573)</f>
        <v/>
      </c>
      <c r="D2573">
        <f>IF(ISBLANK('ENGAGEMENTS 2026'!B2573),"",'ENGAGEMENTS 2026'!F2573)</f>
        <v/>
      </c>
      <c r="E2573">
        <f>IF(ISBLANK('ENGAGEMENTS 2026'!B2573),"",'ENGAGEMENTS 2026'!H2573)</f>
        <v/>
      </c>
      <c r="F2573">
        <f>IF(ISBLANK('ENGAGEMENTS 2026'!B2573),"",'ENGAGEMENTS 2026'!I2573)</f>
        <v/>
      </c>
      <c r="G2573">
        <f>IF(ISBLANK('ENGAGEMENTS 2026'!B2573),"",'ENGAGEMENTS 2026'!L2573)</f>
        <v/>
      </c>
      <c r="H2573">
        <f>IF(ISBLANK('ENGAGEMENTS 2026'!B2573),"",'ENGAGEMENTS 2026'!AE2573)</f>
        <v/>
      </c>
      <c r="I2573">
        <f>IF(ISBLANK('ENGAGEMENTS 2026'!B2573),"",'ENGAGEMENTS 2026'!G2573)</f>
        <v/>
      </c>
      <c r="J2573" s="275">
        <f>IF(ISBLANK('ENGAGEMENTS 2026'!B2573),"",IF(AND(OR($E2573="INFRUCTUEUX",$E2573="ANNULE"),$C2573="AOO-M"),'ENGAGEMENTS 2026'!O2573,IF($H2573="EN COURS DE PREENGAGEMENT",'ENGAGEMENTS 2026'!N2573,IF($H2573="PREENGAGE",IF($E2573="ATTRIBUE",'ENGAGEMENTS 2026'!AD2573,'ENGAGEMENTS 2026'!N2573),'ENGAGEMENTS 2026'!AD2573))))</f>
        <v/>
      </c>
      <c r="K2573" s="604">
        <f>IF(ISBLANK('ENGAGEMENTS 2026'!V2573),"",'ENGAGEMENTS 2026'!V2573)</f>
        <v/>
      </c>
      <c r="L2573" s="276">
        <f>IF($K2573="","",TODAY()-$K2573)</f>
        <v/>
      </c>
      <c r="M2573">
        <f>IF($A2573="","",IF($H2573="ENGAGE","Engagé",IF(AND($H2573="NON ENGAGE",OR($I2573="INFRUCTUEUX",$I2573="ANNULE")),"Clôturé sans suite","En cours")))</f>
        <v/>
      </c>
      <c r="N2573">
        <f>IF(ISBLANK('ENGAGEMENTS 2026'!B2573),"",'ENGAGEMENTS 2026'!K2573)</f>
        <v/>
      </c>
      <c r="O2573">
        <f>IF(ISBLANK('ENGAGEMENTS 2026'!B2573),"",'ENGAGEMENTS 2026'!L2573)</f>
        <v/>
      </c>
      <c r="P2573">
        <f>IF(ISBLANK('ENGAGEMENTS 2026'!B2573),"",'ENGAGEMENTS 2026'!J2573)</f>
        <v/>
      </c>
      <c r="Q2573">
        <f>IF($A2573="","",IF(OR($E2573="INFRUCTUEUX",$E2573="ANNULE"),$A2573&amp;"|"&amp;(COUNTIFS($A$2:$A2573,$A2573,$E$2:$E2573,"INFRUCTUEUX")+COUNTIFS($A$2:$A2573,$A2573,$E$2:$E2573,"ANNULE")),""))</f>
        <v/>
      </c>
    </row>
    <row r="2574">
      <c r="A2574">
        <f>IF(ISBLANK('ENGAGEMENTS 2026'!B2574),"",IF('ENGAGEMENTS 2026'!B2574="DTSI","DCT",'ENGAGEMENTS 2026'!B2574))</f>
        <v/>
      </c>
      <c r="B2574">
        <f>IF(ISBLANK('ENGAGEMENTS 2026'!B2574),"",'ENGAGEMENTS 2026'!C2574)</f>
        <v/>
      </c>
      <c r="C2574">
        <f>IF(ISBLANK('ENGAGEMENTS 2026'!B2574),"",'ENGAGEMENTS 2026'!D2574)</f>
        <v/>
      </c>
      <c r="D2574">
        <f>IF(ISBLANK('ENGAGEMENTS 2026'!B2574),"",'ENGAGEMENTS 2026'!F2574)</f>
        <v/>
      </c>
      <c r="E2574">
        <f>IF(ISBLANK('ENGAGEMENTS 2026'!B2574),"",'ENGAGEMENTS 2026'!H2574)</f>
        <v/>
      </c>
      <c r="F2574">
        <f>IF(ISBLANK('ENGAGEMENTS 2026'!B2574),"",'ENGAGEMENTS 2026'!I2574)</f>
        <v/>
      </c>
      <c r="G2574">
        <f>IF(ISBLANK('ENGAGEMENTS 2026'!B2574),"",'ENGAGEMENTS 2026'!L2574)</f>
        <v/>
      </c>
      <c r="H2574">
        <f>IF(ISBLANK('ENGAGEMENTS 2026'!B2574),"",'ENGAGEMENTS 2026'!AE2574)</f>
        <v/>
      </c>
      <c r="I2574">
        <f>IF(ISBLANK('ENGAGEMENTS 2026'!B2574),"",'ENGAGEMENTS 2026'!G2574)</f>
        <v/>
      </c>
      <c r="J2574" s="275">
        <f>IF(ISBLANK('ENGAGEMENTS 2026'!B2574),"",IF(AND(OR($E2574="INFRUCTUEUX",$E2574="ANNULE"),$C2574="AOO-M"),'ENGAGEMENTS 2026'!O2574,IF($H2574="EN COURS DE PREENGAGEMENT",'ENGAGEMENTS 2026'!N2574,IF($H2574="PREENGAGE",IF($E2574="ATTRIBUE",'ENGAGEMENTS 2026'!AD2574,'ENGAGEMENTS 2026'!N2574),'ENGAGEMENTS 2026'!AD2574))))</f>
        <v/>
      </c>
      <c r="K2574" s="604">
        <f>IF(ISBLANK('ENGAGEMENTS 2026'!V2574),"",'ENGAGEMENTS 2026'!V2574)</f>
        <v/>
      </c>
      <c r="L2574" s="276">
        <f>IF($K2574="","",TODAY()-$K2574)</f>
        <v/>
      </c>
      <c r="M2574">
        <f>IF($A2574="","",IF($H2574="ENGAGE","Engagé",IF(AND($H2574="NON ENGAGE",OR($I2574="INFRUCTUEUX",$I2574="ANNULE")),"Clôturé sans suite","En cours")))</f>
        <v/>
      </c>
      <c r="N2574">
        <f>IF(ISBLANK('ENGAGEMENTS 2026'!B2574),"",'ENGAGEMENTS 2026'!K2574)</f>
        <v/>
      </c>
      <c r="O2574">
        <f>IF(ISBLANK('ENGAGEMENTS 2026'!B2574),"",'ENGAGEMENTS 2026'!L2574)</f>
        <v/>
      </c>
      <c r="P2574">
        <f>IF(ISBLANK('ENGAGEMENTS 2026'!B2574),"",'ENGAGEMENTS 2026'!J2574)</f>
        <v/>
      </c>
      <c r="Q2574">
        <f>IF($A2574="","",IF(OR($E2574="INFRUCTUEUX",$E2574="ANNULE"),$A2574&amp;"|"&amp;(COUNTIFS($A$2:$A2574,$A2574,$E$2:$E2574,"INFRUCTUEUX")+COUNTIFS($A$2:$A2574,$A2574,$E$2:$E2574,"ANNULE")),""))</f>
        <v/>
      </c>
    </row>
    <row r="2575">
      <c r="A2575">
        <f>IF(ISBLANK('ENGAGEMENTS 2026'!B2575),"",IF('ENGAGEMENTS 2026'!B2575="DTSI","DCT",'ENGAGEMENTS 2026'!B2575))</f>
        <v/>
      </c>
      <c r="B2575">
        <f>IF(ISBLANK('ENGAGEMENTS 2026'!B2575),"",'ENGAGEMENTS 2026'!C2575)</f>
        <v/>
      </c>
      <c r="C2575">
        <f>IF(ISBLANK('ENGAGEMENTS 2026'!B2575),"",'ENGAGEMENTS 2026'!D2575)</f>
        <v/>
      </c>
      <c r="D2575">
        <f>IF(ISBLANK('ENGAGEMENTS 2026'!B2575),"",'ENGAGEMENTS 2026'!F2575)</f>
        <v/>
      </c>
      <c r="E2575">
        <f>IF(ISBLANK('ENGAGEMENTS 2026'!B2575),"",'ENGAGEMENTS 2026'!H2575)</f>
        <v/>
      </c>
      <c r="F2575">
        <f>IF(ISBLANK('ENGAGEMENTS 2026'!B2575),"",'ENGAGEMENTS 2026'!I2575)</f>
        <v/>
      </c>
      <c r="G2575">
        <f>IF(ISBLANK('ENGAGEMENTS 2026'!B2575),"",'ENGAGEMENTS 2026'!L2575)</f>
        <v/>
      </c>
      <c r="H2575">
        <f>IF(ISBLANK('ENGAGEMENTS 2026'!B2575),"",'ENGAGEMENTS 2026'!AE2575)</f>
        <v/>
      </c>
      <c r="I2575">
        <f>IF(ISBLANK('ENGAGEMENTS 2026'!B2575),"",'ENGAGEMENTS 2026'!G2575)</f>
        <v/>
      </c>
      <c r="J2575" s="275">
        <f>IF(ISBLANK('ENGAGEMENTS 2026'!B2575),"",IF(AND(OR($E2575="INFRUCTUEUX",$E2575="ANNULE"),$C2575="AOO-M"),'ENGAGEMENTS 2026'!O2575,IF($H2575="EN COURS DE PREENGAGEMENT",'ENGAGEMENTS 2026'!N2575,IF($H2575="PREENGAGE",IF($E2575="ATTRIBUE",'ENGAGEMENTS 2026'!AD2575,'ENGAGEMENTS 2026'!N2575),'ENGAGEMENTS 2026'!AD2575))))</f>
        <v/>
      </c>
      <c r="K2575" s="604">
        <f>IF(ISBLANK('ENGAGEMENTS 2026'!V2575),"",'ENGAGEMENTS 2026'!V2575)</f>
        <v/>
      </c>
      <c r="L2575" s="276">
        <f>IF($K2575="","",TODAY()-$K2575)</f>
        <v/>
      </c>
      <c r="M2575">
        <f>IF($A2575="","",IF($H2575="ENGAGE","Engagé",IF(AND($H2575="NON ENGAGE",OR($I2575="INFRUCTUEUX",$I2575="ANNULE")),"Clôturé sans suite","En cours")))</f>
        <v/>
      </c>
      <c r="N2575">
        <f>IF(ISBLANK('ENGAGEMENTS 2026'!B2575),"",'ENGAGEMENTS 2026'!K2575)</f>
        <v/>
      </c>
      <c r="O2575">
        <f>IF(ISBLANK('ENGAGEMENTS 2026'!B2575),"",'ENGAGEMENTS 2026'!L2575)</f>
        <v/>
      </c>
      <c r="P2575">
        <f>IF(ISBLANK('ENGAGEMENTS 2026'!B2575),"",'ENGAGEMENTS 2026'!J2575)</f>
        <v/>
      </c>
      <c r="Q2575">
        <f>IF($A2575="","",IF(OR($E2575="INFRUCTUEUX",$E2575="ANNULE"),$A2575&amp;"|"&amp;(COUNTIFS($A$2:$A2575,$A2575,$E$2:$E2575,"INFRUCTUEUX")+COUNTIFS($A$2:$A2575,$A2575,$E$2:$E2575,"ANNULE")),""))</f>
        <v/>
      </c>
    </row>
    <row r="2576">
      <c r="A2576">
        <f>IF(ISBLANK('ENGAGEMENTS 2026'!B2576),"",IF('ENGAGEMENTS 2026'!B2576="DTSI","DCT",'ENGAGEMENTS 2026'!B2576))</f>
        <v/>
      </c>
      <c r="B2576">
        <f>IF(ISBLANK('ENGAGEMENTS 2026'!B2576),"",'ENGAGEMENTS 2026'!C2576)</f>
        <v/>
      </c>
      <c r="C2576">
        <f>IF(ISBLANK('ENGAGEMENTS 2026'!B2576),"",'ENGAGEMENTS 2026'!D2576)</f>
        <v/>
      </c>
      <c r="D2576">
        <f>IF(ISBLANK('ENGAGEMENTS 2026'!B2576),"",'ENGAGEMENTS 2026'!F2576)</f>
        <v/>
      </c>
      <c r="E2576">
        <f>IF(ISBLANK('ENGAGEMENTS 2026'!B2576),"",'ENGAGEMENTS 2026'!H2576)</f>
        <v/>
      </c>
      <c r="F2576">
        <f>IF(ISBLANK('ENGAGEMENTS 2026'!B2576),"",'ENGAGEMENTS 2026'!I2576)</f>
        <v/>
      </c>
      <c r="G2576">
        <f>IF(ISBLANK('ENGAGEMENTS 2026'!B2576),"",'ENGAGEMENTS 2026'!L2576)</f>
        <v/>
      </c>
      <c r="H2576">
        <f>IF(ISBLANK('ENGAGEMENTS 2026'!B2576),"",'ENGAGEMENTS 2026'!AE2576)</f>
        <v/>
      </c>
      <c r="I2576">
        <f>IF(ISBLANK('ENGAGEMENTS 2026'!B2576),"",'ENGAGEMENTS 2026'!G2576)</f>
        <v/>
      </c>
      <c r="J2576" s="275">
        <f>IF(ISBLANK('ENGAGEMENTS 2026'!B2576),"",IF(AND(OR($E2576="INFRUCTUEUX",$E2576="ANNULE"),$C2576="AOO-M"),'ENGAGEMENTS 2026'!O2576,IF($H2576="EN COURS DE PREENGAGEMENT",'ENGAGEMENTS 2026'!N2576,IF($H2576="PREENGAGE",IF($E2576="ATTRIBUE",'ENGAGEMENTS 2026'!AD2576,'ENGAGEMENTS 2026'!N2576),'ENGAGEMENTS 2026'!AD2576))))</f>
        <v/>
      </c>
      <c r="K2576" s="604">
        <f>IF(ISBLANK('ENGAGEMENTS 2026'!V2576),"",'ENGAGEMENTS 2026'!V2576)</f>
        <v/>
      </c>
      <c r="L2576" s="276">
        <f>IF($K2576="","",TODAY()-$K2576)</f>
        <v/>
      </c>
      <c r="M2576">
        <f>IF($A2576="","",IF($H2576="ENGAGE","Engagé",IF(AND($H2576="NON ENGAGE",OR($I2576="INFRUCTUEUX",$I2576="ANNULE")),"Clôturé sans suite","En cours")))</f>
        <v/>
      </c>
      <c r="N2576">
        <f>IF(ISBLANK('ENGAGEMENTS 2026'!B2576),"",'ENGAGEMENTS 2026'!K2576)</f>
        <v/>
      </c>
      <c r="O2576">
        <f>IF(ISBLANK('ENGAGEMENTS 2026'!B2576),"",'ENGAGEMENTS 2026'!L2576)</f>
        <v/>
      </c>
      <c r="P2576">
        <f>IF(ISBLANK('ENGAGEMENTS 2026'!B2576),"",'ENGAGEMENTS 2026'!J2576)</f>
        <v/>
      </c>
      <c r="Q2576">
        <f>IF($A2576="","",IF(OR($E2576="INFRUCTUEUX",$E2576="ANNULE"),$A2576&amp;"|"&amp;(COUNTIFS($A$2:$A2576,$A2576,$E$2:$E2576,"INFRUCTUEUX")+COUNTIFS($A$2:$A2576,$A2576,$E$2:$E2576,"ANNULE")),""))</f>
        <v/>
      </c>
    </row>
    <row r="2577">
      <c r="A2577">
        <f>IF(ISBLANK('ENGAGEMENTS 2026'!B2577),"",IF('ENGAGEMENTS 2026'!B2577="DTSI","DCT",'ENGAGEMENTS 2026'!B2577))</f>
        <v/>
      </c>
      <c r="B2577">
        <f>IF(ISBLANK('ENGAGEMENTS 2026'!B2577),"",'ENGAGEMENTS 2026'!C2577)</f>
        <v/>
      </c>
      <c r="C2577">
        <f>IF(ISBLANK('ENGAGEMENTS 2026'!B2577),"",'ENGAGEMENTS 2026'!D2577)</f>
        <v/>
      </c>
      <c r="D2577">
        <f>IF(ISBLANK('ENGAGEMENTS 2026'!B2577),"",'ENGAGEMENTS 2026'!F2577)</f>
        <v/>
      </c>
      <c r="E2577">
        <f>IF(ISBLANK('ENGAGEMENTS 2026'!B2577),"",'ENGAGEMENTS 2026'!H2577)</f>
        <v/>
      </c>
      <c r="F2577">
        <f>IF(ISBLANK('ENGAGEMENTS 2026'!B2577),"",'ENGAGEMENTS 2026'!I2577)</f>
        <v/>
      </c>
      <c r="G2577">
        <f>IF(ISBLANK('ENGAGEMENTS 2026'!B2577),"",'ENGAGEMENTS 2026'!L2577)</f>
        <v/>
      </c>
      <c r="H2577">
        <f>IF(ISBLANK('ENGAGEMENTS 2026'!B2577),"",'ENGAGEMENTS 2026'!AE2577)</f>
        <v/>
      </c>
      <c r="I2577">
        <f>IF(ISBLANK('ENGAGEMENTS 2026'!B2577),"",'ENGAGEMENTS 2026'!G2577)</f>
        <v/>
      </c>
      <c r="J2577" s="275">
        <f>IF(ISBLANK('ENGAGEMENTS 2026'!B2577),"",IF(AND(OR($E2577="INFRUCTUEUX",$E2577="ANNULE"),$C2577="AOO-M"),'ENGAGEMENTS 2026'!O2577,IF($H2577="EN COURS DE PREENGAGEMENT",'ENGAGEMENTS 2026'!N2577,IF($H2577="PREENGAGE",IF($E2577="ATTRIBUE",'ENGAGEMENTS 2026'!AD2577,'ENGAGEMENTS 2026'!N2577),'ENGAGEMENTS 2026'!AD2577))))</f>
        <v/>
      </c>
      <c r="K2577" s="604">
        <f>IF(ISBLANK('ENGAGEMENTS 2026'!V2577),"",'ENGAGEMENTS 2026'!V2577)</f>
        <v/>
      </c>
      <c r="L2577" s="276">
        <f>IF($K2577="","",TODAY()-$K2577)</f>
        <v/>
      </c>
      <c r="M2577">
        <f>IF($A2577="","",IF($H2577="ENGAGE","Engagé",IF(AND($H2577="NON ENGAGE",OR($I2577="INFRUCTUEUX",$I2577="ANNULE")),"Clôturé sans suite","En cours")))</f>
        <v/>
      </c>
      <c r="N2577">
        <f>IF(ISBLANK('ENGAGEMENTS 2026'!B2577),"",'ENGAGEMENTS 2026'!K2577)</f>
        <v/>
      </c>
      <c r="O2577">
        <f>IF(ISBLANK('ENGAGEMENTS 2026'!B2577),"",'ENGAGEMENTS 2026'!L2577)</f>
        <v/>
      </c>
      <c r="P2577">
        <f>IF(ISBLANK('ENGAGEMENTS 2026'!B2577),"",'ENGAGEMENTS 2026'!J2577)</f>
        <v/>
      </c>
      <c r="Q2577">
        <f>IF($A2577="","",IF(OR($E2577="INFRUCTUEUX",$E2577="ANNULE"),$A2577&amp;"|"&amp;(COUNTIFS($A$2:$A2577,$A2577,$E$2:$E2577,"INFRUCTUEUX")+COUNTIFS($A$2:$A2577,$A2577,$E$2:$E2577,"ANNULE")),""))</f>
        <v/>
      </c>
    </row>
    <row r="2578">
      <c r="A2578">
        <f>IF(ISBLANK('ENGAGEMENTS 2026'!B2578),"",IF('ENGAGEMENTS 2026'!B2578="DTSI","DCT",'ENGAGEMENTS 2026'!B2578))</f>
        <v/>
      </c>
      <c r="B2578">
        <f>IF(ISBLANK('ENGAGEMENTS 2026'!B2578),"",'ENGAGEMENTS 2026'!C2578)</f>
        <v/>
      </c>
      <c r="C2578">
        <f>IF(ISBLANK('ENGAGEMENTS 2026'!B2578),"",'ENGAGEMENTS 2026'!D2578)</f>
        <v/>
      </c>
      <c r="D2578">
        <f>IF(ISBLANK('ENGAGEMENTS 2026'!B2578),"",'ENGAGEMENTS 2026'!F2578)</f>
        <v/>
      </c>
      <c r="E2578">
        <f>IF(ISBLANK('ENGAGEMENTS 2026'!B2578),"",'ENGAGEMENTS 2026'!H2578)</f>
        <v/>
      </c>
      <c r="F2578">
        <f>IF(ISBLANK('ENGAGEMENTS 2026'!B2578),"",'ENGAGEMENTS 2026'!I2578)</f>
        <v/>
      </c>
      <c r="G2578">
        <f>IF(ISBLANK('ENGAGEMENTS 2026'!B2578),"",'ENGAGEMENTS 2026'!L2578)</f>
        <v/>
      </c>
      <c r="H2578">
        <f>IF(ISBLANK('ENGAGEMENTS 2026'!B2578),"",'ENGAGEMENTS 2026'!AE2578)</f>
        <v/>
      </c>
      <c r="I2578">
        <f>IF(ISBLANK('ENGAGEMENTS 2026'!B2578),"",'ENGAGEMENTS 2026'!G2578)</f>
        <v/>
      </c>
      <c r="J2578" s="275">
        <f>IF(ISBLANK('ENGAGEMENTS 2026'!B2578),"",IF(AND(OR($E2578="INFRUCTUEUX",$E2578="ANNULE"),$C2578="AOO-M"),'ENGAGEMENTS 2026'!O2578,IF($H2578="EN COURS DE PREENGAGEMENT",'ENGAGEMENTS 2026'!N2578,IF($H2578="PREENGAGE",IF($E2578="ATTRIBUE",'ENGAGEMENTS 2026'!AD2578,'ENGAGEMENTS 2026'!N2578),'ENGAGEMENTS 2026'!AD2578))))</f>
        <v/>
      </c>
      <c r="K2578" s="604">
        <f>IF(ISBLANK('ENGAGEMENTS 2026'!V2578),"",'ENGAGEMENTS 2026'!V2578)</f>
        <v/>
      </c>
      <c r="L2578" s="276">
        <f>IF($K2578="","",TODAY()-$K2578)</f>
        <v/>
      </c>
      <c r="M2578">
        <f>IF($A2578="","",IF($H2578="ENGAGE","Engagé",IF(AND($H2578="NON ENGAGE",OR($I2578="INFRUCTUEUX",$I2578="ANNULE")),"Clôturé sans suite","En cours")))</f>
        <v/>
      </c>
      <c r="N2578">
        <f>IF(ISBLANK('ENGAGEMENTS 2026'!B2578),"",'ENGAGEMENTS 2026'!K2578)</f>
        <v/>
      </c>
      <c r="O2578">
        <f>IF(ISBLANK('ENGAGEMENTS 2026'!B2578),"",'ENGAGEMENTS 2026'!L2578)</f>
        <v/>
      </c>
      <c r="P2578">
        <f>IF(ISBLANK('ENGAGEMENTS 2026'!B2578),"",'ENGAGEMENTS 2026'!J2578)</f>
        <v/>
      </c>
      <c r="Q2578">
        <f>IF($A2578="","",IF(OR($E2578="INFRUCTUEUX",$E2578="ANNULE"),$A2578&amp;"|"&amp;(COUNTIFS($A$2:$A2578,$A2578,$E$2:$E2578,"INFRUCTUEUX")+COUNTIFS($A$2:$A2578,$A2578,$E$2:$E2578,"ANNULE")),""))</f>
        <v/>
      </c>
    </row>
    <row r="2579">
      <c r="A2579">
        <f>IF(ISBLANK('ENGAGEMENTS 2026'!B2579),"",IF('ENGAGEMENTS 2026'!B2579="DTSI","DCT",'ENGAGEMENTS 2026'!B2579))</f>
        <v/>
      </c>
      <c r="B2579">
        <f>IF(ISBLANK('ENGAGEMENTS 2026'!B2579),"",'ENGAGEMENTS 2026'!C2579)</f>
        <v/>
      </c>
      <c r="C2579">
        <f>IF(ISBLANK('ENGAGEMENTS 2026'!B2579),"",'ENGAGEMENTS 2026'!D2579)</f>
        <v/>
      </c>
      <c r="D2579">
        <f>IF(ISBLANK('ENGAGEMENTS 2026'!B2579),"",'ENGAGEMENTS 2026'!F2579)</f>
        <v/>
      </c>
      <c r="E2579">
        <f>IF(ISBLANK('ENGAGEMENTS 2026'!B2579),"",'ENGAGEMENTS 2026'!H2579)</f>
        <v/>
      </c>
      <c r="F2579">
        <f>IF(ISBLANK('ENGAGEMENTS 2026'!B2579),"",'ENGAGEMENTS 2026'!I2579)</f>
        <v/>
      </c>
      <c r="G2579">
        <f>IF(ISBLANK('ENGAGEMENTS 2026'!B2579),"",'ENGAGEMENTS 2026'!L2579)</f>
        <v/>
      </c>
      <c r="H2579">
        <f>IF(ISBLANK('ENGAGEMENTS 2026'!B2579),"",'ENGAGEMENTS 2026'!AE2579)</f>
        <v/>
      </c>
      <c r="I2579">
        <f>IF(ISBLANK('ENGAGEMENTS 2026'!B2579),"",'ENGAGEMENTS 2026'!G2579)</f>
        <v/>
      </c>
      <c r="J2579" s="275">
        <f>IF(ISBLANK('ENGAGEMENTS 2026'!B2579),"",IF(AND(OR($E2579="INFRUCTUEUX",$E2579="ANNULE"),$C2579="AOO-M"),'ENGAGEMENTS 2026'!O2579,IF($H2579="EN COURS DE PREENGAGEMENT",'ENGAGEMENTS 2026'!N2579,IF($H2579="PREENGAGE",IF($E2579="ATTRIBUE",'ENGAGEMENTS 2026'!AD2579,'ENGAGEMENTS 2026'!N2579),'ENGAGEMENTS 2026'!AD2579))))</f>
        <v/>
      </c>
      <c r="K2579" s="604">
        <f>IF(ISBLANK('ENGAGEMENTS 2026'!V2579),"",'ENGAGEMENTS 2026'!V2579)</f>
        <v/>
      </c>
      <c r="L2579" s="276">
        <f>IF($K2579="","",TODAY()-$K2579)</f>
        <v/>
      </c>
      <c r="M2579">
        <f>IF($A2579="","",IF($H2579="ENGAGE","Engagé",IF(AND($H2579="NON ENGAGE",OR($I2579="INFRUCTUEUX",$I2579="ANNULE")),"Clôturé sans suite","En cours")))</f>
        <v/>
      </c>
      <c r="N2579">
        <f>IF(ISBLANK('ENGAGEMENTS 2026'!B2579),"",'ENGAGEMENTS 2026'!K2579)</f>
        <v/>
      </c>
      <c r="O2579">
        <f>IF(ISBLANK('ENGAGEMENTS 2026'!B2579),"",'ENGAGEMENTS 2026'!L2579)</f>
        <v/>
      </c>
      <c r="P2579">
        <f>IF(ISBLANK('ENGAGEMENTS 2026'!B2579),"",'ENGAGEMENTS 2026'!J2579)</f>
        <v/>
      </c>
      <c r="Q2579">
        <f>IF($A2579="","",IF(OR($E2579="INFRUCTUEUX",$E2579="ANNULE"),$A2579&amp;"|"&amp;(COUNTIFS($A$2:$A2579,$A2579,$E$2:$E2579,"INFRUCTUEUX")+COUNTIFS($A$2:$A2579,$A2579,$E$2:$E2579,"ANNULE")),""))</f>
        <v/>
      </c>
    </row>
    <row r="2580">
      <c r="A2580">
        <f>IF(ISBLANK('ENGAGEMENTS 2026'!B2580),"",IF('ENGAGEMENTS 2026'!B2580="DTSI","DCT",'ENGAGEMENTS 2026'!B2580))</f>
        <v/>
      </c>
      <c r="B2580">
        <f>IF(ISBLANK('ENGAGEMENTS 2026'!B2580),"",'ENGAGEMENTS 2026'!C2580)</f>
        <v/>
      </c>
      <c r="C2580">
        <f>IF(ISBLANK('ENGAGEMENTS 2026'!B2580),"",'ENGAGEMENTS 2026'!D2580)</f>
        <v/>
      </c>
      <c r="D2580">
        <f>IF(ISBLANK('ENGAGEMENTS 2026'!B2580),"",'ENGAGEMENTS 2026'!F2580)</f>
        <v/>
      </c>
      <c r="E2580">
        <f>IF(ISBLANK('ENGAGEMENTS 2026'!B2580),"",'ENGAGEMENTS 2026'!H2580)</f>
        <v/>
      </c>
      <c r="F2580">
        <f>IF(ISBLANK('ENGAGEMENTS 2026'!B2580),"",'ENGAGEMENTS 2026'!I2580)</f>
        <v/>
      </c>
      <c r="G2580">
        <f>IF(ISBLANK('ENGAGEMENTS 2026'!B2580),"",'ENGAGEMENTS 2026'!L2580)</f>
        <v/>
      </c>
      <c r="H2580">
        <f>IF(ISBLANK('ENGAGEMENTS 2026'!B2580),"",'ENGAGEMENTS 2026'!AE2580)</f>
        <v/>
      </c>
      <c r="I2580">
        <f>IF(ISBLANK('ENGAGEMENTS 2026'!B2580),"",'ENGAGEMENTS 2026'!G2580)</f>
        <v/>
      </c>
      <c r="J2580" s="275">
        <f>IF(ISBLANK('ENGAGEMENTS 2026'!B2580),"",IF(AND(OR($E2580="INFRUCTUEUX",$E2580="ANNULE"),$C2580="AOO-M"),'ENGAGEMENTS 2026'!O2580,IF($H2580="EN COURS DE PREENGAGEMENT",'ENGAGEMENTS 2026'!N2580,IF($H2580="PREENGAGE",IF($E2580="ATTRIBUE",'ENGAGEMENTS 2026'!AD2580,'ENGAGEMENTS 2026'!N2580),'ENGAGEMENTS 2026'!AD2580))))</f>
        <v/>
      </c>
      <c r="K2580" s="604">
        <f>IF(ISBLANK('ENGAGEMENTS 2026'!V2580),"",'ENGAGEMENTS 2026'!V2580)</f>
        <v/>
      </c>
      <c r="L2580" s="276">
        <f>IF($K2580="","",TODAY()-$K2580)</f>
        <v/>
      </c>
      <c r="M2580">
        <f>IF($A2580="","",IF($H2580="ENGAGE","Engagé",IF(AND($H2580="NON ENGAGE",OR($I2580="INFRUCTUEUX",$I2580="ANNULE")),"Clôturé sans suite","En cours")))</f>
        <v/>
      </c>
      <c r="N2580">
        <f>IF(ISBLANK('ENGAGEMENTS 2026'!B2580),"",'ENGAGEMENTS 2026'!K2580)</f>
        <v/>
      </c>
      <c r="O2580">
        <f>IF(ISBLANK('ENGAGEMENTS 2026'!B2580),"",'ENGAGEMENTS 2026'!L2580)</f>
        <v/>
      </c>
      <c r="P2580">
        <f>IF(ISBLANK('ENGAGEMENTS 2026'!B2580),"",'ENGAGEMENTS 2026'!J2580)</f>
        <v/>
      </c>
      <c r="Q2580">
        <f>IF($A2580="","",IF(OR($E2580="INFRUCTUEUX",$E2580="ANNULE"),$A2580&amp;"|"&amp;(COUNTIFS($A$2:$A2580,$A2580,$E$2:$E2580,"INFRUCTUEUX")+COUNTIFS($A$2:$A2580,$A2580,$E$2:$E2580,"ANNULE")),""))</f>
        <v/>
      </c>
    </row>
    <row r="2581">
      <c r="A2581">
        <f>IF(ISBLANK('ENGAGEMENTS 2026'!B2581),"",IF('ENGAGEMENTS 2026'!B2581="DTSI","DCT",'ENGAGEMENTS 2026'!B2581))</f>
        <v/>
      </c>
      <c r="B2581">
        <f>IF(ISBLANK('ENGAGEMENTS 2026'!B2581),"",'ENGAGEMENTS 2026'!C2581)</f>
        <v/>
      </c>
      <c r="C2581">
        <f>IF(ISBLANK('ENGAGEMENTS 2026'!B2581),"",'ENGAGEMENTS 2026'!D2581)</f>
        <v/>
      </c>
      <c r="D2581">
        <f>IF(ISBLANK('ENGAGEMENTS 2026'!B2581),"",'ENGAGEMENTS 2026'!F2581)</f>
        <v/>
      </c>
      <c r="E2581">
        <f>IF(ISBLANK('ENGAGEMENTS 2026'!B2581),"",'ENGAGEMENTS 2026'!H2581)</f>
        <v/>
      </c>
      <c r="F2581">
        <f>IF(ISBLANK('ENGAGEMENTS 2026'!B2581),"",'ENGAGEMENTS 2026'!I2581)</f>
        <v/>
      </c>
      <c r="G2581">
        <f>IF(ISBLANK('ENGAGEMENTS 2026'!B2581),"",'ENGAGEMENTS 2026'!L2581)</f>
        <v/>
      </c>
      <c r="H2581">
        <f>IF(ISBLANK('ENGAGEMENTS 2026'!B2581),"",'ENGAGEMENTS 2026'!AE2581)</f>
        <v/>
      </c>
      <c r="I2581">
        <f>IF(ISBLANK('ENGAGEMENTS 2026'!B2581),"",'ENGAGEMENTS 2026'!G2581)</f>
        <v/>
      </c>
      <c r="J2581" s="275">
        <f>IF(ISBLANK('ENGAGEMENTS 2026'!B2581),"",IF(AND(OR($E2581="INFRUCTUEUX",$E2581="ANNULE"),$C2581="AOO-M"),'ENGAGEMENTS 2026'!O2581,IF($H2581="EN COURS DE PREENGAGEMENT",'ENGAGEMENTS 2026'!N2581,IF($H2581="PREENGAGE",IF($E2581="ATTRIBUE",'ENGAGEMENTS 2026'!AD2581,'ENGAGEMENTS 2026'!N2581),'ENGAGEMENTS 2026'!AD2581))))</f>
        <v/>
      </c>
      <c r="K2581" s="604">
        <f>IF(ISBLANK('ENGAGEMENTS 2026'!V2581),"",'ENGAGEMENTS 2026'!V2581)</f>
        <v/>
      </c>
      <c r="L2581" s="276">
        <f>IF($K2581="","",TODAY()-$K2581)</f>
        <v/>
      </c>
      <c r="M2581">
        <f>IF($A2581="","",IF($H2581="ENGAGE","Engagé",IF(AND($H2581="NON ENGAGE",OR($I2581="INFRUCTUEUX",$I2581="ANNULE")),"Clôturé sans suite","En cours")))</f>
        <v/>
      </c>
      <c r="N2581">
        <f>IF(ISBLANK('ENGAGEMENTS 2026'!B2581),"",'ENGAGEMENTS 2026'!K2581)</f>
        <v/>
      </c>
      <c r="O2581">
        <f>IF(ISBLANK('ENGAGEMENTS 2026'!B2581),"",'ENGAGEMENTS 2026'!L2581)</f>
        <v/>
      </c>
      <c r="P2581">
        <f>IF(ISBLANK('ENGAGEMENTS 2026'!B2581),"",'ENGAGEMENTS 2026'!J2581)</f>
        <v/>
      </c>
      <c r="Q2581">
        <f>IF($A2581="","",IF(OR($E2581="INFRUCTUEUX",$E2581="ANNULE"),$A2581&amp;"|"&amp;(COUNTIFS($A$2:$A2581,$A2581,$E$2:$E2581,"INFRUCTUEUX")+COUNTIFS($A$2:$A2581,$A2581,$E$2:$E2581,"ANNULE")),""))</f>
        <v/>
      </c>
    </row>
    <row r="2582">
      <c r="A2582">
        <f>IF(ISBLANK('ENGAGEMENTS 2026'!B2582),"",IF('ENGAGEMENTS 2026'!B2582="DTSI","DCT",'ENGAGEMENTS 2026'!B2582))</f>
        <v/>
      </c>
      <c r="B2582">
        <f>IF(ISBLANK('ENGAGEMENTS 2026'!B2582),"",'ENGAGEMENTS 2026'!C2582)</f>
        <v/>
      </c>
      <c r="C2582">
        <f>IF(ISBLANK('ENGAGEMENTS 2026'!B2582),"",'ENGAGEMENTS 2026'!D2582)</f>
        <v/>
      </c>
      <c r="D2582">
        <f>IF(ISBLANK('ENGAGEMENTS 2026'!B2582),"",'ENGAGEMENTS 2026'!F2582)</f>
        <v/>
      </c>
      <c r="E2582">
        <f>IF(ISBLANK('ENGAGEMENTS 2026'!B2582),"",'ENGAGEMENTS 2026'!H2582)</f>
        <v/>
      </c>
      <c r="F2582">
        <f>IF(ISBLANK('ENGAGEMENTS 2026'!B2582),"",'ENGAGEMENTS 2026'!I2582)</f>
        <v/>
      </c>
      <c r="G2582">
        <f>IF(ISBLANK('ENGAGEMENTS 2026'!B2582),"",'ENGAGEMENTS 2026'!L2582)</f>
        <v/>
      </c>
      <c r="H2582">
        <f>IF(ISBLANK('ENGAGEMENTS 2026'!B2582),"",'ENGAGEMENTS 2026'!AE2582)</f>
        <v/>
      </c>
      <c r="I2582">
        <f>IF(ISBLANK('ENGAGEMENTS 2026'!B2582),"",'ENGAGEMENTS 2026'!G2582)</f>
        <v/>
      </c>
      <c r="J2582" s="275">
        <f>IF(ISBLANK('ENGAGEMENTS 2026'!B2582),"",IF(AND(OR($E2582="INFRUCTUEUX",$E2582="ANNULE"),$C2582="AOO-M"),'ENGAGEMENTS 2026'!O2582,IF($H2582="EN COURS DE PREENGAGEMENT",'ENGAGEMENTS 2026'!N2582,IF($H2582="PREENGAGE",IF($E2582="ATTRIBUE",'ENGAGEMENTS 2026'!AD2582,'ENGAGEMENTS 2026'!N2582),'ENGAGEMENTS 2026'!AD2582))))</f>
        <v/>
      </c>
      <c r="K2582" s="604">
        <f>IF(ISBLANK('ENGAGEMENTS 2026'!V2582),"",'ENGAGEMENTS 2026'!V2582)</f>
        <v/>
      </c>
      <c r="L2582" s="276">
        <f>IF($K2582="","",TODAY()-$K2582)</f>
        <v/>
      </c>
      <c r="M2582">
        <f>IF($A2582="","",IF($H2582="ENGAGE","Engagé",IF(AND($H2582="NON ENGAGE",OR($I2582="INFRUCTUEUX",$I2582="ANNULE")),"Clôturé sans suite","En cours")))</f>
        <v/>
      </c>
      <c r="N2582">
        <f>IF(ISBLANK('ENGAGEMENTS 2026'!B2582),"",'ENGAGEMENTS 2026'!K2582)</f>
        <v/>
      </c>
      <c r="O2582">
        <f>IF(ISBLANK('ENGAGEMENTS 2026'!B2582),"",'ENGAGEMENTS 2026'!L2582)</f>
        <v/>
      </c>
      <c r="P2582">
        <f>IF(ISBLANK('ENGAGEMENTS 2026'!B2582),"",'ENGAGEMENTS 2026'!J2582)</f>
        <v/>
      </c>
      <c r="Q2582">
        <f>IF($A2582="","",IF(OR($E2582="INFRUCTUEUX",$E2582="ANNULE"),$A2582&amp;"|"&amp;(COUNTIFS($A$2:$A2582,$A2582,$E$2:$E2582,"INFRUCTUEUX")+COUNTIFS($A$2:$A2582,$A2582,$E$2:$E2582,"ANNULE")),""))</f>
        <v/>
      </c>
    </row>
    <row r="2583">
      <c r="A2583">
        <f>IF(ISBLANK('ENGAGEMENTS 2026'!B2583),"",IF('ENGAGEMENTS 2026'!B2583="DTSI","DCT",'ENGAGEMENTS 2026'!B2583))</f>
        <v/>
      </c>
      <c r="B2583">
        <f>IF(ISBLANK('ENGAGEMENTS 2026'!B2583),"",'ENGAGEMENTS 2026'!C2583)</f>
        <v/>
      </c>
      <c r="C2583">
        <f>IF(ISBLANK('ENGAGEMENTS 2026'!B2583),"",'ENGAGEMENTS 2026'!D2583)</f>
        <v/>
      </c>
      <c r="D2583">
        <f>IF(ISBLANK('ENGAGEMENTS 2026'!B2583),"",'ENGAGEMENTS 2026'!F2583)</f>
        <v/>
      </c>
      <c r="E2583">
        <f>IF(ISBLANK('ENGAGEMENTS 2026'!B2583),"",'ENGAGEMENTS 2026'!H2583)</f>
        <v/>
      </c>
      <c r="F2583">
        <f>IF(ISBLANK('ENGAGEMENTS 2026'!B2583),"",'ENGAGEMENTS 2026'!I2583)</f>
        <v/>
      </c>
      <c r="G2583">
        <f>IF(ISBLANK('ENGAGEMENTS 2026'!B2583),"",'ENGAGEMENTS 2026'!L2583)</f>
        <v/>
      </c>
      <c r="H2583">
        <f>IF(ISBLANK('ENGAGEMENTS 2026'!B2583),"",'ENGAGEMENTS 2026'!AE2583)</f>
        <v/>
      </c>
      <c r="I2583">
        <f>IF(ISBLANK('ENGAGEMENTS 2026'!B2583),"",'ENGAGEMENTS 2026'!G2583)</f>
        <v/>
      </c>
      <c r="J2583" s="275">
        <f>IF(ISBLANK('ENGAGEMENTS 2026'!B2583),"",IF(AND(OR($E2583="INFRUCTUEUX",$E2583="ANNULE"),$C2583="AOO-M"),'ENGAGEMENTS 2026'!O2583,IF($H2583="EN COURS DE PREENGAGEMENT",'ENGAGEMENTS 2026'!N2583,IF($H2583="PREENGAGE",IF($E2583="ATTRIBUE",'ENGAGEMENTS 2026'!AD2583,'ENGAGEMENTS 2026'!N2583),'ENGAGEMENTS 2026'!AD2583))))</f>
        <v/>
      </c>
      <c r="K2583" s="604">
        <f>IF(ISBLANK('ENGAGEMENTS 2026'!V2583),"",'ENGAGEMENTS 2026'!V2583)</f>
        <v/>
      </c>
      <c r="L2583" s="276">
        <f>IF($K2583="","",TODAY()-$K2583)</f>
        <v/>
      </c>
      <c r="M2583">
        <f>IF($A2583="","",IF($H2583="ENGAGE","Engagé",IF(AND($H2583="NON ENGAGE",OR($I2583="INFRUCTUEUX",$I2583="ANNULE")),"Clôturé sans suite","En cours")))</f>
        <v/>
      </c>
      <c r="N2583">
        <f>IF(ISBLANK('ENGAGEMENTS 2026'!B2583),"",'ENGAGEMENTS 2026'!K2583)</f>
        <v/>
      </c>
      <c r="O2583">
        <f>IF(ISBLANK('ENGAGEMENTS 2026'!B2583),"",'ENGAGEMENTS 2026'!L2583)</f>
        <v/>
      </c>
      <c r="P2583">
        <f>IF(ISBLANK('ENGAGEMENTS 2026'!B2583),"",'ENGAGEMENTS 2026'!J2583)</f>
        <v/>
      </c>
      <c r="Q2583">
        <f>IF($A2583="","",IF(OR($E2583="INFRUCTUEUX",$E2583="ANNULE"),$A2583&amp;"|"&amp;(COUNTIFS($A$2:$A2583,$A2583,$E$2:$E2583,"INFRUCTUEUX")+COUNTIFS($A$2:$A2583,$A2583,$E$2:$E2583,"ANNULE")),""))</f>
        <v/>
      </c>
    </row>
    <row r="2584">
      <c r="A2584">
        <f>IF(ISBLANK('ENGAGEMENTS 2026'!B2584),"",IF('ENGAGEMENTS 2026'!B2584="DTSI","DCT",'ENGAGEMENTS 2026'!B2584))</f>
        <v/>
      </c>
      <c r="B2584">
        <f>IF(ISBLANK('ENGAGEMENTS 2026'!B2584),"",'ENGAGEMENTS 2026'!C2584)</f>
        <v/>
      </c>
      <c r="C2584">
        <f>IF(ISBLANK('ENGAGEMENTS 2026'!B2584),"",'ENGAGEMENTS 2026'!D2584)</f>
        <v/>
      </c>
      <c r="D2584">
        <f>IF(ISBLANK('ENGAGEMENTS 2026'!B2584),"",'ENGAGEMENTS 2026'!F2584)</f>
        <v/>
      </c>
      <c r="E2584">
        <f>IF(ISBLANK('ENGAGEMENTS 2026'!B2584),"",'ENGAGEMENTS 2026'!H2584)</f>
        <v/>
      </c>
      <c r="F2584">
        <f>IF(ISBLANK('ENGAGEMENTS 2026'!B2584),"",'ENGAGEMENTS 2026'!I2584)</f>
        <v/>
      </c>
      <c r="G2584">
        <f>IF(ISBLANK('ENGAGEMENTS 2026'!B2584),"",'ENGAGEMENTS 2026'!L2584)</f>
        <v/>
      </c>
      <c r="H2584">
        <f>IF(ISBLANK('ENGAGEMENTS 2026'!B2584),"",'ENGAGEMENTS 2026'!AE2584)</f>
        <v/>
      </c>
      <c r="I2584">
        <f>IF(ISBLANK('ENGAGEMENTS 2026'!B2584),"",'ENGAGEMENTS 2026'!G2584)</f>
        <v/>
      </c>
      <c r="J2584" s="275">
        <f>IF(ISBLANK('ENGAGEMENTS 2026'!B2584),"",IF(AND(OR($E2584="INFRUCTUEUX",$E2584="ANNULE"),$C2584="AOO-M"),'ENGAGEMENTS 2026'!O2584,IF($H2584="EN COURS DE PREENGAGEMENT",'ENGAGEMENTS 2026'!N2584,IF($H2584="PREENGAGE",IF($E2584="ATTRIBUE",'ENGAGEMENTS 2026'!AD2584,'ENGAGEMENTS 2026'!N2584),'ENGAGEMENTS 2026'!AD2584))))</f>
        <v/>
      </c>
      <c r="K2584" s="604">
        <f>IF(ISBLANK('ENGAGEMENTS 2026'!V2584),"",'ENGAGEMENTS 2026'!V2584)</f>
        <v/>
      </c>
      <c r="L2584" s="276">
        <f>IF($K2584="","",TODAY()-$K2584)</f>
        <v/>
      </c>
      <c r="M2584">
        <f>IF($A2584="","",IF($H2584="ENGAGE","Engagé",IF(AND($H2584="NON ENGAGE",OR($I2584="INFRUCTUEUX",$I2584="ANNULE")),"Clôturé sans suite","En cours")))</f>
        <v/>
      </c>
      <c r="N2584">
        <f>IF(ISBLANK('ENGAGEMENTS 2026'!B2584),"",'ENGAGEMENTS 2026'!K2584)</f>
        <v/>
      </c>
      <c r="O2584">
        <f>IF(ISBLANK('ENGAGEMENTS 2026'!B2584),"",'ENGAGEMENTS 2026'!L2584)</f>
        <v/>
      </c>
      <c r="P2584">
        <f>IF(ISBLANK('ENGAGEMENTS 2026'!B2584),"",'ENGAGEMENTS 2026'!J2584)</f>
        <v/>
      </c>
      <c r="Q2584">
        <f>IF($A2584="","",IF(OR($E2584="INFRUCTUEUX",$E2584="ANNULE"),$A2584&amp;"|"&amp;(COUNTIFS($A$2:$A2584,$A2584,$E$2:$E2584,"INFRUCTUEUX")+COUNTIFS($A$2:$A2584,$A2584,$E$2:$E2584,"ANNULE")),""))</f>
        <v/>
      </c>
    </row>
    <row r="2585">
      <c r="A2585">
        <f>IF(ISBLANK('ENGAGEMENTS 2026'!B2585),"",IF('ENGAGEMENTS 2026'!B2585="DTSI","DCT",'ENGAGEMENTS 2026'!B2585))</f>
        <v/>
      </c>
      <c r="B2585">
        <f>IF(ISBLANK('ENGAGEMENTS 2026'!B2585),"",'ENGAGEMENTS 2026'!C2585)</f>
        <v/>
      </c>
      <c r="C2585">
        <f>IF(ISBLANK('ENGAGEMENTS 2026'!B2585),"",'ENGAGEMENTS 2026'!D2585)</f>
        <v/>
      </c>
      <c r="D2585">
        <f>IF(ISBLANK('ENGAGEMENTS 2026'!B2585),"",'ENGAGEMENTS 2026'!F2585)</f>
        <v/>
      </c>
      <c r="E2585">
        <f>IF(ISBLANK('ENGAGEMENTS 2026'!B2585),"",'ENGAGEMENTS 2026'!H2585)</f>
        <v/>
      </c>
      <c r="F2585">
        <f>IF(ISBLANK('ENGAGEMENTS 2026'!B2585),"",'ENGAGEMENTS 2026'!I2585)</f>
        <v/>
      </c>
      <c r="G2585">
        <f>IF(ISBLANK('ENGAGEMENTS 2026'!B2585),"",'ENGAGEMENTS 2026'!L2585)</f>
        <v/>
      </c>
      <c r="H2585">
        <f>IF(ISBLANK('ENGAGEMENTS 2026'!B2585),"",'ENGAGEMENTS 2026'!AE2585)</f>
        <v/>
      </c>
      <c r="I2585">
        <f>IF(ISBLANK('ENGAGEMENTS 2026'!B2585),"",'ENGAGEMENTS 2026'!G2585)</f>
        <v/>
      </c>
      <c r="J2585" s="275">
        <f>IF(ISBLANK('ENGAGEMENTS 2026'!B2585),"",IF(AND(OR($E2585="INFRUCTUEUX",$E2585="ANNULE"),$C2585="AOO-M"),'ENGAGEMENTS 2026'!O2585,IF($H2585="EN COURS DE PREENGAGEMENT",'ENGAGEMENTS 2026'!N2585,IF($H2585="PREENGAGE",IF($E2585="ATTRIBUE",'ENGAGEMENTS 2026'!AD2585,'ENGAGEMENTS 2026'!N2585),'ENGAGEMENTS 2026'!AD2585))))</f>
        <v/>
      </c>
      <c r="K2585" s="604">
        <f>IF(ISBLANK('ENGAGEMENTS 2026'!V2585),"",'ENGAGEMENTS 2026'!V2585)</f>
        <v/>
      </c>
      <c r="L2585" s="276">
        <f>IF($K2585="","",TODAY()-$K2585)</f>
        <v/>
      </c>
      <c r="M2585">
        <f>IF($A2585="","",IF($H2585="ENGAGE","Engagé",IF(AND($H2585="NON ENGAGE",OR($I2585="INFRUCTUEUX",$I2585="ANNULE")),"Clôturé sans suite","En cours")))</f>
        <v/>
      </c>
      <c r="N2585">
        <f>IF(ISBLANK('ENGAGEMENTS 2026'!B2585),"",'ENGAGEMENTS 2026'!K2585)</f>
        <v/>
      </c>
      <c r="O2585">
        <f>IF(ISBLANK('ENGAGEMENTS 2026'!B2585),"",'ENGAGEMENTS 2026'!L2585)</f>
        <v/>
      </c>
      <c r="P2585">
        <f>IF(ISBLANK('ENGAGEMENTS 2026'!B2585),"",'ENGAGEMENTS 2026'!J2585)</f>
        <v/>
      </c>
      <c r="Q2585">
        <f>IF($A2585="","",IF(OR($E2585="INFRUCTUEUX",$E2585="ANNULE"),$A2585&amp;"|"&amp;(COUNTIFS($A$2:$A2585,$A2585,$E$2:$E2585,"INFRUCTUEUX")+COUNTIFS($A$2:$A2585,$A2585,$E$2:$E2585,"ANNULE")),""))</f>
        <v/>
      </c>
    </row>
    <row r="2586">
      <c r="A2586">
        <f>IF(ISBLANK('ENGAGEMENTS 2026'!B2586),"",IF('ENGAGEMENTS 2026'!B2586="DTSI","DCT",'ENGAGEMENTS 2026'!B2586))</f>
        <v/>
      </c>
      <c r="B2586">
        <f>IF(ISBLANK('ENGAGEMENTS 2026'!B2586),"",'ENGAGEMENTS 2026'!C2586)</f>
        <v/>
      </c>
      <c r="C2586">
        <f>IF(ISBLANK('ENGAGEMENTS 2026'!B2586),"",'ENGAGEMENTS 2026'!D2586)</f>
        <v/>
      </c>
      <c r="D2586">
        <f>IF(ISBLANK('ENGAGEMENTS 2026'!B2586),"",'ENGAGEMENTS 2026'!F2586)</f>
        <v/>
      </c>
      <c r="E2586">
        <f>IF(ISBLANK('ENGAGEMENTS 2026'!B2586),"",'ENGAGEMENTS 2026'!H2586)</f>
        <v/>
      </c>
      <c r="F2586">
        <f>IF(ISBLANK('ENGAGEMENTS 2026'!B2586),"",'ENGAGEMENTS 2026'!I2586)</f>
        <v/>
      </c>
      <c r="G2586">
        <f>IF(ISBLANK('ENGAGEMENTS 2026'!B2586),"",'ENGAGEMENTS 2026'!L2586)</f>
        <v/>
      </c>
      <c r="H2586">
        <f>IF(ISBLANK('ENGAGEMENTS 2026'!B2586),"",'ENGAGEMENTS 2026'!AE2586)</f>
        <v/>
      </c>
      <c r="I2586">
        <f>IF(ISBLANK('ENGAGEMENTS 2026'!B2586),"",'ENGAGEMENTS 2026'!G2586)</f>
        <v/>
      </c>
      <c r="J2586" s="275">
        <f>IF(ISBLANK('ENGAGEMENTS 2026'!B2586),"",IF(AND(OR($E2586="INFRUCTUEUX",$E2586="ANNULE"),$C2586="AOO-M"),'ENGAGEMENTS 2026'!O2586,IF($H2586="EN COURS DE PREENGAGEMENT",'ENGAGEMENTS 2026'!N2586,IF($H2586="PREENGAGE",IF($E2586="ATTRIBUE",'ENGAGEMENTS 2026'!AD2586,'ENGAGEMENTS 2026'!N2586),'ENGAGEMENTS 2026'!AD2586))))</f>
        <v/>
      </c>
      <c r="K2586" s="604">
        <f>IF(ISBLANK('ENGAGEMENTS 2026'!V2586),"",'ENGAGEMENTS 2026'!V2586)</f>
        <v/>
      </c>
      <c r="L2586" s="276">
        <f>IF($K2586="","",TODAY()-$K2586)</f>
        <v/>
      </c>
      <c r="M2586">
        <f>IF($A2586="","",IF($H2586="ENGAGE","Engagé",IF(AND($H2586="NON ENGAGE",OR($I2586="INFRUCTUEUX",$I2586="ANNULE")),"Clôturé sans suite","En cours")))</f>
        <v/>
      </c>
      <c r="N2586">
        <f>IF(ISBLANK('ENGAGEMENTS 2026'!B2586),"",'ENGAGEMENTS 2026'!K2586)</f>
        <v/>
      </c>
      <c r="O2586">
        <f>IF(ISBLANK('ENGAGEMENTS 2026'!B2586),"",'ENGAGEMENTS 2026'!L2586)</f>
        <v/>
      </c>
      <c r="P2586">
        <f>IF(ISBLANK('ENGAGEMENTS 2026'!B2586),"",'ENGAGEMENTS 2026'!J2586)</f>
        <v/>
      </c>
      <c r="Q2586">
        <f>IF($A2586="","",IF(OR($E2586="INFRUCTUEUX",$E2586="ANNULE"),$A2586&amp;"|"&amp;(COUNTIFS($A$2:$A2586,$A2586,$E$2:$E2586,"INFRUCTUEUX")+COUNTIFS($A$2:$A2586,$A2586,$E$2:$E2586,"ANNULE")),""))</f>
        <v/>
      </c>
    </row>
    <row r="2587">
      <c r="A2587">
        <f>IF(ISBLANK('ENGAGEMENTS 2026'!B2587),"",IF('ENGAGEMENTS 2026'!B2587="DTSI","DCT",'ENGAGEMENTS 2026'!B2587))</f>
        <v/>
      </c>
      <c r="B2587">
        <f>IF(ISBLANK('ENGAGEMENTS 2026'!B2587),"",'ENGAGEMENTS 2026'!C2587)</f>
        <v/>
      </c>
      <c r="C2587">
        <f>IF(ISBLANK('ENGAGEMENTS 2026'!B2587),"",'ENGAGEMENTS 2026'!D2587)</f>
        <v/>
      </c>
      <c r="D2587">
        <f>IF(ISBLANK('ENGAGEMENTS 2026'!B2587),"",'ENGAGEMENTS 2026'!F2587)</f>
        <v/>
      </c>
      <c r="E2587">
        <f>IF(ISBLANK('ENGAGEMENTS 2026'!B2587),"",'ENGAGEMENTS 2026'!H2587)</f>
        <v/>
      </c>
      <c r="F2587">
        <f>IF(ISBLANK('ENGAGEMENTS 2026'!B2587),"",'ENGAGEMENTS 2026'!I2587)</f>
        <v/>
      </c>
      <c r="G2587">
        <f>IF(ISBLANK('ENGAGEMENTS 2026'!B2587),"",'ENGAGEMENTS 2026'!L2587)</f>
        <v/>
      </c>
      <c r="H2587">
        <f>IF(ISBLANK('ENGAGEMENTS 2026'!B2587),"",'ENGAGEMENTS 2026'!AE2587)</f>
        <v/>
      </c>
      <c r="I2587">
        <f>IF(ISBLANK('ENGAGEMENTS 2026'!B2587),"",'ENGAGEMENTS 2026'!G2587)</f>
        <v/>
      </c>
      <c r="J2587" s="275">
        <f>IF(ISBLANK('ENGAGEMENTS 2026'!B2587),"",IF(AND(OR($E2587="INFRUCTUEUX",$E2587="ANNULE"),$C2587="AOO-M"),'ENGAGEMENTS 2026'!O2587,IF($H2587="EN COURS DE PREENGAGEMENT",'ENGAGEMENTS 2026'!N2587,IF($H2587="PREENGAGE",IF($E2587="ATTRIBUE",'ENGAGEMENTS 2026'!AD2587,'ENGAGEMENTS 2026'!N2587),'ENGAGEMENTS 2026'!AD2587))))</f>
        <v/>
      </c>
      <c r="K2587" s="604">
        <f>IF(ISBLANK('ENGAGEMENTS 2026'!V2587),"",'ENGAGEMENTS 2026'!V2587)</f>
        <v/>
      </c>
      <c r="L2587" s="276">
        <f>IF($K2587="","",TODAY()-$K2587)</f>
        <v/>
      </c>
      <c r="M2587">
        <f>IF($A2587="","",IF($H2587="ENGAGE","Engagé",IF(AND($H2587="NON ENGAGE",OR($I2587="INFRUCTUEUX",$I2587="ANNULE")),"Clôturé sans suite","En cours")))</f>
        <v/>
      </c>
      <c r="N2587">
        <f>IF(ISBLANK('ENGAGEMENTS 2026'!B2587),"",'ENGAGEMENTS 2026'!K2587)</f>
        <v/>
      </c>
      <c r="O2587">
        <f>IF(ISBLANK('ENGAGEMENTS 2026'!B2587),"",'ENGAGEMENTS 2026'!L2587)</f>
        <v/>
      </c>
      <c r="P2587">
        <f>IF(ISBLANK('ENGAGEMENTS 2026'!B2587),"",'ENGAGEMENTS 2026'!J2587)</f>
        <v/>
      </c>
      <c r="Q2587">
        <f>IF($A2587="","",IF(OR($E2587="INFRUCTUEUX",$E2587="ANNULE"),$A2587&amp;"|"&amp;(COUNTIFS($A$2:$A2587,$A2587,$E$2:$E2587,"INFRUCTUEUX")+COUNTIFS($A$2:$A2587,$A2587,$E$2:$E2587,"ANNULE")),""))</f>
        <v/>
      </c>
    </row>
    <row r="2588">
      <c r="A2588">
        <f>IF(ISBLANK('ENGAGEMENTS 2026'!B2588),"",IF('ENGAGEMENTS 2026'!B2588="DTSI","DCT",'ENGAGEMENTS 2026'!B2588))</f>
        <v/>
      </c>
      <c r="B2588">
        <f>IF(ISBLANK('ENGAGEMENTS 2026'!B2588),"",'ENGAGEMENTS 2026'!C2588)</f>
        <v/>
      </c>
      <c r="C2588">
        <f>IF(ISBLANK('ENGAGEMENTS 2026'!B2588),"",'ENGAGEMENTS 2026'!D2588)</f>
        <v/>
      </c>
      <c r="D2588">
        <f>IF(ISBLANK('ENGAGEMENTS 2026'!B2588),"",'ENGAGEMENTS 2026'!F2588)</f>
        <v/>
      </c>
      <c r="E2588">
        <f>IF(ISBLANK('ENGAGEMENTS 2026'!B2588),"",'ENGAGEMENTS 2026'!H2588)</f>
        <v/>
      </c>
      <c r="F2588">
        <f>IF(ISBLANK('ENGAGEMENTS 2026'!B2588),"",'ENGAGEMENTS 2026'!I2588)</f>
        <v/>
      </c>
      <c r="G2588">
        <f>IF(ISBLANK('ENGAGEMENTS 2026'!B2588),"",'ENGAGEMENTS 2026'!L2588)</f>
        <v/>
      </c>
      <c r="H2588">
        <f>IF(ISBLANK('ENGAGEMENTS 2026'!B2588),"",'ENGAGEMENTS 2026'!AE2588)</f>
        <v/>
      </c>
      <c r="I2588">
        <f>IF(ISBLANK('ENGAGEMENTS 2026'!B2588),"",'ENGAGEMENTS 2026'!G2588)</f>
        <v/>
      </c>
      <c r="J2588" s="275">
        <f>IF(ISBLANK('ENGAGEMENTS 2026'!B2588),"",IF(AND(OR($E2588="INFRUCTUEUX",$E2588="ANNULE"),$C2588="AOO-M"),'ENGAGEMENTS 2026'!O2588,IF($H2588="EN COURS DE PREENGAGEMENT",'ENGAGEMENTS 2026'!N2588,IF($H2588="PREENGAGE",IF($E2588="ATTRIBUE",'ENGAGEMENTS 2026'!AD2588,'ENGAGEMENTS 2026'!N2588),'ENGAGEMENTS 2026'!AD2588))))</f>
        <v/>
      </c>
      <c r="K2588" s="604">
        <f>IF(ISBLANK('ENGAGEMENTS 2026'!V2588),"",'ENGAGEMENTS 2026'!V2588)</f>
        <v/>
      </c>
      <c r="L2588" s="276">
        <f>IF($K2588="","",TODAY()-$K2588)</f>
        <v/>
      </c>
      <c r="M2588">
        <f>IF($A2588="","",IF($H2588="ENGAGE","Engagé",IF(AND($H2588="NON ENGAGE",OR($I2588="INFRUCTUEUX",$I2588="ANNULE")),"Clôturé sans suite","En cours")))</f>
        <v/>
      </c>
      <c r="N2588">
        <f>IF(ISBLANK('ENGAGEMENTS 2026'!B2588),"",'ENGAGEMENTS 2026'!K2588)</f>
        <v/>
      </c>
      <c r="O2588">
        <f>IF(ISBLANK('ENGAGEMENTS 2026'!B2588),"",'ENGAGEMENTS 2026'!L2588)</f>
        <v/>
      </c>
      <c r="P2588">
        <f>IF(ISBLANK('ENGAGEMENTS 2026'!B2588),"",'ENGAGEMENTS 2026'!J2588)</f>
        <v/>
      </c>
      <c r="Q2588">
        <f>IF($A2588="","",IF(OR($E2588="INFRUCTUEUX",$E2588="ANNULE"),$A2588&amp;"|"&amp;(COUNTIFS($A$2:$A2588,$A2588,$E$2:$E2588,"INFRUCTUEUX")+COUNTIFS($A$2:$A2588,$A2588,$E$2:$E2588,"ANNULE")),""))</f>
        <v/>
      </c>
    </row>
    <row r="2589">
      <c r="A2589">
        <f>IF(ISBLANK('ENGAGEMENTS 2026'!B2589),"",IF('ENGAGEMENTS 2026'!B2589="DTSI","DCT",'ENGAGEMENTS 2026'!B2589))</f>
        <v/>
      </c>
      <c r="B2589">
        <f>IF(ISBLANK('ENGAGEMENTS 2026'!B2589),"",'ENGAGEMENTS 2026'!C2589)</f>
        <v/>
      </c>
      <c r="C2589">
        <f>IF(ISBLANK('ENGAGEMENTS 2026'!B2589),"",'ENGAGEMENTS 2026'!D2589)</f>
        <v/>
      </c>
      <c r="D2589">
        <f>IF(ISBLANK('ENGAGEMENTS 2026'!B2589),"",'ENGAGEMENTS 2026'!F2589)</f>
        <v/>
      </c>
      <c r="E2589">
        <f>IF(ISBLANK('ENGAGEMENTS 2026'!B2589),"",'ENGAGEMENTS 2026'!H2589)</f>
        <v/>
      </c>
      <c r="F2589">
        <f>IF(ISBLANK('ENGAGEMENTS 2026'!B2589),"",'ENGAGEMENTS 2026'!I2589)</f>
        <v/>
      </c>
      <c r="G2589">
        <f>IF(ISBLANK('ENGAGEMENTS 2026'!B2589),"",'ENGAGEMENTS 2026'!L2589)</f>
        <v/>
      </c>
      <c r="H2589">
        <f>IF(ISBLANK('ENGAGEMENTS 2026'!B2589),"",'ENGAGEMENTS 2026'!AE2589)</f>
        <v/>
      </c>
      <c r="I2589">
        <f>IF(ISBLANK('ENGAGEMENTS 2026'!B2589),"",'ENGAGEMENTS 2026'!G2589)</f>
        <v/>
      </c>
      <c r="J2589" s="275">
        <f>IF(ISBLANK('ENGAGEMENTS 2026'!B2589),"",IF(AND(OR($E2589="INFRUCTUEUX",$E2589="ANNULE"),$C2589="AOO-M"),'ENGAGEMENTS 2026'!O2589,IF($H2589="EN COURS DE PREENGAGEMENT",'ENGAGEMENTS 2026'!N2589,IF($H2589="PREENGAGE",IF($E2589="ATTRIBUE",'ENGAGEMENTS 2026'!AD2589,'ENGAGEMENTS 2026'!N2589),'ENGAGEMENTS 2026'!AD2589))))</f>
        <v/>
      </c>
      <c r="K2589" s="604">
        <f>IF(ISBLANK('ENGAGEMENTS 2026'!V2589),"",'ENGAGEMENTS 2026'!V2589)</f>
        <v/>
      </c>
      <c r="L2589" s="276">
        <f>IF($K2589="","",TODAY()-$K2589)</f>
        <v/>
      </c>
      <c r="M2589">
        <f>IF($A2589="","",IF($H2589="ENGAGE","Engagé",IF(AND($H2589="NON ENGAGE",OR($I2589="INFRUCTUEUX",$I2589="ANNULE")),"Clôturé sans suite","En cours")))</f>
        <v/>
      </c>
      <c r="N2589">
        <f>IF(ISBLANK('ENGAGEMENTS 2026'!B2589),"",'ENGAGEMENTS 2026'!K2589)</f>
        <v/>
      </c>
      <c r="O2589">
        <f>IF(ISBLANK('ENGAGEMENTS 2026'!B2589),"",'ENGAGEMENTS 2026'!L2589)</f>
        <v/>
      </c>
      <c r="P2589">
        <f>IF(ISBLANK('ENGAGEMENTS 2026'!B2589),"",'ENGAGEMENTS 2026'!J2589)</f>
        <v/>
      </c>
      <c r="Q2589">
        <f>IF($A2589="","",IF(OR($E2589="INFRUCTUEUX",$E2589="ANNULE"),$A2589&amp;"|"&amp;(COUNTIFS($A$2:$A2589,$A2589,$E$2:$E2589,"INFRUCTUEUX")+COUNTIFS($A$2:$A2589,$A2589,$E$2:$E2589,"ANNULE")),""))</f>
        <v/>
      </c>
    </row>
    <row r="2590">
      <c r="A2590">
        <f>IF(ISBLANK('ENGAGEMENTS 2026'!B2590),"",IF('ENGAGEMENTS 2026'!B2590="DTSI","DCT",'ENGAGEMENTS 2026'!B2590))</f>
        <v/>
      </c>
      <c r="B2590">
        <f>IF(ISBLANK('ENGAGEMENTS 2026'!B2590),"",'ENGAGEMENTS 2026'!C2590)</f>
        <v/>
      </c>
      <c r="C2590">
        <f>IF(ISBLANK('ENGAGEMENTS 2026'!B2590),"",'ENGAGEMENTS 2026'!D2590)</f>
        <v/>
      </c>
      <c r="D2590">
        <f>IF(ISBLANK('ENGAGEMENTS 2026'!B2590),"",'ENGAGEMENTS 2026'!F2590)</f>
        <v/>
      </c>
      <c r="E2590">
        <f>IF(ISBLANK('ENGAGEMENTS 2026'!B2590),"",'ENGAGEMENTS 2026'!H2590)</f>
        <v/>
      </c>
      <c r="F2590">
        <f>IF(ISBLANK('ENGAGEMENTS 2026'!B2590),"",'ENGAGEMENTS 2026'!I2590)</f>
        <v/>
      </c>
      <c r="G2590">
        <f>IF(ISBLANK('ENGAGEMENTS 2026'!B2590),"",'ENGAGEMENTS 2026'!L2590)</f>
        <v/>
      </c>
      <c r="H2590">
        <f>IF(ISBLANK('ENGAGEMENTS 2026'!B2590),"",'ENGAGEMENTS 2026'!AE2590)</f>
        <v/>
      </c>
      <c r="I2590">
        <f>IF(ISBLANK('ENGAGEMENTS 2026'!B2590),"",'ENGAGEMENTS 2026'!G2590)</f>
        <v/>
      </c>
      <c r="J2590" s="275">
        <f>IF(ISBLANK('ENGAGEMENTS 2026'!B2590),"",IF(AND(OR($E2590="INFRUCTUEUX",$E2590="ANNULE"),$C2590="AOO-M"),'ENGAGEMENTS 2026'!O2590,IF($H2590="EN COURS DE PREENGAGEMENT",'ENGAGEMENTS 2026'!N2590,IF($H2590="PREENGAGE",IF($E2590="ATTRIBUE",'ENGAGEMENTS 2026'!AD2590,'ENGAGEMENTS 2026'!N2590),'ENGAGEMENTS 2026'!AD2590))))</f>
        <v/>
      </c>
      <c r="K2590" s="604">
        <f>IF(ISBLANK('ENGAGEMENTS 2026'!V2590),"",'ENGAGEMENTS 2026'!V2590)</f>
        <v/>
      </c>
      <c r="L2590" s="276">
        <f>IF($K2590="","",TODAY()-$K2590)</f>
        <v/>
      </c>
      <c r="M2590">
        <f>IF($A2590="","",IF($H2590="ENGAGE","Engagé",IF(AND($H2590="NON ENGAGE",OR($I2590="INFRUCTUEUX",$I2590="ANNULE")),"Clôturé sans suite","En cours")))</f>
        <v/>
      </c>
      <c r="N2590">
        <f>IF(ISBLANK('ENGAGEMENTS 2026'!B2590),"",'ENGAGEMENTS 2026'!K2590)</f>
        <v/>
      </c>
      <c r="O2590">
        <f>IF(ISBLANK('ENGAGEMENTS 2026'!B2590),"",'ENGAGEMENTS 2026'!L2590)</f>
        <v/>
      </c>
      <c r="P2590">
        <f>IF(ISBLANK('ENGAGEMENTS 2026'!B2590),"",'ENGAGEMENTS 2026'!J2590)</f>
        <v/>
      </c>
      <c r="Q2590">
        <f>IF($A2590="","",IF(OR($E2590="INFRUCTUEUX",$E2590="ANNULE"),$A2590&amp;"|"&amp;(COUNTIFS($A$2:$A2590,$A2590,$E$2:$E2590,"INFRUCTUEUX")+COUNTIFS($A$2:$A2590,$A2590,$E$2:$E2590,"ANNULE")),""))</f>
        <v/>
      </c>
    </row>
    <row r="2591">
      <c r="A2591">
        <f>IF(ISBLANK('ENGAGEMENTS 2026'!B2591),"",IF('ENGAGEMENTS 2026'!B2591="DTSI","DCT",'ENGAGEMENTS 2026'!B2591))</f>
        <v/>
      </c>
      <c r="B2591">
        <f>IF(ISBLANK('ENGAGEMENTS 2026'!B2591),"",'ENGAGEMENTS 2026'!C2591)</f>
        <v/>
      </c>
      <c r="C2591">
        <f>IF(ISBLANK('ENGAGEMENTS 2026'!B2591),"",'ENGAGEMENTS 2026'!D2591)</f>
        <v/>
      </c>
      <c r="D2591">
        <f>IF(ISBLANK('ENGAGEMENTS 2026'!B2591),"",'ENGAGEMENTS 2026'!F2591)</f>
        <v/>
      </c>
      <c r="E2591">
        <f>IF(ISBLANK('ENGAGEMENTS 2026'!B2591),"",'ENGAGEMENTS 2026'!H2591)</f>
        <v/>
      </c>
      <c r="F2591">
        <f>IF(ISBLANK('ENGAGEMENTS 2026'!B2591),"",'ENGAGEMENTS 2026'!I2591)</f>
        <v/>
      </c>
      <c r="G2591">
        <f>IF(ISBLANK('ENGAGEMENTS 2026'!B2591),"",'ENGAGEMENTS 2026'!L2591)</f>
        <v/>
      </c>
      <c r="H2591">
        <f>IF(ISBLANK('ENGAGEMENTS 2026'!B2591),"",'ENGAGEMENTS 2026'!AE2591)</f>
        <v/>
      </c>
      <c r="I2591">
        <f>IF(ISBLANK('ENGAGEMENTS 2026'!B2591),"",'ENGAGEMENTS 2026'!G2591)</f>
        <v/>
      </c>
      <c r="J2591" s="275">
        <f>IF(ISBLANK('ENGAGEMENTS 2026'!B2591),"",IF(AND(OR($E2591="INFRUCTUEUX",$E2591="ANNULE"),$C2591="AOO-M"),'ENGAGEMENTS 2026'!O2591,IF($H2591="EN COURS DE PREENGAGEMENT",'ENGAGEMENTS 2026'!N2591,IF($H2591="PREENGAGE",IF($E2591="ATTRIBUE",'ENGAGEMENTS 2026'!AD2591,'ENGAGEMENTS 2026'!N2591),'ENGAGEMENTS 2026'!AD2591))))</f>
        <v/>
      </c>
      <c r="K2591" s="604">
        <f>IF(ISBLANK('ENGAGEMENTS 2026'!V2591),"",'ENGAGEMENTS 2026'!V2591)</f>
        <v/>
      </c>
      <c r="L2591" s="276">
        <f>IF($K2591="","",TODAY()-$K2591)</f>
        <v/>
      </c>
      <c r="M2591">
        <f>IF($A2591="","",IF($H2591="ENGAGE","Engagé",IF(AND($H2591="NON ENGAGE",OR($I2591="INFRUCTUEUX",$I2591="ANNULE")),"Clôturé sans suite","En cours")))</f>
        <v/>
      </c>
      <c r="N2591">
        <f>IF(ISBLANK('ENGAGEMENTS 2026'!B2591),"",'ENGAGEMENTS 2026'!K2591)</f>
        <v/>
      </c>
      <c r="O2591">
        <f>IF(ISBLANK('ENGAGEMENTS 2026'!B2591),"",'ENGAGEMENTS 2026'!L2591)</f>
        <v/>
      </c>
      <c r="P2591">
        <f>IF(ISBLANK('ENGAGEMENTS 2026'!B2591),"",'ENGAGEMENTS 2026'!J2591)</f>
        <v/>
      </c>
      <c r="Q2591">
        <f>IF($A2591="","",IF(OR($E2591="INFRUCTUEUX",$E2591="ANNULE"),$A2591&amp;"|"&amp;(COUNTIFS($A$2:$A2591,$A2591,$E$2:$E2591,"INFRUCTUEUX")+COUNTIFS($A$2:$A2591,$A2591,$E$2:$E2591,"ANNULE")),""))</f>
        <v/>
      </c>
    </row>
    <row r="2592">
      <c r="A2592">
        <f>IF(ISBLANK('ENGAGEMENTS 2026'!B2592),"",IF('ENGAGEMENTS 2026'!B2592="DTSI","DCT",'ENGAGEMENTS 2026'!B2592))</f>
        <v/>
      </c>
      <c r="B2592">
        <f>IF(ISBLANK('ENGAGEMENTS 2026'!B2592),"",'ENGAGEMENTS 2026'!C2592)</f>
        <v/>
      </c>
      <c r="C2592">
        <f>IF(ISBLANK('ENGAGEMENTS 2026'!B2592),"",'ENGAGEMENTS 2026'!D2592)</f>
        <v/>
      </c>
      <c r="D2592">
        <f>IF(ISBLANK('ENGAGEMENTS 2026'!B2592),"",'ENGAGEMENTS 2026'!F2592)</f>
        <v/>
      </c>
      <c r="E2592">
        <f>IF(ISBLANK('ENGAGEMENTS 2026'!B2592),"",'ENGAGEMENTS 2026'!H2592)</f>
        <v/>
      </c>
      <c r="F2592">
        <f>IF(ISBLANK('ENGAGEMENTS 2026'!B2592),"",'ENGAGEMENTS 2026'!I2592)</f>
        <v/>
      </c>
      <c r="G2592">
        <f>IF(ISBLANK('ENGAGEMENTS 2026'!B2592),"",'ENGAGEMENTS 2026'!L2592)</f>
        <v/>
      </c>
      <c r="H2592">
        <f>IF(ISBLANK('ENGAGEMENTS 2026'!B2592),"",'ENGAGEMENTS 2026'!AE2592)</f>
        <v/>
      </c>
      <c r="I2592">
        <f>IF(ISBLANK('ENGAGEMENTS 2026'!B2592),"",'ENGAGEMENTS 2026'!G2592)</f>
        <v/>
      </c>
      <c r="J2592" s="275">
        <f>IF(ISBLANK('ENGAGEMENTS 2026'!B2592),"",IF(AND(OR($E2592="INFRUCTUEUX",$E2592="ANNULE"),$C2592="AOO-M"),'ENGAGEMENTS 2026'!O2592,IF($H2592="EN COURS DE PREENGAGEMENT",'ENGAGEMENTS 2026'!N2592,IF($H2592="PREENGAGE",IF($E2592="ATTRIBUE",'ENGAGEMENTS 2026'!AD2592,'ENGAGEMENTS 2026'!N2592),'ENGAGEMENTS 2026'!AD2592))))</f>
        <v/>
      </c>
      <c r="K2592" s="604">
        <f>IF(ISBLANK('ENGAGEMENTS 2026'!V2592),"",'ENGAGEMENTS 2026'!V2592)</f>
        <v/>
      </c>
      <c r="L2592" s="276">
        <f>IF($K2592="","",TODAY()-$K2592)</f>
        <v/>
      </c>
      <c r="M2592">
        <f>IF($A2592="","",IF($H2592="ENGAGE","Engagé",IF(AND($H2592="NON ENGAGE",OR($I2592="INFRUCTUEUX",$I2592="ANNULE")),"Clôturé sans suite","En cours")))</f>
        <v/>
      </c>
      <c r="N2592">
        <f>IF(ISBLANK('ENGAGEMENTS 2026'!B2592),"",'ENGAGEMENTS 2026'!K2592)</f>
        <v/>
      </c>
      <c r="O2592">
        <f>IF(ISBLANK('ENGAGEMENTS 2026'!B2592),"",'ENGAGEMENTS 2026'!L2592)</f>
        <v/>
      </c>
      <c r="P2592">
        <f>IF(ISBLANK('ENGAGEMENTS 2026'!B2592),"",'ENGAGEMENTS 2026'!J2592)</f>
        <v/>
      </c>
      <c r="Q2592">
        <f>IF($A2592="","",IF(OR($E2592="INFRUCTUEUX",$E2592="ANNULE"),$A2592&amp;"|"&amp;(COUNTIFS($A$2:$A2592,$A2592,$E$2:$E2592,"INFRUCTUEUX")+COUNTIFS($A$2:$A2592,$A2592,$E$2:$E2592,"ANNULE")),""))</f>
        <v/>
      </c>
    </row>
    <row r="2593">
      <c r="A2593">
        <f>IF(ISBLANK('ENGAGEMENTS 2026'!B2593),"",IF('ENGAGEMENTS 2026'!B2593="DTSI","DCT",'ENGAGEMENTS 2026'!B2593))</f>
        <v/>
      </c>
      <c r="B2593">
        <f>IF(ISBLANK('ENGAGEMENTS 2026'!B2593),"",'ENGAGEMENTS 2026'!C2593)</f>
        <v/>
      </c>
      <c r="C2593">
        <f>IF(ISBLANK('ENGAGEMENTS 2026'!B2593),"",'ENGAGEMENTS 2026'!D2593)</f>
        <v/>
      </c>
      <c r="D2593">
        <f>IF(ISBLANK('ENGAGEMENTS 2026'!B2593),"",'ENGAGEMENTS 2026'!F2593)</f>
        <v/>
      </c>
      <c r="E2593">
        <f>IF(ISBLANK('ENGAGEMENTS 2026'!B2593),"",'ENGAGEMENTS 2026'!H2593)</f>
        <v/>
      </c>
      <c r="F2593">
        <f>IF(ISBLANK('ENGAGEMENTS 2026'!B2593),"",'ENGAGEMENTS 2026'!I2593)</f>
        <v/>
      </c>
      <c r="G2593">
        <f>IF(ISBLANK('ENGAGEMENTS 2026'!B2593),"",'ENGAGEMENTS 2026'!L2593)</f>
        <v/>
      </c>
      <c r="H2593">
        <f>IF(ISBLANK('ENGAGEMENTS 2026'!B2593),"",'ENGAGEMENTS 2026'!AE2593)</f>
        <v/>
      </c>
      <c r="I2593">
        <f>IF(ISBLANK('ENGAGEMENTS 2026'!B2593),"",'ENGAGEMENTS 2026'!G2593)</f>
        <v/>
      </c>
      <c r="J2593" s="275">
        <f>IF(ISBLANK('ENGAGEMENTS 2026'!B2593),"",IF(AND(OR($E2593="INFRUCTUEUX",$E2593="ANNULE"),$C2593="AOO-M"),'ENGAGEMENTS 2026'!O2593,IF($H2593="EN COURS DE PREENGAGEMENT",'ENGAGEMENTS 2026'!N2593,IF($H2593="PREENGAGE",IF($E2593="ATTRIBUE",'ENGAGEMENTS 2026'!AD2593,'ENGAGEMENTS 2026'!N2593),'ENGAGEMENTS 2026'!AD2593))))</f>
        <v/>
      </c>
      <c r="K2593" s="604">
        <f>IF(ISBLANK('ENGAGEMENTS 2026'!V2593),"",'ENGAGEMENTS 2026'!V2593)</f>
        <v/>
      </c>
      <c r="L2593" s="276">
        <f>IF($K2593="","",TODAY()-$K2593)</f>
        <v/>
      </c>
      <c r="M2593">
        <f>IF($A2593="","",IF($H2593="ENGAGE","Engagé",IF(AND($H2593="NON ENGAGE",OR($I2593="INFRUCTUEUX",$I2593="ANNULE")),"Clôturé sans suite","En cours")))</f>
        <v/>
      </c>
      <c r="N2593">
        <f>IF(ISBLANK('ENGAGEMENTS 2026'!B2593),"",'ENGAGEMENTS 2026'!K2593)</f>
        <v/>
      </c>
      <c r="O2593">
        <f>IF(ISBLANK('ENGAGEMENTS 2026'!B2593),"",'ENGAGEMENTS 2026'!L2593)</f>
        <v/>
      </c>
      <c r="P2593">
        <f>IF(ISBLANK('ENGAGEMENTS 2026'!B2593),"",'ENGAGEMENTS 2026'!J2593)</f>
        <v/>
      </c>
      <c r="Q2593">
        <f>IF($A2593="","",IF(OR($E2593="INFRUCTUEUX",$E2593="ANNULE"),$A2593&amp;"|"&amp;(COUNTIFS($A$2:$A2593,$A2593,$E$2:$E2593,"INFRUCTUEUX")+COUNTIFS($A$2:$A2593,$A2593,$E$2:$E2593,"ANNULE")),""))</f>
        <v/>
      </c>
    </row>
    <row r="2594">
      <c r="A2594">
        <f>IF(ISBLANK('ENGAGEMENTS 2026'!B2594),"",IF('ENGAGEMENTS 2026'!B2594="DTSI","DCT",'ENGAGEMENTS 2026'!B2594))</f>
        <v/>
      </c>
      <c r="B2594">
        <f>IF(ISBLANK('ENGAGEMENTS 2026'!B2594),"",'ENGAGEMENTS 2026'!C2594)</f>
        <v/>
      </c>
      <c r="C2594">
        <f>IF(ISBLANK('ENGAGEMENTS 2026'!B2594),"",'ENGAGEMENTS 2026'!D2594)</f>
        <v/>
      </c>
      <c r="D2594">
        <f>IF(ISBLANK('ENGAGEMENTS 2026'!B2594),"",'ENGAGEMENTS 2026'!F2594)</f>
        <v/>
      </c>
      <c r="E2594">
        <f>IF(ISBLANK('ENGAGEMENTS 2026'!B2594),"",'ENGAGEMENTS 2026'!H2594)</f>
        <v/>
      </c>
      <c r="F2594">
        <f>IF(ISBLANK('ENGAGEMENTS 2026'!B2594),"",'ENGAGEMENTS 2026'!I2594)</f>
        <v/>
      </c>
      <c r="G2594">
        <f>IF(ISBLANK('ENGAGEMENTS 2026'!B2594),"",'ENGAGEMENTS 2026'!L2594)</f>
        <v/>
      </c>
      <c r="H2594">
        <f>IF(ISBLANK('ENGAGEMENTS 2026'!B2594),"",'ENGAGEMENTS 2026'!AE2594)</f>
        <v/>
      </c>
      <c r="I2594">
        <f>IF(ISBLANK('ENGAGEMENTS 2026'!B2594),"",'ENGAGEMENTS 2026'!G2594)</f>
        <v/>
      </c>
      <c r="J2594" s="275">
        <f>IF(ISBLANK('ENGAGEMENTS 2026'!B2594),"",IF(AND(OR($E2594="INFRUCTUEUX",$E2594="ANNULE"),$C2594="AOO-M"),'ENGAGEMENTS 2026'!O2594,IF($H2594="EN COURS DE PREENGAGEMENT",'ENGAGEMENTS 2026'!N2594,IF($H2594="PREENGAGE",IF($E2594="ATTRIBUE",'ENGAGEMENTS 2026'!AD2594,'ENGAGEMENTS 2026'!N2594),'ENGAGEMENTS 2026'!AD2594))))</f>
        <v/>
      </c>
      <c r="K2594" s="604">
        <f>IF(ISBLANK('ENGAGEMENTS 2026'!V2594),"",'ENGAGEMENTS 2026'!V2594)</f>
        <v/>
      </c>
      <c r="L2594" s="276">
        <f>IF($K2594="","",TODAY()-$K2594)</f>
        <v/>
      </c>
      <c r="M2594">
        <f>IF($A2594="","",IF($H2594="ENGAGE","Engagé",IF(AND($H2594="NON ENGAGE",OR($I2594="INFRUCTUEUX",$I2594="ANNULE")),"Clôturé sans suite","En cours")))</f>
        <v/>
      </c>
      <c r="N2594">
        <f>IF(ISBLANK('ENGAGEMENTS 2026'!B2594),"",'ENGAGEMENTS 2026'!K2594)</f>
        <v/>
      </c>
      <c r="O2594">
        <f>IF(ISBLANK('ENGAGEMENTS 2026'!B2594),"",'ENGAGEMENTS 2026'!L2594)</f>
        <v/>
      </c>
      <c r="P2594">
        <f>IF(ISBLANK('ENGAGEMENTS 2026'!B2594),"",'ENGAGEMENTS 2026'!J2594)</f>
        <v/>
      </c>
      <c r="Q2594">
        <f>IF($A2594="","",IF(OR($E2594="INFRUCTUEUX",$E2594="ANNULE"),$A2594&amp;"|"&amp;(COUNTIFS($A$2:$A2594,$A2594,$E$2:$E2594,"INFRUCTUEUX")+COUNTIFS($A$2:$A2594,$A2594,$E$2:$E2594,"ANNULE")),""))</f>
        <v/>
      </c>
    </row>
    <row r="2595">
      <c r="A2595">
        <f>IF(ISBLANK('ENGAGEMENTS 2026'!B2595),"",IF('ENGAGEMENTS 2026'!B2595="DTSI","DCT",'ENGAGEMENTS 2026'!B2595))</f>
        <v/>
      </c>
      <c r="B2595">
        <f>IF(ISBLANK('ENGAGEMENTS 2026'!B2595),"",'ENGAGEMENTS 2026'!C2595)</f>
        <v/>
      </c>
      <c r="C2595">
        <f>IF(ISBLANK('ENGAGEMENTS 2026'!B2595),"",'ENGAGEMENTS 2026'!D2595)</f>
        <v/>
      </c>
      <c r="D2595">
        <f>IF(ISBLANK('ENGAGEMENTS 2026'!B2595),"",'ENGAGEMENTS 2026'!F2595)</f>
        <v/>
      </c>
      <c r="E2595">
        <f>IF(ISBLANK('ENGAGEMENTS 2026'!B2595),"",'ENGAGEMENTS 2026'!H2595)</f>
        <v/>
      </c>
      <c r="F2595">
        <f>IF(ISBLANK('ENGAGEMENTS 2026'!B2595),"",'ENGAGEMENTS 2026'!I2595)</f>
        <v/>
      </c>
      <c r="G2595">
        <f>IF(ISBLANK('ENGAGEMENTS 2026'!B2595),"",'ENGAGEMENTS 2026'!L2595)</f>
        <v/>
      </c>
      <c r="H2595">
        <f>IF(ISBLANK('ENGAGEMENTS 2026'!B2595),"",'ENGAGEMENTS 2026'!AE2595)</f>
        <v/>
      </c>
      <c r="I2595">
        <f>IF(ISBLANK('ENGAGEMENTS 2026'!B2595),"",'ENGAGEMENTS 2026'!G2595)</f>
        <v/>
      </c>
      <c r="J2595" s="275">
        <f>IF(ISBLANK('ENGAGEMENTS 2026'!B2595),"",IF(AND(OR($E2595="INFRUCTUEUX",$E2595="ANNULE"),$C2595="AOO-M"),'ENGAGEMENTS 2026'!O2595,IF($H2595="EN COURS DE PREENGAGEMENT",'ENGAGEMENTS 2026'!N2595,IF($H2595="PREENGAGE",IF($E2595="ATTRIBUE",'ENGAGEMENTS 2026'!AD2595,'ENGAGEMENTS 2026'!N2595),'ENGAGEMENTS 2026'!AD2595))))</f>
        <v/>
      </c>
      <c r="K2595" s="604">
        <f>IF(ISBLANK('ENGAGEMENTS 2026'!V2595),"",'ENGAGEMENTS 2026'!V2595)</f>
        <v/>
      </c>
      <c r="L2595" s="276">
        <f>IF($K2595="","",TODAY()-$K2595)</f>
        <v/>
      </c>
      <c r="M2595">
        <f>IF($A2595="","",IF($H2595="ENGAGE","Engagé",IF(AND($H2595="NON ENGAGE",OR($I2595="INFRUCTUEUX",$I2595="ANNULE")),"Clôturé sans suite","En cours")))</f>
        <v/>
      </c>
      <c r="N2595">
        <f>IF(ISBLANK('ENGAGEMENTS 2026'!B2595),"",'ENGAGEMENTS 2026'!K2595)</f>
        <v/>
      </c>
      <c r="O2595">
        <f>IF(ISBLANK('ENGAGEMENTS 2026'!B2595),"",'ENGAGEMENTS 2026'!L2595)</f>
        <v/>
      </c>
      <c r="P2595">
        <f>IF(ISBLANK('ENGAGEMENTS 2026'!B2595),"",'ENGAGEMENTS 2026'!J2595)</f>
        <v/>
      </c>
      <c r="Q2595">
        <f>IF($A2595="","",IF(OR($E2595="INFRUCTUEUX",$E2595="ANNULE"),$A2595&amp;"|"&amp;(COUNTIFS($A$2:$A2595,$A2595,$E$2:$E2595,"INFRUCTUEUX")+COUNTIFS($A$2:$A2595,$A2595,$E$2:$E2595,"ANNULE")),""))</f>
        <v/>
      </c>
    </row>
    <row r="2596">
      <c r="A2596">
        <f>IF(ISBLANK('ENGAGEMENTS 2026'!B2596),"",IF('ENGAGEMENTS 2026'!B2596="DTSI","DCT",'ENGAGEMENTS 2026'!B2596))</f>
        <v/>
      </c>
      <c r="B2596">
        <f>IF(ISBLANK('ENGAGEMENTS 2026'!B2596),"",'ENGAGEMENTS 2026'!C2596)</f>
        <v/>
      </c>
      <c r="C2596">
        <f>IF(ISBLANK('ENGAGEMENTS 2026'!B2596),"",'ENGAGEMENTS 2026'!D2596)</f>
        <v/>
      </c>
      <c r="D2596">
        <f>IF(ISBLANK('ENGAGEMENTS 2026'!B2596),"",'ENGAGEMENTS 2026'!F2596)</f>
        <v/>
      </c>
      <c r="E2596">
        <f>IF(ISBLANK('ENGAGEMENTS 2026'!B2596),"",'ENGAGEMENTS 2026'!H2596)</f>
        <v/>
      </c>
      <c r="F2596">
        <f>IF(ISBLANK('ENGAGEMENTS 2026'!B2596),"",'ENGAGEMENTS 2026'!I2596)</f>
        <v/>
      </c>
      <c r="G2596">
        <f>IF(ISBLANK('ENGAGEMENTS 2026'!B2596),"",'ENGAGEMENTS 2026'!L2596)</f>
        <v/>
      </c>
      <c r="H2596">
        <f>IF(ISBLANK('ENGAGEMENTS 2026'!B2596),"",'ENGAGEMENTS 2026'!AE2596)</f>
        <v/>
      </c>
      <c r="I2596">
        <f>IF(ISBLANK('ENGAGEMENTS 2026'!B2596),"",'ENGAGEMENTS 2026'!G2596)</f>
        <v/>
      </c>
      <c r="J2596" s="275">
        <f>IF(ISBLANK('ENGAGEMENTS 2026'!B2596),"",IF(AND(OR($E2596="INFRUCTUEUX",$E2596="ANNULE"),$C2596="AOO-M"),'ENGAGEMENTS 2026'!O2596,IF($H2596="EN COURS DE PREENGAGEMENT",'ENGAGEMENTS 2026'!N2596,IF($H2596="PREENGAGE",IF($E2596="ATTRIBUE",'ENGAGEMENTS 2026'!AD2596,'ENGAGEMENTS 2026'!N2596),'ENGAGEMENTS 2026'!AD2596))))</f>
        <v/>
      </c>
      <c r="K2596" s="604">
        <f>IF(ISBLANK('ENGAGEMENTS 2026'!V2596),"",'ENGAGEMENTS 2026'!V2596)</f>
        <v/>
      </c>
      <c r="L2596" s="276">
        <f>IF($K2596="","",TODAY()-$K2596)</f>
        <v/>
      </c>
      <c r="M2596">
        <f>IF($A2596="","",IF($H2596="ENGAGE","Engagé",IF(AND($H2596="NON ENGAGE",OR($I2596="INFRUCTUEUX",$I2596="ANNULE")),"Clôturé sans suite","En cours")))</f>
        <v/>
      </c>
      <c r="N2596">
        <f>IF(ISBLANK('ENGAGEMENTS 2026'!B2596),"",'ENGAGEMENTS 2026'!K2596)</f>
        <v/>
      </c>
      <c r="O2596">
        <f>IF(ISBLANK('ENGAGEMENTS 2026'!B2596),"",'ENGAGEMENTS 2026'!L2596)</f>
        <v/>
      </c>
      <c r="P2596">
        <f>IF(ISBLANK('ENGAGEMENTS 2026'!B2596),"",'ENGAGEMENTS 2026'!J2596)</f>
        <v/>
      </c>
      <c r="Q2596">
        <f>IF($A2596="","",IF(OR($E2596="INFRUCTUEUX",$E2596="ANNULE"),$A2596&amp;"|"&amp;(COUNTIFS($A$2:$A2596,$A2596,$E$2:$E2596,"INFRUCTUEUX")+COUNTIFS($A$2:$A2596,$A2596,$E$2:$E2596,"ANNULE")),""))</f>
        <v/>
      </c>
    </row>
    <row r="2597">
      <c r="A2597">
        <f>IF(ISBLANK('ENGAGEMENTS 2026'!B2597),"",IF('ENGAGEMENTS 2026'!B2597="DTSI","DCT",'ENGAGEMENTS 2026'!B2597))</f>
        <v/>
      </c>
      <c r="B2597">
        <f>IF(ISBLANK('ENGAGEMENTS 2026'!B2597),"",'ENGAGEMENTS 2026'!C2597)</f>
        <v/>
      </c>
      <c r="C2597">
        <f>IF(ISBLANK('ENGAGEMENTS 2026'!B2597),"",'ENGAGEMENTS 2026'!D2597)</f>
        <v/>
      </c>
      <c r="D2597">
        <f>IF(ISBLANK('ENGAGEMENTS 2026'!B2597),"",'ENGAGEMENTS 2026'!F2597)</f>
        <v/>
      </c>
      <c r="E2597">
        <f>IF(ISBLANK('ENGAGEMENTS 2026'!B2597),"",'ENGAGEMENTS 2026'!H2597)</f>
        <v/>
      </c>
      <c r="F2597">
        <f>IF(ISBLANK('ENGAGEMENTS 2026'!B2597),"",'ENGAGEMENTS 2026'!I2597)</f>
        <v/>
      </c>
      <c r="G2597">
        <f>IF(ISBLANK('ENGAGEMENTS 2026'!B2597),"",'ENGAGEMENTS 2026'!L2597)</f>
        <v/>
      </c>
      <c r="H2597">
        <f>IF(ISBLANK('ENGAGEMENTS 2026'!B2597),"",'ENGAGEMENTS 2026'!AE2597)</f>
        <v/>
      </c>
      <c r="I2597">
        <f>IF(ISBLANK('ENGAGEMENTS 2026'!B2597),"",'ENGAGEMENTS 2026'!G2597)</f>
        <v/>
      </c>
      <c r="J2597" s="275">
        <f>IF(ISBLANK('ENGAGEMENTS 2026'!B2597),"",IF(AND(OR($E2597="INFRUCTUEUX",$E2597="ANNULE"),$C2597="AOO-M"),'ENGAGEMENTS 2026'!O2597,IF($H2597="EN COURS DE PREENGAGEMENT",'ENGAGEMENTS 2026'!N2597,IF($H2597="PREENGAGE",IF($E2597="ATTRIBUE",'ENGAGEMENTS 2026'!AD2597,'ENGAGEMENTS 2026'!N2597),'ENGAGEMENTS 2026'!AD2597))))</f>
        <v/>
      </c>
      <c r="K2597" s="604">
        <f>IF(ISBLANK('ENGAGEMENTS 2026'!V2597),"",'ENGAGEMENTS 2026'!V2597)</f>
        <v/>
      </c>
      <c r="L2597" s="276">
        <f>IF($K2597="","",TODAY()-$K2597)</f>
        <v/>
      </c>
      <c r="M2597">
        <f>IF($A2597="","",IF($H2597="ENGAGE","Engagé",IF(AND($H2597="NON ENGAGE",OR($I2597="INFRUCTUEUX",$I2597="ANNULE")),"Clôturé sans suite","En cours")))</f>
        <v/>
      </c>
      <c r="N2597">
        <f>IF(ISBLANK('ENGAGEMENTS 2026'!B2597),"",'ENGAGEMENTS 2026'!K2597)</f>
        <v/>
      </c>
      <c r="O2597">
        <f>IF(ISBLANK('ENGAGEMENTS 2026'!B2597),"",'ENGAGEMENTS 2026'!L2597)</f>
        <v/>
      </c>
      <c r="P2597">
        <f>IF(ISBLANK('ENGAGEMENTS 2026'!B2597),"",'ENGAGEMENTS 2026'!J2597)</f>
        <v/>
      </c>
      <c r="Q2597">
        <f>IF($A2597="","",IF(OR($E2597="INFRUCTUEUX",$E2597="ANNULE"),$A2597&amp;"|"&amp;(COUNTIFS($A$2:$A2597,$A2597,$E$2:$E2597,"INFRUCTUEUX")+COUNTIFS($A$2:$A2597,$A2597,$E$2:$E2597,"ANNULE")),""))</f>
        <v/>
      </c>
    </row>
    <row r="2598">
      <c r="A2598">
        <f>IF(ISBLANK('ENGAGEMENTS 2026'!B2598),"",IF('ENGAGEMENTS 2026'!B2598="DTSI","DCT",'ENGAGEMENTS 2026'!B2598))</f>
        <v/>
      </c>
      <c r="B2598">
        <f>IF(ISBLANK('ENGAGEMENTS 2026'!B2598),"",'ENGAGEMENTS 2026'!C2598)</f>
        <v/>
      </c>
      <c r="C2598">
        <f>IF(ISBLANK('ENGAGEMENTS 2026'!B2598),"",'ENGAGEMENTS 2026'!D2598)</f>
        <v/>
      </c>
      <c r="D2598">
        <f>IF(ISBLANK('ENGAGEMENTS 2026'!B2598),"",'ENGAGEMENTS 2026'!F2598)</f>
        <v/>
      </c>
      <c r="E2598">
        <f>IF(ISBLANK('ENGAGEMENTS 2026'!B2598),"",'ENGAGEMENTS 2026'!H2598)</f>
        <v/>
      </c>
      <c r="F2598">
        <f>IF(ISBLANK('ENGAGEMENTS 2026'!B2598),"",'ENGAGEMENTS 2026'!I2598)</f>
        <v/>
      </c>
      <c r="G2598">
        <f>IF(ISBLANK('ENGAGEMENTS 2026'!B2598),"",'ENGAGEMENTS 2026'!L2598)</f>
        <v/>
      </c>
      <c r="H2598">
        <f>IF(ISBLANK('ENGAGEMENTS 2026'!B2598),"",'ENGAGEMENTS 2026'!AE2598)</f>
        <v/>
      </c>
      <c r="I2598">
        <f>IF(ISBLANK('ENGAGEMENTS 2026'!B2598),"",'ENGAGEMENTS 2026'!G2598)</f>
        <v/>
      </c>
      <c r="J2598" s="275">
        <f>IF(ISBLANK('ENGAGEMENTS 2026'!B2598),"",IF(AND(OR($E2598="INFRUCTUEUX",$E2598="ANNULE"),$C2598="AOO-M"),'ENGAGEMENTS 2026'!O2598,IF($H2598="EN COURS DE PREENGAGEMENT",'ENGAGEMENTS 2026'!N2598,IF($H2598="PREENGAGE",IF($E2598="ATTRIBUE",'ENGAGEMENTS 2026'!AD2598,'ENGAGEMENTS 2026'!N2598),'ENGAGEMENTS 2026'!AD2598))))</f>
        <v/>
      </c>
      <c r="K2598" s="604">
        <f>IF(ISBLANK('ENGAGEMENTS 2026'!V2598),"",'ENGAGEMENTS 2026'!V2598)</f>
        <v/>
      </c>
      <c r="L2598" s="276">
        <f>IF($K2598="","",TODAY()-$K2598)</f>
        <v/>
      </c>
      <c r="M2598">
        <f>IF($A2598="","",IF($H2598="ENGAGE","Engagé",IF(AND($H2598="NON ENGAGE",OR($I2598="INFRUCTUEUX",$I2598="ANNULE")),"Clôturé sans suite","En cours")))</f>
        <v/>
      </c>
      <c r="N2598">
        <f>IF(ISBLANK('ENGAGEMENTS 2026'!B2598),"",'ENGAGEMENTS 2026'!K2598)</f>
        <v/>
      </c>
      <c r="O2598">
        <f>IF(ISBLANK('ENGAGEMENTS 2026'!B2598),"",'ENGAGEMENTS 2026'!L2598)</f>
        <v/>
      </c>
      <c r="P2598">
        <f>IF(ISBLANK('ENGAGEMENTS 2026'!B2598),"",'ENGAGEMENTS 2026'!J2598)</f>
        <v/>
      </c>
      <c r="Q2598">
        <f>IF($A2598="","",IF(OR($E2598="INFRUCTUEUX",$E2598="ANNULE"),$A2598&amp;"|"&amp;(COUNTIFS($A$2:$A2598,$A2598,$E$2:$E2598,"INFRUCTUEUX")+COUNTIFS($A$2:$A2598,$A2598,$E$2:$E2598,"ANNULE")),""))</f>
        <v/>
      </c>
    </row>
    <row r="2599">
      <c r="A2599">
        <f>IF(ISBLANK('ENGAGEMENTS 2026'!B2599),"",IF('ENGAGEMENTS 2026'!B2599="DTSI","DCT",'ENGAGEMENTS 2026'!B2599))</f>
        <v/>
      </c>
      <c r="B2599">
        <f>IF(ISBLANK('ENGAGEMENTS 2026'!B2599),"",'ENGAGEMENTS 2026'!C2599)</f>
        <v/>
      </c>
      <c r="C2599">
        <f>IF(ISBLANK('ENGAGEMENTS 2026'!B2599),"",'ENGAGEMENTS 2026'!D2599)</f>
        <v/>
      </c>
      <c r="D2599">
        <f>IF(ISBLANK('ENGAGEMENTS 2026'!B2599),"",'ENGAGEMENTS 2026'!F2599)</f>
        <v/>
      </c>
      <c r="E2599">
        <f>IF(ISBLANK('ENGAGEMENTS 2026'!B2599),"",'ENGAGEMENTS 2026'!H2599)</f>
        <v/>
      </c>
      <c r="F2599">
        <f>IF(ISBLANK('ENGAGEMENTS 2026'!B2599),"",'ENGAGEMENTS 2026'!I2599)</f>
        <v/>
      </c>
      <c r="G2599">
        <f>IF(ISBLANK('ENGAGEMENTS 2026'!B2599),"",'ENGAGEMENTS 2026'!L2599)</f>
        <v/>
      </c>
      <c r="H2599">
        <f>IF(ISBLANK('ENGAGEMENTS 2026'!B2599),"",'ENGAGEMENTS 2026'!AE2599)</f>
        <v/>
      </c>
      <c r="I2599">
        <f>IF(ISBLANK('ENGAGEMENTS 2026'!B2599),"",'ENGAGEMENTS 2026'!G2599)</f>
        <v/>
      </c>
      <c r="J2599" s="275">
        <f>IF(ISBLANK('ENGAGEMENTS 2026'!B2599),"",IF(AND(OR($E2599="INFRUCTUEUX",$E2599="ANNULE"),$C2599="AOO-M"),'ENGAGEMENTS 2026'!O2599,IF($H2599="EN COURS DE PREENGAGEMENT",'ENGAGEMENTS 2026'!N2599,IF($H2599="PREENGAGE",IF($E2599="ATTRIBUE",'ENGAGEMENTS 2026'!AD2599,'ENGAGEMENTS 2026'!N2599),'ENGAGEMENTS 2026'!AD2599))))</f>
        <v/>
      </c>
      <c r="K2599" s="604">
        <f>IF(ISBLANK('ENGAGEMENTS 2026'!V2599),"",'ENGAGEMENTS 2026'!V2599)</f>
        <v/>
      </c>
      <c r="L2599" s="276">
        <f>IF($K2599="","",TODAY()-$K2599)</f>
        <v/>
      </c>
      <c r="M2599">
        <f>IF($A2599="","",IF($H2599="ENGAGE","Engagé",IF(AND($H2599="NON ENGAGE",OR($I2599="INFRUCTUEUX",$I2599="ANNULE")),"Clôturé sans suite","En cours")))</f>
        <v/>
      </c>
      <c r="N2599">
        <f>IF(ISBLANK('ENGAGEMENTS 2026'!B2599),"",'ENGAGEMENTS 2026'!K2599)</f>
        <v/>
      </c>
      <c r="O2599">
        <f>IF(ISBLANK('ENGAGEMENTS 2026'!B2599),"",'ENGAGEMENTS 2026'!L2599)</f>
        <v/>
      </c>
      <c r="P2599">
        <f>IF(ISBLANK('ENGAGEMENTS 2026'!B2599),"",'ENGAGEMENTS 2026'!J2599)</f>
        <v/>
      </c>
      <c r="Q2599">
        <f>IF($A2599="","",IF(OR($E2599="INFRUCTUEUX",$E2599="ANNULE"),$A2599&amp;"|"&amp;(COUNTIFS($A$2:$A2599,$A2599,$E$2:$E2599,"INFRUCTUEUX")+COUNTIFS($A$2:$A2599,$A2599,$E$2:$E2599,"ANNULE")),""))</f>
        <v/>
      </c>
    </row>
    <row r="2600">
      <c r="A2600">
        <f>IF(ISBLANK('ENGAGEMENTS 2026'!B2600),"",IF('ENGAGEMENTS 2026'!B2600="DTSI","DCT",'ENGAGEMENTS 2026'!B2600))</f>
        <v/>
      </c>
      <c r="B2600">
        <f>IF(ISBLANK('ENGAGEMENTS 2026'!B2600),"",'ENGAGEMENTS 2026'!C2600)</f>
        <v/>
      </c>
      <c r="C2600">
        <f>IF(ISBLANK('ENGAGEMENTS 2026'!B2600),"",'ENGAGEMENTS 2026'!D2600)</f>
        <v/>
      </c>
      <c r="D2600">
        <f>IF(ISBLANK('ENGAGEMENTS 2026'!B2600),"",'ENGAGEMENTS 2026'!F2600)</f>
        <v/>
      </c>
      <c r="E2600">
        <f>IF(ISBLANK('ENGAGEMENTS 2026'!B2600),"",'ENGAGEMENTS 2026'!H2600)</f>
        <v/>
      </c>
      <c r="F2600">
        <f>IF(ISBLANK('ENGAGEMENTS 2026'!B2600),"",'ENGAGEMENTS 2026'!I2600)</f>
        <v/>
      </c>
      <c r="G2600">
        <f>IF(ISBLANK('ENGAGEMENTS 2026'!B2600),"",'ENGAGEMENTS 2026'!L2600)</f>
        <v/>
      </c>
      <c r="H2600">
        <f>IF(ISBLANK('ENGAGEMENTS 2026'!B2600),"",'ENGAGEMENTS 2026'!AE2600)</f>
        <v/>
      </c>
      <c r="I2600">
        <f>IF(ISBLANK('ENGAGEMENTS 2026'!B2600),"",'ENGAGEMENTS 2026'!G2600)</f>
        <v/>
      </c>
      <c r="J2600" s="275">
        <f>IF(ISBLANK('ENGAGEMENTS 2026'!B2600),"",IF(AND(OR($E2600="INFRUCTUEUX",$E2600="ANNULE"),$C2600="AOO-M"),'ENGAGEMENTS 2026'!O2600,IF($H2600="EN COURS DE PREENGAGEMENT",'ENGAGEMENTS 2026'!N2600,IF($H2600="PREENGAGE",IF($E2600="ATTRIBUE",'ENGAGEMENTS 2026'!AD2600,'ENGAGEMENTS 2026'!N2600),'ENGAGEMENTS 2026'!AD2600))))</f>
        <v/>
      </c>
      <c r="K2600" s="604">
        <f>IF(ISBLANK('ENGAGEMENTS 2026'!V2600),"",'ENGAGEMENTS 2026'!V2600)</f>
        <v/>
      </c>
      <c r="L2600" s="276">
        <f>IF($K2600="","",TODAY()-$K2600)</f>
        <v/>
      </c>
      <c r="M2600">
        <f>IF($A2600="","",IF($H2600="ENGAGE","Engagé",IF(AND($H2600="NON ENGAGE",OR($I2600="INFRUCTUEUX",$I2600="ANNULE")),"Clôturé sans suite","En cours")))</f>
        <v/>
      </c>
      <c r="N2600">
        <f>IF(ISBLANK('ENGAGEMENTS 2026'!B2600),"",'ENGAGEMENTS 2026'!K2600)</f>
        <v/>
      </c>
      <c r="O2600">
        <f>IF(ISBLANK('ENGAGEMENTS 2026'!B2600),"",'ENGAGEMENTS 2026'!L2600)</f>
        <v/>
      </c>
      <c r="P2600">
        <f>IF(ISBLANK('ENGAGEMENTS 2026'!B2600),"",'ENGAGEMENTS 2026'!J2600)</f>
        <v/>
      </c>
      <c r="Q2600">
        <f>IF($A2600="","",IF(OR($E2600="INFRUCTUEUX",$E2600="ANNULE"),$A2600&amp;"|"&amp;(COUNTIFS($A$2:$A2600,$A2600,$E$2:$E2600,"INFRUCTUEUX")+COUNTIFS($A$2:$A2600,$A2600,$E$2:$E2600,"ANNULE")),""))</f>
        <v/>
      </c>
    </row>
    <row r="2601">
      <c r="A2601">
        <f>IF(ISBLANK('ENGAGEMENTS 2026'!B2601),"",IF('ENGAGEMENTS 2026'!B2601="DTSI","DCT",'ENGAGEMENTS 2026'!B2601))</f>
        <v/>
      </c>
      <c r="B2601">
        <f>IF(ISBLANK('ENGAGEMENTS 2026'!B2601),"",'ENGAGEMENTS 2026'!C2601)</f>
        <v/>
      </c>
      <c r="C2601">
        <f>IF(ISBLANK('ENGAGEMENTS 2026'!B2601),"",'ENGAGEMENTS 2026'!D2601)</f>
        <v/>
      </c>
      <c r="D2601">
        <f>IF(ISBLANK('ENGAGEMENTS 2026'!B2601),"",'ENGAGEMENTS 2026'!F2601)</f>
        <v/>
      </c>
      <c r="E2601">
        <f>IF(ISBLANK('ENGAGEMENTS 2026'!B2601),"",'ENGAGEMENTS 2026'!H2601)</f>
        <v/>
      </c>
      <c r="F2601">
        <f>IF(ISBLANK('ENGAGEMENTS 2026'!B2601),"",'ENGAGEMENTS 2026'!I2601)</f>
        <v/>
      </c>
      <c r="G2601">
        <f>IF(ISBLANK('ENGAGEMENTS 2026'!B2601),"",'ENGAGEMENTS 2026'!L2601)</f>
        <v/>
      </c>
      <c r="H2601">
        <f>IF(ISBLANK('ENGAGEMENTS 2026'!B2601),"",'ENGAGEMENTS 2026'!AE2601)</f>
        <v/>
      </c>
      <c r="I2601">
        <f>IF(ISBLANK('ENGAGEMENTS 2026'!B2601),"",'ENGAGEMENTS 2026'!G2601)</f>
        <v/>
      </c>
      <c r="J2601" s="275">
        <f>IF(ISBLANK('ENGAGEMENTS 2026'!B2601),"",IF(AND(OR($E2601="INFRUCTUEUX",$E2601="ANNULE"),$C2601="AOO-M"),'ENGAGEMENTS 2026'!O2601,IF($H2601="EN COURS DE PREENGAGEMENT",'ENGAGEMENTS 2026'!N2601,IF($H2601="PREENGAGE",IF($E2601="ATTRIBUE",'ENGAGEMENTS 2026'!AD2601,'ENGAGEMENTS 2026'!N2601),'ENGAGEMENTS 2026'!AD2601))))</f>
        <v/>
      </c>
      <c r="K2601" s="604">
        <f>IF(ISBLANK('ENGAGEMENTS 2026'!V2601),"",'ENGAGEMENTS 2026'!V2601)</f>
        <v/>
      </c>
      <c r="L2601" s="276">
        <f>IF($K2601="","",TODAY()-$K2601)</f>
        <v/>
      </c>
      <c r="M2601">
        <f>IF($A2601="","",IF($H2601="ENGAGE","Engagé",IF(AND($H2601="NON ENGAGE",OR($I2601="INFRUCTUEUX",$I2601="ANNULE")),"Clôturé sans suite","En cours")))</f>
        <v/>
      </c>
      <c r="N2601">
        <f>IF(ISBLANK('ENGAGEMENTS 2026'!B2601),"",'ENGAGEMENTS 2026'!K2601)</f>
        <v/>
      </c>
      <c r="O2601">
        <f>IF(ISBLANK('ENGAGEMENTS 2026'!B2601),"",'ENGAGEMENTS 2026'!L2601)</f>
        <v/>
      </c>
      <c r="P2601">
        <f>IF(ISBLANK('ENGAGEMENTS 2026'!B2601),"",'ENGAGEMENTS 2026'!J2601)</f>
        <v/>
      </c>
      <c r="Q2601">
        <f>IF($A2601="","",IF(OR($E2601="INFRUCTUEUX",$E2601="ANNULE"),$A2601&amp;"|"&amp;(COUNTIFS($A$2:$A2601,$A2601,$E$2:$E2601,"INFRUCTUEUX")+COUNTIFS($A$2:$A2601,$A2601,$E$2:$E2601,"ANNULE")),""))</f>
        <v/>
      </c>
    </row>
    <row r="2602">
      <c r="A2602">
        <f>IF(ISBLANK('ENGAGEMENTS 2026'!B2602),"",IF('ENGAGEMENTS 2026'!B2602="DTSI","DCT",'ENGAGEMENTS 2026'!B2602))</f>
        <v/>
      </c>
      <c r="B2602">
        <f>IF(ISBLANK('ENGAGEMENTS 2026'!B2602),"",'ENGAGEMENTS 2026'!C2602)</f>
        <v/>
      </c>
      <c r="C2602">
        <f>IF(ISBLANK('ENGAGEMENTS 2026'!B2602),"",'ENGAGEMENTS 2026'!D2602)</f>
        <v/>
      </c>
      <c r="D2602">
        <f>IF(ISBLANK('ENGAGEMENTS 2026'!B2602),"",'ENGAGEMENTS 2026'!F2602)</f>
        <v/>
      </c>
      <c r="E2602">
        <f>IF(ISBLANK('ENGAGEMENTS 2026'!B2602),"",'ENGAGEMENTS 2026'!H2602)</f>
        <v/>
      </c>
      <c r="F2602">
        <f>IF(ISBLANK('ENGAGEMENTS 2026'!B2602),"",'ENGAGEMENTS 2026'!I2602)</f>
        <v/>
      </c>
      <c r="G2602">
        <f>IF(ISBLANK('ENGAGEMENTS 2026'!B2602),"",'ENGAGEMENTS 2026'!L2602)</f>
        <v/>
      </c>
      <c r="H2602">
        <f>IF(ISBLANK('ENGAGEMENTS 2026'!B2602),"",'ENGAGEMENTS 2026'!AE2602)</f>
        <v/>
      </c>
      <c r="I2602">
        <f>IF(ISBLANK('ENGAGEMENTS 2026'!B2602),"",'ENGAGEMENTS 2026'!G2602)</f>
        <v/>
      </c>
      <c r="J2602" s="275">
        <f>IF(ISBLANK('ENGAGEMENTS 2026'!B2602),"",IF(AND(OR($E2602="INFRUCTUEUX",$E2602="ANNULE"),$C2602="AOO-M"),'ENGAGEMENTS 2026'!O2602,IF($H2602="EN COURS DE PREENGAGEMENT",'ENGAGEMENTS 2026'!N2602,IF($H2602="PREENGAGE",IF($E2602="ATTRIBUE",'ENGAGEMENTS 2026'!AD2602,'ENGAGEMENTS 2026'!N2602),'ENGAGEMENTS 2026'!AD2602))))</f>
        <v/>
      </c>
      <c r="K2602" s="604">
        <f>IF(ISBLANK('ENGAGEMENTS 2026'!V2602),"",'ENGAGEMENTS 2026'!V2602)</f>
        <v/>
      </c>
      <c r="L2602" s="276">
        <f>IF($K2602="","",TODAY()-$K2602)</f>
        <v/>
      </c>
      <c r="M2602">
        <f>IF($A2602="","",IF($H2602="ENGAGE","Engagé",IF(AND($H2602="NON ENGAGE",OR($I2602="INFRUCTUEUX",$I2602="ANNULE")),"Clôturé sans suite","En cours")))</f>
        <v/>
      </c>
      <c r="N2602">
        <f>IF(ISBLANK('ENGAGEMENTS 2026'!B2602),"",'ENGAGEMENTS 2026'!K2602)</f>
        <v/>
      </c>
      <c r="O2602">
        <f>IF(ISBLANK('ENGAGEMENTS 2026'!B2602),"",'ENGAGEMENTS 2026'!L2602)</f>
        <v/>
      </c>
      <c r="P2602">
        <f>IF(ISBLANK('ENGAGEMENTS 2026'!B2602),"",'ENGAGEMENTS 2026'!J2602)</f>
        <v/>
      </c>
      <c r="Q2602">
        <f>IF($A2602="","",IF(OR($E2602="INFRUCTUEUX",$E2602="ANNULE"),$A2602&amp;"|"&amp;(COUNTIFS($A$2:$A2602,$A2602,$E$2:$E2602,"INFRUCTUEUX")+COUNTIFS($A$2:$A2602,$A2602,$E$2:$E2602,"ANNULE")),""))</f>
        <v/>
      </c>
    </row>
    <row r="2603">
      <c r="A2603">
        <f>IF(ISBLANK('ENGAGEMENTS 2026'!B2603),"",IF('ENGAGEMENTS 2026'!B2603="DTSI","DCT",'ENGAGEMENTS 2026'!B2603))</f>
        <v/>
      </c>
      <c r="B2603">
        <f>IF(ISBLANK('ENGAGEMENTS 2026'!B2603),"",'ENGAGEMENTS 2026'!C2603)</f>
        <v/>
      </c>
      <c r="C2603">
        <f>IF(ISBLANK('ENGAGEMENTS 2026'!B2603),"",'ENGAGEMENTS 2026'!D2603)</f>
        <v/>
      </c>
      <c r="D2603">
        <f>IF(ISBLANK('ENGAGEMENTS 2026'!B2603),"",'ENGAGEMENTS 2026'!F2603)</f>
        <v/>
      </c>
      <c r="E2603">
        <f>IF(ISBLANK('ENGAGEMENTS 2026'!B2603),"",'ENGAGEMENTS 2026'!H2603)</f>
        <v/>
      </c>
      <c r="F2603">
        <f>IF(ISBLANK('ENGAGEMENTS 2026'!B2603),"",'ENGAGEMENTS 2026'!I2603)</f>
        <v/>
      </c>
      <c r="G2603">
        <f>IF(ISBLANK('ENGAGEMENTS 2026'!B2603),"",'ENGAGEMENTS 2026'!L2603)</f>
        <v/>
      </c>
      <c r="H2603">
        <f>IF(ISBLANK('ENGAGEMENTS 2026'!B2603),"",'ENGAGEMENTS 2026'!AE2603)</f>
        <v/>
      </c>
      <c r="I2603">
        <f>IF(ISBLANK('ENGAGEMENTS 2026'!B2603),"",'ENGAGEMENTS 2026'!G2603)</f>
        <v/>
      </c>
      <c r="J2603" s="275">
        <f>IF(ISBLANK('ENGAGEMENTS 2026'!B2603),"",IF(AND(OR($E2603="INFRUCTUEUX",$E2603="ANNULE"),$C2603="AOO-M"),'ENGAGEMENTS 2026'!O2603,IF($H2603="EN COURS DE PREENGAGEMENT",'ENGAGEMENTS 2026'!N2603,IF($H2603="PREENGAGE",IF($E2603="ATTRIBUE",'ENGAGEMENTS 2026'!AD2603,'ENGAGEMENTS 2026'!N2603),'ENGAGEMENTS 2026'!AD2603))))</f>
        <v/>
      </c>
      <c r="K2603" s="604">
        <f>IF(ISBLANK('ENGAGEMENTS 2026'!V2603),"",'ENGAGEMENTS 2026'!V2603)</f>
        <v/>
      </c>
      <c r="L2603" s="276">
        <f>IF($K2603="","",TODAY()-$K2603)</f>
        <v/>
      </c>
      <c r="M2603">
        <f>IF($A2603="","",IF($H2603="ENGAGE","Engagé",IF(AND($H2603="NON ENGAGE",OR($I2603="INFRUCTUEUX",$I2603="ANNULE")),"Clôturé sans suite","En cours")))</f>
        <v/>
      </c>
      <c r="N2603">
        <f>IF(ISBLANK('ENGAGEMENTS 2026'!B2603),"",'ENGAGEMENTS 2026'!K2603)</f>
        <v/>
      </c>
      <c r="O2603">
        <f>IF(ISBLANK('ENGAGEMENTS 2026'!B2603),"",'ENGAGEMENTS 2026'!L2603)</f>
        <v/>
      </c>
      <c r="P2603">
        <f>IF(ISBLANK('ENGAGEMENTS 2026'!B2603),"",'ENGAGEMENTS 2026'!J2603)</f>
        <v/>
      </c>
      <c r="Q2603">
        <f>IF($A2603="","",IF(OR($E2603="INFRUCTUEUX",$E2603="ANNULE"),$A2603&amp;"|"&amp;(COUNTIFS($A$2:$A2603,$A2603,$E$2:$E2603,"INFRUCTUEUX")+COUNTIFS($A$2:$A2603,$A2603,$E$2:$E2603,"ANNULE")),""))</f>
        <v/>
      </c>
    </row>
    <row r="2604">
      <c r="A2604">
        <f>IF(ISBLANK('ENGAGEMENTS 2026'!B2604),"",IF('ENGAGEMENTS 2026'!B2604="DTSI","DCT",'ENGAGEMENTS 2026'!B2604))</f>
        <v/>
      </c>
      <c r="B2604">
        <f>IF(ISBLANK('ENGAGEMENTS 2026'!B2604),"",'ENGAGEMENTS 2026'!C2604)</f>
        <v/>
      </c>
      <c r="C2604">
        <f>IF(ISBLANK('ENGAGEMENTS 2026'!B2604),"",'ENGAGEMENTS 2026'!D2604)</f>
        <v/>
      </c>
      <c r="D2604">
        <f>IF(ISBLANK('ENGAGEMENTS 2026'!B2604),"",'ENGAGEMENTS 2026'!F2604)</f>
        <v/>
      </c>
      <c r="E2604">
        <f>IF(ISBLANK('ENGAGEMENTS 2026'!B2604),"",'ENGAGEMENTS 2026'!H2604)</f>
        <v/>
      </c>
      <c r="F2604">
        <f>IF(ISBLANK('ENGAGEMENTS 2026'!B2604),"",'ENGAGEMENTS 2026'!I2604)</f>
        <v/>
      </c>
      <c r="G2604">
        <f>IF(ISBLANK('ENGAGEMENTS 2026'!B2604),"",'ENGAGEMENTS 2026'!L2604)</f>
        <v/>
      </c>
      <c r="H2604">
        <f>IF(ISBLANK('ENGAGEMENTS 2026'!B2604),"",'ENGAGEMENTS 2026'!AE2604)</f>
        <v/>
      </c>
      <c r="I2604">
        <f>IF(ISBLANK('ENGAGEMENTS 2026'!B2604),"",'ENGAGEMENTS 2026'!G2604)</f>
        <v/>
      </c>
      <c r="J2604" s="275">
        <f>IF(ISBLANK('ENGAGEMENTS 2026'!B2604),"",IF(AND(OR($E2604="INFRUCTUEUX",$E2604="ANNULE"),$C2604="AOO-M"),'ENGAGEMENTS 2026'!O2604,IF($H2604="EN COURS DE PREENGAGEMENT",'ENGAGEMENTS 2026'!N2604,IF($H2604="PREENGAGE",IF($E2604="ATTRIBUE",'ENGAGEMENTS 2026'!AD2604,'ENGAGEMENTS 2026'!N2604),'ENGAGEMENTS 2026'!AD2604))))</f>
        <v/>
      </c>
      <c r="K2604" s="604">
        <f>IF(ISBLANK('ENGAGEMENTS 2026'!V2604),"",'ENGAGEMENTS 2026'!V2604)</f>
        <v/>
      </c>
      <c r="L2604" s="276">
        <f>IF($K2604="","",TODAY()-$K2604)</f>
        <v/>
      </c>
      <c r="M2604">
        <f>IF($A2604="","",IF($H2604="ENGAGE","Engagé",IF(AND($H2604="NON ENGAGE",OR($I2604="INFRUCTUEUX",$I2604="ANNULE")),"Clôturé sans suite","En cours")))</f>
        <v/>
      </c>
      <c r="N2604">
        <f>IF(ISBLANK('ENGAGEMENTS 2026'!B2604),"",'ENGAGEMENTS 2026'!K2604)</f>
        <v/>
      </c>
      <c r="O2604">
        <f>IF(ISBLANK('ENGAGEMENTS 2026'!B2604),"",'ENGAGEMENTS 2026'!L2604)</f>
        <v/>
      </c>
      <c r="P2604">
        <f>IF(ISBLANK('ENGAGEMENTS 2026'!B2604),"",'ENGAGEMENTS 2026'!J2604)</f>
        <v/>
      </c>
      <c r="Q2604">
        <f>IF($A2604="","",IF(OR($E2604="INFRUCTUEUX",$E2604="ANNULE"),$A2604&amp;"|"&amp;(COUNTIFS($A$2:$A2604,$A2604,$E$2:$E2604,"INFRUCTUEUX")+COUNTIFS($A$2:$A2604,$A2604,$E$2:$E2604,"ANNULE")),""))</f>
        <v/>
      </c>
    </row>
    <row r="2605">
      <c r="A2605">
        <f>IF(ISBLANK('ENGAGEMENTS 2026'!B2605),"",IF('ENGAGEMENTS 2026'!B2605="DTSI","DCT",'ENGAGEMENTS 2026'!B2605))</f>
        <v/>
      </c>
      <c r="B2605">
        <f>IF(ISBLANK('ENGAGEMENTS 2026'!B2605),"",'ENGAGEMENTS 2026'!C2605)</f>
        <v/>
      </c>
      <c r="C2605">
        <f>IF(ISBLANK('ENGAGEMENTS 2026'!B2605),"",'ENGAGEMENTS 2026'!D2605)</f>
        <v/>
      </c>
      <c r="D2605">
        <f>IF(ISBLANK('ENGAGEMENTS 2026'!B2605),"",'ENGAGEMENTS 2026'!F2605)</f>
        <v/>
      </c>
      <c r="E2605">
        <f>IF(ISBLANK('ENGAGEMENTS 2026'!B2605),"",'ENGAGEMENTS 2026'!H2605)</f>
        <v/>
      </c>
      <c r="F2605">
        <f>IF(ISBLANK('ENGAGEMENTS 2026'!B2605),"",'ENGAGEMENTS 2026'!I2605)</f>
        <v/>
      </c>
      <c r="G2605">
        <f>IF(ISBLANK('ENGAGEMENTS 2026'!B2605),"",'ENGAGEMENTS 2026'!L2605)</f>
        <v/>
      </c>
      <c r="H2605">
        <f>IF(ISBLANK('ENGAGEMENTS 2026'!B2605),"",'ENGAGEMENTS 2026'!AE2605)</f>
        <v/>
      </c>
      <c r="I2605">
        <f>IF(ISBLANK('ENGAGEMENTS 2026'!B2605),"",'ENGAGEMENTS 2026'!G2605)</f>
        <v/>
      </c>
      <c r="J2605" s="275">
        <f>IF(ISBLANK('ENGAGEMENTS 2026'!B2605),"",IF(AND(OR($E2605="INFRUCTUEUX",$E2605="ANNULE"),$C2605="AOO-M"),'ENGAGEMENTS 2026'!O2605,IF($H2605="EN COURS DE PREENGAGEMENT",'ENGAGEMENTS 2026'!N2605,IF($H2605="PREENGAGE",IF($E2605="ATTRIBUE",'ENGAGEMENTS 2026'!AD2605,'ENGAGEMENTS 2026'!N2605),'ENGAGEMENTS 2026'!AD2605))))</f>
        <v/>
      </c>
      <c r="K2605" s="604">
        <f>IF(ISBLANK('ENGAGEMENTS 2026'!V2605),"",'ENGAGEMENTS 2026'!V2605)</f>
        <v/>
      </c>
      <c r="L2605" s="276">
        <f>IF($K2605="","",TODAY()-$K2605)</f>
        <v/>
      </c>
      <c r="M2605">
        <f>IF($A2605="","",IF($H2605="ENGAGE","Engagé",IF(AND($H2605="NON ENGAGE",OR($I2605="INFRUCTUEUX",$I2605="ANNULE")),"Clôturé sans suite","En cours")))</f>
        <v/>
      </c>
      <c r="N2605">
        <f>IF(ISBLANK('ENGAGEMENTS 2026'!B2605),"",'ENGAGEMENTS 2026'!K2605)</f>
        <v/>
      </c>
      <c r="O2605">
        <f>IF(ISBLANK('ENGAGEMENTS 2026'!B2605),"",'ENGAGEMENTS 2026'!L2605)</f>
        <v/>
      </c>
      <c r="P2605">
        <f>IF(ISBLANK('ENGAGEMENTS 2026'!B2605),"",'ENGAGEMENTS 2026'!J2605)</f>
        <v/>
      </c>
      <c r="Q2605">
        <f>IF($A2605="","",IF(OR($E2605="INFRUCTUEUX",$E2605="ANNULE"),$A2605&amp;"|"&amp;(COUNTIFS($A$2:$A2605,$A2605,$E$2:$E2605,"INFRUCTUEUX")+COUNTIFS($A$2:$A2605,$A2605,$E$2:$E2605,"ANNULE")),""))</f>
        <v/>
      </c>
    </row>
    <row r="2606">
      <c r="A2606">
        <f>IF(ISBLANK('ENGAGEMENTS 2026'!B2606),"",IF('ENGAGEMENTS 2026'!B2606="DTSI","DCT",'ENGAGEMENTS 2026'!B2606))</f>
        <v/>
      </c>
      <c r="B2606">
        <f>IF(ISBLANK('ENGAGEMENTS 2026'!B2606),"",'ENGAGEMENTS 2026'!C2606)</f>
        <v/>
      </c>
      <c r="C2606">
        <f>IF(ISBLANK('ENGAGEMENTS 2026'!B2606),"",'ENGAGEMENTS 2026'!D2606)</f>
        <v/>
      </c>
      <c r="D2606">
        <f>IF(ISBLANK('ENGAGEMENTS 2026'!B2606),"",'ENGAGEMENTS 2026'!F2606)</f>
        <v/>
      </c>
      <c r="E2606">
        <f>IF(ISBLANK('ENGAGEMENTS 2026'!B2606),"",'ENGAGEMENTS 2026'!H2606)</f>
        <v/>
      </c>
      <c r="F2606">
        <f>IF(ISBLANK('ENGAGEMENTS 2026'!B2606),"",'ENGAGEMENTS 2026'!I2606)</f>
        <v/>
      </c>
      <c r="G2606">
        <f>IF(ISBLANK('ENGAGEMENTS 2026'!B2606),"",'ENGAGEMENTS 2026'!L2606)</f>
        <v/>
      </c>
      <c r="H2606">
        <f>IF(ISBLANK('ENGAGEMENTS 2026'!B2606),"",'ENGAGEMENTS 2026'!AE2606)</f>
        <v/>
      </c>
      <c r="I2606">
        <f>IF(ISBLANK('ENGAGEMENTS 2026'!B2606),"",'ENGAGEMENTS 2026'!G2606)</f>
        <v/>
      </c>
      <c r="J2606" s="275">
        <f>IF(ISBLANK('ENGAGEMENTS 2026'!B2606),"",IF(AND(OR($E2606="INFRUCTUEUX",$E2606="ANNULE"),$C2606="AOO-M"),'ENGAGEMENTS 2026'!O2606,IF($H2606="EN COURS DE PREENGAGEMENT",'ENGAGEMENTS 2026'!N2606,IF($H2606="PREENGAGE",IF($E2606="ATTRIBUE",'ENGAGEMENTS 2026'!AD2606,'ENGAGEMENTS 2026'!N2606),'ENGAGEMENTS 2026'!AD2606))))</f>
        <v/>
      </c>
      <c r="K2606" s="604">
        <f>IF(ISBLANK('ENGAGEMENTS 2026'!V2606),"",'ENGAGEMENTS 2026'!V2606)</f>
        <v/>
      </c>
      <c r="L2606" s="276">
        <f>IF($K2606="","",TODAY()-$K2606)</f>
        <v/>
      </c>
      <c r="M2606">
        <f>IF($A2606="","",IF($H2606="ENGAGE","Engagé",IF(AND($H2606="NON ENGAGE",OR($I2606="INFRUCTUEUX",$I2606="ANNULE")),"Clôturé sans suite","En cours")))</f>
        <v/>
      </c>
      <c r="N2606">
        <f>IF(ISBLANK('ENGAGEMENTS 2026'!B2606),"",'ENGAGEMENTS 2026'!K2606)</f>
        <v/>
      </c>
      <c r="O2606">
        <f>IF(ISBLANK('ENGAGEMENTS 2026'!B2606),"",'ENGAGEMENTS 2026'!L2606)</f>
        <v/>
      </c>
      <c r="P2606">
        <f>IF(ISBLANK('ENGAGEMENTS 2026'!B2606),"",'ENGAGEMENTS 2026'!J2606)</f>
        <v/>
      </c>
      <c r="Q2606">
        <f>IF($A2606="","",IF(OR($E2606="INFRUCTUEUX",$E2606="ANNULE"),$A2606&amp;"|"&amp;(COUNTIFS($A$2:$A2606,$A2606,$E$2:$E2606,"INFRUCTUEUX")+COUNTIFS($A$2:$A2606,$A2606,$E$2:$E2606,"ANNULE")),""))</f>
        <v/>
      </c>
    </row>
    <row r="2607">
      <c r="A2607">
        <f>IF(ISBLANK('ENGAGEMENTS 2026'!B2607),"",IF('ENGAGEMENTS 2026'!B2607="DTSI","DCT",'ENGAGEMENTS 2026'!B2607))</f>
        <v/>
      </c>
      <c r="B2607">
        <f>IF(ISBLANK('ENGAGEMENTS 2026'!B2607),"",'ENGAGEMENTS 2026'!C2607)</f>
        <v/>
      </c>
      <c r="C2607">
        <f>IF(ISBLANK('ENGAGEMENTS 2026'!B2607),"",'ENGAGEMENTS 2026'!D2607)</f>
        <v/>
      </c>
      <c r="D2607">
        <f>IF(ISBLANK('ENGAGEMENTS 2026'!B2607),"",'ENGAGEMENTS 2026'!F2607)</f>
        <v/>
      </c>
      <c r="E2607">
        <f>IF(ISBLANK('ENGAGEMENTS 2026'!B2607),"",'ENGAGEMENTS 2026'!H2607)</f>
        <v/>
      </c>
      <c r="F2607">
        <f>IF(ISBLANK('ENGAGEMENTS 2026'!B2607),"",'ENGAGEMENTS 2026'!I2607)</f>
        <v/>
      </c>
      <c r="G2607">
        <f>IF(ISBLANK('ENGAGEMENTS 2026'!B2607),"",'ENGAGEMENTS 2026'!L2607)</f>
        <v/>
      </c>
      <c r="H2607">
        <f>IF(ISBLANK('ENGAGEMENTS 2026'!B2607),"",'ENGAGEMENTS 2026'!AE2607)</f>
        <v/>
      </c>
      <c r="I2607">
        <f>IF(ISBLANK('ENGAGEMENTS 2026'!B2607),"",'ENGAGEMENTS 2026'!G2607)</f>
        <v/>
      </c>
      <c r="J2607" s="275">
        <f>IF(ISBLANK('ENGAGEMENTS 2026'!B2607),"",IF(AND(OR($E2607="INFRUCTUEUX",$E2607="ANNULE"),$C2607="AOO-M"),'ENGAGEMENTS 2026'!O2607,IF($H2607="EN COURS DE PREENGAGEMENT",'ENGAGEMENTS 2026'!N2607,IF($H2607="PREENGAGE",IF($E2607="ATTRIBUE",'ENGAGEMENTS 2026'!AD2607,'ENGAGEMENTS 2026'!N2607),'ENGAGEMENTS 2026'!AD2607))))</f>
        <v/>
      </c>
      <c r="K2607" s="604">
        <f>IF(ISBLANK('ENGAGEMENTS 2026'!V2607),"",'ENGAGEMENTS 2026'!V2607)</f>
        <v/>
      </c>
      <c r="L2607" s="276">
        <f>IF($K2607="","",TODAY()-$K2607)</f>
        <v/>
      </c>
      <c r="M2607">
        <f>IF($A2607="","",IF($H2607="ENGAGE","Engagé",IF(AND($H2607="NON ENGAGE",OR($I2607="INFRUCTUEUX",$I2607="ANNULE")),"Clôturé sans suite","En cours")))</f>
        <v/>
      </c>
      <c r="N2607">
        <f>IF(ISBLANK('ENGAGEMENTS 2026'!B2607),"",'ENGAGEMENTS 2026'!K2607)</f>
        <v/>
      </c>
      <c r="O2607">
        <f>IF(ISBLANK('ENGAGEMENTS 2026'!B2607),"",'ENGAGEMENTS 2026'!L2607)</f>
        <v/>
      </c>
      <c r="P2607">
        <f>IF(ISBLANK('ENGAGEMENTS 2026'!B2607),"",'ENGAGEMENTS 2026'!J2607)</f>
        <v/>
      </c>
      <c r="Q2607">
        <f>IF($A2607="","",IF(OR($E2607="INFRUCTUEUX",$E2607="ANNULE"),$A2607&amp;"|"&amp;(COUNTIFS($A$2:$A2607,$A2607,$E$2:$E2607,"INFRUCTUEUX")+COUNTIFS($A$2:$A2607,$A2607,$E$2:$E2607,"ANNULE")),""))</f>
        <v/>
      </c>
    </row>
    <row r="2608">
      <c r="A2608">
        <f>IF(ISBLANK('ENGAGEMENTS 2026'!B2608),"",IF('ENGAGEMENTS 2026'!B2608="DTSI","DCT",'ENGAGEMENTS 2026'!B2608))</f>
        <v/>
      </c>
      <c r="B2608">
        <f>IF(ISBLANK('ENGAGEMENTS 2026'!B2608),"",'ENGAGEMENTS 2026'!C2608)</f>
        <v/>
      </c>
      <c r="C2608">
        <f>IF(ISBLANK('ENGAGEMENTS 2026'!B2608),"",'ENGAGEMENTS 2026'!D2608)</f>
        <v/>
      </c>
      <c r="D2608">
        <f>IF(ISBLANK('ENGAGEMENTS 2026'!B2608),"",'ENGAGEMENTS 2026'!F2608)</f>
        <v/>
      </c>
      <c r="E2608">
        <f>IF(ISBLANK('ENGAGEMENTS 2026'!B2608),"",'ENGAGEMENTS 2026'!H2608)</f>
        <v/>
      </c>
      <c r="F2608">
        <f>IF(ISBLANK('ENGAGEMENTS 2026'!B2608),"",'ENGAGEMENTS 2026'!I2608)</f>
        <v/>
      </c>
      <c r="G2608">
        <f>IF(ISBLANK('ENGAGEMENTS 2026'!B2608),"",'ENGAGEMENTS 2026'!L2608)</f>
        <v/>
      </c>
      <c r="H2608">
        <f>IF(ISBLANK('ENGAGEMENTS 2026'!B2608),"",'ENGAGEMENTS 2026'!AE2608)</f>
        <v/>
      </c>
      <c r="I2608">
        <f>IF(ISBLANK('ENGAGEMENTS 2026'!B2608),"",'ENGAGEMENTS 2026'!G2608)</f>
        <v/>
      </c>
      <c r="J2608" s="275">
        <f>IF(ISBLANK('ENGAGEMENTS 2026'!B2608),"",IF(AND(OR($E2608="INFRUCTUEUX",$E2608="ANNULE"),$C2608="AOO-M"),'ENGAGEMENTS 2026'!O2608,IF($H2608="EN COURS DE PREENGAGEMENT",'ENGAGEMENTS 2026'!N2608,IF($H2608="PREENGAGE",IF($E2608="ATTRIBUE",'ENGAGEMENTS 2026'!AD2608,'ENGAGEMENTS 2026'!N2608),'ENGAGEMENTS 2026'!AD2608))))</f>
        <v/>
      </c>
      <c r="K2608" s="604">
        <f>IF(ISBLANK('ENGAGEMENTS 2026'!V2608),"",'ENGAGEMENTS 2026'!V2608)</f>
        <v/>
      </c>
      <c r="L2608" s="276">
        <f>IF($K2608="","",TODAY()-$K2608)</f>
        <v/>
      </c>
      <c r="M2608">
        <f>IF($A2608="","",IF($H2608="ENGAGE","Engagé",IF(AND($H2608="NON ENGAGE",OR($I2608="INFRUCTUEUX",$I2608="ANNULE")),"Clôturé sans suite","En cours")))</f>
        <v/>
      </c>
      <c r="N2608">
        <f>IF(ISBLANK('ENGAGEMENTS 2026'!B2608),"",'ENGAGEMENTS 2026'!K2608)</f>
        <v/>
      </c>
      <c r="O2608">
        <f>IF(ISBLANK('ENGAGEMENTS 2026'!B2608),"",'ENGAGEMENTS 2026'!L2608)</f>
        <v/>
      </c>
      <c r="P2608">
        <f>IF(ISBLANK('ENGAGEMENTS 2026'!B2608),"",'ENGAGEMENTS 2026'!J2608)</f>
        <v/>
      </c>
      <c r="Q2608">
        <f>IF($A2608="","",IF(OR($E2608="INFRUCTUEUX",$E2608="ANNULE"),$A2608&amp;"|"&amp;(COUNTIFS($A$2:$A2608,$A2608,$E$2:$E2608,"INFRUCTUEUX")+COUNTIFS($A$2:$A2608,$A2608,$E$2:$E2608,"ANNULE")),""))</f>
        <v/>
      </c>
    </row>
    <row r="2609">
      <c r="A2609">
        <f>IF(ISBLANK('ENGAGEMENTS 2026'!B2609),"",IF('ENGAGEMENTS 2026'!B2609="DTSI","DCT",'ENGAGEMENTS 2026'!B2609))</f>
        <v/>
      </c>
      <c r="B2609">
        <f>IF(ISBLANK('ENGAGEMENTS 2026'!B2609),"",'ENGAGEMENTS 2026'!C2609)</f>
        <v/>
      </c>
      <c r="C2609">
        <f>IF(ISBLANK('ENGAGEMENTS 2026'!B2609),"",'ENGAGEMENTS 2026'!D2609)</f>
        <v/>
      </c>
      <c r="D2609">
        <f>IF(ISBLANK('ENGAGEMENTS 2026'!B2609),"",'ENGAGEMENTS 2026'!F2609)</f>
        <v/>
      </c>
      <c r="E2609">
        <f>IF(ISBLANK('ENGAGEMENTS 2026'!B2609),"",'ENGAGEMENTS 2026'!H2609)</f>
        <v/>
      </c>
      <c r="F2609">
        <f>IF(ISBLANK('ENGAGEMENTS 2026'!B2609),"",'ENGAGEMENTS 2026'!I2609)</f>
        <v/>
      </c>
      <c r="G2609">
        <f>IF(ISBLANK('ENGAGEMENTS 2026'!B2609),"",'ENGAGEMENTS 2026'!L2609)</f>
        <v/>
      </c>
      <c r="H2609">
        <f>IF(ISBLANK('ENGAGEMENTS 2026'!B2609),"",'ENGAGEMENTS 2026'!AE2609)</f>
        <v/>
      </c>
      <c r="I2609">
        <f>IF(ISBLANK('ENGAGEMENTS 2026'!B2609),"",'ENGAGEMENTS 2026'!G2609)</f>
        <v/>
      </c>
      <c r="J2609" s="275">
        <f>IF(ISBLANK('ENGAGEMENTS 2026'!B2609),"",IF(AND(OR($E2609="INFRUCTUEUX",$E2609="ANNULE"),$C2609="AOO-M"),'ENGAGEMENTS 2026'!O2609,IF($H2609="EN COURS DE PREENGAGEMENT",'ENGAGEMENTS 2026'!N2609,IF($H2609="PREENGAGE",IF($E2609="ATTRIBUE",'ENGAGEMENTS 2026'!AD2609,'ENGAGEMENTS 2026'!N2609),'ENGAGEMENTS 2026'!AD2609))))</f>
        <v/>
      </c>
      <c r="K2609" s="604">
        <f>IF(ISBLANK('ENGAGEMENTS 2026'!V2609),"",'ENGAGEMENTS 2026'!V2609)</f>
        <v/>
      </c>
      <c r="L2609" s="276">
        <f>IF($K2609="","",TODAY()-$K2609)</f>
        <v/>
      </c>
      <c r="M2609">
        <f>IF($A2609="","",IF($H2609="ENGAGE","Engagé",IF(AND($H2609="NON ENGAGE",OR($I2609="INFRUCTUEUX",$I2609="ANNULE")),"Clôturé sans suite","En cours")))</f>
        <v/>
      </c>
      <c r="N2609">
        <f>IF(ISBLANK('ENGAGEMENTS 2026'!B2609),"",'ENGAGEMENTS 2026'!K2609)</f>
        <v/>
      </c>
      <c r="O2609">
        <f>IF(ISBLANK('ENGAGEMENTS 2026'!B2609),"",'ENGAGEMENTS 2026'!L2609)</f>
        <v/>
      </c>
      <c r="P2609">
        <f>IF(ISBLANK('ENGAGEMENTS 2026'!B2609),"",'ENGAGEMENTS 2026'!J2609)</f>
        <v/>
      </c>
      <c r="Q2609">
        <f>IF($A2609="","",IF(OR($E2609="INFRUCTUEUX",$E2609="ANNULE"),$A2609&amp;"|"&amp;(COUNTIFS($A$2:$A2609,$A2609,$E$2:$E2609,"INFRUCTUEUX")+COUNTIFS($A$2:$A2609,$A2609,$E$2:$E2609,"ANNULE")),""))</f>
        <v/>
      </c>
    </row>
    <row r="2610">
      <c r="A2610">
        <f>IF(ISBLANK('ENGAGEMENTS 2026'!B2610),"",IF('ENGAGEMENTS 2026'!B2610="DTSI","DCT",'ENGAGEMENTS 2026'!B2610))</f>
        <v/>
      </c>
      <c r="B2610">
        <f>IF(ISBLANK('ENGAGEMENTS 2026'!B2610),"",'ENGAGEMENTS 2026'!C2610)</f>
        <v/>
      </c>
      <c r="C2610">
        <f>IF(ISBLANK('ENGAGEMENTS 2026'!B2610),"",'ENGAGEMENTS 2026'!D2610)</f>
        <v/>
      </c>
      <c r="D2610">
        <f>IF(ISBLANK('ENGAGEMENTS 2026'!B2610),"",'ENGAGEMENTS 2026'!F2610)</f>
        <v/>
      </c>
      <c r="E2610">
        <f>IF(ISBLANK('ENGAGEMENTS 2026'!B2610),"",'ENGAGEMENTS 2026'!H2610)</f>
        <v/>
      </c>
      <c r="F2610">
        <f>IF(ISBLANK('ENGAGEMENTS 2026'!B2610),"",'ENGAGEMENTS 2026'!I2610)</f>
        <v/>
      </c>
      <c r="G2610">
        <f>IF(ISBLANK('ENGAGEMENTS 2026'!B2610),"",'ENGAGEMENTS 2026'!L2610)</f>
        <v/>
      </c>
      <c r="H2610">
        <f>IF(ISBLANK('ENGAGEMENTS 2026'!B2610),"",'ENGAGEMENTS 2026'!AE2610)</f>
        <v/>
      </c>
      <c r="I2610">
        <f>IF(ISBLANK('ENGAGEMENTS 2026'!B2610),"",'ENGAGEMENTS 2026'!G2610)</f>
        <v/>
      </c>
      <c r="J2610" s="275">
        <f>IF(ISBLANK('ENGAGEMENTS 2026'!B2610),"",IF(AND(OR($E2610="INFRUCTUEUX",$E2610="ANNULE"),$C2610="AOO-M"),'ENGAGEMENTS 2026'!O2610,IF($H2610="EN COURS DE PREENGAGEMENT",'ENGAGEMENTS 2026'!N2610,IF($H2610="PREENGAGE",IF($E2610="ATTRIBUE",'ENGAGEMENTS 2026'!AD2610,'ENGAGEMENTS 2026'!N2610),'ENGAGEMENTS 2026'!AD2610))))</f>
        <v/>
      </c>
      <c r="K2610" s="604">
        <f>IF(ISBLANK('ENGAGEMENTS 2026'!V2610),"",'ENGAGEMENTS 2026'!V2610)</f>
        <v/>
      </c>
      <c r="L2610" s="276">
        <f>IF($K2610="","",TODAY()-$K2610)</f>
        <v/>
      </c>
      <c r="M2610">
        <f>IF($A2610="","",IF($H2610="ENGAGE","Engagé",IF(AND($H2610="NON ENGAGE",OR($I2610="INFRUCTUEUX",$I2610="ANNULE")),"Clôturé sans suite","En cours")))</f>
        <v/>
      </c>
      <c r="N2610">
        <f>IF(ISBLANK('ENGAGEMENTS 2026'!B2610),"",'ENGAGEMENTS 2026'!K2610)</f>
        <v/>
      </c>
      <c r="O2610">
        <f>IF(ISBLANK('ENGAGEMENTS 2026'!B2610),"",'ENGAGEMENTS 2026'!L2610)</f>
        <v/>
      </c>
      <c r="P2610">
        <f>IF(ISBLANK('ENGAGEMENTS 2026'!B2610),"",'ENGAGEMENTS 2026'!J2610)</f>
        <v/>
      </c>
      <c r="Q2610">
        <f>IF($A2610="","",IF(OR($E2610="INFRUCTUEUX",$E2610="ANNULE"),$A2610&amp;"|"&amp;(COUNTIFS($A$2:$A2610,$A2610,$E$2:$E2610,"INFRUCTUEUX")+COUNTIFS($A$2:$A2610,$A2610,$E$2:$E2610,"ANNULE")),""))</f>
        <v/>
      </c>
    </row>
    <row r="2611">
      <c r="A2611">
        <f>IF(ISBLANK('ENGAGEMENTS 2026'!B2611),"",IF('ENGAGEMENTS 2026'!B2611="DTSI","DCT",'ENGAGEMENTS 2026'!B2611))</f>
        <v/>
      </c>
      <c r="B2611">
        <f>IF(ISBLANK('ENGAGEMENTS 2026'!B2611),"",'ENGAGEMENTS 2026'!C2611)</f>
        <v/>
      </c>
      <c r="C2611">
        <f>IF(ISBLANK('ENGAGEMENTS 2026'!B2611),"",'ENGAGEMENTS 2026'!D2611)</f>
        <v/>
      </c>
      <c r="D2611">
        <f>IF(ISBLANK('ENGAGEMENTS 2026'!B2611),"",'ENGAGEMENTS 2026'!F2611)</f>
        <v/>
      </c>
      <c r="E2611">
        <f>IF(ISBLANK('ENGAGEMENTS 2026'!B2611),"",'ENGAGEMENTS 2026'!H2611)</f>
        <v/>
      </c>
      <c r="F2611">
        <f>IF(ISBLANK('ENGAGEMENTS 2026'!B2611),"",'ENGAGEMENTS 2026'!I2611)</f>
        <v/>
      </c>
      <c r="G2611">
        <f>IF(ISBLANK('ENGAGEMENTS 2026'!B2611),"",'ENGAGEMENTS 2026'!L2611)</f>
        <v/>
      </c>
      <c r="H2611">
        <f>IF(ISBLANK('ENGAGEMENTS 2026'!B2611),"",'ENGAGEMENTS 2026'!AE2611)</f>
        <v/>
      </c>
      <c r="I2611">
        <f>IF(ISBLANK('ENGAGEMENTS 2026'!B2611),"",'ENGAGEMENTS 2026'!G2611)</f>
        <v/>
      </c>
      <c r="J2611" s="275">
        <f>IF(ISBLANK('ENGAGEMENTS 2026'!B2611),"",IF(AND(OR($E2611="INFRUCTUEUX",$E2611="ANNULE"),$C2611="AOO-M"),'ENGAGEMENTS 2026'!O2611,IF($H2611="EN COURS DE PREENGAGEMENT",'ENGAGEMENTS 2026'!N2611,IF($H2611="PREENGAGE",IF($E2611="ATTRIBUE",'ENGAGEMENTS 2026'!AD2611,'ENGAGEMENTS 2026'!N2611),'ENGAGEMENTS 2026'!AD2611))))</f>
        <v/>
      </c>
      <c r="K2611" s="604">
        <f>IF(ISBLANK('ENGAGEMENTS 2026'!V2611),"",'ENGAGEMENTS 2026'!V2611)</f>
        <v/>
      </c>
      <c r="L2611" s="276">
        <f>IF($K2611="","",TODAY()-$K2611)</f>
        <v/>
      </c>
      <c r="M2611">
        <f>IF($A2611="","",IF($H2611="ENGAGE","Engagé",IF(AND($H2611="NON ENGAGE",OR($I2611="INFRUCTUEUX",$I2611="ANNULE")),"Clôturé sans suite","En cours")))</f>
        <v/>
      </c>
      <c r="N2611">
        <f>IF(ISBLANK('ENGAGEMENTS 2026'!B2611),"",'ENGAGEMENTS 2026'!K2611)</f>
        <v/>
      </c>
      <c r="O2611">
        <f>IF(ISBLANK('ENGAGEMENTS 2026'!B2611),"",'ENGAGEMENTS 2026'!L2611)</f>
        <v/>
      </c>
      <c r="P2611">
        <f>IF(ISBLANK('ENGAGEMENTS 2026'!B2611),"",'ENGAGEMENTS 2026'!J2611)</f>
        <v/>
      </c>
      <c r="Q2611">
        <f>IF($A2611="","",IF(OR($E2611="INFRUCTUEUX",$E2611="ANNULE"),$A2611&amp;"|"&amp;(COUNTIFS($A$2:$A2611,$A2611,$E$2:$E2611,"INFRUCTUEUX")+COUNTIFS($A$2:$A2611,$A2611,$E$2:$E2611,"ANNULE")),""))</f>
        <v/>
      </c>
    </row>
    <row r="2612">
      <c r="A2612">
        <f>IF(ISBLANK('ENGAGEMENTS 2026'!B2612),"",IF('ENGAGEMENTS 2026'!B2612="DTSI","DCT",'ENGAGEMENTS 2026'!B2612))</f>
        <v/>
      </c>
      <c r="B2612">
        <f>IF(ISBLANK('ENGAGEMENTS 2026'!B2612),"",'ENGAGEMENTS 2026'!C2612)</f>
        <v/>
      </c>
      <c r="C2612">
        <f>IF(ISBLANK('ENGAGEMENTS 2026'!B2612),"",'ENGAGEMENTS 2026'!D2612)</f>
        <v/>
      </c>
      <c r="D2612">
        <f>IF(ISBLANK('ENGAGEMENTS 2026'!B2612),"",'ENGAGEMENTS 2026'!F2612)</f>
        <v/>
      </c>
      <c r="E2612">
        <f>IF(ISBLANK('ENGAGEMENTS 2026'!B2612),"",'ENGAGEMENTS 2026'!H2612)</f>
        <v/>
      </c>
      <c r="F2612">
        <f>IF(ISBLANK('ENGAGEMENTS 2026'!B2612),"",'ENGAGEMENTS 2026'!I2612)</f>
        <v/>
      </c>
      <c r="G2612">
        <f>IF(ISBLANK('ENGAGEMENTS 2026'!B2612),"",'ENGAGEMENTS 2026'!L2612)</f>
        <v/>
      </c>
      <c r="H2612">
        <f>IF(ISBLANK('ENGAGEMENTS 2026'!B2612),"",'ENGAGEMENTS 2026'!AE2612)</f>
        <v/>
      </c>
      <c r="I2612">
        <f>IF(ISBLANK('ENGAGEMENTS 2026'!B2612),"",'ENGAGEMENTS 2026'!G2612)</f>
        <v/>
      </c>
      <c r="J2612" s="275">
        <f>IF(ISBLANK('ENGAGEMENTS 2026'!B2612),"",IF(AND(OR($E2612="INFRUCTUEUX",$E2612="ANNULE"),$C2612="AOO-M"),'ENGAGEMENTS 2026'!O2612,IF($H2612="EN COURS DE PREENGAGEMENT",'ENGAGEMENTS 2026'!N2612,IF($H2612="PREENGAGE",IF($E2612="ATTRIBUE",'ENGAGEMENTS 2026'!AD2612,'ENGAGEMENTS 2026'!N2612),'ENGAGEMENTS 2026'!AD2612))))</f>
        <v/>
      </c>
      <c r="K2612" s="604">
        <f>IF(ISBLANK('ENGAGEMENTS 2026'!V2612),"",'ENGAGEMENTS 2026'!V2612)</f>
        <v/>
      </c>
      <c r="L2612" s="276">
        <f>IF($K2612="","",TODAY()-$K2612)</f>
        <v/>
      </c>
      <c r="M2612">
        <f>IF($A2612="","",IF($H2612="ENGAGE","Engagé",IF(AND($H2612="NON ENGAGE",OR($I2612="INFRUCTUEUX",$I2612="ANNULE")),"Clôturé sans suite","En cours")))</f>
        <v/>
      </c>
      <c r="N2612">
        <f>IF(ISBLANK('ENGAGEMENTS 2026'!B2612),"",'ENGAGEMENTS 2026'!K2612)</f>
        <v/>
      </c>
      <c r="O2612">
        <f>IF(ISBLANK('ENGAGEMENTS 2026'!B2612),"",'ENGAGEMENTS 2026'!L2612)</f>
        <v/>
      </c>
      <c r="P2612">
        <f>IF(ISBLANK('ENGAGEMENTS 2026'!B2612),"",'ENGAGEMENTS 2026'!J2612)</f>
        <v/>
      </c>
      <c r="Q2612">
        <f>IF($A2612="","",IF(OR($E2612="INFRUCTUEUX",$E2612="ANNULE"),$A2612&amp;"|"&amp;(COUNTIFS($A$2:$A2612,$A2612,$E$2:$E2612,"INFRUCTUEUX")+COUNTIFS($A$2:$A2612,$A2612,$E$2:$E2612,"ANNULE")),""))</f>
        <v/>
      </c>
    </row>
    <row r="2613">
      <c r="A2613">
        <f>IF(ISBLANK('ENGAGEMENTS 2026'!B2613),"",IF('ENGAGEMENTS 2026'!B2613="DTSI","DCT",'ENGAGEMENTS 2026'!B2613))</f>
        <v/>
      </c>
      <c r="B2613">
        <f>IF(ISBLANK('ENGAGEMENTS 2026'!B2613),"",'ENGAGEMENTS 2026'!C2613)</f>
        <v/>
      </c>
      <c r="C2613">
        <f>IF(ISBLANK('ENGAGEMENTS 2026'!B2613),"",'ENGAGEMENTS 2026'!D2613)</f>
        <v/>
      </c>
      <c r="D2613">
        <f>IF(ISBLANK('ENGAGEMENTS 2026'!B2613),"",'ENGAGEMENTS 2026'!F2613)</f>
        <v/>
      </c>
      <c r="E2613">
        <f>IF(ISBLANK('ENGAGEMENTS 2026'!B2613),"",'ENGAGEMENTS 2026'!H2613)</f>
        <v/>
      </c>
      <c r="F2613">
        <f>IF(ISBLANK('ENGAGEMENTS 2026'!B2613),"",'ENGAGEMENTS 2026'!I2613)</f>
        <v/>
      </c>
      <c r="G2613">
        <f>IF(ISBLANK('ENGAGEMENTS 2026'!B2613),"",'ENGAGEMENTS 2026'!L2613)</f>
        <v/>
      </c>
      <c r="H2613">
        <f>IF(ISBLANK('ENGAGEMENTS 2026'!B2613),"",'ENGAGEMENTS 2026'!AE2613)</f>
        <v/>
      </c>
      <c r="I2613">
        <f>IF(ISBLANK('ENGAGEMENTS 2026'!B2613),"",'ENGAGEMENTS 2026'!G2613)</f>
        <v/>
      </c>
      <c r="J2613" s="275">
        <f>IF(ISBLANK('ENGAGEMENTS 2026'!B2613),"",IF(AND(OR($E2613="INFRUCTUEUX",$E2613="ANNULE"),$C2613="AOO-M"),'ENGAGEMENTS 2026'!O2613,IF($H2613="EN COURS DE PREENGAGEMENT",'ENGAGEMENTS 2026'!N2613,IF($H2613="PREENGAGE",IF($E2613="ATTRIBUE",'ENGAGEMENTS 2026'!AD2613,'ENGAGEMENTS 2026'!N2613),'ENGAGEMENTS 2026'!AD2613))))</f>
        <v/>
      </c>
      <c r="K2613" s="604">
        <f>IF(ISBLANK('ENGAGEMENTS 2026'!V2613),"",'ENGAGEMENTS 2026'!V2613)</f>
        <v/>
      </c>
      <c r="L2613" s="276">
        <f>IF($K2613="","",TODAY()-$K2613)</f>
        <v/>
      </c>
      <c r="M2613">
        <f>IF($A2613="","",IF($H2613="ENGAGE","Engagé",IF(AND($H2613="NON ENGAGE",OR($I2613="INFRUCTUEUX",$I2613="ANNULE")),"Clôturé sans suite","En cours")))</f>
        <v/>
      </c>
      <c r="N2613">
        <f>IF(ISBLANK('ENGAGEMENTS 2026'!B2613),"",'ENGAGEMENTS 2026'!K2613)</f>
        <v/>
      </c>
      <c r="O2613">
        <f>IF(ISBLANK('ENGAGEMENTS 2026'!B2613),"",'ENGAGEMENTS 2026'!L2613)</f>
        <v/>
      </c>
      <c r="P2613">
        <f>IF(ISBLANK('ENGAGEMENTS 2026'!B2613),"",'ENGAGEMENTS 2026'!J2613)</f>
        <v/>
      </c>
      <c r="Q2613">
        <f>IF($A2613="","",IF(OR($E2613="INFRUCTUEUX",$E2613="ANNULE"),$A2613&amp;"|"&amp;(COUNTIFS($A$2:$A2613,$A2613,$E$2:$E2613,"INFRUCTUEUX")+COUNTIFS($A$2:$A2613,$A2613,$E$2:$E2613,"ANNULE")),""))</f>
        <v/>
      </c>
    </row>
    <row r="2614">
      <c r="A2614">
        <f>IF(ISBLANK('ENGAGEMENTS 2026'!B2614),"",IF('ENGAGEMENTS 2026'!B2614="DTSI","DCT",'ENGAGEMENTS 2026'!B2614))</f>
        <v/>
      </c>
      <c r="B2614">
        <f>IF(ISBLANK('ENGAGEMENTS 2026'!B2614),"",'ENGAGEMENTS 2026'!C2614)</f>
        <v/>
      </c>
      <c r="C2614">
        <f>IF(ISBLANK('ENGAGEMENTS 2026'!B2614),"",'ENGAGEMENTS 2026'!D2614)</f>
        <v/>
      </c>
      <c r="D2614">
        <f>IF(ISBLANK('ENGAGEMENTS 2026'!B2614),"",'ENGAGEMENTS 2026'!F2614)</f>
        <v/>
      </c>
      <c r="E2614">
        <f>IF(ISBLANK('ENGAGEMENTS 2026'!B2614),"",'ENGAGEMENTS 2026'!H2614)</f>
        <v/>
      </c>
      <c r="F2614">
        <f>IF(ISBLANK('ENGAGEMENTS 2026'!B2614),"",'ENGAGEMENTS 2026'!I2614)</f>
        <v/>
      </c>
      <c r="G2614">
        <f>IF(ISBLANK('ENGAGEMENTS 2026'!B2614),"",'ENGAGEMENTS 2026'!L2614)</f>
        <v/>
      </c>
      <c r="H2614">
        <f>IF(ISBLANK('ENGAGEMENTS 2026'!B2614),"",'ENGAGEMENTS 2026'!AE2614)</f>
        <v/>
      </c>
      <c r="I2614">
        <f>IF(ISBLANK('ENGAGEMENTS 2026'!B2614),"",'ENGAGEMENTS 2026'!G2614)</f>
        <v/>
      </c>
      <c r="J2614" s="275">
        <f>IF(ISBLANK('ENGAGEMENTS 2026'!B2614),"",IF(AND(OR($E2614="INFRUCTUEUX",$E2614="ANNULE"),$C2614="AOO-M"),'ENGAGEMENTS 2026'!O2614,IF($H2614="EN COURS DE PREENGAGEMENT",'ENGAGEMENTS 2026'!N2614,IF($H2614="PREENGAGE",IF($E2614="ATTRIBUE",'ENGAGEMENTS 2026'!AD2614,'ENGAGEMENTS 2026'!N2614),'ENGAGEMENTS 2026'!AD2614))))</f>
        <v/>
      </c>
      <c r="K2614" s="604">
        <f>IF(ISBLANK('ENGAGEMENTS 2026'!V2614),"",'ENGAGEMENTS 2026'!V2614)</f>
        <v/>
      </c>
      <c r="L2614" s="276">
        <f>IF($K2614="","",TODAY()-$K2614)</f>
        <v/>
      </c>
      <c r="M2614">
        <f>IF($A2614="","",IF($H2614="ENGAGE","Engagé",IF(AND($H2614="NON ENGAGE",OR($I2614="INFRUCTUEUX",$I2614="ANNULE")),"Clôturé sans suite","En cours")))</f>
        <v/>
      </c>
      <c r="N2614">
        <f>IF(ISBLANK('ENGAGEMENTS 2026'!B2614),"",'ENGAGEMENTS 2026'!K2614)</f>
        <v/>
      </c>
      <c r="O2614">
        <f>IF(ISBLANK('ENGAGEMENTS 2026'!B2614),"",'ENGAGEMENTS 2026'!L2614)</f>
        <v/>
      </c>
      <c r="P2614">
        <f>IF(ISBLANK('ENGAGEMENTS 2026'!B2614),"",'ENGAGEMENTS 2026'!J2614)</f>
        <v/>
      </c>
      <c r="Q2614">
        <f>IF($A2614="","",IF(OR($E2614="INFRUCTUEUX",$E2614="ANNULE"),$A2614&amp;"|"&amp;(COUNTIFS($A$2:$A2614,$A2614,$E$2:$E2614,"INFRUCTUEUX")+COUNTIFS($A$2:$A2614,$A2614,$E$2:$E2614,"ANNULE")),""))</f>
        <v/>
      </c>
    </row>
    <row r="2615">
      <c r="A2615">
        <f>IF(ISBLANK('ENGAGEMENTS 2026'!B2615),"",IF('ENGAGEMENTS 2026'!B2615="DTSI","DCT",'ENGAGEMENTS 2026'!B2615))</f>
        <v/>
      </c>
      <c r="B2615">
        <f>IF(ISBLANK('ENGAGEMENTS 2026'!B2615),"",'ENGAGEMENTS 2026'!C2615)</f>
        <v/>
      </c>
      <c r="C2615">
        <f>IF(ISBLANK('ENGAGEMENTS 2026'!B2615),"",'ENGAGEMENTS 2026'!D2615)</f>
        <v/>
      </c>
      <c r="D2615">
        <f>IF(ISBLANK('ENGAGEMENTS 2026'!B2615),"",'ENGAGEMENTS 2026'!F2615)</f>
        <v/>
      </c>
      <c r="E2615">
        <f>IF(ISBLANK('ENGAGEMENTS 2026'!B2615),"",'ENGAGEMENTS 2026'!H2615)</f>
        <v/>
      </c>
      <c r="F2615">
        <f>IF(ISBLANK('ENGAGEMENTS 2026'!B2615),"",'ENGAGEMENTS 2026'!I2615)</f>
        <v/>
      </c>
      <c r="G2615">
        <f>IF(ISBLANK('ENGAGEMENTS 2026'!B2615),"",'ENGAGEMENTS 2026'!L2615)</f>
        <v/>
      </c>
      <c r="H2615">
        <f>IF(ISBLANK('ENGAGEMENTS 2026'!B2615),"",'ENGAGEMENTS 2026'!AE2615)</f>
        <v/>
      </c>
      <c r="I2615">
        <f>IF(ISBLANK('ENGAGEMENTS 2026'!B2615),"",'ENGAGEMENTS 2026'!G2615)</f>
        <v/>
      </c>
      <c r="J2615" s="275">
        <f>IF(ISBLANK('ENGAGEMENTS 2026'!B2615),"",IF(AND(OR($E2615="INFRUCTUEUX",$E2615="ANNULE"),$C2615="AOO-M"),'ENGAGEMENTS 2026'!O2615,IF($H2615="EN COURS DE PREENGAGEMENT",'ENGAGEMENTS 2026'!N2615,IF($H2615="PREENGAGE",IF($E2615="ATTRIBUE",'ENGAGEMENTS 2026'!AD2615,'ENGAGEMENTS 2026'!N2615),'ENGAGEMENTS 2026'!AD2615))))</f>
        <v/>
      </c>
      <c r="K2615" s="604">
        <f>IF(ISBLANK('ENGAGEMENTS 2026'!V2615),"",'ENGAGEMENTS 2026'!V2615)</f>
        <v/>
      </c>
      <c r="L2615" s="276">
        <f>IF($K2615="","",TODAY()-$K2615)</f>
        <v/>
      </c>
      <c r="M2615">
        <f>IF($A2615="","",IF($H2615="ENGAGE","Engagé",IF(AND($H2615="NON ENGAGE",OR($I2615="INFRUCTUEUX",$I2615="ANNULE")),"Clôturé sans suite","En cours")))</f>
        <v/>
      </c>
      <c r="N2615">
        <f>IF(ISBLANK('ENGAGEMENTS 2026'!B2615),"",'ENGAGEMENTS 2026'!K2615)</f>
        <v/>
      </c>
      <c r="O2615">
        <f>IF(ISBLANK('ENGAGEMENTS 2026'!B2615),"",'ENGAGEMENTS 2026'!L2615)</f>
        <v/>
      </c>
      <c r="P2615">
        <f>IF(ISBLANK('ENGAGEMENTS 2026'!B2615),"",'ENGAGEMENTS 2026'!J2615)</f>
        <v/>
      </c>
      <c r="Q2615">
        <f>IF($A2615="","",IF(OR($E2615="INFRUCTUEUX",$E2615="ANNULE"),$A2615&amp;"|"&amp;(COUNTIFS($A$2:$A2615,$A2615,$E$2:$E2615,"INFRUCTUEUX")+COUNTIFS($A$2:$A2615,$A2615,$E$2:$E2615,"ANNULE")),""))</f>
        <v/>
      </c>
    </row>
    <row r="2616">
      <c r="A2616">
        <f>IF(ISBLANK('ENGAGEMENTS 2026'!B2616),"",IF('ENGAGEMENTS 2026'!B2616="DTSI","DCT",'ENGAGEMENTS 2026'!B2616))</f>
        <v/>
      </c>
      <c r="B2616">
        <f>IF(ISBLANK('ENGAGEMENTS 2026'!B2616),"",'ENGAGEMENTS 2026'!C2616)</f>
        <v/>
      </c>
      <c r="C2616">
        <f>IF(ISBLANK('ENGAGEMENTS 2026'!B2616),"",'ENGAGEMENTS 2026'!D2616)</f>
        <v/>
      </c>
      <c r="D2616">
        <f>IF(ISBLANK('ENGAGEMENTS 2026'!B2616),"",'ENGAGEMENTS 2026'!F2616)</f>
        <v/>
      </c>
      <c r="E2616">
        <f>IF(ISBLANK('ENGAGEMENTS 2026'!B2616),"",'ENGAGEMENTS 2026'!H2616)</f>
        <v/>
      </c>
      <c r="F2616">
        <f>IF(ISBLANK('ENGAGEMENTS 2026'!B2616),"",'ENGAGEMENTS 2026'!I2616)</f>
        <v/>
      </c>
      <c r="G2616">
        <f>IF(ISBLANK('ENGAGEMENTS 2026'!B2616),"",'ENGAGEMENTS 2026'!L2616)</f>
        <v/>
      </c>
      <c r="H2616">
        <f>IF(ISBLANK('ENGAGEMENTS 2026'!B2616),"",'ENGAGEMENTS 2026'!AE2616)</f>
        <v/>
      </c>
      <c r="I2616">
        <f>IF(ISBLANK('ENGAGEMENTS 2026'!B2616),"",'ENGAGEMENTS 2026'!G2616)</f>
        <v/>
      </c>
      <c r="J2616" s="275">
        <f>IF(ISBLANK('ENGAGEMENTS 2026'!B2616),"",IF(AND(OR($E2616="INFRUCTUEUX",$E2616="ANNULE"),$C2616="AOO-M"),'ENGAGEMENTS 2026'!O2616,IF($H2616="EN COURS DE PREENGAGEMENT",'ENGAGEMENTS 2026'!N2616,IF($H2616="PREENGAGE",IF($E2616="ATTRIBUE",'ENGAGEMENTS 2026'!AD2616,'ENGAGEMENTS 2026'!N2616),'ENGAGEMENTS 2026'!AD2616))))</f>
        <v/>
      </c>
      <c r="K2616" s="604">
        <f>IF(ISBLANK('ENGAGEMENTS 2026'!V2616),"",'ENGAGEMENTS 2026'!V2616)</f>
        <v/>
      </c>
      <c r="L2616" s="276">
        <f>IF($K2616="","",TODAY()-$K2616)</f>
        <v/>
      </c>
      <c r="M2616">
        <f>IF($A2616="","",IF($H2616="ENGAGE","Engagé",IF(AND($H2616="NON ENGAGE",OR($I2616="INFRUCTUEUX",$I2616="ANNULE")),"Clôturé sans suite","En cours")))</f>
        <v/>
      </c>
      <c r="N2616">
        <f>IF(ISBLANK('ENGAGEMENTS 2026'!B2616),"",'ENGAGEMENTS 2026'!K2616)</f>
        <v/>
      </c>
      <c r="O2616">
        <f>IF(ISBLANK('ENGAGEMENTS 2026'!B2616),"",'ENGAGEMENTS 2026'!L2616)</f>
        <v/>
      </c>
      <c r="P2616">
        <f>IF(ISBLANK('ENGAGEMENTS 2026'!B2616),"",'ENGAGEMENTS 2026'!J2616)</f>
        <v/>
      </c>
      <c r="Q2616">
        <f>IF($A2616="","",IF(OR($E2616="INFRUCTUEUX",$E2616="ANNULE"),$A2616&amp;"|"&amp;(COUNTIFS($A$2:$A2616,$A2616,$E$2:$E2616,"INFRUCTUEUX")+COUNTIFS($A$2:$A2616,$A2616,$E$2:$E2616,"ANNULE")),""))</f>
        <v/>
      </c>
    </row>
    <row r="2617">
      <c r="A2617">
        <f>IF(ISBLANK('ENGAGEMENTS 2026'!B2617),"",IF('ENGAGEMENTS 2026'!B2617="DTSI","DCT",'ENGAGEMENTS 2026'!B2617))</f>
        <v/>
      </c>
      <c r="B2617">
        <f>IF(ISBLANK('ENGAGEMENTS 2026'!B2617),"",'ENGAGEMENTS 2026'!C2617)</f>
        <v/>
      </c>
      <c r="C2617">
        <f>IF(ISBLANK('ENGAGEMENTS 2026'!B2617),"",'ENGAGEMENTS 2026'!D2617)</f>
        <v/>
      </c>
      <c r="D2617">
        <f>IF(ISBLANK('ENGAGEMENTS 2026'!B2617),"",'ENGAGEMENTS 2026'!F2617)</f>
        <v/>
      </c>
      <c r="E2617">
        <f>IF(ISBLANK('ENGAGEMENTS 2026'!B2617),"",'ENGAGEMENTS 2026'!H2617)</f>
        <v/>
      </c>
      <c r="F2617">
        <f>IF(ISBLANK('ENGAGEMENTS 2026'!B2617),"",'ENGAGEMENTS 2026'!I2617)</f>
        <v/>
      </c>
      <c r="G2617">
        <f>IF(ISBLANK('ENGAGEMENTS 2026'!B2617),"",'ENGAGEMENTS 2026'!L2617)</f>
        <v/>
      </c>
      <c r="H2617">
        <f>IF(ISBLANK('ENGAGEMENTS 2026'!B2617),"",'ENGAGEMENTS 2026'!AE2617)</f>
        <v/>
      </c>
      <c r="I2617">
        <f>IF(ISBLANK('ENGAGEMENTS 2026'!B2617),"",'ENGAGEMENTS 2026'!G2617)</f>
        <v/>
      </c>
      <c r="J2617" s="275">
        <f>IF(ISBLANK('ENGAGEMENTS 2026'!B2617),"",IF(AND(OR($E2617="INFRUCTUEUX",$E2617="ANNULE"),$C2617="AOO-M"),'ENGAGEMENTS 2026'!O2617,IF($H2617="EN COURS DE PREENGAGEMENT",'ENGAGEMENTS 2026'!N2617,IF($H2617="PREENGAGE",IF($E2617="ATTRIBUE",'ENGAGEMENTS 2026'!AD2617,'ENGAGEMENTS 2026'!N2617),'ENGAGEMENTS 2026'!AD2617))))</f>
        <v/>
      </c>
      <c r="K2617" s="604">
        <f>IF(ISBLANK('ENGAGEMENTS 2026'!V2617),"",'ENGAGEMENTS 2026'!V2617)</f>
        <v/>
      </c>
      <c r="L2617" s="276">
        <f>IF($K2617="","",TODAY()-$K2617)</f>
        <v/>
      </c>
      <c r="M2617">
        <f>IF($A2617="","",IF($H2617="ENGAGE","Engagé",IF(AND($H2617="NON ENGAGE",OR($I2617="INFRUCTUEUX",$I2617="ANNULE")),"Clôturé sans suite","En cours")))</f>
        <v/>
      </c>
      <c r="N2617">
        <f>IF(ISBLANK('ENGAGEMENTS 2026'!B2617),"",'ENGAGEMENTS 2026'!K2617)</f>
        <v/>
      </c>
      <c r="O2617">
        <f>IF(ISBLANK('ENGAGEMENTS 2026'!B2617),"",'ENGAGEMENTS 2026'!L2617)</f>
        <v/>
      </c>
      <c r="P2617">
        <f>IF(ISBLANK('ENGAGEMENTS 2026'!B2617),"",'ENGAGEMENTS 2026'!J2617)</f>
        <v/>
      </c>
      <c r="Q2617">
        <f>IF($A2617="","",IF(OR($E2617="INFRUCTUEUX",$E2617="ANNULE"),$A2617&amp;"|"&amp;(COUNTIFS($A$2:$A2617,$A2617,$E$2:$E2617,"INFRUCTUEUX")+COUNTIFS($A$2:$A2617,$A2617,$E$2:$E2617,"ANNULE")),""))</f>
        <v/>
      </c>
    </row>
    <row r="2618">
      <c r="A2618">
        <f>IF(ISBLANK('ENGAGEMENTS 2026'!B2618),"",IF('ENGAGEMENTS 2026'!B2618="DTSI","DCT",'ENGAGEMENTS 2026'!B2618))</f>
        <v/>
      </c>
      <c r="B2618">
        <f>IF(ISBLANK('ENGAGEMENTS 2026'!B2618),"",'ENGAGEMENTS 2026'!C2618)</f>
        <v/>
      </c>
      <c r="C2618">
        <f>IF(ISBLANK('ENGAGEMENTS 2026'!B2618),"",'ENGAGEMENTS 2026'!D2618)</f>
        <v/>
      </c>
      <c r="D2618">
        <f>IF(ISBLANK('ENGAGEMENTS 2026'!B2618),"",'ENGAGEMENTS 2026'!F2618)</f>
        <v/>
      </c>
      <c r="E2618">
        <f>IF(ISBLANK('ENGAGEMENTS 2026'!B2618),"",'ENGAGEMENTS 2026'!H2618)</f>
        <v/>
      </c>
      <c r="F2618">
        <f>IF(ISBLANK('ENGAGEMENTS 2026'!B2618),"",'ENGAGEMENTS 2026'!I2618)</f>
        <v/>
      </c>
      <c r="G2618">
        <f>IF(ISBLANK('ENGAGEMENTS 2026'!B2618),"",'ENGAGEMENTS 2026'!L2618)</f>
        <v/>
      </c>
      <c r="H2618">
        <f>IF(ISBLANK('ENGAGEMENTS 2026'!B2618),"",'ENGAGEMENTS 2026'!AE2618)</f>
        <v/>
      </c>
      <c r="I2618">
        <f>IF(ISBLANK('ENGAGEMENTS 2026'!B2618),"",'ENGAGEMENTS 2026'!G2618)</f>
        <v/>
      </c>
      <c r="J2618" s="275">
        <f>IF(ISBLANK('ENGAGEMENTS 2026'!B2618),"",IF(AND(OR($E2618="INFRUCTUEUX",$E2618="ANNULE"),$C2618="AOO-M"),'ENGAGEMENTS 2026'!O2618,IF($H2618="EN COURS DE PREENGAGEMENT",'ENGAGEMENTS 2026'!N2618,IF($H2618="PREENGAGE",IF($E2618="ATTRIBUE",'ENGAGEMENTS 2026'!AD2618,'ENGAGEMENTS 2026'!N2618),'ENGAGEMENTS 2026'!AD2618))))</f>
        <v/>
      </c>
      <c r="K2618" s="604">
        <f>IF(ISBLANK('ENGAGEMENTS 2026'!V2618),"",'ENGAGEMENTS 2026'!V2618)</f>
        <v/>
      </c>
      <c r="L2618" s="276">
        <f>IF($K2618="","",TODAY()-$K2618)</f>
        <v/>
      </c>
      <c r="M2618">
        <f>IF($A2618="","",IF($H2618="ENGAGE","Engagé",IF(AND($H2618="NON ENGAGE",OR($I2618="INFRUCTUEUX",$I2618="ANNULE")),"Clôturé sans suite","En cours")))</f>
        <v/>
      </c>
      <c r="N2618">
        <f>IF(ISBLANK('ENGAGEMENTS 2026'!B2618),"",'ENGAGEMENTS 2026'!K2618)</f>
        <v/>
      </c>
      <c r="O2618">
        <f>IF(ISBLANK('ENGAGEMENTS 2026'!B2618),"",'ENGAGEMENTS 2026'!L2618)</f>
        <v/>
      </c>
      <c r="P2618">
        <f>IF(ISBLANK('ENGAGEMENTS 2026'!B2618),"",'ENGAGEMENTS 2026'!J2618)</f>
        <v/>
      </c>
      <c r="Q2618">
        <f>IF($A2618="","",IF(OR($E2618="INFRUCTUEUX",$E2618="ANNULE"),$A2618&amp;"|"&amp;(COUNTIFS($A$2:$A2618,$A2618,$E$2:$E2618,"INFRUCTUEUX")+COUNTIFS($A$2:$A2618,$A2618,$E$2:$E2618,"ANNULE")),""))</f>
        <v/>
      </c>
    </row>
    <row r="2619">
      <c r="A2619">
        <f>IF(ISBLANK('ENGAGEMENTS 2026'!B2619),"",IF('ENGAGEMENTS 2026'!B2619="DTSI","DCT",'ENGAGEMENTS 2026'!B2619))</f>
        <v/>
      </c>
      <c r="B2619">
        <f>IF(ISBLANK('ENGAGEMENTS 2026'!B2619),"",'ENGAGEMENTS 2026'!C2619)</f>
        <v/>
      </c>
      <c r="C2619">
        <f>IF(ISBLANK('ENGAGEMENTS 2026'!B2619),"",'ENGAGEMENTS 2026'!D2619)</f>
        <v/>
      </c>
      <c r="D2619">
        <f>IF(ISBLANK('ENGAGEMENTS 2026'!B2619),"",'ENGAGEMENTS 2026'!F2619)</f>
        <v/>
      </c>
      <c r="E2619">
        <f>IF(ISBLANK('ENGAGEMENTS 2026'!B2619),"",'ENGAGEMENTS 2026'!H2619)</f>
        <v/>
      </c>
      <c r="F2619">
        <f>IF(ISBLANK('ENGAGEMENTS 2026'!B2619),"",'ENGAGEMENTS 2026'!I2619)</f>
        <v/>
      </c>
      <c r="G2619">
        <f>IF(ISBLANK('ENGAGEMENTS 2026'!B2619),"",'ENGAGEMENTS 2026'!L2619)</f>
        <v/>
      </c>
      <c r="H2619">
        <f>IF(ISBLANK('ENGAGEMENTS 2026'!B2619),"",'ENGAGEMENTS 2026'!AE2619)</f>
        <v/>
      </c>
      <c r="I2619">
        <f>IF(ISBLANK('ENGAGEMENTS 2026'!B2619),"",'ENGAGEMENTS 2026'!G2619)</f>
        <v/>
      </c>
      <c r="J2619" s="275">
        <f>IF(ISBLANK('ENGAGEMENTS 2026'!B2619),"",IF(AND(OR($E2619="INFRUCTUEUX",$E2619="ANNULE"),$C2619="AOO-M"),'ENGAGEMENTS 2026'!O2619,IF($H2619="EN COURS DE PREENGAGEMENT",'ENGAGEMENTS 2026'!N2619,IF($H2619="PREENGAGE",IF($E2619="ATTRIBUE",'ENGAGEMENTS 2026'!AD2619,'ENGAGEMENTS 2026'!N2619),'ENGAGEMENTS 2026'!AD2619))))</f>
        <v/>
      </c>
      <c r="K2619" s="604">
        <f>IF(ISBLANK('ENGAGEMENTS 2026'!V2619),"",'ENGAGEMENTS 2026'!V2619)</f>
        <v/>
      </c>
      <c r="L2619" s="276">
        <f>IF($K2619="","",TODAY()-$K2619)</f>
        <v/>
      </c>
      <c r="M2619">
        <f>IF($A2619="","",IF($H2619="ENGAGE","Engagé",IF(AND($H2619="NON ENGAGE",OR($I2619="INFRUCTUEUX",$I2619="ANNULE")),"Clôturé sans suite","En cours")))</f>
        <v/>
      </c>
      <c r="N2619">
        <f>IF(ISBLANK('ENGAGEMENTS 2026'!B2619),"",'ENGAGEMENTS 2026'!K2619)</f>
        <v/>
      </c>
      <c r="O2619">
        <f>IF(ISBLANK('ENGAGEMENTS 2026'!B2619),"",'ENGAGEMENTS 2026'!L2619)</f>
        <v/>
      </c>
      <c r="P2619">
        <f>IF(ISBLANK('ENGAGEMENTS 2026'!B2619),"",'ENGAGEMENTS 2026'!J2619)</f>
        <v/>
      </c>
      <c r="Q2619">
        <f>IF($A2619="","",IF(OR($E2619="INFRUCTUEUX",$E2619="ANNULE"),$A2619&amp;"|"&amp;(COUNTIFS($A$2:$A2619,$A2619,$E$2:$E2619,"INFRUCTUEUX")+COUNTIFS($A$2:$A2619,$A2619,$E$2:$E2619,"ANNULE")),""))</f>
        <v/>
      </c>
    </row>
    <row r="2620">
      <c r="A2620">
        <f>IF(ISBLANK('ENGAGEMENTS 2026'!B2620),"",IF('ENGAGEMENTS 2026'!B2620="DTSI","DCT",'ENGAGEMENTS 2026'!B2620))</f>
        <v/>
      </c>
      <c r="B2620">
        <f>IF(ISBLANK('ENGAGEMENTS 2026'!B2620),"",'ENGAGEMENTS 2026'!C2620)</f>
        <v/>
      </c>
      <c r="C2620">
        <f>IF(ISBLANK('ENGAGEMENTS 2026'!B2620),"",'ENGAGEMENTS 2026'!D2620)</f>
        <v/>
      </c>
      <c r="D2620">
        <f>IF(ISBLANK('ENGAGEMENTS 2026'!B2620),"",'ENGAGEMENTS 2026'!F2620)</f>
        <v/>
      </c>
      <c r="E2620">
        <f>IF(ISBLANK('ENGAGEMENTS 2026'!B2620),"",'ENGAGEMENTS 2026'!H2620)</f>
        <v/>
      </c>
      <c r="F2620">
        <f>IF(ISBLANK('ENGAGEMENTS 2026'!B2620),"",'ENGAGEMENTS 2026'!I2620)</f>
        <v/>
      </c>
      <c r="G2620">
        <f>IF(ISBLANK('ENGAGEMENTS 2026'!B2620),"",'ENGAGEMENTS 2026'!L2620)</f>
        <v/>
      </c>
      <c r="H2620">
        <f>IF(ISBLANK('ENGAGEMENTS 2026'!B2620),"",'ENGAGEMENTS 2026'!AE2620)</f>
        <v/>
      </c>
      <c r="I2620">
        <f>IF(ISBLANK('ENGAGEMENTS 2026'!B2620),"",'ENGAGEMENTS 2026'!G2620)</f>
        <v/>
      </c>
      <c r="J2620" s="275">
        <f>IF(ISBLANK('ENGAGEMENTS 2026'!B2620),"",IF(AND(OR($E2620="INFRUCTUEUX",$E2620="ANNULE"),$C2620="AOO-M"),'ENGAGEMENTS 2026'!O2620,IF($H2620="EN COURS DE PREENGAGEMENT",'ENGAGEMENTS 2026'!N2620,IF($H2620="PREENGAGE",IF($E2620="ATTRIBUE",'ENGAGEMENTS 2026'!AD2620,'ENGAGEMENTS 2026'!N2620),'ENGAGEMENTS 2026'!AD2620))))</f>
        <v/>
      </c>
      <c r="K2620" s="604">
        <f>IF(ISBLANK('ENGAGEMENTS 2026'!V2620),"",'ENGAGEMENTS 2026'!V2620)</f>
        <v/>
      </c>
      <c r="L2620" s="276">
        <f>IF($K2620="","",TODAY()-$K2620)</f>
        <v/>
      </c>
      <c r="M2620">
        <f>IF($A2620="","",IF($H2620="ENGAGE","Engagé",IF(AND($H2620="NON ENGAGE",OR($I2620="INFRUCTUEUX",$I2620="ANNULE")),"Clôturé sans suite","En cours")))</f>
        <v/>
      </c>
      <c r="N2620">
        <f>IF(ISBLANK('ENGAGEMENTS 2026'!B2620),"",'ENGAGEMENTS 2026'!K2620)</f>
        <v/>
      </c>
      <c r="O2620">
        <f>IF(ISBLANK('ENGAGEMENTS 2026'!B2620),"",'ENGAGEMENTS 2026'!L2620)</f>
        <v/>
      </c>
      <c r="P2620">
        <f>IF(ISBLANK('ENGAGEMENTS 2026'!B2620),"",'ENGAGEMENTS 2026'!J2620)</f>
        <v/>
      </c>
      <c r="Q2620">
        <f>IF($A2620="","",IF(OR($E2620="INFRUCTUEUX",$E2620="ANNULE"),$A2620&amp;"|"&amp;(COUNTIFS($A$2:$A2620,$A2620,$E$2:$E2620,"INFRUCTUEUX")+COUNTIFS($A$2:$A2620,$A2620,$E$2:$E2620,"ANNULE")),""))</f>
        <v/>
      </c>
    </row>
    <row r="2621">
      <c r="A2621">
        <f>IF(ISBLANK('ENGAGEMENTS 2026'!B2621),"",IF('ENGAGEMENTS 2026'!B2621="DTSI","DCT",'ENGAGEMENTS 2026'!B2621))</f>
        <v/>
      </c>
      <c r="B2621">
        <f>IF(ISBLANK('ENGAGEMENTS 2026'!B2621),"",'ENGAGEMENTS 2026'!C2621)</f>
        <v/>
      </c>
      <c r="C2621">
        <f>IF(ISBLANK('ENGAGEMENTS 2026'!B2621),"",'ENGAGEMENTS 2026'!D2621)</f>
        <v/>
      </c>
      <c r="D2621">
        <f>IF(ISBLANK('ENGAGEMENTS 2026'!B2621),"",'ENGAGEMENTS 2026'!F2621)</f>
        <v/>
      </c>
      <c r="E2621">
        <f>IF(ISBLANK('ENGAGEMENTS 2026'!B2621),"",'ENGAGEMENTS 2026'!H2621)</f>
        <v/>
      </c>
      <c r="F2621">
        <f>IF(ISBLANK('ENGAGEMENTS 2026'!B2621),"",'ENGAGEMENTS 2026'!I2621)</f>
        <v/>
      </c>
      <c r="G2621">
        <f>IF(ISBLANK('ENGAGEMENTS 2026'!B2621),"",'ENGAGEMENTS 2026'!L2621)</f>
        <v/>
      </c>
      <c r="H2621">
        <f>IF(ISBLANK('ENGAGEMENTS 2026'!B2621),"",'ENGAGEMENTS 2026'!AE2621)</f>
        <v/>
      </c>
      <c r="I2621">
        <f>IF(ISBLANK('ENGAGEMENTS 2026'!B2621),"",'ENGAGEMENTS 2026'!G2621)</f>
        <v/>
      </c>
      <c r="J2621" s="275">
        <f>IF(ISBLANK('ENGAGEMENTS 2026'!B2621),"",IF(AND(OR($E2621="INFRUCTUEUX",$E2621="ANNULE"),$C2621="AOO-M"),'ENGAGEMENTS 2026'!O2621,IF($H2621="EN COURS DE PREENGAGEMENT",'ENGAGEMENTS 2026'!N2621,IF($H2621="PREENGAGE",IF($E2621="ATTRIBUE",'ENGAGEMENTS 2026'!AD2621,'ENGAGEMENTS 2026'!N2621),'ENGAGEMENTS 2026'!AD2621))))</f>
        <v/>
      </c>
      <c r="K2621" s="604">
        <f>IF(ISBLANK('ENGAGEMENTS 2026'!V2621),"",'ENGAGEMENTS 2026'!V2621)</f>
        <v/>
      </c>
      <c r="L2621" s="276">
        <f>IF($K2621="","",TODAY()-$K2621)</f>
        <v/>
      </c>
      <c r="M2621">
        <f>IF($A2621="","",IF($H2621="ENGAGE","Engagé",IF(AND($H2621="NON ENGAGE",OR($I2621="INFRUCTUEUX",$I2621="ANNULE")),"Clôturé sans suite","En cours")))</f>
        <v/>
      </c>
      <c r="N2621">
        <f>IF(ISBLANK('ENGAGEMENTS 2026'!B2621),"",'ENGAGEMENTS 2026'!K2621)</f>
        <v/>
      </c>
      <c r="O2621">
        <f>IF(ISBLANK('ENGAGEMENTS 2026'!B2621),"",'ENGAGEMENTS 2026'!L2621)</f>
        <v/>
      </c>
      <c r="P2621">
        <f>IF(ISBLANK('ENGAGEMENTS 2026'!B2621),"",'ENGAGEMENTS 2026'!J2621)</f>
        <v/>
      </c>
      <c r="Q2621">
        <f>IF($A2621="","",IF(OR($E2621="INFRUCTUEUX",$E2621="ANNULE"),$A2621&amp;"|"&amp;(COUNTIFS($A$2:$A2621,$A2621,$E$2:$E2621,"INFRUCTUEUX")+COUNTIFS($A$2:$A2621,$A2621,$E$2:$E2621,"ANNULE")),""))</f>
        <v/>
      </c>
    </row>
    <row r="2622">
      <c r="A2622">
        <f>IF(ISBLANK('ENGAGEMENTS 2026'!B2622),"",IF('ENGAGEMENTS 2026'!B2622="DTSI","DCT",'ENGAGEMENTS 2026'!B2622))</f>
        <v/>
      </c>
      <c r="B2622">
        <f>IF(ISBLANK('ENGAGEMENTS 2026'!B2622),"",'ENGAGEMENTS 2026'!C2622)</f>
        <v/>
      </c>
      <c r="C2622">
        <f>IF(ISBLANK('ENGAGEMENTS 2026'!B2622),"",'ENGAGEMENTS 2026'!D2622)</f>
        <v/>
      </c>
      <c r="D2622">
        <f>IF(ISBLANK('ENGAGEMENTS 2026'!B2622),"",'ENGAGEMENTS 2026'!F2622)</f>
        <v/>
      </c>
      <c r="E2622">
        <f>IF(ISBLANK('ENGAGEMENTS 2026'!B2622),"",'ENGAGEMENTS 2026'!H2622)</f>
        <v/>
      </c>
      <c r="F2622">
        <f>IF(ISBLANK('ENGAGEMENTS 2026'!B2622),"",'ENGAGEMENTS 2026'!I2622)</f>
        <v/>
      </c>
      <c r="G2622">
        <f>IF(ISBLANK('ENGAGEMENTS 2026'!B2622),"",'ENGAGEMENTS 2026'!L2622)</f>
        <v/>
      </c>
      <c r="H2622">
        <f>IF(ISBLANK('ENGAGEMENTS 2026'!B2622),"",'ENGAGEMENTS 2026'!AE2622)</f>
        <v/>
      </c>
      <c r="I2622">
        <f>IF(ISBLANK('ENGAGEMENTS 2026'!B2622),"",'ENGAGEMENTS 2026'!G2622)</f>
        <v/>
      </c>
      <c r="J2622" s="275">
        <f>IF(ISBLANK('ENGAGEMENTS 2026'!B2622),"",IF(AND(OR($E2622="INFRUCTUEUX",$E2622="ANNULE"),$C2622="AOO-M"),'ENGAGEMENTS 2026'!O2622,IF($H2622="EN COURS DE PREENGAGEMENT",'ENGAGEMENTS 2026'!N2622,IF($H2622="PREENGAGE",IF($E2622="ATTRIBUE",'ENGAGEMENTS 2026'!AD2622,'ENGAGEMENTS 2026'!N2622),'ENGAGEMENTS 2026'!AD2622))))</f>
        <v/>
      </c>
      <c r="K2622" s="604">
        <f>IF(ISBLANK('ENGAGEMENTS 2026'!V2622),"",'ENGAGEMENTS 2026'!V2622)</f>
        <v/>
      </c>
      <c r="L2622" s="276">
        <f>IF($K2622="","",TODAY()-$K2622)</f>
        <v/>
      </c>
      <c r="M2622">
        <f>IF($A2622="","",IF($H2622="ENGAGE","Engagé",IF(AND($H2622="NON ENGAGE",OR($I2622="INFRUCTUEUX",$I2622="ANNULE")),"Clôturé sans suite","En cours")))</f>
        <v/>
      </c>
      <c r="N2622">
        <f>IF(ISBLANK('ENGAGEMENTS 2026'!B2622),"",'ENGAGEMENTS 2026'!K2622)</f>
        <v/>
      </c>
      <c r="O2622">
        <f>IF(ISBLANK('ENGAGEMENTS 2026'!B2622),"",'ENGAGEMENTS 2026'!L2622)</f>
        <v/>
      </c>
      <c r="P2622">
        <f>IF(ISBLANK('ENGAGEMENTS 2026'!B2622),"",'ENGAGEMENTS 2026'!J2622)</f>
        <v/>
      </c>
      <c r="Q2622">
        <f>IF($A2622="","",IF(OR($E2622="INFRUCTUEUX",$E2622="ANNULE"),$A2622&amp;"|"&amp;(COUNTIFS($A$2:$A2622,$A2622,$E$2:$E2622,"INFRUCTUEUX")+COUNTIFS($A$2:$A2622,$A2622,$E$2:$E2622,"ANNULE")),""))</f>
        <v/>
      </c>
    </row>
    <row r="2623">
      <c r="A2623">
        <f>IF(ISBLANK('ENGAGEMENTS 2026'!B2623),"",IF('ENGAGEMENTS 2026'!B2623="DTSI","DCT",'ENGAGEMENTS 2026'!B2623))</f>
        <v/>
      </c>
      <c r="B2623">
        <f>IF(ISBLANK('ENGAGEMENTS 2026'!B2623),"",'ENGAGEMENTS 2026'!C2623)</f>
        <v/>
      </c>
      <c r="C2623">
        <f>IF(ISBLANK('ENGAGEMENTS 2026'!B2623),"",'ENGAGEMENTS 2026'!D2623)</f>
        <v/>
      </c>
      <c r="D2623">
        <f>IF(ISBLANK('ENGAGEMENTS 2026'!B2623),"",'ENGAGEMENTS 2026'!F2623)</f>
        <v/>
      </c>
      <c r="E2623">
        <f>IF(ISBLANK('ENGAGEMENTS 2026'!B2623),"",'ENGAGEMENTS 2026'!H2623)</f>
        <v/>
      </c>
      <c r="F2623">
        <f>IF(ISBLANK('ENGAGEMENTS 2026'!B2623),"",'ENGAGEMENTS 2026'!I2623)</f>
        <v/>
      </c>
      <c r="G2623">
        <f>IF(ISBLANK('ENGAGEMENTS 2026'!B2623),"",'ENGAGEMENTS 2026'!L2623)</f>
        <v/>
      </c>
      <c r="H2623">
        <f>IF(ISBLANK('ENGAGEMENTS 2026'!B2623),"",'ENGAGEMENTS 2026'!AE2623)</f>
        <v/>
      </c>
      <c r="I2623">
        <f>IF(ISBLANK('ENGAGEMENTS 2026'!B2623),"",'ENGAGEMENTS 2026'!G2623)</f>
        <v/>
      </c>
      <c r="J2623" s="275">
        <f>IF(ISBLANK('ENGAGEMENTS 2026'!B2623),"",IF(AND(OR($E2623="INFRUCTUEUX",$E2623="ANNULE"),$C2623="AOO-M"),'ENGAGEMENTS 2026'!O2623,IF($H2623="EN COURS DE PREENGAGEMENT",'ENGAGEMENTS 2026'!N2623,IF($H2623="PREENGAGE",IF($E2623="ATTRIBUE",'ENGAGEMENTS 2026'!AD2623,'ENGAGEMENTS 2026'!N2623),'ENGAGEMENTS 2026'!AD2623))))</f>
        <v/>
      </c>
      <c r="K2623" s="604">
        <f>IF(ISBLANK('ENGAGEMENTS 2026'!V2623),"",'ENGAGEMENTS 2026'!V2623)</f>
        <v/>
      </c>
      <c r="L2623" s="276">
        <f>IF($K2623="","",TODAY()-$K2623)</f>
        <v/>
      </c>
      <c r="M2623">
        <f>IF($A2623="","",IF($H2623="ENGAGE","Engagé",IF(AND($H2623="NON ENGAGE",OR($I2623="INFRUCTUEUX",$I2623="ANNULE")),"Clôturé sans suite","En cours")))</f>
        <v/>
      </c>
      <c r="N2623">
        <f>IF(ISBLANK('ENGAGEMENTS 2026'!B2623),"",'ENGAGEMENTS 2026'!K2623)</f>
        <v/>
      </c>
      <c r="O2623">
        <f>IF(ISBLANK('ENGAGEMENTS 2026'!B2623),"",'ENGAGEMENTS 2026'!L2623)</f>
        <v/>
      </c>
      <c r="P2623">
        <f>IF(ISBLANK('ENGAGEMENTS 2026'!B2623),"",'ENGAGEMENTS 2026'!J2623)</f>
        <v/>
      </c>
      <c r="Q2623">
        <f>IF($A2623="","",IF(OR($E2623="INFRUCTUEUX",$E2623="ANNULE"),$A2623&amp;"|"&amp;(COUNTIFS($A$2:$A2623,$A2623,$E$2:$E2623,"INFRUCTUEUX")+COUNTIFS($A$2:$A2623,$A2623,$E$2:$E2623,"ANNULE")),""))</f>
        <v/>
      </c>
    </row>
    <row r="2624">
      <c r="A2624">
        <f>IF(ISBLANK('ENGAGEMENTS 2026'!B2624),"",IF('ENGAGEMENTS 2026'!B2624="DTSI","DCT",'ENGAGEMENTS 2026'!B2624))</f>
        <v/>
      </c>
      <c r="B2624">
        <f>IF(ISBLANK('ENGAGEMENTS 2026'!B2624),"",'ENGAGEMENTS 2026'!C2624)</f>
        <v/>
      </c>
      <c r="C2624">
        <f>IF(ISBLANK('ENGAGEMENTS 2026'!B2624),"",'ENGAGEMENTS 2026'!D2624)</f>
        <v/>
      </c>
      <c r="D2624">
        <f>IF(ISBLANK('ENGAGEMENTS 2026'!B2624),"",'ENGAGEMENTS 2026'!F2624)</f>
        <v/>
      </c>
      <c r="E2624">
        <f>IF(ISBLANK('ENGAGEMENTS 2026'!B2624),"",'ENGAGEMENTS 2026'!H2624)</f>
        <v/>
      </c>
      <c r="F2624">
        <f>IF(ISBLANK('ENGAGEMENTS 2026'!B2624),"",'ENGAGEMENTS 2026'!I2624)</f>
        <v/>
      </c>
      <c r="G2624">
        <f>IF(ISBLANK('ENGAGEMENTS 2026'!B2624),"",'ENGAGEMENTS 2026'!L2624)</f>
        <v/>
      </c>
      <c r="H2624">
        <f>IF(ISBLANK('ENGAGEMENTS 2026'!B2624),"",'ENGAGEMENTS 2026'!AE2624)</f>
        <v/>
      </c>
      <c r="I2624">
        <f>IF(ISBLANK('ENGAGEMENTS 2026'!B2624),"",'ENGAGEMENTS 2026'!G2624)</f>
        <v/>
      </c>
      <c r="J2624" s="275">
        <f>IF(ISBLANK('ENGAGEMENTS 2026'!B2624),"",IF(AND(OR($E2624="INFRUCTUEUX",$E2624="ANNULE"),$C2624="AOO-M"),'ENGAGEMENTS 2026'!O2624,IF($H2624="EN COURS DE PREENGAGEMENT",'ENGAGEMENTS 2026'!N2624,IF($H2624="PREENGAGE",IF($E2624="ATTRIBUE",'ENGAGEMENTS 2026'!AD2624,'ENGAGEMENTS 2026'!N2624),'ENGAGEMENTS 2026'!AD2624))))</f>
        <v/>
      </c>
      <c r="K2624" s="604">
        <f>IF(ISBLANK('ENGAGEMENTS 2026'!V2624),"",'ENGAGEMENTS 2026'!V2624)</f>
        <v/>
      </c>
      <c r="L2624" s="276">
        <f>IF($K2624="","",TODAY()-$K2624)</f>
        <v/>
      </c>
      <c r="M2624">
        <f>IF($A2624="","",IF($H2624="ENGAGE","Engagé",IF(AND($H2624="NON ENGAGE",OR($I2624="INFRUCTUEUX",$I2624="ANNULE")),"Clôturé sans suite","En cours")))</f>
        <v/>
      </c>
      <c r="N2624">
        <f>IF(ISBLANK('ENGAGEMENTS 2026'!B2624),"",'ENGAGEMENTS 2026'!K2624)</f>
        <v/>
      </c>
      <c r="O2624">
        <f>IF(ISBLANK('ENGAGEMENTS 2026'!B2624),"",'ENGAGEMENTS 2026'!L2624)</f>
        <v/>
      </c>
      <c r="P2624">
        <f>IF(ISBLANK('ENGAGEMENTS 2026'!B2624),"",'ENGAGEMENTS 2026'!J2624)</f>
        <v/>
      </c>
      <c r="Q2624">
        <f>IF($A2624="","",IF(OR($E2624="INFRUCTUEUX",$E2624="ANNULE"),$A2624&amp;"|"&amp;(COUNTIFS($A$2:$A2624,$A2624,$E$2:$E2624,"INFRUCTUEUX")+COUNTIFS($A$2:$A2624,$A2624,$E$2:$E2624,"ANNULE")),""))</f>
        <v/>
      </c>
    </row>
    <row r="2625">
      <c r="A2625">
        <f>IF(ISBLANK('ENGAGEMENTS 2026'!B2625),"",IF('ENGAGEMENTS 2026'!B2625="DTSI","DCT",'ENGAGEMENTS 2026'!B2625))</f>
        <v/>
      </c>
      <c r="B2625">
        <f>IF(ISBLANK('ENGAGEMENTS 2026'!B2625),"",'ENGAGEMENTS 2026'!C2625)</f>
        <v/>
      </c>
      <c r="C2625">
        <f>IF(ISBLANK('ENGAGEMENTS 2026'!B2625),"",'ENGAGEMENTS 2026'!D2625)</f>
        <v/>
      </c>
      <c r="D2625">
        <f>IF(ISBLANK('ENGAGEMENTS 2026'!B2625),"",'ENGAGEMENTS 2026'!F2625)</f>
        <v/>
      </c>
      <c r="E2625">
        <f>IF(ISBLANK('ENGAGEMENTS 2026'!B2625),"",'ENGAGEMENTS 2026'!H2625)</f>
        <v/>
      </c>
      <c r="F2625">
        <f>IF(ISBLANK('ENGAGEMENTS 2026'!B2625),"",'ENGAGEMENTS 2026'!I2625)</f>
        <v/>
      </c>
      <c r="G2625">
        <f>IF(ISBLANK('ENGAGEMENTS 2026'!B2625),"",'ENGAGEMENTS 2026'!L2625)</f>
        <v/>
      </c>
      <c r="H2625">
        <f>IF(ISBLANK('ENGAGEMENTS 2026'!B2625),"",'ENGAGEMENTS 2026'!AE2625)</f>
        <v/>
      </c>
      <c r="I2625">
        <f>IF(ISBLANK('ENGAGEMENTS 2026'!B2625),"",'ENGAGEMENTS 2026'!G2625)</f>
        <v/>
      </c>
      <c r="J2625" s="275">
        <f>IF(ISBLANK('ENGAGEMENTS 2026'!B2625),"",IF(AND(OR($E2625="INFRUCTUEUX",$E2625="ANNULE"),$C2625="AOO-M"),'ENGAGEMENTS 2026'!O2625,IF($H2625="EN COURS DE PREENGAGEMENT",'ENGAGEMENTS 2026'!N2625,IF($H2625="PREENGAGE",IF($E2625="ATTRIBUE",'ENGAGEMENTS 2026'!AD2625,'ENGAGEMENTS 2026'!N2625),'ENGAGEMENTS 2026'!AD2625))))</f>
        <v/>
      </c>
      <c r="K2625" s="604">
        <f>IF(ISBLANK('ENGAGEMENTS 2026'!V2625),"",'ENGAGEMENTS 2026'!V2625)</f>
        <v/>
      </c>
      <c r="L2625" s="276">
        <f>IF($K2625="","",TODAY()-$K2625)</f>
        <v/>
      </c>
      <c r="M2625">
        <f>IF($A2625="","",IF($H2625="ENGAGE","Engagé",IF(AND($H2625="NON ENGAGE",OR($I2625="INFRUCTUEUX",$I2625="ANNULE")),"Clôturé sans suite","En cours")))</f>
        <v/>
      </c>
      <c r="N2625">
        <f>IF(ISBLANK('ENGAGEMENTS 2026'!B2625),"",'ENGAGEMENTS 2026'!K2625)</f>
        <v/>
      </c>
      <c r="O2625">
        <f>IF(ISBLANK('ENGAGEMENTS 2026'!B2625),"",'ENGAGEMENTS 2026'!L2625)</f>
        <v/>
      </c>
      <c r="P2625">
        <f>IF(ISBLANK('ENGAGEMENTS 2026'!B2625),"",'ENGAGEMENTS 2026'!J2625)</f>
        <v/>
      </c>
      <c r="Q2625">
        <f>IF($A2625="","",IF(OR($E2625="INFRUCTUEUX",$E2625="ANNULE"),$A2625&amp;"|"&amp;(COUNTIFS($A$2:$A2625,$A2625,$E$2:$E2625,"INFRUCTUEUX")+COUNTIFS($A$2:$A2625,$A2625,$E$2:$E2625,"ANNULE")),""))</f>
        <v/>
      </c>
    </row>
    <row r="2626">
      <c r="A2626">
        <f>IF(ISBLANK('ENGAGEMENTS 2026'!B2626),"",IF('ENGAGEMENTS 2026'!B2626="DTSI","DCT",'ENGAGEMENTS 2026'!B2626))</f>
        <v/>
      </c>
      <c r="B2626">
        <f>IF(ISBLANK('ENGAGEMENTS 2026'!B2626),"",'ENGAGEMENTS 2026'!C2626)</f>
        <v/>
      </c>
      <c r="C2626">
        <f>IF(ISBLANK('ENGAGEMENTS 2026'!B2626),"",'ENGAGEMENTS 2026'!D2626)</f>
        <v/>
      </c>
      <c r="D2626">
        <f>IF(ISBLANK('ENGAGEMENTS 2026'!B2626),"",'ENGAGEMENTS 2026'!F2626)</f>
        <v/>
      </c>
      <c r="E2626">
        <f>IF(ISBLANK('ENGAGEMENTS 2026'!B2626),"",'ENGAGEMENTS 2026'!H2626)</f>
        <v/>
      </c>
      <c r="F2626">
        <f>IF(ISBLANK('ENGAGEMENTS 2026'!B2626),"",'ENGAGEMENTS 2026'!I2626)</f>
        <v/>
      </c>
      <c r="G2626">
        <f>IF(ISBLANK('ENGAGEMENTS 2026'!B2626),"",'ENGAGEMENTS 2026'!L2626)</f>
        <v/>
      </c>
      <c r="H2626">
        <f>IF(ISBLANK('ENGAGEMENTS 2026'!B2626),"",'ENGAGEMENTS 2026'!AE2626)</f>
        <v/>
      </c>
      <c r="I2626">
        <f>IF(ISBLANK('ENGAGEMENTS 2026'!B2626),"",'ENGAGEMENTS 2026'!G2626)</f>
        <v/>
      </c>
      <c r="J2626" s="275">
        <f>IF(ISBLANK('ENGAGEMENTS 2026'!B2626),"",IF(AND(OR($E2626="INFRUCTUEUX",$E2626="ANNULE"),$C2626="AOO-M"),'ENGAGEMENTS 2026'!O2626,IF($H2626="EN COURS DE PREENGAGEMENT",'ENGAGEMENTS 2026'!N2626,IF($H2626="PREENGAGE",IF($E2626="ATTRIBUE",'ENGAGEMENTS 2026'!AD2626,'ENGAGEMENTS 2026'!N2626),'ENGAGEMENTS 2026'!AD2626))))</f>
        <v/>
      </c>
      <c r="K2626" s="604">
        <f>IF(ISBLANK('ENGAGEMENTS 2026'!V2626),"",'ENGAGEMENTS 2026'!V2626)</f>
        <v/>
      </c>
      <c r="L2626" s="276">
        <f>IF($K2626="","",TODAY()-$K2626)</f>
        <v/>
      </c>
      <c r="M2626">
        <f>IF($A2626="","",IF($H2626="ENGAGE","Engagé",IF(AND($H2626="NON ENGAGE",OR($I2626="INFRUCTUEUX",$I2626="ANNULE")),"Clôturé sans suite","En cours")))</f>
        <v/>
      </c>
      <c r="N2626">
        <f>IF(ISBLANK('ENGAGEMENTS 2026'!B2626),"",'ENGAGEMENTS 2026'!K2626)</f>
        <v/>
      </c>
      <c r="O2626">
        <f>IF(ISBLANK('ENGAGEMENTS 2026'!B2626),"",'ENGAGEMENTS 2026'!L2626)</f>
        <v/>
      </c>
      <c r="P2626">
        <f>IF(ISBLANK('ENGAGEMENTS 2026'!B2626),"",'ENGAGEMENTS 2026'!J2626)</f>
        <v/>
      </c>
      <c r="Q2626">
        <f>IF($A2626="","",IF(OR($E2626="INFRUCTUEUX",$E2626="ANNULE"),$A2626&amp;"|"&amp;(COUNTIFS($A$2:$A2626,$A2626,$E$2:$E2626,"INFRUCTUEUX")+COUNTIFS($A$2:$A2626,$A2626,$E$2:$E2626,"ANNULE")),""))</f>
        <v/>
      </c>
    </row>
    <row r="2627">
      <c r="A2627">
        <f>IF(ISBLANK('ENGAGEMENTS 2026'!B2627),"",IF('ENGAGEMENTS 2026'!B2627="DTSI","DCT",'ENGAGEMENTS 2026'!B2627))</f>
        <v/>
      </c>
      <c r="B2627">
        <f>IF(ISBLANK('ENGAGEMENTS 2026'!B2627),"",'ENGAGEMENTS 2026'!C2627)</f>
        <v/>
      </c>
      <c r="C2627">
        <f>IF(ISBLANK('ENGAGEMENTS 2026'!B2627),"",'ENGAGEMENTS 2026'!D2627)</f>
        <v/>
      </c>
      <c r="D2627">
        <f>IF(ISBLANK('ENGAGEMENTS 2026'!B2627),"",'ENGAGEMENTS 2026'!F2627)</f>
        <v/>
      </c>
      <c r="E2627">
        <f>IF(ISBLANK('ENGAGEMENTS 2026'!B2627),"",'ENGAGEMENTS 2026'!H2627)</f>
        <v/>
      </c>
      <c r="F2627">
        <f>IF(ISBLANK('ENGAGEMENTS 2026'!B2627),"",'ENGAGEMENTS 2026'!I2627)</f>
        <v/>
      </c>
      <c r="G2627">
        <f>IF(ISBLANK('ENGAGEMENTS 2026'!B2627),"",'ENGAGEMENTS 2026'!L2627)</f>
        <v/>
      </c>
      <c r="H2627">
        <f>IF(ISBLANK('ENGAGEMENTS 2026'!B2627),"",'ENGAGEMENTS 2026'!AE2627)</f>
        <v/>
      </c>
      <c r="I2627">
        <f>IF(ISBLANK('ENGAGEMENTS 2026'!B2627),"",'ENGAGEMENTS 2026'!G2627)</f>
        <v/>
      </c>
      <c r="J2627" s="275">
        <f>IF(ISBLANK('ENGAGEMENTS 2026'!B2627),"",IF(AND(OR($E2627="INFRUCTUEUX",$E2627="ANNULE"),$C2627="AOO-M"),'ENGAGEMENTS 2026'!O2627,IF($H2627="EN COURS DE PREENGAGEMENT",'ENGAGEMENTS 2026'!N2627,IF($H2627="PREENGAGE",IF($E2627="ATTRIBUE",'ENGAGEMENTS 2026'!AD2627,'ENGAGEMENTS 2026'!N2627),'ENGAGEMENTS 2026'!AD2627))))</f>
        <v/>
      </c>
      <c r="K2627" s="604">
        <f>IF(ISBLANK('ENGAGEMENTS 2026'!V2627),"",'ENGAGEMENTS 2026'!V2627)</f>
        <v/>
      </c>
      <c r="L2627" s="276">
        <f>IF($K2627="","",TODAY()-$K2627)</f>
        <v/>
      </c>
      <c r="M2627">
        <f>IF($A2627="","",IF($H2627="ENGAGE","Engagé",IF(AND($H2627="NON ENGAGE",OR($I2627="INFRUCTUEUX",$I2627="ANNULE")),"Clôturé sans suite","En cours")))</f>
        <v/>
      </c>
      <c r="N2627">
        <f>IF(ISBLANK('ENGAGEMENTS 2026'!B2627),"",'ENGAGEMENTS 2026'!K2627)</f>
        <v/>
      </c>
      <c r="O2627">
        <f>IF(ISBLANK('ENGAGEMENTS 2026'!B2627),"",'ENGAGEMENTS 2026'!L2627)</f>
        <v/>
      </c>
      <c r="P2627">
        <f>IF(ISBLANK('ENGAGEMENTS 2026'!B2627),"",'ENGAGEMENTS 2026'!J2627)</f>
        <v/>
      </c>
      <c r="Q2627">
        <f>IF($A2627="","",IF(OR($E2627="INFRUCTUEUX",$E2627="ANNULE"),$A2627&amp;"|"&amp;(COUNTIFS($A$2:$A2627,$A2627,$E$2:$E2627,"INFRUCTUEUX")+COUNTIFS($A$2:$A2627,$A2627,$E$2:$E2627,"ANNULE")),""))</f>
        <v/>
      </c>
    </row>
    <row r="2628">
      <c r="A2628">
        <f>IF(ISBLANK('ENGAGEMENTS 2026'!B2628),"",IF('ENGAGEMENTS 2026'!B2628="DTSI","DCT",'ENGAGEMENTS 2026'!B2628))</f>
        <v/>
      </c>
      <c r="B2628">
        <f>IF(ISBLANK('ENGAGEMENTS 2026'!B2628),"",'ENGAGEMENTS 2026'!C2628)</f>
        <v/>
      </c>
      <c r="C2628">
        <f>IF(ISBLANK('ENGAGEMENTS 2026'!B2628),"",'ENGAGEMENTS 2026'!D2628)</f>
        <v/>
      </c>
      <c r="D2628">
        <f>IF(ISBLANK('ENGAGEMENTS 2026'!B2628),"",'ENGAGEMENTS 2026'!F2628)</f>
        <v/>
      </c>
      <c r="E2628">
        <f>IF(ISBLANK('ENGAGEMENTS 2026'!B2628),"",'ENGAGEMENTS 2026'!H2628)</f>
        <v/>
      </c>
      <c r="F2628">
        <f>IF(ISBLANK('ENGAGEMENTS 2026'!B2628),"",'ENGAGEMENTS 2026'!I2628)</f>
        <v/>
      </c>
      <c r="G2628">
        <f>IF(ISBLANK('ENGAGEMENTS 2026'!B2628),"",'ENGAGEMENTS 2026'!L2628)</f>
        <v/>
      </c>
      <c r="H2628">
        <f>IF(ISBLANK('ENGAGEMENTS 2026'!B2628),"",'ENGAGEMENTS 2026'!AE2628)</f>
        <v/>
      </c>
      <c r="I2628">
        <f>IF(ISBLANK('ENGAGEMENTS 2026'!B2628),"",'ENGAGEMENTS 2026'!G2628)</f>
        <v/>
      </c>
      <c r="J2628" s="275">
        <f>IF(ISBLANK('ENGAGEMENTS 2026'!B2628),"",IF(AND(OR($E2628="INFRUCTUEUX",$E2628="ANNULE"),$C2628="AOO-M"),'ENGAGEMENTS 2026'!O2628,IF($H2628="EN COURS DE PREENGAGEMENT",'ENGAGEMENTS 2026'!N2628,IF($H2628="PREENGAGE",IF($E2628="ATTRIBUE",'ENGAGEMENTS 2026'!AD2628,'ENGAGEMENTS 2026'!N2628),'ENGAGEMENTS 2026'!AD2628))))</f>
        <v/>
      </c>
      <c r="K2628" s="604">
        <f>IF(ISBLANK('ENGAGEMENTS 2026'!V2628),"",'ENGAGEMENTS 2026'!V2628)</f>
        <v/>
      </c>
      <c r="L2628" s="276">
        <f>IF($K2628="","",TODAY()-$K2628)</f>
        <v/>
      </c>
      <c r="M2628">
        <f>IF($A2628="","",IF($H2628="ENGAGE","Engagé",IF(AND($H2628="NON ENGAGE",OR($I2628="INFRUCTUEUX",$I2628="ANNULE")),"Clôturé sans suite","En cours")))</f>
        <v/>
      </c>
      <c r="N2628">
        <f>IF(ISBLANK('ENGAGEMENTS 2026'!B2628),"",'ENGAGEMENTS 2026'!K2628)</f>
        <v/>
      </c>
      <c r="O2628">
        <f>IF(ISBLANK('ENGAGEMENTS 2026'!B2628),"",'ENGAGEMENTS 2026'!L2628)</f>
        <v/>
      </c>
      <c r="P2628">
        <f>IF(ISBLANK('ENGAGEMENTS 2026'!B2628),"",'ENGAGEMENTS 2026'!J2628)</f>
        <v/>
      </c>
      <c r="Q2628">
        <f>IF($A2628="","",IF(OR($E2628="INFRUCTUEUX",$E2628="ANNULE"),$A2628&amp;"|"&amp;(COUNTIFS($A$2:$A2628,$A2628,$E$2:$E2628,"INFRUCTUEUX")+COUNTIFS($A$2:$A2628,$A2628,$E$2:$E2628,"ANNULE")),""))</f>
        <v/>
      </c>
    </row>
    <row r="2629">
      <c r="A2629">
        <f>IF(ISBLANK('ENGAGEMENTS 2026'!B2629),"",IF('ENGAGEMENTS 2026'!B2629="DTSI","DCT",'ENGAGEMENTS 2026'!B2629))</f>
        <v/>
      </c>
      <c r="B2629">
        <f>IF(ISBLANK('ENGAGEMENTS 2026'!B2629),"",'ENGAGEMENTS 2026'!C2629)</f>
        <v/>
      </c>
      <c r="C2629">
        <f>IF(ISBLANK('ENGAGEMENTS 2026'!B2629),"",'ENGAGEMENTS 2026'!D2629)</f>
        <v/>
      </c>
      <c r="D2629">
        <f>IF(ISBLANK('ENGAGEMENTS 2026'!B2629),"",'ENGAGEMENTS 2026'!F2629)</f>
        <v/>
      </c>
      <c r="E2629">
        <f>IF(ISBLANK('ENGAGEMENTS 2026'!B2629),"",'ENGAGEMENTS 2026'!H2629)</f>
        <v/>
      </c>
      <c r="F2629">
        <f>IF(ISBLANK('ENGAGEMENTS 2026'!B2629),"",'ENGAGEMENTS 2026'!I2629)</f>
        <v/>
      </c>
      <c r="G2629">
        <f>IF(ISBLANK('ENGAGEMENTS 2026'!B2629),"",'ENGAGEMENTS 2026'!L2629)</f>
        <v/>
      </c>
      <c r="H2629">
        <f>IF(ISBLANK('ENGAGEMENTS 2026'!B2629),"",'ENGAGEMENTS 2026'!AE2629)</f>
        <v/>
      </c>
      <c r="I2629">
        <f>IF(ISBLANK('ENGAGEMENTS 2026'!B2629),"",'ENGAGEMENTS 2026'!G2629)</f>
        <v/>
      </c>
      <c r="J2629" s="275">
        <f>IF(ISBLANK('ENGAGEMENTS 2026'!B2629),"",IF(AND(OR($E2629="INFRUCTUEUX",$E2629="ANNULE"),$C2629="AOO-M"),'ENGAGEMENTS 2026'!O2629,IF($H2629="EN COURS DE PREENGAGEMENT",'ENGAGEMENTS 2026'!N2629,IF($H2629="PREENGAGE",IF($E2629="ATTRIBUE",'ENGAGEMENTS 2026'!AD2629,'ENGAGEMENTS 2026'!N2629),'ENGAGEMENTS 2026'!AD2629))))</f>
        <v/>
      </c>
      <c r="K2629" s="604">
        <f>IF(ISBLANK('ENGAGEMENTS 2026'!V2629),"",'ENGAGEMENTS 2026'!V2629)</f>
        <v/>
      </c>
      <c r="L2629" s="276">
        <f>IF($K2629="","",TODAY()-$K2629)</f>
        <v/>
      </c>
      <c r="M2629">
        <f>IF($A2629="","",IF($H2629="ENGAGE","Engagé",IF(AND($H2629="NON ENGAGE",OR($I2629="INFRUCTUEUX",$I2629="ANNULE")),"Clôturé sans suite","En cours")))</f>
        <v/>
      </c>
      <c r="N2629">
        <f>IF(ISBLANK('ENGAGEMENTS 2026'!B2629),"",'ENGAGEMENTS 2026'!K2629)</f>
        <v/>
      </c>
      <c r="O2629">
        <f>IF(ISBLANK('ENGAGEMENTS 2026'!B2629),"",'ENGAGEMENTS 2026'!L2629)</f>
        <v/>
      </c>
      <c r="P2629">
        <f>IF(ISBLANK('ENGAGEMENTS 2026'!B2629),"",'ENGAGEMENTS 2026'!J2629)</f>
        <v/>
      </c>
      <c r="Q2629">
        <f>IF($A2629="","",IF(OR($E2629="INFRUCTUEUX",$E2629="ANNULE"),$A2629&amp;"|"&amp;(COUNTIFS($A$2:$A2629,$A2629,$E$2:$E2629,"INFRUCTUEUX")+COUNTIFS($A$2:$A2629,$A2629,$E$2:$E2629,"ANNULE")),""))</f>
        <v/>
      </c>
    </row>
    <row r="2630">
      <c r="A2630">
        <f>IF(ISBLANK('ENGAGEMENTS 2026'!B2630),"",IF('ENGAGEMENTS 2026'!B2630="DTSI","DCT",'ENGAGEMENTS 2026'!B2630))</f>
        <v/>
      </c>
      <c r="B2630">
        <f>IF(ISBLANK('ENGAGEMENTS 2026'!B2630),"",'ENGAGEMENTS 2026'!C2630)</f>
        <v/>
      </c>
      <c r="C2630">
        <f>IF(ISBLANK('ENGAGEMENTS 2026'!B2630),"",'ENGAGEMENTS 2026'!D2630)</f>
        <v/>
      </c>
      <c r="D2630">
        <f>IF(ISBLANK('ENGAGEMENTS 2026'!B2630),"",'ENGAGEMENTS 2026'!F2630)</f>
        <v/>
      </c>
      <c r="E2630">
        <f>IF(ISBLANK('ENGAGEMENTS 2026'!B2630),"",'ENGAGEMENTS 2026'!H2630)</f>
        <v/>
      </c>
      <c r="F2630">
        <f>IF(ISBLANK('ENGAGEMENTS 2026'!B2630),"",'ENGAGEMENTS 2026'!I2630)</f>
        <v/>
      </c>
      <c r="G2630">
        <f>IF(ISBLANK('ENGAGEMENTS 2026'!B2630),"",'ENGAGEMENTS 2026'!L2630)</f>
        <v/>
      </c>
      <c r="H2630">
        <f>IF(ISBLANK('ENGAGEMENTS 2026'!B2630),"",'ENGAGEMENTS 2026'!AE2630)</f>
        <v/>
      </c>
      <c r="I2630">
        <f>IF(ISBLANK('ENGAGEMENTS 2026'!B2630),"",'ENGAGEMENTS 2026'!G2630)</f>
        <v/>
      </c>
      <c r="J2630" s="275">
        <f>IF(ISBLANK('ENGAGEMENTS 2026'!B2630),"",IF(AND(OR($E2630="INFRUCTUEUX",$E2630="ANNULE"),$C2630="AOO-M"),'ENGAGEMENTS 2026'!O2630,IF($H2630="EN COURS DE PREENGAGEMENT",'ENGAGEMENTS 2026'!N2630,IF($H2630="PREENGAGE",IF($E2630="ATTRIBUE",'ENGAGEMENTS 2026'!AD2630,'ENGAGEMENTS 2026'!N2630),'ENGAGEMENTS 2026'!AD2630))))</f>
        <v/>
      </c>
      <c r="K2630" s="604">
        <f>IF(ISBLANK('ENGAGEMENTS 2026'!V2630),"",'ENGAGEMENTS 2026'!V2630)</f>
        <v/>
      </c>
      <c r="L2630" s="276">
        <f>IF($K2630="","",TODAY()-$K2630)</f>
        <v/>
      </c>
      <c r="M2630">
        <f>IF($A2630="","",IF($H2630="ENGAGE","Engagé",IF(AND($H2630="NON ENGAGE",OR($I2630="INFRUCTUEUX",$I2630="ANNULE")),"Clôturé sans suite","En cours")))</f>
        <v/>
      </c>
      <c r="N2630">
        <f>IF(ISBLANK('ENGAGEMENTS 2026'!B2630),"",'ENGAGEMENTS 2026'!K2630)</f>
        <v/>
      </c>
      <c r="O2630">
        <f>IF(ISBLANK('ENGAGEMENTS 2026'!B2630),"",'ENGAGEMENTS 2026'!L2630)</f>
        <v/>
      </c>
      <c r="P2630">
        <f>IF(ISBLANK('ENGAGEMENTS 2026'!B2630),"",'ENGAGEMENTS 2026'!J2630)</f>
        <v/>
      </c>
      <c r="Q2630">
        <f>IF($A2630="","",IF(OR($E2630="INFRUCTUEUX",$E2630="ANNULE"),$A2630&amp;"|"&amp;(COUNTIFS($A$2:$A2630,$A2630,$E$2:$E2630,"INFRUCTUEUX")+COUNTIFS($A$2:$A2630,$A2630,$E$2:$E2630,"ANNULE")),""))</f>
        <v/>
      </c>
    </row>
    <row r="2631">
      <c r="A2631">
        <f>IF(ISBLANK('ENGAGEMENTS 2026'!B2631),"",IF('ENGAGEMENTS 2026'!B2631="DTSI","DCT",'ENGAGEMENTS 2026'!B2631))</f>
        <v/>
      </c>
      <c r="B2631">
        <f>IF(ISBLANK('ENGAGEMENTS 2026'!B2631),"",'ENGAGEMENTS 2026'!C2631)</f>
        <v/>
      </c>
      <c r="C2631">
        <f>IF(ISBLANK('ENGAGEMENTS 2026'!B2631),"",'ENGAGEMENTS 2026'!D2631)</f>
        <v/>
      </c>
      <c r="D2631">
        <f>IF(ISBLANK('ENGAGEMENTS 2026'!B2631),"",'ENGAGEMENTS 2026'!F2631)</f>
        <v/>
      </c>
      <c r="E2631">
        <f>IF(ISBLANK('ENGAGEMENTS 2026'!B2631),"",'ENGAGEMENTS 2026'!H2631)</f>
        <v/>
      </c>
      <c r="F2631">
        <f>IF(ISBLANK('ENGAGEMENTS 2026'!B2631),"",'ENGAGEMENTS 2026'!I2631)</f>
        <v/>
      </c>
      <c r="G2631">
        <f>IF(ISBLANK('ENGAGEMENTS 2026'!B2631),"",'ENGAGEMENTS 2026'!L2631)</f>
        <v/>
      </c>
      <c r="H2631">
        <f>IF(ISBLANK('ENGAGEMENTS 2026'!B2631),"",'ENGAGEMENTS 2026'!AE2631)</f>
        <v/>
      </c>
      <c r="I2631">
        <f>IF(ISBLANK('ENGAGEMENTS 2026'!B2631),"",'ENGAGEMENTS 2026'!G2631)</f>
        <v/>
      </c>
      <c r="J2631" s="275">
        <f>IF(ISBLANK('ENGAGEMENTS 2026'!B2631),"",IF(AND(OR($E2631="INFRUCTUEUX",$E2631="ANNULE"),$C2631="AOO-M"),'ENGAGEMENTS 2026'!O2631,IF($H2631="EN COURS DE PREENGAGEMENT",'ENGAGEMENTS 2026'!N2631,IF($H2631="PREENGAGE",IF($E2631="ATTRIBUE",'ENGAGEMENTS 2026'!AD2631,'ENGAGEMENTS 2026'!N2631),'ENGAGEMENTS 2026'!AD2631))))</f>
        <v/>
      </c>
      <c r="K2631" s="604">
        <f>IF(ISBLANK('ENGAGEMENTS 2026'!V2631),"",'ENGAGEMENTS 2026'!V2631)</f>
        <v/>
      </c>
      <c r="L2631" s="276">
        <f>IF($K2631="","",TODAY()-$K2631)</f>
        <v/>
      </c>
      <c r="M2631">
        <f>IF($A2631="","",IF($H2631="ENGAGE","Engagé",IF(AND($H2631="NON ENGAGE",OR($I2631="INFRUCTUEUX",$I2631="ANNULE")),"Clôturé sans suite","En cours")))</f>
        <v/>
      </c>
      <c r="N2631">
        <f>IF(ISBLANK('ENGAGEMENTS 2026'!B2631),"",'ENGAGEMENTS 2026'!K2631)</f>
        <v/>
      </c>
      <c r="O2631">
        <f>IF(ISBLANK('ENGAGEMENTS 2026'!B2631),"",'ENGAGEMENTS 2026'!L2631)</f>
        <v/>
      </c>
      <c r="P2631">
        <f>IF(ISBLANK('ENGAGEMENTS 2026'!B2631),"",'ENGAGEMENTS 2026'!J2631)</f>
        <v/>
      </c>
      <c r="Q2631">
        <f>IF($A2631="","",IF(OR($E2631="INFRUCTUEUX",$E2631="ANNULE"),$A2631&amp;"|"&amp;(COUNTIFS($A$2:$A2631,$A2631,$E$2:$E2631,"INFRUCTUEUX")+COUNTIFS($A$2:$A2631,$A2631,$E$2:$E2631,"ANNULE")),""))</f>
        <v/>
      </c>
    </row>
    <row r="2632">
      <c r="A2632">
        <f>IF(ISBLANK('ENGAGEMENTS 2026'!B2632),"",IF('ENGAGEMENTS 2026'!B2632="DTSI","DCT",'ENGAGEMENTS 2026'!B2632))</f>
        <v/>
      </c>
      <c r="B2632">
        <f>IF(ISBLANK('ENGAGEMENTS 2026'!B2632),"",'ENGAGEMENTS 2026'!C2632)</f>
        <v/>
      </c>
      <c r="C2632">
        <f>IF(ISBLANK('ENGAGEMENTS 2026'!B2632),"",'ENGAGEMENTS 2026'!D2632)</f>
        <v/>
      </c>
      <c r="D2632">
        <f>IF(ISBLANK('ENGAGEMENTS 2026'!B2632),"",'ENGAGEMENTS 2026'!F2632)</f>
        <v/>
      </c>
      <c r="E2632">
        <f>IF(ISBLANK('ENGAGEMENTS 2026'!B2632),"",'ENGAGEMENTS 2026'!H2632)</f>
        <v/>
      </c>
      <c r="F2632">
        <f>IF(ISBLANK('ENGAGEMENTS 2026'!B2632),"",'ENGAGEMENTS 2026'!I2632)</f>
        <v/>
      </c>
      <c r="G2632">
        <f>IF(ISBLANK('ENGAGEMENTS 2026'!B2632),"",'ENGAGEMENTS 2026'!L2632)</f>
        <v/>
      </c>
      <c r="H2632">
        <f>IF(ISBLANK('ENGAGEMENTS 2026'!B2632),"",'ENGAGEMENTS 2026'!AE2632)</f>
        <v/>
      </c>
      <c r="I2632">
        <f>IF(ISBLANK('ENGAGEMENTS 2026'!B2632),"",'ENGAGEMENTS 2026'!G2632)</f>
        <v/>
      </c>
      <c r="J2632" s="275">
        <f>IF(ISBLANK('ENGAGEMENTS 2026'!B2632),"",IF(AND(OR($E2632="INFRUCTUEUX",$E2632="ANNULE"),$C2632="AOO-M"),'ENGAGEMENTS 2026'!O2632,IF($H2632="EN COURS DE PREENGAGEMENT",'ENGAGEMENTS 2026'!N2632,IF($H2632="PREENGAGE",IF($E2632="ATTRIBUE",'ENGAGEMENTS 2026'!AD2632,'ENGAGEMENTS 2026'!N2632),'ENGAGEMENTS 2026'!AD2632))))</f>
        <v/>
      </c>
      <c r="K2632" s="604">
        <f>IF(ISBLANK('ENGAGEMENTS 2026'!V2632),"",'ENGAGEMENTS 2026'!V2632)</f>
        <v/>
      </c>
      <c r="L2632" s="276">
        <f>IF($K2632="","",TODAY()-$K2632)</f>
        <v/>
      </c>
      <c r="M2632">
        <f>IF($A2632="","",IF($H2632="ENGAGE","Engagé",IF(AND($H2632="NON ENGAGE",OR($I2632="INFRUCTUEUX",$I2632="ANNULE")),"Clôturé sans suite","En cours")))</f>
        <v/>
      </c>
      <c r="N2632">
        <f>IF(ISBLANK('ENGAGEMENTS 2026'!B2632),"",'ENGAGEMENTS 2026'!K2632)</f>
        <v/>
      </c>
      <c r="O2632">
        <f>IF(ISBLANK('ENGAGEMENTS 2026'!B2632),"",'ENGAGEMENTS 2026'!L2632)</f>
        <v/>
      </c>
      <c r="P2632">
        <f>IF(ISBLANK('ENGAGEMENTS 2026'!B2632),"",'ENGAGEMENTS 2026'!J2632)</f>
        <v/>
      </c>
      <c r="Q2632">
        <f>IF($A2632="","",IF(OR($E2632="INFRUCTUEUX",$E2632="ANNULE"),$A2632&amp;"|"&amp;(COUNTIFS($A$2:$A2632,$A2632,$E$2:$E2632,"INFRUCTUEUX")+COUNTIFS($A$2:$A2632,$A2632,$E$2:$E2632,"ANNULE")),""))</f>
        <v/>
      </c>
    </row>
    <row r="2633">
      <c r="A2633">
        <f>IF(ISBLANK('ENGAGEMENTS 2026'!B2633),"",IF('ENGAGEMENTS 2026'!B2633="DTSI","DCT",'ENGAGEMENTS 2026'!B2633))</f>
        <v/>
      </c>
      <c r="B2633">
        <f>IF(ISBLANK('ENGAGEMENTS 2026'!B2633),"",'ENGAGEMENTS 2026'!C2633)</f>
        <v/>
      </c>
      <c r="C2633">
        <f>IF(ISBLANK('ENGAGEMENTS 2026'!B2633),"",'ENGAGEMENTS 2026'!D2633)</f>
        <v/>
      </c>
      <c r="D2633">
        <f>IF(ISBLANK('ENGAGEMENTS 2026'!B2633),"",'ENGAGEMENTS 2026'!F2633)</f>
        <v/>
      </c>
      <c r="E2633">
        <f>IF(ISBLANK('ENGAGEMENTS 2026'!B2633),"",'ENGAGEMENTS 2026'!H2633)</f>
        <v/>
      </c>
      <c r="F2633">
        <f>IF(ISBLANK('ENGAGEMENTS 2026'!B2633),"",'ENGAGEMENTS 2026'!I2633)</f>
        <v/>
      </c>
      <c r="G2633">
        <f>IF(ISBLANK('ENGAGEMENTS 2026'!B2633),"",'ENGAGEMENTS 2026'!L2633)</f>
        <v/>
      </c>
      <c r="H2633">
        <f>IF(ISBLANK('ENGAGEMENTS 2026'!B2633),"",'ENGAGEMENTS 2026'!AE2633)</f>
        <v/>
      </c>
      <c r="I2633">
        <f>IF(ISBLANK('ENGAGEMENTS 2026'!B2633),"",'ENGAGEMENTS 2026'!G2633)</f>
        <v/>
      </c>
      <c r="J2633" s="275">
        <f>IF(ISBLANK('ENGAGEMENTS 2026'!B2633),"",IF(AND(OR($E2633="INFRUCTUEUX",$E2633="ANNULE"),$C2633="AOO-M"),'ENGAGEMENTS 2026'!O2633,IF($H2633="EN COURS DE PREENGAGEMENT",'ENGAGEMENTS 2026'!N2633,IF($H2633="PREENGAGE",IF($E2633="ATTRIBUE",'ENGAGEMENTS 2026'!AD2633,'ENGAGEMENTS 2026'!N2633),'ENGAGEMENTS 2026'!AD2633))))</f>
        <v/>
      </c>
      <c r="K2633" s="604">
        <f>IF(ISBLANK('ENGAGEMENTS 2026'!V2633),"",'ENGAGEMENTS 2026'!V2633)</f>
        <v/>
      </c>
      <c r="L2633" s="276">
        <f>IF($K2633="","",TODAY()-$K2633)</f>
        <v/>
      </c>
      <c r="M2633">
        <f>IF($A2633="","",IF($H2633="ENGAGE","Engagé",IF(AND($H2633="NON ENGAGE",OR($I2633="INFRUCTUEUX",$I2633="ANNULE")),"Clôturé sans suite","En cours")))</f>
        <v/>
      </c>
      <c r="N2633">
        <f>IF(ISBLANK('ENGAGEMENTS 2026'!B2633),"",'ENGAGEMENTS 2026'!K2633)</f>
        <v/>
      </c>
      <c r="O2633">
        <f>IF(ISBLANK('ENGAGEMENTS 2026'!B2633),"",'ENGAGEMENTS 2026'!L2633)</f>
        <v/>
      </c>
      <c r="P2633">
        <f>IF(ISBLANK('ENGAGEMENTS 2026'!B2633),"",'ENGAGEMENTS 2026'!J2633)</f>
        <v/>
      </c>
      <c r="Q2633">
        <f>IF($A2633="","",IF(OR($E2633="INFRUCTUEUX",$E2633="ANNULE"),$A2633&amp;"|"&amp;(COUNTIFS($A$2:$A2633,$A2633,$E$2:$E2633,"INFRUCTUEUX")+COUNTIFS($A$2:$A2633,$A2633,$E$2:$E2633,"ANNULE")),""))</f>
        <v/>
      </c>
    </row>
    <row r="2634">
      <c r="A2634">
        <f>IF(ISBLANK('ENGAGEMENTS 2026'!B2634),"",IF('ENGAGEMENTS 2026'!B2634="DTSI","DCT",'ENGAGEMENTS 2026'!B2634))</f>
        <v/>
      </c>
      <c r="B2634">
        <f>IF(ISBLANK('ENGAGEMENTS 2026'!B2634),"",'ENGAGEMENTS 2026'!C2634)</f>
        <v/>
      </c>
      <c r="C2634">
        <f>IF(ISBLANK('ENGAGEMENTS 2026'!B2634),"",'ENGAGEMENTS 2026'!D2634)</f>
        <v/>
      </c>
      <c r="D2634">
        <f>IF(ISBLANK('ENGAGEMENTS 2026'!B2634),"",'ENGAGEMENTS 2026'!F2634)</f>
        <v/>
      </c>
      <c r="E2634">
        <f>IF(ISBLANK('ENGAGEMENTS 2026'!B2634),"",'ENGAGEMENTS 2026'!H2634)</f>
        <v/>
      </c>
      <c r="F2634">
        <f>IF(ISBLANK('ENGAGEMENTS 2026'!B2634),"",'ENGAGEMENTS 2026'!I2634)</f>
        <v/>
      </c>
      <c r="G2634">
        <f>IF(ISBLANK('ENGAGEMENTS 2026'!B2634),"",'ENGAGEMENTS 2026'!L2634)</f>
        <v/>
      </c>
      <c r="H2634">
        <f>IF(ISBLANK('ENGAGEMENTS 2026'!B2634),"",'ENGAGEMENTS 2026'!AE2634)</f>
        <v/>
      </c>
      <c r="I2634">
        <f>IF(ISBLANK('ENGAGEMENTS 2026'!B2634),"",'ENGAGEMENTS 2026'!G2634)</f>
        <v/>
      </c>
      <c r="J2634" s="275">
        <f>IF(ISBLANK('ENGAGEMENTS 2026'!B2634),"",IF(AND(OR($E2634="INFRUCTUEUX",$E2634="ANNULE"),$C2634="AOO-M"),'ENGAGEMENTS 2026'!O2634,IF($H2634="EN COURS DE PREENGAGEMENT",'ENGAGEMENTS 2026'!N2634,IF($H2634="PREENGAGE",IF($E2634="ATTRIBUE",'ENGAGEMENTS 2026'!AD2634,'ENGAGEMENTS 2026'!N2634),'ENGAGEMENTS 2026'!AD2634))))</f>
        <v/>
      </c>
      <c r="K2634" s="604">
        <f>IF(ISBLANK('ENGAGEMENTS 2026'!V2634),"",'ENGAGEMENTS 2026'!V2634)</f>
        <v/>
      </c>
      <c r="L2634" s="276">
        <f>IF($K2634="","",TODAY()-$K2634)</f>
        <v/>
      </c>
      <c r="M2634">
        <f>IF($A2634="","",IF($H2634="ENGAGE","Engagé",IF(AND($H2634="NON ENGAGE",OR($I2634="INFRUCTUEUX",$I2634="ANNULE")),"Clôturé sans suite","En cours")))</f>
        <v/>
      </c>
      <c r="N2634">
        <f>IF(ISBLANK('ENGAGEMENTS 2026'!B2634),"",'ENGAGEMENTS 2026'!K2634)</f>
        <v/>
      </c>
      <c r="O2634">
        <f>IF(ISBLANK('ENGAGEMENTS 2026'!B2634),"",'ENGAGEMENTS 2026'!L2634)</f>
        <v/>
      </c>
      <c r="P2634">
        <f>IF(ISBLANK('ENGAGEMENTS 2026'!B2634),"",'ENGAGEMENTS 2026'!J2634)</f>
        <v/>
      </c>
      <c r="Q2634">
        <f>IF($A2634="","",IF(OR($E2634="INFRUCTUEUX",$E2634="ANNULE"),$A2634&amp;"|"&amp;(COUNTIFS($A$2:$A2634,$A2634,$E$2:$E2634,"INFRUCTUEUX")+COUNTIFS($A$2:$A2634,$A2634,$E$2:$E2634,"ANNULE")),""))</f>
        <v/>
      </c>
    </row>
    <row r="2635">
      <c r="A2635">
        <f>IF(ISBLANK('ENGAGEMENTS 2026'!B2635),"",IF('ENGAGEMENTS 2026'!B2635="DTSI","DCT",'ENGAGEMENTS 2026'!B2635))</f>
        <v/>
      </c>
      <c r="B2635">
        <f>IF(ISBLANK('ENGAGEMENTS 2026'!B2635),"",'ENGAGEMENTS 2026'!C2635)</f>
        <v/>
      </c>
      <c r="C2635">
        <f>IF(ISBLANK('ENGAGEMENTS 2026'!B2635),"",'ENGAGEMENTS 2026'!D2635)</f>
        <v/>
      </c>
      <c r="D2635">
        <f>IF(ISBLANK('ENGAGEMENTS 2026'!B2635),"",'ENGAGEMENTS 2026'!F2635)</f>
        <v/>
      </c>
      <c r="E2635">
        <f>IF(ISBLANK('ENGAGEMENTS 2026'!B2635),"",'ENGAGEMENTS 2026'!H2635)</f>
        <v/>
      </c>
      <c r="F2635">
        <f>IF(ISBLANK('ENGAGEMENTS 2026'!B2635),"",'ENGAGEMENTS 2026'!I2635)</f>
        <v/>
      </c>
      <c r="G2635">
        <f>IF(ISBLANK('ENGAGEMENTS 2026'!B2635),"",'ENGAGEMENTS 2026'!L2635)</f>
        <v/>
      </c>
      <c r="H2635">
        <f>IF(ISBLANK('ENGAGEMENTS 2026'!B2635),"",'ENGAGEMENTS 2026'!AE2635)</f>
        <v/>
      </c>
      <c r="I2635">
        <f>IF(ISBLANK('ENGAGEMENTS 2026'!B2635),"",'ENGAGEMENTS 2026'!G2635)</f>
        <v/>
      </c>
      <c r="J2635" s="275">
        <f>IF(ISBLANK('ENGAGEMENTS 2026'!B2635),"",IF(AND(OR($E2635="INFRUCTUEUX",$E2635="ANNULE"),$C2635="AOO-M"),'ENGAGEMENTS 2026'!O2635,IF($H2635="EN COURS DE PREENGAGEMENT",'ENGAGEMENTS 2026'!N2635,IF($H2635="PREENGAGE",IF($E2635="ATTRIBUE",'ENGAGEMENTS 2026'!AD2635,'ENGAGEMENTS 2026'!N2635),'ENGAGEMENTS 2026'!AD2635))))</f>
        <v/>
      </c>
      <c r="K2635" s="604">
        <f>IF(ISBLANK('ENGAGEMENTS 2026'!V2635),"",'ENGAGEMENTS 2026'!V2635)</f>
        <v/>
      </c>
      <c r="L2635" s="276">
        <f>IF($K2635="","",TODAY()-$K2635)</f>
        <v/>
      </c>
      <c r="M2635">
        <f>IF($A2635="","",IF($H2635="ENGAGE","Engagé",IF(AND($H2635="NON ENGAGE",OR($I2635="INFRUCTUEUX",$I2635="ANNULE")),"Clôturé sans suite","En cours")))</f>
        <v/>
      </c>
      <c r="N2635">
        <f>IF(ISBLANK('ENGAGEMENTS 2026'!B2635),"",'ENGAGEMENTS 2026'!K2635)</f>
        <v/>
      </c>
      <c r="O2635">
        <f>IF(ISBLANK('ENGAGEMENTS 2026'!B2635),"",'ENGAGEMENTS 2026'!L2635)</f>
        <v/>
      </c>
      <c r="P2635">
        <f>IF(ISBLANK('ENGAGEMENTS 2026'!B2635),"",'ENGAGEMENTS 2026'!J2635)</f>
        <v/>
      </c>
      <c r="Q2635">
        <f>IF($A2635="","",IF(OR($E2635="INFRUCTUEUX",$E2635="ANNULE"),$A2635&amp;"|"&amp;(COUNTIFS($A$2:$A2635,$A2635,$E$2:$E2635,"INFRUCTUEUX")+COUNTIFS($A$2:$A2635,$A2635,$E$2:$E2635,"ANNULE")),""))</f>
        <v/>
      </c>
    </row>
    <row r="2636">
      <c r="A2636">
        <f>IF(ISBLANK('ENGAGEMENTS 2026'!B2636),"",IF('ENGAGEMENTS 2026'!B2636="DTSI","DCT",'ENGAGEMENTS 2026'!B2636))</f>
        <v/>
      </c>
      <c r="B2636">
        <f>IF(ISBLANK('ENGAGEMENTS 2026'!B2636),"",'ENGAGEMENTS 2026'!C2636)</f>
        <v/>
      </c>
      <c r="C2636">
        <f>IF(ISBLANK('ENGAGEMENTS 2026'!B2636),"",'ENGAGEMENTS 2026'!D2636)</f>
        <v/>
      </c>
      <c r="D2636">
        <f>IF(ISBLANK('ENGAGEMENTS 2026'!B2636),"",'ENGAGEMENTS 2026'!F2636)</f>
        <v/>
      </c>
      <c r="E2636">
        <f>IF(ISBLANK('ENGAGEMENTS 2026'!B2636),"",'ENGAGEMENTS 2026'!H2636)</f>
        <v/>
      </c>
      <c r="F2636">
        <f>IF(ISBLANK('ENGAGEMENTS 2026'!B2636),"",'ENGAGEMENTS 2026'!I2636)</f>
        <v/>
      </c>
      <c r="G2636">
        <f>IF(ISBLANK('ENGAGEMENTS 2026'!B2636),"",'ENGAGEMENTS 2026'!L2636)</f>
        <v/>
      </c>
      <c r="H2636">
        <f>IF(ISBLANK('ENGAGEMENTS 2026'!B2636),"",'ENGAGEMENTS 2026'!AE2636)</f>
        <v/>
      </c>
      <c r="I2636">
        <f>IF(ISBLANK('ENGAGEMENTS 2026'!B2636),"",'ENGAGEMENTS 2026'!G2636)</f>
        <v/>
      </c>
      <c r="J2636" s="275">
        <f>IF(ISBLANK('ENGAGEMENTS 2026'!B2636),"",IF(AND(OR($E2636="INFRUCTUEUX",$E2636="ANNULE"),$C2636="AOO-M"),'ENGAGEMENTS 2026'!O2636,IF($H2636="EN COURS DE PREENGAGEMENT",'ENGAGEMENTS 2026'!N2636,IF($H2636="PREENGAGE",IF($E2636="ATTRIBUE",'ENGAGEMENTS 2026'!AD2636,'ENGAGEMENTS 2026'!N2636),'ENGAGEMENTS 2026'!AD2636))))</f>
        <v/>
      </c>
      <c r="K2636" s="604">
        <f>IF(ISBLANK('ENGAGEMENTS 2026'!V2636),"",'ENGAGEMENTS 2026'!V2636)</f>
        <v/>
      </c>
      <c r="L2636" s="276">
        <f>IF($K2636="","",TODAY()-$K2636)</f>
        <v/>
      </c>
      <c r="M2636">
        <f>IF($A2636="","",IF($H2636="ENGAGE","Engagé",IF(AND($H2636="NON ENGAGE",OR($I2636="INFRUCTUEUX",$I2636="ANNULE")),"Clôturé sans suite","En cours")))</f>
        <v/>
      </c>
      <c r="N2636">
        <f>IF(ISBLANK('ENGAGEMENTS 2026'!B2636),"",'ENGAGEMENTS 2026'!K2636)</f>
        <v/>
      </c>
      <c r="O2636">
        <f>IF(ISBLANK('ENGAGEMENTS 2026'!B2636),"",'ENGAGEMENTS 2026'!L2636)</f>
        <v/>
      </c>
      <c r="P2636">
        <f>IF(ISBLANK('ENGAGEMENTS 2026'!B2636),"",'ENGAGEMENTS 2026'!J2636)</f>
        <v/>
      </c>
      <c r="Q2636">
        <f>IF($A2636="","",IF(OR($E2636="INFRUCTUEUX",$E2636="ANNULE"),$A2636&amp;"|"&amp;(COUNTIFS($A$2:$A2636,$A2636,$E$2:$E2636,"INFRUCTUEUX")+COUNTIFS($A$2:$A2636,$A2636,$E$2:$E2636,"ANNULE")),""))</f>
        <v/>
      </c>
    </row>
    <row r="2637">
      <c r="A2637">
        <f>IF(ISBLANK('ENGAGEMENTS 2026'!B2637),"",IF('ENGAGEMENTS 2026'!B2637="DTSI","DCT",'ENGAGEMENTS 2026'!B2637))</f>
        <v/>
      </c>
      <c r="B2637">
        <f>IF(ISBLANK('ENGAGEMENTS 2026'!B2637),"",'ENGAGEMENTS 2026'!C2637)</f>
        <v/>
      </c>
      <c r="C2637">
        <f>IF(ISBLANK('ENGAGEMENTS 2026'!B2637),"",'ENGAGEMENTS 2026'!D2637)</f>
        <v/>
      </c>
      <c r="D2637">
        <f>IF(ISBLANK('ENGAGEMENTS 2026'!B2637),"",'ENGAGEMENTS 2026'!F2637)</f>
        <v/>
      </c>
      <c r="E2637">
        <f>IF(ISBLANK('ENGAGEMENTS 2026'!B2637),"",'ENGAGEMENTS 2026'!H2637)</f>
        <v/>
      </c>
      <c r="F2637">
        <f>IF(ISBLANK('ENGAGEMENTS 2026'!B2637),"",'ENGAGEMENTS 2026'!I2637)</f>
        <v/>
      </c>
      <c r="G2637">
        <f>IF(ISBLANK('ENGAGEMENTS 2026'!B2637),"",'ENGAGEMENTS 2026'!L2637)</f>
        <v/>
      </c>
      <c r="H2637">
        <f>IF(ISBLANK('ENGAGEMENTS 2026'!B2637),"",'ENGAGEMENTS 2026'!AE2637)</f>
        <v/>
      </c>
      <c r="I2637">
        <f>IF(ISBLANK('ENGAGEMENTS 2026'!B2637),"",'ENGAGEMENTS 2026'!G2637)</f>
        <v/>
      </c>
      <c r="J2637" s="275">
        <f>IF(ISBLANK('ENGAGEMENTS 2026'!B2637),"",IF(AND(OR($E2637="INFRUCTUEUX",$E2637="ANNULE"),$C2637="AOO-M"),'ENGAGEMENTS 2026'!O2637,IF($H2637="EN COURS DE PREENGAGEMENT",'ENGAGEMENTS 2026'!N2637,IF($H2637="PREENGAGE",IF($E2637="ATTRIBUE",'ENGAGEMENTS 2026'!AD2637,'ENGAGEMENTS 2026'!N2637),'ENGAGEMENTS 2026'!AD2637))))</f>
        <v/>
      </c>
      <c r="K2637" s="604">
        <f>IF(ISBLANK('ENGAGEMENTS 2026'!V2637),"",'ENGAGEMENTS 2026'!V2637)</f>
        <v/>
      </c>
      <c r="L2637" s="276">
        <f>IF($K2637="","",TODAY()-$K2637)</f>
        <v/>
      </c>
      <c r="M2637">
        <f>IF($A2637="","",IF($H2637="ENGAGE","Engagé",IF(AND($H2637="NON ENGAGE",OR($I2637="INFRUCTUEUX",$I2637="ANNULE")),"Clôturé sans suite","En cours")))</f>
        <v/>
      </c>
      <c r="N2637">
        <f>IF(ISBLANK('ENGAGEMENTS 2026'!B2637),"",'ENGAGEMENTS 2026'!K2637)</f>
        <v/>
      </c>
      <c r="O2637">
        <f>IF(ISBLANK('ENGAGEMENTS 2026'!B2637),"",'ENGAGEMENTS 2026'!L2637)</f>
        <v/>
      </c>
      <c r="P2637">
        <f>IF(ISBLANK('ENGAGEMENTS 2026'!B2637),"",'ENGAGEMENTS 2026'!J2637)</f>
        <v/>
      </c>
      <c r="Q2637">
        <f>IF($A2637="","",IF(OR($E2637="INFRUCTUEUX",$E2637="ANNULE"),$A2637&amp;"|"&amp;(COUNTIFS($A$2:$A2637,$A2637,$E$2:$E2637,"INFRUCTUEUX")+COUNTIFS($A$2:$A2637,$A2637,$E$2:$E2637,"ANNULE")),""))</f>
        <v/>
      </c>
    </row>
    <row r="2638">
      <c r="A2638">
        <f>IF(ISBLANK('ENGAGEMENTS 2026'!B2638),"",IF('ENGAGEMENTS 2026'!B2638="DTSI","DCT",'ENGAGEMENTS 2026'!B2638))</f>
        <v/>
      </c>
      <c r="B2638">
        <f>IF(ISBLANK('ENGAGEMENTS 2026'!B2638),"",'ENGAGEMENTS 2026'!C2638)</f>
        <v/>
      </c>
      <c r="C2638">
        <f>IF(ISBLANK('ENGAGEMENTS 2026'!B2638),"",'ENGAGEMENTS 2026'!D2638)</f>
        <v/>
      </c>
      <c r="D2638">
        <f>IF(ISBLANK('ENGAGEMENTS 2026'!B2638),"",'ENGAGEMENTS 2026'!F2638)</f>
        <v/>
      </c>
      <c r="E2638">
        <f>IF(ISBLANK('ENGAGEMENTS 2026'!B2638),"",'ENGAGEMENTS 2026'!H2638)</f>
        <v/>
      </c>
      <c r="F2638">
        <f>IF(ISBLANK('ENGAGEMENTS 2026'!B2638),"",'ENGAGEMENTS 2026'!I2638)</f>
        <v/>
      </c>
      <c r="G2638">
        <f>IF(ISBLANK('ENGAGEMENTS 2026'!B2638),"",'ENGAGEMENTS 2026'!L2638)</f>
        <v/>
      </c>
      <c r="H2638">
        <f>IF(ISBLANK('ENGAGEMENTS 2026'!B2638),"",'ENGAGEMENTS 2026'!AE2638)</f>
        <v/>
      </c>
      <c r="I2638">
        <f>IF(ISBLANK('ENGAGEMENTS 2026'!B2638),"",'ENGAGEMENTS 2026'!G2638)</f>
        <v/>
      </c>
      <c r="J2638" s="275">
        <f>IF(ISBLANK('ENGAGEMENTS 2026'!B2638),"",IF(AND(OR($E2638="INFRUCTUEUX",$E2638="ANNULE"),$C2638="AOO-M"),'ENGAGEMENTS 2026'!O2638,IF($H2638="EN COURS DE PREENGAGEMENT",'ENGAGEMENTS 2026'!N2638,IF($H2638="PREENGAGE",IF($E2638="ATTRIBUE",'ENGAGEMENTS 2026'!AD2638,'ENGAGEMENTS 2026'!N2638),'ENGAGEMENTS 2026'!AD2638))))</f>
        <v/>
      </c>
      <c r="K2638" s="604">
        <f>IF(ISBLANK('ENGAGEMENTS 2026'!V2638),"",'ENGAGEMENTS 2026'!V2638)</f>
        <v/>
      </c>
      <c r="L2638" s="276">
        <f>IF($K2638="","",TODAY()-$K2638)</f>
        <v/>
      </c>
      <c r="M2638">
        <f>IF($A2638="","",IF($H2638="ENGAGE","Engagé",IF(AND($H2638="NON ENGAGE",OR($I2638="INFRUCTUEUX",$I2638="ANNULE")),"Clôturé sans suite","En cours")))</f>
        <v/>
      </c>
      <c r="N2638">
        <f>IF(ISBLANK('ENGAGEMENTS 2026'!B2638),"",'ENGAGEMENTS 2026'!K2638)</f>
        <v/>
      </c>
      <c r="O2638">
        <f>IF(ISBLANK('ENGAGEMENTS 2026'!B2638),"",'ENGAGEMENTS 2026'!L2638)</f>
        <v/>
      </c>
      <c r="P2638">
        <f>IF(ISBLANK('ENGAGEMENTS 2026'!B2638),"",'ENGAGEMENTS 2026'!J2638)</f>
        <v/>
      </c>
      <c r="Q2638">
        <f>IF($A2638="","",IF(OR($E2638="INFRUCTUEUX",$E2638="ANNULE"),$A2638&amp;"|"&amp;(COUNTIFS($A$2:$A2638,$A2638,$E$2:$E2638,"INFRUCTUEUX")+COUNTIFS($A$2:$A2638,$A2638,$E$2:$E2638,"ANNULE")),""))</f>
        <v/>
      </c>
    </row>
    <row r="2639">
      <c r="A2639">
        <f>IF(ISBLANK('ENGAGEMENTS 2026'!B2639),"",IF('ENGAGEMENTS 2026'!B2639="DTSI","DCT",'ENGAGEMENTS 2026'!B2639))</f>
        <v/>
      </c>
      <c r="B2639">
        <f>IF(ISBLANK('ENGAGEMENTS 2026'!B2639),"",'ENGAGEMENTS 2026'!C2639)</f>
        <v/>
      </c>
      <c r="C2639">
        <f>IF(ISBLANK('ENGAGEMENTS 2026'!B2639),"",'ENGAGEMENTS 2026'!D2639)</f>
        <v/>
      </c>
      <c r="D2639">
        <f>IF(ISBLANK('ENGAGEMENTS 2026'!B2639),"",'ENGAGEMENTS 2026'!F2639)</f>
        <v/>
      </c>
      <c r="E2639">
        <f>IF(ISBLANK('ENGAGEMENTS 2026'!B2639),"",'ENGAGEMENTS 2026'!H2639)</f>
        <v/>
      </c>
      <c r="F2639">
        <f>IF(ISBLANK('ENGAGEMENTS 2026'!B2639),"",'ENGAGEMENTS 2026'!I2639)</f>
        <v/>
      </c>
      <c r="G2639">
        <f>IF(ISBLANK('ENGAGEMENTS 2026'!B2639),"",'ENGAGEMENTS 2026'!L2639)</f>
        <v/>
      </c>
      <c r="H2639">
        <f>IF(ISBLANK('ENGAGEMENTS 2026'!B2639),"",'ENGAGEMENTS 2026'!AE2639)</f>
        <v/>
      </c>
      <c r="I2639">
        <f>IF(ISBLANK('ENGAGEMENTS 2026'!B2639),"",'ENGAGEMENTS 2026'!G2639)</f>
        <v/>
      </c>
      <c r="J2639" s="275">
        <f>IF(ISBLANK('ENGAGEMENTS 2026'!B2639),"",IF(AND(OR($E2639="INFRUCTUEUX",$E2639="ANNULE"),$C2639="AOO-M"),'ENGAGEMENTS 2026'!O2639,IF($H2639="EN COURS DE PREENGAGEMENT",'ENGAGEMENTS 2026'!N2639,IF($H2639="PREENGAGE",IF($E2639="ATTRIBUE",'ENGAGEMENTS 2026'!AD2639,'ENGAGEMENTS 2026'!N2639),'ENGAGEMENTS 2026'!AD2639))))</f>
        <v/>
      </c>
      <c r="K2639" s="604">
        <f>IF(ISBLANK('ENGAGEMENTS 2026'!V2639),"",'ENGAGEMENTS 2026'!V2639)</f>
        <v/>
      </c>
      <c r="L2639" s="276">
        <f>IF($K2639="","",TODAY()-$K2639)</f>
        <v/>
      </c>
      <c r="M2639">
        <f>IF($A2639="","",IF($H2639="ENGAGE","Engagé",IF(AND($H2639="NON ENGAGE",OR($I2639="INFRUCTUEUX",$I2639="ANNULE")),"Clôturé sans suite","En cours")))</f>
        <v/>
      </c>
      <c r="N2639">
        <f>IF(ISBLANK('ENGAGEMENTS 2026'!B2639),"",'ENGAGEMENTS 2026'!K2639)</f>
        <v/>
      </c>
      <c r="O2639">
        <f>IF(ISBLANK('ENGAGEMENTS 2026'!B2639),"",'ENGAGEMENTS 2026'!L2639)</f>
        <v/>
      </c>
      <c r="P2639">
        <f>IF(ISBLANK('ENGAGEMENTS 2026'!B2639),"",'ENGAGEMENTS 2026'!J2639)</f>
        <v/>
      </c>
      <c r="Q2639">
        <f>IF($A2639="","",IF(OR($E2639="INFRUCTUEUX",$E2639="ANNULE"),$A2639&amp;"|"&amp;(COUNTIFS($A$2:$A2639,$A2639,$E$2:$E2639,"INFRUCTUEUX")+COUNTIFS($A$2:$A2639,$A2639,$E$2:$E2639,"ANNULE")),""))</f>
        <v/>
      </c>
    </row>
    <row r="2640">
      <c r="A2640">
        <f>IF(ISBLANK('ENGAGEMENTS 2026'!B2640),"",IF('ENGAGEMENTS 2026'!B2640="DTSI","DCT",'ENGAGEMENTS 2026'!B2640))</f>
        <v/>
      </c>
      <c r="B2640">
        <f>IF(ISBLANK('ENGAGEMENTS 2026'!B2640),"",'ENGAGEMENTS 2026'!C2640)</f>
        <v/>
      </c>
      <c r="C2640">
        <f>IF(ISBLANK('ENGAGEMENTS 2026'!B2640),"",'ENGAGEMENTS 2026'!D2640)</f>
        <v/>
      </c>
      <c r="D2640">
        <f>IF(ISBLANK('ENGAGEMENTS 2026'!B2640),"",'ENGAGEMENTS 2026'!F2640)</f>
        <v/>
      </c>
      <c r="E2640">
        <f>IF(ISBLANK('ENGAGEMENTS 2026'!B2640),"",'ENGAGEMENTS 2026'!H2640)</f>
        <v/>
      </c>
      <c r="F2640">
        <f>IF(ISBLANK('ENGAGEMENTS 2026'!B2640),"",'ENGAGEMENTS 2026'!I2640)</f>
        <v/>
      </c>
      <c r="G2640">
        <f>IF(ISBLANK('ENGAGEMENTS 2026'!B2640),"",'ENGAGEMENTS 2026'!L2640)</f>
        <v/>
      </c>
      <c r="H2640">
        <f>IF(ISBLANK('ENGAGEMENTS 2026'!B2640),"",'ENGAGEMENTS 2026'!AE2640)</f>
        <v/>
      </c>
      <c r="I2640">
        <f>IF(ISBLANK('ENGAGEMENTS 2026'!B2640),"",'ENGAGEMENTS 2026'!G2640)</f>
        <v/>
      </c>
      <c r="J2640" s="275">
        <f>IF(ISBLANK('ENGAGEMENTS 2026'!B2640),"",IF(AND(OR($E2640="INFRUCTUEUX",$E2640="ANNULE"),$C2640="AOO-M"),'ENGAGEMENTS 2026'!O2640,IF($H2640="EN COURS DE PREENGAGEMENT",'ENGAGEMENTS 2026'!N2640,IF($H2640="PREENGAGE",IF($E2640="ATTRIBUE",'ENGAGEMENTS 2026'!AD2640,'ENGAGEMENTS 2026'!N2640),'ENGAGEMENTS 2026'!AD2640))))</f>
        <v/>
      </c>
      <c r="K2640" s="604">
        <f>IF(ISBLANK('ENGAGEMENTS 2026'!V2640),"",'ENGAGEMENTS 2026'!V2640)</f>
        <v/>
      </c>
      <c r="L2640" s="276">
        <f>IF($K2640="","",TODAY()-$K2640)</f>
        <v/>
      </c>
      <c r="M2640">
        <f>IF($A2640="","",IF($H2640="ENGAGE","Engagé",IF(AND($H2640="NON ENGAGE",OR($I2640="INFRUCTUEUX",$I2640="ANNULE")),"Clôturé sans suite","En cours")))</f>
        <v/>
      </c>
      <c r="N2640">
        <f>IF(ISBLANK('ENGAGEMENTS 2026'!B2640),"",'ENGAGEMENTS 2026'!K2640)</f>
        <v/>
      </c>
      <c r="O2640">
        <f>IF(ISBLANK('ENGAGEMENTS 2026'!B2640),"",'ENGAGEMENTS 2026'!L2640)</f>
        <v/>
      </c>
      <c r="P2640">
        <f>IF(ISBLANK('ENGAGEMENTS 2026'!B2640),"",'ENGAGEMENTS 2026'!J2640)</f>
        <v/>
      </c>
      <c r="Q2640">
        <f>IF($A2640="","",IF(OR($E2640="INFRUCTUEUX",$E2640="ANNULE"),$A2640&amp;"|"&amp;(COUNTIFS($A$2:$A2640,$A2640,$E$2:$E2640,"INFRUCTUEUX")+COUNTIFS($A$2:$A2640,$A2640,$E$2:$E2640,"ANNULE")),""))</f>
        <v/>
      </c>
    </row>
    <row r="2641">
      <c r="A2641">
        <f>IF(ISBLANK('ENGAGEMENTS 2026'!B2641),"",IF('ENGAGEMENTS 2026'!B2641="DTSI","DCT",'ENGAGEMENTS 2026'!B2641))</f>
        <v/>
      </c>
      <c r="B2641">
        <f>IF(ISBLANK('ENGAGEMENTS 2026'!B2641),"",'ENGAGEMENTS 2026'!C2641)</f>
        <v/>
      </c>
      <c r="C2641">
        <f>IF(ISBLANK('ENGAGEMENTS 2026'!B2641),"",'ENGAGEMENTS 2026'!D2641)</f>
        <v/>
      </c>
      <c r="D2641">
        <f>IF(ISBLANK('ENGAGEMENTS 2026'!B2641),"",'ENGAGEMENTS 2026'!F2641)</f>
        <v/>
      </c>
      <c r="E2641">
        <f>IF(ISBLANK('ENGAGEMENTS 2026'!B2641),"",'ENGAGEMENTS 2026'!H2641)</f>
        <v/>
      </c>
      <c r="F2641">
        <f>IF(ISBLANK('ENGAGEMENTS 2026'!B2641),"",'ENGAGEMENTS 2026'!I2641)</f>
        <v/>
      </c>
      <c r="G2641">
        <f>IF(ISBLANK('ENGAGEMENTS 2026'!B2641),"",'ENGAGEMENTS 2026'!L2641)</f>
        <v/>
      </c>
      <c r="H2641">
        <f>IF(ISBLANK('ENGAGEMENTS 2026'!B2641),"",'ENGAGEMENTS 2026'!AE2641)</f>
        <v/>
      </c>
      <c r="I2641">
        <f>IF(ISBLANK('ENGAGEMENTS 2026'!B2641),"",'ENGAGEMENTS 2026'!G2641)</f>
        <v/>
      </c>
      <c r="J2641" s="275">
        <f>IF(ISBLANK('ENGAGEMENTS 2026'!B2641),"",IF(AND(OR($E2641="INFRUCTUEUX",$E2641="ANNULE"),$C2641="AOO-M"),'ENGAGEMENTS 2026'!O2641,IF($H2641="EN COURS DE PREENGAGEMENT",'ENGAGEMENTS 2026'!N2641,IF($H2641="PREENGAGE",IF($E2641="ATTRIBUE",'ENGAGEMENTS 2026'!AD2641,'ENGAGEMENTS 2026'!N2641),'ENGAGEMENTS 2026'!AD2641))))</f>
        <v/>
      </c>
      <c r="K2641" s="604">
        <f>IF(ISBLANK('ENGAGEMENTS 2026'!V2641),"",'ENGAGEMENTS 2026'!V2641)</f>
        <v/>
      </c>
      <c r="L2641" s="276">
        <f>IF($K2641="","",TODAY()-$K2641)</f>
        <v/>
      </c>
      <c r="M2641">
        <f>IF($A2641="","",IF($H2641="ENGAGE","Engagé",IF(AND($H2641="NON ENGAGE",OR($I2641="INFRUCTUEUX",$I2641="ANNULE")),"Clôturé sans suite","En cours")))</f>
        <v/>
      </c>
      <c r="N2641">
        <f>IF(ISBLANK('ENGAGEMENTS 2026'!B2641),"",'ENGAGEMENTS 2026'!K2641)</f>
        <v/>
      </c>
      <c r="O2641">
        <f>IF(ISBLANK('ENGAGEMENTS 2026'!B2641),"",'ENGAGEMENTS 2026'!L2641)</f>
        <v/>
      </c>
      <c r="P2641">
        <f>IF(ISBLANK('ENGAGEMENTS 2026'!B2641),"",'ENGAGEMENTS 2026'!J2641)</f>
        <v/>
      </c>
      <c r="Q2641">
        <f>IF($A2641="","",IF(OR($E2641="INFRUCTUEUX",$E2641="ANNULE"),$A2641&amp;"|"&amp;(COUNTIFS($A$2:$A2641,$A2641,$E$2:$E2641,"INFRUCTUEUX")+COUNTIFS($A$2:$A2641,$A2641,$E$2:$E2641,"ANNULE")),""))</f>
        <v/>
      </c>
    </row>
    <row r="2642">
      <c r="A2642">
        <f>IF(ISBLANK('ENGAGEMENTS 2026'!B2642),"",IF('ENGAGEMENTS 2026'!B2642="DTSI","DCT",'ENGAGEMENTS 2026'!B2642))</f>
        <v/>
      </c>
      <c r="B2642">
        <f>IF(ISBLANK('ENGAGEMENTS 2026'!B2642),"",'ENGAGEMENTS 2026'!C2642)</f>
        <v/>
      </c>
      <c r="C2642">
        <f>IF(ISBLANK('ENGAGEMENTS 2026'!B2642),"",'ENGAGEMENTS 2026'!D2642)</f>
        <v/>
      </c>
      <c r="D2642">
        <f>IF(ISBLANK('ENGAGEMENTS 2026'!B2642),"",'ENGAGEMENTS 2026'!F2642)</f>
        <v/>
      </c>
      <c r="E2642">
        <f>IF(ISBLANK('ENGAGEMENTS 2026'!B2642),"",'ENGAGEMENTS 2026'!H2642)</f>
        <v/>
      </c>
      <c r="F2642">
        <f>IF(ISBLANK('ENGAGEMENTS 2026'!B2642),"",'ENGAGEMENTS 2026'!I2642)</f>
        <v/>
      </c>
      <c r="G2642">
        <f>IF(ISBLANK('ENGAGEMENTS 2026'!B2642),"",'ENGAGEMENTS 2026'!L2642)</f>
        <v/>
      </c>
      <c r="H2642">
        <f>IF(ISBLANK('ENGAGEMENTS 2026'!B2642),"",'ENGAGEMENTS 2026'!AE2642)</f>
        <v/>
      </c>
      <c r="I2642">
        <f>IF(ISBLANK('ENGAGEMENTS 2026'!B2642),"",'ENGAGEMENTS 2026'!G2642)</f>
        <v/>
      </c>
      <c r="J2642" s="275">
        <f>IF(ISBLANK('ENGAGEMENTS 2026'!B2642),"",IF(AND(OR($E2642="INFRUCTUEUX",$E2642="ANNULE"),$C2642="AOO-M"),'ENGAGEMENTS 2026'!O2642,IF($H2642="EN COURS DE PREENGAGEMENT",'ENGAGEMENTS 2026'!N2642,IF($H2642="PREENGAGE",IF($E2642="ATTRIBUE",'ENGAGEMENTS 2026'!AD2642,'ENGAGEMENTS 2026'!N2642),'ENGAGEMENTS 2026'!AD2642))))</f>
        <v/>
      </c>
      <c r="K2642" s="604">
        <f>IF(ISBLANK('ENGAGEMENTS 2026'!V2642),"",'ENGAGEMENTS 2026'!V2642)</f>
        <v/>
      </c>
      <c r="L2642" s="276">
        <f>IF($K2642="","",TODAY()-$K2642)</f>
        <v/>
      </c>
      <c r="M2642">
        <f>IF($A2642="","",IF($H2642="ENGAGE","Engagé",IF(AND($H2642="NON ENGAGE",OR($I2642="INFRUCTUEUX",$I2642="ANNULE")),"Clôturé sans suite","En cours")))</f>
        <v/>
      </c>
      <c r="N2642">
        <f>IF(ISBLANK('ENGAGEMENTS 2026'!B2642),"",'ENGAGEMENTS 2026'!K2642)</f>
        <v/>
      </c>
      <c r="O2642">
        <f>IF(ISBLANK('ENGAGEMENTS 2026'!B2642),"",'ENGAGEMENTS 2026'!L2642)</f>
        <v/>
      </c>
      <c r="P2642">
        <f>IF(ISBLANK('ENGAGEMENTS 2026'!B2642),"",'ENGAGEMENTS 2026'!J2642)</f>
        <v/>
      </c>
      <c r="Q2642">
        <f>IF($A2642="","",IF(OR($E2642="INFRUCTUEUX",$E2642="ANNULE"),$A2642&amp;"|"&amp;(COUNTIFS($A$2:$A2642,$A2642,$E$2:$E2642,"INFRUCTUEUX")+COUNTIFS($A$2:$A2642,$A2642,$E$2:$E2642,"ANNULE")),""))</f>
        <v/>
      </c>
    </row>
    <row r="2643">
      <c r="A2643">
        <f>IF(ISBLANK('ENGAGEMENTS 2026'!B2643),"",IF('ENGAGEMENTS 2026'!B2643="DTSI","DCT",'ENGAGEMENTS 2026'!B2643))</f>
        <v/>
      </c>
      <c r="B2643">
        <f>IF(ISBLANK('ENGAGEMENTS 2026'!B2643),"",'ENGAGEMENTS 2026'!C2643)</f>
        <v/>
      </c>
      <c r="C2643">
        <f>IF(ISBLANK('ENGAGEMENTS 2026'!B2643),"",'ENGAGEMENTS 2026'!D2643)</f>
        <v/>
      </c>
      <c r="D2643">
        <f>IF(ISBLANK('ENGAGEMENTS 2026'!B2643),"",'ENGAGEMENTS 2026'!F2643)</f>
        <v/>
      </c>
      <c r="E2643">
        <f>IF(ISBLANK('ENGAGEMENTS 2026'!B2643),"",'ENGAGEMENTS 2026'!H2643)</f>
        <v/>
      </c>
      <c r="F2643">
        <f>IF(ISBLANK('ENGAGEMENTS 2026'!B2643),"",'ENGAGEMENTS 2026'!I2643)</f>
        <v/>
      </c>
      <c r="G2643">
        <f>IF(ISBLANK('ENGAGEMENTS 2026'!B2643),"",'ENGAGEMENTS 2026'!L2643)</f>
        <v/>
      </c>
      <c r="H2643">
        <f>IF(ISBLANK('ENGAGEMENTS 2026'!B2643),"",'ENGAGEMENTS 2026'!AE2643)</f>
        <v/>
      </c>
      <c r="I2643">
        <f>IF(ISBLANK('ENGAGEMENTS 2026'!B2643),"",'ENGAGEMENTS 2026'!G2643)</f>
        <v/>
      </c>
      <c r="J2643" s="275">
        <f>IF(ISBLANK('ENGAGEMENTS 2026'!B2643),"",IF(AND(OR($E2643="INFRUCTUEUX",$E2643="ANNULE"),$C2643="AOO-M"),'ENGAGEMENTS 2026'!O2643,IF($H2643="EN COURS DE PREENGAGEMENT",'ENGAGEMENTS 2026'!N2643,IF($H2643="PREENGAGE",IF($E2643="ATTRIBUE",'ENGAGEMENTS 2026'!AD2643,'ENGAGEMENTS 2026'!N2643),'ENGAGEMENTS 2026'!AD2643))))</f>
        <v/>
      </c>
      <c r="K2643" s="604">
        <f>IF(ISBLANK('ENGAGEMENTS 2026'!V2643),"",'ENGAGEMENTS 2026'!V2643)</f>
        <v/>
      </c>
      <c r="L2643" s="276">
        <f>IF($K2643="","",TODAY()-$K2643)</f>
        <v/>
      </c>
      <c r="M2643">
        <f>IF($A2643="","",IF($H2643="ENGAGE","Engagé",IF(AND($H2643="NON ENGAGE",OR($I2643="INFRUCTUEUX",$I2643="ANNULE")),"Clôturé sans suite","En cours")))</f>
        <v/>
      </c>
      <c r="N2643">
        <f>IF(ISBLANK('ENGAGEMENTS 2026'!B2643),"",'ENGAGEMENTS 2026'!K2643)</f>
        <v/>
      </c>
      <c r="O2643">
        <f>IF(ISBLANK('ENGAGEMENTS 2026'!B2643),"",'ENGAGEMENTS 2026'!L2643)</f>
        <v/>
      </c>
      <c r="P2643">
        <f>IF(ISBLANK('ENGAGEMENTS 2026'!B2643),"",'ENGAGEMENTS 2026'!J2643)</f>
        <v/>
      </c>
      <c r="Q2643">
        <f>IF($A2643="","",IF(OR($E2643="INFRUCTUEUX",$E2643="ANNULE"),$A2643&amp;"|"&amp;(COUNTIFS($A$2:$A2643,$A2643,$E$2:$E2643,"INFRUCTUEUX")+COUNTIFS($A$2:$A2643,$A2643,$E$2:$E2643,"ANNULE")),""))</f>
        <v/>
      </c>
    </row>
    <row r="2644">
      <c r="A2644">
        <f>IF(ISBLANK('ENGAGEMENTS 2026'!B2644),"",IF('ENGAGEMENTS 2026'!B2644="DTSI","DCT",'ENGAGEMENTS 2026'!B2644))</f>
        <v/>
      </c>
      <c r="B2644">
        <f>IF(ISBLANK('ENGAGEMENTS 2026'!B2644),"",'ENGAGEMENTS 2026'!C2644)</f>
        <v/>
      </c>
      <c r="C2644">
        <f>IF(ISBLANK('ENGAGEMENTS 2026'!B2644),"",'ENGAGEMENTS 2026'!D2644)</f>
        <v/>
      </c>
      <c r="D2644">
        <f>IF(ISBLANK('ENGAGEMENTS 2026'!B2644),"",'ENGAGEMENTS 2026'!F2644)</f>
        <v/>
      </c>
      <c r="E2644">
        <f>IF(ISBLANK('ENGAGEMENTS 2026'!B2644),"",'ENGAGEMENTS 2026'!H2644)</f>
        <v/>
      </c>
      <c r="F2644">
        <f>IF(ISBLANK('ENGAGEMENTS 2026'!B2644),"",'ENGAGEMENTS 2026'!I2644)</f>
        <v/>
      </c>
      <c r="G2644">
        <f>IF(ISBLANK('ENGAGEMENTS 2026'!B2644),"",'ENGAGEMENTS 2026'!L2644)</f>
        <v/>
      </c>
      <c r="H2644">
        <f>IF(ISBLANK('ENGAGEMENTS 2026'!B2644),"",'ENGAGEMENTS 2026'!AE2644)</f>
        <v/>
      </c>
      <c r="I2644">
        <f>IF(ISBLANK('ENGAGEMENTS 2026'!B2644),"",'ENGAGEMENTS 2026'!G2644)</f>
        <v/>
      </c>
      <c r="J2644" s="275">
        <f>IF(ISBLANK('ENGAGEMENTS 2026'!B2644),"",IF(AND(OR($E2644="INFRUCTUEUX",$E2644="ANNULE"),$C2644="AOO-M"),'ENGAGEMENTS 2026'!O2644,IF($H2644="EN COURS DE PREENGAGEMENT",'ENGAGEMENTS 2026'!N2644,IF($H2644="PREENGAGE",IF($E2644="ATTRIBUE",'ENGAGEMENTS 2026'!AD2644,'ENGAGEMENTS 2026'!N2644),'ENGAGEMENTS 2026'!AD2644))))</f>
        <v/>
      </c>
      <c r="K2644" s="604">
        <f>IF(ISBLANK('ENGAGEMENTS 2026'!V2644),"",'ENGAGEMENTS 2026'!V2644)</f>
        <v/>
      </c>
      <c r="L2644" s="276">
        <f>IF($K2644="","",TODAY()-$K2644)</f>
        <v/>
      </c>
      <c r="M2644">
        <f>IF($A2644="","",IF($H2644="ENGAGE","Engagé",IF(AND($H2644="NON ENGAGE",OR($I2644="INFRUCTUEUX",$I2644="ANNULE")),"Clôturé sans suite","En cours")))</f>
        <v/>
      </c>
      <c r="N2644">
        <f>IF(ISBLANK('ENGAGEMENTS 2026'!B2644),"",'ENGAGEMENTS 2026'!K2644)</f>
        <v/>
      </c>
      <c r="O2644">
        <f>IF(ISBLANK('ENGAGEMENTS 2026'!B2644),"",'ENGAGEMENTS 2026'!L2644)</f>
        <v/>
      </c>
      <c r="P2644">
        <f>IF(ISBLANK('ENGAGEMENTS 2026'!B2644),"",'ENGAGEMENTS 2026'!J2644)</f>
        <v/>
      </c>
      <c r="Q2644">
        <f>IF($A2644="","",IF(OR($E2644="INFRUCTUEUX",$E2644="ANNULE"),$A2644&amp;"|"&amp;(COUNTIFS($A$2:$A2644,$A2644,$E$2:$E2644,"INFRUCTUEUX")+COUNTIFS($A$2:$A2644,$A2644,$E$2:$E2644,"ANNULE")),""))</f>
        <v/>
      </c>
    </row>
    <row r="2645">
      <c r="A2645">
        <f>IF(ISBLANK('ENGAGEMENTS 2026'!B2645),"",IF('ENGAGEMENTS 2026'!B2645="DTSI","DCT",'ENGAGEMENTS 2026'!B2645))</f>
        <v/>
      </c>
      <c r="B2645">
        <f>IF(ISBLANK('ENGAGEMENTS 2026'!B2645),"",'ENGAGEMENTS 2026'!C2645)</f>
        <v/>
      </c>
      <c r="C2645">
        <f>IF(ISBLANK('ENGAGEMENTS 2026'!B2645),"",'ENGAGEMENTS 2026'!D2645)</f>
        <v/>
      </c>
      <c r="D2645">
        <f>IF(ISBLANK('ENGAGEMENTS 2026'!B2645),"",'ENGAGEMENTS 2026'!F2645)</f>
        <v/>
      </c>
      <c r="E2645">
        <f>IF(ISBLANK('ENGAGEMENTS 2026'!B2645),"",'ENGAGEMENTS 2026'!H2645)</f>
        <v/>
      </c>
      <c r="F2645">
        <f>IF(ISBLANK('ENGAGEMENTS 2026'!B2645),"",'ENGAGEMENTS 2026'!I2645)</f>
        <v/>
      </c>
      <c r="G2645">
        <f>IF(ISBLANK('ENGAGEMENTS 2026'!B2645),"",'ENGAGEMENTS 2026'!L2645)</f>
        <v/>
      </c>
      <c r="H2645">
        <f>IF(ISBLANK('ENGAGEMENTS 2026'!B2645),"",'ENGAGEMENTS 2026'!AE2645)</f>
        <v/>
      </c>
      <c r="I2645">
        <f>IF(ISBLANK('ENGAGEMENTS 2026'!B2645),"",'ENGAGEMENTS 2026'!G2645)</f>
        <v/>
      </c>
      <c r="J2645" s="275">
        <f>IF(ISBLANK('ENGAGEMENTS 2026'!B2645),"",IF(AND(OR($E2645="INFRUCTUEUX",$E2645="ANNULE"),$C2645="AOO-M"),'ENGAGEMENTS 2026'!O2645,IF($H2645="EN COURS DE PREENGAGEMENT",'ENGAGEMENTS 2026'!N2645,IF($H2645="PREENGAGE",IF($E2645="ATTRIBUE",'ENGAGEMENTS 2026'!AD2645,'ENGAGEMENTS 2026'!N2645),'ENGAGEMENTS 2026'!AD2645))))</f>
        <v/>
      </c>
      <c r="K2645" s="604">
        <f>IF(ISBLANK('ENGAGEMENTS 2026'!V2645),"",'ENGAGEMENTS 2026'!V2645)</f>
        <v/>
      </c>
      <c r="L2645" s="276">
        <f>IF($K2645="","",TODAY()-$K2645)</f>
        <v/>
      </c>
      <c r="M2645">
        <f>IF($A2645="","",IF($H2645="ENGAGE","Engagé",IF(AND($H2645="NON ENGAGE",OR($I2645="INFRUCTUEUX",$I2645="ANNULE")),"Clôturé sans suite","En cours")))</f>
        <v/>
      </c>
      <c r="N2645">
        <f>IF(ISBLANK('ENGAGEMENTS 2026'!B2645),"",'ENGAGEMENTS 2026'!K2645)</f>
        <v/>
      </c>
      <c r="O2645">
        <f>IF(ISBLANK('ENGAGEMENTS 2026'!B2645),"",'ENGAGEMENTS 2026'!L2645)</f>
        <v/>
      </c>
      <c r="P2645">
        <f>IF(ISBLANK('ENGAGEMENTS 2026'!B2645),"",'ENGAGEMENTS 2026'!J2645)</f>
        <v/>
      </c>
      <c r="Q2645">
        <f>IF($A2645="","",IF(OR($E2645="INFRUCTUEUX",$E2645="ANNULE"),$A2645&amp;"|"&amp;(COUNTIFS($A$2:$A2645,$A2645,$E$2:$E2645,"INFRUCTUEUX")+COUNTIFS($A$2:$A2645,$A2645,$E$2:$E2645,"ANNULE")),""))</f>
        <v/>
      </c>
    </row>
    <row r="2646">
      <c r="A2646">
        <f>IF(ISBLANK('ENGAGEMENTS 2026'!B2646),"",IF('ENGAGEMENTS 2026'!B2646="DTSI","DCT",'ENGAGEMENTS 2026'!B2646))</f>
        <v/>
      </c>
      <c r="B2646">
        <f>IF(ISBLANK('ENGAGEMENTS 2026'!B2646),"",'ENGAGEMENTS 2026'!C2646)</f>
        <v/>
      </c>
      <c r="C2646">
        <f>IF(ISBLANK('ENGAGEMENTS 2026'!B2646),"",'ENGAGEMENTS 2026'!D2646)</f>
        <v/>
      </c>
      <c r="D2646">
        <f>IF(ISBLANK('ENGAGEMENTS 2026'!B2646),"",'ENGAGEMENTS 2026'!F2646)</f>
        <v/>
      </c>
      <c r="E2646">
        <f>IF(ISBLANK('ENGAGEMENTS 2026'!B2646),"",'ENGAGEMENTS 2026'!H2646)</f>
        <v/>
      </c>
      <c r="F2646">
        <f>IF(ISBLANK('ENGAGEMENTS 2026'!B2646),"",'ENGAGEMENTS 2026'!I2646)</f>
        <v/>
      </c>
      <c r="G2646">
        <f>IF(ISBLANK('ENGAGEMENTS 2026'!B2646),"",'ENGAGEMENTS 2026'!L2646)</f>
        <v/>
      </c>
      <c r="H2646">
        <f>IF(ISBLANK('ENGAGEMENTS 2026'!B2646),"",'ENGAGEMENTS 2026'!AE2646)</f>
        <v/>
      </c>
      <c r="I2646">
        <f>IF(ISBLANK('ENGAGEMENTS 2026'!B2646),"",'ENGAGEMENTS 2026'!G2646)</f>
        <v/>
      </c>
      <c r="J2646" s="275">
        <f>IF(ISBLANK('ENGAGEMENTS 2026'!B2646),"",IF(AND(OR($E2646="INFRUCTUEUX",$E2646="ANNULE"),$C2646="AOO-M"),'ENGAGEMENTS 2026'!O2646,IF($H2646="EN COURS DE PREENGAGEMENT",'ENGAGEMENTS 2026'!N2646,IF($H2646="PREENGAGE",IF($E2646="ATTRIBUE",'ENGAGEMENTS 2026'!AD2646,'ENGAGEMENTS 2026'!N2646),'ENGAGEMENTS 2026'!AD2646))))</f>
        <v/>
      </c>
      <c r="K2646" s="604">
        <f>IF(ISBLANK('ENGAGEMENTS 2026'!V2646),"",'ENGAGEMENTS 2026'!V2646)</f>
        <v/>
      </c>
      <c r="L2646" s="276">
        <f>IF($K2646="","",TODAY()-$K2646)</f>
        <v/>
      </c>
      <c r="M2646">
        <f>IF($A2646="","",IF($H2646="ENGAGE","Engagé",IF(AND($H2646="NON ENGAGE",OR($I2646="INFRUCTUEUX",$I2646="ANNULE")),"Clôturé sans suite","En cours")))</f>
        <v/>
      </c>
      <c r="N2646">
        <f>IF(ISBLANK('ENGAGEMENTS 2026'!B2646),"",'ENGAGEMENTS 2026'!K2646)</f>
        <v/>
      </c>
      <c r="O2646">
        <f>IF(ISBLANK('ENGAGEMENTS 2026'!B2646),"",'ENGAGEMENTS 2026'!L2646)</f>
        <v/>
      </c>
      <c r="P2646">
        <f>IF(ISBLANK('ENGAGEMENTS 2026'!B2646),"",'ENGAGEMENTS 2026'!J2646)</f>
        <v/>
      </c>
      <c r="Q2646">
        <f>IF($A2646="","",IF(OR($E2646="INFRUCTUEUX",$E2646="ANNULE"),$A2646&amp;"|"&amp;(COUNTIFS($A$2:$A2646,$A2646,$E$2:$E2646,"INFRUCTUEUX")+COUNTIFS($A$2:$A2646,$A2646,$E$2:$E2646,"ANNULE")),""))</f>
        <v/>
      </c>
    </row>
    <row r="2647">
      <c r="A2647">
        <f>IF(ISBLANK('ENGAGEMENTS 2026'!B2647),"",IF('ENGAGEMENTS 2026'!B2647="DTSI","DCT",'ENGAGEMENTS 2026'!B2647))</f>
        <v/>
      </c>
      <c r="B2647">
        <f>IF(ISBLANK('ENGAGEMENTS 2026'!B2647),"",'ENGAGEMENTS 2026'!C2647)</f>
        <v/>
      </c>
      <c r="C2647">
        <f>IF(ISBLANK('ENGAGEMENTS 2026'!B2647),"",'ENGAGEMENTS 2026'!D2647)</f>
        <v/>
      </c>
      <c r="D2647">
        <f>IF(ISBLANK('ENGAGEMENTS 2026'!B2647),"",'ENGAGEMENTS 2026'!F2647)</f>
        <v/>
      </c>
      <c r="E2647">
        <f>IF(ISBLANK('ENGAGEMENTS 2026'!B2647),"",'ENGAGEMENTS 2026'!H2647)</f>
        <v/>
      </c>
      <c r="F2647">
        <f>IF(ISBLANK('ENGAGEMENTS 2026'!B2647),"",'ENGAGEMENTS 2026'!I2647)</f>
        <v/>
      </c>
      <c r="G2647">
        <f>IF(ISBLANK('ENGAGEMENTS 2026'!B2647),"",'ENGAGEMENTS 2026'!L2647)</f>
        <v/>
      </c>
      <c r="H2647">
        <f>IF(ISBLANK('ENGAGEMENTS 2026'!B2647),"",'ENGAGEMENTS 2026'!AE2647)</f>
        <v/>
      </c>
      <c r="I2647">
        <f>IF(ISBLANK('ENGAGEMENTS 2026'!B2647),"",'ENGAGEMENTS 2026'!G2647)</f>
        <v/>
      </c>
      <c r="J2647" s="275">
        <f>IF(ISBLANK('ENGAGEMENTS 2026'!B2647),"",IF(AND(OR($E2647="INFRUCTUEUX",$E2647="ANNULE"),$C2647="AOO-M"),'ENGAGEMENTS 2026'!O2647,IF($H2647="EN COURS DE PREENGAGEMENT",'ENGAGEMENTS 2026'!N2647,IF($H2647="PREENGAGE",IF($E2647="ATTRIBUE",'ENGAGEMENTS 2026'!AD2647,'ENGAGEMENTS 2026'!N2647),'ENGAGEMENTS 2026'!AD2647))))</f>
        <v/>
      </c>
      <c r="K2647" s="604">
        <f>IF(ISBLANK('ENGAGEMENTS 2026'!V2647),"",'ENGAGEMENTS 2026'!V2647)</f>
        <v/>
      </c>
      <c r="L2647" s="276">
        <f>IF($K2647="","",TODAY()-$K2647)</f>
        <v/>
      </c>
      <c r="M2647">
        <f>IF($A2647="","",IF($H2647="ENGAGE","Engagé",IF(AND($H2647="NON ENGAGE",OR($I2647="INFRUCTUEUX",$I2647="ANNULE")),"Clôturé sans suite","En cours")))</f>
        <v/>
      </c>
      <c r="N2647">
        <f>IF(ISBLANK('ENGAGEMENTS 2026'!B2647),"",'ENGAGEMENTS 2026'!K2647)</f>
        <v/>
      </c>
      <c r="O2647">
        <f>IF(ISBLANK('ENGAGEMENTS 2026'!B2647),"",'ENGAGEMENTS 2026'!L2647)</f>
        <v/>
      </c>
      <c r="P2647">
        <f>IF(ISBLANK('ENGAGEMENTS 2026'!B2647),"",'ENGAGEMENTS 2026'!J2647)</f>
        <v/>
      </c>
      <c r="Q2647">
        <f>IF($A2647="","",IF(OR($E2647="INFRUCTUEUX",$E2647="ANNULE"),$A2647&amp;"|"&amp;(COUNTIFS($A$2:$A2647,$A2647,$E$2:$E2647,"INFRUCTUEUX")+COUNTIFS($A$2:$A2647,$A2647,$E$2:$E2647,"ANNULE")),""))</f>
        <v/>
      </c>
    </row>
    <row r="2648">
      <c r="A2648">
        <f>IF(ISBLANK('ENGAGEMENTS 2026'!B2648),"",IF('ENGAGEMENTS 2026'!B2648="DTSI","DCT",'ENGAGEMENTS 2026'!B2648))</f>
        <v/>
      </c>
      <c r="B2648">
        <f>IF(ISBLANK('ENGAGEMENTS 2026'!B2648),"",'ENGAGEMENTS 2026'!C2648)</f>
        <v/>
      </c>
      <c r="C2648">
        <f>IF(ISBLANK('ENGAGEMENTS 2026'!B2648),"",'ENGAGEMENTS 2026'!D2648)</f>
        <v/>
      </c>
      <c r="D2648">
        <f>IF(ISBLANK('ENGAGEMENTS 2026'!B2648),"",'ENGAGEMENTS 2026'!F2648)</f>
        <v/>
      </c>
      <c r="E2648">
        <f>IF(ISBLANK('ENGAGEMENTS 2026'!B2648),"",'ENGAGEMENTS 2026'!H2648)</f>
        <v/>
      </c>
      <c r="F2648">
        <f>IF(ISBLANK('ENGAGEMENTS 2026'!B2648),"",'ENGAGEMENTS 2026'!I2648)</f>
        <v/>
      </c>
      <c r="G2648">
        <f>IF(ISBLANK('ENGAGEMENTS 2026'!B2648),"",'ENGAGEMENTS 2026'!L2648)</f>
        <v/>
      </c>
      <c r="H2648">
        <f>IF(ISBLANK('ENGAGEMENTS 2026'!B2648),"",'ENGAGEMENTS 2026'!AE2648)</f>
        <v/>
      </c>
      <c r="I2648">
        <f>IF(ISBLANK('ENGAGEMENTS 2026'!B2648),"",'ENGAGEMENTS 2026'!G2648)</f>
        <v/>
      </c>
      <c r="J2648" s="275">
        <f>IF(ISBLANK('ENGAGEMENTS 2026'!B2648),"",IF(AND(OR($E2648="INFRUCTUEUX",$E2648="ANNULE"),$C2648="AOO-M"),'ENGAGEMENTS 2026'!O2648,IF($H2648="EN COURS DE PREENGAGEMENT",'ENGAGEMENTS 2026'!N2648,IF($H2648="PREENGAGE",IF($E2648="ATTRIBUE",'ENGAGEMENTS 2026'!AD2648,'ENGAGEMENTS 2026'!N2648),'ENGAGEMENTS 2026'!AD2648))))</f>
        <v/>
      </c>
      <c r="K2648" s="604">
        <f>IF(ISBLANK('ENGAGEMENTS 2026'!V2648),"",'ENGAGEMENTS 2026'!V2648)</f>
        <v/>
      </c>
      <c r="L2648" s="276">
        <f>IF($K2648="","",TODAY()-$K2648)</f>
        <v/>
      </c>
      <c r="M2648">
        <f>IF($A2648="","",IF($H2648="ENGAGE","Engagé",IF(AND($H2648="NON ENGAGE",OR($I2648="INFRUCTUEUX",$I2648="ANNULE")),"Clôturé sans suite","En cours")))</f>
        <v/>
      </c>
      <c r="N2648">
        <f>IF(ISBLANK('ENGAGEMENTS 2026'!B2648),"",'ENGAGEMENTS 2026'!K2648)</f>
        <v/>
      </c>
      <c r="O2648">
        <f>IF(ISBLANK('ENGAGEMENTS 2026'!B2648),"",'ENGAGEMENTS 2026'!L2648)</f>
        <v/>
      </c>
      <c r="P2648">
        <f>IF(ISBLANK('ENGAGEMENTS 2026'!B2648),"",'ENGAGEMENTS 2026'!J2648)</f>
        <v/>
      </c>
      <c r="Q2648">
        <f>IF($A2648="","",IF(OR($E2648="INFRUCTUEUX",$E2648="ANNULE"),$A2648&amp;"|"&amp;(COUNTIFS($A$2:$A2648,$A2648,$E$2:$E2648,"INFRUCTUEUX")+COUNTIFS($A$2:$A2648,$A2648,$E$2:$E2648,"ANNULE")),""))</f>
        <v/>
      </c>
    </row>
    <row r="2649">
      <c r="A2649">
        <f>IF(ISBLANK('ENGAGEMENTS 2026'!B2649),"",IF('ENGAGEMENTS 2026'!B2649="DTSI","DCT",'ENGAGEMENTS 2026'!B2649))</f>
        <v/>
      </c>
      <c r="B2649">
        <f>IF(ISBLANK('ENGAGEMENTS 2026'!B2649),"",'ENGAGEMENTS 2026'!C2649)</f>
        <v/>
      </c>
      <c r="C2649">
        <f>IF(ISBLANK('ENGAGEMENTS 2026'!B2649),"",'ENGAGEMENTS 2026'!D2649)</f>
        <v/>
      </c>
      <c r="D2649">
        <f>IF(ISBLANK('ENGAGEMENTS 2026'!B2649),"",'ENGAGEMENTS 2026'!F2649)</f>
        <v/>
      </c>
      <c r="E2649">
        <f>IF(ISBLANK('ENGAGEMENTS 2026'!B2649),"",'ENGAGEMENTS 2026'!H2649)</f>
        <v/>
      </c>
      <c r="F2649">
        <f>IF(ISBLANK('ENGAGEMENTS 2026'!B2649),"",'ENGAGEMENTS 2026'!I2649)</f>
        <v/>
      </c>
      <c r="G2649">
        <f>IF(ISBLANK('ENGAGEMENTS 2026'!B2649),"",'ENGAGEMENTS 2026'!L2649)</f>
        <v/>
      </c>
      <c r="H2649">
        <f>IF(ISBLANK('ENGAGEMENTS 2026'!B2649),"",'ENGAGEMENTS 2026'!AE2649)</f>
        <v/>
      </c>
      <c r="I2649">
        <f>IF(ISBLANK('ENGAGEMENTS 2026'!B2649),"",'ENGAGEMENTS 2026'!G2649)</f>
        <v/>
      </c>
      <c r="J2649" s="275">
        <f>IF(ISBLANK('ENGAGEMENTS 2026'!B2649),"",IF(AND(OR($E2649="INFRUCTUEUX",$E2649="ANNULE"),$C2649="AOO-M"),'ENGAGEMENTS 2026'!O2649,IF($H2649="EN COURS DE PREENGAGEMENT",'ENGAGEMENTS 2026'!N2649,IF($H2649="PREENGAGE",IF($E2649="ATTRIBUE",'ENGAGEMENTS 2026'!AD2649,'ENGAGEMENTS 2026'!N2649),'ENGAGEMENTS 2026'!AD2649))))</f>
        <v/>
      </c>
      <c r="K2649" s="604">
        <f>IF(ISBLANK('ENGAGEMENTS 2026'!V2649),"",'ENGAGEMENTS 2026'!V2649)</f>
        <v/>
      </c>
      <c r="L2649" s="276">
        <f>IF($K2649="","",TODAY()-$K2649)</f>
        <v/>
      </c>
      <c r="M2649">
        <f>IF($A2649="","",IF($H2649="ENGAGE","Engagé",IF(AND($H2649="NON ENGAGE",OR($I2649="INFRUCTUEUX",$I2649="ANNULE")),"Clôturé sans suite","En cours")))</f>
        <v/>
      </c>
      <c r="N2649">
        <f>IF(ISBLANK('ENGAGEMENTS 2026'!B2649),"",'ENGAGEMENTS 2026'!K2649)</f>
        <v/>
      </c>
      <c r="O2649">
        <f>IF(ISBLANK('ENGAGEMENTS 2026'!B2649),"",'ENGAGEMENTS 2026'!L2649)</f>
        <v/>
      </c>
      <c r="P2649">
        <f>IF(ISBLANK('ENGAGEMENTS 2026'!B2649),"",'ENGAGEMENTS 2026'!J2649)</f>
        <v/>
      </c>
      <c r="Q2649">
        <f>IF($A2649="","",IF(OR($E2649="INFRUCTUEUX",$E2649="ANNULE"),$A2649&amp;"|"&amp;(COUNTIFS($A$2:$A2649,$A2649,$E$2:$E2649,"INFRUCTUEUX")+COUNTIFS($A$2:$A2649,$A2649,$E$2:$E2649,"ANNULE")),""))</f>
        <v/>
      </c>
    </row>
    <row r="2650">
      <c r="A2650">
        <f>IF(ISBLANK('ENGAGEMENTS 2026'!B2650),"",IF('ENGAGEMENTS 2026'!B2650="DTSI","DCT",'ENGAGEMENTS 2026'!B2650))</f>
        <v/>
      </c>
      <c r="B2650">
        <f>IF(ISBLANK('ENGAGEMENTS 2026'!B2650),"",'ENGAGEMENTS 2026'!C2650)</f>
        <v/>
      </c>
      <c r="C2650">
        <f>IF(ISBLANK('ENGAGEMENTS 2026'!B2650),"",'ENGAGEMENTS 2026'!D2650)</f>
        <v/>
      </c>
      <c r="D2650">
        <f>IF(ISBLANK('ENGAGEMENTS 2026'!B2650),"",'ENGAGEMENTS 2026'!F2650)</f>
        <v/>
      </c>
      <c r="E2650">
        <f>IF(ISBLANK('ENGAGEMENTS 2026'!B2650),"",'ENGAGEMENTS 2026'!H2650)</f>
        <v/>
      </c>
      <c r="F2650">
        <f>IF(ISBLANK('ENGAGEMENTS 2026'!B2650),"",'ENGAGEMENTS 2026'!I2650)</f>
        <v/>
      </c>
      <c r="G2650">
        <f>IF(ISBLANK('ENGAGEMENTS 2026'!B2650),"",'ENGAGEMENTS 2026'!L2650)</f>
        <v/>
      </c>
      <c r="H2650">
        <f>IF(ISBLANK('ENGAGEMENTS 2026'!B2650),"",'ENGAGEMENTS 2026'!AE2650)</f>
        <v/>
      </c>
      <c r="I2650">
        <f>IF(ISBLANK('ENGAGEMENTS 2026'!B2650),"",'ENGAGEMENTS 2026'!G2650)</f>
        <v/>
      </c>
      <c r="J2650" s="275">
        <f>IF(ISBLANK('ENGAGEMENTS 2026'!B2650),"",IF(AND(OR($E2650="INFRUCTUEUX",$E2650="ANNULE"),$C2650="AOO-M"),'ENGAGEMENTS 2026'!O2650,IF($H2650="EN COURS DE PREENGAGEMENT",'ENGAGEMENTS 2026'!N2650,IF($H2650="PREENGAGE",IF($E2650="ATTRIBUE",'ENGAGEMENTS 2026'!AD2650,'ENGAGEMENTS 2026'!N2650),'ENGAGEMENTS 2026'!AD2650))))</f>
        <v/>
      </c>
      <c r="K2650" s="604">
        <f>IF(ISBLANK('ENGAGEMENTS 2026'!V2650),"",'ENGAGEMENTS 2026'!V2650)</f>
        <v/>
      </c>
      <c r="L2650" s="276">
        <f>IF($K2650="","",TODAY()-$K2650)</f>
        <v/>
      </c>
      <c r="M2650">
        <f>IF($A2650="","",IF($H2650="ENGAGE","Engagé",IF(AND($H2650="NON ENGAGE",OR($I2650="INFRUCTUEUX",$I2650="ANNULE")),"Clôturé sans suite","En cours")))</f>
        <v/>
      </c>
      <c r="N2650">
        <f>IF(ISBLANK('ENGAGEMENTS 2026'!B2650),"",'ENGAGEMENTS 2026'!K2650)</f>
        <v/>
      </c>
      <c r="O2650">
        <f>IF(ISBLANK('ENGAGEMENTS 2026'!B2650),"",'ENGAGEMENTS 2026'!L2650)</f>
        <v/>
      </c>
      <c r="P2650">
        <f>IF(ISBLANK('ENGAGEMENTS 2026'!B2650),"",'ENGAGEMENTS 2026'!J2650)</f>
        <v/>
      </c>
      <c r="Q2650">
        <f>IF($A2650="","",IF(OR($E2650="INFRUCTUEUX",$E2650="ANNULE"),$A2650&amp;"|"&amp;(COUNTIFS($A$2:$A2650,$A2650,$E$2:$E2650,"INFRUCTUEUX")+COUNTIFS($A$2:$A2650,$A2650,$E$2:$E2650,"ANNULE")),""))</f>
        <v/>
      </c>
    </row>
    <row r="2651">
      <c r="A2651">
        <f>IF(ISBLANK('ENGAGEMENTS 2026'!B2651),"",IF('ENGAGEMENTS 2026'!B2651="DTSI","DCT",'ENGAGEMENTS 2026'!B2651))</f>
        <v/>
      </c>
      <c r="B2651">
        <f>IF(ISBLANK('ENGAGEMENTS 2026'!B2651),"",'ENGAGEMENTS 2026'!C2651)</f>
        <v/>
      </c>
      <c r="C2651">
        <f>IF(ISBLANK('ENGAGEMENTS 2026'!B2651),"",'ENGAGEMENTS 2026'!D2651)</f>
        <v/>
      </c>
      <c r="D2651">
        <f>IF(ISBLANK('ENGAGEMENTS 2026'!B2651),"",'ENGAGEMENTS 2026'!F2651)</f>
        <v/>
      </c>
      <c r="E2651">
        <f>IF(ISBLANK('ENGAGEMENTS 2026'!B2651),"",'ENGAGEMENTS 2026'!H2651)</f>
        <v/>
      </c>
      <c r="F2651">
        <f>IF(ISBLANK('ENGAGEMENTS 2026'!B2651),"",'ENGAGEMENTS 2026'!I2651)</f>
        <v/>
      </c>
      <c r="G2651">
        <f>IF(ISBLANK('ENGAGEMENTS 2026'!B2651),"",'ENGAGEMENTS 2026'!L2651)</f>
        <v/>
      </c>
      <c r="H2651">
        <f>IF(ISBLANK('ENGAGEMENTS 2026'!B2651),"",'ENGAGEMENTS 2026'!AE2651)</f>
        <v/>
      </c>
      <c r="I2651">
        <f>IF(ISBLANK('ENGAGEMENTS 2026'!B2651),"",'ENGAGEMENTS 2026'!G2651)</f>
        <v/>
      </c>
      <c r="J2651" s="275">
        <f>IF(ISBLANK('ENGAGEMENTS 2026'!B2651),"",IF(AND(OR($E2651="INFRUCTUEUX",$E2651="ANNULE"),$C2651="AOO-M"),'ENGAGEMENTS 2026'!O2651,IF($H2651="EN COURS DE PREENGAGEMENT",'ENGAGEMENTS 2026'!N2651,IF($H2651="PREENGAGE",IF($E2651="ATTRIBUE",'ENGAGEMENTS 2026'!AD2651,'ENGAGEMENTS 2026'!N2651),'ENGAGEMENTS 2026'!AD2651))))</f>
        <v/>
      </c>
      <c r="K2651" s="604">
        <f>IF(ISBLANK('ENGAGEMENTS 2026'!V2651),"",'ENGAGEMENTS 2026'!V2651)</f>
        <v/>
      </c>
      <c r="L2651" s="276">
        <f>IF($K2651="","",TODAY()-$K2651)</f>
        <v/>
      </c>
      <c r="M2651">
        <f>IF($A2651="","",IF($H2651="ENGAGE","Engagé",IF(AND($H2651="NON ENGAGE",OR($I2651="INFRUCTUEUX",$I2651="ANNULE")),"Clôturé sans suite","En cours")))</f>
        <v/>
      </c>
      <c r="N2651">
        <f>IF(ISBLANK('ENGAGEMENTS 2026'!B2651),"",'ENGAGEMENTS 2026'!K2651)</f>
        <v/>
      </c>
      <c r="O2651">
        <f>IF(ISBLANK('ENGAGEMENTS 2026'!B2651),"",'ENGAGEMENTS 2026'!L2651)</f>
        <v/>
      </c>
      <c r="P2651">
        <f>IF(ISBLANK('ENGAGEMENTS 2026'!B2651),"",'ENGAGEMENTS 2026'!J2651)</f>
        <v/>
      </c>
      <c r="Q2651">
        <f>IF($A2651="","",IF(OR($E2651="INFRUCTUEUX",$E2651="ANNULE"),$A2651&amp;"|"&amp;(COUNTIFS($A$2:$A2651,$A2651,$E$2:$E2651,"INFRUCTUEUX")+COUNTIFS($A$2:$A2651,$A2651,$E$2:$E2651,"ANNULE")),""))</f>
        <v/>
      </c>
    </row>
    <row r="2652">
      <c r="A2652">
        <f>IF(ISBLANK('ENGAGEMENTS 2026'!B2652),"",IF('ENGAGEMENTS 2026'!B2652="DTSI","DCT",'ENGAGEMENTS 2026'!B2652))</f>
        <v/>
      </c>
      <c r="B2652">
        <f>IF(ISBLANK('ENGAGEMENTS 2026'!B2652),"",'ENGAGEMENTS 2026'!C2652)</f>
        <v/>
      </c>
      <c r="C2652">
        <f>IF(ISBLANK('ENGAGEMENTS 2026'!B2652),"",'ENGAGEMENTS 2026'!D2652)</f>
        <v/>
      </c>
      <c r="D2652">
        <f>IF(ISBLANK('ENGAGEMENTS 2026'!B2652),"",'ENGAGEMENTS 2026'!F2652)</f>
        <v/>
      </c>
      <c r="E2652">
        <f>IF(ISBLANK('ENGAGEMENTS 2026'!B2652),"",'ENGAGEMENTS 2026'!H2652)</f>
        <v/>
      </c>
      <c r="F2652">
        <f>IF(ISBLANK('ENGAGEMENTS 2026'!B2652),"",'ENGAGEMENTS 2026'!I2652)</f>
        <v/>
      </c>
      <c r="G2652">
        <f>IF(ISBLANK('ENGAGEMENTS 2026'!B2652),"",'ENGAGEMENTS 2026'!L2652)</f>
        <v/>
      </c>
      <c r="H2652">
        <f>IF(ISBLANK('ENGAGEMENTS 2026'!B2652),"",'ENGAGEMENTS 2026'!AE2652)</f>
        <v/>
      </c>
      <c r="I2652">
        <f>IF(ISBLANK('ENGAGEMENTS 2026'!B2652),"",'ENGAGEMENTS 2026'!G2652)</f>
        <v/>
      </c>
      <c r="J2652" s="275">
        <f>IF(ISBLANK('ENGAGEMENTS 2026'!B2652),"",IF(AND(OR($E2652="INFRUCTUEUX",$E2652="ANNULE"),$C2652="AOO-M"),'ENGAGEMENTS 2026'!O2652,IF($H2652="EN COURS DE PREENGAGEMENT",'ENGAGEMENTS 2026'!N2652,IF($H2652="PREENGAGE",IF($E2652="ATTRIBUE",'ENGAGEMENTS 2026'!AD2652,'ENGAGEMENTS 2026'!N2652),'ENGAGEMENTS 2026'!AD2652))))</f>
        <v/>
      </c>
      <c r="K2652" s="604">
        <f>IF(ISBLANK('ENGAGEMENTS 2026'!V2652),"",'ENGAGEMENTS 2026'!V2652)</f>
        <v/>
      </c>
      <c r="L2652" s="276">
        <f>IF($K2652="","",TODAY()-$K2652)</f>
        <v/>
      </c>
      <c r="M2652">
        <f>IF($A2652="","",IF($H2652="ENGAGE","Engagé",IF(AND($H2652="NON ENGAGE",OR($I2652="INFRUCTUEUX",$I2652="ANNULE")),"Clôturé sans suite","En cours")))</f>
        <v/>
      </c>
      <c r="N2652">
        <f>IF(ISBLANK('ENGAGEMENTS 2026'!B2652),"",'ENGAGEMENTS 2026'!K2652)</f>
        <v/>
      </c>
      <c r="O2652">
        <f>IF(ISBLANK('ENGAGEMENTS 2026'!B2652),"",'ENGAGEMENTS 2026'!L2652)</f>
        <v/>
      </c>
      <c r="P2652">
        <f>IF(ISBLANK('ENGAGEMENTS 2026'!B2652),"",'ENGAGEMENTS 2026'!J2652)</f>
        <v/>
      </c>
      <c r="Q2652">
        <f>IF($A2652="","",IF(OR($E2652="INFRUCTUEUX",$E2652="ANNULE"),$A2652&amp;"|"&amp;(COUNTIFS($A$2:$A2652,$A2652,$E$2:$E2652,"INFRUCTUEUX")+COUNTIFS($A$2:$A2652,$A2652,$E$2:$E2652,"ANNULE")),""))</f>
        <v/>
      </c>
    </row>
    <row r="2653">
      <c r="A2653">
        <f>IF(ISBLANK('ENGAGEMENTS 2026'!B2653),"",IF('ENGAGEMENTS 2026'!B2653="DTSI","DCT",'ENGAGEMENTS 2026'!B2653))</f>
        <v/>
      </c>
      <c r="B2653">
        <f>IF(ISBLANK('ENGAGEMENTS 2026'!B2653),"",'ENGAGEMENTS 2026'!C2653)</f>
        <v/>
      </c>
      <c r="C2653">
        <f>IF(ISBLANK('ENGAGEMENTS 2026'!B2653),"",'ENGAGEMENTS 2026'!D2653)</f>
        <v/>
      </c>
      <c r="D2653">
        <f>IF(ISBLANK('ENGAGEMENTS 2026'!B2653),"",'ENGAGEMENTS 2026'!F2653)</f>
        <v/>
      </c>
      <c r="E2653">
        <f>IF(ISBLANK('ENGAGEMENTS 2026'!B2653),"",'ENGAGEMENTS 2026'!H2653)</f>
        <v/>
      </c>
      <c r="F2653">
        <f>IF(ISBLANK('ENGAGEMENTS 2026'!B2653),"",'ENGAGEMENTS 2026'!I2653)</f>
        <v/>
      </c>
      <c r="G2653">
        <f>IF(ISBLANK('ENGAGEMENTS 2026'!B2653),"",'ENGAGEMENTS 2026'!L2653)</f>
        <v/>
      </c>
      <c r="H2653">
        <f>IF(ISBLANK('ENGAGEMENTS 2026'!B2653),"",'ENGAGEMENTS 2026'!AE2653)</f>
        <v/>
      </c>
      <c r="I2653">
        <f>IF(ISBLANK('ENGAGEMENTS 2026'!B2653),"",'ENGAGEMENTS 2026'!G2653)</f>
        <v/>
      </c>
      <c r="J2653" s="275">
        <f>IF(ISBLANK('ENGAGEMENTS 2026'!B2653),"",IF(AND(OR($E2653="INFRUCTUEUX",$E2653="ANNULE"),$C2653="AOO-M"),'ENGAGEMENTS 2026'!O2653,IF($H2653="EN COURS DE PREENGAGEMENT",'ENGAGEMENTS 2026'!N2653,IF($H2653="PREENGAGE",IF($E2653="ATTRIBUE",'ENGAGEMENTS 2026'!AD2653,'ENGAGEMENTS 2026'!N2653),'ENGAGEMENTS 2026'!AD2653))))</f>
        <v/>
      </c>
      <c r="K2653" s="604">
        <f>IF(ISBLANK('ENGAGEMENTS 2026'!V2653),"",'ENGAGEMENTS 2026'!V2653)</f>
        <v/>
      </c>
      <c r="L2653" s="276">
        <f>IF($K2653="","",TODAY()-$K2653)</f>
        <v/>
      </c>
      <c r="M2653">
        <f>IF($A2653="","",IF($H2653="ENGAGE","Engagé",IF(AND($H2653="NON ENGAGE",OR($I2653="INFRUCTUEUX",$I2653="ANNULE")),"Clôturé sans suite","En cours")))</f>
        <v/>
      </c>
      <c r="N2653">
        <f>IF(ISBLANK('ENGAGEMENTS 2026'!B2653),"",'ENGAGEMENTS 2026'!K2653)</f>
        <v/>
      </c>
      <c r="O2653">
        <f>IF(ISBLANK('ENGAGEMENTS 2026'!B2653),"",'ENGAGEMENTS 2026'!L2653)</f>
        <v/>
      </c>
      <c r="P2653">
        <f>IF(ISBLANK('ENGAGEMENTS 2026'!B2653),"",'ENGAGEMENTS 2026'!J2653)</f>
        <v/>
      </c>
      <c r="Q2653">
        <f>IF($A2653="","",IF(OR($E2653="INFRUCTUEUX",$E2653="ANNULE"),$A2653&amp;"|"&amp;(COUNTIFS($A$2:$A2653,$A2653,$E$2:$E2653,"INFRUCTUEUX")+COUNTIFS($A$2:$A2653,$A2653,$E$2:$E2653,"ANNULE")),""))</f>
        <v/>
      </c>
    </row>
    <row r="2654">
      <c r="A2654">
        <f>IF(ISBLANK('ENGAGEMENTS 2026'!B2654),"",IF('ENGAGEMENTS 2026'!B2654="DTSI","DCT",'ENGAGEMENTS 2026'!B2654))</f>
        <v/>
      </c>
      <c r="B2654">
        <f>IF(ISBLANK('ENGAGEMENTS 2026'!B2654),"",'ENGAGEMENTS 2026'!C2654)</f>
        <v/>
      </c>
      <c r="C2654">
        <f>IF(ISBLANK('ENGAGEMENTS 2026'!B2654),"",'ENGAGEMENTS 2026'!D2654)</f>
        <v/>
      </c>
      <c r="D2654">
        <f>IF(ISBLANK('ENGAGEMENTS 2026'!B2654),"",'ENGAGEMENTS 2026'!F2654)</f>
        <v/>
      </c>
      <c r="E2654">
        <f>IF(ISBLANK('ENGAGEMENTS 2026'!B2654),"",'ENGAGEMENTS 2026'!H2654)</f>
        <v/>
      </c>
      <c r="F2654">
        <f>IF(ISBLANK('ENGAGEMENTS 2026'!B2654),"",'ENGAGEMENTS 2026'!I2654)</f>
        <v/>
      </c>
      <c r="G2654">
        <f>IF(ISBLANK('ENGAGEMENTS 2026'!B2654),"",'ENGAGEMENTS 2026'!L2654)</f>
        <v/>
      </c>
      <c r="H2654">
        <f>IF(ISBLANK('ENGAGEMENTS 2026'!B2654),"",'ENGAGEMENTS 2026'!AE2654)</f>
        <v/>
      </c>
      <c r="I2654">
        <f>IF(ISBLANK('ENGAGEMENTS 2026'!B2654),"",'ENGAGEMENTS 2026'!G2654)</f>
        <v/>
      </c>
      <c r="J2654" s="275">
        <f>IF(ISBLANK('ENGAGEMENTS 2026'!B2654),"",IF(AND(OR($E2654="INFRUCTUEUX",$E2654="ANNULE"),$C2654="AOO-M"),'ENGAGEMENTS 2026'!O2654,IF($H2654="EN COURS DE PREENGAGEMENT",'ENGAGEMENTS 2026'!N2654,IF($H2654="PREENGAGE",IF($E2654="ATTRIBUE",'ENGAGEMENTS 2026'!AD2654,'ENGAGEMENTS 2026'!N2654),'ENGAGEMENTS 2026'!AD2654))))</f>
        <v/>
      </c>
      <c r="K2654" s="604">
        <f>IF(ISBLANK('ENGAGEMENTS 2026'!V2654),"",'ENGAGEMENTS 2026'!V2654)</f>
        <v/>
      </c>
      <c r="L2654" s="276">
        <f>IF($K2654="","",TODAY()-$K2654)</f>
        <v/>
      </c>
      <c r="M2654">
        <f>IF($A2654="","",IF($H2654="ENGAGE","Engagé",IF(AND($H2654="NON ENGAGE",OR($I2654="INFRUCTUEUX",$I2654="ANNULE")),"Clôturé sans suite","En cours")))</f>
        <v/>
      </c>
      <c r="N2654">
        <f>IF(ISBLANK('ENGAGEMENTS 2026'!B2654),"",'ENGAGEMENTS 2026'!K2654)</f>
        <v/>
      </c>
      <c r="O2654">
        <f>IF(ISBLANK('ENGAGEMENTS 2026'!B2654),"",'ENGAGEMENTS 2026'!L2654)</f>
        <v/>
      </c>
      <c r="P2654">
        <f>IF(ISBLANK('ENGAGEMENTS 2026'!B2654),"",'ENGAGEMENTS 2026'!J2654)</f>
        <v/>
      </c>
      <c r="Q2654">
        <f>IF($A2654="","",IF(OR($E2654="INFRUCTUEUX",$E2654="ANNULE"),$A2654&amp;"|"&amp;(COUNTIFS($A$2:$A2654,$A2654,$E$2:$E2654,"INFRUCTUEUX")+COUNTIFS($A$2:$A2654,$A2654,$E$2:$E2654,"ANNULE")),""))</f>
        <v/>
      </c>
    </row>
    <row r="2655">
      <c r="A2655">
        <f>IF(ISBLANK('ENGAGEMENTS 2026'!B2655),"",IF('ENGAGEMENTS 2026'!B2655="DTSI","DCT",'ENGAGEMENTS 2026'!B2655))</f>
        <v/>
      </c>
      <c r="B2655">
        <f>IF(ISBLANK('ENGAGEMENTS 2026'!B2655),"",'ENGAGEMENTS 2026'!C2655)</f>
        <v/>
      </c>
      <c r="C2655">
        <f>IF(ISBLANK('ENGAGEMENTS 2026'!B2655),"",'ENGAGEMENTS 2026'!D2655)</f>
        <v/>
      </c>
      <c r="D2655">
        <f>IF(ISBLANK('ENGAGEMENTS 2026'!B2655),"",'ENGAGEMENTS 2026'!F2655)</f>
        <v/>
      </c>
      <c r="E2655">
        <f>IF(ISBLANK('ENGAGEMENTS 2026'!B2655),"",'ENGAGEMENTS 2026'!H2655)</f>
        <v/>
      </c>
      <c r="F2655">
        <f>IF(ISBLANK('ENGAGEMENTS 2026'!B2655),"",'ENGAGEMENTS 2026'!I2655)</f>
        <v/>
      </c>
      <c r="G2655">
        <f>IF(ISBLANK('ENGAGEMENTS 2026'!B2655),"",'ENGAGEMENTS 2026'!L2655)</f>
        <v/>
      </c>
      <c r="H2655">
        <f>IF(ISBLANK('ENGAGEMENTS 2026'!B2655),"",'ENGAGEMENTS 2026'!AE2655)</f>
        <v/>
      </c>
      <c r="I2655">
        <f>IF(ISBLANK('ENGAGEMENTS 2026'!B2655),"",'ENGAGEMENTS 2026'!G2655)</f>
        <v/>
      </c>
      <c r="J2655" s="275">
        <f>IF(ISBLANK('ENGAGEMENTS 2026'!B2655),"",IF(AND(OR($E2655="INFRUCTUEUX",$E2655="ANNULE"),$C2655="AOO-M"),'ENGAGEMENTS 2026'!O2655,IF($H2655="EN COURS DE PREENGAGEMENT",'ENGAGEMENTS 2026'!N2655,IF($H2655="PREENGAGE",IF($E2655="ATTRIBUE",'ENGAGEMENTS 2026'!AD2655,'ENGAGEMENTS 2026'!N2655),'ENGAGEMENTS 2026'!AD2655))))</f>
        <v/>
      </c>
      <c r="K2655" s="604">
        <f>IF(ISBLANK('ENGAGEMENTS 2026'!V2655),"",'ENGAGEMENTS 2026'!V2655)</f>
        <v/>
      </c>
      <c r="L2655" s="276">
        <f>IF($K2655="","",TODAY()-$K2655)</f>
        <v/>
      </c>
      <c r="M2655">
        <f>IF($A2655="","",IF($H2655="ENGAGE","Engagé",IF(AND($H2655="NON ENGAGE",OR($I2655="INFRUCTUEUX",$I2655="ANNULE")),"Clôturé sans suite","En cours")))</f>
        <v/>
      </c>
      <c r="N2655">
        <f>IF(ISBLANK('ENGAGEMENTS 2026'!B2655),"",'ENGAGEMENTS 2026'!K2655)</f>
        <v/>
      </c>
      <c r="O2655">
        <f>IF(ISBLANK('ENGAGEMENTS 2026'!B2655),"",'ENGAGEMENTS 2026'!L2655)</f>
        <v/>
      </c>
      <c r="P2655">
        <f>IF(ISBLANK('ENGAGEMENTS 2026'!B2655),"",'ENGAGEMENTS 2026'!J2655)</f>
        <v/>
      </c>
      <c r="Q2655">
        <f>IF($A2655="","",IF(OR($E2655="INFRUCTUEUX",$E2655="ANNULE"),$A2655&amp;"|"&amp;(COUNTIFS($A$2:$A2655,$A2655,$E$2:$E2655,"INFRUCTUEUX")+COUNTIFS($A$2:$A2655,$A2655,$E$2:$E2655,"ANNULE")),""))</f>
        <v/>
      </c>
    </row>
    <row r="2656">
      <c r="A2656">
        <f>IF(ISBLANK('ENGAGEMENTS 2026'!B2656),"",IF('ENGAGEMENTS 2026'!B2656="DTSI","DCT",'ENGAGEMENTS 2026'!B2656))</f>
        <v/>
      </c>
      <c r="B2656">
        <f>IF(ISBLANK('ENGAGEMENTS 2026'!B2656),"",'ENGAGEMENTS 2026'!C2656)</f>
        <v/>
      </c>
      <c r="C2656">
        <f>IF(ISBLANK('ENGAGEMENTS 2026'!B2656),"",'ENGAGEMENTS 2026'!D2656)</f>
        <v/>
      </c>
      <c r="D2656">
        <f>IF(ISBLANK('ENGAGEMENTS 2026'!B2656),"",'ENGAGEMENTS 2026'!F2656)</f>
        <v/>
      </c>
      <c r="E2656">
        <f>IF(ISBLANK('ENGAGEMENTS 2026'!B2656),"",'ENGAGEMENTS 2026'!H2656)</f>
        <v/>
      </c>
      <c r="F2656">
        <f>IF(ISBLANK('ENGAGEMENTS 2026'!B2656),"",'ENGAGEMENTS 2026'!I2656)</f>
        <v/>
      </c>
      <c r="G2656">
        <f>IF(ISBLANK('ENGAGEMENTS 2026'!B2656),"",'ENGAGEMENTS 2026'!L2656)</f>
        <v/>
      </c>
      <c r="H2656">
        <f>IF(ISBLANK('ENGAGEMENTS 2026'!B2656),"",'ENGAGEMENTS 2026'!AE2656)</f>
        <v/>
      </c>
      <c r="I2656">
        <f>IF(ISBLANK('ENGAGEMENTS 2026'!B2656),"",'ENGAGEMENTS 2026'!G2656)</f>
        <v/>
      </c>
      <c r="J2656" s="275">
        <f>IF(ISBLANK('ENGAGEMENTS 2026'!B2656),"",IF(AND(OR($E2656="INFRUCTUEUX",$E2656="ANNULE"),$C2656="AOO-M"),'ENGAGEMENTS 2026'!O2656,IF($H2656="EN COURS DE PREENGAGEMENT",'ENGAGEMENTS 2026'!N2656,IF($H2656="PREENGAGE",IF($E2656="ATTRIBUE",'ENGAGEMENTS 2026'!AD2656,'ENGAGEMENTS 2026'!N2656),'ENGAGEMENTS 2026'!AD2656))))</f>
        <v/>
      </c>
      <c r="K2656" s="604">
        <f>IF(ISBLANK('ENGAGEMENTS 2026'!V2656),"",'ENGAGEMENTS 2026'!V2656)</f>
        <v/>
      </c>
      <c r="L2656" s="276">
        <f>IF($K2656="","",TODAY()-$K2656)</f>
        <v/>
      </c>
      <c r="M2656">
        <f>IF($A2656="","",IF($H2656="ENGAGE","Engagé",IF(AND($H2656="NON ENGAGE",OR($I2656="INFRUCTUEUX",$I2656="ANNULE")),"Clôturé sans suite","En cours")))</f>
        <v/>
      </c>
      <c r="N2656">
        <f>IF(ISBLANK('ENGAGEMENTS 2026'!B2656),"",'ENGAGEMENTS 2026'!K2656)</f>
        <v/>
      </c>
      <c r="O2656">
        <f>IF(ISBLANK('ENGAGEMENTS 2026'!B2656),"",'ENGAGEMENTS 2026'!L2656)</f>
        <v/>
      </c>
      <c r="P2656">
        <f>IF(ISBLANK('ENGAGEMENTS 2026'!B2656),"",'ENGAGEMENTS 2026'!J2656)</f>
        <v/>
      </c>
      <c r="Q2656">
        <f>IF($A2656="","",IF(OR($E2656="INFRUCTUEUX",$E2656="ANNULE"),$A2656&amp;"|"&amp;(COUNTIFS($A$2:$A2656,$A2656,$E$2:$E2656,"INFRUCTUEUX")+COUNTIFS($A$2:$A2656,$A2656,$E$2:$E2656,"ANNULE")),""))</f>
        <v/>
      </c>
    </row>
    <row r="2657">
      <c r="A2657">
        <f>IF(ISBLANK('ENGAGEMENTS 2026'!B2657),"",IF('ENGAGEMENTS 2026'!B2657="DTSI","DCT",'ENGAGEMENTS 2026'!B2657))</f>
        <v/>
      </c>
      <c r="B2657">
        <f>IF(ISBLANK('ENGAGEMENTS 2026'!B2657),"",'ENGAGEMENTS 2026'!C2657)</f>
        <v/>
      </c>
      <c r="C2657">
        <f>IF(ISBLANK('ENGAGEMENTS 2026'!B2657),"",'ENGAGEMENTS 2026'!D2657)</f>
        <v/>
      </c>
      <c r="D2657">
        <f>IF(ISBLANK('ENGAGEMENTS 2026'!B2657),"",'ENGAGEMENTS 2026'!F2657)</f>
        <v/>
      </c>
      <c r="E2657">
        <f>IF(ISBLANK('ENGAGEMENTS 2026'!B2657),"",'ENGAGEMENTS 2026'!H2657)</f>
        <v/>
      </c>
      <c r="F2657">
        <f>IF(ISBLANK('ENGAGEMENTS 2026'!B2657),"",'ENGAGEMENTS 2026'!I2657)</f>
        <v/>
      </c>
      <c r="G2657">
        <f>IF(ISBLANK('ENGAGEMENTS 2026'!B2657),"",'ENGAGEMENTS 2026'!L2657)</f>
        <v/>
      </c>
      <c r="H2657">
        <f>IF(ISBLANK('ENGAGEMENTS 2026'!B2657),"",'ENGAGEMENTS 2026'!AE2657)</f>
        <v/>
      </c>
      <c r="I2657">
        <f>IF(ISBLANK('ENGAGEMENTS 2026'!B2657),"",'ENGAGEMENTS 2026'!G2657)</f>
        <v/>
      </c>
      <c r="J2657" s="275">
        <f>IF(ISBLANK('ENGAGEMENTS 2026'!B2657),"",IF(AND(OR($E2657="INFRUCTUEUX",$E2657="ANNULE"),$C2657="AOO-M"),'ENGAGEMENTS 2026'!O2657,IF($H2657="EN COURS DE PREENGAGEMENT",'ENGAGEMENTS 2026'!N2657,IF($H2657="PREENGAGE",IF($E2657="ATTRIBUE",'ENGAGEMENTS 2026'!AD2657,'ENGAGEMENTS 2026'!N2657),'ENGAGEMENTS 2026'!AD2657))))</f>
        <v/>
      </c>
      <c r="K2657" s="604">
        <f>IF(ISBLANK('ENGAGEMENTS 2026'!V2657),"",'ENGAGEMENTS 2026'!V2657)</f>
        <v/>
      </c>
      <c r="L2657" s="276">
        <f>IF($K2657="","",TODAY()-$K2657)</f>
        <v/>
      </c>
      <c r="M2657">
        <f>IF($A2657="","",IF($H2657="ENGAGE","Engagé",IF(AND($H2657="NON ENGAGE",OR($I2657="INFRUCTUEUX",$I2657="ANNULE")),"Clôturé sans suite","En cours")))</f>
        <v/>
      </c>
      <c r="N2657">
        <f>IF(ISBLANK('ENGAGEMENTS 2026'!B2657),"",'ENGAGEMENTS 2026'!K2657)</f>
        <v/>
      </c>
      <c r="O2657">
        <f>IF(ISBLANK('ENGAGEMENTS 2026'!B2657),"",'ENGAGEMENTS 2026'!L2657)</f>
        <v/>
      </c>
      <c r="P2657">
        <f>IF(ISBLANK('ENGAGEMENTS 2026'!B2657),"",'ENGAGEMENTS 2026'!J2657)</f>
        <v/>
      </c>
      <c r="Q2657">
        <f>IF($A2657="","",IF(OR($E2657="INFRUCTUEUX",$E2657="ANNULE"),$A2657&amp;"|"&amp;(COUNTIFS($A$2:$A2657,$A2657,$E$2:$E2657,"INFRUCTUEUX")+COUNTIFS($A$2:$A2657,$A2657,$E$2:$E2657,"ANNULE")),""))</f>
        <v/>
      </c>
    </row>
    <row r="2658">
      <c r="A2658">
        <f>IF(ISBLANK('ENGAGEMENTS 2026'!B2658),"",IF('ENGAGEMENTS 2026'!B2658="DTSI","DCT",'ENGAGEMENTS 2026'!B2658))</f>
        <v/>
      </c>
      <c r="B2658">
        <f>IF(ISBLANK('ENGAGEMENTS 2026'!B2658),"",'ENGAGEMENTS 2026'!C2658)</f>
        <v/>
      </c>
      <c r="C2658">
        <f>IF(ISBLANK('ENGAGEMENTS 2026'!B2658),"",'ENGAGEMENTS 2026'!D2658)</f>
        <v/>
      </c>
      <c r="D2658">
        <f>IF(ISBLANK('ENGAGEMENTS 2026'!B2658),"",'ENGAGEMENTS 2026'!F2658)</f>
        <v/>
      </c>
      <c r="E2658">
        <f>IF(ISBLANK('ENGAGEMENTS 2026'!B2658),"",'ENGAGEMENTS 2026'!H2658)</f>
        <v/>
      </c>
      <c r="F2658">
        <f>IF(ISBLANK('ENGAGEMENTS 2026'!B2658),"",'ENGAGEMENTS 2026'!I2658)</f>
        <v/>
      </c>
      <c r="G2658">
        <f>IF(ISBLANK('ENGAGEMENTS 2026'!B2658),"",'ENGAGEMENTS 2026'!L2658)</f>
        <v/>
      </c>
      <c r="H2658">
        <f>IF(ISBLANK('ENGAGEMENTS 2026'!B2658),"",'ENGAGEMENTS 2026'!AE2658)</f>
        <v/>
      </c>
      <c r="I2658">
        <f>IF(ISBLANK('ENGAGEMENTS 2026'!B2658),"",'ENGAGEMENTS 2026'!G2658)</f>
        <v/>
      </c>
      <c r="J2658" s="275">
        <f>IF(ISBLANK('ENGAGEMENTS 2026'!B2658),"",IF(AND(OR($E2658="INFRUCTUEUX",$E2658="ANNULE"),$C2658="AOO-M"),'ENGAGEMENTS 2026'!O2658,IF($H2658="EN COURS DE PREENGAGEMENT",'ENGAGEMENTS 2026'!N2658,IF($H2658="PREENGAGE",IF($E2658="ATTRIBUE",'ENGAGEMENTS 2026'!AD2658,'ENGAGEMENTS 2026'!N2658),'ENGAGEMENTS 2026'!AD2658))))</f>
        <v/>
      </c>
      <c r="K2658" s="604">
        <f>IF(ISBLANK('ENGAGEMENTS 2026'!V2658),"",'ENGAGEMENTS 2026'!V2658)</f>
        <v/>
      </c>
      <c r="L2658" s="276">
        <f>IF($K2658="","",TODAY()-$K2658)</f>
        <v/>
      </c>
      <c r="M2658">
        <f>IF($A2658="","",IF($H2658="ENGAGE","Engagé",IF(AND($H2658="NON ENGAGE",OR($I2658="INFRUCTUEUX",$I2658="ANNULE")),"Clôturé sans suite","En cours")))</f>
        <v/>
      </c>
      <c r="N2658">
        <f>IF(ISBLANK('ENGAGEMENTS 2026'!B2658),"",'ENGAGEMENTS 2026'!K2658)</f>
        <v/>
      </c>
      <c r="O2658">
        <f>IF(ISBLANK('ENGAGEMENTS 2026'!B2658),"",'ENGAGEMENTS 2026'!L2658)</f>
        <v/>
      </c>
      <c r="P2658">
        <f>IF(ISBLANK('ENGAGEMENTS 2026'!B2658),"",'ENGAGEMENTS 2026'!J2658)</f>
        <v/>
      </c>
      <c r="Q2658">
        <f>IF($A2658="","",IF(OR($E2658="INFRUCTUEUX",$E2658="ANNULE"),$A2658&amp;"|"&amp;(COUNTIFS($A$2:$A2658,$A2658,$E$2:$E2658,"INFRUCTUEUX")+COUNTIFS($A$2:$A2658,$A2658,$E$2:$E2658,"ANNULE")),""))</f>
        <v/>
      </c>
    </row>
    <row r="2659">
      <c r="A2659">
        <f>IF(ISBLANK('ENGAGEMENTS 2026'!B2659),"",IF('ENGAGEMENTS 2026'!B2659="DTSI","DCT",'ENGAGEMENTS 2026'!B2659))</f>
        <v/>
      </c>
      <c r="B2659">
        <f>IF(ISBLANK('ENGAGEMENTS 2026'!B2659),"",'ENGAGEMENTS 2026'!C2659)</f>
        <v/>
      </c>
      <c r="C2659">
        <f>IF(ISBLANK('ENGAGEMENTS 2026'!B2659),"",'ENGAGEMENTS 2026'!D2659)</f>
        <v/>
      </c>
      <c r="D2659">
        <f>IF(ISBLANK('ENGAGEMENTS 2026'!B2659),"",'ENGAGEMENTS 2026'!F2659)</f>
        <v/>
      </c>
      <c r="E2659">
        <f>IF(ISBLANK('ENGAGEMENTS 2026'!B2659),"",'ENGAGEMENTS 2026'!H2659)</f>
        <v/>
      </c>
      <c r="F2659">
        <f>IF(ISBLANK('ENGAGEMENTS 2026'!B2659),"",'ENGAGEMENTS 2026'!I2659)</f>
        <v/>
      </c>
      <c r="G2659">
        <f>IF(ISBLANK('ENGAGEMENTS 2026'!B2659),"",'ENGAGEMENTS 2026'!L2659)</f>
        <v/>
      </c>
      <c r="H2659">
        <f>IF(ISBLANK('ENGAGEMENTS 2026'!B2659),"",'ENGAGEMENTS 2026'!AE2659)</f>
        <v/>
      </c>
      <c r="I2659">
        <f>IF(ISBLANK('ENGAGEMENTS 2026'!B2659),"",'ENGAGEMENTS 2026'!G2659)</f>
        <v/>
      </c>
      <c r="J2659" s="275">
        <f>IF(ISBLANK('ENGAGEMENTS 2026'!B2659),"",IF(AND(OR($E2659="INFRUCTUEUX",$E2659="ANNULE"),$C2659="AOO-M"),'ENGAGEMENTS 2026'!O2659,IF($H2659="EN COURS DE PREENGAGEMENT",'ENGAGEMENTS 2026'!N2659,IF($H2659="PREENGAGE",IF($E2659="ATTRIBUE",'ENGAGEMENTS 2026'!AD2659,'ENGAGEMENTS 2026'!N2659),'ENGAGEMENTS 2026'!AD2659))))</f>
        <v/>
      </c>
      <c r="K2659" s="604">
        <f>IF(ISBLANK('ENGAGEMENTS 2026'!V2659),"",'ENGAGEMENTS 2026'!V2659)</f>
        <v/>
      </c>
      <c r="L2659" s="276">
        <f>IF($K2659="","",TODAY()-$K2659)</f>
        <v/>
      </c>
      <c r="M2659">
        <f>IF($A2659="","",IF($H2659="ENGAGE","Engagé",IF(AND($H2659="NON ENGAGE",OR($I2659="INFRUCTUEUX",$I2659="ANNULE")),"Clôturé sans suite","En cours")))</f>
        <v/>
      </c>
      <c r="N2659">
        <f>IF(ISBLANK('ENGAGEMENTS 2026'!B2659),"",'ENGAGEMENTS 2026'!K2659)</f>
        <v/>
      </c>
      <c r="O2659">
        <f>IF(ISBLANK('ENGAGEMENTS 2026'!B2659),"",'ENGAGEMENTS 2026'!L2659)</f>
        <v/>
      </c>
      <c r="P2659">
        <f>IF(ISBLANK('ENGAGEMENTS 2026'!B2659),"",'ENGAGEMENTS 2026'!J2659)</f>
        <v/>
      </c>
      <c r="Q2659">
        <f>IF($A2659="","",IF(OR($E2659="INFRUCTUEUX",$E2659="ANNULE"),$A2659&amp;"|"&amp;(COUNTIFS($A$2:$A2659,$A2659,$E$2:$E2659,"INFRUCTUEUX")+COUNTIFS($A$2:$A2659,$A2659,$E$2:$E2659,"ANNULE")),""))</f>
        <v/>
      </c>
    </row>
    <row r="2660">
      <c r="A2660">
        <f>IF(ISBLANK('ENGAGEMENTS 2026'!B2660),"",IF('ENGAGEMENTS 2026'!B2660="DTSI","DCT",'ENGAGEMENTS 2026'!B2660))</f>
        <v/>
      </c>
      <c r="B2660">
        <f>IF(ISBLANK('ENGAGEMENTS 2026'!B2660),"",'ENGAGEMENTS 2026'!C2660)</f>
        <v/>
      </c>
      <c r="C2660">
        <f>IF(ISBLANK('ENGAGEMENTS 2026'!B2660),"",'ENGAGEMENTS 2026'!D2660)</f>
        <v/>
      </c>
      <c r="D2660">
        <f>IF(ISBLANK('ENGAGEMENTS 2026'!B2660),"",'ENGAGEMENTS 2026'!F2660)</f>
        <v/>
      </c>
      <c r="E2660">
        <f>IF(ISBLANK('ENGAGEMENTS 2026'!B2660),"",'ENGAGEMENTS 2026'!H2660)</f>
        <v/>
      </c>
      <c r="F2660">
        <f>IF(ISBLANK('ENGAGEMENTS 2026'!B2660),"",'ENGAGEMENTS 2026'!I2660)</f>
        <v/>
      </c>
      <c r="G2660">
        <f>IF(ISBLANK('ENGAGEMENTS 2026'!B2660),"",'ENGAGEMENTS 2026'!L2660)</f>
        <v/>
      </c>
      <c r="H2660">
        <f>IF(ISBLANK('ENGAGEMENTS 2026'!B2660),"",'ENGAGEMENTS 2026'!AE2660)</f>
        <v/>
      </c>
      <c r="I2660">
        <f>IF(ISBLANK('ENGAGEMENTS 2026'!B2660),"",'ENGAGEMENTS 2026'!G2660)</f>
        <v/>
      </c>
      <c r="J2660" s="275">
        <f>IF(ISBLANK('ENGAGEMENTS 2026'!B2660),"",IF(AND(OR($E2660="INFRUCTUEUX",$E2660="ANNULE"),$C2660="AOO-M"),'ENGAGEMENTS 2026'!O2660,IF($H2660="EN COURS DE PREENGAGEMENT",'ENGAGEMENTS 2026'!N2660,IF($H2660="PREENGAGE",IF($E2660="ATTRIBUE",'ENGAGEMENTS 2026'!AD2660,'ENGAGEMENTS 2026'!N2660),'ENGAGEMENTS 2026'!AD2660))))</f>
        <v/>
      </c>
      <c r="K2660" s="604">
        <f>IF(ISBLANK('ENGAGEMENTS 2026'!V2660),"",'ENGAGEMENTS 2026'!V2660)</f>
        <v/>
      </c>
      <c r="L2660" s="276">
        <f>IF($K2660="","",TODAY()-$K2660)</f>
        <v/>
      </c>
      <c r="M2660">
        <f>IF($A2660="","",IF($H2660="ENGAGE","Engagé",IF(AND($H2660="NON ENGAGE",OR($I2660="INFRUCTUEUX",$I2660="ANNULE")),"Clôturé sans suite","En cours")))</f>
        <v/>
      </c>
      <c r="N2660">
        <f>IF(ISBLANK('ENGAGEMENTS 2026'!B2660),"",'ENGAGEMENTS 2026'!K2660)</f>
        <v/>
      </c>
      <c r="O2660">
        <f>IF(ISBLANK('ENGAGEMENTS 2026'!B2660),"",'ENGAGEMENTS 2026'!L2660)</f>
        <v/>
      </c>
      <c r="P2660">
        <f>IF(ISBLANK('ENGAGEMENTS 2026'!B2660),"",'ENGAGEMENTS 2026'!J2660)</f>
        <v/>
      </c>
      <c r="Q2660">
        <f>IF($A2660="","",IF(OR($E2660="INFRUCTUEUX",$E2660="ANNULE"),$A2660&amp;"|"&amp;(COUNTIFS($A$2:$A2660,$A2660,$E$2:$E2660,"INFRUCTUEUX")+COUNTIFS($A$2:$A2660,$A2660,$E$2:$E2660,"ANNULE")),""))</f>
        <v/>
      </c>
    </row>
    <row r="2661">
      <c r="A2661">
        <f>IF(ISBLANK('ENGAGEMENTS 2026'!B2661),"",IF('ENGAGEMENTS 2026'!B2661="DTSI","DCT",'ENGAGEMENTS 2026'!B2661))</f>
        <v/>
      </c>
      <c r="B2661">
        <f>IF(ISBLANK('ENGAGEMENTS 2026'!B2661),"",'ENGAGEMENTS 2026'!C2661)</f>
        <v/>
      </c>
      <c r="C2661">
        <f>IF(ISBLANK('ENGAGEMENTS 2026'!B2661),"",'ENGAGEMENTS 2026'!D2661)</f>
        <v/>
      </c>
      <c r="D2661">
        <f>IF(ISBLANK('ENGAGEMENTS 2026'!B2661),"",'ENGAGEMENTS 2026'!F2661)</f>
        <v/>
      </c>
      <c r="E2661">
        <f>IF(ISBLANK('ENGAGEMENTS 2026'!B2661),"",'ENGAGEMENTS 2026'!H2661)</f>
        <v/>
      </c>
      <c r="F2661">
        <f>IF(ISBLANK('ENGAGEMENTS 2026'!B2661),"",'ENGAGEMENTS 2026'!I2661)</f>
        <v/>
      </c>
      <c r="G2661">
        <f>IF(ISBLANK('ENGAGEMENTS 2026'!B2661),"",'ENGAGEMENTS 2026'!L2661)</f>
        <v/>
      </c>
      <c r="H2661">
        <f>IF(ISBLANK('ENGAGEMENTS 2026'!B2661),"",'ENGAGEMENTS 2026'!AE2661)</f>
        <v/>
      </c>
      <c r="I2661">
        <f>IF(ISBLANK('ENGAGEMENTS 2026'!B2661),"",'ENGAGEMENTS 2026'!G2661)</f>
        <v/>
      </c>
      <c r="J2661" s="275">
        <f>IF(ISBLANK('ENGAGEMENTS 2026'!B2661),"",IF(AND(OR($E2661="INFRUCTUEUX",$E2661="ANNULE"),$C2661="AOO-M"),'ENGAGEMENTS 2026'!O2661,IF($H2661="EN COURS DE PREENGAGEMENT",'ENGAGEMENTS 2026'!N2661,IF($H2661="PREENGAGE",IF($E2661="ATTRIBUE",'ENGAGEMENTS 2026'!AD2661,'ENGAGEMENTS 2026'!N2661),'ENGAGEMENTS 2026'!AD2661))))</f>
        <v/>
      </c>
      <c r="K2661" s="604">
        <f>IF(ISBLANK('ENGAGEMENTS 2026'!V2661),"",'ENGAGEMENTS 2026'!V2661)</f>
        <v/>
      </c>
      <c r="L2661" s="276">
        <f>IF($K2661="","",TODAY()-$K2661)</f>
        <v/>
      </c>
      <c r="M2661">
        <f>IF($A2661="","",IF($H2661="ENGAGE","Engagé",IF(AND($H2661="NON ENGAGE",OR($I2661="INFRUCTUEUX",$I2661="ANNULE")),"Clôturé sans suite","En cours")))</f>
        <v/>
      </c>
      <c r="N2661">
        <f>IF(ISBLANK('ENGAGEMENTS 2026'!B2661),"",'ENGAGEMENTS 2026'!K2661)</f>
        <v/>
      </c>
      <c r="O2661">
        <f>IF(ISBLANK('ENGAGEMENTS 2026'!B2661),"",'ENGAGEMENTS 2026'!L2661)</f>
        <v/>
      </c>
      <c r="P2661">
        <f>IF(ISBLANK('ENGAGEMENTS 2026'!B2661),"",'ENGAGEMENTS 2026'!J2661)</f>
        <v/>
      </c>
      <c r="Q2661">
        <f>IF($A2661="","",IF(OR($E2661="INFRUCTUEUX",$E2661="ANNULE"),$A2661&amp;"|"&amp;(COUNTIFS($A$2:$A2661,$A2661,$E$2:$E2661,"INFRUCTUEUX")+COUNTIFS($A$2:$A2661,$A2661,$E$2:$E2661,"ANNULE")),""))</f>
        <v/>
      </c>
    </row>
    <row r="2662">
      <c r="A2662">
        <f>IF(ISBLANK('ENGAGEMENTS 2026'!B2662),"",IF('ENGAGEMENTS 2026'!B2662="DTSI","DCT",'ENGAGEMENTS 2026'!B2662))</f>
        <v/>
      </c>
      <c r="B2662">
        <f>IF(ISBLANK('ENGAGEMENTS 2026'!B2662),"",'ENGAGEMENTS 2026'!C2662)</f>
        <v/>
      </c>
      <c r="C2662">
        <f>IF(ISBLANK('ENGAGEMENTS 2026'!B2662),"",'ENGAGEMENTS 2026'!D2662)</f>
        <v/>
      </c>
      <c r="D2662">
        <f>IF(ISBLANK('ENGAGEMENTS 2026'!B2662),"",'ENGAGEMENTS 2026'!F2662)</f>
        <v/>
      </c>
      <c r="E2662">
        <f>IF(ISBLANK('ENGAGEMENTS 2026'!B2662),"",'ENGAGEMENTS 2026'!H2662)</f>
        <v/>
      </c>
      <c r="F2662">
        <f>IF(ISBLANK('ENGAGEMENTS 2026'!B2662),"",'ENGAGEMENTS 2026'!I2662)</f>
        <v/>
      </c>
      <c r="G2662">
        <f>IF(ISBLANK('ENGAGEMENTS 2026'!B2662),"",'ENGAGEMENTS 2026'!L2662)</f>
        <v/>
      </c>
      <c r="H2662">
        <f>IF(ISBLANK('ENGAGEMENTS 2026'!B2662),"",'ENGAGEMENTS 2026'!AE2662)</f>
        <v/>
      </c>
      <c r="I2662">
        <f>IF(ISBLANK('ENGAGEMENTS 2026'!B2662),"",'ENGAGEMENTS 2026'!G2662)</f>
        <v/>
      </c>
      <c r="J2662" s="275">
        <f>IF(ISBLANK('ENGAGEMENTS 2026'!B2662),"",IF(AND(OR($E2662="INFRUCTUEUX",$E2662="ANNULE"),$C2662="AOO-M"),'ENGAGEMENTS 2026'!O2662,IF($H2662="EN COURS DE PREENGAGEMENT",'ENGAGEMENTS 2026'!N2662,IF($H2662="PREENGAGE",IF($E2662="ATTRIBUE",'ENGAGEMENTS 2026'!AD2662,'ENGAGEMENTS 2026'!N2662),'ENGAGEMENTS 2026'!AD2662))))</f>
        <v/>
      </c>
      <c r="K2662" s="604">
        <f>IF(ISBLANK('ENGAGEMENTS 2026'!V2662),"",'ENGAGEMENTS 2026'!V2662)</f>
        <v/>
      </c>
      <c r="L2662" s="276">
        <f>IF($K2662="","",TODAY()-$K2662)</f>
        <v/>
      </c>
      <c r="M2662">
        <f>IF($A2662="","",IF($H2662="ENGAGE","Engagé",IF(AND($H2662="NON ENGAGE",OR($I2662="INFRUCTUEUX",$I2662="ANNULE")),"Clôturé sans suite","En cours")))</f>
        <v/>
      </c>
      <c r="N2662">
        <f>IF(ISBLANK('ENGAGEMENTS 2026'!B2662),"",'ENGAGEMENTS 2026'!K2662)</f>
        <v/>
      </c>
      <c r="O2662">
        <f>IF(ISBLANK('ENGAGEMENTS 2026'!B2662),"",'ENGAGEMENTS 2026'!L2662)</f>
        <v/>
      </c>
      <c r="P2662">
        <f>IF(ISBLANK('ENGAGEMENTS 2026'!B2662),"",'ENGAGEMENTS 2026'!J2662)</f>
        <v/>
      </c>
      <c r="Q2662">
        <f>IF($A2662="","",IF(OR($E2662="INFRUCTUEUX",$E2662="ANNULE"),$A2662&amp;"|"&amp;(COUNTIFS($A$2:$A2662,$A2662,$E$2:$E2662,"INFRUCTUEUX")+COUNTIFS($A$2:$A2662,$A2662,$E$2:$E2662,"ANNULE")),""))</f>
        <v/>
      </c>
    </row>
    <row r="2663">
      <c r="A2663">
        <f>IF(ISBLANK('ENGAGEMENTS 2026'!B2663),"",IF('ENGAGEMENTS 2026'!B2663="DTSI","DCT",'ENGAGEMENTS 2026'!B2663))</f>
        <v/>
      </c>
      <c r="B2663">
        <f>IF(ISBLANK('ENGAGEMENTS 2026'!B2663),"",'ENGAGEMENTS 2026'!C2663)</f>
        <v/>
      </c>
      <c r="C2663">
        <f>IF(ISBLANK('ENGAGEMENTS 2026'!B2663),"",'ENGAGEMENTS 2026'!D2663)</f>
        <v/>
      </c>
      <c r="D2663">
        <f>IF(ISBLANK('ENGAGEMENTS 2026'!B2663),"",'ENGAGEMENTS 2026'!F2663)</f>
        <v/>
      </c>
      <c r="E2663">
        <f>IF(ISBLANK('ENGAGEMENTS 2026'!B2663),"",'ENGAGEMENTS 2026'!H2663)</f>
        <v/>
      </c>
      <c r="F2663">
        <f>IF(ISBLANK('ENGAGEMENTS 2026'!B2663),"",'ENGAGEMENTS 2026'!I2663)</f>
        <v/>
      </c>
      <c r="G2663">
        <f>IF(ISBLANK('ENGAGEMENTS 2026'!B2663),"",'ENGAGEMENTS 2026'!L2663)</f>
        <v/>
      </c>
      <c r="H2663">
        <f>IF(ISBLANK('ENGAGEMENTS 2026'!B2663),"",'ENGAGEMENTS 2026'!AE2663)</f>
        <v/>
      </c>
      <c r="I2663">
        <f>IF(ISBLANK('ENGAGEMENTS 2026'!B2663),"",'ENGAGEMENTS 2026'!G2663)</f>
        <v/>
      </c>
      <c r="J2663" s="275">
        <f>IF(ISBLANK('ENGAGEMENTS 2026'!B2663),"",IF(AND(OR($E2663="INFRUCTUEUX",$E2663="ANNULE"),$C2663="AOO-M"),'ENGAGEMENTS 2026'!O2663,IF($H2663="EN COURS DE PREENGAGEMENT",'ENGAGEMENTS 2026'!N2663,IF($H2663="PREENGAGE",IF($E2663="ATTRIBUE",'ENGAGEMENTS 2026'!AD2663,'ENGAGEMENTS 2026'!N2663),'ENGAGEMENTS 2026'!AD2663))))</f>
        <v/>
      </c>
      <c r="K2663" s="604">
        <f>IF(ISBLANK('ENGAGEMENTS 2026'!V2663),"",'ENGAGEMENTS 2026'!V2663)</f>
        <v/>
      </c>
      <c r="L2663" s="276">
        <f>IF($K2663="","",TODAY()-$K2663)</f>
        <v/>
      </c>
      <c r="M2663">
        <f>IF($A2663="","",IF($H2663="ENGAGE","Engagé",IF(AND($H2663="NON ENGAGE",OR($I2663="INFRUCTUEUX",$I2663="ANNULE")),"Clôturé sans suite","En cours")))</f>
        <v/>
      </c>
      <c r="N2663">
        <f>IF(ISBLANK('ENGAGEMENTS 2026'!B2663),"",'ENGAGEMENTS 2026'!K2663)</f>
        <v/>
      </c>
      <c r="O2663">
        <f>IF(ISBLANK('ENGAGEMENTS 2026'!B2663),"",'ENGAGEMENTS 2026'!L2663)</f>
        <v/>
      </c>
      <c r="P2663">
        <f>IF(ISBLANK('ENGAGEMENTS 2026'!B2663),"",'ENGAGEMENTS 2026'!J2663)</f>
        <v/>
      </c>
      <c r="Q2663">
        <f>IF($A2663="","",IF(OR($E2663="INFRUCTUEUX",$E2663="ANNULE"),$A2663&amp;"|"&amp;(COUNTIFS($A$2:$A2663,$A2663,$E$2:$E2663,"INFRUCTUEUX")+COUNTIFS($A$2:$A2663,$A2663,$E$2:$E2663,"ANNULE")),""))</f>
        <v/>
      </c>
    </row>
    <row r="2664">
      <c r="A2664">
        <f>IF(ISBLANK('ENGAGEMENTS 2026'!B2664),"",IF('ENGAGEMENTS 2026'!B2664="DTSI","DCT",'ENGAGEMENTS 2026'!B2664))</f>
        <v/>
      </c>
      <c r="B2664">
        <f>IF(ISBLANK('ENGAGEMENTS 2026'!B2664),"",'ENGAGEMENTS 2026'!C2664)</f>
        <v/>
      </c>
      <c r="C2664">
        <f>IF(ISBLANK('ENGAGEMENTS 2026'!B2664),"",'ENGAGEMENTS 2026'!D2664)</f>
        <v/>
      </c>
      <c r="D2664">
        <f>IF(ISBLANK('ENGAGEMENTS 2026'!B2664),"",'ENGAGEMENTS 2026'!F2664)</f>
        <v/>
      </c>
      <c r="E2664">
        <f>IF(ISBLANK('ENGAGEMENTS 2026'!B2664),"",'ENGAGEMENTS 2026'!H2664)</f>
        <v/>
      </c>
      <c r="F2664">
        <f>IF(ISBLANK('ENGAGEMENTS 2026'!B2664),"",'ENGAGEMENTS 2026'!I2664)</f>
        <v/>
      </c>
      <c r="G2664">
        <f>IF(ISBLANK('ENGAGEMENTS 2026'!B2664),"",'ENGAGEMENTS 2026'!L2664)</f>
        <v/>
      </c>
      <c r="H2664">
        <f>IF(ISBLANK('ENGAGEMENTS 2026'!B2664),"",'ENGAGEMENTS 2026'!AE2664)</f>
        <v/>
      </c>
      <c r="I2664">
        <f>IF(ISBLANK('ENGAGEMENTS 2026'!B2664),"",'ENGAGEMENTS 2026'!G2664)</f>
        <v/>
      </c>
      <c r="J2664" s="275">
        <f>IF(ISBLANK('ENGAGEMENTS 2026'!B2664),"",IF(AND(OR($E2664="INFRUCTUEUX",$E2664="ANNULE"),$C2664="AOO-M"),'ENGAGEMENTS 2026'!O2664,IF($H2664="EN COURS DE PREENGAGEMENT",'ENGAGEMENTS 2026'!N2664,IF($H2664="PREENGAGE",IF($E2664="ATTRIBUE",'ENGAGEMENTS 2026'!AD2664,'ENGAGEMENTS 2026'!N2664),'ENGAGEMENTS 2026'!AD2664))))</f>
        <v/>
      </c>
      <c r="K2664" s="604">
        <f>IF(ISBLANK('ENGAGEMENTS 2026'!V2664),"",'ENGAGEMENTS 2026'!V2664)</f>
        <v/>
      </c>
      <c r="L2664" s="276">
        <f>IF($K2664="","",TODAY()-$K2664)</f>
        <v/>
      </c>
      <c r="M2664">
        <f>IF($A2664="","",IF($H2664="ENGAGE","Engagé",IF(AND($H2664="NON ENGAGE",OR($I2664="INFRUCTUEUX",$I2664="ANNULE")),"Clôturé sans suite","En cours")))</f>
        <v/>
      </c>
      <c r="N2664">
        <f>IF(ISBLANK('ENGAGEMENTS 2026'!B2664),"",'ENGAGEMENTS 2026'!K2664)</f>
        <v/>
      </c>
      <c r="O2664">
        <f>IF(ISBLANK('ENGAGEMENTS 2026'!B2664),"",'ENGAGEMENTS 2026'!L2664)</f>
        <v/>
      </c>
      <c r="P2664">
        <f>IF(ISBLANK('ENGAGEMENTS 2026'!B2664),"",'ENGAGEMENTS 2026'!J2664)</f>
        <v/>
      </c>
      <c r="Q2664">
        <f>IF($A2664="","",IF(OR($E2664="INFRUCTUEUX",$E2664="ANNULE"),$A2664&amp;"|"&amp;(COUNTIFS($A$2:$A2664,$A2664,$E$2:$E2664,"INFRUCTUEUX")+COUNTIFS($A$2:$A2664,$A2664,$E$2:$E2664,"ANNULE")),""))</f>
        <v/>
      </c>
    </row>
    <row r="2665">
      <c r="A2665">
        <f>IF(ISBLANK('ENGAGEMENTS 2026'!B2665),"",IF('ENGAGEMENTS 2026'!B2665="DTSI","DCT",'ENGAGEMENTS 2026'!B2665))</f>
        <v/>
      </c>
      <c r="B2665">
        <f>IF(ISBLANK('ENGAGEMENTS 2026'!B2665),"",'ENGAGEMENTS 2026'!C2665)</f>
        <v/>
      </c>
      <c r="C2665">
        <f>IF(ISBLANK('ENGAGEMENTS 2026'!B2665),"",'ENGAGEMENTS 2026'!D2665)</f>
        <v/>
      </c>
      <c r="D2665">
        <f>IF(ISBLANK('ENGAGEMENTS 2026'!B2665),"",'ENGAGEMENTS 2026'!F2665)</f>
        <v/>
      </c>
      <c r="E2665">
        <f>IF(ISBLANK('ENGAGEMENTS 2026'!B2665),"",'ENGAGEMENTS 2026'!H2665)</f>
        <v/>
      </c>
      <c r="F2665">
        <f>IF(ISBLANK('ENGAGEMENTS 2026'!B2665),"",'ENGAGEMENTS 2026'!I2665)</f>
        <v/>
      </c>
      <c r="G2665">
        <f>IF(ISBLANK('ENGAGEMENTS 2026'!B2665),"",'ENGAGEMENTS 2026'!L2665)</f>
        <v/>
      </c>
      <c r="H2665">
        <f>IF(ISBLANK('ENGAGEMENTS 2026'!B2665),"",'ENGAGEMENTS 2026'!AE2665)</f>
        <v/>
      </c>
      <c r="I2665">
        <f>IF(ISBLANK('ENGAGEMENTS 2026'!B2665),"",'ENGAGEMENTS 2026'!G2665)</f>
        <v/>
      </c>
      <c r="J2665" s="275">
        <f>IF(ISBLANK('ENGAGEMENTS 2026'!B2665),"",IF(AND(OR($E2665="INFRUCTUEUX",$E2665="ANNULE"),$C2665="AOO-M"),'ENGAGEMENTS 2026'!O2665,IF($H2665="EN COURS DE PREENGAGEMENT",'ENGAGEMENTS 2026'!N2665,IF($H2665="PREENGAGE",IF($E2665="ATTRIBUE",'ENGAGEMENTS 2026'!AD2665,'ENGAGEMENTS 2026'!N2665),'ENGAGEMENTS 2026'!AD2665))))</f>
        <v/>
      </c>
      <c r="K2665" s="604">
        <f>IF(ISBLANK('ENGAGEMENTS 2026'!V2665),"",'ENGAGEMENTS 2026'!V2665)</f>
        <v/>
      </c>
      <c r="L2665" s="276">
        <f>IF($K2665="","",TODAY()-$K2665)</f>
        <v/>
      </c>
      <c r="M2665">
        <f>IF($A2665="","",IF($H2665="ENGAGE","Engagé",IF(AND($H2665="NON ENGAGE",OR($I2665="INFRUCTUEUX",$I2665="ANNULE")),"Clôturé sans suite","En cours")))</f>
        <v/>
      </c>
      <c r="N2665">
        <f>IF(ISBLANK('ENGAGEMENTS 2026'!B2665),"",'ENGAGEMENTS 2026'!K2665)</f>
        <v/>
      </c>
      <c r="O2665">
        <f>IF(ISBLANK('ENGAGEMENTS 2026'!B2665),"",'ENGAGEMENTS 2026'!L2665)</f>
        <v/>
      </c>
      <c r="P2665">
        <f>IF(ISBLANK('ENGAGEMENTS 2026'!B2665),"",'ENGAGEMENTS 2026'!J2665)</f>
        <v/>
      </c>
      <c r="Q2665">
        <f>IF($A2665="","",IF(OR($E2665="INFRUCTUEUX",$E2665="ANNULE"),$A2665&amp;"|"&amp;(COUNTIFS($A$2:$A2665,$A2665,$E$2:$E2665,"INFRUCTUEUX")+COUNTIFS($A$2:$A2665,$A2665,$E$2:$E2665,"ANNULE")),""))</f>
        <v/>
      </c>
    </row>
    <row r="2666">
      <c r="A2666">
        <f>IF(ISBLANK('ENGAGEMENTS 2026'!B2666),"",IF('ENGAGEMENTS 2026'!B2666="DTSI","DCT",'ENGAGEMENTS 2026'!B2666))</f>
        <v/>
      </c>
      <c r="B2666">
        <f>IF(ISBLANK('ENGAGEMENTS 2026'!B2666),"",'ENGAGEMENTS 2026'!C2666)</f>
        <v/>
      </c>
      <c r="C2666">
        <f>IF(ISBLANK('ENGAGEMENTS 2026'!B2666),"",'ENGAGEMENTS 2026'!D2666)</f>
        <v/>
      </c>
      <c r="D2666">
        <f>IF(ISBLANK('ENGAGEMENTS 2026'!B2666),"",'ENGAGEMENTS 2026'!F2666)</f>
        <v/>
      </c>
      <c r="E2666">
        <f>IF(ISBLANK('ENGAGEMENTS 2026'!B2666),"",'ENGAGEMENTS 2026'!H2666)</f>
        <v/>
      </c>
      <c r="F2666">
        <f>IF(ISBLANK('ENGAGEMENTS 2026'!B2666),"",'ENGAGEMENTS 2026'!I2666)</f>
        <v/>
      </c>
      <c r="G2666">
        <f>IF(ISBLANK('ENGAGEMENTS 2026'!B2666),"",'ENGAGEMENTS 2026'!L2666)</f>
        <v/>
      </c>
      <c r="H2666">
        <f>IF(ISBLANK('ENGAGEMENTS 2026'!B2666),"",'ENGAGEMENTS 2026'!AE2666)</f>
        <v/>
      </c>
      <c r="I2666">
        <f>IF(ISBLANK('ENGAGEMENTS 2026'!B2666),"",'ENGAGEMENTS 2026'!G2666)</f>
        <v/>
      </c>
      <c r="J2666" s="275">
        <f>IF(ISBLANK('ENGAGEMENTS 2026'!B2666),"",IF(AND(OR($E2666="INFRUCTUEUX",$E2666="ANNULE"),$C2666="AOO-M"),'ENGAGEMENTS 2026'!O2666,IF($H2666="EN COURS DE PREENGAGEMENT",'ENGAGEMENTS 2026'!N2666,IF($H2666="PREENGAGE",IF($E2666="ATTRIBUE",'ENGAGEMENTS 2026'!AD2666,'ENGAGEMENTS 2026'!N2666),'ENGAGEMENTS 2026'!AD2666))))</f>
        <v/>
      </c>
      <c r="K2666" s="604">
        <f>IF(ISBLANK('ENGAGEMENTS 2026'!V2666),"",'ENGAGEMENTS 2026'!V2666)</f>
        <v/>
      </c>
      <c r="L2666" s="276">
        <f>IF($K2666="","",TODAY()-$K2666)</f>
        <v/>
      </c>
      <c r="M2666">
        <f>IF($A2666="","",IF($H2666="ENGAGE","Engagé",IF(AND($H2666="NON ENGAGE",OR($I2666="INFRUCTUEUX",$I2666="ANNULE")),"Clôturé sans suite","En cours")))</f>
        <v/>
      </c>
      <c r="N2666">
        <f>IF(ISBLANK('ENGAGEMENTS 2026'!B2666),"",'ENGAGEMENTS 2026'!K2666)</f>
        <v/>
      </c>
      <c r="O2666">
        <f>IF(ISBLANK('ENGAGEMENTS 2026'!B2666),"",'ENGAGEMENTS 2026'!L2666)</f>
        <v/>
      </c>
      <c r="P2666">
        <f>IF(ISBLANK('ENGAGEMENTS 2026'!B2666),"",'ENGAGEMENTS 2026'!J2666)</f>
        <v/>
      </c>
      <c r="Q2666">
        <f>IF($A2666="","",IF(OR($E2666="INFRUCTUEUX",$E2666="ANNULE"),$A2666&amp;"|"&amp;(COUNTIFS($A$2:$A2666,$A2666,$E$2:$E2666,"INFRUCTUEUX")+COUNTIFS($A$2:$A2666,$A2666,$E$2:$E2666,"ANNULE")),""))</f>
        <v/>
      </c>
    </row>
    <row r="2667">
      <c r="A2667">
        <f>IF(ISBLANK('ENGAGEMENTS 2026'!B2667),"",IF('ENGAGEMENTS 2026'!B2667="DTSI","DCT",'ENGAGEMENTS 2026'!B2667))</f>
        <v/>
      </c>
      <c r="B2667">
        <f>IF(ISBLANK('ENGAGEMENTS 2026'!B2667),"",'ENGAGEMENTS 2026'!C2667)</f>
        <v/>
      </c>
      <c r="C2667">
        <f>IF(ISBLANK('ENGAGEMENTS 2026'!B2667),"",'ENGAGEMENTS 2026'!D2667)</f>
        <v/>
      </c>
      <c r="D2667">
        <f>IF(ISBLANK('ENGAGEMENTS 2026'!B2667),"",'ENGAGEMENTS 2026'!F2667)</f>
        <v/>
      </c>
      <c r="E2667">
        <f>IF(ISBLANK('ENGAGEMENTS 2026'!B2667),"",'ENGAGEMENTS 2026'!H2667)</f>
        <v/>
      </c>
      <c r="F2667">
        <f>IF(ISBLANK('ENGAGEMENTS 2026'!B2667),"",'ENGAGEMENTS 2026'!I2667)</f>
        <v/>
      </c>
      <c r="G2667">
        <f>IF(ISBLANK('ENGAGEMENTS 2026'!B2667),"",'ENGAGEMENTS 2026'!L2667)</f>
        <v/>
      </c>
      <c r="H2667">
        <f>IF(ISBLANK('ENGAGEMENTS 2026'!B2667),"",'ENGAGEMENTS 2026'!AE2667)</f>
        <v/>
      </c>
      <c r="I2667">
        <f>IF(ISBLANK('ENGAGEMENTS 2026'!B2667),"",'ENGAGEMENTS 2026'!G2667)</f>
        <v/>
      </c>
      <c r="J2667" s="275">
        <f>IF(ISBLANK('ENGAGEMENTS 2026'!B2667),"",IF(AND(OR($E2667="INFRUCTUEUX",$E2667="ANNULE"),$C2667="AOO-M"),'ENGAGEMENTS 2026'!O2667,IF($H2667="EN COURS DE PREENGAGEMENT",'ENGAGEMENTS 2026'!N2667,IF($H2667="PREENGAGE",IF($E2667="ATTRIBUE",'ENGAGEMENTS 2026'!AD2667,'ENGAGEMENTS 2026'!N2667),'ENGAGEMENTS 2026'!AD2667))))</f>
        <v/>
      </c>
      <c r="K2667" s="604">
        <f>IF(ISBLANK('ENGAGEMENTS 2026'!V2667),"",'ENGAGEMENTS 2026'!V2667)</f>
        <v/>
      </c>
      <c r="L2667" s="276">
        <f>IF($K2667="","",TODAY()-$K2667)</f>
        <v/>
      </c>
      <c r="M2667">
        <f>IF($A2667="","",IF($H2667="ENGAGE","Engagé",IF(AND($H2667="NON ENGAGE",OR($I2667="INFRUCTUEUX",$I2667="ANNULE")),"Clôturé sans suite","En cours")))</f>
        <v/>
      </c>
      <c r="N2667">
        <f>IF(ISBLANK('ENGAGEMENTS 2026'!B2667),"",'ENGAGEMENTS 2026'!K2667)</f>
        <v/>
      </c>
      <c r="O2667">
        <f>IF(ISBLANK('ENGAGEMENTS 2026'!B2667),"",'ENGAGEMENTS 2026'!L2667)</f>
        <v/>
      </c>
      <c r="P2667">
        <f>IF(ISBLANK('ENGAGEMENTS 2026'!B2667),"",'ENGAGEMENTS 2026'!J2667)</f>
        <v/>
      </c>
      <c r="Q2667">
        <f>IF($A2667="","",IF(OR($E2667="INFRUCTUEUX",$E2667="ANNULE"),$A2667&amp;"|"&amp;(COUNTIFS($A$2:$A2667,$A2667,$E$2:$E2667,"INFRUCTUEUX")+COUNTIFS($A$2:$A2667,$A2667,$E$2:$E2667,"ANNULE")),""))</f>
        <v/>
      </c>
    </row>
    <row r="2668">
      <c r="A2668">
        <f>IF(ISBLANK('ENGAGEMENTS 2026'!B2668),"",IF('ENGAGEMENTS 2026'!B2668="DTSI","DCT",'ENGAGEMENTS 2026'!B2668))</f>
        <v/>
      </c>
      <c r="B2668">
        <f>IF(ISBLANK('ENGAGEMENTS 2026'!B2668),"",'ENGAGEMENTS 2026'!C2668)</f>
        <v/>
      </c>
      <c r="C2668">
        <f>IF(ISBLANK('ENGAGEMENTS 2026'!B2668),"",'ENGAGEMENTS 2026'!D2668)</f>
        <v/>
      </c>
      <c r="D2668">
        <f>IF(ISBLANK('ENGAGEMENTS 2026'!B2668),"",'ENGAGEMENTS 2026'!F2668)</f>
        <v/>
      </c>
      <c r="E2668">
        <f>IF(ISBLANK('ENGAGEMENTS 2026'!B2668),"",'ENGAGEMENTS 2026'!H2668)</f>
        <v/>
      </c>
      <c r="F2668">
        <f>IF(ISBLANK('ENGAGEMENTS 2026'!B2668),"",'ENGAGEMENTS 2026'!I2668)</f>
        <v/>
      </c>
      <c r="G2668">
        <f>IF(ISBLANK('ENGAGEMENTS 2026'!B2668),"",'ENGAGEMENTS 2026'!L2668)</f>
        <v/>
      </c>
      <c r="H2668">
        <f>IF(ISBLANK('ENGAGEMENTS 2026'!B2668),"",'ENGAGEMENTS 2026'!AE2668)</f>
        <v/>
      </c>
      <c r="I2668">
        <f>IF(ISBLANK('ENGAGEMENTS 2026'!B2668),"",'ENGAGEMENTS 2026'!G2668)</f>
        <v/>
      </c>
      <c r="J2668" s="275">
        <f>IF(ISBLANK('ENGAGEMENTS 2026'!B2668),"",IF(AND(OR($E2668="INFRUCTUEUX",$E2668="ANNULE"),$C2668="AOO-M"),'ENGAGEMENTS 2026'!O2668,IF($H2668="EN COURS DE PREENGAGEMENT",'ENGAGEMENTS 2026'!N2668,IF($H2668="PREENGAGE",IF($E2668="ATTRIBUE",'ENGAGEMENTS 2026'!AD2668,'ENGAGEMENTS 2026'!N2668),'ENGAGEMENTS 2026'!AD2668))))</f>
        <v/>
      </c>
      <c r="K2668" s="604">
        <f>IF(ISBLANK('ENGAGEMENTS 2026'!V2668),"",'ENGAGEMENTS 2026'!V2668)</f>
        <v/>
      </c>
      <c r="L2668" s="276">
        <f>IF($K2668="","",TODAY()-$K2668)</f>
        <v/>
      </c>
      <c r="M2668">
        <f>IF($A2668="","",IF($H2668="ENGAGE","Engagé",IF(AND($H2668="NON ENGAGE",OR($I2668="INFRUCTUEUX",$I2668="ANNULE")),"Clôturé sans suite","En cours")))</f>
        <v/>
      </c>
      <c r="N2668">
        <f>IF(ISBLANK('ENGAGEMENTS 2026'!B2668),"",'ENGAGEMENTS 2026'!K2668)</f>
        <v/>
      </c>
      <c r="O2668">
        <f>IF(ISBLANK('ENGAGEMENTS 2026'!B2668),"",'ENGAGEMENTS 2026'!L2668)</f>
        <v/>
      </c>
      <c r="P2668">
        <f>IF(ISBLANK('ENGAGEMENTS 2026'!B2668),"",'ENGAGEMENTS 2026'!J2668)</f>
        <v/>
      </c>
      <c r="Q2668">
        <f>IF($A2668="","",IF(OR($E2668="INFRUCTUEUX",$E2668="ANNULE"),$A2668&amp;"|"&amp;(COUNTIFS($A$2:$A2668,$A2668,$E$2:$E2668,"INFRUCTUEUX")+COUNTIFS($A$2:$A2668,$A2668,$E$2:$E2668,"ANNULE")),""))</f>
        <v/>
      </c>
    </row>
    <row r="2669">
      <c r="A2669">
        <f>IF(ISBLANK('ENGAGEMENTS 2026'!B2669),"",IF('ENGAGEMENTS 2026'!B2669="DTSI","DCT",'ENGAGEMENTS 2026'!B2669))</f>
        <v/>
      </c>
      <c r="B2669">
        <f>IF(ISBLANK('ENGAGEMENTS 2026'!B2669),"",'ENGAGEMENTS 2026'!C2669)</f>
        <v/>
      </c>
      <c r="C2669">
        <f>IF(ISBLANK('ENGAGEMENTS 2026'!B2669),"",'ENGAGEMENTS 2026'!D2669)</f>
        <v/>
      </c>
      <c r="D2669">
        <f>IF(ISBLANK('ENGAGEMENTS 2026'!B2669),"",'ENGAGEMENTS 2026'!F2669)</f>
        <v/>
      </c>
      <c r="E2669">
        <f>IF(ISBLANK('ENGAGEMENTS 2026'!B2669),"",'ENGAGEMENTS 2026'!H2669)</f>
        <v/>
      </c>
      <c r="F2669">
        <f>IF(ISBLANK('ENGAGEMENTS 2026'!B2669),"",'ENGAGEMENTS 2026'!I2669)</f>
        <v/>
      </c>
      <c r="G2669">
        <f>IF(ISBLANK('ENGAGEMENTS 2026'!B2669),"",'ENGAGEMENTS 2026'!L2669)</f>
        <v/>
      </c>
      <c r="H2669">
        <f>IF(ISBLANK('ENGAGEMENTS 2026'!B2669),"",'ENGAGEMENTS 2026'!AE2669)</f>
        <v/>
      </c>
      <c r="I2669">
        <f>IF(ISBLANK('ENGAGEMENTS 2026'!B2669),"",'ENGAGEMENTS 2026'!G2669)</f>
        <v/>
      </c>
      <c r="J2669" s="275">
        <f>IF(ISBLANK('ENGAGEMENTS 2026'!B2669),"",IF(AND(OR($E2669="INFRUCTUEUX",$E2669="ANNULE"),$C2669="AOO-M"),'ENGAGEMENTS 2026'!O2669,IF($H2669="EN COURS DE PREENGAGEMENT",'ENGAGEMENTS 2026'!N2669,IF($H2669="PREENGAGE",IF($E2669="ATTRIBUE",'ENGAGEMENTS 2026'!AD2669,'ENGAGEMENTS 2026'!N2669),'ENGAGEMENTS 2026'!AD2669))))</f>
        <v/>
      </c>
      <c r="K2669" s="604">
        <f>IF(ISBLANK('ENGAGEMENTS 2026'!V2669),"",'ENGAGEMENTS 2026'!V2669)</f>
        <v/>
      </c>
      <c r="L2669" s="276">
        <f>IF($K2669="","",TODAY()-$K2669)</f>
        <v/>
      </c>
      <c r="M2669">
        <f>IF($A2669="","",IF($H2669="ENGAGE","Engagé",IF(AND($H2669="NON ENGAGE",OR($I2669="INFRUCTUEUX",$I2669="ANNULE")),"Clôturé sans suite","En cours")))</f>
        <v/>
      </c>
      <c r="N2669">
        <f>IF(ISBLANK('ENGAGEMENTS 2026'!B2669),"",'ENGAGEMENTS 2026'!K2669)</f>
        <v/>
      </c>
      <c r="O2669">
        <f>IF(ISBLANK('ENGAGEMENTS 2026'!B2669),"",'ENGAGEMENTS 2026'!L2669)</f>
        <v/>
      </c>
      <c r="P2669">
        <f>IF(ISBLANK('ENGAGEMENTS 2026'!B2669),"",'ENGAGEMENTS 2026'!J2669)</f>
        <v/>
      </c>
      <c r="Q2669">
        <f>IF($A2669="","",IF(OR($E2669="INFRUCTUEUX",$E2669="ANNULE"),$A2669&amp;"|"&amp;(COUNTIFS($A$2:$A2669,$A2669,$E$2:$E2669,"INFRUCTUEUX")+COUNTIFS($A$2:$A2669,$A2669,$E$2:$E2669,"ANNULE")),""))</f>
        <v/>
      </c>
    </row>
    <row r="2670">
      <c r="A2670">
        <f>IF(ISBLANK('ENGAGEMENTS 2026'!B2670),"",IF('ENGAGEMENTS 2026'!B2670="DTSI","DCT",'ENGAGEMENTS 2026'!B2670))</f>
        <v/>
      </c>
      <c r="B2670">
        <f>IF(ISBLANK('ENGAGEMENTS 2026'!B2670),"",'ENGAGEMENTS 2026'!C2670)</f>
        <v/>
      </c>
      <c r="C2670">
        <f>IF(ISBLANK('ENGAGEMENTS 2026'!B2670),"",'ENGAGEMENTS 2026'!D2670)</f>
        <v/>
      </c>
      <c r="D2670">
        <f>IF(ISBLANK('ENGAGEMENTS 2026'!B2670),"",'ENGAGEMENTS 2026'!F2670)</f>
        <v/>
      </c>
      <c r="E2670">
        <f>IF(ISBLANK('ENGAGEMENTS 2026'!B2670),"",'ENGAGEMENTS 2026'!H2670)</f>
        <v/>
      </c>
      <c r="F2670">
        <f>IF(ISBLANK('ENGAGEMENTS 2026'!B2670),"",'ENGAGEMENTS 2026'!I2670)</f>
        <v/>
      </c>
      <c r="G2670">
        <f>IF(ISBLANK('ENGAGEMENTS 2026'!B2670),"",'ENGAGEMENTS 2026'!L2670)</f>
        <v/>
      </c>
      <c r="H2670">
        <f>IF(ISBLANK('ENGAGEMENTS 2026'!B2670),"",'ENGAGEMENTS 2026'!AE2670)</f>
        <v/>
      </c>
      <c r="I2670">
        <f>IF(ISBLANK('ENGAGEMENTS 2026'!B2670),"",'ENGAGEMENTS 2026'!G2670)</f>
        <v/>
      </c>
      <c r="J2670" s="275">
        <f>IF(ISBLANK('ENGAGEMENTS 2026'!B2670),"",IF(AND(OR($E2670="INFRUCTUEUX",$E2670="ANNULE"),$C2670="AOO-M"),'ENGAGEMENTS 2026'!O2670,IF($H2670="EN COURS DE PREENGAGEMENT",'ENGAGEMENTS 2026'!N2670,IF($H2670="PREENGAGE",IF($E2670="ATTRIBUE",'ENGAGEMENTS 2026'!AD2670,'ENGAGEMENTS 2026'!N2670),'ENGAGEMENTS 2026'!AD2670))))</f>
        <v/>
      </c>
      <c r="K2670" s="604">
        <f>IF(ISBLANK('ENGAGEMENTS 2026'!V2670),"",'ENGAGEMENTS 2026'!V2670)</f>
        <v/>
      </c>
      <c r="L2670" s="276">
        <f>IF($K2670="","",TODAY()-$K2670)</f>
        <v/>
      </c>
      <c r="M2670">
        <f>IF($A2670="","",IF($H2670="ENGAGE","Engagé",IF(AND($H2670="NON ENGAGE",OR($I2670="INFRUCTUEUX",$I2670="ANNULE")),"Clôturé sans suite","En cours")))</f>
        <v/>
      </c>
      <c r="N2670">
        <f>IF(ISBLANK('ENGAGEMENTS 2026'!B2670),"",'ENGAGEMENTS 2026'!K2670)</f>
        <v/>
      </c>
      <c r="O2670">
        <f>IF(ISBLANK('ENGAGEMENTS 2026'!B2670),"",'ENGAGEMENTS 2026'!L2670)</f>
        <v/>
      </c>
      <c r="P2670">
        <f>IF(ISBLANK('ENGAGEMENTS 2026'!B2670),"",'ENGAGEMENTS 2026'!J2670)</f>
        <v/>
      </c>
      <c r="Q2670">
        <f>IF($A2670="","",IF(OR($E2670="INFRUCTUEUX",$E2670="ANNULE"),$A2670&amp;"|"&amp;(COUNTIFS($A$2:$A2670,$A2670,$E$2:$E2670,"INFRUCTUEUX")+COUNTIFS($A$2:$A2670,$A2670,$E$2:$E2670,"ANNULE")),""))</f>
        <v/>
      </c>
    </row>
    <row r="2671">
      <c r="A2671">
        <f>IF(ISBLANK('ENGAGEMENTS 2026'!B2671),"",IF('ENGAGEMENTS 2026'!B2671="DTSI","DCT",'ENGAGEMENTS 2026'!B2671))</f>
        <v/>
      </c>
      <c r="B2671">
        <f>IF(ISBLANK('ENGAGEMENTS 2026'!B2671),"",'ENGAGEMENTS 2026'!C2671)</f>
        <v/>
      </c>
      <c r="C2671">
        <f>IF(ISBLANK('ENGAGEMENTS 2026'!B2671),"",'ENGAGEMENTS 2026'!D2671)</f>
        <v/>
      </c>
      <c r="D2671">
        <f>IF(ISBLANK('ENGAGEMENTS 2026'!B2671),"",'ENGAGEMENTS 2026'!F2671)</f>
        <v/>
      </c>
      <c r="E2671">
        <f>IF(ISBLANK('ENGAGEMENTS 2026'!B2671),"",'ENGAGEMENTS 2026'!H2671)</f>
        <v/>
      </c>
      <c r="F2671">
        <f>IF(ISBLANK('ENGAGEMENTS 2026'!B2671),"",'ENGAGEMENTS 2026'!I2671)</f>
        <v/>
      </c>
      <c r="G2671">
        <f>IF(ISBLANK('ENGAGEMENTS 2026'!B2671),"",'ENGAGEMENTS 2026'!L2671)</f>
        <v/>
      </c>
      <c r="H2671">
        <f>IF(ISBLANK('ENGAGEMENTS 2026'!B2671),"",'ENGAGEMENTS 2026'!AE2671)</f>
        <v/>
      </c>
      <c r="I2671">
        <f>IF(ISBLANK('ENGAGEMENTS 2026'!B2671),"",'ENGAGEMENTS 2026'!G2671)</f>
        <v/>
      </c>
      <c r="J2671" s="275">
        <f>IF(ISBLANK('ENGAGEMENTS 2026'!B2671),"",IF(AND(OR($E2671="INFRUCTUEUX",$E2671="ANNULE"),$C2671="AOO-M"),'ENGAGEMENTS 2026'!O2671,IF($H2671="EN COURS DE PREENGAGEMENT",'ENGAGEMENTS 2026'!N2671,IF($H2671="PREENGAGE",IF($E2671="ATTRIBUE",'ENGAGEMENTS 2026'!AD2671,'ENGAGEMENTS 2026'!N2671),'ENGAGEMENTS 2026'!AD2671))))</f>
        <v/>
      </c>
      <c r="K2671" s="604">
        <f>IF(ISBLANK('ENGAGEMENTS 2026'!V2671),"",'ENGAGEMENTS 2026'!V2671)</f>
        <v/>
      </c>
      <c r="L2671" s="276">
        <f>IF($K2671="","",TODAY()-$K2671)</f>
        <v/>
      </c>
      <c r="M2671">
        <f>IF($A2671="","",IF($H2671="ENGAGE","Engagé",IF(AND($H2671="NON ENGAGE",OR($I2671="INFRUCTUEUX",$I2671="ANNULE")),"Clôturé sans suite","En cours")))</f>
        <v/>
      </c>
      <c r="N2671">
        <f>IF(ISBLANK('ENGAGEMENTS 2026'!B2671),"",'ENGAGEMENTS 2026'!K2671)</f>
        <v/>
      </c>
      <c r="O2671">
        <f>IF(ISBLANK('ENGAGEMENTS 2026'!B2671),"",'ENGAGEMENTS 2026'!L2671)</f>
        <v/>
      </c>
      <c r="P2671">
        <f>IF(ISBLANK('ENGAGEMENTS 2026'!B2671),"",'ENGAGEMENTS 2026'!J2671)</f>
        <v/>
      </c>
      <c r="Q2671">
        <f>IF($A2671="","",IF(OR($E2671="INFRUCTUEUX",$E2671="ANNULE"),$A2671&amp;"|"&amp;(COUNTIFS($A$2:$A2671,$A2671,$E$2:$E2671,"INFRUCTUEUX")+COUNTIFS($A$2:$A2671,$A2671,$E$2:$E2671,"ANNULE")),""))</f>
        <v/>
      </c>
    </row>
    <row r="2672">
      <c r="A2672">
        <f>IF(ISBLANK('ENGAGEMENTS 2026'!B2672),"",IF('ENGAGEMENTS 2026'!B2672="DTSI","DCT",'ENGAGEMENTS 2026'!B2672))</f>
        <v/>
      </c>
      <c r="B2672">
        <f>IF(ISBLANK('ENGAGEMENTS 2026'!B2672),"",'ENGAGEMENTS 2026'!C2672)</f>
        <v/>
      </c>
      <c r="C2672">
        <f>IF(ISBLANK('ENGAGEMENTS 2026'!B2672),"",'ENGAGEMENTS 2026'!D2672)</f>
        <v/>
      </c>
      <c r="D2672">
        <f>IF(ISBLANK('ENGAGEMENTS 2026'!B2672),"",'ENGAGEMENTS 2026'!F2672)</f>
        <v/>
      </c>
      <c r="E2672">
        <f>IF(ISBLANK('ENGAGEMENTS 2026'!B2672),"",'ENGAGEMENTS 2026'!H2672)</f>
        <v/>
      </c>
      <c r="F2672">
        <f>IF(ISBLANK('ENGAGEMENTS 2026'!B2672),"",'ENGAGEMENTS 2026'!I2672)</f>
        <v/>
      </c>
      <c r="G2672">
        <f>IF(ISBLANK('ENGAGEMENTS 2026'!B2672),"",'ENGAGEMENTS 2026'!L2672)</f>
        <v/>
      </c>
      <c r="H2672">
        <f>IF(ISBLANK('ENGAGEMENTS 2026'!B2672),"",'ENGAGEMENTS 2026'!AE2672)</f>
        <v/>
      </c>
      <c r="I2672">
        <f>IF(ISBLANK('ENGAGEMENTS 2026'!B2672),"",'ENGAGEMENTS 2026'!G2672)</f>
        <v/>
      </c>
      <c r="J2672" s="275">
        <f>IF(ISBLANK('ENGAGEMENTS 2026'!B2672),"",IF(AND(OR($E2672="INFRUCTUEUX",$E2672="ANNULE"),$C2672="AOO-M"),'ENGAGEMENTS 2026'!O2672,IF($H2672="EN COURS DE PREENGAGEMENT",'ENGAGEMENTS 2026'!N2672,IF($H2672="PREENGAGE",IF($E2672="ATTRIBUE",'ENGAGEMENTS 2026'!AD2672,'ENGAGEMENTS 2026'!N2672),'ENGAGEMENTS 2026'!AD2672))))</f>
        <v/>
      </c>
      <c r="K2672" s="604">
        <f>IF(ISBLANK('ENGAGEMENTS 2026'!V2672),"",'ENGAGEMENTS 2026'!V2672)</f>
        <v/>
      </c>
      <c r="L2672" s="276">
        <f>IF($K2672="","",TODAY()-$K2672)</f>
        <v/>
      </c>
      <c r="M2672">
        <f>IF($A2672="","",IF($H2672="ENGAGE","Engagé",IF(AND($H2672="NON ENGAGE",OR($I2672="INFRUCTUEUX",$I2672="ANNULE")),"Clôturé sans suite","En cours")))</f>
        <v/>
      </c>
      <c r="N2672">
        <f>IF(ISBLANK('ENGAGEMENTS 2026'!B2672),"",'ENGAGEMENTS 2026'!K2672)</f>
        <v/>
      </c>
      <c r="O2672">
        <f>IF(ISBLANK('ENGAGEMENTS 2026'!B2672),"",'ENGAGEMENTS 2026'!L2672)</f>
        <v/>
      </c>
      <c r="P2672">
        <f>IF(ISBLANK('ENGAGEMENTS 2026'!B2672),"",'ENGAGEMENTS 2026'!J2672)</f>
        <v/>
      </c>
      <c r="Q2672">
        <f>IF($A2672="","",IF(OR($E2672="INFRUCTUEUX",$E2672="ANNULE"),$A2672&amp;"|"&amp;(COUNTIFS($A$2:$A2672,$A2672,$E$2:$E2672,"INFRUCTUEUX")+COUNTIFS($A$2:$A2672,$A2672,$E$2:$E2672,"ANNULE")),""))</f>
        <v/>
      </c>
    </row>
    <row r="2673">
      <c r="A2673">
        <f>IF(ISBLANK('ENGAGEMENTS 2026'!B2673),"",IF('ENGAGEMENTS 2026'!B2673="DTSI","DCT",'ENGAGEMENTS 2026'!B2673))</f>
        <v/>
      </c>
      <c r="B2673">
        <f>IF(ISBLANK('ENGAGEMENTS 2026'!B2673),"",'ENGAGEMENTS 2026'!C2673)</f>
        <v/>
      </c>
      <c r="C2673">
        <f>IF(ISBLANK('ENGAGEMENTS 2026'!B2673),"",'ENGAGEMENTS 2026'!D2673)</f>
        <v/>
      </c>
      <c r="D2673">
        <f>IF(ISBLANK('ENGAGEMENTS 2026'!B2673),"",'ENGAGEMENTS 2026'!F2673)</f>
        <v/>
      </c>
      <c r="E2673">
        <f>IF(ISBLANK('ENGAGEMENTS 2026'!B2673),"",'ENGAGEMENTS 2026'!H2673)</f>
        <v/>
      </c>
      <c r="F2673">
        <f>IF(ISBLANK('ENGAGEMENTS 2026'!B2673),"",'ENGAGEMENTS 2026'!I2673)</f>
        <v/>
      </c>
      <c r="G2673">
        <f>IF(ISBLANK('ENGAGEMENTS 2026'!B2673),"",'ENGAGEMENTS 2026'!L2673)</f>
        <v/>
      </c>
      <c r="H2673">
        <f>IF(ISBLANK('ENGAGEMENTS 2026'!B2673),"",'ENGAGEMENTS 2026'!AE2673)</f>
        <v/>
      </c>
      <c r="I2673">
        <f>IF(ISBLANK('ENGAGEMENTS 2026'!B2673),"",'ENGAGEMENTS 2026'!G2673)</f>
        <v/>
      </c>
      <c r="J2673" s="275">
        <f>IF(ISBLANK('ENGAGEMENTS 2026'!B2673),"",IF(AND(OR($E2673="INFRUCTUEUX",$E2673="ANNULE"),$C2673="AOO-M"),'ENGAGEMENTS 2026'!O2673,IF($H2673="EN COURS DE PREENGAGEMENT",'ENGAGEMENTS 2026'!N2673,IF($H2673="PREENGAGE",IF($E2673="ATTRIBUE",'ENGAGEMENTS 2026'!AD2673,'ENGAGEMENTS 2026'!N2673),'ENGAGEMENTS 2026'!AD2673))))</f>
        <v/>
      </c>
      <c r="K2673" s="604">
        <f>IF(ISBLANK('ENGAGEMENTS 2026'!V2673),"",'ENGAGEMENTS 2026'!V2673)</f>
        <v/>
      </c>
      <c r="L2673" s="276">
        <f>IF($K2673="","",TODAY()-$K2673)</f>
        <v/>
      </c>
      <c r="M2673">
        <f>IF($A2673="","",IF($H2673="ENGAGE","Engagé",IF(AND($H2673="NON ENGAGE",OR($I2673="INFRUCTUEUX",$I2673="ANNULE")),"Clôturé sans suite","En cours")))</f>
        <v/>
      </c>
      <c r="N2673">
        <f>IF(ISBLANK('ENGAGEMENTS 2026'!B2673),"",'ENGAGEMENTS 2026'!K2673)</f>
        <v/>
      </c>
      <c r="O2673">
        <f>IF(ISBLANK('ENGAGEMENTS 2026'!B2673),"",'ENGAGEMENTS 2026'!L2673)</f>
        <v/>
      </c>
      <c r="P2673">
        <f>IF(ISBLANK('ENGAGEMENTS 2026'!B2673),"",'ENGAGEMENTS 2026'!J2673)</f>
        <v/>
      </c>
      <c r="Q2673">
        <f>IF($A2673="","",IF(OR($E2673="INFRUCTUEUX",$E2673="ANNULE"),$A2673&amp;"|"&amp;(COUNTIFS($A$2:$A2673,$A2673,$E$2:$E2673,"INFRUCTUEUX")+COUNTIFS($A$2:$A2673,$A2673,$E$2:$E2673,"ANNULE")),""))</f>
        <v/>
      </c>
    </row>
    <row r="2674">
      <c r="A2674">
        <f>IF(ISBLANK('ENGAGEMENTS 2026'!B2674),"",IF('ENGAGEMENTS 2026'!B2674="DTSI","DCT",'ENGAGEMENTS 2026'!B2674))</f>
        <v/>
      </c>
      <c r="B2674">
        <f>IF(ISBLANK('ENGAGEMENTS 2026'!B2674),"",'ENGAGEMENTS 2026'!C2674)</f>
        <v/>
      </c>
      <c r="C2674">
        <f>IF(ISBLANK('ENGAGEMENTS 2026'!B2674),"",'ENGAGEMENTS 2026'!D2674)</f>
        <v/>
      </c>
      <c r="D2674">
        <f>IF(ISBLANK('ENGAGEMENTS 2026'!B2674),"",'ENGAGEMENTS 2026'!F2674)</f>
        <v/>
      </c>
      <c r="E2674">
        <f>IF(ISBLANK('ENGAGEMENTS 2026'!B2674),"",'ENGAGEMENTS 2026'!H2674)</f>
        <v/>
      </c>
      <c r="F2674">
        <f>IF(ISBLANK('ENGAGEMENTS 2026'!B2674),"",'ENGAGEMENTS 2026'!I2674)</f>
        <v/>
      </c>
      <c r="G2674">
        <f>IF(ISBLANK('ENGAGEMENTS 2026'!B2674),"",'ENGAGEMENTS 2026'!L2674)</f>
        <v/>
      </c>
      <c r="H2674">
        <f>IF(ISBLANK('ENGAGEMENTS 2026'!B2674),"",'ENGAGEMENTS 2026'!AE2674)</f>
        <v/>
      </c>
      <c r="I2674">
        <f>IF(ISBLANK('ENGAGEMENTS 2026'!B2674),"",'ENGAGEMENTS 2026'!G2674)</f>
        <v/>
      </c>
      <c r="J2674" s="275">
        <f>IF(ISBLANK('ENGAGEMENTS 2026'!B2674),"",IF(AND(OR($E2674="INFRUCTUEUX",$E2674="ANNULE"),$C2674="AOO-M"),'ENGAGEMENTS 2026'!O2674,IF($H2674="EN COURS DE PREENGAGEMENT",'ENGAGEMENTS 2026'!N2674,IF($H2674="PREENGAGE",IF($E2674="ATTRIBUE",'ENGAGEMENTS 2026'!AD2674,'ENGAGEMENTS 2026'!N2674),'ENGAGEMENTS 2026'!AD2674))))</f>
        <v/>
      </c>
      <c r="K2674" s="604">
        <f>IF(ISBLANK('ENGAGEMENTS 2026'!V2674),"",'ENGAGEMENTS 2026'!V2674)</f>
        <v/>
      </c>
      <c r="L2674" s="276">
        <f>IF($K2674="","",TODAY()-$K2674)</f>
        <v/>
      </c>
      <c r="M2674">
        <f>IF($A2674="","",IF($H2674="ENGAGE","Engagé",IF(AND($H2674="NON ENGAGE",OR($I2674="INFRUCTUEUX",$I2674="ANNULE")),"Clôturé sans suite","En cours")))</f>
        <v/>
      </c>
      <c r="N2674">
        <f>IF(ISBLANK('ENGAGEMENTS 2026'!B2674),"",'ENGAGEMENTS 2026'!K2674)</f>
        <v/>
      </c>
      <c r="O2674">
        <f>IF(ISBLANK('ENGAGEMENTS 2026'!B2674),"",'ENGAGEMENTS 2026'!L2674)</f>
        <v/>
      </c>
      <c r="P2674">
        <f>IF(ISBLANK('ENGAGEMENTS 2026'!B2674),"",'ENGAGEMENTS 2026'!J2674)</f>
        <v/>
      </c>
      <c r="Q2674">
        <f>IF($A2674="","",IF(OR($E2674="INFRUCTUEUX",$E2674="ANNULE"),$A2674&amp;"|"&amp;(COUNTIFS($A$2:$A2674,$A2674,$E$2:$E2674,"INFRUCTUEUX")+COUNTIFS($A$2:$A2674,$A2674,$E$2:$E2674,"ANNULE")),""))</f>
        <v/>
      </c>
    </row>
    <row r="2675">
      <c r="A2675">
        <f>IF(ISBLANK('ENGAGEMENTS 2026'!B2675),"",IF('ENGAGEMENTS 2026'!B2675="DTSI","DCT",'ENGAGEMENTS 2026'!B2675))</f>
        <v/>
      </c>
      <c r="B2675">
        <f>IF(ISBLANK('ENGAGEMENTS 2026'!B2675),"",'ENGAGEMENTS 2026'!C2675)</f>
        <v/>
      </c>
      <c r="C2675">
        <f>IF(ISBLANK('ENGAGEMENTS 2026'!B2675),"",'ENGAGEMENTS 2026'!D2675)</f>
        <v/>
      </c>
      <c r="D2675">
        <f>IF(ISBLANK('ENGAGEMENTS 2026'!B2675),"",'ENGAGEMENTS 2026'!F2675)</f>
        <v/>
      </c>
      <c r="E2675">
        <f>IF(ISBLANK('ENGAGEMENTS 2026'!B2675),"",'ENGAGEMENTS 2026'!H2675)</f>
        <v/>
      </c>
      <c r="F2675">
        <f>IF(ISBLANK('ENGAGEMENTS 2026'!B2675),"",'ENGAGEMENTS 2026'!I2675)</f>
        <v/>
      </c>
      <c r="G2675">
        <f>IF(ISBLANK('ENGAGEMENTS 2026'!B2675),"",'ENGAGEMENTS 2026'!L2675)</f>
        <v/>
      </c>
      <c r="H2675">
        <f>IF(ISBLANK('ENGAGEMENTS 2026'!B2675),"",'ENGAGEMENTS 2026'!AE2675)</f>
        <v/>
      </c>
      <c r="I2675">
        <f>IF(ISBLANK('ENGAGEMENTS 2026'!B2675),"",'ENGAGEMENTS 2026'!G2675)</f>
        <v/>
      </c>
      <c r="J2675" s="275">
        <f>IF(ISBLANK('ENGAGEMENTS 2026'!B2675),"",IF(AND(OR($E2675="INFRUCTUEUX",$E2675="ANNULE"),$C2675="AOO-M"),'ENGAGEMENTS 2026'!O2675,IF($H2675="EN COURS DE PREENGAGEMENT",'ENGAGEMENTS 2026'!N2675,IF($H2675="PREENGAGE",IF($E2675="ATTRIBUE",'ENGAGEMENTS 2026'!AD2675,'ENGAGEMENTS 2026'!N2675),'ENGAGEMENTS 2026'!AD2675))))</f>
        <v/>
      </c>
      <c r="K2675" s="604">
        <f>IF(ISBLANK('ENGAGEMENTS 2026'!V2675),"",'ENGAGEMENTS 2026'!V2675)</f>
        <v/>
      </c>
      <c r="L2675" s="276">
        <f>IF($K2675="","",TODAY()-$K2675)</f>
        <v/>
      </c>
      <c r="M2675">
        <f>IF($A2675="","",IF($H2675="ENGAGE","Engagé",IF(AND($H2675="NON ENGAGE",OR($I2675="INFRUCTUEUX",$I2675="ANNULE")),"Clôturé sans suite","En cours")))</f>
        <v/>
      </c>
      <c r="N2675">
        <f>IF(ISBLANK('ENGAGEMENTS 2026'!B2675),"",'ENGAGEMENTS 2026'!K2675)</f>
        <v/>
      </c>
      <c r="O2675">
        <f>IF(ISBLANK('ENGAGEMENTS 2026'!B2675),"",'ENGAGEMENTS 2026'!L2675)</f>
        <v/>
      </c>
      <c r="P2675">
        <f>IF(ISBLANK('ENGAGEMENTS 2026'!B2675),"",'ENGAGEMENTS 2026'!J2675)</f>
        <v/>
      </c>
      <c r="Q2675">
        <f>IF($A2675="","",IF(OR($E2675="INFRUCTUEUX",$E2675="ANNULE"),$A2675&amp;"|"&amp;(COUNTIFS($A$2:$A2675,$A2675,$E$2:$E2675,"INFRUCTUEUX")+COUNTIFS($A$2:$A2675,$A2675,$E$2:$E2675,"ANNULE")),""))</f>
        <v/>
      </c>
    </row>
    <row r="2676">
      <c r="A2676">
        <f>IF(ISBLANK('ENGAGEMENTS 2026'!B2676),"",IF('ENGAGEMENTS 2026'!B2676="DTSI","DCT",'ENGAGEMENTS 2026'!B2676))</f>
        <v/>
      </c>
      <c r="B2676">
        <f>IF(ISBLANK('ENGAGEMENTS 2026'!B2676),"",'ENGAGEMENTS 2026'!C2676)</f>
        <v/>
      </c>
      <c r="C2676">
        <f>IF(ISBLANK('ENGAGEMENTS 2026'!B2676),"",'ENGAGEMENTS 2026'!D2676)</f>
        <v/>
      </c>
      <c r="D2676">
        <f>IF(ISBLANK('ENGAGEMENTS 2026'!B2676),"",'ENGAGEMENTS 2026'!F2676)</f>
        <v/>
      </c>
      <c r="E2676">
        <f>IF(ISBLANK('ENGAGEMENTS 2026'!B2676),"",'ENGAGEMENTS 2026'!H2676)</f>
        <v/>
      </c>
      <c r="F2676">
        <f>IF(ISBLANK('ENGAGEMENTS 2026'!B2676),"",'ENGAGEMENTS 2026'!I2676)</f>
        <v/>
      </c>
      <c r="G2676">
        <f>IF(ISBLANK('ENGAGEMENTS 2026'!B2676),"",'ENGAGEMENTS 2026'!L2676)</f>
        <v/>
      </c>
      <c r="H2676">
        <f>IF(ISBLANK('ENGAGEMENTS 2026'!B2676),"",'ENGAGEMENTS 2026'!AE2676)</f>
        <v/>
      </c>
      <c r="I2676">
        <f>IF(ISBLANK('ENGAGEMENTS 2026'!B2676),"",'ENGAGEMENTS 2026'!G2676)</f>
        <v/>
      </c>
      <c r="J2676" s="275">
        <f>IF(ISBLANK('ENGAGEMENTS 2026'!B2676),"",IF(AND(OR($E2676="INFRUCTUEUX",$E2676="ANNULE"),$C2676="AOO-M"),'ENGAGEMENTS 2026'!O2676,IF($H2676="EN COURS DE PREENGAGEMENT",'ENGAGEMENTS 2026'!N2676,IF($H2676="PREENGAGE",IF($E2676="ATTRIBUE",'ENGAGEMENTS 2026'!AD2676,'ENGAGEMENTS 2026'!N2676),'ENGAGEMENTS 2026'!AD2676))))</f>
        <v/>
      </c>
      <c r="K2676" s="604">
        <f>IF(ISBLANK('ENGAGEMENTS 2026'!V2676),"",'ENGAGEMENTS 2026'!V2676)</f>
        <v/>
      </c>
      <c r="L2676" s="276">
        <f>IF($K2676="","",TODAY()-$K2676)</f>
        <v/>
      </c>
      <c r="M2676">
        <f>IF($A2676="","",IF($H2676="ENGAGE","Engagé",IF(AND($H2676="NON ENGAGE",OR($I2676="INFRUCTUEUX",$I2676="ANNULE")),"Clôturé sans suite","En cours")))</f>
        <v/>
      </c>
      <c r="N2676">
        <f>IF(ISBLANK('ENGAGEMENTS 2026'!B2676),"",'ENGAGEMENTS 2026'!K2676)</f>
        <v/>
      </c>
      <c r="O2676">
        <f>IF(ISBLANK('ENGAGEMENTS 2026'!B2676),"",'ENGAGEMENTS 2026'!L2676)</f>
        <v/>
      </c>
      <c r="P2676">
        <f>IF(ISBLANK('ENGAGEMENTS 2026'!B2676),"",'ENGAGEMENTS 2026'!J2676)</f>
        <v/>
      </c>
      <c r="Q2676">
        <f>IF($A2676="","",IF(OR($E2676="INFRUCTUEUX",$E2676="ANNULE"),$A2676&amp;"|"&amp;(COUNTIFS($A$2:$A2676,$A2676,$E$2:$E2676,"INFRUCTUEUX")+COUNTIFS($A$2:$A2676,$A2676,$E$2:$E2676,"ANNULE")),""))</f>
        <v/>
      </c>
    </row>
    <row r="2677">
      <c r="A2677">
        <f>IF(ISBLANK('ENGAGEMENTS 2026'!B2677),"",IF('ENGAGEMENTS 2026'!B2677="DTSI","DCT",'ENGAGEMENTS 2026'!B2677))</f>
        <v/>
      </c>
      <c r="B2677">
        <f>IF(ISBLANK('ENGAGEMENTS 2026'!B2677),"",'ENGAGEMENTS 2026'!C2677)</f>
        <v/>
      </c>
      <c r="C2677">
        <f>IF(ISBLANK('ENGAGEMENTS 2026'!B2677),"",'ENGAGEMENTS 2026'!D2677)</f>
        <v/>
      </c>
      <c r="D2677">
        <f>IF(ISBLANK('ENGAGEMENTS 2026'!B2677),"",'ENGAGEMENTS 2026'!F2677)</f>
        <v/>
      </c>
      <c r="E2677">
        <f>IF(ISBLANK('ENGAGEMENTS 2026'!B2677),"",'ENGAGEMENTS 2026'!H2677)</f>
        <v/>
      </c>
      <c r="F2677">
        <f>IF(ISBLANK('ENGAGEMENTS 2026'!B2677),"",'ENGAGEMENTS 2026'!I2677)</f>
        <v/>
      </c>
      <c r="G2677">
        <f>IF(ISBLANK('ENGAGEMENTS 2026'!B2677),"",'ENGAGEMENTS 2026'!L2677)</f>
        <v/>
      </c>
      <c r="H2677">
        <f>IF(ISBLANK('ENGAGEMENTS 2026'!B2677),"",'ENGAGEMENTS 2026'!AE2677)</f>
        <v/>
      </c>
      <c r="I2677">
        <f>IF(ISBLANK('ENGAGEMENTS 2026'!B2677),"",'ENGAGEMENTS 2026'!G2677)</f>
        <v/>
      </c>
      <c r="J2677" s="275">
        <f>IF(ISBLANK('ENGAGEMENTS 2026'!B2677),"",IF(AND(OR($E2677="INFRUCTUEUX",$E2677="ANNULE"),$C2677="AOO-M"),'ENGAGEMENTS 2026'!O2677,IF($H2677="EN COURS DE PREENGAGEMENT",'ENGAGEMENTS 2026'!N2677,IF($H2677="PREENGAGE",IF($E2677="ATTRIBUE",'ENGAGEMENTS 2026'!AD2677,'ENGAGEMENTS 2026'!N2677),'ENGAGEMENTS 2026'!AD2677))))</f>
        <v/>
      </c>
      <c r="K2677" s="604">
        <f>IF(ISBLANK('ENGAGEMENTS 2026'!V2677),"",'ENGAGEMENTS 2026'!V2677)</f>
        <v/>
      </c>
      <c r="L2677" s="276">
        <f>IF($K2677="","",TODAY()-$K2677)</f>
        <v/>
      </c>
      <c r="M2677">
        <f>IF($A2677="","",IF($H2677="ENGAGE","Engagé",IF(AND($H2677="NON ENGAGE",OR($I2677="INFRUCTUEUX",$I2677="ANNULE")),"Clôturé sans suite","En cours")))</f>
        <v/>
      </c>
      <c r="N2677">
        <f>IF(ISBLANK('ENGAGEMENTS 2026'!B2677),"",'ENGAGEMENTS 2026'!K2677)</f>
        <v/>
      </c>
      <c r="O2677">
        <f>IF(ISBLANK('ENGAGEMENTS 2026'!B2677),"",'ENGAGEMENTS 2026'!L2677)</f>
        <v/>
      </c>
      <c r="P2677">
        <f>IF(ISBLANK('ENGAGEMENTS 2026'!B2677),"",'ENGAGEMENTS 2026'!J2677)</f>
        <v/>
      </c>
      <c r="Q2677">
        <f>IF($A2677="","",IF(OR($E2677="INFRUCTUEUX",$E2677="ANNULE"),$A2677&amp;"|"&amp;(COUNTIFS($A$2:$A2677,$A2677,$E$2:$E2677,"INFRUCTUEUX")+COUNTIFS($A$2:$A2677,$A2677,$E$2:$E2677,"ANNULE")),""))</f>
        <v/>
      </c>
    </row>
    <row r="2678">
      <c r="A2678">
        <f>IF(ISBLANK('ENGAGEMENTS 2026'!B2678),"",IF('ENGAGEMENTS 2026'!B2678="DTSI","DCT",'ENGAGEMENTS 2026'!B2678))</f>
        <v/>
      </c>
      <c r="B2678">
        <f>IF(ISBLANK('ENGAGEMENTS 2026'!B2678),"",'ENGAGEMENTS 2026'!C2678)</f>
        <v/>
      </c>
      <c r="C2678">
        <f>IF(ISBLANK('ENGAGEMENTS 2026'!B2678),"",'ENGAGEMENTS 2026'!D2678)</f>
        <v/>
      </c>
      <c r="D2678">
        <f>IF(ISBLANK('ENGAGEMENTS 2026'!B2678),"",'ENGAGEMENTS 2026'!F2678)</f>
        <v/>
      </c>
      <c r="E2678">
        <f>IF(ISBLANK('ENGAGEMENTS 2026'!B2678),"",'ENGAGEMENTS 2026'!H2678)</f>
        <v/>
      </c>
      <c r="F2678">
        <f>IF(ISBLANK('ENGAGEMENTS 2026'!B2678),"",'ENGAGEMENTS 2026'!I2678)</f>
        <v/>
      </c>
      <c r="G2678">
        <f>IF(ISBLANK('ENGAGEMENTS 2026'!B2678),"",'ENGAGEMENTS 2026'!L2678)</f>
        <v/>
      </c>
      <c r="H2678">
        <f>IF(ISBLANK('ENGAGEMENTS 2026'!B2678),"",'ENGAGEMENTS 2026'!AE2678)</f>
        <v/>
      </c>
      <c r="I2678">
        <f>IF(ISBLANK('ENGAGEMENTS 2026'!B2678),"",'ENGAGEMENTS 2026'!G2678)</f>
        <v/>
      </c>
      <c r="J2678" s="275">
        <f>IF(ISBLANK('ENGAGEMENTS 2026'!B2678),"",IF(AND(OR($E2678="INFRUCTUEUX",$E2678="ANNULE"),$C2678="AOO-M"),'ENGAGEMENTS 2026'!O2678,IF($H2678="EN COURS DE PREENGAGEMENT",'ENGAGEMENTS 2026'!N2678,IF($H2678="PREENGAGE",IF($E2678="ATTRIBUE",'ENGAGEMENTS 2026'!AD2678,'ENGAGEMENTS 2026'!N2678),'ENGAGEMENTS 2026'!AD2678))))</f>
        <v/>
      </c>
      <c r="K2678" s="604">
        <f>IF(ISBLANK('ENGAGEMENTS 2026'!V2678),"",'ENGAGEMENTS 2026'!V2678)</f>
        <v/>
      </c>
      <c r="L2678" s="276">
        <f>IF($K2678="","",TODAY()-$K2678)</f>
        <v/>
      </c>
      <c r="M2678">
        <f>IF($A2678="","",IF($H2678="ENGAGE","Engagé",IF(AND($H2678="NON ENGAGE",OR($I2678="INFRUCTUEUX",$I2678="ANNULE")),"Clôturé sans suite","En cours")))</f>
        <v/>
      </c>
      <c r="N2678">
        <f>IF(ISBLANK('ENGAGEMENTS 2026'!B2678),"",'ENGAGEMENTS 2026'!K2678)</f>
        <v/>
      </c>
      <c r="O2678">
        <f>IF(ISBLANK('ENGAGEMENTS 2026'!B2678),"",'ENGAGEMENTS 2026'!L2678)</f>
        <v/>
      </c>
      <c r="P2678">
        <f>IF(ISBLANK('ENGAGEMENTS 2026'!B2678),"",'ENGAGEMENTS 2026'!J2678)</f>
        <v/>
      </c>
      <c r="Q2678">
        <f>IF($A2678="","",IF(OR($E2678="INFRUCTUEUX",$E2678="ANNULE"),$A2678&amp;"|"&amp;(COUNTIFS($A$2:$A2678,$A2678,$E$2:$E2678,"INFRUCTUEUX")+COUNTIFS($A$2:$A2678,$A2678,$E$2:$E2678,"ANNULE")),""))</f>
        <v/>
      </c>
    </row>
    <row r="2679">
      <c r="A2679">
        <f>IF(ISBLANK('ENGAGEMENTS 2026'!B2679),"",IF('ENGAGEMENTS 2026'!B2679="DTSI","DCT",'ENGAGEMENTS 2026'!B2679))</f>
        <v/>
      </c>
      <c r="B2679">
        <f>IF(ISBLANK('ENGAGEMENTS 2026'!B2679),"",'ENGAGEMENTS 2026'!C2679)</f>
        <v/>
      </c>
      <c r="C2679">
        <f>IF(ISBLANK('ENGAGEMENTS 2026'!B2679),"",'ENGAGEMENTS 2026'!D2679)</f>
        <v/>
      </c>
      <c r="D2679">
        <f>IF(ISBLANK('ENGAGEMENTS 2026'!B2679),"",'ENGAGEMENTS 2026'!F2679)</f>
        <v/>
      </c>
      <c r="E2679">
        <f>IF(ISBLANK('ENGAGEMENTS 2026'!B2679),"",'ENGAGEMENTS 2026'!H2679)</f>
        <v/>
      </c>
      <c r="F2679">
        <f>IF(ISBLANK('ENGAGEMENTS 2026'!B2679),"",'ENGAGEMENTS 2026'!I2679)</f>
        <v/>
      </c>
      <c r="G2679">
        <f>IF(ISBLANK('ENGAGEMENTS 2026'!B2679),"",'ENGAGEMENTS 2026'!L2679)</f>
        <v/>
      </c>
      <c r="H2679">
        <f>IF(ISBLANK('ENGAGEMENTS 2026'!B2679),"",'ENGAGEMENTS 2026'!AE2679)</f>
        <v/>
      </c>
      <c r="I2679">
        <f>IF(ISBLANK('ENGAGEMENTS 2026'!B2679),"",'ENGAGEMENTS 2026'!G2679)</f>
        <v/>
      </c>
      <c r="J2679" s="275">
        <f>IF(ISBLANK('ENGAGEMENTS 2026'!B2679),"",IF(AND(OR($E2679="INFRUCTUEUX",$E2679="ANNULE"),$C2679="AOO-M"),'ENGAGEMENTS 2026'!O2679,IF($H2679="EN COURS DE PREENGAGEMENT",'ENGAGEMENTS 2026'!N2679,IF($H2679="PREENGAGE",IF($E2679="ATTRIBUE",'ENGAGEMENTS 2026'!AD2679,'ENGAGEMENTS 2026'!N2679),'ENGAGEMENTS 2026'!AD2679))))</f>
        <v/>
      </c>
      <c r="K2679" s="604">
        <f>IF(ISBLANK('ENGAGEMENTS 2026'!V2679),"",'ENGAGEMENTS 2026'!V2679)</f>
        <v/>
      </c>
      <c r="L2679" s="276">
        <f>IF($K2679="","",TODAY()-$K2679)</f>
        <v/>
      </c>
      <c r="M2679">
        <f>IF($A2679="","",IF($H2679="ENGAGE","Engagé",IF(AND($H2679="NON ENGAGE",OR($I2679="INFRUCTUEUX",$I2679="ANNULE")),"Clôturé sans suite","En cours")))</f>
        <v/>
      </c>
      <c r="N2679">
        <f>IF(ISBLANK('ENGAGEMENTS 2026'!B2679),"",'ENGAGEMENTS 2026'!K2679)</f>
        <v/>
      </c>
      <c r="O2679">
        <f>IF(ISBLANK('ENGAGEMENTS 2026'!B2679),"",'ENGAGEMENTS 2026'!L2679)</f>
        <v/>
      </c>
      <c r="P2679">
        <f>IF(ISBLANK('ENGAGEMENTS 2026'!B2679),"",'ENGAGEMENTS 2026'!J2679)</f>
        <v/>
      </c>
      <c r="Q2679">
        <f>IF($A2679="","",IF(OR($E2679="INFRUCTUEUX",$E2679="ANNULE"),$A2679&amp;"|"&amp;(COUNTIFS($A$2:$A2679,$A2679,$E$2:$E2679,"INFRUCTUEUX")+COUNTIFS($A$2:$A2679,$A2679,$E$2:$E2679,"ANNULE")),""))</f>
        <v/>
      </c>
    </row>
    <row r="2680">
      <c r="A2680">
        <f>IF(ISBLANK('ENGAGEMENTS 2026'!B2680),"",IF('ENGAGEMENTS 2026'!B2680="DTSI","DCT",'ENGAGEMENTS 2026'!B2680))</f>
        <v/>
      </c>
      <c r="B2680">
        <f>IF(ISBLANK('ENGAGEMENTS 2026'!B2680),"",'ENGAGEMENTS 2026'!C2680)</f>
        <v/>
      </c>
      <c r="C2680">
        <f>IF(ISBLANK('ENGAGEMENTS 2026'!B2680),"",'ENGAGEMENTS 2026'!D2680)</f>
        <v/>
      </c>
      <c r="D2680">
        <f>IF(ISBLANK('ENGAGEMENTS 2026'!B2680),"",'ENGAGEMENTS 2026'!F2680)</f>
        <v/>
      </c>
      <c r="E2680">
        <f>IF(ISBLANK('ENGAGEMENTS 2026'!B2680),"",'ENGAGEMENTS 2026'!H2680)</f>
        <v/>
      </c>
      <c r="F2680">
        <f>IF(ISBLANK('ENGAGEMENTS 2026'!B2680),"",'ENGAGEMENTS 2026'!I2680)</f>
        <v/>
      </c>
      <c r="G2680">
        <f>IF(ISBLANK('ENGAGEMENTS 2026'!B2680),"",'ENGAGEMENTS 2026'!L2680)</f>
        <v/>
      </c>
      <c r="H2680">
        <f>IF(ISBLANK('ENGAGEMENTS 2026'!B2680),"",'ENGAGEMENTS 2026'!AE2680)</f>
        <v/>
      </c>
      <c r="I2680">
        <f>IF(ISBLANK('ENGAGEMENTS 2026'!B2680),"",'ENGAGEMENTS 2026'!G2680)</f>
        <v/>
      </c>
      <c r="J2680" s="275">
        <f>IF(ISBLANK('ENGAGEMENTS 2026'!B2680),"",IF(AND(OR($E2680="INFRUCTUEUX",$E2680="ANNULE"),$C2680="AOO-M"),'ENGAGEMENTS 2026'!O2680,IF($H2680="EN COURS DE PREENGAGEMENT",'ENGAGEMENTS 2026'!N2680,IF($H2680="PREENGAGE",IF($E2680="ATTRIBUE",'ENGAGEMENTS 2026'!AD2680,'ENGAGEMENTS 2026'!N2680),'ENGAGEMENTS 2026'!AD2680))))</f>
        <v/>
      </c>
      <c r="K2680" s="604">
        <f>IF(ISBLANK('ENGAGEMENTS 2026'!V2680),"",'ENGAGEMENTS 2026'!V2680)</f>
        <v/>
      </c>
      <c r="L2680" s="276">
        <f>IF($K2680="","",TODAY()-$K2680)</f>
        <v/>
      </c>
      <c r="M2680">
        <f>IF($A2680="","",IF($H2680="ENGAGE","Engagé",IF(AND($H2680="NON ENGAGE",OR($I2680="INFRUCTUEUX",$I2680="ANNULE")),"Clôturé sans suite","En cours")))</f>
        <v/>
      </c>
      <c r="N2680">
        <f>IF(ISBLANK('ENGAGEMENTS 2026'!B2680),"",'ENGAGEMENTS 2026'!K2680)</f>
        <v/>
      </c>
      <c r="O2680">
        <f>IF(ISBLANK('ENGAGEMENTS 2026'!B2680),"",'ENGAGEMENTS 2026'!L2680)</f>
        <v/>
      </c>
      <c r="P2680">
        <f>IF(ISBLANK('ENGAGEMENTS 2026'!B2680),"",'ENGAGEMENTS 2026'!J2680)</f>
        <v/>
      </c>
      <c r="Q2680">
        <f>IF($A2680="","",IF(OR($E2680="INFRUCTUEUX",$E2680="ANNULE"),$A2680&amp;"|"&amp;(COUNTIFS($A$2:$A2680,$A2680,$E$2:$E2680,"INFRUCTUEUX")+COUNTIFS($A$2:$A2680,$A2680,$E$2:$E2680,"ANNULE")),""))</f>
        <v/>
      </c>
    </row>
    <row r="2681">
      <c r="A2681">
        <f>IF(ISBLANK('ENGAGEMENTS 2026'!B2681),"",IF('ENGAGEMENTS 2026'!B2681="DTSI","DCT",'ENGAGEMENTS 2026'!B2681))</f>
        <v/>
      </c>
      <c r="B2681">
        <f>IF(ISBLANK('ENGAGEMENTS 2026'!B2681),"",'ENGAGEMENTS 2026'!C2681)</f>
        <v/>
      </c>
      <c r="C2681">
        <f>IF(ISBLANK('ENGAGEMENTS 2026'!B2681),"",'ENGAGEMENTS 2026'!D2681)</f>
        <v/>
      </c>
      <c r="D2681">
        <f>IF(ISBLANK('ENGAGEMENTS 2026'!B2681),"",'ENGAGEMENTS 2026'!F2681)</f>
        <v/>
      </c>
      <c r="E2681">
        <f>IF(ISBLANK('ENGAGEMENTS 2026'!B2681),"",'ENGAGEMENTS 2026'!H2681)</f>
        <v/>
      </c>
      <c r="F2681">
        <f>IF(ISBLANK('ENGAGEMENTS 2026'!B2681),"",'ENGAGEMENTS 2026'!I2681)</f>
        <v/>
      </c>
      <c r="G2681">
        <f>IF(ISBLANK('ENGAGEMENTS 2026'!B2681),"",'ENGAGEMENTS 2026'!L2681)</f>
        <v/>
      </c>
      <c r="H2681">
        <f>IF(ISBLANK('ENGAGEMENTS 2026'!B2681),"",'ENGAGEMENTS 2026'!AE2681)</f>
        <v/>
      </c>
      <c r="I2681">
        <f>IF(ISBLANK('ENGAGEMENTS 2026'!B2681),"",'ENGAGEMENTS 2026'!G2681)</f>
        <v/>
      </c>
      <c r="J2681" s="275">
        <f>IF(ISBLANK('ENGAGEMENTS 2026'!B2681),"",IF(AND(OR($E2681="INFRUCTUEUX",$E2681="ANNULE"),$C2681="AOO-M"),'ENGAGEMENTS 2026'!O2681,IF($H2681="EN COURS DE PREENGAGEMENT",'ENGAGEMENTS 2026'!N2681,IF($H2681="PREENGAGE",IF($E2681="ATTRIBUE",'ENGAGEMENTS 2026'!AD2681,'ENGAGEMENTS 2026'!N2681),'ENGAGEMENTS 2026'!AD2681))))</f>
        <v/>
      </c>
      <c r="K2681" s="604">
        <f>IF(ISBLANK('ENGAGEMENTS 2026'!V2681),"",'ENGAGEMENTS 2026'!V2681)</f>
        <v/>
      </c>
      <c r="L2681" s="276">
        <f>IF($K2681="","",TODAY()-$K2681)</f>
        <v/>
      </c>
      <c r="M2681">
        <f>IF($A2681="","",IF($H2681="ENGAGE","Engagé",IF(AND($H2681="NON ENGAGE",OR($I2681="INFRUCTUEUX",$I2681="ANNULE")),"Clôturé sans suite","En cours")))</f>
        <v/>
      </c>
      <c r="N2681">
        <f>IF(ISBLANK('ENGAGEMENTS 2026'!B2681),"",'ENGAGEMENTS 2026'!K2681)</f>
        <v/>
      </c>
      <c r="O2681">
        <f>IF(ISBLANK('ENGAGEMENTS 2026'!B2681),"",'ENGAGEMENTS 2026'!L2681)</f>
        <v/>
      </c>
      <c r="P2681">
        <f>IF(ISBLANK('ENGAGEMENTS 2026'!B2681),"",'ENGAGEMENTS 2026'!J2681)</f>
        <v/>
      </c>
      <c r="Q2681">
        <f>IF($A2681="","",IF(OR($E2681="INFRUCTUEUX",$E2681="ANNULE"),$A2681&amp;"|"&amp;(COUNTIFS($A$2:$A2681,$A2681,$E$2:$E2681,"INFRUCTUEUX")+COUNTIFS($A$2:$A2681,$A2681,$E$2:$E2681,"ANNULE")),""))</f>
        <v/>
      </c>
    </row>
    <row r="2682">
      <c r="A2682">
        <f>IF(ISBLANK('ENGAGEMENTS 2026'!B2682),"",IF('ENGAGEMENTS 2026'!B2682="DTSI","DCT",'ENGAGEMENTS 2026'!B2682))</f>
        <v/>
      </c>
      <c r="B2682">
        <f>IF(ISBLANK('ENGAGEMENTS 2026'!B2682),"",'ENGAGEMENTS 2026'!C2682)</f>
        <v/>
      </c>
      <c r="C2682">
        <f>IF(ISBLANK('ENGAGEMENTS 2026'!B2682),"",'ENGAGEMENTS 2026'!D2682)</f>
        <v/>
      </c>
      <c r="D2682">
        <f>IF(ISBLANK('ENGAGEMENTS 2026'!B2682),"",'ENGAGEMENTS 2026'!F2682)</f>
        <v/>
      </c>
      <c r="E2682">
        <f>IF(ISBLANK('ENGAGEMENTS 2026'!B2682),"",'ENGAGEMENTS 2026'!H2682)</f>
        <v/>
      </c>
      <c r="F2682">
        <f>IF(ISBLANK('ENGAGEMENTS 2026'!B2682),"",'ENGAGEMENTS 2026'!I2682)</f>
        <v/>
      </c>
      <c r="G2682">
        <f>IF(ISBLANK('ENGAGEMENTS 2026'!B2682),"",'ENGAGEMENTS 2026'!L2682)</f>
        <v/>
      </c>
      <c r="H2682">
        <f>IF(ISBLANK('ENGAGEMENTS 2026'!B2682),"",'ENGAGEMENTS 2026'!AE2682)</f>
        <v/>
      </c>
      <c r="I2682">
        <f>IF(ISBLANK('ENGAGEMENTS 2026'!B2682),"",'ENGAGEMENTS 2026'!G2682)</f>
        <v/>
      </c>
      <c r="J2682" s="275">
        <f>IF(ISBLANK('ENGAGEMENTS 2026'!B2682),"",IF(AND(OR($E2682="INFRUCTUEUX",$E2682="ANNULE"),$C2682="AOO-M"),'ENGAGEMENTS 2026'!O2682,IF($H2682="EN COURS DE PREENGAGEMENT",'ENGAGEMENTS 2026'!N2682,IF($H2682="PREENGAGE",IF($E2682="ATTRIBUE",'ENGAGEMENTS 2026'!AD2682,'ENGAGEMENTS 2026'!N2682),'ENGAGEMENTS 2026'!AD2682))))</f>
        <v/>
      </c>
      <c r="K2682" s="604">
        <f>IF(ISBLANK('ENGAGEMENTS 2026'!V2682),"",'ENGAGEMENTS 2026'!V2682)</f>
        <v/>
      </c>
      <c r="L2682" s="276">
        <f>IF($K2682="","",TODAY()-$K2682)</f>
        <v/>
      </c>
      <c r="M2682">
        <f>IF($A2682="","",IF($H2682="ENGAGE","Engagé",IF(AND($H2682="NON ENGAGE",OR($I2682="INFRUCTUEUX",$I2682="ANNULE")),"Clôturé sans suite","En cours")))</f>
        <v/>
      </c>
      <c r="N2682">
        <f>IF(ISBLANK('ENGAGEMENTS 2026'!B2682),"",'ENGAGEMENTS 2026'!K2682)</f>
        <v/>
      </c>
      <c r="O2682">
        <f>IF(ISBLANK('ENGAGEMENTS 2026'!B2682),"",'ENGAGEMENTS 2026'!L2682)</f>
        <v/>
      </c>
      <c r="P2682">
        <f>IF(ISBLANK('ENGAGEMENTS 2026'!B2682),"",'ENGAGEMENTS 2026'!J2682)</f>
        <v/>
      </c>
      <c r="Q2682">
        <f>IF($A2682="","",IF(OR($E2682="INFRUCTUEUX",$E2682="ANNULE"),$A2682&amp;"|"&amp;(COUNTIFS($A$2:$A2682,$A2682,$E$2:$E2682,"INFRUCTUEUX")+COUNTIFS($A$2:$A2682,$A2682,$E$2:$E2682,"ANNULE")),""))</f>
        <v/>
      </c>
    </row>
    <row r="2683">
      <c r="A2683">
        <f>IF(ISBLANK('ENGAGEMENTS 2026'!B2683),"",IF('ENGAGEMENTS 2026'!B2683="DTSI","DCT",'ENGAGEMENTS 2026'!B2683))</f>
        <v/>
      </c>
      <c r="B2683">
        <f>IF(ISBLANK('ENGAGEMENTS 2026'!B2683),"",'ENGAGEMENTS 2026'!C2683)</f>
        <v/>
      </c>
      <c r="C2683">
        <f>IF(ISBLANK('ENGAGEMENTS 2026'!B2683),"",'ENGAGEMENTS 2026'!D2683)</f>
        <v/>
      </c>
      <c r="D2683">
        <f>IF(ISBLANK('ENGAGEMENTS 2026'!B2683),"",'ENGAGEMENTS 2026'!F2683)</f>
        <v/>
      </c>
      <c r="E2683">
        <f>IF(ISBLANK('ENGAGEMENTS 2026'!B2683),"",'ENGAGEMENTS 2026'!H2683)</f>
        <v/>
      </c>
      <c r="F2683">
        <f>IF(ISBLANK('ENGAGEMENTS 2026'!B2683),"",'ENGAGEMENTS 2026'!I2683)</f>
        <v/>
      </c>
      <c r="G2683">
        <f>IF(ISBLANK('ENGAGEMENTS 2026'!B2683),"",'ENGAGEMENTS 2026'!L2683)</f>
        <v/>
      </c>
      <c r="H2683">
        <f>IF(ISBLANK('ENGAGEMENTS 2026'!B2683),"",'ENGAGEMENTS 2026'!AE2683)</f>
        <v/>
      </c>
      <c r="I2683">
        <f>IF(ISBLANK('ENGAGEMENTS 2026'!B2683),"",'ENGAGEMENTS 2026'!G2683)</f>
        <v/>
      </c>
      <c r="J2683" s="275">
        <f>IF(ISBLANK('ENGAGEMENTS 2026'!B2683),"",IF(AND(OR($E2683="INFRUCTUEUX",$E2683="ANNULE"),$C2683="AOO-M"),'ENGAGEMENTS 2026'!O2683,IF($H2683="EN COURS DE PREENGAGEMENT",'ENGAGEMENTS 2026'!N2683,IF($H2683="PREENGAGE",IF($E2683="ATTRIBUE",'ENGAGEMENTS 2026'!AD2683,'ENGAGEMENTS 2026'!N2683),'ENGAGEMENTS 2026'!AD2683))))</f>
        <v/>
      </c>
      <c r="K2683" s="604">
        <f>IF(ISBLANK('ENGAGEMENTS 2026'!V2683),"",'ENGAGEMENTS 2026'!V2683)</f>
        <v/>
      </c>
      <c r="L2683" s="276">
        <f>IF($K2683="","",TODAY()-$K2683)</f>
        <v/>
      </c>
      <c r="M2683">
        <f>IF($A2683="","",IF($H2683="ENGAGE","Engagé",IF(AND($H2683="NON ENGAGE",OR($I2683="INFRUCTUEUX",$I2683="ANNULE")),"Clôturé sans suite","En cours")))</f>
        <v/>
      </c>
      <c r="N2683">
        <f>IF(ISBLANK('ENGAGEMENTS 2026'!B2683),"",'ENGAGEMENTS 2026'!K2683)</f>
        <v/>
      </c>
      <c r="O2683">
        <f>IF(ISBLANK('ENGAGEMENTS 2026'!B2683),"",'ENGAGEMENTS 2026'!L2683)</f>
        <v/>
      </c>
      <c r="P2683">
        <f>IF(ISBLANK('ENGAGEMENTS 2026'!B2683),"",'ENGAGEMENTS 2026'!J2683)</f>
        <v/>
      </c>
      <c r="Q2683">
        <f>IF($A2683="","",IF(OR($E2683="INFRUCTUEUX",$E2683="ANNULE"),$A2683&amp;"|"&amp;(COUNTIFS($A$2:$A2683,$A2683,$E$2:$E2683,"INFRUCTUEUX")+COUNTIFS($A$2:$A2683,$A2683,$E$2:$E2683,"ANNULE")),""))</f>
        <v/>
      </c>
    </row>
    <row r="2684">
      <c r="A2684">
        <f>IF(ISBLANK('ENGAGEMENTS 2026'!B2684),"",IF('ENGAGEMENTS 2026'!B2684="DTSI","DCT",'ENGAGEMENTS 2026'!B2684))</f>
        <v/>
      </c>
      <c r="B2684">
        <f>IF(ISBLANK('ENGAGEMENTS 2026'!B2684),"",'ENGAGEMENTS 2026'!C2684)</f>
        <v/>
      </c>
      <c r="C2684">
        <f>IF(ISBLANK('ENGAGEMENTS 2026'!B2684),"",'ENGAGEMENTS 2026'!D2684)</f>
        <v/>
      </c>
      <c r="D2684">
        <f>IF(ISBLANK('ENGAGEMENTS 2026'!B2684),"",'ENGAGEMENTS 2026'!F2684)</f>
        <v/>
      </c>
      <c r="E2684">
        <f>IF(ISBLANK('ENGAGEMENTS 2026'!B2684),"",'ENGAGEMENTS 2026'!H2684)</f>
        <v/>
      </c>
      <c r="F2684">
        <f>IF(ISBLANK('ENGAGEMENTS 2026'!B2684),"",'ENGAGEMENTS 2026'!I2684)</f>
        <v/>
      </c>
      <c r="G2684">
        <f>IF(ISBLANK('ENGAGEMENTS 2026'!B2684),"",'ENGAGEMENTS 2026'!L2684)</f>
        <v/>
      </c>
      <c r="H2684">
        <f>IF(ISBLANK('ENGAGEMENTS 2026'!B2684),"",'ENGAGEMENTS 2026'!AE2684)</f>
        <v/>
      </c>
      <c r="I2684">
        <f>IF(ISBLANK('ENGAGEMENTS 2026'!B2684),"",'ENGAGEMENTS 2026'!G2684)</f>
        <v/>
      </c>
      <c r="J2684" s="275">
        <f>IF(ISBLANK('ENGAGEMENTS 2026'!B2684),"",IF(AND(OR($E2684="INFRUCTUEUX",$E2684="ANNULE"),$C2684="AOO-M"),'ENGAGEMENTS 2026'!O2684,IF($H2684="EN COURS DE PREENGAGEMENT",'ENGAGEMENTS 2026'!N2684,IF($H2684="PREENGAGE",IF($E2684="ATTRIBUE",'ENGAGEMENTS 2026'!AD2684,'ENGAGEMENTS 2026'!N2684),'ENGAGEMENTS 2026'!AD2684))))</f>
        <v/>
      </c>
      <c r="K2684" s="604">
        <f>IF(ISBLANK('ENGAGEMENTS 2026'!V2684),"",'ENGAGEMENTS 2026'!V2684)</f>
        <v/>
      </c>
      <c r="L2684" s="276">
        <f>IF($K2684="","",TODAY()-$K2684)</f>
        <v/>
      </c>
      <c r="M2684">
        <f>IF($A2684="","",IF($H2684="ENGAGE","Engagé",IF(AND($H2684="NON ENGAGE",OR($I2684="INFRUCTUEUX",$I2684="ANNULE")),"Clôturé sans suite","En cours")))</f>
        <v/>
      </c>
      <c r="N2684">
        <f>IF(ISBLANK('ENGAGEMENTS 2026'!B2684),"",'ENGAGEMENTS 2026'!K2684)</f>
        <v/>
      </c>
      <c r="O2684">
        <f>IF(ISBLANK('ENGAGEMENTS 2026'!B2684),"",'ENGAGEMENTS 2026'!L2684)</f>
        <v/>
      </c>
      <c r="P2684">
        <f>IF(ISBLANK('ENGAGEMENTS 2026'!B2684),"",'ENGAGEMENTS 2026'!J2684)</f>
        <v/>
      </c>
      <c r="Q2684">
        <f>IF($A2684="","",IF(OR($E2684="INFRUCTUEUX",$E2684="ANNULE"),$A2684&amp;"|"&amp;(COUNTIFS($A$2:$A2684,$A2684,$E$2:$E2684,"INFRUCTUEUX")+COUNTIFS($A$2:$A2684,$A2684,$E$2:$E2684,"ANNULE")),""))</f>
        <v/>
      </c>
    </row>
    <row r="2685">
      <c r="A2685">
        <f>IF(ISBLANK('ENGAGEMENTS 2026'!B2685),"",IF('ENGAGEMENTS 2026'!B2685="DTSI","DCT",'ENGAGEMENTS 2026'!B2685))</f>
        <v/>
      </c>
      <c r="B2685">
        <f>IF(ISBLANK('ENGAGEMENTS 2026'!B2685),"",'ENGAGEMENTS 2026'!C2685)</f>
        <v/>
      </c>
      <c r="C2685">
        <f>IF(ISBLANK('ENGAGEMENTS 2026'!B2685),"",'ENGAGEMENTS 2026'!D2685)</f>
        <v/>
      </c>
      <c r="D2685">
        <f>IF(ISBLANK('ENGAGEMENTS 2026'!B2685),"",'ENGAGEMENTS 2026'!F2685)</f>
        <v/>
      </c>
      <c r="E2685">
        <f>IF(ISBLANK('ENGAGEMENTS 2026'!B2685),"",'ENGAGEMENTS 2026'!H2685)</f>
        <v/>
      </c>
      <c r="F2685">
        <f>IF(ISBLANK('ENGAGEMENTS 2026'!B2685),"",'ENGAGEMENTS 2026'!I2685)</f>
        <v/>
      </c>
      <c r="G2685">
        <f>IF(ISBLANK('ENGAGEMENTS 2026'!B2685),"",'ENGAGEMENTS 2026'!L2685)</f>
        <v/>
      </c>
      <c r="H2685">
        <f>IF(ISBLANK('ENGAGEMENTS 2026'!B2685),"",'ENGAGEMENTS 2026'!AE2685)</f>
        <v/>
      </c>
      <c r="I2685">
        <f>IF(ISBLANK('ENGAGEMENTS 2026'!B2685),"",'ENGAGEMENTS 2026'!G2685)</f>
        <v/>
      </c>
      <c r="J2685" s="275">
        <f>IF(ISBLANK('ENGAGEMENTS 2026'!B2685),"",IF(AND(OR($E2685="INFRUCTUEUX",$E2685="ANNULE"),$C2685="AOO-M"),'ENGAGEMENTS 2026'!O2685,IF($H2685="EN COURS DE PREENGAGEMENT",'ENGAGEMENTS 2026'!N2685,IF($H2685="PREENGAGE",IF($E2685="ATTRIBUE",'ENGAGEMENTS 2026'!AD2685,'ENGAGEMENTS 2026'!N2685),'ENGAGEMENTS 2026'!AD2685))))</f>
        <v/>
      </c>
      <c r="K2685" s="604">
        <f>IF(ISBLANK('ENGAGEMENTS 2026'!V2685),"",'ENGAGEMENTS 2026'!V2685)</f>
        <v/>
      </c>
      <c r="L2685" s="276">
        <f>IF($K2685="","",TODAY()-$K2685)</f>
        <v/>
      </c>
      <c r="M2685">
        <f>IF($A2685="","",IF($H2685="ENGAGE","Engagé",IF(AND($H2685="NON ENGAGE",OR($I2685="INFRUCTUEUX",$I2685="ANNULE")),"Clôturé sans suite","En cours")))</f>
        <v/>
      </c>
      <c r="N2685">
        <f>IF(ISBLANK('ENGAGEMENTS 2026'!B2685),"",'ENGAGEMENTS 2026'!K2685)</f>
        <v/>
      </c>
      <c r="O2685">
        <f>IF(ISBLANK('ENGAGEMENTS 2026'!B2685),"",'ENGAGEMENTS 2026'!L2685)</f>
        <v/>
      </c>
      <c r="P2685">
        <f>IF(ISBLANK('ENGAGEMENTS 2026'!B2685),"",'ENGAGEMENTS 2026'!J2685)</f>
        <v/>
      </c>
      <c r="Q2685">
        <f>IF($A2685="","",IF(OR($E2685="INFRUCTUEUX",$E2685="ANNULE"),$A2685&amp;"|"&amp;(COUNTIFS($A$2:$A2685,$A2685,$E$2:$E2685,"INFRUCTUEUX")+COUNTIFS($A$2:$A2685,$A2685,$E$2:$E2685,"ANNULE")),""))</f>
        <v/>
      </c>
    </row>
    <row r="2686">
      <c r="A2686">
        <f>IF(ISBLANK('ENGAGEMENTS 2026'!B2686),"",IF('ENGAGEMENTS 2026'!B2686="DTSI","DCT",'ENGAGEMENTS 2026'!B2686))</f>
        <v/>
      </c>
      <c r="B2686">
        <f>IF(ISBLANK('ENGAGEMENTS 2026'!B2686),"",'ENGAGEMENTS 2026'!C2686)</f>
        <v/>
      </c>
      <c r="C2686">
        <f>IF(ISBLANK('ENGAGEMENTS 2026'!B2686),"",'ENGAGEMENTS 2026'!D2686)</f>
        <v/>
      </c>
      <c r="D2686">
        <f>IF(ISBLANK('ENGAGEMENTS 2026'!B2686),"",'ENGAGEMENTS 2026'!F2686)</f>
        <v/>
      </c>
      <c r="E2686">
        <f>IF(ISBLANK('ENGAGEMENTS 2026'!B2686),"",'ENGAGEMENTS 2026'!H2686)</f>
        <v/>
      </c>
      <c r="F2686">
        <f>IF(ISBLANK('ENGAGEMENTS 2026'!B2686),"",'ENGAGEMENTS 2026'!I2686)</f>
        <v/>
      </c>
      <c r="G2686">
        <f>IF(ISBLANK('ENGAGEMENTS 2026'!B2686),"",'ENGAGEMENTS 2026'!L2686)</f>
        <v/>
      </c>
      <c r="H2686">
        <f>IF(ISBLANK('ENGAGEMENTS 2026'!B2686),"",'ENGAGEMENTS 2026'!AE2686)</f>
        <v/>
      </c>
      <c r="I2686">
        <f>IF(ISBLANK('ENGAGEMENTS 2026'!B2686),"",'ENGAGEMENTS 2026'!G2686)</f>
        <v/>
      </c>
      <c r="J2686" s="275">
        <f>IF(ISBLANK('ENGAGEMENTS 2026'!B2686),"",IF(AND(OR($E2686="INFRUCTUEUX",$E2686="ANNULE"),$C2686="AOO-M"),'ENGAGEMENTS 2026'!O2686,IF($H2686="EN COURS DE PREENGAGEMENT",'ENGAGEMENTS 2026'!N2686,IF($H2686="PREENGAGE",IF($E2686="ATTRIBUE",'ENGAGEMENTS 2026'!AD2686,'ENGAGEMENTS 2026'!N2686),'ENGAGEMENTS 2026'!AD2686))))</f>
        <v/>
      </c>
      <c r="K2686" s="604">
        <f>IF(ISBLANK('ENGAGEMENTS 2026'!V2686),"",'ENGAGEMENTS 2026'!V2686)</f>
        <v/>
      </c>
      <c r="L2686" s="276">
        <f>IF($K2686="","",TODAY()-$K2686)</f>
        <v/>
      </c>
      <c r="M2686">
        <f>IF($A2686="","",IF($H2686="ENGAGE","Engagé",IF(AND($H2686="NON ENGAGE",OR($I2686="INFRUCTUEUX",$I2686="ANNULE")),"Clôturé sans suite","En cours")))</f>
        <v/>
      </c>
      <c r="N2686">
        <f>IF(ISBLANK('ENGAGEMENTS 2026'!B2686),"",'ENGAGEMENTS 2026'!K2686)</f>
        <v/>
      </c>
      <c r="O2686">
        <f>IF(ISBLANK('ENGAGEMENTS 2026'!B2686),"",'ENGAGEMENTS 2026'!L2686)</f>
        <v/>
      </c>
      <c r="P2686">
        <f>IF(ISBLANK('ENGAGEMENTS 2026'!B2686),"",'ENGAGEMENTS 2026'!J2686)</f>
        <v/>
      </c>
      <c r="Q2686">
        <f>IF($A2686="","",IF(OR($E2686="INFRUCTUEUX",$E2686="ANNULE"),$A2686&amp;"|"&amp;(COUNTIFS($A$2:$A2686,$A2686,$E$2:$E2686,"INFRUCTUEUX")+COUNTIFS($A$2:$A2686,$A2686,$E$2:$E2686,"ANNULE")),""))</f>
        <v/>
      </c>
    </row>
    <row r="2687">
      <c r="A2687">
        <f>IF(ISBLANK('ENGAGEMENTS 2026'!B2687),"",IF('ENGAGEMENTS 2026'!B2687="DTSI","DCT",'ENGAGEMENTS 2026'!B2687))</f>
        <v/>
      </c>
      <c r="B2687">
        <f>IF(ISBLANK('ENGAGEMENTS 2026'!B2687),"",'ENGAGEMENTS 2026'!C2687)</f>
        <v/>
      </c>
      <c r="C2687">
        <f>IF(ISBLANK('ENGAGEMENTS 2026'!B2687),"",'ENGAGEMENTS 2026'!D2687)</f>
        <v/>
      </c>
      <c r="D2687">
        <f>IF(ISBLANK('ENGAGEMENTS 2026'!B2687),"",'ENGAGEMENTS 2026'!F2687)</f>
        <v/>
      </c>
      <c r="E2687">
        <f>IF(ISBLANK('ENGAGEMENTS 2026'!B2687),"",'ENGAGEMENTS 2026'!H2687)</f>
        <v/>
      </c>
      <c r="F2687">
        <f>IF(ISBLANK('ENGAGEMENTS 2026'!B2687),"",'ENGAGEMENTS 2026'!I2687)</f>
        <v/>
      </c>
      <c r="G2687">
        <f>IF(ISBLANK('ENGAGEMENTS 2026'!B2687),"",'ENGAGEMENTS 2026'!L2687)</f>
        <v/>
      </c>
      <c r="H2687">
        <f>IF(ISBLANK('ENGAGEMENTS 2026'!B2687),"",'ENGAGEMENTS 2026'!AE2687)</f>
        <v/>
      </c>
      <c r="I2687">
        <f>IF(ISBLANK('ENGAGEMENTS 2026'!B2687),"",'ENGAGEMENTS 2026'!G2687)</f>
        <v/>
      </c>
      <c r="J2687" s="275">
        <f>IF(ISBLANK('ENGAGEMENTS 2026'!B2687),"",IF(AND(OR($E2687="INFRUCTUEUX",$E2687="ANNULE"),$C2687="AOO-M"),'ENGAGEMENTS 2026'!O2687,IF($H2687="EN COURS DE PREENGAGEMENT",'ENGAGEMENTS 2026'!N2687,IF($H2687="PREENGAGE",IF($E2687="ATTRIBUE",'ENGAGEMENTS 2026'!AD2687,'ENGAGEMENTS 2026'!N2687),'ENGAGEMENTS 2026'!AD2687))))</f>
        <v/>
      </c>
      <c r="K2687" s="604">
        <f>IF(ISBLANK('ENGAGEMENTS 2026'!V2687),"",'ENGAGEMENTS 2026'!V2687)</f>
        <v/>
      </c>
      <c r="L2687" s="276">
        <f>IF($K2687="","",TODAY()-$K2687)</f>
        <v/>
      </c>
      <c r="M2687">
        <f>IF($A2687="","",IF($H2687="ENGAGE","Engagé",IF(AND($H2687="NON ENGAGE",OR($I2687="INFRUCTUEUX",$I2687="ANNULE")),"Clôturé sans suite","En cours")))</f>
        <v/>
      </c>
      <c r="N2687">
        <f>IF(ISBLANK('ENGAGEMENTS 2026'!B2687),"",'ENGAGEMENTS 2026'!K2687)</f>
        <v/>
      </c>
      <c r="O2687">
        <f>IF(ISBLANK('ENGAGEMENTS 2026'!B2687),"",'ENGAGEMENTS 2026'!L2687)</f>
        <v/>
      </c>
      <c r="P2687">
        <f>IF(ISBLANK('ENGAGEMENTS 2026'!B2687),"",'ENGAGEMENTS 2026'!J2687)</f>
        <v/>
      </c>
      <c r="Q2687">
        <f>IF($A2687="","",IF(OR($E2687="INFRUCTUEUX",$E2687="ANNULE"),$A2687&amp;"|"&amp;(COUNTIFS($A$2:$A2687,$A2687,$E$2:$E2687,"INFRUCTUEUX")+COUNTIFS($A$2:$A2687,$A2687,$E$2:$E2687,"ANNULE")),""))</f>
        <v/>
      </c>
    </row>
    <row r="2688">
      <c r="A2688">
        <f>IF(ISBLANK('ENGAGEMENTS 2026'!B2688),"",IF('ENGAGEMENTS 2026'!B2688="DTSI","DCT",'ENGAGEMENTS 2026'!B2688))</f>
        <v/>
      </c>
      <c r="B2688">
        <f>IF(ISBLANK('ENGAGEMENTS 2026'!B2688),"",'ENGAGEMENTS 2026'!C2688)</f>
        <v/>
      </c>
      <c r="C2688">
        <f>IF(ISBLANK('ENGAGEMENTS 2026'!B2688),"",'ENGAGEMENTS 2026'!D2688)</f>
        <v/>
      </c>
      <c r="D2688">
        <f>IF(ISBLANK('ENGAGEMENTS 2026'!B2688),"",'ENGAGEMENTS 2026'!F2688)</f>
        <v/>
      </c>
      <c r="E2688">
        <f>IF(ISBLANK('ENGAGEMENTS 2026'!B2688),"",'ENGAGEMENTS 2026'!H2688)</f>
        <v/>
      </c>
      <c r="F2688">
        <f>IF(ISBLANK('ENGAGEMENTS 2026'!B2688),"",'ENGAGEMENTS 2026'!I2688)</f>
        <v/>
      </c>
      <c r="G2688">
        <f>IF(ISBLANK('ENGAGEMENTS 2026'!B2688),"",'ENGAGEMENTS 2026'!L2688)</f>
        <v/>
      </c>
      <c r="H2688">
        <f>IF(ISBLANK('ENGAGEMENTS 2026'!B2688),"",'ENGAGEMENTS 2026'!AE2688)</f>
        <v/>
      </c>
      <c r="I2688">
        <f>IF(ISBLANK('ENGAGEMENTS 2026'!B2688),"",'ENGAGEMENTS 2026'!G2688)</f>
        <v/>
      </c>
      <c r="J2688" s="275">
        <f>IF(ISBLANK('ENGAGEMENTS 2026'!B2688),"",IF(AND(OR($E2688="INFRUCTUEUX",$E2688="ANNULE"),$C2688="AOO-M"),'ENGAGEMENTS 2026'!O2688,IF($H2688="EN COURS DE PREENGAGEMENT",'ENGAGEMENTS 2026'!N2688,IF($H2688="PREENGAGE",IF($E2688="ATTRIBUE",'ENGAGEMENTS 2026'!AD2688,'ENGAGEMENTS 2026'!N2688),'ENGAGEMENTS 2026'!AD2688))))</f>
        <v/>
      </c>
      <c r="K2688" s="604">
        <f>IF(ISBLANK('ENGAGEMENTS 2026'!V2688),"",'ENGAGEMENTS 2026'!V2688)</f>
        <v/>
      </c>
      <c r="L2688" s="276">
        <f>IF($K2688="","",TODAY()-$K2688)</f>
        <v/>
      </c>
      <c r="M2688">
        <f>IF($A2688="","",IF($H2688="ENGAGE","Engagé",IF(AND($H2688="NON ENGAGE",OR($I2688="INFRUCTUEUX",$I2688="ANNULE")),"Clôturé sans suite","En cours")))</f>
        <v/>
      </c>
      <c r="N2688">
        <f>IF(ISBLANK('ENGAGEMENTS 2026'!B2688),"",'ENGAGEMENTS 2026'!K2688)</f>
        <v/>
      </c>
      <c r="O2688">
        <f>IF(ISBLANK('ENGAGEMENTS 2026'!B2688),"",'ENGAGEMENTS 2026'!L2688)</f>
        <v/>
      </c>
      <c r="P2688">
        <f>IF(ISBLANK('ENGAGEMENTS 2026'!B2688),"",'ENGAGEMENTS 2026'!J2688)</f>
        <v/>
      </c>
      <c r="Q2688">
        <f>IF($A2688="","",IF(OR($E2688="INFRUCTUEUX",$E2688="ANNULE"),$A2688&amp;"|"&amp;(COUNTIFS($A$2:$A2688,$A2688,$E$2:$E2688,"INFRUCTUEUX")+COUNTIFS($A$2:$A2688,$A2688,$E$2:$E2688,"ANNULE")),""))</f>
        <v/>
      </c>
    </row>
    <row r="2689">
      <c r="A2689">
        <f>IF(ISBLANK('ENGAGEMENTS 2026'!B2689),"",IF('ENGAGEMENTS 2026'!B2689="DTSI","DCT",'ENGAGEMENTS 2026'!B2689))</f>
        <v/>
      </c>
      <c r="B2689">
        <f>IF(ISBLANK('ENGAGEMENTS 2026'!B2689),"",'ENGAGEMENTS 2026'!C2689)</f>
        <v/>
      </c>
      <c r="C2689">
        <f>IF(ISBLANK('ENGAGEMENTS 2026'!B2689),"",'ENGAGEMENTS 2026'!D2689)</f>
        <v/>
      </c>
      <c r="D2689">
        <f>IF(ISBLANK('ENGAGEMENTS 2026'!B2689),"",'ENGAGEMENTS 2026'!F2689)</f>
        <v/>
      </c>
      <c r="E2689">
        <f>IF(ISBLANK('ENGAGEMENTS 2026'!B2689),"",'ENGAGEMENTS 2026'!H2689)</f>
        <v/>
      </c>
      <c r="F2689">
        <f>IF(ISBLANK('ENGAGEMENTS 2026'!B2689),"",'ENGAGEMENTS 2026'!I2689)</f>
        <v/>
      </c>
      <c r="G2689">
        <f>IF(ISBLANK('ENGAGEMENTS 2026'!B2689),"",'ENGAGEMENTS 2026'!L2689)</f>
        <v/>
      </c>
      <c r="H2689">
        <f>IF(ISBLANK('ENGAGEMENTS 2026'!B2689),"",'ENGAGEMENTS 2026'!AE2689)</f>
        <v/>
      </c>
      <c r="I2689">
        <f>IF(ISBLANK('ENGAGEMENTS 2026'!B2689),"",'ENGAGEMENTS 2026'!G2689)</f>
        <v/>
      </c>
      <c r="J2689" s="275">
        <f>IF(ISBLANK('ENGAGEMENTS 2026'!B2689),"",IF(AND(OR($E2689="INFRUCTUEUX",$E2689="ANNULE"),$C2689="AOO-M"),'ENGAGEMENTS 2026'!O2689,IF($H2689="EN COURS DE PREENGAGEMENT",'ENGAGEMENTS 2026'!N2689,IF($H2689="PREENGAGE",IF($E2689="ATTRIBUE",'ENGAGEMENTS 2026'!AD2689,'ENGAGEMENTS 2026'!N2689),'ENGAGEMENTS 2026'!AD2689))))</f>
        <v/>
      </c>
      <c r="K2689" s="604">
        <f>IF(ISBLANK('ENGAGEMENTS 2026'!V2689),"",'ENGAGEMENTS 2026'!V2689)</f>
        <v/>
      </c>
      <c r="L2689" s="276">
        <f>IF($K2689="","",TODAY()-$K2689)</f>
        <v/>
      </c>
      <c r="M2689">
        <f>IF($A2689="","",IF($H2689="ENGAGE","Engagé",IF(AND($H2689="NON ENGAGE",OR($I2689="INFRUCTUEUX",$I2689="ANNULE")),"Clôturé sans suite","En cours")))</f>
        <v/>
      </c>
      <c r="N2689">
        <f>IF(ISBLANK('ENGAGEMENTS 2026'!B2689),"",'ENGAGEMENTS 2026'!K2689)</f>
        <v/>
      </c>
      <c r="O2689">
        <f>IF(ISBLANK('ENGAGEMENTS 2026'!B2689),"",'ENGAGEMENTS 2026'!L2689)</f>
        <v/>
      </c>
      <c r="P2689">
        <f>IF(ISBLANK('ENGAGEMENTS 2026'!B2689),"",'ENGAGEMENTS 2026'!J2689)</f>
        <v/>
      </c>
      <c r="Q2689">
        <f>IF($A2689="","",IF(OR($E2689="INFRUCTUEUX",$E2689="ANNULE"),$A2689&amp;"|"&amp;(COUNTIFS($A$2:$A2689,$A2689,$E$2:$E2689,"INFRUCTUEUX")+COUNTIFS($A$2:$A2689,$A2689,$E$2:$E2689,"ANNULE")),""))</f>
        <v/>
      </c>
    </row>
    <row r="2690">
      <c r="A2690">
        <f>IF(ISBLANK('ENGAGEMENTS 2026'!B2690),"",IF('ENGAGEMENTS 2026'!B2690="DTSI","DCT",'ENGAGEMENTS 2026'!B2690))</f>
        <v/>
      </c>
      <c r="B2690">
        <f>IF(ISBLANK('ENGAGEMENTS 2026'!B2690),"",'ENGAGEMENTS 2026'!C2690)</f>
        <v/>
      </c>
      <c r="C2690">
        <f>IF(ISBLANK('ENGAGEMENTS 2026'!B2690),"",'ENGAGEMENTS 2026'!D2690)</f>
        <v/>
      </c>
      <c r="D2690">
        <f>IF(ISBLANK('ENGAGEMENTS 2026'!B2690),"",'ENGAGEMENTS 2026'!F2690)</f>
        <v/>
      </c>
      <c r="E2690">
        <f>IF(ISBLANK('ENGAGEMENTS 2026'!B2690),"",'ENGAGEMENTS 2026'!H2690)</f>
        <v/>
      </c>
      <c r="F2690">
        <f>IF(ISBLANK('ENGAGEMENTS 2026'!B2690),"",'ENGAGEMENTS 2026'!I2690)</f>
        <v/>
      </c>
      <c r="G2690">
        <f>IF(ISBLANK('ENGAGEMENTS 2026'!B2690),"",'ENGAGEMENTS 2026'!L2690)</f>
        <v/>
      </c>
      <c r="H2690">
        <f>IF(ISBLANK('ENGAGEMENTS 2026'!B2690),"",'ENGAGEMENTS 2026'!AE2690)</f>
        <v/>
      </c>
      <c r="I2690">
        <f>IF(ISBLANK('ENGAGEMENTS 2026'!B2690),"",'ENGAGEMENTS 2026'!G2690)</f>
        <v/>
      </c>
      <c r="J2690" s="275">
        <f>IF(ISBLANK('ENGAGEMENTS 2026'!B2690),"",IF(AND(OR($E2690="INFRUCTUEUX",$E2690="ANNULE"),$C2690="AOO-M"),'ENGAGEMENTS 2026'!O2690,IF($H2690="EN COURS DE PREENGAGEMENT",'ENGAGEMENTS 2026'!N2690,IF($H2690="PREENGAGE",IF($E2690="ATTRIBUE",'ENGAGEMENTS 2026'!AD2690,'ENGAGEMENTS 2026'!N2690),'ENGAGEMENTS 2026'!AD2690))))</f>
        <v/>
      </c>
      <c r="K2690" s="604">
        <f>IF(ISBLANK('ENGAGEMENTS 2026'!V2690),"",'ENGAGEMENTS 2026'!V2690)</f>
        <v/>
      </c>
      <c r="L2690" s="276">
        <f>IF($K2690="","",TODAY()-$K2690)</f>
        <v/>
      </c>
      <c r="M2690">
        <f>IF($A2690="","",IF($H2690="ENGAGE","Engagé",IF(AND($H2690="NON ENGAGE",OR($I2690="INFRUCTUEUX",$I2690="ANNULE")),"Clôturé sans suite","En cours")))</f>
        <v/>
      </c>
      <c r="N2690">
        <f>IF(ISBLANK('ENGAGEMENTS 2026'!B2690),"",'ENGAGEMENTS 2026'!K2690)</f>
        <v/>
      </c>
      <c r="O2690">
        <f>IF(ISBLANK('ENGAGEMENTS 2026'!B2690),"",'ENGAGEMENTS 2026'!L2690)</f>
        <v/>
      </c>
      <c r="P2690">
        <f>IF(ISBLANK('ENGAGEMENTS 2026'!B2690),"",'ENGAGEMENTS 2026'!J2690)</f>
        <v/>
      </c>
      <c r="Q2690">
        <f>IF($A2690="","",IF(OR($E2690="INFRUCTUEUX",$E2690="ANNULE"),$A2690&amp;"|"&amp;(COUNTIFS($A$2:$A2690,$A2690,$E$2:$E2690,"INFRUCTUEUX")+COUNTIFS($A$2:$A2690,$A2690,$E$2:$E2690,"ANNULE")),""))</f>
        <v/>
      </c>
    </row>
    <row r="2691">
      <c r="A2691">
        <f>IF(ISBLANK('ENGAGEMENTS 2026'!B2691),"",IF('ENGAGEMENTS 2026'!B2691="DTSI","DCT",'ENGAGEMENTS 2026'!B2691))</f>
        <v/>
      </c>
      <c r="B2691">
        <f>IF(ISBLANK('ENGAGEMENTS 2026'!B2691),"",'ENGAGEMENTS 2026'!C2691)</f>
        <v/>
      </c>
      <c r="C2691">
        <f>IF(ISBLANK('ENGAGEMENTS 2026'!B2691),"",'ENGAGEMENTS 2026'!D2691)</f>
        <v/>
      </c>
      <c r="D2691">
        <f>IF(ISBLANK('ENGAGEMENTS 2026'!B2691),"",'ENGAGEMENTS 2026'!F2691)</f>
        <v/>
      </c>
      <c r="E2691">
        <f>IF(ISBLANK('ENGAGEMENTS 2026'!B2691),"",'ENGAGEMENTS 2026'!H2691)</f>
        <v/>
      </c>
      <c r="F2691">
        <f>IF(ISBLANK('ENGAGEMENTS 2026'!B2691),"",'ENGAGEMENTS 2026'!I2691)</f>
        <v/>
      </c>
      <c r="G2691">
        <f>IF(ISBLANK('ENGAGEMENTS 2026'!B2691),"",'ENGAGEMENTS 2026'!L2691)</f>
        <v/>
      </c>
      <c r="H2691">
        <f>IF(ISBLANK('ENGAGEMENTS 2026'!B2691),"",'ENGAGEMENTS 2026'!AE2691)</f>
        <v/>
      </c>
      <c r="I2691">
        <f>IF(ISBLANK('ENGAGEMENTS 2026'!B2691),"",'ENGAGEMENTS 2026'!G2691)</f>
        <v/>
      </c>
      <c r="J2691" s="275">
        <f>IF(ISBLANK('ENGAGEMENTS 2026'!B2691),"",IF(AND(OR($E2691="INFRUCTUEUX",$E2691="ANNULE"),$C2691="AOO-M"),'ENGAGEMENTS 2026'!O2691,IF($H2691="EN COURS DE PREENGAGEMENT",'ENGAGEMENTS 2026'!N2691,IF($H2691="PREENGAGE",IF($E2691="ATTRIBUE",'ENGAGEMENTS 2026'!AD2691,'ENGAGEMENTS 2026'!N2691),'ENGAGEMENTS 2026'!AD2691))))</f>
        <v/>
      </c>
      <c r="K2691" s="604">
        <f>IF(ISBLANK('ENGAGEMENTS 2026'!V2691),"",'ENGAGEMENTS 2026'!V2691)</f>
        <v/>
      </c>
      <c r="L2691" s="276">
        <f>IF($K2691="","",TODAY()-$K2691)</f>
        <v/>
      </c>
      <c r="M2691">
        <f>IF($A2691="","",IF($H2691="ENGAGE","Engagé",IF(AND($H2691="NON ENGAGE",OR($I2691="INFRUCTUEUX",$I2691="ANNULE")),"Clôturé sans suite","En cours")))</f>
        <v/>
      </c>
      <c r="N2691">
        <f>IF(ISBLANK('ENGAGEMENTS 2026'!B2691),"",'ENGAGEMENTS 2026'!K2691)</f>
        <v/>
      </c>
      <c r="O2691">
        <f>IF(ISBLANK('ENGAGEMENTS 2026'!B2691),"",'ENGAGEMENTS 2026'!L2691)</f>
        <v/>
      </c>
      <c r="P2691">
        <f>IF(ISBLANK('ENGAGEMENTS 2026'!B2691),"",'ENGAGEMENTS 2026'!J2691)</f>
        <v/>
      </c>
      <c r="Q2691">
        <f>IF($A2691="","",IF(OR($E2691="INFRUCTUEUX",$E2691="ANNULE"),$A2691&amp;"|"&amp;(COUNTIFS($A$2:$A2691,$A2691,$E$2:$E2691,"INFRUCTUEUX")+COUNTIFS($A$2:$A2691,$A2691,$E$2:$E2691,"ANNULE")),""))</f>
        <v/>
      </c>
    </row>
    <row r="2692">
      <c r="A2692">
        <f>IF(ISBLANK('ENGAGEMENTS 2026'!B2692),"",IF('ENGAGEMENTS 2026'!B2692="DTSI","DCT",'ENGAGEMENTS 2026'!B2692))</f>
        <v/>
      </c>
      <c r="B2692">
        <f>IF(ISBLANK('ENGAGEMENTS 2026'!B2692),"",'ENGAGEMENTS 2026'!C2692)</f>
        <v/>
      </c>
      <c r="C2692">
        <f>IF(ISBLANK('ENGAGEMENTS 2026'!B2692),"",'ENGAGEMENTS 2026'!D2692)</f>
        <v/>
      </c>
      <c r="D2692">
        <f>IF(ISBLANK('ENGAGEMENTS 2026'!B2692),"",'ENGAGEMENTS 2026'!F2692)</f>
        <v/>
      </c>
      <c r="E2692">
        <f>IF(ISBLANK('ENGAGEMENTS 2026'!B2692),"",'ENGAGEMENTS 2026'!H2692)</f>
        <v/>
      </c>
      <c r="F2692">
        <f>IF(ISBLANK('ENGAGEMENTS 2026'!B2692),"",'ENGAGEMENTS 2026'!I2692)</f>
        <v/>
      </c>
      <c r="G2692">
        <f>IF(ISBLANK('ENGAGEMENTS 2026'!B2692),"",'ENGAGEMENTS 2026'!L2692)</f>
        <v/>
      </c>
      <c r="H2692">
        <f>IF(ISBLANK('ENGAGEMENTS 2026'!B2692),"",'ENGAGEMENTS 2026'!AE2692)</f>
        <v/>
      </c>
      <c r="I2692">
        <f>IF(ISBLANK('ENGAGEMENTS 2026'!B2692),"",'ENGAGEMENTS 2026'!G2692)</f>
        <v/>
      </c>
      <c r="J2692" s="275">
        <f>IF(ISBLANK('ENGAGEMENTS 2026'!B2692),"",IF(AND(OR($E2692="INFRUCTUEUX",$E2692="ANNULE"),$C2692="AOO-M"),'ENGAGEMENTS 2026'!O2692,IF($H2692="EN COURS DE PREENGAGEMENT",'ENGAGEMENTS 2026'!N2692,IF($H2692="PREENGAGE",IF($E2692="ATTRIBUE",'ENGAGEMENTS 2026'!AD2692,'ENGAGEMENTS 2026'!N2692),'ENGAGEMENTS 2026'!AD2692))))</f>
        <v/>
      </c>
      <c r="K2692" s="604">
        <f>IF(ISBLANK('ENGAGEMENTS 2026'!V2692),"",'ENGAGEMENTS 2026'!V2692)</f>
        <v/>
      </c>
      <c r="L2692" s="276">
        <f>IF($K2692="","",TODAY()-$K2692)</f>
        <v/>
      </c>
      <c r="M2692">
        <f>IF($A2692="","",IF($H2692="ENGAGE","Engagé",IF(AND($H2692="NON ENGAGE",OR($I2692="INFRUCTUEUX",$I2692="ANNULE")),"Clôturé sans suite","En cours")))</f>
        <v/>
      </c>
      <c r="N2692">
        <f>IF(ISBLANK('ENGAGEMENTS 2026'!B2692),"",'ENGAGEMENTS 2026'!K2692)</f>
        <v/>
      </c>
      <c r="O2692">
        <f>IF(ISBLANK('ENGAGEMENTS 2026'!B2692),"",'ENGAGEMENTS 2026'!L2692)</f>
        <v/>
      </c>
      <c r="P2692">
        <f>IF(ISBLANK('ENGAGEMENTS 2026'!B2692),"",'ENGAGEMENTS 2026'!J2692)</f>
        <v/>
      </c>
      <c r="Q2692">
        <f>IF($A2692="","",IF(OR($E2692="INFRUCTUEUX",$E2692="ANNULE"),$A2692&amp;"|"&amp;(COUNTIFS($A$2:$A2692,$A2692,$E$2:$E2692,"INFRUCTUEUX")+COUNTIFS($A$2:$A2692,$A2692,$E$2:$E2692,"ANNULE")),""))</f>
        <v/>
      </c>
    </row>
    <row r="2693">
      <c r="A2693">
        <f>IF(ISBLANK('ENGAGEMENTS 2026'!B2693),"",IF('ENGAGEMENTS 2026'!B2693="DTSI","DCT",'ENGAGEMENTS 2026'!B2693))</f>
        <v/>
      </c>
      <c r="B2693">
        <f>IF(ISBLANK('ENGAGEMENTS 2026'!B2693),"",'ENGAGEMENTS 2026'!C2693)</f>
        <v/>
      </c>
      <c r="C2693">
        <f>IF(ISBLANK('ENGAGEMENTS 2026'!B2693),"",'ENGAGEMENTS 2026'!D2693)</f>
        <v/>
      </c>
      <c r="D2693">
        <f>IF(ISBLANK('ENGAGEMENTS 2026'!B2693),"",'ENGAGEMENTS 2026'!F2693)</f>
        <v/>
      </c>
      <c r="E2693">
        <f>IF(ISBLANK('ENGAGEMENTS 2026'!B2693),"",'ENGAGEMENTS 2026'!H2693)</f>
        <v/>
      </c>
      <c r="F2693">
        <f>IF(ISBLANK('ENGAGEMENTS 2026'!B2693),"",'ENGAGEMENTS 2026'!I2693)</f>
        <v/>
      </c>
      <c r="G2693">
        <f>IF(ISBLANK('ENGAGEMENTS 2026'!B2693),"",'ENGAGEMENTS 2026'!L2693)</f>
        <v/>
      </c>
      <c r="H2693">
        <f>IF(ISBLANK('ENGAGEMENTS 2026'!B2693),"",'ENGAGEMENTS 2026'!AE2693)</f>
        <v/>
      </c>
      <c r="I2693">
        <f>IF(ISBLANK('ENGAGEMENTS 2026'!B2693),"",'ENGAGEMENTS 2026'!G2693)</f>
        <v/>
      </c>
      <c r="J2693" s="275">
        <f>IF(ISBLANK('ENGAGEMENTS 2026'!B2693),"",IF(AND(OR($E2693="INFRUCTUEUX",$E2693="ANNULE"),$C2693="AOO-M"),'ENGAGEMENTS 2026'!O2693,IF($H2693="EN COURS DE PREENGAGEMENT",'ENGAGEMENTS 2026'!N2693,IF($H2693="PREENGAGE",IF($E2693="ATTRIBUE",'ENGAGEMENTS 2026'!AD2693,'ENGAGEMENTS 2026'!N2693),'ENGAGEMENTS 2026'!AD2693))))</f>
        <v/>
      </c>
      <c r="K2693" s="604">
        <f>IF(ISBLANK('ENGAGEMENTS 2026'!V2693),"",'ENGAGEMENTS 2026'!V2693)</f>
        <v/>
      </c>
      <c r="L2693" s="276">
        <f>IF($K2693="","",TODAY()-$K2693)</f>
        <v/>
      </c>
      <c r="M2693">
        <f>IF($A2693="","",IF($H2693="ENGAGE","Engagé",IF(AND($H2693="NON ENGAGE",OR($I2693="INFRUCTUEUX",$I2693="ANNULE")),"Clôturé sans suite","En cours")))</f>
        <v/>
      </c>
      <c r="N2693">
        <f>IF(ISBLANK('ENGAGEMENTS 2026'!B2693),"",'ENGAGEMENTS 2026'!K2693)</f>
        <v/>
      </c>
      <c r="O2693">
        <f>IF(ISBLANK('ENGAGEMENTS 2026'!B2693),"",'ENGAGEMENTS 2026'!L2693)</f>
        <v/>
      </c>
      <c r="P2693">
        <f>IF(ISBLANK('ENGAGEMENTS 2026'!B2693),"",'ENGAGEMENTS 2026'!J2693)</f>
        <v/>
      </c>
      <c r="Q2693">
        <f>IF($A2693="","",IF(OR($E2693="INFRUCTUEUX",$E2693="ANNULE"),$A2693&amp;"|"&amp;(COUNTIFS($A$2:$A2693,$A2693,$E$2:$E2693,"INFRUCTUEUX")+COUNTIFS($A$2:$A2693,$A2693,$E$2:$E2693,"ANNULE")),""))</f>
        <v/>
      </c>
    </row>
    <row r="2694">
      <c r="A2694">
        <f>IF(ISBLANK('ENGAGEMENTS 2026'!B2694),"",IF('ENGAGEMENTS 2026'!B2694="DTSI","DCT",'ENGAGEMENTS 2026'!B2694))</f>
        <v/>
      </c>
      <c r="B2694">
        <f>IF(ISBLANK('ENGAGEMENTS 2026'!B2694),"",'ENGAGEMENTS 2026'!C2694)</f>
        <v/>
      </c>
      <c r="C2694">
        <f>IF(ISBLANK('ENGAGEMENTS 2026'!B2694),"",'ENGAGEMENTS 2026'!D2694)</f>
        <v/>
      </c>
      <c r="D2694">
        <f>IF(ISBLANK('ENGAGEMENTS 2026'!B2694),"",'ENGAGEMENTS 2026'!F2694)</f>
        <v/>
      </c>
      <c r="E2694">
        <f>IF(ISBLANK('ENGAGEMENTS 2026'!B2694),"",'ENGAGEMENTS 2026'!H2694)</f>
        <v/>
      </c>
      <c r="F2694">
        <f>IF(ISBLANK('ENGAGEMENTS 2026'!B2694),"",'ENGAGEMENTS 2026'!I2694)</f>
        <v/>
      </c>
      <c r="G2694">
        <f>IF(ISBLANK('ENGAGEMENTS 2026'!B2694),"",'ENGAGEMENTS 2026'!L2694)</f>
        <v/>
      </c>
      <c r="H2694">
        <f>IF(ISBLANK('ENGAGEMENTS 2026'!B2694),"",'ENGAGEMENTS 2026'!AE2694)</f>
        <v/>
      </c>
      <c r="I2694">
        <f>IF(ISBLANK('ENGAGEMENTS 2026'!B2694),"",'ENGAGEMENTS 2026'!G2694)</f>
        <v/>
      </c>
      <c r="J2694" s="275">
        <f>IF(ISBLANK('ENGAGEMENTS 2026'!B2694),"",IF(AND(OR($E2694="INFRUCTUEUX",$E2694="ANNULE"),$C2694="AOO-M"),'ENGAGEMENTS 2026'!O2694,IF($H2694="EN COURS DE PREENGAGEMENT",'ENGAGEMENTS 2026'!N2694,IF($H2694="PREENGAGE",IF($E2694="ATTRIBUE",'ENGAGEMENTS 2026'!AD2694,'ENGAGEMENTS 2026'!N2694),'ENGAGEMENTS 2026'!AD2694))))</f>
        <v/>
      </c>
      <c r="K2694" s="604">
        <f>IF(ISBLANK('ENGAGEMENTS 2026'!V2694),"",'ENGAGEMENTS 2026'!V2694)</f>
        <v/>
      </c>
      <c r="L2694" s="276">
        <f>IF($K2694="","",TODAY()-$K2694)</f>
        <v/>
      </c>
      <c r="M2694">
        <f>IF($A2694="","",IF($H2694="ENGAGE","Engagé",IF(AND($H2694="NON ENGAGE",OR($I2694="INFRUCTUEUX",$I2694="ANNULE")),"Clôturé sans suite","En cours")))</f>
        <v/>
      </c>
      <c r="N2694">
        <f>IF(ISBLANK('ENGAGEMENTS 2026'!B2694),"",'ENGAGEMENTS 2026'!K2694)</f>
        <v/>
      </c>
      <c r="O2694">
        <f>IF(ISBLANK('ENGAGEMENTS 2026'!B2694),"",'ENGAGEMENTS 2026'!L2694)</f>
        <v/>
      </c>
      <c r="P2694">
        <f>IF(ISBLANK('ENGAGEMENTS 2026'!B2694),"",'ENGAGEMENTS 2026'!J2694)</f>
        <v/>
      </c>
      <c r="Q2694">
        <f>IF($A2694="","",IF(OR($E2694="INFRUCTUEUX",$E2694="ANNULE"),$A2694&amp;"|"&amp;(COUNTIFS($A$2:$A2694,$A2694,$E$2:$E2694,"INFRUCTUEUX")+COUNTIFS($A$2:$A2694,$A2694,$E$2:$E2694,"ANNULE")),""))</f>
        <v/>
      </c>
    </row>
    <row r="2695">
      <c r="A2695">
        <f>IF(ISBLANK('ENGAGEMENTS 2026'!B2695),"",IF('ENGAGEMENTS 2026'!B2695="DTSI","DCT",'ENGAGEMENTS 2026'!B2695))</f>
        <v/>
      </c>
      <c r="B2695">
        <f>IF(ISBLANK('ENGAGEMENTS 2026'!B2695),"",'ENGAGEMENTS 2026'!C2695)</f>
        <v/>
      </c>
      <c r="C2695">
        <f>IF(ISBLANK('ENGAGEMENTS 2026'!B2695),"",'ENGAGEMENTS 2026'!D2695)</f>
        <v/>
      </c>
      <c r="D2695">
        <f>IF(ISBLANK('ENGAGEMENTS 2026'!B2695),"",'ENGAGEMENTS 2026'!F2695)</f>
        <v/>
      </c>
      <c r="E2695">
        <f>IF(ISBLANK('ENGAGEMENTS 2026'!B2695),"",'ENGAGEMENTS 2026'!H2695)</f>
        <v/>
      </c>
      <c r="F2695">
        <f>IF(ISBLANK('ENGAGEMENTS 2026'!B2695),"",'ENGAGEMENTS 2026'!I2695)</f>
        <v/>
      </c>
      <c r="G2695">
        <f>IF(ISBLANK('ENGAGEMENTS 2026'!B2695),"",'ENGAGEMENTS 2026'!L2695)</f>
        <v/>
      </c>
      <c r="H2695">
        <f>IF(ISBLANK('ENGAGEMENTS 2026'!B2695),"",'ENGAGEMENTS 2026'!AE2695)</f>
        <v/>
      </c>
      <c r="I2695">
        <f>IF(ISBLANK('ENGAGEMENTS 2026'!B2695),"",'ENGAGEMENTS 2026'!G2695)</f>
        <v/>
      </c>
      <c r="J2695" s="275">
        <f>IF(ISBLANK('ENGAGEMENTS 2026'!B2695),"",IF(AND(OR($E2695="INFRUCTUEUX",$E2695="ANNULE"),$C2695="AOO-M"),'ENGAGEMENTS 2026'!O2695,IF($H2695="EN COURS DE PREENGAGEMENT",'ENGAGEMENTS 2026'!N2695,IF($H2695="PREENGAGE",IF($E2695="ATTRIBUE",'ENGAGEMENTS 2026'!AD2695,'ENGAGEMENTS 2026'!N2695),'ENGAGEMENTS 2026'!AD2695))))</f>
        <v/>
      </c>
      <c r="K2695" s="604">
        <f>IF(ISBLANK('ENGAGEMENTS 2026'!V2695),"",'ENGAGEMENTS 2026'!V2695)</f>
        <v/>
      </c>
      <c r="L2695" s="276">
        <f>IF($K2695="","",TODAY()-$K2695)</f>
        <v/>
      </c>
      <c r="M2695">
        <f>IF($A2695="","",IF($H2695="ENGAGE","Engagé",IF(AND($H2695="NON ENGAGE",OR($I2695="INFRUCTUEUX",$I2695="ANNULE")),"Clôturé sans suite","En cours")))</f>
        <v/>
      </c>
      <c r="N2695">
        <f>IF(ISBLANK('ENGAGEMENTS 2026'!B2695),"",'ENGAGEMENTS 2026'!K2695)</f>
        <v/>
      </c>
      <c r="O2695">
        <f>IF(ISBLANK('ENGAGEMENTS 2026'!B2695),"",'ENGAGEMENTS 2026'!L2695)</f>
        <v/>
      </c>
      <c r="P2695">
        <f>IF(ISBLANK('ENGAGEMENTS 2026'!B2695),"",'ENGAGEMENTS 2026'!J2695)</f>
        <v/>
      </c>
      <c r="Q2695">
        <f>IF($A2695="","",IF(OR($E2695="INFRUCTUEUX",$E2695="ANNULE"),$A2695&amp;"|"&amp;(COUNTIFS($A$2:$A2695,$A2695,$E$2:$E2695,"INFRUCTUEUX")+COUNTIFS($A$2:$A2695,$A2695,$E$2:$E2695,"ANNULE")),""))</f>
        <v/>
      </c>
    </row>
    <row r="2696">
      <c r="A2696">
        <f>IF(ISBLANK('ENGAGEMENTS 2026'!B2696),"",IF('ENGAGEMENTS 2026'!B2696="DTSI","DCT",'ENGAGEMENTS 2026'!B2696))</f>
        <v/>
      </c>
      <c r="B2696">
        <f>IF(ISBLANK('ENGAGEMENTS 2026'!B2696),"",'ENGAGEMENTS 2026'!C2696)</f>
        <v/>
      </c>
      <c r="C2696">
        <f>IF(ISBLANK('ENGAGEMENTS 2026'!B2696),"",'ENGAGEMENTS 2026'!D2696)</f>
        <v/>
      </c>
      <c r="D2696">
        <f>IF(ISBLANK('ENGAGEMENTS 2026'!B2696),"",'ENGAGEMENTS 2026'!F2696)</f>
        <v/>
      </c>
      <c r="E2696">
        <f>IF(ISBLANK('ENGAGEMENTS 2026'!B2696),"",'ENGAGEMENTS 2026'!H2696)</f>
        <v/>
      </c>
      <c r="F2696">
        <f>IF(ISBLANK('ENGAGEMENTS 2026'!B2696),"",'ENGAGEMENTS 2026'!I2696)</f>
        <v/>
      </c>
      <c r="G2696">
        <f>IF(ISBLANK('ENGAGEMENTS 2026'!B2696),"",'ENGAGEMENTS 2026'!L2696)</f>
        <v/>
      </c>
      <c r="H2696">
        <f>IF(ISBLANK('ENGAGEMENTS 2026'!B2696),"",'ENGAGEMENTS 2026'!AE2696)</f>
        <v/>
      </c>
      <c r="I2696">
        <f>IF(ISBLANK('ENGAGEMENTS 2026'!B2696),"",'ENGAGEMENTS 2026'!G2696)</f>
        <v/>
      </c>
      <c r="J2696" s="275">
        <f>IF(ISBLANK('ENGAGEMENTS 2026'!B2696),"",IF(AND(OR($E2696="INFRUCTUEUX",$E2696="ANNULE"),$C2696="AOO-M"),'ENGAGEMENTS 2026'!O2696,IF($H2696="EN COURS DE PREENGAGEMENT",'ENGAGEMENTS 2026'!N2696,IF($H2696="PREENGAGE",IF($E2696="ATTRIBUE",'ENGAGEMENTS 2026'!AD2696,'ENGAGEMENTS 2026'!N2696),'ENGAGEMENTS 2026'!AD2696))))</f>
        <v/>
      </c>
      <c r="K2696" s="604">
        <f>IF(ISBLANK('ENGAGEMENTS 2026'!V2696),"",'ENGAGEMENTS 2026'!V2696)</f>
        <v/>
      </c>
      <c r="L2696" s="276">
        <f>IF($K2696="","",TODAY()-$K2696)</f>
        <v/>
      </c>
      <c r="M2696">
        <f>IF($A2696="","",IF($H2696="ENGAGE","Engagé",IF(AND($H2696="NON ENGAGE",OR($I2696="INFRUCTUEUX",$I2696="ANNULE")),"Clôturé sans suite","En cours")))</f>
        <v/>
      </c>
      <c r="N2696">
        <f>IF(ISBLANK('ENGAGEMENTS 2026'!B2696),"",'ENGAGEMENTS 2026'!K2696)</f>
        <v/>
      </c>
      <c r="O2696">
        <f>IF(ISBLANK('ENGAGEMENTS 2026'!B2696),"",'ENGAGEMENTS 2026'!L2696)</f>
        <v/>
      </c>
      <c r="P2696">
        <f>IF(ISBLANK('ENGAGEMENTS 2026'!B2696),"",'ENGAGEMENTS 2026'!J2696)</f>
        <v/>
      </c>
      <c r="Q2696">
        <f>IF($A2696="","",IF(OR($E2696="INFRUCTUEUX",$E2696="ANNULE"),$A2696&amp;"|"&amp;(COUNTIFS($A$2:$A2696,$A2696,$E$2:$E2696,"INFRUCTUEUX")+COUNTIFS($A$2:$A2696,$A2696,$E$2:$E2696,"ANNULE")),""))</f>
        <v/>
      </c>
    </row>
    <row r="2697">
      <c r="A2697">
        <f>IF(ISBLANK('ENGAGEMENTS 2026'!B2697),"",IF('ENGAGEMENTS 2026'!B2697="DTSI","DCT",'ENGAGEMENTS 2026'!B2697))</f>
        <v/>
      </c>
      <c r="B2697">
        <f>IF(ISBLANK('ENGAGEMENTS 2026'!B2697),"",'ENGAGEMENTS 2026'!C2697)</f>
        <v/>
      </c>
      <c r="C2697">
        <f>IF(ISBLANK('ENGAGEMENTS 2026'!B2697),"",'ENGAGEMENTS 2026'!D2697)</f>
        <v/>
      </c>
      <c r="D2697">
        <f>IF(ISBLANK('ENGAGEMENTS 2026'!B2697),"",'ENGAGEMENTS 2026'!F2697)</f>
        <v/>
      </c>
      <c r="E2697">
        <f>IF(ISBLANK('ENGAGEMENTS 2026'!B2697),"",'ENGAGEMENTS 2026'!H2697)</f>
        <v/>
      </c>
      <c r="F2697">
        <f>IF(ISBLANK('ENGAGEMENTS 2026'!B2697),"",'ENGAGEMENTS 2026'!I2697)</f>
        <v/>
      </c>
      <c r="G2697">
        <f>IF(ISBLANK('ENGAGEMENTS 2026'!B2697),"",'ENGAGEMENTS 2026'!L2697)</f>
        <v/>
      </c>
      <c r="H2697">
        <f>IF(ISBLANK('ENGAGEMENTS 2026'!B2697),"",'ENGAGEMENTS 2026'!AE2697)</f>
        <v/>
      </c>
      <c r="I2697">
        <f>IF(ISBLANK('ENGAGEMENTS 2026'!B2697),"",'ENGAGEMENTS 2026'!G2697)</f>
        <v/>
      </c>
      <c r="J2697" s="275">
        <f>IF(ISBLANK('ENGAGEMENTS 2026'!B2697),"",IF(AND(OR($E2697="INFRUCTUEUX",$E2697="ANNULE"),$C2697="AOO-M"),'ENGAGEMENTS 2026'!O2697,IF($H2697="EN COURS DE PREENGAGEMENT",'ENGAGEMENTS 2026'!N2697,IF($H2697="PREENGAGE",IF($E2697="ATTRIBUE",'ENGAGEMENTS 2026'!AD2697,'ENGAGEMENTS 2026'!N2697),'ENGAGEMENTS 2026'!AD2697))))</f>
        <v/>
      </c>
      <c r="K2697" s="604">
        <f>IF(ISBLANK('ENGAGEMENTS 2026'!V2697),"",'ENGAGEMENTS 2026'!V2697)</f>
        <v/>
      </c>
      <c r="L2697" s="276">
        <f>IF($K2697="","",TODAY()-$K2697)</f>
        <v/>
      </c>
      <c r="M2697">
        <f>IF($A2697="","",IF($H2697="ENGAGE","Engagé",IF(AND($H2697="NON ENGAGE",OR($I2697="INFRUCTUEUX",$I2697="ANNULE")),"Clôturé sans suite","En cours")))</f>
        <v/>
      </c>
      <c r="N2697">
        <f>IF(ISBLANK('ENGAGEMENTS 2026'!B2697),"",'ENGAGEMENTS 2026'!K2697)</f>
        <v/>
      </c>
      <c r="O2697">
        <f>IF(ISBLANK('ENGAGEMENTS 2026'!B2697),"",'ENGAGEMENTS 2026'!L2697)</f>
        <v/>
      </c>
      <c r="P2697">
        <f>IF(ISBLANK('ENGAGEMENTS 2026'!B2697),"",'ENGAGEMENTS 2026'!J2697)</f>
        <v/>
      </c>
      <c r="Q2697">
        <f>IF($A2697="","",IF(OR($E2697="INFRUCTUEUX",$E2697="ANNULE"),$A2697&amp;"|"&amp;(COUNTIFS($A$2:$A2697,$A2697,$E$2:$E2697,"INFRUCTUEUX")+COUNTIFS($A$2:$A2697,$A2697,$E$2:$E2697,"ANNULE")),""))</f>
        <v/>
      </c>
    </row>
    <row r="2698">
      <c r="A2698">
        <f>IF(ISBLANK('ENGAGEMENTS 2026'!B2698),"",IF('ENGAGEMENTS 2026'!B2698="DTSI","DCT",'ENGAGEMENTS 2026'!B2698))</f>
        <v/>
      </c>
      <c r="B2698">
        <f>IF(ISBLANK('ENGAGEMENTS 2026'!B2698),"",'ENGAGEMENTS 2026'!C2698)</f>
        <v/>
      </c>
      <c r="C2698">
        <f>IF(ISBLANK('ENGAGEMENTS 2026'!B2698),"",'ENGAGEMENTS 2026'!D2698)</f>
        <v/>
      </c>
      <c r="D2698">
        <f>IF(ISBLANK('ENGAGEMENTS 2026'!B2698),"",'ENGAGEMENTS 2026'!F2698)</f>
        <v/>
      </c>
      <c r="E2698">
        <f>IF(ISBLANK('ENGAGEMENTS 2026'!B2698),"",'ENGAGEMENTS 2026'!H2698)</f>
        <v/>
      </c>
      <c r="F2698">
        <f>IF(ISBLANK('ENGAGEMENTS 2026'!B2698),"",'ENGAGEMENTS 2026'!I2698)</f>
        <v/>
      </c>
      <c r="G2698">
        <f>IF(ISBLANK('ENGAGEMENTS 2026'!B2698),"",'ENGAGEMENTS 2026'!L2698)</f>
        <v/>
      </c>
      <c r="H2698">
        <f>IF(ISBLANK('ENGAGEMENTS 2026'!B2698),"",'ENGAGEMENTS 2026'!AE2698)</f>
        <v/>
      </c>
      <c r="I2698">
        <f>IF(ISBLANK('ENGAGEMENTS 2026'!B2698),"",'ENGAGEMENTS 2026'!G2698)</f>
        <v/>
      </c>
      <c r="J2698" s="275">
        <f>IF(ISBLANK('ENGAGEMENTS 2026'!B2698),"",IF(AND(OR($E2698="INFRUCTUEUX",$E2698="ANNULE"),$C2698="AOO-M"),'ENGAGEMENTS 2026'!O2698,IF($H2698="EN COURS DE PREENGAGEMENT",'ENGAGEMENTS 2026'!N2698,IF($H2698="PREENGAGE",IF($E2698="ATTRIBUE",'ENGAGEMENTS 2026'!AD2698,'ENGAGEMENTS 2026'!N2698),'ENGAGEMENTS 2026'!AD2698))))</f>
        <v/>
      </c>
      <c r="K2698" s="604">
        <f>IF(ISBLANK('ENGAGEMENTS 2026'!V2698),"",'ENGAGEMENTS 2026'!V2698)</f>
        <v/>
      </c>
      <c r="L2698" s="276">
        <f>IF($K2698="","",TODAY()-$K2698)</f>
        <v/>
      </c>
      <c r="M2698">
        <f>IF($A2698="","",IF($H2698="ENGAGE","Engagé",IF(AND($H2698="NON ENGAGE",OR($I2698="INFRUCTUEUX",$I2698="ANNULE")),"Clôturé sans suite","En cours")))</f>
        <v/>
      </c>
      <c r="N2698">
        <f>IF(ISBLANK('ENGAGEMENTS 2026'!B2698),"",'ENGAGEMENTS 2026'!K2698)</f>
        <v/>
      </c>
      <c r="O2698">
        <f>IF(ISBLANK('ENGAGEMENTS 2026'!B2698),"",'ENGAGEMENTS 2026'!L2698)</f>
        <v/>
      </c>
      <c r="P2698">
        <f>IF(ISBLANK('ENGAGEMENTS 2026'!B2698),"",'ENGAGEMENTS 2026'!J2698)</f>
        <v/>
      </c>
      <c r="Q2698">
        <f>IF($A2698="","",IF(OR($E2698="INFRUCTUEUX",$E2698="ANNULE"),$A2698&amp;"|"&amp;(COUNTIFS($A$2:$A2698,$A2698,$E$2:$E2698,"INFRUCTUEUX")+COUNTIFS($A$2:$A2698,$A2698,$E$2:$E2698,"ANNULE")),""))</f>
        <v/>
      </c>
    </row>
    <row r="2699">
      <c r="A2699">
        <f>IF(ISBLANK('ENGAGEMENTS 2026'!B2699),"",IF('ENGAGEMENTS 2026'!B2699="DTSI","DCT",'ENGAGEMENTS 2026'!B2699))</f>
        <v/>
      </c>
      <c r="B2699">
        <f>IF(ISBLANK('ENGAGEMENTS 2026'!B2699),"",'ENGAGEMENTS 2026'!C2699)</f>
        <v/>
      </c>
      <c r="C2699">
        <f>IF(ISBLANK('ENGAGEMENTS 2026'!B2699),"",'ENGAGEMENTS 2026'!D2699)</f>
        <v/>
      </c>
      <c r="D2699">
        <f>IF(ISBLANK('ENGAGEMENTS 2026'!B2699),"",'ENGAGEMENTS 2026'!F2699)</f>
        <v/>
      </c>
      <c r="E2699">
        <f>IF(ISBLANK('ENGAGEMENTS 2026'!B2699),"",'ENGAGEMENTS 2026'!H2699)</f>
        <v/>
      </c>
      <c r="F2699">
        <f>IF(ISBLANK('ENGAGEMENTS 2026'!B2699),"",'ENGAGEMENTS 2026'!I2699)</f>
        <v/>
      </c>
      <c r="G2699">
        <f>IF(ISBLANK('ENGAGEMENTS 2026'!B2699),"",'ENGAGEMENTS 2026'!L2699)</f>
        <v/>
      </c>
      <c r="H2699">
        <f>IF(ISBLANK('ENGAGEMENTS 2026'!B2699),"",'ENGAGEMENTS 2026'!AE2699)</f>
        <v/>
      </c>
      <c r="I2699">
        <f>IF(ISBLANK('ENGAGEMENTS 2026'!B2699),"",'ENGAGEMENTS 2026'!G2699)</f>
        <v/>
      </c>
      <c r="J2699" s="275">
        <f>IF(ISBLANK('ENGAGEMENTS 2026'!B2699),"",IF(AND(OR($E2699="INFRUCTUEUX",$E2699="ANNULE"),$C2699="AOO-M"),'ENGAGEMENTS 2026'!O2699,IF($H2699="EN COURS DE PREENGAGEMENT",'ENGAGEMENTS 2026'!N2699,IF($H2699="PREENGAGE",IF($E2699="ATTRIBUE",'ENGAGEMENTS 2026'!AD2699,'ENGAGEMENTS 2026'!N2699),'ENGAGEMENTS 2026'!AD2699))))</f>
        <v/>
      </c>
      <c r="K2699" s="604">
        <f>IF(ISBLANK('ENGAGEMENTS 2026'!V2699),"",'ENGAGEMENTS 2026'!V2699)</f>
        <v/>
      </c>
      <c r="L2699" s="276">
        <f>IF($K2699="","",TODAY()-$K2699)</f>
        <v/>
      </c>
      <c r="M2699">
        <f>IF($A2699="","",IF($H2699="ENGAGE","Engagé",IF(AND($H2699="NON ENGAGE",OR($I2699="INFRUCTUEUX",$I2699="ANNULE")),"Clôturé sans suite","En cours")))</f>
        <v/>
      </c>
      <c r="N2699">
        <f>IF(ISBLANK('ENGAGEMENTS 2026'!B2699),"",'ENGAGEMENTS 2026'!K2699)</f>
        <v/>
      </c>
      <c r="O2699">
        <f>IF(ISBLANK('ENGAGEMENTS 2026'!B2699),"",'ENGAGEMENTS 2026'!L2699)</f>
        <v/>
      </c>
      <c r="P2699">
        <f>IF(ISBLANK('ENGAGEMENTS 2026'!B2699),"",'ENGAGEMENTS 2026'!J2699)</f>
        <v/>
      </c>
      <c r="Q2699">
        <f>IF($A2699="","",IF(OR($E2699="INFRUCTUEUX",$E2699="ANNULE"),$A2699&amp;"|"&amp;(COUNTIFS($A$2:$A2699,$A2699,$E$2:$E2699,"INFRUCTUEUX")+COUNTIFS($A$2:$A2699,$A2699,$E$2:$E2699,"ANNULE")),""))</f>
        <v/>
      </c>
    </row>
    <row r="2700">
      <c r="A2700">
        <f>IF(ISBLANK('ENGAGEMENTS 2026'!B2700),"",IF('ENGAGEMENTS 2026'!B2700="DTSI","DCT",'ENGAGEMENTS 2026'!B2700))</f>
        <v/>
      </c>
      <c r="B2700">
        <f>IF(ISBLANK('ENGAGEMENTS 2026'!B2700),"",'ENGAGEMENTS 2026'!C2700)</f>
        <v/>
      </c>
      <c r="C2700">
        <f>IF(ISBLANK('ENGAGEMENTS 2026'!B2700),"",'ENGAGEMENTS 2026'!D2700)</f>
        <v/>
      </c>
      <c r="D2700">
        <f>IF(ISBLANK('ENGAGEMENTS 2026'!B2700),"",'ENGAGEMENTS 2026'!F2700)</f>
        <v/>
      </c>
      <c r="E2700">
        <f>IF(ISBLANK('ENGAGEMENTS 2026'!B2700),"",'ENGAGEMENTS 2026'!H2700)</f>
        <v/>
      </c>
      <c r="F2700">
        <f>IF(ISBLANK('ENGAGEMENTS 2026'!B2700),"",'ENGAGEMENTS 2026'!I2700)</f>
        <v/>
      </c>
      <c r="G2700">
        <f>IF(ISBLANK('ENGAGEMENTS 2026'!B2700),"",'ENGAGEMENTS 2026'!L2700)</f>
        <v/>
      </c>
      <c r="H2700">
        <f>IF(ISBLANK('ENGAGEMENTS 2026'!B2700),"",'ENGAGEMENTS 2026'!AE2700)</f>
        <v/>
      </c>
      <c r="I2700">
        <f>IF(ISBLANK('ENGAGEMENTS 2026'!B2700),"",'ENGAGEMENTS 2026'!G2700)</f>
        <v/>
      </c>
      <c r="J2700" s="275">
        <f>IF(ISBLANK('ENGAGEMENTS 2026'!B2700),"",IF(AND(OR($E2700="INFRUCTUEUX",$E2700="ANNULE"),$C2700="AOO-M"),'ENGAGEMENTS 2026'!O2700,IF($H2700="EN COURS DE PREENGAGEMENT",'ENGAGEMENTS 2026'!N2700,IF($H2700="PREENGAGE",IF($E2700="ATTRIBUE",'ENGAGEMENTS 2026'!AD2700,'ENGAGEMENTS 2026'!N2700),'ENGAGEMENTS 2026'!AD2700))))</f>
        <v/>
      </c>
      <c r="K2700" s="604">
        <f>IF(ISBLANK('ENGAGEMENTS 2026'!V2700),"",'ENGAGEMENTS 2026'!V2700)</f>
        <v/>
      </c>
      <c r="L2700" s="276">
        <f>IF($K2700="","",TODAY()-$K2700)</f>
        <v/>
      </c>
      <c r="M2700">
        <f>IF($A2700="","",IF($H2700="ENGAGE","Engagé",IF(AND($H2700="NON ENGAGE",OR($I2700="INFRUCTUEUX",$I2700="ANNULE")),"Clôturé sans suite","En cours")))</f>
        <v/>
      </c>
      <c r="N2700">
        <f>IF(ISBLANK('ENGAGEMENTS 2026'!B2700),"",'ENGAGEMENTS 2026'!K2700)</f>
        <v/>
      </c>
      <c r="O2700">
        <f>IF(ISBLANK('ENGAGEMENTS 2026'!B2700),"",'ENGAGEMENTS 2026'!L2700)</f>
        <v/>
      </c>
      <c r="P2700">
        <f>IF(ISBLANK('ENGAGEMENTS 2026'!B2700),"",'ENGAGEMENTS 2026'!J2700)</f>
        <v/>
      </c>
      <c r="Q2700">
        <f>IF($A2700="","",IF(OR($E2700="INFRUCTUEUX",$E2700="ANNULE"),$A2700&amp;"|"&amp;(COUNTIFS($A$2:$A2700,$A2700,$E$2:$E2700,"INFRUCTUEUX")+COUNTIFS($A$2:$A2700,$A2700,$E$2:$E2700,"ANNULE")),""))</f>
        <v/>
      </c>
    </row>
    <row r="2701">
      <c r="A2701">
        <f>IF(ISBLANK('ENGAGEMENTS 2026'!B2701),"",IF('ENGAGEMENTS 2026'!B2701="DTSI","DCT",'ENGAGEMENTS 2026'!B2701))</f>
        <v/>
      </c>
      <c r="B2701">
        <f>IF(ISBLANK('ENGAGEMENTS 2026'!B2701),"",'ENGAGEMENTS 2026'!C2701)</f>
        <v/>
      </c>
      <c r="C2701">
        <f>IF(ISBLANK('ENGAGEMENTS 2026'!B2701),"",'ENGAGEMENTS 2026'!D2701)</f>
        <v/>
      </c>
      <c r="D2701">
        <f>IF(ISBLANK('ENGAGEMENTS 2026'!B2701),"",'ENGAGEMENTS 2026'!F2701)</f>
        <v/>
      </c>
      <c r="E2701">
        <f>IF(ISBLANK('ENGAGEMENTS 2026'!B2701),"",'ENGAGEMENTS 2026'!H2701)</f>
        <v/>
      </c>
      <c r="F2701">
        <f>IF(ISBLANK('ENGAGEMENTS 2026'!B2701),"",'ENGAGEMENTS 2026'!I2701)</f>
        <v/>
      </c>
      <c r="G2701">
        <f>IF(ISBLANK('ENGAGEMENTS 2026'!B2701),"",'ENGAGEMENTS 2026'!L2701)</f>
        <v/>
      </c>
      <c r="H2701">
        <f>IF(ISBLANK('ENGAGEMENTS 2026'!B2701),"",'ENGAGEMENTS 2026'!AE2701)</f>
        <v/>
      </c>
      <c r="I2701">
        <f>IF(ISBLANK('ENGAGEMENTS 2026'!B2701),"",'ENGAGEMENTS 2026'!G2701)</f>
        <v/>
      </c>
      <c r="J2701" s="275">
        <f>IF(ISBLANK('ENGAGEMENTS 2026'!B2701),"",IF(AND(OR($E2701="INFRUCTUEUX",$E2701="ANNULE"),$C2701="AOO-M"),'ENGAGEMENTS 2026'!O2701,IF($H2701="EN COURS DE PREENGAGEMENT",'ENGAGEMENTS 2026'!N2701,IF($H2701="PREENGAGE",IF($E2701="ATTRIBUE",'ENGAGEMENTS 2026'!AD2701,'ENGAGEMENTS 2026'!N2701),'ENGAGEMENTS 2026'!AD2701))))</f>
        <v/>
      </c>
      <c r="K2701" s="604">
        <f>IF(ISBLANK('ENGAGEMENTS 2026'!V2701),"",'ENGAGEMENTS 2026'!V2701)</f>
        <v/>
      </c>
      <c r="L2701" s="276">
        <f>IF($K2701="","",TODAY()-$K2701)</f>
        <v/>
      </c>
      <c r="M2701">
        <f>IF($A2701="","",IF($H2701="ENGAGE","Engagé",IF(AND($H2701="NON ENGAGE",OR($I2701="INFRUCTUEUX",$I2701="ANNULE")),"Clôturé sans suite","En cours")))</f>
        <v/>
      </c>
      <c r="N2701">
        <f>IF(ISBLANK('ENGAGEMENTS 2026'!B2701),"",'ENGAGEMENTS 2026'!K2701)</f>
        <v/>
      </c>
      <c r="O2701">
        <f>IF(ISBLANK('ENGAGEMENTS 2026'!B2701),"",'ENGAGEMENTS 2026'!L2701)</f>
        <v/>
      </c>
      <c r="P2701">
        <f>IF(ISBLANK('ENGAGEMENTS 2026'!B2701),"",'ENGAGEMENTS 2026'!J2701)</f>
        <v/>
      </c>
      <c r="Q2701">
        <f>IF($A2701="","",IF(OR($E2701="INFRUCTUEUX",$E2701="ANNULE"),$A2701&amp;"|"&amp;(COUNTIFS($A$2:$A2701,$A2701,$E$2:$E2701,"INFRUCTUEUX")+COUNTIFS($A$2:$A2701,$A2701,$E$2:$E2701,"ANNULE")),""))</f>
        <v/>
      </c>
    </row>
    <row r="2702">
      <c r="A2702">
        <f>IF(ISBLANK('ENGAGEMENTS 2026'!B2702),"",IF('ENGAGEMENTS 2026'!B2702="DTSI","DCT",'ENGAGEMENTS 2026'!B2702))</f>
        <v/>
      </c>
      <c r="B2702">
        <f>IF(ISBLANK('ENGAGEMENTS 2026'!B2702),"",'ENGAGEMENTS 2026'!C2702)</f>
        <v/>
      </c>
      <c r="C2702">
        <f>IF(ISBLANK('ENGAGEMENTS 2026'!B2702),"",'ENGAGEMENTS 2026'!D2702)</f>
        <v/>
      </c>
      <c r="D2702">
        <f>IF(ISBLANK('ENGAGEMENTS 2026'!B2702),"",'ENGAGEMENTS 2026'!F2702)</f>
        <v/>
      </c>
      <c r="E2702">
        <f>IF(ISBLANK('ENGAGEMENTS 2026'!B2702),"",'ENGAGEMENTS 2026'!H2702)</f>
        <v/>
      </c>
      <c r="F2702">
        <f>IF(ISBLANK('ENGAGEMENTS 2026'!B2702),"",'ENGAGEMENTS 2026'!I2702)</f>
        <v/>
      </c>
      <c r="G2702">
        <f>IF(ISBLANK('ENGAGEMENTS 2026'!B2702),"",'ENGAGEMENTS 2026'!L2702)</f>
        <v/>
      </c>
      <c r="H2702">
        <f>IF(ISBLANK('ENGAGEMENTS 2026'!B2702),"",'ENGAGEMENTS 2026'!AE2702)</f>
        <v/>
      </c>
      <c r="I2702">
        <f>IF(ISBLANK('ENGAGEMENTS 2026'!B2702),"",'ENGAGEMENTS 2026'!G2702)</f>
        <v/>
      </c>
      <c r="J2702" s="275">
        <f>IF(ISBLANK('ENGAGEMENTS 2026'!B2702),"",IF(AND(OR($E2702="INFRUCTUEUX",$E2702="ANNULE"),$C2702="AOO-M"),'ENGAGEMENTS 2026'!O2702,IF($H2702="EN COURS DE PREENGAGEMENT",'ENGAGEMENTS 2026'!N2702,IF($H2702="PREENGAGE",IF($E2702="ATTRIBUE",'ENGAGEMENTS 2026'!AD2702,'ENGAGEMENTS 2026'!N2702),'ENGAGEMENTS 2026'!AD2702))))</f>
        <v/>
      </c>
      <c r="K2702" s="604">
        <f>IF(ISBLANK('ENGAGEMENTS 2026'!V2702),"",'ENGAGEMENTS 2026'!V2702)</f>
        <v/>
      </c>
      <c r="L2702" s="276">
        <f>IF($K2702="","",TODAY()-$K2702)</f>
        <v/>
      </c>
      <c r="M2702">
        <f>IF($A2702="","",IF($H2702="ENGAGE","Engagé",IF(AND($H2702="NON ENGAGE",OR($I2702="INFRUCTUEUX",$I2702="ANNULE")),"Clôturé sans suite","En cours")))</f>
        <v/>
      </c>
      <c r="N2702">
        <f>IF(ISBLANK('ENGAGEMENTS 2026'!B2702),"",'ENGAGEMENTS 2026'!K2702)</f>
        <v/>
      </c>
      <c r="O2702">
        <f>IF(ISBLANK('ENGAGEMENTS 2026'!B2702),"",'ENGAGEMENTS 2026'!L2702)</f>
        <v/>
      </c>
      <c r="P2702">
        <f>IF(ISBLANK('ENGAGEMENTS 2026'!B2702),"",'ENGAGEMENTS 2026'!J2702)</f>
        <v/>
      </c>
      <c r="Q2702">
        <f>IF($A2702="","",IF(OR($E2702="INFRUCTUEUX",$E2702="ANNULE"),$A2702&amp;"|"&amp;(COUNTIFS($A$2:$A2702,$A2702,$E$2:$E2702,"INFRUCTUEUX")+COUNTIFS($A$2:$A2702,$A2702,$E$2:$E2702,"ANNULE")),""))</f>
        <v/>
      </c>
    </row>
    <row r="2703">
      <c r="A2703">
        <f>IF(ISBLANK('ENGAGEMENTS 2026'!B2703),"",IF('ENGAGEMENTS 2026'!B2703="DTSI","DCT",'ENGAGEMENTS 2026'!B2703))</f>
        <v/>
      </c>
      <c r="B2703">
        <f>IF(ISBLANK('ENGAGEMENTS 2026'!B2703),"",'ENGAGEMENTS 2026'!C2703)</f>
        <v/>
      </c>
      <c r="C2703">
        <f>IF(ISBLANK('ENGAGEMENTS 2026'!B2703),"",'ENGAGEMENTS 2026'!D2703)</f>
        <v/>
      </c>
      <c r="D2703">
        <f>IF(ISBLANK('ENGAGEMENTS 2026'!B2703),"",'ENGAGEMENTS 2026'!F2703)</f>
        <v/>
      </c>
      <c r="E2703">
        <f>IF(ISBLANK('ENGAGEMENTS 2026'!B2703),"",'ENGAGEMENTS 2026'!H2703)</f>
        <v/>
      </c>
      <c r="F2703">
        <f>IF(ISBLANK('ENGAGEMENTS 2026'!B2703),"",'ENGAGEMENTS 2026'!I2703)</f>
        <v/>
      </c>
      <c r="G2703">
        <f>IF(ISBLANK('ENGAGEMENTS 2026'!B2703),"",'ENGAGEMENTS 2026'!L2703)</f>
        <v/>
      </c>
      <c r="H2703">
        <f>IF(ISBLANK('ENGAGEMENTS 2026'!B2703),"",'ENGAGEMENTS 2026'!AE2703)</f>
        <v/>
      </c>
      <c r="I2703">
        <f>IF(ISBLANK('ENGAGEMENTS 2026'!B2703),"",'ENGAGEMENTS 2026'!G2703)</f>
        <v/>
      </c>
      <c r="J2703" s="275">
        <f>IF(ISBLANK('ENGAGEMENTS 2026'!B2703),"",IF(AND(OR($E2703="INFRUCTUEUX",$E2703="ANNULE"),$C2703="AOO-M"),'ENGAGEMENTS 2026'!O2703,IF($H2703="EN COURS DE PREENGAGEMENT",'ENGAGEMENTS 2026'!N2703,IF($H2703="PREENGAGE",IF($E2703="ATTRIBUE",'ENGAGEMENTS 2026'!AD2703,'ENGAGEMENTS 2026'!N2703),'ENGAGEMENTS 2026'!AD2703))))</f>
        <v/>
      </c>
      <c r="K2703" s="604">
        <f>IF(ISBLANK('ENGAGEMENTS 2026'!V2703),"",'ENGAGEMENTS 2026'!V2703)</f>
        <v/>
      </c>
      <c r="L2703" s="276">
        <f>IF($K2703="","",TODAY()-$K2703)</f>
        <v/>
      </c>
      <c r="M2703">
        <f>IF($A2703="","",IF($H2703="ENGAGE","Engagé",IF(AND($H2703="NON ENGAGE",OR($I2703="INFRUCTUEUX",$I2703="ANNULE")),"Clôturé sans suite","En cours")))</f>
        <v/>
      </c>
      <c r="N2703">
        <f>IF(ISBLANK('ENGAGEMENTS 2026'!B2703),"",'ENGAGEMENTS 2026'!K2703)</f>
        <v/>
      </c>
      <c r="O2703">
        <f>IF(ISBLANK('ENGAGEMENTS 2026'!B2703),"",'ENGAGEMENTS 2026'!L2703)</f>
        <v/>
      </c>
      <c r="P2703">
        <f>IF(ISBLANK('ENGAGEMENTS 2026'!B2703),"",'ENGAGEMENTS 2026'!J2703)</f>
        <v/>
      </c>
      <c r="Q2703">
        <f>IF($A2703="","",IF(OR($E2703="INFRUCTUEUX",$E2703="ANNULE"),$A2703&amp;"|"&amp;(COUNTIFS($A$2:$A2703,$A2703,$E$2:$E2703,"INFRUCTUEUX")+COUNTIFS($A$2:$A2703,$A2703,$E$2:$E2703,"ANNULE")),""))</f>
        <v/>
      </c>
    </row>
    <row r="2704">
      <c r="A2704">
        <f>IF(ISBLANK('ENGAGEMENTS 2026'!B2704),"",IF('ENGAGEMENTS 2026'!B2704="DTSI","DCT",'ENGAGEMENTS 2026'!B2704))</f>
        <v/>
      </c>
      <c r="B2704">
        <f>IF(ISBLANK('ENGAGEMENTS 2026'!B2704),"",'ENGAGEMENTS 2026'!C2704)</f>
        <v/>
      </c>
      <c r="C2704">
        <f>IF(ISBLANK('ENGAGEMENTS 2026'!B2704),"",'ENGAGEMENTS 2026'!D2704)</f>
        <v/>
      </c>
      <c r="D2704">
        <f>IF(ISBLANK('ENGAGEMENTS 2026'!B2704),"",'ENGAGEMENTS 2026'!F2704)</f>
        <v/>
      </c>
      <c r="E2704">
        <f>IF(ISBLANK('ENGAGEMENTS 2026'!B2704),"",'ENGAGEMENTS 2026'!H2704)</f>
        <v/>
      </c>
      <c r="F2704">
        <f>IF(ISBLANK('ENGAGEMENTS 2026'!B2704),"",'ENGAGEMENTS 2026'!I2704)</f>
        <v/>
      </c>
      <c r="G2704">
        <f>IF(ISBLANK('ENGAGEMENTS 2026'!B2704),"",'ENGAGEMENTS 2026'!L2704)</f>
        <v/>
      </c>
      <c r="H2704">
        <f>IF(ISBLANK('ENGAGEMENTS 2026'!B2704),"",'ENGAGEMENTS 2026'!AE2704)</f>
        <v/>
      </c>
      <c r="I2704">
        <f>IF(ISBLANK('ENGAGEMENTS 2026'!B2704),"",'ENGAGEMENTS 2026'!G2704)</f>
        <v/>
      </c>
      <c r="J2704" s="275">
        <f>IF(ISBLANK('ENGAGEMENTS 2026'!B2704),"",IF(AND(OR($E2704="INFRUCTUEUX",$E2704="ANNULE"),$C2704="AOO-M"),'ENGAGEMENTS 2026'!O2704,IF($H2704="EN COURS DE PREENGAGEMENT",'ENGAGEMENTS 2026'!N2704,IF($H2704="PREENGAGE",IF($E2704="ATTRIBUE",'ENGAGEMENTS 2026'!AD2704,'ENGAGEMENTS 2026'!N2704),'ENGAGEMENTS 2026'!AD2704))))</f>
        <v/>
      </c>
      <c r="K2704" s="604">
        <f>IF(ISBLANK('ENGAGEMENTS 2026'!V2704),"",'ENGAGEMENTS 2026'!V2704)</f>
        <v/>
      </c>
      <c r="L2704" s="276">
        <f>IF($K2704="","",TODAY()-$K2704)</f>
        <v/>
      </c>
      <c r="M2704">
        <f>IF($A2704="","",IF($H2704="ENGAGE","Engagé",IF(AND($H2704="NON ENGAGE",OR($I2704="INFRUCTUEUX",$I2704="ANNULE")),"Clôturé sans suite","En cours")))</f>
        <v/>
      </c>
      <c r="N2704">
        <f>IF(ISBLANK('ENGAGEMENTS 2026'!B2704),"",'ENGAGEMENTS 2026'!K2704)</f>
        <v/>
      </c>
      <c r="O2704">
        <f>IF(ISBLANK('ENGAGEMENTS 2026'!B2704),"",'ENGAGEMENTS 2026'!L2704)</f>
        <v/>
      </c>
      <c r="P2704">
        <f>IF(ISBLANK('ENGAGEMENTS 2026'!B2704),"",'ENGAGEMENTS 2026'!J2704)</f>
        <v/>
      </c>
      <c r="Q2704">
        <f>IF($A2704="","",IF(OR($E2704="INFRUCTUEUX",$E2704="ANNULE"),$A2704&amp;"|"&amp;(COUNTIFS($A$2:$A2704,$A2704,$E$2:$E2704,"INFRUCTUEUX")+COUNTIFS($A$2:$A2704,$A2704,$E$2:$E2704,"ANNULE")),""))</f>
        <v/>
      </c>
    </row>
    <row r="2705">
      <c r="A2705">
        <f>IF(ISBLANK('ENGAGEMENTS 2026'!B2705),"",IF('ENGAGEMENTS 2026'!B2705="DTSI","DCT",'ENGAGEMENTS 2026'!B2705))</f>
        <v/>
      </c>
      <c r="B2705">
        <f>IF(ISBLANK('ENGAGEMENTS 2026'!B2705),"",'ENGAGEMENTS 2026'!C2705)</f>
        <v/>
      </c>
      <c r="C2705">
        <f>IF(ISBLANK('ENGAGEMENTS 2026'!B2705),"",'ENGAGEMENTS 2026'!D2705)</f>
        <v/>
      </c>
      <c r="D2705">
        <f>IF(ISBLANK('ENGAGEMENTS 2026'!B2705),"",'ENGAGEMENTS 2026'!F2705)</f>
        <v/>
      </c>
      <c r="E2705">
        <f>IF(ISBLANK('ENGAGEMENTS 2026'!B2705),"",'ENGAGEMENTS 2026'!H2705)</f>
        <v/>
      </c>
      <c r="F2705">
        <f>IF(ISBLANK('ENGAGEMENTS 2026'!B2705),"",'ENGAGEMENTS 2026'!I2705)</f>
        <v/>
      </c>
      <c r="G2705">
        <f>IF(ISBLANK('ENGAGEMENTS 2026'!B2705),"",'ENGAGEMENTS 2026'!L2705)</f>
        <v/>
      </c>
      <c r="H2705">
        <f>IF(ISBLANK('ENGAGEMENTS 2026'!B2705),"",'ENGAGEMENTS 2026'!AE2705)</f>
        <v/>
      </c>
      <c r="I2705">
        <f>IF(ISBLANK('ENGAGEMENTS 2026'!B2705),"",'ENGAGEMENTS 2026'!G2705)</f>
        <v/>
      </c>
      <c r="J2705" s="275">
        <f>IF(ISBLANK('ENGAGEMENTS 2026'!B2705),"",IF(AND(OR($E2705="INFRUCTUEUX",$E2705="ANNULE"),$C2705="AOO-M"),'ENGAGEMENTS 2026'!O2705,IF($H2705="EN COURS DE PREENGAGEMENT",'ENGAGEMENTS 2026'!N2705,IF($H2705="PREENGAGE",IF($E2705="ATTRIBUE",'ENGAGEMENTS 2026'!AD2705,'ENGAGEMENTS 2026'!N2705),'ENGAGEMENTS 2026'!AD2705))))</f>
        <v/>
      </c>
      <c r="K2705" s="604">
        <f>IF(ISBLANK('ENGAGEMENTS 2026'!V2705),"",'ENGAGEMENTS 2026'!V2705)</f>
        <v/>
      </c>
      <c r="L2705" s="276">
        <f>IF($K2705="","",TODAY()-$K2705)</f>
        <v/>
      </c>
      <c r="M2705">
        <f>IF($A2705="","",IF($H2705="ENGAGE","Engagé",IF(AND($H2705="NON ENGAGE",OR($I2705="INFRUCTUEUX",$I2705="ANNULE")),"Clôturé sans suite","En cours")))</f>
        <v/>
      </c>
      <c r="N2705">
        <f>IF(ISBLANK('ENGAGEMENTS 2026'!B2705),"",'ENGAGEMENTS 2026'!K2705)</f>
        <v/>
      </c>
      <c r="O2705">
        <f>IF(ISBLANK('ENGAGEMENTS 2026'!B2705),"",'ENGAGEMENTS 2026'!L2705)</f>
        <v/>
      </c>
      <c r="P2705">
        <f>IF(ISBLANK('ENGAGEMENTS 2026'!B2705),"",'ENGAGEMENTS 2026'!J2705)</f>
        <v/>
      </c>
      <c r="Q2705">
        <f>IF($A2705="","",IF(OR($E2705="INFRUCTUEUX",$E2705="ANNULE"),$A2705&amp;"|"&amp;(COUNTIFS($A$2:$A2705,$A2705,$E$2:$E2705,"INFRUCTUEUX")+COUNTIFS($A$2:$A2705,$A2705,$E$2:$E2705,"ANNULE")),""))</f>
        <v/>
      </c>
    </row>
    <row r="2706">
      <c r="A2706">
        <f>IF(ISBLANK('ENGAGEMENTS 2026'!B2706),"",IF('ENGAGEMENTS 2026'!B2706="DTSI","DCT",'ENGAGEMENTS 2026'!B2706))</f>
        <v/>
      </c>
      <c r="B2706">
        <f>IF(ISBLANK('ENGAGEMENTS 2026'!B2706),"",'ENGAGEMENTS 2026'!C2706)</f>
        <v/>
      </c>
      <c r="C2706">
        <f>IF(ISBLANK('ENGAGEMENTS 2026'!B2706),"",'ENGAGEMENTS 2026'!D2706)</f>
        <v/>
      </c>
      <c r="D2706">
        <f>IF(ISBLANK('ENGAGEMENTS 2026'!B2706),"",'ENGAGEMENTS 2026'!F2706)</f>
        <v/>
      </c>
      <c r="E2706">
        <f>IF(ISBLANK('ENGAGEMENTS 2026'!B2706),"",'ENGAGEMENTS 2026'!H2706)</f>
        <v/>
      </c>
      <c r="F2706">
        <f>IF(ISBLANK('ENGAGEMENTS 2026'!B2706),"",'ENGAGEMENTS 2026'!I2706)</f>
        <v/>
      </c>
      <c r="G2706">
        <f>IF(ISBLANK('ENGAGEMENTS 2026'!B2706),"",'ENGAGEMENTS 2026'!L2706)</f>
        <v/>
      </c>
      <c r="H2706">
        <f>IF(ISBLANK('ENGAGEMENTS 2026'!B2706),"",'ENGAGEMENTS 2026'!AE2706)</f>
        <v/>
      </c>
      <c r="I2706">
        <f>IF(ISBLANK('ENGAGEMENTS 2026'!B2706),"",'ENGAGEMENTS 2026'!G2706)</f>
        <v/>
      </c>
      <c r="J2706" s="275">
        <f>IF(ISBLANK('ENGAGEMENTS 2026'!B2706),"",IF(AND(OR($E2706="INFRUCTUEUX",$E2706="ANNULE"),$C2706="AOO-M"),'ENGAGEMENTS 2026'!O2706,IF($H2706="EN COURS DE PREENGAGEMENT",'ENGAGEMENTS 2026'!N2706,IF($H2706="PREENGAGE",IF($E2706="ATTRIBUE",'ENGAGEMENTS 2026'!AD2706,'ENGAGEMENTS 2026'!N2706),'ENGAGEMENTS 2026'!AD2706))))</f>
        <v/>
      </c>
      <c r="K2706" s="604">
        <f>IF(ISBLANK('ENGAGEMENTS 2026'!V2706),"",'ENGAGEMENTS 2026'!V2706)</f>
        <v/>
      </c>
      <c r="L2706" s="276">
        <f>IF($K2706="","",TODAY()-$K2706)</f>
        <v/>
      </c>
      <c r="M2706">
        <f>IF($A2706="","",IF($H2706="ENGAGE","Engagé",IF(AND($H2706="NON ENGAGE",OR($I2706="INFRUCTUEUX",$I2706="ANNULE")),"Clôturé sans suite","En cours")))</f>
        <v/>
      </c>
      <c r="N2706">
        <f>IF(ISBLANK('ENGAGEMENTS 2026'!B2706),"",'ENGAGEMENTS 2026'!K2706)</f>
        <v/>
      </c>
      <c r="O2706">
        <f>IF(ISBLANK('ENGAGEMENTS 2026'!B2706),"",'ENGAGEMENTS 2026'!L2706)</f>
        <v/>
      </c>
      <c r="P2706">
        <f>IF(ISBLANK('ENGAGEMENTS 2026'!B2706),"",'ENGAGEMENTS 2026'!J2706)</f>
        <v/>
      </c>
      <c r="Q2706">
        <f>IF($A2706="","",IF(OR($E2706="INFRUCTUEUX",$E2706="ANNULE"),$A2706&amp;"|"&amp;(COUNTIFS($A$2:$A2706,$A2706,$E$2:$E2706,"INFRUCTUEUX")+COUNTIFS($A$2:$A2706,$A2706,$E$2:$E2706,"ANNULE")),""))</f>
        <v/>
      </c>
    </row>
    <row r="2707">
      <c r="A2707">
        <f>IF(ISBLANK('ENGAGEMENTS 2026'!B2707),"",IF('ENGAGEMENTS 2026'!B2707="DTSI","DCT",'ENGAGEMENTS 2026'!B2707))</f>
        <v/>
      </c>
      <c r="B2707">
        <f>IF(ISBLANK('ENGAGEMENTS 2026'!B2707),"",'ENGAGEMENTS 2026'!C2707)</f>
        <v/>
      </c>
      <c r="C2707">
        <f>IF(ISBLANK('ENGAGEMENTS 2026'!B2707),"",'ENGAGEMENTS 2026'!D2707)</f>
        <v/>
      </c>
      <c r="D2707">
        <f>IF(ISBLANK('ENGAGEMENTS 2026'!B2707),"",'ENGAGEMENTS 2026'!F2707)</f>
        <v/>
      </c>
      <c r="E2707">
        <f>IF(ISBLANK('ENGAGEMENTS 2026'!B2707),"",'ENGAGEMENTS 2026'!H2707)</f>
        <v/>
      </c>
      <c r="F2707">
        <f>IF(ISBLANK('ENGAGEMENTS 2026'!B2707),"",'ENGAGEMENTS 2026'!I2707)</f>
        <v/>
      </c>
      <c r="G2707">
        <f>IF(ISBLANK('ENGAGEMENTS 2026'!B2707),"",'ENGAGEMENTS 2026'!L2707)</f>
        <v/>
      </c>
      <c r="H2707">
        <f>IF(ISBLANK('ENGAGEMENTS 2026'!B2707),"",'ENGAGEMENTS 2026'!AE2707)</f>
        <v/>
      </c>
      <c r="I2707">
        <f>IF(ISBLANK('ENGAGEMENTS 2026'!B2707),"",'ENGAGEMENTS 2026'!G2707)</f>
        <v/>
      </c>
      <c r="J2707" s="275">
        <f>IF(ISBLANK('ENGAGEMENTS 2026'!B2707),"",IF(AND(OR($E2707="INFRUCTUEUX",$E2707="ANNULE"),$C2707="AOO-M"),'ENGAGEMENTS 2026'!O2707,IF($H2707="EN COURS DE PREENGAGEMENT",'ENGAGEMENTS 2026'!N2707,IF($H2707="PREENGAGE",IF($E2707="ATTRIBUE",'ENGAGEMENTS 2026'!AD2707,'ENGAGEMENTS 2026'!N2707),'ENGAGEMENTS 2026'!AD2707))))</f>
        <v/>
      </c>
      <c r="K2707" s="604">
        <f>IF(ISBLANK('ENGAGEMENTS 2026'!V2707),"",'ENGAGEMENTS 2026'!V2707)</f>
        <v/>
      </c>
      <c r="L2707" s="276">
        <f>IF($K2707="","",TODAY()-$K2707)</f>
        <v/>
      </c>
      <c r="M2707">
        <f>IF($A2707="","",IF($H2707="ENGAGE","Engagé",IF(AND($H2707="NON ENGAGE",OR($I2707="INFRUCTUEUX",$I2707="ANNULE")),"Clôturé sans suite","En cours")))</f>
        <v/>
      </c>
      <c r="N2707">
        <f>IF(ISBLANK('ENGAGEMENTS 2026'!B2707),"",'ENGAGEMENTS 2026'!K2707)</f>
        <v/>
      </c>
      <c r="O2707">
        <f>IF(ISBLANK('ENGAGEMENTS 2026'!B2707),"",'ENGAGEMENTS 2026'!L2707)</f>
        <v/>
      </c>
      <c r="P2707">
        <f>IF(ISBLANK('ENGAGEMENTS 2026'!B2707),"",'ENGAGEMENTS 2026'!J2707)</f>
        <v/>
      </c>
      <c r="Q2707">
        <f>IF($A2707="","",IF(OR($E2707="INFRUCTUEUX",$E2707="ANNULE"),$A2707&amp;"|"&amp;(COUNTIFS($A$2:$A2707,$A2707,$E$2:$E2707,"INFRUCTUEUX")+COUNTIFS($A$2:$A2707,$A2707,$E$2:$E2707,"ANNULE")),""))</f>
        <v/>
      </c>
    </row>
    <row r="2708">
      <c r="A2708">
        <f>IF(ISBLANK('ENGAGEMENTS 2026'!B2708),"",IF('ENGAGEMENTS 2026'!B2708="DTSI","DCT",'ENGAGEMENTS 2026'!B2708))</f>
        <v/>
      </c>
      <c r="B2708">
        <f>IF(ISBLANK('ENGAGEMENTS 2026'!B2708),"",'ENGAGEMENTS 2026'!C2708)</f>
        <v/>
      </c>
      <c r="C2708">
        <f>IF(ISBLANK('ENGAGEMENTS 2026'!B2708),"",'ENGAGEMENTS 2026'!D2708)</f>
        <v/>
      </c>
      <c r="D2708">
        <f>IF(ISBLANK('ENGAGEMENTS 2026'!B2708),"",'ENGAGEMENTS 2026'!F2708)</f>
        <v/>
      </c>
      <c r="E2708">
        <f>IF(ISBLANK('ENGAGEMENTS 2026'!B2708),"",'ENGAGEMENTS 2026'!H2708)</f>
        <v/>
      </c>
      <c r="F2708">
        <f>IF(ISBLANK('ENGAGEMENTS 2026'!B2708),"",'ENGAGEMENTS 2026'!I2708)</f>
        <v/>
      </c>
      <c r="G2708">
        <f>IF(ISBLANK('ENGAGEMENTS 2026'!B2708),"",'ENGAGEMENTS 2026'!L2708)</f>
        <v/>
      </c>
      <c r="H2708">
        <f>IF(ISBLANK('ENGAGEMENTS 2026'!B2708),"",'ENGAGEMENTS 2026'!AE2708)</f>
        <v/>
      </c>
      <c r="I2708">
        <f>IF(ISBLANK('ENGAGEMENTS 2026'!B2708),"",'ENGAGEMENTS 2026'!G2708)</f>
        <v/>
      </c>
      <c r="J2708" s="275">
        <f>IF(ISBLANK('ENGAGEMENTS 2026'!B2708),"",IF(AND(OR($E2708="INFRUCTUEUX",$E2708="ANNULE"),$C2708="AOO-M"),'ENGAGEMENTS 2026'!O2708,IF($H2708="EN COURS DE PREENGAGEMENT",'ENGAGEMENTS 2026'!N2708,IF($H2708="PREENGAGE",IF($E2708="ATTRIBUE",'ENGAGEMENTS 2026'!AD2708,'ENGAGEMENTS 2026'!N2708),'ENGAGEMENTS 2026'!AD2708))))</f>
        <v/>
      </c>
      <c r="K2708" s="604">
        <f>IF(ISBLANK('ENGAGEMENTS 2026'!V2708),"",'ENGAGEMENTS 2026'!V2708)</f>
        <v/>
      </c>
      <c r="L2708" s="276">
        <f>IF($K2708="","",TODAY()-$K2708)</f>
        <v/>
      </c>
      <c r="M2708">
        <f>IF($A2708="","",IF($H2708="ENGAGE","Engagé",IF(AND($H2708="NON ENGAGE",OR($I2708="INFRUCTUEUX",$I2708="ANNULE")),"Clôturé sans suite","En cours")))</f>
        <v/>
      </c>
      <c r="N2708">
        <f>IF(ISBLANK('ENGAGEMENTS 2026'!B2708),"",'ENGAGEMENTS 2026'!K2708)</f>
        <v/>
      </c>
      <c r="O2708">
        <f>IF(ISBLANK('ENGAGEMENTS 2026'!B2708),"",'ENGAGEMENTS 2026'!L2708)</f>
        <v/>
      </c>
      <c r="P2708">
        <f>IF(ISBLANK('ENGAGEMENTS 2026'!B2708),"",'ENGAGEMENTS 2026'!J2708)</f>
        <v/>
      </c>
      <c r="Q2708">
        <f>IF($A2708="","",IF(OR($E2708="INFRUCTUEUX",$E2708="ANNULE"),$A2708&amp;"|"&amp;(COUNTIFS($A$2:$A2708,$A2708,$E$2:$E2708,"INFRUCTUEUX")+COUNTIFS($A$2:$A2708,$A2708,$E$2:$E2708,"ANNULE")),""))</f>
        <v/>
      </c>
    </row>
    <row r="2709">
      <c r="A2709">
        <f>IF(ISBLANK('ENGAGEMENTS 2026'!B2709),"",IF('ENGAGEMENTS 2026'!B2709="DTSI","DCT",'ENGAGEMENTS 2026'!B2709))</f>
        <v/>
      </c>
      <c r="B2709">
        <f>IF(ISBLANK('ENGAGEMENTS 2026'!B2709),"",'ENGAGEMENTS 2026'!C2709)</f>
        <v/>
      </c>
      <c r="C2709">
        <f>IF(ISBLANK('ENGAGEMENTS 2026'!B2709),"",'ENGAGEMENTS 2026'!D2709)</f>
        <v/>
      </c>
      <c r="D2709">
        <f>IF(ISBLANK('ENGAGEMENTS 2026'!B2709),"",'ENGAGEMENTS 2026'!F2709)</f>
        <v/>
      </c>
      <c r="E2709">
        <f>IF(ISBLANK('ENGAGEMENTS 2026'!B2709),"",'ENGAGEMENTS 2026'!H2709)</f>
        <v/>
      </c>
      <c r="F2709">
        <f>IF(ISBLANK('ENGAGEMENTS 2026'!B2709),"",'ENGAGEMENTS 2026'!I2709)</f>
        <v/>
      </c>
      <c r="G2709">
        <f>IF(ISBLANK('ENGAGEMENTS 2026'!B2709),"",'ENGAGEMENTS 2026'!L2709)</f>
        <v/>
      </c>
      <c r="H2709">
        <f>IF(ISBLANK('ENGAGEMENTS 2026'!B2709),"",'ENGAGEMENTS 2026'!AE2709)</f>
        <v/>
      </c>
      <c r="I2709">
        <f>IF(ISBLANK('ENGAGEMENTS 2026'!B2709),"",'ENGAGEMENTS 2026'!G2709)</f>
        <v/>
      </c>
      <c r="J2709" s="275">
        <f>IF(ISBLANK('ENGAGEMENTS 2026'!B2709),"",IF(AND(OR($E2709="INFRUCTUEUX",$E2709="ANNULE"),$C2709="AOO-M"),'ENGAGEMENTS 2026'!O2709,IF($H2709="EN COURS DE PREENGAGEMENT",'ENGAGEMENTS 2026'!N2709,IF($H2709="PREENGAGE",IF($E2709="ATTRIBUE",'ENGAGEMENTS 2026'!AD2709,'ENGAGEMENTS 2026'!N2709),'ENGAGEMENTS 2026'!AD2709))))</f>
        <v/>
      </c>
      <c r="K2709" s="604">
        <f>IF(ISBLANK('ENGAGEMENTS 2026'!V2709),"",'ENGAGEMENTS 2026'!V2709)</f>
        <v/>
      </c>
      <c r="L2709" s="276">
        <f>IF($K2709="","",TODAY()-$K2709)</f>
        <v/>
      </c>
      <c r="M2709">
        <f>IF($A2709="","",IF($H2709="ENGAGE","Engagé",IF(AND($H2709="NON ENGAGE",OR($I2709="INFRUCTUEUX",$I2709="ANNULE")),"Clôturé sans suite","En cours")))</f>
        <v/>
      </c>
      <c r="N2709">
        <f>IF(ISBLANK('ENGAGEMENTS 2026'!B2709),"",'ENGAGEMENTS 2026'!K2709)</f>
        <v/>
      </c>
      <c r="O2709">
        <f>IF(ISBLANK('ENGAGEMENTS 2026'!B2709),"",'ENGAGEMENTS 2026'!L2709)</f>
        <v/>
      </c>
      <c r="P2709">
        <f>IF(ISBLANK('ENGAGEMENTS 2026'!B2709),"",'ENGAGEMENTS 2026'!J2709)</f>
        <v/>
      </c>
      <c r="Q2709">
        <f>IF($A2709="","",IF(OR($E2709="INFRUCTUEUX",$E2709="ANNULE"),$A2709&amp;"|"&amp;(COUNTIFS($A$2:$A2709,$A2709,$E$2:$E2709,"INFRUCTUEUX")+COUNTIFS($A$2:$A2709,$A2709,$E$2:$E2709,"ANNULE")),""))</f>
        <v/>
      </c>
    </row>
    <row r="2710">
      <c r="A2710">
        <f>IF(ISBLANK('ENGAGEMENTS 2026'!B2710),"",IF('ENGAGEMENTS 2026'!B2710="DTSI","DCT",'ENGAGEMENTS 2026'!B2710))</f>
        <v/>
      </c>
      <c r="B2710">
        <f>IF(ISBLANK('ENGAGEMENTS 2026'!B2710),"",'ENGAGEMENTS 2026'!C2710)</f>
        <v/>
      </c>
      <c r="C2710">
        <f>IF(ISBLANK('ENGAGEMENTS 2026'!B2710),"",'ENGAGEMENTS 2026'!D2710)</f>
        <v/>
      </c>
      <c r="D2710">
        <f>IF(ISBLANK('ENGAGEMENTS 2026'!B2710),"",'ENGAGEMENTS 2026'!F2710)</f>
        <v/>
      </c>
      <c r="E2710">
        <f>IF(ISBLANK('ENGAGEMENTS 2026'!B2710),"",'ENGAGEMENTS 2026'!H2710)</f>
        <v/>
      </c>
      <c r="F2710">
        <f>IF(ISBLANK('ENGAGEMENTS 2026'!B2710),"",'ENGAGEMENTS 2026'!I2710)</f>
        <v/>
      </c>
      <c r="G2710">
        <f>IF(ISBLANK('ENGAGEMENTS 2026'!B2710),"",'ENGAGEMENTS 2026'!L2710)</f>
        <v/>
      </c>
      <c r="H2710">
        <f>IF(ISBLANK('ENGAGEMENTS 2026'!B2710),"",'ENGAGEMENTS 2026'!AE2710)</f>
        <v/>
      </c>
      <c r="I2710">
        <f>IF(ISBLANK('ENGAGEMENTS 2026'!B2710),"",'ENGAGEMENTS 2026'!G2710)</f>
        <v/>
      </c>
      <c r="J2710" s="275">
        <f>IF(ISBLANK('ENGAGEMENTS 2026'!B2710),"",IF(AND(OR($E2710="INFRUCTUEUX",$E2710="ANNULE"),$C2710="AOO-M"),'ENGAGEMENTS 2026'!O2710,IF($H2710="EN COURS DE PREENGAGEMENT",'ENGAGEMENTS 2026'!N2710,IF($H2710="PREENGAGE",IF($E2710="ATTRIBUE",'ENGAGEMENTS 2026'!AD2710,'ENGAGEMENTS 2026'!N2710),'ENGAGEMENTS 2026'!AD2710))))</f>
        <v/>
      </c>
      <c r="K2710" s="604">
        <f>IF(ISBLANK('ENGAGEMENTS 2026'!V2710),"",'ENGAGEMENTS 2026'!V2710)</f>
        <v/>
      </c>
      <c r="L2710" s="276">
        <f>IF($K2710="","",TODAY()-$K2710)</f>
        <v/>
      </c>
      <c r="M2710">
        <f>IF($A2710="","",IF($H2710="ENGAGE","Engagé",IF(AND($H2710="NON ENGAGE",OR($I2710="INFRUCTUEUX",$I2710="ANNULE")),"Clôturé sans suite","En cours")))</f>
        <v/>
      </c>
      <c r="N2710">
        <f>IF(ISBLANK('ENGAGEMENTS 2026'!B2710),"",'ENGAGEMENTS 2026'!K2710)</f>
        <v/>
      </c>
      <c r="O2710">
        <f>IF(ISBLANK('ENGAGEMENTS 2026'!B2710),"",'ENGAGEMENTS 2026'!L2710)</f>
        <v/>
      </c>
      <c r="P2710">
        <f>IF(ISBLANK('ENGAGEMENTS 2026'!B2710),"",'ENGAGEMENTS 2026'!J2710)</f>
        <v/>
      </c>
      <c r="Q2710">
        <f>IF($A2710="","",IF(OR($E2710="INFRUCTUEUX",$E2710="ANNULE"),$A2710&amp;"|"&amp;(COUNTIFS($A$2:$A2710,$A2710,$E$2:$E2710,"INFRUCTUEUX")+COUNTIFS($A$2:$A2710,$A2710,$E$2:$E2710,"ANNULE")),""))</f>
        <v/>
      </c>
    </row>
    <row r="2711">
      <c r="A2711">
        <f>IF(ISBLANK('ENGAGEMENTS 2026'!B2711),"",IF('ENGAGEMENTS 2026'!B2711="DTSI","DCT",'ENGAGEMENTS 2026'!B2711))</f>
        <v/>
      </c>
      <c r="B2711">
        <f>IF(ISBLANK('ENGAGEMENTS 2026'!B2711),"",'ENGAGEMENTS 2026'!C2711)</f>
        <v/>
      </c>
      <c r="C2711">
        <f>IF(ISBLANK('ENGAGEMENTS 2026'!B2711),"",'ENGAGEMENTS 2026'!D2711)</f>
        <v/>
      </c>
      <c r="D2711">
        <f>IF(ISBLANK('ENGAGEMENTS 2026'!B2711),"",'ENGAGEMENTS 2026'!F2711)</f>
        <v/>
      </c>
      <c r="E2711">
        <f>IF(ISBLANK('ENGAGEMENTS 2026'!B2711),"",'ENGAGEMENTS 2026'!H2711)</f>
        <v/>
      </c>
      <c r="F2711">
        <f>IF(ISBLANK('ENGAGEMENTS 2026'!B2711),"",'ENGAGEMENTS 2026'!I2711)</f>
        <v/>
      </c>
      <c r="G2711">
        <f>IF(ISBLANK('ENGAGEMENTS 2026'!B2711),"",'ENGAGEMENTS 2026'!L2711)</f>
        <v/>
      </c>
      <c r="H2711">
        <f>IF(ISBLANK('ENGAGEMENTS 2026'!B2711),"",'ENGAGEMENTS 2026'!AE2711)</f>
        <v/>
      </c>
      <c r="I2711">
        <f>IF(ISBLANK('ENGAGEMENTS 2026'!B2711),"",'ENGAGEMENTS 2026'!G2711)</f>
        <v/>
      </c>
      <c r="J2711" s="275">
        <f>IF(ISBLANK('ENGAGEMENTS 2026'!B2711),"",IF(AND(OR($E2711="INFRUCTUEUX",$E2711="ANNULE"),$C2711="AOO-M"),'ENGAGEMENTS 2026'!O2711,IF($H2711="EN COURS DE PREENGAGEMENT",'ENGAGEMENTS 2026'!N2711,IF($H2711="PREENGAGE",IF($E2711="ATTRIBUE",'ENGAGEMENTS 2026'!AD2711,'ENGAGEMENTS 2026'!N2711),'ENGAGEMENTS 2026'!AD2711))))</f>
        <v/>
      </c>
      <c r="K2711" s="604">
        <f>IF(ISBLANK('ENGAGEMENTS 2026'!V2711),"",'ENGAGEMENTS 2026'!V2711)</f>
        <v/>
      </c>
      <c r="L2711" s="276">
        <f>IF($K2711="","",TODAY()-$K2711)</f>
        <v/>
      </c>
      <c r="M2711">
        <f>IF($A2711="","",IF($H2711="ENGAGE","Engagé",IF(AND($H2711="NON ENGAGE",OR($I2711="INFRUCTUEUX",$I2711="ANNULE")),"Clôturé sans suite","En cours")))</f>
        <v/>
      </c>
      <c r="N2711">
        <f>IF(ISBLANK('ENGAGEMENTS 2026'!B2711),"",'ENGAGEMENTS 2026'!K2711)</f>
        <v/>
      </c>
      <c r="O2711">
        <f>IF(ISBLANK('ENGAGEMENTS 2026'!B2711),"",'ENGAGEMENTS 2026'!L2711)</f>
        <v/>
      </c>
      <c r="P2711">
        <f>IF(ISBLANK('ENGAGEMENTS 2026'!B2711),"",'ENGAGEMENTS 2026'!J2711)</f>
        <v/>
      </c>
      <c r="Q2711">
        <f>IF($A2711="","",IF(OR($E2711="INFRUCTUEUX",$E2711="ANNULE"),$A2711&amp;"|"&amp;(COUNTIFS($A$2:$A2711,$A2711,$E$2:$E2711,"INFRUCTUEUX")+COUNTIFS($A$2:$A2711,$A2711,$E$2:$E2711,"ANNULE")),""))</f>
        <v/>
      </c>
    </row>
    <row r="2712">
      <c r="A2712">
        <f>IF(ISBLANK('ENGAGEMENTS 2026'!B2712),"",IF('ENGAGEMENTS 2026'!B2712="DTSI","DCT",'ENGAGEMENTS 2026'!B2712))</f>
        <v/>
      </c>
      <c r="B2712">
        <f>IF(ISBLANK('ENGAGEMENTS 2026'!B2712),"",'ENGAGEMENTS 2026'!C2712)</f>
        <v/>
      </c>
      <c r="C2712">
        <f>IF(ISBLANK('ENGAGEMENTS 2026'!B2712),"",'ENGAGEMENTS 2026'!D2712)</f>
        <v/>
      </c>
      <c r="D2712">
        <f>IF(ISBLANK('ENGAGEMENTS 2026'!B2712),"",'ENGAGEMENTS 2026'!F2712)</f>
        <v/>
      </c>
      <c r="E2712">
        <f>IF(ISBLANK('ENGAGEMENTS 2026'!B2712),"",'ENGAGEMENTS 2026'!H2712)</f>
        <v/>
      </c>
      <c r="F2712">
        <f>IF(ISBLANK('ENGAGEMENTS 2026'!B2712),"",'ENGAGEMENTS 2026'!I2712)</f>
        <v/>
      </c>
      <c r="G2712">
        <f>IF(ISBLANK('ENGAGEMENTS 2026'!B2712),"",'ENGAGEMENTS 2026'!L2712)</f>
        <v/>
      </c>
      <c r="H2712">
        <f>IF(ISBLANK('ENGAGEMENTS 2026'!B2712),"",'ENGAGEMENTS 2026'!AE2712)</f>
        <v/>
      </c>
      <c r="I2712">
        <f>IF(ISBLANK('ENGAGEMENTS 2026'!B2712),"",'ENGAGEMENTS 2026'!G2712)</f>
        <v/>
      </c>
      <c r="J2712" s="275">
        <f>IF(ISBLANK('ENGAGEMENTS 2026'!B2712),"",IF(AND(OR($E2712="INFRUCTUEUX",$E2712="ANNULE"),$C2712="AOO-M"),'ENGAGEMENTS 2026'!O2712,IF($H2712="EN COURS DE PREENGAGEMENT",'ENGAGEMENTS 2026'!N2712,IF($H2712="PREENGAGE",IF($E2712="ATTRIBUE",'ENGAGEMENTS 2026'!AD2712,'ENGAGEMENTS 2026'!N2712),'ENGAGEMENTS 2026'!AD2712))))</f>
        <v/>
      </c>
      <c r="K2712" s="604">
        <f>IF(ISBLANK('ENGAGEMENTS 2026'!V2712),"",'ENGAGEMENTS 2026'!V2712)</f>
        <v/>
      </c>
      <c r="L2712" s="276">
        <f>IF($K2712="","",TODAY()-$K2712)</f>
        <v/>
      </c>
      <c r="M2712">
        <f>IF($A2712="","",IF($H2712="ENGAGE","Engagé",IF(AND($H2712="NON ENGAGE",OR($I2712="INFRUCTUEUX",$I2712="ANNULE")),"Clôturé sans suite","En cours")))</f>
        <v/>
      </c>
      <c r="N2712">
        <f>IF(ISBLANK('ENGAGEMENTS 2026'!B2712),"",'ENGAGEMENTS 2026'!K2712)</f>
        <v/>
      </c>
      <c r="O2712">
        <f>IF(ISBLANK('ENGAGEMENTS 2026'!B2712),"",'ENGAGEMENTS 2026'!L2712)</f>
        <v/>
      </c>
      <c r="P2712">
        <f>IF(ISBLANK('ENGAGEMENTS 2026'!B2712),"",'ENGAGEMENTS 2026'!J2712)</f>
        <v/>
      </c>
      <c r="Q2712">
        <f>IF($A2712="","",IF(OR($E2712="INFRUCTUEUX",$E2712="ANNULE"),$A2712&amp;"|"&amp;(COUNTIFS($A$2:$A2712,$A2712,$E$2:$E2712,"INFRUCTUEUX")+COUNTIFS($A$2:$A2712,$A2712,$E$2:$E2712,"ANNULE")),""))</f>
        <v/>
      </c>
    </row>
    <row r="2713">
      <c r="A2713">
        <f>IF(ISBLANK('ENGAGEMENTS 2026'!B2713),"",IF('ENGAGEMENTS 2026'!B2713="DTSI","DCT",'ENGAGEMENTS 2026'!B2713))</f>
        <v/>
      </c>
      <c r="B2713">
        <f>IF(ISBLANK('ENGAGEMENTS 2026'!B2713),"",'ENGAGEMENTS 2026'!C2713)</f>
        <v/>
      </c>
      <c r="C2713">
        <f>IF(ISBLANK('ENGAGEMENTS 2026'!B2713),"",'ENGAGEMENTS 2026'!D2713)</f>
        <v/>
      </c>
      <c r="D2713">
        <f>IF(ISBLANK('ENGAGEMENTS 2026'!B2713),"",'ENGAGEMENTS 2026'!F2713)</f>
        <v/>
      </c>
      <c r="E2713">
        <f>IF(ISBLANK('ENGAGEMENTS 2026'!B2713),"",'ENGAGEMENTS 2026'!H2713)</f>
        <v/>
      </c>
      <c r="F2713">
        <f>IF(ISBLANK('ENGAGEMENTS 2026'!B2713),"",'ENGAGEMENTS 2026'!I2713)</f>
        <v/>
      </c>
      <c r="G2713">
        <f>IF(ISBLANK('ENGAGEMENTS 2026'!B2713),"",'ENGAGEMENTS 2026'!L2713)</f>
        <v/>
      </c>
      <c r="H2713">
        <f>IF(ISBLANK('ENGAGEMENTS 2026'!B2713),"",'ENGAGEMENTS 2026'!AE2713)</f>
        <v/>
      </c>
      <c r="I2713">
        <f>IF(ISBLANK('ENGAGEMENTS 2026'!B2713),"",'ENGAGEMENTS 2026'!G2713)</f>
        <v/>
      </c>
      <c r="J2713" s="275">
        <f>IF(ISBLANK('ENGAGEMENTS 2026'!B2713),"",IF(AND(OR($E2713="INFRUCTUEUX",$E2713="ANNULE"),$C2713="AOO-M"),'ENGAGEMENTS 2026'!O2713,IF($H2713="EN COURS DE PREENGAGEMENT",'ENGAGEMENTS 2026'!N2713,IF($H2713="PREENGAGE",IF($E2713="ATTRIBUE",'ENGAGEMENTS 2026'!AD2713,'ENGAGEMENTS 2026'!N2713),'ENGAGEMENTS 2026'!AD2713))))</f>
        <v/>
      </c>
      <c r="K2713" s="604">
        <f>IF(ISBLANK('ENGAGEMENTS 2026'!V2713),"",'ENGAGEMENTS 2026'!V2713)</f>
        <v/>
      </c>
      <c r="L2713" s="276">
        <f>IF($K2713="","",TODAY()-$K2713)</f>
        <v/>
      </c>
      <c r="M2713">
        <f>IF($A2713="","",IF($H2713="ENGAGE","Engagé",IF(AND($H2713="NON ENGAGE",OR($I2713="INFRUCTUEUX",$I2713="ANNULE")),"Clôturé sans suite","En cours")))</f>
        <v/>
      </c>
      <c r="N2713">
        <f>IF(ISBLANK('ENGAGEMENTS 2026'!B2713),"",'ENGAGEMENTS 2026'!K2713)</f>
        <v/>
      </c>
      <c r="O2713">
        <f>IF(ISBLANK('ENGAGEMENTS 2026'!B2713),"",'ENGAGEMENTS 2026'!L2713)</f>
        <v/>
      </c>
      <c r="P2713">
        <f>IF(ISBLANK('ENGAGEMENTS 2026'!B2713),"",'ENGAGEMENTS 2026'!J2713)</f>
        <v/>
      </c>
      <c r="Q2713">
        <f>IF($A2713="","",IF(OR($E2713="INFRUCTUEUX",$E2713="ANNULE"),$A2713&amp;"|"&amp;(COUNTIFS($A$2:$A2713,$A2713,$E$2:$E2713,"INFRUCTUEUX")+COUNTIFS($A$2:$A2713,$A2713,$E$2:$E2713,"ANNULE")),""))</f>
        <v/>
      </c>
    </row>
    <row r="2714">
      <c r="A2714">
        <f>IF(ISBLANK('ENGAGEMENTS 2026'!B2714),"",IF('ENGAGEMENTS 2026'!B2714="DTSI","DCT",'ENGAGEMENTS 2026'!B2714))</f>
        <v/>
      </c>
      <c r="B2714">
        <f>IF(ISBLANK('ENGAGEMENTS 2026'!B2714),"",'ENGAGEMENTS 2026'!C2714)</f>
        <v/>
      </c>
      <c r="C2714">
        <f>IF(ISBLANK('ENGAGEMENTS 2026'!B2714),"",'ENGAGEMENTS 2026'!D2714)</f>
        <v/>
      </c>
      <c r="D2714">
        <f>IF(ISBLANK('ENGAGEMENTS 2026'!B2714),"",'ENGAGEMENTS 2026'!F2714)</f>
        <v/>
      </c>
      <c r="E2714">
        <f>IF(ISBLANK('ENGAGEMENTS 2026'!B2714),"",'ENGAGEMENTS 2026'!H2714)</f>
        <v/>
      </c>
      <c r="F2714">
        <f>IF(ISBLANK('ENGAGEMENTS 2026'!B2714),"",'ENGAGEMENTS 2026'!I2714)</f>
        <v/>
      </c>
      <c r="G2714">
        <f>IF(ISBLANK('ENGAGEMENTS 2026'!B2714),"",'ENGAGEMENTS 2026'!L2714)</f>
        <v/>
      </c>
      <c r="H2714">
        <f>IF(ISBLANK('ENGAGEMENTS 2026'!B2714),"",'ENGAGEMENTS 2026'!AE2714)</f>
        <v/>
      </c>
      <c r="I2714">
        <f>IF(ISBLANK('ENGAGEMENTS 2026'!B2714),"",'ENGAGEMENTS 2026'!G2714)</f>
        <v/>
      </c>
      <c r="J2714" s="275">
        <f>IF(ISBLANK('ENGAGEMENTS 2026'!B2714),"",IF(AND(OR($E2714="INFRUCTUEUX",$E2714="ANNULE"),$C2714="AOO-M"),'ENGAGEMENTS 2026'!O2714,IF($H2714="EN COURS DE PREENGAGEMENT",'ENGAGEMENTS 2026'!N2714,IF($H2714="PREENGAGE",IF($E2714="ATTRIBUE",'ENGAGEMENTS 2026'!AD2714,'ENGAGEMENTS 2026'!N2714),'ENGAGEMENTS 2026'!AD2714))))</f>
        <v/>
      </c>
      <c r="K2714" s="604">
        <f>IF(ISBLANK('ENGAGEMENTS 2026'!V2714),"",'ENGAGEMENTS 2026'!V2714)</f>
        <v/>
      </c>
      <c r="L2714" s="276">
        <f>IF($K2714="","",TODAY()-$K2714)</f>
        <v/>
      </c>
      <c r="M2714">
        <f>IF($A2714="","",IF($H2714="ENGAGE","Engagé",IF(AND($H2714="NON ENGAGE",OR($I2714="INFRUCTUEUX",$I2714="ANNULE")),"Clôturé sans suite","En cours")))</f>
        <v/>
      </c>
      <c r="N2714">
        <f>IF(ISBLANK('ENGAGEMENTS 2026'!B2714),"",'ENGAGEMENTS 2026'!K2714)</f>
        <v/>
      </c>
      <c r="O2714">
        <f>IF(ISBLANK('ENGAGEMENTS 2026'!B2714),"",'ENGAGEMENTS 2026'!L2714)</f>
        <v/>
      </c>
      <c r="P2714">
        <f>IF(ISBLANK('ENGAGEMENTS 2026'!B2714),"",'ENGAGEMENTS 2026'!J2714)</f>
        <v/>
      </c>
      <c r="Q2714">
        <f>IF($A2714="","",IF(OR($E2714="INFRUCTUEUX",$E2714="ANNULE"),$A2714&amp;"|"&amp;(COUNTIFS($A$2:$A2714,$A2714,$E$2:$E2714,"INFRUCTUEUX")+COUNTIFS($A$2:$A2714,$A2714,$E$2:$E2714,"ANNULE")),""))</f>
        <v/>
      </c>
    </row>
    <row r="2715">
      <c r="A2715">
        <f>IF(ISBLANK('ENGAGEMENTS 2026'!B2715),"",IF('ENGAGEMENTS 2026'!B2715="DTSI","DCT",'ENGAGEMENTS 2026'!B2715))</f>
        <v/>
      </c>
      <c r="B2715">
        <f>IF(ISBLANK('ENGAGEMENTS 2026'!B2715),"",'ENGAGEMENTS 2026'!C2715)</f>
        <v/>
      </c>
      <c r="C2715">
        <f>IF(ISBLANK('ENGAGEMENTS 2026'!B2715),"",'ENGAGEMENTS 2026'!D2715)</f>
        <v/>
      </c>
      <c r="D2715">
        <f>IF(ISBLANK('ENGAGEMENTS 2026'!B2715),"",'ENGAGEMENTS 2026'!F2715)</f>
        <v/>
      </c>
      <c r="E2715">
        <f>IF(ISBLANK('ENGAGEMENTS 2026'!B2715),"",'ENGAGEMENTS 2026'!H2715)</f>
        <v/>
      </c>
      <c r="F2715">
        <f>IF(ISBLANK('ENGAGEMENTS 2026'!B2715),"",'ENGAGEMENTS 2026'!I2715)</f>
        <v/>
      </c>
      <c r="G2715">
        <f>IF(ISBLANK('ENGAGEMENTS 2026'!B2715),"",'ENGAGEMENTS 2026'!L2715)</f>
        <v/>
      </c>
      <c r="H2715">
        <f>IF(ISBLANK('ENGAGEMENTS 2026'!B2715),"",'ENGAGEMENTS 2026'!AE2715)</f>
        <v/>
      </c>
      <c r="I2715">
        <f>IF(ISBLANK('ENGAGEMENTS 2026'!B2715),"",'ENGAGEMENTS 2026'!G2715)</f>
        <v/>
      </c>
      <c r="J2715" s="275">
        <f>IF(ISBLANK('ENGAGEMENTS 2026'!B2715),"",IF(AND(OR($E2715="INFRUCTUEUX",$E2715="ANNULE"),$C2715="AOO-M"),'ENGAGEMENTS 2026'!O2715,IF($H2715="EN COURS DE PREENGAGEMENT",'ENGAGEMENTS 2026'!N2715,IF($H2715="PREENGAGE",IF($E2715="ATTRIBUE",'ENGAGEMENTS 2026'!AD2715,'ENGAGEMENTS 2026'!N2715),'ENGAGEMENTS 2026'!AD2715))))</f>
        <v/>
      </c>
      <c r="K2715" s="604">
        <f>IF(ISBLANK('ENGAGEMENTS 2026'!V2715),"",'ENGAGEMENTS 2026'!V2715)</f>
        <v/>
      </c>
      <c r="L2715" s="276">
        <f>IF($K2715="","",TODAY()-$K2715)</f>
        <v/>
      </c>
      <c r="M2715">
        <f>IF($A2715="","",IF($H2715="ENGAGE","Engagé",IF(AND($H2715="NON ENGAGE",OR($I2715="INFRUCTUEUX",$I2715="ANNULE")),"Clôturé sans suite","En cours")))</f>
        <v/>
      </c>
      <c r="N2715">
        <f>IF(ISBLANK('ENGAGEMENTS 2026'!B2715),"",'ENGAGEMENTS 2026'!K2715)</f>
        <v/>
      </c>
      <c r="O2715">
        <f>IF(ISBLANK('ENGAGEMENTS 2026'!B2715),"",'ENGAGEMENTS 2026'!L2715)</f>
        <v/>
      </c>
      <c r="P2715">
        <f>IF(ISBLANK('ENGAGEMENTS 2026'!B2715),"",'ENGAGEMENTS 2026'!J2715)</f>
        <v/>
      </c>
      <c r="Q2715">
        <f>IF($A2715="","",IF(OR($E2715="INFRUCTUEUX",$E2715="ANNULE"),$A2715&amp;"|"&amp;(COUNTIFS($A$2:$A2715,$A2715,$E$2:$E2715,"INFRUCTUEUX")+COUNTIFS($A$2:$A2715,$A2715,$E$2:$E2715,"ANNULE")),""))</f>
        <v/>
      </c>
    </row>
    <row r="2716">
      <c r="A2716">
        <f>IF(ISBLANK('ENGAGEMENTS 2026'!B2716),"",IF('ENGAGEMENTS 2026'!B2716="DTSI","DCT",'ENGAGEMENTS 2026'!B2716))</f>
        <v/>
      </c>
      <c r="B2716">
        <f>IF(ISBLANK('ENGAGEMENTS 2026'!B2716),"",'ENGAGEMENTS 2026'!C2716)</f>
        <v/>
      </c>
      <c r="C2716">
        <f>IF(ISBLANK('ENGAGEMENTS 2026'!B2716),"",'ENGAGEMENTS 2026'!D2716)</f>
        <v/>
      </c>
      <c r="D2716">
        <f>IF(ISBLANK('ENGAGEMENTS 2026'!B2716),"",'ENGAGEMENTS 2026'!F2716)</f>
        <v/>
      </c>
      <c r="E2716">
        <f>IF(ISBLANK('ENGAGEMENTS 2026'!B2716),"",'ENGAGEMENTS 2026'!H2716)</f>
        <v/>
      </c>
      <c r="F2716">
        <f>IF(ISBLANK('ENGAGEMENTS 2026'!B2716),"",'ENGAGEMENTS 2026'!I2716)</f>
        <v/>
      </c>
      <c r="G2716">
        <f>IF(ISBLANK('ENGAGEMENTS 2026'!B2716),"",'ENGAGEMENTS 2026'!L2716)</f>
        <v/>
      </c>
      <c r="H2716">
        <f>IF(ISBLANK('ENGAGEMENTS 2026'!B2716),"",'ENGAGEMENTS 2026'!AE2716)</f>
        <v/>
      </c>
      <c r="I2716">
        <f>IF(ISBLANK('ENGAGEMENTS 2026'!B2716),"",'ENGAGEMENTS 2026'!G2716)</f>
        <v/>
      </c>
      <c r="J2716" s="275">
        <f>IF(ISBLANK('ENGAGEMENTS 2026'!B2716),"",IF(AND(OR($E2716="INFRUCTUEUX",$E2716="ANNULE"),$C2716="AOO-M"),'ENGAGEMENTS 2026'!O2716,IF($H2716="EN COURS DE PREENGAGEMENT",'ENGAGEMENTS 2026'!N2716,IF($H2716="PREENGAGE",IF($E2716="ATTRIBUE",'ENGAGEMENTS 2026'!AD2716,'ENGAGEMENTS 2026'!N2716),'ENGAGEMENTS 2026'!AD2716))))</f>
        <v/>
      </c>
      <c r="K2716" s="604">
        <f>IF(ISBLANK('ENGAGEMENTS 2026'!V2716),"",'ENGAGEMENTS 2026'!V2716)</f>
        <v/>
      </c>
      <c r="L2716" s="276">
        <f>IF($K2716="","",TODAY()-$K2716)</f>
        <v/>
      </c>
      <c r="M2716">
        <f>IF($A2716="","",IF($H2716="ENGAGE","Engagé",IF(AND($H2716="NON ENGAGE",OR($I2716="INFRUCTUEUX",$I2716="ANNULE")),"Clôturé sans suite","En cours")))</f>
        <v/>
      </c>
      <c r="N2716">
        <f>IF(ISBLANK('ENGAGEMENTS 2026'!B2716),"",'ENGAGEMENTS 2026'!K2716)</f>
        <v/>
      </c>
      <c r="O2716">
        <f>IF(ISBLANK('ENGAGEMENTS 2026'!B2716),"",'ENGAGEMENTS 2026'!L2716)</f>
        <v/>
      </c>
      <c r="P2716">
        <f>IF(ISBLANK('ENGAGEMENTS 2026'!B2716),"",'ENGAGEMENTS 2026'!J2716)</f>
        <v/>
      </c>
      <c r="Q2716">
        <f>IF($A2716="","",IF(OR($E2716="INFRUCTUEUX",$E2716="ANNULE"),$A2716&amp;"|"&amp;(COUNTIFS($A$2:$A2716,$A2716,$E$2:$E2716,"INFRUCTUEUX")+COUNTIFS($A$2:$A2716,$A2716,$E$2:$E2716,"ANNULE")),""))</f>
        <v/>
      </c>
    </row>
    <row r="2717">
      <c r="A2717">
        <f>IF(ISBLANK('ENGAGEMENTS 2026'!B2717),"",IF('ENGAGEMENTS 2026'!B2717="DTSI","DCT",'ENGAGEMENTS 2026'!B2717))</f>
        <v/>
      </c>
      <c r="B2717">
        <f>IF(ISBLANK('ENGAGEMENTS 2026'!B2717),"",'ENGAGEMENTS 2026'!C2717)</f>
        <v/>
      </c>
      <c r="C2717">
        <f>IF(ISBLANK('ENGAGEMENTS 2026'!B2717),"",'ENGAGEMENTS 2026'!D2717)</f>
        <v/>
      </c>
      <c r="D2717">
        <f>IF(ISBLANK('ENGAGEMENTS 2026'!B2717),"",'ENGAGEMENTS 2026'!F2717)</f>
        <v/>
      </c>
      <c r="E2717">
        <f>IF(ISBLANK('ENGAGEMENTS 2026'!B2717),"",'ENGAGEMENTS 2026'!H2717)</f>
        <v/>
      </c>
      <c r="F2717">
        <f>IF(ISBLANK('ENGAGEMENTS 2026'!B2717),"",'ENGAGEMENTS 2026'!I2717)</f>
        <v/>
      </c>
      <c r="G2717">
        <f>IF(ISBLANK('ENGAGEMENTS 2026'!B2717),"",'ENGAGEMENTS 2026'!L2717)</f>
        <v/>
      </c>
      <c r="H2717">
        <f>IF(ISBLANK('ENGAGEMENTS 2026'!B2717),"",'ENGAGEMENTS 2026'!AE2717)</f>
        <v/>
      </c>
      <c r="I2717">
        <f>IF(ISBLANK('ENGAGEMENTS 2026'!B2717),"",'ENGAGEMENTS 2026'!G2717)</f>
        <v/>
      </c>
      <c r="J2717" s="275">
        <f>IF(ISBLANK('ENGAGEMENTS 2026'!B2717),"",IF(AND(OR($E2717="INFRUCTUEUX",$E2717="ANNULE"),$C2717="AOO-M"),'ENGAGEMENTS 2026'!O2717,IF($H2717="EN COURS DE PREENGAGEMENT",'ENGAGEMENTS 2026'!N2717,IF($H2717="PREENGAGE",IF($E2717="ATTRIBUE",'ENGAGEMENTS 2026'!AD2717,'ENGAGEMENTS 2026'!N2717),'ENGAGEMENTS 2026'!AD2717))))</f>
        <v/>
      </c>
      <c r="K2717" s="604">
        <f>IF(ISBLANK('ENGAGEMENTS 2026'!V2717),"",'ENGAGEMENTS 2026'!V2717)</f>
        <v/>
      </c>
      <c r="L2717" s="276">
        <f>IF($K2717="","",TODAY()-$K2717)</f>
        <v/>
      </c>
      <c r="M2717">
        <f>IF($A2717="","",IF($H2717="ENGAGE","Engagé",IF(AND($H2717="NON ENGAGE",OR($I2717="INFRUCTUEUX",$I2717="ANNULE")),"Clôturé sans suite","En cours")))</f>
        <v/>
      </c>
      <c r="N2717">
        <f>IF(ISBLANK('ENGAGEMENTS 2026'!B2717),"",'ENGAGEMENTS 2026'!K2717)</f>
        <v/>
      </c>
      <c r="O2717">
        <f>IF(ISBLANK('ENGAGEMENTS 2026'!B2717),"",'ENGAGEMENTS 2026'!L2717)</f>
        <v/>
      </c>
      <c r="P2717">
        <f>IF(ISBLANK('ENGAGEMENTS 2026'!B2717),"",'ENGAGEMENTS 2026'!J2717)</f>
        <v/>
      </c>
      <c r="Q2717">
        <f>IF($A2717="","",IF(OR($E2717="INFRUCTUEUX",$E2717="ANNULE"),$A2717&amp;"|"&amp;(COUNTIFS($A$2:$A2717,$A2717,$E$2:$E2717,"INFRUCTUEUX")+COUNTIFS($A$2:$A2717,$A2717,$E$2:$E2717,"ANNULE")),""))</f>
        <v/>
      </c>
    </row>
    <row r="2718">
      <c r="A2718">
        <f>IF(ISBLANK('ENGAGEMENTS 2026'!B2718),"",IF('ENGAGEMENTS 2026'!B2718="DTSI","DCT",'ENGAGEMENTS 2026'!B2718))</f>
        <v/>
      </c>
      <c r="B2718">
        <f>IF(ISBLANK('ENGAGEMENTS 2026'!B2718),"",'ENGAGEMENTS 2026'!C2718)</f>
        <v/>
      </c>
      <c r="C2718">
        <f>IF(ISBLANK('ENGAGEMENTS 2026'!B2718),"",'ENGAGEMENTS 2026'!D2718)</f>
        <v/>
      </c>
      <c r="D2718">
        <f>IF(ISBLANK('ENGAGEMENTS 2026'!B2718),"",'ENGAGEMENTS 2026'!F2718)</f>
        <v/>
      </c>
      <c r="E2718">
        <f>IF(ISBLANK('ENGAGEMENTS 2026'!B2718),"",'ENGAGEMENTS 2026'!H2718)</f>
        <v/>
      </c>
      <c r="F2718">
        <f>IF(ISBLANK('ENGAGEMENTS 2026'!B2718),"",'ENGAGEMENTS 2026'!I2718)</f>
        <v/>
      </c>
      <c r="G2718">
        <f>IF(ISBLANK('ENGAGEMENTS 2026'!B2718),"",'ENGAGEMENTS 2026'!L2718)</f>
        <v/>
      </c>
      <c r="H2718">
        <f>IF(ISBLANK('ENGAGEMENTS 2026'!B2718),"",'ENGAGEMENTS 2026'!AE2718)</f>
        <v/>
      </c>
      <c r="I2718">
        <f>IF(ISBLANK('ENGAGEMENTS 2026'!B2718),"",'ENGAGEMENTS 2026'!G2718)</f>
        <v/>
      </c>
      <c r="J2718" s="275">
        <f>IF(ISBLANK('ENGAGEMENTS 2026'!B2718),"",IF(AND(OR($E2718="INFRUCTUEUX",$E2718="ANNULE"),$C2718="AOO-M"),'ENGAGEMENTS 2026'!O2718,IF($H2718="EN COURS DE PREENGAGEMENT",'ENGAGEMENTS 2026'!N2718,IF($H2718="PREENGAGE",IF($E2718="ATTRIBUE",'ENGAGEMENTS 2026'!AD2718,'ENGAGEMENTS 2026'!N2718),'ENGAGEMENTS 2026'!AD2718))))</f>
        <v/>
      </c>
      <c r="K2718" s="604">
        <f>IF(ISBLANK('ENGAGEMENTS 2026'!V2718),"",'ENGAGEMENTS 2026'!V2718)</f>
        <v/>
      </c>
      <c r="L2718" s="276">
        <f>IF($K2718="","",TODAY()-$K2718)</f>
        <v/>
      </c>
      <c r="M2718">
        <f>IF($A2718="","",IF($H2718="ENGAGE","Engagé",IF(AND($H2718="NON ENGAGE",OR($I2718="INFRUCTUEUX",$I2718="ANNULE")),"Clôturé sans suite","En cours")))</f>
        <v/>
      </c>
      <c r="N2718">
        <f>IF(ISBLANK('ENGAGEMENTS 2026'!B2718),"",'ENGAGEMENTS 2026'!K2718)</f>
        <v/>
      </c>
      <c r="O2718">
        <f>IF(ISBLANK('ENGAGEMENTS 2026'!B2718),"",'ENGAGEMENTS 2026'!L2718)</f>
        <v/>
      </c>
      <c r="P2718">
        <f>IF(ISBLANK('ENGAGEMENTS 2026'!B2718),"",'ENGAGEMENTS 2026'!J2718)</f>
        <v/>
      </c>
      <c r="Q2718">
        <f>IF($A2718="","",IF(OR($E2718="INFRUCTUEUX",$E2718="ANNULE"),$A2718&amp;"|"&amp;(COUNTIFS($A$2:$A2718,$A2718,$E$2:$E2718,"INFRUCTUEUX")+COUNTIFS($A$2:$A2718,$A2718,$E$2:$E2718,"ANNULE")),""))</f>
        <v/>
      </c>
    </row>
    <row r="2719">
      <c r="A2719">
        <f>IF(ISBLANK('ENGAGEMENTS 2026'!B2719),"",IF('ENGAGEMENTS 2026'!B2719="DTSI","DCT",'ENGAGEMENTS 2026'!B2719))</f>
        <v/>
      </c>
      <c r="B2719">
        <f>IF(ISBLANK('ENGAGEMENTS 2026'!B2719),"",'ENGAGEMENTS 2026'!C2719)</f>
        <v/>
      </c>
      <c r="C2719">
        <f>IF(ISBLANK('ENGAGEMENTS 2026'!B2719),"",'ENGAGEMENTS 2026'!D2719)</f>
        <v/>
      </c>
      <c r="D2719">
        <f>IF(ISBLANK('ENGAGEMENTS 2026'!B2719),"",'ENGAGEMENTS 2026'!F2719)</f>
        <v/>
      </c>
      <c r="E2719">
        <f>IF(ISBLANK('ENGAGEMENTS 2026'!B2719),"",'ENGAGEMENTS 2026'!H2719)</f>
        <v/>
      </c>
      <c r="F2719">
        <f>IF(ISBLANK('ENGAGEMENTS 2026'!B2719),"",'ENGAGEMENTS 2026'!I2719)</f>
        <v/>
      </c>
      <c r="G2719">
        <f>IF(ISBLANK('ENGAGEMENTS 2026'!B2719),"",'ENGAGEMENTS 2026'!L2719)</f>
        <v/>
      </c>
      <c r="H2719">
        <f>IF(ISBLANK('ENGAGEMENTS 2026'!B2719),"",'ENGAGEMENTS 2026'!AE2719)</f>
        <v/>
      </c>
      <c r="I2719">
        <f>IF(ISBLANK('ENGAGEMENTS 2026'!B2719),"",'ENGAGEMENTS 2026'!G2719)</f>
        <v/>
      </c>
      <c r="J2719" s="275">
        <f>IF(ISBLANK('ENGAGEMENTS 2026'!B2719),"",IF(AND(OR($E2719="INFRUCTUEUX",$E2719="ANNULE"),$C2719="AOO-M"),'ENGAGEMENTS 2026'!O2719,IF($H2719="EN COURS DE PREENGAGEMENT",'ENGAGEMENTS 2026'!N2719,IF($H2719="PREENGAGE",IF($E2719="ATTRIBUE",'ENGAGEMENTS 2026'!AD2719,'ENGAGEMENTS 2026'!N2719),'ENGAGEMENTS 2026'!AD2719))))</f>
        <v/>
      </c>
      <c r="K2719" s="604">
        <f>IF(ISBLANK('ENGAGEMENTS 2026'!V2719),"",'ENGAGEMENTS 2026'!V2719)</f>
        <v/>
      </c>
      <c r="L2719" s="276">
        <f>IF($K2719="","",TODAY()-$K2719)</f>
        <v/>
      </c>
      <c r="M2719">
        <f>IF($A2719="","",IF($H2719="ENGAGE","Engagé",IF(AND($H2719="NON ENGAGE",OR($I2719="INFRUCTUEUX",$I2719="ANNULE")),"Clôturé sans suite","En cours")))</f>
        <v/>
      </c>
      <c r="N2719">
        <f>IF(ISBLANK('ENGAGEMENTS 2026'!B2719),"",'ENGAGEMENTS 2026'!K2719)</f>
        <v/>
      </c>
      <c r="O2719">
        <f>IF(ISBLANK('ENGAGEMENTS 2026'!B2719),"",'ENGAGEMENTS 2026'!L2719)</f>
        <v/>
      </c>
      <c r="P2719">
        <f>IF(ISBLANK('ENGAGEMENTS 2026'!B2719),"",'ENGAGEMENTS 2026'!J2719)</f>
        <v/>
      </c>
      <c r="Q2719">
        <f>IF($A2719="","",IF(OR($E2719="INFRUCTUEUX",$E2719="ANNULE"),$A2719&amp;"|"&amp;(COUNTIFS($A$2:$A2719,$A2719,$E$2:$E2719,"INFRUCTUEUX")+COUNTIFS($A$2:$A2719,$A2719,$E$2:$E2719,"ANNULE")),""))</f>
        <v/>
      </c>
    </row>
    <row r="2720">
      <c r="A2720">
        <f>IF(ISBLANK('ENGAGEMENTS 2026'!B2720),"",IF('ENGAGEMENTS 2026'!B2720="DTSI","DCT",'ENGAGEMENTS 2026'!B2720))</f>
        <v/>
      </c>
      <c r="B2720">
        <f>IF(ISBLANK('ENGAGEMENTS 2026'!B2720),"",'ENGAGEMENTS 2026'!C2720)</f>
        <v/>
      </c>
      <c r="C2720">
        <f>IF(ISBLANK('ENGAGEMENTS 2026'!B2720),"",'ENGAGEMENTS 2026'!D2720)</f>
        <v/>
      </c>
      <c r="D2720">
        <f>IF(ISBLANK('ENGAGEMENTS 2026'!B2720),"",'ENGAGEMENTS 2026'!F2720)</f>
        <v/>
      </c>
      <c r="E2720">
        <f>IF(ISBLANK('ENGAGEMENTS 2026'!B2720),"",'ENGAGEMENTS 2026'!H2720)</f>
        <v/>
      </c>
      <c r="F2720">
        <f>IF(ISBLANK('ENGAGEMENTS 2026'!B2720),"",'ENGAGEMENTS 2026'!I2720)</f>
        <v/>
      </c>
      <c r="G2720">
        <f>IF(ISBLANK('ENGAGEMENTS 2026'!B2720),"",'ENGAGEMENTS 2026'!L2720)</f>
        <v/>
      </c>
      <c r="H2720">
        <f>IF(ISBLANK('ENGAGEMENTS 2026'!B2720),"",'ENGAGEMENTS 2026'!AE2720)</f>
        <v/>
      </c>
      <c r="I2720">
        <f>IF(ISBLANK('ENGAGEMENTS 2026'!B2720),"",'ENGAGEMENTS 2026'!G2720)</f>
        <v/>
      </c>
      <c r="J2720" s="275">
        <f>IF(ISBLANK('ENGAGEMENTS 2026'!B2720),"",IF(AND(OR($E2720="INFRUCTUEUX",$E2720="ANNULE"),$C2720="AOO-M"),'ENGAGEMENTS 2026'!O2720,IF($H2720="EN COURS DE PREENGAGEMENT",'ENGAGEMENTS 2026'!N2720,IF($H2720="PREENGAGE",IF($E2720="ATTRIBUE",'ENGAGEMENTS 2026'!AD2720,'ENGAGEMENTS 2026'!N2720),'ENGAGEMENTS 2026'!AD2720))))</f>
        <v/>
      </c>
      <c r="K2720" s="604">
        <f>IF(ISBLANK('ENGAGEMENTS 2026'!V2720),"",'ENGAGEMENTS 2026'!V2720)</f>
        <v/>
      </c>
      <c r="L2720" s="276">
        <f>IF($K2720="","",TODAY()-$K2720)</f>
        <v/>
      </c>
      <c r="M2720">
        <f>IF($A2720="","",IF($H2720="ENGAGE","Engagé",IF(AND($H2720="NON ENGAGE",OR($I2720="INFRUCTUEUX",$I2720="ANNULE")),"Clôturé sans suite","En cours")))</f>
        <v/>
      </c>
      <c r="N2720">
        <f>IF(ISBLANK('ENGAGEMENTS 2026'!B2720),"",'ENGAGEMENTS 2026'!K2720)</f>
        <v/>
      </c>
      <c r="O2720">
        <f>IF(ISBLANK('ENGAGEMENTS 2026'!B2720),"",'ENGAGEMENTS 2026'!L2720)</f>
        <v/>
      </c>
      <c r="P2720">
        <f>IF(ISBLANK('ENGAGEMENTS 2026'!B2720),"",'ENGAGEMENTS 2026'!J2720)</f>
        <v/>
      </c>
      <c r="Q2720">
        <f>IF($A2720="","",IF(OR($E2720="INFRUCTUEUX",$E2720="ANNULE"),$A2720&amp;"|"&amp;(COUNTIFS($A$2:$A2720,$A2720,$E$2:$E2720,"INFRUCTUEUX")+COUNTIFS($A$2:$A2720,$A2720,$E$2:$E2720,"ANNULE")),""))</f>
        <v/>
      </c>
    </row>
    <row r="2721">
      <c r="A2721">
        <f>IF(ISBLANK('ENGAGEMENTS 2026'!B2721),"",IF('ENGAGEMENTS 2026'!B2721="DTSI","DCT",'ENGAGEMENTS 2026'!B2721))</f>
        <v/>
      </c>
      <c r="B2721">
        <f>IF(ISBLANK('ENGAGEMENTS 2026'!B2721),"",'ENGAGEMENTS 2026'!C2721)</f>
        <v/>
      </c>
      <c r="C2721">
        <f>IF(ISBLANK('ENGAGEMENTS 2026'!B2721),"",'ENGAGEMENTS 2026'!D2721)</f>
        <v/>
      </c>
      <c r="D2721">
        <f>IF(ISBLANK('ENGAGEMENTS 2026'!B2721),"",'ENGAGEMENTS 2026'!F2721)</f>
        <v/>
      </c>
      <c r="E2721">
        <f>IF(ISBLANK('ENGAGEMENTS 2026'!B2721),"",'ENGAGEMENTS 2026'!H2721)</f>
        <v/>
      </c>
      <c r="F2721">
        <f>IF(ISBLANK('ENGAGEMENTS 2026'!B2721),"",'ENGAGEMENTS 2026'!I2721)</f>
        <v/>
      </c>
      <c r="G2721">
        <f>IF(ISBLANK('ENGAGEMENTS 2026'!B2721),"",'ENGAGEMENTS 2026'!L2721)</f>
        <v/>
      </c>
      <c r="H2721">
        <f>IF(ISBLANK('ENGAGEMENTS 2026'!B2721),"",'ENGAGEMENTS 2026'!AE2721)</f>
        <v/>
      </c>
      <c r="I2721">
        <f>IF(ISBLANK('ENGAGEMENTS 2026'!B2721),"",'ENGAGEMENTS 2026'!G2721)</f>
        <v/>
      </c>
      <c r="J2721" s="275">
        <f>IF(ISBLANK('ENGAGEMENTS 2026'!B2721),"",IF(AND(OR($E2721="INFRUCTUEUX",$E2721="ANNULE"),$C2721="AOO-M"),'ENGAGEMENTS 2026'!O2721,IF($H2721="EN COURS DE PREENGAGEMENT",'ENGAGEMENTS 2026'!N2721,IF($H2721="PREENGAGE",IF($E2721="ATTRIBUE",'ENGAGEMENTS 2026'!AD2721,'ENGAGEMENTS 2026'!N2721),'ENGAGEMENTS 2026'!AD2721))))</f>
        <v/>
      </c>
      <c r="K2721" s="604">
        <f>IF(ISBLANK('ENGAGEMENTS 2026'!V2721),"",'ENGAGEMENTS 2026'!V2721)</f>
        <v/>
      </c>
      <c r="L2721" s="276">
        <f>IF($K2721="","",TODAY()-$K2721)</f>
        <v/>
      </c>
      <c r="M2721">
        <f>IF($A2721="","",IF($H2721="ENGAGE","Engagé",IF(AND($H2721="NON ENGAGE",OR($I2721="INFRUCTUEUX",$I2721="ANNULE")),"Clôturé sans suite","En cours")))</f>
        <v/>
      </c>
      <c r="N2721">
        <f>IF(ISBLANK('ENGAGEMENTS 2026'!B2721),"",'ENGAGEMENTS 2026'!K2721)</f>
        <v/>
      </c>
      <c r="O2721">
        <f>IF(ISBLANK('ENGAGEMENTS 2026'!B2721),"",'ENGAGEMENTS 2026'!L2721)</f>
        <v/>
      </c>
      <c r="P2721">
        <f>IF(ISBLANK('ENGAGEMENTS 2026'!B2721),"",'ENGAGEMENTS 2026'!J2721)</f>
        <v/>
      </c>
      <c r="Q2721">
        <f>IF($A2721="","",IF(OR($E2721="INFRUCTUEUX",$E2721="ANNULE"),$A2721&amp;"|"&amp;(COUNTIFS($A$2:$A2721,$A2721,$E$2:$E2721,"INFRUCTUEUX")+COUNTIFS($A$2:$A2721,$A2721,$E$2:$E2721,"ANNULE")),""))</f>
        <v/>
      </c>
    </row>
    <row r="2722">
      <c r="A2722">
        <f>IF(ISBLANK('ENGAGEMENTS 2026'!B2722),"",IF('ENGAGEMENTS 2026'!B2722="DTSI","DCT",'ENGAGEMENTS 2026'!B2722))</f>
        <v/>
      </c>
      <c r="B2722">
        <f>IF(ISBLANK('ENGAGEMENTS 2026'!B2722),"",'ENGAGEMENTS 2026'!C2722)</f>
        <v/>
      </c>
      <c r="C2722">
        <f>IF(ISBLANK('ENGAGEMENTS 2026'!B2722),"",'ENGAGEMENTS 2026'!D2722)</f>
        <v/>
      </c>
      <c r="D2722">
        <f>IF(ISBLANK('ENGAGEMENTS 2026'!B2722),"",'ENGAGEMENTS 2026'!F2722)</f>
        <v/>
      </c>
      <c r="E2722">
        <f>IF(ISBLANK('ENGAGEMENTS 2026'!B2722),"",'ENGAGEMENTS 2026'!H2722)</f>
        <v/>
      </c>
      <c r="F2722">
        <f>IF(ISBLANK('ENGAGEMENTS 2026'!B2722),"",'ENGAGEMENTS 2026'!I2722)</f>
        <v/>
      </c>
      <c r="G2722">
        <f>IF(ISBLANK('ENGAGEMENTS 2026'!B2722),"",'ENGAGEMENTS 2026'!L2722)</f>
        <v/>
      </c>
      <c r="H2722">
        <f>IF(ISBLANK('ENGAGEMENTS 2026'!B2722),"",'ENGAGEMENTS 2026'!AE2722)</f>
        <v/>
      </c>
      <c r="I2722">
        <f>IF(ISBLANK('ENGAGEMENTS 2026'!B2722),"",'ENGAGEMENTS 2026'!G2722)</f>
        <v/>
      </c>
      <c r="J2722" s="275">
        <f>IF(ISBLANK('ENGAGEMENTS 2026'!B2722),"",IF(AND(OR($E2722="INFRUCTUEUX",$E2722="ANNULE"),$C2722="AOO-M"),'ENGAGEMENTS 2026'!O2722,IF($H2722="EN COURS DE PREENGAGEMENT",'ENGAGEMENTS 2026'!N2722,IF($H2722="PREENGAGE",IF($E2722="ATTRIBUE",'ENGAGEMENTS 2026'!AD2722,'ENGAGEMENTS 2026'!N2722),'ENGAGEMENTS 2026'!AD2722))))</f>
        <v/>
      </c>
      <c r="K2722" s="604">
        <f>IF(ISBLANK('ENGAGEMENTS 2026'!V2722),"",'ENGAGEMENTS 2026'!V2722)</f>
        <v/>
      </c>
      <c r="L2722" s="276">
        <f>IF($K2722="","",TODAY()-$K2722)</f>
        <v/>
      </c>
      <c r="M2722">
        <f>IF($A2722="","",IF($H2722="ENGAGE","Engagé",IF(AND($H2722="NON ENGAGE",OR($I2722="INFRUCTUEUX",$I2722="ANNULE")),"Clôturé sans suite","En cours")))</f>
        <v/>
      </c>
      <c r="N2722">
        <f>IF(ISBLANK('ENGAGEMENTS 2026'!B2722),"",'ENGAGEMENTS 2026'!K2722)</f>
        <v/>
      </c>
      <c r="O2722">
        <f>IF(ISBLANK('ENGAGEMENTS 2026'!B2722),"",'ENGAGEMENTS 2026'!L2722)</f>
        <v/>
      </c>
      <c r="P2722">
        <f>IF(ISBLANK('ENGAGEMENTS 2026'!B2722),"",'ENGAGEMENTS 2026'!J2722)</f>
        <v/>
      </c>
      <c r="Q2722">
        <f>IF($A2722="","",IF(OR($E2722="INFRUCTUEUX",$E2722="ANNULE"),$A2722&amp;"|"&amp;(COUNTIFS($A$2:$A2722,$A2722,$E$2:$E2722,"INFRUCTUEUX")+COUNTIFS($A$2:$A2722,$A2722,$E$2:$E2722,"ANNULE")),""))</f>
        <v/>
      </c>
    </row>
    <row r="2723">
      <c r="A2723">
        <f>IF(ISBLANK('ENGAGEMENTS 2026'!B2723),"",IF('ENGAGEMENTS 2026'!B2723="DTSI","DCT",'ENGAGEMENTS 2026'!B2723))</f>
        <v/>
      </c>
      <c r="B2723">
        <f>IF(ISBLANK('ENGAGEMENTS 2026'!B2723),"",'ENGAGEMENTS 2026'!C2723)</f>
        <v/>
      </c>
      <c r="C2723">
        <f>IF(ISBLANK('ENGAGEMENTS 2026'!B2723),"",'ENGAGEMENTS 2026'!D2723)</f>
        <v/>
      </c>
      <c r="D2723">
        <f>IF(ISBLANK('ENGAGEMENTS 2026'!B2723),"",'ENGAGEMENTS 2026'!F2723)</f>
        <v/>
      </c>
      <c r="E2723">
        <f>IF(ISBLANK('ENGAGEMENTS 2026'!B2723),"",'ENGAGEMENTS 2026'!H2723)</f>
        <v/>
      </c>
      <c r="F2723">
        <f>IF(ISBLANK('ENGAGEMENTS 2026'!B2723),"",'ENGAGEMENTS 2026'!I2723)</f>
        <v/>
      </c>
      <c r="G2723">
        <f>IF(ISBLANK('ENGAGEMENTS 2026'!B2723),"",'ENGAGEMENTS 2026'!L2723)</f>
        <v/>
      </c>
      <c r="H2723">
        <f>IF(ISBLANK('ENGAGEMENTS 2026'!B2723),"",'ENGAGEMENTS 2026'!AE2723)</f>
        <v/>
      </c>
      <c r="I2723">
        <f>IF(ISBLANK('ENGAGEMENTS 2026'!B2723),"",'ENGAGEMENTS 2026'!G2723)</f>
        <v/>
      </c>
      <c r="J2723" s="275">
        <f>IF(ISBLANK('ENGAGEMENTS 2026'!B2723),"",IF(AND(OR($E2723="INFRUCTUEUX",$E2723="ANNULE"),$C2723="AOO-M"),'ENGAGEMENTS 2026'!O2723,IF($H2723="EN COURS DE PREENGAGEMENT",'ENGAGEMENTS 2026'!N2723,IF($H2723="PREENGAGE",IF($E2723="ATTRIBUE",'ENGAGEMENTS 2026'!AD2723,'ENGAGEMENTS 2026'!N2723),'ENGAGEMENTS 2026'!AD2723))))</f>
        <v/>
      </c>
      <c r="K2723" s="604">
        <f>IF(ISBLANK('ENGAGEMENTS 2026'!V2723),"",'ENGAGEMENTS 2026'!V2723)</f>
        <v/>
      </c>
      <c r="L2723" s="276">
        <f>IF($K2723="","",TODAY()-$K2723)</f>
        <v/>
      </c>
      <c r="M2723">
        <f>IF($A2723="","",IF($H2723="ENGAGE","Engagé",IF(AND($H2723="NON ENGAGE",OR($I2723="INFRUCTUEUX",$I2723="ANNULE")),"Clôturé sans suite","En cours")))</f>
        <v/>
      </c>
      <c r="N2723">
        <f>IF(ISBLANK('ENGAGEMENTS 2026'!B2723),"",'ENGAGEMENTS 2026'!K2723)</f>
        <v/>
      </c>
      <c r="O2723">
        <f>IF(ISBLANK('ENGAGEMENTS 2026'!B2723),"",'ENGAGEMENTS 2026'!L2723)</f>
        <v/>
      </c>
      <c r="P2723">
        <f>IF(ISBLANK('ENGAGEMENTS 2026'!B2723),"",'ENGAGEMENTS 2026'!J2723)</f>
        <v/>
      </c>
      <c r="Q2723">
        <f>IF($A2723="","",IF(OR($E2723="INFRUCTUEUX",$E2723="ANNULE"),$A2723&amp;"|"&amp;(COUNTIFS($A$2:$A2723,$A2723,$E$2:$E2723,"INFRUCTUEUX")+COUNTIFS($A$2:$A2723,$A2723,$E$2:$E2723,"ANNULE")),""))</f>
        <v/>
      </c>
    </row>
    <row r="2724">
      <c r="A2724">
        <f>IF(ISBLANK('ENGAGEMENTS 2026'!B2724),"",IF('ENGAGEMENTS 2026'!B2724="DTSI","DCT",'ENGAGEMENTS 2026'!B2724))</f>
        <v/>
      </c>
      <c r="B2724">
        <f>IF(ISBLANK('ENGAGEMENTS 2026'!B2724),"",'ENGAGEMENTS 2026'!C2724)</f>
        <v/>
      </c>
      <c r="C2724">
        <f>IF(ISBLANK('ENGAGEMENTS 2026'!B2724),"",'ENGAGEMENTS 2026'!D2724)</f>
        <v/>
      </c>
      <c r="D2724">
        <f>IF(ISBLANK('ENGAGEMENTS 2026'!B2724),"",'ENGAGEMENTS 2026'!F2724)</f>
        <v/>
      </c>
      <c r="E2724">
        <f>IF(ISBLANK('ENGAGEMENTS 2026'!B2724),"",'ENGAGEMENTS 2026'!H2724)</f>
        <v/>
      </c>
      <c r="F2724">
        <f>IF(ISBLANK('ENGAGEMENTS 2026'!B2724),"",'ENGAGEMENTS 2026'!I2724)</f>
        <v/>
      </c>
      <c r="G2724">
        <f>IF(ISBLANK('ENGAGEMENTS 2026'!B2724),"",'ENGAGEMENTS 2026'!L2724)</f>
        <v/>
      </c>
      <c r="H2724">
        <f>IF(ISBLANK('ENGAGEMENTS 2026'!B2724),"",'ENGAGEMENTS 2026'!AE2724)</f>
        <v/>
      </c>
      <c r="I2724">
        <f>IF(ISBLANK('ENGAGEMENTS 2026'!B2724),"",'ENGAGEMENTS 2026'!G2724)</f>
        <v/>
      </c>
      <c r="J2724" s="275">
        <f>IF(ISBLANK('ENGAGEMENTS 2026'!B2724),"",IF(AND(OR($E2724="INFRUCTUEUX",$E2724="ANNULE"),$C2724="AOO-M"),'ENGAGEMENTS 2026'!O2724,IF($H2724="EN COURS DE PREENGAGEMENT",'ENGAGEMENTS 2026'!N2724,IF($H2724="PREENGAGE",IF($E2724="ATTRIBUE",'ENGAGEMENTS 2026'!AD2724,'ENGAGEMENTS 2026'!N2724),'ENGAGEMENTS 2026'!AD2724))))</f>
        <v/>
      </c>
      <c r="K2724" s="604">
        <f>IF(ISBLANK('ENGAGEMENTS 2026'!V2724),"",'ENGAGEMENTS 2026'!V2724)</f>
        <v/>
      </c>
      <c r="L2724" s="276">
        <f>IF($K2724="","",TODAY()-$K2724)</f>
        <v/>
      </c>
      <c r="M2724">
        <f>IF($A2724="","",IF($H2724="ENGAGE","Engagé",IF(AND($H2724="NON ENGAGE",OR($I2724="INFRUCTUEUX",$I2724="ANNULE")),"Clôturé sans suite","En cours")))</f>
        <v/>
      </c>
      <c r="N2724">
        <f>IF(ISBLANK('ENGAGEMENTS 2026'!B2724),"",'ENGAGEMENTS 2026'!K2724)</f>
        <v/>
      </c>
      <c r="O2724">
        <f>IF(ISBLANK('ENGAGEMENTS 2026'!B2724),"",'ENGAGEMENTS 2026'!L2724)</f>
        <v/>
      </c>
      <c r="P2724">
        <f>IF(ISBLANK('ENGAGEMENTS 2026'!B2724),"",'ENGAGEMENTS 2026'!J2724)</f>
        <v/>
      </c>
      <c r="Q2724">
        <f>IF($A2724="","",IF(OR($E2724="INFRUCTUEUX",$E2724="ANNULE"),$A2724&amp;"|"&amp;(COUNTIFS($A$2:$A2724,$A2724,$E$2:$E2724,"INFRUCTUEUX")+COUNTIFS($A$2:$A2724,$A2724,$E$2:$E2724,"ANNULE")),""))</f>
        <v/>
      </c>
    </row>
    <row r="2725">
      <c r="A2725">
        <f>IF(ISBLANK('ENGAGEMENTS 2026'!B2725),"",IF('ENGAGEMENTS 2026'!B2725="DTSI","DCT",'ENGAGEMENTS 2026'!B2725))</f>
        <v/>
      </c>
      <c r="B2725">
        <f>IF(ISBLANK('ENGAGEMENTS 2026'!B2725),"",'ENGAGEMENTS 2026'!C2725)</f>
        <v/>
      </c>
      <c r="C2725">
        <f>IF(ISBLANK('ENGAGEMENTS 2026'!B2725),"",'ENGAGEMENTS 2026'!D2725)</f>
        <v/>
      </c>
      <c r="D2725">
        <f>IF(ISBLANK('ENGAGEMENTS 2026'!B2725),"",'ENGAGEMENTS 2026'!F2725)</f>
        <v/>
      </c>
      <c r="E2725">
        <f>IF(ISBLANK('ENGAGEMENTS 2026'!B2725),"",'ENGAGEMENTS 2026'!H2725)</f>
        <v/>
      </c>
      <c r="F2725">
        <f>IF(ISBLANK('ENGAGEMENTS 2026'!B2725),"",'ENGAGEMENTS 2026'!I2725)</f>
        <v/>
      </c>
      <c r="G2725">
        <f>IF(ISBLANK('ENGAGEMENTS 2026'!B2725),"",'ENGAGEMENTS 2026'!L2725)</f>
        <v/>
      </c>
      <c r="H2725">
        <f>IF(ISBLANK('ENGAGEMENTS 2026'!B2725),"",'ENGAGEMENTS 2026'!AE2725)</f>
        <v/>
      </c>
      <c r="I2725">
        <f>IF(ISBLANK('ENGAGEMENTS 2026'!B2725),"",'ENGAGEMENTS 2026'!G2725)</f>
        <v/>
      </c>
      <c r="J2725" s="275">
        <f>IF(ISBLANK('ENGAGEMENTS 2026'!B2725),"",IF(AND(OR($E2725="INFRUCTUEUX",$E2725="ANNULE"),$C2725="AOO-M"),'ENGAGEMENTS 2026'!O2725,IF($H2725="EN COURS DE PREENGAGEMENT",'ENGAGEMENTS 2026'!N2725,IF($H2725="PREENGAGE",IF($E2725="ATTRIBUE",'ENGAGEMENTS 2026'!AD2725,'ENGAGEMENTS 2026'!N2725),'ENGAGEMENTS 2026'!AD2725))))</f>
        <v/>
      </c>
      <c r="K2725" s="604">
        <f>IF(ISBLANK('ENGAGEMENTS 2026'!V2725),"",'ENGAGEMENTS 2026'!V2725)</f>
        <v/>
      </c>
      <c r="L2725" s="276">
        <f>IF($K2725="","",TODAY()-$K2725)</f>
        <v/>
      </c>
      <c r="M2725">
        <f>IF($A2725="","",IF($H2725="ENGAGE","Engagé",IF(AND($H2725="NON ENGAGE",OR($I2725="INFRUCTUEUX",$I2725="ANNULE")),"Clôturé sans suite","En cours")))</f>
        <v/>
      </c>
      <c r="N2725">
        <f>IF(ISBLANK('ENGAGEMENTS 2026'!B2725),"",'ENGAGEMENTS 2026'!K2725)</f>
        <v/>
      </c>
      <c r="O2725">
        <f>IF(ISBLANK('ENGAGEMENTS 2026'!B2725),"",'ENGAGEMENTS 2026'!L2725)</f>
        <v/>
      </c>
      <c r="P2725">
        <f>IF(ISBLANK('ENGAGEMENTS 2026'!B2725),"",'ENGAGEMENTS 2026'!J2725)</f>
        <v/>
      </c>
      <c r="Q2725">
        <f>IF($A2725="","",IF(OR($E2725="INFRUCTUEUX",$E2725="ANNULE"),$A2725&amp;"|"&amp;(COUNTIFS($A$2:$A2725,$A2725,$E$2:$E2725,"INFRUCTUEUX")+COUNTIFS($A$2:$A2725,$A2725,$E$2:$E2725,"ANNULE")),""))</f>
        <v/>
      </c>
    </row>
    <row r="2726">
      <c r="A2726">
        <f>IF(ISBLANK('ENGAGEMENTS 2026'!B2726),"",IF('ENGAGEMENTS 2026'!B2726="DTSI","DCT",'ENGAGEMENTS 2026'!B2726))</f>
        <v/>
      </c>
      <c r="B2726">
        <f>IF(ISBLANK('ENGAGEMENTS 2026'!B2726),"",'ENGAGEMENTS 2026'!C2726)</f>
        <v/>
      </c>
      <c r="C2726">
        <f>IF(ISBLANK('ENGAGEMENTS 2026'!B2726),"",'ENGAGEMENTS 2026'!D2726)</f>
        <v/>
      </c>
      <c r="D2726">
        <f>IF(ISBLANK('ENGAGEMENTS 2026'!B2726),"",'ENGAGEMENTS 2026'!F2726)</f>
        <v/>
      </c>
      <c r="E2726">
        <f>IF(ISBLANK('ENGAGEMENTS 2026'!B2726),"",'ENGAGEMENTS 2026'!H2726)</f>
        <v/>
      </c>
      <c r="F2726">
        <f>IF(ISBLANK('ENGAGEMENTS 2026'!B2726),"",'ENGAGEMENTS 2026'!I2726)</f>
        <v/>
      </c>
      <c r="G2726">
        <f>IF(ISBLANK('ENGAGEMENTS 2026'!B2726),"",'ENGAGEMENTS 2026'!L2726)</f>
        <v/>
      </c>
      <c r="H2726">
        <f>IF(ISBLANK('ENGAGEMENTS 2026'!B2726),"",'ENGAGEMENTS 2026'!AE2726)</f>
        <v/>
      </c>
      <c r="I2726">
        <f>IF(ISBLANK('ENGAGEMENTS 2026'!B2726),"",'ENGAGEMENTS 2026'!G2726)</f>
        <v/>
      </c>
      <c r="J2726" s="275">
        <f>IF(ISBLANK('ENGAGEMENTS 2026'!B2726),"",IF(AND(OR($E2726="INFRUCTUEUX",$E2726="ANNULE"),$C2726="AOO-M"),'ENGAGEMENTS 2026'!O2726,IF($H2726="EN COURS DE PREENGAGEMENT",'ENGAGEMENTS 2026'!N2726,IF($H2726="PREENGAGE",IF($E2726="ATTRIBUE",'ENGAGEMENTS 2026'!AD2726,'ENGAGEMENTS 2026'!N2726),'ENGAGEMENTS 2026'!AD2726))))</f>
        <v/>
      </c>
      <c r="K2726" s="604">
        <f>IF(ISBLANK('ENGAGEMENTS 2026'!V2726),"",'ENGAGEMENTS 2026'!V2726)</f>
        <v/>
      </c>
      <c r="L2726" s="276">
        <f>IF($K2726="","",TODAY()-$K2726)</f>
        <v/>
      </c>
      <c r="M2726">
        <f>IF($A2726="","",IF($H2726="ENGAGE","Engagé",IF(AND($H2726="NON ENGAGE",OR($I2726="INFRUCTUEUX",$I2726="ANNULE")),"Clôturé sans suite","En cours")))</f>
        <v/>
      </c>
      <c r="N2726">
        <f>IF(ISBLANK('ENGAGEMENTS 2026'!B2726),"",'ENGAGEMENTS 2026'!K2726)</f>
        <v/>
      </c>
      <c r="O2726">
        <f>IF(ISBLANK('ENGAGEMENTS 2026'!B2726),"",'ENGAGEMENTS 2026'!L2726)</f>
        <v/>
      </c>
      <c r="P2726">
        <f>IF(ISBLANK('ENGAGEMENTS 2026'!B2726),"",'ENGAGEMENTS 2026'!J2726)</f>
        <v/>
      </c>
      <c r="Q2726">
        <f>IF($A2726="","",IF(OR($E2726="INFRUCTUEUX",$E2726="ANNULE"),$A2726&amp;"|"&amp;(COUNTIFS($A$2:$A2726,$A2726,$E$2:$E2726,"INFRUCTUEUX")+COUNTIFS($A$2:$A2726,$A2726,$E$2:$E2726,"ANNULE")),""))</f>
        <v/>
      </c>
    </row>
    <row r="2727">
      <c r="A2727">
        <f>IF(ISBLANK('ENGAGEMENTS 2026'!B2727),"",IF('ENGAGEMENTS 2026'!B2727="DTSI","DCT",'ENGAGEMENTS 2026'!B2727))</f>
        <v/>
      </c>
      <c r="B2727">
        <f>IF(ISBLANK('ENGAGEMENTS 2026'!B2727),"",'ENGAGEMENTS 2026'!C2727)</f>
        <v/>
      </c>
      <c r="C2727">
        <f>IF(ISBLANK('ENGAGEMENTS 2026'!B2727),"",'ENGAGEMENTS 2026'!D2727)</f>
        <v/>
      </c>
      <c r="D2727">
        <f>IF(ISBLANK('ENGAGEMENTS 2026'!B2727),"",'ENGAGEMENTS 2026'!F2727)</f>
        <v/>
      </c>
      <c r="E2727">
        <f>IF(ISBLANK('ENGAGEMENTS 2026'!B2727),"",'ENGAGEMENTS 2026'!H2727)</f>
        <v/>
      </c>
      <c r="F2727">
        <f>IF(ISBLANK('ENGAGEMENTS 2026'!B2727),"",'ENGAGEMENTS 2026'!I2727)</f>
        <v/>
      </c>
      <c r="G2727">
        <f>IF(ISBLANK('ENGAGEMENTS 2026'!B2727),"",'ENGAGEMENTS 2026'!L2727)</f>
        <v/>
      </c>
      <c r="H2727">
        <f>IF(ISBLANK('ENGAGEMENTS 2026'!B2727),"",'ENGAGEMENTS 2026'!AE2727)</f>
        <v/>
      </c>
      <c r="I2727">
        <f>IF(ISBLANK('ENGAGEMENTS 2026'!B2727),"",'ENGAGEMENTS 2026'!G2727)</f>
        <v/>
      </c>
      <c r="J2727" s="275">
        <f>IF(ISBLANK('ENGAGEMENTS 2026'!B2727),"",IF(AND(OR($E2727="INFRUCTUEUX",$E2727="ANNULE"),$C2727="AOO-M"),'ENGAGEMENTS 2026'!O2727,IF($H2727="EN COURS DE PREENGAGEMENT",'ENGAGEMENTS 2026'!N2727,IF($H2727="PREENGAGE",IF($E2727="ATTRIBUE",'ENGAGEMENTS 2026'!AD2727,'ENGAGEMENTS 2026'!N2727),'ENGAGEMENTS 2026'!AD2727))))</f>
        <v/>
      </c>
      <c r="K2727" s="604">
        <f>IF(ISBLANK('ENGAGEMENTS 2026'!V2727),"",'ENGAGEMENTS 2026'!V2727)</f>
        <v/>
      </c>
      <c r="L2727" s="276">
        <f>IF($K2727="","",TODAY()-$K2727)</f>
        <v/>
      </c>
      <c r="M2727">
        <f>IF($A2727="","",IF($H2727="ENGAGE","Engagé",IF(AND($H2727="NON ENGAGE",OR($I2727="INFRUCTUEUX",$I2727="ANNULE")),"Clôturé sans suite","En cours")))</f>
        <v/>
      </c>
      <c r="N2727">
        <f>IF(ISBLANK('ENGAGEMENTS 2026'!B2727),"",'ENGAGEMENTS 2026'!K2727)</f>
        <v/>
      </c>
      <c r="O2727">
        <f>IF(ISBLANK('ENGAGEMENTS 2026'!B2727),"",'ENGAGEMENTS 2026'!L2727)</f>
        <v/>
      </c>
      <c r="P2727">
        <f>IF(ISBLANK('ENGAGEMENTS 2026'!B2727),"",'ENGAGEMENTS 2026'!J2727)</f>
        <v/>
      </c>
      <c r="Q2727">
        <f>IF($A2727="","",IF(OR($E2727="INFRUCTUEUX",$E2727="ANNULE"),$A2727&amp;"|"&amp;(COUNTIFS($A$2:$A2727,$A2727,$E$2:$E2727,"INFRUCTUEUX")+COUNTIFS($A$2:$A2727,$A2727,$E$2:$E2727,"ANNULE")),""))</f>
        <v/>
      </c>
    </row>
    <row r="2728">
      <c r="A2728">
        <f>IF(ISBLANK('ENGAGEMENTS 2026'!B2728),"",IF('ENGAGEMENTS 2026'!B2728="DTSI","DCT",'ENGAGEMENTS 2026'!B2728))</f>
        <v/>
      </c>
      <c r="B2728">
        <f>IF(ISBLANK('ENGAGEMENTS 2026'!B2728),"",'ENGAGEMENTS 2026'!C2728)</f>
        <v/>
      </c>
      <c r="C2728">
        <f>IF(ISBLANK('ENGAGEMENTS 2026'!B2728),"",'ENGAGEMENTS 2026'!D2728)</f>
        <v/>
      </c>
      <c r="D2728">
        <f>IF(ISBLANK('ENGAGEMENTS 2026'!B2728),"",'ENGAGEMENTS 2026'!F2728)</f>
        <v/>
      </c>
      <c r="E2728">
        <f>IF(ISBLANK('ENGAGEMENTS 2026'!B2728),"",'ENGAGEMENTS 2026'!H2728)</f>
        <v/>
      </c>
      <c r="F2728">
        <f>IF(ISBLANK('ENGAGEMENTS 2026'!B2728),"",'ENGAGEMENTS 2026'!I2728)</f>
        <v/>
      </c>
      <c r="G2728">
        <f>IF(ISBLANK('ENGAGEMENTS 2026'!B2728),"",'ENGAGEMENTS 2026'!L2728)</f>
        <v/>
      </c>
      <c r="H2728">
        <f>IF(ISBLANK('ENGAGEMENTS 2026'!B2728),"",'ENGAGEMENTS 2026'!AE2728)</f>
        <v/>
      </c>
      <c r="I2728">
        <f>IF(ISBLANK('ENGAGEMENTS 2026'!B2728),"",'ENGAGEMENTS 2026'!G2728)</f>
        <v/>
      </c>
      <c r="J2728" s="275">
        <f>IF(ISBLANK('ENGAGEMENTS 2026'!B2728),"",IF(AND(OR($E2728="INFRUCTUEUX",$E2728="ANNULE"),$C2728="AOO-M"),'ENGAGEMENTS 2026'!O2728,IF($H2728="EN COURS DE PREENGAGEMENT",'ENGAGEMENTS 2026'!N2728,IF($H2728="PREENGAGE",IF($E2728="ATTRIBUE",'ENGAGEMENTS 2026'!AD2728,'ENGAGEMENTS 2026'!N2728),'ENGAGEMENTS 2026'!AD2728))))</f>
        <v/>
      </c>
      <c r="K2728" s="604">
        <f>IF(ISBLANK('ENGAGEMENTS 2026'!V2728),"",'ENGAGEMENTS 2026'!V2728)</f>
        <v/>
      </c>
      <c r="L2728" s="276">
        <f>IF($K2728="","",TODAY()-$K2728)</f>
        <v/>
      </c>
      <c r="M2728">
        <f>IF($A2728="","",IF($H2728="ENGAGE","Engagé",IF(AND($H2728="NON ENGAGE",OR($I2728="INFRUCTUEUX",$I2728="ANNULE")),"Clôturé sans suite","En cours")))</f>
        <v/>
      </c>
      <c r="N2728">
        <f>IF(ISBLANK('ENGAGEMENTS 2026'!B2728),"",'ENGAGEMENTS 2026'!K2728)</f>
        <v/>
      </c>
      <c r="O2728">
        <f>IF(ISBLANK('ENGAGEMENTS 2026'!B2728),"",'ENGAGEMENTS 2026'!L2728)</f>
        <v/>
      </c>
      <c r="P2728">
        <f>IF(ISBLANK('ENGAGEMENTS 2026'!B2728),"",'ENGAGEMENTS 2026'!J2728)</f>
        <v/>
      </c>
      <c r="Q2728">
        <f>IF($A2728="","",IF(OR($E2728="INFRUCTUEUX",$E2728="ANNULE"),$A2728&amp;"|"&amp;(COUNTIFS($A$2:$A2728,$A2728,$E$2:$E2728,"INFRUCTUEUX")+COUNTIFS($A$2:$A2728,$A2728,$E$2:$E2728,"ANNULE")),""))</f>
        <v/>
      </c>
    </row>
    <row r="2729">
      <c r="A2729">
        <f>IF(ISBLANK('ENGAGEMENTS 2026'!B2729),"",IF('ENGAGEMENTS 2026'!B2729="DTSI","DCT",'ENGAGEMENTS 2026'!B2729))</f>
        <v/>
      </c>
      <c r="B2729">
        <f>IF(ISBLANK('ENGAGEMENTS 2026'!B2729),"",'ENGAGEMENTS 2026'!C2729)</f>
        <v/>
      </c>
      <c r="C2729">
        <f>IF(ISBLANK('ENGAGEMENTS 2026'!B2729),"",'ENGAGEMENTS 2026'!D2729)</f>
        <v/>
      </c>
      <c r="D2729">
        <f>IF(ISBLANK('ENGAGEMENTS 2026'!B2729),"",'ENGAGEMENTS 2026'!F2729)</f>
        <v/>
      </c>
      <c r="E2729">
        <f>IF(ISBLANK('ENGAGEMENTS 2026'!B2729),"",'ENGAGEMENTS 2026'!H2729)</f>
        <v/>
      </c>
      <c r="F2729">
        <f>IF(ISBLANK('ENGAGEMENTS 2026'!B2729),"",'ENGAGEMENTS 2026'!I2729)</f>
        <v/>
      </c>
      <c r="G2729">
        <f>IF(ISBLANK('ENGAGEMENTS 2026'!B2729),"",'ENGAGEMENTS 2026'!L2729)</f>
        <v/>
      </c>
      <c r="H2729">
        <f>IF(ISBLANK('ENGAGEMENTS 2026'!B2729),"",'ENGAGEMENTS 2026'!AE2729)</f>
        <v/>
      </c>
      <c r="I2729">
        <f>IF(ISBLANK('ENGAGEMENTS 2026'!B2729),"",'ENGAGEMENTS 2026'!G2729)</f>
        <v/>
      </c>
      <c r="J2729" s="275">
        <f>IF(ISBLANK('ENGAGEMENTS 2026'!B2729),"",IF(AND(OR($E2729="INFRUCTUEUX",$E2729="ANNULE"),$C2729="AOO-M"),'ENGAGEMENTS 2026'!O2729,IF($H2729="EN COURS DE PREENGAGEMENT",'ENGAGEMENTS 2026'!N2729,IF($H2729="PREENGAGE",IF($E2729="ATTRIBUE",'ENGAGEMENTS 2026'!AD2729,'ENGAGEMENTS 2026'!N2729),'ENGAGEMENTS 2026'!AD2729))))</f>
        <v/>
      </c>
      <c r="K2729" s="604">
        <f>IF(ISBLANK('ENGAGEMENTS 2026'!V2729),"",'ENGAGEMENTS 2026'!V2729)</f>
        <v/>
      </c>
      <c r="L2729" s="276">
        <f>IF($K2729="","",TODAY()-$K2729)</f>
        <v/>
      </c>
      <c r="M2729">
        <f>IF($A2729="","",IF($H2729="ENGAGE","Engagé",IF(AND($H2729="NON ENGAGE",OR($I2729="INFRUCTUEUX",$I2729="ANNULE")),"Clôturé sans suite","En cours")))</f>
        <v/>
      </c>
      <c r="N2729">
        <f>IF(ISBLANK('ENGAGEMENTS 2026'!B2729),"",'ENGAGEMENTS 2026'!K2729)</f>
        <v/>
      </c>
      <c r="O2729">
        <f>IF(ISBLANK('ENGAGEMENTS 2026'!B2729),"",'ENGAGEMENTS 2026'!L2729)</f>
        <v/>
      </c>
      <c r="P2729">
        <f>IF(ISBLANK('ENGAGEMENTS 2026'!B2729),"",'ENGAGEMENTS 2026'!J2729)</f>
        <v/>
      </c>
      <c r="Q2729">
        <f>IF($A2729="","",IF(OR($E2729="INFRUCTUEUX",$E2729="ANNULE"),$A2729&amp;"|"&amp;(COUNTIFS($A$2:$A2729,$A2729,$E$2:$E2729,"INFRUCTUEUX")+COUNTIFS($A$2:$A2729,$A2729,$E$2:$E2729,"ANNULE")),""))</f>
        <v/>
      </c>
    </row>
    <row r="2730">
      <c r="A2730">
        <f>IF(ISBLANK('ENGAGEMENTS 2026'!B2730),"",IF('ENGAGEMENTS 2026'!B2730="DTSI","DCT",'ENGAGEMENTS 2026'!B2730))</f>
        <v/>
      </c>
      <c r="B2730">
        <f>IF(ISBLANK('ENGAGEMENTS 2026'!B2730),"",'ENGAGEMENTS 2026'!C2730)</f>
        <v/>
      </c>
      <c r="C2730">
        <f>IF(ISBLANK('ENGAGEMENTS 2026'!B2730),"",'ENGAGEMENTS 2026'!D2730)</f>
        <v/>
      </c>
      <c r="D2730">
        <f>IF(ISBLANK('ENGAGEMENTS 2026'!B2730),"",'ENGAGEMENTS 2026'!F2730)</f>
        <v/>
      </c>
      <c r="E2730">
        <f>IF(ISBLANK('ENGAGEMENTS 2026'!B2730),"",'ENGAGEMENTS 2026'!H2730)</f>
        <v/>
      </c>
      <c r="F2730">
        <f>IF(ISBLANK('ENGAGEMENTS 2026'!B2730),"",'ENGAGEMENTS 2026'!I2730)</f>
        <v/>
      </c>
      <c r="G2730">
        <f>IF(ISBLANK('ENGAGEMENTS 2026'!B2730),"",'ENGAGEMENTS 2026'!L2730)</f>
        <v/>
      </c>
      <c r="H2730">
        <f>IF(ISBLANK('ENGAGEMENTS 2026'!B2730),"",'ENGAGEMENTS 2026'!AE2730)</f>
        <v/>
      </c>
      <c r="I2730">
        <f>IF(ISBLANK('ENGAGEMENTS 2026'!B2730),"",'ENGAGEMENTS 2026'!G2730)</f>
        <v/>
      </c>
      <c r="J2730" s="275">
        <f>IF(ISBLANK('ENGAGEMENTS 2026'!B2730),"",IF(AND(OR($E2730="INFRUCTUEUX",$E2730="ANNULE"),$C2730="AOO-M"),'ENGAGEMENTS 2026'!O2730,IF($H2730="EN COURS DE PREENGAGEMENT",'ENGAGEMENTS 2026'!N2730,IF($H2730="PREENGAGE",IF($E2730="ATTRIBUE",'ENGAGEMENTS 2026'!AD2730,'ENGAGEMENTS 2026'!N2730),'ENGAGEMENTS 2026'!AD2730))))</f>
        <v/>
      </c>
      <c r="K2730" s="604">
        <f>IF(ISBLANK('ENGAGEMENTS 2026'!V2730),"",'ENGAGEMENTS 2026'!V2730)</f>
        <v/>
      </c>
      <c r="L2730" s="276">
        <f>IF($K2730="","",TODAY()-$K2730)</f>
        <v/>
      </c>
      <c r="M2730">
        <f>IF($A2730="","",IF($H2730="ENGAGE","Engagé",IF(AND($H2730="NON ENGAGE",OR($I2730="INFRUCTUEUX",$I2730="ANNULE")),"Clôturé sans suite","En cours")))</f>
        <v/>
      </c>
      <c r="N2730">
        <f>IF(ISBLANK('ENGAGEMENTS 2026'!B2730),"",'ENGAGEMENTS 2026'!K2730)</f>
        <v/>
      </c>
      <c r="O2730">
        <f>IF(ISBLANK('ENGAGEMENTS 2026'!B2730),"",'ENGAGEMENTS 2026'!L2730)</f>
        <v/>
      </c>
      <c r="P2730">
        <f>IF(ISBLANK('ENGAGEMENTS 2026'!B2730),"",'ENGAGEMENTS 2026'!J2730)</f>
        <v/>
      </c>
      <c r="Q2730">
        <f>IF($A2730="","",IF(OR($E2730="INFRUCTUEUX",$E2730="ANNULE"),$A2730&amp;"|"&amp;(COUNTIFS($A$2:$A2730,$A2730,$E$2:$E2730,"INFRUCTUEUX")+COUNTIFS($A$2:$A2730,$A2730,$E$2:$E2730,"ANNULE")),""))</f>
        <v/>
      </c>
    </row>
    <row r="2731">
      <c r="A2731">
        <f>IF(ISBLANK('ENGAGEMENTS 2026'!B2731),"",IF('ENGAGEMENTS 2026'!B2731="DTSI","DCT",'ENGAGEMENTS 2026'!B2731))</f>
        <v/>
      </c>
      <c r="B2731">
        <f>IF(ISBLANK('ENGAGEMENTS 2026'!B2731),"",'ENGAGEMENTS 2026'!C2731)</f>
        <v/>
      </c>
      <c r="C2731">
        <f>IF(ISBLANK('ENGAGEMENTS 2026'!B2731),"",'ENGAGEMENTS 2026'!D2731)</f>
        <v/>
      </c>
      <c r="D2731">
        <f>IF(ISBLANK('ENGAGEMENTS 2026'!B2731),"",'ENGAGEMENTS 2026'!F2731)</f>
        <v/>
      </c>
      <c r="E2731">
        <f>IF(ISBLANK('ENGAGEMENTS 2026'!B2731),"",'ENGAGEMENTS 2026'!H2731)</f>
        <v/>
      </c>
      <c r="F2731">
        <f>IF(ISBLANK('ENGAGEMENTS 2026'!B2731),"",'ENGAGEMENTS 2026'!I2731)</f>
        <v/>
      </c>
      <c r="G2731">
        <f>IF(ISBLANK('ENGAGEMENTS 2026'!B2731),"",'ENGAGEMENTS 2026'!L2731)</f>
        <v/>
      </c>
      <c r="H2731">
        <f>IF(ISBLANK('ENGAGEMENTS 2026'!B2731),"",'ENGAGEMENTS 2026'!AE2731)</f>
        <v/>
      </c>
      <c r="I2731">
        <f>IF(ISBLANK('ENGAGEMENTS 2026'!B2731),"",'ENGAGEMENTS 2026'!G2731)</f>
        <v/>
      </c>
      <c r="J2731" s="275">
        <f>IF(ISBLANK('ENGAGEMENTS 2026'!B2731),"",IF(AND(OR($E2731="INFRUCTUEUX",$E2731="ANNULE"),$C2731="AOO-M"),'ENGAGEMENTS 2026'!O2731,IF($H2731="EN COURS DE PREENGAGEMENT",'ENGAGEMENTS 2026'!N2731,IF($H2731="PREENGAGE",IF($E2731="ATTRIBUE",'ENGAGEMENTS 2026'!AD2731,'ENGAGEMENTS 2026'!N2731),'ENGAGEMENTS 2026'!AD2731))))</f>
        <v/>
      </c>
      <c r="K2731" s="604">
        <f>IF(ISBLANK('ENGAGEMENTS 2026'!V2731),"",'ENGAGEMENTS 2026'!V2731)</f>
        <v/>
      </c>
      <c r="L2731" s="276">
        <f>IF($K2731="","",TODAY()-$K2731)</f>
        <v/>
      </c>
      <c r="M2731">
        <f>IF($A2731="","",IF($H2731="ENGAGE","Engagé",IF(AND($H2731="NON ENGAGE",OR($I2731="INFRUCTUEUX",$I2731="ANNULE")),"Clôturé sans suite","En cours")))</f>
        <v/>
      </c>
      <c r="N2731">
        <f>IF(ISBLANK('ENGAGEMENTS 2026'!B2731),"",'ENGAGEMENTS 2026'!K2731)</f>
        <v/>
      </c>
      <c r="O2731">
        <f>IF(ISBLANK('ENGAGEMENTS 2026'!B2731),"",'ENGAGEMENTS 2026'!L2731)</f>
        <v/>
      </c>
      <c r="P2731">
        <f>IF(ISBLANK('ENGAGEMENTS 2026'!B2731),"",'ENGAGEMENTS 2026'!J2731)</f>
        <v/>
      </c>
      <c r="Q2731">
        <f>IF($A2731="","",IF(OR($E2731="INFRUCTUEUX",$E2731="ANNULE"),$A2731&amp;"|"&amp;(COUNTIFS($A$2:$A2731,$A2731,$E$2:$E2731,"INFRUCTUEUX")+COUNTIFS($A$2:$A2731,$A2731,$E$2:$E2731,"ANNULE")),""))</f>
        <v/>
      </c>
    </row>
    <row r="2732">
      <c r="A2732">
        <f>IF(ISBLANK('ENGAGEMENTS 2026'!B2732),"",IF('ENGAGEMENTS 2026'!B2732="DTSI","DCT",'ENGAGEMENTS 2026'!B2732))</f>
        <v/>
      </c>
      <c r="B2732">
        <f>IF(ISBLANK('ENGAGEMENTS 2026'!B2732),"",'ENGAGEMENTS 2026'!C2732)</f>
        <v/>
      </c>
      <c r="C2732">
        <f>IF(ISBLANK('ENGAGEMENTS 2026'!B2732),"",'ENGAGEMENTS 2026'!D2732)</f>
        <v/>
      </c>
      <c r="D2732">
        <f>IF(ISBLANK('ENGAGEMENTS 2026'!B2732),"",'ENGAGEMENTS 2026'!F2732)</f>
        <v/>
      </c>
      <c r="E2732">
        <f>IF(ISBLANK('ENGAGEMENTS 2026'!B2732),"",'ENGAGEMENTS 2026'!H2732)</f>
        <v/>
      </c>
      <c r="F2732">
        <f>IF(ISBLANK('ENGAGEMENTS 2026'!B2732),"",'ENGAGEMENTS 2026'!I2732)</f>
        <v/>
      </c>
      <c r="G2732">
        <f>IF(ISBLANK('ENGAGEMENTS 2026'!B2732),"",'ENGAGEMENTS 2026'!L2732)</f>
        <v/>
      </c>
      <c r="H2732">
        <f>IF(ISBLANK('ENGAGEMENTS 2026'!B2732),"",'ENGAGEMENTS 2026'!AE2732)</f>
        <v/>
      </c>
      <c r="I2732">
        <f>IF(ISBLANK('ENGAGEMENTS 2026'!B2732),"",'ENGAGEMENTS 2026'!G2732)</f>
        <v/>
      </c>
      <c r="J2732" s="275">
        <f>IF(ISBLANK('ENGAGEMENTS 2026'!B2732),"",IF(AND(OR($E2732="INFRUCTUEUX",$E2732="ANNULE"),$C2732="AOO-M"),'ENGAGEMENTS 2026'!O2732,IF($H2732="EN COURS DE PREENGAGEMENT",'ENGAGEMENTS 2026'!N2732,IF($H2732="PREENGAGE",IF($E2732="ATTRIBUE",'ENGAGEMENTS 2026'!AD2732,'ENGAGEMENTS 2026'!N2732),'ENGAGEMENTS 2026'!AD2732))))</f>
        <v/>
      </c>
      <c r="K2732" s="604">
        <f>IF(ISBLANK('ENGAGEMENTS 2026'!V2732),"",'ENGAGEMENTS 2026'!V2732)</f>
        <v/>
      </c>
      <c r="L2732" s="276">
        <f>IF($K2732="","",TODAY()-$K2732)</f>
        <v/>
      </c>
      <c r="M2732">
        <f>IF($A2732="","",IF($H2732="ENGAGE","Engagé",IF(AND($H2732="NON ENGAGE",OR($I2732="INFRUCTUEUX",$I2732="ANNULE")),"Clôturé sans suite","En cours")))</f>
        <v/>
      </c>
      <c r="N2732">
        <f>IF(ISBLANK('ENGAGEMENTS 2026'!B2732),"",'ENGAGEMENTS 2026'!K2732)</f>
        <v/>
      </c>
      <c r="O2732">
        <f>IF(ISBLANK('ENGAGEMENTS 2026'!B2732),"",'ENGAGEMENTS 2026'!L2732)</f>
        <v/>
      </c>
      <c r="P2732">
        <f>IF(ISBLANK('ENGAGEMENTS 2026'!B2732),"",'ENGAGEMENTS 2026'!J2732)</f>
        <v/>
      </c>
      <c r="Q2732">
        <f>IF($A2732="","",IF(OR($E2732="INFRUCTUEUX",$E2732="ANNULE"),$A2732&amp;"|"&amp;(COUNTIFS($A$2:$A2732,$A2732,$E$2:$E2732,"INFRUCTUEUX")+COUNTIFS($A$2:$A2732,$A2732,$E$2:$E2732,"ANNULE")),""))</f>
        <v/>
      </c>
    </row>
    <row r="2733">
      <c r="A2733">
        <f>IF(ISBLANK('ENGAGEMENTS 2026'!B2733),"",IF('ENGAGEMENTS 2026'!B2733="DTSI","DCT",'ENGAGEMENTS 2026'!B2733))</f>
        <v/>
      </c>
      <c r="B2733">
        <f>IF(ISBLANK('ENGAGEMENTS 2026'!B2733),"",'ENGAGEMENTS 2026'!C2733)</f>
        <v/>
      </c>
      <c r="C2733">
        <f>IF(ISBLANK('ENGAGEMENTS 2026'!B2733),"",'ENGAGEMENTS 2026'!D2733)</f>
        <v/>
      </c>
      <c r="D2733">
        <f>IF(ISBLANK('ENGAGEMENTS 2026'!B2733),"",'ENGAGEMENTS 2026'!F2733)</f>
        <v/>
      </c>
      <c r="E2733">
        <f>IF(ISBLANK('ENGAGEMENTS 2026'!B2733),"",'ENGAGEMENTS 2026'!H2733)</f>
        <v/>
      </c>
      <c r="F2733">
        <f>IF(ISBLANK('ENGAGEMENTS 2026'!B2733),"",'ENGAGEMENTS 2026'!I2733)</f>
        <v/>
      </c>
      <c r="G2733">
        <f>IF(ISBLANK('ENGAGEMENTS 2026'!B2733),"",'ENGAGEMENTS 2026'!L2733)</f>
        <v/>
      </c>
      <c r="H2733">
        <f>IF(ISBLANK('ENGAGEMENTS 2026'!B2733),"",'ENGAGEMENTS 2026'!AE2733)</f>
        <v/>
      </c>
      <c r="I2733">
        <f>IF(ISBLANK('ENGAGEMENTS 2026'!B2733),"",'ENGAGEMENTS 2026'!G2733)</f>
        <v/>
      </c>
      <c r="J2733" s="275">
        <f>IF(ISBLANK('ENGAGEMENTS 2026'!B2733),"",IF(AND(OR($E2733="INFRUCTUEUX",$E2733="ANNULE"),$C2733="AOO-M"),'ENGAGEMENTS 2026'!O2733,IF($H2733="EN COURS DE PREENGAGEMENT",'ENGAGEMENTS 2026'!N2733,IF($H2733="PREENGAGE",IF($E2733="ATTRIBUE",'ENGAGEMENTS 2026'!AD2733,'ENGAGEMENTS 2026'!N2733),'ENGAGEMENTS 2026'!AD2733))))</f>
        <v/>
      </c>
      <c r="K2733" s="604">
        <f>IF(ISBLANK('ENGAGEMENTS 2026'!V2733),"",'ENGAGEMENTS 2026'!V2733)</f>
        <v/>
      </c>
      <c r="L2733" s="276">
        <f>IF($K2733="","",TODAY()-$K2733)</f>
        <v/>
      </c>
      <c r="M2733">
        <f>IF($A2733="","",IF($H2733="ENGAGE","Engagé",IF(AND($H2733="NON ENGAGE",OR($I2733="INFRUCTUEUX",$I2733="ANNULE")),"Clôturé sans suite","En cours")))</f>
        <v/>
      </c>
      <c r="N2733">
        <f>IF(ISBLANK('ENGAGEMENTS 2026'!B2733),"",'ENGAGEMENTS 2026'!K2733)</f>
        <v/>
      </c>
      <c r="O2733">
        <f>IF(ISBLANK('ENGAGEMENTS 2026'!B2733),"",'ENGAGEMENTS 2026'!L2733)</f>
        <v/>
      </c>
      <c r="P2733">
        <f>IF(ISBLANK('ENGAGEMENTS 2026'!B2733),"",'ENGAGEMENTS 2026'!J2733)</f>
        <v/>
      </c>
      <c r="Q2733">
        <f>IF($A2733="","",IF(OR($E2733="INFRUCTUEUX",$E2733="ANNULE"),$A2733&amp;"|"&amp;(COUNTIFS($A$2:$A2733,$A2733,$E$2:$E2733,"INFRUCTUEUX")+COUNTIFS($A$2:$A2733,$A2733,$E$2:$E2733,"ANNULE")),""))</f>
        <v/>
      </c>
    </row>
    <row r="2734">
      <c r="A2734">
        <f>IF(ISBLANK('ENGAGEMENTS 2026'!B2734),"",IF('ENGAGEMENTS 2026'!B2734="DTSI","DCT",'ENGAGEMENTS 2026'!B2734))</f>
        <v/>
      </c>
      <c r="B2734">
        <f>IF(ISBLANK('ENGAGEMENTS 2026'!B2734),"",'ENGAGEMENTS 2026'!C2734)</f>
        <v/>
      </c>
      <c r="C2734">
        <f>IF(ISBLANK('ENGAGEMENTS 2026'!B2734),"",'ENGAGEMENTS 2026'!D2734)</f>
        <v/>
      </c>
      <c r="D2734">
        <f>IF(ISBLANK('ENGAGEMENTS 2026'!B2734),"",'ENGAGEMENTS 2026'!F2734)</f>
        <v/>
      </c>
      <c r="E2734">
        <f>IF(ISBLANK('ENGAGEMENTS 2026'!B2734),"",'ENGAGEMENTS 2026'!H2734)</f>
        <v/>
      </c>
      <c r="F2734">
        <f>IF(ISBLANK('ENGAGEMENTS 2026'!B2734),"",'ENGAGEMENTS 2026'!I2734)</f>
        <v/>
      </c>
      <c r="G2734">
        <f>IF(ISBLANK('ENGAGEMENTS 2026'!B2734),"",'ENGAGEMENTS 2026'!L2734)</f>
        <v/>
      </c>
      <c r="H2734">
        <f>IF(ISBLANK('ENGAGEMENTS 2026'!B2734),"",'ENGAGEMENTS 2026'!AE2734)</f>
        <v/>
      </c>
      <c r="I2734">
        <f>IF(ISBLANK('ENGAGEMENTS 2026'!B2734),"",'ENGAGEMENTS 2026'!G2734)</f>
        <v/>
      </c>
      <c r="J2734" s="275">
        <f>IF(ISBLANK('ENGAGEMENTS 2026'!B2734),"",IF(AND(OR($E2734="INFRUCTUEUX",$E2734="ANNULE"),$C2734="AOO-M"),'ENGAGEMENTS 2026'!O2734,IF($H2734="EN COURS DE PREENGAGEMENT",'ENGAGEMENTS 2026'!N2734,IF($H2734="PREENGAGE",IF($E2734="ATTRIBUE",'ENGAGEMENTS 2026'!AD2734,'ENGAGEMENTS 2026'!N2734),'ENGAGEMENTS 2026'!AD2734))))</f>
        <v/>
      </c>
      <c r="K2734" s="604">
        <f>IF(ISBLANK('ENGAGEMENTS 2026'!V2734),"",'ENGAGEMENTS 2026'!V2734)</f>
        <v/>
      </c>
      <c r="L2734" s="276">
        <f>IF($K2734="","",TODAY()-$K2734)</f>
        <v/>
      </c>
      <c r="M2734">
        <f>IF($A2734="","",IF($H2734="ENGAGE","Engagé",IF(AND($H2734="NON ENGAGE",OR($I2734="INFRUCTUEUX",$I2734="ANNULE")),"Clôturé sans suite","En cours")))</f>
        <v/>
      </c>
      <c r="N2734">
        <f>IF(ISBLANK('ENGAGEMENTS 2026'!B2734),"",'ENGAGEMENTS 2026'!K2734)</f>
        <v/>
      </c>
      <c r="O2734">
        <f>IF(ISBLANK('ENGAGEMENTS 2026'!B2734),"",'ENGAGEMENTS 2026'!L2734)</f>
        <v/>
      </c>
      <c r="P2734">
        <f>IF(ISBLANK('ENGAGEMENTS 2026'!B2734),"",'ENGAGEMENTS 2026'!J2734)</f>
        <v/>
      </c>
      <c r="Q2734">
        <f>IF($A2734="","",IF(OR($E2734="INFRUCTUEUX",$E2734="ANNULE"),$A2734&amp;"|"&amp;(COUNTIFS($A$2:$A2734,$A2734,$E$2:$E2734,"INFRUCTUEUX")+COUNTIFS($A$2:$A2734,$A2734,$E$2:$E2734,"ANNULE")),""))</f>
        <v/>
      </c>
    </row>
    <row r="2735">
      <c r="A2735">
        <f>IF(ISBLANK('ENGAGEMENTS 2026'!B2735),"",IF('ENGAGEMENTS 2026'!B2735="DTSI","DCT",'ENGAGEMENTS 2026'!B2735))</f>
        <v/>
      </c>
      <c r="B2735">
        <f>IF(ISBLANK('ENGAGEMENTS 2026'!B2735),"",'ENGAGEMENTS 2026'!C2735)</f>
        <v/>
      </c>
      <c r="C2735">
        <f>IF(ISBLANK('ENGAGEMENTS 2026'!B2735),"",'ENGAGEMENTS 2026'!D2735)</f>
        <v/>
      </c>
      <c r="D2735">
        <f>IF(ISBLANK('ENGAGEMENTS 2026'!B2735),"",'ENGAGEMENTS 2026'!F2735)</f>
        <v/>
      </c>
      <c r="E2735">
        <f>IF(ISBLANK('ENGAGEMENTS 2026'!B2735),"",'ENGAGEMENTS 2026'!H2735)</f>
        <v/>
      </c>
      <c r="F2735">
        <f>IF(ISBLANK('ENGAGEMENTS 2026'!B2735),"",'ENGAGEMENTS 2026'!I2735)</f>
        <v/>
      </c>
      <c r="G2735">
        <f>IF(ISBLANK('ENGAGEMENTS 2026'!B2735),"",'ENGAGEMENTS 2026'!L2735)</f>
        <v/>
      </c>
      <c r="H2735">
        <f>IF(ISBLANK('ENGAGEMENTS 2026'!B2735),"",'ENGAGEMENTS 2026'!AE2735)</f>
        <v/>
      </c>
      <c r="I2735">
        <f>IF(ISBLANK('ENGAGEMENTS 2026'!B2735),"",'ENGAGEMENTS 2026'!G2735)</f>
        <v/>
      </c>
      <c r="J2735" s="275">
        <f>IF(ISBLANK('ENGAGEMENTS 2026'!B2735),"",IF(AND(OR($E2735="INFRUCTUEUX",$E2735="ANNULE"),$C2735="AOO-M"),'ENGAGEMENTS 2026'!O2735,IF($H2735="EN COURS DE PREENGAGEMENT",'ENGAGEMENTS 2026'!N2735,IF($H2735="PREENGAGE",IF($E2735="ATTRIBUE",'ENGAGEMENTS 2026'!AD2735,'ENGAGEMENTS 2026'!N2735),'ENGAGEMENTS 2026'!AD2735))))</f>
        <v/>
      </c>
      <c r="K2735" s="604">
        <f>IF(ISBLANK('ENGAGEMENTS 2026'!V2735),"",'ENGAGEMENTS 2026'!V2735)</f>
        <v/>
      </c>
      <c r="L2735" s="276">
        <f>IF($K2735="","",TODAY()-$K2735)</f>
        <v/>
      </c>
      <c r="M2735">
        <f>IF($A2735="","",IF($H2735="ENGAGE","Engagé",IF(AND($H2735="NON ENGAGE",OR($I2735="INFRUCTUEUX",$I2735="ANNULE")),"Clôturé sans suite","En cours")))</f>
        <v/>
      </c>
      <c r="N2735">
        <f>IF(ISBLANK('ENGAGEMENTS 2026'!B2735),"",'ENGAGEMENTS 2026'!K2735)</f>
        <v/>
      </c>
      <c r="O2735">
        <f>IF(ISBLANK('ENGAGEMENTS 2026'!B2735),"",'ENGAGEMENTS 2026'!L2735)</f>
        <v/>
      </c>
      <c r="P2735">
        <f>IF(ISBLANK('ENGAGEMENTS 2026'!B2735),"",'ENGAGEMENTS 2026'!J2735)</f>
        <v/>
      </c>
      <c r="Q2735">
        <f>IF($A2735="","",IF(OR($E2735="INFRUCTUEUX",$E2735="ANNULE"),$A2735&amp;"|"&amp;(COUNTIFS($A$2:$A2735,$A2735,$E$2:$E2735,"INFRUCTUEUX")+COUNTIFS($A$2:$A2735,$A2735,$E$2:$E2735,"ANNULE")),""))</f>
        <v/>
      </c>
    </row>
    <row r="2736">
      <c r="A2736">
        <f>IF(ISBLANK('ENGAGEMENTS 2026'!B2736),"",IF('ENGAGEMENTS 2026'!B2736="DTSI","DCT",'ENGAGEMENTS 2026'!B2736))</f>
        <v/>
      </c>
      <c r="B2736">
        <f>IF(ISBLANK('ENGAGEMENTS 2026'!B2736),"",'ENGAGEMENTS 2026'!C2736)</f>
        <v/>
      </c>
      <c r="C2736">
        <f>IF(ISBLANK('ENGAGEMENTS 2026'!B2736),"",'ENGAGEMENTS 2026'!D2736)</f>
        <v/>
      </c>
      <c r="D2736">
        <f>IF(ISBLANK('ENGAGEMENTS 2026'!B2736),"",'ENGAGEMENTS 2026'!F2736)</f>
        <v/>
      </c>
      <c r="E2736">
        <f>IF(ISBLANK('ENGAGEMENTS 2026'!B2736),"",'ENGAGEMENTS 2026'!H2736)</f>
        <v/>
      </c>
      <c r="F2736">
        <f>IF(ISBLANK('ENGAGEMENTS 2026'!B2736),"",'ENGAGEMENTS 2026'!I2736)</f>
        <v/>
      </c>
      <c r="G2736">
        <f>IF(ISBLANK('ENGAGEMENTS 2026'!B2736),"",'ENGAGEMENTS 2026'!L2736)</f>
        <v/>
      </c>
      <c r="H2736">
        <f>IF(ISBLANK('ENGAGEMENTS 2026'!B2736),"",'ENGAGEMENTS 2026'!AE2736)</f>
        <v/>
      </c>
      <c r="I2736">
        <f>IF(ISBLANK('ENGAGEMENTS 2026'!B2736),"",'ENGAGEMENTS 2026'!G2736)</f>
        <v/>
      </c>
      <c r="J2736" s="275">
        <f>IF(ISBLANK('ENGAGEMENTS 2026'!B2736),"",IF(AND(OR($E2736="INFRUCTUEUX",$E2736="ANNULE"),$C2736="AOO-M"),'ENGAGEMENTS 2026'!O2736,IF($H2736="EN COURS DE PREENGAGEMENT",'ENGAGEMENTS 2026'!N2736,IF($H2736="PREENGAGE",IF($E2736="ATTRIBUE",'ENGAGEMENTS 2026'!AD2736,'ENGAGEMENTS 2026'!N2736),'ENGAGEMENTS 2026'!AD2736))))</f>
        <v/>
      </c>
      <c r="K2736" s="604">
        <f>IF(ISBLANK('ENGAGEMENTS 2026'!V2736),"",'ENGAGEMENTS 2026'!V2736)</f>
        <v/>
      </c>
      <c r="L2736" s="276">
        <f>IF($K2736="","",TODAY()-$K2736)</f>
        <v/>
      </c>
      <c r="M2736">
        <f>IF($A2736="","",IF($H2736="ENGAGE","Engagé",IF(AND($H2736="NON ENGAGE",OR($I2736="INFRUCTUEUX",$I2736="ANNULE")),"Clôturé sans suite","En cours")))</f>
        <v/>
      </c>
      <c r="N2736">
        <f>IF(ISBLANK('ENGAGEMENTS 2026'!B2736),"",'ENGAGEMENTS 2026'!K2736)</f>
        <v/>
      </c>
      <c r="O2736">
        <f>IF(ISBLANK('ENGAGEMENTS 2026'!B2736),"",'ENGAGEMENTS 2026'!L2736)</f>
        <v/>
      </c>
      <c r="P2736">
        <f>IF(ISBLANK('ENGAGEMENTS 2026'!B2736),"",'ENGAGEMENTS 2026'!J2736)</f>
        <v/>
      </c>
      <c r="Q2736">
        <f>IF($A2736="","",IF(OR($E2736="INFRUCTUEUX",$E2736="ANNULE"),$A2736&amp;"|"&amp;(COUNTIFS($A$2:$A2736,$A2736,$E$2:$E2736,"INFRUCTUEUX")+COUNTIFS($A$2:$A2736,$A2736,$E$2:$E2736,"ANNULE")),""))</f>
        <v/>
      </c>
    </row>
    <row r="2737">
      <c r="A2737">
        <f>IF(ISBLANK('ENGAGEMENTS 2026'!B2737),"",IF('ENGAGEMENTS 2026'!B2737="DTSI","DCT",'ENGAGEMENTS 2026'!B2737))</f>
        <v/>
      </c>
      <c r="B2737">
        <f>IF(ISBLANK('ENGAGEMENTS 2026'!B2737),"",'ENGAGEMENTS 2026'!C2737)</f>
        <v/>
      </c>
      <c r="C2737">
        <f>IF(ISBLANK('ENGAGEMENTS 2026'!B2737),"",'ENGAGEMENTS 2026'!D2737)</f>
        <v/>
      </c>
      <c r="D2737">
        <f>IF(ISBLANK('ENGAGEMENTS 2026'!B2737),"",'ENGAGEMENTS 2026'!F2737)</f>
        <v/>
      </c>
      <c r="E2737">
        <f>IF(ISBLANK('ENGAGEMENTS 2026'!B2737),"",'ENGAGEMENTS 2026'!H2737)</f>
        <v/>
      </c>
      <c r="F2737">
        <f>IF(ISBLANK('ENGAGEMENTS 2026'!B2737),"",'ENGAGEMENTS 2026'!I2737)</f>
        <v/>
      </c>
      <c r="G2737">
        <f>IF(ISBLANK('ENGAGEMENTS 2026'!B2737),"",'ENGAGEMENTS 2026'!L2737)</f>
        <v/>
      </c>
      <c r="H2737">
        <f>IF(ISBLANK('ENGAGEMENTS 2026'!B2737),"",'ENGAGEMENTS 2026'!AE2737)</f>
        <v/>
      </c>
      <c r="I2737">
        <f>IF(ISBLANK('ENGAGEMENTS 2026'!B2737),"",'ENGAGEMENTS 2026'!G2737)</f>
        <v/>
      </c>
      <c r="J2737" s="275">
        <f>IF(ISBLANK('ENGAGEMENTS 2026'!B2737),"",IF(AND(OR($E2737="INFRUCTUEUX",$E2737="ANNULE"),$C2737="AOO-M"),'ENGAGEMENTS 2026'!O2737,IF($H2737="EN COURS DE PREENGAGEMENT",'ENGAGEMENTS 2026'!N2737,IF($H2737="PREENGAGE",IF($E2737="ATTRIBUE",'ENGAGEMENTS 2026'!AD2737,'ENGAGEMENTS 2026'!N2737),'ENGAGEMENTS 2026'!AD2737))))</f>
        <v/>
      </c>
      <c r="K2737" s="604">
        <f>IF(ISBLANK('ENGAGEMENTS 2026'!V2737),"",'ENGAGEMENTS 2026'!V2737)</f>
        <v/>
      </c>
      <c r="L2737" s="276">
        <f>IF($K2737="","",TODAY()-$K2737)</f>
        <v/>
      </c>
      <c r="M2737">
        <f>IF($A2737="","",IF($H2737="ENGAGE","Engagé",IF(AND($H2737="NON ENGAGE",OR($I2737="INFRUCTUEUX",$I2737="ANNULE")),"Clôturé sans suite","En cours")))</f>
        <v/>
      </c>
      <c r="N2737">
        <f>IF(ISBLANK('ENGAGEMENTS 2026'!B2737),"",'ENGAGEMENTS 2026'!K2737)</f>
        <v/>
      </c>
      <c r="O2737">
        <f>IF(ISBLANK('ENGAGEMENTS 2026'!B2737),"",'ENGAGEMENTS 2026'!L2737)</f>
        <v/>
      </c>
      <c r="P2737">
        <f>IF(ISBLANK('ENGAGEMENTS 2026'!B2737),"",'ENGAGEMENTS 2026'!J2737)</f>
        <v/>
      </c>
      <c r="Q2737">
        <f>IF($A2737="","",IF(OR($E2737="INFRUCTUEUX",$E2737="ANNULE"),$A2737&amp;"|"&amp;(COUNTIFS($A$2:$A2737,$A2737,$E$2:$E2737,"INFRUCTUEUX")+COUNTIFS($A$2:$A2737,$A2737,$E$2:$E2737,"ANNULE")),""))</f>
        <v/>
      </c>
    </row>
    <row r="2738">
      <c r="A2738">
        <f>IF(ISBLANK('ENGAGEMENTS 2026'!B2738),"",IF('ENGAGEMENTS 2026'!B2738="DTSI","DCT",'ENGAGEMENTS 2026'!B2738))</f>
        <v/>
      </c>
      <c r="B2738">
        <f>IF(ISBLANK('ENGAGEMENTS 2026'!B2738),"",'ENGAGEMENTS 2026'!C2738)</f>
        <v/>
      </c>
      <c r="C2738">
        <f>IF(ISBLANK('ENGAGEMENTS 2026'!B2738),"",'ENGAGEMENTS 2026'!D2738)</f>
        <v/>
      </c>
      <c r="D2738">
        <f>IF(ISBLANK('ENGAGEMENTS 2026'!B2738),"",'ENGAGEMENTS 2026'!F2738)</f>
        <v/>
      </c>
      <c r="E2738">
        <f>IF(ISBLANK('ENGAGEMENTS 2026'!B2738),"",'ENGAGEMENTS 2026'!H2738)</f>
        <v/>
      </c>
      <c r="F2738">
        <f>IF(ISBLANK('ENGAGEMENTS 2026'!B2738),"",'ENGAGEMENTS 2026'!I2738)</f>
        <v/>
      </c>
      <c r="G2738">
        <f>IF(ISBLANK('ENGAGEMENTS 2026'!B2738),"",'ENGAGEMENTS 2026'!L2738)</f>
        <v/>
      </c>
      <c r="H2738">
        <f>IF(ISBLANK('ENGAGEMENTS 2026'!B2738),"",'ENGAGEMENTS 2026'!AE2738)</f>
        <v/>
      </c>
      <c r="I2738">
        <f>IF(ISBLANK('ENGAGEMENTS 2026'!B2738),"",'ENGAGEMENTS 2026'!G2738)</f>
        <v/>
      </c>
      <c r="J2738" s="275">
        <f>IF(ISBLANK('ENGAGEMENTS 2026'!B2738),"",IF(AND(OR($E2738="INFRUCTUEUX",$E2738="ANNULE"),$C2738="AOO-M"),'ENGAGEMENTS 2026'!O2738,IF($H2738="EN COURS DE PREENGAGEMENT",'ENGAGEMENTS 2026'!N2738,IF($H2738="PREENGAGE",IF($E2738="ATTRIBUE",'ENGAGEMENTS 2026'!AD2738,'ENGAGEMENTS 2026'!N2738),'ENGAGEMENTS 2026'!AD2738))))</f>
        <v/>
      </c>
      <c r="K2738" s="604">
        <f>IF(ISBLANK('ENGAGEMENTS 2026'!V2738),"",'ENGAGEMENTS 2026'!V2738)</f>
        <v/>
      </c>
      <c r="L2738" s="276">
        <f>IF($K2738="","",TODAY()-$K2738)</f>
        <v/>
      </c>
      <c r="M2738">
        <f>IF($A2738="","",IF($H2738="ENGAGE","Engagé",IF(AND($H2738="NON ENGAGE",OR($I2738="INFRUCTUEUX",$I2738="ANNULE")),"Clôturé sans suite","En cours")))</f>
        <v/>
      </c>
      <c r="N2738">
        <f>IF(ISBLANK('ENGAGEMENTS 2026'!B2738),"",'ENGAGEMENTS 2026'!K2738)</f>
        <v/>
      </c>
      <c r="O2738">
        <f>IF(ISBLANK('ENGAGEMENTS 2026'!B2738),"",'ENGAGEMENTS 2026'!L2738)</f>
        <v/>
      </c>
      <c r="P2738">
        <f>IF(ISBLANK('ENGAGEMENTS 2026'!B2738),"",'ENGAGEMENTS 2026'!J2738)</f>
        <v/>
      </c>
      <c r="Q2738">
        <f>IF($A2738="","",IF(OR($E2738="INFRUCTUEUX",$E2738="ANNULE"),$A2738&amp;"|"&amp;(COUNTIFS($A$2:$A2738,$A2738,$E$2:$E2738,"INFRUCTUEUX")+COUNTIFS($A$2:$A2738,$A2738,$E$2:$E2738,"ANNULE")),""))</f>
        <v/>
      </c>
    </row>
    <row r="2739">
      <c r="A2739">
        <f>IF(ISBLANK('ENGAGEMENTS 2026'!B2739),"",IF('ENGAGEMENTS 2026'!B2739="DTSI","DCT",'ENGAGEMENTS 2026'!B2739))</f>
        <v/>
      </c>
      <c r="B2739">
        <f>IF(ISBLANK('ENGAGEMENTS 2026'!B2739),"",'ENGAGEMENTS 2026'!C2739)</f>
        <v/>
      </c>
      <c r="C2739">
        <f>IF(ISBLANK('ENGAGEMENTS 2026'!B2739),"",'ENGAGEMENTS 2026'!D2739)</f>
        <v/>
      </c>
      <c r="D2739">
        <f>IF(ISBLANK('ENGAGEMENTS 2026'!B2739),"",'ENGAGEMENTS 2026'!F2739)</f>
        <v/>
      </c>
      <c r="E2739">
        <f>IF(ISBLANK('ENGAGEMENTS 2026'!B2739),"",'ENGAGEMENTS 2026'!H2739)</f>
        <v/>
      </c>
      <c r="F2739">
        <f>IF(ISBLANK('ENGAGEMENTS 2026'!B2739),"",'ENGAGEMENTS 2026'!I2739)</f>
        <v/>
      </c>
      <c r="G2739">
        <f>IF(ISBLANK('ENGAGEMENTS 2026'!B2739),"",'ENGAGEMENTS 2026'!L2739)</f>
        <v/>
      </c>
      <c r="H2739">
        <f>IF(ISBLANK('ENGAGEMENTS 2026'!B2739),"",'ENGAGEMENTS 2026'!AE2739)</f>
        <v/>
      </c>
      <c r="I2739">
        <f>IF(ISBLANK('ENGAGEMENTS 2026'!B2739),"",'ENGAGEMENTS 2026'!G2739)</f>
        <v/>
      </c>
      <c r="J2739" s="275">
        <f>IF(ISBLANK('ENGAGEMENTS 2026'!B2739),"",IF(AND(OR($E2739="INFRUCTUEUX",$E2739="ANNULE"),$C2739="AOO-M"),'ENGAGEMENTS 2026'!O2739,IF($H2739="EN COURS DE PREENGAGEMENT",'ENGAGEMENTS 2026'!N2739,IF($H2739="PREENGAGE",IF($E2739="ATTRIBUE",'ENGAGEMENTS 2026'!AD2739,'ENGAGEMENTS 2026'!N2739),'ENGAGEMENTS 2026'!AD2739))))</f>
        <v/>
      </c>
      <c r="K2739" s="604">
        <f>IF(ISBLANK('ENGAGEMENTS 2026'!V2739),"",'ENGAGEMENTS 2026'!V2739)</f>
        <v/>
      </c>
      <c r="L2739" s="276">
        <f>IF($K2739="","",TODAY()-$K2739)</f>
        <v/>
      </c>
      <c r="M2739">
        <f>IF($A2739="","",IF($H2739="ENGAGE","Engagé",IF(AND($H2739="NON ENGAGE",OR($I2739="INFRUCTUEUX",$I2739="ANNULE")),"Clôturé sans suite","En cours")))</f>
        <v/>
      </c>
      <c r="N2739">
        <f>IF(ISBLANK('ENGAGEMENTS 2026'!B2739),"",'ENGAGEMENTS 2026'!K2739)</f>
        <v/>
      </c>
      <c r="O2739">
        <f>IF(ISBLANK('ENGAGEMENTS 2026'!B2739),"",'ENGAGEMENTS 2026'!L2739)</f>
        <v/>
      </c>
      <c r="P2739">
        <f>IF(ISBLANK('ENGAGEMENTS 2026'!B2739),"",'ENGAGEMENTS 2026'!J2739)</f>
        <v/>
      </c>
      <c r="Q2739">
        <f>IF($A2739="","",IF(OR($E2739="INFRUCTUEUX",$E2739="ANNULE"),$A2739&amp;"|"&amp;(COUNTIFS($A$2:$A2739,$A2739,$E$2:$E2739,"INFRUCTUEUX")+COUNTIFS($A$2:$A2739,$A2739,$E$2:$E2739,"ANNULE")),""))</f>
        <v/>
      </c>
    </row>
    <row r="2740">
      <c r="A2740">
        <f>IF(ISBLANK('ENGAGEMENTS 2026'!B2740),"",IF('ENGAGEMENTS 2026'!B2740="DTSI","DCT",'ENGAGEMENTS 2026'!B2740))</f>
        <v/>
      </c>
      <c r="B2740">
        <f>IF(ISBLANK('ENGAGEMENTS 2026'!B2740),"",'ENGAGEMENTS 2026'!C2740)</f>
        <v/>
      </c>
      <c r="C2740">
        <f>IF(ISBLANK('ENGAGEMENTS 2026'!B2740),"",'ENGAGEMENTS 2026'!D2740)</f>
        <v/>
      </c>
      <c r="D2740">
        <f>IF(ISBLANK('ENGAGEMENTS 2026'!B2740),"",'ENGAGEMENTS 2026'!F2740)</f>
        <v/>
      </c>
      <c r="E2740">
        <f>IF(ISBLANK('ENGAGEMENTS 2026'!B2740),"",'ENGAGEMENTS 2026'!H2740)</f>
        <v/>
      </c>
      <c r="F2740">
        <f>IF(ISBLANK('ENGAGEMENTS 2026'!B2740),"",'ENGAGEMENTS 2026'!I2740)</f>
        <v/>
      </c>
      <c r="G2740">
        <f>IF(ISBLANK('ENGAGEMENTS 2026'!B2740),"",'ENGAGEMENTS 2026'!L2740)</f>
        <v/>
      </c>
      <c r="H2740">
        <f>IF(ISBLANK('ENGAGEMENTS 2026'!B2740),"",'ENGAGEMENTS 2026'!AE2740)</f>
        <v/>
      </c>
      <c r="I2740">
        <f>IF(ISBLANK('ENGAGEMENTS 2026'!B2740),"",'ENGAGEMENTS 2026'!G2740)</f>
        <v/>
      </c>
      <c r="J2740" s="275">
        <f>IF(ISBLANK('ENGAGEMENTS 2026'!B2740),"",IF(AND(OR($E2740="INFRUCTUEUX",$E2740="ANNULE"),$C2740="AOO-M"),'ENGAGEMENTS 2026'!O2740,IF($H2740="EN COURS DE PREENGAGEMENT",'ENGAGEMENTS 2026'!N2740,IF($H2740="PREENGAGE",IF($E2740="ATTRIBUE",'ENGAGEMENTS 2026'!AD2740,'ENGAGEMENTS 2026'!N2740),'ENGAGEMENTS 2026'!AD2740))))</f>
        <v/>
      </c>
      <c r="K2740" s="604">
        <f>IF(ISBLANK('ENGAGEMENTS 2026'!V2740),"",'ENGAGEMENTS 2026'!V2740)</f>
        <v/>
      </c>
      <c r="L2740" s="276">
        <f>IF($K2740="","",TODAY()-$K2740)</f>
        <v/>
      </c>
      <c r="M2740">
        <f>IF($A2740="","",IF($H2740="ENGAGE","Engagé",IF(AND($H2740="NON ENGAGE",OR($I2740="INFRUCTUEUX",$I2740="ANNULE")),"Clôturé sans suite","En cours")))</f>
        <v/>
      </c>
      <c r="N2740">
        <f>IF(ISBLANK('ENGAGEMENTS 2026'!B2740),"",'ENGAGEMENTS 2026'!K2740)</f>
        <v/>
      </c>
      <c r="O2740">
        <f>IF(ISBLANK('ENGAGEMENTS 2026'!B2740),"",'ENGAGEMENTS 2026'!L2740)</f>
        <v/>
      </c>
      <c r="P2740">
        <f>IF(ISBLANK('ENGAGEMENTS 2026'!B2740),"",'ENGAGEMENTS 2026'!J2740)</f>
        <v/>
      </c>
      <c r="Q2740">
        <f>IF($A2740="","",IF(OR($E2740="INFRUCTUEUX",$E2740="ANNULE"),$A2740&amp;"|"&amp;(COUNTIFS($A$2:$A2740,$A2740,$E$2:$E2740,"INFRUCTUEUX")+COUNTIFS($A$2:$A2740,$A2740,$E$2:$E2740,"ANNULE")),""))</f>
        <v/>
      </c>
    </row>
    <row r="2741">
      <c r="A2741">
        <f>IF(ISBLANK('ENGAGEMENTS 2026'!B2741),"",IF('ENGAGEMENTS 2026'!B2741="DTSI","DCT",'ENGAGEMENTS 2026'!B2741))</f>
        <v/>
      </c>
      <c r="B2741">
        <f>IF(ISBLANK('ENGAGEMENTS 2026'!B2741),"",'ENGAGEMENTS 2026'!C2741)</f>
        <v/>
      </c>
      <c r="C2741">
        <f>IF(ISBLANK('ENGAGEMENTS 2026'!B2741),"",'ENGAGEMENTS 2026'!D2741)</f>
        <v/>
      </c>
      <c r="D2741">
        <f>IF(ISBLANK('ENGAGEMENTS 2026'!B2741),"",'ENGAGEMENTS 2026'!F2741)</f>
        <v/>
      </c>
      <c r="E2741">
        <f>IF(ISBLANK('ENGAGEMENTS 2026'!B2741),"",'ENGAGEMENTS 2026'!H2741)</f>
        <v/>
      </c>
      <c r="F2741">
        <f>IF(ISBLANK('ENGAGEMENTS 2026'!B2741),"",'ENGAGEMENTS 2026'!I2741)</f>
        <v/>
      </c>
      <c r="G2741">
        <f>IF(ISBLANK('ENGAGEMENTS 2026'!B2741),"",'ENGAGEMENTS 2026'!L2741)</f>
        <v/>
      </c>
      <c r="H2741">
        <f>IF(ISBLANK('ENGAGEMENTS 2026'!B2741),"",'ENGAGEMENTS 2026'!AE2741)</f>
        <v/>
      </c>
      <c r="I2741">
        <f>IF(ISBLANK('ENGAGEMENTS 2026'!B2741),"",'ENGAGEMENTS 2026'!G2741)</f>
        <v/>
      </c>
      <c r="J2741" s="275">
        <f>IF(ISBLANK('ENGAGEMENTS 2026'!B2741),"",IF(AND(OR($E2741="INFRUCTUEUX",$E2741="ANNULE"),$C2741="AOO-M"),'ENGAGEMENTS 2026'!O2741,IF($H2741="EN COURS DE PREENGAGEMENT",'ENGAGEMENTS 2026'!N2741,IF($H2741="PREENGAGE",IF($E2741="ATTRIBUE",'ENGAGEMENTS 2026'!AD2741,'ENGAGEMENTS 2026'!N2741),'ENGAGEMENTS 2026'!AD2741))))</f>
        <v/>
      </c>
      <c r="K2741" s="604">
        <f>IF(ISBLANK('ENGAGEMENTS 2026'!V2741),"",'ENGAGEMENTS 2026'!V2741)</f>
        <v/>
      </c>
      <c r="L2741" s="276">
        <f>IF($K2741="","",TODAY()-$K2741)</f>
        <v/>
      </c>
      <c r="M2741">
        <f>IF($A2741="","",IF($H2741="ENGAGE","Engagé",IF(AND($H2741="NON ENGAGE",OR($I2741="INFRUCTUEUX",$I2741="ANNULE")),"Clôturé sans suite","En cours")))</f>
        <v/>
      </c>
      <c r="N2741">
        <f>IF(ISBLANK('ENGAGEMENTS 2026'!B2741),"",'ENGAGEMENTS 2026'!K2741)</f>
        <v/>
      </c>
      <c r="O2741">
        <f>IF(ISBLANK('ENGAGEMENTS 2026'!B2741),"",'ENGAGEMENTS 2026'!L2741)</f>
        <v/>
      </c>
      <c r="P2741">
        <f>IF(ISBLANK('ENGAGEMENTS 2026'!B2741),"",'ENGAGEMENTS 2026'!J2741)</f>
        <v/>
      </c>
      <c r="Q2741">
        <f>IF($A2741="","",IF(OR($E2741="INFRUCTUEUX",$E2741="ANNULE"),$A2741&amp;"|"&amp;(COUNTIFS($A$2:$A2741,$A2741,$E$2:$E2741,"INFRUCTUEUX")+COUNTIFS($A$2:$A2741,$A2741,$E$2:$E2741,"ANNULE")),""))</f>
        <v/>
      </c>
    </row>
    <row r="2742">
      <c r="A2742">
        <f>IF(ISBLANK('ENGAGEMENTS 2026'!B2742),"",IF('ENGAGEMENTS 2026'!B2742="DTSI","DCT",'ENGAGEMENTS 2026'!B2742))</f>
        <v/>
      </c>
      <c r="B2742">
        <f>IF(ISBLANK('ENGAGEMENTS 2026'!B2742),"",'ENGAGEMENTS 2026'!C2742)</f>
        <v/>
      </c>
      <c r="C2742">
        <f>IF(ISBLANK('ENGAGEMENTS 2026'!B2742),"",'ENGAGEMENTS 2026'!D2742)</f>
        <v/>
      </c>
      <c r="D2742">
        <f>IF(ISBLANK('ENGAGEMENTS 2026'!B2742),"",'ENGAGEMENTS 2026'!F2742)</f>
        <v/>
      </c>
      <c r="E2742">
        <f>IF(ISBLANK('ENGAGEMENTS 2026'!B2742),"",'ENGAGEMENTS 2026'!H2742)</f>
        <v/>
      </c>
      <c r="F2742">
        <f>IF(ISBLANK('ENGAGEMENTS 2026'!B2742),"",'ENGAGEMENTS 2026'!I2742)</f>
        <v/>
      </c>
      <c r="G2742">
        <f>IF(ISBLANK('ENGAGEMENTS 2026'!B2742),"",'ENGAGEMENTS 2026'!L2742)</f>
        <v/>
      </c>
      <c r="H2742">
        <f>IF(ISBLANK('ENGAGEMENTS 2026'!B2742),"",'ENGAGEMENTS 2026'!AE2742)</f>
        <v/>
      </c>
      <c r="I2742">
        <f>IF(ISBLANK('ENGAGEMENTS 2026'!B2742),"",'ENGAGEMENTS 2026'!G2742)</f>
        <v/>
      </c>
      <c r="J2742" s="275">
        <f>IF(ISBLANK('ENGAGEMENTS 2026'!B2742),"",IF(AND(OR($E2742="INFRUCTUEUX",$E2742="ANNULE"),$C2742="AOO-M"),'ENGAGEMENTS 2026'!O2742,IF($H2742="EN COURS DE PREENGAGEMENT",'ENGAGEMENTS 2026'!N2742,IF($H2742="PREENGAGE",IF($E2742="ATTRIBUE",'ENGAGEMENTS 2026'!AD2742,'ENGAGEMENTS 2026'!N2742),'ENGAGEMENTS 2026'!AD2742))))</f>
        <v/>
      </c>
      <c r="K2742" s="604">
        <f>IF(ISBLANK('ENGAGEMENTS 2026'!V2742),"",'ENGAGEMENTS 2026'!V2742)</f>
        <v/>
      </c>
      <c r="L2742" s="276">
        <f>IF($K2742="","",TODAY()-$K2742)</f>
        <v/>
      </c>
      <c r="M2742">
        <f>IF($A2742="","",IF($H2742="ENGAGE","Engagé",IF(AND($H2742="NON ENGAGE",OR($I2742="INFRUCTUEUX",$I2742="ANNULE")),"Clôturé sans suite","En cours")))</f>
        <v/>
      </c>
      <c r="N2742">
        <f>IF(ISBLANK('ENGAGEMENTS 2026'!B2742),"",'ENGAGEMENTS 2026'!K2742)</f>
        <v/>
      </c>
      <c r="O2742">
        <f>IF(ISBLANK('ENGAGEMENTS 2026'!B2742),"",'ENGAGEMENTS 2026'!L2742)</f>
        <v/>
      </c>
      <c r="P2742">
        <f>IF(ISBLANK('ENGAGEMENTS 2026'!B2742),"",'ENGAGEMENTS 2026'!J2742)</f>
        <v/>
      </c>
      <c r="Q2742">
        <f>IF($A2742="","",IF(OR($E2742="INFRUCTUEUX",$E2742="ANNULE"),$A2742&amp;"|"&amp;(COUNTIFS($A$2:$A2742,$A2742,$E$2:$E2742,"INFRUCTUEUX")+COUNTIFS($A$2:$A2742,$A2742,$E$2:$E2742,"ANNULE")),""))</f>
        <v/>
      </c>
    </row>
    <row r="2743">
      <c r="A2743">
        <f>IF(ISBLANK('ENGAGEMENTS 2026'!B2743),"",IF('ENGAGEMENTS 2026'!B2743="DTSI","DCT",'ENGAGEMENTS 2026'!B2743))</f>
        <v/>
      </c>
      <c r="B2743">
        <f>IF(ISBLANK('ENGAGEMENTS 2026'!B2743),"",'ENGAGEMENTS 2026'!C2743)</f>
        <v/>
      </c>
      <c r="C2743">
        <f>IF(ISBLANK('ENGAGEMENTS 2026'!B2743),"",'ENGAGEMENTS 2026'!D2743)</f>
        <v/>
      </c>
      <c r="D2743">
        <f>IF(ISBLANK('ENGAGEMENTS 2026'!B2743),"",'ENGAGEMENTS 2026'!F2743)</f>
        <v/>
      </c>
      <c r="E2743">
        <f>IF(ISBLANK('ENGAGEMENTS 2026'!B2743),"",'ENGAGEMENTS 2026'!H2743)</f>
        <v/>
      </c>
      <c r="F2743">
        <f>IF(ISBLANK('ENGAGEMENTS 2026'!B2743),"",'ENGAGEMENTS 2026'!I2743)</f>
        <v/>
      </c>
      <c r="G2743">
        <f>IF(ISBLANK('ENGAGEMENTS 2026'!B2743),"",'ENGAGEMENTS 2026'!L2743)</f>
        <v/>
      </c>
      <c r="H2743">
        <f>IF(ISBLANK('ENGAGEMENTS 2026'!B2743),"",'ENGAGEMENTS 2026'!AE2743)</f>
        <v/>
      </c>
      <c r="I2743">
        <f>IF(ISBLANK('ENGAGEMENTS 2026'!B2743),"",'ENGAGEMENTS 2026'!G2743)</f>
        <v/>
      </c>
      <c r="J2743" s="275">
        <f>IF(ISBLANK('ENGAGEMENTS 2026'!B2743),"",IF(AND(OR($E2743="INFRUCTUEUX",$E2743="ANNULE"),$C2743="AOO-M"),'ENGAGEMENTS 2026'!O2743,IF($H2743="EN COURS DE PREENGAGEMENT",'ENGAGEMENTS 2026'!N2743,IF($H2743="PREENGAGE",IF($E2743="ATTRIBUE",'ENGAGEMENTS 2026'!AD2743,'ENGAGEMENTS 2026'!N2743),'ENGAGEMENTS 2026'!AD2743))))</f>
        <v/>
      </c>
      <c r="K2743" s="604">
        <f>IF(ISBLANK('ENGAGEMENTS 2026'!V2743),"",'ENGAGEMENTS 2026'!V2743)</f>
        <v/>
      </c>
      <c r="L2743" s="276">
        <f>IF($K2743="","",TODAY()-$K2743)</f>
        <v/>
      </c>
      <c r="M2743">
        <f>IF($A2743="","",IF($H2743="ENGAGE","Engagé",IF(AND($H2743="NON ENGAGE",OR($I2743="INFRUCTUEUX",$I2743="ANNULE")),"Clôturé sans suite","En cours")))</f>
        <v/>
      </c>
      <c r="N2743">
        <f>IF(ISBLANK('ENGAGEMENTS 2026'!B2743),"",'ENGAGEMENTS 2026'!K2743)</f>
        <v/>
      </c>
      <c r="O2743">
        <f>IF(ISBLANK('ENGAGEMENTS 2026'!B2743),"",'ENGAGEMENTS 2026'!L2743)</f>
        <v/>
      </c>
      <c r="P2743">
        <f>IF(ISBLANK('ENGAGEMENTS 2026'!B2743),"",'ENGAGEMENTS 2026'!J2743)</f>
        <v/>
      </c>
      <c r="Q2743">
        <f>IF($A2743="","",IF(OR($E2743="INFRUCTUEUX",$E2743="ANNULE"),$A2743&amp;"|"&amp;(COUNTIFS($A$2:$A2743,$A2743,$E$2:$E2743,"INFRUCTUEUX")+COUNTIFS($A$2:$A2743,$A2743,$E$2:$E2743,"ANNULE")),""))</f>
        <v/>
      </c>
    </row>
    <row r="2744">
      <c r="A2744">
        <f>IF(ISBLANK('ENGAGEMENTS 2026'!B2744),"",IF('ENGAGEMENTS 2026'!B2744="DTSI","DCT",'ENGAGEMENTS 2026'!B2744))</f>
        <v/>
      </c>
      <c r="B2744">
        <f>IF(ISBLANK('ENGAGEMENTS 2026'!B2744),"",'ENGAGEMENTS 2026'!C2744)</f>
        <v/>
      </c>
      <c r="C2744">
        <f>IF(ISBLANK('ENGAGEMENTS 2026'!B2744),"",'ENGAGEMENTS 2026'!D2744)</f>
        <v/>
      </c>
      <c r="D2744">
        <f>IF(ISBLANK('ENGAGEMENTS 2026'!B2744),"",'ENGAGEMENTS 2026'!F2744)</f>
        <v/>
      </c>
      <c r="E2744">
        <f>IF(ISBLANK('ENGAGEMENTS 2026'!B2744),"",'ENGAGEMENTS 2026'!H2744)</f>
        <v/>
      </c>
      <c r="F2744">
        <f>IF(ISBLANK('ENGAGEMENTS 2026'!B2744),"",'ENGAGEMENTS 2026'!I2744)</f>
        <v/>
      </c>
      <c r="G2744">
        <f>IF(ISBLANK('ENGAGEMENTS 2026'!B2744),"",'ENGAGEMENTS 2026'!L2744)</f>
        <v/>
      </c>
      <c r="H2744">
        <f>IF(ISBLANK('ENGAGEMENTS 2026'!B2744),"",'ENGAGEMENTS 2026'!AE2744)</f>
        <v/>
      </c>
      <c r="I2744">
        <f>IF(ISBLANK('ENGAGEMENTS 2026'!B2744),"",'ENGAGEMENTS 2026'!G2744)</f>
        <v/>
      </c>
      <c r="J2744" s="275">
        <f>IF(ISBLANK('ENGAGEMENTS 2026'!B2744),"",IF(AND(OR($E2744="INFRUCTUEUX",$E2744="ANNULE"),$C2744="AOO-M"),'ENGAGEMENTS 2026'!O2744,IF($H2744="EN COURS DE PREENGAGEMENT",'ENGAGEMENTS 2026'!N2744,IF($H2744="PREENGAGE",IF($E2744="ATTRIBUE",'ENGAGEMENTS 2026'!AD2744,'ENGAGEMENTS 2026'!N2744),'ENGAGEMENTS 2026'!AD2744))))</f>
        <v/>
      </c>
      <c r="K2744" s="604">
        <f>IF(ISBLANK('ENGAGEMENTS 2026'!V2744),"",'ENGAGEMENTS 2026'!V2744)</f>
        <v/>
      </c>
      <c r="L2744" s="276">
        <f>IF($K2744="","",TODAY()-$K2744)</f>
        <v/>
      </c>
      <c r="M2744">
        <f>IF($A2744="","",IF($H2744="ENGAGE","Engagé",IF(AND($H2744="NON ENGAGE",OR($I2744="INFRUCTUEUX",$I2744="ANNULE")),"Clôturé sans suite","En cours")))</f>
        <v/>
      </c>
      <c r="N2744">
        <f>IF(ISBLANK('ENGAGEMENTS 2026'!B2744),"",'ENGAGEMENTS 2026'!K2744)</f>
        <v/>
      </c>
      <c r="O2744">
        <f>IF(ISBLANK('ENGAGEMENTS 2026'!B2744),"",'ENGAGEMENTS 2026'!L2744)</f>
        <v/>
      </c>
      <c r="P2744">
        <f>IF(ISBLANK('ENGAGEMENTS 2026'!B2744),"",'ENGAGEMENTS 2026'!J2744)</f>
        <v/>
      </c>
      <c r="Q2744">
        <f>IF($A2744="","",IF(OR($E2744="INFRUCTUEUX",$E2744="ANNULE"),$A2744&amp;"|"&amp;(COUNTIFS($A$2:$A2744,$A2744,$E$2:$E2744,"INFRUCTUEUX")+COUNTIFS($A$2:$A2744,$A2744,$E$2:$E2744,"ANNULE")),""))</f>
        <v/>
      </c>
    </row>
    <row r="2745">
      <c r="A2745">
        <f>IF(ISBLANK('ENGAGEMENTS 2026'!B2745),"",IF('ENGAGEMENTS 2026'!B2745="DTSI","DCT",'ENGAGEMENTS 2026'!B2745))</f>
        <v/>
      </c>
      <c r="B2745">
        <f>IF(ISBLANK('ENGAGEMENTS 2026'!B2745),"",'ENGAGEMENTS 2026'!C2745)</f>
        <v/>
      </c>
      <c r="C2745">
        <f>IF(ISBLANK('ENGAGEMENTS 2026'!B2745),"",'ENGAGEMENTS 2026'!D2745)</f>
        <v/>
      </c>
      <c r="D2745">
        <f>IF(ISBLANK('ENGAGEMENTS 2026'!B2745),"",'ENGAGEMENTS 2026'!F2745)</f>
        <v/>
      </c>
      <c r="E2745">
        <f>IF(ISBLANK('ENGAGEMENTS 2026'!B2745),"",'ENGAGEMENTS 2026'!H2745)</f>
        <v/>
      </c>
      <c r="F2745">
        <f>IF(ISBLANK('ENGAGEMENTS 2026'!B2745),"",'ENGAGEMENTS 2026'!I2745)</f>
        <v/>
      </c>
      <c r="G2745">
        <f>IF(ISBLANK('ENGAGEMENTS 2026'!B2745),"",'ENGAGEMENTS 2026'!L2745)</f>
        <v/>
      </c>
      <c r="H2745">
        <f>IF(ISBLANK('ENGAGEMENTS 2026'!B2745),"",'ENGAGEMENTS 2026'!AE2745)</f>
        <v/>
      </c>
      <c r="I2745">
        <f>IF(ISBLANK('ENGAGEMENTS 2026'!B2745),"",'ENGAGEMENTS 2026'!G2745)</f>
        <v/>
      </c>
      <c r="J2745" s="275">
        <f>IF(ISBLANK('ENGAGEMENTS 2026'!B2745),"",IF(AND(OR($E2745="INFRUCTUEUX",$E2745="ANNULE"),$C2745="AOO-M"),'ENGAGEMENTS 2026'!O2745,IF($H2745="EN COURS DE PREENGAGEMENT",'ENGAGEMENTS 2026'!N2745,IF($H2745="PREENGAGE",IF($E2745="ATTRIBUE",'ENGAGEMENTS 2026'!AD2745,'ENGAGEMENTS 2026'!N2745),'ENGAGEMENTS 2026'!AD2745))))</f>
        <v/>
      </c>
      <c r="K2745" s="604">
        <f>IF(ISBLANK('ENGAGEMENTS 2026'!V2745),"",'ENGAGEMENTS 2026'!V2745)</f>
        <v/>
      </c>
      <c r="L2745" s="276">
        <f>IF($K2745="","",TODAY()-$K2745)</f>
        <v/>
      </c>
      <c r="M2745">
        <f>IF($A2745="","",IF($H2745="ENGAGE","Engagé",IF(AND($H2745="NON ENGAGE",OR($I2745="INFRUCTUEUX",$I2745="ANNULE")),"Clôturé sans suite","En cours")))</f>
        <v/>
      </c>
      <c r="N2745">
        <f>IF(ISBLANK('ENGAGEMENTS 2026'!B2745),"",'ENGAGEMENTS 2026'!K2745)</f>
        <v/>
      </c>
      <c r="O2745">
        <f>IF(ISBLANK('ENGAGEMENTS 2026'!B2745),"",'ENGAGEMENTS 2026'!L2745)</f>
        <v/>
      </c>
      <c r="P2745">
        <f>IF(ISBLANK('ENGAGEMENTS 2026'!B2745),"",'ENGAGEMENTS 2026'!J2745)</f>
        <v/>
      </c>
      <c r="Q2745">
        <f>IF($A2745="","",IF(OR($E2745="INFRUCTUEUX",$E2745="ANNULE"),$A2745&amp;"|"&amp;(COUNTIFS($A$2:$A2745,$A2745,$E$2:$E2745,"INFRUCTUEUX")+COUNTIFS($A$2:$A2745,$A2745,$E$2:$E2745,"ANNULE")),""))</f>
        <v/>
      </c>
    </row>
    <row r="2746">
      <c r="A2746">
        <f>IF(ISBLANK('ENGAGEMENTS 2026'!B2746),"",IF('ENGAGEMENTS 2026'!B2746="DTSI","DCT",'ENGAGEMENTS 2026'!B2746))</f>
        <v/>
      </c>
      <c r="B2746">
        <f>IF(ISBLANK('ENGAGEMENTS 2026'!B2746),"",'ENGAGEMENTS 2026'!C2746)</f>
        <v/>
      </c>
      <c r="C2746">
        <f>IF(ISBLANK('ENGAGEMENTS 2026'!B2746),"",'ENGAGEMENTS 2026'!D2746)</f>
        <v/>
      </c>
      <c r="D2746">
        <f>IF(ISBLANK('ENGAGEMENTS 2026'!B2746),"",'ENGAGEMENTS 2026'!F2746)</f>
        <v/>
      </c>
      <c r="E2746">
        <f>IF(ISBLANK('ENGAGEMENTS 2026'!B2746),"",'ENGAGEMENTS 2026'!H2746)</f>
        <v/>
      </c>
      <c r="F2746">
        <f>IF(ISBLANK('ENGAGEMENTS 2026'!B2746),"",'ENGAGEMENTS 2026'!I2746)</f>
        <v/>
      </c>
      <c r="G2746">
        <f>IF(ISBLANK('ENGAGEMENTS 2026'!B2746),"",'ENGAGEMENTS 2026'!L2746)</f>
        <v/>
      </c>
      <c r="H2746">
        <f>IF(ISBLANK('ENGAGEMENTS 2026'!B2746),"",'ENGAGEMENTS 2026'!AE2746)</f>
        <v/>
      </c>
      <c r="I2746">
        <f>IF(ISBLANK('ENGAGEMENTS 2026'!B2746),"",'ENGAGEMENTS 2026'!G2746)</f>
        <v/>
      </c>
      <c r="J2746" s="275">
        <f>IF(ISBLANK('ENGAGEMENTS 2026'!B2746),"",IF(AND(OR($E2746="INFRUCTUEUX",$E2746="ANNULE"),$C2746="AOO-M"),'ENGAGEMENTS 2026'!O2746,IF($H2746="EN COURS DE PREENGAGEMENT",'ENGAGEMENTS 2026'!N2746,IF($H2746="PREENGAGE",IF($E2746="ATTRIBUE",'ENGAGEMENTS 2026'!AD2746,'ENGAGEMENTS 2026'!N2746),'ENGAGEMENTS 2026'!AD2746))))</f>
        <v/>
      </c>
      <c r="K2746" s="604">
        <f>IF(ISBLANK('ENGAGEMENTS 2026'!V2746),"",'ENGAGEMENTS 2026'!V2746)</f>
        <v/>
      </c>
      <c r="L2746" s="276">
        <f>IF($K2746="","",TODAY()-$K2746)</f>
        <v/>
      </c>
      <c r="M2746">
        <f>IF($A2746="","",IF($H2746="ENGAGE","Engagé",IF(AND($H2746="NON ENGAGE",OR($I2746="INFRUCTUEUX",$I2746="ANNULE")),"Clôturé sans suite","En cours")))</f>
        <v/>
      </c>
      <c r="N2746">
        <f>IF(ISBLANK('ENGAGEMENTS 2026'!B2746),"",'ENGAGEMENTS 2026'!K2746)</f>
        <v/>
      </c>
      <c r="O2746">
        <f>IF(ISBLANK('ENGAGEMENTS 2026'!B2746),"",'ENGAGEMENTS 2026'!L2746)</f>
        <v/>
      </c>
      <c r="P2746">
        <f>IF(ISBLANK('ENGAGEMENTS 2026'!B2746),"",'ENGAGEMENTS 2026'!J2746)</f>
        <v/>
      </c>
      <c r="Q2746">
        <f>IF($A2746="","",IF(OR($E2746="INFRUCTUEUX",$E2746="ANNULE"),$A2746&amp;"|"&amp;(COUNTIFS($A$2:$A2746,$A2746,$E$2:$E2746,"INFRUCTUEUX")+COUNTIFS($A$2:$A2746,$A2746,$E$2:$E2746,"ANNULE")),""))</f>
        <v/>
      </c>
    </row>
    <row r="2747">
      <c r="A2747">
        <f>IF(ISBLANK('ENGAGEMENTS 2026'!B2747),"",IF('ENGAGEMENTS 2026'!B2747="DTSI","DCT",'ENGAGEMENTS 2026'!B2747))</f>
        <v/>
      </c>
      <c r="B2747">
        <f>IF(ISBLANK('ENGAGEMENTS 2026'!B2747),"",'ENGAGEMENTS 2026'!C2747)</f>
        <v/>
      </c>
      <c r="C2747">
        <f>IF(ISBLANK('ENGAGEMENTS 2026'!B2747),"",'ENGAGEMENTS 2026'!D2747)</f>
        <v/>
      </c>
      <c r="D2747">
        <f>IF(ISBLANK('ENGAGEMENTS 2026'!B2747),"",'ENGAGEMENTS 2026'!F2747)</f>
        <v/>
      </c>
      <c r="E2747">
        <f>IF(ISBLANK('ENGAGEMENTS 2026'!B2747),"",'ENGAGEMENTS 2026'!H2747)</f>
        <v/>
      </c>
      <c r="F2747">
        <f>IF(ISBLANK('ENGAGEMENTS 2026'!B2747),"",'ENGAGEMENTS 2026'!I2747)</f>
        <v/>
      </c>
      <c r="G2747">
        <f>IF(ISBLANK('ENGAGEMENTS 2026'!B2747),"",'ENGAGEMENTS 2026'!L2747)</f>
        <v/>
      </c>
      <c r="H2747">
        <f>IF(ISBLANK('ENGAGEMENTS 2026'!B2747),"",'ENGAGEMENTS 2026'!AE2747)</f>
        <v/>
      </c>
      <c r="I2747">
        <f>IF(ISBLANK('ENGAGEMENTS 2026'!B2747),"",'ENGAGEMENTS 2026'!G2747)</f>
        <v/>
      </c>
      <c r="J2747" s="275">
        <f>IF(ISBLANK('ENGAGEMENTS 2026'!B2747),"",IF(AND(OR($E2747="INFRUCTUEUX",$E2747="ANNULE"),$C2747="AOO-M"),'ENGAGEMENTS 2026'!O2747,IF($H2747="EN COURS DE PREENGAGEMENT",'ENGAGEMENTS 2026'!N2747,IF($H2747="PREENGAGE",IF($E2747="ATTRIBUE",'ENGAGEMENTS 2026'!AD2747,'ENGAGEMENTS 2026'!N2747),'ENGAGEMENTS 2026'!AD2747))))</f>
        <v/>
      </c>
      <c r="K2747" s="604">
        <f>IF(ISBLANK('ENGAGEMENTS 2026'!V2747),"",'ENGAGEMENTS 2026'!V2747)</f>
        <v/>
      </c>
      <c r="L2747" s="276">
        <f>IF($K2747="","",TODAY()-$K2747)</f>
        <v/>
      </c>
      <c r="M2747">
        <f>IF($A2747="","",IF($H2747="ENGAGE","Engagé",IF(AND($H2747="NON ENGAGE",OR($I2747="INFRUCTUEUX",$I2747="ANNULE")),"Clôturé sans suite","En cours")))</f>
        <v/>
      </c>
      <c r="N2747">
        <f>IF(ISBLANK('ENGAGEMENTS 2026'!B2747),"",'ENGAGEMENTS 2026'!K2747)</f>
        <v/>
      </c>
      <c r="O2747">
        <f>IF(ISBLANK('ENGAGEMENTS 2026'!B2747),"",'ENGAGEMENTS 2026'!L2747)</f>
        <v/>
      </c>
      <c r="P2747">
        <f>IF(ISBLANK('ENGAGEMENTS 2026'!B2747),"",'ENGAGEMENTS 2026'!J2747)</f>
        <v/>
      </c>
      <c r="Q2747">
        <f>IF($A2747="","",IF(OR($E2747="INFRUCTUEUX",$E2747="ANNULE"),$A2747&amp;"|"&amp;(COUNTIFS($A$2:$A2747,$A2747,$E$2:$E2747,"INFRUCTUEUX")+COUNTIFS($A$2:$A2747,$A2747,$E$2:$E2747,"ANNULE")),""))</f>
        <v/>
      </c>
    </row>
    <row r="2748">
      <c r="A2748">
        <f>IF(ISBLANK('ENGAGEMENTS 2026'!B2748),"",IF('ENGAGEMENTS 2026'!B2748="DTSI","DCT",'ENGAGEMENTS 2026'!B2748))</f>
        <v/>
      </c>
      <c r="B2748">
        <f>IF(ISBLANK('ENGAGEMENTS 2026'!B2748),"",'ENGAGEMENTS 2026'!C2748)</f>
        <v/>
      </c>
      <c r="C2748">
        <f>IF(ISBLANK('ENGAGEMENTS 2026'!B2748),"",'ENGAGEMENTS 2026'!D2748)</f>
        <v/>
      </c>
      <c r="D2748">
        <f>IF(ISBLANK('ENGAGEMENTS 2026'!B2748),"",'ENGAGEMENTS 2026'!F2748)</f>
        <v/>
      </c>
      <c r="E2748">
        <f>IF(ISBLANK('ENGAGEMENTS 2026'!B2748),"",'ENGAGEMENTS 2026'!H2748)</f>
        <v/>
      </c>
      <c r="F2748">
        <f>IF(ISBLANK('ENGAGEMENTS 2026'!B2748),"",'ENGAGEMENTS 2026'!I2748)</f>
        <v/>
      </c>
      <c r="G2748">
        <f>IF(ISBLANK('ENGAGEMENTS 2026'!B2748),"",'ENGAGEMENTS 2026'!L2748)</f>
        <v/>
      </c>
      <c r="H2748">
        <f>IF(ISBLANK('ENGAGEMENTS 2026'!B2748),"",'ENGAGEMENTS 2026'!AE2748)</f>
        <v/>
      </c>
      <c r="I2748">
        <f>IF(ISBLANK('ENGAGEMENTS 2026'!B2748),"",'ENGAGEMENTS 2026'!G2748)</f>
        <v/>
      </c>
      <c r="J2748" s="275">
        <f>IF(ISBLANK('ENGAGEMENTS 2026'!B2748),"",IF(AND(OR($E2748="INFRUCTUEUX",$E2748="ANNULE"),$C2748="AOO-M"),'ENGAGEMENTS 2026'!O2748,IF($H2748="EN COURS DE PREENGAGEMENT",'ENGAGEMENTS 2026'!N2748,IF($H2748="PREENGAGE",IF($E2748="ATTRIBUE",'ENGAGEMENTS 2026'!AD2748,'ENGAGEMENTS 2026'!N2748),'ENGAGEMENTS 2026'!AD2748))))</f>
        <v/>
      </c>
      <c r="K2748" s="604">
        <f>IF(ISBLANK('ENGAGEMENTS 2026'!V2748),"",'ENGAGEMENTS 2026'!V2748)</f>
        <v/>
      </c>
      <c r="L2748" s="276">
        <f>IF($K2748="","",TODAY()-$K2748)</f>
        <v/>
      </c>
      <c r="M2748">
        <f>IF($A2748="","",IF($H2748="ENGAGE","Engagé",IF(AND($H2748="NON ENGAGE",OR($I2748="INFRUCTUEUX",$I2748="ANNULE")),"Clôturé sans suite","En cours")))</f>
        <v/>
      </c>
      <c r="N2748">
        <f>IF(ISBLANK('ENGAGEMENTS 2026'!B2748),"",'ENGAGEMENTS 2026'!K2748)</f>
        <v/>
      </c>
      <c r="O2748">
        <f>IF(ISBLANK('ENGAGEMENTS 2026'!B2748),"",'ENGAGEMENTS 2026'!L2748)</f>
        <v/>
      </c>
      <c r="P2748">
        <f>IF(ISBLANK('ENGAGEMENTS 2026'!B2748),"",'ENGAGEMENTS 2026'!J2748)</f>
        <v/>
      </c>
      <c r="Q2748">
        <f>IF($A2748="","",IF(OR($E2748="INFRUCTUEUX",$E2748="ANNULE"),$A2748&amp;"|"&amp;(COUNTIFS($A$2:$A2748,$A2748,$E$2:$E2748,"INFRUCTUEUX")+COUNTIFS($A$2:$A2748,$A2748,$E$2:$E2748,"ANNULE")),""))</f>
        <v/>
      </c>
    </row>
    <row r="2749">
      <c r="A2749">
        <f>IF(ISBLANK('ENGAGEMENTS 2026'!B2749),"",IF('ENGAGEMENTS 2026'!B2749="DTSI","DCT",'ENGAGEMENTS 2026'!B2749))</f>
        <v/>
      </c>
      <c r="B2749">
        <f>IF(ISBLANK('ENGAGEMENTS 2026'!B2749),"",'ENGAGEMENTS 2026'!C2749)</f>
        <v/>
      </c>
      <c r="C2749">
        <f>IF(ISBLANK('ENGAGEMENTS 2026'!B2749),"",'ENGAGEMENTS 2026'!D2749)</f>
        <v/>
      </c>
      <c r="D2749">
        <f>IF(ISBLANK('ENGAGEMENTS 2026'!B2749),"",'ENGAGEMENTS 2026'!F2749)</f>
        <v/>
      </c>
      <c r="E2749">
        <f>IF(ISBLANK('ENGAGEMENTS 2026'!B2749),"",'ENGAGEMENTS 2026'!H2749)</f>
        <v/>
      </c>
      <c r="F2749">
        <f>IF(ISBLANK('ENGAGEMENTS 2026'!B2749),"",'ENGAGEMENTS 2026'!I2749)</f>
        <v/>
      </c>
      <c r="G2749">
        <f>IF(ISBLANK('ENGAGEMENTS 2026'!B2749),"",'ENGAGEMENTS 2026'!L2749)</f>
        <v/>
      </c>
      <c r="H2749">
        <f>IF(ISBLANK('ENGAGEMENTS 2026'!B2749),"",'ENGAGEMENTS 2026'!AE2749)</f>
        <v/>
      </c>
      <c r="I2749">
        <f>IF(ISBLANK('ENGAGEMENTS 2026'!B2749),"",'ENGAGEMENTS 2026'!G2749)</f>
        <v/>
      </c>
      <c r="J2749" s="275">
        <f>IF(ISBLANK('ENGAGEMENTS 2026'!B2749),"",IF(AND(OR($E2749="INFRUCTUEUX",$E2749="ANNULE"),$C2749="AOO-M"),'ENGAGEMENTS 2026'!O2749,IF($H2749="EN COURS DE PREENGAGEMENT",'ENGAGEMENTS 2026'!N2749,IF($H2749="PREENGAGE",IF($E2749="ATTRIBUE",'ENGAGEMENTS 2026'!AD2749,'ENGAGEMENTS 2026'!N2749),'ENGAGEMENTS 2026'!AD2749))))</f>
        <v/>
      </c>
      <c r="K2749" s="604">
        <f>IF(ISBLANK('ENGAGEMENTS 2026'!V2749),"",'ENGAGEMENTS 2026'!V2749)</f>
        <v/>
      </c>
      <c r="L2749" s="276">
        <f>IF($K2749="","",TODAY()-$K2749)</f>
        <v/>
      </c>
      <c r="M2749">
        <f>IF($A2749="","",IF($H2749="ENGAGE","Engagé",IF(AND($H2749="NON ENGAGE",OR($I2749="INFRUCTUEUX",$I2749="ANNULE")),"Clôturé sans suite","En cours")))</f>
        <v/>
      </c>
      <c r="N2749">
        <f>IF(ISBLANK('ENGAGEMENTS 2026'!B2749),"",'ENGAGEMENTS 2026'!K2749)</f>
        <v/>
      </c>
      <c r="O2749">
        <f>IF(ISBLANK('ENGAGEMENTS 2026'!B2749),"",'ENGAGEMENTS 2026'!L2749)</f>
        <v/>
      </c>
      <c r="P2749">
        <f>IF(ISBLANK('ENGAGEMENTS 2026'!B2749),"",'ENGAGEMENTS 2026'!J2749)</f>
        <v/>
      </c>
      <c r="Q2749">
        <f>IF($A2749="","",IF(OR($E2749="INFRUCTUEUX",$E2749="ANNULE"),$A2749&amp;"|"&amp;(COUNTIFS($A$2:$A2749,$A2749,$E$2:$E2749,"INFRUCTUEUX")+COUNTIFS($A$2:$A2749,$A2749,$E$2:$E2749,"ANNULE")),""))</f>
        <v/>
      </c>
    </row>
    <row r="2750">
      <c r="A2750">
        <f>IF(ISBLANK('ENGAGEMENTS 2026'!B2750),"",IF('ENGAGEMENTS 2026'!B2750="DTSI","DCT",'ENGAGEMENTS 2026'!B2750))</f>
        <v/>
      </c>
      <c r="B2750">
        <f>IF(ISBLANK('ENGAGEMENTS 2026'!B2750),"",'ENGAGEMENTS 2026'!C2750)</f>
        <v/>
      </c>
      <c r="C2750">
        <f>IF(ISBLANK('ENGAGEMENTS 2026'!B2750),"",'ENGAGEMENTS 2026'!D2750)</f>
        <v/>
      </c>
      <c r="D2750">
        <f>IF(ISBLANK('ENGAGEMENTS 2026'!B2750),"",'ENGAGEMENTS 2026'!F2750)</f>
        <v/>
      </c>
      <c r="E2750">
        <f>IF(ISBLANK('ENGAGEMENTS 2026'!B2750),"",'ENGAGEMENTS 2026'!H2750)</f>
        <v/>
      </c>
      <c r="F2750">
        <f>IF(ISBLANK('ENGAGEMENTS 2026'!B2750),"",'ENGAGEMENTS 2026'!I2750)</f>
        <v/>
      </c>
      <c r="G2750">
        <f>IF(ISBLANK('ENGAGEMENTS 2026'!B2750),"",'ENGAGEMENTS 2026'!L2750)</f>
        <v/>
      </c>
      <c r="H2750">
        <f>IF(ISBLANK('ENGAGEMENTS 2026'!B2750),"",'ENGAGEMENTS 2026'!AE2750)</f>
        <v/>
      </c>
      <c r="I2750">
        <f>IF(ISBLANK('ENGAGEMENTS 2026'!B2750),"",'ENGAGEMENTS 2026'!G2750)</f>
        <v/>
      </c>
      <c r="J2750" s="275">
        <f>IF(ISBLANK('ENGAGEMENTS 2026'!B2750),"",IF(AND(OR($E2750="INFRUCTUEUX",$E2750="ANNULE"),$C2750="AOO-M"),'ENGAGEMENTS 2026'!O2750,IF($H2750="EN COURS DE PREENGAGEMENT",'ENGAGEMENTS 2026'!N2750,IF($H2750="PREENGAGE",IF($E2750="ATTRIBUE",'ENGAGEMENTS 2026'!AD2750,'ENGAGEMENTS 2026'!N2750),'ENGAGEMENTS 2026'!AD2750))))</f>
        <v/>
      </c>
      <c r="K2750" s="604">
        <f>IF(ISBLANK('ENGAGEMENTS 2026'!V2750),"",'ENGAGEMENTS 2026'!V2750)</f>
        <v/>
      </c>
      <c r="L2750" s="276">
        <f>IF($K2750="","",TODAY()-$K2750)</f>
        <v/>
      </c>
      <c r="M2750">
        <f>IF($A2750="","",IF($H2750="ENGAGE","Engagé",IF(AND($H2750="NON ENGAGE",OR($I2750="INFRUCTUEUX",$I2750="ANNULE")),"Clôturé sans suite","En cours")))</f>
        <v/>
      </c>
      <c r="N2750">
        <f>IF(ISBLANK('ENGAGEMENTS 2026'!B2750),"",'ENGAGEMENTS 2026'!K2750)</f>
        <v/>
      </c>
      <c r="O2750">
        <f>IF(ISBLANK('ENGAGEMENTS 2026'!B2750),"",'ENGAGEMENTS 2026'!L2750)</f>
        <v/>
      </c>
      <c r="P2750">
        <f>IF(ISBLANK('ENGAGEMENTS 2026'!B2750),"",'ENGAGEMENTS 2026'!J2750)</f>
        <v/>
      </c>
      <c r="Q2750">
        <f>IF($A2750="","",IF(OR($E2750="INFRUCTUEUX",$E2750="ANNULE"),$A2750&amp;"|"&amp;(COUNTIFS($A$2:$A2750,$A2750,$E$2:$E2750,"INFRUCTUEUX")+COUNTIFS($A$2:$A2750,$A2750,$E$2:$E2750,"ANNULE")),""))</f>
        <v/>
      </c>
    </row>
    <row r="2751">
      <c r="A2751">
        <f>IF(ISBLANK('ENGAGEMENTS 2026'!B2751),"",IF('ENGAGEMENTS 2026'!B2751="DTSI","DCT",'ENGAGEMENTS 2026'!B2751))</f>
        <v/>
      </c>
      <c r="B2751">
        <f>IF(ISBLANK('ENGAGEMENTS 2026'!B2751),"",'ENGAGEMENTS 2026'!C2751)</f>
        <v/>
      </c>
      <c r="C2751">
        <f>IF(ISBLANK('ENGAGEMENTS 2026'!B2751),"",'ENGAGEMENTS 2026'!D2751)</f>
        <v/>
      </c>
      <c r="D2751">
        <f>IF(ISBLANK('ENGAGEMENTS 2026'!B2751),"",'ENGAGEMENTS 2026'!F2751)</f>
        <v/>
      </c>
      <c r="E2751">
        <f>IF(ISBLANK('ENGAGEMENTS 2026'!B2751),"",'ENGAGEMENTS 2026'!H2751)</f>
        <v/>
      </c>
      <c r="F2751">
        <f>IF(ISBLANK('ENGAGEMENTS 2026'!B2751),"",'ENGAGEMENTS 2026'!I2751)</f>
        <v/>
      </c>
      <c r="G2751">
        <f>IF(ISBLANK('ENGAGEMENTS 2026'!B2751),"",'ENGAGEMENTS 2026'!L2751)</f>
        <v/>
      </c>
      <c r="H2751">
        <f>IF(ISBLANK('ENGAGEMENTS 2026'!B2751),"",'ENGAGEMENTS 2026'!AE2751)</f>
        <v/>
      </c>
      <c r="I2751">
        <f>IF(ISBLANK('ENGAGEMENTS 2026'!B2751),"",'ENGAGEMENTS 2026'!G2751)</f>
        <v/>
      </c>
      <c r="J2751" s="275">
        <f>IF(ISBLANK('ENGAGEMENTS 2026'!B2751),"",IF(AND(OR($E2751="INFRUCTUEUX",$E2751="ANNULE"),$C2751="AOO-M"),'ENGAGEMENTS 2026'!O2751,IF($H2751="EN COURS DE PREENGAGEMENT",'ENGAGEMENTS 2026'!N2751,IF($H2751="PREENGAGE",IF($E2751="ATTRIBUE",'ENGAGEMENTS 2026'!AD2751,'ENGAGEMENTS 2026'!N2751),'ENGAGEMENTS 2026'!AD2751))))</f>
        <v/>
      </c>
      <c r="K2751" s="604">
        <f>IF(ISBLANK('ENGAGEMENTS 2026'!V2751),"",'ENGAGEMENTS 2026'!V2751)</f>
        <v/>
      </c>
      <c r="L2751" s="276">
        <f>IF($K2751="","",TODAY()-$K2751)</f>
        <v/>
      </c>
      <c r="M2751">
        <f>IF($A2751="","",IF($H2751="ENGAGE","Engagé",IF(AND($H2751="NON ENGAGE",OR($I2751="INFRUCTUEUX",$I2751="ANNULE")),"Clôturé sans suite","En cours")))</f>
        <v/>
      </c>
      <c r="N2751">
        <f>IF(ISBLANK('ENGAGEMENTS 2026'!B2751),"",'ENGAGEMENTS 2026'!K2751)</f>
        <v/>
      </c>
      <c r="O2751">
        <f>IF(ISBLANK('ENGAGEMENTS 2026'!B2751),"",'ENGAGEMENTS 2026'!L2751)</f>
        <v/>
      </c>
      <c r="P2751">
        <f>IF(ISBLANK('ENGAGEMENTS 2026'!B2751),"",'ENGAGEMENTS 2026'!J2751)</f>
        <v/>
      </c>
      <c r="Q2751">
        <f>IF($A2751="","",IF(OR($E2751="INFRUCTUEUX",$E2751="ANNULE"),$A2751&amp;"|"&amp;(COUNTIFS($A$2:$A2751,$A2751,$E$2:$E2751,"INFRUCTUEUX")+COUNTIFS($A$2:$A2751,$A2751,$E$2:$E2751,"ANNULE")),""))</f>
        <v/>
      </c>
    </row>
    <row r="2752">
      <c r="A2752">
        <f>IF(ISBLANK('ENGAGEMENTS 2026'!B2752),"",IF('ENGAGEMENTS 2026'!B2752="DTSI","DCT",'ENGAGEMENTS 2026'!B2752))</f>
        <v/>
      </c>
      <c r="B2752">
        <f>IF(ISBLANK('ENGAGEMENTS 2026'!B2752),"",'ENGAGEMENTS 2026'!C2752)</f>
        <v/>
      </c>
      <c r="C2752">
        <f>IF(ISBLANK('ENGAGEMENTS 2026'!B2752),"",'ENGAGEMENTS 2026'!D2752)</f>
        <v/>
      </c>
      <c r="D2752">
        <f>IF(ISBLANK('ENGAGEMENTS 2026'!B2752),"",'ENGAGEMENTS 2026'!F2752)</f>
        <v/>
      </c>
      <c r="E2752">
        <f>IF(ISBLANK('ENGAGEMENTS 2026'!B2752),"",'ENGAGEMENTS 2026'!H2752)</f>
        <v/>
      </c>
      <c r="F2752">
        <f>IF(ISBLANK('ENGAGEMENTS 2026'!B2752),"",'ENGAGEMENTS 2026'!I2752)</f>
        <v/>
      </c>
      <c r="G2752">
        <f>IF(ISBLANK('ENGAGEMENTS 2026'!B2752),"",'ENGAGEMENTS 2026'!L2752)</f>
        <v/>
      </c>
      <c r="H2752">
        <f>IF(ISBLANK('ENGAGEMENTS 2026'!B2752),"",'ENGAGEMENTS 2026'!AE2752)</f>
        <v/>
      </c>
      <c r="I2752">
        <f>IF(ISBLANK('ENGAGEMENTS 2026'!B2752),"",'ENGAGEMENTS 2026'!G2752)</f>
        <v/>
      </c>
      <c r="J2752" s="275">
        <f>IF(ISBLANK('ENGAGEMENTS 2026'!B2752),"",IF(AND(OR($E2752="INFRUCTUEUX",$E2752="ANNULE"),$C2752="AOO-M"),'ENGAGEMENTS 2026'!O2752,IF($H2752="EN COURS DE PREENGAGEMENT",'ENGAGEMENTS 2026'!N2752,IF($H2752="PREENGAGE",IF($E2752="ATTRIBUE",'ENGAGEMENTS 2026'!AD2752,'ENGAGEMENTS 2026'!N2752),'ENGAGEMENTS 2026'!AD2752))))</f>
        <v/>
      </c>
      <c r="K2752" s="604">
        <f>IF(ISBLANK('ENGAGEMENTS 2026'!V2752),"",'ENGAGEMENTS 2026'!V2752)</f>
        <v/>
      </c>
      <c r="L2752" s="276">
        <f>IF($K2752="","",TODAY()-$K2752)</f>
        <v/>
      </c>
      <c r="M2752">
        <f>IF($A2752="","",IF($H2752="ENGAGE","Engagé",IF(AND($H2752="NON ENGAGE",OR($I2752="INFRUCTUEUX",$I2752="ANNULE")),"Clôturé sans suite","En cours")))</f>
        <v/>
      </c>
      <c r="N2752">
        <f>IF(ISBLANK('ENGAGEMENTS 2026'!B2752),"",'ENGAGEMENTS 2026'!K2752)</f>
        <v/>
      </c>
      <c r="O2752">
        <f>IF(ISBLANK('ENGAGEMENTS 2026'!B2752),"",'ENGAGEMENTS 2026'!L2752)</f>
        <v/>
      </c>
      <c r="P2752">
        <f>IF(ISBLANK('ENGAGEMENTS 2026'!B2752),"",'ENGAGEMENTS 2026'!J2752)</f>
        <v/>
      </c>
      <c r="Q2752">
        <f>IF($A2752="","",IF(OR($E2752="INFRUCTUEUX",$E2752="ANNULE"),$A2752&amp;"|"&amp;(COUNTIFS($A$2:$A2752,$A2752,$E$2:$E2752,"INFRUCTUEUX")+COUNTIFS($A$2:$A2752,$A2752,$E$2:$E2752,"ANNULE")),""))</f>
        <v/>
      </c>
    </row>
    <row r="2753">
      <c r="A2753">
        <f>IF(ISBLANK('ENGAGEMENTS 2026'!B2753),"",IF('ENGAGEMENTS 2026'!B2753="DTSI","DCT",'ENGAGEMENTS 2026'!B2753))</f>
        <v/>
      </c>
      <c r="B2753">
        <f>IF(ISBLANK('ENGAGEMENTS 2026'!B2753),"",'ENGAGEMENTS 2026'!C2753)</f>
        <v/>
      </c>
      <c r="C2753">
        <f>IF(ISBLANK('ENGAGEMENTS 2026'!B2753),"",'ENGAGEMENTS 2026'!D2753)</f>
        <v/>
      </c>
      <c r="D2753">
        <f>IF(ISBLANK('ENGAGEMENTS 2026'!B2753),"",'ENGAGEMENTS 2026'!F2753)</f>
        <v/>
      </c>
      <c r="E2753">
        <f>IF(ISBLANK('ENGAGEMENTS 2026'!B2753),"",'ENGAGEMENTS 2026'!H2753)</f>
        <v/>
      </c>
      <c r="F2753">
        <f>IF(ISBLANK('ENGAGEMENTS 2026'!B2753),"",'ENGAGEMENTS 2026'!I2753)</f>
        <v/>
      </c>
      <c r="G2753">
        <f>IF(ISBLANK('ENGAGEMENTS 2026'!B2753),"",'ENGAGEMENTS 2026'!L2753)</f>
        <v/>
      </c>
      <c r="H2753">
        <f>IF(ISBLANK('ENGAGEMENTS 2026'!B2753),"",'ENGAGEMENTS 2026'!AE2753)</f>
        <v/>
      </c>
      <c r="I2753">
        <f>IF(ISBLANK('ENGAGEMENTS 2026'!B2753),"",'ENGAGEMENTS 2026'!G2753)</f>
        <v/>
      </c>
      <c r="J2753" s="275">
        <f>IF(ISBLANK('ENGAGEMENTS 2026'!B2753),"",IF(AND(OR($E2753="INFRUCTUEUX",$E2753="ANNULE"),$C2753="AOO-M"),'ENGAGEMENTS 2026'!O2753,IF($H2753="EN COURS DE PREENGAGEMENT",'ENGAGEMENTS 2026'!N2753,IF($H2753="PREENGAGE",IF($E2753="ATTRIBUE",'ENGAGEMENTS 2026'!AD2753,'ENGAGEMENTS 2026'!N2753),'ENGAGEMENTS 2026'!AD2753))))</f>
        <v/>
      </c>
      <c r="K2753" s="604">
        <f>IF(ISBLANK('ENGAGEMENTS 2026'!V2753),"",'ENGAGEMENTS 2026'!V2753)</f>
        <v/>
      </c>
      <c r="L2753" s="276">
        <f>IF($K2753="","",TODAY()-$K2753)</f>
        <v/>
      </c>
      <c r="M2753">
        <f>IF($A2753="","",IF($H2753="ENGAGE","Engagé",IF(AND($H2753="NON ENGAGE",OR($I2753="INFRUCTUEUX",$I2753="ANNULE")),"Clôturé sans suite","En cours")))</f>
        <v/>
      </c>
      <c r="N2753">
        <f>IF(ISBLANK('ENGAGEMENTS 2026'!B2753),"",'ENGAGEMENTS 2026'!K2753)</f>
        <v/>
      </c>
      <c r="O2753">
        <f>IF(ISBLANK('ENGAGEMENTS 2026'!B2753),"",'ENGAGEMENTS 2026'!L2753)</f>
        <v/>
      </c>
      <c r="P2753">
        <f>IF(ISBLANK('ENGAGEMENTS 2026'!B2753),"",'ENGAGEMENTS 2026'!J2753)</f>
        <v/>
      </c>
      <c r="Q2753">
        <f>IF($A2753="","",IF(OR($E2753="INFRUCTUEUX",$E2753="ANNULE"),$A2753&amp;"|"&amp;(COUNTIFS($A$2:$A2753,$A2753,$E$2:$E2753,"INFRUCTUEUX")+COUNTIFS($A$2:$A2753,$A2753,$E$2:$E2753,"ANNULE")),""))</f>
        <v/>
      </c>
    </row>
    <row r="2754">
      <c r="A2754">
        <f>IF(ISBLANK('ENGAGEMENTS 2026'!B2754),"",IF('ENGAGEMENTS 2026'!B2754="DTSI","DCT",'ENGAGEMENTS 2026'!B2754))</f>
        <v/>
      </c>
      <c r="B2754">
        <f>IF(ISBLANK('ENGAGEMENTS 2026'!B2754),"",'ENGAGEMENTS 2026'!C2754)</f>
        <v/>
      </c>
      <c r="C2754">
        <f>IF(ISBLANK('ENGAGEMENTS 2026'!B2754),"",'ENGAGEMENTS 2026'!D2754)</f>
        <v/>
      </c>
      <c r="D2754">
        <f>IF(ISBLANK('ENGAGEMENTS 2026'!B2754),"",'ENGAGEMENTS 2026'!F2754)</f>
        <v/>
      </c>
      <c r="E2754">
        <f>IF(ISBLANK('ENGAGEMENTS 2026'!B2754),"",'ENGAGEMENTS 2026'!H2754)</f>
        <v/>
      </c>
      <c r="F2754">
        <f>IF(ISBLANK('ENGAGEMENTS 2026'!B2754),"",'ENGAGEMENTS 2026'!I2754)</f>
        <v/>
      </c>
      <c r="G2754">
        <f>IF(ISBLANK('ENGAGEMENTS 2026'!B2754),"",'ENGAGEMENTS 2026'!L2754)</f>
        <v/>
      </c>
      <c r="H2754">
        <f>IF(ISBLANK('ENGAGEMENTS 2026'!B2754),"",'ENGAGEMENTS 2026'!AE2754)</f>
        <v/>
      </c>
      <c r="I2754">
        <f>IF(ISBLANK('ENGAGEMENTS 2026'!B2754),"",'ENGAGEMENTS 2026'!G2754)</f>
        <v/>
      </c>
      <c r="J2754" s="275">
        <f>IF(ISBLANK('ENGAGEMENTS 2026'!B2754),"",IF(AND(OR($E2754="INFRUCTUEUX",$E2754="ANNULE"),$C2754="AOO-M"),'ENGAGEMENTS 2026'!O2754,IF($H2754="EN COURS DE PREENGAGEMENT",'ENGAGEMENTS 2026'!N2754,IF($H2754="PREENGAGE",IF($E2754="ATTRIBUE",'ENGAGEMENTS 2026'!AD2754,'ENGAGEMENTS 2026'!N2754),'ENGAGEMENTS 2026'!AD2754))))</f>
        <v/>
      </c>
      <c r="K2754" s="604">
        <f>IF(ISBLANK('ENGAGEMENTS 2026'!V2754),"",'ENGAGEMENTS 2026'!V2754)</f>
        <v/>
      </c>
      <c r="L2754" s="276">
        <f>IF($K2754="","",TODAY()-$K2754)</f>
        <v/>
      </c>
      <c r="M2754">
        <f>IF($A2754="","",IF($H2754="ENGAGE","Engagé",IF(AND($H2754="NON ENGAGE",OR($I2754="INFRUCTUEUX",$I2754="ANNULE")),"Clôturé sans suite","En cours")))</f>
        <v/>
      </c>
      <c r="N2754">
        <f>IF(ISBLANK('ENGAGEMENTS 2026'!B2754),"",'ENGAGEMENTS 2026'!K2754)</f>
        <v/>
      </c>
      <c r="O2754">
        <f>IF(ISBLANK('ENGAGEMENTS 2026'!B2754),"",'ENGAGEMENTS 2026'!L2754)</f>
        <v/>
      </c>
      <c r="P2754">
        <f>IF(ISBLANK('ENGAGEMENTS 2026'!B2754),"",'ENGAGEMENTS 2026'!J2754)</f>
        <v/>
      </c>
      <c r="Q2754">
        <f>IF($A2754="","",IF(OR($E2754="INFRUCTUEUX",$E2754="ANNULE"),$A2754&amp;"|"&amp;(COUNTIFS($A$2:$A2754,$A2754,$E$2:$E2754,"INFRUCTUEUX")+COUNTIFS($A$2:$A2754,$A2754,$E$2:$E2754,"ANNULE")),""))</f>
        <v/>
      </c>
    </row>
    <row r="2755">
      <c r="A2755">
        <f>IF(ISBLANK('ENGAGEMENTS 2026'!B2755),"",IF('ENGAGEMENTS 2026'!B2755="DTSI","DCT",'ENGAGEMENTS 2026'!B2755))</f>
        <v/>
      </c>
      <c r="B2755">
        <f>IF(ISBLANK('ENGAGEMENTS 2026'!B2755),"",'ENGAGEMENTS 2026'!C2755)</f>
        <v/>
      </c>
      <c r="C2755">
        <f>IF(ISBLANK('ENGAGEMENTS 2026'!B2755),"",'ENGAGEMENTS 2026'!D2755)</f>
        <v/>
      </c>
      <c r="D2755">
        <f>IF(ISBLANK('ENGAGEMENTS 2026'!B2755),"",'ENGAGEMENTS 2026'!F2755)</f>
        <v/>
      </c>
      <c r="E2755">
        <f>IF(ISBLANK('ENGAGEMENTS 2026'!B2755),"",'ENGAGEMENTS 2026'!H2755)</f>
        <v/>
      </c>
      <c r="F2755">
        <f>IF(ISBLANK('ENGAGEMENTS 2026'!B2755),"",'ENGAGEMENTS 2026'!I2755)</f>
        <v/>
      </c>
      <c r="G2755">
        <f>IF(ISBLANK('ENGAGEMENTS 2026'!B2755),"",'ENGAGEMENTS 2026'!L2755)</f>
        <v/>
      </c>
      <c r="H2755">
        <f>IF(ISBLANK('ENGAGEMENTS 2026'!B2755),"",'ENGAGEMENTS 2026'!AE2755)</f>
        <v/>
      </c>
      <c r="I2755">
        <f>IF(ISBLANK('ENGAGEMENTS 2026'!B2755),"",'ENGAGEMENTS 2026'!G2755)</f>
        <v/>
      </c>
      <c r="J2755" s="275">
        <f>IF(ISBLANK('ENGAGEMENTS 2026'!B2755),"",IF(AND(OR($E2755="INFRUCTUEUX",$E2755="ANNULE"),$C2755="AOO-M"),'ENGAGEMENTS 2026'!O2755,IF($H2755="EN COURS DE PREENGAGEMENT",'ENGAGEMENTS 2026'!N2755,IF($H2755="PREENGAGE",IF($E2755="ATTRIBUE",'ENGAGEMENTS 2026'!AD2755,'ENGAGEMENTS 2026'!N2755),'ENGAGEMENTS 2026'!AD2755))))</f>
        <v/>
      </c>
      <c r="K2755" s="604">
        <f>IF(ISBLANK('ENGAGEMENTS 2026'!V2755),"",'ENGAGEMENTS 2026'!V2755)</f>
        <v/>
      </c>
      <c r="L2755" s="276">
        <f>IF($K2755="","",TODAY()-$K2755)</f>
        <v/>
      </c>
      <c r="M2755">
        <f>IF($A2755="","",IF($H2755="ENGAGE","Engagé",IF(AND($H2755="NON ENGAGE",OR($I2755="INFRUCTUEUX",$I2755="ANNULE")),"Clôturé sans suite","En cours")))</f>
        <v/>
      </c>
      <c r="N2755">
        <f>IF(ISBLANK('ENGAGEMENTS 2026'!B2755),"",'ENGAGEMENTS 2026'!K2755)</f>
        <v/>
      </c>
      <c r="O2755">
        <f>IF(ISBLANK('ENGAGEMENTS 2026'!B2755),"",'ENGAGEMENTS 2026'!L2755)</f>
        <v/>
      </c>
      <c r="P2755">
        <f>IF(ISBLANK('ENGAGEMENTS 2026'!B2755),"",'ENGAGEMENTS 2026'!J2755)</f>
        <v/>
      </c>
      <c r="Q2755">
        <f>IF($A2755="","",IF(OR($E2755="INFRUCTUEUX",$E2755="ANNULE"),$A2755&amp;"|"&amp;(COUNTIFS($A$2:$A2755,$A2755,$E$2:$E2755,"INFRUCTUEUX")+COUNTIFS($A$2:$A2755,$A2755,$E$2:$E2755,"ANNULE")),""))</f>
        <v/>
      </c>
    </row>
    <row r="2756">
      <c r="A2756">
        <f>IF(ISBLANK('ENGAGEMENTS 2026'!B2756),"",IF('ENGAGEMENTS 2026'!B2756="DTSI","DCT",'ENGAGEMENTS 2026'!B2756))</f>
        <v/>
      </c>
      <c r="B2756">
        <f>IF(ISBLANK('ENGAGEMENTS 2026'!B2756),"",'ENGAGEMENTS 2026'!C2756)</f>
        <v/>
      </c>
      <c r="C2756">
        <f>IF(ISBLANK('ENGAGEMENTS 2026'!B2756),"",'ENGAGEMENTS 2026'!D2756)</f>
        <v/>
      </c>
      <c r="D2756">
        <f>IF(ISBLANK('ENGAGEMENTS 2026'!B2756),"",'ENGAGEMENTS 2026'!F2756)</f>
        <v/>
      </c>
      <c r="E2756">
        <f>IF(ISBLANK('ENGAGEMENTS 2026'!B2756),"",'ENGAGEMENTS 2026'!H2756)</f>
        <v/>
      </c>
      <c r="F2756">
        <f>IF(ISBLANK('ENGAGEMENTS 2026'!B2756),"",'ENGAGEMENTS 2026'!I2756)</f>
        <v/>
      </c>
      <c r="G2756">
        <f>IF(ISBLANK('ENGAGEMENTS 2026'!B2756),"",'ENGAGEMENTS 2026'!L2756)</f>
        <v/>
      </c>
      <c r="H2756">
        <f>IF(ISBLANK('ENGAGEMENTS 2026'!B2756),"",'ENGAGEMENTS 2026'!AE2756)</f>
        <v/>
      </c>
      <c r="I2756">
        <f>IF(ISBLANK('ENGAGEMENTS 2026'!B2756),"",'ENGAGEMENTS 2026'!G2756)</f>
        <v/>
      </c>
      <c r="J2756" s="275">
        <f>IF(ISBLANK('ENGAGEMENTS 2026'!B2756),"",IF(AND(OR($E2756="INFRUCTUEUX",$E2756="ANNULE"),$C2756="AOO-M"),'ENGAGEMENTS 2026'!O2756,IF($H2756="EN COURS DE PREENGAGEMENT",'ENGAGEMENTS 2026'!N2756,IF($H2756="PREENGAGE",IF($E2756="ATTRIBUE",'ENGAGEMENTS 2026'!AD2756,'ENGAGEMENTS 2026'!N2756),'ENGAGEMENTS 2026'!AD2756))))</f>
        <v/>
      </c>
      <c r="K2756" s="604">
        <f>IF(ISBLANK('ENGAGEMENTS 2026'!V2756),"",'ENGAGEMENTS 2026'!V2756)</f>
        <v/>
      </c>
      <c r="L2756" s="276">
        <f>IF($K2756="","",TODAY()-$K2756)</f>
        <v/>
      </c>
      <c r="M2756">
        <f>IF($A2756="","",IF($H2756="ENGAGE","Engagé",IF(AND($H2756="NON ENGAGE",OR($I2756="INFRUCTUEUX",$I2756="ANNULE")),"Clôturé sans suite","En cours")))</f>
        <v/>
      </c>
      <c r="N2756">
        <f>IF(ISBLANK('ENGAGEMENTS 2026'!B2756),"",'ENGAGEMENTS 2026'!K2756)</f>
        <v/>
      </c>
      <c r="O2756">
        <f>IF(ISBLANK('ENGAGEMENTS 2026'!B2756),"",'ENGAGEMENTS 2026'!L2756)</f>
        <v/>
      </c>
      <c r="P2756">
        <f>IF(ISBLANK('ENGAGEMENTS 2026'!B2756),"",'ENGAGEMENTS 2026'!J2756)</f>
        <v/>
      </c>
      <c r="Q2756">
        <f>IF($A2756="","",IF(OR($E2756="INFRUCTUEUX",$E2756="ANNULE"),$A2756&amp;"|"&amp;(COUNTIFS($A$2:$A2756,$A2756,$E$2:$E2756,"INFRUCTUEUX")+COUNTIFS($A$2:$A2756,$A2756,$E$2:$E2756,"ANNULE")),""))</f>
        <v/>
      </c>
    </row>
    <row r="2757">
      <c r="A2757">
        <f>IF(ISBLANK('ENGAGEMENTS 2026'!B2757),"",IF('ENGAGEMENTS 2026'!B2757="DTSI","DCT",'ENGAGEMENTS 2026'!B2757))</f>
        <v/>
      </c>
      <c r="B2757">
        <f>IF(ISBLANK('ENGAGEMENTS 2026'!B2757),"",'ENGAGEMENTS 2026'!C2757)</f>
        <v/>
      </c>
      <c r="C2757">
        <f>IF(ISBLANK('ENGAGEMENTS 2026'!B2757),"",'ENGAGEMENTS 2026'!D2757)</f>
        <v/>
      </c>
      <c r="D2757">
        <f>IF(ISBLANK('ENGAGEMENTS 2026'!B2757),"",'ENGAGEMENTS 2026'!F2757)</f>
        <v/>
      </c>
      <c r="E2757">
        <f>IF(ISBLANK('ENGAGEMENTS 2026'!B2757),"",'ENGAGEMENTS 2026'!H2757)</f>
        <v/>
      </c>
      <c r="F2757">
        <f>IF(ISBLANK('ENGAGEMENTS 2026'!B2757),"",'ENGAGEMENTS 2026'!I2757)</f>
        <v/>
      </c>
      <c r="G2757">
        <f>IF(ISBLANK('ENGAGEMENTS 2026'!B2757),"",'ENGAGEMENTS 2026'!L2757)</f>
        <v/>
      </c>
      <c r="H2757">
        <f>IF(ISBLANK('ENGAGEMENTS 2026'!B2757),"",'ENGAGEMENTS 2026'!AE2757)</f>
        <v/>
      </c>
      <c r="I2757">
        <f>IF(ISBLANK('ENGAGEMENTS 2026'!B2757),"",'ENGAGEMENTS 2026'!G2757)</f>
        <v/>
      </c>
      <c r="J2757" s="275">
        <f>IF(ISBLANK('ENGAGEMENTS 2026'!B2757),"",IF(AND(OR($E2757="INFRUCTUEUX",$E2757="ANNULE"),$C2757="AOO-M"),'ENGAGEMENTS 2026'!O2757,IF($H2757="EN COURS DE PREENGAGEMENT",'ENGAGEMENTS 2026'!N2757,IF($H2757="PREENGAGE",IF($E2757="ATTRIBUE",'ENGAGEMENTS 2026'!AD2757,'ENGAGEMENTS 2026'!N2757),'ENGAGEMENTS 2026'!AD2757))))</f>
        <v/>
      </c>
      <c r="K2757" s="604">
        <f>IF(ISBLANK('ENGAGEMENTS 2026'!V2757),"",'ENGAGEMENTS 2026'!V2757)</f>
        <v/>
      </c>
      <c r="L2757" s="276">
        <f>IF($K2757="","",TODAY()-$K2757)</f>
        <v/>
      </c>
      <c r="M2757">
        <f>IF($A2757="","",IF($H2757="ENGAGE","Engagé",IF(AND($H2757="NON ENGAGE",OR($I2757="INFRUCTUEUX",$I2757="ANNULE")),"Clôturé sans suite","En cours")))</f>
        <v/>
      </c>
      <c r="N2757">
        <f>IF(ISBLANK('ENGAGEMENTS 2026'!B2757),"",'ENGAGEMENTS 2026'!K2757)</f>
        <v/>
      </c>
      <c r="O2757">
        <f>IF(ISBLANK('ENGAGEMENTS 2026'!B2757),"",'ENGAGEMENTS 2026'!L2757)</f>
        <v/>
      </c>
      <c r="P2757">
        <f>IF(ISBLANK('ENGAGEMENTS 2026'!B2757),"",'ENGAGEMENTS 2026'!J2757)</f>
        <v/>
      </c>
      <c r="Q2757">
        <f>IF($A2757="","",IF(OR($E2757="INFRUCTUEUX",$E2757="ANNULE"),$A2757&amp;"|"&amp;(COUNTIFS($A$2:$A2757,$A2757,$E$2:$E2757,"INFRUCTUEUX")+COUNTIFS($A$2:$A2757,$A2757,$E$2:$E2757,"ANNULE")),""))</f>
        <v/>
      </c>
    </row>
    <row r="2758">
      <c r="A2758">
        <f>IF(ISBLANK('ENGAGEMENTS 2026'!B2758),"",IF('ENGAGEMENTS 2026'!B2758="DTSI","DCT",'ENGAGEMENTS 2026'!B2758))</f>
        <v/>
      </c>
      <c r="B2758">
        <f>IF(ISBLANK('ENGAGEMENTS 2026'!B2758),"",'ENGAGEMENTS 2026'!C2758)</f>
        <v/>
      </c>
      <c r="C2758">
        <f>IF(ISBLANK('ENGAGEMENTS 2026'!B2758),"",'ENGAGEMENTS 2026'!D2758)</f>
        <v/>
      </c>
      <c r="D2758">
        <f>IF(ISBLANK('ENGAGEMENTS 2026'!B2758),"",'ENGAGEMENTS 2026'!F2758)</f>
        <v/>
      </c>
      <c r="E2758">
        <f>IF(ISBLANK('ENGAGEMENTS 2026'!B2758),"",'ENGAGEMENTS 2026'!H2758)</f>
        <v/>
      </c>
      <c r="F2758">
        <f>IF(ISBLANK('ENGAGEMENTS 2026'!B2758),"",'ENGAGEMENTS 2026'!I2758)</f>
        <v/>
      </c>
      <c r="G2758">
        <f>IF(ISBLANK('ENGAGEMENTS 2026'!B2758),"",'ENGAGEMENTS 2026'!L2758)</f>
        <v/>
      </c>
      <c r="H2758">
        <f>IF(ISBLANK('ENGAGEMENTS 2026'!B2758),"",'ENGAGEMENTS 2026'!AE2758)</f>
        <v/>
      </c>
      <c r="I2758">
        <f>IF(ISBLANK('ENGAGEMENTS 2026'!B2758),"",'ENGAGEMENTS 2026'!G2758)</f>
        <v/>
      </c>
      <c r="J2758" s="275">
        <f>IF(ISBLANK('ENGAGEMENTS 2026'!B2758),"",IF(AND(OR($E2758="INFRUCTUEUX",$E2758="ANNULE"),$C2758="AOO-M"),'ENGAGEMENTS 2026'!O2758,IF($H2758="EN COURS DE PREENGAGEMENT",'ENGAGEMENTS 2026'!N2758,IF($H2758="PREENGAGE",IF($E2758="ATTRIBUE",'ENGAGEMENTS 2026'!AD2758,'ENGAGEMENTS 2026'!N2758),'ENGAGEMENTS 2026'!AD2758))))</f>
        <v/>
      </c>
      <c r="K2758" s="604">
        <f>IF(ISBLANK('ENGAGEMENTS 2026'!V2758),"",'ENGAGEMENTS 2026'!V2758)</f>
        <v/>
      </c>
      <c r="L2758" s="276">
        <f>IF($K2758="","",TODAY()-$K2758)</f>
        <v/>
      </c>
      <c r="M2758">
        <f>IF($A2758="","",IF($H2758="ENGAGE","Engagé",IF(AND($H2758="NON ENGAGE",OR($I2758="INFRUCTUEUX",$I2758="ANNULE")),"Clôturé sans suite","En cours")))</f>
        <v/>
      </c>
      <c r="N2758">
        <f>IF(ISBLANK('ENGAGEMENTS 2026'!B2758),"",'ENGAGEMENTS 2026'!K2758)</f>
        <v/>
      </c>
      <c r="O2758">
        <f>IF(ISBLANK('ENGAGEMENTS 2026'!B2758),"",'ENGAGEMENTS 2026'!L2758)</f>
        <v/>
      </c>
      <c r="P2758">
        <f>IF(ISBLANK('ENGAGEMENTS 2026'!B2758),"",'ENGAGEMENTS 2026'!J2758)</f>
        <v/>
      </c>
      <c r="Q2758">
        <f>IF($A2758="","",IF(OR($E2758="INFRUCTUEUX",$E2758="ANNULE"),$A2758&amp;"|"&amp;(COUNTIFS($A$2:$A2758,$A2758,$E$2:$E2758,"INFRUCTUEUX")+COUNTIFS($A$2:$A2758,$A2758,$E$2:$E2758,"ANNULE")),""))</f>
        <v/>
      </c>
    </row>
    <row r="2759">
      <c r="A2759">
        <f>IF(ISBLANK('ENGAGEMENTS 2026'!B2759),"",IF('ENGAGEMENTS 2026'!B2759="DTSI","DCT",'ENGAGEMENTS 2026'!B2759))</f>
        <v/>
      </c>
      <c r="B2759">
        <f>IF(ISBLANK('ENGAGEMENTS 2026'!B2759),"",'ENGAGEMENTS 2026'!C2759)</f>
        <v/>
      </c>
      <c r="C2759">
        <f>IF(ISBLANK('ENGAGEMENTS 2026'!B2759),"",'ENGAGEMENTS 2026'!D2759)</f>
        <v/>
      </c>
      <c r="D2759">
        <f>IF(ISBLANK('ENGAGEMENTS 2026'!B2759),"",'ENGAGEMENTS 2026'!F2759)</f>
        <v/>
      </c>
      <c r="E2759">
        <f>IF(ISBLANK('ENGAGEMENTS 2026'!B2759),"",'ENGAGEMENTS 2026'!H2759)</f>
        <v/>
      </c>
      <c r="F2759">
        <f>IF(ISBLANK('ENGAGEMENTS 2026'!B2759),"",'ENGAGEMENTS 2026'!I2759)</f>
        <v/>
      </c>
      <c r="G2759">
        <f>IF(ISBLANK('ENGAGEMENTS 2026'!B2759),"",'ENGAGEMENTS 2026'!L2759)</f>
        <v/>
      </c>
      <c r="H2759">
        <f>IF(ISBLANK('ENGAGEMENTS 2026'!B2759),"",'ENGAGEMENTS 2026'!AE2759)</f>
        <v/>
      </c>
      <c r="I2759">
        <f>IF(ISBLANK('ENGAGEMENTS 2026'!B2759),"",'ENGAGEMENTS 2026'!G2759)</f>
        <v/>
      </c>
      <c r="J2759" s="275">
        <f>IF(ISBLANK('ENGAGEMENTS 2026'!B2759),"",IF(AND(OR($E2759="INFRUCTUEUX",$E2759="ANNULE"),$C2759="AOO-M"),'ENGAGEMENTS 2026'!O2759,IF($H2759="EN COURS DE PREENGAGEMENT",'ENGAGEMENTS 2026'!N2759,IF($H2759="PREENGAGE",IF($E2759="ATTRIBUE",'ENGAGEMENTS 2026'!AD2759,'ENGAGEMENTS 2026'!N2759),'ENGAGEMENTS 2026'!AD2759))))</f>
        <v/>
      </c>
      <c r="K2759" s="604">
        <f>IF(ISBLANK('ENGAGEMENTS 2026'!V2759),"",'ENGAGEMENTS 2026'!V2759)</f>
        <v/>
      </c>
      <c r="L2759" s="276">
        <f>IF($K2759="","",TODAY()-$K2759)</f>
        <v/>
      </c>
      <c r="M2759">
        <f>IF($A2759="","",IF($H2759="ENGAGE","Engagé",IF(AND($H2759="NON ENGAGE",OR($I2759="INFRUCTUEUX",$I2759="ANNULE")),"Clôturé sans suite","En cours")))</f>
        <v/>
      </c>
      <c r="N2759">
        <f>IF(ISBLANK('ENGAGEMENTS 2026'!B2759),"",'ENGAGEMENTS 2026'!K2759)</f>
        <v/>
      </c>
      <c r="O2759">
        <f>IF(ISBLANK('ENGAGEMENTS 2026'!B2759),"",'ENGAGEMENTS 2026'!L2759)</f>
        <v/>
      </c>
      <c r="P2759">
        <f>IF(ISBLANK('ENGAGEMENTS 2026'!B2759),"",'ENGAGEMENTS 2026'!J2759)</f>
        <v/>
      </c>
      <c r="Q2759">
        <f>IF($A2759="","",IF(OR($E2759="INFRUCTUEUX",$E2759="ANNULE"),$A2759&amp;"|"&amp;(COUNTIFS($A$2:$A2759,$A2759,$E$2:$E2759,"INFRUCTUEUX")+COUNTIFS($A$2:$A2759,$A2759,$E$2:$E2759,"ANNULE")),""))</f>
        <v/>
      </c>
    </row>
    <row r="2760">
      <c r="A2760">
        <f>IF(ISBLANK('ENGAGEMENTS 2026'!B2760),"",IF('ENGAGEMENTS 2026'!B2760="DTSI","DCT",'ENGAGEMENTS 2026'!B2760))</f>
        <v/>
      </c>
      <c r="B2760">
        <f>IF(ISBLANK('ENGAGEMENTS 2026'!B2760),"",'ENGAGEMENTS 2026'!C2760)</f>
        <v/>
      </c>
      <c r="C2760">
        <f>IF(ISBLANK('ENGAGEMENTS 2026'!B2760),"",'ENGAGEMENTS 2026'!D2760)</f>
        <v/>
      </c>
      <c r="D2760">
        <f>IF(ISBLANK('ENGAGEMENTS 2026'!B2760),"",'ENGAGEMENTS 2026'!F2760)</f>
        <v/>
      </c>
      <c r="E2760">
        <f>IF(ISBLANK('ENGAGEMENTS 2026'!B2760),"",'ENGAGEMENTS 2026'!H2760)</f>
        <v/>
      </c>
      <c r="F2760">
        <f>IF(ISBLANK('ENGAGEMENTS 2026'!B2760),"",'ENGAGEMENTS 2026'!I2760)</f>
        <v/>
      </c>
      <c r="G2760">
        <f>IF(ISBLANK('ENGAGEMENTS 2026'!B2760),"",'ENGAGEMENTS 2026'!L2760)</f>
        <v/>
      </c>
      <c r="H2760">
        <f>IF(ISBLANK('ENGAGEMENTS 2026'!B2760),"",'ENGAGEMENTS 2026'!AE2760)</f>
        <v/>
      </c>
      <c r="I2760">
        <f>IF(ISBLANK('ENGAGEMENTS 2026'!B2760),"",'ENGAGEMENTS 2026'!G2760)</f>
        <v/>
      </c>
      <c r="J2760" s="275">
        <f>IF(ISBLANK('ENGAGEMENTS 2026'!B2760),"",IF(AND(OR($E2760="INFRUCTUEUX",$E2760="ANNULE"),$C2760="AOO-M"),'ENGAGEMENTS 2026'!O2760,IF($H2760="EN COURS DE PREENGAGEMENT",'ENGAGEMENTS 2026'!N2760,IF($H2760="PREENGAGE",IF($E2760="ATTRIBUE",'ENGAGEMENTS 2026'!AD2760,'ENGAGEMENTS 2026'!N2760),'ENGAGEMENTS 2026'!AD2760))))</f>
        <v/>
      </c>
      <c r="K2760" s="604">
        <f>IF(ISBLANK('ENGAGEMENTS 2026'!V2760),"",'ENGAGEMENTS 2026'!V2760)</f>
        <v/>
      </c>
      <c r="L2760" s="276">
        <f>IF($K2760="","",TODAY()-$K2760)</f>
        <v/>
      </c>
      <c r="M2760">
        <f>IF($A2760="","",IF($H2760="ENGAGE","Engagé",IF(AND($H2760="NON ENGAGE",OR($I2760="INFRUCTUEUX",$I2760="ANNULE")),"Clôturé sans suite","En cours")))</f>
        <v/>
      </c>
      <c r="N2760">
        <f>IF(ISBLANK('ENGAGEMENTS 2026'!B2760),"",'ENGAGEMENTS 2026'!K2760)</f>
        <v/>
      </c>
      <c r="O2760">
        <f>IF(ISBLANK('ENGAGEMENTS 2026'!B2760),"",'ENGAGEMENTS 2026'!L2760)</f>
        <v/>
      </c>
      <c r="P2760">
        <f>IF(ISBLANK('ENGAGEMENTS 2026'!B2760),"",'ENGAGEMENTS 2026'!J2760)</f>
        <v/>
      </c>
      <c r="Q2760">
        <f>IF($A2760="","",IF(OR($E2760="INFRUCTUEUX",$E2760="ANNULE"),$A2760&amp;"|"&amp;(COUNTIFS($A$2:$A2760,$A2760,$E$2:$E2760,"INFRUCTUEUX")+COUNTIFS($A$2:$A2760,$A2760,$E$2:$E2760,"ANNULE")),""))</f>
        <v/>
      </c>
    </row>
    <row r="2761">
      <c r="A2761">
        <f>IF(ISBLANK('ENGAGEMENTS 2026'!B2761),"",IF('ENGAGEMENTS 2026'!B2761="DTSI","DCT",'ENGAGEMENTS 2026'!B2761))</f>
        <v/>
      </c>
      <c r="B2761">
        <f>IF(ISBLANK('ENGAGEMENTS 2026'!B2761),"",'ENGAGEMENTS 2026'!C2761)</f>
        <v/>
      </c>
      <c r="C2761">
        <f>IF(ISBLANK('ENGAGEMENTS 2026'!B2761),"",'ENGAGEMENTS 2026'!D2761)</f>
        <v/>
      </c>
      <c r="D2761">
        <f>IF(ISBLANK('ENGAGEMENTS 2026'!B2761),"",'ENGAGEMENTS 2026'!F2761)</f>
        <v/>
      </c>
      <c r="E2761">
        <f>IF(ISBLANK('ENGAGEMENTS 2026'!B2761),"",'ENGAGEMENTS 2026'!H2761)</f>
        <v/>
      </c>
      <c r="F2761">
        <f>IF(ISBLANK('ENGAGEMENTS 2026'!B2761),"",'ENGAGEMENTS 2026'!I2761)</f>
        <v/>
      </c>
      <c r="G2761">
        <f>IF(ISBLANK('ENGAGEMENTS 2026'!B2761),"",'ENGAGEMENTS 2026'!L2761)</f>
        <v/>
      </c>
      <c r="H2761">
        <f>IF(ISBLANK('ENGAGEMENTS 2026'!B2761),"",'ENGAGEMENTS 2026'!AE2761)</f>
        <v/>
      </c>
      <c r="I2761">
        <f>IF(ISBLANK('ENGAGEMENTS 2026'!B2761),"",'ENGAGEMENTS 2026'!G2761)</f>
        <v/>
      </c>
      <c r="J2761" s="275">
        <f>IF(ISBLANK('ENGAGEMENTS 2026'!B2761),"",IF(AND(OR($E2761="INFRUCTUEUX",$E2761="ANNULE"),$C2761="AOO-M"),'ENGAGEMENTS 2026'!O2761,IF($H2761="EN COURS DE PREENGAGEMENT",'ENGAGEMENTS 2026'!N2761,IF($H2761="PREENGAGE",IF($E2761="ATTRIBUE",'ENGAGEMENTS 2026'!AD2761,'ENGAGEMENTS 2026'!N2761),'ENGAGEMENTS 2026'!AD2761))))</f>
        <v/>
      </c>
      <c r="K2761" s="604">
        <f>IF(ISBLANK('ENGAGEMENTS 2026'!V2761),"",'ENGAGEMENTS 2026'!V2761)</f>
        <v/>
      </c>
      <c r="L2761" s="276">
        <f>IF($K2761="","",TODAY()-$K2761)</f>
        <v/>
      </c>
      <c r="M2761">
        <f>IF($A2761="","",IF($H2761="ENGAGE","Engagé",IF(AND($H2761="NON ENGAGE",OR($I2761="INFRUCTUEUX",$I2761="ANNULE")),"Clôturé sans suite","En cours")))</f>
        <v/>
      </c>
      <c r="N2761">
        <f>IF(ISBLANK('ENGAGEMENTS 2026'!B2761),"",'ENGAGEMENTS 2026'!K2761)</f>
        <v/>
      </c>
      <c r="O2761">
        <f>IF(ISBLANK('ENGAGEMENTS 2026'!B2761),"",'ENGAGEMENTS 2026'!L2761)</f>
        <v/>
      </c>
      <c r="P2761">
        <f>IF(ISBLANK('ENGAGEMENTS 2026'!B2761),"",'ENGAGEMENTS 2026'!J2761)</f>
        <v/>
      </c>
      <c r="Q2761">
        <f>IF($A2761="","",IF(OR($E2761="INFRUCTUEUX",$E2761="ANNULE"),$A2761&amp;"|"&amp;(COUNTIFS($A$2:$A2761,$A2761,$E$2:$E2761,"INFRUCTUEUX")+COUNTIFS($A$2:$A2761,$A2761,$E$2:$E2761,"ANNULE")),""))</f>
        <v/>
      </c>
    </row>
    <row r="2762">
      <c r="A2762">
        <f>IF(ISBLANK('ENGAGEMENTS 2026'!B2762),"",IF('ENGAGEMENTS 2026'!B2762="DTSI","DCT",'ENGAGEMENTS 2026'!B2762))</f>
        <v/>
      </c>
      <c r="B2762">
        <f>IF(ISBLANK('ENGAGEMENTS 2026'!B2762),"",'ENGAGEMENTS 2026'!C2762)</f>
        <v/>
      </c>
      <c r="C2762">
        <f>IF(ISBLANK('ENGAGEMENTS 2026'!B2762),"",'ENGAGEMENTS 2026'!D2762)</f>
        <v/>
      </c>
      <c r="D2762">
        <f>IF(ISBLANK('ENGAGEMENTS 2026'!B2762),"",'ENGAGEMENTS 2026'!F2762)</f>
        <v/>
      </c>
      <c r="E2762">
        <f>IF(ISBLANK('ENGAGEMENTS 2026'!B2762),"",'ENGAGEMENTS 2026'!H2762)</f>
        <v/>
      </c>
      <c r="F2762">
        <f>IF(ISBLANK('ENGAGEMENTS 2026'!B2762),"",'ENGAGEMENTS 2026'!I2762)</f>
        <v/>
      </c>
      <c r="G2762">
        <f>IF(ISBLANK('ENGAGEMENTS 2026'!B2762),"",'ENGAGEMENTS 2026'!L2762)</f>
        <v/>
      </c>
      <c r="H2762">
        <f>IF(ISBLANK('ENGAGEMENTS 2026'!B2762),"",'ENGAGEMENTS 2026'!AE2762)</f>
        <v/>
      </c>
      <c r="I2762">
        <f>IF(ISBLANK('ENGAGEMENTS 2026'!B2762),"",'ENGAGEMENTS 2026'!G2762)</f>
        <v/>
      </c>
      <c r="J2762" s="275">
        <f>IF(ISBLANK('ENGAGEMENTS 2026'!B2762),"",IF(AND(OR($E2762="INFRUCTUEUX",$E2762="ANNULE"),$C2762="AOO-M"),'ENGAGEMENTS 2026'!O2762,IF($H2762="EN COURS DE PREENGAGEMENT",'ENGAGEMENTS 2026'!N2762,IF($H2762="PREENGAGE",IF($E2762="ATTRIBUE",'ENGAGEMENTS 2026'!AD2762,'ENGAGEMENTS 2026'!N2762),'ENGAGEMENTS 2026'!AD2762))))</f>
        <v/>
      </c>
      <c r="K2762" s="604">
        <f>IF(ISBLANK('ENGAGEMENTS 2026'!V2762),"",'ENGAGEMENTS 2026'!V2762)</f>
        <v/>
      </c>
      <c r="L2762" s="276">
        <f>IF($K2762="","",TODAY()-$K2762)</f>
        <v/>
      </c>
      <c r="M2762">
        <f>IF($A2762="","",IF($H2762="ENGAGE","Engagé",IF(AND($H2762="NON ENGAGE",OR($I2762="INFRUCTUEUX",$I2762="ANNULE")),"Clôturé sans suite","En cours")))</f>
        <v/>
      </c>
      <c r="N2762">
        <f>IF(ISBLANK('ENGAGEMENTS 2026'!B2762),"",'ENGAGEMENTS 2026'!K2762)</f>
        <v/>
      </c>
      <c r="O2762">
        <f>IF(ISBLANK('ENGAGEMENTS 2026'!B2762),"",'ENGAGEMENTS 2026'!L2762)</f>
        <v/>
      </c>
      <c r="P2762">
        <f>IF(ISBLANK('ENGAGEMENTS 2026'!B2762),"",'ENGAGEMENTS 2026'!J2762)</f>
        <v/>
      </c>
      <c r="Q2762">
        <f>IF($A2762="","",IF(OR($E2762="INFRUCTUEUX",$E2762="ANNULE"),$A2762&amp;"|"&amp;(COUNTIFS($A$2:$A2762,$A2762,$E$2:$E2762,"INFRUCTUEUX")+COUNTIFS($A$2:$A2762,$A2762,$E$2:$E2762,"ANNULE")),""))</f>
        <v/>
      </c>
    </row>
    <row r="2763">
      <c r="A2763">
        <f>IF(ISBLANK('ENGAGEMENTS 2026'!B2763),"",IF('ENGAGEMENTS 2026'!B2763="DTSI","DCT",'ENGAGEMENTS 2026'!B2763))</f>
        <v/>
      </c>
      <c r="B2763">
        <f>IF(ISBLANK('ENGAGEMENTS 2026'!B2763),"",'ENGAGEMENTS 2026'!C2763)</f>
        <v/>
      </c>
      <c r="C2763">
        <f>IF(ISBLANK('ENGAGEMENTS 2026'!B2763),"",'ENGAGEMENTS 2026'!D2763)</f>
        <v/>
      </c>
      <c r="D2763">
        <f>IF(ISBLANK('ENGAGEMENTS 2026'!B2763),"",'ENGAGEMENTS 2026'!F2763)</f>
        <v/>
      </c>
      <c r="E2763">
        <f>IF(ISBLANK('ENGAGEMENTS 2026'!B2763),"",'ENGAGEMENTS 2026'!H2763)</f>
        <v/>
      </c>
      <c r="F2763">
        <f>IF(ISBLANK('ENGAGEMENTS 2026'!B2763),"",'ENGAGEMENTS 2026'!I2763)</f>
        <v/>
      </c>
      <c r="G2763">
        <f>IF(ISBLANK('ENGAGEMENTS 2026'!B2763),"",'ENGAGEMENTS 2026'!L2763)</f>
        <v/>
      </c>
      <c r="H2763">
        <f>IF(ISBLANK('ENGAGEMENTS 2026'!B2763),"",'ENGAGEMENTS 2026'!AE2763)</f>
        <v/>
      </c>
      <c r="I2763">
        <f>IF(ISBLANK('ENGAGEMENTS 2026'!B2763),"",'ENGAGEMENTS 2026'!G2763)</f>
        <v/>
      </c>
      <c r="J2763" s="275">
        <f>IF(ISBLANK('ENGAGEMENTS 2026'!B2763),"",IF(AND(OR($E2763="INFRUCTUEUX",$E2763="ANNULE"),$C2763="AOO-M"),'ENGAGEMENTS 2026'!O2763,IF($H2763="EN COURS DE PREENGAGEMENT",'ENGAGEMENTS 2026'!N2763,IF($H2763="PREENGAGE",IF($E2763="ATTRIBUE",'ENGAGEMENTS 2026'!AD2763,'ENGAGEMENTS 2026'!N2763),'ENGAGEMENTS 2026'!AD2763))))</f>
        <v/>
      </c>
      <c r="K2763" s="604">
        <f>IF(ISBLANK('ENGAGEMENTS 2026'!V2763),"",'ENGAGEMENTS 2026'!V2763)</f>
        <v/>
      </c>
      <c r="L2763" s="276">
        <f>IF($K2763="","",TODAY()-$K2763)</f>
        <v/>
      </c>
      <c r="M2763">
        <f>IF($A2763="","",IF($H2763="ENGAGE","Engagé",IF(AND($H2763="NON ENGAGE",OR($I2763="INFRUCTUEUX",$I2763="ANNULE")),"Clôturé sans suite","En cours")))</f>
        <v/>
      </c>
      <c r="N2763">
        <f>IF(ISBLANK('ENGAGEMENTS 2026'!B2763),"",'ENGAGEMENTS 2026'!K2763)</f>
        <v/>
      </c>
      <c r="O2763">
        <f>IF(ISBLANK('ENGAGEMENTS 2026'!B2763),"",'ENGAGEMENTS 2026'!L2763)</f>
        <v/>
      </c>
      <c r="P2763">
        <f>IF(ISBLANK('ENGAGEMENTS 2026'!B2763),"",'ENGAGEMENTS 2026'!J2763)</f>
        <v/>
      </c>
      <c r="Q2763">
        <f>IF($A2763="","",IF(OR($E2763="INFRUCTUEUX",$E2763="ANNULE"),$A2763&amp;"|"&amp;(COUNTIFS($A$2:$A2763,$A2763,$E$2:$E2763,"INFRUCTUEUX")+COUNTIFS($A$2:$A2763,$A2763,$E$2:$E2763,"ANNULE")),""))</f>
        <v/>
      </c>
    </row>
    <row r="2764">
      <c r="A2764">
        <f>IF(ISBLANK('ENGAGEMENTS 2026'!B2764),"",IF('ENGAGEMENTS 2026'!B2764="DTSI","DCT",'ENGAGEMENTS 2026'!B2764))</f>
        <v/>
      </c>
      <c r="B2764">
        <f>IF(ISBLANK('ENGAGEMENTS 2026'!B2764),"",'ENGAGEMENTS 2026'!C2764)</f>
        <v/>
      </c>
      <c r="C2764">
        <f>IF(ISBLANK('ENGAGEMENTS 2026'!B2764),"",'ENGAGEMENTS 2026'!D2764)</f>
        <v/>
      </c>
      <c r="D2764">
        <f>IF(ISBLANK('ENGAGEMENTS 2026'!B2764),"",'ENGAGEMENTS 2026'!F2764)</f>
        <v/>
      </c>
      <c r="E2764">
        <f>IF(ISBLANK('ENGAGEMENTS 2026'!B2764),"",'ENGAGEMENTS 2026'!H2764)</f>
        <v/>
      </c>
      <c r="F2764">
        <f>IF(ISBLANK('ENGAGEMENTS 2026'!B2764),"",'ENGAGEMENTS 2026'!I2764)</f>
        <v/>
      </c>
      <c r="G2764">
        <f>IF(ISBLANK('ENGAGEMENTS 2026'!B2764),"",'ENGAGEMENTS 2026'!L2764)</f>
        <v/>
      </c>
      <c r="H2764">
        <f>IF(ISBLANK('ENGAGEMENTS 2026'!B2764),"",'ENGAGEMENTS 2026'!AE2764)</f>
        <v/>
      </c>
      <c r="I2764">
        <f>IF(ISBLANK('ENGAGEMENTS 2026'!B2764),"",'ENGAGEMENTS 2026'!G2764)</f>
        <v/>
      </c>
      <c r="J2764" s="275">
        <f>IF(ISBLANK('ENGAGEMENTS 2026'!B2764),"",IF(AND(OR($E2764="INFRUCTUEUX",$E2764="ANNULE"),$C2764="AOO-M"),'ENGAGEMENTS 2026'!O2764,IF($H2764="EN COURS DE PREENGAGEMENT",'ENGAGEMENTS 2026'!N2764,IF($H2764="PREENGAGE",IF($E2764="ATTRIBUE",'ENGAGEMENTS 2026'!AD2764,'ENGAGEMENTS 2026'!N2764),'ENGAGEMENTS 2026'!AD2764))))</f>
        <v/>
      </c>
      <c r="K2764" s="604">
        <f>IF(ISBLANK('ENGAGEMENTS 2026'!V2764),"",'ENGAGEMENTS 2026'!V2764)</f>
        <v/>
      </c>
      <c r="L2764" s="276">
        <f>IF($K2764="","",TODAY()-$K2764)</f>
        <v/>
      </c>
      <c r="M2764">
        <f>IF($A2764="","",IF($H2764="ENGAGE","Engagé",IF(AND($H2764="NON ENGAGE",OR($I2764="INFRUCTUEUX",$I2764="ANNULE")),"Clôturé sans suite","En cours")))</f>
        <v/>
      </c>
      <c r="N2764">
        <f>IF(ISBLANK('ENGAGEMENTS 2026'!B2764),"",'ENGAGEMENTS 2026'!K2764)</f>
        <v/>
      </c>
      <c r="O2764">
        <f>IF(ISBLANK('ENGAGEMENTS 2026'!B2764),"",'ENGAGEMENTS 2026'!L2764)</f>
        <v/>
      </c>
      <c r="P2764">
        <f>IF(ISBLANK('ENGAGEMENTS 2026'!B2764),"",'ENGAGEMENTS 2026'!J2764)</f>
        <v/>
      </c>
      <c r="Q2764">
        <f>IF($A2764="","",IF(OR($E2764="INFRUCTUEUX",$E2764="ANNULE"),$A2764&amp;"|"&amp;(COUNTIFS($A$2:$A2764,$A2764,$E$2:$E2764,"INFRUCTUEUX")+COUNTIFS($A$2:$A2764,$A2764,$E$2:$E2764,"ANNULE")),""))</f>
        <v/>
      </c>
    </row>
    <row r="2765">
      <c r="A2765">
        <f>IF(ISBLANK('ENGAGEMENTS 2026'!B2765),"",IF('ENGAGEMENTS 2026'!B2765="DTSI","DCT",'ENGAGEMENTS 2026'!B2765))</f>
        <v/>
      </c>
      <c r="B2765">
        <f>IF(ISBLANK('ENGAGEMENTS 2026'!B2765),"",'ENGAGEMENTS 2026'!C2765)</f>
        <v/>
      </c>
      <c r="C2765">
        <f>IF(ISBLANK('ENGAGEMENTS 2026'!B2765),"",'ENGAGEMENTS 2026'!D2765)</f>
        <v/>
      </c>
      <c r="D2765">
        <f>IF(ISBLANK('ENGAGEMENTS 2026'!B2765),"",'ENGAGEMENTS 2026'!F2765)</f>
        <v/>
      </c>
      <c r="E2765">
        <f>IF(ISBLANK('ENGAGEMENTS 2026'!B2765),"",'ENGAGEMENTS 2026'!H2765)</f>
        <v/>
      </c>
      <c r="F2765">
        <f>IF(ISBLANK('ENGAGEMENTS 2026'!B2765),"",'ENGAGEMENTS 2026'!I2765)</f>
        <v/>
      </c>
      <c r="G2765">
        <f>IF(ISBLANK('ENGAGEMENTS 2026'!B2765),"",'ENGAGEMENTS 2026'!L2765)</f>
        <v/>
      </c>
      <c r="H2765">
        <f>IF(ISBLANK('ENGAGEMENTS 2026'!B2765),"",'ENGAGEMENTS 2026'!AE2765)</f>
        <v/>
      </c>
      <c r="I2765">
        <f>IF(ISBLANK('ENGAGEMENTS 2026'!B2765),"",'ENGAGEMENTS 2026'!G2765)</f>
        <v/>
      </c>
      <c r="J2765" s="275">
        <f>IF(ISBLANK('ENGAGEMENTS 2026'!B2765),"",IF(AND(OR($E2765="INFRUCTUEUX",$E2765="ANNULE"),$C2765="AOO-M"),'ENGAGEMENTS 2026'!O2765,IF($H2765="EN COURS DE PREENGAGEMENT",'ENGAGEMENTS 2026'!N2765,IF($H2765="PREENGAGE",IF($E2765="ATTRIBUE",'ENGAGEMENTS 2026'!AD2765,'ENGAGEMENTS 2026'!N2765),'ENGAGEMENTS 2026'!AD2765))))</f>
        <v/>
      </c>
      <c r="K2765" s="604">
        <f>IF(ISBLANK('ENGAGEMENTS 2026'!V2765),"",'ENGAGEMENTS 2026'!V2765)</f>
        <v/>
      </c>
      <c r="L2765" s="276">
        <f>IF($K2765="","",TODAY()-$K2765)</f>
        <v/>
      </c>
      <c r="M2765">
        <f>IF($A2765="","",IF($H2765="ENGAGE","Engagé",IF(AND($H2765="NON ENGAGE",OR($I2765="INFRUCTUEUX",$I2765="ANNULE")),"Clôturé sans suite","En cours")))</f>
        <v/>
      </c>
      <c r="N2765">
        <f>IF(ISBLANK('ENGAGEMENTS 2026'!B2765),"",'ENGAGEMENTS 2026'!K2765)</f>
        <v/>
      </c>
      <c r="O2765">
        <f>IF(ISBLANK('ENGAGEMENTS 2026'!B2765),"",'ENGAGEMENTS 2026'!L2765)</f>
        <v/>
      </c>
      <c r="P2765">
        <f>IF(ISBLANK('ENGAGEMENTS 2026'!B2765),"",'ENGAGEMENTS 2026'!J2765)</f>
        <v/>
      </c>
      <c r="Q2765">
        <f>IF($A2765="","",IF(OR($E2765="INFRUCTUEUX",$E2765="ANNULE"),$A2765&amp;"|"&amp;(COUNTIFS($A$2:$A2765,$A2765,$E$2:$E2765,"INFRUCTUEUX")+COUNTIFS($A$2:$A2765,$A2765,$E$2:$E2765,"ANNULE")),""))</f>
        <v/>
      </c>
    </row>
    <row r="2766">
      <c r="A2766">
        <f>IF(ISBLANK('ENGAGEMENTS 2026'!B2766),"",IF('ENGAGEMENTS 2026'!B2766="DTSI","DCT",'ENGAGEMENTS 2026'!B2766))</f>
        <v/>
      </c>
      <c r="B2766">
        <f>IF(ISBLANK('ENGAGEMENTS 2026'!B2766),"",'ENGAGEMENTS 2026'!C2766)</f>
        <v/>
      </c>
      <c r="C2766">
        <f>IF(ISBLANK('ENGAGEMENTS 2026'!B2766),"",'ENGAGEMENTS 2026'!D2766)</f>
        <v/>
      </c>
      <c r="D2766">
        <f>IF(ISBLANK('ENGAGEMENTS 2026'!B2766),"",'ENGAGEMENTS 2026'!F2766)</f>
        <v/>
      </c>
      <c r="E2766">
        <f>IF(ISBLANK('ENGAGEMENTS 2026'!B2766),"",'ENGAGEMENTS 2026'!H2766)</f>
        <v/>
      </c>
      <c r="F2766">
        <f>IF(ISBLANK('ENGAGEMENTS 2026'!B2766),"",'ENGAGEMENTS 2026'!I2766)</f>
        <v/>
      </c>
      <c r="G2766">
        <f>IF(ISBLANK('ENGAGEMENTS 2026'!B2766),"",'ENGAGEMENTS 2026'!L2766)</f>
        <v/>
      </c>
      <c r="H2766">
        <f>IF(ISBLANK('ENGAGEMENTS 2026'!B2766),"",'ENGAGEMENTS 2026'!AE2766)</f>
        <v/>
      </c>
      <c r="I2766">
        <f>IF(ISBLANK('ENGAGEMENTS 2026'!B2766),"",'ENGAGEMENTS 2026'!G2766)</f>
        <v/>
      </c>
      <c r="J2766" s="275">
        <f>IF(ISBLANK('ENGAGEMENTS 2026'!B2766),"",IF(AND(OR($E2766="INFRUCTUEUX",$E2766="ANNULE"),$C2766="AOO-M"),'ENGAGEMENTS 2026'!O2766,IF($H2766="EN COURS DE PREENGAGEMENT",'ENGAGEMENTS 2026'!N2766,IF($H2766="PREENGAGE",IF($E2766="ATTRIBUE",'ENGAGEMENTS 2026'!AD2766,'ENGAGEMENTS 2026'!N2766),'ENGAGEMENTS 2026'!AD2766))))</f>
        <v/>
      </c>
      <c r="K2766" s="604">
        <f>IF(ISBLANK('ENGAGEMENTS 2026'!V2766),"",'ENGAGEMENTS 2026'!V2766)</f>
        <v/>
      </c>
      <c r="L2766" s="276">
        <f>IF($K2766="","",TODAY()-$K2766)</f>
        <v/>
      </c>
      <c r="M2766">
        <f>IF($A2766="","",IF($H2766="ENGAGE","Engagé",IF(AND($H2766="NON ENGAGE",OR($I2766="INFRUCTUEUX",$I2766="ANNULE")),"Clôturé sans suite","En cours")))</f>
        <v/>
      </c>
      <c r="N2766">
        <f>IF(ISBLANK('ENGAGEMENTS 2026'!B2766),"",'ENGAGEMENTS 2026'!K2766)</f>
        <v/>
      </c>
      <c r="O2766">
        <f>IF(ISBLANK('ENGAGEMENTS 2026'!B2766),"",'ENGAGEMENTS 2026'!L2766)</f>
        <v/>
      </c>
      <c r="P2766">
        <f>IF(ISBLANK('ENGAGEMENTS 2026'!B2766),"",'ENGAGEMENTS 2026'!J2766)</f>
        <v/>
      </c>
      <c r="Q2766">
        <f>IF($A2766="","",IF(OR($E2766="INFRUCTUEUX",$E2766="ANNULE"),$A2766&amp;"|"&amp;(COUNTIFS($A$2:$A2766,$A2766,$E$2:$E2766,"INFRUCTUEUX")+COUNTIFS($A$2:$A2766,$A2766,$E$2:$E2766,"ANNULE")),""))</f>
        <v/>
      </c>
    </row>
    <row r="2767">
      <c r="A2767">
        <f>IF(ISBLANK('ENGAGEMENTS 2026'!B2767),"",IF('ENGAGEMENTS 2026'!B2767="DTSI","DCT",'ENGAGEMENTS 2026'!B2767))</f>
        <v/>
      </c>
      <c r="B2767">
        <f>IF(ISBLANK('ENGAGEMENTS 2026'!B2767),"",'ENGAGEMENTS 2026'!C2767)</f>
        <v/>
      </c>
      <c r="C2767">
        <f>IF(ISBLANK('ENGAGEMENTS 2026'!B2767),"",'ENGAGEMENTS 2026'!D2767)</f>
        <v/>
      </c>
      <c r="D2767">
        <f>IF(ISBLANK('ENGAGEMENTS 2026'!B2767),"",'ENGAGEMENTS 2026'!F2767)</f>
        <v/>
      </c>
      <c r="E2767">
        <f>IF(ISBLANK('ENGAGEMENTS 2026'!B2767),"",'ENGAGEMENTS 2026'!H2767)</f>
        <v/>
      </c>
      <c r="F2767">
        <f>IF(ISBLANK('ENGAGEMENTS 2026'!B2767),"",'ENGAGEMENTS 2026'!I2767)</f>
        <v/>
      </c>
      <c r="G2767">
        <f>IF(ISBLANK('ENGAGEMENTS 2026'!B2767),"",'ENGAGEMENTS 2026'!L2767)</f>
        <v/>
      </c>
      <c r="H2767">
        <f>IF(ISBLANK('ENGAGEMENTS 2026'!B2767),"",'ENGAGEMENTS 2026'!AE2767)</f>
        <v/>
      </c>
      <c r="I2767">
        <f>IF(ISBLANK('ENGAGEMENTS 2026'!B2767),"",'ENGAGEMENTS 2026'!G2767)</f>
        <v/>
      </c>
      <c r="J2767" s="275">
        <f>IF(ISBLANK('ENGAGEMENTS 2026'!B2767),"",IF(AND(OR($E2767="INFRUCTUEUX",$E2767="ANNULE"),$C2767="AOO-M"),'ENGAGEMENTS 2026'!O2767,IF($H2767="EN COURS DE PREENGAGEMENT",'ENGAGEMENTS 2026'!N2767,IF($H2767="PREENGAGE",IF($E2767="ATTRIBUE",'ENGAGEMENTS 2026'!AD2767,'ENGAGEMENTS 2026'!N2767),'ENGAGEMENTS 2026'!AD2767))))</f>
        <v/>
      </c>
      <c r="K2767" s="604">
        <f>IF(ISBLANK('ENGAGEMENTS 2026'!V2767),"",'ENGAGEMENTS 2026'!V2767)</f>
        <v/>
      </c>
      <c r="L2767" s="276">
        <f>IF($K2767="","",TODAY()-$K2767)</f>
        <v/>
      </c>
      <c r="M2767">
        <f>IF($A2767="","",IF($H2767="ENGAGE","Engagé",IF(AND($H2767="NON ENGAGE",OR($I2767="INFRUCTUEUX",$I2767="ANNULE")),"Clôturé sans suite","En cours")))</f>
        <v/>
      </c>
      <c r="N2767">
        <f>IF(ISBLANK('ENGAGEMENTS 2026'!B2767),"",'ENGAGEMENTS 2026'!K2767)</f>
        <v/>
      </c>
      <c r="O2767">
        <f>IF(ISBLANK('ENGAGEMENTS 2026'!B2767),"",'ENGAGEMENTS 2026'!L2767)</f>
        <v/>
      </c>
      <c r="P2767">
        <f>IF(ISBLANK('ENGAGEMENTS 2026'!B2767),"",'ENGAGEMENTS 2026'!J2767)</f>
        <v/>
      </c>
      <c r="Q2767">
        <f>IF($A2767="","",IF(OR($E2767="INFRUCTUEUX",$E2767="ANNULE"),$A2767&amp;"|"&amp;(COUNTIFS($A$2:$A2767,$A2767,$E$2:$E2767,"INFRUCTUEUX")+COUNTIFS($A$2:$A2767,$A2767,$E$2:$E2767,"ANNULE")),""))</f>
        <v/>
      </c>
    </row>
    <row r="2768">
      <c r="A2768">
        <f>IF(ISBLANK('ENGAGEMENTS 2026'!B2768),"",IF('ENGAGEMENTS 2026'!B2768="DTSI","DCT",'ENGAGEMENTS 2026'!B2768))</f>
        <v/>
      </c>
      <c r="B2768">
        <f>IF(ISBLANK('ENGAGEMENTS 2026'!B2768),"",'ENGAGEMENTS 2026'!C2768)</f>
        <v/>
      </c>
      <c r="C2768">
        <f>IF(ISBLANK('ENGAGEMENTS 2026'!B2768),"",'ENGAGEMENTS 2026'!D2768)</f>
        <v/>
      </c>
      <c r="D2768">
        <f>IF(ISBLANK('ENGAGEMENTS 2026'!B2768),"",'ENGAGEMENTS 2026'!F2768)</f>
        <v/>
      </c>
      <c r="E2768">
        <f>IF(ISBLANK('ENGAGEMENTS 2026'!B2768),"",'ENGAGEMENTS 2026'!H2768)</f>
        <v/>
      </c>
      <c r="F2768">
        <f>IF(ISBLANK('ENGAGEMENTS 2026'!B2768),"",'ENGAGEMENTS 2026'!I2768)</f>
        <v/>
      </c>
      <c r="G2768">
        <f>IF(ISBLANK('ENGAGEMENTS 2026'!B2768),"",'ENGAGEMENTS 2026'!L2768)</f>
        <v/>
      </c>
      <c r="H2768">
        <f>IF(ISBLANK('ENGAGEMENTS 2026'!B2768),"",'ENGAGEMENTS 2026'!AE2768)</f>
        <v/>
      </c>
      <c r="I2768">
        <f>IF(ISBLANK('ENGAGEMENTS 2026'!B2768),"",'ENGAGEMENTS 2026'!G2768)</f>
        <v/>
      </c>
      <c r="J2768" s="275">
        <f>IF(ISBLANK('ENGAGEMENTS 2026'!B2768),"",IF(AND(OR($E2768="INFRUCTUEUX",$E2768="ANNULE"),$C2768="AOO-M"),'ENGAGEMENTS 2026'!O2768,IF($H2768="EN COURS DE PREENGAGEMENT",'ENGAGEMENTS 2026'!N2768,IF($H2768="PREENGAGE",IF($E2768="ATTRIBUE",'ENGAGEMENTS 2026'!AD2768,'ENGAGEMENTS 2026'!N2768),'ENGAGEMENTS 2026'!AD2768))))</f>
        <v/>
      </c>
      <c r="K2768" s="604">
        <f>IF(ISBLANK('ENGAGEMENTS 2026'!V2768),"",'ENGAGEMENTS 2026'!V2768)</f>
        <v/>
      </c>
      <c r="L2768" s="276">
        <f>IF($K2768="","",TODAY()-$K2768)</f>
        <v/>
      </c>
      <c r="M2768">
        <f>IF($A2768="","",IF($H2768="ENGAGE","Engagé",IF(AND($H2768="NON ENGAGE",OR($I2768="INFRUCTUEUX",$I2768="ANNULE")),"Clôturé sans suite","En cours")))</f>
        <v/>
      </c>
      <c r="N2768">
        <f>IF(ISBLANK('ENGAGEMENTS 2026'!B2768),"",'ENGAGEMENTS 2026'!K2768)</f>
        <v/>
      </c>
      <c r="O2768">
        <f>IF(ISBLANK('ENGAGEMENTS 2026'!B2768),"",'ENGAGEMENTS 2026'!L2768)</f>
        <v/>
      </c>
      <c r="P2768">
        <f>IF(ISBLANK('ENGAGEMENTS 2026'!B2768),"",'ENGAGEMENTS 2026'!J2768)</f>
        <v/>
      </c>
      <c r="Q2768">
        <f>IF($A2768="","",IF(OR($E2768="INFRUCTUEUX",$E2768="ANNULE"),$A2768&amp;"|"&amp;(COUNTIFS($A$2:$A2768,$A2768,$E$2:$E2768,"INFRUCTUEUX")+COUNTIFS($A$2:$A2768,$A2768,$E$2:$E2768,"ANNULE")),""))</f>
        <v/>
      </c>
    </row>
    <row r="2769">
      <c r="A2769">
        <f>IF(ISBLANK('ENGAGEMENTS 2026'!B2769),"",IF('ENGAGEMENTS 2026'!B2769="DTSI","DCT",'ENGAGEMENTS 2026'!B2769))</f>
        <v/>
      </c>
      <c r="B2769">
        <f>IF(ISBLANK('ENGAGEMENTS 2026'!B2769),"",'ENGAGEMENTS 2026'!C2769)</f>
        <v/>
      </c>
      <c r="C2769">
        <f>IF(ISBLANK('ENGAGEMENTS 2026'!B2769),"",'ENGAGEMENTS 2026'!D2769)</f>
        <v/>
      </c>
      <c r="D2769">
        <f>IF(ISBLANK('ENGAGEMENTS 2026'!B2769),"",'ENGAGEMENTS 2026'!F2769)</f>
        <v/>
      </c>
      <c r="E2769">
        <f>IF(ISBLANK('ENGAGEMENTS 2026'!B2769),"",'ENGAGEMENTS 2026'!H2769)</f>
        <v/>
      </c>
      <c r="F2769">
        <f>IF(ISBLANK('ENGAGEMENTS 2026'!B2769),"",'ENGAGEMENTS 2026'!I2769)</f>
        <v/>
      </c>
      <c r="G2769">
        <f>IF(ISBLANK('ENGAGEMENTS 2026'!B2769),"",'ENGAGEMENTS 2026'!L2769)</f>
        <v/>
      </c>
      <c r="H2769">
        <f>IF(ISBLANK('ENGAGEMENTS 2026'!B2769),"",'ENGAGEMENTS 2026'!AE2769)</f>
        <v/>
      </c>
      <c r="I2769">
        <f>IF(ISBLANK('ENGAGEMENTS 2026'!B2769),"",'ENGAGEMENTS 2026'!G2769)</f>
        <v/>
      </c>
      <c r="J2769" s="275">
        <f>IF(ISBLANK('ENGAGEMENTS 2026'!B2769),"",IF(AND(OR($E2769="INFRUCTUEUX",$E2769="ANNULE"),$C2769="AOO-M"),'ENGAGEMENTS 2026'!O2769,IF($H2769="EN COURS DE PREENGAGEMENT",'ENGAGEMENTS 2026'!N2769,IF($H2769="PREENGAGE",IF($E2769="ATTRIBUE",'ENGAGEMENTS 2026'!AD2769,'ENGAGEMENTS 2026'!N2769),'ENGAGEMENTS 2026'!AD2769))))</f>
        <v/>
      </c>
      <c r="K2769" s="604">
        <f>IF(ISBLANK('ENGAGEMENTS 2026'!V2769),"",'ENGAGEMENTS 2026'!V2769)</f>
        <v/>
      </c>
      <c r="L2769" s="276">
        <f>IF($K2769="","",TODAY()-$K2769)</f>
        <v/>
      </c>
      <c r="M2769">
        <f>IF($A2769="","",IF($H2769="ENGAGE","Engagé",IF(AND($H2769="NON ENGAGE",OR($I2769="INFRUCTUEUX",$I2769="ANNULE")),"Clôturé sans suite","En cours")))</f>
        <v/>
      </c>
      <c r="N2769">
        <f>IF(ISBLANK('ENGAGEMENTS 2026'!B2769),"",'ENGAGEMENTS 2026'!K2769)</f>
        <v/>
      </c>
      <c r="O2769">
        <f>IF(ISBLANK('ENGAGEMENTS 2026'!B2769),"",'ENGAGEMENTS 2026'!L2769)</f>
        <v/>
      </c>
      <c r="P2769">
        <f>IF(ISBLANK('ENGAGEMENTS 2026'!B2769),"",'ENGAGEMENTS 2026'!J2769)</f>
        <v/>
      </c>
      <c r="Q2769">
        <f>IF($A2769="","",IF(OR($E2769="INFRUCTUEUX",$E2769="ANNULE"),$A2769&amp;"|"&amp;(COUNTIFS($A$2:$A2769,$A2769,$E$2:$E2769,"INFRUCTUEUX")+COUNTIFS($A$2:$A2769,$A2769,$E$2:$E2769,"ANNULE")),""))</f>
        <v/>
      </c>
    </row>
    <row r="2770">
      <c r="A2770">
        <f>IF(ISBLANK('ENGAGEMENTS 2026'!B2770),"",IF('ENGAGEMENTS 2026'!B2770="DTSI","DCT",'ENGAGEMENTS 2026'!B2770))</f>
        <v/>
      </c>
      <c r="B2770">
        <f>IF(ISBLANK('ENGAGEMENTS 2026'!B2770),"",'ENGAGEMENTS 2026'!C2770)</f>
        <v/>
      </c>
      <c r="C2770">
        <f>IF(ISBLANK('ENGAGEMENTS 2026'!B2770),"",'ENGAGEMENTS 2026'!D2770)</f>
        <v/>
      </c>
      <c r="D2770">
        <f>IF(ISBLANK('ENGAGEMENTS 2026'!B2770),"",'ENGAGEMENTS 2026'!F2770)</f>
        <v/>
      </c>
      <c r="E2770">
        <f>IF(ISBLANK('ENGAGEMENTS 2026'!B2770),"",'ENGAGEMENTS 2026'!H2770)</f>
        <v/>
      </c>
      <c r="F2770">
        <f>IF(ISBLANK('ENGAGEMENTS 2026'!B2770),"",'ENGAGEMENTS 2026'!I2770)</f>
        <v/>
      </c>
      <c r="G2770">
        <f>IF(ISBLANK('ENGAGEMENTS 2026'!B2770),"",'ENGAGEMENTS 2026'!L2770)</f>
        <v/>
      </c>
      <c r="H2770">
        <f>IF(ISBLANK('ENGAGEMENTS 2026'!B2770),"",'ENGAGEMENTS 2026'!AE2770)</f>
        <v/>
      </c>
      <c r="I2770">
        <f>IF(ISBLANK('ENGAGEMENTS 2026'!B2770),"",'ENGAGEMENTS 2026'!G2770)</f>
        <v/>
      </c>
      <c r="J2770" s="275">
        <f>IF(ISBLANK('ENGAGEMENTS 2026'!B2770),"",IF(AND(OR($E2770="INFRUCTUEUX",$E2770="ANNULE"),$C2770="AOO-M"),'ENGAGEMENTS 2026'!O2770,IF($H2770="EN COURS DE PREENGAGEMENT",'ENGAGEMENTS 2026'!N2770,IF($H2770="PREENGAGE",IF($E2770="ATTRIBUE",'ENGAGEMENTS 2026'!AD2770,'ENGAGEMENTS 2026'!N2770),'ENGAGEMENTS 2026'!AD2770))))</f>
        <v/>
      </c>
      <c r="K2770" s="604">
        <f>IF(ISBLANK('ENGAGEMENTS 2026'!V2770),"",'ENGAGEMENTS 2026'!V2770)</f>
        <v/>
      </c>
      <c r="L2770" s="276">
        <f>IF($K2770="","",TODAY()-$K2770)</f>
        <v/>
      </c>
      <c r="M2770">
        <f>IF($A2770="","",IF($H2770="ENGAGE","Engagé",IF(AND($H2770="NON ENGAGE",OR($I2770="INFRUCTUEUX",$I2770="ANNULE")),"Clôturé sans suite","En cours")))</f>
        <v/>
      </c>
      <c r="N2770">
        <f>IF(ISBLANK('ENGAGEMENTS 2026'!B2770),"",'ENGAGEMENTS 2026'!K2770)</f>
        <v/>
      </c>
      <c r="O2770">
        <f>IF(ISBLANK('ENGAGEMENTS 2026'!B2770),"",'ENGAGEMENTS 2026'!L2770)</f>
        <v/>
      </c>
      <c r="P2770">
        <f>IF(ISBLANK('ENGAGEMENTS 2026'!B2770),"",'ENGAGEMENTS 2026'!J2770)</f>
        <v/>
      </c>
      <c r="Q2770">
        <f>IF($A2770="","",IF(OR($E2770="INFRUCTUEUX",$E2770="ANNULE"),$A2770&amp;"|"&amp;(COUNTIFS($A$2:$A2770,$A2770,$E$2:$E2770,"INFRUCTUEUX")+COUNTIFS($A$2:$A2770,$A2770,$E$2:$E2770,"ANNULE")),""))</f>
        <v/>
      </c>
    </row>
    <row r="2771">
      <c r="A2771">
        <f>IF(ISBLANK('ENGAGEMENTS 2026'!B2771),"",IF('ENGAGEMENTS 2026'!B2771="DTSI","DCT",'ENGAGEMENTS 2026'!B2771))</f>
        <v/>
      </c>
      <c r="B2771">
        <f>IF(ISBLANK('ENGAGEMENTS 2026'!B2771),"",'ENGAGEMENTS 2026'!C2771)</f>
        <v/>
      </c>
      <c r="C2771">
        <f>IF(ISBLANK('ENGAGEMENTS 2026'!B2771),"",'ENGAGEMENTS 2026'!D2771)</f>
        <v/>
      </c>
      <c r="D2771">
        <f>IF(ISBLANK('ENGAGEMENTS 2026'!B2771),"",'ENGAGEMENTS 2026'!F2771)</f>
        <v/>
      </c>
      <c r="E2771">
        <f>IF(ISBLANK('ENGAGEMENTS 2026'!B2771),"",'ENGAGEMENTS 2026'!H2771)</f>
        <v/>
      </c>
      <c r="F2771">
        <f>IF(ISBLANK('ENGAGEMENTS 2026'!B2771),"",'ENGAGEMENTS 2026'!I2771)</f>
        <v/>
      </c>
      <c r="G2771">
        <f>IF(ISBLANK('ENGAGEMENTS 2026'!B2771),"",'ENGAGEMENTS 2026'!L2771)</f>
        <v/>
      </c>
      <c r="H2771">
        <f>IF(ISBLANK('ENGAGEMENTS 2026'!B2771),"",'ENGAGEMENTS 2026'!AE2771)</f>
        <v/>
      </c>
      <c r="I2771">
        <f>IF(ISBLANK('ENGAGEMENTS 2026'!B2771),"",'ENGAGEMENTS 2026'!G2771)</f>
        <v/>
      </c>
      <c r="J2771" s="275">
        <f>IF(ISBLANK('ENGAGEMENTS 2026'!B2771),"",IF(AND(OR($E2771="INFRUCTUEUX",$E2771="ANNULE"),$C2771="AOO-M"),'ENGAGEMENTS 2026'!O2771,IF($H2771="EN COURS DE PREENGAGEMENT",'ENGAGEMENTS 2026'!N2771,IF($H2771="PREENGAGE",IF($E2771="ATTRIBUE",'ENGAGEMENTS 2026'!AD2771,'ENGAGEMENTS 2026'!N2771),'ENGAGEMENTS 2026'!AD2771))))</f>
        <v/>
      </c>
      <c r="K2771" s="604">
        <f>IF(ISBLANK('ENGAGEMENTS 2026'!V2771),"",'ENGAGEMENTS 2026'!V2771)</f>
        <v/>
      </c>
      <c r="L2771" s="276">
        <f>IF($K2771="","",TODAY()-$K2771)</f>
        <v/>
      </c>
      <c r="M2771">
        <f>IF($A2771="","",IF($H2771="ENGAGE","Engagé",IF(AND($H2771="NON ENGAGE",OR($I2771="INFRUCTUEUX",$I2771="ANNULE")),"Clôturé sans suite","En cours")))</f>
        <v/>
      </c>
      <c r="N2771">
        <f>IF(ISBLANK('ENGAGEMENTS 2026'!B2771),"",'ENGAGEMENTS 2026'!K2771)</f>
        <v/>
      </c>
      <c r="O2771">
        <f>IF(ISBLANK('ENGAGEMENTS 2026'!B2771),"",'ENGAGEMENTS 2026'!L2771)</f>
        <v/>
      </c>
      <c r="P2771">
        <f>IF(ISBLANK('ENGAGEMENTS 2026'!B2771),"",'ENGAGEMENTS 2026'!J2771)</f>
        <v/>
      </c>
      <c r="Q2771">
        <f>IF($A2771="","",IF(OR($E2771="INFRUCTUEUX",$E2771="ANNULE"),$A2771&amp;"|"&amp;(COUNTIFS($A$2:$A2771,$A2771,$E$2:$E2771,"INFRUCTUEUX")+COUNTIFS($A$2:$A2771,$A2771,$E$2:$E2771,"ANNULE")),""))</f>
        <v/>
      </c>
    </row>
    <row r="2772">
      <c r="A2772">
        <f>IF(ISBLANK('ENGAGEMENTS 2026'!B2772),"",IF('ENGAGEMENTS 2026'!B2772="DTSI","DCT",'ENGAGEMENTS 2026'!B2772))</f>
        <v/>
      </c>
      <c r="B2772">
        <f>IF(ISBLANK('ENGAGEMENTS 2026'!B2772),"",'ENGAGEMENTS 2026'!C2772)</f>
        <v/>
      </c>
      <c r="C2772">
        <f>IF(ISBLANK('ENGAGEMENTS 2026'!B2772),"",'ENGAGEMENTS 2026'!D2772)</f>
        <v/>
      </c>
      <c r="D2772">
        <f>IF(ISBLANK('ENGAGEMENTS 2026'!B2772),"",'ENGAGEMENTS 2026'!F2772)</f>
        <v/>
      </c>
      <c r="E2772">
        <f>IF(ISBLANK('ENGAGEMENTS 2026'!B2772),"",'ENGAGEMENTS 2026'!H2772)</f>
        <v/>
      </c>
      <c r="F2772">
        <f>IF(ISBLANK('ENGAGEMENTS 2026'!B2772),"",'ENGAGEMENTS 2026'!I2772)</f>
        <v/>
      </c>
      <c r="G2772">
        <f>IF(ISBLANK('ENGAGEMENTS 2026'!B2772),"",'ENGAGEMENTS 2026'!L2772)</f>
        <v/>
      </c>
      <c r="H2772">
        <f>IF(ISBLANK('ENGAGEMENTS 2026'!B2772),"",'ENGAGEMENTS 2026'!AE2772)</f>
        <v/>
      </c>
      <c r="I2772">
        <f>IF(ISBLANK('ENGAGEMENTS 2026'!B2772),"",'ENGAGEMENTS 2026'!G2772)</f>
        <v/>
      </c>
      <c r="J2772" s="275">
        <f>IF(ISBLANK('ENGAGEMENTS 2026'!B2772),"",IF(AND(OR($E2772="INFRUCTUEUX",$E2772="ANNULE"),$C2772="AOO-M"),'ENGAGEMENTS 2026'!O2772,IF($H2772="EN COURS DE PREENGAGEMENT",'ENGAGEMENTS 2026'!N2772,IF($H2772="PREENGAGE",IF($E2772="ATTRIBUE",'ENGAGEMENTS 2026'!AD2772,'ENGAGEMENTS 2026'!N2772),'ENGAGEMENTS 2026'!AD2772))))</f>
        <v/>
      </c>
      <c r="K2772" s="604">
        <f>IF(ISBLANK('ENGAGEMENTS 2026'!V2772),"",'ENGAGEMENTS 2026'!V2772)</f>
        <v/>
      </c>
      <c r="L2772" s="276">
        <f>IF($K2772="","",TODAY()-$K2772)</f>
        <v/>
      </c>
      <c r="M2772">
        <f>IF($A2772="","",IF($H2772="ENGAGE","Engagé",IF(AND($H2772="NON ENGAGE",OR($I2772="INFRUCTUEUX",$I2772="ANNULE")),"Clôturé sans suite","En cours")))</f>
        <v/>
      </c>
      <c r="N2772">
        <f>IF(ISBLANK('ENGAGEMENTS 2026'!B2772),"",'ENGAGEMENTS 2026'!K2772)</f>
        <v/>
      </c>
      <c r="O2772">
        <f>IF(ISBLANK('ENGAGEMENTS 2026'!B2772),"",'ENGAGEMENTS 2026'!L2772)</f>
        <v/>
      </c>
      <c r="P2772">
        <f>IF(ISBLANK('ENGAGEMENTS 2026'!B2772),"",'ENGAGEMENTS 2026'!J2772)</f>
        <v/>
      </c>
      <c r="Q2772">
        <f>IF($A2772="","",IF(OR($E2772="INFRUCTUEUX",$E2772="ANNULE"),$A2772&amp;"|"&amp;(COUNTIFS($A$2:$A2772,$A2772,$E$2:$E2772,"INFRUCTUEUX")+COUNTIFS($A$2:$A2772,$A2772,$E$2:$E2772,"ANNULE")),""))</f>
        <v/>
      </c>
    </row>
    <row r="2773">
      <c r="A2773">
        <f>IF(ISBLANK('ENGAGEMENTS 2026'!B2773),"",IF('ENGAGEMENTS 2026'!B2773="DTSI","DCT",'ENGAGEMENTS 2026'!B2773))</f>
        <v/>
      </c>
      <c r="B2773">
        <f>IF(ISBLANK('ENGAGEMENTS 2026'!B2773),"",'ENGAGEMENTS 2026'!C2773)</f>
        <v/>
      </c>
      <c r="C2773">
        <f>IF(ISBLANK('ENGAGEMENTS 2026'!B2773),"",'ENGAGEMENTS 2026'!D2773)</f>
        <v/>
      </c>
      <c r="D2773">
        <f>IF(ISBLANK('ENGAGEMENTS 2026'!B2773),"",'ENGAGEMENTS 2026'!F2773)</f>
        <v/>
      </c>
      <c r="E2773">
        <f>IF(ISBLANK('ENGAGEMENTS 2026'!B2773),"",'ENGAGEMENTS 2026'!H2773)</f>
        <v/>
      </c>
      <c r="F2773">
        <f>IF(ISBLANK('ENGAGEMENTS 2026'!B2773),"",'ENGAGEMENTS 2026'!I2773)</f>
        <v/>
      </c>
      <c r="G2773">
        <f>IF(ISBLANK('ENGAGEMENTS 2026'!B2773),"",'ENGAGEMENTS 2026'!L2773)</f>
        <v/>
      </c>
      <c r="H2773">
        <f>IF(ISBLANK('ENGAGEMENTS 2026'!B2773),"",'ENGAGEMENTS 2026'!AE2773)</f>
        <v/>
      </c>
      <c r="I2773">
        <f>IF(ISBLANK('ENGAGEMENTS 2026'!B2773),"",'ENGAGEMENTS 2026'!G2773)</f>
        <v/>
      </c>
      <c r="J2773" s="275">
        <f>IF(ISBLANK('ENGAGEMENTS 2026'!B2773),"",IF(AND(OR($E2773="INFRUCTUEUX",$E2773="ANNULE"),$C2773="AOO-M"),'ENGAGEMENTS 2026'!O2773,IF($H2773="EN COURS DE PREENGAGEMENT",'ENGAGEMENTS 2026'!N2773,IF($H2773="PREENGAGE",IF($E2773="ATTRIBUE",'ENGAGEMENTS 2026'!AD2773,'ENGAGEMENTS 2026'!N2773),'ENGAGEMENTS 2026'!AD2773))))</f>
        <v/>
      </c>
      <c r="K2773" s="604">
        <f>IF(ISBLANK('ENGAGEMENTS 2026'!V2773),"",'ENGAGEMENTS 2026'!V2773)</f>
        <v/>
      </c>
      <c r="L2773" s="276">
        <f>IF($K2773="","",TODAY()-$K2773)</f>
        <v/>
      </c>
      <c r="M2773">
        <f>IF($A2773="","",IF($H2773="ENGAGE","Engagé",IF(AND($H2773="NON ENGAGE",OR($I2773="INFRUCTUEUX",$I2773="ANNULE")),"Clôturé sans suite","En cours")))</f>
        <v/>
      </c>
      <c r="N2773">
        <f>IF(ISBLANK('ENGAGEMENTS 2026'!B2773),"",'ENGAGEMENTS 2026'!K2773)</f>
        <v/>
      </c>
      <c r="O2773">
        <f>IF(ISBLANK('ENGAGEMENTS 2026'!B2773),"",'ENGAGEMENTS 2026'!L2773)</f>
        <v/>
      </c>
      <c r="P2773">
        <f>IF(ISBLANK('ENGAGEMENTS 2026'!B2773),"",'ENGAGEMENTS 2026'!J2773)</f>
        <v/>
      </c>
      <c r="Q2773">
        <f>IF($A2773="","",IF(OR($E2773="INFRUCTUEUX",$E2773="ANNULE"),$A2773&amp;"|"&amp;(COUNTIFS($A$2:$A2773,$A2773,$E$2:$E2773,"INFRUCTUEUX")+COUNTIFS($A$2:$A2773,$A2773,$E$2:$E2773,"ANNULE")),""))</f>
        <v/>
      </c>
    </row>
    <row r="2774">
      <c r="A2774">
        <f>IF(ISBLANK('ENGAGEMENTS 2026'!B2774),"",IF('ENGAGEMENTS 2026'!B2774="DTSI","DCT",'ENGAGEMENTS 2026'!B2774))</f>
        <v/>
      </c>
      <c r="B2774">
        <f>IF(ISBLANK('ENGAGEMENTS 2026'!B2774),"",'ENGAGEMENTS 2026'!C2774)</f>
        <v/>
      </c>
      <c r="C2774">
        <f>IF(ISBLANK('ENGAGEMENTS 2026'!B2774),"",'ENGAGEMENTS 2026'!D2774)</f>
        <v/>
      </c>
      <c r="D2774">
        <f>IF(ISBLANK('ENGAGEMENTS 2026'!B2774),"",'ENGAGEMENTS 2026'!F2774)</f>
        <v/>
      </c>
      <c r="E2774">
        <f>IF(ISBLANK('ENGAGEMENTS 2026'!B2774),"",'ENGAGEMENTS 2026'!H2774)</f>
        <v/>
      </c>
      <c r="F2774">
        <f>IF(ISBLANK('ENGAGEMENTS 2026'!B2774),"",'ENGAGEMENTS 2026'!I2774)</f>
        <v/>
      </c>
      <c r="G2774">
        <f>IF(ISBLANK('ENGAGEMENTS 2026'!B2774),"",'ENGAGEMENTS 2026'!L2774)</f>
        <v/>
      </c>
      <c r="H2774">
        <f>IF(ISBLANK('ENGAGEMENTS 2026'!B2774),"",'ENGAGEMENTS 2026'!AE2774)</f>
        <v/>
      </c>
      <c r="I2774">
        <f>IF(ISBLANK('ENGAGEMENTS 2026'!B2774),"",'ENGAGEMENTS 2026'!G2774)</f>
        <v/>
      </c>
      <c r="J2774" s="275">
        <f>IF(ISBLANK('ENGAGEMENTS 2026'!B2774),"",IF(AND(OR($E2774="INFRUCTUEUX",$E2774="ANNULE"),$C2774="AOO-M"),'ENGAGEMENTS 2026'!O2774,IF($H2774="EN COURS DE PREENGAGEMENT",'ENGAGEMENTS 2026'!N2774,IF($H2774="PREENGAGE",IF($E2774="ATTRIBUE",'ENGAGEMENTS 2026'!AD2774,'ENGAGEMENTS 2026'!N2774),'ENGAGEMENTS 2026'!AD2774))))</f>
        <v/>
      </c>
      <c r="K2774" s="604">
        <f>IF(ISBLANK('ENGAGEMENTS 2026'!V2774),"",'ENGAGEMENTS 2026'!V2774)</f>
        <v/>
      </c>
      <c r="L2774" s="276">
        <f>IF($K2774="","",TODAY()-$K2774)</f>
        <v/>
      </c>
      <c r="M2774">
        <f>IF($A2774="","",IF($H2774="ENGAGE","Engagé",IF(AND($H2774="NON ENGAGE",OR($I2774="INFRUCTUEUX",$I2774="ANNULE")),"Clôturé sans suite","En cours")))</f>
        <v/>
      </c>
      <c r="N2774">
        <f>IF(ISBLANK('ENGAGEMENTS 2026'!B2774),"",'ENGAGEMENTS 2026'!K2774)</f>
        <v/>
      </c>
      <c r="O2774">
        <f>IF(ISBLANK('ENGAGEMENTS 2026'!B2774),"",'ENGAGEMENTS 2026'!L2774)</f>
        <v/>
      </c>
      <c r="P2774">
        <f>IF(ISBLANK('ENGAGEMENTS 2026'!B2774),"",'ENGAGEMENTS 2026'!J2774)</f>
        <v/>
      </c>
      <c r="Q2774">
        <f>IF($A2774="","",IF(OR($E2774="INFRUCTUEUX",$E2774="ANNULE"),$A2774&amp;"|"&amp;(COUNTIFS($A$2:$A2774,$A2774,$E$2:$E2774,"INFRUCTUEUX")+COUNTIFS($A$2:$A2774,$A2774,$E$2:$E2774,"ANNULE")),""))</f>
        <v/>
      </c>
    </row>
    <row r="2775">
      <c r="A2775">
        <f>IF(ISBLANK('ENGAGEMENTS 2026'!B2775),"",IF('ENGAGEMENTS 2026'!B2775="DTSI","DCT",'ENGAGEMENTS 2026'!B2775))</f>
        <v/>
      </c>
      <c r="B2775">
        <f>IF(ISBLANK('ENGAGEMENTS 2026'!B2775),"",'ENGAGEMENTS 2026'!C2775)</f>
        <v/>
      </c>
      <c r="C2775">
        <f>IF(ISBLANK('ENGAGEMENTS 2026'!B2775),"",'ENGAGEMENTS 2026'!D2775)</f>
        <v/>
      </c>
      <c r="D2775">
        <f>IF(ISBLANK('ENGAGEMENTS 2026'!B2775),"",'ENGAGEMENTS 2026'!F2775)</f>
        <v/>
      </c>
      <c r="E2775">
        <f>IF(ISBLANK('ENGAGEMENTS 2026'!B2775),"",'ENGAGEMENTS 2026'!H2775)</f>
        <v/>
      </c>
      <c r="F2775">
        <f>IF(ISBLANK('ENGAGEMENTS 2026'!B2775),"",'ENGAGEMENTS 2026'!I2775)</f>
        <v/>
      </c>
      <c r="G2775">
        <f>IF(ISBLANK('ENGAGEMENTS 2026'!B2775),"",'ENGAGEMENTS 2026'!L2775)</f>
        <v/>
      </c>
      <c r="H2775">
        <f>IF(ISBLANK('ENGAGEMENTS 2026'!B2775),"",'ENGAGEMENTS 2026'!AE2775)</f>
        <v/>
      </c>
      <c r="I2775">
        <f>IF(ISBLANK('ENGAGEMENTS 2026'!B2775),"",'ENGAGEMENTS 2026'!G2775)</f>
        <v/>
      </c>
      <c r="J2775" s="275">
        <f>IF(ISBLANK('ENGAGEMENTS 2026'!B2775),"",IF(AND(OR($E2775="INFRUCTUEUX",$E2775="ANNULE"),$C2775="AOO-M"),'ENGAGEMENTS 2026'!O2775,IF($H2775="EN COURS DE PREENGAGEMENT",'ENGAGEMENTS 2026'!N2775,IF($H2775="PREENGAGE",IF($E2775="ATTRIBUE",'ENGAGEMENTS 2026'!AD2775,'ENGAGEMENTS 2026'!N2775),'ENGAGEMENTS 2026'!AD2775))))</f>
        <v/>
      </c>
      <c r="K2775" s="604">
        <f>IF(ISBLANK('ENGAGEMENTS 2026'!V2775),"",'ENGAGEMENTS 2026'!V2775)</f>
        <v/>
      </c>
      <c r="L2775" s="276">
        <f>IF($K2775="","",TODAY()-$K2775)</f>
        <v/>
      </c>
      <c r="M2775">
        <f>IF($A2775="","",IF($H2775="ENGAGE","Engagé",IF(AND($H2775="NON ENGAGE",OR($I2775="INFRUCTUEUX",$I2775="ANNULE")),"Clôturé sans suite","En cours")))</f>
        <v/>
      </c>
      <c r="N2775">
        <f>IF(ISBLANK('ENGAGEMENTS 2026'!B2775),"",'ENGAGEMENTS 2026'!K2775)</f>
        <v/>
      </c>
      <c r="O2775">
        <f>IF(ISBLANK('ENGAGEMENTS 2026'!B2775),"",'ENGAGEMENTS 2026'!L2775)</f>
        <v/>
      </c>
      <c r="P2775">
        <f>IF(ISBLANK('ENGAGEMENTS 2026'!B2775),"",'ENGAGEMENTS 2026'!J2775)</f>
        <v/>
      </c>
      <c r="Q2775">
        <f>IF($A2775="","",IF(OR($E2775="INFRUCTUEUX",$E2775="ANNULE"),$A2775&amp;"|"&amp;(COUNTIFS($A$2:$A2775,$A2775,$E$2:$E2775,"INFRUCTUEUX")+COUNTIFS($A$2:$A2775,$A2775,$E$2:$E2775,"ANNULE")),""))</f>
        <v/>
      </c>
    </row>
    <row r="2776">
      <c r="A2776">
        <f>IF(ISBLANK('ENGAGEMENTS 2026'!B2776),"",IF('ENGAGEMENTS 2026'!B2776="DTSI","DCT",'ENGAGEMENTS 2026'!B2776))</f>
        <v/>
      </c>
      <c r="B2776">
        <f>IF(ISBLANK('ENGAGEMENTS 2026'!B2776),"",'ENGAGEMENTS 2026'!C2776)</f>
        <v/>
      </c>
      <c r="C2776">
        <f>IF(ISBLANK('ENGAGEMENTS 2026'!B2776),"",'ENGAGEMENTS 2026'!D2776)</f>
        <v/>
      </c>
      <c r="D2776">
        <f>IF(ISBLANK('ENGAGEMENTS 2026'!B2776),"",'ENGAGEMENTS 2026'!F2776)</f>
        <v/>
      </c>
      <c r="E2776">
        <f>IF(ISBLANK('ENGAGEMENTS 2026'!B2776),"",'ENGAGEMENTS 2026'!H2776)</f>
        <v/>
      </c>
      <c r="F2776">
        <f>IF(ISBLANK('ENGAGEMENTS 2026'!B2776),"",'ENGAGEMENTS 2026'!I2776)</f>
        <v/>
      </c>
      <c r="G2776">
        <f>IF(ISBLANK('ENGAGEMENTS 2026'!B2776),"",'ENGAGEMENTS 2026'!L2776)</f>
        <v/>
      </c>
      <c r="H2776">
        <f>IF(ISBLANK('ENGAGEMENTS 2026'!B2776),"",'ENGAGEMENTS 2026'!AE2776)</f>
        <v/>
      </c>
      <c r="I2776">
        <f>IF(ISBLANK('ENGAGEMENTS 2026'!B2776),"",'ENGAGEMENTS 2026'!G2776)</f>
        <v/>
      </c>
      <c r="J2776" s="275">
        <f>IF(ISBLANK('ENGAGEMENTS 2026'!B2776),"",IF(AND(OR($E2776="INFRUCTUEUX",$E2776="ANNULE"),$C2776="AOO-M"),'ENGAGEMENTS 2026'!O2776,IF($H2776="EN COURS DE PREENGAGEMENT",'ENGAGEMENTS 2026'!N2776,IF($H2776="PREENGAGE",IF($E2776="ATTRIBUE",'ENGAGEMENTS 2026'!AD2776,'ENGAGEMENTS 2026'!N2776),'ENGAGEMENTS 2026'!AD2776))))</f>
        <v/>
      </c>
      <c r="K2776" s="604">
        <f>IF(ISBLANK('ENGAGEMENTS 2026'!V2776),"",'ENGAGEMENTS 2026'!V2776)</f>
        <v/>
      </c>
      <c r="L2776" s="276">
        <f>IF($K2776="","",TODAY()-$K2776)</f>
        <v/>
      </c>
      <c r="M2776">
        <f>IF($A2776="","",IF($H2776="ENGAGE","Engagé",IF(AND($H2776="NON ENGAGE",OR($I2776="INFRUCTUEUX",$I2776="ANNULE")),"Clôturé sans suite","En cours")))</f>
        <v/>
      </c>
      <c r="N2776">
        <f>IF(ISBLANK('ENGAGEMENTS 2026'!B2776),"",'ENGAGEMENTS 2026'!K2776)</f>
        <v/>
      </c>
      <c r="O2776">
        <f>IF(ISBLANK('ENGAGEMENTS 2026'!B2776),"",'ENGAGEMENTS 2026'!L2776)</f>
        <v/>
      </c>
      <c r="P2776">
        <f>IF(ISBLANK('ENGAGEMENTS 2026'!B2776),"",'ENGAGEMENTS 2026'!J2776)</f>
        <v/>
      </c>
      <c r="Q2776">
        <f>IF($A2776="","",IF(OR($E2776="INFRUCTUEUX",$E2776="ANNULE"),$A2776&amp;"|"&amp;(COUNTIFS($A$2:$A2776,$A2776,$E$2:$E2776,"INFRUCTUEUX")+COUNTIFS($A$2:$A2776,$A2776,$E$2:$E2776,"ANNULE")),""))</f>
        <v/>
      </c>
    </row>
    <row r="2777">
      <c r="A2777">
        <f>IF(ISBLANK('ENGAGEMENTS 2026'!B2777),"",IF('ENGAGEMENTS 2026'!B2777="DTSI","DCT",'ENGAGEMENTS 2026'!B2777))</f>
        <v/>
      </c>
      <c r="B2777">
        <f>IF(ISBLANK('ENGAGEMENTS 2026'!B2777),"",'ENGAGEMENTS 2026'!C2777)</f>
        <v/>
      </c>
      <c r="C2777">
        <f>IF(ISBLANK('ENGAGEMENTS 2026'!B2777),"",'ENGAGEMENTS 2026'!D2777)</f>
        <v/>
      </c>
      <c r="D2777">
        <f>IF(ISBLANK('ENGAGEMENTS 2026'!B2777),"",'ENGAGEMENTS 2026'!F2777)</f>
        <v/>
      </c>
      <c r="E2777">
        <f>IF(ISBLANK('ENGAGEMENTS 2026'!B2777),"",'ENGAGEMENTS 2026'!H2777)</f>
        <v/>
      </c>
      <c r="F2777">
        <f>IF(ISBLANK('ENGAGEMENTS 2026'!B2777),"",'ENGAGEMENTS 2026'!I2777)</f>
        <v/>
      </c>
      <c r="G2777">
        <f>IF(ISBLANK('ENGAGEMENTS 2026'!B2777),"",'ENGAGEMENTS 2026'!L2777)</f>
        <v/>
      </c>
      <c r="H2777">
        <f>IF(ISBLANK('ENGAGEMENTS 2026'!B2777),"",'ENGAGEMENTS 2026'!AE2777)</f>
        <v/>
      </c>
      <c r="I2777">
        <f>IF(ISBLANK('ENGAGEMENTS 2026'!B2777),"",'ENGAGEMENTS 2026'!G2777)</f>
        <v/>
      </c>
      <c r="J2777" s="275">
        <f>IF(ISBLANK('ENGAGEMENTS 2026'!B2777),"",IF(AND(OR($E2777="INFRUCTUEUX",$E2777="ANNULE"),$C2777="AOO-M"),'ENGAGEMENTS 2026'!O2777,IF($H2777="EN COURS DE PREENGAGEMENT",'ENGAGEMENTS 2026'!N2777,IF($H2777="PREENGAGE",IF($E2777="ATTRIBUE",'ENGAGEMENTS 2026'!AD2777,'ENGAGEMENTS 2026'!N2777),'ENGAGEMENTS 2026'!AD2777))))</f>
        <v/>
      </c>
      <c r="K2777" s="604">
        <f>IF(ISBLANK('ENGAGEMENTS 2026'!V2777),"",'ENGAGEMENTS 2026'!V2777)</f>
        <v/>
      </c>
      <c r="L2777" s="276">
        <f>IF($K2777="","",TODAY()-$K2777)</f>
        <v/>
      </c>
      <c r="M2777">
        <f>IF($A2777="","",IF($H2777="ENGAGE","Engagé",IF(AND($H2777="NON ENGAGE",OR($I2777="INFRUCTUEUX",$I2777="ANNULE")),"Clôturé sans suite","En cours")))</f>
        <v/>
      </c>
      <c r="N2777">
        <f>IF(ISBLANK('ENGAGEMENTS 2026'!B2777),"",'ENGAGEMENTS 2026'!K2777)</f>
        <v/>
      </c>
      <c r="O2777">
        <f>IF(ISBLANK('ENGAGEMENTS 2026'!B2777),"",'ENGAGEMENTS 2026'!L2777)</f>
        <v/>
      </c>
      <c r="P2777">
        <f>IF(ISBLANK('ENGAGEMENTS 2026'!B2777),"",'ENGAGEMENTS 2026'!J2777)</f>
        <v/>
      </c>
      <c r="Q2777">
        <f>IF($A2777="","",IF(OR($E2777="INFRUCTUEUX",$E2777="ANNULE"),$A2777&amp;"|"&amp;(COUNTIFS($A$2:$A2777,$A2777,$E$2:$E2777,"INFRUCTUEUX")+COUNTIFS($A$2:$A2777,$A2777,$E$2:$E2777,"ANNULE")),""))</f>
        <v/>
      </c>
    </row>
    <row r="2778">
      <c r="A2778">
        <f>IF(ISBLANK('ENGAGEMENTS 2026'!B2778),"",IF('ENGAGEMENTS 2026'!B2778="DTSI","DCT",'ENGAGEMENTS 2026'!B2778))</f>
        <v/>
      </c>
      <c r="B2778">
        <f>IF(ISBLANK('ENGAGEMENTS 2026'!B2778),"",'ENGAGEMENTS 2026'!C2778)</f>
        <v/>
      </c>
      <c r="C2778">
        <f>IF(ISBLANK('ENGAGEMENTS 2026'!B2778),"",'ENGAGEMENTS 2026'!D2778)</f>
        <v/>
      </c>
      <c r="D2778">
        <f>IF(ISBLANK('ENGAGEMENTS 2026'!B2778),"",'ENGAGEMENTS 2026'!F2778)</f>
        <v/>
      </c>
      <c r="E2778">
        <f>IF(ISBLANK('ENGAGEMENTS 2026'!B2778),"",'ENGAGEMENTS 2026'!H2778)</f>
        <v/>
      </c>
      <c r="F2778">
        <f>IF(ISBLANK('ENGAGEMENTS 2026'!B2778),"",'ENGAGEMENTS 2026'!I2778)</f>
        <v/>
      </c>
      <c r="G2778">
        <f>IF(ISBLANK('ENGAGEMENTS 2026'!B2778),"",'ENGAGEMENTS 2026'!L2778)</f>
        <v/>
      </c>
      <c r="H2778">
        <f>IF(ISBLANK('ENGAGEMENTS 2026'!B2778),"",'ENGAGEMENTS 2026'!AE2778)</f>
        <v/>
      </c>
      <c r="I2778">
        <f>IF(ISBLANK('ENGAGEMENTS 2026'!B2778),"",'ENGAGEMENTS 2026'!G2778)</f>
        <v/>
      </c>
      <c r="J2778" s="275">
        <f>IF(ISBLANK('ENGAGEMENTS 2026'!B2778),"",IF(AND(OR($E2778="INFRUCTUEUX",$E2778="ANNULE"),$C2778="AOO-M"),'ENGAGEMENTS 2026'!O2778,IF($H2778="EN COURS DE PREENGAGEMENT",'ENGAGEMENTS 2026'!N2778,IF($H2778="PREENGAGE",IF($E2778="ATTRIBUE",'ENGAGEMENTS 2026'!AD2778,'ENGAGEMENTS 2026'!N2778),'ENGAGEMENTS 2026'!AD2778))))</f>
        <v/>
      </c>
      <c r="K2778" s="604">
        <f>IF(ISBLANK('ENGAGEMENTS 2026'!V2778),"",'ENGAGEMENTS 2026'!V2778)</f>
        <v/>
      </c>
      <c r="L2778" s="276">
        <f>IF($K2778="","",TODAY()-$K2778)</f>
        <v/>
      </c>
      <c r="M2778">
        <f>IF($A2778="","",IF($H2778="ENGAGE","Engagé",IF(AND($H2778="NON ENGAGE",OR($I2778="INFRUCTUEUX",$I2778="ANNULE")),"Clôturé sans suite","En cours")))</f>
        <v/>
      </c>
      <c r="N2778">
        <f>IF(ISBLANK('ENGAGEMENTS 2026'!B2778),"",'ENGAGEMENTS 2026'!K2778)</f>
        <v/>
      </c>
      <c r="O2778">
        <f>IF(ISBLANK('ENGAGEMENTS 2026'!B2778),"",'ENGAGEMENTS 2026'!L2778)</f>
        <v/>
      </c>
      <c r="P2778">
        <f>IF(ISBLANK('ENGAGEMENTS 2026'!B2778),"",'ENGAGEMENTS 2026'!J2778)</f>
        <v/>
      </c>
      <c r="Q2778">
        <f>IF($A2778="","",IF(OR($E2778="INFRUCTUEUX",$E2778="ANNULE"),$A2778&amp;"|"&amp;(COUNTIFS($A$2:$A2778,$A2778,$E$2:$E2778,"INFRUCTUEUX")+COUNTIFS($A$2:$A2778,$A2778,$E$2:$E2778,"ANNULE")),""))</f>
        <v/>
      </c>
    </row>
    <row r="2779">
      <c r="A2779">
        <f>IF(ISBLANK('ENGAGEMENTS 2026'!B2779),"",IF('ENGAGEMENTS 2026'!B2779="DTSI","DCT",'ENGAGEMENTS 2026'!B2779))</f>
        <v/>
      </c>
      <c r="B2779">
        <f>IF(ISBLANK('ENGAGEMENTS 2026'!B2779),"",'ENGAGEMENTS 2026'!C2779)</f>
        <v/>
      </c>
      <c r="C2779">
        <f>IF(ISBLANK('ENGAGEMENTS 2026'!B2779),"",'ENGAGEMENTS 2026'!D2779)</f>
        <v/>
      </c>
      <c r="D2779">
        <f>IF(ISBLANK('ENGAGEMENTS 2026'!B2779),"",'ENGAGEMENTS 2026'!F2779)</f>
        <v/>
      </c>
      <c r="E2779">
        <f>IF(ISBLANK('ENGAGEMENTS 2026'!B2779),"",'ENGAGEMENTS 2026'!H2779)</f>
        <v/>
      </c>
      <c r="F2779">
        <f>IF(ISBLANK('ENGAGEMENTS 2026'!B2779),"",'ENGAGEMENTS 2026'!I2779)</f>
        <v/>
      </c>
      <c r="G2779">
        <f>IF(ISBLANK('ENGAGEMENTS 2026'!B2779),"",'ENGAGEMENTS 2026'!L2779)</f>
        <v/>
      </c>
      <c r="H2779">
        <f>IF(ISBLANK('ENGAGEMENTS 2026'!B2779),"",'ENGAGEMENTS 2026'!AE2779)</f>
        <v/>
      </c>
      <c r="I2779">
        <f>IF(ISBLANK('ENGAGEMENTS 2026'!B2779),"",'ENGAGEMENTS 2026'!G2779)</f>
        <v/>
      </c>
      <c r="J2779" s="275">
        <f>IF(ISBLANK('ENGAGEMENTS 2026'!B2779),"",IF(AND(OR($E2779="INFRUCTUEUX",$E2779="ANNULE"),$C2779="AOO-M"),'ENGAGEMENTS 2026'!O2779,IF($H2779="EN COURS DE PREENGAGEMENT",'ENGAGEMENTS 2026'!N2779,IF($H2779="PREENGAGE",IF($E2779="ATTRIBUE",'ENGAGEMENTS 2026'!AD2779,'ENGAGEMENTS 2026'!N2779),'ENGAGEMENTS 2026'!AD2779))))</f>
        <v/>
      </c>
      <c r="K2779" s="604">
        <f>IF(ISBLANK('ENGAGEMENTS 2026'!V2779),"",'ENGAGEMENTS 2026'!V2779)</f>
        <v/>
      </c>
      <c r="L2779" s="276">
        <f>IF($K2779="","",TODAY()-$K2779)</f>
        <v/>
      </c>
      <c r="M2779">
        <f>IF($A2779="","",IF($H2779="ENGAGE","Engagé",IF(AND($H2779="NON ENGAGE",OR($I2779="INFRUCTUEUX",$I2779="ANNULE")),"Clôturé sans suite","En cours")))</f>
        <v/>
      </c>
      <c r="N2779">
        <f>IF(ISBLANK('ENGAGEMENTS 2026'!B2779),"",'ENGAGEMENTS 2026'!K2779)</f>
        <v/>
      </c>
      <c r="O2779">
        <f>IF(ISBLANK('ENGAGEMENTS 2026'!B2779),"",'ENGAGEMENTS 2026'!L2779)</f>
        <v/>
      </c>
      <c r="P2779">
        <f>IF(ISBLANK('ENGAGEMENTS 2026'!B2779),"",'ENGAGEMENTS 2026'!J2779)</f>
        <v/>
      </c>
      <c r="Q2779">
        <f>IF($A2779="","",IF(OR($E2779="INFRUCTUEUX",$E2779="ANNULE"),$A2779&amp;"|"&amp;(COUNTIFS($A$2:$A2779,$A2779,$E$2:$E2779,"INFRUCTUEUX")+COUNTIFS($A$2:$A2779,$A2779,$E$2:$E2779,"ANNULE")),""))</f>
        <v/>
      </c>
    </row>
    <row r="2780">
      <c r="A2780">
        <f>IF(ISBLANK('ENGAGEMENTS 2026'!B2780),"",IF('ENGAGEMENTS 2026'!B2780="DTSI","DCT",'ENGAGEMENTS 2026'!B2780))</f>
        <v/>
      </c>
      <c r="B2780">
        <f>IF(ISBLANK('ENGAGEMENTS 2026'!B2780),"",'ENGAGEMENTS 2026'!C2780)</f>
        <v/>
      </c>
      <c r="C2780">
        <f>IF(ISBLANK('ENGAGEMENTS 2026'!B2780),"",'ENGAGEMENTS 2026'!D2780)</f>
        <v/>
      </c>
      <c r="D2780">
        <f>IF(ISBLANK('ENGAGEMENTS 2026'!B2780),"",'ENGAGEMENTS 2026'!F2780)</f>
        <v/>
      </c>
      <c r="E2780">
        <f>IF(ISBLANK('ENGAGEMENTS 2026'!B2780),"",'ENGAGEMENTS 2026'!H2780)</f>
        <v/>
      </c>
      <c r="F2780">
        <f>IF(ISBLANK('ENGAGEMENTS 2026'!B2780),"",'ENGAGEMENTS 2026'!I2780)</f>
        <v/>
      </c>
      <c r="G2780">
        <f>IF(ISBLANK('ENGAGEMENTS 2026'!B2780),"",'ENGAGEMENTS 2026'!L2780)</f>
        <v/>
      </c>
      <c r="H2780">
        <f>IF(ISBLANK('ENGAGEMENTS 2026'!B2780),"",'ENGAGEMENTS 2026'!AE2780)</f>
        <v/>
      </c>
      <c r="I2780">
        <f>IF(ISBLANK('ENGAGEMENTS 2026'!B2780),"",'ENGAGEMENTS 2026'!G2780)</f>
        <v/>
      </c>
      <c r="J2780" s="275">
        <f>IF(ISBLANK('ENGAGEMENTS 2026'!B2780),"",IF(AND(OR($E2780="INFRUCTUEUX",$E2780="ANNULE"),$C2780="AOO-M"),'ENGAGEMENTS 2026'!O2780,IF($H2780="EN COURS DE PREENGAGEMENT",'ENGAGEMENTS 2026'!N2780,IF($H2780="PREENGAGE",IF($E2780="ATTRIBUE",'ENGAGEMENTS 2026'!AD2780,'ENGAGEMENTS 2026'!N2780),'ENGAGEMENTS 2026'!AD2780))))</f>
        <v/>
      </c>
      <c r="K2780" s="604">
        <f>IF(ISBLANK('ENGAGEMENTS 2026'!V2780),"",'ENGAGEMENTS 2026'!V2780)</f>
        <v/>
      </c>
      <c r="L2780" s="276">
        <f>IF($K2780="","",TODAY()-$K2780)</f>
        <v/>
      </c>
      <c r="M2780">
        <f>IF($A2780="","",IF($H2780="ENGAGE","Engagé",IF(AND($H2780="NON ENGAGE",OR($I2780="INFRUCTUEUX",$I2780="ANNULE")),"Clôturé sans suite","En cours")))</f>
        <v/>
      </c>
      <c r="N2780">
        <f>IF(ISBLANK('ENGAGEMENTS 2026'!B2780),"",'ENGAGEMENTS 2026'!K2780)</f>
        <v/>
      </c>
      <c r="O2780">
        <f>IF(ISBLANK('ENGAGEMENTS 2026'!B2780),"",'ENGAGEMENTS 2026'!L2780)</f>
        <v/>
      </c>
      <c r="P2780">
        <f>IF(ISBLANK('ENGAGEMENTS 2026'!B2780),"",'ENGAGEMENTS 2026'!J2780)</f>
        <v/>
      </c>
      <c r="Q2780">
        <f>IF($A2780="","",IF(OR($E2780="INFRUCTUEUX",$E2780="ANNULE"),$A2780&amp;"|"&amp;(COUNTIFS($A$2:$A2780,$A2780,$E$2:$E2780,"INFRUCTUEUX")+COUNTIFS($A$2:$A2780,$A2780,$E$2:$E2780,"ANNULE")),""))</f>
        <v/>
      </c>
    </row>
    <row r="2781">
      <c r="A2781">
        <f>IF(ISBLANK('ENGAGEMENTS 2026'!B2781),"",IF('ENGAGEMENTS 2026'!B2781="DTSI","DCT",'ENGAGEMENTS 2026'!B2781))</f>
        <v/>
      </c>
      <c r="B2781">
        <f>IF(ISBLANK('ENGAGEMENTS 2026'!B2781),"",'ENGAGEMENTS 2026'!C2781)</f>
        <v/>
      </c>
      <c r="C2781">
        <f>IF(ISBLANK('ENGAGEMENTS 2026'!B2781),"",'ENGAGEMENTS 2026'!D2781)</f>
        <v/>
      </c>
      <c r="D2781">
        <f>IF(ISBLANK('ENGAGEMENTS 2026'!B2781),"",'ENGAGEMENTS 2026'!F2781)</f>
        <v/>
      </c>
      <c r="E2781">
        <f>IF(ISBLANK('ENGAGEMENTS 2026'!B2781),"",'ENGAGEMENTS 2026'!H2781)</f>
        <v/>
      </c>
      <c r="F2781">
        <f>IF(ISBLANK('ENGAGEMENTS 2026'!B2781),"",'ENGAGEMENTS 2026'!I2781)</f>
        <v/>
      </c>
      <c r="G2781">
        <f>IF(ISBLANK('ENGAGEMENTS 2026'!B2781),"",'ENGAGEMENTS 2026'!L2781)</f>
        <v/>
      </c>
      <c r="H2781">
        <f>IF(ISBLANK('ENGAGEMENTS 2026'!B2781),"",'ENGAGEMENTS 2026'!AE2781)</f>
        <v/>
      </c>
      <c r="I2781">
        <f>IF(ISBLANK('ENGAGEMENTS 2026'!B2781),"",'ENGAGEMENTS 2026'!G2781)</f>
        <v/>
      </c>
      <c r="J2781" s="275">
        <f>IF(ISBLANK('ENGAGEMENTS 2026'!B2781),"",IF(AND(OR($E2781="INFRUCTUEUX",$E2781="ANNULE"),$C2781="AOO-M"),'ENGAGEMENTS 2026'!O2781,IF($H2781="EN COURS DE PREENGAGEMENT",'ENGAGEMENTS 2026'!N2781,IF($H2781="PREENGAGE",IF($E2781="ATTRIBUE",'ENGAGEMENTS 2026'!AD2781,'ENGAGEMENTS 2026'!N2781),'ENGAGEMENTS 2026'!AD2781))))</f>
        <v/>
      </c>
      <c r="K2781" s="604">
        <f>IF(ISBLANK('ENGAGEMENTS 2026'!V2781),"",'ENGAGEMENTS 2026'!V2781)</f>
        <v/>
      </c>
      <c r="L2781" s="276">
        <f>IF($K2781="","",TODAY()-$K2781)</f>
        <v/>
      </c>
      <c r="M2781">
        <f>IF($A2781="","",IF($H2781="ENGAGE","Engagé",IF(AND($H2781="NON ENGAGE",OR($I2781="INFRUCTUEUX",$I2781="ANNULE")),"Clôturé sans suite","En cours")))</f>
        <v/>
      </c>
      <c r="N2781">
        <f>IF(ISBLANK('ENGAGEMENTS 2026'!B2781),"",'ENGAGEMENTS 2026'!K2781)</f>
        <v/>
      </c>
      <c r="O2781">
        <f>IF(ISBLANK('ENGAGEMENTS 2026'!B2781),"",'ENGAGEMENTS 2026'!L2781)</f>
        <v/>
      </c>
      <c r="P2781">
        <f>IF(ISBLANK('ENGAGEMENTS 2026'!B2781),"",'ENGAGEMENTS 2026'!J2781)</f>
        <v/>
      </c>
      <c r="Q2781">
        <f>IF($A2781="","",IF(OR($E2781="INFRUCTUEUX",$E2781="ANNULE"),$A2781&amp;"|"&amp;(COUNTIFS($A$2:$A2781,$A2781,$E$2:$E2781,"INFRUCTUEUX")+COUNTIFS($A$2:$A2781,$A2781,$E$2:$E2781,"ANNULE")),""))</f>
        <v/>
      </c>
    </row>
    <row r="2782">
      <c r="A2782">
        <f>IF(ISBLANK('ENGAGEMENTS 2026'!B2782),"",IF('ENGAGEMENTS 2026'!B2782="DTSI","DCT",'ENGAGEMENTS 2026'!B2782))</f>
        <v/>
      </c>
      <c r="B2782">
        <f>IF(ISBLANK('ENGAGEMENTS 2026'!B2782),"",'ENGAGEMENTS 2026'!C2782)</f>
        <v/>
      </c>
      <c r="C2782">
        <f>IF(ISBLANK('ENGAGEMENTS 2026'!B2782),"",'ENGAGEMENTS 2026'!D2782)</f>
        <v/>
      </c>
      <c r="D2782">
        <f>IF(ISBLANK('ENGAGEMENTS 2026'!B2782),"",'ENGAGEMENTS 2026'!F2782)</f>
        <v/>
      </c>
      <c r="E2782">
        <f>IF(ISBLANK('ENGAGEMENTS 2026'!B2782),"",'ENGAGEMENTS 2026'!H2782)</f>
        <v/>
      </c>
      <c r="F2782">
        <f>IF(ISBLANK('ENGAGEMENTS 2026'!B2782),"",'ENGAGEMENTS 2026'!I2782)</f>
        <v/>
      </c>
      <c r="G2782">
        <f>IF(ISBLANK('ENGAGEMENTS 2026'!B2782),"",'ENGAGEMENTS 2026'!L2782)</f>
        <v/>
      </c>
      <c r="H2782">
        <f>IF(ISBLANK('ENGAGEMENTS 2026'!B2782),"",'ENGAGEMENTS 2026'!AE2782)</f>
        <v/>
      </c>
      <c r="I2782">
        <f>IF(ISBLANK('ENGAGEMENTS 2026'!B2782),"",'ENGAGEMENTS 2026'!G2782)</f>
        <v/>
      </c>
      <c r="J2782" s="275">
        <f>IF(ISBLANK('ENGAGEMENTS 2026'!B2782),"",IF(AND(OR($E2782="INFRUCTUEUX",$E2782="ANNULE"),$C2782="AOO-M"),'ENGAGEMENTS 2026'!O2782,IF($H2782="EN COURS DE PREENGAGEMENT",'ENGAGEMENTS 2026'!N2782,IF($H2782="PREENGAGE",IF($E2782="ATTRIBUE",'ENGAGEMENTS 2026'!AD2782,'ENGAGEMENTS 2026'!N2782),'ENGAGEMENTS 2026'!AD2782))))</f>
        <v/>
      </c>
      <c r="K2782" s="604">
        <f>IF(ISBLANK('ENGAGEMENTS 2026'!V2782),"",'ENGAGEMENTS 2026'!V2782)</f>
        <v/>
      </c>
      <c r="L2782" s="276">
        <f>IF($K2782="","",TODAY()-$K2782)</f>
        <v/>
      </c>
      <c r="M2782">
        <f>IF($A2782="","",IF($H2782="ENGAGE","Engagé",IF(AND($H2782="NON ENGAGE",OR($I2782="INFRUCTUEUX",$I2782="ANNULE")),"Clôturé sans suite","En cours")))</f>
        <v/>
      </c>
      <c r="N2782">
        <f>IF(ISBLANK('ENGAGEMENTS 2026'!B2782),"",'ENGAGEMENTS 2026'!K2782)</f>
        <v/>
      </c>
      <c r="O2782">
        <f>IF(ISBLANK('ENGAGEMENTS 2026'!B2782),"",'ENGAGEMENTS 2026'!L2782)</f>
        <v/>
      </c>
      <c r="P2782">
        <f>IF(ISBLANK('ENGAGEMENTS 2026'!B2782),"",'ENGAGEMENTS 2026'!J2782)</f>
        <v/>
      </c>
      <c r="Q2782">
        <f>IF($A2782="","",IF(OR($E2782="INFRUCTUEUX",$E2782="ANNULE"),$A2782&amp;"|"&amp;(COUNTIFS($A$2:$A2782,$A2782,$E$2:$E2782,"INFRUCTUEUX")+COUNTIFS($A$2:$A2782,$A2782,$E$2:$E2782,"ANNULE")),""))</f>
        <v/>
      </c>
    </row>
    <row r="2783">
      <c r="A2783">
        <f>IF(ISBLANK('ENGAGEMENTS 2026'!B2783),"",IF('ENGAGEMENTS 2026'!B2783="DTSI","DCT",'ENGAGEMENTS 2026'!B2783))</f>
        <v/>
      </c>
      <c r="B2783">
        <f>IF(ISBLANK('ENGAGEMENTS 2026'!B2783),"",'ENGAGEMENTS 2026'!C2783)</f>
        <v/>
      </c>
      <c r="C2783">
        <f>IF(ISBLANK('ENGAGEMENTS 2026'!B2783),"",'ENGAGEMENTS 2026'!D2783)</f>
        <v/>
      </c>
      <c r="D2783">
        <f>IF(ISBLANK('ENGAGEMENTS 2026'!B2783),"",'ENGAGEMENTS 2026'!F2783)</f>
        <v/>
      </c>
      <c r="E2783">
        <f>IF(ISBLANK('ENGAGEMENTS 2026'!B2783),"",'ENGAGEMENTS 2026'!H2783)</f>
        <v/>
      </c>
      <c r="F2783">
        <f>IF(ISBLANK('ENGAGEMENTS 2026'!B2783),"",'ENGAGEMENTS 2026'!I2783)</f>
        <v/>
      </c>
      <c r="G2783">
        <f>IF(ISBLANK('ENGAGEMENTS 2026'!B2783),"",'ENGAGEMENTS 2026'!L2783)</f>
        <v/>
      </c>
      <c r="H2783">
        <f>IF(ISBLANK('ENGAGEMENTS 2026'!B2783),"",'ENGAGEMENTS 2026'!AE2783)</f>
        <v/>
      </c>
      <c r="I2783">
        <f>IF(ISBLANK('ENGAGEMENTS 2026'!B2783),"",'ENGAGEMENTS 2026'!G2783)</f>
        <v/>
      </c>
      <c r="J2783" s="275">
        <f>IF(ISBLANK('ENGAGEMENTS 2026'!B2783),"",IF(AND(OR($E2783="INFRUCTUEUX",$E2783="ANNULE"),$C2783="AOO-M"),'ENGAGEMENTS 2026'!O2783,IF($H2783="EN COURS DE PREENGAGEMENT",'ENGAGEMENTS 2026'!N2783,IF($H2783="PREENGAGE",IF($E2783="ATTRIBUE",'ENGAGEMENTS 2026'!AD2783,'ENGAGEMENTS 2026'!N2783),'ENGAGEMENTS 2026'!AD2783))))</f>
        <v/>
      </c>
      <c r="K2783" s="604">
        <f>IF(ISBLANK('ENGAGEMENTS 2026'!V2783),"",'ENGAGEMENTS 2026'!V2783)</f>
        <v/>
      </c>
      <c r="L2783" s="276">
        <f>IF($K2783="","",TODAY()-$K2783)</f>
        <v/>
      </c>
      <c r="M2783">
        <f>IF($A2783="","",IF($H2783="ENGAGE","Engagé",IF(AND($H2783="NON ENGAGE",OR($I2783="INFRUCTUEUX",$I2783="ANNULE")),"Clôturé sans suite","En cours")))</f>
        <v/>
      </c>
      <c r="N2783">
        <f>IF(ISBLANK('ENGAGEMENTS 2026'!B2783),"",'ENGAGEMENTS 2026'!K2783)</f>
        <v/>
      </c>
      <c r="O2783">
        <f>IF(ISBLANK('ENGAGEMENTS 2026'!B2783),"",'ENGAGEMENTS 2026'!L2783)</f>
        <v/>
      </c>
      <c r="P2783">
        <f>IF(ISBLANK('ENGAGEMENTS 2026'!B2783),"",'ENGAGEMENTS 2026'!J2783)</f>
        <v/>
      </c>
      <c r="Q2783">
        <f>IF($A2783="","",IF(OR($E2783="INFRUCTUEUX",$E2783="ANNULE"),$A2783&amp;"|"&amp;(COUNTIFS($A$2:$A2783,$A2783,$E$2:$E2783,"INFRUCTUEUX")+COUNTIFS($A$2:$A2783,$A2783,$E$2:$E2783,"ANNULE")),""))</f>
        <v/>
      </c>
    </row>
    <row r="2784">
      <c r="A2784">
        <f>IF(ISBLANK('ENGAGEMENTS 2026'!B2784),"",IF('ENGAGEMENTS 2026'!B2784="DTSI","DCT",'ENGAGEMENTS 2026'!B2784))</f>
        <v/>
      </c>
      <c r="B2784">
        <f>IF(ISBLANK('ENGAGEMENTS 2026'!B2784),"",'ENGAGEMENTS 2026'!C2784)</f>
        <v/>
      </c>
      <c r="C2784">
        <f>IF(ISBLANK('ENGAGEMENTS 2026'!B2784),"",'ENGAGEMENTS 2026'!D2784)</f>
        <v/>
      </c>
      <c r="D2784">
        <f>IF(ISBLANK('ENGAGEMENTS 2026'!B2784),"",'ENGAGEMENTS 2026'!F2784)</f>
        <v/>
      </c>
      <c r="E2784">
        <f>IF(ISBLANK('ENGAGEMENTS 2026'!B2784),"",'ENGAGEMENTS 2026'!H2784)</f>
        <v/>
      </c>
      <c r="F2784">
        <f>IF(ISBLANK('ENGAGEMENTS 2026'!B2784),"",'ENGAGEMENTS 2026'!I2784)</f>
        <v/>
      </c>
      <c r="G2784">
        <f>IF(ISBLANK('ENGAGEMENTS 2026'!B2784),"",'ENGAGEMENTS 2026'!L2784)</f>
        <v/>
      </c>
      <c r="H2784">
        <f>IF(ISBLANK('ENGAGEMENTS 2026'!B2784),"",'ENGAGEMENTS 2026'!AE2784)</f>
        <v/>
      </c>
      <c r="I2784">
        <f>IF(ISBLANK('ENGAGEMENTS 2026'!B2784),"",'ENGAGEMENTS 2026'!G2784)</f>
        <v/>
      </c>
      <c r="J2784" s="275">
        <f>IF(ISBLANK('ENGAGEMENTS 2026'!B2784),"",IF(AND(OR($E2784="INFRUCTUEUX",$E2784="ANNULE"),$C2784="AOO-M"),'ENGAGEMENTS 2026'!O2784,IF($H2784="EN COURS DE PREENGAGEMENT",'ENGAGEMENTS 2026'!N2784,IF($H2784="PREENGAGE",IF($E2784="ATTRIBUE",'ENGAGEMENTS 2026'!AD2784,'ENGAGEMENTS 2026'!N2784),'ENGAGEMENTS 2026'!AD2784))))</f>
        <v/>
      </c>
      <c r="K2784" s="604">
        <f>IF(ISBLANK('ENGAGEMENTS 2026'!V2784),"",'ENGAGEMENTS 2026'!V2784)</f>
        <v/>
      </c>
      <c r="L2784" s="276">
        <f>IF($K2784="","",TODAY()-$K2784)</f>
        <v/>
      </c>
      <c r="M2784">
        <f>IF($A2784="","",IF($H2784="ENGAGE","Engagé",IF(AND($H2784="NON ENGAGE",OR($I2784="INFRUCTUEUX",$I2784="ANNULE")),"Clôturé sans suite","En cours")))</f>
        <v/>
      </c>
      <c r="N2784">
        <f>IF(ISBLANK('ENGAGEMENTS 2026'!B2784),"",'ENGAGEMENTS 2026'!K2784)</f>
        <v/>
      </c>
      <c r="O2784">
        <f>IF(ISBLANK('ENGAGEMENTS 2026'!B2784),"",'ENGAGEMENTS 2026'!L2784)</f>
        <v/>
      </c>
      <c r="P2784">
        <f>IF(ISBLANK('ENGAGEMENTS 2026'!B2784),"",'ENGAGEMENTS 2026'!J2784)</f>
        <v/>
      </c>
      <c r="Q2784">
        <f>IF($A2784="","",IF(OR($E2784="INFRUCTUEUX",$E2784="ANNULE"),$A2784&amp;"|"&amp;(COUNTIFS($A$2:$A2784,$A2784,$E$2:$E2784,"INFRUCTUEUX")+COUNTIFS($A$2:$A2784,$A2784,$E$2:$E2784,"ANNULE")),""))</f>
        <v/>
      </c>
    </row>
    <row r="2785">
      <c r="A2785">
        <f>IF(ISBLANK('ENGAGEMENTS 2026'!B2785),"",IF('ENGAGEMENTS 2026'!B2785="DTSI","DCT",'ENGAGEMENTS 2026'!B2785))</f>
        <v/>
      </c>
      <c r="B2785">
        <f>IF(ISBLANK('ENGAGEMENTS 2026'!B2785),"",'ENGAGEMENTS 2026'!C2785)</f>
        <v/>
      </c>
      <c r="C2785">
        <f>IF(ISBLANK('ENGAGEMENTS 2026'!B2785),"",'ENGAGEMENTS 2026'!D2785)</f>
        <v/>
      </c>
      <c r="D2785">
        <f>IF(ISBLANK('ENGAGEMENTS 2026'!B2785),"",'ENGAGEMENTS 2026'!F2785)</f>
        <v/>
      </c>
      <c r="E2785">
        <f>IF(ISBLANK('ENGAGEMENTS 2026'!B2785),"",'ENGAGEMENTS 2026'!H2785)</f>
        <v/>
      </c>
      <c r="F2785">
        <f>IF(ISBLANK('ENGAGEMENTS 2026'!B2785),"",'ENGAGEMENTS 2026'!I2785)</f>
        <v/>
      </c>
      <c r="G2785">
        <f>IF(ISBLANK('ENGAGEMENTS 2026'!B2785),"",'ENGAGEMENTS 2026'!L2785)</f>
        <v/>
      </c>
      <c r="H2785">
        <f>IF(ISBLANK('ENGAGEMENTS 2026'!B2785),"",'ENGAGEMENTS 2026'!AE2785)</f>
        <v/>
      </c>
      <c r="I2785">
        <f>IF(ISBLANK('ENGAGEMENTS 2026'!B2785),"",'ENGAGEMENTS 2026'!G2785)</f>
        <v/>
      </c>
      <c r="J2785" s="275">
        <f>IF(ISBLANK('ENGAGEMENTS 2026'!B2785),"",IF(AND(OR($E2785="INFRUCTUEUX",$E2785="ANNULE"),$C2785="AOO-M"),'ENGAGEMENTS 2026'!O2785,IF($H2785="EN COURS DE PREENGAGEMENT",'ENGAGEMENTS 2026'!N2785,IF($H2785="PREENGAGE",IF($E2785="ATTRIBUE",'ENGAGEMENTS 2026'!AD2785,'ENGAGEMENTS 2026'!N2785),'ENGAGEMENTS 2026'!AD2785))))</f>
        <v/>
      </c>
      <c r="K2785" s="604">
        <f>IF(ISBLANK('ENGAGEMENTS 2026'!V2785),"",'ENGAGEMENTS 2026'!V2785)</f>
        <v/>
      </c>
      <c r="L2785" s="276">
        <f>IF($K2785="","",TODAY()-$K2785)</f>
        <v/>
      </c>
      <c r="M2785">
        <f>IF($A2785="","",IF($H2785="ENGAGE","Engagé",IF(AND($H2785="NON ENGAGE",OR($I2785="INFRUCTUEUX",$I2785="ANNULE")),"Clôturé sans suite","En cours")))</f>
        <v/>
      </c>
      <c r="N2785">
        <f>IF(ISBLANK('ENGAGEMENTS 2026'!B2785),"",'ENGAGEMENTS 2026'!K2785)</f>
        <v/>
      </c>
      <c r="O2785">
        <f>IF(ISBLANK('ENGAGEMENTS 2026'!B2785),"",'ENGAGEMENTS 2026'!L2785)</f>
        <v/>
      </c>
      <c r="P2785">
        <f>IF(ISBLANK('ENGAGEMENTS 2026'!B2785),"",'ENGAGEMENTS 2026'!J2785)</f>
        <v/>
      </c>
      <c r="Q2785">
        <f>IF($A2785="","",IF(OR($E2785="INFRUCTUEUX",$E2785="ANNULE"),$A2785&amp;"|"&amp;(COUNTIFS($A$2:$A2785,$A2785,$E$2:$E2785,"INFRUCTUEUX")+COUNTIFS($A$2:$A2785,$A2785,$E$2:$E2785,"ANNULE")),""))</f>
        <v/>
      </c>
    </row>
    <row r="2786">
      <c r="A2786">
        <f>IF(ISBLANK('ENGAGEMENTS 2026'!B2786),"",IF('ENGAGEMENTS 2026'!B2786="DTSI","DCT",'ENGAGEMENTS 2026'!B2786))</f>
        <v/>
      </c>
      <c r="B2786">
        <f>IF(ISBLANK('ENGAGEMENTS 2026'!B2786),"",'ENGAGEMENTS 2026'!C2786)</f>
        <v/>
      </c>
      <c r="C2786">
        <f>IF(ISBLANK('ENGAGEMENTS 2026'!B2786),"",'ENGAGEMENTS 2026'!D2786)</f>
        <v/>
      </c>
      <c r="D2786">
        <f>IF(ISBLANK('ENGAGEMENTS 2026'!B2786),"",'ENGAGEMENTS 2026'!F2786)</f>
        <v/>
      </c>
      <c r="E2786">
        <f>IF(ISBLANK('ENGAGEMENTS 2026'!B2786),"",'ENGAGEMENTS 2026'!H2786)</f>
        <v/>
      </c>
      <c r="F2786">
        <f>IF(ISBLANK('ENGAGEMENTS 2026'!B2786),"",'ENGAGEMENTS 2026'!I2786)</f>
        <v/>
      </c>
      <c r="G2786">
        <f>IF(ISBLANK('ENGAGEMENTS 2026'!B2786),"",'ENGAGEMENTS 2026'!L2786)</f>
        <v/>
      </c>
      <c r="H2786">
        <f>IF(ISBLANK('ENGAGEMENTS 2026'!B2786),"",'ENGAGEMENTS 2026'!AE2786)</f>
        <v/>
      </c>
      <c r="I2786">
        <f>IF(ISBLANK('ENGAGEMENTS 2026'!B2786),"",'ENGAGEMENTS 2026'!G2786)</f>
        <v/>
      </c>
      <c r="J2786" s="275">
        <f>IF(ISBLANK('ENGAGEMENTS 2026'!B2786),"",IF(AND(OR($E2786="INFRUCTUEUX",$E2786="ANNULE"),$C2786="AOO-M"),'ENGAGEMENTS 2026'!O2786,IF($H2786="EN COURS DE PREENGAGEMENT",'ENGAGEMENTS 2026'!N2786,IF($H2786="PREENGAGE",IF($E2786="ATTRIBUE",'ENGAGEMENTS 2026'!AD2786,'ENGAGEMENTS 2026'!N2786),'ENGAGEMENTS 2026'!AD2786))))</f>
        <v/>
      </c>
      <c r="K2786" s="604">
        <f>IF(ISBLANK('ENGAGEMENTS 2026'!V2786),"",'ENGAGEMENTS 2026'!V2786)</f>
        <v/>
      </c>
      <c r="L2786" s="276">
        <f>IF($K2786="","",TODAY()-$K2786)</f>
        <v/>
      </c>
      <c r="M2786">
        <f>IF($A2786="","",IF($H2786="ENGAGE","Engagé",IF(AND($H2786="NON ENGAGE",OR($I2786="INFRUCTUEUX",$I2786="ANNULE")),"Clôturé sans suite","En cours")))</f>
        <v/>
      </c>
      <c r="N2786">
        <f>IF(ISBLANK('ENGAGEMENTS 2026'!B2786),"",'ENGAGEMENTS 2026'!K2786)</f>
        <v/>
      </c>
      <c r="O2786">
        <f>IF(ISBLANK('ENGAGEMENTS 2026'!B2786),"",'ENGAGEMENTS 2026'!L2786)</f>
        <v/>
      </c>
      <c r="P2786">
        <f>IF(ISBLANK('ENGAGEMENTS 2026'!B2786),"",'ENGAGEMENTS 2026'!J2786)</f>
        <v/>
      </c>
      <c r="Q2786">
        <f>IF($A2786="","",IF(OR($E2786="INFRUCTUEUX",$E2786="ANNULE"),$A2786&amp;"|"&amp;(COUNTIFS($A$2:$A2786,$A2786,$E$2:$E2786,"INFRUCTUEUX")+COUNTIFS($A$2:$A2786,$A2786,$E$2:$E2786,"ANNULE")),""))</f>
        <v/>
      </c>
    </row>
    <row r="2787">
      <c r="A2787">
        <f>IF(ISBLANK('ENGAGEMENTS 2026'!B2787),"",IF('ENGAGEMENTS 2026'!B2787="DTSI","DCT",'ENGAGEMENTS 2026'!B2787))</f>
        <v/>
      </c>
      <c r="B2787">
        <f>IF(ISBLANK('ENGAGEMENTS 2026'!B2787),"",'ENGAGEMENTS 2026'!C2787)</f>
        <v/>
      </c>
      <c r="C2787">
        <f>IF(ISBLANK('ENGAGEMENTS 2026'!B2787),"",'ENGAGEMENTS 2026'!D2787)</f>
        <v/>
      </c>
      <c r="D2787">
        <f>IF(ISBLANK('ENGAGEMENTS 2026'!B2787),"",'ENGAGEMENTS 2026'!F2787)</f>
        <v/>
      </c>
      <c r="E2787">
        <f>IF(ISBLANK('ENGAGEMENTS 2026'!B2787),"",'ENGAGEMENTS 2026'!H2787)</f>
        <v/>
      </c>
      <c r="F2787">
        <f>IF(ISBLANK('ENGAGEMENTS 2026'!B2787),"",'ENGAGEMENTS 2026'!I2787)</f>
        <v/>
      </c>
      <c r="G2787">
        <f>IF(ISBLANK('ENGAGEMENTS 2026'!B2787),"",'ENGAGEMENTS 2026'!L2787)</f>
        <v/>
      </c>
      <c r="H2787">
        <f>IF(ISBLANK('ENGAGEMENTS 2026'!B2787),"",'ENGAGEMENTS 2026'!AE2787)</f>
        <v/>
      </c>
      <c r="I2787">
        <f>IF(ISBLANK('ENGAGEMENTS 2026'!B2787),"",'ENGAGEMENTS 2026'!G2787)</f>
        <v/>
      </c>
      <c r="J2787" s="275">
        <f>IF(ISBLANK('ENGAGEMENTS 2026'!B2787),"",IF(AND(OR($E2787="INFRUCTUEUX",$E2787="ANNULE"),$C2787="AOO-M"),'ENGAGEMENTS 2026'!O2787,IF($H2787="EN COURS DE PREENGAGEMENT",'ENGAGEMENTS 2026'!N2787,IF($H2787="PREENGAGE",IF($E2787="ATTRIBUE",'ENGAGEMENTS 2026'!AD2787,'ENGAGEMENTS 2026'!N2787),'ENGAGEMENTS 2026'!AD2787))))</f>
        <v/>
      </c>
      <c r="K2787" s="604">
        <f>IF(ISBLANK('ENGAGEMENTS 2026'!V2787),"",'ENGAGEMENTS 2026'!V2787)</f>
        <v/>
      </c>
      <c r="L2787" s="276">
        <f>IF($K2787="","",TODAY()-$K2787)</f>
        <v/>
      </c>
      <c r="M2787">
        <f>IF($A2787="","",IF($H2787="ENGAGE","Engagé",IF(AND($H2787="NON ENGAGE",OR($I2787="INFRUCTUEUX",$I2787="ANNULE")),"Clôturé sans suite","En cours")))</f>
        <v/>
      </c>
      <c r="N2787">
        <f>IF(ISBLANK('ENGAGEMENTS 2026'!B2787),"",'ENGAGEMENTS 2026'!K2787)</f>
        <v/>
      </c>
      <c r="O2787">
        <f>IF(ISBLANK('ENGAGEMENTS 2026'!B2787),"",'ENGAGEMENTS 2026'!L2787)</f>
        <v/>
      </c>
      <c r="P2787">
        <f>IF(ISBLANK('ENGAGEMENTS 2026'!B2787),"",'ENGAGEMENTS 2026'!J2787)</f>
        <v/>
      </c>
      <c r="Q2787">
        <f>IF($A2787="","",IF(OR($E2787="INFRUCTUEUX",$E2787="ANNULE"),$A2787&amp;"|"&amp;(COUNTIFS($A$2:$A2787,$A2787,$E$2:$E2787,"INFRUCTUEUX")+COUNTIFS($A$2:$A2787,$A2787,$E$2:$E2787,"ANNULE")),""))</f>
        <v/>
      </c>
    </row>
    <row r="2788">
      <c r="A2788">
        <f>IF(ISBLANK('ENGAGEMENTS 2026'!B2788),"",IF('ENGAGEMENTS 2026'!B2788="DTSI","DCT",'ENGAGEMENTS 2026'!B2788))</f>
        <v/>
      </c>
      <c r="B2788">
        <f>IF(ISBLANK('ENGAGEMENTS 2026'!B2788),"",'ENGAGEMENTS 2026'!C2788)</f>
        <v/>
      </c>
      <c r="C2788">
        <f>IF(ISBLANK('ENGAGEMENTS 2026'!B2788),"",'ENGAGEMENTS 2026'!D2788)</f>
        <v/>
      </c>
      <c r="D2788">
        <f>IF(ISBLANK('ENGAGEMENTS 2026'!B2788),"",'ENGAGEMENTS 2026'!F2788)</f>
        <v/>
      </c>
      <c r="E2788">
        <f>IF(ISBLANK('ENGAGEMENTS 2026'!B2788),"",'ENGAGEMENTS 2026'!H2788)</f>
        <v/>
      </c>
      <c r="F2788">
        <f>IF(ISBLANK('ENGAGEMENTS 2026'!B2788),"",'ENGAGEMENTS 2026'!I2788)</f>
        <v/>
      </c>
      <c r="G2788">
        <f>IF(ISBLANK('ENGAGEMENTS 2026'!B2788),"",'ENGAGEMENTS 2026'!L2788)</f>
        <v/>
      </c>
      <c r="H2788">
        <f>IF(ISBLANK('ENGAGEMENTS 2026'!B2788),"",'ENGAGEMENTS 2026'!AE2788)</f>
        <v/>
      </c>
      <c r="I2788">
        <f>IF(ISBLANK('ENGAGEMENTS 2026'!B2788),"",'ENGAGEMENTS 2026'!G2788)</f>
        <v/>
      </c>
      <c r="J2788" s="275">
        <f>IF(ISBLANK('ENGAGEMENTS 2026'!B2788),"",IF(AND(OR($E2788="INFRUCTUEUX",$E2788="ANNULE"),$C2788="AOO-M"),'ENGAGEMENTS 2026'!O2788,IF($H2788="EN COURS DE PREENGAGEMENT",'ENGAGEMENTS 2026'!N2788,IF($H2788="PREENGAGE",IF($E2788="ATTRIBUE",'ENGAGEMENTS 2026'!AD2788,'ENGAGEMENTS 2026'!N2788),'ENGAGEMENTS 2026'!AD2788))))</f>
        <v/>
      </c>
      <c r="K2788" s="604">
        <f>IF(ISBLANK('ENGAGEMENTS 2026'!V2788),"",'ENGAGEMENTS 2026'!V2788)</f>
        <v/>
      </c>
      <c r="L2788" s="276">
        <f>IF($K2788="","",TODAY()-$K2788)</f>
        <v/>
      </c>
      <c r="M2788">
        <f>IF($A2788="","",IF($H2788="ENGAGE","Engagé",IF(AND($H2788="NON ENGAGE",OR($I2788="INFRUCTUEUX",$I2788="ANNULE")),"Clôturé sans suite","En cours")))</f>
        <v/>
      </c>
      <c r="N2788">
        <f>IF(ISBLANK('ENGAGEMENTS 2026'!B2788),"",'ENGAGEMENTS 2026'!K2788)</f>
        <v/>
      </c>
      <c r="O2788">
        <f>IF(ISBLANK('ENGAGEMENTS 2026'!B2788),"",'ENGAGEMENTS 2026'!L2788)</f>
        <v/>
      </c>
      <c r="P2788">
        <f>IF(ISBLANK('ENGAGEMENTS 2026'!B2788),"",'ENGAGEMENTS 2026'!J2788)</f>
        <v/>
      </c>
      <c r="Q2788">
        <f>IF($A2788="","",IF(OR($E2788="INFRUCTUEUX",$E2788="ANNULE"),$A2788&amp;"|"&amp;(COUNTIFS($A$2:$A2788,$A2788,$E$2:$E2788,"INFRUCTUEUX")+COUNTIFS($A$2:$A2788,$A2788,$E$2:$E2788,"ANNULE")),""))</f>
        <v/>
      </c>
    </row>
    <row r="2789">
      <c r="A2789">
        <f>IF(ISBLANK('ENGAGEMENTS 2026'!B2789),"",IF('ENGAGEMENTS 2026'!B2789="DTSI","DCT",'ENGAGEMENTS 2026'!B2789))</f>
        <v/>
      </c>
      <c r="B2789">
        <f>IF(ISBLANK('ENGAGEMENTS 2026'!B2789),"",'ENGAGEMENTS 2026'!C2789)</f>
        <v/>
      </c>
      <c r="C2789">
        <f>IF(ISBLANK('ENGAGEMENTS 2026'!B2789),"",'ENGAGEMENTS 2026'!D2789)</f>
        <v/>
      </c>
      <c r="D2789">
        <f>IF(ISBLANK('ENGAGEMENTS 2026'!B2789),"",'ENGAGEMENTS 2026'!F2789)</f>
        <v/>
      </c>
      <c r="E2789">
        <f>IF(ISBLANK('ENGAGEMENTS 2026'!B2789),"",'ENGAGEMENTS 2026'!H2789)</f>
        <v/>
      </c>
      <c r="F2789">
        <f>IF(ISBLANK('ENGAGEMENTS 2026'!B2789),"",'ENGAGEMENTS 2026'!I2789)</f>
        <v/>
      </c>
      <c r="G2789">
        <f>IF(ISBLANK('ENGAGEMENTS 2026'!B2789),"",'ENGAGEMENTS 2026'!L2789)</f>
        <v/>
      </c>
      <c r="H2789">
        <f>IF(ISBLANK('ENGAGEMENTS 2026'!B2789),"",'ENGAGEMENTS 2026'!AE2789)</f>
        <v/>
      </c>
      <c r="I2789">
        <f>IF(ISBLANK('ENGAGEMENTS 2026'!B2789),"",'ENGAGEMENTS 2026'!G2789)</f>
        <v/>
      </c>
      <c r="J2789" s="275">
        <f>IF(ISBLANK('ENGAGEMENTS 2026'!B2789),"",IF(AND(OR($E2789="INFRUCTUEUX",$E2789="ANNULE"),$C2789="AOO-M"),'ENGAGEMENTS 2026'!O2789,IF($H2789="EN COURS DE PREENGAGEMENT",'ENGAGEMENTS 2026'!N2789,IF($H2789="PREENGAGE",IF($E2789="ATTRIBUE",'ENGAGEMENTS 2026'!AD2789,'ENGAGEMENTS 2026'!N2789),'ENGAGEMENTS 2026'!AD2789))))</f>
        <v/>
      </c>
      <c r="K2789" s="604">
        <f>IF(ISBLANK('ENGAGEMENTS 2026'!V2789),"",'ENGAGEMENTS 2026'!V2789)</f>
        <v/>
      </c>
      <c r="L2789" s="276">
        <f>IF($K2789="","",TODAY()-$K2789)</f>
        <v/>
      </c>
      <c r="M2789">
        <f>IF($A2789="","",IF($H2789="ENGAGE","Engagé",IF(AND($H2789="NON ENGAGE",OR($I2789="INFRUCTUEUX",$I2789="ANNULE")),"Clôturé sans suite","En cours")))</f>
        <v/>
      </c>
      <c r="N2789">
        <f>IF(ISBLANK('ENGAGEMENTS 2026'!B2789),"",'ENGAGEMENTS 2026'!K2789)</f>
        <v/>
      </c>
      <c r="O2789">
        <f>IF(ISBLANK('ENGAGEMENTS 2026'!B2789),"",'ENGAGEMENTS 2026'!L2789)</f>
        <v/>
      </c>
      <c r="P2789">
        <f>IF(ISBLANK('ENGAGEMENTS 2026'!B2789),"",'ENGAGEMENTS 2026'!J2789)</f>
        <v/>
      </c>
      <c r="Q2789">
        <f>IF($A2789="","",IF(OR($E2789="INFRUCTUEUX",$E2789="ANNULE"),$A2789&amp;"|"&amp;(COUNTIFS($A$2:$A2789,$A2789,$E$2:$E2789,"INFRUCTUEUX")+COUNTIFS($A$2:$A2789,$A2789,$E$2:$E2789,"ANNULE")),""))</f>
        <v/>
      </c>
    </row>
    <row r="2790">
      <c r="A2790">
        <f>IF(ISBLANK('ENGAGEMENTS 2026'!B2790),"",IF('ENGAGEMENTS 2026'!B2790="DTSI","DCT",'ENGAGEMENTS 2026'!B2790))</f>
        <v/>
      </c>
      <c r="B2790">
        <f>IF(ISBLANK('ENGAGEMENTS 2026'!B2790),"",'ENGAGEMENTS 2026'!C2790)</f>
        <v/>
      </c>
      <c r="C2790">
        <f>IF(ISBLANK('ENGAGEMENTS 2026'!B2790),"",'ENGAGEMENTS 2026'!D2790)</f>
        <v/>
      </c>
      <c r="D2790">
        <f>IF(ISBLANK('ENGAGEMENTS 2026'!B2790),"",'ENGAGEMENTS 2026'!F2790)</f>
        <v/>
      </c>
      <c r="E2790">
        <f>IF(ISBLANK('ENGAGEMENTS 2026'!B2790),"",'ENGAGEMENTS 2026'!H2790)</f>
        <v/>
      </c>
      <c r="F2790">
        <f>IF(ISBLANK('ENGAGEMENTS 2026'!B2790),"",'ENGAGEMENTS 2026'!I2790)</f>
        <v/>
      </c>
      <c r="G2790">
        <f>IF(ISBLANK('ENGAGEMENTS 2026'!B2790),"",'ENGAGEMENTS 2026'!L2790)</f>
        <v/>
      </c>
      <c r="H2790">
        <f>IF(ISBLANK('ENGAGEMENTS 2026'!B2790),"",'ENGAGEMENTS 2026'!AE2790)</f>
        <v/>
      </c>
      <c r="I2790">
        <f>IF(ISBLANK('ENGAGEMENTS 2026'!B2790),"",'ENGAGEMENTS 2026'!G2790)</f>
        <v/>
      </c>
      <c r="J2790" s="275">
        <f>IF(ISBLANK('ENGAGEMENTS 2026'!B2790),"",IF(AND(OR($E2790="INFRUCTUEUX",$E2790="ANNULE"),$C2790="AOO-M"),'ENGAGEMENTS 2026'!O2790,IF($H2790="EN COURS DE PREENGAGEMENT",'ENGAGEMENTS 2026'!N2790,IF($H2790="PREENGAGE",IF($E2790="ATTRIBUE",'ENGAGEMENTS 2026'!AD2790,'ENGAGEMENTS 2026'!N2790),'ENGAGEMENTS 2026'!AD2790))))</f>
        <v/>
      </c>
      <c r="K2790" s="604">
        <f>IF(ISBLANK('ENGAGEMENTS 2026'!V2790),"",'ENGAGEMENTS 2026'!V2790)</f>
        <v/>
      </c>
      <c r="L2790" s="276">
        <f>IF($K2790="","",TODAY()-$K2790)</f>
        <v/>
      </c>
      <c r="M2790">
        <f>IF($A2790="","",IF($H2790="ENGAGE","Engagé",IF(AND($H2790="NON ENGAGE",OR($I2790="INFRUCTUEUX",$I2790="ANNULE")),"Clôturé sans suite","En cours")))</f>
        <v/>
      </c>
      <c r="N2790">
        <f>IF(ISBLANK('ENGAGEMENTS 2026'!B2790),"",'ENGAGEMENTS 2026'!K2790)</f>
        <v/>
      </c>
      <c r="O2790">
        <f>IF(ISBLANK('ENGAGEMENTS 2026'!B2790),"",'ENGAGEMENTS 2026'!L2790)</f>
        <v/>
      </c>
      <c r="P2790">
        <f>IF(ISBLANK('ENGAGEMENTS 2026'!B2790),"",'ENGAGEMENTS 2026'!J2790)</f>
        <v/>
      </c>
      <c r="Q2790">
        <f>IF($A2790="","",IF(OR($E2790="INFRUCTUEUX",$E2790="ANNULE"),$A2790&amp;"|"&amp;(COUNTIFS($A$2:$A2790,$A2790,$E$2:$E2790,"INFRUCTUEUX")+COUNTIFS($A$2:$A2790,$A2790,$E$2:$E2790,"ANNULE")),""))</f>
        <v/>
      </c>
    </row>
    <row r="2791">
      <c r="A2791">
        <f>IF(ISBLANK('ENGAGEMENTS 2026'!B2791),"",IF('ENGAGEMENTS 2026'!B2791="DTSI","DCT",'ENGAGEMENTS 2026'!B2791))</f>
        <v/>
      </c>
      <c r="B2791">
        <f>IF(ISBLANK('ENGAGEMENTS 2026'!B2791),"",'ENGAGEMENTS 2026'!C2791)</f>
        <v/>
      </c>
      <c r="C2791">
        <f>IF(ISBLANK('ENGAGEMENTS 2026'!B2791),"",'ENGAGEMENTS 2026'!D2791)</f>
        <v/>
      </c>
      <c r="D2791">
        <f>IF(ISBLANK('ENGAGEMENTS 2026'!B2791),"",'ENGAGEMENTS 2026'!F2791)</f>
        <v/>
      </c>
      <c r="E2791">
        <f>IF(ISBLANK('ENGAGEMENTS 2026'!B2791),"",'ENGAGEMENTS 2026'!H2791)</f>
        <v/>
      </c>
      <c r="F2791">
        <f>IF(ISBLANK('ENGAGEMENTS 2026'!B2791),"",'ENGAGEMENTS 2026'!I2791)</f>
        <v/>
      </c>
      <c r="G2791">
        <f>IF(ISBLANK('ENGAGEMENTS 2026'!B2791),"",'ENGAGEMENTS 2026'!L2791)</f>
        <v/>
      </c>
      <c r="H2791">
        <f>IF(ISBLANK('ENGAGEMENTS 2026'!B2791),"",'ENGAGEMENTS 2026'!AE2791)</f>
        <v/>
      </c>
      <c r="I2791">
        <f>IF(ISBLANK('ENGAGEMENTS 2026'!B2791),"",'ENGAGEMENTS 2026'!G2791)</f>
        <v/>
      </c>
      <c r="J2791" s="275">
        <f>IF(ISBLANK('ENGAGEMENTS 2026'!B2791),"",IF(AND(OR($E2791="INFRUCTUEUX",$E2791="ANNULE"),$C2791="AOO-M"),'ENGAGEMENTS 2026'!O2791,IF($H2791="EN COURS DE PREENGAGEMENT",'ENGAGEMENTS 2026'!N2791,IF($H2791="PREENGAGE",IF($E2791="ATTRIBUE",'ENGAGEMENTS 2026'!AD2791,'ENGAGEMENTS 2026'!N2791),'ENGAGEMENTS 2026'!AD2791))))</f>
        <v/>
      </c>
      <c r="K2791" s="604">
        <f>IF(ISBLANK('ENGAGEMENTS 2026'!V2791),"",'ENGAGEMENTS 2026'!V2791)</f>
        <v/>
      </c>
      <c r="L2791" s="276">
        <f>IF($K2791="","",TODAY()-$K2791)</f>
        <v/>
      </c>
      <c r="M2791">
        <f>IF($A2791="","",IF($H2791="ENGAGE","Engagé",IF(AND($H2791="NON ENGAGE",OR($I2791="INFRUCTUEUX",$I2791="ANNULE")),"Clôturé sans suite","En cours")))</f>
        <v/>
      </c>
      <c r="N2791">
        <f>IF(ISBLANK('ENGAGEMENTS 2026'!B2791),"",'ENGAGEMENTS 2026'!K2791)</f>
        <v/>
      </c>
      <c r="O2791">
        <f>IF(ISBLANK('ENGAGEMENTS 2026'!B2791),"",'ENGAGEMENTS 2026'!L2791)</f>
        <v/>
      </c>
      <c r="P2791">
        <f>IF(ISBLANK('ENGAGEMENTS 2026'!B2791),"",'ENGAGEMENTS 2026'!J2791)</f>
        <v/>
      </c>
      <c r="Q2791">
        <f>IF($A2791="","",IF(OR($E2791="INFRUCTUEUX",$E2791="ANNULE"),$A2791&amp;"|"&amp;(COUNTIFS($A$2:$A2791,$A2791,$E$2:$E2791,"INFRUCTUEUX")+COUNTIFS($A$2:$A2791,$A2791,$E$2:$E2791,"ANNULE")),""))</f>
        <v/>
      </c>
    </row>
    <row r="2792">
      <c r="A2792">
        <f>IF(ISBLANK('ENGAGEMENTS 2026'!B2792),"",IF('ENGAGEMENTS 2026'!B2792="DTSI","DCT",'ENGAGEMENTS 2026'!B2792))</f>
        <v/>
      </c>
      <c r="B2792">
        <f>IF(ISBLANK('ENGAGEMENTS 2026'!B2792),"",'ENGAGEMENTS 2026'!C2792)</f>
        <v/>
      </c>
      <c r="C2792">
        <f>IF(ISBLANK('ENGAGEMENTS 2026'!B2792),"",'ENGAGEMENTS 2026'!D2792)</f>
        <v/>
      </c>
      <c r="D2792">
        <f>IF(ISBLANK('ENGAGEMENTS 2026'!B2792),"",'ENGAGEMENTS 2026'!F2792)</f>
        <v/>
      </c>
      <c r="E2792">
        <f>IF(ISBLANK('ENGAGEMENTS 2026'!B2792),"",'ENGAGEMENTS 2026'!H2792)</f>
        <v/>
      </c>
      <c r="F2792">
        <f>IF(ISBLANK('ENGAGEMENTS 2026'!B2792),"",'ENGAGEMENTS 2026'!I2792)</f>
        <v/>
      </c>
      <c r="G2792">
        <f>IF(ISBLANK('ENGAGEMENTS 2026'!B2792),"",'ENGAGEMENTS 2026'!L2792)</f>
        <v/>
      </c>
      <c r="H2792">
        <f>IF(ISBLANK('ENGAGEMENTS 2026'!B2792),"",'ENGAGEMENTS 2026'!AE2792)</f>
        <v/>
      </c>
      <c r="I2792">
        <f>IF(ISBLANK('ENGAGEMENTS 2026'!B2792),"",'ENGAGEMENTS 2026'!G2792)</f>
        <v/>
      </c>
      <c r="J2792" s="275">
        <f>IF(ISBLANK('ENGAGEMENTS 2026'!B2792),"",IF(AND(OR($E2792="INFRUCTUEUX",$E2792="ANNULE"),$C2792="AOO-M"),'ENGAGEMENTS 2026'!O2792,IF($H2792="EN COURS DE PREENGAGEMENT",'ENGAGEMENTS 2026'!N2792,IF($H2792="PREENGAGE",IF($E2792="ATTRIBUE",'ENGAGEMENTS 2026'!AD2792,'ENGAGEMENTS 2026'!N2792),'ENGAGEMENTS 2026'!AD2792))))</f>
        <v/>
      </c>
      <c r="K2792" s="604">
        <f>IF(ISBLANK('ENGAGEMENTS 2026'!V2792),"",'ENGAGEMENTS 2026'!V2792)</f>
        <v/>
      </c>
      <c r="L2792" s="276">
        <f>IF($K2792="","",TODAY()-$K2792)</f>
        <v/>
      </c>
      <c r="M2792">
        <f>IF($A2792="","",IF($H2792="ENGAGE","Engagé",IF(AND($H2792="NON ENGAGE",OR($I2792="INFRUCTUEUX",$I2792="ANNULE")),"Clôturé sans suite","En cours")))</f>
        <v/>
      </c>
      <c r="N2792">
        <f>IF(ISBLANK('ENGAGEMENTS 2026'!B2792),"",'ENGAGEMENTS 2026'!K2792)</f>
        <v/>
      </c>
      <c r="O2792">
        <f>IF(ISBLANK('ENGAGEMENTS 2026'!B2792),"",'ENGAGEMENTS 2026'!L2792)</f>
        <v/>
      </c>
      <c r="P2792">
        <f>IF(ISBLANK('ENGAGEMENTS 2026'!B2792),"",'ENGAGEMENTS 2026'!J2792)</f>
        <v/>
      </c>
      <c r="Q2792">
        <f>IF($A2792="","",IF(OR($E2792="INFRUCTUEUX",$E2792="ANNULE"),$A2792&amp;"|"&amp;(COUNTIFS($A$2:$A2792,$A2792,$E$2:$E2792,"INFRUCTUEUX")+COUNTIFS($A$2:$A2792,$A2792,$E$2:$E2792,"ANNULE")),""))</f>
        <v/>
      </c>
    </row>
    <row r="2793">
      <c r="A2793">
        <f>IF(ISBLANK('ENGAGEMENTS 2026'!B2793),"",IF('ENGAGEMENTS 2026'!B2793="DTSI","DCT",'ENGAGEMENTS 2026'!B2793))</f>
        <v/>
      </c>
      <c r="B2793">
        <f>IF(ISBLANK('ENGAGEMENTS 2026'!B2793),"",'ENGAGEMENTS 2026'!C2793)</f>
        <v/>
      </c>
      <c r="C2793">
        <f>IF(ISBLANK('ENGAGEMENTS 2026'!B2793),"",'ENGAGEMENTS 2026'!D2793)</f>
        <v/>
      </c>
      <c r="D2793">
        <f>IF(ISBLANK('ENGAGEMENTS 2026'!B2793),"",'ENGAGEMENTS 2026'!F2793)</f>
        <v/>
      </c>
      <c r="E2793">
        <f>IF(ISBLANK('ENGAGEMENTS 2026'!B2793),"",'ENGAGEMENTS 2026'!H2793)</f>
        <v/>
      </c>
      <c r="F2793">
        <f>IF(ISBLANK('ENGAGEMENTS 2026'!B2793),"",'ENGAGEMENTS 2026'!I2793)</f>
        <v/>
      </c>
      <c r="G2793">
        <f>IF(ISBLANK('ENGAGEMENTS 2026'!B2793),"",'ENGAGEMENTS 2026'!L2793)</f>
        <v/>
      </c>
      <c r="H2793">
        <f>IF(ISBLANK('ENGAGEMENTS 2026'!B2793),"",'ENGAGEMENTS 2026'!AE2793)</f>
        <v/>
      </c>
      <c r="I2793">
        <f>IF(ISBLANK('ENGAGEMENTS 2026'!B2793),"",'ENGAGEMENTS 2026'!G2793)</f>
        <v/>
      </c>
      <c r="J2793" s="275">
        <f>IF(ISBLANK('ENGAGEMENTS 2026'!B2793),"",IF(AND(OR($E2793="INFRUCTUEUX",$E2793="ANNULE"),$C2793="AOO-M"),'ENGAGEMENTS 2026'!O2793,IF($H2793="EN COURS DE PREENGAGEMENT",'ENGAGEMENTS 2026'!N2793,IF($H2793="PREENGAGE",IF($E2793="ATTRIBUE",'ENGAGEMENTS 2026'!AD2793,'ENGAGEMENTS 2026'!N2793),'ENGAGEMENTS 2026'!AD2793))))</f>
        <v/>
      </c>
      <c r="K2793" s="604">
        <f>IF(ISBLANK('ENGAGEMENTS 2026'!V2793),"",'ENGAGEMENTS 2026'!V2793)</f>
        <v/>
      </c>
      <c r="L2793" s="276">
        <f>IF($K2793="","",TODAY()-$K2793)</f>
        <v/>
      </c>
      <c r="M2793">
        <f>IF($A2793="","",IF($H2793="ENGAGE","Engagé",IF(AND($H2793="NON ENGAGE",OR($I2793="INFRUCTUEUX",$I2793="ANNULE")),"Clôturé sans suite","En cours")))</f>
        <v/>
      </c>
      <c r="N2793">
        <f>IF(ISBLANK('ENGAGEMENTS 2026'!B2793),"",'ENGAGEMENTS 2026'!K2793)</f>
        <v/>
      </c>
      <c r="O2793">
        <f>IF(ISBLANK('ENGAGEMENTS 2026'!B2793),"",'ENGAGEMENTS 2026'!L2793)</f>
        <v/>
      </c>
      <c r="P2793">
        <f>IF(ISBLANK('ENGAGEMENTS 2026'!B2793),"",'ENGAGEMENTS 2026'!J2793)</f>
        <v/>
      </c>
      <c r="Q2793">
        <f>IF($A2793="","",IF(OR($E2793="INFRUCTUEUX",$E2793="ANNULE"),$A2793&amp;"|"&amp;(COUNTIFS($A$2:$A2793,$A2793,$E$2:$E2793,"INFRUCTUEUX")+COUNTIFS($A$2:$A2793,$A2793,$E$2:$E2793,"ANNULE")),""))</f>
        <v/>
      </c>
    </row>
    <row r="2794">
      <c r="A2794">
        <f>IF(ISBLANK('ENGAGEMENTS 2026'!B2794),"",IF('ENGAGEMENTS 2026'!B2794="DTSI","DCT",'ENGAGEMENTS 2026'!B2794))</f>
        <v/>
      </c>
      <c r="B2794">
        <f>IF(ISBLANK('ENGAGEMENTS 2026'!B2794),"",'ENGAGEMENTS 2026'!C2794)</f>
        <v/>
      </c>
      <c r="C2794">
        <f>IF(ISBLANK('ENGAGEMENTS 2026'!B2794),"",'ENGAGEMENTS 2026'!D2794)</f>
        <v/>
      </c>
      <c r="D2794">
        <f>IF(ISBLANK('ENGAGEMENTS 2026'!B2794),"",'ENGAGEMENTS 2026'!F2794)</f>
        <v/>
      </c>
      <c r="E2794">
        <f>IF(ISBLANK('ENGAGEMENTS 2026'!B2794),"",'ENGAGEMENTS 2026'!H2794)</f>
        <v/>
      </c>
      <c r="F2794">
        <f>IF(ISBLANK('ENGAGEMENTS 2026'!B2794),"",'ENGAGEMENTS 2026'!I2794)</f>
        <v/>
      </c>
      <c r="G2794">
        <f>IF(ISBLANK('ENGAGEMENTS 2026'!B2794),"",'ENGAGEMENTS 2026'!L2794)</f>
        <v/>
      </c>
      <c r="H2794">
        <f>IF(ISBLANK('ENGAGEMENTS 2026'!B2794),"",'ENGAGEMENTS 2026'!AE2794)</f>
        <v/>
      </c>
      <c r="I2794">
        <f>IF(ISBLANK('ENGAGEMENTS 2026'!B2794),"",'ENGAGEMENTS 2026'!G2794)</f>
        <v/>
      </c>
      <c r="J2794" s="275">
        <f>IF(ISBLANK('ENGAGEMENTS 2026'!B2794),"",IF(AND(OR($E2794="INFRUCTUEUX",$E2794="ANNULE"),$C2794="AOO-M"),'ENGAGEMENTS 2026'!O2794,IF($H2794="EN COURS DE PREENGAGEMENT",'ENGAGEMENTS 2026'!N2794,IF($H2794="PREENGAGE",IF($E2794="ATTRIBUE",'ENGAGEMENTS 2026'!AD2794,'ENGAGEMENTS 2026'!N2794),'ENGAGEMENTS 2026'!AD2794))))</f>
        <v/>
      </c>
      <c r="K2794" s="604">
        <f>IF(ISBLANK('ENGAGEMENTS 2026'!V2794),"",'ENGAGEMENTS 2026'!V2794)</f>
        <v/>
      </c>
      <c r="L2794" s="276">
        <f>IF($K2794="","",TODAY()-$K2794)</f>
        <v/>
      </c>
      <c r="M2794">
        <f>IF($A2794="","",IF($H2794="ENGAGE","Engagé",IF(AND($H2794="NON ENGAGE",OR($I2794="INFRUCTUEUX",$I2794="ANNULE")),"Clôturé sans suite","En cours")))</f>
        <v/>
      </c>
      <c r="N2794">
        <f>IF(ISBLANK('ENGAGEMENTS 2026'!B2794),"",'ENGAGEMENTS 2026'!K2794)</f>
        <v/>
      </c>
      <c r="O2794">
        <f>IF(ISBLANK('ENGAGEMENTS 2026'!B2794),"",'ENGAGEMENTS 2026'!L2794)</f>
        <v/>
      </c>
      <c r="P2794">
        <f>IF(ISBLANK('ENGAGEMENTS 2026'!B2794),"",'ENGAGEMENTS 2026'!J2794)</f>
        <v/>
      </c>
      <c r="Q2794">
        <f>IF($A2794="","",IF(OR($E2794="INFRUCTUEUX",$E2794="ANNULE"),$A2794&amp;"|"&amp;(COUNTIFS($A$2:$A2794,$A2794,$E$2:$E2794,"INFRUCTUEUX")+COUNTIFS($A$2:$A2794,$A2794,$E$2:$E2794,"ANNULE")),""))</f>
        <v/>
      </c>
    </row>
    <row r="2795">
      <c r="A2795">
        <f>IF(ISBLANK('ENGAGEMENTS 2026'!B2795),"",IF('ENGAGEMENTS 2026'!B2795="DTSI","DCT",'ENGAGEMENTS 2026'!B2795))</f>
        <v/>
      </c>
      <c r="B2795">
        <f>IF(ISBLANK('ENGAGEMENTS 2026'!B2795),"",'ENGAGEMENTS 2026'!C2795)</f>
        <v/>
      </c>
      <c r="C2795">
        <f>IF(ISBLANK('ENGAGEMENTS 2026'!B2795),"",'ENGAGEMENTS 2026'!D2795)</f>
        <v/>
      </c>
      <c r="D2795">
        <f>IF(ISBLANK('ENGAGEMENTS 2026'!B2795),"",'ENGAGEMENTS 2026'!F2795)</f>
        <v/>
      </c>
      <c r="E2795">
        <f>IF(ISBLANK('ENGAGEMENTS 2026'!B2795),"",'ENGAGEMENTS 2026'!H2795)</f>
        <v/>
      </c>
      <c r="F2795">
        <f>IF(ISBLANK('ENGAGEMENTS 2026'!B2795),"",'ENGAGEMENTS 2026'!I2795)</f>
        <v/>
      </c>
      <c r="G2795">
        <f>IF(ISBLANK('ENGAGEMENTS 2026'!B2795),"",'ENGAGEMENTS 2026'!L2795)</f>
        <v/>
      </c>
      <c r="H2795">
        <f>IF(ISBLANK('ENGAGEMENTS 2026'!B2795),"",'ENGAGEMENTS 2026'!AE2795)</f>
        <v/>
      </c>
      <c r="I2795">
        <f>IF(ISBLANK('ENGAGEMENTS 2026'!B2795),"",'ENGAGEMENTS 2026'!G2795)</f>
        <v/>
      </c>
      <c r="J2795" s="275">
        <f>IF(ISBLANK('ENGAGEMENTS 2026'!B2795),"",IF(AND(OR($E2795="INFRUCTUEUX",$E2795="ANNULE"),$C2795="AOO-M"),'ENGAGEMENTS 2026'!O2795,IF($H2795="EN COURS DE PREENGAGEMENT",'ENGAGEMENTS 2026'!N2795,IF($H2795="PREENGAGE",IF($E2795="ATTRIBUE",'ENGAGEMENTS 2026'!AD2795,'ENGAGEMENTS 2026'!N2795),'ENGAGEMENTS 2026'!AD2795))))</f>
        <v/>
      </c>
      <c r="K2795" s="604">
        <f>IF(ISBLANK('ENGAGEMENTS 2026'!V2795),"",'ENGAGEMENTS 2026'!V2795)</f>
        <v/>
      </c>
      <c r="L2795" s="276">
        <f>IF($K2795="","",TODAY()-$K2795)</f>
        <v/>
      </c>
      <c r="M2795">
        <f>IF($A2795="","",IF($H2795="ENGAGE","Engagé",IF(AND($H2795="NON ENGAGE",OR($I2795="INFRUCTUEUX",$I2795="ANNULE")),"Clôturé sans suite","En cours")))</f>
        <v/>
      </c>
      <c r="N2795">
        <f>IF(ISBLANK('ENGAGEMENTS 2026'!B2795),"",'ENGAGEMENTS 2026'!K2795)</f>
        <v/>
      </c>
      <c r="O2795">
        <f>IF(ISBLANK('ENGAGEMENTS 2026'!B2795),"",'ENGAGEMENTS 2026'!L2795)</f>
        <v/>
      </c>
      <c r="P2795">
        <f>IF(ISBLANK('ENGAGEMENTS 2026'!B2795),"",'ENGAGEMENTS 2026'!J2795)</f>
        <v/>
      </c>
      <c r="Q2795">
        <f>IF($A2795="","",IF(OR($E2795="INFRUCTUEUX",$E2795="ANNULE"),$A2795&amp;"|"&amp;(COUNTIFS($A$2:$A2795,$A2795,$E$2:$E2795,"INFRUCTUEUX")+COUNTIFS($A$2:$A2795,$A2795,$E$2:$E2795,"ANNULE")),""))</f>
        <v/>
      </c>
    </row>
    <row r="2796">
      <c r="A2796">
        <f>IF(ISBLANK('ENGAGEMENTS 2026'!B2796),"",IF('ENGAGEMENTS 2026'!B2796="DTSI","DCT",'ENGAGEMENTS 2026'!B2796))</f>
        <v/>
      </c>
      <c r="B2796">
        <f>IF(ISBLANK('ENGAGEMENTS 2026'!B2796),"",'ENGAGEMENTS 2026'!C2796)</f>
        <v/>
      </c>
      <c r="C2796">
        <f>IF(ISBLANK('ENGAGEMENTS 2026'!B2796),"",'ENGAGEMENTS 2026'!D2796)</f>
        <v/>
      </c>
      <c r="D2796">
        <f>IF(ISBLANK('ENGAGEMENTS 2026'!B2796),"",'ENGAGEMENTS 2026'!F2796)</f>
        <v/>
      </c>
      <c r="E2796">
        <f>IF(ISBLANK('ENGAGEMENTS 2026'!B2796),"",'ENGAGEMENTS 2026'!H2796)</f>
        <v/>
      </c>
      <c r="F2796">
        <f>IF(ISBLANK('ENGAGEMENTS 2026'!B2796),"",'ENGAGEMENTS 2026'!I2796)</f>
        <v/>
      </c>
      <c r="G2796">
        <f>IF(ISBLANK('ENGAGEMENTS 2026'!B2796),"",'ENGAGEMENTS 2026'!L2796)</f>
        <v/>
      </c>
      <c r="H2796">
        <f>IF(ISBLANK('ENGAGEMENTS 2026'!B2796),"",'ENGAGEMENTS 2026'!AE2796)</f>
        <v/>
      </c>
      <c r="I2796">
        <f>IF(ISBLANK('ENGAGEMENTS 2026'!B2796),"",'ENGAGEMENTS 2026'!G2796)</f>
        <v/>
      </c>
      <c r="J2796" s="275">
        <f>IF(ISBLANK('ENGAGEMENTS 2026'!B2796),"",IF(AND(OR($E2796="INFRUCTUEUX",$E2796="ANNULE"),$C2796="AOO-M"),'ENGAGEMENTS 2026'!O2796,IF($H2796="EN COURS DE PREENGAGEMENT",'ENGAGEMENTS 2026'!N2796,IF($H2796="PREENGAGE",IF($E2796="ATTRIBUE",'ENGAGEMENTS 2026'!AD2796,'ENGAGEMENTS 2026'!N2796),'ENGAGEMENTS 2026'!AD2796))))</f>
        <v/>
      </c>
      <c r="K2796" s="604">
        <f>IF(ISBLANK('ENGAGEMENTS 2026'!V2796),"",'ENGAGEMENTS 2026'!V2796)</f>
        <v/>
      </c>
      <c r="L2796" s="276">
        <f>IF($K2796="","",TODAY()-$K2796)</f>
        <v/>
      </c>
      <c r="M2796">
        <f>IF($A2796="","",IF($H2796="ENGAGE","Engagé",IF(AND($H2796="NON ENGAGE",OR($I2796="INFRUCTUEUX",$I2796="ANNULE")),"Clôturé sans suite","En cours")))</f>
        <v/>
      </c>
      <c r="N2796">
        <f>IF(ISBLANK('ENGAGEMENTS 2026'!B2796),"",'ENGAGEMENTS 2026'!K2796)</f>
        <v/>
      </c>
      <c r="O2796">
        <f>IF(ISBLANK('ENGAGEMENTS 2026'!B2796),"",'ENGAGEMENTS 2026'!L2796)</f>
        <v/>
      </c>
      <c r="P2796">
        <f>IF(ISBLANK('ENGAGEMENTS 2026'!B2796),"",'ENGAGEMENTS 2026'!J2796)</f>
        <v/>
      </c>
      <c r="Q2796">
        <f>IF($A2796="","",IF(OR($E2796="INFRUCTUEUX",$E2796="ANNULE"),$A2796&amp;"|"&amp;(COUNTIFS($A$2:$A2796,$A2796,$E$2:$E2796,"INFRUCTUEUX")+COUNTIFS($A$2:$A2796,$A2796,$E$2:$E2796,"ANNULE")),""))</f>
        <v/>
      </c>
    </row>
    <row r="2797">
      <c r="A2797">
        <f>IF(ISBLANK('ENGAGEMENTS 2026'!B2797),"",IF('ENGAGEMENTS 2026'!B2797="DTSI","DCT",'ENGAGEMENTS 2026'!B2797))</f>
        <v/>
      </c>
      <c r="B2797">
        <f>IF(ISBLANK('ENGAGEMENTS 2026'!B2797),"",'ENGAGEMENTS 2026'!C2797)</f>
        <v/>
      </c>
      <c r="C2797">
        <f>IF(ISBLANK('ENGAGEMENTS 2026'!B2797),"",'ENGAGEMENTS 2026'!D2797)</f>
        <v/>
      </c>
      <c r="D2797">
        <f>IF(ISBLANK('ENGAGEMENTS 2026'!B2797),"",'ENGAGEMENTS 2026'!F2797)</f>
        <v/>
      </c>
      <c r="E2797">
        <f>IF(ISBLANK('ENGAGEMENTS 2026'!B2797),"",'ENGAGEMENTS 2026'!H2797)</f>
        <v/>
      </c>
      <c r="F2797">
        <f>IF(ISBLANK('ENGAGEMENTS 2026'!B2797),"",'ENGAGEMENTS 2026'!I2797)</f>
        <v/>
      </c>
      <c r="G2797">
        <f>IF(ISBLANK('ENGAGEMENTS 2026'!B2797),"",'ENGAGEMENTS 2026'!L2797)</f>
        <v/>
      </c>
      <c r="H2797">
        <f>IF(ISBLANK('ENGAGEMENTS 2026'!B2797),"",'ENGAGEMENTS 2026'!AE2797)</f>
        <v/>
      </c>
      <c r="I2797">
        <f>IF(ISBLANK('ENGAGEMENTS 2026'!B2797),"",'ENGAGEMENTS 2026'!G2797)</f>
        <v/>
      </c>
      <c r="J2797" s="275">
        <f>IF(ISBLANK('ENGAGEMENTS 2026'!B2797),"",IF(AND(OR($E2797="INFRUCTUEUX",$E2797="ANNULE"),$C2797="AOO-M"),'ENGAGEMENTS 2026'!O2797,IF($H2797="EN COURS DE PREENGAGEMENT",'ENGAGEMENTS 2026'!N2797,IF($H2797="PREENGAGE",IF($E2797="ATTRIBUE",'ENGAGEMENTS 2026'!AD2797,'ENGAGEMENTS 2026'!N2797),'ENGAGEMENTS 2026'!AD2797))))</f>
        <v/>
      </c>
      <c r="K2797" s="604">
        <f>IF(ISBLANK('ENGAGEMENTS 2026'!V2797),"",'ENGAGEMENTS 2026'!V2797)</f>
        <v/>
      </c>
      <c r="L2797" s="276">
        <f>IF($K2797="","",TODAY()-$K2797)</f>
        <v/>
      </c>
      <c r="M2797">
        <f>IF($A2797="","",IF($H2797="ENGAGE","Engagé",IF(AND($H2797="NON ENGAGE",OR($I2797="INFRUCTUEUX",$I2797="ANNULE")),"Clôturé sans suite","En cours")))</f>
        <v/>
      </c>
      <c r="N2797">
        <f>IF(ISBLANK('ENGAGEMENTS 2026'!B2797),"",'ENGAGEMENTS 2026'!K2797)</f>
        <v/>
      </c>
      <c r="O2797">
        <f>IF(ISBLANK('ENGAGEMENTS 2026'!B2797),"",'ENGAGEMENTS 2026'!L2797)</f>
        <v/>
      </c>
      <c r="P2797">
        <f>IF(ISBLANK('ENGAGEMENTS 2026'!B2797),"",'ENGAGEMENTS 2026'!J2797)</f>
        <v/>
      </c>
      <c r="Q2797">
        <f>IF($A2797="","",IF(OR($E2797="INFRUCTUEUX",$E2797="ANNULE"),$A2797&amp;"|"&amp;(COUNTIFS($A$2:$A2797,$A2797,$E$2:$E2797,"INFRUCTUEUX")+COUNTIFS($A$2:$A2797,$A2797,$E$2:$E2797,"ANNULE")),""))</f>
        <v/>
      </c>
    </row>
    <row r="2798">
      <c r="A2798">
        <f>IF(ISBLANK('ENGAGEMENTS 2026'!B2798),"",IF('ENGAGEMENTS 2026'!B2798="DTSI","DCT",'ENGAGEMENTS 2026'!B2798))</f>
        <v/>
      </c>
      <c r="B2798">
        <f>IF(ISBLANK('ENGAGEMENTS 2026'!B2798),"",'ENGAGEMENTS 2026'!C2798)</f>
        <v/>
      </c>
      <c r="C2798">
        <f>IF(ISBLANK('ENGAGEMENTS 2026'!B2798),"",'ENGAGEMENTS 2026'!D2798)</f>
        <v/>
      </c>
      <c r="D2798">
        <f>IF(ISBLANK('ENGAGEMENTS 2026'!B2798),"",'ENGAGEMENTS 2026'!F2798)</f>
        <v/>
      </c>
      <c r="E2798">
        <f>IF(ISBLANK('ENGAGEMENTS 2026'!B2798),"",'ENGAGEMENTS 2026'!H2798)</f>
        <v/>
      </c>
      <c r="F2798">
        <f>IF(ISBLANK('ENGAGEMENTS 2026'!B2798),"",'ENGAGEMENTS 2026'!I2798)</f>
        <v/>
      </c>
      <c r="G2798">
        <f>IF(ISBLANK('ENGAGEMENTS 2026'!B2798),"",'ENGAGEMENTS 2026'!L2798)</f>
        <v/>
      </c>
      <c r="H2798">
        <f>IF(ISBLANK('ENGAGEMENTS 2026'!B2798),"",'ENGAGEMENTS 2026'!AE2798)</f>
        <v/>
      </c>
      <c r="I2798">
        <f>IF(ISBLANK('ENGAGEMENTS 2026'!B2798),"",'ENGAGEMENTS 2026'!G2798)</f>
        <v/>
      </c>
      <c r="J2798" s="275">
        <f>IF(ISBLANK('ENGAGEMENTS 2026'!B2798),"",IF(AND(OR($E2798="INFRUCTUEUX",$E2798="ANNULE"),$C2798="AOO-M"),'ENGAGEMENTS 2026'!O2798,IF($H2798="EN COURS DE PREENGAGEMENT",'ENGAGEMENTS 2026'!N2798,IF($H2798="PREENGAGE",IF($E2798="ATTRIBUE",'ENGAGEMENTS 2026'!AD2798,'ENGAGEMENTS 2026'!N2798),'ENGAGEMENTS 2026'!AD2798))))</f>
        <v/>
      </c>
      <c r="K2798" s="604">
        <f>IF(ISBLANK('ENGAGEMENTS 2026'!V2798),"",'ENGAGEMENTS 2026'!V2798)</f>
        <v/>
      </c>
      <c r="L2798" s="276">
        <f>IF($K2798="","",TODAY()-$K2798)</f>
        <v/>
      </c>
      <c r="M2798">
        <f>IF($A2798="","",IF($H2798="ENGAGE","Engagé",IF(AND($H2798="NON ENGAGE",OR($I2798="INFRUCTUEUX",$I2798="ANNULE")),"Clôturé sans suite","En cours")))</f>
        <v/>
      </c>
      <c r="N2798">
        <f>IF(ISBLANK('ENGAGEMENTS 2026'!B2798),"",'ENGAGEMENTS 2026'!K2798)</f>
        <v/>
      </c>
      <c r="O2798">
        <f>IF(ISBLANK('ENGAGEMENTS 2026'!B2798),"",'ENGAGEMENTS 2026'!L2798)</f>
        <v/>
      </c>
      <c r="P2798">
        <f>IF(ISBLANK('ENGAGEMENTS 2026'!B2798),"",'ENGAGEMENTS 2026'!J2798)</f>
        <v/>
      </c>
      <c r="Q2798">
        <f>IF($A2798="","",IF(OR($E2798="INFRUCTUEUX",$E2798="ANNULE"),$A2798&amp;"|"&amp;(COUNTIFS($A$2:$A2798,$A2798,$E$2:$E2798,"INFRUCTUEUX")+COUNTIFS($A$2:$A2798,$A2798,$E$2:$E2798,"ANNULE")),""))</f>
        <v/>
      </c>
    </row>
    <row r="2799">
      <c r="A2799">
        <f>IF(ISBLANK('ENGAGEMENTS 2026'!B2799),"",IF('ENGAGEMENTS 2026'!B2799="DTSI","DCT",'ENGAGEMENTS 2026'!B2799))</f>
        <v/>
      </c>
      <c r="B2799">
        <f>IF(ISBLANK('ENGAGEMENTS 2026'!B2799),"",'ENGAGEMENTS 2026'!C2799)</f>
        <v/>
      </c>
      <c r="C2799">
        <f>IF(ISBLANK('ENGAGEMENTS 2026'!B2799),"",'ENGAGEMENTS 2026'!D2799)</f>
        <v/>
      </c>
      <c r="D2799">
        <f>IF(ISBLANK('ENGAGEMENTS 2026'!B2799),"",'ENGAGEMENTS 2026'!F2799)</f>
        <v/>
      </c>
      <c r="E2799">
        <f>IF(ISBLANK('ENGAGEMENTS 2026'!B2799),"",'ENGAGEMENTS 2026'!H2799)</f>
        <v/>
      </c>
      <c r="F2799">
        <f>IF(ISBLANK('ENGAGEMENTS 2026'!B2799),"",'ENGAGEMENTS 2026'!I2799)</f>
        <v/>
      </c>
      <c r="G2799">
        <f>IF(ISBLANK('ENGAGEMENTS 2026'!B2799),"",'ENGAGEMENTS 2026'!L2799)</f>
        <v/>
      </c>
      <c r="H2799">
        <f>IF(ISBLANK('ENGAGEMENTS 2026'!B2799),"",'ENGAGEMENTS 2026'!AE2799)</f>
        <v/>
      </c>
      <c r="I2799">
        <f>IF(ISBLANK('ENGAGEMENTS 2026'!B2799),"",'ENGAGEMENTS 2026'!G2799)</f>
        <v/>
      </c>
      <c r="J2799" s="275">
        <f>IF(ISBLANK('ENGAGEMENTS 2026'!B2799),"",IF(AND(OR($E2799="INFRUCTUEUX",$E2799="ANNULE"),$C2799="AOO-M"),'ENGAGEMENTS 2026'!O2799,IF($H2799="EN COURS DE PREENGAGEMENT",'ENGAGEMENTS 2026'!N2799,IF($H2799="PREENGAGE",IF($E2799="ATTRIBUE",'ENGAGEMENTS 2026'!AD2799,'ENGAGEMENTS 2026'!N2799),'ENGAGEMENTS 2026'!AD2799))))</f>
        <v/>
      </c>
      <c r="K2799" s="604">
        <f>IF(ISBLANK('ENGAGEMENTS 2026'!V2799),"",'ENGAGEMENTS 2026'!V2799)</f>
        <v/>
      </c>
      <c r="L2799" s="276">
        <f>IF($K2799="","",TODAY()-$K2799)</f>
        <v/>
      </c>
      <c r="M2799">
        <f>IF($A2799="","",IF($H2799="ENGAGE","Engagé",IF(AND($H2799="NON ENGAGE",OR($I2799="INFRUCTUEUX",$I2799="ANNULE")),"Clôturé sans suite","En cours")))</f>
        <v/>
      </c>
      <c r="N2799">
        <f>IF(ISBLANK('ENGAGEMENTS 2026'!B2799),"",'ENGAGEMENTS 2026'!K2799)</f>
        <v/>
      </c>
      <c r="O2799">
        <f>IF(ISBLANK('ENGAGEMENTS 2026'!B2799),"",'ENGAGEMENTS 2026'!L2799)</f>
        <v/>
      </c>
      <c r="P2799">
        <f>IF(ISBLANK('ENGAGEMENTS 2026'!B2799),"",'ENGAGEMENTS 2026'!J2799)</f>
        <v/>
      </c>
      <c r="Q2799">
        <f>IF($A2799="","",IF(OR($E2799="INFRUCTUEUX",$E2799="ANNULE"),$A2799&amp;"|"&amp;(COUNTIFS($A$2:$A2799,$A2799,$E$2:$E2799,"INFRUCTUEUX")+COUNTIFS($A$2:$A2799,$A2799,$E$2:$E2799,"ANNULE")),""))</f>
        <v/>
      </c>
    </row>
    <row r="2800">
      <c r="A2800">
        <f>IF(ISBLANK('ENGAGEMENTS 2026'!B2800),"",IF('ENGAGEMENTS 2026'!B2800="DTSI","DCT",'ENGAGEMENTS 2026'!B2800))</f>
        <v/>
      </c>
      <c r="B2800">
        <f>IF(ISBLANK('ENGAGEMENTS 2026'!B2800),"",'ENGAGEMENTS 2026'!C2800)</f>
        <v/>
      </c>
      <c r="C2800">
        <f>IF(ISBLANK('ENGAGEMENTS 2026'!B2800),"",'ENGAGEMENTS 2026'!D2800)</f>
        <v/>
      </c>
      <c r="D2800">
        <f>IF(ISBLANK('ENGAGEMENTS 2026'!B2800),"",'ENGAGEMENTS 2026'!F2800)</f>
        <v/>
      </c>
      <c r="E2800">
        <f>IF(ISBLANK('ENGAGEMENTS 2026'!B2800),"",'ENGAGEMENTS 2026'!H2800)</f>
        <v/>
      </c>
      <c r="F2800">
        <f>IF(ISBLANK('ENGAGEMENTS 2026'!B2800),"",'ENGAGEMENTS 2026'!I2800)</f>
        <v/>
      </c>
      <c r="G2800">
        <f>IF(ISBLANK('ENGAGEMENTS 2026'!B2800),"",'ENGAGEMENTS 2026'!L2800)</f>
        <v/>
      </c>
      <c r="H2800">
        <f>IF(ISBLANK('ENGAGEMENTS 2026'!B2800),"",'ENGAGEMENTS 2026'!AE2800)</f>
        <v/>
      </c>
      <c r="I2800">
        <f>IF(ISBLANK('ENGAGEMENTS 2026'!B2800),"",'ENGAGEMENTS 2026'!G2800)</f>
        <v/>
      </c>
      <c r="J2800" s="275">
        <f>IF(ISBLANK('ENGAGEMENTS 2026'!B2800),"",IF(AND(OR($E2800="INFRUCTUEUX",$E2800="ANNULE"),$C2800="AOO-M"),'ENGAGEMENTS 2026'!O2800,IF($H2800="EN COURS DE PREENGAGEMENT",'ENGAGEMENTS 2026'!N2800,IF($H2800="PREENGAGE",IF($E2800="ATTRIBUE",'ENGAGEMENTS 2026'!AD2800,'ENGAGEMENTS 2026'!N2800),'ENGAGEMENTS 2026'!AD2800))))</f>
        <v/>
      </c>
      <c r="K2800" s="604">
        <f>IF(ISBLANK('ENGAGEMENTS 2026'!V2800),"",'ENGAGEMENTS 2026'!V2800)</f>
        <v/>
      </c>
      <c r="L2800" s="276">
        <f>IF($K2800="","",TODAY()-$K2800)</f>
        <v/>
      </c>
      <c r="M2800">
        <f>IF($A2800="","",IF($H2800="ENGAGE","Engagé",IF(AND($H2800="NON ENGAGE",OR($I2800="INFRUCTUEUX",$I2800="ANNULE")),"Clôturé sans suite","En cours")))</f>
        <v/>
      </c>
      <c r="N2800">
        <f>IF(ISBLANK('ENGAGEMENTS 2026'!B2800),"",'ENGAGEMENTS 2026'!K2800)</f>
        <v/>
      </c>
      <c r="O2800">
        <f>IF(ISBLANK('ENGAGEMENTS 2026'!B2800),"",'ENGAGEMENTS 2026'!L2800)</f>
        <v/>
      </c>
      <c r="P2800">
        <f>IF(ISBLANK('ENGAGEMENTS 2026'!B2800),"",'ENGAGEMENTS 2026'!J2800)</f>
        <v/>
      </c>
      <c r="Q2800">
        <f>IF($A2800="","",IF(OR($E2800="INFRUCTUEUX",$E2800="ANNULE"),$A2800&amp;"|"&amp;(COUNTIFS($A$2:$A2800,$A2800,$E$2:$E2800,"INFRUCTUEUX")+COUNTIFS($A$2:$A2800,$A2800,$E$2:$E2800,"ANNULE")),""))</f>
        <v/>
      </c>
    </row>
    <row r="2801">
      <c r="A2801">
        <f>IF(ISBLANK('ENGAGEMENTS 2026'!B2801),"",IF('ENGAGEMENTS 2026'!B2801="DTSI","DCT",'ENGAGEMENTS 2026'!B2801))</f>
        <v/>
      </c>
      <c r="B2801">
        <f>IF(ISBLANK('ENGAGEMENTS 2026'!B2801),"",'ENGAGEMENTS 2026'!C2801)</f>
        <v/>
      </c>
      <c r="C2801">
        <f>IF(ISBLANK('ENGAGEMENTS 2026'!B2801),"",'ENGAGEMENTS 2026'!D2801)</f>
        <v/>
      </c>
      <c r="D2801">
        <f>IF(ISBLANK('ENGAGEMENTS 2026'!B2801),"",'ENGAGEMENTS 2026'!F2801)</f>
        <v/>
      </c>
      <c r="E2801">
        <f>IF(ISBLANK('ENGAGEMENTS 2026'!B2801),"",'ENGAGEMENTS 2026'!H2801)</f>
        <v/>
      </c>
      <c r="F2801">
        <f>IF(ISBLANK('ENGAGEMENTS 2026'!B2801),"",'ENGAGEMENTS 2026'!I2801)</f>
        <v/>
      </c>
      <c r="G2801">
        <f>IF(ISBLANK('ENGAGEMENTS 2026'!B2801),"",'ENGAGEMENTS 2026'!L2801)</f>
        <v/>
      </c>
      <c r="H2801">
        <f>IF(ISBLANK('ENGAGEMENTS 2026'!B2801),"",'ENGAGEMENTS 2026'!AE2801)</f>
        <v/>
      </c>
      <c r="I2801">
        <f>IF(ISBLANK('ENGAGEMENTS 2026'!B2801),"",'ENGAGEMENTS 2026'!G2801)</f>
        <v/>
      </c>
      <c r="J2801" s="275">
        <f>IF(ISBLANK('ENGAGEMENTS 2026'!B2801),"",IF(AND(OR($E2801="INFRUCTUEUX",$E2801="ANNULE"),$C2801="AOO-M"),'ENGAGEMENTS 2026'!O2801,IF($H2801="EN COURS DE PREENGAGEMENT",'ENGAGEMENTS 2026'!N2801,IF($H2801="PREENGAGE",IF($E2801="ATTRIBUE",'ENGAGEMENTS 2026'!AD2801,'ENGAGEMENTS 2026'!N2801),'ENGAGEMENTS 2026'!AD2801))))</f>
        <v/>
      </c>
      <c r="K2801" s="604">
        <f>IF(ISBLANK('ENGAGEMENTS 2026'!V2801),"",'ENGAGEMENTS 2026'!V2801)</f>
        <v/>
      </c>
      <c r="L2801" s="276">
        <f>IF($K2801="","",TODAY()-$K2801)</f>
        <v/>
      </c>
      <c r="M2801">
        <f>IF($A2801="","",IF($H2801="ENGAGE","Engagé",IF(AND($H2801="NON ENGAGE",OR($I2801="INFRUCTUEUX",$I2801="ANNULE")),"Clôturé sans suite","En cours")))</f>
        <v/>
      </c>
      <c r="N2801">
        <f>IF(ISBLANK('ENGAGEMENTS 2026'!B2801),"",'ENGAGEMENTS 2026'!K2801)</f>
        <v/>
      </c>
      <c r="O2801">
        <f>IF(ISBLANK('ENGAGEMENTS 2026'!B2801),"",'ENGAGEMENTS 2026'!L2801)</f>
        <v/>
      </c>
      <c r="P2801">
        <f>IF(ISBLANK('ENGAGEMENTS 2026'!B2801),"",'ENGAGEMENTS 2026'!J2801)</f>
        <v/>
      </c>
      <c r="Q2801">
        <f>IF($A2801="","",IF(OR($E2801="INFRUCTUEUX",$E2801="ANNULE"),$A2801&amp;"|"&amp;(COUNTIFS($A$2:$A2801,$A2801,$E$2:$E2801,"INFRUCTUEUX")+COUNTIFS($A$2:$A2801,$A2801,$E$2:$E2801,"ANNULE")),""))</f>
        <v/>
      </c>
    </row>
    <row r="2802">
      <c r="A2802">
        <f>IF(ISBLANK('ENGAGEMENTS 2026'!B2802),"",IF('ENGAGEMENTS 2026'!B2802="DTSI","DCT",'ENGAGEMENTS 2026'!B2802))</f>
        <v/>
      </c>
      <c r="B2802">
        <f>IF(ISBLANK('ENGAGEMENTS 2026'!B2802),"",'ENGAGEMENTS 2026'!C2802)</f>
        <v/>
      </c>
      <c r="C2802">
        <f>IF(ISBLANK('ENGAGEMENTS 2026'!B2802),"",'ENGAGEMENTS 2026'!D2802)</f>
        <v/>
      </c>
      <c r="D2802">
        <f>IF(ISBLANK('ENGAGEMENTS 2026'!B2802),"",'ENGAGEMENTS 2026'!F2802)</f>
        <v/>
      </c>
      <c r="E2802">
        <f>IF(ISBLANK('ENGAGEMENTS 2026'!B2802),"",'ENGAGEMENTS 2026'!H2802)</f>
        <v/>
      </c>
      <c r="F2802">
        <f>IF(ISBLANK('ENGAGEMENTS 2026'!B2802),"",'ENGAGEMENTS 2026'!I2802)</f>
        <v/>
      </c>
      <c r="G2802">
        <f>IF(ISBLANK('ENGAGEMENTS 2026'!B2802),"",'ENGAGEMENTS 2026'!L2802)</f>
        <v/>
      </c>
      <c r="H2802">
        <f>IF(ISBLANK('ENGAGEMENTS 2026'!B2802),"",'ENGAGEMENTS 2026'!AE2802)</f>
        <v/>
      </c>
      <c r="I2802">
        <f>IF(ISBLANK('ENGAGEMENTS 2026'!B2802),"",'ENGAGEMENTS 2026'!G2802)</f>
        <v/>
      </c>
      <c r="J2802" s="275">
        <f>IF(ISBLANK('ENGAGEMENTS 2026'!B2802),"",IF(AND(OR($E2802="INFRUCTUEUX",$E2802="ANNULE"),$C2802="AOO-M"),'ENGAGEMENTS 2026'!O2802,IF($H2802="EN COURS DE PREENGAGEMENT",'ENGAGEMENTS 2026'!N2802,IF($H2802="PREENGAGE",IF($E2802="ATTRIBUE",'ENGAGEMENTS 2026'!AD2802,'ENGAGEMENTS 2026'!N2802),'ENGAGEMENTS 2026'!AD2802))))</f>
        <v/>
      </c>
      <c r="K2802" s="604">
        <f>IF(ISBLANK('ENGAGEMENTS 2026'!V2802),"",'ENGAGEMENTS 2026'!V2802)</f>
        <v/>
      </c>
      <c r="L2802" s="276">
        <f>IF($K2802="","",TODAY()-$K2802)</f>
        <v/>
      </c>
      <c r="M2802">
        <f>IF($A2802="","",IF($H2802="ENGAGE","Engagé",IF(AND($H2802="NON ENGAGE",OR($I2802="INFRUCTUEUX",$I2802="ANNULE")),"Clôturé sans suite","En cours")))</f>
        <v/>
      </c>
      <c r="N2802">
        <f>IF(ISBLANK('ENGAGEMENTS 2026'!B2802),"",'ENGAGEMENTS 2026'!K2802)</f>
        <v/>
      </c>
      <c r="O2802">
        <f>IF(ISBLANK('ENGAGEMENTS 2026'!B2802),"",'ENGAGEMENTS 2026'!L2802)</f>
        <v/>
      </c>
      <c r="P2802">
        <f>IF(ISBLANK('ENGAGEMENTS 2026'!B2802),"",'ENGAGEMENTS 2026'!J2802)</f>
        <v/>
      </c>
      <c r="Q2802">
        <f>IF($A2802="","",IF(OR($E2802="INFRUCTUEUX",$E2802="ANNULE"),$A2802&amp;"|"&amp;(COUNTIFS($A$2:$A2802,$A2802,$E$2:$E2802,"INFRUCTUEUX")+COUNTIFS($A$2:$A2802,$A2802,$E$2:$E2802,"ANNULE")),""))</f>
        <v/>
      </c>
    </row>
    <row r="2803">
      <c r="A2803">
        <f>IF(ISBLANK('ENGAGEMENTS 2026'!B2803),"",IF('ENGAGEMENTS 2026'!B2803="DTSI","DCT",'ENGAGEMENTS 2026'!B2803))</f>
        <v/>
      </c>
      <c r="B2803">
        <f>IF(ISBLANK('ENGAGEMENTS 2026'!B2803),"",'ENGAGEMENTS 2026'!C2803)</f>
        <v/>
      </c>
      <c r="C2803">
        <f>IF(ISBLANK('ENGAGEMENTS 2026'!B2803),"",'ENGAGEMENTS 2026'!D2803)</f>
        <v/>
      </c>
      <c r="D2803">
        <f>IF(ISBLANK('ENGAGEMENTS 2026'!B2803),"",'ENGAGEMENTS 2026'!F2803)</f>
        <v/>
      </c>
      <c r="E2803">
        <f>IF(ISBLANK('ENGAGEMENTS 2026'!B2803),"",'ENGAGEMENTS 2026'!H2803)</f>
        <v/>
      </c>
      <c r="F2803">
        <f>IF(ISBLANK('ENGAGEMENTS 2026'!B2803),"",'ENGAGEMENTS 2026'!I2803)</f>
        <v/>
      </c>
      <c r="G2803">
        <f>IF(ISBLANK('ENGAGEMENTS 2026'!B2803),"",'ENGAGEMENTS 2026'!L2803)</f>
        <v/>
      </c>
      <c r="H2803">
        <f>IF(ISBLANK('ENGAGEMENTS 2026'!B2803),"",'ENGAGEMENTS 2026'!AE2803)</f>
        <v/>
      </c>
      <c r="I2803">
        <f>IF(ISBLANK('ENGAGEMENTS 2026'!B2803),"",'ENGAGEMENTS 2026'!G2803)</f>
        <v/>
      </c>
      <c r="J2803" s="275">
        <f>IF(ISBLANK('ENGAGEMENTS 2026'!B2803),"",IF(AND(OR($E2803="INFRUCTUEUX",$E2803="ANNULE"),$C2803="AOO-M"),'ENGAGEMENTS 2026'!O2803,IF($H2803="EN COURS DE PREENGAGEMENT",'ENGAGEMENTS 2026'!N2803,IF($H2803="PREENGAGE",IF($E2803="ATTRIBUE",'ENGAGEMENTS 2026'!AD2803,'ENGAGEMENTS 2026'!N2803),'ENGAGEMENTS 2026'!AD2803))))</f>
        <v/>
      </c>
      <c r="K2803" s="604">
        <f>IF(ISBLANK('ENGAGEMENTS 2026'!V2803),"",'ENGAGEMENTS 2026'!V2803)</f>
        <v/>
      </c>
      <c r="L2803" s="276">
        <f>IF($K2803="","",TODAY()-$K2803)</f>
        <v/>
      </c>
      <c r="M2803">
        <f>IF($A2803="","",IF($H2803="ENGAGE","Engagé",IF(AND($H2803="NON ENGAGE",OR($I2803="INFRUCTUEUX",$I2803="ANNULE")),"Clôturé sans suite","En cours")))</f>
        <v/>
      </c>
      <c r="N2803">
        <f>IF(ISBLANK('ENGAGEMENTS 2026'!B2803),"",'ENGAGEMENTS 2026'!K2803)</f>
        <v/>
      </c>
      <c r="O2803">
        <f>IF(ISBLANK('ENGAGEMENTS 2026'!B2803),"",'ENGAGEMENTS 2026'!L2803)</f>
        <v/>
      </c>
      <c r="P2803">
        <f>IF(ISBLANK('ENGAGEMENTS 2026'!B2803),"",'ENGAGEMENTS 2026'!J2803)</f>
        <v/>
      </c>
      <c r="Q2803">
        <f>IF($A2803="","",IF(OR($E2803="INFRUCTUEUX",$E2803="ANNULE"),$A2803&amp;"|"&amp;(COUNTIFS($A$2:$A2803,$A2803,$E$2:$E2803,"INFRUCTUEUX")+COUNTIFS($A$2:$A2803,$A2803,$E$2:$E2803,"ANNULE")),""))</f>
        <v/>
      </c>
    </row>
    <row r="2804">
      <c r="A2804">
        <f>IF(ISBLANK('ENGAGEMENTS 2026'!B2804),"",IF('ENGAGEMENTS 2026'!B2804="DTSI","DCT",'ENGAGEMENTS 2026'!B2804))</f>
        <v/>
      </c>
      <c r="B2804">
        <f>IF(ISBLANK('ENGAGEMENTS 2026'!B2804),"",'ENGAGEMENTS 2026'!C2804)</f>
        <v/>
      </c>
      <c r="C2804">
        <f>IF(ISBLANK('ENGAGEMENTS 2026'!B2804),"",'ENGAGEMENTS 2026'!D2804)</f>
        <v/>
      </c>
      <c r="D2804">
        <f>IF(ISBLANK('ENGAGEMENTS 2026'!B2804),"",'ENGAGEMENTS 2026'!F2804)</f>
        <v/>
      </c>
      <c r="E2804">
        <f>IF(ISBLANK('ENGAGEMENTS 2026'!B2804),"",'ENGAGEMENTS 2026'!H2804)</f>
        <v/>
      </c>
      <c r="F2804">
        <f>IF(ISBLANK('ENGAGEMENTS 2026'!B2804),"",'ENGAGEMENTS 2026'!I2804)</f>
        <v/>
      </c>
      <c r="G2804">
        <f>IF(ISBLANK('ENGAGEMENTS 2026'!B2804),"",'ENGAGEMENTS 2026'!L2804)</f>
        <v/>
      </c>
      <c r="H2804">
        <f>IF(ISBLANK('ENGAGEMENTS 2026'!B2804),"",'ENGAGEMENTS 2026'!AE2804)</f>
        <v/>
      </c>
      <c r="I2804">
        <f>IF(ISBLANK('ENGAGEMENTS 2026'!B2804),"",'ENGAGEMENTS 2026'!G2804)</f>
        <v/>
      </c>
      <c r="J2804" s="275">
        <f>IF(ISBLANK('ENGAGEMENTS 2026'!B2804),"",IF(AND(OR($E2804="INFRUCTUEUX",$E2804="ANNULE"),$C2804="AOO-M"),'ENGAGEMENTS 2026'!O2804,IF($H2804="EN COURS DE PREENGAGEMENT",'ENGAGEMENTS 2026'!N2804,IF($H2804="PREENGAGE",IF($E2804="ATTRIBUE",'ENGAGEMENTS 2026'!AD2804,'ENGAGEMENTS 2026'!N2804),'ENGAGEMENTS 2026'!AD2804))))</f>
        <v/>
      </c>
      <c r="K2804" s="604">
        <f>IF(ISBLANK('ENGAGEMENTS 2026'!V2804),"",'ENGAGEMENTS 2026'!V2804)</f>
        <v/>
      </c>
      <c r="L2804" s="276">
        <f>IF($K2804="","",TODAY()-$K2804)</f>
        <v/>
      </c>
      <c r="M2804">
        <f>IF($A2804="","",IF($H2804="ENGAGE","Engagé",IF(AND($H2804="NON ENGAGE",OR($I2804="INFRUCTUEUX",$I2804="ANNULE")),"Clôturé sans suite","En cours")))</f>
        <v/>
      </c>
      <c r="N2804">
        <f>IF(ISBLANK('ENGAGEMENTS 2026'!B2804),"",'ENGAGEMENTS 2026'!K2804)</f>
        <v/>
      </c>
      <c r="O2804">
        <f>IF(ISBLANK('ENGAGEMENTS 2026'!B2804),"",'ENGAGEMENTS 2026'!L2804)</f>
        <v/>
      </c>
      <c r="P2804">
        <f>IF(ISBLANK('ENGAGEMENTS 2026'!B2804),"",'ENGAGEMENTS 2026'!J2804)</f>
        <v/>
      </c>
      <c r="Q2804">
        <f>IF($A2804="","",IF(OR($E2804="INFRUCTUEUX",$E2804="ANNULE"),$A2804&amp;"|"&amp;(COUNTIFS($A$2:$A2804,$A2804,$E$2:$E2804,"INFRUCTUEUX")+COUNTIFS($A$2:$A2804,$A2804,$E$2:$E2804,"ANNULE")),""))</f>
        <v/>
      </c>
    </row>
    <row r="2805">
      <c r="A2805">
        <f>IF(ISBLANK('ENGAGEMENTS 2026'!B2805),"",IF('ENGAGEMENTS 2026'!B2805="DTSI","DCT",'ENGAGEMENTS 2026'!B2805))</f>
        <v/>
      </c>
      <c r="B2805">
        <f>IF(ISBLANK('ENGAGEMENTS 2026'!B2805),"",'ENGAGEMENTS 2026'!C2805)</f>
        <v/>
      </c>
      <c r="C2805">
        <f>IF(ISBLANK('ENGAGEMENTS 2026'!B2805),"",'ENGAGEMENTS 2026'!D2805)</f>
        <v/>
      </c>
      <c r="D2805">
        <f>IF(ISBLANK('ENGAGEMENTS 2026'!B2805),"",'ENGAGEMENTS 2026'!F2805)</f>
        <v/>
      </c>
      <c r="E2805">
        <f>IF(ISBLANK('ENGAGEMENTS 2026'!B2805),"",'ENGAGEMENTS 2026'!H2805)</f>
        <v/>
      </c>
      <c r="F2805">
        <f>IF(ISBLANK('ENGAGEMENTS 2026'!B2805),"",'ENGAGEMENTS 2026'!I2805)</f>
        <v/>
      </c>
      <c r="G2805">
        <f>IF(ISBLANK('ENGAGEMENTS 2026'!B2805),"",'ENGAGEMENTS 2026'!L2805)</f>
        <v/>
      </c>
      <c r="H2805">
        <f>IF(ISBLANK('ENGAGEMENTS 2026'!B2805),"",'ENGAGEMENTS 2026'!AE2805)</f>
        <v/>
      </c>
      <c r="I2805">
        <f>IF(ISBLANK('ENGAGEMENTS 2026'!B2805),"",'ENGAGEMENTS 2026'!G2805)</f>
        <v/>
      </c>
      <c r="J2805" s="275">
        <f>IF(ISBLANK('ENGAGEMENTS 2026'!B2805),"",IF(AND(OR($E2805="INFRUCTUEUX",$E2805="ANNULE"),$C2805="AOO-M"),'ENGAGEMENTS 2026'!O2805,IF($H2805="EN COURS DE PREENGAGEMENT",'ENGAGEMENTS 2026'!N2805,IF($H2805="PREENGAGE",IF($E2805="ATTRIBUE",'ENGAGEMENTS 2026'!AD2805,'ENGAGEMENTS 2026'!N2805),'ENGAGEMENTS 2026'!AD2805))))</f>
        <v/>
      </c>
      <c r="K2805" s="604">
        <f>IF(ISBLANK('ENGAGEMENTS 2026'!V2805),"",'ENGAGEMENTS 2026'!V2805)</f>
        <v/>
      </c>
      <c r="L2805" s="276">
        <f>IF($K2805="","",TODAY()-$K2805)</f>
        <v/>
      </c>
      <c r="M2805">
        <f>IF($A2805="","",IF($H2805="ENGAGE","Engagé",IF(AND($H2805="NON ENGAGE",OR($I2805="INFRUCTUEUX",$I2805="ANNULE")),"Clôturé sans suite","En cours")))</f>
        <v/>
      </c>
      <c r="N2805">
        <f>IF(ISBLANK('ENGAGEMENTS 2026'!B2805),"",'ENGAGEMENTS 2026'!K2805)</f>
        <v/>
      </c>
      <c r="O2805">
        <f>IF(ISBLANK('ENGAGEMENTS 2026'!B2805),"",'ENGAGEMENTS 2026'!L2805)</f>
        <v/>
      </c>
      <c r="P2805">
        <f>IF(ISBLANK('ENGAGEMENTS 2026'!B2805),"",'ENGAGEMENTS 2026'!J2805)</f>
        <v/>
      </c>
      <c r="Q2805">
        <f>IF($A2805="","",IF(OR($E2805="INFRUCTUEUX",$E2805="ANNULE"),$A2805&amp;"|"&amp;(COUNTIFS($A$2:$A2805,$A2805,$E$2:$E2805,"INFRUCTUEUX")+COUNTIFS($A$2:$A2805,$A2805,$E$2:$E2805,"ANNULE")),""))</f>
        <v/>
      </c>
    </row>
    <row r="2806">
      <c r="A2806">
        <f>IF(ISBLANK('ENGAGEMENTS 2026'!B2806),"",IF('ENGAGEMENTS 2026'!B2806="DTSI","DCT",'ENGAGEMENTS 2026'!B2806))</f>
        <v/>
      </c>
      <c r="B2806">
        <f>IF(ISBLANK('ENGAGEMENTS 2026'!B2806),"",'ENGAGEMENTS 2026'!C2806)</f>
        <v/>
      </c>
      <c r="C2806">
        <f>IF(ISBLANK('ENGAGEMENTS 2026'!B2806),"",'ENGAGEMENTS 2026'!D2806)</f>
        <v/>
      </c>
      <c r="D2806">
        <f>IF(ISBLANK('ENGAGEMENTS 2026'!B2806),"",'ENGAGEMENTS 2026'!F2806)</f>
        <v/>
      </c>
      <c r="E2806">
        <f>IF(ISBLANK('ENGAGEMENTS 2026'!B2806),"",'ENGAGEMENTS 2026'!H2806)</f>
        <v/>
      </c>
      <c r="F2806">
        <f>IF(ISBLANK('ENGAGEMENTS 2026'!B2806),"",'ENGAGEMENTS 2026'!I2806)</f>
        <v/>
      </c>
      <c r="G2806">
        <f>IF(ISBLANK('ENGAGEMENTS 2026'!B2806),"",'ENGAGEMENTS 2026'!L2806)</f>
        <v/>
      </c>
      <c r="H2806">
        <f>IF(ISBLANK('ENGAGEMENTS 2026'!B2806),"",'ENGAGEMENTS 2026'!AE2806)</f>
        <v/>
      </c>
      <c r="I2806">
        <f>IF(ISBLANK('ENGAGEMENTS 2026'!B2806),"",'ENGAGEMENTS 2026'!G2806)</f>
        <v/>
      </c>
      <c r="J2806" s="275">
        <f>IF(ISBLANK('ENGAGEMENTS 2026'!B2806),"",IF(AND(OR($E2806="INFRUCTUEUX",$E2806="ANNULE"),$C2806="AOO-M"),'ENGAGEMENTS 2026'!O2806,IF($H2806="EN COURS DE PREENGAGEMENT",'ENGAGEMENTS 2026'!N2806,IF($H2806="PREENGAGE",IF($E2806="ATTRIBUE",'ENGAGEMENTS 2026'!AD2806,'ENGAGEMENTS 2026'!N2806),'ENGAGEMENTS 2026'!AD2806))))</f>
        <v/>
      </c>
      <c r="K2806" s="604">
        <f>IF(ISBLANK('ENGAGEMENTS 2026'!V2806),"",'ENGAGEMENTS 2026'!V2806)</f>
        <v/>
      </c>
      <c r="L2806" s="276">
        <f>IF($K2806="","",TODAY()-$K2806)</f>
        <v/>
      </c>
      <c r="M2806">
        <f>IF($A2806="","",IF($H2806="ENGAGE","Engagé",IF(AND($H2806="NON ENGAGE",OR($I2806="INFRUCTUEUX",$I2806="ANNULE")),"Clôturé sans suite","En cours")))</f>
        <v/>
      </c>
      <c r="N2806">
        <f>IF(ISBLANK('ENGAGEMENTS 2026'!B2806),"",'ENGAGEMENTS 2026'!K2806)</f>
        <v/>
      </c>
      <c r="O2806">
        <f>IF(ISBLANK('ENGAGEMENTS 2026'!B2806),"",'ENGAGEMENTS 2026'!L2806)</f>
        <v/>
      </c>
      <c r="P2806">
        <f>IF(ISBLANK('ENGAGEMENTS 2026'!B2806),"",'ENGAGEMENTS 2026'!J2806)</f>
        <v/>
      </c>
      <c r="Q2806">
        <f>IF($A2806="","",IF(OR($E2806="INFRUCTUEUX",$E2806="ANNULE"),$A2806&amp;"|"&amp;(COUNTIFS($A$2:$A2806,$A2806,$E$2:$E2806,"INFRUCTUEUX")+COUNTIFS($A$2:$A2806,$A2806,$E$2:$E2806,"ANNULE")),""))</f>
        <v/>
      </c>
    </row>
    <row r="2807">
      <c r="A2807">
        <f>IF(ISBLANK('ENGAGEMENTS 2026'!B2807),"",IF('ENGAGEMENTS 2026'!B2807="DTSI","DCT",'ENGAGEMENTS 2026'!B2807))</f>
        <v/>
      </c>
      <c r="B2807">
        <f>IF(ISBLANK('ENGAGEMENTS 2026'!B2807),"",'ENGAGEMENTS 2026'!C2807)</f>
        <v/>
      </c>
      <c r="C2807">
        <f>IF(ISBLANK('ENGAGEMENTS 2026'!B2807),"",'ENGAGEMENTS 2026'!D2807)</f>
        <v/>
      </c>
      <c r="D2807">
        <f>IF(ISBLANK('ENGAGEMENTS 2026'!B2807),"",'ENGAGEMENTS 2026'!F2807)</f>
        <v/>
      </c>
      <c r="E2807">
        <f>IF(ISBLANK('ENGAGEMENTS 2026'!B2807),"",'ENGAGEMENTS 2026'!H2807)</f>
        <v/>
      </c>
      <c r="F2807">
        <f>IF(ISBLANK('ENGAGEMENTS 2026'!B2807),"",'ENGAGEMENTS 2026'!I2807)</f>
        <v/>
      </c>
      <c r="G2807">
        <f>IF(ISBLANK('ENGAGEMENTS 2026'!B2807),"",'ENGAGEMENTS 2026'!L2807)</f>
        <v/>
      </c>
      <c r="H2807">
        <f>IF(ISBLANK('ENGAGEMENTS 2026'!B2807),"",'ENGAGEMENTS 2026'!AE2807)</f>
        <v/>
      </c>
      <c r="I2807">
        <f>IF(ISBLANK('ENGAGEMENTS 2026'!B2807),"",'ENGAGEMENTS 2026'!G2807)</f>
        <v/>
      </c>
      <c r="J2807" s="275">
        <f>IF(ISBLANK('ENGAGEMENTS 2026'!B2807),"",IF(AND(OR($E2807="INFRUCTUEUX",$E2807="ANNULE"),$C2807="AOO-M"),'ENGAGEMENTS 2026'!O2807,IF($H2807="EN COURS DE PREENGAGEMENT",'ENGAGEMENTS 2026'!N2807,IF($H2807="PREENGAGE",IF($E2807="ATTRIBUE",'ENGAGEMENTS 2026'!AD2807,'ENGAGEMENTS 2026'!N2807),'ENGAGEMENTS 2026'!AD2807))))</f>
        <v/>
      </c>
      <c r="K2807" s="604">
        <f>IF(ISBLANK('ENGAGEMENTS 2026'!V2807),"",'ENGAGEMENTS 2026'!V2807)</f>
        <v/>
      </c>
      <c r="L2807" s="276">
        <f>IF($K2807="","",TODAY()-$K2807)</f>
        <v/>
      </c>
      <c r="M2807">
        <f>IF($A2807="","",IF($H2807="ENGAGE","Engagé",IF(AND($H2807="NON ENGAGE",OR($I2807="INFRUCTUEUX",$I2807="ANNULE")),"Clôturé sans suite","En cours")))</f>
        <v/>
      </c>
      <c r="N2807">
        <f>IF(ISBLANK('ENGAGEMENTS 2026'!B2807),"",'ENGAGEMENTS 2026'!K2807)</f>
        <v/>
      </c>
      <c r="O2807">
        <f>IF(ISBLANK('ENGAGEMENTS 2026'!B2807),"",'ENGAGEMENTS 2026'!L2807)</f>
        <v/>
      </c>
      <c r="P2807">
        <f>IF(ISBLANK('ENGAGEMENTS 2026'!B2807),"",'ENGAGEMENTS 2026'!J2807)</f>
        <v/>
      </c>
      <c r="Q2807">
        <f>IF($A2807="","",IF(OR($E2807="INFRUCTUEUX",$E2807="ANNULE"),$A2807&amp;"|"&amp;(COUNTIFS($A$2:$A2807,$A2807,$E$2:$E2807,"INFRUCTUEUX")+COUNTIFS($A$2:$A2807,$A2807,$E$2:$E2807,"ANNULE")),""))</f>
        <v/>
      </c>
    </row>
    <row r="2808">
      <c r="A2808">
        <f>IF(ISBLANK('ENGAGEMENTS 2026'!B2808),"",IF('ENGAGEMENTS 2026'!B2808="DTSI","DCT",'ENGAGEMENTS 2026'!B2808))</f>
        <v/>
      </c>
      <c r="B2808">
        <f>IF(ISBLANK('ENGAGEMENTS 2026'!B2808),"",'ENGAGEMENTS 2026'!C2808)</f>
        <v/>
      </c>
      <c r="C2808">
        <f>IF(ISBLANK('ENGAGEMENTS 2026'!B2808),"",'ENGAGEMENTS 2026'!D2808)</f>
        <v/>
      </c>
      <c r="D2808">
        <f>IF(ISBLANK('ENGAGEMENTS 2026'!B2808),"",'ENGAGEMENTS 2026'!F2808)</f>
        <v/>
      </c>
      <c r="E2808">
        <f>IF(ISBLANK('ENGAGEMENTS 2026'!B2808),"",'ENGAGEMENTS 2026'!H2808)</f>
        <v/>
      </c>
      <c r="F2808">
        <f>IF(ISBLANK('ENGAGEMENTS 2026'!B2808),"",'ENGAGEMENTS 2026'!I2808)</f>
        <v/>
      </c>
      <c r="G2808">
        <f>IF(ISBLANK('ENGAGEMENTS 2026'!B2808),"",'ENGAGEMENTS 2026'!L2808)</f>
        <v/>
      </c>
      <c r="H2808">
        <f>IF(ISBLANK('ENGAGEMENTS 2026'!B2808),"",'ENGAGEMENTS 2026'!AE2808)</f>
        <v/>
      </c>
      <c r="I2808">
        <f>IF(ISBLANK('ENGAGEMENTS 2026'!B2808),"",'ENGAGEMENTS 2026'!G2808)</f>
        <v/>
      </c>
      <c r="J2808" s="275">
        <f>IF(ISBLANK('ENGAGEMENTS 2026'!B2808),"",IF(AND(OR($E2808="INFRUCTUEUX",$E2808="ANNULE"),$C2808="AOO-M"),'ENGAGEMENTS 2026'!O2808,IF($H2808="EN COURS DE PREENGAGEMENT",'ENGAGEMENTS 2026'!N2808,IF($H2808="PREENGAGE",IF($E2808="ATTRIBUE",'ENGAGEMENTS 2026'!AD2808,'ENGAGEMENTS 2026'!N2808),'ENGAGEMENTS 2026'!AD2808))))</f>
        <v/>
      </c>
      <c r="K2808" s="604">
        <f>IF(ISBLANK('ENGAGEMENTS 2026'!V2808),"",'ENGAGEMENTS 2026'!V2808)</f>
        <v/>
      </c>
      <c r="L2808" s="276">
        <f>IF($K2808="","",TODAY()-$K2808)</f>
        <v/>
      </c>
      <c r="M2808">
        <f>IF($A2808="","",IF($H2808="ENGAGE","Engagé",IF(AND($H2808="NON ENGAGE",OR($I2808="INFRUCTUEUX",$I2808="ANNULE")),"Clôturé sans suite","En cours")))</f>
        <v/>
      </c>
      <c r="N2808">
        <f>IF(ISBLANK('ENGAGEMENTS 2026'!B2808),"",'ENGAGEMENTS 2026'!K2808)</f>
        <v/>
      </c>
      <c r="O2808">
        <f>IF(ISBLANK('ENGAGEMENTS 2026'!B2808),"",'ENGAGEMENTS 2026'!L2808)</f>
        <v/>
      </c>
      <c r="P2808">
        <f>IF(ISBLANK('ENGAGEMENTS 2026'!B2808),"",'ENGAGEMENTS 2026'!J2808)</f>
        <v/>
      </c>
      <c r="Q2808">
        <f>IF($A2808="","",IF(OR($E2808="INFRUCTUEUX",$E2808="ANNULE"),$A2808&amp;"|"&amp;(COUNTIFS($A$2:$A2808,$A2808,$E$2:$E2808,"INFRUCTUEUX")+COUNTIFS($A$2:$A2808,$A2808,$E$2:$E2808,"ANNULE")),""))</f>
        <v/>
      </c>
    </row>
    <row r="2809">
      <c r="A2809">
        <f>IF(ISBLANK('ENGAGEMENTS 2026'!B2809),"",IF('ENGAGEMENTS 2026'!B2809="DTSI","DCT",'ENGAGEMENTS 2026'!B2809))</f>
        <v/>
      </c>
      <c r="B2809">
        <f>IF(ISBLANK('ENGAGEMENTS 2026'!B2809),"",'ENGAGEMENTS 2026'!C2809)</f>
        <v/>
      </c>
      <c r="C2809">
        <f>IF(ISBLANK('ENGAGEMENTS 2026'!B2809),"",'ENGAGEMENTS 2026'!D2809)</f>
        <v/>
      </c>
      <c r="D2809">
        <f>IF(ISBLANK('ENGAGEMENTS 2026'!B2809),"",'ENGAGEMENTS 2026'!F2809)</f>
        <v/>
      </c>
      <c r="E2809">
        <f>IF(ISBLANK('ENGAGEMENTS 2026'!B2809),"",'ENGAGEMENTS 2026'!H2809)</f>
        <v/>
      </c>
      <c r="F2809">
        <f>IF(ISBLANK('ENGAGEMENTS 2026'!B2809),"",'ENGAGEMENTS 2026'!I2809)</f>
        <v/>
      </c>
      <c r="G2809">
        <f>IF(ISBLANK('ENGAGEMENTS 2026'!B2809),"",'ENGAGEMENTS 2026'!L2809)</f>
        <v/>
      </c>
      <c r="H2809">
        <f>IF(ISBLANK('ENGAGEMENTS 2026'!B2809),"",'ENGAGEMENTS 2026'!AE2809)</f>
        <v/>
      </c>
      <c r="I2809">
        <f>IF(ISBLANK('ENGAGEMENTS 2026'!B2809),"",'ENGAGEMENTS 2026'!G2809)</f>
        <v/>
      </c>
      <c r="J2809" s="275">
        <f>IF(ISBLANK('ENGAGEMENTS 2026'!B2809),"",IF(AND(OR($E2809="INFRUCTUEUX",$E2809="ANNULE"),$C2809="AOO-M"),'ENGAGEMENTS 2026'!O2809,IF($H2809="EN COURS DE PREENGAGEMENT",'ENGAGEMENTS 2026'!N2809,IF($H2809="PREENGAGE",IF($E2809="ATTRIBUE",'ENGAGEMENTS 2026'!AD2809,'ENGAGEMENTS 2026'!N2809),'ENGAGEMENTS 2026'!AD2809))))</f>
        <v/>
      </c>
      <c r="K2809" s="604">
        <f>IF(ISBLANK('ENGAGEMENTS 2026'!V2809),"",'ENGAGEMENTS 2026'!V2809)</f>
        <v/>
      </c>
      <c r="L2809" s="276">
        <f>IF($K2809="","",TODAY()-$K2809)</f>
        <v/>
      </c>
      <c r="M2809">
        <f>IF($A2809="","",IF($H2809="ENGAGE","Engagé",IF(AND($H2809="NON ENGAGE",OR($I2809="INFRUCTUEUX",$I2809="ANNULE")),"Clôturé sans suite","En cours")))</f>
        <v/>
      </c>
      <c r="N2809">
        <f>IF(ISBLANK('ENGAGEMENTS 2026'!B2809),"",'ENGAGEMENTS 2026'!K2809)</f>
        <v/>
      </c>
      <c r="O2809">
        <f>IF(ISBLANK('ENGAGEMENTS 2026'!B2809),"",'ENGAGEMENTS 2026'!L2809)</f>
        <v/>
      </c>
      <c r="P2809">
        <f>IF(ISBLANK('ENGAGEMENTS 2026'!B2809),"",'ENGAGEMENTS 2026'!J2809)</f>
        <v/>
      </c>
      <c r="Q2809">
        <f>IF($A2809="","",IF(OR($E2809="INFRUCTUEUX",$E2809="ANNULE"),$A2809&amp;"|"&amp;(COUNTIFS($A$2:$A2809,$A2809,$E$2:$E2809,"INFRUCTUEUX")+COUNTIFS($A$2:$A2809,$A2809,$E$2:$E2809,"ANNULE")),""))</f>
        <v/>
      </c>
    </row>
    <row r="2810">
      <c r="A2810">
        <f>IF(ISBLANK('ENGAGEMENTS 2026'!B2810),"",IF('ENGAGEMENTS 2026'!B2810="DTSI","DCT",'ENGAGEMENTS 2026'!B2810))</f>
        <v/>
      </c>
      <c r="B2810">
        <f>IF(ISBLANK('ENGAGEMENTS 2026'!B2810),"",'ENGAGEMENTS 2026'!C2810)</f>
        <v/>
      </c>
      <c r="C2810">
        <f>IF(ISBLANK('ENGAGEMENTS 2026'!B2810),"",'ENGAGEMENTS 2026'!D2810)</f>
        <v/>
      </c>
      <c r="D2810">
        <f>IF(ISBLANK('ENGAGEMENTS 2026'!B2810),"",'ENGAGEMENTS 2026'!F2810)</f>
        <v/>
      </c>
      <c r="E2810">
        <f>IF(ISBLANK('ENGAGEMENTS 2026'!B2810),"",'ENGAGEMENTS 2026'!H2810)</f>
        <v/>
      </c>
      <c r="F2810">
        <f>IF(ISBLANK('ENGAGEMENTS 2026'!B2810),"",'ENGAGEMENTS 2026'!I2810)</f>
        <v/>
      </c>
      <c r="G2810">
        <f>IF(ISBLANK('ENGAGEMENTS 2026'!B2810),"",'ENGAGEMENTS 2026'!L2810)</f>
        <v/>
      </c>
      <c r="H2810">
        <f>IF(ISBLANK('ENGAGEMENTS 2026'!B2810),"",'ENGAGEMENTS 2026'!AE2810)</f>
        <v/>
      </c>
      <c r="I2810">
        <f>IF(ISBLANK('ENGAGEMENTS 2026'!B2810),"",'ENGAGEMENTS 2026'!G2810)</f>
        <v/>
      </c>
      <c r="J2810" s="275">
        <f>IF(ISBLANK('ENGAGEMENTS 2026'!B2810),"",IF(AND(OR($E2810="INFRUCTUEUX",$E2810="ANNULE"),$C2810="AOO-M"),'ENGAGEMENTS 2026'!O2810,IF($H2810="EN COURS DE PREENGAGEMENT",'ENGAGEMENTS 2026'!N2810,IF($H2810="PREENGAGE",IF($E2810="ATTRIBUE",'ENGAGEMENTS 2026'!AD2810,'ENGAGEMENTS 2026'!N2810),'ENGAGEMENTS 2026'!AD2810))))</f>
        <v/>
      </c>
      <c r="K2810" s="604">
        <f>IF(ISBLANK('ENGAGEMENTS 2026'!V2810),"",'ENGAGEMENTS 2026'!V2810)</f>
        <v/>
      </c>
      <c r="L2810" s="276">
        <f>IF($K2810="","",TODAY()-$K2810)</f>
        <v/>
      </c>
      <c r="M2810">
        <f>IF($A2810="","",IF($H2810="ENGAGE","Engagé",IF(AND($H2810="NON ENGAGE",OR($I2810="INFRUCTUEUX",$I2810="ANNULE")),"Clôturé sans suite","En cours")))</f>
        <v/>
      </c>
      <c r="N2810">
        <f>IF(ISBLANK('ENGAGEMENTS 2026'!B2810),"",'ENGAGEMENTS 2026'!K2810)</f>
        <v/>
      </c>
      <c r="O2810">
        <f>IF(ISBLANK('ENGAGEMENTS 2026'!B2810),"",'ENGAGEMENTS 2026'!L2810)</f>
        <v/>
      </c>
      <c r="P2810">
        <f>IF(ISBLANK('ENGAGEMENTS 2026'!B2810),"",'ENGAGEMENTS 2026'!J2810)</f>
        <v/>
      </c>
      <c r="Q2810">
        <f>IF($A2810="","",IF(OR($E2810="INFRUCTUEUX",$E2810="ANNULE"),$A2810&amp;"|"&amp;(COUNTIFS($A$2:$A2810,$A2810,$E$2:$E2810,"INFRUCTUEUX")+COUNTIFS($A$2:$A2810,$A2810,$E$2:$E2810,"ANNULE")),""))</f>
        <v/>
      </c>
    </row>
    <row r="2811">
      <c r="A2811">
        <f>IF(ISBLANK('ENGAGEMENTS 2026'!B2811),"",IF('ENGAGEMENTS 2026'!B2811="DTSI","DCT",'ENGAGEMENTS 2026'!B2811))</f>
        <v/>
      </c>
      <c r="B2811">
        <f>IF(ISBLANK('ENGAGEMENTS 2026'!B2811),"",'ENGAGEMENTS 2026'!C2811)</f>
        <v/>
      </c>
      <c r="C2811">
        <f>IF(ISBLANK('ENGAGEMENTS 2026'!B2811),"",'ENGAGEMENTS 2026'!D2811)</f>
        <v/>
      </c>
      <c r="D2811">
        <f>IF(ISBLANK('ENGAGEMENTS 2026'!B2811),"",'ENGAGEMENTS 2026'!F2811)</f>
        <v/>
      </c>
      <c r="E2811">
        <f>IF(ISBLANK('ENGAGEMENTS 2026'!B2811),"",'ENGAGEMENTS 2026'!H2811)</f>
        <v/>
      </c>
      <c r="F2811">
        <f>IF(ISBLANK('ENGAGEMENTS 2026'!B2811),"",'ENGAGEMENTS 2026'!I2811)</f>
        <v/>
      </c>
      <c r="G2811">
        <f>IF(ISBLANK('ENGAGEMENTS 2026'!B2811),"",'ENGAGEMENTS 2026'!L2811)</f>
        <v/>
      </c>
      <c r="H2811">
        <f>IF(ISBLANK('ENGAGEMENTS 2026'!B2811),"",'ENGAGEMENTS 2026'!AE2811)</f>
        <v/>
      </c>
      <c r="I2811">
        <f>IF(ISBLANK('ENGAGEMENTS 2026'!B2811),"",'ENGAGEMENTS 2026'!G2811)</f>
        <v/>
      </c>
      <c r="J2811" s="275">
        <f>IF(ISBLANK('ENGAGEMENTS 2026'!B2811),"",IF(AND(OR($E2811="INFRUCTUEUX",$E2811="ANNULE"),$C2811="AOO-M"),'ENGAGEMENTS 2026'!O2811,IF($H2811="EN COURS DE PREENGAGEMENT",'ENGAGEMENTS 2026'!N2811,IF($H2811="PREENGAGE",IF($E2811="ATTRIBUE",'ENGAGEMENTS 2026'!AD2811,'ENGAGEMENTS 2026'!N2811),'ENGAGEMENTS 2026'!AD2811))))</f>
        <v/>
      </c>
      <c r="K2811" s="604">
        <f>IF(ISBLANK('ENGAGEMENTS 2026'!V2811),"",'ENGAGEMENTS 2026'!V2811)</f>
        <v/>
      </c>
      <c r="L2811" s="276">
        <f>IF($K2811="","",TODAY()-$K2811)</f>
        <v/>
      </c>
      <c r="M2811">
        <f>IF($A2811="","",IF($H2811="ENGAGE","Engagé",IF(AND($H2811="NON ENGAGE",OR($I2811="INFRUCTUEUX",$I2811="ANNULE")),"Clôturé sans suite","En cours")))</f>
        <v/>
      </c>
      <c r="N2811">
        <f>IF(ISBLANK('ENGAGEMENTS 2026'!B2811),"",'ENGAGEMENTS 2026'!K2811)</f>
        <v/>
      </c>
      <c r="O2811">
        <f>IF(ISBLANK('ENGAGEMENTS 2026'!B2811),"",'ENGAGEMENTS 2026'!L2811)</f>
        <v/>
      </c>
      <c r="P2811">
        <f>IF(ISBLANK('ENGAGEMENTS 2026'!B2811),"",'ENGAGEMENTS 2026'!J2811)</f>
        <v/>
      </c>
      <c r="Q2811">
        <f>IF($A2811="","",IF(OR($E2811="INFRUCTUEUX",$E2811="ANNULE"),$A2811&amp;"|"&amp;(COUNTIFS($A$2:$A2811,$A2811,$E$2:$E2811,"INFRUCTUEUX")+COUNTIFS($A$2:$A2811,$A2811,$E$2:$E2811,"ANNULE")),""))</f>
        <v/>
      </c>
    </row>
    <row r="2812">
      <c r="A2812">
        <f>IF(ISBLANK('ENGAGEMENTS 2026'!B2812),"",IF('ENGAGEMENTS 2026'!B2812="DTSI","DCT",'ENGAGEMENTS 2026'!B2812))</f>
        <v/>
      </c>
      <c r="B2812">
        <f>IF(ISBLANK('ENGAGEMENTS 2026'!B2812),"",'ENGAGEMENTS 2026'!C2812)</f>
        <v/>
      </c>
      <c r="C2812">
        <f>IF(ISBLANK('ENGAGEMENTS 2026'!B2812),"",'ENGAGEMENTS 2026'!D2812)</f>
        <v/>
      </c>
      <c r="D2812">
        <f>IF(ISBLANK('ENGAGEMENTS 2026'!B2812),"",'ENGAGEMENTS 2026'!F2812)</f>
        <v/>
      </c>
      <c r="E2812">
        <f>IF(ISBLANK('ENGAGEMENTS 2026'!B2812),"",'ENGAGEMENTS 2026'!H2812)</f>
        <v/>
      </c>
      <c r="F2812">
        <f>IF(ISBLANK('ENGAGEMENTS 2026'!B2812),"",'ENGAGEMENTS 2026'!I2812)</f>
        <v/>
      </c>
      <c r="G2812">
        <f>IF(ISBLANK('ENGAGEMENTS 2026'!B2812),"",'ENGAGEMENTS 2026'!L2812)</f>
        <v/>
      </c>
      <c r="H2812">
        <f>IF(ISBLANK('ENGAGEMENTS 2026'!B2812),"",'ENGAGEMENTS 2026'!AE2812)</f>
        <v/>
      </c>
      <c r="I2812">
        <f>IF(ISBLANK('ENGAGEMENTS 2026'!B2812),"",'ENGAGEMENTS 2026'!G2812)</f>
        <v/>
      </c>
      <c r="J2812" s="275">
        <f>IF(ISBLANK('ENGAGEMENTS 2026'!B2812),"",IF(AND(OR($E2812="INFRUCTUEUX",$E2812="ANNULE"),$C2812="AOO-M"),'ENGAGEMENTS 2026'!O2812,IF($H2812="EN COURS DE PREENGAGEMENT",'ENGAGEMENTS 2026'!N2812,IF($H2812="PREENGAGE",IF($E2812="ATTRIBUE",'ENGAGEMENTS 2026'!AD2812,'ENGAGEMENTS 2026'!N2812),'ENGAGEMENTS 2026'!AD2812))))</f>
        <v/>
      </c>
      <c r="K2812" s="604">
        <f>IF(ISBLANK('ENGAGEMENTS 2026'!V2812),"",'ENGAGEMENTS 2026'!V2812)</f>
        <v/>
      </c>
      <c r="L2812" s="276">
        <f>IF($K2812="","",TODAY()-$K2812)</f>
        <v/>
      </c>
      <c r="M2812">
        <f>IF($A2812="","",IF($H2812="ENGAGE","Engagé",IF(AND($H2812="NON ENGAGE",OR($I2812="INFRUCTUEUX",$I2812="ANNULE")),"Clôturé sans suite","En cours")))</f>
        <v/>
      </c>
      <c r="N2812">
        <f>IF(ISBLANK('ENGAGEMENTS 2026'!B2812),"",'ENGAGEMENTS 2026'!K2812)</f>
        <v/>
      </c>
      <c r="O2812">
        <f>IF(ISBLANK('ENGAGEMENTS 2026'!B2812),"",'ENGAGEMENTS 2026'!L2812)</f>
        <v/>
      </c>
      <c r="P2812">
        <f>IF(ISBLANK('ENGAGEMENTS 2026'!B2812),"",'ENGAGEMENTS 2026'!J2812)</f>
        <v/>
      </c>
      <c r="Q2812">
        <f>IF($A2812="","",IF(OR($E2812="INFRUCTUEUX",$E2812="ANNULE"),$A2812&amp;"|"&amp;(COUNTIFS($A$2:$A2812,$A2812,$E$2:$E2812,"INFRUCTUEUX")+COUNTIFS($A$2:$A2812,$A2812,$E$2:$E2812,"ANNULE")),""))</f>
        <v/>
      </c>
    </row>
    <row r="2813">
      <c r="A2813">
        <f>IF(ISBLANK('ENGAGEMENTS 2026'!B2813),"",IF('ENGAGEMENTS 2026'!B2813="DTSI","DCT",'ENGAGEMENTS 2026'!B2813))</f>
        <v/>
      </c>
      <c r="B2813">
        <f>IF(ISBLANK('ENGAGEMENTS 2026'!B2813),"",'ENGAGEMENTS 2026'!C2813)</f>
        <v/>
      </c>
      <c r="C2813">
        <f>IF(ISBLANK('ENGAGEMENTS 2026'!B2813),"",'ENGAGEMENTS 2026'!D2813)</f>
        <v/>
      </c>
      <c r="D2813">
        <f>IF(ISBLANK('ENGAGEMENTS 2026'!B2813),"",'ENGAGEMENTS 2026'!F2813)</f>
        <v/>
      </c>
      <c r="E2813">
        <f>IF(ISBLANK('ENGAGEMENTS 2026'!B2813),"",'ENGAGEMENTS 2026'!H2813)</f>
        <v/>
      </c>
      <c r="F2813">
        <f>IF(ISBLANK('ENGAGEMENTS 2026'!B2813),"",'ENGAGEMENTS 2026'!I2813)</f>
        <v/>
      </c>
      <c r="G2813">
        <f>IF(ISBLANK('ENGAGEMENTS 2026'!B2813),"",'ENGAGEMENTS 2026'!L2813)</f>
        <v/>
      </c>
      <c r="H2813">
        <f>IF(ISBLANK('ENGAGEMENTS 2026'!B2813),"",'ENGAGEMENTS 2026'!AE2813)</f>
        <v/>
      </c>
      <c r="I2813">
        <f>IF(ISBLANK('ENGAGEMENTS 2026'!B2813),"",'ENGAGEMENTS 2026'!G2813)</f>
        <v/>
      </c>
      <c r="J2813" s="275">
        <f>IF(ISBLANK('ENGAGEMENTS 2026'!B2813),"",IF(AND(OR($E2813="INFRUCTUEUX",$E2813="ANNULE"),$C2813="AOO-M"),'ENGAGEMENTS 2026'!O2813,IF($H2813="EN COURS DE PREENGAGEMENT",'ENGAGEMENTS 2026'!N2813,IF($H2813="PREENGAGE",IF($E2813="ATTRIBUE",'ENGAGEMENTS 2026'!AD2813,'ENGAGEMENTS 2026'!N2813),'ENGAGEMENTS 2026'!AD2813))))</f>
        <v/>
      </c>
      <c r="K2813" s="604">
        <f>IF(ISBLANK('ENGAGEMENTS 2026'!V2813),"",'ENGAGEMENTS 2026'!V2813)</f>
        <v/>
      </c>
      <c r="L2813" s="276">
        <f>IF($K2813="","",TODAY()-$K2813)</f>
        <v/>
      </c>
      <c r="M2813">
        <f>IF($A2813="","",IF($H2813="ENGAGE","Engagé",IF(AND($H2813="NON ENGAGE",OR($I2813="INFRUCTUEUX",$I2813="ANNULE")),"Clôturé sans suite","En cours")))</f>
        <v/>
      </c>
      <c r="N2813">
        <f>IF(ISBLANK('ENGAGEMENTS 2026'!B2813),"",'ENGAGEMENTS 2026'!K2813)</f>
        <v/>
      </c>
      <c r="O2813">
        <f>IF(ISBLANK('ENGAGEMENTS 2026'!B2813),"",'ENGAGEMENTS 2026'!L2813)</f>
        <v/>
      </c>
      <c r="P2813">
        <f>IF(ISBLANK('ENGAGEMENTS 2026'!B2813),"",'ENGAGEMENTS 2026'!J2813)</f>
        <v/>
      </c>
      <c r="Q2813">
        <f>IF($A2813="","",IF(OR($E2813="INFRUCTUEUX",$E2813="ANNULE"),$A2813&amp;"|"&amp;(COUNTIFS($A$2:$A2813,$A2813,$E$2:$E2813,"INFRUCTUEUX")+COUNTIFS($A$2:$A2813,$A2813,$E$2:$E2813,"ANNULE")),""))</f>
        <v/>
      </c>
    </row>
    <row r="2814">
      <c r="A2814">
        <f>IF(ISBLANK('ENGAGEMENTS 2026'!B2814),"",IF('ENGAGEMENTS 2026'!B2814="DTSI","DCT",'ENGAGEMENTS 2026'!B2814))</f>
        <v/>
      </c>
      <c r="B2814">
        <f>IF(ISBLANK('ENGAGEMENTS 2026'!B2814),"",'ENGAGEMENTS 2026'!C2814)</f>
        <v/>
      </c>
      <c r="C2814">
        <f>IF(ISBLANK('ENGAGEMENTS 2026'!B2814),"",'ENGAGEMENTS 2026'!D2814)</f>
        <v/>
      </c>
      <c r="D2814">
        <f>IF(ISBLANK('ENGAGEMENTS 2026'!B2814),"",'ENGAGEMENTS 2026'!F2814)</f>
        <v/>
      </c>
      <c r="E2814">
        <f>IF(ISBLANK('ENGAGEMENTS 2026'!B2814),"",'ENGAGEMENTS 2026'!H2814)</f>
        <v/>
      </c>
      <c r="F2814">
        <f>IF(ISBLANK('ENGAGEMENTS 2026'!B2814),"",'ENGAGEMENTS 2026'!I2814)</f>
        <v/>
      </c>
      <c r="G2814">
        <f>IF(ISBLANK('ENGAGEMENTS 2026'!B2814),"",'ENGAGEMENTS 2026'!L2814)</f>
        <v/>
      </c>
      <c r="H2814">
        <f>IF(ISBLANK('ENGAGEMENTS 2026'!B2814),"",'ENGAGEMENTS 2026'!AE2814)</f>
        <v/>
      </c>
      <c r="I2814">
        <f>IF(ISBLANK('ENGAGEMENTS 2026'!B2814),"",'ENGAGEMENTS 2026'!G2814)</f>
        <v/>
      </c>
      <c r="J2814" s="275">
        <f>IF(ISBLANK('ENGAGEMENTS 2026'!B2814),"",IF(AND(OR($E2814="INFRUCTUEUX",$E2814="ANNULE"),$C2814="AOO-M"),'ENGAGEMENTS 2026'!O2814,IF($H2814="EN COURS DE PREENGAGEMENT",'ENGAGEMENTS 2026'!N2814,IF($H2814="PREENGAGE",IF($E2814="ATTRIBUE",'ENGAGEMENTS 2026'!AD2814,'ENGAGEMENTS 2026'!N2814),'ENGAGEMENTS 2026'!AD2814))))</f>
        <v/>
      </c>
      <c r="K2814" s="604">
        <f>IF(ISBLANK('ENGAGEMENTS 2026'!V2814),"",'ENGAGEMENTS 2026'!V2814)</f>
        <v/>
      </c>
      <c r="L2814" s="276">
        <f>IF($K2814="","",TODAY()-$K2814)</f>
        <v/>
      </c>
      <c r="M2814">
        <f>IF($A2814="","",IF($H2814="ENGAGE","Engagé",IF(AND($H2814="NON ENGAGE",OR($I2814="INFRUCTUEUX",$I2814="ANNULE")),"Clôturé sans suite","En cours")))</f>
        <v/>
      </c>
      <c r="N2814">
        <f>IF(ISBLANK('ENGAGEMENTS 2026'!B2814),"",'ENGAGEMENTS 2026'!K2814)</f>
        <v/>
      </c>
      <c r="O2814">
        <f>IF(ISBLANK('ENGAGEMENTS 2026'!B2814),"",'ENGAGEMENTS 2026'!L2814)</f>
        <v/>
      </c>
      <c r="P2814">
        <f>IF(ISBLANK('ENGAGEMENTS 2026'!B2814),"",'ENGAGEMENTS 2026'!J2814)</f>
        <v/>
      </c>
      <c r="Q2814">
        <f>IF($A2814="","",IF(OR($E2814="INFRUCTUEUX",$E2814="ANNULE"),$A2814&amp;"|"&amp;(COUNTIFS($A$2:$A2814,$A2814,$E$2:$E2814,"INFRUCTUEUX")+COUNTIFS($A$2:$A2814,$A2814,$E$2:$E2814,"ANNULE")),""))</f>
        <v/>
      </c>
    </row>
    <row r="2815">
      <c r="A2815">
        <f>IF(ISBLANK('ENGAGEMENTS 2026'!B2815),"",IF('ENGAGEMENTS 2026'!B2815="DTSI","DCT",'ENGAGEMENTS 2026'!B2815))</f>
        <v/>
      </c>
      <c r="B2815">
        <f>IF(ISBLANK('ENGAGEMENTS 2026'!B2815),"",'ENGAGEMENTS 2026'!C2815)</f>
        <v/>
      </c>
      <c r="C2815">
        <f>IF(ISBLANK('ENGAGEMENTS 2026'!B2815),"",'ENGAGEMENTS 2026'!D2815)</f>
        <v/>
      </c>
      <c r="D2815">
        <f>IF(ISBLANK('ENGAGEMENTS 2026'!B2815),"",'ENGAGEMENTS 2026'!F2815)</f>
        <v/>
      </c>
      <c r="E2815">
        <f>IF(ISBLANK('ENGAGEMENTS 2026'!B2815),"",'ENGAGEMENTS 2026'!H2815)</f>
        <v/>
      </c>
      <c r="F2815">
        <f>IF(ISBLANK('ENGAGEMENTS 2026'!B2815),"",'ENGAGEMENTS 2026'!I2815)</f>
        <v/>
      </c>
      <c r="G2815">
        <f>IF(ISBLANK('ENGAGEMENTS 2026'!B2815),"",'ENGAGEMENTS 2026'!L2815)</f>
        <v/>
      </c>
      <c r="H2815">
        <f>IF(ISBLANK('ENGAGEMENTS 2026'!B2815),"",'ENGAGEMENTS 2026'!AE2815)</f>
        <v/>
      </c>
      <c r="I2815">
        <f>IF(ISBLANK('ENGAGEMENTS 2026'!B2815),"",'ENGAGEMENTS 2026'!G2815)</f>
        <v/>
      </c>
      <c r="J2815" s="275">
        <f>IF(ISBLANK('ENGAGEMENTS 2026'!B2815),"",IF(AND(OR($E2815="INFRUCTUEUX",$E2815="ANNULE"),$C2815="AOO-M"),'ENGAGEMENTS 2026'!O2815,IF($H2815="EN COURS DE PREENGAGEMENT",'ENGAGEMENTS 2026'!N2815,IF($H2815="PREENGAGE",IF($E2815="ATTRIBUE",'ENGAGEMENTS 2026'!AD2815,'ENGAGEMENTS 2026'!N2815),'ENGAGEMENTS 2026'!AD2815))))</f>
        <v/>
      </c>
      <c r="K2815" s="604">
        <f>IF(ISBLANK('ENGAGEMENTS 2026'!V2815),"",'ENGAGEMENTS 2026'!V2815)</f>
        <v/>
      </c>
      <c r="L2815" s="276">
        <f>IF($K2815="","",TODAY()-$K2815)</f>
        <v/>
      </c>
      <c r="M2815">
        <f>IF($A2815="","",IF($H2815="ENGAGE","Engagé",IF(AND($H2815="NON ENGAGE",OR($I2815="INFRUCTUEUX",$I2815="ANNULE")),"Clôturé sans suite","En cours")))</f>
        <v/>
      </c>
      <c r="N2815">
        <f>IF(ISBLANK('ENGAGEMENTS 2026'!B2815),"",'ENGAGEMENTS 2026'!K2815)</f>
        <v/>
      </c>
      <c r="O2815">
        <f>IF(ISBLANK('ENGAGEMENTS 2026'!B2815),"",'ENGAGEMENTS 2026'!L2815)</f>
        <v/>
      </c>
      <c r="P2815">
        <f>IF(ISBLANK('ENGAGEMENTS 2026'!B2815),"",'ENGAGEMENTS 2026'!J2815)</f>
        <v/>
      </c>
      <c r="Q2815">
        <f>IF($A2815="","",IF(OR($E2815="INFRUCTUEUX",$E2815="ANNULE"),$A2815&amp;"|"&amp;(COUNTIFS($A$2:$A2815,$A2815,$E$2:$E2815,"INFRUCTUEUX")+COUNTIFS($A$2:$A2815,$A2815,$E$2:$E2815,"ANNULE")),""))</f>
        <v/>
      </c>
    </row>
    <row r="2816">
      <c r="A2816">
        <f>IF(ISBLANK('ENGAGEMENTS 2026'!B2816),"",IF('ENGAGEMENTS 2026'!B2816="DTSI","DCT",'ENGAGEMENTS 2026'!B2816))</f>
        <v/>
      </c>
      <c r="B2816">
        <f>IF(ISBLANK('ENGAGEMENTS 2026'!B2816),"",'ENGAGEMENTS 2026'!C2816)</f>
        <v/>
      </c>
      <c r="C2816">
        <f>IF(ISBLANK('ENGAGEMENTS 2026'!B2816),"",'ENGAGEMENTS 2026'!D2816)</f>
        <v/>
      </c>
      <c r="D2816">
        <f>IF(ISBLANK('ENGAGEMENTS 2026'!B2816),"",'ENGAGEMENTS 2026'!F2816)</f>
        <v/>
      </c>
      <c r="E2816">
        <f>IF(ISBLANK('ENGAGEMENTS 2026'!B2816),"",'ENGAGEMENTS 2026'!H2816)</f>
        <v/>
      </c>
      <c r="F2816">
        <f>IF(ISBLANK('ENGAGEMENTS 2026'!B2816),"",'ENGAGEMENTS 2026'!I2816)</f>
        <v/>
      </c>
      <c r="G2816">
        <f>IF(ISBLANK('ENGAGEMENTS 2026'!B2816),"",'ENGAGEMENTS 2026'!L2816)</f>
        <v/>
      </c>
      <c r="H2816">
        <f>IF(ISBLANK('ENGAGEMENTS 2026'!B2816),"",'ENGAGEMENTS 2026'!AE2816)</f>
        <v/>
      </c>
      <c r="I2816">
        <f>IF(ISBLANK('ENGAGEMENTS 2026'!B2816),"",'ENGAGEMENTS 2026'!G2816)</f>
        <v/>
      </c>
      <c r="J2816" s="275">
        <f>IF(ISBLANK('ENGAGEMENTS 2026'!B2816),"",IF(AND(OR($E2816="INFRUCTUEUX",$E2816="ANNULE"),$C2816="AOO-M"),'ENGAGEMENTS 2026'!O2816,IF($H2816="EN COURS DE PREENGAGEMENT",'ENGAGEMENTS 2026'!N2816,IF($H2816="PREENGAGE",IF($E2816="ATTRIBUE",'ENGAGEMENTS 2026'!AD2816,'ENGAGEMENTS 2026'!N2816),'ENGAGEMENTS 2026'!AD2816))))</f>
        <v/>
      </c>
      <c r="K2816" s="604">
        <f>IF(ISBLANK('ENGAGEMENTS 2026'!V2816),"",'ENGAGEMENTS 2026'!V2816)</f>
        <v/>
      </c>
      <c r="L2816" s="276">
        <f>IF($K2816="","",TODAY()-$K2816)</f>
        <v/>
      </c>
      <c r="M2816">
        <f>IF($A2816="","",IF($H2816="ENGAGE","Engagé",IF(AND($H2816="NON ENGAGE",OR($I2816="INFRUCTUEUX",$I2816="ANNULE")),"Clôturé sans suite","En cours")))</f>
        <v/>
      </c>
      <c r="N2816">
        <f>IF(ISBLANK('ENGAGEMENTS 2026'!B2816),"",'ENGAGEMENTS 2026'!K2816)</f>
        <v/>
      </c>
      <c r="O2816">
        <f>IF(ISBLANK('ENGAGEMENTS 2026'!B2816),"",'ENGAGEMENTS 2026'!L2816)</f>
        <v/>
      </c>
      <c r="P2816">
        <f>IF(ISBLANK('ENGAGEMENTS 2026'!B2816),"",'ENGAGEMENTS 2026'!J2816)</f>
        <v/>
      </c>
      <c r="Q2816">
        <f>IF($A2816="","",IF(OR($E2816="INFRUCTUEUX",$E2816="ANNULE"),$A2816&amp;"|"&amp;(COUNTIFS($A$2:$A2816,$A2816,$E$2:$E2816,"INFRUCTUEUX")+COUNTIFS($A$2:$A2816,$A2816,$E$2:$E2816,"ANNULE")),""))</f>
        <v/>
      </c>
    </row>
    <row r="2817">
      <c r="A2817">
        <f>IF(ISBLANK('ENGAGEMENTS 2026'!B2817),"",IF('ENGAGEMENTS 2026'!B2817="DTSI","DCT",'ENGAGEMENTS 2026'!B2817))</f>
        <v/>
      </c>
      <c r="B2817">
        <f>IF(ISBLANK('ENGAGEMENTS 2026'!B2817),"",'ENGAGEMENTS 2026'!C2817)</f>
        <v/>
      </c>
      <c r="C2817">
        <f>IF(ISBLANK('ENGAGEMENTS 2026'!B2817),"",'ENGAGEMENTS 2026'!D2817)</f>
        <v/>
      </c>
      <c r="D2817">
        <f>IF(ISBLANK('ENGAGEMENTS 2026'!B2817),"",'ENGAGEMENTS 2026'!F2817)</f>
        <v/>
      </c>
      <c r="E2817">
        <f>IF(ISBLANK('ENGAGEMENTS 2026'!B2817),"",'ENGAGEMENTS 2026'!H2817)</f>
        <v/>
      </c>
      <c r="F2817">
        <f>IF(ISBLANK('ENGAGEMENTS 2026'!B2817),"",'ENGAGEMENTS 2026'!I2817)</f>
        <v/>
      </c>
      <c r="G2817">
        <f>IF(ISBLANK('ENGAGEMENTS 2026'!B2817),"",'ENGAGEMENTS 2026'!L2817)</f>
        <v/>
      </c>
      <c r="H2817">
        <f>IF(ISBLANK('ENGAGEMENTS 2026'!B2817),"",'ENGAGEMENTS 2026'!AE2817)</f>
        <v/>
      </c>
      <c r="I2817">
        <f>IF(ISBLANK('ENGAGEMENTS 2026'!B2817),"",'ENGAGEMENTS 2026'!G2817)</f>
        <v/>
      </c>
      <c r="J2817" s="275">
        <f>IF(ISBLANK('ENGAGEMENTS 2026'!B2817),"",IF(AND(OR($E2817="INFRUCTUEUX",$E2817="ANNULE"),$C2817="AOO-M"),'ENGAGEMENTS 2026'!O2817,IF($H2817="EN COURS DE PREENGAGEMENT",'ENGAGEMENTS 2026'!N2817,IF($H2817="PREENGAGE",IF($E2817="ATTRIBUE",'ENGAGEMENTS 2026'!AD2817,'ENGAGEMENTS 2026'!N2817),'ENGAGEMENTS 2026'!AD2817))))</f>
        <v/>
      </c>
      <c r="K2817" s="604">
        <f>IF(ISBLANK('ENGAGEMENTS 2026'!V2817),"",'ENGAGEMENTS 2026'!V2817)</f>
        <v/>
      </c>
      <c r="L2817" s="276">
        <f>IF($K2817="","",TODAY()-$K2817)</f>
        <v/>
      </c>
      <c r="M2817">
        <f>IF($A2817="","",IF($H2817="ENGAGE","Engagé",IF(AND($H2817="NON ENGAGE",OR($I2817="INFRUCTUEUX",$I2817="ANNULE")),"Clôturé sans suite","En cours")))</f>
        <v/>
      </c>
      <c r="N2817">
        <f>IF(ISBLANK('ENGAGEMENTS 2026'!B2817),"",'ENGAGEMENTS 2026'!K2817)</f>
        <v/>
      </c>
      <c r="O2817">
        <f>IF(ISBLANK('ENGAGEMENTS 2026'!B2817),"",'ENGAGEMENTS 2026'!L2817)</f>
        <v/>
      </c>
      <c r="P2817">
        <f>IF(ISBLANK('ENGAGEMENTS 2026'!B2817),"",'ENGAGEMENTS 2026'!J2817)</f>
        <v/>
      </c>
      <c r="Q2817">
        <f>IF($A2817="","",IF(OR($E2817="INFRUCTUEUX",$E2817="ANNULE"),$A2817&amp;"|"&amp;(COUNTIFS($A$2:$A2817,$A2817,$E$2:$E2817,"INFRUCTUEUX")+COUNTIFS($A$2:$A2817,$A2817,$E$2:$E2817,"ANNULE")),""))</f>
        <v/>
      </c>
    </row>
    <row r="2818">
      <c r="A2818">
        <f>IF(ISBLANK('ENGAGEMENTS 2026'!B2818),"",IF('ENGAGEMENTS 2026'!B2818="DTSI","DCT",'ENGAGEMENTS 2026'!B2818))</f>
        <v/>
      </c>
      <c r="B2818">
        <f>IF(ISBLANK('ENGAGEMENTS 2026'!B2818),"",'ENGAGEMENTS 2026'!C2818)</f>
        <v/>
      </c>
      <c r="C2818">
        <f>IF(ISBLANK('ENGAGEMENTS 2026'!B2818),"",'ENGAGEMENTS 2026'!D2818)</f>
        <v/>
      </c>
      <c r="D2818">
        <f>IF(ISBLANK('ENGAGEMENTS 2026'!B2818),"",'ENGAGEMENTS 2026'!F2818)</f>
        <v/>
      </c>
      <c r="E2818">
        <f>IF(ISBLANK('ENGAGEMENTS 2026'!B2818),"",'ENGAGEMENTS 2026'!H2818)</f>
        <v/>
      </c>
      <c r="F2818">
        <f>IF(ISBLANK('ENGAGEMENTS 2026'!B2818),"",'ENGAGEMENTS 2026'!I2818)</f>
        <v/>
      </c>
      <c r="G2818">
        <f>IF(ISBLANK('ENGAGEMENTS 2026'!B2818),"",'ENGAGEMENTS 2026'!L2818)</f>
        <v/>
      </c>
      <c r="H2818">
        <f>IF(ISBLANK('ENGAGEMENTS 2026'!B2818),"",'ENGAGEMENTS 2026'!AE2818)</f>
        <v/>
      </c>
      <c r="I2818">
        <f>IF(ISBLANK('ENGAGEMENTS 2026'!B2818),"",'ENGAGEMENTS 2026'!G2818)</f>
        <v/>
      </c>
      <c r="J2818" s="275">
        <f>IF(ISBLANK('ENGAGEMENTS 2026'!B2818),"",IF(AND(OR($E2818="INFRUCTUEUX",$E2818="ANNULE"),$C2818="AOO-M"),'ENGAGEMENTS 2026'!O2818,IF($H2818="EN COURS DE PREENGAGEMENT",'ENGAGEMENTS 2026'!N2818,IF($H2818="PREENGAGE",IF($E2818="ATTRIBUE",'ENGAGEMENTS 2026'!AD2818,'ENGAGEMENTS 2026'!N2818),'ENGAGEMENTS 2026'!AD2818))))</f>
        <v/>
      </c>
      <c r="K2818" s="604">
        <f>IF(ISBLANK('ENGAGEMENTS 2026'!V2818),"",'ENGAGEMENTS 2026'!V2818)</f>
        <v/>
      </c>
      <c r="L2818" s="276">
        <f>IF($K2818="","",TODAY()-$K2818)</f>
        <v/>
      </c>
      <c r="M2818">
        <f>IF($A2818="","",IF($H2818="ENGAGE","Engagé",IF(AND($H2818="NON ENGAGE",OR($I2818="INFRUCTUEUX",$I2818="ANNULE")),"Clôturé sans suite","En cours")))</f>
        <v/>
      </c>
      <c r="N2818">
        <f>IF(ISBLANK('ENGAGEMENTS 2026'!B2818),"",'ENGAGEMENTS 2026'!K2818)</f>
        <v/>
      </c>
      <c r="O2818">
        <f>IF(ISBLANK('ENGAGEMENTS 2026'!B2818),"",'ENGAGEMENTS 2026'!L2818)</f>
        <v/>
      </c>
      <c r="P2818">
        <f>IF(ISBLANK('ENGAGEMENTS 2026'!B2818),"",'ENGAGEMENTS 2026'!J2818)</f>
        <v/>
      </c>
      <c r="Q2818">
        <f>IF($A2818="","",IF(OR($E2818="INFRUCTUEUX",$E2818="ANNULE"),$A2818&amp;"|"&amp;(COUNTIFS($A$2:$A2818,$A2818,$E$2:$E2818,"INFRUCTUEUX")+COUNTIFS($A$2:$A2818,$A2818,$E$2:$E2818,"ANNULE")),""))</f>
        <v/>
      </c>
    </row>
    <row r="2819">
      <c r="A2819">
        <f>IF(ISBLANK('ENGAGEMENTS 2026'!B2819),"",IF('ENGAGEMENTS 2026'!B2819="DTSI","DCT",'ENGAGEMENTS 2026'!B2819))</f>
        <v/>
      </c>
      <c r="B2819">
        <f>IF(ISBLANK('ENGAGEMENTS 2026'!B2819),"",'ENGAGEMENTS 2026'!C2819)</f>
        <v/>
      </c>
      <c r="C2819">
        <f>IF(ISBLANK('ENGAGEMENTS 2026'!B2819),"",'ENGAGEMENTS 2026'!D2819)</f>
        <v/>
      </c>
      <c r="D2819">
        <f>IF(ISBLANK('ENGAGEMENTS 2026'!B2819),"",'ENGAGEMENTS 2026'!F2819)</f>
        <v/>
      </c>
      <c r="E2819">
        <f>IF(ISBLANK('ENGAGEMENTS 2026'!B2819),"",'ENGAGEMENTS 2026'!H2819)</f>
        <v/>
      </c>
      <c r="F2819">
        <f>IF(ISBLANK('ENGAGEMENTS 2026'!B2819),"",'ENGAGEMENTS 2026'!I2819)</f>
        <v/>
      </c>
      <c r="G2819">
        <f>IF(ISBLANK('ENGAGEMENTS 2026'!B2819),"",'ENGAGEMENTS 2026'!L2819)</f>
        <v/>
      </c>
      <c r="H2819">
        <f>IF(ISBLANK('ENGAGEMENTS 2026'!B2819),"",'ENGAGEMENTS 2026'!AE2819)</f>
        <v/>
      </c>
      <c r="I2819">
        <f>IF(ISBLANK('ENGAGEMENTS 2026'!B2819),"",'ENGAGEMENTS 2026'!G2819)</f>
        <v/>
      </c>
      <c r="J2819" s="275">
        <f>IF(ISBLANK('ENGAGEMENTS 2026'!B2819),"",IF(AND(OR($E2819="INFRUCTUEUX",$E2819="ANNULE"),$C2819="AOO-M"),'ENGAGEMENTS 2026'!O2819,IF($H2819="EN COURS DE PREENGAGEMENT",'ENGAGEMENTS 2026'!N2819,IF($H2819="PREENGAGE",IF($E2819="ATTRIBUE",'ENGAGEMENTS 2026'!AD2819,'ENGAGEMENTS 2026'!N2819),'ENGAGEMENTS 2026'!AD2819))))</f>
        <v/>
      </c>
      <c r="K2819" s="604">
        <f>IF(ISBLANK('ENGAGEMENTS 2026'!V2819),"",'ENGAGEMENTS 2026'!V2819)</f>
        <v/>
      </c>
      <c r="L2819" s="276">
        <f>IF($K2819="","",TODAY()-$K2819)</f>
        <v/>
      </c>
      <c r="M2819">
        <f>IF($A2819="","",IF($H2819="ENGAGE","Engagé",IF(AND($H2819="NON ENGAGE",OR($I2819="INFRUCTUEUX",$I2819="ANNULE")),"Clôturé sans suite","En cours")))</f>
        <v/>
      </c>
      <c r="N2819">
        <f>IF(ISBLANK('ENGAGEMENTS 2026'!B2819),"",'ENGAGEMENTS 2026'!K2819)</f>
        <v/>
      </c>
      <c r="O2819">
        <f>IF(ISBLANK('ENGAGEMENTS 2026'!B2819),"",'ENGAGEMENTS 2026'!L2819)</f>
        <v/>
      </c>
      <c r="P2819">
        <f>IF(ISBLANK('ENGAGEMENTS 2026'!B2819),"",'ENGAGEMENTS 2026'!J2819)</f>
        <v/>
      </c>
      <c r="Q2819">
        <f>IF($A2819="","",IF(OR($E2819="INFRUCTUEUX",$E2819="ANNULE"),$A2819&amp;"|"&amp;(COUNTIFS($A$2:$A2819,$A2819,$E$2:$E2819,"INFRUCTUEUX")+COUNTIFS($A$2:$A2819,$A2819,$E$2:$E2819,"ANNULE")),""))</f>
        <v/>
      </c>
    </row>
    <row r="2820">
      <c r="A2820">
        <f>IF(ISBLANK('ENGAGEMENTS 2026'!B2820),"",IF('ENGAGEMENTS 2026'!B2820="DTSI","DCT",'ENGAGEMENTS 2026'!B2820))</f>
        <v/>
      </c>
      <c r="B2820">
        <f>IF(ISBLANK('ENGAGEMENTS 2026'!B2820),"",'ENGAGEMENTS 2026'!C2820)</f>
        <v/>
      </c>
      <c r="C2820">
        <f>IF(ISBLANK('ENGAGEMENTS 2026'!B2820),"",'ENGAGEMENTS 2026'!D2820)</f>
        <v/>
      </c>
      <c r="D2820">
        <f>IF(ISBLANK('ENGAGEMENTS 2026'!B2820),"",'ENGAGEMENTS 2026'!F2820)</f>
        <v/>
      </c>
      <c r="E2820">
        <f>IF(ISBLANK('ENGAGEMENTS 2026'!B2820),"",'ENGAGEMENTS 2026'!H2820)</f>
        <v/>
      </c>
      <c r="F2820">
        <f>IF(ISBLANK('ENGAGEMENTS 2026'!B2820),"",'ENGAGEMENTS 2026'!I2820)</f>
        <v/>
      </c>
      <c r="G2820">
        <f>IF(ISBLANK('ENGAGEMENTS 2026'!B2820),"",'ENGAGEMENTS 2026'!L2820)</f>
        <v/>
      </c>
      <c r="H2820">
        <f>IF(ISBLANK('ENGAGEMENTS 2026'!B2820),"",'ENGAGEMENTS 2026'!AE2820)</f>
        <v/>
      </c>
      <c r="I2820">
        <f>IF(ISBLANK('ENGAGEMENTS 2026'!B2820),"",'ENGAGEMENTS 2026'!G2820)</f>
        <v/>
      </c>
      <c r="J2820" s="275">
        <f>IF(ISBLANK('ENGAGEMENTS 2026'!B2820),"",IF(AND(OR($E2820="INFRUCTUEUX",$E2820="ANNULE"),$C2820="AOO-M"),'ENGAGEMENTS 2026'!O2820,IF($H2820="EN COURS DE PREENGAGEMENT",'ENGAGEMENTS 2026'!N2820,IF($H2820="PREENGAGE",IF($E2820="ATTRIBUE",'ENGAGEMENTS 2026'!AD2820,'ENGAGEMENTS 2026'!N2820),'ENGAGEMENTS 2026'!AD2820))))</f>
        <v/>
      </c>
      <c r="K2820" s="604">
        <f>IF(ISBLANK('ENGAGEMENTS 2026'!V2820),"",'ENGAGEMENTS 2026'!V2820)</f>
        <v/>
      </c>
      <c r="L2820" s="276">
        <f>IF($K2820="","",TODAY()-$K2820)</f>
        <v/>
      </c>
      <c r="M2820">
        <f>IF($A2820="","",IF($H2820="ENGAGE","Engagé",IF(AND($H2820="NON ENGAGE",OR($I2820="INFRUCTUEUX",$I2820="ANNULE")),"Clôturé sans suite","En cours")))</f>
        <v/>
      </c>
      <c r="N2820">
        <f>IF(ISBLANK('ENGAGEMENTS 2026'!B2820),"",'ENGAGEMENTS 2026'!K2820)</f>
        <v/>
      </c>
      <c r="O2820">
        <f>IF(ISBLANK('ENGAGEMENTS 2026'!B2820),"",'ENGAGEMENTS 2026'!L2820)</f>
        <v/>
      </c>
      <c r="P2820">
        <f>IF(ISBLANK('ENGAGEMENTS 2026'!B2820),"",'ENGAGEMENTS 2026'!J2820)</f>
        <v/>
      </c>
      <c r="Q2820">
        <f>IF($A2820="","",IF(OR($E2820="INFRUCTUEUX",$E2820="ANNULE"),$A2820&amp;"|"&amp;(COUNTIFS($A$2:$A2820,$A2820,$E$2:$E2820,"INFRUCTUEUX")+COUNTIFS($A$2:$A2820,$A2820,$E$2:$E2820,"ANNULE")),""))</f>
        <v/>
      </c>
    </row>
    <row r="2821">
      <c r="A2821">
        <f>IF(ISBLANK('ENGAGEMENTS 2026'!B2821),"",IF('ENGAGEMENTS 2026'!B2821="DTSI","DCT",'ENGAGEMENTS 2026'!B2821))</f>
        <v/>
      </c>
      <c r="B2821">
        <f>IF(ISBLANK('ENGAGEMENTS 2026'!B2821),"",'ENGAGEMENTS 2026'!C2821)</f>
        <v/>
      </c>
      <c r="C2821">
        <f>IF(ISBLANK('ENGAGEMENTS 2026'!B2821),"",'ENGAGEMENTS 2026'!D2821)</f>
        <v/>
      </c>
      <c r="D2821">
        <f>IF(ISBLANK('ENGAGEMENTS 2026'!B2821),"",'ENGAGEMENTS 2026'!F2821)</f>
        <v/>
      </c>
      <c r="E2821">
        <f>IF(ISBLANK('ENGAGEMENTS 2026'!B2821),"",'ENGAGEMENTS 2026'!H2821)</f>
        <v/>
      </c>
      <c r="F2821">
        <f>IF(ISBLANK('ENGAGEMENTS 2026'!B2821),"",'ENGAGEMENTS 2026'!I2821)</f>
        <v/>
      </c>
      <c r="G2821">
        <f>IF(ISBLANK('ENGAGEMENTS 2026'!B2821),"",'ENGAGEMENTS 2026'!L2821)</f>
        <v/>
      </c>
      <c r="H2821">
        <f>IF(ISBLANK('ENGAGEMENTS 2026'!B2821),"",'ENGAGEMENTS 2026'!AE2821)</f>
        <v/>
      </c>
      <c r="I2821">
        <f>IF(ISBLANK('ENGAGEMENTS 2026'!B2821),"",'ENGAGEMENTS 2026'!G2821)</f>
        <v/>
      </c>
      <c r="J2821" s="275">
        <f>IF(ISBLANK('ENGAGEMENTS 2026'!B2821),"",IF(AND(OR($E2821="INFRUCTUEUX",$E2821="ANNULE"),$C2821="AOO-M"),'ENGAGEMENTS 2026'!O2821,IF($H2821="EN COURS DE PREENGAGEMENT",'ENGAGEMENTS 2026'!N2821,IF($H2821="PREENGAGE",IF($E2821="ATTRIBUE",'ENGAGEMENTS 2026'!AD2821,'ENGAGEMENTS 2026'!N2821),'ENGAGEMENTS 2026'!AD2821))))</f>
        <v/>
      </c>
      <c r="K2821" s="604">
        <f>IF(ISBLANK('ENGAGEMENTS 2026'!V2821),"",'ENGAGEMENTS 2026'!V2821)</f>
        <v/>
      </c>
      <c r="L2821" s="276">
        <f>IF($K2821="","",TODAY()-$K2821)</f>
        <v/>
      </c>
      <c r="M2821">
        <f>IF($A2821="","",IF($H2821="ENGAGE","Engagé",IF(AND($H2821="NON ENGAGE",OR($I2821="INFRUCTUEUX",$I2821="ANNULE")),"Clôturé sans suite","En cours")))</f>
        <v/>
      </c>
      <c r="N2821">
        <f>IF(ISBLANK('ENGAGEMENTS 2026'!B2821),"",'ENGAGEMENTS 2026'!K2821)</f>
        <v/>
      </c>
      <c r="O2821">
        <f>IF(ISBLANK('ENGAGEMENTS 2026'!B2821),"",'ENGAGEMENTS 2026'!L2821)</f>
        <v/>
      </c>
      <c r="P2821">
        <f>IF(ISBLANK('ENGAGEMENTS 2026'!B2821),"",'ENGAGEMENTS 2026'!J2821)</f>
        <v/>
      </c>
      <c r="Q2821">
        <f>IF($A2821="","",IF(OR($E2821="INFRUCTUEUX",$E2821="ANNULE"),$A2821&amp;"|"&amp;(COUNTIFS($A$2:$A2821,$A2821,$E$2:$E2821,"INFRUCTUEUX")+COUNTIFS($A$2:$A2821,$A2821,$E$2:$E2821,"ANNULE")),""))</f>
        <v/>
      </c>
    </row>
    <row r="2822">
      <c r="A2822">
        <f>IF(ISBLANK('ENGAGEMENTS 2026'!B2822),"",IF('ENGAGEMENTS 2026'!B2822="DTSI","DCT",'ENGAGEMENTS 2026'!B2822))</f>
        <v/>
      </c>
      <c r="B2822">
        <f>IF(ISBLANK('ENGAGEMENTS 2026'!B2822),"",'ENGAGEMENTS 2026'!C2822)</f>
        <v/>
      </c>
      <c r="C2822">
        <f>IF(ISBLANK('ENGAGEMENTS 2026'!B2822),"",'ENGAGEMENTS 2026'!D2822)</f>
        <v/>
      </c>
      <c r="D2822">
        <f>IF(ISBLANK('ENGAGEMENTS 2026'!B2822),"",'ENGAGEMENTS 2026'!F2822)</f>
        <v/>
      </c>
      <c r="E2822">
        <f>IF(ISBLANK('ENGAGEMENTS 2026'!B2822),"",'ENGAGEMENTS 2026'!H2822)</f>
        <v/>
      </c>
      <c r="F2822">
        <f>IF(ISBLANK('ENGAGEMENTS 2026'!B2822),"",'ENGAGEMENTS 2026'!I2822)</f>
        <v/>
      </c>
      <c r="G2822">
        <f>IF(ISBLANK('ENGAGEMENTS 2026'!B2822),"",'ENGAGEMENTS 2026'!L2822)</f>
        <v/>
      </c>
      <c r="H2822">
        <f>IF(ISBLANK('ENGAGEMENTS 2026'!B2822),"",'ENGAGEMENTS 2026'!AE2822)</f>
        <v/>
      </c>
      <c r="I2822">
        <f>IF(ISBLANK('ENGAGEMENTS 2026'!B2822),"",'ENGAGEMENTS 2026'!G2822)</f>
        <v/>
      </c>
      <c r="J2822" s="275">
        <f>IF(ISBLANK('ENGAGEMENTS 2026'!B2822),"",IF(AND(OR($E2822="INFRUCTUEUX",$E2822="ANNULE"),$C2822="AOO-M"),'ENGAGEMENTS 2026'!O2822,IF($H2822="EN COURS DE PREENGAGEMENT",'ENGAGEMENTS 2026'!N2822,IF($H2822="PREENGAGE",IF($E2822="ATTRIBUE",'ENGAGEMENTS 2026'!AD2822,'ENGAGEMENTS 2026'!N2822),'ENGAGEMENTS 2026'!AD2822))))</f>
        <v/>
      </c>
      <c r="K2822" s="604">
        <f>IF(ISBLANK('ENGAGEMENTS 2026'!V2822),"",'ENGAGEMENTS 2026'!V2822)</f>
        <v/>
      </c>
      <c r="L2822" s="276">
        <f>IF($K2822="","",TODAY()-$K2822)</f>
        <v/>
      </c>
      <c r="M2822">
        <f>IF($A2822="","",IF($H2822="ENGAGE","Engagé",IF(AND($H2822="NON ENGAGE",OR($I2822="INFRUCTUEUX",$I2822="ANNULE")),"Clôturé sans suite","En cours")))</f>
        <v/>
      </c>
      <c r="N2822">
        <f>IF(ISBLANK('ENGAGEMENTS 2026'!B2822),"",'ENGAGEMENTS 2026'!K2822)</f>
        <v/>
      </c>
      <c r="O2822">
        <f>IF(ISBLANK('ENGAGEMENTS 2026'!B2822),"",'ENGAGEMENTS 2026'!L2822)</f>
        <v/>
      </c>
      <c r="P2822">
        <f>IF(ISBLANK('ENGAGEMENTS 2026'!B2822),"",'ENGAGEMENTS 2026'!J2822)</f>
        <v/>
      </c>
      <c r="Q2822">
        <f>IF($A2822="","",IF(OR($E2822="INFRUCTUEUX",$E2822="ANNULE"),$A2822&amp;"|"&amp;(COUNTIFS($A$2:$A2822,$A2822,$E$2:$E2822,"INFRUCTUEUX")+COUNTIFS($A$2:$A2822,$A2822,$E$2:$E2822,"ANNULE")),""))</f>
        <v/>
      </c>
    </row>
    <row r="2823">
      <c r="A2823">
        <f>IF(ISBLANK('ENGAGEMENTS 2026'!B2823),"",IF('ENGAGEMENTS 2026'!B2823="DTSI","DCT",'ENGAGEMENTS 2026'!B2823))</f>
        <v/>
      </c>
      <c r="B2823">
        <f>IF(ISBLANK('ENGAGEMENTS 2026'!B2823),"",'ENGAGEMENTS 2026'!C2823)</f>
        <v/>
      </c>
      <c r="C2823">
        <f>IF(ISBLANK('ENGAGEMENTS 2026'!B2823),"",'ENGAGEMENTS 2026'!D2823)</f>
        <v/>
      </c>
      <c r="D2823">
        <f>IF(ISBLANK('ENGAGEMENTS 2026'!B2823),"",'ENGAGEMENTS 2026'!F2823)</f>
        <v/>
      </c>
      <c r="E2823">
        <f>IF(ISBLANK('ENGAGEMENTS 2026'!B2823),"",'ENGAGEMENTS 2026'!H2823)</f>
        <v/>
      </c>
      <c r="F2823">
        <f>IF(ISBLANK('ENGAGEMENTS 2026'!B2823),"",'ENGAGEMENTS 2026'!I2823)</f>
        <v/>
      </c>
      <c r="G2823">
        <f>IF(ISBLANK('ENGAGEMENTS 2026'!B2823),"",'ENGAGEMENTS 2026'!L2823)</f>
        <v/>
      </c>
      <c r="H2823">
        <f>IF(ISBLANK('ENGAGEMENTS 2026'!B2823),"",'ENGAGEMENTS 2026'!AE2823)</f>
        <v/>
      </c>
      <c r="I2823">
        <f>IF(ISBLANK('ENGAGEMENTS 2026'!B2823),"",'ENGAGEMENTS 2026'!G2823)</f>
        <v/>
      </c>
      <c r="J2823" s="275">
        <f>IF(ISBLANK('ENGAGEMENTS 2026'!B2823),"",IF(AND(OR($E2823="INFRUCTUEUX",$E2823="ANNULE"),$C2823="AOO-M"),'ENGAGEMENTS 2026'!O2823,IF($H2823="EN COURS DE PREENGAGEMENT",'ENGAGEMENTS 2026'!N2823,IF($H2823="PREENGAGE",IF($E2823="ATTRIBUE",'ENGAGEMENTS 2026'!AD2823,'ENGAGEMENTS 2026'!N2823),'ENGAGEMENTS 2026'!AD2823))))</f>
        <v/>
      </c>
      <c r="K2823" s="604">
        <f>IF(ISBLANK('ENGAGEMENTS 2026'!V2823),"",'ENGAGEMENTS 2026'!V2823)</f>
        <v/>
      </c>
      <c r="L2823" s="276">
        <f>IF($K2823="","",TODAY()-$K2823)</f>
        <v/>
      </c>
      <c r="M2823">
        <f>IF($A2823="","",IF($H2823="ENGAGE","Engagé",IF(AND($H2823="NON ENGAGE",OR($I2823="INFRUCTUEUX",$I2823="ANNULE")),"Clôturé sans suite","En cours")))</f>
        <v/>
      </c>
      <c r="N2823">
        <f>IF(ISBLANK('ENGAGEMENTS 2026'!B2823),"",'ENGAGEMENTS 2026'!K2823)</f>
        <v/>
      </c>
      <c r="O2823">
        <f>IF(ISBLANK('ENGAGEMENTS 2026'!B2823),"",'ENGAGEMENTS 2026'!L2823)</f>
        <v/>
      </c>
      <c r="P2823">
        <f>IF(ISBLANK('ENGAGEMENTS 2026'!B2823),"",'ENGAGEMENTS 2026'!J2823)</f>
        <v/>
      </c>
      <c r="Q2823">
        <f>IF($A2823="","",IF(OR($E2823="INFRUCTUEUX",$E2823="ANNULE"),$A2823&amp;"|"&amp;(COUNTIFS($A$2:$A2823,$A2823,$E$2:$E2823,"INFRUCTUEUX")+COUNTIFS($A$2:$A2823,$A2823,$E$2:$E2823,"ANNULE")),""))</f>
        <v/>
      </c>
    </row>
    <row r="2824">
      <c r="A2824">
        <f>IF(ISBLANK('ENGAGEMENTS 2026'!B2824),"",IF('ENGAGEMENTS 2026'!B2824="DTSI","DCT",'ENGAGEMENTS 2026'!B2824))</f>
        <v/>
      </c>
      <c r="B2824">
        <f>IF(ISBLANK('ENGAGEMENTS 2026'!B2824),"",'ENGAGEMENTS 2026'!C2824)</f>
        <v/>
      </c>
      <c r="C2824">
        <f>IF(ISBLANK('ENGAGEMENTS 2026'!B2824),"",'ENGAGEMENTS 2026'!D2824)</f>
        <v/>
      </c>
      <c r="D2824">
        <f>IF(ISBLANK('ENGAGEMENTS 2026'!B2824),"",'ENGAGEMENTS 2026'!F2824)</f>
        <v/>
      </c>
      <c r="E2824">
        <f>IF(ISBLANK('ENGAGEMENTS 2026'!B2824),"",'ENGAGEMENTS 2026'!H2824)</f>
        <v/>
      </c>
      <c r="F2824">
        <f>IF(ISBLANK('ENGAGEMENTS 2026'!B2824),"",'ENGAGEMENTS 2026'!I2824)</f>
        <v/>
      </c>
      <c r="G2824">
        <f>IF(ISBLANK('ENGAGEMENTS 2026'!B2824),"",'ENGAGEMENTS 2026'!L2824)</f>
        <v/>
      </c>
      <c r="H2824">
        <f>IF(ISBLANK('ENGAGEMENTS 2026'!B2824),"",'ENGAGEMENTS 2026'!AE2824)</f>
        <v/>
      </c>
      <c r="I2824">
        <f>IF(ISBLANK('ENGAGEMENTS 2026'!B2824),"",'ENGAGEMENTS 2026'!G2824)</f>
        <v/>
      </c>
      <c r="J2824" s="275">
        <f>IF(ISBLANK('ENGAGEMENTS 2026'!B2824),"",IF(AND(OR($E2824="INFRUCTUEUX",$E2824="ANNULE"),$C2824="AOO-M"),'ENGAGEMENTS 2026'!O2824,IF($H2824="EN COURS DE PREENGAGEMENT",'ENGAGEMENTS 2026'!N2824,IF($H2824="PREENGAGE",IF($E2824="ATTRIBUE",'ENGAGEMENTS 2026'!AD2824,'ENGAGEMENTS 2026'!N2824),'ENGAGEMENTS 2026'!AD2824))))</f>
        <v/>
      </c>
      <c r="K2824" s="604">
        <f>IF(ISBLANK('ENGAGEMENTS 2026'!V2824),"",'ENGAGEMENTS 2026'!V2824)</f>
        <v/>
      </c>
      <c r="L2824" s="276">
        <f>IF($K2824="","",TODAY()-$K2824)</f>
        <v/>
      </c>
      <c r="M2824">
        <f>IF($A2824="","",IF($H2824="ENGAGE","Engagé",IF(AND($H2824="NON ENGAGE",OR($I2824="INFRUCTUEUX",$I2824="ANNULE")),"Clôturé sans suite","En cours")))</f>
        <v/>
      </c>
      <c r="N2824">
        <f>IF(ISBLANK('ENGAGEMENTS 2026'!B2824),"",'ENGAGEMENTS 2026'!K2824)</f>
        <v/>
      </c>
      <c r="O2824">
        <f>IF(ISBLANK('ENGAGEMENTS 2026'!B2824),"",'ENGAGEMENTS 2026'!L2824)</f>
        <v/>
      </c>
      <c r="P2824">
        <f>IF(ISBLANK('ENGAGEMENTS 2026'!B2824),"",'ENGAGEMENTS 2026'!J2824)</f>
        <v/>
      </c>
      <c r="Q2824">
        <f>IF($A2824="","",IF(OR($E2824="INFRUCTUEUX",$E2824="ANNULE"),$A2824&amp;"|"&amp;(COUNTIFS($A$2:$A2824,$A2824,$E$2:$E2824,"INFRUCTUEUX")+COUNTIFS($A$2:$A2824,$A2824,$E$2:$E2824,"ANNULE")),""))</f>
        <v/>
      </c>
    </row>
    <row r="2825">
      <c r="A2825">
        <f>IF(ISBLANK('ENGAGEMENTS 2026'!B2825),"",IF('ENGAGEMENTS 2026'!B2825="DTSI","DCT",'ENGAGEMENTS 2026'!B2825))</f>
        <v/>
      </c>
      <c r="B2825">
        <f>IF(ISBLANK('ENGAGEMENTS 2026'!B2825),"",'ENGAGEMENTS 2026'!C2825)</f>
        <v/>
      </c>
      <c r="C2825">
        <f>IF(ISBLANK('ENGAGEMENTS 2026'!B2825),"",'ENGAGEMENTS 2026'!D2825)</f>
        <v/>
      </c>
      <c r="D2825">
        <f>IF(ISBLANK('ENGAGEMENTS 2026'!B2825),"",'ENGAGEMENTS 2026'!F2825)</f>
        <v/>
      </c>
      <c r="E2825">
        <f>IF(ISBLANK('ENGAGEMENTS 2026'!B2825),"",'ENGAGEMENTS 2026'!H2825)</f>
        <v/>
      </c>
      <c r="F2825">
        <f>IF(ISBLANK('ENGAGEMENTS 2026'!B2825),"",'ENGAGEMENTS 2026'!I2825)</f>
        <v/>
      </c>
      <c r="G2825">
        <f>IF(ISBLANK('ENGAGEMENTS 2026'!B2825),"",'ENGAGEMENTS 2026'!L2825)</f>
        <v/>
      </c>
      <c r="H2825">
        <f>IF(ISBLANK('ENGAGEMENTS 2026'!B2825),"",'ENGAGEMENTS 2026'!AE2825)</f>
        <v/>
      </c>
      <c r="I2825">
        <f>IF(ISBLANK('ENGAGEMENTS 2026'!B2825),"",'ENGAGEMENTS 2026'!G2825)</f>
        <v/>
      </c>
      <c r="J2825" s="275">
        <f>IF(ISBLANK('ENGAGEMENTS 2026'!B2825),"",IF(AND(OR($E2825="INFRUCTUEUX",$E2825="ANNULE"),$C2825="AOO-M"),'ENGAGEMENTS 2026'!O2825,IF($H2825="EN COURS DE PREENGAGEMENT",'ENGAGEMENTS 2026'!N2825,IF($H2825="PREENGAGE",IF($E2825="ATTRIBUE",'ENGAGEMENTS 2026'!AD2825,'ENGAGEMENTS 2026'!N2825),'ENGAGEMENTS 2026'!AD2825))))</f>
        <v/>
      </c>
      <c r="K2825" s="604">
        <f>IF(ISBLANK('ENGAGEMENTS 2026'!V2825),"",'ENGAGEMENTS 2026'!V2825)</f>
        <v/>
      </c>
      <c r="L2825" s="276">
        <f>IF($K2825="","",TODAY()-$K2825)</f>
        <v/>
      </c>
      <c r="M2825">
        <f>IF($A2825="","",IF($H2825="ENGAGE","Engagé",IF(AND($H2825="NON ENGAGE",OR($I2825="INFRUCTUEUX",$I2825="ANNULE")),"Clôturé sans suite","En cours")))</f>
        <v/>
      </c>
      <c r="N2825">
        <f>IF(ISBLANK('ENGAGEMENTS 2026'!B2825),"",'ENGAGEMENTS 2026'!K2825)</f>
        <v/>
      </c>
      <c r="O2825">
        <f>IF(ISBLANK('ENGAGEMENTS 2026'!B2825),"",'ENGAGEMENTS 2026'!L2825)</f>
        <v/>
      </c>
      <c r="P2825">
        <f>IF(ISBLANK('ENGAGEMENTS 2026'!B2825),"",'ENGAGEMENTS 2026'!J2825)</f>
        <v/>
      </c>
      <c r="Q2825">
        <f>IF($A2825="","",IF(OR($E2825="INFRUCTUEUX",$E2825="ANNULE"),$A2825&amp;"|"&amp;(COUNTIFS($A$2:$A2825,$A2825,$E$2:$E2825,"INFRUCTUEUX")+COUNTIFS($A$2:$A2825,$A2825,$E$2:$E2825,"ANNULE")),""))</f>
        <v/>
      </c>
    </row>
    <row r="2826">
      <c r="A2826">
        <f>IF(ISBLANK('ENGAGEMENTS 2026'!B2826),"",IF('ENGAGEMENTS 2026'!B2826="DTSI","DCT",'ENGAGEMENTS 2026'!B2826))</f>
        <v/>
      </c>
      <c r="B2826">
        <f>IF(ISBLANK('ENGAGEMENTS 2026'!B2826),"",'ENGAGEMENTS 2026'!C2826)</f>
        <v/>
      </c>
      <c r="C2826">
        <f>IF(ISBLANK('ENGAGEMENTS 2026'!B2826),"",'ENGAGEMENTS 2026'!D2826)</f>
        <v/>
      </c>
      <c r="D2826">
        <f>IF(ISBLANK('ENGAGEMENTS 2026'!B2826),"",'ENGAGEMENTS 2026'!F2826)</f>
        <v/>
      </c>
      <c r="E2826">
        <f>IF(ISBLANK('ENGAGEMENTS 2026'!B2826),"",'ENGAGEMENTS 2026'!H2826)</f>
        <v/>
      </c>
      <c r="F2826">
        <f>IF(ISBLANK('ENGAGEMENTS 2026'!B2826),"",'ENGAGEMENTS 2026'!I2826)</f>
        <v/>
      </c>
      <c r="G2826">
        <f>IF(ISBLANK('ENGAGEMENTS 2026'!B2826),"",'ENGAGEMENTS 2026'!L2826)</f>
        <v/>
      </c>
      <c r="H2826">
        <f>IF(ISBLANK('ENGAGEMENTS 2026'!B2826),"",'ENGAGEMENTS 2026'!AE2826)</f>
        <v/>
      </c>
      <c r="I2826">
        <f>IF(ISBLANK('ENGAGEMENTS 2026'!B2826),"",'ENGAGEMENTS 2026'!G2826)</f>
        <v/>
      </c>
      <c r="J2826" s="275">
        <f>IF(ISBLANK('ENGAGEMENTS 2026'!B2826),"",IF(AND(OR($E2826="INFRUCTUEUX",$E2826="ANNULE"),$C2826="AOO-M"),'ENGAGEMENTS 2026'!O2826,IF($H2826="EN COURS DE PREENGAGEMENT",'ENGAGEMENTS 2026'!N2826,IF($H2826="PREENGAGE",IF($E2826="ATTRIBUE",'ENGAGEMENTS 2026'!AD2826,'ENGAGEMENTS 2026'!N2826),'ENGAGEMENTS 2026'!AD2826))))</f>
        <v/>
      </c>
      <c r="K2826" s="604">
        <f>IF(ISBLANK('ENGAGEMENTS 2026'!V2826),"",'ENGAGEMENTS 2026'!V2826)</f>
        <v/>
      </c>
      <c r="L2826" s="276">
        <f>IF($K2826="","",TODAY()-$K2826)</f>
        <v/>
      </c>
      <c r="M2826">
        <f>IF($A2826="","",IF($H2826="ENGAGE","Engagé",IF(AND($H2826="NON ENGAGE",OR($I2826="INFRUCTUEUX",$I2826="ANNULE")),"Clôturé sans suite","En cours")))</f>
        <v/>
      </c>
      <c r="N2826">
        <f>IF(ISBLANK('ENGAGEMENTS 2026'!B2826),"",'ENGAGEMENTS 2026'!K2826)</f>
        <v/>
      </c>
      <c r="O2826">
        <f>IF(ISBLANK('ENGAGEMENTS 2026'!B2826),"",'ENGAGEMENTS 2026'!L2826)</f>
        <v/>
      </c>
      <c r="P2826">
        <f>IF(ISBLANK('ENGAGEMENTS 2026'!B2826),"",'ENGAGEMENTS 2026'!J2826)</f>
        <v/>
      </c>
      <c r="Q2826">
        <f>IF($A2826="","",IF(OR($E2826="INFRUCTUEUX",$E2826="ANNULE"),$A2826&amp;"|"&amp;(COUNTIFS($A$2:$A2826,$A2826,$E$2:$E2826,"INFRUCTUEUX")+COUNTIFS($A$2:$A2826,$A2826,$E$2:$E2826,"ANNULE")),""))</f>
        <v/>
      </c>
    </row>
    <row r="2827">
      <c r="A2827">
        <f>IF(ISBLANK('ENGAGEMENTS 2026'!B2827),"",IF('ENGAGEMENTS 2026'!B2827="DTSI","DCT",'ENGAGEMENTS 2026'!B2827))</f>
        <v/>
      </c>
      <c r="B2827">
        <f>IF(ISBLANK('ENGAGEMENTS 2026'!B2827),"",'ENGAGEMENTS 2026'!C2827)</f>
        <v/>
      </c>
      <c r="C2827">
        <f>IF(ISBLANK('ENGAGEMENTS 2026'!B2827),"",'ENGAGEMENTS 2026'!D2827)</f>
        <v/>
      </c>
      <c r="D2827">
        <f>IF(ISBLANK('ENGAGEMENTS 2026'!B2827),"",'ENGAGEMENTS 2026'!F2827)</f>
        <v/>
      </c>
      <c r="E2827">
        <f>IF(ISBLANK('ENGAGEMENTS 2026'!B2827),"",'ENGAGEMENTS 2026'!H2827)</f>
        <v/>
      </c>
      <c r="F2827">
        <f>IF(ISBLANK('ENGAGEMENTS 2026'!B2827),"",'ENGAGEMENTS 2026'!I2827)</f>
        <v/>
      </c>
      <c r="G2827">
        <f>IF(ISBLANK('ENGAGEMENTS 2026'!B2827),"",'ENGAGEMENTS 2026'!L2827)</f>
        <v/>
      </c>
      <c r="H2827">
        <f>IF(ISBLANK('ENGAGEMENTS 2026'!B2827),"",'ENGAGEMENTS 2026'!AE2827)</f>
        <v/>
      </c>
      <c r="I2827">
        <f>IF(ISBLANK('ENGAGEMENTS 2026'!B2827),"",'ENGAGEMENTS 2026'!G2827)</f>
        <v/>
      </c>
      <c r="J2827" s="275">
        <f>IF(ISBLANK('ENGAGEMENTS 2026'!B2827),"",IF(AND(OR($E2827="INFRUCTUEUX",$E2827="ANNULE"),$C2827="AOO-M"),'ENGAGEMENTS 2026'!O2827,IF($H2827="EN COURS DE PREENGAGEMENT",'ENGAGEMENTS 2026'!N2827,IF($H2827="PREENGAGE",IF($E2827="ATTRIBUE",'ENGAGEMENTS 2026'!AD2827,'ENGAGEMENTS 2026'!N2827),'ENGAGEMENTS 2026'!AD2827))))</f>
        <v/>
      </c>
      <c r="K2827" s="604">
        <f>IF(ISBLANK('ENGAGEMENTS 2026'!V2827),"",'ENGAGEMENTS 2026'!V2827)</f>
        <v/>
      </c>
      <c r="L2827" s="276">
        <f>IF($K2827="","",TODAY()-$K2827)</f>
        <v/>
      </c>
      <c r="M2827">
        <f>IF($A2827="","",IF($H2827="ENGAGE","Engagé",IF(AND($H2827="NON ENGAGE",OR($I2827="INFRUCTUEUX",$I2827="ANNULE")),"Clôturé sans suite","En cours")))</f>
        <v/>
      </c>
      <c r="N2827">
        <f>IF(ISBLANK('ENGAGEMENTS 2026'!B2827),"",'ENGAGEMENTS 2026'!K2827)</f>
        <v/>
      </c>
      <c r="O2827">
        <f>IF(ISBLANK('ENGAGEMENTS 2026'!B2827),"",'ENGAGEMENTS 2026'!L2827)</f>
        <v/>
      </c>
      <c r="P2827">
        <f>IF(ISBLANK('ENGAGEMENTS 2026'!B2827),"",'ENGAGEMENTS 2026'!J2827)</f>
        <v/>
      </c>
      <c r="Q2827">
        <f>IF($A2827="","",IF(OR($E2827="INFRUCTUEUX",$E2827="ANNULE"),$A2827&amp;"|"&amp;(COUNTIFS($A$2:$A2827,$A2827,$E$2:$E2827,"INFRUCTUEUX")+COUNTIFS($A$2:$A2827,$A2827,$E$2:$E2827,"ANNULE")),""))</f>
        <v/>
      </c>
    </row>
    <row r="2828">
      <c r="A2828">
        <f>IF(ISBLANK('ENGAGEMENTS 2026'!B2828),"",IF('ENGAGEMENTS 2026'!B2828="DTSI","DCT",'ENGAGEMENTS 2026'!B2828))</f>
        <v/>
      </c>
      <c r="B2828">
        <f>IF(ISBLANK('ENGAGEMENTS 2026'!B2828),"",'ENGAGEMENTS 2026'!C2828)</f>
        <v/>
      </c>
      <c r="C2828">
        <f>IF(ISBLANK('ENGAGEMENTS 2026'!B2828),"",'ENGAGEMENTS 2026'!D2828)</f>
        <v/>
      </c>
      <c r="D2828">
        <f>IF(ISBLANK('ENGAGEMENTS 2026'!B2828),"",'ENGAGEMENTS 2026'!F2828)</f>
        <v/>
      </c>
      <c r="E2828">
        <f>IF(ISBLANK('ENGAGEMENTS 2026'!B2828),"",'ENGAGEMENTS 2026'!H2828)</f>
        <v/>
      </c>
      <c r="F2828">
        <f>IF(ISBLANK('ENGAGEMENTS 2026'!B2828),"",'ENGAGEMENTS 2026'!I2828)</f>
        <v/>
      </c>
      <c r="G2828">
        <f>IF(ISBLANK('ENGAGEMENTS 2026'!B2828),"",'ENGAGEMENTS 2026'!L2828)</f>
        <v/>
      </c>
      <c r="H2828">
        <f>IF(ISBLANK('ENGAGEMENTS 2026'!B2828),"",'ENGAGEMENTS 2026'!AE2828)</f>
        <v/>
      </c>
      <c r="I2828">
        <f>IF(ISBLANK('ENGAGEMENTS 2026'!B2828),"",'ENGAGEMENTS 2026'!G2828)</f>
        <v/>
      </c>
      <c r="J2828" s="275">
        <f>IF(ISBLANK('ENGAGEMENTS 2026'!B2828),"",IF(AND(OR($E2828="INFRUCTUEUX",$E2828="ANNULE"),$C2828="AOO-M"),'ENGAGEMENTS 2026'!O2828,IF($H2828="EN COURS DE PREENGAGEMENT",'ENGAGEMENTS 2026'!N2828,IF($H2828="PREENGAGE",IF($E2828="ATTRIBUE",'ENGAGEMENTS 2026'!AD2828,'ENGAGEMENTS 2026'!N2828),'ENGAGEMENTS 2026'!AD2828))))</f>
        <v/>
      </c>
      <c r="K2828" s="604">
        <f>IF(ISBLANK('ENGAGEMENTS 2026'!V2828),"",'ENGAGEMENTS 2026'!V2828)</f>
        <v/>
      </c>
      <c r="L2828" s="276">
        <f>IF($K2828="","",TODAY()-$K2828)</f>
        <v/>
      </c>
      <c r="M2828">
        <f>IF($A2828="","",IF($H2828="ENGAGE","Engagé",IF(AND($H2828="NON ENGAGE",OR($I2828="INFRUCTUEUX",$I2828="ANNULE")),"Clôturé sans suite","En cours")))</f>
        <v/>
      </c>
      <c r="N2828">
        <f>IF(ISBLANK('ENGAGEMENTS 2026'!B2828),"",'ENGAGEMENTS 2026'!K2828)</f>
        <v/>
      </c>
      <c r="O2828">
        <f>IF(ISBLANK('ENGAGEMENTS 2026'!B2828),"",'ENGAGEMENTS 2026'!L2828)</f>
        <v/>
      </c>
      <c r="P2828">
        <f>IF(ISBLANK('ENGAGEMENTS 2026'!B2828),"",'ENGAGEMENTS 2026'!J2828)</f>
        <v/>
      </c>
      <c r="Q2828">
        <f>IF($A2828="","",IF(OR($E2828="INFRUCTUEUX",$E2828="ANNULE"),$A2828&amp;"|"&amp;(COUNTIFS($A$2:$A2828,$A2828,$E$2:$E2828,"INFRUCTUEUX")+COUNTIFS($A$2:$A2828,$A2828,$E$2:$E2828,"ANNULE")),""))</f>
        <v/>
      </c>
    </row>
    <row r="2829">
      <c r="A2829">
        <f>IF(ISBLANK('ENGAGEMENTS 2026'!B2829),"",IF('ENGAGEMENTS 2026'!B2829="DTSI","DCT",'ENGAGEMENTS 2026'!B2829))</f>
        <v/>
      </c>
      <c r="B2829">
        <f>IF(ISBLANK('ENGAGEMENTS 2026'!B2829),"",'ENGAGEMENTS 2026'!C2829)</f>
        <v/>
      </c>
      <c r="C2829">
        <f>IF(ISBLANK('ENGAGEMENTS 2026'!B2829),"",'ENGAGEMENTS 2026'!D2829)</f>
        <v/>
      </c>
      <c r="D2829">
        <f>IF(ISBLANK('ENGAGEMENTS 2026'!B2829),"",'ENGAGEMENTS 2026'!F2829)</f>
        <v/>
      </c>
      <c r="E2829">
        <f>IF(ISBLANK('ENGAGEMENTS 2026'!B2829),"",'ENGAGEMENTS 2026'!H2829)</f>
        <v/>
      </c>
      <c r="F2829">
        <f>IF(ISBLANK('ENGAGEMENTS 2026'!B2829),"",'ENGAGEMENTS 2026'!I2829)</f>
        <v/>
      </c>
      <c r="G2829">
        <f>IF(ISBLANK('ENGAGEMENTS 2026'!B2829),"",'ENGAGEMENTS 2026'!L2829)</f>
        <v/>
      </c>
      <c r="H2829">
        <f>IF(ISBLANK('ENGAGEMENTS 2026'!B2829),"",'ENGAGEMENTS 2026'!AE2829)</f>
        <v/>
      </c>
      <c r="I2829">
        <f>IF(ISBLANK('ENGAGEMENTS 2026'!B2829),"",'ENGAGEMENTS 2026'!G2829)</f>
        <v/>
      </c>
      <c r="J2829" s="275">
        <f>IF(ISBLANK('ENGAGEMENTS 2026'!B2829),"",IF(AND(OR($E2829="INFRUCTUEUX",$E2829="ANNULE"),$C2829="AOO-M"),'ENGAGEMENTS 2026'!O2829,IF($H2829="EN COURS DE PREENGAGEMENT",'ENGAGEMENTS 2026'!N2829,IF($H2829="PREENGAGE",IF($E2829="ATTRIBUE",'ENGAGEMENTS 2026'!AD2829,'ENGAGEMENTS 2026'!N2829),'ENGAGEMENTS 2026'!AD2829))))</f>
        <v/>
      </c>
      <c r="K2829" s="604">
        <f>IF(ISBLANK('ENGAGEMENTS 2026'!V2829),"",'ENGAGEMENTS 2026'!V2829)</f>
        <v/>
      </c>
      <c r="L2829" s="276">
        <f>IF($K2829="","",TODAY()-$K2829)</f>
        <v/>
      </c>
      <c r="M2829">
        <f>IF($A2829="","",IF($H2829="ENGAGE","Engagé",IF(AND($H2829="NON ENGAGE",OR($I2829="INFRUCTUEUX",$I2829="ANNULE")),"Clôturé sans suite","En cours")))</f>
        <v/>
      </c>
      <c r="N2829">
        <f>IF(ISBLANK('ENGAGEMENTS 2026'!B2829),"",'ENGAGEMENTS 2026'!K2829)</f>
        <v/>
      </c>
      <c r="O2829">
        <f>IF(ISBLANK('ENGAGEMENTS 2026'!B2829),"",'ENGAGEMENTS 2026'!L2829)</f>
        <v/>
      </c>
      <c r="P2829">
        <f>IF(ISBLANK('ENGAGEMENTS 2026'!B2829),"",'ENGAGEMENTS 2026'!J2829)</f>
        <v/>
      </c>
      <c r="Q2829">
        <f>IF($A2829="","",IF(OR($E2829="INFRUCTUEUX",$E2829="ANNULE"),$A2829&amp;"|"&amp;(COUNTIFS($A$2:$A2829,$A2829,$E$2:$E2829,"INFRUCTUEUX")+COUNTIFS($A$2:$A2829,$A2829,$E$2:$E2829,"ANNULE")),""))</f>
        <v/>
      </c>
    </row>
    <row r="2830">
      <c r="A2830">
        <f>IF(ISBLANK('ENGAGEMENTS 2026'!B2830),"",IF('ENGAGEMENTS 2026'!B2830="DTSI","DCT",'ENGAGEMENTS 2026'!B2830))</f>
        <v/>
      </c>
      <c r="B2830">
        <f>IF(ISBLANK('ENGAGEMENTS 2026'!B2830),"",'ENGAGEMENTS 2026'!C2830)</f>
        <v/>
      </c>
      <c r="C2830">
        <f>IF(ISBLANK('ENGAGEMENTS 2026'!B2830),"",'ENGAGEMENTS 2026'!D2830)</f>
        <v/>
      </c>
      <c r="D2830">
        <f>IF(ISBLANK('ENGAGEMENTS 2026'!B2830),"",'ENGAGEMENTS 2026'!F2830)</f>
        <v/>
      </c>
      <c r="E2830">
        <f>IF(ISBLANK('ENGAGEMENTS 2026'!B2830),"",'ENGAGEMENTS 2026'!H2830)</f>
        <v/>
      </c>
      <c r="F2830">
        <f>IF(ISBLANK('ENGAGEMENTS 2026'!B2830),"",'ENGAGEMENTS 2026'!I2830)</f>
        <v/>
      </c>
      <c r="G2830">
        <f>IF(ISBLANK('ENGAGEMENTS 2026'!B2830),"",'ENGAGEMENTS 2026'!L2830)</f>
        <v/>
      </c>
      <c r="H2830">
        <f>IF(ISBLANK('ENGAGEMENTS 2026'!B2830),"",'ENGAGEMENTS 2026'!AE2830)</f>
        <v/>
      </c>
      <c r="I2830">
        <f>IF(ISBLANK('ENGAGEMENTS 2026'!B2830),"",'ENGAGEMENTS 2026'!G2830)</f>
        <v/>
      </c>
      <c r="J2830" s="275">
        <f>IF(ISBLANK('ENGAGEMENTS 2026'!B2830),"",IF(AND(OR($E2830="INFRUCTUEUX",$E2830="ANNULE"),$C2830="AOO-M"),'ENGAGEMENTS 2026'!O2830,IF($H2830="EN COURS DE PREENGAGEMENT",'ENGAGEMENTS 2026'!N2830,IF($H2830="PREENGAGE",IF($E2830="ATTRIBUE",'ENGAGEMENTS 2026'!AD2830,'ENGAGEMENTS 2026'!N2830),'ENGAGEMENTS 2026'!AD2830))))</f>
        <v/>
      </c>
      <c r="K2830" s="604">
        <f>IF(ISBLANK('ENGAGEMENTS 2026'!V2830),"",'ENGAGEMENTS 2026'!V2830)</f>
        <v/>
      </c>
      <c r="L2830" s="276">
        <f>IF($K2830="","",TODAY()-$K2830)</f>
        <v/>
      </c>
      <c r="M2830">
        <f>IF($A2830="","",IF($H2830="ENGAGE","Engagé",IF(AND($H2830="NON ENGAGE",OR($I2830="INFRUCTUEUX",$I2830="ANNULE")),"Clôturé sans suite","En cours")))</f>
        <v/>
      </c>
      <c r="N2830">
        <f>IF(ISBLANK('ENGAGEMENTS 2026'!B2830),"",'ENGAGEMENTS 2026'!K2830)</f>
        <v/>
      </c>
      <c r="O2830">
        <f>IF(ISBLANK('ENGAGEMENTS 2026'!B2830),"",'ENGAGEMENTS 2026'!L2830)</f>
        <v/>
      </c>
      <c r="P2830">
        <f>IF(ISBLANK('ENGAGEMENTS 2026'!B2830),"",'ENGAGEMENTS 2026'!J2830)</f>
        <v/>
      </c>
      <c r="Q2830">
        <f>IF($A2830="","",IF(OR($E2830="INFRUCTUEUX",$E2830="ANNULE"),$A2830&amp;"|"&amp;(COUNTIFS($A$2:$A2830,$A2830,$E$2:$E2830,"INFRUCTUEUX")+COUNTIFS($A$2:$A2830,$A2830,$E$2:$E2830,"ANNULE")),""))</f>
        <v/>
      </c>
    </row>
    <row r="2831">
      <c r="A2831">
        <f>IF(ISBLANK('ENGAGEMENTS 2026'!B2831),"",IF('ENGAGEMENTS 2026'!B2831="DTSI","DCT",'ENGAGEMENTS 2026'!B2831))</f>
        <v/>
      </c>
      <c r="B2831">
        <f>IF(ISBLANK('ENGAGEMENTS 2026'!B2831),"",'ENGAGEMENTS 2026'!C2831)</f>
        <v/>
      </c>
      <c r="C2831">
        <f>IF(ISBLANK('ENGAGEMENTS 2026'!B2831),"",'ENGAGEMENTS 2026'!D2831)</f>
        <v/>
      </c>
      <c r="D2831">
        <f>IF(ISBLANK('ENGAGEMENTS 2026'!B2831),"",'ENGAGEMENTS 2026'!F2831)</f>
        <v/>
      </c>
      <c r="E2831">
        <f>IF(ISBLANK('ENGAGEMENTS 2026'!B2831),"",'ENGAGEMENTS 2026'!H2831)</f>
        <v/>
      </c>
      <c r="F2831">
        <f>IF(ISBLANK('ENGAGEMENTS 2026'!B2831),"",'ENGAGEMENTS 2026'!I2831)</f>
        <v/>
      </c>
      <c r="G2831">
        <f>IF(ISBLANK('ENGAGEMENTS 2026'!B2831),"",'ENGAGEMENTS 2026'!L2831)</f>
        <v/>
      </c>
      <c r="H2831">
        <f>IF(ISBLANK('ENGAGEMENTS 2026'!B2831),"",'ENGAGEMENTS 2026'!AE2831)</f>
        <v/>
      </c>
      <c r="I2831">
        <f>IF(ISBLANK('ENGAGEMENTS 2026'!B2831),"",'ENGAGEMENTS 2026'!G2831)</f>
        <v/>
      </c>
      <c r="J2831" s="275">
        <f>IF(ISBLANK('ENGAGEMENTS 2026'!B2831),"",IF(AND(OR($E2831="INFRUCTUEUX",$E2831="ANNULE"),$C2831="AOO-M"),'ENGAGEMENTS 2026'!O2831,IF($H2831="EN COURS DE PREENGAGEMENT",'ENGAGEMENTS 2026'!N2831,IF($H2831="PREENGAGE",IF($E2831="ATTRIBUE",'ENGAGEMENTS 2026'!AD2831,'ENGAGEMENTS 2026'!N2831),'ENGAGEMENTS 2026'!AD2831))))</f>
        <v/>
      </c>
      <c r="K2831" s="604">
        <f>IF(ISBLANK('ENGAGEMENTS 2026'!V2831),"",'ENGAGEMENTS 2026'!V2831)</f>
        <v/>
      </c>
      <c r="L2831" s="276">
        <f>IF($K2831="","",TODAY()-$K2831)</f>
        <v/>
      </c>
      <c r="M2831">
        <f>IF($A2831="","",IF($H2831="ENGAGE","Engagé",IF(AND($H2831="NON ENGAGE",OR($I2831="INFRUCTUEUX",$I2831="ANNULE")),"Clôturé sans suite","En cours")))</f>
        <v/>
      </c>
      <c r="N2831">
        <f>IF(ISBLANK('ENGAGEMENTS 2026'!B2831),"",'ENGAGEMENTS 2026'!K2831)</f>
        <v/>
      </c>
      <c r="O2831">
        <f>IF(ISBLANK('ENGAGEMENTS 2026'!B2831),"",'ENGAGEMENTS 2026'!L2831)</f>
        <v/>
      </c>
      <c r="P2831">
        <f>IF(ISBLANK('ENGAGEMENTS 2026'!B2831),"",'ENGAGEMENTS 2026'!J2831)</f>
        <v/>
      </c>
      <c r="Q2831">
        <f>IF($A2831="","",IF(OR($E2831="INFRUCTUEUX",$E2831="ANNULE"),$A2831&amp;"|"&amp;(COUNTIFS($A$2:$A2831,$A2831,$E$2:$E2831,"INFRUCTUEUX")+COUNTIFS($A$2:$A2831,$A2831,$E$2:$E2831,"ANNULE")),""))</f>
        <v/>
      </c>
    </row>
    <row r="2832">
      <c r="A2832">
        <f>IF(ISBLANK('ENGAGEMENTS 2026'!B2832),"",IF('ENGAGEMENTS 2026'!B2832="DTSI","DCT",'ENGAGEMENTS 2026'!B2832))</f>
        <v/>
      </c>
      <c r="B2832">
        <f>IF(ISBLANK('ENGAGEMENTS 2026'!B2832),"",'ENGAGEMENTS 2026'!C2832)</f>
        <v/>
      </c>
      <c r="C2832">
        <f>IF(ISBLANK('ENGAGEMENTS 2026'!B2832),"",'ENGAGEMENTS 2026'!D2832)</f>
        <v/>
      </c>
      <c r="D2832">
        <f>IF(ISBLANK('ENGAGEMENTS 2026'!B2832),"",'ENGAGEMENTS 2026'!F2832)</f>
        <v/>
      </c>
      <c r="E2832">
        <f>IF(ISBLANK('ENGAGEMENTS 2026'!B2832),"",'ENGAGEMENTS 2026'!H2832)</f>
        <v/>
      </c>
      <c r="F2832">
        <f>IF(ISBLANK('ENGAGEMENTS 2026'!B2832),"",'ENGAGEMENTS 2026'!I2832)</f>
        <v/>
      </c>
      <c r="G2832">
        <f>IF(ISBLANK('ENGAGEMENTS 2026'!B2832),"",'ENGAGEMENTS 2026'!L2832)</f>
        <v/>
      </c>
      <c r="H2832">
        <f>IF(ISBLANK('ENGAGEMENTS 2026'!B2832),"",'ENGAGEMENTS 2026'!AE2832)</f>
        <v/>
      </c>
      <c r="I2832">
        <f>IF(ISBLANK('ENGAGEMENTS 2026'!B2832),"",'ENGAGEMENTS 2026'!G2832)</f>
        <v/>
      </c>
      <c r="J2832" s="275">
        <f>IF(ISBLANK('ENGAGEMENTS 2026'!B2832),"",IF(AND(OR($E2832="INFRUCTUEUX",$E2832="ANNULE"),$C2832="AOO-M"),'ENGAGEMENTS 2026'!O2832,IF($H2832="EN COURS DE PREENGAGEMENT",'ENGAGEMENTS 2026'!N2832,IF($H2832="PREENGAGE",IF($E2832="ATTRIBUE",'ENGAGEMENTS 2026'!AD2832,'ENGAGEMENTS 2026'!N2832),'ENGAGEMENTS 2026'!AD2832))))</f>
        <v/>
      </c>
      <c r="K2832" s="604">
        <f>IF(ISBLANK('ENGAGEMENTS 2026'!V2832),"",'ENGAGEMENTS 2026'!V2832)</f>
        <v/>
      </c>
      <c r="L2832" s="276">
        <f>IF($K2832="","",TODAY()-$K2832)</f>
        <v/>
      </c>
      <c r="M2832">
        <f>IF($A2832="","",IF($H2832="ENGAGE","Engagé",IF(AND($H2832="NON ENGAGE",OR($I2832="INFRUCTUEUX",$I2832="ANNULE")),"Clôturé sans suite","En cours")))</f>
        <v/>
      </c>
      <c r="N2832">
        <f>IF(ISBLANK('ENGAGEMENTS 2026'!B2832),"",'ENGAGEMENTS 2026'!K2832)</f>
        <v/>
      </c>
      <c r="O2832">
        <f>IF(ISBLANK('ENGAGEMENTS 2026'!B2832),"",'ENGAGEMENTS 2026'!L2832)</f>
        <v/>
      </c>
      <c r="P2832">
        <f>IF(ISBLANK('ENGAGEMENTS 2026'!B2832),"",'ENGAGEMENTS 2026'!J2832)</f>
        <v/>
      </c>
      <c r="Q2832">
        <f>IF($A2832="","",IF(OR($E2832="INFRUCTUEUX",$E2832="ANNULE"),$A2832&amp;"|"&amp;(COUNTIFS($A$2:$A2832,$A2832,$E$2:$E2832,"INFRUCTUEUX")+COUNTIFS($A$2:$A2832,$A2832,$E$2:$E2832,"ANNULE")),""))</f>
        <v/>
      </c>
    </row>
    <row r="2833">
      <c r="A2833">
        <f>IF(ISBLANK('ENGAGEMENTS 2026'!B2833),"",IF('ENGAGEMENTS 2026'!B2833="DTSI","DCT",'ENGAGEMENTS 2026'!B2833))</f>
        <v/>
      </c>
      <c r="B2833">
        <f>IF(ISBLANK('ENGAGEMENTS 2026'!B2833),"",'ENGAGEMENTS 2026'!C2833)</f>
        <v/>
      </c>
      <c r="C2833">
        <f>IF(ISBLANK('ENGAGEMENTS 2026'!B2833),"",'ENGAGEMENTS 2026'!D2833)</f>
        <v/>
      </c>
      <c r="D2833">
        <f>IF(ISBLANK('ENGAGEMENTS 2026'!B2833),"",'ENGAGEMENTS 2026'!F2833)</f>
        <v/>
      </c>
      <c r="E2833">
        <f>IF(ISBLANK('ENGAGEMENTS 2026'!B2833),"",'ENGAGEMENTS 2026'!H2833)</f>
        <v/>
      </c>
      <c r="F2833">
        <f>IF(ISBLANK('ENGAGEMENTS 2026'!B2833),"",'ENGAGEMENTS 2026'!I2833)</f>
        <v/>
      </c>
      <c r="G2833">
        <f>IF(ISBLANK('ENGAGEMENTS 2026'!B2833),"",'ENGAGEMENTS 2026'!L2833)</f>
        <v/>
      </c>
      <c r="H2833">
        <f>IF(ISBLANK('ENGAGEMENTS 2026'!B2833),"",'ENGAGEMENTS 2026'!AE2833)</f>
        <v/>
      </c>
      <c r="I2833">
        <f>IF(ISBLANK('ENGAGEMENTS 2026'!B2833),"",'ENGAGEMENTS 2026'!G2833)</f>
        <v/>
      </c>
      <c r="J2833" s="275">
        <f>IF(ISBLANK('ENGAGEMENTS 2026'!B2833),"",IF(AND(OR($E2833="INFRUCTUEUX",$E2833="ANNULE"),$C2833="AOO-M"),'ENGAGEMENTS 2026'!O2833,IF($H2833="EN COURS DE PREENGAGEMENT",'ENGAGEMENTS 2026'!N2833,IF($H2833="PREENGAGE",IF($E2833="ATTRIBUE",'ENGAGEMENTS 2026'!AD2833,'ENGAGEMENTS 2026'!N2833),'ENGAGEMENTS 2026'!AD2833))))</f>
        <v/>
      </c>
      <c r="K2833" s="604">
        <f>IF(ISBLANK('ENGAGEMENTS 2026'!V2833),"",'ENGAGEMENTS 2026'!V2833)</f>
        <v/>
      </c>
      <c r="L2833" s="276">
        <f>IF($K2833="","",TODAY()-$K2833)</f>
        <v/>
      </c>
      <c r="M2833">
        <f>IF($A2833="","",IF($H2833="ENGAGE","Engagé",IF(AND($H2833="NON ENGAGE",OR($I2833="INFRUCTUEUX",$I2833="ANNULE")),"Clôturé sans suite","En cours")))</f>
        <v/>
      </c>
      <c r="N2833">
        <f>IF(ISBLANK('ENGAGEMENTS 2026'!B2833),"",'ENGAGEMENTS 2026'!K2833)</f>
        <v/>
      </c>
      <c r="O2833">
        <f>IF(ISBLANK('ENGAGEMENTS 2026'!B2833),"",'ENGAGEMENTS 2026'!L2833)</f>
        <v/>
      </c>
      <c r="P2833">
        <f>IF(ISBLANK('ENGAGEMENTS 2026'!B2833),"",'ENGAGEMENTS 2026'!J2833)</f>
        <v/>
      </c>
      <c r="Q2833">
        <f>IF($A2833="","",IF(OR($E2833="INFRUCTUEUX",$E2833="ANNULE"),$A2833&amp;"|"&amp;(COUNTIFS($A$2:$A2833,$A2833,$E$2:$E2833,"INFRUCTUEUX")+COUNTIFS($A$2:$A2833,$A2833,$E$2:$E2833,"ANNULE")),""))</f>
        <v/>
      </c>
    </row>
    <row r="2834">
      <c r="A2834">
        <f>IF(ISBLANK('ENGAGEMENTS 2026'!B2834),"",IF('ENGAGEMENTS 2026'!B2834="DTSI","DCT",'ENGAGEMENTS 2026'!B2834))</f>
        <v/>
      </c>
      <c r="B2834">
        <f>IF(ISBLANK('ENGAGEMENTS 2026'!B2834),"",'ENGAGEMENTS 2026'!C2834)</f>
        <v/>
      </c>
      <c r="C2834">
        <f>IF(ISBLANK('ENGAGEMENTS 2026'!B2834),"",'ENGAGEMENTS 2026'!D2834)</f>
        <v/>
      </c>
      <c r="D2834">
        <f>IF(ISBLANK('ENGAGEMENTS 2026'!B2834),"",'ENGAGEMENTS 2026'!F2834)</f>
        <v/>
      </c>
      <c r="E2834">
        <f>IF(ISBLANK('ENGAGEMENTS 2026'!B2834),"",'ENGAGEMENTS 2026'!H2834)</f>
        <v/>
      </c>
      <c r="F2834">
        <f>IF(ISBLANK('ENGAGEMENTS 2026'!B2834),"",'ENGAGEMENTS 2026'!I2834)</f>
        <v/>
      </c>
      <c r="G2834">
        <f>IF(ISBLANK('ENGAGEMENTS 2026'!B2834),"",'ENGAGEMENTS 2026'!L2834)</f>
        <v/>
      </c>
      <c r="H2834">
        <f>IF(ISBLANK('ENGAGEMENTS 2026'!B2834),"",'ENGAGEMENTS 2026'!AE2834)</f>
        <v/>
      </c>
      <c r="I2834">
        <f>IF(ISBLANK('ENGAGEMENTS 2026'!B2834),"",'ENGAGEMENTS 2026'!G2834)</f>
        <v/>
      </c>
      <c r="J2834" s="275">
        <f>IF(ISBLANK('ENGAGEMENTS 2026'!B2834),"",IF(AND(OR($E2834="INFRUCTUEUX",$E2834="ANNULE"),$C2834="AOO-M"),'ENGAGEMENTS 2026'!O2834,IF($H2834="EN COURS DE PREENGAGEMENT",'ENGAGEMENTS 2026'!N2834,IF($H2834="PREENGAGE",IF($E2834="ATTRIBUE",'ENGAGEMENTS 2026'!AD2834,'ENGAGEMENTS 2026'!N2834),'ENGAGEMENTS 2026'!AD2834))))</f>
        <v/>
      </c>
      <c r="K2834" s="604">
        <f>IF(ISBLANK('ENGAGEMENTS 2026'!V2834),"",'ENGAGEMENTS 2026'!V2834)</f>
        <v/>
      </c>
      <c r="L2834" s="276">
        <f>IF($K2834="","",TODAY()-$K2834)</f>
        <v/>
      </c>
      <c r="M2834">
        <f>IF($A2834="","",IF($H2834="ENGAGE","Engagé",IF(AND($H2834="NON ENGAGE",OR($I2834="INFRUCTUEUX",$I2834="ANNULE")),"Clôturé sans suite","En cours")))</f>
        <v/>
      </c>
      <c r="N2834">
        <f>IF(ISBLANK('ENGAGEMENTS 2026'!B2834),"",'ENGAGEMENTS 2026'!K2834)</f>
        <v/>
      </c>
      <c r="O2834">
        <f>IF(ISBLANK('ENGAGEMENTS 2026'!B2834),"",'ENGAGEMENTS 2026'!L2834)</f>
        <v/>
      </c>
      <c r="P2834">
        <f>IF(ISBLANK('ENGAGEMENTS 2026'!B2834),"",'ENGAGEMENTS 2026'!J2834)</f>
        <v/>
      </c>
      <c r="Q2834">
        <f>IF($A2834="","",IF(OR($E2834="INFRUCTUEUX",$E2834="ANNULE"),$A2834&amp;"|"&amp;(COUNTIFS($A$2:$A2834,$A2834,$E$2:$E2834,"INFRUCTUEUX")+COUNTIFS($A$2:$A2834,$A2834,$E$2:$E2834,"ANNULE")),""))</f>
        <v/>
      </c>
    </row>
    <row r="2835">
      <c r="A2835">
        <f>IF(ISBLANK('ENGAGEMENTS 2026'!B2835),"",IF('ENGAGEMENTS 2026'!B2835="DTSI","DCT",'ENGAGEMENTS 2026'!B2835))</f>
        <v/>
      </c>
      <c r="B2835">
        <f>IF(ISBLANK('ENGAGEMENTS 2026'!B2835),"",'ENGAGEMENTS 2026'!C2835)</f>
        <v/>
      </c>
      <c r="C2835">
        <f>IF(ISBLANK('ENGAGEMENTS 2026'!B2835),"",'ENGAGEMENTS 2026'!D2835)</f>
        <v/>
      </c>
      <c r="D2835">
        <f>IF(ISBLANK('ENGAGEMENTS 2026'!B2835),"",'ENGAGEMENTS 2026'!F2835)</f>
        <v/>
      </c>
      <c r="E2835">
        <f>IF(ISBLANK('ENGAGEMENTS 2026'!B2835),"",'ENGAGEMENTS 2026'!H2835)</f>
        <v/>
      </c>
      <c r="F2835">
        <f>IF(ISBLANK('ENGAGEMENTS 2026'!B2835),"",'ENGAGEMENTS 2026'!I2835)</f>
        <v/>
      </c>
      <c r="G2835">
        <f>IF(ISBLANK('ENGAGEMENTS 2026'!B2835),"",'ENGAGEMENTS 2026'!L2835)</f>
        <v/>
      </c>
      <c r="H2835">
        <f>IF(ISBLANK('ENGAGEMENTS 2026'!B2835),"",'ENGAGEMENTS 2026'!AE2835)</f>
        <v/>
      </c>
      <c r="I2835">
        <f>IF(ISBLANK('ENGAGEMENTS 2026'!B2835),"",'ENGAGEMENTS 2026'!G2835)</f>
        <v/>
      </c>
      <c r="J2835" s="275">
        <f>IF(ISBLANK('ENGAGEMENTS 2026'!B2835),"",IF(AND(OR($E2835="INFRUCTUEUX",$E2835="ANNULE"),$C2835="AOO-M"),'ENGAGEMENTS 2026'!O2835,IF($H2835="EN COURS DE PREENGAGEMENT",'ENGAGEMENTS 2026'!N2835,IF($H2835="PREENGAGE",IF($E2835="ATTRIBUE",'ENGAGEMENTS 2026'!AD2835,'ENGAGEMENTS 2026'!N2835),'ENGAGEMENTS 2026'!AD2835))))</f>
        <v/>
      </c>
      <c r="K2835" s="604">
        <f>IF(ISBLANK('ENGAGEMENTS 2026'!V2835),"",'ENGAGEMENTS 2026'!V2835)</f>
        <v/>
      </c>
      <c r="L2835" s="276">
        <f>IF($K2835="","",TODAY()-$K2835)</f>
        <v/>
      </c>
      <c r="M2835">
        <f>IF($A2835="","",IF($H2835="ENGAGE","Engagé",IF(AND($H2835="NON ENGAGE",OR($I2835="INFRUCTUEUX",$I2835="ANNULE")),"Clôturé sans suite","En cours")))</f>
        <v/>
      </c>
      <c r="N2835">
        <f>IF(ISBLANK('ENGAGEMENTS 2026'!B2835),"",'ENGAGEMENTS 2026'!K2835)</f>
        <v/>
      </c>
      <c r="O2835">
        <f>IF(ISBLANK('ENGAGEMENTS 2026'!B2835),"",'ENGAGEMENTS 2026'!L2835)</f>
        <v/>
      </c>
      <c r="P2835">
        <f>IF(ISBLANK('ENGAGEMENTS 2026'!B2835),"",'ENGAGEMENTS 2026'!J2835)</f>
        <v/>
      </c>
      <c r="Q2835">
        <f>IF($A2835="","",IF(OR($E2835="INFRUCTUEUX",$E2835="ANNULE"),$A2835&amp;"|"&amp;(COUNTIFS($A$2:$A2835,$A2835,$E$2:$E2835,"INFRUCTUEUX")+COUNTIFS($A$2:$A2835,$A2835,$E$2:$E2835,"ANNULE")),""))</f>
        <v/>
      </c>
    </row>
    <row r="2836">
      <c r="A2836">
        <f>IF(ISBLANK('ENGAGEMENTS 2026'!B2836),"",IF('ENGAGEMENTS 2026'!B2836="DTSI","DCT",'ENGAGEMENTS 2026'!B2836))</f>
        <v/>
      </c>
      <c r="B2836">
        <f>IF(ISBLANK('ENGAGEMENTS 2026'!B2836),"",'ENGAGEMENTS 2026'!C2836)</f>
        <v/>
      </c>
      <c r="C2836">
        <f>IF(ISBLANK('ENGAGEMENTS 2026'!B2836),"",'ENGAGEMENTS 2026'!D2836)</f>
        <v/>
      </c>
      <c r="D2836">
        <f>IF(ISBLANK('ENGAGEMENTS 2026'!B2836),"",'ENGAGEMENTS 2026'!F2836)</f>
        <v/>
      </c>
      <c r="E2836">
        <f>IF(ISBLANK('ENGAGEMENTS 2026'!B2836),"",'ENGAGEMENTS 2026'!H2836)</f>
        <v/>
      </c>
      <c r="F2836">
        <f>IF(ISBLANK('ENGAGEMENTS 2026'!B2836),"",'ENGAGEMENTS 2026'!I2836)</f>
        <v/>
      </c>
      <c r="G2836">
        <f>IF(ISBLANK('ENGAGEMENTS 2026'!B2836),"",'ENGAGEMENTS 2026'!L2836)</f>
        <v/>
      </c>
      <c r="H2836">
        <f>IF(ISBLANK('ENGAGEMENTS 2026'!B2836),"",'ENGAGEMENTS 2026'!AE2836)</f>
        <v/>
      </c>
      <c r="I2836">
        <f>IF(ISBLANK('ENGAGEMENTS 2026'!B2836),"",'ENGAGEMENTS 2026'!G2836)</f>
        <v/>
      </c>
      <c r="J2836" s="275">
        <f>IF(ISBLANK('ENGAGEMENTS 2026'!B2836),"",IF(AND(OR($E2836="INFRUCTUEUX",$E2836="ANNULE"),$C2836="AOO-M"),'ENGAGEMENTS 2026'!O2836,IF($H2836="EN COURS DE PREENGAGEMENT",'ENGAGEMENTS 2026'!N2836,IF($H2836="PREENGAGE",IF($E2836="ATTRIBUE",'ENGAGEMENTS 2026'!AD2836,'ENGAGEMENTS 2026'!N2836),'ENGAGEMENTS 2026'!AD2836))))</f>
        <v/>
      </c>
      <c r="K2836" s="604">
        <f>IF(ISBLANK('ENGAGEMENTS 2026'!V2836),"",'ENGAGEMENTS 2026'!V2836)</f>
        <v/>
      </c>
      <c r="L2836" s="276">
        <f>IF($K2836="","",TODAY()-$K2836)</f>
        <v/>
      </c>
      <c r="M2836">
        <f>IF($A2836="","",IF($H2836="ENGAGE","Engagé",IF(AND($H2836="NON ENGAGE",OR($I2836="INFRUCTUEUX",$I2836="ANNULE")),"Clôturé sans suite","En cours")))</f>
        <v/>
      </c>
      <c r="N2836">
        <f>IF(ISBLANK('ENGAGEMENTS 2026'!B2836),"",'ENGAGEMENTS 2026'!K2836)</f>
        <v/>
      </c>
      <c r="O2836">
        <f>IF(ISBLANK('ENGAGEMENTS 2026'!B2836),"",'ENGAGEMENTS 2026'!L2836)</f>
        <v/>
      </c>
      <c r="P2836">
        <f>IF(ISBLANK('ENGAGEMENTS 2026'!B2836),"",'ENGAGEMENTS 2026'!J2836)</f>
        <v/>
      </c>
      <c r="Q2836">
        <f>IF($A2836="","",IF(OR($E2836="INFRUCTUEUX",$E2836="ANNULE"),$A2836&amp;"|"&amp;(COUNTIFS($A$2:$A2836,$A2836,$E$2:$E2836,"INFRUCTUEUX")+COUNTIFS($A$2:$A2836,$A2836,$E$2:$E2836,"ANNULE")),""))</f>
        <v/>
      </c>
    </row>
    <row r="2837">
      <c r="A2837">
        <f>IF(ISBLANK('ENGAGEMENTS 2026'!B2837),"",IF('ENGAGEMENTS 2026'!B2837="DTSI","DCT",'ENGAGEMENTS 2026'!B2837))</f>
        <v/>
      </c>
      <c r="B2837">
        <f>IF(ISBLANK('ENGAGEMENTS 2026'!B2837),"",'ENGAGEMENTS 2026'!C2837)</f>
        <v/>
      </c>
      <c r="C2837">
        <f>IF(ISBLANK('ENGAGEMENTS 2026'!B2837),"",'ENGAGEMENTS 2026'!D2837)</f>
        <v/>
      </c>
      <c r="D2837">
        <f>IF(ISBLANK('ENGAGEMENTS 2026'!B2837),"",'ENGAGEMENTS 2026'!F2837)</f>
        <v/>
      </c>
      <c r="E2837">
        <f>IF(ISBLANK('ENGAGEMENTS 2026'!B2837),"",'ENGAGEMENTS 2026'!H2837)</f>
        <v/>
      </c>
      <c r="F2837">
        <f>IF(ISBLANK('ENGAGEMENTS 2026'!B2837),"",'ENGAGEMENTS 2026'!I2837)</f>
        <v/>
      </c>
      <c r="G2837">
        <f>IF(ISBLANK('ENGAGEMENTS 2026'!B2837),"",'ENGAGEMENTS 2026'!L2837)</f>
        <v/>
      </c>
      <c r="H2837">
        <f>IF(ISBLANK('ENGAGEMENTS 2026'!B2837),"",'ENGAGEMENTS 2026'!AE2837)</f>
        <v/>
      </c>
      <c r="I2837">
        <f>IF(ISBLANK('ENGAGEMENTS 2026'!B2837),"",'ENGAGEMENTS 2026'!G2837)</f>
        <v/>
      </c>
      <c r="J2837" s="275">
        <f>IF(ISBLANK('ENGAGEMENTS 2026'!B2837),"",IF(AND(OR($E2837="INFRUCTUEUX",$E2837="ANNULE"),$C2837="AOO-M"),'ENGAGEMENTS 2026'!O2837,IF($H2837="EN COURS DE PREENGAGEMENT",'ENGAGEMENTS 2026'!N2837,IF($H2837="PREENGAGE",IF($E2837="ATTRIBUE",'ENGAGEMENTS 2026'!AD2837,'ENGAGEMENTS 2026'!N2837),'ENGAGEMENTS 2026'!AD2837))))</f>
        <v/>
      </c>
      <c r="K2837" s="604">
        <f>IF(ISBLANK('ENGAGEMENTS 2026'!V2837),"",'ENGAGEMENTS 2026'!V2837)</f>
        <v/>
      </c>
      <c r="L2837" s="276">
        <f>IF($K2837="","",TODAY()-$K2837)</f>
        <v/>
      </c>
      <c r="M2837">
        <f>IF($A2837="","",IF($H2837="ENGAGE","Engagé",IF(AND($H2837="NON ENGAGE",OR($I2837="INFRUCTUEUX",$I2837="ANNULE")),"Clôturé sans suite","En cours")))</f>
        <v/>
      </c>
      <c r="N2837">
        <f>IF(ISBLANK('ENGAGEMENTS 2026'!B2837),"",'ENGAGEMENTS 2026'!K2837)</f>
        <v/>
      </c>
      <c r="O2837">
        <f>IF(ISBLANK('ENGAGEMENTS 2026'!B2837),"",'ENGAGEMENTS 2026'!L2837)</f>
        <v/>
      </c>
      <c r="P2837">
        <f>IF(ISBLANK('ENGAGEMENTS 2026'!B2837),"",'ENGAGEMENTS 2026'!J2837)</f>
        <v/>
      </c>
      <c r="Q2837">
        <f>IF($A2837="","",IF(OR($E2837="INFRUCTUEUX",$E2837="ANNULE"),$A2837&amp;"|"&amp;(COUNTIFS($A$2:$A2837,$A2837,$E$2:$E2837,"INFRUCTUEUX")+COUNTIFS($A$2:$A2837,$A2837,$E$2:$E2837,"ANNULE")),""))</f>
        <v/>
      </c>
    </row>
    <row r="2838">
      <c r="A2838">
        <f>IF(ISBLANK('ENGAGEMENTS 2026'!B2838),"",IF('ENGAGEMENTS 2026'!B2838="DTSI","DCT",'ENGAGEMENTS 2026'!B2838))</f>
        <v/>
      </c>
      <c r="B2838">
        <f>IF(ISBLANK('ENGAGEMENTS 2026'!B2838),"",'ENGAGEMENTS 2026'!C2838)</f>
        <v/>
      </c>
      <c r="C2838">
        <f>IF(ISBLANK('ENGAGEMENTS 2026'!B2838),"",'ENGAGEMENTS 2026'!D2838)</f>
        <v/>
      </c>
      <c r="D2838">
        <f>IF(ISBLANK('ENGAGEMENTS 2026'!B2838),"",'ENGAGEMENTS 2026'!F2838)</f>
        <v/>
      </c>
      <c r="E2838">
        <f>IF(ISBLANK('ENGAGEMENTS 2026'!B2838),"",'ENGAGEMENTS 2026'!H2838)</f>
        <v/>
      </c>
      <c r="F2838">
        <f>IF(ISBLANK('ENGAGEMENTS 2026'!B2838),"",'ENGAGEMENTS 2026'!I2838)</f>
        <v/>
      </c>
      <c r="G2838">
        <f>IF(ISBLANK('ENGAGEMENTS 2026'!B2838),"",'ENGAGEMENTS 2026'!L2838)</f>
        <v/>
      </c>
      <c r="H2838">
        <f>IF(ISBLANK('ENGAGEMENTS 2026'!B2838),"",'ENGAGEMENTS 2026'!AE2838)</f>
        <v/>
      </c>
      <c r="I2838">
        <f>IF(ISBLANK('ENGAGEMENTS 2026'!B2838),"",'ENGAGEMENTS 2026'!G2838)</f>
        <v/>
      </c>
      <c r="J2838" s="275">
        <f>IF(ISBLANK('ENGAGEMENTS 2026'!B2838),"",IF(AND(OR($E2838="INFRUCTUEUX",$E2838="ANNULE"),$C2838="AOO-M"),'ENGAGEMENTS 2026'!O2838,IF($H2838="EN COURS DE PREENGAGEMENT",'ENGAGEMENTS 2026'!N2838,IF($H2838="PREENGAGE",IF($E2838="ATTRIBUE",'ENGAGEMENTS 2026'!AD2838,'ENGAGEMENTS 2026'!N2838),'ENGAGEMENTS 2026'!AD2838))))</f>
        <v/>
      </c>
      <c r="K2838" s="604">
        <f>IF(ISBLANK('ENGAGEMENTS 2026'!V2838),"",'ENGAGEMENTS 2026'!V2838)</f>
        <v/>
      </c>
      <c r="L2838" s="276">
        <f>IF($K2838="","",TODAY()-$K2838)</f>
        <v/>
      </c>
      <c r="M2838">
        <f>IF($A2838="","",IF($H2838="ENGAGE","Engagé",IF(AND($H2838="NON ENGAGE",OR($I2838="INFRUCTUEUX",$I2838="ANNULE")),"Clôturé sans suite","En cours")))</f>
        <v/>
      </c>
      <c r="N2838">
        <f>IF(ISBLANK('ENGAGEMENTS 2026'!B2838),"",'ENGAGEMENTS 2026'!K2838)</f>
        <v/>
      </c>
      <c r="O2838">
        <f>IF(ISBLANK('ENGAGEMENTS 2026'!B2838),"",'ENGAGEMENTS 2026'!L2838)</f>
        <v/>
      </c>
      <c r="P2838">
        <f>IF(ISBLANK('ENGAGEMENTS 2026'!B2838),"",'ENGAGEMENTS 2026'!J2838)</f>
        <v/>
      </c>
      <c r="Q2838">
        <f>IF($A2838="","",IF(OR($E2838="INFRUCTUEUX",$E2838="ANNULE"),$A2838&amp;"|"&amp;(COUNTIFS($A$2:$A2838,$A2838,$E$2:$E2838,"INFRUCTUEUX")+COUNTIFS($A$2:$A2838,$A2838,$E$2:$E2838,"ANNULE")),""))</f>
        <v/>
      </c>
    </row>
    <row r="2839">
      <c r="A2839">
        <f>IF(ISBLANK('ENGAGEMENTS 2026'!B2839),"",IF('ENGAGEMENTS 2026'!B2839="DTSI","DCT",'ENGAGEMENTS 2026'!B2839))</f>
        <v/>
      </c>
      <c r="B2839">
        <f>IF(ISBLANK('ENGAGEMENTS 2026'!B2839),"",'ENGAGEMENTS 2026'!C2839)</f>
        <v/>
      </c>
      <c r="C2839">
        <f>IF(ISBLANK('ENGAGEMENTS 2026'!B2839),"",'ENGAGEMENTS 2026'!D2839)</f>
        <v/>
      </c>
      <c r="D2839">
        <f>IF(ISBLANK('ENGAGEMENTS 2026'!B2839),"",'ENGAGEMENTS 2026'!F2839)</f>
        <v/>
      </c>
      <c r="E2839">
        <f>IF(ISBLANK('ENGAGEMENTS 2026'!B2839),"",'ENGAGEMENTS 2026'!H2839)</f>
        <v/>
      </c>
      <c r="F2839">
        <f>IF(ISBLANK('ENGAGEMENTS 2026'!B2839),"",'ENGAGEMENTS 2026'!I2839)</f>
        <v/>
      </c>
      <c r="G2839">
        <f>IF(ISBLANK('ENGAGEMENTS 2026'!B2839),"",'ENGAGEMENTS 2026'!L2839)</f>
        <v/>
      </c>
      <c r="H2839">
        <f>IF(ISBLANK('ENGAGEMENTS 2026'!B2839),"",'ENGAGEMENTS 2026'!AE2839)</f>
        <v/>
      </c>
      <c r="I2839">
        <f>IF(ISBLANK('ENGAGEMENTS 2026'!B2839),"",'ENGAGEMENTS 2026'!G2839)</f>
        <v/>
      </c>
      <c r="J2839" s="275">
        <f>IF(ISBLANK('ENGAGEMENTS 2026'!B2839),"",IF(AND(OR($E2839="INFRUCTUEUX",$E2839="ANNULE"),$C2839="AOO-M"),'ENGAGEMENTS 2026'!O2839,IF($H2839="EN COURS DE PREENGAGEMENT",'ENGAGEMENTS 2026'!N2839,IF($H2839="PREENGAGE",IF($E2839="ATTRIBUE",'ENGAGEMENTS 2026'!AD2839,'ENGAGEMENTS 2026'!N2839),'ENGAGEMENTS 2026'!AD2839))))</f>
        <v/>
      </c>
      <c r="K2839" s="604">
        <f>IF(ISBLANK('ENGAGEMENTS 2026'!V2839),"",'ENGAGEMENTS 2026'!V2839)</f>
        <v/>
      </c>
      <c r="L2839" s="276">
        <f>IF($K2839="","",TODAY()-$K2839)</f>
        <v/>
      </c>
      <c r="M2839">
        <f>IF($A2839="","",IF($H2839="ENGAGE","Engagé",IF(AND($H2839="NON ENGAGE",OR($I2839="INFRUCTUEUX",$I2839="ANNULE")),"Clôturé sans suite","En cours")))</f>
        <v/>
      </c>
      <c r="N2839">
        <f>IF(ISBLANK('ENGAGEMENTS 2026'!B2839),"",'ENGAGEMENTS 2026'!K2839)</f>
        <v/>
      </c>
      <c r="O2839">
        <f>IF(ISBLANK('ENGAGEMENTS 2026'!B2839),"",'ENGAGEMENTS 2026'!L2839)</f>
        <v/>
      </c>
      <c r="P2839">
        <f>IF(ISBLANK('ENGAGEMENTS 2026'!B2839),"",'ENGAGEMENTS 2026'!J2839)</f>
        <v/>
      </c>
      <c r="Q2839">
        <f>IF($A2839="","",IF(OR($E2839="INFRUCTUEUX",$E2839="ANNULE"),$A2839&amp;"|"&amp;(COUNTIFS($A$2:$A2839,$A2839,$E$2:$E2839,"INFRUCTUEUX")+COUNTIFS($A$2:$A2839,$A2839,$E$2:$E2839,"ANNULE")),""))</f>
        <v/>
      </c>
    </row>
    <row r="2840">
      <c r="A2840">
        <f>IF(ISBLANK('ENGAGEMENTS 2026'!B2840),"",IF('ENGAGEMENTS 2026'!B2840="DTSI","DCT",'ENGAGEMENTS 2026'!B2840))</f>
        <v/>
      </c>
      <c r="B2840">
        <f>IF(ISBLANK('ENGAGEMENTS 2026'!B2840),"",'ENGAGEMENTS 2026'!C2840)</f>
        <v/>
      </c>
      <c r="C2840">
        <f>IF(ISBLANK('ENGAGEMENTS 2026'!B2840),"",'ENGAGEMENTS 2026'!D2840)</f>
        <v/>
      </c>
      <c r="D2840">
        <f>IF(ISBLANK('ENGAGEMENTS 2026'!B2840),"",'ENGAGEMENTS 2026'!F2840)</f>
        <v/>
      </c>
      <c r="E2840">
        <f>IF(ISBLANK('ENGAGEMENTS 2026'!B2840),"",'ENGAGEMENTS 2026'!H2840)</f>
        <v/>
      </c>
      <c r="F2840">
        <f>IF(ISBLANK('ENGAGEMENTS 2026'!B2840),"",'ENGAGEMENTS 2026'!I2840)</f>
        <v/>
      </c>
      <c r="G2840">
        <f>IF(ISBLANK('ENGAGEMENTS 2026'!B2840),"",'ENGAGEMENTS 2026'!L2840)</f>
        <v/>
      </c>
      <c r="H2840">
        <f>IF(ISBLANK('ENGAGEMENTS 2026'!B2840),"",'ENGAGEMENTS 2026'!AE2840)</f>
        <v/>
      </c>
      <c r="I2840">
        <f>IF(ISBLANK('ENGAGEMENTS 2026'!B2840),"",'ENGAGEMENTS 2026'!G2840)</f>
        <v/>
      </c>
      <c r="J2840" s="275">
        <f>IF(ISBLANK('ENGAGEMENTS 2026'!B2840),"",IF(AND(OR($E2840="INFRUCTUEUX",$E2840="ANNULE"),$C2840="AOO-M"),'ENGAGEMENTS 2026'!O2840,IF($H2840="EN COURS DE PREENGAGEMENT",'ENGAGEMENTS 2026'!N2840,IF($H2840="PREENGAGE",IF($E2840="ATTRIBUE",'ENGAGEMENTS 2026'!AD2840,'ENGAGEMENTS 2026'!N2840),'ENGAGEMENTS 2026'!AD2840))))</f>
        <v/>
      </c>
      <c r="K2840" s="604">
        <f>IF(ISBLANK('ENGAGEMENTS 2026'!V2840),"",'ENGAGEMENTS 2026'!V2840)</f>
        <v/>
      </c>
      <c r="L2840" s="276">
        <f>IF($K2840="","",TODAY()-$K2840)</f>
        <v/>
      </c>
      <c r="M2840">
        <f>IF($A2840="","",IF($H2840="ENGAGE","Engagé",IF(AND($H2840="NON ENGAGE",OR($I2840="INFRUCTUEUX",$I2840="ANNULE")),"Clôturé sans suite","En cours")))</f>
        <v/>
      </c>
      <c r="N2840">
        <f>IF(ISBLANK('ENGAGEMENTS 2026'!B2840),"",'ENGAGEMENTS 2026'!K2840)</f>
        <v/>
      </c>
      <c r="O2840">
        <f>IF(ISBLANK('ENGAGEMENTS 2026'!B2840),"",'ENGAGEMENTS 2026'!L2840)</f>
        <v/>
      </c>
      <c r="P2840">
        <f>IF(ISBLANK('ENGAGEMENTS 2026'!B2840),"",'ENGAGEMENTS 2026'!J2840)</f>
        <v/>
      </c>
      <c r="Q2840">
        <f>IF($A2840="","",IF(OR($E2840="INFRUCTUEUX",$E2840="ANNULE"),$A2840&amp;"|"&amp;(COUNTIFS($A$2:$A2840,$A2840,$E$2:$E2840,"INFRUCTUEUX")+COUNTIFS($A$2:$A2840,$A2840,$E$2:$E2840,"ANNULE")),""))</f>
        <v/>
      </c>
    </row>
    <row r="2841">
      <c r="A2841">
        <f>IF(ISBLANK('ENGAGEMENTS 2026'!B2841),"",IF('ENGAGEMENTS 2026'!B2841="DTSI","DCT",'ENGAGEMENTS 2026'!B2841))</f>
        <v/>
      </c>
      <c r="B2841">
        <f>IF(ISBLANK('ENGAGEMENTS 2026'!B2841),"",'ENGAGEMENTS 2026'!C2841)</f>
        <v/>
      </c>
      <c r="C2841">
        <f>IF(ISBLANK('ENGAGEMENTS 2026'!B2841),"",'ENGAGEMENTS 2026'!D2841)</f>
        <v/>
      </c>
      <c r="D2841">
        <f>IF(ISBLANK('ENGAGEMENTS 2026'!B2841),"",'ENGAGEMENTS 2026'!F2841)</f>
        <v/>
      </c>
      <c r="E2841">
        <f>IF(ISBLANK('ENGAGEMENTS 2026'!B2841),"",'ENGAGEMENTS 2026'!H2841)</f>
        <v/>
      </c>
      <c r="F2841">
        <f>IF(ISBLANK('ENGAGEMENTS 2026'!B2841),"",'ENGAGEMENTS 2026'!I2841)</f>
        <v/>
      </c>
      <c r="G2841">
        <f>IF(ISBLANK('ENGAGEMENTS 2026'!B2841),"",'ENGAGEMENTS 2026'!L2841)</f>
        <v/>
      </c>
      <c r="H2841">
        <f>IF(ISBLANK('ENGAGEMENTS 2026'!B2841),"",'ENGAGEMENTS 2026'!AE2841)</f>
        <v/>
      </c>
      <c r="I2841">
        <f>IF(ISBLANK('ENGAGEMENTS 2026'!B2841),"",'ENGAGEMENTS 2026'!G2841)</f>
        <v/>
      </c>
      <c r="J2841" s="275">
        <f>IF(ISBLANK('ENGAGEMENTS 2026'!B2841),"",IF(AND(OR($E2841="INFRUCTUEUX",$E2841="ANNULE"),$C2841="AOO-M"),'ENGAGEMENTS 2026'!O2841,IF($H2841="EN COURS DE PREENGAGEMENT",'ENGAGEMENTS 2026'!N2841,IF($H2841="PREENGAGE",IF($E2841="ATTRIBUE",'ENGAGEMENTS 2026'!AD2841,'ENGAGEMENTS 2026'!N2841),'ENGAGEMENTS 2026'!AD2841))))</f>
        <v/>
      </c>
      <c r="K2841" s="604">
        <f>IF(ISBLANK('ENGAGEMENTS 2026'!V2841),"",'ENGAGEMENTS 2026'!V2841)</f>
        <v/>
      </c>
      <c r="L2841" s="276">
        <f>IF($K2841="","",TODAY()-$K2841)</f>
        <v/>
      </c>
      <c r="M2841">
        <f>IF($A2841="","",IF($H2841="ENGAGE","Engagé",IF(AND($H2841="NON ENGAGE",OR($I2841="INFRUCTUEUX",$I2841="ANNULE")),"Clôturé sans suite","En cours")))</f>
        <v/>
      </c>
      <c r="N2841">
        <f>IF(ISBLANK('ENGAGEMENTS 2026'!B2841),"",'ENGAGEMENTS 2026'!K2841)</f>
        <v/>
      </c>
      <c r="O2841">
        <f>IF(ISBLANK('ENGAGEMENTS 2026'!B2841),"",'ENGAGEMENTS 2026'!L2841)</f>
        <v/>
      </c>
      <c r="P2841">
        <f>IF(ISBLANK('ENGAGEMENTS 2026'!B2841),"",'ENGAGEMENTS 2026'!J2841)</f>
        <v/>
      </c>
      <c r="Q2841">
        <f>IF($A2841="","",IF(OR($E2841="INFRUCTUEUX",$E2841="ANNULE"),$A2841&amp;"|"&amp;(COUNTIFS($A$2:$A2841,$A2841,$E$2:$E2841,"INFRUCTUEUX")+COUNTIFS($A$2:$A2841,$A2841,$E$2:$E2841,"ANNULE")),""))</f>
        <v/>
      </c>
    </row>
    <row r="2842">
      <c r="A2842">
        <f>IF(ISBLANK('ENGAGEMENTS 2026'!B2842),"",IF('ENGAGEMENTS 2026'!B2842="DTSI","DCT",'ENGAGEMENTS 2026'!B2842))</f>
        <v/>
      </c>
      <c r="B2842">
        <f>IF(ISBLANK('ENGAGEMENTS 2026'!B2842),"",'ENGAGEMENTS 2026'!C2842)</f>
        <v/>
      </c>
      <c r="C2842">
        <f>IF(ISBLANK('ENGAGEMENTS 2026'!B2842),"",'ENGAGEMENTS 2026'!D2842)</f>
        <v/>
      </c>
      <c r="D2842">
        <f>IF(ISBLANK('ENGAGEMENTS 2026'!B2842),"",'ENGAGEMENTS 2026'!F2842)</f>
        <v/>
      </c>
      <c r="E2842">
        <f>IF(ISBLANK('ENGAGEMENTS 2026'!B2842),"",'ENGAGEMENTS 2026'!H2842)</f>
        <v/>
      </c>
      <c r="F2842">
        <f>IF(ISBLANK('ENGAGEMENTS 2026'!B2842),"",'ENGAGEMENTS 2026'!I2842)</f>
        <v/>
      </c>
      <c r="G2842">
        <f>IF(ISBLANK('ENGAGEMENTS 2026'!B2842),"",'ENGAGEMENTS 2026'!L2842)</f>
        <v/>
      </c>
      <c r="H2842">
        <f>IF(ISBLANK('ENGAGEMENTS 2026'!B2842),"",'ENGAGEMENTS 2026'!AE2842)</f>
        <v/>
      </c>
      <c r="I2842">
        <f>IF(ISBLANK('ENGAGEMENTS 2026'!B2842),"",'ENGAGEMENTS 2026'!G2842)</f>
        <v/>
      </c>
      <c r="J2842" s="275">
        <f>IF(ISBLANK('ENGAGEMENTS 2026'!B2842),"",IF(AND(OR($E2842="INFRUCTUEUX",$E2842="ANNULE"),$C2842="AOO-M"),'ENGAGEMENTS 2026'!O2842,IF($H2842="EN COURS DE PREENGAGEMENT",'ENGAGEMENTS 2026'!N2842,IF($H2842="PREENGAGE",IF($E2842="ATTRIBUE",'ENGAGEMENTS 2026'!AD2842,'ENGAGEMENTS 2026'!N2842),'ENGAGEMENTS 2026'!AD2842))))</f>
        <v/>
      </c>
      <c r="K2842" s="604">
        <f>IF(ISBLANK('ENGAGEMENTS 2026'!V2842),"",'ENGAGEMENTS 2026'!V2842)</f>
        <v/>
      </c>
      <c r="L2842" s="276">
        <f>IF($K2842="","",TODAY()-$K2842)</f>
        <v/>
      </c>
      <c r="M2842">
        <f>IF($A2842="","",IF($H2842="ENGAGE","Engagé",IF(AND($H2842="NON ENGAGE",OR($I2842="INFRUCTUEUX",$I2842="ANNULE")),"Clôturé sans suite","En cours")))</f>
        <v/>
      </c>
      <c r="N2842">
        <f>IF(ISBLANK('ENGAGEMENTS 2026'!B2842),"",'ENGAGEMENTS 2026'!K2842)</f>
        <v/>
      </c>
      <c r="O2842">
        <f>IF(ISBLANK('ENGAGEMENTS 2026'!B2842),"",'ENGAGEMENTS 2026'!L2842)</f>
        <v/>
      </c>
      <c r="P2842">
        <f>IF(ISBLANK('ENGAGEMENTS 2026'!B2842),"",'ENGAGEMENTS 2026'!J2842)</f>
        <v/>
      </c>
      <c r="Q2842">
        <f>IF($A2842="","",IF(OR($E2842="INFRUCTUEUX",$E2842="ANNULE"),$A2842&amp;"|"&amp;(COUNTIFS($A$2:$A2842,$A2842,$E$2:$E2842,"INFRUCTUEUX")+COUNTIFS($A$2:$A2842,$A2842,$E$2:$E2842,"ANNULE")),""))</f>
        <v/>
      </c>
    </row>
    <row r="2843">
      <c r="A2843">
        <f>IF(ISBLANK('ENGAGEMENTS 2026'!B2843),"",IF('ENGAGEMENTS 2026'!B2843="DTSI","DCT",'ENGAGEMENTS 2026'!B2843))</f>
        <v/>
      </c>
      <c r="B2843">
        <f>IF(ISBLANK('ENGAGEMENTS 2026'!B2843),"",'ENGAGEMENTS 2026'!C2843)</f>
        <v/>
      </c>
      <c r="C2843">
        <f>IF(ISBLANK('ENGAGEMENTS 2026'!B2843),"",'ENGAGEMENTS 2026'!D2843)</f>
        <v/>
      </c>
      <c r="D2843">
        <f>IF(ISBLANK('ENGAGEMENTS 2026'!B2843),"",'ENGAGEMENTS 2026'!F2843)</f>
        <v/>
      </c>
      <c r="E2843">
        <f>IF(ISBLANK('ENGAGEMENTS 2026'!B2843),"",'ENGAGEMENTS 2026'!H2843)</f>
        <v/>
      </c>
      <c r="F2843">
        <f>IF(ISBLANK('ENGAGEMENTS 2026'!B2843),"",'ENGAGEMENTS 2026'!I2843)</f>
        <v/>
      </c>
      <c r="G2843">
        <f>IF(ISBLANK('ENGAGEMENTS 2026'!B2843),"",'ENGAGEMENTS 2026'!L2843)</f>
        <v/>
      </c>
      <c r="H2843">
        <f>IF(ISBLANK('ENGAGEMENTS 2026'!B2843),"",'ENGAGEMENTS 2026'!AE2843)</f>
        <v/>
      </c>
      <c r="I2843">
        <f>IF(ISBLANK('ENGAGEMENTS 2026'!B2843),"",'ENGAGEMENTS 2026'!G2843)</f>
        <v/>
      </c>
      <c r="J2843" s="275">
        <f>IF(ISBLANK('ENGAGEMENTS 2026'!B2843),"",IF(AND(OR($E2843="INFRUCTUEUX",$E2843="ANNULE"),$C2843="AOO-M"),'ENGAGEMENTS 2026'!O2843,IF($H2843="EN COURS DE PREENGAGEMENT",'ENGAGEMENTS 2026'!N2843,IF($H2843="PREENGAGE",IF($E2843="ATTRIBUE",'ENGAGEMENTS 2026'!AD2843,'ENGAGEMENTS 2026'!N2843),'ENGAGEMENTS 2026'!AD2843))))</f>
        <v/>
      </c>
      <c r="K2843" s="604">
        <f>IF(ISBLANK('ENGAGEMENTS 2026'!V2843),"",'ENGAGEMENTS 2026'!V2843)</f>
        <v/>
      </c>
      <c r="L2843" s="276">
        <f>IF($K2843="","",TODAY()-$K2843)</f>
        <v/>
      </c>
      <c r="M2843">
        <f>IF($A2843="","",IF($H2843="ENGAGE","Engagé",IF(AND($H2843="NON ENGAGE",OR($I2843="INFRUCTUEUX",$I2843="ANNULE")),"Clôturé sans suite","En cours")))</f>
        <v/>
      </c>
      <c r="N2843">
        <f>IF(ISBLANK('ENGAGEMENTS 2026'!B2843),"",'ENGAGEMENTS 2026'!K2843)</f>
        <v/>
      </c>
      <c r="O2843">
        <f>IF(ISBLANK('ENGAGEMENTS 2026'!B2843),"",'ENGAGEMENTS 2026'!L2843)</f>
        <v/>
      </c>
      <c r="P2843">
        <f>IF(ISBLANK('ENGAGEMENTS 2026'!B2843),"",'ENGAGEMENTS 2026'!J2843)</f>
        <v/>
      </c>
      <c r="Q2843">
        <f>IF($A2843="","",IF(OR($E2843="INFRUCTUEUX",$E2843="ANNULE"),$A2843&amp;"|"&amp;(COUNTIFS($A$2:$A2843,$A2843,$E$2:$E2843,"INFRUCTUEUX")+COUNTIFS($A$2:$A2843,$A2843,$E$2:$E2843,"ANNULE")),""))</f>
        <v/>
      </c>
    </row>
    <row r="2844">
      <c r="A2844">
        <f>IF(ISBLANK('ENGAGEMENTS 2026'!B2844),"",IF('ENGAGEMENTS 2026'!B2844="DTSI","DCT",'ENGAGEMENTS 2026'!B2844))</f>
        <v/>
      </c>
      <c r="B2844">
        <f>IF(ISBLANK('ENGAGEMENTS 2026'!B2844),"",'ENGAGEMENTS 2026'!C2844)</f>
        <v/>
      </c>
      <c r="C2844">
        <f>IF(ISBLANK('ENGAGEMENTS 2026'!B2844),"",'ENGAGEMENTS 2026'!D2844)</f>
        <v/>
      </c>
      <c r="D2844">
        <f>IF(ISBLANK('ENGAGEMENTS 2026'!B2844),"",'ENGAGEMENTS 2026'!F2844)</f>
        <v/>
      </c>
      <c r="E2844">
        <f>IF(ISBLANK('ENGAGEMENTS 2026'!B2844),"",'ENGAGEMENTS 2026'!H2844)</f>
        <v/>
      </c>
      <c r="F2844">
        <f>IF(ISBLANK('ENGAGEMENTS 2026'!B2844),"",'ENGAGEMENTS 2026'!I2844)</f>
        <v/>
      </c>
      <c r="G2844">
        <f>IF(ISBLANK('ENGAGEMENTS 2026'!B2844),"",'ENGAGEMENTS 2026'!L2844)</f>
        <v/>
      </c>
      <c r="H2844">
        <f>IF(ISBLANK('ENGAGEMENTS 2026'!B2844),"",'ENGAGEMENTS 2026'!AE2844)</f>
        <v/>
      </c>
      <c r="I2844">
        <f>IF(ISBLANK('ENGAGEMENTS 2026'!B2844),"",'ENGAGEMENTS 2026'!G2844)</f>
        <v/>
      </c>
      <c r="J2844" s="275">
        <f>IF(ISBLANK('ENGAGEMENTS 2026'!B2844),"",IF(AND(OR($E2844="INFRUCTUEUX",$E2844="ANNULE"),$C2844="AOO-M"),'ENGAGEMENTS 2026'!O2844,IF($H2844="EN COURS DE PREENGAGEMENT",'ENGAGEMENTS 2026'!N2844,IF($H2844="PREENGAGE",IF($E2844="ATTRIBUE",'ENGAGEMENTS 2026'!AD2844,'ENGAGEMENTS 2026'!N2844),'ENGAGEMENTS 2026'!AD2844))))</f>
        <v/>
      </c>
      <c r="K2844" s="604">
        <f>IF(ISBLANK('ENGAGEMENTS 2026'!V2844),"",'ENGAGEMENTS 2026'!V2844)</f>
        <v/>
      </c>
      <c r="L2844" s="276">
        <f>IF($K2844="","",TODAY()-$K2844)</f>
        <v/>
      </c>
      <c r="M2844">
        <f>IF($A2844="","",IF($H2844="ENGAGE","Engagé",IF(AND($H2844="NON ENGAGE",OR($I2844="INFRUCTUEUX",$I2844="ANNULE")),"Clôturé sans suite","En cours")))</f>
        <v/>
      </c>
      <c r="N2844">
        <f>IF(ISBLANK('ENGAGEMENTS 2026'!B2844),"",'ENGAGEMENTS 2026'!K2844)</f>
        <v/>
      </c>
      <c r="O2844">
        <f>IF(ISBLANK('ENGAGEMENTS 2026'!B2844),"",'ENGAGEMENTS 2026'!L2844)</f>
        <v/>
      </c>
      <c r="P2844">
        <f>IF(ISBLANK('ENGAGEMENTS 2026'!B2844),"",'ENGAGEMENTS 2026'!J2844)</f>
        <v/>
      </c>
      <c r="Q2844">
        <f>IF($A2844="","",IF(OR($E2844="INFRUCTUEUX",$E2844="ANNULE"),$A2844&amp;"|"&amp;(COUNTIFS($A$2:$A2844,$A2844,$E$2:$E2844,"INFRUCTUEUX")+COUNTIFS($A$2:$A2844,$A2844,$E$2:$E2844,"ANNULE")),""))</f>
        <v/>
      </c>
    </row>
    <row r="2845">
      <c r="A2845">
        <f>IF(ISBLANK('ENGAGEMENTS 2026'!B2845),"",IF('ENGAGEMENTS 2026'!B2845="DTSI","DCT",'ENGAGEMENTS 2026'!B2845))</f>
        <v/>
      </c>
      <c r="B2845">
        <f>IF(ISBLANK('ENGAGEMENTS 2026'!B2845),"",'ENGAGEMENTS 2026'!C2845)</f>
        <v/>
      </c>
      <c r="C2845">
        <f>IF(ISBLANK('ENGAGEMENTS 2026'!B2845),"",'ENGAGEMENTS 2026'!D2845)</f>
        <v/>
      </c>
      <c r="D2845">
        <f>IF(ISBLANK('ENGAGEMENTS 2026'!B2845),"",'ENGAGEMENTS 2026'!F2845)</f>
        <v/>
      </c>
      <c r="E2845">
        <f>IF(ISBLANK('ENGAGEMENTS 2026'!B2845),"",'ENGAGEMENTS 2026'!H2845)</f>
        <v/>
      </c>
      <c r="F2845">
        <f>IF(ISBLANK('ENGAGEMENTS 2026'!B2845),"",'ENGAGEMENTS 2026'!I2845)</f>
        <v/>
      </c>
      <c r="G2845">
        <f>IF(ISBLANK('ENGAGEMENTS 2026'!B2845),"",'ENGAGEMENTS 2026'!L2845)</f>
        <v/>
      </c>
      <c r="H2845">
        <f>IF(ISBLANK('ENGAGEMENTS 2026'!B2845),"",'ENGAGEMENTS 2026'!AE2845)</f>
        <v/>
      </c>
      <c r="I2845">
        <f>IF(ISBLANK('ENGAGEMENTS 2026'!B2845),"",'ENGAGEMENTS 2026'!G2845)</f>
        <v/>
      </c>
      <c r="J2845" s="275">
        <f>IF(ISBLANK('ENGAGEMENTS 2026'!B2845),"",IF(AND(OR($E2845="INFRUCTUEUX",$E2845="ANNULE"),$C2845="AOO-M"),'ENGAGEMENTS 2026'!O2845,IF($H2845="EN COURS DE PREENGAGEMENT",'ENGAGEMENTS 2026'!N2845,IF($H2845="PREENGAGE",IF($E2845="ATTRIBUE",'ENGAGEMENTS 2026'!AD2845,'ENGAGEMENTS 2026'!N2845),'ENGAGEMENTS 2026'!AD2845))))</f>
        <v/>
      </c>
      <c r="K2845" s="604">
        <f>IF(ISBLANK('ENGAGEMENTS 2026'!V2845),"",'ENGAGEMENTS 2026'!V2845)</f>
        <v/>
      </c>
      <c r="L2845" s="276">
        <f>IF($K2845="","",TODAY()-$K2845)</f>
        <v/>
      </c>
      <c r="M2845">
        <f>IF($A2845="","",IF($H2845="ENGAGE","Engagé",IF(AND($H2845="NON ENGAGE",OR($I2845="INFRUCTUEUX",$I2845="ANNULE")),"Clôturé sans suite","En cours")))</f>
        <v/>
      </c>
      <c r="N2845">
        <f>IF(ISBLANK('ENGAGEMENTS 2026'!B2845),"",'ENGAGEMENTS 2026'!K2845)</f>
        <v/>
      </c>
      <c r="O2845">
        <f>IF(ISBLANK('ENGAGEMENTS 2026'!B2845),"",'ENGAGEMENTS 2026'!L2845)</f>
        <v/>
      </c>
      <c r="P2845">
        <f>IF(ISBLANK('ENGAGEMENTS 2026'!B2845),"",'ENGAGEMENTS 2026'!J2845)</f>
        <v/>
      </c>
      <c r="Q2845">
        <f>IF($A2845="","",IF(OR($E2845="INFRUCTUEUX",$E2845="ANNULE"),$A2845&amp;"|"&amp;(COUNTIFS($A$2:$A2845,$A2845,$E$2:$E2845,"INFRUCTUEUX")+COUNTIFS($A$2:$A2845,$A2845,$E$2:$E2845,"ANNULE")),""))</f>
        <v/>
      </c>
    </row>
    <row r="2846">
      <c r="A2846">
        <f>IF(ISBLANK('ENGAGEMENTS 2026'!B2846),"",IF('ENGAGEMENTS 2026'!B2846="DTSI","DCT",'ENGAGEMENTS 2026'!B2846))</f>
        <v/>
      </c>
      <c r="B2846">
        <f>IF(ISBLANK('ENGAGEMENTS 2026'!B2846),"",'ENGAGEMENTS 2026'!C2846)</f>
        <v/>
      </c>
      <c r="C2846">
        <f>IF(ISBLANK('ENGAGEMENTS 2026'!B2846),"",'ENGAGEMENTS 2026'!D2846)</f>
        <v/>
      </c>
      <c r="D2846">
        <f>IF(ISBLANK('ENGAGEMENTS 2026'!B2846),"",'ENGAGEMENTS 2026'!F2846)</f>
        <v/>
      </c>
      <c r="E2846">
        <f>IF(ISBLANK('ENGAGEMENTS 2026'!B2846),"",'ENGAGEMENTS 2026'!H2846)</f>
        <v/>
      </c>
      <c r="F2846">
        <f>IF(ISBLANK('ENGAGEMENTS 2026'!B2846),"",'ENGAGEMENTS 2026'!I2846)</f>
        <v/>
      </c>
      <c r="G2846">
        <f>IF(ISBLANK('ENGAGEMENTS 2026'!B2846),"",'ENGAGEMENTS 2026'!L2846)</f>
        <v/>
      </c>
      <c r="H2846">
        <f>IF(ISBLANK('ENGAGEMENTS 2026'!B2846),"",'ENGAGEMENTS 2026'!AE2846)</f>
        <v/>
      </c>
      <c r="I2846">
        <f>IF(ISBLANK('ENGAGEMENTS 2026'!B2846),"",'ENGAGEMENTS 2026'!G2846)</f>
        <v/>
      </c>
      <c r="J2846" s="275">
        <f>IF(ISBLANK('ENGAGEMENTS 2026'!B2846),"",IF(AND(OR($E2846="INFRUCTUEUX",$E2846="ANNULE"),$C2846="AOO-M"),'ENGAGEMENTS 2026'!O2846,IF($H2846="EN COURS DE PREENGAGEMENT",'ENGAGEMENTS 2026'!N2846,IF($H2846="PREENGAGE",IF($E2846="ATTRIBUE",'ENGAGEMENTS 2026'!AD2846,'ENGAGEMENTS 2026'!N2846),'ENGAGEMENTS 2026'!AD2846))))</f>
        <v/>
      </c>
      <c r="K2846" s="604">
        <f>IF(ISBLANK('ENGAGEMENTS 2026'!V2846),"",'ENGAGEMENTS 2026'!V2846)</f>
        <v/>
      </c>
      <c r="L2846" s="276">
        <f>IF($K2846="","",TODAY()-$K2846)</f>
        <v/>
      </c>
      <c r="M2846">
        <f>IF($A2846="","",IF($H2846="ENGAGE","Engagé",IF(AND($H2846="NON ENGAGE",OR($I2846="INFRUCTUEUX",$I2846="ANNULE")),"Clôturé sans suite","En cours")))</f>
        <v/>
      </c>
      <c r="N2846">
        <f>IF(ISBLANK('ENGAGEMENTS 2026'!B2846),"",'ENGAGEMENTS 2026'!K2846)</f>
        <v/>
      </c>
      <c r="O2846">
        <f>IF(ISBLANK('ENGAGEMENTS 2026'!B2846),"",'ENGAGEMENTS 2026'!L2846)</f>
        <v/>
      </c>
      <c r="P2846">
        <f>IF(ISBLANK('ENGAGEMENTS 2026'!B2846),"",'ENGAGEMENTS 2026'!J2846)</f>
        <v/>
      </c>
      <c r="Q2846">
        <f>IF($A2846="","",IF(OR($E2846="INFRUCTUEUX",$E2846="ANNULE"),$A2846&amp;"|"&amp;(COUNTIFS($A$2:$A2846,$A2846,$E$2:$E2846,"INFRUCTUEUX")+COUNTIFS($A$2:$A2846,$A2846,$E$2:$E2846,"ANNULE")),""))</f>
        <v/>
      </c>
    </row>
    <row r="2847">
      <c r="A2847">
        <f>IF(ISBLANK('ENGAGEMENTS 2026'!B2847),"",IF('ENGAGEMENTS 2026'!B2847="DTSI","DCT",'ENGAGEMENTS 2026'!B2847))</f>
        <v/>
      </c>
      <c r="B2847">
        <f>IF(ISBLANK('ENGAGEMENTS 2026'!B2847),"",'ENGAGEMENTS 2026'!C2847)</f>
        <v/>
      </c>
      <c r="C2847">
        <f>IF(ISBLANK('ENGAGEMENTS 2026'!B2847),"",'ENGAGEMENTS 2026'!D2847)</f>
        <v/>
      </c>
      <c r="D2847">
        <f>IF(ISBLANK('ENGAGEMENTS 2026'!B2847),"",'ENGAGEMENTS 2026'!F2847)</f>
        <v/>
      </c>
      <c r="E2847">
        <f>IF(ISBLANK('ENGAGEMENTS 2026'!B2847),"",'ENGAGEMENTS 2026'!H2847)</f>
        <v/>
      </c>
      <c r="F2847">
        <f>IF(ISBLANK('ENGAGEMENTS 2026'!B2847),"",'ENGAGEMENTS 2026'!I2847)</f>
        <v/>
      </c>
      <c r="G2847">
        <f>IF(ISBLANK('ENGAGEMENTS 2026'!B2847),"",'ENGAGEMENTS 2026'!L2847)</f>
        <v/>
      </c>
      <c r="H2847">
        <f>IF(ISBLANK('ENGAGEMENTS 2026'!B2847),"",'ENGAGEMENTS 2026'!AE2847)</f>
        <v/>
      </c>
      <c r="I2847">
        <f>IF(ISBLANK('ENGAGEMENTS 2026'!B2847),"",'ENGAGEMENTS 2026'!G2847)</f>
        <v/>
      </c>
      <c r="J2847" s="275">
        <f>IF(ISBLANK('ENGAGEMENTS 2026'!B2847),"",IF(AND(OR($E2847="INFRUCTUEUX",$E2847="ANNULE"),$C2847="AOO-M"),'ENGAGEMENTS 2026'!O2847,IF($H2847="EN COURS DE PREENGAGEMENT",'ENGAGEMENTS 2026'!N2847,IF($H2847="PREENGAGE",IF($E2847="ATTRIBUE",'ENGAGEMENTS 2026'!AD2847,'ENGAGEMENTS 2026'!N2847),'ENGAGEMENTS 2026'!AD2847))))</f>
        <v/>
      </c>
      <c r="K2847" s="604">
        <f>IF(ISBLANK('ENGAGEMENTS 2026'!V2847),"",'ENGAGEMENTS 2026'!V2847)</f>
        <v/>
      </c>
      <c r="L2847" s="276">
        <f>IF($K2847="","",TODAY()-$K2847)</f>
        <v/>
      </c>
      <c r="M2847">
        <f>IF($A2847="","",IF($H2847="ENGAGE","Engagé",IF(AND($H2847="NON ENGAGE",OR($I2847="INFRUCTUEUX",$I2847="ANNULE")),"Clôturé sans suite","En cours")))</f>
        <v/>
      </c>
      <c r="N2847">
        <f>IF(ISBLANK('ENGAGEMENTS 2026'!B2847),"",'ENGAGEMENTS 2026'!K2847)</f>
        <v/>
      </c>
      <c r="O2847">
        <f>IF(ISBLANK('ENGAGEMENTS 2026'!B2847),"",'ENGAGEMENTS 2026'!L2847)</f>
        <v/>
      </c>
      <c r="P2847">
        <f>IF(ISBLANK('ENGAGEMENTS 2026'!B2847),"",'ENGAGEMENTS 2026'!J2847)</f>
        <v/>
      </c>
      <c r="Q2847">
        <f>IF($A2847="","",IF(OR($E2847="INFRUCTUEUX",$E2847="ANNULE"),$A2847&amp;"|"&amp;(COUNTIFS($A$2:$A2847,$A2847,$E$2:$E2847,"INFRUCTUEUX")+COUNTIFS($A$2:$A2847,$A2847,$E$2:$E2847,"ANNULE")),""))</f>
        <v/>
      </c>
    </row>
    <row r="2848">
      <c r="A2848">
        <f>IF(ISBLANK('ENGAGEMENTS 2026'!B2848),"",IF('ENGAGEMENTS 2026'!B2848="DTSI","DCT",'ENGAGEMENTS 2026'!B2848))</f>
        <v/>
      </c>
      <c r="B2848">
        <f>IF(ISBLANK('ENGAGEMENTS 2026'!B2848),"",'ENGAGEMENTS 2026'!C2848)</f>
        <v/>
      </c>
      <c r="C2848">
        <f>IF(ISBLANK('ENGAGEMENTS 2026'!B2848),"",'ENGAGEMENTS 2026'!D2848)</f>
        <v/>
      </c>
      <c r="D2848">
        <f>IF(ISBLANK('ENGAGEMENTS 2026'!B2848),"",'ENGAGEMENTS 2026'!F2848)</f>
        <v/>
      </c>
      <c r="E2848">
        <f>IF(ISBLANK('ENGAGEMENTS 2026'!B2848),"",'ENGAGEMENTS 2026'!H2848)</f>
        <v/>
      </c>
      <c r="F2848">
        <f>IF(ISBLANK('ENGAGEMENTS 2026'!B2848),"",'ENGAGEMENTS 2026'!I2848)</f>
        <v/>
      </c>
      <c r="G2848">
        <f>IF(ISBLANK('ENGAGEMENTS 2026'!B2848),"",'ENGAGEMENTS 2026'!L2848)</f>
        <v/>
      </c>
      <c r="H2848">
        <f>IF(ISBLANK('ENGAGEMENTS 2026'!B2848),"",'ENGAGEMENTS 2026'!AE2848)</f>
        <v/>
      </c>
      <c r="I2848">
        <f>IF(ISBLANK('ENGAGEMENTS 2026'!B2848),"",'ENGAGEMENTS 2026'!G2848)</f>
        <v/>
      </c>
      <c r="J2848" s="275">
        <f>IF(ISBLANK('ENGAGEMENTS 2026'!B2848),"",IF(AND(OR($E2848="INFRUCTUEUX",$E2848="ANNULE"),$C2848="AOO-M"),'ENGAGEMENTS 2026'!O2848,IF($H2848="EN COURS DE PREENGAGEMENT",'ENGAGEMENTS 2026'!N2848,IF($H2848="PREENGAGE",IF($E2848="ATTRIBUE",'ENGAGEMENTS 2026'!AD2848,'ENGAGEMENTS 2026'!N2848),'ENGAGEMENTS 2026'!AD2848))))</f>
        <v/>
      </c>
      <c r="K2848" s="604">
        <f>IF(ISBLANK('ENGAGEMENTS 2026'!V2848),"",'ENGAGEMENTS 2026'!V2848)</f>
        <v/>
      </c>
      <c r="L2848" s="276">
        <f>IF($K2848="","",TODAY()-$K2848)</f>
        <v/>
      </c>
      <c r="M2848">
        <f>IF($A2848="","",IF($H2848="ENGAGE","Engagé",IF(AND($H2848="NON ENGAGE",OR($I2848="INFRUCTUEUX",$I2848="ANNULE")),"Clôturé sans suite","En cours")))</f>
        <v/>
      </c>
      <c r="N2848">
        <f>IF(ISBLANK('ENGAGEMENTS 2026'!B2848),"",'ENGAGEMENTS 2026'!K2848)</f>
        <v/>
      </c>
      <c r="O2848">
        <f>IF(ISBLANK('ENGAGEMENTS 2026'!B2848),"",'ENGAGEMENTS 2026'!L2848)</f>
        <v/>
      </c>
      <c r="P2848">
        <f>IF(ISBLANK('ENGAGEMENTS 2026'!B2848),"",'ENGAGEMENTS 2026'!J2848)</f>
        <v/>
      </c>
      <c r="Q2848">
        <f>IF($A2848="","",IF(OR($E2848="INFRUCTUEUX",$E2848="ANNULE"),$A2848&amp;"|"&amp;(COUNTIFS($A$2:$A2848,$A2848,$E$2:$E2848,"INFRUCTUEUX")+COUNTIFS($A$2:$A2848,$A2848,$E$2:$E2848,"ANNULE")),""))</f>
        <v/>
      </c>
    </row>
    <row r="2849">
      <c r="A2849">
        <f>IF(ISBLANK('ENGAGEMENTS 2026'!B2849),"",IF('ENGAGEMENTS 2026'!B2849="DTSI","DCT",'ENGAGEMENTS 2026'!B2849))</f>
        <v/>
      </c>
      <c r="B2849">
        <f>IF(ISBLANK('ENGAGEMENTS 2026'!B2849),"",'ENGAGEMENTS 2026'!C2849)</f>
        <v/>
      </c>
      <c r="C2849">
        <f>IF(ISBLANK('ENGAGEMENTS 2026'!B2849),"",'ENGAGEMENTS 2026'!D2849)</f>
        <v/>
      </c>
      <c r="D2849">
        <f>IF(ISBLANK('ENGAGEMENTS 2026'!B2849),"",'ENGAGEMENTS 2026'!F2849)</f>
        <v/>
      </c>
      <c r="E2849">
        <f>IF(ISBLANK('ENGAGEMENTS 2026'!B2849),"",'ENGAGEMENTS 2026'!H2849)</f>
        <v/>
      </c>
      <c r="F2849">
        <f>IF(ISBLANK('ENGAGEMENTS 2026'!B2849),"",'ENGAGEMENTS 2026'!I2849)</f>
        <v/>
      </c>
      <c r="G2849">
        <f>IF(ISBLANK('ENGAGEMENTS 2026'!B2849),"",'ENGAGEMENTS 2026'!L2849)</f>
        <v/>
      </c>
      <c r="H2849">
        <f>IF(ISBLANK('ENGAGEMENTS 2026'!B2849),"",'ENGAGEMENTS 2026'!AE2849)</f>
        <v/>
      </c>
      <c r="I2849">
        <f>IF(ISBLANK('ENGAGEMENTS 2026'!B2849),"",'ENGAGEMENTS 2026'!G2849)</f>
        <v/>
      </c>
      <c r="J2849" s="275">
        <f>IF(ISBLANK('ENGAGEMENTS 2026'!B2849),"",IF(AND(OR($E2849="INFRUCTUEUX",$E2849="ANNULE"),$C2849="AOO-M"),'ENGAGEMENTS 2026'!O2849,IF($H2849="EN COURS DE PREENGAGEMENT",'ENGAGEMENTS 2026'!N2849,IF($H2849="PREENGAGE",IF($E2849="ATTRIBUE",'ENGAGEMENTS 2026'!AD2849,'ENGAGEMENTS 2026'!N2849),'ENGAGEMENTS 2026'!AD2849))))</f>
        <v/>
      </c>
      <c r="K2849" s="604">
        <f>IF(ISBLANK('ENGAGEMENTS 2026'!V2849),"",'ENGAGEMENTS 2026'!V2849)</f>
        <v/>
      </c>
      <c r="L2849" s="276">
        <f>IF($K2849="","",TODAY()-$K2849)</f>
        <v/>
      </c>
      <c r="M2849">
        <f>IF($A2849="","",IF($H2849="ENGAGE","Engagé",IF(AND($H2849="NON ENGAGE",OR($I2849="INFRUCTUEUX",$I2849="ANNULE")),"Clôturé sans suite","En cours")))</f>
        <v/>
      </c>
      <c r="N2849">
        <f>IF(ISBLANK('ENGAGEMENTS 2026'!B2849),"",'ENGAGEMENTS 2026'!K2849)</f>
        <v/>
      </c>
      <c r="O2849">
        <f>IF(ISBLANK('ENGAGEMENTS 2026'!B2849),"",'ENGAGEMENTS 2026'!L2849)</f>
        <v/>
      </c>
      <c r="P2849">
        <f>IF(ISBLANK('ENGAGEMENTS 2026'!B2849),"",'ENGAGEMENTS 2026'!J2849)</f>
        <v/>
      </c>
      <c r="Q2849">
        <f>IF($A2849="","",IF(OR($E2849="INFRUCTUEUX",$E2849="ANNULE"),$A2849&amp;"|"&amp;(COUNTIFS($A$2:$A2849,$A2849,$E$2:$E2849,"INFRUCTUEUX")+COUNTIFS($A$2:$A2849,$A2849,$E$2:$E2849,"ANNULE")),""))</f>
        <v/>
      </c>
    </row>
    <row r="2850">
      <c r="A2850">
        <f>IF(ISBLANK('ENGAGEMENTS 2026'!B2850),"",IF('ENGAGEMENTS 2026'!B2850="DTSI","DCT",'ENGAGEMENTS 2026'!B2850))</f>
        <v/>
      </c>
      <c r="B2850">
        <f>IF(ISBLANK('ENGAGEMENTS 2026'!B2850),"",'ENGAGEMENTS 2026'!C2850)</f>
        <v/>
      </c>
      <c r="C2850">
        <f>IF(ISBLANK('ENGAGEMENTS 2026'!B2850),"",'ENGAGEMENTS 2026'!D2850)</f>
        <v/>
      </c>
      <c r="D2850">
        <f>IF(ISBLANK('ENGAGEMENTS 2026'!B2850),"",'ENGAGEMENTS 2026'!F2850)</f>
        <v/>
      </c>
      <c r="E2850">
        <f>IF(ISBLANK('ENGAGEMENTS 2026'!B2850),"",'ENGAGEMENTS 2026'!H2850)</f>
        <v/>
      </c>
      <c r="F2850">
        <f>IF(ISBLANK('ENGAGEMENTS 2026'!B2850),"",'ENGAGEMENTS 2026'!I2850)</f>
        <v/>
      </c>
      <c r="G2850">
        <f>IF(ISBLANK('ENGAGEMENTS 2026'!B2850),"",'ENGAGEMENTS 2026'!L2850)</f>
        <v/>
      </c>
      <c r="H2850">
        <f>IF(ISBLANK('ENGAGEMENTS 2026'!B2850),"",'ENGAGEMENTS 2026'!AE2850)</f>
        <v/>
      </c>
      <c r="I2850">
        <f>IF(ISBLANK('ENGAGEMENTS 2026'!B2850),"",'ENGAGEMENTS 2026'!G2850)</f>
        <v/>
      </c>
      <c r="J2850" s="275">
        <f>IF(ISBLANK('ENGAGEMENTS 2026'!B2850),"",IF(AND(OR($E2850="INFRUCTUEUX",$E2850="ANNULE"),$C2850="AOO-M"),'ENGAGEMENTS 2026'!O2850,IF($H2850="EN COURS DE PREENGAGEMENT",'ENGAGEMENTS 2026'!N2850,IF($H2850="PREENGAGE",IF($E2850="ATTRIBUE",'ENGAGEMENTS 2026'!AD2850,'ENGAGEMENTS 2026'!N2850),'ENGAGEMENTS 2026'!AD2850))))</f>
        <v/>
      </c>
      <c r="K2850" s="604">
        <f>IF(ISBLANK('ENGAGEMENTS 2026'!V2850),"",'ENGAGEMENTS 2026'!V2850)</f>
        <v/>
      </c>
      <c r="L2850" s="276">
        <f>IF($K2850="","",TODAY()-$K2850)</f>
        <v/>
      </c>
      <c r="M2850">
        <f>IF($A2850="","",IF($H2850="ENGAGE","Engagé",IF(AND($H2850="NON ENGAGE",OR($I2850="INFRUCTUEUX",$I2850="ANNULE")),"Clôturé sans suite","En cours")))</f>
        <v/>
      </c>
      <c r="N2850">
        <f>IF(ISBLANK('ENGAGEMENTS 2026'!B2850),"",'ENGAGEMENTS 2026'!K2850)</f>
        <v/>
      </c>
      <c r="O2850">
        <f>IF(ISBLANK('ENGAGEMENTS 2026'!B2850),"",'ENGAGEMENTS 2026'!L2850)</f>
        <v/>
      </c>
      <c r="P2850">
        <f>IF(ISBLANK('ENGAGEMENTS 2026'!B2850),"",'ENGAGEMENTS 2026'!J2850)</f>
        <v/>
      </c>
      <c r="Q2850">
        <f>IF($A2850="","",IF(OR($E2850="INFRUCTUEUX",$E2850="ANNULE"),$A2850&amp;"|"&amp;(COUNTIFS($A$2:$A2850,$A2850,$E$2:$E2850,"INFRUCTUEUX")+COUNTIFS($A$2:$A2850,$A2850,$E$2:$E2850,"ANNULE")),""))</f>
        <v/>
      </c>
    </row>
    <row r="2851">
      <c r="A2851">
        <f>IF(ISBLANK('ENGAGEMENTS 2026'!B2851),"",IF('ENGAGEMENTS 2026'!B2851="DTSI","DCT",'ENGAGEMENTS 2026'!B2851))</f>
        <v/>
      </c>
      <c r="B2851">
        <f>IF(ISBLANK('ENGAGEMENTS 2026'!B2851),"",'ENGAGEMENTS 2026'!C2851)</f>
        <v/>
      </c>
      <c r="C2851">
        <f>IF(ISBLANK('ENGAGEMENTS 2026'!B2851),"",'ENGAGEMENTS 2026'!D2851)</f>
        <v/>
      </c>
      <c r="D2851">
        <f>IF(ISBLANK('ENGAGEMENTS 2026'!B2851),"",'ENGAGEMENTS 2026'!F2851)</f>
        <v/>
      </c>
      <c r="E2851">
        <f>IF(ISBLANK('ENGAGEMENTS 2026'!B2851),"",'ENGAGEMENTS 2026'!H2851)</f>
        <v/>
      </c>
      <c r="F2851">
        <f>IF(ISBLANK('ENGAGEMENTS 2026'!B2851),"",'ENGAGEMENTS 2026'!I2851)</f>
        <v/>
      </c>
      <c r="G2851">
        <f>IF(ISBLANK('ENGAGEMENTS 2026'!B2851),"",'ENGAGEMENTS 2026'!L2851)</f>
        <v/>
      </c>
      <c r="H2851">
        <f>IF(ISBLANK('ENGAGEMENTS 2026'!B2851),"",'ENGAGEMENTS 2026'!AE2851)</f>
        <v/>
      </c>
      <c r="I2851">
        <f>IF(ISBLANK('ENGAGEMENTS 2026'!B2851),"",'ENGAGEMENTS 2026'!G2851)</f>
        <v/>
      </c>
      <c r="J2851" s="275">
        <f>IF(ISBLANK('ENGAGEMENTS 2026'!B2851),"",IF(AND(OR($E2851="INFRUCTUEUX",$E2851="ANNULE"),$C2851="AOO-M"),'ENGAGEMENTS 2026'!O2851,IF($H2851="EN COURS DE PREENGAGEMENT",'ENGAGEMENTS 2026'!N2851,IF($H2851="PREENGAGE",IF($E2851="ATTRIBUE",'ENGAGEMENTS 2026'!AD2851,'ENGAGEMENTS 2026'!N2851),'ENGAGEMENTS 2026'!AD2851))))</f>
        <v/>
      </c>
      <c r="K2851" s="604">
        <f>IF(ISBLANK('ENGAGEMENTS 2026'!V2851),"",'ENGAGEMENTS 2026'!V2851)</f>
        <v/>
      </c>
      <c r="L2851" s="276">
        <f>IF($K2851="","",TODAY()-$K2851)</f>
        <v/>
      </c>
      <c r="M2851">
        <f>IF($A2851="","",IF($H2851="ENGAGE","Engagé",IF(AND($H2851="NON ENGAGE",OR($I2851="INFRUCTUEUX",$I2851="ANNULE")),"Clôturé sans suite","En cours")))</f>
        <v/>
      </c>
      <c r="N2851">
        <f>IF(ISBLANK('ENGAGEMENTS 2026'!B2851),"",'ENGAGEMENTS 2026'!K2851)</f>
        <v/>
      </c>
      <c r="O2851">
        <f>IF(ISBLANK('ENGAGEMENTS 2026'!B2851),"",'ENGAGEMENTS 2026'!L2851)</f>
        <v/>
      </c>
      <c r="P2851">
        <f>IF(ISBLANK('ENGAGEMENTS 2026'!B2851),"",'ENGAGEMENTS 2026'!J2851)</f>
        <v/>
      </c>
      <c r="Q2851">
        <f>IF($A2851="","",IF(OR($E2851="INFRUCTUEUX",$E2851="ANNULE"),$A2851&amp;"|"&amp;(COUNTIFS($A$2:$A2851,$A2851,$E$2:$E2851,"INFRUCTUEUX")+COUNTIFS($A$2:$A2851,$A2851,$E$2:$E2851,"ANNULE")),""))</f>
        <v/>
      </c>
    </row>
    <row r="2852">
      <c r="A2852">
        <f>IF(ISBLANK('ENGAGEMENTS 2026'!B2852),"",IF('ENGAGEMENTS 2026'!B2852="DTSI","DCT",'ENGAGEMENTS 2026'!B2852))</f>
        <v/>
      </c>
      <c r="B2852">
        <f>IF(ISBLANK('ENGAGEMENTS 2026'!B2852),"",'ENGAGEMENTS 2026'!C2852)</f>
        <v/>
      </c>
      <c r="C2852">
        <f>IF(ISBLANK('ENGAGEMENTS 2026'!B2852),"",'ENGAGEMENTS 2026'!D2852)</f>
        <v/>
      </c>
      <c r="D2852">
        <f>IF(ISBLANK('ENGAGEMENTS 2026'!B2852),"",'ENGAGEMENTS 2026'!F2852)</f>
        <v/>
      </c>
      <c r="E2852">
        <f>IF(ISBLANK('ENGAGEMENTS 2026'!B2852),"",'ENGAGEMENTS 2026'!H2852)</f>
        <v/>
      </c>
      <c r="F2852">
        <f>IF(ISBLANK('ENGAGEMENTS 2026'!B2852),"",'ENGAGEMENTS 2026'!I2852)</f>
        <v/>
      </c>
      <c r="G2852">
        <f>IF(ISBLANK('ENGAGEMENTS 2026'!B2852),"",'ENGAGEMENTS 2026'!L2852)</f>
        <v/>
      </c>
      <c r="H2852">
        <f>IF(ISBLANK('ENGAGEMENTS 2026'!B2852),"",'ENGAGEMENTS 2026'!AE2852)</f>
        <v/>
      </c>
      <c r="I2852">
        <f>IF(ISBLANK('ENGAGEMENTS 2026'!B2852),"",'ENGAGEMENTS 2026'!G2852)</f>
        <v/>
      </c>
      <c r="J2852" s="275">
        <f>IF(ISBLANK('ENGAGEMENTS 2026'!B2852),"",IF(AND(OR($E2852="INFRUCTUEUX",$E2852="ANNULE"),$C2852="AOO-M"),'ENGAGEMENTS 2026'!O2852,IF($H2852="EN COURS DE PREENGAGEMENT",'ENGAGEMENTS 2026'!N2852,IF($H2852="PREENGAGE",IF($E2852="ATTRIBUE",'ENGAGEMENTS 2026'!AD2852,'ENGAGEMENTS 2026'!N2852),'ENGAGEMENTS 2026'!AD2852))))</f>
        <v/>
      </c>
      <c r="K2852" s="604">
        <f>IF(ISBLANK('ENGAGEMENTS 2026'!V2852),"",'ENGAGEMENTS 2026'!V2852)</f>
        <v/>
      </c>
      <c r="L2852" s="276">
        <f>IF($K2852="","",TODAY()-$K2852)</f>
        <v/>
      </c>
      <c r="M2852">
        <f>IF($A2852="","",IF($H2852="ENGAGE","Engagé",IF(AND($H2852="NON ENGAGE",OR($I2852="INFRUCTUEUX",$I2852="ANNULE")),"Clôturé sans suite","En cours")))</f>
        <v/>
      </c>
      <c r="N2852">
        <f>IF(ISBLANK('ENGAGEMENTS 2026'!B2852),"",'ENGAGEMENTS 2026'!K2852)</f>
        <v/>
      </c>
      <c r="O2852">
        <f>IF(ISBLANK('ENGAGEMENTS 2026'!B2852),"",'ENGAGEMENTS 2026'!L2852)</f>
        <v/>
      </c>
      <c r="P2852">
        <f>IF(ISBLANK('ENGAGEMENTS 2026'!B2852),"",'ENGAGEMENTS 2026'!J2852)</f>
        <v/>
      </c>
      <c r="Q2852">
        <f>IF($A2852="","",IF(OR($E2852="INFRUCTUEUX",$E2852="ANNULE"),$A2852&amp;"|"&amp;(COUNTIFS($A$2:$A2852,$A2852,$E$2:$E2852,"INFRUCTUEUX")+COUNTIFS($A$2:$A2852,$A2852,$E$2:$E2852,"ANNULE")),""))</f>
        <v/>
      </c>
    </row>
    <row r="2853">
      <c r="A2853">
        <f>IF(ISBLANK('ENGAGEMENTS 2026'!B2853),"",IF('ENGAGEMENTS 2026'!B2853="DTSI","DCT",'ENGAGEMENTS 2026'!B2853))</f>
        <v/>
      </c>
      <c r="B2853">
        <f>IF(ISBLANK('ENGAGEMENTS 2026'!B2853),"",'ENGAGEMENTS 2026'!C2853)</f>
        <v/>
      </c>
      <c r="C2853">
        <f>IF(ISBLANK('ENGAGEMENTS 2026'!B2853),"",'ENGAGEMENTS 2026'!D2853)</f>
        <v/>
      </c>
      <c r="D2853">
        <f>IF(ISBLANK('ENGAGEMENTS 2026'!B2853),"",'ENGAGEMENTS 2026'!F2853)</f>
        <v/>
      </c>
      <c r="E2853">
        <f>IF(ISBLANK('ENGAGEMENTS 2026'!B2853),"",'ENGAGEMENTS 2026'!H2853)</f>
        <v/>
      </c>
      <c r="F2853">
        <f>IF(ISBLANK('ENGAGEMENTS 2026'!B2853),"",'ENGAGEMENTS 2026'!I2853)</f>
        <v/>
      </c>
      <c r="G2853">
        <f>IF(ISBLANK('ENGAGEMENTS 2026'!B2853),"",'ENGAGEMENTS 2026'!L2853)</f>
        <v/>
      </c>
      <c r="H2853">
        <f>IF(ISBLANK('ENGAGEMENTS 2026'!B2853),"",'ENGAGEMENTS 2026'!AE2853)</f>
        <v/>
      </c>
      <c r="I2853">
        <f>IF(ISBLANK('ENGAGEMENTS 2026'!B2853),"",'ENGAGEMENTS 2026'!G2853)</f>
        <v/>
      </c>
      <c r="J2853" s="275">
        <f>IF(ISBLANK('ENGAGEMENTS 2026'!B2853),"",IF(AND(OR($E2853="INFRUCTUEUX",$E2853="ANNULE"),$C2853="AOO-M"),'ENGAGEMENTS 2026'!O2853,IF($H2853="EN COURS DE PREENGAGEMENT",'ENGAGEMENTS 2026'!N2853,IF($H2853="PREENGAGE",IF($E2853="ATTRIBUE",'ENGAGEMENTS 2026'!AD2853,'ENGAGEMENTS 2026'!N2853),'ENGAGEMENTS 2026'!AD2853))))</f>
        <v/>
      </c>
      <c r="K2853" s="604">
        <f>IF(ISBLANK('ENGAGEMENTS 2026'!V2853),"",'ENGAGEMENTS 2026'!V2853)</f>
        <v/>
      </c>
      <c r="L2853" s="276">
        <f>IF($K2853="","",TODAY()-$K2853)</f>
        <v/>
      </c>
      <c r="M2853">
        <f>IF($A2853="","",IF($H2853="ENGAGE","Engagé",IF(AND($H2853="NON ENGAGE",OR($I2853="INFRUCTUEUX",$I2853="ANNULE")),"Clôturé sans suite","En cours")))</f>
        <v/>
      </c>
      <c r="N2853">
        <f>IF(ISBLANK('ENGAGEMENTS 2026'!B2853),"",'ENGAGEMENTS 2026'!K2853)</f>
        <v/>
      </c>
      <c r="O2853">
        <f>IF(ISBLANK('ENGAGEMENTS 2026'!B2853),"",'ENGAGEMENTS 2026'!L2853)</f>
        <v/>
      </c>
      <c r="P2853">
        <f>IF(ISBLANK('ENGAGEMENTS 2026'!B2853),"",'ENGAGEMENTS 2026'!J2853)</f>
        <v/>
      </c>
      <c r="Q2853">
        <f>IF($A2853="","",IF(OR($E2853="INFRUCTUEUX",$E2853="ANNULE"),$A2853&amp;"|"&amp;(COUNTIFS($A$2:$A2853,$A2853,$E$2:$E2853,"INFRUCTUEUX")+COUNTIFS($A$2:$A2853,$A2853,$E$2:$E2853,"ANNULE")),""))</f>
        <v/>
      </c>
    </row>
    <row r="2854">
      <c r="A2854">
        <f>IF(ISBLANK('ENGAGEMENTS 2026'!B2854),"",IF('ENGAGEMENTS 2026'!B2854="DTSI","DCT",'ENGAGEMENTS 2026'!B2854))</f>
        <v/>
      </c>
      <c r="B2854">
        <f>IF(ISBLANK('ENGAGEMENTS 2026'!B2854),"",'ENGAGEMENTS 2026'!C2854)</f>
        <v/>
      </c>
      <c r="C2854">
        <f>IF(ISBLANK('ENGAGEMENTS 2026'!B2854),"",'ENGAGEMENTS 2026'!D2854)</f>
        <v/>
      </c>
      <c r="D2854">
        <f>IF(ISBLANK('ENGAGEMENTS 2026'!B2854),"",'ENGAGEMENTS 2026'!F2854)</f>
        <v/>
      </c>
      <c r="E2854">
        <f>IF(ISBLANK('ENGAGEMENTS 2026'!B2854),"",'ENGAGEMENTS 2026'!H2854)</f>
        <v/>
      </c>
      <c r="F2854">
        <f>IF(ISBLANK('ENGAGEMENTS 2026'!B2854),"",'ENGAGEMENTS 2026'!I2854)</f>
        <v/>
      </c>
      <c r="G2854">
        <f>IF(ISBLANK('ENGAGEMENTS 2026'!B2854),"",'ENGAGEMENTS 2026'!L2854)</f>
        <v/>
      </c>
      <c r="H2854">
        <f>IF(ISBLANK('ENGAGEMENTS 2026'!B2854),"",'ENGAGEMENTS 2026'!AE2854)</f>
        <v/>
      </c>
      <c r="I2854">
        <f>IF(ISBLANK('ENGAGEMENTS 2026'!B2854),"",'ENGAGEMENTS 2026'!G2854)</f>
        <v/>
      </c>
      <c r="J2854" s="275">
        <f>IF(ISBLANK('ENGAGEMENTS 2026'!B2854),"",IF(AND(OR($E2854="INFRUCTUEUX",$E2854="ANNULE"),$C2854="AOO-M"),'ENGAGEMENTS 2026'!O2854,IF($H2854="EN COURS DE PREENGAGEMENT",'ENGAGEMENTS 2026'!N2854,IF($H2854="PREENGAGE",IF($E2854="ATTRIBUE",'ENGAGEMENTS 2026'!AD2854,'ENGAGEMENTS 2026'!N2854),'ENGAGEMENTS 2026'!AD2854))))</f>
        <v/>
      </c>
      <c r="K2854" s="604">
        <f>IF(ISBLANK('ENGAGEMENTS 2026'!V2854),"",'ENGAGEMENTS 2026'!V2854)</f>
        <v/>
      </c>
      <c r="L2854" s="276">
        <f>IF($K2854="","",TODAY()-$K2854)</f>
        <v/>
      </c>
      <c r="M2854">
        <f>IF($A2854="","",IF($H2854="ENGAGE","Engagé",IF(AND($H2854="NON ENGAGE",OR($I2854="INFRUCTUEUX",$I2854="ANNULE")),"Clôturé sans suite","En cours")))</f>
        <v/>
      </c>
      <c r="N2854">
        <f>IF(ISBLANK('ENGAGEMENTS 2026'!B2854),"",'ENGAGEMENTS 2026'!K2854)</f>
        <v/>
      </c>
      <c r="O2854">
        <f>IF(ISBLANK('ENGAGEMENTS 2026'!B2854),"",'ENGAGEMENTS 2026'!L2854)</f>
        <v/>
      </c>
      <c r="P2854">
        <f>IF(ISBLANK('ENGAGEMENTS 2026'!B2854),"",'ENGAGEMENTS 2026'!J2854)</f>
        <v/>
      </c>
      <c r="Q2854">
        <f>IF($A2854="","",IF(OR($E2854="INFRUCTUEUX",$E2854="ANNULE"),$A2854&amp;"|"&amp;(COUNTIFS($A$2:$A2854,$A2854,$E$2:$E2854,"INFRUCTUEUX")+COUNTIFS($A$2:$A2854,$A2854,$E$2:$E2854,"ANNULE")),""))</f>
        <v/>
      </c>
    </row>
    <row r="2855">
      <c r="A2855">
        <f>IF(ISBLANK('ENGAGEMENTS 2026'!B2855),"",IF('ENGAGEMENTS 2026'!B2855="DTSI","DCT",'ENGAGEMENTS 2026'!B2855))</f>
        <v/>
      </c>
      <c r="B2855">
        <f>IF(ISBLANK('ENGAGEMENTS 2026'!B2855),"",'ENGAGEMENTS 2026'!C2855)</f>
        <v/>
      </c>
      <c r="C2855">
        <f>IF(ISBLANK('ENGAGEMENTS 2026'!B2855),"",'ENGAGEMENTS 2026'!D2855)</f>
        <v/>
      </c>
      <c r="D2855">
        <f>IF(ISBLANK('ENGAGEMENTS 2026'!B2855),"",'ENGAGEMENTS 2026'!F2855)</f>
        <v/>
      </c>
      <c r="E2855">
        <f>IF(ISBLANK('ENGAGEMENTS 2026'!B2855),"",'ENGAGEMENTS 2026'!H2855)</f>
        <v/>
      </c>
      <c r="F2855">
        <f>IF(ISBLANK('ENGAGEMENTS 2026'!B2855),"",'ENGAGEMENTS 2026'!I2855)</f>
        <v/>
      </c>
      <c r="G2855">
        <f>IF(ISBLANK('ENGAGEMENTS 2026'!B2855),"",'ENGAGEMENTS 2026'!L2855)</f>
        <v/>
      </c>
      <c r="H2855">
        <f>IF(ISBLANK('ENGAGEMENTS 2026'!B2855),"",'ENGAGEMENTS 2026'!AE2855)</f>
        <v/>
      </c>
      <c r="I2855">
        <f>IF(ISBLANK('ENGAGEMENTS 2026'!B2855),"",'ENGAGEMENTS 2026'!G2855)</f>
        <v/>
      </c>
      <c r="J2855" s="275">
        <f>IF(ISBLANK('ENGAGEMENTS 2026'!B2855),"",IF(AND(OR($E2855="INFRUCTUEUX",$E2855="ANNULE"),$C2855="AOO-M"),'ENGAGEMENTS 2026'!O2855,IF($H2855="EN COURS DE PREENGAGEMENT",'ENGAGEMENTS 2026'!N2855,IF($H2855="PREENGAGE",IF($E2855="ATTRIBUE",'ENGAGEMENTS 2026'!AD2855,'ENGAGEMENTS 2026'!N2855),'ENGAGEMENTS 2026'!AD2855))))</f>
        <v/>
      </c>
      <c r="K2855" s="604">
        <f>IF(ISBLANK('ENGAGEMENTS 2026'!V2855),"",'ENGAGEMENTS 2026'!V2855)</f>
        <v/>
      </c>
      <c r="L2855" s="276">
        <f>IF($K2855="","",TODAY()-$K2855)</f>
        <v/>
      </c>
      <c r="M2855">
        <f>IF($A2855="","",IF($H2855="ENGAGE","Engagé",IF(AND($H2855="NON ENGAGE",OR($I2855="INFRUCTUEUX",$I2855="ANNULE")),"Clôturé sans suite","En cours")))</f>
        <v/>
      </c>
      <c r="N2855">
        <f>IF(ISBLANK('ENGAGEMENTS 2026'!B2855),"",'ENGAGEMENTS 2026'!K2855)</f>
        <v/>
      </c>
      <c r="O2855">
        <f>IF(ISBLANK('ENGAGEMENTS 2026'!B2855),"",'ENGAGEMENTS 2026'!L2855)</f>
        <v/>
      </c>
      <c r="P2855">
        <f>IF(ISBLANK('ENGAGEMENTS 2026'!B2855),"",'ENGAGEMENTS 2026'!J2855)</f>
        <v/>
      </c>
      <c r="Q2855">
        <f>IF($A2855="","",IF(OR($E2855="INFRUCTUEUX",$E2855="ANNULE"),$A2855&amp;"|"&amp;(COUNTIFS($A$2:$A2855,$A2855,$E$2:$E2855,"INFRUCTUEUX")+COUNTIFS($A$2:$A2855,$A2855,$E$2:$E2855,"ANNULE")),""))</f>
        <v/>
      </c>
    </row>
    <row r="2856">
      <c r="A2856">
        <f>IF(ISBLANK('ENGAGEMENTS 2026'!B2856),"",IF('ENGAGEMENTS 2026'!B2856="DTSI","DCT",'ENGAGEMENTS 2026'!B2856))</f>
        <v/>
      </c>
      <c r="B2856">
        <f>IF(ISBLANK('ENGAGEMENTS 2026'!B2856),"",'ENGAGEMENTS 2026'!C2856)</f>
        <v/>
      </c>
      <c r="C2856">
        <f>IF(ISBLANK('ENGAGEMENTS 2026'!B2856),"",'ENGAGEMENTS 2026'!D2856)</f>
        <v/>
      </c>
      <c r="D2856">
        <f>IF(ISBLANK('ENGAGEMENTS 2026'!B2856),"",'ENGAGEMENTS 2026'!F2856)</f>
        <v/>
      </c>
      <c r="E2856">
        <f>IF(ISBLANK('ENGAGEMENTS 2026'!B2856),"",'ENGAGEMENTS 2026'!H2856)</f>
        <v/>
      </c>
      <c r="F2856">
        <f>IF(ISBLANK('ENGAGEMENTS 2026'!B2856),"",'ENGAGEMENTS 2026'!I2856)</f>
        <v/>
      </c>
      <c r="G2856">
        <f>IF(ISBLANK('ENGAGEMENTS 2026'!B2856),"",'ENGAGEMENTS 2026'!L2856)</f>
        <v/>
      </c>
      <c r="H2856">
        <f>IF(ISBLANK('ENGAGEMENTS 2026'!B2856),"",'ENGAGEMENTS 2026'!AE2856)</f>
        <v/>
      </c>
      <c r="I2856">
        <f>IF(ISBLANK('ENGAGEMENTS 2026'!B2856),"",'ENGAGEMENTS 2026'!G2856)</f>
        <v/>
      </c>
      <c r="J2856" s="275">
        <f>IF(ISBLANK('ENGAGEMENTS 2026'!B2856),"",IF(AND(OR($E2856="INFRUCTUEUX",$E2856="ANNULE"),$C2856="AOO-M"),'ENGAGEMENTS 2026'!O2856,IF($H2856="EN COURS DE PREENGAGEMENT",'ENGAGEMENTS 2026'!N2856,IF($H2856="PREENGAGE",IF($E2856="ATTRIBUE",'ENGAGEMENTS 2026'!AD2856,'ENGAGEMENTS 2026'!N2856),'ENGAGEMENTS 2026'!AD2856))))</f>
        <v/>
      </c>
      <c r="K2856" s="604">
        <f>IF(ISBLANK('ENGAGEMENTS 2026'!V2856),"",'ENGAGEMENTS 2026'!V2856)</f>
        <v/>
      </c>
      <c r="L2856" s="276">
        <f>IF($K2856="","",TODAY()-$K2856)</f>
        <v/>
      </c>
      <c r="M2856">
        <f>IF($A2856="","",IF($H2856="ENGAGE","Engagé",IF(AND($H2856="NON ENGAGE",OR($I2856="INFRUCTUEUX",$I2856="ANNULE")),"Clôturé sans suite","En cours")))</f>
        <v/>
      </c>
      <c r="N2856">
        <f>IF(ISBLANK('ENGAGEMENTS 2026'!B2856),"",'ENGAGEMENTS 2026'!K2856)</f>
        <v/>
      </c>
      <c r="O2856">
        <f>IF(ISBLANK('ENGAGEMENTS 2026'!B2856),"",'ENGAGEMENTS 2026'!L2856)</f>
        <v/>
      </c>
      <c r="P2856">
        <f>IF(ISBLANK('ENGAGEMENTS 2026'!B2856),"",'ENGAGEMENTS 2026'!J2856)</f>
        <v/>
      </c>
      <c r="Q2856">
        <f>IF($A2856="","",IF(OR($E2856="INFRUCTUEUX",$E2856="ANNULE"),$A2856&amp;"|"&amp;(COUNTIFS($A$2:$A2856,$A2856,$E$2:$E2856,"INFRUCTUEUX")+COUNTIFS($A$2:$A2856,$A2856,$E$2:$E2856,"ANNULE")),""))</f>
        <v/>
      </c>
    </row>
    <row r="2857">
      <c r="A2857">
        <f>IF(ISBLANK('ENGAGEMENTS 2026'!B2857),"",IF('ENGAGEMENTS 2026'!B2857="DTSI","DCT",'ENGAGEMENTS 2026'!B2857))</f>
        <v/>
      </c>
      <c r="B2857">
        <f>IF(ISBLANK('ENGAGEMENTS 2026'!B2857),"",'ENGAGEMENTS 2026'!C2857)</f>
        <v/>
      </c>
      <c r="C2857">
        <f>IF(ISBLANK('ENGAGEMENTS 2026'!B2857),"",'ENGAGEMENTS 2026'!D2857)</f>
        <v/>
      </c>
      <c r="D2857">
        <f>IF(ISBLANK('ENGAGEMENTS 2026'!B2857),"",'ENGAGEMENTS 2026'!F2857)</f>
        <v/>
      </c>
      <c r="E2857">
        <f>IF(ISBLANK('ENGAGEMENTS 2026'!B2857),"",'ENGAGEMENTS 2026'!H2857)</f>
        <v/>
      </c>
      <c r="F2857">
        <f>IF(ISBLANK('ENGAGEMENTS 2026'!B2857),"",'ENGAGEMENTS 2026'!I2857)</f>
        <v/>
      </c>
      <c r="G2857">
        <f>IF(ISBLANK('ENGAGEMENTS 2026'!B2857),"",'ENGAGEMENTS 2026'!L2857)</f>
        <v/>
      </c>
      <c r="H2857">
        <f>IF(ISBLANK('ENGAGEMENTS 2026'!B2857),"",'ENGAGEMENTS 2026'!AE2857)</f>
        <v/>
      </c>
      <c r="I2857">
        <f>IF(ISBLANK('ENGAGEMENTS 2026'!B2857),"",'ENGAGEMENTS 2026'!G2857)</f>
        <v/>
      </c>
      <c r="J2857" s="275">
        <f>IF(ISBLANK('ENGAGEMENTS 2026'!B2857),"",IF(AND(OR($E2857="INFRUCTUEUX",$E2857="ANNULE"),$C2857="AOO-M"),'ENGAGEMENTS 2026'!O2857,IF($H2857="EN COURS DE PREENGAGEMENT",'ENGAGEMENTS 2026'!N2857,IF($H2857="PREENGAGE",IF($E2857="ATTRIBUE",'ENGAGEMENTS 2026'!AD2857,'ENGAGEMENTS 2026'!N2857),'ENGAGEMENTS 2026'!AD2857))))</f>
        <v/>
      </c>
      <c r="K2857" s="604">
        <f>IF(ISBLANK('ENGAGEMENTS 2026'!V2857),"",'ENGAGEMENTS 2026'!V2857)</f>
        <v/>
      </c>
      <c r="L2857" s="276">
        <f>IF($K2857="","",TODAY()-$K2857)</f>
        <v/>
      </c>
      <c r="M2857">
        <f>IF($A2857="","",IF($H2857="ENGAGE","Engagé",IF(AND($H2857="NON ENGAGE",OR($I2857="INFRUCTUEUX",$I2857="ANNULE")),"Clôturé sans suite","En cours")))</f>
        <v/>
      </c>
      <c r="N2857">
        <f>IF(ISBLANK('ENGAGEMENTS 2026'!B2857),"",'ENGAGEMENTS 2026'!K2857)</f>
        <v/>
      </c>
      <c r="O2857">
        <f>IF(ISBLANK('ENGAGEMENTS 2026'!B2857),"",'ENGAGEMENTS 2026'!L2857)</f>
        <v/>
      </c>
      <c r="P2857">
        <f>IF(ISBLANK('ENGAGEMENTS 2026'!B2857),"",'ENGAGEMENTS 2026'!J2857)</f>
        <v/>
      </c>
      <c r="Q2857">
        <f>IF($A2857="","",IF(OR($E2857="INFRUCTUEUX",$E2857="ANNULE"),$A2857&amp;"|"&amp;(COUNTIFS($A$2:$A2857,$A2857,$E$2:$E2857,"INFRUCTUEUX")+COUNTIFS($A$2:$A2857,$A2857,$E$2:$E2857,"ANNULE")),""))</f>
        <v/>
      </c>
    </row>
    <row r="2858">
      <c r="A2858">
        <f>IF(ISBLANK('ENGAGEMENTS 2026'!B2858),"",IF('ENGAGEMENTS 2026'!B2858="DTSI","DCT",'ENGAGEMENTS 2026'!B2858))</f>
        <v/>
      </c>
      <c r="B2858">
        <f>IF(ISBLANK('ENGAGEMENTS 2026'!B2858),"",'ENGAGEMENTS 2026'!C2858)</f>
        <v/>
      </c>
      <c r="C2858">
        <f>IF(ISBLANK('ENGAGEMENTS 2026'!B2858),"",'ENGAGEMENTS 2026'!D2858)</f>
        <v/>
      </c>
      <c r="D2858">
        <f>IF(ISBLANK('ENGAGEMENTS 2026'!B2858),"",'ENGAGEMENTS 2026'!F2858)</f>
        <v/>
      </c>
      <c r="E2858">
        <f>IF(ISBLANK('ENGAGEMENTS 2026'!B2858),"",'ENGAGEMENTS 2026'!H2858)</f>
        <v/>
      </c>
      <c r="F2858">
        <f>IF(ISBLANK('ENGAGEMENTS 2026'!B2858),"",'ENGAGEMENTS 2026'!I2858)</f>
        <v/>
      </c>
      <c r="G2858">
        <f>IF(ISBLANK('ENGAGEMENTS 2026'!B2858),"",'ENGAGEMENTS 2026'!L2858)</f>
        <v/>
      </c>
      <c r="H2858">
        <f>IF(ISBLANK('ENGAGEMENTS 2026'!B2858),"",'ENGAGEMENTS 2026'!AE2858)</f>
        <v/>
      </c>
      <c r="I2858">
        <f>IF(ISBLANK('ENGAGEMENTS 2026'!B2858),"",'ENGAGEMENTS 2026'!G2858)</f>
        <v/>
      </c>
      <c r="J2858" s="275">
        <f>IF(ISBLANK('ENGAGEMENTS 2026'!B2858),"",IF(AND(OR($E2858="INFRUCTUEUX",$E2858="ANNULE"),$C2858="AOO-M"),'ENGAGEMENTS 2026'!O2858,IF($H2858="EN COURS DE PREENGAGEMENT",'ENGAGEMENTS 2026'!N2858,IF($H2858="PREENGAGE",IF($E2858="ATTRIBUE",'ENGAGEMENTS 2026'!AD2858,'ENGAGEMENTS 2026'!N2858),'ENGAGEMENTS 2026'!AD2858))))</f>
        <v/>
      </c>
      <c r="K2858" s="604">
        <f>IF(ISBLANK('ENGAGEMENTS 2026'!V2858),"",'ENGAGEMENTS 2026'!V2858)</f>
        <v/>
      </c>
      <c r="L2858" s="276">
        <f>IF($K2858="","",TODAY()-$K2858)</f>
        <v/>
      </c>
      <c r="M2858">
        <f>IF($A2858="","",IF($H2858="ENGAGE","Engagé",IF(AND($H2858="NON ENGAGE",OR($I2858="INFRUCTUEUX",$I2858="ANNULE")),"Clôturé sans suite","En cours")))</f>
        <v/>
      </c>
      <c r="N2858">
        <f>IF(ISBLANK('ENGAGEMENTS 2026'!B2858),"",'ENGAGEMENTS 2026'!K2858)</f>
        <v/>
      </c>
      <c r="O2858">
        <f>IF(ISBLANK('ENGAGEMENTS 2026'!B2858),"",'ENGAGEMENTS 2026'!L2858)</f>
        <v/>
      </c>
      <c r="P2858">
        <f>IF(ISBLANK('ENGAGEMENTS 2026'!B2858),"",'ENGAGEMENTS 2026'!J2858)</f>
        <v/>
      </c>
      <c r="Q2858">
        <f>IF($A2858="","",IF(OR($E2858="INFRUCTUEUX",$E2858="ANNULE"),$A2858&amp;"|"&amp;(COUNTIFS($A$2:$A2858,$A2858,$E$2:$E2858,"INFRUCTUEUX")+COUNTIFS($A$2:$A2858,$A2858,$E$2:$E2858,"ANNULE")),""))</f>
        <v/>
      </c>
    </row>
    <row r="2859">
      <c r="A2859">
        <f>IF(ISBLANK('ENGAGEMENTS 2026'!B2859),"",IF('ENGAGEMENTS 2026'!B2859="DTSI","DCT",'ENGAGEMENTS 2026'!B2859))</f>
        <v/>
      </c>
      <c r="B2859">
        <f>IF(ISBLANK('ENGAGEMENTS 2026'!B2859),"",'ENGAGEMENTS 2026'!C2859)</f>
        <v/>
      </c>
      <c r="C2859">
        <f>IF(ISBLANK('ENGAGEMENTS 2026'!B2859),"",'ENGAGEMENTS 2026'!D2859)</f>
        <v/>
      </c>
      <c r="D2859">
        <f>IF(ISBLANK('ENGAGEMENTS 2026'!B2859),"",'ENGAGEMENTS 2026'!F2859)</f>
        <v/>
      </c>
      <c r="E2859">
        <f>IF(ISBLANK('ENGAGEMENTS 2026'!B2859),"",'ENGAGEMENTS 2026'!H2859)</f>
        <v/>
      </c>
      <c r="F2859">
        <f>IF(ISBLANK('ENGAGEMENTS 2026'!B2859),"",'ENGAGEMENTS 2026'!I2859)</f>
        <v/>
      </c>
      <c r="G2859">
        <f>IF(ISBLANK('ENGAGEMENTS 2026'!B2859),"",'ENGAGEMENTS 2026'!L2859)</f>
        <v/>
      </c>
      <c r="H2859">
        <f>IF(ISBLANK('ENGAGEMENTS 2026'!B2859),"",'ENGAGEMENTS 2026'!AE2859)</f>
        <v/>
      </c>
      <c r="I2859">
        <f>IF(ISBLANK('ENGAGEMENTS 2026'!B2859),"",'ENGAGEMENTS 2026'!G2859)</f>
        <v/>
      </c>
      <c r="J2859" s="275">
        <f>IF(ISBLANK('ENGAGEMENTS 2026'!B2859),"",IF(AND(OR($E2859="INFRUCTUEUX",$E2859="ANNULE"),$C2859="AOO-M"),'ENGAGEMENTS 2026'!O2859,IF($H2859="EN COURS DE PREENGAGEMENT",'ENGAGEMENTS 2026'!N2859,IF($H2859="PREENGAGE",IF($E2859="ATTRIBUE",'ENGAGEMENTS 2026'!AD2859,'ENGAGEMENTS 2026'!N2859),'ENGAGEMENTS 2026'!AD2859))))</f>
        <v/>
      </c>
      <c r="K2859" s="604">
        <f>IF(ISBLANK('ENGAGEMENTS 2026'!V2859),"",'ENGAGEMENTS 2026'!V2859)</f>
        <v/>
      </c>
      <c r="L2859" s="276">
        <f>IF($K2859="","",TODAY()-$K2859)</f>
        <v/>
      </c>
      <c r="M2859">
        <f>IF($A2859="","",IF($H2859="ENGAGE","Engagé",IF(AND($H2859="NON ENGAGE",OR($I2859="INFRUCTUEUX",$I2859="ANNULE")),"Clôturé sans suite","En cours")))</f>
        <v/>
      </c>
      <c r="N2859">
        <f>IF(ISBLANK('ENGAGEMENTS 2026'!B2859),"",'ENGAGEMENTS 2026'!K2859)</f>
        <v/>
      </c>
      <c r="O2859">
        <f>IF(ISBLANK('ENGAGEMENTS 2026'!B2859),"",'ENGAGEMENTS 2026'!L2859)</f>
        <v/>
      </c>
      <c r="P2859">
        <f>IF(ISBLANK('ENGAGEMENTS 2026'!B2859),"",'ENGAGEMENTS 2026'!J2859)</f>
        <v/>
      </c>
      <c r="Q2859">
        <f>IF($A2859="","",IF(OR($E2859="INFRUCTUEUX",$E2859="ANNULE"),$A2859&amp;"|"&amp;(COUNTIFS($A$2:$A2859,$A2859,$E$2:$E2859,"INFRUCTUEUX")+COUNTIFS($A$2:$A2859,$A2859,$E$2:$E2859,"ANNULE")),""))</f>
        <v/>
      </c>
    </row>
    <row r="2860">
      <c r="A2860">
        <f>IF(ISBLANK('ENGAGEMENTS 2026'!B2860),"",IF('ENGAGEMENTS 2026'!B2860="DTSI","DCT",'ENGAGEMENTS 2026'!B2860))</f>
        <v/>
      </c>
      <c r="B2860">
        <f>IF(ISBLANK('ENGAGEMENTS 2026'!B2860),"",'ENGAGEMENTS 2026'!C2860)</f>
        <v/>
      </c>
      <c r="C2860">
        <f>IF(ISBLANK('ENGAGEMENTS 2026'!B2860),"",'ENGAGEMENTS 2026'!D2860)</f>
        <v/>
      </c>
      <c r="D2860">
        <f>IF(ISBLANK('ENGAGEMENTS 2026'!B2860),"",'ENGAGEMENTS 2026'!F2860)</f>
        <v/>
      </c>
      <c r="E2860">
        <f>IF(ISBLANK('ENGAGEMENTS 2026'!B2860),"",'ENGAGEMENTS 2026'!H2860)</f>
        <v/>
      </c>
      <c r="F2860">
        <f>IF(ISBLANK('ENGAGEMENTS 2026'!B2860),"",'ENGAGEMENTS 2026'!I2860)</f>
        <v/>
      </c>
      <c r="G2860">
        <f>IF(ISBLANK('ENGAGEMENTS 2026'!B2860),"",'ENGAGEMENTS 2026'!L2860)</f>
        <v/>
      </c>
      <c r="H2860">
        <f>IF(ISBLANK('ENGAGEMENTS 2026'!B2860),"",'ENGAGEMENTS 2026'!AE2860)</f>
        <v/>
      </c>
      <c r="I2860">
        <f>IF(ISBLANK('ENGAGEMENTS 2026'!B2860),"",'ENGAGEMENTS 2026'!G2860)</f>
        <v/>
      </c>
      <c r="J2860" s="275">
        <f>IF(ISBLANK('ENGAGEMENTS 2026'!B2860),"",IF(AND(OR($E2860="INFRUCTUEUX",$E2860="ANNULE"),$C2860="AOO-M"),'ENGAGEMENTS 2026'!O2860,IF($H2860="EN COURS DE PREENGAGEMENT",'ENGAGEMENTS 2026'!N2860,IF($H2860="PREENGAGE",IF($E2860="ATTRIBUE",'ENGAGEMENTS 2026'!AD2860,'ENGAGEMENTS 2026'!N2860),'ENGAGEMENTS 2026'!AD2860))))</f>
        <v/>
      </c>
      <c r="K2860" s="604">
        <f>IF(ISBLANK('ENGAGEMENTS 2026'!V2860),"",'ENGAGEMENTS 2026'!V2860)</f>
        <v/>
      </c>
      <c r="L2860" s="276">
        <f>IF($K2860="","",TODAY()-$K2860)</f>
        <v/>
      </c>
      <c r="M2860">
        <f>IF($A2860="","",IF($H2860="ENGAGE","Engagé",IF(AND($H2860="NON ENGAGE",OR($I2860="INFRUCTUEUX",$I2860="ANNULE")),"Clôturé sans suite","En cours")))</f>
        <v/>
      </c>
      <c r="N2860">
        <f>IF(ISBLANK('ENGAGEMENTS 2026'!B2860),"",'ENGAGEMENTS 2026'!K2860)</f>
        <v/>
      </c>
      <c r="O2860">
        <f>IF(ISBLANK('ENGAGEMENTS 2026'!B2860),"",'ENGAGEMENTS 2026'!L2860)</f>
        <v/>
      </c>
      <c r="P2860">
        <f>IF(ISBLANK('ENGAGEMENTS 2026'!B2860),"",'ENGAGEMENTS 2026'!J2860)</f>
        <v/>
      </c>
      <c r="Q2860">
        <f>IF($A2860="","",IF(OR($E2860="INFRUCTUEUX",$E2860="ANNULE"),$A2860&amp;"|"&amp;(COUNTIFS($A$2:$A2860,$A2860,$E$2:$E2860,"INFRUCTUEUX")+COUNTIFS($A$2:$A2860,$A2860,$E$2:$E2860,"ANNULE")),""))</f>
        <v/>
      </c>
    </row>
    <row r="2861">
      <c r="A2861">
        <f>IF(ISBLANK('ENGAGEMENTS 2026'!B2861),"",IF('ENGAGEMENTS 2026'!B2861="DTSI","DCT",'ENGAGEMENTS 2026'!B2861))</f>
        <v/>
      </c>
      <c r="B2861">
        <f>IF(ISBLANK('ENGAGEMENTS 2026'!B2861),"",'ENGAGEMENTS 2026'!C2861)</f>
        <v/>
      </c>
      <c r="C2861">
        <f>IF(ISBLANK('ENGAGEMENTS 2026'!B2861),"",'ENGAGEMENTS 2026'!D2861)</f>
        <v/>
      </c>
      <c r="D2861">
        <f>IF(ISBLANK('ENGAGEMENTS 2026'!B2861),"",'ENGAGEMENTS 2026'!F2861)</f>
        <v/>
      </c>
      <c r="E2861">
        <f>IF(ISBLANK('ENGAGEMENTS 2026'!B2861),"",'ENGAGEMENTS 2026'!H2861)</f>
        <v/>
      </c>
      <c r="F2861">
        <f>IF(ISBLANK('ENGAGEMENTS 2026'!B2861),"",'ENGAGEMENTS 2026'!I2861)</f>
        <v/>
      </c>
      <c r="G2861">
        <f>IF(ISBLANK('ENGAGEMENTS 2026'!B2861),"",'ENGAGEMENTS 2026'!L2861)</f>
        <v/>
      </c>
      <c r="H2861">
        <f>IF(ISBLANK('ENGAGEMENTS 2026'!B2861),"",'ENGAGEMENTS 2026'!AE2861)</f>
        <v/>
      </c>
      <c r="I2861">
        <f>IF(ISBLANK('ENGAGEMENTS 2026'!B2861),"",'ENGAGEMENTS 2026'!G2861)</f>
        <v/>
      </c>
      <c r="J2861" s="275">
        <f>IF(ISBLANK('ENGAGEMENTS 2026'!B2861),"",IF(AND(OR($E2861="INFRUCTUEUX",$E2861="ANNULE"),$C2861="AOO-M"),'ENGAGEMENTS 2026'!O2861,IF($H2861="EN COURS DE PREENGAGEMENT",'ENGAGEMENTS 2026'!N2861,IF($H2861="PREENGAGE",IF($E2861="ATTRIBUE",'ENGAGEMENTS 2026'!AD2861,'ENGAGEMENTS 2026'!N2861),'ENGAGEMENTS 2026'!AD2861))))</f>
        <v/>
      </c>
      <c r="K2861" s="604">
        <f>IF(ISBLANK('ENGAGEMENTS 2026'!V2861),"",'ENGAGEMENTS 2026'!V2861)</f>
        <v/>
      </c>
      <c r="L2861" s="276">
        <f>IF($K2861="","",TODAY()-$K2861)</f>
        <v/>
      </c>
      <c r="M2861">
        <f>IF($A2861="","",IF($H2861="ENGAGE","Engagé",IF(AND($H2861="NON ENGAGE",OR($I2861="INFRUCTUEUX",$I2861="ANNULE")),"Clôturé sans suite","En cours")))</f>
        <v/>
      </c>
      <c r="N2861">
        <f>IF(ISBLANK('ENGAGEMENTS 2026'!B2861),"",'ENGAGEMENTS 2026'!K2861)</f>
        <v/>
      </c>
      <c r="O2861">
        <f>IF(ISBLANK('ENGAGEMENTS 2026'!B2861),"",'ENGAGEMENTS 2026'!L2861)</f>
        <v/>
      </c>
      <c r="P2861">
        <f>IF(ISBLANK('ENGAGEMENTS 2026'!B2861),"",'ENGAGEMENTS 2026'!J2861)</f>
        <v/>
      </c>
      <c r="Q2861">
        <f>IF($A2861="","",IF(OR($E2861="INFRUCTUEUX",$E2861="ANNULE"),$A2861&amp;"|"&amp;(COUNTIFS($A$2:$A2861,$A2861,$E$2:$E2861,"INFRUCTUEUX")+COUNTIFS($A$2:$A2861,$A2861,$E$2:$E2861,"ANNULE")),""))</f>
        <v/>
      </c>
    </row>
    <row r="2862">
      <c r="A2862">
        <f>IF(ISBLANK('ENGAGEMENTS 2026'!B2862),"",IF('ENGAGEMENTS 2026'!B2862="DTSI","DCT",'ENGAGEMENTS 2026'!B2862))</f>
        <v/>
      </c>
      <c r="B2862">
        <f>IF(ISBLANK('ENGAGEMENTS 2026'!B2862),"",'ENGAGEMENTS 2026'!C2862)</f>
        <v/>
      </c>
      <c r="C2862">
        <f>IF(ISBLANK('ENGAGEMENTS 2026'!B2862),"",'ENGAGEMENTS 2026'!D2862)</f>
        <v/>
      </c>
      <c r="D2862">
        <f>IF(ISBLANK('ENGAGEMENTS 2026'!B2862),"",'ENGAGEMENTS 2026'!F2862)</f>
        <v/>
      </c>
      <c r="E2862">
        <f>IF(ISBLANK('ENGAGEMENTS 2026'!B2862),"",'ENGAGEMENTS 2026'!H2862)</f>
        <v/>
      </c>
      <c r="F2862">
        <f>IF(ISBLANK('ENGAGEMENTS 2026'!B2862),"",'ENGAGEMENTS 2026'!I2862)</f>
        <v/>
      </c>
      <c r="G2862">
        <f>IF(ISBLANK('ENGAGEMENTS 2026'!B2862),"",'ENGAGEMENTS 2026'!L2862)</f>
        <v/>
      </c>
      <c r="H2862">
        <f>IF(ISBLANK('ENGAGEMENTS 2026'!B2862),"",'ENGAGEMENTS 2026'!AE2862)</f>
        <v/>
      </c>
      <c r="I2862">
        <f>IF(ISBLANK('ENGAGEMENTS 2026'!B2862),"",'ENGAGEMENTS 2026'!G2862)</f>
        <v/>
      </c>
      <c r="J2862" s="275">
        <f>IF(ISBLANK('ENGAGEMENTS 2026'!B2862),"",IF(AND(OR($E2862="INFRUCTUEUX",$E2862="ANNULE"),$C2862="AOO-M"),'ENGAGEMENTS 2026'!O2862,IF($H2862="EN COURS DE PREENGAGEMENT",'ENGAGEMENTS 2026'!N2862,IF($H2862="PREENGAGE",IF($E2862="ATTRIBUE",'ENGAGEMENTS 2026'!AD2862,'ENGAGEMENTS 2026'!N2862),'ENGAGEMENTS 2026'!AD2862))))</f>
        <v/>
      </c>
      <c r="K2862" s="604">
        <f>IF(ISBLANK('ENGAGEMENTS 2026'!V2862),"",'ENGAGEMENTS 2026'!V2862)</f>
        <v/>
      </c>
      <c r="L2862" s="276">
        <f>IF($K2862="","",TODAY()-$K2862)</f>
        <v/>
      </c>
      <c r="M2862">
        <f>IF($A2862="","",IF($H2862="ENGAGE","Engagé",IF(AND($H2862="NON ENGAGE",OR($I2862="INFRUCTUEUX",$I2862="ANNULE")),"Clôturé sans suite","En cours")))</f>
        <v/>
      </c>
      <c r="N2862">
        <f>IF(ISBLANK('ENGAGEMENTS 2026'!B2862),"",'ENGAGEMENTS 2026'!K2862)</f>
        <v/>
      </c>
      <c r="O2862">
        <f>IF(ISBLANK('ENGAGEMENTS 2026'!B2862),"",'ENGAGEMENTS 2026'!L2862)</f>
        <v/>
      </c>
      <c r="P2862">
        <f>IF(ISBLANK('ENGAGEMENTS 2026'!B2862),"",'ENGAGEMENTS 2026'!J2862)</f>
        <v/>
      </c>
      <c r="Q2862">
        <f>IF($A2862="","",IF(OR($E2862="INFRUCTUEUX",$E2862="ANNULE"),$A2862&amp;"|"&amp;(COUNTIFS($A$2:$A2862,$A2862,$E$2:$E2862,"INFRUCTUEUX")+COUNTIFS($A$2:$A2862,$A2862,$E$2:$E2862,"ANNULE")),""))</f>
        <v/>
      </c>
    </row>
    <row r="2863">
      <c r="A2863">
        <f>IF(ISBLANK('ENGAGEMENTS 2026'!B2863),"",IF('ENGAGEMENTS 2026'!B2863="DTSI","DCT",'ENGAGEMENTS 2026'!B2863))</f>
        <v/>
      </c>
      <c r="B2863">
        <f>IF(ISBLANK('ENGAGEMENTS 2026'!B2863),"",'ENGAGEMENTS 2026'!C2863)</f>
        <v/>
      </c>
      <c r="C2863">
        <f>IF(ISBLANK('ENGAGEMENTS 2026'!B2863),"",'ENGAGEMENTS 2026'!D2863)</f>
        <v/>
      </c>
      <c r="D2863">
        <f>IF(ISBLANK('ENGAGEMENTS 2026'!B2863),"",'ENGAGEMENTS 2026'!F2863)</f>
        <v/>
      </c>
      <c r="E2863">
        <f>IF(ISBLANK('ENGAGEMENTS 2026'!B2863),"",'ENGAGEMENTS 2026'!H2863)</f>
        <v/>
      </c>
      <c r="F2863">
        <f>IF(ISBLANK('ENGAGEMENTS 2026'!B2863),"",'ENGAGEMENTS 2026'!I2863)</f>
        <v/>
      </c>
      <c r="G2863">
        <f>IF(ISBLANK('ENGAGEMENTS 2026'!B2863),"",'ENGAGEMENTS 2026'!L2863)</f>
        <v/>
      </c>
      <c r="H2863">
        <f>IF(ISBLANK('ENGAGEMENTS 2026'!B2863),"",'ENGAGEMENTS 2026'!AE2863)</f>
        <v/>
      </c>
      <c r="I2863">
        <f>IF(ISBLANK('ENGAGEMENTS 2026'!B2863),"",'ENGAGEMENTS 2026'!G2863)</f>
        <v/>
      </c>
      <c r="J2863" s="275">
        <f>IF(ISBLANK('ENGAGEMENTS 2026'!B2863),"",IF(AND(OR($E2863="INFRUCTUEUX",$E2863="ANNULE"),$C2863="AOO-M"),'ENGAGEMENTS 2026'!O2863,IF($H2863="EN COURS DE PREENGAGEMENT",'ENGAGEMENTS 2026'!N2863,IF($H2863="PREENGAGE",IF($E2863="ATTRIBUE",'ENGAGEMENTS 2026'!AD2863,'ENGAGEMENTS 2026'!N2863),'ENGAGEMENTS 2026'!AD2863))))</f>
        <v/>
      </c>
      <c r="K2863" s="604">
        <f>IF(ISBLANK('ENGAGEMENTS 2026'!V2863),"",'ENGAGEMENTS 2026'!V2863)</f>
        <v/>
      </c>
      <c r="L2863" s="276">
        <f>IF($K2863="","",TODAY()-$K2863)</f>
        <v/>
      </c>
      <c r="M2863">
        <f>IF($A2863="","",IF($H2863="ENGAGE","Engagé",IF(AND($H2863="NON ENGAGE",OR($I2863="INFRUCTUEUX",$I2863="ANNULE")),"Clôturé sans suite","En cours")))</f>
        <v/>
      </c>
      <c r="N2863">
        <f>IF(ISBLANK('ENGAGEMENTS 2026'!B2863),"",'ENGAGEMENTS 2026'!K2863)</f>
        <v/>
      </c>
      <c r="O2863">
        <f>IF(ISBLANK('ENGAGEMENTS 2026'!B2863),"",'ENGAGEMENTS 2026'!L2863)</f>
        <v/>
      </c>
      <c r="P2863">
        <f>IF(ISBLANK('ENGAGEMENTS 2026'!B2863),"",'ENGAGEMENTS 2026'!J2863)</f>
        <v/>
      </c>
      <c r="Q2863">
        <f>IF($A2863="","",IF(OR($E2863="INFRUCTUEUX",$E2863="ANNULE"),$A2863&amp;"|"&amp;(COUNTIFS($A$2:$A2863,$A2863,$E$2:$E2863,"INFRUCTUEUX")+COUNTIFS($A$2:$A2863,$A2863,$E$2:$E2863,"ANNULE")),""))</f>
        <v/>
      </c>
    </row>
    <row r="2864">
      <c r="A2864">
        <f>IF(ISBLANK('ENGAGEMENTS 2026'!B2864),"",IF('ENGAGEMENTS 2026'!B2864="DTSI","DCT",'ENGAGEMENTS 2026'!B2864))</f>
        <v/>
      </c>
      <c r="B2864">
        <f>IF(ISBLANK('ENGAGEMENTS 2026'!B2864),"",'ENGAGEMENTS 2026'!C2864)</f>
        <v/>
      </c>
      <c r="C2864">
        <f>IF(ISBLANK('ENGAGEMENTS 2026'!B2864),"",'ENGAGEMENTS 2026'!D2864)</f>
        <v/>
      </c>
      <c r="D2864">
        <f>IF(ISBLANK('ENGAGEMENTS 2026'!B2864),"",'ENGAGEMENTS 2026'!F2864)</f>
        <v/>
      </c>
      <c r="E2864">
        <f>IF(ISBLANK('ENGAGEMENTS 2026'!B2864),"",'ENGAGEMENTS 2026'!H2864)</f>
        <v/>
      </c>
      <c r="F2864">
        <f>IF(ISBLANK('ENGAGEMENTS 2026'!B2864),"",'ENGAGEMENTS 2026'!I2864)</f>
        <v/>
      </c>
      <c r="G2864">
        <f>IF(ISBLANK('ENGAGEMENTS 2026'!B2864),"",'ENGAGEMENTS 2026'!L2864)</f>
        <v/>
      </c>
      <c r="H2864">
        <f>IF(ISBLANK('ENGAGEMENTS 2026'!B2864),"",'ENGAGEMENTS 2026'!AE2864)</f>
        <v/>
      </c>
      <c r="I2864">
        <f>IF(ISBLANK('ENGAGEMENTS 2026'!B2864),"",'ENGAGEMENTS 2026'!G2864)</f>
        <v/>
      </c>
      <c r="J2864" s="275">
        <f>IF(ISBLANK('ENGAGEMENTS 2026'!B2864),"",IF(AND(OR($E2864="INFRUCTUEUX",$E2864="ANNULE"),$C2864="AOO-M"),'ENGAGEMENTS 2026'!O2864,IF($H2864="EN COURS DE PREENGAGEMENT",'ENGAGEMENTS 2026'!N2864,IF($H2864="PREENGAGE",IF($E2864="ATTRIBUE",'ENGAGEMENTS 2026'!AD2864,'ENGAGEMENTS 2026'!N2864),'ENGAGEMENTS 2026'!AD2864))))</f>
        <v/>
      </c>
      <c r="K2864" s="604">
        <f>IF(ISBLANK('ENGAGEMENTS 2026'!V2864),"",'ENGAGEMENTS 2026'!V2864)</f>
        <v/>
      </c>
      <c r="L2864" s="276">
        <f>IF($K2864="","",TODAY()-$K2864)</f>
        <v/>
      </c>
      <c r="M2864">
        <f>IF($A2864="","",IF($H2864="ENGAGE","Engagé",IF(AND($H2864="NON ENGAGE",OR($I2864="INFRUCTUEUX",$I2864="ANNULE")),"Clôturé sans suite","En cours")))</f>
        <v/>
      </c>
      <c r="N2864">
        <f>IF(ISBLANK('ENGAGEMENTS 2026'!B2864),"",'ENGAGEMENTS 2026'!K2864)</f>
        <v/>
      </c>
      <c r="O2864">
        <f>IF(ISBLANK('ENGAGEMENTS 2026'!B2864),"",'ENGAGEMENTS 2026'!L2864)</f>
        <v/>
      </c>
      <c r="P2864">
        <f>IF(ISBLANK('ENGAGEMENTS 2026'!B2864),"",'ENGAGEMENTS 2026'!J2864)</f>
        <v/>
      </c>
      <c r="Q2864">
        <f>IF($A2864="","",IF(OR($E2864="INFRUCTUEUX",$E2864="ANNULE"),$A2864&amp;"|"&amp;(COUNTIFS($A$2:$A2864,$A2864,$E$2:$E2864,"INFRUCTUEUX")+COUNTIFS($A$2:$A2864,$A2864,$E$2:$E2864,"ANNULE")),""))</f>
        <v/>
      </c>
    </row>
    <row r="2865">
      <c r="A2865">
        <f>IF(ISBLANK('ENGAGEMENTS 2026'!B2865),"",IF('ENGAGEMENTS 2026'!B2865="DTSI","DCT",'ENGAGEMENTS 2026'!B2865))</f>
        <v/>
      </c>
      <c r="B2865">
        <f>IF(ISBLANK('ENGAGEMENTS 2026'!B2865),"",'ENGAGEMENTS 2026'!C2865)</f>
        <v/>
      </c>
      <c r="C2865">
        <f>IF(ISBLANK('ENGAGEMENTS 2026'!B2865),"",'ENGAGEMENTS 2026'!D2865)</f>
        <v/>
      </c>
      <c r="D2865">
        <f>IF(ISBLANK('ENGAGEMENTS 2026'!B2865),"",'ENGAGEMENTS 2026'!F2865)</f>
        <v/>
      </c>
      <c r="E2865">
        <f>IF(ISBLANK('ENGAGEMENTS 2026'!B2865),"",'ENGAGEMENTS 2026'!H2865)</f>
        <v/>
      </c>
      <c r="F2865">
        <f>IF(ISBLANK('ENGAGEMENTS 2026'!B2865),"",'ENGAGEMENTS 2026'!I2865)</f>
        <v/>
      </c>
      <c r="G2865">
        <f>IF(ISBLANK('ENGAGEMENTS 2026'!B2865),"",'ENGAGEMENTS 2026'!L2865)</f>
        <v/>
      </c>
      <c r="H2865">
        <f>IF(ISBLANK('ENGAGEMENTS 2026'!B2865),"",'ENGAGEMENTS 2026'!AE2865)</f>
        <v/>
      </c>
      <c r="I2865">
        <f>IF(ISBLANK('ENGAGEMENTS 2026'!B2865),"",'ENGAGEMENTS 2026'!G2865)</f>
        <v/>
      </c>
      <c r="J2865" s="275">
        <f>IF(ISBLANK('ENGAGEMENTS 2026'!B2865),"",IF(AND(OR($E2865="INFRUCTUEUX",$E2865="ANNULE"),$C2865="AOO-M"),'ENGAGEMENTS 2026'!O2865,IF($H2865="EN COURS DE PREENGAGEMENT",'ENGAGEMENTS 2026'!N2865,IF($H2865="PREENGAGE",IF($E2865="ATTRIBUE",'ENGAGEMENTS 2026'!AD2865,'ENGAGEMENTS 2026'!N2865),'ENGAGEMENTS 2026'!AD2865))))</f>
        <v/>
      </c>
      <c r="K2865" s="604">
        <f>IF(ISBLANK('ENGAGEMENTS 2026'!V2865),"",'ENGAGEMENTS 2026'!V2865)</f>
        <v/>
      </c>
      <c r="L2865" s="276">
        <f>IF($K2865="","",TODAY()-$K2865)</f>
        <v/>
      </c>
      <c r="M2865">
        <f>IF($A2865="","",IF($H2865="ENGAGE","Engagé",IF(AND($H2865="NON ENGAGE",OR($I2865="INFRUCTUEUX",$I2865="ANNULE")),"Clôturé sans suite","En cours")))</f>
        <v/>
      </c>
      <c r="N2865">
        <f>IF(ISBLANK('ENGAGEMENTS 2026'!B2865),"",'ENGAGEMENTS 2026'!K2865)</f>
        <v/>
      </c>
      <c r="O2865">
        <f>IF(ISBLANK('ENGAGEMENTS 2026'!B2865),"",'ENGAGEMENTS 2026'!L2865)</f>
        <v/>
      </c>
      <c r="P2865">
        <f>IF(ISBLANK('ENGAGEMENTS 2026'!B2865),"",'ENGAGEMENTS 2026'!J2865)</f>
        <v/>
      </c>
      <c r="Q2865">
        <f>IF($A2865="","",IF(OR($E2865="INFRUCTUEUX",$E2865="ANNULE"),$A2865&amp;"|"&amp;(COUNTIFS($A$2:$A2865,$A2865,$E$2:$E2865,"INFRUCTUEUX")+COUNTIFS($A$2:$A2865,$A2865,$E$2:$E2865,"ANNULE")),""))</f>
        <v/>
      </c>
    </row>
    <row r="2866">
      <c r="A2866">
        <f>IF(ISBLANK('ENGAGEMENTS 2026'!B2866),"",IF('ENGAGEMENTS 2026'!B2866="DTSI","DCT",'ENGAGEMENTS 2026'!B2866))</f>
        <v/>
      </c>
      <c r="B2866">
        <f>IF(ISBLANK('ENGAGEMENTS 2026'!B2866),"",'ENGAGEMENTS 2026'!C2866)</f>
        <v/>
      </c>
      <c r="C2866">
        <f>IF(ISBLANK('ENGAGEMENTS 2026'!B2866),"",'ENGAGEMENTS 2026'!D2866)</f>
        <v/>
      </c>
      <c r="D2866">
        <f>IF(ISBLANK('ENGAGEMENTS 2026'!B2866),"",'ENGAGEMENTS 2026'!F2866)</f>
        <v/>
      </c>
      <c r="E2866">
        <f>IF(ISBLANK('ENGAGEMENTS 2026'!B2866),"",'ENGAGEMENTS 2026'!H2866)</f>
        <v/>
      </c>
      <c r="F2866">
        <f>IF(ISBLANK('ENGAGEMENTS 2026'!B2866),"",'ENGAGEMENTS 2026'!I2866)</f>
        <v/>
      </c>
      <c r="G2866">
        <f>IF(ISBLANK('ENGAGEMENTS 2026'!B2866),"",'ENGAGEMENTS 2026'!L2866)</f>
        <v/>
      </c>
      <c r="H2866">
        <f>IF(ISBLANK('ENGAGEMENTS 2026'!B2866),"",'ENGAGEMENTS 2026'!AE2866)</f>
        <v/>
      </c>
      <c r="I2866">
        <f>IF(ISBLANK('ENGAGEMENTS 2026'!B2866),"",'ENGAGEMENTS 2026'!G2866)</f>
        <v/>
      </c>
      <c r="J2866" s="275">
        <f>IF(ISBLANK('ENGAGEMENTS 2026'!B2866),"",IF(AND(OR($E2866="INFRUCTUEUX",$E2866="ANNULE"),$C2866="AOO-M"),'ENGAGEMENTS 2026'!O2866,IF($H2866="EN COURS DE PREENGAGEMENT",'ENGAGEMENTS 2026'!N2866,IF($H2866="PREENGAGE",IF($E2866="ATTRIBUE",'ENGAGEMENTS 2026'!AD2866,'ENGAGEMENTS 2026'!N2866),'ENGAGEMENTS 2026'!AD2866))))</f>
        <v/>
      </c>
      <c r="K2866" s="604">
        <f>IF(ISBLANK('ENGAGEMENTS 2026'!V2866),"",'ENGAGEMENTS 2026'!V2866)</f>
        <v/>
      </c>
      <c r="L2866" s="276">
        <f>IF($K2866="","",TODAY()-$K2866)</f>
        <v/>
      </c>
      <c r="M2866">
        <f>IF($A2866="","",IF($H2866="ENGAGE","Engagé",IF(AND($H2866="NON ENGAGE",OR($I2866="INFRUCTUEUX",$I2866="ANNULE")),"Clôturé sans suite","En cours")))</f>
        <v/>
      </c>
      <c r="N2866">
        <f>IF(ISBLANK('ENGAGEMENTS 2026'!B2866),"",'ENGAGEMENTS 2026'!K2866)</f>
        <v/>
      </c>
      <c r="O2866">
        <f>IF(ISBLANK('ENGAGEMENTS 2026'!B2866),"",'ENGAGEMENTS 2026'!L2866)</f>
        <v/>
      </c>
      <c r="P2866">
        <f>IF(ISBLANK('ENGAGEMENTS 2026'!B2866),"",'ENGAGEMENTS 2026'!J2866)</f>
        <v/>
      </c>
      <c r="Q2866">
        <f>IF($A2866="","",IF(OR($E2866="INFRUCTUEUX",$E2866="ANNULE"),$A2866&amp;"|"&amp;(COUNTIFS($A$2:$A2866,$A2866,$E$2:$E2866,"INFRUCTUEUX")+COUNTIFS($A$2:$A2866,$A2866,$E$2:$E2866,"ANNULE")),""))</f>
        <v/>
      </c>
    </row>
    <row r="2867">
      <c r="A2867">
        <f>IF(ISBLANK('ENGAGEMENTS 2026'!B2867),"",IF('ENGAGEMENTS 2026'!B2867="DTSI","DCT",'ENGAGEMENTS 2026'!B2867))</f>
        <v/>
      </c>
      <c r="B2867">
        <f>IF(ISBLANK('ENGAGEMENTS 2026'!B2867),"",'ENGAGEMENTS 2026'!C2867)</f>
        <v/>
      </c>
      <c r="C2867">
        <f>IF(ISBLANK('ENGAGEMENTS 2026'!B2867),"",'ENGAGEMENTS 2026'!D2867)</f>
        <v/>
      </c>
      <c r="D2867">
        <f>IF(ISBLANK('ENGAGEMENTS 2026'!B2867),"",'ENGAGEMENTS 2026'!F2867)</f>
        <v/>
      </c>
      <c r="E2867">
        <f>IF(ISBLANK('ENGAGEMENTS 2026'!B2867),"",'ENGAGEMENTS 2026'!H2867)</f>
        <v/>
      </c>
      <c r="F2867">
        <f>IF(ISBLANK('ENGAGEMENTS 2026'!B2867),"",'ENGAGEMENTS 2026'!I2867)</f>
        <v/>
      </c>
      <c r="G2867">
        <f>IF(ISBLANK('ENGAGEMENTS 2026'!B2867),"",'ENGAGEMENTS 2026'!L2867)</f>
        <v/>
      </c>
      <c r="H2867">
        <f>IF(ISBLANK('ENGAGEMENTS 2026'!B2867),"",'ENGAGEMENTS 2026'!AE2867)</f>
        <v/>
      </c>
      <c r="I2867">
        <f>IF(ISBLANK('ENGAGEMENTS 2026'!B2867),"",'ENGAGEMENTS 2026'!G2867)</f>
        <v/>
      </c>
      <c r="J2867" s="275">
        <f>IF(ISBLANK('ENGAGEMENTS 2026'!B2867),"",IF(AND(OR($E2867="INFRUCTUEUX",$E2867="ANNULE"),$C2867="AOO-M"),'ENGAGEMENTS 2026'!O2867,IF($H2867="EN COURS DE PREENGAGEMENT",'ENGAGEMENTS 2026'!N2867,IF($H2867="PREENGAGE",IF($E2867="ATTRIBUE",'ENGAGEMENTS 2026'!AD2867,'ENGAGEMENTS 2026'!N2867),'ENGAGEMENTS 2026'!AD2867))))</f>
        <v/>
      </c>
      <c r="K2867" s="604">
        <f>IF(ISBLANK('ENGAGEMENTS 2026'!V2867),"",'ENGAGEMENTS 2026'!V2867)</f>
        <v/>
      </c>
      <c r="L2867" s="276">
        <f>IF($K2867="","",TODAY()-$K2867)</f>
        <v/>
      </c>
      <c r="M2867">
        <f>IF($A2867="","",IF($H2867="ENGAGE","Engagé",IF(AND($H2867="NON ENGAGE",OR($I2867="INFRUCTUEUX",$I2867="ANNULE")),"Clôturé sans suite","En cours")))</f>
        <v/>
      </c>
      <c r="N2867">
        <f>IF(ISBLANK('ENGAGEMENTS 2026'!B2867),"",'ENGAGEMENTS 2026'!K2867)</f>
        <v/>
      </c>
      <c r="O2867">
        <f>IF(ISBLANK('ENGAGEMENTS 2026'!B2867),"",'ENGAGEMENTS 2026'!L2867)</f>
        <v/>
      </c>
      <c r="P2867">
        <f>IF(ISBLANK('ENGAGEMENTS 2026'!B2867),"",'ENGAGEMENTS 2026'!J2867)</f>
        <v/>
      </c>
      <c r="Q2867">
        <f>IF($A2867="","",IF(OR($E2867="INFRUCTUEUX",$E2867="ANNULE"),$A2867&amp;"|"&amp;(COUNTIFS($A$2:$A2867,$A2867,$E$2:$E2867,"INFRUCTUEUX")+COUNTIFS($A$2:$A2867,$A2867,$E$2:$E2867,"ANNULE")),""))</f>
        <v/>
      </c>
    </row>
    <row r="2868">
      <c r="A2868">
        <f>IF(ISBLANK('ENGAGEMENTS 2026'!B2868),"",IF('ENGAGEMENTS 2026'!B2868="DTSI","DCT",'ENGAGEMENTS 2026'!B2868))</f>
        <v/>
      </c>
      <c r="B2868">
        <f>IF(ISBLANK('ENGAGEMENTS 2026'!B2868),"",'ENGAGEMENTS 2026'!C2868)</f>
        <v/>
      </c>
      <c r="C2868">
        <f>IF(ISBLANK('ENGAGEMENTS 2026'!B2868),"",'ENGAGEMENTS 2026'!D2868)</f>
        <v/>
      </c>
      <c r="D2868">
        <f>IF(ISBLANK('ENGAGEMENTS 2026'!B2868),"",'ENGAGEMENTS 2026'!F2868)</f>
        <v/>
      </c>
      <c r="E2868">
        <f>IF(ISBLANK('ENGAGEMENTS 2026'!B2868),"",'ENGAGEMENTS 2026'!H2868)</f>
        <v/>
      </c>
      <c r="F2868">
        <f>IF(ISBLANK('ENGAGEMENTS 2026'!B2868),"",'ENGAGEMENTS 2026'!I2868)</f>
        <v/>
      </c>
      <c r="G2868">
        <f>IF(ISBLANK('ENGAGEMENTS 2026'!B2868),"",'ENGAGEMENTS 2026'!L2868)</f>
        <v/>
      </c>
      <c r="H2868">
        <f>IF(ISBLANK('ENGAGEMENTS 2026'!B2868),"",'ENGAGEMENTS 2026'!AE2868)</f>
        <v/>
      </c>
      <c r="I2868">
        <f>IF(ISBLANK('ENGAGEMENTS 2026'!B2868),"",'ENGAGEMENTS 2026'!G2868)</f>
        <v/>
      </c>
      <c r="J2868" s="275">
        <f>IF(ISBLANK('ENGAGEMENTS 2026'!B2868),"",IF(AND(OR($E2868="INFRUCTUEUX",$E2868="ANNULE"),$C2868="AOO-M"),'ENGAGEMENTS 2026'!O2868,IF($H2868="EN COURS DE PREENGAGEMENT",'ENGAGEMENTS 2026'!N2868,IF($H2868="PREENGAGE",IF($E2868="ATTRIBUE",'ENGAGEMENTS 2026'!AD2868,'ENGAGEMENTS 2026'!N2868),'ENGAGEMENTS 2026'!AD2868))))</f>
        <v/>
      </c>
      <c r="K2868" s="604">
        <f>IF(ISBLANK('ENGAGEMENTS 2026'!V2868),"",'ENGAGEMENTS 2026'!V2868)</f>
        <v/>
      </c>
      <c r="L2868" s="276">
        <f>IF($K2868="","",TODAY()-$K2868)</f>
        <v/>
      </c>
      <c r="M2868">
        <f>IF($A2868="","",IF($H2868="ENGAGE","Engagé",IF(AND($H2868="NON ENGAGE",OR($I2868="INFRUCTUEUX",$I2868="ANNULE")),"Clôturé sans suite","En cours")))</f>
        <v/>
      </c>
      <c r="N2868">
        <f>IF(ISBLANK('ENGAGEMENTS 2026'!B2868),"",'ENGAGEMENTS 2026'!K2868)</f>
        <v/>
      </c>
      <c r="O2868">
        <f>IF(ISBLANK('ENGAGEMENTS 2026'!B2868),"",'ENGAGEMENTS 2026'!L2868)</f>
        <v/>
      </c>
      <c r="P2868">
        <f>IF(ISBLANK('ENGAGEMENTS 2026'!B2868),"",'ENGAGEMENTS 2026'!J2868)</f>
        <v/>
      </c>
      <c r="Q2868">
        <f>IF($A2868="","",IF(OR($E2868="INFRUCTUEUX",$E2868="ANNULE"),$A2868&amp;"|"&amp;(COUNTIFS($A$2:$A2868,$A2868,$E$2:$E2868,"INFRUCTUEUX")+COUNTIFS($A$2:$A2868,$A2868,$E$2:$E2868,"ANNULE")),""))</f>
        <v/>
      </c>
    </row>
    <row r="2869">
      <c r="A2869">
        <f>IF(ISBLANK('ENGAGEMENTS 2026'!B2869),"",IF('ENGAGEMENTS 2026'!B2869="DTSI","DCT",'ENGAGEMENTS 2026'!B2869))</f>
        <v/>
      </c>
      <c r="B2869">
        <f>IF(ISBLANK('ENGAGEMENTS 2026'!B2869),"",'ENGAGEMENTS 2026'!C2869)</f>
        <v/>
      </c>
      <c r="C2869">
        <f>IF(ISBLANK('ENGAGEMENTS 2026'!B2869),"",'ENGAGEMENTS 2026'!D2869)</f>
        <v/>
      </c>
      <c r="D2869">
        <f>IF(ISBLANK('ENGAGEMENTS 2026'!B2869),"",'ENGAGEMENTS 2026'!F2869)</f>
        <v/>
      </c>
      <c r="E2869">
        <f>IF(ISBLANK('ENGAGEMENTS 2026'!B2869),"",'ENGAGEMENTS 2026'!H2869)</f>
        <v/>
      </c>
      <c r="F2869">
        <f>IF(ISBLANK('ENGAGEMENTS 2026'!B2869),"",'ENGAGEMENTS 2026'!I2869)</f>
        <v/>
      </c>
      <c r="G2869">
        <f>IF(ISBLANK('ENGAGEMENTS 2026'!B2869),"",'ENGAGEMENTS 2026'!L2869)</f>
        <v/>
      </c>
      <c r="H2869">
        <f>IF(ISBLANK('ENGAGEMENTS 2026'!B2869),"",'ENGAGEMENTS 2026'!AE2869)</f>
        <v/>
      </c>
      <c r="I2869">
        <f>IF(ISBLANK('ENGAGEMENTS 2026'!B2869),"",'ENGAGEMENTS 2026'!G2869)</f>
        <v/>
      </c>
      <c r="J2869" s="275">
        <f>IF(ISBLANK('ENGAGEMENTS 2026'!B2869),"",IF(AND(OR($E2869="INFRUCTUEUX",$E2869="ANNULE"),$C2869="AOO-M"),'ENGAGEMENTS 2026'!O2869,IF($H2869="EN COURS DE PREENGAGEMENT",'ENGAGEMENTS 2026'!N2869,IF($H2869="PREENGAGE",IF($E2869="ATTRIBUE",'ENGAGEMENTS 2026'!AD2869,'ENGAGEMENTS 2026'!N2869),'ENGAGEMENTS 2026'!AD2869))))</f>
        <v/>
      </c>
      <c r="K2869" s="604">
        <f>IF(ISBLANK('ENGAGEMENTS 2026'!V2869),"",'ENGAGEMENTS 2026'!V2869)</f>
        <v/>
      </c>
      <c r="L2869" s="276">
        <f>IF($K2869="","",TODAY()-$K2869)</f>
        <v/>
      </c>
      <c r="M2869">
        <f>IF($A2869="","",IF($H2869="ENGAGE","Engagé",IF(AND($H2869="NON ENGAGE",OR($I2869="INFRUCTUEUX",$I2869="ANNULE")),"Clôturé sans suite","En cours")))</f>
        <v/>
      </c>
      <c r="N2869">
        <f>IF(ISBLANK('ENGAGEMENTS 2026'!B2869),"",'ENGAGEMENTS 2026'!K2869)</f>
        <v/>
      </c>
      <c r="O2869">
        <f>IF(ISBLANK('ENGAGEMENTS 2026'!B2869),"",'ENGAGEMENTS 2026'!L2869)</f>
        <v/>
      </c>
      <c r="P2869">
        <f>IF(ISBLANK('ENGAGEMENTS 2026'!B2869),"",'ENGAGEMENTS 2026'!J2869)</f>
        <v/>
      </c>
      <c r="Q2869">
        <f>IF($A2869="","",IF(OR($E2869="INFRUCTUEUX",$E2869="ANNULE"),$A2869&amp;"|"&amp;(COUNTIFS($A$2:$A2869,$A2869,$E$2:$E2869,"INFRUCTUEUX")+COUNTIFS($A$2:$A2869,$A2869,$E$2:$E2869,"ANNULE")),""))</f>
        <v/>
      </c>
    </row>
    <row r="2870">
      <c r="A2870">
        <f>IF(ISBLANK('ENGAGEMENTS 2026'!B2870),"",IF('ENGAGEMENTS 2026'!B2870="DTSI","DCT",'ENGAGEMENTS 2026'!B2870))</f>
        <v/>
      </c>
      <c r="B2870">
        <f>IF(ISBLANK('ENGAGEMENTS 2026'!B2870),"",'ENGAGEMENTS 2026'!C2870)</f>
        <v/>
      </c>
      <c r="C2870">
        <f>IF(ISBLANK('ENGAGEMENTS 2026'!B2870),"",'ENGAGEMENTS 2026'!D2870)</f>
        <v/>
      </c>
      <c r="D2870">
        <f>IF(ISBLANK('ENGAGEMENTS 2026'!B2870),"",'ENGAGEMENTS 2026'!F2870)</f>
        <v/>
      </c>
      <c r="E2870">
        <f>IF(ISBLANK('ENGAGEMENTS 2026'!B2870),"",'ENGAGEMENTS 2026'!H2870)</f>
        <v/>
      </c>
      <c r="F2870">
        <f>IF(ISBLANK('ENGAGEMENTS 2026'!B2870),"",'ENGAGEMENTS 2026'!I2870)</f>
        <v/>
      </c>
      <c r="G2870">
        <f>IF(ISBLANK('ENGAGEMENTS 2026'!B2870),"",'ENGAGEMENTS 2026'!L2870)</f>
        <v/>
      </c>
      <c r="H2870">
        <f>IF(ISBLANK('ENGAGEMENTS 2026'!B2870),"",'ENGAGEMENTS 2026'!AE2870)</f>
        <v/>
      </c>
      <c r="I2870">
        <f>IF(ISBLANK('ENGAGEMENTS 2026'!B2870),"",'ENGAGEMENTS 2026'!G2870)</f>
        <v/>
      </c>
      <c r="J2870" s="275">
        <f>IF(ISBLANK('ENGAGEMENTS 2026'!B2870),"",IF(AND(OR($E2870="INFRUCTUEUX",$E2870="ANNULE"),$C2870="AOO-M"),'ENGAGEMENTS 2026'!O2870,IF($H2870="EN COURS DE PREENGAGEMENT",'ENGAGEMENTS 2026'!N2870,IF($H2870="PREENGAGE",IF($E2870="ATTRIBUE",'ENGAGEMENTS 2026'!AD2870,'ENGAGEMENTS 2026'!N2870),'ENGAGEMENTS 2026'!AD2870))))</f>
        <v/>
      </c>
      <c r="K2870" s="604">
        <f>IF(ISBLANK('ENGAGEMENTS 2026'!V2870),"",'ENGAGEMENTS 2026'!V2870)</f>
        <v/>
      </c>
      <c r="L2870" s="276">
        <f>IF($K2870="","",TODAY()-$K2870)</f>
        <v/>
      </c>
      <c r="M2870">
        <f>IF($A2870="","",IF($H2870="ENGAGE","Engagé",IF(AND($H2870="NON ENGAGE",OR($I2870="INFRUCTUEUX",$I2870="ANNULE")),"Clôturé sans suite","En cours")))</f>
        <v/>
      </c>
      <c r="N2870">
        <f>IF(ISBLANK('ENGAGEMENTS 2026'!B2870),"",'ENGAGEMENTS 2026'!K2870)</f>
        <v/>
      </c>
      <c r="O2870">
        <f>IF(ISBLANK('ENGAGEMENTS 2026'!B2870),"",'ENGAGEMENTS 2026'!L2870)</f>
        <v/>
      </c>
      <c r="P2870">
        <f>IF(ISBLANK('ENGAGEMENTS 2026'!B2870),"",'ENGAGEMENTS 2026'!J2870)</f>
        <v/>
      </c>
      <c r="Q2870">
        <f>IF($A2870="","",IF(OR($E2870="INFRUCTUEUX",$E2870="ANNULE"),$A2870&amp;"|"&amp;(COUNTIFS($A$2:$A2870,$A2870,$E$2:$E2870,"INFRUCTUEUX")+COUNTIFS($A$2:$A2870,$A2870,$E$2:$E2870,"ANNULE")),""))</f>
        <v/>
      </c>
    </row>
    <row r="2871">
      <c r="A2871">
        <f>IF(ISBLANK('ENGAGEMENTS 2026'!B2871),"",IF('ENGAGEMENTS 2026'!B2871="DTSI","DCT",'ENGAGEMENTS 2026'!B2871))</f>
        <v/>
      </c>
      <c r="B2871">
        <f>IF(ISBLANK('ENGAGEMENTS 2026'!B2871),"",'ENGAGEMENTS 2026'!C2871)</f>
        <v/>
      </c>
      <c r="C2871">
        <f>IF(ISBLANK('ENGAGEMENTS 2026'!B2871),"",'ENGAGEMENTS 2026'!D2871)</f>
        <v/>
      </c>
      <c r="D2871">
        <f>IF(ISBLANK('ENGAGEMENTS 2026'!B2871),"",'ENGAGEMENTS 2026'!F2871)</f>
        <v/>
      </c>
      <c r="E2871">
        <f>IF(ISBLANK('ENGAGEMENTS 2026'!B2871),"",'ENGAGEMENTS 2026'!H2871)</f>
        <v/>
      </c>
      <c r="F2871">
        <f>IF(ISBLANK('ENGAGEMENTS 2026'!B2871),"",'ENGAGEMENTS 2026'!I2871)</f>
        <v/>
      </c>
      <c r="G2871">
        <f>IF(ISBLANK('ENGAGEMENTS 2026'!B2871),"",'ENGAGEMENTS 2026'!L2871)</f>
        <v/>
      </c>
      <c r="H2871">
        <f>IF(ISBLANK('ENGAGEMENTS 2026'!B2871),"",'ENGAGEMENTS 2026'!AE2871)</f>
        <v/>
      </c>
      <c r="I2871">
        <f>IF(ISBLANK('ENGAGEMENTS 2026'!B2871),"",'ENGAGEMENTS 2026'!G2871)</f>
        <v/>
      </c>
      <c r="J2871" s="275">
        <f>IF(ISBLANK('ENGAGEMENTS 2026'!B2871),"",IF(AND(OR($E2871="INFRUCTUEUX",$E2871="ANNULE"),$C2871="AOO-M"),'ENGAGEMENTS 2026'!O2871,IF($H2871="EN COURS DE PREENGAGEMENT",'ENGAGEMENTS 2026'!N2871,IF($H2871="PREENGAGE",IF($E2871="ATTRIBUE",'ENGAGEMENTS 2026'!AD2871,'ENGAGEMENTS 2026'!N2871),'ENGAGEMENTS 2026'!AD2871))))</f>
        <v/>
      </c>
      <c r="K2871" s="604">
        <f>IF(ISBLANK('ENGAGEMENTS 2026'!V2871),"",'ENGAGEMENTS 2026'!V2871)</f>
        <v/>
      </c>
      <c r="L2871" s="276">
        <f>IF($K2871="","",TODAY()-$K2871)</f>
        <v/>
      </c>
      <c r="M2871">
        <f>IF($A2871="","",IF($H2871="ENGAGE","Engagé",IF(AND($H2871="NON ENGAGE",OR($I2871="INFRUCTUEUX",$I2871="ANNULE")),"Clôturé sans suite","En cours")))</f>
        <v/>
      </c>
      <c r="N2871">
        <f>IF(ISBLANK('ENGAGEMENTS 2026'!B2871),"",'ENGAGEMENTS 2026'!K2871)</f>
        <v/>
      </c>
      <c r="O2871">
        <f>IF(ISBLANK('ENGAGEMENTS 2026'!B2871),"",'ENGAGEMENTS 2026'!L2871)</f>
        <v/>
      </c>
      <c r="P2871">
        <f>IF(ISBLANK('ENGAGEMENTS 2026'!B2871),"",'ENGAGEMENTS 2026'!J2871)</f>
        <v/>
      </c>
      <c r="Q2871">
        <f>IF($A2871="","",IF(OR($E2871="INFRUCTUEUX",$E2871="ANNULE"),$A2871&amp;"|"&amp;(COUNTIFS($A$2:$A2871,$A2871,$E$2:$E2871,"INFRUCTUEUX")+COUNTIFS($A$2:$A2871,$A2871,$E$2:$E2871,"ANNULE")),""))</f>
        <v/>
      </c>
    </row>
    <row r="2872">
      <c r="A2872">
        <f>IF(ISBLANK('ENGAGEMENTS 2026'!B2872),"",IF('ENGAGEMENTS 2026'!B2872="DTSI","DCT",'ENGAGEMENTS 2026'!B2872))</f>
        <v/>
      </c>
      <c r="B2872">
        <f>IF(ISBLANK('ENGAGEMENTS 2026'!B2872),"",'ENGAGEMENTS 2026'!C2872)</f>
        <v/>
      </c>
      <c r="C2872">
        <f>IF(ISBLANK('ENGAGEMENTS 2026'!B2872),"",'ENGAGEMENTS 2026'!D2872)</f>
        <v/>
      </c>
      <c r="D2872">
        <f>IF(ISBLANK('ENGAGEMENTS 2026'!B2872),"",'ENGAGEMENTS 2026'!F2872)</f>
        <v/>
      </c>
      <c r="E2872">
        <f>IF(ISBLANK('ENGAGEMENTS 2026'!B2872),"",'ENGAGEMENTS 2026'!H2872)</f>
        <v/>
      </c>
      <c r="F2872">
        <f>IF(ISBLANK('ENGAGEMENTS 2026'!B2872),"",'ENGAGEMENTS 2026'!I2872)</f>
        <v/>
      </c>
      <c r="G2872">
        <f>IF(ISBLANK('ENGAGEMENTS 2026'!B2872),"",'ENGAGEMENTS 2026'!L2872)</f>
        <v/>
      </c>
      <c r="H2872">
        <f>IF(ISBLANK('ENGAGEMENTS 2026'!B2872),"",'ENGAGEMENTS 2026'!AE2872)</f>
        <v/>
      </c>
      <c r="I2872">
        <f>IF(ISBLANK('ENGAGEMENTS 2026'!B2872),"",'ENGAGEMENTS 2026'!G2872)</f>
        <v/>
      </c>
      <c r="J2872" s="275">
        <f>IF(ISBLANK('ENGAGEMENTS 2026'!B2872),"",IF(AND(OR($E2872="INFRUCTUEUX",$E2872="ANNULE"),$C2872="AOO-M"),'ENGAGEMENTS 2026'!O2872,IF($H2872="EN COURS DE PREENGAGEMENT",'ENGAGEMENTS 2026'!N2872,IF($H2872="PREENGAGE",IF($E2872="ATTRIBUE",'ENGAGEMENTS 2026'!AD2872,'ENGAGEMENTS 2026'!N2872),'ENGAGEMENTS 2026'!AD2872))))</f>
        <v/>
      </c>
      <c r="K2872" s="604">
        <f>IF(ISBLANK('ENGAGEMENTS 2026'!V2872),"",'ENGAGEMENTS 2026'!V2872)</f>
        <v/>
      </c>
      <c r="L2872" s="276">
        <f>IF($K2872="","",TODAY()-$K2872)</f>
        <v/>
      </c>
      <c r="M2872">
        <f>IF($A2872="","",IF($H2872="ENGAGE","Engagé",IF(AND($H2872="NON ENGAGE",OR($I2872="INFRUCTUEUX",$I2872="ANNULE")),"Clôturé sans suite","En cours")))</f>
        <v/>
      </c>
      <c r="N2872">
        <f>IF(ISBLANK('ENGAGEMENTS 2026'!B2872),"",'ENGAGEMENTS 2026'!K2872)</f>
        <v/>
      </c>
      <c r="O2872">
        <f>IF(ISBLANK('ENGAGEMENTS 2026'!B2872),"",'ENGAGEMENTS 2026'!L2872)</f>
        <v/>
      </c>
      <c r="P2872">
        <f>IF(ISBLANK('ENGAGEMENTS 2026'!B2872),"",'ENGAGEMENTS 2026'!J2872)</f>
        <v/>
      </c>
      <c r="Q2872">
        <f>IF($A2872="","",IF(OR($E2872="INFRUCTUEUX",$E2872="ANNULE"),$A2872&amp;"|"&amp;(COUNTIFS($A$2:$A2872,$A2872,$E$2:$E2872,"INFRUCTUEUX")+COUNTIFS($A$2:$A2872,$A2872,$E$2:$E2872,"ANNULE")),""))</f>
        <v/>
      </c>
    </row>
    <row r="2873">
      <c r="A2873">
        <f>IF(ISBLANK('ENGAGEMENTS 2026'!B2873),"",IF('ENGAGEMENTS 2026'!B2873="DTSI","DCT",'ENGAGEMENTS 2026'!B2873))</f>
        <v/>
      </c>
      <c r="B2873">
        <f>IF(ISBLANK('ENGAGEMENTS 2026'!B2873),"",'ENGAGEMENTS 2026'!C2873)</f>
        <v/>
      </c>
      <c r="C2873">
        <f>IF(ISBLANK('ENGAGEMENTS 2026'!B2873),"",'ENGAGEMENTS 2026'!D2873)</f>
        <v/>
      </c>
      <c r="D2873">
        <f>IF(ISBLANK('ENGAGEMENTS 2026'!B2873),"",'ENGAGEMENTS 2026'!F2873)</f>
        <v/>
      </c>
      <c r="E2873">
        <f>IF(ISBLANK('ENGAGEMENTS 2026'!B2873),"",'ENGAGEMENTS 2026'!H2873)</f>
        <v/>
      </c>
      <c r="F2873">
        <f>IF(ISBLANK('ENGAGEMENTS 2026'!B2873),"",'ENGAGEMENTS 2026'!I2873)</f>
        <v/>
      </c>
      <c r="G2873">
        <f>IF(ISBLANK('ENGAGEMENTS 2026'!B2873),"",'ENGAGEMENTS 2026'!L2873)</f>
        <v/>
      </c>
      <c r="H2873">
        <f>IF(ISBLANK('ENGAGEMENTS 2026'!B2873),"",'ENGAGEMENTS 2026'!AE2873)</f>
        <v/>
      </c>
      <c r="I2873">
        <f>IF(ISBLANK('ENGAGEMENTS 2026'!B2873),"",'ENGAGEMENTS 2026'!G2873)</f>
        <v/>
      </c>
      <c r="J2873" s="275">
        <f>IF(ISBLANK('ENGAGEMENTS 2026'!B2873),"",IF(AND(OR($E2873="INFRUCTUEUX",$E2873="ANNULE"),$C2873="AOO-M"),'ENGAGEMENTS 2026'!O2873,IF($H2873="EN COURS DE PREENGAGEMENT",'ENGAGEMENTS 2026'!N2873,IF($H2873="PREENGAGE",IF($E2873="ATTRIBUE",'ENGAGEMENTS 2026'!AD2873,'ENGAGEMENTS 2026'!N2873),'ENGAGEMENTS 2026'!AD2873))))</f>
        <v/>
      </c>
      <c r="K2873" s="604">
        <f>IF(ISBLANK('ENGAGEMENTS 2026'!V2873),"",'ENGAGEMENTS 2026'!V2873)</f>
        <v/>
      </c>
      <c r="L2873" s="276">
        <f>IF($K2873="","",TODAY()-$K2873)</f>
        <v/>
      </c>
      <c r="M2873">
        <f>IF($A2873="","",IF($H2873="ENGAGE","Engagé",IF(AND($H2873="NON ENGAGE",OR($I2873="INFRUCTUEUX",$I2873="ANNULE")),"Clôturé sans suite","En cours")))</f>
        <v/>
      </c>
      <c r="N2873">
        <f>IF(ISBLANK('ENGAGEMENTS 2026'!B2873),"",'ENGAGEMENTS 2026'!K2873)</f>
        <v/>
      </c>
      <c r="O2873">
        <f>IF(ISBLANK('ENGAGEMENTS 2026'!B2873),"",'ENGAGEMENTS 2026'!L2873)</f>
        <v/>
      </c>
      <c r="P2873">
        <f>IF(ISBLANK('ENGAGEMENTS 2026'!B2873),"",'ENGAGEMENTS 2026'!J2873)</f>
        <v/>
      </c>
      <c r="Q2873">
        <f>IF($A2873="","",IF(OR($E2873="INFRUCTUEUX",$E2873="ANNULE"),$A2873&amp;"|"&amp;(COUNTIFS($A$2:$A2873,$A2873,$E$2:$E2873,"INFRUCTUEUX")+COUNTIFS($A$2:$A2873,$A2873,$E$2:$E2873,"ANNULE")),""))</f>
        <v/>
      </c>
    </row>
    <row r="2874">
      <c r="A2874">
        <f>IF(ISBLANK('ENGAGEMENTS 2026'!B2874),"",IF('ENGAGEMENTS 2026'!B2874="DTSI","DCT",'ENGAGEMENTS 2026'!B2874))</f>
        <v/>
      </c>
      <c r="B2874">
        <f>IF(ISBLANK('ENGAGEMENTS 2026'!B2874),"",'ENGAGEMENTS 2026'!C2874)</f>
        <v/>
      </c>
      <c r="C2874">
        <f>IF(ISBLANK('ENGAGEMENTS 2026'!B2874),"",'ENGAGEMENTS 2026'!D2874)</f>
        <v/>
      </c>
      <c r="D2874">
        <f>IF(ISBLANK('ENGAGEMENTS 2026'!B2874),"",'ENGAGEMENTS 2026'!F2874)</f>
        <v/>
      </c>
      <c r="E2874">
        <f>IF(ISBLANK('ENGAGEMENTS 2026'!B2874),"",'ENGAGEMENTS 2026'!H2874)</f>
        <v/>
      </c>
      <c r="F2874">
        <f>IF(ISBLANK('ENGAGEMENTS 2026'!B2874),"",'ENGAGEMENTS 2026'!I2874)</f>
        <v/>
      </c>
      <c r="G2874">
        <f>IF(ISBLANK('ENGAGEMENTS 2026'!B2874),"",'ENGAGEMENTS 2026'!L2874)</f>
        <v/>
      </c>
      <c r="H2874">
        <f>IF(ISBLANK('ENGAGEMENTS 2026'!B2874),"",'ENGAGEMENTS 2026'!AE2874)</f>
        <v/>
      </c>
      <c r="I2874">
        <f>IF(ISBLANK('ENGAGEMENTS 2026'!B2874),"",'ENGAGEMENTS 2026'!G2874)</f>
        <v/>
      </c>
      <c r="J2874" s="275">
        <f>IF(ISBLANK('ENGAGEMENTS 2026'!B2874),"",IF(AND(OR($E2874="INFRUCTUEUX",$E2874="ANNULE"),$C2874="AOO-M"),'ENGAGEMENTS 2026'!O2874,IF($H2874="EN COURS DE PREENGAGEMENT",'ENGAGEMENTS 2026'!N2874,IF($H2874="PREENGAGE",IF($E2874="ATTRIBUE",'ENGAGEMENTS 2026'!AD2874,'ENGAGEMENTS 2026'!N2874),'ENGAGEMENTS 2026'!AD2874))))</f>
        <v/>
      </c>
      <c r="K2874" s="604">
        <f>IF(ISBLANK('ENGAGEMENTS 2026'!V2874),"",'ENGAGEMENTS 2026'!V2874)</f>
        <v/>
      </c>
      <c r="L2874" s="276">
        <f>IF($K2874="","",TODAY()-$K2874)</f>
        <v/>
      </c>
      <c r="M2874">
        <f>IF($A2874="","",IF($H2874="ENGAGE","Engagé",IF(AND($H2874="NON ENGAGE",OR($I2874="INFRUCTUEUX",$I2874="ANNULE")),"Clôturé sans suite","En cours")))</f>
        <v/>
      </c>
      <c r="N2874">
        <f>IF(ISBLANK('ENGAGEMENTS 2026'!B2874),"",'ENGAGEMENTS 2026'!K2874)</f>
        <v/>
      </c>
      <c r="O2874">
        <f>IF(ISBLANK('ENGAGEMENTS 2026'!B2874),"",'ENGAGEMENTS 2026'!L2874)</f>
        <v/>
      </c>
      <c r="P2874">
        <f>IF(ISBLANK('ENGAGEMENTS 2026'!B2874),"",'ENGAGEMENTS 2026'!J2874)</f>
        <v/>
      </c>
      <c r="Q2874">
        <f>IF($A2874="","",IF(OR($E2874="INFRUCTUEUX",$E2874="ANNULE"),$A2874&amp;"|"&amp;(COUNTIFS($A$2:$A2874,$A2874,$E$2:$E2874,"INFRUCTUEUX")+COUNTIFS($A$2:$A2874,$A2874,$E$2:$E2874,"ANNULE")),""))</f>
        <v/>
      </c>
    </row>
    <row r="2875">
      <c r="A2875">
        <f>IF(ISBLANK('ENGAGEMENTS 2026'!B2875),"",IF('ENGAGEMENTS 2026'!B2875="DTSI","DCT",'ENGAGEMENTS 2026'!B2875))</f>
        <v/>
      </c>
      <c r="B2875">
        <f>IF(ISBLANK('ENGAGEMENTS 2026'!B2875),"",'ENGAGEMENTS 2026'!C2875)</f>
        <v/>
      </c>
      <c r="C2875">
        <f>IF(ISBLANK('ENGAGEMENTS 2026'!B2875),"",'ENGAGEMENTS 2026'!D2875)</f>
        <v/>
      </c>
      <c r="D2875">
        <f>IF(ISBLANK('ENGAGEMENTS 2026'!B2875),"",'ENGAGEMENTS 2026'!F2875)</f>
        <v/>
      </c>
      <c r="E2875">
        <f>IF(ISBLANK('ENGAGEMENTS 2026'!B2875),"",'ENGAGEMENTS 2026'!H2875)</f>
        <v/>
      </c>
      <c r="F2875">
        <f>IF(ISBLANK('ENGAGEMENTS 2026'!B2875),"",'ENGAGEMENTS 2026'!I2875)</f>
        <v/>
      </c>
      <c r="G2875">
        <f>IF(ISBLANK('ENGAGEMENTS 2026'!B2875),"",'ENGAGEMENTS 2026'!L2875)</f>
        <v/>
      </c>
      <c r="H2875">
        <f>IF(ISBLANK('ENGAGEMENTS 2026'!B2875),"",'ENGAGEMENTS 2026'!AE2875)</f>
        <v/>
      </c>
      <c r="I2875">
        <f>IF(ISBLANK('ENGAGEMENTS 2026'!B2875),"",'ENGAGEMENTS 2026'!G2875)</f>
        <v/>
      </c>
      <c r="J2875" s="275">
        <f>IF(ISBLANK('ENGAGEMENTS 2026'!B2875),"",IF(AND(OR($E2875="INFRUCTUEUX",$E2875="ANNULE"),$C2875="AOO-M"),'ENGAGEMENTS 2026'!O2875,IF($H2875="EN COURS DE PREENGAGEMENT",'ENGAGEMENTS 2026'!N2875,IF($H2875="PREENGAGE",IF($E2875="ATTRIBUE",'ENGAGEMENTS 2026'!AD2875,'ENGAGEMENTS 2026'!N2875),'ENGAGEMENTS 2026'!AD2875))))</f>
        <v/>
      </c>
      <c r="K2875" s="604">
        <f>IF(ISBLANK('ENGAGEMENTS 2026'!V2875),"",'ENGAGEMENTS 2026'!V2875)</f>
        <v/>
      </c>
      <c r="L2875" s="276">
        <f>IF($K2875="","",TODAY()-$K2875)</f>
        <v/>
      </c>
      <c r="M2875">
        <f>IF($A2875="","",IF($H2875="ENGAGE","Engagé",IF(AND($H2875="NON ENGAGE",OR($I2875="INFRUCTUEUX",$I2875="ANNULE")),"Clôturé sans suite","En cours")))</f>
        <v/>
      </c>
      <c r="N2875">
        <f>IF(ISBLANK('ENGAGEMENTS 2026'!B2875),"",'ENGAGEMENTS 2026'!K2875)</f>
        <v/>
      </c>
      <c r="O2875">
        <f>IF(ISBLANK('ENGAGEMENTS 2026'!B2875),"",'ENGAGEMENTS 2026'!L2875)</f>
        <v/>
      </c>
      <c r="P2875">
        <f>IF(ISBLANK('ENGAGEMENTS 2026'!B2875),"",'ENGAGEMENTS 2026'!J2875)</f>
        <v/>
      </c>
      <c r="Q2875">
        <f>IF($A2875="","",IF(OR($E2875="INFRUCTUEUX",$E2875="ANNULE"),$A2875&amp;"|"&amp;(COUNTIFS($A$2:$A2875,$A2875,$E$2:$E2875,"INFRUCTUEUX")+COUNTIFS($A$2:$A2875,$A2875,$E$2:$E2875,"ANNULE")),""))</f>
        <v/>
      </c>
    </row>
    <row r="2876">
      <c r="A2876">
        <f>IF(ISBLANK('ENGAGEMENTS 2026'!B2876),"",IF('ENGAGEMENTS 2026'!B2876="DTSI","DCT",'ENGAGEMENTS 2026'!B2876))</f>
        <v/>
      </c>
      <c r="B2876">
        <f>IF(ISBLANK('ENGAGEMENTS 2026'!B2876),"",'ENGAGEMENTS 2026'!C2876)</f>
        <v/>
      </c>
      <c r="C2876">
        <f>IF(ISBLANK('ENGAGEMENTS 2026'!B2876),"",'ENGAGEMENTS 2026'!D2876)</f>
        <v/>
      </c>
      <c r="D2876">
        <f>IF(ISBLANK('ENGAGEMENTS 2026'!B2876),"",'ENGAGEMENTS 2026'!F2876)</f>
        <v/>
      </c>
      <c r="E2876">
        <f>IF(ISBLANK('ENGAGEMENTS 2026'!B2876),"",'ENGAGEMENTS 2026'!H2876)</f>
        <v/>
      </c>
      <c r="F2876">
        <f>IF(ISBLANK('ENGAGEMENTS 2026'!B2876),"",'ENGAGEMENTS 2026'!I2876)</f>
        <v/>
      </c>
      <c r="G2876">
        <f>IF(ISBLANK('ENGAGEMENTS 2026'!B2876),"",'ENGAGEMENTS 2026'!L2876)</f>
        <v/>
      </c>
      <c r="H2876">
        <f>IF(ISBLANK('ENGAGEMENTS 2026'!B2876),"",'ENGAGEMENTS 2026'!AE2876)</f>
        <v/>
      </c>
      <c r="I2876">
        <f>IF(ISBLANK('ENGAGEMENTS 2026'!B2876),"",'ENGAGEMENTS 2026'!G2876)</f>
        <v/>
      </c>
      <c r="J2876" s="275">
        <f>IF(ISBLANK('ENGAGEMENTS 2026'!B2876),"",IF(AND(OR($E2876="INFRUCTUEUX",$E2876="ANNULE"),$C2876="AOO-M"),'ENGAGEMENTS 2026'!O2876,IF($H2876="EN COURS DE PREENGAGEMENT",'ENGAGEMENTS 2026'!N2876,IF($H2876="PREENGAGE",IF($E2876="ATTRIBUE",'ENGAGEMENTS 2026'!AD2876,'ENGAGEMENTS 2026'!N2876),'ENGAGEMENTS 2026'!AD2876))))</f>
        <v/>
      </c>
      <c r="K2876" s="604">
        <f>IF(ISBLANK('ENGAGEMENTS 2026'!V2876),"",'ENGAGEMENTS 2026'!V2876)</f>
        <v/>
      </c>
      <c r="L2876" s="276">
        <f>IF($K2876="","",TODAY()-$K2876)</f>
        <v/>
      </c>
      <c r="M2876">
        <f>IF($A2876="","",IF($H2876="ENGAGE","Engagé",IF(AND($H2876="NON ENGAGE",OR($I2876="INFRUCTUEUX",$I2876="ANNULE")),"Clôturé sans suite","En cours")))</f>
        <v/>
      </c>
      <c r="N2876">
        <f>IF(ISBLANK('ENGAGEMENTS 2026'!B2876),"",'ENGAGEMENTS 2026'!K2876)</f>
        <v/>
      </c>
      <c r="O2876">
        <f>IF(ISBLANK('ENGAGEMENTS 2026'!B2876),"",'ENGAGEMENTS 2026'!L2876)</f>
        <v/>
      </c>
      <c r="P2876">
        <f>IF(ISBLANK('ENGAGEMENTS 2026'!B2876),"",'ENGAGEMENTS 2026'!J2876)</f>
        <v/>
      </c>
      <c r="Q2876">
        <f>IF($A2876="","",IF(OR($E2876="INFRUCTUEUX",$E2876="ANNULE"),$A2876&amp;"|"&amp;(COUNTIFS($A$2:$A2876,$A2876,$E$2:$E2876,"INFRUCTUEUX")+COUNTIFS($A$2:$A2876,$A2876,$E$2:$E2876,"ANNULE")),""))</f>
        <v/>
      </c>
    </row>
    <row r="2877">
      <c r="A2877">
        <f>IF(ISBLANK('ENGAGEMENTS 2026'!B2877),"",IF('ENGAGEMENTS 2026'!B2877="DTSI","DCT",'ENGAGEMENTS 2026'!B2877))</f>
        <v/>
      </c>
      <c r="B2877">
        <f>IF(ISBLANK('ENGAGEMENTS 2026'!B2877),"",'ENGAGEMENTS 2026'!C2877)</f>
        <v/>
      </c>
      <c r="C2877">
        <f>IF(ISBLANK('ENGAGEMENTS 2026'!B2877),"",'ENGAGEMENTS 2026'!D2877)</f>
        <v/>
      </c>
      <c r="D2877">
        <f>IF(ISBLANK('ENGAGEMENTS 2026'!B2877),"",'ENGAGEMENTS 2026'!F2877)</f>
        <v/>
      </c>
      <c r="E2877">
        <f>IF(ISBLANK('ENGAGEMENTS 2026'!B2877),"",'ENGAGEMENTS 2026'!H2877)</f>
        <v/>
      </c>
      <c r="F2877">
        <f>IF(ISBLANK('ENGAGEMENTS 2026'!B2877),"",'ENGAGEMENTS 2026'!I2877)</f>
        <v/>
      </c>
      <c r="G2877">
        <f>IF(ISBLANK('ENGAGEMENTS 2026'!B2877),"",'ENGAGEMENTS 2026'!L2877)</f>
        <v/>
      </c>
      <c r="H2877">
        <f>IF(ISBLANK('ENGAGEMENTS 2026'!B2877),"",'ENGAGEMENTS 2026'!AE2877)</f>
        <v/>
      </c>
      <c r="I2877">
        <f>IF(ISBLANK('ENGAGEMENTS 2026'!B2877),"",'ENGAGEMENTS 2026'!G2877)</f>
        <v/>
      </c>
      <c r="J2877" s="275">
        <f>IF(ISBLANK('ENGAGEMENTS 2026'!B2877),"",IF(AND(OR($E2877="INFRUCTUEUX",$E2877="ANNULE"),$C2877="AOO-M"),'ENGAGEMENTS 2026'!O2877,IF($H2877="EN COURS DE PREENGAGEMENT",'ENGAGEMENTS 2026'!N2877,IF($H2877="PREENGAGE",IF($E2877="ATTRIBUE",'ENGAGEMENTS 2026'!AD2877,'ENGAGEMENTS 2026'!N2877),'ENGAGEMENTS 2026'!AD2877))))</f>
        <v/>
      </c>
      <c r="K2877" s="604">
        <f>IF(ISBLANK('ENGAGEMENTS 2026'!V2877),"",'ENGAGEMENTS 2026'!V2877)</f>
        <v/>
      </c>
      <c r="L2877" s="276">
        <f>IF($K2877="","",TODAY()-$K2877)</f>
        <v/>
      </c>
      <c r="M2877">
        <f>IF($A2877="","",IF($H2877="ENGAGE","Engagé",IF(AND($H2877="NON ENGAGE",OR($I2877="INFRUCTUEUX",$I2877="ANNULE")),"Clôturé sans suite","En cours")))</f>
        <v/>
      </c>
      <c r="N2877">
        <f>IF(ISBLANK('ENGAGEMENTS 2026'!B2877),"",'ENGAGEMENTS 2026'!K2877)</f>
        <v/>
      </c>
      <c r="O2877">
        <f>IF(ISBLANK('ENGAGEMENTS 2026'!B2877),"",'ENGAGEMENTS 2026'!L2877)</f>
        <v/>
      </c>
      <c r="P2877">
        <f>IF(ISBLANK('ENGAGEMENTS 2026'!B2877),"",'ENGAGEMENTS 2026'!J2877)</f>
        <v/>
      </c>
      <c r="Q2877">
        <f>IF($A2877="","",IF(OR($E2877="INFRUCTUEUX",$E2877="ANNULE"),$A2877&amp;"|"&amp;(COUNTIFS($A$2:$A2877,$A2877,$E$2:$E2877,"INFRUCTUEUX")+COUNTIFS($A$2:$A2877,$A2877,$E$2:$E2877,"ANNULE")),""))</f>
        <v/>
      </c>
    </row>
    <row r="2878">
      <c r="A2878">
        <f>IF(ISBLANK('ENGAGEMENTS 2026'!B2878),"",IF('ENGAGEMENTS 2026'!B2878="DTSI","DCT",'ENGAGEMENTS 2026'!B2878))</f>
        <v/>
      </c>
      <c r="B2878">
        <f>IF(ISBLANK('ENGAGEMENTS 2026'!B2878),"",'ENGAGEMENTS 2026'!C2878)</f>
        <v/>
      </c>
      <c r="C2878">
        <f>IF(ISBLANK('ENGAGEMENTS 2026'!B2878),"",'ENGAGEMENTS 2026'!D2878)</f>
        <v/>
      </c>
      <c r="D2878">
        <f>IF(ISBLANK('ENGAGEMENTS 2026'!B2878),"",'ENGAGEMENTS 2026'!F2878)</f>
        <v/>
      </c>
      <c r="E2878">
        <f>IF(ISBLANK('ENGAGEMENTS 2026'!B2878),"",'ENGAGEMENTS 2026'!H2878)</f>
        <v/>
      </c>
      <c r="F2878">
        <f>IF(ISBLANK('ENGAGEMENTS 2026'!B2878),"",'ENGAGEMENTS 2026'!I2878)</f>
        <v/>
      </c>
      <c r="G2878">
        <f>IF(ISBLANK('ENGAGEMENTS 2026'!B2878),"",'ENGAGEMENTS 2026'!L2878)</f>
        <v/>
      </c>
      <c r="H2878">
        <f>IF(ISBLANK('ENGAGEMENTS 2026'!B2878),"",'ENGAGEMENTS 2026'!AE2878)</f>
        <v/>
      </c>
      <c r="I2878">
        <f>IF(ISBLANK('ENGAGEMENTS 2026'!B2878),"",'ENGAGEMENTS 2026'!G2878)</f>
        <v/>
      </c>
      <c r="J2878" s="275">
        <f>IF(ISBLANK('ENGAGEMENTS 2026'!B2878),"",IF(AND(OR($E2878="INFRUCTUEUX",$E2878="ANNULE"),$C2878="AOO-M"),'ENGAGEMENTS 2026'!O2878,IF($H2878="EN COURS DE PREENGAGEMENT",'ENGAGEMENTS 2026'!N2878,IF($H2878="PREENGAGE",IF($E2878="ATTRIBUE",'ENGAGEMENTS 2026'!AD2878,'ENGAGEMENTS 2026'!N2878),'ENGAGEMENTS 2026'!AD2878))))</f>
        <v/>
      </c>
      <c r="K2878" s="604">
        <f>IF(ISBLANK('ENGAGEMENTS 2026'!V2878),"",'ENGAGEMENTS 2026'!V2878)</f>
        <v/>
      </c>
      <c r="L2878" s="276">
        <f>IF($K2878="","",TODAY()-$K2878)</f>
        <v/>
      </c>
      <c r="M2878">
        <f>IF($A2878="","",IF($H2878="ENGAGE","Engagé",IF(AND($H2878="NON ENGAGE",OR($I2878="INFRUCTUEUX",$I2878="ANNULE")),"Clôturé sans suite","En cours")))</f>
        <v/>
      </c>
      <c r="N2878">
        <f>IF(ISBLANK('ENGAGEMENTS 2026'!B2878),"",'ENGAGEMENTS 2026'!K2878)</f>
        <v/>
      </c>
      <c r="O2878">
        <f>IF(ISBLANK('ENGAGEMENTS 2026'!B2878),"",'ENGAGEMENTS 2026'!L2878)</f>
        <v/>
      </c>
      <c r="P2878">
        <f>IF(ISBLANK('ENGAGEMENTS 2026'!B2878),"",'ENGAGEMENTS 2026'!J2878)</f>
        <v/>
      </c>
      <c r="Q2878">
        <f>IF($A2878="","",IF(OR($E2878="INFRUCTUEUX",$E2878="ANNULE"),$A2878&amp;"|"&amp;(COUNTIFS($A$2:$A2878,$A2878,$E$2:$E2878,"INFRUCTUEUX")+COUNTIFS($A$2:$A2878,$A2878,$E$2:$E2878,"ANNULE")),""))</f>
        <v/>
      </c>
    </row>
    <row r="2879">
      <c r="A2879">
        <f>IF(ISBLANK('ENGAGEMENTS 2026'!B2879),"",IF('ENGAGEMENTS 2026'!B2879="DTSI","DCT",'ENGAGEMENTS 2026'!B2879))</f>
        <v/>
      </c>
      <c r="B2879">
        <f>IF(ISBLANK('ENGAGEMENTS 2026'!B2879),"",'ENGAGEMENTS 2026'!C2879)</f>
        <v/>
      </c>
      <c r="C2879">
        <f>IF(ISBLANK('ENGAGEMENTS 2026'!B2879),"",'ENGAGEMENTS 2026'!D2879)</f>
        <v/>
      </c>
      <c r="D2879">
        <f>IF(ISBLANK('ENGAGEMENTS 2026'!B2879),"",'ENGAGEMENTS 2026'!F2879)</f>
        <v/>
      </c>
      <c r="E2879">
        <f>IF(ISBLANK('ENGAGEMENTS 2026'!B2879),"",'ENGAGEMENTS 2026'!H2879)</f>
        <v/>
      </c>
      <c r="F2879">
        <f>IF(ISBLANK('ENGAGEMENTS 2026'!B2879),"",'ENGAGEMENTS 2026'!I2879)</f>
        <v/>
      </c>
      <c r="G2879">
        <f>IF(ISBLANK('ENGAGEMENTS 2026'!B2879),"",'ENGAGEMENTS 2026'!L2879)</f>
        <v/>
      </c>
      <c r="H2879">
        <f>IF(ISBLANK('ENGAGEMENTS 2026'!B2879),"",'ENGAGEMENTS 2026'!AE2879)</f>
        <v/>
      </c>
      <c r="I2879">
        <f>IF(ISBLANK('ENGAGEMENTS 2026'!B2879),"",'ENGAGEMENTS 2026'!G2879)</f>
        <v/>
      </c>
      <c r="J2879" s="275">
        <f>IF(ISBLANK('ENGAGEMENTS 2026'!B2879),"",IF(AND(OR($E2879="INFRUCTUEUX",$E2879="ANNULE"),$C2879="AOO-M"),'ENGAGEMENTS 2026'!O2879,IF($H2879="EN COURS DE PREENGAGEMENT",'ENGAGEMENTS 2026'!N2879,IF($H2879="PREENGAGE",IF($E2879="ATTRIBUE",'ENGAGEMENTS 2026'!AD2879,'ENGAGEMENTS 2026'!N2879),'ENGAGEMENTS 2026'!AD2879))))</f>
        <v/>
      </c>
      <c r="K2879" s="604">
        <f>IF(ISBLANK('ENGAGEMENTS 2026'!V2879),"",'ENGAGEMENTS 2026'!V2879)</f>
        <v/>
      </c>
      <c r="L2879" s="276">
        <f>IF($K2879="","",TODAY()-$K2879)</f>
        <v/>
      </c>
      <c r="M2879">
        <f>IF($A2879="","",IF($H2879="ENGAGE","Engagé",IF(AND($H2879="NON ENGAGE",OR($I2879="INFRUCTUEUX",$I2879="ANNULE")),"Clôturé sans suite","En cours")))</f>
        <v/>
      </c>
      <c r="N2879">
        <f>IF(ISBLANK('ENGAGEMENTS 2026'!B2879),"",'ENGAGEMENTS 2026'!K2879)</f>
        <v/>
      </c>
      <c r="O2879">
        <f>IF(ISBLANK('ENGAGEMENTS 2026'!B2879),"",'ENGAGEMENTS 2026'!L2879)</f>
        <v/>
      </c>
      <c r="P2879">
        <f>IF(ISBLANK('ENGAGEMENTS 2026'!B2879),"",'ENGAGEMENTS 2026'!J2879)</f>
        <v/>
      </c>
      <c r="Q2879">
        <f>IF($A2879="","",IF(OR($E2879="INFRUCTUEUX",$E2879="ANNULE"),$A2879&amp;"|"&amp;(COUNTIFS($A$2:$A2879,$A2879,$E$2:$E2879,"INFRUCTUEUX")+COUNTIFS($A$2:$A2879,$A2879,$E$2:$E2879,"ANNULE")),""))</f>
        <v/>
      </c>
    </row>
    <row r="2880">
      <c r="A2880">
        <f>IF(ISBLANK('ENGAGEMENTS 2026'!B2880),"",IF('ENGAGEMENTS 2026'!B2880="DTSI","DCT",'ENGAGEMENTS 2026'!B2880))</f>
        <v/>
      </c>
      <c r="B2880">
        <f>IF(ISBLANK('ENGAGEMENTS 2026'!B2880),"",'ENGAGEMENTS 2026'!C2880)</f>
        <v/>
      </c>
      <c r="C2880">
        <f>IF(ISBLANK('ENGAGEMENTS 2026'!B2880),"",'ENGAGEMENTS 2026'!D2880)</f>
        <v/>
      </c>
      <c r="D2880">
        <f>IF(ISBLANK('ENGAGEMENTS 2026'!B2880),"",'ENGAGEMENTS 2026'!F2880)</f>
        <v/>
      </c>
      <c r="E2880">
        <f>IF(ISBLANK('ENGAGEMENTS 2026'!B2880),"",'ENGAGEMENTS 2026'!H2880)</f>
        <v/>
      </c>
      <c r="F2880">
        <f>IF(ISBLANK('ENGAGEMENTS 2026'!B2880),"",'ENGAGEMENTS 2026'!I2880)</f>
        <v/>
      </c>
      <c r="G2880">
        <f>IF(ISBLANK('ENGAGEMENTS 2026'!B2880),"",'ENGAGEMENTS 2026'!L2880)</f>
        <v/>
      </c>
      <c r="H2880">
        <f>IF(ISBLANK('ENGAGEMENTS 2026'!B2880),"",'ENGAGEMENTS 2026'!AE2880)</f>
        <v/>
      </c>
      <c r="I2880">
        <f>IF(ISBLANK('ENGAGEMENTS 2026'!B2880),"",'ENGAGEMENTS 2026'!G2880)</f>
        <v/>
      </c>
      <c r="J2880" s="275">
        <f>IF(ISBLANK('ENGAGEMENTS 2026'!B2880),"",IF(AND(OR($E2880="INFRUCTUEUX",$E2880="ANNULE"),$C2880="AOO-M"),'ENGAGEMENTS 2026'!O2880,IF($H2880="EN COURS DE PREENGAGEMENT",'ENGAGEMENTS 2026'!N2880,IF($H2880="PREENGAGE",IF($E2880="ATTRIBUE",'ENGAGEMENTS 2026'!AD2880,'ENGAGEMENTS 2026'!N2880),'ENGAGEMENTS 2026'!AD2880))))</f>
        <v/>
      </c>
      <c r="K2880" s="604">
        <f>IF(ISBLANK('ENGAGEMENTS 2026'!V2880),"",'ENGAGEMENTS 2026'!V2880)</f>
        <v/>
      </c>
      <c r="L2880" s="276">
        <f>IF($K2880="","",TODAY()-$K2880)</f>
        <v/>
      </c>
      <c r="M2880">
        <f>IF($A2880="","",IF($H2880="ENGAGE","Engagé",IF(AND($H2880="NON ENGAGE",OR($I2880="INFRUCTUEUX",$I2880="ANNULE")),"Clôturé sans suite","En cours")))</f>
        <v/>
      </c>
      <c r="N2880">
        <f>IF(ISBLANK('ENGAGEMENTS 2026'!B2880),"",'ENGAGEMENTS 2026'!K2880)</f>
        <v/>
      </c>
      <c r="O2880">
        <f>IF(ISBLANK('ENGAGEMENTS 2026'!B2880),"",'ENGAGEMENTS 2026'!L2880)</f>
        <v/>
      </c>
      <c r="P2880">
        <f>IF(ISBLANK('ENGAGEMENTS 2026'!B2880),"",'ENGAGEMENTS 2026'!J2880)</f>
        <v/>
      </c>
      <c r="Q2880">
        <f>IF($A2880="","",IF(OR($E2880="INFRUCTUEUX",$E2880="ANNULE"),$A2880&amp;"|"&amp;(COUNTIFS($A$2:$A2880,$A2880,$E$2:$E2880,"INFRUCTUEUX")+COUNTIFS($A$2:$A2880,$A2880,$E$2:$E2880,"ANNULE")),""))</f>
        <v/>
      </c>
    </row>
    <row r="2881">
      <c r="A2881">
        <f>IF(ISBLANK('ENGAGEMENTS 2026'!B2881),"",IF('ENGAGEMENTS 2026'!B2881="DTSI","DCT",'ENGAGEMENTS 2026'!B2881))</f>
        <v/>
      </c>
      <c r="B2881">
        <f>IF(ISBLANK('ENGAGEMENTS 2026'!B2881),"",'ENGAGEMENTS 2026'!C2881)</f>
        <v/>
      </c>
      <c r="C2881">
        <f>IF(ISBLANK('ENGAGEMENTS 2026'!B2881),"",'ENGAGEMENTS 2026'!D2881)</f>
        <v/>
      </c>
      <c r="D2881">
        <f>IF(ISBLANK('ENGAGEMENTS 2026'!B2881),"",'ENGAGEMENTS 2026'!F2881)</f>
        <v/>
      </c>
      <c r="E2881">
        <f>IF(ISBLANK('ENGAGEMENTS 2026'!B2881),"",'ENGAGEMENTS 2026'!H2881)</f>
        <v/>
      </c>
      <c r="F2881">
        <f>IF(ISBLANK('ENGAGEMENTS 2026'!B2881),"",'ENGAGEMENTS 2026'!I2881)</f>
        <v/>
      </c>
      <c r="G2881">
        <f>IF(ISBLANK('ENGAGEMENTS 2026'!B2881),"",'ENGAGEMENTS 2026'!L2881)</f>
        <v/>
      </c>
      <c r="H2881">
        <f>IF(ISBLANK('ENGAGEMENTS 2026'!B2881),"",'ENGAGEMENTS 2026'!AE2881)</f>
        <v/>
      </c>
      <c r="I2881">
        <f>IF(ISBLANK('ENGAGEMENTS 2026'!B2881),"",'ENGAGEMENTS 2026'!G2881)</f>
        <v/>
      </c>
      <c r="J2881" s="275">
        <f>IF(ISBLANK('ENGAGEMENTS 2026'!B2881),"",IF(AND(OR($E2881="INFRUCTUEUX",$E2881="ANNULE"),$C2881="AOO-M"),'ENGAGEMENTS 2026'!O2881,IF($H2881="EN COURS DE PREENGAGEMENT",'ENGAGEMENTS 2026'!N2881,IF($H2881="PREENGAGE",IF($E2881="ATTRIBUE",'ENGAGEMENTS 2026'!AD2881,'ENGAGEMENTS 2026'!N2881),'ENGAGEMENTS 2026'!AD2881))))</f>
        <v/>
      </c>
      <c r="K2881" s="604">
        <f>IF(ISBLANK('ENGAGEMENTS 2026'!V2881),"",'ENGAGEMENTS 2026'!V2881)</f>
        <v/>
      </c>
      <c r="L2881" s="276">
        <f>IF($K2881="","",TODAY()-$K2881)</f>
        <v/>
      </c>
      <c r="M2881">
        <f>IF($A2881="","",IF($H2881="ENGAGE","Engagé",IF(AND($H2881="NON ENGAGE",OR($I2881="INFRUCTUEUX",$I2881="ANNULE")),"Clôturé sans suite","En cours")))</f>
        <v/>
      </c>
      <c r="N2881">
        <f>IF(ISBLANK('ENGAGEMENTS 2026'!B2881),"",'ENGAGEMENTS 2026'!K2881)</f>
        <v/>
      </c>
      <c r="O2881">
        <f>IF(ISBLANK('ENGAGEMENTS 2026'!B2881),"",'ENGAGEMENTS 2026'!L2881)</f>
        <v/>
      </c>
      <c r="P2881">
        <f>IF(ISBLANK('ENGAGEMENTS 2026'!B2881),"",'ENGAGEMENTS 2026'!J2881)</f>
        <v/>
      </c>
      <c r="Q2881">
        <f>IF($A2881="","",IF(OR($E2881="INFRUCTUEUX",$E2881="ANNULE"),$A2881&amp;"|"&amp;(COUNTIFS($A$2:$A2881,$A2881,$E$2:$E2881,"INFRUCTUEUX")+COUNTIFS($A$2:$A2881,$A2881,$E$2:$E2881,"ANNULE")),""))</f>
        <v/>
      </c>
    </row>
    <row r="2882">
      <c r="A2882">
        <f>IF(ISBLANK('ENGAGEMENTS 2026'!B2882),"",IF('ENGAGEMENTS 2026'!B2882="DTSI","DCT",'ENGAGEMENTS 2026'!B2882))</f>
        <v/>
      </c>
      <c r="B2882">
        <f>IF(ISBLANK('ENGAGEMENTS 2026'!B2882),"",'ENGAGEMENTS 2026'!C2882)</f>
        <v/>
      </c>
      <c r="C2882">
        <f>IF(ISBLANK('ENGAGEMENTS 2026'!B2882),"",'ENGAGEMENTS 2026'!D2882)</f>
        <v/>
      </c>
      <c r="D2882">
        <f>IF(ISBLANK('ENGAGEMENTS 2026'!B2882),"",'ENGAGEMENTS 2026'!F2882)</f>
        <v/>
      </c>
      <c r="E2882">
        <f>IF(ISBLANK('ENGAGEMENTS 2026'!B2882),"",'ENGAGEMENTS 2026'!H2882)</f>
        <v/>
      </c>
      <c r="F2882">
        <f>IF(ISBLANK('ENGAGEMENTS 2026'!B2882),"",'ENGAGEMENTS 2026'!I2882)</f>
        <v/>
      </c>
      <c r="G2882">
        <f>IF(ISBLANK('ENGAGEMENTS 2026'!B2882),"",'ENGAGEMENTS 2026'!L2882)</f>
        <v/>
      </c>
      <c r="H2882">
        <f>IF(ISBLANK('ENGAGEMENTS 2026'!B2882),"",'ENGAGEMENTS 2026'!AE2882)</f>
        <v/>
      </c>
      <c r="I2882">
        <f>IF(ISBLANK('ENGAGEMENTS 2026'!B2882),"",'ENGAGEMENTS 2026'!G2882)</f>
        <v/>
      </c>
      <c r="J2882" s="275">
        <f>IF(ISBLANK('ENGAGEMENTS 2026'!B2882),"",IF(AND(OR($E2882="INFRUCTUEUX",$E2882="ANNULE"),$C2882="AOO-M"),'ENGAGEMENTS 2026'!O2882,IF($H2882="EN COURS DE PREENGAGEMENT",'ENGAGEMENTS 2026'!N2882,IF($H2882="PREENGAGE",IF($E2882="ATTRIBUE",'ENGAGEMENTS 2026'!AD2882,'ENGAGEMENTS 2026'!N2882),'ENGAGEMENTS 2026'!AD2882))))</f>
        <v/>
      </c>
      <c r="K2882" s="604">
        <f>IF(ISBLANK('ENGAGEMENTS 2026'!V2882),"",'ENGAGEMENTS 2026'!V2882)</f>
        <v/>
      </c>
      <c r="L2882" s="276">
        <f>IF($K2882="","",TODAY()-$K2882)</f>
        <v/>
      </c>
      <c r="M2882">
        <f>IF($A2882="","",IF($H2882="ENGAGE","Engagé",IF(AND($H2882="NON ENGAGE",OR($I2882="INFRUCTUEUX",$I2882="ANNULE")),"Clôturé sans suite","En cours")))</f>
        <v/>
      </c>
      <c r="N2882">
        <f>IF(ISBLANK('ENGAGEMENTS 2026'!B2882),"",'ENGAGEMENTS 2026'!K2882)</f>
        <v/>
      </c>
      <c r="O2882">
        <f>IF(ISBLANK('ENGAGEMENTS 2026'!B2882),"",'ENGAGEMENTS 2026'!L2882)</f>
        <v/>
      </c>
      <c r="P2882">
        <f>IF(ISBLANK('ENGAGEMENTS 2026'!B2882),"",'ENGAGEMENTS 2026'!J2882)</f>
        <v/>
      </c>
      <c r="Q2882">
        <f>IF($A2882="","",IF(OR($E2882="INFRUCTUEUX",$E2882="ANNULE"),$A2882&amp;"|"&amp;(COUNTIFS($A$2:$A2882,$A2882,$E$2:$E2882,"INFRUCTUEUX")+COUNTIFS($A$2:$A2882,$A2882,$E$2:$E2882,"ANNULE")),""))</f>
        <v/>
      </c>
    </row>
    <row r="2883">
      <c r="A2883">
        <f>IF(ISBLANK('ENGAGEMENTS 2026'!B2883),"",IF('ENGAGEMENTS 2026'!B2883="DTSI","DCT",'ENGAGEMENTS 2026'!B2883))</f>
        <v/>
      </c>
      <c r="B2883">
        <f>IF(ISBLANK('ENGAGEMENTS 2026'!B2883),"",'ENGAGEMENTS 2026'!C2883)</f>
        <v/>
      </c>
      <c r="C2883">
        <f>IF(ISBLANK('ENGAGEMENTS 2026'!B2883),"",'ENGAGEMENTS 2026'!D2883)</f>
        <v/>
      </c>
      <c r="D2883">
        <f>IF(ISBLANK('ENGAGEMENTS 2026'!B2883),"",'ENGAGEMENTS 2026'!F2883)</f>
        <v/>
      </c>
      <c r="E2883">
        <f>IF(ISBLANK('ENGAGEMENTS 2026'!B2883),"",'ENGAGEMENTS 2026'!H2883)</f>
        <v/>
      </c>
      <c r="F2883">
        <f>IF(ISBLANK('ENGAGEMENTS 2026'!B2883),"",'ENGAGEMENTS 2026'!I2883)</f>
        <v/>
      </c>
      <c r="G2883">
        <f>IF(ISBLANK('ENGAGEMENTS 2026'!B2883),"",'ENGAGEMENTS 2026'!L2883)</f>
        <v/>
      </c>
      <c r="H2883">
        <f>IF(ISBLANK('ENGAGEMENTS 2026'!B2883),"",'ENGAGEMENTS 2026'!AE2883)</f>
        <v/>
      </c>
      <c r="I2883">
        <f>IF(ISBLANK('ENGAGEMENTS 2026'!B2883),"",'ENGAGEMENTS 2026'!G2883)</f>
        <v/>
      </c>
      <c r="J2883" s="275">
        <f>IF(ISBLANK('ENGAGEMENTS 2026'!B2883),"",IF(AND(OR($E2883="INFRUCTUEUX",$E2883="ANNULE"),$C2883="AOO-M"),'ENGAGEMENTS 2026'!O2883,IF($H2883="EN COURS DE PREENGAGEMENT",'ENGAGEMENTS 2026'!N2883,IF($H2883="PREENGAGE",IF($E2883="ATTRIBUE",'ENGAGEMENTS 2026'!AD2883,'ENGAGEMENTS 2026'!N2883),'ENGAGEMENTS 2026'!AD2883))))</f>
        <v/>
      </c>
      <c r="K2883" s="604">
        <f>IF(ISBLANK('ENGAGEMENTS 2026'!V2883),"",'ENGAGEMENTS 2026'!V2883)</f>
        <v/>
      </c>
      <c r="L2883" s="276">
        <f>IF($K2883="","",TODAY()-$K2883)</f>
        <v/>
      </c>
      <c r="M2883">
        <f>IF($A2883="","",IF($H2883="ENGAGE","Engagé",IF(AND($H2883="NON ENGAGE",OR($I2883="INFRUCTUEUX",$I2883="ANNULE")),"Clôturé sans suite","En cours")))</f>
        <v/>
      </c>
      <c r="N2883">
        <f>IF(ISBLANK('ENGAGEMENTS 2026'!B2883),"",'ENGAGEMENTS 2026'!K2883)</f>
        <v/>
      </c>
      <c r="O2883">
        <f>IF(ISBLANK('ENGAGEMENTS 2026'!B2883),"",'ENGAGEMENTS 2026'!L2883)</f>
        <v/>
      </c>
      <c r="P2883">
        <f>IF(ISBLANK('ENGAGEMENTS 2026'!B2883),"",'ENGAGEMENTS 2026'!J2883)</f>
        <v/>
      </c>
      <c r="Q2883">
        <f>IF($A2883="","",IF(OR($E2883="INFRUCTUEUX",$E2883="ANNULE"),$A2883&amp;"|"&amp;(COUNTIFS($A$2:$A2883,$A2883,$E$2:$E2883,"INFRUCTUEUX")+COUNTIFS($A$2:$A2883,$A2883,$E$2:$E2883,"ANNULE")),""))</f>
        <v/>
      </c>
    </row>
    <row r="2884">
      <c r="A2884">
        <f>IF(ISBLANK('ENGAGEMENTS 2026'!B2884),"",IF('ENGAGEMENTS 2026'!B2884="DTSI","DCT",'ENGAGEMENTS 2026'!B2884))</f>
        <v/>
      </c>
      <c r="B2884">
        <f>IF(ISBLANK('ENGAGEMENTS 2026'!B2884),"",'ENGAGEMENTS 2026'!C2884)</f>
        <v/>
      </c>
      <c r="C2884">
        <f>IF(ISBLANK('ENGAGEMENTS 2026'!B2884),"",'ENGAGEMENTS 2026'!D2884)</f>
        <v/>
      </c>
      <c r="D2884">
        <f>IF(ISBLANK('ENGAGEMENTS 2026'!B2884),"",'ENGAGEMENTS 2026'!F2884)</f>
        <v/>
      </c>
      <c r="E2884">
        <f>IF(ISBLANK('ENGAGEMENTS 2026'!B2884),"",'ENGAGEMENTS 2026'!H2884)</f>
        <v/>
      </c>
      <c r="F2884">
        <f>IF(ISBLANK('ENGAGEMENTS 2026'!B2884),"",'ENGAGEMENTS 2026'!I2884)</f>
        <v/>
      </c>
      <c r="G2884">
        <f>IF(ISBLANK('ENGAGEMENTS 2026'!B2884),"",'ENGAGEMENTS 2026'!L2884)</f>
        <v/>
      </c>
      <c r="H2884">
        <f>IF(ISBLANK('ENGAGEMENTS 2026'!B2884),"",'ENGAGEMENTS 2026'!AE2884)</f>
        <v/>
      </c>
      <c r="I2884">
        <f>IF(ISBLANK('ENGAGEMENTS 2026'!B2884),"",'ENGAGEMENTS 2026'!G2884)</f>
        <v/>
      </c>
      <c r="J2884" s="275">
        <f>IF(ISBLANK('ENGAGEMENTS 2026'!B2884),"",IF(AND(OR($E2884="INFRUCTUEUX",$E2884="ANNULE"),$C2884="AOO-M"),'ENGAGEMENTS 2026'!O2884,IF($H2884="EN COURS DE PREENGAGEMENT",'ENGAGEMENTS 2026'!N2884,IF($H2884="PREENGAGE",IF($E2884="ATTRIBUE",'ENGAGEMENTS 2026'!AD2884,'ENGAGEMENTS 2026'!N2884),'ENGAGEMENTS 2026'!AD2884))))</f>
        <v/>
      </c>
      <c r="K2884" s="604">
        <f>IF(ISBLANK('ENGAGEMENTS 2026'!V2884),"",'ENGAGEMENTS 2026'!V2884)</f>
        <v/>
      </c>
      <c r="L2884" s="276">
        <f>IF($K2884="","",TODAY()-$K2884)</f>
        <v/>
      </c>
      <c r="M2884">
        <f>IF($A2884="","",IF($H2884="ENGAGE","Engagé",IF(AND($H2884="NON ENGAGE",OR($I2884="INFRUCTUEUX",$I2884="ANNULE")),"Clôturé sans suite","En cours")))</f>
        <v/>
      </c>
      <c r="N2884">
        <f>IF(ISBLANK('ENGAGEMENTS 2026'!B2884),"",'ENGAGEMENTS 2026'!K2884)</f>
        <v/>
      </c>
      <c r="O2884">
        <f>IF(ISBLANK('ENGAGEMENTS 2026'!B2884),"",'ENGAGEMENTS 2026'!L2884)</f>
        <v/>
      </c>
      <c r="P2884">
        <f>IF(ISBLANK('ENGAGEMENTS 2026'!B2884),"",'ENGAGEMENTS 2026'!J2884)</f>
        <v/>
      </c>
      <c r="Q2884">
        <f>IF($A2884="","",IF(OR($E2884="INFRUCTUEUX",$E2884="ANNULE"),$A2884&amp;"|"&amp;(COUNTIFS($A$2:$A2884,$A2884,$E$2:$E2884,"INFRUCTUEUX")+COUNTIFS($A$2:$A2884,$A2884,$E$2:$E2884,"ANNULE")),""))</f>
        <v/>
      </c>
    </row>
    <row r="2885">
      <c r="A2885">
        <f>IF(ISBLANK('ENGAGEMENTS 2026'!B2885),"",IF('ENGAGEMENTS 2026'!B2885="DTSI","DCT",'ENGAGEMENTS 2026'!B2885))</f>
        <v/>
      </c>
      <c r="B2885">
        <f>IF(ISBLANK('ENGAGEMENTS 2026'!B2885),"",'ENGAGEMENTS 2026'!C2885)</f>
        <v/>
      </c>
      <c r="C2885">
        <f>IF(ISBLANK('ENGAGEMENTS 2026'!B2885),"",'ENGAGEMENTS 2026'!D2885)</f>
        <v/>
      </c>
      <c r="D2885">
        <f>IF(ISBLANK('ENGAGEMENTS 2026'!B2885),"",'ENGAGEMENTS 2026'!F2885)</f>
        <v/>
      </c>
      <c r="E2885">
        <f>IF(ISBLANK('ENGAGEMENTS 2026'!B2885),"",'ENGAGEMENTS 2026'!H2885)</f>
        <v/>
      </c>
      <c r="F2885">
        <f>IF(ISBLANK('ENGAGEMENTS 2026'!B2885),"",'ENGAGEMENTS 2026'!I2885)</f>
        <v/>
      </c>
      <c r="G2885">
        <f>IF(ISBLANK('ENGAGEMENTS 2026'!B2885),"",'ENGAGEMENTS 2026'!L2885)</f>
        <v/>
      </c>
      <c r="H2885">
        <f>IF(ISBLANK('ENGAGEMENTS 2026'!B2885),"",'ENGAGEMENTS 2026'!AE2885)</f>
        <v/>
      </c>
      <c r="I2885">
        <f>IF(ISBLANK('ENGAGEMENTS 2026'!B2885),"",'ENGAGEMENTS 2026'!G2885)</f>
        <v/>
      </c>
      <c r="J2885" s="275">
        <f>IF(ISBLANK('ENGAGEMENTS 2026'!B2885),"",IF(AND(OR($E2885="INFRUCTUEUX",$E2885="ANNULE"),$C2885="AOO-M"),'ENGAGEMENTS 2026'!O2885,IF($H2885="EN COURS DE PREENGAGEMENT",'ENGAGEMENTS 2026'!N2885,IF($H2885="PREENGAGE",IF($E2885="ATTRIBUE",'ENGAGEMENTS 2026'!AD2885,'ENGAGEMENTS 2026'!N2885),'ENGAGEMENTS 2026'!AD2885))))</f>
        <v/>
      </c>
      <c r="K2885" s="604">
        <f>IF(ISBLANK('ENGAGEMENTS 2026'!V2885),"",'ENGAGEMENTS 2026'!V2885)</f>
        <v/>
      </c>
      <c r="L2885" s="276">
        <f>IF($K2885="","",TODAY()-$K2885)</f>
        <v/>
      </c>
      <c r="M2885">
        <f>IF($A2885="","",IF($H2885="ENGAGE","Engagé",IF(AND($H2885="NON ENGAGE",OR($I2885="INFRUCTUEUX",$I2885="ANNULE")),"Clôturé sans suite","En cours")))</f>
        <v/>
      </c>
      <c r="N2885">
        <f>IF(ISBLANK('ENGAGEMENTS 2026'!B2885),"",'ENGAGEMENTS 2026'!K2885)</f>
        <v/>
      </c>
      <c r="O2885">
        <f>IF(ISBLANK('ENGAGEMENTS 2026'!B2885),"",'ENGAGEMENTS 2026'!L2885)</f>
        <v/>
      </c>
      <c r="P2885">
        <f>IF(ISBLANK('ENGAGEMENTS 2026'!B2885),"",'ENGAGEMENTS 2026'!J2885)</f>
        <v/>
      </c>
      <c r="Q2885">
        <f>IF($A2885="","",IF(OR($E2885="INFRUCTUEUX",$E2885="ANNULE"),$A2885&amp;"|"&amp;(COUNTIFS($A$2:$A2885,$A2885,$E$2:$E2885,"INFRUCTUEUX")+COUNTIFS($A$2:$A2885,$A2885,$E$2:$E2885,"ANNULE")),""))</f>
        <v/>
      </c>
    </row>
    <row r="2886">
      <c r="A2886">
        <f>IF(ISBLANK('ENGAGEMENTS 2026'!B2886),"",IF('ENGAGEMENTS 2026'!B2886="DTSI","DCT",'ENGAGEMENTS 2026'!B2886))</f>
        <v/>
      </c>
      <c r="B2886">
        <f>IF(ISBLANK('ENGAGEMENTS 2026'!B2886),"",'ENGAGEMENTS 2026'!C2886)</f>
        <v/>
      </c>
      <c r="C2886">
        <f>IF(ISBLANK('ENGAGEMENTS 2026'!B2886),"",'ENGAGEMENTS 2026'!D2886)</f>
        <v/>
      </c>
      <c r="D2886">
        <f>IF(ISBLANK('ENGAGEMENTS 2026'!B2886),"",'ENGAGEMENTS 2026'!F2886)</f>
        <v/>
      </c>
      <c r="E2886">
        <f>IF(ISBLANK('ENGAGEMENTS 2026'!B2886),"",'ENGAGEMENTS 2026'!H2886)</f>
        <v/>
      </c>
      <c r="F2886">
        <f>IF(ISBLANK('ENGAGEMENTS 2026'!B2886),"",'ENGAGEMENTS 2026'!I2886)</f>
        <v/>
      </c>
      <c r="G2886">
        <f>IF(ISBLANK('ENGAGEMENTS 2026'!B2886),"",'ENGAGEMENTS 2026'!L2886)</f>
        <v/>
      </c>
      <c r="H2886">
        <f>IF(ISBLANK('ENGAGEMENTS 2026'!B2886),"",'ENGAGEMENTS 2026'!AE2886)</f>
        <v/>
      </c>
      <c r="I2886">
        <f>IF(ISBLANK('ENGAGEMENTS 2026'!B2886),"",'ENGAGEMENTS 2026'!G2886)</f>
        <v/>
      </c>
      <c r="J2886" s="275">
        <f>IF(ISBLANK('ENGAGEMENTS 2026'!B2886),"",IF(AND(OR($E2886="INFRUCTUEUX",$E2886="ANNULE"),$C2886="AOO-M"),'ENGAGEMENTS 2026'!O2886,IF($H2886="EN COURS DE PREENGAGEMENT",'ENGAGEMENTS 2026'!N2886,IF($H2886="PREENGAGE",IF($E2886="ATTRIBUE",'ENGAGEMENTS 2026'!AD2886,'ENGAGEMENTS 2026'!N2886),'ENGAGEMENTS 2026'!AD2886))))</f>
        <v/>
      </c>
      <c r="K2886" s="604">
        <f>IF(ISBLANK('ENGAGEMENTS 2026'!V2886),"",'ENGAGEMENTS 2026'!V2886)</f>
        <v/>
      </c>
      <c r="L2886" s="276">
        <f>IF($K2886="","",TODAY()-$K2886)</f>
        <v/>
      </c>
      <c r="M2886">
        <f>IF($A2886="","",IF($H2886="ENGAGE","Engagé",IF(AND($H2886="NON ENGAGE",OR($I2886="INFRUCTUEUX",$I2886="ANNULE")),"Clôturé sans suite","En cours")))</f>
        <v/>
      </c>
      <c r="N2886">
        <f>IF(ISBLANK('ENGAGEMENTS 2026'!B2886),"",'ENGAGEMENTS 2026'!K2886)</f>
        <v/>
      </c>
      <c r="O2886">
        <f>IF(ISBLANK('ENGAGEMENTS 2026'!B2886),"",'ENGAGEMENTS 2026'!L2886)</f>
        <v/>
      </c>
      <c r="P2886">
        <f>IF(ISBLANK('ENGAGEMENTS 2026'!B2886),"",'ENGAGEMENTS 2026'!J2886)</f>
        <v/>
      </c>
      <c r="Q2886">
        <f>IF($A2886="","",IF(OR($E2886="INFRUCTUEUX",$E2886="ANNULE"),$A2886&amp;"|"&amp;(COUNTIFS($A$2:$A2886,$A2886,$E$2:$E2886,"INFRUCTUEUX")+COUNTIFS($A$2:$A2886,$A2886,$E$2:$E2886,"ANNULE")),""))</f>
        <v/>
      </c>
    </row>
    <row r="2887">
      <c r="A2887">
        <f>IF(ISBLANK('ENGAGEMENTS 2026'!B2887),"",IF('ENGAGEMENTS 2026'!B2887="DTSI","DCT",'ENGAGEMENTS 2026'!B2887))</f>
        <v/>
      </c>
      <c r="B2887">
        <f>IF(ISBLANK('ENGAGEMENTS 2026'!B2887),"",'ENGAGEMENTS 2026'!C2887)</f>
        <v/>
      </c>
      <c r="C2887">
        <f>IF(ISBLANK('ENGAGEMENTS 2026'!B2887),"",'ENGAGEMENTS 2026'!D2887)</f>
        <v/>
      </c>
      <c r="D2887">
        <f>IF(ISBLANK('ENGAGEMENTS 2026'!B2887),"",'ENGAGEMENTS 2026'!F2887)</f>
        <v/>
      </c>
      <c r="E2887">
        <f>IF(ISBLANK('ENGAGEMENTS 2026'!B2887),"",'ENGAGEMENTS 2026'!H2887)</f>
        <v/>
      </c>
      <c r="F2887">
        <f>IF(ISBLANK('ENGAGEMENTS 2026'!B2887),"",'ENGAGEMENTS 2026'!I2887)</f>
        <v/>
      </c>
      <c r="G2887">
        <f>IF(ISBLANK('ENGAGEMENTS 2026'!B2887),"",'ENGAGEMENTS 2026'!L2887)</f>
        <v/>
      </c>
      <c r="H2887">
        <f>IF(ISBLANK('ENGAGEMENTS 2026'!B2887),"",'ENGAGEMENTS 2026'!AE2887)</f>
        <v/>
      </c>
      <c r="I2887">
        <f>IF(ISBLANK('ENGAGEMENTS 2026'!B2887),"",'ENGAGEMENTS 2026'!G2887)</f>
        <v/>
      </c>
      <c r="J2887" s="275">
        <f>IF(ISBLANK('ENGAGEMENTS 2026'!B2887),"",IF(AND(OR($E2887="INFRUCTUEUX",$E2887="ANNULE"),$C2887="AOO-M"),'ENGAGEMENTS 2026'!O2887,IF($H2887="EN COURS DE PREENGAGEMENT",'ENGAGEMENTS 2026'!N2887,IF($H2887="PREENGAGE",IF($E2887="ATTRIBUE",'ENGAGEMENTS 2026'!AD2887,'ENGAGEMENTS 2026'!N2887),'ENGAGEMENTS 2026'!AD2887))))</f>
        <v/>
      </c>
      <c r="K2887" s="604">
        <f>IF(ISBLANK('ENGAGEMENTS 2026'!V2887),"",'ENGAGEMENTS 2026'!V2887)</f>
        <v/>
      </c>
      <c r="L2887" s="276">
        <f>IF($K2887="","",TODAY()-$K2887)</f>
        <v/>
      </c>
      <c r="M2887">
        <f>IF($A2887="","",IF($H2887="ENGAGE","Engagé",IF(AND($H2887="NON ENGAGE",OR($I2887="INFRUCTUEUX",$I2887="ANNULE")),"Clôturé sans suite","En cours")))</f>
        <v/>
      </c>
      <c r="N2887">
        <f>IF(ISBLANK('ENGAGEMENTS 2026'!B2887),"",'ENGAGEMENTS 2026'!K2887)</f>
        <v/>
      </c>
      <c r="O2887">
        <f>IF(ISBLANK('ENGAGEMENTS 2026'!B2887),"",'ENGAGEMENTS 2026'!L2887)</f>
        <v/>
      </c>
      <c r="P2887">
        <f>IF(ISBLANK('ENGAGEMENTS 2026'!B2887),"",'ENGAGEMENTS 2026'!J2887)</f>
        <v/>
      </c>
      <c r="Q2887">
        <f>IF($A2887="","",IF(OR($E2887="INFRUCTUEUX",$E2887="ANNULE"),$A2887&amp;"|"&amp;(COUNTIFS($A$2:$A2887,$A2887,$E$2:$E2887,"INFRUCTUEUX")+COUNTIFS($A$2:$A2887,$A2887,$E$2:$E2887,"ANNULE")),""))</f>
        <v/>
      </c>
    </row>
    <row r="2888">
      <c r="A2888">
        <f>IF(ISBLANK('ENGAGEMENTS 2026'!B2888),"",IF('ENGAGEMENTS 2026'!B2888="DTSI","DCT",'ENGAGEMENTS 2026'!B2888))</f>
        <v/>
      </c>
      <c r="B2888">
        <f>IF(ISBLANK('ENGAGEMENTS 2026'!B2888),"",'ENGAGEMENTS 2026'!C2888)</f>
        <v/>
      </c>
      <c r="C2888">
        <f>IF(ISBLANK('ENGAGEMENTS 2026'!B2888),"",'ENGAGEMENTS 2026'!D2888)</f>
        <v/>
      </c>
      <c r="D2888">
        <f>IF(ISBLANK('ENGAGEMENTS 2026'!B2888),"",'ENGAGEMENTS 2026'!F2888)</f>
        <v/>
      </c>
      <c r="E2888">
        <f>IF(ISBLANK('ENGAGEMENTS 2026'!B2888),"",'ENGAGEMENTS 2026'!H2888)</f>
        <v/>
      </c>
      <c r="F2888">
        <f>IF(ISBLANK('ENGAGEMENTS 2026'!B2888),"",'ENGAGEMENTS 2026'!I2888)</f>
        <v/>
      </c>
      <c r="G2888">
        <f>IF(ISBLANK('ENGAGEMENTS 2026'!B2888),"",'ENGAGEMENTS 2026'!L2888)</f>
        <v/>
      </c>
      <c r="H2888">
        <f>IF(ISBLANK('ENGAGEMENTS 2026'!B2888),"",'ENGAGEMENTS 2026'!AE2888)</f>
        <v/>
      </c>
      <c r="I2888">
        <f>IF(ISBLANK('ENGAGEMENTS 2026'!B2888),"",'ENGAGEMENTS 2026'!G2888)</f>
        <v/>
      </c>
      <c r="J2888" s="275">
        <f>IF(ISBLANK('ENGAGEMENTS 2026'!B2888),"",IF(AND(OR($E2888="INFRUCTUEUX",$E2888="ANNULE"),$C2888="AOO-M"),'ENGAGEMENTS 2026'!O2888,IF($H2888="EN COURS DE PREENGAGEMENT",'ENGAGEMENTS 2026'!N2888,IF($H2888="PREENGAGE",IF($E2888="ATTRIBUE",'ENGAGEMENTS 2026'!AD2888,'ENGAGEMENTS 2026'!N2888),'ENGAGEMENTS 2026'!AD2888))))</f>
        <v/>
      </c>
      <c r="K2888" s="604">
        <f>IF(ISBLANK('ENGAGEMENTS 2026'!V2888),"",'ENGAGEMENTS 2026'!V2888)</f>
        <v/>
      </c>
      <c r="L2888" s="276">
        <f>IF($K2888="","",TODAY()-$K2888)</f>
        <v/>
      </c>
      <c r="M2888">
        <f>IF($A2888="","",IF($H2888="ENGAGE","Engagé",IF(AND($H2888="NON ENGAGE",OR($I2888="INFRUCTUEUX",$I2888="ANNULE")),"Clôturé sans suite","En cours")))</f>
        <v/>
      </c>
      <c r="N2888">
        <f>IF(ISBLANK('ENGAGEMENTS 2026'!B2888),"",'ENGAGEMENTS 2026'!K2888)</f>
        <v/>
      </c>
      <c r="O2888">
        <f>IF(ISBLANK('ENGAGEMENTS 2026'!B2888),"",'ENGAGEMENTS 2026'!L2888)</f>
        <v/>
      </c>
      <c r="P2888">
        <f>IF(ISBLANK('ENGAGEMENTS 2026'!B2888),"",'ENGAGEMENTS 2026'!J2888)</f>
        <v/>
      </c>
      <c r="Q2888">
        <f>IF($A2888="","",IF(OR($E2888="INFRUCTUEUX",$E2888="ANNULE"),$A2888&amp;"|"&amp;(COUNTIFS($A$2:$A2888,$A2888,$E$2:$E2888,"INFRUCTUEUX")+COUNTIFS($A$2:$A2888,$A2888,$E$2:$E2888,"ANNULE")),""))</f>
        <v/>
      </c>
    </row>
    <row r="2889">
      <c r="A2889">
        <f>IF(ISBLANK('ENGAGEMENTS 2026'!B2889),"",IF('ENGAGEMENTS 2026'!B2889="DTSI","DCT",'ENGAGEMENTS 2026'!B2889))</f>
        <v/>
      </c>
      <c r="B2889">
        <f>IF(ISBLANK('ENGAGEMENTS 2026'!B2889),"",'ENGAGEMENTS 2026'!C2889)</f>
        <v/>
      </c>
      <c r="C2889">
        <f>IF(ISBLANK('ENGAGEMENTS 2026'!B2889),"",'ENGAGEMENTS 2026'!D2889)</f>
        <v/>
      </c>
      <c r="D2889">
        <f>IF(ISBLANK('ENGAGEMENTS 2026'!B2889),"",'ENGAGEMENTS 2026'!F2889)</f>
        <v/>
      </c>
      <c r="E2889">
        <f>IF(ISBLANK('ENGAGEMENTS 2026'!B2889),"",'ENGAGEMENTS 2026'!H2889)</f>
        <v/>
      </c>
      <c r="F2889">
        <f>IF(ISBLANK('ENGAGEMENTS 2026'!B2889),"",'ENGAGEMENTS 2026'!I2889)</f>
        <v/>
      </c>
      <c r="G2889">
        <f>IF(ISBLANK('ENGAGEMENTS 2026'!B2889),"",'ENGAGEMENTS 2026'!L2889)</f>
        <v/>
      </c>
      <c r="H2889">
        <f>IF(ISBLANK('ENGAGEMENTS 2026'!B2889),"",'ENGAGEMENTS 2026'!AE2889)</f>
        <v/>
      </c>
      <c r="I2889">
        <f>IF(ISBLANK('ENGAGEMENTS 2026'!B2889),"",'ENGAGEMENTS 2026'!G2889)</f>
        <v/>
      </c>
      <c r="J2889" s="275">
        <f>IF(ISBLANK('ENGAGEMENTS 2026'!B2889),"",IF(AND(OR($E2889="INFRUCTUEUX",$E2889="ANNULE"),$C2889="AOO-M"),'ENGAGEMENTS 2026'!O2889,IF($H2889="EN COURS DE PREENGAGEMENT",'ENGAGEMENTS 2026'!N2889,IF($H2889="PREENGAGE",IF($E2889="ATTRIBUE",'ENGAGEMENTS 2026'!AD2889,'ENGAGEMENTS 2026'!N2889),'ENGAGEMENTS 2026'!AD2889))))</f>
        <v/>
      </c>
      <c r="K2889" s="604">
        <f>IF(ISBLANK('ENGAGEMENTS 2026'!V2889),"",'ENGAGEMENTS 2026'!V2889)</f>
        <v/>
      </c>
      <c r="L2889" s="276">
        <f>IF($K2889="","",TODAY()-$K2889)</f>
        <v/>
      </c>
      <c r="M2889">
        <f>IF($A2889="","",IF($H2889="ENGAGE","Engagé",IF(AND($H2889="NON ENGAGE",OR($I2889="INFRUCTUEUX",$I2889="ANNULE")),"Clôturé sans suite","En cours")))</f>
        <v/>
      </c>
      <c r="N2889">
        <f>IF(ISBLANK('ENGAGEMENTS 2026'!B2889),"",'ENGAGEMENTS 2026'!K2889)</f>
        <v/>
      </c>
      <c r="O2889">
        <f>IF(ISBLANK('ENGAGEMENTS 2026'!B2889),"",'ENGAGEMENTS 2026'!L2889)</f>
        <v/>
      </c>
      <c r="P2889">
        <f>IF(ISBLANK('ENGAGEMENTS 2026'!B2889),"",'ENGAGEMENTS 2026'!J2889)</f>
        <v/>
      </c>
      <c r="Q2889">
        <f>IF($A2889="","",IF(OR($E2889="INFRUCTUEUX",$E2889="ANNULE"),$A2889&amp;"|"&amp;(COUNTIFS($A$2:$A2889,$A2889,$E$2:$E2889,"INFRUCTUEUX")+COUNTIFS($A$2:$A2889,$A2889,$E$2:$E2889,"ANNULE")),""))</f>
        <v/>
      </c>
    </row>
    <row r="2890">
      <c r="A2890">
        <f>IF(ISBLANK('ENGAGEMENTS 2026'!B2890),"",IF('ENGAGEMENTS 2026'!B2890="DTSI","DCT",'ENGAGEMENTS 2026'!B2890))</f>
        <v/>
      </c>
      <c r="B2890">
        <f>IF(ISBLANK('ENGAGEMENTS 2026'!B2890),"",'ENGAGEMENTS 2026'!C2890)</f>
        <v/>
      </c>
      <c r="C2890">
        <f>IF(ISBLANK('ENGAGEMENTS 2026'!B2890),"",'ENGAGEMENTS 2026'!D2890)</f>
        <v/>
      </c>
      <c r="D2890">
        <f>IF(ISBLANK('ENGAGEMENTS 2026'!B2890),"",'ENGAGEMENTS 2026'!F2890)</f>
        <v/>
      </c>
      <c r="E2890">
        <f>IF(ISBLANK('ENGAGEMENTS 2026'!B2890),"",'ENGAGEMENTS 2026'!H2890)</f>
        <v/>
      </c>
      <c r="F2890">
        <f>IF(ISBLANK('ENGAGEMENTS 2026'!B2890),"",'ENGAGEMENTS 2026'!I2890)</f>
        <v/>
      </c>
      <c r="G2890">
        <f>IF(ISBLANK('ENGAGEMENTS 2026'!B2890),"",'ENGAGEMENTS 2026'!L2890)</f>
        <v/>
      </c>
      <c r="H2890">
        <f>IF(ISBLANK('ENGAGEMENTS 2026'!B2890),"",'ENGAGEMENTS 2026'!AE2890)</f>
        <v/>
      </c>
      <c r="I2890">
        <f>IF(ISBLANK('ENGAGEMENTS 2026'!B2890),"",'ENGAGEMENTS 2026'!G2890)</f>
        <v/>
      </c>
      <c r="J2890" s="275">
        <f>IF(ISBLANK('ENGAGEMENTS 2026'!B2890),"",IF(AND(OR($E2890="INFRUCTUEUX",$E2890="ANNULE"),$C2890="AOO-M"),'ENGAGEMENTS 2026'!O2890,IF($H2890="EN COURS DE PREENGAGEMENT",'ENGAGEMENTS 2026'!N2890,IF($H2890="PREENGAGE",IF($E2890="ATTRIBUE",'ENGAGEMENTS 2026'!AD2890,'ENGAGEMENTS 2026'!N2890),'ENGAGEMENTS 2026'!AD2890))))</f>
        <v/>
      </c>
      <c r="K2890" s="604">
        <f>IF(ISBLANK('ENGAGEMENTS 2026'!V2890),"",'ENGAGEMENTS 2026'!V2890)</f>
        <v/>
      </c>
      <c r="L2890" s="276">
        <f>IF($K2890="","",TODAY()-$K2890)</f>
        <v/>
      </c>
      <c r="M2890">
        <f>IF($A2890="","",IF($H2890="ENGAGE","Engagé",IF(AND($H2890="NON ENGAGE",OR($I2890="INFRUCTUEUX",$I2890="ANNULE")),"Clôturé sans suite","En cours")))</f>
        <v/>
      </c>
      <c r="N2890">
        <f>IF(ISBLANK('ENGAGEMENTS 2026'!B2890),"",'ENGAGEMENTS 2026'!K2890)</f>
        <v/>
      </c>
      <c r="O2890">
        <f>IF(ISBLANK('ENGAGEMENTS 2026'!B2890),"",'ENGAGEMENTS 2026'!L2890)</f>
        <v/>
      </c>
      <c r="P2890">
        <f>IF(ISBLANK('ENGAGEMENTS 2026'!B2890),"",'ENGAGEMENTS 2026'!J2890)</f>
        <v/>
      </c>
      <c r="Q2890">
        <f>IF($A2890="","",IF(OR($E2890="INFRUCTUEUX",$E2890="ANNULE"),$A2890&amp;"|"&amp;(COUNTIFS($A$2:$A2890,$A2890,$E$2:$E2890,"INFRUCTUEUX")+COUNTIFS($A$2:$A2890,$A2890,$E$2:$E2890,"ANNULE")),""))</f>
        <v/>
      </c>
    </row>
    <row r="2891">
      <c r="A2891">
        <f>IF(ISBLANK('ENGAGEMENTS 2026'!B2891),"",IF('ENGAGEMENTS 2026'!B2891="DTSI","DCT",'ENGAGEMENTS 2026'!B2891))</f>
        <v/>
      </c>
      <c r="B2891">
        <f>IF(ISBLANK('ENGAGEMENTS 2026'!B2891),"",'ENGAGEMENTS 2026'!C2891)</f>
        <v/>
      </c>
      <c r="C2891">
        <f>IF(ISBLANK('ENGAGEMENTS 2026'!B2891),"",'ENGAGEMENTS 2026'!D2891)</f>
        <v/>
      </c>
      <c r="D2891">
        <f>IF(ISBLANK('ENGAGEMENTS 2026'!B2891),"",'ENGAGEMENTS 2026'!F2891)</f>
        <v/>
      </c>
      <c r="E2891">
        <f>IF(ISBLANK('ENGAGEMENTS 2026'!B2891),"",'ENGAGEMENTS 2026'!H2891)</f>
        <v/>
      </c>
      <c r="F2891">
        <f>IF(ISBLANK('ENGAGEMENTS 2026'!B2891),"",'ENGAGEMENTS 2026'!I2891)</f>
        <v/>
      </c>
      <c r="G2891">
        <f>IF(ISBLANK('ENGAGEMENTS 2026'!B2891),"",'ENGAGEMENTS 2026'!L2891)</f>
        <v/>
      </c>
      <c r="H2891">
        <f>IF(ISBLANK('ENGAGEMENTS 2026'!B2891),"",'ENGAGEMENTS 2026'!AE2891)</f>
        <v/>
      </c>
      <c r="I2891">
        <f>IF(ISBLANK('ENGAGEMENTS 2026'!B2891),"",'ENGAGEMENTS 2026'!G2891)</f>
        <v/>
      </c>
      <c r="J2891" s="275">
        <f>IF(ISBLANK('ENGAGEMENTS 2026'!B2891),"",IF(AND(OR($E2891="INFRUCTUEUX",$E2891="ANNULE"),$C2891="AOO-M"),'ENGAGEMENTS 2026'!O2891,IF($H2891="EN COURS DE PREENGAGEMENT",'ENGAGEMENTS 2026'!N2891,IF($H2891="PREENGAGE",IF($E2891="ATTRIBUE",'ENGAGEMENTS 2026'!AD2891,'ENGAGEMENTS 2026'!N2891),'ENGAGEMENTS 2026'!AD2891))))</f>
        <v/>
      </c>
      <c r="K2891" s="604">
        <f>IF(ISBLANK('ENGAGEMENTS 2026'!V2891),"",'ENGAGEMENTS 2026'!V2891)</f>
        <v/>
      </c>
      <c r="L2891" s="276">
        <f>IF($K2891="","",TODAY()-$K2891)</f>
        <v/>
      </c>
      <c r="M2891">
        <f>IF($A2891="","",IF($H2891="ENGAGE","Engagé",IF(AND($H2891="NON ENGAGE",OR($I2891="INFRUCTUEUX",$I2891="ANNULE")),"Clôturé sans suite","En cours")))</f>
        <v/>
      </c>
      <c r="N2891">
        <f>IF(ISBLANK('ENGAGEMENTS 2026'!B2891),"",'ENGAGEMENTS 2026'!K2891)</f>
        <v/>
      </c>
      <c r="O2891">
        <f>IF(ISBLANK('ENGAGEMENTS 2026'!B2891),"",'ENGAGEMENTS 2026'!L2891)</f>
        <v/>
      </c>
      <c r="P2891">
        <f>IF(ISBLANK('ENGAGEMENTS 2026'!B2891),"",'ENGAGEMENTS 2026'!J2891)</f>
        <v/>
      </c>
      <c r="Q2891">
        <f>IF($A2891="","",IF(OR($E2891="INFRUCTUEUX",$E2891="ANNULE"),$A2891&amp;"|"&amp;(COUNTIFS($A$2:$A2891,$A2891,$E$2:$E2891,"INFRUCTUEUX")+COUNTIFS($A$2:$A2891,$A2891,$E$2:$E2891,"ANNULE")),""))</f>
        <v/>
      </c>
    </row>
    <row r="2892">
      <c r="A2892">
        <f>IF(ISBLANK('ENGAGEMENTS 2026'!B2892),"",IF('ENGAGEMENTS 2026'!B2892="DTSI","DCT",'ENGAGEMENTS 2026'!B2892))</f>
        <v/>
      </c>
      <c r="B2892">
        <f>IF(ISBLANK('ENGAGEMENTS 2026'!B2892),"",'ENGAGEMENTS 2026'!C2892)</f>
        <v/>
      </c>
      <c r="C2892">
        <f>IF(ISBLANK('ENGAGEMENTS 2026'!B2892),"",'ENGAGEMENTS 2026'!D2892)</f>
        <v/>
      </c>
      <c r="D2892">
        <f>IF(ISBLANK('ENGAGEMENTS 2026'!B2892),"",'ENGAGEMENTS 2026'!F2892)</f>
        <v/>
      </c>
      <c r="E2892">
        <f>IF(ISBLANK('ENGAGEMENTS 2026'!B2892),"",'ENGAGEMENTS 2026'!H2892)</f>
        <v/>
      </c>
      <c r="F2892">
        <f>IF(ISBLANK('ENGAGEMENTS 2026'!B2892),"",'ENGAGEMENTS 2026'!I2892)</f>
        <v/>
      </c>
      <c r="G2892">
        <f>IF(ISBLANK('ENGAGEMENTS 2026'!B2892),"",'ENGAGEMENTS 2026'!L2892)</f>
        <v/>
      </c>
      <c r="H2892">
        <f>IF(ISBLANK('ENGAGEMENTS 2026'!B2892),"",'ENGAGEMENTS 2026'!AE2892)</f>
        <v/>
      </c>
      <c r="I2892">
        <f>IF(ISBLANK('ENGAGEMENTS 2026'!B2892),"",'ENGAGEMENTS 2026'!G2892)</f>
        <v/>
      </c>
      <c r="J2892" s="275">
        <f>IF(ISBLANK('ENGAGEMENTS 2026'!B2892),"",IF(AND(OR($E2892="INFRUCTUEUX",$E2892="ANNULE"),$C2892="AOO-M"),'ENGAGEMENTS 2026'!O2892,IF($H2892="EN COURS DE PREENGAGEMENT",'ENGAGEMENTS 2026'!N2892,IF($H2892="PREENGAGE",IF($E2892="ATTRIBUE",'ENGAGEMENTS 2026'!AD2892,'ENGAGEMENTS 2026'!N2892),'ENGAGEMENTS 2026'!AD2892))))</f>
        <v/>
      </c>
      <c r="K2892" s="604">
        <f>IF(ISBLANK('ENGAGEMENTS 2026'!V2892),"",'ENGAGEMENTS 2026'!V2892)</f>
        <v/>
      </c>
      <c r="L2892" s="276">
        <f>IF($K2892="","",TODAY()-$K2892)</f>
        <v/>
      </c>
      <c r="M2892">
        <f>IF($A2892="","",IF($H2892="ENGAGE","Engagé",IF(AND($H2892="NON ENGAGE",OR($I2892="INFRUCTUEUX",$I2892="ANNULE")),"Clôturé sans suite","En cours")))</f>
        <v/>
      </c>
      <c r="N2892">
        <f>IF(ISBLANK('ENGAGEMENTS 2026'!B2892),"",'ENGAGEMENTS 2026'!K2892)</f>
        <v/>
      </c>
      <c r="O2892">
        <f>IF(ISBLANK('ENGAGEMENTS 2026'!B2892),"",'ENGAGEMENTS 2026'!L2892)</f>
        <v/>
      </c>
      <c r="P2892">
        <f>IF(ISBLANK('ENGAGEMENTS 2026'!B2892),"",'ENGAGEMENTS 2026'!J2892)</f>
        <v/>
      </c>
      <c r="Q2892">
        <f>IF($A2892="","",IF(OR($E2892="INFRUCTUEUX",$E2892="ANNULE"),$A2892&amp;"|"&amp;(COUNTIFS($A$2:$A2892,$A2892,$E$2:$E2892,"INFRUCTUEUX")+COUNTIFS($A$2:$A2892,$A2892,$E$2:$E2892,"ANNULE")),""))</f>
        <v/>
      </c>
    </row>
    <row r="2893">
      <c r="A2893">
        <f>IF(ISBLANK('ENGAGEMENTS 2026'!B2893),"",IF('ENGAGEMENTS 2026'!B2893="DTSI","DCT",'ENGAGEMENTS 2026'!B2893))</f>
        <v/>
      </c>
      <c r="B2893">
        <f>IF(ISBLANK('ENGAGEMENTS 2026'!B2893),"",'ENGAGEMENTS 2026'!C2893)</f>
        <v/>
      </c>
      <c r="C2893">
        <f>IF(ISBLANK('ENGAGEMENTS 2026'!B2893),"",'ENGAGEMENTS 2026'!D2893)</f>
        <v/>
      </c>
      <c r="D2893">
        <f>IF(ISBLANK('ENGAGEMENTS 2026'!B2893),"",'ENGAGEMENTS 2026'!F2893)</f>
        <v/>
      </c>
      <c r="E2893">
        <f>IF(ISBLANK('ENGAGEMENTS 2026'!B2893),"",'ENGAGEMENTS 2026'!H2893)</f>
        <v/>
      </c>
      <c r="F2893">
        <f>IF(ISBLANK('ENGAGEMENTS 2026'!B2893),"",'ENGAGEMENTS 2026'!I2893)</f>
        <v/>
      </c>
      <c r="G2893">
        <f>IF(ISBLANK('ENGAGEMENTS 2026'!B2893),"",'ENGAGEMENTS 2026'!L2893)</f>
        <v/>
      </c>
      <c r="H2893">
        <f>IF(ISBLANK('ENGAGEMENTS 2026'!B2893),"",'ENGAGEMENTS 2026'!AE2893)</f>
        <v/>
      </c>
      <c r="I2893">
        <f>IF(ISBLANK('ENGAGEMENTS 2026'!B2893),"",'ENGAGEMENTS 2026'!G2893)</f>
        <v/>
      </c>
      <c r="J2893" s="275">
        <f>IF(ISBLANK('ENGAGEMENTS 2026'!B2893),"",IF(AND(OR($E2893="INFRUCTUEUX",$E2893="ANNULE"),$C2893="AOO-M"),'ENGAGEMENTS 2026'!O2893,IF($H2893="EN COURS DE PREENGAGEMENT",'ENGAGEMENTS 2026'!N2893,IF($H2893="PREENGAGE",IF($E2893="ATTRIBUE",'ENGAGEMENTS 2026'!AD2893,'ENGAGEMENTS 2026'!N2893),'ENGAGEMENTS 2026'!AD2893))))</f>
        <v/>
      </c>
      <c r="K2893" s="604">
        <f>IF(ISBLANK('ENGAGEMENTS 2026'!V2893),"",'ENGAGEMENTS 2026'!V2893)</f>
        <v/>
      </c>
      <c r="L2893" s="276">
        <f>IF($K2893="","",TODAY()-$K2893)</f>
        <v/>
      </c>
      <c r="M2893">
        <f>IF($A2893="","",IF($H2893="ENGAGE","Engagé",IF(AND($H2893="NON ENGAGE",OR($I2893="INFRUCTUEUX",$I2893="ANNULE")),"Clôturé sans suite","En cours")))</f>
        <v/>
      </c>
      <c r="N2893">
        <f>IF(ISBLANK('ENGAGEMENTS 2026'!B2893),"",'ENGAGEMENTS 2026'!K2893)</f>
        <v/>
      </c>
      <c r="O2893">
        <f>IF(ISBLANK('ENGAGEMENTS 2026'!B2893),"",'ENGAGEMENTS 2026'!L2893)</f>
        <v/>
      </c>
      <c r="P2893">
        <f>IF(ISBLANK('ENGAGEMENTS 2026'!B2893),"",'ENGAGEMENTS 2026'!J2893)</f>
        <v/>
      </c>
      <c r="Q2893">
        <f>IF($A2893="","",IF(OR($E2893="INFRUCTUEUX",$E2893="ANNULE"),$A2893&amp;"|"&amp;(COUNTIFS($A$2:$A2893,$A2893,$E$2:$E2893,"INFRUCTUEUX")+COUNTIFS($A$2:$A2893,$A2893,$E$2:$E2893,"ANNULE")),""))</f>
        <v/>
      </c>
    </row>
    <row r="2894">
      <c r="A2894">
        <f>IF(ISBLANK('ENGAGEMENTS 2026'!B2894),"",IF('ENGAGEMENTS 2026'!B2894="DTSI","DCT",'ENGAGEMENTS 2026'!B2894))</f>
        <v/>
      </c>
      <c r="B2894">
        <f>IF(ISBLANK('ENGAGEMENTS 2026'!B2894),"",'ENGAGEMENTS 2026'!C2894)</f>
        <v/>
      </c>
      <c r="C2894">
        <f>IF(ISBLANK('ENGAGEMENTS 2026'!B2894),"",'ENGAGEMENTS 2026'!D2894)</f>
        <v/>
      </c>
      <c r="D2894">
        <f>IF(ISBLANK('ENGAGEMENTS 2026'!B2894),"",'ENGAGEMENTS 2026'!F2894)</f>
        <v/>
      </c>
      <c r="E2894">
        <f>IF(ISBLANK('ENGAGEMENTS 2026'!B2894),"",'ENGAGEMENTS 2026'!H2894)</f>
        <v/>
      </c>
      <c r="F2894">
        <f>IF(ISBLANK('ENGAGEMENTS 2026'!B2894),"",'ENGAGEMENTS 2026'!I2894)</f>
        <v/>
      </c>
      <c r="G2894">
        <f>IF(ISBLANK('ENGAGEMENTS 2026'!B2894),"",'ENGAGEMENTS 2026'!L2894)</f>
        <v/>
      </c>
      <c r="H2894">
        <f>IF(ISBLANK('ENGAGEMENTS 2026'!B2894),"",'ENGAGEMENTS 2026'!AE2894)</f>
        <v/>
      </c>
      <c r="I2894">
        <f>IF(ISBLANK('ENGAGEMENTS 2026'!B2894),"",'ENGAGEMENTS 2026'!G2894)</f>
        <v/>
      </c>
      <c r="J2894" s="275">
        <f>IF(ISBLANK('ENGAGEMENTS 2026'!B2894),"",IF(AND(OR($E2894="INFRUCTUEUX",$E2894="ANNULE"),$C2894="AOO-M"),'ENGAGEMENTS 2026'!O2894,IF($H2894="EN COURS DE PREENGAGEMENT",'ENGAGEMENTS 2026'!N2894,IF($H2894="PREENGAGE",IF($E2894="ATTRIBUE",'ENGAGEMENTS 2026'!AD2894,'ENGAGEMENTS 2026'!N2894),'ENGAGEMENTS 2026'!AD2894))))</f>
        <v/>
      </c>
      <c r="K2894" s="604">
        <f>IF(ISBLANK('ENGAGEMENTS 2026'!V2894),"",'ENGAGEMENTS 2026'!V2894)</f>
        <v/>
      </c>
      <c r="L2894" s="276">
        <f>IF($K2894="","",TODAY()-$K2894)</f>
        <v/>
      </c>
      <c r="M2894">
        <f>IF($A2894="","",IF($H2894="ENGAGE","Engagé",IF(AND($H2894="NON ENGAGE",OR($I2894="INFRUCTUEUX",$I2894="ANNULE")),"Clôturé sans suite","En cours")))</f>
        <v/>
      </c>
      <c r="N2894">
        <f>IF(ISBLANK('ENGAGEMENTS 2026'!B2894),"",'ENGAGEMENTS 2026'!K2894)</f>
        <v/>
      </c>
      <c r="O2894">
        <f>IF(ISBLANK('ENGAGEMENTS 2026'!B2894),"",'ENGAGEMENTS 2026'!L2894)</f>
        <v/>
      </c>
      <c r="P2894">
        <f>IF(ISBLANK('ENGAGEMENTS 2026'!B2894),"",'ENGAGEMENTS 2026'!J2894)</f>
        <v/>
      </c>
      <c r="Q2894">
        <f>IF($A2894="","",IF(OR($E2894="INFRUCTUEUX",$E2894="ANNULE"),$A2894&amp;"|"&amp;(COUNTIFS($A$2:$A2894,$A2894,$E$2:$E2894,"INFRUCTUEUX")+COUNTIFS($A$2:$A2894,$A2894,$E$2:$E2894,"ANNULE")),""))</f>
        <v/>
      </c>
    </row>
    <row r="2895">
      <c r="A2895">
        <f>IF(ISBLANK('ENGAGEMENTS 2026'!B2895),"",IF('ENGAGEMENTS 2026'!B2895="DTSI","DCT",'ENGAGEMENTS 2026'!B2895))</f>
        <v/>
      </c>
      <c r="B2895">
        <f>IF(ISBLANK('ENGAGEMENTS 2026'!B2895),"",'ENGAGEMENTS 2026'!C2895)</f>
        <v/>
      </c>
      <c r="C2895">
        <f>IF(ISBLANK('ENGAGEMENTS 2026'!B2895),"",'ENGAGEMENTS 2026'!D2895)</f>
        <v/>
      </c>
      <c r="D2895">
        <f>IF(ISBLANK('ENGAGEMENTS 2026'!B2895),"",'ENGAGEMENTS 2026'!F2895)</f>
        <v/>
      </c>
      <c r="E2895">
        <f>IF(ISBLANK('ENGAGEMENTS 2026'!B2895),"",'ENGAGEMENTS 2026'!H2895)</f>
        <v/>
      </c>
      <c r="F2895">
        <f>IF(ISBLANK('ENGAGEMENTS 2026'!B2895),"",'ENGAGEMENTS 2026'!I2895)</f>
        <v/>
      </c>
      <c r="G2895">
        <f>IF(ISBLANK('ENGAGEMENTS 2026'!B2895),"",'ENGAGEMENTS 2026'!L2895)</f>
        <v/>
      </c>
      <c r="H2895">
        <f>IF(ISBLANK('ENGAGEMENTS 2026'!B2895),"",'ENGAGEMENTS 2026'!AE2895)</f>
        <v/>
      </c>
      <c r="I2895">
        <f>IF(ISBLANK('ENGAGEMENTS 2026'!B2895),"",'ENGAGEMENTS 2026'!G2895)</f>
        <v/>
      </c>
      <c r="J2895" s="275">
        <f>IF(ISBLANK('ENGAGEMENTS 2026'!B2895),"",IF(AND(OR($E2895="INFRUCTUEUX",$E2895="ANNULE"),$C2895="AOO-M"),'ENGAGEMENTS 2026'!O2895,IF($H2895="EN COURS DE PREENGAGEMENT",'ENGAGEMENTS 2026'!N2895,IF($H2895="PREENGAGE",IF($E2895="ATTRIBUE",'ENGAGEMENTS 2026'!AD2895,'ENGAGEMENTS 2026'!N2895),'ENGAGEMENTS 2026'!AD2895))))</f>
        <v/>
      </c>
      <c r="K2895" s="604">
        <f>IF(ISBLANK('ENGAGEMENTS 2026'!V2895),"",'ENGAGEMENTS 2026'!V2895)</f>
        <v/>
      </c>
      <c r="L2895" s="276">
        <f>IF($K2895="","",TODAY()-$K2895)</f>
        <v/>
      </c>
      <c r="M2895">
        <f>IF($A2895="","",IF($H2895="ENGAGE","Engagé",IF(AND($H2895="NON ENGAGE",OR($I2895="INFRUCTUEUX",$I2895="ANNULE")),"Clôturé sans suite","En cours")))</f>
        <v/>
      </c>
      <c r="N2895">
        <f>IF(ISBLANK('ENGAGEMENTS 2026'!B2895),"",'ENGAGEMENTS 2026'!K2895)</f>
        <v/>
      </c>
      <c r="O2895">
        <f>IF(ISBLANK('ENGAGEMENTS 2026'!B2895),"",'ENGAGEMENTS 2026'!L2895)</f>
        <v/>
      </c>
      <c r="P2895">
        <f>IF(ISBLANK('ENGAGEMENTS 2026'!B2895),"",'ENGAGEMENTS 2026'!J2895)</f>
        <v/>
      </c>
      <c r="Q2895">
        <f>IF($A2895="","",IF(OR($E2895="INFRUCTUEUX",$E2895="ANNULE"),$A2895&amp;"|"&amp;(COUNTIFS($A$2:$A2895,$A2895,$E$2:$E2895,"INFRUCTUEUX")+COUNTIFS($A$2:$A2895,$A2895,$E$2:$E2895,"ANNULE")),""))</f>
        <v/>
      </c>
    </row>
    <row r="2896">
      <c r="A2896">
        <f>IF(ISBLANK('ENGAGEMENTS 2026'!B2896),"",IF('ENGAGEMENTS 2026'!B2896="DTSI","DCT",'ENGAGEMENTS 2026'!B2896))</f>
        <v/>
      </c>
      <c r="B2896">
        <f>IF(ISBLANK('ENGAGEMENTS 2026'!B2896),"",'ENGAGEMENTS 2026'!C2896)</f>
        <v/>
      </c>
      <c r="C2896">
        <f>IF(ISBLANK('ENGAGEMENTS 2026'!B2896),"",'ENGAGEMENTS 2026'!D2896)</f>
        <v/>
      </c>
      <c r="D2896">
        <f>IF(ISBLANK('ENGAGEMENTS 2026'!B2896),"",'ENGAGEMENTS 2026'!F2896)</f>
        <v/>
      </c>
      <c r="E2896">
        <f>IF(ISBLANK('ENGAGEMENTS 2026'!B2896),"",'ENGAGEMENTS 2026'!H2896)</f>
        <v/>
      </c>
      <c r="F2896">
        <f>IF(ISBLANK('ENGAGEMENTS 2026'!B2896),"",'ENGAGEMENTS 2026'!I2896)</f>
        <v/>
      </c>
      <c r="G2896">
        <f>IF(ISBLANK('ENGAGEMENTS 2026'!B2896),"",'ENGAGEMENTS 2026'!L2896)</f>
        <v/>
      </c>
      <c r="H2896">
        <f>IF(ISBLANK('ENGAGEMENTS 2026'!B2896),"",'ENGAGEMENTS 2026'!AE2896)</f>
        <v/>
      </c>
      <c r="I2896">
        <f>IF(ISBLANK('ENGAGEMENTS 2026'!B2896),"",'ENGAGEMENTS 2026'!G2896)</f>
        <v/>
      </c>
      <c r="J2896" s="275">
        <f>IF(ISBLANK('ENGAGEMENTS 2026'!B2896),"",IF(AND(OR($E2896="INFRUCTUEUX",$E2896="ANNULE"),$C2896="AOO-M"),'ENGAGEMENTS 2026'!O2896,IF($H2896="EN COURS DE PREENGAGEMENT",'ENGAGEMENTS 2026'!N2896,IF($H2896="PREENGAGE",IF($E2896="ATTRIBUE",'ENGAGEMENTS 2026'!AD2896,'ENGAGEMENTS 2026'!N2896),'ENGAGEMENTS 2026'!AD2896))))</f>
        <v/>
      </c>
      <c r="K2896" s="604">
        <f>IF(ISBLANK('ENGAGEMENTS 2026'!V2896),"",'ENGAGEMENTS 2026'!V2896)</f>
        <v/>
      </c>
      <c r="L2896" s="276">
        <f>IF($K2896="","",TODAY()-$K2896)</f>
        <v/>
      </c>
      <c r="M2896">
        <f>IF($A2896="","",IF($H2896="ENGAGE","Engagé",IF(AND($H2896="NON ENGAGE",OR($I2896="INFRUCTUEUX",$I2896="ANNULE")),"Clôturé sans suite","En cours")))</f>
        <v/>
      </c>
      <c r="N2896">
        <f>IF(ISBLANK('ENGAGEMENTS 2026'!B2896),"",'ENGAGEMENTS 2026'!K2896)</f>
        <v/>
      </c>
      <c r="O2896">
        <f>IF(ISBLANK('ENGAGEMENTS 2026'!B2896),"",'ENGAGEMENTS 2026'!L2896)</f>
        <v/>
      </c>
      <c r="P2896">
        <f>IF(ISBLANK('ENGAGEMENTS 2026'!B2896),"",'ENGAGEMENTS 2026'!J2896)</f>
        <v/>
      </c>
      <c r="Q2896">
        <f>IF($A2896="","",IF(OR($E2896="INFRUCTUEUX",$E2896="ANNULE"),$A2896&amp;"|"&amp;(COUNTIFS($A$2:$A2896,$A2896,$E$2:$E2896,"INFRUCTUEUX")+COUNTIFS($A$2:$A2896,$A2896,$E$2:$E2896,"ANNULE")),""))</f>
        <v/>
      </c>
    </row>
    <row r="2897">
      <c r="A2897">
        <f>IF(ISBLANK('ENGAGEMENTS 2026'!B2897),"",IF('ENGAGEMENTS 2026'!B2897="DTSI","DCT",'ENGAGEMENTS 2026'!B2897))</f>
        <v/>
      </c>
      <c r="B2897">
        <f>IF(ISBLANK('ENGAGEMENTS 2026'!B2897),"",'ENGAGEMENTS 2026'!C2897)</f>
        <v/>
      </c>
      <c r="C2897">
        <f>IF(ISBLANK('ENGAGEMENTS 2026'!B2897),"",'ENGAGEMENTS 2026'!D2897)</f>
        <v/>
      </c>
      <c r="D2897">
        <f>IF(ISBLANK('ENGAGEMENTS 2026'!B2897),"",'ENGAGEMENTS 2026'!F2897)</f>
        <v/>
      </c>
      <c r="E2897">
        <f>IF(ISBLANK('ENGAGEMENTS 2026'!B2897),"",'ENGAGEMENTS 2026'!H2897)</f>
        <v/>
      </c>
      <c r="F2897">
        <f>IF(ISBLANK('ENGAGEMENTS 2026'!B2897),"",'ENGAGEMENTS 2026'!I2897)</f>
        <v/>
      </c>
      <c r="G2897">
        <f>IF(ISBLANK('ENGAGEMENTS 2026'!B2897),"",'ENGAGEMENTS 2026'!L2897)</f>
        <v/>
      </c>
      <c r="H2897">
        <f>IF(ISBLANK('ENGAGEMENTS 2026'!B2897),"",'ENGAGEMENTS 2026'!AE2897)</f>
        <v/>
      </c>
      <c r="I2897">
        <f>IF(ISBLANK('ENGAGEMENTS 2026'!B2897),"",'ENGAGEMENTS 2026'!G2897)</f>
        <v/>
      </c>
      <c r="J2897" s="275">
        <f>IF(ISBLANK('ENGAGEMENTS 2026'!B2897),"",IF(AND(OR($E2897="INFRUCTUEUX",$E2897="ANNULE"),$C2897="AOO-M"),'ENGAGEMENTS 2026'!O2897,IF($H2897="EN COURS DE PREENGAGEMENT",'ENGAGEMENTS 2026'!N2897,IF($H2897="PREENGAGE",IF($E2897="ATTRIBUE",'ENGAGEMENTS 2026'!AD2897,'ENGAGEMENTS 2026'!N2897),'ENGAGEMENTS 2026'!AD2897))))</f>
        <v/>
      </c>
      <c r="K2897" s="604">
        <f>IF(ISBLANK('ENGAGEMENTS 2026'!V2897),"",'ENGAGEMENTS 2026'!V2897)</f>
        <v/>
      </c>
      <c r="L2897" s="276">
        <f>IF($K2897="","",TODAY()-$K2897)</f>
        <v/>
      </c>
      <c r="M2897">
        <f>IF($A2897="","",IF($H2897="ENGAGE","Engagé",IF(AND($H2897="NON ENGAGE",OR($I2897="INFRUCTUEUX",$I2897="ANNULE")),"Clôturé sans suite","En cours")))</f>
        <v/>
      </c>
      <c r="N2897">
        <f>IF(ISBLANK('ENGAGEMENTS 2026'!B2897),"",'ENGAGEMENTS 2026'!K2897)</f>
        <v/>
      </c>
      <c r="O2897">
        <f>IF(ISBLANK('ENGAGEMENTS 2026'!B2897),"",'ENGAGEMENTS 2026'!L2897)</f>
        <v/>
      </c>
      <c r="P2897">
        <f>IF(ISBLANK('ENGAGEMENTS 2026'!B2897),"",'ENGAGEMENTS 2026'!J2897)</f>
        <v/>
      </c>
      <c r="Q2897">
        <f>IF($A2897="","",IF(OR($E2897="INFRUCTUEUX",$E2897="ANNULE"),$A2897&amp;"|"&amp;(COUNTIFS($A$2:$A2897,$A2897,$E$2:$E2897,"INFRUCTUEUX")+COUNTIFS($A$2:$A2897,$A2897,$E$2:$E2897,"ANNULE")),""))</f>
        <v/>
      </c>
    </row>
    <row r="2898">
      <c r="A2898">
        <f>IF(ISBLANK('ENGAGEMENTS 2026'!B2898),"",IF('ENGAGEMENTS 2026'!B2898="DTSI","DCT",'ENGAGEMENTS 2026'!B2898))</f>
        <v/>
      </c>
      <c r="B2898">
        <f>IF(ISBLANK('ENGAGEMENTS 2026'!B2898),"",'ENGAGEMENTS 2026'!C2898)</f>
        <v/>
      </c>
      <c r="C2898">
        <f>IF(ISBLANK('ENGAGEMENTS 2026'!B2898),"",'ENGAGEMENTS 2026'!D2898)</f>
        <v/>
      </c>
      <c r="D2898">
        <f>IF(ISBLANK('ENGAGEMENTS 2026'!B2898),"",'ENGAGEMENTS 2026'!F2898)</f>
        <v/>
      </c>
      <c r="E2898">
        <f>IF(ISBLANK('ENGAGEMENTS 2026'!B2898),"",'ENGAGEMENTS 2026'!H2898)</f>
        <v/>
      </c>
      <c r="F2898">
        <f>IF(ISBLANK('ENGAGEMENTS 2026'!B2898),"",'ENGAGEMENTS 2026'!I2898)</f>
        <v/>
      </c>
      <c r="G2898">
        <f>IF(ISBLANK('ENGAGEMENTS 2026'!B2898),"",'ENGAGEMENTS 2026'!L2898)</f>
        <v/>
      </c>
      <c r="H2898">
        <f>IF(ISBLANK('ENGAGEMENTS 2026'!B2898),"",'ENGAGEMENTS 2026'!AE2898)</f>
        <v/>
      </c>
      <c r="I2898">
        <f>IF(ISBLANK('ENGAGEMENTS 2026'!B2898),"",'ENGAGEMENTS 2026'!G2898)</f>
        <v/>
      </c>
      <c r="J2898" s="275">
        <f>IF(ISBLANK('ENGAGEMENTS 2026'!B2898),"",IF(AND(OR($E2898="INFRUCTUEUX",$E2898="ANNULE"),$C2898="AOO-M"),'ENGAGEMENTS 2026'!O2898,IF($H2898="EN COURS DE PREENGAGEMENT",'ENGAGEMENTS 2026'!N2898,IF($H2898="PREENGAGE",IF($E2898="ATTRIBUE",'ENGAGEMENTS 2026'!AD2898,'ENGAGEMENTS 2026'!N2898),'ENGAGEMENTS 2026'!AD2898))))</f>
        <v/>
      </c>
      <c r="K2898" s="604">
        <f>IF(ISBLANK('ENGAGEMENTS 2026'!V2898),"",'ENGAGEMENTS 2026'!V2898)</f>
        <v/>
      </c>
      <c r="L2898" s="276">
        <f>IF($K2898="","",TODAY()-$K2898)</f>
        <v/>
      </c>
      <c r="M2898">
        <f>IF($A2898="","",IF($H2898="ENGAGE","Engagé",IF(AND($H2898="NON ENGAGE",OR($I2898="INFRUCTUEUX",$I2898="ANNULE")),"Clôturé sans suite","En cours")))</f>
        <v/>
      </c>
      <c r="N2898">
        <f>IF(ISBLANK('ENGAGEMENTS 2026'!B2898),"",'ENGAGEMENTS 2026'!K2898)</f>
        <v/>
      </c>
      <c r="O2898">
        <f>IF(ISBLANK('ENGAGEMENTS 2026'!B2898),"",'ENGAGEMENTS 2026'!L2898)</f>
        <v/>
      </c>
      <c r="P2898">
        <f>IF(ISBLANK('ENGAGEMENTS 2026'!B2898),"",'ENGAGEMENTS 2026'!J2898)</f>
        <v/>
      </c>
      <c r="Q2898">
        <f>IF($A2898="","",IF(OR($E2898="INFRUCTUEUX",$E2898="ANNULE"),$A2898&amp;"|"&amp;(COUNTIFS($A$2:$A2898,$A2898,$E$2:$E2898,"INFRUCTUEUX")+COUNTIFS($A$2:$A2898,$A2898,$E$2:$E2898,"ANNULE")),""))</f>
        <v/>
      </c>
    </row>
    <row r="2899">
      <c r="A2899">
        <f>IF(ISBLANK('ENGAGEMENTS 2026'!B2899),"",IF('ENGAGEMENTS 2026'!B2899="DTSI","DCT",'ENGAGEMENTS 2026'!B2899))</f>
        <v/>
      </c>
      <c r="B2899">
        <f>IF(ISBLANK('ENGAGEMENTS 2026'!B2899),"",'ENGAGEMENTS 2026'!C2899)</f>
        <v/>
      </c>
      <c r="C2899">
        <f>IF(ISBLANK('ENGAGEMENTS 2026'!B2899),"",'ENGAGEMENTS 2026'!D2899)</f>
        <v/>
      </c>
      <c r="D2899">
        <f>IF(ISBLANK('ENGAGEMENTS 2026'!B2899),"",'ENGAGEMENTS 2026'!F2899)</f>
        <v/>
      </c>
      <c r="E2899">
        <f>IF(ISBLANK('ENGAGEMENTS 2026'!B2899),"",'ENGAGEMENTS 2026'!H2899)</f>
        <v/>
      </c>
      <c r="F2899">
        <f>IF(ISBLANK('ENGAGEMENTS 2026'!B2899),"",'ENGAGEMENTS 2026'!I2899)</f>
        <v/>
      </c>
      <c r="G2899">
        <f>IF(ISBLANK('ENGAGEMENTS 2026'!B2899),"",'ENGAGEMENTS 2026'!L2899)</f>
        <v/>
      </c>
      <c r="H2899">
        <f>IF(ISBLANK('ENGAGEMENTS 2026'!B2899),"",'ENGAGEMENTS 2026'!AE2899)</f>
        <v/>
      </c>
      <c r="I2899">
        <f>IF(ISBLANK('ENGAGEMENTS 2026'!B2899),"",'ENGAGEMENTS 2026'!G2899)</f>
        <v/>
      </c>
      <c r="J2899" s="275">
        <f>IF(ISBLANK('ENGAGEMENTS 2026'!B2899),"",IF(AND(OR($E2899="INFRUCTUEUX",$E2899="ANNULE"),$C2899="AOO-M"),'ENGAGEMENTS 2026'!O2899,IF($H2899="EN COURS DE PREENGAGEMENT",'ENGAGEMENTS 2026'!N2899,IF($H2899="PREENGAGE",IF($E2899="ATTRIBUE",'ENGAGEMENTS 2026'!AD2899,'ENGAGEMENTS 2026'!N2899),'ENGAGEMENTS 2026'!AD2899))))</f>
        <v/>
      </c>
      <c r="K2899" s="604">
        <f>IF(ISBLANK('ENGAGEMENTS 2026'!V2899),"",'ENGAGEMENTS 2026'!V2899)</f>
        <v/>
      </c>
      <c r="L2899" s="276">
        <f>IF($K2899="","",TODAY()-$K2899)</f>
        <v/>
      </c>
      <c r="M2899">
        <f>IF($A2899="","",IF($H2899="ENGAGE","Engagé",IF(AND($H2899="NON ENGAGE",OR($I2899="INFRUCTUEUX",$I2899="ANNULE")),"Clôturé sans suite","En cours")))</f>
        <v/>
      </c>
      <c r="N2899">
        <f>IF(ISBLANK('ENGAGEMENTS 2026'!B2899),"",'ENGAGEMENTS 2026'!K2899)</f>
        <v/>
      </c>
      <c r="O2899">
        <f>IF(ISBLANK('ENGAGEMENTS 2026'!B2899),"",'ENGAGEMENTS 2026'!L2899)</f>
        <v/>
      </c>
      <c r="P2899">
        <f>IF(ISBLANK('ENGAGEMENTS 2026'!B2899),"",'ENGAGEMENTS 2026'!J2899)</f>
        <v/>
      </c>
      <c r="Q2899">
        <f>IF($A2899="","",IF(OR($E2899="INFRUCTUEUX",$E2899="ANNULE"),$A2899&amp;"|"&amp;(COUNTIFS($A$2:$A2899,$A2899,$E$2:$E2899,"INFRUCTUEUX")+COUNTIFS($A$2:$A2899,$A2899,$E$2:$E2899,"ANNULE")),""))</f>
        <v/>
      </c>
    </row>
    <row r="2900">
      <c r="A2900">
        <f>IF(ISBLANK('ENGAGEMENTS 2026'!B2900),"",IF('ENGAGEMENTS 2026'!B2900="DTSI","DCT",'ENGAGEMENTS 2026'!B2900))</f>
        <v/>
      </c>
      <c r="B2900">
        <f>IF(ISBLANK('ENGAGEMENTS 2026'!B2900),"",'ENGAGEMENTS 2026'!C2900)</f>
        <v/>
      </c>
      <c r="C2900">
        <f>IF(ISBLANK('ENGAGEMENTS 2026'!B2900),"",'ENGAGEMENTS 2026'!D2900)</f>
        <v/>
      </c>
      <c r="D2900">
        <f>IF(ISBLANK('ENGAGEMENTS 2026'!B2900),"",'ENGAGEMENTS 2026'!F2900)</f>
        <v/>
      </c>
      <c r="E2900">
        <f>IF(ISBLANK('ENGAGEMENTS 2026'!B2900),"",'ENGAGEMENTS 2026'!H2900)</f>
        <v/>
      </c>
      <c r="F2900">
        <f>IF(ISBLANK('ENGAGEMENTS 2026'!B2900),"",'ENGAGEMENTS 2026'!I2900)</f>
        <v/>
      </c>
      <c r="G2900">
        <f>IF(ISBLANK('ENGAGEMENTS 2026'!B2900),"",'ENGAGEMENTS 2026'!L2900)</f>
        <v/>
      </c>
      <c r="H2900">
        <f>IF(ISBLANK('ENGAGEMENTS 2026'!B2900),"",'ENGAGEMENTS 2026'!AE2900)</f>
        <v/>
      </c>
      <c r="I2900">
        <f>IF(ISBLANK('ENGAGEMENTS 2026'!B2900),"",'ENGAGEMENTS 2026'!G2900)</f>
        <v/>
      </c>
      <c r="J2900" s="275">
        <f>IF(ISBLANK('ENGAGEMENTS 2026'!B2900),"",IF(AND(OR($E2900="INFRUCTUEUX",$E2900="ANNULE"),$C2900="AOO-M"),'ENGAGEMENTS 2026'!O2900,IF($H2900="EN COURS DE PREENGAGEMENT",'ENGAGEMENTS 2026'!N2900,IF($H2900="PREENGAGE",IF($E2900="ATTRIBUE",'ENGAGEMENTS 2026'!AD2900,'ENGAGEMENTS 2026'!N2900),'ENGAGEMENTS 2026'!AD2900))))</f>
        <v/>
      </c>
      <c r="K2900" s="604">
        <f>IF(ISBLANK('ENGAGEMENTS 2026'!V2900),"",'ENGAGEMENTS 2026'!V2900)</f>
        <v/>
      </c>
      <c r="L2900" s="276">
        <f>IF($K2900="","",TODAY()-$K2900)</f>
        <v/>
      </c>
      <c r="M2900">
        <f>IF($A2900="","",IF($H2900="ENGAGE","Engagé",IF(AND($H2900="NON ENGAGE",OR($I2900="INFRUCTUEUX",$I2900="ANNULE")),"Clôturé sans suite","En cours")))</f>
        <v/>
      </c>
      <c r="N2900">
        <f>IF(ISBLANK('ENGAGEMENTS 2026'!B2900),"",'ENGAGEMENTS 2026'!K2900)</f>
        <v/>
      </c>
      <c r="O2900">
        <f>IF(ISBLANK('ENGAGEMENTS 2026'!B2900),"",'ENGAGEMENTS 2026'!L2900)</f>
        <v/>
      </c>
      <c r="P2900">
        <f>IF(ISBLANK('ENGAGEMENTS 2026'!B2900),"",'ENGAGEMENTS 2026'!J2900)</f>
        <v/>
      </c>
      <c r="Q2900">
        <f>IF($A2900="","",IF(OR($E2900="INFRUCTUEUX",$E2900="ANNULE"),$A2900&amp;"|"&amp;(COUNTIFS($A$2:$A2900,$A2900,$E$2:$E2900,"INFRUCTUEUX")+COUNTIFS($A$2:$A2900,$A2900,$E$2:$E2900,"ANNULE")),""))</f>
        <v/>
      </c>
    </row>
    <row r="2901">
      <c r="A2901">
        <f>IF(ISBLANK('ENGAGEMENTS 2026'!B2901),"",IF('ENGAGEMENTS 2026'!B2901="DTSI","DCT",'ENGAGEMENTS 2026'!B2901))</f>
        <v/>
      </c>
      <c r="B2901">
        <f>IF(ISBLANK('ENGAGEMENTS 2026'!B2901),"",'ENGAGEMENTS 2026'!C2901)</f>
        <v/>
      </c>
      <c r="C2901">
        <f>IF(ISBLANK('ENGAGEMENTS 2026'!B2901),"",'ENGAGEMENTS 2026'!D2901)</f>
        <v/>
      </c>
      <c r="D2901">
        <f>IF(ISBLANK('ENGAGEMENTS 2026'!B2901),"",'ENGAGEMENTS 2026'!F2901)</f>
        <v/>
      </c>
      <c r="E2901">
        <f>IF(ISBLANK('ENGAGEMENTS 2026'!B2901),"",'ENGAGEMENTS 2026'!H2901)</f>
        <v/>
      </c>
      <c r="F2901">
        <f>IF(ISBLANK('ENGAGEMENTS 2026'!B2901),"",'ENGAGEMENTS 2026'!I2901)</f>
        <v/>
      </c>
      <c r="G2901">
        <f>IF(ISBLANK('ENGAGEMENTS 2026'!B2901),"",'ENGAGEMENTS 2026'!L2901)</f>
        <v/>
      </c>
      <c r="H2901">
        <f>IF(ISBLANK('ENGAGEMENTS 2026'!B2901),"",'ENGAGEMENTS 2026'!AE2901)</f>
        <v/>
      </c>
      <c r="I2901">
        <f>IF(ISBLANK('ENGAGEMENTS 2026'!B2901),"",'ENGAGEMENTS 2026'!G2901)</f>
        <v/>
      </c>
      <c r="J2901" s="275">
        <f>IF(ISBLANK('ENGAGEMENTS 2026'!B2901),"",IF(AND(OR($E2901="INFRUCTUEUX",$E2901="ANNULE"),$C2901="AOO-M"),'ENGAGEMENTS 2026'!O2901,IF($H2901="EN COURS DE PREENGAGEMENT",'ENGAGEMENTS 2026'!N2901,IF($H2901="PREENGAGE",IF($E2901="ATTRIBUE",'ENGAGEMENTS 2026'!AD2901,'ENGAGEMENTS 2026'!N2901),'ENGAGEMENTS 2026'!AD2901))))</f>
        <v/>
      </c>
      <c r="K2901" s="604">
        <f>IF(ISBLANK('ENGAGEMENTS 2026'!V2901),"",'ENGAGEMENTS 2026'!V2901)</f>
        <v/>
      </c>
      <c r="L2901" s="276">
        <f>IF($K2901="","",TODAY()-$K2901)</f>
        <v/>
      </c>
      <c r="M2901">
        <f>IF($A2901="","",IF($H2901="ENGAGE","Engagé",IF(AND($H2901="NON ENGAGE",OR($I2901="INFRUCTUEUX",$I2901="ANNULE")),"Clôturé sans suite","En cours")))</f>
        <v/>
      </c>
      <c r="N2901">
        <f>IF(ISBLANK('ENGAGEMENTS 2026'!B2901),"",'ENGAGEMENTS 2026'!K2901)</f>
        <v/>
      </c>
      <c r="O2901">
        <f>IF(ISBLANK('ENGAGEMENTS 2026'!B2901),"",'ENGAGEMENTS 2026'!L2901)</f>
        <v/>
      </c>
      <c r="P2901">
        <f>IF(ISBLANK('ENGAGEMENTS 2026'!B2901),"",'ENGAGEMENTS 2026'!J2901)</f>
        <v/>
      </c>
      <c r="Q2901">
        <f>IF($A2901="","",IF(OR($E2901="INFRUCTUEUX",$E2901="ANNULE"),$A2901&amp;"|"&amp;(COUNTIFS($A$2:$A2901,$A2901,$E$2:$E2901,"INFRUCTUEUX")+COUNTIFS($A$2:$A2901,$A2901,$E$2:$E2901,"ANNULE")),""))</f>
        <v/>
      </c>
    </row>
    <row r="2902">
      <c r="A2902">
        <f>IF(ISBLANK('ENGAGEMENTS 2026'!B2902),"",IF('ENGAGEMENTS 2026'!B2902="DTSI","DCT",'ENGAGEMENTS 2026'!B2902))</f>
        <v/>
      </c>
      <c r="B2902">
        <f>IF(ISBLANK('ENGAGEMENTS 2026'!B2902),"",'ENGAGEMENTS 2026'!C2902)</f>
        <v/>
      </c>
      <c r="C2902">
        <f>IF(ISBLANK('ENGAGEMENTS 2026'!B2902),"",'ENGAGEMENTS 2026'!D2902)</f>
        <v/>
      </c>
      <c r="D2902">
        <f>IF(ISBLANK('ENGAGEMENTS 2026'!B2902),"",'ENGAGEMENTS 2026'!F2902)</f>
        <v/>
      </c>
      <c r="E2902">
        <f>IF(ISBLANK('ENGAGEMENTS 2026'!B2902),"",'ENGAGEMENTS 2026'!H2902)</f>
        <v/>
      </c>
      <c r="F2902">
        <f>IF(ISBLANK('ENGAGEMENTS 2026'!B2902),"",'ENGAGEMENTS 2026'!I2902)</f>
        <v/>
      </c>
      <c r="G2902">
        <f>IF(ISBLANK('ENGAGEMENTS 2026'!B2902),"",'ENGAGEMENTS 2026'!L2902)</f>
        <v/>
      </c>
      <c r="H2902">
        <f>IF(ISBLANK('ENGAGEMENTS 2026'!B2902),"",'ENGAGEMENTS 2026'!AE2902)</f>
        <v/>
      </c>
      <c r="I2902">
        <f>IF(ISBLANK('ENGAGEMENTS 2026'!B2902),"",'ENGAGEMENTS 2026'!G2902)</f>
        <v/>
      </c>
      <c r="J2902" s="275">
        <f>IF(ISBLANK('ENGAGEMENTS 2026'!B2902),"",IF(AND(OR($E2902="INFRUCTUEUX",$E2902="ANNULE"),$C2902="AOO-M"),'ENGAGEMENTS 2026'!O2902,IF($H2902="EN COURS DE PREENGAGEMENT",'ENGAGEMENTS 2026'!N2902,IF($H2902="PREENGAGE",IF($E2902="ATTRIBUE",'ENGAGEMENTS 2026'!AD2902,'ENGAGEMENTS 2026'!N2902),'ENGAGEMENTS 2026'!AD2902))))</f>
        <v/>
      </c>
      <c r="K2902" s="604">
        <f>IF(ISBLANK('ENGAGEMENTS 2026'!V2902),"",'ENGAGEMENTS 2026'!V2902)</f>
        <v/>
      </c>
      <c r="L2902" s="276">
        <f>IF($K2902="","",TODAY()-$K2902)</f>
        <v/>
      </c>
      <c r="M2902">
        <f>IF($A2902="","",IF($H2902="ENGAGE","Engagé",IF(AND($H2902="NON ENGAGE",OR($I2902="INFRUCTUEUX",$I2902="ANNULE")),"Clôturé sans suite","En cours")))</f>
        <v/>
      </c>
      <c r="N2902">
        <f>IF(ISBLANK('ENGAGEMENTS 2026'!B2902),"",'ENGAGEMENTS 2026'!K2902)</f>
        <v/>
      </c>
      <c r="O2902">
        <f>IF(ISBLANK('ENGAGEMENTS 2026'!B2902),"",'ENGAGEMENTS 2026'!L2902)</f>
        <v/>
      </c>
      <c r="P2902">
        <f>IF(ISBLANK('ENGAGEMENTS 2026'!B2902),"",'ENGAGEMENTS 2026'!J2902)</f>
        <v/>
      </c>
      <c r="Q2902">
        <f>IF($A2902="","",IF(OR($E2902="INFRUCTUEUX",$E2902="ANNULE"),$A2902&amp;"|"&amp;(COUNTIFS($A$2:$A2902,$A2902,$E$2:$E2902,"INFRUCTUEUX")+COUNTIFS($A$2:$A2902,$A2902,$E$2:$E2902,"ANNULE")),""))</f>
        <v/>
      </c>
    </row>
    <row r="2903">
      <c r="A2903">
        <f>IF(ISBLANK('ENGAGEMENTS 2026'!B2903),"",IF('ENGAGEMENTS 2026'!B2903="DTSI","DCT",'ENGAGEMENTS 2026'!B2903))</f>
        <v/>
      </c>
      <c r="B2903">
        <f>IF(ISBLANK('ENGAGEMENTS 2026'!B2903),"",'ENGAGEMENTS 2026'!C2903)</f>
        <v/>
      </c>
      <c r="C2903">
        <f>IF(ISBLANK('ENGAGEMENTS 2026'!B2903),"",'ENGAGEMENTS 2026'!D2903)</f>
        <v/>
      </c>
      <c r="D2903">
        <f>IF(ISBLANK('ENGAGEMENTS 2026'!B2903),"",'ENGAGEMENTS 2026'!F2903)</f>
        <v/>
      </c>
      <c r="E2903">
        <f>IF(ISBLANK('ENGAGEMENTS 2026'!B2903),"",'ENGAGEMENTS 2026'!H2903)</f>
        <v/>
      </c>
      <c r="F2903">
        <f>IF(ISBLANK('ENGAGEMENTS 2026'!B2903),"",'ENGAGEMENTS 2026'!I2903)</f>
        <v/>
      </c>
      <c r="G2903">
        <f>IF(ISBLANK('ENGAGEMENTS 2026'!B2903),"",'ENGAGEMENTS 2026'!L2903)</f>
        <v/>
      </c>
      <c r="H2903">
        <f>IF(ISBLANK('ENGAGEMENTS 2026'!B2903),"",'ENGAGEMENTS 2026'!AE2903)</f>
        <v/>
      </c>
      <c r="I2903">
        <f>IF(ISBLANK('ENGAGEMENTS 2026'!B2903),"",'ENGAGEMENTS 2026'!G2903)</f>
        <v/>
      </c>
      <c r="J2903" s="275">
        <f>IF(ISBLANK('ENGAGEMENTS 2026'!B2903),"",IF(AND(OR($E2903="INFRUCTUEUX",$E2903="ANNULE"),$C2903="AOO-M"),'ENGAGEMENTS 2026'!O2903,IF($H2903="EN COURS DE PREENGAGEMENT",'ENGAGEMENTS 2026'!N2903,IF($H2903="PREENGAGE",IF($E2903="ATTRIBUE",'ENGAGEMENTS 2026'!AD2903,'ENGAGEMENTS 2026'!N2903),'ENGAGEMENTS 2026'!AD2903))))</f>
        <v/>
      </c>
      <c r="K2903" s="604">
        <f>IF(ISBLANK('ENGAGEMENTS 2026'!V2903),"",'ENGAGEMENTS 2026'!V2903)</f>
        <v/>
      </c>
      <c r="L2903" s="276">
        <f>IF($K2903="","",TODAY()-$K2903)</f>
        <v/>
      </c>
      <c r="M2903">
        <f>IF($A2903="","",IF($H2903="ENGAGE","Engagé",IF(AND($H2903="NON ENGAGE",OR($I2903="INFRUCTUEUX",$I2903="ANNULE")),"Clôturé sans suite","En cours")))</f>
        <v/>
      </c>
      <c r="N2903">
        <f>IF(ISBLANK('ENGAGEMENTS 2026'!B2903),"",'ENGAGEMENTS 2026'!K2903)</f>
        <v/>
      </c>
      <c r="O2903">
        <f>IF(ISBLANK('ENGAGEMENTS 2026'!B2903),"",'ENGAGEMENTS 2026'!L2903)</f>
        <v/>
      </c>
      <c r="P2903">
        <f>IF(ISBLANK('ENGAGEMENTS 2026'!B2903),"",'ENGAGEMENTS 2026'!J2903)</f>
        <v/>
      </c>
      <c r="Q2903">
        <f>IF($A2903="","",IF(OR($E2903="INFRUCTUEUX",$E2903="ANNULE"),$A2903&amp;"|"&amp;(COUNTIFS($A$2:$A2903,$A2903,$E$2:$E2903,"INFRUCTUEUX")+COUNTIFS($A$2:$A2903,$A2903,$E$2:$E2903,"ANNULE")),""))</f>
        <v/>
      </c>
    </row>
    <row r="2904">
      <c r="A2904">
        <f>IF(ISBLANK('ENGAGEMENTS 2026'!B2904),"",IF('ENGAGEMENTS 2026'!B2904="DTSI","DCT",'ENGAGEMENTS 2026'!B2904))</f>
        <v/>
      </c>
      <c r="B2904">
        <f>IF(ISBLANK('ENGAGEMENTS 2026'!B2904),"",'ENGAGEMENTS 2026'!C2904)</f>
        <v/>
      </c>
      <c r="C2904">
        <f>IF(ISBLANK('ENGAGEMENTS 2026'!B2904),"",'ENGAGEMENTS 2026'!D2904)</f>
        <v/>
      </c>
      <c r="D2904">
        <f>IF(ISBLANK('ENGAGEMENTS 2026'!B2904),"",'ENGAGEMENTS 2026'!F2904)</f>
        <v/>
      </c>
      <c r="E2904">
        <f>IF(ISBLANK('ENGAGEMENTS 2026'!B2904),"",'ENGAGEMENTS 2026'!H2904)</f>
        <v/>
      </c>
      <c r="F2904">
        <f>IF(ISBLANK('ENGAGEMENTS 2026'!B2904),"",'ENGAGEMENTS 2026'!I2904)</f>
        <v/>
      </c>
      <c r="G2904">
        <f>IF(ISBLANK('ENGAGEMENTS 2026'!B2904),"",'ENGAGEMENTS 2026'!L2904)</f>
        <v/>
      </c>
      <c r="H2904">
        <f>IF(ISBLANK('ENGAGEMENTS 2026'!B2904),"",'ENGAGEMENTS 2026'!AE2904)</f>
        <v/>
      </c>
      <c r="I2904">
        <f>IF(ISBLANK('ENGAGEMENTS 2026'!B2904),"",'ENGAGEMENTS 2026'!G2904)</f>
        <v/>
      </c>
      <c r="J2904" s="275">
        <f>IF(ISBLANK('ENGAGEMENTS 2026'!B2904),"",IF(AND(OR($E2904="INFRUCTUEUX",$E2904="ANNULE"),$C2904="AOO-M"),'ENGAGEMENTS 2026'!O2904,IF($H2904="EN COURS DE PREENGAGEMENT",'ENGAGEMENTS 2026'!N2904,IF($H2904="PREENGAGE",IF($E2904="ATTRIBUE",'ENGAGEMENTS 2026'!AD2904,'ENGAGEMENTS 2026'!N2904),'ENGAGEMENTS 2026'!AD2904))))</f>
        <v/>
      </c>
      <c r="K2904" s="604">
        <f>IF(ISBLANK('ENGAGEMENTS 2026'!V2904),"",'ENGAGEMENTS 2026'!V2904)</f>
        <v/>
      </c>
      <c r="L2904" s="276">
        <f>IF($K2904="","",TODAY()-$K2904)</f>
        <v/>
      </c>
      <c r="M2904">
        <f>IF($A2904="","",IF($H2904="ENGAGE","Engagé",IF(AND($H2904="NON ENGAGE",OR($I2904="INFRUCTUEUX",$I2904="ANNULE")),"Clôturé sans suite","En cours")))</f>
        <v/>
      </c>
      <c r="N2904">
        <f>IF(ISBLANK('ENGAGEMENTS 2026'!B2904),"",'ENGAGEMENTS 2026'!K2904)</f>
        <v/>
      </c>
      <c r="O2904">
        <f>IF(ISBLANK('ENGAGEMENTS 2026'!B2904),"",'ENGAGEMENTS 2026'!L2904)</f>
        <v/>
      </c>
      <c r="P2904">
        <f>IF(ISBLANK('ENGAGEMENTS 2026'!B2904),"",'ENGAGEMENTS 2026'!J2904)</f>
        <v/>
      </c>
      <c r="Q2904">
        <f>IF($A2904="","",IF(OR($E2904="INFRUCTUEUX",$E2904="ANNULE"),$A2904&amp;"|"&amp;(COUNTIFS($A$2:$A2904,$A2904,$E$2:$E2904,"INFRUCTUEUX")+COUNTIFS($A$2:$A2904,$A2904,$E$2:$E2904,"ANNULE")),""))</f>
        <v/>
      </c>
    </row>
    <row r="2905">
      <c r="A2905">
        <f>IF(ISBLANK('ENGAGEMENTS 2026'!B2905),"",IF('ENGAGEMENTS 2026'!B2905="DTSI","DCT",'ENGAGEMENTS 2026'!B2905))</f>
        <v/>
      </c>
      <c r="B2905">
        <f>IF(ISBLANK('ENGAGEMENTS 2026'!B2905),"",'ENGAGEMENTS 2026'!C2905)</f>
        <v/>
      </c>
      <c r="C2905">
        <f>IF(ISBLANK('ENGAGEMENTS 2026'!B2905),"",'ENGAGEMENTS 2026'!D2905)</f>
        <v/>
      </c>
      <c r="D2905">
        <f>IF(ISBLANK('ENGAGEMENTS 2026'!B2905),"",'ENGAGEMENTS 2026'!F2905)</f>
        <v/>
      </c>
      <c r="E2905">
        <f>IF(ISBLANK('ENGAGEMENTS 2026'!B2905),"",'ENGAGEMENTS 2026'!H2905)</f>
        <v/>
      </c>
      <c r="F2905">
        <f>IF(ISBLANK('ENGAGEMENTS 2026'!B2905),"",'ENGAGEMENTS 2026'!I2905)</f>
        <v/>
      </c>
      <c r="G2905">
        <f>IF(ISBLANK('ENGAGEMENTS 2026'!B2905),"",'ENGAGEMENTS 2026'!L2905)</f>
        <v/>
      </c>
      <c r="H2905">
        <f>IF(ISBLANK('ENGAGEMENTS 2026'!B2905),"",'ENGAGEMENTS 2026'!AE2905)</f>
        <v/>
      </c>
      <c r="I2905">
        <f>IF(ISBLANK('ENGAGEMENTS 2026'!B2905),"",'ENGAGEMENTS 2026'!G2905)</f>
        <v/>
      </c>
      <c r="J2905" s="275">
        <f>IF(ISBLANK('ENGAGEMENTS 2026'!B2905),"",IF(AND(OR($E2905="INFRUCTUEUX",$E2905="ANNULE"),$C2905="AOO-M"),'ENGAGEMENTS 2026'!O2905,IF($H2905="EN COURS DE PREENGAGEMENT",'ENGAGEMENTS 2026'!N2905,IF($H2905="PREENGAGE",IF($E2905="ATTRIBUE",'ENGAGEMENTS 2026'!AD2905,'ENGAGEMENTS 2026'!N2905),'ENGAGEMENTS 2026'!AD2905))))</f>
        <v/>
      </c>
      <c r="K2905" s="604">
        <f>IF(ISBLANK('ENGAGEMENTS 2026'!V2905),"",'ENGAGEMENTS 2026'!V2905)</f>
        <v/>
      </c>
      <c r="L2905" s="276">
        <f>IF($K2905="","",TODAY()-$K2905)</f>
        <v/>
      </c>
      <c r="M2905">
        <f>IF($A2905="","",IF($H2905="ENGAGE","Engagé",IF(AND($H2905="NON ENGAGE",OR($I2905="INFRUCTUEUX",$I2905="ANNULE")),"Clôturé sans suite","En cours")))</f>
        <v/>
      </c>
      <c r="N2905">
        <f>IF(ISBLANK('ENGAGEMENTS 2026'!B2905),"",'ENGAGEMENTS 2026'!K2905)</f>
        <v/>
      </c>
      <c r="O2905">
        <f>IF(ISBLANK('ENGAGEMENTS 2026'!B2905),"",'ENGAGEMENTS 2026'!L2905)</f>
        <v/>
      </c>
      <c r="P2905">
        <f>IF(ISBLANK('ENGAGEMENTS 2026'!B2905),"",'ENGAGEMENTS 2026'!J2905)</f>
        <v/>
      </c>
      <c r="Q2905">
        <f>IF($A2905="","",IF(OR($E2905="INFRUCTUEUX",$E2905="ANNULE"),$A2905&amp;"|"&amp;(COUNTIFS($A$2:$A2905,$A2905,$E$2:$E2905,"INFRUCTUEUX")+COUNTIFS($A$2:$A2905,$A2905,$E$2:$E2905,"ANNULE")),""))</f>
        <v/>
      </c>
    </row>
    <row r="2906">
      <c r="A2906">
        <f>IF(ISBLANK('ENGAGEMENTS 2026'!B2906),"",IF('ENGAGEMENTS 2026'!B2906="DTSI","DCT",'ENGAGEMENTS 2026'!B2906))</f>
        <v/>
      </c>
      <c r="B2906">
        <f>IF(ISBLANK('ENGAGEMENTS 2026'!B2906),"",'ENGAGEMENTS 2026'!C2906)</f>
        <v/>
      </c>
      <c r="C2906">
        <f>IF(ISBLANK('ENGAGEMENTS 2026'!B2906),"",'ENGAGEMENTS 2026'!D2906)</f>
        <v/>
      </c>
      <c r="D2906">
        <f>IF(ISBLANK('ENGAGEMENTS 2026'!B2906),"",'ENGAGEMENTS 2026'!F2906)</f>
        <v/>
      </c>
      <c r="E2906">
        <f>IF(ISBLANK('ENGAGEMENTS 2026'!B2906),"",'ENGAGEMENTS 2026'!H2906)</f>
        <v/>
      </c>
      <c r="F2906">
        <f>IF(ISBLANK('ENGAGEMENTS 2026'!B2906),"",'ENGAGEMENTS 2026'!I2906)</f>
        <v/>
      </c>
      <c r="G2906">
        <f>IF(ISBLANK('ENGAGEMENTS 2026'!B2906),"",'ENGAGEMENTS 2026'!L2906)</f>
        <v/>
      </c>
      <c r="H2906">
        <f>IF(ISBLANK('ENGAGEMENTS 2026'!B2906),"",'ENGAGEMENTS 2026'!AE2906)</f>
        <v/>
      </c>
      <c r="I2906">
        <f>IF(ISBLANK('ENGAGEMENTS 2026'!B2906),"",'ENGAGEMENTS 2026'!G2906)</f>
        <v/>
      </c>
      <c r="J2906" s="275">
        <f>IF(ISBLANK('ENGAGEMENTS 2026'!B2906),"",IF(AND(OR($E2906="INFRUCTUEUX",$E2906="ANNULE"),$C2906="AOO-M"),'ENGAGEMENTS 2026'!O2906,IF($H2906="EN COURS DE PREENGAGEMENT",'ENGAGEMENTS 2026'!N2906,IF($H2906="PREENGAGE",IF($E2906="ATTRIBUE",'ENGAGEMENTS 2026'!AD2906,'ENGAGEMENTS 2026'!N2906),'ENGAGEMENTS 2026'!AD2906))))</f>
        <v/>
      </c>
      <c r="K2906" s="604">
        <f>IF(ISBLANK('ENGAGEMENTS 2026'!V2906),"",'ENGAGEMENTS 2026'!V2906)</f>
        <v/>
      </c>
      <c r="L2906" s="276">
        <f>IF($K2906="","",TODAY()-$K2906)</f>
        <v/>
      </c>
      <c r="M2906">
        <f>IF($A2906="","",IF($H2906="ENGAGE","Engagé",IF(AND($H2906="NON ENGAGE",OR($I2906="INFRUCTUEUX",$I2906="ANNULE")),"Clôturé sans suite","En cours")))</f>
        <v/>
      </c>
      <c r="N2906">
        <f>IF(ISBLANK('ENGAGEMENTS 2026'!B2906),"",'ENGAGEMENTS 2026'!K2906)</f>
        <v/>
      </c>
      <c r="O2906">
        <f>IF(ISBLANK('ENGAGEMENTS 2026'!B2906),"",'ENGAGEMENTS 2026'!L2906)</f>
        <v/>
      </c>
      <c r="P2906">
        <f>IF(ISBLANK('ENGAGEMENTS 2026'!B2906),"",'ENGAGEMENTS 2026'!J2906)</f>
        <v/>
      </c>
      <c r="Q2906">
        <f>IF($A2906="","",IF(OR($E2906="INFRUCTUEUX",$E2906="ANNULE"),$A2906&amp;"|"&amp;(COUNTIFS($A$2:$A2906,$A2906,$E$2:$E2906,"INFRUCTUEUX")+COUNTIFS($A$2:$A2906,$A2906,$E$2:$E2906,"ANNULE")),""))</f>
        <v/>
      </c>
    </row>
    <row r="2907">
      <c r="A2907">
        <f>IF(ISBLANK('ENGAGEMENTS 2026'!B2907),"",IF('ENGAGEMENTS 2026'!B2907="DTSI","DCT",'ENGAGEMENTS 2026'!B2907))</f>
        <v/>
      </c>
      <c r="B2907">
        <f>IF(ISBLANK('ENGAGEMENTS 2026'!B2907),"",'ENGAGEMENTS 2026'!C2907)</f>
        <v/>
      </c>
      <c r="C2907">
        <f>IF(ISBLANK('ENGAGEMENTS 2026'!B2907),"",'ENGAGEMENTS 2026'!D2907)</f>
        <v/>
      </c>
      <c r="D2907">
        <f>IF(ISBLANK('ENGAGEMENTS 2026'!B2907),"",'ENGAGEMENTS 2026'!F2907)</f>
        <v/>
      </c>
      <c r="E2907">
        <f>IF(ISBLANK('ENGAGEMENTS 2026'!B2907),"",'ENGAGEMENTS 2026'!H2907)</f>
        <v/>
      </c>
      <c r="F2907">
        <f>IF(ISBLANK('ENGAGEMENTS 2026'!B2907),"",'ENGAGEMENTS 2026'!I2907)</f>
        <v/>
      </c>
      <c r="G2907">
        <f>IF(ISBLANK('ENGAGEMENTS 2026'!B2907),"",'ENGAGEMENTS 2026'!L2907)</f>
        <v/>
      </c>
      <c r="H2907">
        <f>IF(ISBLANK('ENGAGEMENTS 2026'!B2907),"",'ENGAGEMENTS 2026'!AE2907)</f>
        <v/>
      </c>
      <c r="I2907">
        <f>IF(ISBLANK('ENGAGEMENTS 2026'!B2907),"",'ENGAGEMENTS 2026'!G2907)</f>
        <v/>
      </c>
      <c r="J2907" s="275">
        <f>IF(ISBLANK('ENGAGEMENTS 2026'!B2907),"",IF(AND(OR($E2907="INFRUCTUEUX",$E2907="ANNULE"),$C2907="AOO-M"),'ENGAGEMENTS 2026'!O2907,IF($H2907="EN COURS DE PREENGAGEMENT",'ENGAGEMENTS 2026'!N2907,IF($H2907="PREENGAGE",IF($E2907="ATTRIBUE",'ENGAGEMENTS 2026'!AD2907,'ENGAGEMENTS 2026'!N2907),'ENGAGEMENTS 2026'!AD2907))))</f>
        <v/>
      </c>
      <c r="K2907" s="604">
        <f>IF(ISBLANK('ENGAGEMENTS 2026'!V2907),"",'ENGAGEMENTS 2026'!V2907)</f>
        <v/>
      </c>
      <c r="L2907" s="276">
        <f>IF($K2907="","",TODAY()-$K2907)</f>
        <v/>
      </c>
      <c r="M2907">
        <f>IF($A2907="","",IF($H2907="ENGAGE","Engagé",IF(AND($H2907="NON ENGAGE",OR($I2907="INFRUCTUEUX",$I2907="ANNULE")),"Clôturé sans suite","En cours")))</f>
        <v/>
      </c>
      <c r="N2907">
        <f>IF(ISBLANK('ENGAGEMENTS 2026'!B2907),"",'ENGAGEMENTS 2026'!K2907)</f>
        <v/>
      </c>
      <c r="O2907">
        <f>IF(ISBLANK('ENGAGEMENTS 2026'!B2907),"",'ENGAGEMENTS 2026'!L2907)</f>
        <v/>
      </c>
      <c r="P2907">
        <f>IF(ISBLANK('ENGAGEMENTS 2026'!B2907),"",'ENGAGEMENTS 2026'!J2907)</f>
        <v/>
      </c>
      <c r="Q2907">
        <f>IF($A2907="","",IF(OR($E2907="INFRUCTUEUX",$E2907="ANNULE"),$A2907&amp;"|"&amp;(COUNTIFS($A$2:$A2907,$A2907,$E$2:$E2907,"INFRUCTUEUX")+COUNTIFS($A$2:$A2907,$A2907,$E$2:$E2907,"ANNULE")),""))</f>
        <v/>
      </c>
    </row>
    <row r="2908">
      <c r="A2908">
        <f>IF(ISBLANK('ENGAGEMENTS 2026'!B2908),"",IF('ENGAGEMENTS 2026'!B2908="DTSI","DCT",'ENGAGEMENTS 2026'!B2908))</f>
        <v/>
      </c>
      <c r="B2908">
        <f>IF(ISBLANK('ENGAGEMENTS 2026'!B2908),"",'ENGAGEMENTS 2026'!C2908)</f>
        <v/>
      </c>
      <c r="C2908">
        <f>IF(ISBLANK('ENGAGEMENTS 2026'!B2908),"",'ENGAGEMENTS 2026'!D2908)</f>
        <v/>
      </c>
      <c r="D2908">
        <f>IF(ISBLANK('ENGAGEMENTS 2026'!B2908),"",'ENGAGEMENTS 2026'!F2908)</f>
        <v/>
      </c>
      <c r="E2908">
        <f>IF(ISBLANK('ENGAGEMENTS 2026'!B2908),"",'ENGAGEMENTS 2026'!H2908)</f>
        <v/>
      </c>
      <c r="F2908">
        <f>IF(ISBLANK('ENGAGEMENTS 2026'!B2908),"",'ENGAGEMENTS 2026'!I2908)</f>
        <v/>
      </c>
      <c r="G2908">
        <f>IF(ISBLANK('ENGAGEMENTS 2026'!B2908),"",'ENGAGEMENTS 2026'!L2908)</f>
        <v/>
      </c>
      <c r="H2908">
        <f>IF(ISBLANK('ENGAGEMENTS 2026'!B2908),"",'ENGAGEMENTS 2026'!AE2908)</f>
        <v/>
      </c>
      <c r="I2908">
        <f>IF(ISBLANK('ENGAGEMENTS 2026'!B2908),"",'ENGAGEMENTS 2026'!G2908)</f>
        <v/>
      </c>
      <c r="J2908" s="275">
        <f>IF(ISBLANK('ENGAGEMENTS 2026'!B2908),"",IF(AND(OR($E2908="INFRUCTUEUX",$E2908="ANNULE"),$C2908="AOO-M"),'ENGAGEMENTS 2026'!O2908,IF($H2908="EN COURS DE PREENGAGEMENT",'ENGAGEMENTS 2026'!N2908,IF($H2908="PREENGAGE",IF($E2908="ATTRIBUE",'ENGAGEMENTS 2026'!AD2908,'ENGAGEMENTS 2026'!N2908),'ENGAGEMENTS 2026'!AD2908))))</f>
        <v/>
      </c>
      <c r="K2908" s="604">
        <f>IF(ISBLANK('ENGAGEMENTS 2026'!V2908),"",'ENGAGEMENTS 2026'!V2908)</f>
        <v/>
      </c>
      <c r="L2908" s="276">
        <f>IF($K2908="","",TODAY()-$K2908)</f>
        <v/>
      </c>
      <c r="M2908">
        <f>IF($A2908="","",IF($H2908="ENGAGE","Engagé",IF(AND($H2908="NON ENGAGE",OR($I2908="INFRUCTUEUX",$I2908="ANNULE")),"Clôturé sans suite","En cours")))</f>
        <v/>
      </c>
      <c r="N2908">
        <f>IF(ISBLANK('ENGAGEMENTS 2026'!B2908),"",'ENGAGEMENTS 2026'!K2908)</f>
        <v/>
      </c>
      <c r="O2908">
        <f>IF(ISBLANK('ENGAGEMENTS 2026'!B2908),"",'ENGAGEMENTS 2026'!L2908)</f>
        <v/>
      </c>
      <c r="P2908">
        <f>IF(ISBLANK('ENGAGEMENTS 2026'!B2908),"",'ENGAGEMENTS 2026'!J2908)</f>
        <v/>
      </c>
      <c r="Q2908">
        <f>IF($A2908="","",IF(OR($E2908="INFRUCTUEUX",$E2908="ANNULE"),$A2908&amp;"|"&amp;(COUNTIFS($A$2:$A2908,$A2908,$E$2:$E2908,"INFRUCTUEUX")+COUNTIFS($A$2:$A2908,$A2908,$E$2:$E2908,"ANNULE")),""))</f>
        <v/>
      </c>
    </row>
    <row r="2909">
      <c r="A2909">
        <f>IF(ISBLANK('ENGAGEMENTS 2026'!B2909),"",IF('ENGAGEMENTS 2026'!B2909="DTSI","DCT",'ENGAGEMENTS 2026'!B2909))</f>
        <v/>
      </c>
      <c r="B2909">
        <f>IF(ISBLANK('ENGAGEMENTS 2026'!B2909),"",'ENGAGEMENTS 2026'!C2909)</f>
        <v/>
      </c>
      <c r="C2909">
        <f>IF(ISBLANK('ENGAGEMENTS 2026'!B2909),"",'ENGAGEMENTS 2026'!D2909)</f>
        <v/>
      </c>
      <c r="D2909">
        <f>IF(ISBLANK('ENGAGEMENTS 2026'!B2909),"",'ENGAGEMENTS 2026'!F2909)</f>
        <v/>
      </c>
      <c r="E2909">
        <f>IF(ISBLANK('ENGAGEMENTS 2026'!B2909),"",'ENGAGEMENTS 2026'!H2909)</f>
        <v/>
      </c>
      <c r="F2909">
        <f>IF(ISBLANK('ENGAGEMENTS 2026'!B2909),"",'ENGAGEMENTS 2026'!I2909)</f>
        <v/>
      </c>
      <c r="G2909">
        <f>IF(ISBLANK('ENGAGEMENTS 2026'!B2909),"",'ENGAGEMENTS 2026'!L2909)</f>
        <v/>
      </c>
      <c r="H2909">
        <f>IF(ISBLANK('ENGAGEMENTS 2026'!B2909),"",'ENGAGEMENTS 2026'!AE2909)</f>
        <v/>
      </c>
      <c r="I2909">
        <f>IF(ISBLANK('ENGAGEMENTS 2026'!B2909),"",'ENGAGEMENTS 2026'!G2909)</f>
        <v/>
      </c>
      <c r="J2909" s="275">
        <f>IF(ISBLANK('ENGAGEMENTS 2026'!B2909),"",IF(AND(OR($E2909="INFRUCTUEUX",$E2909="ANNULE"),$C2909="AOO-M"),'ENGAGEMENTS 2026'!O2909,IF($H2909="EN COURS DE PREENGAGEMENT",'ENGAGEMENTS 2026'!N2909,IF($H2909="PREENGAGE",IF($E2909="ATTRIBUE",'ENGAGEMENTS 2026'!AD2909,'ENGAGEMENTS 2026'!N2909),'ENGAGEMENTS 2026'!AD2909))))</f>
        <v/>
      </c>
      <c r="K2909" s="604">
        <f>IF(ISBLANK('ENGAGEMENTS 2026'!V2909),"",'ENGAGEMENTS 2026'!V2909)</f>
        <v/>
      </c>
      <c r="L2909" s="276">
        <f>IF($K2909="","",TODAY()-$K2909)</f>
        <v/>
      </c>
      <c r="M2909">
        <f>IF($A2909="","",IF($H2909="ENGAGE","Engagé",IF(AND($H2909="NON ENGAGE",OR($I2909="INFRUCTUEUX",$I2909="ANNULE")),"Clôturé sans suite","En cours")))</f>
        <v/>
      </c>
      <c r="N2909">
        <f>IF(ISBLANK('ENGAGEMENTS 2026'!B2909),"",'ENGAGEMENTS 2026'!K2909)</f>
        <v/>
      </c>
      <c r="O2909">
        <f>IF(ISBLANK('ENGAGEMENTS 2026'!B2909),"",'ENGAGEMENTS 2026'!L2909)</f>
        <v/>
      </c>
      <c r="P2909">
        <f>IF(ISBLANK('ENGAGEMENTS 2026'!B2909),"",'ENGAGEMENTS 2026'!J2909)</f>
        <v/>
      </c>
      <c r="Q2909">
        <f>IF($A2909="","",IF(OR($E2909="INFRUCTUEUX",$E2909="ANNULE"),$A2909&amp;"|"&amp;(COUNTIFS($A$2:$A2909,$A2909,$E$2:$E2909,"INFRUCTUEUX")+COUNTIFS($A$2:$A2909,$A2909,$E$2:$E2909,"ANNULE")),""))</f>
        <v/>
      </c>
    </row>
    <row r="2910">
      <c r="A2910">
        <f>IF(ISBLANK('ENGAGEMENTS 2026'!B2910),"",IF('ENGAGEMENTS 2026'!B2910="DTSI","DCT",'ENGAGEMENTS 2026'!B2910))</f>
        <v/>
      </c>
      <c r="B2910">
        <f>IF(ISBLANK('ENGAGEMENTS 2026'!B2910),"",'ENGAGEMENTS 2026'!C2910)</f>
        <v/>
      </c>
      <c r="C2910">
        <f>IF(ISBLANK('ENGAGEMENTS 2026'!B2910),"",'ENGAGEMENTS 2026'!D2910)</f>
        <v/>
      </c>
      <c r="D2910">
        <f>IF(ISBLANK('ENGAGEMENTS 2026'!B2910),"",'ENGAGEMENTS 2026'!F2910)</f>
        <v/>
      </c>
      <c r="E2910">
        <f>IF(ISBLANK('ENGAGEMENTS 2026'!B2910),"",'ENGAGEMENTS 2026'!H2910)</f>
        <v/>
      </c>
      <c r="F2910">
        <f>IF(ISBLANK('ENGAGEMENTS 2026'!B2910),"",'ENGAGEMENTS 2026'!I2910)</f>
        <v/>
      </c>
      <c r="G2910">
        <f>IF(ISBLANK('ENGAGEMENTS 2026'!B2910),"",'ENGAGEMENTS 2026'!L2910)</f>
        <v/>
      </c>
      <c r="H2910">
        <f>IF(ISBLANK('ENGAGEMENTS 2026'!B2910),"",'ENGAGEMENTS 2026'!AE2910)</f>
        <v/>
      </c>
      <c r="I2910">
        <f>IF(ISBLANK('ENGAGEMENTS 2026'!B2910),"",'ENGAGEMENTS 2026'!G2910)</f>
        <v/>
      </c>
      <c r="J2910" s="275">
        <f>IF(ISBLANK('ENGAGEMENTS 2026'!B2910),"",IF(AND(OR($E2910="INFRUCTUEUX",$E2910="ANNULE"),$C2910="AOO-M"),'ENGAGEMENTS 2026'!O2910,IF($H2910="EN COURS DE PREENGAGEMENT",'ENGAGEMENTS 2026'!N2910,IF($H2910="PREENGAGE",IF($E2910="ATTRIBUE",'ENGAGEMENTS 2026'!AD2910,'ENGAGEMENTS 2026'!N2910),'ENGAGEMENTS 2026'!AD2910))))</f>
        <v/>
      </c>
      <c r="K2910" s="604">
        <f>IF(ISBLANK('ENGAGEMENTS 2026'!V2910),"",'ENGAGEMENTS 2026'!V2910)</f>
        <v/>
      </c>
      <c r="L2910" s="276">
        <f>IF($K2910="","",TODAY()-$K2910)</f>
        <v/>
      </c>
      <c r="M2910">
        <f>IF($A2910="","",IF($H2910="ENGAGE","Engagé",IF(AND($H2910="NON ENGAGE",OR($I2910="INFRUCTUEUX",$I2910="ANNULE")),"Clôturé sans suite","En cours")))</f>
        <v/>
      </c>
      <c r="N2910">
        <f>IF(ISBLANK('ENGAGEMENTS 2026'!B2910),"",'ENGAGEMENTS 2026'!K2910)</f>
        <v/>
      </c>
      <c r="O2910">
        <f>IF(ISBLANK('ENGAGEMENTS 2026'!B2910),"",'ENGAGEMENTS 2026'!L2910)</f>
        <v/>
      </c>
      <c r="P2910">
        <f>IF(ISBLANK('ENGAGEMENTS 2026'!B2910),"",'ENGAGEMENTS 2026'!J2910)</f>
        <v/>
      </c>
      <c r="Q2910">
        <f>IF($A2910="","",IF(OR($E2910="INFRUCTUEUX",$E2910="ANNULE"),$A2910&amp;"|"&amp;(COUNTIFS($A$2:$A2910,$A2910,$E$2:$E2910,"INFRUCTUEUX")+COUNTIFS($A$2:$A2910,$A2910,$E$2:$E2910,"ANNULE")),""))</f>
        <v/>
      </c>
    </row>
    <row r="2911">
      <c r="A2911">
        <f>IF(ISBLANK('ENGAGEMENTS 2026'!B2911),"",IF('ENGAGEMENTS 2026'!B2911="DTSI","DCT",'ENGAGEMENTS 2026'!B2911))</f>
        <v/>
      </c>
      <c r="B2911">
        <f>IF(ISBLANK('ENGAGEMENTS 2026'!B2911),"",'ENGAGEMENTS 2026'!C2911)</f>
        <v/>
      </c>
      <c r="C2911">
        <f>IF(ISBLANK('ENGAGEMENTS 2026'!B2911),"",'ENGAGEMENTS 2026'!D2911)</f>
        <v/>
      </c>
      <c r="D2911">
        <f>IF(ISBLANK('ENGAGEMENTS 2026'!B2911),"",'ENGAGEMENTS 2026'!F2911)</f>
        <v/>
      </c>
      <c r="E2911">
        <f>IF(ISBLANK('ENGAGEMENTS 2026'!B2911),"",'ENGAGEMENTS 2026'!H2911)</f>
        <v/>
      </c>
      <c r="F2911">
        <f>IF(ISBLANK('ENGAGEMENTS 2026'!B2911),"",'ENGAGEMENTS 2026'!I2911)</f>
        <v/>
      </c>
      <c r="G2911">
        <f>IF(ISBLANK('ENGAGEMENTS 2026'!B2911),"",'ENGAGEMENTS 2026'!L2911)</f>
        <v/>
      </c>
      <c r="H2911">
        <f>IF(ISBLANK('ENGAGEMENTS 2026'!B2911),"",'ENGAGEMENTS 2026'!AE2911)</f>
        <v/>
      </c>
      <c r="I2911">
        <f>IF(ISBLANK('ENGAGEMENTS 2026'!B2911),"",'ENGAGEMENTS 2026'!G2911)</f>
        <v/>
      </c>
      <c r="J2911" s="275">
        <f>IF(ISBLANK('ENGAGEMENTS 2026'!B2911),"",IF(AND(OR($E2911="INFRUCTUEUX",$E2911="ANNULE"),$C2911="AOO-M"),'ENGAGEMENTS 2026'!O2911,IF($H2911="EN COURS DE PREENGAGEMENT",'ENGAGEMENTS 2026'!N2911,IF($H2911="PREENGAGE",IF($E2911="ATTRIBUE",'ENGAGEMENTS 2026'!AD2911,'ENGAGEMENTS 2026'!N2911),'ENGAGEMENTS 2026'!AD2911))))</f>
        <v/>
      </c>
      <c r="K2911" s="604">
        <f>IF(ISBLANK('ENGAGEMENTS 2026'!V2911),"",'ENGAGEMENTS 2026'!V2911)</f>
        <v/>
      </c>
      <c r="L2911" s="276">
        <f>IF($K2911="","",TODAY()-$K2911)</f>
        <v/>
      </c>
      <c r="M2911">
        <f>IF($A2911="","",IF($H2911="ENGAGE","Engagé",IF(AND($H2911="NON ENGAGE",OR($I2911="INFRUCTUEUX",$I2911="ANNULE")),"Clôturé sans suite","En cours")))</f>
        <v/>
      </c>
      <c r="N2911">
        <f>IF(ISBLANK('ENGAGEMENTS 2026'!B2911),"",'ENGAGEMENTS 2026'!K2911)</f>
        <v/>
      </c>
      <c r="O2911">
        <f>IF(ISBLANK('ENGAGEMENTS 2026'!B2911),"",'ENGAGEMENTS 2026'!L2911)</f>
        <v/>
      </c>
      <c r="P2911">
        <f>IF(ISBLANK('ENGAGEMENTS 2026'!B2911),"",'ENGAGEMENTS 2026'!J2911)</f>
        <v/>
      </c>
      <c r="Q2911">
        <f>IF($A2911="","",IF(OR($E2911="INFRUCTUEUX",$E2911="ANNULE"),$A2911&amp;"|"&amp;(COUNTIFS($A$2:$A2911,$A2911,$E$2:$E2911,"INFRUCTUEUX")+COUNTIFS($A$2:$A2911,$A2911,$E$2:$E2911,"ANNULE")),""))</f>
        <v/>
      </c>
    </row>
    <row r="2912">
      <c r="A2912">
        <f>IF(ISBLANK('ENGAGEMENTS 2026'!B2912),"",IF('ENGAGEMENTS 2026'!B2912="DTSI","DCT",'ENGAGEMENTS 2026'!B2912))</f>
        <v/>
      </c>
      <c r="B2912">
        <f>IF(ISBLANK('ENGAGEMENTS 2026'!B2912),"",'ENGAGEMENTS 2026'!C2912)</f>
        <v/>
      </c>
      <c r="C2912">
        <f>IF(ISBLANK('ENGAGEMENTS 2026'!B2912),"",'ENGAGEMENTS 2026'!D2912)</f>
        <v/>
      </c>
      <c r="D2912">
        <f>IF(ISBLANK('ENGAGEMENTS 2026'!B2912),"",'ENGAGEMENTS 2026'!F2912)</f>
        <v/>
      </c>
      <c r="E2912">
        <f>IF(ISBLANK('ENGAGEMENTS 2026'!B2912),"",'ENGAGEMENTS 2026'!H2912)</f>
        <v/>
      </c>
      <c r="F2912">
        <f>IF(ISBLANK('ENGAGEMENTS 2026'!B2912),"",'ENGAGEMENTS 2026'!I2912)</f>
        <v/>
      </c>
      <c r="G2912">
        <f>IF(ISBLANK('ENGAGEMENTS 2026'!B2912),"",'ENGAGEMENTS 2026'!L2912)</f>
        <v/>
      </c>
      <c r="H2912">
        <f>IF(ISBLANK('ENGAGEMENTS 2026'!B2912),"",'ENGAGEMENTS 2026'!AE2912)</f>
        <v/>
      </c>
      <c r="I2912">
        <f>IF(ISBLANK('ENGAGEMENTS 2026'!B2912),"",'ENGAGEMENTS 2026'!G2912)</f>
        <v/>
      </c>
      <c r="J2912" s="275">
        <f>IF(ISBLANK('ENGAGEMENTS 2026'!B2912),"",IF(AND(OR($E2912="INFRUCTUEUX",$E2912="ANNULE"),$C2912="AOO-M"),'ENGAGEMENTS 2026'!O2912,IF($H2912="EN COURS DE PREENGAGEMENT",'ENGAGEMENTS 2026'!N2912,IF($H2912="PREENGAGE",IF($E2912="ATTRIBUE",'ENGAGEMENTS 2026'!AD2912,'ENGAGEMENTS 2026'!N2912),'ENGAGEMENTS 2026'!AD2912))))</f>
        <v/>
      </c>
      <c r="K2912" s="604">
        <f>IF(ISBLANK('ENGAGEMENTS 2026'!V2912),"",'ENGAGEMENTS 2026'!V2912)</f>
        <v/>
      </c>
      <c r="L2912" s="276">
        <f>IF($K2912="","",TODAY()-$K2912)</f>
        <v/>
      </c>
      <c r="M2912">
        <f>IF($A2912="","",IF($H2912="ENGAGE","Engagé",IF(AND($H2912="NON ENGAGE",OR($I2912="INFRUCTUEUX",$I2912="ANNULE")),"Clôturé sans suite","En cours")))</f>
        <v/>
      </c>
      <c r="N2912">
        <f>IF(ISBLANK('ENGAGEMENTS 2026'!B2912),"",'ENGAGEMENTS 2026'!K2912)</f>
        <v/>
      </c>
      <c r="O2912">
        <f>IF(ISBLANK('ENGAGEMENTS 2026'!B2912),"",'ENGAGEMENTS 2026'!L2912)</f>
        <v/>
      </c>
      <c r="P2912">
        <f>IF(ISBLANK('ENGAGEMENTS 2026'!B2912),"",'ENGAGEMENTS 2026'!J2912)</f>
        <v/>
      </c>
      <c r="Q2912">
        <f>IF($A2912="","",IF(OR($E2912="INFRUCTUEUX",$E2912="ANNULE"),$A2912&amp;"|"&amp;(COUNTIFS($A$2:$A2912,$A2912,$E$2:$E2912,"INFRUCTUEUX")+COUNTIFS($A$2:$A2912,$A2912,$E$2:$E2912,"ANNULE")),""))</f>
        <v/>
      </c>
    </row>
    <row r="2913">
      <c r="A2913">
        <f>IF(ISBLANK('ENGAGEMENTS 2026'!B2913),"",IF('ENGAGEMENTS 2026'!B2913="DTSI","DCT",'ENGAGEMENTS 2026'!B2913))</f>
        <v/>
      </c>
      <c r="B2913">
        <f>IF(ISBLANK('ENGAGEMENTS 2026'!B2913),"",'ENGAGEMENTS 2026'!C2913)</f>
        <v/>
      </c>
      <c r="C2913">
        <f>IF(ISBLANK('ENGAGEMENTS 2026'!B2913),"",'ENGAGEMENTS 2026'!D2913)</f>
        <v/>
      </c>
      <c r="D2913">
        <f>IF(ISBLANK('ENGAGEMENTS 2026'!B2913),"",'ENGAGEMENTS 2026'!F2913)</f>
        <v/>
      </c>
      <c r="E2913">
        <f>IF(ISBLANK('ENGAGEMENTS 2026'!B2913),"",'ENGAGEMENTS 2026'!H2913)</f>
        <v/>
      </c>
      <c r="F2913">
        <f>IF(ISBLANK('ENGAGEMENTS 2026'!B2913),"",'ENGAGEMENTS 2026'!I2913)</f>
        <v/>
      </c>
      <c r="G2913">
        <f>IF(ISBLANK('ENGAGEMENTS 2026'!B2913),"",'ENGAGEMENTS 2026'!L2913)</f>
        <v/>
      </c>
      <c r="H2913">
        <f>IF(ISBLANK('ENGAGEMENTS 2026'!B2913),"",'ENGAGEMENTS 2026'!AE2913)</f>
        <v/>
      </c>
      <c r="I2913">
        <f>IF(ISBLANK('ENGAGEMENTS 2026'!B2913),"",'ENGAGEMENTS 2026'!G2913)</f>
        <v/>
      </c>
      <c r="J2913" s="275">
        <f>IF(ISBLANK('ENGAGEMENTS 2026'!B2913),"",IF(AND(OR($E2913="INFRUCTUEUX",$E2913="ANNULE"),$C2913="AOO-M"),'ENGAGEMENTS 2026'!O2913,IF($H2913="EN COURS DE PREENGAGEMENT",'ENGAGEMENTS 2026'!N2913,IF($H2913="PREENGAGE",IF($E2913="ATTRIBUE",'ENGAGEMENTS 2026'!AD2913,'ENGAGEMENTS 2026'!N2913),'ENGAGEMENTS 2026'!AD2913))))</f>
        <v/>
      </c>
      <c r="K2913" s="604">
        <f>IF(ISBLANK('ENGAGEMENTS 2026'!V2913),"",'ENGAGEMENTS 2026'!V2913)</f>
        <v/>
      </c>
      <c r="L2913" s="276">
        <f>IF($K2913="","",TODAY()-$K2913)</f>
        <v/>
      </c>
      <c r="M2913">
        <f>IF($A2913="","",IF($H2913="ENGAGE","Engagé",IF(AND($H2913="NON ENGAGE",OR($I2913="INFRUCTUEUX",$I2913="ANNULE")),"Clôturé sans suite","En cours")))</f>
        <v/>
      </c>
      <c r="N2913">
        <f>IF(ISBLANK('ENGAGEMENTS 2026'!B2913),"",'ENGAGEMENTS 2026'!K2913)</f>
        <v/>
      </c>
      <c r="O2913">
        <f>IF(ISBLANK('ENGAGEMENTS 2026'!B2913),"",'ENGAGEMENTS 2026'!L2913)</f>
        <v/>
      </c>
      <c r="P2913">
        <f>IF(ISBLANK('ENGAGEMENTS 2026'!B2913),"",'ENGAGEMENTS 2026'!J2913)</f>
        <v/>
      </c>
      <c r="Q2913">
        <f>IF($A2913="","",IF(OR($E2913="INFRUCTUEUX",$E2913="ANNULE"),$A2913&amp;"|"&amp;(COUNTIFS($A$2:$A2913,$A2913,$E$2:$E2913,"INFRUCTUEUX")+COUNTIFS($A$2:$A2913,$A2913,$E$2:$E2913,"ANNULE")),""))</f>
        <v/>
      </c>
    </row>
    <row r="2914">
      <c r="A2914">
        <f>IF(ISBLANK('ENGAGEMENTS 2026'!B2914),"",IF('ENGAGEMENTS 2026'!B2914="DTSI","DCT",'ENGAGEMENTS 2026'!B2914))</f>
        <v/>
      </c>
      <c r="B2914">
        <f>IF(ISBLANK('ENGAGEMENTS 2026'!B2914),"",'ENGAGEMENTS 2026'!C2914)</f>
        <v/>
      </c>
      <c r="C2914">
        <f>IF(ISBLANK('ENGAGEMENTS 2026'!B2914),"",'ENGAGEMENTS 2026'!D2914)</f>
        <v/>
      </c>
      <c r="D2914">
        <f>IF(ISBLANK('ENGAGEMENTS 2026'!B2914),"",'ENGAGEMENTS 2026'!F2914)</f>
        <v/>
      </c>
      <c r="E2914">
        <f>IF(ISBLANK('ENGAGEMENTS 2026'!B2914),"",'ENGAGEMENTS 2026'!H2914)</f>
        <v/>
      </c>
      <c r="F2914">
        <f>IF(ISBLANK('ENGAGEMENTS 2026'!B2914),"",'ENGAGEMENTS 2026'!I2914)</f>
        <v/>
      </c>
      <c r="G2914">
        <f>IF(ISBLANK('ENGAGEMENTS 2026'!B2914),"",'ENGAGEMENTS 2026'!L2914)</f>
        <v/>
      </c>
      <c r="H2914">
        <f>IF(ISBLANK('ENGAGEMENTS 2026'!B2914),"",'ENGAGEMENTS 2026'!AE2914)</f>
        <v/>
      </c>
      <c r="I2914">
        <f>IF(ISBLANK('ENGAGEMENTS 2026'!B2914),"",'ENGAGEMENTS 2026'!G2914)</f>
        <v/>
      </c>
      <c r="J2914" s="275">
        <f>IF(ISBLANK('ENGAGEMENTS 2026'!B2914),"",IF(AND(OR($E2914="INFRUCTUEUX",$E2914="ANNULE"),$C2914="AOO-M"),'ENGAGEMENTS 2026'!O2914,IF($H2914="EN COURS DE PREENGAGEMENT",'ENGAGEMENTS 2026'!N2914,IF($H2914="PREENGAGE",IF($E2914="ATTRIBUE",'ENGAGEMENTS 2026'!AD2914,'ENGAGEMENTS 2026'!N2914),'ENGAGEMENTS 2026'!AD2914))))</f>
        <v/>
      </c>
      <c r="K2914" s="604">
        <f>IF(ISBLANK('ENGAGEMENTS 2026'!V2914),"",'ENGAGEMENTS 2026'!V2914)</f>
        <v/>
      </c>
      <c r="L2914" s="276">
        <f>IF($K2914="","",TODAY()-$K2914)</f>
        <v/>
      </c>
      <c r="M2914">
        <f>IF($A2914="","",IF($H2914="ENGAGE","Engagé",IF(AND($H2914="NON ENGAGE",OR($I2914="INFRUCTUEUX",$I2914="ANNULE")),"Clôturé sans suite","En cours")))</f>
        <v/>
      </c>
      <c r="N2914">
        <f>IF(ISBLANK('ENGAGEMENTS 2026'!B2914),"",'ENGAGEMENTS 2026'!K2914)</f>
        <v/>
      </c>
      <c r="O2914">
        <f>IF(ISBLANK('ENGAGEMENTS 2026'!B2914),"",'ENGAGEMENTS 2026'!L2914)</f>
        <v/>
      </c>
      <c r="P2914">
        <f>IF(ISBLANK('ENGAGEMENTS 2026'!B2914),"",'ENGAGEMENTS 2026'!J2914)</f>
        <v/>
      </c>
      <c r="Q2914">
        <f>IF($A2914="","",IF(OR($E2914="INFRUCTUEUX",$E2914="ANNULE"),$A2914&amp;"|"&amp;(COUNTIFS($A$2:$A2914,$A2914,$E$2:$E2914,"INFRUCTUEUX")+COUNTIFS($A$2:$A2914,$A2914,$E$2:$E2914,"ANNULE")),""))</f>
        <v/>
      </c>
    </row>
    <row r="2915">
      <c r="A2915">
        <f>IF(ISBLANK('ENGAGEMENTS 2026'!B2915),"",IF('ENGAGEMENTS 2026'!B2915="DTSI","DCT",'ENGAGEMENTS 2026'!B2915))</f>
        <v/>
      </c>
      <c r="B2915">
        <f>IF(ISBLANK('ENGAGEMENTS 2026'!B2915),"",'ENGAGEMENTS 2026'!C2915)</f>
        <v/>
      </c>
      <c r="C2915">
        <f>IF(ISBLANK('ENGAGEMENTS 2026'!B2915),"",'ENGAGEMENTS 2026'!D2915)</f>
        <v/>
      </c>
      <c r="D2915">
        <f>IF(ISBLANK('ENGAGEMENTS 2026'!B2915),"",'ENGAGEMENTS 2026'!F2915)</f>
        <v/>
      </c>
      <c r="E2915">
        <f>IF(ISBLANK('ENGAGEMENTS 2026'!B2915),"",'ENGAGEMENTS 2026'!H2915)</f>
        <v/>
      </c>
      <c r="F2915">
        <f>IF(ISBLANK('ENGAGEMENTS 2026'!B2915),"",'ENGAGEMENTS 2026'!I2915)</f>
        <v/>
      </c>
      <c r="G2915">
        <f>IF(ISBLANK('ENGAGEMENTS 2026'!B2915),"",'ENGAGEMENTS 2026'!L2915)</f>
        <v/>
      </c>
      <c r="H2915">
        <f>IF(ISBLANK('ENGAGEMENTS 2026'!B2915),"",'ENGAGEMENTS 2026'!AE2915)</f>
        <v/>
      </c>
      <c r="I2915">
        <f>IF(ISBLANK('ENGAGEMENTS 2026'!B2915),"",'ENGAGEMENTS 2026'!G2915)</f>
        <v/>
      </c>
      <c r="J2915" s="275">
        <f>IF(ISBLANK('ENGAGEMENTS 2026'!B2915),"",IF(AND(OR($E2915="INFRUCTUEUX",$E2915="ANNULE"),$C2915="AOO-M"),'ENGAGEMENTS 2026'!O2915,IF($H2915="EN COURS DE PREENGAGEMENT",'ENGAGEMENTS 2026'!N2915,IF($H2915="PREENGAGE",IF($E2915="ATTRIBUE",'ENGAGEMENTS 2026'!AD2915,'ENGAGEMENTS 2026'!N2915),'ENGAGEMENTS 2026'!AD2915))))</f>
        <v/>
      </c>
      <c r="K2915" s="604">
        <f>IF(ISBLANK('ENGAGEMENTS 2026'!V2915),"",'ENGAGEMENTS 2026'!V2915)</f>
        <v/>
      </c>
      <c r="L2915" s="276">
        <f>IF($K2915="","",TODAY()-$K2915)</f>
        <v/>
      </c>
      <c r="M2915">
        <f>IF($A2915="","",IF($H2915="ENGAGE","Engagé",IF(AND($H2915="NON ENGAGE",OR($I2915="INFRUCTUEUX",$I2915="ANNULE")),"Clôturé sans suite","En cours")))</f>
        <v/>
      </c>
      <c r="N2915">
        <f>IF(ISBLANK('ENGAGEMENTS 2026'!B2915),"",'ENGAGEMENTS 2026'!K2915)</f>
        <v/>
      </c>
      <c r="O2915">
        <f>IF(ISBLANK('ENGAGEMENTS 2026'!B2915),"",'ENGAGEMENTS 2026'!L2915)</f>
        <v/>
      </c>
      <c r="P2915">
        <f>IF(ISBLANK('ENGAGEMENTS 2026'!B2915),"",'ENGAGEMENTS 2026'!J2915)</f>
        <v/>
      </c>
      <c r="Q2915">
        <f>IF($A2915="","",IF(OR($E2915="INFRUCTUEUX",$E2915="ANNULE"),$A2915&amp;"|"&amp;(COUNTIFS($A$2:$A2915,$A2915,$E$2:$E2915,"INFRUCTUEUX")+COUNTIFS($A$2:$A2915,$A2915,$E$2:$E2915,"ANNULE")),""))</f>
        <v/>
      </c>
    </row>
    <row r="2916">
      <c r="A2916">
        <f>IF(ISBLANK('ENGAGEMENTS 2026'!B2916),"",IF('ENGAGEMENTS 2026'!B2916="DTSI","DCT",'ENGAGEMENTS 2026'!B2916))</f>
        <v/>
      </c>
      <c r="B2916">
        <f>IF(ISBLANK('ENGAGEMENTS 2026'!B2916),"",'ENGAGEMENTS 2026'!C2916)</f>
        <v/>
      </c>
      <c r="C2916">
        <f>IF(ISBLANK('ENGAGEMENTS 2026'!B2916),"",'ENGAGEMENTS 2026'!D2916)</f>
        <v/>
      </c>
      <c r="D2916">
        <f>IF(ISBLANK('ENGAGEMENTS 2026'!B2916),"",'ENGAGEMENTS 2026'!F2916)</f>
        <v/>
      </c>
      <c r="E2916">
        <f>IF(ISBLANK('ENGAGEMENTS 2026'!B2916),"",'ENGAGEMENTS 2026'!H2916)</f>
        <v/>
      </c>
      <c r="F2916">
        <f>IF(ISBLANK('ENGAGEMENTS 2026'!B2916),"",'ENGAGEMENTS 2026'!I2916)</f>
        <v/>
      </c>
      <c r="G2916">
        <f>IF(ISBLANK('ENGAGEMENTS 2026'!B2916),"",'ENGAGEMENTS 2026'!L2916)</f>
        <v/>
      </c>
      <c r="H2916">
        <f>IF(ISBLANK('ENGAGEMENTS 2026'!B2916),"",'ENGAGEMENTS 2026'!AE2916)</f>
        <v/>
      </c>
      <c r="I2916">
        <f>IF(ISBLANK('ENGAGEMENTS 2026'!B2916),"",'ENGAGEMENTS 2026'!G2916)</f>
        <v/>
      </c>
      <c r="J2916" s="275">
        <f>IF(ISBLANK('ENGAGEMENTS 2026'!B2916),"",IF(AND(OR($E2916="INFRUCTUEUX",$E2916="ANNULE"),$C2916="AOO-M"),'ENGAGEMENTS 2026'!O2916,IF($H2916="EN COURS DE PREENGAGEMENT",'ENGAGEMENTS 2026'!N2916,IF($H2916="PREENGAGE",IF($E2916="ATTRIBUE",'ENGAGEMENTS 2026'!AD2916,'ENGAGEMENTS 2026'!N2916),'ENGAGEMENTS 2026'!AD2916))))</f>
        <v/>
      </c>
      <c r="K2916" s="604">
        <f>IF(ISBLANK('ENGAGEMENTS 2026'!V2916),"",'ENGAGEMENTS 2026'!V2916)</f>
        <v/>
      </c>
      <c r="L2916" s="276">
        <f>IF($K2916="","",TODAY()-$K2916)</f>
        <v/>
      </c>
      <c r="M2916">
        <f>IF($A2916="","",IF($H2916="ENGAGE","Engagé",IF(AND($H2916="NON ENGAGE",OR($I2916="INFRUCTUEUX",$I2916="ANNULE")),"Clôturé sans suite","En cours")))</f>
        <v/>
      </c>
      <c r="N2916">
        <f>IF(ISBLANK('ENGAGEMENTS 2026'!B2916),"",'ENGAGEMENTS 2026'!K2916)</f>
        <v/>
      </c>
      <c r="O2916">
        <f>IF(ISBLANK('ENGAGEMENTS 2026'!B2916),"",'ENGAGEMENTS 2026'!L2916)</f>
        <v/>
      </c>
      <c r="P2916">
        <f>IF(ISBLANK('ENGAGEMENTS 2026'!B2916),"",'ENGAGEMENTS 2026'!J2916)</f>
        <v/>
      </c>
      <c r="Q2916">
        <f>IF($A2916="","",IF(OR($E2916="INFRUCTUEUX",$E2916="ANNULE"),$A2916&amp;"|"&amp;(COUNTIFS($A$2:$A2916,$A2916,$E$2:$E2916,"INFRUCTUEUX")+COUNTIFS($A$2:$A2916,$A2916,$E$2:$E2916,"ANNULE")),""))</f>
        <v/>
      </c>
    </row>
    <row r="2917">
      <c r="A2917">
        <f>IF(ISBLANK('ENGAGEMENTS 2026'!B2917),"",IF('ENGAGEMENTS 2026'!B2917="DTSI","DCT",'ENGAGEMENTS 2026'!B2917))</f>
        <v/>
      </c>
      <c r="B2917">
        <f>IF(ISBLANK('ENGAGEMENTS 2026'!B2917),"",'ENGAGEMENTS 2026'!C2917)</f>
        <v/>
      </c>
      <c r="C2917">
        <f>IF(ISBLANK('ENGAGEMENTS 2026'!B2917),"",'ENGAGEMENTS 2026'!D2917)</f>
        <v/>
      </c>
      <c r="D2917">
        <f>IF(ISBLANK('ENGAGEMENTS 2026'!B2917),"",'ENGAGEMENTS 2026'!F2917)</f>
        <v/>
      </c>
      <c r="E2917">
        <f>IF(ISBLANK('ENGAGEMENTS 2026'!B2917),"",'ENGAGEMENTS 2026'!H2917)</f>
        <v/>
      </c>
      <c r="F2917">
        <f>IF(ISBLANK('ENGAGEMENTS 2026'!B2917),"",'ENGAGEMENTS 2026'!I2917)</f>
        <v/>
      </c>
      <c r="G2917">
        <f>IF(ISBLANK('ENGAGEMENTS 2026'!B2917),"",'ENGAGEMENTS 2026'!L2917)</f>
        <v/>
      </c>
      <c r="H2917">
        <f>IF(ISBLANK('ENGAGEMENTS 2026'!B2917),"",'ENGAGEMENTS 2026'!AE2917)</f>
        <v/>
      </c>
      <c r="I2917">
        <f>IF(ISBLANK('ENGAGEMENTS 2026'!B2917),"",'ENGAGEMENTS 2026'!G2917)</f>
        <v/>
      </c>
      <c r="J2917" s="275">
        <f>IF(ISBLANK('ENGAGEMENTS 2026'!B2917),"",IF(AND(OR($E2917="INFRUCTUEUX",$E2917="ANNULE"),$C2917="AOO-M"),'ENGAGEMENTS 2026'!O2917,IF($H2917="EN COURS DE PREENGAGEMENT",'ENGAGEMENTS 2026'!N2917,IF($H2917="PREENGAGE",IF($E2917="ATTRIBUE",'ENGAGEMENTS 2026'!AD2917,'ENGAGEMENTS 2026'!N2917),'ENGAGEMENTS 2026'!AD2917))))</f>
        <v/>
      </c>
      <c r="K2917" s="604">
        <f>IF(ISBLANK('ENGAGEMENTS 2026'!V2917),"",'ENGAGEMENTS 2026'!V2917)</f>
        <v/>
      </c>
      <c r="L2917" s="276">
        <f>IF($K2917="","",TODAY()-$K2917)</f>
        <v/>
      </c>
      <c r="M2917">
        <f>IF($A2917="","",IF($H2917="ENGAGE","Engagé",IF(AND($H2917="NON ENGAGE",OR($I2917="INFRUCTUEUX",$I2917="ANNULE")),"Clôturé sans suite","En cours")))</f>
        <v/>
      </c>
      <c r="N2917">
        <f>IF(ISBLANK('ENGAGEMENTS 2026'!B2917),"",'ENGAGEMENTS 2026'!K2917)</f>
        <v/>
      </c>
      <c r="O2917">
        <f>IF(ISBLANK('ENGAGEMENTS 2026'!B2917),"",'ENGAGEMENTS 2026'!L2917)</f>
        <v/>
      </c>
      <c r="P2917">
        <f>IF(ISBLANK('ENGAGEMENTS 2026'!B2917),"",'ENGAGEMENTS 2026'!J2917)</f>
        <v/>
      </c>
      <c r="Q2917">
        <f>IF($A2917="","",IF(OR($E2917="INFRUCTUEUX",$E2917="ANNULE"),$A2917&amp;"|"&amp;(COUNTIFS($A$2:$A2917,$A2917,$E$2:$E2917,"INFRUCTUEUX")+COUNTIFS($A$2:$A2917,$A2917,$E$2:$E2917,"ANNULE")),""))</f>
        <v/>
      </c>
    </row>
    <row r="2918">
      <c r="A2918">
        <f>IF(ISBLANK('ENGAGEMENTS 2026'!B2918),"",IF('ENGAGEMENTS 2026'!B2918="DTSI","DCT",'ENGAGEMENTS 2026'!B2918))</f>
        <v/>
      </c>
      <c r="B2918">
        <f>IF(ISBLANK('ENGAGEMENTS 2026'!B2918),"",'ENGAGEMENTS 2026'!C2918)</f>
        <v/>
      </c>
      <c r="C2918">
        <f>IF(ISBLANK('ENGAGEMENTS 2026'!B2918),"",'ENGAGEMENTS 2026'!D2918)</f>
        <v/>
      </c>
      <c r="D2918">
        <f>IF(ISBLANK('ENGAGEMENTS 2026'!B2918),"",'ENGAGEMENTS 2026'!F2918)</f>
        <v/>
      </c>
      <c r="E2918">
        <f>IF(ISBLANK('ENGAGEMENTS 2026'!B2918),"",'ENGAGEMENTS 2026'!H2918)</f>
        <v/>
      </c>
      <c r="F2918">
        <f>IF(ISBLANK('ENGAGEMENTS 2026'!B2918),"",'ENGAGEMENTS 2026'!I2918)</f>
        <v/>
      </c>
      <c r="G2918">
        <f>IF(ISBLANK('ENGAGEMENTS 2026'!B2918),"",'ENGAGEMENTS 2026'!L2918)</f>
        <v/>
      </c>
      <c r="H2918">
        <f>IF(ISBLANK('ENGAGEMENTS 2026'!B2918),"",'ENGAGEMENTS 2026'!AE2918)</f>
        <v/>
      </c>
      <c r="I2918">
        <f>IF(ISBLANK('ENGAGEMENTS 2026'!B2918),"",'ENGAGEMENTS 2026'!G2918)</f>
        <v/>
      </c>
      <c r="J2918" s="275">
        <f>IF(ISBLANK('ENGAGEMENTS 2026'!B2918),"",IF(AND(OR($E2918="INFRUCTUEUX",$E2918="ANNULE"),$C2918="AOO-M"),'ENGAGEMENTS 2026'!O2918,IF($H2918="EN COURS DE PREENGAGEMENT",'ENGAGEMENTS 2026'!N2918,IF($H2918="PREENGAGE",IF($E2918="ATTRIBUE",'ENGAGEMENTS 2026'!AD2918,'ENGAGEMENTS 2026'!N2918),'ENGAGEMENTS 2026'!AD2918))))</f>
        <v/>
      </c>
      <c r="K2918" s="604">
        <f>IF(ISBLANK('ENGAGEMENTS 2026'!V2918),"",'ENGAGEMENTS 2026'!V2918)</f>
        <v/>
      </c>
      <c r="L2918" s="276">
        <f>IF($K2918="","",TODAY()-$K2918)</f>
        <v/>
      </c>
      <c r="M2918">
        <f>IF($A2918="","",IF($H2918="ENGAGE","Engagé",IF(AND($H2918="NON ENGAGE",OR($I2918="INFRUCTUEUX",$I2918="ANNULE")),"Clôturé sans suite","En cours")))</f>
        <v/>
      </c>
      <c r="N2918">
        <f>IF(ISBLANK('ENGAGEMENTS 2026'!B2918),"",'ENGAGEMENTS 2026'!K2918)</f>
        <v/>
      </c>
      <c r="O2918">
        <f>IF(ISBLANK('ENGAGEMENTS 2026'!B2918),"",'ENGAGEMENTS 2026'!L2918)</f>
        <v/>
      </c>
      <c r="P2918">
        <f>IF(ISBLANK('ENGAGEMENTS 2026'!B2918),"",'ENGAGEMENTS 2026'!J2918)</f>
        <v/>
      </c>
      <c r="Q2918">
        <f>IF($A2918="","",IF(OR($E2918="INFRUCTUEUX",$E2918="ANNULE"),$A2918&amp;"|"&amp;(COUNTIFS($A$2:$A2918,$A2918,$E$2:$E2918,"INFRUCTUEUX")+COUNTIFS($A$2:$A2918,$A2918,$E$2:$E2918,"ANNULE")),""))</f>
        <v/>
      </c>
    </row>
    <row r="2919">
      <c r="A2919">
        <f>IF(ISBLANK('ENGAGEMENTS 2026'!B2919),"",IF('ENGAGEMENTS 2026'!B2919="DTSI","DCT",'ENGAGEMENTS 2026'!B2919))</f>
        <v/>
      </c>
      <c r="B2919">
        <f>IF(ISBLANK('ENGAGEMENTS 2026'!B2919),"",'ENGAGEMENTS 2026'!C2919)</f>
        <v/>
      </c>
      <c r="C2919">
        <f>IF(ISBLANK('ENGAGEMENTS 2026'!B2919),"",'ENGAGEMENTS 2026'!D2919)</f>
        <v/>
      </c>
      <c r="D2919">
        <f>IF(ISBLANK('ENGAGEMENTS 2026'!B2919),"",'ENGAGEMENTS 2026'!F2919)</f>
        <v/>
      </c>
      <c r="E2919">
        <f>IF(ISBLANK('ENGAGEMENTS 2026'!B2919),"",'ENGAGEMENTS 2026'!H2919)</f>
        <v/>
      </c>
      <c r="F2919">
        <f>IF(ISBLANK('ENGAGEMENTS 2026'!B2919),"",'ENGAGEMENTS 2026'!I2919)</f>
        <v/>
      </c>
      <c r="G2919">
        <f>IF(ISBLANK('ENGAGEMENTS 2026'!B2919),"",'ENGAGEMENTS 2026'!L2919)</f>
        <v/>
      </c>
      <c r="H2919">
        <f>IF(ISBLANK('ENGAGEMENTS 2026'!B2919),"",'ENGAGEMENTS 2026'!AE2919)</f>
        <v/>
      </c>
      <c r="I2919">
        <f>IF(ISBLANK('ENGAGEMENTS 2026'!B2919),"",'ENGAGEMENTS 2026'!G2919)</f>
        <v/>
      </c>
      <c r="J2919" s="275">
        <f>IF(ISBLANK('ENGAGEMENTS 2026'!B2919),"",IF(AND(OR($E2919="INFRUCTUEUX",$E2919="ANNULE"),$C2919="AOO-M"),'ENGAGEMENTS 2026'!O2919,IF($H2919="EN COURS DE PREENGAGEMENT",'ENGAGEMENTS 2026'!N2919,IF($H2919="PREENGAGE",IF($E2919="ATTRIBUE",'ENGAGEMENTS 2026'!AD2919,'ENGAGEMENTS 2026'!N2919),'ENGAGEMENTS 2026'!AD2919))))</f>
        <v/>
      </c>
      <c r="K2919" s="604">
        <f>IF(ISBLANK('ENGAGEMENTS 2026'!V2919),"",'ENGAGEMENTS 2026'!V2919)</f>
        <v/>
      </c>
      <c r="L2919" s="276">
        <f>IF($K2919="","",TODAY()-$K2919)</f>
        <v/>
      </c>
      <c r="M2919">
        <f>IF($A2919="","",IF($H2919="ENGAGE","Engagé",IF(AND($H2919="NON ENGAGE",OR($I2919="INFRUCTUEUX",$I2919="ANNULE")),"Clôturé sans suite","En cours")))</f>
        <v/>
      </c>
      <c r="N2919">
        <f>IF(ISBLANK('ENGAGEMENTS 2026'!B2919),"",'ENGAGEMENTS 2026'!K2919)</f>
        <v/>
      </c>
      <c r="O2919">
        <f>IF(ISBLANK('ENGAGEMENTS 2026'!B2919),"",'ENGAGEMENTS 2026'!L2919)</f>
        <v/>
      </c>
      <c r="P2919">
        <f>IF(ISBLANK('ENGAGEMENTS 2026'!B2919),"",'ENGAGEMENTS 2026'!J2919)</f>
        <v/>
      </c>
      <c r="Q2919">
        <f>IF($A2919="","",IF(OR($E2919="INFRUCTUEUX",$E2919="ANNULE"),$A2919&amp;"|"&amp;(COUNTIFS($A$2:$A2919,$A2919,$E$2:$E2919,"INFRUCTUEUX")+COUNTIFS($A$2:$A2919,$A2919,$E$2:$E2919,"ANNULE")),""))</f>
        <v/>
      </c>
    </row>
    <row r="2920">
      <c r="A2920">
        <f>IF(ISBLANK('ENGAGEMENTS 2026'!B2920),"",IF('ENGAGEMENTS 2026'!B2920="DTSI","DCT",'ENGAGEMENTS 2026'!B2920))</f>
        <v/>
      </c>
      <c r="B2920">
        <f>IF(ISBLANK('ENGAGEMENTS 2026'!B2920),"",'ENGAGEMENTS 2026'!C2920)</f>
        <v/>
      </c>
      <c r="C2920">
        <f>IF(ISBLANK('ENGAGEMENTS 2026'!B2920),"",'ENGAGEMENTS 2026'!D2920)</f>
        <v/>
      </c>
      <c r="D2920">
        <f>IF(ISBLANK('ENGAGEMENTS 2026'!B2920),"",'ENGAGEMENTS 2026'!F2920)</f>
        <v/>
      </c>
      <c r="E2920">
        <f>IF(ISBLANK('ENGAGEMENTS 2026'!B2920),"",'ENGAGEMENTS 2026'!H2920)</f>
        <v/>
      </c>
      <c r="F2920">
        <f>IF(ISBLANK('ENGAGEMENTS 2026'!B2920),"",'ENGAGEMENTS 2026'!I2920)</f>
        <v/>
      </c>
      <c r="G2920">
        <f>IF(ISBLANK('ENGAGEMENTS 2026'!B2920),"",'ENGAGEMENTS 2026'!L2920)</f>
        <v/>
      </c>
      <c r="H2920">
        <f>IF(ISBLANK('ENGAGEMENTS 2026'!B2920),"",'ENGAGEMENTS 2026'!AE2920)</f>
        <v/>
      </c>
      <c r="I2920">
        <f>IF(ISBLANK('ENGAGEMENTS 2026'!B2920),"",'ENGAGEMENTS 2026'!G2920)</f>
        <v/>
      </c>
      <c r="J2920" s="275">
        <f>IF(ISBLANK('ENGAGEMENTS 2026'!B2920),"",IF(AND(OR($E2920="INFRUCTUEUX",$E2920="ANNULE"),$C2920="AOO-M"),'ENGAGEMENTS 2026'!O2920,IF($H2920="EN COURS DE PREENGAGEMENT",'ENGAGEMENTS 2026'!N2920,IF($H2920="PREENGAGE",IF($E2920="ATTRIBUE",'ENGAGEMENTS 2026'!AD2920,'ENGAGEMENTS 2026'!N2920),'ENGAGEMENTS 2026'!AD2920))))</f>
        <v/>
      </c>
      <c r="K2920" s="604">
        <f>IF(ISBLANK('ENGAGEMENTS 2026'!V2920),"",'ENGAGEMENTS 2026'!V2920)</f>
        <v/>
      </c>
      <c r="L2920" s="276">
        <f>IF($K2920="","",TODAY()-$K2920)</f>
        <v/>
      </c>
      <c r="M2920">
        <f>IF($A2920="","",IF($H2920="ENGAGE","Engagé",IF(AND($H2920="NON ENGAGE",OR($I2920="INFRUCTUEUX",$I2920="ANNULE")),"Clôturé sans suite","En cours")))</f>
        <v/>
      </c>
      <c r="N2920">
        <f>IF(ISBLANK('ENGAGEMENTS 2026'!B2920),"",'ENGAGEMENTS 2026'!K2920)</f>
        <v/>
      </c>
      <c r="O2920">
        <f>IF(ISBLANK('ENGAGEMENTS 2026'!B2920),"",'ENGAGEMENTS 2026'!L2920)</f>
        <v/>
      </c>
      <c r="P2920">
        <f>IF(ISBLANK('ENGAGEMENTS 2026'!B2920),"",'ENGAGEMENTS 2026'!J2920)</f>
        <v/>
      </c>
      <c r="Q2920">
        <f>IF($A2920="","",IF(OR($E2920="INFRUCTUEUX",$E2920="ANNULE"),$A2920&amp;"|"&amp;(COUNTIFS($A$2:$A2920,$A2920,$E$2:$E2920,"INFRUCTUEUX")+COUNTIFS($A$2:$A2920,$A2920,$E$2:$E2920,"ANNULE")),""))</f>
        <v/>
      </c>
    </row>
    <row r="2921">
      <c r="A2921">
        <f>IF(ISBLANK('ENGAGEMENTS 2026'!B2921),"",IF('ENGAGEMENTS 2026'!B2921="DTSI","DCT",'ENGAGEMENTS 2026'!B2921))</f>
        <v/>
      </c>
      <c r="B2921">
        <f>IF(ISBLANK('ENGAGEMENTS 2026'!B2921),"",'ENGAGEMENTS 2026'!C2921)</f>
        <v/>
      </c>
      <c r="C2921">
        <f>IF(ISBLANK('ENGAGEMENTS 2026'!B2921),"",'ENGAGEMENTS 2026'!D2921)</f>
        <v/>
      </c>
      <c r="D2921">
        <f>IF(ISBLANK('ENGAGEMENTS 2026'!B2921),"",'ENGAGEMENTS 2026'!F2921)</f>
        <v/>
      </c>
      <c r="E2921">
        <f>IF(ISBLANK('ENGAGEMENTS 2026'!B2921),"",'ENGAGEMENTS 2026'!H2921)</f>
        <v/>
      </c>
      <c r="F2921">
        <f>IF(ISBLANK('ENGAGEMENTS 2026'!B2921),"",'ENGAGEMENTS 2026'!I2921)</f>
        <v/>
      </c>
      <c r="G2921">
        <f>IF(ISBLANK('ENGAGEMENTS 2026'!B2921),"",'ENGAGEMENTS 2026'!L2921)</f>
        <v/>
      </c>
      <c r="H2921">
        <f>IF(ISBLANK('ENGAGEMENTS 2026'!B2921),"",'ENGAGEMENTS 2026'!AE2921)</f>
        <v/>
      </c>
      <c r="I2921">
        <f>IF(ISBLANK('ENGAGEMENTS 2026'!B2921),"",'ENGAGEMENTS 2026'!G2921)</f>
        <v/>
      </c>
      <c r="J2921" s="275">
        <f>IF(ISBLANK('ENGAGEMENTS 2026'!B2921),"",IF(AND(OR($E2921="INFRUCTUEUX",$E2921="ANNULE"),$C2921="AOO-M"),'ENGAGEMENTS 2026'!O2921,IF($H2921="EN COURS DE PREENGAGEMENT",'ENGAGEMENTS 2026'!N2921,IF($H2921="PREENGAGE",IF($E2921="ATTRIBUE",'ENGAGEMENTS 2026'!AD2921,'ENGAGEMENTS 2026'!N2921),'ENGAGEMENTS 2026'!AD2921))))</f>
        <v/>
      </c>
      <c r="K2921" s="604">
        <f>IF(ISBLANK('ENGAGEMENTS 2026'!V2921),"",'ENGAGEMENTS 2026'!V2921)</f>
        <v/>
      </c>
      <c r="L2921" s="276">
        <f>IF($K2921="","",TODAY()-$K2921)</f>
        <v/>
      </c>
      <c r="M2921">
        <f>IF($A2921="","",IF($H2921="ENGAGE","Engagé",IF(AND($H2921="NON ENGAGE",OR($I2921="INFRUCTUEUX",$I2921="ANNULE")),"Clôturé sans suite","En cours")))</f>
        <v/>
      </c>
      <c r="N2921">
        <f>IF(ISBLANK('ENGAGEMENTS 2026'!B2921),"",'ENGAGEMENTS 2026'!K2921)</f>
        <v/>
      </c>
      <c r="O2921">
        <f>IF(ISBLANK('ENGAGEMENTS 2026'!B2921),"",'ENGAGEMENTS 2026'!L2921)</f>
        <v/>
      </c>
      <c r="P2921">
        <f>IF(ISBLANK('ENGAGEMENTS 2026'!B2921),"",'ENGAGEMENTS 2026'!J2921)</f>
        <v/>
      </c>
      <c r="Q2921">
        <f>IF($A2921="","",IF(OR($E2921="INFRUCTUEUX",$E2921="ANNULE"),$A2921&amp;"|"&amp;(COUNTIFS($A$2:$A2921,$A2921,$E$2:$E2921,"INFRUCTUEUX")+COUNTIFS($A$2:$A2921,$A2921,$E$2:$E2921,"ANNULE")),""))</f>
        <v/>
      </c>
    </row>
    <row r="2922">
      <c r="A2922">
        <f>IF(ISBLANK('ENGAGEMENTS 2026'!B2922),"",IF('ENGAGEMENTS 2026'!B2922="DTSI","DCT",'ENGAGEMENTS 2026'!B2922))</f>
        <v/>
      </c>
      <c r="B2922">
        <f>IF(ISBLANK('ENGAGEMENTS 2026'!B2922),"",'ENGAGEMENTS 2026'!C2922)</f>
        <v/>
      </c>
      <c r="C2922">
        <f>IF(ISBLANK('ENGAGEMENTS 2026'!B2922),"",'ENGAGEMENTS 2026'!D2922)</f>
        <v/>
      </c>
      <c r="D2922">
        <f>IF(ISBLANK('ENGAGEMENTS 2026'!B2922),"",'ENGAGEMENTS 2026'!F2922)</f>
        <v/>
      </c>
      <c r="E2922">
        <f>IF(ISBLANK('ENGAGEMENTS 2026'!B2922),"",'ENGAGEMENTS 2026'!H2922)</f>
        <v/>
      </c>
      <c r="F2922">
        <f>IF(ISBLANK('ENGAGEMENTS 2026'!B2922),"",'ENGAGEMENTS 2026'!I2922)</f>
        <v/>
      </c>
      <c r="G2922">
        <f>IF(ISBLANK('ENGAGEMENTS 2026'!B2922),"",'ENGAGEMENTS 2026'!L2922)</f>
        <v/>
      </c>
      <c r="H2922">
        <f>IF(ISBLANK('ENGAGEMENTS 2026'!B2922),"",'ENGAGEMENTS 2026'!AE2922)</f>
        <v/>
      </c>
      <c r="I2922">
        <f>IF(ISBLANK('ENGAGEMENTS 2026'!B2922),"",'ENGAGEMENTS 2026'!G2922)</f>
        <v/>
      </c>
      <c r="J2922" s="275">
        <f>IF(ISBLANK('ENGAGEMENTS 2026'!B2922),"",IF(AND(OR($E2922="INFRUCTUEUX",$E2922="ANNULE"),$C2922="AOO-M"),'ENGAGEMENTS 2026'!O2922,IF($H2922="EN COURS DE PREENGAGEMENT",'ENGAGEMENTS 2026'!N2922,IF($H2922="PREENGAGE",IF($E2922="ATTRIBUE",'ENGAGEMENTS 2026'!AD2922,'ENGAGEMENTS 2026'!N2922),'ENGAGEMENTS 2026'!AD2922))))</f>
        <v/>
      </c>
      <c r="K2922" s="604">
        <f>IF(ISBLANK('ENGAGEMENTS 2026'!V2922),"",'ENGAGEMENTS 2026'!V2922)</f>
        <v/>
      </c>
      <c r="L2922" s="276">
        <f>IF($K2922="","",TODAY()-$K2922)</f>
        <v/>
      </c>
      <c r="M2922">
        <f>IF($A2922="","",IF($H2922="ENGAGE","Engagé",IF(AND($H2922="NON ENGAGE",OR($I2922="INFRUCTUEUX",$I2922="ANNULE")),"Clôturé sans suite","En cours")))</f>
        <v/>
      </c>
      <c r="N2922">
        <f>IF(ISBLANK('ENGAGEMENTS 2026'!B2922),"",'ENGAGEMENTS 2026'!K2922)</f>
        <v/>
      </c>
      <c r="O2922">
        <f>IF(ISBLANK('ENGAGEMENTS 2026'!B2922),"",'ENGAGEMENTS 2026'!L2922)</f>
        <v/>
      </c>
      <c r="P2922">
        <f>IF(ISBLANK('ENGAGEMENTS 2026'!B2922),"",'ENGAGEMENTS 2026'!J2922)</f>
        <v/>
      </c>
      <c r="Q2922">
        <f>IF($A2922="","",IF(OR($E2922="INFRUCTUEUX",$E2922="ANNULE"),$A2922&amp;"|"&amp;(COUNTIFS($A$2:$A2922,$A2922,$E$2:$E2922,"INFRUCTUEUX")+COUNTIFS($A$2:$A2922,$A2922,$E$2:$E2922,"ANNULE")),""))</f>
        <v/>
      </c>
    </row>
    <row r="2923">
      <c r="A2923">
        <f>IF(ISBLANK('ENGAGEMENTS 2026'!B2923),"",IF('ENGAGEMENTS 2026'!B2923="DTSI","DCT",'ENGAGEMENTS 2026'!B2923))</f>
        <v/>
      </c>
      <c r="B2923">
        <f>IF(ISBLANK('ENGAGEMENTS 2026'!B2923),"",'ENGAGEMENTS 2026'!C2923)</f>
        <v/>
      </c>
      <c r="C2923">
        <f>IF(ISBLANK('ENGAGEMENTS 2026'!B2923),"",'ENGAGEMENTS 2026'!D2923)</f>
        <v/>
      </c>
      <c r="D2923">
        <f>IF(ISBLANK('ENGAGEMENTS 2026'!B2923),"",'ENGAGEMENTS 2026'!F2923)</f>
        <v/>
      </c>
      <c r="E2923">
        <f>IF(ISBLANK('ENGAGEMENTS 2026'!B2923),"",'ENGAGEMENTS 2026'!H2923)</f>
        <v/>
      </c>
      <c r="F2923">
        <f>IF(ISBLANK('ENGAGEMENTS 2026'!B2923),"",'ENGAGEMENTS 2026'!I2923)</f>
        <v/>
      </c>
      <c r="G2923">
        <f>IF(ISBLANK('ENGAGEMENTS 2026'!B2923),"",'ENGAGEMENTS 2026'!L2923)</f>
        <v/>
      </c>
      <c r="H2923">
        <f>IF(ISBLANK('ENGAGEMENTS 2026'!B2923),"",'ENGAGEMENTS 2026'!AE2923)</f>
        <v/>
      </c>
      <c r="I2923">
        <f>IF(ISBLANK('ENGAGEMENTS 2026'!B2923),"",'ENGAGEMENTS 2026'!G2923)</f>
        <v/>
      </c>
      <c r="J2923" s="275">
        <f>IF(ISBLANK('ENGAGEMENTS 2026'!B2923),"",IF(AND(OR($E2923="INFRUCTUEUX",$E2923="ANNULE"),$C2923="AOO-M"),'ENGAGEMENTS 2026'!O2923,IF($H2923="EN COURS DE PREENGAGEMENT",'ENGAGEMENTS 2026'!N2923,IF($H2923="PREENGAGE",IF($E2923="ATTRIBUE",'ENGAGEMENTS 2026'!AD2923,'ENGAGEMENTS 2026'!N2923),'ENGAGEMENTS 2026'!AD2923))))</f>
        <v/>
      </c>
      <c r="K2923" s="604">
        <f>IF(ISBLANK('ENGAGEMENTS 2026'!V2923),"",'ENGAGEMENTS 2026'!V2923)</f>
        <v/>
      </c>
      <c r="L2923" s="276">
        <f>IF($K2923="","",TODAY()-$K2923)</f>
        <v/>
      </c>
      <c r="M2923">
        <f>IF($A2923="","",IF($H2923="ENGAGE","Engagé",IF(AND($H2923="NON ENGAGE",OR($I2923="INFRUCTUEUX",$I2923="ANNULE")),"Clôturé sans suite","En cours")))</f>
        <v/>
      </c>
      <c r="N2923">
        <f>IF(ISBLANK('ENGAGEMENTS 2026'!B2923),"",'ENGAGEMENTS 2026'!K2923)</f>
        <v/>
      </c>
      <c r="O2923">
        <f>IF(ISBLANK('ENGAGEMENTS 2026'!B2923),"",'ENGAGEMENTS 2026'!L2923)</f>
        <v/>
      </c>
      <c r="P2923">
        <f>IF(ISBLANK('ENGAGEMENTS 2026'!B2923),"",'ENGAGEMENTS 2026'!J2923)</f>
        <v/>
      </c>
      <c r="Q2923">
        <f>IF($A2923="","",IF(OR($E2923="INFRUCTUEUX",$E2923="ANNULE"),$A2923&amp;"|"&amp;(COUNTIFS($A$2:$A2923,$A2923,$E$2:$E2923,"INFRUCTUEUX")+COUNTIFS($A$2:$A2923,$A2923,$E$2:$E2923,"ANNULE")),""))</f>
        <v/>
      </c>
    </row>
    <row r="2924">
      <c r="A2924">
        <f>IF(ISBLANK('ENGAGEMENTS 2026'!B2924),"",IF('ENGAGEMENTS 2026'!B2924="DTSI","DCT",'ENGAGEMENTS 2026'!B2924))</f>
        <v/>
      </c>
      <c r="B2924">
        <f>IF(ISBLANK('ENGAGEMENTS 2026'!B2924),"",'ENGAGEMENTS 2026'!C2924)</f>
        <v/>
      </c>
      <c r="C2924">
        <f>IF(ISBLANK('ENGAGEMENTS 2026'!B2924),"",'ENGAGEMENTS 2026'!D2924)</f>
        <v/>
      </c>
      <c r="D2924">
        <f>IF(ISBLANK('ENGAGEMENTS 2026'!B2924),"",'ENGAGEMENTS 2026'!F2924)</f>
        <v/>
      </c>
      <c r="E2924">
        <f>IF(ISBLANK('ENGAGEMENTS 2026'!B2924),"",'ENGAGEMENTS 2026'!H2924)</f>
        <v/>
      </c>
      <c r="F2924">
        <f>IF(ISBLANK('ENGAGEMENTS 2026'!B2924),"",'ENGAGEMENTS 2026'!I2924)</f>
        <v/>
      </c>
      <c r="G2924">
        <f>IF(ISBLANK('ENGAGEMENTS 2026'!B2924),"",'ENGAGEMENTS 2026'!L2924)</f>
        <v/>
      </c>
      <c r="H2924">
        <f>IF(ISBLANK('ENGAGEMENTS 2026'!B2924),"",'ENGAGEMENTS 2026'!AE2924)</f>
        <v/>
      </c>
      <c r="I2924">
        <f>IF(ISBLANK('ENGAGEMENTS 2026'!B2924),"",'ENGAGEMENTS 2026'!G2924)</f>
        <v/>
      </c>
      <c r="J2924" s="275">
        <f>IF(ISBLANK('ENGAGEMENTS 2026'!B2924),"",IF(AND(OR($E2924="INFRUCTUEUX",$E2924="ANNULE"),$C2924="AOO-M"),'ENGAGEMENTS 2026'!O2924,IF($H2924="EN COURS DE PREENGAGEMENT",'ENGAGEMENTS 2026'!N2924,IF($H2924="PREENGAGE",IF($E2924="ATTRIBUE",'ENGAGEMENTS 2026'!AD2924,'ENGAGEMENTS 2026'!N2924),'ENGAGEMENTS 2026'!AD2924))))</f>
        <v/>
      </c>
      <c r="K2924" s="604">
        <f>IF(ISBLANK('ENGAGEMENTS 2026'!V2924),"",'ENGAGEMENTS 2026'!V2924)</f>
        <v/>
      </c>
      <c r="L2924" s="276">
        <f>IF($K2924="","",TODAY()-$K2924)</f>
        <v/>
      </c>
      <c r="M2924">
        <f>IF($A2924="","",IF($H2924="ENGAGE","Engagé",IF(AND($H2924="NON ENGAGE",OR($I2924="INFRUCTUEUX",$I2924="ANNULE")),"Clôturé sans suite","En cours")))</f>
        <v/>
      </c>
      <c r="N2924">
        <f>IF(ISBLANK('ENGAGEMENTS 2026'!B2924),"",'ENGAGEMENTS 2026'!K2924)</f>
        <v/>
      </c>
      <c r="O2924">
        <f>IF(ISBLANK('ENGAGEMENTS 2026'!B2924),"",'ENGAGEMENTS 2026'!L2924)</f>
        <v/>
      </c>
      <c r="P2924">
        <f>IF(ISBLANK('ENGAGEMENTS 2026'!B2924),"",'ENGAGEMENTS 2026'!J2924)</f>
        <v/>
      </c>
      <c r="Q2924">
        <f>IF($A2924="","",IF(OR($E2924="INFRUCTUEUX",$E2924="ANNULE"),$A2924&amp;"|"&amp;(COUNTIFS($A$2:$A2924,$A2924,$E$2:$E2924,"INFRUCTUEUX")+COUNTIFS($A$2:$A2924,$A2924,$E$2:$E2924,"ANNULE")),""))</f>
        <v/>
      </c>
    </row>
    <row r="2925">
      <c r="A2925">
        <f>IF(ISBLANK('ENGAGEMENTS 2026'!B2925),"",IF('ENGAGEMENTS 2026'!B2925="DTSI","DCT",'ENGAGEMENTS 2026'!B2925))</f>
        <v/>
      </c>
      <c r="B2925">
        <f>IF(ISBLANK('ENGAGEMENTS 2026'!B2925),"",'ENGAGEMENTS 2026'!C2925)</f>
        <v/>
      </c>
      <c r="C2925">
        <f>IF(ISBLANK('ENGAGEMENTS 2026'!B2925),"",'ENGAGEMENTS 2026'!D2925)</f>
        <v/>
      </c>
      <c r="D2925">
        <f>IF(ISBLANK('ENGAGEMENTS 2026'!B2925),"",'ENGAGEMENTS 2026'!F2925)</f>
        <v/>
      </c>
      <c r="E2925">
        <f>IF(ISBLANK('ENGAGEMENTS 2026'!B2925),"",'ENGAGEMENTS 2026'!H2925)</f>
        <v/>
      </c>
      <c r="F2925">
        <f>IF(ISBLANK('ENGAGEMENTS 2026'!B2925),"",'ENGAGEMENTS 2026'!I2925)</f>
        <v/>
      </c>
      <c r="G2925">
        <f>IF(ISBLANK('ENGAGEMENTS 2026'!B2925),"",'ENGAGEMENTS 2026'!L2925)</f>
        <v/>
      </c>
      <c r="H2925">
        <f>IF(ISBLANK('ENGAGEMENTS 2026'!B2925),"",'ENGAGEMENTS 2026'!AE2925)</f>
        <v/>
      </c>
      <c r="I2925">
        <f>IF(ISBLANK('ENGAGEMENTS 2026'!B2925),"",'ENGAGEMENTS 2026'!G2925)</f>
        <v/>
      </c>
      <c r="J2925" s="275">
        <f>IF(ISBLANK('ENGAGEMENTS 2026'!B2925),"",IF(AND(OR($E2925="INFRUCTUEUX",$E2925="ANNULE"),$C2925="AOO-M"),'ENGAGEMENTS 2026'!O2925,IF($H2925="EN COURS DE PREENGAGEMENT",'ENGAGEMENTS 2026'!N2925,IF($H2925="PREENGAGE",IF($E2925="ATTRIBUE",'ENGAGEMENTS 2026'!AD2925,'ENGAGEMENTS 2026'!N2925),'ENGAGEMENTS 2026'!AD2925))))</f>
        <v/>
      </c>
      <c r="K2925" s="604">
        <f>IF(ISBLANK('ENGAGEMENTS 2026'!V2925),"",'ENGAGEMENTS 2026'!V2925)</f>
        <v/>
      </c>
      <c r="L2925" s="276">
        <f>IF($K2925="","",TODAY()-$K2925)</f>
        <v/>
      </c>
      <c r="M2925">
        <f>IF($A2925="","",IF($H2925="ENGAGE","Engagé",IF(AND($H2925="NON ENGAGE",OR($I2925="INFRUCTUEUX",$I2925="ANNULE")),"Clôturé sans suite","En cours")))</f>
        <v/>
      </c>
      <c r="N2925">
        <f>IF(ISBLANK('ENGAGEMENTS 2026'!B2925),"",'ENGAGEMENTS 2026'!K2925)</f>
        <v/>
      </c>
      <c r="O2925">
        <f>IF(ISBLANK('ENGAGEMENTS 2026'!B2925),"",'ENGAGEMENTS 2026'!L2925)</f>
        <v/>
      </c>
      <c r="P2925">
        <f>IF(ISBLANK('ENGAGEMENTS 2026'!B2925),"",'ENGAGEMENTS 2026'!J2925)</f>
        <v/>
      </c>
      <c r="Q2925">
        <f>IF($A2925="","",IF(OR($E2925="INFRUCTUEUX",$E2925="ANNULE"),$A2925&amp;"|"&amp;(COUNTIFS($A$2:$A2925,$A2925,$E$2:$E2925,"INFRUCTUEUX")+COUNTIFS($A$2:$A2925,$A2925,$E$2:$E2925,"ANNULE")),""))</f>
        <v/>
      </c>
    </row>
    <row r="2926">
      <c r="A2926">
        <f>IF(ISBLANK('ENGAGEMENTS 2026'!B2926),"",IF('ENGAGEMENTS 2026'!B2926="DTSI","DCT",'ENGAGEMENTS 2026'!B2926))</f>
        <v/>
      </c>
      <c r="B2926">
        <f>IF(ISBLANK('ENGAGEMENTS 2026'!B2926),"",'ENGAGEMENTS 2026'!C2926)</f>
        <v/>
      </c>
      <c r="C2926">
        <f>IF(ISBLANK('ENGAGEMENTS 2026'!B2926),"",'ENGAGEMENTS 2026'!D2926)</f>
        <v/>
      </c>
      <c r="D2926">
        <f>IF(ISBLANK('ENGAGEMENTS 2026'!B2926),"",'ENGAGEMENTS 2026'!F2926)</f>
        <v/>
      </c>
      <c r="E2926">
        <f>IF(ISBLANK('ENGAGEMENTS 2026'!B2926),"",'ENGAGEMENTS 2026'!H2926)</f>
        <v/>
      </c>
      <c r="F2926">
        <f>IF(ISBLANK('ENGAGEMENTS 2026'!B2926),"",'ENGAGEMENTS 2026'!I2926)</f>
        <v/>
      </c>
      <c r="G2926">
        <f>IF(ISBLANK('ENGAGEMENTS 2026'!B2926),"",'ENGAGEMENTS 2026'!L2926)</f>
        <v/>
      </c>
      <c r="H2926">
        <f>IF(ISBLANK('ENGAGEMENTS 2026'!B2926),"",'ENGAGEMENTS 2026'!AE2926)</f>
        <v/>
      </c>
      <c r="I2926">
        <f>IF(ISBLANK('ENGAGEMENTS 2026'!B2926),"",'ENGAGEMENTS 2026'!G2926)</f>
        <v/>
      </c>
      <c r="J2926" s="275">
        <f>IF(ISBLANK('ENGAGEMENTS 2026'!B2926),"",IF(AND(OR($E2926="INFRUCTUEUX",$E2926="ANNULE"),$C2926="AOO-M"),'ENGAGEMENTS 2026'!O2926,IF($H2926="EN COURS DE PREENGAGEMENT",'ENGAGEMENTS 2026'!N2926,IF($H2926="PREENGAGE",IF($E2926="ATTRIBUE",'ENGAGEMENTS 2026'!AD2926,'ENGAGEMENTS 2026'!N2926),'ENGAGEMENTS 2026'!AD2926))))</f>
        <v/>
      </c>
      <c r="K2926" s="604">
        <f>IF(ISBLANK('ENGAGEMENTS 2026'!V2926),"",'ENGAGEMENTS 2026'!V2926)</f>
        <v/>
      </c>
      <c r="L2926" s="276">
        <f>IF($K2926="","",TODAY()-$K2926)</f>
        <v/>
      </c>
      <c r="M2926">
        <f>IF($A2926="","",IF($H2926="ENGAGE","Engagé",IF(AND($H2926="NON ENGAGE",OR($I2926="INFRUCTUEUX",$I2926="ANNULE")),"Clôturé sans suite","En cours")))</f>
        <v/>
      </c>
      <c r="N2926">
        <f>IF(ISBLANK('ENGAGEMENTS 2026'!B2926),"",'ENGAGEMENTS 2026'!K2926)</f>
        <v/>
      </c>
      <c r="O2926">
        <f>IF(ISBLANK('ENGAGEMENTS 2026'!B2926),"",'ENGAGEMENTS 2026'!L2926)</f>
        <v/>
      </c>
      <c r="P2926">
        <f>IF(ISBLANK('ENGAGEMENTS 2026'!B2926),"",'ENGAGEMENTS 2026'!J2926)</f>
        <v/>
      </c>
      <c r="Q2926">
        <f>IF($A2926="","",IF(OR($E2926="INFRUCTUEUX",$E2926="ANNULE"),$A2926&amp;"|"&amp;(COUNTIFS($A$2:$A2926,$A2926,$E$2:$E2926,"INFRUCTUEUX")+COUNTIFS($A$2:$A2926,$A2926,$E$2:$E2926,"ANNULE")),""))</f>
        <v/>
      </c>
    </row>
    <row r="2927">
      <c r="A2927">
        <f>IF(ISBLANK('ENGAGEMENTS 2026'!B2927),"",IF('ENGAGEMENTS 2026'!B2927="DTSI","DCT",'ENGAGEMENTS 2026'!B2927))</f>
        <v/>
      </c>
      <c r="B2927">
        <f>IF(ISBLANK('ENGAGEMENTS 2026'!B2927),"",'ENGAGEMENTS 2026'!C2927)</f>
        <v/>
      </c>
      <c r="C2927">
        <f>IF(ISBLANK('ENGAGEMENTS 2026'!B2927),"",'ENGAGEMENTS 2026'!D2927)</f>
        <v/>
      </c>
      <c r="D2927">
        <f>IF(ISBLANK('ENGAGEMENTS 2026'!B2927),"",'ENGAGEMENTS 2026'!F2927)</f>
        <v/>
      </c>
      <c r="E2927">
        <f>IF(ISBLANK('ENGAGEMENTS 2026'!B2927),"",'ENGAGEMENTS 2026'!H2927)</f>
        <v/>
      </c>
      <c r="F2927">
        <f>IF(ISBLANK('ENGAGEMENTS 2026'!B2927),"",'ENGAGEMENTS 2026'!I2927)</f>
        <v/>
      </c>
      <c r="G2927">
        <f>IF(ISBLANK('ENGAGEMENTS 2026'!B2927),"",'ENGAGEMENTS 2026'!L2927)</f>
        <v/>
      </c>
      <c r="H2927">
        <f>IF(ISBLANK('ENGAGEMENTS 2026'!B2927),"",'ENGAGEMENTS 2026'!AE2927)</f>
        <v/>
      </c>
      <c r="I2927">
        <f>IF(ISBLANK('ENGAGEMENTS 2026'!B2927),"",'ENGAGEMENTS 2026'!G2927)</f>
        <v/>
      </c>
      <c r="J2927" s="275">
        <f>IF(ISBLANK('ENGAGEMENTS 2026'!B2927),"",IF(AND(OR($E2927="INFRUCTUEUX",$E2927="ANNULE"),$C2927="AOO-M"),'ENGAGEMENTS 2026'!O2927,IF($H2927="EN COURS DE PREENGAGEMENT",'ENGAGEMENTS 2026'!N2927,IF($H2927="PREENGAGE",IF($E2927="ATTRIBUE",'ENGAGEMENTS 2026'!AD2927,'ENGAGEMENTS 2026'!N2927),'ENGAGEMENTS 2026'!AD2927))))</f>
        <v/>
      </c>
      <c r="K2927" s="604">
        <f>IF(ISBLANK('ENGAGEMENTS 2026'!V2927),"",'ENGAGEMENTS 2026'!V2927)</f>
        <v/>
      </c>
      <c r="L2927" s="276">
        <f>IF($K2927="","",TODAY()-$K2927)</f>
        <v/>
      </c>
      <c r="M2927">
        <f>IF($A2927="","",IF($H2927="ENGAGE","Engagé",IF(AND($H2927="NON ENGAGE",OR($I2927="INFRUCTUEUX",$I2927="ANNULE")),"Clôturé sans suite","En cours")))</f>
        <v/>
      </c>
      <c r="N2927">
        <f>IF(ISBLANK('ENGAGEMENTS 2026'!B2927),"",'ENGAGEMENTS 2026'!K2927)</f>
        <v/>
      </c>
      <c r="O2927">
        <f>IF(ISBLANK('ENGAGEMENTS 2026'!B2927),"",'ENGAGEMENTS 2026'!L2927)</f>
        <v/>
      </c>
      <c r="P2927">
        <f>IF(ISBLANK('ENGAGEMENTS 2026'!B2927),"",'ENGAGEMENTS 2026'!J2927)</f>
        <v/>
      </c>
      <c r="Q2927">
        <f>IF($A2927="","",IF(OR($E2927="INFRUCTUEUX",$E2927="ANNULE"),$A2927&amp;"|"&amp;(COUNTIFS($A$2:$A2927,$A2927,$E$2:$E2927,"INFRUCTUEUX")+COUNTIFS($A$2:$A2927,$A2927,$E$2:$E2927,"ANNULE")),""))</f>
        <v/>
      </c>
    </row>
    <row r="2928">
      <c r="A2928">
        <f>IF(ISBLANK('ENGAGEMENTS 2026'!B2928),"",IF('ENGAGEMENTS 2026'!B2928="DTSI","DCT",'ENGAGEMENTS 2026'!B2928))</f>
        <v/>
      </c>
      <c r="B2928">
        <f>IF(ISBLANK('ENGAGEMENTS 2026'!B2928),"",'ENGAGEMENTS 2026'!C2928)</f>
        <v/>
      </c>
      <c r="C2928">
        <f>IF(ISBLANK('ENGAGEMENTS 2026'!B2928),"",'ENGAGEMENTS 2026'!D2928)</f>
        <v/>
      </c>
      <c r="D2928">
        <f>IF(ISBLANK('ENGAGEMENTS 2026'!B2928),"",'ENGAGEMENTS 2026'!F2928)</f>
        <v/>
      </c>
      <c r="E2928">
        <f>IF(ISBLANK('ENGAGEMENTS 2026'!B2928),"",'ENGAGEMENTS 2026'!H2928)</f>
        <v/>
      </c>
      <c r="F2928">
        <f>IF(ISBLANK('ENGAGEMENTS 2026'!B2928),"",'ENGAGEMENTS 2026'!I2928)</f>
        <v/>
      </c>
      <c r="G2928">
        <f>IF(ISBLANK('ENGAGEMENTS 2026'!B2928),"",'ENGAGEMENTS 2026'!L2928)</f>
        <v/>
      </c>
      <c r="H2928">
        <f>IF(ISBLANK('ENGAGEMENTS 2026'!B2928),"",'ENGAGEMENTS 2026'!AE2928)</f>
        <v/>
      </c>
      <c r="I2928">
        <f>IF(ISBLANK('ENGAGEMENTS 2026'!B2928),"",'ENGAGEMENTS 2026'!G2928)</f>
        <v/>
      </c>
      <c r="J2928" s="275">
        <f>IF(ISBLANK('ENGAGEMENTS 2026'!B2928),"",IF(AND(OR($E2928="INFRUCTUEUX",$E2928="ANNULE"),$C2928="AOO-M"),'ENGAGEMENTS 2026'!O2928,IF($H2928="EN COURS DE PREENGAGEMENT",'ENGAGEMENTS 2026'!N2928,IF($H2928="PREENGAGE",IF($E2928="ATTRIBUE",'ENGAGEMENTS 2026'!AD2928,'ENGAGEMENTS 2026'!N2928),'ENGAGEMENTS 2026'!AD2928))))</f>
        <v/>
      </c>
      <c r="K2928" s="604">
        <f>IF(ISBLANK('ENGAGEMENTS 2026'!V2928),"",'ENGAGEMENTS 2026'!V2928)</f>
        <v/>
      </c>
      <c r="L2928" s="276">
        <f>IF($K2928="","",TODAY()-$K2928)</f>
        <v/>
      </c>
      <c r="M2928">
        <f>IF($A2928="","",IF($H2928="ENGAGE","Engagé",IF(AND($H2928="NON ENGAGE",OR($I2928="INFRUCTUEUX",$I2928="ANNULE")),"Clôturé sans suite","En cours")))</f>
        <v/>
      </c>
      <c r="N2928">
        <f>IF(ISBLANK('ENGAGEMENTS 2026'!B2928),"",'ENGAGEMENTS 2026'!K2928)</f>
        <v/>
      </c>
      <c r="O2928">
        <f>IF(ISBLANK('ENGAGEMENTS 2026'!B2928),"",'ENGAGEMENTS 2026'!L2928)</f>
        <v/>
      </c>
      <c r="P2928">
        <f>IF(ISBLANK('ENGAGEMENTS 2026'!B2928),"",'ENGAGEMENTS 2026'!J2928)</f>
        <v/>
      </c>
      <c r="Q2928">
        <f>IF($A2928="","",IF(OR($E2928="INFRUCTUEUX",$E2928="ANNULE"),$A2928&amp;"|"&amp;(COUNTIFS($A$2:$A2928,$A2928,$E$2:$E2928,"INFRUCTUEUX")+COUNTIFS($A$2:$A2928,$A2928,$E$2:$E2928,"ANNULE")),""))</f>
        <v/>
      </c>
    </row>
    <row r="2929">
      <c r="A2929">
        <f>IF(ISBLANK('ENGAGEMENTS 2026'!B2929),"",IF('ENGAGEMENTS 2026'!B2929="DTSI","DCT",'ENGAGEMENTS 2026'!B2929))</f>
        <v/>
      </c>
      <c r="B2929">
        <f>IF(ISBLANK('ENGAGEMENTS 2026'!B2929),"",'ENGAGEMENTS 2026'!C2929)</f>
        <v/>
      </c>
      <c r="C2929">
        <f>IF(ISBLANK('ENGAGEMENTS 2026'!B2929),"",'ENGAGEMENTS 2026'!D2929)</f>
        <v/>
      </c>
      <c r="D2929">
        <f>IF(ISBLANK('ENGAGEMENTS 2026'!B2929),"",'ENGAGEMENTS 2026'!F2929)</f>
        <v/>
      </c>
      <c r="E2929">
        <f>IF(ISBLANK('ENGAGEMENTS 2026'!B2929),"",'ENGAGEMENTS 2026'!H2929)</f>
        <v/>
      </c>
      <c r="F2929">
        <f>IF(ISBLANK('ENGAGEMENTS 2026'!B2929),"",'ENGAGEMENTS 2026'!I2929)</f>
        <v/>
      </c>
      <c r="G2929">
        <f>IF(ISBLANK('ENGAGEMENTS 2026'!B2929),"",'ENGAGEMENTS 2026'!L2929)</f>
        <v/>
      </c>
      <c r="H2929">
        <f>IF(ISBLANK('ENGAGEMENTS 2026'!B2929),"",'ENGAGEMENTS 2026'!AE2929)</f>
        <v/>
      </c>
      <c r="I2929">
        <f>IF(ISBLANK('ENGAGEMENTS 2026'!B2929),"",'ENGAGEMENTS 2026'!G2929)</f>
        <v/>
      </c>
      <c r="J2929" s="275">
        <f>IF(ISBLANK('ENGAGEMENTS 2026'!B2929),"",IF(AND(OR($E2929="INFRUCTUEUX",$E2929="ANNULE"),$C2929="AOO-M"),'ENGAGEMENTS 2026'!O2929,IF($H2929="EN COURS DE PREENGAGEMENT",'ENGAGEMENTS 2026'!N2929,IF($H2929="PREENGAGE",IF($E2929="ATTRIBUE",'ENGAGEMENTS 2026'!AD2929,'ENGAGEMENTS 2026'!N2929),'ENGAGEMENTS 2026'!AD2929))))</f>
        <v/>
      </c>
      <c r="K2929" s="604">
        <f>IF(ISBLANK('ENGAGEMENTS 2026'!V2929),"",'ENGAGEMENTS 2026'!V2929)</f>
        <v/>
      </c>
      <c r="L2929" s="276">
        <f>IF($K2929="","",TODAY()-$K2929)</f>
        <v/>
      </c>
      <c r="M2929">
        <f>IF($A2929="","",IF($H2929="ENGAGE","Engagé",IF(AND($H2929="NON ENGAGE",OR($I2929="INFRUCTUEUX",$I2929="ANNULE")),"Clôturé sans suite","En cours")))</f>
        <v/>
      </c>
      <c r="N2929">
        <f>IF(ISBLANK('ENGAGEMENTS 2026'!B2929),"",'ENGAGEMENTS 2026'!K2929)</f>
        <v/>
      </c>
      <c r="O2929">
        <f>IF(ISBLANK('ENGAGEMENTS 2026'!B2929),"",'ENGAGEMENTS 2026'!L2929)</f>
        <v/>
      </c>
      <c r="P2929">
        <f>IF(ISBLANK('ENGAGEMENTS 2026'!B2929),"",'ENGAGEMENTS 2026'!J2929)</f>
        <v/>
      </c>
      <c r="Q2929">
        <f>IF($A2929="","",IF(OR($E2929="INFRUCTUEUX",$E2929="ANNULE"),$A2929&amp;"|"&amp;(COUNTIFS($A$2:$A2929,$A2929,$E$2:$E2929,"INFRUCTUEUX")+COUNTIFS($A$2:$A2929,$A2929,$E$2:$E2929,"ANNULE")),""))</f>
        <v/>
      </c>
    </row>
    <row r="2930">
      <c r="A2930">
        <f>IF(ISBLANK('ENGAGEMENTS 2026'!B2930),"",IF('ENGAGEMENTS 2026'!B2930="DTSI","DCT",'ENGAGEMENTS 2026'!B2930))</f>
        <v/>
      </c>
      <c r="B2930">
        <f>IF(ISBLANK('ENGAGEMENTS 2026'!B2930),"",'ENGAGEMENTS 2026'!C2930)</f>
        <v/>
      </c>
      <c r="C2930">
        <f>IF(ISBLANK('ENGAGEMENTS 2026'!B2930),"",'ENGAGEMENTS 2026'!D2930)</f>
        <v/>
      </c>
      <c r="D2930">
        <f>IF(ISBLANK('ENGAGEMENTS 2026'!B2930),"",'ENGAGEMENTS 2026'!F2930)</f>
        <v/>
      </c>
      <c r="E2930">
        <f>IF(ISBLANK('ENGAGEMENTS 2026'!B2930),"",'ENGAGEMENTS 2026'!H2930)</f>
        <v/>
      </c>
      <c r="F2930">
        <f>IF(ISBLANK('ENGAGEMENTS 2026'!B2930),"",'ENGAGEMENTS 2026'!I2930)</f>
        <v/>
      </c>
      <c r="G2930">
        <f>IF(ISBLANK('ENGAGEMENTS 2026'!B2930),"",'ENGAGEMENTS 2026'!L2930)</f>
        <v/>
      </c>
      <c r="H2930">
        <f>IF(ISBLANK('ENGAGEMENTS 2026'!B2930),"",'ENGAGEMENTS 2026'!AE2930)</f>
        <v/>
      </c>
      <c r="I2930">
        <f>IF(ISBLANK('ENGAGEMENTS 2026'!B2930),"",'ENGAGEMENTS 2026'!G2930)</f>
        <v/>
      </c>
      <c r="J2930" s="275">
        <f>IF(ISBLANK('ENGAGEMENTS 2026'!B2930),"",IF(AND(OR($E2930="INFRUCTUEUX",$E2930="ANNULE"),$C2930="AOO-M"),'ENGAGEMENTS 2026'!O2930,IF($H2930="EN COURS DE PREENGAGEMENT",'ENGAGEMENTS 2026'!N2930,IF($H2930="PREENGAGE",IF($E2930="ATTRIBUE",'ENGAGEMENTS 2026'!AD2930,'ENGAGEMENTS 2026'!N2930),'ENGAGEMENTS 2026'!AD2930))))</f>
        <v/>
      </c>
      <c r="K2930" s="604">
        <f>IF(ISBLANK('ENGAGEMENTS 2026'!V2930),"",'ENGAGEMENTS 2026'!V2930)</f>
        <v/>
      </c>
      <c r="L2930" s="276">
        <f>IF($K2930="","",TODAY()-$K2930)</f>
        <v/>
      </c>
      <c r="M2930">
        <f>IF($A2930="","",IF($H2930="ENGAGE","Engagé",IF(AND($H2930="NON ENGAGE",OR($I2930="INFRUCTUEUX",$I2930="ANNULE")),"Clôturé sans suite","En cours")))</f>
        <v/>
      </c>
      <c r="N2930">
        <f>IF(ISBLANK('ENGAGEMENTS 2026'!B2930),"",'ENGAGEMENTS 2026'!K2930)</f>
        <v/>
      </c>
      <c r="O2930">
        <f>IF(ISBLANK('ENGAGEMENTS 2026'!B2930),"",'ENGAGEMENTS 2026'!L2930)</f>
        <v/>
      </c>
      <c r="P2930">
        <f>IF(ISBLANK('ENGAGEMENTS 2026'!B2930),"",'ENGAGEMENTS 2026'!J2930)</f>
        <v/>
      </c>
      <c r="Q2930">
        <f>IF($A2930="","",IF(OR($E2930="INFRUCTUEUX",$E2930="ANNULE"),$A2930&amp;"|"&amp;(COUNTIFS($A$2:$A2930,$A2930,$E$2:$E2930,"INFRUCTUEUX")+COUNTIFS($A$2:$A2930,$A2930,$E$2:$E2930,"ANNULE")),""))</f>
        <v/>
      </c>
    </row>
    <row r="2931">
      <c r="A2931">
        <f>IF(ISBLANK('ENGAGEMENTS 2026'!B2931),"",IF('ENGAGEMENTS 2026'!B2931="DTSI","DCT",'ENGAGEMENTS 2026'!B2931))</f>
        <v/>
      </c>
      <c r="B2931">
        <f>IF(ISBLANK('ENGAGEMENTS 2026'!B2931),"",'ENGAGEMENTS 2026'!C2931)</f>
        <v/>
      </c>
      <c r="C2931">
        <f>IF(ISBLANK('ENGAGEMENTS 2026'!B2931),"",'ENGAGEMENTS 2026'!D2931)</f>
        <v/>
      </c>
      <c r="D2931">
        <f>IF(ISBLANK('ENGAGEMENTS 2026'!B2931),"",'ENGAGEMENTS 2026'!F2931)</f>
        <v/>
      </c>
      <c r="E2931">
        <f>IF(ISBLANK('ENGAGEMENTS 2026'!B2931),"",'ENGAGEMENTS 2026'!H2931)</f>
        <v/>
      </c>
      <c r="F2931">
        <f>IF(ISBLANK('ENGAGEMENTS 2026'!B2931),"",'ENGAGEMENTS 2026'!I2931)</f>
        <v/>
      </c>
      <c r="G2931">
        <f>IF(ISBLANK('ENGAGEMENTS 2026'!B2931),"",'ENGAGEMENTS 2026'!L2931)</f>
        <v/>
      </c>
      <c r="H2931">
        <f>IF(ISBLANK('ENGAGEMENTS 2026'!B2931),"",'ENGAGEMENTS 2026'!AE2931)</f>
        <v/>
      </c>
      <c r="I2931">
        <f>IF(ISBLANK('ENGAGEMENTS 2026'!B2931),"",'ENGAGEMENTS 2026'!G2931)</f>
        <v/>
      </c>
      <c r="J2931" s="275">
        <f>IF(ISBLANK('ENGAGEMENTS 2026'!B2931),"",IF(AND(OR($E2931="INFRUCTUEUX",$E2931="ANNULE"),$C2931="AOO-M"),'ENGAGEMENTS 2026'!O2931,IF($H2931="EN COURS DE PREENGAGEMENT",'ENGAGEMENTS 2026'!N2931,IF($H2931="PREENGAGE",IF($E2931="ATTRIBUE",'ENGAGEMENTS 2026'!AD2931,'ENGAGEMENTS 2026'!N2931),'ENGAGEMENTS 2026'!AD2931))))</f>
        <v/>
      </c>
      <c r="K2931" s="604">
        <f>IF(ISBLANK('ENGAGEMENTS 2026'!V2931),"",'ENGAGEMENTS 2026'!V2931)</f>
        <v/>
      </c>
      <c r="L2931" s="276">
        <f>IF($K2931="","",TODAY()-$K2931)</f>
        <v/>
      </c>
      <c r="M2931">
        <f>IF($A2931="","",IF($H2931="ENGAGE","Engagé",IF(AND($H2931="NON ENGAGE",OR($I2931="INFRUCTUEUX",$I2931="ANNULE")),"Clôturé sans suite","En cours")))</f>
        <v/>
      </c>
      <c r="N2931">
        <f>IF(ISBLANK('ENGAGEMENTS 2026'!B2931),"",'ENGAGEMENTS 2026'!K2931)</f>
        <v/>
      </c>
      <c r="O2931">
        <f>IF(ISBLANK('ENGAGEMENTS 2026'!B2931),"",'ENGAGEMENTS 2026'!L2931)</f>
        <v/>
      </c>
      <c r="P2931">
        <f>IF(ISBLANK('ENGAGEMENTS 2026'!B2931),"",'ENGAGEMENTS 2026'!J2931)</f>
        <v/>
      </c>
      <c r="Q2931">
        <f>IF($A2931="","",IF(OR($E2931="INFRUCTUEUX",$E2931="ANNULE"),$A2931&amp;"|"&amp;(COUNTIFS($A$2:$A2931,$A2931,$E$2:$E2931,"INFRUCTUEUX")+COUNTIFS($A$2:$A2931,$A2931,$E$2:$E2931,"ANNULE")),""))</f>
        <v/>
      </c>
    </row>
    <row r="2932">
      <c r="A2932">
        <f>IF(ISBLANK('ENGAGEMENTS 2026'!B2932),"",IF('ENGAGEMENTS 2026'!B2932="DTSI","DCT",'ENGAGEMENTS 2026'!B2932))</f>
        <v/>
      </c>
      <c r="B2932">
        <f>IF(ISBLANK('ENGAGEMENTS 2026'!B2932),"",'ENGAGEMENTS 2026'!C2932)</f>
        <v/>
      </c>
      <c r="C2932">
        <f>IF(ISBLANK('ENGAGEMENTS 2026'!B2932),"",'ENGAGEMENTS 2026'!D2932)</f>
        <v/>
      </c>
      <c r="D2932">
        <f>IF(ISBLANK('ENGAGEMENTS 2026'!B2932),"",'ENGAGEMENTS 2026'!F2932)</f>
        <v/>
      </c>
      <c r="E2932">
        <f>IF(ISBLANK('ENGAGEMENTS 2026'!B2932),"",'ENGAGEMENTS 2026'!H2932)</f>
        <v/>
      </c>
      <c r="F2932">
        <f>IF(ISBLANK('ENGAGEMENTS 2026'!B2932),"",'ENGAGEMENTS 2026'!I2932)</f>
        <v/>
      </c>
      <c r="G2932">
        <f>IF(ISBLANK('ENGAGEMENTS 2026'!B2932),"",'ENGAGEMENTS 2026'!L2932)</f>
        <v/>
      </c>
      <c r="H2932">
        <f>IF(ISBLANK('ENGAGEMENTS 2026'!B2932),"",'ENGAGEMENTS 2026'!AE2932)</f>
        <v/>
      </c>
      <c r="I2932">
        <f>IF(ISBLANK('ENGAGEMENTS 2026'!B2932),"",'ENGAGEMENTS 2026'!G2932)</f>
        <v/>
      </c>
      <c r="J2932" s="275">
        <f>IF(ISBLANK('ENGAGEMENTS 2026'!B2932),"",IF(AND(OR($E2932="INFRUCTUEUX",$E2932="ANNULE"),$C2932="AOO-M"),'ENGAGEMENTS 2026'!O2932,IF($H2932="EN COURS DE PREENGAGEMENT",'ENGAGEMENTS 2026'!N2932,IF($H2932="PREENGAGE",IF($E2932="ATTRIBUE",'ENGAGEMENTS 2026'!AD2932,'ENGAGEMENTS 2026'!N2932),'ENGAGEMENTS 2026'!AD2932))))</f>
        <v/>
      </c>
      <c r="K2932" s="604">
        <f>IF(ISBLANK('ENGAGEMENTS 2026'!V2932),"",'ENGAGEMENTS 2026'!V2932)</f>
        <v/>
      </c>
      <c r="L2932" s="276">
        <f>IF($K2932="","",TODAY()-$K2932)</f>
        <v/>
      </c>
      <c r="M2932">
        <f>IF($A2932="","",IF($H2932="ENGAGE","Engagé",IF(AND($H2932="NON ENGAGE",OR($I2932="INFRUCTUEUX",$I2932="ANNULE")),"Clôturé sans suite","En cours")))</f>
        <v/>
      </c>
      <c r="N2932">
        <f>IF(ISBLANK('ENGAGEMENTS 2026'!B2932),"",'ENGAGEMENTS 2026'!K2932)</f>
        <v/>
      </c>
      <c r="O2932">
        <f>IF(ISBLANK('ENGAGEMENTS 2026'!B2932),"",'ENGAGEMENTS 2026'!L2932)</f>
        <v/>
      </c>
      <c r="P2932">
        <f>IF(ISBLANK('ENGAGEMENTS 2026'!B2932),"",'ENGAGEMENTS 2026'!J2932)</f>
        <v/>
      </c>
      <c r="Q2932">
        <f>IF($A2932="","",IF(OR($E2932="INFRUCTUEUX",$E2932="ANNULE"),$A2932&amp;"|"&amp;(COUNTIFS($A$2:$A2932,$A2932,$E$2:$E2932,"INFRUCTUEUX")+COUNTIFS($A$2:$A2932,$A2932,$E$2:$E2932,"ANNULE")),""))</f>
        <v/>
      </c>
    </row>
    <row r="2933">
      <c r="A2933">
        <f>IF(ISBLANK('ENGAGEMENTS 2026'!B2933),"",IF('ENGAGEMENTS 2026'!B2933="DTSI","DCT",'ENGAGEMENTS 2026'!B2933))</f>
        <v/>
      </c>
      <c r="B2933">
        <f>IF(ISBLANK('ENGAGEMENTS 2026'!B2933),"",'ENGAGEMENTS 2026'!C2933)</f>
        <v/>
      </c>
      <c r="C2933">
        <f>IF(ISBLANK('ENGAGEMENTS 2026'!B2933),"",'ENGAGEMENTS 2026'!D2933)</f>
        <v/>
      </c>
      <c r="D2933">
        <f>IF(ISBLANK('ENGAGEMENTS 2026'!B2933),"",'ENGAGEMENTS 2026'!F2933)</f>
        <v/>
      </c>
      <c r="E2933">
        <f>IF(ISBLANK('ENGAGEMENTS 2026'!B2933),"",'ENGAGEMENTS 2026'!H2933)</f>
        <v/>
      </c>
      <c r="F2933">
        <f>IF(ISBLANK('ENGAGEMENTS 2026'!B2933),"",'ENGAGEMENTS 2026'!I2933)</f>
        <v/>
      </c>
      <c r="G2933">
        <f>IF(ISBLANK('ENGAGEMENTS 2026'!B2933),"",'ENGAGEMENTS 2026'!L2933)</f>
        <v/>
      </c>
      <c r="H2933">
        <f>IF(ISBLANK('ENGAGEMENTS 2026'!B2933),"",'ENGAGEMENTS 2026'!AE2933)</f>
        <v/>
      </c>
      <c r="I2933">
        <f>IF(ISBLANK('ENGAGEMENTS 2026'!B2933),"",'ENGAGEMENTS 2026'!G2933)</f>
        <v/>
      </c>
      <c r="J2933" s="275">
        <f>IF(ISBLANK('ENGAGEMENTS 2026'!B2933),"",IF(AND(OR($E2933="INFRUCTUEUX",$E2933="ANNULE"),$C2933="AOO-M"),'ENGAGEMENTS 2026'!O2933,IF($H2933="EN COURS DE PREENGAGEMENT",'ENGAGEMENTS 2026'!N2933,IF($H2933="PREENGAGE",IF($E2933="ATTRIBUE",'ENGAGEMENTS 2026'!AD2933,'ENGAGEMENTS 2026'!N2933),'ENGAGEMENTS 2026'!AD2933))))</f>
        <v/>
      </c>
      <c r="K2933" s="604">
        <f>IF(ISBLANK('ENGAGEMENTS 2026'!V2933),"",'ENGAGEMENTS 2026'!V2933)</f>
        <v/>
      </c>
      <c r="L2933" s="276">
        <f>IF($K2933="","",TODAY()-$K2933)</f>
        <v/>
      </c>
      <c r="M2933">
        <f>IF($A2933="","",IF($H2933="ENGAGE","Engagé",IF(AND($H2933="NON ENGAGE",OR($I2933="INFRUCTUEUX",$I2933="ANNULE")),"Clôturé sans suite","En cours")))</f>
        <v/>
      </c>
      <c r="N2933">
        <f>IF(ISBLANK('ENGAGEMENTS 2026'!B2933),"",'ENGAGEMENTS 2026'!K2933)</f>
        <v/>
      </c>
      <c r="O2933">
        <f>IF(ISBLANK('ENGAGEMENTS 2026'!B2933),"",'ENGAGEMENTS 2026'!L2933)</f>
        <v/>
      </c>
      <c r="P2933">
        <f>IF(ISBLANK('ENGAGEMENTS 2026'!B2933),"",'ENGAGEMENTS 2026'!J2933)</f>
        <v/>
      </c>
      <c r="Q2933">
        <f>IF($A2933="","",IF(OR($E2933="INFRUCTUEUX",$E2933="ANNULE"),$A2933&amp;"|"&amp;(COUNTIFS($A$2:$A2933,$A2933,$E$2:$E2933,"INFRUCTUEUX")+COUNTIFS($A$2:$A2933,$A2933,$E$2:$E2933,"ANNULE")),""))</f>
        <v/>
      </c>
    </row>
    <row r="2934">
      <c r="A2934">
        <f>IF(ISBLANK('ENGAGEMENTS 2026'!B2934),"",IF('ENGAGEMENTS 2026'!B2934="DTSI","DCT",'ENGAGEMENTS 2026'!B2934))</f>
        <v/>
      </c>
      <c r="B2934">
        <f>IF(ISBLANK('ENGAGEMENTS 2026'!B2934),"",'ENGAGEMENTS 2026'!C2934)</f>
        <v/>
      </c>
      <c r="C2934">
        <f>IF(ISBLANK('ENGAGEMENTS 2026'!B2934),"",'ENGAGEMENTS 2026'!D2934)</f>
        <v/>
      </c>
      <c r="D2934">
        <f>IF(ISBLANK('ENGAGEMENTS 2026'!B2934),"",'ENGAGEMENTS 2026'!F2934)</f>
        <v/>
      </c>
      <c r="E2934">
        <f>IF(ISBLANK('ENGAGEMENTS 2026'!B2934),"",'ENGAGEMENTS 2026'!H2934)</f>
        <v/>
      </c>
      <c r="F2934">
        <f>IF(ISBLANK('ENGAGEMENTS 2026'!B2934),"",'ENGAGEMENTS 2026'!I2934)</f>
        <v/>
      </c>
      <c r="G2934">
        <f>IF(ISBLANK('ENGAGEMENTS 2026'!B2934),"",'ENGAGEMENTS 2026'!L2934)</f>
        <v/>
      </c>
      <c r="H2934">
        <f>IF(ISBLANK('ENGAGEMENTS 2026'!B2934),"",'ENGAGEMENTS 2026'!AE2934)</f>
        <v/>
      </c>
      <c r="I2934">
        <f>IF(ISBLANK('ENGAGEMENTS 2026'!B2934),"",'ENGAGEMENTS 2026'!G2934)</f>
        <v/>
      </c>
      <c r="J2934" s="275">
        <f>IF(ISBLANK('ENGAGEMENTS 2026'!B2934),"",IF(AND(OR($E2934="INFRUCTUEUX",$E2934="ANNULE"),$C2934="AOO-M"),'ENGAGEMENTS 2026'!O2934,IF($H2934="EN COURS DE PREENGAGEMENT",'ENGAGEMENTS 2026'!N2934,IF($H2934="PREENGAGE",IF($E2934="ATTRIBUE",'ENGAGEMENTS 2026'!AD2934,'ENGAGEMENTS 2026'!N2934),'ENGAGEMENTS 2026'!AD2934))))</f>
        <v/>
      </c>
      <c r="K2934" s="604">
        <f>IF(ISBLANK('ENGAGEMENTS 2026'!V2934),"",'ENGAGEMENTS 2026'!V2934)</f>
        <v/>
      </c>
      <c r="L2934" s="276">
        <f>IF($K2934="","",TODAY()-$K2934)</f>
        <v/>
      </c>
      <c r="M2934">
        <f>IF($A2934="","",IF($H2934="ENGAGE","Engagé",IF(AND($H2934="NON ENGAGE",OR($I2934="INFRUCTUEUX",$I2934="ANNULE")),"Clôturé sans suite","En cours")))</f>
        <v/>
      </c>
      <c r="N2934">
        <f>IF(ISBLANK('ENGAGEMENTS 2026'!B2934),"",'ENGAGEMENTS 2026'!K2934)</f>
        <v/>
      </c>
      <c r="O2934">
        <f>IF(ISBLANK('ENGAGEMENTS 2026'!B2934),"",'ENGAGEMENTS 2026'!L2934)</f>
        <v/>
      </c>
      <c r="P2934">
        <f>IF(ISBLANK('ENGAGEMENTS 2026'!B2934),"",'ENGAGEMENTS 2026'!J2934)</f>
        <v/>
      </c>
      <c r="Q2934">
        <f>IF($A2934="","",IF(OR($E2934="INFRUCTUEUX",$E2934="ANNULE"),$A2934&amp;"|"&amp;(COUNTIFS($A$2:$A2934,$A2934,$E$2:$E2934,"INFRUCTUEUX")+COUNTIFS($A$2:$A2934,$A2934,$E$2:$E2934,"ANNULE")),""))</f>
        <v/>
      </c>
    </row>
    <row r="2935">
      <c r="A2935">
        <f>IF(ISBLANK('ENGAGEMENTS 2026'!B2935),"",IF('ENGAGEMENTS 2026'!B2935="DTSI","DCT",'ENGAGEMENTS 2026'!B2935))</f>
        <v/>
      </c>
      <c r="B2935">
        <f>IF(ISBLANK('ENGAGEMENTS 2026'!B2935),"",'ENGAGEMENTS 2026'!C2935)</f>
        <v/>
      </c>
      <c r="C2935">
        <f>IF(ISBLANK('ENGAGEMENTS 2026'!B2935),"",'ENGAGEMENTS 2026'!D2935)</f>
        <v/>
      </c>
      <c r="D2935">
        <f>IF(ISBLANK('ENGAGEMENTS 2026'!B2935),"",'ENGAGEMENTS 2026'!F2935)</f>
        <v/>
      </c>
      <c r="E2935">
        <f>IF(ISBLANK('ENGAGEMENTS 2026'!B2935),"",'ENGAGEMENTS 2026'!H2935)</f>
        <v/>
      </c>
      <c r="F2935">
        <f>IF(ISBLANK('ENGAGEMENTS 2026'!B2935),"",'ENGAGEMENTS 2026'!I2935)</f>
        <v/>
      </c>
      <c r="G2935">
        <f>IF(ISBLANK('ENGAGEMENTS 2026'!B2935),"",'ENGAGEMENTS 2026'!L2935)</f>
        <v/>
      </c>
      <c r="H2935">
        <f>IF(ISBLANK('ENGAGEMENTS 2026'!B2935),"",'ENGAGEMENTS 2026'!AE2935)</f>
        <v/>
      </c>
      <c r="I2935">
        <f>IF(ISBLANK('ENGAGEMENTS 2026'!B2935),"",'ENGAGEMENTS 2026'!G2935)</f>
        <v/>
      </c>
      <c r="J2935" s="275">
        <f>IF(ISBLANK('ENGAGEMENTS 2026'!B2935),"",IF(AND(OR($E2935="INFRUCTUEUX",$E2935="ANNULE"),$C2935="AOO-M"),'ENGAGEMENTS 2026'!O2935,IF($H2935="EN COURS DE PREENGAGEMENT",'ENGAGEMENTS 2026'!N2935,IF($H2935="PREENGAGE",IF($E2935="ATTRIBUE",'ENGAGEMENTS 2026'!AD2935,'ENGAGEMENTS 2026'!N2935),'ENGAGEMENTS 2026'!AD2935))))</f>
        <v/>
      </c>
      <c r="K2935" s="604">
        <f>IF(ISBLANK('ENGAGEMENTS 2026'!V2935),"",'ENGAGEMENTS 2026'!V2935)</f>
        <v/>
      </c>
      <c r="L2935" s="276">
        <f>IF($K2935="","",TODAY()-$K2935)</f>
        <v/>
      </c>
      <c r="M2935">
        <f>IF($A2935="","",IF($H2935="ENGAGE","Engagé",IF(AND($H2935="NON ENGAGE",OR($I2935="INFRUCTUEUX",$I2935="ANNULE")),"Clôturé sans suite","En cours")))</f>
        <v/>
      </c>
      <c r="N2935">
        <f>IF(ISBLANK('ENGAGEMENTS 2026'!B2935),"",'ENGAGEMENTS 2026'!K2935)</f>
        <v/>
      </c>
      <c r="O2935">
        <f>IF(ISBLANK('ENGAGEMENTS 2026'!B2935),"",'ENGAGEMENTS 2026'!L2935)</f>
        <v/>
      </c>
      <c r="P2935">
        <f>IF(ISBLANK('ENGAGEMENTS 2026'!B2935),"",'ENGAGEMENTS 2026'!J2935)</f>
        <v/>
      </c>
      <c r="Q2935">
        <f>IF($A2935="","",IF(OR($E2935="INFRUCTUEUX",$E2935="ANNULE"),$A2935&amp;"|"&amp;(COUNTIFS($A$2:$A2935,$A2935,$E$2:$E2935,"INFRUCTUEUX")+COUNTIFS($A$2:$A2935,$A2935,$E$2:$E2935,"ANNULE")),""))</f>
        <v/>
      </c>
    </row>
    <row r="2936">
      <c r="A2936">
        <f>IF(ISBLANK('ENGAGEMENTS 2026'!B2936),"",IF('ENGAGEMENTS 2026'!B2936="DTSI","DCT",'ENGAGEMENTS 2026'!B2936))</f>
        <v/>
      </c>
      <c r="B2936">
        <f>IF(ISBLANK('ENGAGEMENTS 2026'!B2936),"",'ENGAGEMENTS 2026'!C2936)</f>
        <v/>
      </c>
      <c r="C2936">
        <f>IF(ISBLANK('ENGAGEMENTS 2026'!B2936),"",'ENGAGEMENTS 2026'!D2936)</f>
        <v/>
      </c>
      <c r="D2936">
        <f>IF(ISBLANK('ENGAGEMENTS 2026'!B2936),"",'ENGAGEMENTS 2026'!F2936)</f>
        <v/>
      </c>
      <c r="E2936">
        <f>IF(ISBLANK('ENGAGEMENTS 2026'!B2936),"",'ENGAGEMENTS 2026'!H2936)</f>
        <v/>
      </c>
      <c r="F2936">
        <f>IF(ISBLANK('ENGAGEMENTS 2026'!B2936),"",'ENGAGEMENTS 2026'!I2936)</f>
        <v/>
      </c>
      <c r="G2936">
        <f>IF(ISBLANK('ENGAGEMENTS 2026'!B2936),"",'ENGAGEMENTS 2026'!L2936)</f>
        <v/>
      </c>
      <c r="H2936">
        <f>IF(ISBLANK('ENGAGEMENTS 2026'!B2936),"",'ENGAGEMENTS 2026'!AE2936)</f>
        <v/>
      </c>
      <c r="I2936">
        <f>IF(ISBLANK('ENGAGEMENTS 2026'!B2936),"",'ENGAGEMENTS 2026'!G2936)</f>
        <v/>
      </c>
      <c r="J2936" s="275">
        <f>IF(ISBLANK('ENGAGEMENTS 2026'!B2936),"",IF(AND(OR($E2936="INFRUCTUEUX",$E2936="ANNULE"),$C2936="AOO-M"),'ENGAGEMENTS 2026'!O2936,IF($H2936="EN COURS DE PREENGAGEMENT",'ENGAGEMENTS 2026'!N2936,IF($H2936="PREENGAGE",IF($E2936="ATTRIBUE",'ENGAGEMENTS 2026'!AD2936,'ENGAGEMENTS 2026'!N2936),'ENGAGEMENTS 2026'!AD2936))))</f>
        <v/>
      </c>
      <c r="K2936" s="604">
        <f>IF(ISBLANK('ENGAGEMENTS 2026'!V2936),"",'ENGAGEMENTS 2026'!V2936)</f>
        <v/>
      </c>
      <c r="L2936" s="276">
        <f>IF($K2936="","",TODAY()-$K2936)</f>
        <v/>
      </c>
      <c r="M2936">
        <f>IF($A2936="","",IF($H2936="ENGAGE","Engagé",IF(AND($H2936="NON ENGAGE",OR($I2936="INFRUCTUEUX",$I2936="ANNULE")),"Clôturé sans suite","En cours")))</f>
        <v/>
      </c>
      <c r="N2936">
        <f>IF(ISBLANK('ENGAGEMENTS 2026'!B2936),"",'ENGAGEMENTS 2026'!K2936)</f>
        <v/>
      </c>
      <c r="O2936">
        <f>IF(ISBLANK('ENGAGEMENTS 2026'!B2936),"",'ENGAGEMENTS 2026'!L2936)</f>
        <v/>
      </c>
      <c r="P2936">
        <f>IF(ISBLANK('ENGAGEMENTS 2026'!B2936),"",'ENGAGEMENTS 2026'!J2936)</f>
        <v/>
      </c>
      <c r="Q2936">
        <f>IF($A2936="","",IF(OR($E2936="INFRUCTUEUX",$E2936="ANNULE"),$A2936&amp;"|"&amp;(COUNTIFS($A$2:$A2936,$A2936,$E$2:$E2936,"INFRUCTUEUX")+COUNTIFS($A$2:$A2936,$A2936,$E$2:$E2936,"ANNULE")),""))</f>
        <v/>
      </c>
    </row>
    <row r="2937">
      <c r="A2937">
        <f>IF(ISBLANK('ENGAGEMENTS 2026'!B2937),"",IF('ENGAGEMENTS 2026'!B2937="DTSI","DCT",'ENGAGEMENTS 2026'!B2937))</f>
        <v/>
      </c>
      <c r="B2937">
        <f>IF(ISBLANK('ENGAGEMENTS 2026'!B2937),"",'ENGAGEMENTS 2026'!C2937)</f>
        <v/>
      </c>
      <c r="C2937">
        <f>IF(ISBLANK('ENGAGEMENTS 2026'!B2937),"",'ENGAGEMENTS 2026'!D2937)</f>
        <v/>
      </c>
      <c r="D2937">
        <f>IF(ISBLANK('ENGAGEMENTS 2026'!B2937),"",'ENGAGEMENTS 2026'!F2937)</f>
        <v/>
      </c>
      <c r="E2937">
        <f>IF(ISBLANK('ENGAGEMENTS 2026'!B2937),"",'ENGAGEMENTS 2026'!H2937)</f>
        <v/>
      </c>
      <c r="F2937">
        <f>IF(ISBLANK('ENGAGEMENTS 2026'!B2937),"",'ENGAGEMENTS 2026'!I2937)</f>
        <v/>
      </c>
      <c r="G2937">
        <f>IF(ISBLANK('ENGAGEMENTS 2026'!B2937),"",'ENGAGEMENTS 2026'!L2937)</f>
        <v/>
      </c>
      <c r="H2937">
        <f>IF(ISBLANK('ENGAGEMENTS 2026'!B2937),"",'ENGAGEMENTS 2026'!AE2937)</f>
        <v/>
      </c>
      <c r="I2937">
        <f>IF(ISBLANK('ENGAGEMENTS 2026'!B2937),"",'ENGAGEMENTS 2026'!G2937)</f>
        <v/>
      </c>
      <c r="J2937" s="275">
        <f>IF(ISBLANK('ENGAGEMENTS 2026'!B2937),"",IF(AND(OR($E2937="INFRUCTUEUX",$E2937="ANNULE"),$C2937="AOO-M"),'ENGAGEMENTS 2026'!O2937,IF($H2937="EN COURS DE PREENGAGEMENT",'ENGAGEMENTS 2026'!N2937,IF($H2937="PREENGAGE",IF($E2937="ATTRIBUE",'ENGAGEMENTS 2026'!AD2937,'ENGAGEMENTS 2026'!N2937),'ENGAGEMENTS 2026'!AD2937))))</f>
        <v/>
      </c>
      <c r="K2937" s="604">
        <f>IF(ISBLANK('ENGAGEMENTS 2026'!V2937),"",'ENGAGEMENTS 2026'!V2937)</f>
        <v/>
      </c>
      <c r="L2937" s="276">
        <f>IF($K2937="","",TODAY()-$K2937)</f>
        <v/>
      </c>
      <c r="M2937">
        <f>IF($A2937="","",IF($H2937="ENGAGE","Engagé",IF(AND($H2937="NON ENGAGE",OR($I2937="INFRUCTUEUX",$I2937="ANNULE")),"Clôturé sans suite","En cours")))</f>
        <v/>
      </c>
      <c r="N2937">
        <f>IF(ISBLANK('ENGAGEMENTS 2026'!B2937),"",'ENGAGEMENTS 2026'!K2937)</f>
        <v/>
      </c>
      <c r="O2937">
        <f>IF(ISBLANK('ENGAGEMENTS 2026'!B2937),"",'ENGAGEMENTS 2026'!L2937)</f>
        <v/>
      </c>
      <c r="P2937">
        <f>IF(ISBLANK('ENGAGEMENTS 2026'!B2937),"",'ENGAGEMENTS 2026'!J2937)</f>
        <v/>
      </c>
      <c r="Q2937">
        <f>IF($A2937="","",IF(OR($E2937="INFRUCTUEUX",$E2937="ANNULE"),$A2937&amp;"|"&amp;(COUNTIFS($A$2:$A2937,$A2937,$E$2:$E2937,"INFRUCTUEUX")+COUNTIFS($A$2:$A2937,$A2937,$E$2:$E2937,"ANNULE")),""))</f>
        <v/>
      </c>
    </row>
    <row r="2938">
      <c r="A2938">
        <f>IF(ISBLANK('ENGAGEMENTS 2026'!B2938),"",IF('ENGAGEMENTS 2026'!B2938="DTSI","DCT",'ENGAGEMENTS 2026'!B2938))</f>
        <v/>
      </c>
      <c r="B2938">
        <f>IF(ISBLANK('ENGAGEMENTS 2026'!B2938),"",'ENGAGEMENTS 2026'!C2938)</f>
        <v/>
      </c>
      <c r="C2938">
        <f>IF(ISBLANK('ENGAGEMENTS 2026'!B2938),"",'ENGAGEMENTS 2026'!D2938)</f>
        <v/>
      </c>
      <c r="D2938">
        <f>IF(ISBLANK('ENGAGEMENTS 2026'!B2938),"",'ENGAGEMENTS 2026'!F2938)</f>
        <v/>
      </c>
      <c r="E2938">
        <f>IF(ISBLANK('ENGAGEMENTS 2026'!B2938),"",'ENGAGEMENTS 2026'!H2938)</f>
        <v/>
      </c>
      <c r="F2938">
        <f>IF(ISBLANK('ENGAGEMENTS 2026'!B2938),"",'ENGAGEMENTS 2026'!I2938)</f>
        <v/>
      </c>
      <c r="G2938">
        <f>IF(ISBLANK('ENGAGEMENTS 2026'!B2938),"",'ENGAGEMENTS 2026'!L2938)</f>
        <v/>
      </c>
      <c r="H2938">
        <f>IF(ISBLANK('ENGAGEMENTS 2026'!B2938),"",'ENGAGEMENTS 2026'!AE2938)</f>
        <v/>
      </c>
      <c r="I2938">
        <f>IF(ISBLANK('ENGAGEMENTS 2026'!B2938),"",'ENGAGEMENTS 2026'!G2938)</f>
        <v/>
      </c>
      <c r="J2938" s="275">
        <f>IF(ISBLANK('ENGAGEMENTS 2026'!B2938),"",IF(AND(OR($E2938="INFRUCTUEUX",$E2938="ANNULE"),$C2938="AOO-M"),'ENGAGEMENTS 2026'!O2938,IF($H2938="EN COURS DE PREENGAGEMENT",'ENGAGEMENTS 2026'!N2938,IF($H2938="PREENGAGE",IF($E2938="ATTRIBUE",'ENGAGEMENTS 2026'!AD2938,'ENGAGEMENTS 2026'!N2938),'ENGAGEMENTS 2026'!AD2938))))</f>
        <v/>
      </c>
      <c r="K2938" s="604">
        <f>IF(ISBLANK('ENGAGEMENTS 2026'!V2938),"",'ENGAGEMENTS 2026'!V2938)</f>
        <v/>
      </c>
      <c r="L2938" s="276">
        <f>IF($K2938="","",TODAY()-$K2938)</f>
        <v/>
      </c>
      <c r="M2938">
        <f>IF($A2938="","",IF($H2938="ENGAGE","Engagé",IF(AND($H2938="NON ENGAGE",OR($I2938="INFRUCTUEUX",$I2938="ANNULE")),"Clôturé sans suite","En cours")))</f>
        <v/>
      </c>
      <c r="N2938">
        <f>IF(ISBLANK('ENGAGEMENTS 2026'!B2938),"",'ENGAGEMENTS 2026'!K2938)</f>
        <v/>
      </c>
      <c r="O2938">
        <f>IF(ISBLANK('ENGAGEMENTS 2026'!B2938),"",'ENGAGEMENTS 2026'!L2938)</f>
        <v/>
      </c>
      <c r="P2938">
        <f>IF(ISBLANK('ENGAGEMENTS 2026'!B2938),"",'ENGAGEMENTS 2026'!J2938)</f>
        <v/>
      </c>
      <c r="Q2938">
        <f>IF($A2938="","",IF(OR($E2938="INFRUCTUEUX",$E2938="ANNULE"),$A2938&amp;"|"&amp;(COUNTIFS($A$2:$A2938,$A2938,$E$2:$E2938,"INFRUCTUEUX")+COUNTIFS($A$2:$A2938,$A2938,$E$2:$E2938,"ANNULE")),""))</f>
        <v/>
      </c>
    </row>
    <row r="2939">
      <c r="A2939">
        <f>IF(ISBLANK('ENGAGEMENTS 2026'!B2939),"",IF('ENGAGEMENTS 2026'!B2939="DTSI","DCT",'ENGAGEMENTS 2026'!B2939))</f>
        <v/>
      </c>
      <c r="B2939">
        <f>IF(ISBLANK('ENGAGEMENTS 2026'!B2939),"",'ENGAGEMENTS 2026'!C2939)</f>
        <v/>
      </c>
      <c r="C2939">
        <f>IF(ISBLANK('ENGAGEMENTS 2026'!B2939),"",'ENGAGEMENTS 2026'!D2939)</f>
        <v/>
      </c>
      <c r="D2939">
        <f>IF(ISBLANK('ENGAGEMENTS 2026'!B2939),"",'ENGAGEMENTS 2026'!F2939)</f>
        <v/>
      </c>
      <c r="E2939">
        <f>IF(ISBLANK('ENGAGEMENTS 2026'!B2939),"",'ENGAGEMENTS 2026'!H2939)</f>
        <v/>
      </c>
      <c r="F2939">
        <f>IF(ISBLANK('ENGAGEMENTS 2026'!B2939),"",'ENGAGEMENTS 2026'!I2939)</f>
        <v/>
      </c>
      <c r="G2939">
        <f>IF(ISBLANK('ENGAGEMENTS 2026'!B2939),"",'ENGAGEMENTS 2026'!L2939)</f>
        <v/>
      </c>
      <c r="H2939">
        <f>IF(ISBLANK('ENGAGEMENTS 2026'!B2939),"",'ENGAGEMENTS 2026'!AE2939)</f>
        <v/>
      </c>
      <c r="I2939">
        <f>IF(ISBLANK('ENGAGEMENTS 2026'!B2939),"",'ENGAGEMENTS 2026'!G2939)</f>
        <v/>
      </c>
      <c r="J2939" s="275">
        <f>IF(ISBLANK('ENGAGEMENTS 2026'!B2939),"",IF(AND(OR($E2939="INFRUCTUEUX",$E2939="ANNULE"),$C2939="AOO-M"),'ENGAGEMENTS 2026'!O2939,IF($H2939="EN COURS DE PREENGAGEMENT",'ENGAGEMENTS 2026'!N2939,IF($H2939="PREENGAGE",IF($E2939="ATTRIBUE",'ENGAGEMENTS 2026'!AD2939,'ENGAGEMENTS 2026'!N2939),'ENGAGEMENTS 2026'!AD2939))))</f>
        <v/>
      </c>
      <c r="K2939" s="604">
        <f>IF(ISBLANK('ENGAGEMENTS 2026'!V2939),"",'ENGAGEMENTS 2026'!V2939)</f>
        <v/>
      </c>
      <c r="L2939" s="276">
        <f>IF($K2939="","",TODAY()-$K2939)</f>
        <v/>
      </c>
      <c r="M2939">
        <f>IF($A2939="","",IF($H2939="ENGAGE","Engagé",IF(AND($H2939="NON ENGAGE",OR($I2939="INFRUCTUEUX",$I2939="ANNULE")),"Clôturé sans suite","En cours")))</f>
        <v/>
      </c>
      <c r="N2939">
        <f>IF(ISBLANK('ENGAGEMENTS 2026'!B2939),"",'ENGAGEMENTS 2026'!K2939)</f>
        <v/>
      </c>
      <c r="O2939">
        <f>IF(ISBLANK('ENGAGEMENTS 2026'!B2939),"",'ENGAGEMENTS 2026'!L2939)</f>
        <v/>
      </c>
      <c r="P2939">
        <f>IF(ISBLANK('ENGAGEMENTS 2026'!B2939),"",'ENGAGEMENTS 2026'!J2939)</f>
        <v/>
      </c>
      <c r="Q2939">
        <f>IF($A2939="","",IF(OR($E2939="INFRUCTUEUX",$E2939="ANNULE"),$A2939&amp;"|"&amp;(COUNTIFS($A$2:$A2939,$A2939,$E$2:$E2939,"INFRUCTUEUX")+COUNTIFS($A$2:$A2939,$A2939,$E$2:$E2939,"ANNULE")),""))</f>
        <v/>
      </c>
    </row>
    <row r="2940">
      <c r="A2940">
        <f>IF(ISBLANK('ENGAGEMENTS 2026'!B2940),"",IF('ENGAGEMENTS 2026'!B2940="DTSI","DCT",'ENGAGEMENTS 2026'!B2940))</f>
        <v/>
      </c>
      <c r="B2940">
        <f>IF(ISBLANK('ENGAGEMENTS 2026'!B2940),"",'ENGAGEMENTS 2026'!C2940)</f>
        <v/>
      </c>
      <c r="C2940">
        <f>IF(ISBLANK('ENGAGEMENTS 2026'!B2940),"",'ENGAGEMENTS 2026'!D2940)</f>
        <v/>
      </c>
      <c r="D2940">
        <f>IF(ISBLANK('ENGAGEMENTS 2026'!B2940),"",'ENGAGEMENTS 2026'!F2940)</f>
        <v/>
      </c>
      <c r="E2940">
        <f>IF(ISBLANK('ENGAGEMENTS 2026'!B2940),"",'ENGAGEMENTS 2026'!H2940)</f>
        <v/>
      </c>
      <c r="F2940">
        <f>IF(ISBLANK('ENGAGEMENTS 2026'!B2940),"",'ENGAGEMENTS 2026'!I2940)</f>
        <v/>
      </c>
      <c r="G2940">
        <f>IF(ISBLANK('ENGAGEMENTS 2026'!B2940),"",'ENGAGEMENTS 2026'!L2940)</f>
        <v/>
      </c>
      <c r="H2940">
        <f>IF(ISBLANK('ENGAGEMENTS 2026'!B2940),"",'ENGAGEMENTS 2026'!AE2940)</f>
        <v/>
      </c>
      <c r="I2940">
        <f>IF(ISBLANK('ENGAGEMENTS 2026'!B2940),"",'ENGAGEMENTS 2026'!G2940)</f>
        <v/>
      </c>
      <c r="J2940" s="275">
        <f>IF(ISBLANK('ENGAGEMENTS 2026'!B2940),"",IF(AND(OR($E2940="INFRUCTUEUX",$E2940="ANNULE"),$C2940="AOO-M"),'ENGAGEMENTS 2026'!O2940,IF($H2940="EN COURS DE PREENGAGEMENT",'ENGAGEMENTS 2026'!N2940,IF($H2940="PREENGAGE",IF($E2940="ATTRIBUE",'ENGAGEMENTS 2026'!AD2940,'ENGAGEMENTS 2026'!N2940),'ENGAGEMENTS 2026'!AD2940))))</f>
        <v/>
      </c>
      <c r="K2940" s="604">
        <f>IF(ISBLANK('ENGAGEMENTS 2026'!V2940),"",'ENGAGEMENTS 2026'!V2940)</f>
        <v/>
      </c>
      <c r="L2940" s="276">
        <f>IF($K2940="","",TODAY()-$K2940)</f>
        <v/>
      </c>
      <c r="M2940">
        <f>IF($A2940="","",IF($H2940="ENGAGE","Engagé",IF(AND($H2940="NON ENGAGE",OR($I2940="INFRUCTUEUX",$I2940="ANNULE")),"Clôturé sans suite","En cours")))</f>
        <v/>
      </c>
      <c r="N2940">
        <f>IF(ISBLANK('ENGAGEMENTS 2026'!B2940),"",'ENGAGEMENTS 2026'!K2940)</f>
        <v/>
      </c>
      <c r="O2940">
        <f>IF(ISBLANK('ENGAGEMENTS 2026'!B2940),"",'ENGAGEMENTS 2026'!L2940)</f>
        <v/>
      </c>
      <c r="P2940">
        <f>IF(ISBLANK('ENGAGEMENTS 2026'!B2940),"",'ENGAGEMENTS 2026'!J2940)</f>
        <v/>
      </c>
      <c r="Q2940">
        <f>IF($A2940="","",IF(OR($E2940="INFRUCTUEUX",$E2940="ANNULE"),$A2940&amp;"|"&amp;(COUNTIFS($A$2:$A2940,$A2940,$E$2:$E2940,"INFRUCTUEUX")+COUNTIFS($A$2:$A2940,$A2940,$E$2:$E2940,"ANNULE")),""))</f>
        <v/>
      </c>
    </row>
    <row r="2941">
      <c r="A2941">
        <f>IF(ISBLANK('ENGAGEMENTS 2026'!B2941),"",IF('ENGAGEMENTS 2026'!B2941="DTSI","DCT",'ENGAGEMENTS 2026'!B2941))</f>
        <v/>
      </c>
      <c r="B2941">
        <f>IF(ISBLANK('ENGAGEMENTS 2026'!B2941),"",'ENGAGEMENTS 2026'!C2941)</f>
        <v/>
      </c>
      <c r="C2941">
        <f>IF(ISBLANK('ENGAGEMENTS 2026'!B2941),"",'ENGAGEMENTS 2026'!D2941)</f>
        <v/>
      </c>
      <c r="D2941">
        <f>IF(ISBLANK('ENGAGEMENTS 2026'!B2941),"",'ENGAGEMENTS 2026'!F2941)</f>
        <v/>
      </c>
      <c r="E2941">
        <f>IF(ISBLANK('ENGAGEMENTS 2026'!B2941),"",'ENGAGEMENTS 2026'!H2941)</f>
        <v/>
      </c>
      <c r="F2941">
        <f>IF(ISBLANK('ENGAGEMENTS 2026'!B2941),"",'ENGAGEMENTS 2026'!I2941)</f>
        <v/>
      </c>
      <c r="G2941">
        <f>IF(ISBLANK('ENGAGEMENTS 2026'!B2941),"",'ENGAGEMENTS 2026'!L2941)</f>
        <v/>
      </c>
      <c r="H2941">
        <f>IF(ISBLANK('ENGAGEMENTS 2026'!B2941),"",'ENGAGEMENTS 2026'!AE2941)</f>
        <v/>
      </c>
      <c r="I2941">
        <f>IF(ISBLANK('ENGAGEMENTS 2026'!B2941),"",'ENGAGEMENTS 2026'!G2941)</f>
        <v/>
      </c>
      <c r="J2941" s="275">
        <f>IF(ISBLANK('ENGAGEMENTS 2026'!B2941),"",IF(AND(OR($E2941="INFRUCTUEUX",$E2941="ANNULE"),$C2941="AOO-M"),'ENGAGEMENTS 2026'!O2941,IF($H2941="EN COURS DE PREENGAGEMENT",'ENGAGEMENTS 2026'!N2941,IF($H2941="PREENGAGE",IF($E2941="ATTRIBUE",'ENGAGEMENTS 2026'!AD2941,'ENGAGEMENTS 2026'!N2941),'ENGAGEMENTS 2026'!AD2941))))</f>
        <v/>
      </c>
      <c r="K2941" s="604">
        <f>IF(ISBLANK('ENGAGEMENTS 2026'!V2941),"",'ENGAGEMENTS 2026'!V2941)</f>
        <v/>
      </c>
      <c r="L2941" s="276">
        <f>IF($K2941="","",TODAY()-$K2941)</f>
        <v/>
      </c>
      <c r="M2941">
        <f>IF($A2941="","",IF($H2941="ENGAGE","Engagé",IF(AND($H2941="NON ENGAGE",OR($I2941="INFRUCTUEUX",$I2941="ANNULE")),"Clôturé sans suite","En cours")))</f>
        <v/>
      </c>
      <c r="N2941">
        <f>IF(ISBLANK('ENGAGEMENTS 2026'!B2941),"",'ENGAGEMENTS 2026'!K2941)</f>
        <v/>
      </c>
      <c r="O2941">
        <f>IF(ISBLANK('ENGAGEMENTS 2026'!B2941),"",'ENGAGEMENTS 2026'!L2941)</f>
        <v/>
      </c>
      <c r="P2941">
        <f>IF(ISBLANK('ENGAGEMENTS 2026'!B2941),"",'ENGAGEMENTS 2026'!J2941)</f>
        <v/>
      </c>
      <c r="Q2941">
        <f>IF($A2941="","",IF(OR($E2941="INFRUCTUEUX",$E2941="ANNULE"),$A2941&amp;"|"&amp;(COUNTIFS($A$2:$A2941,$A2941,$E$2:$E2941,"INFRUCTUEUX")+COUNTIFS($A$2:$A2941,$A2941,$E$2:$E2941,"ANNULE")),""))</f>
        <v/>
      </c>
    </row>
    <row r="2942">
      <c r="A2942">
        <f>IF(ISBLANK('ENGAGEMENTS 2026'!B2942),"",IF('ENGAGEMENTS 2026'!B2942="DTSI","DCT",'ENGAGEMENTS 2026'!B2942))</f>
        <v/>
      </c>
      <c r="B2942">
        <f>IF(ISBLANK('ENGAGEMENTS 2026'!B2942),"",'ENGAGEMENTS 2026'!C2942)</f>
        <v/>
      </c>
      <c r="C2942">
        <f>IF(ISBLANK('ENGAGEMENTS 2026'!B2942),"",'ENGAGEMENTS 2026'!D2942)</f>
        <v/>
      </c>
      <c r="D2942">
        <f>IF(ISBLANK('ENGAGEMENTS 2026'!B2942),"",'ENGAGEMENTS 2026'!F2942)</f>
        <v/>
      </c>
      <c r="E2942">
        <f>IF(ISBLANK('ENGAGEMENTS 2026'!B2942),"",'ENGAGEMENTS 2026'!H2942)</f>
        <v/>
      </c>
      <c r="F2942">
        <f>IF(ISBLANK('ENGAGEMENTS 2026'!B2942),"",'ENGAGEMENTS 2026'!I2942)</f>
        <v/>
      </c>
      <c r="G2942">
        <f>IF(ISBLANK('ENGAGEMENTS 2026'!B2942),"",'ENGAGEMENTS 2026'!L2942)</f>
        <v/>
      </c>
      <c r="H2942">
        <f>IF(ISBLANK('ENGAGEMENTS 2026'!B2942),"",'ENGAGEMENTS 2026'!AE2942)</f>
        <v/>
      </c>
      <c r="I2942">
        <f>IF(ISBLANK('ENGAGEMENTS 2026'!B2942),"",'ENGAGEMENTS 2026'!G2942)</f>
        <v/>
      </c>
      <c r="J2942" s="275">
        <f>IF(ISBLANK('ENGAGEMENTS 2026'!B2942),"",IF(AND(OR($E2942="INFRUCTUEUX",$E2942="ANNULE"),$C2942="AOO-M"),'ENGAGEMENTS 2026'!O2942,IF($H2942="EN COURS DE PREENGAGEMENT",'ENGAGEMENTS 2026'!N2942,IF($H2942="PREENGAGE",IF($E2942="ATTRIBUE",'ENGAGEMENTS 2026'!AD2942,'ENGAGEMENTS 2026'!N2942),'ENGAGEMENTS 2026'!AD2942))))</f>
        <v/>
      </c>
      <c r="K2942" s="604">
        <f>IF(ISBLANK('ENGAGEMENTS 2026'!V2942),"",'ENGAGEMENTS 2026'!V2942)</f>
        <v/>
      </c>
      <c r="L2942" s="276">
        <f>IF($K2942="","",TODAY()-$K2942)</f>
        <v/>
      </c>
      <c r="M2942">
        <f>IF($A2942="","",IF($H2942="ENGAGE","Engagé",IF(AND($H2942="NON ENGAGE",OR($I2942="INFRUCTUEUX",$I2942="ANNULE")),"Clôturé sans suite","En cours")))</f>
        <v/>
      </c>
      <c r="N2942">
        <f>IF(ISBLANK('ENGAGEMENTS 2026'!B2942),"",'ENGAGEMENTS 2026'!K2942)</f>
        <v/>
      </c>
      <c r="O2942">
        <f>IF(ISBLANK('ENGAGEMENTS 2026'!B2942),"",'ENGAGEMENTS 2026'!L2942)</f>
        <v/>
      </c>
      <c r="P2942">
        <f>IF(ISBLANK('ENGAGEMENTS 2026'!B2942),"",'ENGAGEMENTS 2026'!J2942)</f>
        <v/>
      </c>
      <c r="Q2942">
        <f>IF($A2942="","",IF(OR($E2942="INFRUCTUEUX",$E2942="ANNULE"),$A2942&amp;"|"&amp;(COUNTIFS($A$2:$A2942,$A2942,$E$2:$E2942,"INFRUCTUEUX")+COUNTIFS($A$2:$A2942,$A2942,$E$2:$E2942,"ANNULE")),""))</f>
        <v/>
      </c>
    </row>
    <row r="2943">
      <c r="A2943">
        <f>IF(ISBLANK('ENGAGEMENTS 2026'!B2943),"",IF('ENGAGEMENTS 2026'!B2943="DTSI","DCT",'ENGAGEMENTS 2026'!B2943))</f>
        <v/>
      </c>
      <c r="B2943">
        <f>IF(ISBLANK('ENGAGEMENTS 2026'!B2943),"",'ENGAGEMENTS 2026'!C2943)</f>
        <v/>
      </c>
      <c r="C2943">
        <f>IF(ISBLANK('ENGAGEMENTS 2026'!B2943),"",'ENGAGEMENTS 2026'!D2943)</f>
        <v/>
      </c>
      <c r="D2943">
        <f>IF(ISBLANK('ENGAGEMENTS 2026'!B2943),"",'ENGAGEMENTS 2026'!F2943)</f>
        <v/>
      </c>
      <c r="E2943">
        <f>IF(ISBLANK('ENGAGEMENTS 2026'!B2943),"",'ENGAGEMENTS 2026'!H2943)</f>
        <v/>
      </c>
      <c r="F2943">
        <f>IF(ISBLANK('ENGAGEMENTS 2026'!B2943),"",'ENGAGEMENTS 2026'!I2943)</f>
        <v/>
      </c>
      <c r="G2943">
        <f>IF(ISBLANK('ENGAGEMENTS 2026'!B2943),"",'ENGAGEMENTS 2026'!L2943)</f>
        <v/>
      </c>
      <c r="H2943">
        <f>IF(ISBLANK('ENGAGEMENTS 2026'!B2943),"",'ENGAGEMENTS 2026'!AE2943)</f>
        <v/>
      </c>
      <c r="I2943">
        <f>IF(ISBLANK('ENGAGEMENTS 2026'!B2943),"",'ENGAGEMENTS 2026'!G2943)</f>
        <v/>
      </c>
      <c r="J2943" s="275">
        <f>IF(ISBLANK('ENGAGEMENTS 2026'!B2943),"",IF(AND(OR($E2943="INFRUCTUEUX",$E2943="ANNULE"),$C2943="AOO-M"),'ENGAGEMENTS 2026'!O2943,IF($H2943="EN COURS DE PREENGAGEMENT",'ENGAGEMENTS 2026'!N2943,IF($H2943="PREENGAGE",IF($E2943="ATTRIBUE",'ENGAGEMENTS 2026'!AD2943,'ENGAGEMENTS 2026'!N2943),'ENGAGEMENTS 2026'!AD2943))))</f>
        <v/>
      </c>
      <c r="K2943" s="604">
        <f>IF(ISBLANK('ENGAGEMENTS 2026'!V2943),"",'ENGAGEMENTS 2026'!V2943)</f>
        <v/>
      </c>
      <c r="L2943" s="276">
        <f>IF($K2943="","",TODAY()-$K2943)</f>
        <v/>
      </c>
      <c r="M2943">
        <f>IF($A2943="","",IF($H2943="ENGAGE","Engagé",IF(AND($H2943="NON ENGAGE",OR($I2943="INFRUCTUEUX",$I2943="ANNULE")),"Clôturé sans suite","En cours")))</f>
        <v/>
      </c>
      <c r="N2943">
        <f>IF(ISBLANK('ENGAGEMENTS 2026'!B2943),"",'ENGAGEMENTS 2026'!K2943)</f>
        <v/>
      </c>
      <c r="O2943">
        <f>IF(ISBLANK('ENGAGEMENTS 2026'!B2943),"",'ENGAGEMENTS 2026'!L2943)</f>
        <v/>
      </c>
      <c r="P2943">
        <f>IF(ISBLANK('ENGAGEMENTS 2026'!B2943),"",'ENGAGEMENTS 2026'!J2943)</f>
        <v/>
      </c>
      <c r="Q2943">
        <f>IF($A2943="","",IF(OR($E2943="INFRUCTUEUX",$E2943="ANNULE"),$A2943&amp;"|"&amp;(COUNTIFS($A$2:$A2943,$A2943,$E$2:$E2943,"INFRUCTUEUX")+COUNTIFS($A$2:$A2943,$A2943,$E$2:$E2943,"ANNULE")),""))</f>
        <v/>
      </c>
    </row>
    <row r="2944">
      <c r="A2944">
        <f>IF(ISBLANK('ENGAGEMENTS 2026'!B2944),"",IF('ENGAGEMENTS 2026'!B2944="DTSI","DCT",'ENGAGEMENTS 2026'!B2944))</f>
        <v/>
      </c>
      <c r="B2944">
        <f>IF(ISBLANK('ENGAGEMENTS 2026'!B2944),"",'ENGAGEMENTS 2026'!C2944)</f>
        <v/>
      </c>
      <c r="C2944">
        <f>IF(ISBLANK('ENGAGEMENTS 2026'!B2944),"",'ENGAGEMENTS 2026'!D2944)</f>
        <v/>
      </c>
      <c r="D2944">
        <f>IF(ISBLANK('ENGAGEMENTS 2026'!B2944),"",'ENGAGEMENTS 2026'!F2944)</f>
        <v/>
      </c>
      <c r="E2944">
        <f>IF(ISBLANK('ENGAGEMENTS 2026'!B2944),"",'ENGAGEMENTS 2026'!H2944)</f>
        <v/>
      </c>
      <c r="F2944">
        <f>IF(ISBLANK('ENGAGEMENTS 2026'!B2944),"",'ENGAGEMENTS 2026'!I2944)</f>
        <v/>
      </c>
      <c r="G2944">
        <f>IF(ISBLANK('ENGAGEMENTS 2026'!B2944),"",'ENGAGEMENTS 2026'!L2944)</f>
        <v/>
      </c>
      <c r="H2944">
        <f>IF(ISBLANK('ENGAGEMENTS 2026'!B2944),"",'ENGAGEMENTS 2026'!AE2944)</f>
        <v/>
      </c>
      <c r="I2944">
        <f>IF(ISBLANK('ENGAGEMENTS 2026'!B2944),"",'ENGAGEMENTS 2026'!G2944)</f>
        <v/>
      </c>
      <c r="J2944" s="275">
        <f>IF(ISBLANK('ENGAGEMENTS 2026'!B2944),"",IF(AND(OR($E2944="INFRUCTUEUX",$E2944="ANNULE"),$C2944="AOO-M"),'ENGAGEMENTS 2026'!O2944,IF($H2944="EN COURS DE PREENGAGEMENT",'ENGAGEMENTS 2026'!N2944,IF($H2944="PREENGAGE",IF($E2944="ATTRIBUE",'ENGAGEMENTS 2026'!AD2944,'ENGAGEMENTS 2026'!N2944),'ENGAGEMENTS 2026'!AD2944))))</f>
        <v/>
      </c>
      <c r="K2944" s="604">
        <f>IF(ISBLANK('ENGAGEMENTS 2026'!V2944),"",'ENGAGEMENTS 2026'!V2944)</f>
        <v/>
      </c>
      <c r="L2944" s="276">
        <f>IF($K2944="","",TODAY()-$K2944)</f>
        <v/>
      </c>
      <c r="M2944">
        <f>IF($A2944="","",IF($H2944="ENGAGE","Engagé",IF(AND($H2944="NON ENGAGE",OR($I2944="INFRUCTUEUX",$I2944="ANNULE")),"Clôturé sans suite","En cours")))</f>
        <v/>
      </c>
      <c r="N2944">
        <f>IF(ISBLANK('ENGAGEMENTS 2026'!B2944),"",'ENGAGEMENTS 2026'!K2944)</f>
        <v/>
      </c>
      <c r="O2944">
        <f>IF(ISBLANK('ENGAGEMENTS 2026'!B2944),"",'ENGAGEMENTS 2026'!L2944)</f>
        <v/>
      </c>
      <c r="P2944">
        <f>IF(ISBLANK('ENGAGEMENTS 2026'!B2944),"",'ENGAGEMENTS 2026'!J2944)</f>
        <v/>
      </c>
      <c r="Q2944">
        <f>IF($A2944="","",IF(OR($E2944="INFRUCTUEUX",$E2944="ANNULE"),$A2944&amp;"|"&amp;(COUNTIFS($A$2:$A2944,$A2944,$E$2:$E2944,"INFRUCTUEUX")+COUNTIFS($A$2:$A2944,$A2944,$E$2:$E2944,"ANNULE")),""))</f>
        <v/>
      </c>
    </row>
    <row r="2945">
      <c r="A2945">
        <f>IF(ISBLANK('ENGAGEMENTS 2026'!B2945),"",IF('ENGAGEMENTS 2026'!B2945="DTSI","DCT",'ENGAGEMENTS 2026'!B2945))</f>
        <v/>
      </c>
      <c r="B2945">
        <f>IF(ISBLANK('ENGAGEMENTS 2026'!B2945),"",'ENGAGEMENTS 2026'!C2945)</f>
        <v/>
      </c>
      <c r="C2945">
        <f>IF(ISBLANK('ENGAGEMENTS 2026'!B2945),"",'ENGAGEMENTS 2026'!D2945)</f>
        <v/>
      </c>
      <c r="D2945">
        <f>IF(ISBLANK('ENGAGEMENTS 2026'!B2945),"",'ENGAGEMENTS 2026'!F2945)</f>
        <v/>
      </c>
      <c r="E2945">
        <f>IF(ISBLANK('ENGAGEMENTS 2026'!B2945),"",'ENGAGEMENTS 2026'!H2945)</f>
        <v/>
      </c>
      <c r="F2945">
        <f>IF(ISBLANK('ENGAGEMENTS 2026'!B2945),"",'ENGAGEMENTS 2026'!I2945)</f>
        <v/>
      </c>
      <c r="G2945">
        <f>IF(ISBLANK('ENGAGEMENTS 2026'!B2945),"",'ENGAGEMENTS 2026'!L2945)</f>
        <v/>
      </c>
      <c r="H2945">
        <f>IF(ISBLANK('ENGAGEMENTS 2026'!B2945),"",'ENGAGEMENTS 2026'!AE2945)</f>
        <v/>
      </c>
      <c r="I2945">
        <f>IF(ISBLANK('ENGAGEMENTS 2026'!B2945),"",'ENGAGEMENTS 2026'!G2945)</f>
        <v/>
      </c>
      <c r="J2945" s="275">
        <f>IF(ISBLANK('ENGAGEMENTS 2026'!B2945),"",IF(AND(OR($E2945="INFRUCTUEUX",$E2945="ANNULE"),$C2945="AOO-M"),'ENGAGEMENTS 2026'!O2945,IF($H2945="EN COURS DE PREENGAGEMENT",'ENGAGEMENTS 2026'!N2945,IF($H2945="PREENGAGE",IF($E2945="ATTRIBUE",'ENGAGEMENTS 2026'!AD2945,'ENGAGEMENTS 2026'!N2945),'ENGAGEMENTS 2026'!AD2945))))</f>
        <v/>
      </c>
      <c r="K2945" s="604">
        <f>IF(ISBLANK('ENGAGEMENTS 2026'!V2945),"",'ENGAGEMENTS 2026'!V2945)</f>
        <v/>
      </c>
      <c r="L2945" s="276">
        <f>IF($K2945="","",TODAY()-$K2945)</f>
        <v/>
      </c>
      <c r="M2945">
        <f>IF($A2945="","",IF($H2945="ENGAGE","Engagé",IF(AND($H2945="NON ENGAGE",OR($I2945="INFRUCTUEUX",$I2945="ANNULE")),"Clôturé sans suite","En cours")))</f>
        <v/>
      </c>
      <c r="N2945">
        <f>IF(ISBLANK('ENGAGEMENTS 2026'!B2945),"",'ENGAGEMENTS 2026'!K2945)</f>
        <v/>
      </c>
      <c r="O2945">
        <f>IF(ISBLANK('ENGAGEMENTS 2026'!B2945),"",'ENGAGEMENTS 2026'!L2945)</f>
        <v/>
      </c>
      <c r="P2945">
        <f>IF(ISBLANK('ENGAGEMENTS 2026'!B2945),"",'ENGAGEMENTS 2026'!J2945)</f>
        <v/>
      </c>
      <c r="Q2945">
        <f>IF($A2945="","",IF(OR($E2945="INFRUCTUEUX",$E2945="ANNULE"),$A2945&amp;"|"&amp;(COUNTIFS($A$2:$A2945,$A2945,$E$2:$E2945,"INFRUCTUEUX")+COUNTIFS($A$2:$A2945,$A2945,$E$2:$E2945,"ANNULE")),""))</f>
        <v/>
      </c>
    </row>
    <row r="2946">
      <c r="A2946">
        <f>IF(ISBLANK('ENGAGEMENTS 2026'!B2946),"",IF('ENGAGEMENTS 2026'!B2946="DTSI","DCT",'ENGAGEMENTS 2026'!B2946))</f>
        <v/>
      </c>
      <c r="B2946">
        <f>IF(ISBLANK('ENGAGEMENTS 2026'!B2946),"",'ENGAGEMENTS 2026'!C2946)</f>
        <v/>
      </c>
      <c r="C2946">
        <f>IF(ISBLANK('ENGAGEMENTS 2026'!B2946),"",'ENGAGEMENTS 2026'!D2946)</f>
        <v/>
      </c>
      <c r="D2946">
        <f>IF(ISBLANK('ENGAGEMENTS 2026'!B2946),"",'ENGAGEMENTS 2026'!F2946)</f>
        <v/>
      </c>
      <c r="E2946">
        <f>IF(ISBLANK('ENGAGEMENTS 2026'!B2946),"",'ENGAGEMENTS 2026'!H2946)</f>
        <v/>
      </c>
      <c r="F2946">
        <f>IF(ISBLANK('ENGAGEMENTS 2026'!B2946),"",'ENGAGEMENTS 2026'!I2946)</f>
        <v/>
      </c>
      <c r="G2946">
        <f>IF(ISBLANK('ENGAGEMENTS 2026'!B2946),"",'ENGAGEMENTS 2026'!L2946)</f>
        <v/>
      </c>
      <c r="H2946">
        <f>IF(ISBLANK('ENGAGEMENTS 2026'!B2946),"",'ENGAGEMENTS 2026'!AE2946)</f>
        <v/>
      </c>
      <c r="I2946">
        <f>IF(ISBLANK('ENGAGEMENTS 2026'!B2946),"",'ENGAGEMENTS 2026'!G2946)</f>
        <v/>
      </c>
      <c r="J2946" s="275">
        <f>IF(ISBLANK('ENGAGEMENTS 2026'!B2946),"",IF(AND(OR($E2946="INFRUCTUEUX",$E2946="ANNULE"),$C2946="AOO-M"),'ENGAGEMENTS 2026'!O2946,IF($H2946="EN COURS DE PREENGAGEMENT",'ENGAGEMENTS 2026'!N2946,IF($H2946="PREENGAGE",IF($E2946="ATTRIBUE",'ENGAGEMENTS 2026'!AD2946,'ENGAGEMENTS 2026'!N2946),'ENGAGEMENTS 2026'!AD2946))))</f>
        <v/>
      </c>
      <c r="K2946" s="604">
        <f>IF(ISBLANK('ENGAGEMENTS 2026'!V2946),"",'ENGAGEMENTS 2026'!V2946)</f>
        <v/>
      </c>
      <c r="L2946" s="276">
        <f>IF($K2946="","",TODAY()-$K2946)</f>
        <v/>
      </c>
      <c r="M2946">
        <f>IF($A2946="","",IF($H2946="ENGAGE","Engagé",IF(AND($H2946="NON ENGAGE",OR($I2946="INFRUCTUEUX",$I2946="ANNULE")),"Clôturé sans suite","En cours")))</f>
        <v/>
      </c>
      <c r="N2946">
        <f>IF(ISBLANK('ENGAGEMENTS 2026'!B2946),"",'ENGAGEMENTS 2026'!K2946)</f>
        <v/>
      </c>
      <c r="O2946">
        <f>IF(ISBLANK('ENGAGEMENTS 2026'!B2946),"",'ENGAGEMENTS 2026'!L2946)</f>
        <v/>
      </c>
      <c r="P2946">
        <f>IF(ISBLANK('ENGAGEMENTS 2026'!B2946),"",'ENGAGEMENTS 2026'!J2946)</f>
        <v/>
      </c>
      <c r="Q2946">
        <f>IF($A2946="","",IF(OR($E2946="INFRUCTUEUX",$E2946="ANNULE"),$A2946&amp;"|"&amp;(COUNTIFS($A$2:$A2946,$A2946,$E$2:$E2946,"INFRUCTUEUX")+COUNTIFS($A$2:$A2946,$A2946,$E$2:$E2946,"ANNULE")),""))</f>
        <v/>
      </c>
    </row>
    <row r="2947">
      <c r="A2947">
        <f>IF(ISBLANK('ENGAGEMENTS 2026'!B2947),"",IF('ENGAGEMENTS 2026'!B2947="DTSI","DCT",'ENGAGEMENTS 2026'!B2947))</f>
        <v/>
      </c>
      <c r="B2947">
        <f>IF(ISBLANK('ENGAGEMENTS 2026'!B2947),"",'ENGAGEMENTS 2026'!C2947)</f>
        <v/>
      </c>
      <c r="C2947">
        <f>IF(ISBLANK('ENGAGEMENTS 2026'!B2947),"",'ENGAGEMENTS 2026'!D2947)</f>
        <v/>
      </c>
      <c r="D2947">
        <f>IF(ISBLANK('ENGAGEMENTS 2026'!B2947),"",'ENGAGEMENTS 2026'!F2947)</f>
        <v/>
      </c>
      <c r="E2947">
        <f>IF(ISBLANK('ENGAGEMENTS 2026'!B2947),"",'ENGAGEMENTS 2026'!H2947)</f>
        <v/>
      </c>
      <c r="F2947">
        <f>IF(ISBLANK('ENGAGEMENTS 2026'!B2947),"",'ENGAGEMENTS 2026'!I2947)</f>
        <v/>
      </c>
      <c r="G2947">
        <f>IF(ISBLANK('ENGAGEMENTS 2026'!B2947),"",'ENGAGEMENTS 2026'!L2947)</f>
        <v/>
      </c>
      <c r="H2947">
        <f>IF(ISBLANK('ENGAGEMENTS 2026'!B2947),"",'ENGAGEMENTS 2026'!AE2947)</f>
        <v/>
      </c>
      <c r="I2947">
        <f>IF(ISBLANK('ENGAGEMENTS 2026'!B2947),"",'ENGAGEMENTS 2026'!G2947)</f>
        <v/>
      </c>
      <c r="J2947" s="275">
        <f>IF(ISBLANK('ENGAGEMENTS 2026'!B2947),"",IF(AND(OR($E2947="INFRUCTUEUX",$E2947="ANNULE"),$C2947="AOO-M"),'ENGAGEMENTS 2026'!O2947,IF($H2947="EN COURS DE PREENGAGEMENT",'ENGAGEMENTS 2026'!N2947,IF($H2947="PREENGAGE",IF($E2947="ATTRIBUE",'ENGAGEMENTS 2026'!AD2947,'ENGAGEMENTS 2026'!N2947),'ENGAGEMENTS 2026'!AD2947))))</f>
        <v/>
      </c>
      <c r="K2947" s="604">
        <f>IF(ISBLANK('ENGAGEMENTS 2026'!V2947),"",'ENGAGEMENTS 2026'!V2947)</f>
        <v/>
      </c>
      <c r="L2947" s="276">
        <f>IF($K2947="","",TODAY()-$K2947)</f>
        <v/>
      </c>
      <c r="M2947">
        <f>IF($A2947="","",IF($H2947="ENGAGE","Engagé",IF(AND($H2947="NON ENGAGE",OR($I2947="INFRUCTUEUX",$I2947="ANNULE")),"Clôturé sans suite","En cours")))</f>
        <v/>
      </c>
      <c r="N2947">
        <f>IF(ISBLANK('ENGAGEMENTS 2026'!B2947),"",'ENGAGEMENTS 2026'!K2947)</f>
        <v/>
      </c>
      <c r="O2947">
        <f>IF(ISBLANK('ENGAGEMENTS 2026'!B2947),"",'ENGAGEMENTS 2026'!L2947)</f>
        <v/>
      </c>
      <c r="P2947">
        <f>IF(ISBLANK('ENGAGEMENTS 2026'!B2947),"",'ENGAGEMENTS 2026'!J2947)</f>
        <v/>
      </c>
      <c r="Q2947">
        <f>IF($A2947="","",IF(OR($E2947="INFRUCTUEUX",$E2947="ANNULE"),$A2947&amp;"|"&amp;(COUNTIFS($A$2:$A2947,$A2947,$E$2:$E2947,"INFRUCTUEUX")+COUNTIFS($A$2:$A2947,$A2947,$E$2:$E2947,"ANNULE")),""))</f>
        <v/>
      </c>
    </row>
    <row r="2948">
      <c r="A2948">
        <f>IF(ISBLANK('ENGAGEMENTS 2026'!B2948),"",IF('ENGAGEMENTS 2026'!B2948="DTSI","DCT",'ENGAGEMENTS 2026'!B2948))</f>
        <v/>
      </c>
      <c r="B2948">
        <f>IF(ISBLANK('ENGAGEMENTS 2026'!B2948),"",'ENGAGEMENTS 2026'!C2948)</f>
        <v/>
      </c>
      <c r="C2948">
        <f>IF(ISBLANK('ENGAGEMENTS 2026'!B2948),"",'ENGAGEMENTS 2026'!D2948)</f>
        <v/>
      </c>
      <c r="D2948">
        <f>IF(ISBLANK('ENGAGEMENTS 2026'!B2948),"",'ENGAGEMENTS 2026'!F2948)</f>
        <v/>
      </c>
      <c r="E2948">
        <f>IF(ISBLANK('ENGAGEMENTS 2026'!B2948),"",'ENGAGEMENTS 2026'!H2948)</f>
        <v/>
      </c>
      <c r="F2948">
        <f>IF(ISBLANK('ENGAGEMENTS 2026'!B2948),"",'ENGAGEMENTS 2026'!I2948)</f>
        <v/>
      </c>
      <c r="G2948">
        <f>IF(ISBLANK('ENGAGEMENTS 2026'!B2948),"",'ENGAGEMENTS 2026'!L2948)</f>
        <v/>
      </c>
      <c r="H2948">
        <f>IF(ISBLANK('ENGAGEMENTS 2026'!B2948),"",'ENGAGEMENTS 2026'!AE2948)</f>
        <v/>
      </c>
      <c r="I2948">
        <f>IF(ISBLANK('ENGAGEMENTS 2026'!B2948),"",'ENGAGEMENTS 2026'!G2948)</f>
        <v/>
      </c>
      <c r="J2948" s="275">
        <f>IF(ISBLANK('ENGAGEMENTS 2026'!B2948),"",IF(AND(OR($E2948="INFRUCTUEUX",$E2948="ANNULE"),$C2948="AOO-M"),'ENGAGEMENTS 2026'!O2948,IF($H2948="EN COURS DE PREENGAGEMENT",'ENGAGEMENTS 2026'!N2948,IF($H2948="PREENGAGE",IF($E2948="ATTRIBUE",'ENGAGEMENTS 2026'!AD2948,'ENGAGEMENTS 2026'!N2948),'ENGAGEMENTS 2026'!AD2948))))</f>
        <v/>
      </c>
      <c r="K2948" s="604">
        <f>IF(ISBLANK('ENGAGEMENTS 2026'!V2948),"",'ENGAGEMENTS 2026'!V2948)</f>
        <v/>
      </c>
      <c r="L2948" s="276">
        <f>IF($K2948="","",TODAY()-$K2948)</f>
        <v/>
      </c>
      <c r="M2948">
        <f>IF($A2948="","",IF($H2948="ENGAGE","Engagé",IF(AND($H2948="NON ENGAGE",OR($I2948="INFRUCTUEUX",$I2948="ANNULE")),"Clôturé sans suite","En cours")))</f>
        <v/>
      </c>
      <c r="N2948">
        <f>IF(ISBLANK('ENGAGEMENTS 2026'!B2948),"",'ENGAGEMENTS 2026'!K2948)</f>
        <v/>
      </c>
      <c r="O2948">
        <f>IF(ISBLANK('ENGAGEMENTS 2026'!B2948),"",'ENGAGEMENTS 2026'!L2948)</f>
        <v/>
      </c>
      <c r="P2948">
        <f>IF(ISBLANK('ENGAGEMENTS 2026'!B2948),"",'ENGAGEMENTS 2026'!J2948)</f>
        <v/>
      </c>
      <c r="Q2948">
        <f>IF($A2948="","",IF(OR($E2948="INFRUCTUEUX",$E2948="ANNULE"),$A2948&amp;"|"&amp;(COUNTIFS($A$2:$A2948,$A2948,$E$2:$E2948,"INFRUCTUEUX")+COUNTIFS($A$2:$A2948,$A2948,$E$2:$E2948,"ANNULE")),""))</f>
        <v/>
      </c>
    </row>
    <row r="2949">
      <c r="A2949">
        <f>IF(ISBLANK('ENGAGEMENTS 2026'!B2949),"",IF('ENGAGEMENTS 2026'!B2949="DTSI","DCT",'ENGAGEMENTS 2026'!B2949))</f>
        <v/>
      </c>
      <c r="B2949">
        <f>IF(ISBLANK('ENGAGEMENTS 2026'!B2949),"",'ENGAGEMENTS 2026'!C2949)</f>
        <v/>
      </c>
      <c r="C2949">
        <f>IF(ISBLANK('ENGAGEMENTS 2026'!B2949),"",'ENGAGEMENTS 2026'!D2949)</f>
        <v/>
      </c>
      <c r="D2949">
        <f>IF(ISBLANK('ENGAGEMENTS 2026'!B2949),"",'ENGAGEMENTS 2026'!F2949)</f>
        <v/>
      </c>
      <c r="E2949">
        <f>IF(ISBLANK('ENGAGEMENTS 2026'!B2949),"",'ENGAGEMENTS 2026'!H2949)</f>
        <v/>
      </c>
      <c r="F2949">
        <f>IF(ISBLANK('ENGAGEMENTS 2026'!B2949),"",'ENGAGEMENTS 2026'!I2949)</f>
        <v/>
      </c>
      <c r="G2949">
        <f>IF(ISBLANK('ENGAGEMENTS 2026'!B2949),"",'ENGAGEMENTS 2026'!L2949)</f>
        <v/>
      </c>
      <c r="H2949">
        <f>IF(ISBLANK('ENGAGEMENTS 2026'!B2949),"",'ENGAGEMENTS 2026'!AE2949)</f>
        <v/>
      </c>
      <c r="I2949">
        <f>IF(ISBLANK('ENGAGEMENTS 2026'!B2949),"",'ENGAGEMENTS 2026'!G2949)</f>
        <v/>
      </c>
      <c r="J2949" s="275">
        <f>IF(ISBLANK('ENGAGEMENTS 2026'!B2949),"",IF(AND(OR($E2949="INFRUCTUEUX",$E2949="ANNULE"),$C2949="AOO-M"),'ENGAGEMENTS 2026'!O2949,IF($H2949="EN COURS DE PREENGAGEMENT",'ENGAGEMENTS 2026'!N2949,IF($H2949="PREENGAGE",IF($E2949="ATTRIBUE",'ENGAGEMENTS 2026'!AD2949,'ENGAGEMENTS 2026'!N2949),'ENGAGEMENTS 2026'!AD2949))))</f>
        <v/>
      </c>
      <c r="K2949" s="604">
        <f>IF(ISBLANK('ENGAGEMENTS 2026'!V2949),"",'ENGAGEMENTS 2026'!V2949)</f>
        <v/>
      </c>
      <c r="L2949" s="276">
        <f>IF($K2949="","",TODAY()-$K2949)</f>
        <v/>
      </c>
      <c r="M2949">
        <f>IF($A2949="","",IF($H2949="ENGAGE","Engagé",IF(AND($H2949="NON ENGAGE",OR($I2949="INFRUCTUEUX",$I2949="ANNULE")),"Clôturé sans suite","En cours")))</f>
        <v/>
      </c>
      <c r="N2949">
        <f>IF(ISBLANK('ENGAGEMENTS 2026'!B2949),"",'ENGAGEMENTS 2026'!K2949)</f>
        <v/>
      </c>
      <c r="O2949">
        <f>IF(ISBLANK('ENGAGEMENTS 2026'!B2949),"",'ENGAGEMENTS 2026'!L2949)</f>
        <v/>
      </c>
      <c r="P2949">
        <f>IF(ISBLANK('ENGAGEMENTS 2026'!B2949),"",'ENGAGEMENTS 2026'!J2949)</f>
        <v/>
      </c>
      <c r="Q2949">
        <f>IF($A2949="","",IF(OR($E2949="INFRUCTUEUX",$E2949="ANNULE"),$A2949&amp;"|"&amp;(COUNTIFS($A$2:$A2949,$A2949,$E$2:$E2949,"INFRUCTUEUX")+COUNTIFS($A$2:$A2949,$A2949,$E$2:$E2949,"ANNULE")),""))</f>
        <v/>
      </c>
    </row>
    <row r="2950">
      <c r="A2950">
        <f>IF(ISBLANK('ENGAGEMENTS 2026'!B2950),"",IF('ENGAGEMENTS 2026'!B2950="DTSI","DCT",'ENGAGEMENTS 2026'!B2950))</f>
        <v/>
      </c>
      <c r="B2950">
        <f>IF(ISBLANK('ENGAGEMENTS 2026'!B2950),"",'ENGAGEMENTS 2026'!C2950)</f>
        <v/>
      </c>
      <c r="C2950">
        <f>IF(ISBLANK('ENGAGEMENTS 2026'!B2950),"",'ENGAGEMENTS 2026'!D2950)</f>
        <v/>
      </c>
      <c r="D2950">
        <f>IF(ISBLANK('ENGAGEMENTS 2026'!B2950),"",'ENGAGEMENTS 2026'!F2950)</f>
        <v/>
      </c>
      <c r="E2950">
        <f>IF(ISBLANK('ENGAGEMENTS 2026'!B2950),"",'ENGAGEMENTS 2026'!H2950)</f>
        <v/>
      </c>
      <c r="F2950">
        <f>IF(ISBLANK('ENGAGEMENTS 2026'!B2950),"",'ENGAGEMENTS 2026'!I2950)</f>
        <v/>
      </c>
      <c r="G2950">
        <f>IF(ISBLANK('ENGAGEMENTS 2026'!B2950),"",'ENGAGEMENTS 2026'!L2950)</f>
        <v/>
      </c>
      <c r="H2950">
        <f>IF(ISBLANK('ENGAGEMENTS 2026'!B2950),"",'ENGAGEMENTS 2026'!AE2950)</f>
        <v/>
      </c>
      <c r="I2950">
        <f>IF(ISBLANK('ENGAGEMENTS 2026'!B2950),"",'ENGAGEMENTS 2026'!G2950)</f>
        <v/>
      </c>
      <c r="J2950" s="275">
        <f>IF(ISBLANK('ENGAGEMENTS 2026'!B2950),"",IF(AND(OR($E2950="INFRUCTUEUX",$E2950="ANNULE"),$C2950="AOO-M"),'ENGAGEMENTS 2026'!O2950,IF($H2950="EN COURS DE PREENGAGEMENT",'ENGAGEMENTS 2026'!N2950,IF($H2950="PREENGAGE",IF($E2950="ATTRIBUE",'ENGAGEMENTS 2026'!AD2950,'ENGAGEMENTS 2026'!N2950),'ENGAGEMENTS 2026'!AD2950))))</f>
        <v/>
      </c>
      <c r="K2950" s="604">
        <f>IF(ISBLANK('ENGAGEMENTS 2026'!V2950),"",'ENGAGEMENTS 2026'!V2950)</f>
        <v/>
      </c>
      <c r="L2950" s="276">
        <f>IF($K2950="","",TODAY()-$K2950)</f>
        <v/>
      </c>
      <c r="M2950">
        <f>IF($A2950="","",IF($H2950="ENGAGE","Engagé",IF(AND($H2950="NON ENGAGE",OR($I2950="INFRUCTUEUX",$I2950="ANNULE")),"Clôturé sans suite","En cours")))</f>
        <v/>
      </c>
      <c r="N2950">
        <f>IF(ISBLANK('ENGAGEMENTS 2026'!B2950),"",'ENGAGEMENTS 2026'!K2950)</f>
        <v/>
      </c>
      <c r="O2950">
        <f>IF(ISBLANK('ENGAGEMENTS 2026'!B2950),"",'ENGAGEMENTS 2026'!L2950)</f>
        <v/>
      </c>
      <c r="P2950">
        <f>IF(ISBLANK('ENGAGEMENTS 2026'!B2950),"",'ENGAGEMENTS 2026'!J2950)</f>
        <v/>
      </c>
      <c r="Q2950">
        <f>IF($A2950="","",IF(OR($E2950="INFRUCTUEUX",$E2950="ANNULE"),$A2950&amp;"|"&amp;(COUNTIFS($A$2:$A2950,$A2950,$E$2:$E2950,"INFRUCTUEUX")+COUNTIFS($A$2:$A2950,$A2950,$E$2:$E2950,"ANNULE")),""))</f>
        <v/>
      </c>
    </row>
    <row r="2951">
      <c r="A2951">
        <f>IF(ISBLANK('ENGAGEMENTS 2026'!B2951),"",IF('ENGAGEMENTS 2026'!B2951="DTSI","DCT",'ENGAGEMENTS 2026'!B2951))</f>
        <v/>
      </c>
      <c r="B2951">
        <f>IF(ISBLANK('ENGAGEMENTS 2026'!B2951),"",'ENGAGEMENTS 2026'!C2951)</f>
        <v/>
      </c>
      <c r="C2951">
        <f>IF(ISBLANK('ENGAGEMENTS 2026'!B2951),"",'ENGAGEMENTS 2026'!D2951)</f>
        <v/>
      </c>
      <c r="D2951">
        <f>IF(ISBLANK('ENGAGEMENTS 2026'!B2951),"",'ENGAGEMENTS 2026'!F2951)</f>
        <v/>
      </c>
      <c r="E2951">
        <f>IF(ISBLANK('ENGAGEMENTS 2026'!B2951),"",'ENGAGEMENTS 2026'!H2951)</f>
        <v/>
      </c>
      <c r="F2951">
        <f>IF(ISBLANK('ENGAGEMENTS 2026'!B2951),"",'ENGAGEMENTS 2026'!I2951)</f>
        <v/>
      </c>
      <c r="G2951">
        <f>IF(ISBLANK('ENGAGEMENTS 2026'!B2951),"",'ENGAGEMENTS 2026'!L2951)</f>
        <v/>
      </c>
      <c r="H2951">
        <f>IF(ISBLANK('ENGAGEMENTS 2026'!B2951),"",'ENGAGEMENTS 2026'!AE2951)</f>
        <v/>
      </c>
      <c r="I2951">
        <f>IF(ISBLANK('ENGAGEMENTS 2026'!B2951),"",'ENGAGEMENTS 2026'!G2951)</f>
        <v/>
      </c>
      <c r="J2951" s="275">
        <f>IF(ISBLANK('ENGAGEMENTS 2026'!B2951),"",IF(AND(OR($E2951="INFRUCTUEUX",$E2951="ANNULE"),$C2951="AOO-M"),'ENGAGEMENTS 2026'!O2951,IF($H2951="EN COURS DE PREENGAGEMENT",'ENGAGEMENTS 2026'!N2951,IF($H2951="PREENGAGE",IF($E2951="ATTRIBUE",'ENGAGEMENTS 2026'!AD2951,'ENGAGEMENTS 2026'!N2951),'ENGAGEMENTS 2026'!AD2951))))</f>
        <v/>
      </c>
      <c r="K2951" s="604">
        <f>IF(ISBLANK('ENGAGEMENTS 2026'!V2951),"",'ENGAGEMENTS 2026'!V2951)</f>
        <v/>
      </c>
      <c r="L2951" s="276">
        <f>IF($K2951="","",TODAY()-$K2951)</f>
        <v/>
      </c>
      <c r="M2951">
        <f>IF($A2951="","",IF($H2951="ENGAGE","Engagé",IF(AND($H2951="NON ENGAGE",OR($I2951="INFRUCTUEUX",$I2951="ANNULE")),"Clôturé sans suite","En cours")))</f>
        <v/>
      </c>
      <c r="N2951">
        <f>IF(ISBLANK('ENGAGEMENTS 2026'!B2951),"",'ENGAGEMENTS 2026'!K2951)</f>
        <v/>
      </c>
      <c r="O2951">
        <f>IF(ISBLANK('ENGAGEMENTS 2026'!B2951),"",'ENGAGEMENTS 2026'!L2951)</f>
        <v/>
      </c>
      <c r="P2951">
        <f>IF(ISBLANK('ENGAGEMENTS 2026'!B2951),"",'ENGAGEMENTS 2026'!J2951)</f>
        <v/>
      </c>
      <c r="Q2951">
        <f>IF($A2951="","",IF(OR($E2951="INFRUCTUEUX",$E2951="ANNULE"),$A2951&amp;"|"&amp;(COUNTIFS($A$2:$A2951,$A2951,$E$2:$E2951,"INFRUCTUEUX")+COUNTIFS($A$2:$A2951,$A2951,$E$2:$E2951,"ANNULE")),""))</f>
        <v/>
      </c>
    </row>
    <row r="2952">
      <c r="A2952">
        <f>IF(ISBLANK('ENGAGEMENTS 2026'!B2952),"",IF('ENGAGEMENTS 2026'!B2952="DTSI","DCT",'ENGAGEMENTS 2026'!B2952))</f>
        <v/>
      </c>
      <c r="B2952">
        <f>IF(ISBLANK('ENGAGEMENTS 2026'!B2952),"",'ENGAGEMENTS 2026'!C2952)</f>
        <v/>
      </c>
      <c r="C2952">
        <f>IF(ISBLANK('ENGAGEMENTS 2026'!B2952),"",'ENGAGEMENTS 2026'!D2952)</f>
        <v/>
      </c>
      <c r="D2952">
        <f>IF(ISBLANK('ENGAGEMENTS 2026'!B2952),"",'ENGAGEMENTS 2026'!F2952)</f>
        <v/>
      </c>
      <c r="E2952">
        <f>IF(ISBLANK('ENGAGEMENTS 2026'!B2952),"",'ENGAGEMENTS 2026'!H2952)</f>
        <v/>
      </c>
      <c r="F2952">
        <f>IF(ISBLANK('ENGAGEMENTS 2026'!B2952),"",'ENGAGEMENTS 2026'!I2952)</f>
        <v/>
      </c>
      <c r="G2952">
        <f>IF(ISBLANK('ENGAGEMENTS 2026'!B2952),"",'ENGAGEMENTS 2026'!L2952)</f>
        <v/>
      </c>
      <c r="H2952">
        <f>IF(ISBLANK('ENGAGEMENTS 2026'!B2952),"",'ENGAGEMENTS 2026'!AE2952)</f>
        <v/>
      </c>
      <c r="I2952">
        <f>IF(ISBLANK('ENGAGEMENTS 2026'!B2952),"",'ENGAGEMENTS 2026'!G2952)</f>
        <v/>
      </c>
      <c r="J2952" s="275">
        <f>IF(ISBLANK('ENGAGEMENTS 2026'!B2952),"",IF(AND(OR($E2952="INFRUCTUEUX",$E2952="ANNULE"),$C2952="AOO-M"),'ENGAGEMENTS 2026'!O2952,IF($H2952="EN COURS DE PREENGAGEMENT",'ENGAGEMENTS 2026'!N2952,IF($H2952="PREENGAGE",IF($E2952="ATTRIBUE",'ENGAGEMENTS 2026'!AD2952,'ENGAGEMENTS 2026'!N2952),'ENGAGEMENTS 2026'!AD2952))))</f>
        <v/>
      </c>
      <c r="K2952" s="604">
        <f>IF(ISBLANK('ENGAGEMENTS 2026'!V2952),"",'ENGAGEMENTS 2026'!V2952)</f>
        <v/>
      </c>
      <c r="L2952" s="276">
        <f>IF($K2952="","",TODAY()-$K2952)</f>
        <v/>
      </c>
      <c r="M2952">
        <f>IF($A2952="","",IF($H2952="ENGAGE","Engagé",IF(AND($H2952="NON ENGAGE",OR($I2952="INFRUCTUEUX",$I2952="ANNULE")),"Clôturé sans suite","En cours")))</f>
        <v/>
      </c>
      <c r="N2952">
        <f>IF(ISBLANK('ENGAGEMENTS 2026'!B2952),"",'ENGAGEMENTS 2026'!K2952)</f>
        <v/>
      </c>
      <c r="O2952">
        <f>IF(ISBLANK('ENGAGEMENTS 2026'!B2952),"",'ENGAGEMENTS 2026'!L2952)</f>
        <v/>
      </c>
      <c r="P2952">
        <f>IF(ISBLANK('ENGAGEMENTS 2026'!B2952),"",'ENGAGEMENTS 2026'!J2952)</f>
        <v/>
      </c>
      <c r="Q2952">
        <f>IF($A2952="","",IF(OR($E2952="INFRUCTUEUX",$E2952="ANNULE"),$A2952&amp;"|"&amp;(COUNTIFS($A$2:$A2952,$A2952,$E$2:$E2952,"INFRUCTUEUX")+COUNTIFS($A$2:$A2952,$A2952,$E$2:$E2952,"ANNULE")),""))</f>
        <v/>
      </c>
    </row>
    <row r="2953">
      <c r="A2953">
        <f>IF(ISBLANK('ENGAGEMENTS 2026'!B2953),"",IF('ENGAGEMENTS 2026'!B2953="DTSI","DCT",'ENGAGEMENTS 2026'!B2953))</f>
        <v/>
      </c>
      <c r="B2953">
        <f>IF(ISBLANK('ENGAGEMENTS 2026'!B2953),"",'ENGAGEMENTS 2026'!C2953)</f>
        <v/>
      </c>
      <c r="C2953">
        <f>IF(ISBLANK('ENGAGEMENTS 2026'!B2953),"",'ENGAGEMENTS 2026'!D2953)</f>
        <v/>
      </c>
      <c r="D2953">
        <f>IF(ISBLANK('ENGAGEMENTS 2026'!B2953),"",'ENGAGEMENTS 2026'!F2953)</f>
        <v/>
      </c>
      <c r="E2953">
        <f>IF(ISBLANK('ENGAGEMENTS 2026'!B2953),"",'ENGAGEMENTS 2026'!H2953)</f>
        <v/>
      </c>
      <c r="F2953">
        <f>IF(ISBLANK('ENGAGEMENTS 2026'!B2953),"",'ENGAGEMENTS 2026'!I2953)</f>
        <v/>
      </c>
      <c r="G2953">
        <f>IF(ISBLANK('ENGAGEMENTS 2026'!B2953),"",'ENGAGEMENTS 2026'!L2953)</f>
        <v/>
      </c>
      <c r="H2953">
        <f>IF(ISBLANK('ENGAGEMENTS 2026'!B2953),"",'ENGAGEMENTS 2026'!AE2953)</f>
        <v/>
      </c>
      <c r="I2953">
        <f>IF(ISBLANK('ENGAGEMENTS 2026'!B2953),"",'ENGAGEMENTS 2026'!G2953)</f>
        <v/>
      </c>
      <c r="J2953" s="275">
        <f>IF(ISBLANK('ENGAGEMENTS 2026'!B2953),"",IF(AND(OR($E2953="INFRUCTUEUX",$E2953="ANNULE"),$C2953="AOO-M"),'ENGAGEMENTS 2026'!O2953,IF($H2953="EN COURS DE PREENGAGEMENT",'ENGAGEMENTS 2026'!N2953,IF($H2953="PREENGAGE",IF($E2953="ATTRIBUE",'ENGAGEMENTS 2026'!AD2953,'ENGAGEMENTS 2026'!N2953),'ENGAGEMENTS 2026'!AD2953))))</f>
        <v/>
      </c>
      <c r="K2953" s="604">
        <f>IF(ISBLANK('ENGAGEMENTS 2026'!V2953),"",'ENGAGEMENTS 2026'!V2953)</f>
        <v/>
      </c>
      <c r="L2953" s="276">
        <f>IF($K2953="","",TODAY()-$K2953)</f>
        <v/>
      </c>
      <c r="M2953">
        <f>IF($A2953="","",IF($H2953="ENGAGE","Engagé",IF(AND($H2953="NON ENGAGE",OR($I2953="INFRUCTUEUX",$I2953="ANNULE")),"Clôturé sans suite","En cours")))</f>
        <v/>
      </c>
      <c r="N2953">
        <f>IF(ISBLANK('ENGAGEMENTS 2026'!B2953),"",'ENGAGEMENTS 2026'!K2953)</f>
        <v/>
      </c>
      <c r="O2953">
        <f>IF(ISBLANK('ENGAGEMENTS 2026'!B2953),"",'ENGAGEMENTS 2026'!L2953)</f>
        <v/>
      </c>
      <c r="P2953">
        <f>IF(ISBLANK('ENGAGEMENTS 2026'!B2953),"",'ENGAGEMENTS 2026'!J2953)</f>
        <v/>
      </c>
      <c r="Q2953">
        <f>IF($A2953="","",IF(OR($E2953="INFRUCTUEUX",$E2953="ANNULE"),$A2953&amp;"|"&amp;(COUNTIFS($A$2:$A2953,$A2953,$E$2:$E2953,"INFRUCTUEUX")+COUNTIFS($A$2:$A2953,$A2953,$E$2:$E2953,"ANNULE")),""))</f>
        <v/>
      </c>
    </row>
    <row r="2954">
      <c r="A2954">
        <f>IF(ISBLANK('ENGAGEMENTS 2026'!B2954),"",IF('ENGAGEMENTS 2026'!B2954="DTSI","DCT",'ENGAGEMENTS 2026'!B2954))</f>
        <v/>
      </c>
      <c r="B2954">
        <f>IF(ISBLANK('ENGAGEMENTS 2026'!B2954),"",'ENGAGEMENTS 2026'!C2954)</f>
        <v/>
      </c>
      <c r="C2954">
        <f>IF(ISBLANK('ENGAGEMENTS 2026'!B2954),"",'ENGAGEMENTS 2026'!D2954)</f>
        <v/>
      </c>
      <c r="D2954">
        <f>IF(ISBLANK('ENGAGEMENTS 2026'!B2954),"",'ENGAGEMENTS 2026'!F2954)</f>
        <v/>
      </c>
      <c r="E2954">
        <f>IF(ISBLANK('ENGAGEMENTS 2026'!B2954),"",'ENGAGEMENTS 2026'!H2954)</f>
        <v/>
      </c>
      <c r="F2954">
        <f>IF(ISBLANK('ENGAGEMENTS 2026'!B2954),"",'ENGAGEMENTS 2026'!I2954)</f>
        <v/>
      </c>
      <c r="G2954">
        <f>IF(ISBLANK('ENGAGEMENTS 2026'!B2954),"",'ENGAGEMENTS 2026'!L2954)</f>
        <v/>
      </c>
      <c r="H2954">
        <f>IF(ISBLANK('ENGAGEMENTS 2026'!B2954),"",'ENGAGEMENTS 2026'!AE2954)</f>
        <v/>
      </c>
      <c r="I2954">
        <f>IF(ISBLANK('ENGAGEMENTS 2026'!B2954),"",'ENGAGEMENTS 2026'!G2954)</f>
        <v/>
      </c>
      <c r="J2954" s="275">
        <f>IF(ISBLANK('ENGAGEMENTS 2026'!B2954),"",IF(AND(OR($E2954="INFRUCTUEUX",$E2954="ANNULE"),$C2954="AOO-M"),'ENGAGEMENTS 2026'!O2954,IF($H2954="EN COURS DE PREENGAGEMENT",'ENGAGEMENTS 2026'!N2954,IF($H2954="PREENGAGE",IF($E2954="ATTRIBUE",'ENGAGEMENTS 2026'!AD2954,'ENGAGEMENTS 2026'!N2954),'ENGAGEMENTS 2026'!AD2954))))</f>
        <v/>
      </c>
      <c r="K2954" s="604">
        <f>IF(ISBLANK('ENGAGEMENTS 2026'!V2954),"",'ENGAGEMENTS 2026'!V2954)</f>
        <v/>
      </c>
      <c r="L2954" s="276">
        <f>IF($K2954="","",TODAY()-$K2954)</f>
        <v/>
      </c>
      <c r="M2954">
        <f>IF($A2954="","",IF($H2954="ENGAGE","Engagé",IF(AND($H2954="NON ENGAGE",OR($I2954="INFRUCTUEUX",$I2954="ANNULE")),"Clôturé sans suite","En cours")))</f>
        <v/>
      </c>
      <c r="N2954">
        <f>IF(ISBLANK('ENGAGEMENTS 2026'!B2954),"",'ENGAGEMENTS 2026'!K2954)</f>
        <v/>
      </c>
      <c r="O2954">
        <f>IF(ISBLANK('ENGAGEMENTS 2026'!B2954),"",'ENGAGEMENTS 2026'!L2954)</f>
        <v/>
      </c>
      <c r="P2954">
        <f>IF(ISBLANK('ENGAGEMENTS 2026'!B2954),"",'ENGAGEMENTS 2026'!J2954)</f>
        <v/>
      </c>
      <c r="Q2954">
        <f>IF($A2954="","",IF(OR($E2954="INFRUCTUEUX",$E2954="ANNULE"),$A2954&amp;"|"&amp;(COUNTIFS($A$2:$A2954,$A2954,$E$2:$E2954,"INFRUCTUEUX")+COUNTIFS($A$2:$A2954,$A2954,$E$2:$E2954,"ANNULE")),""))</f>
        <v/>
      </c>
    </row>
    <row r="2955">
      <c r="A2955">
        <f>IF(ISBLANK('ENGAGEMENTS 2026'!B2955),"",IF('ENGAGEMENTS 2026'!B2955="DTSI","DCT",'ENGAGEMENTS 2026'!B2955))</f>
        <v/>
      </c>
      <c r="B2955">
        <f>IF(ISBLANK('ENGAGEMENTS 2026'!B2955),"",'ENGAGEMENTS 2026'!C2955)</f>
        <v/>
      </c>
      <c r="C2955">
        <f>IF(ISBLANK('ENGAGEMENTS 2026'!B2955),"",'ENGAGEMENTS 2026'!D2955)</f>
        <v/>
      </c>
      <c r="D2955">
        <f>IF(ISBLANK('ENGAGEMENTS 2026'!B2955),"",'ENGAGEMENTS 2026'!F2955)</f>
        <v/>
      </c>
      <c r="E2955">
        <f>IF(ISBLANK('ENGAGEMENTS 2026'!B2955),"",'ENGAGEMENTS 2026'!H2955)</f>
        <v/>
      </c>
      <c r="F2955">
        <f>IF(ISBLANK('ENGAGEMENTS 2026'!B2955),"",'ENGAGEMENTS 2026'!I2955)</f>
        <v/>
      </c>
      <c r="G2955">
        <f>IF(ISBLANK('ENGAGEMENTS 2026'!B2955),"",'ENGAGEMENTS 2026'!L2955)</f>
        <v/>
      </c>
      <c r="H2955">
        <f>IF(ISBLANK('ENGAGEMENTS 2026'!B2955),"",'ENGAGEMENTS 2026'!AE2955)</f>
        <v/>
      </c>
      <c r="I2955">
        <f>IF(ISBLANK('ENGAGEMENTS 2026'!B2955),"",'ENGAGEMENTS 2026'!G2955)</f>
        <v/>
      </c>
      <c r="J2955" s="275">
        <f>IF(ISBLANK('ENGAGEMENTS 2026'!B2955),"",IF(AND(OR($E2955="INFRUCTUEUX",$E2955="ANNULE"),$C2955="AOO-M"),'ENGAGEMENTS 2026'!O2955,IF($H2955="EN COURS DE PREENGAGEMENT",'ENGAGEMENTS 2026'!N2955,IF($H2955="PREENGAGE",IF($E2955="ATTRIBUE",'ENGAGEMENTS 2026'!AD2955,'ENGAGEMENTS 2026'!N2955),'ENGAGEMENTS 2026'!AD2955))))</f>
        <v/>
      </c>
      <c r="K2955" s="604">
        <f>IF(ISBLANK('ENGAGEMENTS 2026'!V2955),"",'ENGAGEMENTS 2026'!V2955)</f>
        <v/>
      </c>
      <c r="L2955" s="276">
        <f>IF($K2955="","",TODAY()-$K2955)</f>
        <v/>
      </c>
      <c r="M2955">
        <f>IF($A2955="","",IF($H2955="ENGAGE","Engagé",IF(AND($H2955="NON ENGAGE",OR($I2955="INFRUCTUEUX",$I2955="ANNULE")),"Clôturé sans suite","En cours")))</f>
        <v/>
      </c>
      <c r="N2955">
        <f>IF(ISBLANK('ENGAGEMENTS 2026'!B2955),"",'ENGAGEMENTS 2026'!K2955)</f>
        <v/>
      </c>
      <c r="O2955">
        <f>IF(ISBLANK('ENGAGEMENTS 2026'!B2955),"",'ENGAGEMENTS 2026'!L2955)</f>
        <v/>
      </c>
      <c r="P2955">
        <f>IF(ISBLANK('ENGAGEMENTS 2026'!B2955),"",'ENGAGEMENTS 2026'!J2955)</f>
        <v/>
      </c>
      <c r="Q2955">
        <f>IF($A2955="","",IF(OR($E2955="INFRUCTUEUX",$E2955="ANNULE"),$A2955&amp;"|"&amp;(COUNTIFS($A$2:$A2955,$A2955,$E$2:$E2955,"INFRUCTUEUX")+COUNTIFS($A$2:$A2955,$A2955,$E$2:$E2955,"ANNULE")),""))</f>
        <v/>
      </c>
    </row>
    <row r="2956">
      <c r="A2956">
        <f>IF(ISBLANK('ENGAGEMENTS 2026'!B2956),"",IF('ENGAGEMENTS 2026'!B2956="DTSI","DCT",'ENGAGEMENTS 2026'!B2956))</f>
        <v/>
      </c>
      <c r="B2956">
        <f>IF(ISBLANK('ENGAGEMENTS 2026'!B2956),"",'ENGAGEMENTS 2026'!C2956)</f>
        <v/>
      </c>
      <c r="C2956">
        <f>IF(ISBLANK('ENGAGEMENTS 2026'!B2956),"",'ENGAGEMENTS 2026'!D2956)</f>
        <v/>
      </c>
      <c r="D2956">
        <f>IF(ISBLANK('ENGAGEMENTS 2026'!B2956),"",'ENGAGEMENTS 2026'!F2956)</f>
        <v/>
      </c>
      <c r="E2956">
        <f>IF(ISBLANK('ENGAGEMENTS 2026'!B2956),"",'ENGAGEMENTS 2026'!H2956)</f>
        <v/>
      </c>
      <c r="F2956">
        <f>IF(ISBLANK('ENGAGEMENTS 2026'!B2956),"",'ENGAGEMENTS 2026'!I2956)</f>
        <v/>
      </c>
      <c r="G2956">
        <f>IF(ISBLANK('ENGAGEMENTS 2026'!B2956),"",'ENGAGEMENTS 2026'!L2956)</f>
        <v/>
      </c>
      <c r="H2956">
        <f>IF(ISBLANK('ENGAGEMENTS 2026'!B2956),"",'ENGAGEMENTS 2026'!AE2956)</f>
        <v/>
      </c>
      <c r="I2956">
        <f>IF(ISBLANK('ENGAGEMENTS 2026'!B2956),"",'ENGAGEMENTS 2026'!G2956)</f>
        <v/>
      </c>
      <c r="J2956" s="275">
        <f>IF(ISBLANK('ENGAGEMENTS 2026'!B2956),"",IF(AND(OR($E2956="INFRUCTUEUX",$E2956="ANNULE"),$C2956="AOO-M"),'ENGAGEMENTS 2026'!O2956,IF($H2956="EN COURS DE PREENGAGEMENT",'ENGAGEMENTS 2026'!N2956,IF($H2956="PREENGAGE",IF($E2956="ATTRIBUE",'ENGAGEMENTS 2026'!AD2956,'ENGAGEMENTS 2026'!N2956),'ENGAGEMENTS 2026'!AD2956))))</f>
        <v/>
      </c>
      <c r="K2956" s="604">
        <f>IF(ISBLANK('ENGAGEMENTS 2026'!V2956),"",'ENGAGEMENTS 2026'!V2956)</f>
        <v/>
      </c>
      <c r="L2956" s="276">
        <f>IF($K2956="","",TODAY()-$K2956)</f>
        <v/>
      </c>
      <c r="M2956">
        <f>IF($A2956="","",IF($H2956="ENGAGE","Engagé",IF(AND($H2956="NON ENGAGE",OR($I2956="INFRUCTUEUX",$I2956="ANNULE")),"Clôturé sans suite","En cours")))</f>
        <v/>
      </c>
      <c r="N2956">
        <f>IF(ISBLANK('ENGAGEMENTS 2026'!B2956),"",'ENGAGEMENTS 2026'!K2956)</f>
        <v/>
      </c>
      <c r="O2956">
        <f>IF(ISBLANK('ENGAGEMENTS 2026'!B2956),"",'ENGAGEMENTS 2026'!L2956)</f>
        <v/>
      </c>
      <c r="P2956">
        <f>IF(ISBLANK('ENGAGEMENTS 2026'!B2956),"",'ENGAGEMENTS 2026'!J2956)</f>
        <v/>
      </c>
      <c r="Q2956">
        <f>IF($A2956="","",IF(OR($E2956="INFRUCTUEUX",$E2956="ANNULE"),$A2956&amp;"|"&amp;(COUNTIFS($A$2:$A2956,$A2956,$E$2:$E2956,"INFRUCTUEUX")+COUNTIFS($A$2:$A2956,$A2956,$E$2:$E2956,"ANNULE")),""))</f>
        <v/>
      </c>
    </row>
    <row r="2957">
      <c r="A2957">
        <f>IF(ISBLANK('ENGAGEMENTS 2026'!B2957),"",IF('ENGAGEMENTS 2026'!B2957="DTSI","DCT",'ENGAGEMENTS 2026'!B2957))</f>
        <v/>
      </c>
      <c r="B2957">
        <f>IF(ISBLANK('ENGAGEMENTS 2026'!B2957),"",'ENGAGEMENTS 2026'!C2957)</f>
        <v/>
      </c>
      <c r="C2957">
        <f>IF(ISBLANK('ENGAGEMENTS 2026'!B2957),"",'ENGAGEMENTS 2026'!D2957)</f>
        <v/>
      </c>
      <c r="D2957">
        <f>IF(ISBLANK('ENGAGEMENTS 2026'!B2957),"",'ENGAGEMENTS 2026'!F2957)</f>
        <v/>
      </c>
      <c r="E2957">
        <f>IF(ISBLANK('ENGAGEMENTS 2026'!B2957),"",'ENGAGEMENTS 2026'!H2957)</f>
        <v/>
      </c>
      <c r="F2957">
        <f>IF(ISBLANK('ENGAGEMENTS 2026'!B2957),"",'ENGAGEMENTS 2026'!I2957)</f>
        <v/>
      </c>
      <c r="G2957">
        <f>IF(ISBLANK('ENGAGEMENTS 2026'!B2957),"",'ENGAGEMENTS 2026'!L2957)</f>
        <v/>
      </c>
      <c r="H2957">
        <f>IF(ISBLANK('ENGAGEMENTS 2026'!B2957),"",'ENGAGEMENTS 2026'!AE2957)</f>
        <v/>
      </c>
      <c r="I2957">
        <f>IF(ISBLANK('ENGAGEMENTS 2026'!B2957),"",'ENGAGEMENTS 2026'!G2957)</f>
        <v/>
      </c>
      <c r="J2957" s="275">
        <f>IF(ISBLANK('ENGAGEMENTS 2026'!B2957),"",IF(AND(OR($E2957="INFRUCTUEUX",$E2957="ANNULE"),$C2957="AOO-M"),'ENGAGEMENTS 2026'!O2957,IF($H2957="EN COURS DE PREENGAGEMENT",'ENGAGEMENTS 2026'!N2957,IF($H2957="PREENGAGE",IF($E2957="ATTRIBUE",'ENGAGEMENTS 2026'!AD2957,'ENGAGEMENTS 2026'!N2957),'ENGAGEMENTS 2026'!AD2957))))</f>
        <v/>
      </c>
      <c r="K2957" s="604">
        <f>IF(ISBLANK('ENGAGEMENTS 2026'!V2957),"",'ENGAGEMENTS 2026'!V2957)</f>
        <v/>
      </c>
      <c r="L2957" s="276">
        <f>IF($K2957="","",TODAY()-$K2957)</f>
        <v/>
      </c>
      <c r="M2957">
        <f>IF($A2957="","",IF($H2957="ENGAGE","Engagé",IF(AND($H2957="NON ENGAGE",OR($I2957="INFRUCTUEUX",$I2957="ANNULE")),"Clôturé sans suite","En cours")))</f>
        <v/>
      </c>
      <c r="N2957">
        <f>IF(ISBLANK('ENGAGEMENTS 2026'!B2957),"",'ENGAGEMENTS 2026'!K2957)</f>
        <v/>
      </c>
      <c r="O2957">
        <f>IF(ISBLANK('ENGAGEMENTS 2026'!B2957),"",'ENGAGEMENTS 2026'!L2957)</f>
        <v/>
      </c>
      <c r="P2957">
        <f>IF(ISBLANK('ENGAGEMENTS 2026'!B2957),"",'ENGAGEMENTS 2026'!J2957)</f>
        <v/>
      </c>
      <c r="Q2957">
        <f>IF($A2957="","",IF(OR($E2957="INFRUCTUEUX",$E2957="ANNULE"),$A2957&amp;"|"&amp;(COUNTIFS($A$2:$A2957,$A2957,$E$2:$E2957,"INFRUCTUEUX")+COUNTIFS($A$2:$A2957,$A2957,$E$2:$E2957,"ANNULE")),""))</f>
        <v/>
      </c>
    </row>
    <row r="2958">
      <c r="A2958">
        <f>IF(ISBLANK('ENGAGEMENTS 2026'!B2958),"",IF('ENGAGEMENTS 2026'!B2958="DTSI","DCT",'ENGAGEMENTS 2026'!B2958))</f>
        <v/>
      </c>
      <c r="B2958">
        <f>IF(ISBLANK('ENGAGEMENTS 2026'!B2958),"",'ENGAGEMENTS 2026'!C2958)</f>
        <v/>
      </c>
      <c r="C2958">
        <f>IF(ISBLANK('ENGAGEMENTS 2026'!B2958),"",'ENGAGEMENTS 2026'!D2958)</f>
        <v/>
      </c>
      <c r="D2958">
        <f>IF(ISBLANK('ENGAGEMENTS 2026'!B2958),"",'ENGAGEMENTS 2026'!F2958)</f>
        <v/>
      </c>
      <c r="E2958">
        <f>IF(ISBLANK('ENGAGEMENTS 2026'!B2958),"",'ENGAGEMENTS 2026'!H2958)</f>
        <v/>
      </c>
      <c r="F2958">
        <f>IF(ISBLANK('ENGAGEMENTS 2026'!B2958),"",'ENGAGEMENTS 2026'!I2958)</f>
        <v/>
      </c>
      <c r="G2958">
        <f>IF(ISBLANK('ENGAGEMENTS 2026'!B2958),"",'ENGAGEMENTS 2026'!L2958)</f>
        <v/>
      </c>
      <c r="H2958">
        <f>IF(ISBLANK('ENGAGEMENTS 2026'!B2958),"",'ENGAGEMENTS 2026'!AE2958)</f>
        <v/>
      </c>
      <c r="I2958">
        <f>IF(ISBLANK('ENGAGEMENTS 2026'!B2958),"",'ENGAGEMENTS 2026'!G2958)</f>
        <v/>
      </c>
      <c r="J2958" s="275">
        <f>IF(ISBLANK('ENGAGEMENTS 2026'!B2958),"",IF(AND(OR($E2958="INFRUCTUEUX",$E2958="ANNULE"),$C2958="AOO-M"),'ENGAGEMENTS 2026'!O2958,IF($H2958="EN COURS DE PREENGAGEMENT",'ENGAGEMENTS 2026'!N2958,IF($H2958="PREENGAGE",IF($E2958="ATTRIBUE",'ENGAGEMENTS 2026'!AD2958,'ENGAGEMENTS 2026'!N2958),'ENGAGEMENTS 2026'!AD2958))))</f>
        <v/>
      </c>
      <c r="K2958" s="604">
        <f>IF(ISBLANK('ENGAGEMENTS 2026'!V2958),"",'ENGAGEMENTS 2026'!V2958)</f>
        <v/>
      </c>
      <c r="L2958" s="276">
        <f>IF($K2958="","",TODAY()-$K2958)</f>
        <v/>
      </c>
      <c r="M2958">
        <f>IF($A2958="","",IF($H2958="ENGAGE","Engagé",IF(AND($H2958="NON ENGAGE",OR($I2958="INFRUCTUEUX",$I2958="ANNULE")),"Clôturé sans suite","En cours")))</f>
        <v/>
      </c>
      <c r="N2958">
        <f>IF(ISBLANK('ENGAGEMENTS 2026'!B2958),"",'ENGAGEMENTS 2026'!K2958)</f>
        <v/>
      </c>
      <c r="O2958">
        <f>IF(ISBLANK('ENGAGEMENTS 2026'!B2958),"",'ENGAGEMENTS 2026'!L2958)</f>
        <v/>
      </c>
      <c r="P2958">
        <f>IF(ISBLANK('ENGAGEMENTS 2026'!B2958),"",'ENGAGEMENTS 2026'!J2958)</f>
        <v/>
      </c>
      <c r="Q2958">
        <f>IF($A2958="","",IF(OR($E2958="INFRUCTUEUX",$E2958="ANNULE"),$A2958&amp;"|"&amp;(COUNTIFS($A$2:$A2958,$A2958,$E$2:$E2958,"INFRUCTUEUX")+COUNTIFS($A$2:$A2958,$A2958,$E$2:$E2958,"ANNULE")),""))</f>
        <v/>
      </c>
    </row>
    <row r="2959">
      <c r="A2959">
        <f>IF(ISBLANK('ENGAGEMENTS 2026'!B2959),"",IF('ENGAGEMENTS 2026'!B2959="DTSI","DCT",'ENGAGEMENTS 2026'!B2959))</f>
        <v/>
      </c>
      <c r="B2959">
        <f>IF(ISBLANK('ENGAGEMENTS 2026'!B2959),"",'ENGAGEMENTS 2026'!C2959)</f>
        <v/>
      </c>
      <c r="C2959">
        <f>IF(ISBLANK('ENGAGEMENTS 2026'!B2959),"",'ENGAGEMENTS 2026'!D2959)</f>
        <v/>
      </c>
      <c r="D2959">
        <f>IF(ISBLANK('ENGAGEMENTS 2026'!B2959),"",'ENGAGEMENTS 2026'!F2959)</f>
        <v/>
      </c>
      <c r="E2959">
        <f>IF(ISBLANK('ENGAGEMENTS 2026'!B2959),"",'ENGAGEMENTS 2026'!H2959)</f>
        <v/>
      </c>
      <c r="F2959">
        <f>IF(ISBLANK('ENGAGEMENTS 2026'!B2959),"",'ENGAGEMENTS 2026'!I2959)</f>
        <v/>
      </c>
      <c r="G2959">
        <f>IF(ISBLANK('ENGAGEMENTS 2026'!B2959),"",'ENGAGEMENTS 2026'!L2959)</f>
        <v/>
      </c>
      <c r="H2959">
        <f>IF(ISBLANK('ENGAGEMENTS 2026'!B2959),"",'ENGAGEMENTS 2026'!AE2959)</f>
        <v/>
      </c>
      <c r="I2959">
        <f>IF(ISBLANK('ENGAGEMENTS 2026'!B2959),"",'ENGAGEMENTS 2026'!G2959)</f>
        <v/>
      </c>
      <c r="J2959" s="275">
        <f>IF(ISBLANK('ENGAGEMENTS 2026'!B2959),"",IF(AND(OR($E2959="INFRUCTUEUX",$E2959="ANNULE"),$C2959="AOO-M"),'ENGAGEMENTS 2026'!O2959,IF($H2959="EN COURS DE PREENGAGEMENT",'ENGAGEMENTS 2026'!N2959,IF($H2959="PREENGAGE",IF($E2959="ATTRIBUE",'ENGAGEMENTS 2026'!AD2959,'ENGAGEMENTS 2026'!N2959),'ENGAGEMENTS 2026'!AD2959))))</f>
        <v/>
      </c>
      <c r="K2959" s="604">
        <f>IF(ISBLANK('ENGAGEMENTS 2026'!V2959),"",'ENGAGEMENTS 2026'!V2959)</f>
        <v/>
      </c>
      <c r="L2959" s="276">
        <f>IF($K2959="","",TODAY()-$K2959)</f>
        <v/>
      </c>
      <c r="M2959">
        <f>IF($A2959="","",IF($H2959="ENGAGE","Engagé",IF(AND($H2959="NON ENGAGE",OR($I2959="INFRUCTUEUX",$I2959="ANNULE")),"Clôturé sans suite","En cours")))</f>
        <v/>
      </c>
      <c r="N2959">
        <f>IF(ISBLANK('ENGAGEMENTS 2026'!B2959),"",'ENGAGEMENTS 2026'!K2959)</f>
        <v/>
      </c>
      <c r="O2959">
        <f>IF(ISBLANK('ENGAGEMENTS 2026'!B2959),"",'ENGAGEMENTS 2026'!L2959)</f>
        <v/>
      </c>
      <c r="P2959">
        <f>IF(ISBLANK('ENGAGEMENTS 2026'!B2959),"",'ENGAGEMENTS 2026'!J2959)</f>
        <v/>
      </c>
      <c r="Q2959">
        <f>IF($A2959="","",IF(OR($E2959="INFRUCTUEUX",$E2959="ANNULE"),$A2959&amp;"|"&amp;(COUNTIFS($A$2:$A2959,$A2959,$E$2:$E2959,"INFRUCTUEUX")+COUNTIFS($A$2:$A2959,$A2959,$E$2:$E2959,"ANNULE")),""))</f>
        <v/>
      </c>
    </row>
    <row r="2960">
      <c r="A2960">
        <f>IF(ISBLANK('ENGAGEMENTS 2026'!B2960),"",IF('ENGAGEMENTS 2026'!B2960="DTSI","DCT",'ENGAGEMENTS 2026'!B2960))</f>
        <v/>
      </c>
      <c r="B2960">
        <f>IF(ISBLANK('ENGAGEMENTS 2026'!B2960),"",'ENGAGEMENTS 2026'!C2960)</f>
        <v/>
      </c>
      <c r="C2960">
        <f>IF(ISBLANK('ENGAGEMENTS 2026'!B2960),"",'ENGAGEMENTS 2026'!D2960)</f>
        <v/>
      </c>
      <c r="D2960">
        <f>IF(ISBLANK('ENGAGEMENTS 2026'!B2960),"",'ENGAGEMENTS 2026'!F2960)</f>
        <v/>
      </c>
      <c r="E2960">
        <f>IF(ISBLANK('ENGAGEMENTS 2026'!B2960),"",'ENGAGEMENTS 2026'!H2960)</f>
        <v/>
      </c>
      <c r="F2960">
        <f>IF(ISBLANK('ENGAGEMENTS 2026'!B2960),"",'ENGAGEMENTS 2026'!I2960)</f>
        <v/>
      </c>
      <c r="G2960">
        <f>IF(ISBLANK('ENGAGEMENTS 2026'!B2960),"",'ENGAGEMENTS 2026'!L2960)</f>
        <v/>
      </c>
      <c r="H2960">
        <f>IF(ISBLANK('ENGAGEMENTS 2026'!B2960),"",'ENGAGEMENTS 2026'!AE2960)</f>
        <v/>
      </c>
      <c r="I2960">
        <f>IF(ISBLANK('ENGAGEMENTS 2026'!B2960),"",'ENGAGEMENTS 2026'!G2960)</f>
        <v/>
      </c>
      <c r="J2960" s="275">
        <f>IF(ISBLANK('ENGAGEMENTS 2026'!B2960),"",IF(AND(OR($E2960="INFRUCTUEUX",$E2960="ANNULE"),$C2960="AOO-M"),'ENGAGEMENTS 2026'!O2960,IF($H2960="EN COURS DE PREENGAGEMENT",'ENGAGEMENTS 2026'!N2960,IF($H2960="PREENGAGE",IF($E2960="ATTRIBUE",'ENGAGEMENTS 2026'!AD2960,'ENGAGEMENTS 2026'!N2960),'ENGAGEMENTS 2026'!AD2960))))</f>
        <v/>
      </c>
      <c r="K2960" s="604">
        <f>IF(ISBLANK('ENGAGEMENTS 2026'!V2960),"",'ENGAGEMENTS 2026'!V2960)</f>
        <v/>
      </c>
      <c r="L2960" s="276">
        <f>IF($K2960="","",TODAY()-$K2960)</f>
        <v/>
      </c>
      <c r="M2960">
        <f>IF($A2960="","",IF($H2960="ENGAGE","Engagé",IF(AND($H2960="NON ENGAGE",OR($I2960="INFRUCTUEUX",$I2960="ANNULE")),"Clôturé sans suite","En cours")))</f>
        <v/>
      </c>
      <c r="N2960">
        <f>IF(ISBLANK('ENGAGEMENTS 2026'!B2960),"",'ENGAGEMENTS 2026'!K2960)</f>
        <v/>
      </c>
      <c r="O2960">
        <f>IF(ISBLANK('ENGAGEMENTS 2026'!B2960),"",'ENGAGEMENTS 2026'!L2960)</f>
        <v/>
      </c>
      <c r="P2960">
        <f>IF(ISBLANK('ENGAGEMENTS 2026'!B2960),"",'ENGAGEMENTS 2026'!J2960)</f>
        <v/>
      </c>
      <c r="Q2960">
        <f>IF($A2960="","",IF(OR($E2960="INFRUCTUEUX",$E2960="ANNULE"),$A2960&amp;"|"&amp;(COUNTIFS($A$2:$A2960,$A2960,$E$2:$E2960,"INFRUCTUEUX")+COUNTIFS($A$2:$A2960,$A2960,$E$2:$E2960,"ANNULE")),""))</f>
        <v/>
      </c>
    </row>
    <row r="2961">
      <c r="A2961">
        <f>IF(ISBLANK('ENGAGEMENTS 2026'!B2961),"",IF('ENGAGEMENTS 2026'!B2961="DTSI","DCT",'ENGAGEMENTS 2026'!B2961))</f>
        <v/>
      </c>
      <c r="B2961">
        <f>IF(ISBLANK('ENGAGEMENTS 2026'!B2961),"",'ENGAGEMENTS 2026'!C2961)</f>
        <v/>
      </c>
      <c r="C2961">
        <f>IF(ISBLANK('ENGAGEMENTS 2026'!B2961),"",'ENGAGEMENTS 2026'!D2961)</f>
        <v/>
      </c>
      <c r="D2961">
        <f>IF(ISBLANK('ENGAGEMENTS 2026'!B2961),"",'ENGAGEMENTS 2026'!F2961)</f>
        <v/>
      </c>
      <c r="E2961">
        <f>IF(ISBLANK('ENGAGEMENTS 2026'!B2961),"",'ENGAGEMENTS 2026'!H2961)</f>
        <v/>
      </c>
      <c r="F2961">
        <f>IF(ISBLANK('ENGAGEMENTS 2026'!B2961),"",'ENGAGEMENTS 2026'!I2961)</f>
        <v/>
      </c>
      <c r="G2961">
        <f>IF(ISBLANK('ENGAGEMENTS 2026'!B2961),"",'ENGAGEMENTS 2026'!L2961)</f>
        <v/>
      </c>
      <c r="H2961">
        <f>IF(ISBLANK('ENGAGEMENTS 2026'!B2961),"",'ENGAGEMENTS 2026'!AE2961)</f>
        <v/>
      </c>
      <c r="I2961">
        <f>IF(ISBLANK('ENGAGEMENTS 2026'!B2961),"",'ENGAGEMENTS 2026'!G2961)</f>
        <v/>
      </c>
      <c r="J2961" s="275">
        <f>IF(ISBLANK('ENGAGEMENTS 2026'!B2961),"",IF(AND(OR($E2961="INFRUCTUEUX",$E2961="ANNULE"),$C2961="AOO-M"),'ENGAGEMENTS 2026'!O2961,IF($H2961="EN COURS DE PREENGAGEMENT",'ENGAGEMENTS 2026'!N2961,IF($H2961="PREENGAGE",IF($E2961="ATTRIBUE",'ENGAGEMENTS 2026'!AD2961,'ENGAGEMENTS 2026'!N2961),'ENGAGEMENTS 2026'!AD2961))))</f>
        <v/>
      </c>
      <c r="K2961" s="604">
        <f>IF(ISBLANK('ENGAGEMENTS 2026'!V2961),"",'ENGAGEMENTS 2026'!V2961)</f>
        <v/>
      </c>
      <c r="L2961" s="276">
        <f>IF($K2961="","",TODAY()-$K2961)</f>
        <v/>
      </c>
      <c r="M2961">
        <f>IF($A2961="","",IF($H2961="ENGAGE","Engagé",IF(AND($H2961="NON ENGAGE",OR($I2961="INFRUCTUEUX",$I2961="ANNULE")),"Clôturé sans suite","En cours")))</f>
        <v/>
      </c>
      <c r="N2961">
        <f>IF(ISBLANK('ENGAGEMENTS 2026'!B2961),"",'ENGAGEMENTS 2026'!K2961)</f>
        <v/>
      </c>
      <c r="O2961">
        <f>IF(ISBLANK('ENGAGEMENTS 2026'!B2961),"",'ENGAGEMENTS 2026'!L2961)</f>
        <v/>
      </c>
      <c r="P2961">
        <f>IF(ISBLANK('ENGAGEMENTS 2026'!B2961),"",'ENGAGEMENTS 2026'!J2961)</f>
        <v/>
      </c>
      <c r="Q2961">
        <f>IF($A2961="","",IF(OR($E2961="INFRUCTUEUX",$E2961="ANNULE"),$A2961&amp;"|"&amp;(COUNTIFS($A$2:$A2961,$A2961,$E$2:$E2961,"INFRUCTUEUX")+COUNTIFS($A$2:$A2961,$A2961,$E$2:$E2961,"ANNULE")),""))</f>
        <v/>
      </c>
    </row>
    <row r="2962">
      <c r="A2962">
        <f>IF(ISBLANK('ENGAGEMENTS 2026'!B2962),"",IF('ENGAGEMENTS 2026'!B2962="DTSI","DCT",'ENGAGEMENTS 2026'!B2962))</f>
        <v/>
      </c>
      <c r="B2962">
        <f>IF(ISBLANK('ENGAGEMENTS 2026'!B2962),"",'ENGAGEMENTS 2026'!C2962)</f>
        <v/>
      </c>
      <c r="C2962">
        <f>IF(ISBLANK('ENGAGEMENTS 2026'!B2962),"",'ENGAGEMENTS 2026'!D2962)</f>
        <v/>
      </c>
      <c r="D2962">
        <f>IF(ISBLANK('ENGAGEMENTS 2026'!B2962),"",'ENGAGEMENTS 2026'!F2962)</f>
        <v/>
      </c>
      <c r="E2962">
        <f>IF(ISBLANK('ENGAGEMENTS 2026'!B2962),"",'ENGAGEMENTS 2026'!H2962)</f>
        <v/>
      </c>
      <c r="F2962">
        <f>IF(ISBLANK('ENGAGEMENTS 2026'!B2962),"",'ENGAGEMENTS 2026'!I2962)</f>
        <v/>
      </c>
      <c r="G2962">
        <f>IF(ISBLANK('ENGAGEMENTS 2026'!B2962),"",'ENGAGEMENTS 2026'!L2962)</f>
        <v/>
      </c>
      <c r="H2962">
        <f>IF(ISBLANK('ENGAGEMENTS 2026'!B2962),"",'ENGAGEMENTS 2026'!AE2962)</f>
        <v/>
      </c>
      <c r="I2962">
        <f>IF(ISBLANK('ENGAGEMENTS 2026'!B2962),"",'ENGAGEMENTS 2026'!G2962)</f>
        <v/>
      </c>
      <c r="J2962" s="275">
        <f>IF(ISBLANK('ENGAGEMENTS 2026'!B2962),"",IF(AND(OR($E2962="INFRUCTUEUX",$E2962="ANNULE"),$C2962="AOO-M"),'ENGAGEMENTS 2026'!O2962,IF($H2962="EN COURS DE PREENGAGEMENT",'ENGAGEMENTS 2026'!N2962,IF($H2962="PREENGAGE",IF($E2962="ATTRIBUE",'ENGAGEMENTS 2026'!AD2962,'ENGAGEMENTS 2026'!N2962),'ENGAGEMENTS 2026'!AD2962))))</f>
        <v/>
      </c>
      <c r="K2962" s="604">
        <f>IF(ISBLANK('ENGAGEMENTS 2026'!V2962),"",'ENGAGEMENTS 2026'!V2962)</f>
        <v/>
      </c>
      <c r="L2962" s="276">
        <f>IF($K2962="","",TODAY()-$K2962)</f>
        <v/>
      </c>
      <c r="M2962">
        <f>IF($A2962="","",IF($H2962="ENGAGE","Engagé",IF(AND($H2962="NON ENGAGE",OR($I2962="INFRUCTUEUX",$I2962="ANNULE")),"Clôturé sans suite","En cours")))</f>
        <v/>
      </c>
      <c r="N2962">
        <f>IF(ISBLANK('ENGAGEMENTS 2026'!B2962),"",'ENGAGEMENTS 2026'!K2962)</f>
        <v/>
      </c>
      <c r="O2962">
        <f>IF(ISBLANK('ENGAGEMENTS 2026'!B2962),"",'ENGAGEMENTS 2026'!L2962)</f>
        <v/>
      </c>
      <c r="P2962">
        <f>IF(ISBLANK('ENGAGEMENTS 2026'!B2962),"",'ENGAGEMENTS 2026'!J2962)</f>
        <v/>
      </c>
      <c r="Q2962">
        <f>IF($A2962="","",IF(OR($E2962="INFRUCTUEUX",$E2962="ANNULE"),$A2962&amp;"|"&amp;(COUNTIFS($A$2:$A2962,$A2962,$E$2:$E2962,"INFRUCTUEUX")+COUNTIFS($A$2:$A2962,$A2962,$E$2:$E2962,"ANNULE")),""))</f>
        <v/>
      </c>
    </row>
    <row r="2963">
      <c r="A2963">
        <f>IF(ISBLANK('ENGAGEMENTS 2026'!B2963),"",IF('ENGAGEMENTS 2026'!B2963="DTSI","DCT",'ENGAGEMENTS 2026'!B2963))</f>
        <v/>
      </c>
      <c r="B2963">
        <f>IF(ISBLANK('ENGAGEMENTS 2026'!B2963),"",'ENGAGEMENTS 2026'!C2963)</f>
        <v/>
      </c>
      <c r="C2963">
        <f>IF(ISBLANK('ENGAGEMENTS 2026'!B2963),"",'ENGAGEMENTS 2026'!D2963)</f>
        <v/>
      </c>
      <c r="D2963">
        <f>IF(ISBLANK('ENGAGEMENTS 2026'!B2963),"",'ENGAGEMENTS 2026'!F2963)</f>
        <v/>
      </c>
      <c r="E2963">
        <f>IF(ISBLANK('ENGAGEMENTS 2026'!B2963),"",'ENGAGEMENTS 2026'!H2963)</f>
        <v/>
      </c>
      <c r="F2963">
        <f>IF(ISBLANK('ENGAGEMENTS 2026'!B2963),"",'ENGAGEMENTS 2026'!I2963)</f>
        <v/>
      </c>
      <c r="G2963">
        <f>IF(ISBLANK('ENGAGEMENTS 2026'!B2963),"",'ENGAGEMENTS 2026'!L2963)</f>
        <v/>
      </c>
      <c r="H2963">
        <f>IF(ISBLANK('ENGAGEMENTS 2026'!B2963),"",'ENGAGEMENTS 2026'!AE2963)</f>
        <v/>
      </c>
      <c r="I2963">
        <f>IF(ISBLANK('ENGAGEMENTS 2026'!B2963),"",'ENGAGEMENTS 2026'!G2963)</f>
        <v/>
      </c>
      <c r="J2963" s="275">
        <f>IF(ISBLANK('ENGAGEMENTS 2026'!B2963),"",IF(AND(OR($E2963="INFRUCTUEUX",$E2963="ANNULE"),$C2963="AOO-M"),'ENGAGEMENTS 2026'!O2963,IF($H2963="EN COURS DE PREENGAGEMENT",'ENGAGEMENTS 2026'!N2963,IF($H2963="PREENGAGE",IF($E2963="ATTRIBUE",'ENGAGEMENTS 2026'!AD2963,'ENGAGEMENTS 2026'!N2963),'ENGAGEMENTS 2026'!AD2963))))</f>
        <v/>
      </c>
      <c r="K2963" s="604">
        <f>IF(ISBLANK('ENGAGEMENTS 2026'!V2963),"",'ENGAGEMENTS 2026'!V2963)</f>
        <v/>
      </c>
      <c r="L2963" s="276">
        <f>IF($K2963="","",TODAY()-$K2963)</f>
        <v/>
      </c>
      <c r="M2963">
        <f>IF($A2963="","",IF($H2963="ENGAGE","Engagé",IF(AND($H2963="NON ENGAGE",OR($I2963="INFRUCTUEUX",$I2963="ANNULE")),"Clôturé sans suite","En cours")))</f>
        <v/>
      </c>
      <c r="N2963">
        <f>IF(ISBLANK('ENGAGEMENTS 2026'!B2963),"",'ENGAGEMENTS 2026'!K2963)</f>
        <v/>
      </c>
      <c r="O2963">
        <f>IF(ISBLANK('ENGAGEMENTS 2026'!B2963),"",'ENGAGEMENTS 2026'!L2963)</f>
        <v/>
      </c>
      <c r="P2963">
        <f>IF(ISBLANK('ENGAGEMENTS 2026'!B2963),"",'ENGAGEMENTS 2026'!J2963)</f>
        <v/>
      </c>
      <c r="Q2963">
        <f>IF($A2963="","",IF(OR($E2963="INFRUCTUEUX",$E2963="ANNULE"),$A2963&amp;"|"&amp;(COUNTIFS($A$2:$A2963,$A2963,$E$2:$E2963,"INFRUCTUEUX")+COUNTIFS($A$2:$A2963,$A2963,$E$2:$E2963,"ANNULE")),""))</f>
        <v/>
      </c>
    </row>
    <row r="2964">
      <c r="A2964">
        <f>IF(ISBLANK('ENGAGEMENTS 2026'!B2964),"",IF('ENGAGEMENTS 2026'!B2964="DTSI","DCT",'ENGAGEMENTS 2026'!B2964))</f>
        <v/>
      </c>
      <c r="B2964">
        <f>IF(ISBLANK('ENGAGEMENTS 2026'!B2964),"",'ENGAGEMENTS 2026'!C2964)</f>
        <v/>
      </c>
      <c r="C2964">
        <f>IF(ISBLANK('ENGAGEMENTS 2026'!B2964),"",'ENGAGEMENTS 2026'!D2964)</f>
        <v/>
      </c>
      <c r="D2964">
        <f>IF(ISBLANK('ENGAGEMENTS 2026'!B2964),"",'ENGAGEMENTS 2026'!F2964)</f>
        <v/>
      </c>
      <c r="E2964">
        <f>IF(ISBLANK('ENGAGEMENTS 2026'!B2964),"",'ENGAGEMENTS 2026'!H2964)</f>
        <v/>
      </c>
      <c r="F2964">
        <f>IF(ISBLANK('ENGAGEMENTS 2026'!B2964),"",'ENGAGEMENTS 2026'!I2964)</f>
        <v/>
      </c>
      <c r="G2964">
        <f>IF(ISBLANK('ENGAGEMENTS 2026'!B2964),"",'ENGAGEMENTS 2026'!L2964)</f>
        <v/>
      </c>
      <c r="H2964">
        <f>IF(ISBLANK('ENGAGEMENTS 2026'!B2964),"",'ENGAGEMENTS 2026'!AE2964)</f>
        <v/>
      </c>
      <c r="I2964">
        <f>IF(ISBLANK('ENGAGEMENTS 2026'!B2964),"",'ENGAGEMENTS 2026'!G2964)</f>
        <v/>
      </c>
      <c r="J2964" s="275">
        <f>IF(ISBLANK('ENGAGEMENTS 2026'!B2964),"",IF(AND(OR($E2964="INFRUCTUEUX",$E2964="ANNULE"),$C2964="AOO-M"),'ENGAGEMENTS 2026'!O2964,IF($H2964="EN COURS DE PREENGAGEMENT",'ENGAGEMENTS 2026'!N2964,IF($H2964="PREENGAGE",IF($E2964="ATTRIBUE",'ENGAGEMENTS 2026'!AD2964,'ENGAGEMENTS 2026'!N2964),'ENGAGEMENTS 2026'!AD2964))))</f>
        <v/>
      </c>
      <c r="K2964" s="604">
        <f>IF(ISBLANK('ENGAGEMENTS 2026'!V2964),"",'ENGAGEMENTS 2026'!V2964)</f>
        <v/>
      </c>
      <c r="L2964" s="276">
        <f>IF($K2964="","",TODAY()-$K2964)</f>
        <v/>
      </c>
      <c r="M2964">
        <f>IF($A2964="","",IF($H2964="ENGAGE","Engagé",IF(AND($H2964="NON ENGAGE",OR($I2964="INFRUCTUEUX",$I2964="ANNULE")),"Clôturé sans suite","En cours")))</f>
        <v/>
      </c>
      <c r="N2964">
        <f>IF(ISBLANK('ENGAGEMENTS 2026'!B2964),"",'ENGAGEMENTS 2026'!K2964)</f>
        <v/>
      </c>
      <c r="O2964">
        <f>IF(ISBLANK('ENGAGEMENTS 2026'!B2964),"",'ENGAGEMENTS 2026'!L2964)</f>
        <v/>
      </c>
      <c r="P2964">
        <f>IF(ISBLANK('ENGAGEMENTS 2026'!B2964),"",'ENGAGEMENTS 2026'!J2964)</f>
        <v/>
      </c>
      <c r="Q2964">
        <f>IF($A2964="","",IF(OR($E2964="INFRUCTUEUX",$E2964="ANNULE"),$A2964&amp;"|"&amp;(COUNTIFS($A$2:$A2964,$A2964,$E$2:$E2964,"INFRUCTUEUX")+COUNTIFS($A$2:$A2964,$A2964,$E$2:$E2964,"ANNULE")),""))</f>
        <v/>
      </c>
    </row>
    <row r="2965">
      <c r="A2965">
        <f>IF(ISBLANK('ENGAGEMENTS 2026'!B2965),"",IF('ENGAGEMENTS 2026'!B2965="DTSI","DCT",'ENGAGEMENTS 2026'!B2965))</f>
        <v/>
      </c>
      <c r="B2965">
        <f>IF(ISBLANK('ENGAGEMENTS 2026'!B2965),"",'ENGAGEMENTS 2026'!C2965)</f>
        <v/>
      </c>
      <c r="C2965">
        <f>IF(ISBLANK('ENGAGEMENTS 2026'!B2965),"",'ENGAGEMENTS 2026'!D2965)</f>
        <v/>
      </c>
      <c r="D2965">
        <f>IF(ISBLANK('ENGAGEMENTS 2026'!B2965),"",'ENGAGEMENTS 2026'!F2965)</f>
        <v/>
      </c>
      <c r="E2965">
        <f>IF(ISBLANK('ENGAGEMENTS 2026'!B2965),"",'ENGAGEMENTS 2026'!H2965)</f>
        <v/>
      </c>
      <c r="F2965">
        <f>IF(ISBLANK('ENGAGEMENTS 2026'!B2965),"",'ENGAGEMENTS 2026'!I2965)</f>
        <v/>
      </c>
      <c r="G2965">
        <f>IF(ISBLANK('ENGAGEMENTS 2026'!B2965),"",'ENGAGEMENTS 2026'!L2965)</f>
        <v/>
      </c>
      <c r="H2965">
        <f>IF(ISBLANK('ENGAGEMENTS 2026'!B2965),"",'ENGAGEMENTS 2026'!AE2965)</f>
        <v/>
      </c>
      <c r="I2965">
        <f>IF(ISBLANK('ENGAGEMENTS 2026'!B2965),"",'ENGAGEMENTS 2026'!G2965)</f>
        <v/>
      </c>
      <c r="J2965" s="275">
        <f>IF(ISBLANK('ENGAGEMENTS 2026'!B2965),"",IF(AND(OR($E2965="INFRUCTUEUX",$E2965="ANNULE"),$C2965="AOO-M"),'ENGAGEMENTS 2026'!O2965,IF($H2965="EN COURS DE PREENGAGEMENT",'ENGAGEMENTS 2026'!N2965,IF($H2965="PREENGAGE",IF($E2965="ATTRIBUE",'ENGAGEMENTS 2026'!AD2965,'ENGAGEMENTS 2026'!N2965),'ENGAGEMENTS 2026'!AD2965))))</f>
        <v/>
      </c>
      <c r="K2965" s="604">
        <f>IF(ISBLANK('ENGAGEMENTS 2026'!V2965),"",'ENGAGEMENTS 2026'!V2965)</f>
        <v/>
      </c>
      <c r="L2965" s="276">
        <f>IF($K2965="","",TODAY()-$K2965)</f>
        <v/>
      </c>
      <c r="M2965">
        <f>IF($A2965="","",IF($H2965="ENGAGE","Engagé",IF(AND($H2965="NON ENGAGE",OR($I2965="INFRUCTUEUX",$I2965="ANNULE")),"Clôturé sans suite","En cours")))</f>
        <v/>
      </c>
      <c r="N2965">
        <f>IF(ISBLANK('ENGAGEMENTS 2026'!B2965),"",'ENGAGEMENTS 2026'!K2965)</f>
        <v/>
      </c>
      <c r="O2965">
        <f>IF(ISBLANK('ENGAGEMENTS 2026'!B2965),"",'ENGAGEMENTS 2026'!L2965)</f>
        <v/>
      </c>
      <c r="P2965">
        <f>IF(ISBLANK('ENGAGEMENTS 2026'!B2965),"",'ENGAGEMENTS 2026'!J2965)</f>
        <v/>
      </c>
      <c r="Q2965">
        <f>IF($A2965="","",IF(OR($E2965="INFRUCTUEUX",$E2965="ANNULE"),$A2965&amp;"|"&amp;(COUNTIFS($A$2:$A2965,$A2965,$E$2:$E2965,"INFRUCTUEUX")+COUNTIFS($A$2:$A2965,$A2965,$E$2:$E2965,"ANNULE")),""))</f>
        <v/>
      </c>
    </row>
    <row r="2966">
      <c r="A2966">
        <f>IF(ISBLANK('ENGAGEMENTS 2026'!B2966),"",IF('ENGAGEMENTS 2026'!B2966="DTSI","DCT",'ENGAGEMENTS 2026'!B2966))</f>
        <v/>
      </c>
      <c r="B2966">
        <f>IF(ISBLANK('ENGAGEMENTS 2026'!B2966),"",'ENGAGEMENTS 2026'!C2966)</f>
        <v/>
      </c>
      <c r="C2966">
        <f>IF(ISBLANK('ENGAGEMENTS 2026'!B2966),"",'ENGAGEMENTS 2026'!D2966)</f>
        <v/>
      </c>
      <c r="D2966">
        <f>IF(ISBLANK('ENGAGEMENTS 2026'!B2966),"",'ENGAGEMENTS 2026'!F2966)</f>
        <v/>
      </c>
      <c r="E2966">
        <f>IF(ISBLANK('ENGAGEMENTS 2026'!B2966),"",'ENGAGEMENTS 2026'!H2966)</f>
        <v/>
      </c>
      <c r="F2966">
        <f>IF(ISBLANK('ENGAGEMENTS 2026'!B2966),"",'ENGAGEMENTS 2026'!I2966)</f>
        <v/>
      </c>
      <c r="G2966">
        <f>IF(ISBLANK('ENGAGEMENTS 2026'!B2966),"",'ENGAGEMENTS 2026'!L2966)</f>
        <v/>
      </c>
      <c r="H2966">
        <f>IF(ISBLANK('ENGAGEMENTS 2026'!B2966),"",'ENGAGEMENTS 2026'!AE2966)</f>
        <v/>
      </c>
      <c r="I2966">
        <f>IF(ISBLANK('ENGAGEMENTS 2026'!B2966),"",'ENGAGEMENTS 2026'!G2966)</f>
        <v/>
      </c>
      <c r="J2966" s="275">
        <f>IF(ISBLANK('ENGAGEMENTS 2026'!B2966),"",IF(AND(OR($E2966="INFRUCTUEUX",$E2966="ANNULE"),$C2966="AOO-M"),'ENGAGEMENTS 2026'!O2966,IF($H2966="EN COURS DE PREENGAGEMENT",'ENGAGEMENTS 2026'!N2966,IF($H2966="PREENGAGE",IF($E2966="ATTRIBUE",'ENGAGEMENTS 2026'!AD2966,'ENGAGEMENTS 2026'!N2966),'ENGAGEMENTS 2026'!AD2966))))</f>
        <v/>
      </c>
      <c r="K2966" s="604">
        <f>IF(ISBLANK('ENGAGEMENTS 2026'!V2966),"",'ENGAGEMENTS 2026'!V2966)</f>
        <v/>
      </c>
      <c r="L2966" s="276">
        <f>IF($K2966="","",TODAY()-$K2966)</f>
        <v/>
      </c>
      <c r="M2966">
        <f>IF($A2966="","",IF($H2966="ENGAGE","Engagé",IF(AND($H2966="NON ENGAGE",OR($I2966="INFRUCTUEUX",$I2966="ANNULE")),"Clôturé sans suite","En cours")))</f>
        <v/>
      </c>
      <c r="N2966">
        <f>IF(ISBLANK('ENGAGEMENTS 2026'!B2966),"",'ENGAGEMENTS 2026'!K2966)</f>
        <v/>
      </c>
      <c r="O2966">
        <f>IF(ISBLANK('ENGAGEMENTS 2026'!B2966),"",'ENGAGEMENTS 2026'!L2966)</f>
        <v/>
      </c>
      <c r="P2966">
        <f>IF(ISBLANK('ENGAGEMENTS 2026'!B2966),"",'ENGAGEMENTS 2026'!J2966)</f>
        <v/>
      </c>
      <c r="Q2966">
        <f>IF($A2966="","",IF(OR($E2966="INFRUCTUEUX",$E2966="ANNULE"),$A2966&amp;"|"&amp;(COUNTIFS($A$2:$A2966,$A2966,$E$2:$E2966,"INFRUCTUEUX")+COUNTIFS($A$2:$A2966,$A2966,$E$2:$E2966,"ANNULE")),""))</f>
        <v/>
      </c>
    </row>
    <row r="2967">
      <c r="A2967">
        <f>IF(ISBLANK('ENGAGEMENTS 2026'!B2967),"",IF('ENGAGEMENTS 2026'!B2967="DTSI","DCT",'ENGAGEMENTS 2026'!B2967))</f>
        <v/>
      </c>
      <c r="B2967">
        <f>IF(ISBLANK('ENGAGEMENTS 2026'!B2967),"",'ENGAGEMENTS 2026'!C2967)</f>
        <v/>
      </c>
      <c r="C2967">
        <f>IF(ISBLANK('ENGAGEMENTS 2026'!B2967),"",'ENGAGEMENTS 2026'!D2967)</f>
        <v/>
      </c>
      <c r="D2967">
        <f>IF(ISBLANK('ENGAGEMENTS 2026'!B2967),"",'ENGAGEMENTS 2026'!F2967)</f>
        <v/>
      </c>
      <c r="E2967">
        <f>IF(ISBLANK('ENGAGEMENTS 2026'!B2967),"",'ENGAGEMENTS 2026'!H2967)</f>
        <v/>
      </c>
      <c r="F2967">
        <f>IF(ISBLANK('ENGAGEMENTS 2026'!B2967),"",'ENGAGEMENTS 2026'!I2967)</f>
        <v/>
      </c>
      <c r="G2967">
        <f>IF(ISBLANK('ENGAGEMENTS 2026'!B2967),"",'ENGAGEMENTS 2026'!L2967)</f>
        <v/>
      </c>
      <c r="H2967">
        <f>IF(ISBLANK('ENGAGEMENTS 2026'!B2967),"",'ENGAGEMENTS 2026'!AE2967)</f>
        <v/>
      </c>
      <c r="I2967">
        <f>IF(ISBLANK('ENGAGEMENTS 2026'!B2967),"",'ENGAGEMENTS 2026'!G2967)</f>
        <v/>
      </c>
      <c r="J2967" s="275">
        <f>IF(ISBLANK('ENGAGEMENTS 2026'!B2967),"",IF(AND(OR($E2967="INFRUCTUEUX",$E2967="ANNULE"),$C2967="AOO-M"),'ENGAGEMENTS 2026'!O2967,IF($H2967="EN COURS DE PREENGAGEMENT",'ENGAGEMENTS 2026'!N2967,IF($H2967="PREENGAGE",IF($E2967="ATTRIBUE",'ENGAGEMENTS 2026'!AD2967,'ENGAGEMENTS 2026'!N2967),'ENGAGEMENTS 2026'!AD2967))))</f>
        <v/>
      </c>
      <c r="K2967" s="604">
        <f>IF(ISBLANK('ENGAGEMENTS 2026'!V2967),"",'ENGAGEMENTS 2026'!V2967)</f>
        <v/>
      </c>
      <c r="L2967" s="276">
        <f>IF($K2967="","",TODAY()-$K2967)</f>
        <v/>
      </c>
      <c r="M2967">
        <f>IF($A2967="","",IF($H2967="ENGAGE","Engagé",IF(AND($H2967="NON ENGAGE",OR($I2967="INFRUCTUEUX",$I2967="ANNULE")),"Clôturé sans suite","En cours")))</f>
        <v/>
      </c>
      <c r="N2967">
        <f>IF(ISBLANK('ENGAGEMENTS 2026'!B2967),"",'ENGAGEMENTS 2026'!K2967)</f>
        <v/>
      </c>
      <c r="O2967">
        <f>IF(ISBLANK('ENGAGEMENTS 2026'!B2967),"",'ENGAGEMENTS 2026'!L2967)</f>
        <v/>
      </c>
      <c r="P2967">
        <f>IF(ISBLANK('ENGAGEMENTS 2026'!B2967),"",'ENGAGEMENTS 2026'!J2967)</f>
        <v/>
      </c>
      <c r="Q2967">
        <f>IF($A2967="","",IF(OR($E2967="INFRUCTUEUX",$E2967="ANNULE"),$A2967&amp;"|"&amp;(COUNTIFS($A$2:$A2967,$A2967,$E$2:$E2967,"INFRUCTUEUX")+COUNTIFS($A$2:$A2967,$A2967,$E$2:$E2967,"ANNULE")),""))</f>
        <v/>
      </c>
    </row>
    <row r="2968">
      <c r="A2968">
        <f>IF(ISBLANK('ENGAGEMENTS 2026'!B2968),"",IF('ENGAGEMENTS 2026'!B2968="DTSI","DCT",'ENGAGEMENTS 2026'!B2968))</f>
        <v/>
      </c>
      <c r="B2968">
        <f>IF(ISBLANK('ENGAGEMENTS 2026'!B2968),"",'ENGAGEMENTS 2026'!C2968)</f>
        <v/>
      </c>
      <c r="C2968">
        <f>IF(ISBLANK('ENGAGEMENTS 2026'!B2968),"",'ENGAGEMENTS 2026'!D2968)</f>
        <v/>
      </c>
      <c r="D2968">
        <f>IF(ISBLANK('ENGAGEMENTS 2026'!B2968),"",'ENGAGEMENTS 2026'!F2968)</f>
        <v/>
      </c>
      <c r="E2968">
        <f>IF(ISBLANK('ENGAGEMENTS 2026'!B2968),"",'ENGAGEMENTS 2026'!H2968)</f>
        <v/>
      </c>
      <c r="F2968">
        <f>IF(ISBLANK('ENGAGEMENTS 2026'!B2968),"",'ENGAGEMENTS 2026'!I2968)</f>
        <v/>
      </c>
      <c r="G2968">
        <f>IF(ISBLANK('ENGAGEMENTS 2026'!B2968),"",'ENGAGEMENTS 2026'!L2968)</f>
        <v/>
      </c>
      <c r="H2968">
        <f>IF(ISBLANK('ENGAGEMENTS 2026'!B2968),"",'ENGAGEMENTS 2026'!AE2968)</f>
        <v/>
      </c>
      <c r="I2968">
        <f>IF(ISBLANK('ENGAGEMENTS 2026'!B2968),"",'ENGAGEMENTS 2026'!G2968)</f>
        <v/>
      </c>
      <c r="J2968" s="275">
        <f>IF(ISBLANK('ENGAGEMENTS 2026'!B2968),"",IF(AND(OR($E2968="INFRUCTUEUX",$E2968="ANNULE"),$C2968="AOO-M"),'ENGAGEMENTS 2026'!O2968,IF($H2968="EN COURS DE PREENGAGEMENT",'ENGAGEMENTS 2026'!N2968,IF($H2968="PREENGAGE",IF($E2968="ATTRIBUE",'ENGAGEMENTS 2026'!AD2968,'ENGAGEMENTS 2026'!N2968),'ENGAGEMENTS 2026'!AD2968))))</f>
        <v/>
      </c>
      <c r="K2968" s="604">
        <f>IF(ISBLANK('ENGAGEMENTS 2026'!V2968),"",'ENGAGEMENTS 2026'!V2968)</f>
        <v/>
      </c>
      <c r="L2968" s="276">
        <f>IF($K2968="","",TODAY()-$K2968)</f>
        <v/>
      </c>
      <c r="M2968">
        <f>IF($A2968="","",IF($H2968="ENGAGE","Engagé",IF(AND($H2968="NON ENGAGE",OR($I2968="INFRUCTUEUX",$I2968="ANNULE")),"Clôturé sans suite","En cours")))</f>
        <v/>
      </c>
      <c r="N2968">
        <f>IF(ISBLANK('ENGAGEMENTS 2026'!B2968),"",'ENGAGEMENTS 2026'!K2968)</f>
        <v/>
      </c>
      <c r="O2968">
        <f>IF(ISBLANK('ENGAGEMENTS 2026'!B2968),"",'ENGAGEMENTS 2026'!L2968)</f>
        <v/>
      </c>
      <c r="P2968">
        <f>IF(ISBLANK('ENGAGEMENTS 2026'!B2968),"",'ENGAGEMENTS 2026'!J2968)</f>
        <v/>
      </c>
      <c r="Q2968">
        <f>IF($A2968="","",IF(OR($E2968="INFRUCTUEUX",$E2968="ANNULE"),$A2968&amp;"|"&amp;(COUNTIFS($A$2:$A2968,$A2968,$E$2:$E2968,"INFRUCTUEUX")+COUNTIFS($A$2:$A2968,$A2968,$E$2:$E2968,"ANNULE")),""))</f>
        <v/>
      </c>
    </row>
    <row r="2969">
      <c r="A2969">
        <f>IF(ISBLANK('ENGAGEMENTS 2026'!B2969),"",IF('ENGAGEMENTS 2026'!B2969="DTSI","DCT",'ENGAGEMENTS 2026'!B2969))</f>
        <v/>
      </c>
      <c r="B2969">
        <f>IF(ISBLANK('ENGAGEMENTS 2026'!B2969),"",'ENGAGEMENTS 2026'!C2969)</f>
        <v/>
      </c>
      <c r="C2969">
        <f>IF(ISBLANK('ENGAGEMENTS 2026'!B2969),"",'ENGAGEMENTS 2026'!D2969)</f>
        <v/>
      </c>
      <c r="D2969">
        <f>IF(ISBLANK('ENGAGEMENTS 2026'!B2969),"",'ENGAGEMENTS 2026'!F2969)</f>
        <v/>
      </c>
      <c r="E2969">
        <f>IF(ISBLANK('ENGAGEMENTS 2026'!B2969),"",'ENGAGEMENTS 2026'!H2969)</f>
        <v/>
      </c>
      <c r="F2969">
        <f>IF(ISBLANK('ENGAGEMENTS 2026'!B2969),"",'ENGAGEMENTS 2026'!I2969)</f>
        <v/>
      </c>
      <c r="G2969">
        <f>IF(ISBLANK('ENGAGEMENTS 2026'!B2969),"",'ENGAGEMENTS 2026'!L2969)</f>
        <v/>
      </c>
      <c r="H2969">
        <f>IF(ISBLANK('ENGAGEMENTS 2026'!B2969),"",'ENGAGEMENTS 2026'!AE2969)</f>
        <v/>
      </c>
      <c r="I2969">
        <f>IF(ISBLANK('ENGAGEMENTS 2026'!B2969),"",'ENGAGEMENTS 2026'!G2969)</f>
        <v/>
      </c>
      <c r="J2969" s="275">
        <f>IF(ISBLANK('ENGAGEMENTS 2026'!B2969),"",IF(AND(OR($E2969="INFRUCTUEUX",$E2969="ANNULE"),$C2969="AOO-M"),'ENGAGEMENTS 2026'!O2969,IF($H2969="EN COURS DE PREENGAGEMENT",'ENGAGEMENTS 2026'!N2969,IF($H2969="PREENGAGE",IF($E2969="ATTRIBUE",'ENGAGEMENTS 2026'!AD2969,'ENGAGEMENTS 2026'!N2969),'ENGAGEMENTS 2026'!AD2969))))</f>
        <v/>
      </c>
      <c r="K2969" s="604">
        <f>IF(ISBLANK('ENGAGEMENTS 2026'!V2969),"",'ENGAGEMENTS 2026'!V2969)</f>
        <v/>
      </c>
      <c r="L2969" s="276">
        <f>IF($K2969="","",TODAY()-$K2969)</f>
        <v/>
      </c>
      <c r="M2969">
        <f>IF($A2969="","",IF($H2969="ENGAGE","Engagé",IF(AND($H2969="NON ENGAGE",OR($I2969="INFRUCTUEUX",$I2969="ANNULE")),"Clôturé sans suite","En cours")))</f>
        <v/>
      </c>
      <c r="N2969">
        <f>IF(ISBLANK('ENGAGEMENTS 2026'!B2969),"",'ENGAGEMENTS 2026'!K2969)</f>
        <v/>
      </c>
      <c r="O2969">
        <f>IF(ISBLANK('ENGAGEMENTS 2026'!B2969),"",'ENGAGEMENTS 2026'!L2969)</f>
        <v/>
      </c>
      <c r="P2969">
        <f>IF(ISBLANK('ENGAGEMENTS 2026'!B2969),"",'ENGAGEMENTS 2026'!J2969)</f>
        <v/>
      </c>
      <c r="Q2969">
        <f>IF($A2969="","",IF(OR($E2969="INFRUCTUEUX",$E2969="ANNULE"),$A2969&amp;"|"&amp;(COUNTIFS($A$2:$A2969,$A2969,$E$2:$E2969,"INFRUCTUEUX")+COUNTIFS($A$2:$A2969,$A2969,$E$2:$E2969,"ANNULE")),""))</f>
        <v/>
      </c>
    </row>
    <row r="2970">
      <c r="A2970">
        <f>IF(ISBLANK('ENGAGEMENTS 2026'!B2970),"",IF('ENGAGEMENTS 2026'!B2970="DTSI","DCT",'ENGAGEMENTS 2026'!B2970))</f>
        <v/>
      </c>
      <c r="B2970">
        <f>IF(ISBLANK('ENGAGEMENTS 2026'!B2970),"",'ENGAGEMENTS 2026'!C2970)</f>
        <v/>
      </c>
      <c r="C2970">
        <f>IF(ISBLANK('ENGAGEMENTS 2026'!B2970),"",'ENGAGEMENTS 2026'!D2970)</f>
        <v/>
      </c>
      <c r="D2970">
        <f>IF(ISBLANK('ENGAGEMENTS 2026'!B2970),"",'ENGAGEMENTS 2026'!F2970)</f>
        <v/>
      </c>
      <c r="E2970">
        <f>IF(ISBLANK('ENGAGEMENTS 2026'!B2970),"",'ENGAGEMENTS 2026'!H2970)</f>
        <v/>
      </c>
      <c r="F2970">
        <f>IF(ISBLANK('ENGAGEMENTS 2026'!B2970),"",'ENGAGEMENTS 2026'!I2970)</f>
        <v/>
      </c>
      <c r="G2970">
        <f>IF(ISBLANK('ENGAGEMENTS 2026'!B2970),"",'ENGAGEMENTS 2026'!L2970)</f>
        <v/>
      </c>
      <c r="H2970">
        <f>IF(ISBLANK('ENGAGEMENTS 2026'!B2970),"",'ENGAGEMENTS 2026'!AE2970)</f>
        <v/>
      </c>
      <c r="I2970">
        <f>IF(ISBLANK('ENGAGEMENTS 2026'!B2970),"",'ENGAGEMENTS 2026'!G2970)</f>
        <v/>
      </c>
      <c r="J2970" s="275">
        <f>IF(ISBLANK('ENGAGEMENTS 2026'!B2970),"",IF(AND(OR($E2970="INFRUCTUEUX",$E2970="ANNULE"),$C2970="AOO-M"),'ENGAGEMENTS 2026'!O2970,IF($H2970="EN COURS DE PREENGAGEMENT",'ENGAGEMENTS 2026'!N2970,IF($H2970="PREENGAGE",IF($E2970="ATTRIBUE",'ENGAGEMENTS 2026'!AD2970,'ENGAGEMENTS 2026'!N2970),'ENGAGEMENTS 2026'!AD2970))))</f>
        <v/>
      </c>
      <c r="K2970" s="604">
        <f>IF(ISBLANK('ENGAGEMENTS 2026'!V2970),"",'ENGAGEMENTS 2026'!V2970)</f>
        <v/>
      </c>
      <c r="L2970" s="276">
        <f>IF($K2970="","",TODAY()-$K2970)</f>
        <v/>
      </c>
      <c r="M2970">
        <f>IF($A2970="","",IF($H2970="ENGAGE","Engagé",IF(AND($H2970="NON ENGAGE",OR($I2970="INFRUCTUEUX",$I2970="ANNULE")),"Clôturé sans suite","En cours")))</f>
        <v/>
      </c>
      <c r="N2970">
        <f>IF(ISBLANK('ENGAGEMENTS 2026'!B2970),"",'ENGAGEMENTS 2026'!K2970)</f>
        <v/>
      </c>
      <c r="O2970">
        <f>IF(ISBLANK('ENGAGEMENTS 2026'!B2970),"",'ENGAGEMENTS 2026'!L2970)</f>
        <v/>
      </c>
      <c r="P2970">
        <f>IF(ISBLANK('ENGAGEMENTS 2026'!B2970),"",'ENGAGEMENTS 2026'!J2970)</f>
        <v/>
      </c>
      <c r="Q2970">
        <f>IF($A2970="","",IF(OR($E2970="INFRUCTUEUX",$E2970="ANNULE"),$A2970&amp;"|"&amp;(COUNTIFS($A$2:$A2970,$A2970,$E$2:$E2970,"INFRUCTUEUX")+COUNTIFS($A$2:$A2970,$A2970,$E$2:$E2970,"ANNULE")),""))</f>
        <v/>
      </c>
    </row>
    <row r="2971">
      <c r="A2971">
        <f>IF(ISBLANK('ENGAGEMENTS 2026'!B2971),"",IF('ENGAGEMENTS 2026'!B2971="DTSI","DCT",'ENGAGEMENTS 2026'!B2971))</f>
        <v/>
      </c>
      <c r="B2971">
        <f>IF(ISBLANK('ENGAGEMENTS 2026'!B2971),"",'ENGAGEMENTS 2026'!C2971)</f>
        <v/>
      </c>
      <c r="C2971">
        <f>IF(ISBLANK('ENGAGEMENTS 2026'!B2971),"",'ENGAGEMENTS 2026'!D2971)</f>
        <v/>
      </c>
      <c r="D2971">
        <f>IF(ISBLANK('ENGAGEMENTS 2026'!B2971),"",'ENGAGEMENTS 2026'!F2971)</f>
        <v/>
      </c>
      <c r="E2971">
        <f>IF(ISBLANK('ENGAGEMENTS 2026'!B2971),"",'ENGAGEMENTS 2026'!H2971)</f>
        <v/>
      </c>
      <c r="F2971">
        <f>IF(ISBLANK('ENGAGEMENTS 2026'!B2971),"",'ENGAGEMENTS 2026'!I2971)</f>
        <v/>
      </c>
      <c r="G2971">
        <f>IF(ISBLANK('ENGAGEMENTS 2026'!B2971),"",'ENGAGEMENTS 2026'!L2971)</f>
        <v/>
      </c>
      <c r="H2971">
        <f>IF(ISBLANK('ENGAGEMENTS 2026'!B2971),"",'ENGAGEMENTS 2026'!AE2971)</f>
        <v/>
      </c>
      <c r="I2971">
        <f>IF(ISBLANK('ENGAGEMENTS 2026'!B2971),"",'ENGAGEMENTS 2026'!G2971)</f>
        <v/>
      </c>
      <c r="J2971" s="275">
        <f>IF(ISBLANK('ENGAGEMENTS 2026'!B2971),"",IF(AND(OR($E2971="INFRUCTUEUX",$E2971="ANNULE"),$C2971="AOO-M"),'ENGAGEMENTS 2026'!O2971,IF($H2971="EN COURS DE PREENGAGEMENT",'ENGAGEMENTS 2026'!N2971,IF($H2971="PREENGAGE",IF($E2971="ATTRIBUE",'ENGAGEMENTS 2026'!AD2971,'ENGAGEMENTS 2026'!N2971),'ENGAGEMENTS 2026'!AD2971))))</f>
        <v/>
      </c>
      <c r="K2971" s="604">
        <f>IF(ISBLANK('ENGAGEMENTS 2026'!V2971),"",'ENGAGEMENTS 2026'!V2971)</f>
        <v/>
      </c>
      <c r="L2971" s="276">
        <f>IF($K2971="","",TODAY()-$K2971)</f>
        <v/>
      </c>
      <c r="M2971">
        <f>IF($A2971="","",IF($H2971="ENGAGE","Engagé",IF(AND($H2971="NON ENGAGE",OR($I2971="INFRUCTUEUX",$I2971="ANNULE")),"Clôturé sans suite","En cours")))</f>
        <v/>
      </c>
      <c r="N2971">
        <f>IF(ISBLANK('ENGAGEMENTS 2026'!B2971),"",'ENGAGEMENTS 2026'!K2971)</f>
        <v/>
      </c>
      <c r="O2971">
        <f>IF(ISBLANK('ENGAGEMENTS 2026'!B2971),"",'ENGAGEMENTS 2026'!L2971)</f>
        <v/>
      </c>
      <c r="P2971">
        <f>IF(ISBLANK('ENGAGEMENTS 2026'!B2971),"",'ENGAGEMENTS 2026'!J2971)</f>
        <v/>
      </c>
      <c r="Q2971">
        <f>IF($A2971="","",IF(OR($E2971="INFRUCTUEUX",$E2971="ANNULE"),$A2971&amp;"|"&amp;(COUNTIFS($A$2:$A2971,$A2971,$E$2:$E2971,"INFRUCTUEUX")+COUNTIFS($A$2:$A2971,$A2971,$E$2:$E2971,"ANNULE")),""))</f>
        <v/>
      </c>
    </row>
    <row r="2972">
      <c r="A2972">
        <f>IF(ISBLANK('ENGAGEMENTS 2026'!B2972),"",IF('ENGAGEMENTS 2026'!B2972="DTSI","DCT",'ENGAGEMENTS 2026'!B2972))</f>
        <v/>
      </c>
      <c r="B2972">
        <f>IF(ISBLANK('ENGAGEMENTS 2026'!B2972),"",'ENGAGEMENTS 2026'!C2972)</f>
        <v/>
      </c>
      <c r="C2972">
        <f>IF(ISBLANK('ENGAGEMENTS 2026'!B2972),"",'ENGAGEMENTS 2026'!D2972)</f>
        <v/>
      </c>
      <c r="D2972">
        <f>IF(ISBLANK('ENGAGEMENTS 2026'!B2972),"",'ENGAGEMENTS 2026'!F2972)</f>
        <v/>
      </c>
      <c r="E2972">
        <f>IF(ISBLANK('ENGAGEMENTS 2026'!B2972),"",'ENGAGEMENTS 2026'!H2972)</f>
        <v/>
      </c>
      <c r="F2972">
        <f>IF(ISBLANK('ENGAGEMENTS 2026'!B2972),"",'ENGAGEMENTS 2026'!I2972)</f>
        <v/>
      </c>
      <c r="G2972">
        <f>IF(ISBLANK('ENGAGEMENTS 2026'!B2972),"",'ENGAGEMENTS 2026'!L2972)</f>
        <v/>
      </c>
      <c r="H2972">
        <f>IF(ISBLANK('ENGAGEMENTS 2026'!B2972),"",'ENGAGEMENTS 2026'!AE2972)</f>
        <v/>
      </c>
      <c r="I2972">
        <f>IF(ISBLANK('ENGAGEMENTS 2026'!B2972),"",'ENGAGEMENTS 2026'!G2972)</f>
        <v/>
      </c>
      <c r="J2972" s="275">
        <f>IF(ISBLANK('ENGAGEMENTS 2026'!B2972),"",IF(AND(OR($E2972="INFRUCTUEUX",$E2972="ANNULE"),$C2972="AOO-M"),'ENGAGEMENTS 2026'!O2972,IF($H2972="EN COURS DE PREENGAGEMENT",'ENGAGEMENTS 2026'!N2972,IF($H2972="PREENGAGE",IF($E2972="ATTRIBUE",'ENGAGEMENTS 2026'!AD2972,'ENGAGEMENTS 2026'!N2972),'ENGAGEMENTS 2026'!AD2972))))</f>
        <v/>
      </c>
      <c r="K2972" s="604">
        <f>IF(ISBLANK('ENGAGEMENTS 2026'!V2972),"",'ENGAGEMENTS 2026'!V2972)</f>
        <v/>
      </c>
      <c r="L2972" s="276">
        <f>IF($K2972="","",TODAY()-$K2972)</f>
        <v/>
      </c>
      <c r="M2972">
        <f>IF($A2972="","",IF($H2972="ENGAGE","Engagé",IF(AND($H2972="NON ENGAGE",OR($I2972="INFRUCTUEUX",$I2972="ANNULE")),"Clôturé sans suite","En cours")))</f>
        <v/>
      </c>
      <c r="N2972">
        <f>IF(ISBLANK('ENGAGEMENTS 2026'!B2972),"",'ENGAGEMENTS 2026'!K2972)</f>
        <v/>
      </c>
      <c r="O2972">
        <f>IF(ISBLANK('ENGAGEMENTS 2026'!B2972),"",'ENGAGEMENTS 2026'!L2972)</f>
        <v/>
      </c>
      <c r="P2972">
        <f>IF(ISBLANK('ENGAGEMENTS 2026'!B2972),"",'ENGAGEMENTS 2026'!J2972)</f>
        <v/>
      </c>
      <c r="Q2972">
        <f>IF($A2972="","",IF(OR($E2972="INFRUCTUEUX",$E2972="ANNULE"),$A2972&amp;"|"&amp;(COUNTIFS($A$2:$A2972,$A2972,$E$2:$E2972,"INFRUCTUEUX")+COUNTIFS($A$2:$A2972,$A2972,$E$2:$E2972,"ANNULE")),""))</f>
        <v/>
      </c>
    </row>
    <row r="2973">
      <c r="A2973">
        <f>IF(ISBLANK('ENGAGEMENTS 2026'!B2973),"",IF('ENGAGEMENTS 2026'!B2973="DTSI","DCT",'ENGAGEMENTS 2026'!B2973))</f>
        <v/>
      </c>
      <c r="B2973">
        <f>IF(ISBLANK('ENGAGEMENTS 2026'!B2973),"",'ENGAGEMENTS 2026'!C2973)</f>
        <v/>
      </c>
      <c r="C2973">
        <f>IF(ISBLANK('ENGAGEMENTS 2026'!B2973),"",'ENGAGEMENTS 2026'!D2973)</f>
        <v/>
      </c>
      <c r="D2973">
        <f>IF(ISBLANK('ENGAGEMENTS 2026'!B2973),"",'ENGAGEMENTS 2026'!F2973)</f>
        <v/>
      </c>
      <c r="E2973">
        <f>IF(ISBLANK('ENGAGEMENTS 2026'!B2973),"",'ENGAGEMENTS 2026'!H2973)</f>
        <v/>
      </c>
      <c r="F2973">
        <f>IF(ISBLANK('ENGAGEMENTS 2026'!B2973),"",'ENGAGEMENTS 2026'!I2973)</f>
        <v/>
      </c>
      <c r="G2973">
        <f>IF(ISBLANK('ENGAGEMENTS 2026'!B2973),"",'ENGAGEMENTS 2026'!L2973)</f>
        <v/>
      </c>
      <c r="H2973">
        <f>IF(ISBLANK('ENGAGEMENTS 2026'!B2973),"",'ENGAGEMENTS 2026'!AE2973)</f>
        <v/>
      </c>
      <c r="I2973">
        <f>IF(ISBLANK('ENGAGEMENTS 2026'!B2973),"",'ENGAGEMENTS 2026'!G2973)</f>
        <v/>
      </c>
      <c r="J2973" s="275">
        <f>IF(ISBLANK('ENGAGEMENTS 2026'!B2973),"",IF(AND(OR($E2973="INFRUCTUEUX",$E2973="ANNULE"),$C2973="AOO-M"),'ENGAGEMENTS 2026'!O2973,IF($H2973="EN COURS DE PREENGAGEMENT",'ENGAGEMENTS 2026'!N2973,IF($H2973="PREENGAGE",IF($E2973="ATTRIBUE",'ENGAGEMENTS 2026'!AD2973,'ENGAGEMENTS 2026'!N2973),'ENGAGEMENTS 2026'!AD2973))))</f>
        <v/>
      </c>
      <c r="K2973" s="604">
        <f>IF(ISBLANK('ENGAGEMENTS 2026'!V2973),"",'ENGAGEMENTS 2026'!V2973)</f>
        <v/>
      </c>
      <c r="L2973" s="276">
        <f>IF($K2973="","",TODAY()-$K2973)</f>
        <v/>
      </c>
      <c r="M2973">
        <f>IF($A2973="","",IF($H2973="ENGAGE","Engagé",IF(AND($H2973="NON ENGAGE",OR($I2973="INFRUCTUEUX",$I2973="ANNULE")),"Clôturé sans suite","En cours")))</f>
        <v/>
      </c>
      <c r="N2973">
        <f>IF(ISBLANK('ENGAGEMENTS 2026'!B2973),"",'ENGAGEMENTS 2026'!K2973)</f>
        <v/>
      </c>
      <c r="O2973">
        <f>IF(ISBLANK('ENGAGEMENTS 2026'!B2973),"",'ENGAGEMENTS 2026'!L2973)</f>
        <v/>
      </c>
      <c r="P2973">
        <f>IF(ISBLANK('ENGAGEMENTS 2026'!B2973),"",'ENGAGEMENTS 2026'!J2973)</f>
        <v/>
      </c>
      <c r="Q2973">
        <f>IF($A2973="","",IF(OR($E2973="INFRUCTUEUX",$E2973="ANNULE"),$A2973&amp;"|"&amp;(COUNTIFS($A$2:$A2973,$A2973,$E$2:$E2973,"INFRUCTUEUX")+COUNTIFS($A$2:$A2973,$A2973,$E$2:$E2973,"ANNULE")),""))</f>
        <v/>
      </c>
    </row>
    <row r="2974">
      <c r="A2974">
        <f>IF(ISBLANK('ENGAGEMENTS 2026'!B2974),"",IF('ENGAGEMENTS 2026'!B2974="DTSI","DCT",'ENGAGEMENTS 2026'!B2974))</f>
        <v/>
      </c>
      <c r="B2974">
        <f>IF(ISBLANK('ENGAGEMENTS 2026'!B2974),"",'ENGAGEMENTS 2026'!C2974)</f>
        <v/>
      </c>
      <c r="C2974">
        <f>IF(ISBLANK('ENGAGEMENTS 2026'!B2974),"",'ENGAGEMENTS 2026'!D2974)</f>
        <v/>
      </c>
      <c r="D2974">
        <f>IF(ISBLANK('ENGAGEMENTS 2026'!B2974),"",'ENGAGEMENTS 2026'!F2974)</f>
        <v/>
      </c>
      <c r="E2974">
        <f>IF(ISBLANK('ENGAGEMENTS 2026'!B2974),"",'ENGAGEMENTS 2026'!H2974)</f>
        <v/>
      </c>
      <c r="F2974">
        <f>IF(ISBLANK('ENGAGEMENTS 2026'!B2974),"",'ENGAGEMENTS 2026'!I2974)</f>
        <v/>
      </c>
      <c r="G2974">
        <f>IF(ISBLANK('ENGAGEMENTS 2026'!B2974),"",'ENGAGEMENTS 2026'!L2974)</f>
        <v/>
      </c>
      <c r="H2974">
        <f>IF(ISBLANK('ENGAGEMENTS 2026'!B2974),"",'ENGAGEMENTS 2026'!AE2974)</f>
        <v/>
      </c>
      <c r="I2974">
        <f>IF(ISBLANK('ENGAGEMENTS 2026'!B2974),"",'ENGAGEMENTS 2026'!G2974)</f>
        <v/>
      </c>
      <c r="J2974" s="275">
        <f>IF(ISBLANK('ENGAGEMENTS 2026'!B2974),"",IF(AND(OR($E2974="INFRUCTUEUX",$E2974="ANNULE"),$C2974="AOO-M"),'ENGAGEMENTS 2026'!O2974,IF($H2974="EN COURS DE PREENGAGEMENT",'ENGAGEMENTS 2026'!N2974,IF($H2974="PREENGAGE",IF($E2974="ATTRIBUE",'ENGAGEMENTS 2026'!AD2974,'ENGAGEMENTS 2026'!N2974),'ENGAGEMENTS 2026'!AD2974))))</f>
        <v/>
      </c>
      <c r="K2974" s="604">
        <f>IF(ISBLANK('ENGAGEMENTS 2026'!V2974),"",'ENGAGEMENTS 2026'!V2974)</f>
        <v/>
      </c>
      <c r="L2974" s="276">
        <f>IF($K2974="","",TODAY()-$K2974)</f>
        <v/>
      </c>
      <c r="M2974">
        <f>IF($A2974="","",IF($H2974="ENGAGE","Engagé",IF(AND($H2974="NON ENGAGE",OR($I2974="INFRUCTUEUX",$I2974="ANNULE")),"Clôturé sans suite","En cours")))</f>
        <v/>
      </c>
      <c r="N2974">
        <f>IF(ISBLANK('ENGAGEMENTS 2026'!B2974),"",'ENGAGEMENTS 2026'!K2974)</f>
        <v/>
      </c>
      <c r="O2974">
        <f>IF(ISBLANK('ENGAGEMENTS 2026'!B2974),"",'ENGAGEMENTS 2026'!L2974)</f>
        <v/>
      </c>
      <c r="P2974">
        <f>IF(ISBLANK('ENGAGEMENTS 2026'!B2974),"",'ENGAGEMENTS 2026'!J2974)</f>
        <v/>
      </c>
      <c r="Q2974">
        <f>IF($A2974="","",IF(OR($E2974="INFRUCTUEUX",$E2974="ANNULE"),$A2974&amp;"|"&amp;(COUNTIFS($A$2:$A2974,$A2974,$E$2:$E2974,"INFRUCTUEUX")+COUNTIFS($A$2:$A2974,$A2974,$E$2:$E2974,"ANNULE")),""))</f>
        <v/>
      </c>
    </row>
    <row r="2975">
      <c r="A2975">
        <f>IF(ISBLANK('ENGAGEMENTS 2026'!B2975),"",IF('ENGAGEMENTS 2026'!B2975="DTSI","DCT",'ENGAGEMENTS 2026'!B2975))</f>
        <v/>
      </c>
      <c r="B2975">
        <f>IF(ISBLANK('ENGAGEMENTS 2026'!B2975),"",'ENGAGEMENTS 2026'!C2975)</f>
        <v/>
      </c>
      <c r="C2975">
        <f>IF(ISBLANK('ENGAGEMENTS 2026'!B2975),"",'ENGAGEMENTS 2026'!D2975)</f>
        <v/>
      </c>
      <c r="D2975">
        <f>IF(ISBLANK('ENGAGEMENTS 2026'!B2975),"",'ENGAGEMENTS 2026'!F2975)</f>
        <v/>
      </c>
      <c r="E2975">
        <f>IF(ISBLANK('ENGAGEMENTS 2026'!B2975),"",'ENGAGEMENTS 2026'!H2975)</f>
        <v/>
      </c>
      <c r="F2975">
        <f>IF(ISBLANK('ENGAGEMENTS 2026'!B2975),"",'ENGAGEMENTS 2026'!I2975)</f>
        <v/>
      </c>
      <c r="G2975">
        <f>IF(ISBLANK('ENGAGEMENTS 2026'!B2975),"",'ENGAGEMENTS 2026'!L2975)</f>
        <v/>
      </c>
      <c r="H2975">
        <f>IF(ISBLANK('ENGAGEMENTS 2026'!B2975),"",'ENGAGEMENTS 2026'!AE2975)</f>
        <v/>
      </c>
      <c r="I2975">
        <f>IF(ISBLANK('ENGAGEMENTS 2026'!B2975),"",'ENGAGEMENTS 2026'!G2975)</f>
        <v/>
      </c>
      <c r="J2975" s="275">
        <f>IF(ISBLANK('ENGAGEMENTS 2026'!B2975),"",IF(AND(OR($E2975="INFRUCTUEUX",$E2975="ANNULE"),$C2975="AOO-M"),'ENGAGEMENTS 2026'!O2975,IF($H2975="EN COURS DE PREENGAGEMENT",'ENGAGEMENTS 2026'!N2975,IF($H2975="PREENGAGE",IF($E2975="ATTRIBUE",'ENGAGEMENTS 2026'!AD2975,'ENGAGEMENTS 2026'!N2975),'ENGAGEMENTS 2026'!AD2975))))</f>
        <v/>
      </c>
      <c r="K2975" s="604">
        <f>IF(ISBLANK('ENGAGEMENTS 2026'!V2975),"",'ENGAGEMENTS 2026'!V2975)</f>
        <v/>
      </c>
      <c r="L2975" s="276">
        <f>IF($K2975="","",TODAY()-$K2975)</f>
        <v/>
      </c>
      <c r="M2975">
        <f>IF($A2975="","",IF($H2975="ENGAGE","Engagé",IF(AND($H2975="NON ENGAGE",OR($I2975="INFRUCTUEUX",$I2975="ANNULE")),"Clôturé sans suite","En cours")))</f>
        <v/>
      </c>
      <c r="N2975">
        <f>IF(ISBLANK('ENGAGEMENTS 2026'!B2975),"",'ENGAGEMENTS 2026'!K2975)</f>
        <v/>
      </c>
      <c r="O2975">
        <f>IF(ISBLANK('ENGAGEMENTS 2026'!B2975),"",'ENGAGEMENTS 2026'!L2975)</f>
        <v/>
      </c>
      <c r="P2975">
        <f>IF(ISBLANK('ENGAGEMENTS 2026'!B2975),"",'ENGAGEMENTS 2026'!J2975)</f>
        <v/>
      </c>
      <c r="Q2975">
        <f>IF($A2975="","",IF(OR($E2975="INFRUCTUEUX",$E2975="ANNULE"),$A2975&amp;"|"&amp;(COUNTIFS($A$2:$A2975,$A2975,$E$2:$E2975,"INFRUCTUEUX")+COUNTIFS($A$2:$A2975,$A2975,$E$2:$E2975,"ANNULE")),""))</f>
        <v/>
      </c>
    </row>
    <row r="2976">
      <c r="A2976">
        <f>IF(ISBLANK('ENGAGEMENTS 2026'!B2976),"",IF('ENGAGEMENTS 2026'!B2976="DTSI","DCT",'ENGAGEMENTS 2026'!B2976))</f>
        <v/>
      </c>
      <c r="B2976">
        <f>IF(ISBLANK('ENGAGEMENTS 2026'!B2976),"",'ENGAGEMENTS 2026'!C2976)</f>
        <v/>
      </c>
      <c r="C2976">
        <f>IF(ISBLANK('ENGAGEMENTS 2026'!B2976),"",'ENGAGEMENTS 2026'!D2976)</f>
        <v/>
      </c>
      <c r="D2976">
        <f>IF(ISBLANK('ENGAGEMENTS 2026'!B2976),"",'ENGAGEMENTS 2026'!F2976)</f>
        <v/>
      </c>
      <c r="E2976">
        <f>IF(ISBLANK('ENGAGEMENTS 2026'!B2976),"",'ENGAGEMENTS 2026'!H2976)</f>
        <v/>
      </c>
      <c r="F2976">
        <f>IF(ISBLANK('ENGAGEMENTS 2026'!B2976),"",'ENGAGEMENTS 2026'!I2976)</f>
        <v/>
      </c>
      <c r="G2976">
        <f>IF(ISBLANK('ENGAGEMENTS 2026'!B2976),"",'ENGAGEMENTS 2026'!L2976)</f>
        <v/>
      </c>
      <c r="H2976">
        <f>IF(ISBLANK('ENGAGEMENTS 2026'!B2976),"",'ENGAGEMENTS 2026'!AE2976)</f>
        <v/>
      </c>
      <c r="I2976">
        <f>IF(ISBLANK('ENGAGEMENTS 2026'!B2976),"",'ENGAGEMENTS 2026'!G2976)</f>
        <v/>
      </c>
      <c r="J2976" s="275">
        <f>IF(ISBLANK('ENGAGEMENTS 2026'!B2976),"",IF(AND(OR($E2976="INFRUCTUEUX",$E2976="ANNULE"),$C2976="AOO-M"),'ENGAGEMENTS 2026'!O2976,IF($H2976="EN COURS DE PREENGAGEMENT",'ENGAGEMENTS 2026'!N2976,IF($H2976="PREENGAGE",IF($E2976="ATTRIBUE",'ENGAGEMENTS 2026'!AD2976,'ENGAGEMENTS 2026'!N2976),'ENGAGEMENTS 2026'!AD2976))))</f>
        <v/>
      </c>
      <c r="K2976" s="604">
        <f>IF(ISBLANK('ENGAGEMENTS 2026'!V2976),"",'ENGAGEMENTS 2026'!V2976)</f>
        <v/>
      </c>
      <c r="L2976" s="276">
        <f>IF($K2976="","",TODAY()-$K2976)</f>
        <v/>
      </c>
      <c r="M2976">
        <f>IF($A2976="","",IF($H2976="ENGAGE","Engagé",IF(AND($H2976="NON ENGAGE",OR($I2976="INFRUCTUEUX",$I2976="ANNULE")),"Clôturé sans suite","En cours")))</f>
        <v/>
      </c>
      <c r="N2976">
        <f>IF(ISBLANK('ENGAGEMENTS 2026'!B2976),"",'ENGAGEMENTS 2026'!K2976)</f>
        <v/>
      </c>
      <c r="O2976">
        <f>IF(ISBLANK('ENGAGEMENTS 2026'!B2976),"",'ENGAGEMENTS 2026'!L2976)</f>
        <v/>
      </c>
      <c r="P2976">
        <f>IF(ISBLANK('ENGAGEMENTS 2026'!B2976),"",'ENGAGEMENTS 2026'!J2976)</f>
        <v/>
      </c>
      <c r="Q2976">
        <f>IF($A2976="","",IF(OR($E2976="INFRUCTUEUX",$E2976="ANNULE"),$A2976&amp;"|"&amp;(COUNTIFS($A$2:$A2976,$A2976,$E$2:$E2976,"INFRUCTUEUX")+COUNTIFS($A$2:$A2976,$A2976,$E$2:$E2976,"ANNULE")),""))</f>
        <v/>
      </c>
    </row>
    <row r="2977">
      <c r="A2977">
        <f>IF(ISBLANK('ENGAGEMENTS 2026'!B2977),"",IF('ENGAGEMENTS 2026'!B2977="DTSI","DCT",'ENGAGEMENTS 2026'!B2977))</f>
        <v/>
      </c>
      <c r="B2977">
        <f>IF(ISBLANK('ENGAGEMENTS 2026'!B2977),"",'ENGAGEMENTS 2026'!C2977)</f>
        <v/>
      </c>
      <c r="C2977">
        <f>IF(ISBLANK('ENGAGEMENTS 2026'!B2977),"",'ENGAGEMENTS 2026'!D2977)</f>
        <v/>
      </c>
      <c r="D2977">
        <f>IF(ISBLANK('ENGAGEMENTS 2026'!B2977),"",'ENGAGEMENTS 2026'!F2977)</f>
        <v/>
      </c>
      <c r="E2977">
        <f>IF(ISBLANK('ENGAGEMENTS 2026'!B2977),"",'ENGAGEMENTS 2026'!H2977)</f>
        <v/>
      </c>
      <c r="F2977">
        <f>IF(ISBLANK('ENGAGEMENTS 2026'!B2977),"",'ENGAGEMENTS 2026'!I2977)</f>
        <v/>
      </c>
      <c r="G2977">
        <f>IF(ISBLANK('ENGAGEMENTS 2026'!B2977),"",'ENGAGEMENTS 2026'!L2977)</f>
        <v/>
      </c>
      <c r="H2977">
        <f>IF(ISBLANK('ENGAGEMENTS 2026'!B2977),"",'ENGAGEMENTS 2026'!AE2977)</f>
        <v/>
      </c>
      <c r="I2977">
        <f>IF(ISBLANK('ENGAGEMENTS 2026'!B2977),"",'ENGAGEMENTS 2026'!G2977)</f>
        <v/>
      </c>
      <c r="J2977" s="275">
        <f>IF(ISBLANK('ENGAGEMENTS 2026'!B2977),"",IF(AND(OR($E2977="INFRUCTUEUX",$E2977="ANNULE"),$C2977="AOO-M"),'ENGAGEMENTS 2026'!O2977,IF($H2977="EN COURS DE PREENGAGEMENT",'ENGAGEMENTS 2026'!N2977,IF($H2977="PREENGAGE",IF($E2977="ATTRIBUE",'ENGAGEMENTS 2026'!AD2977,'ENGAGEMENTS 2026'!N2977),'ENGAGEMENTS 2026'!AD2977))))</f>
        <v/>
      </c>
      <c r="K2977" s="604">
        <f>IF(ISBLANK('ENGAGEMENTS 2026'!V2977),"",'ENGAGEMENTS 2026'!V2977)</f>
        <v/>
      </c>
      <c r="L2977" s="276">
        <f>IF($K2977="","",TODAY()-$K2977)</f>
        <v/>
      </c>
      <c r="M2977">
        <f>IF($A2977="","",IF($H2977="ENGAGE","Engagé",IF(AND($H2977="NON ENGAGE",OR($I2977="INFRUCTUEUX",$I2977="ANNULE")),"Clôturé sans suite","En cours")))</f>
        <v/>
      </c>
      <c r="N2977">
        <f>IF(ISBLANK('ENGAGEMENTS 2026'!B2977),"",'ENGAGEMENTS 2026'!K2977)</f>
        <v/>
      </c>
      <c r="O2977">
        <f>IF(ISBLANK('ENGAGEMENTS 2026'!B2977),"",'ENGAGEMENTS 2026'!L2977)</f>
        <v/>
      </c>
      <c r="P2977">
        <f>IF(ISBLANK('ENGAGEMENTS 2026'!B2977),"",'ENGAGEMENTS 2026'!J2977)</f>
        <v/>
      </c>
      <c r="Q2977">
        <f>IF($A2977="","",IF(OR($E2977="INFRUCTUEUX",$E2977="ANNULE"),$A2977&amp;"|"&amp;(COUNTIFS($A$2:$A2977,$A2977,$E$2:$E2977,"INFRUCTUEUX")+COUNTIFS($A$2:$A2977,$A2977,$E$2:$E2977,"ANNULE")),""))</f>
        <v/>
      </c>
    </row>
    <row r="2978">
      <c r="A2978">
        <f>IF(ISBLANK('ENGAGEMENTS 2026'!B2978),"",IF('ENGAGEMENTS 2026'!B2978="DTSI","DCT",'ENGAGEMENTS 2026'!B2978))</f>
        <v/>
      </c>
      <c r="B2978">
        <f>IF(ISBLANK('ENGAGEMENTS 2026'!B2978),"",'ENGAGEMENTS 2026'!C2978)</f>
        <v/>
      </c>
      <c r="C2978">
        <f>IF(ISBLANK('ENGAGEMENTS 2026'!B2978),"",'ENGAGEMENTS 2026'!D2978)</f>
        <v/>
      </c>
      <c r="D2978">
        <f>IF(ISBLANK('ENGAGEMENTS 2026'!B2978),"",'ENGAGEMENTS 2026'!F2978)</f>
        <v/>
      </c>
      <c r="E2978">
        <f>IF(ISBLANK('ENGAGEMENTS 2026'!B2978),"",'ENGAGEMENTS 2026'!H2978)</f>
        <v/>
      </c>
      <c r="F2978">
        <f>IF(ISBLANK('ENGAGEMENTS 2026'!B2978),"",'ENGAGEMENTS 2026'!I2978)</f>
        <v/>
      </c>
      <c r="G2978">
        <f>IF(ISBLANK('ENGAGEMENTS 2026'!B2978),"",'ENGAGEMENTS 2026'!L2978)</f>
        <v/>
      </c>
      <c r="H2978">
        <f>IF(ISBLANK('ENGAGEMENTS 2026'!B2978),"",'ENGAGEMENTS 2026'!AE2978)</f>
        <v/>
      </c>
      <c r="I2978">
        <f>IF(ISBLANK('ENGAGEMENTS 2026'!B2978),"",'ENGAGEMENTS 2026'!G2978)</f>
        <v/>
      </c>
      <c r="J2978" s="275">
        <f>IF(ISBLANK('ENGAGEMENTS 2026'!B2978),"",IF(AND(OR($E2978="INFRUCTUEUX",$E2978="ANNULE"),$C2978="AOO-M"),'ENGAGEMENTS 2026'!O2978,IF($H2978="EN COURS DE PREENGAGEMENT",'ENGAGEMENTS 2026'!N2978,IF($H2978="PREENGAGE",IF($E2978="ATTRIBUE",'ENGAGEMENTS 2026'!AD2978,'ENGAGEMENTS 2026'!N2978),'ENGAGEMENTS 2026'!AD2978))))</f>
        <v/>
      </c>
      <c r="K2978" s="604">
        <f>IF(ISBLANK('ENGAGEMENTS 2026'!V2978),"",'ENGAGEMENTS 2026'!V2978)</f>
        <v/>
      </c>
      <c r="L2978" s="276">
        <f>IF($K2978="","",TODAY()-$K2978)</f>
        <v/>
      </c>
      <c r="M2978">
        <f>IF($A2978="","",IF($H2978="ENGAGE","Engagé",IF(AND($H2978="NON ENGAGE",OR($I2978="INFRUCTUEUX",$I2978="ANNULE")),"Clôturé sans suite","En cours")))</f>
        <v/>
      </c>
      <c r="N2978">
        <f>IF(ISBLANK('ENGAGEMENTS 2026'!B2978),"",'ENGAGEMENTS 2026'!K2978)</f>
        <v/>
      </c>
      <c r="O2978">
        <f>IF(ISBLANK('ENGAGEMENTS 2026'!B2978),"",'ENGAGEMENTS 2026'!L2978)</f>
        <v/>
      </c>
      <c r="P2978">
        <f>IF(ISBLANK('ENGAGEMENTS 2026'!B2978),"",'ENGAGEMENTS 2026'!J2978)</f>
        <v/>
      </c>
      <c r="Q2978">
        <f>IF($A2978="","",IF(OR($E2978="INFRUCTUEUX",$E2978="ANNULE"),$A2978&amp;"|"&amp;(COUNTIFS($A$2:$A2978,$A2978,$E$2:$E2978,"INFRUCTUEUX")+COUNTIFS($A$2:$A2978,$A2978,$E$2:$E2978,"ANNULE")),""))</f>
        <v/>
      </c>
    </row>
    <row r="2979">
      <c r="A2979">
        <f>IF(ISBLANK('ENGAGEMENTS 2026'!B2979),"",IF('ENGAGEMENTS 2026'!B2979="DTSI","DCT",'ENGAGEMENTS 2026'!B2979))</f>
        <v/>
      </c>
      <c r="B2979">
        <f>IF(ISBLANK('ENGAGEMENTS 2026'!B2979),"",'ENGAGEMENTS 2026'!C2979)</f>
        <v/>
      </c>
      <c r="C2979">
        <f>IF(ISBLANK('ENGAGEMENTS 2026'!B2979),"",'ENGAGEMENTS 2026'!D2979)</f>
        <v/>
      </c>
      <c r="D2979">
        <f>IF(ISBLANK('ENGAGEMENTS 2026'!B2979),"",'ENGAGEMENTS 2026'!F2979)</f>
        <v/>
      </c>
      <c r="E2979">
        <f>IF(ISBLANK('ENGAGEMENTS 2026'!B2979),"",'ENGAGEMENTS 2026'!H2979)</f>
        <v/>
      </c>
      <c r="F2979">
        <f>IF(ISBLANK('ENGAGEMENTS 2026'!B2979),"",'ENGAGEMENTS 2026'!I2979)</f>
        <v/>
      </c>
      <c r="G2979">
        <f>IF(ISBLANK('ENGAGEMENTS 2026'!B2979),"",'ENGAGEMENTS 2026'!L2979)</f>
        <v/>
      </c>
      <c r="H2979">
        <f>IF(ISBLANK('ENGAGEMENTS 2026'!B2979),"",'ENGAGEMENTS 2026'!AE2979)</f>
        <v/>
      </c>
      <c r="I2979">
        <f>IF(ISBLANK('ENGAGEMENTS 2026'!B2979),"",'ENGAGEMENTS 2026'!G2979)</f>
        <v/>
      </c>
      <c r="J2979" s="275">
        <f>IF(ISBLANK('ENGAGEMENTS 2026'!B2979),"",IF(AND(OR($E2979="INFRUCTUEUX",$E2979="ANNULE"),$C2979="AOO-M"),'ENGAGEMENTS 2026'!O2979,IF($H2979="EN COURS DE PREENGAGEMENT",'ENGAGEMENTS 2026'!N2979,IF($H2979="PREENGAGE",IF($E2979="ATTRIBUE",'ENGAGEMENTS 2026'!AD2979,'ENGAGEMENTS 2026'!N2979),'ENGAGEMENTS 2026'!AD2979))))</f>
        <v/>
      </c>
      <c r="K2979" s="604">
        <f>IF(ISBLANK('ENGAGEMENTS 2026'!V2979),"",'ENGAGEMENTS 2026'!V2979)</f>
        <v/>
      </c>
      <c r="L2979" s="276">
        <f>IF($K2979="","",TODAY()-$K2979)</f>
        <v/>
      </c>
      <c r="M2979">
        <f>IF($A2979="","",IF($H2979="ENGAGE","Engagé",IF(AND($H2979="NON ENGAGE",OR($I2979="INFRUCTUEUX",$I2979="ANNULE")),"Clôturé sans suite","En cours")))</f>
        <v/>
      </c>
      <c r="N2979">
        <f>IF(ISBLANK('ENGAGEMENTS 2026'!B2979),"",'ENGAGEMENTS 2026'!K2979)</f>
        <v/>
      </c>
      <c r="O2979">
        <f>IF(ISBLANK('ENGAGEMENTS 2026'!B2979),"",'ENGAGEMENTS 2026'!L2979)</f>
        <v/>
      </c>
      <c r="P2979">
        <f>IF(ISBLANK('ENGAGEMENTS 2026'!B2979),"",'ENGAGEMENTS 2026'!J2979)</f>
        <v/>
      </c>
      <c r="Q2979">
        <f>IF($A2979="","",IF(OR($E2979="INFRUCTUEUX",$E2979="ANNULE"),$A2979&amp;"|"&amp;(COUNTIFS($A$2:$A2979,$A2979,$E$2:$E2979,"INFRUCTUEUX")+COUNTIFS($A$2:$A2979,$A2979,$E$2:$E2979,"ANNULE")),""))</f>
        <v/>
      </c>
    </row>
    <row r="2980">
      <c r="A2980">
        <f>IF(ISBLANK('ENGAGEMENTS 2026'!B2980),"",IF('ENGAGEMENTS 2026'!B2980="DTSI","DCT",'ENGAGEMENTS 2026'!B2980))</f>
        <v/>
      </c>
      <c r="B2980">
        <f>IF(ISBLANK('ENGAGEMENTS 2026'!B2980),"",'ENGAGEMENTS 2026'!C2980)</f>
        <v/>
      </c>
      <c r="C2980">
        <f>IF(ISBLANK('ENGAGEMENTS 2026'!B2980),"",'ENGAGEMENTS 2026'!D2980)</f>
        <v/>
      </c>
      <c r="D2980">
        <f>IF(ISBLANK('ENGAGEMENTS 2026'!B2980),"",'ENGAGEMENTS 2026'!F2980)</f>
        <v/>
      </c>
      <c r="E2980">
        <f>IF(ISBLANK('ENGAGEMENTS 2026'!B2980),"",'ENGAGEMENTS 2026'!H2980)</f>
        <v/>
      </c>
      <c r="F2980">
        <f>IF(ISBLANK('ENGAGEMENTS 2026'!B2980),"",'ENGAGEMENTS 2026'!I2980)</f>
        <v/>
      </c>
      <c r="G2980">
        <f>IF(ISBLANK('ENGAGEMENTS 2026'!B2980),"",'ENGAGEMENTS 2026'!L2980)</f>
        <v/>
      </c>
      <c r="H2980">
        <f>IF(ISBLANK('ENGAGEMENTS 2026'!B2980),"",'ENGAGEMENTS 2026'!AE2980)</f>
        <v/>
      </c>
      <c r="I2980">
        <f>IF(ISBLANK('ENGAGEMENTS 2026'!B2980),"",'ENGAGEMENTS 2026'!G2980)</f>
        <v/>
      </c>
      <c r="J2980" s="275">
        <f>IF(ISBLANK('ENGAGEMENTS 2026'!B2980),"",IF(AND(OR($E2980="INFRUCTUEUX",$E2980="ANNULE"),$C2980="AOO-M"),'ENGAGEMENTS 2026'!O2980,IF($H2980="EN COURS DE PREENGAGEMENT",'ENGAGEMENTS 2026'!N2980,IF($H2980="PREENGAGE",IF($E2980="ATTRIBUE",'ENGAGEMENTS 2026'!AD2980,'ENGAGEMENTS 2026'!N2980),'ENGAGEMENTS 2026'!AD2980))))</f>
        <v/>
      </c>
      <c r="K2980" s="604">
        <f>IF(ISBLANK('ENGAGEMENTS 2026'!V2980),"",'ENGAGEMENTS 2026'!V2980)</f>
        <v/>
      </c>
      <c r="L2980" s="276">
        <f>IF($K2980="","",TODAY()-$K2980)</f>
        <v/>
      </c>
      <c r="M2980">
        <f>IF($A2980="","",IF($H2980="ENGAGE","Engagé",IF(AND($H2980="NON ENGAGE",OR($I2980="INFRUCTUEUX",$I2980="ANNULE")),"Clôturé sans suite","En cours")))</f>
        <v/>
      </c>
      <c r="N2980">
        <f>IF(ISBLANK('ENGAGEMENTS 2026'!B2980),"",'ENGAGEMENTS 2026'!K2980)</f>
        <v/>
      </c>
      <c r="O2980">
        <f>IF(ISBLANK('ENGAGEMENTS 2026'!B2980),"",'ENGAGEMENTS 2026'!L2980)</f>
        <v/>
      </c>
      <c r="P2980">
        <f>IF(ISBLANK('ENGAGEMENTS 2026'!B2980),"",'ENGAGEMENTS 2026'!J2980)</f>
        <v/>
      </c>
      <c r="Q2980">
        <f>IF($A2980="","",IF(OR($E2980="INFRUCTUEUX",$E2980="ANNULE"),$A2980&amp;"|"&amp;(COUNTIFS($A$2:$A2980,$A2980,$E$2:$E2980,"INFRUCTUEUX")+COUNTIFS($A$2:$A2980,$A2980,$E$2:$E2980,"ANNULE")),""))</f>
        <v/>
      </c>
    </row>
    <row r="2981">
      <c r="A2981">
        <f>IF(ISBLANK('ENGAGEMENTS 2026'!B2981),"",IF('ENGAGEMENTS 2026'!B2981="DTSI","DCT",'ENGAGEMENTS 2026'!B2981))</f>
        <v/>
      </c>
      <c r="B2981">
        <f>IF(ISBLANK('ENGAGEMENTS 2026'!B2981),"",'ENGAGEMENTS 2026'!C2981)</f>
        <v/>
      </c>
      <c r="C2981">
        <f>IF(ISBLANK('ENGAGEMENTS 2026'!B2981),"",'ENGAGEMENTS 2026'!D2981)</f>
        <v/>
      </c>
      <c r="D2981">
        <f>IF(ISBLANK('ENGAGEMENTS 2026'!B2981),"",'ENGAGEMENTS 2026'!F2981)</f>
        <v/>
      </c>
      <c r="E2981">
        <f>IF(ISBLANK('ENGAGEMENTS 2026'!B2981),"",'ENGAGEMENTS 2026'!H2981)</f>
        <v/>
      </c>
      <c r="F2981">
        <f>IF(ISBLANK('ENGAGEMENTS 2026'!B2981),"",'ENGAGEMENTS 2026'!I2981)</f>
        <v/>
      </c>
      <c r="G2981">
        <f>IF(ISBLANK('ENGAGEMENTS 2026'!B2981),"",'ENGAGEMENTS 2026'!L2981)</f>
        <v/>
      </c>
      <c r="H2981">
        <f>IF(ISBLANK('ENGAGEMENTS 2026'!B2981),"",'ENGAGEMENTS 2026'!AE2981)</f>
        <v/>
      </c>
      <c r="I2981">
        <f>IF(ISBLANK('ENGAGEMENTS 2026'!B2981),"",'ENGAGEMENTS 2026'!G2981)</f>
        <v/>
      </c>
      <c r="J2981" s="275">
        <f>IF(ISBLANK('ENGAGEMENTS 2026'!B2981),"",IF(AND(OR($E2981="INFRUCTUEUX",$E2981="ANNULE"),$C2981="AOO-M"),'ENGAGEMENTS 2026'!O2981,IF($H2981="EN COURS DE PREENGAGEMENT",'ENGAGEMENTS 2026'!N2981,IF($H2981="PREENGAGE",IF($E2981="ATTRIBUE",'ENGAGEMENTS 2026'!AD2981,'ENGAGEMENTS 2026'!N2981),'ENGAGEMENTS 2026'!AD2981))))</f>
        <v/>
      </c>
      <c r="K2981" s="604">
        <f>IF(ISBLANK('ENGAGEMENTS 2026'!V2981),"",'ENGAGEMENTS 2026'!V2981)</f>
        <v/>
      </c>
      <c r="L2981" s="276">
        <f>IF($K2981="","",TODAY()-$K2981)</f>
        <v/>
      </c>
      <c r="M2981">
        <f>IF($A2981="","",IF($H2981="ENGAGE","Engagé",IF(AND($H2981="NON ENGAGE",OR($I2981="INFRUCTUEUX",$I2981="ANNULE")),"Clôturé sans suite","En cours")))</f>
        <v/>
      </c>
      <c r="N2981">
        <f>IF(ISBLANK('ENGAGEMENTS 2026'!B2981),"",'ENGAGEMENTS 2026'!K2981)</f>
        <v/>
      </c>
      <c r="O2981">
        <f>IF(ISBLANK('ENGAGEMENTS 2026'!B2981),"",'ENGAGEMENTS 2026'!L2981)</f>
        <v/>
      </c>
      <c r="P2981">
        <f>IF(ISBLANK('ENGAGEMENTS 2026'!B2981),"",'ENGAGEMENTS 2026'!J2981)</f>
        <v/>
      </c>
      <c r="Q2981">
        <f>IF($A2981="","",IF(OR($E2981="INFRUCTUEUX",$E2981="ANNULE"),$A2981&amp;"|"&amp;(COUNTIFS($A$2:$A2981,$A2981,$E$2:$E2981,"INFRUCTUEUX")+COUNTIFS($A$2:$A2981,$A2981,$E$2:$E2981,"ANNULE")),""))</f>
        <v/>
      </c>
    </row>
    <row r="2982">
      <c r="A2982">
        <f>IF(ISBLANK('ENGAGEMENTS 2026'!B2982),"",IF('ENGAGEMENTS 2026'!B2982="DTSI","DCT",'ENGAGEMENTS 2026'!B2982))</f>
        <v/>
      </c>
      <c r="B2982">
        <f>IF(ISBLANK('ENGAGEMENTS 2026'!B2982),"",'ENGAGEMENTS 2026'!C2982)</f>
        <v/>
      </c>
      <c r="C2982">
        <f>IF(ISBLANK('ENGAGEMENTS 2026'!B2982),"",'ENGAGEMENTS 2026'!D2982)</f>
        <v/>
      </c>
      <c r="D2982">
        <f>IF(ISBLANK('ENGAGEMENTS 2026'!B2982),"",'ENGAGEMENTS 2026'!F2982)</f>
        <v/>
      </c>
      <c r="E2982">
        <f>IF(ISBLANK('ENGAGEMENTS 2026'!B2982),"",'ENGAGEMENTS 2026'!H2982)</f>
        <v/>
      </c>
      <c r="F2982">
        <f>IF(ISBLANK('ENGAGEMENTS 2026'!B2982),"",'ENGAGEMENTS 2026'!I2982)</f>
        <v/>
      </c>
      <c r="G2982">
        <f>IF(ISBLANK('ENGAGEMENTS 2026'!B2982),"",'ENGAGEMENTS 2026'!L2982)</f>
        <v/>
      </c>
      <c r="H2982">
        <f>IF(ISBLANK('ENGAGEMENTS 2026'!B2982),"",'ENGAGEMENTS 2026'!AE2982)</f>
        <v/>
      </c>
      <c r="I2982">
        <f>IF(ISBLANK('ENGAGEMENTS 2026'!B2982),"",'ENGAGEMENTS 2026'!G2982)</f>
        <v/>
      </c>
      <c r="J2982" s="275">
        <f>IF(ISBLANK('ENGAGEMENTS 2026'!B2982),"",IF(AND(OR($E2982="INFRUCTUEUX",$E2982="ANNULE"),$C2982="AOO-M"),'ENGAGEMENTS 2026'!O2982,IF($H2982="EN COURS DE PREENGAGEMENT",'ENGAGEMENTS 2026'!N2982,IF($H2982="PREENGAGE",IF($E2982="ATTRIBUE",'ENGAGEMENTS 2026'!AD2982,'ENGAGEMENTS 2026'!N2982),'ENGAGEMENTS 2026'!AD2982))))</f>
        <v/>
      </c>
      <c r="K2982" s="604">
        <f>IF(ISBLANK('ENGAGEMENTS 2026'!V2982),"",'ENGAGEMENTS 2026'!V2982)</f>
        <v/>
      </c>
      <c r="L2982" s="276">
        <f>IF($K2982="","",TODAY()-$K2982)</f>
        <v/>
      </c>
      <c r="M2982">
        <f>IF($A2982="","",IF($H2982="ENGAGE","Engagé",IF(AND($H2982="NON ENGAGE",OR($I2982="INFRUCTUEUX",$I2982="ANNULE")),"Clôturé sans suite","En cours")))</f>
        <v/>
      </c>
      <c r="N2982">
        <f>IF(ISBLANK('ENGAGEMENTS 2026'!B2982),"",'ENGAGEMENTS 2026'!K2982)</f>
        <v/>
      </c>
      <c r="O2982">
        <f>IF(ISBLANK('ENGAGEMENTS 2026'!B2982),"",'ENGAGEMENTS 2026'!L2982)</f>
        <v/>
      </c>
      <c r="P2982">
        <f>IF(ISBLANK('ENGAGEMENTS 2026'!B2982),"",'ENGAGEMENTS 2026'!J2982)</f>
        <v/>
      </c>
      <c r="Q2982">
        <f>IF($A2982="","",IF(OR($E2982="INFRUCTUEUX",$E2982="ANNULE"),$A2982&amp;"|"&amp;(COUNTIFS($A$2:$A2982,$A2982,$E$2:$E2982,"INFRUCTUEUX")+COUNTIFS($A$2:$A2982,$A2982,$E$2:$E2982,"ANNULE")),""))</f>
        <v/>
      </c>
    </row>
    <row r="2983">
      <c r="A2983">
        <f>IF(ISBLANK('ENGAGEMENTS 2026'!B2983),"",IF('ENGAGEMENTS 2026'!B2983="DTSI","DCT",'ENGAGEMENTS 2026'!B2983))</f>
        <v/>
      </c>
      <c r="B2983">
        <f>IF(ISBLANK('ENGAGEMENTS 2026'!B2983),"",'ENGAGEMENTS 2026'!C2983)</f>
        <v/>
      </c>
      <c r="C2983">
        <f>IF(ISBLANK('ENGAGEMENTS 2026'!B2983),"",'ENGAGEMENTS 2026'!D2983)</f>
        <v/>
      </c>
      <c r="D2983">
        <f>IF(ISBLANK('ENGAGEMENTS 2026'!B2983),"",'ENGAGEMENTS 2026'!F2983)</f>
        <v/>
      </c>
      <c r="E2983">
        <f>IF(ISBLANK('ENGAGEMENTS 2026'!B2983),"",'ENGAGEMENTS 2026'!H2983)</f>
        <v/>
      </c>
      <c r="F2983">
        <f>IF(ISBLANK('ENGAGEMENTS 2026'!B2983),"",'ENGAGEMENTS 2026'!I2983)</f>
        <v/>
      </c>
      <c r="G2983">
        <f>IF(ISBLANK('ENGAGEMENTS 2026'!B2983),"",'ENGAGEMENTS 2026'!L2983)</f>
        <v/>
      </c>
      <c r="H2983">
        <f>IF(ISBLANK('ENGAGEMENTS 2026'!B2983),"",'ENGAGEMENTS 2026'!AE2983)</f>
        <v/>
      </c>
      <c r="I2983">
        <f>IF(ISBLANK('ENGAGEMENTS 2026'!B2983),"",'ENGAGEMENTS 2026'!G2983)</f>
        <v/>
      </c>
      <c r="J2983" s="275">
        <f>IF(ISBLANK('ENGAGEMENTS 2026'!B2983),"",IF(AND(OR($E2983="INFRUCTUEUX",$E2983="ANNULE"),$C2983="AOO-M"),'ENGAGEMENTS 2026'!O2983,IF($H2983="EN COURS DE PREENGAGEMENT",'ENGAGEMENTS 2026'!N2983,IF($H2983="PREENGAGE",IF($E2983="ATTRIBUE",'ENGAGEMENTS 2026'!AD2983,'ENGAGEMENTS 2026'!N2983),'ENGAGEMENTS 2026'!AD2983))))</f>
        <v/>
      </c>
      <c r="K2983" s="604">
        <f>IF(ISBLANK('ENGAGEMENTS 2026'!V2983),"",'ENGAGEMENTS 2026'!V2983)</f>
        <v/>
      </c>
      <c r="L2983" s="276">
        <f>IF($K2983="","",TODAY()-$K2983)</f>
        <v/>
      </c>
      <c r="M2983">
        <f>IF($A2983="","",IF($H2983="ENGAGE","Engagé",IF(AND($H2983="NON ENGAGE",OR($I2983="INFRUCTUEUX",$I2983="ANNULE")),"Clôturé sans suite","En cours")))</f>
        <v/>
      </c>
      <c r="N2983">
        <f>IF(ISBLANK('ENGAGEMENTS 2026'!B2983),"",'ENGAGEMENTS 2026'!K2983)</f>
        <v/>
      </c>
      <c r="O2983">
        <f>IF(ISBLANK('ENGAGEMENTS 2026'!B2983),"",'ENGAGEMENTS 2026'!L2983)</f>
        <v/>
      </c>
      <c r="P2983">
        <f>IF(ISBLANK('ENGAGEMENTS 2026'!B2983),"",'ENGAGEMENTS 2026'!J2983)</f>
        <v/>
      </c>
      <c r="Q2983">
        <f>IF($A2983="","",IF(OR($E2983="INFRUCTUEUX",$E2983="ANNULE"),$A2983&amp;"|"&amp;(COUNTIFS($A$2:$A2983,$A2983,$E$2:$E2983,"INFRUCTUEUX")+COUNTIFS($A$2:$A2983,$A2983,$E$2:$E2983,"ANNULE")),""))</f>
        <v/>
      </c>
    </row>
    <row r="2984">
      <c r="A2984">
        <f>IF(ISBLANK('ENGAGEMENTS 2026'!B2984),"",IF('ENGAGEMENTS 2026'!B2984="DTSI","DCT",'ENGAGEMENTS 2026'!B2984))</f>
        <v/>
      </c>
      <c r="B2984">
        <f>IF(ISBLANK('ENGAGEMENTS 2026'!B2984),"",'ENGAGEMENTS 2026'!C2984)</f>
        <v/>
      </c>
      <c r="C2984">
        <f>IF(ISBLANK('ENGAGEMENTS 2026'!B2984),"",'ENGAGEMENTS 2026'!D2984)</f>
        <v/>
      </c>
      <c r="D2984">
        <f>IF(ISBLANK('ENGAGEMENTS 2026'!B2984),"",'ENGAGEMENTS 2026'!F2984)</f>
        <v/>
      </c>
      <c r="E2984">
        <f>IF(ISBLANK('ENGAGEMENTS 2026'!B2984),"",'ENGAGEMENTS 2026'!H2984)</f>
        <v/>
      </c>
      <c r="F2984">
        <f>IF(ISBLANK('ENGAGEMENTS 2026'!B2984),"",'ENGAGEMENTS 2026'!I2984)</f>
        <v/>
      </c>
      <c r="G2984">
        <f>IF(ISBLANK('ENGAGEMENTS 2026'!B2984),"",'ENGAGEMENTS 2026'!L2984)</f>
        <v/>
      </c>
      <c r="H2984">
        <f>IF(ISBLANK('ENGAGEMENTS 2026'!B2984),"",'ENGAGEMENTS 2026'!AE2984)</f>
        <v/>
      </c>
      <c r="I2984">
        <f>IF(ISBLANK('ENGAGEMENTS 2026'!B2984),"",'ENGAGEMENTS 2026'!G2984)</f>
        <v/>
      </c>
      <c r="J2984" s="275">
        <f>IF(ISBLANK('ENGAGEMENTS 2026'!B2984),"",IF(AND(OR($E2984="INFRUCTUEUX",$E2984="ANNULE"),$C2984="AOO-M"),'ENGAGEMENTS 2026'!O2984,IF($H2984="EN COURS DE PREENGAGEMENT",'ENGAGEMENTS 2026'!N2984,IF($H2984="PREENGAGE",IF($E2984="ATTRIBUE",'ENGAGEMENTS 2026'!AD2984,'ENGAGEMENTS 2026'!N2984),'ENGAGEMENTS 2026'!AD2984))))</f>
        <v/>
      </c>
      <c r="K2984" s="604">
        <f>IF(ISBLANK('ENGAGEMENTS 2026'!V2984),"",'ENGAGEMENTS 2026'!V2984)</f>
        <v/>
      </c>
      <c r="L2984" s="276">
        <f>IF($K2984="","",TODAY()-$K2984)</f>
        <v/>
      </c>
      <c r="M2984">
        <f>IF($A2984="","",IF($H2984="ENGAGE","Engagé",IF(AND($H2984="NON ENGAGE",OR($I2984="INFRUCTUEUX",$I2984="ANNULE")),"Clôturé sans suite","En cours")))</f>
        <v/>
      </c>
      <c r="N2984">
        <f>IF(ISBLANK('ENGAGEMENTS 2026'!B2984),"",'ENGAGEMENTS 2026'!K2984)</f>
        <v/>
      </c>
      <c r="O2984">
        <f>IF(ISBLANK('ENGAGEMENTS 2026'!B2984),"",'ENGAGEMENTS 2026'!L2984)</f>
        <v/>
      </c>
      <c r="P2984">
        <f>IF(ISBLANK('ENGAGEMENTS 2026'!B2984),"",'ENGAGEMENTS 2026'!J2984)</f>
        <v/>
      </c>
      <c r="Q2984">
        <f>IF($A2984="","",IF(OR($E2984="INFRUCTUEUX",$E2984="ANNULE"),$A2984&amp;"|"&amp;(COUNTIFS($A$2:$A2984,$A2984,$E$2:$E2984,"INFRUCTUEUX")+COUNTIFS($A$2:$A2984,$A2984,$E$2:$E2984,"ANNULE")),""))</f>
        <v/>
      </c>
    </row>
    <row r="2985">
      <c r="A2985">
        <f>IF(ISBLANK('ENGAGEMENTS 2026'!B2985),"",IF('ENGAGEMENTS 2026'!B2985="DTSI","DCT",'ENGAGEMENTS 2026'!B2985))</f>
        <v/>
      </c>
      <c r="B2985">
        <f>IF(ISBLANK('ENGAGEMENTS 2026'!B2985),"",'ENGAGEMENTS 2026'!C2985)</f>
        <v/>
      </c>
      <c r="C2985">
        <f>IF(ISBLANK('ENGAGEMENTS 2026'!B2985),"",'ENGAGEMENTS 2026'!D2985)</f>
        <v/>
      </c>
      <c r="D2985">
        <f>IF(ISBLANK('ENGAGEMENTS 2026'!B2985),"",'ENGAGEMENTS 2026'!F2985)</f>
        <v/>
      </c>
      <c r="E2985">
        <f>IF(ISBLANK('ENGAGEMENTS 2026'!B2985),"",'ENGAGEMENTS 2026'!H2985)</f>
        <v/>
      </c>
      <c r="F2985">
        <f>IF(ISBLANK('ENGAGEMENTS 2026'!B2985),"",'ENGAGEMENTS 2026'!I2985)</f>
        <v/>
      </c>
      <c r="G2985">
        <f>IF(ISBLANK('ENGAGEMENTS 2026'!B2985),"",'ENGAGEMENTS 2026'!L2985)</f>
        <v/>
      </c>
      <c r="H2985">
        <f>IF(ISBLANK('ENGAGEMENTS 2026'!B2985),"",'ENGAGEMENTS 2026'!AE2985)</f>
        <v/>
      </c>
      <c r="I2985">
        <f>IF(ISBLANK('ENGAGEMENTS 2026'!B2985),"",'ENGAGEMENTS 2026'!G2985)</f>
        <v/>
      </c>
      <c r="J2985" s="275">
        <f>IF(ISBLANK('ENGAGEMENTS 2026'!B2985),"",IF(AND(OR($E2985="INFRUCTUEUX",$E2985="ANNULE"),$C2985="AOO-M"),'ENGAGEMENTS 2026'!O2985,IF($H2985="EN COURS DE PREENGAGEMENT",'ENGAGEMENTS 2026'!N2985,IF($H2985="PREENGAGE",IF($E2985="ATTRIBUE",'ENGAGEMENTS 2026'!AD2985,'ENGAGEMENTS 2026'!N2985),'ENGAGEMENTS 2026'!AD2985))))</f>
        <v/>
      </c>
      <c r="K2985" s="604">
        <f>IF(ISBLANK('ENGAGEMENTS 2026'!V2985),"",'ENGAGEMENTS 2026'!V2985)</f>
        <v/>
      </c>
      <c r="L2985" s="276">
        <f>IF($K2985="","",TODAY()-$K2985)</f>
        <v/>
      </c>
      <c r="M2985">
        <f>IF($A2985="","",IF($H2985="ENGAGE","Engagé",IF(AND($H2985="NON ENGAGE",OR($I2985="INFRUCTUEUX",$I2985="ANNULE")),"Clôturé sans suite","En cours")))</f>
        <v/>
      </c>
      <c r="N2985">
        <f>IF(ISBLANK('ENGAGEMENTS 2026'!B2985),"",'ENGAGEMENTS 2026'!K2985)</f>
        <v/>
      </c>
      <c r="O2985">
        <f>IF(ISBLANK('ENGAGEMENTS 2026'!B2985),"",'ENGAGEMENTS 2026'!L2985)</f>
        <v/>
      </c>
      <c r="P2985">
        <f>IF(ISBLANK('ENGAGEMENTS 2026'!B2985),"",'ENGAGEMENTS 2026'!J2985)</f>
        <v/>
      </c>
      <c r="Q2985">
        <f>IF($A2985="","",IF(OR($E2985="INFRUCTUEUX",$E2985="ANNULE"),$A2985&amp;"|"&amp;(COUNTIFS($A$2:$A2985,$A2985,$E$2:$E2985,"INFRUCTUEUX")+COUNTIFS($A$2:$A2985,$A2985,$E$2:$E2985,"ANNULE")),""))</f>
        <v/>
      </c>
    </row>
    <row r="2986">
      <c r="A2986">
        <f>IF(ISBLANK('ENGAGEMENTS 2026'!B2986),"",IF('ENGAGEMENTS 2026'!B2986="DTSI","DCT",'ENGAGEMENTS 2026'!B2986))</f>
        <v/>
      </c>
      <c r="B2986">
        <f>IF(ISBLANK('ENGAGEMENTS 2026'!B2986),"",'ENGAGEMENTS 2026'!C2986)</f>
        <v/>
      </c>
      <c r="C2986">
        <f>IF(ISBLANK('ENGAGEMENTS 2026'!B2986),"",'ENGAGEMENTS 2026'!D2986)</f>
        <v/>
      </c>
      <c r="D2986">
        <f>IF(ISBLANK('ENGAGEMENTS 2026'!B2986),"",'ENGAGEMENTS 2026'!F2986)</f>
        <v/>
      </c>
      <c r="E2986">
        <f>IF(ISBLANK('ENGAGEMENTS 2026'!B2986),"",'ENGAGEMENTS 2026'!H2986)</f>
        <v/>
      </c>
      <c r="F2986">
        <f>IF(ISBLANK('ENGAGEMENTS 2026'!B2986),"",'ENGAGEMENTS 2026'!I2986)</f>
        <v/>
      </c>
      <c r="G2986">
        <f>IF(ISBLANK('ENGAGEMENTS 2026'!B2986),"",'ENGAGEMENTS 2026'!L2986)</f>
        <v/>
      </c>
      <c r="H2986">
        <f>IF(ISBLANK('ENGAGEMENTS 2026'!B2986),"",'ENGAGEMENTS 2026'!AE2986)</f>
        <v/>
      </c>
      <c r="I2986">
        <f>IF(ISBLANK('ENGAGEMENTS 2026'!B2986),"",'ENGAGEMENTS 2026'!G2986)</f>
        <v/>
      </c>
      <c r="J2986" s="275">
        <f>IF(ISBLANK('ENGAGEMENTS 2026'!B2986),"",IF(AND(OR($E2986="INFRUCTUEUX",$E2986="ANNULE"),$C2986="AOO-M"),'ENGAGEMENTS 2026'!O2986,IF($H2986="EN COURS DE PREENGAGEMENT",'ENGAGEMENTS 2026'!N2986,IF($H2986="PREENGAGE",IF($E2986="ATTRIBUE",'ENGAGEMENTS 2026'!AD2986,'ENGAGEMENTS 2026'!N2986),'ENGAGEMENTS 2026'!AD2986))))</f>
        <v/>
      </c>
      <c r="K2986" s="604">
        <f>IF(ISBLANK('ENGAGEMENTS 2026'!V2986),"",'ENGAGEMENTS 2026'!V2986)</f>
        <v/>
      </c>
      <c r="L2986" s="276">
        <f>IF($K2986="","",TODAY()-$K2986)</f>
        <v/>
      </c>
      <c r="M2986">
        <f>IF($A2986="","",IF($H2986="ENGAGE","Engagé",IF(AND($H2986="NON ENGAGE",OR($I2986="INFRUCTUEUX",$I2986="ANNULE")),"Clôturé sans suite","En cours")))</f>
        <v/>
      </c>
      <c r="N2986">
        <f>IF(ISBLANK('ENGAGEMENTS 2026'!B2986),"",'ENGAGEMENTS 2026'!K2986)</f>
        <v/>
      </c>
      <c r="O2986">
        <f>IF(ISBLANK('ENGAGEMENTS 2026'!B2986),"",'ENGAGEMENTS 2026'!L2986)</f>
        <v/>
      </c>
      <c r="P2986">
        <f>IF(ISBLANK('ENGAGEMENTS 2026'!B2986),"",'ENGAGEMENTS 2026'!J2986)</f>
        <v/>
      </c>
      <c r="Q2986">
        <f>IF($A2986="","",IF(OR($E2986="INFRUCTUEUX",$E2986="ANNULE"),$A2986&amp;"|"&amp;(COUNTIFS($A$2:$A2986,$A2986,$E$2:$E2986,"INFRUCTUEUX")+COUNTIFS($A$2:$A2986,$A2986,$E$2:$E2986,"ANNULE")),""))</f>
        <v/>
      </c>
    </row>
    <row r="2987">
      <c r="A2987">
        <f>IF(ISBLANK('ENGAGEMENTS 2026'!B2987),"",IF('ENGAGEMENTS 2026'!B2987="DTSI","DCT",'ENGAGEMENTS 2026'!B2987))</f>
        <v/>
      </c>
      <c r="B2987">
        <f>IF(ISBLANK('ENGAGEMENTS 2026'!B2987),"",'ENGAGEMENTS 2026'!C2987)</f>
        <v/>
      </c>
      <c r="C2987">
        <f>IF(ISBLANK('ENGAGEMENTS 2026'!B2987),"",'ENGAGEMENTS 2026'!D2987)</f>
        <v/>
      </c>
      <c r="D2987">
        <f>IF(ISBLANK('ENGAGEMENTS 2026'!B2987),"",'ENGAGEMENTS 2026'!F2987)</f>
        <v/>
      </c>
      <c r="E2987">
        <f>IF(ISBLANK('ENGAGEMENTS 2026'!B2987),"",'ENGAGEMENTS 2026'!H2987)</f>
        <v/>
      </c>
      <c r="F2987">
        <f>IF(ISBLANK('ENGAGEMENTS 2026'!B2987),"",'ENGAGEMENTS 2026'!I2987)</f>
        <v/>
      </c>
      <c r="G2987">
        <f>IF(ISBLANK('ENGAGEMENTS 2026'!B2987),"",'ENGAGEMENTS 2026'!L2987)</f>
        <v/>
      </c>
      <c r="H2987">
        <f>IF(ISBLANK('ENGAGEMENTS 2026'!B2987),"",'ENGAGEMENTS 2026'!AE2987)</f>
        <v/>
      </c>
      <c r="I2987">
        <f>IF(ISBLANK('ENGAGEMENTS 2026'!B2987),"",'ENGAGEMENTS 2026'!G2987)</f>
        <v/>
      </c>
      <c r="J2987" s="275">
        <f>IF(ISBLANK('ENGAGEMENTS 2026'!B2987),"",IF(AND(OR($E2987="INFRUCTUEUX",$E2987="ANNULE"),$C2987="AOO-M"),'ENGAGEMENTS 2026'!O2987,IF($H2987="EN COURS DE PREENGAGEMENT",'ENGAGEMENTS 2026'!N2987,IF($H2987="PREENGAGE",IF($E2987="ATTRIBUE",'ENGAGEMENTS 2026'!AD2987,'ENGAGEMENTS 2026'!N2987),'ENGAGEMENTS 2026'!AD2987))))</f>
        <v/>
      </c>
      <c r="K2987" s="604">
        <f>IF(ISBLANK('ENGAGEMENTS 2026'!V2987),"",'ENGAGEMENTS 2026'!V2987)</f>
        <v/>
      </c>
      <c r="L2987" s="276">
        <f>IF($K2987="","",TODAY()-$K2987)</f>
        <v/>
      </c>
      <c r="M2987">
        <f>IF($A2987="","",IF($H2987="ENGAGE","Engagé",IF(AND($H2987="NON ENGAGE",OR($I2987="INFRUCTUEUX",$I2987="ANNULE")),"Clôturé sans suite","En cours")))</f>
        <v/>
      </c>
      <c r="N2987">
        <f>IF(ISBLANK('ENGAGEMENTS 2026'!B2987),"",'ENGAGEMENTS 2026'!K2987)</f>
        <v/>
      </c>
      <c r="O2987">
        <f>IF(ISBLANK('ENGAGEMENTS 2026'!B2987),"",'ENGAGEMENTS 2026'!L2987)</f>
        <v/>
      </c>
      <c r="P2987">
        <f>IF(ISBLANK('ENGAGEMENTS 2026'!B2987),"",'ENGAGEMENTS 2026'!J2987)</f>
        <v/>
      </c>
      <c r="Q2987">
        <f>IF($A2987="","",IF(OR($E2987="INFRUCTUEUX",$E2987="ANNULE"),$A2987&amp;"|"&amp;(COUNTIFS($A$2:$A2987,$A2987,$E$2:$E2987,"INFRUCTUEUX")+COUNTIFS($A$2:$A2987,$A2987,$E$2:$E2987,"ANNULE")),""))</f>
        <v/>
      </c>
    </row>
    <row r="2988">
      <c r="A2988">
        <f>IF(ISBLANK('ENGAGEMENTS 2026'!B2988),"",IF('ENGAGEMENTS 2026'!B2988="DTSI","DCT",'ENGAGEMENTS 2026'!B2988))</f>
        <v/>
      </c>
      <c r="B2988">
        <f>IF(ISBLANK('ENGAGEMENTS 2026'!B2988),"",'ENGAGEMENTS 2026'!C2988)</f>
        <v/>
      </c>
      <c r="C2988">
        <f>IF(ISBLANK('ENGAGEMENTS 2026'!B2988),"",'ENGAGEMENTS 2026'!D2988)</f>
        <v/>
      </c>
      <c r="D2988">
        <f>IF(ISBLANK('ENGAGEMENTS 2026'!B2988),"",'ENGAGEMENTS 2026'!F2988)</f>
        <v/>
      </c>
      <c r="E2988">
        <f>IF(ISBLANK('ENGAGEMENTS 2026'!B2988),"",'ENGAGEMENTS 2026'!H2988)</f>
        <v/>
      </c>
      <c r="F2988">
        <f>IF(ISBLANK('ENGAGEMENTS 2026'!B2988),"",'ENGAGEMENTS 2026'!I2988)</f>
        <v/>
      </c>
      <c r="G2988">
        <f>IF(ISBLANK('ENGAGEMENTS 2026'!B2988),"",'ENGAGEMENTS 2026'!L2988)</f>
        <v/>
      </c>
      <c r="H2988">
        <f>IF(ISBLANK('ENGAGEMENTS 2026'!B2988),"",'ENGAGEMENTS 2026'!AE2988)</f>
        <v/>
      </c>
      <c r="I2988">
        <f>IF(ISBLANK('ENGAGEMENTS 2026'!B2988),"",'ENGAGEMENTS 2026'!G2988)</f>
        <v/>
      </c>
      <c r="J2988" s="275">
        <f>IF(ISBLANK('ENGAGEMENTS 2026'!B2988),"",IF(AND(OR($E2988="INFRUCTUEUX",$E2988="ANNULE"),$C2988="AOO-M"),'ENGAGEMENTS 2026'!O2988,IF($H2988="EN COURS DE PREENGAGEMENT",'ENGAGEMENTS 2026'!N2988,IF($H2988="PREENGAGE",IF($E2988="ATTRIBUE",'ENGAGEMENTS 2026'!AD2988,'ENGAGEMENTS 2026'!N2988),'ENGAGEMENTS 2026'!AD2988))))</f>
        <v/>
      </c>
      <c r="K2988" s="604">
        <f>IF(ISBLANK('ENGAGEMENTS 2026'!V2988),"",'ENGAGEMENTS 2026'!V2988)</f>
        <v/>
      </c>
      <c r="L2988" s="276">
        <f>IF($K2988="","",TODAY()-$K2988)</f>
        <v/>
      </c>
      <c r="M2988">
        <f>IF($A2988="","",IF($H2988="ENGAGE","Engagé",IF(AND($H2988="NON ENGAGE",OR($I2988="INFRUCTUEUX",$I2988="ANNULE")),"Clôturé sans suite","En cours")))</f>
        <v/>
      </c>
      <c r="N2988">
        <f>IF(ISBLANK('ENGAGEMENTS 2026'!B2988),"",'ENGAGEMENTS 2026'!K2988)</f>
        <v/>
      </c>
      <c r="O2988">
        <f>IF(ISBLANK('ENGAGEMENTS 2026'!B2988),"",'ENGAGEMENTS 2026'!L2988)</f>
        <v/>
      </c>
      <c r="P2988">
        <f>IF(ISBLANK('ENGAGEMENTS 2026'!B2988),"",'ENGAGEMENTS 2026'!J2988)</f>
        <v/>
      </c>
      <c r="Q2988">
        <f>IF($A2988="","",IF(OR($E2988="INFRUCTUEUX",$E2988="ANNULE"),$A2988&amp;"|"&amp;(COUNTIFS($A$2:$A2988,$A2988,$E$2:$E2988,"INFRUCTUEUX")+COUNTIFS($A$2:$A2988,$A2988,$E$2:$E2988,"ANNULE")),""))</f>
        <v/>
      </c>
    </row>
    <row r="2989">
      <c r="A2989">
        <f>IF(ISBLANK('ENGAGEMENTS 2026'!B2989),"",IF('ENGAGEMENTS 2026'!B2989="DTSI","DCT",'ENGAGEMENTS 2026'!B2989))</f>
        <v/>
      </c>
      <c r="B2989">
        <f>IF(ISBLANK('ENGAGEMENTS 2026'!B2989),"",'ENGAGEMENTS 2026'!C2989)</f>
        <v/>
      </c>
      <c r="C2989">
        <f>IF(ISBLANK('ENGAGEMENTS 2026'!B2989),"",'ENGAGEMENTS 2026'!D2989)</f>
        <v/>
      </c>
      <c r="D2989">
        <f>IF(ISBLANK('ENGAGEMENTS 2026'!B2989),"",'ENGAGEMENTS 2026'!F2989)</f>
        <v/>
      </c>
      <c r="E2989">
        <f>IF(ISBLANK('ENGAGEMENTS 2026'!B2989),"",'ENGAGEMENTS 2026'!H2989)</f>
        <v/>
      </c>
      <c r="F2989">
        <f>IF(ISBLANK('ENGAGEMENTS 2026'!B2989),"",'ENGAGEMENTS 2026'!I2989)</f>
        <v/>
      </c>
      <c r="G2989">
        <f>IF(ISBLANK('ENGAGEMENTS 2026'!B2989),"",'ENGAGEMENTS 2026'!L2989)</f>
        <v/>
      </c>
      <c r="H2989">
        <f>IF(ISBLANK('ENGAGEMENTS 2026'!B2989),"",'ENGAGEMENTS 2026'!AE2989)</f>
        <v/>
      </c>
      <c r="I2989">
        <f>IF(ISBLANK('ENGAGEMENTS 2026'!B2989),"",'ENGAGEMENTS 2026'!G2989)</f>
        <v/>
      </c>
      <c r="J2989" s="275">
        <f>IF(ISBLANK('ENGAGEMENTS 2026'!B2989),"",IF(AND(OR($E2989="INFRUCTUEUX",$E2989="ANNULE"),$C2989="AOO-M"),'ENGAGEMENTS 2026'!O2989,IF($H2989="EN COURS DE PREENGAGEMENT",'ENGAGEMENTS 2026'!N2989,IF($H2989="PREENGAGE",IF($E2989="ATTRIBUE",'ENGAGEMENTS 2026'!AD2989,'ENGAGEMENTS 2026'!N2989),'ENGAGEMENTS 2026'!AD2989))))</f>
        <v/>
      </c>
      <c r="K2989" s="604">
        <f>IF(ISBLANK('ENGAGEMENTS 2026'!V2989),"",'ENGAGEMENTS 2026'!V2989)</f>
        <v/>
      </c>
      <c r="L2989" s="276">
        <f>IF($K2989="","",TODAY()-$K2989)</f>
        <v/>
      </c>
      <c r="M2989">
        <f>IF($A2989="","",IF($H2989="ENGAGE","Engagé",IF(AND($H2989="NON ENGAGE",OR($I2989="INFRUCTUEUX",$I2989="ANNULE")),"Clôturé sans suite","En cours")))</f>
        <v/>
      </c>
      <c r="N2989">
        <f>IF(ISBLANK('ENGAGEMENTS 2026'!B2989),"",'ENGAGEMENTS 2026'!K2989)</f>
        <v/>
      </c>
      <c r="O2989">
        <f>IF(ISBLANK('ENGAGEMENTS 2026'!B2989),"",'ENGAGEMENTS 2026'!L2989)</f>
        <v/>
      </c>
      <c r="P2989">
        <f>IF(ISBLANK('ENGAGEMENTS 2026'!B2989),"",'ENGAGEMENTS 2026'!J2989)</f>
        <v/>
      </c>
      <c r="Q2989">
        <f>IF($A2989="","",IF(OR($E2989="INFRUCTUEUX",$E2989="ANNULE"),$A2989&amp;"|"&amp;(COUNTIFS($A$2:$A2989,$A2989,$E$2:$E2989,"INFRUCTUEUX")+COUNTIFS($A$2:$A2989,$A2989,$E$2:$E2989,"ANNULE")),""))</f>
        <v/>
      </c>
    </row>
    <row r="2990">
      <c r="A2990">
        <f>IF(ISBLANK('ENGAGEMENTS 2026'!B2990),"",IF('ENGAGEMENTS 2026'!B2990="DTSI","DCT",'ENGAGEMENTS 2026'!B2990))</f>
        <v/>
      </c>
      <c r="B2990">
        <f>IF(ISBLANK('ENGAGEMENTS 2026'!B2990),"",'ENGAGEMENTS 2026'!C2990)</f>
        <v/>
      </c>
      <c r="C2990">
        <f>IF(ISBLANK('ENGAGEMENTS 2026'!B2990),"",'ENGAGEMENTS 2026'!D2990)</f>
        <v/>
      </c>
      <c r="D2990">
        <f>IF(ISBLANK('ENGAGEMENTS 2026'!B2990),"",'ENGAGEMENTS 2026'!F2990)</f>
        <v/>
      </c>
      <c r="E2990">
        <f>IF(ISBLANK('ENGAGEMENTS 2026'!B2990),"",'ENGAGEMENTS 2026'!H2990)</f>
        <v/>
      </c>
      <c r="F2990">
        <f>IF(ISBLANK('ENGAGEMENTS 2026'!B2990),"",'ENGAGEMENTS 2026'!I2990)</f>
        <v/>
      </c>
      <c r="G2990">
        <f>IF(ISBLANK('ENGAGEMENTS 2026'!B2990),"",'ENGAGEMENTS 2026'!L2990)</f>
        <v/>
      </c>
      <c r="H2990">
        <f>IF(ISBLANK('ENGAGEMENTS 2026'!B2990),"",'ENGAGEMENTS 2026'!AE2990)</f>
        <v/>
      </c>
      <c r="I2990">
        <f>IF(ISBLANK('ENGAGEMENTS 2026'!B2990),"",'ENGAGEMENTS 2026'!G2990)</f>
        <v/>
      </c>
      <c r="J2990" s="275">
        <f>IF(ISBLANK('ENGAGEMENTS 2026'!B2990),"",IF(AND(OR($E2990="INFRUCTUEUX",$E2990="ANNULE"),$C2990="AOO-M"),'ENGAGEMENTS 2026'!O2990,IF($H2990="EN COURS DE PREENGAGEMENT",'ENGAGEMENTS 2026'!N2990,IF($H2990="PREENGAGE",IF($E2990="ATTRIBUE",'ENGAGEMENTS 2026'!AD2990,'ENGAGEMENTS 2026'!N2990),'ENGAGEMENTS 2026'!AD2990))))</f>
        <v/>
      </c>
      <c r="K2990" s="604">
        <f>IF(ISBLANK('ENGAGEMENTS 2026'!V2990),"",'ENGAGEMENTS 2026'!V2990)</f>
        <v/>
      </c>
      <c r="L2990" s="276">
        <f>IF($K2990="","",TODAY()-$K2990)</f>
        <v/>
      </c>
      <c r="M2990">
        <f>IF($A2990="","",IF($H2990="ENGAGE","Engagé",IF(AND($H2990="NON ENGAGE",OR($I2990="INFRUCTUEUX",$I2990="ANNULE")),"Clôturé sans suite","En cours")))</f>
        <v/>
      </c>
      <c r="N2990">
        <f>IF(ISBLANK('ENGAGEMENTS 2026'!B2990),"",'ENGAGEMENTS 2026'!K2990)</f>
        <v/>
      </c>
      <c r="O2990">
        <f>IF(ISBLANK('ENGAGEMENTS 2026'!B2990),"",'ENGAGEMENTS 2026'!L2990)</f>
        <v/>
      </c>
      <c r="P2990">
        <f>IF(ISBLANK('ENGAGEMENTS 2026'!B2990),"",'ENGAGEMENTS 2026'!J2990)</f>
        <v/>
      </c>
      <c r="Q2990">
        <f>IF($A2990="","",IF(OR($E2990="INFRUCTUEUX",$E2990="ANNULE"),$A2990&amp;"|"&amp;(COUNTIFS($A$2:$A2990,$A2990,$E$2:$E2990,"INFRUCTUEUX")+COUNTIFS($A$2:$A2990,$A2990,$E$2:$E2990,"ANNULE")),""))</f>
        <v/>
      </c>
    </row>
    <row r="2991">
      <c r="A2991">
        <f>IF(ISBLANK('ENGAGEMENTS 2026'!B2991),"",IF('ENGAGEMENTS 2026'!B2991="DTSI","DCT",'ENGAGEMENTS 2026'!B2991))</f>
        <v/>
      </c>
      <c r="B2991">
        <f>IF(ISBLANK('ENGAGEMENTS 2026'!B2991),"",'ENGAGEMENTS 2026'!C2991)</f>
        <v/>
      </c>
      <c r="C2991">
        <f>IF(ISBLANK('ENGAGEMENTS 2026'!B2991),"",'ENGAGEMENTS 2026'!D2991)</f>
        <v/>
      </c>
      <c r="D2991">
        <f>IF(ISBLANK('ENGAGEMENTS 2026'!B2991),"",'ENGAGEMENTS 2026'!F2991)</f>
        <v/>
      </c>
      <c r="E2991">
        <f>IF(ISBLANK('ENGAGEMENTS 2026'!B2991),"",'ENGAGEMENTS 2026'!H2991)</f>
        <v/>
      </c>
      <c r="F2991">
        <f>IF(ISBLANK('ENGAGEMENTS 2026'!B2991),"",'ENGAGEMENTS 2026'!I2991)</f>
        <v/>
      </c>
      <c r="G2991">
        <f>IF(ISBLANK('ENGAGEMENTS 2026'!B2991),"",'ENGAGEMENTS 2026'!L2991)</f>
        <v/>
      </c>
      <c r="H2991">
        <f>IF(ISBLANK('ENGAGEMENTS 2026'!B2991),"",'ENGAGEMENTS 2026'!AE2991)</f>
        <v/>
      </c>
      <c r="I2991">
        <f>IF(ISBLANK('ENGAGEMENTS 2026'!B2991),"",'ENGAGEMENTS 2026'!G2991)</f>
        <v/>
      </c>
      <c r="J2991" s="275">
        <f>IF(ISBLANK('ENGAGEMENTS 2026'!B2991),"",IF(AND(OR($E2991="INFRUCTUEUX",$E2991="ANNULE"),$C2991="AOO-M"),'ENGAGEMENTS 2026'!O2991,IF($H2991="EN COURS DE PREENGAGEMENT",'ENGAGEMENTS 2026'!N2991,IF($H2991="PREENGAGE",IF($E2991="ATTRIBUE",'ENGAGEMENTS 2026'!AD2991,'ENGAGEMENTS 2026'!N2991),'ENGAGEMENTS 2026'!AD2991))))</f>
        <v/>
      </c>
      <c r="K2991" s="604">
        <f>IF(ISBLANK('ENGAGEMENTS 2026'!V2991),"",'ENGAGEMENTS 2026'!V2991)</f>
        <v/>
      </c>
      <c r="L2991" s="276">
        <f>IF($K2991="","",TODAY()-$K2991)</f>
        <v/>
      </c>
      <c r="M2991">
        <f>IF($A2991="","",IF($H2991="ENGAGE","Engagé",IF(AND($H2991="NON ENGAGE",OR($I2991="INFRUCTUEUX",$I2991="ANNULE")),"Clôturé sans suite","En cours")))</f>
        <v/>
      </c>
      <c r="N2991">
        <f>IF(ISBLANK('ENGAGEMENTS 2026'!B2991),"",'ENGAGEMENTS 2026'!K2991)</f>
        <v/>
      </c>
      <c r="O2991">
        <f>IF(ISBLANK('ENGAGEMENTS 2026'!B2991),"",'ENGAGEMENTS 2026'!L2991)</f>
        <v/>
      </c>
      <c r="P2991">
        <f>IF(ISBLANK('ENGAGEMENTS 2026'!B2991),"",'ENGAGEMENTS 2026'!J2991)</f>
        <v/>
      </c>
      <c r="Q2991">
        <f>IF($A2991="","",IF(OR($E2991="INFRUCTUEUX",$E2991="ANNULE"),$A2991&amp;"|"&amp;(COUNTIFS($A$2:$A2991,$A2991,$E$2:$E2991,"INFRUCTUEUX")+COUNTIFS($A$2:$A2991,$A2991,$E$2:$E2991,"ANNULE")),""))</f>
        <v/>
      </c>
    </row>
    <row r="2992">
      <c r="A2992">
        <f>IF(ISBLANK('ENGAGEMENTS 2026'!B2992),"",IF('ENGAGEMENTS 2026'!B2992="DTSI","DCT",'ENGAGEMENTS 2026'!B2992))</f>
        <v/>
      </c>
      <c r="B2992">
        <f>IF(ISBLANK('ENGAGEMENTS 2026'!B2992),"",'ENGAGEMENTS 2026'!C2992)</f>
        <v/>
      </c>
      <c r="C2992">
        <f>IF(ISBLANK('ENGAGEMENTS 2026'!B2992),"",'ENGAGEMENTS 2026'!D2992)</f>
        <v/>
      </c>
      <c r="D2992">
        <f>IF(ISBLANK('ENGAGEMENTS 2026'!B2992),"",'ENGAGEMENTS 2026'!F2992)</f>
        <v/>
      </c>
      <c r="E2992">
        <f>IF(ISBLANK('ENGAGEMENTS 2026'!B2992),"",'ENGAGEMENTS 2026'!H2992)</f>
        <v/>
      </c>
      <c r="F2992">
        <f>IF(ISBLANK('ENGAGEMENTS 2026'!B2992),"",'ENGAGEMENTS 2026'!I2992)</f>
        <v/>
      </c>
      <c r="G2992">
        <f>IF(ISBLANK('ENGAGEMENTS 2026'!B2992),"",'ENGAGEMENTS 2026'!L2992)</f>
        <v/>
      </c>
      <c r="H2992">
        <f>IF(ISBLANK('ENGAGEMENTS 2026'!B2992),"",'ENGAGEMENTS 2026'!AE2992)</f>
        <v/>
      </c>
      <c r="I2992">
        <f>IF(ISBLANK('ENGAGEMENTS 2026'!B2992),"",'ENGAGEMENTS 2026'!G2992)</f>
        <v/>
      </c>
      <c r="J2992" s="275">
        <f>IF(ISBLANK('ENGAGEMENTS 2026'!B2992),"",IF(AND(OR($E2992="INFRUCTUEUX",$E2992="ANNULE"),$C2992="AOO-M"),'ENGAGEMENTS 2026'!O2992,IF($H2992="EN COURS DE PREENGAGEMENT",'ENGAGEMENTS 2026'!N2992,IF($H2992="PREENGAGE",IF($E2992="ATTRIBUE",'ENGAGEMENTS 2026'!AD2992,'ENGAGEMENTS 2026'!N2992),'ENGAGEMENTS 2026'!AD2992))))</f>
        <v/>
      </c>
      <c r="K2992" s="604">
        <f>IF(ISBLANK('ENGAGEMENTS 2026'!V2992),"",'ENGAGEMENTS 2026'!V2992)</f>
        <v/>
      </c>
      <c r="L2992" s="276">
        <f>IF($K2992="","",TODAY()-$K2992)</f>
        <v/>
      </c>
      <c r="M2992">
        <f>IF($A2992="","",IF($H2992="ENGAGE","Engagé",IF(AND($H2992="NON ENGAGE",OR($I2992="INFRUCTUEUX",$I2992="ANNULE")),"Clôturé sans suite","En cours")))</f>
        <v/>
      </c>
      <c r="N2992">
        <f>IF(ISBLANK('ENGAGEMENTS 2026'!B2992),"",'ENGAGEMENTS 2026'!K2992)</f>
        <v/>
      </c>
      <c r="O2992">
        <f>IF(ISBLANK('ENGAGEMENTS 2026'!B2992),"",'ENGAGEMENTS 2026'!L2992)</f>
        <v/>
      </c>
      <c r="P2992">
        <f>IF(ISBLANK('ENGAGEMENTS 2026'!B2992),"",'ENGAGEMENTS 2026'!J2992)</f>
        <v/>
      </c>
      <c r="Q2992">
        <f>IF($A2992="","",IF(OR($E2992="INFRUCTUEUX",$E2992="ANNULE"),$A2992&amp;"|"&amp;(COUNTIFS($A$2:$A2992,$A2992,$E$2:$E2992,"INFRUCTUEUX")+COUNTIFS($A$2:$A2992,$A2992,$E$2:$E2992,"ANNULE")),""))</f>
        <v/>
      </c>
    </row>
    <row r="2993">
      <c r="A2993">
        <f>IF(ISBLANK('ENGAGEMENTS 2026'!B2993),"",IF('ENGAGEMENTS 2026'!B2993="DTSI","DCT",'ENGAGEMENTS 2026'!B2993))</f>
        <v/>
      </c>
      <c r="B2993">
        <f>IF(ISBLANK('ENGAGEMENTS 2026'!B2993),"",'ENGAGEMENTS 2026'!C2993)</f>
        <v/>
      </c>
      <c r="C2993">
        <f>IF(ISBLANK('ENGAGEMENTS 2026'!B2993),"",'ENGAGEMENTS 2026'!D2993)</f>
        <v/>
      </c>
      <c r="D2993">
        <f>IF(ISBLANK('ENGAGEMENTS 2026'!B2993),"",'ENGAGEMENTS 2026'!F2993)</f>
        <v/>
      </c>
      <c r="E2993">
        <f>IF(ISBLANK('ENGAGEMENTS 2026'!B2993),"",'ENGAGEMENTS 2026'!H2993)</f>
        <v/>
      </c>
      <c r="F2993">
        <f>IF(ISBLANK('ENGAGEMENTS 2026'!B2993),"",'ENGAGEMENTS 2026'!I2993)</f>
        <v/>
      </c>
      <c r="G2993">
        <f>IF(ISBLANK('ENGAGEMENTS 2026'!B2993),"",'ENGAGEMENTS 2026'!L2993)</f>
        <v/>
      </c>
      <c r="H2993">
        <f>IF(ISBLANK('ENGAGEMENTS 2026'!B2993),"",'ENGAGEMENTS 2026'!AE2993)</f>
        <v/>
      </c>
      <c r="I2993">
        <f>IF(ISBLANK('ENGAGEMENTS 2026'!B2993),"",'ENGAGEMENTS 2026'!G2993)</f>
        <v/>
      </c>
      <c r="J2993" s="275">
        <f>IF(ISBLANK('ENGAGEMENTS 2026'!B2993),"",IF(AND(OR($E2993="INFRUCTUEUX",$E2993="ANNULE"),$C2993="AOO-M"),'ENGAGEMENTS 2026'!O2993,IF($H2993="EN COURS DE PREENGAGEMENT",'ENGAGEMENTS 2026'!N2993,IF($H2993="PREENGAGE",IF($E2993="ATTRIBUE",'ENGAGEMENTS 2026'!AD2993,'ENGAGEMENTS 2026'!N2993),'ENGAGEMENTS 2026'!AD2993))))</f>
        <v/>
      </c>
      <c r="K2993" s="604">
        <f>IF(ISBLANK('ENGAGEMENTS 2026'!V2993),"",'ENGAGEMENTS 2026'!V2993)</f>
        <v/>
      </c>
      <c r="L2993" s="276">
        <f>IF($K2993="","",TODAY()-$K2993)</f>
        <v/>
      </c>
      <c r="M2993">
        <f>IF($A2993="","",IF($H2993="ENGAGE","Engagé",IF(AND($H2993="NON ENGAGE",OR($I2993="INFRUCTUEUX",$I2993="ANNULE")),"Clôturé sans suite","En cours")))</f>
        <v/>
      </c>
      <c r="N2993">
        <f>IF(ISBLANK('ENGAGEMENTS 2026'!B2993),"",'ENGAGEMENTS 2026'!K2993)</f>
        <v/>
      </c>
      <c r="O2993">
        <f>IF(ISBLANK('ENGAGEMENTS 2026'!B2993),"",'ENGAGEMENTS 2026'!L2993)</f>
        <v/>
      </c>
      <c r="P2993">
        <f>IF(ISBLANK('ENGAGEMENTS 2026'!B2993),"",'ENGAGEMENTS 2026'!J2993)</f>
        <v/>
      </c>
      <c r="Q2993">
        <f>IF($A2993="","",IF(OR($E2993="INFRUCTUEUX",$E2993="ANNULE"),$A2993&amp;"|"&amp;(COUNTIFS($A$2:$A2993,$A2993,$E$2:$E2993,"INFRUCTUEUX")+COUNTIFS($A$2:$A2993,$A2993,$E$2:$E2993,"ANNULE")),""))</f>
        <v/>
      </c>
    </row>
    <row r="2994">
      <c r="A2994">
        <f>IF(ISBLANK('ENGAGEMENTS 2026'!B2994),"",IF('ENGAGEMENTS 2026'!B2994="DTSI","DCT",'ENGAGEMENTS 2026'!B2994))</f>
        <v/>
      </c>
      <c r="B2994">
        <f>IF(ISBLANK('ENGAGEMENTS 2026'!B2994),"",'ENGAGEMENTS 2026'!C2994)</f>
        <v/>
      </c>
      <c r="C2994">
        <f>IF(ISBLANK('ENGAGEMENTS 2026'!B2994),"",'ENGAGEMENTS 2026'!D2994)</f>
        <v/>
      </c>
      <c r="D2994">
        <f>IF(ISBLANK('ENGAGEMENTS 2026'!B2994),"",'ENGAGEMENTS 2026'!F2994)</f>
        <v/>
      </c>
      <c r="E2994">
        <f>IF(ISBLANK('ENGAGEMENTS 2026'!B2994),"",'ENGAGEMENTS 2026'!H2994)</f>
        <v/>
      </c>
      <c r="F2994">
        <f>IF(ISBLANK('ENGAGEMENTS 2026'!B2994),"",'ENGAGEMENTS 2026'!I2994)</f>
        <v/>
      </c>
      <c r="G2994">
        <f>IF(ISBLANK('ENGAGEMENTS 2026'!B2994),"",'ENGAGEMENTS 2026'!L2994)</f>
        <v/>
      </c>
      <c r="H2994">
        <f>IF(ISBLANK('ENGAGEMENTS 2026'!B2994),"",'ENGAGEMENTS 2026'!AE2994)</f>
        <v/>
      </c>
      <c r="I2994">
        <f>IF(ISBLANK('ENGAGEMENTS 2026'!B2994),"",'ENGAGEMENTS 2026'!G2994)</f>
        <v/>
      </c>
      <c r="J2994" s="275">
        <f>IF(ISBLANK('ENGAGEMENTS 2026'!B2994),"",IF(AND(OR($E2994="INFRUCTUEUX",$E2994="ANNULE"),$C2994="AOO-M"),'ENGAGEMENTS 2026'!O2994,IF($H2994="EN COURS DE PREENGAGEMENT",'ENGAGEMENTS 2026'!N2994,IF($H2994="PREENGAGE",IF($E2994="ATTRIBUE",'ENGAGEMENTS 2026'!AD2994,'ENGAGEMENTS 2026'!N2994),'ENGAGEMENTS 2026'!AD2994))))</f>
        <v/>
      </c>
      <c r="K2994" s="604">
        <f>IF(ISBLANK('ENGAGEMENTS 2026'!V2994),"",'ENGAGEMENTS 2026'!V2994)</f>
        <v/>
      </c>
      <c r="L2994" s="276">
        <f>IF($K2994="","",TODAY()-$K2994)</f>
        <v/>
      </c>
      <c r="M2994">
        <f>IF($A2994="","",IF($H2994="ENGAGE","Engagé",IF(AND($H2994="NON ENGAGE",OR($I2994="INFRUCTUEUX",$I2994="ANNULE")),"Clôturé sans suite","En cours")))</f>
        <v/>
      </c>
      <c r="N2994">
        <f>IF(ISBLANK('ENGAGEMENTS 2026'!B2994),"",'ENGAGEMENTS 2026'!K2994)</f>
        <v/>
      </c>
      <c r="O2994">
        <f>IF(ISBLANK('ENGAGEMENTS 2026'!B2994),"",'ENGAGEMENTS 2026'!L2994)</f>
        <v/>
      </c>
      <c r="P2994">
        <f>IF(ISBLANK('ENGAGEMENTS 2026'!B2994),"",'ENGAGEMENTS 2026'!J2994)</f>
        <v/>
      </c>
      <c r="Q2994">
        <f>IF($A2994="","",IF(OR($E2994="INFRUCTUEUX",$E2994="ANNULE"),$A2994&amp;"|"&amp;(COUNTIFS($A$2:$A2994,$A2994,$E$2:$E2994,"INFRUCTUEUX")+COUNTIFS($A$2:$A2994,$A2994,$E$2:$E2994,"ANNULE")),""))</f>
        <v/>
      </c>
    </row>
    <row r="2995">
      <c r="A2995">
        <f>IF(ISBLANK('ENGAGEMENTS 2026'!B2995),"",IF('ENGAGEMENTS 2026'!B2995="DTSI","DCT",'ENGAGEMENTS 2026'!B2995))</f>
        <v/>
      </c>
      <c r="B2995">
        <f>IF(ISBLANK('ENGAGEMENTS 2026'!B2995),"",'ENGAGEMENTS 2026'!C2995)</f>
        <v/>
      </c>
      <c r="C2995">
        <f>IF(ISBLANK('ENGAGEMENTS 2026'!B2995),"",'ENGAGEMENTS 2026'!D2995)</f>
        <v/>
      </c>
      <c r="D2995">
        <f>IF(ISBLANK('ENGAGEMENTS 2026'!B2995),"",'ENGAGEMENTS 2026'!F2995)</f>
        <v/>
      </c>
      <c r="E2995">
        <f>IF(ISBLANK('ENGAGEMENTS 2026'!B2995),"",'ENGAGEMENTS 2026'!H2995)</f>
        <v/>
      </c>
      <c r="F2995">
        <f>IF(ISBLANK('ENGAGEMENTS 2026'!B2995),"",'ENGAGEMENTS 2026'!I2995)</f>
        <v/>
      </c>
      <c r="G2995">
        <f>IF(ISBLANK('ENGAGEMENTS 2026'!B2995),"",'ENGAGEMENTS 2026'!L2995)</f>
        <v/>
      </c>
      <c r="H2995">
        <f>IF(ISBLANK('ENGAGEMENTS 2026'!B2995),"",'ENGAGEMENTS 2026'!AE2995)</f>
        <v/>
      </c>
      <c r="I2995">
        <f>IF(ISBLANK('ENGAGEMENTS 2026'!B2995),"",'ENGAGEMENTS 2026'!G2995)</f>
        <v/>
      </c>
      <c r="J2995" s="275">
        <f>IF(ISBLANK('ENGAGEMENTS 2026'!B2995),"",IF(AND(OR($E2995="INFRUCTUEUX",$E2995="ANNULE"),$C2995="AOO-M"),'ENGAGEMENTS 2026'!O2995,IF($H2995="EN COURS DE PREENGAGEMENT",'ENGAGEMENTS 2026'!N2995,IF($H2995="PREENGAGE",IF($E2995="ATTRIBUE",'ENGAGEMENTS 2026'!AD2995,'ENGAGEMENTS 2026'!N2995),'ENGAGEMENTS 2026'!AD2995))))</f>
        <v/>
      </c>
      <c r="K2995" s="604">
        <f>IF(ISBLANK('ENGAGEMENTS 2026'!V2995),"",'ENGAGEMENTS 2026'!V2995)</f>
        <v/>
      </c>
      <c r="L2995" s="276">
        <f>IF($K2995="","",TODAY()-$K2995)</f>
        <v/>
      </c>
      <c r="M2995">
        <f>IF($A2995="","",IF($H2995="ENGAGE","Engagé",IF(AND($H2995="NON ENGAGE",OR($I2995="INFRUCTUEUX",$I2995="ANNULE")),"Clôturé sans suite","En cours")))</f>
        <v/>
      </c>
      <c r="N2995">
        <f>IF(ISBLANK('ENGAGEMENTS 2026'!B2995),"",'ENGAGEMENTS 2026'!K2995)</f>
        <v/>
      </c>
      <c r="O2995">
        <f>IF(ISBLANK('ENGAGEMENTS 2026'!B2995),"",'ENGAGEMENTS 2026'!L2995)</f>
        <v/>
      </c>
      <c r="P2995">
        <f>IF(ISBLANK('ENGAGEMENTS 2026'!B2995),"",'ENGAGEMENTS 2026'!J2995)</f>
        <v/>
      </c>
      <c r="Q2995">
        <f>IF($A2995="","",IF(OR($E2995="INFRUCTUEUX",$E2995="ANNULE"),$A2995&amp;"|"&amp;(COUNTIFS($A$2:$A2995,$A2995,$E$2:$E2995,"INFRUCTUEUX")+COUNTIFS($A$2:$A2995,$A2995,$E$2:$E2995,"ANNULE")),""))</f>
        <v/>
      </c>
    </row>
    <row r="2996">
      <c r="A2996">
        <f>IF(ISBLANK('ENGAGEMENTS 2026'!B2996),"",IF('ENGAGEMENTS 2026'!B2996="DTSI","DCT",'ENGAGEMENTS 2026'!B2996))</f>
        <v/>
      </c>
      <c r="B2996">
        <f>IF(ISBLANK('ENGAGEMENTS 2026'!B2996),"",'ENGAGEMENTS 2026'!C2996)</f>
        <v/>
      </c>
      <c r="C2996">
        <f>IF(ISBLANK('ENGAGEMENTS 2026'!B2996),"",'ENGAGEMENTS 2026'!D2996)</f>
        <v/>
      </c>
      <c r="D2996">
        <f>IF(ISBLANK('ENGAGEMENTS 2026'!B2996),"",'ENGAGEMENTS 2026'!F2996)</f>
        <v/>
      </c>
      <c r="E2996">
        <f>IF(ISBLANK('ENGAGEMENTS 2026'!B2996),"",'ENGAGEMENTS 2026'!H2996)</f>
        <v/>
      </c>
      <c r="F2996">
        <f>IF(ISBLANK('ENGAGEMENTS 2026'!B2996),"",'ENGAGEMENTS 2026'!I2996)</f>
        <v/>
      </c>
      <c r="G2996">
        <f>IF(ISBLANK('ENGAGEMENTS 2026'!B2996),"",'ENGAGEMENTS 2026'!L2996)</f>
        <v/>
      </c>
      <c r="H2996">
        <f>IF(ISBLANK('ENGAGEMENTS 2026'!B2996),"",'ENGAGEMENTS 2026'!AE2996)</f>
        <v/>
      </c>
      <c r="I2996">
        <f>IF(ISBLANK('ENGAGEMENTS 2026'!B2996),"",'ENGAGEMENTS 2026'!G2996)</f>
        <v/>
      </c>
      <c r="J2996" s="275">
        <f>IF(ISBLANK('ENGAGEMENTS 2026'!B2996),"",IF(AND(OR($E2996="INFRUCTUEUX",$E2996="ANNULE"),$C2996="AOO-M"),'ENGAGEMENTS 2026'!O2996,IF($H2996="EN COURS DE PREENGAGEMENT",'ENGAGEMENTS 2026'!N2996,IF($H2996="PREENGAGE",IF($E2996="ATTRIBUE",'ENGAGEMENTS 2026'!AD2996,'ENGAGEMENTS 2026'!N2996),'ENGAGEMENTS 2026'!AD2996))))</f>
        <v/>
      </c>
      <c r="K2996" s="604">
        <f>IF(ISBLANK('ENGAGEMENTS 2026'!V2996),"",'ENGAGEMENTS 2026'!V2996)</f>
        <v/>
      </c>
      <c r="L2996" s="276">
        <f>IF($K2996="","",TODAY()-$K2996)</f>
        <v/>
      </c>
      <c r="M2996">
        <f>IF($A2996="","",IF($H2996="ENGAGE","Engagé",IF(AND($H2996="NON ENGAGE",OR($I2996="INFRUCTUEUX",$I2996="ANNULE")),"Clôturé sans suite","En cours")))</f>
        <v/>
      </c>
      <c r="N2996">
        <f>IF(ISBLANK('ENGAGEMENTS 2026'!B2996),"",'ENGAGEMENTS 2026'!K2996)</f>
        <v/>
      </c>
      <c r="O2996">
        <f>IF(ISBLANK('ENGAGEMENTS 2026'!B2996),"",'ENGAGEMENTS 2026'!L2996)</f>
        <v/>
      </c>
      <c r="P2996">
        <f>IF(ISBLANK('ENGAGEMENTS 2026'!B2996),"",'ENGAGEMENTS 2026'!J2996)</f>
        <v/>
      </c>
      <c r="Q2996">
        <f>IF($A2996="","",IF(OR($E2996="INFRUCTUEUX",$E2996="ANNULE"),$A2996&amp;"|"&amp;(COUNTIFS($A$2:$A2996,$A2996,$E$2:$E2996,"INFRUCTUEUX")+COUNTIFS($A$2:$A2996,$A2996,$E$2:$E2996,"ANNULE")),""))</f>
        <v/>
      </c>
    </row>
    <row r="2997">
      <c r="A2997">
        <f>IF(ISBLANK('ENGAGEMENTS 2026'!B2997),"",IF('ENGAGEMENTS 2026'!B2997="DTSI","DCT",'ENGAGEMENTS 2026'!B2997))</f>
        <v/>
      </c>
      <c r="B2997">
        <f>IF(ISBLANK('ENGAGEMENTS 2026'!B2997),"",'ENGAGEMENTS 2026'!C2997)</f>
        <v/>
      </c>
      <c r="C2997">
        <f>IF(ISBLANK('ENGAGEMENTS 2026'!B2997),"",'ENGAGEMENTS 2026'!D2997)</f>
        <v/>
      </c>
      <c r="D2997">
        <f>IF(ISBLANK('ENGAGEMENTS 2026'!B2997),"",'ENGAGEMENTS 2026'!F2997)</f>
        <v/>
      </c>
      <c r="E2997">
        <f>IF(ISBLANK('ENGAGEMENTS 2026'!B2997),"",'ENGAGEMENTS 2026'!H2997)</f>
        <v/>
      </c>
      <c r="F2997">
        <f>IF(ISBLANK('ENGAGEMENTS 2026'!B2997),"",'ENGAGEMENTS 2026'!I2997)</f>
        <v/>
      </c>
      <c r="G2997">
        <f>IF(ISBLANK('ENGAGEMENTS 2026'!B2997),"",'ENGAGEMENTS 2026'!L2997)</f>
        <v/>
      </c>
      <c r="H2997">
        <f>IF(ISBLANK('ENGAGEMENTS 2026'!B2997),"",'ENGAGEMENTS 2026'!AE2997)</f>
        <v/>
      </c>
      <c r="I2997">
        <f>IF(ISBLANK('ENGAGEMENTS 2026'!B2997),"",'ENGAGEMENTS 2026'!G2997)</f>
        <v/>
      </c>
      <c r="J2997" s="275">
        <f>IF(ISBLANK('ENGAGEMENTS 2026'!B2997),"",IF(AND(OR($E2997="INFRUCTUEUX",$E2997="ANNULE"),$C2997="AOO-M"),'ENGAGEMENTS 2026'!O2997,IF($H2997="EN COURS DE PREENGAGEMENT",'ENGAGEMENTS 2026'!N2997,IF($H2997="PREENGAGE",IF($E2997="ATTRIBUE",'ENGAGEMENTS 2026'!AD2997,'ENGAGEMENTS 2026'!N2997),'ENGAGEMENTS 2026'!AD2997))))</f>
        <v/>
      </c>
      <c r="K2997" s="604">
        <f>IF(ISBLANK('ENGAGEMENTS 2026'!V2997),"",'ENGAGEMENTS 2026'!V2997)</f>
        <v/>
      </c>
      <c r="L2997" s="276">
        <f>IF($K2997="","",TODAY()-$K2997)</f>
        <v/>
      </c>
      <c r="M2997">
        <f>IF($A2997="","",IF($H2997="ENGAGE","Engagé",IF(AND($H2997="NON ENGAGE",OR($I2997="INFRUCTUEUX",$I2997="ANNULE")),"Clôturé sans suite","En cours")))</f>
        <v/>
      </c>
      <c r="N2997">
        <f>IF(ISBLANK('ENGAGEMENTS 2026'!B2997),"",'ENGAGEMENTS 2026'!K2997)</f>
        <v/>
      </c>
      <c r="O2997">
        <f>IF(ISBLANK('ENGAGEMENTS 2026'!B2997),"",'ENGAGEMENTS 2026'!L2997)</f>
        <v/>
      </c>
      <c r="P2997">
        <f>IF(ISBLANK('ENGAGEMENTS 2026'!B2997),"",'ENGAGEMENTS 2026'!J2997)</f>
        <v/>
      </c>
      <c r="Q2997">
        <f>IF($A2997="","",IF(OR($E2997="INFRUCTUEUX",$E2997="ANNULE"),$A2997&amp;"|"&amp;(COUNTIFS($A$2:$A2997,$A2997,$E$2:$E2997,"INFRUCTUEUX")+COUNTIFS($A$2:$A2997,$A2997,$E$2:$E2997,"ANNULE")),""))</f>
        <v/>
      </c>
    </row>
    <row r="2998">
      <c r="A2998">
        <f>IF(ISBLANK('ENGAGEMENTS 2026'!B2998),"",IF('ENGAGEMENTS 2026'!B2998="DTSI","DCT",'ENGAGEMENTS 2026'!B2998))</f>
        <v/>
      </c>
      <c r="B2998">
        <f>IF(ISBLANK('ENGAGEMENTS 2026'!B2998),"",'ENGAGEMENTS 2026'!C2998)</f>
        <v/>
      </c>
      <c r="C2998">
        <f>IF(ISBLANK('ENGAGEMENTS 2026'!B2998),"",'ENGAGEMENTS 2026'!D2998)</f>
        <v/>
      </c>
      <c r="D2998">
        <f>IF(ISBLANK('ENGAGEMENTS 2026'!B2998),"",'ENGAGEMENTS 2026'!F2998)</f>
        <v/>
      </c>
      <c r="E2998">
        <f>IF(ISBLANK('ENGAGEMENTS 2026'!B2998),"",'ENGAGEMENTS 2026'!H2998)</f>
        <v/>
      </c>
      <c r="F2998">
        <f>IF(ISBLANK('ENGAGEMENTS 2026'!B2998),"",'ENGAGEMENTS 2026'!I2998)</f>
        <v/>
      </c>
      <c r="G2998">
        <f>IF(ISBLANK('ENGAGEMENTS 2026'!B2998),"",'ENGAGEMENTS 2026'!L2998)</f>
        <v/>
      </c>
      <c r="H2998">
        <f>IF(ISBLANK('ENGAGEMENTS 2026'!B2998),"",'ENGAGEMENTS 2026'!AE2998)</f>
        <v/>
      </c>
      <c r="I2998">
        <f>IF(ISBLANK('ENGAGEMENTS 2026'!B2998),"",'ENGAGEMENTS 2026'!G2998)</f>
        <v/>
      </c>
      <c r="J2998" s="275">
        <f>IF(ISBLANK('ENGAGEMENTS 2026'!B2998),"",IF(AND(OR($E2998="INFRUCTUEUX",$E2998="ANNULE"),$C2998="AOO-M"),'ENGAGEMENTS 2026'!O2998,IF($H2998="EN COURS DE PREENGAGEMENT",'ENGAGEMENTS 2026'!N2998,IF($H2998="PREENGAGE",IF($E2998="ATTRIBUE",'ENGAGEMENTS 2026'!AD2998,'ENGAGEMENTS 2026'!N2998),'ENGAGEMENTS 2026'!AD2998))))</f>
        <v/>
      </c>
      <c r="K2998" s="604">
        <f>IF(ISBLANK('ENGAGEMENTS 2026'!V2998),"",'ENGAGEMENTS 2026'!V2998)</f>
        <v/>
      </c>
      <c r="L2998" s="276">
        <f>IF($K2998="","",TODAY()-$K2998)</f>
        <v/>
      </c>
      <c r="M2998">
        <f>IF($A2998="","",IF($H2998="ENGAGE","Engagé",IF(AND($H2998="NON ENGAGE",OR($I2998="INFRUCTUEUX",$I2998="ANNULE")),"Clôturé sans suite","En cours")))</f>
        <v/>
      </c>
      <c r="N2998">
        <f>IF(ISBLANK('ENGAGEMENTS 2026'!B2998),"",'ENGAGEMENTS 2026'!K2998)</f>
        <v/>
      </c>
      <c r="O2998">
        <f>IF(ISBLANK('ENGAGEMENTS 2026'!B2998),"",'ENGAGEMENTS 2026'!L2998)</f>
        <v/>
      </c>
      <c r="P2998">
        <f>IF(ISBLANK('ENGAGEMENTS 2026'!B2998),"",'ENGAGEMENTS 2026'!J2998)</f>
        <v/>
      </c>
      <c r="Q2998">
        <f>IF($A2998="","",IF(OR($E2998="INFRUCTUEUX",$E2998="ANNULE"),$A2998&amp;"|"&amp;(COUNTIFS($A$2:$A2998,$A2998,$E$2:$E2998,"INFRUCTUEUX")+COUNTIFS($A$2:$A2998,$A2998,$E$2:$E2998,"ANNULE")),""))</f>
        <v/>
      </c>
    </row>
    <row r="2999">
      <c r="A2999">
        <f>IF(ISBLANK('ENGAGEMENTS 2026'!B2999),"",IF('ENGAGEMENTS 2026'!B2999="DTSI","DCT",'ENGAGEMENTS 2026'!B2999))</f>
        <v/>
      </c>
      <c r="B2999">
        <f>IF(ISBLANK('ENGAGEMENTS 2026'!B2999),"",'ENGAGEMENTS 2026'!C2999)</f>
        <v/>
      </c>
      <c r="C2999">
        <f>IF(ISBLANK('ENGAGEMENTS 2026'!B2999),"",'ENGAGEMENTS 2026'!D2999)</f>
        <v/>
      </c>
      <c r="D2999">
        <f>IF(ISBLANK('ENGAGEMENTS 2026'!B2999),"",'ENGAGEMENTS 2026'!F2999)</f>
        <v/>
      </c>
      <c r="E2999">
        <f>IF(ISBLANK('ENGAGEMENTS 2026'!B2999),"",'ENGAGEMENTS 2026'!H2999)</f>
        <v/>
      </c>
      <c r="F2999">
        <f>IF(ISBLANK('ENGAGEMENTS 2026'!B2999),"",'ENGAGEMENTS 2026'!I2999)</f>
        <v/>
      </c>
      <c r="G2999">
        <f>IF(ISBLANK('ENGAGEMENTS 2026'!B2999),"",'ENGAGEMENTS 2026'!L2999)</f>
        <v/>
      </c>
      <c r="H2999">
        <f>IF(ISBLANK('ENGAGEMENTS 2026'!B2999),"",'ENGAGEMENTS 2026'!AE2999)</f>
        <v/>
      </c>
      <c r="I2999">
        <f>IF(ISBLANK('ENGAGEMENTS 2026'!B2999),"",'ENGAGEMENTS 2026'!G2999)</f>
        <v/>
      </c>
      <c r="J2999" s="275">
        <f>IF(ISBLANK('ENGAGEMENTS 2026'!B2999),"",IF(AND(OR($E2999="INFRUCTUEUX",$E2999="ANNULE"),$C2999="AOO-M"),'ENGAGEMENTS 2026'!O2999,IF($H2999="EN COURS DE PREENGAGEMENT",'ENGAGEMENTS 2026'!N2999,IF($H2999="PREENGAGE",IF($E2999="ATTRIBUE",'ENGAGEMENTS 2026'!AD2999,'ENGAGEMENTS 2026'!N2999),'ENGAGEMENTS 2026'!AD2999))))</f>
        <v/>
      </c>
      <c r="K2999" s="604">
        <f>IF(ISBLANK('ENGAGEMENTS 2026'!V2999),"",'ENGAGEMENTS 2026'!V2999)</f>
        <v/>
      </c>
      <c r="L2999" s="276">
        <f>IF($K2999="","",TODAY()-$K2999)</f>
        <v/>
      </c>
      <c r="M2999">
        <f>IF($A2999="","",IF($H2999="ENGAGE","Engagé",IF(AND($H2999="NON ENGAGE",OR($I2999="INFRUCTUEUX",$I2999="ANNULE")),"Clôturé sans suite","En cours")))</f>
        <v/>
      </c>
      <c r="N2999">
        <f>IF(ISBLANK('ENGAGEMENTS 2026'!B2999),"",'ENGAGEMENTS 2026'!K2999)</f>
        <v/>
      </c>
      <c r="O2999">
        <f>IF(ISBLANK('ENGAGEMENTS 2026'!B2999),"",'ENGAGEMENTS 2026'!L2999)</f>
        <v/>
      </c>
      <c r="P2999">
        <f>IF(ISBLANK('ENGAGEMENTS 2026'!B2999),"",'ENGAGEMENTS 2026'!J2999)</f>
        <v/>
      </c>
      <c r="Q2999">
        <f>IF($A2999="","",IF(OR($E2999="INFRUCTUEUX",$E2999="ANNULE"),$A2999&amp;"|"&amp;(COUNTIFS($A$2:$A2999,$A2999,$E$2:$E2999,"INFRUCTUEUX")+COUNTIFS($A$2:$A2999,$A2999,$E$2:$E2999,"ANNULE")),""))</f>
        <v/>
      </c>
    </row>
    <row r="3000">
      <c r="A3000">
        <f>IF(ISBLANK('ENGAGEMENTS 2026'!B3000),"",IF('ENGAGEMENTS 2026'!B3000="DTSI","DCT",'ENGAGEMENTS 2026'!B3000))</f>
        <v/>
      </c>
      <c r="B3000">
        <f>IF(ISBLANK('ENGAGEMENTS 2026'!B3000),"",'ENGAGEMENTS 2026'!C3000)</f>
        <v/>
      </c>
      <c r="C3000">
        <f>IF(ISBLANK('ENGAGEMENTS 2026'!B3000),"",'ENGAGEMENTS 2026'!D3000)</f>
        <v/>
      </c>
      <c r="D3000">
        <f>IF(ISBLANK('ENGAGEMENTS 2026'!B3000),"",'ENGAGEMENTS 2026'!F3000)</f>
        <v/>
      </c>
      <c r="E3000">
        <f>IF(ISBLANK('ENGAGEMENTS 2026'!B3000),"",'ENGAGEMENTS 2026'!H3000)</f>
        <v/>
      </c>
      <c r="F3000">
        <f>IF(ISBLANK('ENGAGEMENTS 2026'!B3000),"",'ENGAGEMENTS 2026'!I3000)</f>
        <v/>
      </c>
      <c r="G3000">
        <f>IF(ISBLANK('ENGAGEMENTS 2026'!B3000),"",'ENGAGEMENTS 2026'!L3000)</f>
        <v/>
      </c>
      <c r="H3000">
        <f>IF(ISBLANK('ENGAGEMENTS 2026'!B3000),"",'ENGAGEMENTS 2026'!AE3000)</f>
        <v/>
      </c>
      <c r="I3000">
        <f>IF(ISBLANK('ENGAGEMENTS 2026'!B3000),"",'ENGAGEMENTS 2026'!G3000)</f>
        <v/>
      </c>
      <c r="J3000" s="275">
        <f>IF(ISBLANK('ENGAGEMENTS 2026'!B3000),"",IF(AND(OR($E3000="INFRUCTUEUX",$E3000="ANNULE"),$C3000="AOO-M"),'ENGAGEMENTS 2026'!O3000,IF($H3000="EN COURS DE PREENGAGEMENT",'ENGAGEMENTS 2026'!N3000,IF($H3000="PREENGAGE",IF($E3000="ATTRIBUE",'ENGAGEMENTS 2026'!AD3000,'ENGAGEMENTS 2026'!N3000),'ENGAGEMENTS 2026'!AD3000))))</f>
        <v/>
      </c>
      <c r="K3000" s="604">
        <f>IF(ISBLANK('ENGAGEMENTS 2026'!V3000),"",'ENGAGEMENTS 2026'!V3000)</f>
        <v/>
      </c>
      <c r="L3000" s="276">
        <f>IF($K3000="","",TODAY()-$K3000)</f>
        <v/>
      </c>
      <c r="M3000">
        <f>IF($A3000="","",IF($H3000="ENGAGE","Engagé",IF(AND($H3000="NON ENGAGE",OR($I3000="INFRUCTUEUX",$I3000="ANNULE")),"Clôturé sans suite","En cours")))</f>
        <v/>
      </c>
      <c r="N3000">
        <f>IF(ISBLANK('ENGAGEMENTS 2026'!B3000),"",'ENGAGEMENTS 2026'!K3000)</f>
        <v/>
      </c>
      <c r="O3000">
        <f>IF(ISBLANK('ENGAGEMENTS 2026'!B3000),"",'ENGAGEMENTS 2026'!L3000)</f>
        <v/>
      </c>
      <c r="P3000">
        <f>IF(ISBLANK('ENGAGEMENTS 2026'!B3000),"",'ENGAGEMENTS 2026'!J3000)</f>
        <v/>
      </c>
      <c r="Q3000">
        <f>IF($A3000="","",IF(OR($E3000="INFRUCTUEUX",$E3000="ANNULE"),$A3000&amp;"|"&amp;(COUNTIFS($A$2:$A3000,$A3000,$E$2:$E3000,"INFRUCTUEUX")+COUNTIFS($A$2:$A3000,$A3000,$E$2:$E3000,"ANNULE")),""))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TALEB Nora</dc:creator>
  <dc:language>fr-FR</dc:language>
  <dcterms:created xsi:type="dcterms:W3CDTF">2021-05-21T09:44:01Z</dcterms:created>
  <dcterms:modified xsi:type="dcterms:W3CDTF">2026-09-23T11:45:31Z</dcterms:modified>
  <cp:lastModifiedBy>HP</cp:lastModifiedBy>
  <cp:revision>126</cp:revision>
  <cp:lastPrinted>2026-08-04T11:03:50Z</cp:lastPrinted>
</cp:coreProperties>
</file>

<file path=docProps/custom.xml><?xml version="1.0" encoding="utf-8"?>
<Properties xmlns:vt="http://schemas.openxmlformats.org/officeDocument/2006/docPropsVTypes" xmlns="http://schemas.openxmlformats.org/officeDocument/2006/custom-properties">
  <property name="MSIP_Label_c135c4ba-2280-41f8-be7d-6f21d368baa3_ActionId" fmtid="{D5CDD505-2E9C-101B-9397-08002B2CF9AE}" pid="2">
    <vt:lpwstr>0f7211c6-e688-447b-8f1c-ea7516f33db2</vt:lpwstr>
  </property>
  <property name="MSIP_Label_c135c4ba-2280-41f8-be7d-6f21d368baa3_ContentBits" fmtid="{D5CDD505-2E9C-101B-9397-08002B2CF9AE}" pid="3">
    <vt:lpwstr>0</vt:lpwstr>
  </property>
  <property name="MSIP_Label_c135c4ba-2280-41f8-be7d-6f21d368baa3_Enabled" fmtid="{D5CDD505-2E9C-101B-9397-08002B2CF9AE}" pid="4">
    <vt:lpwstr>true</vt:lpwstr>
  </property>
  <property name="MSIP_Label_c135c4ba-2280-41f8-be7d-6f21d368baa3_Method" fmtid="{D5CDD505-2E9C-101B-9397-08002B2CF9AE}" pid="5">
    <vt:lpwstr>Standard</vt:lpwstr>
  </property>
  <property name="MSIP_Label_c135c4ba-2280-41f8-be7d-6f21d368baa3_Name" fmtid="{D5CDD505-2E9C-101B-9397-08002B2CF9AE}" pid="6">
    <vt:lpwstr>c135c4ba-2280-41f8-be7d-6f21d368baa3</vt:lpwstr>
  </property>
  <property name="MSIP_Label_c135c4ba-2280-41f8-be7d-6f21d368baa3_SetDate" fmtid="{D5CDD505-2E9C-101B-9397-08002B2CF9AE}" pid="7">
    <vt:lpwstr>2021-12-02T20:32:12Z</vt:lpwstr>
  </property>
  <property name="MSIP_Label_c135c4ba-2280-41f8-be7d-6f21d368baa3_SiteId" fmtid="{D5CDD505-2E9C-101B-9397-08002B2CF9AE}" pid="8">
    <vt:lpwstr>24139d14-c62c-4c47-8bdd-ce71ea1d50cf</vt:lpwstr>
  </property>
</Properties>
</file>